
<file path=[Content_Types].xml><?xml version="1.0" encoding="utf-8"?>
<Types xmlns="http://schemas.openxmlformats.org/package/2006/content-types">
  <Default Extension="bin" ContentType="application/vnd.openxmlformats-officedocument.spreadsheetml.customProperty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xl/printerSettings/printerSettings1.bin" ContentType="application/vnd.openxmlformats-officedocument.spreadsheetml.printerSettings"/>
  <Override PartName="/xl/printerSettings/printerSettings2.bin" ContentType="application/vnd.openxmlformats-officedocument.spreadsheetml.printerSettings"/>
  <Override PartName="/xl/tables/table1.xml" ContentType="application/vnd.openxmlformats-officedocument.spreadsheetml.table+xml"/>
  <Override PartName="/xl/printerSettings/printerSettings3.bin" ContentType="application/vnd.openxmlformats-officedocument.spreadsheetml.printerSettings"/>
  <Override PartName="/xl/tables/table2.xml" ContentType="application/vnd.openxmlformats-officedocument.spreadsheetml.table+xml"/>
  <Override PartName="/xl/printerSettings/printerSettings4.bin" ContentType="application/vnd.openxmlformats-officedocument.spreadsheetml.printerSettings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4"/>
  <workbookPr codeName="ThisWorkbook" defaultThemeVersion="166925"/>
  <mc:AlternateContent xmlns:mc="http://schemas.openxmlformats.org/markup-compatibility/2006">
    <mc:Choice Requires="x15">
      <x15ac:absPath xmlns:x15ac="http://schemas.microsoft.com/office/spreadsheetml/2010/11/ac" url="C:\Users\Pierre\Documents\WORK\GCOH\GCOH-Tickets-for-Processing\"/>
    </mc:Choice>
  </mc:AlternateContent>
  <xr:revisionPtr revIDLastSave="0" documentId="13_ncr:1_{1D201E3D-93F5-4B0F-B0E3-375797626959}" xr6:coauthVersionLast="47" xr6:coauthVersionMax="47" xr10:uidLastSave="{00000000-0000-0000-0000-000000000000}"/>
  <bookViews>
    <workbookView xWindow="-120" yWindow="-120" windowWidth="38640" windowHeight="21120" activeTab="1" xr2:uid="{9EF57C3D-F6AB-450C-9EC3-AF89A75F272D}"/>
  </bookViews>
  <sheets>
    <sheet name="KPI" sheetId="5" r:id="rId1"/>
    <sheet name="Report" sheetId="4" r:id="rId2"/>
    <sheet name="OK" sheetId="2" r:id="rId3"/>
    <sheet name="Cognos_Office_Connection_Cache" sheetId="27" state="veryHidden" r:id="rId4"/>
    <sheet name="PROC" sheetId="1" r:id="rId5"/>
    <sheet name="Sheet4" sheetId="31" r:id="rId6"/>
    <sheet name="Sheet3" sheetId="30" r:id="rId7"/>
    <sheet name="Sheet2" sheetId="29" r:id="rId8"/>
    <sheet name="Sheet1" sheetId="28" r:id="rId9"/>
    <sheet name="For Commentary" sheetId="20" r:id="rId10"/>
    <sheet name="Authors" sheetId="18" r:id="rId11"/>
    <sheet name="STAT" sheetId="10" r:id="rId12"/>
    <sheet name="Sector" sheetId="3" r:id="rId13"/>
    <sheet name="YelTable" sheetId="24" r:id="rId14"/>
  </sheets>
  <definedNames>
    <definedName name="_xlnm._FilterDatabase" localSheetId="2" hidden="1">OK!$A$67:$C$67</definedName>
    <definedName name="_xlnm._FilterDatabase" localSheetId="1" hidden="1">Report!$A$2:$F$1353</definedName>
    <definedName name="ExternalData_1" localSheetId="13" hidden="1">YelTable!$A$1:$E$5</definedName>
    <definedName name="ID" localSheetId="10" hidden="1">"f29e49f0-c842-4a01-8df8-c72694a7b15c"</definedName>
    <definedName name="ID" localSheetId="3" hidden="1">"3fb6490e-8bae-4ce5-b09c-5121e79bff69"</definedName>
    <definedName name="ID" localSheetId="9" hidden="1">"ff81118e-5307-4064-951c-4c49859b2689"</definedName>
    <definedName name="ID" localSheetId="0" hidden="1">"a20d8229-a695-49c0-85d3-e16e82c6d3c2"</definedName>
    <definedName name="ID" localSheetId="2" hidden="1">"51d88d8a-ccba-4754-95f4-c889dc3e16f2"</definedName>
    <definedName name="ID" localSheetId="4" hidden="1">"fed2efda-7c81-4abf-a07f-fe42f3463dcb"</definedName>
    <definedName name="ID" localSheetId="1" hidden="1">"40226f24-7bf9-4676-aeb0-6e976018d2e2"</definedName>
    <definedName name="ID" localSheetId="12" hidden="1">"fa560984-7bbe-4a11-88aa-39d6eb27c9e2"</definedName>
    <definedName name="ID" localSheetId="11" hidden="1">"e95ef0c9-3382-426f-86db-9e8ceaf6f6b4"</definedName>
    <definedName name="ID" localSheetId="13" hidden="1">"d87903fe-00ef-4d5e-81e3-634aa74e62c2"</definedName>
    <definedName name="ID_1" localSheetId="4" hidden="1">"950e9516-c611-49ca-a5ff-94a8943ffd05"</definedName>
    <definedName name="tm1\\_0_H">"{ ""server"" : ""http://pafe.merckgroup.com"", ""cube"" : ""{ \""server\"" : \""rc-2024\"", \""cube\"" : \""mPnL_2024\""}""}"</definedName>
  </definedNames>
  <calcPr calcId="181029"/>
  <pivotCaches>
    <pivotCache cacheId="17" r:id="rId15"/>
  </pivotCaches>
  <extLst>
    <ext xmlns:x15="http://schemas.microsoft.com/office/spreadsheetml/2010/11/main" uri="{140A7094-0E35-4892-8432-C4D2E57EDEB5}">
      <x15:workbookPr chartTrackingRefBase="1"/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F5114" i="1" l="1"/>
  <c r="F5115" i="1"/>
  <c r="F5105" i="1"/>
  <c r="F5090" i="1"/>
  <c r="F4491" i="1"/>
  <c r="F4490" i="1"/>
  <c r="F5128" i="1"/>
  <c r="F5127" i="1"/>
  <c r="F5121" i="1"/>
  <c r="F5117" i="1"/>
  <c r="F5116" i="1"/>
  <c r="B5127" i="1" l="1"/>
  <c r="B5128" i="1"/>
  <c r="B5129" i="1"/>
  <c r="B5130" i="1"/>
  <c r="H5127" i="1"/>
  <c r="H5128" i="1"/>
  <c r="H5129" i="1"/>
  <c r="H5130" i="1"/>
  <c r="J5127" i="1"/>
  <c r="J5128" i="1"/>
  <c r="J5129" i="1"/>
  <c r="J5130" i="1"/>
  <c r="K5127" i="1"/>
  <c r="K5128" i="1"/>
  <c r="K5129" i="1"/>
  <c r="K5130" i="1"/>
  <c r="Q5127" i="1"/>
  <c r="P5127" i="1" s="1"/>
  <c r="Q5128" i="1"/>
  <c r="P5128" i="1" s="1"/>
  <c r="Q5129" i="1"/>
  <c r="P5129" i="1" s="1"/>
  <c r="Q5130" i="1"/>
  <c r="P5130" i="1" s="1"/>
  <c r="B5121" i="1"/>
  <c r="B5122" i="1"/>
  <c r="B5123" i="1"/>
  <c r="B5124" i="1"/>
  <c r="B5125" i="1"/>
  <c r="B5126" i="1"/>
  <c r="H5121" i="1"/>
  <c r="H5122" i="1"/>
  <c r="H5123" i="1"/>
  <c r="H5124" i="1"/>
  <c r="H5125" i="1"/>
  <c r="H5126" i="1"/>
  <c r="J5121" i="1"/>
  <c r="J5122" i="1"/>
  <c r="J5123" i="1"/>
  <c r="J5124" i="1"/>
  <c r="J5125" i="1"/>
  <c r="J5126" i="1"/>
  <c r="K5121" i="1"/>
  <c r="K5122" i="1"/>
  <c r="K5123" i="1"/>
  <c r="K5124" i="1"/>
  <c r="K5125" i="1"/>
  <c r="K5126" i="1"/>
  <c r="Q5121" i="1"/>
  <c r="P5121" i="1" s="1"/>
  <c r="Q5122" i="1"/>
  <c r="P5122" i="1" s="1"/>
  <c r="Q5123" i="1"/>
  <c r="P5123" i="1" s="1"/>
  <c r="Q5124" i="1"/>
  <c r="P5124" i="1" s="1"/>
  <c r="Q5125" i="1"/>
  <c r="P5125" i="1" s="1"/>
  <c r="Q5126" i="1"/>
  <c r="P5126" i="1" s="1"/>
  <c r="B5120" i="1"/>
  <c r="H5120" i="1"/>
  <c r="J5120" i="1"/>
  <c r="K5120" i="1"/>
  <c r="Q5120" i="1"/>
  <c r="P5120" i="1" s="1"/>
  <c r="B5116" i="1"/>
  <c r="B5117" i="1"/>
  <c r="B5118" i="1"/>
  <c r="B5119" i="1"/>
  <c r="H5116" i="1"/>
  <c r="H5117" i="1"/>
  <c r="H5118" i="1"/>
  <c r="H5119" i="1"/>
  <c r="J5116" i="1"/>
  <c r="J5117" i="1"/>
  <c r="J5118" i="1"/>
  <c r="J5119" i="1"/>
  <c r="K5116" i="1"/>
  <c r="K5117" i="1"/>
  <c r="K5118" i="1"/>
  <c r="K5119" i="1"/>
  <c r="Q5116" i="1"/>
  <c r="P5116" i="1" s="1"/>
  <c r="Q5117" i="1"/>
  <c r="P5117" i="1" s="1"/>
  <c r="Q5118" i="1"/>
  <c r="P5118" i="1" s="1"/>
  <c r="Q5119" i="1"/>
  <c r="P5119" i="1" s="1"/>
  <c r="J5115" i="1"/>
  <c r="J5111" i="1"/>
  <c r="J5110" i="1"/>
  <c r="J5109" i="1"/>
  <c r="J5108" i="1"/>
  <c r="J5106" i="1"/>
  <c r="B5115" i="1"/>
  <c r="H5115" i="1"/>
  <c r="K5115" i="1"/>
  <c r="Q5115" i="1"/>
  <c r="P5115" i="1" s="1"/>
  <c r="B5109" i="1"/>
  <c r="B5110" i="1"/>
  <c r="B5111" i="1"/>
  <c r="B5112" i="1"/>
  <c r="B5113" i="1"/>
  <c r="B5114" i="1"/>
  <c r="H5109" i="1"/>
  <c r="H5110" i="1"/>
  <c r="H5111" i="1"/>
  <c r="H5112" i="1"/>
  <c r="H5113" i="1"/>
  <c r="H5114" i="1"/>
  <c r="J5112" i="1"/>
  <c r="J5113" i="1"/>
  <c r="J5114" i="1"/>
  <c r="K5109" i="1"/>
  <c r="K5110" i="1"/>
  <c r="K5111" i="1"/>
  <c r="K5112" i="1"/>
  <c r="K5113" i="1"/>
  <c r="K5114" i="1"/>
  <c r="Q5109" i="1"/>
  <c r="P5109" i="1" s="1"/>
  <c r="Q5110" i="1"/>
  <c r="P5110" i="1" s="1"/>
  <c r="Q5111" i="1"/>
  <c r="P5111" i="1" s="1"/>
  <c r="Q5112" i="1"/>
  <c r="P5112" i="1" s="1"/>
  <c r="Q5113" i="1"/>
  <c r="P5113" i="1" s="1"/>
  <c r="Q5114" i="1"/>
  <c r="P5114" i="1" s="1"/>
  <c r="B5104" i="1"/>
  <c r="B5105" i="1"/>
  <c r="B5106" i="1"/>
  <c r="B5107" i="1"/>
  <c r="B5108" i="1"/>
  <c r="H5104" i="1"/>
  <c r="H5105" i="1"/>
  <c r="H5106" i="1"/>
  <c r="H5107" i="1"/>
  <c r="H5108" i="1"/>
  <c r="J5104" i="1"/>
  <c r="J5105" i="1"/>
  <c r="J5107" i="1"/>
  <c r="K5104" i="1"/>
  <c r="K5105" i="1"/>
  <c r="K5106" i="1"/>
  <c r="K5107" i="1"/>
  <c r="K5108" i="1"/>
  <c r="Q5104" i="1"/>
  <c r="P5104" i="1" s="1"/>
  <c r="Q5105" i="1"/>
  <c r="P5105" i="1" s="1"/>
  <c r="Q5106" i="1"/>
  <c r="P5106" i="1" s="1"/>
  <c r="Q5107" i="1"/>
  <c r="P5107" i="1" s="1"/>
  <c r="Q5108" i="1"/>
  <c r="P5108" i="1" s="1"/>
  <c r="J5103" i="1"/>
  <c r="J5102" i="1"/>
  <c r="J5101" i="1"/>
  <c r="J5100" i="1"/>
  <c r="J5099" i="1"/>
  <c r="J5098" i="1"/>
  <c r="J5097" i="1"/>
  <c r="J5096" i="1"/>
  <c r="J5090" i="1"/>
  <c r="B5097" i="1"/>
  <c r="B5098" i="1"/>
  <c r="B5099" i="1"/>
  <c r="B5100" i="1"/>
  <c r="B5101" i="1"/>
  <c r="B5102" i="1"/>
  <c r="B5103" i="1"/>
  <c r="H5097" i="1"/>
  <c r="H5099" i="1"/>
  <c r="H5100" i="1"/>
  <c r="H5101" i="1"/>
  <c r="H5102" i="1"/>
  <c r="H5103" i="1"/>
  <c r="K5097" i="1"/>
  <c r="K5098" i="1"/>
  <c r="K5099" i="1"/>
  <c r="K5100" i="1"/>
  <c r="K5101" i="1"/>
  <c r="K5102" i="1"/>
  <c r="K5103" i="1"/>
  <c r="Q5097" i="1"/>
  <c r="P5097" i="1" s="1"/>
  <c r="Q5098" i="1"/>
  <c r="P5098" i="1" s="1"/>
  <c r="Q5099" i="1"/>
  <c r="P5099" i="1" s="1"/>
  <c r="Q5100" i="1"/>
  <c r="P5100" i="1" s="1"/>
  <c r="Q5101" i="1"/>
  <c r="P5101" i="1" s="1"/>
  <c r="Q5102" i="1"/>
  <c r="P5102" i="1" s="1"/>
  <c r="Q5103" i="1"/>
  <c r="P5103" i="1" s="1"/>
  <c r="B5096" i="1"/>
  <c r="H5096" i="1"/>
  <c r="K5096" i="1"/>
  <c r="Q5096" i="1"/>
  <c r="P5096" i="1" s="1"/>
  <c r="J5095" i="1"/>
  <c r="J5094" i="1"/>
  <c r="J5093" i="1"/>
  <c r="J5091" i="1"/>
  <c r="J5089" i="1"/>
  <c r="J5088" i="1"/>
  <c r="J5086" i="1"/>
  <c r="J5085" i="1"/>
  <c r="J5084" i="1"/>
  <c r="J5083" i="1"/>
  <c r="J5082" i="1"/>
  <c r="J5081" i="1"/>
  <c r="J5080" i="1"/>
  <c r="J5079" i="1"/>
  <c r="J5078" i="1"/>
  <c r="J5077" i="1"/>
  <c r="J5076" i="1"/>
  <c r="J5075" i="1"/>
  <c r="J5074" i="1"/>
  <c r="J5073" i="1"/>
  <c r="J5072" i="1"/>
  <c r="J5071" i="1"/>
  <c r="J5070" i="1"/>
  <c r="J5069" i="1"/>
  <c r="J5068" i="1"/>
  <c r="J5067" i="1"/>
  <c r="J5066" i="1"/>
  <c r="J5065" i="1"/>
  <c r="J5064" i="1"/>
  <c r="J5063" i="1"/>
  <c r="J5062" i="1"/>
  <c r="J5041" i="1"/>
  <c r="J5039" i="1"/>
  <c r="J5038" i="1"/>
  <c r="J5022" i="1"/>
  <c r="J5021" i="1"/>
  <c r="J5019" i="1"/>
  <c r="J5018" i="1"/>
  <c r="J5017" i="1"/>
  <c r="B5091" i="1"/>
  <c r="B5092" i="1"/>
  <c r="B5093" i="1"/>
  <c r="B5094" i="1"/>
  <c r="B5095" i="1"/>
  <c r="H5091" i="1"/>
  <c r="H5092" i="1"/>
  <c r="H5093" i="1"/>
  <c r="H5094" i="1"/>
  <c r="H5095" i="1"/>
  <c r="J5092" i="1"/>
  <c r="K5091" i="1"/>
  <c r="K5092" i="1"/>
  <c r="K5093" i="1"/>
  <c r="K5094" i="1"/>
  <c r="K5095" i="1"/>
  <c r="Q5091" i="1"/>
  <c r="P5091" i="1" s="1"/>
  <c r="Q5092" i="1"/>
  <c r="P5092" i="1" s="1"/>
  <c r="Q5093" i="1"/>
  <c r="P5093" i="1" s="1"/>
  <c r="Q5094" i="1"/>
  <c r="P5094" i="1" s="1"/>
  <c r="Q5095" i="1"/>
  <c r="P5095" i="1" s="1"/>
  <c r="B5090" i="1"/>
  <c r="H5090" i="1"/>
  <c r="K5090" i="1"/>
  <c r="Q5090" i="1"/>
  <c r="P5090" i="1" s="1"/>
  <c r="B5065" i="1"/>
  <c r="B5066" i="1"/>
  <c r="B5067" i="1"/>
  <c r="B5068" i="1"/>
  <c r="B5069" i="1"/>
  <c r="B5070" i="1"/>
  <c r="B5071" i="1"/>
  <c r="B5072" i="1"/>
  <c r="B5073" i="1"/>
  <c r="B5074" i="1"/>
  <c r="B5075" i="1"/>
  <c r="B5076" i="1"/>
  <c r="B5077" i="1"/>
  <c r="B5078" i="1"/>
  <c r="B5079" i="1"/>
  <c r="B5080" i="1"/>
  <c r="B5081" i="1"/>
  <c r="B5082" i="1"/>
  <c r="B5083" i="1"/>
  <c r="B5084" i="1"/>
  <c r="B5085" i="1"/>
  <c r="B5086" i="1"/>
  <c r="B5087" i="1"/>
  <c r="B5088" i="1"/>
  <c r="B5089" i="1"/>
  <c r="H5065" i="1"/>
  <c r="H5066" i="1"/>
  <c r="H5067" i="1"/>
  <c r="H5068" i="1"/>
  <c r="H5069" i="1"/>
  <c r="H5070" i="1"/>
  <c r="H5071" i="1"/>
  <c r="H5072" i="1"/>
  <c r="H5073" i="1"/>
  <c r="H5074" i="1"/>
  <c r="H5075" i="1"/>
  <c r="H5076" i="1"/>
  <c r="H5077" i="1"/>
  <c r="H5078" i="1"/>
  <c r="H5079" i="1"/>
  <c r="H5080" i="1"/>
  <c r="H5081" i="1"/>
  <c r="H5082" i="1"/>
  <c r="H5083" i="1"/>
  <c r="H5084" i="1"/>
  <c r="H5085" i="1"/>
  <c r="H5086" i="1"/>
  <c r="H5087" i="1"/>
  <c r="H5088" i="1"/>
  <c r="H5089" i="1"/>
  <c r="J5087" i="1"/>
  <c r="K5065" i="1"/>
  <c r="K5066" i="1"/>
  <c r="K5067" i="1"/>
  <c r="K5068" i="1"/>
  <c r="K5069" i="1"/>
  <c r="K5070" i="1"/>
  <c r="K5071" i="1"/>
  <c r="K5072" i="1"/>
  <c r="K5073" i="1"/>
  <c r="K5074" i="1"/>
  <c r="K5075" i="1"/>
  <c r="K5076" i="1"/>
  <c r="K5077" i="1"/>
  <c r="K5078" i="1"/>
  <c r="K5079" i="1"/>
  <c r="K5080" i="1"/>
  <c r="K5081" i="1"/>
  <c r="K5082" i="1"/>
  <c r="K5083" i="1"/>
  <c r="K5084" i="1"/>
  <c r="K5085" i="1"/>
  <c r="K5086" i="1"/>
  <c r="K5087" i="1"/>
  <c r="K5088" i="1"/>
  <c r="K5089" i="1"/>
  <c r="Q5065" i="1"/>
  <c r="P5065" i="1" s="1"/>
  <c r="Q5066" i="1"/>
  <c r="P5066" i="1" s="1"/>
  <c r="Q5067" i="1"/>
  <c r="P5067" i="1" s="1"/>
  <c r="Q5068" i="1"/>
  <c r="P5068" i="1" s="1"/>
  <c r="Q5069" i="1"/>
  <c r="P5069" i="1" s="1"/>
  <c r="Q5070" i="1"/>
  <c r="P5070" i="1" s="1"/>
  <c r="Q5071" i="1"/>
  <c r="P5071" i="1" s="1"/>
  <c r="Q5072" i="1"/>
  <c r="P5072" i="1" s="1"/>
  <c r="Q5073" i="1"/>
  <c r="P5073" i="1" s="1"/>
  <c r="Q5074" i="1"/>
  <c r="P5074" i="1" s="1"/>
  <c r="Q5075" i="1"/>
  <c r="P5075" i="1" s="1"/>
  <c r="Q5076" i="1"/>
  <c r="P5076" i="1" s="1"/>
  <c r="Q5077" i="1"/>
  <c r="P5077" i="1" s="1"/>
  <c r="Q5078" i="1"/>
  <c r="P5078" i="1" s="1"/>
  <c r="Q5079" i="1"/>
  <c r="P5079" i="1" s="1"/>
  <c r="Q5080" i="1"/>
  <c r="P5080" i="1" s="1"/>
  <c r="Q5081" i="1"/>
  <c r="P5081" i="1" s="1"/>
  <c r="Q5082" i="1"/>
  <c r="P5082" i="1" s="1"/>
  <c r="Q5083" i="1"/>
  <c r="P5083" i="1" s="1"/>
  <c r="Q5084" i="1"/>
  <c r="P5084" i="1" s="1"/>
  <c r="Q5085" i="1"/>
  <c r="P5085" i="1" s="1"/>
  <c r="Q5086" i="1"/>
  <c r="P5086" i="1" s="1"/>
  <c r="Q5087" i="1"/>
  <c r="P5087" i="1" s="1"/>
  <c r="Q5088" i="1"/>
  <c r="P5088" i="1" s="1"/>
  <c r="Q5089" i="1"/>
  <c r="P5089" i="1" s="1"/>
  <c r="B5064" i="1"/>
  <c r="H5064" i="1"/>
  <c r="K5064" i="1"/>
  <c r="Q5064" i="1"/>
  <c r="P5064" i="1" s="1"/>
  <c r="B5063" i="1"/>
  <c r="H5063" i="1"/>
  <c r="K5063" i="1"/>
  <c r="Q5063" i="1"/>
  <c r="P5063" i="1" s="1"/>
  <c r="B5062" i="1"/>
  <c r="H5062" i="1"/>
  <c r="K5062" i="1"/>
  <c r="Q5062" i="1"/>
  <c r="P5062" i="1" s="1"/>
  <c r="B5052" i="1"/>
  <c r="B5053" i="1"/>
  <c r="B5054" i="1"/>
  <c r="B5055" i="1"/>
  <c r="B5056" i="1"/>
  <c r="B5057" i="1"/>
  <c r="B5058" i="1"/>
  <c r="B5059" i="1"/>
  <c r="B5060" i="1"/>
  <c r="B5061" i="1"/>
  <c r="H5052" i="1"/>
  <c r="H5053" i="1"/>
  <c r="H5054" i="1"/>
  <c r="H5055" i="1"/>
  <c r="H5056" i="1"/>
  <c r="H5057" i="1"/>
  <c r="H5058" i="1"/>
  <c r="H5059" i="1"/>
  <c r="H5060" i="1"/>
  <c r="H5061" i="1"/>
  <c r="J5052" i="1"/>
  <c r="J5053" i="1"/>
  <c r="J5054" i="1"/>
  <c r="J5055" i="1"/>
  <c r="J5056" i="1"/>
  <c r="J5057" i="1"/>
  <c r="J5058" i="1"/>
  <c r="J5059" i="1"/>
  <c r="J5060" i="1"/>
  <c r="J5061" i="1"/>
  <c r="K5052" i="1"/>
  <c r="K5053" i="1"/>
  <c r="K5054" i="1"/>
  <c r="K5055" i="1"/>
  <c r="K5056" i="1"/>
  <c r="K5057" i="1"/>
  <c r="K5058" i="1"/>
  <c r="K5059" i="1"/>
  <c r="K5060" i="1"/>
  <c r="K5061" i="1"/>
  <c r="Q5052" i="1"/>
  <c r="P5052" i="1" s="1"/>
  <c r="Q5053" i="1"/>
  <c r="P5053" i="1" s="1"/>
  <c r="Q5054" i="1"/>
  <c r="P5054" i="1" s="1"/>
  <c r="Q5055" i="1"/>
  <c r="P5055" i="1" s="1"/>
  <c r="Q5056" i="1"/>
  <c r="P5056" i="1" s="1"/>
  <c r="Q5057" i="1"/>
  <c r="P5057" i="1" s="1"/>
  <c r="Q5058" i="1"/>
  <c r="P5058" i="1" s="1"/>
  <c r="Q5059" i="1"/>
  <c r="P5059" i="1" s="1"/>
  <c r="Q5060" i="1"/>
  <c r="P5060" i="1" s="1"/>
  <c r="Q5061" i="1"/>
  <c r="P5061" i="1" s="1"/>
  <c r="B5044" i="1"/>
  <c r="B5045" i="1"/>
  <c r="B5046" i="1"/>
  <c r="B5047" i="1"/>
  <c r="B5048" i="1"/>
  <c r="B5049" i="1"/>
  <c r="B5050" i="1"/>
  <c r="B5051" i="1"/>
  <c r="H5044" i="1"/>
  <c r="H5045" i="1"/>
  <c r="H5046" i="1"/>
  <c r="H5047" i="1"/>
  <c r="H5048" i="1"/>
  <c r="H5049" i="1"/>
  <c r="H5050" i="1"/>
  <c r="H5051" i="1"/>
  <c r="J5044" i="1"/>
  <c r="J5045" i="1"/>
  <c r="J5046" i="1"/>
  <c r="J5047" i="1"/>
  <c r="J5048" i="1"/>
  <c r="J5049" i="1"/>
  <c r="J5050" i="1"/>
  <c r="J5051" i="1"/>
  <c r="K5044" i="1"/>
  <c r="K5045" i="1"/>
  <c r="K5046" i="1"/>
  <c r="K5047" i="1"/>
  <c r="K5048" i="1"/>
  <c r="K5049" i="1"/>
  <c r="K5050" i="1"/>
  <c r="K5051" i="1"/>
  <c r="Q5044" i="1"/>
  <c r="P5044" i="1" s="1"/>
  <c r="Q5045" i="1"/>
  <c r="P5045" i="1" s="1"/>
  <c r="Q5046" i="1"/>
  <c r="P5046" i="1" s="1"/>
  <c r="Q5047" i="1"/>
  <c r="P5047" i="1" s="1"/>
  <c r="Q5048" i="1"/>
  <c r="P5048" i="1" s="1"/>
  <c r="Q5049" i="1"/>
  <c r="P5049" i="1" s="1"/>
  <c r="Q5050" i="1"/>
  <c r="P5050" i="1" s="1"/>
  <c r="Q5051" i="1"/>
  <c r="P5051" i="1" s="1"/>
  <c r="B5043" i="1"/>
  <c r="H5043" i="1"/>
  <c r="J5043" i="1"/>
  <c r="K5043" i="1"/>
  <c r="Q5043" i="1"/>
  <c r="P5043" i="1" s="1"/>
  <c r="B5042" i="1"/>
  <c r="H5042" i="1"/>
  <c r="J5042" i="1"/>
  <c r="K5042" i="1"/>
  <c r="Q5042" i="1"/>
  <c r="P5042" i="1" s="1"/>
  <c r="B5041" i="1"/>
  <c r="H5041" i="1"/>
  <c r="K5041" i="1"/>
  <c r="Q5041" i="1"/>
  <c r="P5041" i="1" s="1"/>
  <c r="B5040" i="1"/>
  <c r="H5040" i="1"/>
  <c r="J5040" i="1"/>
  <c r="K5040" i="1"/>
  <c r="Q5040" i="1"/>
  <c r="P5040" i="1" s="1"/>
  <c r="B5037" i="1"/>
  <c r="B5038" i="1"/>
  <c r="B5039" i="1"/>
  <c r="H5037" i="1"/>
  <c r="H5038" i="1"/>
  <c r="H5039" i="1"/>
  <c r="J5037" i="1"/>
  <c r="K5037" i="1"/>
  <c r="K5038" i="1"/>
  <c r="K5039" i="1"/>
  <c r="Q5037" i="1"/>
  <c r="P5037" i="1" s="1"/>
  <c r="Q5038" i="1"/>
  <c r="P5038" i="1" s="1"/>
  <c r="Q5039" i="1"/>
  <c r="P5039" i="1" s="1"/>
  <c r="B5036" i="1"/>
  <c r="H5036" i="1"/>
  <c r="J5036" i="1"/>
  <c r="K5036" i="1"/>
  <c r="Q5036" i="1"/>
  <c r="P5036" i="1" s="1"/>
  <c r="B5035" i="1"/>
  <c r="H5035" i="1"/>
  <c r="J5035" i="1"/>
  <c r="K5035" i="1"/>
  <c r="Q5035" i="1"/>
  <c r="P5035" i="1" s="1"/>
  <c r="B5025" i="1"/>
  <c r="B5026" i="1"/>
  <c r="B5027" i="1"/>
  <c r="B5028" i="1"/>
  <c r="B5029" i="1"/>
  <c r="B5030" i="1"/>
  <c r="B5031" i="1"/>
  <c r="B5032" i="1"/>
  <c r="B5033" i="1"/>
  <c r="B5034" i="1"/>
  <c r="H5025" i="1"/>
  <c r="H5026" i="1"/>
  <c r="H5027" i="1"/>
  <c r="H5028" i="1"/>
  <c r="H5029" i="1"/>
  <c r="H5030" i="1"/>
  <c r="H5031" i="1"/>
  <c r="H5032" i="1"/>
  <c r="H5033" i="1"/>
  <c r="H5034" i="1"/>
  <c r="J5025" i="1"/>
  <c r="J5026" i="1"/>
  <c r="J5027" i="1"/>
  <c r="J5028" i="1"/>
  <c r="J5029" i="1"/>
  <c r="J5030" i="1"/>
  <c r="J5031" i="1"/>
  <c r="J5032" i="1"/>
  <c r="J5033" i="1"/>
  <c r="J5034" i="1"/>
  <c r="K5025" i="1"/>
  <c r="K5026" i="1"/>
  <c r="K5027" i="1"/>
  <c r="K5028" i="1"/>
  <c r="K5029" i="1"/>
  <c r="K5030" i="1"/>
  <c r="K5031" i="1"/>
  <c r="K5032" i="1"/>
  <c r="K5033" i="1"/>
  <c r="K5034" i="1"/>
  <c r="Q5025" i="1"/>
  <c r="P5025" i="1" s="1"/>
  <c r="Q5026" i="1"/>
  <c r="P5026" i="1" s="1"/>
  <c r="Q5027" i="1"/>
  <c r="P5027" i="1" s="1"/>
  <c r="Q5028" i="1"/>
  <c r="P5028" i="1" s="1"/>
  <c r="Q5029" i="1"/>
  <c r="P5029" i="1" s="1"/>
  <c r="Q5030" i="1"/>
  <c r="P5030" i="1" s="1"/>
  <c r="Q5031" i="1"/>
  <c r="P5031" i="1" s="1"/>
  <c r="Q5032" i="1"/>
  <c r="P5032" i="1" s="1"/>
  <c r="Q5033" i="1"/>
  <c r="P5033" i="1" s="1"/>
  <c r="Q5034" i="1"/>
  <c r="P5034" i="1" s="1"/>
  <c r="B5024" i="1"/>
  <c r="H5024" i="1"/>
  <c r="J5024" i="1"/>
  <c r="K5024" i="1"/>
  <c r="Q5024" i="1"/>
  <c r="P5024" i="1" s="1"/>
  <c r="B5023" i="1"/>
  <c r="H5023" i="1"/>
  <c r="J5023" i="1"/>
  <c r="K5023" i="1"/>
  <c r="Q5023" i="1"/>
  <c r="P5023" i="1" s="1"/>
  <c r="B5017" i="1"/>
  <c r="B5018" i="1"/>
  <c r="B5019" i="1"/>
  <c r="B5020" i="1"/>
  <c r="B5021" i="1"/>
  <c r="B5022" i="1"/>
  <c r="H5017" i="1"/>
  <c r="H5018" i="1"/>
  <c r="H5019" i="1"/>
  <c r="H5020" i="1"/>
  <c r="H5021" i="1"/>
  <c r="H5022" i="1"/>
  <c r="J5020" i="1"/>
  <c r="K5017" i="1"/>
  <c r="K5018" i="1"/>
  <c r="K5019" i="1"/>
  <c r="K5020" i="1"/>
  <c r="K5021" i="1"/>
  <c r="K5022" i="1"/>
  <c r="Q5017" i="1"/>
  <c r="P5017" i="1" s="1"/>
  <c r="Q5018" i="1"/>
  <c r="P5018" i="1" s="1"/>
  <c r="Q5019" i="1"/>
  <c r="P5019" i="1" s="1"/>
  <c r="Q5020" i="1"/>
  <c r="P5020" i="1" s="1"/>
  <c r="Q5021" i="1"/>
  <c r="P5021" i="1" s="1"/>
  <c r="Q5022" i="1"/>
  <c r="P5022" i="1" s="1"/>
  <c r="B5016" i="1"/>
  <c r="H5016" i="1"/>
  <c r="J5016" i="1"/>
  <c r="K5016" i="1"/>
  <c r="Q5016" i="1"/>
  <c r="P5016" i="1" s="1"/>
  <c r="B5015" i="1"/>
  <c r="H5015" i="1"/>
  <c r="J5015" i="1"/>
  <c r="K5015" i="1"/>
  <c r="Q5015" i="1"/>
  <c r="P5015" i="1" s="1"/>
  <c r="B5014" i="1"/>
  <c r="H5014" i="1"/>
  <c r="J5014" i="1"/>
  <c r="K5014" i="1"/>
  <c r="Q5014" i="1"/>
  <c r="P5014" i="1" s="1"/>
  <c r="J4996" i="1"/>
  <c r="J4995" i="1"/>
  <c r="J4994" i="1"/>
  <c r="J4993" i="1"/>
  <c r="J4991" i="1"/>
  <c r="J4989" i="1"/>
  <c r="J4988" i="1"/>
  <c r="J5013" i="1"/>
  <c r="J5003" i="1"/>
  <c r="J5002" i="1"/>
  <c r="J5001" i="1"/>
  <c r="J5000" i="1"/>
  <c r="J4999" i="1"/>
  <c r="J4998" i="1"/>
  <c r="J4997" i="1"/>
  <c r="J4987" i="1"/>
  <c r="J4986" i="1"/>
  <c r="J4985" i="1"/>
  <c r="J4984" i="1"/>
  <c r="J4983" i="1"/>
  <c r="J4982" i="1"/>
  <c r="J4981" i="1"/>
  <c r="B5005" i="1"/>
  <c r="B5006" i="1"/>
  <c r="B5007" i="1"/>
  <c r="B5008" i="1"/>
  <c r="B5009" i="1"/>
  <c r="B5010" i="1"/>
  <c r="B5011" i="1"/>
  <c r="B5012" i="1"/>
  <c r="B5013" i="1"/>
  <c r="H5005" i="1"/>
  <c r="H5006" i="1"/>
  <c r="H5007" i="1"/>
  <c r="H5008" i="1"/>
  <c r="H5009" i="1"/>
  <c r="H5010" i="1"/>
  <c r="H5011" i="1"/>
  <c r="H5012" i="1"/>
  <c r="H5013" i="1"/>
  <c r="J5007" i="1"/>
  <c r="J5008" i="1"/>
  <c r="J5009" i="1"/>
  <c r="J5011" i="1"/>
  <c r="J5012" i="1"/>
  <c r="K5005" i="1"/>
  <c r="K5006" i="1"/>
  <c r="K5007" i="1"/>
  <c r="K5008" i="1"/>
  <c r="K5009" i="1"/>
  <c r="K5010" i="1"/>
  <c r="K5011" i="1"/>
  <c r="K5012" i="1"/>
  <c r="K5013" i="1"/>
  <c r="Q5005" i="1"/>
  <c r="P5005" i="1" s="1"/>
  <c r="Q5006" i="1"/>
  <c r="P5006" i="1" s="1"/>
  <c r="Q5007" i="1"/>
  <c r="P5007" i="1" s="1"/>
  <c r="Q5008" i="1"/>
  <c r="P5008" i="1" s="1"/>
  <c r="Q5009" i="1"/>
  <c r="P5009" i="1" s="1"/>
  <c r="Q5010" i="1"/>
  <c r="P5010" i="1" s="1"/>
  <c r="Q5011" i="1"/>
  <c r="P5011" i="1" s="1"/>
  <c r="Q5012" i="1"/>
  <c r="P5012" i="1" s="1"/>
  <c r="Q5013" i="1"/>
  <c r="P5013" i="1" s="1"/>
  <c r="B5004" i="1"/>
  <c r="H5004" i="1"/>
  <c r="K5004" i="1"/>
  <c r="Q5004" i="1"/>
  <c r="P5004" i="1" s="1"/>
  <c r="B5003" i="1"/>
  <c r="H5003" i="1"/>
  <c r="K5003" i="1"/>
  <c r="Q5003" i="1"/>
  <c r="P5003" i="1" s="1"/>
  <c r="B4982" i="1"/>
  <c r="B4983" i="1"/>
  <c r="B4984" i="1"/>
  <c r="B4985" i="1"/>
  <c r="B4986" i="1"/>
  <c r="B4987" i="1"/>
  <c r="B4988" i="1"/>
  <c r="B4989" i="1"/>
  <c r="B4990" i="1"/>
  <c r="B4991" i="1"/>
  <c r="B4992" i="1"/>
  <c r="B4993" i="1"/>
  <c r="B4994" i="1"/>
  <c r="B4995" i="1"/>
  <c r="B4996" i="1"/>
  <c r="B4997" i="1"/>
  <c r="B4998" i="1"/>
  <c r="B4999" i="1"/>
  <c r="B5000" i="1"/>
  <c r="B5001" i="1"/>
  <c r="B5002" i="1"/>
  <c r="H4982" i="1"/>
  <c r="H4983" i="1"/>
  <c r="H4984" i="1"/>
  <c r="H4985" i="1"/>
  <c r="H4986" i="1"/>
  <c r="H4987" i="1"/>
  <c r="H4988" i="1"/>
  <c r="H4989" i="1"/>
  <c r="H4990" i="1"/>
  <c r="H4991" i="1"/>
  <c r="H4992" i="1"/>
  <c r="H4993" i="1"/>
  <c r="H4994" i="1"/>
  <c r="H4995" i="1"/>
  <c r="H4996" i="1"/>
  <c r="H4997" i="1"/>
  <c r="H4998" i="1"/>
  <c r="H4999" i="1"/>
  <c r="H5000" i="1"/>
  <c r="H5001" i="1"/>
  <c r="H5002" i="1"/>
  <c r="J4990" i="1"/>
  <c r="J4992" i="1"/>
  <c r="K4982" i="1"/>
  <c r="K4983" i="1"/>
  <c r="K4984" i="1"/>
  <c r="K4985" i="1"/>
  <c r="K4986" i="1"/>
  <c r="K4987" i="1"/>
  <c r="K4988" i="1"/>
  <c r="K4989" i="1"/>
  <c r="K4990" i="1"/>
  <c r="K4991" i="1"/>
  <c r="K4992" i="1"/>
  <c r="K4993" i="1"/>
  <c r="K4994" i="1"/>
  <c r="K4995" i="1"/>
  <c r="K4996" i="1"/>
  <c r="K4997" i="1"/>
  <c r="K4998" i="1"/>
  <c r="K4999" i="1"/>
  <c r="K5000" i="1"/>
  <c r="K5001" i="1"/>
  <c r="K5002" i="1"/>
  <c r="Q4982" i="1"/>
  <c r="P4982" i="1" s="1"/>
  <c r="Q4983" i="1"/>
  <c r="P4983" i="1" s="1"/>
  <c r="Q4984" i="1"/>
  <c r="P4984" i="1" s="1"/>
  <c r="Q4985" i="1"/>
  <c r="P4985" i="1" s="1"/>
  <c r="Q4986" i="1"/>
  <c r="P4986" i="1" s="1"/>
  <c r="Q4987" i="1"/>
  <c r="P4987" i="1" s="1"/>
  <c r="Q4988" i="1"/>
  <c r="P4988" i="1" s="1"/>
  <c r="Q4989" i="1"/>
  <c r="P4989" i="1" s="1"/>
  <c r="Q4990" i="1"/>
  <c r="P4990" i="1" s="1"/>
  <c r="Q4991" i="1"/>
  <c r="P4991" i="1" s="1"/>
  <c r="Q4992" i="1"/>
  <c r="P4992" i="1" s="1"/>
  <c r="Q4993" i="1"/>
  <c r="P4993" i="1" s="1"/>
  <c r="Q4994" i="1"/>
  <c r="P4994" i="1" s="1"/>
  <c r="Q4995" i="1"/>
  <c r="P4995" i="1" s="1"/>
  <c r="Q4996" i="1"/>
  <c r="P4996" i="1" s="1"/>
  <c r="Q4997" i="1"/>
  <c r="P4997" i="1" s="1"/>
  <c r="Q4998" i="1"/>
  <c r="P4998" i="1" s="1"/>
  <c r="Q4999" i="1"/>
  <c r="P4999" i="1" s="1"/>
  <c r="Q5000" i="1"/>
  <c r="P5000" i="1" s="1"/>
  <c r="Q5001" i="1"/>
  <c r="P5001" i="1" s="1"/>
  <c r="Q5002" i="1"/>
  <c r="P5002" i="1" s="1"/>
  <c r="B4981" i="1"/>
  <c r="H4981" i="1"/>
  <c r="K4981" i="1"/>
  <c r="Q4981" i="1"/>
  <c r="P4981" i="1" s="1"/>
  <c r="B4980" i="1"/>
  <c r="H4980" i="1"/>
  <c r="J4980" i="1"/>
  <c r="K4980" i="1"/>
  <c r="Q4980" i="1"/>
  <c r="P4980" i="1" s="1"/>
  <c r="J5004" i="1"/>
  <c r="J5005" i="1"/>
  <c r="J5006" i="1"/>
  <c r="J5010" i="1"/>
  <c r="B4977" i="1"/>
  <c r="B4978" i="1"/>
  <c r="B4979" i="1"/>
  <c r="H4977" i="1"/>
  <c r="H4978" i="1"/>
  <c r="H4979" i="1"/>
  <c r="J4977" i="1"/>
  <c r="J4978" i="1"/>
  <c r="J4979" i="1"/>
  <c r="K4977" i="1"/>
  <c r="K4978" i="1"/>
  <c r="K4979" i="1"/>
  <c r="Q4977" i="1"/>
  <c r="P4977" i="1" s="1"/>
  <c r="Q4978" i="1"/>
  <c r="P4978" i="1" s="1"/>
  <c r="Q4979" i="1"/>
  <c r="P4979" i="1" s="1"/>
  <c r="B4976" i="1"/>
  <c r="H4976" i="1"/>
  <c r="J4976" i="1"/>
  <c r="K4976" i="1"/>
  <c r="Q4976" i="1"/>
  <c r="P4976" i="1" s="1"/>
  <c r="B4975" i="1"/>
  <c r="H4975" i="1"/>
  <c r="J4975" i="1"/>
  <c r="K4975" i="1"/>
  <c r="Q4975" i="1"/>
  <c r="P4975" i="1" s="1"/>
  <c r="B4832" i="1"/>
  <c r="B4833" i="1"/>
  <c r="B4834" i="1"/>
  <c r="B4835" i="1"/>
  <c r="B4836" i="1"/>
  <c r="B4837" i="1"/>
  <c r="B4838" i="1"/>
  <c r="B4839" i="1"/>
  <c r="B4840" i="1"/>
  <c r="B4841" i="1"/>
  <c r="B4842" i="1"/>
  <c r="B4843" i="1"/>
  <c r="B4844" i="1"/>
  <c r="B4845" i="1"/>
  <c r="B4846" i="1"/>
  <c r="B4847" i="1"/>
  <c r="B4848" i="1"/>
  <c r="B4849" i="1"/>
  <c r="B4850" i="1"/>
  <c r="B4851" i="1"/>
  <c r="B4852" i="1"/>
  <c r="B4853" i="1"/>
  <c r="B4854" i="1"/>
  <c r="B4855" i="1"/>
  <c r="B4856" i="1"/>
  <c r="B4857" i="1"/>
  <c r="B4858" i="1"/>
  <c r="B4859" i="1"/>
  <c r="B4860" i="1"/>
  <c r="B4861" i="1"/>
  <c r="B4862" i="1"/>
  <c r="B4863" i="1"/>
  <c r="B4864" i="1"/>
  <c r="B4865" i="1"/>
  <c r="B4866" i="1"/>
  <c r="B4867" i="1"/>
  <c r="B4868" i="1"/>
  <c r="B4869" i="1"/>
  <c r="B4870" i="1"/>
  <c r="B4871" i="1"/>
  <c r="B4872" i="1"/>
  <c r="B4873" i="1"/>
  <c r="B4874" i="1"/>
  <c r="B4875" i="1"/>
  <c r="B4876" i="1"/>
  <c r="B4877" i="1"/>
  <c r="B4878" i="1"/>
  <c r="B4879" i="1"/>
  <c r="B4880" i="1"/>
  <c r="B4881" i="1"/>
  <c r="B4882" i="1"/>
  <c r="B4883" i="1"/>
  <c r="B4884" i="1"/>
  <c r="B4885" i="1"/>
  <c r="B4886" i="1"/>
  <c r="B4887" i="1"/>
  <c r="B4888" i="1"/>
  <c r="B4889" i="1"/>
  <c r="B4890" i="1"/>
  <c r="B4891" i="1"/>
  <c r="B4892" i="1"/>
  <c r="B4893" i="1"/>
  <c r="B4894" i="1"/>
  <c r="B4895" i="1"/>
  <c r="B4896" i="1"/>
  <c r="B4897" i="1"/>
  <c r="B4898" i="1"/>
  <c r="B4899" i="1"/>
  <c r="B4900" i="1"/>
  <c r="B4901" i="1"/>
  <c r="B4902" i="1"/>
  <c r="B4903" i="1"/>
  <c r="B4904" i="1"/>
  <c r="B4905" i="1"/>
  <c r="B4906" i="1"/>
  <c r="B4907" i="1"/>
  <c r="B4908" i="1"/>
  <c r="B4909" i="1"/>
  <c r="B4910" i="1"/>
  <c r="B4911" i="1"/>
  <c r="B4912" i="1"/>
  <c r="B4913" i="1"/>
  <c r="B4914" i="1"/>
  <c r="B4915" i="1"/>
  <c r="B4916" i="1"/>
  <c r="B4917" i="1"/>
  <c r="B4918" i="1"/>
  <c r="B4919" i="1"/>
  <c r="B4920" i="1"/>
  <c r="B4921" i="1"/>
  <c r="B4922" i="1"/>
  <c r="B4923" i="1"/>
  <c r="B4924" i="1"/>
  <c r="B4925" i="1"/>
  <c r="B4926" i="1"/>
  <c r="B4927" i="1"/>
  <c r="B4928" i="1"/>
  <c r="B4929" i="1"/>
  <c r="B4930" i="1"/>
  <c r="B4931" i="1"/>
  <c r="B4932" i="1"/>
  <c r="B4933" i="1"/>
  <c r="B4934" i="1"/>
  <c r="B4935" i="1"/>
  <c r="B4936" i="1"/>
  <c r="B4937" i="1"/>
  <c r="B4938" i="1"/>
  <c r="B4939" i="1"/>
  <c r="B4940" i="1"/>
  <c r="B4941" i="1"/>
  <c r="B4942" i="1"/>
  <c r="B4943" i="1"/>
  <c r="B4944" i="1"/>
  <c r="B4945" i="1"/>
  <c r="B4946" i="1"/>
  <c r="B4947" i="1"/>
  <c r="B4948" i="1"/>
  <c r="B4949" i="1"/>
  <c r="B4950" i="1"/>
  <c r="B4951" i="1"/>
  <c r="B4952" i="1"/>
  <c r="B4953" i="1"/>
  <c r="B4954" i="1"/>
  <c r="B4955" i="1"/>
  <c r="B4956" i="1"/>
  <c r="B4957" i="1"/>
  <c r="B4958" i="1"/>
  <c r="B4959" i="1"/>
  <c r="B4960" i="1"/>
  <c r="B4961" i="1"/>
  <c r="B4962" i="1"/>
  <c r="B4963" i="1"/>
  <c r="B4964" i="1"/>
  <c r="B4965" i="1"/>
  <c r="B4966" i="1"/>
  <c r="B4967" i="1"/>
  <c r="B4968" i="1"/>
  <c r="B4969" i="1"/>
  <c r="B4970" i="1"/>
  <c r="B4971" i="1"/>
  <c r="B4972" i="1"/>
  <c r="B4973" i="1"/>
  <c r="B4974" i="1"/>
  <c r="H4832" i="1"/>
  <c r="H4833" i="1"/>
  <c r="H4834" i="1"/>
  <c r="H4835" i="1"/>
  <c r="H4836" i="1"/>
  <c r="H4837" i="1"/>
  <c r="H4838" i="1"/>
  <c r="H4839" i="1"/>
  <c r="H4840" i="1"/>
  <c r="H4841" i="1"/>
  <c r="H4842" i="1"/>
  <c r="H4843" i="1"/>
  <c r="H4844" i="1"/>
  <c r="H4845" i="1"/>
  <c r="H4846" i="1"/>
  <c r="H4847" i="1"/>
  <c r="H4848" i="1"/>
  <c r="H4849" i="1"/>
  <c r="H4850" i="1"/>
  <c r="H4851" i="1"/>
  <c r="H4852" i="1"/>
  <c r="H4853" i="1"/>
  <c r="H4854" i="1"/>
  <c r="H4855" i="1"/>
  <c r="H4856" i="1"/>
  <c r="H4857" i="1"/>
  <c r="H4858" i="1"/>
  <c r="H4859" i="1"/>
  <c r="H4860" i="1"/>
  <c r="H4861" i="1"/>
  <c r="H4862" i="1"/>
  <c r="H4863" i="1"/>
  <c r="H4864" i="1"/>
  <c r="H4865" i="1"/>
  <c r="H4866" i="1"/>
  <c r="H4867" i="1"/>
  <c r="H4868" i="1"/>
  <c r="H4869" i="1"/>
  <c r="H4870" i="1"/>
  <c r="H4871" i="1"/>
  <c r="H4872" i="1"/>
  <c r="H4873" i="1"/>
  <c r="H4874" i="1"/>
  <c r="H4875" i="1"/>
  <c r="H4876" i="1"/>
  <c r="H4877" i="1"/>
  <c r="H4878" i="1"/>
  <c r="H4879" i="1"/>
  <c r="H4880" i="1"/>
  <c r="H4881" i="1"/>
  <c r="H4882" i="1"/>
  <c r="H4883" i="1"/>
  <c r="H4884" i="1"/>
  <c r="H4885" i="1"/>
  <c r="H4886" i="1"/>
  <c r="H4887" i="1"/>
  <c r="H4888" i="1"/>
  <c r="H4889" i="1"/>
  <c r="H4890" i="1"/>
  <c r="H4891" i="1"/>
  <c r="H4892" i="1"/>
  <c r="H4893" i="1"/>
  <c r="H4894" i="1"/>
  <c r="H4895" i="1"/>
  <c r="H4896" i="1"/>
  <c r="H4897" i="1"/>
  <c r="H4898" i="1"/>
  <c r="H4899" i="1"/>
  <c r="H4900" i="1"/>
  <c r="H4901" i="1"/>
  <c r="H4902" i="1"/>
  <c r="H4903" i="1"/>
  <c r="H4904" i="1"/>
  <c r="H4905" i="1"/>
  <c r="H4906" i="1"/>
  <c r="H4907" i="1"/>
  <c r="H4908" i="1"/>
  <c r="H4909" i="1"/>
  <c r="H4910" i="1"/>
  <c r="H4911" i="1"/>
  <c r="H4912" i="1"/>
  <c r="H4913" i="1"/>
  <c r="H4914" i="1"/>
  <c r="H4915" i="1"/>
  <c r="H4916" i="1"/>
  <c r="H4917" i="1"/>
  <c r="H4918" i="1"/>
  <c r="H4919" i="1"/>
  <c r="H4920" i="1"/>
  <c r="H4921" i="1"/>
  <c r="H4922" i="1"/>
  <c r="H4923" i="1"/>
  <c r="H4924" i="1"/>
  <c r="H4925" i="1"/>
  <c r="H4926" i="1"/>
  <c r="H4927" i="1"/>
  <c r="H4928" i="1"/>
  <c r="H4929" i="1"/>
  <c r="H4930" i="1"/>
  <c r="H4931" i="1"/>
  <c r="H4932" i="1"/>
  <c r="H4933" i="1"/>
  <c r="H4934" i="1"/>
  <c r="H4935" i="1"/>
  <c r="H4936" i="1"/>
  <c r="H4937" i="1"/>
  <c r="H4938" i="1"/>
  <c r="H4939" i="1"/>
  <c r="H4940" i="1"/>
  <c r="H4941" i="1"/>
  <c r="H4942" i="1"/>
  <c r="H4943" i="1"/>
  <c r="H4944" i="1"/>
  <c r="H4945" i="1"/>
  <c r="H4946" i="1"/>
  <c r="H4947" i="1"/>
  <c r="H4948" i="1"/>
  <c r="H4949" i="1"/>
  <c r="H4950" i="1"/>
  <c r="H4951" i="1"/>
  <c r="H4952" i="1"/>
  <c r="H4953" i="1"/>
  <c r="H4954" i="1"/>
  <c r="H4955" i="1"/>
  <c r="H4956" i="1"/>
  <c r="H4957" i="1"/>
  <c r="H4958" i="1"/>
  <c r="H4959" i="1"/>
  <c r="H4960" i="1"/>
  <c r="H4961" i="1"/>
  <c r="H4962" i="1"/>
  <c r="H4963" i="1"/>
  <c r="H4964" i="1"/>
  <c r="H4965" i="1"/>
  <c r="H4966" i="1"/>
  <c r="H4967" i="1"/>
  <c r="H4968" i="1"/>
  <c r="H4969" i="1"/>
  <c r="H4970" i="1"/>
  <c r="H4971" i="1"/>
  <c r="H4972" i="1"/>
  <c r="H4973" i="1"/>
  <c r="H4974" i="1"/>
  <c r="J4832" i="1"/>
  <c r="J4833" i="1"/>
  <c r="J4834" i="1"/>
  <c r="J4835" i="1"/>
  <c r="J4836" i="1"/>
  <c r="J4837" i="1"/>
  <c r="J4838" i="1"/>
  <c r="J4839" i="1"/>
  <c r="J4840" i="1"/>
  <c r="J4841" i="1"/>
  <c r="J4842" i="1"/>
  <c r="J4843" i="1"/>
  <c r="J4844" i="1"/>
  <c r="J4845" i="1"/>
  <c r="J4846" i="1"/>
  <c r="J4847" i="1"/>
  <c r="J4848" i="1"/>
  <c r="J4849" i="1"/>
  <c r="J4850" i="1"/>
  <c r="J4851" i="1"/>
  <c r="J4852" i="1"/>
  <c r="J4853" i="1"/>
  <c r="J4854" i="1"/>
  <c r="J4855" i="1"/>
  <c r="J4856" i="1"/>
  <c r="J4857" i="1"/>
  <c r="J4858" i="1"/>
  <c r="J4859" i="1"/>
  <c r="J4860" i="1"/>
  <c r="J4861" i="1"/>
  <c r="J4862" i="1"/>
  <c r="J4863" i="1"/>
  <c r="J4864" i="1"/>
  <c r="J4865" i="1"/>
  <c r="J4866" i="1"/>
  <c r="J4867" i="1"/>
  <c r="J4868" i="1"/>
  <c r="J4869" i="1"/>
  <c r="J4870" i="1"/>
  <c r="J4871" i="1"/>
  <c r="J4872" i="1"/>
  <c r="J4873" i="1"/>
  <c r="J4874" i="1"/>
  <c r="J4875" i="1"/>
  <c r="J4876" i="1"/>
  <c r="J4877" i="1"/>
  <c r="J4878" i="1"/>
  <c r="J4879" i="1"/>
  <c r="J4880" i="1"/>
  <c r="J4881" i="1"/>
  <c r="J4882" i="1"/>
  <c r="J4883" i="1"/>
  <c r="J4884" i="1"/>
  <c r="J4885" i="1"/>
  <c r="J4886" i="1"/>
  <c r="J4887" i="1"/>
  <c r="J4888" i="1"/>
  <c r="J4889" i="1"/>
  <c r="J4890" i="1"/>
  <c r="J4891" i="1"/>
  <c r="J4892" i="1"/>
  <c r="J4893" i="1"/>
  <c r="J4894" i="1"/>
  <c r="J4895" i="1"/>
  <c r="J4896" i="1"/>
  <c r="J4897" i="1"/>
  <c r="J4898" i="1"/>
  <c r="J4899" i="1"/>
  <c r="J4900" i="1"/>
  <c r="J4901" i="1"/>
  <c r="J4902" i="1"/>
  <c r="J4903" i="1"/>
  <c r="J4904" i="1"/>
  <c r="J4905" i="1"/>
  <c r="J4906" i="1"/>
  <c r="J4907" i="1"/>
  <c r="J4908" i="1"/>
  <c r="J4909" i="1"/>
  <c r="J4910" i="1"/>
  <c r="J4911" i="1"/>
  <c r="J4912" i="1"/>
  <c r="J4913" i="1"/>
  <c r="J4914" i="1"/>
  <c r="J4915" i="1"/>
  <c r="J4916" i="1"/>
  <c r="J4917" i="1"/>
  <c r="J4918" i="1"/>
  <c r="J4919" i="1"/>
  <c r="J4920" i="1"/>
  <c r="J4921" i="1"/>
  <c r="J4922" i="1"/>
  <c r="J4923" i="1"/>
  <c r="J4924" i="1"/>
  <c r="J4925" i="1"/>
  <c r="J4926" i="1"/>
  <c r="J4927" i="1"/>
  <c r="J4928" i="1"/>
  <c r="J4929" i="1"/>
  <c r="J4930" i="1"/>
  <c r="J4931" i="1"/>
  <c r="J4932" i="1"/>
  <c r="J4933" i="1"/>
  <c r="J4934" i="1"/>
  <c r="J4935" i="1"/>
  <c r="J4936" i="1"/>
  <c r="J4937" i="1"/>
  <c r="J4938" i="1"/>
  <c r="J4939" i="1"/>
  <c r="J4940" i="1"/>
  <c r="J4941" i="1"/>
  <c r="J4942" i="1"/>
  <c r="J4943" i="1"/>
  <c r="J4944" i="1"/>
  <c r="J4945" i="1"/>
  <c r="J4946" i="1"/>
  <c r="J4947" i="1"/>
  <c r="J4948" i="1"/>
  <c r="J4949" i="1"/>
  <c r="J4950" i="1"/>
  <c r="J4951" i="1"/>
  <c r="J4952" i="1"/>
  <c r="J4953" i="1"/>
  <c r="J4954" i="1"/>
  <c r="J4955" i="1"/>
  <c r="J4956" i="1"/>
  <c r="J4957" i="1"/>
  <c r="J4958" i="1"/>
  <c r="J4959" i="1"/>
  <c r="J4960" i="1"/>
  <c r="J4961" i="1"/>
  <c r="J4962" i="1"/>
  <c r="J4963" i="1"/>
  <c r="J4964" i="1"/>
  <c r="J4965" i="1"/>
  <c r="J4966" i="1"/>
  <c r="J4967" i="1"/>
  <c r="J4968" i="1"/>
  <c r="J4969" i="1"/>
  <c r="J4970" i="1"/>
  <c r="J4971" i="1"/>
  <c r="J4972" i="1"/>
  <c r="J4973" i="1"/>
  <c r="J4974" i="1"/>
  <c r="K4832" i="1"/>
  <c r="K4833" i="1"/>
  <c r="K4834" i="1"/>
  <c r="K4835" i="1"/>
  <c r="K4836" i="1"/>
  <c r="K4837" i="1"/>
  <c r="K4838" i="1"/>
  <c r="K4839" i="1"/>
  <c r="K4840" i="1"/>
  <c r="K4841" i="1"/>
  <c r="K4842" i="1"/>
  <c r="K4843" i="1"/>
  <c r="K4844" i="1"/>
  <c r="K4845" i="1"/>
  <c r="K4846" i="1"/>
  <c r="K4847" i="1"/>
  <c r="K4848" i="1"/>
  <c r="K4849" i="1"/>
  <c r="K4850" i="1"/>
  <c r="K4851" i="1"/>
  <c r="K4852" i="1"/>
  <c r="K4853" i="1"/>
  <c r="K4854" i="1"/>
  <c r="K4855" i="1"/>
  <c r="K4856" i="1"/>
  <c r="K4857" i="1"/>
  <c r="K4858" i="1"/>
  <c r="K4859" i="1"/>
  <c r="K4860" i="1"/>
  <c r="K4861" i="1"/>
  <c r="K4862" i="1"/>
  <c r="K4863" i="1"/>
  <c r="K4864" i="1"/>
  <c r="K4865" i="1"/>
  <c r="K4866" i="1"/>
  <c r="K4867" i="1"/>
  <c r="K4868" i="1"/>
  <c r="K4869" i="1"/>
  <c r="K4870" i="1"/>
  <c r="K4871" i="1"/>
  <c r="K4872" i="1"/>
  <c r="K4873" i="1"/>
  <c r="K4874" i="1"/>
  <c r="K4875" i="1"/>
  <c r="K4876" i="1"/>
  <c r="K4877" i="1"/>
  <c r="K4878" i="1"/>
  <c r="K4879" i="1"/>
  <c r="K4880" i="1"/>
  <c r="K4881" i="1"/>
  <c r="K4882" i="1"/>
  <c r="K4883" i="1"/>
  <c r="K4884" i="1"/>
  <c r="K4885" i="1"/>
  <c r="K4886" i="1"/>
  <c r="K4887" i="1"/>
  <c r="K4888" i="1"/>
  <c r="K4889" i="1"/>
  <c r="K4890" i="1"/>
  <c r="K4891" i="1"/>
  <c r="K4892" i="1"/>
  <c r="K4893" i="1"/>
  <c r="K4894" i="1"/>
  <c r="K4895" i="1"/>
  <c r="K4896" i="1"/>
  <c r="K4897" i="1"/>
  <c r="K4898" i="1"/>
  <c r="K4899" i="1"/>
  <c r="K4900" i="1"/>
  <c r="K4901" i="1"/>
  <c r="K4902" i="1"/>
  <c r="K4903" i="1"/>
  <c r="K4904" i="1"/>
  <c r="K4905" i="1"/>
  <c r="K4906" i="1"/>
  <c r="K4907" i="1"/>
  <c r="K4908" i="1"/>
  <c r="K4909" i="1"/>
  <c r="K4910" i="1"/>
  <c r="K4911" i="1"/>
  <c r="K4912" i="1"/>
  <c r="K4913" i="1"/>
  <c r="K4914" i="1"/>
  <c r="K4915" i="1"/>
  <c r="K4916" i="1"/>
  <c r="K4917" i="1"/>
  <c r="K4918" i="1"/>
  <c r="K4919" i="1"/>
  <c r="K4920" i="1"/>
  <c r="K4921" i="1"/>
  <c r="K4922" i="1"/>
  <c r="K4923" i="1"/>
  <c r="K4924" i="1"/>
  <c r="K4925" i="1"/>
  <c r="K4926" i="1"/>
  <c r="K4927" i="1"/>
  <c r="K4928" i="1"/>
  <c r="K4929" i="1"/>
  <c r="K4930" i="1"/>
  <c r="K4931" i="1"/>
  <c r="K4932" i="1"/>
  <c r="K4933" i="1"/>
  <c r="K4934" i="1"/>
  <c r="K4935" i="1"/>
  <c r="K4936" i="1"/>
  <c r="K4937" i="1"/>
  <c r="K4938" i="1"/>
  <c r="K4939" i="1"/>
  <c r="K4940" i="1"/>
  <c r="K4941" i="1"/>
  <c r="K4942" i="1"/>
  <c r="K4943" i="1"/>
  <c r="K4944" i="1"/>
  <c r="K4945" i="1"/>
  <c r="K4946" i="1"/>
  <c r="K4947" i="1"/>
  <c r="K4948" i="1"/>
  <c r="K4949" i="1"/>
  <c r="K4950" i="1"/>
  <c r="K4951" i="1"/>
  <c r="K4952" i="1"/>
  <c r="K4953" i="1"/>
  <c r="K4954" i="1"/>
  <c r="K4955" i="1"/>
  <c r="K4956" i="1"/>
  <c r="K4957" i="1"/>
  <c r="K4958" i="1"/>
  <c r="K4959" i="1"/>
  <c r="K4960" i="1"/>
  <c r="K4961" i="1"/>
  <c r="K4962" i="1"/>
  <c r="K4963" i="1"/>
  <c r="K4964" i="1"/>
  <c r="K4965" i="1"/>
  <c r="K4966" i="1"/>
  <c r="K4967" i="1"/>
  <c r="K4968" i="1"/>
  <c r="K4969" i="1"/>
  <c r="K4970" i="1"/>
  <c r="K4971" i="1"/>
  <c r="K4972" i="1"/>
  <c r="K4973" i="1"/>
  <c r="K4974" i="1"/>
  <c r="Q4832" i="1"/>
  <c r="P4832" i="1" s="1"/>
  <c r="Q4833" i="1"/>
  <c r="P4833" i="1" s="1"/>
  <c r="Q4834" i="1"/>
  <c r="P4834" i="1" s="1"/>
  <c r="Q4835" i="1"/>
  <c r="P4835" i="1" s="1"/>
  <c r="Q4836" i="1"/>
  <c r="P4836" i="1" s="1"/>
  <c r="Q4837" i="1"/>
  <c r="P4837" i="1" s="1"/>
  <c r="Q4838" i="1"/>
  <c r="P4838" i="1" s="1"/>
  <c r="Q4839" i="1"/>
  <c r="P4839" i="1" s="1"/>
  <c r="Q4840" i="1"/>
  <c r="P4840" i="1" s="1"/>
  <c r="Q4841" i="1"/>
  <c r="P4841" i="1" s="1"/>
  <c r="Q4842" i="1"/>
  <c r="P4842" i="1" s="1"/>
  <c r="Q4843" i="1"/>
  <c r="P4843" i="1" s="1"/>
  <c r="Q4844" i="1"/>
  <c r="P4844" i="1" s="1"/>
  <c r="Q4845" i="1"/>
  <c r="P4845" i="1" s="1"/>
  <c r="Q4846" i="1"/>
  <c r="P4846" i="1" s="1"/>
  <c r="Q4847" i="1"/>
  <c r="P4847" i="1" s="1"/>
  <c r="Q4848" i="1"/>
  <c r="P4848" i="1" s="1"/>
  <c r="Q4849" i="1"/>
  <c r="P4849" i="1" s="1"/>
  <c r="Q4850" i="1"/>
  <c r="P4850" i="1" s="1"/>
  <c r="Q4851" i="1"/>
  <c r="P4851" i="1" s="1"/>
  <c r="Q4852" i="1"/>
  <c r="P4852" i="1" s="1"/>
  <c r="Q4853" i="1"/>
  <c r="P4853" i="1" s="1"/>
  <c r="Q4854" i="1"/>
  <c r="P4854" i="1" s="1"/>
  <c r="Q4855" i="1"/>
  <c r="P4855" i="1" s="1"/>
  <c r="Q4856" i="1"/>
  <c r="P4856" i="1" s="1"/>
  <c r="Q4857" i="1"/>
  <c r="P4857" i="1" s="1"/>
  <c r="Q4858" i="1"/>
  <c r="P4858" i="1" s="1"/>
  <c r="Q4859" i="1"/>
  <c r="P4859" i="1" s="1"/>
  <c r="Q4860" i="1"/>
  <c r="P4860" i="1" s="1"/>
  <c r="Q4861" i="1"/>
  <c r="P4861" i="1" s="1"/>
  <c r="Q4862" i="1"/>
  <c r="P4862" i="1" s="1"/>
  <c r="Q4863" i="1"/>
  <c r="P4863" i="1" s="1"/>
  <c r="Q4864" i="1"/>
  <c r="P4864" i="1" s="1"/>
  <c r="Q4865" i="1"/>
  <c r="P4865" i="1" s="1"/>
  <c r="Q4866" i="1"/>
  <c r="P4866" i="1" s="1"/>
  <c r="Q4867" i="1"/>
  <c r="P4867" i="1" s="1"/>
  <c r="Q4868" i="1"/>
  <c r="P4868" i="1" s="1"/>
  <c r="Q4869" i="1"/>
  <c r="P4869" i="1" s="1"/>
  <c r="Q4870" i="1"/>
  <c r="P4870" i="1" s="1"/>
  <c r="Q4871" i="1"/>
  <c r="P4871" i="1" s="1"/>
  <c r="Q4872" i="1"/>
  <c r="P4872" i="1" s="1"/>
  <c r="Q4873" i="1"/>
  <c r="P4873" i="1" s="1"/>
  <c r="Q4874" i="1"/>
  <c r="P4874" i="1" s="1"/>
  <c r="Q4875" i="1"/>
  <c r="P4875" i="1" s="1"/>
  <c r="Q4876" i="1"/>
  <c r="P4876" i="1" s="1"/>
  <c r="Q4877" i="1"/>
  <c r="P4877" i="1" s="1"/>
  <c r="Q4878" i="1"/>
  <c r="P4878" i="1" s="1"/>
  <c r="Q4879" i="1"/>
  <c r="P4879" i="1" s="1"/>
  <c r="Q4880" i="1"/>
  <c r="P4880" i="1" s="1"/>
  <c r="Q4881" i="1"/>
  <c r="P4881" i="1" s="1"/>
  <c r="Q4882" i="1"/>
  <c r="P4882" i="1" s="1"/>
  <c r="Q4883" i="1"/>
  <c r="P4883" i="1" s="1"/>
  <c r="Q4884" i="1"/>
  <c r="P4884" i="1" s="1"/>
  <c r="Q4885" i="1"/>
  <c r="P4885" i="1" s="1"/>
  <c r="Q4886" i="1"/>
  <c r="P4886" i="1" s="1"/>
  <c r="Q4887" i="1"/>
  <c r="P4887" i="1" s="1"/>
  <c r="Q4888" i="1"/>
  <c r="P4888" i="1" s="1"/>
  <c r="Q4889" i="1"/>
  <c r="P4889" i="1" s="1"/>
  <c r="Q4890" i="1"/>
  <c r="P4890" i="1" s="1"/>
  <c r="Q4891" i="1"/>
  <c r="P4891" i="1" s="1"/>
  <c r="Q4892" i="1"/>
  <c r="P4892" i="1" s="1"/>
  <c r="Q4893" i="1"/>
  <c r="P4893" i="1" s="1"/>
  <c r="Q4894" i="1"/>
  <c r="P4894" i="1" s="1"/>
  <c r="Q4895" i="1"/>
  <c r="P4895" i="1" s="1"/>
  <c r="Q4896" i="1"/>
  <c r="P4896" i="1" s="1"/>
  <c r="Q4897" i="1"/>
  <c r="P4897" i="1" s="1"/>
  <c r="Q4898" i="1"/>
  <c r="P4898" i="1" s="1"/>
  <c r="Q4899" i="1"/>
  <c r="P4899" i="1" s="1"/>
  <c r="Q4900" i="1"/>
  <c r="P4900" i="1" s="1"/>
  <c r="Q4901" i="1"/>
  <c r="P4901" i="1" s="1"/>
  <c r="Q4902" i="1"/>
  <c r="P4902" i="1" s="1"/>
  <c r="Q4903" i="1"/>
  <c r="P4903" i="1" s="1"/>
  <c r="Q4904" i="1"/>
  <c r="P4904" i="1" s="1"/>
  <c r="Q4905" i="1"/>
  <c r="P4905" i="1" s="1"/>
  <c r="Q4906" i="1"/>
  <c r="P4906" i="1" s="1"/>
  <c r="Q4907" i="1"/>
  <c r="P4907" i="1" s="1"/>
  <c r="Q4908" i="1"/>
  <c r="P4908" i="1" s="1"/>
  <c r="Q4909" i="1"/>
  <c r="P4909" i="1" s="1"/>
  <c r="Q4910" i="1"/>
  <c r="P4910" i="1" s="1"/>
  <c r="Q4911" i="1"/>
  <c r="P4911" i="1" s="1"/>
  <c r="Q4912" i="1"/>
  <c r="P4912" i="1" s="1"/>
  <c r="Q4913" i="1"/>
  <c r="P4913" i="1" s="1"/>
  <c r="Q4914" i="1"/>
  <c r="P4914" i="1" s="1"/>
  <c r="Q4915" i="1"/>
  <c r="P4915" i="1" s="1"/>
  <c r="Q4916" i="1"/>
  <c r="P4916" i="1" s="1"/>
  <c r="Q4917" i="1"/>
  <c r="P4917" i="1" s="1"/>
  <c r="Q4918" i="1"/>
  <c r="P4918" i="1" s="1"/>
  <c r="Q4919" i="1"/>
  <c r="P4919" i="1" s="1"/>
  <c r="Q4920" i="1"/>
  <c r="P4920" i="1" s="1"/>
  <c r="Q4921" i="1"/>
  <c r="P4921" i="1" s="1"/>
  <c r="Q4922" i="1"/>
  <c r="P4922" i="1" s="1"/>
  <c r="Q4923" i="1"/>
  <c r="P4923" i="1" s="1"/>
  <c r="Q4924" i="1"/>
  <c r="P4924" i="1" s="1"/>
  <c r="Q4925" i="1"/>
  <c r="P4925" i="1" s="1"/>
  <c r="Q4926" i="1"/>
  <c r="P4926" i="1" s="1"/>
  <c r="Q4927" i="1"/>
  <c r="P4927" i="1" s="1"/>
  <c r="Q4928" i="1"/>
  <c r="P4928" i="1" s="1"/>
  <c r="Q4929" i="1"/>
  <c r="P4929" i="1" s="1"/>
  <c r="Q4930" i="1"/>
  <c r="P4930" i="1" s="1"/>
  <c r="Q4931" i="1"/>
  <c r="P4931" i="1" s="1"/>
  <c r="Q4932" i="1"/>
  <c r="P4932" i="1" s="1"/>
  <c r="Q4933" i="1"/>
  <c r="P4933" i="1" s="1"/>
  <c r="Q4934" i="1"/>
  <c r="P4934" i="1" s="1"/>
  <c r="Q4935" i="1"/>
  <c r="P4935" i="1" s="1"/>
  <c r="Q4936" i="1"/>
  <c r="P4936" i="1" s="1"/>
  <c r="Q4937" i="1"/>
  <c r="P4937" i="1" s="1"/>
  <c r="Q4938" i="1"/>
  <c r="P4938" i="1" s="1"/>
  <c r="Q4939" i="1"/>
  <c r="P4939" i="1" s="1"/>
  <c r="Q4940" i="1"/>
  <c r="P4940" i="1" s="1"/>
  <c r="Q4941" i="1"/>
  <c r="P4941" i="1" s="1"/>
  <c r="Q4942" i="1"/>
  <c r="P4942" i="1" s="1"/>
  <c r="Q4943" i="1"/>
  <c r="P4943" i="1" s="1"/>
  <c r="Q4944" i="1"/>
  <c r="P4944" i="1" s="1"/>
  <c r="Q4945" i="1"/>
  <c r="P4945" i="1" s="1"/>
  <c r="Q4946" i="1"/>
  <c r="P4946" i="1" s="1"/>
  <c r="Q4947" i="1"/>
  <c r="P4947" i="1" s="1"/>
  <c r="Q4948" i="1"/>
  <c r="P4948" i="1" s="1"/>
  <c r="Q4949" i="1"/>
  <c r="P4949" i="1" s="1"/>
  <c r="Q4950" i="1"/>
  <c r="P4950" i="1" s="1"/>
  <c r="Q4951" i="1"/>
  <c r="P4951" i="1" s="1"/>
  <c r="Q4952" i="1"/>
  <c r="P4952" i="1" s="1"/>
  <c r="Q4953" i="1"/>
  <c r="P4953" i="1" s="1"/>
  <c r="Q4954" i="1"/>
  <c r="P4954" i="1" s="1"/>
  <c r="Q4955" i="1"/>
  <c r="P4955" i="1" s="1"/>
  <c r="Q4956" i="1"/>
  <c r="P4956" i="1" s="1"/>
  <c r="Q4957" i="1"/>
  <c r="P4957" i="1" s="1"/>
  <c r="Q4958" i="1"/>
  <c r="P4958" i="1" s="1"/>
  <c r="Q4959" i="1"/>
  <c r="P4959" i="1" s="1"/>
  <c r="Q4960" i="1"/>
  <c r="P4960" i="1" s="1"/>
  <c r="Q4961" i="1"/>
  <c r="P4961" i="1" s="1"/>
  <c r="Q4962" i="1"/>
  <c r="P4962" i="1" s="1"/>
  <c r="Q4963" i="1"/>
  <c r="P4963" i="1" s="1"/>
  <c r="Q4964" i="1"/>
  <c r="P4964" i="1" s="1"/>
  <c r="Q4965" i="1"/>
  <c r="P4965" i="1" s="1"/>
  <c r="Q4966" i="1"/>
  <c r="P4966" i="1" s="1"/>
  <c r="Q4967" i="1"/>
  <c r="P4967" i="1" s="1"/>
  <c r="Q4968" i="1"/>
  <c r="P4968" i="1" s="1"/>
  <c r="Q4969" i="1"/>
  <c r="P4969" i="1" s="1"/>
  <c r="Q4970" i="1"/>
  <c r="P4970" i="1" s="1"/>
  <c r="Q4971" i="1"/>
  <c r="P4971" i="1" s="1"/>
  <c r="Q4972" i="1"/>
  <c r="P4972" i="1" s="1"/>
  <c r="Q4973" i="1"/>
  <c r="P4973" i="1" s="1"/>
  <c r="Q4974" i="1"/>
  <c r="P4974" i="1" s="1"/>
  <c r="B4831" i="1"/>
  <c r="H4831" i="1"/>
  <c r="J4831" i="1"/>
  <c r="K4831" i="1"/>
  <c r="Q4831" i="1"/>
  <c r="P4831" i="1" s="1"/>
  <c r="B4830" i="1"/>
  <c r="H4830" i="1"/>
  <c r="J4830" i="1"/>
  <c r="K4830" i="1"/>
  <c r="Q4830" i="1"/>
  <c r="P4830" i="1" s="1"/>
  <c r="B4798" i="1"/>
  <c r="B4799" i="1"/>
  <c r="B4800" i="1"/>
  <c r="B4801" i="1"/>
  <c r="B4802" i="1"/>
  <c r="B4803" i="1"/>
  <c r="B4804" i="1"/>
  <c r="B4805" i="1"/>
  <c r="B4806" i="1"/>
  <c r="B4807" i="1"/>
  <c r="B4808" i="1"/>
  <c r="B4809" i="1"/>
  <c r="B4810" i="1"/>
  <c r="B4811" i="1"/>
  <c r="B4812" i="1"/>
  <c r="B4813" i="1"/>
  <c r="B4814" i="1"/>
  <c r="B4815" i="1"/>
  <c r="B4816" i="1"/>
  <c r="B4817" i="1"/>
  <c r="B4818" i="1"/>
  <c r="B4819" i="1"/>
  <c r="B4820" i="1"/>
  <c r="B4821" i="1"/>
  <c r="B4822" i="1"/>
  <c r="B4823" i="1"/>
  <c r="B4824" i="1"/>
  <c r="B4825" i="1"/>
  <c r="B4826" i="1"/>
  <c r="B4827" i="1"/>
  <c r="B4828" i="1"/>
  <c r="B4829" i="1"/>
  <c r="H4798" i="1"/>
  <c r="H4799" i="1"/>
  <c r="H4800" i="1"/>
  <c r="H4801" i="1"/>
  <c r="H4802" i="1"/>
  <c r="H4803" i="1"/>
  <c r="H4804" i="1"/>
  <c r="H4805" i="1"/>
  <c r="H4806" i="1"/>
  <c r="H4807" i="1"/>
  <c r="H4808" i="1"/>
  <c r="H4809" i="1"/>
  <c r="H4810" i="1"/>
  <c r="H4811" i="1"/>
  <c r="H4812" i="1"/>
  <c r="H4813" i="1"/>
  <c r="H4814" i="1"/>
  <c r="H4815" i="1"/>
  <c r="H4816" i="1"/>
  <c r="H4817" i="1"/>
  <c r="H4818" i="1"/>
  <c r="H4819" i="1"/>
  <c r="H4820" i="1"/>
  <c r="H4821" i="1"/>
  <c r="H4822" i="1"/>
  <c r="H4823" i="1"/>
  <c r="H4824" i="1"/>
  <c r="H4825" i="1"/>
  <c r="H4826" i="1"/>
  <c r="H4827" i="1"/>
  <c r="H4828" i="1"/>
  <c r="H4829" i="1"/>
  <c r="J4798" i="1"/>
  <c r="J4799" i="1"/>
  <c r="J4800" i="1"/>
  <c r="J4801" i="1"/>
  <c r="J4802" i="1"/>
  <c r="J4803" i="1"/>
  <c r="J4804" i="1"/>
  <c r="J4805" i="1"/>
  <c r="J4806" i="1"/>
  <c r="J4807" i="1"/>
  <c r="J4808" i="1"/>
  <c r="J4809" i="1"/>
  <c r="J4810" i="1"/>
  <c r="J4811" i="1"/>
  <c r="J4812" i="1"/>
  <c r="J4813" i="1"/>
  <c r="J4814" i="1"/>
  <c r="J4815" i="1"/>
  <c r="J4816" i="1"/>
  <c r="J4817" i="1"/>
  <c r="J4818" i="1"/>
  <c r="J4819" i="1"/>
  <c r="J4820" i="1"/>
  <c r="J4821" i="1"/>
  <c r="J4822" i="1"/>
  <c r="J4823" i="1"/>
  <c r="J4824" i="1"/>
  <c r="J4825" i="1"/>
  <c r="J4826" i="1"/>
  <c r="J4827" i="1"/>
  <c r="J4828" i="1"/>
  <c r="J4829" i="1"/>
  <c r="K4798" i="1"/>
  <c r="K4799" i="1"/>
  <c r="K4800" i="1"/>
  <c r="K4801" i="1"/>
  <c r="K4802" i="1"/>
  <c r="K4803" i="1"/>
  <c r="K4804" i="1"/>
  <c r="K4805" i="1"/>
  <c r="K4806" i="1"/>
  <c r="K4807" i="1"/>
  <c r="K4808" i="1"/>
  <c r="K4809" i="1"/>
  <c r="K4810" i="1"/>
  <c r="K4811" i="1"/>
  <c r="K4812" i="1"/>
  <c r="K4813" i="1"/>
  <c r="K4814" i="1"/>
  <c r="K4815" i="1"/>
  <c r="K4816" i="1"/>
  <c r="K4817" i="1"/>
  <c r="K4818" i="1"/>
  <c r="K4819" i="1"/>
  <c r="K4820" i="1"/>
  <c r="K4821" i="1"/>
  <c r="K4822" i="1"/>
  <c r="K4823" i="1"/>
  <c r="K4824" i="1"/>
  <c r="K4825" i="1"/>
  <c r="K4826" i="1"/>
  <c r="K4827" i="1"/>
  <c r="K4828" i="1"/>
  <c r="K4829" i="1"/>
  <c r="Q4798" i="1"/>
  <c r="P4798" i="1" s="1"/>
  <c r="Q4799" i="1"/>
  <c r="P4799" i="1" s="1"/>
  <c r="Q4800" i="1"/>
  <c r="P4800" i="1" s="1"/>
  <c r="Q4801" i="1"/>
  <c r="P4801" i="1" s="1"/>
  <c r="Q4802" i="1"/>
  <c r="P4802" i="1" s="1"/>
  <c r="Q4803" i="1"/>
  <c r="P4803" i="1" s="1"/>
  <c r="Q4804" i="1"/>
  <c r="P4804" i="1" s="1"/>
  <c r="Q4805" i="1"/>
  <c r="P4805" i="1" s="1"/>
  <c r="Q4806" i="1"/>
  <c r="P4806" i="1" s="1"/>
  <c r="Q4807" i="1"/>
  <c r="P4807" i="1" s="1"/>
  <c r="Q4808" i="1"/>
  <c r="P4808" i="1" s="1"/>
  <c r="Q4809" i="1"/>
  <c r="P4809" i="1" s="1"/>
  <c r="Q4810" i="1"/>
  <c r="P4810" i="1" s="1"/>
  <c r="Q4811" i="1"/>
  <c r="P4811" i="1" s="1"/>
  <c r="Q4812" i="1"/>
  <c r="P4812" i="1" s="1"/>
  <c r="Q4813" i="1"/>
  <c r="P4813" i="1" s="1"/>
  <c r="Q4814" i="1"/>
  <c r="P4814" i="1" s="1"/>
  <c r="Q4815" i="1"/>
  <c r="P4815" i="1" s="1"/>
  <c r="Q4816" i="1"/>
  <c r="P4816" i="1" s="1"/>
  <c r="Q4817" i="1"/>
  <c r="P4817" i="1" s="1"/>
  <c r="Q4818" i="1"/>
  <c r="P4818" i="1" s="1"/>
  <c r="Q4819" i="1"/>
  <c r="P4819" i="1" s="1"/>
  <c r="Q4820" i="1"/>
  <c r="P4820" i="1" s="1"/>
  <c r="Q4821" i="1"/>
  <c r="P4821" i="1" s="1"/>
  <c r="Q4822" i="1"/>
  <c r="P4822" i="1" s="1"/>
  <c r="Q4823" i="1"/>
  <c r="P4823" i="1" s="1"/>
  <c r="Q4824" i="1"/>
  <c r="P4824" i="1" s="1"/>
  <c r="Q4825" i="1"/>
  <c r="P4825" i="1" s="1"/>
  <c r="Q4826" i="1"/>
  <c r="P4826" i="1" s="1"/>
  <c r="Q4827" i="1"/>
  <c r="P4827" i="1" s="1"/>
  <c r="Q4828" i="1"/>
  <c r="P4828" i="1" s="1"/>
  <c r="Q4829" i="1"/>
  <c r="P4829" i="1" s="1"/>
  <c r="B4797" i="1"/>
  <c r="H4797" i="1"/>
  <c r="J4797" i="1"/>
  <c r="K4797" i="1"/>
  <c r="Q4797" i="1"/>
  <c r="P4797" i="1" s="1"/>
  <c r="B4796" i="1"/>
  <c r="H4796" i="1"/>
  <c r="J4796" i="1"/>
  <c r="K4796" i="1"/>
  <c r="Q4796" i="1"/>
  <c r="P4796" i="1" s="1"/>
  <c r="B4795" i="1"/>
  <c r="H4795" i="1"/>
  <c r="J4795" i="1"/>
  <c r="K4795" i="1"/>
  <c r="Q4795" i="1"/>
  <c r="P4795" i="1" s="1"/>
  <c r="B4792" i="1"/>
  <c r="B4793" i="1"/>
  <c r="B4794" i="1"/>
  <c r="H4792" i="1"/>
  <c r="H4793" i="1"/>
  <c r="H4794" i="1"/>
  <c r="J4792" i="1"/>
  <c r="J4793" i="1"/>
  <c r="J4794" i="1"/>
  <c r="K4792" i="1"/>
  <c r="K4793" i="1"/>
  <c r="K4794" i="1"/>
  <c r="Q4792" i="1"/>
  <c r="P4792" i="1" s="1"/>
  <c r="Q4793" i="1"/>
  <c r="P4793" i="1" s="1"/>
  <c r="Q4794" i="1"/>
  <c r="P4794" i="1" s="1"/>
  <c r="B4791" i="1"/>
  <c r="H4791" i="1"/>
  <c r="J4791" i="1"/>
  <c r="K4791" i="1"/>
  <c r="Q4791" i="1"/>
  <c r="P4791" i="1" s="1"/>
  <c r="B4790" i="1"/>
  <c r="H4790" i="1"/>
  <c r="J4790" i="1"/>
  <c r="K4790" i="1"/>
  <c r="Q4790" i="1"/>
  <c r="P4790" i="1" s="1"/>
  <c r="B4789" i="1"/>
  <c r="H4789" i="1"/>
  <c r="J4789" i="1"/>
  <c r="K4789" i="1"/>
  <c r="Q4789" i="1"/>
  <c r="P4789" i="1" s="1"/>
  <c r="B4788" i="1"/>
  <c r="H4788" i="1"/>
  <c r="J4788" i="1"/>
  <c r="K4788" i="1"/>
  <c r="Q4788" i="1"/>
  <c r="P4788" i="1" s="1"/>
  <c r="B4787" i="1"/>
  <c r="H4787" i="1"/>
  <c r="J4787" i="1"/>
  <c r="K4787" i="1"/>
  <c r="Q4787" i="1"/>
  <c r="P4787" i="1" s="1"/>
  <c r="B4786" i="1"/>
  <c r="H4786" i="1"/>
  <c r="J4786" i="1"/>
  <c r="K4786" i="1"/>
  <c r="Q4786" i="1"/>
  <c r="P4786" i="1" s="1"/>
  <c r="J4785" i="1"/>
  <c r="J4777" i="1"/>
  <c r="J4775" i="1"/>
  <c r="J4774" i="1"/>
  <c r="J4773" i="1"/>
  <c r="J4772" i="1"/>
  <c r="J4771" i="1"/>
  <c r="J4770" i="1"/>
  <c r="J4761" i="1"/>
  <c r="J4759" i="1"/>
  <c r="J4758" i="1"/>
  <c r="J4757" i="1"/>
  <c r="B4782" i="1"/>
  <c r="B4783" i="1"/>
  <c r="B4784" i="1"/>
  <c r="B4785" i="1"/>
  <c r="H4782" i="1"/>
  <c r="H4783" i="1"/>
  <c r="H4784" i="1"/>
  <c r="H4785" i="1"/>
  <c r="J4782" i="1"/>
  <c r="J4783" i="1"/>
  <c r="J4784" i="1"/>
  <c r="K4782" i="1"/>
  <c r="K4783" i="1"/>
  <c r="K4784" i="1"/>
  <c r="K4785" i="1"/>
  <c r="Q4782" i="1"/>
  <c r="P4782" i="1" s="1"/>
  <c r="Q4783" i="1"/>
  <c r="P4783" i="1" s="1"/>
  <c r="Q4784" i="1"/>
  <c r="P4784" i="1" s="1"/>
  <c r="Q4785" i="1"/>
  <c r="P4785" i="1" s="1"/>
  <c r="B4781" i="1"/>
  <c r="H4781" i="1"/>
  <c r="J4781" i="1"/>
  <c r="K4781" i="1"/>
  <c r="Q4781" i="1"/>
  <c r="P4781" i="1" s="1"/>
  <c r="B4780" i="1"/>
  <c r="H4780" i="1"/>
  <c r="J4780" i="1"/>
  <c r="K4780" i="1"/>
  <c r="Q4780" i="1"/>
  <c r="P4780" i="1" s="1"/>
  <c r="K4768" i="1"/>
  <c r="K4769" i="1"/>
  <c r="K4770" i="1"/>
  <c r="K4771" i="1"/>
  <c r="K4772" i="1"/>
  <c r="K4773" i="1"/>
  <c r="K4774" i="1"/>
  <c r="K4775" i="1"/>
  <c r="K4776" i="1"/>
  <c r="K4777" i="1"/>
  <c r="K4778" i="1"/>
  <c r="K4779" i="1"/>
  <c r="K4767" i="1"/>
  <c r="K4766" i="1"/>
  <c r="K4765" i="1"/>
  <c r="K4764" i="1"/>
  <c r="K4763" i="1"/>
  <c r="K4762" i="1"/>
  <c r="K4761" i="1"/>
  <c r="K4760" i="1"/>
  <c r="K4759" i="1"/>
  <c r="K4758" i="1"/>
  <c r="K4757" i="1"/>
  <c r="K4756" i="1"/>
  <c r="K4755" i="1"/>
  <c r="B4757" i="1"/>
  <c r="B4758" i="1"/>
  <c r="B4759" i="1"/>
  <c r="B4760" i="1"/>
  <c r="B4761" i="1"/>
  <c r="B4762" i="1"/>
  <c r="B4763" i="1"/>
  <c r="B4764" i="1"/>
  <c r="B4765" i="1"/>
  <c r="B4766" i="1"/>
  <c r="B4767" i="1"/>
  <c r="B4768" i="1"/>
  <c r="B4769" i="1"/>
  <c r="B4770" i="1"/>
  <c r="B4771" i="1"/>
  <c r="B4772" i="1"/>
  <c r="B4773" i="1"/>
  <c r="B4774" i="1"/>
  <c r="B4775" i="1"/>
  <c r="B4776" i="1"/>
  <c r="B4777" i="1"/>
  <c r="B4778" i="1"/>
  <c r="B4779" i="1"/>
  <c r="H4757" i="1"/>
  <c r="H4758" i="1"/>
  <c r="H4759" i="1"/>
  <c r="H4760" i="1"/>
  <c r="H4761" i="1"/>
  <c r="H4762" i="1"/>
  <c r="H4763" i="1"/>
  <c r="H4764" i="1"/>
  <c r="H4765" i="1"/>
  <c r="H4766" i="1"/>
  <c r="H4767" i="1"/>
  <c r="H4768" i="1"/>
  <c r="H4769" i="1"/>
  <c r="H4770" i="1"/>
  <c r="H4771" i="1"/>
  <c r="H4772" i="1"/>
  <c r="H4773" i="1"/>
  <c r="H4774" i="1"/>
  <c r="H4775" i="1"/>
  <c r="H4776" i="1"/>
  <c r="H4777" i="1"/>
  <c r="H4778" i="1"/>
  <c r="H4779" i="1"/>
  <c r="J4760" i="1"/>
  <c r="J4762" i="1"/>
  <c r="J4763" i="1"/>
  <c r="J4764" i="1"/>
  <c r="J4765" i="1"/>
  <c r="J4766" i="1"/>
  <c r="J4767" i="1"/>
  <c r="J4768" i="1"/>
  <c r="J4769" i="1"/>
  <c r="J4776" i="1"/>
  <c r="J4778" i="1"/>
  <c r="J4779" i="1"/>
  <c r="Q4757" i="1"/>
  <c r="P4757" i="1" s="1"/>
  <c r="Q4758" i="1"/>
  <c r="P4758" i="1" s="1"/>
  <c r="Q4759" i="1"/>
  <c r="P4759" i="1" s="1"/>
  <c r="Q4760" i="1"/>
  <c r="P4760" i="1" s="1"/>
  <c r="Q4761" i="1"/>
  <c r="P4761" i="1" s="1"/>
  <c r="Q4762" i="1"/>
  <c r="P4762" i="1" s="1"/>
  <c r="Q4763" i="1"/>
  <c r="P4763" i="1" s="1"/>
  <c r="Q4764" i="1"/>
  <c r="P4764" i="1" s="1"/>
  <c r="Q4765" i="1"/>
  <c r="P4765" i="1" s="1"/>
  <c r="Q4766" i="1"/>
  <c r="P4766" i="1" s="1"/>
  <c r="Q4767" i="1"/>
  <c r="P4767" i="1" s="1"/>
  <c r="Q4768" i="1"/>
  <c r="P4768" i="1" s="1"/>
  <c r="Q4769" i="1"/>
  <c r="P4769" i="1" s="1"/>
  <c r="Q4770" i="1"/>
  <c r="P4770" i="1" s="1"/>
  <c r="Q4771" i="1"/>
  <c r="P4771" i="1" s="1"/>
  <c r="Q4772" i="1"/>
  <c r="P4772" i="1" s="1"/>
  <c r="Q4773" i="1"/>
  <c r="P4773" i="1" s="1"/>
  <c r="Q4774" i="1"/>
  <c r="P4774" i="1" s="1"/>
  <c r="Q4775" i="1"/>
  <c r="P4775" i="1" s="1"/>
  <c r="Q4776" i="1"/>
  <c r="P4776" i="1" s="1"/>
  <c r="Q4777" i="1"/>
  <c r="P4777" i="1" s="1"/>
  <c r="Q4778" i="1"/>
  <c r="P4778" i="1" s="1"/>
  <c r="Q4779" i="1"/>
  <c r="P4779" i="1" s="1"/>
  <c r="B4756" i="1"/>
  <c r="H4756" i="1"/>
  <c r="J4756" i="1"/>
  <c r="Q4756" i="1"/>
  <c r="P4756" i="1" s="1"/>
  <c r="B4755" i="1"/>
  <c r="H4755" i="1"/>
  <c r="J4755" i="1"/>
  <c r="Q4755" i="1"/>
  <c r="P4755" i="1" s="1"/>
  <c r="K4754" i="1"/>
  <c r="K4753" i="1"/>
  <c r="K4752" i="1"/>
  <c r="B4754" i="1"/>
  <c r="H4754" i="1"/>
  <c r="J4754" i="1"/>
  <c r="Q4754" i="1"/>
  <c r="P4754" i="1" s="1"/>
  <c r="B4753" i="1"/>
  <c r="H4753" i="1"/>
  <c r="J4753" i="1"/>
  <c r="Q4753" i="1"/>
  <c r="P4753" i="1" s="1"/>
  <c r="B4752" i="1"/>
  <c r="H4752" i="1"/>
  <c r="J4752" i="1"/>
  <c r="Q4752" i="1"/>
  <c r="P4752" i="1" s="1"/>
  <c r="J4746" i="1"/>
  <c r="J4742" i="1"/>
  <c r="J4741" i="1"/>
  <c r="J4740" i="1"/>
  <c r="J4739" i="1"/>
  <c r="J4738" i="1"/>
  <c r="J4737" i="1"/>
  <c r="J4736" i="1"/>
  <c r="J4730" i="1"/>
  <c r="J4726" i="1"/>
  <c r="J4723" i="1"/>
  <c r="J4722" i="1"/>
  <c r="J4721" i="1"/>
  <c r="J4720" i="1"/>
  <c r="Q4727" i="1"/>
  <c r="P4727" i="1" s="1"/>
  <c r="B4729" i="1"/>
  <c r="B4730" i="1"/>
  <c r="B4731" i="1"/>
  <c r="B4732" i="1"/>
  <c r="B4733" i="1"/>
  <c r="B4734" i="1"/>
  <c r="B4735" i="1"/>
  <c r="B4736" i="1"/>
  <c r="B4737" i="1"/>
  <c r="B4738" i="1"/>
  <c r="B4739" i="1"/>
  <c r="B4740" i="1"/>
  <c r="B4741" i="1"/>
  <c r="B4742" i="1"/>
  <c r="B4743" i="1"/>
  <c r="B4744" i="1"/>
  <c r="B4745" i="1"/>
  <c r="B4746" i="1"/>
  <c r="B4747" i="1"/>
  <c r="B4748" i="1"/>
  <c r="B4749" i="1"/>
  <c r="B4750" i="1"/>
  <c r="B4751" i="1"/>
  <c r="H4729" i="1"/>
  <c r="H4730" i="1"/>
  <c r="H4731" i="1"/>
  <c r="H4732" i="1"/>
  <c r="H4733" i="1"/>
  <c r="H4734" i="1"/>
  <c r="H4735" i="1"/>
  <c r="H4736" i="1"/>
  <c r="H4737" i="1"/>
  <c r="H4738" i="1"/>
  <c r="H4739" i="1"/>
  <c r="H4740" i="1"/>
  <c r="H4741" i="1"/>
  <c r="H4742" i="1"/>
  <c r="H4743" i="1"/>
  <c r="H4744" i="1"/>
  <c r="H4745" i="1"/>
  <c r="H4746" i="1"/>
  <c r="H4747" i="1"/>
  <c r="H4748" i="1"/>
  <c r="H4749" i="1"/>
  <c r="H4750" i="1"/>
  <c r="H4751" i="1"/>
  <c r="J4729" i="1"/>
  <c r="J4731" i="1"/>
  <c r="J4732" i="1"/>
  <c r="J4733" i="1"/>
  <c r="J4734" i="1"/>
  <c r="J4735" i="1"/>
  <c r="J4743" i="1"/>
  <c r="J4744" i="1"/>
  <c r="J4745" i="1"/>
  <c r="J4747" i="1"/>
  <c r="J4748" i="1"/>
  <c r="J4749" i="1"/>
  <c r="J4750" i="1"/>
  <c r="J4751" i="1"/>
  <c r="K4729" i="1"/>
  <c r="K4730" i="1"/>
  <c r="K4731" i="1"/>
  <c r="K4732" i="1"/>
  <c r="K4733" i="1"/>
  <c r="K4734" i="1"/>
  <c r="K4735" i="1"/>
  <c r="K4736" i="1"/>
  <c r="K4737" i="1"/>
  <c r="K4738" i="1"/>
  <c r="K4739" i="1"/>
  <c r="K4740" i="1"/>
  <c r="K4741" i="1"/>
  <c r="K4742" i="1"/>
  <c r="K4743" i="1"/>
  <c r="K4744" i="1"/>
  <c r="K4745" i="1"/>
  <c r="K4746" i="1"/>
  <c r="K4747" i="1"/>
  <c r="K4748" i="1"/>
  <c r="K4749" i="1"/>
  <c r="K4750" i="1"/>
  <c r="K4751" i="1"/>
  <c r="Q4729" i="1"/>
  <c r="P4729" i="1" s="1"/>
  <c r="Q4730" i="1"/>
  <c r="P4730" i="1" s="1"/>
  <c r="Q4731" i="1"/>
  <c r="P4731" i="1" s="1"/>
  <c r="Q4732" i="1"/>
  <c r="P4732" i="1" s="1"/>
  <c r="Q4733" i="1"/>
  <c r="P4733" i="1" s="1"/>
  <c r="Q4734" i="1"/>
  <c r="P4734" i="1" s="1"/>
  <c r="Q4735" i="1"/>
  <c r="P4735" i="1" s="1"/>
  <c r="Q4736" i="1"/>
  <c r="P4736" i="1" s="1"/>
  <c r="Q4737" i="1"/>
  <c r="P4737" i="1" s="1"/>
  <c r="Q4738" i="1"/>
  <c r="P4738" i="1" s="1"/>
  <c r="Q4739" i="1"/>
  <c r="P4739" i="1" s="1"/>
  <c r="Q4740" i="1"/>
  <c r="P4740" i="1" s="1"/>
  <c r="Q4741" i="1"/>
  <c r="P4741" i="1" s="1"/>
  <c r="Q4742" i="1"/>
  <c r="P4742" i="1" s="1"/>
  <c r="Q4743" i="1"/>
  <c r="P4743" i="1" s="1"/>
  <c r="Q4744" i="1"/>
  <c r="P4744" i="1" s="1"/>
  <c r="Q4745" i="1"/>
  <c r="P4745" i="1" s="1"/>
  <c r="Q4746" i="1"/>
  <c r="P4746" i="1" s="1"/>
  <c r="Q4747" i="1"/>
  <c r="P4747" i="1" s="1"/>
  <c r="Q4748" i="1"/>
  <c r="P4748" i="1" s="1"/>
  <c r="Q4749" i="1"/>
  <c r="P4749" i="1" s="1"/>
  <c r="Q4750" i="1"/>
  <c r="P4750" i="1" s="1"/>
  <c r="Q4751" i="1"/>
  <c r="P4751" i="1" s="1"/>
  <c r="B4728" i="1"/>
  <c r="H4728" i="1"/>
  <c r="J4728" i="1"/>
  <c r="K4728" i="1"/>
  <c r="Q4728" i="1"/>
  <c r="P4728" i="1" s="1"/>
  <c r="B4723" i="1"/>
  <c r="B4724" i="1"/>
  <c r="B4725" i="1"/>
  <c r="B4726" i="1"/>
  <c r="B4727" i="1"/>
  <c r="H4723" i="1"/>
  <c r="H4724" i="1"/>
  <c r="H4725" i="1"/>
  <c r="H4726" i="1"/>
  <c r="H4727" i="1"/>
  <c r="J4724" i="1"/>
  <c r="J4725" i="1"/>
  <c r="J4727" i="1"/>
  <c r="K4723" i="1"/>
  <c r="K4724" i="1"/>
  <c r="K4725" i="1"/>
  <c r="K4726" i="1"/>
  <c r="K4727" i="1"/>
  <c r="Q4723" i="1"/>
  <c r="P4723" i="1" s="1"/>
  <c r="Q4724" i="1"/>
  <c r="P4724" i="1" s="1"/>
  <c r="Q4725" i="1"/>
  <c r="P4725" i="1" s="1"/>
  <c r="Q4726" i="1"/>
  <c r="P4726" i="1" s="1"/>
  <c r="B4722" i="1"/>
  <c r="H4722" i="1"/>
  <c r="K4722" i="1"/>
  <c r="Q4722" i="1"/>
  <c r="P4722" i="1" s="1"/>
  <c r="J4716" i="1"/>
  <c r="J4715" i="1"/>
  <c r="J4714" i="1"/>
  <c r="B4715" i="1"/>
  <c r="B4716" i="1"/>
  <c r="B4717" i="1"/>
  <c r="B4718" i="1"/>
  <c r="B4719" i="1"/>
  <c r="B4720" i="1"/>
  <c r="B4721" i="1"/>
  <c r="H4715" i="1"/>
  <c r="H4716" i="1"/>
  <c r="H4717" i="1"/>
  <c r="H4718" i="1"/>
  <c r="H4719" i="1"/>
  <c r="H4720" i="1"/>
  <c r="H4721" i="1"/>
  <c r="J4717" i="1"/>
  <c r="J4718" i="1"/>
  <c r="J4719" i="1"/>
  <c r="K4715" i="1"/>
  <c r="K4716" i="1"/>
  <c r="K4717" i="1"/>
  <c r="K4718" i="1"/>
  <c r="K4719" i="1"/>
  <c r="K4720" i="1"/>
  <c r="K4721" i="1"/>
  <c r="Q4715" i="1"/>
  <c r="P4715" i="1" s="1"/>
  <c r="Q4716" i="1"/>
  <c r="P4716" i="1" s="1"/>
  <c r="Q4717" i="1"/>
  <c r="P4717" i="1" s="1"/>
  <c r="Q4718" i="1"/>
  <c r="P4718" i="1" s="1"/>
  <c r="Q4719" i="1"/>
  <c r="P4719" i="1" s="1"/>
  <c r="Q4720" i="1"/>
  <c r="P4720" i="1" s="1"/>
  <c r="Q4721" i="1"/>
  <c r="P4721" i="1" s="1"/>
  <c r="J4713" i="1"/>
  <c r="J4711" i="1"/>
  <c r="J4709" i="1"/>
  <c r="J4708" i="1"/>
  <c r="J4706" i="1"/>
  <c r="J4702" i="1"/>
  <c r="K4714" i="1"/>
  <c r="Q4714" i="1"/>
  <c r="P4714" i="1" s="1"/>
  <c r="B4714" i="1"/>
  <c r="H4714" i="1"/>
  <c r="Q4713" i="1"/>
  <c r="P4713" i="1" s="1"/>
  <c r="B4713" i="1"/>
  <c r="H4713" i="1"/>
  <c r="K4713" i="1"/>
  <c r="H4712" i="1"/>
  <c r="J4712" i="1"/>
  <c r="K4712" i="1"/>
  <c r="Q4712" i="1"/>
  <c r="P4712" i="1" s="1"/>
  <c r="B4712" i="1"/>
  <c r="H4711" i="1"/>
  <c r="K4711" i="1"/>
  <c r="Q4711" i="1"/>
  <c r="P4711" i="1" s="1"/>
  <c r="B4711" i="1"/>
  <c r="H4710" i="1"/>
  <c r="J4710" i="1"/>
  <c r="K4710" i="1"/>
  <c r="Q4710" i="1"/>
  <c r="P4710" i="1" s="1"/>
  <c r="B4710" i="1"/>
  <c r="Q4708" i="1"/>
  <c r="P4708" i="1" s="1"/>
  <c r="Q4709" i="1"/>
  <c r="P4709" i="1" s="1"/>
  <c r="B4709" i="1"/>
  <c r="H4709" i="1"/>
  <c r="K4709" i="1"/>
  <c r="B4708" i="1"/>
  <c r="H4708" i="1"/>
  <c r="K4708" i="1"/>
  <c r="Q4706" i="1"/>
  <c r="P4706" i="1" s="1"/>
  <c r="Q4707" i="1"/>
  <c r="P4707" i="1" s="1"/>
  <c r="B4707" i="1"/>
  <c r="H4707" i="1"/>
  <c r="J4707" i="1"/>
  <c r="K4707" i="1"/>
  <c r="B4706" i="1"/>
  <c r="H4706" i="1"/>
  <c r="K4706" i="1"/>
  <c r="Q4705" i="1"/>
  <c r="P4705" i="1" s="1"/>
  <c r="B4705" i="1"/>
  <c r="H4705" i="1"/>
  <c r="J4705" i="1"/>
  <c r="K4705" i="1"/>
  <c r="B4704" i="1"/>
  <c r="H4704" i="1"/>
  <c r="J4704" i="1"/>
  <c r="K4704" i="1"/>
  <c r="Q4704" i="1"/>
  <c r="P4704" i="1" s="1"/>
  <c r="B4703" i="1"/>
  <c r="H4703" i="1"/>
  <c r="J4703" i="1"/>
  <c r="K4703" i="1"/>
  <c r="Q4703" i="1"/>
  <c r="P4703" i="1" s="1"/>
  <c r="B4702" i="1"/>
  <c r="H4702" i="1"/>
  <c r="K4702" i="1"/>
  <c r="Q4702" i="1"/>
  <c r="P4702" i="1" s="1"/>
  <c r="B4701" i="1"/>
  <c r="H4701" i="1"/>
  <c r="J4701" i="1"/>
  <c r="K4701" i="1"/>
  <c r="Q4701" i="1"/>
  <c r="P4701" i="1" s="1"/>
  <c r="B4700" i="1"/>
  <c r="H4700" i="1"/>
  <c r="J4700" i="1"/>
  <c r="K4700" i="1"/>
  <c r="Q4700" i="1"/>
  <c r="P4700" i="1" s="1"/>
  <c r="B4688" i="1"/>
  <c r="B4689" i="1"/>
  <c r="B4690" i="1"/>
  <c r="B4691" i="1"/>
  <c r="B4692" i="1"/>
  <c r="B4693" i="1"/>
  <c r="B4694" i="1"/>
  <c r="B4695" i="1"/>
  <c r="B4696" i="1"/>
  <c r="B4697" i="1"/>
  <c r="B4698" i="1"/>
  <c r="B4699" i="1"/>
  <c r="H4688" i="1"/>
  <c r="H4689" i="1"/>
  <c r="H4690" i="1"/>
  <c r="H4691" i="1"/>
  <c r="H4692" i="1"/>
  <c r="H4693" i="1"/>
  <c r="H4694" i="1"/>
  <c r="H4695" i="1"/>
  <c r="H4696" i="1"/>
  <c r="H4697" i="1"/>
  <c r="H4698" i="1"/>
  <c r="H4699" i="1"/>
  <c r="J4688" i="1"/>
  <c r="J4689" i="1"/>
  <c r="J4690" i="1"/>
  <c r="J4691" i="1"/>
  <c r="J4692" i="1"/>
  <c r="J4693" i="1"/>
  <c r="J4694" i="1"/>
  <c r="J4695" i="1"/>
  <c r="J4696" i="1"/>
  <c r="J4697" i="1"/>
  <c r="J4698" i="1"/>
  <c r="J4699" i="1"/>
  <c r="K4688" i="1"/>
  <c r="K4689" i="1"/>
  <c r="K4690" i="1"/>
  <c r="K4691" i="1"/>
  <c r="K4692" i="1"/>
  <c r="K4693" i="1"/>
  <c r="K4694" i="1"/>
  <c r="K4695" i="1"/>
  <c r="K4696" i="1"/>
  <c r="K4697" i="1"/>
  <c r="K4698" i="1"/>
  <c r="K4699" i="1"/>
  <c r="Q4688" i="1"/>
  <c r="P4688" i="1" s="1"/>
  <c r="Q4689" i="1"/>
  <c r="P4689" i="1" s="1"/>
  <c r="Q4690" i="1"/>
  <c r="P4690" i="1" s="1"/>
  <c r="Q4691" i="1"/>
  <c r="P4691" i="1" s="1"/>
  <c r="Q4692" i="1"/>
  <c r="P4692" i="1" s="1"/>
  <c r="Q4693" i="1"/>
  <c r="P4693" i="1" s="1"/>
  <c r="Q4694" i="1"/>
  <c r="P4694" i="1" s="1"/>
  <c r="Q4695" i="1"/>
  <c r="P4695" i="1" s="1"/>
  <c r="Q4696" i="1"/>
  <c r="P4696" i="1" s="1"/>
  <c r="Q4697" i="1"/>
  <c r="P4697" i="1" s="1"/>
  <c r="Q4698" i="1"/>
  <c r="P4698" i="1" s="1"/>
  <c r="Q4699" i="1"/>
  <c r="P4699" i="1" s="1"/>
  <c r="B4687" i="1"/>
  <c r="H4687" i="1"/>
  <c r="J4687" i="1"/>
  <c r="K4687" i="1"/>
  <c r="Q4687" i="1"/>
  <c r="P4687" i="1" s="1"/>
  <c r="B4686" i="1"/>
  <c r="H4686" i="1"/>
  <c r="J4686" i="1"/>
  <c r="K4686" i="1"/>
  <c r="Q4686" i="1"/>
  <c r="P4686" i="1" s="1"/>
  <c r="B4685" i="1"/>
  <c r="H4685" i="1"/>
  <c r="J4685" i="1"/>
  <c r="K4685" i="1"/>
  <c r="Q4685" i="1"/>
  <c r="P4685" i="1" s="1"/>
  <c r="B4684" i="1"/>
  <c r="H4684" i="1"/>
  <c r="J4684" i="1"/>
  <c r="K4684" i="1"/>
  <c r="Q4684" i="1"/>
  <c r="P4684" i="1" s="1"/>
  <c r="B4679" i="1"/>
  <c r="B4680" i="1"/>
  <c r="B4681" i="1"/>
  <c r="B4682" i="1"/>
  <c r="B4683" i="1"/>
  <c r="H4679" i="1"/>
  <c r="H4680" i="1"/>
  <c r="H4681" i="1"/>
  <c r="H4682" i="1"/>
  <c r="H4683" i="1"/>
  <c r="J4679" i="1"/>
  <c r="J4680" i="1"/>
  <c r="J4681" i="1"/>
  <c r="J4682" i="1"/>
  <c r="J4683" i="1"/>
  <c r="K4679" i="1"/>
  <c r="K4680" i="1"/>
  <c r="K4681" i="1"/>
  <c r="K4682" i="1"/>
  <c r="K4683" i="1"/>
  <c r="Q4679" i="1"/>
  <c r="P4679" i="1" s="1"/>
  <c r="Q4680" i="1"/>
  <c r="P4680" i="1" s="1"/>
  <c r="Q4681" i="1"/>
  <c r="P4681" i="1" s="1"/>
  <c r="Q4682" i="1"/>
  <c r="P4682" i="1" s="1"/>
  <c r="Q4683" i="1"/>
  <c r="P4683" i="1" s="1"/>
  <c r="B4678" i="1"/>
  <c r="H4678" i="1"/>
  <c r="J4678" i="1"/>
  <c r="K4678" i="1"/>
  <c r="Q4678" i="1"/>
  <c r="P4678" i="1" s="1"/>
  <c r="B4677" i="1"/>
  <c r="H4677" i="1"/>
  <c r="J4677" i="1"/>
  <c r="K4677" i="1"/>
  <c r="Q4677" i="1"/>
  <c r="P4677" i="1" s="1"/>
  <c r="B4656" i="1"/>
  <c r="B4657" i="1"/>
  <c r="B4658" i="1"/>
  <c r="B4659" i="1"/>
  <c r="B4660" i="1"/>
  <c r="B4661" i="1"/>
  <c r="B4662" i="1"/>
  <c r="B4663" i="1"/>
  <c r="B4664" i="1"/>
  <c r="B4665" i="1"/>
  <c r="B4666" i="1"/>
  <c r="B4667" i="1"/>
  <c r="B4668" i="1"/>
  <c r="B4669" i="1"/>
  <c r="B4670" i="1"/>
  <c r="B4671" i="1"/>
  <c r="B4672" i="1"/>
  <c r="B4673" i="1"/>
  <c r="B4674" i="1"/>
  <c r="B4675" i="1"/>
  <c r="B4676" i="1"/>
  <c r="H4656" i="1"/>
  <c r="H4657" i="1"/>
  <c r="H4658" i="1"/>
  <c r="H4659" i="1"/>
  <c r="H4660" i="1"/>
  <c r="H4661" i="1"/>
  <c r="H4662" i="1"/>
  <c r="H4663" i="1"/>
  <c r="H4664" i="1"/>
  <c r="H4665" i="1"/>
  <c r="H4666" i="1"/>
  <c r="H4667" i="1"/>
  <c r="H4668" i="1"/>
  <c r="H4669" i="1"/>
  <c r="H4670" i="1"/>
  <c r="H4671" i="1"/>
  <c r="H4672" i="1"/>
  <c r="H4673" i="1"/>
  <c r="H4674" i="1"/>
  <c r="H4675" i="1"/>
  <c r="H4676" i="1"/>
  <c r="J4656" i="1"/>
  <c r="J4657" i="1"/>
  <c r="J4658" i="1"/>
  <c r="J4659" i="1"/>
  <c r="J4660" i="1"/>
  <c r="J4661" i="1"/>
  <c r="J4662" i="1"/>
  <c r="J4663" i="1"/>
  <c r="J4664" i="1"/>
  <c r="J4665" i="1"/>
  <c r="J4666" i="1"/>
  <c r="J4667" i="1"/>
  <c r="J4668" i="1"/>
  <c r="J4669" i="1"/>
  <c r="J4670" i="1"/>
  <c r="J4671" i="1"/>
  <c r="J4672" i="1"/>
  <c r="J4673" i="1"/>
  <c r="J4674" i="1"/>
  <c r="J4675" i="1"/>
  <c r="J4676" i="1"/>
  <c r="K4656" i="1"/>
  <c r="K4657" i="1"/>
  <c r="K4658" i="1"/>
  <c r="K4659" i="1"/>
  <c r="K4660" i="1"/>
  <c r="K4661" i="1"/>
  <c r="K4662" i="1"/>
  <c r="K4663" i="1"/>
  <c r="K4664" i="1"/>
  <c r="K4665" i="1"/>
  <c r="K4666" i="1"/>
  <c r="K4667" i="1"/>
  <c r="K4668" i="1"/>
  <c r="K4669" i="1"/>
  <c r="K4670" i="1"/>
  <c r="K4671" i="1"/>
  <c r="K4672" i="1"/>
  <c r="K4673" i="1"/>
  <c r="K4674" i="1"/>
  <c r="K4675" i="1"/>
  <c r="K4676" i="1"/>
  <c r="Q4656" i="1"/>
  <c r="P4656" i="1" s="1"/>
  <c r="Q4657" i="1"/>
  <c r="P4657" i="1" s="1"/>
  <c r="Q4658" i="1"/>
  <c r="P4658" i="1" s="1"/>
  <c r="Q4659" i="1"/>
  <c r="P4659" i="1" s="1"/>
  <c r="Q4660" i="1"/>
  <c r="P4660" i="1" s="1"/>
  <c r="Q4661" i="1"/>
  <c r="P4661" i="1" s="1"/>
  <c r="Q4662" i="1"/>
  <c r="P4662" i="1" s="1"/>
  <c r="Q4663" i="1"/>
  <c r="P4663" i="1" s="1"/>
  <c r="Q4664" i="1"/>
  <c r="P4664" i="1" s="1"/>
  <c r="Q4665" i="1"/>
  <c r="P4665" i="1" s="1"/>
  <c r="Q4666" i="1"/>
  <c r="P4666" i="1" s="1"/>
  <c r="Q4667" i="1"/>
  <c r="P4667" i="1" s="1"/>
  <c r="Q4668" i="1"/>
  <c r="P4668" i="1" s="1"/>
  <c r="Q4669" i="1"/>
  <c r="P4669" i="1" s="1"/>
  <c r="Q4670" i="1"/>
  <c r="P4670" i="1" s="1"/>
  <c r="Q4671" i="1"/>
  <c r="P4671" i="1" s="1"/>
  <c r="Q4672" i="1"/>
  <c r="P4672" i="1" s="1"/>
  <c r="Q4673" i="1"/>
  <c r="P4673" i="1" s="1"/>
  <c r="Q4674" i="1"/>
  <c r="P4674" i="1" s="1"/>
  <c r="Q4675" i="1"/>
  <c r="P4675" i="1" s="1"/>
  <c r="Q4676" i="1"/>
  <c r="P4676" i="1" s="1"/>
  <c r="H4618" i="1"/>
  <c r="B4619" i="1"/>
  <c r="B4620" i="1"/>
  <c r="B4621" i="1"/>
  <c r="B4622" i="1"/>
  <c r="B4623" i="1"/>
  <c r="B4624" i="1"/>
  <c r="B4625" i="1"/>
  <c r="B4626" i="1"/>
  <c r="B4627" i="1"/>
  <c r="B4628" i="1"/>
  <c r="B4629" i="1"/>
  <c r="B4630" i="1"/>
  <c r="B4631" i="1"/>
  <c r="B4632" i="1"/>
  <c r="B4633" i="1"/>
  <c r="B4634" i="1"/>
  <c r="B4635" i="1"/>
  <c r="B4636" i="1"/>
  <c r="B4637" i="1"/>
  <c r="B4638" i="1"/>
  <c r="B4639" i="1"/>
  <c r="B4640" i="1"/>
  <c r="B4641" i="1"/>
  <c r="B4642" i="1"/>
  <c r="B4643" i="1"/>
  <c r="B4644" i="1"/>
  <c r="B4645" i="1"/>
  <c r="B4646" i="1"/>
  <c r="B4647" i="1"/>
  <c r="B4648" i="1"/>
  <c r="B4649" i="1"/>
  <c r="B4650" i="1"/>
  <c r="B4651" i="1"/>
  <c r="B4652" i="1"/>
  <c r="B4653" i="1"/>
  <c r="B4654" i="1"/>
  <c r="B4655" i="1"/>
  <c r="H4619" i="1"/>
  <c r="H4620" i="1"/>
  <c r="H4621" i="1"/>
  <c r="H4622" i="1"/>
  <c r="H4623" i="1"/>
  <c r="H4624" i="1"/>
  <c r="H4625" i="1"/>
  <c r="H4626" i="1"/>
  <c r="H4627" i="1"/>
  <c r="H4628" i="1"/>
  <c r="H4629" i="1"/>
  <c r="H4630" i="1"/>
  <c r="H4631" i="1"/>
  <c r="H4632" i="1"/>
  <c r="H4633" i="1"/>
  <c r="H4634" i="1"/>
  <c r="H4635" i="1"/>
  <c r="H4636" i="1"/>
  <c r="H4637" i="1"/>
  <c r="H4638" i="1"/>
  <c r="H4639" i="1"/>
  <c r="H4640" i="1"/>
  <c r="H4641" i="1"/>
  <c r="H4642" i="1"/>
  <c r="H4643" i="1"/>
  <c r="H4644" i="1"/>
  <c r="H4645" i="1"/>
  <c r="H4646" i="1"/>
  <c r="H4647" i="1"/>
  <c r="H4648" i="1"/>
  <c r="H4649" i="1"/>
  <c r="H4650" i="1"/>
  <c r="H4651" i="1"/>
  <c r="H4652" i="1"/>
  <c r="H4653" i="1"/>
  <c r="H4654" i="1"/>
  <c r="H4655" i="1"/>
  <c r="J4619" i="1"/>
  <c r="J4620" i="1"/>
  <c r="J4621" i="1"/>
  <c r="J4622" i="1"/>
  <c r="J4623" i="1"/>
  <c r="J4624" i="1"/>
  <c r="J4625" i="1"/>
  <c r="J4626" i="1"/>
  <c r="J4627" i="1"/>
  <c r="J4628" i="1"/>
  <c r="J4629" i="1"/>
  <c r="J4630" i="1"/>
  <c r="J4631" i="1"/>
  <c r="J4632" i="1"/>
  <c r="J4633" i="1"/>
  <c r="J4634" i="1"/>
  <c r="J4635" i="1"/>
  <c r="J4636" i="1"/>
  <c r="J4637" i="1"/>
  <c r="J4638" i="1"/>
  <c r="J4639" i="1"/>
  <c r="J4640" i="1"/>
  <c r="J4641" i="1"/>
  <c r="J4642" i="1"/>
  <c r="J4643" i="1"/>
  <c r="J4644" i="1"/>
  <c r="J4645" i="1"/>
  <c r="J4646" i="1"/>
  <c r="J4647" i="1"/>
  <c r="J4648" i="1"/>
  <c r="J4649" i="1"/>
  <c r="J4650" i="1"/>
  <c r="J4651" i="1"/>
  <c r="J4652" i="1"/>
  <c r="J4653" i="1"/>
  <c r="J4654" i="1"/>
  <c r="J4655" i="1"/>
  <c r="K4619" i="1"/>
  <c r="K4620" i="1"/>
  <c r="K4621" i="1"/>
  <c r="K4622" i="1"/>
  <c r="K4623" i="1"/>
  <c r="K4624" i="1"/>
  <c r="K4625" i="1"/>
  <c r="K4626" i="1"/>
  <c r="K4627" i="1"/>
  <c r="K4628" i="1"/>
  <c r="K4629" i="1"/>
  <c r="K4630" i="1"/>
  <c r="K4631" i="1"/>
  <c r="K4632" i="1"/>
  <c r="K4633" i="1"/>
  <c r="K4634" i="1"/>
  <c r="K4635" i="1"/>
  <c r="K4636" i="1"/>
  <c r="K4637" i="1"/>
  <c r="K4638" i="1"/>
  <c r="K4639" i="1"/>
  <c r="K4640" i="1"/>
  <c r="K4641" i="1"/>
  <c r="K4642" i="1"/>
  <c r="K4643" i="1"/>
  <c r="K4644" i="1"/>
  <c r="K4645" i="1"/>
  <c r="K4646" i="1"/>
  <c r="K4647" i="1"/>
  <c r="K4648" i="1"/>
  <c r="K4649" i="1"/>
  <c r="K4650" i="1"/>
  <c r="K4651" i="1"/>
  <c r="K4652" i="1"/>
  <c r="K4653" i="1"/>
  <c r="K4654" i="1"/>
  <c r="K4655" i="1"/>
  <c r="Q4619" i="1"/>
  <c r="P4619" i="1" s="1"/>
  <c r="Q4620" i="1"/>
  <c r="P4620" i="1" s="1"/>
  <c r="Q4621" i="1"/>
  <c r="P4621" i="1" s="1"/>
  <c r="Q4622" i="1"/>
  <c r="P4622" i="1" s="1"/>
  <c r="Q4623" i="1"/>
  <c r="P4623" i="1" s="1"/>
  <c r="Q4624" i="1"/>
  <c r="P4624" i="1" s="1"/>
  <c r="Q4625" i="1"/>
  <c r="P4625" i="1" s="1"/>
  <c r="Q4626" i="1"/>
  <c r="P4626" i="1" s="1"/>
  <c r="Q4627" i="1"/>
  <c r="P4627" i="1" s="1"/>
  <c r="Q4628" i="1"/>
  <c r="P4628" i="1" s="1"/>
  <c r="Q4629" i="1"/>
  <c r="P4629" i="1" s="1"/>
  <c r="Q4630" i="1"/>
  <c r="P4630" i="1" s="1"/>
  <c r="Q4631" i="1"/>
  <c r="P4631" i="1" s="1"/>
  <c r="Q4632" i="1"/>
  <c r="P4632" i="1" s="1"/>
  <c r="Q4633" i="1"/>
  <c r="P4633" i="1" s="1"/>
  <c r="Q4634" i="1"/>
  <c r="P4634" i="1" s="1"/>
  <c r="Q4635" i="1"/>
  <c r="P4635" i="1" s="1"/>
  <c r="Q4636" i="1"/>
  <c r="P4636" i="1" s="1"/>
  <c r="Q4637" i="1"/>
  <c r="P4637" i="1" s="1"/>
  <c r="Q4638" i="1"/>
  <c r="P4638" i="1" s="1"/>
  <c r="Q4639" i="1"/>
  <c r="P4639" i="1" s="1"/>
  <c r="Q4640" i="1"/>
  <c r="P4640" i="1" s="1"/>
  <c r="Q4641" i="1"/>
  <c r="P4641" i="1" s="1"/>
  <c r="Q4642" i="1"/>
  <c r="P4642" i="1" s="1"/>
  <c r="Q4643" i="1"/>
  <c r="P4643" i="1" s="1"/>
  <c r="Q4644" i="1"/>
  <c r="P4644" i="1" s="1"/>
  <c r="Q4645" i="1"/>
  <c r="P4645" i="1" s="1"/>
  <c r="Q4646" i="1"/>
  <c r="P4646" i="1" s="1"/>
  <c r="Q4647" i="1"/>
  <c r="P4647" i="1" s="1"/>
  <c r="Q4648" i="1"/>
  <c r="P4648" i="1" s="1"/>
  <c r="Q4649" i="1"/>
  <c r="P4649" i="1" s="1"/>
  <c r="Q4650" i="1"/>
  <c r="P4650" i="1" s="1"/>
  <c r="Q4651" i="1"/>
  <c r="P4651" i="1" s="1"/>
  <c r="Q4652" i="1"/>
  <c r="P4652" i="1" s="1"/>
  <c r="Q4653" i="1"/>
  <c r="P4653" i="1" s="1"/>
  <c r="Q4654" i="1"/>
  <c r="P4654" i="1" s="1"/>
  <c r="Q4655" i="1"/>
  <c r="P4655" i="1" s="1"/>
  <c r="B4618" i="1"/>
  <c r="J4618" i="1"/>
  <c r="K4618" i="1"/>
  <c r="Q4618" i="1"/>
  <c r="P4618" i="1" s="1"/>
  <c r="B4617" i="1"/>
  <c r="H4617" i="1"/>
  <c r="J4617" i="1"/>
  <c r="K4617" i="1"/>
  <c r="Q4617" i="1"/>
  <c r="P4617" i="1" s="1"/>
  <c r="B4616" i="1"/>
  <c r="H4616" i="1"/>
  <c r="J4616" i="1"/>
  <c r="K4616" i="1"/>
  <c r="Q4616" i="1"/>
  <c r="P4616" i="1" s="1"/>
  <c r="B4615" i="1"/>
  <c r="H4615" i="1"/>
  <c r="J4615" i="1"/>
  <c r="K4615" i="1"/>
  <c r="Q4615" i="1"/>
  <c r="P4615" i="1" s="1"/>
  <c r="B4614" i="1"/>
  <c r="H4614" i="1"/>
  <c r="J4614" i="1"/>
  <c r="K4614" i="1"/>
  <c r="Q4614" i="1"/>
  <c r="P4614" i="1" s="1"/>
  <c r="B4590" i="1"/>
  <c r="B4591" i="1"/>
  <c r="B4592" i="1"/>
  <c r="B4593" i="1"/>
  <c r="B4594" i="1"/>
  <c r="B4595" i="1"/>
  <c r="B4596" i="1"/>
  <c r="B4597" i="1"/>
  <c r="B4598" i="1"/>
  <c r="B4599" i="1"/>
  <c r="B4600" i="1"/>
  <c r="B4601" i="1"/>
  <c r="B4602" i="1"/>
  <c r="B4603" i="1"/>
  <c r="B4604" i="1"/>
  <c r="B4605" i="1"/>
  <c r="B4606" i="1"/>
  <c r="B4607" i="1"/>
  <c r="B4608" i="1"/>
  <c r="B4609" i="1"/>
  <c r="B4610" i="1"/>
  <c r="B4611" i="1"/>
  <c r="B4612" i="1"/>
  <c r="B4613" i="1"/>
  <c r="H4590" i="1"/>
  <c r="H4591" i="1"/>
  <c r="H4592" i="1"/>
  <c r="H4593" i="1"/>
  <c r="H4594" i="1"/>
  <c r="H4595" i="1"/>
  <c r="H4596" i="1"/>
  <c r="H4597" i="1"/>
  <c r="H4598" i="1"/>
  <c r="H4599" i="1"/>
  <c r="H4600" i="1"/>
  <c r="H4601" i="1"/>
  <c r="H4602" i="1"/>
  <c r="H4603" i="1"/>
  <c r="H4604" i="1"/>
  <c r="H4605" i="1"/>
  <c r="H4606" i="1"/>
  <c r="H4607" i="1"/>
  <c r="H4608" i="1"/>
  <c r="H4609" i="1"/>
  <c r="H4610" i="1"/>
  <c r="H4611" i="1"/>
  <c r="H4612" i="1"/>
  <c r="H4613" i="1"/>
  <c r="J4590" i="1"/>
  <c r="J4591" i="1"/>
  <c r="J4592" i="1"/>
  <c r="J4593" i="1"/>
  <c r="J4594" i="1"/>
  <c r="J4595" i="1"/>
  <c r="J4596" i="1"/>
  <c r="J4597" i="1"/>
  <c r="J4598" i="1"/>
  <c r="J4599" i="1"/>
  <c r="J4600" i="1"/>
  <c r="J4601" i="1"/>
  <c r="J4602" i="1"/>
  <c r="J4603" i="1"/>
  <c r="J4604" i="1"/>
  <c r="J4605" i="1"/>
  <c r="J4606" i="1"/>
  <c r="J4607" i="1"/>
  <c r="J4608" i="1"/>
  <c r="J4609" i="1"/>
  <c r="J4610" i="1"/>
  <c r="J4611" i="1"/>
  <c r="J4612" i="1"/>
  <c r="J4613" i="1"/>
  <c r="K4590" i="1"/>
  <c r="K4591" i="1"/>
  <c r="K4592" i="1"/>
  <c r="K4593" i="1"/>
  <c r="K4594" i="1"/>
  <c r="K4595" i="1"/>
  <c r="K4596" i="1"/>
  <c r="K4597" i="1"/>
  <c r="K4598" i="1"/>
  <c r="K4599" i="1"/>
  <c r="K4600" i="1"/>
  <c r="K4601" i="1"/>
  <c r="K4602" i="1"/>
  <c r="K4603" i="1"/>
  <c r="K4604" i="1"/>
  <c r="K4605" i="1"/>
  <c r="K4606" i="1"/>
  <c r="K4607" i="1"/>
  <c r="K4608" i="1"/>
  <c r="K4609" i="1"/>
  <c r="K4610" i="1"/>
  <c r="K4611" i="1"/>
  <c r="K4612" i="1"/>
  <c r="K4613" i="1"/>
  <c r="Q4590" i="1"/>
  <c r="P4590" i="1" s="1"/>
  <c r="Q4591" i="1"/>
  <c r="P4591" i="1" s="1"/>
  <c r="Q4592" i="1"/>
  <c r="P4592" i="1" s="1"/>
  <c r="Q4593" i="1"/>
  <c r="P4593" i="1" s="1"/>
  <c r="Q4594" i="1"/>
  <c r="P4594" i="1" s="1"/>
  <c r="Q4595" i="1"/>
  <c r="P4595" i="1" s="1"/>
  <c r="Q4596" i="1"/>
  <c r="P4596" i="1" s="1"/>
  <c r="Q4597" i="1"/>
  <c r="P4597" i="1" s="1"/>
  <c r="Q4598" i="1"/>
  <c r="P4598" i="1" s="1"/>
  <c r="Q4599" i="1"/>
  <c r="P4599" i="1" s="1"/>
  <c r="Q4600" i="1"/>
  <c r="P4600" i="1" s="1"/>
  <c r="Q4601" i="1"/>
  <c r="P4601" i="1" s="1"/>
  <c r="Q4602" i="1"/>
  <c r="P4602" i="1" s="1"/>
  <c r="Q4603" i="1"/>
  <c r="P4603" i="1" s="1"/>
  <c r="Q4604" i="1"/>
  <c r="P4604" i="1" s="1"/>
  <c r="Q4605" i="1"/>
  <c r="P4605" i="1" s="1"/>
  <c r="Q4606" i="1"/>
  <c r="P4606" i="1" s="1"/>
  <c r="Q4607" i="1"/>
  <c r="P4607" i="1" s="1"/>
  <c r="Q4608" i="1"/>
  <c r="P4608" i="1" s="1"/>
  <c r="Q4609" i="1"/>
  <c r="P4609" i="1" s="1"/>
  <c r="Q4610" i="1"/>
  <c r="P4610" i="1" s="1"/>
  <c r="Q4611" i="1"/>
  <c r="P4611" i="1" s="1"/>
  <c r="Q4612" i="1"/>
  <c r="P4612" i="1" s="1"/>
  <c r="Q4613" i="1"/>
  <c r="P4613" i="1" s="1"/>
  <c r="B4589" i="1"/>
  <c r="H4589" i="1"/>
  <c r="J4589" i="1"/>
  <c r="K4589" i="1"/>
  <c r="Q4589" i="1"/>
  <c r="P4589" i="1" s="1"/>
  <c r="B4586" i="1"/>
  <c r="B4587" i="1"/>
  <c r="B4588" i="1"/>
  <c r="H4586" i="1"/>
  <c r="H4587" i="1"/>
  <c r="H4588" i="1"/>
  <c r="J4586" i="1"/>
  <c r="J4587" i="1"/>
  <c r="J4588" i="1"/>
  <c r="K4586" i="1"/>
  <c r="K4587" i="1"/>
  <c r="K4588" i="1"/>
  <c r="Q4586" i="1"/>
  <c r="P4586" i="1" s="1"/>
  <c r="Q4587" i="1"/>
  <c r="P4587" i="1" s="1"/>
  <c r="Q4588" i="1"/>
  <c r="P4588" i="1" s="1"/>
  <c r="B4585" i="1"/>
  <c r="H4585" i="1"/>
  <c r="J4585" i="1"/>
  <c r="K4585" i="1"/>
  <c r="Q4585" i="1"/>
  <c r="P4585" i="1" s="1"/>
  <c r="J4572" i="1"/>
  <c r="J4570" i="1"/>
  <c r="J4569" i="1"/>
  <c r="J4556" i="1"/>
  <c r="J4554" i="1"/>
  <c r="J4553" i="1"/>
  <c r="J4540" i="1"/>
  <c r="J4538" i="1"/>
  <c r="J4537" i="1"/>
  <c r="J4522" i="1"/>
  <c r="J4521" i="1"/>
  <c r="J4508" i="1"/>
  <c r="J4506" i="1"/>
  <c r="J4505" i="1"/>
  <c r="J4492" i="1"/>
  <c r="J4490" i="1"/>
  <c r="J4489" i="1"/>
  <c r="J4469" i="1"/>
  <c r="J4466" i="1"/>
  <c r="J4464" i="1"/>
  <c r="J4486" i="1"/>
  <c r="J4485" i="1"/>
  <c r="J4454" i="1"/>
  <c r="J4452" i="1"/>
  <c r="J4451" i="1"/>
  <c r="J4447" i="1"/>
  <c r="B4560" i="1"/>
  <c r="B4561" i="1"/>
  <c r="B4562" i="1"/>
  <c r="B4563" i="1"/>
  <c r="B4564" i="1"/>
  <c r="B4565" i="1"/>
  <c r="B4566" i="1"/>
  <c r="B4567" i="1"/>
  <c r="B4568" i="1"/>
  <c r="B4569" i="1"/>
  <c r="B4570" i="1"/>
  <c r="B4571" i="1"/>
  <c r="B4572" i="1"/>
  <c r="B4573" i="1"/>
  <c r="B4574" i="1"/>
  <c r="B4575" i="1"/>
  <c r="B4576" i="1"/>
  <c r="B4577" i="1"/>
  <c r="B4578" i="1"/>
  <c r="B4579" i="1"/>
  <c r="B4580" i="1"/>
  <c r="B4581" i="1"/>
  <c r="B4582" i="1"/>
  <c r="B4583" i="1"/>
  <c r="B4584" i="1"/>
  <c r="H4560" i="1"/>
  <c r="H4561" i="1"/>
  <c r="H4562" i="1"/>
  <c r="H4563" i="1"/>
  <c r="H4564" i="1"/>
  <c r="H4565" i="1"/>
  <c r="H4566" i="1"/>
  <c r="H4567" i="1"/>
  <c r="H4568" i="1"/>
  <c r="H4569" i="1"/>
  <c r="H4570" i="1"/>
  <c r="H4571" i="1"/>
  <c r="H4572" i="1"/>
  <c r="H4573" i="1"/>
  <c r="H4574" i="1"/>
  <c r="H4575" i="1"/>
  <c r="H4576" i="1"/>
  <c r="H4577" i="1"/>
  <c r="H4578" i="1"/>
  <c r="H4579" i="1"/>
  <c r="H4580" i="1"/>
  <c r="H4581" i="1"/>
  <c r="H4582" i="1"/>
  <c r="H4583" i="1"/>
  <c r="H4584" i="1"/>
  <c r="J4560" i="1"/>
  <c r="J4561" i="1"/>
  <c r="J4562" i="1"/>
  <c r="J4563" i="1"/>
  <c r="J4564" i="1"/>
  <c r="J4565" i="1"/>
  <c r="J4566" i="1"/>
  <c r="J4567" i="1"/>
  <c r="J4568" i="1"/>
  <c r="J4571" i="1"/>
  <c r="J4573" i="1"/>
  <c r="J4574" i="1"/>
  <c r="J4575" i="1"/>
  <c r="J4576" i="1"/>
  <c r="J4577" i="1"/>
  <c r="J4578" i="1"/>
  <c r="J4579" i="1"/>
  <c r="J4580" i="1"/>
  <c r="J4581" i="1"/>
  <c r="J4582" i="1"/>
  <c r="J4583" i="1"/>
  <c r="J4584" i="1"/>
  <c r="K4560" i="1"/>
  <c r="K4561" i="1"/>
  <c r="K4562" i="1"/>
  <c r="K4563" i="1"/>
  <c r="K4564" i="1"/>
  <c r="K4565" i="1"/>
  <c r="K4566" i="1"/>
  <c r="K4567" i="1"/>
  <c r="K4568" i="1"/>
  <c r="K4569" i="1"/>
  <c r="K4570" i="1"/>
  <c r="K4571" i="1"/>
  <c r="K4572" i="1"/>
  <c r="K4573" i="1"/>
  <c r="K4574" i="1"/>
  <c r="K4575" i="1"/>
  <c r="K4576" i="1"/>
  <c r="K4577" i="1"/>
  <c r="K4578" i="1"/>
  <c r="K4579" i="1"/>
  <c r="K4580" i="1"/>
  <c r="K4581" i="1"/>
  <c r="K4582" i="1"/>
  <c r="K4583" i="1"/>
  <c r="K4584" i="1"/>
  <c r="Q4560" i="1"/>
  <c r="P4560" i="1" s="1"/>
  <c r="Q4561" i="1"/>
  <c r="P4561" i="1" s="1"/>
  <c r="Q4562" i="1"/>
  <c r="P4562" i="1" s="1"/>
  <c r="Q4563" i="1"/>
  <c r="P4563" i="1" s="1"/>
  <c r="Q4564" i="1"/>
  <c r="P4564" i="1" s="1"/>
  <c r="Q4565" i="1"/>
  <c r="P4565" i="1" s="1"/>
  <c r="Q4566" i="1"/>
  <c r="P4566" i="1" s="1"/>
  <c r="Q4567" i="1"/>
  <c r="P4567" i="1" s="1"/>
  <c r="Q4568" i="1"/>
  <c r="P4568" i="1" s="1"/>
  <c r="Q4569" i="1"/>
  <c r="P4569" i="1" s="1"/>
  <c r="Q4570" i="1"/>
  <c r="P4570" i="1" s="1"/>
  <c r="Q4571" i="1"/>
  <c r="P4571" i="1" s="1"/>
  <c r="Q4572" i="1"/>
  <c r="P4572" i="1" s="1"/>
  <c r="Q4573" i="1"/>
  <c r="P4573" i="1" s="1"/>
  <c r="Q4574" i="1"/>
  <c r="P4574" i="1" s="1"/>
  <c r="Q4575" i="1"/>
  <c r="P4575" i="1" s="1"/>
  <c r="Q4576" i="1"/>
  <c r="P4576" i="1" s="1"/>
  <c r="Q4577" i="1"/>
  <c r="P4577" i="1" s="1"/>
  <c r="Q4578" i="1"/>
  <c r="P4578" i="1" s="1"/>
  <c r="Q4579" i="1"/>
  <c r="P4579" i="1" s="1"/>
  <c r="Q4580" i="1"/>
  <c r="P4580" i="1" s="1"/>
  <c r="Q4581" i="1"/>
  <c r="P4581" i="1" s="1"/>
  <c r="Q4582" i="1"/>
  <c r="P4582" i="1" s="1"/>
  <c r="Q4583" i="1"/>
  <c r="P4583" i="1" s="1"/>
  <c r="Q4584" i="1"/>
  <c r="P4584" i="1" s="1"/>
  <c r="B4559" i="1"/>
  <c r="H4559" i="1"/>
  <c r="J4559" i="1"/>
  <c r="K4559" i="1"/>
  <c r="Q4559" i="1"/>
  <c r="P4559" i="1" s="1"/>
  <c r="B4514" i="1"/>
  <c r="B4515" i="1"/>
  <c r="B4516" i="1"/>
  <c r="B4517" i="1"/>
  <c r="B4518" i="1"/>
  <c r="B4519" i="1"/>
  <c r="B4520" i="1"/>
  <c r="B4521" i="1"/>
  <c r="B4522" i="1"/>
  <c r="B4523" i="1"/>
  <c r="B4524" i="1"/>
  <c r="B4525" i="1"/>
  <c r="B4526" i="1"/>
  <c r="B4527" i="1"/>
  <c r="B4528" i="1"/>
  <c r="B4529" i="1"/>
  <c r="B4530" i="1"/>
  <c r="B4531" i="1"/>
  <c r="B4532" i="1"/>
  <c r="B4533" i="1"/>
  <c r="B4534" i="1"/>
  <c r="B4535" i="1"/>
  <c r="B4536" i="1"/>
  <c r="B4537" i="1"/>
  <c r="B4538" i="1"/>
  <c r="B4539" i="1"/>
  <c r="B4540" i="1"/>
  <c r="B4541" i="1"/>
  <c r="B4542" i="1"/>
  <c r="B4543" i="1"/>
  <c r="B4544" i="1"/>
  <c r="B4545" i="1"/>
  <c r="B4546" i="1"/>
  <c r="B4547" i="1"/>
  <c r="B4548" i="1"/>
  <c r="B4549" i="1"/>
  <c r="B4550" i="1"/>
  <c r="B4551" i="1"/>
  <c r="B4552" i="1"/>
  <c r="B4553" i="1"/>
  <c r="B4554" i="1"/>
  <c r="B4555" i="1"/>
  <c r="B4556" i="1"/>
  <c r="B4557" i="1"/>
  <c r="B4558" i="1"/>
  <c r="H4514" i="1"/>
  <c r="H4515" i="1"/>
  <c r="H4516" i="1"/>
  <c r="H4517" i="1"/>
  <c r="H4518" i="1"/>
  <c r="H4519" i="1"/>
  <c r="H4520" i="1"/>
  <c r="H4521" i="1"/>
  <c r="H4522" i="1"/>
  <c r="H4523" i="1"/>
  <c r="H4524" i="1"/>
  <c r="H4525" i="1"/>
  <c r="H4526" i="1"/>
  <c r="H4527" i="1"/>
  <c r="H4528" i="1"/>
  <c r="H4529" i="1"/>
  <c r="H4530" i="1"/>
  <c r="H4531" i="1"/>
  <c r="H4532" i="1"/>
  <c r="H4533" i="1"/>
  <c r="H4534" i="1"/>
  <c r="H4535" i="1"/>
  <c r="H4536" i="1"/>
  <c r="H4537" i="1"/>
  <c r="H4538" i="1"/>
  <c r="H4539" i="1"/>
  <c r="H4540" i="1"/>
  <c r="H4541" i="1"/>
  <c r="H4542" i="1"/>
  <c r="H4543" i="1"/>
  <c r="H4544" i="1"/>
  <c r="H4545" i="1"/>
  <c r="H4546" i="1"/>
  <c r="H4547" i="1"/>
  <c r="H4548" i="1"/>
  <c r="H4549" i="1"/>
  <c r="H4550" i="1"/>
  <c r="H4551" i="1"/>
  <c r="H4552" i="1"/>
  <c r="H4553" i="1"/>
  <c r="H4554" i="1"/>
  <c r="H4555" i="1"/>
  <c r="H4556" i="1"/>
  <c r="H4557" i="1"/>
  <c r="H4558" i="1"/>
  <c r="J4514" i="1"/>
  <c r="J4515" i="1"/>
  <c r="J4516" i="1"/>
  <c r="J4517" i="1"/>
  <c r="J4518" i="1"/>
  <c r="J4519" i="1"/>
  <c r="J4520" i="1"/>
  <c r="J4523" i="1"/>
  <c r="J4524" i="1"/>
  <c r="J4525" i="1"/>
  <c r="J4526" i="1"/>
  <c r="J4527" i="1"/>
  <c r="J4528" i="1"/>
  <c r="J4529" i="1"/>
  <c r="J4530" i="1"/>
  <c r="J4531" i="1"/>
  <c r="J4532" i="1"/>
  <c r="J4533" i="1"/>
  <c r="J4534" i="1"/>
  <c r="J4535" i="1"/>
  <c r="J4536" i="1"/>
  <c r="J4539" i="1"/>
  <c r="J4541" i="1"/>
  <c r="J4542" i="1"/>
  <c r="J4543" i="1"/>
  <c r="J4544" i="1"/>
  <c r="J4545" i="1"/>
  <c r="J4546" i="1"/>
  <c r="J4547" i="1"/>
  <c r="J4548" i="1"/>
  <c r="J4549" i="1"/>
  <c r="J4550" i="1"/>
  <c r="J4551" i="1"/>
  <c r="J4552" i="1"/>
  <c r="J4555" i="1"/>
  <c r="J4557" i="1"/>
  <c r="J4558" i="1"/>
  <c r="K4514" i="1"/>
  <c r="K4515" i="1"/>
  <c r="K4516" i="1"/>
  <c r="K4517" i="1"/>
  <c r="K4518" i="1"/>
  <c r="K4519" i="1"/>
  <c r="K4520" i="1"/>
  <c r="K4521" i="1"/>
  <c r="K4522" i="1"/>
  <c r="K4523" i="1"/>
  <c r="K4524" i="1"/>
  <c r="K4525" i="1"/>
  <c r="K4526" i="1"/>
  <c r="K4527" i="1"/>
  <c r="K4528" i="1"/>
  <c r="K4529" i="1"/>
  <c r="K4530" i="1"/>
  <c r="K4531" i="1"/>
  <c r="K4532" i="1"/>
  <c r="K4533" i="1"/>
  <c r="K4534" i="1"/>
  <c r="K4535" i="1"/>
  <c r="K4536" i="1"/>
  <c r="K4537" i="1"/>
  <c r="K4538" i="1"/>
  <c r="K4539" i="1"/>
  <c r="K4540" i="1"/>
  <c r="K4541" i="1"/>
  <c r="K4542" i="1"/>
  <c r="K4543" i="1"/>
  <c r="K4544" i="1"/>
  <c r="K4545" i="1"/>
  <c r="K4546" i="1"/>
  <c r="K4547" i="1"/>
  <c r="K4548" i="1"/>
  <c r="K4549" i="1"/>
  <c r="K4550" i="1"/>
  <c r="K4551" i="1"/>
  <c r="K4552" i="1"/>
  <c r="K4553" i="1"/>
  <c r="K4554" i="1"/>
  <c r="K4555" i="1"/>
  <c r="K4556" i="1"/>
  <c r="K4557" i="1"/>
  <c r="K4558" i="1"/>
  <c r="Q4514" i="1"/>
  <c r="P4514" i="1" s="1"/>
  <c r="Q4515" i="1"/>
  <c r="P4515" i="1" s="1"/>
  <c r="Q4516" i="1"/>
  <c r="P4516" i="1" s="1"/>
  <c r="Q4517" i="1"/>
  <c r="P4517" i="1" s="1"/>
  <c r="Q4518" i="1"/>
  <c r="P4518" i="1" s="1"/>
  <c r="Q4519" i="1"/>
  <c r="P4519" i="1" s="1"/>
  <c r="Q4520" i="1"/>
  <c r="P4520" i="1" s="1"/>
  <c r="Q4521" i="1"/>
  <c r="P4521" i="1" s="1"/>
  <c r="Q4522" i="1"/>
  <c r="P4522" i="1" s="1"/>
  <c r="Q4523" i="1"/>
  <c r="P4523" i="1" s="1"/>
  <c r="Q4524" i="1"/>
  <c r="P4524" i="1" s="1"/>
  <c r="Q4525" i="1"/>
  <c r="P4525" i="1" s="1"/>
  <c r="Q4526" i="1"/>
  <c r="P4526" i="1" s="1"/>
  <c r="Q4527" i="1"/>
  <c r="P4527" i="1" s="1"/>
  <c r="Q4528" i="1"/>
  <c r="P4528" i="1" s="1"/>
  <c r="Q4529" i="1"/>
  <c r="P4529" i="1" s="1"/>
  <c r="Q4530" i="1"/>
  <c r="P4530" i="1" s="1"/>
  <c r="Q4531" i="1"/>
  <c r="P4531" i="1" s="1"/>
  <c r="Q4532" i="1"/>
  <c r="P4532" i="1" s="1"/>
  <c r="Q4533" i="1"/>
  <c r="P4533" i="1" s="1"/>
  <c r="Q4534" i="1"/>
  <c r="P4534" i="1" s="1"/>
  <c r="Q4535" i="1"/>
  <c r="P4535" i="1" s="1"/>
  <c r="Q4536" i="1"/>
  <c r="P4536" i="1" s="1"/>
  <c r="Q4537" i="1"/>
  <c r="P4537" i="1" s="1"/>
  <c r="Q4538" i="1"/>
  <c r="P4538" i="1" s="1"/>
  <c r="Q4539" i="1"/>
  <c r="P4539" i="1" s="1"/>
  <c r="Q4540" i="1"/>
  <c r="P4540" i="1" s="1"/>
  <c r="Q4541" i="1"/>
  <c r="P4541" i="1" s="1"/>
  <c r="Q4542" i="1"/>
  <c r="P4542" i="1" s="1"/>
  <c r="Q4543" i="1"/>
  <c r="P4543" i="1" s="1"/>
  <c r="Q4544" i="1"/>
  <c r="P4544" i="1" s="1"/>
  <c r="Q4545" i="1"/>
  <c r="P4545" i="1" s="1"/>
  <c r="Q4546" i="1"/>
  <c r="P4546" i="1" s="1"/>
  <c r="Q4547" i="1"/>
  <c r="P4547" i="1" s="1"/>
  <c r="Q4548" i="1"/>
  <c r="P4548" i="1" s="1"/>
  <c r="Q4549" i="1"/>
  <c r="P4549" i="1" s="1"/>
  <c r="Q4550" i="1"/>
  <c r="P4550" i="1" s="1"/>
  <c r="Q4551" i="1"/>
  <c r="P4551" i="1" s="1"/>
  <c r="Q4552" i="1"/>
  <c r="P4552" i="1" s="1"/>
  <c r="Q4553" i="1"/>
  <c r="P4553" i="1" s="1"/>
  <c r="Q4554" i="1"/>
  <c r="P4554" i="1" s="1"/>
  <c r="Q4555" i="1"/>
  <c r="P4555" i="1" s="1"/>
  <c r="Q4556" i="1"/>
  <c r="P4556" i="1" s="1"/>
  <c r="Q4557" i="1"/>
  <c r="P4557" i="1" s="1"/>
  <c r="Q4558" i="1"/>
  <c r="P4558" i="1" s="1"/>
  <c r="B4513" i="1"/>
  <c r="H4513" i="1"/>
  <c r="J4513" i="1"/>
  <c r="K4513" i="1"/>
  <c r="Q4513" i="1"/>
  <c r="P4513" i="1" s="1"/>
  <c r="B4493" i="1"/>
  <c r="B4494" i="1"/>
  <c r="B4495" i="1"/>
  <c r="B4496" i="1"/>
  <c r="B4497" i="1"/>
  <c r="B4498" i="1"/>
  <c r="B4499" i="1"/>
  <c r="B4500" i="1"/>
  <c r="B4501" i="1"/>
  <c r="B4502" i="1"/>
  <c r="B4503" i="1"/>
  <c r="B4504" i="1"/>
  <c r="B4505" i="1"/>
  <c r="B4506" i="1"/>
  <c r="B4507" i="1"/>
  <c r="B4508" i="1"/>
  <c r="B4509" i="1"/>
  <c r="B4510" i="1"/>
  <c r="B4511" i="1"/>
  <c r="B4512" i="1"/>
  <c r="H4493" i="1"/>
  <c r="H4494" i="1"/>
  <c r="H4495" i="1"/>
  <c r="H4496" i="1"/>
  <c r="H4497" i="1"/>
  <c r="H4498" i="1"/>
  <c r="H4499" i="1"/>
  <c r="H4500" i="1"/>
  <c r="H4501" i="1"/>
  <c r="H4502" i="1"/>
  <c r="H4503" i="1"/>
  <c r="H4504" i="1"/>
  <c r="H4505" i="1"/>
  <c r="H4506" i="1"/>
  <c r="H4507" i="1"/>
  <c r="H4508" i="1"/>
  <c r="H4509" i="1"/>
  <c r="H4510" i="1"/>
  <c r="H4511" i="1"/>
  <c r="H4512" i="1"/>
  <c r="J4493" i="1"/>
  <c r="J4494" i="1"/>
  <c r="J4495" i="1"/>
  <c r="J4496" i="1"/>
  <c r="J4497" i="1"/>
  <c r="J4498" i="1"/>
  <c r="J4499" i="1"/>
  <c r="J4500" i="1"/>
  <c r="J4501" i="1"/>
  <c r="J4502" i="1"/>
  <c r="J4503" i="1"/>
  <c r="J4504" i="1"/>
  <c r="J4507" i="1"/>
  <c r="J4509" i="1"/>
  <c r="J4510" i="1"/>
  <c r="J4511" i="1"/>
  <c r="J4512" i="1"/>
  <c r="K4493" i="1"/>
  <c r="K4494" i="1"/>
  <c r="K4495" i="1"/>
  <c r="K4496" i="1"/>
  <c r="K4497" i="1"/>
  <c r="K4498" i="1"/>
  <c r="K4499" i="1"/>
  <c r="K4500" i="1"/>
  <c r="K4501" i="1"/>
  <c r="K4502" i="1"/>
  <c r="K4503" i="1"/>
  <c r="K4504" i="1"/>
  <c r="K4505" i="1"/>
  <c r="K4506" i="1"/>
  <c r="K4507" i="1"/>
  <c r="K4508" i="1"/>
  <c r="K4509" i="1"/>
  <c r="K4510" i="1"/>
  <c r="K4511" i="1"/>
  <c r="K4512" i="1"/>
  <c r="Q4493" i="1"/>
  <c r="P4493" i="1" s="1"/>
  <c r="Q4494" i="1"/>
  <c r="P4494" i="1" s="1"/>
  <c r="Q4495" i="1"/>
  <c r="P4495" i="1" s="1"/>
  <c r="Q4496" i="1"/>
  <c r="P4496" i="1" s="1"/>
  <c r="Q4497" i="1"/>
  <c r="P4497" i="1" s="1"/>
  <c r="Q4498" i="1"/>
  <c r="P4498" i="1" s="1"/>
  <c r="Q4499" i="1"/>
  <c r="P4499" i="1" s="1"/>
  <c r="Q4500" i="1"/>
  <c r="P4500" i="1" s="1"/>
  <c r="Q4501" i="1"/>
  <c r="P4501" i="1" s="1"/>
  <c r="Q4502" i="1"/>
  <c r="P4502" i="1" s="1"/>
  <c r="Q4503" i="1"/>
  <c r="P4503" i="1" s="1"/>
  <c r="Q4504" i="1"/>
  <c r="P4504" i="1" s="1"/>
  <c r="Q4505" i="1"/>
  <c r="P4505" i="1" s="1"/>
  <c r="Q4506" i="1"/>
  <c r="P4506" i="1" s="1"/>
  <c r="Q4507" i="1"/>
  <c r="P4507" i="1" s="1"/>
  <c r="Q4508" i="1"/>
  <c r="P4508" i="1" s="1"/>
  <c r="Q4509" i="1"/>
  <c r="P4509" i="1" s="1"/>
  <c r="Q4510" i="1"/>
  <c r="P4510" i="1" s="1"/>
  <c r="Q4511" i="1"/>
  <c r="P4511" i="1" s="1"/>
  <c r="Q4512" i="1"/>
  <c r="P4512" i="1" s="1"/>
  <c r="B4492" i="1"/>
  <c r="H4492" i="1"/>
  <c r="K4492" i="1"/>
  <c r="Q4492" i="1"/>
  <c r="P4492" i="1" s="1"/>
  <c r="B4491" i="1"/>
  <c r="H4491" i="1"/>
  <c r="J4491" i="1"/>
  <c r="K4491" i="1"/>
  <c r="Q4491" i="1"/>
  <c r="P4491" i="1" s="1"/>
  <c r="B4490" i="1"/>
  <c r="H4490" i="1"/>
  <c r="K4490" i="1"/>
  <c r="Q4490" i="1"/>
  <c r="P4490" i="1" s="1"/>
  <c r="B4489" i="1"/>
  <c r="H4489" i="1"/>
  <c r="K4489" i="1"/>
  <c r="Q4489" i="1"/>
  <c r="P4489" i="1" s="1"/>
  <c r="J4477" i="1"/>
  <c r="J4475" i="1"/>
  <c r="J4474" i="1"/>
  <c r="J4473" i="1"/>
  <c r="J4461" i="1"/>
  <c r="J4460" i="1"/>
  <c r="J4459" i="1"/>
  <c r="J4458" i="1"/>
  <c r="J4457" i="1"/>
  <c r="J4448" i="1"/>
  <c r="B4487" i="1"/>
  <c r="B4488" i="1"/>
  <c r="H4487" i="1"/>
  <c r="H4488" i="1"/>
  <c r="J4487" i="1"/>
  <c r="J4488" i="1"/>
  <c r="K4487" i="1"/>
  <c r="K4488" i="1"/>
  <c r="Q4487" i="1"/>
  <c r="P4487" i="1" s="1"/>
  <c r="Q4488" i="1"/>
  <c r="P4488" i="1" s="1"/>
  <c r="B4486" i="1"/>
  <c r="H4486" i="1"/>
  <c r="K4486" i="1"/>
  <c r="Q4486" i="1"/>
  <c r="P4486" i="1" s="1"/>
  <c r="B4485" i="1"/>
  <c r="H4485" i="1"/>
  <c r="K4485" i="1"/>
  <c r="Q4485" i="1"/>
  <c r="P4485" i="1" s="1"/>
  <c r="B4450" i="1"/>
  <c r="B4451" i="1"/>
  <c r="B4452" i="1"/>
  <c r="B4453" i="1"/>
  <c r="B4454" i="1"/>
  <c r="B4455" i="1"/>
  <c r="B4456" i="1"/>
  <c r="B4457" i="1"/>
  <c r="B4458" i="1"/>
  <c r="B4459" i="1"/>
  <c r="B4460" i="1"/>
  <c r="B4461" i="1"/>
  <c r="B4462" i="1"/>
  <c r="B4463" i="1"/>
  <c r="B4464" i="1"/>
  <c r="B4465" i="1"/>
  <c r="B4466" i="1"/>
  <c r="B4467" i="1"/>
  <c r="B4468" i="1"/>
  <c r="B4469" i="1"/>
  <c r="B4470" i="1"/>
  <c r="B4471" i="1"/>
  <c r="B4472" i="1"/>
  <c r="B4473" i="1"/>
  <c r="B4474" i="1"/>
  <c r="B4475" i="1"/>
  <c r="B4476" i="1"/>
  <c r="B4477" i="1"/>
  <c r="B4478" i="1"/>
  <c r="B4479" i="1"/>
  <c r="B4480" i="1"/>
  <c r="B4481" i="1"/>
  <c r="B4482" i="1"/>
  <c r="B4483" i="1"/>
  <c r="B4484" i="1"/>
  <c r="H4450" i="1"/>
  <c r="H4451" i="1"/>
  <c r="H4452" i="1"/>
  <c r="H4453" i="1"/>
  <c r="H4454" i="1"/>
  <c r="H4455" i="1"/>
  <c r="H4456" i="1"/>
  <c r="H4457" i="1"/>
  <c r="H4458" i="1"/>
  <c r="H4459" i="1"/>
  <c r="H4460" i="1"/>
  <c r="H4461" i="1"/>
  <c r="H4462" i="1"/>
  <c r="H4463" i="1"/>
  <c r="H4464" i="1"/>
  <c r="H4465" i="1"/>
  <c r="H4466" i="1"/>
  <c r="H4467" i="1"/>
  <c r="H4468" i="1"/>
  <c r="H4469" i="1"/>
  <c r="H4470" i="1"/>
  <c r="H4471" i="1"/>
  <c r="H4472" i="1"/>
  <c r="H4473" i="1"/>
  <c r="H4474" i="1"/>
  <c r="H4475" i="1"/>
  <c r="H4476" i="1"/>
  <c r="H4477" i="1"/>
  <c r="H4478" i="1"/>
  <c r="H4479" i="1"/>
  <c r="H4480" i="1"/>
  <c r="H4481" i="1"/>
  <c r="H4482" i="1"/>
  <c r="H4483" i="1"/>
  <c r="H4484" i="1"/>
  <c r="J4450" i="1"/>
  <c r="J4453" i="1"/>
  <c r="J4455" i="1"/>
  <c r="J4456" i="1"/>
  <c r="J4462" i="1"/>
  <c r="J4463" i="1"/>
  <c r="J4465" i="1"/>
  <c r="J4467" i="1"/>
  <c r="J4468" i="1"/>
  <c r="J4470" i="1"/>
  <c r="J4471" i="1"/>
  <c r="J4472" i="1"/>
  <c r="J4476" i="1"/>
  <c r="J4478" i="1"/>
  <c r="J4479" i="1"/>
  <c r="J4480" i="1"/>
  <c r="J4481" i="1"/>
  <c r="J4482" i="1"/>
  <c r="J4483" i="1"/>
  <c r="J4484" i="1"/>
  <c r="K4450" i="1"/>
  <c r="K4451" i="1"/>
  <c r="K4452" i="1"/>
  <c r="K4453" i="1"/>
  <c r="K4454" i="1"/>
  <c r="K4455" i="1"/>
  <c r="K4456" i="1"/>
  <c r="K4457" i="1"/>
  <c r="K4458" i="1"/>
  <c r="K4459" i="1"/>
  <c r="K4460" i="1"/>
  <c r="K4461" i="1"/>
  <c r="K4462" i="1"/>
  <c r="K4463" i="1"/>
  <c r="K4464" i="1"/>
  <c r="K4465" i="1"/>
  <c r="K4466" i="1"/>
  <c r="K4467" i="1"/>
  <c r="K4468" i="1"/>
  <c r="K4469" i="1"/>
  <c r="K4470" i="1"/>
  <c r="K4471" i="1"/>
  <c r="K4472" i="1"/>
  <c r="K4473" i="1"/>
  <c r="K4474" i="1"/>
  <c r="K4475" i="1"/>
  <c r="K4476" i="1"/>
  <c r="K4477" i="1"/>
  <c r="K4478" i="1"/>
  <c r="K4479" i="1"/>
  <c r="K4480" i="1"/>
  <c r="K4481" i="1"/>
  <c r="K4482" i="1"/>
  <c r="K4483" i="1"/>
  <c r="K4484" i="1"/>
  <c r="Q4450" i="1"/>
  <c r="P4450" i="1" s="1"/>
  <c r="Q4451" i="1"/>
  <c r="P4451" i="1" s="1"/>
  <c r="Q4452" i="1"/>
  <c r="P4452" i="1" s="1"/>
  <c r="Q4453" i="1"/>
  <c r="P4453" i="1" s="1"/>
  <c r="Q4454" i="1"/>
  <c r="P4454" i="1" s="1"/>
  <c r="Q4455" i="1"/>
  <c r="P4455" i="1" s="1"/>
  <c r="Q4456" i="1"/>
  <c r="P4456" i="1" s="1"/>
  <c r="Q4457" i="1"/>
  <c r="P4457" i="1" s="1"/>
  <c r="Q4458" i="1"/>
  <c r="P4458" i="1" s="1"/>
  <c r="Q4459" i="1"/>
  <c r="P4459" i="1" s="1"/>
  <c r="Q4460" i="1"/>
  <c r="P4460" i="1" s="1"/>
  <c r="Q4461" i="1"/>
  <c r="P4461" i="1" s="1"/>
  <c r="Q4462" i="1"/>
  <c r="P4462" i="1" s="1"/>
  <c r="Q4463" i="1"/>
  <c r="P4463" i="1" s="1"/>
  <c r="Q4464" i="1"/>
  <c r="P4464" i="1" s="1"/>
  <c r="Q4465" i="1"/>
  <c r="P4465" i="1" s="1"/>
  <c r="Q4466" i="1"/>
  <c r="P4466" i="1" s="1"/>
  <c r="Q4467" i="1"/>
  <c r="P4467" i="1" s="1"/>
  <c r="Q4468" i="1"/>
  <c r="P4468" i="1" s="1"/>
  <c r="Q4469" i="1"/>
  <c r="P4469" i="1" s="1"/>
  <c r="Q4470" i="1"/>
  <c r="P4470" i="1" s="1"/>
  <c r="Q4471" i="1"/>
  <c r="P4471" i="1" s="1"/>
  <c r="Q4472" i="1"/>
  <c r="P4472" i="1" s="1"/>
  <c r="Q4473" i="1"/>
  <c r="P4473" i="1" s="1"/>
  <c r="Q4474" i="1"/>
  <c r="P4474" i="1" s="1"/>
  <c r="Q4475" i="1"/>
  <c r="P4475" i="1" s="1"/>
  <c r="Q4476" i="1"/>
  <c r="P4476" i="1" s="1"/>
  <c r="Q4477" i="1"/>
  <c r="P4477" i="1" s="1"/>
  <c r="Q4478" i="1"/>
  <c r="P4478" i="1" s="1"/>
  <c r="Q4479" i="1"/>
  <c r="P4479" i="1" s="1"/>
  <c r="Q4480" i="1"/>
  <c r="P4480" i="1" s="1"/>
  <c r="Q4481" i="1"/>
  <c r="P4481" i="1" s="1"/>
  <c r="Q4482" i="1"/>
  <c r="P4482" i="1" s="1"/>
  <c r="Q4483" i="1"/>
  <c r="P4483" i="1" s="1"/>
  <c r="Q4484" i="1"/>
  <c r="P4484" i="1" s="1"/>
  <c r="B4449" i="1"/>
  <c r="H4449" i="1"/>
  <c r="J4449" i="1"/>
  <c r="K4449" i="1"/>
  <c r="Q4449" i="1"/>
  <c r="P4449" i="1" s="1"/>
  <c r="B4448" i="1"/>
  <c r="H4448" i="1"/>
  <c r="K4448" i="1"/>
  <c r="Q4448" i="1"/>
  <c r="P4448" i="1" s="1"/>
  <c r="B4447" i="1"/>
  <c r="H4447" i="1"/>
  <c r="K4447" i="1"/>
  <c r="Q4447" i="1"/>
  <c r="P4447" i="1" s="1"/>
  <c r="J4432" i="1"/>
  <c r="J4431" i="1"/>
  <c r="B4423" i="1"/>
  <c r="B4424" i="1"/>
  <c r="B4425" i="1"/>
  <c r="B4426" i="1"/>
  <c r="B4427" i="1"/>
  <c r="B4428" i="1"/>
  <c r="B4429" i="1"/>
  <c r="B4430" i="1"/>
  <c r="B4431" i="1"/>
  <c r="B4432" i="1"/>
  <c r="B4433" i="1"/>
  <c r="B4434" i="1"/>
  <c r="B4435" i="1"/>
  <c r="B4436" i="1"/>
  <c r="B4437" i="1"/>
  <c r="B4438" i="1"/>
  <c r="B4439" i="1"/>
  <c r="B4440" i="1"/>
  <c r="B4441" i="1"/>
  <c r="B4442" i="1"/>
  <c r="B4443" i="1"/>
  <c r="B4444" i="1"/>
  <c r="B4445" i="1"/>
  <c r="B4446" i="1"/>
  <c r="H4423" i="1"/>
  <c r="H4424" i="1"/>
  <c r="H4425" i="1"/>
  <c r="H4426" i="1"/>
  <c r="H4427" i="1"/>
  <c r="H4428" i="1"/>
  <c r="H4429" i="1"/>
  <c r="H4430" i="1"/>
  <c r="H4431" i="1"/>
  <c r="H4432" i="1"/>
  <c r="H4433" i="1"/>
  <c r="J4433" i="1"/>
  <c r="H4434" i="1"/>
  <c r="J4434" i="1"/>
  <c r="H4435" i="1"/>
  <c r="J4435" i="1"/>
  <c r="H4436" i="1"/>
  <c r="J4436" i="1"/>
  <c r="H4437" i="1"/>
  <c r="J4437" i="1"/>
  <c r="H4438" i="1"/>
  <c r="J4438" i="1"/>
  <c r="H4439" i="1"/>
  <c r="H4440" i="1"/>
  <c r="H4441" i="1"/>
  <c r="H4442" i="1"/>
  <c r="H4443" i="1"/>
  <c r="H4444" i="1"/>
  <c r="H4445" i="1"/>
  <c r="J4445" i="1"/>
  <c r="H4446" i="1"/>
  <c r="J4446" i="1"/>
  <c r="J4430" i="1"/>
  <c r="K4423" i="1"/>
  <c r="K4424" i="1"/>
  <c r="K4425" i="1"/>
  <c r="K4426" i="1"/>
  <c r="K4427" i="1"/>
  <c r="K4428" i="1"/>
  <c r="K4429" i="1"/>
  <c r="K4430" i="1"/>
  <c r="K4431" i="1"/>
  <c r="K4432" i="1"/>
  <c r="K4433" i="1"/>
  <c r="K4434" i="1"/>
  <c r="K4435" i="1"/>
  <c r="K4436" i="1"/>
  <c r="K4437" i="1"/>
  <c r="K4438" i="1"/>
  <c r="K4439" i="1"/>
  <c r="K4440" i="1"/>
  <c r="K4441" i="1"/>
  <c r="K4442" i="1"/>
  <c r="K4443" i="1"/>
  <c r="K4444" i="1"/>
  <c r="K4445" i="1"/>
  <c r="K4446" i="1"/>
  <c r="Q4423" i="1"/>
  <c r="P4423" i="1" s="1"/>
  <c r="Q4424" i="1"/>
  <c r="P4424" i="1" s="1"/>
  <c r="Q4425" i="1"/>
  <c r="P4425" i="1" s="1"/>
  <c r="Q4426" i="1"/>
  <c r="P4426" i="1" s="1"/>
  <c r="Q4427" i="1"/>
  <c r="P4427" i="1" s="1"/>
  <c r="Q4428" i="1"/>
  <c r="P4428" i="1" s="1"/>
  <c r="Q4429" i="1"/>
  <c r="P4429" i="1" s="1"/>
  <c r="Q4430" i="1"/>
  <c r="P4430" i="1" s="1"/>
  <c r="Q4431" i="1"/>
  <c r="P4431" i="1" s="1"/>
  <c r="Q4432" i="1"/>
  <c r="P4432" i="1" s="1"/>
  <c r="Q4433" i="1"/>
  <c r="P4433" i="1" s="1"/>
  <c r="Q4434" i="1"/>
  <c r="P4434" i="1" s="1"/>
  <c r="Q4435" i="1"/>
  <c r="P4435" i="1" s="1"/>
  <c r="Q4436" i="1"/>
  <c r="P4436" i="1" s="1"/>
  <c r="Q4437" i="1"/>
  <c r="P4437" i="1" s="1"/>
  <c r="Q4438" i="1"/>
  <c r="P4438" i="1" s="1"/>
  <c r="Q4439" i="1"/>
  <c r="P4439" i="1" s="1"/>
  <c r="Q4440" i="1"/>
  <c r="P4440" i="1" s="1"/>
  <c r="Q4441" i="1"/>
  <c r="P4441" i="1" s="1"/>
  <c r="Q4442" i="1"/>
  <c r="P4442" i="1" s="1"/>
  <c r="Q4443" i="1"/>
  <c r="P4443" i="1" s="1"/>
  <c r="Q4444" i="1"/>
  <c r="P4444" i="1" s="1"/>
  <c r="Q4445" i="1"/>
  <c r="P4445" i="1" s="1"/>
  <c r="Q4446" i="1"/>
  <c r="P4446" i="1" s="1"/>
  <c r="J4439" i="1"/>
  <c r="J4423" i="1"/>
  <c r="J4440" i="1"/>
  <c r="J4424" i="1"/>
  <c r="J4429" i="1"/>
  <c r="J4444" i="1"/>
  <c r="J4428" i="1"/>
  <c r="J4443" i="1"/>
  <c r="J4427" i="1"/>
  <c r="J4442" i="1"/>
  <c r="J4426" i="1"/>
  <c r="J4441" i="1"/>
  <c r="J4425" i="1"/>
  <c r="B4422" i="1"/>
  <c r="H4422" i="1"/>
  <c r="J4422" i="1"/>
  <c r="K4422" i="1"/>
  <c r="Q4422" i="1"/>
  <c r="P4422" i="1" s="1"/>
  <c r="B4421" i="1"/>
  <c r="H4421" i="1"/>
  <c r="J4421" i="1"/>
  <c r="K4421" i="1"/>
  <c r="Q4421" i="1"/>
  <c r="P4421" i="1" s="1"/>
  <c r="J4392" i="1"/>
  <c r="J4417" i="1"/>
  <c r="J4414" i="1"/>
  <c r="J4411" i="1"/>
  <c r="J4410" i="1"/>
  <c r="J4409" i="1"/>
  <c r="J4408" i="1"/>
  <c r="J4407" i="1"/>
  <c r="J4406" i="1"/>
  <c r="J4405" i="1"/>
  <c r="J4404" i="1"/>
  <c r="J4403" i="1"/>
  <c r="J4402" i="1"/>
  <c r="J4398" i="1"/>
  <c r="B4419" i="1"/>
  <c r="B4420" i="1"/>
  <c r="H4419" i="1"/>
  <c r="H4420" i="1"/>
  <c r="J4419" i="1"/>
  <c r="J4420" i="1"/>
  <c r="K4419" i="1"/>
  <c r="K4420" i="1"/>
  <c r="Q4419" i="1"/>
  <c r="P4419" i="1" s="1"/>
  <c r="Q4420" i="1"/>
  <c r="P4420" i="1" s="1"/>
  <c r="B4418" i="1"/>
  <c r="H4418" i="1"/>
  <c r="J4418" i="1"/>
  <c r="K4418" i="1"/>
  <c r="Q4418" i="1"/>
  <c r="P4418" i="1" s="1"/>
  <c r="B4399" i="1"/>
  <c r="B4400" i="1"/>
  <c r="B4401" i="1"/>
  <c r="B4402" i="1"/>
  <c r="B4403" i="1"/>
  <c r="B4404" i="1"/>
  <c r="B4405" i="1"/>
  <c r="B4406" i="1"/>
  <c r="B4407" i="1"/>
  <c r="B4408" i="1"/>
  <c r="B4409" i="1"/>
  <c r="B4410" i="1"/>
  <c r="B4411" i="1"/>
  <c r="B4412" i="1"/>
  <c r="B4413" i="1"/>
  <c r="B4414" i="1"/>
  <c r="B4415" i="1"/>
  <c r="B4416" i="1"/>
  <c r="B4417" i="1"/>
  <c r="H4399" i="1"/>
  <c r="H4400" i="1"/>
  <c r="H4401" i="1"/>
  <c r="H4402" i="1"/>
  <c r="H4403" i="1"/>
  <c r="H4404" i="1"/>
  <c r="H4405" i="1"/>
  <c r="H4406" i="1"/>
  <c r="H4407" i="1"/>
  <c r="H4408" i="1"/>
  <c r="H4409" i="1"/>
  <c r="H4410" i="1"/>
  <c r="H4411" i="1"/>
  <c r="H4412" i="1"/>
  <c r="H4413" i="1"/>
  <c r="H4414" i="1"/>
  <c r="H4415" i="1"/>
  <c r="H4416" i="1"/>
  <c r="H4417" i="1"/>
  <c r="J4399" i="1"/>
  <c r="J4400" i="1"/>
  <c r="J4401" i="1"/>
  <c r="J4412" i="1"/>
  <c r="J4413" i="1"/>
  <c r="J4415" i="1"/>
  <c r="J4416" i="1"/>
  <c r="K4399" i="1"/>
  <c r="K4400" i="1"/>
  <c r="K4401" i="1"/>
  <c r="K4402" i="1"/>
  <c r="K4403" i="1"/>
  <c r="K4404" i="1"/>
  <c r="K4405" i="1"/>
  <c r="K4406" i="1"/>
  <c r="K4407" i="1"/>
  <c r="K4408" i="1"/>
  <c r="K4409" i="1"/>
  <c r="K4410" i="1"/>
  <c r="K4411" i="1"/>
  <c r="K4412" i="1"/>
  <c r="K4413" i="1"/>
  <c r="K4414" i="1"/>
  <c r="K4415" i="1"/>
  <c r="K4416" i="1"/>
  <c r="K4417" i="1"/>
  <c r="Q4399" i="1"/>
  <c r="P4399" i="1" s="1"/>
  <c r="Q4400" i="1"/>
  <c r="P4400" i="1" s="1"/>
  <c r="Q4401" i="1"/>
  <c r="P4401" i="1" s="1"/>
  <c r="Q4402" i="1"/>
  <c r="P4402" i="1" s="1"/>
  <c r="Q4403" i="1"/>
  <c r="P4403" i="1" s="1"/>
  <c r="Q4404" i="1"/>
  <c r="P4404" i="1" s="1"/>
  <c r="Q4405" i="1"/>
  <c r="P4405" i="1" s="1"/>
  <c r="Q4406" i="1"/>
  <c r="P4406" i="1" s="1"/>
  <c r="Q4407" i="1"/>
  <c r="P4407" i="1" s="1"/>
  <c r="Q4408" i="1"/>
  <c r="P4408" i="1" s="1"/>
  <c r="Q4409" i="1"/>
  <c r="P4409" i="1" s="1"/>
  <c r="Q4410" i="1"/>
  <c r="P4410" i="1" s="1"/>
  <c r="Q4411" i="1"/>
  <c r="P4411" i="1" s="1"/>
  <c r="Q4412" i="1"/>
  <c r="P4412" i="1" s="1"/>
  <c r="Q4413" i="1"/>
  <c r="P4413" i="1" s="1"/>
  <c r="Q4414" i="1"/>
  <c r="P4414" i="1" s="1"/>
  <c r="Q4415" i="1"/>
  <c r="P4415" i="1" s="1"/>
  <c r="Q4416" i="1"/>
  <c r="P4416" i="1" s="1"/>
  <c r="Q4417" i="1"/>
  <c r="P4417" i="1" s="1"/>
  <c r="B4398" i="1"/>
  <c r="H4398" i="1"/>
  <c r="K4398" i="1"/>
  <c r="Q4398" i="1"/>
  <c r="P4398" i="1" s="1"/>
  <c r="B4397" i="1"/>
  <c r="H4397" i="1"/>
  <c r="J4397" i="1"/>
  <c r="K4397" i="1"/>
  <c r="Q4397" i="1"/>
  <c r="P4397" i="1" s="1"/>
  <c r="B4396" i="1"/>
  <c r="H4396" i="1"/>
  <c r="J4396" i="1"/>
  <c r="K4396" i="1"/>
  <c r="Q4396" i="1"/>
  <c r="P4396" i="1" s="1"/>
  <c r="B4393" i="1"/>
  <c r="B4394" i="1"/>
  <c r="B4395" i="1"/>
  <c r="H4393" i="1"/>
  <c r="H4394" i="1"/>
  <c r="H4395" i="1"/>
  <c r="J4393" i="1"/>
  <c r="J4394" i="1"/>
  <c r="J4395" i="1"/>
  <c r="K4393" i="1"/>
  <c r="K4394" i="1"/>
  <c r="K4395" i="1"/>
  <c r="Q4393" i="1"/>
  <c r="P4393" i="1" s="1"/>
  <c r="Q4394" i="1"/>
  <c r="P4394" i="1" s="1"/>
  <c r="Q4395" i="1"/>
  <c r="P4395" i="1" s="1"/>
  <c r="B4392" i="1"/>
  <c r="H4392" i="1"/>
  <c r="K4392" i="1"/>
  <c r="Q4392" i="1"/>
  <c r="P4392" i="1" s="1"/>
  <c r="J4383" i="1"/>
  <c r="J4382" i="1"/>
  <c r="J4381" i="1"/>
  <c r="J4380" i="1"/>
  <c r="J4379" i="1"/>
  <c r="J4378" i="1"/>
  <c r="J4377" i="1"/>
  <c r="J4376" i="1"/>
  <c r="B4380" i="1"/>
  <c r="B4381" i="1"/>
  <c r="B4382" i="1"/>
  <c r="B4383" i="1"/>
  <c r="B4384" i="1"/>
  <c r="B4385" i="1"/>
  <c r="B4386" i="1"/>
  <c r="B4387" i="1"/>
  <c r="B4388" i="1"/>
  <c r="B4389" i="1"/>
  <c r="B4390" i="1"/>
  <c r="B4391" i="1"/>
  <c r="H4380" i="1"/>
  <c r="H4381" i="1"/>
  <c r="H4382" i="1"/>
  <c r="H4383" i="1"/>
  <c r="H4384" i="1"/>
  <c r="H4385" i="1"/>
  <c r="H4386" i="1"/>
  <c r="H4387" i="1"/>
  <c r="H4388" i="1"/>
  <c r="H4389" i="1"/>
  <c r="H4390" i="1"/>
  <c r="H4391" i="1"/>
  <c r="J4384" i="1"/>
  <c r="J4385" i="1"/>
  <c r="J4386" i="1"/>
  <c r="J4387" i="1"/>
  <c r="J4388" i="1"/>
  <c r="J4389" i="1"/>
  <c r="J4390" i="1"/>
  <c r="J4391" i="1"/>
  <c r="K4380" i="1"/>
  <c r="K4381" i="1"/>
  <c r="K4382" i="1"/>
  <c r="K4383" i="1"/>
  <c r="K4384" i="1"/>
  <c r="K4385" i="1"/>
  <c r="K4386" i="1"/>
  <c r="K4387" i="1"/>
  <c r="K4388" i="1"/>
  <c r="K4389" i="1"/>
  <c r="K4390" i="1"/>
  <c r="K4391" i="1"/>
  <c r="Q4380" i="1"/>
  <c r="P4380" i="1" s="1"/>
  <c r="Q4381" i="1"/>
  <c r="P4381" i="1" s="1"/>
  <c r="Q4382" i="1"/>
  <c r="P4382" i="1" s="1"/>
  <c r="Q4383" i="1"/>
  <c r="P4383" i="1" s="1"/>
  <c r="Q4384" i="1"/>
  <c r="P4384" i="1" s="1"/>
  <c r="Q4385" i="1"/>
  <c r="P4385" i="1" s="1"/>
  <c r="Q4386" i="1"/>
  <c r="P4386" i="1" s="1"/>
  <c r="Q4387" i="1"/>
  <c r="P4387" i="1" s="1"/>
  <c r="Q4388" i="1"/>
  <c r="P4388" i="1" s="1"/>
  <c r="Q4389" i="1"/>
  <c r="P4389" i="1" s="1"/>
  <c r="Q4390" i="1"/>
  <c r="P4390" i="1" s="1"/>
  <c r="Q4391" i="1"/>
  <c r="P4391" i="1" s="1"/>
  <c r="B4379" i="1"/>
  <c r="H4379" i="1"/>
  <c r="K4379" i="1"/>
  <c r="Q4379" i="1"/>
  <c r="P4379" i="1" s="1"/>
  <c r="B4378" i="1"/>
  <c r="H4378" i="1"/>
  <c r="K4378" i="1"/>
  <c r="Q4378" i="1"/>
  <c r="P4378" i="1" s="1"/>
  <c r="B4376" i="1"/>
  <c r="B4377" i="1"/>
  <c r="H4376" i="1"/>
  <c r="H4377" i="1"/>
  <c r="K4376" i="1"/>
  <c r="K4377" i="1"/>
  <c r="Q4376" i="1"/>
  <c r="P4376" i="1" s="1"/>
  <c r="Q4377" i="1"/>
  <c r="P4377" i="1" s="1"/>
  <c r="B4375" i="1"/>
  <c r="H4375" i="1"/>
  <c r="J4375" i="1"/>
  <c r="K4375" i="1"/>
  <c r="Q4375" i="1"/>
  <c r="P4375" i="1" s="1"/>
  <c r="J4374" i="1"/>
  <c r="J4373" i="1"/>
  <c r="J4372" i="1"/>
  <c r="J4371" i="1"/>
  <c r="K4374" i="1"/>
  <c r="K4373" i="1"/>
  <c r="K4372" i="1"/>
  <c r="K4371" i="1"/>
  <c r="K4358" i="1"/>
  <c r="K4357" i="1"/>
  <c r="B4374" i="1"/>
  <c r="B4373" i="1"/>
  <c r="B4372" i="1"/>
  <c r="B4371" i="1"/>
  <c r="B4358" i="1"/>
  <c r="B4357" i="1"/>
  <c r="B4356" i="1"/>
  <c r="H4371" i="1"/>
  <c r="H4372" i="1"/>
  <c r="H4373" i="1"/>
  <c r="H4374" i="1"/>
  <c r="Q4371" i="1"/>
  <c r="P4371" i="1" s="1"/>
  <c r="Q4372" i="1"/>
  <c r="P4372" i="1" s="1"/>
  <c r="Q4373" i="1"/>
  <c r="P4373" i="1" s="1"/>
  <c r="Q4374" i="1"/>
  <c r="P4374" i="1" s="1"/>
  <c r="J4357" i="1"/>
  <c r="J4346" i="1"/>
  <c r="J4345" i="1"/>
  <c r="B4360" i="1"/>
  <c r="B4361" i="1"/>
  <c r="B4362" i="1"/>
  <c r="B4363" i="1"/>
  <c r="B4364" i="1"/>
  <c r="B4365" i="1"/>
  <c r="B4366" i="1"/>
  <c r="B4367" i="1"/>
  <c r="B4368" i="1"/>
  <c r="B4369" i="1"/>
  <c r="B4370" i="1"/>
  <c r="H4360" i="1"/>
  <c r="H4361" i="1"/>
  <c r="H4362" i="1"/>
  <c r="H4363" i="1"/>
  <c r="H4364" i="1"/>
  <c r="H4365" i="1"/>
  <c r="H4366" i="1"/>
  <c r="H4367" i="1"/>
  <c r="H4368" i="1"/>
  <c r="H4369" i="1"/>
  <c r="H4370" i="1"/>
  <c r="J4360" i="1"/>
  <c r="J4361" i="1"/>
  <c r="J4362" i="1"/>
  <c r="J4363" i="1"/>
  <c r="J4364" i="1"/>
  <c r="J4365" i="1"/>
  <c r="J4366" i="1"/>
  <c r="J4367" i="1"/>
  <c r="J4368" i="1"/>
  <c r="J4369" i="1"/>
  <c r="J4370" i="1"/>
  <c r="K4360" i="1"/>
  <c r="K4361" i="1"/>
  <c r="K4362" i="1"/>
  <c r="K4363" i="1"/>
  <c r="K4364" i="1"/>
  <c r="K4365" i="1"/>
  <c r="K4366" i="1"/>
  <c r="K4367" i="1"/>
  <c r="K4368" i="1"/>
  <c r="K4369" i="1"/>
  <c r="K4370" i="1"/>
  <c r="Q4360" i="1"/>
  <c r="P4360" i="1" s="1"/>
  <c r="Q4361" i="1"/>
  <c r="P4361" i="1" s="1"/>
  <c r="Q4362" i="1"/>
  <c r="P4362" i="1" s="1"/>
  <c r="Q4363" i="1"/>
  <c r="P4363" i="1" s="1"/>
  <c r="Q4364" i="1"/>
  <c r="P4364" i="1" s="1"/>
  <c r="Q4365" i="1"/>
  <c r="P4365" i="1" s="1"/>
  <c r="Q4366" i="1"/>
  <c r="P4366" i="1" s="1"/>
  <c r="Q4367" i="1"/>
  <c r="P4367" i="1" s="1"/>
  <c r="Q4368" i="1"/>
  <c r="P4368" i="1" s="1"/>
  <c r="Q4369" i="1"/>
  <c r="P4369" i="1" s="1"/>
  <c r="Q4370" i="1"/>
  <c r="P4370" i="1" s="1"/>
  <c r="B4359" i="1"/>
  <c r="H4359" i="1"/>
  <c r="J4359" i="1"/>
  <c r="K4359" i="1"/>
  <c r="Q4359" i="1"/>
  <c r="P4359" i="1" s="1"/>
  <c r="B4349" i="1"/>
  <c r="B4350" i="1"/>
  <c r="B4351" i="1"/>
  <c r="B4352" i="1"/>
  <c r="B4353" i="1"/>
  <c r="B4354" i="1"/>
  <c r="B4355" i="1"/>
  <c r="H4349" i="1"/>
  <c r="H4350" i="1"/>
  <c r="H4351" i="1"/>
  <c r="H4352" i="1"/>
  <c r="H4353" i="1"/>
  <c r="H4354" i="1"/>
  <c r="H4355" i="1"/>
  <c r="H4356" i="1"/>
  <c r="H4357" i="1"/>
  <c r="H4358" i="1"/>
  <c r="J4349" i="1"/>
  <c r="J4350" i="1"/>
  <c r="J4351" i="1"/>
  <c r="J4352" i="1"/>
  <c r="J4353" i="1"/>
  <c r="J4354" i="1"/>
  <c r="J4355" i="1"/>
  <c r="J4356" i="1"/>
  <c r="J4358" i="1"/>
  <c r="K4349" i="1"/>
  <c r="K4350" i="1"/>
  <c r="K4351" i="1"/>
  <c r="K4352" i="1"/>
  <c r="K4353" i="1"/>
  <c r="K4354" i="1"/>
  <c r="K4355" i="1"/>
  <c r="K4356" i="1"/>
  <c r="Q4349" i="1"/>
  <c r="P4349" i="1" s="1"/>
  <c r="Q4350" i="1"/>
  <c r="P4350" i="1" s="1"/>
  <c r="Q4351" i="1"/>
  <c r="P4351" i="1" s="1"/>
  <c r="Q4352" i="1"/>
  <c r="P4352" i="1" s="1"/>
  <c r="Q4353" i="1"/>
  <c r="P4353" i="1" s="1"/>
  <c r="Q4354" i="1"/>
  <c r="P4354" i="1" s="1"/>
  <c r="Q4355" i="1"/>
  <c r="P4355" i="1" s="1"/>
  <c r="Q4356" i="1"/>
  <c r="P4356" i="1" s="1"/>
  <c r="Q4357" i="1"/>
  <c r="P4357" i="1" s="1"/>
  <c r="Q4358" i="1"/>
  <c r="P4358" i="1" s="1"/>
  <c r="B4348" i="1"/>
  <c r="H4348" i="1"/>
  <c r="J4348" i="1"/>
  <c r="K4348" i="1"/>
  <c r="Q4348" i="1"/>
  <c r="P4348" i="1" s="1"/>
  <c r="B4347" i="1"/>
  <c r="H4347" i="1"/>
  <c r="J4347" i="1"/>
  <c r="K4347" i="1"/>
  <c r="Q4347" i="1"/>
  <c r="P4347" i="1" s="1"/>
  <c r="B4345" i="1"/>
  <c r="B4346" i="1"/>
  <c r="H4345" i="1"/>
  <c r="H4346" i="1"/>
  <c r="K4345" i="1"/>
  <c r="K4346" i="1"/>
  <c r="Q4345" i="1"/>
  <c r="P4345" i="1" s="1"/>
  <c r="Q4346" i="1"/>
  <c r="P4346" i="1" s="1"/>
  <c r="B4343" i="1"/>
  <c r="B4344" i="1"/>
  <c r="H4343" i="1"/>
  <c r="H4344" i="1"/>
  <c r="J4343" i="1"/>
  <c r="J4344" i="1"/>
  <c r="K4343" i="1"/>
  <c r="K4344" i="1"/>
  <c r="Q4343" i="1"/>
  <c r="P4343" i="1" s="1"/>
  <c r="Q4344" i="1"/>
  <c r="P4344" i="1" s="1"/>
  <c r="J4339" i="1"/>
  <c r="J4338" i="1"/>
  <c r="J4337" i="1"/>
  <c r="J4334" i="1"/>
  <c r="J4333" i="1"/>
  <c r="J4332" i="1"/>
  <c r="J4331" i="1"/>
  <c r="J4330" i="1"/>
  <c r="J4329" i="1"/>
  <c r="J4328" i="1"/>
  <c r="J4325" i="1"/>
  <c r="J4324" i="1"/>
  <c r="J4323" i="1"/>
  <c r="J4322" i="1"/>
  <c r="J4320" i="1"/>
  <c r="J4318" i="1"/>
  <c r="J4317" i="1"/>
  <c r="J4316" i="1"/>
  <c r="J4315" i="1"/>
  <c r="J4314" i="1"/>
  <c r="J4312" i="1"/>
  <c r="J4309" i="1"/>
  <c r="J4303" i="1"/>
  <c r="J4302" i="1"/>
  <c r="J4301" i="1"/>
  <c r="J4300" i="1"/>
  <c r="J4299" i="1"/>
  <c r="J4298" i="1"/>
  <c r="J4297" i="1"/>
  <c r="J4296" i="1"/>
  <c r="B4342" i="1"/>
  <c r="H4342" i="1"/>
  <c r="J4342" i="1"/>
  <c r="K4342" i="1"/>
  <c r="Q4342" i="1"/>
  <c r="P4342" i="1" s="1"/>
  <c r="B4341" i="1"/>
  <c r="H4341" i="1"/>
  <c r="J4341" i="1"/>
  <c r="K4341" i="1"/>
  <c r="Q4341" i="1"/>
  <c r="P4341" i="1" s="1"/>
  <c r="J4340" i="1"/>
  <c r="J4336" i="1"/>
  <c r="J4327" i="1"/>
  <c r="J4326" i="1"/>
  <c r="J4321" i="1"/>
  <c r="J4310" i="1"/>
  <c r="J4306" i="1"/>
  <c r="J4305" i="1"/>
  <c r="J4304" i="1"/>
  <c r="B4340" i="1"/>
  <c r="H4340" i="1"/>
  <c r="K4340" i="1"/>
  <c r="Q4340" i="1"/>
  <c r="P4340" i="1" s="1"/>
  <c r="B4339" i="1"/>
  <c r="H4339" i="1"/>
  <c r="K4339" i="1"/>
  <c r="Q4339" i="1"/>
  <c r="P4339" i="1" s="1"/>
  <c r="B4338" i="1"/>
  <c r="B4337" i="1"/>
  <c r="B4336" i="1"/>
  <c r="B4335" i="1"/>
  <c r="B4334" i="1"/>
  <c r="B4333" i="1"/>
  <c r="B4332" i="1"/>
  <c r="B4331" i="1"/>
  <c r="B4330" i="1"/>
  <c r="B4329" i="1"/>
  <c r="B4328" i="1"/>
  <c r="B4327" i="1"/>
  <c r="B4326" i="1"/>
  <c r="B4325" i="1"/>
  <c r="B4324" i="1"/>
  <c r="B4323" i="1"/>
  <c r="B4322" i="1"/>
  <c r="B4321" i="1"/>
  <c r="B4320" i="1"/>
  <c r="B4319" i="1"/>
  <c r="B4318" i="1"/>
  <c r="H4318" i="1"/>
  <c r="H4319" i="1"/>
  <c r="H4320" i="1"/>
  <c r="H4321" i="1"/>
  <c r="H4322" i="1"/>
  <c r="H4323" i="1"/>
  <c r="H4324" i="1"/>
  <c r="H4325" i="1"/>
  <c r="H4326" i="1"/>
  <c r="H4327" i="1"/>
  <c r="H4328" i="1"/>
  <c r="H4329" i="1"/>
  <c r="H4330" i="1"/>
  <c r="H4331" i="1"/>
  <c r="H4332" i="1"/>
  <c r="H4333" i="1"/>
  <c r="H4334" i="1"/>
  <c r="H4335" i="1"/>
  <c r="H4336" i="1"/>
  <c r="H4337" i="1"/>
  <c r="H4338" i="1"/>
  <c r="J4319" i="1"/>
  <c r="J4335" i="1"/>
  <c r="K4318" i="1"/>
  <c r="K4319" i="1"/>
  <c r="K4320" i="1"/>
  <c r="K4321" i="1"/>
  <c r="K4322" i="1"/>
  <c r="K4323" i="1"/>
  <c r="K4324" i="1"/>
  <c r="K4325" i="1"/>
  <c r="K4326" i="1"/>
  <c r="K4327" i="1"/>
  <c r="K4328" i="1"/>
  <c r="K4329" i="1"/>
  <c r="K4330" i="1"/>
  <c r="K4331" i="1"/>
  <c r="K4332" i="1"/>
  <c r="K4333" i="1"/>
  <c r="K4334" i="1"/>
  <c r="K4335" i="1"/>
  <c r="K4336" i="1"/>
  <c r="K4337" i="1"/>
  <c r="K4338" i="1"/>
  <c r="Q4318" i="1"/>
  <c r="P4318" i="1" s="1"/>
  <c r="Q4319" i="1"/>
  <c r="P4319" i="1" s="1"/>
  <c r="Q4320" i="1"/>
  <c r="P4320" i="1" s="1"/>
  <c r="Q4321" i="1"/>
  <c r="P4321" i="1" s="1"/>
  <c r="Q4322" i="1"/>
  <c r="P4322" i="1" s="1"/>
  <c r="Q4323" i="1"/>
  <c r="P4323" i="1" s="1"/>
  <c r="Q4324" i="1"/>
  <c r="P4324" i="1" s="1"/>
  <c r="Q4325" i="1"/>
  <c r="P4325" i="1" s="1"/>
  <c r="Q4326" i="1"/>
  <c r="P4326" i="1" s="1"/>
  <c r="Q4327" i="1"/>
  <c r="P4327" i="1" s="1"/>
  <c r="Q4328" i="1"/>
  <c r="P4328" i="1" s="1"/>
  <c r="Q4329" i="1"/>
  <c r="P4329" i="1" s="1"/>
  <c r="Q4330" i="1"/>
  <c r="P4330" i="1" s="1"/>
  <c r="Q4331" i="1"/>
  <c r="P4331" i="1" s="1"/>
  <c r="Q4332" i="1"/>
  <c r="P4332" i="1" s="1"/>
  <c r="Q4333" i="1"/>
  <c r="P4333" i="1" s="1"/>
  <c r="Q4334" i="1"/>
  <c r="P4334" i="1" s="1"/>
  <c r="Q4335" i="1"/>
  <c r="P4335" i="1" s="1"/>
  <c r="Q4336" i="1"/>
  <c r="P4336" i="1" s="1"/>
  <c r="Q4337" i="1"/>
  <c r="P4337" i="1" s="1"/>
  <c r="Q4338" i="1"/>
  <c r="P4338" i="1" s="1"/>
  <c r="B4317" i="1"/>
  <c r="H4317" i="1"/>
  <c r="K4317" i="1"/>
  <c r="Q4317" i="1"/>
  <c r="P4317" i="1" s="1"/>
  <c r="B4297" i="1"/>
  <c r="B4298" i="1"/>
  <c r="B4299" i="1"/>
  <c r="B4300" i="1"/>
  <c r="B4301" i="1"/>
  <c r="B4302" i="1"/>
  <c r="B4303" i="1"/>
  <c r="B4304" i="1"/>
  <c r="B4305" i="1"/>
  <c r="B4306" i="1"/>
  <c r="B4307" i="1"/>
  <c r="B4308" i="1"/>
  <c r="B4309" i="1"/>
  <c r="B4310" i="1"/>
  <c r="B4311" i="1"/>
  <c r="B4312" i="1"/>
  <c r="B4313" i="1"/>
  <c r="B4314" i="1"/>
  <c r="B4315" i="1"/>
  <c r="B4316" i="1"/>
  <c r="H4297" i="1"/>
  <c r="H4298" i="1"/>
  <c r="H4299" i="1"/>
  <c r="H4300" i="1"/>
  <c r="H4301" i="1"/>
  <c r="H4302" i="1"/>
  <c r="H4303" i="1"/>
  <c r="H4304" i="1"/>
  <c r="H4305" i="1"/>
  <c r="H4306" i="1"/>
  <c r="H4307" i="1"/>
  <c r="H4308" i="1"/>
  <c r="H4309" i="1"/>
  <c r="H4310" i="1"/>
  <c r="H4311" i="1"/>
  <c r="H4312" i="1"/>
  <c r="H4313" i="1"/>
  <c r="H4314" i="1"/>
  <c r="H4315" i="1"/>
  <c r="H4316" i="1"/>
  <c r="J4307" i="1"/>
  <c r="J4308" i="1"/>
  <c r="J4311" i="1"/>
  <c r="J4313" i="1"/>
  <c r="K4297" i="1"/>
  <c r="K4298" i="1"/>
  <c r="K4299" i="1"/>
  <c r="K4300" i="1"/>
  <c r="K4301" i="1"/>
  <c r="K4302" i="1"/>
  <c r="K4303" i="1"/>
  <c r="K4304" i="1"/>
  <c r="K4305" i="1"/>
  <c r="K4306" i="1"/>
  <c r="K4307" i="1"/>
  <c r="K4308" i="1"/>
  <c r="K4309" i="1"/>
  <c r="K4310" i="1"/>
  <c r="K4311" i="1"/>
  <c r="K4312" i="1"/>
  <c r="K4313" i="1"/>
  <c r="K4314" i="1"/>
  <c r="K4315" i="1"/>
  <c r="K4316" i="1"/>
  <c r="Q4297" i="1"/>
  <c r="P4297" i="1" s="1"/>
  <c r="Q4298" i="1"/>
  <c r="P4298" i="1" s="1"/>
  <c r="Q4299" i="1"/>
  <c r="P4299" i="1" s="1"/>
  <c r="Q4300" i="1"/>
  <c r="P4300" i="1" s="1"/>
  <c r="Q4301" i="1"/>
  <c r="P4301" i="1" s="1"/>
  <c r="Q4302" i="1"/>
  <c r="P4302" i="1" s="1"/>
  <c r="Q4303" i="1"/>
  <c r="P4303" i="1" s="1"/>
  <c r="Q4304" i="1"/>
  <c r="P4304" i="1" s="1"/>
  <c r="Q4305" i="1"/>
  <c r="P4305" i="1" s="1"/>
  <c r="Q4306" i="1"/>
  <c r="P4306" i="1" s="1"/>
  <c r="Q4307" i="1"/>
  <c r="P4307" i="1" s="1"/>
  <c r="Q4308" i="1"/>
  <c r="P4308" i="1" s="1"/>
  <c r="Q4309" i="1"/>
  <c r="P4309" i="1" s="1"/>
  <c r="Q4310" i="1"/>
  <c r="P4310" i="1" s="1"/>
  <c r="Q4311" i="1"/>
  <c r="P4311" i="1" s="1"/>
  <c r="Q4312" i="1"/>
  <c r="P4312" i="1" s="1"/>
  <c r="Q4313" i="1"/>
  <c r="P4313" i="1" s="1"/>
  <c r="Q4314" i="1"/>
  <c r="P4314" i="1" s="1"/>
  <c r="Q4315" i="1"/>
  <c r="P4315" i="1" s="1"/>
  <c r="Q4316" i="1"/>
  <c r="P4316" i="1" s="1"/>
  <c r="B4296" i="1"/>
  <c r="H4296" i="1"/>
  <c r="K4296" i="1"/>
  <c r="Q4296" i="1"/>
  <c r="P4296" i="1" s="1"/>
  <c r="B4294" i="1"/>
  <c r="B4295" i="1"/>
  <c r="H4294" i="1"/>
  <c r="H4295" i="1"/>
  <c r="J4294" i="1"/>
  <c r="J4295" i="1"/>
  <c r="K4294" i="1"/>
  <c r="K4295" i="1"/>
  <c r="Q4294" i="1"/>
  <c r="P4294" i="1" s="1"/>
  <c r="Q4295" i="1"/>
  <c r="P4295" i="1" s="1"/>
  <c r="B4289" i="1"/>
  <c r="B4290" i="1"/>
  <c r="B4291" i="1"/>
  <c r="B4292" i="1"/>
  <c r="B4293" i="1"/>
  <c r="H4289" i="1"/>
  <c r="H4290" i="1"/>
  <c r="H4291" i="1"/>
  <c r="H4292" i="1"/>
  <c r="H4293" i="1"/>
  <c r="J4289" i="1"/>
  <c r="J4290" i="1"/>
  <c r="J4291" i="1"/>
  <c r="J4292" i="1"/>
  <c r="J4293" i="1"/>
  <c r="K4289" i="1"/>
  <c r="K4290" i="1"/>
  <c r="K4291" i="1"/>
  <c r="K4292" i="1"/>
  <c r="K4293" i="1"/>
  <c r="Q4289" i="1"/>
  <c r="P4289" i="1" s="1"/>
  <c r="Q4290" i="1"/>
  <c r="P4290" i="1" s="1"/>
  <c r="Q4291" i="1"/>
  <c r="P4291" i="1" s="1"/>
  <c r="Q4292" i="1"/>
  <c r="P4292" i="1" s="1"/>
  <c r="Q4293" i="1"/>
  <c r="P4293" i="1" s="1"/>
  <c r="J4284" i="1"/>
  <c r="J4282" i="1"/>
  <c r="J4240" i="1"/>
  <c r="J4228" i="1"/>
  <c r="J4281" i="1"/>
  <c r="J4280" i="1"/>
  <c r="J4263" i="1"/>
  <c r="J4262" i="1"/>
  <c r="J4261" i="1"/>
  <c r="J4260" i="1"/>
  <c r="J4246" i="1"/>
  <c r="J4245" i="1"/>
  <c r="J4243" i="1"/>
  <c r="J4241" i="1"/>
  <c r="J4232" i="1"/>
  <c r="J4231" i="1"/>
  <c r="J4230" i="1"/>
  <c r="J4229" i="1"/>
  <c r="J4227" i="1"/>
  <c r="J4225" i="1"/>
  <c r="J4224" i="1"/>
  <c r="B4275" i="1"/>
  <c r="B4276" i="1"/>
  <c r="B4277" i="1"/>
  <c r="B4278" i="1"/>
  <c r="B4279" i="1"/>
  <c r="B4280" i="1"/>
  <c r="B4281" i="1"/>
  <c r="B4282" i="1"/>
  <c r="B4283" i="1"/>
  <c r="B4284" i="1"/>
  <c r="B4285" i="1"/>
  <c r="B4286" i="1"/>
  <c r="B4287" i="1"/>
  <c r="B4288" i="1"/>
  <c r="H4275" i="1"/>
  <c r="H4276" i="1"/>
  <c r="H4277" i="1"/>
  <c r="H4278" i="1"/>
  <c r="H4279" i="1"/>
  <c r="H4280" i="1"/>
  <c r="H4281" i="1"/>
  <c r="H4282" i="1"/>
  <c r="H4283" i="1"/>
  <c r="H4284" i="1"/>
  <c r="H4285" i="1"/>
  <c r="H4286" i="1"/>
  <c r="H4287" i="1"/>
  <c r="H4288" i="1"/>
  <c r="J4275" i="1"/>
  <c r="J4276" i="1"/>
  <c r="J4277" i="1"/>
  <c r="J4278" i="1"/>
  <c r="J4279" i="1"/>
  <c r="J4283" i="1"/>
  <c r="J4285" i="1"/>
  <c r="J4286" i="1"/>
  <c r="J4287" i="1"/>
  <c r="J4288" i="1"/>
  <c r="K4275" i="1"/>
  <c r="K4276" i="1"/>
  <c r="K4277" i="1"/>
  <c r="K4278" i="1"/>
  <c r="K4279" i="1"/>
  <c r="K4280" i="1"/>
  <c r="K4281" i="1"/>
  <c r="K4282" i="1"/>
  <c r="K4283" i="1"/>
  <c r="K4284" i="1"/>
  <c r="K4285" i="1"/>
  <c r="K4286" i="1"/>
  <c r="K4287" i="1"/>
  <c r="K4288" i="1"/>
  <c r="Q4275" i="1"/>
  <c r="P4275" i="1" s="1"/>
  <c r="Q4276" i="1"/>
  <c r="P4276" i="1" s="1"/>
  <c r="Q4277" i="1"/>
  <c r="P4277" i="1" s="1"/>
  <c r="Q4278" i="1"/>
  <c r="P4278" i="1" s="1"/>
  <c r="Q4279" i="1"/>
  <c r="P4279" i="1" s="1"/>
  <c r="Q4280" i="1"/>
  <c r="P4280" i="1" s="1"/>
  <c r="Q4281" i="1"/>
  <c r="P4281" i="1" s="1"/>
  <c r="Q4282" i="1"/>
  <c r="P4282" i="1" s="1"/>
  <c r="Q4283" i="1"/>
  <c r="P4283" i="1" s="1"/>
  <c r="Q4284" i="1"/>
  <c r="P4284" i="1" s="1"/>
  <c r="Q4285" i="1"/>
  <c r="P4285" i="1" s="1"/>
  <c r="Q4286" i="1"/>
  <c r="P4286" i="1" s="1"/>
  <c r="Q4287" i="1"/>
  <c r="P4287" i="1" s="1"/>
  <c r="Q4288" i="1"/>
  <c r="P4288" i="1" s="1"/>
  <c r="B4273" i="1"/>
  <c r="B4274" i="1"/>
  <c r="H4273" i="1"/>
  <c r="H4274" i="1"/>
  <c r="J4273" i="1"/>
  <c r="J4274" i="1"/>
  <c r="K4273" i="1"/>
  <c r="K4274" i="1"/>
  <c r="Q4273" i="1"/>
  <c r="P4273" i="1" s="1"/>
  <c r="Q4274" i="1"/>
  <c r="P4274" i="1" s="1"/>
  <c r="B4225" i="1"/>
  <c r="B4226" i="1"/>
  <c r="B4227" i="1"/>
  <c r="B4228" i="1"/>
  <c r="B4229" i="1"/>
  <c r="B4230" i="1"/>
  <c r="B4231" i="1"/>
  <c r="B4232" i="1"/>
  <c r="B4233" i="1"/>
  <c r="B4234" i="1"/>
  <c r="B4235" i="1"/>
  <c r="B4236" i="1"/>
  <c r="B4237" i="1"/>
  <c r="B4238" i="1"/>
  <c r="B4239" i="1"/>
  <c r="B4240" i="1"/>
  <c r="B4241" i="1"/>
  <c r="B4242" i="1"/>
  <c r="B4243" i="1"/>
  <c r="B4244" i="1"/>
  <c r="B4245" i="1"/>
  <c r="B4246" i="1"/>
  <c r="B4247" i="1"/>
  <c r="B4248" i="1"/>
  <c r="B4249" i="1"/>
  <c r="B4250" i="1"/>
  <c r="B4251" i="1"/>
  <c r="B4252" i="1"/>
  <c r="B4253" i="1"/>
  <c r="B4254" i="1"/>
  <c r="B4255" i="1"/>
  <c r="B4256" i="1"/>
  <c r="B4257" i="1"/>
  <c r="B4258" i="1"/>
  <c r="B4259" i="1"/>
  <c r="B4260" i="1"/>
  <c r="B4261" i="1"/>
  <c r="B4262" i="1"/>
  <c r="B4263" i="1"/>
  <c r="B4264" i="1"/>
  <c r="B4265" i="1"/>
  <c r="B4266" i="1"/>
  <c r="B4267" i="1"/>
  <c r="B4268" i="1"/>
  <c r="B4269" i="1"/>
  <c r="B4270" i="1"/>
  <c r="B4271" i="1"/>
  <c r="B4272" i="1"/>
  <c r="H4225" i="1"/>
  <c r="H4226" i="1"/>
  <c r="H4227" i="1"/>
  <c r="H4228" i="1"/>
  <c r="H4229" i="1"/>
  <c r="H4230" i="1"/>
  <c r="H4231" i="1"/>
  <c r="H4232" i="1"/>
  <c r="H4233" i="1"/>
  <c r="H4234" i="1"/>
  <c r="H4235" i="1"/>
  <c r="H4236" i="1"/>
  <c r="H4237" i="1"/>
  <c r="H4238" i="1"/>
  <c r="H4239" i="1"/>
  <c r="H4240" i="1"/>
  <c r="H4241" i="1"/>
  <c r="H4242" i="1"/>
  <c r="H4243" i="1"/>
  <c r="H4244" i="1"/>
  <c r="H4245" i="1"/>
  <c r="H4246" i="1"/>
  <c r="H4247" i="1"/>
  <c r="H4248" i="1"/>
  <c r="H4249" i="1"/>
  <c r="H4250" i="1"/>
  <c r="H4251" i="1"/>
  <c r="H4252" i="1"/>
  <c r="H4253" i="1"/>
  <c r="H4254" i="1"/>
  <c r="H4255" i="1"/>
  <c r="H4256" i="1"/>
  <c r="H4257" i="1"/>
  <c r="H4258" i="1"/>
  <c r="H4259" i="1"/>
  <c r="H4260" i="1"/>
  <c r="H4261" i="1"/>
  <c r="H4262" i="1"/>
  <c r="H4263" i="1"/>
  <c r="H4264" i="1"/>
  <c r="H4265" i="1"/>
  <c r="H4266" i="1"/>
  <c r="H4267" i="1"/>
  <c r="H4268" i="1"/>
  <c r="H4269" i="1"/>
  <c r="H4270" i="1"/>
  <c r="H4271" i="1"/>
  <c r="H4272" i="1"/>
  <c r="J4226" i="1"/>
  <c r="J4233" i="1"/>
  <c r="J4234" i="1"/>
  <c r="J4235" i="1"/>
  <c r="J4236" i="1"/>
  <c r="J4237" i="1"/>
  <c r="J4238" i="1"/>
  <c r="J4239" i="1"/>
  <c r="J4242" i="1"/>
  <c r="J4244" i="1"/>
  <c r="J4247" i="1"/>
  <c r="J4248" i="1"/>
  <c r="J4249" i="1"/>
  <c r="J4250" i="1"/>
  <c r="J4251" i="1"/>
  <c r="J4252" i="1"/>
  <c r="J4253" i="1"/>
  <c r="J4254" i="1"/>
  <c r="J4255" i="1"/>
  <c r="J4256" i="1"/>
  <c r="J4257" i="1"/>
  <c r="J4258" i="1"/>
  <c r="J4259" i="1"/>
  <c r="J4264" i="1"/>
  <c r="J4265" i="1"/>
  <c r="J4266" i="1"/>
  <c r="J4267" i="1"/>
  <c r="J4268" i="1"/>
  <c r="J4269" i="1"/>
  <c r="J4270" i="1"/>
  <c r="J4271" i="1"/>
  <c r="J4272" i="1"/>
  <c r="K4225" i="1"/>
  <c r="K4226" i="1"/>
  <c r="K4227" i="1"/>
  <c r="K4228" i="1"/>
  <c r="K4229" i="1"/>
  <c r="K4230" i="1"/>
  <c r="K4231" i="1"/>
  <c r="K4232" i="1"/>
  <c r="K4233" i="1"/>
  <c r="K4234" i="1"/>
  <c r="K4235" i="1"/>
  <c r="K4236" i="1"/>
  <c r="K4237" i="1"/>
  <c r="K4238" i="1"/>
  <c r="K4239" i="1"/>
  <c r="K4240" i="1"/>
  <c r="K4241" i="1"/>
  <c r="K4242" i="1"/>
  <c r="K4243" i="1"/>
  <c r="K4244" i="1"/>
  <c r="K4245" i="1"/>
  <c r="K4246" i="1"/>
  <c r="K4247" i="1"/>
  <c r="K4248" i="1"/>
  <c r="K4249" i="1"/>
  <c r="K4250" i="1"/>
  <c r="K4251" i="1"/>
  <c r="K4252" i="1"/>
  <c r="K4253" i="1"/>
  <c r="K4254" i="1"/>
  <c r="K4255" i="1"/>
  <c r="K4256" i="1"/>
  <c r="K4257" i="1"/>
  <c r="K4258" i="1"/>
  <c r="K4259" i="1"/>
  <c r="K4260" i="1"/>
  <c r="K4261" i="1"/>
  <c r="K4262" i="1"/>
  <c r="K4263" i="1"/>
  <c r="K4264" i="1"/>
  <c r="K4265" i="1"/>
  <c r="K4266" i="1"/>
  <c r="K4267" i="1"/>
  <c r="K4268" i="1"/>
  <c r="K4269" i="1"/>
  <c r="K4270" i="1"/>
  <c r="K4271" i="1"/>
  <c r="K4272" i="1"/>
  <c r="Q4225" i="1"/>
  <c r="P4225" i="1" s="1"/>
  <c r="Q4226" i="1"/>
  <c r="P4226" i="1" s="1"/>
  <c r="Q4227" i="1"/>
  <c r="P4227" i="1" s="1"/>
  <c r="Q4228" i="1"/>
  <c r="P4228" i="1" s="1"/>
  <c r="Q4229" i="1"/>
  <c r="P4229" i="1" s="1"/>
  <c r="Q4230" i="1"/>
  <c r="P4230" i="1" s="1"/>
  <c r="Q4231" i="1"/>
  <c r="P4231" i="1" s="1"/>
  <c r="Q4232" i="1"/>
  <c r="P4232" i="1" s="1"/>
  <c r="Q4233" i="1"/>
  <c r="P4233" i="1" s="1"/>
  <c r="Q4234" i="1"/>
  <c r="P4234" i="1" s="1"/>
  <c r="Q4235" i="1"/>
  <c r="P4235" i="1" s="1"/>
  <c r="Q4236" i="1"/>
  <c r="P4236" i="1" s="1"/>
  <c r="Q4237" i="1"/>
  <c r="P4237" i="1" s="1"/>
  <c r="Q4238" i="1"/>
  <c r="P4238" i="1" s="1"/>
  <c r="Q4239" i="1"/>
  <c r="P4239" i="1" s="1"/>
  <c r="Q4240" i="1"/>
  <c r="P4240" i="1" s="1"/>
  <c r="Q4241" i="1"/>
  <c r="P4241" i="1" s="1"/>
  <c r="Q4242" i="1"/>
  <c r="P4242" i="1" s="1"/>
  <c r="Q4243" i="1"/>
  <c r="P4243" i="1" s="1"/>
  <c r="Q4244" i="1"/>
  <c r="P4244" i="1" s="1"/>
  <c r="Q4245" i="1"/>
  <c r="P4245" i="1" s="1"/>
  <c r="Q4246" i="1"/>
  <c r="P4246" i="1" s="1"/>
  <c r="Q4247" i="1"/>
  <c r="P4247" i="1" s="1"/>
  <c r="Q4248" i="1"/>
  <c r="P4248" i="1" s="1"/>
  <c r="Q4249" i="1"/>
  <c r="P4249" i="1" s="1"/>
  <c r="Q4250" i="1"/>
  <c r="P4250" i="1" s="1"/>
  <c r="Q4251" i="1"/>
  <c r="P4251" i="1" s="1"/>
  <c r="Q4252" i="1"/>
  <c r="P4252" i="1" s="1"/>
  <c r="Q4253" i="1"/>
  <c r="P4253" i="1" s="1"/>
  <c r="Q4254" i="1"/>
  <c r="P4254" i="1" s="1"/>
  <c r="Q4255" i="1"/>
  <c r="P4255" i="1" s="1"/>
  <c r="Q4256" i="1"/>
  <c r="P4256" i="1" s="1"/>
  <c r="Q4257" i="1"/>
  <c r="P4257" i="1" s="1"/>
  <c r="Q4258" i="1"/>
  <c r="P4258" i="1" s="1"/>
  <c r="Q4259" i="1"/>
  <c r="P4259" i="1" s="1"/>
  <c r="Q4260" i="1"/>
  <c r="P4260" i="1" s="1"/>
  <c r="Q4261" i="1"/>
  <c r="P4261" i="1" s="1"/>
  <c r="Q4262" i="1"/>
  <c r="P4262" i="1" s="1"/>
  <c r="Q4263" i="1"/>
  <c r="P4263" i="1" s="1"/>
  <c r="Q4264" i="1"/>
  <c r="P4264" i="1" s="1"/>
  <c r="Q4265" i="1"/>
  <c r="P4265" i="1" s="1"/>
  <c r="Q4266" i="1"/>
  <c r="P4266" i="1" s="1"/>
  <c r="Q4267" i="1"/>
  <c r="P4267" i="1" s="1"/>
  <c r="Q4268" i="1"/>
  <c r="P4268" i="1" s="1"/>
  <c r="Q4269" i="1"/>
  <c r="P4269" i="1" s="1"/>
  <c r="Q4270" i="1"/>
  <c r="P4270" i="1" s="1"/>
  <c r="Q4271" i="1"/>
  <c r="P4271" i="1" s="1"/>
  <c r="Q4272" i="1"/>
  <c r="P4272" i="1" s="1"/>
  <c r="B4224" i="1"/>
  <c r="H4224" i="1"/>
  <c r="K4224" i="1"/>
  <c r="Q4224" i="1"/>
  <c r="P4224" i="1" s="1"/>
  <c r="B4223" i="1"/>
  <c r="H4223" i="1"/>
  <c r="J4223" i="1"/>
  <c r="K4223" i="1"/>
  <c r="Q4223" i="1"/>
  <c r="P4223" i="1" s="1"/>
  <c r="J4213" i="1"/>
  <c r="J4211" i="1"/>
  <c r="J4210" i="1"/>
  <c r="J4209" i="1"/>
  <c r="J4208" i="1"/>
  <c r="J4207" i="1"/>
  <c r="J4201" i="1"/>
  <c r="J4200" i="1"/>
  <c r="J4199" i="1"/>
  <c r="J4189" i="1"/>
  <c r="B4211" i="1"/>
  <c r="B4212" i="1"/>
  <c r="B4213" i="1"/>
  <c r="B4214" i="1"/>
  <c r="B4215" i="1"/>
  <c r="B4216" i="1"/>
  <c r="B4217" i="1"/>
  <c r="B4218" i="1"/>
  <c r="B4219" i="1"/>
  <c r="B4220" i="1"/>
  <c r="B4221" i="1"/>
  <c r="B4222" i="1"/>
  <c r="H4211" i="1"/>
  <c r="H4212" i="1"/>
  <c r="H4213" i="1"/>
  <c r="H4214" i="1"/>
  <c r="H4215" i="1"/>
  <c r="H4216" i="1"/>
  <c r="H4217" i="1"/>
  <c r="H4218" i="1"/>
  <c r="H4219" i="1"/>
  <c r="H4220" i="1"/>
  <c r="H4221" i="1"/>
  <c r="H4222" i="1"/>
  <c r="J4212" i="1"/>
  <c r="J4214" i="1"/>
  <c r="J4215" i="1"/>
  <c r="J4216" i="1"/>
  <c r="J4217" i="1"/>
  <c r="J4218" i="1"/>
  <c r="J4219" i="1"/>
  <c r="J4220" i="1"/>
  <c r="J4221" i="1"/>
  <c r="J4222" i="1"/>
  <c r="K4211" i="1"/>
  <c r="K4212" i="1"/>
  <c r="K4213" i="1"/>
  <c r="K4214" i="1"/>
  <c r="K4215" i="1"/>
  <c r="K4216" i="1"/>
  <c r="K4217" i="1"/>
  <c r="K4218" i="1"/>
  <c r="K4219" i="1"/>
  <c r="K4220" i="1"/>
  <c r="K4221" i="1"/>
  <c r="K4222" i="1"/>
  <c r="Q4211" i="1"/>
  <c r="P4211" i="1" s="1"/>
  <c r="Q4212" i="1"/>
  <c r="P4212" i="1" s="1"/>
  <c r="Q4213" i="1"/>
  <c r="P4213" i="1" s="1"/>
  <c r="Q4214" i="1"/>
  <c r="P4214" i="1" s="1"/>
  <c r="Q4215" i="1"/>
  <c r="P4215" i="1" s="1"/>
  <c r="Q4216" i="1"/>
  <c r="P4216" i="1" s="1"/>
  <c r="Q4217" i="1"/>
  <c r="P4217" i="1" s="1"/>
  <c r="Q4218" i="1"/>
  <c r="P4218" i="1" s="1"/>
  <c r="Q4219" i="1"/>
  <c r="P4219" i="1" s="1"/>
  <c r="Q4220" i="1"/>
  <c r="P4220" i="1" s="1"/>
  <c r="Q4221" i="1"/>
  <c r="P4221" i="1" s="1"/>
  <c r="Q4222" i="1"/>
  <c r="P4222" i="1" s="1"/>
  <c r="B4200" i="1"/>
  <c r="B4201" i="1"/>
  <c r="B4202" i="1"/>
  <c r="B4203" i="1"/>
  <c r="B4204" i="1"/>
  <c r="B4205" i="1"/>
  <c r="B4206" i="1"/>
  <c r="B4207" i="1"/>
  <c r="B4208" i="1"/>
  <c r="B4209" i="1"/>
  <c r="B4210" i="1"/>
  <c r="H4200" i="1"/>
  <c r="H4201" i="1"/>
  <c r="H4202" i="1"/>
  <c r="H4203" i="1"/>
  <c r="H4204" i="1"/>
  <c r="H4205" i="1"/>
  <c r="H4206" i="1"/>
  <c r="H4207" i="1"/>
  <c r="H4208" i="1"/>
  <c r="H4209" i="1"/>
  <c r="H4210" i="1"/>
  <c r="J4202" i="1"/>
  <c r="J4203" i="1"/>
  <c r="J4204" i="1"/>
  <c r="J4205" i="1"/>
  <c r="J4206" i="1"/>
  <c r="K4200" i="1"/>
  <c r="K4201" i="1"/>
  <c r="K4202" i="1"/>
  <c r="K4203" i="1"/>
  <c r="K4204" i="1"/>
  <c r="K4205" i="1"/>
  <c r="K4206" i="1"/>
  <c r="K4207" i="1"/>
  <c r="K4208" i="1"/>
  <c r="K4209" i="1"/>
  <c r="K4210" i="1"/>
  <c r="Q4200" i="1"/>
  <c r="P4200" i="1" s="1"/>
  <c r="Q4201" i="1"/>
  <c r="P4201" i="1" s="1"/>
  <c r="Q4202" i="1"/>
  <c r="P4202" i="1" s="1"/>
  <c r="Q4203" i="1"/>
  <c r="P4203" i="1" s="1"/>
  <c r="Q4204" i="1"/>
  <c r="P4204" i="1" s="1"/>
  <c r="Q4205" i="1"/>
  <c r="P4205" i="1" s="1"/>
  <c r="Q4206" i="1"/>
  <c r="P4206" i="1" s="1"/>
  <c r="Q4207" i="1"/>
  <c r="P4207" i="1" s="1"/>
  <c r="Q4208" i="1"/>
  <c r="P4208" i="1" s="1"/>
  <c r="Q4209" i="1"/>
  <c r="P4209" i="1" s="1"/>
  <c r="Q4210" i="1"/>
  <c r="P4210" i="1" s="1"/>
  <c r="B4199" i="1"/>
  <c r="H4199" i="1"/>
  <c r="K4199" i="1"/>
  <c r="Q4199" i="1"/>
  <c r="P4199" i="1" s="1"/>
  <c r="B4196" i="1"/>
  <c r="B4197" i="1"/>
  <c r="B4198" i="1"/>
  <c r="H4196" i="1"/>
  <c r="H4197" i="1"/>
  <c r="H4198" i="1"/>
  <c r="J4196" i="1"/>
  <c r="J4197" i="1"/>
  <c r="J4198" i="1"/>
  <c r="K4196" i="1"/>
  <c r="K4197" i="1"/>
  <c r="K4198" i="1"/>
  <c r="Q4196" i="1"/>
  <c r="P4196" i="1" s="1"/>
  <c r="Q4197" i="1"/>
  <c r="P4197" i="1" s="1"/>
  <c r="Q4198" i="1"/>
  <c r="P4198" i="1" s="1"/>
  <c r="B4179" i="1"/>
  <c r="B4180" i="1"/>
  <c r="B4181" i="1"/>
  <c r="B4182" i="1"/>
  <c r="B4183" i="1"/>
  <c r="B4184" i="1"/>
  <c r="B4185" i="1"/>
  <c r="B4186" i="1"/>
  <c r="B4187" i="1"/>
  <c r="B4188" i="1"/>
  <c r="B4189" i="1"/>
  <c r="B4190" i="1"/>
  <c r="B4191" i="1"/>
  <c r="B4192" i="1"/>
  <c r="B4193" i="1"/>
  <c r="B4194" i="1"/>
  <c r="B4195" i="1"/>
  <c r="H4179" i="1"/>
  <c r="H4180" i="1"/>
  <c r="H4181" i="1"/>
  <c r="H4182" i="1"/>
  <c r="H4183" i="1"/>
  <c r="H4184" i="1"/>
  <c r="H4185" i="1"/>
  <c r="H4186" i="1"/>
  <c r="H4187" i="1"/>
  <c r="H4188" i="1"/>
  <c r="H4189" i="1"/>
  <c r="H4190" i="1"/>
  <c r="H4191" i="1"/>
  <c r="H4192" i="1"/>
  <c r="H4193" i="1"/>
  <c r="H4194" i="1"/>
  <c r="H4195" i="1"/>
  <c r="J4179" i="1"/>
  <c r="J4180" i="1"/>
  <c r="J4181" i="1"/>
  <c r="J4182" i="1"/>
  <c r="J4183" i="1"/>
  <c r="J4184" i="1"/>
  <c r="J4185" i="1"/>
  <c r="J4186" i="1"/>
  <c r="J4187" i="1"/>
  <c r="J4188" i="1"/>
  <c r="J4190" i="1"/>
  <c r="J4191" i="1"/>
  <c r="J4192" i="1"/>
  <c r="J4193" i="1"/>
  <c r="J4194" i="1"/>
  <c r="J4195" i="1"/>
  <c r="K4179" i="1"/>
  <c r="K4180" i="1"/>
  <c r="K4181" i="1"/>
  <c r="K4182" i="1"/>
  <c r="K4183" i="1"/>
  <c r="K4184" i="1"/>
  <c r="K4185" i="1"/>
  <c r="K4186" i="1"/>
  <c r="K4187" i="1"/>
  <c r="K4188" i="1"/>
  <c r="K4189" i="1"/>
  <c r="K4190" i="1"/>
  <c r="K4191" i="1"/>
  <c r="K4192" i="1"/>
  <c r="K4193" i="1"/>
  <c r="K4194" i="1"/>
  <c r="K4195" i="1"/>
  <c r="Q4179" i="1"/>
  <c r="P4179" i="1" s="1"/>
  <c r="Q4180" i="1"/>
  <c r="P4180" i="1" s="1"/>
  <c r="Q4181" i="1"/>
  <c r="P4181" i="1" s="1"/>
  <c r="Q4182" i="1"/>
  <c r="P4182" i="1" s="1"/>
  <c r="Q4183" i="1"/>
  <c r="P4183" i="1" s="1"/>
  <c r="Q4184" i="1"/>
  <c r="P4184" i="1" s="1"/>
  <c r="Q4185" i="1"/>
  <c r="P4185" i="1" s="1"/>
  <c r="Q4186" i="1"/>
  <c r="P4186" i="1" s="1"/>
  <c r="Q4187" i="1"/>
  <c r="P4187" i="1" s="1"/>
  <c r="Q4188" i="1"/>
  <c r="P4188" i="1" s="1"/>
  <c r="Q4189" i="1"/>
  <c r="P4189" i="1" s="1"/>
  <c r="Q4190" i="1"/>
  <c r="P4190" i="1" s="1"/>
  <c r="Q4191" i="1"/>
  <c r="P4191" i="1" s="1"/>
  <c r="Q4192" i="1"/>
  <c r="P4192" i="1" s="1"/>
  <c r="Q4193" i="1"/>
  <c r="P4193" i="1" s="1"/>
  <c r="Q4194" i="1"/>
  <c r="P4194" i="1" s="1"/>
  <c r="Q4195" i="1"/>
  <c r="P4195" i="1" s="1"/>
  <c r="B4173" i="1"/>
  <c r="B4174" i="1"/>
  <c r="B4175" i="1"/>
  <c r="B4176" i="1"/>
  <c r="B4177" i="1"/>
  <c r="B4178" i="1"/>
  <c r="H4173" i="1"/>
  <c r="H4174" i="1"/>
  <c r="H4175" i="1"/>
  <c r="H4176" i="1"/>
  <c r="H4177" i="1"/>
  <c r="H4178" i="1"/>
  <c r="J4173" i="1"/>
  <c r="J4174" i="1"/>
  <c r="J4175" i="1"/>
  <c r="J4176" i="1"/>
  <c r="J4177" i="1"/>
  <c r="J4178" i="1"/>
  <c r="K4173" i="1"/>
  <c r="K4174" i="1"/>
  <c r="K4175" i="1"/>
  <c r="K4176" i="1"/>
  <c r="K4177" i="1"/>
  <c r="K4178" i="1"/>
  <c r="Q4173" i="1"/>
  <c r="P4173" i="1" s="1"/>
  <c r="Q4174" i="1"/>
  <c r="P4174" i="1" s="1"/>
  <c r="Q4175" i="1"/>
  <c r="P4175" i="1" s="1"/>
  <c r="Q4176" i="1"/>
  <c r="P4176" i="1" s="1"/>
  <c r="Q4177" i="1"/>
  <c r="P4177" i="1" s="1"/>
  <c r="Q4178" i="1"/>
  <c r="P4178" i="1" s="1"/>
  <c r="B4172" i="1"/>
  <c r="B4171" i="1"/>
  <c r="B4170" i="1"/>
  <c r="B4169" i="1"/>
  <c r="B4168" i="1"/>
  <c r="B4167" i="1"/>
  <c r="B4166" i="1"/>
  <c r="B4165" i="1"/>
  <c r="B4164" i="1"/>
  <c r="B4163" i="1"/>
  <c r="B4162" i="1"/>
  <c r="B4161" i="1"/>
  <c r="B4160" i="1"/>
  <c r="B4159" i="1"/>
  <c r="B4158" i="1"/>
  <c r="B4157" i="1"/>
  <c r="B4156" i="1"/>
  <c r="B4155" i="1"/>
  <c r="B4154" i="1"/>
  <c r="B4153" i="1"/>
  <c r="B4152" i="1"/>
  <c r="B4151" i="1"/>
  <c r="B4150" i="1"/>
  <c r="B4149" i="1"/>
  <c r="B4148" i="1"/>
  <c r="B4147" i="1"/>
  <c r="B4146" i="1"/>
  <c r="B4145" i="1"/>
  <c r="B4144" i="1"/>
  <c r="B4143" i="1"/>
  <c r="B4142" i="1"/>
  <c r="B4141" i="1"/>
  <c r="B4140" i="1"/>
  <c r="B4139" i="1"/>
  <c r="B4138" i="1"/>
  <c r="B4137" i="1"/>
  <c r="B4136" i="1"/>
  <c r="B4135" i="1"/>
  <c r="B4134" i="1"/>
  <c r="B4133" i="1"/>
  <c r="B4132" i="1"/>
  <c r="B4131" i="1"/>
  <c r="B4130" i="1"/>
  <c r="B4129" i="1"/>
  <c r="B4128" i="1"/>
  <c r="B4127" i="1"/>
  <c r="B4126" i="1"/>
  <c r="B4125" i="1"/>
  <c r="B4124" i="1"/>
  <c r="B4123" i="1"/>
  <c r="B4122" i="1"/>
  <c r="B4121" i="1"/>
  <c r="B4120" i="1"/>
  <c r="B4119" i="1"/>
  <c r="B4118" i="1"/>
  <c r="B4117" i="1"/>
  <c r="B4116" i="1"/>
  <c r="B4115" i="1"/>
  <c r="B4114" i="1"/>
  <c r="B4113" i="1"/>
  <c r="B4112" i="1"/>
  <c r="B4111" i="1"/>
  <c r="B4110" i="1"/>
  <c r="B4109" i="1"/>
  <c r="B4108" i="1"/>
  <c r="B4107" i="1"/>
  <c r="B4106" i="1"/>
  <c r="B4105" i="1"/>
  <c r="B4104" i="1"/>
  <c r="B4103" i="1"/>
  <c r="B4102" i="1"/>
  <c r="B4101" i="1"/>
  <c r="B4100" i="1"/>
  <c r="B4099" i="1"/>
  <c r="B4098" i="1"/>
  <c r="B4097" i="1"/>
  <c r="B4096" i="1"/>
  <c r="B4095" i="1"/>
  <c r="B4094" i="1"/>
  <c r="B4093" i="1"/>
  <c r="B4092" i="1"/>
  <c r="B4091" i="1"/>
  <c r="B4090" i="1"/>
  <c r="B4089" i="1"/>
  <c r="B4088" i="1"/>
  <c r="B4087" i="1"/>
  <c r="B4086" i="1"/>
  <c r="B4085" i="1"/>
  <c r="B4084" i="1"/>
  <c r="B4083" i="1"/>
  <c r="B4082" i="1"/>
  <c r="B4081" i="1"/>
  <c r="B4080" i="1"/>
  <c r="B4079" i="1"/>
  <c r="B4078" i="1"/>
  <c r="B4077" i="1"/>
  <c r="B4076" i="1"/>
  <c r="B4075" i="1"/>
  <c r="B4074" i="1"/>
  <c r="B4073" i="1"/>
  <c r="B4072" i="1"/>
  <c r="B4071" i="1"/>
  <c r="B4070" i="1"/>
  <c r="B4069" i="1"/>
  <c r="B4068" i="1"/>
  <c r="B4067" i="1"/>
  <c r="B4066" i="1"/>
  <c r="B4065" i="1"/>
  <c r="B4064" i="1"/>
  <c r="B4063" i="1"/>
  <c r="B4062" i="1"/>
  <c r="B4061" i="1"/>
  <c r="B4060" i="1"/>
  <c r="B4059" i="1"/>
  <c r="B4058" i="1"/>
  <c r="B4057" i="1"/>
  <c r="B4056" i="1"/>
  <c r="B4055" i="1"/>
  <c r="B4054" i="1"/>
  <c r="B4053" i="1"/>
  <c r="B4052" i="1"/>
  <c r="B4051" i="1"/>
  <c r="B4050" i="1"/>
  <c r="B4049" i="1"/>
  <c r="B4048" i="1"/>
  <c r="B4047" i="1"/>
  <c r="B4046" i="1"/>
  <c r="B4045" i="1"/>
  <c r="B4044" i="1"/>
  <c r="B4043" i="1"/>
  <c r="B4042" i="1"/>
  <c r="B4041" i="1"/>
  <c r="B4040" i="1"/>
  <c r="B4039" i="1"/>
  <c r="B4038" i="1"/>
  <c r="B4037" i="1"/>
  <c r="B4036" i="1"/>
  <c r="B4035" i="1"/>
  <c r="B4034" i="1"/>
  <c r="B4033" i="1"/>
  <c r="B4032" i="1"/>
  <c r="B4031" i="1"/>
  <c r="B4030" i="1"/>
  <c r="B4029" i="1"/>
  <c r="B4028" i="1"/>
  <c r="B4027" i="1"/>
  <c r="B4026" i="1"/>
  <c r="B4025" i="1"/>
  <c r="B4024" i="1"/>
  <c r="B4023" i="1"/>
  <c r="B4022" i="1"/>
  <c r="B4021" i="1"/>
  <c r="B4020" i="1"/>
  <c r="B4019" i="1"/>
  <c r="B4018" i="1"/>
  <c r="B4017" i="1"/>
  <c r="B4016" i="1"/>
  <c r="B4015" i="1"/>
  <c r="B4014" i="1"/>
  <c r="B4013" i="1"/>
  <c r="B4012" i="1"/>
  <c r="B4011" i="1"/>
  <c r="B4010" i="1"/>
  <c r="B4009" i="1"/>
  <c r="B4008" i="1"/>
  <c r="B4007" i="1"/>
  <c r="B4006" i="1"/>
  <c r="B4005" i="1"/>
  <c r="B4004" i="1"/>
  <c r="B4003" i="1"/>
  <c r="B4002" i="1"/>
  <c r="B4001" i="1"/>
  <c r="B4000" i="1"/>
  <c r="B3999" i="1"/>
  <c r="B3998" i="1"/>
  <c r="B3997" i="1"/>
  <c r="B3996" i="1"/>
  <c r="B3995" i="1"/>
  <c r="B3994" i="1"/>
  <c r="B3993" i="1"/>
  <c r="B3992" i="1"/>
  <c r="B3991" i="1"/>
  <c r="B3990" i="1"/>
  <c r="B3989" i="1"/>
  <c r="B3988" i="1"/>
  <c r="B3987" i="1"/>
  <c r="B3986" i="1"/>
  <c r="B3985" i="1"/>
  <c r="B3984" i="1"/>
  <c r="B3983" i="1"/>
  <c r="B3982" i="1"/>
  <c r="B3981" i="1"/>
  <c r="B3980" i="1"/>
  <c r="B3979" i="1"/>
  <c r="B3978" i="1"/>
  <c r="B3977" i="1"/>
  <c r="B3976" i="1"/>
  <c r="B3975" i="1"/>
  <c r="B3974" i="1"/>
  <c r="B3973" i="1"/>
  <c r="B3972" i="1"/>
  <c r="B3971" i="1"/>
  <c r="B3970" i="1"/>
  <c r="B3969" i="1"/>
  <c r="B3968" i="1"/>
  <c r="B3967" i="1"/>
  <c r="B3966" i="1"/>
  <c r="B3965" i="1"/>
  <c r="B3964" i="1"/>
  <c r="B3963" i="1"/>
  <c r="B3962" i="1"/>
  <c r="B3961" i="1"/>
  <c r="B3960" i="1"/>
  <c r="B3959" i="1"/>
  <c r="B3958" i="1"/>
  <c r="B3957" i="1"/>
  <c r="B3956" i="1"/>
  <c r="B3955" i="1"/>
  <c r="B3954" i="1"/>
  <c r="B3953" i="1"/>
  <c r="B3952" i="1"/>
  <c r="B3951" i="1"/>
  <c r="B3950" i="1"/>
  <c r="B3949" i="1"/>
  <c r="B3948" i="1"/>
  <c r="B3947" i="1"/>
  <c r="B3946" i="1"/>
  <c r="B3945" i="1"/>
  <c r="B3944" i="1"/>
  <c r="B3943" i="1"/>
  <c r="B3942" i="1"/>
  <c r="B3941" i="1"/>
  <c r="B3940" i="1"/>
  <c r="B3939" i="1"/>
  <c r="B3938" i="1"/>
  <c r="B3937" i="1"/>
  <c r="B3936" i="1"/>
  <c r="B3935" i="1"/>
  <c r="B3934" i="1"/>
  <c r="B3933" i="1"/>
  <c r="B3932" i="1"/>
  <c r="B3931" i="1"/>
  <c r="B3930" i="1"/>
  <c r="B3929" i="1"/>
  <c r="B3928" i="1"/>
  <c r="B3927" i="1"/>
  <c r="B3926" i="1"/>
  <c r="B3925" i="1"/>
  <c r="B3924" i="1"/>
  <c r="B3923" i="1"/>
  <c r="B3922" i="1"/>
  <c r="B3921" i="1"/>
  <c r="B3920" i="1"/>
  <c r="B3919" i="1"/>
  <c r="B3918" i="1"/>
  <c r="B3917" i="1"/>
  <c r="B3916" i="1"/>
  <c r="B3915" i="1"/>
  <c r="B3914" i="1"/>
  <c r="B3913" i="1"/>
  <c r="B3912" i="1"/>
  <c r="B3911" i="1"/>
  <c r="B3910" i="1"/>
  <c r="B3909" i="1"/>
  <c r="B3908" i="1"/>
  <c r="B3907" i="1"/>
  <c r="B3906" i="1"/>
  <c r="B3905" i="1"/>
  <c r="B3904" i="1"/>
  <c r="B3903" i="1"/>
  <c r="B3902" i="1"/>
  <c r="B3901" i="1"/>
  <c r="B3900" i="1"/>
  <c r="B3899" i="1"/>
  <c r="B3898" i="1"/>
  <c r="B3897" i="1"/>
  <c r="B3896" i="1"/>
  <c r="B3895" i="1"/>
  <c r="B3894" i="1"/>
  <c r="B3893" i="1"/>
  <c r="B3892" i="1"/>
  <c r="B3891" i="1"/>
  <c r="B3890" i="1"/>
  <c r="B3889" i="1"/>
  <c r="B3888" i="1"/>
  <c r="B3887" i="1"/>
  <c r="B3886" i="1"/>
  <c r="B3885" i="1"/>
  <c r="B3884" i="1"/>
  <c r="B3883" i="1"/>
  <c r="B3882" i="1"/>
  <c r="B3881" i="1"/>
  <c r="B3880" i="1"/>
  <c r="B3879" i="1"/>
  <c r="B3878" i="1"/>
  <c r="B3877" i="1"/>
  <c r="B3876" i="1"/>
  <c r="B3875" i="1"/>
  <c r="B3874" i="1"/>
  <c r="B3873" i="1"/>
  <c r="B3872" i="1"/>
  <c r="B3871" i="1"/>
  <c r="B3870" i="1"/>
  <c r="B3869" i="1"/>
  <c r="B3868" i="1"/>
  <c r="B3867" i="1"/>
  <c r="B3866" i="1"/>
  <c r="B3865" i="1"/>
  <c r="B3864" i="1"/>
  <c r="B3863" i="1"/>
  <c r="B3862" i="1"/>
  <c r="B3861" i="1"/>
  <c r="B3860" i="1"/>
  <c r="B3859" i="1"/>
  <c r="B3858" i="1"/>
  <c r="B3857" i="1"/>
  <c r="B3856" i="1"/>
  <c r="B3855" i="1"/>
  <c r="B3854" i="1"/>
  <c r="B3853" i="1"/>
  <c r="B3852" i="1"/>
  <c r="B3851" i="1"/>
  <c r="B3850" i="1"/>
  <c r="B3849" i="1"/>
  <c r="B3848" i="1"/>
  <c r="B3847" i="1"/>
  <c r="B3846" i="1"/>
  <c r="B3845" i="1"/>
  <c r="B3844" i="1"/>
  <c r="B3843" i="1"/>
  <c r="B3842" i="1"/>
  <c r="B3841" i="1"/>
  <c r="B3840" i="1"/>
  <c r="B3839" i="1"/>
  <c r="B3838" i="1"/>
  <c r="B3837" i="1"/>
  <c r="B3836" i="1"/>
  <c r="B3835" i="1"/>
  <c r="B3834" i="1"/>
  <c r="B3833" i="1"/>
  <c r="B3832" i="1"/>
  <c r="B3831" i="1"/>
  <c r="B3830" i="1"/>
  <c r="B3829" i="1"/>
  <c r="B3828" i="1"/>
  <c r="B3827" i="1"/>
  <c r="B3826" i="1"/>
  <c r="B3825" i="1"/>
  <c r="B3824" i="1"/>
  <c r="B3823" i="1"/>
  <c r="B3822" i="1"/>
  <c r="B3821" i="1"/>
  <c r="B3820" i="1"/>
  <c r="B3819" i="1"/>
  <c r="B3818" i="1"/>
  <c r="B3817" i="1"/>
  <c r="B3816" i="1"/>
  <c r="B3815" i="1"/>
  <c r="B3814" i="1"/>
  <c r="B3813" i="1"/>
  <c r="B3812" i="1"/>
  <c r="B3811" i="1"/>
  <c r="B3810" i="1"/>
  <c r="B3809" i="1"/>
  <c r="B3808" i="1"/>
  <c r="B3807" i="1"/>
  <c r="B3806" i="1"/>
  <c r="B3805" i="1"/>
  <c r="B3804" i="1"/>
  <c r="B3803" i="1"/>
  <c r="B3802" i="1"/>
  <c r="B3801" i="1"/>
  <c r="B3800" i="1"/>
  <c r="B3799" i="1"/>
  <c r="B3798" i="1"/>
  <c r="B3797" i="1"/>
  <c r="B3796" i="1"/>
  <c r="B3795" i="1"/>
  <c r="B3794" i="1"/>
  <c r="B3793" i="1"/>
  <c r="B3792" i="1"/>
  <c r="B3791" i="1"/>
  <c r="B3790" i="1"/>
  <c r="B3789" i="1"/>
  <c r="B3788" i="1"/>
  <c r="B3787" i="1"/>
  <c r="B3786" i="1"/>
  <c r="B3785" i="1"/>
  <c r="B3784" i="1"/>
  <c r="B3783" i="1"/>
  <c r="B3782" i="1"/>
  <c r="B3781" i="1"/>
  <c r="B3780" i="1"/>
  <c r="B3779" i="1"/>
  <c r="B3778" i="1"/>
  <c r="B3777" i="1"/>
  <c r="B3776" i="1"/>
  <c r="B3775" i="1"/>
  <c r="B3774" i="1"/>
  <c r="B3773" i="1"/>
  <c r="B3772" i="1"/>
  <c r="B3771" i="1"/>
  <c r="B3770" i="1"/>
  <c r="B3769" i="1"/>
  <c r="B3768" i="1"/>
  <c r="B3767" i="1"/>
  <c r="B3766" i="1"/>
  <c r="B3765" i="1"/>
  <c r="B3764" i="1"/>
  <c r="B3763" i="1"/>
  <c r="B3762" i="1"/>
  <c r="B3761" i="1"/>
  <c r="B3760" i="1"/>
  <c r="B3759" i="1"/>
  <c r="B3758" i="1"/>
  <c r="B3757" i="1"/>
  <c r="B3756" i="1"/>
  <c r="B3755" i="1"/>
  <c r="B3754" i="1"/>
  <c r="B3753" i="1"/>
  <c r="B3752" i="1"/>
  <c r="B3751" i="1"/>
  <c r="B3750" i="1"/>
  <c r="B3749" i="1"/>
  <c r="B3748" i="1"/>
  <c r="B3747" i="1"/>
  <c r="B3746" i="1"/>
  <c r="B3745" i="1"/>
  <c r="B3744" i="1"/>
  <c r="B3743" i="1"/>
  <c r="B3742" i="1"/>
  <c r="B3741" i="1"/>
  <c r="B3740" i="1"/>
  <c r="B3739" i="1"/>
  <c r="B3738" i="1"/>
  <c r="B3737" i="1"/>
  <c r="B3736" i="1"/>
  <c r="B3735" i="1"/>
  <c r="B3734" i="1"/>
  <c r="B3733" i="1"/>
  <c r="B3732" i="1"/>
  <c r="B3731" i="1"/>
  <c r="B3730" i="1"/>
  <c r="B3729" i="1"/>
  <c r="B3728" i="1"/>
  <c r="B3727" i="1"/>
  <c r="B3726" i="1"/>
  <c r="B3725" i="1"/>
  <c r="B3724" i="1"/>
  <c r="B3723" i="1"/>
  <c r="B3722" i="1"/>
  <c r="B3721" i="1"/>
  <c r="B3720" i="1"/>
  <c r="B3719" i="1"/>
  <c r="B3718" i="1"/>
  <c r="B3717" i="1"/>
  <c r="B3716" i="1"/>
  <c r="B3715" i="1"/>
  <c r="B3714" i="1"/>
  <c r="B3713" i="1"/>
  <c r="B3712" i="1"/>
  <c r="B3711" i="1"/>
  <c r="B3710" i="1"/>
  <c r="B3709" i="1"/>
  <c r="B3708" i="1"/>
  <c r="B3707" i="1"/>
  <c r="B3706" i="1"/>
  <c r="B3705" i="1"/>
  <c r="B3704" i="1"/>
  <c r="B3703" i="1"/>
  <c r="B3702" i="1"/>
  <c r="B3701" i="1"/>
  <c r="B3700" i="1"/>
  <c r="B3699" i="1"/>
  <c r="B3698" i="1"/>
  <c r="B3697" i="1"/>
  <c r="B3696" i="1"/>
  <c r="B3695" i="1"/>
  <c r="B3694" i="1"/>
  <c r="B3693" i="1"/>
  <c r="B3692" i="1"/>
  <c r="B3691" i="1"/>
  <c r="B3690" i="1"/>
  <c r="B3689" i="1"/>
  <c r="B3688" i="1"/>
  <c r="B3687" i="1"/>
  <c r="B3686" i="1"/>
  <c r="B3685" i="1"/>
  <c r="B3684" i="1"/>
  <c r="B3683" i="1"/>
  <c r="B3682" i="1"/>
  <c r="B3681" i="1"/>
  <c r="B3680" i="1"/>
  <c r="B3679" i="1"/>
  <c r="B3678" i="1"/>
  <c r="B3677" i="1"/>
  <c r="B3676" i="1"/>
  <c r="B3675" i="1"/>
  <c r="B3674" i="1"/>
  <c r="B3673" i="1"/>
  <c r="B3672" i="1"/>
  <c r="B3671" i="1"/>
  <c r="B3670" i="1"/>
  <c r="B3669" i="1"/>
  <c r="B3668" i="1"/>
  <c r="B3667" i="1"/>
  <c r="B3666" i="1"/>
  <c r="B3665" i="1"/>
  <c r="B3664" i="1"/>
  <c r="B3663" i="1"/>
  <c r="B3662" i="1"/>
  <c r="B3661" i="1"/>
  <c r="B3660" i="1"/>
  <c r="B3659" i="1"/>
  <c r="B3658" i="1"/>
  <c r="B3657" i="1"/>
  <c r="B3656" i="1"/>
  <c r="B3655" i="1"/>
  <c r="B3654" i="1"/>
  <c r="B3653" i="1"/>
  <c r="B3652" i="1"/>
  <c r="B3651" i="1"/>
  <c r="B3650" i="1"/>
  <c r="B3649" i="1"/>
  <c r="B3648" i="1"/>
  <c r="B3647" i="1"/>
  <c r="B3646" i="1"/>
  <c r="B3645" i="1"/>
  <c r="B3644" i="1"/>
  <c r="B3643" i="1"/>
  <c r="B3642" i="1"/>
  <c r="B3641" i="1"/>
  <c r="B3640" i="1"/>
  <c r="B3639" i="1"/>
  <c r="B3638" i="1"/>
  <c r="B3637" i="1"/>
  <c r="B3636" i="1"/>
  <c r="B3635" i="1"/>
  <c r="B3634" i="1"/>
  <c r="B3633" i="1"/>
  <c r="B3632" i="1"/>
  <c r="B3631" i="1"/>
  <c r="B3630" i="1"/>
  <c r="B3629" i="1"/>
  <c r="B3628" i="1"/>
  <c r="B3627" i="1"/>
  <c r="B3626" i="1"/>
  <c r="B3625" i="1"/>
  <c r="B3624" i="1"/>
  <c r="B3623" i="1"/>
  <c r="B3622" i="1"/>
  <c r="B3621" i="1"/>
  <c r="B3620" i="1"/>
  <c r="B3619" i="1"/>
  <c r="B3618" i="1"/>
  <c r="B3617" i="1"/>
  <c r="B3616" i="1"/>
  <c r="B3615" i="1"/>
  <c r="B3614" i="1"/>
  <c r="B3613" i="1"/>
  <c r="B3612" i="1"/>
  <c r="B3611" i="1"/>
  <c r="B3610" i="1"/>
  <c r="B3609" i="1"/>
  <c r="B3608" i="1"/>
  <c r="B3607" i="1"/>
  <c r="B3606" i="1"/>
  <c r="B3605" i="1"/>
  <c r="B3604" i="1"/>
  <c r="B3603" i="1"/>
  <c r="B3602" i="1"/>
  <c r="B3601" i="1"/>
  <c r="B3600" i="1"/>
  <c r="B3599" i="1"/>
  <c r="B3598" i="1"/>
  <c r="B3597" i="1"/>
  <c r="B3596" i="1"/>
  <c r="B3595" i="1"/>
  <c r="B3594" i="1"/>
  <c r="B3593" i="1"/>
  <c r="B3592" i="1"/>
  <c r="B3591" i="1"/>
  <c r="B3590" i="1"/>
  <c r="B3589" i="1"/>
  <c r="B3588" i="1"/>
  <c r="B3587" i="1"/>
  <c r="B3586" i="1"/>
  <c r="B3585" i="1"/>
  <c r="B3584" i="1"/>
  <c r="B3583" i="1"/>
  <c r="B3582" i="1"/>
  <c r="B3581" i="1"/>
  <c r="B3580" i="1"/>
  <c r="B3579" i="1"/>
  <c r="B3578" i="1"/>
  <c r="B3577" i="1"/>
  <c r="B3576" i="1"/>
  <c r="B3575" i="1"/>
  <c r="B3574" i="1"/>
  <c r="B3573" i="1"/>
  <c r="B3572" i="1"/>
  <c r="B3571" i="1"/>
  <c r="B3570" i="1"/>
  <c r="B3569" i="1"/>
  <c r="B3568" i="1"/>
  <c r="B3567" i="1"/>
  <c r="B3566" i="1"/>
  <c r="B3565" i="1"/>
  <c r="B3564" i="1"/>
  <c r="B3563" i="1"/>
  <c r="B3562" i="1"/>
  <c r="B3561" i="1"/>
  <c r="B3560" i="1"/>
  <c r="B3559" i="1"/>
  <c r="B3558" i="1"/>
  <c r="B3557" i="1"/>
  <c r="B3556" i="1"/>
  <c r="B3555" i="1"/>
  <c r="B3554" i="1"/>
  <c r="B3553" i="1"/>
  <c r="B3552" i="1"/>
  <c r="B3551" i="1"/>
  <c r="B3550" i="1"/>
  <c r="B3549" i="1"/>
  <c r="B3548" i="1"/>
  <c r="B3547" i="1"/>
  <c r="B3546" i="1"/>
  <c r="B3545" i="1"/>
  <c r="B3544" i="1"/>
  <c r="B3543" i="1"/>
  <c r="B3542" i="1"/>
  <c r="B3541" i="1"/>
  <c r="B3540" i="1"/>
  <c r="B3539" i="1"/>
  <c r="B3538" i="1"/>
  <c r="B3537" i="1"/>
  <c r="B3536" i="1"/>
  <c r="B3535" i="1"/>
  <c r="B3534" i="1"/>
  <c r="B3533" i="1"/>
  <c r="B3532" i="1"/>
  <c r="B3531" i="1"/>
  <c r="B3530" i="1"/>
  <c r="B3529" i="1"/>
  <c r="B3528" i="1"/>
  <c r="B3527" i="1"/>
  <c r="B3526" i="1"/>
  <c r="B3525" i="1"/>
  <c r="B3524" i="1"/>
  <c r="B3523" i="1"/>
  <c r="B3522" i="1"/>
  <c r="B3521" i="1"/>
  <c r="B3520" i="1"/>
  <c r="B3519" i="1"/>
  <c r="B3518" i="1"/>
  <c r="B3517" i="1"/>
  <c r="B3516" i="1"/>
  <c r="B3515" i="1"/>
  <c r="B3514" i="1"/>
  <c r="B3513" i="1"/>
  <c r="B3512" i="1"/>
  <c r="B3511" i="1"/>
  <c r="B3510" i="1"/>
  <c r="B3509" i="1"/>
  <c r="B3508" i="1"/>
  <c r="B3507" i="1"/>
  <c r="B3506" i="1"/>
  <c r="B3505" i="1"/>
  <c r="B3504" i="1"/>
  <c r="B3503" i="1"/>
  <c r="B3502" i="1"/>
  <c r="B3501" i="1"/>
  <c r="B3500" i="1"/>
  <c r="B3499" i="1"/>
  <c r="B3498" i="1"/>
  <c r="B3497" i="1"/>
  <c r="B3496" i="1"/>
  <c r="B3495" i="1"/>
  <c r="B3494" i="1"/>
  <c r="B3493" i="1"/>
  <c r="B3492" i="1"/>
  <c r="B3491" i="1"/>
  <c r="B3490" i="1"/>
  <c r="B3489" i="1"/>
  <c r="B3488" i="1"/>
  <c r="B3487" i="1"/>
  <c r="B3486" i="1"/>
  <c r="B3485" i="1"/>
  <c r="B3484" i="1"/>
  <c r="B3483" i="1"/>
  <c r="B3482" i="1"/>
  <c r="B3481" i="1"/>
  <c r="B3480" i="1"/>
  <c r="B3479" i="1"/>
  <c r="B3478" i="1"/>
  <c r="B3477" i="1"/>
  <c r="B3476" i="1"/>
  <c r="B3475" i="1"/>
  <c r="B3474" i="1"/>
  <c r="B3473" i="1"/>
  <c r="B3472" i="1"/>
  <c r="B3471" i="1"/>
  <c r="B3470" i="1"/>
  <c r="B3469" i="1"/>
  <c r="B3468" i="1"/>
  <c r="B3467" i="1"/>
  <c r="B3466" i="1"/>
  <c r="B3465" i="1"/>
  <c r="B3464" i="1"/>
  <c r="B3463" i="1"/>
  <c r="B3462" i="1"/>
  <c r="B3461" i="1"/>
  <c r="B3460" i="1"/>
  <c r="B3459" i="1"/>
  <c r="B3458" i="1"/>
  <c r="B3457" i="1"/>
  <c r="B3456" i="1"/>
  <c r="B3455" i="1"/>
  <c r="B3454" i="1"/>
  <c r="B3453" i="1"/>
  <c r="B3452" i="1"/>
  <c r="B3451" i="1"/>
  <c r="B3450" i="1"/>
  <c r="B3449" i="1"/>
  <c r="B3448" i="1"/>
  <c r="B3447" i="1"/>
  <c r="B3446" i="1"/>
  <c r="B3445" i="1"/>
  <c r="B3444" i="1"/>
  <c r="B3443" i="1"/>
  <c r="B3442" i="1"/>
  <c r="B3441" i="1"/>
  <c r="B3440" i="1"/>
  <c r="B3439" i="1"/>
  <c r="B3438" i="1"/>
  <c r="B3437" i="1"/>
  <c r="B3436" i="1"/>
  <c r="B3435" i="1"/>
  <c r="B3434" i="1"/>
  <c r="B3433" i="1"/>
  <c r="B3432" i="1"/>
  <c r="B3431" i="1"/>
  <c r="B3430" i="1"/>
  <c r="B3429" i="1"/>
  <c r="B3428" i="1"/>
  <c r="B3427" i="1"/>
  <c r="B3426" i="1"/>
  <c r="B3425" i="1"/>
  <c r="B3424" i="1"/>
  <c r="B3423" i="1"/>
  <c r="B3422" i="1"/>
  <c r="B3421" i="1"/>
  <c r="B3420" i="1"/>
  <c r="B3419" i="1"/>
  <c r="B3418" i="1"/>
  <c r="B3417" i="1"/>
  <c r="B3416" i="1"/>
  <c r="B3415" i="1"/>
  <c r="B3414" i="1"/>
  <c r="B3413" i="1"/>
  <c r="B3412" i="1"/>
  <c r="B3411" i="1"/>
  <c r="B3410" i="1"/>
  <c r="B3409" i="1"/>
  <c r="B3408" i="1"/>
  <c r="B3407" i="1"/>
  <c r="B3406" i="1"/>
  <c r="B3405" i="1"/>
  <c r="B3404" i="1"/>
  <c r="B3403" i="1"/>
  <c r="B3402" i="1"/>
  <c r="B3401" i="1"/>
  <c r="B3400" i="1"/>
  <c r="B3399" i="1"/>
  <c r="B3398" i="1"/>
  <c r="B3397" i="1"/>
  <c r="B3396" i="1"/>
  <c r="B3395" i="1"/>
  <c r="B3394" i="1"/>
  <c r="B3393" i="1"/>
  <c r="B3392" i="1"/>
  <c r="B3391" i="1"/>
  <c r="B3390" i="1"/>
  <c r="B3389" i="1"/>
  <c r="B3388" i="1"/>
  <c r="B3387" i="1"/>
  <c r="B3386" i="1"/>
  <c r="B3385" i="1"/>
  <c r="B3384" i="1"/>
  <c r="B3383" i="1"/>
  <c r="B3382" i="1"/>
  <c r="B3381" i="1"/>
  <c r="B3380" i="1"/>
  <c r="B3379" i="1"/>
  <c r="B3378" i="1"/>
  <c r="B3377" i="1"/>
  <c r="B3376" i="1"/>
  <c r="B3375" i="1"/>
  <c r="B3374" i="1"/>
  <c r="B3373" i="1"/>
  <c r="B3372" i="1"/>
  <c r="B3371" i="1"/>
  <c r="B3370" i="1"/>
  <c r="B3369" i="1"/>
  <c r="B3368" i="1"/>
  <c r="B3367" i="1"/>
  <c r="B3366" i="1"/>
  <c r="B3365" i="1"/>
  <c r="B3364" i="1"/>
  <c r="B3363" i="1"/>
  <c r="B3362" i="1"/>
  <c r="B3361" i="1"/>
  <c r="B3360" i="1"/>
  <c r="B3359" i="1"/>
  <c r="B3358" i="1"/>
  <c r="B3357" i="1"/>
  <c r="B3356" i="1"/>
  <c r="B3355" i="1"/>
  <c r="B3354" i="1"/>
  <c r="B3353" i="1"/>
  <c r="B3352" i="1"/>
  <c r="B3351" i="1"/>
  <c r="B3350" i="1"/>
  <c r="B3349" i="1"/>
  <c r="B3348" i="1"/>
  <c r="B3347" i="1"/>
  <c r="B3346" i="1"/>
  <c r="B3345" i="1"/>
  <c r="B3344" i="1"/>
  <c r="B3343" i="1"/>
  <c r="B3342" i="1"/>
  <c r="B3341" i="1"/>
  <c r="B3340" i="1"/>
  <c r="B3339" i="1"/>
  <c r="B3338" i="1"/>
  <c r="B3337" i="1"/>
  <c r="B3336" i="1"/>
  <c r="B3335" i="1"/>
  <c r="B3334" i="1"/>
  <c r="B3333" i="1"/>
  <c r="B3332" i="1"/>
  <c r="B3331" i="1"/>
  <c r="B3330" i="1"/>
  <c r="B3329" i="1"/>
  <c r="B3328" i="1"/>
  <c r="B3327" i="1"/>
  <c r="B3326" i="1"/>
  <c r="B3325" i="1"/>
  <c r="B3324" i="1"/>
  <c r="B3323" i="1"/>
  <c r="B3322" i="1"/>
  <c r="B3321" i="1"/>
  <c r="B3320" i="1"/>
  <c r="B3319" i="1"/>
  <c r="B3318" i="1"/>
  <c r="B3317" i="1"/>
  <c r="B3316" i="1"/>
  <c r="B3315" i="1"/>
  <c r="B3314" i="1"/>
  <c r="B3313" i="1"/>
  <c r="B3312" i="1"/>
  <c r="B3311" i="1"/>
  <c r="B3310" i="1"/>
  <c r="B3309" i="1"/>
  <c r="B3308" i="1"/>
  <c r="B3307" i="1"/>
  <c r="B3306" i="1"/>
  <c r="B3305" i="1"/>
  <c r="B3304" i="1"/>
  <c r="B3303" i="1"/>
  <c r="B3302" i="1"/>
  <c r="B3301" i="1"/>
  <c r="B3300" i="1"/>
  <c r="B3299" i="1"/>
  <c r="B3298" i="1"/>
  <c r="B3297" i="1"/>
  <c r="B3296" i="1"/>
  <c r="B3295" i="1"/>
  <c r="B3294" i="1"/>
  <c r="B3293" i="1"/>
  <c r="B3292" i="1"/>
  <c r="B3291" i="1"/>
  <c r="B3290" i="1"/>
  <c r="B3289" i="1"/>
  <c r="B3288" i="1"/>
  <c r="B3287" i="1"/>
  <c r="B3286" i="1"/>
  <c r="B3285" i="1"/>
  <c r="B3284" i="1"/>
  <c r="B3283" i="1"/>
  <c r="B3282" i="1"/>
  <c r="B3281" i="1"/>
  <c r="B3280" i="1"/>
  <c r="B3279" i="1"/>
  <c r="B3278" i="1"/>
  <c r="B3277" i="1"/>
  <c r="B3276" i="1"/>
  <c r="B3275" i="1"/>
  <c r="B3274" i="1"/>
  <c r="B3273" i="1"/>
  <c r="B3272" i="1"/>
  <c r="B3271" i="1"/>
  <c r="B3270" i="1"/>
  <c r="B3269" i="1"/>
  <c r="B3268" i="1"/>
  <c r="B3267" i="1"/>
  <c r="B3266" i="1"/>
  <c r="B3265" i="1"/>
  <c r="B3264" i="1"/>
  <c r="B3263" i="1"/>
  <c r="B3262" i="1"/>
  <c r="B3261" i="1"/>
  <c r="B3260" i="1"/>
  <c r="B3259" i="1"/>
  <c r="B3258" i="1"/>
  <c r="B3257" i="1"/>
  <c r="B3256" i="1"/>
  <c r="B3255" i="1"/>
  <c r="B3254" i="1"/>
  <c r="B3253" i="1"/>
  <c r="B3252" i="1"/>
  <c r="B3251" i="1"/>
  <c r="B3250" i="1"/>
  <c r="B3249" i="1"/>
  <c r="B3248" i="1"/>
  <c r="B3247" i="1"/>
  <c r="B3246" i="1"/>
  <c r="B3245" i="1"/>
  <c r="B3244" i="1"/>
  <c r="B3243" i="1"/>
  <c r="B3242" i="1"/>
  <c r="B3241" i="1"/>
  <c r="B3240" i="1"/>
  <c r="B3239" i="1"/>
  <c r="B3238" i="1"/>
  <c r="B3237" i="1"/>
  <c r="B3236" i="1"/>
  <c r="B3235" i="1"/>
  <c r="B3234" i="1"/>
  <c r="B3233" i="1"/>
  <c r="B3232" i="1"/>
  <c r="B3231" i="1"/>
  <c r="B3230" i="1"/>
  <c r="B3229" i="1"/>
  <c r="B3228" i="1"/>
  <c r="B3227" i="1"/>
  <c r="B3226" i="1"/>
  <c r="B3225" i="1"/>
  <c r="B3224" i="1"/>
  <c r="B3223" i="1"/>
  <c r="B3222" i="1"/>
  <c r="B3221" i="1"/>
  <c r="B3220" i="1"/>
  <c r="B3219" i="1"/>
  <c r="B3218" i="1"/>
  <c r="B3217" i="1"/>
  <c r="B3216" i="1"/>
  <c r="B3215" i="1"/>
  <c r="B3214" i="1"/>
  <c r="B3213" i="1"/>
  <c r="B3212" i="1"/>
  <c r="B3211" i="1"/>
  <c r="B3210" i="1"/>
  <c r="B3209" i="1"/>
  <c r="B3208" i="1"/>
  <c r="B3207" i="1"/>
  <c r="B3206" i="1"/>
  <c r="B3205" i="1"/>
  <c r="B3204" i="1"/>
  <c r="B3203" i="1"/>
  <c r="B3202" i="1"/>
  <c r="B3201" i="1"/>
  <c r="B3200" i="1"/>
  <c r="B3199" i="1"/>
  <c r="B3198" i="1"/>
  <c r="B3197" i="1"/>
  <c r="B3196" i="1"/>
  <c r="B3195" i="1"/>
  <c r="B3194" i="1"/>
  <c r="B3193" i="1"/>
  <c r="B3192" i="1"/>
  <c r="B3191" i="1"/>
  <c r="B3190" i="1"/>
  <c r="B3189" i="1"/>
  <c r="B3188" i="1"/>
  <c r="B3187" i="1"/>
  <c r="B3186" i="1"/>
  <c r="B3185" i="1"/>
  <c r="B3184" i="1"/>
  <c r="B3183" i="1"/>
  <c r="B3182" i="1"/>
  <c r="B3181" i="1"/>
  <c r="B3180" i="1"/>
  <c r="B3179" i="1"/>
  <c r="B3178" i="1"/>
  <c r="B3177" i="1"/>
  <c r="B3176" i="1"/>
  <c r="B3175" i="1"/>
  <c r="B3174" i="1"/>
  <c r="B3173" i="1"/>
  <c r="B3172" i="1"/>
  <c r="B3171" i="1"/>
  <c r="B3170" i="1"/>
  <c r="B3169" i="1"/>
  <c r="B3168" i="1"/>
  <c r="B3167" i="1"/>
  <c r="B3166" i="1"/>
  <c r="B3165" i="1"/>
  <c r="B3164" i="1"/>
  <c r="B3163" i="1"/>
  <c r="B3162" i="1"/>
  <c r="B3161" i="1"/>
  <c r="B3160" i="1"/>
  <c r="B3159" i="1"/>
  <c r="B3158" i="1"/>
  <c r="B3157" i="1"/>
  <c r="B3156" i="1"/>
  <c r="B3155" i="1"/>
  <c r="B3154" i="1"/>
  <c r="B3153" i="1"/>
  <c r="B3152" i="1"/>
  <c r="B3151" i="1"/>
  <c r="B3150" i="1"/>
  <c r="B3149" i="1"/>
  <c r="B3148" i="1"/>
  <c r="B3147" i="1"/>
  <c r="B3146" i="1"/>
  <c r="B3145" i="1"/>
  <c r="B3144" i="1"/>
  <c r="B3143" i="1"/>
  <c r="B3142" i="1"/>
  <c r="B3141" i="1"/>
  <c r="B3140" i="1"/>
  <c r="B3139" i="1"/>
  <c r="B3138" i="1"/>
  <c r="B3137" i="1"/>
  <c r="B3136" i="1"/>
  <c r="B3135" i="1"/>
  <c r="B3134" i="1"/>
  <c r="B3133" i="1"/>
  <c r="B3132" i="1"/>
  <c r="B3131" i="1"/>
  <c r="B3130" i="1"/>
  <c r="B3129" i="1"/>
  <c r="B3128" i="1"/>
  <c r="B3127" i="1"/>
  <c r="B3126" i="1"/>
  <c r="B3125" i="1"/>
  <c r="B3124" i="1"/>
  <c r="B3123" i="1"/>
  <c r="B3122" i="1"/>
  <c r="B3121" i="1"/>
  <c r="B3120" i="1"/>
  <c r="B3119" i="1"/>
  <c r="B3118" i="1"/>
  <c r="B3117" i="1"/>
  <c r="B3116" i="1"/>
  <c r="B3115" i="1"/>
  <c r="B3114" i="1"/>
  <c r="B3113" i="1"/>
  <c r="B3112" i="1"/>
  <c r="B3111" i="1"/>
  <c r="B3110" i="1"/>
  <c r="B3109" i="1"/>
  <c r="B3108" i="1"/>
  <c r="B3107" i="1"/>
  <c r="B3106" i="1"/>
  <c r="B3105" i="1"/>
  <c r="B3104" i="1"/>
  <c r="B3103" i="1"/>
  <c r="B3102" i="1"/>
  <c r="B3101" i="1"/>
  <c r="B3100" i="1"/>
  <c r="B3099" i="1"/>
  <c r="B3098" i="1"/>
  <c r="B3097" i="1"/>
  <c r="B3096" i="1"/>
  <c r="B3095" i="1"/>
  <c r="B3094" i="1"/>
  <c r="B3093" i="1"/>
  <c r="B3092" i="1"/>
  <c r="B3091" i="1"/>
  <c r="B3090" i="1"/>
  <c r="B3089" i="1"/>
  <c r="B3088" i="1"/>
  <c r="B3087" i="1"/>
  <c r="B3086" i="1"/>
  <c r="B3085" i="1"/>
  <c r="B3084" i="1"/>
  <c r="B3083" i="1"/>
  <c r="B3082" i="1"/>
  <c r="B3081" i="1"/>
  <c r="B3080" i="1"/>
  <c r="B3079" i="1"/>
  <c r="B3078" i="1"/>
  <c r="B3077" i="1"/>
  <c r="B3076" i="1"/>
  <c r="B3075" i="1"/>
  <c r="B3074" i="1"/>
  <c r="B3073" i="1"/>
  <c r="B3072" i="1"/>
  <c r="B3071" i="1"/>
  <c r="B3070" i="1"/>
  <c r="B3069" i="1"/>
  <c r="B3068" i="1"/>
  <c r="B3067" i="1"/>
  <c r="B3066" i="1"/>
  <c r="B3065" i="1"/>
  <c r="B3064" i="1"/>
  <c r="B3063" i="1"/>
  <c r="B3062" i="1"/>
  <c r="B3061" i="1"/>
  <c r="B3060" i="1"/>
  <c r="B3059" i="1"/>
  <c r="B3058" i="1"/>
  <c r="B3057" i="1"/>
  <c r="B3056" i="1"/>
  <c r="B3055" i="1"/>
  <c r="B3054" i="1"/>
  <c r="B3053" i="1"/>
  <c r="B3052" i="1"/>
  <c r="B3051" i="1"/>
  <c r="B3050" i="1"/>
  <c r="B3049" i="1"/>
  <c r="B3048" i="1"/>
  <c r="B3047" i="1"/>
  <c r="B3046" i="1"/>
  <c r="B3045" i="1"/>
  <c r="B3044" i="1"/>
  <c r="B3043" i="1"/>
  <c r="B3042" i="1"/>
  <c r="B3041" i="1"/>
  <c r="B3040" i="1"/>
  <c r="B3039" i="1"/>
  <c r="B3038" i="1"/>
  <c r="B3037" i="1"/>
  <c r="B3036" i="1"/>
  <c r="B3035" i="1"/>
  <c r="B3034" i="1"/>
  <c r="B3033" i="1"/>
  <c r="B3032" i="1"/>
  <c r="B3031" i="1"/>
  <c r="B3030" i="1"/>
  <c r="B3029" i="1"/>
  <c r="B3028" i="1"/>
  <c r="B3027" i="1"/>
  <c r="B3026" i="1"/>
  <c r="B3025" i="1"/>
  <c r="B3024" i="1"/>
  <c r="B3023" i="1"/>
  <c r="B3022" i="1"/>
  <c r="B3021" i="1"/>
  <c r="B3020" i="1"/>
  <c r="B3019" i="1"/>
  <c r="B3018" i="1"/>
  <c r="B3017" i="1"/>
  <c r="B3016" i="1"/>
  <c r="B3015" i="1"/>
  <c r="B3014" i="1"/>
  <c r="B3013" i="1"/>
  <c r="B3012" i="1"/>
  <c r="B3011" i="1"/>
  <c r="B3010" i="1"/>
  <c r="B3009" i="1"/>
  <c r="B3008" i="1"/>
  <c r="B3007" i="1"/>
  <c r="B3006" i="1"/>
  <c r="B3005" i="1"/>
  <c r="B3004" i="1"/>
  <c r="B3003" i="1"/>
  <c r="B3002" i="1"/>
  <c r="B3001" i="1"/>
  <c r="B3000" i="1"/>
  <c r="B2999" i="1"/>
  <c r="B2998" i="1"/>
  <c r="B2997" i="1"/>
  <c r="B2996" i="1"/>
  <c r="B2995" i="1"/>
  <c r="B2994" i="1"/>
  <c r="B2993" i="1"/>
  <c r="B2992" i="1"/>
  <c r="B2991" i="1"/>
  <c r="B2990" i="1"/>
  <c r="B2989" i="1"/>
  <c r="B2988" i="1"/>
  <c r="B2987" i="1"/>
  <c r="B2986" i="1"/>
  <c r="B2985" i="1"/>
  <c r="B2984" i="1"/>
  <c r="B2983" i="1"/>
  <c r="B2982" i="1"/>
  <c r="B2981" i="1"/>
  <c r="B2980" i="1"/>
  <c r="B2979" i="1"/>
  <c r="B2978" i="1"/>
  <c r="B2977" i="1"/>
  <c r="B2976" i="1"/>
  <c r="B2975" i="1"/>
  <c r="B2974" i="1"/>
  <c r="B2973" i="1"/>
  <c r="B2972" i="1"/>
  <c r="B2971" i="1"/>
  <c r="B2970" i="1"/>
  <c r="B2969" i="1"/>
  <c r="B2968" i="1"/>
  <c r="B2967" i="1"/>
  <c r="B2966" i="1"/>
  <c r="B2965" i="1"/>
  <c r="B2964" i="1"/>
  <c r="B2963" i="1"/>
  <c r="B2962" i="1"/>
  <c r="B2961" i="1"/>
  <c r="B2960" i="1"/>
  <c r="B2959" i="1"/>
  <c r="B2958" i="1"/>
  <c r="B2957" i="1"/>
  <c r="B2956" i="1"/>
  <c r="B2955" i="1"/>
  <c r="B2954" i="1"/>
  <c r="B2953" i="1"/>
  <c r="B2952" i="1"/>
  <c r="B2951" i="1"/>
  <c r="B2950" i="1"/>
  <c r="B2949" i="1"/>
  <c r="B2948" i="1"/>
  <c r="B2947" i="1"/>
  <c r="B2946" i="1"/>
  <c r="B2945" i="1"/>
  <c r="B2944" i="1"/>
  <c r="B2943" i="1"/>
  <c r="B2942" i="1"/>
  <c r="B2941" i="1"/>
  <c r="B2940" i="1"/>
  <c r="B2939" i="1"/>
  <c r="B2938" i="1"/>
  <c r="B2937" i="1"/>
  <c r="B2936" i="1"/>
  <c r="B2935" i="1"/>
  <c r="B2934" i="1"/>
  <c r="B2933" i="1"/>
  <c r="B2932" i="1"/>
  <c r="B2931" i="1"/>
  <c r="B2930" i="1"/>
  <c r="B2929" i="1"/>
  <c r="B2928" i="1"/>
  <c r="B2927" i="1"/>
  <c r="B2926" i="1"/>
  <c r="B2925" i="1"/>
  <c r="B2924" i="1"/>
  <c r="B2923" i="1"/>
  <c r="B2922" i="1"/>
  <c r="B2921" i="1"/>
  <c r="B2920" i="1"/>
  <c r="B2919" i="1"/>
  <c r="B2918" i="1"/>
  <c r="B2917" i="1"/>
  <c r="B2916" i="1"/>
  <c r="B2915" i="1"/>
  <c r="B2914" i="1"/>
  <c r="B2913" i="1"/>
  <c r="B2912" i="1"/>
  <c r="B2911" i="1"/>
  <c r="B2910" i="1"/>
  <c r="B2909" i="1"/>
  <c r="B2908" i="1"/>
  <c r="B2907" i="1"/>
  <c r="B2906" i="1"/>
  <c r="B2905" i="1"/>
  <c r="B2904" i="1"/>
  <c r="B2903" i="1"/>
  <c r="B2902" i="1"/>
  <c r="B2901" i="1"/>
  <c r="B2900" i="1"/>
  <c r="B2899" i="1"/>
  <c r="B2898" i="1"/>
  <c r="B2897" i="1"/>
  <c r="B2896" i="1"/>
  <c r="B2895" i="1"/>
  <c r="B2894" i="1"/>
  <c r="B2893" i="1"/>
  <c r="B2892" i="1"/>
  <c r="B2891" i="1"/>
  <c r="B2890" i="1"/>
  <c r="B2889" i="1"/>
  <c r="B2888" i="1"/>
  <c r="B2887" i="1"/>
  <c r="B2886" i="1"/>
  <c r="B2885" i="1"/>
  <c r="B2884" i="1"/>
  <c r="B2883" i="1"/>
  <c r="B2882" i="1"/>
  <c r="B2881" i="1"/>
  <c r="B2880" i="1"/>
  <c r="B2879" i="1"/>
  <c r="B2878" i="1"/>
  <c r="B2877" i="1"/>
  <c r="B2876" i="1"/>
  <c r="B2875" i="1"/>
  <c r="B2874" i="1"/>
  <c r="B2873" i="1"/>
  <c r="B2872" i="1"/>
  <c r="B2871" i="1"/>
  <c r="B2870" i="1"/>
  <c r="B2869" i="1"/>
  <c r="B2868" i="1"/>
  <c r="B2867" i="1"/>
  <c r="B2866" i="1"/>
  <c r="B2865" i="1"/>
  <c r="B2864" i="1"/>
  <c r="B2863" i="1"/>
  <c r="B2862" i="1"/>
  <c r="B2861" i="1"/>
  <c r="B2860" i="1"/>
  <c r="B2859" i="1"/>
  <c r="B2858" i="1"/>
  <c r="B2857" i="1"/>
  <c r="B2856" i="1"/>
  <c r="B2855" i="1"/>
  <c r="B2854" i="1"/>
  <c r="B2853" i="1"/>
  <c r="B2852" i="1"/>
  <c r="B2851" i="1"/>
  <c r="B2850" i="1"/>
  <c r="B2849" i="1"/>
  <c r="B2848" i="1"/>
  <c r="B2847" i="1"/>
  <c r="B2846" i="1"/>
  <c r="B2845" i="1"/>
  <c r="B2844" i="1"/>
  <c r="B2843" i="1"/>
  <c r="B2842" i="1"/>
  <c r="B2841" i="1"/>
  <c r="B2840" i="1"/>
  <c r="B2839" i="1"/>
  <c r="B2838" i="1"/>
  <c r="B2837" i="1"/>
  <c r="B2836" i="1"/>
  <c r="B2835" i="1"/>
  <c r="B2834" i="1"/>
  <c r="B2833" i="1"/>
  <c r="B2832" i="1"/>
  <c r="B2831" i="1"/>
  <c r="B2830" i="1"/>
  <c r="B2829" i="1"/>
  <c r="B2828" i="1"/>
  <c r="B2827" i="1"/>
  <c r="B2826" i="1"/>
  <c r="B2825" i="1"/>
  <c r="B2824" i="1"/>
  <c r="B2823" i="1"/>
  <c r="B2822" i="1"/>
  <c r="B2821" i="1"/>
  <c r="B2820" i="1"/>
  <c r="B2819" i="1"/>
  <c r="B2818" i="1"/>
  <c r="B2817" i="1"/>
  <c r="B2816" i="1"/>
  <c r="B2815" i="1"/>
  <c r="B2814" i="1"/>
  <c r="B2813" i="1"/>
  <c r="B2812" i="1"/>
  <c r="B2811" i="1"/>
  <c r="B2810" i="1"/>
  <c r="B2809" i="1"/>
  <c r="B2808" i="1"/>
  <c r="B2807" i="1"/>
  <c r="B2806" i="1"/>
  <c r="B2805" i="1"/>
  <c r="B2804" i="1"/>
  <c r="B2803" i="1"/>
  <c r="B2802" i="1"/>
  <c r="B2801" i="1"/>
  <c r="B2800" i="1"/>
  <c r="B2799" i="1"/>
  <c r="B2798" i="1"/>
  <c r="B2797" i="1"/>
  <c r="B2796" i="1"/>
  <c r="B2795" i="1"/>
  <c r="B2794" i="1"/>
  <c r="B2793" i="1"/>
  <c r="B2792" i="1"/>
  <c r="B2791" i="1"/>
  <c r="B2790" i="1"/>
  <c r="B2789" i="1"/>
  <c r="B2788" i="1"/>
  <c r="B2787" i="1"/>
  <c r="B2786" i="1"/>
  <c r="B2785" i="1"/>
  <c r="B2784" i="1"/>
  <c r="B2783" i="1"/>
  <c r="B2782" i="1"/>
  <c r="B2781" i="1"/>
  <c r="B2780" i="1"/>
  <c r="B2779" i="1"/>
  <c r="B2778" i="1"/>
  <c r="B2777" i="1"/>
  <c r="B2776" i="1"/>
  <c r="B2775" i="1"/>
  <c r="B2774" i="1"/>
  <c r="B2773" i="1"/>
  <c r="B2772" i="1"/>
  <c r="B2771" i="1"/>
  <c r="B2770" i="1"/>
  <c r="B2769" i="1"/>
  <c r="B2768" i="1"/>
  <c r="B2767" i="1"/>
  <c r="B2766" i="1"/>
  <c r="B2765" i="1"/>
  <c r="B2764" i="1"/>
  <c r="B2763" i="1"/>
  <c r="B2762" i="1"/>
  <c r="B2761" i="1"/>
  <c r="B2760" i="1"/>
  <c r="B2759" i="1"/>
  <c r="B2758" i="1"/>
  <c r="B2757" i="1"/>
  <c r="B2756" i="1"/>
  <c r="B2755" i="1"/>
  <c r="B2754" i="1"/>
  <c r="B2753" i="1"/>
  <c r="B2752" i="1"/>
  <c r="B2751" i="1"/>
  <c r="B2750" i="1"/>
  <c r="B2749" i="1"/>
  <c r="B2748" i="1"/>
  <c r="B2747" i="1"/>
  <c r="B2746" i="1"/>
  <c r="B2745" i="1"/>
  <c r="B2744" i="1"/>
  <c r="B2743" i="1"/>
  <c r="B2742" i="1"/>
  <c r="B2741" i="1"/>
  <c r="B2740" i="1"/>
  <c r="B2739" i="1"/>
  <c r="B2738" i="1"/>
  <c r="B2737" i="1"/>
  <c r="B2736" i="1"/>
  <c r="B2735" i="1"/>
  <c r="B2734" i="1"/>
  <c r="B2733" i="1"/>
  <c r="B2732" i="1"/>
  <c r="B2731" i="1"/>
  <c r="B2730" i="1"/>
  <c r="B2729" i="1"/>
  <c r="B2728" i="1"/>
  <c r="B2727" i="1"/>
  <c r="B2726" i="1"/>
  <c r="B2725" i="1"/>
  <c r="B2724" i="1"/>
  <c r="B2723" i="1"/>
  <c r="B2722" i="1"/>
  <c r="B2721" i="1"/>
  <c r="B2720" i="1"/>
  <c r="B2719" i="1"/>
  <c r="B2718" i="1"/>
  <c r="B2717" i="1"/>
  <c r="B2716" i="1"/>
  <c r="B2715" i="1"/>
  <c r="B2714" i="1"/>
  <c r="B2713" i="1"/>
  <c r="B2712" i="1"/>
  <c r="B2711" i="1"/>
  <c r="B2710" i="1"/>
  <c r="B2709" i="1"/>
  <c r="B2708" i="1"/>
  <c r="B2707" i="1"/>
  <c r="B2706" i="1"/>
  <c r="B2705" i="1"/>
  <c r="B2704" i="1"/>
  <c r="B2703" i="1"/>
  <c r="B2702" i="1"/>
  <c r="B2701" i="1"/>
  <c r="B2700" i="1"/>
  <c r="B2699" i="1"/>
  <c r="B2698" i="1"/>
  <c r="B2697" i="1"/>
  <c r="B2696" i="1"/>
  <c r="B2695" i="1"/>
  <c r="B2694" i="1"/>
  <c r="B2693" i="1"/>
  <c r="B2692" i="1"/>
  <c r="B2691" i="1"/>
  <c r="B2690" i="1"/>
  <c r="B2689" i="1"/>
  <c r="B2688" i="1"/>
  <c r="B2687" i="1"/>
  <c r="B2686" i="1"/>
  <c r="B2685" i="1"/>
  <c r="B2684" i="1"/>
  <c r="B2683" i="1"/>
  <c r="B2682" i="1"/>
  <c r="B2681" i="1"/>
  <c r="B2680" i="1"/>
  <c r="B2679" i="1"/>
  <c r="B2678" i="1"/>
  <c r="B2677" i="1"/>
  <c r="B2676" i="1"/>
  <c r="B2675" i="1"/>
  <c r="B2674" i="1"/>
  <c r="B2673" i="1"/>
  <c r="B2672" i="1"/>
  <c r="B2671" i="1"/>
  <c r="B2670" i="1"/>
  <c r="B2669" i="1"/>
  <c r="B2668" i="1"/>
  <c r="B2667" i="1"/>
  <c r="B2666" i="1"/>
  <c r="B2665" i="1"/>
  <c r="B2664" i="1"/>
  <c r="B2663" i="1"/>
  <c r="B2662" i="1"/>
  <c r="B2661" i="1"/>
  <c r="B2660" i="1"/>
  <c r="B2659" i="1"/>
  <c r="B2658" i="1"/>
  <c r="B2657" i="1"/>
  <c r="B2656" i="1"/>
  <c r="B2655" i="1"/>
  <c r="B2654" i="1"/>
  <c r="B2653" i="1"/>
  <c r="B2652" i="1"/>
  <c r="B2651" i="1"/>
  <c r="B2650" i="1"/>
  <c r="B2649" i="1"/>
  <c r="B2648" i="1"/>
  <c r="B2647" i="1"/>
  <c r="B2646" i="1"/>
  <c r="B2645" i="1"/>
  <c r="B2644" i="1"/>
  <c r="B2643" i="1"/>
  <c r="B2642" i="1"/>
  <c r="B2641" i="1"/>
  <c r="B2640" i="1"/>
  <c r="B2639" i="1"/>
  <c r="B2638" i="1"/>
  <c r="B2637" i="1"/>
  <c r="B2636" i="1"/>
  <c r="B2635" i="1"/>
  <c r="B2634" i="1"/>
  <c r="B2633" i="1"/>
  <c r="B2632" i="1"/>
  <c r="B2631" i="1"/>
  <c r="B2630" i="1"/>
  <c r="B2629" i="1"/>
  <c r="B2628" i="1"/>
  <c r="B2627" i="1"/>
  <c r="B2626" i="1"/>
  <c r="B2625" i="1"/>
  <c r="B2624" i="1"/>
  <c r="B2623" i="1"/>
  <c r="B2622" i="1"/>
  <c r="B2621" i="1"/>
  <c r="B2620" i="1"/>
  <c r="B2619" i="1"/>
  <c r="B2618" i="1"/>
  <c r="B2617" i="1"/>
  <c r="B2616" i="1"/>
  <c r="B2615" i="1"/>
  <c r="B2614" i="1"/>
  <c r="B2613" i="1"/>
  <c r="B2612" i="1"/>
  <c r="B2611" i="1"/>
  <c r="B2610" i="1"/>
  <c r="B2609" i="1"/>
  <c r="B2608" i="1"/>
  <c r="B2607" i="1"/>
  <c r="B2606" i="1"/>
  <c r="B2605" i="1"/>
  <c r="B2604" i="1"/>
  <c r="B2603" i="1"/>
  <c r="B2602" i="1"/>
  <c r="B2601" i="1"/>
  <c r="B2600" i="1"/>
  <c r="B2599" i="1"/>
  <c r="B2598" i="1"/>
  <c r="B2597" i="1"/>
  <c r="B2596" i="1"/>
  <c r="B2595" i="1"/>
  <c r="B2594" i="1"/>
  <c r="B2593" i="1"/>
  <c r="B2592" i="1"/>
  <c r="B2591" i="1"/>
  <c r="B2590" i="1"/>
  <c r="B2589" i="1"/>
  <c r="B2588" i="1"/>
  <c r="B2587" i="1"/>
  <c r="B2586" i="1"/>
  <c r="B2585" i="1"/>
  <c r="B2584" i="1"/>
  <c r="B2583" i="1"/>
  <c r="B2582" i="1"/>
  <c r="B2581" i="1"/>
  <c r="B2580" i="1"/>
  <c r="B2579" i="1"/>
  <c r="B2578" i="1"/>
  <c r="B2577" i="1"/>
  <c r="B2576" i="1"/>
  <c r="B2575" i="1"/>
  <c r="B2574" i="1"/>
  <c r="B2573" i="1"/>
  <c r="B2572" i="1"/>
  <c r="B2571" i="1"/>
  <c r="B2570" i="1"/>
  <c r="B2569" i="1"/>
  <c r="B2568" i="1"/>
  <c r="B2567" i="1"/>
  <c r="B2566" i="1"/>
  <c r="B2565" i="1"/>
  <c r="B2564" i="1"/>
  <c r="B2563" i="1"/>
  <c r="B2562" i="1"/>
  <c r="B2561" i="1"/>
  <c r="B2560" i="1"/>
  <c r="B2559" i="1"/>
  <c r="B2558" i="1"/>
  <c r="B2557" i="1"/>
  <c r="B2556" i="1"/>
  <c r="B2555" i="1"/>
  <c r="B2554" i="1"/>
  <c r="B2553" i="1"/>
  <c r="B2552" i="1"/>
  <c r="B2551" i="1"/>
  <c r="B2550" i="1"/>
  <c r="B2549" i="1"/>
  <c r="B2548" i="1"/>
  <c r="B2547" i="1"/>
  <c r="B2546" i="1"/>
  <c r="B2545" i="1"/>
  <c r="B2544" i="1"/>
  <c r="B2543" i="1"/>
  <c r="B2542" i="1"/>
  <c r="B2541" i="1"/>
  <c r="B2540" i="1"/>
  <c r="B2539" i="1"/>
  <c r="B2538" i="1"/>
  <c r="B2537" i="1"/>
  <c r="B2536" i="1"/>
  <c r="B2535" i="1"/>
  <c r="B2534" i="1"/>
  <c r="B2533" i="1"/>
  <c r="B2532" i="1"/>
  <c r="B2531" i="1"/>
  <c r="B2530" i="1"/>
  <c r="B2529" i="1"/>
  <c r="B2528" i="1"/>
  <c r="B2527" i="1"/>
  <c r="B2526" i="1"/>
  <c r="B2525" i="1"/>
  <c r="B2524" i="1"/>
  <c r="B2523" i="1"/>
  <c r="B2522" i="1"/>
  <c r="B2521" i="1"/>
  <c r="B2520" i="1"/>
  <c r="B2519" i="1"/>
  <c r="B2518" i="1"/>
  <c r="B2517" i="1"/>
  <c r="B2516" i="1"/>
  <c r="B2515" i="1"/>
  <c r="B2514" i="1"/>
  <c r="B2513" i="1"/>
  <c r="B2512" i="1"/>
  <c r="B2511" i="1"/>
  <c r="B2510" i="1"/>
  <c r="B2509" i="1"/>
  <c r="B2508" i="1"/>
  <c r="B2507" i="1"/>
  <c r="B2506" i="1"/>
  <c r="B2505" i="1"/>
  <c r="B2504" i="1"/>
  <c r="B2503" i="1"/>
  <c r="B2502" i="1"/>
  <c r="B2501" i="1"/>
  <c r="B2500" i="1"/>
  <c r="B2499" i="1"/>
  <c r="B2498" i="1"/>
  <c r="B2497" i="1"/>
  <c r="B2496" i="1"/>
  <c r="B2495" i="1"/>
  <c r="B2494" i="1"/>
  <c r="B2493" i="1"/>
  <c r="B2492" i="1"/>
  <c r="B2491" i="1"/>
  <c r="B2490" i="1"/>
  <c r="B2489" i="1"/>
  <c r="B2488" i="1"/>
  <c r="B2487" i="1"/>
  <c r="B2486" i="1"/>
  <c r="B2485" i="1"/>
  <c r="B2484" i="1"/>
  <c r="B2483" i="1"/>
  <c r="B2482" i="1"/>
  <c r="B2481" i="1"/>
  <c r="B2480" i="1"/>
  <c r="B2479" i="1"/>
  <c r="B2478" i="1"/>
  <c r="B2477" i="1"/>
  <c r="B2476" i="1"/>
  <c r="B2475" i="1"/>
  <c r="B2474" i="1"/>
  <c r="B2473" i="1"/>
  <c r="B2472" i="1"/>
  <c r="B2471" i="1"/>
  <c r="B2470" i="1"/>
  <c r="B2469" i="1"/>
  <c r="B2468" i="1"/>
  <c r="B2467" i="1"/>
  <c r="B2466" i="1"/>
  <c r="B2465" i="1"/>
  <c r="B2464" i="1"/>
  <c r="B2463" i="1"/>
  <c r="B2462" i="1"/>
  <c r="B2461" i="1"/>
  <c r="B2460" i="1"/>
  <c r="B2459" i="1"/>
  <c r="B2458" i="1"/>
  <c r="B2457" i="1"/>
  <c r="B2456" i="1"/>
  <c r="B2455" i="1"/>
  <c r="B2454" i="1"/>
  <c r="B2453" i="1"/>
  <c r="B2452" i="1"/>
  <c r="B2451" i="1"/>
  <c r="B2450" i="1"/>
  <c r="B2449" i="1"/>
  <c r="B2448" i="1"/>
  <c r="B2447" i="1"/>
  <c r="B2446" i="1"/>
  <c r="B2445" i="1"/>
  <c r="B2444" i="1"/>
  <c r="B2443" i="1"/>
  <c r="B2442" i="1"/>
  <c r="B2441" i="1"/>
  <c r="B2440" i="1"/>
  <c r="B2439" i="1"/>
  <c r="B2438" i="1"/>
  <c r="B2437" i="1"/>
  <c r="B2436" i="1"/>
  <c r="B2435" i="1"/>
  <c r="B2434" i="1"/>
  <c r="B2433" i="1"/>
  <c r="B2432" i="1"/>
  <c r="B2431" i="1"/>
  <c r="B2430" i="1"/>
  <c r="B2429" i="1"/>
  <c r="B2428" i="1"/>
  <c r="B2427" i="1"/>
  <c r="B2426" i="1"/>
  <c r="B2425" i="1"/>
  <c r="B2424" i="1"/>
  <c r="B2423" i="1"/>
  <c r="B2422" i="1"/>
  <c r="B2421" i="1"/>
  <c r="B2420" i="1"/>
  <c r="B2419" i="1"/>
  <c r="B2418" i="1"/>
  <c r="B2417" i="1"/>
  <c r="B2416" i="1"/>
  <c r="B2415" i="1"/>
  <c r="B2414" i="1"/>
  <c r="B2413" i="1"/>
  <c r="B2412" i="1"/>
  <c r="B2411" i="1"/>
  <c r="B2410" i="1"/>
  <c r="B2409" i="1"/>
  <c r="B2408" i="1"/>
  <c r="B2407" i="1"/>
  <c r="B2406" i="1"/>
  <c r="B2405" i="1"/>
  <c r="B2404" i="1"/>
  <c r="B2403" i="1"/>
  <c r="B2402" i="1"/>
  <c r="B2401" i="1"/>
  <c r="B2400" i="1"/>
  <c r="B2399" i="1"/>
  <c r="B2398" i="1"/>
  <c r="B2397" i="1"/>
  <c r="B2396" i="1"/>
  <c r="B2395" i="1"/>
  <c r="B2394" i="1"/>
  <c r="B2393" i="1"/>
  <c r="B2392" i="1"/>
  <c r="B2391" i="1"/>
  <c r="B2390" i="1"/>
  <c r="B2389" i="1"/>
  <c r="B2388" i="1"/>
  <c r="B2387" i="1"/>
  <c r="B2386" i="1"/>
  <c r="B2385" i="1"/>
  <c r="B2384" i="1"/>
  <c r="B2383" i="1"/>
  <c r="B2382" i="1"/>
  <c r="B2381" i="1"/>
  <c r="B2380" i="1"/>
  <c r="B2379" i="1"/>
  <c r="B2378" i="1"/>
  <c r="B2377" i="1"/>
  <c r="B2376" i="1"/>
  <c r="B2375" i="1"/>
  <c r="B2374" i="1"/>
  <c r="B2373" i="1"/>
  <c r="B2372" i="1"/>
  <c r="B2371" i="1"/>
  <c r="B2370" i="1"/>
  <c r="B2369" i="1"/>
  <c r="B2368" i="1"/>
  <c r="B2367" i="1"/>
  <c r="B2366" i="1"/>
  <c r="B2365" i="1"/>
  <c r="B2364" i="1"/>
  <c r="B2363" i="1"/>
  <c r="B2362" i="1"/>
  <c r="B2361" i="1"/>
  <c r="B2360" i="1"/>
  <c r="B2359" i="1"/>
  <c r="B2358" i="1"/>
  <c r="B2357" i="1"/>
  <c r="B2356" i="1"/>
  <c r="B2355" i="1"/>
  <c r="B2354" i="1"/>
  <c r="B2353" i="1"/>
  <c r="B2352" i="1"/>
  <c r="B2351" i="1"/>
  <c r="B2350" i="1"/>
  <c r="B2349" i="1"/>
  <c r="B2348" i="1"/>
  <c r="B2347" i="1"/>
  <c r="B2346" i="1"/>
  <c r="B2345" i="1"/>
  <c r="B2344" i="1"/>
  <c r="B2343" i="1"/>
  <c r="B2342" i="1"/>
  <c r="B2341" i="1"/>
  <c r="B2340" i="1"/>
  <c r="B2339" i="1"/>
  <c r="B2338" i="1"/>
  <c r="B2337" i="1"/>
  <c r="B2336" i="1"/>
  <c r="B2335" i="1"/>
  <c r="B2334" i="1"/>
  <c r="B2333" i="1"/>
  <c r="B2332" i="1"/>
  <c r="B2331" i="1"/>
  <c r="B2330" i="1"/>
  <c r="B2329" i="1"/>
  <c r="B2328" i="1"/>
  <c r="B2327" i="1"/>
  <c r="B2326" i="1"/>
  <c r="B2325" i="1"/>
  <c r="B2324" i="1"/>
  <c r="B2323" i="1"/>
  <c r="B2322" i="1"/>
  <c r="B2321" i="1"/>
  <c r="B2320" i="1"/>
  <c r="B2319" i="1"/>
  <c r="B2318" i="1"/>
  <c r="B2317" i="1"/>
  <c r="B2316" i="1"/>
  <c r="B2315" i="1"/>
  <c r="B2314" i="1"/>
  <c r="B2313" i="1"/>
  <c r="B2312" i="1"/>
  <c r="B2311" i="1"/>
  <c r="B2310" i="1"/>
  <c r="B2309" i="1"/>
  <c r="B2308" i="1"/>
  <c r="B2307" i="1"/>
  <c r="B2306" i="1"/>
  <c r="B2305" i="1"/>
  <c r="B2304" i="1"/>
  <c r="B2303" i="1"/>
  <c r="B2302" i="1"/>
  <c r="B2301" i="1"/>
  <c r="B2300" i="1"/>
  <c r="B2299" i="1"/>
  <c r="B2298" i="1"/>
  <c r="B2297" i="1"/>
  <c r="B2296" i="1"/>
  <c r="B2295" i="1"/>
  <c r="B2294" i="1"/>
  <c r="B2293" i="1"/>
  <c r="B2292" i="1"/>
  <c r="B2291" i="1"/>
  <c r="B2290" i="1"/>
  <c r="B2289" i="1"/>
  <c r="B2288" i="1"/>
  <c r="B2287" i="1"/>
  <c r="B2286" i="1"/>
  <c r="B2285" i="1"/>
  <c r="B2284" i="1"/>
  <c r="B2283" i="1"/>
  <c r="B2282" i="1"/>
  <c r="B2281" i="1"/>
  <c r="B2280" i="1"/>
  <c r="B2279" i="1"/>
  <c r="B2278" i="1"/>
  <c r="B2277" i="1"/>
  <c r="B2276" i="1"/>
  <c r="B2275" i="1"/>
  <c r="B2274" i="1"/>
  <c r="B2273" i="1"/>
  <c r="B2272" i="1"/>
  <c r="B2271" i="1"/>
  <c r="B2270" i="1"/>
  <c r="B2269" i="1"/>
  <c r="B2268" i="1"/>
  <c r="B2267" i="1"/>
  <c r="B2266" i="1"/>
  <c r="B2265" i="1"/>
  <c r="B2264" i="1"/>
  <c r="B2263" i="1"/>
  <c r="B2262" i="1"/>
  <c r="B2261" i="1"/>
  <c r="B2260" i="1"/>
  <c r="B2259" i="1"/>
  <c r="B2258" i="1"/>
  <c r="B2257" i="1"/>
  <c r="B2256" i="1"/>
  <c r="B2255" i="1"/>
  <c r="B2254" i="1"/>
  <c r="B2253" i="1"/>
  <c r="B2252" i="1"/>
  <c r="B2251" i="1"/>
  <c r="B2250" i="1"/>
  <c r="B2249" i="1"/>
  <c r="B2248" i="1"/>
  <c r="B2247" i="1"/>
  <c r="B2246" i="1"/>
  <c r="B2245" i="1"/>
  <c r="B2244" i="1"/>
  <c r="B2243" i="1"/>
  <c r="B2242" i="1"/>
  <c r="B2241" i="1"/>
  <c r="B2240" i="1"/>
  <c r="B2239" i="1"/>
  <c r="B2238" i="1"/>
  <c r="B2237" i="1"/>
  <c r="B2236" i="1"/>
  <c r="B2235" i="1"/>
  <c r="B2234" i="1"/>
  <c r="B2233" i="1"/>
  <c r="B2232" i="1"/>
  <c r="B2231" i="1"/>
  <c r="B2230" i="1"/>
  <c r="B2229" i="1"/>
  <c r="B2228" i="1"/>
  <c r="B2227" i="1"/>
  <c r="B2226" i="1"/>
  <c r="B2225" i="1"/>
  <c r="B2224" i="1"/>
  <c r="B2223" i="1"/>
  <c r="B2222" i="1"/>
  <c r="B2221" i="1"/>
  <c r="B2220" i="1"/>
  <c r="B2219" i="1"/>
  <c r="B2218" i="1"/>
  <c r="B2217" i="1"/>
  <c r="B2216" i="1"/>
  <c r="B2215" i="1"/>
  <c r="B2214" i="1"/>
  <c r="B2213" i="1"/>
  <c r="B2212" i="1"/>
  <c r="B2211" i="1"/>
  <c r="B2210" i="1"/>
  <c r="B2209" i="1"/>
  <c r="B2208" i="1"/>
  <c r="B2207" i="1"/>
  <c r="B2206" i="1"/>
  <c r="B2205" i="1"/>
  <c r="B2204" i="1"/>
  <c r="B2203" i="1"/>
  <c r="B2202" i="1"/>
  <c r="B2201" i="1"/>
  <c r="B2200" i="1"/>
  <c r="B2199" i="1"/>
  <c r="B2198" i="1"/>
  <c r="B2197" i="1"/>
  <c r="B2196" i="1"/>
  <c r="B2195" i="1"/>
  <c r="B2194" i="1"/>
  <c r="B2193" i="1"/>
  <c r="B2192" i="1"/>
  <c r="B2191" i="1"/>
  <c r="B2190" i="1"/>
  <c r="B2189" i="1"/>
  <c r="B2188" i="1"/>
  <c r="B2187" i="1"/>
  <c r="B2186" i="1"/>
  <c r="B2185" i="1"/>
  <c r="B2184" i="1"/>
  <c r="B2183" i="1"/>
  <c r="B2182" i="1"/>
  <c r="B2181" i="1"/>
  <c r="B2180" i="1"/>
  <c r="B2179" i="1"/>
  <c r="B2178" i="1"/>
  <c r="B2177" i="1"/>
  <c r="B2176" i="1"/>
  <c r="B2175" i="1"/>
  <c r="B2174" i="1"/>
  <c r="B2173" i="1"/>
  <c r="B2172" i="1"/>
  <c r="B2171" i="1"/>
  <c r="B2170" i="1"/>
  <c r="B2169" i="1"/>
  <c r="B2168" i="1"/>
  <c r="B2167" i="1"/>
  <c r="B2166" i="1"/>
  <c r="B2165" i="1"/>
  <c r="B2164" i="1"/>
  <c r="B2163" i="1"/>
  <c r="B2162" i="1"/>
  <c r="B2161" i="1"/>
  <c r="B2160" i="1"/>
  <c r="B2159" i="1"/>
  <c r="B2158" i="1"/>
  <c r="B2157" i="1"/>
  <c r="B2156" i="1"/>
  <c r="B2155" i="1"/>
  <c r="B2154" i="1"/>
  <c r="B2153" i="1"/>
  <c r="B2152" i="1"/>
  <c r="B2151" i="1"/>
  <c r="B2150" i="1"/>
  <c r="B2149" i="1"/>
  <c r="B2148" i="1"/>
  <c r="B2147" i="1"/>
  <c r="B2146" i="1"/>
  <c r="B2145" i="1"/>
  <c r="B2144" i="1"/>
  <c r="B2143" i="1"/>
  <c r="B2142" i="1"/>
  <c r="B2141" i="1"/>
  <c r="B2140" i="1"/>
  <c r="B2139" i="1"/>
  <c r="B2138" i="1"/>
  <c r="B2137" i="1"/>
  <c r="B2136" i="1"/>
  <c r="B2135" i="1"/>
  <c r="B2134" i="1"/>
  <c r="B2133" i="1"/>
  <c r="B2132" i="1"/>
  <c r="B2131" i="1"/>
  <c r="B2130" i="1"/>
  <c r="B2129" i="1"/>
  <c r="B2128" i="1"/>
  <c r="B2127" i="1"/>
  <c r="B2126" i="1"/>
  <c r="B2125" i="1"/>
  <c r="B2124" i="1"/>
  <c r="B2123" i="1"/>
  <c r="B2122" i="1"/>
  <c r="B2121" i="1"/>
  <c r="B2120" i="1"/>
  <c r="B2119" i="1"/>
  <c r="B2118" i="1"/>
  <c r="B2117" i="1"/>
  <c r="B2116" i="1"/>
  <c r="B2115" i="1"/>
  <c r="B2114" i="1"/>
  <c r="B2113" i="1"/>
  <c r="B2112" i="1"/>
  <c r="B2111" i="1"/>
  <c r="B2110" i="1"/>
  <c r="B2109" i="1"/>
  <c r="B2108" i="1"/>
  <c r="B2107" i="1"/>
  <c r="B2106" i="1"/>
  <c r="B2105" i="1"/>
  <c r="B2104" i="1"/>
  <c r="B2103" i="1"/>
  <c r="B2102" i="1"/>
  <c r="B2101" i="1"/>
  <c r="B2100" i="1"/>
  <c r="B2099" i="1"/>
  <c r="B2098" i="1"/>
  <c r="B2097" i="1"/>
  <c r="B2096" i="1"/>
  <c r="B2095" i="1"/>
  <c r="B2094" i="1"/>
  <c r="B2093" i="1"/>
  <c r="B2092" i="1"/>
  <c r="B2091" i="1"/>
  <c r="B2090" i="1"/>
  <c r="B2089" i="1"/>
  <c r="B2088" i="1"/>
  <c r="B2087" i="1"/>
  <c r="B2086" i="1"/>
  <c r="B2085" i="1"/>
  <c r="B2084" i="1"/>
  <c r="B2083" i="1"/>
  <c r="B2082" i="1"/>
  <c r="B2081" i="1"/>
  <c r="B2080" i="1"/>
  <c r="B2079" i="1"/>
  <c r="B2078" i="1"/>
  <c r="B2077" i="1"/>
  <c r="B2076" i="1"/>
  <c r="B2075" i="1"/>
  <c r="B2074" i="1"/>
  <c r="B2073" i="1"/>
  <c r="B2072" i="1"/>
  <c r="B2071" i="1"/>
  <c r="B2070" i="1"/>
  <c r="B2069" i="1"/>
  <c r="B2068" i="1"/>
  <c r="B2067" i="1"/>
  <c r="B2066" i="1"/>
  <c r="B2065" i="1"/>
  <c r="B2064" i="1"/>
  <c r="B2063" i="1"/>
  <c r="B2062" i="1"/>
  <c r="B2061" i="1"/>
  <c r="B2060" i="1"/>
  <c r="B2059" i="1"/>
  <c r="B2058" i="1"/>
  <c r="B2057" i="1"/>
  <c r="B2056" i="1"/>
  <c r="B2055" i="1"/>
  <c r="B2054" i="1"/>
  <c r="B2053" i="1"/>
  <c r="B2052" i="1"/>
  <c r="B2051" i="1"/>
  <c r="B2050" i="1"/>
  <c r="B2049" i="1"/>
  <c r="B2048" i="1"/>
  <c r="B2047" i="1"/>
  <c r="B2046" i="1"/>
  <c r="B2045" i="1"/>
  <c r="B2044" i="1"/>
  <c r="B2043" i="1"/>
  <c r="B2042" i="1"/>
  <c r="B2041" i="1"/>
  <c r="B2040" i="1"/>
  <c r="B2039" i="1"/>
  <c r="B2038" i="1"/>
  <c r="B2037" i="1"/>
  <c r="B2036" i="1"/>
  <c r="B2035" i="1"/>
  <c r="B2034" i="1"/>
  <c r="B2033" i="1"/>
  <c r="B2032" i="1"/>
  <c r="B2031" i="1"/>
  <c r="B2030" i="1"/>
  <c r="B2029" i="1"/>
  <c r="B2028" i="1"/>
  <c r="B2027" i="1"/>
  <c r="B2026" i="1"/>
  <c r="B2025" i="1"/>
  <c r="B2024" i="1"/>
  <c r="B2023" i="1"/>
  <c r="B2022" i="1"/>
  <c r="B2021" i="1"/>
  <c r="B2020" i="1"/>
  <c r="B2019" i="1"/>
  <c r="B2018" i="1"/>
  <c r="B2017" i="1"/>
  <c r="B2016" i="1"/>
  <c r="B2015" i="1"/>
  <c r="B2014" i="1"/>
  <c r="B2013" i="1"/>
  <c r="B2012" i="1"/>
  <c r="B2011" i="1"/>
  <c r="B2010" i="1"/>
  <c r="B2009" i="1"/>
  <c r="B2008" i="1"/>
  <c r="B2007" i="1"/>
  <c r="B2006" i="1"/>
  <c r="B2005" i="1"/>
  <c r="B2004" i="1"/>
  <c r="B2003" i="1"/>
  <c r="B2002" i="1"/>
  <c r="B2001" i="1"/>
  <c r="B2000" i="1"/>
  <c r="B1999" i="1"/>
  <c r="B1998" i="1"/>
  <c r="B1997" i="1"/>
  <c r="B1996" i="1"/>
  <c r="B1995" i="1"/>
  <c r="B1994" i="1"/>
  <c r="B1993" i="1"/>
  <c r="B1992" i="1"/>
  <c r="B1991" i="1"/>
  <c r="B1990" i="1"/>
  <c r="B1989" i="1"/>
  <c r="B1988" i="1"/>
  <c r="B1987" i="1"/>
  <c r="B1986" i="1"/>
  <c r="B1985" i="1"/>
  <c r="B1984" i="1"/>
  <c r="B1983" i="1"/>
  <c r="B1982" i="1"/>
  <c r="B1981" i="1"/>
  <c r="B1980" i="1"/>
  <c r="B1979" i="1"/>
  <c r="B1978" i="1"/>
  <c r="B1977" i="1"/>
  <c r="B1976" i="1"/>
  <c r="B1975" i="1"/>
  <c r="B1974" i="1"/>
  <c r="B1973" i="1"/>
  <c r="B1972" i="1"/>
  <c r="B1971" i="1"/>
  <c r="B1970" i="1"/>
  <c r="B1969" i="1"/>
  <c r="B1968" i="1"/>
  <c r="B1967" i="1"/>
  <c r="B1966" i="1"/>
  <c r="B1965" i="1"/>
  <c r="B1964" i="1"/>
  <c r="B1963" i="1"/>
  <c r="B1962" i="1"/>
  <c r="B1961" i="1"/>
  <c r="B1960" i="1"/>
  <c r="B1959" i="1"/>
  <c r="B1958" i="1"/>
  <c r="B1957" i="1"/>
  <c r="B1956" i="1"/>
  <c r="B1955" i="1"/>
  <c r="B1954" i="1"/>
  <c r="B1953" i="1"/>
  <c r="B1952" i="1"/>
  <c r="B1951" i="1"/>
  <c r="B1950" i="1"/>
  <c r="B1949" i="1"/>
  <c r="B1948" i="1"/>
  <c r="B1947" i="1"/>
  <c r="B1946" i="1"/>
  <c r="B1945" i="1"/>
  <c r="B1944" i="1"/>
  <c r="B1943" i="1"/>
  <c r="B1942" i="1"/>
  <c r="B1941" i="1"/>
  <c r="B1940" i="1"/>
  <c r="B1939" i="1"/>
  <c r="B1938" i="1"/>
  <c r="B1937" i="1"/>
  <c r="B1936" i="1"/>
  <c r="B1935" i="1"/>
  <c r="B1934" i="1"/>
  <c r="B1933" i="1"/>
  <c r="B1932" i="1"/>
  <c r="B1931" i="1"/>
  <c r="B1930" i="1"/>
  <c r="B1929" i="1"/>
  <c r="B1928" i="1"/>
  <c r="B1927" i="1"/>
  <c r="B1926" i="1"/>
  <c r="B1925" i="1"/>
  <c r="B1924" i="1"/>
  <c r="B1923" i="1"/>
  <c r="B1922" i="1"/>
  <c r="B1921" i="1"/>
  <c r="B1920" i="1"/>
  <c r="B1919" i="1"/>
  <c r="B1918" i="1"/>
  <c r="B1917" i="1"/>
  <c r="B1916" i="1"/>
  <c r="B1915" i="1"/>
  <c r="B1914" i="1"/>
  <c r="B1913" i="1"/>
  <c r="B1912" i="1"/>
  <c r="B1911" i="1"/>
  <c r="B1910" i="1"/>
  <c r="B1909" i="1"/>
  <c r="B1908" i="1"/>
  <c r="B1907" i="1"/>
  <c r="B1906" i="1"/>
  <c r="B1905" i="1"/>
  <c r="B1904" i="1"/>
  <c r="B1903" i="1"/>
  <c r="B1902" i="1"/>
  <c r="B1901" i="1"/>
  <c r="B1900" i="1"/>
  <c r="B1899" i="1"/>
  <c r="B1898" i="1"/>
  <c r="B1897" i="1"/>
  <c r="B1896" i="1"/>
  <c r="B1895" i="1"/>
  <c r="B1894" i="1"/>
  <c r="B1893" i="1"/>
  <c r="B1892" i="1"/>
  <c r="B1891" i="1"/>
  <c r="B1890" i="1"/>
  <c r="B1889" i="1"/>
  <c r="B1888" i="1"/>
  <c r="B1887" i="1"/>
  <c r="B1886" i="1"/>
  <c r="B1885" i="1"/>
  <c r="B1884" i="1"/>
  <c r="B1883" i="1"/>
  <c r="B1882" i="1"/>
  <c r="B1881" i="1"/>
  <c r="B1880" i="1"/>
  <c r="B1879" i="1"/>
  <c r="B1878" i="1"/>
  <c r="B1877" i="1"/>
  <c r="B1876" i="1"/>
  <c r="B1875" i="1"/>
  <c r="B1874" i="1"/>
  <c r="B1873" i="1"/>
  <c r="B1872" i="1"/>
  <c r="B1871" i="1"/>
  <c r="B1870" i="1"/>
  <c r="B1869" i="1"/>
  <c r="B1868" i="1"/>
  <c r="B1867" i="1"/>
  <c r="B1866" i="1"/>
  <c r="B1865" i="1"/>
  <c r="B1864" i="1"/>
  <c r="B1863" i="1"/>
  <c r="B1862" i="1"/>
  <c r="B1861" i="1"/>
  <c r="B1860" i="1"/>
  <c r="B1859" i="1"/>
  <c r="B1858" i="1"/>
  <c r="B1857" i="1"/>
  <c r="B1856" i="1"/>
  <c r="B1855" i="1"/>
  <c r="B1854" i="1"/>
  <c r="B1853" i="1"/>
  <c r="B1852" i="1"/>
  <c r="B1851" i="1"/>
  <c r="B1850" i="1"/>
  <c r="B1849" i="1"/>
  <c r="B1848" i="1"/>
  <c r="B1847" i="1"/>
  <c r="B1846" i="1"/>
  <c r="B1845" i="1"/>
  <c r="B1844" i="1"/>
  <c r="B1843" i="1"/>
  <c r="B1842" i="1"/>
  <c r="B1841" i="1"/>
  <c r="B1840" i="1"/>
  <c r="B1839" i="1"/>
  <c r="B1838" i="1"/>
  <c r="B1837" i="1"/>
  <c r="B1836" i="1"/>
  <c r="B1835" i="1"/>
  <c r="B1834" i="1"/>
  <c r="B1833" i="1"/>
  <c r="B1832" i="1"/>
  <c r="B1831" i="1"/>
  <c r="B1830" i="1"/>
  <c r="B1829" i="1"/>
  <c r="B1828" i="1"/>
  <c r="B1827" i="1"/>
  <c r="B1826" i="1"/>
  <c r="B1825" i="1"/>
  <c r="B1824" i="1"/>
  <c r="B1823" i="1"/>
  <c r="B1822" i="1"/>
  <c r="B1821" i="1"/>
  <c r="B1820" i="1"/>
  <c r="B1819" i="1"/>
  <c r="B1818" i="1"/>
  <c r="B1817" i="1"/>
  <c r="B1816" i="1"/>
  <c r="B1815" i="1"/>
  <c r="B1814" i="1"/>
  <c r="B1813" i="1"/>
  <c r="B1812" i="1"/>
  <c r="B1811" i="1"/>
  <c r="B1810" i="1"/>
  <c r="B1809" i="1"/>
  <c r="B1808" i="1"/>
  <c r="B1807" i="1"/>
  <c r="B1806" i="1"/>
  <c r="B1805" i="1"/>
  <c r="B1804" i="1"/>
  <c r="B1803" i="1"/>
  <c r="B1802" i="1"/>
  <c r="B1801" i="1"/>
  <c r="B1800" i="1"/>
  <c r="B1799" i="1"/>
  <c r="B1798" i="1"/>
  <c r="B1797" i="1"/>
  <c r="B1796" i="1"/>
  <c r="B1795" i="1"/>
  <c r="B1794" i="1"/>
  <c r="B1793" i="1"/>
  <c r="B1792" i="1"/>
  <c r="B1791" i="1"/>
  <c r="B1790" i="1"/>
  <c r="B1789" i="1"/>
  <c r="B1788" i="1"/>
  <c r="B1787" i="1"/>
  <c r="B1786" i="1"/>
  <c r="B1785" i="1"/>
  <c r="B1784" i="1"/>
  <c r="B1783" i="1"/>
  <c r="B1782" i="1"/>
  <c r="B1781" i="1"/>
  <c r="B1780" i="1"/>
  <c r="B1779" i="1"/>
  <c r="B1778" i="1"/>
  <c r="B1777" i="1"/>
  <c r="B1776" i="1"/>
  <c r="B1775" i="1"/>
  <c r="B1774" i="1"/>
  <c r="B1773" i="1"/>
  <c r="B1772" i="1"/>
  <c r="B1771" i="1"/>
  <c r="B1770" i="1"/>
  <c r="B1769" i="1"/>
  <c r="B1768" i="1"/>
  <c r="B1767" i="1"/>
  <c r="B1766" i="1"/>
  <c r="B1765" i="1"/>
  <c r="B1764" i="1"/>
  <c r="B1763" i="1"/>
  <c r="B1762" i="1"/>
  <c r="B1761" i="1"/>
  <c r="B1760" i="1"/>
  <c r="B1759" i="1"/>
  <c r="B1758" i="1"/>
  <c r="B1757" i="1"/>
  <c r="B1756" i="1"/>
  <c r="B1755" i="1"/>
  <c r="B1754" i="1"/>
  <c r="B1753" i="1"/>
  <c r="B1752" i="1"/>
  <c r="B1751" i="1"/>
  <c r="B1750" i="1"/>
  <c r="B1749" i="1"/>
  <c r="B1748" i="1"/>
  <c r="B1747" i="1"/>
  <c r="B1746" i="1"/>
  <c r="B1745" i="1"/>
  <c r="B1744" i="1"/>
  <c r="B1743" i="1"/>
  <c r="B1742" i="1"/>
  <c r="B1741" i="1"/>
  <c r="B1740" i="1"/>
  <c r="B1739" i="1"/>
  <c r="B1738" i="1"/>
  <c r="B1737" i="1"/>
  <c r="B1736" i="1"/>
  <c r="B1735" i="1"/>
  <c r="B1734" i="1"/>
  <c r="B1733" i="1"/>
  <c r="B1732" i="1"/>
  <c r="B1731" i="1"/>
  <c r="B1730" i="1"/>
  <c r="B1729" i="1"/>
  <c r="B1728" i="1"/>
  <c r="B1727" i="1"/>
  <c r="B1726" i="1"/>
  <c r="B1725" i="1"/>
  <c r="B1724" i="1"/>
  <c r="B1723" i="1"/>
  <c r="B1722" i="1"/>
  <c r="B1721" i="1"/>
  <c r="B1720" i="1"/>
  <c r="B1719" i="1"/>
  <c r="B1718" i="1"/>
  <c r="B1717" i="1"/>
  <c r="B1716" i="1"/>
  <c r="B1715" i="1"/>
  <c r="B1714" i="1"/>
  <c r="B1713" i="1"/>
  <c r="B1712" i="1"/>
  <c r="B1711" i="1"/>
  <c r="B1710" i="1"/>
  <c r="B1709" i="1"/>
  <c r="B1708" i="1"/>
  <c r="B1707" i="1"/>
  <c r="B1706" i="1"/>
  <c r="B1705" i="1"/>
  <c r="B1704" i="1"/>
  <c r="B1703" i="1"/>
  <c r="B1702" i="1"/>
  <c r="B1701" i="1"/>
  <c r="B1700" i="1"/>
  <c r="B1699" i="1"/>
  <c r="B1698" i="1"/>
  <c r="B1697" i="1"/>
  <c r="B1696" i="1"/>
  <c r="B1695" i="1"/>
  <c r="B1694" i="1"/>
  <c r="B1693" i="1"/>
  <c r="B1692" i="1"/>
  <c r="B1691" i="1"/>
  <c r="B1690" i="1"/>
  <c r="B1689" i="1"/>
  <c r="B1688" i="1"/>
  <c r="B1687" i="1"/>
  <c r="B1686" i="1"/>
  <c r="B1685" i="1"/>
  <c r="B1684" i="1"/>
  <c r="B1683" i="1"/>
  <c r="B1682" i="1"/>
  <c r="B1681" i="1"/>
  <c r="B1680" i="1"/>
  <c r="B1679" i="1"/>
  <c r="B1678" i="1"/>
  <c r="B1677" i="1"/>
  <c r="B1676" i="1"/>
  <c r="B1675" i="1"/>
  <c r="B1674" i="1"/>
  <c r="B1673" i="1"/>
  <c r="B1672" i="1"/>
  <c r="B1671" i="1"/>
  <c r="B1670" i="1"/>
  <c r="B1669" i="1"/>
  <c r="B1668" i="1"/>
  <c r="B1667" i="1"/>
  <c r="B1666" i="1"/>
  <c r="B1665" i="1"/>
  <c r="B1664" i="1"/>
  <c r="B1663" i="1"/>
  <c r="B1662" i="1"/>
  <c r="B1661" i="1"/>
  <c r="B1660" i="1"/>
  <c r="B1659" i="1"/>
  <c r="B1658" i="1"/>
  <c r="B1657" i="1"/>
  <c r="B1656" i="1"/>
  <c r="B1655" i="1"/>
  <c r="B1654" i="1"/>
  <c r="B1653" i="1"/>
  <c r="B1652" i="1"/>
  <c r="B1651" i="1"/>
  <c r="B1650" i="1"/>
  <c r="B1649" i="1"/>
  <c r="B1648" i="1"/>
  <c r="B1647" i="1"/>
  <c r="B1646" i="1"/>
  <c r="B1645" i="1"/>
  <c r="B1644" i="1"/>
  <c r="B1643" i="1"/>
  <c r="B1642" i="1"/>
  <c r="B1641" i="1"/>
  <c r="B1640" i="1"/>
  <c r="B1639" i="1"/>
  <c r="B1638" i="1"/>
  <c r="B1637" i="1"/>
  <c r="B1636" i="1"/>
  <c r="B1635" i="1"/>
  <c r="B1634" i="1"/>
  <c r="B1633" i="1"/>
  <c r="B1632" i="1"/>
  <c r="B1631" i="1"/>
  <c r="B1630" i="1"/>
  <c r="B1629" i="1"/>
  <c r="B1628" i="1"/>
  <c r="B1627" i="1"/>
  <c r="B1626" i="1"/>
  <c r="B1625" i="1"/>
  <c r="B1624" i="1"/>
  <c r="B1623" i="1"/>
  <c r="B1622" i="1"/>
  <c r="B1621" i="1"/>
  <c r="B1620" i="1"/>
  <c r="B1619" i="1"/>
  <c r="B1618" i="1"/>
  <c r="B1617" i="1"/>
  <c r="B1616" i="1"/>
  <c r="B1615" i="1"/>
  <c r="B1614" i="1"/>
  <c r="B1613" i="1"/>
  <c r="B1612" i="1"/>
  <c r="B1611" i="1"/>
  <c r="B1610" i="1"/>
  <c r="B1609" i="1"/>
  <c r="B1608" i="1"/>
  <c r="B1607" i="1"/>
  <c r="B1606" i="1"/>
  <c r="B1605" i="1"/>
  <c r="B1604" i="1"/>
  <c r="B1603" i="1"/>
  <c r="B1602" i="1"/>
  <c r="B1601" i="1"/>
  <c r="B1600" i="1"/>
  <c r="B1599" i="1"/>
  <c r="B1598" i="1"/>
  <c r="B1597" i="1"/>
  <c r="B1596" i="1"/>
  <c r="B1595" i="1"/>
  <c r="B1594" i="1"/>
  <c r="B1593" i="1"/>
  <c r="B1592" i="1"/>
  <c r="B1591" i="1"/>
  <c r="B1590" i="1"/>
  <c r="B1589" i="1"/>
  <c r="B1588" i="1"/>
  <c r="B1587" i="1"/>
  <c r="B1586" i="1"/>
  <c r="B1585" i="1"/>
  <c r="B1584" i="1"/>
  <c r="B1583" i="1"/>
  <c r="B1582" i="1"/>
  <c r="B1581" i="1"/>
  <c r="B1580" i="1"/>
  <c r="B1579" i="1"/>
  <c r="B1578" i="1"/>
  <c r="B1577" i="1"/>
  <c r="B1576" i="1"/>
  <c r="B1575" i="1"/>
  <c r="B1574" i="1"/>
  <c r="B1573" i="1"/>
  <c r="B1572" i="1"/>
  <c r="B1571" i="1"/>
  <c r="B1570" i="1"/>
  <c r="B1569" i="1"/>
  <c r="B1568" i="1"/>
  <c r="B1567" i="1"/>
  <c r="B1566" i="1"/>
  <c r="B1565" i="1"/>
  <c r="B1564" i="1"/>
  <c r="B1563" i="1"/>
  <c r="B1562" i="1"/>
  <c r="B1561" i="1"/>
  <c r="B1560" i="1"/>
  <c r="B1559" i="1"/>
  <c r="B1558" i="1"/>
  <c r="B1557" i="1"/>
  <c r="B1556" i="1"/>
  <c r="B1555" i="1"/>
  <c r="B1554" i="1"/>
  <c r="B1553" i="1"/>
  <c r="B1552" i="1"/>
  <c r="B1551" i="1"/>
  <c r="B1550" i="1"/>
  <c r="B1549" i="1"/>
  <c r="B1548" i="1"/>
  <c r="B1547" i="1"/>
  <c r="B1546" i="1"/>
  <c r="B1545" i="1"/>
  <c r="B1544" i="1"/>
  <c r="B1543" i="1"/>
  <c r="B1542" i="1"/>
  <c r="B1541" i="1"/>
  <c r="B1540" i="1"/>
  <c r="B1539" i="1"/>
  <c r="B1538" i="1"/>
  <c r="B1537" i="1"/>
  <c r="B1536" i="1"/>
  <c r="B1535" i="1"/>
  <c r="B1534" i="1"/>
  <c r="B1533" i="1"/>
  <c r="B1532" i="1"/>
  <c r="B1531" i="1"/>
  <c r="B1530" i="1"/>
  <c r="B1529" i="1"/>
  <c r="B1528" i="1"/>
  <c r="B1527" i="1"/>
  <c r="B1526" i="1"/>
  <c r="B1525" i="1"/>
  <c r="B1524" i="1"/>
  <c r="B1523" i="1"/>
  <c r="B1522" i="1"/>
  <c r="B1521" i="1"/>
  <c r="B1520" i="1"/>
  <c r="B1519" i="1"/>
  <c r="B1518" i="1"/>
  <c r="B1517" i="1"/>
  <c r="B1516" i="1"/>
  <c r="B1515" i="1"/>
  <c r="B1514" i="1"/>
  <c r="B1513" i="1"/>
  <c r="B1512" i="1"/>
  <c r="B1511" i="1"/>
  <c r="B1510" i="1"/>
  <c r="B1509" i="1"/>
  <c r="B1508" i="1"/>
  <c r="B1507" i="1"/>
  <c r="B1506" i="1"/>
  <c r="B1505" i="1"/>
  <c r="B1504" i="1"/>
  <c r="B1503" i="1"/>
  <c r="B1502" i="1"/>
  <c r="B1501" i="1"/>
  <c r="B1500" i="1"/>
  <c r="B1499" i="1"/>
  <c r="B1498" i="1"/>
  <c r="B1497" i="1"/>
  <c r="B1496" i="1"/>
  <c r="B1495" i="1"/>
  <c r="B1494" i="1"/>
  <c r="B1493" i="1"/>
  <c r="B1492" i="1"/>
  <c r="B1491" i="1"/>
  <c r="B1490" i="1"/>
  <c r="B1489" i="1"/>
  <c r="B1488" i="1"/>
  <c r="B1487" i="1"/>
  <c r="B1486" i="1"/>
  <c r="B1485" i="1"/>
  <c r="B1484" i="1"/>
  <c r="B1483" i="1"/>
  <c r="B1482" i="1"/>
  <c r="B1481" i="1"/>
  <c r="B1480" i="1"/>
  <c r="B1479" i="1"/>
  <c r="B1478" i="1"/>
  <c r="B1477" i="1"/>
  <c r="B1476" i="1"/>
  <c r="B1475" i="1"/>
  <c r="B1474" i="1"/>
  <c r="B1473" i="1"/>
  <c r="B1472" i="1"/>
  <c r="B1471" i="1"/>
  <c r="B1470" i="1"/>
  <c r="B1469" i="1"/>
  <c r="B1468" i="1"/>
  <c r="B1467" i="1"/>
  <c r="B1466" i="1"/>
  <c r="B1465" i="1"/>
  <c r="B1464" i="1"/>
  <c r="B1463" i="1"/>
  <c r="B1462" i="1"/>
  <c r="B1461" i="1"/>
  <c r="B1460" i="1"/>
  <c r="B1459" i="1"/>
  <c r="B1458" i="1"/>
  <c r="B1457" i="1"/>
  <c r="B1456" i="1"/>
  <c r="B1455" i="1"/>
  <c r="B1454" i="1"/>
  <c r="B1453" i="1"/>
  <c r="B1452" i="1"/>
  <c r="B1451" i="1"/>
  <c r="B1450" i="1"/>
  <c r="B1449" i="1"/>
  <c r="B1448" i="1"/>
  <c r="B1447" i="1"/>
  <c r="B1446" i="1"/>
  <c r="B1445" i="1"/>
  <c r="B1444" i="1"/>
  <c r="B1443" i="1"/>
  <c r="B1442" i="1"/>
  <c r="B1441" i="1"/>
  <c r="B1440" i="1"/>
  <c r="B1439" i="1"/>
  <c r="B1438" i="1"/>
  <c r="B1437" i="1"/>
  <c r="B1436" i="1"/>
  <c r="B1435" i="1"/>
  <c r="B1434" i="1"/>
  <c r="B1433" i="1"/>
  <c r="B1432" i="1"/>
  <c r="B1431" i="1"/>
  <c r="B1430" i="1"/>
  <c r="B1429" i="1"/>
  <c r="B1428" i="1"/>
  <c r="B1427" i="1"/>
  <c r="B1426" i="1"/>
  <c r="B1425" i="1"/>
  <c r="B1424" i="1"/>
  <c r="B1423" i="1"/>
  <c r="B1422" i="1"/>
  <c r="B1421" i="1"/>
  <c r="B1420" i="1"/>
  <c r="B1419" i="1"/>
  <c r="B1418" i="1"/>
  <c r="B1417" i="1"/>
  <c r="B1416" i="1"/>
  <c r="B1415" i="1"/>
  <c r="B1414" i="1"/>
  <c r="B1413" i="1"/>
  <c r="B1412" i="1"/>
  <c r="B1411" i="1"/>
  <c r="B1410" i="1"/>
  <c r="B1409" i="1"/>
  <c r="B1408" i="1"/>
  <c r="B1407" i="1"/>
  <c r="B1406" i="1"/>
  <c r="B1405" i="1"/>
  <c r="B1404" i="1"/>
  <c r="B1403" i="1"/>
  <c r="B1402" i="1"/>
  <c r="B1401" i="1"/>
  <c r="B1400" i="1"/>
  <c r="B1399" i="1"/>
  <c r="B1398" i="1"/>
  <c r="B1397" i="1"/>
  <c r="B1396" i="1"/>
  <c r="B1395" i="1"/>
  <c r="B1394" i="1"/>
  <c r="B1393" i="1"/>
  <c r="B1392" i="1"/>
  <c r="B1391" i="1"/>
  <c r="B1390" i="1"/>
  <c r="B1389" i="1"/>
  <c r="B1388" i="1"/>
  <c r="B1387" i="1"/>
  <c r="B1386" i="1"/>
  <c r="B1385" i="1"/>
  <c r="B1384" i="1"/>
  <c r="B1383" i="1"/>
  <c r="B1382" i="1"/>
  <c r="B1381" i="1"/>
  <c r="B1380" i="1"/>
  <c r="B1379" i="1"/>
  <c r="B1378" i="1"/>
  <c r="B1377" i="1"/>
  <c r="B1376" i="1"/>
  <c r="B1375" i="1"/>
  <c r="B1374" i="1"/>
  <c r="B1373" i="1"/>
  <c r="B1372" i="1"/>
  <c r="B1371" i="1"/>
  <c r="B1370" i="1"/>
  <c r="B1369" i="1"/>
  <c r="B1368" i="1"/>
  <c r="B1367" i="1"/>
  <c r="B1366" i="1"/>
  <c r="B1365" i="1"/>
  <c r="B1364" i="1"/>
  <c r="B1363" i="1"/>
  <c r="B1362" i="1"/>
  <c r="B1361" i="1"/>
  <c r="B1360" i="1"/>
  <c r="B1359" i="1"/>
  <c r="B1358" i="1"/>
  <c r="B1357" i="1"/>
  <c r="B1356" i="1"/>
  <c r="B1355" i="1"/>
  <c r="B1354" i="1"/>
  <c r="B1353" i="1"/>
  <c r="B1352" i="1"/>
  <c r="B1351" i="1"/>
  <c r="B1350" i="1"/>
  <c r="B1349" i="1"/>
  <c r="B1348" i="1"/>
  <c r="B1347" i="1"/>
  <c r="B1346" i="1"/>
  <c r="B1345" i="1"/>
  <c r="B1344" i="1"/>
  <c r="B1343" i="1"/>
  <c r="B1342" i="1"/>
  <c r="B1341" i="1"/>
  <c r="B1340" i="1"/>
  <c r="B1339" i="1"/>
  <c r="B1338" i="1"/>
  <c r="B1337" i="1"/>
  <c r="B1336" i="1"/>
  <c r="B1335" i="1"/>
  <c r="B1334" i="1"/>
  <c r="B1333" i="1"/>
  <c r="B1332" i="1"/>
  <c r="B1331" i="1"/>
  <c r="B1330" i="1"/>
  <c r="B1329" i="1"/>
  <c r="B1328" i="1"/>
  <c r="B1327" i="1"/>
  <c r="B1326" i="1"/>
  <c r="B1325" i="1"/>
  <c r="B1324" i="1"/>
  <c r="B1323" i="1"/>
  <c r="B1322" i="1"/>
  <c r="B1321" i="1"/>
  <c r="B1320" i="1"/>
  <c r="B1319" i="1"/>
  <c r="B1318" i="1"/>
  <c r="B1317" i="1"/>
  <c r="B1316" i="1"/>
  <c r="B1315" i="1"/>
  <c r="B1314" i="1"/>
  <c r="B1313" i="1"/>
  <c r="B1312" i="1"/>
  <c r="B1311" i="1"/>
  <c r="B1310" i="1"/>
  <c r="B1309" i="1"/>
  <c r="B1308" i="1"/>
  <c r="B1307" i="1"/>
  <c r="B1306" i="1"/>
  <c r="B1305" i="1"/>
  <c r="B1304" i="1"/>
  <c r="B1303" i="1"/>
  <c r="B1302" i="1"/>
  <c r="B1301" i="1"/>
  <c r="B1300" i="1"/>
  <c r="B1299" i="1"/>
  <c r="B1298" i="1"/>
  <c r="B1297" i="1"/>
  <c r="B1296" i="1"/>
  <c r="B1295" i="1"/>
  <c r="B1294" i="1"/>
  <c r="B1293" i="1"/>
  <c r="B1292" i="1"/>
  <c r="B1291" i="1"/>
  <c r="B1290" i="1"/>
  <c r="B1289" i="1"/>
  <c r="B1288" i="1"/>
  <c r="B1287" i="1"/>
  <c r="B1286" i="1"/>
  <c r="B1285" i="1"/>
  <c r="B1284" i="1"/>
  <c r="B1283" i="1"/>
  <c r="B1282" i="1"/>
  <c r="B1281" i="1"/>
  <c r="B1280" i="1"/>
  <c r="B1279" i="1"/>
  <c r="B1278" i="1"/>
  <c r="B1277" i="1"/>
  <c r="B1276" i="1"/>
  <c r="B1275" i="1"/>
  <c r="B1274" i="1"/>
  <c r="B1273" i="1"/>
  <c r="B1272" i="1"/>
  <c r="B1271" i="1"/>
  <c r="B1270" i="1"/>
  <c r="B1269" i="1"/>
  <c r="B1268" i="1"/>
  <c r="B1267" i="1"/>
  <c r="B1266" i="1"/>
  <c r="B1265" i="1"/>
  <c r="B1264" i="1"/>
  <c r="B1263" i="1"/>
  <c r="B1262" i="1"/>
  <c r="B1261" i="1"/>
  <c r="B1260" i="1"/>
  <c r="B1259" i="1"/>
  <c r="B1258" i="1"/>
  <c r="B1257" i="1"/>
  <c r="B1256" i="1"/>
  <c r="B1255" i="1"/>
  <c r="B1254" i="1"/>
  <c r="B1253" i="1"/>
  <c r="B1252" i="1"/>
  <c r="B1251" i="1"/>
  <c r="B1250" i="1"/>
  <c r="B1249" i="1"/>
  <c r="B1248" i="1"/>
  <c r="B1247" i="1"/>
  <c r="B1246" i="1"/>
  <c r="B1245" i="1"/>
  <c r="B1244" i="1"/>
  <c r="B1243" i="1"/>
  <c r="B1242" i="1"/>
  <c r="B1241" i="1"/>
  <c r="B1240" i="1"/>
  <c r="B1239" i="1"/>
  <c r="B1238" i="1"/>
  <c r="B1237" i="1"/>
  <c r="B1236" i="1"/>
  <c r="B1235" i="1"/>
  <c r="B1234" i="1"/>
  <c r="B1233" i="1"/>
  <c r="B1232" i="1"/>
  <c r="B1231" i="1"/>
  <c r="B1230" i="1"/>
  <c r="B1229" i="1"/>
  <c r="B1228" i="1"/>
  <c r="B1227" i="1"/>
  <c r="B1226" i="1"/>
  <c r="B1225" i="1"/>
  <c r="B1224" i="1"/>
  <c r="B1223" i="1"/>
  <c r="B1222" i="1"/>
  <c r="B1221" i="1"/>
  <c r="B1220" i="1"/>
  <c r="B1219" i="1"/>
  <c r="B1218" i="1"/>
  <c r="B1217" i="1"/>
  <c r="B1216" i="1"/>
  <c r="B1215" i="1"/>
  <c r="B1214" i="1"/>
  <c r="B1213" i="1"/>
  <c r="B1212" i="1"/>
  <c r="B1211" i="1"/>
  <c r="B1210" i="1"/>
  <c r="B1209" i="1"/>
  <c r="B1208" i="1"/>
  <c r="B1207" i="1"/>
  <c r="B1206" i="1"/>
  <c r="B1205" i="1"/>
  <c r="B1204" i="1"/>
  <c r="B1203" i="1"/>
  <c r="B1202" i="1"/>
  <c r="B1201" i="1"/>
  <c r="B1200" i="1"/>
  <c r="B1199" i="1"/>
  <c r="B1198" i="1"/>
  <c r="B1197" i="1"/>
  <c r="B1196" i="1"/>
  <c r="B1195" i="1"/>
  <c r="B1194" i="1"/>
  <c r="B1193" i="1"/>
  <c r="B1192" i="1"/>
  <c r="B1191" i="1"/>
  <c r="B1190" i="1"/>
  <c r="B1189" i="1"/>
  <c r="B1188" i="1"/>
  <c r="B1187" i="1"/>
  <c r="B1186" i="1"/>
  <c r="B1185" i="1"/>
  <c r="B1184" i="1"/>
  <c r="B1183" i="1"/>
  <c r="B1182" i="1"/>
  <c r="B1181" i="1"/>
  <c r="B1180" i="1"/>
  <c r="B1179" i="1"/>
  <c r="B1178" i="1"/>
  <c r="B1177" i="1"/>
  <c r="B1176" i="1"/>
  <c r="B1175" i="1"/>
  <c r="B1174" i="1"/>
  <c r="B1173" i="1"/>
  <c r="B1172" i="1"/>
  <c r="B1171" i="1"/>
  <c r="B1170" i="1"/>
  <c r="B1169" i="1"/>
  <c r="B1168" i="1"/>
  <c r="B1167" i="1"/>
  <c r="B1166" i="1"/>
  <c r="B1165" i="1"/>
  <c r="B1164" i="1"/>
  <c r="B1163" i="1"/>
  <c r="B1162" i="1"/>
  <c r="B1161" i="1"/>
  <c r="B1160" i="1"/>
  <c r="B1159" i="1"/>
  <c r="B1158" i="1"/>
  <c r="B1157" i="1"/>
  <c r="B1156" i="1"/>
  <c r="B1155" i="1"/>
  <c r="B1154" i="1"/>
  <c r="B1153" i="1"/>
  <c r="B1152" i="1"/>
  <c r="B1151" i="1"/>
  <c r="B1150" i="1"/>
  <c r="B1149" i="1"/>
  <c r="B1148" i="1"/>
  <c r="B1147" i="1"/>
  <c r="B1146" i="1"/>
  <c r="B1145" i="1"/>
  <c r="B1144" i="1"/>
  <c r="B1143" i="1"/>
  <c r="B1142" i="1"/>
  <c r="B1141" i="1"/>
  <c r="B1140" i="1"/>
  <c r="B1139" i="1"/>
  <c r="B1138" i="1"/>
  <c r="B1137" i="1"/>
  <c r="B1136" i="1"/>
  <c r="B1135" i="1"/>
  <c r="B1134" i="1"/>
  <c r="B1133" i="1"/>
  <c r="B1132" i="1"/>
  <c r="B1131" i="1"/>
  <c r="B1130" i="1"/>
  <c r="B1129" i="1"/>
  <c r="B1128" i="1"/>
  <c r="B1127" i="1"/>
  <c r="B1126" i="1"/>
  <c r="B1125" i="1"/>
  <c r="B1124" i="1"/>
  <c r="B1123" i="1"/>
  <c r="B1122" i="1"/>
  <c r="B1121" i="1"/>
  <c r="B1120" i="1"/>
  <c r="B1119" i="1"/>
  <c r="B1118" i="1"/>
  <c r="B1117" i="1"/>
  <c r="B1116" i="1"/>
  <c r="B1115" i="1"/>
  <c r="B1114" i="1"/>
  <c r="B1113" i="1"/>
  <c r="B1112" i="1"/>
  <c r="B1111" i="1"/>
  <c r="B1110" i="1"/>
  <c r="B1109" i="1"/>
  <c r="B1108" i="1"/>
  <c r="B1107" i="1"/>
  <c r="B1106" i="1"/>
  <c r="B1105" i="1"/>
  <c r="B1104" i="1"/>
  <c r="B1103" i="1"/>
  <c r="B1102" i="1"/>
  <c r="B1101" i="1"/>
  <c r="B1100" i="1"/>
  <c r="B1099" i="1"/>
  <c r="B1098" i="1"/>
  <c r="B1097" i="1"/>
  <c r="B1096" i="1"/>
  <c r="B1095" i="1"/>
  <c r="B1094" i="1"/>
  <c r="B1093" i="1"/>
  <c r="B1092" i="1"/>
  <c r="B1091" i="1"/>
  <c r="B1090" i="1"/>
  <c r="B1089" i="1"/>
  <c r="B1088" i="1"/>
  <c r="B1087" i="1"/>
  <c r="B1086" i="1"/>
  <c r="B1085" i="1"/>
  <c r="B1084" i="1"/>
  <c r="B1083" i="1"/>
  <c r="B1082" i="1"/>
  <c r="B1081" i="1"/>
  <c r="B1080" i="1"/>
  <c r="B1079" i="1"/>
  <c r="B1078" i="1"/>
  <c r="B1077" i="1"/>
  <c r="B1076" i="1"/>
  <c r="B1075" i="1"/>
  <c r="B1074" i="1"/>
  <c r="B1073" i="1"/>
  <c r="B1072" i="1"/>
  <c r="B1071" i="1"/>
  <c r="B1070" i="1"/>
  <c r="B1069" i="1"/>
  <c r="B1068" i="1"/>
  <c r="B1067" i="1"/>
  <c r="B1066" i="1"/>
  <c r="B1065" i="1"/>
  <c r="B1064" i="1"/>
  <c r="B1063" i="1"/>
  <c r="B1062" i="1"/>
  <c r="B1061" i="1"/>
  <c r="B1060" i="1"/>
  <c r="B1059" i="1"/>
  <c r="B1058" i="1"/>
  <c r="B1057" i="1"/>
  <c r="B1056" i="1"/>
  <c r="B1055" i="1"/>
  <c r="B1054" i="1"/>
  <c r="B1053" i="1"/>
  <c r="B1052" i="1"/>
  <c r="B1051" i="1"/>
  <c r="B1050" i="1"/>
  <c r="B1049" i="1"/>
  <c r="B1048" i="1"/>
  <c r="B1047" i="1"/>
  <c r="B1046" i="1"/>
  <c r="B1045" i="1"/>
  <c r="B1044" i="1"/>
  <c r="B1043" i="1"/>
  <c r="B1042" i="1"/>
  <c r="B1041" i="1"/>
  <c r="B1040" i="1"/>
  <c r="B1039" i="1"/>
  <c r="B1038" i="1"/>
  <c r="B1037" i="1"/>
  <c r="B1036" i="1"/>
  <c r="B1035" i="1"/>
  <c r="B1034" i="1"/>
  <c r="B1033" i="1"/>
  <c r="B1032" i="1"/>
  <c r="B1031" i="1"/>
  <c r="B1030" i="1"/>
  <c r="B1029" i="1"/>
  <c r="B1028" i="1"/>
  <c r="B1027" i="1"/>
  <c r="B1026" i="1"/>
  <c r="B1025" i="1"/>
  <c r="B1024" i="1"/>
  <c r="B1023" i="1"/>
  <c r="B1022" i="1"/>
  <c r="B1021" i="1"/>
  <c r="B1020" i="1"/>
  <c r="B1019" i="1"/>
  <c r="B1018" i="1"/>
  <c r="B1017" i="1"/>
  <c r="B1016" i="1"/>
  <c r="B1015" i="1"/>
  <c r="B1014" i="1"/>
  <c r="B1013" i="1"/>
  <c r="B1012" i="1"/>
  <c r="B1011" i="1"/>
  <c r="B1010" i="1"/>
  <c r="B1009" i="1"/>
  <c r="B1008" i="1"/>
  <c r="B1007" i="1"/>
  <c r="B1006" i="1"/>
  <c r="B1005" i="1"/>
  <c r="B1004" i="1"/>
  <c r="B1003" i="1"/>
  <c r="B1002" i="1"/>
  <c r="B1001" i="1"/>
  <c r="B1000" i="1"/>
  <c r="B999" i="1"/>
  <c r="B998" i="1"/>
  <c r="B997" i="1"/>
  <c r="B996" i="1"/>
  <c r="B995" i="1"/>
  <c r="B994" i="1"/>
  <c r="B993" i="1"/>
  <c r="B992" i="1"/>
  <c r="B991" i="1"/>
  <c r="B990" i="1"/>
  <c r="B989" i="1"/>
  <c r="B988" i="1"/>
  <c r="B987" i="1"/>
  <c r="B986" i="1"/>
  <c r="B985" i="1"/>
  <c r="B984" i="1"/>
  <c r="B983" i="1"/>
  <c r="B982" i="1"/>
  <c r="B981" i="1"/>
  <c r="B980" i="1"/>
  <c r="B979" i="1"/>
  <c r="B978" i="1"/>
  <c r="B977" i="1"/>
  <c r="B976" i="1"/>
  <c r="B975" i="1"/>
  <c r="B974" i="1"/>
  <c r="B973" i="1"/>
  <c r="B972" i="1"/>
  <c r="B971" i="1"/>
  <c r="B970" i="1"/>
  <c r="B969" i="1"/>
  <c r="B968" i="1"/>
  <c r="B967" i="1"/>
  <c r="B966" i="1"/>
  <c r="B965" i="1"/>
  <c r="B964" i="1"/>
  <c r="B963" i="1"/>
  <c r="B962" i="1"/>
  <c r="B961" i="1"/>
  <c r="B960" i="1"/>
  <c r="B959" i="1"/>
  <c r="B958" i="1"/>
  <c r="B957" i="1"/>
  <c r="B956" i="1"/>
  <c r="B955" i="1"/>
  <c r="B954" i="1"/>
  <c r="B953" i="1"/>
  <c r="B952" i="1"/>
  <c r="B951" i="1"/>
  <c r="B950" i="1"/>
  <c r="B949" i="1"/>
  <c r="B948" i="1"/>
  <c r="B947" i="1"/>
  <c r="B946" i="1"/>
  <c r="B945" i="1"/>
  <c r="B944" i="1"/>
  <c r="B943" i="1"/>
  <c r="B942" i="1"/>
  <c r="B941" i="1"/>
  <c r="B940" i="1"/>
  <c r="B939" i="1"/>
  <c r="B938" i="1"/>
  <c r="B937" i="1"/>
  <c r="B936" i="1"/>
  <c r="B935" i="1"/>
  <c r="B934" i="1"/>
  <c r="B933" i="1"/>
  <c r="B932" i="1"/>
  <c r="B931" i="1"/>
  <c r="B930" i="1"/>
  <c r="B929" i="1"/>
  <c r="B928" i="1"/>
  <c r="B927" i="1"/>
  <c r="B926" i="1"/>
  <c r="B925" i="1"/>
  <c r="B924" i="1"/>
  <c r="B923" i="1"/>
  <c r="B922" i="1"/>
  <c r="B921" i="1"/>
  <c r="B920" i="1"/>
  <c r="B919" i="1"/>
  <c r="B918" i="1"/>
  <c r="B917" i="1"/>
  <c r="B916" i="1"/>
  <c r="B915" i="1"/>
  <c r="B914" i="1"/>
  <c r="B913" i="1"/>
  <c r="B912" i="1"/>
  <c r="B911" i="1"/>
  <c r="B910" i="1"/>
  <c r="B909" i="1"/>
  <c r="B908" i="1"/>
  <c r="B907" i="1"/>
  <c r="B906" i="1"/>
  <c r="B905" i="1"/>
  <c r="B904" i="1"/>
  <c r="B903" i="1"/>
  <c r="B902" i="1"/>
  <c r="B901" i="1"/>
  <c r="B900" i="1"/>
  <c r="B899" i="1"/>
  <c r="B898" i="1"/>
  <c r="B897" i="1"/>
  <c r="B896" i="1"/>
  <c r="B895" i="1"/>
  <c r="B894" i="1"/>
  <c r="B893" i="1"/>
  <c r="B892" i="1"/>
  <c r="B891" i="1"/>
  <c r="B890" i="1"/>
  <c r="B889" i="1"/>
  <c r="B888" i="1"/>
  <c r="B887" i="1"/>
  <c r="B886" i="1"/>
  <c r="B885" i="1"/>
  <c r="B884" i="1"/>
  <c r="B883" i="1"/>
  <c r="B882" i="1"/>
  <c r="B881" i="1"/>
  <c r="B880" i="1"/>
  <c r="B879" i="1"/>
  <c r="B878" i="1"/>
  <c r="B877" i="1"/>
  <c r="B876" i="1"/>
  <c r="B875" i="1"/>
  <c r="B874" i="1"/>
  <c r="B873" i="1"/>
  <c r="B872" i="1"/>
  <c r="B871" i="1"/>
  <c r="B870" i="1"/>
  <c r="B869" i="1"/>
  <c r="B868" i="1"/>
  <c r="B867" i="1"/>
  <c r="B866" i="1"/>
  <c r="B865" i="1"/>
  <c r="B864" i="1"/>
  <c r="B863" i="1"/>
  <c r="B862" i="1"/>
  <c r="B861" i="1"/>
  <c r="B860" i="1"/>
  <c r="B859" i="1"/>
  <c r="B858" i="1"/>
  <c r="B857" i="1"/>
  <c r="B856" i="1"/>
  <c r="B855" i="1"/>
  <c r="B854" i="1"/>
  <c r="B853" i="1"/>
  <c r="B852" i="1"/>
  <c r="B851" i="1"/>
  <c r="B850" i="1"/>
  <c r="B849" i="1"/>
  <c r="B848" i="1"/>
  <c r="B847" i="1"/>
  <c r="B846" i="1"/>
  <c r="B845" i="1"/>
  <c r="B844" i="1"/>
  <c r="B843" i="1"/>
  <c r="B842" i="1"/>
  <c r="B841" i="1"/>
  <c r="B840" i="1"/>
  <c r="B839" i="1"/>
  <c r="B838" i="1"/>
  <c r="B837" i="1"/>
  <c r="B836" i="1"/>
  <c r="B835" i="1"/>
  <c r="B834" i="1"/>
  <c r="B833" i="1"/>
  <c r="B832" i="1"/>
  <c r="B831" i="1"/>
  <c r="B830" i="1"/>
  <c r="B829" i="1"/>
  <c r="B828" i="1"/>
  <c r="B827" i="1"/>
  <c r="B826" i="1"/>
  <c r="B825" i="1"/>
  <c r="B824" i="1"/>
  <c r="B823" i="1"/>
  <c r="B822" i="1"/>
  <c r="B821" i="1"/>
  <c r="B820" i="1"/>
  <c r="B819" i="1"/>
  <c r="B818" i="1"/>
  <c r="B817" i="1"/>
  <c r="B816" i="1"/>
  <c r="B815" i="1"/>
  <c r="B814" i="1"/>
  <c r="B813" i="1"/>
  <c r="B812" i="1"/>
  <c r="B811" i="1"/>
  <c r="B810" i="1"/>
  <c r="B809" i="1"/>
  <c r="B808" i="1"/>
  <c r="B807" i="1"/>
  <c r="B806" i="1"/>
  <c r="B805" i="1"/>
  <c r="B804" i="1"/>
  <c r="B803" i="1"/>
  <c r="B802" i="1"/>
  <c r="B801" i="1"/>
  <c r="B800" i="1"/>
  <c r="B799" i="1"/>
  <c r="B798" i="1"/>
  <c r="B797" i="1"/>
  <c r="B796" i="1"/>
  <c r="B795" i="1"/>
  <c r="B794" i="1"/>
  <c r="B793" i="1"/>
  <c r="B792" i="1"/>
  <c r="B791" i="1"/>
  <c r="B790" i="1"/>
  <c r="B789" i="1"/>
  <c r="B788" i="1"/>
  <c r="B787" i="1"/>
  <c r="B786" i="1"/>
  <c r="B785" i="1"/>
  <c r="B784" i="1"/>
  <c r="B783" i="1"/>
  <c r="B782" i="1"/>
  <c r="B781" i="1"/>
  <c r="B780" i="1"/>
  <c r="B779" i="1"/>
  <c r="B778" i="1"/>
  <c r="B777" i="1"/>
  <c r="B776" i="1"/>
  <c r="B775" i="1"/>
  <c r="B774" i="1"/>
  <c r="B773" i="1"/>
  <c r="B772" i="1"/>
  <c r="B771" i="1"/>
  <c r="B770" i="1"/>
  <c r="B769" i="1"/>
  <c r="B768" i="1"/>
  <c r="B767" i="1"/>
  <c r="B766" i="1"/>
  <c r="B765" i="1"/>
  <c r="B764" i="1"/>
  <c r="B763" i="1"/>
  <c r="B762" i="1"/>
  <c r="B761" i="1"/>
  <c r="B760" i="1"/>
  <c r="B759" i="1"/>
  <c r="B758" i="1"/>
  <c r="B757" i="1"/>
  <c r="B756" i="1"/>
  <c r="B755" i="1"/>
  <c r="B754" i="1"/>
  <c r="B753" i="1"/>
  <c r="B752" i="1"/>
  <c r="B751" i="1"/>
  <c r="B750" i="1"/>
  <c r="B749" i="1"/>
  <c r="B748" i="1"/>
  <c r="B747" i="1"/>
  <c r="B746" i="1"/>
  <c r="B745" i="1"/>
  <c r="B744" i="1"/>
  <c r="B743" i="1"/>
  <c r="B742" i="1"/>
  <c r="B741" i="1"/>
  <c r="B740" i="1"/>
  <c r="B739" i="1"/>
  <c r="B738" i="1"/>
  <c r="B737" i="1"/>
  <c r="B736" i="1"/>
  <c r="B735" i="1"/>
  <c r="B734" i="1"/>
  <c r="B733" i="1"/>
  <c r="B732" i="1"/>
  <c r="B731" i="1"/>
  <c r="B730" i="1"/>
  <c r="B729" i="1"/>
  <c r="B728" i="1"/>
  <c r="B727" i="1"/>
  <c r="B726" i="1"/>
  <c r="B725" i="1"/>
  <c r="B724" i="1"/>
  <c r="B723" i="1"/>
  <c r="B722" i="1"/>
  <c r="B721" i="1"/>
  <c r="B720" i="1"/>
  <c r="B719" i="1"/>
  <c r="B718" i="1"/>
  <c r="B717" i="1"/>
  <c r="B716" i="1"/>
  <c r="B715" i="1"/>
  <c r="B714" i="1"/>
  <c r="B713" i="1"/>
  <c r="B712" i="1"/>
  <c r="B711" i="1"/>
  <c r="B710" i="1"/>
  <c r="B709" i="1"/>
  <c r="B708" i="1"/>
  <c r="B707" i="1"/>
  <c r="B706" i="1"/>
  <c r="B705" i="1"/>
  <c r="B704" i="1"/>
  <c r="B703" i="1"/>
  <c r="B702" i="1"/>
  <c r="B701" i="1"/>
  <c r="B700" i="1"/>
  <c r="B699" i="1"/>
  <c r="B698" i="1"/>
  <c r="B697" i="1"/>
  <c r="B696" i="1"/>
  <c r="B695" i="1"/>
  <c r="B694" i="1"/>
  <c r="B693" i="1"/>
  <c r="B692" i="1"/>
  <c r="B691" i="1"/>
  <c r="B690" i="1"/>
  <c r="B689" i="1"/>
  <c r="B688" i="1"/>
  <c r="B687" i="1"/>
  <c r="B686" i="1"/>
  <c r="B685" i="1"/>
  <c r="B684" i="1"/>
  <c r="B683" i="1"/>
  <c r="B682" i="1"/>
  <c r="B681" i="1"/>
  <c r="B680" i="1"/>
  <c r="B679" i="1"/>
  <c r="B678" i="1"/>
  <c r="B677" i="1"/>
  <c r="B676" i="1"/>
  <c r="B675" i="1"/>
  <c r="B674" i="1"/>
  <c r="B673" i="1"/>
  <c r="B672" i="1"/>
  <c r="B671" i="1"/>
  <c r="B670" i="1"/>
  <c r="B669" i="1"/>
  <c r="B668" i="1"/>
  <c r="B667" i="1"/>
  <c r="B666" i="1"/>
  <c r="B665" i="1"/>
  <c r="B664" i="1"/>
  <c r="B663" i="1"/>
  <c r="B662" i="1"/>
  <c r="B661" i="1"/>
  <c r="B660" i="1"/>
  <c r="B659" i="1"/>
  <c r="B658" i="1"/>
  <c r="B657" i="1"/>
  <c r="B656" i="1"/>
  <c r="B655" i="1"/>
  <c r="B654" i="1"/>
  <c r="B653" i="1"/>
  <c r="B652" i="1"/>
  <c r="B651" i="1"/>
  <c r="B650" i="1"/>
  <c r="B649" i="1"/>
  <c r="B648" i="1"/>
  <c r="B647" i="1"/>
  <c r="B646" i="1"/>
  <c r="B645" i="1"/>
  <c r="B644" i="1"/>
  <c r="B643" i="1"/>
  <c r="B642" i="1"/>
  <c r="B641" i="1"/>
  <c r="B640" i="1"/>
  <c r="B639" i="1"/>
  <c r="B638" i="1"/>
  <c r="B637" i="1"/>
  <c r="B636" i="1"/>
  <c r="B635" i="1"/>
  <c r="B634" i="1"/>
  <c r="B633" i="1"/>
  <c r="B632" i="1"/>
  <c r="B631" i="1"/>
  <c r="B630" i="1"/>
  <c r="B629" i="1"/>
  <c r="B628" i="1"/>
  <c r="B627" i="1"/>
  <c r="B626" i="1"/>
  <c r="B625" i="1"/>
  <c r="B624" i="1"/>
  <c r="B623" i="1"/>
  <c r="B622" i="1"/>
  <c r="B621" i="1"/>
  <c r="B620" i="1"/>
  <c r="B619" i="1"/>
  <c r="B618" i="1"/>
  <c r="B617" i="1"/>
  <c r="B616" i="1"/>
  <c r="B615" i="1"/>
  <c r="B614" i="1"/>
  <c r="B613" i="1"/>
  <c r="B612" i="1"/>
  <c r="B611" i="1"/>
  <c r="B610" i="1"/>
  <c r="B609" i="1"/>
  <c r="B608" i="1"/>
  <c r="B607" i="1"/>
  <c r="B606" i="1"/>
  <c r="B605" i="1"/>
  <c r="B604" i="1"/>
  <c r="B603" i="1"/>
  <c r="B602" i="1"/>
  <c r="B601" i="1"/>
  <c r="B600" i="1"/>
  <c r="B599" i="1"/>
  <c r="B598" i="1"/>
  <c r="B597" i="1"/>
  <c r="B596" i="1"/>
  <c r="B595" i="1"/>
  <c r="B594" i="1"/>
  <c r="B593" i="1"/>
  <c r="B592" i="1"/>
  <c r="B591" i="1"/>
  <c r="B590" i="1"/>
  <c r="B589" i="1"/>
  <c r="B588" i="1"/>
  <c r="B587" i="1"/>
  <c r="B586" i="1"/>
  <c r="B585" i="1"/>
  <c r="B584" i="1"/>
  <c r="B583" i="1"/>
  <c r="B582" i="1"/>
  <c r="B581" i="1"/>
  <c r="B580" i="1"/>
  <c r="B579" i="1"/>
  <c r="B578" i="1"/>
  <c r="B577" i="1"/>
  <c r="B576" i="1"/>
  <c r="B575" i="1"/>
  <c r="B574" i="1"/>
  <c r="B573" i="1"/>
  <c r="B572" i="1"/>
  <c r="B571" i="1"/>
  <c r="B570" i="1"/>
  <c r="B569" i="1"/>
  <c r="B568" i="1"/>
  <c r="B567" i="1"/>
  <c r="B566" i="1"/>
  <c r="B565" i="1"/>
  <c r="B564" i="1"/>
  <c r="B563" i="1"/>
  <c r="B562" i="1"/>
  <c r="B561" i="1"/>
  <c r="B560" i="1"/>
  <c r="B559" i="1"/>
  <c r="B558" i="1"/>
  <c r="B557" i="1"/>
  <c r="B556" i="1"/>
  <c r="B555" i="1"/>
  <c r="B554" i="1"/>
  <c r="B553" i="1"/>
  <c r="B552" i="1"/>
  <c r="B551" i="1"/>
  <c r="B550" i="1"/>
  <c r="B549" i="1"/>
  <c r="B548" i="1"/>
  <c r="B547" i="1"/>
  <c r="B546" i="1"/>
  <c r="B545" i="1"/>
  <c r="B544" i="1"/>
  <c r="B543" i="1"/>
  <c r="B542" i="1"/>
  <c r="B541" i="1"/>
  <c r="B540" i="1"/>
  <c r="B539" i="1"/>
  <c r="B538" i="1"/>
  <c r="B537" i="1"/>
  <c r="B536" i="1"/>
  <c r="B535" i="1"/>
  <c r="B534" i="1"/>
  <c r="B533" i="1"/>
  <c r="B532" i="1"/>
  <c r="B531" i="1"/>
  <c r="B530" i="1"/>
  <c r="B529" i="1"/>
  <c r="B528" i="1"/>
  <c r="B527" i="1"/>
  <c r="B526" i="1"/>
  <c r="B525" i="1"/>
  <c r="B524" i="1"/>
  <c r="B523" i="1"/>
  <c r="B522" i="1"/>
  <c r="B521" i="1"/>
  <c r="B520" i="1"/>
  <c r="B519" i="1"/>
  <c r="B518" i="1"/>
  <c r="B517" i="1"/>
  <c r="B516" i="1"/>
  <c r="B515" i="1"/>
  <c r="B514" i="1"/>
  <c r="B513" i="1"/>
  <c r="B512" i="1"/>
  <c r="B511" i="1"/>
  <c r="B510" i="1"/>
  <c r="B509" i="1"/>
  <c r="B508" i="1"/>
  <c r="B507" i="1"/>
  <c r="B506" i="1"/>
  <c r="B505" i="1"/>
  <c r="B504" i="1"/>
  <c r="B503" i="1"/>
  <c r="B502" i="1"/>
  <c r="B501" i="1"/>
  <c r="B500" i="1"/>
  <c r="B499" i="1"/>
  <c r="B498" i="1"/>
  <c r="B497" i="1"/>
  <c r="B496" i="1"/>
  <c r="B495" i="1"/>
  <c r="B494" i="1"/>
  <c r="B493" i="1"/>
  <c r="B492" i="1"/>
  <c r="B491" i="1"/>
  <c r="B490" i="1"/>
  <c r="B489" i="1"/>
  <c r="B488" i="1"/>
  <c r="B487" i="1"/>
  <c r="B486" i="1"/>
  <c r="B485" i="1"/>
  <c r="B484" i="1"/>
  <c r="B483" i="1"/>
  <c r="B482" i="1"/>
  <c r="B481" i="1"/>
  <c r="B480" i="1"/>
  <c r="B479" i="1"/>
  <c r="B478" i="1"/>
  <c r="B477" i="1"/>
  <c r="B476" i="1"/>
  <c r="B475" i="1"/>
  <c r="B474" i="1"/>
  <c r="B473" i="1"/>
  <c r="B472" i="1"/>
  <c r="B471" i="1"/>
  <c r="B470" i="1"/>
  <c r="B469" i="1"/>
  <c r="B468" i="1"/>
  <c r="B467" i="1"/>
  <c r="B466" i="1"/>
  <c r="B465" i="1"/>
  <c r="B464" i="1"/>
  <c r="B463" i="1"/>
  <c r="B462" i="1"/>
  <c r="B461" i="1"/>
  <c r="B460" i="1"/>
  <c r="B459" i="1"/>
  <c r="B458" i="1"/>
  <c r="B457" i="1"/>
  <c r="B456" i="1"/>
  <c r="B455" i="1"/>
  <c r="B454" i="1"/>
  <c r="B453" i="1"/>
  <c r="B452" i="1"/>
  <c r="B451" i="1"/>
  <c r="B450" i="1"/>
  <c r="B449" i="1"/>
  <c r="B448" i="1"/>
  <c r="B447" i="1"/>
  <c r="B446" i="1"/>
  <c r="B445" i="1"/>
  <c r="B444" i="1"/>
  <c r="B443" i="1"/>
  <c r="B442" i="1"/>
  <c r="B441" i="1"/>
  <c r="B440" i="1"/>
  <c r="B439" i="1"/>
  <c r="B438" i="1"/>
  <c r="B437" i="1"/>
  <c r="B436" i="1"/>
  <c r="B435" i="1"/>
  <c r="B434" i="1"/>
  <c r="B433" i="1"/>
  <c r="B432" i="1"/>
  <c r="B431" i="1"/>
  <c r="B430" i="1"/>
  <c r="B429" i="1"/>
  <c r="B428" i="1"/>
  <c r="B427" i="1"/>
  <c r="B426" i="1"/>
  <c r="B425" i="1"/>
  <c r="B424" i="1"/>
  <c r="B423" i="1"/>
  <c r="B422" i="1"/>
  <c r="B421" i="1"/>
  <c r="B420" i="1"/>
  <c r="B419" i="1"/>
  <c r="B418" i="1"/>
  <c r="B417" i="1"/>
  <c r="B416" i="1"/>
  <c r="B415" i="1"/>
  <c r="B414" i="1"/>
  <c r="B413" i="1"/>
  <c r="B412" i="1"/>
  <c r="B411" i="1"/>
  <c r="B410" i="1"/>
  <c r="B409" i="1"/>
  <c r="B408" i="1"/>
  <c r="B407" i="1"/>
  <c r="B406" i="1"/>
  <c r="B405" i="1"/>
  <c r="B404" i="1"/>
  <c r="B403" i="1"/>
  <c r="B402" i="1"/>
  <c r="B401" i="1"/>
  <c r="B400" i="1"/>
  <c r="B399" i="1"/>
  <c r="B398" i="1"/>
  <c r="B397" i="1"/>
  <c r="B396" i="1"/>
  <c r="B395" i="1"/>
  <c r="B394" i="1"/>
  <c r="B393" i="1"/>
  <c r="B392" i="1"/>
  <c r="B391" i="1"/>
  <c r="B390" i="1"/>
  <c r="B389" i="1"/>
  <c r="B388" i="1"/>
  <c r="B387" i="1"/>
  <c r="B386" i="1"/>
  <c r="B385" i="1"/>
  <c r="B384" i="1"/>
  <c r="B383" i="1"/>
  <c r="B382" i="1"/>
  <c r="B381" i="1"/>
  <c r="B380" i="1"/>
  <c r="B379" i="1"/>
  <c r="B378" i="1"/>
  <c r="B377" i="1"/>
  <c r="B376" i="1"/>
  <c r="B375" i="1"/>
  <c r="B374" i="1"/>
  <c r="B373" i="1"/>
  <c r="B372" i="1"/>
  <c r="B371" i="1"/>
  <c r="B370" i="1"/>
  <c r="B369" i="1"/>
  <c r="B368" i="1"/>
  <c r="B367" i="1"/>
  <c r="B366" i="1"/>
  <c r="B365" i="1"/>
  <c r="B364" i="1"/>
  <c r="B363" i="1"/>
  <c r="B362" i="1"/>
  <c r="B361" i="1"/>
  <c r="B360" i="1"/>
  <c r="B359" i="1"/>
  <c r="B358" i="1"/>
  <c r="B357" i="1"/>
  <c r="B356" i="1"/>
  <c r="B355" i="1"/>
  <c r="B354" i="1"/>
  <c r="B353" i="1"/>
  <c r="B352" i="1"/>
  <c r="B351" i="1"/>
  <c r="B350" i="1"/>
  <c r="B349" i="1"/>
  <c r="B348" i="1"/>
  <c r="B347" i="1"/>
  <c r="B346" i="1"/>
  <c r="B345" i="1"/>
  <c r="B344" i="1"/>
  <c r="B343" i="1"/>
  <c r="B342" i="1"/>
  <c r="B341" i="1"/>
  <c r="B340" i="1"/>
  <c r="B339" i="1"/>
  <c r="B338" i="1"/>
  <c r="B337" i="1"/>
  <c r="B336" i="1"/>
  <c r="B335" i="1"/>
  <c r="B334" i="1"/>
  <c r="B333" i="1"/>
  <c r="B332" i="1"/>
  <c r="B331" i="1"/>
  <c r="B330" i="1"/>
  <c r="B329" i="1"/>
  <c r="B328" i="1"/>
  <c r="B327" i="1"/>
  <c r="B326" i="1"/>
  <c r="B325" i="1"/>
  <c r="B324" i="1"/>
  <c r="B323" i="1"/>
  <c r="B322" i="1"/>
  <c r="B321" i="1"/>
  <c r="B320" i="1"/>
  <c r="B319" i="1"/>
  <c r="B318" i="1"/>
  <c r="B317" i="1"/>
  <c r="B316" i="1"/>
  <c r="B315" i="1"/>
  <c r="B314" i="1"/>
  <c r="B313" i="1"/>
  <c r="B312" i="1"/>
  <c r="B311" i="1"/>
  <c r="B310" i="1"/>
  <c r="B309" i="1"/>
  <c r="B308" i="1"/>
  <c r="B307" i="1"/>
  <c r="B306" i="1"/>
  <c r="B305" i="1"/>
  <c r="B304" i="1"/>
  <c r="B303" i="1"/>
  <c r="B302" i="1"/>
  <c r="B301" i="1"/>
  <c r="B300" i="1"/>
  <c r="B299" i="1"/>
  <c r="B298" i="1"/>
  <c r="B297" i="1"/>
  <c r="B296" i="1"/>
  <c r="B295" i="1"/>
  <c r="B294" i="1"/>
  <c r="B293" i="1"/>
  <c r="B292" i="1"/>
  <c r="B291" i="1"/>
  <c r="B290" i="1"/>
  <c r="B289" i="1"/>
  <c r="B288" i="1"/>
  <c r="B287" i="1"/>
  <c r="B286" i="1"/>
  <c r="B285" i="1"/>
  <c r="B284" i="1"/>
  <c r="B283" i="1"/>
  <c r="B282" i="1"/>
  <c r="B281" i="1"/>
  <c r="B280" i="1"/>
  <c r="B279" i="1"/>
  <c r="B278" i="1"/>
  <c r="B277" i="1"/>
  <c r="B276" i="1"/>
  <c r="B275" i="1"/>
  <c r="B274" i="1"/>
  <c r="B273" i="1"/>
  <c r="B272" i="1"/>
  <c r="B271" i="1"/>
  <c r="B270" i="1"/>
  <c r="B269" i="1"/>
  <c r="B268" i="1"/>
  <c r="B267" i="1"/>
  <c r="B266" i="1"/>
  <c r="B265" i="1"/>
  <c r="B264" i="1"/>
  <c r="B263" i="1"/>
  <c r="B262" i="1"/>
  <c r="B261" i="1"/>
  <c r="B260" i="1"/>
  <c r="B259" i="1"/>
  <c r="B258" i="1"/>
  <c r="B257" i="1"/>
  <c r="B256" i="1"/>
  <c r="B255" i="1"/>
  <c r="B254" i="1"/>
  <c r="B253" i="1"/>
  <c r="B252" i="1"/>
  <c r="B251" i="1"/>
  <c r="B250" i="1"/>
  <c r="B249" i="1"/>
  <c r="B248" i="1"/>
  <c r="B247" i="1"/>
  <c r="B246" i="1"/>
  <c r="B245" i="1"/>
  <c r="B244" i="1"/>
  <c r="B243" i="1"/>
  <c r="B242" i="1"/>
  <c r="B241" i="1"/>
  <c r="B240" i="1"/>
  <c r="B239" i="1"/>
  <c r="B238" i="1"/>
  <c r="B237" i="1"/>
  <c r="B236" i="1"/>
  <c r="B235" i="1"/>
  <c r="B234" i="1"/>
  <c r="B233" i="1"/>
  <c r="B232" i="1"/>
  <c r="B231" i="1"/>
  <c r="B230" i="1"/>
  <c r="B229" i="1"/>
  <c r="B228" i="1"/>
  <c r="B227" i="1"/>
  <c r="B226" i="1"/>
  <c r="B225" i="1"/>
  <c r="B224" i="1"/>
  <c r="B223" i="1"/>
  <c r="B222" i="1"/>
  <c r="B221" i="1"/>
  <c r="B220" i="1"/>
  <c r="B219" i="1"/>
  <c r="B218" i="1"/>
  <c r="B217" i="1"/>
  <c r="B216" i="1"/>
  <c r="B215" i="1"/>
  <c r="B214" i="1"/>
  <c r="B213" i="1"/>
  <c r="B212" i="1"/>
  <c r="B211" i="1"/>
  <c r="B210" i="1"/>
  <c r="B209" i="1"/>
  <c r="B208" i="1"/>
  <c r="B207" i="1"/>
  <c r="B206" i="1"/>
  <c r="B205" i="1"/>
  <c r="B204" i="1"/>
  <c r="B203" i="1"/>
  <c r="B202" i="1"/>
  <c r="B201" i="1"/>
  <c r="B200" i="1"/>
  <c r="B199" i="1"/>
  <c r="B198" i="1"/>
  <c r="B197" i="1"/>
  <c r="B196" i="1"/>
  <c r="B195" i="1"/>
  <c r="B194" i="1"/>
  <c r="B193" i="1"/>
  <c r="B192" i="1"/>
  <c r="B191" i="1"/>
  <c r="B190" i="1"/>
  <c r="B189" i="1"/>
  <c r="B188" i="1"/>
  <c r="B187" i="1"/>
  <c r="B186" i="1"/>
  <c r="B185" i="1"/>
  <c r="B184" i="1"/>
  <c r="B183" i="1"/>
  <c r="B182" i="1"/>
  <c r="B181" i="1"/>
  <c r="B180" i="1"/>
  <c r="B179" i="1"/>
  <c r="B178" i="1"/>
  <c r="B177" i="1"/>
  <c r="B176" i="1"/>
  <c r="B175" i="1"/>
  <c r="B174" i="1"/>
  <c r="B173" i="1"/>
  <c r="B172" i="1"/>
  <c r="B171" i="1"/>
  <c r="B170" i="1"/>
  <c r="B169" i="1"/>
  <c r="B168" i="1"/>
  <c r="B167" i="1"/>
  <c r="B166" i="1"/>
  <c r="B165" i="1"/>
  <c r="B164" i="1"/>
  <c r="B163" i="1"/>
  <c r="B162" i="1"/>
  <c r="B161" i="1"/>
  <c r="B160" i="1"/>
  <c r="B159" i="1"/>
  <c r="B158" i="1"/>
  <c r="B157" i="1"/>
  <c r="B156" i="1"/>
  <c r="B155" i="1"/>
  <c r="B154" i="1"/>
  <c r="B153" i="1"/>
  <c r="B152" i="1"/>
  <c r="B151" i="1"/>
  <c r="B150" i="1"/>
  <c r="B149" i="1"/>
  <c r="B148" i="1"/>
  <c r="B147" i="1"/>
  <c r="B146" i="1"/>
  <c r="B145" i="1"/>
  <c r="B144" i="1"/>
  <c r="B143" i="1"/>
  <c r="B142" i="1"/>
  <c r="B141" i="1"/>
  <c r="B140" i="1"/>
  <c r="B139" i="1"/>
  <c r="B138" i="1"/>
  <c r="B137" i="1"/>
  <c r="B136" i="1"/>
  <c r="B135" i="1"/>
  <c r="B134" i="1"/>
  <c r="B133" i="1"/>
  <c r="B132" i="1"/>
  <c r="B131" i="1"/>
  <c r="B130" i="1"/>
  <c r="B129" i="1"/>
  <c r="B128" i="1"/>
  <c r="B127" i="1"/>
  <c r="B126" i="1"/>
  <c r="B125" i="1"/>
  <c r="B124" i="1"/>
  <c r="B123" i="1"/>
  <c r="B122" i="1"/>
  <c r="B121" i="1"/>
  <c r="B120" i="1"/>
  <c r="B119" i="1"/>
  <c r="B118" i="1"/>
  <c r="B117" i="1"/>
  <c r="B116" i="1"/>
  <c r="B115" i="1"/>
  <c r="B114" i="1"/>
  <c r="B113" i="1"/>
  <c r="B112" i="1"/>
  <c r="B111" i="1"/>
  <c r="B110" i="1"/>
  <c r="B109" i="1"/>
  <c r="B108" i="1"/>
  <c r="B107" i="1"/>
  <c r="B106" i="1"/>
  <c r="B105" i="1"/>
  <c r="B104" i="1"/>
  <c r="B103" i="1"/>
  <c r="B102" i="1"/>
  <c r="B101" i="1"/>
  <c r="B100" i="1"/>
  <c r="B99" i="1"/>
  <c r="B98" i="1"/>
  <c r="B97" i="1"/>
  <c r="B96" i="1"/>
  <c r="B95" i="1"/>
  <c r="B94" i="1"/>
  <c r="B93" i="1"/>
  <c r="B92" i="1"/>
  <c r="B91" i="1"/>
  <c r="B90" i="1"/>
  <c r="B89" i="1"/>
  <c r="B88" i="1"/>
  <c r="B87" i="1"/>
  <c r="B86" i="1"/>
  <c r="B85" i="1"/>
  <c r="B84" i="1"/>
  <c r="B83" i="1"/>
  <c r="B82" i="1"/>
  <c r="B81" i="1"/>
  <c r="B80" i="1"/>
  <c r="B79" i="1"/>
  <c r="B78" i="1"/>
  <c r="B77" i="1"/>
  <c r="B76" i="1"/>
  <c r="B75" i="1"/>
  <c r="B74" i="1"/>
  <c r="B73" i="1"/>
  <c r="B72" i="1"/>
  <c r="B71" i="1"/>
  <c r="B70" i="1"/>
  <c r="B69" i="1"/>
  <c r="B68" i="1"/>
  <c r="B67" i="1"/>
  <c r="B66" i="1"/>
  <c r="B65" i="1"/>
  <c r="B64" i="1"/>
  <c r="B63" i="1"/>
  <c r="B62" i="1"/>
  <c r="B61" i="1"/>
  <c r="B60" i="1"/>
  <c r="B59" i="1"/>
  <c r="B58" i="1"/>
  <c r="B57" i="1"/>
  <c r="B56" i="1"/>
  <c r="B55" i="1"/>
  <c r="B54" i="1"/>
  <c r="B53" i="1"/>
  <c r="B52" i="1"/>
  <c r="B51" i="1"/>
  <c r="B50" i="1"/>
  <c r="B49" i="1"/>
  <c r="B48" i="1"/>
  <c r="B47" i="1"/>
  <c r="B46" i="1"/>
  <c r="B45" i="1"/>
  <c r="B44" i="1"/>
  <c r="B43" i="1"/>
  <c r="B42" i="1"/>
  <c r="B41" i="1"/>
  <c r="B40" i="1"/>
  <c r="B39" i="1"/>
  <c r="B38" i="1"/>
  <c r="B37" i="1"/>
  <c r="B36" i="1"/>
  <c r="B35" i="1"/>
  <c r="B34" i="1"/>
  <c r="B33" i="1"/>
  <c r="B32" i="1"/>
  <c r="B31" i="1"/>
  <c r="B30" i="1"/>
  <c r="B29" i="1"/>
  <c r="B28" i="1"/>
  <c r="B27" i="1"/>
  <c r="B26" i="1"/>
  <c r="B25" i="1"/>
  <c r="B24" i="1"/>
  <c r="B23" i="1"/>
  <c r="B22" i="1"/>
  <c r="B21" i="1"/>
  <c r="B20" i="1"/>
  <c r="B19" i="1"/>
  <c r="B18" i="1"/>
  <c r="B17" i="1"/>
  <c r="B16" i="1"/>
  <c r="B15" i="1"/>
  <c r="B14" i="1"/>
  <c r="B13" i="1"/>
  <c r="B12" i="1"/>
  <c r="B11" i="1"/>
  <c r="H4172" i="1"/>
  <c r="J4172" i="1"/>
  <c r="K4172" i="1"/>
  <c r="Q4172" i="1"/>
  <c r="P4172" i="1" s="1"/>
  <c r="H4163" i="1"/>
  <c r="H4164" i="1"/>
  <c r="H4165" i="1"/>
  <c r="H4166" i="1"/>
  <c r="H4167" i="1"/>
  <c r="H4168" i="1"/>
  <c r="H4169" i="1"/>
  <c r="H4170" i="1"/>
  <c r="H4171" i="1"/>
  <c r="J4163" i="1"/>
  <c r="J4164" i="1"/>
  <c r="J4165" i="1"/>
  <c r="J4166" i="1"/>
  <c r="J4167" i="1"/>
  <c r="J4168" i="1"/>
  <c r="J4169" i="1"/>
  <c r="J4170" i="1"/>
  <c r="J4171" i="1"/>
  <c r="K4163" i="1"/>
  <c r="K4164" i="1"/>
  <c r="K4165" i="1"/>
  <c r="K4166" i="1"/>
  <c r="K4167" i="1"/>
  <c r="K4168" i="1"/>
  <c r="K4169" i="1"/>
  <c r="K4170" i="1"/>
  <c r="K4171" i="1"/>
  <c r="Q4163" i="1"/>
  <c r="P4163" i="1" s="1"/>
  <c r="Q4164" i="1"/>
  <c r="P4164" i="1" s="1"/>
  <c r="Q4165" i="1"/>
  <c r="P4165" i="1" s="1"/>
  <c r="Q4166" i="1"/>
  <c r="P4166" i="1" s="1"/>
  <c r="Q4167" i="1"/>
  <c r="P4167" i="1" s="1"/>
  <c r="Q4168" i="1"/>
  <c r="P4168" i="1" s="1"/>
  <c r="Q4169" i="1"/>
  <c r="P4169" i="1" s="1"/>
  <c r="Q4170" i="1"/>
  <c r="P4170" i="1" s="1"/>
  <c r="Q4171" i="1"/>
  <c r="P4171" i="1" s="1"/>
  <c r="H4160" i="1"/>
  <c r="H4161" i="1"/>
  <c r="H4162" i="1"/>
  <c r="J4160" i="1"/>
  <c r="J4161" i="1"/>
  <c r="J4162" i="1"/>
  <c r="K4160" i="1"/>
  <c r="K4161" i="1"/>
  <c r="K4162" i="1"/>
  <c r="Q4160" i="1"/>
  <c r="P4160" i="1" s="1"/>
  <c r="Q4161" i="1"/>
  <c r="P4161" i="1" s="1"/>
  <c r="Q4162" i="1"/>
  <c r="P4162" i="1" s="1"/>
  <c r="K4159" i="1"/>
  <c r="K4158" i="1"/>
  <c r="K4157" i="1"/>
  <c r="K4156" i="1"/>
  <c r="K4155" i="1"/>
  <c r="H4158" i="1"/>
  <c r="H4159" i="1"/>
  <c r="J4158" i="1"/>
  <c r="J4159" i="1"/>
  <c r="Q4158" i="1"/>
  <c r="P4158" i="1" s="1"/>
  <c r="Q4159" i="1"/>
  <c r="P4159" i="1" s="1"/>
  <c r="H4157" i="1"/>
  <c r="J4157" i="1"/>
  <c r="Q4157" i="1"/>
  <c r="P4157" i="1" s="1"/>
  <c r="H4156" i="1"/>
  <c r="J4156" i="1"/>
  <c r="Q4156" i="1"/>
  <c r="P4156" i="1" s="1"/>
  <c r="H4155" i="1"/>
  <c r="J4155" i="1"/>
  <c r="Q4155" i="1"/>
  <c r="P4155" i="1" s="1"/>
  <c r="K4154" i="1"/>
  <c r="K4153" i="1"/>
  <c r="K4152" i="1"/>
  <c r="K4151" i="1"/>
  <c r="K4150" i="1"/>
  <c r="K4149" i="1"/>
  <c r="K4148" i="1"/>
  <c r="K4147" i="1"/>
  <c r="K4146" i="1"/>
  <c r="K4145" i="1"/>
  <c r="K4144" i="1"/>
  <c r="K4143" i="1"/>
  <c r="K4142" i="1"/>
  <c r="K4141" i="1"/>
  <c r="K4140" i="1"/>
  <c r="K4139" i="1"/>
  <c r="K4138" i="1"/>
  <c r="K4137" i="1"/>
  <c r="K4136" i="1"/>
  <c r="K4135" i="1"/>
  <c r="K4134" i="1"/>
  <c r="K4133" i="1"/>
  <c r="K4132" i="1"/>
  <c r="K4131" i="1"/>
  <c r="K4130" i="1"/>
  <c r="K4129" i="1"/>
  <c r="K4128" i="1"/>
  <c r="K4127" i="1"/>
  <c r="K4126" i="1"/>
  <c r="K4125" i="1"/>
  <c r="K4124" i="1"/>
  <c r="K4123" i="1"/>
  <c r="K4122" i="1"/>
  <c r="K4121" i="1"/>
  <c r="K4120" i="1"/>
  <c r="K4119" i="1"/>
  <c r="K4118" i="1"/>
  <c r="K4117" i="1"/>
  <c r="K4116" i="1"/>
  <c r="K4115" i="1"/>
  <c r="K4114" i="1"/>
  <c r="K4113" i="1"/>
  <c r="K4112" i="1"/>
  <c r="K4111" i="1"/>
  <c r="K4110" i="1"/>
  <c r="K4109" i="1"/>
  <c r="K4108" i="1"/>
  <c r="K4107" i="1"/>
  <c r="K4106" i="1"/>
  <c r="K4105" i="1"/>
  <c r="K4104" i="1"/>
  <c r="K4103" i="1"/>
  <c r="K4102" i="1"/>
  <c r="K4101" i="1"/>
  <c r="K4100" i="1"/>
  <c r="K4099" i="1"/>
  <c r="K4098" i="1"/>
  <c r="K4097" i="1"/>
  <c r="K4096" i="1"/>
  <c r="K4095" i="1"/>
  <c r="K4094" i="1"/>
  <c r="K4093" i="1"/>
  <c r="K4092" i="1"/>
  <c r="K4091" i="1"/>
  <c r="K4090" i="1"/>
  <c r="K4089" i="1"/>
  <c r="K4088" i="1"/>
  <c r="K4087" i="1"/>
  <c r="K4086" i="1"/>
  <c r="K4085" i="1"/>
  <c r="K4084" i="1"/>
  <c r="K4083" i="1"/>
  <c r="K4082" i="1"/>
  <c r="K4081" i="1"/>
  <c r="K4080" i="1"/>
  <c r="K4079" i="1"/>
  <c r="K4078" i="1"/>
  <c r="K4077" i="1"/>
  <c r="K4076" i="1"/>
  <c r="K4075" i="1"/>
  <c r="K4074" i="1"/>
  <c r="K4073" i="1"/>
  <c r="K4072" i="1"/>
  <c r="K4071" i="1"/>
  <c r="K4070" i="1"/>
  <c r="K4069" i="1"/>
  <c r="K4068" i="1"/>
  <c r="K4067" i="1"/>
  <c r="K4066" i="1"/>
  <c r="K4065" i="1"/>
  <c r="K4064" i="1"/>
  <c r="K4063" i="1"/>
  <c r="K4062" i="1"/>
  <c r="K4061" i="1"/>
  <c r="K4060" i="1"/>
  <c r="K4059" i="1"/>
  <c r="K4058" i="1"/>
  <c r="K4057" i="1"/>
  <c r="K4056" i="1"/>
  <c r="K4055" i="1"/>
  <c r="K4054" i="1"/>
  <c r="K4053" i="1"/>
  <c r="K4052" i="1"/>
  <c r="K4051" i="1"/>
  <c r="K4050" i="1"/>
  <c r="K4049" i="1"/>
  <c r="K4048" i="1"/>
  <c r="K4047" i="1"/>
  <c r="K4046" i="1"/>
  <c r="K4045" i="1"/>
  <c r="K4044" i="1"/>
  <c r="K4043" i="1"/>
  <c r="K4042" i="1"/>
  <c r="K4041" i="1"/>
  <c r="K4040" i="1"/>
  <c r="K4039" i="1"/>
  <c r="K4038" i="1"/>
  <c r="K4037" i="1"/>
  <c r="K4036" i="1"/>
  <c r="K4035" i="1"/>
  <c r="K4034" i="1"/>
  <c r="K4033" i="1"/>
  <c r="K4032" i="1"/>
  <c r="K4031" i="1"/>
  <c r="K4030" i="1"/>
  <c r="K4029" i="1"/>
  <c r="K4028" i="1"/>
  <c r="K4027" i="1"/>
  <c r="K4026" i="1"/>
  <c r="K4025" i="1"/>
  <c r="K4024" i="1"/>
  <c r="K4023" i="1"/>
  <c r="K4022" i="1"/>
  <c r="K4021" i="1"/>
  <c r="K4020" i="1"/>
  <c r="K4019" i="1"/>
  <c r="K4018" i="1"/>
  <c r="K4017" i="1"/>
  <c r="K4016" i="1"/>
  <c r="K4015" i="1"/>
  <c r="K4014" i="1"/>
  <c r="K4013" i="1"/>
  <c r="K4012" i="1"/>
  <c r="K4011" i="1"/>
  <c r="K4010" i="1"/>
  <c r="K4009" i="1"/>
  <c r="K4008" i="1"/>
  <c r="K4007" i="1"/>
  <c r="K4006" i="1"/>
  <c r="K4005" i="1"/>
  <c r="K4004" i="1"/>
  <c r="K4003" i="1"/>
  <c r="K4002" i="1"/>
  <c r="K4001" i="1"/>
  <c r="K4000" i="1"/>
  <c r="K3999" i="1"/>
  <c r="K3998" i="1"/>
  <c r="K3997" i="1"/>
  <c r="K3996" i="1"/>
  <c r="K3995" i="1"/>
  <c r="K3994" i="1"/>
  <c r="K3993" i="1"/>
  <c r="K3992" i="1"/>
  <c r="K3991" i="1"/>
  <c r="K3990" i="1"/>
  <c r="K3989" i="1"/>
  <c r="K3988" i="1"/>
  <c r="K3987" i="1"/>
  <c r="K3986" i="1"/>
  <c r="K3985" i="1"/>
  <c r="K3984" i="1"/>
  <c r="K3983" i="1"/>
  <c r="K3982" i="1"/>
  <c r="K3981" i="1"/>
  <c r="K3980" i="1"/>
  <c r="K3979" i="1"/>
  <c r="K3978" i="1"/>
  <c r="K3977" i="1"/>
  <c r="K3976" i="1"/>
  <c r="K3975" i="1"/>
  <c r="K3974" i="1"/>
  <c r="K3973" i="1"/>
  <c r="K3972" i="1"/>
  <c r="K3971" i="1"/>
  <c r="K3970" i="1"/>
  <c r="K3969" i="1"/>
  <c r="K3968" i="1"/>
  <c r="K3967" i="1"/>
  <c r="K3966" i="1"/>
  <c r="K3965" i="1"/>
  <c r="K3964" i="1"/>
  <c r="K3963" i="1"/>
  <c r="K3962" i="1"/>
  <c r="K3961" i="1"/>
  <c r="K3960" i="1"/>
  <c r="K3959" i="1"/>
  <c r="K3958" i="1"/>
  <c r="K3957" i="1"/>
  <c r="K3956" i="1"/>
  <c r="K3955" i="1"/>
  <c r="K3954" i="1"/>
  <c r="K3953" i="1"/>
  <c r="K3952" i="1"/>
  <c r="K3951" i="1"/>
  <c r="K3950" i="1"/>
  <c r="K3949" i="1"/>
  <c r="K3948" i="1"/>
  <c r="K3947" i="1"/>
  <c r="K3946" i="1"/>
  <c r="K3945" i="1"/>
  <c r="K3944" i="1"/>
  <c r="K3943" i="1"/>
  <c r="K3942" i="1"/>
  <c r="K3941" i="1"/>
  <c r="K3940" i="1"/>
  <c r="K3939" i="1"/>
  <c r="K3938" i="1"/>
  <c r="K3937" i="1"/>
  <c r="K3936" i="1"/>
  <c r="K3935" i="1"/>
  <c r="K3934" i="1"/>
  <c r="K3933" i="1"/>
  <c r="K3932" i="1"/>
  <c r="K3931" i="1"/>
  <c r="K3930" i="1"/>
  <c r="K3929" i="1"/>
  <c r="K3928" i="1"/>
  <c r="K3927" i="1"/>
  <c r="K3926" i="1"/>
  <c r="K3925" i="1"/>
  <c r="K3924" i="1"/>
  <c r="K3923" i="1"/>
  <c r="K3922" i="1"/>
  <c r="K3921" i="1"/>
  <c r="K3920" i="1"/>
  <c r="K3919" i="1"/>
  <c r="K3918" i="1"/>
  <c r="K3917" i="1"/>
  <c r="K3916" i="1"/>
  <c r="K3915" i="1"/>
  <c r="K3914" i="1"/>
  <c r="K3913" i="1"/>
  <c r="K3912" i="1"/>
  <c r="K3911" i="1"/>
  <c r="K3910" i="1"/>
  <c r="K3909" i="1"/>
  <c r="K3908" i="1"/>
  <c r="K3907" i="1"/>
  <c r="K3906" i="1"/>
  <c r="K3905" i="1"/>
  <c r="K3904" i="1"/>
  <c r="K3903" i="1"/>
  <c r="K3902" i="1"/>
  <c r="K3901" i="1"/>
  <c r="K3900" i="1"/>
  <c r="K3899" i="1"/>
  <c r="K3898" i="1"/>
  <c r="K3897" i="1"/>
  <c r="K3896" i="1"/>
  <c r="K3895" i="1"/>
  <c r="K3894" i="1"/>
  <c r="K3893" i="1"/>
  <c r="K3892" i="1"/>
  <c r="K3891" i="1"/>
  <c r="K3890" i="1"/>
  <c r="K3889" i="1"/>
  <c r="K3888" i="1"/>
  <c r="K3887" i="1"/>
  <c r="K3886" i="1"/>
  <c r="K3885" i="1"/>
  <c r="K3884" i="1"/>
  <c r="K3883" i="1"/>
  <c r="K3882" i="1"/>
  <c r="K3881" i="1"/>
  <c r="K3880" i="1"/>
  <c r="K3879" i="1"/>
  <c r="K3878" i="1"/>
  <c r="K3877" i="1"/>
  <c r="K3876" i="1"/>
  <c r="K3875" i="1"/>
  <c r="K3874" i="1"/>
  <c r="K3873" i="1"/>
  <c r="K3872" i="1"/>
  <c r="K3871" i="1"/>
  <c r="K3870" i="1"/>
  <c r="K3869" i="1"/>
  <c r="K3868" i="1"/>
  <c r="K3867" i="1"/>
  <c r="K3866" i="1"/>
  <c r="K3865" i="1"/>
  <c r="K3864" i="1"/>
  <c r="K3863" i="1"/>
  <c r="K3862" i="1"/>
  <c r="K3861" i="1"/>
  <c r="K3860" i="1"/>
  <c r="K3859" i="1"/>
  <c r="K3858" i="1"/>
  <c r="K3857" i="1"/>
  <c r="K3856" i="1"/>
  <c r="K3855" i="1"/>
  <c r="K3854" i="1"/>
  <c r="K3853" i="1"/>
  <c r="K3852" i="1"/>
  <c r="K3851" i="1"/>
  <c r="K3850" i="1"/>
  <c r="K3849" i="1"/>
  <c r="K3848" i="1"/>
  <c r="K3847" i="1"/>
  <c r="K3846" i="1"/>
  <c r="K3845" i="1"/>
  <c r="K3844" i="1"/>
  <c r="K3843" i="1"/>
  <c r="K3842" i="1"/>
  <c r="K3841" i="1"/>
  <c r="K3840" i="1"/>
  <c r="K3839" i="1"/>
  <c r="K3838" i="1"/>
  <c r="K3837" i="1"/>
  <c r="K3836" i="1"/>
  <c r="K3835" i="1"/>
  <c r="K3834" i="1"/>
  <c r="K3833" i="1"/>
  <c r="K3832" i="1"/>
  <c r="K3831" i="1"/>
  <c r="K3830" i="1"/>
  <c r="K3829" i="1"/>
  <c r="K3828" i="1"/>
  <c r="K3827" i="1"/>
  <c r="K3826" i="1"/>
  <c r="K3825" i="1"/>
  <c r="K3824" i="1"/>
  <c r="K3823" i="1"/>
  <c r="K3822" i="1"/>
  <c r="K3821" i="1"/>
  <c r="K3820" i="1"/>
  <c r="K3819" i="1"/>
  <c r="K3818" i="1"/>
  <c r="K3817" i="1"/>
  <c r="K3816" i="1"/>
  <c r="K3815" i="1"/>
  <c r="K3814" i="1"/>
  <c r="K3813" i="1"/>
  <c r="K3812" i="1"/>
  <c r="K3811" i="1"/>
  <c r="K3810" i="1"/>
  <c r="K3809" i="1"/>
  <c r="K3808" i="1"/>
  <c r="K3807" i="1"/>
  <c r="K3806" i="1"/>
  <c r="K3805" i="1"/>
  <c r="K3804" i="1"/>
  <c r="K3803" i="1"/>
  <c r="K3802" i="1"/>
  <c r="K3801" i="1"/>
  <c r="K3800" i="1"/>
  <c r="K3799" i="1"/>
  <c r="K3798" i="1"/>
  <c r="K3797" i="1"/>
  <c r="K3796" i="1"/>
  <c r="K3795" i="1"/>
  <c r="K3794" i="1"/>
  <c r="K3793" i="1"/>
  <c r="K3792" i="1"/>
  <c r="K3791" i="1"/>
  <c r="K3790" i="1"/>
  <c r="K3789" i="1"/>
  <c r="K3788" i="1"/>
  <c r="K3787" i="1"/>
  <c r="K3786" i="1"/>
  <c r="K3785" i="1"/>
  <c r="K3784" i="1"/>
  <c r="K3783" i="1"/>
  <c r="K3782" i="1"/>
  <c r="K3781" i="1"/>
  <c r="K3780" i="1"/>
  <c r="K3779" i="1"/>
  <c r="K3778" i="1"/>
  <c r="K3777" i="1"/>
  <c r="K3776" i="1"/>
  <c r="K3775" i="1"/>
  <c r="K3774" i="1"/>
  <c r="K3773" i="1"/>
  <c r="K3772" i="1"/>
  <c r="K3771" i="1"/>
  <c r="K3770" i="1"/>
  <c r="K3769" i="1"/>
  <c r="K3768" i="1"/>
  <c r="K3767" i="1"/>
  <c r="K3766" i="1"/>
  <c r="K3765" i="1"/>
  <c r="K3764" i="1"/>
  <c r="K3763" i="1"/>
  <c r="K3762" i="1"/>
  <c r="K3761" i="1"/>
  <c r="K3760" i="1"/>
  <c r="K3759" i="1"/>
  <c r="K3758" i="1"/>
  <c r="K3757" i="1"/>
  <c r="K3756" i="1"/>
  <c r="K3755" i="1"/>
  <c r="K3754" i="1"/>
  <c r="K3753" i="1"/>
  <c r="K3752" i="1"/>
  <c r="K3751" i="1"/>
  <c r="K3750" i="1"/>
  <c r="K3749" i="1"/>
  <c r="K3748" i="1"/>
  <c r="K3747" i="1"/>
  <c r="K3746" i="1"/>
  <c r="K3745" i="1"/>
  <c r="K3744" i="1"/>
  <c r="K3743" i="1"/>
  <c r="K3742" i="1"/>
  <c r="K3741" i="1"/>
  <c r="K3740" i="1"/>
  <c r="K3739" i="1"/>
  <c r="K3738" i="1"/>
  <c r="K3737" i="1"/>
  <c r="K3736" i="1"/>
  <c r="K3735" i="1"/>
  <c r="K3734" i="1"/>
  <c r="K3733" i="1"/>
  <c r="K3732" i="1"/>
  <c r="K3731" i="1"/>
  <c r="K3730" i="1"/>
  <c r="K3729" i="1"/>
  <c r="K3728" i="1"/>
  <c r="K3727" i="1"/>
  <c r="K3726" i="1"/>
  <c r="K3725" i="1"/>
  <c r="K3724" i="1"/>
  <c r="K3723" i="1"/>
  <c r="K3722" i="1"/>
  <c r="K3721" i="1"/>
  <c r="K3720" i="1"/>
  <c r="K3719" i="1"/>
  <c r="K3718" i="1"/>
  <c r="K3717" i="1"/>
  <c r="K3716" i="1"/>
  <c r="K3715" i="1"/>
  <c r="K3714" i="1"/>
  <c r="K3713" i="1"/>
  <c r="K3712" i="1"/>
  <c r="K3711" i="1"/>
  <c r="K3710" i="1"/>
  <c r="K3709" i="1"/>
  <c r="K3708" i="1"/>
  <c r="K3707" i="1"/>
  <c r="K3706" i="1"/>
  <c r="K3705" i="1"/>
  <c r="K3704" i="1"/>
  <c r="K3703" i="1"/>
  <c r="K3702" i="1"/>
  <c r="K3701" i="1"/>
  <c r="K3700" i="1"/>
  <c r="K3699" i="1"/>
  <c r="K3698" i="1"/>
  <c r="K3697" i="1"/>
  <c r="K3696" i="1"/>
  <c r="K3695" i="1"/>
  <c r="K3694" i="1"/>
  <c r="K3693" i="1"/>
  <c r="K3692" i="1"/>
  <c r="K3691" i="1"/>
  <c r="K3690" i="1"/>
  <c r="K3689" i="1"/>
  <c r="K3688" i="1"/>
  <c r="K3687" i="1"/>
  <c r="K3686" i="1"/>
  <c r="K3685" i="1"/>
  <c r="K3684" i="1"/>
  <c r="K3683" i="1"/>
  <c r="K3682" i="1"/>
  <c r="K3681" i="1"/>
  <c r="K3680" i="1"/>
  <c r="K3679" i="1"/>
  <c r="K3678" i="1"/>
  <c r="K3677" i="1"/>
  <c r="K3676" i="1"/>
  <c r="K3675" i="1"/>
  <c r="K3674" i="1"/>
  <c r="K3673" i="1"/>
  <c r="K3672" i="1"/>
  <c r="K3671" i="1"/>
  <c r="K3670" i="1"/>
  <c r="K3669" i="1"/>
  <c r="K3668" i="1"/>
  <c r="K3667" i="1"/>
  <c r="K3666" i="1"/>
  <c r="K3665" i="1"/>
  <c r="K3664" i="1"/>
  <c r="K3663" i="1"/>
  <c r="K3662" i="1"/>
  <c r="K3661" i="1"/>
  <c r="K3660" i="1"/>
  <c r="K3659" i="1"/>
  <c r="K3658" i="1"/>
  <c r="K3657" i="1"/>
  <c r="K3656" i="1"/>
  <c r="K3655" i="1"/>
  <c r="K3654" i="1"/>
  <c r="K3653" i="1"/>
  <c r="K3652" i="1"/>
  <c r="K3651" i="1"/>
  <c r="K3650" i="1"/>
  <c r="K3649" i="1"/>
  <c r="K3648" i="1"/>
  <c r="K3647" i="1"/>
  <c r="K3646" i="1"/>
  <c r="K3645" i="1"/>
  <c r="K3644" i="1"/>
  <c r="K3643" i="1"/>
  <c r="K3642" i="1"/>
  <c r="K3641" i="1"/>
  <c r="K3640" i="1"/>
  <c r="K3639" i="1"/>
  <c r="K3638" i="1"/>
  <c r="K3637" i="1"/>
  <c r="K3636" i="1"/>
  <c r="K3635" i="1"/>
  <c r="K3634" i="1"/>
  <c r="K3633" i="1"/>
  <c r="K3632" i="1"/>
  <c r="K3631" i="1"/>
  <c r="K3630" i="1"/>
  <c r="K3629" i="1"/>
  <c r="K3628" i="1"/>
  <c r="K3627" i="1"/>
  <c r="K3626" i="1"/>
  <c r="K3625" i="1"/>
  <c r="K3624" i="1"/>
  <c r="K3623" i="1"/>
  <c r="K3622" i="1"/>
  <c r="K3621" i="1"/>
  <c r="K3620" i="1"/>
  <c r="K3619" i="1"/>
  <c r="K3618" i="1"/>
  <c r="K3617" i="1"/>
  <c r="K3616" i="1"/>
  <c r="K3615" i="1"/>
  <c r="K3614" i="1"/>
  <c r="K3613" i="1"/>
  <c r="K3612" i="1"/>
  <c r="K3611" i="1"/>
  <c r="K3610" i="1"/>
  <c r="K3609" i="1"/>
  <c r="K3608" i="1"/>
  <c r="K3607" i="1"/>
  <c r="K3606" i="1"/>
  <c r="K3605" i="1"/>
  <c r="K3604" i="1"/>
  <c r="K3603" i="1"/>
  <c r="K3602" i="1"/>
  <c r="K3601" i="1"/>
  <c r="K3600" i="1"/>
  <c r="K3599" i="1"/>
  <c r="K3598" i="1"/>
  <c r="K3597" i="1"/>
  <c r="K3596" i="1"/>
  <c r="K3595" i="1"/>
  <c r="K3594" i="1"/>
  <c r="K3593" i="1"/>
  <c r="K3592" i="1"/>
  <c r="K3591" i="1"/>
  <c r="K3590" i="1"/>
  <c r="K3589" i="1"/>
  <c r="K3588" i="1"/>
  <c r="K3587" i="1"/>
  <c r="K3586" i="1"/>
  <c r="K3585" i="1"/>
  <c r="K3584" i="1"/>
  <c r="K3583" i="1"/>
  <c r="K3582" i="1"/>
  <c r="K3581" i="1"/>
  <c r="K3580" i="1"/>
  <c r="K3579" i="1"/>
  <c r="K3578" i="1"/>
  <c r="K3577" i="1"/>
  <c r="K3576" i="1"/>
  <c r="K3575" i="1"/>
  <c r="K3574" i="1"/>
  <c r="K3573" i="1"/>
  <c r="K3572" i="1"/>
  <c r="K3571" i="1"/>
  <c r="K3570" i="1"/>
  <c r="K3569" i="1"/>
  <c r="K3568" i="1"/>
  <c r="K3567" i="1"/>
  <c r="K3566" i="1"/>
  <c r="K3565" i="1"/>
  <c r="K3564" i="1"/>
  <c r="K3563" i="1"/>
  <c r="K3562" i="1"/>
  <c r="K3561" i="1"/>
  <c r="K3560" i="1"/>
  <c r="K3559" i="1"/>
  <c r="K3558" i="1"/>
  <c r="K3557" i="1"/>
  <c r="K3556" i="1"/>
  <c r="K3555" i="1"/>
  <c r="K3554" i="1"/>
  <c r="K3553" i="1"/>
  <c r="K3552" i="1"/>
  <c r="K3551" i="1"/>
  <c r="K3550" i="1"/>
  <c r="K3549" i="1"/>
  <c r="K3548" i="1"/>
  <c r="K3547" i="1"/>
  <c r="K3546" i="1"/>
  <c r="K3545" i="1"/>
  <c r="K3544" i="1"/>
  <c r="K3543" i="1"/>
  <c r="K3542" i="1"/>
  <c r="K3541" i="1"/>
  <c r="K3540" i="1"/>
  <c r="K3539" i="1"/>
  <c r="K3538" i="1"/>
  <c r="K3537" i="1"/>
  <c r="K3536" i="1"/>
  <c r="K3535" i="1"/>
  <c r="K3534" i="1"/>
  <c r="K3533" i="1"/>
  <c r="K3532" i="1"/>
  <c r="K3531" i="1"/>
  <c r="K3530" i="1"/>
  <c r="K3529" i="1"/>
  <c r="K3528" i="1"/>
  <c r="K3527" i="1"/>
  <c r="K3526" i="1"/>
  <c r="K3525" i="1"/>
  <c r="K3524" i="1"/>
  <c r="K3523" i="1"/>
  <c r="K3522" i="1"/>
  <c r="K3521" i="1"/>
  <c r="K3520" i="1"/>
  <c r="K3519" i="1"/>
  <c r="K3518" i="1"/>
  <c r="K3517" i="1"/>
  <c r="K3516" i="1"/>
  <c r="K3515" i="1"/>
  <c r="K3514" i="1"/>
  <c r="K3513" i="1"/>
  <c r="K3512" i="1"/>
  <c r="K3511" i="1"/>
  <c r="K3510" i="1"/>
  <c r="K3509" i="1"/>
  <c r="K3508" i="1"/>
  <c r="K3507" i="1"/>
  <c r="K3506" i="1"/>
  <c r="K3505" i="1"/>
  <c r="K3504" i="1"/>
  <c r="K3503" i="1"/>
  <c r="K3502" i="1"/>
  <c r="K3501" i="1"/>
  <c r="K3500" i="1"/>
  <c r="K3499" i="1"/>
  <c r="K3498" i="1"/>
  <c r="K3497" i="1"/>
  <c r="K3496" i="1"/>
  <c r="K3495" i="1"/>
  <c r="K3494" i="1"/>
  <c r="K3493" i="1"/>
  <c r="K3492" i="1"/>
  <c r="K3491" i="1"/>
  <c r="K3490" i="1"/>
  <c r="K3489" i="1"/>
  <c r="K3488" i="1"/>
  <c r="K3487" i="1"/>
  <c r="K3486" i="1"/>
  <c r="K3485" i="1"/>
  <c r="K3484" i="1"/>
  <c r="K3483" i="1"/>
  <c r="K3482" i="1"/>
  <c r="K3481" i="1"/>
  <c r="K3480" i="1"/>
  <c r="K3479" i="1"/>
  <c r="K3478" i="1"/>
  <c r="K3477" i="1"/>
  <c r="K3476" i="1"/>
  <c r="K3475" i="1"/>
  <c r="K3474" i="1"/>
  <c r="K3473" i="1"/>
  <c r="K3472" i="1"/>
  <c r="K3471" i="1"/>
  <c r="K3470" i="1"/>
  <c r="K3469" i="1"/>
  <c r="K3468" i="1"/>
  <c r="K3467" i="1"/>
  <c r="K3466" i="1"/>
  <c r="K3465" i="1"/>
  <c r="K3464" i="1"/>
  <c r="K3463" i="1"/>
  <c r="K3462" i="1"/>
  <c r="K3461" i="1"/>
  <c r="K3460" i="1"/>
  <c r="K3459" i="1"/>
  <c r="K3458" i="1"/>
  <c r="K3457" i="1"/>
  <c r="K3456" i="1"/>
  <c r="K3455" i="1"/>
  <c r="K3454" i="1"/>
  <c r="K3453" i="1"/>
  <c r="K3452" i="1"/>
  <c r="K3451" i="1"/>
  <c r="K3450" i="1"/>
  <c r="K3449" i="1"/>
  <c r="K3448" i="1"/>
  <c r="K3447" i="1"/>
  <c r="K3446" i="1"/>
  <c r="K3445" i="1"/>
  <c r="K3444" i="1"/>
  <c r="K3443" i="1"/>
  <c r="K3442" i="1"/>
  <c r="K3441" i="1"/>
  <c r="K3440" i="1"/>
  <c r="K3439" i="1"/>
  <c r="K3438" i="1"/>
  <c r="K3437" i="1"/>
  <c r="K3436" i="1"/>
  <c r="K3435" i="1"/>
  <c r="K3434" i="1"/>
  <c r="K3433" i="1"/>
  <c r="K3432" i="1"/>
  <c r="K3431" i="1"/>
  <c r="K3430" i="1"/>
  <c r="K3429" i="1"/>
  <c r="K3428" i="1"/>
  <c r="K3427" i="1"/>
  <c r="K3426" i="1"/>
  <c r="K3425" i="1"/>
  <c r="K3424" i="1"/>
  <c r="K3423" i="1"/>
  <c r="K3422" i="1"/>
  <c r="K3421" i="1"/>
  <c r="K3420" i="1"/>
  <c r="K3419" i="1"/>
  <c r="K3418" i="1"/>
  <c r="K3417" i="1"/>
  <c r="K3416" i="1"/>
  <c r="K3415" i="1"/>
  <c r="K3414" i="1"/>
  <c r="K3413" i="1"/>
  <c r="K3412" i="1"/>
  <c r="K3411" i="1"/>
  <c r="K3410" i="1"/>
  <c r="K3409" i="1"/>
  <c r="K3408" i="1"/>
  <c r="K3407" i="1"/>
  <c r="K3406" i="1"/>
  <c r="K3405" i="1"/>
  <c r="K3404" i="1"/>
  <c r="K3403" i="1"/>
  <c r="K3402" i="1"/>
  <c r="K3401" i="1"/>
  <c r="K3400" i="1"/>
  <c r="K3399" i="1"/>
  <c r="K3398" i="1"/>
  <c r="K3397" i="1"/>
  <c r="K3396" i="1"/>
  <c r="K3395" i="1"/>
  <c r="K3394" i="1"/>
  <c r="K3393" i="1"/>
  <c r="K3392" i="1"/>
  <c r="K3391" i="1"/>
  <c r="K3390" i="1"/>
  <c r="K3389" i="1"/>
  <c r="K3388" i="1"/>
  <c r="K3387" i="1"/>
  <c r="K3386" i="1"/>
  <c r="K3385" i="1"/>
  <c r="K3384" i="1"/>
  <c r="K3383" i="1"/>
  <c r="K3382" i="1"/>
  <c r="K3381" i="1"/>
  <c r="K3380" i="1"/>
  <c r="K3379" i="1"/>
  <c r="K3378" i="1"/>
  <c r="K3377" i="1"/>
  <c r="K3376" i="1"/>
  <c r="K3375" i="1"/>
  <c r="K3374" i="1"/>
  <c r="K3373" i="1"/>
  <c r="K3372" i="1"/>
  <c r="K3371" i="1"/>
  <c r="K3370" i="1"/>
  <c r="K3369" i="1"/>
  <c r="K3368" i="1"/>
  <c r="K3367" i="1"/>
  <c r="K3366" i="1"/>
  <c r="K3365" i="1"/>
  <c r="K3364" i="1"/>
  <c r="K3363" i="1"/>
  <c r="K3362" i="1"/>
  <c r="K3361" i="1"/>
  <c r="K3360" i="1"/>
  <c r="K3359" i="1"/>
  <c r="K3358" i="1"/>
  <c r="K3357" i="1"/>
  <c r="K3356" i="1"/>
  <c r="K3355" i="1"/>
  <c r="K3354" i="1"/>
  <c r="K3353" i="1"/>
  <c r="K3352" i="1"/>
  <c r="K3351" i="1"/>
  <c r="K3350" i="1"/>
  <c r="K3349" i="1"/>
  <c r="K3348" i="1"/>
  <c r="K3347" i="1"/>
  <c r="K3346" i="1"/>
  <c r="K3345" i="1"/>
  <c r="K3344" i="1"/>
  <c r="K3343" i="1"/>
  <c r="K3342" i="1"/>
  <c r="K3341" i="1"/>
  <c r="K3340" i="1"/>
  <c r="K3339" i="1"/>
  <c r="K3338" i="1"/>
  <c r="K3337" i="1"/>
  <c r="K3336" i="1"/>
  <c r="K3335" i="1"/>
  <c r="K3334" i="1"/>
  <c r="K3333" i="1"/>
  <c r="K3332" i="1"/>
  <c r="K3331" i="1"/>
  <c r="K3330" i="1"/>
  <c r="K3329" i="1"/>
  <c r="K3328" i="1"/>
  <c r="K3327" i="1"/>
  <c r="K3326" i="1"/>
  <c r="K3325" i="1"/>
  <c r="K3324" i="1"/>
  <c r="K3323" i="1"/>
  <c r="K3322" i="1"/>
  <c r="K3321" i="1"/>
  <c r="K3320" i="1"/>
  <c r="K3319" i="1"/>
  <c r="K3318" i="1"/>
  <c r="K3317" i="1"/>
  <c r="K3316" i="1"/>
  <c r="K3315" i="1"/>
  <c r="K3314" i="1"/>
  <c r="K3313" i="1"/>
  <c r="K3312" i="1"/>
  <c r="K3311" i="1"/>
  <c r="K3310" i="1"/>
  <c r="K3309" i="1"/>
  <c r="K3308" i="1"/>
  <c r="K3307" i="1"/>
  <c r="K3306" i="1"/>
  <c r="K3305" i="1"/>
  <c r="K3304" i="1"/>
  <c r="K3303" i="1"/>
  <c r="K3302" i="1"/>
  <c r="K3301" i="1"/>
  <c r="K3300" i="1"/>
  <c r="K3299" i="1"/>
  <c r="K3298" i="1"/>
  <c r="K3297" i="1"/>
  <c r="K3296" i="1"/>
  <c r="K3295" i="1"/>
  <c r="K3294" i="1"/>
  <c r="K3293" i="1"/>
  <c r="K3292" i="1"/>
  <c r="K3291" i="1"/>
  <c r="K3290" i="1"/>
  <c r="K3289" i="1"/>
  <c r="K3288" i="1"/>
  <c r="K3287" i="1"/>
  <c r="K3286" i="1"/>
  <c r="K3285" i="1"/>
  <c r="K3284" i="1"/>
  <c r="K3283" i="1"/>
  <c r="K3282" i="1"/>
  <c r="K3281" i="1"/>
  <c r="K3280" i="1"/>
  <c r="K3279" i="1"/>
  <c r="K3278" i="1"/>
  <c r="K3277" i="1"/>
  <c r="K3276" i="1"/>
  <c r="K3275" i="1"/>
  <c r="K3274" i="1"/>
  <c r="K3273" i="1"/>
  <c r="K3272" i="1"/>
  <c r="K3271" i="1"/>
  <c r="K3270" i="1"/>
  <c r="K3269" i="1"/>
  <c r="K3268" i="1"/>
  <c r="K3267" i="1"/>
  <c r="K3266" i="1"/>
  <c r="K3265" i="1"/>
  <c r="K3264" i="1"/>
  <c r="K3263" i="1"/>
  <c r="K3262" i="1"/>
  <c r="K3261" i="1"/>
  <c r="K3260" i="1"/>
  <c r="K3259" i="1"/>
  <c r="K3258" i="1"/>
  <c r="K3257" i="1"/>
  <c r="K3256" i="1"/>
  <c r="K3255" i="1"/>
  <c r="K3254" i="1"/>
  <c r="K3253" i="1"/>
  <c r="K3252" i="1"/>
  <c r="K3251" i="1"/>
  <c r="K3250" i="1"/>
  <c r="K3249" i="1"/>
  <c r="K3248" i="1"/>
  <c r="K3247" i="1"/>
  <c r="K3246" i="1"/>
  <c r="K3245" i="1"/>
  <c r="K3244" i="1"/>
  <c r="K3243" i="1"/>
  <c r="K3242" i="1"/>
  <c r="K3241" i="1"/>
  <c r="K3240" i="1"/>
  <c r="K3239" i="1"/>
  <c r="K3238" i="1"/>
  <c r="K3237" i="1"/>
  <c r="K3236" i="1"/>
  <c r="K3235" i="1"/>
  <c r="K3234" i="1"/>
  <c r="K3233" i="1"/>
  <c r="K3232" i="1"/>
  <c r="K3231" i="1"/>
  <c r="K3230" i="1"/>
  <c r="K3229" i="1"/>
  <c r="K3228" i="1"/>
  <c r="K3227" i="1"/>
  <c r="K3226" i="1"/>
  <c r="K3225" i="1"/>
  <c r="K3224" i="1"/>
  <c r="K3223" i="1"/>
  <c r="K3222" i="1"/>
  <c r="K3221" i="1"/>
  <c r="K3220" i="1"/>
  <c r="K3219" i="1"/>
  <c r="K3218" i="1"/>
  <c r="K3217" i="1"/>
  <c r="K3216" i="1"/>
  <c r="K3215" i="1"/>
  <c r="K3214" i="1"/>
  <c r="K3213" i="1"/>
  <c r="K3212" i="1"/>
  <c r="K3211" i="1"/>
  <c r="K3210" i="1"/>
  <c r="K3209" i="1"/>
  <c r="K3208" i="1"/>
  <c r="K3207" i="1"/>
  <c r="K3206" i="1"/>
  <c r="K3205" i="1"/>
  <c r="K3204" i="1"/>
  <c r="K3203" i="1"/>
  <c r="K3202" i="1"/>
  <c r="K3201" i="1"/>
  <c r="K3200" i="1"/>
  <c r="K3199" i="1"/>
  <c r="K3198" i="1"/>
  <c r="K3197" i="1"/>
  <c r="K3196" i="1"/>
  <c r="K3195" i="1"/>
  <c r="K3194" i="1"/>
  <c r="K3193" i="1"/>
  <c r="K3192" i="1"/>
  <c r="K3191" i="1"/>
  <c r="K3190" i="1"/>
  <c r="K3189" i="1"/>
  <c r="K3188" i="1"/>
  <c r="K3187" i="1"/>
  <c r="K3186" i="1"/>
  <c r="K3185" i="1"/>
  <c r="K3184" i="1"/>
  <c r="K3183" i="1"/>
  <c r="K3182" i="1"/>
  <c r="K3181" i="1"/>
  <c r="K3180" i="1"/>
  <c r="K3179" i="1"/>
  <c r="K3178" i="1"/>
  <c r="K3177" i="1"/>
  <c r="K3176" i="1"/>
  <c r="K3175" i="1"/>
  <c r="K3174" i="1"/>
  <c r="K3173" i="1"/>
  <c r="K3172" i="1"/>
  <c r="K3171" i="1"/>
  <c r="K3170" i="1"/>
  <c r="K3169" i="1"/>
  <c r="K3168" i="1"/>
  <c r="K3167" i="1"/>
  <c r="K3166" i="1"/>
  <c r="K3165" i="1"/>
  <c r="K3164" i="1"/>
  <c r="K3163" i="1"/>
  <c r="K3162" i="1"/>
  <c r="K3161" i="1"/>
  <c r="K3160" i="1"/>
  <c r="K3159" i="1"/>
  <c r="K3158" i="1"/>
  <c r="K3157" i="1"/>
  <c r="K3156" i="1"/>
  <c r="K3155" i="1"/>
  <c r="K3154" i="1"/>
  <c r="K3153" i="1"/>
  <c r="K3152" i="1"/>
  <c r="K3151" i="1"/>
  <c r="K3150" i="1"/>
  <c r="K3149" i="1"/>
  <c r="K3148" i="1"/>
  <c r="K3147" i="1"/>
  <c r="K3146" i="1"/>
  <c r="K3145" i="1"/>
  <c r="K3144" i="1"/>
  <c r="K3143" i="1"/>
  <c r="K3142" i="1"/>
  <c r="K3141" i="1"/>
  <c r="K3140" i="1"/>
  <c r="K3139" i="1"/>
  <c r="K3138" i="1"/>
  <c r="K3137" i="1"/>
  <c r="K3136" i="1"/>
  <c r="K3135" i="1"/>
  <c r="K3134" i="1"/>
  <c r="K3133" i="1"/>
  <c r="K3132" i="1"/>
  <c r="K3131" i="1"/>
  <c r="K3130" i="1"/>
  <c r="K3129" i="1"/>
  <c r="K3128" i="1"/>
  <c r="K3127" i="1"/>
  <c r="K3126" i="1"/>
  <c r="K3125" i="1"/>
  <c r="K3124" i="1"/>
  <c r="K3123" i="1"/>
  <c r="K3122" i="1"/>
  <c r="K3121" i="1"/>
  <c r="K3120" i="1"/>
  <c r="K3119" i="1"/>
  <c r="K3118" i="1"/>
  <c r="K3117" i="1"/>
  <c r="K3116" i="1"/>
  <c r="K3115" i="1"/>
  <c r="K3114" i="1"/>
  <c r="K3113" i="1"/>
  <c r="K3112" i="1"/>
  <c r="K3111" i="1"/>
  <c r="K3110" i="1"/>
  <c r="K3109" i="1"/>
  <c r="K3108" i="1"/>
  <c r="K3107" i="1"/>
  <c r="K3106" i="1"/>
  <c r="K3105" i="1"/>
  <c r="K3104" i="1"/>
  <c r="K3103" i="1"/>
  <c r="K3102" i="1"/>
  <c r="K3101" i="1"/>
  <c r="K3100" i="1"/>
  <c r="K3099" i="1"/>
  <c r="K3098" i="1"/>
  <c r="K3097" i="1"/>
  <c r="K3096" i="1"/>
  <c r="K3095" i="1"/>
  <c r="K3094" i="1"/>
  <c r="K3093" i="1"/>
  <c r="K3092" i="1"/>
  <c r="K3091" i="1"/>
  <c r="K3090" i="1"/>
  <c r="K3089" i="1"/>
  <c r="K3088" i="1"/>
  <c r="K3087" i="1"/>
  <c r="K3086" i="1"/>
  <c r="K3085" i="1"/>
  <c r="K3084" i="1"/>
  <c r="K3083" i="1"/>
  <c r="K3082" i="1"/>
  <c r="K3081" i="1"/>
  <c r="K3080" i="1"/>
  <c r="K3079" i="1"/>
  <c r="K3078" i="1"/>
  <c r="K3077" i="1"/>
  <c r="K3076" i="1"/>
  <c r="K3075" i="1"/>
  <c r="K3074" i="1"/>
  <c r="K3073" i="1"/>
  <c r="K3072" i="1"/>
  <c r="K3071" i="1"/>
  <c r="K3070" i="1"/>
  <c r="K3069" i="1"/>
  <c r="K3068" i="1"/>
  <c r="K3067" i="1"/>
  <c r="K3066" i="1"/>
  <c r="K3065" i="1"/>
  <c r="K3064" i="1"/>
  <c r="K3063" i="1"/>
  <c r="K3062" i="1"/>
  <c r="K3061" i="1"/>
  <c r="K3060" i="1"/>
  <c r="K3059" i="1"/>
  <c r="K3058" i="1"/>
  <c r="K3057" i="1"/>
  <c r="K3056" i="1"/>
  <c r="K3055" i="1"/>
  <c r="K3054" i="1"/>
  <c r="K3053" i="1"/>
  <c r="K3052" i="1"/>
  <c r="K3051" i="1"/>
  <c r="K3050" i="1"/>
  <c r="K3049" i="1"/>
  <c r="K3048" i="1"/>
  <c r="K3047" i="1"/>
  <c r="K3046" i="1"/>
  <c r="K3045" i="1"/>
  <c r="K3044" i="1"/>
  <c r="K3043" i="1"/>
  <c r="K3042" i="1"/>
  <c r="K3041" i="1"/>
  <c r="K3040" i="1"/>
  <c r="K3039" i="1"/>
  <c r="K3038" i="1"/>
  <c r="K3037" i="1"/>
  <c r="K3036" i="1"/>
  <c r="K3035" i="1"/>
  <c r="K3034" i="1"/>
  <c r="K3033" i="1"/>
  <c r="K3032" i="1"/>
  <c r="K3031" i="1"/>
  <c r="K3030" i="1"/>
  <c r="K3029" i="1"/>
  <c r="K3028" i="1"/>
  <c r="K3027" i="1"/>
  <c r="K3026" i="1"/>
  <c r="K3025" i="1"/>
  <c r="K3024" i="1"/>
  <c r="K3023" i="1"/>
  <c r="K3022" i="1"/>
  <c r="K3021" i="1"/>
  <c r="K3020" i="1"/>
  <c r="K3019" i="1"/>
  <c r="K3018" i="1"/>
  <c r="K3017" i="1"/>
  <c r="K3016" i="1"/>
  <c r="K3015" i="1"/>
  <c r="K3014" i="1"/>
  <c r="K3013" i="1"/>
  <c r="K3012" i="1"/>
  <c r="K3011" i="1"/>
  <c r="K3010" i="1"/>
  <c r="K3009" i="1"/>
  <c r="K3008" i="1"/>
  <c r="K3007" i="1"/>
  <c r="K3006" i="1"/>
  <c r="K3005" i="1"/>
  <c r="K3004" i="1"/>
  <c r="K3003" i="1"/>
  <c r="K3002" i="1"/>
  <c r="K3001" i="1"/>
  <c r="K3000" i="1"/>
  <c r="K2999" i="1"/>
  <c r="K2998" i="1"/>
  <c r="K2997" i="1"/>
  <c r="K2996" i="1"/>
  <c r="K2995" i="1"/>
  <c r="K2994" i="1"/>
  <c r="K2993" i="1"/>
  <c r="K2992" i="1"/>
  <c r="K2991" i="1"/>
  <c r="K2990" i="1"/>
  <c r="K2989" i="1"/>
  <c r="K2988" i="1"/>
  <c r="K2987" i="1"/>
  <c r="K2986" i="1"/>
  <c r="K2985" i="1"/>
  <c r="K2984" i="1"/>
  <c r="K2983" i="1"/>
  <c r="K2982" i="1"/>
  <c r="K2981" i="1"/>
  <c r="K2980" i="1"/>
  <c r="K2979" i="1"/>
  <c r="K2978" i="1"/>
  <c r="K2977" i="1"/>
  <c r="K2976" i="1"/>
  <c r="K2975" i="1"/>
  <c r="K2974" i="1"/>
  <c r="K2973" i="1"/>
  <c r="K2972" i="1"/>
  <c r="K2971" i="1"/>
  <c r="K2970" i="1"/>
  <c r="K2969" i="1"/>
  <c r="K2968" i="1"/>
  <c r="K2967" i="1"/>
  <c r="K2966" i="1"/>
  <c r="K2965" i="1"/>
  <c r="K2964" i="1"/>
  <c r="K2963" i="1"/>
  <c r="K2962" i="1"/>
  <c r="K2961" i="1"/>
  <c r="K2960" i="1"/>
  <c r="K2959" i="1"/>
  <c r="K2958" i="1"/>
  <c r="K2957" i="1"/>
  <c r="K2956" i="1"/>
  <c r="K2955" i="1"/>
  <c r="K2954" i="1"/>
  <c r="K2953" i="1"/>
  <c r="K2952" i="1"/>
  <c r="K2951" i="1"/>
  <c r="K2950" i="1"/>
  <c r="K2949" i="1"/>
  <c r="K2948" i="1"/>
  <c r="K2947" i="1"/>
  <c r="K2946" i="1"/>
  <c r="K2945" i="1"/>
  <c r="K2944" i="1"/>
  <c r="K2943" i="1"/>
  <c r="K2942" i="1"/>
  <c r="K2941" i="1"/>
  <c r="K2940" i="1"/>
  <c r="K2939" i="1"/>
  <c r="K2938" i="1"/>
  <c r="K2937" i="1"/>
  <c r="K2936" i="1"/>
  <c r="K2935" i="1"/>
  <c r="K2934" i="1"/>
  <c r="K2933" i="1"/>
  <c r="K2932" i="1"/>
  <c r="K2931" i="1"/>
  <c r="K2930" i="1"/>
  <c r="K2929" i="1"/>
  <c r="K2928" i="1"/>
  <c r="K2927" i="1"/>
  <c r="K2926" i="1"/>
  <c r="K2925" i="1"/>
  <c r="K2924" i="1"/>
  <c r="K2923" i="1"/>
  <c r="K2922" i="1"/>
  <c r="K2921" i="1"/>
  <c r="K2920" i="1"/>
  <c r="K2919" i="1"/>
  <c r="K2918" i="1"/>
  <c r="K2917" i="1"/>
  <c r="K2916" i="1"/>
  <c r="K2915" i="1"/>
  <c r="K2914" i="1"/>
  <c r="K2913" i="1"/>
  <c r="K2912" i="1"/>
  <c r="K2911" i="1"/>
  <c r="K2910" i="1"/>
  <c r="K2909" i="1"/>
  <c r="K2908" i="1"/>
  <c r="K2907" i="1"/>
  <c r="K2906" i="1"/>
  <c r="K2905" i="1"/>
  <c r="K2904" i="1"/>
  <c r="K2903" i="1"/>
  <c r="K2902" i="1"/>
  <c r="K2901" i="1"/>
  <c r="K2900" i="1"/>
  <c r="K2899" i="1"/>
  <c r="K2898" i="1"/>
  <c r="K2897" i="1"/>
  <c r="K2896" i="1"/>
  <c r="K2895" i="1"/>
  <c r="K2894" i="1"/>
  <c r="K2893" i="1"/>
  <c r="K2892" i="1"/>
  <c r="K2891" i="1"/>
  <c r="K2890" i="1"/>
  <c r="K2889" i="1"/>
  <c r="K2888" i="1"/>
  <c r="K2887" i="1"/>
  <c r="K2886" i="1"/>
  <c r="K2885" i="1"/>
  <c r="K2884" i="1"/>
  <c r="K2883" i="1"/>
  <c r="K2882" i="1"/>
  <c r="K2881" i="1"/>
  <c r="K2880" i="1"/>
  <c r="K2879" i="1"/>
  <c r="K2878" i="1"/>
  <c r="K2877" i="1"/>
  <c r="K2876" i="1"/>
  <c r="K2875" i="1"/>
  <c r="K2874" i="1"/>
  <c r="K2873" i="1"/>
  <c r="K2872" i="1"/>
  <c r="K2871" i="1"/>
  <c r="K2870" i="1"/>
  <c r="K2869" i="1"/>
  <c r="K2868" i="1"/>
  <c r="K2867" i="1"/>
  <c r="K2866" i="1"/>
  <c r="K2865" i="1"/>
  <c r="K2864" i="1"/>
  <c r="K2863" i="1"/>
  <c r="K2862" i="1"/>
  <c r="K2861" i="1"/>
  <c r="K2860" i="1"/>
  <c r="K2859" i="1"/>
  <c r="K2858" i="1"/>
  <c r="K2857" i="1"/>
  <c r="K2856" i="1"/>
  <c r="K2855" i="1"/>
  <c r="K2854" i="1"/>
  <c r="K2853" i="1"/>
  <c r="K2852" i="1"/>
  <c r="K2851" i="1"/>
  <c r="K2850" i="1"/>
  <c r="K2849" i="1"/>
  <c r="K2848" i="1"/>
  <c r="K2847" i="1"/>
  <c r="K2846" i="1"/>
  <c r="K2845" i="1"/>
  <c r="K2844" i="1"/>
  <c r="K2843" i="1"/>
  <c r="K2842" i="1"/>
  <c r="K2841" i="1"/>
  <c r="K2840" i="1"/>
  <c r="K2839" i="1"/>
  <c r="K2838" i="1"/>
  <c r="K2837" i="1"/>
  <c r="K2836" i="1"/>
  <c r="K2835" i="1"/>
  <c r="K2834" i="1"/>
  <c r="K2833" i="1"/>
  <c r="K2832" i="1"/>
  <c r="K2831" i="1"/>
  <c r="K2830" i="1"/>
  <c r="K2829" i="1"/>
  <c r="K2828" i="1"/>
  <c r="K2827" i="1"/>
  <c r="K2826" i="1"/>
  <c r="K2825" i="1"/>
  <c r="K2824" i="1"/>
  <c r="K2823" i="1"/>
  <c r="K2822" i="1"/>
  <c r="K2821" i="1"/>
  <c r="K2820" i="1"/>
  <c r="K2819" i="1"/>
  <c r="K2818" i="1"/>
  <c r="K2817" i="1"/>
  <c r="K2816" i="1"/>
  <c r="K2815" i="1"/>
  <c r="K2814" i="1"/>
  <c r="K2813" i="1"/>
  <c r="K2812" i="1"/>
  <c r="K2811" i="1"/>
  <c r="K2810" i="1"/>
  <c r="K2809" i="1"/>
  <c r="K2808" i="1"/>
  <c r="K2807" i="1"/>
  <c r="K2806" i="1"/>
  <c r="K2805" i="1"/>
  <c r="K2804" i="1"/>
  <c r="K2803" i="1"/>
  <c r="K2802" i="1"/>
  <c r="K2801" i="1"/>
  <c r="K2800" i="1"/>
  <c r="K2799" i="1"/>
  <c r="K2798" i="1"/>
  <c r="K2797" i="1"/>
  <c r="K2796" i="1"/>
  <c r="K2795" i="1"/>
  <c r="K2794" i="1"/>
  <c r="K2793" i="1"/>
  <c r="K2792" i="1"/>
  <c r="K2791" i="1"/>
  <c r="K2790" i="1"/>
  <c r="K2789" i="1"/>
  <c r="K2788" i="1"/>
  <c r="K2787" i="1"/>
  <c r="K2786" i="1"/>
  <c r="K2785" i="1"/>
  <c r="K2784" i="1"/>
  <c r="K2783" i="1"/>
  <c r="K2782" i="1"/>
  <c r="K2781" i="1"/>
  <c r="K2780" i="1"/>
  <c r="K2779" i="1"/>
  <c r="K2778" i="1"/>
  <c r="K2777" i="1"/>
  <c r="K2776" i="1"/>
  <c r="K2775" i="1"/>
  <c r="K2774" i="1"/>
  <c r="K2773" i="1"/>
  <c r="K2772" i="1"/>
  <c r="K2771" i="1"/>
  <c r="K2770" i="1"/>
  <c r="K2769" i="1"/>
  <c r="K2768" i="1"/>
  <c r="K2767" i="1"/>
  <c r="K2766" i="1"/>
  <c r="K2765" i="1"/>
  <c r="K2764" i="1"/>
  <c r="K2763" i="1"/>
  <c r="K2762" i="1"/>
  <c r="K2761" i="1"/>
  <c r="K2760" i="1"/>
  <c r="K2759" i="1"/>
  <c r="K2758" i="1"/>
  <c r="K2757" i="1"/>
  <c r="K2756" i="1"/>
  <c r="K2755" i="1"/>
  <c r="K2754" i="1"/>
  <c r="K2753" i="1"/>
  <c r="K2752" i="1"/>
  <c r="K2751" i="1"/>
  <c r="K2750" i="1"/>
  <c r="K2749" i="1"/>
  <c r="K2748" i="1"/>
  <c r="K2747" i="1"/>
  <c r="K2746" i="1"/>
  <c r="K2745" i="1"/>
  <c r="K2744" i="1"/>
  <c r="K2743" i="1"/>
  <c r="K2742" i="1"/>
  <c r="K2741" i="1"/>
  <c r="K2740" i="1"/>
  <c r="K2739" i="1"/>
  <c r="K2738" i="1"/>
  <c r="K2737" i="1"/>
  <c r="K2736" i="1"/>
  <c r="K2735" i="1"/>
  <c r="K2734" i="1"/>
  <c r="K2733" i="1"/>
  <c r="K2732" i="1"/>
  <c r="K2731" i="1"/>
  <c r="K2730" i="1"/>
  <c r="K2729" i="1"/>
  <c r="K2728" i="1"/>
  <c r="K2727" i="1"/>
  <c r="K2726" i="1"/>
  <c r="K2725" i="1"/>
  <c r="K2724" i="1"/>
  <c r="K2723" i="1"/>
  <c r="K2722" i="1"/>
  <c r="K2721" i="1"/>
  <c r="K2720" i="1"/>
  <c r="K2719" i="1"/>
  <c r="K2718" i="1"/>
  <c r="K2717" i="1"/>
  <c r="K2716" i="1"/>
  <c r="K2715" i="1"/>
  <c r="K2714" i="1"/>
  <c r="K2713" i="1"/>
  <c r="K2712" i="1"/>
  <c r="K2711" i="1"/>
  <c r="K2710" i="1"/>
  <c r="K2709" i="1"/>
  <c r="K2708" i="1"/>
  <c r="K2707" i="1"/>
  <c r="K2706" i="1"/>
  <c r="K2705" i="1"/>
  <c r="K2704" i="1"/>
  <c r="K2703" i="1"/>
  <c r="K2702" i="1"/>
  <c r="K2701" i="1"/>
  <c r="K2700" i="1"/>
  <c r="K2699" i="1"/>
  <c r="K2698" i="1"/>
  <c r="K2697" i="1"/>
  <c r="K2696" i="1"/>
  <c r="K2695" i="1"/>
  <c r="K2694" i="1"/>
  <c r="K2693" i="1"/>
  <c r="K2692" i="1"/>
  <c r="K2691" i="1"/>
  <c r="K2690" i="1"/>
  <c r="K2689" i="1"/>
  <c r="K2688" i="1"/>
  <c r="K2687" i="1"/>
  <c r="K2686" i="1"/>
  <c r="K2685" i="1"/>
  <c r="K2684" i="1"/>
  <c r="K2683" i="1"/>
  <c r="K2682" i="1"/>
  <c r="K2681" i="1"/>
  <c r="K2680" i="1"/>
  <c r="K2679" i="1"/>
  <c r="K2678" i="1"/>
  <c r="K2677" i="1"/>
  <c r="K2676" i="1"/>
  <c r="K2675" i="1"/>
  <c r="K2674" i="1"/>
  <c r="K2673" i="1"/>
  <c r="K2672" i="1"/>
  <c r="K2671" i="1"/>
  <c r="K2670" i="1"/>
  <c r="K2669" i="1"/>
  <c r="K2668" i="1"/>
  <c r="K2667" i="1"/>
  <c r="K2666" i="1"/>
  <c r="K2665" i="1"/>
  <c r="K2664" i="1"/>
  <c r="K2663" i="1"/>
  <c r="K2662" i="1"/>
  <c r="K2661" i="1"/>
  <c r="K2660" i="1"/>
  <c r="K2659" i="1"/>
  <c r="K2658" i="1"/>
  <c r="K2657" i="1"/>
  <c r="K2656" i="1"/>
  <c r="K2655" i="1"/>
  <c r="K2654" i="1"/>
  <c r="K2653" i="1"/>
  <c r="K2652" i="1"/>
  <c r="K2651" i="1"/>
  <c r="K2650" i="1"/>
  <c r="K2649" i="1"/>
  <c r="K2648" i="1"/>
  <c r="K2647" i="1"/>
  <c r="K2646" i="1"/>
  <c r="K2645" i="1"/>
  <c r="K2644" i="1"/>
  <c r="K2643" i="1"/>
  <c r="K2642" i="1"/>
  <c r="K2641" i="1"/>
  <c r="K2640" i="1"/>
  <c r="K2639" i="1"/>
  <c r="K2638" i="1"/>
  <c r="K2637" i="1"/>
  <c r="K2636" i="1"/>
  <c r="K2635" i="1"/>
  <c r="K2634" i="1"/>
  <c r="K2633" i="1"/>
  <c r="K2632" i="1"/>
  <c r="K2631" i="1"/>
  <c r="K2630" i="1"/>
  <c r="K2629" i="1"/>
  <c r="K2628" i="1"/>
  <c r="K2627" i="1"/>
  <c r="K2626" i="1"/>
  <c r="K2625" i="1"/>
  <c r="K2624" i="1"/>
  <c r="K2623" i="1"/>
  <c r="K2622" i="1"/>
  <c r="K2621" i="1"/>
  <c r="K2620" i="1"/>
  <c r="K2619" i="1"/>
  <c r="K2618" i="1"/>
  <c r="K2617" i="1"/>
  <c r="K2616" i="1"/>
  <c r="K2615" i="1"/>
  <c r="K2614" i="1"/>
  <c r="K2613" i="1"/>
  <c r="K2612" i="1"/>
  <c r="K2611" i="1"/>
  <c r="K2610" i="1"/>
  <c r="K2609" i="1"/>
  <c r="K2608" i="1"/>
  <c r="K2607" i="1"/>
  <c r="K2606" i="1"/>
  <c r="K2605" i="1"/>
  <c r="K2604" i="1"/>
  <c r="K2603" i="1"/>
  <c r="K2602" i="1"/>
  <c r="K2601" i="1"/>
  <c r="K2600" i="1"/>
  <c r="K2599" i="1"/>
  <c r="K2598" i="1"/>
  <c r="K2597" i="1"/>
  <c r="K2596" i="1"/>
  <c r="K2595" i="1"/>
  <c r="K2594" i="1"/>
  <c r="K2593" i="1"/>
  <c r="K2592" i="1"/>
  <c r="K2591" i="1"/>
  <c r="K2590" i="1"/>
  <c r="K2589" i="1"/>
  <c r="K2588" i="1"/>
  <c r="K2587" i="1"/>
  <c r="K2586" i="1"/>
  <c r="K2585" i="1"/>
  <c r="K2584" i="1"/>
  <c r="K2583" i="1"/>
  <c r="K2582" i="1"/>
  <c r="K2581" i="1"/>
  <c r="K2580" i="1"/>
  <c r="K2579" i="1"/>
  <c r="K2578" i="1"/>
  <c r="K2577" i="1"/>
  <c r="K2576" i="1"/>
  <c r="K2575" i="1"/>
  <c r="K2574" i="1"/>
  <c r="K2573" i="1"/>
  <c r="K2572" i="1"/>
  <c r="K2571" i="1"/>
  <c r="K2570" i="1"/>
  <c r="K2569" i="1"/>
  <c r="K2568" i="1"/>
  <c r="K2567" i="1"/>
  <c r="K2566" i="1"/>
  <c r="K2565" i="1"/>
  <c r="K2564" i="1"/>
  <c r="K2563" i="1"/>
  <c r="K2562" i="1"/>
  <c r="K2561" i="1"/>
  <c r="K2560" i="1"/>
  <c r="K2559" i="1"/>
  <c r="K2558" i="1"/>
  <c r="K2557" i="1"/>
  <c r="K2556" i="1"/>
  <c r="K2555" i="1"/>
  <c r="K2554" i="1"/>
  <c r="K2553" i="1"/>
  <c r="K2552" i="1"/>
  <c r="K2551" i="1"/>
  <c r="K2550" i="1"/>
  <c r="K2549" i="1"/>
  <c r="K2548" i="1"/>
  <c r="K2547" i="1"/>
  <c r="K2546" i="1"/>
  <c r="K2545" i="1"/>
  <c r="K2544" i="1"/>
  <c r="K2543" i="1"/>
  <c r="K2542" i="1"/>
  <c r="K2541" i="1"/>
  <c r="K2540" i="1"/>
  <c r="K2539" i="1"/>
  <c r="K2538" i="1"/>
  <c r="K2537" i="1"/>
  <c r="K2536" i="1"/>
  <c r="K2535" i="1"/>
  <c r="K2534" i="1"/>
  <c r="K2533" i="1"/>
  <c r="K2532" i="1"/>
  <c r="K2531" i="1"/>
  <c r="K2530" i="1"/>
  <c r="K2529" i="1"/>
  <c r="K2528" i="1"/>
  <c r="K2527" i="1"/>
  <c r="K2526" i="1"/>
  <c r="K2525" i="1"/>
  <c r="K2524" i="1"/>
  <c r="K2523" i="1"/>
  <c r="K2522" i="1"/>
  <c r="K2521" i="1"/>
  <c r="K2520" i="1"/>
  <c r="K2519" i="1"/>
  <c r="K2518" i="1"/>
  <c r="K2517" i="1"/>
  <c r="K2516" i="1"/>
  <c r="K2515" i="1"/>
  <c r="K2514" i="1"/>
  <c r="K2513" i="1"/>
  <c r="K2512" i="1"/>
  <c r="K2511" i="1"/>
  <c r="K2510" i="1"/>
  <c r="K2509" i="1"/>
  <c r="K2508" i="1"/>
  <c r="K2507" i="1"/>
  <c r="K2506" i="1"/>
  <c r="K2505" i="1"/>
  <c r="K2504" i="1"/>
  <c r="K2503" i="1"/>
  <c r="K2502" i="1"/>
  <c r="K2501" i="1"/>
  <c r="K2500" i="1"/>
  <c r="K2499" i="1"/>
  <c r="K2498" i="1"/>
  <c r="K2497" i="1"/>
  <c r="K2496" i="1"/>
  <c r="K2495" i="1"/>
  <c r="K2494" i="1"/>
  <c r="K2493" i="1"/>
  <c r="K2492" i="1"/>
  <c r="K2491" i="1"/>
  <c r="K2490" i="1"/>
  <c r="K2489" i="1"/>
  <c r="K2488" i="1"/>
  <c r="K2487" i="1"/>
  <c r="K2486" i="1"/>
  <c r="K2485" i="1"/>
  <c r="K2484" i="1"/>
  <c r="K2483" i="1"/>
  <c r="K2482" i="1"/>
  <c r="K2481" i="1"/>
  <c r="K2480" i="1"/>
  <c r="K2479" i="1"/>
  <c r="K2478" i="1"/>
  <c r="K2477" i="1"/>
  <c r="K2476" i="1"/>
  <c r="K2475" i="1"/>
  <c r="K2474" i="1"/>
  <c r="K2473" i="1"/>
  <c r="K2472" i="1"/>
  <c r="K2471" i="1"/>
  <c r="K2470" i="1"/>
  <c r="K2469" i="1"/>
  <c r="K2468" i="1"/>
  <c r="K2467" i="1"/>
  <c r="K2466" i="1"/>
  <c r="K2465" i="1"/>
  <c r="K2464" i="1"/>
  <c r="K2463" i="1"/>
  <c r="K2462" i="1"/>
  <c r="K2461" i="1"/>
  <c r="K2460" i="1"/>
  <c r="K2459" i="1"/>
  <c r="K2458" i="1"/>
  <c r="K2457" i="1"/>
  <c r="K2456" i="1"/>
  <c r="K2455" i="1"/>
  <c r="K2454" i="1"/>
  <c r="K2453" i="1"/>
  <c r="K2452" i="1"/>
  <c r="K2451" i="1"/>
  <c r="K2450" i="1"/>
  <c r="K2449" i="1"/>
  <c r="K2448" i="1"/>
  <c r="K2447" i="1"/>
  <c r="K2446" i="1"/>
  <c r="K2445" i="1"/>
  <c r="K2444" i="1"/>
  <c r="K2443" i="1"/>
  <c r="K2442" i="1"/>
  <c r="K2441" i="1"/>
  <c r="K2440" i="1"/>
  <c r="K2439" i="1"/>
  <c r="K2438" i="1"/>
  <c r="K2437" i="1"/>
  <c r="K2436" i="1"/>
  <c r="K2435" i="1"/>
  <c r="K2434" i="1"/>
  <c r="K2433" i="1"/>
  <c r="K2432" i="1"/>
  <c r="K2431" i="1"/>
  <c r="K2430" i="1"/>
  <c r="K2429" i="1"/>
  <c r="K2428" i="1"/>
  <c r="K2427" i="1"/>
  <c r="K2426" i="1"/>
  <c r="K2425" i="1"/>
  <c r="K2424" i="1"/>
  <c r="K2423" i="1"/>
  <c r="K2422" i="1"/>
  <c r="K2421" i="1"/>
  <c r="K2420" i="1"/>
  <c r="K2419" i="1"/>
  <c r="K2418" i="1"/>
  <c r="K2417" i="1"/>
  <c r="K2416" i="1"/>
  <c r="K2415" i="1"/>
  <c r="K2414" i="1"/>
  <c r="K2413" i="1"/>
  <c r="K2412" i="1"/>
  <c r="K2411" i="1"/>
  <c r="K2410" i="1"/>
  <c r="K2409" i="1"/>
  <c r="K2408" i="1"/>
  <c r="K2407" i="1"/>
  <c r="K2406" i="1"/>
  <c r="K2405" i="1"/>
  <c r="K2404" i="1"/>
  <c r="K2403" i="1"/>
  <c r="K2402" i="1"/>
  <c r="K2401" i="1"/>
  <c r="K2400" i="1"/>
  <c r="K2399" i="1"/>
  <c r="K2398" i="1"/>
  <c r="K2397" i="1"/>
  <c r="K2396" i="1"/>
  <c r="K2395" i="1"/>
  <c r="K2394" i="1"/>
  <c r="K2393" i="1"/>
  <c r="K2392" i="1"/>
  <c r="K2391" i="1"/>
  <c r="K2390" i="1"/>
  <c r="K2389" i="1"/>
  <c r="K2388" i="1"/>
  <c r="K2387" i="1"/>
  <c r="K2386" i="1"/>
  <c r="K2385" i="1"/>
  <c r="K2384" i="1"/>
  <c r="K2383" i="1"/>
  <c r="K2382" i="1"/>
  <c r="K2381" i="1"/>
  <c r="K2380" i="1"/>
  <c r="K2379" i="1"/>
  <c r="K2378" i="1"/>
  <c r="K2377" i="1"/>
  <c r="K2376" i="1"/>
  <c r="K2375" i="1"/>
  <c r="K2374" i="1"/>
  <c r="K2373" i="1"/>
  <c r="K2372" i="1"/>
  <c r="K2371" i="1"/>
  <c r="K2370" i="1"/>
  <c r="K2369" i="1"/>
  <c r="K2368" i="1"/>
  <c r="K2367" i="1"/>
  <c r="K2366" i="1"/>
  <c r="K2365" i="1"/>
  <c r="K2364" i="1"/>
  <c r="K2363" i="1"/>
  <c r="K2362" i="1"/>
  <c r="K2361" i="1"/>
  <c r="K2360" i="1"/>
  <c r="K2359" i="1"/>
  <c r="K2358" i="1"/>
  <c r="K2357" i="1"/>
  <c r="K2356" i="1"/>
  <c r="K2355" i="1"/>
  <c r="K2354" i="1"/>
  <c r="K2353" i="1"/>
  <c r="K2352" i="1"/>
  <c r="K2351" i="1"/>
  <c r="K2350" i="1"/>
  <c r="K2349" i="1"/>
  <c r="K2348" i="1"/>
  <c r="K2347" i="1"/>
  <c r="K2346" i="1"/>
  <c r="K2345" i="1"/>
  <c r="K2344" i="1"/>
  <c r="K2343" i="1"/>
  <c r="K2342" i="1"/>
  <c r="K2341" i="1"/>
  <c r="K2340" i="1"/>
  <c r="K2339" i="1"/>
  <c r="K2338" i="1"/>
  <c r="K2337" i="1"/>
  <c r="K2336" i="1"/>
  <c r="K2335" i="1"/>
  <c r="K2334" i="1"/>
  <c r="K2333" i="1"/>
  <c r="K2332" i="1"/>
  <c r="K2331" i="1"/>
  <c r="K2330" i="1"/>
  <c r="K2329" i="1"/>
  <c r="K2328" i="1"/>
  <c r="K2327" i="1"/>
  <c r="K2326" i="1"/>
  <c r="K2325" i="1"/>
  <c r="K2324" i="1"/>
  <c r="K2323" i="1"/>
  <c r="K2322" i="1"/>
  <c r="K2321" i="1"/>
  <c r="K2320" i="1"/>
  <c r="K2319" i="1"/>
  <c r="K2318" i="1"/>
  <c r="K2317" i="1"/>
  <c r="K2316" i="1"/>
  <c r="K2315" i="1"/>
  <c r="K2314" i="1"/>
  <c r="K2313" i="1"/>
  <c r="K2312" i="1"/>
  <c r="K2311" i="1"/>
  <c r="K2310" i="1"/>
  <c r="K2309" i="1"/>
  <c r="K2308" i="1"/>
  <c r="K2307" i="1"/>
  <c r="K2306" i="1"/>
  <c r="K2305" i="1"/>
  <c r="K2304" i="1"/>
  <c r="K2303" i="1"/>
  <c r="K2302" i="1"/>
  <c r="K2301" i="1"/>
  <c r="K2300" i="1"/>
  <c r="K2299" i="1"/>
  <c r="K2298" i="1"/>
  <c r="K2297" i="1"/>
  <c r="K2296" i="1"/>
  <c r="K2295" i="1"/>
  <c r="K2294" i="1"/>
  <c r="K2293" i="1"/>
  <c r="K2292" i="1"/>
  <c r="K2291" i="1"/>
  <c r="K2290" i="1"/>
  <c r="K2289" i="1"/>
  <c r="K2288" i="1"/>
  <c r="K2287" i="1"/>
  <c r="K2286" i="1"/>
  <c r="K2285" i="1"/>
  <c r="K2284" i="1"/>
  <c r="K2283" i="1"/>
  <c r="K2282" i="1"/>
  <c r="K2281" i="1"/>
  <c r="K2280" i="1"/>
  <c r="K2279" i="1"/>
  <c r="K2278" i="1"/>
  <c r="K2277" i="1"/>
  <c r="K2276" i="1"/>
  <c r="K2275" i="1"/>
  <c r="K2274" i="1"/>
  <c r="K2273" i="1"/>
  <c r="K2272" i="1"/>
  <c r="K2271" i="1"/>
  <c r="K2270" i="1"/>
  <c r="K2269" i="1"/>
  <c r="K2268" i="1"/>
  <c r="K2267" i="1"/>
  <c r="K2266" i="1"/>
  <c r="K2265" i="1"/>
  <c r="K2264" i="1"/>
  <c r="K2263" i="1"/>
  <c r="K2262" i="1"/>
  <c r="K2261" i="1"/>
  <c r="K2260" i="1"/>
  <c r="K2259" i="1"/>
  <c r="K2258" i="1"/>
  <c r="K2257" i="1"/>
  <c r="K2256" i="1"/>
  <c r="K2255" i="1"/>
  <c r="K2254" i="1"/>
  <c r="K2253" i="1"/>
  <c r="K2252" i="1"/>
  <c r="K2251" i="1"/>
  <c r="K2250" i="1"/>
  <c r="K2249" i="1"/>
  <c r="K2248" i="1"/>
  <c r="K2247" i="1"/>
  <c r="K2246" i="1"/>
  <c r="K2245" i="1"/>
  <c r="K2244" i="1"/>
  <c r="K2243" i="1"/>
  <c r="K2242" i="1"/>
  <c r="K2241" i="1"/>
  <c r="K2240" i="1"/>
  <c r="K2239" i="1"/>
  <c r="K2238" i="1"/>
  <c r="K2237" i="1"/>
  <c r="K2236" i="1"/>
  <c r="K2235" i="1"/>
  <c r="K2234" i="1"/>
  <c r="K2233" i="1"/>
  <c r="K2232" i="1"/>
  <c r="K2231" i="1"/>
  <c r="K2230" i="1"/>
  <c r="K2229" i="1"/>
  <c r="K2228" i="1"/>
  <c r="K2227" i="1"/>
  <c r="K2226" i="1"/>
  <c r="K2225" i="1"/>
  <c r="K2224" i="1"/>
  <c r="K2223" i="1"/>
  <c r="K2222" i="1"/>
  <c r="K2221" i="1"/>
  <c r="K2220" i="1"/>
  <c r="K2219" i="1"/>
  <c r="K2218" i="1"/>
  <c r="K2217" i="1"/>
  <c r="K2216" i="1"/>
  <c r="K2215" i="1"/>
  <c r="K2214" i="1"/>
  <c r="K2213" i="1"/>
  <c r="K2212" i="1"/>
  <c r="K2211" i="1"/>
  <c r="K2210" i="1"/>
  <c r="K2209" i="1"/>
  <c r="K2208" i="1"/>
  <c r="K2207" i="1"/>
  <c r="K2206" i="1"/>
  <c r="K2205" i="1"/>
  <c r="K2204" i="1"/>
  <c r="K2203" i="1"/>
  <c r="K2202" i="1"/>
  <c r="K2201" i="1"/>
  <c r="K2200" i="1"/>
  <c r="K2199" i="1"/>
  <c r="K2198" i="1"/>
  <c r="K2197" i="1"/>
  <c r="K2196" i="1"/>
  <c r="K2195" i="1"/>
  <c r="K2194" i="1"/>
  <c r="K2193" i="1"/>
  <c r="K2192" i="1"/>
  <c r="K2191" i="1"/>
  <c r="K2190" i="1"/>
  <c r="K2189" i="1"/>
  <c r="K2188" i="1"/>
  <c r="K2187" i="1"/>
  <c r="K2186" i="1"/>
  <c r="K2185" i="1"/>
  <c r="K2184" i="1"/>
  <c r="K2183" i="1"/>
  <c r="K2182" i="1"/>
  <c r="K2181" i="1"/>
  <c r="K2180" i="1"/>
  <c r="K2179" i="1"/>
  <c r="K2178" i="1"/>
  <c r="K2177" i="1"/>
  <c r="K2176" i="1"/>
  <c r="K2175" i="1"/>
  <c r="K2174" i="1"/>
  <c r="K2173" i="1"/>
  <c r="K2172" i="1"/>
  <c r="K2171" i="1"/>
  <c r="K2170" i="1"/>
  <c r="K2169" i="1"/>
  <c r="K2168" i="1"/>
  <c r="K2167" i="1"/>
  <c r="K2166" i="1"/>
  <c r="K2165" i="1"/>
  <c r="K2164" i="1"/>
  <c r="K2163" i="1"/>
  <c r="K2162" i="1"/>
  <c r="K2161" i="1"/>
  <c r="K2160" i="1"/>
  <c r="K2159" i="1"/>
  <c r="K2158" i="1"/>
  <c r="K2157" i="1"/>
  <c r="K2156" i="1"/>
  <c r="K2155" i="1"/>
  <c r="K2154" i="1"/>
  <c r="K2153" i="1"/>
  <c r="K2152" i="1"/>
  <c r="K2151" i="1"/>
  <c r="K2150" i="1"/>
  <c r="K2149" i="1"/>
  <c r="K2148" i="1"/>
  <c r="K2147" i="1"/>
  <c r="K2146" i="1"/>
  <c r="K2145" i="1"/>
  <c r="K2144" i="1"/>
  <c r="K2143" i="1"/>
  <c r="K2142" i="1"/>
  <c r="K2141" i="1"/>
  <c r="K2140" i="1"/>
  <c r="K2139" i="1"/>
  <c r="K2138" i="1"/>
  <c r="K2137" i="1"/>
  <c r="K2136" i="1"/>
  <c r="K2135" i="1"/>
  <c r="K2134" i="1"/>
  <c r="K2133" i="1"/>
  <c r="K2132" i="1"/>
  <c r="K2131" i="1"/>
  <c r="K2130" i="1"/>
  <c r="K2129" i="1"/>
  <c r="K2128" i="1"/>
  <c r="K2127" i="1"/>
  <c r="K2126" i="1"/>
  <c r="K2125" i="1"/>
  <c r="K2124" i="1"/>
  <c r="K2123" i="1"/>
  <c r="K2122" i="1"/>
  <c r="K2121" i="1"/>
  <c r="K2120" i="1"/>
  <c r="K2119" i="1"/>
  <c r="K2118" i="1"/>
  <c r="K2117" i="1"/>
  <c r="K2116" i="1"/>
  <c r="K2115" i="1"/>
  <c r="K2114" i="1"/>
  <c r="K2113" i="1"/>
  <c r="K2112" i="1"/>
  <c r="K2111" i="1"/>
  <c r="K2110" i="1"/>
  <c r="K2109" i="1"/>
  <c r="K2108" i="1"/>
  <c r="K2107" i="1"/>
  <c r="K2106" i="1"/>
  <c r="K2105" i="1"/>
  <c r="K2104" i="1"/>
  <c r="K2103" i="1"/>
  <c r="K2102" i="1"/>
  <c r="K2101" i="1"/>
  <c r="K2100" i="1"/>
  <c r="K2099" i="1"/>
  <c r="K2098" i="1"/>
  <c r="K2097" i="1"/>
  <c r="K2096" i="1"/>
  <c r="K2095" i="1"/>
  <c r="K2094" i="1"/>
  <c r="K2093" i="1"/>
  <c r="K2092" i="1"/>
  <c r="K2091" i="1"/>
  <c r="K2090" i="1"/>
  <c r="K2089" i="1"/>
  <c r="K2088" i="1"/>
  <c r="K2087" i="1"/>
  <c r="K2086" i="1"/>
  <c r="K2085" i="1"/>
  <c r="K2084" i="1"/>
  <c r="K2083" i="1"/>
  <c r="K2082" i="1"/>
  <c r="K2081" i="1"/>
  <c r="K2080" i="1"/>
  <c r="K2079" i="1"/>
  <c r="K2078" i="1"/>
  <c r="K2077" i="1"/>
  <c r="K2076" i="1"/>
  <c r="K2075" i="1"/>
  <c r="K2074" i="1"/>
  <c r="K2073" i="1"/>
  <c r="K2072" i="1"/>
  <c r="K2071" i="1"/>
  <c r="K2070" i="1"/>
  <c r="K2069" i="1"/>
  <c r="K2068" i="1"/>
  <c r="K2067" i="1"/>
  <c r="K2066" i="1"/>
  <c r="K2065" i="1"/>
  <c r="K2064" i="1"/>
  <c r="K2063" i="1"/>
  <c r="K2062" i="1"/>
  <c r="K2061" i="1"/>
  <c r="K2060" i="1"/>
  <c r="K2059" i="1"/>
  <c r="K2058" i="1"/>
  <c r="K2057" i="1"/>
  <c r="K2056" i="1"/>
  <c r="K2055" i="1"/>
  <c r="K2054" i="1"/>
  <c r="K2053" i="1"/>
  <c r="K2052" i="1"/>
  <c r="K2051" i="1"/>
  <c r="K2050" i="1"/>
  <c r="K2049" i="1"/>
  <c r="K2048" i="1"/>
  <c r="K2047" i="1"/>
  <c r="K2046" i="1"/>
  <c r="K2045" i="1"/>
  <c r="K2044" i="1"/>
  <c r="K2043" i="1"/>
  <c r="K2042" i="1"/>
  <c r="K2041" i="1"/>
  <c r="K2040" i="1"/>
  <c r="K2039" i="1"/>
  <c r="K2038" i="1"/>
  <c r="K2037" i="1"/>
  <c r="K2036" i="1"/>
  <c r="K2035" i="1"/>
  <c r="K2034" i="1"/>
  <c r="K2033" i="1"/>
  <c r="K2032" i="1"/>
  <c r="K2031" i="1"/>
  <c r="K2030" i="1"/>
  <c r="K2029" i="1"/>
  <c r="K2028" i="1"/>
  <c r="K2027" i="1"/>
  <c r="K2026" i="1"/>
  <c r="K2025" i="1"/>
  <c r="K2024" i="1"/>
  <c r="K2023" i="1"/>
  <c r="K2022" i="1"/>
  <c r="K2021" i="1"/>
  <c r="K2020" i="1"/>
  <c r="K2019" i="1"/>
  <c r="K2018" i="1"/>
  <c r="K2017" i="1"/>
  <c r="K2016" i="1"/>
  <c r="K2015" i="1"/>
  <c r="K2014" i="1"/>
  <c r="K2013" i="1"/>
  <c r="K2012" i="1"/>
  <c r="K2011" i="1"/>
  <c r="K2010" i="1"/>
  <c r="K2009" i="1"/>
  <c r="K2008" i="1"/>
  <c r="K2007" i="1"/>
  <c r="K2006" i="1"/>
  <c r="K2005" i="1"/>
  <c r="K2004" i="1"/>
  <c r="K2003" i="1"/>
  <c r="K2002" i="1"/>
  <c r="K2001" i="1"/>
  <c r="K2000" i="1"/>
  <c r="K1999" i="1"/>
  <c r="K1998" i="1"/>
  <c r="K1997" i="1"/>
  <c r="K1996" i="1"/>
  <c r="K1995" i="1"/>
  <c r="K1994" i="1"/>
  <c r="K1993" i="1"/>
  <c r="K1992" i="1"/>
  <c r="K1991" i="1"/>
  <c r="K1990" i="1"/>
  <c r="K1989" i="1"/>
  <c r="K1988" i="1"/>
  <c r="K1987" i="1"/>
  <c r="K1986" i="1"/>
  <c r="K1985" i="1"/>
  <c r="K1984" i="1"/>
  <c r="K1983" i="1"/>
  <c r="K1982" i="1"/>
  <c r="K1981" i="1"/>
  <c r="K1980" i="1"/>
  <c r="K1979" i="1"/>
  <c r="K1978" i="1"/>
  <c r="K1977" i="1"/>
  <c r="K1976" i="1"/>
  <c r="K1975" i="1"/>
  <c r="K1974" i="1"/>
  <c r="K1973" i="1"/>
  <c r="K1972" i="1"/>
  <c r="K1971" i="1"/>
  <c r="K1970" i="1"/>
  <c r="K1969" i="1"/>
  <c r="K1968" i="1"/>
  <c r="K1967" i="1"/>
  <c r="K1966" i="1"/>
  <c r="K1965" i="1"/>
  <c r="K1964" i="1"/>
  <c r="K1963" i="1"/>
  <c r="K1962" i="1"/>
  <c r="K1961" i="1"/>
  <c r="K1960" i="1"/>
  <c r="K1959" i="1"/>
  <c r="K1958" i="1"/>
  <c r="K1957" i="1"/>
  <c r="K1956" i="1"/>
  <c r="K1955" i="1"/>
  <c r="K1954" i="1"/>
  <c r="K1953" i="1"/>
  <c r="K1952" i="1"/>
  <c r="K1951" i="1"/>
  <c r="K1950" i="1"/>
  <c r="K1949" i="1"/>
  <c r="K1948" i="1"/>
  <c r="K1947" i="1"/>
  <c r="K1946" i="1"/>
  <c r="K1945" i="1"/>
  <c r="K1944" i="1"/>
  <c r="K1943" i="1"/>
  <c r="K1942" i="1"/>
  <c r="K1941" i="1"/>
  <c r="K1940" i="1"/>
  <c r="K1939" i="1"/>
  <c r="K1938" i="1"/>
  <c r="K1937" i="1"/>
  <c r="K1936" i="1"/>
  <c r="K1935" i="1"/>
  <c r="K1934" i="1"/>
  <c r="K1933" i="1"/>
  <c r="K1932" i="1"/>
  <c r="K1931" i="1"/>
  <c r="K1930" i="1"/>
  <c r="K1929" i="1"/>
  <c r="K1928" i="1"/>
  <c r="K1927" i="1"/>
  <c r="K1926" i="1"/>
  <c r="K1925" i="1"/>
  <c r="K1924" i="1"/>
  <c r="K1923" i="1"/>
  <c r="K1922" i="1"/>
  <c r="K1921" i="1"/>
  <c r="K1920" i="1"/>
  <c r="K1919" i="1"/>
  <c r="K1918" i="1"/>
  <c r="K1917" i="1"/>
  <c r="K1916" i="1"/>
  <c r="K1915" i="1"/>
  <c r="K1914" i="1"/>
  <c r="K1913" i="1"/>
  <c r="K1912" i="1"/>
  <c r="K1911" i="1"/>
  <c r="K1910" i="1"/>
  <c r="K1909" i="1"/>
  <c r="K1908" i="1"/>
  <c r="K1907" i="1"/>
  <c r="K1906" i="1"/>
  <c r="K1905" i="1"/>
  <c r="K1904" i="1"/>
  <c r="K1903" i="1"/>
  <c r="K1902" i="1"/>
  <c r="K1901" i="1"/>
  <c r="K1900" i="1"/>
  <c r="K1899" i="1"/>
  <c r="K1898" i="1"/>
  <c r="K1897" i="1"/>
  <c r="K1896" i="1"/>
  <c r="K1895" i="1"/>
  <c r="K1894" i="1"/>
  <c r="K1893" i="1"/>
  <c r="K1892" i="1"/>
  <c r="K1891" i="1"/>
  <c r="K1890" i="1"/>
  <c r="K1889" i="1"/>
  <c r="K1888" i="1"/>
  <c r="K1887" i="1"/>
  <c r="K1886" i="1"/>
  <c r="K1885" i="1"/>
  <c r="K1884" i="1"/>
  <c r="K1883" i="1"/>
  <c r="K1882" i="1"/>
  <c r="K1881" i="1"/>
  <c r="K1880" i="1"/>
  <c r="K1879" i="1"/>
  <c r="K1878" i="1"/>
  <c r="K1877" i="1"/>
  <c r="K1876" i="1"/>
  <c r="K1875" i="1"/>
  <c r="K1874" i="1"/>
  <c r="K1873" i="1"/>
  <c r="K1872" i="1"/>
  <c r="K1871" i="1"/>
  <c r="K1870" i="1"/>
  <c r="K1869" i="1"/>
  <c r="K1868" i="1"/>
  <c r="K1867" i="1"/>
  <c r="K1866" i="1"/>
  <c r="K1865" i="1"/>
  <c r="K1864" i="1"/>
  <c r="K1863" i="1"/>
  <c r="K1862" i="1"/>
  <c r="K1861" i="1"/>
  <c r="K1860" i="1"/>
  <c r="K1859" i="1"/>
  <c r="K1858" i="1"/>
  <c r="K1857" i="1"/>
  <c r="K1856" i="1"/>
  <c r="K1855" i="1"/>
  <c r="K1854" i="1"/>
  <c r="K1853" i="1"/>
  <c r="K1852" i="1"/>
  <c r="K1851" i="1"/>
  <c r="K1850" i="1"/>
  <c r="K1849" i="1"/>
  <c r="K1848" i="1"/>
  <c r="K1847" i="1"/>
  <c r="K1846" i="1"/>
  <c r="K1845" i="1"/>
  <c r="K1844" i="1"/>
  <c r="K1843" i="1"/>
  <c r="K1842" i="1"/>
  <c r="K1841" i="1"/>
  <c r="K1840" i="1"/>
  <c r="K1839" i="1"/>
  <c r="K1838" i="1"/>
  <c r="K1837" i="1"/>
  <c r="K1836" i="1"/>
  <c r="K1835" i="1"/>
  <c r="K1834" i="1"/>
  <c r="K1833" i="1"/>
  <c r="K1832" i="1"/>
  <c r="K1831" i="1"/>
  <c r="K1830" i="1"/>
  <c r="K1829" i="1"/>
  <c r="K1828" i="1"/>
  <c r="K1827" i="1"/>
  <c r="K1826" i="1"/>
  <c r="K1825" i="1"/>
  <c r="K1824" i="1"/>
  <c r="K1823" i="1"/>
  <c r="K1822" i="1"/>
  <c r="K1821" i="1"/>
  <c r="K1820" i="1"/>
  <c r="K1819" i="1"/>
  <c r="K1818" i="1"/>
  <c r="K1817" i="1"/>
  <c r="K1816" i="1"/>
  <c r="K1815" i="1"/>
  <c r="K1814" i="1"/>
  <c r="K1813" i="1"/>
  <c r="K1812" i="1"/>
  <c r="K1811" i="1"/>
  <c r="K1810" i="1"/>
  <c r="K1809" i="1"/>
  <c r="K1808" i="1"/>
  <c r="K1807" i="1"/>
  <c r="K1806" i="1"/>
  <c r="K1805" i="1"/>
  <c r="K1804" i="1"/>
  <c r="K1803" i="1"/>
  <c r="K1802" i="1"/>
  <c r="K1801" i="1"/>
  <c r="K1800" i="1"/>
  <c r="K1799" i="1"/>
  <c r="K1798" i="1"/>
  <c r="K1797" i="1"/>
  <c r="K1796" i="1"/>
  <c r="K1795" i="1"/>
  <c r="K1794" i="1"/>
  <c r="K1793" i="1"/>
  <c r="K1792" i="1"/>
  <c r="K1791" i="1"/>
  <c r="K1790" i="1"/>
  <c r="K1789" i="1"/>
  <c r="K1788" i="1"/>
  <c r="K1787" i="1"/>
  <c r="K1786" i="1"/>
  <c r="K1785" i="1"/>
  <c r="K1784" i="1"/>
  <c r="K1783" i="1"/>
  <c r="K1782" i="1"/>
  <c r="K1781" i="1"/>
  <c r="K1780" i="1"/>
  <c r="K1779" i="1"/>
  <c r="K1778" i="1"/>
  <c r="K1777" i="1"/>
  <c r="K1776" i="1"/>
  <c r="K1775" i="1"/>
  <c r="K1774" i="1"/>
  <c r="K1773" i="1"/>
  <c r="K1772" i="1"/>
  <c r="K1771" i="1"/>
  <c r="K1770" i="1"/>
  <c r="K1769" i="1"/>
  <c r="K1768" i="1"/>
  <c r="K1767" i="1"/>
  <c r="K1766" i="1"/>
  <c r="K1765" i="1"/>
  <c r="K1764" i="1"/>
  <c r="K1763" i="1"/>
  <c r="K1762" i="1"/>
  <c r="K1761" i="1"/>
  <c r="K1760" i="1"/>
  <c r="K1759" i="1"/>
  <c r="K1758" i="1"/>
  <c r="K1757" i="1"/>
  <c r="K1756" i="1"/>
  <c r="K1755" i="1"/>
  <c r="K1754" i="1"/>
  <c r="K1753" i="1"/>
  <c r="K1752" i="1"/>
  <c r="K1751" i="1"/>
  <c r="K1750" i="1"/>
  <c r="K1749" i="1"/>
  <c r="K1748" i="1"/>
  <c r="K1747" i="1"/>
  <c r="K1746" i="1"/>
  <c r="K1745" i="1"/>
  <c r="K1744" i="1"/>
  <c r="K1743" i="1"/>
  <c r="K1742" i="1"/>
  <c r="K1741" i="1"/>
  <c r="K1740" i="1"/>
  <c r="K1739" i="1"/>
  <c r="K1738" i="1"/>
  <c r="K1737" i="1"/>
  <c r="K1736" i="1"/>
  <c r="K1735" i="1"/>
  <c r="K1734" i="1"/>
  <c r="K1733" i="1"/>
  <c r="K1732" i="1"/>
  <c r="K1731" i="1"/>
  <c r="K1730" i="1"/>
  <c r="K1729" i="1"/>
  <c r="K1728" i="1"/>
  <c r="K1727" i="1"/>
  <c r="K1726" i="1"/>
  <c r="K1725" i="1"/>
  <c r="K1724" i="1"/>
  <c r="K1723" i="1"/>
  <c r="K1722" i="1"/>
  <c r="K1721" i="1"/>
  <c r="K1720" i="1"/>
  <c r="K1719" i="1"/>
  <c r="K1718" i="1"/>
  <c r="K1717" i="1"/>
  <c r="K1716" i="1"/>
  <c r="K1715" i="1"/>
  <c r="K1714" i="1"/>
  <c r="K1713" i="1"/>
  <c r="K1712" i="1"/>
  <c r="K1711" i="1"/>
  <c r="K1710" i="1"/>
  <c r="K1709" i="1"/>
  <c r="K1708" i="1"/>
  <c r="K1707" i="1"/>
  <c r="K1706" i="1"/>
  <c r="K1705" i="1"/>
  <c r="K1704" i="1"/>
  <c r="K1703" i="1"/>
  <c r="K1702" i="1"/>
  <c r="K1701" i="1"/>
  <c r="K1700" i="1"/>
  <c r="K1699" i="1"/>
  <c r="K1698" i="1"/>
  <c r="K1697" i="1"/>
  <c r="K1696" i="1"/>
  <c r="K1695" i="1"/>
  <c r="K1694" i="1"/>
  <c r="K1693" i="1"/>
  <c r="K1692" i="1"/>
  <c r="K1691" i="1"/>
  <c r="K1690" i="1"/>
  <c r="K1689" i="1"/>
  <c r="K1688" i="1"/>
  <c r="K1687" i="1"/>
  <c r="K1686" i="1"/>
  <c r="K1685" i="1"/>
  <c r="K1684" i="1"/>
  <c r="K1683" i="1"/>
  <c r="K1682" i="1"/>
  <c r="K1681" i="1"/>
  <c r="K1680" i="1"/>
  <c r="K1679" i="1"/>
  <c r="K1678" i="1"/>
  <c r="K1677" i="1"/>
  <c r="K1676" i="1"/>
  <c r="K1675" i="1"/>
  <c r="K1674" i="1"/>
  <c r="K1673" i="1"/>
  <c r="K1672" i="1"/>
  <c r="K1671" i="1"/>
  <c r="K1670" i="1"/>
  <c r="K1669" i="1"/>
  <c r="K1668" i="1"/>
  <c r="K1667" i="1"/>
  <c r="K1666" i="1"/>
  <c r="K1665" i="1"/>
  <c r="K1664" i="1"/>
  <c r="K1663" i="1"/>
  <c r="K1662" i="1"/>
  <c r="K1661" i="1"/>
  <c r="K1660" i="1"/>
  <c r="K1659" i="1"/>
  <c r="K1658" i="1"/>
  <c r="K1657" i="1"/>
  <c r="K1656" i="1"/>
  <c r="K1655" i="1"/>
  <c r="K1654" i="1"/>
  <c r="K1653" i="1"/>
  <c r="K1652" i="1"/>
  <c r="K1651" i="1"/>
  <c r="K1650" i="1"/>
  <c r="K1649" i="1"/>
  <c r="K1648" i="1"/>
  <c r="K1647" i="1"/>
  <c r="K1646" i="1"/>
  <c r="K1645" i="1"/>
  <c r="K1644" i="1"/>
  <c r="K1643" i="1"/>
  <c r="K1642" i="1"/>
  <c r="K1641" i="1"/>
  <c r="K1640" i="1"/>
  <c r="K1639" i="1"/>
  <c r="K1638" i="1"/>
  <c r="K1637" i="1"/>
  <c r="K1636" i="1"/>
  <c r="K1635" i="1"/>
  <c r="K1634" i="1"/>
  <c r="K1633" i="1"/>
  <c r="K1632" i="1"/>
  <c r="K1631" i="1"/>
  <c r="K1630" i="1"/>
  <c r="K1629" i="1"/>
  <c r="K1628" i="1"/>
  <c r="K1627" i="1"/>
  <c r="K1626" i="1"/>
  <c r="K1625" i="1"/>
  <c r="K1624" i="1"/>
  <c r="K1623" i="1"/>
  <c r="K1622" i="1"/>
  <c r="K1621" i="1"/>
  <c r="K1620" i="1"/>
  <c r="K1619" i="1"/>
  <c r="K1618" i="1"/>
  <c r="K1617" i="1"/>
  <c r="K1616" i="1"/>
  <c r="K1615" i="1"/>
  <c r="K1614" i="1"/>
  <c r="K1613" i="1"/>
  <c r="K1612" i="1"/>
  <c r="K1611" i="1"/>
  <c r="K1610" i="1"/>
  <c r="K1609" i="1"/>
  <c r="K1608" i="1"/>
  <c r="K1607" i="1"/>
  <c r="K1606" i="1"/>
  <c r="K1605" i="1"/>
  <c r="K1604" i="1"/>
  <c r="K1603" i="1"/>
  <c r="K1602" i="1"/>
  <c r="K1601" i="1"/>
  <c r="K1600" i="1"/>
  <c r="K1599" i="1"/>
  <c r="K1598" i="1"/>
  <c r="K1597" i="1"/>
  <c r="K1596" i="1"/>
  <c r="K1595" i="1"/>
  <c r="K1594" i="1"/>
  <c r="K1593" i="1"/>
  <c r="K1592" i="1"/>
  <c r="K1591" i="1"/>
  <c r="K1590" i="1"/>
  <c r="K1589" i="1"/>
  <c r="K1588" i="1"/>
  <c r="K1587" i="1"/>
  <c r="K1586" i="1"/>
  <c r="K1585" i="1"/>
  <c r="K1584" i="1"/>
  <c r="K1583" i="1"/>
  <c r="K1582" i="1"/>
  <c r="K1581" i="1"/>
  <c r="K1580" i="1"/>
  <c r="K1579" i="1"/>
  <c r="K1578" i="1"/>
  <c r="K1577" i="1"/>
  <c r="K1576" i="1"/>
  <c r="K1575" i="1"/>
  <c r="K1574" i="1"/>
  <c r="K1573" i="1"/>
  <c r="K1572" i="1"/>
  <c r="K1571" i="1"/>
  <c r="K1570" i="1"/>
  <c r="K1569" i="1"/>
  <c r="K1568" i="1"/>
  <c r="K1567" i="1"/>
  <c r="K1566" i="1"/>
  <c r="K1565" i="1"/>
  <c r="K1564" i="1"/>
  <c r="K1563" i="1"/>
  <c r="K1562" i="1"/>
  <c r="K1561" i="1"/>
  <c r="K1560" i="1"/>
  <c r="K1559" i="1"/>
  <c r="K1558" i="1"/>
  <c r="K1557" i="1"/>
  <c r="K1556" i="1"/>
  <c r="K1555" i="1"/>
  <c r="K1554" i="1"/>
  <c r="K1553" i="1"/>
  <c r="K1552" i="1"/>
  <c r="K1551" i="1"/>
  <c r="K1550" i="1"/>
  <c r="K1549" i="1"/>
  <c r="K1548" i="1"/>
  <c r="K1547" i="1"/>
  <c r="K1546" i="1"/>
  <c r="K1545" i="1"/>
  <c r="K1544" i="1"/>
  <c r="K1543" i="1"/>
  <c r="K1542" i="1"/>
  <c r="K1541" i="1"/>
  <c r="K1540" i="1"/>
  <c r="K1539" i="1"/>
  <c r="K1538" i="1"/>
  <c r="K1537" i="1"/>
  <c r="K1536" i="1"/>
  <c r="K1535" i="1"/>
  <c r="K1534" i="1"/>
  <c r="K1533" i="1"/>
  <c r="K1532" i="1"/>
  <c r="K1531" i="1"/>
  <c r="K1530" i="1"/>
  <c r="K1529" i="1"/>
  <c r="K1528" i="1"/>
  <c r="K1527" i="1"/>
  <c r="K1526" i="1"/>
  <c r="K1525" i="1"/>
  <c r="K1524" i="1"/>
  <c r="K1523" i="1"/>
  <c r="K1522" i="1"/>
  <c r="K1521" i="1"/>
  <c r="K1520" i="1"/>
  <c r="K1519" i="1"/>
  <c r="K1518" i="1"/>
  <c r="K1517" i="1"/>
  <c r="K1516" i="1"/>
  <c r="K1515" i="1"/>
  <c r="K1514" i="1"/>
  <c r="K1513" i="1"/>
  <c r="K1512" i="1"/>
  <c r="K1511" i="1"/>
  <c r="K1510" i="1"/>
  <c r="K1509" i="1"/>
  <c r="K1508" i="1"/>
  <c r="K1507" i="1"/>
  <c r="K1506" i="1"/>
  <c r="K1505" i="1"/>
  <c r="K1504" i="1"/>
  <c r="K1503" i="1"/>
  <c r="K1502" i="1"/>
  <c r="K1501" i="1"/>
  <c r="K1500" i="1"/>
  <c r="K1499" i="1"/>
  <c r="K1498" i="1"/>
  <c r="K1497" i="1"/>
  <c r="K1496" i="1"/>
  <c r="K1495" i="1"/>
  <c r="K1494" i="1"/>
  <c r="K1493" i="1"/>
  <c r="K1492" i="1"/>
  <c r="K1491" i="1"/>
  <c r="K1490" i="1"/>
  <c r="K1489" i="1"/>
  <c r="K1488" i="1"/>
  <c r="K1487" i="1"/>
  <c r="K1486" i="1"/>
  <c r="K1485" i="1"/>
  <c r="K1484" i="1"/>
  <c r="K1483" i="1"/>
  <c r="K1482" i="1"/>
  <c r="K1481" i="1"/>
  <c r="K1480" i="1"/>
  <c r="K1479" i="1"/>
  <c r="K1478" i="1"/>
  <c r="K1477" i="1"/>
  <c r="K1476" i="1"/>
  <c r="K1475" i="1"/>
  <c r="K1474" i="1"/>
  <c r="K1473" i="1"/>
  <c r="K1472" i="1"/>
  <c r="K1471" i="1"/>
  <c r="K1470" i="1"/>
  <c r="K1469" i="1"/>
  <c r="K1468" i="1"/>
  <c r="K1467" i="1"/>
  <c r="K1466" i="1"/>
  <c r="K1465" i="1"/>
  <c r="K1464" i="1"/>
  <c r="K1463" i="1"/>
  <c r="K1462" i="1"/>
  <c r="K1461" i="1"/>
  <c r="K1460" i="1"/>
  <c r="K1459" i="1"/>
  <c r="K1458" i="1"/>
  <c r="K1457" i="1"/>
  <c r="K1456" i="1"/>
  <c r="K1455" i="1"/>
  <c r="K1454" i="1"/>
  <c r="K1453" i="1"/>
  <c r="K1452" i="1"/>
  <c r="K1451" i="1"/>
  <c r="K1450" i="1"/>
  <c r="K1449" i="1"/>
  <c r="K1448" i="1"/>
  <c r="K1447" i="1"/>
  <c r="K1446" i="1"/>
  <c r="K1445" i="1"/>
  <c r="K1444" i="1"/>
  <c r="K1443" i="1"/>
  <c r="K1442" i="1"/>
  <c r="K1441" i="1"/>
  <c r="K1440" i="1"/>
  <c r="K1439" i="1"/>
  <c r="K1438" i="1"/>
  <c r="K1437" i="1"/>
  <c r="K1436" i="1"/>
  <c r="K1435" i="1"/>
  <c r="K1434" i="1"/>
  <c r="K1433" i="1"/>
  <c r="K1432" i="1"/>
  <c r="K1431" i="1"/>
  <c r="K1430" i="1"/>
  <c r="K1429" i="1"/>
  <c r="K1428" i="1"/>
  <c r="K1427" i="1"/>
  <c r="K1426" i="1"/>
  <c r="K1425" i="1"/>
  <c r="K1424" i="1"/>
  <c r="K1423" i="1"/>
  <c r="K1422" i="1"/>
  <c r="K1421" i="1"/>
  <c r="K1420" i="1"/>
  <c r="K1419" i="1"/>
  <c r="K1418" i="1"/>
  <c r="K1417" i="1"/>
  <c r="K1416" i="1"/>
  <c r="K1415" i="1"/>
  <c r="K1414" i="1"/>
  <c r="K1413" i="1"/>
  <c r="K1412" i="1"/>
  <c r="K1411" i="1"/>
  <c r="K1410" i="1"/>
  <c r="K1409" i="1"/>
  <c r="K1408" i="1"/>
  <c r="K1407" i="1"/>
  <c r="K1406" i="1"/>
  <c r="K1405" i="1"/>
  <c r="K1404" i="1"/>
  <c r="K1403" i="1"/>
  <c r="K1402" i="1"/>
  <c r="K1401" i="1"/>
  <c r="K1400" i="1"/>
  <c r="K1399" i="1"/>
  <c r="K1398" i="1"/>
  <c r="K1397" i="1"/>
  <c r="K1396" i="1"/>
  <c r="K1395" i="1"/>
  <c r="K1394" i="1"/>
  <c r="K1393" i="1"/>
  <c r="K1392" i="1"/>
  <c r="K1391" i="1"/>
  <c r="K1390" i="1"/>
  <c r="K1389" i="1"/>
  <c r="K1388" i="1"/>
  <c r="K1387" i="1"/>
  <c r="K1386" i="1"/>
  <c r="K1385" i="1"/>
  <c r="K1384" i="1"/>
  <c r="K1383" i="1"/>
  <c r="K1382" i="1"/>
  <c r="K1381" i="1"/>
  <c r="K1380" i="1"/>
  <c r="K1379" i="1"/>
  <c r="K1378" i="1"/>
  <c r="K1377" i="1"/>
  <c r="K1376" i="1"/>
  <c r="K1375" i="1"/>
  <c r="K1374" i="1"/>
  <c r="K1373" i="1"/>
  <c r="K1372" i="1"/>
  <c r="K1371" i="1"/>
  <c r="K1370" i="1"/>
  <c r="K1369" i="1"/>
  <c r="K1368" i="1"/>
  <c r="K1367" i="1"/>
  <c r="K1366" i="1"/>
  <c r="K1365" i="1"/>
  <c r="K1364" i="1"/>
  <c r="K1363" i="1"/>
  <c r="K1362" i="1"/>
  <c r="K1361" i="1"/>
  <c r="K1360" i="1"/>
  <c r="K1359" i="1"/>
  <c r="K1358" i="1"/>
  <c r="K1357" i="1"/>
  <c r="K1356" i="1"/>
  <c r="K1355" i="1"/>
  <c r="K1354" i="1"/>
  <c r="K1353" i="1"/>
  <c r="K1352" i="1"/>
  <c r="K1351" i="1"/>
  <c r="K1350" i="1"/>
  <c r="K1349" i="1"/>
  <c r="K1348" i="1"/>
  <c r="K1347" i="1"/>
  <c r="K1346" i="1"/>
  <c r="K1345" i="1"/>
  <c r="K1344" i="1"/>
  <c r="K1343" i="1"/>
  <c r="K1342" i="1"/>
  <c r="K1341" i="1"/>
  <c r="K1340" i="1"/>
  <c r="K1339" i="1"/>
  <c r="K1338" i="1"/>
  <c r="K1337" i="1"/>
  <c r="K1336" i="1"/>
  <c r="K1335" i="1"/>
  <c r="K1334" i="1"/>
  <c r="K1333" i="1"/>
  <c r="K1332" i="1"/>
  <c r="K1331" i="1"/>
  <c r="K1330" i="1"/>
  <c r="K1329" i="1"/>
  <c r="K1328" i="1"/>
  <c r="K1327" i="1"/>
  <c r="K1326" i="1"/>
  <c r="K1325" i="1"/>
  <c r="K1324" i="1"/>
  <c r="K1323" i="1"/>
  <c r="K1322" i="1"/>
  <c r="K1321" i="1"/>
  <c r="K1320" i="1"/>
  <c r="K1319" i="1"/>
  <c r="K1318" i="1"/>
  <c r="K1317" i="1"/>
  <c r="K1316" i="1"/>
  <c r="K1315" i="1"/>
  <c r="K1314" i="1"/>
  <c r="K1313" i="1"/>
  <c r="K1312" i="1"/>
  <c r="K1311" i="1"/>
  <c r="K1310" i="1"/>
  <c r="K1309" i="1"/>
  <c r="K1308" i="1"/>
  <c r="K1307" i="1"/>
  <c r="K1306" i="1"/>
  <c r="K1305" i="1"/>
  <c r="K1304" i="1"/>
  <c r="K1303" i="1"/>
  <c r="K1302" i="1"/>
  <c r="K1301" i="1"/>
  <c r="K1300" i="1"/>
  <c r="K1299" i="1"/>
  <c r="K1298" i="1"/>
  <c r="K1297" i="1"/>
  <c r="K1296" i="1"/>
  <c r="K1295" i="1"/>
  <c r="K1294" i="1"/>
  <c r="K1293" i="1"/>
  <c r="K1292" i="1"/>
  <c r="K1291" i="1"/>
  <c r="K1290" i="1"/>
  <c r="K1289" i="1"/>
  <c r="K1288" i="1"/>
  <c r="K1287" i="1"/>
  <c r="K1286" i="1"/>
  <c r="K1285" i="1"/>
  <c r="K1284" i="1"/>
  <c r="K1283" i="1"/>
  <c r="K1282" i="1"/>
  <c r="K1281" i="1"/>
  <c r="K1280" i="1"/>
  <c r="K1279" i="1"/>
  <c r="K1278" i="1"/>
  <c r="K1277" i="1"/>
  <c r="K1276" i="1"/>
  <c r="K1275" i="1"/>
  <c r="K1274" i="1"/>
  <c r="K1273" i="1"/>
  <c r="K1272" i="1"/>
  <c r="K1271" i="1"/>
  <c r="K1270" i="1"/>
  <c r="K1269" i="1"/>
  <c r="K1268" i="1"/>
  <c r="K1267" i="1"/>
  <c r="K1266" i="1"/>
  <c r="K1265" i="1"/>
  <c r="K1264" i="1"/>
  <c r="K1263" i="1"/>
  <c r="K1262" i="1"/>
  <c r="K1261" i="1"/>
  <c r="K1260" i="1"/>
  <c r="K1259" i="1"/>
  <c r="K1258" i="1"/>
  <c r="K1257" i="1"/>
  <c r="K1256" i="1"/>
  <c r="K1255" i="1"/>
  <c r="K1254" i="1"/>
  <c r="K1253" i="1"/>
  <c r="K1252" i="1"/>
  <c r="K1251" i="1"/>
  <c r="K1250" i="1"/>
  <c r="K1249" i="1"/>
  <c r="K1248" i="1"/>
  <c r="K1247" i="1"/>
  <c r="K1246" i="1"/>
  <c r="K1245" i="1"/>
  <c r="K1244" i="1"/>
  <c r="K1243" i="1"/>
  <c r="K1242" i="1"/>
  <c r="K1241" i="1"/>
  <c r="K1240" i="1"/>
  <c r="K1239" i="1"/>
  <c r="K1238" i="1"/>
  <c r="K1237" i="1"/>
  <c r="K1236" i="1"/>
  <c r="K1235" i="1"/>
  <c r="K1234" i="1"/>
  <c r="K1233" i="1"/>
  <c r="K1232" i="1"/>
  <c r="K1231" i="1"/>
  <c r="K1230" i="1"/>
  <c r="K1229" i="1"/>
  <c r="K1228" i="1"/>
  <c r="K1227" i="1"/>
  <c r="K1226" i="1"/>
  <c r="K1225" i="1"/>
  <c r="K1224" i="1"/>
  <c r="K1223" i="1"/>
  <c r="K1222" i="1"/>
  <c r="K1221" i="1"/>
  <c r="K1220" i="1"/>
  <c r="K1219" i="1"/>
  <c r="K1218" i="1"/>
  <c r="K1217" i="1"/>
  <c r="K1216" i="1"/>
  <c r="K1215" i="1"/>
  <c r="K1214" i="1"/>
  <c r="K1213" i="1"/>
  <c r="K1212" i="1"/>
  <c r="K1211" i="1"/>
  <c r="K1210" i="1"/>
  <c r="K1209" i="1"/>
  <c r="K1208" i="1"/>
  <c r="K1207" i="1"/>
  <c r="K1206" i="1"/>
  <c r="K1205" i="1"/>
  <c r="K1204" i="1"/>
  <c r="K1203" i="1"/>
  <c r="K1202" i="1"/>
  <c r="K1201" i="1"/>
  <c r="K1200" i="1"/>
  <c r="K1199" i="1"/>
  <c r="K1198" i="1"/>
  <c r="K1197" i="1"/>
  <c r="K1196" i="1"/>
  <c r="K1195" i="1"/>
  <c r="K1194" i="1"/>
  <c r="K1193" i="1"/>
  <c r="K1192" i="1"/>
  <c r="K1191" i="1"/>
  <c r="K1190" i="1"/>
  <c r="K1189" i="1"/>
  <c r="K1188" i="1"/>
  <c r="K1187" i="1"/>
  <c r="K1186" i="1"/>
  <c r="K1185" i="1"/>
  <c r="K1184" i="1"/>
  <c r="K1183" i="1"/>
  <c r="K1182" i="1"/>
  <c r="K1181" i="1"/>
  <c r="K1180" i="1"/>
  <c r="K1179" i="1"/>
  <c r="K1178" i="1"/>
  <c r="K1177" i="1"/>
  <c r="K1176" i="1"/>
  <c r="K1175" i="1"/>
  <c r="K1174" i="1"/>
  <c r="K1173" i="1"/>
  <c r="K1172" i="1"/>
  <c r="K1171" i="1"/>
  <c r="K1170" i="1"/>
  <c r="K1169" i="1"/>
  <c r="K1168" i="1"/>
  <c r="K1167" i="1"/>
  <c r="K1166" i="1"/>
  <c r="K1165" i="1"/>
  <c r="K1164" i="1"/>
  <c r="K1163" i="1"/>
  <c r="K1162" i="1"/>
  <c r="K1161" i="1"/>
  <c r="K1160" i="1"/>
  <c r="K1159" i="1"/>
  <c r="K1158" i="1"/>
  <c r="K1157" i="1"/>
  <c r="K1156" i="1"/>
  <c r="K1155" i="1"/>
  <c r="K1154" i="1"/>
  <c r="K1153" i="1"/>
  <c r="K1152" i="1"/>
  <c r="K1151" i="1"/>
  <c r="K1150" i="1"/>
  <c r="K1149" i="1"/>
  <c r="K1148" i="1"/>
  <c r="K1147" i="1"/>
  <c r="K1146" i="1"/>
  <c r="K1145" i="1"/>
  <c r="K1144" i="1"/>
  <c r="K1143" i="1"/>
  <c r="K1142" i="1"/>
  <c r="K1141" i="1"/>
  <c r="K1140" i="1"/>
  <c r="K1139" i="1"/>
  <c r="K1138" i="1"/>
  <c r="K1137" i="1"/>
  <c r="K1136" i="1"/>
  <c r="K1135" i="1"/>
  <c r="K1134" i="1"/>
  <c r="K1133" i="1"/>
  <c r="K1132" i="1"/>
  <c r="K1131" i="1"/>
  <c r="K1130" i="1"/>
  <c r="K1129" i="1"/>
  <c r="K1128" i="1"/>
  <c r="K1127" i="1"/>
  <c r="K1126" i="1"/>
  <c r="K1125" i="1"/>
  <c r="K1124" i="1"/>
  <c r="K1123" i="1"/>
  <c r="K1122" i="1"/>
  <c r="K1121" i="1"/>
  <c r="K1120" i="1"/>
  <c r="K1119" i="1"/>
  <c r="K1118" i="1"/>
  <c r="K1117" i="1"/>
  <c r="K1116" i="1"/>
  <c r="K1115" i="1"/>
  <c r="K1114" i="1"/>
  <c r="K1113" i="1"/>
  <c r="K1112" i="1"/>
  <c r="K1111" i="1"/>
  <c r="K1110" i="1"/>
  <c r="K1109" i="1"/>
  <c r="K1108" i="1"/>
  <c r="K1107" i="1"/>
  <c r="K1106" i="1"/>
  <c r="K1105" i="1"/>
  <c r="K1104" i="1"/>
  <c r="K1103" i="1"/>
  <c r="K1102" i="1"/>
  <c r="K1101" i="1"/>
  <c r="K1100" i="1"/>
  <c r="K1099" i="1"/>
  <c r="K1098" i="1"/>
  <c r="K1097" i="1"/>
  <c r="K1096" i="1"/>
  <c r="K1095" i="1"/>
  <c r="K1094" i="1"/>
  <c r="K1093" i="1"/>
  <c r="K1092" i="1"/>
  <c r="K1091" i="1"/>
  <c r="K1090" i="1"/>
  <c r="K1089" i="1"/>
  <c r="K1088" i="1"/>
  <c r="K1087" i="1"/>
  <c r="K1086" i="1"/>
  <c r="K1085" i="1"/>
  <c r="K1084" i="1"/>
  <c r="K1083" i="1"/>
  <c r="K1082" i="1"/>
  <c r="K1081" i="1"/>
  <c r="K1080" i="1"/>
  <c r="K1079" i="1"/>
  <c r="K1078" i="1"/>
  <c r="K1077" i="1"/>
  <c r="K1076" i="1"/>
  <c r="K1075" i="1"/>
  <c r="K1074" i="1"/>
  <c r="K1073" i="1"/>
  <c r="K1072" i="1"/>
  <c r="K1071" i="1"/>
  <c r="K1070" i="1"/>
  <c r="K1069" i="1"/>
  <c r="K1068" i="1"/>
  <c r="K1067" i="1"/>
  <c r="K1066" i="1"/>
  <c r="K1065" i="1"/>
  <c r="K1064" i="1"/>
  <c r="K1063" i="1"/>
  <c r="K1062" i="1"/>
  <c r="K1061" i="1"/>
  <c r="K1060" i="1"/>
  <c r="K1059" i="1"/>
  <c r="K1058" i="1"/>
  <c r="K1057" i="1"/>
  <c r="K1056" i="1"/>
  <c r="K1055" i="1"/>
  <c r="K1054" i="1"/>
  <c r="K1053" i="1"/>
  <c r="K1052" i="1"/>
  <c r="K1051" i="1"/>
  <c r="K1050" i="1"/>
  <c r="K1049" i="1"/>
  <c r="K1048" i="1"/>
  <c r="K1047" i="1"/>
  <c r="K1046" i="1"/>
  <c r="K1045" i="1"/>
  <c r="K1044" i="1"/>
  <c r="K1043" i="1"/>
  <c r="K1042" i="1"/>
  <c r="K1041" i="1"/>
  <c r="K1040" i="1"/>
  <c r="K1039" i="1"/>
  <c r="K1038" i="1"/>
  <c r="K1037" i="1"/>
  <c r="K1036" i="1"/>
  <c r="K1035" i="1"/>
  <c r="K1034" i="1"/>
  <c r="K1033" i="1"/>
  <c r="K1032" i="1"/>
  <c r="K1031" i="1"/>
  <c r="K1030" i="1"/>
  <c r="K1029" i="1"/>
  <c r="K1028" i="1"/>
  <c r="K1027" i="1"/>
  <c r="K1026" i="1"/>
  <c r="K1025" i="1"/>
  <c r="K1024" i="1"/>
  <c r="K1023" i="1"/>
  <c r="K1022" i="1"/>
  <c r="K1021" i="1"/>
  <c r="K1020" i="1"/>
  <c r="K1019" i="1"/>
  <c r="K1018" i="1"/>
  <c r="K1017" i="1"/>
  <c r="K1016" i="1"/>
  <c r="K1015" i="1"/>
  <c r="K1014" i="1"/>
  <c r="K1013" i="1"/>
  <c r="K1012" i="1"/>
  <c r="K1011" i="1"/>
  <c r="K1010" i="1"/>
  <c r="K1009" i="1"/>
  <c r="K1008" i="1"/>
  <c r="K1007" i="1"/>
  <c r="K1006" i="1"/>
  <c r="K1005" i="1"/>
  <c r="K1004" i="1"/>
  <c r="K1003" i="1"/>
  <c r="K1002" i="1"/>
  <c r="K1001" i="1"/>
  <c r="K1000" i="1"/>
  <c r="K999" i="1"/>
  <c r="K998" i="1"/>
  <c r="K997" i="1"/>
  <c r="K996" i="1"/>
  <c r="K995" i="1"/>
  <c r="K994" i="1"/>
  <c r="K993" i="1"/>
  <c r="K992" i="1"/>
  <c r="K991" i="1"/>
  <c r="K990" i="1"/>
  <c r="K989" i="1"/>
  <c r="K988" i="1"/>
  <c r="K987" i="1"/>
  <c r="K986" i="1"/>
  <c r="K985" i="1"/>
  <c r="K984" i="1"/>
  <c r="K983" i="1"/>
  <c r="K982" i="1"/>
  <c r="K981" i="1"/>
  <c r="K980" i="1"/>
  <c r="K979" i="1"/>
  <c r="K978" i="1"/>
  <c r="K977" i="1"/>
  <c r="K976" i="1"/>
  <c r="K975" i="1"/>
  <c r="K974" i="1"/>
  <c r="K973" i="1"/>
  <c r="K972" i="1"/>
  <c r="K971" i="1"/>
  <c r="K970" i="1"/>
  <c r="K969" i="1"/>
  <c r="K968" i="1"/>
  <c r="K967" i="1"/>
  <c r="K966" i="1"/>
  <c r="K965" i="1"/>
  <c r="K964" i="1"/>
  <c r="K963" i="1"/>
  <c r="K962" i="1"/>
  <c r="K961" i="1"/>
  <c r="K960" i="1"/>
  <c r="K959" i="1"/>
  <c r="K958" i="1"/>
  <c r="K957" i="1"/>
  <c r="K956" i="1"/>
  <c r="K955" i="1"/>
  <c r="K954" i="1"/>
  <c r="K953" i="1"/>
  <c r="K952" i="1"/>
  <c r="K951" i="1"/>
  <c r="K950" i="1"/>
  <c r="K949" i="1"/>
  <c r="K948" i="1"/>
  <c r="K947" i="1"/>
  <c r="K946" i="1"/>
  <c r="K945" i="1"/>
  <c r="K944" i="1"/>
  <c r="K943" i="1"/>
  <c r="K942" i="1"/>
  <c r="K941" i="1"/>
  <c r="K940" i="1"/>
  <c r="K939" i="1"/>
  <c r="K938" i="1"/>
  <c r="K937" i="1"/>
  <c r="K936" i="1"/>
  <c r="K935" i="1"/>
  <c r="K934" i="1"/>
  <c r="K933" i="1"/>
  <c r="K932" i="1"/>
  <c r="K931" i="1"/>
  <c r="K930" i="1"/>
  <c r="K929" i="1"/>
  <c r="K928" i="1"/>
  <c r="K927" i="1"/>
  <c r="K926" i="1"/>
  <c r="K925" i="1"/>
  <c r="K924" i="1"/>
  <c r="K923" i="1"/>
  <c r="K922" i="1"/>
  <c r="K921" i="1"/>
  <c r="K920" i="1"/>
  <c r="K919" i="1"/>
  <c r="K918" i="1"/>
  <c r="K917" i="1"/>
  <c r="K916" i="1"/>
  <c r="K915" i="1"/>
  <c r="K914" i="1"/>
  <c r="K913" i="1"/>
  <c r="K912" i="1"/>
  <c r="K911" i="1"/>
  <c r="K910" i="1"/>
  <c r="K909" i="1"/>
  <c r="K908" i="1"/>
  <c r="K907" i="1"/>
  <c r="K906" i="1"/>
  <c r="K905" i="1"/>
  <c r="K904" i="1"/>
  <c r="K903" i="1"/>
  <c r="K902" i="1"/>
  <c r="K901" i="1"/>
  <c r="K900" i="1"/>
  <c r="K899" i="1"/>
  <c r="K898" i="1"/>
  <c r="K897" i="1"/>
  <c r="K896" i="1"/>
  <c r="K895" i="1"/>
  <c r="K894" i="1"/>
  <c r="K893" i="1"/>
  <c r="K892" i="1"/>
  <c r="K891" i="1"/>
  <c r="K890" i="1"/>
  <c r="K889" i="1"/>
  <c r="K888" i="1"/>
  <c r="K887" i="1"/>
  <c r="K886" i="1"/>
  <c r="K885" i="1"/>
  <c r="K884" i="1"/>
  <c r="K883" i="1"/>
  <c r="K882" i="1"/>
  <c r="K881" i="1"/>
  <c r="K880" i="1"/>
  <c r="K879" i="1"/>
  <c r="K878" i="1"/>
  <c r="K877" i="1"/>
  <c r="K876" i="1"/>
  <c r="K875" i="1"/>
  <c r="K874" i="1"/>
  <c r="K873" i="1"/>
  <c r="K872" i="1"/>
  <c r="K871" i="1"/>
  <c r="K870" i="1"/>
  <c r="K869" i="1"/>
  <c r="K868" i="1"/>
  <c r="K867" i="1"/>
  <c r="K866" i="1"/>
  <c r="K865" i="1"/>
  <c r="K864" i="1"/>
  <c r="K863" i="1"/>
  <c r="K862" i="1"/>
  <c r="K861" i="1"/>
  <c r="K860" i="1"/>
  <c r="K859" i="1"/>
  <c r="K858" i="1"/>
  <c r="K857" i="1"/>
  <c r="K856" i="1"/>
  <c r="K855" i="1"/>
  <c r="K854" i="1"/>
  <c r="K853" i="1"/>
  <c r="K852" i="1"/>
  <c r="K851" i="1"/>
  <c r="K850" i="1"/>
  <c r="K849" i="1"/>
  <c r="K848" i="1"/>
  <c r="K847" i="1"/>
  <c r="K846" i="1"/>
  <c r="K845" i="1"/>
  <c r="K844" i="1"/>
  <c r="K843" i="1"/>
  <c r="K842" i="1"/>
  <c r="K841" i="1"/>
  <c r="K840" i="1"/>
  <c r="K839" i="1"/>
  <c r="K838" i="1"/>
  <c r="K837" i="1"/>
  <c r="K836" i="1"/>
  <c r="K835" i="1"/>
  <c r="K834" i="1"/>
  <c r="K833" i="1"/>
  <c r="K832" i="1"/>
  <c r="K831" i="1"/>
  <c r="K830" i="1"/>
  <c r="K829" i="1"/>
  <c r="K828" i="1"/>
  <c r="K827" i="1"/>
  <c r="K826" i="1"/>
  <c r="K825" i="1"/>
  <c r="K824" i="1"/>
  <c r="K823" i="1"/>
  <c r="K822" i="1"/>
  <c r="K821" i="1"/>
  <c r="K820" i="1"/>
  <c r="K819" i="1"/>
  <c r="K818" i="1"/>
  <c r="K817" i="1"/>
  <c r="K816" i="1"/>
  <c r="K815" i="1"/>
  <c r="K814" i="1"/>
  <c r="K813" i="1"/>
  <c r="K812" i="1"/>
  <c r="K811" i="1"/>
  <c r="K810" i="1"/>
  <c r="K809" i="1"/>
  <c r="K808" i="1"/>
  <c r="K807" i="1"/>
  <c r="K806" i="1"/>
  <c r="K805" i="1"/>
  <c r="K804" i="1"/>
  <c r="K803" i="1"/>
  <c r="K802" i="1"/>
  <c r="K801" i="1"/>
  <c r="K800" i="1"/>
  <c r="K799" i="1"/>
  <c r="K798" i="1"/>
  <c r="K797" i="1"/>
  <c r="K796" i="1"/>
  <c r="K795" i="1"/>
  <c r="K794" i="1"/>
  <c r="K793" i="1"/>
  <c r="K792" i="1"/>
  <c r="K791" i="1"/>
  <c r="K790" i="1"/>
  <c r="K789" i="1"/>
  <c r="K788" i="1"/>
  <c r="K787" i="1"/>
  <c r="K786" i="1"/>
  <c r="K785" i="1"/>
  <c r="K784" i="1"/>
  <c r="K783" i="1"/>
  <c r="K782" i="1"/>
  <c r="K781" i="1"/>
  <c r="K780" i="1"/>
  <c r="K779" i="1"/>
  <c r="K778" i="1"/>
  <c r="K777" i="1"/>
  <c r="K776" i="1"/>
  <c r="K775" i="1"/>
  <c r="K774" i="1"/>
  <c r="K773" i="1"/>
  <c r="K772" i="1"/>
  <c r="K771" i="1"/>
  <c r="K770" i="1"/>
  <c r="K769" i="1"/>
  <c r="K768" i="1"/>
  <c r="K767" i="1"/>
  <c r="K766" i="1"/>
  <c r="K765" i="1"/>
  <c r="K764" i="1"/>
  <c r="K763" i="1"/>
  <c r="K762" i="1"/>
  <c r="K761" i="1"/>
  <c r="K760" i="1"/>
  <c r="K759" i="1"/>
  <c r="K758" i="1"/>
  <c r="K757" i="1"/>
  <c r="K756" i="1"/>
  <c r="K755" i="1"/>
  <c r="K754" i="1"/>
  <c r="K753" i="1"/>
  <c r="K752" i="1"/>
  <c r="K751" i="1"/>
  <c r="K750" i="1"/>
  <c r="K749" i="1"/>
  <c r="K748" i="1"/>
  <c r="K747" i="1"/>
  <c r="K746" i="1"/>
  <c r="K745" i="1"/>
  <c r="K744" i="1"/>
  <c r="K743" i="1"/>
  <c r="K742" i="1"/>
  <c r="K741" i="1"/>
  <c r="K740" i="1"/>
  <c r="K739" i="1"/>
  <c r="K738" i="1"/>
  <c r="K737" i="1"/>
  <c r="K736" i="1"/>
  <c r="K735" i="1"/>
  <c r="K734" i="1"/>
  <c r="K733" i="1"/>
  <c r="K732" i="1"/>
  <c r="K731" i="1"/>
  <c r="K730" i="1"/>
  <c r="K729" i="1"/>
  <c r="K728" i="1"/>
  <c r="K727" i="1"/>
  <c r="K726" i="1"/>
  <c r="K725" i="1"/>
  <c r="K724" i="1"/>
  <c r="K723" i="1"/>
  <c r="K722" i="1"/>
  <c r="K721" i="1"/>
  <c r="K720" i="1"/>
  <c r="K719" i="1"/>
  <c r="K718" i="1"/>
  <c r="K717" i="1"/>
  <c r="K716" i="1"/>
  <c r="K715" i="1"/>
  <c r="K714" i="1"/>
  <c r="K713" i="1"/>
  <c r="K712" i="1"/>
  <c r="K711" i="1"/>
  <c r="K710" i="1"/>
  <c r="K709" i="1"/>
  <c r="K708" i="1"/>
  <c r="K707" i="1"/>
  <c r="K706" i="1"/>
  <c r="K705" i="1"/>
  <c r="K704" i="1"/>
  <c r="K703" i="1"/>
  <c r="K702" i="1"/>
  <c r="K701" i="1"/>
  <c r="K700" i="1"/>
  <c r="K699" i="1"/>
  <c r="K698" i="1"/>
  <c r="K697" i="1"/>
  <c r="K696" i="1"/>
  <c r="K695" i="1"/>
  <c r="K694" i="1"/>
  <c r="K693" i="1"/>
  <c r="K692" i="1"/>
  <c r="K691" i="1"/>
  <c r="K690" i="1"/>
  <c r="K689" i="1"/>
  <c r="K688" i="1"/>
  <c r="K687" i="1"/>
  <c r="K686" i="1"/>
  <c r="K685" i="1"/>
  <c r="K684" i="1"/>
  <c r="K683" i="1"/>
  <c r="K682" i="1"/>
  <c r="K681" i="1"/>
  <c r="K680" i="1"/>
  <c r="K679" i="1"/>
  <c r="K678" i="1"/>
  <c r="K677" i="1"/>
  <c r="K676" i="1"/>
  <c r="K675" i="1"/>
  <c r="K674" i="1"/>
  <c r="K673" i="1"/>
  <c r="K672" i="1"/>
  <c r="K671" i="1"/>
  <c r="K670" i="1"/>
  <c r="K669" i="1"/>
  <c r="K668" i="1"/>
  <c r="K667" i="1"/>
  <c r="K666" i="1"/>
  <c r="K665" i="1"/>
  <c r="K664" i="1"/>
  <c r="K663" i="1"/>
  <c r="K662" i="1"/>
  <c r="K661" i="1"/>
  <c r="K660" i="1"/>
  <c r="K659" i="1"/>
  <c r="K658" i="1"/>
  <c r="K657" i="1"/>
  <c r="K656" i="1"/>
  <c r="K655" i="1"/>
  <c r="K654" i="1"/>
  <c r="K653" i="1"/>
  <c r="K652" i="1"/>
  <c r="K651" i="1"/>
  <c r="K650" i="1"/>
  <c r="K649" i="1"/>
  <c r="K648" i="1"/>
  <c r="K647" i="1"/>
  <c r="K646" i="1"/>
  <c r="K645" i="1"/>
  <c r="K644" i="1"/>
  <c r="K643" i="1"/>
  <c r="K642" i="1"/>
  <c r="K641" i="1"/>
  <c r="K640" i="1"/>
  <c r="K639" i="1"/>
  <c r="K638" i="1"/>
  <c r="K637" i="1"/>
  <c r="K636" i="1"/>
  <c r="K635" i="1"/>
  <c r="K634" i="1"/>
  <c r="K633" i="1"/>
  <c r="K632" i="1"/>
  <c r="K631" i="1"/>
  <c r="K630" i="1"/>
  <c r="K629" i="1"/>
  <c r="K628" i="1"/>
  <c r="K627" i="1"/>
  <c r="K626" i="1"/>
  <c r="K625" i="1"/>
  <c r="K624" i="1"/>
  <c r="K623" i="1"/>
  <c r="K622" i="1"/>
  <c r="K621" i="1"/>
  <c r="K620" i="1"/>
  <c r="K619" i="1"/>
  <c r="K618" i="1"/>
  <c r="K617" i="1"/>
  <c r="K616" i="1"/>
  <c r="K615" i="1"/>
  <c r="K614" i="1"/>
  <c r="K613" i="1"/>
  <c r="K612" i="1"/>
  <c r="K611" i="1"/>
  <c r="K610" i="1"/>
  <c r="K609" i="1"/>
  <c r="K608" i="1"/>
  <c r="K607" i="1"/>
  <c r="K606" i="1"/>
  <c r="K605" i="1"/>
  <c r="K604" i="1"/>
  <c r="K603" i="1"/>
  <c r="K602" i="1"/>
  <c r="K601" i="1"/>
  <c r="K600" i="1"/>
  <c r="K599" i="1"/>
  <c r="K598" i="1"/>
  <c r="K597" i="1"/>
  <c r="K596" i="1"/>
  <c r="K595" i="1"/>
  <c r="K594" i="1"/>
  <c r="K593" i="1"/>
  <c r="K592" i="1"/>
  <c r="K591" i="1"/>
  <c r="K590" i="1"/>
  <c r="K589" i="1"/>
  <c r="K588" i="1"/>
  <c r="K587" i="1"/>
  <c r="K586" i="1"/>
  <c r="K585" i="1"/>
  <c r="K584" i="1"/>
  <c r="K583" i="1"/>
  <c r="K582" i="1"/>
  <c r="K581" i="1"/>
  <c r="K580" i="1"/>
  <c r="K579" i="1"/>
  <c r="K578" i="1"/>
  <c r="K577" i="1"/>
  <c r="K576" i="1"/>
  <c r="K575" i="1"/>
  <c r="K574" i="1"/>
  <c r="K573" i="1"/>
  <c r="K572" i="1"/>
  <c r="K571" i="1"/>
  <c r="K570" i="1"/>
  <c r="K569" i="1"/>
  <c r="K568" i="1"/>
  <c r="K567" i="1"/>
  <c r="K566" i="1"/>
  <c r="K565" i="1"/>
  <c r="K564" i="1"/>
  <c r="K563" i="1"/>
  <c r="K562" i="1"/>
  <c r="K561" i="1"/>
  <c r="K560" i="1"/>
  <c r="K559" i="1"/>
  <c r="K558" i="1"/>
  <c r="K557" i="1"/>
  <c r="K556" i="1"/>
  <c r="K555" i="1"/>
  <c r="K554" i="1"/>
  <c r="K553" i="1"/>
  <c r="K552" i="1"/>
  <c r="K551" i="1"/>
  <c r="K550" i="1"/>
  <c r="K549" i="1"/>
  <c r="K548" i="1"/>
  <c r="K547" i="1"/>
  <c r="K546" i="1"/>
  <c r="K545" i="1"/>
  <c r="K544" i="1"/>
  <c r="K543" i="1"/>
  <c r="K542" i="1"/>
  <c r="K541" i="1"/>
  <c r="K540" i="1"/>
  <c r="K539" i="1"/>
  <c r="K538" i="1"/>
  <c r="K537" i="1"/>
  <c r="K536" i="1"/>
  <c r="K535" i="1"/>
  <c r="K534" i="1"/>
  <c r="K533" i="1"/>
  <c r="K532" i="1"/>
  <c r="K531" i="1"/>
  <c r="K530" i="1"/>
  <c r="K529" i="1"/>
  <c r="K528" i="1"/>
  <c r="K527" i="1"/>
  <c r="K526" i="1"/>
  <c r="K525" i="1"/>
  <c r="K524" i="1"/>
  <c r="K523" i="1"/>
  <c r="K522" i="1"/>
  <c r="K521" i="1"/>
  <c r="K520" i="1"/>
  <c r="K519" i="1"/>
  <c r="K518" i="1"/>
  <c r="K517" i="1"/>
  <c r="K516" i="1"/>
  <c r="K515" i="1"/>
  <c r="K514" i="1"/>
  <c r="K513" i="1"/>
  <c r="K512" i="1"/>
  <c r="K511" i="1"/>
  <c r="K510" i="1"/>
  <c r="K509" i="1"/>
  <c r="K508" i="1"/>
  <c r="K507" i="1"/>
  <c r="K506" i="1"/>
  <c r="K505" i="1"/>
  <c r="K504" i="1"/>
  <c r="K503" i="1"/>
  <c r="K502" i="1"/>
  <c r="K501" i="1"/>
  <c r="K500" i="1"/>
  <c r="K499" i="1"/>
  <c r="K498" i="1"/>
  <c r="K497" i="1"/>
  <c r="K496" i="1"/>
  <c r="K495" i="1"/>
  <c r="K494" i="1"/>
  <c r="K493" i="1"/>
  <c r="K492" i="1"/>
  <c r="K491" i="1"/>
  <c r="K490" i="1"/>
  <c r="K489" i="1"/>
  <c r="K488" i="1"/>
  <c r="K487" i="1"/>
  <c r="K486" i="1"/>
  <c r="K485" i="1"/>
  <c r="K484" i="1"/>
  <c r="K483" i="1"/>
  <c r="K482" i="1"/>
  <c r="K481" i="1"/>
  <c r="K480" i="1"/>
  <c r="K479" i="1"/>
  <c r="K478" i="1"/>
  <c r="K477" i="1"/>
  <c r="K476" i="1"/>
  <c r="K475" i="1"/>
  <c r="K474" i="1"/>
  <c r="K473" i="1"/>
  <c r="K472" i="1"/>
  <c r="K471" i="1"/>
  <c r="K470" i="1"/>
  <c r="K469" i="1"/>
  <c r="K468" i="1"/>
  <c r="K467" i="1"/>
  <c r="K466" i="1"/>
  <c r="K465" i="1"/>
  <c r="K464" i="1"/>
  <c r="K463" i="1"/>
  <c r="K462" i="1"/>
  <c r="K461" i="1"/>
  <c r="K460" i="1"/>
  <c r="K459" i="1"/>
  <c r="K458" i="1"/>
  <c r="K457" i="1"/>
  <c r="K456" i="1"/>
  <c r="K455" i="1"/>
  <c r="K454" i="1"/>
  <c r="K453" i="1"/>
  <c r="K452" i="1"/>
  <c r="K451" i="1"/>
  <c r="K450" i="1"/>
  <c r="K449" i="1"/>
  <c r="K448" i="1"/>
  <c r="K447" i="1"/>
  <c r="K446" i="1"/>
  <c r="K445" i="1"/>
  <c r="K444" i="1"/>
  <c r="K443" i="1"/>
  <c r="K442" i="1"/>
  <c r="K441" i="1"/>
  <c r="K440" i="1"/>
  <c r="K439" i="1"/>
  <c r="K438" i="1"/>
  <c r="K437" i="1"/>
  <c r="K436" i="1"/>
  <c r="K435" i="1"/>
  <c r="K434" i="1"/>
  <c r="K433" i="1"/>
  <c r="K432" i="1"/>
  <c r="K431" i="1"/>
  <c r="K430" i="1"/>
  <c r="K429" i="1"/>
  <c r="K428" i="1"/>
  <c r="K427" i="1"/>
  <c r="K426" i="1"/>
  <c r="K425" i="1"/>
  <c r="K424" i="1"/>
  <c r="K423" i="1"/>
  <c r="K422" i="1"/>
  <c r="K421" i="1"/>
  <c r="K420" i="1"/>
  <c r="K419" i="1"/>
  <c r="K418" i="1"/>
  <c r="K417" i="1"/>
  <c r="K416" i="1"/>
  <c r="K415" i="1"/>
  <c r="K414" i="1"/>
  <c r="K413" i="1"/>
  <c r="K412" i="1"/>
  <c r="K411" i="1"/>
  <c r="K410" i="1"/>
  <c r="K409" i="1"/>
  <c r="K408" i="1"/>
  <c r="K407" i="1"/>
  <c r="K406" i="1"/>
  <c r="K405" i="1"/>
  <c r="K404" i="1"/>
  <c r="K403" i="1"/>
  <c r="K402" i="1"/>
  <c r="K401" i="1"/>
  <c r="K400" i="1"/>
  <c r="K399" i="1"/>
  <c r="K398" i="1"/>
  <c r="K397" i="1"/>
  <c r="K396" i="1"/>
  <c r="K395" i="1"/>
  <c r="K394" i="1"/>
  <c r="K393" i="1"/>
  <c r="K392" i="1"/>
  <c r="K391" i="1"/>
  <c r="K390" i="1"/>
  <c r="K389" i="1"/>
  <c r="K388" i="1"/>
  <c r="K387" i="1"/>
  <c r="K386" i="1"/>
  <c r="K385" i="1"/>
  <c r="K384" i="1"/>
  <c r="K383" i="1"/>
  <c r="K382" i="1"/>
  <c r="K381" i="1"/>
  <c r="K380" i="1"/>
  <c r="K379" i="1"/>
  <c r="K378" i="1"/>
  <c r="K377" i="1"/>
  <c r="K376" i="1"/>
  <c r="K375" i="1"/>
  <c r="K374" i="1"/>
  <c r="K373" i="1"/>
  <c r="K372" i="1"/>
  <c r="K371" i="1"/>
  <c r="K370" i="1"/>
  <c r="K369" i="1"/>
  <c r="K368" i="1"/>
  <c r="K367" i="1"/>
  <c r="K366" i="1"/>
  <c r="K365" i="1"/>
  <c r="K364" i="1"/>
  <c r="K363" i="1"/>
  <c r="K362" i="1"/>
  <c r="K361" i="1"/>
  <c r="K360" i="1"/>
  <c r="K359" i="1"/>
  <c r="K358" i="1"/>
  <c r="K357" i="1"/>
  <c r="K356" i="1"/>
  <c r="K355" i="1"/>
  <c r="K354" i="1"/>
  <c r="K353" i="1"/>
  <c r="K352" i="1"/>
  <c r="K351" i="1"/>
  <c r="K350" i="1"/>
  <c r="K349" i="1"/>
  <c r="K348" i="1"/>
  <c r="K347" i="1"/>
  <c r="K346" i="1"/>
  <c r="K345" i="1"/>
  <c r="K344" i="1"/>
  <c r="K343" i="1"/>
  <c r="K342" i="1"/>
  <c r="K341" i="1"/>
  <c r="K340" i="1"/>
  <c r="K339" i="1"/>
  <c r="K338" i="1"/>
  <c r="K337" i="1"/>
  <c r="K336" i="1"/>
  <c r="K335" i="1"/>
  <c r="K334" i="1"/>
  <c r="K333" i="1"/>
  <c r="K332" i="1"/>
  <c r="K331" i="1"/>
  <c r="K330" i="1"/>
  <c r="K329" i="1"/>
  <c r="K328" i="1"/>
  <c r="K327" i="1"/>
  <c r="K326" i="1"/>
  <c r="K325" i="1"/>
  <c r="K324" i="1"/>
  <c r="K323" i="1"/>
  <c r="K322" i="1"/>
  <c r="K321" i="1"/>
  <c r="K320" i="1"/>
  <c r="K319" i="1"/>
  <c r="K318" i="1"/>
  <c r="K317" i="1"/>
  <c r="K316" i="1"/>
  <c r="K315" i="1"/>
  <c r="K314" i="1"/>
  <c r="K313" i="1"/>
  <c r="K312" i="1"/>
  <c r="K311" i="1"/>
  <c r="K310" i="1"/>
  <c r="K309" i="1"/>
  <c r="K308" i="1"/>
  <c r="K307" i="1"/>
  <c r="K306" i="1"/>
  <c r="K305" i="1"/>
  <c r="K304" i="1"/>
  <c r="K303" i="1"/>
  <c r="K302" i="1"/>
  <c r="K301" i="1"/>
  <c r="K300" i="1"/>
  <c r="K299" i="1"/>
  <c r="K298" i="1"/>
  <c r="K297" i="1"/>
  <c r="K296" i="1"/>
  <c r="K295" i="1"/>
  <c r="K294" i="1"/>
  <c r="K293" i="1"/>
  <c r="K292" i="1"/>
  <c r="K291" i="1"/>
  <c r="K290" i="1"/>
  <c r="K289" i="1"/>
  <c r="K288" i="1"/>
  <c r="K287" i="1"/>
  <c r="K286" i="1"/>
  <c r="K285" i="1"/>
  <c r="K284" i="1"/>
  <c r="K283" i="1"/>
  <c r="K282" i="1"/>
  <c r="K281" i="1"/>
  <c r="K280" i="1"/>
  <c r="K279" i="1"/>
  <c r="K278" i="1"/>
  <c r="K277" i="1"/>
  <c r="K276" i="1"/>
  <c r="K275" i="1"/>
  <c r="K274" i="1"/>
  <c r="K273" i="1"/>
  <c r="K272" i="1"/>
  <c r="K271" i="1"/>
  <c r="K270" i="1"/>
  <c r="K269" i="1"/>
  <c r="K268" i="1"/>
  <c r="K267" i="1"/>
  <c r="K266" i="1"/>
  <c r="K265" i="1"/>
  <c r="K264" i="1"/>
  <c r="K263" i="1"/>
  <c r="K262" i="1"/>
  <c r="K261" i="1"/>
  <c r="K260" i="1"/>
  <c r="K259" i="1"/>
  <c r="K258" i="1"/>
  <c r="K257" i="1"/>
  <c r="K256" i="1"/>
  <c r="K255" i="1"/>
  <c r="K254" i="1"/>
  <c r="K253" i="1"/>
  <c r="K252" i="1"/>
  <c r="K251" i="1"/>
  <c r="K250" i="1"/>
  <c r="K249" i="1"/>
  <c r="K248" i="1"/>
  <c r="K247" i="1"/>
  <c r="K246" i="1"/>
  <c r="K245" i="1"/>
  <c r="K244" i="1"/>
  <c r="K243" i="1"/>
  <c r="K242" i="1"/>
  <c r="K241" i="1"/>
  <c r="K240" i="1"/>
  <c r="K239" i="1"/>
  <c r="K238" i="1"/>
  <c r="K237" i="1"/>
  <c r="K236" i="1"/>
  <c r="K235" i="1"/>
  <c r="K234" i="1"/>
  <c r="K233" i="1"/>
  <c r="K232" i="1"/>
  <c r="K231" i="1"/>
  <c r="K230" i="1"/>
  <c r="K229" i="1"/>
  <c r="K228" i="1"/>
  <c r="K227" i="1"/>
  <c r="K226" i="1"/>
  <c r="K225" i="1"/>
  <c r="K224" i="1"/>
  <c r="K223" i="1"/>
  <c r="K222" i="1"/>
  <c r="K221" i="1"/>
  <c r="K220" i="1"/>
  <c r="K219" i="1"/>
  <c r="K218" i="1"/>
  <c r="K217" i="1"/>
  <c r="K216" i="1"/>
  <c r="K215" i="1"/>
  <c r="K214" i="1"/>
  <c r="K213" i="1"/>
  <c r="K212" i="1"/>
  <c r="K211" i="1"/>
  <c r="K210" i="1"/>
  <c r="K209" i="1"/>
  <c r="K208" i="1"/>
  <c r="K207" i="1"/>
  <c r="K206" i="1"/>
  <c r="K205" i="1"/>
  <c r="K204" i="1"/>
  <c r="K203" i="1"/>
  <c r="K202" i="1"/>
  <c r="K201" i="1"/>
  <c r="K200" i="1"/>
  <c r="K199" i="1"/>
  <c r="K198" i="1"/>
  <c r="K197" i="1"/>
  <c r="K196" i="1"/>
  <c r="K195" i="1"/>
  <c r="K194" i="1"/>
  <c r="K193" i="1"/>
  <c r="K192" i="1"/>
  <c r="K191" i="1"/>
  <c r="K190" i="1"/>
  <c r="K189" i="1"/>
  <c r="K188" i="1"/>
  <c r="K187" i="1"/>
  <c r="K186" i="1"/>
  <c r="K185" i="1"/>
  <c r="K184" i="1"/>
  <c r="K183" i="1"/>
  <c r="K182" i="1"/>
  <c r="K181" i="1"/>
  <c r="K180" i="1"/>
  <c r="K179" i="1"/>
  <c r="K178" i="1"/>
  <c r="K177" i="1"/>
  <c r="K176" i="1"/>
  <c r="K175" i="1"/>
  <c r="K174" i="1"/>
  <c r="K173" i="1"/>
  <c r="K172" i="1"/>
  <c r="K171" i="1"/>
  <c r="K170" i="1"/>
  <c r="K169" i="1"/>
  <c r="K168" i="1"/>
  <c r="K167" i="1"/>
  <c r="K166" i="1"/>
  <c r="K165" i="1"/>
  <c r="K164" i="1"/>
  <c r="K163" i="1"/>
  <c r="K162" i="1"/>
  <c r="K161" i="1"/>
  <c r="K160" i="1"/>
  <c r="K159" i="1"/>
  <c r="K158" i="1"/>
  <c r="K157" i="1"/>
  <c r="K156" i="1"/>
  <c r="K155" i="1"/>
  <c r="K154" i="1"/>
  <c r="K153" i="1"/>
  <c r="K152" i="1"/>
  <c r="K151" i="1"/>
  <c r="K150" i="1"/>
  <c r="K149" i="1"/>
  <c r="K148" i="1"/>
  <c r="K147" i="1"/>
  <c r="K146" i="1"/>
  <c r="K145" i="1"/>
  <c r="K144" i="1"/>
  <c r="K143" i="1"/>
  <c r="K142" i="1"/>
  <c r="K141" i="1"/>
  <c r="K140" i="1"/>
  <c r="K139" i="1"/>
  <c r="K138" i="1"/>
  <c r="K137" i="1"/>
  <c r="K136" i="1"/>
  <c r="K135" i="1"/>
  <c r="K134" i="1"/>
  <c r="K133" i="1"/>
  <c r="K132" i="1"/>
  <c r="K131" i="1"/>
  <c r="K130" i="1"/>
  <c r="K129" i="1"/>
  <c r="K128" i="1"/>
  <c r="K127" i="1"/>
  <c r="K126" i="1"/>
  <c r="K125" i="1"/>
  <c r="K124" i="1"/>
  <c r="K123" i="1"/>
  <c r="K122" i="1"/>
  <c r="K121" i="1"/>
  <c r="K120" i="1"/>
  <c r="K119" i="1"/>
  <c r="K118" i="1"/>
  <c r="K117" i="1"/>
  <c r="K116" i="1"/>
  <c r="K115" i="1"/>
  <c r="K114" i="1"/>
  <c r="K113" i="1"/>
  <c r="K112" i="1"/>
  <c r="K111" i="1"/>
  <c r="K110" i="1"/>
  <c r="K109" i="1"/>
  <c r="K108" i="1"/>
  <c r="K107" i="1"/>
  <c r="K106" i="1"/>
  <c r="K105" i="1"/>
  <c r="K104" i="1"/>
  <c r="K103" i="1"/>
  <c r="K102" i="1"/>
  <c r="K101" i="1"/>
  <c r="K100" i="1"/>
  <c r="K99" i="1"/>
  <c r="K98" i="1"/>
  <c r="K97" i="1"/>
  <c r="K96" i="1"/>
  <c r="K95" i="1"/>
  <c r="K94" i="1"/>
  <c r="K93" i="1"/>
  <c r="K92" i="1"/>
  <c r="K91" i="1"/>
  <c r="K90" i="1"/>
  <c r="K89" i="1"/>
  <c r="K88" i="1"/>
  <c r="K87" i="1"/>
  <c r="K86" i="1"/>
  <c r="K85" i="1"/>
  <c r="K84" i="1"/>
  <c r="K83" i="1"/>
  <c r="K82" i="1"/>
  <c r="K81" i="1"/>
  <c r="K80" i="1"/>
  <c r="K79" i="1"/>
  <c r="K78" i="1"/>
  <c r="K77" i="1"/>
  <c r="K76" i="1"/>
  <c r="K75" i="1"/>
  <c r="K74" i="1"/>
  <c r="K73" i="1"/>
  <c r="K72" i="1"/>
  <c r="K71" i="1"/>
  <c r="K70" i="1"/>
  <c r="K69" i="1"/>
  <c r="K68" i="1"/>
  <c r="K67" i="1"/>
  <c r="K66" i="1"/>
  <c r="K65" i="1"/>
  <c r="K64" i="1"/>
  <c r="K63" i="1"/>
  <c r="K62" i="1"/>
  <c r="K61" i="1"/>
  <c r="K60" i="1"/>
  <c r="K59" i="1"/>
  <c r="K58" i="1"/>
  <c r="K57" i="1"/>
  <c r="K56" i="1"/>
  <c r="K55" i="1"/>
  <c r="K54" i="1"/>
  <c r="K53" i="1"/>
  <c r="K52" i="1"/>
  <c r="K51" i="1"/>
  <c r="K50" i="1"/>
  <c r="K49" i="1"/>
  <c r="K48" i="1"/>
  <c r="K47" i="1"/>
  <c r="K46" i="1"/>
  <c r="K45" i="1"/>
  <c r="K44" i="1"/>
  <c r="K43" i="1"/>
  <c r="K42" i="1"/>
  <c r="K41" i="1"/>
  <c r="K40" i="1"/>
  <c r="K39" i="1"/>
  <c r="K38" i="1"/>
  <c r="K37" i="1"/>
  <c r="K36" i="1"/>
  <c r="K35" i="1"/>
  <c r="K34" i="1"/>
  <c r="K33" i="1"/>
  <c r="K32" i="1"/>
  <c r="K31" i="1"/>
  <c r="K30" i="1"/>
  <c r="K29" i="1"/>
  <c r="K28" i="1"/>
  <c r="K27" i="1"/>
  <c r="K26" i="1"/>
  <c r="K25" i="1"/>
  <c r="K24" i="1"/>
  <c r="K23" i="1"/>
  <c r="K22" i="1"/>
  <c r="K21" i="1"/>
  <c r="K20" i="1"/>
  <c r="K19" i="1"/>
  <c r="K18" i="1"/>
  <c r="K17" i="1"/>
  <c r="K16" i="1"/>
  <c r="K15" i="1"/>
  <c r="K14" i="1"/>
  <c r="K13" i="1"/>
  <c r="K12" i="1"/>
  <c r="K11" i="1"/>
  <c r="K10" i="1"/>
  <c r="K9" i="1"/>
  <c r="K8" i="1"/>
  <c r="K7" i="1"/>
  <c r="K6" i="1"/>
  <c r="K5" i="1"/>
  <c r="K4" i="1"/>
  <c r="K3" i="1"/>
  <c r="H4135" i="1"/>
  <c r="H4131" i="1"/>
  <c r="H4152" i="1"/>
  <c r="H4153" i="1"/>
  <c r="H4154" i="1"/>
  <c r="J4152" i="1"/>
  <c r="J4153" i="1"/>
  <c r="J4154" i="1"/>
  <c r="Q4152" i="1"/>
  <c r="P4152" i="1" s="1"/>
  <c r="Q4153" i="1"/>
  <c r="P4153" i="1" s="1"/>
  <c r="Q4154" i="1"/>
  <c r="P4154" i="1" s="1"/>
  <c r="H4151" i="1"/>
  <c r="J4151" i="1"/>
  <c r="Q4151" i="1"/>
  <c r="P4151" i="1" s="1"/>
  <c r="H4150" i="1"/>
  <c r="J4150" i="1"/>
  <c r="Q4150" i="1"/>
  <c r="P4150" i="1" s="1"/>
  <c r="H4149" i="1"/>
  <c r="J4149" i="1"/>
  <c r="Q4149" i="1"/>
  <c r="P4149" i="1" s="1"/>
  <c r="H4132" i="1"/>
  <c r="H4133" i="1"/>
  <c r="H4134" i="1"/>
  <c r="H4136" i="1"/>
  <c r="H4137" i="1"/>
  <c r="H4138" i="1"/>
  <c r="H4139" i="1"/>
  <c r="H4140" i="1"/>
  <c r="H4141" i="1"/>
  <c r="H4142" i="1"/>
  <c r="H4143" i="1"/>
  <c r="H4144" i="1"/>
  <c r="H4145" i="1"/>
  <c r="H4146" i="1"/>
  <c r="H4147" i="1"/>
  <c r="H4148" i="1"/>
  <c r="J4132" i="1"/>
  <c r="J4133" i="1"/>
  <c r="J4134" i="1"/>
  <c r="J4135" i="1"/>
  <c r="J4136" i="1"/>
  <c r="J4137" i="1"/>
  <c r="J4138" i="1"/>
  <c r="J4139" i="1"/>
  <c r="J4140" i="1"/>
  <c r="J4141" i="1"/>
  <c r="J4142" i="1"/>
  <c r="J4143" i="1"/>
  <c r="J4144" i="1"/>
  <c r="J4145" i="1"/>
  <c r="J4146" i="1"/>
  <c r="J4147" i="1"/>
  <c r="J4148" i="1"/>
  <c r="Q4132" i="1"/>
  <c r="P4132" i="1" s="1"/>
  <c r="Q4133" i="1"/>
  <c r="P4133" i="1" s="1"/>
  <c r="Q4134" i="1"/>
  <c r="P4134" i="1" s="1"/>
  <c r="Q4135" i="1"/>
  <c r="P4135" i="1" s="1"/>
  <c r="Q4136" i="1"/>
  <c r="P4136" i="1" s="1"/>
  <c r="Q4137" i="1"/>
  <c r="P4137" i="1" s="1"/>
  <c r="Q4138" i="1"/>
  <c r="P4138" i="1" s="1"/>
  <c r="Q4139" i="1"/>
  <c r="P4139" i="1" s="1"/>
  <c r="Q4140" i="1"/>
  <c r="P4140" i="1" s="1"/>
  <c r="Q4141" i="1"/>
  <c r="P4141" i="1" s="1"/>
  <c r="Q4142" i="1"/>
  <c r="P4142" i="1" s="1"/>
  <c r="Q4143" i="1"/>
  <c r="P4143" i="1" s="1"/>
  <c r="Q4144" i="1"/>
  <c r="P4144" i="1" s="1"/>
  <c r="Q4145" i="1"/>
  <c r="P4145" i="1" s="1"/>
  <c r="Q4146" i="1"/>
  <c r="P4146" i="1" s="1"/>
  <c r="Q4147" i="1"/>
  <c r="P4147" i="1" s="1"/>
  <c r="Q4148" i="1"/>
  <c r="P4148" i="1" s="1"/>
  <c r="J4131" i="1"/>
  <c r="J4129" i="1"/>
  <c r="J4128" i="1"/>
  <c r="J4126" i="1"/>
  <c r="J4124" i="1"/>
  <c r="J4123" i="1"/>
  <c r="J4122" i="1"/>
  <c r="J4121" i="1"/>
  <c r="Q4131" i="1"/>
  <c r="P4131" i="1" s="1"/>
  <c r="J4127" i="1"/>
  <c r="H4120" i="1"/>
  <c r="H4121" i="1"/>
  <c r="H4122" i="1"/>
  <c r="H4123" i="1"/>
  <c r="H4124" i="1"/>
  <c r="H4125" i="1"/>
  <c r="H4126" i="1"/>
  <c r="H4127" i="1"/>
  <c r="H4128" i="1"/>
  <c r="H4129" i="1"/>
  <c r="H4130" i="1"/>
  <c r="J4120" i="1"/>
  <c r="J4125" i="1"/>
  <c r="J4130" i="1"/>
  <c r="Q4120" i="1"/>
  <c r="P4120" i="1" s="1"/>
  <c r="Q4121" i="1"/>
  <c r="P4121" i="1" s="1"/>
  <c r="Q4122" i="1"/>
  <c r="P4122" i="1" s="1"/>
  <c r="Q4123" i="1"/>
  <c r="P4123" i="1" s="1"/>
  <c r="Q4124" i="1"/>
  <c r="P4124" i="1" s="1"/>
  <c r="Q4125" i="1"/>
  <c r="P4125" i="1" s="1"/>
  <c r="Q4126" i="1"/>
  <c r="P4126" i="1" s="1"/>
  <c r="Q4127" i="1"/>
  <c r="P4127" i="1" s="1"/>
  <c r="Q4128" i="1"/>
  <c r="P4128" i="1" s="1"/>
  <c r="Q4129" i="1"/>
  <c r="P4129" i="1" s="1"/>
  <c r="Q4130" i="1"/>
  <c r="P4130" i="1" s="1"/>
  <c r="J4119" i="1"/>
  <c r="H4119" i="1"/>
  <c r="Q4119" i="1"/>
  <c r="P4119" i="1" s="1"/>
  <c r="H4006" i="1"/>
  <c r="H4007" i="1"/>
  <c r="H4008" i="1"/>
  <c r="H4009" i="1"/>
  <c r="H4010" i="1"/>
  <c r="H4011" i="1"/>
  <c r="H4012" i="1"/>
  <c r="H4013" i="1"/>
  <c r="H4014" i="1"/>
  <c r="H4015" i="1"/>
  <c r="H4016" i="1"/>
  <c r="H4017" i="1"/>
  <c r="H4018" i="1"/>
  <c r="H4019" i="1"/>
  <c r="H4020" i="1"/>
  <c r="H4021" i="1"/>
  <c r="H4022" i="1"/>
  <c r="H4023" i="1"/>
  <c r="H4024" i="1"/>
  <c r="H4025" i="1"/>
  <c r="H4026" i="1"/>
  <c r="H4027" i="1"/>
  <c r="H4028" i="1"/>
  <c r="H4029" i="1"/>
  <c r="H4030" i="1"/>
  <c r="H4031" i="1"/>
  <c r="H4032" i="1"/>
  <c r="H4033" i="1"/>
  <c r="H4034" i="1"/>
  <c r="H4035" i="1"/>
  <c r="H4036" i="1"/>
  <c r="H4037" i="1"/>
  <c r="H4038" i="1"/>
  <c r="H4039" i="1"/>
  <c r="H4040" i="1"/>
  <c r="H4041" i="1"/>
  <c r="H4042" i="1"/>
  <c r="H4043" i="1"/>
  <c r="H4044" i="1"/>
  <c r="H4045" i="1"/>
  <c r="H4046" i="1"/>
  <c r="H4047" i="1"/>
  <c r="H4048" i="1"/>
  <c r="H4049" i="1"/>
  <c r="H4050" i="1"/>
  <c r="H4051" i="1"/>
  <c r="H4052" i="1"/>
  <c r="H4053" i="1"/>
  <c r="H4054" i="1"/>
  <c r="H4055" i="1"/>
  <c r="H4056" i="1"/>
  <c r="H4057" i="1"/>
  <c r="H4058" i="1"/>
  <c r="H4059" i="1"/>
  <c r="H4060" i="1"/>
  <c r="H4061" i="1"/>
  <c r="H4062" i="1"/>
  <c r="H4063" i="1"/>
  <c r="H4064" i="1"/>
  <c r="H4065" i="1"/>
  <c r="H4066" i="1"/>
  <c r="H4067" i="1"/>
  <c r="H4068" i="1"/>
  <c r="H4069" i="1"/>
  <c r="H4070" i="1"/>
  <c r="H4071" i="1"/>
  <c r="H4072" i="1"/>
  <c r="H4073" i="1"/>
  <c r="H4074" i="1"/>
  <c r="H4075" i="1"/>
  <c r="H4076" i="1"/>
  <c r="H4077" i="1"/>
  <c r="H4078" i="1"/>
  <c r="H4079" i="1"/>
  <c r="H4080" i="1"/>
  <c r="H4081" i="1"/>
  <c r="H4082" i="1"/>
  <c r="H4083" i="1"/>
  <c r="H4084" i="1"/>
  <c r="H4085" i="1"/>
  <c r="H4086" i="1"/>
  <c r="H4087" i="1"/>
  <c r="H4088" i="1"/>
  <c r="H4089" i="1"/>
  <c r="H4090" i="1"/>
  <c r="H4091" i="1"/>
  <c r="H4092" i="1"/>
  <c r="H4093" i="1"/>
  <c r="H4094" i="1"/>
  <c r="H4095" i="1"/>
  <c r="H4096" i="1"/>
  <c r="H4097" i="1"/>
  <c r="H4098" i="1"/>
  <c r="H4099" i="1"/>
  <c r="H4100" i="1"/>
  <c r="H4101" i="1"/>
  <c r="H4102" i="1"/>
  <c r="H4103" i="1"/>
  <c r="H4104" i="1"/>
  <c r="H4105" i="1"/>
  <c r="H4106" i="1"/>
  <c r="H4107" i="1"/>
  <c r="H4108" i="1"/>
  <c r="H4109" i="1"/>
  <c r="H4110" i="1"/>
  <c r="H4111" i="1"/>
  <c r="H4112" i="1"/>
  <c r="H4113" i="1"/>
  <c r="H4114" i="1"/>
  <c r="H4115" i="1"/>
  <c r="H4116" i="1"/>
  <c r="H4117" i="1"/>
  <c r="H4118" i="1"/>
  <c r="J4006" i="1"/>
  <c r="J4007" i="1"/>
  <c r="J4008" i="1"/>
  <c r="J4009" i="1"/>
  <c r="J4010" i="1"/>
  <c r="J4011" i="1"/>
  <c r="J4012" i="1"/>
  <c r="J4013" i="1"/>
  <c r="J4014" i="1"/>
  <c r="J4015" i="1"/>
  <c r="J4016" i="1"/>
  <c r="J4017" i="1"/>
  <c r="J4018" i="1"/>
  <c r="J4019" i="1"/>
  <c r="J4020" i="1"/>
  <c r="J4021" i="1"/>
  <c r="J4022" i="1"/>
  <c r="J4023" i="1"/>
  <c r="J4024" i="1"/>
  <c r="J4025" i="1"/>
  <c r="J4026" i="1"/>
  <c r="J4027" i="1"/>
  <c r="J4028" i="1"/>
  <c r="J4029" i="1"/>
  <c r="J4030" i="1"/>
  <c r="J4031" i="1"/>
  <c r="J4032" i="1"/>
  <c r="J4033" i="1"/>
  <c r="J4034" i="1"/>
  <c r="J4035" i="1"/>
  <c r="J4036" i="1"/>
  <c r="J4037" i="1"/>
  <c r="J4038" i="1"/>
  <c r="J4039" i="1"/>
  <c r="J4040" i="1"/>
  <c r="J4041" i="1"/>
  <c r="J4042" i="1"/>
  <c r="J4043" i="1"/>
  <c r="J4044" i="1"/>
  <c r="J4045" i="1"/>
  <c r="J4046" i="1"/>
  <c r="J4047" i="1"/>
  <c r="J4048" i="1"/>
  <c r="J4049" i="1"/>
  <c r="J4050" i="1"/>
  <c r="J4051" i="1"/>
  <c r="J4052" i="1"/>
  <c r="J4053" i="1"/>
  <c r="J4054" i="1"/>
  <c r="J4055" i="1"/>
  <c r="J4056" i="1"/>
  <c r="J4057" i="1"/>
  <c r="J4058" i="1"/>
  <c r="J4059" i="1"/>
  <c r="J4060" i="1"/>
  <c r="J4061" i="1"/>
  <c r="J4062" i="1"/>
  <c r="J4063" i="1"/>
  <c r="J4064" i="1"/>
  <c r="J4065" i="1"/>
  <c r="J4066" i="1"/>
  <c r="J4067" i="1"/>
  <c r="J4068" i="1"/>
  <c r="J4069" i="1"/>
  <c r="J4070" i="1"/>
  <c r="J4071" i="1"/>
  <c r="J4072" i="1"/>
  <c r="J4073" i="1"/>
  <c r="J4074" i="1"/>
  <c r="J4075" i="1"/>
  <c r="J4076" i="1"/>
  <c r="J4077" i="1"/>
  <c r="J4078" i="1"/>
  <c r="J4079" i="1"/>
  <c r="J4080" i="1"/>
  <c r="J4081" i="1"/>
  <c r="J4082" i="1"/>
  <c r="J4083" i="1"/>
  <c r="J4084" i="1"/>
  <c r="J4085" i="1"/>
  <c r="J4086" i="1"/>
  <c r="J4087" i="1"/>
  <c r="J4088" i="1"/>
  <c r="J4089" i="1"/>
  <c r="J4090" i="1"/>
  <c r="J4091" i="1"/>
  <c r="J4092" i="1"/>
  <c r="J4093" i="1"/>
  <c r="J4094" i="1"/>
  <c r="J4095" i="1"/>
  <c r="J4096" i="1"/>
  <c r="J4097" i="1"/>
  <c r="J4098" i="1"/>
  <c r="J4099" i="1"/>
  <c r="J4100" i="1"/>
  <c r="J4101" i="1"/>
  <c r="J4102" i="1"/>
  <c r="J4103" i="1"/>
  <c r="J4104" i="1"/>
  <c r="J4105" i="1"/>
  <c r="J4106" i="1"/>
  <c r="J4107" i="1"/>
  <c r="J4108" i="1"/>
  <c r="J4109" i="1"/>
  <c r="J4110" i="1"/>
  <c r="J4111" i="1"/>
  <c r="J4112" i="1"/>
  <c r="J4113" i="1"/>
  <c r="J4114" i="1"/>
  <c r="J4115" i="1"/>
  <c r="J4116" i="1"/>
  <c r="J4117" i="1"/>
  <c r="J4118" i="1"/>
  <c r="Q4006" i="1"/>
  <c r="P4006" i="1" s="1"/>
  <c r="Q4007" i="1"/>
  <c r="P4007" i="1" s="1"/>
  <c r="Q4008" i="1"/>
  <c r="P4008" i="1" s="1"/>
  <c r="Q4009" i="1"/>
  <c r="P4009" i="1" s="1"/>
  <c r="Q4010" i="1"/>
  <c r="P4010" i="1" s="1"/>
  <c r="Q4011" i="1"/>
  <c r="P4011" i="1" s="1"/>
  <c r="Q4012" i="1"/>
  <c r="P4012" i="1" s="1"/>
  <c r="Q4013" i="1"/>
  <c r="P4013" i="1" s="1"/>
  <c r="Q4014" i="1"/>
  <c r="P4014" i="1" s="1"/>
  <c r="Q4015" i="1"/>
  <c r="P4015" i="1" s="1"/>
  <c r="Q4016" i="1"/>
  <c r="P4016" i="1" s="1"/>
  <c r="Q4017" i="1"/>
  <c r="P4017" i="1" s="1"/>
  <c r="Q4018" i="1"/>
  <c r="P4018" i="1" s="1"/>
  <c r="Q4019" i="1"/>
  <c r="P4019" i="1" s="1"/>
  <c r="Q4020" i="1"/>
  <c r="P4020" i="1" s="1"/>
  <c r="Q4021" i="1"/>
  <c r="P4021" i="1" s="1"/>
  <c r="Q4022" i="1"/>
  <c r="P4022" i="1" s="1"/>
  <c r="Q4023" i="1"/>
  <c r="P4023" i="1" s="1"/>
  <c r="Q4024" i="1"/>
  <c r="P4024" i="1" s="1"/>
  <c r="Q4025" i="1"/>
  <c r="P4025" i="1" s="1"/>
  <c r="Q4026" i="1"/>
  <c r="P4026" i="1" s="1"/>
  <c r="Q4027" i="1"/>
  <c r="P4027" i="1" s="1"/>
  <c r="Q4028" i="1"/>
  <c r="P4028" i="1" s="1"/>
  <c r="Q4029" i="1"/>
  <c r="P4029" i="1" s="1"/>
  <c r="Q4030" i="1"/>
  <c r="P4030" i="1" s="1"/>
  <c r="Q4031" i="1"/>
  <c r="P4031" i="1" s="1"/>
  <c r="Q4032" i="1"/>
  <c r="P4032" i="1" s="1"/>
  <c r="Q4033" i="1"/>
  <c r="P4033" i="1" s="1"/>
  <c r="Q4034" i="1"/>
  <c r="P4034" i="1" s="1"/>
  <c r="Q4035" i="1"/>
  <c r="P4035" i="1" s="1"/>
  <c r="Q4036" i="1"/>
  <c r="P4036" i="1" s="1"/>
  <c r="Q4037" i="1"/>
  <c r="P4037" i="1" s="1"/>
  <c r="Q4038" i="1"/>
  <c r="P4038" i="1" s="1"/>
  <c r="Q4039" i="1"/>
  <c r="P4039" i="1" s="1"/>
  <c r="Q4040" i="1"/>
  <c r="P4040" i="1" s="1"/>
  <c r="Q4041" i="1"/>
  <c r="P4041" i="1" s="1"/>
  <c r="Q4042" i="1"/>
  <c r="P4042" i="1" s="1"/>
  <c r="Q4043" i="1"/>
  <c r="P4043" i="1" s="1"/>
  <c r="Q4044" i="1"/>
  <c r="P4044" i="1" s="1"/>
  <c r="Q4045" i="1"/>
  <c r="P4045" i="1" s="1"/>
  <c r="Q4046" i="1"/>
  <c r="P4046" i="1" s="1"/>
  <c r="Q4047" i="1"/>
  <c r="P4047" i="1" s="1"/>
  <c r="Q4048" i="1"/>
  <c r="P4048" i="1" s="1"/>
  <c r="Q4049" i="1"/>
  <c r="P4049" i="1" s="1"/>
  <c r="Q4050" i="1"/>
  <c r="P4050" i="1" s="1"/>
  <c r="Q4051" i="1"/>
  <c r="P4051" i="1" s="1"/>
  <c r="Q4052" i="1"/>
  <c r="P4052" i="1" s="1"/>
  <c r="Q4053" i="1"/>
  <c r="P4053" i="1" s="1"/>
  <c r="Q4054" i="1"/>
  <c r="P4054" i="1" s="1"/>
  <c r="Q4055" i="1"/>
  <c r="P4055" i="1" s="1"/>
  <c r="Q4056" i="1"/>
  <c r="P4056" i="1" s="1"/>
  <c r="Q4057" i="1"/>
  <c r="P4057" i="1" s="1"/>
  <c r="Q4058" i="1"/>
  <c r="P4058" i="1" s="1"/>
  <c r="Q4059" i="1"/>
  <c r="P4059" i="1" s="1"/>
  <c r="Q4060" i="1"/>
  <c r="P4060" i="1" s="1"/>
  <c r="Q4061" i="1"/>
  <c r="P4061" i="1" s="1"/>
  <c r="Q4062" i="1"/>
  <c r="P4062" i="1" s="1"/>
  <c r="Q4063" i="1"/>
  <c r="P4063" i="1" s="1"/>
  <c r="Q4064" i="1"/>
  <c r="P4064" i="1" s="1"/>
  <c r="Q4065" i="1"/>
  <c r="P4065" i="1" s="1"/>
  <c r="Q4066" i="1"/>
  <c r="P4066" i="1" s="1"/>
  <c r="Q4067" i="1"/>
  <c r="P4067" i="1" s="1"/>
  <c r="Q4068" i="1"/>
  <c r="P4068" i="1" s="1"/>
  <c r="Q4069" i="1"/>
  <c r="P4069" i="1" s="1"/>
  <c r="Q4070" i="1"/>
  <c r="P4070" i="1" s="1"/>
  <c r="Q4071" i="1"/>
  <c r="P4071" i="1" s="1"/>
  <c r="Q4072" i="1"/>
  <c r="P4072" i="1" s="1"/>
  <c r="Q4073" i="1"/>
  <c r="P4073" i="1" s="1"/>
  <c r="Q4074" i="1"/>
  <c r="P4074" i="1" s="1"/>
  <c r="Q4075" i="1"/>
  <c r="P4075" i="1" s="1"/>
  <c r="Q4076" i="1"/>
  <c r="P4076" i="1" s="1"/>
  <c r="Q4077" i="1"/>
  <c r="P4077" i="1" s="1"/>
  <c r="Q4078" i="1"/>
  <c r="P4078" i="1" s="1"/>
  <c r="Q4079" i="1"/>
  <c r="P4079" i="1" s="1"/>
  <c r="Q4080" i="1"/>
  <c r="P4080" i="1" s="1"/>
  <c r="Q4081" i="1"/>
  <c r="P4081" i="1" s="1"/>
  <c r="Q4082" i="1"/>
  <c r="P4082" i="1" s="1"/>
  <c r="Q4083" i="1"/>
  <c r="P4083" i="1" s="1"/>
  <c r="Q4084" i="1"/>
  <c r="P4084" i="1" s="1"/>
  <c r="Q4085" i="1"/>
  <c r="P4085" i="1" s="1"/>
  <c r="Q4086" i="1"/>
  <c r="P4086" i="1" s="1"/>
  <c r="Q4087" i="1"/>
  <c r="P4087" i="1" s="1"/>
  <c r="Q4088" i="1"/>
  <c r="P4088" i="1" s="1"/>
  <c r="Q4089" i="1"/>
  <c r="P4089" i="1" s="1"/>
  <c r="Q4090" i="1"/>
  <c r="P4090" i="1" s="1"/>
  <c r="Q4091" i="1"/>
  <c r="P4091" i="1" s="1"/>
  <c r="Q4092" i="1"/>
  <c r="P4092" i="1" s="1"/>
  <c r="Q4093" i="1"/>
  <c r="P4093" i="1" s="1"/>
  <c r="Q4094" i="1"/>
  <c r="P4094" i="1" s="1"/>
  <c r="Q4095" i="1"/>
  <c r="P4095" i="1" s="1"/>
  <c r="Q4096" i="1"/>
  <c r="P4096" i="1" s="1"/>
  <c r="Q4097" i="1"/>
  <c r="P4097" i="1" s="1"/>
  <c r="Q4098" i="1"/>
  <c r="P4098" i="1" s="1"/>
  <c r="Q4099" i="1"/>
  <c r="P4099" i="1" s="1"/>
  <c r="Q4100" i="1"/>
  <c r="P4100" i="1" s="1"/>
  <c r="Q4101" i="1"/>
  <c r="P4101" i="1" s="1"/>
  <c r="Q4102" i="1"/>
  <c r="P4102" i="1" s="1"/>
  <c r="Q4103" i="1"/>
  <c r="P4103" i="1" s="1"/>
  <c r="Q4104" i="1"/>
  <c r="P4104" i="1" s="1"/>
  <c r="Q4105" i="1"/>
  <c r="P4105" i="1" s="1"/>
  <c r="Q4106" i="1"/>
  <c r="P4106" i="1" s="1"/>
  <c r="Q4107" i="1"/>
  <c r="P4107" i="1" s="1"/>
  <c r="Q4108" i="1"/>
  <c r="P4108" i="1" s="1"/>
  <c r="Q4109" i="1"/>
  <c r="P4109" i="1" s="1"/>
  <c r="Q4110" i="1"/>
  <c r="P4110" i="1" s="1"/>
  <c r="Q4111" i="1"/>
  <c r="P4111" i="1" s="1"/>
  <c r="Q4112" i="1"/>
  <c r="P4112" i="1" s="1"/>
  <c r="Q4113" i="1"/>
  <c r="P4113" i="1" s="1"/>
  <c r="Q4114" i="1"/>
  <c r="P4114" i="1" s="1"/>
  <c r="Q4115" i="1"/>
  <c r="P4115" i="1" s="1"/>
  <c r="Q4116" i="1"/>
  <c r="P4116" i="1" s="1"/>
  <c r="Q4117" i="1"/>
  <c r="P4117" i="1" s="1"/>
  <c r="Q4118" i="1"/>
  <c r="P4118" i="1" s="1"/>
  <c r="H4005" i="1"/>
  <c r="J4005" i="1"/>
  <c r="Q4005" i="1"/>
  <c r="P4005" i="1" s="1"/>
  <c r="H3988" i="1"/>
  <c r="H3989" i="1"/>
  <c r="H3990" i="1"/>
  <c r="H3991" i="1"/>
  <c r="H3992" i="1"/>
  <c r="H3993" i="1"/>
  <c r="H3994" i="1"/>
  <c r="H3995" i="1"/>
  <c r="H3996" i="1"/>
  <c r="H3997" i="1"/>
  <c r="H3998" i="1"/>
  <c r="H3999" i="1"/>
  <c r="H4000" i="1"/>
  <c r="H4001" i="1"/>
  <c r="H4002" i="1"/>
  <c r="H4003" i="1"/>
  <c r="H4004" i="1"/>
  <c r="J3988" i="1"/>
  <c r="J3989" i="1"/>
  <c r="J3990" i="1"/>
  <c r="J3991" i="1"/>
  <c r="J3992" i="1"/>
  <c r="J3993" i="1"/>
  <c r="J3994" i="1"/>
  <c r="J3995" i="1"/>
  <c r="J3996" i="1"/>
  <c r="J3997" i="1"/>
  <c r="J3998" i="1"/>
  <c r="J3999" i="1"/>
  <c r="J4000" i="1"/>
  <c r="J4001" i="1"/>
  <c r="J4002" i="1"/>
  <c r="J4003" i="1"/>
  <c r="J4004" i="1"/>
  <c r="Q3988" i="1"/>
  <c r="P3988" i="1" s="1"/>
  <c r="Q3989" i="1"/>
  <c r="P3989" i="1" s="1"/>
  <c r="Q3990" i="1"/>
  <c r="P3990" i="1" s="1"/>
  <c r="Q3991" i="1"/>
  <c r="P3991" i="1" s="1"/>
  <c r="Q3992" i="1"/>
  <c r="P3992" i="1" s="1"/>
  <c r="Q3993" i="1"/>
  <c r="P3993" i="1" s="1"/>
  <c r="Q3994" i="1"/>
  <c r="P3994" i="1" s="1"/>
  <c r="Q3995" i="1"/>
  <c r="P3995" i="1" s="1"/>
  <c r="Q3996" i="1"/>
  <c r="P3996" i="1" s="1"/>
  <c r="Q3997" i="1"/>
  <c r="P3997" i="1" s="1"/>
  <c r="Q3998" i="1"/>
  <c r="P3998" i="1" s="1"/>
  <c r="Q3999" i="1"/>
  <c r="P3999" i="1" s="1"/>
  <c r="Q4000" i="1"/>
  <c r="P4000" i="1" s="1"/>
  <c r="Q4001" i="1"/>
  <c r="P4001" i="1" s="1"/>
  <c r="Q4002" i="1"/>
  <c r="P4002" i="1" s="1"/>
  <c r="Q4003" i="1"/>
  <c r="P4003" i="1" s="1"/>
  <c r="Q4004" i="1"/>
  <c r="P4004" i="1" s="1"/>
  <c r="H3987" i="1"/>
  <c r="J3987" i="1"/>
  <c r="Q3987" i="1"/>
  <c r="P3987" i="1" s="1"/>
  <c r="J3981" i="1"/>
  <c r="J3980" i="1"/>
  <c r="J3977" i="1"/>
  <c r="J3976" i="1"/>
  <c r="J3975" i="1"/>
  <c r="J3974" i="1"/>
  <c r="J3973" i="1"/>
  <c r="J3971" i="1"/>
  <c r="J3965" i="1"/>
  <c r="J3964" i="1"/>
  <c r="J3962" i="1"/>
  <c r="J3961" i="1"/>
  <c r="J3960" i="1"/>
  <c r="J3959" i="1"/>
  <c r="J3958" i="1"/>
  <c r="J3957" i="1"/>
  <c r="J3955" i="1"/>
  <c r="J3948" i="1"/>
  <c r="J3946" i="1"/>
  <c r="J3944" i="1"/>
  <c r="H3949" i="1"/>
  <c r="H3950" i="1"/>
  <c r="H3951" i="1"/>
  <c r="H3952" i="1"/>
  <c r="H3953" i="1"/>
  <c r="H3954" i="1"/>
  <c r="H3955" i="1"/>
  <c r="H3956" i="1"/>
  <c r="H3957" i="1"/>
  <c r="H3958" i="1"/>
  <c r="H3959" i="1"/>
  <c r="H3960" i="1"/>
  <c r="H3961" i="1"/>
  <c r="H3962" i="1"/>
  <c r="H3963" i="1"/>
  <c r="H3964" i="1"/>
  <c r="H3965" i="1"/>
  <c r="H3966" i="1"/>
  <c r="H3967" i="1"/>
  <c r="H3968" i="1"/>
  <c r="H3969" i="1"/>
  <c r="H3970" i="1"/>
  <c r="H3971" i="1"/>
  <c r="H3972" i="1"/>
  <c r="H3973" i="1"/>
  <c r="H3974" i="1"/>
  <c r="H3975" i="1"/>
  <c r="H3976" i="1"/>
  <c r="H3977" i="1"/>
  <c r="H3978" i="1"/>
  <c r="H3979" i="1"/>
  <c r="H3980" i="1"/>
  <c r="H3981" i="1"/>
  <c r="H3982" i="1"/>
  <c r="H3983" i="1"/>
  <c r="H3984" i="1"/>
  <c r="H3985" i="1"/>
  <c r="H3986" i="1"/>
  <c r="J3949" i="1"/>
  <c r="J3950" i="1"/>
  <c r="J3951" i="1"/>
  <c r="J3952" i="1"/>
  <c r="J3953" i="1"/>
  <c r="J3954" i="1"/>
  <c r="J3956" i="1"/>
  <c r="J3963" i="1"/>
  <c r="J3966" i="1"/>
  <c r="J3967" i="1"/>
  <c r="J3968" i="1"/>
  <c r="J3969" i="1"/>
  <c r="J3970" i="1"/>
  <c r="J3972" i="1"/>
  <c r="J3978" i="1"/>
  <c r="J3979" i="1"/>
  <c r="J3982" i="1"/>
  <c r="J3983" i="1"/>
  <c r="J3984" i="1"/>
  <c r="J3985" i="1"/>
  <c r="J3986" i="1"/>
  <c r="Q3949" i="1"/>
  <c r="P3949" i="1" s="1"/>
  <c r="Q3950" i="1"/>
  <c r="P3950" i="1" s="1"/>
  <c r="Q3951" i="1"/>
  <c r="P3951" i="1" s="1"/>
  <c r="Q3952" i="1"/>
  <c r="P3952" i="1" s="1"/>
  <c r="Q3953" i="1"/>
  <c r="P3953" i="1" s="1"/>
  <c r="Q3954" i="1"/>
  <c r="P3954" i="1" s="1"/>
  <c r="Q3955" i="1"/>
  <c r="P3955" i="1" s="1"/>
  <c r="Q3956" i="1"/>
  <c r="P3956" i="1" s="1"/>
  <c r="Q3957" i="1"/>
  <c r="P3957" i="1" s="1"/>
  <c r="Q3958" i="1"/>
  <c r="P3958" i="1" s="1"/>
  <c r="Q3959" i="1"/>
  <c r="P3959" i="1" s="1"/>
  <c r="Q3960" i="1"/>
  <c r="P3960" i="1" s="1"/>
  <c r="Q3961" i="1"/>
  <c r="P3961" i="1" s="1"/>
  <c r="Q3962" i="1"/>
  <c r="P3962" i="1" s="1"/>
  <c r="Q3963" i="1"/>
  <c r="P3963" i="1" s="1"/>
  <c r="Q3964" i="1"/>
  <c r="P3964" i="1" s="1"/>
  <c r="Q3965" i="1"/>
  <c r="P3965" i="1" s="1"/>
  <c r="Q3966" i="1"/>
  <c r="P3966" i="1" s="1"/>
  <c r="Q3967" i="1"/>
  <c r="P3967" i="1" s="1"/>
  <c r="Q3968" i="1"/>
  <c r="P3968" i="1" s="1"/>
  <c r="Q3969" i="1"/>
  <c r="P3969" i="1" s="1"/>
  <c r="Q3970" i="1"/>
  <c r="P3970" i="1" s="1"/>
  <c r="Q3971" i="1"/>
  <c r="P3971" i="1" s="1"/>
  <c r="Q3972" i="1"/>
  <c r="P3972" i="1" s="1"/>
  <c r="Q3973" i="1"/>
  <c r="P3973" i="1" s="1"/>
  <c r="Q3974" i="1"/>
  <c r="P3974" i="1" s="1"/>
  <c r="Q3975" i="1"/>
  <c r="P3975" i="1" s="1"/>
  <c r="Q3976" i="1"/>
  <c r="P3976" i="1" s="1"/>
  <c r="Q3977" i="1"/>
  <c r="P3977" i="1" s="1"/>
  <c r="Q3978" i="1"/>
  <c r="P3978" i="1" s="1"/>
  <c r="Q3979" i="1"/>
  <c r="P3979" i="1" s="1"/>
  <c r="Q3980" i="1"/>
  <c r="P3980" i="1" s="1"/>
  <c r="Q3981" i="1"/>
  <c r="P3981" i="1" s="1"/>
  <c r="Q3982" i="1"/>
  <c r="P3982" i="1" s="1"/>
  <c r="Q3983" i="1"/>
  <c r="P3983" i="1" s="1"/>
  <c r="Q3984" i="1"/>
  <c r="P3984" i="1" s="1"/>
  <c r="Q3985" i="1"/>
  <c r="P3985" i="1" s="1"/>
  <c r="Q3986" i="1"/>
  <c r="P3986" i="1" s="1"/>
  <c r="H3948" i="1"/>
  <c r="Q3948" i="1"/>
  <c r="P3948" i="1" s="1"/>
  <c r="H3947" i="1"/>
  <c r="J3947" i="1"/>
  <c r="Q3947" i="1"/>
  <c r="P3947" i="1" s="1"/>
  <c r="C2" i="2"/>
  <c r="B4" i="1" s="1"/>
  <c r="J3945" i="1"/>
  <c r="J3942" i="1"/>
  <c r="J3941" i="1"/>
  <c r="J3940" i="1"/>
  <c r="J3939" i="1"/>
  <c r="J3938" i="1"/>
  <c r="J3937" i="1"/>
  <c r="J3936" i="1"/>
  <c r="J3935" i="1"/>
  <c r="J3934" i="1"/>
  <c r="J3933" i="1"/>
  <c r="J3932" i="1"/>
  <c r="J3826" i="1"/>
  <c r="J3931" i="1"/>
  <c r="J3929" i="1"/>
  <c r="J3927" i="1"/>
  <c r="J3926" i="1"/>
  <c r="J3925" i="1"/>
  <c r="J3924" i="1"/>
  <c r="J3923" i="1"/>
  <c r="J3922" i="1"/>
  <c r="J3921" i="1"/>
  <c r="J3920" i="1"/>
  <c r="J3919" i="1"/>
  <c r="J3918" i="1"/>
  <c r="J3917" i="1"/>
  <c r="J3916" i="1"/>
  <c r="J3915" i="1"/>
  <c r="J3914" i="1"/>
  <c r="J3913" i="1"/>
  <c r="J3912" i="1"/>
  <c r="J3911" i="1"/>
  <c r="J3910" i="1"/>
  <c r="J3909" i="1"/>
  <c r="J3908" i="1"/>
  <c r="J3907" i="1"/>
  <c r="J3906" i="1"/>
  <c r="J3905" i="1"/>
  <c r="J3904" i="1"/>
  <c r="J3903" i="1"/>
  <c r="J3902" i="1"/>
  <c r="J3901" i="1"/>
  <c r="J3900" i="1"/>
  <c r="J3899" i="1"/>
  <c r="J3898" i="1"/>
  <c r="J3897" i="1"/>
  <c r="J3896" i="1"/>
  <c r="J3895" i="1"/>
  <c r="J3894" i="1"/>
  <c r="J3893" i="1"/>
  <c r="J3892" i="1"/>
  <c r="J3891" i="1"/>
  <c r="J3890" i="1"/>
  <c r="J3889" i="1"/>
  <c r="J3888" i="1"/>
  <c r="J3887" i="1"/>
  <c r="J3886" i="1"/>
  <c r="J3885" i="1"/>
  <c r="J3884" i="1"/>
  <c r="J3883" i="1"/>
  <c r="J3882" i="1"/>
  <c r="J3881" i="1"/>
  <c r="J3880" i="1"/>
  <c r="J3879" i="1"/>
  <c r="J3878" i="1"/>
  <c r="J3877" i="1"/>
  <c r="J3876" i="1"/>
  <c r="J3875" i="1"/>
  <c r="J3874" i="1"/>
  <c r="J3873" i="1"/>
  <c r="J3872" i="1"/>
  <c r="J3871" i="1"/>
  <c r="J3870" i="1"/>
  <c r="J3869" i="1"/>
  <c r="J3868" i="1"/>
  <c r="J3867" i="1"/>
  <c r="J3866" i="1"/>
  <c r="J3865" i="1"/>
  <c r="J3864" i="1"/>
  <c r="J3863" i="1"/>
  <c r="J3862" i="1"/>
  <c r="J3861" i="1"/>
  <c r="J3860" i="1"/>
  <c r="J3859" i="1"/>
  <c r="J3858" i="1"/>
  <c r="J3857" i="1"/>
  <c r="J3856" i="1"/>
  <c r="J3855" i="1"/>
  <c r="J3854" i="1"/>
  <c r="J3853" i="1"/>
  <c r="J3852" i="1"/>
  <c r="J3851" i="1"/>
  <c r="J3850" i="1"/>
  <c r="J3849" i="1"/>
  <c r="J3848" i="1"/>
  <c r="J3847" i="1"/>
  <c r="J3846" i="1"/>
  <c r="J3845" i="1"/>
  <c r="J3844" i="1"/>
  <c r="J3843" i="1"/>
  <c r="J3842" i="1"/>
  <c r="J3841" i="1"/>
  <c r="J3840" i="1"/>
  <c r="J3839" i="1"/>
  <c r="J3838" i="1"/>
  <c r="J3837" i="1"/>
  <c r="J3836" i="1"/>
  <c r="J3835" i="1"/>
  <c r="J3834" i="1"/>
  <c r="J3833" i="1"/>
  <c r="J3832" i="1"/>
  <c r="J3831" i="1"/>
  <c r="J3830" i="1"/>
  <c r="J3829" i="1"/>
  <c r="J3828" i="1"/>
  <c r="J3825" i="1"/>
  <c r="J3824" i="1"/>
  <c r="J3823" i="1"/>
  <c r="J3822" i="1"/>
  <c r="J3821" i="1"/>
  <c r="J3820" i="1"/>
  <c r="J3819" i="1"/>
  <c r="J3818" i="1"/>
  <c r="J3815" i="1"/>
  <c r="J3814" i="1"/>
  <c r="J3812" i="1"/>
  <c r="J3811" i="1"/>
  <c r="J3810" i="1"/>
  <c r="J3809" i="1"/>
  <c r="J3808" i="1"/>
  <c r="J3807" i="1"/>
  <c r="J3806" i="1"/>
  <c r="J3805" i="1"/>
  <c r="J3804" i="1"/>
  <c r="J3803" i="1"/>
  <c r="J3802" i="1"/>
  <c r="J3801" i="1"/>
  <c r="J3798" i="1"/>
  <c r="J3796" i="1"/>
  <c r="J3795" i="1"/>
  <c r="J3794" i="1"/>
  <c r="J3793" i="1"/>
  <c r="J3792" i="1"/>
  <c r="J3791" i="1"/>
  <c r="J3790" i="1"/>
  <c r="J3789" i="1"/>
  <c r="J3788" i="1"/>
  <c r="J3787" i="1"/>
  <c r="J3786" i="1"/>
  <c r="J3785" i="1"/>
  <c r="J3783" i="1"/>
  <c r="J3782" i="1"/>
  <c r="J3780" i="1"/>
  <c r="J3779" i="1"/>
  <c r="J3778" i="1"/>
  <c r="J3777" i="1"/>
  <c r="J3776" i="1"/>
  <c r="J3775" i="1"/>
  <c r="J3774" i="1"/>
  <c r="J3773" i="1"/>
  <c r="J3772" i="1"/>
  <c r="J3771" i="1"/>
  <c r="J3770" i="1"/>
  <c r="J3769" i="1"/>
  <c r="J3767" i="1"/>
  <c r="J3766" i="1"/>
  <c r="J3764" i="1"/>
  <c r="J3763" i="1"/>
  <c r="J3762" i="1"/>
  <c r="J3761" i="1"/>
  <c r="J3760" i="1"/>
  <c r="J3759" i="1"/>
  <c r="J3758" i="1"/>
  <c r="J3757" i="1"/>
  <c r="J3756" i="1"/>
  <c r="J3755" i="1"/>
  <c r="J3754" i="1"/>
  <c r="J3753" i="1"/>
  <c r="J3751" i="1"/>
  <c r="J3750" i="1"/>
  <c r="J3748" i="1"/>
  <c r="J3747" i="1"/>
  <c r="J3746" i="1"/>
  <c r="J3745" i="1"/>
  <c r="J3744" i="1"/>
  <c r="J3743" i="1"/>
  <c r="J3742" i="1"/>
  <c r="J3741" i="1"/>
  <c r="J3740" i="1"/>
  <c r="J3739" i="1"/>
  <c r="J3738" i="1"/>
  <c r="J3737" i="1"/>
  <c r="J3735" i="1"/>
  <c r="J3734" i="1"/>
  <c r="J3730" i="1"/>
  <c r="J3729" i="1"/>
  <c r="J3728" i="1"/>
  <c r="J3727" i="1"/>
  <c r="J3726" i="1"/>
  <c r="J3725" i="1"/>
  <c r="J3724" i="1"/>
  <c r="J3723" i="1"/>
  <c r="J3722" i="1"/>
  <c r="J3721" i="1"/>
  <c r="J3720" i="1"/>
  <c r="J3719" i="1"/>
  <c r="J3717" i="1"/>
  <c r="J3716" i="1"/>
  <c r="J3715" i="1"/>
  <c r="J3714" i="1"/>
  <c r="J3713" i="1"/>
  <c r="J3712" i="1"/>
  <c r="J3711" i="1"/>
  <c r="J3710" i="1"/>
  <c r="J3709" i="1"/>
  <c r="J3708" i="1"/>
  <c r="J3707" i="1"/>
  <c r="J3706" i="1"/>
  <c r="J3705" i="1"/>
  <c r="J3704" i="1"/>
  <c r="J3703" i="1"/>
  <c r="J3701" i="1"/>
  <c r="J3700" i="1"/>
  <c r="J3699" i="1"/>
  <c r="J3698" i="1"/>
  <c r="J3697" i="1"/>
  <c r="J3696" i="1"/>
  <c r="J3695" i="1"/>
  <c r="J3694" i="1"/>
  <c r="J3693" i="1"/>
  <c r="J3690" i="1"/>
  <c r="H3945" i="1"/>
  <c r="H3946" i="1"/>
  <c r="Q3945" i="1"/>
  <c r="P3945" i="1" s="1"/>
  <c r="Q3946" i="1"/>
  <c r="P3946" i="1" s="1"/>
  <c r="H3944" i="1"/>
  <c r="Q3944" i="1"/>
  <c r="P3944" i="1" s="1"/>
  <c r="H3937" i="1"/>
  <c r="H3938" i="1"/>
  <c r="H3939" i="1"/>
  <c r="H3940" i="1"/>
  <c r="H3941" i="1"/>
  <c r="H3942" i="1"/>
  <c r="H3943" i="1"/>
  <c r="J3943" i="1"/>
  <c r="Q3937" i="1"/>
  <c r="P3937" i="1" s="1"/>
  <c r="Q3938" i="1"/>
  <c r="P3938" i="1" s="1"/>
  <c r="Q3939" i="1"/>
  <c r="P3939" i="1" s="1"/>
  <c r="Q3940" i="1"/>
  <c r="P3940" i="1" s="1"/>
  <c r="Q3941" i="1"/>
  <c r="P3941" i="1" s="1"/>
  <c r="Q3942" i="1"/>
  <c r="P3942" i="1" s="1"/>
  <c r="Q3943" i="1"/>
  <c r="P3943" i="1" s="1"/>
  <c r="H3932" i="1"/>
  <c r="H3933" i="1"/>
  <c r="H3934" i="1"/>
  <c r="H3935" i="1"/>
  <c r="H3936" i="1"/>
  <c r="Q3932" i="1"/>
  <c r="P3932" i="1" s="1"/>
  <c r="Q3933" i="1"/>
  <c r="P3933" i="1" s="1"/>
  <c r="Q3934" i="1"/>
  <c r="P3934" i="1" s="1"/>
  <c r="Q3935" i="1"/>
  <c r="P3935" i="1" s="1"/>
  <c r="Q3936" i="1"/>
  <c r="P3936" i="1" s="1"/>
  <c r="H3818" i="1"/>
  <c r="H3819" i="1"/>
  <c r="H3820" i="1"/>
  <c r="H3821" i="1"/>
  <c r="H3822" i="1"/>
  <c r="H3823" i="1"/>
  <c r="H3824" i="1"/>
  <c r="H3825" i="1"/>
  <c r="H3826" i="1"/>
  <c r="H3827" i="1"/>
  <c r="H3828" i="1"/>
  <c r="H3829" i="1"/>
  <c r="H3830" i="1"/>
  <c r="H3831" i="1"/>
  <c r="H3832" i="1"/>
  <c r="H3833" i="1"/>
  <c r="H3834" i="1"/>
  <c r="H3835" i="1"/>
  <c r="H3836" i="1"/>
  <c r="H3837" i="1"/>
  <c r="H3838" i="1"/>
  <c r="H3839" i="1"/>
  <c r="H3840" i="1"/>
  <c r="H3841" i="1"/>
  <c r="H3842" i="1"/>
  <c r="H3843" i="1"/>
  <c r="H3844" i="1"/>
  <c r="H3845" i="1"/>
  <c r="H3846" i="1"/>
  <c r="H3847" i="1"/>
  <c r="H3848" i="1"/>
  <c r="H3849" i="1"/>
  <c r="H3850" i="1"/>
  <c r="H3851" i="1"/>
  <c r="H3852" i="1"/>
  <c r="H3853" i="1"/>
  <c r="H3854" i="1"/>
  <c r="H3855" i="1"/>
  <c r="H3856" i="1"/>
  <c r="H3857" i="1"/>
  <c r="H3858" i="1"/>
  <c r="H3859" i="1"/>
  <c r="H3860" i="1"/>
  <c r="H3861" i="1"/>
  <c r="H3862" i="1"/>
  <c r="H3863" i="1"/>
  <c r="H3864" i="1"/>
  <c r="H3865" i="1"/>
  <c r="H3866" i="1"/>
  <c r="H3867" i="1"/>
  <c r="H3868" i="1"/>
  <c r="H3869" i="1"/>
  <c r="H3870" i="1"/>
  <c r="H3871" i="1"/>
  <c r="H3872" i="1"/>
  <c r="H3873" i="1"/>
  <c r="H3874" i="1"/>
  <c r="H3875" i="1"/>
  <c r="H3876" i="1"/>
  <c r="H3877" i="1"/>
  <c r="H3878" i="1"/>
  <c r="H3879" i="1"/>
  <c r="H3880" i="1"/>
  <c r="H3881" i="1"/>
  <c r="H3882" i="1"/>
  <c r="H3883" i="1"/>
  <c r="H3884" i="1"/>
  <c r="H3885" i="1"/>
  <c r="H3886" i="1"/>
  <c r="H3887" i="1"/>
  <c r="H3888" i="1"/>
  <c r="H3889" i="1"/>
  <c r="H3890" i="1"/>
  <c r="H3891" i="1"/>
  <c r="H3892" i="1"/>
  <c r="H3893" i="1"/>
  <c r="H3894" i="1"/>
  <c r="H3895" i="1"/>
  <c r="H3896" i="1"/>
  <c r="H3897" i="1"/>
  <c r="H3898" i="1"/>
  <c r="H3899" i="1"/>
  <c r="H3900" i="1"/>
  <c r="H3901" i="1"/>
  <c r="H3902" i="1"/>
  <c r="H3903" i="1"/>
  <c r="H3904" i="1"/>
  <c r="H3905" i="1"/>
  <c r="H3906" i="1"/>
  <c r="H3907" i="1"/>
  <c r="H3908" i="1"/>
  <c r="H3909" i="1"/>
  <c r="H3910" i="1"/>
  <c r="H3911" i="1"/>
  <c r="H3912" i="1"/>
  <c r="H3913" i="1"/>
  <c r="H3914" i="1"/>
  <c r="H3915" i="1"/>
  <c r="H3916" i="1"/>
  <c r="H3917" i="1"/>
  <c r="H3918" i="1"/>
  <c r="H3919" i="1"/>
  <c r="H3920" i="1"/>
  <c r="H3921" i="1"/>
  <c r="H3922" i="1"/>
  <c r="H3923" i="1"/>
  <c r="H3924" i="1"/>
  <c r="H3925" i="1"/>
  <c r="H3926" i="1"/>
  <c r="H3927" i="1"/>
  <c r="H3928" i="1"/>
  <c r="H3929" i="1"/>
  <c r="H3930" i="1"/>
  <c r="H3931" i="1"/>
  <c r="J3827" i="1"/>
  <c r="J3928" i="1"/>
  <c r="J3930" i="1"/>
  <c r="Q3818" i="1"/>
  <c r="P3818" i="1" s="1"/>
  <c r="Q3819" i="1"/>
  <c r="P3819" i="1" s="1"/>
  <c r="Q3820" i="1"/>
  <c r="P3820" i="1" s="1"/>
  <c r="Q3821" i="1"/>
  <c r="P3821" i="1" s="1"/>
  <c r="Q3822" i="1"/>
  <c r="P3822" i="1" s="1"/>
  <c r="Q3823" i="1"/>
  <c r="P3823" i="1" s="1"/>
  <c r="Q3824" i="1"/>
  <c r="P3824" i="1" s="1"/>
  <c r="Q3825" i="1"/>
  <c r="P3825" i="1" s="1"/>
  <c r="Q3826" i="1"/>
  <c r="P3826" i="1" s="1"/>
  <c r="Q3827" i="1"/>
  <c r="P3827" i="1" s="1"/>
  <c r="Q3828" i="1"/>
  <c r="P3828" i="1" s="1"/>
  <c r="Q3829" i="1"/>
  <c r="P3829" i="1" s="1"/>
  <c r="Q3830" i="1"/>
  <c r="P3830" i="1" s="1"/>
  <c r="Q3831" i="1"/>
  <c r="P3831" i="1" s="1"/>
  <c r="Q3832" i="1"/>
  <c r="P3832" i="1" s="1"/>
  <c r="Q3833" i="1"/>
  <c r="P3833" i="1" s="1"/>
  <c r="Q3834" i="1"/>
  <c r="P3834" i="1" s="1"/>
  <c r="Q3835" i="1"/>
  <c r="P3835" i="1" s="1"/>
  <c r="Q3836" i="1"/>
  <c r="P3836" i="1" s="1"/>
  <c r="Q3837" i="1"/>
  <c r="P3837" i="1" s="1"/>
  <c r="Q3838" i="1"/>
  <c r="P3838" i="1" s="1"/>
  <c r="Q3839" i="1"/>
  <c r="P3839" i="1" s="1"/>
  <c r="Q3840" i="1"/>
  <c r="P3840" i="1" s="1"/>
  <c r="Q3841" i="1"/>
  <c r="P3841" i="1" s="1"/>
  <c r="Q3842" i="1"/>
  <c r="P3842" i="1" s="1"/>
  <c r="Q3843" i="1"/>
  <c r="P3843" i="1" s="1"/>
  <c r="Q3844" i="1"/>
  <c r="P3844" i="1" s="1"/>
  <c r="Q3845" i="1"/>
  <c r="P3845" i="1" s="1"/>
  <c r="Q3846" i="1"/>
  <c r="P3846" i="1" s="1"/>
  <c r="Q3847" i="1"/>
  <c r="P3847" i="1" s="1"/>
  <c r="Q3848" i="1"/>
  <c r="P3848" i="1" s="1"/>
  <c r="Q3849" i="1"/>
  <c r="P3849" i="1" s="1"/>
  <c r="Q3850" i="1"/>
  <c r="P3850" i="1" s="1"/>
  <c r="Q3851" i="1"/>
  <c r="P3851" i="1" s="1"/>
  <c r="Q3852" i="1"/>
  <c r="P3852" i="1" s="1"/>
  <c r="Q3853" i="1"/>
  <c r="P3853" i="1" s="1"/>
  <c r="Q3854" i="1"/>
  <c r="P3854" i="1" s="1"/>
  <c r="Q3855" i="1"/>
  <c r="P3855" i="1" s="1"/>
  <c r="Q3856" i="1"/>
  <c r="P3856" i="1" s="1"/>
  <c r="Q3857" i="1"/>
  <c r="P3857" i="1" s="1"/>
  <c r="Q3858" i="1"/>
  <c r="P3858" i="1" s="1"/>
  <c r="Q3859" i="1"/>
  <c r="P3859" i="1" s="1"/>
  <c r="Q3860" i="1"/>
  <c r="P3860" i="1" s="1"/>
  <c r="Q3861" i="1"/>
  <c r="P3861" i="1" s="1"/>
  <c r="Q3862" i="1"/>
  <c r="P3862" i="1" s="1"/>
  <c r="Q3863" i="1"/>
  <c r="P3863" i="1" s="1"/>
  <c r="Q3864" i="1"/>
  <c r="P3864" i="1" s="1"/>
  <c r="Q3865" i="1"/>
  <c r="P3865" i="1" s="1"/>
  <c r="Q3866" i="1"/>
  <c r="P3866" i="1" s="1"/>
  <c r="Q3867" i="1"/>
  <c r="P3867" i="1" s="1"/>
  <c r="Q3868" i="1"/>
  <c r="P3868" i="1" s="1"/>
  <c r="Q3869" i="1"/>
  <c r="P3869" i="1" s="1"/>
  <c r="Q3870" i="1"/>
  <c r="P3870" i="1" s="1"/>
  <c r="Q3871" i="1"/>
  <c r="P3871" i="1" s="1"/>
  <c r="Q3872" i="1"/>
  <c r="P3872" i="1" s="1"/>
  <c r="Q3873" i="1"/>
  <c r="P3873" i="1" s="1"/>
  <c r="Q3874" i="1"/>
  <c r="P3874" i="1" s="1"/>
  <c r="Q3875" i="1"/>
  <c r="P3875" i="1" s="1"/>
  <c r="Q3876" i="1"/>
  <c r="P3876" i="1" s="1"/>
  <c r="Q3877" i="1"/>
  <c r="P3877" i="1" s="1"/>
  <c r="Q3878" i="1"/>
  <c r="P3878" i="1" s="1"/>
  <c r="Q3879" i="1"/>
  <c r="P3879" i="1" s="1"/>
  <c r="Q3880" i="1"/>
  <c r="P3880" i="1" s="1"/>
  <c r="Q3881" i="1"/>
  <c r="P3881" i="1" s="1"/>
  <c r="Q3882" i="1"/>
  <c r="P3882" i="1" s="1"/>
  <c r="Q3883" i="1"/>
  <c r="P3883" i="1" s="1"/>
  <c r="Q3884" i="1"/>
  <c r="P3884" i="1" s="1"/>
  <c r="Q3885" i="1"/>
  <c r="P3885" i="1" s="1"/>
  <c r="Q3886" i="1"/>
  <c r="P3886" i="1" s="1"/>
  <c r="Q3887" i="1"/>
  <c r="P3887" i="1" s="1"/>
  <c r="Q3888" i="1"/>
  <c r="P3888" i="1" s="1"/>
  <c r="Q3889" i="1"/>
  <c r="P3889" i="1" s="1"/>
  <c r="Q3890" i="1"/>
  <c r="P3890" i="1" s="1"/>
  <c r="Q3891" i="1"/>
  <c r="P3891" i="1" s="1"/>
  <c r="Q3892" i="1"/>
  <c r="P3892" i="1" s="1"/>
  <c r="Q3893" i="1"/>
  <c r="P3893" i="1" s="1"/>
  <c r="Q3894" i="1"/>
  <c r="P3894" i="1" s="1"/>
  <c r="Q3895" i="1"/>
  <c r="P3895" i="1" s="1"/>
  <c r="Q3896" i="1"/>
  <c r="P3896" i="1" s="1"/>
  <c r="Q3897" i="1"/>
  <c r="P3897" i="1" s="1"/>
  <c r="Q3898" i="1"/>
  <c r="P3898" i="1" s="1"/>
  <c r="Q3899" i="1"/>
  <c r="P3899" i="1" s="1"/>
  <c r="Q3900" i="1"/>
  <c r="P3900" i="1" s="1"/>
  <c r="Q3901" i="1"/>
  <c r="P3901" i="1" s="1"/>
  <c r="Q3902" i="1"/>
  <c r="P3902" i="1" s="1"/>
  <c r="Q3903" i="1"/>
  <c r="P3903" i="1" s="1"/>
  <c r="Q3904" i="1"/>
  <c r="P3904" i="1" s="1"/>
  <c r="Q3905" i="1"/>
  <c r="P3905" i="1" s="1"/>
  <c r="Q3906" i="1"/>
  <c r="P3906" i="1" s="1"/>
  <c r="Q3907" i="1"/>
  <c r="P3907" i="1" s="1"/>
  <c r="Q3908" i="1"/>
  <c r="P3908" i="1" s="1"/>
  <c r="Q3909" i="1"/>
  <c r="P3909" i="1" s="1"/>
  <c r="Q3910" i="1"/>
  <c r="P3910" i="1" s="1"/>
  <c r="Q3911" i="1"/>
  <c r="P3911" i="1" s="1"/>
  <c r="Q3912" i="1"/>
  <c r="P3912" i="1" s="1"/>
  <c r="Q3913" i="1"/>
  <c r="P3913" i="1" s="1"/>
  <c r="Q3914" i="1"/>
  <c r="P3914" i="1" s="1"/>
  <c r="Q3915" i="1"/>
  <c r="P3915" i="1" s="1"/>
  <c r="Q3916" i="1"/>
  <c r="P3916" i="1" s="1"/>
  <c r="Q3917" i="1"/>
  <c r="P3917" i="1" s="1"/>
  <c r="Q3918" i="1"/>
  <c r="P3918" i="1" s="1"/>
  <c r="Q3919" i="1"/>
  <c r="P3919" i="1" s="1"/>
  <c r="Q3920" i="1"/>
  <c r="P3920" i="1" s="1"/>
  <c r="Q3921" i="1"/>
  <c r="P3921" i="1" s="1"/>
  <c r="Q3922" i="1"/>
  <c r="P3922" i="1" s="1"/>
  <c r="Q3923" i="1"/>
  <c r="P3923" i="1" s="1"/>
  <c r="Q3924" i="1"/>
  <c r="P3924" i="1" s="1"/>
  <c r="Q3925" i="1"/>
  <c r="P3925" i="1" s="1"/>
  <c r="Q3926" i="1"/>
  <c r="P3926" i="1" s="1"/>
  <c r="Q3927" i="1"/>
  <c r="P3927" i="1" s="1"/>
  <c r="Q3928" i="1"/>
  <c r="P3928" i="1" s="1"/>
  <c r="Q3929" i="1"/>
  <c r="P3929" i="1" s="1"/>
  <c r="Q3930" i="1"/>
  <c r="P3930" i="1" s="1"/>
  <c r="Q3931" i="1"/>
  <c r="P3931" i="1" s="1"/>
  <c r="J3718" i="1"/>
  <c r="J3702" i="1"/>
  <c r="Q3720" i="1"/>
  <c r="P3720" i="1" s="1"/>
  <c r="Q3721" i="1"/>
  <c r="P3721" i="1" s="1"/>
  <c r="Q3722" i="1"/>
  <c r="P3722" i="1" s="1"/>
  <c r="Q3723" i="1"/>
  <c r="P3723" i="1" s="1"/>
  <c r="Q3724" i="1"/>
  <c r="P3724" i="1" s="1"/>
  <c r="Q3725" i="1"/>
  <c r="P3725" i="1" s="1"/>
  <c r="Q3726" i="1"/>
  <c r="P3726" i="1" s="1"/>
  <c r="Q3727" i="1"/>
  <c r="P3727" i="1" s="1"/>
  <c r="Q3728" i="1"/>
  <c r="P3728" i="1" s="1"/>
  <c r="Q3729" i="1"/>
  <c r="P3729" i="1" s="1"/>
  <c r="Q3730" i="1"/>
  <c r="P3730" i="1" s="1"/>
  <c r="Q3695" i="1"/>
  <c r="P3695" i="1" s="1"/>
  <c r="Q3696" i="1"/>
  <c r="P3696" i="1" s="1"/>
  <c r="Q3697" i="1"/>
  <c r="P3697" i="1" s="1"/>
  <c r="Q3698" i="1"/>
  <c r="P3698" i="1" s="1"/>
  <c r="Q3699" i="1"/>
  <c r="P3699" i="1" s="1"/>
  <c r="Q3700" i="1"/>
  <c r="P3700" i="1" s="1"/>
  <c r="Q3701" i="1"/>
  <c r="P3701" i="1" s="1"/>
  <c r="Q3702" i="1"/>
  <c r="P3702" i="1" s="1"/>
  <c r="Q3703" i="1"/>
  <c r="P3703" i="1" s="1"/>
  <c r="Q3704" i="1"/>
  <c r="P3704" i="1" s="1"/>
  <c r="Q3705" i="1"/>
  <c r="P3705" i="1" s="1"/>
  <c r="Q3706" i="1"/>
  <c r="P3706" i="1" s="1"/>
  <c r="Q3707" i="1"/>
  <c r="P3707" i="1" s="1"/>
  <c r="Q3708" i="1"/>
  <c r="P3708" i="1" s="1"/>
  <c r="Q3709" i="1"/>
  <c r="P3709" i="1" s="1"/>
  <c r="Q3710" i="1"/>
  <c r="P3710" i="1" s="1"/>
  <c r="Q3711" i="1"/>
  <c r="P3711" i="1" s="1"/>
  <c r="Q3712" i="1"/>
  <c r="P3712" i="1" s="1"/>
  <c r="Q3713" i="1"/>
  <c r="P3713" i="1" s="1"/>
  <c r="Q3714" i="1"/>
  <c r="P3714" i="1" s="1"/>
  <c r="Q3715" i="1"/>
  <c r="P3715" i="1" s="1"/>
  <c r="Q3716" i="1"/>
  <c r="P3716" i="1" s="1"/>
  <c r="Q3717" i="1"/>
  <c r="P3717" i="1" s="1"/>
  <c r="Q3718" i="1"/>
  <c r="P3718" i="1" s="1"/>
  <c r="Q3719" i="1"/>
  <c r="P3719" i="1" s="1"/>
  <c r="Q3693" i="1"/>
  <c r="P3693" i="1" s="1"/>
  <c r="Q3692" i="1"/>
  <c r="P3692" i="1" s="1"/>
  <c r="H3721" i="1"/>
  <c r="H3696" i="1"/>
  <c r="H3693" i="1"/>
  <c r="H3692" i="1"/>
  <c r="H3800" i="1"/>
  <c r="H3801" i="1"/>
  <c r="H3802" i="1"/>
  <c r="H3803" i="1"/>
  <c r="H3804" i="1"/>
  <c r="H3805" i="1"/>
  <c r="H3806" i="1"/>
  <c r="H3807" i="1"/>
  <c r="H3808" i="1"/>
  <c r="H3809" i="1"/>
  <c r="H3810" i="1"/>
  <c r="H3811" i="1"/>
  <c r="H3812" i="1"/>
  <c r="H3813" i="1"/>
  <c r="H3814" i="1"/>
  <c r="H3815" i="1"/>
  <c r="H3816" i="1"/>
  <c r="H3817" i="1"/>
  <c r="J3800" i="1"/>
  <c r="J3813" i="1"/>
  <c r="J3816" i="1"/>
  <c r="J3817" i="1"/>
  <c r="Q3800" i="1"/>
  <c r="P3800" i="1" s="1"/>
  <c r="Q3801" i="1"/>
  <c r="P3801" i="1" s="1"/>
  <c r="Q3802" i="1"/>
  <c r="P3802" i="1" s="1"/>
  <c r="Q3803" i="1"/>
  <c r="P3803" i="1" s="1"/>
  <c r="Q3804" i="1"/>
  <c r="P3804" i="1" s="1"/>
  <c r="Q3805" i="1"/>
  <c r="P3805" i="1" s="1"/>
  <c r="Q3806" i="1"/>
  <c r="P3806" i="1" s="1"/>
  <c r="Q3807" i="1"/>
  <c r="P3807" i="1" s="1"/>
  <c r="Q3808" i="1"/>
  <c r="P3808" i="1" s="1"/>
  <c r="Q3809" i="1"/>
  <c r="P3809" i="1" s="1"/>
  <c r="Q3810" i="1"/>
  <c r="P3810" i="1" s="1"/>
  <c r="Q3811" i="1"/>
  <c r="P3811" i="1" s="1"/>
  <c r="Q3812" i="1"/>
  <c r="P3812" i="1" s="1"/>
  <c r="Q3813" i="1"/>
  <c r="P3813" i="1" s="1"/>
  <c r="Q3814" i="1"/>
  <c r="P3814" i="1" s="1"/>
  <c r="Q3815" i="1"/>
  <c r="P3815" i="1" s="1"/>
  <c r="Q3816" i="1"/>
  <c r="P3816" i="1" s="1"/>
  <c r="Q3817" i="1"/>
  <c r="P3817" i="1" s="1"/>
  <c r="H3799" i="1"/>
  <c r="J3799" i="1"/>
  <c r="Q3799" i="1"/>
  <c r="P3799" i="1" s="1"/>
  <c r="H3796" i="1"/>
  <c r="H3797" i="1"/>
  <c r="H3798" i="1"/>
  <c r="J3797" i="1"/>
  <c r="Q3796" i="1"/>
  <c r="P3796" i="1" s="1"/>
  <c r="Q3797" i="1"/>
  <c r="P3797" i="1" s="1"/>
  <c r="Q3798" i="1"/>
  <c r="P3798" i="1" s="1"/>
  <c r="H3795" i="1"/>
  <c r="Q3795" i="1"/>
  <c r="P3795" i="1" s="1"/>
  <c r="H3794" i="1"/>
  <c r="Q3794" i="1"/>
  <c r="P3794" i="1" s="1"/>
  <c r="H3736" i="1"/>
  <c r="H3737" i="1"/>
  <c r="H3738" i="1"/>
  <c r="H3739" i="1"/>
  <c r="H3740" i="1"/>
  <c r="H3741" i="1"/>
  <c r="H3742" i="1"/>
  <c r="H3743" i="1"/>
  <c r="H3744" i="1"/>
  <c r="H3745" i="1"/>
  <c r="H3746" i="1"/>
  <c r="H3747" i="1"/>
  <c r="H3748" i="1"/>
  <c r="H3749" i="1"/>
  <c r="H3750" i="1"/>
  <c r="H3751" i="1"/>
  <c r="H3752" i="1"/>
  <c r="H3753" i="1"/>
  <c r="H3754" i="1"/>
  <c r="H3755" i="1"/>
  <c r="H3756" i="1"/>
  <c r="H3757" i="1"/>
  <c r="H3758" i="1"/>
  <c r="H3759" i="1"/>
  <c r="H3760" i="1"/>
  <c r="H3761" i="1"/>
  <c r="H3762" i="1"/>
  <c r="H3763" i="1"/>
  <c r="H3764" i="1"/>
  <c r="H3765" i="1"/>
  <c r="H3766" i="1"/>
  <c r="H3767" i="1"/>
  <c r="H3768" i="1"/>
  <c r="H3769" i="1"/>
  <c r="H3770" i="1"/>
  <c r="H3771" i="1"/>
  <c r="H3772" i="1"/>
  <c r="H3773" i="1"/>
  <c r="H3774" i="1"/>
  <c r="H3775" i="1"/>
  <c r="H3776" i="1"/>
  <c r="H3777" i="1"/>
  <c r="H3778" i="1"/>
  <c r="H3779" i="1"/>
  <c r="H3780" i="1"/>
  <c r="H3781" i="1"/>
  <c r="H3782" i="1"/>
  <c r="H3783" i="1"/>
  <c r="H3784" i="1"/>
  <c r="H3785" i="1"/>
  <c r="H3786" i="1"/>
  <c r="H3787" i="1"/>
  <c r="H3788" i="1"/>
  <c r="H3789" i="1"/>
  <c r="H3790" i="1"/>
  <c r="H3791" i="1"/>
  <c r="H3792" i="1"/>
  <c r="H3793" i="1"/>
  <c r="J3736" i="1"/>
  <c r="J3749" i="1"/>
  <c r="J3752" i="1"/>
  <c r="J3765" i="1"/>
  <c r="J3768" i="1"/>
  <c r="J3781" i="1"/>
  <c r="J3784" i="1"/>
  <c r="Q3736" i="1"/>
  <c r="P3736" i="1" s="1"/>
  <c r="Q3737" i="1"/>
  <c r="P3737" i="1" s="1"/>
  <c r="Q3738" i="1"/>
  <c r="P3738" i="1" s="1"/>
  <c r="Q3739" i="1"/>
  <c r="P3739" i="1" s="1"/>
  <c r="Q3740" i="1"/>
  <c r="P3740" i="1" s="1"/>
  <c r="Q3741" i="1"/>
  <c r="P3741" i="1" s="1"/>
  <c r="Q3742" i="1"/>
  <c r="P3742" i="1" s="1"/>
  <c r="Q3743" i="1"/>
  <c r="P3743" i="1" s="1"/>
  <c r="Q3744" i="1"/>
  <c r="P3744" i="1" s="1"/>
  <c r="Q3745" i="1"/>
  <c r="P3745" i="1" s="1"/>
  <c r="Q3746" i="1"/>
  <c r="P3746" i="1" s="1"/>
  <c r="Q3747" i="1"/>
  <c r="P3747" i="1" s="1"/>
  <c r="Q3748" i="1"/>
  <c r="P3748" i="1" s="1"/>
  <c r="Q3749" i="1"/>
  <c r="P3749" i="1" s="1"/>
  <c r="Q3750" i="1"/>
  <c r="P3750" i="1" s="1"/>
  <c r="Q3751" i="1"/>
  <c r="P3751" i="1" s="1"/>
  <c r="Q3752" i="1"/>
  <c r="P3752" i="1" s="1"/>
  <c r="Q3753" i="1"/>
  <c r="P3753" i="1" s="1"/>
  <c r="Q3754" i="1"/>
  <c r="P3754" i="1" s="1"/>
  <c r="Q3755" i="1"/>
  <c r="P3755" i="1" s="1"/>
  <c r="Q3756" i="1"/>
  <c r="P3756" i="1" s="1"/>
  <c r="Q3757" i="1"/>
  <c r="P3757" i="1" s="1"/>
  <c r="Q3758" i="1"/>
  <c r="P3758" i="1" s="1"/>
  <c r="Q3759" i="1"/>
  <c r="P3759" i="1" s="1"/>
  <c r="Q3760" i="1"/>
  <c r="P3760" i="1" s="1"/>
  <c r="Q3761" i="1"/>
  <c r="P3761" i="1" s="1"/>
  <c r="Q3762" i="1"/>
  <c r="P3762" i="1" s="1"/>
  <c r="Q3763" i="1"/>
  <c r="P3763" i="1" s="1"/>
  <c r="Q3764" i="1"/>
  <c r="P3764" i="1" s="1"/>
  <c r="Q3765" i="1"/>
  <c r="P3765" i="1" s="1"/>
  <c r="Q3766" i="1"/>
  <c r="P3766" i="1" s="1"/>
  <c r="Q3767" i="1"/>
  <c r="P3767" i="1" s="1"/>
  <c r="Q3768" i="1"/>
  <c r="P3768" i="1" s="1"/>
  <c r="Q3769" i="1"/>
  <c r="P3769" i="1" s="1"/>
  <c r="Q3770" i="1"/>
  <c r="P3770" i="1" s="1"/>
  <c r="Q3771" i="1"/>
  <c r="P3771" i="1" s="1"/>
  <c r="Q3772" i="1"/>
  <c r="P3772" i="1" s="1"/>
  <c r="Q3773" i="1"/>
  <c r="P3773" i="1" s="1"/>
  <c r="Q3774" i="1"/>
  <c r="P3774" i="1" s="1"/>
  <c r="Q3775" i="1"/>
  <c r="P3775" i="1" s="1"/>
  <c r="Q3776" i="1"/>
  <c r="P3776" i="1" s="1"/>
  <c r="Q3777" i="1"/>
  <c r="P3777" i="1" s="1"/>
  <c r="Q3778" i="1"/>
  <c r="P3778" i="1" s="1"/>
  <c r="Q3779" i="1"/>
  <c r="P3779" i="1" s="1"/>
  <c r="Q3780" i="1"/>
  <c r="P3780" i="1" s="1"/>
  <c r="Q3781" i="1"/>
  <c r="P3781" i="1" s="1"/>
  <c r="Q3782" i="1"/>
  <c r="P3782" i="1" s="1"/>
  <c r="Q3783" i="1"/>
  <c r="P3783" i="1" s="1"/>
  <c r="Q3784" i="1"/>
  <c r="P3784" i="1" s="1"/>
  <c r="Q3785" i="1"/>
  <c r="P3785" i="1" s="1"/>
  <c r="Q3786" i="1"/>
  <c r="P3786" i="1" s="1"/>
  <c r="Q3787" i="1"/>
  <c r="P3787" i="1" s="1"/>
  <c r="Q3788" i="1"/>
  <c r="P3788" i="1" s="1"/>
  <c r="Q3789" i="1"/>
  <c r="P3789" i="1" s="1"/>
  <c r="Q3790" i="1"/>
  <c r="P3790" i="1" s="1"/>
  <c r="Q3791" i="1"/>
  <c r="P3791" i="1" s="1"/>
  <c r="Q3792" i="1"/>
  <c r="P3792" i="1" s="1"/>
  <c r="Q3793" i="1"/>
  <c r="P3793" i="1" s="1"/>
  <c r="H3735" i="1"/>
  <c r="Q3735" i="1"/>
  <c r="P3735" i="1" s="1"/>
  <c r="H3734" i="1"/>
  <c r="Q3734" i="1"/>
  <c r="P3734" i="1" s="1"/>
  <c r="H3733" i="1"/>
  <c r="J3733" i="1"/>
  <c r="Q3733" i="1"/>
  <c r="P3733" i="1" s="1"/>
  <c r="H3732" i="1"/>
  <c r="J3732" i="1"/>
  <c r="Q3732" i="1"/>
  <c r="P3732" i="1" s="1"/>
  <c r="H3731" i="1"/>
  <c r="J3731" i="1"/>
  <c r="Q3731" i="1"/>
  <c r="P3731" i="1" s="1"/>
  <c r="H3662" i="1"/>
  <c r="H3663" i="1"/>
  <c r="H3664" i="1"/>
  <c r="H3665" i="1"/>
  <c r="H3666" i="1"/>
  <c r="H3667" i="1"/>
  <c r="H3668" i="1"/>
  <c r="H3669" i="1"/>
  <c r="H3670" i="1"/>
  <c r="H3671" i="1"/>
  <c r="H3672" i="1"/>
  <c r="H3673" i="1"/>
  <c r="H3674" i="1"/>
  <c r="H3675" i="1"/>
  <c r="H3676" i="1"/>
  <c r="H3677" i="1"/>
  <c r="H3678" i="1"/>
  <c r="H3679" i="1"/>
  <c r="H3680" i="1"/>
  <c r="H3681" i="1"/>
  <c r="H3682" i="1"/>
  <c r="H3683" i="1"/>
  <c r="H3684" i="1"/>
  <c r="H3685" i="1"/>
  <c r="H3686" i="1"/>
  <c r="H3687" i="1"/>
  <c r="H3688" i="1"/>
  <c r="H3689" i="1"/>
  <c r="H3690" i="1"/>
  <c r="H3691" i="1"/>
  <c r="H3694" i="1"/>
  <c r="H3695" i="1"/>
  <c r="J3662" i="1"/>
  <c r="J3663" i="1"/>
  <c r="J3664" i="1"/>
  <c r="J3665" i="1"/>
  <c r="J3666" i="1"/>
  <c r="J3667" i="1"/>
  <c r="J3668" i="1"/>
  <c r="J3669" i="1"/>
  <c r="J3670" i="1"/>
  <c r="J3671" i="1"/>
  <c r="J3672" i="1"/>
  <c r="J3673" i="1"/>
  <c r="J3674" i="1"/>
  <c r="J3675" i="1"/>
  <c r="J3676" i="1"/>
  <c r="J3677" i="1"/>
  <c r="J3678" i="1"/>
  <c r="J3679" i="1"/>
  <c r="J3680" i="1"/>
  <c r="J3681" i="1"/>
  <c r="J3682" i="1"/>
  <c r="J3683" i="1"/>
  <c r="J3684" i="1"/>
  <c r="J3685" i="1"/>
  <c r="J3686" i="1"/>
  <c r="J3687" i="1"/>
  <c r="J3688" i="1"/>
  <c r="J3689" i="1"/>
  <c r="J3691" i="1"/>
  <c r="J3692" i="1"/>
  <c r="Q3662" i="1"/>
  <c r="P3662" i="1" s="1"/>
  <c r="Q3663" i="1"/>
  <c r="P3663" i="1" s="1"/>
  <c r="Q3664" i="1"/>
  <c r="P3664" i="1" s="1"/>
  <c r="Q3665" i="1"/>
  <c r="P3665" i="1" s="1"/>
  <c r="Q3666" i="1"/>
  <c r="P3666" i="1" s="1"/>
  <c r="Q3667" i="1"/>
  <c r="P3667" i="1" s="1"/>
  <c r="Q3668" i="1"/>
  <c r="P3668" i="1" s="1"/>
  <c r="Q3669" i="1"/>
  <c r="P3669" i="1" s="1"/>
  <c r="Q3670" i="1"/>
  <c r="P3670" i="1" s="1"/>
  <c r="Q3671" i="1"/>
  <c r="P3671" i="1" s="1"/>
  <c r="Q3672" i="1"/>
  <c r="P3672" i="1" s="1"/>
  <c r="Q3673" i="1"/>
  <c r="P3673" i="1" s="1"/>
  <c r="Q3674" i="1"/>
  <c r="P3674" i="1" s="1"/>
  <c r="Q3675" i="1"/>
  <c r="P3675" i="1" s="1"/>
  <c r="Q3676" i="1"/>
  <c r="P3676" i="1" s="1"/>
  <c r="Q3677" i="1"/>
  <c r="P3677" i="1" s="1"/>
  <c r="Q3678" i="1"/>
  <c r="P3678" i="1" s="1"/>
  <c r="Q3679" i="1"/>
  <c r="P3679" i="1" s="1"/>
  <c r="Q3680" i="1"/>
  <c r="P3680" i="1" s="1"/>
  <c r="Q3681" i="1"/>
  <c r="P3681" i="1" s="1"/>
  <c r="Q3682" i="1"/>
  <c r="P3682" i="1" s="1"/>
  <c r="Q3683" i="1"/>
  <c r="P3683" i="1" s="1"/>
  <c r="Q3684" i="1"/>
  <c r="P3684" i="1" s="1"/>
  <c r="Q3685" i="1"/>
  <c r="P3685" i="1" s="1"/>
  <c r="Q3686" i="1"/>
  <c r="P3686" i="1" s="1"/>
  <c r="Q3687" i="1"/>
  <c r="P3687" i="1" s="1"/>
  <c r="Q3688" i="1"/>
  <c r="P3688" i="1" s="1"/>
  <c r="Q3689" i="1"/>
  <c r="P3689" i="1" s="1"/>
  <c r="Q3690" i="1"/>
  <c r="P3690" i="1" s="1"/>
  <c r="Q3691" i="1"/>
  <c r="P3691" i="1" s="1"/>
  <c r="Q3694" i="1"/>
  <c r="P3694" i="1" s="1"/>
  <c r="H3661" i="1"/>
  <c r="J3661" i="1"/>
  <c r="Q3661" i="1"/>
  <c r="P3661" i="1" s="1"/>
  <c r="H3650" i="1"/>
  <c r="H3651" i="1"/>
  <c r="H3652" i="1"/>
  <c r="H3653" i="1"/>
  <c r="H3654" i="1"/>
  <c r="H3655" i="1"/>
  <c r="H3656" i="1"/>
  <c r="H3657" i="1"/>
  <c r="H3658" i="1"/>
  <c r="H3659" i="1"/>
  <c r="H3660" i="1"/>
  <c r="J3650" i="1"/>
  <c r="J3651" i="1"/>
  <c r="J3652" i="1"/>
  <c r="J3653" i="1"/>
  <c r="J3654" i="1"/>
  <c r="J3655" i="1"/>
  <c r="J3656" i="1"/>
  <c r="J3657" i="1"/>
  <c r="J3658" i="1"/>
  <c r="J3659" i="1"/>
  <c r="J3660" i="1"/>
  <c r="Q3650" i="1"/>
  <c r="P3650" i="1" s="1"/>
  <c r="Q3651" i="1"/>
  <c r="P3651" i="1" s="1"/>
  <c r="Q3652" i="1"/>
  <c r="P3652" i="1" s="1"/>
  <c r="Q3653" i="1"/>
  <c r="P3653" i="1" s="1"/>
  <c r="Q3654" i="1"/>
  <c r="P3654" i="1" s="1"/>
  <c r="Q3655" i="1"/>
  <c r="P3655" i="1" s="1"/>
  <c r="Q3656" i="1"/>
  <c r="P3656" i="1" s="1"/>
  <c r="Q3657" i="1"/>
  <c r="P3657" i="1" s="1"/>
  <c r="Q3658" i="1"/>
  <c r="P3658" i="1" s="1"/>
  <c r="Q3659" i="1"/>
  <c r="P3659" i="1" s="1"/>
  <c r="Q3660" i="1"/>
  <c r="P3660" i="1" s="1"/>
  <c r="H3633" i="1"/>
  <c r="H3634" i="1"/>
  <c r="H3635" i="1"/>
  <c r="H3636" i="1"/>
  <c r="H3637" i="1"/>
  <c r="H3638" i="1"/>
  <c r="H3639" i="1"/>
  <c r="H3640" i="1"/>
  <c r="H3641" i="1"/>
  <c r="H3642" i="1"/>
  <c r="H3643" i="1"/>
  <c r="H3644" i="1"/>
  <c r="H3645" i="1"/>
  <c r="H3646" i="1"/>
  <c r="H3647" i="1"/>
  <c r="H3648" i="1"/>
  <c r="H3649" i="1"/>
  <c r="J3633" i="1"/>
  <c r="J3634" i="1"/>
  <c r="J3635" i="1"/>
  <c r="J3636" i="1"/>
  <c r="J3637" i="1"/>
  <c r="J3638" i="1"/>
  <c r="J3639" i="1"/>
  <c r="J3640" i="1"/>
  <c r="J3641" i="1"/>
  <c r="J3642" i="1"/>
  <c r="J3643" i="1"/>
  <c r="J3644" i="1"/>
  <c r="J3645" i="1"/>
  <c r="J3646" i="1"/>
  <c r="J3647" i="1"/>
  <c r="J3648" i="1"/>
  <c r="J3649" i="1"/>
  <c r="Q3633" i="1"/>
  <c r="P3633" i="1" s="1"/>
  <c r="Q3634" i="1"/>
  <c r="P3634" i="1" s="1"/>
  <c r="Q3635" i="1"/>
  <c r="P3635" i="1" s="1"/>
  <c r="Q3636" i="1"/>
  <c r="P3636" i="1" s="1"/>
  <c r="Q3637" i="1"/>
  <c r="P3637" i="1" s="1"/>
  <c r="Q3638" i="1"/>
  <c r="P3638" i="1" s="1"/>
  <c r="Q3639" i="1"/>
  <c r="P3639" i="1" s="1"/>
  <c r="Q3640" i="1"/>
  <c r="P3640" i="1" s="1"/>
  <c r="Q3641" i="1"/>
  <c r="P3641" i="1" s="1"/>
  <c r="Q3642" i="1"/>
  <c r="P3642" i="1" s="1"/>
  <c r="Q3643" i="1"/>
  <c r="P3643" i="1" s="1"/>
  <c r="Q3644" i="1"/>
  <c r="P3644" i="1" s="1"/>
  <c r="Q3645" i="1"/>
  <c r="P3645" i="1" s="1"/>
  <c r="Q3646" i="1"/>
  <c r="P3646" i="1" s="1"/>
  <c r="Q3647" i="1"/>
  <c r="P3647" i="1" s="1"/>
  <c r="Q3648" i="1"/>
  <c r="P3648" i="1" s="1"/>
  <c r="Q3649" i="1"/>
  <c r="P3649" i="1" s="1"/>
  <c r="H3632" i="1"/>
  <c r="J3632" i="1"/>
  <c r="Q3632" i="1"/>
  <c r="P3632" i="1" s="1"/>
  <c r="J3624" i="1"/>
  <c r="J3623" i="1"/>
  <c r="J3622" i="1"/>
  <c r="J3621" i="1"/>
  <c r="J3619" i="1"/>
  <c r="J3618" i="1"/>
  <c r="J3617" i="1"/>
  <c r="J3616" i="1"/>
  <c r="J3613" i="1"/>
  <c r="J3608" i="1"/>
  <c r="H3631" i="1"/>
  <c r="J3631" i="1"/>
  <c r="Q3631" i="1"/>
  <c r="P3631" i="1" s="1"/>
  <c r="J3620" i="1"/>
  <c r="J3615" i="1"/>
  <c r="J3603" i="1"/>
  <c r="J3602" i="1"/>
  <c r="J3538" i="1"/>
  <c r="J3537" i="1"/>
  <c r="J3536" i="1"/>
  <c r="H3630" i="1"/>
  <c r="J3630" i="1"/>
  <c r="Q3630" i="1"/>
  <c r="P3630" i="1" s="1"/>
  <c r="H3629" i="1"/>
  <c r="J3629" i="1"/>
  <c r="Q3629" i="1"/>
  <c r="P3629" i="1" s="1"/>
  <c r="H3628" i="1"/>
  <c r="J3628" i="1"/>
  <c r="Q3628" i="1"/>
  <c r="P3628" i="1" s="1"/>
  <c r="H3622" i="1"/>
  <c r="H3623" i="1"/>
  <c r="H3624" i="1"/>
  <c r="H3625" i="1"/>
  <c r="H3626" i="1"/>
  <c r="H3627" i="1"/>
  <c r="J3625" i="1"/>
  <c r="J3626" i="1"/>
  <c r="J3627" i="1"/>
  <c r="Q3622" i="1"/>
  <c r="P3622" i="1" s="1"/>
  <c r="Q3623" i="1"/>
  <c r="P3623" i="1" s="1"/>
  <c r="Q3624" i="1"/>
  <c r="P3624" i="1" s="1"/>
  <c r="Q3625" i="1"/>
  <c r="P3625" i="1" s="1"/>
  <c r="Q3626" i="1"/>
  <c r="P3626" i="1" s="1"/>
  <c r="Q3627" i="1"/>
  <c r="P3627" i="1" s="1"/>
  <c r="H3621" i="1"/>
  <c r="Q3621" i="1"/>
  <c r="P3621" i="1" s="1"/>
  <c r="H3620" i="1"/>
  <c r="Q3620" i="1"/>
  <c r="P3620" i="1" s="1"/>
  <c r="H3609" i="1"/>
  <c r="H3610" i="1"/>
  <c r="H3611" i="1"/>
  <c r="H3612" i="1"/>
  <c r="H3613" i="1"/>
  <c r="H3614" i="1"/>
  <c r="H3615" i="1"/>
  <c r="H3616" i="1"/>
  <c r="H3617" i="1"/>
  <c r="H3618" i="1"/>
  <c r="H3619" i="1"/>
  <c r="J3609" i="1"/>
  <c r="J3610" i="1"/>
  <c r="J3611" i="1"/>
  <c r="J3612" i="1"/>
  <c r="J3614" i="1"/>
  <c r="Q3609" i="1"/>
  <c r="P3609" i="1" s="1"/>
  <c r="Q3610" i="1"/>
  <c r="P3610" i="1" s="1"/>
  <c r="Q3611" i="1"/>
  <c r="P3611" i="1" s="1"/>
  <c r="Q3612" i="1"/>
  <c r="P3612" i="1" s="1"/>
  <c r="Q3613" i="1"/>
  <c r="P3613" i="1" s="1"/>
  <c r="Q3614" i="1"/>
  <c r="P3614" i="1" s="1"/>
  <c r="Q3615" i="1"/>
  <c r="P3615" i="1" s="1"/>
  <c r="Q3616" i="1"/>
  <c r="P3616" i="1" s="1"/>
  <c r="Q3617" i="1"/>
  <c r="P3617" i="1" s="1"/>
  <c r="Q3618" i="1"/>
  <c r="P3618" i="1" s="1"/>
  <c r="Q3619" i="1"/>
  <c r="P3619" i="1" s="1"/>
  <c r="H3608" i="1"/>
  <c r="Q3608" i="1"/>
  <c r="P3608" i="1" s="1"/>
  <c r="H3607" i="1"/>
  <c r="J3607" i="1"/>
  <c r="Q3607" i="1"/>
  <c r="P3607" i="1" s="1"/>
  <c r="J3601" i="1"/>
  <c r="J3598" i="1"/>
  <c r="J3591" i="1"/>
  <c r="J3590" i="1"/>
  <c r="J3589" i="1"/>
  <c r="J3588" i="1"/>
  <c r="J3587" i="1"/>
  <c r="J3586" i="1"/>
  <c r="J3530" i="1"/>
  <c r="J3528" i="1"/>
  <c r="J3527" i="1"/>
  <c r="J3523" i="1"/>
  <c r="J3514" i="1"/>
  <c r="J3513" i="1"/>
  <c r="J3512" i="1"/>
  <c r="J3511" i="1"/>
  <c r="J3510" i="1"/>
  <c r="J3509" i="1"/>
  <c r="J3508" i="1"/>
  <c r="J3507" i="1"/>
  <c r="J3506" i="1"/>
  <c r="J3490" i="1"/>
  <c r="J3487" i="1"/>
  <c r="H3603" i="1"/>
  <c r="H3604" i="1"/>
  <c r="H3605" i="1"/>
  <c r="H3606" i="1"/>
  <c r="J3604" i="1"/>
  <c r="J3605" i="1"/>
  <c r="J3606" i="1"/>
  <c r="Q3603" i="1"/>
  <c r="P3603" i="1" s="1"/>
  <c r="Q3604" i="1"/>
  <c r="P3604" i="1" s="1"/>
  <c r="Q3605" i="1"/>
  <c r="P3605" i="1" s="1"/>
  <c r="Q3606" i="1"/>
  <c r="P3606" i="1" s="1"/>
  <c r="H3602" i="1"/>
  <c r="Q3602" i="1"/>
  <c r="P3602" i="1" s="1"/>
  <c r="J3595" i="1"/>
  <c r="J3573" i="1"/>
  <c r="J3571" i="1"/>
  <c r="J3570" i="1"/>
  <c r="J3557" i="1"/>
  <c r="J3555" i="1"/>
  <c r="J3554" i="1"/>
  <c r="J3541" i="1"/>
  <c r="J3539" i="1"/>
  <c r="J3529" i="1"/>
  <c r="J3525" i="1"/>
  <c r="J3522" i="1"/>
  <c r="J3498" i="1"/>
  <c r="J3497" i="1"/>
  <c r="J3494" i="1"/>
  <c r="J3493" i="1"/>
  <c r="J3491" i="1"/>
  <c r="H3601" i="1"/>
  <c r="Q3601" i="1"/>
  <c r="P3601" i="1" s="1"/>
  <c r="H3590" i="1"/>
  <c r="H3591" i="1"/>
  <c r="H3592" i="1"/>
  <c r="H3593" i="1"/>
  <c r="H3594" i="1"/>
  <c r="H3595" i="1"/>
  <c r="H3596" i="1"/>
  <c r="H3597" i="1"/>
  <c r="H3598" i="1"/>
  <c r="H3599" i="1"/>
  <c r="H3600" i="1"/>
  <c r="J3592" i="1"/>
  <c r="J3593" i="1"/>
  <c r="J3594" i="1"/>
  <c r="J3596" i="1"/>
  <c r="J3597" i="1"/>
  <c r="J3599" i="1"/>
  <c r="J3600" i="1"/>
  <c r="Q3590" i="1"/>
  <c r="P3590" i="1" s="1"/>
  <c r="Q3591" i="1"/>
  <c r="P3591" i="1" s="1"/>
  <c r="Q3592" i="1"/>
  <c r="P3592" i="1" s="1"/>
  <c r="Q3593" i="1"/>
  <c r="P3593" i="1" s="1"/>
  <c r="Q3594" i="1"/>
  <c r="P3594" i="1" s="1"/>
  <c r="Q3595" i="1"/>
  <c r="P3595" i="1" s="1"/>
  <c r="Q3596" i="1"/>
  <c r="P3596" i="1" s="1"/>
  <c r="Q3597" i="1"/>
  <c r="P3597" i="1" s="1"/>
  <c r="Q3598" i="1"/>
  <c r="P3598" i="1" s="1"/>
  <c r="Q3599" i="1"/>
  <c r="P3599" i="1" s="1"/>
  <c r="Q3600" i="1"/>
  <c r="P3600" i="1" s="1"/>
  <c r="H3589" i="1"/>
  <c r="Q3589" i="1"/>
  <c r="P3589" i="1" s="1"/>
  <c r="H3584" i="1"/>
  <c r="H3585" i="1"/>
  <c r="H3586" i="1"/>
  <c r="H3587" i="1"/>
  <c r="H3588" i="1"/>
  <c r="J3584" i="1"/>
  <c r="J3585" i="1"/>
  <c r="Q3584" i="1"/>
  <c r="P3584" i="1" s="1"/>
  <c r="Q3585" i="1"/>
  <c r="P3585" i="1" s="1"/>
  <c r="Q3586" i="1"/>
  <c r="P3586" i="1" s="1"/>
  <c r="Q3587" i="1"/>
  <c r="P3587" i="1" s="1"/>
  <c r="Q3588" i="1"/>
  <c r="P3588" i="1" s="1"/>
  <c r="H3583" i="1"/>
  <c r="J3583" i="1"/>
  <c r="Q3583" i="1"/>
  <c r="P3583" i="1" s="1"/>
  <c r="J3488" i="1"/>
  <c r="J3486" i="1"/>
  <c r="H3582" i="1"/>
  <c r="J3582" i="1"/>
  <c r="Q3582" i="1"/>
  <c r="P3582" i="1" s="1"/>
  <c r="H3489" i="1"/>
  <c r="H3490" i="1"/>
  <c r="H3491" i="1"/>
  <c r="H3492" i="1"/>
  <c r="H3493" i="1"/>
  <c r="H3494" i="1"/>
  <c r="H3495" i="1"/>
  <c r="H3496" i="1"/>
  <c r="H3497" i="1"/>
  <c r="H3498" i="1"/>
  <c r="H3499" i="1"/>
  <c r="H3500" i="1"/>
  <c r="H3501" i="1"/>
  <c r="H3502" i="1"/>
  <c r="H3503" i="1"/>
  <c r="H3504" i="1"/>
  <c r="H3505" i="1"/>
  <c r="H3506" i="1"/>
  <c r="H3507" i="1"/>
  <c r="H3508" i="1"/>
  <c r="H3509" i="1"/>
  <c r="H3510" i="1"/>
  <c r="H3511" i="1"/>
  <c r="H3512" i="1"/>
  <c r="H3513" i="1"/>
  <c r="H3514" i="1"/>
  <c r="H3515" i="1"/>
  <c r="H3516" i="1"/>
  <c r="H3517" i="1"/>
  <c r="H3518" i="1"/>
  <c r="H3519" i="1"/>
  <c r="H3520" i="1"/>
  <c r="H3521" i="1"/>
  <c r="H3522" i="1"/>
  <c r="H3523" i="1"/>
  <c r="H3524" i="1"/>
  <c r="H3525" i="1"/>
  <c r="H3526" i="1"/>
  <c r="H3527" i="1"/>
  <c r="H3528" i="1"/>
  <c r="H3529" i="1"/>
  <c r="H3530" i="1"/>
  <c r="H3531" i="1"/>
  <c r="H3532" i="1"/>
  <c r="H3533" i="1"/>
  <c r="H3534" i="1"/>
  <c r="H3535" i="1"/>
  <c r="H3536" i="1"/>
  <c r="H3537" i="1"/>
  <c r="H3538" i="1"/>
  <c r="H3539" i="1"/>
  <c r="H3540" i="1"/>
  <c r="H3541" i="1"/>
  <c r="H3542" i="1"/>
  <c r="H3543" i="1"/>
  <c r="H3544" i="1"/>
  <c r="H3545" i="1"/>
  <c r="H3546" i="1"/>
  <c r="H3547" i="1"/>
  <c r="H3548" i="1"/>
  <c r="H3549" i="1"/>
  <c r="H3550" i="1"/>
  <c r="H3551" i="1"/>
  <c r="H3552" i="1"/>
  <c r="H3553" i="1"/>
  <c r="H3554" i="1"/>
  <c r="H3555" i="1"/>
  <c r="H3556" i="1"/>
  <c r="H3557" i="1"/>
  <c r="H3558" i="1"/>
  <c r="H3559" i="1"/>
  <c r="H3560" i="1"/>
  <c r="H3561" i="1"/>
  <c r="H3562" i="1"/>
  <c r="H3563" i="1"/>
  <c r="H3564" i="1"/>
  <c r="H3565" i="1"/>
  <c r="H3566" i="1"/>
  <c r="H3567" i="1"/>
  <c r="H3568" i="1"/>
  <c r="H3569" i="1"/>
  <c r="H3570" i="1"/>
  <c r="H3571" i="1"/>
  <c r="H3572" i="1"/>
  <c r="H3573" i="1"/>
  <c r="H3574" i="1"/>
  <c r="H3575" i="1"/>
  <c r="H3576" i="1"/>
  <c r="H3577" i="1"/>
  <c r="H3578" i="1"/>
  <c r="H3579" i="1"/>
  <c r="H3580" i="1"/>
  <c r="H3581" i="1"/>
  <c r="J3489" i="1"/>
  <c r="J3492" i="1"/>
  <c r="J3495" i="1"/>
  <c r="J3496" i="1"/>
  <c r="J3499" i="1"/>
  <c r="J3500" i="1"/>
  <c r="J3501" i="1"/>
  <c r="J3502" i="1"/>
  <c r="J3503" i="1"/>
  <c r="J3504" i="1"/>
  <c r="J3505" i="1"/>
  <c r="J3515" i="1"/>
  <c r="J3516" i="1"/>
  <c r="J3517" i="1"/>
  <c r="J3518" i="1"/>
  <c r="J3519" i="1"/>
  <c r="J3520" i="1"/>
  <c r="J3521" i="1"/>
  <c r="J3524" i="1"/>
  <c r="J3526" i="1"/>
  <c r="J3531" i="1"/>
  <c r="J3532" i="1"/>
  <c r="J3533" i="1"/>
  <c r="J3534" i="1"/>
  <c r="J3535" i="1"/>
  <c r="J3540" i="1"/>
  <c r="J3542" i="1"/>
  <c r="J3543" i="1"/>
  <c r="J3544" i="1"/>
  <c r="J3545" i="1"/>
  <c r="J3546" i="1"/>
  <c r="J3547" i="1"/>
  <c r="J3548" i="1"/>
  <c r="J3549" i="1"/>
  <c r="J3550" i="1"/>
  <c r="J3551" i="1"/>
  <c r="J3552" i="1"/>
  <c r="J3553" i="1"/>
  <c r="J3556" i="1"/>
  <c r="J3558" i="1"/>
  <c r="J3559" i="1"/>
  <c r="J3560" i="1"/>
  <c r="J3561" i="1"/>
  <c r="J3562" i="1"/>
  <c r="J3563" i="1"/>
  <c r="J3564" i="1"/>
  <c r="J3565" i="1"/>
  <c r="J3566" i="1"/>
  <c r="J3567" i="1"/>
  <c r="J3568" i="1"/>
  <c r="J3569" i="1"/>
  <c r="J3572" i="1"/>
  <c r="J3574" i="1"/>
  <c r="J3575" i="1"/>
  <c r="J3576" i="1"/>
  <c r="J3577" i="1"/>
  <c r="J3578" i="1"/>
  <c r="J3579" i="1"/>
  <c r="J3580" i="1"/>
  <c r="J3581" i="1"/>
  <c r="Q3489" i="1"/>
  <c r="P3489" i="1" s="1"/>
  <c r="Q3490" i="1"/>
  <c r="P3490" i="1" s="1"/>
  <c r="Q3491" i="1"/>
  <c r="P3491" i="1" s="1"/>
  <c r="Q3492" i="1"/>
  <c r="P3492" i="1" s="1"/>
  <c r="Q3493" i="1"/>
  <c r="P3493" i="1" s="1"/>
  <c r="Q3494" i="1"/>
  <c r="P3494" i="1" s="1"/>
  <c r="Q3495" i="1"/>
  <c r="P3495" i="1" s="1"/>
  <c r="Q3496" i="1"/>
  <c r="P3496" i="1" s="1"/>
  <c r="Q3497" i="1"/>
  <c r="P3497" i="1" s="1"/>
  <c r="Q3498" i="1"/>
  <c r="P3498" i="1" s="1"/>
  <c r="Q3499" i="1"/>
  <c r="P3499" i="1" s="1"/>
  <c r="Q3500" i="1"/>
  <c r="P3500" i="1" s="1"/>
  <c r="Q3501" i="1"/>
  <c r="P3501" i="1" s="1"/>
  <c r="Q3502" i="1"/>
  <c r="P3502" i="1" s="1"/>
  <c r="Q3503" i="1"/>
  <c r="P3503" i="1" s="1"/>
  <c r="Q3504" i="1"/>
  <c r="P3504" i="1" s="1"/>
  <c r="Q3505" i="1"/>
  <c r="P3505" i="1" s="1"/>
  <c r="Q3506" i="1"/>
  <c r="P3506" i="1" s="1"/>
  <c r="Q3507" i="1"/>
  <c r="P3507" i="1" s="1"/>
  <c r="Q3508" i="1"/>
  <c r="P3508" i="1" s="1"/>
  <c r="Q3509" i="1"/>
  <c r="P3509" i="1" s="1"/>
  <c r="Q3510" i="1"/>
  <c r="P3510" i="1" s="1"/>
  <c r="Q3511" i="1"/>
  <c r="P3511" i="1" s="1"/>
  <c r="Q3512" i="1"/>
  <c r="P3512" i="1" s="1"/>
  <c r="Q3513" i="1"/>
  <c r="P3513" i="1" s="1"/>
  <c r="Q3514" i="1"/>
  <c r="P3514" i="1" s="1"/>
  <c r="Q3515" i="1"/>
  <c r="P3515" i="1" s="1"/>
  <c r="Q3516" i="1"/>
  <c r="P3516" i="1" s="1"/>
  <c r="Q3517" i="1"/>
  <c r="P3517" i="1" s="1"/>
  <c r="Q3518" i="1"/>
  <c r="P3518" i="1" s="1"/>
  <c r="Q3519" i="1"/>
  <c r="P3519" i="1" s="1"/>
  <c r="Q3520" i="1"/>
  <c r="P3520" i="1" s="1"/>
  <c r="Q3521" i="1"/>
  <c r="P3521" i="1" s="1"/>
  <c r="Q3522" i="1"/>
  <c r="P3522" i="1" s="1"/>
  <c r="Q3523" i="1"/>
  <c r="P3523" i="1" s="1"/>
  <c r="Q3524" i="1"/>
  <c r="P3524" i="1" s="1"/>
  <c r="Q3525" i="1"/>
  <c r="P3525" i="1" s="1"/>
  <c r="Q3526" i="1"/>
  <c r="P3526" i="1" s="1"/>
  <c r="Q3527" i="1"/>
  <c r="P3527" i="1" s="1"/>
  <c r="Q3528" i="1"/>
  <c r="P3528" i="1" s="1"/>
  <c r="Q3529" i="1"/>
  <c r="P3529" i="1" s="1"/>
  <c r="Q3530" i="1"/>
  <c r="P3530" i="1" s="1"/>
  <c r="Q3531" i="1"/>
  <c r="P3531" i="1" s="1"/>
  <c r="Q3532" i="1"/>
  <c r="P3532" i="1" s="1"/>
  <c r="Q3533" i="1"/>
  <c r="P3533" i="1" s="1"/>
  <c r="Q3534" i="1"/>
  <c r="P3534" i="1" s="1"/>
  <c r="Q3535" i="1"/>
  <c r="P3535" i="1" s="1"/>
  <c r="Q3536" i="1"/>
  <c r="P3536" i="1" s="1"/>
  <c r="Q3537" i="1"/>
  <c r="P3537" i="1" s="1"/>
  <c r="Q3538" i="1"/>
  <c r="P3538" i="1" s="1"/>
  <c r="Q3539" i="1"/>
  <c r="P3539" i="1" s="1"/>
  <c r="Q3540" i="1"/>
  <c r="P3540" i="1" s="1"/>
  <c r="Q3541" i="1"/>
  <c r="P3541" i="1" s="1"/>
  <c r="Q3542" i="1"/>
  <c r="P3542" i="1" s="1"/>
  <c r="Q3543" i="1"/>
  <c r="P3543" i="1" s="1"/>
  <c r="Q3544" i="1"/>
  <c r="P3544" i="1" s="1"/>
  <c r="Q3545" i="1"/>
  <c r="P3545" i="1" s="1"/>
  <c r="Q3546" i="1"/>
  <c r="P3546" i="1" s="1"/>
  <c r="Q3547" i="1"/>
  <c r="P3547" i="1" s="1"/>
  <c r="Q3548" i="1"/>
  <c r="P3548" i="1" s="1"/>
  <c r="Q3549" i="1"/>
  <c r="P3549" i="1" s="1"/>
  <c r="Q3550" i="1"/>
  <c r="P3550" i="1" s="1"/>
  <c r="Q3551" i="1"/>
  <c r="P3551" i="1" s="1"/>
  <c r="Q3552" i="1"/>
  <c r="P3552" i="1" s="1"/>
  <c r="Q3553" i="1"/>
  <c r="P3553" i="1" s="1"/>
  <c r="Q3554" i="1"/>
  <c r="P3554" i="1" s="1"/>
  <c r="Q3555" i="1"/>
  <c r="P3555" i="1" s="1"/>
  <c r="Q3556" i="1"/>
  <c r="P3556" i="1" s="1"/>
  <c r="Q3557" i="1"/>
  <c r="P3557" i="1" s="1"/>
  <c r="Q3558" i="1"/>
  <c r="P3558" i="1" s="1"/>
  <c r="Q3559" i="1"/>
  <c r="P3559" i="1" s="1"/>
  <c r="Q3560" i="1"/>
  <c r="P3560" i="1" s="1"/>
  <c r="Q3561" i="1"/>
  <c r="P3561" i="1" s="1"/>
  <c r="Q3562" i="1"/>
  <c r="P3562" i="1" s="1"/>
  <c r="Q3563" i="1"/>
  <c r="P3563" i="1" s="1"/>
  <c r="Q3564" i="1"/>
  <c r="P3564" i="1" s="1"/>
  <c r="Q3565" i="1"/>
  <c r="P3565" i="1" s="1"/>
  <c r="Q3566" i="1"/>
  <c r="P3566" i="1" s="1"/>
  <c r="Q3567" i="1"/>
  <c r="P3567" i="1" s="1"/>
  <c r="Q3568" i="1"/>
  <c r="P3568" i="1" s="1"/>
  <c r="Q3569" i="1"/>
  <c r="P3569" i="1" s="1"/>
  <c r="Q3570" i="1"/>
  <c r="P3570" i="1" s="1"/>
  <c r="Q3571" i="1"/>
  <c r="P3571" i="1" s="1"/>
  <c r="Q3572" i="1"/>
  <c r="P3572" i="1" s="1"/>
  <c r="Q3573" i="1"/>
  <c r="P3573" i="1" s="1"/>
  <c r="Q3574" i="1"/>
  <c r="P3574" i="1" s="1"/>
  <c r="Q3575" i="1"/>
  <c r="P3575" i="1" s="1"/>
  <c r="Q3576" i="1"/>
  <c r="P3576" i="1" s="1"/>
  <c r="Q3577" i="1"/>
  <c r="P3577" i="1" s="1"/>
  <c r="Q3578" i="1"/>
  <c r="P3578" i="1" s="1"/>
  <c r="Q3579" i="1"/>
  <c r="P3579" i="1" s="1"/>
  <c r="Q3580" i="1"/>
  <c r="P3580" i="1" s="1"/>
  <c r="Q3581" i="1"/>
  <c r="P3581" i="1" s="1"/>
  <c r="J3481" i="1"/>
  <c r="J3480" i="1"/>
  <c r="J3479" i="1"/>
  <c r="H3487" i="1"/>
  <c r="H3488" i="1"/>
  <c r="Q3487" i="1"/>
  <c r="P3487" i="1" s="1"/>
  <c r="Q3488" i="1"/>
  <c r="P3488" i="1" s="1"/>
  <c r="H3486" i="1"/>
  <c r="Q3486" i="1"/>
  <c r="P3486" i="1" s="1"/>
  <c r="J3485" i="1"/>
  <c r="J3484" i="1"/>
  <c r="J3483" i="1"/>
  <c r="J3482" i="1"/>
  <c r="J3478" i="1"/>
  <c r="H3480" i="1"/>
  <c r="H3481" i="1"/>
  <c r="H3482" i="1"/>
  <c r="H3483" i="1"/>
  <c r="H3484" i="1"/>
  <c r="H3485" i="1"/>
  <c r="Q3480" i="1"/>
  <c r="P3480" i="1" s="1"/>
  <c r="Q3481" i="1"/>
  <c r="P3481" i="1" s="1"/>
  <c r="Q3482" i="1"/>
  <c r="P3482" i="1" s="1"/>
  <c r="Q3483" i="1"/>
  <c r="P3483" i="1" s="1"/>
  <c r="Q3484" i="1"/>
  <c r="P3484" i="1" s="1"/>
  <c r="Q3485" i="1"/>
  <c r="P3485" i="1" s="1"/>
  <c r="H3479" i="1"/>
  <c r="Q3479" i="1"/>
  <c r="P3479" i="1" s="1"/>
  <c r="H3478" i="1"/>
  <c r="Q3478" i="1"/>
  <c r="P3478" i="1" s="1"/>
  <c r="H3477" i="1"/>
  <c r="J3477" i="1"/>
  <c r="Q3477" i="1"/>
  <c r="P3477" i="1" s="1"/>
  <c r="J3421" i="1"/>
  <c r="J3420" i="1"/>
  <c r="J3418" i="1"/>
  <c r="J3404" i="1"/>
  <c r="J3403" i="1"/>
  <c r="J3402" i="1"/>
  <c r="J3397" i="1"/>
  <c r="J3387" i="1"/>
  <c r="J3386" i="1"/>
  <c r="J3382" i="1"/>
  <c r="J3381" i="1"/>
  <c r="J3370" i="1"/>
  <c r="J3355" i="1"/>
  <c r="J3347" i="1"/>
  <c r="J3346" i="1"/>
  <c r="J3345" i="1"/>
  <c r="J3344" i="1"/>
  <c r="J3343" i="1"/>
  <c r="J3339" i="1"/>
  <c r="J3324" i="1"/>
  <c r="J3320" i="1"/>
  <c r="J3316" i="1"/>
  <c r="J3308" i="1"/>
  <c r="J3304" i="1"/>
  <c r="J3301" i="1"/>
  <c r="J3286" i="1"/>
  <c r="J3285" i="1"/>
  <c r="J3284" i="1"/>
  <c r="J3270" i="1"/>
  <c r="J3269" i="1"/>
  <c r="J3253" i="1"/>
  <c r="J3251" i="1"/>
  <c r="J3248" i="1"/>
  <c r="J3463" i="1"/>
  <c r="J3462" i="1"/>
  <c r="J3461" i="1"/>
  <c r="J3447" i="1"/>
  <c r="J3446" i="1"/>
  <c r="J3445" i="1"/>
  <c r="J3435" i="1"/>
  <c r="J3434" i="1"/>
  <c r="J3430" i="1"/>
  <c r="J3429" i="1"/>
  <c r="J3414" i="1"/>
  <c r="J3413" i="1"/>
  <c r="J3398" i="1"/>
  <c r="J3366" i="1"/>
  <c r="J3365" i="1"/>
  <c r="J3350" i="1"/>
  <c r="J3349" i="1"/>
  <c r="J3333" i="1"/>
  <c r="J3317" i="1"/>
  <c r="J3302" i="1"/>
  <c r="J3300" i="1"/>
  <c r="H3467" i="1"/>
  <c r="H3468" i="1"/>
  <c r="H3469" i="1"/>
  <c r="H3470" i="1"/>
  <c r="H3471" i="1"/>
  <c r="H3472" i="1"/>
  <c r="H3473" i="1"/>
  <c r="H3474" i="1"/>
  <c r="H3475" i="1"/>
  <c r="H3476" i="1"/>
  <c r="J3467" i="1"/>
  <c r="J3468" i="1"/>
  <c r="J3469" i="1"/>
  <c r="J3470" i="1"/>
  <c r="J3471" i="1"/>
  <c r="J3472" i="1"/>
  <c r="J3473" i="1"/>
  <c r="J3474" i="1"/>
  <c r="J3475" i="1"/>
  <c r="J3476" i="1"/>
  <c r="Q3467" i="1"/>
  <c r="P3467" i="1" s="1"/>
  <c r="Q3468" i="1"/>
  <c r="P3468" i="1" s="1"/>
  <c r="Q3469" i="1"/>
  <c r="P3469" i="1" s="1"/>
  <c r="Q3470" i="1"/>
  <c r="P3470" i="1" s="1"/>
  <c r="Q3471" i="1"/>
  <c r="P3471" i="1" s="1"/>
  <c r="Q3472" i="1"/>
  <c r="P3472" i="1" s="1"/>
  <c r="Q3473" i="1"/>
  <c r="P3473" i="1" s="1"/>
  <c r="Q3474" i="1"/>
  <c r="P3474" i="1" s="1"/>
  <c r="Q3475" i="1"/>
  <c r="P3475" i="1" s="1"/>
  <c r="Q3476" i="1"/>
  <c r="P3476" i="1" s="1"/>
  <c r="H3460" i="1"/>
  <c r="H3461" i="1"/>
  <c r="H3462" i="1"/>
  <c r="H3463" i="1"/>
  <c r="H3464" i="1"/>
  <c r="H3465" i="1"/>
  <c r="H3466" i="1"/>
  <c r="J3460" i="1"/>
  <c r="J3464" i="1"/>
  <c r="J3465" i="1"/>
  <c r="J3466" i="1"/>
  <c r="Q3460" i="1"/>
  <c r="P3460" i="1" s="1"/>
  <c r="Q3461" i="1"/>
  <c r="P3461" i="1" s="1"/>
  <c r="Q3462" i="1"/>
  <c r="P3462" i="1" s="1"/>
  <c r="Q3463" i="1"/>
  <c r="P3463" i="1" s="1"/>
  <c r="Q3464" i="1"/>
  <c r="P3464" i="1" s="1"/>
  <c r="Q3465" i="1"/>
  <c r="P3465" i="1" s="1"/>
  <c r="Q3466" i="1"/>
  <c r="P3466" i="1" s="1"/>
  <c r="H3459" i="1"/>
  <c r="J3459" i="1"/>
  <c r="Q3459" i="1"/>
  <c r="P3459" i="1" s="1"/>
  <c r="H3458" i="1"/>
  <c r="J3458" i="1"/>
  <c r="Q3458" i="1"/>
  <c r="P3458" i="1" s="1"/>
  <c r="H3457" i="1"/>
  <c r="J3457" i="1"/>
  <c r="Q3457" i="1"/>
  <c r="P3457" i="1" s="1"/>
  <c r="H3456" i="1"/>
  <c r="J3456" i="1"/>
  <c r="Q3456" i="1"/>
  <c r="P3456" i="1" s="1"/>
  <c r="H3455" i="1"/>
  <c r="J3455" i="1"/>
  <c r="Q3455" i="1"/>
  <c r="P3455" i="1" s="1"/>
  <c r="H3437" i="1"/>
  <c r="H3438" i="1"/>
  <c r="H3439" i="1"/>
  <c r="H3440" i="1"/>
  <c r="H3441" i="1"/>
  <c r="H3442" i="1"/>
  <c r="H3443" i="1"/>
  <c r="H3444" i="1"/>
  <c r="H3445" i="1"/>
  <c r="H3446" i="1"/>
  <c r="H3447" i="1"/>
  <c r="H3448" i="1"/>
  <c r="H3449" i="1"/>
  <c r="H3450" i="1"/>
  <c r="H3451" i="1"/>
  <c r="H3452" i="1"/>
  <c r="H3453" i="1"/>
  <c r="H3454" i="1"/>
  <c r="J3437" i="1"/>
  <c r="J3438" i="1"/>
  <c r="J3439" i="1"/>
  <c r="J3440" i="1"/>
  <c r="J3441" i="1"/>
  <c r="J3442" i="1"/>
  <c r="J3443" i="1"/>
  <c r="J3444" i="1"/>
  <c r="J3448" i="1"/>
  <c r="J3449" i="1"/>
  <c r="J3450" i="1"/>
  <c r="J3451" i="1"/>
  <c r="J3452" i="1"/>
  <c r="J3453" i="1"/>
  <c r="J3454" i="1"/>
  <c r="Q3437" i="1"/>
  <c r="P3437" i="1" s="1"/>
  <c r="Q3438" i="1"/>
  <c r="P3438" i="1" s="1"/>
  <c r="Q3439" i="1"/>
  <c r="P3439" i="1" s="1"/>
  <c r="Q3440" i="1"/>
  <c r="P3440" i="1" s="1"/>
  <c r="Q3441" i="1"/>
  <c r="P3441" i="1" s="1"/>
  <c r="Q3442" i="1"/>
  <c r="P3442" i="1" s="1"/>
  <c r="Q3443" i="1"/>
  <c r="P3443" i="1" s="1"/>
  <c r="Q3444" i="1"/>
  <c r="P3444" i="1" s="1"/>
  <c r="Q3445" i="1"/>
  <c r="P3445" i="1" s="1"/>
  <c r="Q3446" i="1"/>
  <c r="P3446" i="1" s="1"/>
  <c r="Q3447" i="1"/>
  <c r="P3447" i="1" s="1"/>
  <c r="Q3448" i="1"/>
  <c r="P3448" i="1" s="1"/>
  <c r="Q3449" i="1"/>
  <c r="P3449" i="1" s="1"/>
  <c r="Q3450" i="1"/>
  <c r="P3450" i="1" s="1"/>
  <c r="Q3451" i="1"/>
  <c r="P3451" i="1" s="1"/>
  <c r="Q3452" i="1"/>
  <c r="P3452" i="1" s="1"/>
  <c r="Q3453" i="1"/>
  <c r="P3453" i="1" s="1"/>
  <c r="Q3454" i="1"/>
  <c r="P3454" i="1" s="1"/>
  <c r="H3436" i="1"/>
  <c r="J3436" i="1"/>
  <c r="Q3436" i="1"/>
  <c r="P3436" i="1" s="1"/>
  <c r="H3435" i="1"/>
  <c r="Q3435" i="1"/>
  <c r="P3435" i="1" s="1"/>
  <c r="H3434" i="1"/>
  <c r="Q3434" i="1"/>
  <c r="P3434" i="1" s="1"/>
  <c r="H3421" i="1"/>
  <c r="H3422" i="1"/>
  <c r="H3423" i="1"/>
  <c r="H3424" i="1"/>
  <c r="H3425" i="1"/>
  <c r="H3426" i="1"/>
  <c r="H3427" i="1"/>
  <c r="H3428" i="1"/>
  <c r="H3429" i="1"/>
  <c r="H3430" i="1"/>
  <c r="H3431" i="1"/>
  <c r="H3432" i="1"/>
  <c r="H3433" i="1"/>
  <c r="J3422" i="1"/>
  <c r="J3423" i="1"/>
  <c r="J3424" i="1"/>
  <c r="J3425" i="1"/>
  <c r="J3426" i="1"/>
  <c r="J3427" i="1"/>
  <c r="J3428" i="1"/>
  <c r="J3431" i="1"/>
  <c r="J3432" i="1"/>
  <c r="J3433" i="1"/>
  <c r="Q3421" i="1"/>
  <c r="P3421" i="1" s="1"/>
  <c r="Q3422" i="1"/>
  <c r="P3422" i="1" s="1"/>
  <c r="Q3423" i="1"/>
  <c r="P3423" i="1" s="1"/>
  <c r="Q3424" i="1"/>
  <c r="P3424" i="1" s="1"/>
  <c r="Q3425" i="1"/>
  <c r="P3425" i="1" s="1"/>
  <c r="Q3426" i="1"/>
  <c r="P3426" i="1" s="1"/>
  <c r="Q3427" i="1"/>
  <c r="P3427" i="1" s="1"/>
  <c r="Q3428" i="1"/>
  <c r="P3428" i="1" s="1"/>
  <c r="Q3429" i="1"/>
  <c r="P3429" i="1" s="1"/>
  <c r="Q3430" i="1"/>
  <c r="P3430" i="1" s="1"/>
  <c r="Q3431" i="1"/>
  <c r="P3431" i="1" s="1"/>
  <c r="Q3432" i="1"/>
  <c r="P3432" i="1" s="1"/>
  <c r="Q3433" i="1"/>
  <c r="P3433" i="1" s="1"/>
  <c r="J3407" i="1"/>
  <c r="J3406" i="1"/>
  <c r="J3405" i="1"/>
  <c r="J3391" i="1"/>
  <c r="J3390" i="1"/>
  <c r="J3389" i="1"/>
  <c r="J3375" i="1"/>
  <c r="J3374" i="1"/>
  <c r="J3373" i="1"/>
  <c r="J3359" i="1"/>
  <c r="J3358" i="1"/>
  <c r="J3357" i="1"/>
  <c r="J3342" i="1"/>
  <c r="J3341" i="1"/>
  <c r="J3326" i="1"/>
  <c r="J3325" i="1"/>
  <c r="J3311" i="1"/>
  <c r="J3310" i="1"/>
  <c r="J3309" i="1"/>
  <c r="J3295" i="1"/>
  <c r="J3294" i="1"/>
  <c r="J3293" i="1"/>
  <c r="J3279" i="1"/>
  <c r="J3278" i="1"/>
  <c r="J3277" i="1"/>
  <c r="J3263" i="1"/>
  <c r="J3262" i="1"/>
  <c r="J3261" i="1"/>
  <c r="J3247" i="1"/>
  <c r="J3246" i="1"/>
  <c r="J3245" i="1"/>
  <c r="H3243" i="1"/>
  <c r="H3244" i="1"/>
  <c r="H3245" i="1"/>
  <c r="H3246" i="1"/>
  <c r="H3247" i="1"/>
  <c r="H3248" i="1"/>
  <c r="H3249" i="1"/>
  <c r="H3250" i="1"/>
  <c r="H3251" i="1"/>
  <c r="H3252" i="1"/>
  <c r="H3253" i="1"/>
  <c r="H3254" i="1"/>
  <c r="H3255" i="1"/>
  <c r="H3256" i="1"/>
  <c r="H3257" i="1"/>
  <c r="H3258" i="1"/>
  <c r="H3259" i="1"/>
  <c r="H3260" i="1"/>
  <c r="H3261" i="1"/>
  <c r="H3262" i="1"/>
  <c r="H3263" i="1"/>
  <c r="H3264" i="1"/>
  <c r="H3265" i="1"/>
  <c r="H3266" i="1"/>
  <c r="H3267" i="1"/>
  <c r="H3268" i="1"/>
  <c r="H3269" i="1"/>
  <c r="H3270" i="1"/>
  <c r="H3271" i="1"/>
  <c r="H3272" i="1"/>
  <c r="H3273" i="1"/>
  <c r="H3274" i="1"/>
  <c r="H3275" i="1"/>
  <c r="H3276" i="1"/>
  <c r="H3277" i="1"/>
  <c r="H3278" i="1"/>
  <c r="H3279" i="1"/>
  <c r="H3280" i="1"/>
  <c r="H3281" i="1"/>
  <c r="H3282" i="1"/>
  <c r="H3283" i="1"/>
  <c r="H3284" i="1"/>
  <c r="H3285" i="1"/>
  <c r="H3286" i="1"/>
  <c r="H3287" i="1"/>
  <c r="H3288" i="1"/>
  <c r="H3289" i="1"/>
  <c r="H3290" i="1"/>
  <c r="H3291" i="1"/>
  <c r="H3292" i="1"/>
  <c r="H3293" i="1"/>
  <c r="H3294" i="1"/>
  <c r="H3295" i="1"/>
  <c r="H3296" i="1"/>
  <c r="H3297" i="1"/>
  <c r="H3298" i="1"/>
  <c r="H3299" i="1"/>
  <c r="H3300" i="1"/>
  <c r="H3301" i="1"/>
  <c r="H3302" i="1"/>
  <c r="H3303" i="1"/>
  <c r="H3304" i="1"/>
  <c r="H3305" i="1"/>
  <c r="H3306" i="1"/>
  <c r="H3307" i="1"/>
  <c r="H3308" i="1"/>
  <c r="H3309" i="1"/>
  <c r="H3310" i="1"/>
  <c r="H3311" i="1"/>
  <c r="H3312" i="1"/>
  <c r="H3313" i="1"/>
  <c r="H3314" i="1"/>
  <c r="H3315" i="1"/>
  <c r="H3316" i="1"/>
  <c r="H3317" i="1"/>
  <c r="H3318" i="1"/>
  <c r="H3319" i="1"/>
  <c r="H3320" i="1"/>
  <c r="H3321" i="1"/>
  <c r="H3322" i="1"/>
  <c r="H3323" i="1"/>
  <c r="H3324" i="1"/>
  <c r="H3325" i="1"/>
  <c r="H3326" i="1"/>
  <c r="H3327" i="1"/>
  <c r="H3328" i="1"/>
  <c r="H3329" i="1"/>
  <c r="H3330" i="1"/>
  <c r="H3331" i="1"/>
  <c r="H3332" i="1"/>
  <c r="H3333" i="1"/>
  <c r="H3334" i="1"/>
  <c r="H3335" i="1"/>
  <c r="H3336" i="1"/>
  <c r="H3337" i="1"/>
  <c r="H3338" i="1"/>
  <c r="H3339" i="1"/>
  <c r="H3340" i="1"/>
  <c r="H3341" i="1"/>
  <c r="H3342" i="1"/>
  <c r="H3343" i="1"/>
  <c r="H3344" i="1"/>
  <c r="H3345" i="1"/>
  <c r="H3346" i="1"/>
  <c r="H3347" i="1"/>
  <c r="H3348" i="1"/>
  <c r="H3349" i="1"/>
  <c r="H3350" i="1"/>
  <c r="H3351" i="1"/>
  <c r="H3352" i="1"/>
  <c r="H3353" i="1"/>
  <c r="H3354" i="1"/>
  <c r="H3355" i="1"/>
  <c r="H3356" i="1"/>
  <c r="H3357" i="1"/>
  <c r="H3358" i="1"/>
  <c r="H3359" i="1"/>
  <c r="H3360" i="1"/>
  <c r="H3361" i="1"/>
  <c r="H3362" i="1"/>
  <c r="H3363" i="1"/>
  <c r="H3364" i="1"/>
  <c r="H3365" i="1"/>
  <c r="H3366" i="1"/>
  <c r="H3367" i="1"/>
  <c r="H3368" i="1"/>
  <c r="H3369" i="1"/>
  <c r="H3370" i="1"/>
  <c r="H3371" i="1"/>
  <c r="H3372" i="1"/>
  <c r="H3373" i="1"/>
  <c r="H3374" i="1"/>
  <c r="H3375" i="1"/>
  <c r="H3376" i="1"/>
  <c r="H3377" i="1"/>
  <c r="H3378" i="1"/>
  <c r="H3379" i="1"/>
  <c r="H3380" i="1"/>
  <c r="H3381" i="1"/>
  <c r="H3382" i="1"/>
  <c r="H3383" i="1"/>
  <c r="H3384" i="1"/>
  <c r="H3385" i="1"/>
  <c r="H3386" i="1"/>
  <c r="H3387" i="1"/>
  <c r="H3388" i="1"/>
  <c r="H3389" i="1"/>
  <c r="H3390" i="1"/>
  <c r="H3391" i="1"/>
  <c r="H3392" i="1"/>
  <c r="H3393" i="1"/>
  <c r="H3394" i="1"/>
  <c r="H3395" i="1"/>
  <c r="H3396" i="1"/>
  <c r="H3397" i="1"/>
  <c r="H3398" i="1"/>
  <c r="H3399" i="1"/>
  <c r="H3400" i="1"/>
  <c r="H3401" i="1"/>
  <c r="H3402" i="1"/>
  <c r="H3403" i="1"/>
  <c r="H3404" i="1"/>
  <c r="H3405" i="1"/>
  <c r="H3406" i="1"/>
  <c r="H3407" i="1"/>
  <c r="H3408" i="1"/>
  <c r="H3409" i="1"/>
  <c r="H3410" i="1"/>
  <c r="H3411" i="1"/>
  <c r="H3412" i="1"/>
  <c r="H3413" i="1"/>
  <c r="H3414" i="1"/>
  <c r="H3415" i="1"/>
  <c r="H3416" i="1"/>
  <c r="H3417" i="1"/>
  <c r="H3418" i="1"/>
  <c r="H3419" i="1"/>
  <c r="H3420" i="1"/>
  <c r="J3243" i="1"/>
  <c r="J3244" i="1"/>
  <c r="J3249" i="1"/>
  <c r="J3250" i="1"/>
  <c r="J3252" i="1"/>
  <c r="J3254" i="1"/>
  <c r="J3255" i="1"/>
  <c r="J3256" i="1"/>
  <c r="J3257" i="1"/>
  <c r="J3258" i="1"/>
  <c r="J3259" i="1"/>
  <c r="J3260" i="1"/>
  <c r="J3264" i="1"/>
  <c r="J3265" i="1"/>
  <c r="J3266" i="1"/>
  <c r="J3267" i="1"/>
  <c r="J3268" i="1"/>
  <c r="J3271" i="1"/>
  <c r="J3272" i="1"/>
  <c r="J3273" i="1"/>
  <c r="J3274" i="1"/>
  <c r="J3275" i="1"/>
  <c r="J3276" i="1"/>
  <c r="J3280" i="1"/>
  <c r="J3281" i="1"/>
  <c r="J3282" i="1"/>
  <c r="J3283" i="1"/>
  <c r="J3287" i="1"/>
  <c r="J3288" i="1"/>
  <c r="J3289" i="1"/>
  <c r="J3290" i="1"/>
  <c r="J3291" i="1"/>
  <c r="J3292" i="1"/>
  <c r="J3296" i="1"/>
  <c r="J3297" i="1"/>
  <c r="J3298" i="1"/>
  <c r="J3299" i="1"/>
  <c r="J3303" i="1"/>
  <c r="J3305" i="1"/>
  <c r="J3306" i="1"/>
  <c r="J3307" i="1"/>
  <c r="J3312" i="1"/>
  <c r="J3313" i="1"/>
  <c r="J3314" i="1"/>
  <c r="J3315" i="1"/>
  <c r="J3318" i="1"/>
  <c r="J3319" i="1"/>
  <c r="J3321" i="1"/>
  <c r="J3322" i="1"/>
  <c r="J3323" i="1"/>
  <c r="J3327" i="1"/>
  <c r="J3328" i="1"/>
  <c r="J3329" i="1"/>
  <c r="J3330" i="1"/>
  <c r="J3331" i="1"/>
  <c r="J3332" i="1"/>
  <c r="J3334" i="1"/>
  <c r="J3335" i="1"/>
  <c r="J3336" i="1"/>
  <c r="J3337" i="1"/>
  <c r="J3338" i="1"/>
  <c r="J3340" i="1"/>
  <c r="J3348" i="1"/>
  <c r="J3351" i="1"/>
  <c r="J3352" i="1"/>
  <c r="J3353" i="1"/>
  <c r="J3354" i="1"/>
  <c r="J3356" i="1"/>
  <c r="J3360" i="1"/>
  <c r="J3361" i="1"/>
  <c r="J3362" i="1"/>
  <c r="J3363" i="1"/>
  <c r="J3364" i="1"/>
  <c r="J3367" i="1"/>
  <c r="J3368" i="1"/>
  <c r="J3369" i="1"/>
  <c r="J3371" i="1"/>
  <c r="J3372" i="1"/>
  <c r="J3376" i="1"/>
  <c r="J3377" i="1"/>
  <c r="J3378" i="1"/>
  <c r="J3379" i="1"/>
  <c r="J3380" i="1"/>
  <c r="J3383" i="1"/>
  <c r="J3384" i="1"/>
  <c r="J3385" i="1"/>
  <c r="J3388" i="1"/>
  <c r="J3392" i="1"/>
  <c r="J3393" i="1"/>
  <c r="J3394" i="1"/>
  <c r="J3395" i="1"/>
  <c r="J3396" i="1"/>
  <c r="J3399" i="1"/>
  <c r="J3400" i="1"/>
  <c r="J3401" i="1"/>
  <c r="J3408" i="1"/>
  <c r="J3409" i="1"/>
  <c r="J3410" i="1"/>
  <c r="J3411" i="1"/>
  <c r="J3412" i="1"/>
  <c r="J3415" i="1"/>
  <c r="J3416" i="1"/>
  <c r="J3417" i="1"/>
  <c r="J3419" i="1"/>
  <c r="Q3243" i="1"/>
  <c r="P3243" i="1" s="1"/>
  <c r="Q3244" i="1"/>
  <c r="P3244" i="1" s="1"/>
  <c r="Q3245" i="1"/>
  <c r="P3245" i="1" s="1"/>
  <c r="Q3246" i="1"/>
  <c r="P3246" i="1" s="1"/>
  <c r="Q3247" i="1"/>
  <c r="P3247" i="1" s="1"/>
  <c r="Q3248" i="1"/>
  <c r="P3248" i="1" s="1"/>
  <c r="Q3249" i="1"/>
  <c r="P3249" i="1" s="1"/>
  <c r="Q3250" i="1"/>
  <c r="P3250" i="1" s="1"/>
  <c r="Q3251" i="1"/>
  <c r="P3251" i="1" s="1"/>
  <c r="Q3252" i="1"/>
  <c r="P3252" i="1" s="1"/>
  <c r="Q3253" i="1"/>
  <c r="P3253" i="1" s="1"/>
  <c r="Q3254" i="1"/>
  <c r="P3254" i="1" s="1"/>
  <c r="Q3255" i="1"/>
  <c r="P3255" i="1" s="1"/>
  <c r="Q3256" i="1"/>
  <c r="P3256" i="1" s="1"/>
  <c r="Q3257" i="1"/>
  <c r="P3257" i="1" s="1"/>
  <c r="Q3258" i="1"/>
  <c r="P3258" i="1" s="1"/>
  <c r="Q3259" i="1"/>
  <c r="P3259" i="1" s="1"/>
  <c r="Q3260" i="1"/>
  <c r="P3260" i="1" s="1"/>
  <c r="Q3261" i="1"/>
  <c r="P3261" i="1" s="1"/>
  <c r="Q3262" i="1"/>
  <c r="P3262" i="1" s="1"/>
  <c r="Q3263" i="1"/>
  <c r="P3263" i="1" s="1"/>
  <c r="Q3264" i="1"/>
  <c r="P3264" i="1" s="1"/>
  <c r="Q3265" i="1"/>
  <c r="P3265" i="1" s="1"/>
  <c r="Q3266" i="1"/>
  <c r="P3266" i="1" s="1"/>
  <c r="Q3267" i="1"/>
  <c r="P3267" i="1" s="1"/>
  <c r="Q3268" i="1"/>
  <c r="P3268" i="1" s="1"/>
  <c r="Q3269" i="1"/>
  <c r="P3269" i="1" s="1"/>
  <c r="Q3270" i="1"/>
  <c r="P3270" i="1" s="1"/>
  <c r="Q3271" i="1"/>
  <c r="P3271" i="1" s="1"/>
  <c r="Q3272" i="1"/>
  <c r="P3272" i="1" s="1"/>
  <c r="Q3273" i="1"/>
  <c r="P3273" i="1" s="1"/>
  <c r="Q3274" i="1"/>
  <c r="P3274" i="1" s="1"/>
  <c r="Q3275" i="1"/>
  <c r="P3275" i="1" s="1"/>
  <c r="Q3276" i="1"/>
  <c r="P3276" i="1" s="1"/>
  <c r="Q3277" i="1"/>
  <c r="P3277" i="1" s="1"/>
  <c r="Q3278" i="1"/>
  <c r="P3278" i="1" s="1"/>
  <c r="Q3279" i="1"/>
  <c r="P3279" i="1" s="1"/>
  <c r="Q3280" i="1"/>
  <c r="P3280" i="1" s="1"/>
  <c r="Q3281" i="1"/>
  <c r="P3281" i="1" s="1"/>
  <c r="Q3282" i="1"/>
  <c r="P3282" i="1" s="1"/>
  <c r="Q3283" i="1"/>
  <c r="P3283" i="1" s="1"/>
  <c r="Q3284" i="1"/>
  <c r="P3284" i="1" s="1"/>
  <c r="Q3285" i="1"/>
  <c r="P3285" i="1" s="1"/>
  <c r="Q3286" i="1"/>
  <c r="P3286" i="1" s="1"/>
  <c r="Q3287" i="1"/>
  <c r="P3287" i="1" s="1"/>
  <c r="Q3288" i="1"/>
  <c r="P3288" i="1" s="1"/>
  <c r="Q3289" i="1"/>
  <c r="P3289" i="1" s="1"/>
  <c r="Q3290" i="1"/>
  <c r="P3290" i="1" s="1"/>
  <c r="Q3291" i="1"/>
  <c r="P3291" i="1" s="1"/>
  <c r="Q3292" i="1"/>
  <c r="P3292" i="1" s="1"/>
  <c r="Q3293" i="1"/>
  <c r="P3293" i="1" s="1"/>
  <c r="Q3294" i="1"/>
  <c r="P3294" i="1" s="1"/>
  <c r="Q3295" i="1"/>
  <c r="P3295" i="1" s="1"/>
  <c r="Q3296" i="1"/>
  <c r="P3296" i="1" s="1"/>
  <c r="Q3297" i="1"/>
  <c r="P3297" i="1" s="1"/>
  <c r="Q3298" i="1"/>
  <c r="P3298" i="1" s="1"/>
  <c r="Q3299" i="1"/>
  <c r="P3299" i="1" s="1"/>
  <c r="Q3300" i="1"/>
  <c r="P3300" i="1" s="1"/>
  <c r="Q3301" i="1"/>
  <c r="P3301" i="1" s="1"/>
  <c r="Q3302" i="1"/>
  <c r="P3302" i="1" s="1"/>
  <c r="Q3303" i="1"/>
  <c r="P3303" i="1" s="1"/>
  <c r="Q3304" i="1"/>
  <c r="P3304" i="1" s="1"/>
  <c r="Q3305" i="1"/>
  <c r="P3305" i="1" s="1"/>
  <c r="Q3306" i="1"/>
  <c r="P3306" i="1" s="1"/>
  <c r="Q3307" i="1"/>
  <c r="P3307" i="1" s="1"/>
  <c r="Q3308" i="1"/>
  <c r="P3308" i="1" s="1"/>
  <c r="Q3309" i="1"/>
  <c r="P3309" i="1" s="1"/>
  <c r="Q3310" i="1"/>
  <c r="P3310" i="1" s="1"/>
  <c r="Q3311" i="1"/>
  <c r="P3311" i="1" s="1"/>
  <c r="Q3312" i="1"/>
  <c r="P3312" i="1" s="1"/>
  <c r="Q3313" i="1"/>
  <c r="P3313" i="1" s="1"/>
  <c r="Q3314" i="1"/>
  <c r="P3314" i="1" s="1"/>
  <c r="Q3315" i="1"/>
  <c r="P3315" i="1" s="1"/>
  <c r="Q3316" i="1"/>
  <c r="P3316" i="1" s="1"/>
  <c r="Q3317" i="1"/>
  <c r="P3317" i="1" s="1"/>
  <c r="Q3318" i="1"/>
  <c r="P3318" i="1" s="1"/>
  <c r="Q3319" i="1"/>
  <c r="P3319" i="1" s="1"/>
  <c r="Q3320" i="1"/>
  <c r="P3320" i="1" s="1"/>
  <c r="Q3321" i="1"/>
  <c r="P3321" i="1" s="1"/>
  <c r="Q3322" i="1"/>
  <c r="P3322" i="1" s="1"/>
  <c r="Q3323" i="1"/>
  <c r="P3323" i="1" s="1"/>
  <c r="Q3324" i="1"/>
  <c r="P3324" i="1" s="1"/>
  <c r="Q3325" i="1"/>
  <c r="P3325" i="1" s="1"/>
  <c r="Q3326" i="1"/>
  <c r="P3326" i="1" s="1"/>
  <c r="Q3327" i="1"/>
  <c r="P3327" i="1" s="1"/>
  <c r="Q3328" i="1"/>
  <c r="P3328" i="1" s="1"/>
  <c r="Q3329" i="1"/>
  <c r="P3329" i="1" s="1"/>
  <c r="Q3330" i="1"/>
  <c r="P3330" i="1" s="1"/>
  <c r="Q3331" i="1"/>
  <c r="P3331" i="1" s="1"/>
  <c r="Q3332" i="1"/>
  <c r="P3332" i="1" s="1"/>
  <c r="Q3333" i="1"/>
  <c r="P3333" i="1" s="1"/>
  <c r="Q3334" i="1"/>
  <c r="P3334" i="1" s="1"/>
  <c r="Q3335" i="1"/>
  <c r="P3335" i="1" s="1"/>
  <c r="Q3336" i="1"/>
  <c r="P3336" i="1" s="1"/>
  <c r="Q3337" i="1"/>
  <c r="P3337" i="1" s="1"/>
  <c r="Q3338" i="1"/>
  <c r="P3338" i="1" s="1"/>
  <c r="Q3339" i="1"/>
  <c r="P3339" i="1" s="1"/>
  <c r="Q3340" i="1"/>
  <c r="P3340" i="1" s="1"/>
  <c r="Q3341" i="1"/>
  <c r="P3341" i="1" s="1"/>
  <c r="Q3342" i="1"/>
  <c r="P3342" i="1" s="1"/>
  <c r="Q3343" i="1"/>
  <c r="P3343" i="1" s="1"/>
  <c r="Q3344" i="1"/>
  <c r="P3344" i="1" s="1"/>
  <c r="Q3345" i="1"/>
  <c r="P3345" i="1" s="1"/>
  <c r="Q3346" i="1"/>
  <c r="P3346" i="1" s="1"/>
  <c r="Q3347" i="1"/>
  <c r="P3347" i="1" s="1"/>
  <c r="Q3348" i="1"/>
  <c r="P3348" i="1" s="1"/>
  <c r="Q3349" i="1"/>
  <c r="P3349" i="1" s="1"/>
  <c r="Q3350" i="1"/>
  <c r="P3350" i="1" s="1"/>
  <c r="Q3351" i="1"/>
  <c r="P3351" i="1" s="1"/>
  <c r="Q3352" i="1"/>
  <c r="P3352" i="1" s="1"/>
  <c r="Q3353" i="1"/>
  <c r="P3353" i="1" s="1"/>
  <c r="Q3354" i="1"/>
  <c r="P3354" i="1" s="1"/>
  <c r="Q3355" i="1"/>
  <c r="P3355" i="1" s="1"/>
  <c r="Q3356" i="1"/>
  <c r="P3356" i="1" s="1"/>
  <c r="Q3357" i="1"/>
  <c r="P3357" i="1" s="1"/>
  <c r="Q3358" i="1"/>
  <c r="P3358" i="1" s="1"/>
  <c r="Q3359" i="1"/>
  <c r="P3359" i="1" s="1"/>
  <c r="Q3360" i="1"/>
  <c r="P3360" i="1" s="1"/>
  <c r="Q3361" i="1"/>
  <c r="P3361" i="1" s="1"/>
  <c r="Q3362" i="1"/>
  <c r="P3362" i="1" s="1"/>
  <c r="Q3363" i="1"/>
  <c r="P3363" i="1" s="1"/>
  <c r="Q3364" i="1"/>
  <c r="P3364" i="1" s="1"/>
  <c r="Q3365" i="1"/>
  <c r="P3365" i="1" s="1"/>
  <c r="Q3366" i="1"/>
  <c r="P3366" i="1" s="1"/>
  <c r="Q3367" i="1"/>
  <c r="P3367" i="1" s="1"/>
  <c r="Q3368" i="1"/>
  <c r="P3368" i="1" s="1"/>
  <c r="Q3369" i="1"/>
  <c r="P3369" i="1" s="1"/>
  <c r="Q3370" i="1"/>
  <c r="P3370" i="1" s="1"/>
  <c r="Q3371" i="1"/>
  <c r="P3371" i="1" s="1"/>
  <c r="Q3372" i="1"/>
  <c r="P3372" i="1" s="1"/>
  <c r="Q3373" i="1"/>
  <c r="P3373" i="1" s="1"/>
  <c r="Q3374" i="1"/>
  <c r="P3374" i="1" s="1"/>
  <c r="Q3375" i="1"/>
  <c r="P3375" i="1" s="1"/>
  <c r="Q3376" i="1"/>
  <c r="P3376" i="1" s="1"/>
  <c r="Q3377" i="1"/>
  <c r="P3377" i="1" s="1"/>
  <c r="Q3378" i="1"/>
  <c r="P3378" i="1" s="1"/>
  <c r="Q3379" i="1"/>
  <c r="P3379" i="1" s="1"/>
  <c r="Q3380" i="1"/>
  <c r="P3380" i="1" s="1"/>
  <c r="Q3381" i="1"/>
  <c r="P3381" i="1" s="1"/>
  <c r="Q3382" i="1"/>
  <c r="P3382" i="1" s="1"/>
  <c r="Q3383" i="1"/>
  <c r="P3383" i="1" s="1"/>
  <c r="Q3384" i="1"/>
  <c r="P3384" i="1" s="1"/>
  <c r="Q3385" i="1"/>
  <c r="P3385" i="1" s="1"/>
  <c r="Q3386" i="1"/>
  <c r="P3386" i="1" s="1"/>
  <c r="Q3387" i="1"/>
  <c r="P3387" i="1" s="1"/>
  <c r="Q3388" i="1"/>
  <c r="P3388" i="1" s="1"/>
  <c r="Q3389" i="1"/>
  <c r="P3389" i="1" s="1"/>
  <c r="Q3390" i="1"/>
  <c r="P3390" i="1" s="1"/>
  <c r="Q3391" i="1"/>
  <c r="P3391" i="1" s="1"/>
  <c r="Q3392" i="1"/>
  <c r="P3392" i="1" s="1"/>
  <c r="Q3393" i="1"/>
  <c r="P3393" i="1" s="1"/>
  <c r="Q3394" i="1"/>
  <c r="P3394" i="1" s="1"/>
  <c r="Q3395" i="1"/>
  <c r="P3395" i="1" s="1"/>
  <c r="Q3396" i="1"/>
  <c r="P3396" i="1" s="1"/>
  <c r="Q3397" i="1"/>
  <c r="P3397" i="1" s="1"/>
  <c r="Q3398" i="1"/>
  <c r="P3398" i="1" s="1"/>
  <c r="Q3399" i="1"/>
  <c r="P3399" i="1" s="1"/>
  <c r="Q3400" i="1"/>
  <c r="P3400" i="1" s="1"/>
  <c r="Q3401" i="1"/>
  <c r="P3401" i="1" s="1"/>
  <c r="Q3402" i="1"/>
  <c r="P3402" i="1" s="1"/>
  <c r="Q3403" i="1"/>
  <c r="P3403" i="1" s="1"/>
  <c r="Q3404" i="1"/>
  <c r="P3404" i="1" s="1"/>
  <c r="Q3405" i="1"/>
  <c r="P3405" i="1" s="1"/>
  <c r="Q3406" i="1"/>
  <c r="P3406" i="1" s="1"/>
  <c r="Q3407" i="1"/>
  <c r="P3407" i="1" s="1"/>
  <c r="Q3408" i="1"/>
  <c r="P3408" i="1" s="1"/>
  <c r="Q3409" i="1"/>
  <c r="P3409" i="1" s="1"/>
  <c r="Q3410" i="1"/>
  <c r="P3410" i="1" s="1"/>
  <c r="Q3411" i="1"/>
  <c r="P3411" i="1" s="1"/>
  <c r="Q3412" i="1"/>
  <c r="P3412" i="1" s="1"/>
  <c r="Q3413" i="1"/>
  <c r="P3413" i="1" s="1"/>
  <c r="Q3414" i="1"/>
  <c r="P3414" i="1" s="1"/>
  <c r="Q3415" i="1"/>
  <c r="P3415" i="1" s="1"/>
  <c r="Q3416" i="1"/>
  <c r="P3416" i="1" s="1"/>
  <c r="Q3417" i="1"/>
  <c r="P3417" i="1" s="1"/>
  <c r="Q3418" i="1"/>
  <c r="P3418" i="1" s="1"/>
  <c r="Q3419" i="1"/>
  <c r="P3419" i="1" s="1"/>
  <c r="Q3420" i="1"/>
  <c r="P3420" i="1" s="1"/>
  <c r="H3232" i="1"/>
  <c r="H3233" i="1"/>
  <c r="H3234" i="1"/>
  <c r="H3235" i="1"/>
  <c r="H3236" i="1"/>
  <c r="H3237" i="1"/>
  <c r="H3238" i="1"/>
  <c r="H3239" i="1"/>
  <c r="H3240" i="1"/>
  <c r="H3241" i="1"/>
  <c r="H3242" i="1"/>
  <c r="J3232" i="1"/>
  <c r="J3233" i="1"/>
  <c r="J3234" i="1"/>
  <c r="J3235" i="1"/>
  <c r="J3236" i="1"/>
  <c r="J3237" i="1"/>
  <c r="J3238" i="1"/>
  <c r="J3239" i="1"/>
  <c r="J3240" i="1"/>
  <c r="J3241" i="1"/>
  <c r="J3242" i="1"/>
  <c r="Q3232" i="1"/>
  <c r="P3232" i="1" s="1"/>
  <c r="Q3233" i="1"/>
  <c r="P3233" i="1" s="1"/>
  <c r="Q3234" i="1"/>
  <c r="P3234" i="1" s="1"/>
  <c r="Q3235" i="1"/>
  <c r="P3235" i="1" s="1"/>
  <c r="Q3236" i="1"/>
  <c r="P3236" i="1" s="1"/>
  <c r="Q3237" i="1"/>
  <c r="P3237" i="1" s="1"/>
  <c r="Q3238" i="1"/>
  <c r="P3238" i="1" s="1"/>
  <c r="Q3239" i="1"/>
  <c r="P3239" i="1" s="1"/>
  <c r="Q3240" i="1"/>
  <c r="P3240" i="1" s="1"/>
  <c r="Q3241" i="1"/>
  <c r="P3241" i="1" s="1"/>
  <c r="Q3242" i="1"/>
  <c r="P3242" i="1" s="1"/>
  <c r="J2921" i="1"/>
  <c r="H2937" i="1"/>
  <c r="H2938" i="1"/>
  <c r="H2939" i="1"/>
  <c r="H2940" i="1"/>
  <c r="H2941" i="1"/>
  <c r="H2942" i="1"/>
  <c r="H2943" i="1"/>
  <c r="H2944" i="1"/>
  <c r="H2945" i="1"/>
  <c r="H2946" i="1"/>
  <c r="H2947" i="1"/>
  <c r="H2948" i="1"/>
  <c r="H2949" i="1"/>
  <c r="H2950" i="1"/>
  <c r="H2951" i="1"/>
  <c r="H2952" i="1"/>
  <c r="H2953" i="1"/>
  <c r="H2954" i="1"/>
  <c r="H2955" i="1"/>
  <c r="H2956" i="1"/>
  <c r="H2957" i="1"/>
  <c r="H2958" i="1"/>
  <c r="H2959" i="1"/>
  <c r="H2960" i="1"/>
  <c r="H2961" i="1"/>
  <c r="H2962" i="1"/>
  <c r="H2963" i="1"/>
  <c r="H2964" i="1"/>
  <c r="H2965" i="1"/>
  <c r="H2966" i="1"/>
  <c r="H2967" i="1"/>
  <c r="H2968" i="1"/>
  <c r="H2969" i="1"/>
  <c r="H2970" i="1"/>
  <c r="H2971" i="1"/>
  <c r="H2972" i="1"/>
  <c r="H2973" i="1"/>
  <c r="H2974" i="1"/>
  <c r="H2975" i="1"/>
  <c r="H2976" i="1"/>
  <c r="H2977" i="1"/>
  <c r="H2978" i="1"/>
  <c r="H2979" i="1"/>
  <c r="H2980" i="1"/>
  <c r="H2981" i="1"/>
  <c r="H2982" i="1"/>
  <c r="H2983" i="1"/>
  <c r="H2984" i="1"/>
  <c r="H2985" i="1"/>
  <c r="H2986" i="1"/>
  <c r="H2987" i="1"/>
  <c r="H2988" i="1"/>
  <c r="H2989" i="1"/>
  <c r="H2990" i="1"/>
  <c r="H2991" i="1"/>
  <c r="H2992" i="1"/>
  <c r="H2993" i="1"/>
  <c r="H2994" i="1"/>
  <c r="H2995" i="1"/>
  <c r="H2996" i="1"/>
  <c r="H2997" i="1"/>
  <c r="H2998" i="1"/>
  <c r="H2999" i="1"/>
  <c r="H3000" i="1"/>
  <c r="H3001" i="1"/>
  <c r="H3002" i="1"/>
  <c r="H3003" i="1"/>
  <c r="H3004" i="1"/>
  <c r="H3005" i="1"/>
  <c r="H3006" i="1"/>
  <c r="H3007" i="1"/>
  <c r="H3008" i="1"/>
  <c r="H3009" i="1"/>
  <c r="H3010" i="1"/>
  <c r="H3011" i="1"/>
  <c r="H3012" i="1"/>
  <c r="H3013" i="1"/>
  <c r="H3014" i="1"/>
  <c r="H3015" i="1"/>
  <c r="H3016" i="1"/>
  <c r="H3017" i="1"/>
  <c r="H3018" i="1"/>
  <c r="H3019" i="1"/>
  <c r="H3020" i="1"/>
  <c r="H3021" i="1"/>
  <c r="H3022" i="1"/>
  <c r="H3023" i="1"/>
  <c r="H3024" i="1"/>
  <c r="H3025" i="1"/>
  <c r="H3026" i="1"/>
  <c r="H3027" i="1"/>
  <c r="H3028" i="1"/>
  <c r="H3029" i="1"/>
  <c r="H3030" i="1"/>
  <c r="H3031" i="1"/>
  <c r="H3032" i="1"/>
  <c r="H3033" i="1"/>
  <c r="H3034" i="1"/>
  <c r="H3035" i="1"/>
  <c r="H3036" i="1"/>
  <c r="H3037" i="1"/>
  <c r="H3038" i="1"/>
  <c r="H3039" i="1"/>
  <c r="H3040" i="1"/>
  <c r="H3041" i="1"/>
  <c r="H3042" i="1"/>
  <c r="H3043" i="1"/>
  <c r="H3044" i="1"/>
  <c r="H3045" i="1"/>
  <c r="H3046" i="1"/>
  <c r="H3047" i="1"/>
  <c r="H3048" i="1"/>
  <c r="H3049" i="1"/>
  <c r="H3050" i="1"/>
  <c r="H3051" i="1"/>
  <c r="H3052" i="1"/>
  <c r="H3053" i="1"/>
  <c r="H3054" i="1"/>
  <c r="H3055" i="1"/>
  <c r="H3056" i="1"/>
  <c r="H3057" i="1"/>
  <c r="H3058" i="1"/>
  <c r="H3059" i="1"/>
  <c r="H3060" i="1"/>
  <c r="H3061" i="1"/>
  <c r="H3062" i="1"/>
  <c r="H3063" i="1"/>
  <c r="H3064" i="1"/>
  <c r="H3065" i="1"/>
  <c r="H3066" i="1"/>
  <c r="H3067" i="1"/>
  <c r="H3068" i="1"/>
  <c r="H3069" i="1"/>
  <c r="H3070" i="1"/>
  <c r="H3071" i="1"/>
  <c r="H3072" i="1"/>
  <c r="H3073" i="1"/>
  <c r="H3074" i="1"/>
  <c r="H3075" i="1"/>
  <c r="H3076" i="1"/>
  <c r="H3077" i="1"/>
  <c r="H3078" i="1"/>
  <c r="H3079" i="1"/>
  <c r="H3080" i="1"/>
  <c r="H3081" i="1"/>
  <c r="H3082" i="1"/>
  <c r="H3083" i="1"/>
  <c r="H3084" i="1"/>
  <c r="H3085" i="1"/>
  <c r="H3086" i="1"/>
  <c r="H3087" i="1"/>
  <c r="H3088" i="1"/>
  <c r="H3089" i="1"/>
  <c r="H3090" i="1"/>
  <c r="H3091" i="1"/>
  <c r="H3092" i="1"/>
  <c r="H3093" i="1"/>
  <c r="H3094" i="1"/>
  <c r="H3095" i="1"/>
  <c r="H3096" i="1"/>
  <c r="H3097" i="1"/>
  <c r="H3098" i="1"/>
  <c r="H3099" i="1"/>
  <c r="H3100" i="1"/>
  <c r="H3101" i="1"/>
  <c r="H3102" i="1"/>
  <c r="H3103" i="1"/>
  <c r="H3104" i="1"/>
  <c r="H3105" i="1"/>
  <c r="H3106" i="1"/>
  <c r="H3107" i="1"/>
  <c r="H3108" i="1"/>
  <c r="H3109" i="1"/>
  <c r="H3110" i="1"/>
  <c r="H3111" i="1"/>
  <c r="H3112" i="1"/>
  <c r="H3113" i="1"/>
  <c r="H3114" i="1"/>
  <c r="H3115" i="1"/>
  <c r="H3116" i="1"/>
  <c r="H3117" i="1"/>
  <c r="H3118" i="1"/>
  <c r="H3119" i="1"/>
  <c r="H3120" i="1"/>
  <c r="H3121" i="1"/>
  <c r="H3122" i="1"/>
  <c r="H3123" i="1"/>
  <c r="H3124" i="1"/>
  <c r="H3125" i="1"/>
  <c r="H3126" i="1"/>
  <c r="H3127" i="1"/>
  <c r="H3128" i="1"/>
  <c r="H3129" i="1"/>
  <c r="H3130" i="1"/>
  <c r="H3131" i="1"/>
  <c r="H3132" i="1"/>
  <c r="H3133" i="1"/>
  <c r="H3134" i="1"/>
  <c r="H3135" i="1"/>
  <c r="H3136" i="1"/>
  <c r="H3137" i="1"/>
  <c r="H3138" i="1"/>
  <c r="H3139" i="1"/>
  <c r="H3140" i="1"/>
  <c r="H3141" i="1"/>
  <c r="H3142" i="1"/>
  <c r="H3143" i="1"/>
  <c r="H3144" i="1"/>
  <c r="H3145" i="1"/>
  <c r="H3146" i="1"/>
  <c r="H3147" i="1"/>
  <c r="H3148" i="1"/>
  <c r="H3149" i="1"/>
  <c r="H3150" i="1"/>
  <c r="H3151" i="1"/>
  <c r="H3152" i="1"/>
  <c r="H3153" i="1"/>
  <c r="H3154" i="1"/>
  <c r="H3155" i="1"/>
  <c r="H3156" i="1"/>
  <c r="H3157" i="1"/>
  <c r="H3158" i="1"/>
  <c r="H3159" i="1"/>
  <c r="H3160" i="1"/>
  <c r="H3161" i="1"/>
  <c r="H3162" i="1"/>
  <c r="H3163" i="1"/>
  <c r="H3164" i="1"/>
  <c r="H3165" i="1"/>
  <c r="H3166" i="1"/>
  <c r="H3167" i="1"/>
  <c r="H3168" i="1"/>
  <c r="H3169" i="1"/>
  <c r="H3170" i="1"/>
  <c r="H3171" i="1"/>
  <c r="H3172" i="1"/>
  <c r="H3173" i="1"/>
  <c r="H3174" i="1"/>
  <c r="H3175" i="1"/>
  <c r="H3176" i="1"/>
  <c r="H3177" i="1"/>
  <c r="H3178" i="1"/>
  <c r="H3179" i="1"/>
  <c r="H3180" i="1"/>
  <c r="H3181" i="1"/>
  <c r="H3182" i="1"/>
  <c r="H3183" i="1"/>
  <c r="H3184" i="1"/>
  <c r="H3185" i="1"/>
  <c r="H3186" i="1"/>
  <c r="H3187" i="1"/>
  <c r="H3188" i="1"/>
  <c r="H3189" i="1"/>
  <c r="H3190" i="1"/>
  <c r="H3191" i="1"/>
  <c r="H3192" i="1"/>
  <c r="H3193" i="1"/>
  <c r="H3194" i="1"/>
  <c r="H3195" i="1"/>
  <c r="H3196" i="1"/>
  <c r="H3197" i="1"/>
  <c r="H3198" i="1"/>
  <c r="H3199" i="1"/>
  <c r="H3200" i="1"/>
  <c r="H3201" i="1"/>
  <c r="H3202" i="1"/>
  <c r="H3203" i="1"/>
  <c r="H3204" i="1"/>
  <c r="H3205" i="1"/>
  <c r="H3206" i="1"/>
  <c r="H3207" i="1"/>
  <c r="H3208" i="1"/>
  <c r="H3209" i="1"/>
  <c r="H3210" i="1"/>
  <c r="H3211" i="1"/>
  <c r="H3212" i="1"/>
  <c r="H3213" i="1"/>
  <c r="H3214" i="1"/>
  <c r="H3215" i="1"/>
  <c r="H3216" i="1"/>
  <c r="H3217" i="1"/>
  <c r="H3218" i="1"/>
  <c r="H3219" i="1"/>
  <c r="H3220" i="1"/>
  <c r="H3221" i="1"/>
  <c r="H3222" i="1"/>
  <c r="H3223" i="1"/>
  <c r="H3224" i="1"/>
  <c r="H3225" i="1"/>
  <c r="H3226" i="1"/>
  <c r="H3227" i="1"/>
  <c r="H3228" i="1"/>
  <c r="H3229" i="1"/>
  <c r="H3230" i="1"/>
  <c r="H3231" i="1"/>
  <c r="J2937" i="1"/>
  <c r="J2938" i="1"/>
  <c r="J2939" i="1"/>
  <c r="J2940" i="1"/>
  <c r="J2941" i="1"/>
  <c r="J2942" i="1"/>
  <c r="J2943" i="1"/>
  <c r="J2944" i="1"/>
  <c r="J2945" i="1"/>
  <c r="J2946" i="1"/>
  <c r="J2947" i="1"/>
  <c r="J2948" i="1"/>
  <c r="J2949" i="1"/>
  <c r="J2950" i="1"/>
  <c r="J2951" i="1"/>
  <c r="J2952" i="1"/>
  <c r="J2953" i="1"/>
  <c r="J2954" i="1"/>
  <c r="J2955" i="1"/>
  <c r="J2956" i="1"/>
  <c r="J2957" i="1"/>
  <c r="J2958" i="1"/>
  <c r="J2959" i="1"/>
  <c r="J2960" i="1"/>
  <c r="J2961" i="1"/>
  <c r="J2962" i="1"/>
  <c r="J2963" i="1"/>
  <c r="J2964" i="1"/>
  <c r="J2965" i="1"/>
  <c r="J2966" i="1"/>
  <c r="J2967" i="1"/>
  <c r="J2968" i="1"/>
  <c r="J2969" i="1"/>
  <c r="J2970" i="1"/>
  <c r="J2971" i="1"/>
  <c r="J2972" i="1"/>
  <c r="J2973" i="1"/>
  <c r="J2974" i="1"/>
  <c r="J2975" i="1"/>
  <c r="J2976" i="1"/>
  <c r="J2977" i="1"/>
  <c r="J2978" i="1"/>
  <c r="J2979" i="1"/>
  <c r="J2980" i="1"/>
  <c r="J2981" i="1"/>
  <c r="J2982" i="1"/>
  <c r="J2983" i="1"/>
  <c r="J2984" i="1"/>
  <c r="J2985" i="1"/>
  <c r="J2986" i="1"/>
  <c r="J2987" i="1"/>
  <c r="J2988" i="1"/>
  <c r="J2989" i="1"/>
  <c r="J2990" i="1"/>
  <c r="J2991" i="1"/>
  <c r="J2992" i="1"/>
  <c r="J2993" i="1"/>
  <c r="J2994" i="1"/>
  <c r="J2995" i="1"/>
  <c r="J2996" i="1"/>
  <c r="J2997" i="1"/>
  <c r="J2998" i="1"/>
  <c r="J2999" i="1"/>
  <c r="J3000" i="1"/>
  <c r="J3001" i="1"/>
  <c r="J3002" i="1"/>
  <c r="J3003" i="1"/>
  <c r="J3004" i="1"/>
  <c r="J3005" i="1"/>
  <c r="J3006" i="1"/>
  <c r="J3007" i="1"/>
  <c r="J3008" i="1"/>
  <c r="J3009" i="1"/>
  <c r="J3010" i="1"/>
  <c r="J3011" i="1"/>
  <c r="J3012" i="1"/>
  <c r="J3013" i="1"/>
  <c r="J3014" i="1"/>
  <c r="J3015" i="1"/>
  <c r="J3016" i="1"/>
  <c r="J3017" i="1"/>
  <c r="J3018" i="1"/>
  <c r="J3019" i="1"/>
  <c r="J3020" i="1"/>
  <c r="J3021" i="1"/>
  <c r="J3022" i="1"/>
  <c r="J3023" i="1"/>
  <c r="J3024" i="1"/>
  <c r="J3025" i="1"/>
  <c r="J3026" i="1"/>
  <c r="J3027" i="1"/>
  <c r="J3028" i="1"/>
  <c r="J3029" i="1"/>
  <c r="J3030" i="1"/>
  <c r="J3031" i="1"/>
  <c r="J3032" i="1"/>
  <c r="J3033" i="1"/>
  <c r="J3034" i="1"/>
  <c r="J3035" i="1"/>
  <c r="J3036" i="1"/>
  <c r="J3037" i="1"/>
  <c r="J3038" i="1"/>
  <c r="J3039" i="1"/>
  <c r="J3040" i="1"/>
  <c r="J3041" i="1"/>
  <c r="J3042" i="1"/>
  <c r="J3043" i="1"/>
  <c r="J3044" i="1"/>
  <c r="J3045" i="1"/>
  <c r="J3046" i="1"/>
  <c r="J3047" i="1"/>
  <c r="J3048" i="1"/>
  <c r="J3049" i="1"/>
  <c r="J3050" i="1"/>
  <c r="J3051" i="1"/>
  <c r="J3052" i="1"/>
  <c r="J3053" i="1"/>
  <c r="J3054" i="1"/>
  <c r="J3055" i="1"/>
  <c r="J3056" i="1"/>
  <c r="J3057" i="1"/>
  <c r="J3058" i="1"/>
  <c r="J3059" i="1"/>
  <c r="J3060" i="1"/>
  <c r="J3061" i="1"/>
  <c r="J3062" i="1"/>
  <c r="J3063" i="1"/>
  <c r="J3064" i="1"/>
  <c r="J3065" i="1"/>
  <c r="J3066" i="1"/>
  <c r="J3067" i="1"/>
  <c r="J3068" i="1"/>
  <c r="J3069" i="1"/>
  <c r="J3070" i="1"/>
  <c r="J3071" i="1"/>
  <c r="J3072" i="1"/>
  <c r="J3073" i="1"/>
  <c r="J3074" i="1"/>
  <c r="J3075" i="1"/>
  <c r="J3076" i="1"/>
  <c r="J3077" i="1"/>
  <c r="J3078" i="1"/>
  <c r="J3079" i="1"/>
  <c r="J3080" i="1"/>
  <c r="J3081" i="1"/>
  <c r="J3082" i="1"/>
  <c r="J3083" i="1"/>
  <c r="J3084" i="1"/>
  <c r="J3085" i="1"/>
  <c r="J3086" i="1"/>
  <c r="J3087" i="1"/>
  <c r="J3088" i="1"/>
  <c r="J3089" i="1"/>
  <c r="J3090" i="1"/>
  <c r="J3091" i="1"/>
  <c r="J3092" i="1"/>
  <c r="J3093" i="1"/>
  <c r="J3094" i="1"/>
  <c r="J3095" i="1"/>
  <c r="J3096" i="1"/>
  <c r="J3097" i="1"/>
  <c r="J3098" i="1"/>
  <c r="J3099" i="1"/>
  <c r="J3100" i="1"/>
  <c r="J3101" i="1"/>
  <c r="J3102" i="1"/>
  <c r="J3103" i="1"/>
  <c r="J3104" i="1"/>
  <c r="J3105" i="1"/>
  <c r="J3106" i="1"/>
  <c r="J3107" i="1"/>
  <c r="J3108" i="1"/>
  <c r="J3109" i="1"/>
  <c r="J3110" i="1"/>
  <c r="J3111" i="1"/>
  <c r="J3112" i="1"/>
  <c r="J3113" i="1"/>
  <c r="J3114" i="1"/>
  <c r="J3115" i="1"/>
  <c r="J3116" i="1"/>
  <c r="J3117" i="1"/>
  <c r="J3118" i="1"/>
  <c r="J3119" i="1"/>
  <c r="J3120" i="1"/>
  <c r="J3121" i="1"/>
  <c r="J3122" i="1"/>
  <c r="J3123" i="1"/>
  <c r="J3124" i="1"/>
  <c r="J3125" i="1"/>
  <c r="J3126" i="1"/>
  <c r="J3127" i="1"/>
  <c r="J3128" i="1"/>
  <c r="J3129" i="1"/>
  <c r="J3130" i="1"/>
  <c r="J3131" i="1"/>
  <c r="J3132" i="1"/>
  <c r="J3133" i="1"/>
  <c r="J3134" i="1"/>
  <c r="J3135" i="1"/>
  <c r="J3136" i="1"/>
  <c r="J3137" i="1"/>
  <c r="J3138" i="1"/>
  <c r="J3139" i="1"/>
  <c r="J3140" i="1"/>
  <c r="J3141" i="1"/>
  <c r="J3142" i="1"/>
  <c r="J3143" i="1"/>
  <c r="J3144" i="1"/>
  <c r="J3145" i="1"/>
  <c r="J3146" i="1"/>
  <c r="J3147" i="1"/>
  <c r="J3148" i="1"/>
  <c r="J3149" i="1"/>
  <c r="J3150" i="1"/>
  <c r="J3151" i="1"/>
  <c r="J3152" i="1"/>
  <c r="J3153" i="1"/>
  <c r="J3154" i="1"/>
  <c r="J3155" i="1"/>
  <c r="J3156" i="1"/>
  <c r="J3157" i="1"/>
  <c r="J3158" i="1"/>
  <c r="J3159" i="1"/>
  <c r="J3160" i="1"/>
  <c r="J3161" i="1"/>
  <c r="J3162" i="1"/>
  <c r="J3163" i="1"/>
  <c r="J3164" i="1"/>
  <c r="J3165" i="1"/>
  <c r="J3166" i="1"/>
  <c r="J3167" i="1"/>
  <c r="J3168" i="1"/>
  <c r="J3169" i="1"/>
  <c r="J3170" i="1"/>
  <c r="J3171" i="1"/>
  <c r="J3172" i="1"/>
  <c r="J3173" i="1"/>
  <c r="J3174" i="1"/>
  <c r="J3175" i="1"/>
  <c r="J3176" i="1"/>
  <c r="J3177" i="1"/>
  <c r="J3178" i="1"/>
  <c r="J3179" i="1"/>
  <c r="J3180" i="1"/>
  <c r="J3181" i="1"/>
  <c r="J3182" i="1"/>
  <c r="J3183" i="1"/>
  <c r="J3184" i="1"/>
  <c r="J3185" i="1"/>
  <c r="J3186" i="1"/>
  <c r="J3187" i="1"/>
  <c r="J3188" i="1"/>
  <c r="J3189" i="1"/>
  <c r="J3190" i="1"/>
  <c r="J3191" i="1"/>
  <c r="J3192" i="1"/>
  <c r="J3193" i="1"/>
  <c r="J3194" i="1"/>
  <c r="J3195" i="1"/>
  <c r="J3196" i="1"/>
  <c r="J3197" i="1"/>
  <c r="J3198" i="1"/>
  <c r="J3199" i="1"/>
  <c r="J3200" i="1"/>
  <c r="J3201" i="1"/>
  <c r="J3202" i="1"/>
  <c r="J3203" i="1"/>
  <c r="J3204" i="1"/>
  <c r="J3205" i="1"/>
  <c r="J3206" i="1"/>
  <c r="J3207" i="1"/>
  <c r="J3208" i="1"/>
  <c r="J3209" i="1"/>
  <c r="J3210" i="1"/>
  <c r="J3211" i="1"/>
  <c r="J3212" i="1"/>
  <c r="J3213" i="1"/>
  <c r="J3214" i="1"/>
  <c r="J3215" i="1"/>
  <c r="J3216" i="1"/>
  <c r="J3217" i="1"/>
  <c r="J3218" i="1"/>
  <c r="J3219" i="1"/>
  <c r="J3220" i="1"/>
  <c r="J3221" i="1"/>
  <c r="J3222" i="1"/>
  <c r="J3223" i="1"/>
  <c r="J3224" i="1"/>
  <c r="J3225" i="1"/>
  <c r="J3226" i="1"/>
  <c r="J3227" i="1"/>
  <c r="J3228" i="1"/>
  <c r="J3229" i="1"/>
  <c r="J3230" i="1"/>
  <c r="J3231" i="1"/>
  <c r="Q2937" i="1"/>
  <c r="P2937" i="1" s="1"/>
  <c r="Q2938" i="1"/>
  <c r="P2938" i="1" s="1"/>
  <c r="Q2939" i="1"/>
  <c r="P2939" i="1" s="1"/>
  <c r="Q2940" i="1"/>
  <c r="P2940" i="1" s="1"/>
  <c r="Q2941" i="1"/>
  <c r="P2941" i="1" s="1"/>
  <c r="Q2942" i="1"/>
  <c r="P2942" i="1" s="1"/>
  <c r="Q2943" i="1"/>
  <c r="P2943" i="1" s="1"/>
  <c r="Q2944" i="1"/>
  <c r="P2944" i="1" s="1"/>
  <c r="Q2945" i="1"/>
  <c r="P2945" i="1" s="1"/>
  <c r="Q2946" i="1"/>
  <c r="P2946" i="1" s="1"/>
  <c r="Q2947" i="1"/>
  <c r="P2947" i="1" s="1"/>
  <c r="Q2948" i="1"/>
  <c r="P2948" i="1" s="1"/>
  <c r="Q2949" i="1"/>
  <c r="P2949" i="1" s="1"/>
  <c r="Q2950" i="1"/>
  <c r="P2950" i="1" s="1"/>
  <c r="Q2951" i="1"/>
  <c r="P2951" i="1" s="1"/>
  <c r="Q2952" i="1"/>
  <c r="P2952" i="1" s="1"/>
  <c r="Q2953" i="1"/>
  <c r="P2953" i="1" s="1"/>
  <c r="Q2954" i="1"/>
  <c r="P2954" i="1" s="1"/>
  <c r="Q2955" i="1"/>
  <c r="P2955" i="1" s="1"/>
  <c r="Q2956" i="1"/>
  <c r="P2956" i="1" s="1"/>
  <c r="Q2957" i="1"/>
  <c r="P2957" i="1" s="1"/>
  <c r="Q2958" i="1"/>
  <c r="P2958" i="1" s="1"/>
  <c r="Q2959" i="1"/>
  <c r="P2959" i="1" s="1"/>
  <c r="Q2960" i="1"/>
  <c r="P2960" i="1" s="1"/>
  <c r="Q2961" i="1"/>
  <c r="P2961" i="1" s="1"/>
  <c r="Q2962" i="1"/>
  <c r="P2962" i="1" s="1"/>
  <c r="Q2963" i="1"/>
  <c r="P2963" i="1" s="1"/>
  <c r="Q2964" i="1"/>
  <c r="P2964" i="1" s="1"/>
  <c r="Q2965" i="1"/>
  <c r="P2965" i="1" s="1"/>
  <c r="Q2966" i="1"/>
  <c r="P2966" i="1" s="1"/>
  <c r="Q2967" i="1"/>
  <c r="P2967" i="1" s="1"/>
  <c r="Q2968" i="1"/>
  <c r="P2968" i="1" s="1"/>
  <c r="Q2969" i="1"/>
  <c r="P2969" i="1" s="1"/>
  <c r="Q2970" i="1"/>
  <c r="P2970" i="1" s="1"/>
  <c r="Q2971" i="1"/>
  <c r="P2971" i="1" s="1"/>
  <c r="Q2972" i="1"/>
  <c r="P2972" i="1" s="1"/>
  <c r="Q2973" i="1"/>
  <c r="P2973" i="1" s="1"/>
  <c r="Q2974" i="1"/>
  <c r="P2974" i="1" s="1"/>
  <c r="Q2975" i="1"/>
  <c r="P2975" i="1" s="1"/>
  <c r="Q2976" i="1"/>
  <c r="P2976" i="1" s="1"/>
  <c r="Q2977" i="1"/>
  <c r="P2977" i="1" s="1"/>
  <c r="Q2978" i="1"/>
  <c r="P2978" i="1" s="1"/>
  <c r="Q2979" i="1"/>
  <c r="P2979" i="1" s="1"/>
  <c r="Q2980" i="1"/>
  <c r="P2980" i="1" s="1"/>
  <c r="Q2981" i="1"/>
  <c r="P2981" i="1" s="1"/>
  <c r="Q2982" i="1"/>
  <c r="P2982" i="1" s="1"/>
  <c r="Q2983" i="1"/>
  <c r="P2983" i="1" s="1"/>
  <c r="Q2984" i="1"/>
  <c r="P2984" i="1" s="1"/>
  <c r="Q2985" i="1"/>
  <c r="P2985" i="1" s="1"/>
  <c r="Q2986" i="1"/>
  <c r="P2986" i="1" s="1"/>
  <c r="Q2987" i="1"/>
  <c r="P2987" i="1" s="1"/>
  <c r="Q2988" i="1"/>
  <c r="P2988" i="1" s="1"/>
  <c r="Q2989" i="1"/>
  <c r="P2989" i="1" s="1"/>
  <c r="Q2990" i="1"/>
  <c r="P2990" i="1" s="1"/>
  <c r="Q2991" i="1"/>
  <c r="P2991" i="1" s="1"/>
  <c r="Q2992" i="1"/>
  <c r="P2992" i="1" s="1"/>
  <c r="Q2993" i="1"/>
  <c r="P2993" i="1" s="1"/>
  <c r="Q2994" i="1"/>
  <c r="P2994" i="1" s="1"/>
  <c r="Q2995" i="1"/>
  <c r="P2995" i="1" s="1"/>
  <c r="Q2996" i="1"/>
  <c r="P2996" i="1" s="1"/>
  <c r="Q2997" i="1"/>
  <c r="P2997" i="1" s="1"/>
  <c r="Q2998" i="1"/>
  <c r="P2998" i="1" s="1"/>
  <c r="Q2999" i="1"/>
  <c r="P2999" i="1" s="1"/>
  <c r="Q3000" i="1"/>
  <c r="P3000" i="1" s="1"/>
  <c r="Q3001" i="1"/>
  <c r="P3001" i="1" s="1"/>
  <c r="Q3002" i="1"/>
  <c r="P3002" i="1" s="1"/>
  <c r="Q3003" i="1"/>
  <c r="P3003" i="1" s="1"/>
  <c r="Q3004" i="1"/>
  <c r="P3004" i="1" s="1"/>
  <c r="Q3005" i="1"/>
  <c r="P3005" i="1" s="1"/>
  <c r="Q3006" i="1"/>
  <c r="P3006" i="1" s="1"/>
  <c r="Q3007" i="1"/>
  <c r="P3007" i="1" s="1"/>
  <c r="Q3008" i="1"/>
  <c r="P3008" i="1" s="1"/>
  <c r="Q3009" i="1"/>
  <c r="P3009" i="1" s="1"/>
  <c r="Q3010" i="1"/>
  <c r="P3010" i="1" s="1"/>
  <c r="Q3011" i="1"/>
  <c r="P3011" i="1" s="1"/>
  <c r="Q3012" i="1"/>
  <c r="P3012" i="1" s="1"/>
  <c r="Q3013" i="1"/>
  <c r="P3013" i="1" s="1"/>
  <c r="Q3014" i="1"/>
  <c r="P3014" i="1" s="1"/>
  <c r="Q3015" i="1"/>
  <c r="P3015" i="1" s="1"/>
  <c r="Q3016" i="1"/>
  <c r="P3016" i="1" s="1"/>
  <c r="Q3017" i="1"/>
  <c r="P3017" i="1" s="1"/>
  <c r="Q3018" i="1"/>
  <c r="P3018" i="1" s="1"/>
  <c r="Q3019" i="1"/>
  <c r="P3019" i="1" s="1"/>
  <c r="Q3020" i="1"/>
  <c r="P3020" i="1" s="1"/>
  <c r="Q3021" i="1"/>
  <c r="P3021" i="1" s="1"/>
  <c r="Q3022" i="1"/>
  <c r="P3022" i="1" s="1"/>
  <c r="Q3023" i="1"/>
  <c r="P3023" i="1" s="1"/>
  <c r="Q3024" i="1"/>
  <c r="P3024" i="1" s="1"/>
  <c r="Q3025" i="1"/>
  <c r="P3025" i="1" s="1"/>
  <c r="Q3026" i="1"/>
  <c r="P3026" i="1" s="1"/>
  <c r="Q3027" i="1"/>
  <c r="P3027" i="1" s="1"/>
  <c r="Q3028" i="1"/>
  <c r="P3028" i="1" s="1"/>
  <c r="Q3029" i="1"/>
  <c r="P3029" i="1" s="1"/>
  <c r="Q3030" i="1"/>
  <c r="P3030" i="1" s="1"/>
  <c r="Q3031" i="1"/>
  <c r="P3031" i="1" s="1"/>
  <c r="Q3032" i="1"/>
  <c r="P3032" i="1" s="1"/>
  <c r="Q3033" i="1"/>
  <c r="P3033" i="1" s="1"/>
  <c r="Q3034" i="1"/>
  <c r="P3034" i="1" s="1"/>
  <c r="Q3035" i="1"/>
  <c r="P3035" i="1" s="1"/>
  <c r="Q3036" i="1"/>
  <c r="P3036" i="1" s="1"/>
  <c r="Q3037" i="1"/>
  <c r="P3037" i="1" s="1"/>
  <c r="Q3038" i="1"/>
  <c r="P3038" i="1" s="1"/>
  <c r="Q3039" i="1"/>
  <c r="P3039" i="1" s="1"/>
  <c r="Q3040" i="1"/>
  <c r="P3040" i="1" s="1"/>
  <c r="Q3041" i="1"/>
  <c r="P3041" i="1" s="1"/>
  <c r="Q3042" i="1"/>
  <c r="P3042" i="1" s="1"/>
  <c r="Q3043" i="1"/>
  <c r="P3043" i="1" s="1"/>
  <c r="Q3044" i="1"/>
  <c r="P3044" i="1" s="1"/>
  <c r="Q3045" i="1"/>
  <c r="P3045" i="1" s="1"/>
  <c r="Q3046" i="1"/>
  <c r="P3046" i="1" s="1"/>
  <c r="Q3047" i="1"/>
  <c r="P3047" i="1" s="1"/>
  <c r="Q3048" i="1"/>
  <c r="P3048" i="1" s="1"/>
  <c r="Q3049" i="1"/>
  <c r="P3049" i="1" s="1"/>
  <c r="Q3050" i="1"/>
  <c r="P3050" i="1" s="1"/>
  <c r="Q3051" i="1"/>
  <c r="P3051" i="1" s="1"/>
  <c r="Q3052" i="1"/>
  <c r="P3052" i="1" s="1"/>
  <c r="Q3053" i="1"/>
  <c r="P3053" i="1" s="1"/>
  <c r="Q3054" i="1"/>
  <c r="P3054" i="1" s="1"/>
  <c r="Q3055" i="1"/>
  <c r="P3055" i="1" s="1"/>
  <c r="Q3056" i="1"/>
  <c r="P3056" i="1" s="1"/>
  <c r="Q3057" i="1"/>
  <c r="P3057" i="1" s="1"/>
  <c r="Q3058" i="1"/>
  <c r="P3058" i="1" s="1"/>
  <c r="Q3059" i="1"/>
  <c r="P3059" i="1" s="1"/>
  <c r="Q3060" i="1"/>
  <c r="P3060" i="1" s="1"/>
  <c r="Q3061" i="1"/>
  <c r="P3061" i="1" s="1"/>
  <c r="Q3062" i="1"/>
  <c r="P3062" i="1" s="1"/>
  <c r="Q3063" i="1"/>
  <c r="P3063" i="1" s="1"/>
  <c r="Q3064" i="1"/>
  <c r="P3064" i="1" s="1"/>
  <c r="Q3065" i="1"/>
  <c r="P3065" i="1" s="1"/>
  <c r="Q3066" i="1"/>
  <c r="P3066" i="1" s="1"/>
  <c r="Q3067" i="1"/>
  <c r="P3067" i="1" s="1"/>
  <c r="Q3068" i="1"/>
  <c r="P3068" i="1" s="1"/>
  <c r="Q3069" i="1"/>
  <c r="P3069" i="1" s="1"/>
  <c r="Q3070" i="1"/>
  <c r="P3070" i="1" s="1"/>
  <c r="Q3071" i="1"/>
  <c r="P3071" i="1" s="1"/>
  <c r="Q3072" i="1"/>
  <c r="P3072" i="1" s="1"/>
  <c r="Q3073" i="1"/>
  <c r="P3073" i="1" s="1"/>
  <c r="Q3074" i="1"/>
  <c r="P3074" i="1" s="1"/>
  <c r="Q3075" i="1"/>
  <c r="P3075" i="1" s="1"/>
  <c r="Q3076" i="1"/>
  <c r="P3076" i="1" s="1"/>
  <c r="Q3077" i="1"/>
  <c r="P3077" i="1" s="1"/>
  <c r="Q3078" i="1"/>
  <c r="P3078" i="1" s="1"/>
  <c r="Q3079" i="1"/>
  <c r="P3079" i="1" s="1"/>
  <c r="Q3080" i="1"/>
  <c r="P3080" i="1" s="1"/>
  <c r="Q3081" i="1"/>
  <c r="P3081" i="1" s="1"/>
  <c r="Q3082" i="1"/>
  <c r="P3082" i="1" s="1"/>
  <c r="Q3083" i="1"/>
  <c r="P3083" i="1" s="1"/>
  <c r="Q3084" i="1"/>
  <c r="P3084" i="1" s="1"/>
  <c r="Q3085" i="1"/>
  <c r="P3085" i="1" s="1"/>
  <c r="Q3086" i="1"/>
  <c r="P3086" i="1" s="1"/>
  <c r="Q3087" i="1"/>
  <c r="P3087" i="1" s="1"/>
  <c r="Q3088" i="1"/>
  <c r="P3088" i="1" s="1"/>
  <c r="Q3089" i="1"/>
  <c r="P3089" i="1" s="1"/>
  <c r="Q3090" i="1"/>
  <c r="P3090" i="1" s="1"/>
  <c r="Q3091" i="1"/>
  <c r="P3091" i="1" s="1"/>
  <c r="Q3092" i="1"/>
  <c r="P3092" i="1" s="1"/>
  <c r="Q3093" i="1"/>
  <c r="P3093" i="1" s="1"/>
  <c r="Q3094" i="1"/>
  <c r="P3094" i="1" s="1"/>
  <c r="Q3095" i="1"/>
  <c r="P3095" i="1" s="1"/>
  <c r="Q3096" i="1"/>
  <c r="P3096" i="1" s="1"/>
  <c r="Q3097" i="1"/>
  <c r="P3097" i="1" s="1"/>
  <c r="Q3098" i="1"/>
  <c r="P3098" i="1" s="1"/>
  <c r="Q3099" i="1"/>
  <c r="P3099" i="1" s="1"/>
  <c r="Q3100" i="1"/>
  <c r="P3100" i="1" s="1"/>
  <c r="Q3101" i="1"/>
  <c r="P3101" i="1" s="1"/>
  <c r="Q3102" i="1"/>
  <c r="P3102" i="1" s="1"/>
  <c r="Q3103" i="1"/>
  <c r="P3103" i="1" s="1"/>
  <c r="Q3104" i="1"/>
  <c r="P3104" i="1" s="1"/>
  <c r="Q3105" i="1"/>
  <c r="P3105" i="1" s="1"/>
  <c r="Q3106" i="1"/>
  <c r="P3106" i="1" s="1"/>
  <c r="Q3107" i="1"/>
  <c r="P3107" i="1" s="1"/>
  <c r="Q3108" i="1"/>
  <c r="P3108" i="1" s="1"/>
  <c r="Q3109" i="1"/>
  <c r="P3109" i="1" s="1"/>
  <c r="Q3110" i="1"/>
  <c r="P3110" i="1" s="1"/>
  <c r="Q3111" i="1"/>
  <c r="P3111" i="1" s="1"/>
  <c r="Q3112" i="1"/>
  <c r="P3112" i="1" s="1"/>
  <c r="Q3113" i="1"/>
  <c r="P3113" i="1" s="1"/>
  <c r="Q3114" i="1"/>
  <c r="P3114" i="1" s="1"/>
  <c r="Q3115" i="1"/>
  <c r="P3115" i="1" s="1"/>
  <c r="Q3116" i="1"/>
  <c r="P3116" i="1" s="1"/>
  <c r="Q3117" i="1"/>
  <c r="P3117" i="1" s="1"/>
  <c r="Q3118" i="1"/>
  <c r="P3118" i="1" s="1"/>
  <c r="Q3119" i="1"/>
  <c r="P3119" i="1" s="1"/>
  <c r="Q3120" i="1"/>
  <c r="P3120" i="1" s="1"/>
  <c r="Q3121" i="1"/>
  <c r="P3121" i="1" s="1"/>
  <c r="Q3122" i="1"/>
  <c r="P3122" i="1" s="1"/>
  <c r="Q3123" i="1"/>
  <c r="P3123" i="1" s="1"/>
  <c r="Q3124" i="1"/>
  <c r="P3124" i="1" s="1"/>
  <c r="Q3125" i="1"/>
  <c r="P3125" i="1" s="1"/>
  <c r="Q3126" i="1"/>
  <c r="P3126" i="1" s="1"/>
  <c r="Q3127" i="1"/>
  <c r="P3127" i="1" s="1"/>
  <c r="Q3128" i="1"/>
  <c r="P3128" i="1" s="1"/>
  <c r="Q3129" i="1"/>
  <c r="P3129" i="1" s="1"/>
  <c r="Q3130" i="1"/>
  <c r="P3130" i="1" s="1"/>
  <c r="Q3131" i="1"/>
  <c r="P3131" i="1" s="1"/>
  <c r="Q3132" i="1"/>
  <c r="P3132" i="1" s="1"/>
  <c r="Q3133" i="1"/>
  <c r="P3133" i="1" s="1"/>
  <c r="Q3134" i="1"/>
  <c r="P3134" i="1" s="1"/>
  <c r="Q3135" i="1"/>
  <c r="P3135" i="1" s="1"/>
  <c r="Q3136" i="1"/>
  <c r="P3136" i="1" s="1"/>
  <c r="Q3137" i="1"/>
  <c r="P3137" i="1" s="1"/>
  <c r="Q3138" i="1"/>
  <c r="P3138" i="1" s="1"/>
  <c r="Q3139" i="1"/>
  <c r="P3139" i="1" s="1"/>
  <c r="Q3140" i="1"/>
  <c r="P3140" i="1" s="1"/>
  <c r="Q3141" i="1"/>
  <c r="P3141" i="1" s="1"/>
  <c r="Q3142" i="1"/>
  <c r="P3142" i="1" s="1"/>
  <c r="Q3143" i="1"/>
  <c r="P3143" i="1" s="1"/>
  <c r="Q3144" i="1"/>
  <c r="P3144" i="1" s="1"/>
  <c r="Q3145" i="1"/>
  <c r="P3145" i="1" s="1"/>
  <c r="Q3146" i="1"/>
  <c r="P3146" i="1" s="1"/>
  <c r="Q3147" i="1"/>
  <c r="P3147" i="1" s="1"/>
  <c r="Q3148" i="1"/>
  <c r="P3148" i="1" s="1"/>
  <c r="Q3149" i="1"/>
  <c r="P3149" i="1" s="1"/>
  <c r="Q3150" i="1"/>
  <c r="P3150" i="1" s="1"/>
  <c r="Q3151" i="1"/>
  <c r="P3151" i="1" s="1"/>
  <c r="Q3152" i="1"/>
  <c r="P3152" i="1" s="1"/>
  <c r="Q3153" i="1"/>
  <c r="P3153" i="1" s="1"/>
  <c r="Q3154" i="1"/>
  <c r="P3154" i="1" s="1"/>
  <c r="Q3155" i="1"/>
  <c r="P3155" i="1" s="1"/>
  <c r="Q3156" i="1"/>
  <c r="P3156" i="1" s="1"/>
  <c r="Q3157" i="1"/>
  <c r="P3157" i="1" s="1"/>
  <c r="Q3158" i="1"/>
  <c r="P3158" i="1" s="1"/>
  <c r="Q3159" i="1"/>
  <c r="P3159" i="1" s="1"/>
  <c r="Q3160" i="1"/>
  <c r="P3160" i="1" s="1"/>
  <c r="Q3161" i="1"/>
  <c r="P3161" i="1" s="1"/>
  <c r="Q3162" i="1"/>
  <c r="P3162" i="1" s="1"/>
  <c r="Q3163" i="1"/>
  <c r="P3163" i="1" s="1"/>
  <c r="Q3164" i="1"/>
  <c r="P3164" i="1" s="1"/>
  <c r="Q3165" i="1"/>
  <c r="P3165" i="1" s="1"/>
  <c r="Q3166" i="1"/>
  <c r="P3166" i="1" s="1"/>
  <c r="Q3167" i="1"/>
  <c r="P3167" i="1" s="1"/>
  <c r="Q3168" i="1"/>
  <c r="P3168" i="1" s="1"/>
  <c r="Q3169" i="1"/>
  <c r="P3169" i="1" s="1"/>
  <c r="Q3170" i="1"/>
  <c r="P3170" i="1" s="1"/>
  <c r="Q3171" i="1"/>
  <c r="P3171" i="1" s="1"/>
  <c r="Q3172" i="1"/>
  <c r="P3172" i="1" s="1"/>
  <c r="Q3173" i="1"/>
  <c r="P3173" i="1" s="1"/>
  <c r="Q3174" i="1"/>
  <c r="P3174" i="1" s="1"/>
  <c r="Q3175" i="1"/>
  <c r="P3175" i="1" s="1"/>
  <c r="Q3176" i="1"/>
  <c r="P3176" i="1" s="1"/>
  <c r="Q3177" i="1"/>
  <c r="P3177" i="1" s="1"/>
  <c r="Q3178" i="1"/>
  <c r="P3178" i="1" s="1"/>
  <c r="Q3179" i="1"/>
  <c r="P3179" i="1" s="1"/>
  <c r="Q3180" i="1"/>
  <c r="P3180" i="1" s="1"/>
  <c r="Q3181" i="1"/>
  <c r="P3181" i="1" s="1"/>
  <c r="Q3182" i="1"/>
  <c r="P3182" i="1" s="1"/>
  <c r="Q3183" i="1"/>
  <c r="P3183" i="1" s="1"/>
  <c r="Q3184" i="1"/>
  <c r="P3184" i="1" s="1"/>
  <c r="Q3185" i="1"/>
  <c r="P3185" i="1" s="1"/>
  <c r="Q3186" i="1"/>
  <c r="P3186" i="1" s="1"/>
  <c r="Q3187" i="1"/>
  <c r="P3187" i="1" s="1"/>
  <c r="Q3188" i="1"/>
  <c r="P3188" i="1" s="1"/>
  <c r="Q3189" i="1"/>
  <c r="P3189" i="1" s="1"/>
  <c r="Q3190" i="1"/>
  <c r="P3190" i="1" s="1"/>
  <c r="Q3191" i="1"/>
  <c r="P3191" i="1" s="1"/>
  <c r="Q3192" i="1"/>
  <c r="P3192" i="1" s="1"/>
  <c r="Q3193" i="1"/>
  <c r="P3193" i="1" s="1"/>
  <c r="Q3194" i="1"/>
  <c r="P3194" i="1" s="1"/>
  <c r="Q3195" i="1"/>
  <c r="P3195" i="1" s="1"/>
  <c r="Q3196" i="1"/>
  <c r="P3196" i="1" s="1"/>
  <c r="Q3197" i="1"/>
  <c r="P3197" i="1" s="1"/>
  <c r="Q3198" i="1"/>
  <c r="P3198" i="1" s="1"/>
  <c r="Q3199" i="1"/>
  <c r="P3199" i="1" s="1"/>
  <c r="Q3200" i="1"/>
  <c r="P3200" i="1" s="1"/>
  <c r="Q3201" i="1"/>
  <c r="P3201" i="1" s="1"/>
  <c r="Q3202" i="1"/>
  <c r="P3202" i="1" s="1"/>
  <c r="Q3203" i="1"/>
  <c r="P3203" i="1" s="1"/>
  <c r="Q3204" i="1"/>
  <c r="P3204" i="1" s="1"/>
  <c r="Q3205" i="1"/>
  <c r="P3205" i="1" s="1"/>
  <c r="Q3206" i="1"/>
  <c r="P3206" i="1" s="1"/>
  <c r="Q3207" i="1"/>
  <c r="P3207" i="1" s="1"/>
  <c r="Q3208" i="1"/>
  <c r="P3208" i="1" s="1"/>
  <c r="Q3209" i="1"/>
  <c r="P3209" i="1" s="1"/>
  <c r="Q3210" i="1"/>
  <c r="P3210" i="1" s="1"/>
  <c r="Q3211" i="1"/>
  <c r="P3211" i="1" s="1"/>
  <c r="Q3212" i="1"/>
  <c r="P3212" i="1" s="1"/>
  <c r="Q3213" i="1"/>
  <c r="P3213" i="1" s="1"/>
  <c r="Q3214" i="1"/>
  <c r="P3214" i="1" s="1"/>
  <c r="Q3215" i="1"/>
  <c r="P3215" i="1" s="1"/>
  <c r="Q3216" i="1"/>
  <c r="P3216" i="1" s="1"/>
  <c r="Q3217" i="1"/>
  <c r="P3217" i="1" s="1"/>
  <c r="Q3218" i="1"/>
  <c r="P3218" i="1" s="1"/>
  <c r="Q3219" i="1"/>
  <c r="P3219" i="1" s="1"/>
  <c r="Q3220" i="1"/>
  <c r="P3220" i="1" s="1"/>
  <c r="Q3221" i="1"/>
  <c r="P3221" i="1" s="1"/>
  <c r="Q3222" i="1"/>
  <c r="P3222" i="1" s="1"/>
  <c r="Q3223" i="1"/>
  <c r="P3223" i="1" s="1"/>
  <c r="Q3224" i="1"/>
  <c r="P3224" i="1" s="1"/>
  <c r="Q3225" i="1"/>
  <c r="P3225" i="1" s="1"/>
  <c r="Q3226" i="1"/>
  <c r="P3226" i="1" s="1"/>
  <c r="Q3227" i="1"/>
  <c r="P3227" i="1" s="1"/>
  <c r="Q3228" i="1"/>
  <c r="P3228" i="1" s="1"/>
  <c r="Q3229" i="1"/>
  <c r="P3229" i="1" s="1"/>
  <c r="Q3230" i="1"/>
  <c r="P3230" i="1" s="1"/>
  <c r="Q3231" i="1"/>
  <c r="P3231" i="1" s="1"/>
  <c r="J2936" i="1"/>
  <c r="J2934" i="1"/>
  <c r="J2932" i="1"/>
  <c r="J2931" i="1"/>
  <c r="J2930" i="1"/>
  <c r="J2928" i="1"/>
  <c r="J2926" i="1"/>
  <c r="J2925" i="1"/>
  <c r="J2924" i="1"/>
  <c r="J2923" i="1"/>
  <c r="J2922" i="1"/>
  <c r="J2920" i="1"/>
  <c r="J2927" i="1"/>
  <c r="H2920" i="1"/>
  <c r="H2921" i="1"/>
  <c r="H2922" i="1"/>
  <c r="H2923" i="1"/>
  <c r="H2924" i="1"/>
  <c r="H2925" i="1"/>
  <c r="H2926" i="1"/>
  <c r="H2927" i="1"/>
  <c r="H2928" i="1"/>
  <c r="H2929" i="1"/>
  <c r="H2930" i="1"/>
  <c r="H2931" i="1"/>
  <c r="H2932" i="1"/>
  <c r="H2933" i="1"/>
  <c r="H2934" i="1"/>
  <c r="H2935" i="1"/>
  <c r="H2936" i="1"/>
  <c r="J2929" i="1"/>
  <c r="J2933" i="1"/>
  <c r="J2935" i="1"/>
  <c r="Q2920" i="1"/>
  <c r="P2920" i="1" s="1"/>
  <c r="Q2921" i="1"/>
  <c r="P2921" i="1" s="1"/>
  <c r="Q2922" i="1"/>
  <c r="P2922" i="1" s="1"/>
  <c r="Q2923" i="1"/>
  <c r="P2923" i="1" s="1"/>
  <c r="Q2924" i="1"/>
  <c r="P2924" i="1" s="1"/>
  <c r="Q2925" i="1"/>
  <c r="P2925" i="1" s="1"/>
  <c r="Q2926" i="1"/>
  <c r="P2926" i="1" s="1"/>
  <c r="Q2927" i="1"/>
  <c r="P2927" i="1" s="1"/>
  <c r="Q2928" i="1"/>
  <c r="P2928" i="1" s="1"/>
  <c r="Q2929" i="1"/>
  <c r="P2929" i="1" s="1"/>
  <c r="Q2930" i="1"/>
  <c r="P2930" i="1" s="1"/>
  <c r="Q2931" i="1"/>
  <c r="P2931" i="1" s="1"/>
  <c r="Q2932" i="1"/>
  <c r="P2932" i="1" s="1"/>
  <c r="Q2933" i="1"/>
  <c r="P2933" i="1" s="1"/>
  <c r="Q2934" i="1"/>
  <c r="P2934" i="1" s="1"/>
  <c r="Q2935" i="1"/>
  <c r="P2935" i="1" s="1"/>
  <c r="Q2936" i="1"/>
  <c r="P2936" i="1" s="1"/>
  <c r="H2919" i="1"/>
  <c r="J2919" i="1"/>
  <c r="Q2919" i="1"/>
  <c r="P2919" i="1" s="1"/>
  <c r="H2912" i="1"/>
  <c r="H2913" i="1"/>
  <c r="H2914" i="1"/>
  <c r="H2915" i="1"/>
  <c r="H2916" i="1"/>
  <c r="H2917" i="1"/>
  <c r="H2918" i="1"/>
  <c r="J2912" i="1"/>
  <c r="J2913" i="1"/>
  <c r="J2914" i="1"/>
  <c r="J2915" i="1"/>
  <c r="J2916" i="1"/>
  <c r="J2917" i="1"/>
  <c r="J2918" i="1"/>
  <c r="Q2912" i="1"/>
  <c r="P2912" i="1" s="1"/>
  <c r="Q2913" i="1"/>
  <c r="P2913" i="1" s="1"/>
  <c r="Q2914" i="1"/>
  <c r="P2914" i="1" s="1"/>
  <c r="Q2915" i="1"/>
  <c r="P2915" i="1" s="1"/>
  <c r="Q2916" i="1"/>
  <c r="P2916" i="1" s="1"/>
  <c r="Q2917" i="1"/>
  <c r="P2917" i="1" s="1"/>
  <c r="Q2918" i="1"/>
  <c r="P2918" i="1" s="1"/>
  <c r="J2905" i="1"/>
  <c r="J2903" i="1"/>
  <c r="H2911" i="1"/>
  <c r="J2911" i="1"/>
  <c r="Q2911" i="1"/>
  <c r="P2911" i="1" s="1"/>
  <c r="H2908" i="1"/>
  <c r="H2909" i="1"/>
  <c r="H2910" i="1"/>
  <c r="J2908" i="1"/>
  <c r="J2909" i="1"/>
  <c r="J2910" i="1"/>
  <c r="Q2908" i="1"/>
  <c r="P2908" i="1" s="1"/>
  <c r="Q2909" i="1"/>
  <c r="P2909" i="1" s="1"/>
  <c r="Q2910" i="1"/>
  <c r="P2910" i="1" s="1"/>
  <c r="H2907" i="1"/>
  <c r="J2907" i="1"/>
  <c r="Q2907" i="1"/>
  <c r="P2907" i="1" s="1"/>
  <c r="H2906" i="1"/>
  <c r="J2906" i="1"/>
  <c r="Q2906" i="1"/>
  <c r="P2906" i="1" s="1"/>
  <c r="H2905" i="1"/>
  <c r="Q2905" i="1"/>
  <c r="P2905" i="1" s="1"/>
  <c r="H2903" i="1"/>
  <c r="H2904" i="1"/>
  <c r="J2904" i="1"/>
  <c r="Q2903" i="1"/>
  <c r="P2903" i="1" s="1"/>
  <c r="Q2904" i="1"/>
  <c r="P2904" i="1" s="1"/>
  <c r="H2902" i="1"/>
  <c r="J2902" i="1"/>
  <c r="Q2902" i="1"/>
  <c r="P2902" i="1" s="1"/>
  <c r="H2900" i="1"/>
  <c r="H2901" i="1"/>
  <c r="J2900" i="1"/>
  <c r="J2901" i="1"/>
  <c r="Q2900" i="1"/>
  <c r="P2900" i="1" s="1"/>
  <c r="Q2901" i="1"/>
  <c r="P2901" i="1" s="1"/>
  <c r="J2884" i="1"/>
  <c r="J2880" i="1"/>
  <c r="J2877" i="1"/>
  <c r="J2876" i="1"/>
  <c r="J2875" i="1"/>
  <c r="J2888" i="1"/>
  <c r="J2887" i="1"/>
  <c r="J2885" i="1"/>
  <c r="J2872" i="1"/>
  <c r="J2871" i="1"/>
  <c r="J2864" i="1"/>
  <c r="H2898" i="1"/>
  <c r="H2899" i="1"/>
  <c r="J2898" i="1"/>
  <c r="J2899" i="1"/>
  <c r="Q2898" i="1"/>
  <c r="P2898" i="1" s="1"/>
  <c r="Q2899" i="1"/>
  <c r="P2899" i="1" s="1"/>
  <c r="H2897" i="1"/>
  <c r="J2897" i="1"/>
  <c r="Q2897" i="1"/>
  <c r="P2897" i="1" s="1"/>
  <c r="H2890" i="1"/>
  <c r="H2891" i="1"/>
  <c r="H2892" i="1"/>
  <c r="H2893" i="1"/>
  <c r="H2894" i="1"/>
  <c r="H2895" i="1"/>
  <c r="H2896" i="1"/>
  <c r="J2890" i="1"/>
  <c r="Q2890" i="1"/>
  <c r="P2890" i="1" s="1"/>
  <c r="Q2891" i="1"/>
  <c r="P2891" i="1" s="1"/>
  <c r="Q2892" i="1"/>
  <c r="P2892" i="1" s="1"/>
  <c r="Q2893" i="1"/>
  <c r="P2893" i="1" s="1"/>
  <c r="Q2894" i="1"/>
  <c r="P2894" i="1" s="1"/>
  <c r="Q2895" i="1"/>
  <c r="P2895" i="1" s="1"/>
  <c r="Q2896" i="1"/>
  <c r="P2896" i="1" s="1"/>
  <c r="H2873" i="1"/>
  <c r="H2874" i="1"/>
  <c r="H2875" i="1"/>
  <c r="H2876" i="1"/>
  <c r="H2877" i="1"/>
  <c r="H2878" i="1"/>
  <c r="H2879" i="1"/>
  <c r="H2880" i="1"/>
  <c r="H2881" i="1"/>
  <c r="H2882" i="1"/>
  <c r="H2883" i="1"/>
  <c r="H2884" i="1"/>
  <c r="H2885" i="1"/>
  <c r="H2886" i="1"/>
  <c r="H2887" i="1"/>
  <c r="H2888" i="1"/>
  <c r="H2889" i="1"/>
  <c r="J2873" i="1"/>
  <c r="J2874" i="1"/>
  <c r="J2878" i="1"/>
  <c r="J2879" i="1"/>
  <c r="J2881" i="1"/>
  <c r="J2882" i="1"/>
  <c r="J2883" i="1"/>
  <c r="J2886" i="1"/>
  <c r="J2889" i="1"/>
  <c r="Q2873" i="1"/>
  <c r="P2873" i="1" s="1"/>
  <c r="Q2874" i="1"/>
  <c r="P2874" i="1" s="1"/>
  <c r="Q2875" i="1"/>
  <c r="P2875" i="1" s="1"/>
  <c r="Q2876" i="1"/>
  <c r="P2876" i="1" s="1"/>
  <c r="Q2877" i="1"/>
  <c r="P2877" i="1" s="1"/>
  <c r="Q2878" i="1"/>
  <c r="P2878" i="1" s="1"/>
  <c r="Q2879" i="1"/>
  <c r="P2879" i="1" s="1"/>
  <c r="Q2880" i="1"/>
  <c r="P2880" i="1" s="1"/>
  <c r="Q2881" i="1"/>
  <c r="P2881" i="1" s="1"/>
  <c r="Q2882" i="1"/>
  <c r="P2882" i="1" s="1"/>
  <c r="Q2883" i="1"/>
  <c r="P2883" i="1" s="1"/>
  <c r="Q2884" i="1"/>
  <c r="P2884" i="1" s="1"/>
  <c r="Q2885" i="1"/>
  <c r="P2885" i="1" s="1"/>
  <c r="Q2886" i="1"/>
  <c r="P2886" i="1" s="1"/>
  <c r="Q2887" i="1"/>
  <c r="P2887" i="1" s="1"/>
  <c r="Q2888" i="1"/>
  <c r="P2888" i="1" s="1"/>
  <c r="Q2889" i="1"/>
  <c r="P2889" i="1" s="1"/>
  <c r="H2872" i="1"/>
  <c r="Q2872" i="1"/>
  <c r="P2872" i="1" s="1"/>
  <c r="J2870" i="1"/>
  <c r="J2869" i="1"/>
  <c r="J2868" i="1"/>
  <c r="J2867" i="1"/>
  <c r="J2866" i="1"/>
  <c r="J2863" i="1"/>
  <c r="J2860" i="1"/>
  <c r="H2871" i="1"/>
  <c r="Q2871" i="1"/>
  <c r="P2871" i="1" s="1"/>
  <c r="J2861" i="1"/>
  <c r="J2865" i="1"/>
  <c r="H2870" i="1"/>
  <c r="Q2870" i="1"/>
  <c r="P2870" i="1" s="1"/>
  <c r="H2869" i="1"/>
  <c r="Q2869" i="1"/>
  <c r="P2869" i="1" s="1"/>
  <c r="H2868" i="1"/>
  <c r="Q2868" i="1"/>
  <c r="P2868" i="1" s="1"/>
  <c r="H2864" i="1"/>
  <c r="H2865" i="1"/>
  <c r="H2866" i="1"/>
  <c r="H2867" i="1"/>
  <c r="Q2864" i="1"/>
  <c r="P2864" i="1" s="1"/>
  <c r="Q2865" i="1"/>
  <c r="P2865" i="1" s="1"/>
  <c r="Q2866" i="1"/>
  <c r="P2866" i="1" s="1"/>
  <c r="Q2867" i="1"/>
  <c r="P2867" i="1" s="1"/>
  <c r="H2863" i="1"/>
  <c r="Q2863" i="1"/>
  <c r="P2863" i="1" s="1"/>
  <c r="J2862" i="1"/>
  <c r="J2859" i="1"/>
  <c r="J2858" i="1"/>
  <c r="J2857" i="1"/>
  <c r="H2862" i="1"/>
  <c r="Q2862" i="1"/>
  <c r="P2862" i="1" s="1"/>
  <c r="H2861" i="1"/>
  <c r="Q2861" i="1"/>
  <c r="P2861" i="1" s="1"/>
  <c r="H2860" i="1"/>
  <c r="Q2860" i="1"/>
  <c r="P2860" i="1" s="1"/>
  <c r="H2858" i="1"/>
  <c r="H2859" i="1"/>
  <c r="Q2858" i="1"/>
  <c r="P2858" i="1" s="1"/>
  <c r="Q2859" i="1"/>
  <c r="P2859" i="1" s="1"/>
  <c r="H2857" i="1"/>
  <c r="Q2857" i="1"/>
  <c r="P2857" i="1" s="1"/>
  <c r="S2249" i="1"/>
  <c r="S1912" i="1"/>
  <c r="S1874" i="1"/>
  <c r="S1430" i="1"/>
  <c r="S1296" i="1"/>
  <c r="S1184" i="1"/>
  <c r="S1183" i="1"/>
  <c r="S1182" i="1"/>
  <c r="S1181" i="1"/>
  <c r="S1180" i="1"/>
  <c r="S1179" i="1"/>
  <c r="S1178" i="1"/>
  <c r="S1177" i="1"/>
  <c r="S1138" i="1"/>
  <c r="S1131" i="1"/>
  <c r="S1130" i="1"/>
  <c r="S1129" i="1"/>
  <c r="S1128" i="1"/>
  <c r="S1015" i="1"/>
  <c r="S919" i="1"/>
  <c r="S918" i="1"/>
  <c r="S917" i="1"/>
  <c r="S916" i="1"/>
  <c r="S915" i="1"/>
  <c r="S914" i="1"/>
  <c r="S913" i="1"/>
  <c r="S912" i="1"/>
  <c r="S911" i="1"/>
  <c r="S910" i="1"/>
  <c r="S909" i="1"/>
  <c r="S884" i="1"/>
  <c r="S857" i="1"/>
  <c r="S856" i="1"/>
  <c r="S855" i="1"/>
  <c r="S854" i="1"/>
  <c r="S853" i="1"/>
  <c r="S830" i="1"/>
  <c r="S829" i="1"/>
  <c r="S828" i="1"/>
  <c r="S827" i="1"/>
  <c r="S816" i="1"/>
  <c r="S815" i="1"/>
  <c r="S814" i="1"/>
  <c r="S618" i="1"/>
  <c r="S617" i="1"/>
  <c r="S616" i="1"/>
  <c r="S615" i="1"/>
  <c r="S614" i="1"/>
  <c r="S613" i="1"/>
  <c r="S612" i="1"/>
  <c r="S578" i="1"/>
  <c r="S540" i="1"/>
  <c r="S494" i="1"/>
  <c r="S421" i="1"/>
  <c r="S414" i="1"/>
  <c r="S413" i="1"/>
  <c r="S405" i="1"/>
  <c r="S399" i="1"/>
  <c r="S388" i="1"/>
  <c r="S383" i="1"/>
  <c r="S357" i="1"/>
  <c r="S284" i="1"/>
  <c r="S234" i="1"/>
  <c r="S230" i="1"/>
  <c r="S228" i="1"/>
  <c r="S220" i="1"/>
  <c r="S216" i="1"/>
  <c r="S214" i="1"/>
  <c r="H2856" i="1"/>
  <c r="J2856" i="1"/>
  <c r="Q2856" i="1"/>
  <c r="P2856" i="1" s="1"/>
  <c r="H2855" i="1"/>
  <c r="J2855" i="1"/>
  <c r="Q2855" i="1"/>
  <c r="P2855" i="1" s="1"/>
  <c r="H2854" i="1"/>
  <c r="J2854" i="1"/>
  <c r="Q2854" i="1"/>
  <c r="P2854" i="1" s="1"/>
  <c r="J2853" i="1"/>
  <c r="J2852" i="1"/>
  <c r="J2851" i="1"/>
  <c r="J2848" i="1"/>
  <c r="J2843" i="1"/>
  <c r="J2850" i="1"/>
  <c r="J2849" i="1"/>
  <c r="H2853" i="1"/>
  <c r="Q2853" i="1"/>
  <c r="P2853" i="1" s="1"/>
  <c r="H2852" i="1"/>
  <c r="Q2852" i="1"/>
  <c r="P2852" i="1" s="1"/>
  <c r="H2850" i="1"/>
  <c r="H2851" i="1"/>
  <c r="Q2850" i="1"/>
  <c r="P2850" i="1" s="1"/>
  <c r="Q2851" i="1"/>
  <c r="P2851" i="1" s="1"/>
  <c r="H2849" i="1"/>
  <c r="Q2849" i="1"/>
  <c r="P2849" i="1" s="1"/>
  <c r="H2848" i="1"/>
  <c r="Q2848" i="1"/>
  <c r="P2848" i="1" s="1"/>
  <c r="J2847" i="1"/>
  <c r="J2846" i="1"/>
  <c r="J2845" i="1"/>
  <c r="J2844" i="1"/>
  <c r="J2842" i="1"/>
  <c r="J2837" i="1"/>
  <c r="J2836" i="1"/>
  <c r="J2835" i="1"/>
  <c r="H2846" i="1"/>
  <c r="H2847" i="1"/>
  <c r="Q2846" i="1"/>
  <c r="P2846" i="1" s="1"/>
  <c r="Q2847" i="1"/>
  <c r="P2847" i="1" s="1"/>
  <c r="H2845" i="1"/>
  <c r="Q2845" i="1"/>
  <c r="P2845" i="1" s="1"/>
  <c r="J2838" i="1"/>
  <c r="H2844" i="1"/>
  <c r="Q2844" i="1"/>
  <c r="P2844" i="1" s="1"/>
  <c r="H2843" i="1"/>
  <c r="Q2843" i="1"/>
  <c r="P2843" i="1" s="1"/>
  <c r="H2836" i="1"/>
  <c r="H2837" i="1"/>
  <c r="H2838" i="1"/>
  <c r="H2839" i="1"/>
  <c r="H2840" i="1"/>
  <c r="H2841" i="1"/>
  <c r="H2842" i="1"/>
  <c r="J2839" i="1"/>
  <c r="J2840" i="1"/>
  <c r="J2841" i="1"/>
  <c r="Q2836" i="1"/>
  <c r="P2836" i="1" s="1"/>
  <c r="Q2837" i="1"/>
  <c r="P2837" i="1" s="1"/>
  <c r="Q2838" i="1"/>
  <c r="P2838" i="1" s="1"/>
  <c r="Q2839" i="1"/>
  <c r="P2839" i="1" s="1"/>
  <c r="Q2840" i="1"/>
  <c r="P2840" i="1" s="1"/>
  <c r="Q2841" i="1"/>
  <c r="P2841" i="1" s="1"/>
  <c r="Q2842" i="1"/>
  <c r="P2842" i="1" s="1"/>
  <c r="H2835" i="1"/>
  <c r="Q2835" i="1"/>
  <c r="P2835" i="1" s="1"/>
  <c r="H2833" i="1"/>
  <c r="H2834" i="1"/>
  <c r="J2833" i="1"/>
  <c r="J2834" i="1"/>
  <c r="Q2833" i="1"/>
  <c r="P2833" i="1" s="1"/>
  <c r="Q2834" i="1"/>
  <c r="P2834" i="1" s="1"/>
  <c r="H2822" i="1"/>
  <c r="H2823" i="1"/>
  <c r="H2824" i="1"/>
  <c r="H2825" i="1"/>
  <c r="H2826" i="1"/>
  <c r="H2827" i="1"/>
  <c r="H2828" i="1"/>
  <c r="H2829" i="1"/>
  <c r="H2830" i="1"/>
  <c r="H2831" i="1"/>
  <c r="H2832" i="1"/>
  <c r="J2822" i="1"/>
  <c r="J2823" i="1"/>
  <c r="J2824" i="1"/>
  <c r="J2825" i="1"/>
  <c r="J2826" i="1"/>
  <c r="J2827" i="1"/>
  <c r="J2828" i="1"/>
  <c r="J2829" i="1"/>
  <c r="J2830" i="1"/>
  <c r="J2831" i="1"/>
  <c r="J2832" i="1"/>
  <c r="Q2822" i="1"/>
  <c r="P2822" i="1" s="1"/>
  <c r="Q2823" i="1"/>
  <c r="P2823" i="1" s="1"/>
  <c r="Q2824" i="1"/>
  <c r="P2824" i="1" s="1"/>
  <c r="Q2825" i="1"/>
  <c r="P2825" i="1" s="1"/>
  <c r="Q2826" i="1"/>
  <c r="P2826" i="1" s="1"/>
  <c r="Q2827" i="1"/>
  <c r="P2827" i="1" s="1"/>
  <c r="Q2828" i="1"/>
  <c r="P2828" i="1" s="1"/>
  <c r="Q2829" i="1"/>
  <c r="P2829" i="1" s="1"/>
  <c r="Q2830" i="1"/>
  <c r="P2830" i="1" s="1"/>
  <c r="Q2831" i="1"/>
  <c r="P2831" i="1" s="1"/>
  <c r="Q2832" i="1"/>
  <c r="P2832" i="1" s="1"/>
  <c r="H2821" i="1"/>
  <c r="J2821" i="1"/>
  <c r="Q2821" i="1"/>
  <c r="P2821" i="1" s="1"/>
  <c r="H2814" i="1"/>
  <c r="H2815" i="1"/>
  <c r="H2816" i="1"/>
  <c r="H2817" i="1"/>
  <c r="H2818" i="1"/>
  <c r="H2819" i="1"/>
  <c r="H2820" i="1"/>
  <c r="J2814" i="1"/>
  <c r="J2815" i="1"/>
  <c r="J2816" i="1"/>
  <c r="J2817" i="1"/>
  <c r="J2818" i="1"/>
  <c r="J2819" i="1"/>
  <c r="J2820" i="1"/>
  <c r="Q2814" i="1"/>
  <c r="P2814" i="1" s="1"/>
  <c r="Q2815" i="1"/>
  <c r="P2815" i="1" s="1"/>
  <c r="Q2816" i="1"/>
  <c r="P2816" i="1" s="1"/>
  <c r="Q2817" i="1"/>
  <c r="P2817" i="1" s="1"/>
  <c r="Q2818" i="1"/>
  <c r="P2818" i="1" s="1"/>
  <c r="Q2819" i="1"/>
  <c r="P2819" i="1" s="1"/>
  <c r="Q2820" i="1"/>
  <c r="P2820" i="1" s="1"/>
  <c r="H2813" i="1"/>
  <c r="J2813" i="1"/>
  <c r="Q2813" i="1"/>
  <c r="P2813" i="1" s="1"/>
  <c r="H2503" i="1"/>
  <c r="H2504" i="1"/>
  <c r="H2505" i="1"/>
  <c r="H2506" i="1"/>
  <c r="H2507" i="1"/>
  <c r="H2508" i="1"/>
  <c r="H2509" i="1"/>
  <c r="H2510" i="1"/>
  <c r="H2511" i="1"/>
  <c r="H2512" i="1"/>
  <c r="H2513" i="1"/>
  <c r="H2514" i="1"/>
  <c r="H2515" i="1"/>
  <c r="H2516" i="1"/>
  <c r="H2517" i="1"/>
  <c r="H2518" i="1"/>
  <c r="H2519" i="1"/>
  <c r="H2520" i="1"/>
  <c r="H2521" i="1"/>
  <c r="H2522" i="1"/>
  <c r="H2523" i="1"/>
  <c r="H2524" i="1"/>
  <c r="H2525" i="1"/>
  <c r="H2526" i="1"/>
  <c r="H2527" i="1"/>
  <c r="H2528" i="1"/>
  <c r="H2529" i="1"/>
  <c r="H2530" i="1"/>
  <c r="H2531" i="1"/>
  <c r="H2532" i="1"/>
  <c r="H2533" i="1"/>
  <c r="H2534" i="1"/>
  <c r="H2535" i="1"/>
  <c r="H2536" i="1"/>
  <c r="H2537" i="1"/>
  <c r="H2538" i="1"/>
  <c r="H2539" i="1"/>
  <c r="H2540" i="1"/>
  <c r="H2541" i="1"/>
  <c r="H2542" i="1"/>
  <c r="H2543" i="1"/>
  <c r="H2544" i="1"/>
  <c r="H2545" i="1"/>
  <c r="H2546" i="1"/>
  <c r="H2547" i="1"/>
  <c r="H2548" i="1"/>
  <c r="H2549" i="1"/>
  <c r="H2550" i="1"/>
  <c r="H2551" i="1"/>
  <c r="H2552" i="1"/>
  <c r="H2553" i="1"/>
  <c r="H2554" i="1"/>
  <c r="H2555" i="1"/>
  <c r="H2556" i="1"/>
  <c r="H2557" i="1"/>
  <c r="H2558" i="1"/>
  <c r="H2559" i="1"/>
  <c r="H2560" i="1"/>
  <c r="H2561" i="1"/>
  <c r="H2562" i="1"/>
  <c r="H2563" i="1"/>
  <c r="H2564" i="1"/>
  <c r="H2565" i="1"/>
  <c r="H2566" i="1"/>
  <c r="H2567" i="1"/>
  <c r="H2568" i="1"/>
  <c r="H2569" i="1"/>
  <c r="H2570" i="1"/>
  <c r="H2571" i="1"/>
  <c r="H2572" i="1"/>
  <c r="H2573" i="1"/>
  <c r="H2574" i="1"/>
  <c r="H2575" i="1"/>
  <c r="H2576" i="1"/>
  <c r="H2577" i="1"/>
  <c r="H2578" i="1"/>
  <c r="H2579" i="1"/>
  <c r="H2580" i="1"/>
  <c r="H2581" i="1"/>
  <c r="H2582" i="1"/>
  <c r="H2583" i="1"/>
  <c r="H2584" i="1"/>
  <c r="H2585" i="1"/>
  <c r="H2586" i="1"/>
  <c r="H2587" i="1"/>
  <c r="H2588" i="1"/>
  <c r="H2589" i="1"/>
  <c r="H2590" i="1"/>
  <c r="H2591" i="1"/>
  <c r="H2592" i="1"/>
  <c r="H2593" i="1"/>
  <c r="H2594" i="1"/>
  <c r="H2595" i="1"/>
  <c r="H2596" i="1"/>
  <c r="H2597" i="1"/>
  <c r="H2598" i="1"/>
  <c r="H2599" i="1"/>
  <c r="H2600" i="1"/>
  <c r="H2601" i="1"/>
  <c r="H2602" i="1"/>
  <c r="H2603" i="1"/>
  <c r="H2604" i="1"/>
  <c r="H2605" i="1"/>
  <c r="H2606" i="1"/>
  <c r="H2607" i="1"/>
  <c r="H2608" i="1"/>
  <c r="H2609" i="1"/>
  <c r="H2610" i="1"/>
  <c r="H2611" i="1"/>
  <c r="H2612" i="1"/>
  <c r="H2613" i="1"/>
  <c r="H2614" i="1"/>
  <c r="H2615" i="1"/>
  <c r="H2616" i="1"/>
  <c r="H2617" i="1"/>
  <c r="H2618" i="1"/>
  <c r="H2619" i="1"/>
  <c r="H2620" i="1"/>
  <c r="H2621" i="1"/>
  <c r="H2622" i="1"/>
  <c r="H2623" i="1"/>
  <c r="H2624" i="1"/>
  <c r="H2625" i="1"/>
  <c r="H2626" i="1"/>
  <c r="H2627" i="1"/>
  <c r="H2628" i="1"/>
  <c r="H2629" i="1"/>
  <c r="H2630" i="1"/>
  <c r="H2631" i="1"/>
  <c r="H2632" i="1"/>
  <c r="H2633" i="1"/>
  <c r="H2634" i="1"/>
  <c r="H2635" i="1"/>
  <c r="H2636" i="1"/>
  <c r="H2637" i="1"/>
  <c r="H2638" i="1"/>
  <c r="H2639" i="1"/>
  <c r="H2640" i="1"/>
  <c r="H2641" i="1"/>
  <c r="H2642" i="1"/>
  <c r="H2643" i="1"/>
  <c r="H2644" i="1"/>
  <c r="H2645" i="1"/>
  <c r="H2646" i="1"/>
  <c r="H2647" i="1"/>
  <c r="H2648" i="1"/>
  <c r="H2649" i="1"/>
  <c r="H2650" i="1"/>
  <c r="H2651" i="1"/>
  <c r="H2652" i="1"/>
  <c r="H2653" i="1"/>
  <c r="H2654" i="1"/>
  <c r="H2655" i="1"/>
  <c r="H2656" i="1"/>
  <c r="H2657" i="1"/>
  <c r="H2658" i="1"/>
  <c r="H2659" i="1"/>
  <c r="H2660" i="1"/>
  <c r="H2661" i="1"/>
  <c r="H2662" i="1"/>
  <c r="H2663" i="1"/>
  <c r="H2664" i="1"/>
  <c r="H2665" i="1"/>
  <c r="H2666" i="1"/>
  <c r="H2667" i="1"/>
  <c r="H2668" i="1"/>
  <c r="H2669" i="1"/>
  <c r="H2670" i="1"/>
  <c r="H2671" i="1"/>
  <c r="H2672" i="1"/>
  <c r="H2673" i="1"/>
  <c r="H2674" i="1"/>
  <c r="H2675" i="1"/>
  <c r="H2676" i="1"/>
  <c r="H2677" i="1"/>
  <c r="H2678" i="1"/>
  <c r="H2679" i="1"/>
  <c r="H2680" i="1"/>
  <c r="H2681" i="1"/>
  <c r="H2682" i="1"/>
  <c r="H2683" i="1"/>
  <c r="H2684" i="1"/>
  <c r="H2685" i="1"/>
  <c r="H2686" i="1"/>
  <c r="H2687" i="1"/>
  <c r="H2688" i="1"/>
  <c r="H2689" i="1"/>
  <c r="H2690" i="1"/>
  <c r="H2691" i="1"/>
  <c r="H2692" i="1"/>
  <c r="H2693" i="1"/>
  <c r="H2694" i="1"/>
  <c r="H2695" i="1"/>
  <c r="H2696" i="1"/>
  <c r="H2697" i="1"/>
  <c r="H2698" i="1"/>
  <c r="H2699" i="1"/>
  <c r="H2700" i="1"/>
  <c r="H2701" i="1"/>
  <c r="H2702" i="1"/>
  <c r="H2703" i="1"/>
  <c r="H2704" i="1"/>
  <c r="H2705" i="1"/>
  <c r="H2706" i="1"/>
  <c r="H2707" i="1"/>
  <c r="H2708" i="1"/>
  <c r="H2709" i="1"/>
  <c r="H2710" i="1"/>
  <c r="H2711" i="1"/>
  <c r="H2712" i="1"/>
  <c r="H2713" i="1"/>
  <c r="H2714" i="1"/>
  <c r="H2715" i="1"/>
  <c r="H2716" i="1"/>
  <c r="H2717" i="1"/>
  <c r="H2718" i="1"/>
  <c r="H2719" i="1"/>
  <c r="H2720" i="1"/>
  <c r="H2721" i="1"/>
  <c r="H2722" i="1"/>
  <c r="H2723" i="1"/>
  <c r="H2724" i="1"/>
  <c r="H2725" i="1"/>
  <c r="H2726" i="1"/>
  <c r="H2727" i="1"/>
  <c r="H2728" i="1"/>
  <c r="H2729" i="1"/>
  <c r="H2730" i="1"/>
  <c r="H2731" i="1"/>
  <c r="H2732" i="1"/>
  <c r="H2733" i="1"/>
  <c r="H2734" i="1"/>
  <c r="H2735" i="1"/>
  <c r="H2736" i="1"/>
  <c r="H2737" i="1"/>
  <c r="H2738" i="1"/>
  <c r="H2739" i="1"/>
  <c r="H2740" i="1"/>
  <c r="H2741" i="1"/>
  <c r="H2742" i="1"/>
  <c r="H2743" i="1"/>
  <c r="H2744" i="1"/>
  <c r="H2745" i="1"/>
  <c r="H2746" i="1"/>
  <c r="H2747" i="1"/>
  <c r="H2748" i="1"/>
  <c r="H2749" i="1"/>
  <c r="H2750" i="1"/>
  <c r="H2751" i="1"/>
  <c r="H2752" i="1"/>
  <c r="H2753" i="1"/>
  <c r="H2754" i="1"/>
  <c r="H2755" i="1"/>
  <c r="H2756" i="1"/>
  <c r="H2757" i="1"/>
  <c r="H2758" i="1"/>
  <c r="H2759" i="1"/>
  <c r="H2760" i="1"/>
  <c r="H2761" i="1"/>
  <c r="H2762" i="1"/>
  <c r="H2763" i="1"/>
  <c r="H2764" i="1"/>
  <c r="H2765" i="1"/>
  <c r="H2766" i="1"/>
  <c r="H2767" i="1"/>
  <c r="H2768" i="1"/>
  <c r="H2769" i="1"/>
  <c r="H2770" i="1"/>
  <c r="H2771" i="1"/>
  <c r="H2772" i="1"/>
  <c r="H2773" i="1"/>
  <c r="H2774" i="1"/>
  <c r="H2775" i="1"/>
  <c r="H2776" i="1"/>
  <c r="H2777" i="1"/>
  <c r="H2778" i="1"/>
  <c r="H2779" i="1"/>
  <c r="H2780" i="1"/>
  <c r="H2781" i="1"/>
  <c r="H2782" i="1"/>
  <c r="H2783" i="1"/>
  <c r="H2784" i="1"/>
  <c r="H2785" i="1"/>
  <c r="H2786" i="1"/>
  <c r="H2787" i="1"/>
  <c r="H2788" i="1"/>
  <c r="H2789" i="1"/>
  <c r="H2790" i="1"/>
  <c r="H2791" i="1"/>
  <c r="H2792" i="1"/>
  <c r="H2793" i="1"/>
  <c r="H2794" i="1"/>
  <c r="H2795" i="1"/>
  <c r="H2796" i="1"/>
  <c r="H2797" i="1"/>
  <c r="H2798" i="1"/>
  <c r="H2799" i="1"/>
  <c r="H2800" i="1"/>
  <c r="H2801" i="1"/>
  <c r="H2802" i="1"/>
  <c r="H2803" i="1"/>
  <c r="H2804" i="1"/>
  <c r="H2805" i="1"/>
  <c r="H2806" i="1"/>
  <c r="H2807" i="1"/>
  <c r="H2808" i="1"/>
  <c r="H2809" i="1"/>
  <c r="H2810" i="1"/>
  <c r="H2811" i="1"/>
  <c r="H2812" i="1"/>
  <c r="J2503" i="1"/>
  <c r="J2504" i="1"/>
  <c r="J2505" i="1"/>
  <c r="J2506" i="1"/>
  <c r="J2507" i="1"/>
  <c r="J2508" i="1"/>
  <c r="J2509" i="1"/>
  <c r="J2510" i="1"/>
  <c r="J2511" i="1"/>
  <c r="J2512" i="1"/>
  <c r="J2513" i="1"/>
  <c r="J2514" i="1"/>
  <c r="J2515" i="1"/>
  <c r="J2516" i="1"/>
  <c r="J2517" i="1"/>
  <c r="J2518" i="1"/>
  <c r="J2519" i="1"/>
  <c r="J2520" i="1"/>
  <c r="J2521" i="1"/>
  <c r="J2522" i="1"/>
  <c r="J2523" i="1"/>
  <c r="J2524" i="1"/>
  <c r="J2525" i="1"/>
  <c r="J2526" i="1"/>
  <c r="J2527" i="1"/>
  <c r="J2528" i="1"/>
  <c r="J2529" i="1"/>
  <c r="J2530" i="1"/>
  <c r="J2531" i="1"/>
  <c r="J2532" i="1"/>
  <c r="J2533" i="1"/>
  <c r="J2534" i="1"/>
  <c r="J2535" i="1"/>
  <c r="J2536" i="1"/>
  <c r="J2537" i="1"/>
  <c r="J2538" i="1"/>
  <c r="J2539" i="1"/>
  <c r="J2540" i="1"/>
  <c r="J2541" i="1"/>
  <c r="J2542" i="1"/>
  <c r="J2543" i="1"/>
  <c r="J2544" i="1"/>
  <c r="J2545" i="1"/>
  <c r="J2546" i="1"/>
  <c r="J2547" i="1"/>
  <c r="J2548" i="1"/>
  <c r="J2549" i="1"/>
  <c r="J2550" i="1"/>
  <c r="J2551" i="1"/>
  <c r="J2552" i="1"/>
  <c r="J2553" i="1"/>
  <c r="J2554" i="1"/>
  <c r="J2555" i="1"/>
  <c r="J2556" i="1"/>
  <c r="J2557" i="1"/>
  <c r="J2558" i="1"/>
  <c r="J2559" i="1"/>
  <c r="J2560" i="1"/>
  <c r="J2561" i="1"/>
  <c r="J2562" i="1"/>
  <c r="J2563" i="1"/>
  <c r="J2564" i="1"/>
  <c r="J2565" i="1"/>
  <c r="J2566" i="1"/>
  <c r="J2567" i="1"/>
  <c r="J2568" i="1"/>
  <c r="J2569" i="1"/>
  <c r="J2570" i="1"/>
  <c r="J2571" i="1"/>
  <c r="J2572" i="1"/>
  <c r="J2573" i="1"/>
  <c r="J2574" i="1"/>
  <c r="J2575" i="1"/>
  <c r="J2576" i="1"/>
  <c r="J2577" i="1"/>
  <c r="J2578" i="1"/>
  <c r="J2579" i="1"/>
  <c r="J2580" i="1"/>
  <c r="J2581" i="1"/>
  <c r="J2582" i="1"/>
  <c r="J2583" i="1"/>
  <c r="J2584" i="1"/>
  <c r="J2585" i="1"/>
  <c r="J2586" i="1"/>
  <c r="J2587" i="1"/>
  <c r="J2588" i="1"/>
  <c r="J2589" i="1"/>
  <c r="J2590" i="1"/>
  <c r="J2591" i="1"/>
  <c r="J2592" i="1"/>
  <c r="J2593" i="1"/>
  <c r="J2594" i="1"/>
  <c r="J2595" i="1"/>
  <c r="J2596" i="1"/>
  <c r="J2597" i="1"/>
  <c r="J2598" i="1"/>
  <c r="J2599" i="1"/>
  <c r="J2600" i="1"/>
  <c r="J2601" i="1"/>
  <c r="J2602" i="1"/>
  <c r="J2603" i="1"/>
  <c r="J2604" i="1"/>
  <c r="J2605" i="1"/>
  <c r="J2606" i="1"/>
  <c r="J2607" i="1"/>
  <c r="J2608" i="1"/>
  <c r="J2609" i="1"/>
  <c r="J2610" i="1"/>
  <c r="J2611" i="1"/>
  <c r="J2612" i="1"/>
  <c r="J2613" i="1"/>
  <c r="J2614" i="1"/>
  <c r="J2615" i="1"/>
  <c r="J2616" i="1"/>
  <c r="J2617" i="1"/>
  <c r="J2618" i="1"/>
  <c r="J2619" i="1"/>
  <c r="J2620" i="1"/>
  <c r="J2621" i="1"/>
  <c r="J2622" i="1"/>
  <c r="J2623" i="1"/>
  <c r="J2624" i="1"/>
  <c r="J2625" i="1"/>
  <c r="J2626" i="1"/>
  <c r="J2627" i="1"/>
  <c r="J2628" i="1"/>
  <c r="J2629" i="1"/>
  <c r="J2630" i="1"/>
  <c r="J2631" i="1"/>
  <c r="J2632" i="1"/>
  <c r="J2633" i="1"/>
  <c r="J2634" i="1"/>
  <c r="J2635" i="1"/>
  <c r="J2636" i="1"/>
  <c r="J2637" i="1"/>
  <c r="J2638" i="1"/>
  <c r="J2639" i="1"/>
  <c r="J2640" i="1"/>
  <c r="J2641" i="1"/>
  <c r="J2642" i="1"/>
  <c r="J2643" i="1"/>
  <c r="J2644" i="1"/>
  <c r="J2645" i="1"/>
  <c r="J2646" i="1"/>
  <c r="J2647" i="1"/>
  <c r="J2648" i="1"/>
  <c r="J2649" i="1"/>
  <c r="J2650" i="1"/>
  <c r="J2651" i="1"/>
  <c r="J2652" i="1"/>
  <c r="J2653" i="1"/>
  <c r="J2654" i="1"/>
  <c r="J2655" i="1"/>
  <c r="J2656" i="1"/>
  <c r="J2657" i="1"/>
  <c r="J2658" i="1"/>
  <c r="J2659" i="1"/>
  <c r="J2660" i="1"/>
  <c r="J2661" i="1"/>
  <c r="J2662" i="1"/>
  <c r="J2663" i="1"/>
  <c r="J2664" i="1"/>
  <c r="J2665" i="1"/>
  <c r="J2666" i="1"/>
  <c r="J2667" i="1"/>
  <c r="J2668" i="1"/>
  <c r="J2669" i="1"/>
  <c r="J2670" i="1"/>
  <c r="J2671" i="1"/>
  <c r="J2672" i="1"/>
  <c r="J2673" i="1"/>
  <c r="J2674" i="1"/>
  <c r="J2675" i="1"/>
  <c r="J2676" i="1"/>
  <c r="J2677" i="1"/>
  <c r="J2678" i="1"/>
  <c r="J2679" i="1"/>
  <c r="J2680" i="1"/>
  <c r="J2681" i="1"/>
  <c r="J2682" i="1"/>
  <c r="J2683" i="1"/>
  <c r="J2684" i="1"/>
  <c r="J2685" i="1"/>
  <c r="J2686" i="1"/>
  <c r="J2687" i="1"/>
  <c r="J2688" i="1"/>
  <c r="J2689" i="1"/>
  <c r="J2690" i="1"/>
  <c r="J2691" i="1"/>
  <c r="J2692" i="1"/>
  <c r="J2693" i="1"/>
  <c r="J2694" i="1"/>
  <c r="J2695" i="1"/>
  <c r="J2696" i="1"/>
  <c r="J2697" i="1"/>
  <c r="J2698" i="1"/>
  <c r="J2699" i="1"/>
  <c r="J2700" i="1"/>
  <c r="J2701" i="1"/>
  <c r="J2702" i="1"/>
  <c r="J2703" i="1"/>
  <c r="J2704" i="1"/>
  <c r="J2705" i="1"/>
  <c r="J2706" i="1"/>
  <c r="J2707" i="1"/>
  <c r="J2708" i="1"/>
  <c r="J2709" i="1"/>
  <c r="J2710" i="1"/>
  <c r="J2711" i="1"/>
  <c r="J2712" i="1"/>
  <c r="J2713" i="1"/>
  <c r="J2714" i="1"/>
  <c r="J2715" i="1"/>
  <c r="J2716" i="1"/>
  <c r="J2717" i="1"/>
  <c r="J2718" i="1"/>
  <c r="J2719" i="1"/>
  <c r="J2720" i="1"/>
  <c r="J2721" i="1"/>
  <c r="J2722" i="1"/>
  <c r="J2723" i="1"/>
  <c r="J2724" i="1"/>
  <c r="J2725" i="1"/>
  <c r="J2726" i="1"/>
  <c r="J2727" i="1"/>
  <c r="J2728" i="1"/>
  <c r="J2729" i="1"/>
  <c r="J2730" i="1"/>
  <c r="J2731" i="1"/>
  <c r="J2732" i="1"/>
  <c r="J2733" i="1"/>
  <c r="J2734" i="1"/>
  <c r="J2735" i="1"/>
  <c r="J2736" i="1"/>
  <c r="J2737" i="1"/>
  <c r="J2738" i="1"/>
  <c r="J2739" i="1"/>
  <c r="J2740" i="1"/>
  <c r="J2741" i="1"/>
  <c r="J2742" i="1"/>
  <c r="J2743" i="1"/>
  <c r="J2744" i="1"/>
  <c r="J2745" i="1"/>
  <c r="J2746" i="1"/>
  <c r="J2747" i="1"/>
  <c r="J2748" i="1"/>
  <c r="J2749" i="1"/>
  <c r="J2750" i="1"/>
  <c r="J2751" i="1"/>
  <c r="J2752" i="1"/>
  <c r="J2753" i="1"/>
  <c r="J2754" i="1"/>
  <c r="J2755" i="1"/>
  <c r="J2756" i="1"/>
  <c r="J2757" i="1"/>
  <c r="J2758" i="1"/>
  <c r="J2759" i="1"/>
  <c r="J2760" i="1"/>
  <c r="J2761" i="1"/>
  <c r="J2762" i="1"/>
  <c r="J2763" i="1"/>
  <c r="J2764" i="1"/>
  <c r="J2765" i="1"/>
  <c r="J2766" i="1"/>
  <c r="J2767" i="1"/>
  <c r="J2768" i="1"/>
  <c r="J2769" i="1"/>
  <c r="J2770" i="1"/>
  <c r="J2771" i="1"/>
  <c r="J2772" i="1"/>
  <c r="J2773" i="1"/>
  <c r="J2774" i="1"/>
  <c r="J2775" i="1"/>
  <c r="J2776" i="1"/>
  <c r="J2777" i="1"/>
  <c r="J2778" i="1"/>
  <c r="J2779" i="1"/>
  <c r="J2780" i="1"/>
  <c r="J2781" i="1"/>
  <c r="J2782" i="1"/>
  <c r="J2783" i="1"/>
  <c r="J2784" i="1"/>
  <c r="J2785" i="1"/>
  <c r="J2786" i="1"/>
  <c r="J2787" i="1"/>
  <c r="J2788" i="1"/>
  <c r="J2789" i="1"/>
  <c r="J2790" i="1"/>
  <c r="J2791" i="1"/>
  <c r="J2792" i="1"/>
  <c r="J2793" i="1"/>
  <c r="J2794" i="1"/>
  <c r="J2795" i="1"/>
  <c r="J2796" i="1"/>
  <c r="J2797" i="1"/>
  <c r="J2798" i="1"/>
  <c r="J2799" i="1"/>
  <c r="J2800" i="1"/>
  <c r="J2801" i="1"/>
  <c r="J2802" i="1"/>
  <c r="J2803" i="1"/>
  <c r="J2804" i="1"/>
  <c r="J2805" i="1"/>
  <c r="J2806" i="1"/>
  <c r="J2807" i="1"/>
  <c r="J2808" i="1"/>
  <c r="J2809" i="1"/>
  <c r="J2810" i="1"/>
  <c r="J2811" i="1"/>
  <c r="J2812" i="1"/>
  <c r="Q2503" i="1"/>
  <c r="P2503" i="1" s="1"/>
  <c r="Q2504" i="1"/>
  <c r="P2504" i="1" s="1"/>
  <c r="Q2505" i="1"/>
  <c r="P2505" i="1" s="1"/>
  <c r="Q2506" i="1"/>
  <c r="P2506" i="1" s="1"/>
  <c r="Q2507" i="1"/>
  <c r="P2507" i="1" s="1"/>
  <c r="Q2508" i="1"/>
  <c r="P2508" i="1" s="1"/>
  <c r="Q2509" i="1"/>
  <c r="P2509" i="1" s="1"/>
  <c r="Q2510" i="1"/>
  <c r="P2510" i="1" s="1"/>
  <c r="Q2511" i="1"/>
  <c r="P2511" i="1" s="1"/>
  <c r="Q2512" i="1"/>
  <c r="P2512" i="1" s="1"/>
  <c r="Q2513" i="1"/>
  <c r="P2513" i="1" s="1"/>
  <c r="Q2514" i="1"/>
  <c r="P2514" i="1" s="1"/>
  <c r="Q2515" i="1"/>
  <c r="P2515" i="1" s="1"/>
  <c r="Q2516" i="1"/>
  <c r="P2516" i="1" s="1"/>
  <c r="Q2517" i="1"/>
  <c r="P2517" i="1" s="1"/>
  <c r="Q2518" i="1"/>
  <c r="P2518" i="1" s="1"/>
  <c r="Q2519" i="1"/>
  <c r="P2519" i="1" s="1"/>
  <c r="Q2520" i="1"/>
  <c r="P2520" i="1" s="1"/>
  <c r="Q2521" i="1"/>
  <c r="P2521" i="1" s="1"/>
  <c r="Q2522" i="1"/>
  <c r="P2522" i="1" s="1"/>
  <c r="Q2523" i="1"/>
  <c r="P2523" i="1" s="1"/>
  <c r="Q2524" i="1"/>
  <c r="P2524" i="1" s="1"/>
  <c r="Q2525" i="1"/>
  <c r="P2525" i="1" s="1"/>
  <c r="Q2526" i="1"/>
  <c r="P2526" i="1" s="1"/>
  <c r="Q2527" i="1"/>
  <c r="P2527" i="1" s="1"/>
  <c r="Q2528" i="1"/>
  <c r="P2528" i="1" s="1"/>
  <c r="Q2529" i="1"/>
  <c r="P2529" i="1" s="1"/>
  <c r="Q2530" i="1"/>
  <c r="P2530" i="1" s="1"/>
  <c r="Q2531" i="1"/>
  <c r="P2531" i="1" s="1"/>
  <c r="Q2532" i="1"/>
  <c r="P2532" i="1" s="1"/>
  <c r="Q2533" i="1"/>
  <c r="P2533" i="1" s="1"/>
  <c r="Q2534" i="1"/>
  <c r="P2534" i="1" s="1"/>
  <c r="Q2535" i="1"/>
  <c r="P2535" i="1" s="1"/>
  <c r="Q2536" i="1"/>
  <c r="P2536" i="1" s="1"/>
  <c r="Q2537" i="1"/>
  <c r="P2537" i="1" s="1"/>
  <c r="Q2538" i="1"/>
  <c r="P2538" i="1" s="1"/>
  <c r="Q2539" i="1"/>
  <c r="P2539" i="1" s="1"/>
  <c r="Q2540" i="1"/>
  <c r="P2540" i="1" s="1"/>
  <c r="Q2541" i="1"/>
  <c r="P2541" i="1" s="1"/>
  <c r="Q2542" i="1"/>
  <c r="P2542" i="1" s="1"/>
  <c r="Q2543" i="1"/>
  <c r="P2543" i="1" s="1"/>
  <c r="Q2544" i="1"/>
  <c r="P2544" i="1" s="1"/>
  <c r="Q2545" i="1"/>
  <c r="P2545" i="1" s="1"/>
  <c r="Q2546" i="1"/>
  <c r="P2546" i="1" s="1"/>
  <c r="Q2547" i="1"/>
  <c r="P2547" i="1" s="1"/>
  <c r="Q2548" i="1"/>
  <c r="P2548" i="1" s="1"/>
  <c r="Q2549" i="1"/>
  <c r="P2549" i="1" s="1"/>
  <c r="Q2550" i="1"/>
  <c r="P2550" i="1" s="1"/>
  <c r="Q2551" i="1"/>
  <c r="P2551" i="1" s="1"/>
  <c r="Q2552" i="1"/>
  <c r="P2552" i="1" s="1"/>
  <c r="Q2553" i="1"/>
  <c r="P2553" i="1" s="1"/>
  <c r="Q2554" i="1"/>
  <c r="P2554" i="1" s="1"/>
  <c r="Q2555" i="1"/>
  <c r="P2555" i="1" s="1"/>
  <c r="Q2556" i="1"/>
  <c r="P2556" i="1" s="1"/>
  <c r="Q2557" i="1"/>
  <c r="P2557" i="1" s="1"/>
  <c r="Q2558" i="1"/>
  <c r="P2558" i="1" s="1"/>
  <c r="Q2559" i="1"/>
  <c r="P2559" i="1" s="1"/>
  <c r="Q2560" i="1"/>
  <c r="P2560" i="1" s="1"/>
  <c r="Q2561" i="1"/>
  <c r="P2561" i="1" s="1"/>
  <c r="Q2562" i="1"/>
  <c r="P2562" i="1" s="1"/>
  <c r="Q2563" i="1"/>
  <c r="P2563" i="1" s="1"/>
  <c r="Q2564" i="1"/>
  <c r="P2564" i="1" s="1"/>
  <c r="Q2565" i="1"/>
  <c r="P2565" i="1" s="1"/>
  <c r="Q2566" i="1"/>
  <c r="P2566" i="1" s="1"/>
  <c r="Q2567" i="1"/>
  <c r="P2567" i="1" s="1"/>
  <c r="Q2568" i="1"/>
  <c r="P2568" i="1" s="1"/>
  <c r="Q2569" i="1"/>
  <c r="P2569" i="1" s="1"/>
  <c r="Q2570" i="1"/>
  <c r="P2570" i="1" s="1"/>
  <c r="Q2571" i="1"/>
  <c r="P2571" i="1" s="1"/>
  <c r="Q2572" i="1"/>
  <c r="P2572" i="1" s="1"/>
  <c r="Q2573" i="1"/>
  <c r="P2573" i="1" s="1"/>
  <c r="Q2574" i="1"/>
  <c r="P2574" i="1" s="1"/>
  <c r="Q2575" i="1"/>
  <c r="P2575" i="1" s="1"/>
  <c r="Q2576" i="1"/>
  <c r="P2576" i="1" s="1"/>
  <c r="Q2577" i="1"/>
  <c r="P2577" i="1" s="1"/>
  <c r="Q2578" i="1"/>
  <c r="P2578" i="1" s="1"/>
  <c r="Q2579" i="1"/>
  <c r="P2579" i="1" s="1"/>
  <c r="Q2580" i="1"/>
  <c r="P2580" i="1" s="1"/>
  <c r="Q2581" i="1"/>
  <c r="P2581" i="1" s="1"/>
  <c r="Q2582" i="1"/>
  <c r="P2582" i="1" s="1"/>
  <c r="Q2583" i="1"/>
  <c r="P2583" i="1" s="1"/>
  <c r="Q2584" i="1"/>
  <c r="P2584" i="1" s="1"/>
  <c r="Q2585" i="1"/>
  <c r="P2585" i="1" s="1"/>
  <c r="Q2586" i="1"/>
  <c r="P2586" i="1" s="1"/>
  <c r="Q2587" i="1"/>
  <c r="P2587" i="1" s="1"/>
  <c r="Q2588" i="1"/>
  <c r="P2588" i="1" s="1"/>
  <c r="Q2589" i="1"/>
  <c r="P2589" i="1" s="1"/>
  <c r="Q2590" i="1"/>
  <c r="P2590" i="1" s="1"/>
  <c r="Q2591" i="1"/>
  <c r="P2591" i="1" s="1"/>
  <c r="Q2592" i="1"/>
  <c r="P2592" i="1" s="1"/>
  <c r="Q2593" i="1"/>
  <c r="P2593" i="1" s="1"/>
  <c r="Q2594" i="1"/>
  <c r="P2594" i="1" s="1"/>
  <c r="Q2595" i="1"/>
  <c r="P2595" i="1" s="1"/>
  <c r="Q2596" i="1"/>
  <c r="P2596" i="1" s="1"/>
  <c r="Q2597" i="1"/>
  <c r="P2597" i="1" s="1"/>
  <c r="Q2598" i="1"/>
  <c r="P2598" i="1" s="1"/>
  <c r="Q2599" i="1"/>
  <c r="P2599" i="1" s="1"/>
  <c r="Q2600" i="1"/>
  <c r="P2600" i="1" s="1"/>
  <c r="Q2601" i="1"/>
  <c r="P2601" i="1" s="1"/>
  <c r="Q2602" i="1"/>
  <c r="P2602" i="1" s="1"/>
  <c r="Q2603" i="1"/>
  <c r="P2603" i="1" s="1"/>
  <c r="Q2604" i="1"/>
  <c r="P2604" i="1" s="1"/>
  <c r="Q2605" i="1"/>
  <c r="P2605" i="1" s="1"/>
  <c r="Q2606" i="1"/>
  <c r="P2606" i="1" s="1"/>
  <c r="Q2607" i="1"/>
  <c r="P2607" i="1" s="1"/>
  <c r="Q2608" i="1"/>
  <c r="P2608" i="1" s="1"/>
  <c r="Q2609" i="1"/>
  <c r="P2609" i="1" s="1"/>
  <c r="Q2610" i="1"/>
  <c r="P2610" i="1" s="1"/>
  <c r="Q2611" i="1"/>
  <c r="P2611" i="1" s="1"/>
  <c r="Q2612" i="1"/>
  <c r="P2612" i="1" s="1"/>
  <c r="Q2613" i="1"/>
  <c r="P2613" i="1" s="1"/>
  <c r="Q2614" i="1"/>
  <c r="P2614" i="1" s="1"/>
  <c r="Q2615" i="1"/>
  <c r="P2615" i="1" s="1"/>
  <c r="Q2616" i="1"/>
  <c r="P2616" i="1" s="1"/>
  <c r="Q2617" i="1"/>
  <c r="P2617" i="1" s="1"/>
  <c r="Q2618" i="1"/>
  <c r="P2618" i="1" s="1"/>
  <c r="Q2619" i="1"/>
  <c r="P2619" i="1" s="1"/>
  <c r="Q2620" i="1"/>
  <c r="P2620" i="1" s="1"/>
  <c r="Q2621" i="1"/>
  <c r="P2621" i="1" s="1"/>
  <c r="Q2622" i="1"/>
  <c r="P2622" i="1" s="1"/>
  <c r="Q2623" i="1"/>
  <c r="P2623" i="1" s="1"/>
  <c r="Q2624" i="1"/>
  <c r="P2624" i="1" s="1"/>
  <c r="Q2625" i="1"/>
  <c r="P2625" i="1" s="1"/>
  <c r="Q2626" i="1"/>
  <c r="P2626" i="1" s="1"/>
  <c r="Q2627" i="1"/>
  <c r="P2627" i="1" s="1"/>
  <c r="Q2628" i="1"/>
  <c r="P2628" i="1" s="1"/>
  <c r="Q2629" i="1"/>
  <c r="P2629" i="1" s="1"/>
  <c r="Q2630" i="1"/>
  <c r="P2630" i="1" s="1"/>
  <c r="Q2631" i="1"/>
  <c r="P2631" i="1" s="1"/>
  <c r="Q2632" i="1"/>
  <c r="P2632" i="1" s="1"/>
  <c r="Q2633" i="1"/>
  <c r="P2633" i="1" s="1"/>
  <c r="Q2634" i="1"/>
  <c r="P2634" i="1" s="1"/>
  <c r="Q2635" i="1"/>
  <c r="P2635" i="1" s="1"/>
  <c r="Q2636" i="1"/>
  <c r="P2636" i="1" s="1"/>
  <c r="Q2637" i="1"/>
  <c r="P2637" i="1" s="1"/>
  <c r="Q2638" i="1"/>
  <c r="P2638" i="1" s="1"/>
  <c r="Q2639" i="1"/>
  <c r="P2639" i="1" s="1"/>
  <c r="Q2640" i="1"/>
  <c r="P2640" i="1" s="1"/>
  <c r="Q2641" i="1"/>
  <c r="P2641" i="1" s="1"/>
  <c r="Q2642" i="1"/>
  <c r="P2642" i="1" s="1"/>
  <c r="Q2643" i="1"/>
  <c r="P2643" i="1" s="1"/>
  <c r="Q2644" i="1"/>
  <c r="P2644" i="1" s="1"/>
  <c r="Q2645" i="1"/>
  <c r="P2645" i="1" s="1"/>
  <c r="Q2646" i="1"/>
  <c r="P2646" i="1" s="1"/>
  <c r="Q2647" i="1"/>
  <c r="P2647" i="1" s="1"/>
  <c r="Q2648" i="1"/>
  <c r="P2648" i="1" s="1"/>
  <c r="Q2649" i="1"/>
  <c r="P2649" i="1" s="1"/>
  <c r="Q2650" i="1"/>
  <c r="P2650" i="1" s="1"/>
  <c r="Q2651" i="1"/>
  <c r="P2651" i="1" s="1"/>
  <c r="Q2652" i="1"/>
  <c r="P2652" i="1" s="1"/>
  <c r="Q2653" i="1"/>
  <c r="P2653" i="1" s="1"/>
  <c r="Q2654" i="1"/>
  <c r="P2654" i="1" s="1"/>
  <c r="Q2655" i="1"/>
  <c r="P2655" i="1" s="1"/>
  <c r="Q2656" i="1"/>
  <c r="P2656" i="1" s="1"/>
  <c r="Q2657" i="1"/>
  <c r="P2657" i="1" s="1"/>
  <c r="Q2658" i="1"/>
  <c r="P2658" i="1" s="1"/>
  <c r="Q2659" i="1"/>
  <c r="P2659" i="1" s="1"/>
  <c r="Q2660" i="1"/>
  <c r="P2660" i="1" s="1"/>
  <c r="Q2661" i="1"/>
  <c r="P2661" i="1" s="1"/>
  <c r="Q2662" i="1"/>
  <c r="P2662" i="1" s="1"/>
  <c r="Q2663" i="1"/>
  <c r="P2663" i="1" s="1"/>
  <c r="Q2664" i="1"/>
  <c r="P2664" i="1" s="1"/>
  <c r="Q2665" i="1"/>
  <c r="P2665" i="1" s="1"/>
  <c r="Q2666" i="1"/>
  <c r="P2666" i="1" s="1"/>
  <c r="Q2667" i="1"/>
  <c r="P2667" i="1" s="1"/>
  <c r="Q2668" i="1"/>
  <c r="P2668" i="1" s="1"/>
  <c r="Q2669" i="1"/>
  <c r="P2669" i="1" s="1"/>
  <c r="Q2670" i="1"/>
  <c r="P2670" i="1" s="1"/>
  <c r="Q2671" i="1"/>
  <c r="P2671" i="1" s="1"/>
  <c r="Q2672" i="1"/>
  <c r="P2672" i="1" s="1"/>
  <c r="Q2673" i="1"/>
  <c r="P2673" i="1" s="1"/>
  <c r="Q2674" i="1"/>
  <c r="P2674" i="1" s="1"/>
  <c r="Q2675" i="1"/>
  <c r="P2675" i="1" s="1"/>
  <c r="Q2676" i="1"/>
  <c r="P2676" i="1" s="1"/>
  <c r="Q2677" i="1"/>
  <c r="P2677" i="1" s="1"/>
  <c r="Q2678" i="1"/>
  <c r="P2678" i="1" s="1"/>
  <c r="Q2679" i="1"/>
  <c r="P2679" i="1" s="1"/>
  <c r="Q2680" i="1"/>
  <c r="P2680" i="1" s="1"/>
  <c r="Q2681" i="1"/>
  <c r="P2681" i="1" s="1"/>
  <c r="Q2682" i="1"/>
  <c r="P2682" i="1" s="1"/>
  <c r="Q2683" i="1"/>
  <c r="P2683" i="1" s="1"/>
  <c r="Q2684" i="1"/>
  <c r="P2684" i="1" s="1"/>
  <c r="Q2685" i="1"/>
  <c r="P2685" i="1" s="1"/>
  <c r="Q2686" i="1"/>
  <c r="P2686" i="1" s="1"/>
  <c r="Q2687" i="1"/>
  <c r="P2687" i="1" s="1"/>
  <c r="Q2688" i="1"/>
  <c r="P2688" i="1" s="1"/>
  <c r="Q2689" i="1"/>
  <c r="P2689" i="1" s="1"/>
  <c r="Q2690" i="1"/>
  <c r="P2690" i="1" s="1"/>
  <c r="Q2691" i="1"/>
  <c r="P2691" i="1" s="1"/>
  <c r="Q2692" i="1"/>
  <c r="P2692" i="1" s="1"/>
  <c r="Q2693" i="1"/>
  <c r="P2693" i="1" s="1"/>
  <c r="Q2694" i="1"/>
  <c r="P2694" i="1" s="1"/>
  <c r="Q2695" i="1"/>
  <c r="P2695" i="1" s="1"/>
  <c r="Q2696" i="1"/>
  <c r="P2696" i="1" s="1"/>
  <c r="Q2697" i="1"/>
  <c r="P2697" i="1" s="1"/>
  <c r="Q2698" i="1"/>
  <c r="P2698" i="1" s="1"/>
  <c r="Q2699" i="1"/>
  <c r="P2699" i="1" s="1"/>
  <c r="Q2700" i="1"/>
  <c r="P2700" i="1" s="1"/>
  <c r="Q2701" i="1"/>
  <c r="P2701" i="1" s="1"/>
  <c r="Q2702" i="1"/>
  <c r="P2702" i="1" s="1"/>
  <c r="Q2703" i="1"/>
  <c r="P2703" i="1" s="1"/>
  <c r="Q2704" i="1"/>
  <c r="P2704" i="1" s="1"/>
  <c r="Q2705" i="1"/>
  <c r="P2705" i="1" s="1"/>
  <c r="Q2706" i="1"/>
  <c r="P2706" i="1" s="1"/>
  <c r="Q2707" i="1"/>
  <c r="P2707" i="1" s="1"/>
  <c r="Q2708" i="1"/>
  <c r="P2708" i="1" s="1"/>
  <c r="Q2709" i="1"/>
  <c r="P2709" i="1" s="1"/>
  <c r="Q2710" i="1"/>
  <c r="P2710" i="1" s="1"/>
  <c r="Q2711" i="1"/>
  <c r="P2711" i="1" s="1"/>
  <c r="Q2712" i="1"/>
  <c r="P2712" i="1" s="1"/>
  <c r="Q2713" i="1"/>
  <c r="P2713" i="1" s="1"/>
  <c r="Q2714" i="1"/>
  <c r="P2714" i="1" s="1"/>
  <c r="Q2715" i="1"/>
  <c r="P2715" i="1" s="1"/>
  <c r="Q2716" i="1"/>
  <c r="P2716" i="1" s="1"/>
  <c r="Q2717" i="1"/>
  <c r="P2717" i="1" s="1"/>
  <c r="Q2718" i="1"/>
  <c r="P2718" i="1" s="1"/>
  <c r="Q2719" i="1"/>
  <c r="P2719" i="1" s="1"/>
  <c r="Q2720" i="1"/>
  <c r="P2720" i="1" s="1"/>
  <c r="Q2721" i="1"/>
  <c r="P2721" i="1" s="1"/>
  <c r="Q2722" i="1"/>
  <c r="P2722" i="1" s="1"/>
  <c r="Q2723" i="1"/>
  <c r="P2723" i="1" s="1"/>
  <c r="Q2724" i="1"/>
  <c r="P2724" i="1" s="1"/>
  <c r="Q2725" i="1"/>
  <c r="P2725" i="1" s="1"/>
  <c r="Q2726" i="1"/>
  <c r="P2726" i="1" s="1"/>
  <c r="Q2727" i="1"/>
  <c r="P2727" i="1" s="1"/>
  <c r="Q2728" i="1"/>
  <c r="P2728" i="1" s="1"/>
  <c r="Q2729" i="1"/>
  <c r="P2729" i="1" s="1"/>
  <c r="Q2730" i="1"/>
  <c r="P2730" i="1" s="1"/>
  <c r="Q2731" i="1"/>
  <c r="P2731" i="1" s="1"/>
  <c r="Q2732" i="1"/>
  <c r="P2732" i="1" s="1"/>
  <c r="Q2733" i="1"/>
  <c r="P2733" i="1" s="1"/>
  <c r="Q2734" i="1"/>
  <c r="P2734" i="1" s="1"/>
  <c r="Q2735" i="1"/>
  <c r="P2735" i="1" s="1"/>
  <c r="Q2736" i="1"/>
  <c r="P2736" i="1" s="1"/>
  <c r="Q2737" i="1"/>
  <c r="P2737" i="1" s="1"/>
  <c r="Q2738" i="1"/>
  <c r="P2738" i="1" s="1"/>
  <c r="Q2739" i="1"/>
  <c r="P2739" i="1" s="1"/>
  <c r="Q2740" i="1"/>
  <c r="P2740" i="1" s="1"/>
  <c r="Q2741" i="1"/>
  <c r="P2741" i="1" s="1"/>
  <c r="Q2742" i="1"/>
  <c r="P2742" i="1" s="1"/>
  <c r="Q2743" i="1"/>
  <c r="P2743" i="1" s="1"/>
  <c r="Q2744" i="1"/>
  <c r="P2744" i="1" s="1"/>
  <c r="Q2745" i="1"/>
  <c r="P2745" i="1" s="1"/>
  <c r="Q2746" i="1"/>
  <c r="P2746" i="1" s="1"/>
  <c r="Q2747" i="1"/>
  <c r="P2747" i="1" s="1"/>
  <c r="Q2748" i="1"/>
  <c r="P2748" i="1" s="1"/>
  <c r="Q2749" i="1"/>
  <c r="P2749" i="1" s="1"/>
  <c r="Q2750" i="1"/>
  <c r="P2750" i="1" s="1"/>
  <c r="Q2751" i="1"/>
  <c r="P2751" i="1" s="1"/>
  <c r="Q2752" i="1"/>
  <c r="P2752" i="1" s="1"/>
  <c r="Q2753" i="1"/>
  <c r="P2753" i="1" s="1"/>
  <c r="Q2754" i="1"/>
  <c r="P2754" i="1" s="1"/>
  <c r="Q2755" i="1"/>
  <c r="P2755" i="1" s="1"/>
  <c r="Q2756" i="1"/>
  <c r="P2756" i="1" s="1"/>
  <c r="Q2757" i="1"/>
  <c r="P2757" i="1" s="1"/>
  <c r="Q2758" i="1"/>
  <c r="P2758" i="1" s="1"/>
  <c r="Q2759" i="1"/>
  <c r="P2759" i="1" s="1"/>
  <c r="Q2760" i="1"/>
  <c r="P2760" i="1" s="1"/>
  <c r="Q2761" i="1"/>
  <c r="P2761" i="1" s="1"/>
  <c r="Q2762" i="1"/>
  <c r="P2762" i="1" s="1"/>
  <c r="Q2763" i="1"/>
  <c r="P2763" i="1" s="1"/>
  <c r="Q2764" i="1"/>
  <c r="P2764" i="1" s="1"/>
  <c r="Q2765" i="1"/>
  <c r="P2765" i="1" s="1"/>
  <c r="Q2766" i="1"/>
  <c r="P2766" i="1" s="1"/>
  <c r="Q2767" i="1"/>
  <c r="P2767" i="1" s="1"/>
  <c r="Q2768" i="1"/>
  <c r="P2768" i="1" s="1"/>
  <c r="Q2769" i="1"/>
  <c r="P2769" i="1" s="1"/>
  <c r="Q2770" i="1"/>
  <c r="P2770" i="1" s="1"/>
  <c r="Q2771" i="1"/>
  <c r="P2771" i="1" s="1"/>
  <c r="Q2772" i="1"/>
  <c r="P2772" i="1" s="1"/>
  <c r="Q2773" i="1"/>
  <c r="P2773" i="1" s="1"/>
  <c r="Q2774" i="1"/>
  <c r="P2774" i="1" s="1"/>
  <c r="Q2775" i="1"/>
  <c r="P2775" i="1" s="1"/>
  <c r="Q2776" i="1"/>
  <c r="P2776" i="1" s="1"/>
  <c r="Q2777" i="1"/>
  <c r="P2777" i="1" s="1"/>
  <c r="Q2778" i="1"/>
  <c r="P2778" i="1" s="1"/>
  <c r="Q2779" i="1"/>
  <c r="P2779" i="1" s="1"/>
  <c r="Q2780" i="1"/>
  <c r="P2780" i="1" s="1"/>
  <c r="Q2781" i="1"/>
  <c r="P2781" i="1" s="1"/>
  <c r="Q2782" i="1"/>
  <c r="P2782" i="1" s="1"/>
  <c r="Q2783" i="1"/>
  <c r="P2783" i="1" s="1"/>
  <c r="Q2784" i="1"/>
  <c r="P2784" i="1" s="1"/>
  <c r="Q2785" i="1"/>
  <c r="P2785" i="1" s="1"/>
  <c r="Q2786" i="1"/>
  <c r="P2786" i="1" s="1"/>
  <c r="Q2787" i="1"/>
  <c r="P2787" i="1" s="1"/>
  <c r="Q2788" i="1"/>
  <c r="P2788" i="1" s="1"/>
  <c r="Q2789" i="1"/>
  <c r="P2789" i="1" s="1"/>
  <c r="Q2790" i="1"/>
  <c r="P2790" i="1" s="1"/>
  <c r="Q2791" i="1"/>
  <c r="P2791" i="1" s="1"/>
  <c r="Q2792" i="1"/>
  <c r="P2792" i="1" s="1"/>
  <c r="Q2793" i="1"/>
  <c r="P2793" i="1" s="1"/>
  <c r="Q2794" i="1"/>
  <c r="P2794" i="1" s="1"/>
  <c r="Q2795" i="1"/>
  <c r="P2795" i="1" s="1"/>
  <c r="Q2796" i="1"/>
  <c r="P2796" i="1" s="1"/>
  <c r="Q2797" i="1"/>
  <c r="P2797" i="1" s="1"/>
  <c r="Q2798" i="1"/>
  <c r="P2798" i="1" s="1"/>
  <c r="Q2799" i="1"/>
  <c r="P2799" i="1" s="1"/>
  <c r="Q2800" i="1"/>
  <c r="P2800" i="1" s="1"/>
  <c r="Q2801" i="1"/>
  <c r="P2801" i="1" s="1"/>
  <c r="Q2802" i="1"/>
  <c r="P2802" i="1" s="1"/>
  <c r="Q2803" i="1"/>
  <c r="P2803" i="1" s="1"/>
  <c r="Q2804" i="1"/>
  <c r="P2804" i="1" s="1"/>
  <c r="Q2805" i="1"/>
  <c r="P2805" i="1" s="1"/>
  <c r="Q2806" i="1"/>
  <c r="P2806" i="1" s="1"/>
  <c r="Q2807" i="1"/>
  <c r="P2807" i="1" s="1"/>
  <c r="Q2808" i="1"/>
  <c r="P2808" i="1" s="1"/>
  <c r="Q2809" i="1"/>
  <c r="P2809" i="1" s="1"/>
  <c r="Q2810" i="1"/>
  <c r="P2810" i="1" s="1"/>
  <c r="Q2811" i="1"/>
  <c r="P2811" i="1" s="1"/>
  <c r="Q2812" i="1"/>
  <c r="P2812" i="1" s="1"/>
  <c r="H2502" i="1"/>
  <c r="J2502" i="1"/>
  <c r="Q2502" i="1"/>
  <c r="P2502" i="1" s="1"/>
  <c r="H2501" i="1"/>
  <c r="J2501" i="1"/>
  <c r="Q2501" i="1"/>
  <c r="P2501" i="1" s="1"/>
  <c r="H2500" i="1"/>
  <c r="J2500" i="1"/>
  <c r="Q2500" i="1"/>
  <c r="P2500" i="1" s="1"/>
  <c r="H2499" i="1"/>
  <c r="J2499" i="1"/>
  <c r="Q2499" i="1"/>
  <c r="P2499" i="1" s="1"/>
  <c r="H2488" i="1"/>
  <c r="H2489" i="1"/>
  <c r="H2490" i="1"/>
  <c r="H2491" i="1"/>
  <c r="H2492" i="1"/>
  <c r="H2493" i="1"/>
  <c r="H2494" i="1"/>
  <c r="H2495" i="1"/>
  <c r="H2496" i="1"/>
  <c r="H2497" i="1"/>
  <c r="H2498" i="1"/>
  <c r="J2488" i="1"/>
  <c r="J2489" i="1"/>
  <c r="J2490" i="1"/>
  <c r="J2491" i="1"/>
  <c r="J2492" i="1"/>
  <c r="J2493" i="1"/>
  <c r="J2494" i="1"/>
  <c r="J2495" i="1"/>
  <c r="J2496" i="1"/>
  <c r="J2497" i="1"/>
  <c r="J2498" i="1"/>
  <c r="Q2488" i="1"/>
  <c r="P2488" i="1" s="1"/>
  <c r="Q2489" i="1"/>
  <c r="P2489" i="1" s="1"/>
  <c r="Q2490" i="1"/>
  <c r="P2490" i="1" s="1"/>
  <c r="Q2491" i="1"/>
  <c r="P2491" i="1" s="1"/>
  <c r="Q2492" i="1"/>
  <c r="P2492" i="1" s="1"/>
  <c r="Q2493" i="1"/>
  <c r="P2493" i="1" s="1"/>
  <c r="Q2494" i="1"/>
  <c r="P2494" i="1" s="1"/>
  <c r="Q2495" i="1"/>
  <c r="P2495" i="1" s="1"/>
  <c r="Q2496" i="1"/>
  <c r="P2496" i="1" s="1"/>
  <c r="Q2497" i="1"/>
  <c r="P2497" i="1" s="1"/>
  <c r="Q2498" i="1"/>
  <c r="P2498" i="1" s="1"/>
  <c r="H2431" i="1"/>
  <c r="H2432" i="1"/>
  <c r="H2433" i="1"/>
  <c r="H2434" i="1"/>
  <c r="H2435" i="1"/>
  <c r="H2436" i="1"/>
  <c r="H2437" i="1"/>
  <c r="H2438" i="1"/>
  <c r="H2439" i="1"/>
  <c r="H2440" i="1"/>
  <c r="H2441" i="1"/>
  <c r="H2442" i="1"/>
  <c r="H2443" i="1"/>
  <c r="H2444" i="1"/>
  <c r="H2445" i="1"/>
  <c r="H2446" i="1"/>
  <c r="H2447" i="1"/>
  <c r="H2448" i="1"/>
  <c r="H2449" i="1"/>
  <c r="H2450" i="1"/>
  <c r="H2451" i="1"/>
  <c r="H2452" i="1"/>
  <c r="H2453" i="1"/>
  <c r="H2454" i="1"/>
  <c r="H2455" i="1"/>
  <c r="H2456" i="1"/>
  <c r="H2457" i="1"/>
  <c r="H2458" i="1"/>
  <c r="H2459" i="1"/>
  <c r="H2460" i="1"/>
  <c r="H2461" i="1"/>
  <c r="H2462" i="1"/>
  <c r="H2463" i="1"/>
  <c r="H2464" i="1"/>
  <c r="H2465" i="1"/>
  <c r="H2466" i="1"/>
  <c r="H2467" i="1"/>
  <c r="H2468" i="1"/>
  <c r="H2469" i="1"/>
  <c r="H2470" i="1"/>
  <c r="H2471" i="1"/>
  <c r="H2472" i="1"/>
  <c r="H2473" i="1"/>
  <c r="H2474" i="1"/>
  <c r="H2475" i="1"/>
  <c r="H2476" i="1"/>
  <c r="H2477" i="1"/>
  <c r="H2478" i="1"/>
  <c r="H2479" i="1"/>
  <c r="H2480" i="1"/>
  <c r="H2481" i="1"/>
  <c r="H2482" i="1"/>
  <c r="H2483" i="1"/>
  <c r="H2484" i="1"/>
  <c r="H2485" i="1"/>
  <c r="H2486" i="1"/>
  <c r="H2487" i="1"/>
  <c r="J2431" i="1"/>
  <c r="J2432" i="1"/>
  <c r="J2433" i="1"/>
  <c r="J2434" i="1"/>
  <c r="J2435" i="1"/>
  <c r="J2436" i="1"/>
  <c r="J2437" i="1"/>
  <c r="J2438" i="1"/>
  <c r="J2439" i="1"/>
  <c r="J2440" i="1"/>
  <c r="J2441" i="1"/>
  <c r="J2442" i="1"/>
  <c r="J2443" i="1"/>
  <c r="J2444" i="1"/>
  <c r="J2445" i="1"/>
  <c r="J2446" i="1"/>
  <c r="J2447" i="1"/>
  <c r="J2448" i="1"/>
  <c r="J2449" i="1"/>
  <c r="J2450" i="1"/>
  <c r="J2451" i="1"/>
  <c r="J2452" i="1"/>
  <c r="J2453" i="1"/>
  <c r="J2454" i="1"/>
  <c r="J2455" i="1"/>
  <c r="J2456" i="1"/>
  <c r="J2457" i="1"/>
  <c r="J2458" i="1"/>
  <c r="J2459" i="1"/>
  <c r="J2460" i="1"/>
  <c r="J2461" i="1"/>
  <c r="J2462" i="1"/>
  <c r="J2463" i="1"/>
  <c r="J2464" i="1"/>
  <c r="J2465" i="1"/>
  <c r="J2466" i="1"/>
  <c r="J2467" i="1"/>
  <c r="J2468" i="1"/>
  <c r="J2469" i="1"/>
  <c r="J2470" i="1"/>
  <c r="J2471" i="1"/>
  <c r="J2472" i="1"/>
  <c r="J2473" i="1"/>
  <c r="J2474" i="1"/>
  <c r="J2475" i="1"/>
  <c r="J2476" i="1"/>
  <c r="J2477" i="1"/>
  <c r="J2478" i="1"/>
  <c r="J2479" i="1"/>
  <c r="J2480" i="1"/>
  <c r="J2481" i="1"/>
  <c r="J2482" i="1"/>
  <c r="J2483" i="1"/>
  <c r="J2484" i="1"/>
  <c r="J2485" i="1"/>
  <c r="J2486" i="1"/>
  <c r="J2487" i="1"/>
  <c r="Q2431" i="1"/>
  <c r="P2431" i="1" s="1"/>
  <c r="Q2432" i="1"/>
  <c r="P2432" i="1" s="1"/>
  <c r="Q2433" i="1"/>
  <c r="P2433" i="1" s="1"/>
  <c r="Q2434" i="1"/>
  <c r="P2434" i="1" s="1"/>
  <c r="Q2435" i="1"/>
  <c r="P2435" i="1" s="1"/>
  <c r="Q2436" i="1"/>
  <c r="P2436" i="1" s="1"/>
  <c r="Q2437" i="1"/>
  <c r="P2437" i="1" s="1"/>
  <c r="Q2438" i="1"/>
  <c r="P2438" i="1" s="1"/>
  <c r="Q2439" i="1"/>
  <c r="P2439" i="1" s="1"/>
  <c r="Q2440" i="1"/>
  <c r="P2440" i="1" s="1"/>
  <c r="Q2441" i="1"/>
  <c r="P2441" i="1" s="1"/>
  <c r="Q2442" i="1"/>
  <c r="P2442" i="1" s="1"/>
  <c r="Q2443" i="1"/>
  <c r="P2443" i="1" s="1"/>
  <c r="Q2444" i="1"/>
  <c r="P2444" i="1" s="1"/>
  <c r="Q2445" i="1"/>
  <c r="P2445" i="1" s="1"/>
  <c r="Q2446" i="1"/>
  <c r="P2446" i="1" s="1"/>
  <c r="Q2447" i="1"/>
  <c r="P2447" i="1" s="1"/>
  <c r="Q2448" i="1"/>
  <c r="P2448" i="1" s="1"/>
  <c r="Q2449" i="1"/>
  <c r="P2449" i="1" s="1"/>
  <c r="Q2450" i="1"/>
  <c r="P2450" i="1" s="1"/>
  <c r="Q2451" i="1"/>
  <c r="P2451" i="1" s="1"/>
  <c r="Q2452" i="1"/>
  <c r="P2452" i="1" s="1"/>
  <c r="Q2453" i="1"/>
  <c r="P2453" i="1" s="1"/>
  <c r="Q2454" i="1"/>
  <c r="P2454" i="1" s="1"/>
  <c r="Q2455" i="1"/>
  <c r="P2455" i="1" s="1"/>
  <c r="Q2456" i="1"/>
  <c r="P2456" i="1" s="1"/>
  <c r="Q2457" i="1"/>
  <c r="P2457" i="1" s="1"/>
  <c r="Q2458" i="1"/>
  <c r="P2458" i="1" s="1"/>
  <c r="Q2459" i="1"/>
  <c r="P2459" i="1" s="1"/>
  <c r="Q2460" i="1"/>
  <c r="P2460" i="1" s="1"/>
  <c r="Q2461" i="1"/>
  <c r="P2461" i="1" s="1"/>
  <c r="Q2462" i="1"/>
  <c r="P2462" i="1" s="1"/>
  <c r="Q2463" i="1"/>
  <c r="P2463" i="1" s="1"/>
  <c r="Q2464" i="1"/>
  <c r="P2464" i="1" s="1"/>
  <c r="Q2465" i="1"/>
  <c r="P2465" i="1" s="1"/>
  <c r="Q2466" i="1"/>
  <c r="P2466" i="1" s="1"/>
  <c r="Q2467" i="1"/>
  <c r="P2467" i="1" s="1"/>
  <c r="Q2468" i="1"/>
  <c r="P2468" i="1" s="1"/>
  <c r="Q2469" i="1"/>
  <c r="P2469" i="1" s="1"/>
  <c r="Q2470" i="1"/>
  <c r="P2470" i="1" s="1"/>
  <c r="Q2471" i="1"/>
  <c r="P2471" i="1" s="1"/>
  <c r="Q2472" i="1"/>
  <c r="P2472" i="1" s="1"/>
  <c r="Q2473" i="1"/>
  <c r="P2473" i="1" s="1"/>
  <c r="Q2474" i="1"/>
  <c r="P2474" i="1" s="1"/>
  <c r="Q2475" i="1"/>
  <c r="P2475" i="1" s="1"/>
  <c r="Q2476" i="1"/>
  <c r="P2476" i="1" s="1"/>
  <c r="Q2477" i="1"/>
  <c r="P2477" i="1" s="1"/>
  <c r="Q2478" i="1"/>
  <c r="P2478" i="1" s="1"/>
  <c r="Q2479" i="1"/>
  <c r="P2479" i="1" s="1"/>
  <c r="Q2480" i="1"/>
  <c r="P2480" i="1" s="1"/>
  <c r="Q2481" i="1"/>
  <c r="P2481" i="1" s="1"/>
  <c r="Q2482" i="1"/>
  <c r="P2482" i="1" s="1"/>
  <c r="Q2483" i="1"/>
  <c r="P2483" i="1" s="1"/>
  <c r="Q2484" i="1"/>
  <c r="P2484" i="1" s="1"/>
  <c r="Q2485" i="1"/>
  <c r="P2485" i="1" s="1"/>
  <c r="Q2486" i="1"/>
  <c r="P2486" i="1" s="1"/>
  <c r="Q2487" i="1"/>
  <c r="P2487" i="1" s="1"/>
  <c r="H2430" i="1"/>
  <c r="J2430" i="1"/>
  <c r="Q2430" i="1"/>
  <c r="P2430" i="1" s="1"/>
  <c r="H2429" i="1"/>
  <c r="J2429" i="1"/>
  <c r="Q2429" i="1"/>
  <c r="P2429" i="1" s="1"/>
  <c r="H2428" i="1"/>
  <c r="J2428" i="1"/>
  <c r="Q2428" i="1"/>
  <c r="P2428" i="1" s="1"/>
  <c r="H2427" i="1"/>
  <c r="J2427" i="1"/>
  <c r="Q2427" i="1"/>
  <c r="P2427" i="1" s="1"/>
  <c r="H2419" i="1"/>
  <c r="H2420" i="1"/>
  <c r="H2421" i="1"/>
  <c r="H2422" i="1"/>
  <c r="H2423" i="1"/>
  <c r="H2424" i="1"/>
  <c r="H2425" i="1"/>
  <c r="H2426" i="1"/>
  <c r="J2419" i="1"/>
  <c r="J2420" i="1"/>
  <c r="J2421" i="1"/>
  <c r="J2422" i="1"/>
  <c r="J2423" i="1"/>
  <c r="J2424" i="1"/>
  <c r="J2425" i="1"/>
  <c r="J2426" i="1"/>
  <c r="Q2419" i="1"/>
  <c r="P2419" i="1" s="1"/>
  <c r="Q2420" i="1"/>
  <c r="P2420" i="1" s="1"/>
  <c r="Q2421" i="1"/>
  <c r="P2421" i="1" s="1"/>
  <c r="Q2422" i="1"/>
  <c r="P2422" i="1" s="1"/>
  <c r="Q2423" i="1"/>
  <c r="P2423" i="1" s="1"/>
  <c r="Q2424" i="1"/>
  <c r="P2424" i="1" s="1"/>
  <c r="Q2425" i="1"/>
  <c r="P2425" i="1" s="1"/>
  <c r="Q2426" i="1"/>
  <c r="P2426" i="1" s="1"/>
  <c r="H2418" i="1"/>
  <c r="J2418" i="1"/>
  <c r="Q2418" i="1"/>
  <c r="P2418" i="1" s="1"/>
  <c r="H2417" i="1"/>
  <c r="J2417" i="1"/>
  <c r="Q2417" i="1"/>
  <c r="P2417" i="1" s="1"/>
  <c r="H2416" i="1"/>
  <c r="J2416" i="1"/>
  <c r="Q2416" i="1"/>
  <c r="P2416" i="1" s="1"/>
  <c r="H2415" i="1"/>
  <c r="J2415" i="1"/>
  <c r="Q2415" i="1"/>
  <c r="P2415" i="1" s="1"/>
  <c r="H2414" i="1"/>
  <c r="J2414" i="1"/>
  <c r="Q2414" i="1"/>
  <c r="P2414" i="1" s="1"/>
  <c r="H2413" i="1"/>
  <c r="J2413" i="1"/>
  <c r="Q2413" i="1"/>
  <c r="P2413" i="1" s="1"/>
  <c r="H2409" i="1"/>
  <c r="H2410" i="1"/>
  <c r="H2411" i="1"/>
  <c r="H2412" i="1"/>
  <c r="J2409" i="1"/>
  <c r="J2410" i="1"/>
  <c r="J2411" i="1"/>
  <c r="J2412" i="1"/>
  <c r="Q2409" i="1"/>
  <c r="P2409" i="1" s="1"/>
  <c r="Q2410" i="1"/>
  <c r="P2410" i="1" s="1"/>
  <c r="Q2411" i="1"/>
  <c r="P2411" i="1" s="1"/>
  <c r="Q2412" i="1"/>
  <c r="P2412" i="1" s="1"/>
  <c r="J2287" i="1"/>
  <c r="J2286" i="1"/>
  <c r="J2271" i="1"/>
  <c r="J2270" i="1"/>
  <c r="J2406" i="1"/>
  <c r="J2405" i="1"/>
  <c r="J2400" i="1"/>
  <c r="J2398" i="1"/>
  <c r="J2396" i="1"/>
  <c r="J2395" i="1"/>
  <c r="J2394" i="1"/>
  <c r="J2393" i="1"/>
  <c r="J2390" i="1"/>
  <c r="J2389" i="1"/>
  <c r="J2382" i="1"/>
  <c r="J2380" i="1"/>
  <c r="J2379" i="1"/>
  <c r="J2378" i="1"/>
  <c r="J2377" i="1"/>
  <c r="J2374" i="1"/>
  <c r="J2373" i="1"/>
  <c r="J2366" i="1"/>
  <c r="J2364" i="1"/>
  <c r="J2362" i="1"/>
  <c r="J2361" i="1"/>
  <c r="J2360" i="1"/>
  <c r="J2359" i="1"/>
  <c r="J2356" i="1"/>
  <c r="J2355" i="1"/>
  <c r="J2348" i="1"/>
  <c r="J2346" i="1"/>
  <c r="J2345" i="1"/>
  <c r="J2344" i="1"/>
  <c r="J2343" i="1"/>
  <c r="J2340" i="1"/>
  <c r="J2339" i="1"/>
  <c r="J2332" i="1"/>
  <c r="J2330" i="1"/>
  <c r="J2329" i="1"/>
  <c r="J2328" i="1"/>
  <c r="J2327" i="1"/>
  <c r="J2324" i="1"/>
  <c r="J2323" i="1"/>
  <c r="J2316" i="1"/>
  <c r="J2314" i="1"/>
  <c r="J2313" i="1"/>
  <c r="J2312" i="1"/>
  <c r="J2311" i="1"/>
  <c r="J2308" i="1"/>
  <c r="J2307" i="1"/>
  <c r="H2408" i="1"/>
  <c r="J2408" i="1"/>
  <c r="Q2408" i="1"/>
  <c r="P2408" i="1" s="1"/>
  <c r="H2407" i="1"/>
  <c r="J2407" i="1"/>
  <c r="Q2407" i="1"/>
  <c r="P2407" i="1" s="1"/>
  <c r="H2406" i="1"/>
  <c r="Q2406" i="1"/>
  <c r="P2406" i="1" s="1"/>
  <c r="H2392" i="1"/>
  <c r="H2393" i="1"/>
  <c r="H2394" i="1"/>
  <c r="H2395" i="1"/>
  <c r="H2396" i="1"/>
  <c r="H2397" i="1"/>
  <c r="H2398" i="1"/>
  <c r="H2399" i="1"/>
  <c r="H2400" i="1"/>
  <c r="H2401" i="1"/>
  <c r="H2402" i="1"/>
  <c r="H2403" i="1"/>
  <c r="H2404" i="1"/>
  <c r="H2405" i="1"/>
  <c r="J2392" i="1"/>
  <c r="J2397" i="1"/>
  <c r="J2399" i="1"/>
  <c r="J2401" i="1"/>
  <c r="J2402" i="1"/>
  <c r="J2403" i="1"/>
  <c r="J2404" i="1"/>
  <c r="Q2392" i="1"/>
  <c r="P2392" i="1" s="1"/>
  <c r="Q2393" i="1"/>
  <c r="P2393" i="1" s="1"/>
  <c r="Q2394" i="1"/>
  <c r="P2394" i="1" s="1"/>
  <c r="Q2395" i="1"/>
  <c r="P2395" i="1" s="1"/>
  <c r="Q2396" i="1"/>
  <c r="P2396" i="1" s="1"/>
  <c r="Q2397" i="1"/>
  <c r="P2397" i="1" s="1"/>
  <c r="Q2398" i="1"/>
  <c r="P2398" i="1" s="1"/>
  <c r="Q2399" i="1"/>
  <c r="P2399" i="1" s="1"/>
  <c r="Q2400" i="1"/>
  <c r="P2400" i="1" s="1"/>
  <c r="Q2401" i="1"/>
  <c r="P2401" i="1" s="1"/>
  <c r="Q2402" i="1"/>
  <c r="P2402" i="1" s="1"/>
  <c r="Q2403" i="1"/>
  <c r="P2403" i="1" s="1"/>
  <c r="Q2404" i="1"/>
  <c r="P2404" i="1" s="1"/>
  <c r="Q2405" i="1"/>
  <c r="P2405" i="1" s="1"/>
  <c r="Q2391" i="1"/>
  <c r="P2391" i="1" s="1"/>
  <c r="Q2390" i="1"/>
  <c r="P2390" i="1" s="1"/>
  <c r="Q2389" i="1"/>
  <c r="P2389" i="1" s="1"/>
  <c r="Q2388" i="1"/>
  <c r="P2388" i="1" s="1"/>
  <c r="Q2387" i="1"/>
  <c r="P2387" i="1" s="1"/>
  <c r="Q2386" i="1"/>
  <c r="P2386" i="1" s="1"/>
  <c r="Q2385" i="1"/>
  <c r="P2385" i="1" s="1"/>
  <c r="Q2384" i="1"/>
  <c r="P2384" i="1" s="1"/>
  <c r="Q2383" i="1"/>
  <c r="P2383" i="1" s="1"/>
  <c r="Q2382" i="1"/>
  <c r="P2382" i="1" s="1"/>
  <c r="Q2381" i="1"/>
  <c r="P2381" i="1" s="1"/>
  <c r="Q2380" i="1"/>
  <c r="P2380" i="1" s="1"/>
  <c r="Q2379" i="1"/>
  <c r="P2379" i="1" s="1"/>
  <c r="Q2378" i="1"/>
  <c r="P2378" i="1" s="1"/>
  <c r="Q2377" i="1"/>
  <c r="P2377" i="1" s="1"/>
  <c r="Q2376" i="1"/>
  <c r="P2376" i="1" s="1"/>
  <c r="Q2375" i="1"/>
  <c r="P2375" i="1" s="1"/>
  <c r="Q2374" i="1"/>
  <c r="P2374" i="1" s="1"/>
  <c r="Q2373" i="1"/>
  <c r="P2373" i="1" s="1"/>
  <c r="Q2372" i="1"/>
  <c r="P2372" i="1" s="1"/>
  <c r="Q2371" i="1"/>
  <c r="P2371" i="1" s="1"/>
  <c r="Q2370" i="1"/>
  <c r="P2370" i="1" s="1"/>
  <c r="Q2369" i="1"/>
  <c r="P2369" i="1" s="1"/>
  <c r="Q2368" i="1"/>
  <c r="P2368" i="1" s="1"/>
  <c r="Q2367" i="1"/>
  <c r="P2367" i="1" s="1"/>
  <c r="Q2366" i="1"/>
  <c r="P2366" i="1" s="1"/>
  <c r="Q2365" i="1"/>
  <c r="P2365" i="1" s="1"/>
  <c r="Q2364" i="1"/>
  <c r="P2364" i="1" s="1"/>
  <c r="Q2363" i="1"/>
  <c r="P2363" i="1" s="1"/>
  <c r="Q2362" i="1"/>
  <c r="P2362" i="1" s="1"/>
  <c r="Q2361" i="1"/>
  <c r="P2361" i="1" s="1"/>
  <c r="Q2360" i="1"/>
  <c r="P2360" i="1" s="1"/>
  <c r="Q2359" i="1"/>
  <c r="P2359" i="1" s="1"/>
  <c r="Q2358" i="1"/>
  <c r="P2358" i="1" s="1"/>
  <c r="Q2357" i="1"/>
  <c r="P2357" i="1" s="1"/>
  <c r="Q2356" i="1"/>
  <c r="P2356" i="1" s="1"/>
  <c r="Q2355" i="1"/>
  <c r="P2355" i="1" s="1"/>
  <c r="Q2354" i="1"/>
  <c r="P2354" i="1" s="1"/>
  <c r="Q2353" i="1"/>
  <c r="P2353" i="1" s="1"/>
  <c r="Q2352" i="1"/>
  <c r="P2352" i="1" s="1"/>
  <c r="Q2351" i="1"/>
  <c r="P2351" i="1" s="1"/>
  <c r="Q2350" i="1"/>
  <c r="P2350" i="1" s="1"/>
  <c r="Q2349" i="1"/>
  <c r="P2349" i="1" s="1"/>
  <c r="Q2348" i="1"/>
  <c r="P2348" i="1" s="1"/>
  <c r="Q2347" i="1"/>
  <c r="P2347" i="1" s="1"/>
  <c r="Q2346" i="1"/>
  <c r="P2346" i="1" s="1"/>
  <c r="Q2345" i="1"/>
  <c r="P2345" i="1" s="1"/>
  <c r="Q2344" i="1"/>
  <c r="P2344" i="1" s="1"/>
  <c r="Q2343" i="1"/>
  <c r="P2343" i="1" s="1"/>
  <c r="Q2342" i="1"/>
  <c r="P2342" i="1" s="1"/>
  <c r="Q2341" i="1"/>
  <c r="P2341" i="1" s="1"/>
  <c r="Q2340" i="1"/>
  <c r="P2340" i="1" s="1"/>
  <c r="Q2339" i="1"/>
  <c r="P2339" i="1" s="1"/>
  <c r="Q2338" i="1"/>
  <c r="P2338" i="1" s="1"/>
  <c r="Q2337" i="1"/>
  <c r="P2337" i="1" s="1"/>
  <c r="Q2336" i="1"/>
  <c r="P2336" i="1" s="1"/>
  <c r="Q2335" i="1"/>
  <c r="P2335" i="1" s="1"/>
  <c r="Q2334" i="1"/>
  <c r="P2334" i="1" s="1"/>
  <c r="Q2333" i="1"/>
  <c r="P2333" i="1" s="1"/>
  <c r="Q2332" i="1"/>
  <c r="P2332" i="1" s="1"/>
  <c r="Q2331" i="1"/>
  <c r="P2331" i="1" s="1"/>
  <c r="Q2330" i="1"/>
  <c r="P2330" i="1" s="1"/>
  <c r="Q2329" i="1"/>
  <c r="P2329" i="1" s="1"/>
  <c r="Q2328" i="1"/>
  <c r="P2328" i="1" s="1"/>
  <c r="Q2327" i="1"/>
  <c r="P2327" i="1" s="1"/>
  <c r="Q2326" i="1"/>
  <c r="P2326" i="1" s="1"/>
  <c r="Q2325" i="1"/>
  <c r="P2325" i="1" s="1"/>
  <c r="Q2324" i="1"/>
  <c r="P2324" i="1" s="1"/>
  <c r="Q2323" i="1"/>
  <c r="P2323" i="1" s="1"/>
  <c r="Q2322" i="1"/>
  <c r="P2322" i="1" s="1"/>
  <c r="Q2321" i="1"/>
  <c r="P2321" i="1" s="1"/>
  <c r="Q2320" i="1"/>
  <c r="P2320" i="1" s="1"/>
  <c r="Q2319" i="1"/>
  <c r="P2319" i="1" s="1"/>
  <c r="Q2318" i="1"/>
  <c r="P2318" i="1" s="1"/>
  <c r="Q2317" i="1"/>
  <c r="P2317" i="1" s="1"/>
  <c r="Q2316" i="1"/>
  <c r="P2316" i="1" s="1"/>
  <c r="Q2315" i="1"/>
  <c r="P2315" i="1" s="1"/>
  <c r="Q2314" i="1"/>
  <c r="P2314" i="1" s="1"/>
  <c r="Q2313" i="1"/>
  <c r="P2313" i="1" s="1"/>
  <c r="Q2312" i="1"/>
  <c r="P2312" i="1" s="1"/>
  <c r="Q2311" i="1"/>
  <c r="P2311" i="1" s="1"/>
  <c r="H2366" i="1"/>
  <c r="H2367" i="1"/>
  <c r="H2368" i="1"/>
  <c r="H2369" i="1"/>
  <c r="H2370" i="1"/>
  <c r="H2371" i="1"/>
  <c r="H2372" i="1"/>
  <c r="H2373" i="1"/>
  <c r="H2374" i="1"/>
  <c r="H2375" i="1"/>
  <c r="H2376" i="1"/>
  <c r="H2377" i="1"/>
  <c r="H2378" i="1"/>
  <c r="H2379" i="1"/>
  <c r="H2380" i="1"/>
  <c r="H2381" i="1"/>
  <c r="H2382" i="1"/>
  <c r="H2383" i="1"/>
  <c r="H2384" i="1"/>
  <c r="H2385" i="1"/>
  <c r="H2386" i="1"/>
  <c r="H2387" i="1"/>
  <c r="H2388" i="1"/>
  <c r="H2389" i="1"/>
  <c r="H2390" i="1"/>
  <c r="H2391" i="1"/>
  <c r="J2367" i="1"/>
  <c r="J2368" i="1"/>
  <c r="J2369" i="1"/>
  <c r="J2370" i="1"/>
  <c r="J2371" i="1"/>
  <c r="J2372" i="1"/>
  <c r="J2375" i="1"/>
  <c r="J2376" i="1"/>
  <c r="J2381" i="1"/>
  <c r="J2383" i="1"/>
  <c r="J2384" i="1"/>
  <c r="J2385" i="1"/>
  <c r="J2386" i="1"/>
  <c r="J2387" i="1"/>
  <c r="J2388" i="1"/>
  <c r="J2391" i="1"/>
  <c r="H2311" i="1"/>
  <c r="H2312" i="1"/>
  <c r="H2313" i="1"/>
  <c r="H2314" i="1"/>
  <c r="H2315" i="1"/>
  <c r="H2316" i="1"/>
  <c r="H2317" i="1"/>
  <c r="H2318" i="1"/>
  <c r="H2319" i="1"/>
  <c r="H2320" i="1"/>
  <c r="H2321" i="1"/>
  <c r="H2322" i="1"/>
  <c r="H2323" i="1"/>
  <c r="H2324" i="1"/>
  <c r="H2325" i="1"/>
  <c r="H2326" i="1"/>
  <c r="H2327" i="1"/>
  <c r="H2328" i="1"/>
  <c r="H2329" i="1"/>
  <c r="H2330" i="1"/>
  <c r="H2331" i="1"/>
  <c r="H2332" i="1"/>
  <c r="H2333" i="1"/>
  <c r="H2334" i="1"/>
  <c r="H2335" i="1"/>
  <c r="H2336" i="1"/>
  <c r="H2337" i="1"/>
  <c r="H2338" i="1"/>
  <c r="H2339" i="1"/>
  <c r="H2340" i="1"/>
  <c r="H2341" i="1"/>
  <c r="H2342" i="1"/>
  <c r="H2343" i="1"/>
  <c r="H2344" i="1"/>
  <c r="H2345" i="1"/>
  <c r="H2346" i="1"/>
  <c r="H2347" i="1"/>
  <c r="H2348" i="1"/>
  <c r="H2349" i="1"/>
  <c r="H2350" i="1"/>
  <c r="H2351" i="1"/>
  <c r="H2352" i="1"/>
  <c r="H2353" i="1"/>
  <c r="H2354" i="1"/>
  <c r="H2355" i="1"/>
  <c r="H2356" i="1"/>
  <c r="H2357" i="1"/>
  <c r="H2358" i="1"/>
  <c r="H2359" i="1"/>
  <c r="H2360" i="1"/>
  <c r="H2361" i="1"/>
  <c r="H2362" i="1"/>
  <c r="H2363" i="1"/>
  <c r="H2364" i="1"/>
  <c r="H2365" i="1"/>
  <c r="J2315" i="1"/>
  <c r="J2317" i="1"/>
  <c r="J2318" i="1"/>
  <c r="J2319" i="1"/>
  <c r="J2320" i="1"/>
  <c r="J2321" i="1"/>
  <c r="J2322" i="1"/>
  <c r="J2325" i="1"/>
  <c r="J2326" i="1"/>
  <c r="J2331" i="1"/>
  <c r="J2333" i="1"/>
  <c r="J2334" i="1"/>
  <c r="J2335" i="1"/>
  <c r="J2336" i="1"/>
  <c r="J2337" i="1"/>
  <c r="J2338" i="1"/>
  <c r="J2341" i="1"/>
  <c r="J2342" i="1"/>
  <c r="J2347" i="1"/>
  <c r="J2349" i="1"/>
  <c r="J2350" i="1"/>
  <c r="J2351" i="1"/>
  <c r="J2352" i="1"/>
  <c r="J2353" i="1"/>
  <c r="J2354" i="1"/>
  <c r="J2357" i="1"/>
  <c r="J2358" i="1"/>
  <c r="J2363" i="1"/>
  <c r="J2365" i="1"/>
  <c r="H2310" i="1"/>
  <c r="J2310" i="1"/>
  <c r="Q2310" i="1"/>
  <c r="P2310" i="1" s="1"/>
  <c r="H2305" i="1"/>
  <c r="H2306" i="1"/>
  <c r="H2307" i="1"/>
  <c r="H2308" i="1"/>
  <c r="H2309" i="1"/>
  <c r="J2305" i="1"/>
  <c r="J2306" i="1"/>
  <c r="J2309" i="1"/>
  <c r="Q2305" i="1"/>
  <c r="P2305" i="1" s="1"/>
  <c r="Q2306" i="1"/>
  <c r="P2306" i="1" s="1"/>
  <c r="Q2307" i="1"/>
  <c r="P2307" i="1" s="1"/>
  <c r="Q2308" i="1"/>
  <c r="P2308" i="1" s="1"/>
  <c r="Q2309" i="1"/>
  <c r="P2309" i="1" s="1"/>
  <c r="H2304" i="1"/>
  <c r="J2304" i="1"/>
  <c r="Q2304" i="1"/>
  <c r="P2304" i="1" s="1"/>
  <c r="H2270" i="1"/>
  <c r="H2271" i="1"/>
  <c r="H2272" i="1"/>
  <c r="H2273" i="1"/>
  <c r="H2274" i="1"/>
  <c r="H2275" i="1"/>
  <c r="H2276" i="1"/>
  <c r="H2277" i="1"/>
  <c r="H2278" i="1"/>
  <c r="H2279" i="1"/>
  <c r="H2280" i="1"/>
  <c r="H2281" i="1"/>
  <c r="H2282" i="1"/>
  <c r="H2283" i="1"/>
  <c r="H2284" i="1"/>
  <c r="H2285" i="1"/>
  <c r="H2286" i="1"/>
  <c r="H2287" i="1"/>
  <c r="H2288" i="1"/>
  <c r="H2289" i="1"/>
  <c r="H2290" i="1"/>
  <c r="H2291" i="1"/>
  <c r="H2292" i="1"/>
  <c r="H2293" i="1"/>
  <c r="H2294" i="1"/>
  <c r="H2295" i="1"/>
  <c r="H2296" i="1"/>
  <c r="H2297" i="1"/>
  <c r="H2298" i="1"/>
  <c r="H2299" i="1"/>
  <c r="H2300" i="1"/>
  <c r="H2301" i="1"/>
  <c r="H2302" i="1"/>
  <c r="H2303" i="1"/>
  <c r="J2272" i="1"/>
  <c r="J2273" i="1"/>
  <c r="J2274" i="1"/>
  <c r="J2275" i="1"/>
  <c r="J2276" i="1"/>
  <c r="J2277" i="1"/>
  <c r="J2278" i="1"/>
  <c r="J2279" i="1"/>
  <c r="J2280" i="1"/>
  <c r="J2281" i="1"/>
  <c r="J2282" i="1"/>
  <c r="J2283" i="1"/>
  <c r="J2284" i="1"/>
  <c r="J2285" i="1"/>
  <c r="J2288" i="1"/>
  <c r="J2289" i="1"/>
  <c r="J2290" i="1"/>
  <c r="J2291" i="1"/>
  <c r="J2292" i="1"/>
  <c r="J2293" i="1"/>
  <c r="J2294" i="1"/>
  <c r="J2295" i="1"/>
  <c r="J2296" i="1"/>
  <c r="J2297" i="1"/>
  <c r="J2298" i="1"/>
  <c r="J2299" i="1"/>
  <c r="J2300" i="1"/>
  <c r="J2301" i="1"/>
  <c r="J2302" i="1"/>
  <c r="J2303" i="1"/>
  <c r="Q2270" i="1"/>
  <c r="P2270" i="1" s="1"/>
  <c r="Q2271" i="1"/>
  <c r="P2271" i="1" s="1"/>
  <c r="Q2272" i="1"/>
  <c r="P2272" i="1" s="1"/>
  <c r="Q2273" i="1"/>
  <c r="P2273" i="1" s="1"/>
  <c r="Q2274" i="1"/>
  <c r="P2274" i="1" s="1"/>
  <c r="Q2275" i="1"/>
  <c r="P2275" i="1" s="1"/>
  <c r="Q2276" i="1"/>
  <c r="P2276" i="1" s="1"/>
  <c r="Q2277" i="1"/>
  <c r="P2277" i="1" s="1"/>
  <c r="Q2278" i="1"/>
  <c r="P2278" i="1" s="1"/>
  <c r="Q2279" i="1"/>
  <c r="P2279" i="1" s="1"/>
  <c r="Q2280" i="1"/>
  <c r="P2280" i="1" s="1"/>
  <c r="Q2281" i="1"/>
  <c r="P2281" i="1" s="1"/>
  <c r="Q2282" i="1"/>
  <c r="P2282" i="1" s="1"/>
  <c r="Q2283" i="1"/>
  <c r="P2283" i="1" s="1"/>
  <c r="Q2284" i="1"/>
  <c r="P2284" i="1" s="1"/>
  <c r="Q2285" i="1"/>
  <c r="P2285" i="1" s="1"/>
  <c r="Q2286" i="1"/>
  <c r="P2286" i="1" s="1"/>
  <c r="Q2287" i="1"/>
  <c r="P2287" i="1" s="1"/>
  <c r="Q2288" i="1"/>
  <c r="P2288" i="1" s="1"/>
  <c r="Q2289" i="1"/>
  <c r="P2289" i="1" s="1"/>
  <c r="Q2290" i="1"/>
  <c r="P2290" i="1" s="1"/>
  <c r="Q2291" i="1"/>
  <c r="P2291" i="1" s="1"/>
  <c r="Q2292" i="1"/>
  <c r="P2292" i="1" s="1"/>
  <c r="Q2293" i="1"/>
  <c r="P2293" i="1" s="1"/>
  <c r="Q2294" i="1"/>
  <c r="P2294" i="1" s="1"/>
  <c r="Q2295" i="1"/>
  <c r="P2295" i="1" s="1"/>
  <c r="Q2296" i="1"/>
  <c r="P2296" i="1" s="1"/>
  <c r="Q2297" i="1"/>
  <c r="P2297" i="1" s="1"/>
  <c r="Q2298" i="1"/>
  <c r="P2298" i="1" s="1"/>
  <c r="Q2299" i="1"/>
  <c r="P2299" i="1" s="1"/>
  <c r="Q2300" i="1"/>
  <c r="P2300" i="1" s="1"/>
  <c r="Q2301" i="1"/>
  <c r="P2301" i="1" s="1"/>
  <c r="Q2302" i="1"/>
  <c r="P2302" i="1" s="1"/>
  <c r="Q2303" i="1"/>
  <c r="P2303" i="1" s="1"/>
  <c r="H2269" i="1"/>
  <c r="J2269" i="1"/>
  <c r="Q2269" i="1"/>
  <c r="P2269" i="1" s="1"/>
  <c r="H1513" i="1"/>
  <c r="H1515" i="1"/>
  <c r="J1515" i="1"/>
  <c r="Q1515" i="1"/>
  <c r="P1515" i="1" s="1"/>
  <c r="H1516" i="1"/>
  <c r="J1516" i="1"/>
  <c r="Q1516" i="1"/>
  <c r="P1516" i="1" s="1"/>
  <c r="H2262" i="1"/>
  <c r="H2263" i="1"/>
  <c r="H2264" i="1"/>
  <c r="H2265" i="1"/>
  <c r="H2266" i="1"/>
  <c r="H2267" i="1"/>
  <c r="H2268" i="1"/>
  <c r="J2262" i="1"/>
  <c r="J2263" i="1"/>
  <c r="J2264" i="1"/>
  <c r="J2265" i="1"/>
  <c r="J2266" i="1"/>
  <c r="J2267" i="1"/>
  <c r="J2268" i="1"/>
  <c r="Q2262" i="1"/>
  <c r="P2262" i="1" s="1"/>
  <c r="Q2263" i="1"/>
  <c r="P2263" i="1" s="1"/>
  <c r="Q2264" i="1"/>
  <c r="P2264" i="1" s="1"/>
  <c r="Q2265" i="1"/>
  <c r="P2265" i="1" s="1"/>
  <c r="Q2266" i="1"/>
  <c r="P2266" i="1" s="1"/>
  <c r="Q2267" i="1"/>
  <c r="P2267" i="1" s="1"/>
  <c r="Q2268" i="1"/>
  <c r="P2268" i="1" s="1"/>
  <c r="H2261" i="1"/>
  <c r="J2261" i="1"/>
  <c r="Q2261" i="1"/>
  <c r="P2261" i="1" s="1"/>
  <c r="H2259" i="1"/>
  <c r="H2260" i="1"/>
  <c r="J2259" i="1"/>
  <c r="J2260" i="1"/>
  <c r="Q2259" i="1"/>
  <c r="P2259" i="1" s="1"/>
  <c r="Q2260" i="1"/>
  <c r="P2260" i="1" s="1"/>
  <c r="H2258" i="1"/>
  <c r="J2258" i="1"/>
  <c r="Q2258" i="1"/>
  <c r="P2258" i="1" s="1"/>
  <c r="H2250" i="1"/>
  <c r="H2251" i="1"/>
  <c r="H2252" i="1"/>
  <c r="H2253" i="1"/>
  <c r="H2254" i="1"/>
  <c r="H2255" i="1"/>
  <c r="H2256" i="1"/>
  <c r="H2257" i="1"/>
  <c r="J2250" i="1"/>
  <c r="J2251" i="1"/>
  <c r="J2252" i="1"/>
  <c r="J2253" i="1"/>
  <c r="J2254" i="1"/>
  <c r="J2255" i="1"/>
  <c r="J2256" i="1"/>
  <c r="J2257" i="1"/>
  <c r="Q2250" i="1"/>
  <c r="P2250" i="1" s="1"/>
  <c r="Q2251" i="1"/>
  <c r="P2251" i="1" s="1"/>
  <c r="Q2252" i="1"/>
  <c r="P2252" i="1" s="1"/>
  <c r="Q2253" i="1"/>
  <c r="P2253" i="1" s="1"/>
  <c r="Q2254" i="1"/>
  <c r="P2254" i="1" s="1"/>
  <c r="Q2255" i="1"/>
  <c r="P2255" i="1" s="1"/>
  <c r="Q2256" i="1"/>
  <c r="P2256" i="1" s="1"/>
  <c r="Q2257" i="1"/>
  <c r="P2257" i="1" s="1"/>
  <c r="H2249" i="1"/>
  <c r="J2249" i="1"/>
  <c r="Q2249" i="1"/>
  <c r="P2249" i="1" s="1"/>
  <c r="H2248" i="1"/>
  <c r="J2248" i="1"/>
  <c r="Q2248" i="1"/>
  <c r="P2248" i="1" s="1"/>
  <c r="H2247" i="1"/>
  <c r="J2247" i="1"/>
  <c r="Q2247" i="1"/>
  <c r="P2247" i="1" s="1"/>
  <c r="H2246" i="1"/>
  <c r="J2246" i="1"/>
  <c r="Q2246" i="1"/>
  <c r="P2246" i="1" s="1"/>
  <c r="H2245" i="1"/>
  <c r="J2245" i="1"/>
  <c r="Q2245" i="1"/>
  <c r="P2245" i="1" s="1"/>
  <c r="H2239" i="1"/>
  <c r="H2240" i="1"/>
  <c r="H2241" i="1"/>
  <c r="H2242" i="1"/>
  <c r="H2243" i="1"/>
  <c r="H2244" i="1"/>
  <c r="J2239" i="1"/>
  <c r="J2240" i="1"/>
  <c r="J2241" i="1"/>
  <c r="J2242" i="1"/>
  <c r="J2243" i="1"/>
  <c r="J2244" i="1"/>
  <c r="Q2239" i="1"/>
  <c r="P2239" i="1" s="1"/>
  <c r="Q2240" i="1"/>
  <c r="P2240" i="1" s="1"/>
  <c r="Q2241" i="1"/>
  <c r="P2241" i="1" s="1"/>
  <c r="Q2242" i="1"/>
  <c r="P2242" i="1" s="1"/>
  <c r="Q2243" i="1"/>
  <c r="P2243" i="1" s="1"/>
  <c r="Q2244" i="1"/>
  <c r="P2244" i="1" s="1"/>
  <c r="H2238" i="1"/>
  <c r="J2238" i="1"/>
  <c r="Q2238" i="1"/>
  <c r="P2238" i="1" s="1"/>
  <c r="H2234" i="1"/>
  <c r="H2235" i="1"/>
  <c r="H2236" i="1"/>
  <c r="H2237" i="1"/>
  <c r="J2234" i="1"/>
  <c r="J2235" i="1"/>
  <c r="J2236" i="1"/>
  <c r="J2237" i="1"/>
  <c r="Q2234" i="1"/>
  <c r="P2234" i="1" s="1"/>
  <c r="Q2235" i="1"/>
  <c r="P2235" i="1" s="1"/>
  <c r="Q2236" i="1"/>
  <c r="P2236" i="1" s="1"/>
  <c r="Q2237" i="1"/>
  <c r="P2237" i="1" s="1"/>
  <c r="H2233" i="1"/>
  <c r="J2233" i="1"/>
  <c r="Q2233" i="1"/>
  <c r="P2233" i="1" s="1"/>
  <c r="H2232" i="1"/>
  <c r="J2232" i="1"/>
  <c r="Q2232" i="1"/>
  <c r="P2232" i="1" s="1"/>
  <c r="H2231" i="1"/>
  <c r="J2231" i="1"/>
  <c r="Q2231" i="1"/>
  <c r="P2231" i="1" s="1"/>
  <c r="H1913" i="1"/>
  <c r="H1914" i="1"/>
  <c r="H1915" i="1"/>
  <c r="H1916" i="1"/>
  <c r="H1917" i="1"/>
  <c r="H1918" i="1"/>
  <c r="H1919" i="1"/>
  <c r="H1920" i="1"/>
  <c r="H1921" i="1"/>
  <c r="H1922" i="1"/>
  <c r="H1923" i="1"/>
  <c r="H1924" i="1"/>
  <c r="H1925" i="1"/>
  <c r="H1926" i="1"/>
  <c r="H1927" i="1"/>
  <c r="H1928" i="1"/>
  <c r="H1929" i="1"/>
  <c r="H1930" i="1"/>
  <c r="H1931" i="1"/>
  <c r="H1932" i="1"/>
  <c r="H1933" i="1"/>
  <c r="H1934" i="1"/>
  <c r="H1935" i="1"/>
  <c r="H1936" i="1"/>
  <c r="H1937" i="1"/>
  <c r="H1938" i="1"/>
  <c r="H1939" i="1"/>
  <c r="H1940" i="1"/>
  <c r="H1941" i="1"/>
  <c r="H1942" i="1"/>
  <c r="H1943" i="1"/>
  <c r="H1944" i="1"/>
  <c r="H1945" i="1"/>
  <c r="H1946" i="1"/>
  <c r="H1947" i="1"/>
  <c r="H1948" i="1"/>
  <c r="H1949" i="1"/>
  <c r="H1950" i="1"/>
  <c r="H1951" i="1"/>
  <c r="H1952" i="1"/>
  <c r="H1953" i="1"/>
  <c r="H1954" i="1"/>
  <c r="H1955" i="1"/>
  <c r="H1956" i="1"/>
  <c r="H1957" i="1"/>
  <c r="H1958" i="1"/>
  <c r="H1959" i="1"/>
  <c r="H1960" i="1"/>
  <c r="H1961" i="1"/>
  <c r="H1962" i="1"/>
  <c r="H1963" i="1"/>
  <c r="H1964" i="1"/>
  <c r="H1965" i="1"/>
  <c r="H1966" i="1"/>
  <c r="H1967" i="1"/>
  <c r="H1968" i="1"/>
  <c r="H1969" i="1"/>
  <c r="H1970" i="1"/>
  <c r="H1971" i="1"/>
  <c r="H1972" i="1"/>
  <c r="H1973" i="1"/>
  <c r="H1974" i="1"/>
  <c r="H1975" i="1"/>
  <c r="H1976" i="1"/>
  <c r="H1977" i="1"/>
  <c r="H1978" i="1"/>
  <c r="H1979" i="1"/>
  <c r="H1980" i="1"/>
  <c r="H1981" i="1"/>
  <c r="H1982" i="1"/>
  <c r="H1983" i="1"/>
  <c r="H1984" i="1"/>
  <c r="H1985" i="1"/>
  <c r="H1986" i="1"/>
  <c r="H1987" i="1"/>
  <c r="H1988" i="1"/>
  <c r="H1989" i="1"/>
  <c r="H1990" i="1"/>
  <c r="H1991" i="1"/>
  <c r="H1992" i="1"/>
  <c r="H1993" i="1"/>
  <c r="H1994" i="1"/>
  <c r="H1995" i="1"/>
  <c r="H1996" i="1"/>
  <c r="H1997" i="1"/>
  <c r="H1998" i="1"/>
  <c r="H1999" i="1"/>
  <c r="H2000" i="1"/>
  <c r="H2001" i="1"/>
  <c r="H2002" i="1"/>
  <c r="H2003" i="1"/>
  <c r="H2004" i="1"/>
  <c r="H2005" i="1"/>
  <c r="H2006" i="1"/>
  <c r="H2007" i="1"/>
  <c r="H2008" i="1"/>
  <c r="H2009" i="1"/>
  <c r="H2010" i="1"/>
  <c r="H2011" i="1"/>
  <c r="H2012" i="1"/>
  <c r="H2013" i="1"/>
  <c r="H2014" i="1"/>
  <c r="H2015" i="1"/>
  <c r="H2016" i="1"/>
  <c r="H2017" i="1"/>
  <c r="H2018" i="1"/>
  <c r="H2019" i="1"/>
  <c r="H2020" i="1"/>
  <c r="H2021" i="1"/>
  <c r="H2022" i="1"/>
  <c r="H2023" i="1"/>
  <c r="H2024" i="1"/>
  <c r="H2025" i="1"/>
  <c r="H2026" i="1"/>
  <c r="H2027" i="1"/>
  <c r="H2028" i="1"/>
  <c r="H2029" i="1"/>
  <c r="H2030" i="1"/>
  <c r="H2031" i="1"/>
  <c r="H2032" i="1"/>
  <c r="H2033" i="1"/>
  <c r="H2034" i="1"/>
  <c r="H2035" i="1"/>
  <c r="H2036" i="1"/>
  <c r="H2037" i="1"/>
  <c r="H2038" i="1"/>
  <c r="H2039" i="1"/>
  <c r="H2040" i="1"/>
  <c r="H2041" i="1"/>
  <c r="H2042" i="1"/>
  <c r="H2043" i="1"/>
  <c r="H2044" i="1"/>
  <c r="H2045" i="1"/>
  <c r="H2046" i="1"/>
  <c r="H2047" i="1"/>
  <c r="H2048" i="1"/>
  <c r="H2049" i="1"/>
  <c r="H2050" i="1"/>
  <c r="H2051" i="1"/>
  <c r="H2052" i="1"/>
  <c r="H2053" i="1"/>
  <c r="H2054" i="1"/>
  <c r="H2055" i="1"/>
  <c r="H2056" i="1"/>
  <c r="H2057" i="1"/>
  <c r="H2058" i="1"/>
  <c r="H2059" i="1"/>
  <c r="H2060" i="1"/>
  <c r="H2061" i="1"/>
  <c r="H2062" i="1"/>
  <c r="H2063" i="1"/>
  <c r="H2064" i="1"/>
  <c r="H2065" i="1"/>
  <c r="H2066" i="1"/>
  <c r="H2067" i="1"/>
  <c r="H2068" i="1"/>
  <c r="H2069" i="1"/>
  <c r="H2070" i="1"/>
  <c r="H2071" i="1"/>
  <c r="H2072" i="1"/>
  <c r="H2073" i="1"/>
  <c r="H2074" i="1"/>
  <c r="H2075" i="1"/>
  <c r="H2076" i="1"/>
  <c r="H2077" i="1"/>
  <c r="H2078" i="1"/>
  <c r="H2079" i="1"/>
  <c r="H2080" i="1"/>
  <c r="H2081" i="1"/>
  <c r="H2082" i="1"/>
  <c r="H2083" i="1"/>
  <c r="H2084" i="1"/>
  <c r="H2085" i="1"/>
  <c r="H2086" i="1"/>
  <c r="H2087" i="1"/>
  <c r="H2088" i="1"/>
  <c r="H2089" i="1"/>
  <c r="H2090" i="1"/>
  <c r="H2091" i="1"/>
  <c r="H2092" i="1"/>
  <c r="H2093" i="1"/>
  <c r="H2094" i="1"/>
  <c r="H2095" i="1"/>
  <c r="H2096" i="1"/>
  <c r="H2097" i="1"/>
  <c r="H2098" i="1"/>
  <c r="H2099" i="1"/>
  <c r="H2100" i="1"/>
  <c r="H2101" i="1"/>
  <c r="H2102" i="1"/>
  <c r="H2103" i="1"/>
  <c r="H2104" i="1"/>
  <c r="H2105" i="1"/>
  <c r="H2106" i="1"/>
  <c r="H2107" i="1"/>
  <c r="H2108" i="1"/>
  <c r="H2109" i="1"/>
  <c r="H2110" i="1"/>
  <c r="H2111" i="1"/>
  <c r="H2112" i="1"/>
  <c r="H2113" i="1"/>
  <c r="H2114" i="1"/>
  <c r="H2115" i="1"/>
  <c r="H2116" i="1"/>
  <c r="H2117" i="1"/>
  <c r="H2118" i="1"/>
  <c r="H2119" i="1"/>
  <c r="H2120" i="1"/>
  <c r="H2121" i="1"/>
  <c r="H2122" i="1"/>
  <c r="H2123" i="1"/>
  <c r="H2124" i="1"/>
  <c r="H2125" i="1"/>
  <c r="H2126" i="1"/>
  <c r="H2127" i="1"/>
  <c r="H2128" i="1"/>
  <c r="H2129" i="1"/>
  <c r="H2130" i="1"/>
  <c r="H2131" i="1"/>
  <c r="H2132" i="1"/>
  <c r="H2133" i="1"/>
  <c r="H2134" i="1"/>
  <c r="H2135" i="1"/>
  <c r="H2136" i="1"/>
  <c r="H2137" i="1"/>
  <c r="H2138" i="1"/>
  <c r="H2139" i="1"/>
  <c r="H2140" i="1"/>
  <c r="H2141" i="1"/>
  <c r="H2142" i="1"/>
  <c r="H2143" i="1"/>
  <c r="H2144" i="1"/>
  <c r="H2145" i="1"/>
  <c r="H2146" i="1"/>
  <c r="H2147" i="1"/>
  <c r="H2148" i="1"/>
  <c r="H2149" i="1"/>
  <c r="H2150" i="1"/>
  <c r="H2151" i="1"/>
  <c r="H2152" i="1"/>
  <c r="H2153" i="1"/>
  <c r="H2154" i="1"/>
  <c r="H2155" i="1"/>
  <c r="H2156" i="1"/>
  <c r="H2157" i="1"/>
  <c r="H2158" i="1"/>
  <c r="H2159" i="1"/>
  <c r="H2160" i="1"/>
  <c r="H2161" i="1"/>
  <c r="H2162" i="1"/>
  <c r="H2163" i="1"/>
  <c r="H2164" i="1"/>
  <c r="H2165" i="1"/>
  <c r="H2166" i="1"/>
  <c r="H2167" i="1"/>
  <c r="H2168" i="1"/>
  <c r="H2169" i="1"/>
  <c r="H2170" i="1"/>
  <c r="H2171" i="1"/>
  <c r="H2172" i="1"/>
  <c r="H2173" i="1"/>
  <c r="H2174" i="1"/>
  <c r="H2175" i="1"/>
  <c r="H2176" i="1"/>
  <c r="H2177" i="1"/>
  <c r="H2178" i="1"/>
  <c r="H2179" i="1"/>
  <c r="H2180" i="1"/>
  <c r="H2181" i="1"/>
  <c r="H2182" i="1"/>
  <c r="H2183" i="1"/>
  <c r="H2184" i="1"/>
  <c r="H2185" i="1"/>
  <c r="H2186" i="1"/>
  <c r="H2187" i="1"/>
  <c r="H2188" i="1"/>
  <c r="H2189" i="1"/>
  <c r="H2190" i="1"/>
  <c r="H2191" i="1"/>
  <c r="H2192" i="1"/>
  <c r="H2193" i="1"/>
  <c r="H2194" i="1"/>
  <c r="H2195" i="1"/>
  <c r="H2196" i="1"/>
  <c r="H2197" i="1"/>
  <c r="H2198" i="1"/>
  <c r="H2199" i="1"/>
  <c r="H2200" i="1"/>
  <c r="H2201" i="1"/>
  <c r="H2202" i="1"/>
  <c r="H2203" i="1"/>
  <c r="H2204" i="1"/>
  <c r="H2205" i="1"/>
  <c r="H2206" i="1"/>
  <c r="H2207" i="1"/>
  <c r="H2208" i="1"/>
  <c r="H2209" i="1"/>
  <c r="H2210" i="1"/>
  <c r="H2211" i="1"/>
  <c r="H2212" i="1"/>
  <c r="H2213" i="1"/>
  <c r="H2214" i="1"/>
  <c r="H2215" i="1"/>
  <c r="H2216" i="1"/>
  <c r="H2217" i="1"/>
  <c r="H2218" i="1"/>
  <c r="H2219" i="1"/>
  <c r="H2220" i="1"/>
  <c r="H2221" i="1"/>
  <c r="H2222" i="1"/>
  <c r="H2223" i="1"/>
  <c r="H2224" i="1"/>
  <c r="H2225" i="1"/>
  <c r="H2226" i="1"/>
  <c r="H2227" i="1"/>
  <c r="H2228" i="1"/>
  <c r="H2229" i="1"/>
  <c r="H2230" i="1"/>
  <c r="J1913" i="1"/>
  <c r="J1914" i="1"/>
  <c r="J1915" i="1"/>
  <c r="J1916" i="1"/>
  <c r="J1917" i="1"/>
  <c r="J1918" i="1"/>
  <c r="J1919" i="1"/>
  <c r="J1920" i="1"/>
  <c r="J1921" i="1"/>
  <c r="J1922" i="1"/>
  <c r="J1923" i="1"/>
  <c r="J1924" i="1"/>
  <c r="J1925" i="1"/>
  <c r="J1926" i="1"/>
  <c r="J1927" i="1"/>
  <c r="J1928" i="1"/>
  <c r="J1929" i="1"/>
  <c r="J1930" i="1"/>
  <c r="J1931" i="1"/>
  <c r="J1932" i="1"/>
  <c r="J1933" i="1"/>
  <c r="J1934" i="1"/>
  <c r="J1935" i="1"/>
  <c r="J1936" i="1"/>
  <c r="J1937" i="1"/>
  <c r="J1938" i="1"/>
  <c r="J1939" i="1"/>
  <c r="J1940" i="1"/>
  <c r="J1941" i="1"/>
  <c r="J1942" i="1"/>
  <c r="J1943" i="1"/>
  <c r="J1944" i="1"/>
  <c r="J1945" i="1"/>
  <c r="J1946" i="1"/>
  <c r="J1947" i="1"/>
  <c r="J1948" i="1"/>
  <c r="J1949" i="1"/>
  <c r="J1950" i="1"/>
  <c r="J1951" i="1"/>
  <c r="J1952" i="1"/>
  <c r="J1953" i="1"/>
  <c r="J1954" i="1"/>
  <c r="J1955" i="1"/>
  <c r="J1956" i="1"/>
  <c r="J1957" i="1"/>
  <c r="J1958" i="1"/>
  <c r="J1959" i="1"/>
  <c r="J1960" i="1"/>
  <c r="J1961" i="1"/>
  <c r="J1962" i="1"/>
  <c r="J1963" i="1"/>
  <c r="J1964" i="1"/>
  <c r="J1965" i="1"/>
  <c r="J1966" i="1"/>
  <c r="J1967" i="1"/>
  <c r="J1968" i="1"/>
  <c r="J1969" i="1"/>
  <c r="J1970" i="1"/>
  <c r="J1971" i="1"/>
  <c r="J1972" i="1"/>
  <c r="J1973" i="1"/>
  <c r="J1974" i="1"/>
  <c r="J1975" i="1"/>
  <c r="J1976" i="1"/>
  <c r="J1977" i="1"/>
  <c r="J1978" i="1"/>
  <c r="J1979" i="1"/>
  <c r="J1980" i="1"/>
  <c r="J1981" i="1"/>
  <c r="J1982" i="1"/>
  <c r="J1983" i="1"/>
  <c r="J1984" i="1"/>
  <c r="J1985" i="1"/>
  <c r="J1986" i="1"/>
  <c r="J1987" i="1"/>
  <c r="J1988" i="1"/>
  <c r="J1989" i="1"/>
  <c r="J1990" i="1"/>
  <c r="J1991" i="1"/>
  <c r="J1992" i="1"/>
  <c r="J1993" i="1"/>
  <c r="J1994" i="1"/>
  <c r="J1995" i="1"/>
  <c r="J1996" i="1"/>
  <c r="J1997" i="1"/>
  <c r="J1998" i="1"/>
  <c r="J1999" i="1"/>
  <c r="J2000" i="1"/>
  <c r="J2001" i="1"/>
  <c r="J2002" i="1"/>
  <c r="J2003" i="1"/>
  <c r="J2004" i="1"/>
  <c r="J2005" i="1"/>
  <c r="J2006" i="1"/>
  <c r="J2007" i="1"/>
  <c r="J2008" i="1"/>
  <c r="J2009" i="1"/>
  <c r="J2010" i="1"/>
  <c r="J2011" i="1"/>
  <c r="J2012" i="1"/>
  <c r="J2013" i="1"/>
  <c r="J2014" i="1"/>
  <c r="J2015" i="1"/>
  <c r="J2016" i="1"/>
  <c r="J2017" i="1"/>
  <c r="J2018" i="1"/>
  <c r="J2019" i="1"/>
  <c r="J2020" i="1"/>
  <c r="J2021" i="1"/>
  <c r="J2022" i="1"/>
  <c r="J2023" i="1"/>
  <c r="J2024" i="1"/>
  <c r="J2025" i="1"/>
  <c r="J2026" i="1"/>
  <c r="J2027" i="1"/>
  <c r="J2028" i="1"/>
  <c r="J2029" i="1"/>
  <c r="J2030" i="1"/>
  <c r="J2031" i="1"/>
  <c r="J2032" i="1"/>
  <c r="J2033" i="1"/>
  <c r="J2034" i="1"/>
  <c r="J2035" i="1"/>
  <c r="J2036" i="1"/>
  <c r="J2037" i="1"/>
  <c r="J2038" i="1"/>
  <c r="J2039" i="1"/>
  <c r="J2040" i="1"/>
  <c r="J2041" i="1"/>
  <c r="J2042" i="1"/>
  <c r="J2043" i="1"/>
  <c r="J2044" i="1"/>
  <c r="J2045" i="1"/>
  <c r="J2046" i="1"/>
  <c r="J2047" i="1"/>
  <c r="J2048" i="1"/>
  <c r="J2049" i="1"/>
  <c r="J2050" i="1"/>
  <c r="J2051" i="1"/>
  <c r="J2052" i="1"/>
  <c r="J2053" i="1"/>
  <c r="J2054" i="1"/>
  <c r="J2055" i="1"/>
  <c r="J2056" i="1"/>
  <c r="J2057" i="1"/>
  <c r="J2058" i="1"/>
  <c r="J2059" i="1"/>
  <c r="J2060" i="1"/>
  <c r="J2061" i="1"/>
  <c r="J2062" i="1"/>
  <c r="J2063" i="1"/>
  <c r="J2064" i="1"/>
  <c r="J2065" i="1"/>
  <c r="J2066" i="1"/>
  <c r="J2067" i="1"/>
  <c r="J2068" i="1"/>
  <c r="J2069" i="1"/>
  <c r="J2070" i="1"/>
  <c r="J2071" i="1"/>
  <c r="J2072" i="1"/>
  <c r="J2073" i="1"/>
  <c r="J2074" i="1"/>
  <c r="J2075" i="1"/>
  <c r="J2076" i="1"/>
  <c r="J2077" i="1"/>
  <c r="J2078" i="1"/>
  <c r="J2079" i="1"/>
  <c r="J2080" i="1"/>
  <c r="J2081" i="1"/>
  <c r="J2082" i="1"/>
  <c r="J2083" i="1"/>
  <c r="J2084" i="1"/>
  <c r="J2085" i="1"/>
  <c r="J2086" i="1"/>
  <c r="J2087" i="1"/>
  <c r="J2088" i="1"/>
  <c r="J2089" i="1"/>
  <c r="J2090" i="1"/>
  <c r="J2091" i="1"/>
  <c r="J2092" i="1"/>
  <c r="J2093" i="1"/>
  <c r="J2094" i="1"/>
  <c r="J2095" i="1"/>
  <c r="J2096" i="1"/>
  <c r="J2097" i="1"/>
  <c r="J2098" i="1"/>
  <c r="J2099" i="1"/>
  <c r="J2100" i="1"/>
  <c r="J2101" i="1"/>
  <c r="J2102" i="1"/>
  <c r="J2103" i="1"/>
  <c r="J2104" i="1"/>
  <c r="J2105" i="1"/>
  <c r="J2106" i="1"/>
  <c r="J2107" i="1"/>
  <c r="J2108" i="1"/>
  <c r="J2109" i="1"/>
  <c r="J2110" i="1"/>
  <c r="J2111" i="1"/>
  <c r="J2112" i="1"/>
  <c r="J2113" i="1"/>
  <c r="J2114" i="1"/>
  <c r="J2115" i="1"/>
  <c r="J2116" i="1"/>
  <c r="J2117" i="1"/>
  <c r="J2118" i="1"/>
  <c r="J2119" i="1"/>
  <c r="J2120" i="1"/>
  <c r="J2121" i="1"/>
  <c r="J2122" i="1"/>
  <c r="J2123" i="1"/>
  <c r="J2124" i="1"/>
  <c r="J2125" i="1"/>
  <c r="J2126" i="1"/>
  <c r="J2127" i="1"/>
  <c r="J2128" i="1"/>
  <c r="J2129" i="1"/>
  <c r="J2130" i="1"/>
  <c r="J2131" i="1"/>
  <c r="J2132" i="1"/>
  <c r="J2133" i="1"/>
  <c r="J2134" i="1"/>
  <c r="J2135" i="1"/>
  <c r="J2136" i="1"/>
  <c r="J2137" i="1"/>
  <c r="J2138" i="1"/>
  <c r="J2139" i="1"/>
  <c r="J2140" i="1"/>
  <c r="J2141" i="1"/>
  <c r="J2142" i="1"/>
  <c r="J2143" i="1"/>
  <c r="J2144" i="1"/>
  <c r="J2145" i="1"/>
  <c r="J2146" i="1"/>
  <c r="J2147" i="1"/>
  <c r="J2148" i="1"/>
  <c r="J2149" i="1"/>
  <c r="J2150" i="1"/>
  <c r="J2151" i="1"/>
  <c r="J2152" i="1"/>
  <c r="J2153" i="1"/>
  <c r="J2154" i="1"/>
  <c r="J2155" i="1"/>
  <c r="J2156" i="1"/>
  <c r="J2157" i="1"/>
  <c r="J2158" i="1"/>
  <c r="J2159" i="1"/>
  <c r="J2160" i="1"/>
  <c r="J2161" i="1"/>
  <c r="J2162" i="1"/>
  <c r="J2163" i="1"/>
  <c r="J2164" i="1"/>
  <c r="J2165" i="1"/>
  <c r="J2166" i="1"/>
  <c r="J2167" i="1"/>
  <c r="J2168" i="1"/>
  <c r="J2169" i="1"/>
  <c r="J2170" i="1"/>
  <c r="J2171" i="1"/>
  <c r="J2172" i="1"/>
  <c r="J2173" i="1"/>
  <c r="J2174" i="1"/>
  <c r="J2175" i="1"/>
  <c r="J2176" i="1"/>
  <c r="J2177" i="1"/>
  <c r="J2178" i="1"/>
  <c r="J2179" i="1"/>
  <c r="J2180" i="1"/>
  <c r="J2181" i="1"/>
  <c r="J2182" i="1"/>
  <c r="J2183" i="1"/>
  <c r="J2184" i="1"/>
  <c r="J2185" i="1"/>
  <c r="J2186" i="1"/>
  <c r="J2187" i="1"/>
  <c r="J2188" i="1"/>
  <c r="J2189" i="1"/>
  <c r="J2190" i="1"/>
  <c r="J2191" i="1"/>
  <c r="J2192" i="1"/>
  <c r="J2193" i="1"/>
  <c r="J2194" i="1"/>
  <c r="J2195" i="1"/>
  <c r="J2196" i="1"/>
  <c r="J2197" i="1"/>
  <c r="J2198" i="1"/>
  <c r="J2199" i="1"/>
  <c r="J2200" i="1"/>
  <c r="J2201" i="1"/>
  <c r="J2202" i="1"/>
  <c r="J2203" i="1"/>
  <c r="J2204" i="1"/>
  <c r="J2205" i="1"/>
  <c r="J2206" i="1"/>
  <c r="J2207" i="1"/>
  <c r="J2208" i="1"/>
  <c r="J2209" i="1"/>
  <c r="J2210" i="1"/>
  <c r="J2211" i="1"/>
  <c r="J2212" i="1"/>
  <c r="J2213" i="1"/>
  <c r="J2214" i="1"/>
  <c r="J2215" i="1"/>
  <c r="J2216" i="1"/>
  <c r="J2217" i="1"/>
  <c r="J2218" i="1"/>
  <c r="J2219" i="1"/>
  <c r="J2220" i="1"/>
  <c r="J2221" i="1"/>
  <c r="J2222" i="1"/>
  <c r="J2223" i="1"/>
  <c r="J2224" i="1"/>
  <c r="J2225" i="1"/>
  <c r="J2226" i="1"/>
  <c r="J2227" i="1"/>
  <c r="J2228" i="1"/>
  <c r="J2229" i="1"/>
  <c r="J2230" i="1"/>
  <c r="Q1913" i="1"/>
  <c r="P1913" i="1" s="1"/>
  <c r="Q1914" i="1"/>
  <c r="P1914" i="1" s="1"/>
  <c r="Q1915" i="1"/>
  <c r="P1915" i="1" s="1"/>
  <c r="Q1916" i="1"/>
  <c r="P1916" i="1" s="1"/>
  <c r="Q1917" i="1"/>
  <c r="P1917" i="1" s="1"/>
  <c r="Q1918" i="1"/>
  <c r="P1918" i="1" s="1"/>
  <c r="Q1919" i="1"/>
  <c r="P1919" i="1" s="1"/>
  <c r="Q1920" i="1"/>
  <c r="P1920" i="1" s="1"/>
  <c r="Q1921" i="1"/>
  <c r="P1921" i="1" s="1"/>
  <c r="Q1922" i="1"/>
  <c r="P1922" i="1" s="1"/>
  <c r="Q1923" i="1"/>
  <c r="P1923" i="1" s="1"/>
  <c r="Q1924" i="1"/>
  <c r="P1924" i="1" s="1"/>
  <c r="Q1925" i="1"/>
  <c r="P1925" i="1" s="1"/>
  <c r="Q1926" i="1"/>
  <c r="P1926" i="1" s="1"/>
  <c r="Q1927" i="1"/>
  <c r="P1927" i="1" s="1"/>
  <c r="Q1928" i="1"/>
  <c r="P1928" i="1" s="1"/>
  <c r="Q1929" i="1"/>
  <c r="P1929" i="1" s="1"/>
  <c r="Q1930" i="1"/>
  <c r="P1930" i="1" s="1"/>
  <c r="Q1931" i="1"/>
  <c r="P1931" i="1" s="1"/>
  <c r="Q1932" i="1"/>
  <c r="P1932" i="1" s="1"/>
  <c r="Q1933" i="1"/>
  <c r="P1933" i="1" s="1"/>
  <c r="Q1934" i="1"/>
  <c r="P1934" i="1" s="1"/>
  <c r="Q1935" i="1"/>
  <c r="P1935" i="1" s="1"/>
  <c r="Q1936" i="1"/>
  <c r="P1936" i="1" s="1"/>
  <c r="Q1937" i="1"/>
  <c r="P1937" i="1" s="1"/>
  <c r="Q1938" i="1"/>
  <c r="P1938" i="1" s="1"/>
  <c r="Q1939" i="1"/>
  <c r="P1939" i="1" s="1"/>
  <c r="Q1940" i="1"/>
  <c r="P1940" i="1" s="1"/>
  <c r="Q1941" i="1"/>
  <c r="P1941" i="1" s="1"/>
  <c r="Q1942" i="1"/>
  <c r="P1942" i="1" s="1"/>
  <c r="Q1943" i="1"/>
  <c r="P1943" i="1" s="1"/>
  <c r="Q1944" i="1"/>
  <c r="P1944" i="1" s="1"/>
  <c r="Q1945" i="1"/>
  <c r="P1945" i="1" s="1"/>
  <c r="Q1946" i="1"/>
  <c r="P1946" i="1" s="1"/>
  <c r="Q1947" i="1"/>
  <c r="P1947" i="1" s="1"/>
  <c r="Q1948" i="1"/>
  <c r="P1948" i="1" s="1"/>
  <c r="Q1949" i="1"/>
  <c r="P1949" i="1" s="1"/>
  <c r="Q1950" i="1"/>
  <c r="P1950" i="1" s="1"/>
  <c r="Q1951" i="1"/>
  <c r="P1951" i="1" s="1"/>
  <c r="Q1952" i="1"/>
  <c r="P1952" i="1" s="1"/>
  <c r="Q1953" i="1"/>
  <c r="P1953" i="1" s="1"/>
  <c r="Q1954" i="1"/>
  <c r="P1954" i="1" s="1"/>
  <c r="Q1955" i="1"/>
  <c r="P1955" i="1" s="1"/>
  <c r="Q1956" i="1"/>
  <c r="P1956" i="1" s="1"/>
  <c r="Q1957" i="1"/>
  <c r="P1957" i="1" s="1"/>
  <c r="Q1958" i="1"/>
  <c r="P1958" i="1" s="1"/>
  <c r="Q1959" i="1"/>
  <c r="P1959" i="1" s="1"/>
  <c r="Q1960" i="1"/>
  <c r="P1960" i="1" s="1"/>
  <c r="Q1961" i="1"/>
  <c r="P1961" i="1" s="1"/>
  <c r="Q1962" i="1"/>
  <c r="P1962" i="1" s="1"/>
  <c r="Q1963" i="1"/>
  <c r="P1963" i="1" s="1"/>
  <c r="Q1964" i="1"/>
  <c r="P1964" i="1" s="1"/>
  <c r="Q1965" i="1"/>
  <c r="P1965" i="1" s="1"/>
  <c r="Q1966" i="1"/>
  <c r="P1966" i="1" s="1"/>
  <c r="Q1967" i="1"/>
  <c r="P1967" i="1" s="1"/>
  <c r="Q1968" i="1"/>
  <c r="P1968" i="1" s="1"/>
  <c r="Q1969" i="1"/>
  <c r="P1969" i="1" s="1"/>
  <c r="Q1970" i="1"/>
  <c r="P1970" i="1" s="1"/>
  <c r="Q1971" i="1"/>
  <c r="P1971" i="1" s="1"/>
  <c r="Q1972" i="1"/>
  <c r="P1972" i="1" s="1"/>
  <c r="Q1973" i="1"/>
  <c r="P1973" i="1" s="1"/>
  <c r="Q1974" i="1"/>
  <c r="P1974" i="1" s="1"/>
  <c r="Q1975" i="1"/>
  <c r="P1975" i="1" s="1"/>
  <c r="Q1976" i="1"/>
  <c r="P1976" i="1" s="1"/>
  <c r="Q1977" i="1"/>
  <c r="P1977" i="1" s="1"/>
  <c r="Q1978" i="1"/>
  <c r="P1978" i="1" s="1"/>
  <c r="Q1979" i="1"/>
  <c r="P1979" i="1" s="1"/>
  <c r="Q1980" i="1"/>
  <c r="P1980" i="1" s="1"/>
  <c r="Q1981" i="1"/>
  <c r="P1981" i="1" s="1"/>
  <c r="Q1982" i="1"/>
  <c r="P1982" i="1" s="1"/>
  <c r="Q1983" i="1"/>
  <c r="P1983" i="1" s="1"/>
  <c r="Q1984" i="1"/>
  <c r="P1984" i="1" s="1"/>
  <c r="Q1985" i="1"/>
  <c r="P1985" i="1" s="1"/>
  <c r="Q1986" i="1"/>
  <c r="P1986" i="1" s="1"/>
  <c r="Q1987" i="1"/>
  <c r="P1987" i="1" s="1"/>
  <c r="Q1988" i="1"/>
  <c r="P1988" i="1" s="1"/>
  <c r="Q1989" i="1"/>
  <c r="P1989" i="1" s="1"/>
  <c r="Q1990" i="1"/>
  <c r="P1990" i="1" s="1"/>
  <c r="Q1991" i="1"/>
  <c r="P1991" i="1" s="1"/>
  <c r="Q1992" i="1"/>
  <c r="P1992" i="1" s="1"/>
  <c r="Q1993" i="1"/>
  <c r="P1993" i="1" s="1"/>
  <c r="Q1994" i="1"/>
  <c r="P1994" i="1" s="1"/>
  <c r="Q1995" i="1"/>
  <c r="P1995" i="1" s="1"/>
  <c r="Q1996" i="1"/>
  <c r="P1996" i="1" s="1"/>
  <c r="Q1997" i="1"/>
  <c r="P1997" i="1" s="1"/>
  <c r="Q1998" i="1"/>
  <c r="P1998" i="1" s="1"/>
  <c r="Q1999" i="1"/>
  <c r="P1999" i="1" s="1"/>
  <c r="Q2000" i="1"/>
  <c r="P2000" i="1" s="1"/>
  <c r="Q2001" i="1"/>
  <c r="P2001" i="1" s="1"/>
  <c r="Q2002" i="1"/>
  <c r="P2002" i="1" s="1"/>
  <c r="Q2003" i="1"/>
  <c r="P2003" i="1" s="1"/>
  <c r="Q2004" i="1"/>
  <c r="P2004" i="1" s="1"/>
  <c r="Q2005" i="1"/>
  <c r="P2005" i="1" s="1"/>
  <c r="Q2006" i="1"/>
  <c r="P2006" i="1" s="1"/>
  <c r="Q2007" i="1"/>
  <c r="P2007" i="1" s="1"/>
  <c r="Q2008" i="1"/>
  <c r="P2008" i="1" s="1"/>
  <c r="Q2009" i="1"/>
  <c r="P2009" i="1" s="1"/>
  <c r="Q2010" i="1"/>
  <c r="P2010" i="1" s="1"/>
  <c r="Q2011" i="1"/>
  <c r="P2011" i="1" s="1"/>
  <c r="Q2012" i="1"/>
  <c r="P2012" i="1" s="1"/>
  <c r="Q2013" i="1"/>
  <c r="P2013" i="1" s="1"/>
  <c r="Q2014" i="1"/>
  <c r="P2014" i="1" s="1"/>
  <c r="Q2015" i="1"/>
  <c r="P2015" i="1" s="1"/>
  <c r="Q2016" i="1"/>
  <c r="P2016" i="1" s="1"/>
  <c r="Q2017" i="1"/>
  <c r="P2017" i="1" s="1"/>
  <c r="Q2018" i="1"/>
  <c r="P2018" i="1" s="1"/>
  <c r="Q2019" i="1"/>
  <c r="P2019" i="1" s="1"/>
  <c r="Q2020" i="1"/>
  <c r="P2020" i="1" s="1"/>
  <c r="Q2021" i="1"/>
  <c r="P2021" i="1" s="1"/>
  <c r="Q2022" i="1"/>
  <c r="P2022" i="1" s="1"/>
  <c r="Q2023" i="1"/>
  <c r="P2023" i="1" s="1"/>
  <c r="Q2024" i="1"/>
  <c r="P2024" i="1" s="1"/>
  <c r="Q2025" i="1"/>
  <c r="P2025" i="1" s="1"/>
  <c r="Q2026" i="1"/>
  <c r="P2026" i="1" s="1"/>
  <c r="Q2027" i="1"/>
  <c r="P2027" i="1" s="1"/>
  <c r="Q2028" i="1"/>
  <c r="P2028" i="1" s="1"/>
  <c r="Q2029" i="1"/>
  <c r="P2029" i="1" s="1"/>
  <c r="Q2030" i="1"/>
  <c r="P2030" i="1" s="1"/>
  <c r="Q2031" i="1"/>
  <c r="P2031" i="1" s="1"/>
  <c r="Q2032" i="1"/>
  <c r="P2032" i="1" s="1"/>
  <c r="Q2033" i="1"/>
  <c r="P2033" i="1" s="1"/>
  <c r="Q2034" i="1"/>
  <c r="P2034" i="1" s="1"/>
  <c r="Q2035" i="1"/>
  <c r="P2035" i="1" s="1"/>
  <c r="Q2036" i="1"/>
  <c r="P2036" i="1" s="1"/>
  <c r="Q2037" i="1"/>
  <c r="P2037" i="1" s="1"/>
  <c r="Q2038" i="1"/>
  <c r="P2038" i="1" s="1"/>
  <c r="Q2039" i="1"/>
  <c r="P2039" i="1" s="1"/>
  <c r="Q2040" i="1"/>
  <c r="P2040" i="1" s="1"/>
  <c r="Q2041" i="1"/>
  <c r="P2041" i="1" s="1"/>
  <c r="Q2042" i="1"/>
  <c r="P2042" i="1" s="1"/>
  <c r="Q2043" i="1"/>
  <c r="P2043" i="1" s="1"/>
  <c r="Q2044" i="1"/>
  <c r="P2044" i="1" s="1"/>
  <c r="Q2045" i="1"/>
  <c r="P2045" i="1" s="1"/>
  <c r="Q2046" i="1"/>
  <c r="P2046" i="1" s="1"/>
  <c r="Q2047" i="1"/>
  <c r="P2047" i="1" s="1"/>
  <c r="Q2048" i="1"/>
  <c r="P2048" i="1" s="1"/>
  <c r="Q2049" i="1"/>
  <c r="P2049" i="1" s="1"/>
  <c r="Q2050" i="1"/>
  <c r="P2050" i="1" s="1"/>
  <c r="Q2051" i="1"/>
  <c r="P2051" i="1" s="1"/>
  <c r="Q2052" i="1"/>
  <c r="P2052" i="1" s="1"/>
  <c r="Q2053" i="1"/>
  <c r="P2053" i="1" s="1"/>
  <c r="Q2054" i="1"/>
  <c r="P2054" i="1" s="1"/>
  <c r="Q2055" i="1"/>
  <c r="P2055" i="1" s="1"/>
  <c r="Q2056" i="1"/>
  <c r="P2056" i="1" s="1"/>
  <c r="Q2057" i="1"/>
  <c r="P2057" i="1" s="1"/>
  <c r="Q2058" i="1"/>
  <c r="P2058" i="1" s="1"/>
  <c r="Q2059" i="1"/>
  <c r="P2059" i="1" s="1"/>
  <c r="Q2060" i="1"/>
  <c r="P2060" i="1" s="1"/>
  <c r="Q2061" i="1"/>
  <c r="P2061" i="1" s="1"/>
  <c r="Q2062" i="1"/>
  <c r="P2062" i="1" s="1"/>
  <c r="Q2063" i="1"/>
  <c r="P2063" i="1" s="1"/>
  <c r="Q2064" i="1"/>
  <c r="P2064" i="1" s="1"/>
  <c r="Q2065" i="1"/>
  <c r="P2065" i="1" s="1"/>
  <c r="Q2066" i="1"/>
  <c r="P2066" i="1" s="1"/>
  <c r="Q2067" i="1"/>
  <c r="P2067" i="1" s="1"/>
  <c r="Q2068" i="1"/>
  <c r="P2068" i="1" s="1"/>
  <c r="Q2069" i="1"/>
  <c r="P2069" i="1" s="1"/>
  <c r="Q2070" i="1"/>
  <c r="P2070" i="1" s="1"/>
  <c r="Q2071" i="1"/>
  <c r="P2071" i="1" s="1"/>
  <c r="Q2072" i="1"/>
  <c r="P2072" i="1" s="1"/>
  <c r="Q2073" i="1"/>
  <c r="P2073" i="1" s="1"/>
  <c r="Q2074" i="1"/>
  <c r="P2074" i="1" s="1"/>
  <c r="Q2075" i="1"/>
  <c r="P2075" i="1" s="1"/>
  <c r="Q2076" i="1"/>
  <c r="P2076" i="1" s="1"/>
  <c r="Q2077" i="1"/>
  <c r="P2077" i="1" s="1"/>
  <c r="Q2078" i="1"/>
  <c r="P2078" i="1" s="1"/>
  <c r="Q2079" i="1"/>
  <c r="P2079" i="1" s="1"/>
  <c r="Q2080" i="1"/>
  <c r="P2080" i="1" s="1"/>
  <c r="Q2081" i="1"/>
  <c r="P2081" i="1" s="1"/>
  <c r="Q2082" i="1"/>
  <c r="P2082" i="1" s="1"/>
  <c r="Q2083" i="1"/>
  <c r="P2083" i="1" s="1"/>
  <c r="Q2084" i="1"/>
  <c r="P2084" i="1" s="1"/>
  <c r="Q2085" i="1"/>
  <c r="P2085" i="1" s="1"/>
  <c r="Q2086" i="1"/>
  <c r="P2086" i="1" s="1"/>
  <c r="Q2087" i="1"/>
  <c r="P2087" i="1" s="1"/>
  <c r="Q2088" i="1"/>
  <c r="P2088" i="1" s="1"/>
  <c r="Q2089" i="1"/>
  <c r="P2089" i="1" s="1"/>
  <c r="Q2090" i="1"/>
  <c r="P2090" i="1" s="1"/>
  <c r="Q2091" i="1"/>
  <c r="P2091" i="1" s="1"/>
  <c r="Q2092" i="1"/>
  <c r="P2092" i="1" s="1"/>
  <c r="Q2093" i="1"/>
  <c r="P2093" i="1" s="1"/>
  <c r="Q2094" i="1"/>
  <c r="P2094" i="1" s="1"/>
  <c r="Q2095" i="1"/>
  <c r="P2095" i="1" s="1"/>
  <c r="Q2096" i="1"/>
  <c r="P2096" i="1" s="1"/>
  <c r="Q2097" i="1"/>
  <c r="P2097" i="1" s="1"/>
  <c r="Q2098" i="1"/>
  <c r="P2098" i="1" s="1"/>
  <c r="Q2099" i="1"/>
  <c r="P2099" i="1" s="1"/>
  <c r="Q2100" i="1"/>
  <c r="P2100" i="1" s="1"/>
  <c r="Q2101" i="1"/>
  <c r="P2101" i="1" s="1"/>
  <c r="Q2102" i="1"/>
  <c r="P2102" i="1" s="1"/>
  <c r="Q2103" i="1"/>
  <c r="P2103" i="1" s="1"/>
  <c r="Q2104" i="1"/>
  <c r="P2104" i="1" s="1"/>
  <c r="Q2105" i="1"/>
  <c r="P2105" i="1" s="1"/>
  <c r="Q2106" i="1"/>
  <c r="P2106" i="1" s="1"/>
  <c r="Q2107" i="1"/>
  <c r="P2107" i="1" s="1"/>
  <c r="Q2108" i="1"/>
  <c r="P2108" i="1" s="1"/>
  <c r="Q2109" i="1"/>
  <c r="P2109" i="1" s="1"/>
  <c r="Q2110" i="1"/>
  <c r="P2110" i="1" s="1"/>
  <c r="Q2111" i="1"/>
  <c r="P2111" i="1" s="1"/>
  <c r="Q2112" i="1"/>
  <c r="P2112" i="1" s="1"/>
  <c r="Q2113" i="1"/>
  <c r="P2113" i="1" s="1"/>
  <c r="Q2114" i="1"/>
  <c r="P2114" i="1" s="1"/>
  <c r="Q2115" i="1"/>
  <c r="P2115" i="1" s="1"/>
  <c r="Q2116" i="1"/>
  <c r="P2116" i="1" s="1"/>
  <c r="Q2117" i="1"/>
  <c r="P2117" i="1" s="1"/>
  <c r="Q2118" i="1"/>
  <c r="P2118" i="1" s="1"/>
  <c r="Q2119" i="1"/>
  <c r="P2119" i="1" s="1"/>
  <c r="Q2120" i="1"/>
  <c r="P2120" i="1" s="1"/>
  <c r="Q2121" i="1"/>
  <c r="P2121" i="1" s="1"/>
  <c r="Q2122" i="1"/>
  <c r="P2122" i="1" s="1"/>
  <c r="Q2123" i="1"/>
  <c r="P2123" i="1" s="1"/>
  <c r="Q2124" i="1"/>
  <c r="P2124" i="1" s="1"/>
  <c r="Q2125" i="1"/>
  <c r="P2125" i="1" s="1"/>
  <c r="Q2126" i="1"/>
  <c r="P2126" i="1" s="1"/>
  <c r="Q2127" i="1"/>
  <c r="P2127" i="1" s="1"/>
  <c r="Q2128" i="1"/>
  <c r="P2128" i="1" s="1"/>
  <c r="Q2129" i="1"/>
  <c r="P2129" i="1" s="1"/>
  <c r="Q2130" i="1"/>
  <c r="P2130" i="1" s="1"/>
  <c r="Q2131" i="1"/>
  <c r="P2131" i="1" s="1"/>
  <c r="Q2132" i="1"/>
  <c r="P2132" i="1" s="1"/>
  <c r="Q2133" i="1"/>
  <c r="P2133" i="1" s="1"/>
  <c r="Q2134" i="1"/>
  <c r="P2134" i="1" s="1"/>
  <c r="Q2135" i="1"/>
  <c r="P2135" i="1" s="1"/>
  <c r="Q2136" i="1"/>
  <c r="P2136" i="1" s="1"/>
  <c r="Q2137" i="1"/>
  <c r="P2137" i="1" s="1"/>
  <c r="Q2138" i="1"/>
  <c r="P2138" i="1" s="1"/>
  <c r="Q2139" i="1"/>
  <c r="P2139" i="1" s="1"/>
  <c r="Q2140" i="1"/>
  <c r="P2140" i="1" s="1"/>
  <c r="Q2141" i="1"/>
  <c r="P2141" i="1" s="1"/>
  <c r="Q2142" i="1"/>
  <c r="P2142" i="1" s="1"/>
  <c r="Q2143" i="1"/>
  <c r="P2143" i="1" s="1"/>
  <c r="Q2144" i="1"/>
  <c r="P2144" i="1" s="1"/>
  <c r="Q2145" i="1"/>
  <c r="P2145" i="1" s="1"/>
  <c r="Q2146" i="1"/>
  <c r="P2146" i="1" s="1"/>
  <c r="Q2147" i="1"/>
  <c r="P2147" i="1" s="1"/>
  <c r="Q2148" i="1"/>
  <c r="P2148" i="1" s="1"/>
  <c r="Q2149" i="1"/>
  <c r="P2149" i="1" s="1"/>
  <c r="Q2150" i="1"/>
  <c r="P2150" i="1" s="1"/>
  <c r="Q2151" i="1"/>
  <c r="P2151" i="1" s="1"/>
  <c r="Q2152" i="1"/>
  <c r="P2152" i="1" s="1"/>
  <c r="Q2153" i="1"/>
  <c r="P2153" i="1" s="1"/>
  <c r="Q2154" i="1"/>
  <c r="P2154" i="1" s="1"/>
  <c r="Q2155" i="1"/>
  <c r="P2155" i="1" s="1"/>
  <c r="Q2156" i="1"/>
  <c r="P2156" i="1" s="1"/>
  <c r="Q2157" i="1"/>
  <c r="P2157" i="1" s="1"/>
  <c r="Q2158" i="1"/>
  <c r="P2158" i="1" s="1"/>
  <c r="Q2159" i="1"/>
  <c r="P2159" i="1" s="1"/>
  <c r="Q2160" i="1"/>
  <c r="P2160" i="1" s="1"/>
  <c r="Q2161" i="1"/>
  <c r="P2161" i="1" s="1"/>
  <c r="Q2162" i="1"/>
  <c r="P2162" i="1" s="1"/>
  <c r="Q2163" i="1"/>
  <c r="P2163" i="1" s="1"/>
  <c r="Q2164" i="1"/>
  <c r="P2164" i="1" s="1"/>
  <c r="Q2165" i="1"/>
  <c r="P2165" i="1" s="1"/>
  <c r="Q2166" i="1"/>
  <c r="P2166" i="1" s="1"/>
  <c r="Q2167" i="1"/>
  <c r="P2167" i="1" s="1"/>
  <c r="Q2168" i="1"/>
  <c r="P2168" i="1" s="1"/>
  <c r="Q2169" i="1"/>
  <c r="P2169" i="1" s="1"/>
  <c r="Q2170" i="1"/>
  <c r="P2170" i="1" s="1"/>
  <c r="Q2171" i="1"/>
  <c r="P2171" i="1" s="1"/>
  <c r="Q2172" i="1"/>
  <c r="P2172" i="1" s="1"/>
  <c r="Q2173" i="1"/>
  <c r="P2173" i="1" s="1"/>
  <c r="Q2174" i="1"/>
  <c r="P2174" i="1" s="1"/>
  <c r="Q2175" i="1"/>
  <c r="P2175" i="1" s="1"/>
  <c r="Q2176" i="1"/>
  <c r="P2176" i="1" s="1"/>
  <c r="Q2177" i="1"/>
  <c r="P2177" i="1" s="1"/>
  <c r="Q2178" i="1"/>
  <c r="P2178" i="1" s="1"/>
  <c r="Q2179" i="1"/>
  <c r="P2179" i="1" s="1"/>
  <c r="Q2180" i="1"/>
  <c r="P2180" i="1" s="1"/>
  <c r="Q2181" i="1"/>
  <c r="P2181" i="1" s="1"/>
  <c r="Q2182" i="1"/>
  <c r="P2182" i="1" s="1"/>
  <c r="Q2183" i="1"/>
  <c r="P2183" i="1" s="1"/>
  <c r="Q2184" i="1"/>
  <c r="P2184" i="1" s="1"/>
  <c r="Q2185" i="1"/>
  <c r="P2185" i="1" s="1"/>
  <c r="Q2186" i="1"/>
  <c r="P2186" i="1" s="1"/>
  <c r="Q2187" i="1"/>
  <c r="P2187" i="1" s="1"/>
  <c r="Q2188" i="1"/>
  <c r="P2188" i="1" s="1"/>
  <c r="Q2189" i="1"/>
  <c r="P2189" i="1" s="1"/>
  <c r="Q2190" i="1"/>
  <c r="P2190" i="1" s="1"/>
  <c r="Q2191" i="1"/>
  <c r="P2191" i="1" s="1"/>
  <c r="Q2192" i="1"/>
  <c r="P2192" i="1" s="1"/>
  <c r="Q2193" i="1"/>
  <c r="P2193" i="1" s="1"/>
  <c r="Q2194" i="1"/>
  <c r="P2194" i="1" s="1"/>
  <c r="Q2195" i="1"/>
  <c r="P2195" i="1" s="1"/>
  <c r="Q2196" i="1"/>
  <c r="P2196" i="1" s="1"/>
  <c r="Q2197" i="1"/>
  <c r="P2197" i="1" s="1"/>
  <c r="Q2198" i="1"/>
  <c r="P2198" i="1" s="1"/>
  <c r="Q2199" i="1"/>
  <c r="P2199" i="1" s="1"/>
  <c r="Q2200" i="1"/>
  <c r="P2200" i="1" s="1"/>
  <c r="Q2201" i="1"/>
  <c r="P2201" i="1" s="1"/>
  <c r="Q2202" i="1"/>
  <c r="P2202" i="1" s="1"/>
  <c r="Q2203" i="1"/>
  <c r="P2203" i="1" s="1"/>
  <c r="Q2204" i="1"/>
  <c r="P2204" i="1" s="1"/>
  <c r="Q2205" i="1"/>
  <c r="P2205" i="1" s="1"/>
  <c r="Q2206" i="1"/>
  <c r="P2206" i="1" s="1"/>
  <c r="Q2207" i="1"/>
  <c r="P2207" i="1" s="1"/>
  <c r="Q2208" i="1"/>
  <c r="P2208" i="1" s="1"/>
  <c r="Q2209" i="1"/>
  <c r="P2209" i="1" s="1"/>
  <c r="Q2210" i="1"/>
  <c r="P2210" i="1" s="1"/>
  <c r="Q2211" i="1"/>
  <c r="P2211" i="1" s="1"/>
  <c r="Q2212" i="1"/>
  <c r="P2212" i="1" s="1"/>
  <c r="Q2213" i="1"/>
  <c r="P2213" i="1" s="1"/>
  <c r="Q2214" i="1"/>
  <c r="P2214" i="1" s="1"/>
  <c r="Q2215" i="1"/>
  <c r="P2215" i="1" s="1"/>
  <c r="Q2216" i="1"/>
  <c r="P2216" i="1" s="1"/>
  <c r="Q2217" i="1"/>
  <c r="P2217" i="1" s="1"/>
  <c r="Q2218" i="1"/>
  <c r="P2218" i="1" s="1"/>
  <c r="Q2219" i="1"/>
  <c r="P2219" i="1" s="1"/>
  <c r="Q2220" i="1"/>
  <c r="P2220" i="1" s="1"/>
  <c r="Q2221" i="1"/>
  <c r="P2221" i="1" s="1"/>
  <c r="Q2222" i="1"/>
  <c r="P2222" i="1" s="1"/>
  <c r="Q2223" i="1"/>
  <c r="P2223" i="1" s="1"/>
  <c r="Q2224" i="1"/>
  <c r="P2224" i="1" s="1"/>
  <c r="Q2225" i="1"/>
  <c r="P2225" i="1" s="1"/>
  <c r="Q2226" i="1"/>
  <c r="P2226" i="1" s="1"/>
  <c r="Q2227" i="1"/>
  <c r="P2227" i="1" s="1"/>
  <c r="Q2228" i="1"/>
  <c r="P2228" i="1" s="1"/>
  <c r="Q2229" i="1"/>
  <c r="P2229" i="1" s="1"/>
  <c r="Q2230" i="1"/>
  <c r="P2230" i="1" s="1"/>
  <c r="H1912" i="1"/>
  <c r="J1912" i="1"/>
  <c r="Q1912" i="1"/>
  <c r="P1912" i="1" s="1"/>
  <c r="H1815" i="1"/>
  <c r="H1816" i="1"/>
  <c r="H1817" i="1"/>
  <c r="H1818" i="1"/>
  <c r="H1819" i="1"/>
  <c r="H1820" i="1"/>
  <c r="H1821" i="1"/>
  <c r="H1822" i="1"/>
  <c r="H1823" i="1"/>
  <c r="H1824" i="1"/>
  <c r="H1825" i="1"/>
  <c r="H1826" i="1"/>
  <c r="H1827" i="1"/>
  <c r="H1828" i="1"/>
  <c r="H1829" i="1"/>
  <c r="H1830" i="1"/>
  <c r="H1831" i="1"/>
  <c r="H1832" i="1"/>
  <c r="H1833" i="1"/>
  <c r="H1834" i="1"/>
  <c r="H1835" i="1"/>
  <c r="H1836" i="1"/>
  <c r="H1837" i="1"/>
  <c r="H1838" i="1"/>
  <c r="H1839" i="1"/>
  <c r="H1840" i="1"/>
  <c r="H1841" i="1"/>
  <c r="H1842" i="1"/>
  <c r="H1843" i="1"/>
  <c r="H1844" i="1"/>
  <c r="H1845" i="1"/>
  <c r="H1846" i="1"/>
  <c r="H1847" i="1"/>
  <c r="H1848" i="1"/>
  <c r="H1849" i="1"/>
  <c r="H1850" i="1"/>
  <c r="H1851" i="1"/>
  <c r="H1852" i="1"/>
  <c r="H1853" i="1"/>
  <c r="H1854" i="1"/>
  <c r="H1855" i="1"/>
  <c r="H1856" i="1"/>
  <c r="H1857" i="1"/>
  <c r="H1858" i="1"/>
  <c r="H1859" i="1"/>
  <c r="H1860" i="1"/>
  <c r="H1861" i="1"/>
  <c r="H1862" i="1"/>
  <c r="H1863" i="1"/>
  <c r="H1864" i="1"/>
  <c r="H1865" i="1"/>
  <c r="H1866" i="1"/>
  <c r="H1867" i="1"/>
  <c r="H1868" i="1"/>
  <c r="H1869" i="1"/>
  <c r="H1870" i="1"/>
  <c r="H1871" i="1"/>
  <c r="H1872" i="1"/>
  <c r="H1873" i="1"/>
  <c r="H1874" i="1"/>
  <c r="H1875" i="1"/>
  <c r="H1876" i="1"/>
  <c r="H1877" i="1"/>
  <c r="H1878" i="1"/>
  <c r="H1879" i="1"/>
  <c r="H1880" i="1"/>
  <c r="H1881" i="1"/>
  <c r="H1882" i="1"/>
  <c r="H1883" i="1"/>
  <c r="H1884" i="1"/>
  <c r="H1885" i="1"/>
  <c r="H1886" i="1"/>
  <c r="H1887" i="1"/>
  <c r="H1888" i="1"/>
  <c r="H1889" i="1"/>
  <c r="H1890" i="1"/>
  <c r="H1891" i="1"/>
  <c r="H1892" i="1"/>
  <c r="H1893" i="1"/>
  <c r="H1894" i="1"/>
  <c r="H1895" i="1"/>
  <c r="H1896" i="1"/>
  <c r="H1897" i="1"/>
  <c r="H1898" i="1"/>
  <c r="H1899" i="1"/>
  <c r="H1900" i="1"/>
  <c r="H1901" i="1"/>
  <c r="H1902" i="1"/>
  <c r="H1903" i="1"/>
  <c r="H1904" i="1"/>
  <c r="H1905" i="1"/>
  <c r="H1906" i="1"/>
  <c r="H1907" i="1"/>
  <c r="H1908" i="1"/>
  <c r="H1909" i="1"/>
  <c r="H1910" i="1"/>
  <c r="H1911" i="1"/>
  <c r="J1815" i="1"/>
  <c r="J1816" i="1"/>
  <c r="J1817" i="1"/>
  <c r="J1818" i="1"/>
  <c r="J1819" i="1"/>
  <c r="J1820" i="1"/>
  <c r="J1821" i="1"/>
  <c r="J1822" i="1"/>
  <c r="J1823" i="1"/>
  <c r="J1824" i="1"/>
  <c r="J1825" i="1"/>
  <c r="J1826" i="1"/>
  <c r="J1827" i="1"/>
  <c r="J1828" i="1"/>
  <c r="J1829" i="1"/>
  <c r="J1830" i="1"/>
  <c r="J1831" i="1"/>
  <c r="J1832" i="1"/>
  <c r="J1833" i="1"/>
  <c r="J1834" i="1"/>
  <c r="J1835" i="1"/>
  <c r="J1836" i="1"/>
  <c r="J1837" i="1"/>
  <c r="J1838" i="1"/>
  <c r="J1839" i="1"/>
  <c r="J1840" i="1"/>
  <c r="J1841" i="1"/>
  <c r="J1842" i="1"/>
  <c r="J1843" i="1"/>
  <c r="J1844" i="1"/>
  <c r="J1845" i="1"/>
  <c r="J1846" i="1"/>
  <c r="J1847" i="1"/>
  <c r="J1848" i="1"/>
  <c r="J1849" i="1"/>
  <c r="J1850" i="1"/>
  <c r="J1851" i="1"/>
  <c r="J1852" i="1"/>
  <c r="J1853" i="1"/>
  <c r="J1854" i="1"/>
  <c r="J1855" i="1"/>
  <c r="J1856" i="1"/>
  <c r="J1857" i="1"/>
  <c r="J1858" i="1"/>
  <c r="J1859" i="1"/>
  <c r="J1860" i="1"/>
  <c r="J1861" i="1"/>
  <c r="J1862" i="1"/>
  <c r="J1863" i="1"/>
  <c r="J1864" i="1"/>
  <c r="J1865" i="1"/>
  <c r="J1866" i="1"/>
  <c r="J1867" i="1"/>
  <c r="J1868" i="1"/>
  <c r="J1869" i="1"/>
  <c r="J1870" i="1"/>
  <c r="J1871" i="1"/>
  <c r="J1872" i="1"/>
  <c r="J1873" i="1"/>
  <c r="J1874" i="1"/>
  <c r="J1875" i="1"/>
  <c r="J1876" i="1"/>
  <c r="J1877" i="1"/>
  <c r="J1878" i="1"/>
  <c r="J1879" i="1"/>
  <c r="J1880" i="1"/>
  <c r="J1881" i="1"/>
  <c r="J1882" i="1"/>
  <c r="J1883" i="1"/>
  <c r="J1884" i="1"/>
  <c r="J1885" i="1"/>
  <c r="J1886" i="1"/>
  <c r="J1887" i="1"/>
  <c r="J1888" i="1"/>
  <c r="J1889" i="1"/>
  <c r="J1890" i="1"/>
  <c r="J1891" i="1"/>
  <c r="J1892" i="1"/>
  <c r="J1893" i="1"/>
  <c r="J1894" i="1"/>
  <c r="J1895" i="1"/>
  <c r="J1896" i="1"/>
  <c r="J1897" i="1"/>
  <c r="J1898" i="1"/>
  <c r="J1899" i="1"/>
  <c r="J1900" i="1"/>
  <c r="J1901" i="1"/>
  <c r="J1902" i="1"/>
  <c r="J1903" i="1"/>
  <c r="J1904" i="1"/>
  <c r="J1905" i="1"/>
  <c r="J1906" i="1"/>
  <c r="J1907" i="1"/>
  <c r="J1908" i="1"/>
  <c r="J1909" i="1"/>
  <c r="J1910" i="1"/>
  <c r="J1911" i="1"/>
  <c r="Q1815" i="1"/>
  <c r="P1815" i="1" s="1"/>
  <c r="Q1816" i="1"/>
  <c r="P1816" i="1" s="1"/>
  <c r="Q1817" i="1"/>
  <c r="P1817" i="1" s="1"/>
  <c r="Q1818" i="1"/>
  <c r="P1818" i="1" s="1"/>
  <c r="Q1819" i="1"/>
  <c r="P1819" i="1" s="1"/>
  <c r="Q1820" i="1"/>
  <c r="P1820" i="1" s="1"/>
  <c r="Q1821" i="1"/>
  <c r="P1821" i="1" s="1"/>
  <c r="Q1822" i="1"/>
  <c r="P1822" i="1" s="1"/>
  <c r="Q1823" i="1"/>
  <c r="P1823" i="1" s="1"/>
  <c r="Q1824" i="1"/>
  <c r="P1824" i="1" s="1"/>
  <c r="Q1825" i="1"/>
  <c r="P1825" i="1" s="1"/>
  <c r="Q1826" i="1"/>
  <c r="P1826" i="1" s="1"/>
  <c r="Q1827" i="1"/>
  <c r="P1827" i="1" s="1"/>
  <c r="Q1828" i="1"/>
  <c r="P1828" i="1" s="1"/>
  <c r="Q1829" i="1"/>
  <c r="P1829" i="1" s="1"/>
  <c r="Q1830" i="1"/>
  <c r="P1830" i="1" s="1"/>
  <c r="Q1831" i="1"/>
  <c r="P1831" i="1" s="1"/>
  <c r="Q1832" i="1"/>
  <c r="P1832" i="1" s="1"/>
  <c r="Q1833" i="1"/>
  <c r="P1833" i="1" s="1"/>
  <c r="Q1834" i="1"/>
  <c r="P1834" i="1" s="1"/>
  <c r="Q1835" i="1"/>
  <c r="P1835" i="1" s="1"/>
  <c r="Q1836" i="1"/>
  <c r="P1836" i="1" s="1"/>
  <c r="Q1837" i="1"/>
  <c r="P1837" i="1" s="1"/>
  <c r="Q1838" i="1"/>
  <c r="P1838" i="1" s="1"/>
  <c r="Q1839" i="1"/>
  <c r="P1839" i="1" s="1"/>
  <c r="Q1840" i="1"/>
  <c r="P1840" i="1" s="1"/>
  <c r="Q1841" i="1"/>
  <c r="P1841" i="1" s="1"/>
  <c r="Q1842" i="1"/>
  <c r="P1842" i="1" s="1"/>
  <c r="Q1843" i="1"/>
  <c r="P1843" i="1" s="1"/>
  <c r="Q1844" i="1"/>
  <c r="P1844" i="1" s="1"/>
  <c r="Q1845" i="1"/>
  <c r="P1845" i="1" s="1"/>
  <c r="Q1846" i="1"/>
  <c r="P1846" i="1" s="1"/>
  <c r="Q1847" i="1"/>
  <c r="P1847" i="1" s="1"/>
  <c r="Q1848" i="1"/>
  <c r="P1848" i="1" s="1"/>
  <c r="Q1849" i="1"/>
  <c r="P1849" i="1" s="1"/>
  <c r="Q1850" i="1"/>
  <c r="P1850" i="1" s="1"/>
  <c r="Q1851" i="1"/>
  <c r="P1851" i="1" s="1"/>
  <c r="Q1852" i="1"/>
  <c r="P1852" i="1" s="1"/>
  <c r="Q1853" i="1"/>
  <c r="P1853" i="1" s="1"/>
  <c r="Q1854" i="1"/>
  <c r="P1854" i="1" s="1"/>
  <c r="Q1855" i="1"/>
  <c r="P1855" i="1" s="1"/>
  <c r="Q1856" i="1"/>
  <c r="P1856" i="1" s="1"/>
  <c r="Q1857" i="1"/>
  <c r="P1857" i="1" s="1"/>
  <c r="Q1858" i="1"/>
  <c r="P1858" i="1" s="1"/>
  <c r="Q1859" i="1"/>
  <c r="P1859" i="1" s="1"/>
  <c r="Q1860" i="1"/>
  <c r="P1860" i="1" s="1"/>
  <c r="Q1861" i="1"/>
  <c r="P1861" i="1" s="1"/>
  <c r="Q1862" i="1"/>
  <c r="P1862" i="1" s="1"/>
  <c r="Q1863" i="1"/>
  <c r="P1863" i="1" s="1"/>
  <c r="Q1864" i="1"/>
  <c r="P1864" i="1" s="1"/>
  <c r="Q1865" i="1"/>
  <c r="P1865" i="1" s="1"/>
  <c r="Q1866" i="1"/>
  <c r="P1866" i="1" s="1"/>
  <c r="Q1867" i="1"/>
  <c r="P1867" i="1" s="1"/>
  <c r="Q1868" i="1"/>
  <c r="P1868" i="1" s="1"/>
  <c r="Q1869" i="1"/>
  <c r="P1869" i="1" s="1"/>
  <c r="Q1870" i="1"/>
  <c r="P1870" i="1" s="1"/>
  <c r="Q1871" i="1"/>
  <c r="P1871" i="1" s="1"/>
  <c r="Q1872" i="1"/>
  <c r="P1872" i="1" s="1"/>
  <c r="Q1873" i="1"/>
  <c r="P1873" i="1" s="1"/>
  <c r="Q1874" i="1"/>
  <c r="P1874" i="1" s="1"/>
  <c r="Q1875" i="1"/>
  <c r="P1875" i="1" s="1"/>
  <c r="Q1876" i="1"/>
  <c r="P1876" i="1" s="1"/>
  <c r="Q1877" i="1"/>
  <c r="P1877" i="1" s="1"/>
  <c r="Q1878" i="1"/>
  <c r="P1878" i="1" s="1"/>
  <c r="Q1879" i="1"/>
  <c r="P1879" i="1" s="1"/>
  <c r="Q1880" i="1"/>
  <c r="P1880" i="1" s="1"/>
  <c r="Q1881" i="1"/>
  <c r="P1881" i="1" s="1"/>
  <c r="Q1882" i="1"/>
  <c r="P1882" i="1" s="1"/>
  <c r="Q1883" i="1"/>
  <c r="P1883" i="1" s="1"/>
  <c r="Q1884" i="1"/>
  <c r="P1884" i="1" s="1"/>
  <c r="Q1885" i="1"/>
  <c r="P1885" i="1" s="1"/>
  <c r="Q1886" i="1"/>
  <c r="P1886" i="1" s="1"/>
  <c r="Q1887" i="1"/>
  <c r="P1887" i="1" s="1"/>
  <c r="Q1888" i="1"/>
  <c r="P1888" i="1" s="1"/>
  <c r="Q1889" i="1"/>
  <c r="P1889" i="1" s="1"/>
  <c r="Q1890" i="1"/>
  <c r="P1890" i="1" s="1"/>
  <c r="Q1891" i="1"/>
  <c r="P1891" i="1" s="1"/>
  <c r="Q1892" i="1"/>
  <c r="P1892" i="1" s="1"/>
  <c r="Q1893" i="1"/>
  <c r="P1893" i="1" s="1"/>
  <c r="Q1894" i="1"/>
  <c r="P1894" i="1" s="1"/>
  <c r="Q1895" i="1"/>
  <c r="P1895" i="1" s="1"/>
  <c r="Q1896" i="1"/>
  <c r="P1896" i="1" s="1"/>
  <c r="Q1897" i="1"/>
  <c r="P1897" i="1" s="1"/>
  <c r="Q1898" i="1"/>
  <c r="P1898" i="1" s="1"/>
  <c r="Q1899" i="1"/>
  <c r="P1899" i="1" s="1"/>
  <c r="Q1900" i="1"/>
  <c r="P1900" i="1" s="1"/>
  <c r="Q1901" i="1"/>
  <c r="P1901" i="1" s="1"/>
  <c r="Q1902" i="1"/>
  <c r="P1902" i="1" s="1"/>
  <c r="Q1903" i="1"/>
  <c r="P1903" i="1" s="1"/>
  <c r="Q1904" i="1"/>
  <c r="P1904" i="1" s="1"/>
  <c r="Q1905" i="1"/>
  <c r="P1905" i="1" s="1"/>
  <c r="Q1906" i="1"/>
  <c r="P1906" i="1" s="1"/>
  <c r="Q1907" i="1"/>
  <c r="P1907" i="1" s="1"/>
  <c r="Q1908" i="1"/>
  <c r="P1908" i="1" s="1"/>
  <c r="Q1909" i="1"/>
  <c r="P1909" i="1" s="1"/>
  <c r="Q1910" i="1"/>
  <c r="P1910" i="1" s="1"/>
  <c r="Q1911" i="1"/>
  <c r="P1911" i="1" s="1"/>
  <c r="H1814" i="1"/>
  <c r="J1814" i="1"/>
  <c r="Q1814" i="1"/>
  <c r="P1814" i="1" s="1"/>
  <c r="H1813" i="1"/>
  <c r="J1813" i="1"/>
  <c r="Q1813" i="1"/>
  <c r="P1813" i="1" s="1"/>
  <c r="H1808" i="1"/>
  <c r="H1809" i="1"/>
  <c r="H1810" i="1"/>
  <c r="H1811" i="1"/>
  <c r="H1812" i="1"/>
  <c r="J1808" i="1"/>
  <c r="J1809" i="1"/>
  <c r="J1810" i="1"/>
  <c r="J1811" i="1"/>
  <c r="J1812" i="1"/>
  <c r="Q1808" i="1"/>
  <c r="P1808" i="1" s="1"/>
  <c r="Q1809" i="1"/>
  <c r="P1809" i="1" s="1"/>
  <c r="Q1810" i="1"/>
  <c r="P1810" i="1" s="1"/>
  <c r="Q1811" i="1"/>
  <c r="P1811" i="1" s="1"/>
  <c r="Q1812" i="1"/>
  <c r="P1812" i="1" s="1"/>
  <c r="H1807" i="1"/>
  <c r="J1807" i="1"/>
  <c r="Q1807" i="1"/>
  <c r="P1807" i="1" s="1"/>
  <c r="H1806" i="1"/>
  <c r="J1806" i="1"/>
  <c r="Q1806" i="1"/>
  <c r="P1806" i="1" s="1"/>
  <c r="H1805" i="1"/>
  <c r="J1805" i="1"/>
  <c r="Q1805" i="1"/>
  <c r="P1805" i="1" s="1"/>
  <c r="H1804" i="1"/>
  <c r="J1804" i="1"/>
  <c r="Q1804" i="1"/>
  <c r="P1804" i="1" s="1"/>
  <c r="H1800" i="1"/>
  <c r="H1801" i="1"/>
  <c r="H1802" i="1"/>
  <c r="H1803" i="1"/>
  <c r="J1800" i="1"/>
  <c r="J1801" i="1"/>
  <c r="J1802" i="1"/>
  <c r="J1803" i="1"/>
  <c r="Q1800" i="1"/>
  <c r="P1800" i="1" s="1"/>
  <c r="Q1801" i="1"/>
  <c r="P1801" i="1" s="1"/>
  <c r="Q1802" i="1"/>
  <c r="P1802" i="1" s="1"/>
  <c r="Q1803" i="1"/>
  <c r="P1803" i="1" s="1"/>
  <c r="H1799" i="1"/>
  <c r="J1799" i="1"/>
  <c r="Q1799" i="1"/>
  <c r="P1799" i="1" s="1"/>
  <c r="H1794" i="1"/>
  <c r="H1795" i="1"/>
  <c r="H1796" i="1"/>
  <c r="H1797" i="1"/>
  <c r="H1798" i="1"/>
  <c r="J1794" i="1"/>
  <c r="J1795" i="1"/>
  <c r="J1796" i="1"/>
  <c r="J1797" i="1"/>
  <c r="J1798" i="1"/>
  <c r="Q1794" i="1"/>
  <c r="P1794" i="1" s="1"/>
  <c r="Q1795" i="1"/>
  <c r="P1795" i="1" s="1"/>
  <c r="Q1796" i="1"/>
  <c r="P1796" i="1" s="1"/>
  <c r="Q1797" i="1"/>
  <c r="P1797" i="1" s="1"/>
  <c r="Q1798" i="1"/>
  <c r="P1798" i="1" s="1"/>
  <c r="H1793" i="1"/>
  <c r="J1793" i="1"/>
  <c r="Q1793" i="1"/>
  <c r="P1793" i="1" s="1"/>
  <c r="H1790" i="1"/>
  <c r="H1791" i="1"/>
  <c r="H1792" i="1"/>
  <c r="J1790" i="1"/>
  <c r="J1791" i="1"/>
  <c r="J1792" i="1"/>
  <c r="Q1790" i="1"/>
  <c r="P1790" i="1" s="1"/>
  <c r="Q1791" i="1"/>
  <c r="P1791" i="1" s="1"/>
  <c r="Q1792" i="1"/>
  <c r="P1792" i="1" s="1"/>
  <c r="H1777" i="1"/>
  <c r="H1778" i="1"/>
  <c r="H1779" i="1"/>
  <c r="H1780" i="1"/>
  <c r="H1781" i="1"/>
  <c r="H1782" i="1"/>
  <c r="H1783" i="1"/>
  <c r="H1784" i="1"/>
  <c r="H1785" i="1"/>
  <c r="H1786" i="1"/>
  <c r="H1787" i="1"/>
  <c r="H1788" i="1"/>
  <c r="H1789" i="1"/>
  <c r="J1777" i="1"/>
  <c r="J1778" i="1"/>
  <c r="J1779" i="1"/>
  <c r="J1780" i="1"/>
  <c r="J1781" i="1"/>
  <c r="J1782" i="1"/>
  <c r="J1783" i="1"/>
  <c r="J1784" i="1"/>
  <c r="J1785" i="1"/>
  <c r="J1786" i="1"/>
  <c r="J1787" i="1"/>
  <c r="J1788" i="1"/>
  <c r="J1789" i="1"/>
  <c r="Q1777" i="1"/>
  <c r="P1777" i="1" s="1"/>
  <c r="Q1778" i="1"/>
  <c r="P1778" i="1" s="1"/>
  <c r="Q1779" i="1"/>
  <c r="P1779" i="1" s="1"/>
  <c r="Q1780" i="1"/>
  <c r="P1780" i="1" s="1"/>
  <c r="Q1781" i="1"/>
  <c r="P1781" i="1" s="1"/>
  <c r="Q1782" i="1"/>
  <c r="P1782" i="1" s="1"/>
  <c r="Q1783" i="1"/>
  <c r="P1783" i="1" s="1"/>
  <c r="Q1784" i="1"/>
  <c r="P1784" i="1" s="1"/>
  <c r="Q1785" i="1"/>
  <c r="P1785" i="1" s="1"/>
  <c r="Q1786" i="1"/>
  <c r="P1786" i="1" s="1"/>
  <c r="Q1787" i="1"/>
  <c r="P1787" i="1" s="1"/>
  <c r="Q1788" i="1"/>
  <c r="P1788" i="1" s="1"/>
  <c r="Q1789" i="1"/>
  <c r="P1789" i="1" s="1"/>
  <c r="H1776" i="1"/>
  <c r="J1776" i="1"/>
  <c r="Q1776" i="1"/>
  <c r="P1776" i="1" s="1"/>
  <c r="H1772" i="1"/>
  <c r="H1773" i="1"/>
  <c r="H1774" i="1"/>
  <c r="H1775" i="1"/>
  <c r="J1772" i="1"/>
  <c r="J1773" i="1"/>
  <c r="J1774" i="1"/>
  <c r="J1775" i="1"/>
  <c r="Q1772" i="1"/>
  <c r="P1772" i="1" s="1"/>
  <c r="Q1773" i="1"/>
  <c r="P1773" i="1" s="1"/>
  <c r="Q1774" i="1"/>
  <c r="P1774" i="1" s="1"/>
  <c r="Q1775" i="1"/>
  <c r="P1775" i="1" s="1"/>
  <c r="H1771" i="1"/>
  <c r="J1771" i="1"/>
  <c r="Q1771" i="1"/>
  <c r="P1771" i="1" s="1"/>
  <c r="H1764" i="1"/>
  <c r="H1765" i="1"/>
  <c r="H1766" i="1"/>
  <c r="H1767" i="1"/>
  <c r="H1768" i="1"/>
  <c r="H1769" i="1"/>
  <c r="H1770" i="1"/>
  <c r="J1764" i="1"/>
  <c r="J1765" i="1"/>
  <c r="J1766" i="1"/>
  <c r="J1767" i="1"/>
  <c r="J1768" i="1"/>
  <c r="J1769" i="1"/>
  <c r="J1770" i="1"/>
  <c r="Q1764" i="1"/>
  <c r="P1764" i="1" s="1"/>
  <c r="Q1765" i="1"/>
  <c r="P1765" i="1" s="1"/>
  <c r="Q1766" i="1"/>
  <c r="P1766" i="1" s="1"/>
  <c r="Q1767" i="1"/>
  <c r="P1767" i="1" s="1"/>
  <c r="Q1768" i="1"/>
  <c r="P1768" i="1" s="1"/>
  <c r="Q1769" i="1"/>
  <c r="P1769" i="1" s="1"/>
  <c r="Q1770" i="1"/>
  <c r="P1770" i="1" s="1"/>
  <c r="H1763" i="1"/>
  <c r="J1763" i="1"/>
  <c r="Q1763" i="1"/>
  <c r="P1763" i="1" s="1"/>
  <c r="H1673" i="1"/>
  <c r="H1757" i="1"/>
  <c r="H1758" i="1"/>
  <c r="H1759" i="1"/>
  <c r="H1760" i="1"/>
  <c r="H1761" i="1"/>
  <c r="H1762" i="1"/>
  <c r="J1757" i="1"/>
  <c r="J1758" i="1"/>
  <c r="J1759" i="1"/>
  <c r="J1760" i="1"/>
  <c r="J1761" i="1"/>
  <c r="J1762" i="1"/>
  <c r="Q1757" i="1"/>
  <c r="P1757" i="1" s="1"/>
  <c r="Q1758" i="1"/>
  <c r="P1758" i="1" s="1"/>
  <c r="Q1759" i="1"/>
  <c r="P1759" i="1" s="1"/>
  <c r="Q1760" i="1"/>
  <c r="P1760" i="1" s="1"/>
  <c r="Q1761" i="1"/>
  <c r="P1761" i="1" s="1"/>
  <c r="Q1762" i="1"/>
  <c r="P1762" i="1" s="1"/>
  <c r="H1756" i="1"/>
  <c r="J1756" i="1"/>
  <c r="Q1756" i="1"/>
  <c r="P1756" i="1" s="1"/>
  <c r="Q1755" i="1"/>
  <c r="P1755" i="1" s="1"/>
  <c r="Q1754" i="1"/>
  <c r="P1754" i="1" s="1"/>
  <c r="Q1753" i="1"/>
  <c r="P1753" i="1" s="1"/>
  <c r="Q1752" i="1"/>
  <c r="P1752" i="1" s="1"/>
  <c r="Q1751" i="1"/>
  <c r="P1751" i="1" s="1"/>
  <c r="Q1750" i="1"/>
  <c r="P1750" i="1" s="1"/>
  <c r="Q1749" i="1"/>
  <c r="P1749" i="1" s="1"/>
  <c r="Q1748" i="1"/>
  <c r="P1748" i="1" s="1"/>
  <c r="Q1747" i="1"/>
  <c r="P1747" i="1" s="1"/>
  <c r="Q1746" i="1"/>
  <c r="P1746" i="1" s="1"/>
  <c r="Q1745" i="1"/>
  <c r="P1745" i="1" s="1"/>
  <c r="Q1744" i="1"/>
  <c r="P1744" i="1" s="1"/>
  <c r="Q1743" i="1"/>
  <c r="P1743" i="1" s="1"/>
  <c r="Q1742" i="1"/>
  <c r="P1742" i="1" s="1"/>
  <c r="Q1741" i="1"/>
  <c r="P1741" i="1" s="1"/>
  <c r="Q1740" i="1"/>
  <c r="P1740" i="1" s="1"/>
  <c r="Q1739" i="1"/>
  <c r="P1739" i="1" s="1"/>
  <c r="Q1738" i="1"/>
  <c r="P1738" i="1" s="1"/>
  <c r="Q1737" i="1"/>
  <c r="P1737" i="1" s="1"/>
  <c r="Q1736" i="1"/>
  <c r="P1736" i="1" s="1"/>
  <c r="Q1735" i="1"/>
  <c r="P1735" i="1" s="1"/>
  <c r="Q1734" i="1"/>
  <c r="P1734" i="1" s="1"/>
  <c r="Q1733" i="1"/>
  <c r="P1733" i="1" s="1"/>
  <c r="Q1732" i="1"/>
  <c r="P1732" i="1" s="1"/>
  <c r="Q1731" i="1"/>
  <c r="P1731" i="1" s="1"/>
  <c r="Q1730" i="1"/>
  <c r="P1730" i="1" s="1"/>
  <c r="Q1729" i="1"/>
  <c r="P1729" i="1" s="1"/>
  <c r="Q1728" i="1"/>
  <c r="P1728" i="1" s="1"/>
  <c r="Q1727" i="1"/>
  <c r="P1727" i="1" s="1"/>
  <c r="Q1726" i="1"/>
  <c r="P1726" i="1" s="1"/>
  <c r="Q1725" i="1"/>
  <c r="P1725" i="1" s="1"/>
  <c r="Q1724" i="1"/>
  <c r="P1724" i="1" s="1"/>
  <c r="Q1723" i="1"/>
  <c r="P1723" i="1" s="1"/>
  <c r="Q1722" i="1"/>
  <c r="P1722" i="1" s="1"/>
  <c r="Q1721" i="1"/>
  <c r="P1721" i="1" s="1"/>
  <c r="Q1720" i="1"/>
  <c r="P1720" i="1" s="1"/>
  <c r="Q1719" i="1"/>
  <c r="P1719" i="1" s="1"/>
  <c r="Q1718" i="1"/>
  <c r="P1718" i="1" s="1"/>
  <c r="Q1717" i="1"/>
  <c r="P1717" i="1" s="1"/>
  <c r="Q1716" i="1"/>
  <c r="P1716" i="1" s="1"/>
  <c r="Q1715" i="1"/>
  <c r="P1715" i="1" s="1"/>
  <c r="Q1714" i="1"/>
  <c r="P1714" i="1" s="1"/>
  <c r="Q1713" i="1"/>
  <c r="P1713" i="1" s="1"/>
  <c r="Q1712" i="1"/>
  <c r="P1712" i="1" s="1"/>
  <c r="Q1711" i="1"/>
  <c r="P1711" i="1" s="1"/>
  <c r="Q1710" i="1"/>
  <c r="P1710" i="1" s="1"/>
  <c r="Q1709" i="1"/>
  <c r="P1709" i="1" s="1"/>
  <c r="Q1708" i="1"/>
  <c r="P1708" i="1" s="1"/>
  <c r="Q1707" i="1"/>
  <c r="P1707" i="1" s="1"/>
  <c r="Q1706" i="1"/>
  <c r="P1706" i="1" s="1"/>
  <c r="Q1705" i="1"/>
  <c r="P1705" i="1" s="1"/>
  <c r="Q1704" i="1"/>
  <c r="P1704" i="1" s="1"/>
  <c r="Q1703" i="1"/>
  <c r="P1703" i="1" s="1"/>
  <c r="Q1702" i="1"/>
  <c r="P1702" i="1" s="1"/>
  <c r="Q1701" i="1"/>
  <c r="P1701" i="1" s="1"/>
  <c r="Q1700" i="1"/>
  <c r="P1700" i="1" s="1"/>
  <c r="Q1699" i="1"/>
  <c r="P1699" i="1" s="1"/>
  <c r="Q1698" i="1"/>
  <c r="P1698" i="1" s="1"/>
  <c r="Q1697" i="1"/>
  <c r="P1697" i="1" s="1"/>
  <c r="Q1696" i="1"/>
  <c r="P1696" i="1" s="1"/>
  <c r="Q1695" i="1"/>
  <c r="P1695" i="1" s="1"/>
  <c r="Q1694" i="1"/>
  <c r="P1694" i="1" s="1"/>
  <c r="Q1693" i="1"/>
  <c r="P1693" i="1" s="1"/>
  <c r="Q1692" i="1"/>
  <c r="P1692" i="1" s="1"/>
  <c r="Q1691" i="1"/>
  <c r="P1691" i="1" s="1"/>
  <c r="Q1690" i="1"/>
  <c r="P1690" i="1" s="1"/>
  <c r="Q1689" i="1"/>
  <c r="P1689" i="1" s="1"/>
  <c r="Q1688" i="1"/>
  <c r="P1688" i="1" s="1"/>
  <c r="Q1687" i="1"/>
  <c r="P1687" i="1" s="1"/>
  <c r="Q1686" i="1"/>
  <c r="P1686" i="1" s="1"/>
  <c r="Q1685" i="1"/>
  <c r="P1685" i="1" s="1"/>
  <c r="Q1684" i="1"/>
  <c r="P1684" i="1" s="1"/>
  <c r="Q1683" i="1"/>
  <c r="P1683" i="1" s="1"/>
  <c r="Q1682" i="1"/>
  <c r="P1682" i="1" s="1"/>
  <c r="Q1681" i="1"/>
  <c r="P1681" i="1" s="1"/>
  <c r="Q1680" i="1"/>
  <c r="P1680" i="1" s="1"/>
  <c r="Q1679" i="1"/>
  <c r="P1679" i="1" s="1"/>
  <c r="Q1678" i="1"/>
  <c r="P1678" i="1" s="1"/>
  <c r="Q1677" i="1"/>
  <c r="P1677" i="1" s="1"/>
  <c r="Q1676" i="1"/>
  <c r="P1676" i="1" s="1"/>
  <c r="Q1675" i="1"/>
  <c r="P1675" i="1" s="1"/>
  <c r="Q1674" i="1"/>
  <c r="P1674" i="1" s="1"/>
  <c r="Q1673" i="1"/>
  <c r="P1673" i="1" s="1"/>
  <c r="Q1672" i="1"/>
  <c r="P1672" i="1" s="1"/>
  <c r="Q1671" i="1"/>
  <c r="P1671" i="1" s="1"/>
  <c r="Q1670" i="1"/>
  <c r="P1670" i="1" s="1"/>
  <c r="Q1669" i="1"/>
  <c r="P1669" i="1" s="1"/>
  <c r="Q1668" i="1"/>
  <c r="P1668" i="1" s="1"/>
  <c r="Q1667" i="1"/>
  <c r="P1667" i="1" s="1"/>
  <c r="Q1666" i="1"/>
  <c r="P1666" i="1" s="1"/>
  <c r="Q1665" i="1"/>
  <c r="P1665" i="1" s="1"/>
  <c r="Q1664" i="1"/>
  <c r="P1664" i="1" s="1"/>
  <c r="Q1663" i="1"/>
  <c r="P1663" i="1" s="1"/>
  <c r="Q1662" i="1"/>
  <c r="P1662" i="1" s="1"/>
  <c r="Q1661" i="1"/>
  <c r="P1661" i="1" s="1"/>
  <c r="Q1660" i="1"/>
  <c r="P1660" i="1" s="1"/>
  <c r="Q1659" i="1"/>
  <c r="P1659" i="1" s="1"/>
  <c r="Q1658" i="1"/>
  <c r="P1658" i="1" s="1"/>
  <c r="Q1657" i="1"/>
  <c r="P1657" i="1" s="1"/>
  <c r="Q1656" i="1"/>
  <c r="P1656" i="1" s="1"/>
  <c r="Q1655" i="1"/>
  <c r="P1655" i="1" s="1"/>
  <c r="Q1654" i="1"/>
  <c r="P1654" i="1" s="1"/>
  <c r="Q1653" i="1"/>
  <c r="P1653" i="1" s="1"/>
  <c r="Q1652" i="1"/>
  <c r="P1652" i="1" s="1"/>
  <c r="Q1651" i="1"/>
  <c r="P1651" i="1" s="1"/>
  <c r="Q1650" i="1"/>
  <c r="P1650" i="1" s="1"/>
  <c r="Q1649" i="1"/>
  <c r="P1649" i="1" s="1"/>
  <c r="Q1648" i="1"/>
  <c r="P1648" i="1" s="1"/>
  <c r="Q1647" i="1"/>
  <c r="P1647" i="1" s="1"/>
  <c r="Q1646" i="1"/>
  <c r="P1646" i="1" s="1"/>
  <c r="Q1645" i="1"/>
  <c r="P1645" i="1" s="1"/>
  <c r="H1645" i="1"/>
  <c r="H1646" i="1"/>
  <c r="H1647" i="1"/>
  <c r="H1648" i="1"/>
  <c r="H1649" i="1"/>
  <c r="H1650" i="1"/>
  <c r="H1651" i="1"/>
  <c r="H1652" i="1"/>
  <c r="H1653" i="1"/>
  <c r="H1654" i="1"/>
  <c r="H1655" i="1"/>
  <c r="H1656" i="1"/>
  <c r="H1657" i="1"/>
  <c r="H1658" i="1"/>
  <c r="H1659" i="1"/>
  <c r="H1660" i="1"/>
  <c r="H1661" i="1"/>
  <c r="H1662" i="1"/>
  <c r="H1663" i="1"/>
  <c r="H1664" i="1"/>
  <c r="H1665" i="1"/>
  <c r="H1666" i="1"/>
  <c r="H1667" i="1"/>
  <c r="H1668" i="1"/>
  <c r="H1669" i="1"/>
  <c r="H1670" i="1"/>
  <c r="H1671" i="1"/>
  <c r="H1672" i="1"/>
  <c r="H1674" i="1"/>
  <c r="H1675" i="1"/>
  <c r="H1676" i="1"/>
  <c r="H1677" i="1"/>
  <c r="H1678" i="1"/>
  <c r="H1679" i="1"/>
  <c r="H1680" i="1"/>
  <c r="H1681" i="1"/>
  <c r="H1682" i="1"/>
  <c r="H1683" i="1"/>
  <c r="H1684" i="1"/>
  <c r="H1685" i="1"/>
  <c r="H1686" i="1"/>
  <c r="H1687" i="1"/>
  <c r="H1688" i="1"/>
  <c r="H1689" i="1"/>
  <c r="H1690" i="1"/>
  <c r="H1691" i="1"/>
  <c r="H1692" i="1"/>
  <c r="H1693" i="1"/>
  <c r="H1694" i="1"/>
  <c r="H1695" i="1"/>
  <c r="H1696" i="1"/>
  <c r="H1697" i="1"/>
  <c r="H1698" i="1"/>
  <c r="H1699" i="1"/>
  <c r="H1700" i="1"/>
  <c r="H1701" i="1"/>
  <c r="H1702" i="1"/>
  <c r="H1703" i="1"/>
  <c r="H1704" i="1"/>
  <c r="H1705" i="1"/>
  <c r="H1706" i="1"/>
  <c r="H1707" i="1"/>
  <c r="H1708" i="1"/>
  <c r="H1709" i="1"/>
  <c r="H1710" i="1"/>
  <c r="H1711" i="1"/>
  <c r="H1712" i="1"/>
  <c r="H1713" i="1"/>
  <c r="H1714" i="1"/>
  <c r="H1715" i="1"/>
  <c r="H1716" i="1"/>
  <c r="H1717" i="1"/>
  <c r="H1718" i="1"/>
  <c r="H1719" i="1"/>
  <c r="H1720" i="1"/>
  <c r="H1721" i="1"/>
  <c r="H1722" i="1"/>
  <c r="H1723" i="1"/>
  <c r="H1724" i="1"/>
  <c r="H1725" i="1"/>
  <c r="H1726" i="1"/>
  <c r="H1727" i="1"/>
  <c r="H1728" i="1"/>
  <c r="H1729" i="1"/>
  <c r="H1730" i="1"/>
  <c r="H1731" i="1"/>
  <c r="H1732" i="1"/>
  <c r="H1733" i="1"/>
  <c r="H1734" i="1"/>
  <c r="H1735" i="1"/>
  <c r="H1736" i="1"/>
  <c r="H1737" i="1"/>
  <c r="H1738" i="1"/>
  <c r="H1739" i="1"/>
  <c r="H1740" i="1"/>
  <c r="H1741" i="1"/>
  <c r="H1742" i="1"/>
  <c r="H1743" i="1"/>
  <c r="H1744" i="1"/>
  <c r="H1745" i="1"/>
  <c r="H1746" i="1"/>
  <c r="H1747" i="1"/>
  <c r="H1748" i="1"/>
  <c r="H1749" i="1"/>
  <c r="H1750" i="1"/>
  <c r="H1751" i="1"/>
  <c r="H1752" i="1"/>
  <c r="H1753" i="1"/>
  <c r="H1754" i="1"/>
  <c r="H1755" i="1"/>
  <c r="J1645" i="1"/>
  <c r="J1646" i="1"/>
  <c r="J1647" i="1"/>
  <c r="J1648" i="1"/>
  <c r="J1649" i="1"/>
  <c r="J1650" i="1"/>
  <c r="J1651" i="1"/>
  <c r="J1652" i="1"/>
  <c r="J1653" i="1"/>
  <c r="J1654" i="1"/>
  <c r="J1655" i="1"/>
  <c r="J1656" i="1"/>
  <c r="J1657" i="1"/>
  <c r="J1658" i="1"/>
  <c r="J1659" i="1"/>
  <c r="J1660" i="1"/>
  <c r="J1661" i="1"/>
  <c r="J1662" i="1"/>
  <c r="J1663" i="1"/>
  <c r="J1664" i="1"/>
  <c r="J1665" i="1"/>
  <c r="J1666" i="1"/>
  <c r="J1667" i="1"/>
  <c r="J1668" i="1"/>
  <c r="J1669" i="1"/>
  <c r="J1670" i="1"/>
  <c r="J1671" i="1"/>
  <c r="J1672" i="1"/>
  <c r="J1673" i="1"/>
  <c r="J1674" i="1"/>
  <c r="J1675" i="1"/>
  <c r="J1676" i="1"/>
  <c r="J1677" i="1"/>
  <c r="J1678" i="1"/>
  <c r="J1679" i="1"/>
  <c r="J1680" i="1"/>
  <c r="J1681" i="1"/>
  <c r="J1682" i="1"/>
  <c r="J1683" i="1"/>
  <c r="J1684" i="1"/>
  <c r="J1685" i="1"/>
  <c r="J1686" i="1"/>
  <c r="J1687" i="1"/>
  <c r="J1688" i="1"/>
  <c r="J1689" i="1"/>
  <c r="J1690" i="1"/>
  <c r="J1691" i="1"/>
  <c r="J1692" i="1"/>
  <c r="J1693" i="1"/>
  <c r="J1694" i="1"/>
  <c r="J1695" i="1"/>
  <c r="J1696" i="1"/>
  <c r="J1697" i="1"/>
  <c r="J1698" i="1"/>
  <c r="J1699" i="1"/>
  <c r="J1700" i="1"/>
  <c r="J1701" i="1"/>
  <c r="J1702" i="1"/>
  <c r="J1703" i="1"/>
  <c r="J1704" i="1"/>
  <c r="J1705" i="1"/>
  <c r="J1706" i="1"/>
  <c r="J1707" i="1"/>
  <c r="J1708" i="1"/>
  <c r="J1709" i="1"/>
  <c r="J1710" i="1"/>
  <c r="J1711" i="1"/>
  <c r="J1712" i="1"/>
  <c r="J1713" i="1"/>
  <c r="J1714" i="1"/>
  <c r="J1715" i="1"/>
  <c r="J1716" i="1"/>
  <c r="J1717" i="1"/>
  <c r="J1718" i="1"/>
  <c r="J1719" i="1"/>
  <c r="J1720" i="1"/>
  <c r="J1721" i="1"/>
  <c r="J1722" i="1"/>
  <c r="J1723" i="1"/>
  <c r="J1724" i="1"/>
  <c r="J1725" i="1"/>
  <c r="J1726" i="1"/>
  <c r="J1727" i="1"/>
  <c r="J1728" i="1"/>
  <c r="J1729" i="1"/>
  <c r="J1730" i="1"/>
  <c r="J1731" i="1"/>
  <c r="J1732" i="1"/>
  <c r="J1733" i="1"/>
  <c r="J1734" i="1"/>
  <c r="J1735" i="1"/>
  <c r="J1736" i="1"/>
  <c r="J1737" i="1"/>
  <c r="J1738" i="1"/>
  <c r="J1739" i="1"/>
  <c r="J1740" i="1"/>
  <c r="J1741" i="1"/>
  <c r="J1742" i="1"/>
  <c r="J1743" i="1"/>
  <c r="J1744" i="1"/>
  <c r="J1745" i="1"/>
  <c r="J1746" i="1"/>
  <c r="J1747" i="1"/>
  <c r="J1748" i="1"/>
  <c r="J1749" i="1"/>
  <c r="J1750" i="1"/>
  <c r="J1751" i="1"/>
  <c r="J1752" i="1"/>
  <c r="J1753" i="1"/>
  <c r="J1754" i="1"/>
  <c r="J1755" i="1"/>
  <c r="H1644" i="1"/>
  <c r="J1644" i="1"/>
  <c r="Q1644" i="1"/>
  <c r="P1644" i="1" s="1"/>
  <c r="H1643" i="1"/>
  <c r="J1643" i="1"/>
  <c r="Q1643" i="1"/>
  <c r="P1643" i="1" s="1"/>
  <c r="Q1642" i="1"/>
  <c r="P1642" i="1" s="1"/>
  <c r="Q1641" i="1"/>
  <c r="P1641" i="1" s="1"/>
  <c r="Q1640" i="1"/>
  <c r="P1640" i="1" s="1"/>
  <c r="Q1639" i="1"/>
  <c r="P1639" i="1" s="1"/>
  <c r="Q1638" i="1"/>
  <c r="P1638" i="1" s="1"/>
  <c r="Q1637" i="1"/>
  <c r="P1637" i="1" s="1"/>
  <c r="Q1636" i="1"/>
  <c r="P1636" i="1" s="1"/>
  <c r="Q1635" i="1"/>
  <c r="P1635" i="1" s="1"/>
  <c r="Q1634" i="1"/>
  <c r="P1634" i="1" s="1"/>
  <c r="Q1633" i="1"/>
  <c r="P1633" i="1" s="1"/>
  <c r="Q1632" i="1"/>
  <c r="P1632" i="1" s="1"/>
  <c r="Q1631" i="1"/>
  <c r="P1631" i="1" s="1"/>
  <c r="Q1630" i="1"/>
  <c r="P1630" i="1" s="1"/>
  <c r="Q1629" i="1"/>
  <c r="P1629" i="1" s="1"/>
  <c r="Q1628" i="1"/>
  <c r="P1628" i="1" s="1"/>
  <c r="Q1627" i="1"/>
  <c r="P1627" i="1" s="1"/>
  <c r="Q1626" i="1"/>
  <c r="P1626" i="1" s="1"/>
  <c r="Q1625" i="1"/>
  <c r="P1625" i="1" s="1"/>
  <c r="Q1624" i="1"/>
  <c r="P1624" i="1" s="1"/>
  <c r="Q1623" i="1"/>
  <c r="P1623" i="1" s="1"/>
  <c r="Q1622" i="1"/>
  <c r="P1622" i="1" s="1"/>
  <c r="Q1621" i="1"/>
  <c r="P1621" i="1" s="1"/>
  <c r="Q1620" i="1"/>
  <c r="P1620" i="1" s="1"/>
  <c r="Q1619" i="1"/>
  <c r="P1619" i="1" s="1"/>
  <c r="Q1618" i="1"/>
  <c r="P1618" i="1" s="1"/>
  <c r="Q1617" i="1"/>
  <c r="P1617" i="1" s="1"/>
  <c r="Q1616" i="1"/>
  <c r="P1616" i="1" s="1"/>
  <c r="Q1615" i="1"/>
  <c r="P1615" i="1" s="1"/>
  <c r="Q1614" i="1"/>
  <c r="P1614" i="1" s="1"/>
  <c r="Q1613" i="1"/>
  <c r="P1613" i="1" s="1"/>
  <c r="Q1612" i="1"/>
  <c r="P1612" i="1" s="1"/>
  <c r="Q1611" i="1"/>
  <c r="P1611" i="1" s="1"/>
  <c r="Q1610" i="1"/>
  <c r="P1610" i="1" s="1"/>
  <c r="Q1609" i="1"/>
  <c r="P1609" i="1" s="1"/>
  <c r="Q1608" i="1"/>
  <c r="P1608" i="1" s="1"/>
  <c r="Q1607" i="1"/>
  <c r="P1607" i="1" s="1"/>
  <c r="Q1606" i="1"/>
  <c r="P1606" i="1" s="1"/>
  <c r="Q1605" i="1"/>
  <c r="P1605" i="1" s="1"/>
  <c r="Q1604" i="1"/>
  <c r="P1604" i="1" s="1"/>
  <c r="Q1603" i="1"/>
  <c r="P1603" i="1" s="1"/>
  <c r="Q1602" i="1"/>
  <c r="P1602" i="1" s="1"/>
  <c r="Q1601" i="1"/>
  <c r="P1601" i="1" s="1"/>
  <c r="Q1600" i="1"/>
  <c r="P1600" i="1" s="1"/>
  <c r="Q1599" i="1"/>
  <c r="P1599" i="1" s="1"/>
  <c r="Q1598" i="1"/>
  <c r="P1598" i="1" s="1"/>
  <c r="Q1597" i="1"/>
  <c r="P1597" i="1" s="1"/>
  <c r="Q1596" i="1"/>
  <c r="P1596" i="1" s="1"/>
  <c r="Q1595" i="1"/>
  <c r="P1595" i="1" s="1"/>
  <c r="Q1594" i="1"/>
  <c r="P1594" i="1" s="1"/>
  <c r="Q1593" i="1"/>
  <c r="P1593" i="1" s="1"/>
  <c r="Q1592" i="1"/>
  <c r="P1592" i="1" s="1"/>
  <c r="Q1591" i="1"/>
  <c r="P1591" i="1" s="1"/>
  <c r="Q1590" i="1"/>
  <c r="P1590" i="1" s="1"/>
  <c r="Q1589" i="1"/>
  <c r="P1589" i="1" s="1"/>
  <c r="H1589" i="1"/>
  <c r="H1590" i="1"/>
  <c r="H1591" i="1"/>
  <c r="H1592" i="1"/>
  <c r="H1593" i="1"/>
  <c r="H1594" i="1"/>
  <c r="H1595" i="1"/>
  <c r="H1596" i="1"/>
  <c r="H1597" i="1"/>
  <c r="H1598" i="1"/>
  <c r="H1599" i="1"/>
  <c r="H1600" i="1"/>
  <c r="H1601" i="1"/>
  <c r="H1602" i="1"/>
  <c r="H1603" i="1"/>
  <c r="H1604" i="1"/>
  <c r="H1605" i="1"/>
  <c r="H1606" i="1"/>
  <c r="H1607" i="1"/>
  <c r="H1608" i="1"/>
  <c r="H1609" i="1"/>
  <c r="H1610" i="1"/>
  <c r="H1611" i="1"/>
  <c r="H1612" i="1"/>
  <c r="H1613" i="1"/>
  <c r="H1614" i="1"/>
  <c r="H1615" i="1"/>
  <c r="H1616" i="1"/>
  <c r="H1617" i="1"/>
  <c r="H1618" i="1"/>
  <c r="H1619" i="1"/>
  <c r="H1620" i="1"/>
  <c r="H1621" i="1"/>
  <c r="H1622" i="1"/>
  <c r="H1623" i="1"/>
  <c r="H1624" i="1"/>
  <c r="H1625" i="1"/>
  <c r="H1626" i="1"/>
  <c r="H1627" i="1"/>
  <c r="H1628" i="1"/>
  <c r="H1629" i="1"/>
  <c r="H1630" i="1"/>
  <c r="H1631" i="1"/>
  <c r="H1632" i="1"/>
  <c r="H1633" i="1"/>
  <c r="H1634" i="1"/>
  <c r="H1635" i="1"/>
  <c r="H1636" i="1"/>
  <c r="H1637" i="1"/>
  <c r="H1638" i="1"/>
  <c r="H1639" i="1"/>
  <c r="H1640" i="1"/>
  <c r="H1641" i="1"/>
  <c r="H1642" i="1"/>
  <c r="J1589" i="1"/>
  <c r="J1590" i="1"/>
  <c r="J1591" i="1"/>
  <c r="J1592" i="1"/>
  <c r="J1593" i="1"/>
  <c r="J1594" i="1"/>
  <c r="J1595" i="1"/>
  <c r="J1596" i="1"/>
  <c r="J1597" i="1"/>
  <c r="J1598" i="1"/>
  <c r="J1599" i="1"/>
  <c r="J1600" i="1"/>
  <c r="J1601" i="1"/>
  <c r="J1602" i="1"/>
  <c r="J1603" i="1"/>
  <c r="J1604" i="1"/>
  <c r="J1605" i="1"/>
  <c r="J1606" i="1"/>
  <c r="J1607" i="1"/>
  <c r="J1608" i="1"/>
  <c r="J1609" i="1"/>
  <c r="J1610" i="1"/>
  <c r="J1611" i="1"/>
  <c r="J1612" i="1"/>
  <c r="J1613" i="1"/>
  <c r="J1614" i="1"/>
  <c r="J1615" i="1"/>
  <c r="J1616" i="1"/>
  <c r="J1617" i="1"/>
  <c r="J1618" i="1"/>
  <c r="J1619" i="1"/>
  <c r="J1620" i="1"/>
  <c r="J1621" i="1"/>
  <c r="J1622" i="1"/>
  <c r="J1623" i="1"/>
  <c r="J1624" i="1"/>
  <c r="J1625" i="1"/>
  <c r="J1626" i="1"/>
  <c r="J1627" i="1"/>
  <c r="J1628" i="1"/>
  <c r="J1629" i="1"/>
  <c r="J1630" i="1"/>
  <c r="J1631" i="1"/>
  <c r="J1632" i="1"/>
  <c r="J1633" i="1"/>
  <c r="J1634" i="1"/>
  <c r="J1635" i="1"/>
  <c r="J1636" i="1"/>
  <c r="J1637" i="1"/>
  <c r="J1638" i="1"/>
  <c r="J1639" i="1"/>
  <c r="J1640" i="1"/>
  <c r="J1641" i="1"/>
  <c r="J1642" i="1"/>
  <c r="H1588" i="1"/>
  <c r="J1588" i="1"/>
  <c r="Q1588" i="1"/>
  <c r="P1588" i="1" s="1"/>
  <c r="H1580" i="1"/>
  <c r="H1581" i="1"/>
  <c r="H1582" i="1"/>
  <c r="H1583" i="1"/>
  <c r="H1584" i="1"/>
  <c r="H1585" i="1"/>
  <c r="H1586" i="1"/>
  <c r="H1587" i="1"/>
  <c r="J1580" i="1"/>
  <c r="J1581" i="1"/>
  <c r="J1582" i="1"/>
  <c r="J1583" i="1"/>
  <c r="J1584" i="1"/>
  <c r="J1585" i="1"/>
  <c r="J1586" i="1"/>
  <c r="J1587" i="1"/>
  <c r="Q1580" i="1"/>
  <c r="P1580" i="1" s="1"/>
  <c r="Q1581" i="1"/>
  <c r="P1581" i="1" s="1"/>
  <c r="Q1582" i="1"/>
  <c r="P1582" i="1" s="1"/>
  <c r="Q1583" i="1"/>
  <c r="P1583" i="1" s="1"/>
  <c r="Q1584" i="1"/>
  <c r="P1584" i="1" s="1"/>
  <c r="Q1585" i="1"/>
  <c r="P1585" i="1" s="1"/>
  <c r="Q1586" i="1"/>
  <c r="P1586" i="1" s="1"/>
  <c r="Q1587" i="1"/>
  <c r="P1587" i="1" s="1"/>
  <c r="H1579" i="1"/>
  <c r="J1579" i="1"/>
  <c r="Q1579" i="1"/>
  <c r="P1579" i="1" s="1"/>
  <c r="H1577" i="1"/>
  <c r="H1578" i="1"/>
  <c r="J1577" i="1"/>
  <c r="J1578" i="1"/>
  <c r="Q1577" i="1"/>
  <c r="P1577" i="1" s="1"/>
  <c r="Q1578" i="1"/>
  <c r="P1578" i="1" s="1"/>
  <c r="H1576" i="1"/>
  <c r="J1576" i="1"/>
  <c r="Q1576" i="1"/>
  <c r="P1576" i="1" s="1"/>
  <c r="H1575" i="1"/>
  <c r="J1575" i="1"/>
  <c r="Q1575" i="1"/>
  <c r="P1575" i="1" s="1"/>
  <c r="H1574" i="1"/>
  <c r="J1574" i="1"/>
  <c r="Q1574" i="1"/>
  <c r="P1574" i="1" s="1"/>
  <c r="H1573" i="1"/>
  <c r="J1573" i="1"/>
  <c r="Q1573" i="1"/>
  <c r="P1573" i="1" s="1"/>
  <c r="H1569" i="1"/>
  <c r="H1570" i="1"/>
  <c r="H1571" i="1"/>
  <c r="H1572" i="1"/>
  <c r="J1569" i="1"/>
  <c r="J1570" i="1"/>
  <c r="J1571" i="1"/>
  <c r="J1572" i="1"/>
  <c r="Q1569" i="1"/>
  <c r="P1569" i="1" s="1"/>
  <c r="Q1570" i="1"/>
  <c r="P1570" i="1" s="1"/>
  <c r="Q1571" i="1"/>
  <c r="P1571" i="1" s="1"/>
  <c r="Q1572" i="1"/>
  <c r="P1572" i="1" s="1"/>
  <c r="H1568" i="1"/>
  <c r="J1568" i="1"/>
  <c r="Q1568" i="1"/>
  <c r="P1568" i="1" s="1"/>
  <c r="H1562" i="1"/>
  <c r="H1563" i="1"/>
  <c r="H1564" i="1"/>
  <c r="H1565" i="1"/>
  <c r="H1566" i="1"/>
  <c r="H1567" i="1"/>
  <c r="J1562" i="1"/>
  <c r="J1563" i="1"/>
  <c r="J1564" i="1"/>
  <c r="J1565" i="1"/>
  <c r="J1566" i="1"/>
  <c r="J1567" i="1"/>
  <c r="Q1562" i="1"/>
  <c r="P1562" i="1" s="1"/>
  <c r="Q1563" i="1"/>
  <c r="P1563" i="1" s="1"/>
  <c r="Q1564" i="1"/>
  <c r="P1564" i="1" s="1"/>
  <c r="Q1565" i="1"/>
  <c r="P1565" i="1" s="1"/>
  <c r="Q1566" i="1"/>
  <c r="P1566" i="1" s="1"/>
  <c r="Q1567" i="1"/>
  <c r="P1567" i="1" s="1"/>
  <c r="H1561" i="1"/>
  <c r="J1561" i="1"/>
  <c r="Q1561" i="1"/>
  <c r="P1561" i="1" s="1"/>
  <c r="H1560" i="1"/>
  <c r="J1560" i="1"/>
  <c r="Q1560" i="1"/>
  <c r="P1560" i="1" s="1"/>
  <c r="H1559" i="1"/>
  <c r="J1559" i="1"/>
  <c r="Q1559" i="1"/>
  <c r="P1559" i="1" s="1"/>
  <c r="H1550" i="1"/>
  <c r="H1551" i="1"/>
  <c r="H1552" i="1"/>
  <c r="H1553" i="1"/>
  <c r="H1554" i="1"/>
  <c r="H1555" i="1"/>
  <c r="H1556" i="1"/>
  <c r="H1557" i="1"/>
  <c r="H1558" i="1"/>
  <c r="J1550" i="1"/>
  <c r="J1551" i="1"/>
  <c r="J1552" i="1"/>
  <c r="J1553" i="1"/>
  <c r="J1554" i="1"/>
  <c r="J1555" i="1"/>
  <c r="J1556" i="1"/>
  <c r="J1557" i="1"/>
  <c r="J1558" i="1"/>
  <c r="Q1550" i="1"/>
  <c r="P1550" i="1" s="1"/>
  <c r="Q1551" i="1"/>
  <c r="P1551" i="1" s="1"/>
  <c r="Q1552" i="1"/>
  <c r="P1552" i="1" s="1"/>
  <c r="Q1553" i="1"/>
  <c r="P1553" i="1" s="1"/>
  <c r="Q1554" i="1"/>
  <c r="P1554" i="1" s="1"/>
  <c r="Q1555" i="1"/>
  <c r="P1555" i="1" s="1"/>
  <c r="Q1556" i="1"/>
  <c r="P1556" i="1" s="1"/>
  <c r="Q1557" i="1"/>
  <c r="P1557" i="1" s="1"/>
  <c r="Q1558" i="1"/>
  <c r="P1558" i="1" s="1"/>
  <c r="H1549" i="1"/>
  <c r="J1549" i="1"/>
  <c r="Q1549" i="1"/>
  <c r="P1549" i="1" s="1"/>
  <c r="H1548" i="1"/>
  <c r="J1548" i="1"/>
  <c r="Q1548" i="1"/>
  <c r="P1548" i="1" s="1"/>
  <c r="H1547" i="1"/>
  <c r="J1547" i="1"/>
  <c r="Q1547" i="1"/>
  <c r="P1547" i="1" s="1"/>
  <c r="Q1546" i="1"/>
  <c r="P1546" i="1" s="1"/>
  <c r="Q1545" i="1"/>
  <c r="P1545" i="1" s="1"/>
  <c r="Q1544" i="1"/>
  <c r="P1544" i="1" s="1"/>
  <c r="Q1543" i="1"/>
  <c r="P1543" i="1" s="1"/>
  <c r="Q1542" i="1"/>
  <c r="P1542" i="1" s="1"/>
  <c r="Q1541" i="1"/>
  <c r="P1541" i="1" s="1"/>
  <c r="Q1540" i="1"/>
  <c r="P1540" i="1" s="1"/>
  <c r="Q1539" i="1"/>
  <c r="P1539" i="1" s="1"/>
  <c r="Q1538" i="1"/>
  <c r="P1538" i="1" s="1"/>
  <c r="Q1537" i="1"/>
  <c r="P1537" i="1" s="1"/>
  <c r="Q1536" i="1"/>
  <c r="P1536" i="1" s="1"/>
  <c r="Q1535" i="1"/>
  <c r="P1535" i="1" s="1"/>
  <c r="Q1534" i="1"/>
  <c r="P1534" i="1" s="1"/>
  <c r="Q1533" i="1"/>
  <c r="P1533" i="1" s="1"/>
  <c r="Q1532" i="1"/>
  <c r="P1532" i="1" s="1"/>
  <c r="Q1531" i="1"/>
  <c r="P1531" i="1" s="1"/>
  <c r="Q1530" i="1"/>
  <c r="P1530" i="1" s="1"/>
  <c r="Q1529" i="1"/>
  <c r="P1529" i="1" s="1"/>
  <c r="Q1528" i="1"/>
  <c r="P1528" i="1" s="1"/>
  <c r="Q1527" i="1"/>
  <c r="P1527" i="1" s="1"/>
  <c r="Q1526" i="1"/>
  <c r="P1526" i="1" s="1"/>
  <c r="Q1525" i="1"/>
  <c r="P1525" i="1" s="1"/>
  <c r="Q1524" i="1"/>
  <c r="P1524" i="1" s="1"/>
  <c r="Q1523" i="1"/>
  <c r="P1523" i="1" s="1"/>
  <c r="Q1522" i="1"/>
  <c r="P1522" i="1" s="1"/>
  <c r="Q1521" i="1"/>
  <c r="P1521" i="1" s="1"/>
  <c r="Q1520" i="1"/>
  <c r="P1520" i="1" s="1"/>
  <c r="H1519" i="1"/>
  <c r="H1520" i="1"/>
  <c r="H1521" i="1"/>
  <c r="H1522" i="1"/>
  <c r="H1523" i="1"/>
  <c r="H1524" i="1"/>
  <c r="H1525" i="1"/>
  <c r="H1526" i="1"/>
  <c r="H1527" i="1"/>
  <c r="H1528" i="1"/>
  <c r="H1529" i="1"/>
  <c r="H1530" i="1"/>
  <c r="H1531" i="1"/>
  <c r="H1532" i="1"/>
  <c r="H1533" i="1"/>
  <c r="H1534" i="1"/>
  <c r="H1535" i="1"/>
  <c r="H1536" i="1"/>
  <c r="H1537" i="1"/>
  <c r="H1538" i="1"/>
  <c r="H1539" i="1"/>
  <c r="H1540" i="1"/>
  <c r="H1541" i="1"/>
  <c r="H1542" i="1"/>
  <c r="H1543" i="1"/>
  <c r="H1544" i="1"/>
  <c r="H1545" i="1"/>
  <c r="H1546" i="1"/>
  <c r="J1519" i="1"/>
  <c r="J1520" i="1"/>
  <c r="J1521" i="1"/>
  <c r="J1522" i="1"/>
  <c r="J1523" i="1"/>
  <c r="J1524" i="1"/>
  <c r="J1525" i="1"/>
  <c r="J1526" i="1"/>
  <c r="J1527" i="1"/>
  <c r="J1528" i="1"/>
  <c r="J1529" i="1"/>
  <c r="J1530" i="1"/>
  <c r="J1531" i="1"/>
  <c r="J1532" i="1"/>
  <c r="J1533" i="1"/>
  <c r="J1534" i="1"/>
  <c r="J1535" i="1"/>
  <c r="J1536" i="1"/>
  <c r="J1537" i="1"/>
  <c r="J1538" i="1"/>
  <c r="J1539" i="1"/>
  <c r="J1540" i="1"/>
  <c r="J1541" i="1"/>
  <c r="J1542" i="1"/>
  <c r="J1543" i="1"/>
  <c r="J1544" i="1"/>
  <c r="J1545" i="1"/>
  <c r="J1546" i="1"/>
  <c r="Q1519" i="1"/>
  <c r="P1519" i="1" s="1"/>
  <c r="H1518" i="1"/>
  <c r="J1518" i="1"/>
  <c r="Q1518" i="1"/>
  <c r="P1518" i="1" s="1"/>
  <c r="H1517" i="1"/>
  <c r="J1517" i="1"/>
  <c r="Q1517" i="1"/>
  <c r="P1517" i="1" s="1"/>
  <c r="H1514" i="1"/>
  <c r="J1513" i="1"/>
  <c r="J1514" i="1"/>
  <c r="Q1513" i="1"/>
  <c r="P1513" i="1" s="1"/>
  <c r="Q1514" i="1"/>
  <c r="P1514" i="1" s="1"/>
  <c r="H1512" i="1"/>
  <c r="J1512" i="1"/>
  <c r="Q1512" i="1"/>
  <c r="P1512" i="1" s="1"/>
  <c r="H1502" i="1"/>
  <c r="H1503" i="1"/>
  <c r="H1504" i="1"/>
  <c r="H1505" i="1"/>
  <c r="H1506" i="1"/>
  <c r="H1507" i="1"/>
  <c r="H1508" i="1"/>
  <c r="H1509" i="1"/>
  <c r="H1510" i="1"/>
  <c r="H1511" i="1"/>
  <c r="J1502" i="1"/>
  <c r="J1503" i="1"/>
  <c r="J1504" i="1"/>
  <c r="J1505" i="1"/>
  <c r="J1506" i="1"/>
  <c r="J1507" i="1"/>
  <c r="J1508" i="1"/>
  <c r="J1509" i="1"/>
  <c r="J1510" i="1"/>
  <c r="J1511" i="1"/>
  <c r="Q1502" i="1"/>
  <c r="P1502" i="1" s="1"/>
  <c r="Q1503" i="1"/>
  <c r="P1503" i="1" s="1"/>
  <c r="Q1504" i="1"/>
  <c r="P1504" i="1" s="1"/>
  <c r="Q1505" i="1"/>
  <c r="P1505" i="1" s="1"/>
  <c r="Q1506" i="1"/>
  <c r="P1506" i="1" s="1"/>
  <c r="Q1507" i="1"/>
  <c r="P1507" i="1" s="1"/>
  <c r="Q1508" i="1"/>
  <c r="P1508" i="1" s="1"/>
  <c r="Q1509" i="1"/>
  <c r="P1509" i="1" s="1"/>
  <c r="Q1510" i="1"/>
  <c r="P1510" i="1" s="1"/>
  <c r="Q1511" i="1"/>
  <c r="P1511" i="1" s="1"/>
  <c r="H1501" i="1"/>
  <c r="J1501" i="1"/>
  <c r="Q1501" i="1"/>
  <c r="P1501" i="1" s="1"/>
  <c r="H1499" i="1"/>
  <c r="H1500" i="1"/>
  <c r="J1499" i="1"/>
  <c r="J1500" i="1"/>
  <c r="Q1499" i="1"/>
  <c r="P1499" i="1" s="1"/>
  <c r="Q1500" i="1"/>
  <c r="P1500" i="1" s="1"/>
  <c r="H1498" i="1"/>
  <c r="J1498" i="1"/>
  <c r="Q1498" i="1"/>
  <c r="P1498" i="1" s="1"/>
  <c r="H1497" i="1"/>
  <c r="J1497" i="1"/>
  <c r="Q1497" i="1"/>
  <c r="P1497" i="1" s="1"/>
  <c r="H1496" i="1"/>
  <c r="J1496" i="1"/>
  <c r="Q1496" i="1"/>
  <c r="P1496" i="1" s="1"/>
  <c r="H1478" i="1"/>
  <c r="H1479" i="1"/>
  <c r="H1480" i="1"/>
  <c r="H1481" i="1"/>
  <c r="H1482" i="1"/>
  <c r="H1483" i="1"/>
  <c r="H1484" i="1"/>
  <c r="H1485" i="1"/>
  <c r="H1486" i="1"/>
  <c r="H1487" i="1"/>
  <c r="H1488" i="1"/>
  <c r="H1489" i="1"/>
  <c r="H1490" i="1"/>
  <c r="H1491" i="1"/>
  <c r="H1492" i="1"/>
  <c r="H1493" i="1"/>
  <c r="H1494" i="1"/>
  <c r="H1495" i="1"/>
  <c r="J1478" i="1"/>
  <c r="J1479" i="1"/>
  <c r="J1480" i="1"/>
  <c r="J1481" i="1"/>
  <c r="J1482" i="1"/>
  <c r="J1483" i="1"/>
  <c r="J1484" i="1"/>
  <c r="J1485" i="1"/>
  <c r="J1486" i="1"/>
  <c r="J1487" i="1"/>
  <c r="J1488" i="1"/>
  <c r="J1489" i="1"/>
  <c r="J1490" i="1"/>
  <c r="J1491" i="1"/>
  <c r="J1492" i="1"/>
  <c r="J1493" i="1"/>
  <c r="J1494" i="1"/>
  <c r="J1495" i="1"/>
  <c r="Q1478" i="1"/>
  <c r="P1478" i="1" s="1"/>
  <c r="Q1479" i="1"/>
  <c r="P1479" i="1" s="1"/>
  <c r="Q1480" i="1"/>
  <c r="P1480" i="1" s="1"/>
  <c r="Q1481" i="1"/>
  <c r="P1481" i="1" s="1"/>
  <c r="Q1482" i="1"/>
  <c r="P1482" i="1" s="1"/>
  <c r="Q1483" i="1"/>
  <c r="P1483" i="1" s="1"/>
  <c r="Q1484" i="1"/>
  <c r="P1484" i="1" s="1"/>
  <c r="Q1485" i="1"/>
  <c r="P1485" i="1" s="1"/>
  <c r="Q1486" i="1"/>
  <c r="P1486" i="1" s="1"/>
  <c r="Q1487" i="1"/>
  <c r="P1487" i="1" s="1"/>
  <c r="Q1488" i="1"/>
  <c r="P1488" i="1" s="1"/>
  <c r="Q1489" i="1"/>
  <c r="P1489" i="1" s="1"/>
  <c r="Q1490" i="1"/>
  <c r="P1490" i="1" s="1"/>
  <c r="Q1491" i="1"/>
  <c r="P1491" i="1" s="1"/>
  <c r="Q1492" i="1"/>
  <c r="P1492" i="1" s="1"/>
  <c r="Q1493" i="1"/>
  <c r="P1493" i="1" s="1"/>
  <c r="Q1494" i="1"/>
  <c r="P1494" i="1" s="1"/>
  <c r="Q1495" i="1"/>
  <c r="P1495" i="1" s="1"/>
  <c r="H1477" i="1"/>
  <c r="J1477" i="1"/>
  <c r="Q1477" i="1"/>
  <c r="P1477" i="1" s="1"/>
  <c r="H1455" i="1"/>
  <c r="H1456" i="1"/>
  <c r="H1457" i="1"/>
  <c r="H1458" i="1"/>
  <c r="H1459" i="1"/>
  <c r="H1460" i="1"/>
  <c r="H1461" i="1"/>
  <c r="H1462" i="1"/>
  <c r="H1463" i="1"/>
  <c r="H1464" i="1"/>
  <c r="H1465" i="1"/>
  <c r="H1466" i="1"/>
  <c r="H1467" i="1"/>
  <c r="H1468" i="1"/>
  <c r="H1469" i="1"/>
  <c r="H1470" i="1"/>
  <c r="H1471" i="1"/>
  <c r="H1472" i="1"/>
  <c r="H1473" i="1"/>
  <c r="H1474" i="1"/>
  <c r="H1475" i="1"/>
  <c r="H1476" i="1"/>
  <c r="J1455" i="1"/>
  <c r="J1456" i="1"/>
  <c r="J1457" i="1"/>
  <c r="J1458" i="1"/>
  <c r="J1459" i="1"/>
  <c r="J1460" i="1"/>
  <c r="J1461" i="1"/>
  <c r="J1462" i="1"/>
  <c r="J1463" i="1"/>
  <c r="J1464" i="1"/>
  <c r="J1465" i="1"/>
  <c r="J1466" i="1"/>
  <c r="J1467" i="1"/>
  <c r="J1468" i="1"/>
  <c r="J1469" i="1"/>
  <c r="J1470" i="1"/>
  <c r="J1471" i="1"/>
  <c r="J1472" i="1"/>
  <c r="J1473" i="1"/>
  <c r="J1474" i="1"/>
  <c r="J1475" i="1"/>
  <c r="J1476" i="1"/>
  <c r="Q1455" i="1"/>
  <c r="P1455" i="1" s="1"/>
  <c r="Q1456" i="1"/>
  <c r="P1456" i="1" s="1"/>
  <c r="Q1457" i="1"/>
  <c r="P1457" i="1" s="1"/>
  <c r="Q1458" i="1"/>
  <c r="P1458" i="1" s="1"/>
  <c r="Q1459" i="1"/>
  <c r="P1459" i="1" s="1"/>
  <c r="Q1460" i="1"/>
  <c r="P1460" i="1" s="1"/>
  <c r="Q1461" i="1"/>
  <c r="P1461" i="1" s="1"/>
  <c r="Q1462" i="1"/>
  <c r="P1462" i="1" s="1"/>
  <c r="Q1463" i="1"/>
  <c r="P1463" i="1" s="1"/>
  <c r="Q1464" i="1"/>
  <c r="P1464" i="1" s="1"/>
  <c r="Q1465" i="1"/>
  <c r="P1465" i="1" s="1"/>
  <c r="Q1466" i="1"/>
  <c r="P1466" i="1" s="1"/>
  <c r="Q1467" i="1"/>
  <c r="P1467" i="1" s="1"/>
  <c r="Q1468" i="1"/>
  <c r="P1468" i="1" s="1"/>
  <c r="Q1469" i="1"/>
  <c r="P1469" i="1" s="1"/>
  <c r="Q1470" i="1"/>
  <c r="P1470" i="1" s="1"/>
  <c r="Q1471" i="1"/>
  <c r="P1471" i="1" s="1"/>
  <c r="Q1472" i="1"/>
  <c r="P1472" i="1" s="1"/>
  <c r="Q1473" i="1"/>
  <c r="P1473" i="1" s="1"/>
  <c r="Q1474" i="1"/>
  <c r="P1474" i="1" s="1"/>
  <c r="Q1475" i="1"/>
  <c r="P1475" i="1" s="1"/>
  <c r="Q1476" i="1"/>
  <c r="P1476" i="1" s="1"/>
  <c r="H1454" i="1"/>
  <c r="J1454" i="1"/>
  <c r="Q1454" i="1"/>
  <c r="P1454" i="1" s="1"/>
  <c r="H1435" i="1"/>
  <c r="H1436" i="1"/>
  <c r="H1437" i="1"/>
  <c r="H1438" i="1"/>
  <c r="H1439" i="1"/>
  <c r="H1440" i="1"/>
  <c r="H1441" i="1"/>
  <c r="H1442" i="1"/>
  <c r="H1443" i="1"/>
  <c r="H1444" i="1"/>
  <c r="H1445" i="1"/>
  <c r="H1446" i="1"/>
  <c r="H1447" i="1"/>
  <c r="H1448" i="1"/>
  <c r="H1449" i="1"/>
  <c r="H1450" i="1"/>
  <c r="H1451" i="1"/>
  <c r="H1452" i="1"/>
  <c r="H1453" i="1"/>
  <c r="J1435" i="1"/>
  <c r="J1436" i="1"/>
  <c r="J1437" i="1"/>
  <c r="J1438" i="1"/>
  <c r="J1439" i="1"/>
  <c r="J1440" i="1"/>
  <c r="J1441" i="1"/>
  <c r="J1442" i="1"/>
  <c r="J1443" i="1"/>
  <c r="J1444" i="1"/>
  <c r="J1445" i="1"/>
  <c r="J1446" i="1"/>
  <c r="J1447" i="1"/>
  <c r="J1448" i="1"/>
  <c r="J1449" i="1"/>
  <c r="J1450" i="1"/>
  <c r="J1451" i="1"/>
  <c r="J1452" i="1"/>
  <c r="J1453" i="1"/>
  <c r="Q1435" i="1"/>
  <c r="P1435" i="1" s="1"/>
  <c r="Q1436" i="1"/>
  <c r="P1436" i="1" s="1"/>
  <c r="Q1437" i="1"/>
  <c r="P1437" i="1" s="1"/>
  <c r="Q1438" i="1"/>
  <c r="P1438" i="1" s="1"/>
  <c r="Q1439" i="1"/>
  <c r="P1439" i="1" s="1"/>
  <c r="Q1440" i="1"/>
  <c r="P1440" i="1" s="1"/>
  <c r="Q1441" i="1"/>
  <c r="P1441" i="1" s="1"/>
  <c r="Q1442" i="1"/>
  <c r="P1442" i="1" s="1"/>
  <c r="Q1443" i="1"/>
  <c r="P1443" i="1" s="1"/>
  <c r="Q1444" i="1"/>
  <c r="P1444" i="1" s="1"/>
  <c r="Q1445" i="1"/>
  <c r="P1445" i="1" s="1"/>
  <c r="Q1446" i="1"/>
  <c r="P1446" i="1" s="1"/>
  <c r="Q1447" i="1"/>
  <c r="P1447" i="1" s="1"/>
  <c r="Q1448" i="1"/>
  <c r="P1448" i="1" s="1"/>
  <c r="Q1449" i="1"/>
  <c r="P1449" i="1" s="1"/>
  <c r="Q1450" i="1"/>
  <c r="P1450" i="1" s="1"/>
  <c r="Q1451" i="1"/>
  <c r="P1451" i="1" s="1"/>
  <c r="Q1452" i="1"/>
  <c r="P1452" i="1" s="1"/>
  <c r="Q1453" i="1"/>
  <c r="P1453" i="1" s="1"/>
  <c r="H1434" i="1"/>
  <c r="J1434" i="1"/>
  <c r="Q1434" i="1"/>
  <c r="P1434" i="1" s="1"/>
  <c r="H1433" i="1"/>
  <c r="J1433" i="1"/>
  <c r="Q1433" i="1"/>
  <c r="P1433" i="1" s="1"/>
  <c r="Q1432" i="1"/>
  <c r="P1432" i="1" s="1"/>
  <c r="H1432" i="1"/>
  <c r="J1432" i="1"/>
  <c r="H1431" i="1"/>
  <c r="J1431" i="1"/>
  <c r="Q1431" i="1"/>
  <c r="P1431" i="1" s="1"/>
  <c r="H1354" i="1"/>
  <c r="H1355" i="1"/>
  <c r="H1356" i="1"/>
  <c r="H1357" i="1"/>
  <c r="H1358" i="1"/>
  <c r="H1359" i="1"/>
  <c r="H1360" i="1"/>
  <c r="H1361" i="1"/>
  <c r="H1362" i="1"/>
  <c r="H1363" i="1"/>
  <c r="H1364" i="1"/>
  <c r="H1365" i="1"/>
  <c r="H1366" i="1"/>
  <c r="H1367" i="1"/>
  <c r="H1368" i="1"/>
  <c r="H1369" i="1"/>
  <c r="H1370" i="1"/>
  <c r="H1371" i="1"/>
  <c r="H1372" i="1"/>
  <c r="H1373" i="1"/>
  <c r="H1374" i="1"/>
  <c r="H1375" i="1"/>
  <c r="H1376" i="1"/>
  <c r="H1377" i="1"/>
  <c r="H1378" i="1"/>
  <c r="H1379" i="1"/>
  <c r="H1380" i="1"/>
  <c r="H1381" i="1"/>
  <c r="H1382" i="1"/>
  <c r="H1383" i="1"/>
  <c r="H1384" i="1"/>
  <c r="H1385" i="1"/>
  <c r="H1386" i="1"/>
  <c r="H1387" i="1"/>
  <c r="H1388" i="1"/>
  <c r="H1389" i="1"/>
  <c r="H1390" i="1"/>
  <c r="H1391" i="1"/>
  <c r="H1392" i="1"/>
  <c r="H1393" i="1"/>
  <c r="H1394" i="1"/>
  <c r="H1395" i="1"/>
  <c r="H1396" i="1"/>
  <c r="H1397" i="1"/>
  <c r="H1398" i="1"/>
  <c r="H1399" i="1"/>
  <c r="H1400" i="1"/>
  <c r="H1401" i="1"/>
  <c r="H1402" i="1"/>
  <c r="H1403" i="1"/>
  <c r="H1404" i="1"/>
  <c r="H1405" i="1"/>
  <c r="H1406" i="1"/>
  <c r="H1407" i="1"/>
  <c r="H1408" i="1"/>
  <c r="H1409" i="1"/>
  <c r="H1410" i="1"/>
  <c r="H1411" i="1"/>
  <c r="H1412" i="1"/>
  <c r="H1413" i="1"/>
  <c r="H1414" i="1"/>
  <c r="H1415" i="1"/>
  <c r="H1416" i="1"/>
  <c r="H1417" i="1"/>
  <c r="H1418" i="1"/>
  <c r="H1419" i="1"/>
  <c r="H1420" i="1"/>
  <c r="H1421" i="1"/>
  <c r="H1422" i="1"/>
  <c r="H1423" i="1"/>
  <c r="H1424" i="1"/>
  <c r="H1425" i="1"/>
  <c r="H1426" i="1"/>
  <c r="H1427" i="1"/>
  <c r="H1428" i="1"/>
  <c r="H1429" i="1"/>
  <c r="H1430" i="1"/>
  <c r="J1354" i="1"/>
  <c r="J1355" i="1"/>
  <c r="J1356" i="1"/>
  <c r="J1357" i="1"/>
  <c r="J1358" i="1"/>
  <c r="J1359" i="1"/>
  <c r="J1360" i="1"/>
  <c r="J1361" i="1"/>
  <c r="J1362" i="1"/>
  <c r="J1363" i="1"/>
  <c r="J1364" i="1"/>
  <c r="J1365" i="1"/>
  <c r="J1366" i="1"/>
  <c r="J1367" i="1"/>
  <c r="J1368" i="1"/>
  <c r="J1369" i="1"/>
  <c r="J1370" i="1"/>
  <c r="J1371" i="1"/>
  <c r="J1372" i="1"/>
  <c r="J1373" i="1"/>
  <c r="J1374" i="1"/>
  <c r="J1375" i="1"/>
  <c r="J1376" i="1"/>
  <c r="J1377" i="1"/>
  <c r="J1378" i="1"/>
  <c r="J1379" i="1"/>
  <c r="J1380" i="1"/>
  <c r="J1381" i="1"/>
  <c r="J1382" i="1"/>
  <c r="J1383" i="1"/>
  <c r="J1384" i="1"/>
  <c r="J1385" i="1"/>
  <c r="J1386" i="1"/>
  <c r="J1387" i="1"/>
  <c r="J1388" i="1"/>
  <c r="J1389" i="1"/>
  <c r="J1390" i="1"/>
  <c r="J1391" i="1"/>
  <c r="J1392" i="1"/>
  <c r="J1393" i="1"/>
  <c r="J1394" i="1"/>
  <c r="J1395" i="1"/>
  <c r="J1396" i="1"/>
  <c r="J1397" i="1"/>
  <c r="J1398" i="1"/>
  <c r="J1399" i="1"/>
  <c r="J1400" i="1"/>
  <c r="J1401" i="1"/>
  <c r="J1402" i="1"/>
  <c r="J1403" i="1"/>
  <c r="J1404" i="1"/>
  <c r="J1405" i="1"/>
  <c r="J1406" i="1"/>
  <c r="J1407" i="1"/>
  <c r="J1408" i="1"/>
  <c r="J1409" i="1"/>
  <c r="J1410" i="1"/>
  <c r="J1411" i="1"/>
  <c r="J1412" i="1"/>
  <c r="J1413" i="1"/>
  <c r="J1414" i="1"/>
  <c r="J1415" i="1"/>
  <c r="J1416" i="1"/>
  <c r="J1417" i="1"/>
  <c r="J1418" i="1"/>
  <c r="J1419" i="1"/>
  <c r="J1420" i="1"/>
  <c r="J1421" i="1"/>
  <c r="J1422" i="1"/>
  <c r="J1423" i="1"/>
  <c r="J1424" i="1"/>
  <c r="J1425" i="1"/>
  <c r="J1426" i="1"/>
  <c r="J1427" i="1"/>
  <c r="J1428" i="1"/>
  <c r="J1429" i="1"/>
  <c r="J1430" i="1"/>
  <c r="Q1354" i="1"/>
  <c r="P1354" i="1" s="1"/>
  <c r="Q1355" i="1"/>
  <c r="P1355" i="1" s="1"/>
  <c r="Q1356" i="1"/>
  <c r="P1356" i="1" s="1"/>
  <c r="Q1357" i="1"/>
  <c r="P1357" i="1" s="1"/>
  <c r="Q1358" i="1"/>
  <c r="P1358" i="1" s="1"/>
  <c r="Q1359" i="1"/>
  <c r="P1359" i="1" s="1"/>
  <c r="Q1360" i="1"/>
  <c r="P1360" i="1" s="1"/>
  <c r="Q1361" i="1"/>
  <c r="P1361" i="1" s="1"/>
  <c r="Q1362" i="1"/>
  <c r="P1362" i="1" s="1"/>
  <c r="Q1363" i="1"/>
  <c r="P1363" i="1" s="1"/>
  <c r="Q1364" i="1"/>
  <c r="P1364" i="1" s="1"/>
  <c r="Q1365" i="1"/>
  <c r="P1365" i="1" s="1"/>
  <c r="Q1366" i="1"/>
  <c r="P1366" i="1" s="1"/>
  <c r="Q1367" i="1"/>
  <c r="P1367" i="1" s="1"/>
  <c r="Q1368" i="1"/>
  <c r="P1368" i="1" s="1"/>
  <c r="Q1369" i="1"/>
  <c r="P1369" i="1" s="1"/>
  <c r="Q1370" i="1"/>
  <c r="P1370" i="1" s="1"/>
  <c r="Q1371" i="1"/>
  <c r="P1371" i="1" s="1"/>
  <c r="Q1372" i="1"/>
  <c r="P1372" i="1" s="1"/>
  <c r="Q1373" i="1"/>
  <c r="P1373" i="1" s="1"/>
  <c r="Q1374" i="1"/>
  <c r="P1374" i="1" s="1"/>
  <c r="Q1375" i="1"/>
  <c r="P1375" i="1" s="1"/>
  <c r="Q1376" i="1"/>
  <c r="P1376" i="1" s="1"/>
  <c r="Q1377" i="1"/>
  <c r="P1377" i="1" s="1"/>
  <c r="Q1378" i="1"/>
  <c r="P1378" i="1" s="1"/>
  <c r="Q1379" i="1"/>
  <c r="P1379" i="1" s="1"/>
  <c r="Q1380" i="1"/>
  <c r="P1380" i="1" s="1"/>
  <c r="Q1381" i="1"/>
  <c r="P1381" i="1" s="1"/>
  <c r="Q1382" i="1"/>
  <c r="P1382" i="1" s="1"/>
  <c r="Q1383" i="1"/>
  <c r="P1383" i="1" s="1"/>
  <c r="Q1384" i="1"/>
  <c r="P1384" i="1" s="1"/>
  <c r="Q1385" i="1"/>
  <c r="P1385" i="1" s="1"/>
  <c r="Q1386" i="1"/>
  <c r="P1386" i="1" s="1"/>
  <c r="Q1387" i="1"/>
  <c r="P1387" i="1" s="1"/>
  <c r="Q1388" i="1"/>
  <c r="P1388" i="1" s="1"/>
  <c r="Q1389" i="1"/>
  <c r="P1389" i="1" s="1"/>
  <c r="Q1390" i="1"/>
  <c r="P1390" i="1" s="1"/>
  <c r="Q1391" i="1"/>
  <c r="P1391" i="1" s="1"/>
  <c r="Q1392" i="1"/>
  <c r="P1392" i="1" s="1"/>
  <c r="Q1393" i="1"/>
  <c r="P1393" i="1" s="1"/>
  <c r="Q1394" i="1"/>
  <c r="P1394" i="1" s="1"/>
  <c r="Q1395" i="1"/>
  <c r="P1395" i="1" s="1"/>
  <c r="Q1396" i="1"/>
  <c r="P1396" i="1" s="1"/>
  <c r="Q1397" i="1"/>
  <c r="P1397" i="1" s="1"/>
  <c r="Q1398" i="1"/>
  <c r="P1398" i="1" s="1"/>
  <c r="Q1399" i="1"/>
  <c r="P1399" i="1" s="1"/>
  <c r="Q1400" i="1"/>
  <c r="P1400" i="1" s="1"/>
  <c r="Q1401" i="1"/>
  <c r="P1401" i="1" s="1"/>
  <c r="Q1402" i="1"/>
  <c r="P1402" i="1" s="1"/>
  <c r="Q1403" i="1"/>
  <c r="P1403" i="1" s="1"/>
  <c r="Q1404" i="1"/>
  <c r="P1404" i="1" s="1"/>
  <c r="Q1405" i="1"/>
  <c r="P1405" i="1" s="1"/>
  <c r="Q1406" i="1"/>
  <c r="P1406" i="1" s="1"/>
  <c r="Q1407" i="1"/>
  <c r="P1407" i="1" s="1"/>
  <c r="Q1408" i="1"/>
  <c r="P1408" i="1" s="1"/>
  <c r="Q1409" i="1"/>
  <c r="P1409" i="1" s="1"/>
  <c r="Q1410" i="1"/>
  <c r="P1410" i="1" s="1"/>
  <c r="Q1411" i="1"/>
  <c r="P1411" i="1" s="1"/>
  <c r="Q1412" i="1"/>
  <c r="P1412" i="1" s="1"/>
  <c r="Q1413" i="1"/>
  <c r="P1413" i="1" s="1"/>
  <c r="Q1414" i="1"/>
  <c r="P1414" i="1" s="1"/>
  <c r="Q1415" i="1"/>
  <c r="P1415" i="1" s="1"/>
  <c r="Q1416" i="1"/>
  <c r="P1416" i="1" s="1"/>
  <c r="Q1417" i="1"/>
  <c r="P1417" i="1" s="1"/>
  <c r="Q1418" i="1"/>
  <c r="P1418" i="1" s="1"/>
  <c r="Q1419" i="1"/>
  <c r="P1419" i="1" s="1"/>
  <c r="Q1420" i="1"/>
  <c r="P1420" i="1" s="1"/>
  <c r="Q1421" i="1"/>
  <c r="P1421" i="1" s="1"/>
  <c r="Q1422" i="1"/>
  <c r="P1422" i="1" s="1"/>
  <c r="Q1423" i="1"/>
  <c r="P1423" i="1" s="1"/>
  <c r="Q1424" i="1"/>
  <c r="P1424" i="1" s="1"/>
  <c r="Q1425" i="1"/>
  <c r="P1425" i="1" s="1"/>
  <c r="Q1426" i="1"/>
  <c r="P1426" i="1" s="1"/>
  <c r="Q1427" i="1"/>
  <c r="P1427" i="1" s="1"/>
  <c r="Q1428" i="1"/>
  <c r="P1428" i="1" s="1"/>
  <c r="Q1429" i="1"/>
  <c r="P1429" i="1" s="1"/>
  <c r="Q1430" i="1"/>
  <c r="P1430" i="1" s="1"/>
  <c r="H1353" i="1"/>
  <c r="J1353" i="1"/>
  <c r="Q1353" i="1"/>
  <c r="P1353" i="1" s="1"/>
  <c r="H1352" i="1"/>
  <c r="J1352" i="1"/>
  <c r="Q1352" i="1"/>
  <c r="P1352" i="1" s="1"/>
  <c r="H1335" i="1"/>
  <c r="H1336" i="1"/>
  <c r="H1337" i="1"/>
  <c r="H1338" i="1"/>
  <c r="H1339" i="1"/>
  <c r="H1340" i="1"/>
  <c r="H1341" i="1"/>
  <c r="H1342" i="1"/>
  <c r="H1343" i="1"/>
  <c r="H1344" i="1"/>
  <c r="H1345" i="1"/>
  <c r="H1346" i="1"/>
  <c r="H1347" i="1"/>
  <c r="H1348" i="1"/>
  <c r="H1349" i="1"/>
  <c r="H1350" i="1"/>
  <c r="H1351" i="1"/>
  <c r="J1335" i="1"/>
  <c r="J1336" i="1"/>
  <c r="J1337" i="1"/>
  <c r="J1338" i="1"/>
  <c r="J1339" i="1"/>
  <c r="J1340" i="1"/>
  <c r="J1341" i="1"/>
  <c r="J1342" i="1"/>
  <c r="J1343" i="1"/>
  <c r="J1344" i="1"/>
  <c r="J1345" i="1"/>
  <c r="J1346" i="1"/>
  <c r="J1347" i="1"/>
  <c r="J1348" i="1"/>
  <c r="J1349" i="1"/>
  <c r="J1350" i="1"/>
  <c r="J1351" i="1"/>
  <c r="Q1335" i="1"/>
  <c r="P1335" i="1" s="1"/>
  <c r="Q1336" i="1"/>
  <c r="P1336" i="1" s="1"/>
  <c r="Q1337" i="1"/>
  <c r="P1337" i="1" s="1"/>
  <c r="Q1338" i="1"/>
  <c r="P1338" i="1" s="1"/>
  <c r="Q1339" i="1"/>
  <c r="P1339" i="1" s="1"/>
  <c r="Q1340" i="1"/>
  <c r="P1340" i="1" s="1"/>
  <c r="Q1341" i="1"/>
  <c r="P1341" i="1" s="1"/>
  <c r="Q1342" i="1"/>
  <c r="P1342" i="1" s="1"/>
  <c r="Q1343" i="1"/>
  <c r="P1343" i="1" s="1"/>
  <c r="Q1344" i="1"/>
  <c r="P1344" i="1" s="1"/>
  <c r="Q1345" i="1"/>
  <c r="P1345" i="1" s="1"/>
  <c r="Q1346" i="1"/>
  <c r="P1346" i="1" s="1"/>
  <c r="Q1347" i="1"/>
  <c r="P1347" i="1" s="1"/>
  <c r="Q1348" i="1"/>
  <c r="P1348" i="1" s="1"/>
  <c r="Q1349" i="1"/>
  <c r="P1349" i="1" s="1"/>
  <c r="Q1350" i="1"/>
  <c r="P1350" i="1" s="1"/>
  <c r="Q1351" i="1"/>
  <c r="P1351" i="1" s="1"/>
  <c r="H1299" i="1"/>
  <c r="H1300" i="1"/>
  <c r="H1301" i="1"/>
  <c r="H1302" i="1"/>
  <c r="H1303" i="1"/>
  <c r="H1304" i="1"/>
  <c r="H1305" i="1"/>
  <c r="H1306" i="1"/>
  <c r="H1307" i="1"/>
  <c r="H1308" i="1"/>
  <c r="H1309" i="1"/>
  <c r="H1310" i="1"/>
  <c r="H1311" i="1"/>
  <c r="H1312" i="1"/>
  <c r="H1313" i="1"/>
  <c r="H1314" i="1"/>
  <c r="H1315" i="1"/>
  <c r="H1316" i="1"/>
  <c r="H1317" i="1"/>
  <c r="H1318" i="1"/>
  <c r="H1319" i="1"/>
  <c r="H1320" i="1"/>
  <c r="H1321" i="1"/>
  <c r="H1322" i="1"/>
  <c r="H1323" i="1"/>
  <c r="H1324" i="1"/>
  <c r="H1325" i="1"/>
  <c r="H1326" i="1"/>
  <c r="H1327" i="1"/>
  <c r="H1328" i="1"/>
  <c r="H1329" i="1"/>
  <c r="H1330" i="1"/>
  <c r="H1331" i="1"/>
  <c r="H1332" i="1"/>
  <c r="H1333" i="1"/>
  <c r="H1334" i="1"/>
  <c r="J1299" i="1"/>
  <c r="J1300" i="1"/>
  <c r="J1301" i="1"/>
  <c r="J1302" i="1"/>
  <c r="J1303" i="1"/>
  <c r="J1304" i="1"/>
  <c r="J1305" i="1"/>
  <c r="J1306" i="1"/>
  <c r="J1307" i="1"/>
  <c r="J1308" i="1"/>
  <c r="J1309" i="1"/>
  <c r="J1310" i="1"/>
  <c r="J1311" i="1"/>
  <c r="J1312" i="1"/>
  <c r="J1313" i="1"/>
  <c r="J1314" i="1"/>
  <c r="J1315" i="1"/>
  <c r="J1316" i="1"/>
  <c r="J1317" i="1"/>
  <c r="J1318" i="1"/>
  <c r="J1319" i="1"/>
  <c r="J1320" i="1"/>
  <c r="J1321" i="1"/>
  <c r="J1322" i="1"/>
  <c r="J1323" i="1"/>
  <c r="J1324" i="1"/>
  <c r="J1325" i="1"/>
  <c r="J1326" i="1"/>
  <c r="J1327" i="1"/>
  <c r="J1328" i="1"/>
  <c r="J1329" i="1"/>
  <c r="J1330" i="1"/>
  <c r="J1331" i="1"/>
  <c r="J1332" i="1"/>
  <c r="J1333" i="1"/>
  <c r="J1334" i="1"/>
  <c r="Q1299" i="1"/>
  <c r="P1299" i="1" s="1"/>
  <c r="Q1300" i="1"/>
  <c r="P1300" i="1" s="1"/>
  <c r="Q1301" i="1"/>
  <c r="P1301" i="1" s="1"/>
  <c r="Q1302" i="1"/>
  <c r="P1302" i="1" s="1"/>
  <c r="Q1303" i="1"/>
  <c r="P1303" i="1" s="1"/>
  <c r="Q1304" i="1"/>
  <c r="P1304" i="1" s="1"/>
  <c r="Q1305" i="1"/>
  <c r="P1305" i="1" s="1"/>
  <c r="Q1306" i="1"/>
  <c r="P1306" i="1" s="1"/>
  <c r="Q1307" i="1"/>
  <c r="P1307" i="1" s="1"/>
  <c r="Q1308" i="1"/>
  <c r="P1308" i="1" s="1"/>
  <c r="Q1309" i="1"/>
  <c r="P1309" i="1" s="1"/>
  <c r="Q1310" i="1"/>
  <c r="P1310" i="1" s="1"/>
  <c r="Q1311" i="1"/>
  <c r="P1311" i="1" s="1"/>
  <c r="Q1312" i="1"/>
  <c r="P1312" i="1" s="1"/>
  <c r="Q1313" i="1"/>
  <c r="P1313" i="1" s="1"/>
  <c r="Q1314" i="1"/>
  <c r="P1314" i="1" s="1"/>
  <c r="Q1315" i="1"/>
  <c r="P1315" i="1" s="1"/>
  <c r="Q1316" i="1"/>
  <c r="P1316" i="1" s="1"/>
  <c r="Q1317" i="1"/>
  <c r="P1317" i="1" s="1"/>
  <c r="Q1318" i="1"/>
  <c r="P1318" i="1" s="1"/>
  <c r="Q1319" i="1"/>
  <c r="P1319" i="1" s="1"/>
  <c r="Q1320" i="1"/>
  <c r="P1320" i="1" s="1"/>
  <c r="Q1321" i="1"/>
  <c r="P1321" i="1" s="1"/>
  <c r="Q1322" i="1"/>
  <c r="P1322" i="1" s="1"/>
  <c r="Q1323" i="1"/>
  <c r="P1323" i="1" s="1"/>
  <c r="Q1324" i="1"/>
  <c r="P1324" i="1" s="1"/>
  <c r="Q1325" i="1"/>
  <c r="P1325" i="1" s="1"/>
  <c r="Q1326" i="1"/>
  <c r="P1326" i="1" s="1"/>
  <c r="Q1327" i="1"/>
  <c r="P1327" i="1" s="1"/>
  <c r="Q1328" i="1"/>
  <c r="P1328" i="1" s="1"/>
  <c r="Q1329" i="1"/>
  <c r="P1329" i="1" s="1"/>
  <c r="Q1330" i="1"/>
  <c r="P1330" i="1" s="1"/>
  <c r="Q1331" i="1"/>
  <c r="P1331" i="1" s="1"/>
  <c r="Q1332" i="1"/>
  <c r="P1332" i="1" s="1"/>
  <c r="Q1333" i="1"/>
  <c r="P1333" i="1" s="1"/>
  <c r="Q1334" i="1"/>
  <c r="P1334" i="1" s="1"/>
  <c r="H1298" i="1"/>
  <c r="J1298" i="1"/>
  <c r="Q1298" i="1"/>
  <c r="P1298" i="1" s="1"/>
  <c r="H1297" i="1"/>
  <c r="J1297" i="1"/>
  <c r="Q1297" i="1"/>
  <c r="P1297" i="1" s="1"/>
  <c r="H1296" i="1"/>
  <c r="J1296" i="1"/>
  <c r="Q1296" i="1"/>
  <c r="P1296" i="1" s="1"/>
  <c r="H1295" i="1"/>
  <c r="J1295" i="1"/>
  <c r="Q1295" i="1"/>
  <c r="P1295" i="1" s="1"/>
  <c r="H1294" i="1"/>
  <c r="J1294" i="1"/>
  <c r="Q1294" i="1"/>
  <c r="P1294" i="1" s="1"/>
  <c r="J1293" i="1"/>
  <c r="J1292" i="1"/>
  <c r="J1291" i="1"/>
  <c r="J1290" i="1"/>
  <c r="J1289" i="1"/>
  <c r="J1288" i="1"/>
  <c r="J1287" i="1"/>
  <c r="J1286" i="1"/>
  <c r="J1285" i="1"/>
  <c r="J1284" i="1"/>
  <c r="J1283" i="1"/>
  <c r="J1282" i="1"/>
  <c r="J1281" i="1"/>
  <c r="J1280" i="1"/>
  <c r="J1279" i="1"/>
  <c r="J1278" i="1"/>
  <c r="J1277" i="1"/>
  <c r="J1276" i="1"/>
  <c r="J1275" i="1"/>
  <c r="J1274" i="1"/>
  <c r="J1273" i="1"/>
  <c r="J1272" i="1"/>
  <c r="J1271" i="1"/>
  <c r="J1270" i="1"/>
  <c r="J1269" i="1"/>
  <c r="J1268" i="1"/>
  <c r="J1267" i="1"/>
  <c r="J1266" i="1"/>
  <c r="J1265" i="1"/>
  <c r="J1264" i="1"/>
  <c r="J1263" i="1"/>
  <c r="J1262" i="1"/>
  <c r="J1261" i="1"/>
  <c r="J1260" i="1"/>
  <c r="J1259" i="1"/>
  <c r="J1258" i="1"/>
  <c r="J1257" i="1"/>
  <c r="J1256" i="1"/>
  <c r="J1255" i="1"/>
  <c r="J1254" i="1"/>
  <c r="J1253" i="1"/>
  <c r="J1252" i="1"/>
  <c r="J1251" i="1"/>
  <c r="J1250" i="1"/>
  <c r="J1249" i="1"/>
  <c r="J1248" i="1"/>
  <c r="J1247" i="1"/>
  <c r="J1246" i="1"/>
  <c r="J1245" i="1"/>
  <c r="J1244" i="1"/>
  <c r="J1243" i="1"/>
  <c r="J1242" i="1"/>
  <c r="J1241" i="1"/>
  <c r="J1240" i="1"/>
  <c r="J1239" i="1"/>
  <c r="J1238" i="1"/>
  <c r="J1237" i="1"/>
  <c r="J1236" i="1"/>
  <c r="J1235" i="1"/>
  <c r="J1234" i="1"/>
  <c r="J1233" i="1"/>
  <c r="J1232" i="1"/>
  <c r="J1231" i="1"/>
  <c r="J1230" i="1"/>
  <c r="J1229" i="1"/>
  <c r="J1228" i="1"/>
  <c r="J1227" i="1"/>
  <c r="J1226" i="1"/>
  <c r="J1225" i="1"/>
  <c r="J1224" i="1"/>
  <c r="J1223" i="1"/>
  <c r="J1222" i="1"/>
  <c r="J1221" i="1"/>
  <c r="J1220" i="1"/>
  <c r="J1219" i="1"/>
  <c r="J1218" i="1"/>
  <c r="J1217" i="1"/>
  <c r="J1216" i="1"/>
  <c r="J1215" i="1"/>
  <c r="J1214" i="1"/>
  <c r="J1213" i="1"/>
  <c r="J1212" i="1"/>
  <c r="J1211" i="1"/>
  <c r="J1210" i="1"/>
  <c r="J1209" i="1"/>
  <c r="J1208" i="1"/>
  <c r="J1207" i="1"/>
  <c r="J1206" i="1"/>
  <c r="J1205" i="1"/>
  <c r="J1204" i="1"/>
  <c r="J1203" i="1"/>
  <c r="J1202" i="1"/>
  <c r="J1201" i="1"/>
  <c r="J1200" i="1"/>
  <c r="J1199" i="1"/>
  <c r="J1198" i="1"/>
  <c r="J1197" i="1"/>
  <c r="J1196" i="1"/>
  <c r="J1195" i="1"/>
  <c r="J1194" i="1"/>
  <c r="H1194" i="1"/>
  <c r="H1195" i="1"/>
  <c r="H1196" i="1"/>
  <c r="H1197" i="1"/>
  <c r="H1198" i="1"/>
  <c r="H1199" i="1"/>
  <c r="H1200" i="1"/>
  <c r="H1201" i="1"/>
  <c r="H1202" i="1"/>
  <c r="H1203" i="1"/>
  <c r="H1204" i="1"/>
  <c r="H1205" i="1"/>
  <c r="H1206" i="1"/>
  <c r="H1207" i="1"/>
  <c r="H1208" i="1"/>
  <c r="H1209" i="1"/>
  <c r="H1210" i="1"/>
  <c r="H1211" i="1"/>
  <c r="H1212" i="1"/>
  <c r="H1213" i="1"/>
  <c r="H1214" i="1"/>
  <c r="H1215" i="1"/>
  <c r="H1216" i="1"/>
  <c r="H1217" i="1"/>
  <c r="H1218" i="1"/>
  <c r="H1219" i="1"/>
  <c r="H1220" i="1"/>
  <c r="H1221" i="1"/>
  <c r="H1222" i="1"/>
  <c r="H1223" i="1"/>
  <c r="H1224" i="1"/>
  <c r="H1225" i="1"/>
  <c r="H1226" i="1"/>
  <c r="H1227" i="1"/>
  <c r="H1228" i="1"/>
  <c r="H1229" i="1"/>
  <c r="H1230" i="1"/>
  <c r="H1231" i="1"/>
  <c r="H1232" i="1"/>
  <c r="H1233" i="1"/>
  <c r="H1234" i="1"/>
  <c r="H1235" i="1"/>
  <c r="H1236" i="1"/>
  <c r="H1237" i="1"/>
  <c r="H1238" i="1"/>
  <c r="H1239" i="1"/>
  <c r="H1240" i="1"/>
  <c r="H1241" i="1"/>
  <c r="H1242" i="1"/>
  <c r="H1243" i="1"/>
  <c r="H1244" i="1"/>
  <c r="H1245" i="1"/>
  <c r="H1246" i="1"/>
  <c r="H1247" i="1"/>
  <c r="H1248" i="1"/>
  <c r="H1249" i="1"/>
  <c r="H1250" i="1"/>
  <c r="H1251" i="1"/>
  <c r="H1252" i="1"/>
  <c r="H1253" i="1"/>
  <c r="H1254" i="1"/>
  <c r="H1255" i="1"/>
  <c r="H1256" i="1"/>
  <c r="H1257" i="1"/>
  <c r="H1258" i="1"/>
  <c r="H1259" i="1"/>
  <c r="H1260" i="1"/>
  <c r="H1261" i="1"/>
  <c r="H1262" i="1"/>
  <c r="H1263" i="1"/>
  <c r="H1264" i="1"/>
  <c r="H1265" i="1"/>
  <c r="H1266" i="1"/>
  <c r="H1267" i="1"/>
  <c r="H1268" i="1"/>
  <c r="H1269" i="1"/>
  <c r="H1270" i="1"/>
  <c r="H1271" i="1"/>
  <c r="H1272" i="1"/>
  <c r="H1273" i="1"/>
  <c r="H1274" i="1"/>
  <c r="H1275" i="1"/>
  <c r="H1276" i="1"/>
  <c r="H1277" i="1"/>
  <c r="H1278" i="1"/>
  <c r="H1279" i="1"/>
  <c r="H1280" i="1"/>
  <c r="H1281" i="1"/>
  <c r="H1282" i="1"/>
  <c r="H1283" i="1"/>
  <c r="H1284" i="1"/>
  <c r="H1285" i="1"/>
  <c r="H1286" i="1"/>
  <c r="H1287" i="1"/>
  <c r="H1288" i="1"/>
  <c r="H1289" i="1"/>
  <c r="H1290" i="1"/>
  <c r="H1291" i="1"/>
  <c r="H1292" i="1"/>
  <c r="H1293" i="1"/>
  <c r="Q1194" i="1"/>
  <c r="P1194" i="1" s="1"/>
  <c r="Q1195" i="1"/>
  <c r="P1195" i="1" s="1"/>
  <c r="Q1196" i="1"/>
  <c r="P1196" i="1" s="1"/>
  <c r="Q1197" i="1"/>
  <c r="P1197" i="1" s="1"/>
  <c r="Q1198" i="1"/>
  <c r="P1198" i="1" s="1"/>
  <c r="Q1199" i="1"/>
  <c r="P1199" i="1" s="1"/>
  <c r="Q1200" i="1"/>
  <c r="P1200" i="1" s="1"/>
  <c r="Q1201" i="1"/>
  <c r="P1201" i="1" s="1"/>
  <c r="Q1202" i="1"/>
  <c r="P1202" i="1" s="1"/>
  <c r="Q1203" i="1"/>
  <c r="P1203" i="1" s="1"/>
  <c r="Q1204" i="1"/>
  <c r="P1204" i="1" s="1"/>
  <c r="Q1205" i="1"/>
  <c r="P1205" i="1" s="1"/>
  <c r="Q1206" i="1"/>
  <c r="P1206" i="1" s="1"/>
  <c r="Q1207" i="1"/>
  <c r="P1207" i="1" s="1"/>
  <c r="Q1208" i="1"/>
  <c r="P1208" i="1" s="1"/>
  <c r="Q1209" i="1"/>
  <c r="P1209" i="1" s="1"/>
  <c r="Q1210" i="1"/>
  <c r="P1210" i="1" s="1"/>
  <c r="Q1211" i="1"/>
  <c r="P1211" i="1" s="1"/>
  <c r="Q1212" i="1"/>
  <c r="P1212" i="1" s="1"/>
  <c r="Q1213" i="1"/>
  <c r="P1213" i="1" s="1"/>
  <c r="Q1214" i="1"/>
  <c r="P1214" i="1" s="1"/>
  <c r="Q1215" i="1"/>
  <c r="P1215" i="1" s="1"/>
  <c r="Q1216" i="1"/>
  <c r="P1216" i="1" s="1"/>
  <c r="Q1217" i="1"/>
  <c r="P1217" i="1" s="1"/>
  <c r="Q1218" i="1"/>
  <c r="P1218" i="1" s="1"/>
  <c r="Q1219" i="1"/>
  <c r="P1219" i="1" s="1"/>
  <c r="Q1220" i="1"/>
  <c r="P1220" i="1" s="1"/>
  <c r="Q1221" i="1"/>
  <c r="P1221" i="1" s="1"/>
  <c r="Q1222" i="1"/>
  <c r="P1222" i="1" s="1"/>
  <c r="Q1223" i="1"/>
  <c r="P1223" i="1" s="1"/>
  <c r="Q1224" i="1"/>
  <c r="P1224" i="1" s="1"/>
  <c r="Q1225" i="1"/>
  <c r="P1225" i="1" s="1"/>
  <c r="Q1226" i="1"/>
  <c r="P1226" i="1" s="1"/>
  <c r="Q1227" i="1"/>
  <c r="P1227" i="1" s="1"/>
  <c r="Q1228" i="1"/>
  <c r="P1228" i="1" s="1"/>
  <c r="Q1229" i="1"/>
  <c r="P1229" i="1" s="1"/>
  <c r="Q1230" i="1"/>
  <c r="P1230" i="1" s="1"/>
  <c r="Q1231" i="1"/>
  <c r="P1231" i="1" s="1"/>
  <c r="Q1232" i="1"/>
  <c r="P1232" i="1" s="1"/>
  <c r="Q1233" i="1"/>
  <c r="P1233" i="1" s="1"/>
  <c r="Q1234" i="1"/>
  <c r="P1234" i="1" s="1"/>
  <c r="Q1235" i="1"/>
  <c r="P1235" i="1" s="1"/>
  <c r="Q1236" i="1"/>
  <c r="P1236" i="1" s="1"/>
  <c r="Q1237" i="1"/>
  <c r="P1237" i="1" s="1"/>
  <c r="Q1238" i="1"/>
  <c r="P1238" i="1" s="1"/>
  <c r="Q1239" i="1"/>
  <c r="P1239" i="1" s="1"/>
  <c r="Q1240" i="1"/>
  <c r="P1240" i="1" s="1"/>
  <c r="Q1241" i="1"/>
  <c r="P1241" i="1" s="1"/>
  <c r="Q1242" i="1"/>
  <c r="P1242" i="1" s="1"/>
  <c r="Q1243" i="1"/>
  <c r="P1243" i="1" s="1"/>
  <c r="Q1244" i="1"/>
  <c r="P1244" i="1" s="1"/>
  <c r="Q1245" i="1"/>
  <c r="P1245" i="1" s="1"/>
  <c r="Q1246" i="1"/>
  <c r="P1246" i="1" s="1"/>
  <c r="Q1247" i="1"/>
  <c r="P1247" i="1" s="1"/>
  <c r="Q1248" i="1"/>
  <c r="P1248" i="1" s="1"/>
  <c r="Q1249" i="1"/>
  <c r="P1249" i="1" s="1"/>
  <c r="Q1250" i="1"/>
  <c r="P1250" i="1" s="1"/>
  <c r="Q1251" i="1"/>
  <c r="P1251" i="1" s="1"/>
  <c r="Q1252" i="1"/>
  <c r="P1252" i="1" s="1"/>
  <c r="Q1253" i="1"/>
  <c r="P1253" i="1" s="1"/>
  <c r="Q1254" i="1"/>
  <c r="P1254" i="1" s="1"/>
  <c r="Q1255" i="1"/>
  <c r="P1255" i="1" s="1"/>
  <c r="Q1256" i="1"/>
  <c r="P1256" i="1" s="1"/>
  <c r="Q1257" i="1"/>
  <c r="P1257" i="1" s="1"/>
  <c r="Q1258" i="1"/>
  <c r="P1258" i="1" s="1"/>
  <c r="Q1259" i="1"/>
  <c r="P1259" i="1" s="1"/>
  <c r="Q1260" i="1"/>
  <c r="P1260" i="1" s="1"/>
  <c r="Q1261" i="1"/>
  <c r="P1261" i="1" s="1"/>
  <c r="Q1262" i="1"/>
  <c r="P1262" i="1" s="1"/>
  <c r="Q1263" i="1"/>
  <c r="P1263" i="1" s="1"/>
  <c r="Q1264" i="1"/>
  <c r="P1264" i="1" s="1"/>
  <c r="Q1265" i="1"/>
  <c r="P1265" i="1" s="1"/>
  <c r="Q1266" i="1"/>
  <c r="P1266" i="1" s="1"/>
  <c r="Q1267" i="1"/>
  <c r="P1267" i="1" s="1"/>
  <c r="Q1268" i="1"/>
  <c r="P1268" i="1" s="1"/>
  <c r="Q1269" i="1"/>
  <c r="P1269" i="1" s="1"/>
  <c r="Q1270" i="1"/>
  <c r="P1270" i="1" s="1"/>
  <c r="Q1271" i="1"/>
  <c r="P1271" i="1" s="1"/>
  <c r="Q1272" i="1"/>
  <c r="P1272" i="1" s="1"/>
  <c r="Q1273" i="1"/>
  <c r="P1273" i="1" s="1"/>
  <c r="Q1274" i="1"/>
  <c r="P1274" i="1" s="1"/>
  <c r="Q1275" i="1"/>
  <c r="P1275" i="1" s="1"/>
  <c r="Q1276" i="1"/>
  <c r="P1276" i="1" s="1"/>
  <c r="Q1277" i="1"/>
  <c r="P1277" i="1" s="1"/>
  <c r="Q1278" i="1"/>
  <c r="P1278" i="1" s="1"/>
  <c r="Q1279" i="1"/>
  <c r="P1279" i="1" s="1"/>
  <c r="Q1280" i="1"/>
  <c r="P1280" i="1" s="1"/>
  <c r="Q1281" i="1"/>
  <c r="P1281" i="1" s="1"/>
  <c r="Q1282" i="1"/>
  <c r="P1282" i="1" s="1"/>
  <c r="Q1283" i="1"/>
  <c r="P1283" i="1" s="1"/>
  <c r="Q1284" i="1"/>
  <c r="P1284" i="1" s="1"/>
  <c r="Q1285" i="1"/>
  <c r="P1285" i="1" s="1"/>
  <c r="Q1286" i="1"/>
  <c r="P1286" i="1" s="1"/>
  <c r="Q1287" i="1"/>
  <c r="P1287" i="1" s="1"/>
  <c r="Q1288" i="1"/>
  <c r="P1288" i="1" s="1"/>
  <c r="Q1289" i="1"/>
  <c r="P1289" i="1" s="1"/>
  <c r="Q1290" i="1"/>
  <c r="P1290" i="1" s="1"/>
  <c r="Q1291" i="1"/>
  <c r="P1291" i="1" s="1"/>
  <c r="Q1292" i="1"/>
  <c r="P1292" i="1" s="1"/>
  <c r="Q1293" i="1"/>
  <c r="P1293" i="1" s="1"/>
  <c r="H1193" i="1"/>
  <c r="J1193" i="1"/>
  <c r="Q1193" i="1"/>
  <c r="P1193" i="1" s="1"/>
  <c r="H1192" i="1"/>
  <c r="J1192" i="1"/>
  <c r="Q1192" i="1"/>
  <c r="P1192" i="1" s="1"/>
  <c r="H1191" i="1"/>
  <c r="J1191" i="1"/>
  <c r="Q1191" i="1"/>
  <c r="P1191" i="1" s="1"/>
  <c r="H1190" i="1"/>
  <c r="J1190" i="1"/>
  <c r="Q1190" i="1"/>
  <c r="P1190" i="1" s="1"/>
  <c r="H1186" i="1"/>
  <c r="H1187" i="1"/>
  <c r="H1188" i="1"/>
  <c r="H1189" i="1"/>
  <c r="J1186" i="1"/>
  <c r="J1187" i="1"/>
  <c r="J1188" i="1"/>
  <c r="J1189" i="1"/>
  <c r="Q1186" i="1"/>
  <c r="P1186" i="1" s="1"/>
  <c r="Q1187" i="1"/>
  <c r="P1187" i="1" s="1"/>
  <c r="Q1188" i="1"/>
  <c r="P1188" i="1" s="1"/>
  <c r="Q1189" i="1"/>
  <c r="P1189" i="1" s="1"/>
  <c r="H1185" i="1"/>
  <c r="J1185" i="1"/>
  <c r="Q1185" i="1"/>
  <c r="P1185" i="1" s="1"/>
  <c r="H1177" i="1"/>
  <c r="H1178" i="1"/>
  <c r="H1179" i="1"/>
  <c r="H1180" i="1"/>
  <c r="H1181" i="1"/>
  <c r="H1182" i="1"/>
  <c r="H1183" i="1"/>
  <c r="H1184" i="1"/>
  <c r="J1177" i="1"/>
  <c r="J1178" i="1"/>
  <c r="J1179" i="1"/>
  <c r="J1180" i="1"/>
  <c r="J1181" i="1"/>
  <c r="J1182" i="1"/>
  <c r="J1183" i="1"/>
  <c r="J1184" i="1"/>
  <c r="Q1177" i="1"/>
  <c r="P1177" i="1" s="1"/>
  <c r="Q1178" i="1"/>
  <c r="P1178" i="1" s="1"/>
  <c r="Q1179" i="1"/>
  <c r="P1179" i="1" s="1"/>
  <c r="Q1180" i="1"/>
  <c r="P1180" i="1" s="1"/>
  <c r="Q1181" i="1"/>
  <c r="P1181" i="1" s="1"/>
  <c r="Q1182" i="1"/>
  <c r="P1182" i="1" s="1"/>
  <c r="Q1183" i="1"/>
  <c r="P1183" i="1" s="1"/>
  <c r="Q1184" i="1"/>
  <c r="P1184" i="1" s="1"/>
  <c r="H1176" i="1"/>
  <c r="J1176" i="1"/>
  <c r="Q1176" i="1"/>
  <c r="P1176" i="1" s="1"/>
  <c r="H1175" i="1"/>
  <c r="J1175" i="1"/>
  <c r="Q1175" i="1"/>
  <c r="P1175" i="1" s="1"/>
  <c r="H1174" i="1"/>
  <c r="J1174" i="1"/>
  <c r="Q1174" i="1"/>
  <c r="P1174" i="1" s="1"/>
  <c r="H1170" i="1"/>
  <c r="H1171" i="1"/>
  <c r="H1172" i="1"/>
  <c r="H1173" i="1"/>
  <c r="J1170" i="1"/>
  <c r="J1171" i="1"/>
  <c r="J1172" i="1"/>
  <c r="J1173" i="1"/>
  <c r="Q1170" i="1"/>
  <c r="P1170" i="1" s="1"/>
  <c r="Q1171" i="1"/>
  <c r="P1171" i="1" s="1"/>
  <c r="Q1172" i="1"/>
  <c r="P1172" i="1" s="1"/>
  <c r="Q1173" i="1"/>
  <c r="P1173" i="1" s="1"/>
  <c r="H1169" i="1"/>
  <c r="J1169" i="1"/>
  <c r="Q1169" i="1"/>
  <c r="P1169" i="1" s="1"/>
  <c r="H1168" i="1"/>
  <c r="J1168" i="1"/>
  <c r="Q1168" i="1"/>
  <c r="P1168" i="1" s="1"/>
  <c r="H1167" i="1"/>
  <c r="J1167" i="1"/>
  <c r="Q1167" i="1"/>
  <c r="P1167" i="1" s="1"/>
  <c r="H1164" i="1"/>
  <c r="H1165" i="1"/>
  <c r="H1166" i="1"/>
  <c r="J1164" i="1"/>
  <c r="J1165" i="1"/>
  <c r="J1166" i="1"/>
  <c r="Q1164" i="1"/>
  <c r="P1164" i="1" s="1"/>
  <c r="Q1165" i="1"/>
  <c r="P1165" i="1" s="1"/>
  <c r="Q1166" i="1"/>
  <c r="P1166" i="1" s="1"/>
  <c r="H1163" i="1"/>
  <c r="J1163" i="1"/>
  <c r="Q1163" i="1"/>
  <c r="P1163" i="1" s="1"/>
  <c r="H1162" i="1"/>
  <c r="J1162" i="1"/>
  <c r="Q1162" i="1"/>
  <c r="P1162" i="1" s="1"/>
  <c r="H1156" i="1"/>
  <c r="H1157" i="1"/>
  <c r="H1158" i="1"/>
  <c r="H1159" i="1"/>
  <c r="H1160" i="1"/>
  <c r="H1161" i="1"/>
  <c r="J1156" i="1"/>
  <c r="J1157" i="1"/>
  <c r="J1158" i="1"/>
  <c r="J1159" i="1"/>
  <c r="J1160" i="1"/>
  <c r="J1161" i="1"/>
  <c r="Q1156" i="1"/>
  <c r="P1156" i="1" s="1"/>
  <c r="Q1157" i="1"/>
  <c r="P1157" i="1" s="1"/>
  <c r="Q1158" i="1"/>
  <c r="P1158" i="1" s="1"/>
  <c r="Q1159" i="1"/>
  <c r="P1159" i="1" s="1"/>
  <c r="Q1160" i="1"/>
  <c r="P1160" i="1" s="1"/>
  <c r="Q1161" i="1"/>
  <c r="P1161" i="1" s="1"/>
  <c r="H1155" i="1"/>
  <c r="J1155" i="1"/>
  <c r="Q1155" i="1"/>
  <c r="P1155" i="1" s="1"/>
  <c r="H1152" i="1"/>
  <c r="H1153" i="1"/>
  <c r="H1154" i="1"/>
  <c r="J1152" i="1"/>
  <c r="J1153" i="1"/>
  <c r="J1154" i="1"/>
  <c r="Q1152" i="1"/>
  <c r="P1152" i="1" s="1"/>
  <c r="Q1153" i="1"/>
  <c r="P1153" i="1" s="1"/>
  <c r="Q1154" i="1"/>
  <c r="P1154" i="1" s="1"/>
  <c r="H1148" i="1"/>
  <c r="H1149" i="1"/>
  <c r="H1150" i="1"/>
  <c r="H1151" i="1"/>
  <c r="J1148" i="1"/>
  <c r="J1149" i="1"/>
  <c r="J1150" i="1"/>
  <c r="J1151" i="1"/>
  <c r="Q1148" i="1"/>
  <c r="P1148" i="1" s="1"/>
  <c r="Q1149" i="1"/>
  <c r="P1149" i="1" s="1"/>
  <c r="Q1150" i="1"/>
  <c r="P1150" i="1" s="1"/>
  <c r="Q1151" i="1"/>
  <c r="P1151" i="1" s="1"/>
  <c r="H1147" i="1"/>
  <c r="J1147" i="1"/>
  <c r="Q1147" i="1"/>
  <c r="P1147" i="1" s="1"/>
  <c r="H1138" i="1"/>
  <c r="H1139" i="1"/>
  <c r="H1140" i="1"/>
  <c r="H1141" i="1"/>
  <c r="H1142" i="1"/>
  <c r="H1143" i="1"/>
  <c r="H1144" i="1"/>
  <c r="H1145" i="1"/>
  <c r="H1146" i="1"/>
  <c r="J1138" i="1"/>
  <c r="J1139" i="1"/>
  <c r="J1140" i="1"/>
  <c r="J1141" i="1"/>
  <c r="J1142" i="1"/>
  <c r="J1143" i="1"/>
  <c r="J1144" i="1"/>
  <c r="J1145" i="1"/>
  <c r="J1146" i="1"/>
  <c r="Q1138" i="1"/>
  <c r="P1138" i="1" s="1"/>
  <c r="Q1139" i="1"/>
  <c r="P1139" i="1" s="1"/>
  <c r="Q1140" i="1"/>
  <c r="P1140" i="1" s="1"/>
  <c r="Q1141" i="1"/>
  <c r="P1141" i="1" s="1"/>
  <c r="Q1142" i="1"/>
  <c r="P1142" i="1" s="1"/>
  <c r="Q1143" i="1"/>
  <c r="P1143" i="1" s="1"/>
  <c r="Q1144" i="1"/>
  <c r="P1144" i="1" s="1"/>
  <c r="Q1145" i="1"/>
  <c r="P1145" i="1" s="1"/>
  <c r="Q1146" i="1"/>
  <c r="P1146" i="1" s="1"/>
  <c r="H1137" i="1"/>
  <c r="J1137" i="1"/>
  <c r="Q1137" i="1"/>
  <c r="P1137" i="1" s="1"/>
  <c r="H1136" i="1"/>
  <c r="J1136" i="1"/>
  <c r="Q1136" i="1"/>
  <c r="P1136" i="1" s="1"/>
  <c r="H1135" i="1"/>
  <c r="J1135" i="1"/>
  <c r="Q1135" i="1"/>
  <c r="P1135" i="1" s="1"/>
  <c r="H1133" i="1"/>
  <c r="H1134" i="1"/>
  <c r="J1133" i="1"/>
  <c r="J1134" i="1"/>
  <c r="Q1133" i="1"/>
  <c r="P1133" i="1" s="1"/>
  <c r="Q1134" i="1"/>
  <c r="P1134" i="1" s="1"/>
  <c r="H1132" i="1"/>
  <c r="J1132" i="1"/>
  <c r="Q1132" i="1"/>
  <c r="P1132" i="1" s="1"/>
  <c r="H1125" i="1"/>
  <c r="H1126" i="1"/>
  <c r="H1127" i="1"/>
  <c r="H1128" i="1"/>
  <c r="H1129" i="1"/>
  <c r="H1130" i="1"/>
  <c r="H1131" i="1"/>
  <c r="J1125" i="1"/>
  <c r="J1126" i="1"/>
  <c r="J1127" i="1"/>
  <c r="J1128" i="1"/>
  <c r="J1129" i="1"/>
  <c r="J1130" i="1"/>
  <c r="J1131" i="1"/>
  <c r="Q1125" i="1"/>
  <c r="P1125" i="1" s="1"/>
  <c r="Q1126" i="1"/>
  <c r="P1126" i="1" s="1"/>
  <c r="Q1127" i="1"/>
  <c r="P1127" i="1" s="1"/>
  <c r="Q1128" i="1"/>
  <c r="P1128" i="1" s="1"/>
  <c r="Q1129" i="1"/>
  <c r="P1129" i="1" s="1"/>
  <c r="Q1130" i="1"/>
  <c r="P1130" i="1" s="1"/>
  <c r="Q1131" i="1"/>
  <c r="P1131" i="1" s="1"/>
  <c r="H1124" i="1"/>
  <c r="J1124" i="1"/>
  <c r="Q1124" i="1"/>
  <c r="P1124" i="1" s="1"/>
  <c r="H1073" i="1"/>
  <c r="H1074" i="1"/>
  <c r="H1075" i="1"/>
  <c r="H1076" i="1"/>
  <c r="H1077" i="1"/>
  <c r="H1078" i="1"/>
  <c r="H1079" i="1"/>
  <c r="H1080" i="1"/>
  <c r="H1081" i="1"/>
  <c r="H1082" i="1"/>
  <c r="H1083" i="1"/>
  <c r="H1084" i="1"/>
  <c r="H1085" i="1"/>
  <c r="H1086" i="1"/>
  <c r="H1087" i="1"/>
  <c r="H1088" i="1"/>
  <c r="H1089" i="1"/>
  <c r="H1090" i="1"/>
  <c r="H1091" i="1"/>
  <c r="H1092" i="1"/>
  <c r="H1093" i="1"/>
  <c r="H1094" i="1"/>
  <c r="H1095" i="1"/>
  <c r="H1096" i="1"/>
  <c r="H1097" i="1"/>
  <c r="H1098" i="1"/>
  <c r="H1099" i="1"/>
  <c r="H1100" i="1"/>
  <c r="H1101" i="1"/>
  <c r="H1102" i="1"/>
  <c r="H1103" i="1"/>
  <c r="H1104" i="1"/>
  <c r="H1105" i="1"/>
  <c r="H1106" i="1"/>
  <c r="H1107" i="1"/>
  <c r="H1108" i="1"/>
  <c r="H1109" i="1"/>
  <c r="H1110" i="1"/>
  <c r="H1111" i="1"/>
  <c r="H1112" i="1"/>
  <c r="H1113" i="1"/>
  <c r="H1114" i="1"/>
  <c r="H1115" i="1"/>
  <c r="H1116" i="1"/>
  <c r="H1117" i="1"/>
  <c r="H1118" i="1"/>
  <c r="H1119" i="1"/>
  <c r="H1120" i="1"/>
  <c r="H1121" i="1"/>
  <c r="H1122" i="1"/>
  <c r="H1123" i="1"/>
  <c r="J1073" i="1"/>
  <c r="J1074" i="1"/>
  <c r="J1075" i="1"/>
  <c r="J1076" i="1"/>
  <c r="J1077" i="1"/>
  <c r="J1078" i="1"/>
  <c r="J1079" i="1"/>
  <c r="J1080" i="1"/>
  <c r="J1081" i="1"/>
  <c r="J1082" i="1"/>
  <c r="J1083" i="1"/>
  <c r="J1084" i="1"/>
  <c r="J1085" i="1"/>
  <c r="J1086" i="1"/>
  <c r="J1087" i="1"/>
  <c r="J1088" i="1"/>
  <c r="J1089" i="1"/>
  <c r="J1090" i="1"/>
  <c r="J1091" i="1"/>
  <c r="J1092" i="1"/>
  <c r="J1093" i="1"/>
  <c r="J1094" i="1"/>
  <c r="J1095" i="1"/>
  <c r="J1096" i="1"/>
  <c r="J1097" i="1"/>
  <c r="J1098" i="1"/>
  <c r="J1099" i="1"/>
  <c r="J1100" i="1"/>
  <c r="J1101" i="1"/>
  <c r="J1102" i="1"/>
  <c r="J1103" i="1"/>
  <c r="J1104" i="1"/>
  <c r="J1105" i="1"/>
  <c r="J1106" i="1"/>
  <c r="J1107" i="1"/>
  <c r="J1108" i="1"/>
  <c r="J1109" i="1"/>
  <c r="J1110" i="1"/>
  <c r="J1111" i="1"/>
  <c r="J1112" i="1"/>
  <c r="J1113" i="1"/>
  <c r="J1114" i="1"/>
  <c r="J1115" i="1"/>
  <c r="J1116" i="1"/>
  <c r="J1117" i="1"/>
  <c r="J1118" i="1"/>
  <c r="J1119" i="1"/>
  <c r="J1120" i="1"/>
  <c r="J1121" i="1"/>
  <c r="J1122" i="1"/>
  <c r="J1123" i="1"/>
  <c r="Q1073" i="1"/>
  <c r="P1073" i="1" s="1"/>
  <c r="Q1074" i="1"/>
  <c r="P1074" i="1" s="1"/>
  <c r="Q1075" i="1"/>
  <c r="P1075" i="1" s="1"/>
  <c r="Q1076" i="1"/>
  <c r="P1076" i="1" s="1"/>
  <c r="Q1077" i="1"/>
  <c r="P1077" i="1" s="1"/>
  <c r="Q1078" i="1"/>
  <c r="P1078" i="1" s="1"/>
  <c r="Q1079" i="1"/>
  <c r="P1079" i="1" s="1"/>
  <c r="Q1080" i="1"/>
  <c r="P1080" i="1" s="1"/>
  <c r="Q1081" i="1"/>
  <c r="P1081" i="1" s="1"/>
  <c r="Q1082" i="1"/>
  <c r="P1082" i="1" s="1"/>
  <c r="Q1083" i="1"/>
  <c r="P1083" i="1" s="1"/>
  <c r="Q1084" i="1"/>
  <c r="P1084" i="1" s="1"/>
  <c r="Q1085" i="1"/>
  <c r="P1085" i="1" s="1"/>
  <c r="Q1086" i="1"/>
  <c r="P1086" i="1" s="1"/>
  <c r="Q1087" i="1"/>
  <c r="P1087" i="1" s="1"/>
  <c r="Q1088" i="1"/>
  <c r="P1088" i="1" s="1"/>
  <c r="Q1089" i="1"/>
  <c r="P1089" i="1" s="1"/>
  <c r="Q1090" i="1"/>
  <c r="P1090" i="1" s="1"/>
  <c r="Q1091" i="1"/>
  <c r="P1091" i="1" s="1"/>
  <c r="Q1092" i="1"/>
  <c r="P1092" i="1" s="1"/>
  <c r="Q1093" i="1"/>
  <c r="P1093" i="1" s="1"/>
  <c r="Q1094" i="1"/>
  <c r="P1094" i="1" s="1"/>
  <c r="Q1095" i="1"/>
  <c r="P1095" i="1" s="1"/>
  <c r="Q1096" i="1"/>
  <c r="P1096" i="1" s="1"/>
  <c r="Q1097" i="1"/>
  <c r="P1097" i="1" s="1"/>
  <c r="Q1098" i="1"/>
  <c r="P1098" i="1" s="1"/>
  <c r="Q1099" i="1"/>
  <c r="P1099" i="1" s="1"/>
  <c r="Q1100" i="1"/>
  <c r="P1100" i="1" s="1"/>
  <c r="Q1101" i="1"/>
  <c r="P1101" i="1" s="1"/>
  <c r="Q1102" i="1"/>
  <c r="P1102" i="1" s="1"/>
  <c r="Q1103" i="1"/>
  <c r="P1103" i="1" s="1"/>
  <c r="Q1104" i="1"/>
  <c r="P1104" i="1" s="1"/>
  <c r="Q1105" i="1"/>
  <c r="P1105" i="1" s="1"/>
  <c r="Q1106" i="1"/>
  <c r="P1106" i="1" s="1"/>
  <c r="Q1107" i="1"/>
  <c r="P1107" i="1" s="1"/>
  <c r="Q1108" i="1"/>
  <c r="P1108" i="1" s="1"/>
  <c r="Q1109" i="1"/>
  <c r="P1109" i="1" s="1"/>
  <c r="Q1110" i="1"/>
  <c r="P1110" i="1" s="1"/>
  <c r="Q1111" i="1"/>
  <c r="P1111" i="1" s="1"/>
  <c r="Q1112" i="1"/>
  <c r="P1112" i="1" s="1"/>
  <c r="Q1113" i="1"/>
  <c r="P1113" i="1" s="1"/>
  <c r="Q1114" i="1"/>
  <c r="P1114" i="1" s="1"/>
  <c r="Q1115" i="1"/>
  <c r="P1115" i="1" s="1"/>
  <c r="Q1116" i="1"/>
  <c r="P1116" i="1" s="1"/>
  <c r="Q1117" i="1"/>
  <c r="P1117" i="1" s="1"/>
  <c r="Q1118" i="1"/>
  <c r="P1118" i="1" s="1"/>
  <c r="Q1119" i="1"/>
  <c r="P1119" i="1" s="1"/>
  <c r="Q1120" i="1"/>
  <c r="P1120" i="1" s="1"/>
  <c r="Q1121" i="1"/>
  <c r="P1121" i="1" s="1"/>
  <c r="Q1122" i="1"/>
  <c r="P1122" i="1" s="1"/>
  <c r="Q1123" i="1"/>
  <c r="P1123" i="1" s="1"/>
  <c r="H1072" i="1"/>
  <c r="J1072" i="1"/>
  <c r="Q1072" i="1"/>
  <c r="P1072" i="1" s="1"/>
  <c r="H1057" i="1"/>
  <c r="H1058" i="1"/>
  <c r="H1059" i="1"/>
  <c r="H1060" i="1"/>
  <c r="H1061" i="1"/>
  <c r="H1062" i="1"/>
  <c r="H1063" i="1"/>
  <c r="H1064" i="1"/>
  <c r="H1065" i="1"/>
  <c r="H1066" i="1"/>
  <c r="H1067" i="1"/>
  <c r="H1068" i="1"/>
  <c r="H1069" i="1"/>
  <c r="H1070" i="1"/>
  <c r="H1071" i="1"/>
  <c r="J1057" i="1"/>
  <c r="J1058" i="1"/>
  <c r="J1059" i="1"/>
  <c r="J1060" i="1"/>
  <c r="J1061" i="1"/>
  <c r="J1062" i="1"/>
  <c r="J1063" i="1"/>
  <c r="J1064" i="1"/>
  <c r="J1065" i="1"/>
  <c r="J1066" i="1"/>
  <c r="J1067" i="1"/>
  <c r="J1068" i="1"/>
  <c r="J1069" i="1"/>
  <c r="J1070" i="1"/>
  <c r="J1071" i="1"/>
  <c r="Q1057" i="1"/>
  <c r="P1057" i="1" s="1"/>
  <c r="Q1058" i="1"/>
  <c r="P1058" i="1" s="1"/>
  <c r="Q1059" i="1"/>
  <c r="P1059" i="1" s="1"/>
  <c r="Q1060" i="1"/>
  <c r="P1060" i="1" s="1"/>
  <c r="Q1061" i="1"/>
  <c r="P1061" i="1" s="1"/>
  <c r="Q1062" i="1"/>
  <c r="P1062" i="1" s="1"/>
  <c r="Q1063" i="1"/>
  <c r="P1063" i="1" s="1"/>
  <c r="Q1064" i="1"/>
  <c r="P1064" i="1" s="1"/>
  <c r="Q1065" i="1"/>
  <c r="P1065" i="1" s="1"/>
  <c r="Q1066" i="1"/>
  <c r="P1066" i="1" s="1"/>
  <c r="Q1067" i="1"/>
  <c r="P1067" i="1" s="1"/>
  <c r="Q1068" i="1"/>
  <c r="P1068" i="1" s="1"/>
  <c r="Q1069" i="1"/>
  <c r="P1069" i="1" s="1"/>
  <c r="Q1070" i="1"/>
  <c r="P1070" i="1" s="1"/>
  <c r="Q1071" i="1"/>
  <c r="P1071" i="1" s="1"/>
  <c r="H1055" i="1"/>
  <c r="H1056" i="1"/>
  <c r="J1055" i="1"/>
  <c r="J1056" i="1"/>
  <c r="Q1055" i="1"/>
  <c r="P1055" i="1" s="1"/>
  <c r="Q1056" i="1"/>
  <c r="P1056" i="1" s="1"/>
  <c r="H1054" i="1"/>
  <c r="J1054" i="1"/>
  <c r="Q1054" i="1"/>
  <c r="P1054" i="1" s="1"/>
  <c r="H1023" i="1"/>
  <c r="J1023" i="1"/>
  <c r="Q1023" i="1"/>
  <c r="P1023" i="1" s="1"/>
  <c r="H1022" i="1"/>
  <c r="J1022" i="1"/>
  <c r="Q1022" i="1"/>
  <c r="P1022" i="1" s="1"/>
  <c r="H1015" i="1"/>
  <c r="J1015" i="1"/>
  <c r="Q1015" i="1"/>
  <c r="P1015" i="1" s="1"/>
  <c r="H1017" i="1"/>
  <c r="H1018" i="1"/>
  <c r="J1017" i="1"/>
  <c r="J1018" i="1"/>
  <c r="Q1017" i="1"/>
  <c r="P1017" i="1" s="1"/>
  <c r="Q1018" i="1"/>
  <c r="P1018" i="1" s="1"/>
  <c r="H1016" i="1"/>
  <c r="J1016" i="1"/>
  <c r="Q1016" i="1"/>
  <c r="P1016" i="1" s="1"/>
  <c r="H1014" i="1"/>
  <c r="J1014" i="1"/>
  <c r="Q1014" i="1"/>
  <c r="P1014" i="1" s="1"/>
  <c r="H1019" i="1"/>
  <c r="J1019" i="1"/>
  <c r="Q1019" i="1"/>
  <c r="P1019" i="1" s="1"/>
  <c r="H1021" i="1"/>
  <c r="J1021" i="1"/>
  <c r="Q1021" i="1"/>
  <c r="P1021" i="1" s="1"/>
  <c r="H1020" i="1"/>
  <c r="J1020" i="1"/>
  <c r="Q1020" i="1"/>
  <c r="P1020" i="1" s="1"/>
  <c r="H1053" i="1"/>
  <c r="J1053" i="1"/>
  <c r="Q1053" i="1"/>
  <c r="P1053" i="1" s="1"/>
  <c r="H1027" i="1"/>
  <c r="H1028" i="1"/>
  <c r="H1029" i="1"/>
  <c r="H1030" i="1"/>
  <c r="H1031" i="1"/>
  <c r="H1032" i="1"/>
  <c r="H1033" i="1"/>
  <c r="H1034" i="1"/>
  <c r="H1035" i="1"/>
  <c r="H1036" i="1"/>
  <c r="H1037" i="1"/>
  <c r="H1038" i="1"/>
  <c r="H1039" i="1"/>
  <c r="H1040" i="1"/>
  <c r="H1041" i="1"/>
  <c r="H1042" i="1"/>
  <c r="H1043" i="1"/>
  <c r="H1044" i="1"/>
  <c r="H1045" i="1"/>
  <c r="H1046" i="1"/>
  <c r="H1047" i="1"/>
  <c r="H1048" i="1"/>
  <c r="H1049" i="1"/>
  <c r="H1050" i="1"/>
  <c r="H1051" i="1"/>
  <c r="H1052" i="1"/>
  <c r="J1027" i="1"/>
  <c r="J1028" i="1"/>
  <c r="J1029" i="1"/>
  <c r="J1030" i="1"/>
  <c r="J1031" i="1"/>
  <c r="J1032" i="1"/>
  <c r="J1033" i="1"/>
  <c r="J1034" i="1"/>
  <c r="J1035" i="1"/>
  <c r="J1036" i="1"/>
  <c r="J1037" i="1"/>
  <c r="J1038" i="1"/>
  <c r="J1039" i="1"/>
  <c r="J1040" i="1"/>
  <c r="J1041" i="1"/>
  <c r="J1042" i="1"/>
  <c r="J1043" i="1"/>
  <c r="J1044" i="1"/>
  <c r="J1045" i="1"/>
  <c r="J1046" i="1"/>
  <c r="J1047" i="1"/>
  <c r="J1048" i="1"/>
  <c r="J1049" i="1"/>
  <c r="J1050" i="1"/>
  <c r="J1051" i="1"/>
  <c r="J1052" i="1"/>
  <c r="Q1027" i="1"/>
  <c r="P1027" i="1" s="1"/>
  <c r="Q1028" i="1"/>
  <c r="P1028" i="1" s="1"/>
  <c r="Q1029" i="1"/>
  <c r="P1029" i="1" s="1"/>
  <c r="Q1030" i="1"/>
  <c r="P1030" i="1" s="1"/>
  <c r="Q1031" i="1"/>
  <c r="P1031" i="1" s="1"/>
  <c r="Q1032" i="1"/>
  <c r="P1032" i="1" s="1"/>
  <c r="Q1033" i="1"/>
  <c r="P1033" i="1" s="1"/>
  <c r="Q1034" i="1"/>
  <c r="P1034" i="1" s="1"/>
  <c r="Q1035" i="1"/>
  <c r="P1035" i="1" s="1"/>
  <c r="Q1036" i="1"/>
  <c r="P1036" i="1" s="1"/>
  <c r="Q1037" i="1"/>
  <c r="P1037" i="1" s="1"/>
  <c r="Q1038" i="1"/>
  <c r="P1038" i="1" s="1"/>
  <c r="Q1039" i="1"/>
  <c r="P1039" i="1" s="1"/>
  <c r="Q1040" i="1"/>
  <c r="P1040" i="1" s="1"/>
  <c r="Q1041" i="1"/>
  <c r="P1041" i="1" s="1"/>
  <c r="Q1042" i="1"/>
  <c r="P1042" i="1" s="1"/>
  <c r="Q1043" i="1"/>
  <c r="P1043" i="1" s="1"/>
  <c r="Q1044" i="1"/>
  <c r="P1044" i="1" s="1"/>
  <c r="Q1045" i="1"/>
  <c r="P1045" i="1" s="1"/>
  <c r="Q1046" i="1"/>
  <c r="P1046" i="1" s="1"/>
  <c r="Q1047" i="1"/>
  <c r="P1047" i="1" s="1"/>
  <c r="Q1048" i="1"/>
  <c r="P1048" i="1" s="1"/>
  <c r="Q1049" i="1"/>
  <c r="P1049" i="1" s="1"/>
  <c r="Q1050" i="1"/>
  <c r="P1050" i="1" s="1"/>
  <c r="Q1051" i="1"/>
  <c r="P1051" i="1" s="1"/>
  <c r="Q1052" i="1"/>
  <c r="P1052" i="1" s="1"/>
  <c r="H1024" i="1"/>
  <c r="H1025" i="1"/>
  <c r="H1026" i="1"/>
  <c r="J1024" i="1"/>
  <c r="J1025" i="1"/>
  <c r="J1026" i="1"/>
  <c r="Q1024" i="1"/>
  <c r="P1024" i="1" s="1"/>
  <c r="Q1025" i="1"/>
  <c r="P1025" i="1" s="1"/>
  <c r="Q1026" i="1"/>
  <c r="P1026" i="1" s="1"/>
  <c r="H1009" i="1"/>
  <c r="J1009" i="1"/>
  <c r="Q1009" i="1"/>
  <c r="P1009" i="1" s="1"/>
  <c r="H1008" i="1"/>
  <c r="J1008" i="1"/>
  <c r="Q1008" i="1"/>
  <c r="P1008" i="1" s="1"/>
  <c r="H1011" i="1"/>
  <c r="J1011" i="1"/>
  <c r="Q1011" i="1"/>
  <c r="P1011" i="1" s="1"/>
  <c r="H1010" i="1"/>
  <c r="J1010" i="1"/>
  <c r="Q1010" i="1"/>
  <c r="P1010" i="1" s="1"/>
  <c r="H1012" i="1"/>
  <c r="H1013" i="1"/>
  <c r="J1012" i="1"/>
  <c r="J1013" i="1"/>
  <c r="Q1012" i="1"/>
  <c r="P1012" i="1" s="1"/>
  <c r="Q1013" i="1"/>
  <c r="P1013" i="1" s="1"/>
  <c r="H969" i="1"/>
  <c r="J969" i="1"/>
  <c r="Q969" i="1"/>
  <c r="P969" i="1" s="1"/>
  <c r="H1002" i="1"/>
  <c r="H1003" i="1"/>
  <c r="H1004" i="1"/>
  <c r="H1005" i="1"/>
  <c r="J1002" i="1"/>
  <c r="J1003" i="1"/>
  <c r="J1004" i="1"/>
  <c r="J1005" i="1"/>
  <c r="Q1002" i="1"/>
  <c r="P1002" i="1" s="1"/>
  <c r="Q1003" i="1"/>
  <c r="P1003" i="1" s="1"/>
  <c r="Q1004" i="1"/>
  <c r="P1004" i="1" s="1"/>
  <c r="Q1005" i="1"/>
  <c r="P1005" i="1" s="1"/>
  <c r="H1001" i="1"/>
  <c r="J1001" i="1"/>
  <c r="Q1001" i="1"/>
  <c r="P1001" i="1" s="1"/>
  <c r="H1007" i="1"/>
  <c r="J1007" i="1"/>
  <c r="Q1007" i="1"/>
  <c r="P1007" i="1" s="1"/>
  <c r="H1006" i="1"/>
  <c r="J1006" i="1"/>
  <c r="Q1006" i="1"/>
  <c r="P1006" i="1" s="1"/>
  <c r="H965" i="1"/>
  <c r="J965" i="1"/>
  <c r="Q965" i="1"/>
  <c r="P965" i="1" s="1"/>
  <c r="H1000" i="1"/>
  <c r="J1000" i="1"/>
  <c r="Q1000" i="1"/>
  <c r="P1000" i="1" s="1"/>
  <c r="H988" i="1"/>
  <c r="H989" i="1"/>
  <c r="H990" i="1"/>
  <c r="J988" i="1"/>
  <c r="J989" i="1"/>
  <c r="J990" i="1"/>
  <c r="Q988" i="1"/>
  <c r="P988" i="1" s="1"/>
  <c r="Q989" i="1"/>
  <c r="P989" i="1" s="1"/>
  <c r="Q990" i="1"/>
  <c r="P990" i="1" s="1"/>
  <c r="H992" i="1"/>
  <c r="H993" i="1"/>
  <c r="H994" i="1"/>
  <c r="J992" i="1"/>
  <c r="J993" i="1"/>
  <c r="J994" i="1"/>
  <c r="Q992" i="1"/>
  <c r="P992" i="1" s="1"/>
  <c r="Q993" i="1"/>
  <c r="P993" i="1" s="1"/>
  <c r="Q994" i="1"/>
  <c r="P994" i="1" s="1"/>
  <c r="H991" i="1"/>
  <c r="J991" i="1"/>
  <c r="Q991" i="1"/>
  <c r="P991" i="1" s="1"/>
  <c r="H995" i="1"/>
  <c r="H996" i="1"/>
  <c r="H997" i="1"/>
  <c r="H998" i="1"/>
  <c r="J995" i="1"/>
  <c r="J996" i="1"/>
  <c r="J997" i="1"/>
  <c r="J998" i="1"/>
  <c r="Q995" i="1"/>
  <c r="P995" i="1" s="1"/>
  <c r="Q996" i="1"/>
  <c r="P996" i="1" s="1"/>
  <c r="Q997" i="1"/>
  <c r="P997" i="1" s="1"/>
  <c r="Q998" i="1"/>
  <c r="P998" i="1" s="1"/>
  <c r="H999" i="1"/>
  <c r="J999" i="1"/>
  <c r="Q999" i="1"/>
  <c r="P999" i="1" s="1"/>
  <c r="H966" i="1"/>
  <c r="J966" i="1"/>
  <c r="Q966" i="1"/>
  <c r="P966" i="1" s="1"/>
  <c r="H980" i="1"/>
  <c r="H981" i="1"/>
  <c r="H982" i="1"/>
  <c r="H983" i="1"/>
  <c r="H984" i="1"/>
  <c r="H985" i="1"/>
  <c r="H986" i="1"/>
  <c r="H987" i="1"/>
  <c r="J980" i="1"/>
  <c r="J981" i="1"/>
  <c r="J982" i="1"/>
  <c r="J983" i="1"/>
  <c r="J984" i="1"/>
  <c r="J985" i="1"/>
  <c r="J986" i="1"/>
  <c r="J987" i="1"/>
  <c r="Q980" i="1"/>
  <c r="P980" i="1" s="1"/>
  <c r="Q981" i="1"/>
  <c r="P981" i="1" s="1"/>
  <c r="Q982" i="1"/>
  <c r="P982" i="1" s="1"/>
  <c r="Q983" i="1"/>
  <c r="P983" i="1" s="1"/>
  <c r="Q984" i="1"/>
  <c r="P984" i="1" s="1"/>
  <c r="Q985" i="1"/>
  <c r="P985" i="1" s="1"/>
  <c r="Q986" i="1"/>
  <c r="P986" i="1" s="1"/>
  <c r="Q987" i="1"/>
  <c r="P987" i="1" s="1"/>
  <c r="H977" i="1"/>
  <c r="J977" i="1"/>
  <c r="Q977" i="1"/>
  <c r="P977" i="1" s="1"/>
  <c r="H978" i="1"/>
  <c r="J978" i="1"/>
  <c r="Q978" i="1"/>
  <c r="P978" i="1" s="1"/>
  <c r="H979" i="1"/>
  <c r="J979" i="1"/>
  <c r="Q979" i="1"/>
  <c r="P979" i="1" s="1"/>
  <c r="H976" i="1"/>
  <c r="J976" i="1"/>
  <c r="Q976" i="1"/>
  <c r="P976" i="1" s="1"/>
  <c r="H968" i="1"/>
  <c r="J968" i="1"/>
  <c r="Q968" i="1"/>
  <c r="P968" i="1" s="1"/>
  <c r="H967" i="1"/>
  <c r="J967" i="1"/>
  <c r="Q967" i="1"/>
  <c r="P967" i="1" s="1"/>
  <c r="H970" i="1"/>
  <c r="J970" i="1"/>
  <c r="Q970" i="1"/>
  <c r="P970" i="1" s="1"/>
  <c r="H971" i="1"/>
  <c r="J971" i="1"/>
  <c r="Q971" i="1"/>
  <c r="P971" i="1" s="1"/>
  <c r="H972" i="1"/>
  <c r="J972" i="1"/>
  <c r="Q972" i="1"/>
  <c r="P972" i="1" s="1"/>
  <c r="H973" i="1"/>
  <c r="J973" i="1"/>
  <c r="Q973" i="1"/>
  <c r="P973" i="1" s="1"/>
  <c r="J866" i="1"/>
  <c r="H866" i="1"/>
  <c r="Q866" i="1"/>
  <c r="P866" i="1" s="1"/>
  <c r="H949" i="1"/>
  <c r="J949" i="1"/>
  <c r="Q949" i="1"/>
  <c r="P949" i="1" s="1"/>
  <c r="H950" i="1"/>
  <c r="J950" i="1"/>
  <c r="Q950" i="1"/>
  <c r="P950" i="1" s="1"/>
  <c r="H951" i="1"/>
  <c r="J951" i="1"/>
  <c r="Q951" i="1"/>
  <c r="P951" i="1" s="1"/>
  <c r="H952" i="1"/>
  <c r="J952" i="1"/>
  <c r="Q952" i="1"/>
  <c r="P952" i="1" s="1"/>
  <c r="H953" i="1"/>
  <c r="J953" i="1"/>
  <c r="Q953" i="1"/>
  <c r="P953" i="1" s="1"/>
  <c r="H954" i="1"/>
  <c r="J954" i="1"/>
  <c r="Q954" i="1"/>
  <c r="P954" i="1" s="1"/>
  <c r="H948" i="1"/>
  <c r="J948" i="1"/>
  <c r="Q948" i="1"/>
  <c r="P948" i="1" s="1"/>
  <c r="H946" i="1"/>
  <c r="J946" i="1"/>
  <c r="Q946" i="1"/>
  <c r="P946" i="1" s="1"/>
  <c r="H947" i="1"/>
  <c r="J947" i="1"/>
  <c r="Q947" i="1"/>
  <c r="P947" i="1" s="1"/>
  <c r="H938" i="1"/>
  <c r="J938" i="1"/>
  <c r="Q938" i="1"/>
  <c r="P938" i="1" s="1"/>
  <c r="H939" i="1"/>
  <c r="J939" i="1"/>
  <c r="Q939" i="1"/>
  <c r="P939" i="1" s="1"/>
  <c r="H940" i="1"/>
  <c r="J940" i="1"/>
  <c r="Q940" i="1"/>
  <c r="P940" i="1" s="1"/>
  <c r="H941" i="1"/>
  <c r="J941" i="1"/>
  <c r="Q941" i="1"/>
  <c r="P941" i="1" s="1"/>
  <c r="H942" i="1"/>
  <c r="J942" i="1"/>
  <c r="Q942" i="1"/>
  <c r="P942" i="1" s="1"/>
  <c r="H943" i="1"/>
  <c r="J943" i="1"/>
  <c r="Q943" i="1"/>
  <c r="P943" i="1" s="1"/>
  <c r="H944" i="1"/>
  <c r="J944" i="1"/>
  <c r="Q944" i="1"/>
  <c r="P944" i="1" s="1"/>
  <c r="H945" i="1"/>
  <c r="J945" i="1"/>
  <c r="Q945" i="1"/>
  <c r="P945" i="1" s="1"/>
  <c r="H975" i="1"/>
  <c r="J975" i="1"/>
  <c r="Q975" i="1"/>
  <c r="P975" i="1" s="1"/>
  <c r="H974" i="1"/>
  <c r="J974" i="1"/>
  <c r="Q974" i="1"/>
  <c r="P974" i="1" s="1"/>
  <c r="H956" i="1"/>
  <c r="H957" i="1"/>
  <c r="H958" i="1"/>
  <c r="H959" i="1"/>
  <c r="H960" i="1"/>
  <c r="H961" i="1"/>
  <c r="H962" i="1"/>
  <c r="H963" i="1"/>
  <c r="H964" i="1"/>
  <c r="J956" i="1"/>
  <c r="J957" i="1"/>
  <c r="J958" i="1"/>
  <c r="J959" i="1"/>
  <c r="J960" i="1"/>
  <c r="J961" i="1"/>
  <c r="J962" i="1"/>
  <c r="J963" i="1"/>
  <c r="J964" i="1"/>
  <c r="Q956" i="1"/>
  <c r="P956" i="1" s="1"/>
  <c r="Q957" i="1"/>
  <c r="P957" i="1" s="1"/>
  <c r="Q958" i="1"/>
  <c r="P958" i="1" s="1"/>
  <c r="Q959" i="1"/>
  <c r="P959" i="1" s="1"/>
  <c r="Q960" i="1"/>
  <c r="P960" i="1" s="1"/>
  <c r="Q961" i="1"/>
  <c r="P961" i="1" s="1"/>
  <c r="Q962" i="1"/>
  <c r="P962" i="1" s="1"/>
  <c r="Q963" i="1"/>
  <c r="P963" i="1" s="1"/>
  <c r="Q964" i="1"/>
  <c r="P964" i="1" s="1"/>
  <c r="H955" i="1"/>
  <c r="J955" i="1"/>
  <c r="Q955" i="1"/>
  <c r="P955" i="1" s="1"/>
  <c r="H934" i="1"/>
  <c r="H935" i="1"/>
  <c r="H936" i="1"/>
  <c r="H937" i="1"/>
  <c r="J934" i="1"/>
  <c r="J935" i="1"/>
  <c r="J936" i="1"/>
  <c r="J937" i="1"/>
  <c r="Q934" i="1"/>
  <c r="P934" i="1" s="1"/>
  <c r="Q935" i="1"/>
  <c r="P935" i="1" s="1"/>
  <c r="Q936" i="1"/>
  <c r="P936" i="1" s="1"/>
  <c r="Q937" i="1"/>
  <c r="P937" i="1" s="1"/>
  <c r="H931" i="1"/>
  <c r="H932" i="1"/>
  <c r="H933" i="1"/>
  <c r="J931" i="1"/>
  <c r="J932" i="1"/>
  <c r="J933" i="1"/>
  <c r="Q931" i="1"/>
  <c r="P931" i="1" s="1"/>
  <c r="Q932" i="1"/>
  <c r="P932" i="1" s="1"/>
  <c r="Q933" i="1"/>
  <c r="P933" i="1" s="1"/>
  <c r="Q929" i="1"/>
  <c r="P929" i="1" s="1"/>
  <c r="Q928" i="1"/>
  <c r="P928" i="1" s="1"/>
  <c r="Q927" i="1"/>
  <c r="P927" i="1" s="1"/>
  <c r="H927" i="1"/>
  <c r="H928" i="1"/>
  <c r="H929" i="1"/>
  <c r="J927" i="1"/>
  <c r="J928" i="1"/>
  <c r="J929" i="1"/>
  <c r="H926" i="1"/>
  <c r="J926" i="1"/>
  <c r="Q926" i="1"/>
  <c r="P926" i="1" s="1"/>
  <c r="H930" i="1"/>
  <c r="J930" i="1"/>
  <c r="Q930" i="1"/>
  <c r="P930" i="1" s="1"/>
  <c r="H925" i="1"/>
  <c r="J925" i="1"/>
  <c r="Q925" i="1"/>
  <c r="P925" i="1" s="1"/>
  <c r="H924" i="1"/>
  <c r="J924" i="1"/>
  <c r="Q924" i="1"/>
  <c r="P924" i="1" s="1"/>
  <c r="H923" i="1"/>
  <c r="J923" i="1"/>
  <c r="Q923" i="1"/>
  <c r="P923" i="1" s="1"/>
  <c r="H922" i="1"/>
  <c r="J922" i="1"/>
  <c r="Q922" i="1"/>
  <c r="P922" i="1" s="1"/>
  <c r="H921" i="1"/>
  <c r="J921" i="1"/>
  <c r="Q921" i="1"/>
  <c r="P921" i="1" s="1"/>
  <c r="H920" i="1"/>
  <c r="J920" i="1"/>
  <c r="Q920" i="1"/>
  <c r="P920" i="1" s="1"/>
  <c r="H909" i="1"/>
  <c r="H910" i="1"/>
  <c r="H911" i="1"/>
  <c r="H912" i="1"/>
  <c r="H913" i="1"/>
  <c r="H914" i="1"/>
  <c r="H915" i="1"/>
  <c r="H916" i="1"/>
  <c r="H917" i="1"/>
  <c r="H918" i="1"/>
  <c r="H919" i="1"/>
  <c r="J909" i="1"/>
  <c r="J910" i="1"/>
  <c r="J911" i="1"/>
  <c r="J912" i="1"/>
  <c r="J913" i="1"/>
  <c r="J914" i="1"/>
  <c r="J915" i="1"/>
  <c r="J916" i="1"/>
  <c r="J917" i="1"/>
  <c r="J918" i="1"/>
  <c r="J919" i="1"/>
  <c r="Q909" i="1"/>
  <c r="P909" i="1" s="1"/>
  <c r="Q910" i="1"/>
  <c r="P910" i="1" s="1"/>
  <c r="Q911" i="1"/>
  <c r="P911" i="1" s="1"/>
  <c r="Q912" i="1"/>
  <c r="P912" i="1" s="1"/>
  <c r="Q913" i="1"/>
  <c r="P913" i="1" s="1"/>
  <c r="Q914" i="1"/>
  <c r="P914" i="1" s="1"/>
  <c r="Q915" i="1"/>
  <c r="P915" i="1" s="1"/>
  <c r="Q916" i="1"/>
  <c r="P916" i="1" s="1"/>
  <c r="Q917" i="1"/>
  <c r="P917" i="1" s="1"/>
  <c r="Q918" i="1"/>
  <c r="P918" i="1" s="1"/>
  <c r="Q919" i="1"/>
  <c r="P919" i="1" s="1"/>
  <c r="H907" i="1"/>
  <c r="J907" i="1"/>
  <c r="Q907" i="1"/>
  <c r="P907" i="1" s="1"/>
  <c r="H883" i="1"/>
  <c r="J883" i="1"/>
  <c r="Q883" i="1"/>
  <c r="P883" i="1" s="1"/>
  <c r="J908" i="1"/>
  <c r="J889" i="1"/>
  <c r="J888" i="1"/>
  <c r="J887" i="1"/>
  <c r="J886" i="1"/>
  <c r="J879" i="1"/>
  <c r="J878" i="1"/>
  <c r="J877" i="1"/>
  <c r="J876" i="1"/>
  <c r="J875" i="1"/>
  <c r="J874" i="1"/>
  <c r="J873" i="1"/>
  <c r="J872" i="1"/>
  <c r="J871" i="1"/>
  <c r="J870" i="1"/>
  <c r="J869" i="1"/>
  <c r="J868" i="1"/>
  <c r="J867" i="1"/>
  <c r="J865" i="1"/>
  <c r="J864" i="1"/>
  <c r="J863" i="1"/>
  <c r="J862" i="1"/>
  <c r="J861" i="1"/>
  <c r="J833" i="1"/>
  <c r="H908" i="1"/>
  <c r="Q908" i="1"/>
  <c r="P908" i="1" s="1"/>
  <c r="H906" i="1"/>
  <c r="J906" i="1"/>
  <c r="Q906" i="1"/>
  <c r="P906" i="1" s="1"/>
  <c r="H898" i="1"/>
  <c r="H899" i="1"/>
  <c r="H900" i="1"/>
  <c r="H901" i="1"/>
  <c r="H902" i="1"/>
  <c r="H903" i="1"/>
  <c r="H904" i="1"/>
  <c r="H905" i="1"/>
  <c r="J898" i="1"/>
  <c r="J899" i="1"/>
  <c r="J900" i="1"/>
  <c r="J901" i="1"/>
  <c r="J902" i="1"/>
  <c r="J903" i="1"/>
  <c r="J904" i="1"/>
  <c r="J905" i="1"/>
  <c r="Q898" i="1"/>
  <c r="P898" i="1" s="1"/>
  <c r="Q899" i="1"/>
  <c r="P899" i="1" s="1"/>
  <c r="Q900" i="1"/>
  <c r="P900" i="1" s="1"/>
  <c r="Q901" i="1"/>
  <c r="P901" i="1" s="1"/>
  <c r="Q902" i="1"/>
  <c r="P902" i="1" s="1"/>
  <c r="Q903" i="1"/>
  <c r="P903" i="1" s="1"/>
  <c r="Q904" i="1"/>
  <c r="P904" i="1" s="1"/>
  <c r="Q905" i="1"/>
  <c r="P905" i="1" s="1"/>
  <c r="H897" i="1"/>
  <c r="J897" i="1"/>
  <c r="Q897" i="1"/>
  <c r="P897" i="1" s="1"/>
  <c r="H891" i="1"/>
  <c r="H892" i="1"/>
  <c r="H893" i="1"/>
  <c r="H894" i="1"/>
  <c r="J891" i="1"/>
  <c r="J892" i="1"/>
  <c r="J893" i="1"/>
  <c r="J894" i="1"/>
  <c r="Q891" i="1"/>
  <c r="P891" i="1" s="1"/>
  <c r="Q892" i="1"/>
  <c r="P892" i="1" s="1"/>
  <c r="Q893" i="1"/>
  <c r="P893" i="1" s="1"/>
  <c r="Q894" i="1"/>
  <c r="P894" i="1" s="1"/>
  <c r="H895" i="1"/>
  <c r="J895" i="1"/>
  <c r="Q895" i="1"/>
  <c r="P895" i="1" s="1"/>
  <c r="H896" i="1"/>
  <c r="J896" i="1"/>
  <c r="Q896" i="1"/>
  <c r="P896" i="1" s="1"/>
  <c r="H886" i="1"/>
  <c r="H887" i="1"/>
  <c r="H888" i="1"/>
  <c r="H889" i="1"/>
  <c r="Q886" i="1"/>
  <c r="P886" i="1" s="1"/>
  <c r="Q887" i="1"/>
  <c r="P887" i="1" s="1"/>
  <c r="Q888" i="1"/>
  <c r="P888" i="1" s="1"/>
  <c r="Q889" i="1"/>
  <c r="P889" i="1" s="1"/>
  <c r="H890" i="1"/>
  <c r="J890" i="1"/>
  <c r="Q890" i="1"/>
  <c r="P890" i="1" s="1"/>
  <c r="H832" i="1"/>
  <c r="Q832" i="1"/>
  <c r="P832" i="1" s="1"/>
  <c r="J832" i="1"/>
  <c r="H884" i="1"/>
  <c r="H885" i="1"/>
  <c r="J884" i="1"/>
  <c r="J885" i="1"/>
  <c r="Q884" i="1"/>
  <c r="P884" i="1" s="1"/>
  <c r="Q885" i="1"/>
  <c r="P885" i="1" s="1"/>
  <c r="H882" i="1"/>
  <c r="J882" i="1"/>
  <c r="Q882" i="1"/>
  <c r="P882" i="1" s="1"/>
  <c r="H881" i="1"/>
  <c r="J881" i="1"/>
  <c r="Q881" i="1"/>
  <c r="P881" i="1" s="1"/>
  <c r="Q851" i="1"/>
  <c r="P851" i="1" s="1"/>
  <c r="Q850" i="1"/>
  <c r="P850" i="1" s="1"/>
  <c r="Q849" i="1"/>
  <c r="P849" i="1" s="1"/>
  <c r="Q848" i="1"/>
  <c r="P848" i="1" s="1"/>
  <c r="Q847" i="1"/>
  <c r="P847" i="1" s="1"/>
  <c r="Q846" i="1"/>
  <c r="P846" i="1" s="1"/>
  <c r="Q845" i="1"/>
  <c r="P845" i="1" s="1"/>
  <c r="Q844" i="1"/>
  <c r="P844" i="1" s="1"/>
  <c r="Q843" i="1"/>
  <c r="P843" i="1" s="1"/>
  <c r="Q842" i="1"/>
  <c r="P842" i="1" s="1"/>
  <c r="Q841" i="1"/>
  <c r="P841" i="1" s="1"/>
  <c r="Q840" i="1"/>
  <c r="P840" i="1" s="1"/>
  <c r="Q839" i="1"/>
  <c r="P839" i="1" s="1"/>
  <c r="Q838" i="1"/>
  <c r="P838" i="1" s="1"/>
  <c r="Q837" i="1"/>
  <c r="P837" i="1" s="1"/>
  <c r="Q836" i="1"/>
  <c r="P836" i="1" s="1"/>
  <c r="Q835" i="1"/>
  <c r="P835" i="1" s="1"/>
  <c r="H834" i="1"/>
  <c r="H835" i="1"/>
  <c r="H836" i="1"/>
  <c r="H837" i="1"/>
  <c r="H838" i="1"/>
  <c r="H839" i="1"/>
  <c r="H840" i="1"/>
  <c r="H841" i="1"/>
  <c r="H842" i="1"/>
  <c r="H843" i="1"/>
  <c r="H844" i="1"/>
  <c r="H845" i="1"/>
  <c r="H846" i="1"/>
  <c r="H847" i="1"/>
  <c r="H848" i="1"/>
  <c r="H849" i="1"/>
  <c r="H850" i="1"/>
  <c r="H851" i="1"/>
  <c r="J834" i="1"/>
  <c r="J835" i="1"/>
  <c r="J836" i="1"/>
  <c r="J837" i="1"/>
  <c r="J838" i="1"/>
  <c r="J839" i="1"/>
  <c r="J840" i="1"/>
  <c r="J841" i="1"/>
  <c r="J842" i="1"/>
  <c r="J843" i="1"/>
  <c r="J844" i="1"/>
  <c r="J845" i="1"/>
  <c r="J846" i="1"/>
  <c r="J847" i="1"/>
  <c r="J848" i="1"/>
  <c r="J849" i="1"/>
  <c r="J850" i="1"/>
  <c r="J851" i="1"/>
  <c r="Q834" i="1"/>
  <c r="P834" i="1" s="1"/>
  <c r="H852" i="1"/>
  <c r="H853" i="1"/>
  <c r="H854" i="1"/>
  <c r="J852" i="1"/>
  <c r="J853" i="1"/>
  <c r="J854" i="1"/>
  <c r="Q852" i="1"/>
  <c r="P852" i="1" s="1"/>
  <c r="Q853" i="1"/>
  <c r="P853" i="1" s="1"/>
  <c r="Q854" i="1"/>
  <c r="P854" i="1" s="1"/>
  <c r="H855" i="1"/>
  <c r="H856" i="1"/>
  <c r="H857" i="1"/>
  <c r="H858" i="1"/>
  <c r="H859" i="1"/>
  <c r="H860" i="1"/>
  <c r="J855" i="1"/>
  <c r="J856" i="1"/>
  <c r="J857" i="1"/>
  <c r="J858" i="1"/>
  <c r="J859" i="1"/>
  <c r="J860" i="1"/>
  <c r="Q855" i="1"/>
  <c r="P855" i="1" s="1"/>
  <c r="Q856" i="1"/>
  <c r="P856" i="1" s="1"/>
  <c r="Q857" i="1"/>
  <c r="P857" i="1" s="1"/>
  <c r="Q858" i="1"/>
  <c r="P858" i="1" s="1"/>
  <c r="Q859" i="1"/>
  <c r="P859" i="1" s="1"/>
  <c r="Q860" i="1"/>
  <c r="P860" i="1" s="1"/>
  <c r="Q879" i="1"/>
  <c r="P879" i="1" s="1"/>
  <c r="Q878" i="1"/>
  <c r="P878" i="1" s="1"/>
  <c r="Q877" i="1"/>
  <c r="P877" i="1" s="1"/>
  <c r="Q876" i="1"/>
  <c r="P876" i="1" s="1"/>
  <c r="Q875" i="1"/>
  <c r="P875" i="1" s="1"/>
  <c r="Q874" i="1"/>
  <c r="P874" i="1" s="1"/>
  <c r="Q873" i="1"/>
  <c r="P873" i="1" s="1"/>
  <c r="Q872" i="1"/>
  <c r="P872" i="1" s="1"/>
  <c r="Q871" i="1"/>
  <c r="P871" i="1" s="1"/>
  <c r="Q870" i="1"/>
  <c r="P870" i="1" s="1"/>
  <c r="Q869" i="1"/>
  <c r="P869" i="1" s="1"/>
  <c r="Q868" i="1"/>
  <c r="P868" i="1" s="1"/>
  <c r="Q867" i="1"/>
  <c r="P867" i="1" s="1"/>
  <c r="Q865" i="1"/>
  <c r="P865" i="1" s="1"/>
  <c r="Q864" i="1"/>
  <c r="P864" i="1" s="1"/>
  <c r="Q863" i="1"/>
  <c r="P863" i="1" s="1"/>
  <c r="Q862" i="1"/>
  <c r="P862" i="1" s="1"/>
  <c r="H861" i="1"/>
  <c r="H862" i="1"/>
  <c r="H863" i="1"/>
  <c r="H864" i="1"/>
  <c r="H865" i="1"/>
  <c r="H867" i="1"/>
  <c r="H868" i="1"/>
  <c r="H869" i="1"/>
  <c r="H871" i="1"/>
  <c r="H872" i="1"/>
  <c r="H873" i="1"/>
  <c r="H874" i="1"/>
  <c r="H875" i="1"/>
  <c r="H876" i="1"/>
  <c r="H877" i="1"/>
  <c r="H878" i="1"/>
  <c r="H879" i="1"/>
  <c r="Q861" i="1"/>
  <c r="P861" i="1" s="1"/>
  <c r="H880" i="1"/>
  <c r="J880" i="1"/>
  <c r="Q880" i="1"/>
  <c r="P880" i="1" s="1"/>
  <c r="H831" i="1"/>
  <c r="J831" i="1"/>
  <c r="Q831" i="1"/>
  <c r="P831" i="1" s="1"/>
  <c r="H833" i="1"/>
  <c r="Q833" i="1"/>
  <c r="P833" i="1" s="1"/>
  <c r="H808" i="1"/>
  <c r="H809" i="1"/>
  <c r="H810" i="1"/>
  <c r="H811" i="1"/>
  <c r="H812" i="1"/>
  <c r="J808" i="1"/>
  <c r="J809" i="1"/>
  <c r="J810" i="1"/>
  <c r="J811" i="1"/>
  <c r="J812" i="1"/>
  <c r="Q808" i="1"/>
  <c r="P808" i="1" s="1"/>
  <c r="Q809" i="1"/>
  <c r="P809" i="1" s="1"/>
  <c r="Q810" i="1"/>
  <c r="P810" i="1" s="1"/>
  <c r="Q811" i="1"/>
  <c r="P811" i="1" s="1"/>
  <c r="Q812" i="1"/>
  <c r="P812" i="1" s="1"/>
  <c r="H814" i="1"/>
  <c r="H815" i="1"/>
  <c r="H816" i="1"/>
  <c r="H817" i="1"/>
  <c r="H818" i="1"/>
  <c r="H819" i="1"/>
  <c r="H820" i="1"/>
  <c r="H821" i="1"/>
  <c r="H822" i="1"/>
  <c r="H823" i="1"/>
  <c r="H824" i="1"/>
  <c r="H825" i="1"/>
  <c r="H826" i="1"/>
  <c r="H827" i="1"/>
  <c r="H828" i="1"/>
  <c r="H829" i="1"/>
  <c r="H830" i="1"/>
  <c r="J814" i="1"/>
  <c r="J815" i="1"/>
  <c r="J816" i="1"/>
  <c r="J817" i="1"/>
  <c r="J818" i="1"/>
  <c r="J819" i="1"/>
  <c r="J820" i="1"/>
  <c r="J821" i="1"/>
  <c r="J822" i="1"/>
  <c r="J823" i="1"/>
  <c r="J824" i="1"/>
  <c r="J825" i="1"/>
  <c r="J826" i="1"/>
  <c r="J827" i="1"/>
  <c r="J828" i="1"/>
  <c r="J829" i="1"/>
  <c r="J830" i="1"/>
  <c r="Q814" i="1"/>
  <c r="P814" i="1" s="1"/>
  <c r="Q815" i="1"/>
  <c r="P815" i="1" s="1"/>
  <c r="Q816" i="1"/>
  <c r="P816" i="1" s="1"/>
  <c r="Q817" i="1"/>
  <c r="P817" i="1" s="1"/>
  <c r="Q818" i="1"/>
  <c r="P818" i="1" s="1"/>
  <c r="Q819" i="1"/>
  <c r="P819" i="1" s="1"/>
  <c r="Q820" i="1"/>
  <c r="P820" i="1" s="1"/>
  <c r="Q821" i="1"/>
  <c r="P821" i="1" s="1"/>
  <c r="Q822" i="1"/>
  <c r="P822" i="1" s="1"/>
  <c r="Q823" i="1"/>
  <c r="P823" i="1" s="1"/>
  <c r="Q824" i="1"/>
  <c r="P824" i="1" s="1"/>
  <c r="Q825" i="1"/>
  <c r="P825" i="1" s="1"/>
  <c r="Q826" i="1"/>
  <c r="P826" i="1" s="1"/>
  <c r="Q827" i="1"/>
  <c r="P827" i="1" s="1"/>
  <c r="Q828" i="1"/>
  <c r="P828" i="1" s="1"/>
  <c r="Q829" i="1"/>
  <c r="P829" i="1" s="1"/>
  <c r="Q830" i="1"/>
  <c r="P830" i="1" s="1"/>
  <c r="H813" i="1"/>
  <c r="J813" i="1"/>
  <c r="Q813" i="1"/>
  <c r="P813" i="1" s="1"/>
  <c r="H764" i="1"/>
  <c r="H765" i="1"/>
  <c r="H766" i="1"/>
  <c r="H767" i="1"/>
  <c r="H768" i="1"/>
  <c r="H769" i="1"/>
  <c r="H770" i="1"/>
  <c r="H771" i="1"/>
  <c r="J764" i="1"/>
  <c r="J765" i="1"/>
  <c r="J766" i="1"/>
  <c r="J767" i="1"/>
  <c r="J768" i="1"/>
  <c r="J769" i="1"/>
  <c r="J770" i="1"/>
  <c r="J771" i="1"/>
  <c r="Q764" i="1"/>
  <c r="P764" i="1" s="1"/>
  <c r="Q765" i="1"/>
  <c r="P765" i="1" s="1"/>
  <c r="Q766" i="1"/>
  <c r="P766" i="1" s="1"/>
  <c r="Q767" i="1"/>
  <c r="P767" i="1" s="1"/>
  <c r="Q768" i="1"/>
  <c r="P768" i="1" s="1"/>
  <c r="Q769" i="1"/>
  <c r="P769" i="1" s="1"/>
  <c r="Q770" i="1"/>
  <c r="P770" i="1" s="1"/>
  <c r="Q771" i="1"/>
  <c r="P771" i="1" s="1"/>
  <c r="Q773" i="1"/>
  <c r="P773" i="1" s="1"/>
  <c r="Q772" i="1"/>
  <c r="P772" i="1" s="1"/>
  <c r="J773" i="1"/>
  <c r="J772" i="1"/>
  <c r="H773" i="1"/>
  <c r="H772" i="1"/>
  <c r="H774" i="1"/>
  <c r="J774" i="1"/>
  <c r="Q774" i="1"/>
  <c r="P774" i="1" s="1"/>
  <c r="H775" i="1"/>
  <c r="H776" i="1"/>
  <c r="H777" i="1"/>
  <c r="H778" i="1"/>
  <c r="H779" i="1"/>
  <c r="H780" i="1"/>
  <c r="H781" i="1"/>
  <c r="H782" i="1"/>
  <c r="H783" i="1"/>
  <c r="H784" i="1"/>
  <c r="H785" i="1"/>
  <c r="J775" i="1"/>
  <c r="J776" i="1"/>
  <c r="J777" i="1"/>
  <c r="J778" i="1"/>
  <c r="J779" i="1"/>
  <c r="J780" i="1"/>
  <c r="J781" i="1"/>
  <c r="J782" i="1"/>
  <c r="J783" i="1"/>
  <c r="J784" i="1"/>
  <c r="J785" i="1"/>
  <c r="Q775" i="1"/>
  <c r="P775" i="1" s="1"/>
  <c r="Q776" i="1"/>
  <c r="P776" i="1" s="1"/>
  <c r="Q777" i="1"/>
  <c r="P777" i="1" s="1"/>
  <c r="Q778" i="1"/>
  <c r="P778" i="1" s="1"/>
  <c r="Q779" i="1"/>
  <c r="P779" i="1" s="1"/>
  <c r="Q780" i="1"/>
  <c r="P780" i="1" s="1"/>
  <c r="Q781" i="1"/>
  <c r="P781" i="1" s="1"/>
  <c r="Q782" i="1"/>
  <c r="P782" i="1" s="1"/>
  <c r="Q783" i="1"/>
  <c r="P783" i="1" s="1"/>
  <c r="Q784" i="1"/>
  <c r="P784" i="1" s="1"/>
  <c r="Q785" i="1"/>
  <c r="P785" i="1" s="1"/>
  <c r="H786" i="1"/>
  <c r="H787" i="1"/>
  <c r="H788" i="1"/>
  <c r="H789" i="1"/>
  <c r="H790" i="1"/>
  <c r="H791" i="1"/>
  <c r="H792" i="1"/>
  <c r="H793" i="1"/>
  <c r="H794" i="1"/>
  <c r="H795" i="1"/>
  <c r="H796" i="1"/>
  <c r="H797" i="1"/>
  <c r="H798" i="1"/>
  <c r="H799" i="1"/>
  <c r="H800" i="1"/>
  <c r="H801" i="1"/>
  <c r="H802" i="1"/>
  <c r="H803" i="1"/>
  <c r="H804" i="1"/>
  <c r="H805" i="1"/>
  <c r="H806" i="1"/>
  <c r="H807" i="1"/>
  <c r="J786" i="1"/>
  <c r="J787" i="1"/>
  <c r="J788" i="1"/>
  <c r="J789" i="1"/>
  <c r="J790" i="1"/>
  <c r="J791" i="1"/>
  <c r="J792" i="1"/>
  <c r="J793" i="1"/>
  <c r="J794" i="1"/>
  <c r="J795" i="1"/>
  <c r="J796" i="1"/>
  <c r="J797" i="1"/>
  <c r="J798" i="1"/>
  <c r="J799" i="1"/>
  <c r="J800" i="1"/>
  <c r="J801" i="1"/>
  <c r="J802" i="1"/>
  <c r="J803" i="1"/>
  <c r="J804" i="1"/>
  <c r="J805" i="1"/>
  <c r="J806" i="1"/>
  <c r="J807" i="1"/>
  <c r="Q786" i="1"/>
  <c r="P786" i="1" s="1"/>
  <c r="Q787" i="1"/>
  <c r="P787" i="1" s="1"/>
  <c r="Q788" i="1"/>
  <c r="P788" i="1" s="1"/>
  <c r="Q789" i="1"/>
  <c r="P789" i="1" s="1"/>
  <c r="Q790" i="1"/>
  <c r="P790" i="1" s="1"/>
  <c r="Q791" i="1"/>
  <c r="P791" i="1" s="1"/>
  <c r="Q792" i="1"/>
  <c r="P792" i="1" s="1"/>
  <c r="Q793" i="1"/>
  <c r="P793" i="1" s="1"/>
  <c r="Q794" i="1"/>
  <c r="P794" i="1" s="1"/>
  <c r="Q795" i="1"/>
  <c r="P795" i="1" s="1"/>
  <c r="Q796" i="1"/>
  <c r="P796" i="1" s="1"/>
  <c r="Q797" i="1"/>
  <c r="P797" i="1" s="1"/>
  <c r="Q798" i="1"/>
  <c r="P798" i="1" s="1"/>
  <c r="Q799" i="1"/>
  <c r="P799" i="1" s="1"/>
  <c r="Q800" i="1"/>
  <c r="P800" i="1" s="1"/>
  <c r="Q801" i="1"/>
  <c r="P801" i="1" s="1"/>
  <c r="Q802" i="1"/>
  <c r="P802" i="1" s="1"/>
  <c r="Q803" i="1"/>
  <c r="P803" i="1" s="1"/>
  <c r="Q804" i="1"/>
  <c r="P804" i="1" s="1"/>
  <c r="Q805" i="1"/>
  <c r="P805" i="1" s="1"/>
  <c r="Q806" i="1"/>
  <c r="P806" i="1" s="1"/>
  <c r="Q807" i="1"/>
  <c r="P807" i="1" s="1"/>
  <c r="H761" i="1"/>
  <c r="J761" i="1"/>
  <c r="Q761" i="1"/>
  <c r="P761" i="1" s="1"/>
  <c r="H762" i="1"/>
  <c r="H763" i="1"/>
  <c r="J762" i="1"/>
  <c r="J763" i="1"/>
  <c r="Q762" i="1"/>
  <c r="P762" i="1" s="1"/>
  <c r="Q763" i="1"/>
  <c r="P763" i="1" s="1"/>
  <c r="H755" i="1"/>
  <c r="J755" i="1"/>
  <c r="Q755" i="1"/>
  <c r="P755" i="1" s="1"/>
  <c r="H754" i="1"/>
  <c r="J754" i="1"/>
  <c r="Q754" i="1"/>
  <c r="P754" i="1" s="1"/>
  <c r="H757" i="1"/>
  <c r="H758" i="1"/>
  <c r="H759" i="1"/>
  <c r="J757" i="1"/>
  <c r="J758" i="1"/>
  <c r="J759" i="1"/>
  <c r="Q757" i="1"/>
  <c r="P757" i="1" s="1"/>
  <c r="Q758" i="1"/>
  <c r="P758" i="1" s="1"/>
  <c r="Q759" i="1"/>
  <c r="P759" i="1" s="1"/>
  <c r="H756" i="1"/>
  <c r="J756" i="1"/>
  <c r="Q756" i="1"/>
  <c r="P756" i="1" s="1"/>
  <c r="H760" i="1"/>
  <c r="J760" i="1"/>
  <c r="Q760" i="1"/>
  <c r="P760" i="1" s="1"/>
  <c r="H739" i="1"/>
  <c r="H740" i="1"/>
  <c r="H741" i="1"/>
  <c r="H742" i="1"/>
  <c r="H743" i="1"/>
  <c r="H744" i="1"/>
  <c r="H745" i="1"/>
  <c r="H746" i="1"/>
  <c r="H747" i="1"/>
  <c r="H748" i="1"/>
  <c r="H749" i="1"/>
  <c r="H750" i="1"/>
  <c r="H751" i="1"/>
  <c r="H752" i="1"/>
  <c r="H753" i="1"/>
  <c r="J739" i="1"/>
  <c r="J740" i="1"/>
  <c r="J741" i="1"/>
  <c r="J742" i="1"/>
  <c r="J743" i="1"/>
  <c r="J744" i="1"/>
  <c r="J745" i="1"/>
  <c r="J746" i="1"/>
  <c r="J747" i="1"/>
  <c r="J748" i="1"/>
  <c r="J749" i="1"/>
  <c r="J750" i="1"/>
  <c r="J751" i="1"/>
  <c r="J752" i="1"/>
  <c r="J753" i="1"/>
  <c r="Q739" i="1"/>
  <c r="P739" i="1" s="1"/>
  <c r="Q740" i="1"/>
  <c r="P740" i="1" s="1"/>
  <c r="Q741" i="1"/>
  <c r="P741" i="1" s="1"/>
  <c r="Q742" i="1"/>
  <c r="P742" i="1" s="1"/>
  <c r="Q743" i="1"/>
  <c r="P743" i="1" s="1"/>
  <c r="Q744" i="1"/>
  <c r="P744" i="1" s="1"/>
  <c r="Q745" i="1"/>
  <c r="P745" i="1" s="1"/>
  <c r="Q746" i="1"/>
  <c r="P746" i="1" s="1"/>
  <c r="Q747" i="1"/>
  <c r="P747" i="1" s="1"/>
  <c r="Q748" i="1"/>
  <c r="P748" i="1" s="1"/>
  <c r="Q749" i="1"/>
  <c r="P749" i="1" s="1"/>
  <c r="Q750" i="1"/>
  <c r="P750" i="1" s="1"/>
  <c r="Q751" i="1"/>
  <c r="P751" i="1" s="1"/>
  <c r="Q752" i="1"/>
  <c r="P752" i="1" s="1"/>
  <c r="Q753" i="1"/>
  <c r="P753" i="1" s="1"/>
  <c r="H676" i="1"/>
  <c r="H677" i="1"/>
  <c r="H678" i="1"/>
  <c r="H679" i="1"/>
  <c r="H680" i="1"/>
  <c r="H681" i="1"/>
  <c r="H682" i="1"/>
  <c r="H683" i="1"/>
  <c r="H684" i="1"/>
  <c r="H685" i="1"/>
  <c r="H686" i="1"/>
  <c r="H687" i="1"/>
  <c r="H688" i="1"/>
  <c r="H689" i="1"/>
  <c r="J676" i="1"/>
  <c r="J677" i="1"/>
  <c r="J678" i="1"/>
  <c r="J679" i="1"/>
  <c r="J680" i="1"/>
  <c r="J681" i="1"/>
  <c r="J682" i="1"/>
  <c r="J683" i="1"/>
  <c r="J684" i="1"/>
  <c r="J685" i="1"/>
  <c r="J686" i="1"/>
  <c r="J687" i="1"/>
  <c r="J688" i="1"/>
  <c r="J689" i="1"/>
  <c r="Q676" i="1"/>
  <c r="P676" i="1" s="1"/>
  <c r="Q677" i="1"/>
  <c r="P677" i="1" s="1"/>
  <c r="Q678" i="1"/>
  <c r="P678" i="1" s="1"/>
  <c r="Q679" i="1"/>
  <c r="P679" i="1" s="1"/>
  <c r="Q680" i="1"/>
  <c r="P680" i="1" s="1"/>
  <c r="Q681" i="1"/>
  <c r="P681" i="1" s="1"/>
  <c r="Q682" i="1"/>
  <c r="P682" i="1" s="1"/>
  <c r="Q683" i="1"/>
  <c r="P683" i="1" s="1"/>
  <c r="Q684" i="1"/>
  <c r="P684" i="1" s="1"/>
  <c r="Q685" i="1"/>
  <c r="P685" i="1" s="1"/>
  <c r="Q686" i="1"/>
  <c r="P686" i="1" s="1"/>
  <c r="Q687" i="1"/>
  <c r="P687" i="1" s="1"/>
  <c r="Q688" i="1"/>
  <c r="P688" i="1" s="1"/>
  <c r="Q689" i="1"/>
  <c r="P689" i="1" s="1"/>
  <c r="Q735" i="1"/>
  <c r="P735" i="1" s="1"/>
  <c r="Q734" i="1"/>
  <c r="P734" i="1" s="1"/>
  <c r="Q733" i="1"/>
  <c r="P733" i="1" s="1"/>
  <c r="Q732" i="1"/>
  <c r="P732" i="1" s="1"/>
  <c r="Q731" i="1"/>
  <c r="P731" i="1" s="1"/>
  <c r="Q730" i="1"/>
  <c r="P730" i="1" s="1"/>
  <c r="Q729" i="1"/>
  <c r="P729" i="1" s="1"/>
  <c r="Q728" i="1"/>
  <c r="P728" i="1" s="1"/>
  <c r="Q727" i="1"/>
  <c r="P727" i="1" s="1"/>
  <c r="Q726" i="1"/>
  <c r="P726" i="1" s="1"/>
  <c r="Q725" i="1"/>
  <c r="P725" i="1" s="1"/>
  <c r="Q724" i="1"/>
  <c r="P724" i="1" s="1"/>
  <c r="Q723" i="1"/>
  <c r="P723" i="1" s="1"/>
  <c r="Q722" i="1"/>
  <c r="P722" i="1" s="1"/>
  <c r="Q721" i="1"/>
  <c r="P721" i="1" s="1"/>
  <c r="Q720" i="1"/>
  <c r="P720" i="1" s="1"/>
  <c r="Q719" i="1"/>
  <c r="P719" i="1" s="1"/>
  <c r="Q718" i="1"/>
  <c r="P718" i="1" s="1"/>
  <c r="Q717" i="1"/>
  <c r="P717" i="1" s="1"/>
  <c r="Q716" i="1"/>
  <c r="P716" i="1" s="1"/>
  <c r="Q715" i="1"/>
  <c r="P715" i="1" s="1"/>
  <c r="Q714" i="1"/>
  <c r="P714" i="1" s="1"/>
  <c r="Q713" i="1"/>
  <c r="P713" i="1" s="1"/>
  <c r="Q712" i="1"/>
  <c r="P712" i="1" s="1"/>
  <c r="Q711" i="1"/>
  <c r="P711" i="1" s="1"/>
  <c r="Q710" i="1"/>
  <c r="P710" i="1" s="1"/>
  <c r="Q709" i="1"/>
  <c r="P709" i="1" s="1"/>
  <c r="Q708" i="1"/>
  <c r="P708" i="1" s="1"/>
  <c r="Q707" i="1"/>
  <c r="P707" i="1" s="1"/>
  <c r="Q706" i="1"/>
  <c r="P706" i="1" s="1"/>
  <c r="Q705" i="1"/>
  <c r="P705" i="1" s="1"/>
  <c r="Q704" i="1"/>
  <c r="P704" i="1" s="1"/>
  <c r="Q703" i="1"/>
  <c r="P703" i="1" s="1"/>
  <c r="Q702" i="1"/>
  <c r="P702" i="1" s="1"/>
  <c r="Q701" i="1"/>
  <c r="P701" i="1" s="1"/>
  <c r="Q700" i="1"/>
  <c r="P700" i="1" s="1"/>
  <c r="Q699" i="1"/>
  <c r="P699" i="1" s="1"/>
  <c r="Q698" i="1"/>
  <c r="P698" i="1" s="1"/>
  <c r="Q697" i="1"/>
  <c r="P697" i="1" s="1"/>
  <c r="Q696" i="1"/>
  <c r="P696" i="1" s="1"/>
  <c r="Q695" i="1"/>
  <c r="P695" i="1" s="1"/>
  <c r="Q694" i="1"/>
  <c r="P694" i="1" s="1"/>
  <c r="Q693" i="1"/>
  <c r="P693" i="1" s="1"/>
  <c r="Q692" i="1"/>
  <c r="P692" i="1" s="1"/>
  <c r="Q691" i="1"/>
  <c r="P691" i="1" s="1"/>
  <c r="H691" i="1"/>
  <c r="H692" i="1"/>
  <c r="H693" i="1"/>
  <c r="H694" i="1"/>
  <c r="H695" i="1"/>
  <c r="H696" i="1"/>
  <c r="H697" i="1"/>
  <c r="H698" i="1"/>
  <c r="H699" i="1"/>
  <c r="H700" i="1"/>
  <c r="H701" i="1"/>
  <c r="H702" i="1"/>
  <c r="H703" i="1"/>
  <c r="H704" i="1"/>
  <c r="H705" i="1"/>
  <c r="H706" i="1"/>
  <c r="H707" i="1"/>
  <c r="H708" i="1"/>
  <c r="H709" i="1"/>
  <c r="H710" i="1"/>
  <c r="H711" i="1"/>
  <c r="H712" i="1"/>
  <c r="H713" i="1"/>
  <c r="H714" i="1"/>
  <c r="H715" i="1"/>
  <c r="H716" i="1"/>
  <c r="H717" i="1"/>
  <c r="H718" i="1"/>
  <c r="H719" i="1"/>
  <c r="H720" i="1"/>
  <c r="H721" i="1"/>
  <c r="H722" i="1"/>
  <c r="H723" i="1"/>
  <c r="H724" i="1"/>
  <c r="H725" i="1"/>
  <c r="H726" i="1"/>
  <c r="H727" i="1"/>
  <c r="H728" i="1"/>
  <c r="H729" i="1"/>
  <c r="H730" i="1"/>
  <c r="H731" i="1"/>
  <c r="H732" i="1"/>
  <c r="H733" i="1"/>
  <c r="H734" i="1"/>
  <c r="H735" i="1"/>
  <c r="J691" i="1"/>
  <c r="J692" i="1"/>
  <c r="J693" i="1"/>
  <c r="J694" i="1"/>
  <c r="J695" i="1"/>
  <c r="J696" i="1"/>
  <c r="J697" i="1"/>
  <c r="J698" i="1"/>
  <c r="J699" i="1"/>
  <c r="J700" i="1"/>
  <c r="J701" i="1"/>
  <c r="J702" i="1"/>
  <c r="J703" i="1"/>
  <c r="J704" i="1"/>
  <c r="J705" i="1"/>
  <c r="J706" i="1"/>
  <c r="J707" i="1"/>
  <c r="J708" i="1"/>
  <c r="J709" i="1"/>
  <c r="J710" i="1"/>
  <c r="J711" i="1"/>
  <c r="J712" i="1"/>
  <c r="J713" i="1"/>
  <c r="J714" i="1"/>
  <c r="J715" i="1"/>
  <c r="J716" i="1"/>
  <c r="J717" i="1"/>
  <c r="J718" i="1"/>
  <c r="J719" i="1"/>
  <c r="J720" i="1"/>
  <c r="J721" i="1"/>
  <c r="J722" i="1"/>
  <c r="J723" i="1"/>
  <c r="J724" i="1"/>
  <c r="J725" i="1"/>
  <c r="J726" i="1"/>
  <c r="J727" i="1"/>
  <c r="J728" i="1"/>
  <c r="J729" i="1"/>
  <c r="J730" i="1"/>
  <c r="J731" i="1"/>
  <c r="J732" i="1"/>
  <c r="J733" i="1"/>
  <c r="J734" i="1"/>
  <c r="J735" i="1"/>
  <c r="H690" i="1"/>
  <c r="J690" i="1"/>
  <c r="Q690" i="1"/>
  <c r="P690" i="1" s="1"/>
  <c r="Q738" i="1"/>
  <c r="P738" i="1" s="1"/>
  <c r="Q737" i="1"/>
  <c r="P737" i="1" s="1"/>
  <c r="H737" i="1"/>
  <c r="H738" i="1"/>
  <c r="J737" i="1"/>
  <c r="J738" i="1"/>
  <c r="H736" i="1"/>
  <c r="J736" i="1"/>
  <c r="Q736" i="1"/>
  <c r="P736" i="1" s="1"/>
  <c r="H663" i="1"/>
  <c r="H664" i="1"/>
  <c r="H665" i="1"/>
  <c r="J663" i="1"/>
  <c r="J664" i="1"/>
  <c r="J665" i="1"/>
  <c r="Q663" i="1"/>
  <c r="P663" i="1" s="1"/>
  <c r="Q664" i="1"/>
  <c r="P664" i="1" s="1"/>
  <c r="Q665" i="1"/>
  <c r="P665" i="1" s="1"/>
  <c r="H662" i="1"/>
  <c r="J662" i="1"/>
  <c r="Q662" i="1"/>
  <c r="P662" i="1" s="1"/>
  <c r="H667" i="1"/>
  <c r="H668" i="1"/>
  <c r="H669" i="1"/>
  <c r="H670" i="1"/>
  <c r="H671" i="1"/>
  <c r="H672" i="1"/>
  <c r="H673" i="1"/>
  <c r="H674" i="1"/>
  <c r="H675" i="1"/>
  <c r="J667" i="1"/>
  <c r="J668" i="1"/>
  <c r="J669" i="1"/>
  <c r="J670" i="1"/>
  <c r="J671" i="1"/>
  <c r="J672" i="1"/>
  <c r="J673" i="1"/>
  <c r="J674" i="1"/>
  <c r="J675" i="1"/>
  <c r="Q667" i="1"/>
  <c r="P667" i="1" s="1"/>
  <c r="Q668" i="1"/>
  <c r="P668" i="1" s="1"/>
  <c r="Q669" i="1"/>
  <c r="P669" i="1" s="1"/>
  <c r="Q670" i="1"/>
  <c r="P670" i="1" s="1"/>
  <c r="Q671" i="1"/>
  <c r="P671" i="1" s="1"/>
  <c r="Q672" i="1"/>
  <c r="P672" i="1" s="1"/>
  <c r="Q673" i="1"/>
  <c r="P673" i="1" s="1"/>
  <c r="Q674" i="1"/>
  <c r="P674" i="1" s="1"/>
  <c r="Q675" i="1"/>
  <c r="P675" i="1" s="1"/>
  <c r="H666" i="1"/>
  <c r="J666" i="1"/>
  <c r="Q666" i="1"/>
  <c r="P666" i="1" s="1"/>
  <c r="H653" i="1"/>
  <c r="H654" i="1"/>
  <c r="H655" i="1"/>
  <c r="H656" i="1"/>
  <c r="H657" i="1"/>
  <c r="H658" i="1"/>
  <c r="H659" i="1"/>
  <c r="H660" i="1"/>
  <c r="H661" i="1"/>
  <c r="J653" i="1"/>
  <c r="J654" i="1"/>
  <c r="J655" i="1"/>
  <c r="J656" i="1"/>
  <c r="J657" i="1"/>
  <c r="J658" i="1"/>
  <c r="J659" i="1"/>
  <c r="J660" i="1"/>
  <c r="J661" i="1"/>
  <c r="Q653" i="1"/>
  <c r="P653" i="1" s="1"/>
  <c r="Q654" i="1"/>
  <c r="P654" i="1" s="1"/>
  <c r="Q655" i="1"/>
  <c r="P655" i="1" s="1"/>
  <c r="Q656" i="1"/>
  <c r="P656" i="1" s="1"/>
  <c r="Q657" i="1"/>
  <c r="P657" i="1" s="1"/>
  <c r="Q658" i="1"/>
  <c r="P658" i="1" s="1"/>
  <c r="Q659" i="1"/>
  <c r="P659" i="1" s="1"/>
  <c r="Q660" i="1"/>
  <c r="P660" i="1" s="1"/>
  <c r="Q661" i="1"/>
  <c r="P661" i="1" s="1"/>
  <c r="H652" i="1"/>
  <c r="J652" i="1"/>
  <c r="Q652" i="1"/>
  <c r="P652" i="1" s="1"/>
  <c r="H643" i="1"/>
  <c r="J643" i="1"/>
  <c r="Q643" i="1"/>
  <c r="P643" i="1" s="1"/>
  <c r="H644" i="1"/>
  <c r="H645" i="1"/>
  <c r="H646" i="1"/>
  <c r="H647" i="1"/>
  <c r="H648" i="1"/>
  <c r="H649" i="1"/>
  <c r="H650" i="1"/>
  <c r="J644" i="1"/>
  <c r="J645" i="1"/>
  <c r="J646" i="1"/>
  <c r="J647" i="1"/>
  <c r="J648" i="1"/>
  <c r="J649" i="1"/>
  <c r="J650" i="1"/>
  <c r="Q644" i="1"/>
  <c r="P644" i="1" s="1"/>
  <c r="Q645" i="1"/>
  <c r="P645" i="1" s="1"/>
  <c r="Q646" i="1"/>
  <c r="P646" i="1" s="1"/>
  <c r="Q647" i="1"/>
  <c r="P647" i="1" s="1"/>
  <c r="Q648" i="1"/>
  <c r="P648" i="1" s="1"/>
  <c r="Q649" i="1"/>
  <c r="P649" i="1" s="1"/>
  <c r="Q650" i="1"/>
  <c r="P650" i="1" s="1"/>
  <c r="H651" i="1"/>
  <c r="J651" i="1"/>
  <c r="Q651" i="1"/>
  <c r="P651" i="1" s="1"/>
  <c r="H642" i="1"/>
  <c r="J642" i="1"/>
  <c r="Q642" i="1"/>
  <c r="P642" i="1" s="1"/>
  <c r="H641" i="1"/>
  <c r="J641" i="1"/>
  <c r="Q641" i="1"/>
  <c r="P641" i="1" s="1"/>
  <c r="H640" i="1"/>
  <c r="J640" i="1"/>
  <c r="Q640" i="1"/>
  <c r="P640" i="1" s="1"/>
  <c r="H633" i="1"/>
  <c r="H634" i="1"/>
  <c r="J633" i="1"/>
  <c r="J634" i="1"/>
  <c r="Q633" i="1"/>
  <c r="P633" i="1" s="1"/>
  <c r="Q634" i="1"/>
  <c r="P634" i="1" s="1"/>
  <c r="H624" i="1"/>
  <c r="H625" i="1"/>
  <c r="H626" i="1"/>
  <c r="H627" i="1"/>
  <c r="H628" i="1"/>
  <c r="H629" i="1"/>
  <c r="H630" i="1"/>
  <c r="H631" i="1"/>
  <c r="H632" i="1"/>
  <c r="J624" i="1"/>
  <c r="J625" i="1"/>
  <c r="J626" i="1"/>
  <c r="J627" i="1"/>
  <c r="J628" i="1"/>
  <c r="J629" i="1"/>
  <c r="J630" i="1"/>
  <c r="J631" i="1"/>
  <c r="J632" i="1"/>
  <c r="Q624" i="1"/>
  <c r="P624" i="1" s="1"/>
  <c r="Q625" i="1"/>
  <c r="P625" i="1" s="1"/>
  <c r="Q626" i="1"/>
  <c r="P626" i="1" s="1"/>
  <c r="Q627" i="1"/>
  <c r="P627" i="1" s="1"/>
  <c r="Q628" i="1"/>
  <c r="P628" i="1" s="1"/>
  <c r="Q629" i="1"/>
  <c r="P629" i="1" s="1"/>
  <c r="Q630" i="1"/>
  <c r="P630" i="1" s="1"/>
  <c r="Q631" i="1"/>
  <c r="P631" i="1" s="1"/>
  <c r="Q632" i="1"/>
  <c r="P632" i="1" s="1"/>
  <c r="H623" i="1"/>
  <c r="J623" i="1"/>
  <c r="Q623" i="1"/>
  <c r="P623" i="1" s="1"/>
  <c r="H636" i="1"/>
  <c r="H637" i="1"/>
  <c r="H638" i="1"/>
  <c r="H639" i="1"/>
  <c r="J636" i="1"/>
  <c r="J637" i="1"/>
  <c r="J638" i="1"/>
  <c r="J639" i="1"/>
  <c r="Q636" i="1"/>
  <c r="P636" i="1" s="1"/>
  <c r="Q637" i="1"/>
  <c r="P637" i="1" s="1"/>
  <c r="Q638" i="1"/>
  <c r="P638" i="1" s="1"/>
  <c r="Q639" i="1"/>
  <c r="P639" i="1" s="1"/>
  <c r="H635" i="1"/>
  <c r="J635" i="1"/>
  <c r="Q635" i="1"/>
  <c r="P635" i="1" s="1"/>
  <c r="H377" i="1"/>
  <c r="J377" i="1"/>
  <c r="Q377" i="1"/>
  <c r="P377" i="1" s="1"/>
  <c r="H382" i="1"/>
  <c r="J382" i="1"/>
  <c r="Q382" i="1"/>
  <c r="P382" i="1" s="1"/>
  <c r="H499" i="1"/>
  <c r="J499" i="1"/>
  <c r="Q499" i="1"/>
  <c r="P499" i="1" s="1"/>
  <c r="H500" i="1"/>
  <c r="J500" i="1"/>
  <c r="Q500" i="1"/>
  <c r="P500" i="1" s="1"/>
  <c r="H501" i="1"/>
  <c r="J501" i="1"/>
  <c r="Q501" i="1"/>
  <c r="P501" i="1" s="1"/>
  <c r="H502" i="1"/>
  <c r="J502" i="1"/>
  <c r="Q502" i="1"/>
  <c r="P502" i="1" s="1"/>
  <c r="H503" i="1"/>
  <c r="J503" i="1"/>
  <c r="Q503" i="1"/>
  <c r="P503" i="1" s="1"/>
  <c r="H504" i="1"/>
  <c r="J504" i="1"/>
  <c r="Q504" i="1"/>
  <c r="P504" i="1" s="1"/>
  <c r="H505" i="1"/>
  <c r="J505" i="1"/>
  <c r="Q505" i="1"/>
  <c r="P505" i="1" s="1"/>
  <c r="H506" i="1"/>
  <c r="J506" i="1"/>
  <c r="Q506" i="1"/>
  <c r="P506" i="1" s="1"/>
  <c r="H507" i="1"/>
  <c r="J507" i="1"/>
  <c r="Q507" i="1"/>
  <c r="P507" i="1" s="1"/>
  <c r="H508" i="1"/>
  <c r="J508" i="1"/>
  <c r="Q508" i="1"/>
  <c r="P508" i="1" s="1"/>
  <c r="H514" i="1"/>
  <c r="J514" i="1"/>
  <c r="Q514" i="1"/>
  <c r="P514" i="1" s="1"/>
  <c r="H515" i="1"/>
  <c r="J515" i="1"/>
  <c r="Q515" i="1"/>
  <c r="P515" i="1" s="1"/>
  <c r="H516" i="1"/>
  <c r="J516" i="1"/>
  <c r="Q516" i="1"/>
  <c r="P516" i="1" s="1"/>
  <c r="H517" i="1"/>
  <c r="J517" i="1"/>
  <c r="Q517" i="1"/>
  <c r="P517" i="1" s="1"/>
  <c r="H518" i="1"/>
  <c r="J518" i="1"/>
  <c r="Q518" i="1"/>
  <c r="P518" i="1" s="1"/>
  <c r="H519" i="1"/>
  <c r="J519" i="1"/>
  <c r="Q519" i="1"/>
  <c r="P519" i="1" s="1"/>
  <c r="H520" i="1"/>
  <c r="J520" i="1"/>
  <c r="Q520" i="1"/>
  <c r="P520" i="1" s="1"/>
  <c r="H521" i="1"/>
  <c r="J521" i="1"/>
  <c r="Q521" i="1"/>
  <c r="P521" i="1" s="1"/>
  <c r="H522" i="1"/>
  <c r="J522" i="1"/>
  <c r="Q522" i="1"/>
  <c r="P522" i="1" s="1"/>
  <c r="H523" i="1"/>
  <c r="J523" i="1"/>
  <c r="Q523" i="1"/>
  <c r="P523" i="1" s="1"/>
  <c r="H524" i="1"/>
  <c r="J524" i="1"/>
  <c r="Q524" i="1"/>
  <c r="P524" i="1" s="1"/>
  <c r="H525" i="1"/>
  <c r="J525" i="1"/>
  <c r="Q525" i="1"/>
  <c r="P525" i="1" s="1"/>
  <c r="H526" i="1"/>
  <c r="J526" i="1"/>
  <c r="Q526" i="1"/>
  <c r="P526" i="1" s="1"/>
  <c r="H527" i="1"/>
  <c r="J527" i="1"/>
  <c r="Q527" i="1"/>
  <c r="P527" i="1" s="1"/>
  <c r="H528" i="1"/>
  <c r="J528" i="1"/>
  <c r="Q528" i="1"/>
  <c r="P528" i="1" s="1"/>
  <c r="H529" i="1"/>
  <c r="J529" i="1"/>
  <c r="Q529" i="1"/>
  <c r="P529" i="1" s="1"/>
  <c r="H530" i="1"/>
  <c r="J530" i="1"/>
  <c r="Q530" i="1"/>
  <c r="P530" i="1" s="1"/>
  <c r="H531" i="1"/>
  <c r="J531" i="1"/>
  <c r="Q531" i="1"/>
  <c r="P531" i="1" s="1"/>
  <c r="H532" i="1"/>
  <c r="J532" i="1"/>
  <c r="Q532" i="1"/>
  <c r="P532" i="1" s="1"/>
  <c r="H533" i="1"/>
  <c r="J533" i="1"/>
  <c r="Q533" i="1"/>
  <c r="P533" i="1" s="1"/>
  <c r="H534" i="1"/>
  <c r="J534" i="1"/>
  <c r="Q534" i="1"/>
  <c r="P534" i="1" s="1"/>
  <c r="H535" i="1"/>
  <c r="J535" i="1"/>
  <c r="Q535" i="1"/>
  <c r="P535" i="1" s="1"/>
  <c r="H536" i="1"/>
  <c r="J536" i="1"/>
  <c r="Q536" i="1"/>
  <c r="P536" i="1" s="1"/>
  <c r="H537" i="1"/>
  <c r="J537" i="1"/>
  <c r="Q537" i="1"/>
  <c r="P537" i="1" s="1"/>
  <c r="H538" i="1"/>
  <c r="J538" i="1"/>
  <c r="Q538" i="1"/>
  <c r="P538" i="1" s="1"/>
  <c r="H539" i="1"/>
  <c r="J539" i="1"/>
  <c r="Q539" i="1"/>
  <c r="P539" i="1" s="1"/>
  <c r="H540" i="1"/>
  <c r="J540" i="1"/>
  <c r="Q540" i="1"/>
  <c r="P540" i="1" s="1"/>
  <c r="H541" i="1"/>
  <c r="J541" i="1"/>
  <c r="Q541" i="1"/>
  <c r="P541" i="1" s="1"/>
  <c r="H542" i="1"/>
  <c r="J542" i="1"/>
  <c r="Q542" i="1"/>
  <c r="P542" i="1" s="1"/>
  <c r="H543" i="1"/>
  <c r="J543" i="1"/>
  <c r="Q543" i="1"/>
  <c r="P543" i="1" s="1"/>
  <c r="H544" i="1"/>
  <c r="J544" i="1"/>
  <c r="Q544" i="1"/>
  <c r="P544" i="1" s="1"/>
  <c r="H545" i="1"/>
  <c r="J545" i="1"/>
  <c r="Q545" i="1"/>
  <c r="P545" i="1" s="1"/>
  <c r="H546" i="1"/>
  <c r="J546" i="1"/>
  <c r="Q546" i="1"/>
  <c r="P546" i="1" s="1"/>
  <c r="H547" i="1"/>
  <c r="J547" i="1"/>
  <c r="Q547" i="1"/>
  <c r="P547" i="1" s="1"/>
  <c r="H548" i="1"/>
  <c r="J548" i="1"/>
  <c r="Q548" i="1"/>
  <c r="P548" i="1" s="1"/>
  <c r="H549" i="1"/>
  <c r="J549" i="1"/>
  <c r="Q549" i="1"/>
  <c r="P549" i="1" s="1"/>
  <c r="H550" i="1"/>
  <c r="J550" i="1"/>
  <c r="Q550" i="1"/>
  <c r="P550" i="1" s="1"/>
  <c r="H551" i="1"/>
  <c r="J551" i="1"/>
  <c r="Q551" i="1"/>
  <c r="P551" i="1" s="1"/>
  <c r="H552" i="1"/>
  <c r="J552" i="1"/>
  <c r="Q552" i="1"/>
  <c r="P552" i="1" s="1"/>
  <c r="H553" i="1"/>
  <c r="J553" i="1"/>
  <c r="Q553" i="1"/>
  <c r="P553" i="1" s="1"/>
  <c r="H554" i="1"/>
  <c r="J554" i="1"/>
  <c r="Q554" i="1"/>
  <c r="P554" i="1" s="1"/>
  <c r="H555" i="1"/>
  <c r="J555" i="1"/>
  <c r="Q555" i="1"/>
  <c r="P555" i="1" s="1"/>
  <c r="H556" i="1"/>
  <c r="J556" i="1"/>
  <c r="Q556" i="1"/>
  <c r="P556" i="1" s="1"/>
  <c r="H557" i="1"/>
  <c r="J557" i="1"/>
  <c r="Q557" i="1"/>
  <c r="P557" i="1" s="1"/>
  <c r="H558" i="1"/>
  <c r="J558" i="1"/>
  <c r="Q558" i="1"/>
  <c r="P558" i="1" s="1"/>
  <c r="H559" i="1"/>
  <c r="J559" i="1"/>
  <c r="Q559" i="1"/>
  <c r="P559" i="1" s="1"/>
  <c r="H560" i="1"/>
  <c r="J560" i="1"/>
  <c r="Q560" i="1"/>
  <c r="P560" i="1" s="1"/>
  <c r="H561" i="1"/>
  <c r="J561" i="1"/>
  <c r="Q561" i="1"/>
  <c r="P561" i="1" s="1"/>
  <c r="H562" i="1"/>
  <c r="J562" i="1"/>
  <c r="Q562" i="1"/>
  <c r="P562" i="1" s="1"/>
  <c r="H563" i="1"/>
  <c r="J563" i="1"/>
  <c r="Q563" i="1"/>
  <c r="P563" i="1" s="1"/>
  <c r="H564" i="1"/>
  <c r="J564" i="1"/>
  <c r="Q564" i="1"/>
  <c r="P564" i="1" s="1"/>
  <c r="H565" i="1"/>
  <c r="J565" i="1"/>
  <c r="Q565" i="1"/>
  <c r="P565" i="1" s="1"/>
  <c r="H566" i="1"/>
  <c r="J566" i="1"/>
  <c r="Q566" i="1"/>
  <c r="P566" i="1" s="1"/>
  <c r="H567" i="1"/>
  <c r="J567" i="1"/>
  <c r="Q567" i="1"/>
  <c r="P567" i="1" s="1"/>
  <c r="H568" i="1"/>
  <c r="J568" i="1"/>
  <c r="Q568" i="1"/>
  <c r="P568" i="1" s="1"/>
  <c r="H569" i="1"/>
  <c r="J569" i="1"/>
  <c r="Q569" i="1"/>
  <c r="P569" i="1" s="1"/>
  <c r="H570" i="1"/>
  <c r="J570" i="1"/>
  <c r="Q570" i="1"/>
  <c r="P570" i="1" s="1"/>
  <c r="H571" i="1"/>
  <c r="J571" i="1"/>
  <c r="Q571" i="1"/>
  <c r="P571" i="1" s="1"/>
  <c r="H572" i="1"/>
  <c r="J572" i="1"/>
  <c r="Q572" i="1"/>
  <c r="P572" i="1" s="1"/>
  <c r="H573" i="1"/>
  <c r="J573" i="1"/>
  <c r="Q573" i="1"/>
  <c r="P573" i="1" s="1"/>
  <c r="H574" i="1"/>
  <c r="J574" i="1"/>
  <c r="Q574" i="1"/>
  <c r="P574" i="1" s="1"/>
  <c r="H575" i="1"/>
  <c r="J575" i="1"/>
  <c r="Q575" i="1"/>
  <c r="P575" i="1" s="1"/>
  <c r="H576" i="1"/>
  <c r="J576" i="1"/>
  <c r="Q576" i="1"/>
  <c r="P576" i="1" s="1"/>
  <c r="H577" i="1"/>
  <c r="J577" i="1"/>
  <c r="Q577" i="1"/>
  <c r="P577" i="1" s="1"/>
  <c r="H578" i="1"/>
  <c r="J578" i="1"/>
  <c r="Q578" i="1"/>
  <c r="P578" i="1" s="1"/>
  <c r="H579" i="1"/>
  <c r="J579" i="1"/>
  <c r="Q579" i="1"/>
  <c r="P579" i="1" s="1"/>
  <c r="H580" i="1"/>
  <c r="J580" i="1"/>
  <c r="Q580" i="1"/>
  <c r="P580" i="1" s="1"/>
  <c r="H581" i="1"/>
  <c r="J581" i="1"/>
  <c r="Q581" i="1"/>
  <c r="P581" i="1" s="1"/>
  <c r="H582" i="1"/>
  <c r="J582" i="1"/>
  <c r="Q582" i="1"/>
  <c r="P582" i="1" s="1"/>
  <c r="H583" i="1"/>
  <c r="J583" i="1"/>
  <c r="Q583" i="1"/>
  <c r="P583" i="1" s="1"/>
  <c r="H584" i="1"/>
  <c r="J584" i="1"/>
  <c r="Q584" i="1"/>
  <c r="P584" i="1" s="1"/>
  <c r="H585" i="1"/>
  <c r="J585" i="1"/>
  <c r="Q585" i="1"/>
  <c r="P585" i="1" s="1"/>
  <c r="H586" i="1"/>
  <c r="J586" i="1"/>
  <c r="Q586" i="1"/>
  <c r="P586" i="1" s="1"/>
  <c r="H587" i="1"/>
  <c r="J587" i="1"/>
  <c r="Q587" i="1"/>
  <c r="P587" i="1" s="1"/>
  <c r="H588" i="1"/>
  <c r="J588" i="1"/>
  <c r="Q588" i="1"/>
  <c r="P588" i="1" s="1"/>
  <c r="H589" i="1"/>
  <c r="J589" i="1"/>
  <c r="Q589" i="1"/>
  <c r="P589" i="1" s="1"/>
  <c r="H590" i="1"/>
  <c r="J590" i="1"/>
  <c r="Q590" i="1"/>
  <c r="P590" i="1" s="1"/>
  <c r="H591" i="1"/>
  <c r="J591" i="1"/>
  <c r="Q591" i="1"/>
  <c r="P591" i="1" s="1"/>
  <c r="H592" i="1"/>
  <c r="J592" i="1"/>
  <c r="Q592" i="1"/>
  <c r="P592" i="1" s="1"/>
  <c r="H593" i="1"/>
  <c r="J593" i="1"/>
  <c r="Q593" i="1"/>
  <c r="P593" i="1" s="1"/>
  <c r="H594" i="1"/>
  <c r="J594" i="1"/>
  <c r="Q594" i="1"/>
  <c r="P594" i="1" s="1"/>
  <c r="H595" i="1"/>
  <c r="J595" i="1"/>
  <c r="Q595" i="1"/>
  <c r="P595" i="1" s="1"/>
  <c r="H596" i="1"/>
  <c r="J596" i="1"/>
  <c r="Q596" i="1"/>
  <c r="P596" i="1" s="1"/>
  <c r="H597" i="1"/>
  <c r="J597" i="1"/>
  <c r="Q597" i="1"/>
  <c r="P597" i="1" s="1"/>
  <c r="H598" i="1"/>
  <c r="J598" i="1"/>
  <c r="Q598" i="1"/>
  <c r="P598" i="1" s="1"/>
  <c r="H599" i="1"/>
  <c r="J599" i="1"/>
  <c r="Q599" i="1"/>
  <c r="P599" i="1" s="1"/>
  <c r="H600" i="1"/>
  <c r="J600" i="1"/>
  <c r="Q600" i="1"/>
  <c r="P600" i="1" s="1"/>
  <c r="H601" i="1"/>
  <c r="J601" i="1"/>
  <c r="Q601" i="1"/>
  <c r="P601" i="1" s="1"/>
  <c r="H602" i="1"/>
  <c r="J602" i="1"/>
  <c r="Q602" i="1"/>
  <c r="P602" i="1" s="1"/>
  <c r="H603" i="1"/>
  <c r="J603" i="1"/>
  <c r="Q603" i="1"/>
  <c r="P603" i="1" s="1"/>
  <c r="H604" i="1"/>
  <c r="J604" i="1"/>
  <c r="Q604" i="1"/>
  <c r="P604" i="1" s="1"/>
  <c r="H605" i="1"/>
  <c r="J605" i="1"/>
  <c r="Q605" i="1"/>
  <c r="P605" i="1" s="1"/>
  <c r="H606" i="1"/>
  <c r="J606" i="1"/>
  <c r="Q606" i="1"/>
  <c r="P606" i="1" s="1"/>
  <c r="H607" i="1"/>
  <c r="J607" i="1"/>
  <c r="Q607" i="1"/>
  <c r="P607" i="1" s="1"/>
  <c r="H608" i="1"/>
  <c r="J608" i="1"/>
  <c r="Q608" i="1"/>
  <c r="P608" i="1" s="1"/>
  <c r="H609" i="1"/>
  <c r="J609" i="1"/>
  <c r="Q609" i="1"/>
  <c r="P609" i="1" s="1"/>
  <c r="H610" i="1"/>
  <c r="J610" i="1"/>
  <c r="Q610" i="1"/>
  <c r="P610" i="1" s="1"/>
  <c r="H611" i="1"/>
  <c r="J611" i="1"/>
  <c r="Q611" i="1"/>
  <c r="P611" i="1" s="1"/>
  <c r="H612" i="1"/>
  <c r="J612" i="1"/>
  <c r="Q612" i="1"/>
  <c r="P612" i="1" s="1"/>
  <c r="H613" i="1"/>
  <c r="J613" i="1"/>
  <c r="Q613" i="1"/>
  <c r="P613" i="1" s="1"/>
  <c r="H614" i="1"/>
  <c r="J614" i="1"/>
  <c r="Q614" i="1"/>
  <c r="P614" i="1" s="1"/>
  <c r="H615" i="1"/>
  <c r="J615" i="1"/>
  <c r="Q615" i="1"/>
  <c r="P615" i="1" s="1"/>
  <c r="H616" i="1"/>
  <c r="J616" i="1"/>
  <c r="Q616" i="1"/>
  <c r="P616" i="1" s="1"/>
  <c r="H617" i="1"/>
  <c r="J617" i="1"/>
  <c r="Q617" i="1"/>
  <c r="P617" i="1" s="1"/>
  <c r="H618" i="1"/>
  <c r="J618" i="1"/>
  <c r="Q618" i="1"/>
  <c r="P618" i="1" s="1"/>
  <c r="H619" i="1"/>
  <c r="J619" i="1"/>
  <c r="Q619" i="1"/>
  <c r="P619" i="1" s="1"/>
  <c r="H620" i="1"/>
  <c r="J620" i="1"/>
  <c r="Q620" i="1"/>
  <c r="P620" i="1" s="1"/>
  <c r="H621" i="1"/>
  <c r="J621" i="1"/>
  <c r="Q621" i="1"/>
  <c r="P621" i="1" s="1"/>
  <c r="H622" i="1"/>
  <c r="J622" i="1"/>
  <c r="Q622" i="1"/>
  <c r="P622" i="1" s="1"/>
  <c r="H513" i="1"/>
  <c r="J513" i="1"/>
  <c r="Q513" i="1"/>
  <c r="P513" i="1" s="1"/>
  <c r="H512" i="1"/>
  <c r="J512" i="1"/>
  <c r="Q512" i="1"/>
  <c r="P512" i="1" s="1"/>
  <c r="H511" i="1"/>
  <c r="J511" i="1"/>
  <c r="Q511" i="1"/>
  <c r="P511" i="1" s="1"/>
  <c r="H510" i="1"/>
  <c r="J510" i="1"/>
  <c r="Q510" i="1"/>
  <c r="P510" i="1" s="1"/>
  <c r="H509" i="1"/>
  <c r="J509" i="1"/>
  <c r="Q509" i="1"/>
  <c r="P509" i="1" s="1"/>
  <c r="H498" i="1"/>
  <c r="J498" i="1"/>
  <c r="Q498" i="1"/>
  <c r="P498" i="1" s="1"/>
  <c r="H2" i="1"/>
  <c r="J2" i="1"/>
  <c r="K2" i="1"/>
  <c r="Q2" i="1"/>
  <c r="P2" i="1" s="1"/>
  <c r="H3" i="1"/>
  <c r="J3" i="1"/>
  <c r="Q3" i="1"/>
  <c r="P3" i="1" s="1"/>
  <c r="H4" i="1"/>
  <c r="J4" i="1"/>
  <c r="Q4" i="1"/>
  <c r="P4" i="1" s="1"/>
  <c r="H5" i="1"/>
  <c r="J5" i="1"/>
  <c r="Q5" i="1"/>
  <c r="P5" i="1" s="1"/>
  <c r="H6" i="1"/>
  <c r="J6" i="1"/>
  <c r="Q6" i="1"/>
  <c r="P6" i="1" s="1"/>
  <c r="H7" i="1"/>
  <c r="J7" i="1"/>
  <c r="Q7" i="1"/>
  <c r="P7" i="1" s="1"/>
  <c r="H8" i="1"/>
  <c r="J8" i="1"/>
  <c r="Q8" i="1"/>
  <c r="P8" i="1" s="1"/>
  <c r="H9" i="1"/>
  <c r="J9" i="1"/>
  <c r="Q9" i="1"/>
  <c r="P9" i="1" s="1"/>
  <c r="H10" i="1"/>
  <c r="J10" i="1"/>
  <c r="Q10" i="1"/>
  <c r="P10" i="1" s="1"/>
  <c r="H496" i="1"/>
  <c r="H497" i="1"/>
  <c r="J496" i="1"/>
  <c r="J497" i="1"/>
  <c r="Q496" i="1"/>
  <c r="P496" i="1" s="1"/>
  <c r="Q497" i="1"/>
  <c r="P497" i="1" s="1"/>
  <c r="H495" i="1"/>
  <c r="J495" i="1"/>
  <c r="Q495" i="1"/>
  <c r="P495" i="1" s="1"/>
  <c r="H494" i="1"/>
  <c r="J494" i="1"/>
  <c r="Q494" i="1"/>
  <c r="P494" i="1" s="1"/>
  <c r="H493" i="1"/>
  <c r="J493" i="1"/>
  <c r="Q493" i="1"/>
  <c r="P493" i="1" s="1"/>
  <c r="H488" i="1"/>
  <c r="H489" i="1"/>
  <c r="H490" i="1"/>
  <c r="H491" i="1"/>
  <c r="H492" i="1"/>
  <c r="J488" i="1"/>
  <c r="J489" i="1"/>
  <c r="J490" i="1"/>
  <c r="J491" i="1"/>
  <c r="J492" i="1"/>
  <c r="Q488" i="1"/>
  <c r="P488" i="1" s="1"/>
  <c r="Q489" i="1"/>
  <c r="P489" i="1" s="1"/>
  <c r="Q490" i="1"/>
  <c r="P490" i="1" s="1"/>
  <c r="Q491" i="1"/>
  <c r="P491" i="1" s="1"/>
  <c r="Q492" i="1"/>
  <c r="P492" i="1" s="1"/>
  <c r="H430" i="1"/>
  <c r="H431" i="1"/>
  <c r="J430" i="1"/>
  <c r="J431" i="1"/>
  <c r="Q430" i="1"/>
  <c r="P430" i="1" s="1"/>
  <c r="Q431" i="1"/>
  <c r="P431" i="1" s="1"/>
  <c r="H429" i="1"/>
  <c r="J429" i="1"/>
  <c r="Q429" i="1"/>
  <c r="P429" i="1" s="1"/>
  <c r="H433" i="1"/>
  <c r="H434" i="1"/>
  <c r="H435" i="1"/>
  <c r="H436" i="1"/>
  <c r="H437" i="1"/>
  <c r="H438" i="1"/>
  <c r="H439" i="1"/>
  <c r="H440" i="1"/>
  <c r="H441" i="1"/>
  <c r="H442" i="1"/>
  <c r="H443" i="1"/>
  <c r="H444" i="1"/>
  <c r="H445" i="1"/>
  <c r="H446" i="1"/>
  <c r="H447" i="1"/>
  <c r="H448" i="1"/>
  <c r="H449" i="1"/>
  <c r="H450" i="1"/>
  <c r="H451" i="1"/>
  <c r="H452" i="1"/>
  <c r="H453" i="1"/>
  <c r="H454" i="1"/>
  <c r="H455" i="1"/>
  <c r="H456" i="1"/>
  <c r="H457" i="1"/>
  <c r="H458" i="1"/>
  <c r="H459" i="1"/>
  <c r="H460" i="1"/>
  <c r="H461" i="1"/>
  <c r="H462" i="1"/>
  <c r="H463" i="1"/>
  <c r="H464" i="1"/>
  <c r="H465" i="1"/>
  <c r="H466" i="1"/>
  <c r="H467" i="1"/>
  <c r="H468" i="1"/>
  <c r="H469" i="1"/>
  <c r="H470" i="1"/>
  <c r="H471" i="1"/>
  <c r="H472" i="1"/>
  <c r="H473" i="1"/>
  <c r="H474" i="1"/>
  <c r="H475" i="1"/>
  <c r="H476" i="1"/>
  <c r="H477" i="1"/>
  <c r="H478" i="1"/>
  <c r="H479" i="1"/>
  <c r="H480" i="1"/>
  <c r="H481" i="1"/>
  <c r="H482" i="1"/>
  <c r="H483" i="1"/>
  <c r="H484" i="1"/>
  <c r="H485" i="1"/>
  <c r="H486" i="1"/>
  <c r="H487" i="1"/>
  <c r="J433" i="1"/>
  <c r="J434" i="1"/>
  <c r="J435" i="1"/>
  <c r="J436" i="1"/>
  <c r="J437" i="1"/>
  <c r="J438" i="1"/>
  <c r="J439" i="1"/>
  <c r="J440" i="1"/>
  <c r="J441" i="1"/>
  <c r="J442" i="1"/>
  <c r="J443" i="1"/>
  <c r="J444" i="1"/>
  <c r="J445" i="1"/>
  <c r="J446" i="1"/>
  <c r="J447" i="1"/>
  <c r="J448" i="1"/>
  <c r="J449" i="1"/>
  <c r="J450" i="1"/>
  <c r="J451" i="1"/>
  <c r="J452" i="1"/>
  <c r="J453" i="1"/>
  <c r="J454" i="1"/>
  <c r="J455" i="1"/>
  <c r="J456" i="1"/>
  <c r="J457" i="1"/>
  <c r="J458" i="1"/>
  <c r="J459" i="1"/>
  <c r="J460" i="1"/>
  <c r="J461" i="1"/>
  <c r="J462" i="1"/>
  <c r="J463" i="1"/>
  <c r="J464" i="1"/>
  <c r="J465" i="1"/>
  <c r="J466" i="1"/>
  <c r="J467" i="1"/>
  <c r="J468" i="1"/>
  <c r="J469" i="1"/>
  <c r="J470" i="1"/>
  <c r="J471" i="1"/>
  <c r="J472" i="1"/>
  <c r="J473" i="1"/>
  <c r="J474" i="1"/>
  <c r="J475" i="1"/>
  <c r="J476" i="1"/>
  <c r="J477" i="1"/>
  <c r="J478" i="1"/>
  <c r="J479" i="1"/>
  <c r="J480" i="1"/>
  <c r="J481" i="1"/>
  <c r="J482" i="1"/>
  <c r="J483" i="1"/>
  <c r="J484" i="1"/>
  <c r="J485" i="1"/>
  <c r="J486" i="1"/>
  <c r="J487" i="1"/>
  <c r="Q433" i="1"/>
  <c r="P433" i="1" s="1"/>
  <c r="Q434" i="1"/>
  <c r="P434" i="1" s="1"/>
  <c r="Q435" i="1"/>
  <c r="P435" i="1" s="1"/>
  <c r="Q436" i="1"/>
  <c r="P436" i="1" s="1"/>
  <c r="Q437" i="1"/>
  <c r="P437" i="1" s="1"/>
  <c r="Q438" i="1"/>
  <c r="P438" i="1" s="1"/>
  <c r="Q439" i="1"/>
  <c r="P439" i="1" s="1"/>
  <c r="Q440" i="1"/>
  <c r="P440" i="1" s="1"/>
  <c r="Q441" i="1"/>
  <c r="P441" i="1" s="1"/>
  <c r="Q442" i="1"/>
  <c r="P442" i="1" s="1"/>
  <c r="Q443" i="1"/>
  <c r="P443" i="1" s="1"/>
  <c r="Q444" i="1"/>
  <c r="P444" i="1" s="1"/>
  <c r="Q445" i="1"/>
  <c r="P445" i="1" s="1"/>
  <c r="Q446" i="1"/>
  <c r="P446" i="1" s="1"/>
  <c r="Q447" i="1"/>
  <c r="P447" i="1" s="1"/>
  <c r="Q448" i="1"/>
  <c r="P448" i="1" s="1"/>
  <c r="Q449" i="1"/>
  <c r="P449" i="1" s="1"/>
  <c r="Q450" i="1"/>
  <c r="P450" i="1" s="1"/>
  <c r="Q451" i="1"/>
  <c r="P451" i="1" s="1"/>
  <c r="Q452" i="1"/>
  <c r="P452" i="1" s="1"/>
  <c r="Q453" i="1"/>
  <c r="P453" i="1" s="1"/>
  <c r="Q454" i="1"/>
  <c r="P454" i="1" s="1"/>
  <c r="Q455" i="1"/>
  <c r="P455" i="1" s="1"/>
  <c r="Q456" i="1"/>
  <c r="P456" i="1" s="1"/>
  <c r="Q457" i="1"/>
  <c r="P457" i="1" s="1"/>
  <c r="Q458" i="1"/>
  <c r="P458" i="1" s="1"/>
  <c r="Q459" i="1"/>
  <c r="P459" i="1" s="1"/>
  <c r="Q460" i="1"/>
  <c r="P460" i="1" s="1"/>
  <c r="Q461" i="1"/>
  <c r="P461" i="1" s="1"/>
  <c r="Q462" i="1"/>
  <c r="P462" i="1" s="1"/>
  <c r="Q463" i="1"/>
  <c r="P463" i="1" s="1"/>
  <c r="Q464" i="1"/>
  <c r="P464" i="1" s="1"/>
  <c r="Q465" i="1"/>
  <c r="P465" i="1" s="1"/>
  <c r="Q466" i="1"/>
  <c r="P466" i="1" s="1"/>
  <c r="Q467" i="1"/>
  <c r="P467" i="1" s="1"/>
  <c r="Q468" i="1"/>
  <c r="P468" i="1" s="1"/>
  <c r="Q469" i="1"/>
  <c r="P469" i="1" s="1"/>
  <c r="Q470" i="1"/>
  <c r="P470" i="1" s="1"/>
  <c r="Q471" i="1"/>
  <c r="P471" i="1" s="1"/>
  <c r="Q472" i="1"/>
  <c r="P472" i="1" s="1"/>
  <c r="Q473" i="1"/>
  <c r="P473" i="1" s="1"/>
  <c r="Q474" i="1"/>
  <c r="P474" i="1" s="1"/>
  <c r="Q475" i="1"/>
  <c r="P475" i="1" s="1"/>
  <c r="Q476" i="1"/>
  <c r="P476" i="1" s="1"/>
  <c r="Q477" i="1"/>
  <c r="P477" i="1" s="1"/>
  <c r="Q478" i="1"/>
  <c r="P478" i="1" s="1"/>
  <c r="Q479" i="1"/>
  <c r="P479" i="1" s="1"/>
  <c r="Q480" i="1"/>
  <c r="P480" i="1" s="1"/>
  <c r="Q481" i="1"/>
  <c r="P481" i="1" s="1"/>
  <c r="Q482" i="1"/>
  <c r="P482" i="1" s="1"/>
  <c r="Q483" i="1"/>
  <c r="P483" i="1" s="1"/>
  <c r="Q484" i="1"/>
  <c r="P484" i="1" s="1"/>
  <c r="Q485" i="1"/>
  <c r="P485" i="1" s="1"/>
  <c r="Q486" i="1"/>
  <c r="P486" i="1" s="1"/>
  <c r="Q487" i="1"/>
  <c r="P487" i="1" s="1"/>
  <c r="H432" i="1"/>
  <c r="J432" i="1"/>
  <c r="Q432" i="1"/>
  <c r="P432" i="1" s="1"/>
  <c r="H384" i="1"/>
  <c r="H385" i="1"/>
  <c r="H386" i="1"/>
  <c r="J384" i="1"/>
  <c r="J385" i="1"/>
  <c r="J386" i="1"/>
  <c r="Q384" i="1"/>
  <c r="P384" i="1" s="1"/>
  <c r="Q385" i="1"/>
  <c r="P385" i="1" s="1"/>
  <c r="Q386" i="1"/>
  <c r="P386" i="1" s="1"/>
  <c r="H383" i="1"/>
  <c r="J383" i="1"/>
  <c r="Q383" i="1"/>
  <c r="P383" i="1" s="1"/>
  <c r="H387" i="1"/>
  <c r="J387" i="1"/>
  <c r="Q387" i="1"/>
  <c r="P387" i="1" s="1"/>
  <c r="H388" i="1"/>
  <c r="H389" i="1"/>
  <c r="H390" i="1"/>
  <c r="H391" i="1"/>
  <c r="H392" i="1"/>
  <c r="H393" i="1"/>
  <c r="H394" i="1"/>
  <c r="H395" i="1"/>
  <c r="H396" i="1"/>
  <c r="H397" i="1"/>
  <c r="H398" i="1"/>
  <c r="H399" i="1"/>
  <c r="H400" i="1"/>
  <c r="H401" i="1"/>
  <c r="H402" i="1"/>
  <c r="H403" i="1"/>
  <c r="H404" i="1"/>
  <c r="H405" i="1"/>
  <c r="H406" i="1"/>
  <c r="H407" i="1"/>
  <c r="H408" i="1"/>
  <c r="H409" i="1"/>
  <c r="H410" i="1"/>
  <c r="H411" i="1"/>
  <c r="H412" i="1"/>
  <c r="H413" i="1"/>
  <c r="H414" i="1"/>
  <c r="H415" i="1"/>
  <c r="H416" i="1"/>
  <c r="H417" i="1"/>
  <c r="H418" i="1"/>
  <c r="H419" i="1"/>
  <c r="H420" i="1"/>
  <c r="H421" i="1"/>
  <c r="H422" i="1"/>
  <c r="H423" i="1"/>
  <c r="H424" i="1"/>
  <c r="H425" i="1"/>
  <c r="H426" i="1"/>
  <c r="H427" i="1"/>
  <c r="H428" i="1"/>
  <c r="J388" i="1"/>
  <c r="J389" i="1"/>
  <c r="J390" i="1"/>
  <c r="J391" i="1"/>
  <c r="J392" i="1"/>
  <c r="J393" i="1"/>
  <c r="J394" i="1"/>
  <c r="J395" i="1"/>
  <c r="J396" i="1"/>
  <c r="J397" i="1"/>
  <c r="J398" i="1"/>
  <c r="J399" i="1"/>
  <c r="J400" i="1"/>
  <c r="J401" i="1"/>
  <c r="J402" i="1"/>
  <c r="J403" i="1"/>
  <c r="J404" i="1"/>
  <c r="J405" i="1"/>
  <c r="J406" i="1"/>
  <c r="J407" i="1"/>
  <c r="J408" i="1"/>
  <c r="J409" i="1"/>
  <c r="J410" i="1"/>
  <c r="J411" i="1"/>
  <c r="J412" i="1"/>
  <c r="J413" i="1"/>
  <c r="J414" i="1"/>
  <c r="J415" i="1"/>
  <c r="J416" i="1"/>
  <c r="J417" i="1"/>
  <c r="J418" i="1"/>
  <c r="J419" i="1"/>
  <c r="J420" i="1"/>
  <c r="J421" i="1"/>
  <c r="J422" i="1"/>
  <c r="J423" i="1"/>
  <c r="J424" i="1"/>
  <c r="J425" i="1"/>
  <c r="J426" i="1"/>
  <c r="J427" i="1"/>
  <c r="J428" i="1"/>
  <c r="Q388" i="1"/>
  <c r="P388" i="1" s="1"/>
  <c r="Q389" i="1"/>
  <c r="P389" i="1" s="1"/>
  <c r="Q390" i="1"/>
  <c r="P390" i="1" s="1"/>
  <c r="Q391" i="1"/>
  <c r="P391" i="1" s="1"/>
  <c r="Q392" i="1"/>
  <c r="P392" i="1" s="1"/>
  <c r="Q393" i="1"/>
  <c r="P393" i="1" s="1"/>
  <c r="Q394" i="1"/>
  <c r="P394" i="1" s="1"/>
  <c r="Q395" i="1"/>
  <c r="P395" i="1" s="1"/>
  <c r="Q396" i="1"/>
  <c r="P396" i="1" s="1"/>
  <c r="Q397" i="1"/>
  <c r="P397" i="1" s="1"/>
  <c r="Q398" i="1"/>
  <c r="P398" i="1" s="1"/>
  <c r="Q399" i="1"/>
  <c r="P399" i="1" s="1"/>
  <c r="Q400" i="1"/>
  <c r="P400" i="1" s="1"/>
  <c r="Q401" i="1"/>
  <c r="P401" i="1" s="1"/>
  <c r="Q402" i="1"/>
  <c r="P402" i="1" s="1"/>
  <c r="Q403" i="1"/>
  <c r="P403" i="1" s="1"/>
  <c r="Q404" i="1"/>
  <c r="P404" i="1" s="1"/>
  <c r="Q405" i="1"/>
  <c r="P405" i="1" s="1"/>
  <c r="Q406" i="1"/>
  <c r="P406" i="1" s="1"/>
  <c r="Q407" i="1"/>
  <c r="P407" i="1" s="1"/>
  <c r="Q408" i="1"/>
  <c r="P408" i="1" s="1"/>
  <c r="Q409" i="1"/>
  <c r="P409" i="1" s="1"/>
  <c r="Q410" i="1"/>
  <c r="P410" i="1" s="1"/>
  <c r="Q411" i="1"/>
  <c r="P411" i="1" s="1"/>
  <c r="Q412" i="1"/>
  <c r="P412" i="1" s="1"/>
  <c r="Q413" i="1"/>
  <c r="P413" i="1" s="1"/>
  <c r="Q414" i="1"/>
  <c r="P414" i="1" s="1"/>
  <c r="Q415" i="1"/>
  <c r="P415" i="1" s="1"/>
  <c r="Q416" i="1"/>
  <c r="P416" i="1" s="1"/>
  <c r="Q417" i="1"/>
  <c r="P417" i="1" s="1"/>
  <c r="Q418" i="1"/>
  <c r="P418" i="1" s="1"/>
  <c r="Q419" i="1"/>
  <c r="P419" i="1" s="1"/>
  <c r="Q420" i="1"/>
  <c r="P420" i="1" s="1"/>
  <c r="Q421" i="1"/>
  <c r="P421" i="1" s="1"/>
  <c r="Q422" i="1"/>
  <c r="P422" i="1" s="1"/>
  <c r="Q423" i="1"/>
  <c r="P423" i="1" s="1"/>
  <c r="Q424" i="1"/>
  <c r="P424" i="1" s="1"/>
  <c r="Q425" i="1"/>
  <c r="P425" i="1" s="1"/>
  <c r="Q426" i="1"/>
  <c r="P426" i="1" s="1"/>
  <c r="Q427" i="1"/>
  <c r="P427" i="1" s="1"/>
  <c r="Q428" i="1"/>
  <c r="P428" i="1" s="1"/>
  <c r="H365" i="1"/>
  <c r="J365" i="1"/>
  <c r="Q365" i="1"/>
  <c r="P365" i="1" s="1"/>
  <c r="H367" i="1"/>
  <c r="H368" i="1"/>
  <c r="H369" i="1"/>
  <c r="H370" i="1"/>
  <c r="H371" i="1"/>
  <c r="H372" i="1"/>
  <c r="H373" i="1"/>
  <c r="H374" i="1"/>
  <c r="H375" i="1"/>
  <c r="H376" i="1"/>
  <c r="H378" i="1"/>
  <c r="H379" i="1"/>
  <c r="H380" i="1"/>
  <c r="H381" i="1"/>
  <c r="J367" i="1"/>
  <c r="J368" i="1"/>
  <c r="J369" i="1"/>
  <c r="J370" i="1"/>
  <c r="J371" i="1"/>
  <c r="J372" i="1"/>
  <c r="J373" i="1"/>
  <c r="J374" i="1"/>
  <c r="J375" i="1"/>
  <c r="J376" i="1"/>
  <c r="J378" i="1"/>
  <c r="J379" i="1"/>
  <c r="J380" i="1"/>
  <c r="J381" i="1"/>
  <c r="Q367" i="1"/>
  <c r="P367" i="1" s="1"/>
  <c r="Q368" i="1"/>
  <c r="P368" i="1" s="1"/>
  <c r="Q369" i="1"/>
  <c r="P369" i="1" s="1"/>
  <c r="Q370" i="1"/>
  <c r="P370" i="1" s="1"/>
  <c r="Q371" i="1"/>
  <c r="P371" i="1" s="1"/>
  <c r="Q372" i="1"/>
  <c r="P372" i="1" s="1"/>
  <c r="Q373" i="1"/>
  <c r="P373" i="1" s="1"/>
  <c r="Q374" i="1"/>
  <c r="P374" i="1" s="1"/>
  <c r="Q375" i="1"/>
  <c r="P375" i="1" s="1"/>
  <c r="Q376" i="1"/>
  <c r="P376" i="1" s="1"/>
  <c r="Q378" i="1"/>
  <c r="P378" i="1" s="1"/>
  <c r="Q379" i="1"/>
  <c r="P379" i="1" s="1"/>
  <c r="Q380" i="1"/>
  <c r="P380" i="1" s="1"/>
  <c r="Q381" i="1"/>
  <c r="P381" i="1" s="1"/>
  <c r="H366" i="1"/>
  <c r="J366" i="1"/>
  <c r="Q366" i="1"/>
  <c r="P366" i="1" s="1"/>
  <c r="H342" i="1"/>
  <c r="H343" i="1"/>
  <c r="H344" i="1"/>
  <c r="H345" i="1"/>
  <c r="H346" i="1"/>
  <c r="J342" i="1"/>
  <c r="J343" i="1"/>
  <c r="J344" i="1"/>
  <c r="J345" i="1"/>
  <c r="J346" i="1"/>
  <c r="Q342" i="1"/>
  <c r="P342" i="1" s="1"/>
  <c r="Q343" i="1"/>
  <c r="P343" i="1" s="1"/>
  <c r="Q344" i="1"/>
  <c r="P344" i="1" s="1"/>
  <c r="Q345" i="1"/>
  <c r="P345" i="1" s="1"/>
  <c r="Q346" i="1"/>
  <c r="P346" i="1" s="1"/>
  <c r="H341" i="1"/>
  <c r="J341" i="1"/>
  <c r="Q341" i="1"/>
  <c r="P341" i="1" s="1"/>
  <c r="H347" i="1"/>
  <c r="H348" i="1"/>
  <c r="H349" i="1"/>
  <c r="H350" i="1"/>
  <c r="H351" i="1"/>
  <c r="H352" i="1"/>
  <c r="H353" i="1"/>
  <c r="H354" i="1"/>
  <c r="H355" i="1"/>
  <c r="H356" i="1"/>
  <c r="H357" i="1"/>
  <c r="H358" i="1"/>
  <c r="H359" i="1"/>
  <c r="J347" i="1"/>
  <c r="J348" i="1"/>
  <c r="J349" i="1"/>
  <c r="J350" i="1"/>
  <c r="J351" i="1"/>
  <c r="J352" i="1"/>
  <c r="J353" i="1"/>
  <c r="J354" i="1"/>
  <c r="J355" i="1"/>
  <c r="J356" i="1"/>
  <c r="J357" i="1"/>
  <c r="J358" i="1"/>
  <c r="J359" i="1"/>
  <c r="Q347" i="1"/>
  <c r="P347" i="1" s="1"/>
  <c r="Q348" i="1"/>
  <c r="P348" i="1" s="1"/>
  <c r="Q349" i="1"/>
  <c r="P349" i="1" s="1"/>
  <c r="Q350" i="1"/>
  <c r="P350" i="1" s="1"/>
  <c r="Q351" i="1"/>
  <c r="P351" i="1" s="1"/>
  <c r="Q352" i="1"/>
  <c r="P352" i="1" s="1"/>
  <c r="Q353" i="1"/>
  <c r="P353" i="1" s="1"/>
  <c r="Q354" i="1"/>
  <c r="P354" i="1" s="1"/>
  <c r="Q355" i="1"/>
  <c r="P355" i="1" s="1"/>
  <c r="Q356" i="1"/>
  <c r="P356" i="1" s="1"/>
  <c r="Q357" i="1"/>
  <c r="P357" i="1" s="1"/>
  <c r="Q358" i="1"/>
  <c r="P358" i="1" s="1"/>
  <c r="Q359" i="1"/>
  <c r="P359" i="1" s="1"/>
  <c r="H361" i="1"/>
  <c r="H362" i="1"/>
  <c r="H363" i="1"/>
  <c r="J361" i="1"/>
  <c r="J362" i="1"/>
  <c r="J363" i="1"/>
  <c r="Q361" i="1"/>
  <c r="P361" i="1" s="1"/>
  <c r="Q362" i="1"/>
  <c r="P362" i="1" s="1"/>
  <c r="Q363" i="1"/>
  <c r="P363" i="1" s="1"/>
  <c r="H360" i="1"/>
  <c r="J360" i="1"/>
  <c r="Q360" i="1"/>
  <c r="P360" i="1" s="1"/>
  <c r="H364" i="1"/>
  <c r="J364" i="1"/>
  <c r="Q364" i="1"/>
  <c r="P364" i="1" s="1"/>
  <c r="H323" i="1"/>
  <c r="H324" i="1"/>
  <c r="H325" i="1"/>
  <c r="H326" i="1"/>
  <c r="H327" i="1"/>
  <c r="H328" i="1"/>
  <c r="H329" i="1"/>
  <c r="H330" i="1"/>
  <c r="H331" i="1"/>
  <c r="H332" i="1"/>
  <c r="H333" i="1"/>
  <c r="H334" i="1"/>
  <c r="H335" i="1"/>
  <c r="H336" i="1"/>
  <c r="H337" i="1"/>
  <c r="H338" i="1"/>
  <c r="H339" i="1"/>
  <c r="H340" i="1"/>
  <c r="J323" i="1"/>
  <c r="J324" i="1"/>
  <c r="J325" i="1"/>
  <c r="J326" i="1"/>
  <c r="J327" i="1"/>
  <c r="J328" i="1"/>
  <c r="J329" i="1"/>
  <c r="J330" i="1"/>
  <c r="J331" i="1"/>
  <c r="J332" i="1"/>
  <c r="J333" i="1"/>
  <c r="J334" i="1"/>
  <c r="J335" i="1"/>
  <c r="J336" i="1"/>
  <c r="J337" i="1"/>
  <c r="J338" i="1"/>
  <c r="J339" i="1"/>
  <c r="J340" i="1"/>
  <c r="Q323" i="1"/>
  <c r="P323" i="1" s="1"/>
  <c r="Q324" i="1"/>
  <c r="P324" i="1" s="1"/>
  <c r="Q325" i="1"/>
  <c r="P325" i="1" s="1"/>
  <c r="Q326" i="1"/>
  <c r="P326" i="1" s="1"/>
  <c r="Q327" i="1"/>
  <c r="P327" i="1" s="1"/>
  <c r="Q328" i="1"/>
  <c r="P328" i="1" s="1"/>
  <c r="Q329" i="1"/>
  <c r="P329" i="1" s="1"/>
  <c r="Q330" i="1"/>
  <c r="P330" i="1" s="1"/>
  <c r="Q331" i="1"/>
  <c r="P331" i="1" s="1"/>
  <c r="Q332" i="1"/>
  <c r="P332" i="1" s="1"/>
  <c r="Q333" i="1"/>
  <c r="P333" i="1" s="1"/>
  <c r="Q334" i="1"/>
  <c r="P334" i="1" s="1"/>
  <c r="Q335" i="1"/>
  <c r="P335" i="1" s="1"/>
  <c r="Q336" i="1"/>
  <c r="P336" i="1" s="1"/>
  <c r="Q337" i="1"/>
  <c r="P337" i="1" s="1"/>
  <c r="Q338" i="1"/>
  <c r="P338" i="1" s="1"/>
  <c r="Q339" i="1"/>
  <c r="P339" i="1" s="1"/>
  <c r="Q340" i="1"/>
  <c r="P340" i="1" s="1"/>
  <c r="H315" i="1"/>
  <c r="J315" i="1"/>
  <c r="Q315" i="1"/>
  <c r="P315" i="1" s="1"/>
  <c r="H317" i="1"/>
  <c r="H318" i="1"/>
  <c r="H319" i="1"/>
  <c r="H320" i="1"/>
  <c r="H321" i="1"/>
  <c r="J317" i="1"/>
  <c r="J318" i="1"/>
  <c r="J319" i="1"/>
  <c r="J320" i="1"/>
  <c r="J321" i="1"/>
  <c r="Q317" i="1"/>
  <c r="P317" i="1" s="1"/>
  <c r="Q318" i="1"/>
  <c r="P318" i="1" s="1"/>
  <c r="Q319" i="1"/>
  <c r="P319" i="1" s="1"/>
  <c r="Q320" i="1"/>
  <c r="P320" i="1" s="1"/>
  <c r="Q321" i="1"/>
  <c r="P321" i="1" s="1"/>
  <c r="H316" i="1"/>
  <c r="J316" i="1"/>
  <c r="Q316" i="1"/>
  <c r="P316" i="1" s="1"/>
  <c r="H322" i="1"/>
  <c r="J322" i="1"/>
  <c r="Q322" i="1"/>
  <c r="P322" i="1" s="1"/>
  <c r="H314" i="1"/>
  <c r="J314" i="1"/>
  <c r="Q314" i="1"/>
  <c r="P314" i="1" s="1"/>
  <c r="H309" i="1"/>
  <c r="H310" i="1"/>
  <c r="H311" i="1"/>
  <c r="H312" i="1"/>
  <c r="H313" i="1"/>
  <c r="J309" i="1"/>
  <c r="J310" i="1"/>
  <c r="J311" i="1"/>
  <c r="J312" i="1"/>
  <c r="J313" i="1"/>
  <c r="Q309" i="1"/>
  <c r="P309" i="1" s="1"/>
  <c r="Q310" i="1"/>
  <c r="P310" i="1" s="1"/>
  <c r="Q311" i="1"/>
  <c r="P311" i="1" s="1"/>
  <c r="Q312" i="1"/>
  <c r="P312" i="1" s="1"/>
  <c r="Q313" i="1"/>
  <c r="P313" i="1" s="1"/>
  <c r="H308" i="1"/>
  <c r="J308" i="1"/>
  <c r="Q308" i="1"/>
  <c r="P308" i="1" s="1"/>
  <c r="H307" i="1"/>
  <c r="J307" i="1"/>
  <c r="Q307" i="1"/>
  <c r="P307" i="1" s="1"/>
  <c r="H297" i="1"/>
  <c r="H298" i="1"/>
  <c r="H299" i="1"/>
  <c r="H300" i="1"/>
  <c r="H301" i="1"/>
  <c r="H302" i="1"/>
  <c r="H303" i="1"/>
  <c r="H304" i="1"/>
  <c r="H305" i="1"/>
  <c r="H306" i="1"/>
  <c r="J297" i="1"/>
  <c r="J298" i="1"/>
  <c r="J299" i="1"/>
  <c r="J300" i="1"/>
  <c r="J301" i="1"/>
  <c r="J302" i="1"/>
  <c r="J303" i="1"/>
  <c r="J304" i="1"/>
  <c r="J305" i="1"/>
  <c r="J306" i="1"/>
  <c r="Q297" i="1"/>
  <c r="P297" i="1" s="1"/>
  <c r="Q298" i="1"/>
  <c r="P298" i="1" s="1"/>
  <c r="Q299" i="1"/>
  <c r="P299" i="1" s="1"/>
  <c r="Q300" i="1"/>
  <c r="P300" i="1" s="1"/>
  <c r="Q301" i="1"/>
  <c r="P301" i="1" s="1"/>
  <c r="Q302" i="1"/>
  <c r="P302" i="1" s="1"/>
  <c r="Q303" i="1"/>
  <c r="P303" i="1" s="1"/>
  <c r="Q304" i="1"/>
  <c r="P304" i="1" s="1"/>
  <c r="Q305" i="1"/>
  <c r="P305" i="1" s="1"/>
  <c r="Q306" i="1"/>
  <c r="P306" i="1" s="1"/>
  <c r="H296" i="1"/>
  <c r="J296" i="1"/>
  <c r="Q296" i="1"/>
  <c r="P296" i="1" s="1"/>
  <c r="H287" i="1"/>
  <c r="H288" i="1"/>
  <c r="H289" i="1"/>
  <c r="H290" i="1"/>
  <c r="H291" i="1"/>
  <c r="H292" i="1"/>
  <c r="H293" i="1"/>
  <c r="H294" i="1"/>
  <c r="H295" i="1"/>
  <c r="J287" i="1"/>
  <c r="J288" i="1"/>
  <c r="J289" i="1"/>
  <c r="J290" i="1"/>
  <c r="J291" i="1"/>
  <c r="J292" i="1"/>
  <c r="J293" i="1"/>
  <c r="J294" i="1"/>
  <c r="J295" i="1"/>
  <c r="Q287" i="1"/>
  <c r="P287" i="1" s="1"/>
  <c r="Q288" i="1"/>
  <c r="P288" i="1" s="1"/>
  <c r="Q289" i="1"/>
  <c r="P289" i="1" s="1"/>
  <c r="Q290" i="1"/>
  <c r="P290" i="1" s="1"/>
  <c r="Q291" i="1"/>
  <c r="P291" i="1" s="1"/>
  <c r="Q292" i="1"/>
  <c r="P292" i="1" s="1"/>
  <c r="Q293" i="1"/>
  <c r="P293" i="1" s="1"/>
  <c r="Q294" i="1"/>
  <c r="P294" i="1" s="1"/>
  <c r="Q295" i="1"/>
  <c r="P295" i="1" s="1"/>
  <c r="H286" i="1"/>
  <c r="J286" i="1"/>
  <c r="Q286" i="1"/>
  <c r="P286" i="1" s="1"/>
  <c r="H282" i="1"/>
  <c r="H283" i="1"/>
  <c r="H284" i="1"/>
  <c r="H285" i="1"/>
  <c r="J282" i="1"/>
  <c r="J283" i="1"/>
  <c r="J284" i="1"/>
  <c r="J285" i="1"/>
  <c r="Q282" i="1"/>
  <c r="P282" i="1" s="1"/>
  <c r="Q283" i="1"/>
  <c r="P283" i="1" s="1"/>
  <c r="Q284" i="1"/>
  <c r="P284" i="1" s="1"/>
  <c r="Q285" i="1"/>
  <c r="P285" i="1" s="1"/>
  <c r="H267" i="1"/>
  <c r="H268" i="1"/>
  <c r="H269" i="1"/>
  <c r="J267" i="1"/>
  <c r="J268" i="1"/>
  <c r="J269" i="1"/>
  <c r="Q267" i="1"/>
  <c r="P267" i="1" s="1"/>
  <c r="Q268" i="1"/>
  <c r="P268" i="1" s="1"/>
  <c r="Q269" i="1"/>
  <c r="P269" i="1" s="1"/>
  <c r="H266" i="1"/>
  <c r="J266" i="1"/>
  <c r="Q266" i="1"/>
  <c r="P266" i="1" s="1"/>
  <c r="H271" i="1"/>
  <c r="H272" i="1"/>
  <c r="H273" i="1"/>
  <c r="H274" i="1"/>
  <c r="H275" i="1"/>
  <c r="H276" i="1"/>
  <c r="H277" i="1"/>
  <c r="H278" i="1"/>
  <c r="H279" i="1"/>
  <c r="H280" i="1"/>
  <c r="H281" i="1"/>
  <c r="J271" i="1"/>
  <c r="J272" i="1"/>
  <c r="J273" i="1"/>
  <c r="J274" i="1"/>
  <c r="J275" i="1"/>
  <c r="J276" i="1"/>
  <c r="J277" i="1"/>
  <c r="J278" i="1"/>
  <c r="J279" i="1"/>
  <c r="J280" i="1"/>
  <c r="J281" i="1"/>
  <c r="Q271" i="1"/>
  <c r="P271" i="1" s="1"/>
  <c r="Q272" i="1"/>
  <c r="P272" i="1" s="1"/>
  <c r="Q273" i="1"/>
  <c r="P273" i="1" s="1"/>
  <c r="Q274" i="1"/>
  <c r="P274" i="1" s="1"/>
  <c r="Q275" i="1"/>
  <c r="P275" i="1" s="1"/>
  <c r="Q276" i="1"/>
  <c r="P276" i="1" s="1"/>
  <c r="Q277" i="1"/>
  <c r="P277" i="1" s="1"/>
  <c r="Q278" i="1"/>
  <c r="P278" i="1" s="1"/>
  <c r="Q279" i="1"/>
  <c r="P279" i="1" s="1"/>
  <c r="Q280" i="1"/>
  <c r="P280" i="1" s="1"/>
  <c r="Q281" i="1"/>
  <c r="P281" i="1" s="1"/>
  <c r="H270" i="1"/>
  <c r="J270" i="1"/>
  <c r="Q270" i="1"/>
  <c r="P270" i="1" s="1"/>
  <c r="H263" i="1"/>
  <c r="H264" i="1"/>
  <c r="H265" i="1"/>
  <c r="J263" i="1"/>
  <c r="J264" i="1"/>
  <c r="J265" i="1"/>
  <c r="Q263" i="1"/>
  <c r="P263" i="1" s="1"/>
  <c r="Q264" i="1"/>
  <c r="P264" i="1" s="1"/>
  <c r="Q265" i="1"/>
  <c r="P265" i="1" s="1"/>
  <c r="H256" i="1"/>
  <c r="H257" i="1"/>
  <c r="H258" i="1"/>
  <c r="H259" i="1"/>
  <c r="H260" i="1"/>
  <c r="H261" i="1"/>
  <c r="H262" i="1"/>
  <c r="J256" i="1"/>
  <c r="J257" i="1"/>
  <c r="J258" i="1"/>
  <c r="J259" i="1"/>
  <c r="J260" i="1"/>
  <c r="J261" i="1"/>
  <c r="J262" i="1"/>
  <c r="Q256" i="1"/>
  <c r="P256" i="1" s="1"/>
  <c r="Q257" i="1"/>
  <c r="P257" i="1" s="1"/>
  <c r="Q258" i="1"/>
  <c r="P258" i="1" s="1"/>
  <c r="Q259" i="1"/>
  <c r="P259" i="1" s="1"/>
  <c r="Q260" i="1"/>
  <c r="P260" i="1" s="1"/>
  <c r="Q261" i="1"/>
  <c r="P261" i="1" s="1"/>
  <c r="Q262" i="1"/>
  <c r="P262" i="1" s="1"/>
  <c r="H251" i="1"/>
  <c r="H252" i="1"/>
  <c r="H253" i="1"/>
  <c r="H254" i="1"/>
  <c r="H255" i="1"/>
  <c r="J251" i="1"/>
  <c r="J252" i="1"/>
  <c r="J253" i="1"/>
  <c r="J254" i="1"/>
  <c r="J255" i="1"/>
  <c r="Q251" i="1"/>
  <c r="P251" i="1" s="1"/>
  <c r="Q252" i="1"/>
  <c r="P252" i="1" s="1"/>
  <c r="Q253" i="1"/>
  <c r="P253" i="1" s="1"/>
  <c r="Q254" i="1"/>
  <c r="P254" i="1" s="1"/>
  <c r="Q255" i="1"/>
  <c r="P255" i="1" s="1"/>
  <c r="H250" i="1"/>
  <c r="J250" i="1"/>
  <c r="Q250" i="1"/>
  <c r="P250" i="1" s="1"/>
  <c r="H249" i="1"/>
  <c r="J249" i="1"/>
  <c r="Q249" i="1"/>
  <c r="P249" i="1" s="1"/>
  <c r="H245" i="1"/>
  <c r="H246" i="1"/>
  <c r="H247" i="1"/>
  <c r="H248" i="1"/>
  <c r="J245" i="1"/>
  <c r="J246" i="1"/>
  <c r="J247" i="1"/>
  <c r="J248" i="1"/>
  <c r="Q245" i="1"/>
  <c r="P245" i="1" s="1"/>
  <c r="Q246" i="1"/>
  <c r="P246" i="1" s="1"/>
  <c r="Q247" i="1"/>
  <c r="P247" i="1" s="1"/>
  <c r="Q248" i="1"/>
  <c r="P248" i="1" s="1"/>
  <c r="H244" i="1"/>
  <c r="H235" i="1"/>
  <c r="H236" i="1"/>
  <c r="H237" i="1"/>
  <c r="H238" i="1"/>
  <c r="H239" i="1"/>
  <c r="H240" i="1"/>
  <c r="H241" i="1"/>
  <c r="H242" i="1"/>
  <c r="H243" i="1"/>
  <c r="J235" i="1"/>
  <c r="J236" i="1"/>
  <c r="J237" i="1"/>
  <c r="J238" i="1"/>
  <c r="J239" i="1"/>
  <c r="J240" i="1"/>
  <c r="J241" i="1"/>
  <c r="J242" i="1"/>
  <c r="J243" i="1"/>
  <c r="J244" i="1"/>
  <c r="Q235" i="1"/>
  <c r="P235" i="1" s="1"/>
  <c r="Q236" i="1"/>
  <c r="P236" i="1" s="1"/>
  <c r="Q237" i="1"/>
  <c r="P237" i="1" s="1"/>
  <c r="Q238" i="1"/>
  <c r="P238" i="1" s="1"/>
  <c r="Q239" i="1"/>
  <c r="P239" i="1" s="1"/>
  <c r="Q240" i="1"/>
  <c r="P240" i="1" s="1"/>
  <c r="Q241" i="1"/>
  <c r="P241" i="1" s="1"/>
  <c r="Q242" i="1"/>
  <c r="P242" i="1" s="1"/>
  <c r="Q243" i="1"/>
  <c r="P243" i="1" s="1"/>
  <c r="Q244" i="1"/>
  <c r="P244" i="1" s="1"/>
  <c r="H208" i="1"/>
  <c r="H209" i="1"/>
  <c r="H210" i="1"/>
  <c r="H211" i="1"/>
  <c r="H212" i="1"/>
  <c r="H213" i="1"/>
  <c r="H214" i="1"/>
  <c r="H215" i="1"/>
  <c r="H216" i="1"/>
  <c r="H217" i="1"/>
  <c r="H218" i="1"/>
  <c r="H219" i="1"/>
  <c r="H220" i="1"/>
  <c r="H221" i="1"/>
  <c r="H222" i="1"/>
  <c r="H223" i="1"/>
  <c r="H224" i="1"/>
  <c r="H225" i="1"/>
  <c r="H226" i="1"/>
  <c r="H227" i="1"/>
  <c r="H228" i="1"/>
  <c r="H229" i="1"/>
  <c r="H230" i="1"/>
  <c r="H231" i="1"/>
  <c r="H232" i="1"/>
  <c r="H233" i="1"/>
  <c r="H234" i="1"/>
  <c r="J208" i="1"/>
  <c r="J209" i="1"/>
  <c r="J210" i="1"/>
  <c r="J211" i="1"/>
  <c r="J212" i="1"/>
  <c r="J213" i="1"/>
  <c r="J214" i="1"/>
  <c r="J215" i="1"/>
  <c r="J216" i="1"/>
  <c r="J217" i="1"/>
  <c r="J218" i="1"/>
  <c r="J219" i="1"/>
  <c r="J220" i="1"/>
  <c r="J221" i="1"/>
  <c r="J222" i="1"/>
  <c r="J223" i="1"/>
  <c r="J224" i="1"/>
  <c r="J225" i="1"/>
  <c r="J226" i="1"/>
  <c r="J227" i="1"/>
  <c r="J228" i="1"/>
  <c r="J229" i="1"/>
  <c r="J230" i="1"/>
  <c r="J231" i="1"/>
  <c r="J232" i="1"/>
  <c r="J233" i="1"/>
  <c r="J234" i="1"/>
  <c r="Q208" i="1"/>
  <c r="P208" i="1" s="1"/>
  <c r="Q209" i="1"/>
  <c r="P209" i="1" s="1"/>
  <c r="Q210" i="1"/>
  <c r="P210" i="1" s="1"/>
  <c r="Q211" i="1"/>
  <c r="P211" i="1" s="1"/>
  <c r="Q212" i="1"/>
  <c r="P212" i="1" s="1"/>
  <c r="Q213" i="1"/>
  <c r="P213" i="1" s="1"/>
  <c r="Q214" i="1"/>
  <c r="P214" i="1" s="1"/>
  <c r="Q215" i="1"/>
  <c r="P215" i="1" s="1"/>
  <c r="Q216" i="1"/>
  <c r="P216" i="1" s="1"/>
  <c r="Q217" i="1"/>
  <c r="P217" i="1" s="1"/>
  <c r="Q218" i="1"/>
  <c r="P218" i="1" s="1"/>
  <c r="Q219" i="1"/>
  <c r="P219" i="1" s="1"/>
  <c r="Q220" i="1"/>
  <c r="P220" i="1" s="1"/>
  <c r="Q221" i="1"/>
  <c r="P221" i="1" s="1"/>
  <c r="Q222" i="1"/>
  <c r="P222" i="1" s="1"/>
  <c r="Q223" i="1"/>
  <c r="P223" i="1" s="1"/>
  <c r="Q224" i="1"/>
  <c r="P224" i="1" s="1"/>
  <c r="Q225" i="1"/>
  <c r="P225" i="1" s="1"/>
  <c r="Q226" i="1"/>
  <c r="P226" i="1" s="1"/>
  <c r="Q227" i="1"/>
  <c r="P227" i="1" s="1"/>
  <c r="Q228" i="1"/>
  <c r="P228" i="1" s="1"/>
  <c r="Q229" i="1"/>
  <c r="P229" i="1" s="1"/>
  <c r="Q230" i="1"/>
  <c r="P230" i="1" s="1"/>
  <c r="Q231" i="1"/>
  <c r="P231" i="1" s="1"/>
  <c r="Q232" i="1"/>
  <c r="P232" i="1" s="1"/>
  <c r="Q233" i="1"/>
  <c r="P233" i="1" s="1"/>
  <c r="Q234" i="1"/>
  <c r="P234" i="1" s="1"/>
  <c r="H206" i="1"/>
  <c r="H207" i="1"/>
  <c r="J206" i="1"/>
  <c r="J207" i="1"/>
  <c r="Q206" i="1"/>
  <c r="P206" i="1" s="1"/>
  <c r="Q207" i="1"/>
  <c r="P207" i="1" s="1"/>
  <c r="H205" i="1"/>
  <c r="J205" i="1"/>
  <c r="Q205" i="1"/>
  <c r="P205" i="1" s="1"/>
  <c r="H204" i="1"/>
  <c r="J204" i="1"/>
  <c r="Q204" i="1"/>
  <c r="P204" i="1" s="1"/>
  <c r="H203" i="1"/>
  <c r="J203" i="1"/>
  <c r="Q203" i="1"/>
  <c r="P203" i="1" s="1"/>
  <c r="H190" i="1"/>
  <c r="J190" i="1"/>
  <c r="Q190" i="1"/>
  <c r="P190" i="1" s="1"/>
  <c r="H191" i="1"/>
  <c r="J191" i="1"/>
  <c r="Q191" i="1"/>
  <c r="P191" i="1" s="1"/>
  <c r="H192" i="1"/>
  <c r="H193" i="1"/>
  <c r="H194" i="1"/>
  <c r="H195" i="1"/>
  <c r="H196" i="1"/>
  <c r="J192" i="1"/>
  <c r="J193" i="1"/>
  <c r="J194" i="1"/>
  <c r="J195" i="1"/>
  <c r="J196" i="1"/>
  <c r="Q192" i="1"/>
  <c r="P192" i="1" s="1"/>
  <c r="Q193" i="1"/>
  <c r="P193" i="1" s="1"/>
  <c r="Q194" i="1"/>
  <c r="P194" i="1" s="1"/>
  <c r="Q195" i="1"/>
  <c r="P195" i="1" s="1"/>
  <c r="Q196" i="1"/>
  <c r="P196" i="1" s="1"/>
  <c r="H201" i="1"/>
  <c r="H202" i="1"/>
  <c r="J201" i="1"/>
  <c r="J202" i="1"/>
  <c r="Q201" i="1"/>
  <c r="P201" i="1" s="1"/>
  <c r="Q202" i="1"/>
  <c r="P202" i="1" s="1"/>
  <c r="H197" i="1"/>
  <c r="H198" i="1"/>
  <c r="H199" i="1"/>
  <c r="H200" i="1"/>
  <c r="J197" i="1"/>
  <c r="J198" i="1"/>
  <c r="J199" i="1"/>
  <c r="J200" i="1"/>
  <c r="Q197" i="1"/>
  <c r="P197" i="1" s="1"/>
  <c r="Q198" i="1"/>
  <c r="P198" i="1" s="1"/>
  <c r="Q199" i="1"/>
  <c r="P199" i="1" s="1"/>
  <c r="Q200" i="1"/>
  <c r="P200" i="1" s="1"/>
  <c r="H187" i="1"/>
  <c r="H188" i="1"/>
  <c r="H189" i="1"/>
  <c r="J187" i="1"/>
  <c r="J188" i="1"/>
  <c r="J189" i="1"/>
  <c r="Q187" i="1"/>
  <c r="P187" i="1" s="1"/>
  <c r="Q188" i="1"/>
  <c r="P188" i="1" s="1"/>
  <c r="Q189" i="1"/>
  <c r="P189" i="1" s="1"/>
  <c r="H164" i="1"/>
  <c r="Q164" i="1"/>
  <c r="P164" i="1" s="1"/>
  <c r="H165" i="1"/>
  <c r="H166" i="1"/>
  <c r="J165" i="1"/>
  <c r="J166" i="1"/>
  <c r="Q165" i="1"/>
  <c r="P165" i="1" s="1"/>
  <c r="Q166" i="1"/>
  <c r="P166" i="1" s="1"/>
  <c r="H167" i="1"/>
  <c r="H168" i="1"/>
  <c r="H169" i="1"/>
  <c r="H170" i="1"/>
  <c r="H171" i="1"/>
  <c r="H172" i="1"/>
  <c r="H173" i="1"/>
  <c r="H174" i="1"/>
  <c r="H175" i="1"/>
  <c r="H176" i="1"/>
  <c r="H177" i="1"/>
  <c r="H178" i="1"/>
  <c r="H179" i="1"/>
  <c r="H180" i="1"/>
  <c r="H181" i="1"/>
  <c r="H182" i="1"/>
  <c r="H183" i="1"/>
  <c r="H184" i="1"/>
  <c r="H185" i="1"/>
  <c r="H186" i="1"/>
  <c r="J167" i="1"/>
  <c r="J168" i="1"/>
  <c r="J169" i="1"/>
  <c r="J170" i="1"/>
  <c r="J171" i="1"/>
  <c r="J172" i="1"/>
  <c r="J173" i="1"/>
  <c r="J174" i="1"/>
  <c r="J175" i="1"/>
  <c r="J176" i="1"/>
  <c r="J177" i="1"/>
  <c r="J178" i="1"/>
  <c r="J179" i="1"/>
  <c r="J180" i="1"/>
  <c r="J181" i="1"/>
  <c r="J182" i="1"/>
  <c r="J183" i="1"/>
  <c r="J184" i="1"/>
  <c r="J185" i="1"/>
  <c r="J186" i="1"/>
  <c r="Q167" i="1"/>
  <c r="P167" i="1" s="1"/>
  <c r="Q168" i="1"/>
  <c r="P168" i="1" s="1"/>
  <c r="Q169" i="1"/>
  <c r="P169" i="1" s="1"/>
  <c r="Q170" i="1"/>
  <c r="P170" i="1" s="1"/>
  <c r="Q171" i="1"/>
  <c r="P171" i="1" s="1"/>
  <c r="Q172" i="1"/>
  <c r="P172" i="1" s="1"/>
  <c r="Q173" i="1"/>
  <c r="P173" i="1" s="1"/>
  <c r="Q174" i="1"/>
  <c r="P174" i="1" s="1"/>
  <c r="Q175" i="1"/>
  <c r="P175" i="1" s="1"/>
  <c r="Q176" i="1"/>
  <c r="P176" i="1" s="1"/>
  <c r="Q177" i="1"/>
  <c r="P177" i="1" s="1"/>
  <c r="Q178" i="1"/>
  <c r="P178" i="1" s="1"/>
  <c r="Q179" i="1"/>
  <c r="P179" i="1" s="1"/>
  <c r="Q180" i="1"/>
  <c r="P180" i="1" s="1"/>
  <c r="Q181" i="1"/>
  <c r="P181" i="1" s="1"/>
  <c r="Q182" i="1"/>
  <c r="P182" i="1" s="1"/>
  <c r="Q183" i="1"/>
  <c r="P183" i="1" s="1"/>
  <c r="Q184" i="1"/>
  <c r="P184" i="1" s="1"/>
  <c r="Q185" i="1"/>
  <c r="P185" i="1" s="1"/>
  <c r="Q186" i="1"/>
  <c r="P186" i="1" s="1"/>
  <c r="J164" i="1"/>
  <c r="H163" i="1"/>
  <c r="J163" i="1"/>
  <c r="Q163" i="1"/>
  <c r="P163" i="1" s="1"/>
  <c r="H162" i="1"/>
  <c r="J162" i="1"/>
  <c r="Q162" i="1"/>
  <c r="P162" i="1" s="1"/>
  <c r="H160" i="1"/>
  <c r="H161" i="1"/>
  <c r="J160" i="1"/>
  <c r="J161" i="1"/>
  <c r="Q160" i="1"/>
  <c r="P160" i="1" s="1"/>
  <c r="Q161" i="1"/>
  <c r="P161" i="1" s="1"/>
  <c r="H159" i="1"/>
  <c r="J159" i="1"/>
  <c r="Q159" i="1"/>
  <c r="P159" i="1" s="1"/>
  <c r="H157" i="1"/>
  <c r="H158" i="1"/>
  <c r="J157" i="1"/>
  <c r="J158" i="1"/>
  <c r="Q157" i="1"/>
  <c r="P157" i="1" s="1"/>
  <c r="Q158" i="1"/>
  <c r="P158" i="1" s="1"/>
  <c r="H132" i="1"/>
  <c r="H133" i="1"/>
  <c r="H134" i="1"/>
  <c r="H135" i="1"/>
  <c r="H136" i="1"/>
  <c r="H137" i="1"/>
  <c r="H138" i="1"/>
  <c r="H139" i="1"/>
  <c r="H140" i="1"/>
  <c r="H141" i="1"/>
  <c r="H142" i="1"/>
  <c r="H143" i="1"/>
  <c r="H144" i="1"/>
  <c r="H145" i="1"/>
  <c r="H146" i="1"/>
  <c r="H147" i="1"/>
  <c r="H148" i="1"/>
  <c r="H149" i="1"/>
  <c r="H150" i="1"/>
  <c r="H151" i="1"/>
  <c r="H152" i="1"/>
  <c r="H153" i="1"/>
  <c r="H154" i="1"/>
  <c r="H155" i="1"/>
  <c r="H156" i="1"/>
  <c r="J132" i="1"/>
  <c r="J133" i="1"/>
  <c r="J134" i="1"/>
  <c r="J135" i="1"/>
  <c r="J136" i="1"/>
  <c r="J137" i="1"/>
  <c r="J138" i="1"/>
  <c r="J139" i="1"/>
  <c r="J140" i="1"/>
  <c r="J141" i="1"/>
  <c r="J142" i="1"/>
  <c r="J143" i="1"/>
  <c r="J144" i="1"/>
  <c r="J145" i="1"/>
  <c r="J146" i="1"/>
  <c r="J147" i="1"/>
  <c r="J148" i="1"/>
  <c r="J149" i="1"/>
  <c r="J150" i="1"/>
  <c r="J151" i="1"/>
  <c r="J152" i="1"/>
  <c r="J153" i="1"/>
  <c r="J154" i="1"/>
  <c r="J155" i="1"/>
  <c r="J156" i="1"/>
  <c r="Q132" i="1"/>
  <c r="P132" i="1" s="1"/>
  <c r="Q133" i="1"/>
  <c r="P133" i="1" s="1"/>
  <c r="Q134" i="1"/>
  <c r="P134" i="1" s="1"/>
  <c r="Q135" i="1"/>
  <c r="P135" i="1" s="1"/>
  <c r="Q136" i="1"/>
  <c r="P136" i="1" s="1"/>
  <c r="Q137" i="1"/>
  <c r="P137" i="1" s="1"/>
  <c r="Q138" i="1"/>
  <c r="P138" i="1" s="1"/>
  <c r="Q139" i="1"/>
  <c r="P139" i="1" s="1"/>
  <c r="Q140" i="1"/>
  <c r="P140" i="1" s="1"/>
  <c r="Q141" i="1"/>
  <c r="P141" i="1" s="1"/>
  <c r="Q142" i="1"/>
  <c r="P142" i="1" s="1"/>
  <c r="Q143" i="1"/>
  <c r="P143" i="1" s="1"/>
  <c r="Q144" i="1"/>
  <c r="P144" i="1" s="1"/>
  <c r="Q145" i="1"/>
  <c r="P145" i="1" s="1"/>
  <c r="Q146" i="1"/>
  <c r="P146" i="1" s="1"/>
  <c r="Q147" i="1"/>
  <c r="P147" i="1" s="1"/>
  <c r="Q148" i="1"/>
  <c r="P148" i="1" s="1"/>
  <c r="Q149" i="1"/>
  <c r="P149" i="1" s="1"/>
  <c r="Q150" i="1"/>
  <c r="P150" i="1" s="1"/>
  <c r="Q151" i="1"/>
  <c r="P151" i="1" s="1"/>
  <c r="Q152" i="1"/>
  <c r="P152" i="1" s="1"/>
  <c r="Q153" i="1"/>
  <c r="P153" i="1" s="1"/>
  <c r="Q154" i="1"/>
  <c r="P154" i="1" s="1"/>
  <c r="Q155" i="1"/>
  <c r="P155" i="1" s="1"/>
  <c r="Q156" i="1"/>
  <c r="P156" i="1" s="1"/>
  <c r="H130" i="1"/>
  <c r="H131" i="1"/>
  <c r="J130" i="1"/>
  <c r="J131" i="1"/>
  <c r="Q130" i="1"/>
  <c r="P130" i="1" s="1"/>
  <c r="Q131" i="1"/>
  <c r="P131" i="1" s="1"/>
  <c r="Q129" i="1"/>
  <c r="P129" i="1" s="1"/>
  <c r="Q128" i="1"/>
  <c r="P128" i="1" s="1"/>
  <c r="Q127" i="1"/>
  <c r="P127" i="1" s="1"/>
  <c r="Q126" i="1"/>
  <c r="P126" i="1" s="1"/>
  <c r="Q125" i="1"/>
  <c r="P125" i="1" s="1"/>
  <c r="Q124" i="1"/>
  <c r="P124" i="1" s="1"/>
  <c r="Q123" i="1"/>
  <c r="P123" i="1" s="1"/>
  <c r="Q122" i="1"/>
  <c r="P122" i="1" s="1"/>
  <c r="Q121" i="1"/>
  <c r="P121" i="1" s="1"/>
  <c r="Q120" i="1"/>
  <c r="P120" i="1" s="1"/>
  <c r="Q119" i="1"/>
  <c r="P119" i="1" s="1"/>
  <c r="Q118" i="1"/>
  <c r="P118" i="1" s="1"/>
  <c r="Q117" i="1"/>
  <c r="P117" i="1" s="1"/>
  <c r="Q116" i="1"/>
  <c r="P116" i="1" s="1"/>
  <c r="Q115" i="1"/>
  <c r="P115" i="1" s="1"/>
  <c r="Q114" i="1"/>
  <c r="P114" i="1" s="1"/>
  <c r="Q113" i="1"/>
  <c r="P113" i="1" s="1"/>
  <c r="Q112" i="1"/>
  <c r="P112" i="1" s="1"/>
  <c r="Q111" i="1"/>
  <c r="P111" i="1" s="1"/>
  <c r="Q110" i="1"/>
  <c r="P110" i="1" s="1"/>
  <c r="H109" i="1"/>
  <c r="H110" i="1"/>
  <c r="H111" i="1"/>
  <c r="H112" i="1"/>
  <c r="H113" i="1"/>
  <c r="H114" i="1"/>
  <c r="H115" i="1"/>
  <c r="H116" i="1"/>
  <c r="H117" i="1"/>
  <c r="H118" i="1"/>
  <c r="H119" i="1"/>
  <c r="H120" i="1"/>
  <c r="H121" i="1"/>
  <c r="H122" i="1"/>
  <c r="H123" i="1"/>
  <c r="H124" i="1"/>
  <c r="H125" i="1"/>
  <c r="H126" i="1"/>
  <c r="H127" i="1"/>
  <c r="H128" i="1"/>
  <c r="H129" i="1"/>
  <c r="J109" i="1"/>
  <c r="J110" i="1"/>
  <c r="J111" i="1"/>
  <c r="J112" i="1"/>
  <c r="J113" i="1"/>
  <c r="J114" i="1"/>
  <c r="J115" i="1"/>
  <c r="J116" i="1"/>
  <c r="J117" i="1"/>
  <c r="J118" i="1"/>
  <c r="J119" i="1"/>
  <c r="J120" i="1"/>
  <c r="J121" i="1"/>
  <c r="J122" i="1"/>
  <c r="J123" i="1"/>
  <c r="J124" i="1"/>
  <c r="J125" i="1"/>
  <c r="J126" i="1"/>
  <c r="J127" i="1"/>
  <c r="J128" i="1"/>
  <c r="J129" i="1"/>
  <c r="Q109" i="1"/>
  <c r="P109" i="1" s="1"/>
  <c r="H86" i="1"/>
  <c r="H87" i="1"/>
  <c r="H88" i="1"/>
  <c r="J86" i="1"/>
  <c r="J87" i="1"/>
  <c r="J88" i="1"/>
  <c r="Q86" i="1"/>
  <c r="P86" i="1" s="1"/>
  <c r="Q87" i="1"/>
  <c r="P87" i="1" s="1"/>
  <c r="Q88" i="1"/>
  <c r="P88" i="1" s="1"/>
  <c r="H90" i="1"/>
  <c r="H91" i="1"/>
  <c r="H92" i="1"/>
  <c r="H93" i="1"/>
  <c r="H94" i="1"/>
  <c r="H95" i="1"/>
  <c r="H96" i="1"/>
  <c r="H97" i="1"/>
  <c r="H98" i="1"/>
  <c r="H99" i="1"/>
  <c r="H100" i="1"/>
  <c r="H101" i="1"/>
  <c r="H102" i="1"/>
  <c r="H103" i="1"/>
  <c r="H104" i="1"/>
  <c r="H105" i="1"/>
  <c r="H106" i="1"/>
  <c r="H107" i="1"/>
  <c r="H108" i="1"/>
  <c r="J90" i="1"/>
  <c r="J91" i="1"/>
  <c r="J92" i="1"/>
  <c r="J93" i="1"/>
  <c r="J94" i="1"/>
  <c r="J95" i="1"/>
  <c r="J96" i="1"/>
  <c r="J97" i="1"/>
  <c r="J98" i="1"/>
  <c r="J99" i="1"/>
  <c r="J100" i="1"/>
  <c r="J101" i="1"/>
  <c r="J102" i="1"/>
  <c r="J103" i="1"/>
  <c r="J104" i="1"/>
  <c r="J105" i="1"/>
  <c r="J106" i="1"/>
  <c r="J107" i="1"/>
  <c r="J108" i="1"/>
  <c r="Q90" i="1"/>
  <c r="P90" i="1" s="1"/>
  <c r="Q91" i="1"/>
  <c r="P91" i="1" s="1"/>
  <c r="Q92" i="1"/>
  <c r="P92" i="1" s="1"/>
  <c r="Q93" i="1"/>
  <c r="P93" i="1" s="1"/>
  <c r="Q94" i="1"/>
  <c r="P94" i="1" s="1"/>
  <c r="Q95" i="1"/>
  <c r="P95" i="1" s="1"/>
  <c r="Q96" i="1"/>
  <c r="P96" i="1" s="1"/>
  <c r="Q97" i="1"/>
  <c r="P97" i="1" s="1"/>
  <c r="Q98" i="1"/>
  <c r="P98" i="1" s="1"/>
  <c r="Q99" i="1"/>
  <c r="P99" i="1" s="1"/>
  <c r="Q100" i="1"/>
  <c r="P100" i="1" s="1"/>
  <c r="Q101" i="1"/>
  <c r="P101" i="1" s="1"/>
  <c r="Q102" i="1"/>
  <c r="P102" i="1" s="1"/>
  <c r="Q103" i="1"/>
  <c r="P103" i="1" s="1"/>
  <c r="Q104" i="1"/>
  <c r="P104" i="1" s="1"/>
  <c r="Q105" i="1"/>
  <c r="P105" i="1" s="1"/>
  <c r="Q106" i="1"/>
  <c r="P106" i="1" s="1"/>
  <c r="Q107" i="1"/>
  <c r="P107" i="1" s="1"/>
  <c r="Q108" i="1"/>
  <c r="P108" i="1" s="1"/>
  <c r="H89" i="1"/>
  <c r="J89" i="1"/>
  <c r="Q89" i="1"/>
  <c r="P89" i="1" s="1"/>
  <c r="Q85" i="1"/>
  <c r="P85" i="1" s="1"/>
  <c r="Q84" i="1"/>
  <c r="P84" i="1" s="1"/>
  <c r="Q83" i="1"/>
  <c r="P83" i="1" s="1"/>
  <c r="Q82" i="1"/>
  <c r="P82" i="1" s="1"/>
  <c r="Q81" i="1"/>
  <c r="P81" i="1" s="1"/>
  <c r="Q80" i="1"/>
  <c r="P80" i="1" s="1"/>
  <c r="Q79" i="1"/>
  <c r="P79" i="1" s="1"/>
  <c r="Q78" i="1"/>
  <c r="P78" i="1" s="1"/>
  <c r="Q77" i="1"/>
  <c r="P77" i="1" s="1"/>
  <c r="Q76" i="1"/>
  <c r="P76" i="1" s="1"/>
  <c r="Q75" i="1"/>
  <c r="P75" i="1" s="1"/>
  <c r="Q74" i="1"/>
  <c r="P74" i="1" s="1"/>
  <c r="Q73" i="1"/>
  <c r="P73" i="1" s="1"/>
  <c r="Q72" i="1"/>
  <c r="P72" i="1" s="1"/>
  <c r="Q71" i="1"/>
  <c r="P71" i="1" s="1"/>
  <c r="Q70" i="1"/>
  <c r="P70" i="1" s="1"/>
  <c r="Q69" i="1"/>
  <c r="P69" i="1" s="1"/>
  <c r="Q68" i="1"/>
  <c r="P68" i="1" s="1"/>
  <c r="Q67" i="1"/>
  <c r="P67" i="1" s="1"/>
  <c r="Q66" i="1"/>
  <c r="P66" i="1" s="1"/>
  <c r="Q65" i="1"/>
  <c r="P65" i="1" s="1"/>
  <c r="Q64" i="1"/>
  <c r="P64" i="1" s="1"/>
  <c r="Q63" i="1"/>
  <c r="P63" i="1" s="1"/>
  <c r="Q62" i="1"/>
  <c r="P62" i="1" s="1"/>
  <c r="Q61" i="1"/>
  <c r="P61" i="1" s="1"/>
  <c r="Q60" i="1"/>
  <c r="P60" i="1" s="1"/>
  <c r="Q59" i="1"/>
  <c r="P59" i="1" s="1"/>
  <c r="Q58" i="1"/>
  <c r="P58" i="1" s="1"/>
  <c r="Q57" i="1"/>
  <c r="P57" i="1" s="1"/>
  <c r="Q56" i="1"/>
  <c r="P56" i="1" s="1"/>
  <c r="Q55" i="1"/>
  <c r="P55" i="1" s="1"/>
  <c r="Q54" i="1"/>
  <c r="P54" i="1" s="1"/>
  <c r="Q53" i="1"/>
  <c r="P53" i="1" s="1"/>
  <c r="Q52" i="1"/>
  <c r="P52" i="1" s="1"/>
  <c r="Q51" i="1"/>
  <c r="P51" i="1" s="1"/>
  <c r="Q50" i="1"/>
  <c r="P50" i="1" s="1"/>
  <c r="Q49" i="1"/>
  <c r="P49" i="1" s="1"/>
  <c r="Q48" i="1"/>
  <c r="P48" i="1" s="1"/>
  <c r="Q47" i="1"/>
  <c r="P47" i="1" s="1"/>
  <c r="Q46" i="1"/>
  <c r="P46" i="1" s="1"/>
  <c r="Q45" i="1"/>
  <c r="P45" i="1" s="1"/>
  <c r="Q44" i="1"/>
  <c r="P44" i="1" s="1"/>
  <c r="Q43" i="1"/>
  <c r="P43" i="1" s="1"/>
  <c r="Q42" i="1"/>
  <c r="P42" i="1" s="1"/>
  <c r="Q41" i="1"/>
  <c r="P41" i="1" s="1"/>
  <c r="Q40" i="1"/>
  <c r="P40" i="1" s="1"/>
  <c r="Q39" i="1"/>
  <c r="P39" i="1" s="1"/>
  <c r="Q38" i="1"/>
  <c r="P38" i="1" s="1"/>
  <c r="Q37" i="1"/>
  <c r="P37" i="1" s="1"/>
  <c r="Q36" i="1"/>
  <c r="P36" i="1" s="1"/>
  <c r="Q35" i="1"/>
  <c r="P35" i="1" s="1"/>
  <c r="Q34" i="1"/>
  <c r="P34" i="1" s="1"/>
  <c r="Q33" i="1"/>
  <c r="P33" i="1" s="1"/>
  <c r="Q32" i="1"/>
  <c r="P32" i="1" s="1"/>
  <c r="Q31" i="1"/>
  <c r="P31" i="1" s="1"/>
  <c r="Q30" i="1"/>
  <c r="P30" i="1" s="1"/>
  <c r="Q29" i="1"/>
  <c r="P29" i="1" s="1"/>
  <c r="Q28" i="1"/>
  <c r="P28" i="1" s="1"/>
  <c r="Q27" i="1"/>
  <c r="P27" i="1" s="1"/>
  <c r="Q26" i="1"/>
  <c r="P26" i="1" s="1"/>
  <c r="Q25" i="1"/>
  <c r="P25" i="1" s="1"/>
  <c r="H24" i="1"/>
  <c r="H25" i="1"/>
  <c r="H26" i="1"/>
  <c r="H27" i="1"/>
  <c r="H28" i="1"/>
  <c r="H29" i="1"/>
  <c r="H30" i="1"/>
  <c r="H31" i="1"/>
  <c r="H32" i="1"/>
  <c r="H33" i="1"/>
  <c r="H34" i="1"/>
  <c r="H35" i="1"/>
  <c r="H36" i="1"/>
  <c r="H37" i="1"/>
  <c r="H38" i="1"/>
  <c r="H39" i="1"/>
  <c r="H40" i="1"/>
  <c r="H41" i="1"/>
  <c r="H42" i="1"/>
  <c r="H43" i="1"/>
  <c r="H44" i="1"/>
  <c r="H45" i="1"/>
  <c r="H46" i="1"/>
  <c r="H47" i="1"/>
  <c r="H48" i="1"/>
  <c r="H49" i="1"/>
  <c r="H50" i="1"/>
  <c r="H51" i="1"/>
  <c r="H52" i="1"/>
  <c r="H53" i="1"/>
  <c r="H54" i="1"/>
  <c r="H55" i="1"/>
  <c r="H56" i="1"/>
  <c r="H57" i="1"/>
  <c r="H58" i="1"/>
  <c r="H59" i="1"/>
  <c r="H60" i="1"/>
  <c r="H61" i="1"/>
  <c r="H62" i="1"/>
  <c r="H63" i="1"/>
  <c r="H64" i="1"/>
  <c r="H65" i="1"/>
  <c r="H66" i="1"/>
  <c r="H67" i="1"/>
  <c r="H68" i="1"/>
  <c r="H69" i="1"/>
  <c r="H70" i="1"/>
  <c r="H71" i="1"/>
  <c r="H72" i="1"/>
  <c r="H73" i="1"/>
  <c r="H74" i="1"/>
  <c r="H75" i="1"/>
  <c r="H76" i="1"/>
  <c r="H77" i="1"/>
  <c r="H78" i="1"/>
  <c r="H79" i="1"/>
  <c r="H80" i="1"/>
  <c r="H81" i="1"/>
  <c r="H82" i="1"/>
  <c r="H83" i="1"/>
  <c r="H84" i="1"/>
  <c r="H85" i="1"/>
  <c r="J24" i="1"/>
  <c r="J25" i="1"/>
  <c r="J26" i="1"/>
  <c r="J27" i="1"/>
  <c r="J28" i="1"/>
  <c r="J29" i="1"/>
  <c r="J30" i="1"/>
  <c r="J31" i="1"/>
  <c r="J32" i="1"/>
  <c r="J33" i="1"/>
  <c r="J34" i="1"/>
  <c r="J35" i="1"/>
  <c r="J36" i="1"/>
  <c r="J37" i="1"/>
  <c r="J38" i="1"/>
  <c r="J39" i="1"/>
  <c r="J40" i="1"/>
  <c r="J41" i="1"/>
  <c r="J42" i="1"/>
  <c r="J43" i="1"/>
  <c r="J44" i="1"/>
  <c r="J45" i="1"/>
  <c r="J46" i="1"/>
  <c r="J47" i="1"/>
  <c r="J48" i="1"/>
  <c r="J49" i="1"/>
  <c r="J50" i="1"/>
  <c r="J51" i="1"/>
  <c r="J52" i="1"/>
  <c r="J53" i="1"/>
  <c r="J54" i="1"/>
  <c r="J55" i="1"/>
  <c r="J56" i="1"/>
  <c r="J57" i="1"/>
  <c r="J58" i="1"/>
  <c r="J59" i="1"/>
  <c r="J60" i="1"/>
  <c r="J61" i="1"/>
  <c r="J62" i="1"/>
  <c r="J63" i="1"/>
  <c r="J64" i="1"/>
  <c r="J65" i="1"/>
  <c r="J66" i="1"/>
  <c r="J67" i="1"/>
  <c r="J68" i="1"/>
  <c r="J69" i="1"/>
  <c r="J70" i="1"/>
  <c r="J71" i="1"/>
  <c r="J72" i="1"/>
  <c r="J73" i="1"/>
  <c r="J74" i="1"/>
  <c r="J75" i="1"/>
  <c r="J76" i="1"/>
  <c r="J77" i="1"/>
  <c r="J78" i="1"/>
  <c r="J79" i="1"/>
  <c r="J80" i="1"/>
  <c r="J81" i="1"/>
  <c r="J82" i="1"/>
  <c r="J83" i="1"/>
  <c r="J84" i="1"/>
  <c r="J85" i="1"/>
  <c r="Q24" i="1"/>
  <c r="P24" i="1" s="1"/>
  <c r="Q23" i="1"/>
  <c r="P23" i="1" s="1"/>
  <c r="H23" i="1"/>
  <c r="J23" i="1"/>
  <c r="H17" i="1"/>
  <c r="H18" i="1"/>
  <c r="H19" i="1"/>
  <c r="H20" i="1"/>
  <c r="J17" i="1"/>
  <c r="J18" i="1"/>
  <c r="J19" i="1"/>
  <c r="J20" i="1"/>
  <c r="Q17" i="1"/>
  <c r="P17" i="1" s="1"/>
  <c r="Q18" i="1"/>
  <c r="P18" i="1" s="1"/>
  <c r="Q19" i="1"/>
  <c r="P19" i="1" s="1"/>
  <c r="Q20" i="1"/>
  <c r="P20" i="1" s="1"/>
  <c r="H21" i="1"/>
  <c r="H22" i="1"/>
  <c r="J21" i="1"/>
  <c r="J22" i="1"/>
  <c r="Q21" i="1"/>
  <c r="P21" i="1" s="1"/>
  <c r="Q22" i="1"/>
  <c r="P22" i="1" s="1"/>
  <c r="H11" i="1"/>
  <c r="J11" i="1"/>
  <c r="Q11" i="1"/>
  <c r="P11" i="1" s="1"/>
  <c r="H12" i="1"/>
  <c r="H13" i="1"/>
  <c r="H14" i="1"/>
  <c r="H15" i="1"/>
  <c r="H16" i="1"/>
  <c r="J12" i="1"/>
  <c r="J13" i="1"/>
  <c r="J14" i="1"/>
  <c r="J15" i="1"/>
  <c r="J16" i="1"/>
  <c r="Q12" i="1"/>
  <c r="P12" i="1" s="1"/>
  <c r="Q13" i="1"/>
  <c r="P13" i="1" s="1"/>
  <c r="Q14" i="1"/>
  <c r="P14" i="1" s="1"/>
  <c r="Q15" i="1"/>
  <c r="P15" i="1" s="1"/>
  <c r="Q16" i="1"/>
  <c r="P16" i="1" s="1"/>
  <c r="K74" i="20"/>
  <c r="J74" i="20"/>
  <c r="K73" i="20"/>
  <c r="J73" i="20"/>
  <c r="K72" i="20"/>
  <c r="J72" i="20"/>
  <c r="K71" i="20"/>
  <c r="J71" i="20"/>
  <c r="K70" i="20"/>
  <c r="J70" i="20"/>
  <c r="K69" i="20"/>
  <c r="J69" i="20"/>
  <c r="K68" i="20"/>
  <c r="J68" i="20"/>
  <c r="K67" i="20"/>
  <c r="J67" i="20"/>
  <c r="K66" i="20"/>
  <c r="J66" i="20"/>
  <c r="K65" i="20"/>
  <c r="J65" i="20"/>
  <c r="K64" i="20"/>
  <c r="J64" i="20"/>
  <c r="K63" i="20"/>
  <c r="J63" i="20"/>
  <c r="K62" i="20"/>
  <c r="J62" i="20"/>
  <c r="K61" i="20"/>
  <c r="J61" i="20"/>
  <c r="K60" i="20"/>
  <c r="J60" i="20"/>
  <c r="K59" i="20"/>
  <c r="J59" i="20"/>
  <c r="K58" i="20"/>
  <c r="J58" i="20"/>
  <c r="K57" i="20"/>
  <c r="J57" i="20"/>
  <c r="K56" i="20"/>
  <c r="J56" i="20"/>
  <c r="K55" i="20"/>
  <c r="J55" i="20"/>
  <c r="K54" i="20"/>
  <c r="J54" i="20"/>
  <c r="K53" i="20"/>
  <c r="J53" i="20"/>
  <c r="K52" i="20"/>
  <c r="J52" i="20"/>
  <c r="K51" i="20"/>
  <c r="J51" i="20"/>
  <c r="K50" i="20"/>
  <c r="J50" i="20"/>
  <c r="K49" i="20"/>
  <c r="J49" i="20"/>
  <c r="K48" i="20"/>
  <c r="J48" i="20"/>
  <c r="K47" i="20"/>
  <c r="J47" i="20"/>
  <c r="K46" i="20"/>
  <c r="J46" i="20"/>
  <c r="K45" i="20"/>
  <c r="J45" i="20"/>
  <c r="K44" i="20"/>
  <c r="J44" i="20"/>
  <c r="K43" i="20"/>
  <c r="J43" i="20"/>
  <c r="K42" i="20"/>
  <c r="J42" i="20"/>
  <c r="K41" i="20"/>
  <c r="J41" i="20"/>
  <c r="K40" i="20"/>
  <c r="J40" i="20"/>
  <c r="K39" i="20"/>
  <c r="J39" i="20"/>
  <c r="K38" i="20"/>
  <c r="J38" i="20"/>
  <c r="K37" i="20"/>
  <c r="J37" i="20"/>
  <c r="K36" i="20"/>
  <c r="J36" i="20"/>
  <c r="K35" i="20"/>
  <c r="J35" i="20"/>
  <c r="K34" i="20"/>
  <c r="J34" i="20"/>
  <c r="K33" i="20"/>
  <c r="J33" i="20"/>
  <c r="K32" i="20"/>
  <c r="J32" i="20"/>
  <c r="K31" i="20"/>
  <c r="J31" i="20"/>
  <c r="K30" i="20"/>
  <c r="J30" i="20"/>
  <c r="K29" i="20"/>
  <c r="J29" i="20"/>
  <c r="K28" i="20"/>
  <c r="J28" i="20"/>
  <c r="K27" i="20"/>
  <c r="J27" i="20"/>
  <c r="K26" i="20"/>
  <c r="J26" i="20"/>
  <c r="K25" i="20"/>
  <c r="J25" i="20"/>
  <c r="K24" i="20"/>
  <c r="J24" i="20"/>
  <c r="K23" i="20"/>
  <c r="J23" i="20"/>
  <c r="K22" i="20"/>
  <c r="J22" i="20"/>
  <c r="K21" i="20"/>
  <c r="J21" i="20"/>
  <c r="K20" i="20"/>
  <c r="J20" i="20"/>
  <c r="K19" i="20"/>
  <c r="J19" i="20"/>
  <c r="K18" i="20"/>
  <c r="J18" i="20"/>
  <c r="K17" i="20"/>
  <c r="J17" i="20"/>
  <c r="K16" i="20"/>
  <c r="J16" i="20"/>
  <c r="K15" i="20"/>
  <c r="J15" i="20"/>
  <c r="K14" i="20"/>
  <c r="J14" i="20"/>
  <c r="K13" i="20"/>
  <c r="J13" i="20"/>
  <c r="K12" i="20"/>
  <c r="J12" i="20"/>
  <c r="K11" i="20"/>
  <c r="J11" i="20"/>
  <c r="K10" i="20"/>
  <c r="J10" i="20"/>
  <c r="K9" i="20"/>
  <c r="J9" i="20"/>
  <c r="K8" i="20"/>
  <c r="J8" i="20"/>
  <c r="K7" i="20"/>
  <c r="J7" i="20"/>
  <c r="K6" i="20"/>
  <c r="J6" i="20"/>
  <c r="K5" i="20"/>
  <c r="J5" i="20"/>
  <c r="K4" i="20"/>
  <c r="J4" i="20"/>
  <c r="K3" i="20"/>
  <c r="J3" i="20"/>
  <c r="K2" i="20"/>
  <c r="J2" i="20"/>
  <c r="C564" i="2"/>
  <c r="C563" i="2"/>
  <c r="C562" i="2"/>
  <c r="C561" i="2"/>
  <c r="C560" i="2"/>
  <c r="C559" i="2"/>
  <c r="C558" i="2"/>
  <c r="C557" i="2"/>
  <c r="C556" i="2"/>
  <c r="C555" i="2"/>
  <c r="C554" i="2"/>
  <c r="C553" i="2"/>
  <c r="C552" i="2"/>
  <c r="C551" i="2"/>
  <c r="C550" i="2"/>
  <c r="C549" i="2"/>
  <c r="C548" i="2"/>
  <c r="J2894" i="1"/>
  <c r="J2893" i="1"/>
  <c r="J2891" i="1"/>
  <c r="J2896" i="1"/>
  <c r="J2895" i="1"/>
  <c r="J2892" i="1"/>
  <c r="B9" i="1"/>
  <c r="B10" i="1"/>
  <c r="B8" i="1"/>
  <c r="B7" i="1"/>
  <c r="B2" i="1"/>
  <c r="B5" i="1"/>
  <c r="B6" i="1"/>
  <c r="B3" i="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AB1DF89E-580C-4902-8ADE-2D306D8F54A0}" keepAlive="1" name="Query - MonthForecast" description="Connection to the 'MonthForecast' query in the workbook." type="5" refreshedVersion="0" background="1">
    <dbPr connection="Provider=Microsoft.Mashup.OleDb.1;Data Source=$Workbook$;Location=MonthForecast;Extended Properties=&quot;&quot;" command="SELECT * FROM [MonthForecast]"/>
  </connection>
  <connection id="2" xr16:uid="{4969648F-5EE7-487C-ABF8-D9EB0C090701}" keepAlive="1" name="Query - ObjectCount" description="Connection to the 'ObjectCount' query in the workbook." type="5" refreshedVersion="0" background="1">
    <dbPr connection="Provider=Microsoft.Mashup.OleDb.1;Data Source=$Workbook$;Location=ObjectCount;Extended Properties=&quot;&quot;" command="SELECT * FROM [ObjectCount]"/>
  </connection>
  <connection id="3" xr16:uid="{BD215908-C5FE-409F-8065-1DCE00996FA6}" keepAlive="1" name="Query - TicketCount" description="Connection to the 'TicketCount' query in the workbook." type="5" refreshedVersion="0" background="1">
    <dbPr connection="Provider=Microsoft.Mashup.OleDb.1;Data Source=$Workbook$;Location=TicketCount;Extended Properties=&quot;&quot;" command="SELECT * FROM [TicketCount]"/>
  </connection>
</connections>
</file>

<file path=xl/sharedStrings.xml><?xml version="1.0" encoding="utf-8"?>
<sst xmlns="http://schemas.openxmlformats.org/spreadsheetml/2006/main" count="45440" uniqueCount="7413">
  <si>
    <t>Ticket</t>
  </si>
  <si>
    <t>Number</t>
  </si>
  <si>
    <t>Status</t>
  </si>
  <si>
    <t>FR0000000</t>
  </si>
  <si>
    <t>ok</t>
  </si>
  <si>
    <t>FR5642808</t>
  </si>
  <si>
    <t>FR5646198</t>
  </si>
  <si>
    <t>FR5654599</t>
  </si>
  <si>
    <t>FR5654885</t>
  </si>
  <si>
    <t>FR5655635</t>
  </si>
  <si>
    <t>FR5656648</t>
  </si>
  <si>
    <t>FR5661206</t>
  </si>
  <si>
    <t>FR5661299</t>
  </si>
  <si>
    <t>FR5641059</t>
  </si>
  <si>
    <t>FR5649982</t>
  </si>
  <si>
    <t>FR5653429</t>
  </si>
  <si>
    <t>FR5654113</t>
  </si>
  <si>
    <t>FR5662980</t>
  </si>
  <si>
    <t>FR5666337</t>
  </si>
  <si>
    <t>FR5653288</t>
  </si>
  <si>
    <t>FR5658055</t>
  </si>
  <si>
    <t>FR5668483</t>
  </si>
  <si>
    <t>FR5668799</t>
  </si>
  <si>
    <t>FR5674651</t>
  </si>
  <si>
    <t>FR5675889</t>
  </si>
  <si>
    <t>FR5671044</t>
  </si>
  <si>
    <t>FR5684644</t>
  </si>
  <si>
    <t>FR5673319</t>
  </si>
  <si>
    <t>FR5683259</t>
  </si>
  <si>
    <t>FR5684617</t>
  </si>
  <si>
    <t>FR5678885</t>
  </si>
  <si>
    <t>FR5688955</t>
  </si>
  <si>
    <t>FR5694193</t>
  </si>
  <si>
    <t>FR5695337</t>
  </si>
  <si>
    <t>FR5700752</t>
  </si>
  <si>
    <t>FR5701440</t>
  </si>
  <si>
    <t>FR5699410</t>
  </si>
  <si>
    <t>FR5688543</t>
  </si>
  <si>
    <t>FR5702925</t>
  </si>
  <si>
    <t>FR5704906</t>
  </si>
  <si>
    <t>FR5707886</t>
  </si>
  <si>
    <t>FR5709536</t>
  </si>
  <si>
    <t>FR5688582</t>
  </si>
  <si>
    <t>FR5696917</t>
  </si>
  <si>
    <t>FR5714182</t>
  </si>
  <si>
    <t>FR5712154</t>
  </si>
  <si>
    <t>FR5711840</t>
  </si>
  <si>
    <t>FR5717324</t>
  </si>
  <si>
    <t>FR5718226</t>
  </si>
  <si>
    <t>FR5718453</t>
  </si>
  <si>
    <t>FR5723489</t>
  </si>
  <si>
    <t>FR5725266</t>
  </si>
  <si>
    <t>FR5725324</t>
  </si>
  <si>
    <t>FR5725343</t>
  </si>
  <si>
    <t>FR5727729</t>
  </si>
  <si>
    <t>FR5729360</t>
  </si>
  <si>
    <t>FR5731704</t>
  </si>
  <si>
    <t>FR5732130</t>
  </si>
  <si>
    <t>FR5724055</t>
  </si>
  <si>
    <t>FR5726020</t>
  </si>
  <si>
    <t>FR5728806</t>
  </si>
  <si>
    <t>FR5734483</t>
  </si>
  <si>
    <t>FR5733630</t>
  </si>
  <si>
    <t>FR5736870</t>
  </si>
  <si>
    <t>FR5737087</t>
  </si>
  <si>
    <t>FR5736335</t>
  </si>
  <si>
    <t>FR5738567</t>
  </si>
  <si>
    <t>FR5740218</t>
  </si>
  <si>
    <t>FR5740720</t>
  </si>
  <si>
    <t>FR5744128</t>
  </si>
  <si>
    <t>FR5741887</t>
  </si>
  <si>
    <t>FR5744987</t>
  </si>
  <si>
    <t>FR5747661</t>
  </si>
  <si>
    <t>FR5753139</t>
  </si>
  <si>
    <t>FR5755246</t>
  </si>
  <si>
    <t>FR5755061</t>
  </si>
  <si>
    <t>FR5747817</t>
  </si>
  <si>
    <t>FR5756828</t>
  </si>
  <si>
    <t>FR5765934</t>
  </si>
  <si>
    <t>FR5759938</t>
  </si>
  <si>
    <t>FR5765206</t>
  </si>
  <si>
    <t>FR5765719</t>
  </si>
  <si>
    <t>FR5765190</t>
  </si>
  <si>
    <t>FR5768804</t>
  </si>
  <si>
    <t>FR5769266</t>
  </si>
  <si>
    <t>FR5773278</t>
  </si>
  <si>
    <t>FR5774650</t>
  </si>
  <si>
    <t>FR5780379</t>
  </si>
  <si>
    <t>FR5777606</t>
  </si>
  <si>
    <t>FR5780363</t>
  </si>
  <si>
    <t>FR5773825</t>
  </si>
  <si>
    <t>FR5787060</t>
  </si>
  <si>
    <t>FR5787776</t>
  </si>
  <si>
    <t>FR5802046</t>
  </si>
  <si>
    <t>FR5784398</t>
  </si>
  <si>
    <t>FR5803672</t>
  </si>
  <si>
    <t>FR5802043</t>
  </si>
  <si>
    <t>FR5791401</t>
  </si>
  <si>
    <t>FR5795032</t>
  </si>
  <si>
    <t>FR5780271</t>
  </si>
  <si>
    <t>FR5804444</t>
  </si>
  <si>
    <t>FR5808855</t>
  </si>
  <si>
    <t>FR5808924</t>
  </si>
  <si>
    <t>FR5811223</t>
  </si>
  <si>
    <t>FR5811236</t>
  </si>
  <si>
    <t>FR5811633</t>
  </si>
  <si>
    <t>FR5780417</t>
  </si>
  <si>
    <t>FR5784480</t>
  </si>
  <si>
    <t>FR5785605</t>
  </si>
  <si>
    <t>FR5789851</t>
  </si>
  <si>
    <t>FR5795613</t>
  </si>
  <si>
    <t>FR5804745</t>
  </si>
  <si>
    <t>FR5807120</t>
  </si>
  <si>
    <t>FR5790529</t>
  </si>
  <si>
    <t>FR5823527</t>
  </si>
  <si>
    <t>FR5823970</t>
  </si>
  <si>
    <t>FR5825242</t>
  </si>
  <si>
    <t>FR5825924</t>
  </si>
  <si>
    <t>FR5800580</t>
  </si>
  <si>
    <t>FR5819463</t>
  </si>
  <si>
    <t>FR5821984</t>
  </si>
  <si>
    <t>FR5812303</t>
  </si>
  <si>
    <t>FR5826230</t>
  </si>
  <si>
    <t>FR5826533</t>
  </si>
  <si>
    <t>FR5826545</t>
  </si>
  <si>
    <t>FR5826791</t>
  </si>
  <si>
    <t>FR5827018</t>
  </si>
  <si>
    <t>FR5827285</t>
  </si>
  <si>
    <t>FR5835610</t>
  </si>
  <si>
    <t>FR5835640</t>
  </si>
  <si>
    <t>FR5840933</t>
  </si>
  <si>
    <t>FR5841952</t>
  </si>
  <si>
    <t>FR5842727</t>
  </si>
  <si>
    <t>FR5845113</t>
  </si>
  <si>
    <t>FR5845126</t>
  </si>
  <si>
    <t>FR5845421</t>
  </si>
  <si>
    <t>FR5845708</t>
  </si>
  <si>
    <t>FR5787867</t>
  </si>
  <si>
    <t>FR5814888</t>
  </si>
  <si>
    <t>FR5822832</t>
  </si>
  <si>
    <t>FR5827505</t>
  </si>
  <si>
    <t>FR5831151</t>
  </si>
  <si>
    <t>FR5845271</t>
  </si>
  <si>
    <t>FR5845396</t>
  </si>
  <si>
    <t>FR5848122</t>
  </si>
  <si>
    <t>FR5848343</t>
  </si>
  <si>
    <t>FR5848483</t>
  </si>
  <si>
    <t>FR5850726</t>
  </si>
  <si>
    <t>FR5850849</t>
  </si>
  <si>
    <t>FR5851734</t>
  </si>
  <si>
    <t>FR5852885</t>
  </si>
  <si>
    <t>FR5839236</t>
  </si>
  <si>
    <t>FR5850833</t>
  </si>
  <si>
    <t>FR5852109</t>
  </si>
  <si>
    <t>FR5855532</t>
  </si>
  <si>
    <t>FR5855570</t>
  </si>
  <si>
    <t>FR5853024</t>
  </si>
  <si>
    <t>FR5831177</t>
  </si>
  <si>
    <t>FR5845528</t>
  </si>
  <si>
    <t>FR5850087</t>
  </si>
  <si>
    <t>FR5852060</t>
  </si>
  <si>
    <t>FR5852440</t>
  </si>
  <si>
    <t>FR5852864</t>
  </si>
  <si>
    <t>FR5841905</t>
  </si>
  <si>
    <t>FR5851796</t>
  </si>
  <si>
    <t>FR5856611</t>
  </si>
  <si>
    <t>FR5856613</t>
  </si>
  <si>
    <t>FR5856739</t>
  </si>
  <si>
    <t>FR5856572</t>
  </si>
  <si>
    <t>FR5870530</t>
  </si>
  <si>
    <t>FR5870533</t>
  </si>
  <si>
    <t>FR5870534</t>
  </si>
  <si>
    <t>FR5870535</t>
  </si>
  <si>
    <t>FR5870541</t>
  </si>
  <si>
    <t>FR5873574</t>
  </si>
  <si>
    <t>FR5875104</t>
  </si>
  <si>
    <t>FR5876769</t>
  </si>
  <si>
    <t>FR5877893</t>
  </si>
  <si>
    <t>FR5878158</t>
  </si>
  <si>
    <t>FR5886591</t>
  </si>
  <si>
    <t>FR5871133</t>
  </si>
  <si>
    <t>FR5871958</t>
  </si>
  <si>
    <t>FR5872388</t>
  </si>
  <si>
    <t>FR5873475</t>
  </si>
  <si>
    <t>FR5877325</t>
  </si>
  <si>
    <t>FR5883584</t>
  </si>
  <si>
    <t>FR5885281</t>
  </si>
  <si>
    <t>FR5886111</t>
  </si>
  <si>
    <t>FR5891276</t>
  </si>
  <si>
    <t>FR5894077</t>
  </si>
  <si>
    <t>FR5896974</t>
  </si>
  <si>
    <t>FR5898067</t>
  </si>
  <si>
    <t>FR5898091</t>
  </si>
  <si>
    <t>FR5868336</t>
  </si>
  <si>
    <t>FR5877940</t>
  </si>
  <si>
    <t>FR5885280</t>
  </si>
  <si>
    <t>FR5891235</t>
  </si>
  <si>
    <t>FR5892645</t>
  </si>
  <si>
    <t>FR5900147</t>
  </si>
  <si>
    <t>FR5900169</t>
  </si>
  <si>
    <t>FR5900734</t>
  </si>
  <si>
    <t>FR5905274</t>
  </si>
  <si>
    <t>FR5906254</t>
  </si>
  <si>
    <t>FR5906625</t>
  </si>
  <si>
    <t>FR5910367</t>
  </si>
  <si>
    <t>FR5910370</t>
  </si>
  <si>
    <t>FR5910373</t>
  </si>
  <si>
    <t>FR5910399</t>
  </si>
  <si>
    <t>FR5910401</t>
  </si>
  <si>
    <t>FR5910582</t>
  </si>
  <si>
    <t>FR5918113</t>
  </si>
  <si>
    <t>FR5918260</t>
  </si>
  <si>
    <t>FR5904864</t>
  </si>
  <si>
    <t>FR5911455</t>
  </si>
  <si>
    <t>FR5920631</t>
  </si>
  <si>
    <t>FR5920638</t>
  </si>
  <si>
    <t>FR5923581</t>
  </si>
  <si>
    <t>FR5927041</t>
  </si>
  <si>
    <t>FR5880626</t>
  </si>
  <si>
    <t>FR5934095</t>
  </si>
  <si>
    <t>FR5934448</t>
  </si>
  <si>
    <t>FR5949845</t>
  </si>
  <si>
    <t>FR5924957</t>
  </si>
  <si>
    <t>FR5952640</t>
  </si>
  <si>
    <t>FR5955709</t>
  </si>
  <si>
    <t>FR5959667</t>
  </si>
  <si>
    <t>FR5959964</t>
  </si>
  <si>
    <t>FR5967697</t>
  </si>
  <si>
    <t>FR5935864</t>
  </si>
  <si>
    <t>FR5937365</t>
  </si>
  <si>
    <t>FR5943274</t>
  </si>
  <si>
    <t>FR5956652</t>
  </si>
  <si>
    <t>FR5961521</t>
  </si>
  <si>
    <t>FR5963472</t>
  </si>
  <si>
    <t>FR5970516</t>
  </si>
  <si>
    <t>FR5973887</t>
  </si>
  <si>
    <t>FR5975123</t>
  </si>
  <si>
    <t>FR5979770</t>
  </si>
  <si>
    <t>FR5982092</t>
  </si>
  <si>
    <t>FR5982369</t>
  </si>
  <si>
    <t>FR5984530</t>
  </si>
  <si>
    <t>FR5989731</t>
  </si>
  <si>
    <t>FR5991715</t>
  </si>
  <si>
    <t>FR6002095</t>
  </si>
  <si>
    <t>FR6009935</t>
  </si>
  <si>
    <t>FR6013226</t>
  </si>
  <si>
    <t>FR6013669</t>
  </si>
  <si>
    <t>FR5981044</t>
  </si>
  <si>
    <t>FR5987451</t>
  </si>
  <si>
    <t>FR5968643</t>
  </si>
  <si>
    <t>FR5975065</t>
  </si>
  <si>
    <t>FR5975092</t>
  </si>
  <si>
    <t>FR5977147</t>
  </si>
  <si>
    <t>FR5993362</t>
  </si>
  <si>
    <t>FR6007955</t>
  </si>
  <si>
    <t>FR6013458</t>
  </si>
  <si>
    <t>FR6017083</t>
  </si>
  <si>
    <t>FR6018358</t>
  </si>
  <si>
    <t>FR6018398</t>
  </si>
  <si>
    <t>FR6021321</t>
  </si>
  <si>
    <t>FR6020990</t>
  </si>
  <si>
    <t>FR5996516</t>
  </si>
  <si>
    <t>FR6016968</t>
  </si>
  <si>
    <t>FR6017737</t>
  </si>
  <si>
    <t>FR6022395</t>
  </si>
  <si>
    <t>FR6022883</t>
  </si>
  <si>
    <t>FR6029335</t>
  </si>
  <si>
    <t>FR6032137</t>
  </si>
  <si>
    <t>FR6032624</t>
  </si>
  <si>
    <t>FR6033204</t>
  </si>
  <si>
    <t>FR6046161</t>
  </si>
  <si>
    <t>FR6032116</t>
  </si>
  <si>
    <t>FR6032144</t>
  </si>
  <si>
    <t>FR6032153</t>
  </si>
  <si>
    <t>FR6036244</t>
  </si>
  <si>
    <t>FR6036254</t>
  </si>
  <si>
    <t>FR6036896</t>
  </si>
  <si>
    <t>FR5976703</t>
  </si>
  <si>
    <t>FR5979854</t>
  </si>
  <si>
    <t>FR5989932</t>
  </si>
  <si>
    <t>FR6003248</t>
  </si>
  <si>
    <t>FR6013552</t>
  </si>
  <si>
    <t>FR6025872</t>
  </si>
  <si>
    <t>FR6034829</t>
  </si>
  <si>
    <t>FR6040331</t>
  </si>
  <si>
    <t>FR6040481</t>
  </si>
  <si>
    <t>FR6044194</t>
  </si>
  <si>
    <t>FR6045486</t>
  </si>
  <si>
    <t>FR6046143</t>
  </si>
  <si>
    <t>FR6049489</t>
  </si>
  <si>
    <t>FR6047167</t>
  </si>
  <si>
    <t>FR6049355</t>
  </si>
  <si>
    <t>FR6051938</t>
  </si>
  <si>
    <t>FR6052677</t>
  </si>
  <si>
    <t>FR6054291</t>
  </si>
  <si>
    <t>FR6054762</t>
  </si>
  <si>
    <t>FR6058617</t>
  </si>
  <si>
    <t>FR6059386</t>
  </si>
  <si>
    <t>FR6059414</t>
  </si>
  <si>
    <t>FR6061042</t>
  </si>
  <si>
    <t>FR6070812</t>
  </si>
  <si>
    <t>FR6037309</t>
  </si>
  <si>
    <t>FR6041194</t>
  </si>
  <si>
    <t>FR6059024</t>
  </si>
  <si>
    <t>FR6059641</t>
  </si>
  <si>
    <t>FR6068620</t>
  </si>
  <si>
    <t>FR6031669</t>
  </si>
  <si>
    <t>FR6034238</t>
  </si>
  <si>
    <t>FR6073670</t>
  </si>
  <si>
    <t>FR6080778</t>
  </si>
  <si>
    <t>FR6057635</t>
  </si>
  <si>
    <t>FR6080767</t>
  </si>
  <si>
    <t>FR6032531</t>
  </si>
  <si>
    <t>FR6058955</t>
  </si>
  <si>
    <t>FR6072572</t>
  </si>
  <si>
    <t>FR6079574</t>
  </si>
  <si>
    <t>FR6080171</t>
  </si>
  <si>
    <t>FR6082575</t>
  </si>
  <si>
    <t>FR6082593</t>
  </si>
  <si>
    <t>FR6088370</t>
  </si>
  <si>
    <t>FR6088804</t>
  </si>
  <si>
    <t>FR6089355</t>
  </si>
  <si>
    <t>FR6089248</t>
  </si>
  <si>
    <t>FR6057909</t>
  </si>
  <si>
    <t>FR6075501</t>
  </si>
  <si>
    <t>FR6091464</t>
  </si>
  <si>
    <t>FR6097204</t>
  </si>
  <si>
    <t>FR6097417</t>
  </si>
  <si>
    <t>FR6092493</t>
  </si>
  <si>
    <t>FR6099342</t>
  </si>
  <si>
    <t>FR6101011</t>
  </si>
  <si>
    <t>FR6101413</t>
  </si>
  <si>
    <t>FR6104041</t>
  </si>
  <si>
    <t>FR6106329</t>
  </si>
  <si>
    <t>FR6107785</t>
  </si>
  <si>
    <t>FR6108217</t>
  </si>
  <si>
    <t>FR6109100</t>
  </si>
  <si>
    <t>FR6110602</t>
  </si>
  <si>
    <t>FR6115331</t>
  </si>
  <si>
    <t>FR6115476</t>
  </si>
  <si>
    <t>FR6115866</t>
  </si>
  <si>
    <t>FR6115965</t>
  </si>
  <si>
    <t>FR6116379</t>
  </si>
  <si>
    <t>FR6115440</t>
  </si>
  <si>
    <t>FR6116874</t>
  </si>
  <si>
    <t>FR6117614</t>
  </si>
  <si>
    <t>FR6119811</t>
  </si>
  <si>
    <t>FR6119870</t>
  </si>
  <si>
    <t>FR6120014</t>
  </si>
  <si>
    <t>FR6120508</t>
  </si>
  <si>
    <t>FR6108852</t>
  </si>
  <si>
    <t>FR6110925</t>
  </si>
  <si>
    <t>FR6112821</t>
  </si>
  <si>
    <t>FR6121965</t>
  </si>
  <si>
    <t>FR6126019</t>
  </si>
  <si>
    <t>FR6130937</t>
  </si>
  <si>
    <t>FR6130981</t>
  </si>
  <si>
    <t>FR6131282</t>
  </si>
  <si>
    <t>FR6137754</t>
  </si>
  <si>
    <t>FR6117551</t>
  </si>
  <si>
    <t>FR6119806</t>
  </si>
  <si>
    <t>FR6122260</t>
  </si>
  <si>
    <t>FR6124529</t>
  </si>
  <si>
    <t>FR6134386</t>
  </si>
  <si>
    <t>FR6139366</t>
  </si>
  <si>
    <t>Filter</t>
  </si>
  <si>
    <t>Row Labels</t>
  </si>
  <si>
    <t>sd</t>
  </si>
  <si>
    <t>FR6117006</t>
  </si>
  <si>
    <t>MAPPED</t>
  </si>
  <si>
    <t>Waiting for Tm1 Replication</t>
  </si>
  <si>
    <t>FR6122158</t>
  </si>
  <si>
    <t>FR6126097</t>
  </si>
  <si>
    <t>FR6141880</t>
  </si>
  <si>
    <t>FR6142758</t>
  </si>
  <si>
    <t>Waiting for MDGF approval</t>
  </si>
  <si>
    <t>FR6143602</t>
  </si>
  <si>
    <t>Not for mapping/Invalid</t>
  </si>
  <si>
    <t>FR6144497</t>
  </si>
  <si>
    <t>FR6144597</t>
  </si>
  <si>
    <t>FR6145807</t>
  </si>
  <si>
    <t>Grand Total</t>
  </si>
  <si>
    <t>App</t>
  </si>
  <si>
    <t>Requested</t>
  </si>
  <si>
    <t>CurrentParent</t>
  </si>
  <si>
    <t>type</t>
  </si>
  <si>
    <t>LFF_ID</t>
  </si>
  <si>
    <t>Analysis</t>
  </si>
  <si>
    <t>Check</t>
  </si>
  <si>
    <t>Sector</t>
  </si>
  <si>
    <t>Forecast</t>
  </si>
  <si>
    <t>DateOpened</t>
  </si>
  <si>
    <t>DateMapped</t>
  </si>
  <si>
    <t>DateClosed</t>
  </si>
  <si>
    <t>Delayed?</t>
  </si>
  <si>
    <t>DaysAgeing</t>
  </si>
  <si>
    <t>Author</t>
  </si>
  <si>
    <t>Prognosis</t>
  </si>
  <si>
    <t>Cancelled</t>
  </si>
  <si>
    <t>G000000000</t>
  </si>
  <si>
    <t>Non-LFF</t>
  </si>
  <si>
    <t>F0</t>
  </si>
  <si>
    <t>Ronald Pierre Collado</t>
  </si>
  <si>
    <t>Duplicated Parent</t>
  </si>
  <si>
    <t>New</t>
  </si>
  <si>
    <t>Waiting for Requestor</t>
  </si>
  <si>
    <t>LFF (MDG-F)</t>
  </si>
  <si>
    <t>Mario Simon Dehmel</t>
  </si>
  <si>
    <t>Genevie De Leon</t>
  </si>
  <si>
    <t>Roland Earvin Combalicer</t>
  </si>
  <si>
    <t>Henry Ifurung Jr.</t>
  </si>
  <si>
    <t>P000000489</t>
  </si>
  <si>
    <t>Kremena Vlahovska</t>
  </si>
  <si>
    <t>G000000635</t>
  </si>
  <si>
    <t>Cara Ochipinti</t>
  </si>
  <si>
    <t>Erjo Miguel Tagle</t>
  </si>
  <si>
    <t>L000009452</t>
  </si>
  <si>
    <t>L000011470</t>
  </si>
  <si>
    <t>P000001016</t>
  </si>
  <si>
    <t>P000001013</t>
  </si>
  <si>
    <t>Phoebe Anne Fortaleza</t>
  </si>
  <si>
    <t>Agel Malassab</t>
  </si>
  <si>
    <t>Joshua Cachola</t>
  </si>
  <si>
    <t>Marcela Urrego</t>
  </si>
  <si>
    <t>G000000277</t>
  </si>
  <si>
    <t>G000000895</t>
  </si>
  <si>
    <t>P000000575</t>
  </si>
  <si>
    <t>G000000279</t>
  </si>
  <si>
    <t>CFLTFLE_17710000115500</t>
  </si>
  <si>
    <t>L000013391</t>
  </si>
  <si>
    <t>G000000256</t>
  </si>
  <si>
    <t>CLFF_1000$$$DE10533730</t>
  </si>
  <si>
    <t>CLFF_1000$$$DE10533731</t>
  </si>
  <si>
    <t>CLFF_7210$$$2123GIT094</t>
  </si>
  <si>
    <t>CNOW_7210$$$0000010232</t>
  </si>
  <si>
    <t>CNOW_7210$$$0000010262</t>
  </si>
  <si>
    <t>CNOW_7210$$$0000010263</t>
  </si>
  <si>
    <t>CNOW_7210$$$0000015076</t>
  </si>
  <si>
    <t>CNOW_7210$$$0000040682</t>
  </si>
  <si>
    <t>CNOW_7210$$$0000051457</t>
  </si>
  <si>
    <t>CORAERP_MMOR1945.9018</t>
  </si>
  <si>
    <t>CORAERP_MMOR1975.9019</t>
  </si>
  <si>
    <t>CORAERP_MMOR1975.9046</t>
  </si>
  <si>
    <t>H000004185</t>
  </si>
  <si>
    <t>CTEMPEU_1000NL40AD1N40</t>
  </si>
  <si>
    <t>CTEMPEU_1000PL80GITL20</t>
  </si>
  <si>
    <t>Trash</t>
  </si>
  <si>
    <t>L000011242</t>
  </si>
  <si>
    <t>Won-Ju Jeong</t>
  </si>
  <si>
    <t>Bernard Leclercq</t>
  </si>
  <si>
    <t>Edward Arevalo</t>
  </si>
  <si>
    <t>CLFF_1000$$$DE10501111</t>
  </si>
  <si>
    <t>Marcus Morowski</t>
  </si>
  <si>
    <t>CLFF_1000$$$DE10502408</t>
  </si>
  <si>
    <t>CLFF_1000$$$DE10517300</t>
  </si>
  <si>
    <t>CLFF_1000$$$DE10533107</t>
  </si>
  <si>
    <t>CLFF_1000$$$DE10533109</t>
  </si>
  <si>
    <t>CLFF_1000$$$DE10567105</t>
  </si>
  <si>
    <t>CLFF_1000$$$DE10568016</t>
  </si>
  <si>
    <t xml:space="preserve">CLFF_1000$$$DE10604910 </t>
  </si>
  <si>
    <t>CLFF_1000$$$DE10623200</t>
  </si>
  <si>
    <t>CLFF_1000$$$DE10840200</t>
  </si>
  <si>
    <t>CLFF_1000$$$DE20538280</t>
  </si>
  <si>
    <t>CLFF_1000$$$DE20568200</t>
  </si>
  <si>
    <t>CLFF_1000$$$DE20585300</t>
  </si>
  <si>
    <t>Jewel Ann Gamutea</t>
  </si>
  <si>
    <t>G000000235</t>
  </si>
  <si>
    <t>Cyrille Cotard Cowan</t>
  </si>
  <si>
    <t>L000008965</t>
  </si>
  <si>
    <t>Luis Rivoir</t>
  </si>
  <si>
    <t>Rania Zgolli Belhaj</t>
  </si>
  <si>
    <t>Fabio Capozzolo</t>
  </si>
  <si>
    <t>Elena Kohl</t>
  </si>
  <si>
    <t>G000000199</t>
  </si>
  <si>
    <t>G000000218</t>
  </si>
  <si>
    <t>CTEMPNA_1000US12MBPO01</t>
  </si>
  <si>
    <t>G000000630</t>
  </si>
  <si>
    <t>Riccardo CASSANESE</t>
  </si>
  <si>
    <t>Carlo Umali</t>
  </si>
  <si>
    <t>L000006414</t>
  </si>
  <si>
    <t>L000007703</t>
  </si>
  <si>
    <t>Nadine Anic</t>
  </si>
  <si>
    <t>Joebeth Navarro</t>
  </si>
  <si>
    <t>H000002944</t>
  </si>
  <si>
    <t>Natasha Hazel Aliado</t>
  </si>
  <si>
    <t>Manuel Walther</t>
  </si>
  <si>
    <t>CLFF_1000$$$DE10566400</t>
  </si>
  <si>
    <t>CLFF_1000$$$DE20625300</t>
  </si>
  <si>
    <t>Paul Kopp</t>
  </si>
  <si>
    <t>Ruby Grace Garcia</t>
  </si>
  <si>
    <t>Elena Rasines Martin</t>
  </si>
  <si>
    <t>Nicolas Trautmann</t>
  </si>
  <si>
    <t>Thibault Pernelle</t>
  </si>
  <si>
    <t>H000001141</t>
  </si>
  <si>
    <t>Rizza Domingo</t>
  </si>
  <si>
    <t>H000004360</t>
  </si>
  <si>
    <t>L000013461</t>
  </si>
  <si>
    <t>L000013119</t>
  </si>
  <si>
    <t>Anna Glab</t>
  </si>
  <si>
    <t>L000009196</t>
  </si>
  <si>
    <t>CLFF_1000$$$DE10523100</t>
  </si>
  <si>
    <t>L000013121</t>
  </si>
  <si>
    <t>Lara Lucchetta</t>
  </si>
  <si>
    <t>L000007433</t>
  </si>
  <si>
    <t>H000004339</t>
  </si>
  <si>
    <t>Nathalie Andin</t>
  </si>
  <si>
    <t>Adam Percze</t>
  </si>
  <si>
    <t>Magdalena Stefan</t>
  </si>
  <si>
    <t>H000003681</t>
  </si>
  <si>
    <t>F1</t>
  </si>
  <si>
    <t>Thessalonica Dew Diaz</t>
  </si>
  <si>
    <t>Hanny Zhang</t>
  </si>
  <si>
    <t>CLFF_1000$$$DE20533107</t>
  </si>
  <si>
    <t>CLFF_1000$$$DE20533109</t>
  </si>
  <si>
    <t>CLFF_1000$$$DE20588102</t>
  </si>
  <si>
    <t>Jojeff Tagnong</t>
  </si>
  <si>
    <t>Birgit Kroeling-Neumann</t>
  </si>
  <si>
    <t>Frank Kubik</t>
  </si>
  <si>
    <t>Sybille Rogmans</t>
  </si>
  <si>
    <t>Alejandro Ruiz</t>
  </si>
  <si>
    <t>Sandeep SHN</t>
  </si>
  <si>
    <t>Kathryn Wolcott</t>
  </si>
  <si>
    <t>Karan Chander Mohan Kochhar</t>
  </si>
  <si>
    <t>L000006431</t>
  </si>
  <si>
    <t>L000011157</t>
  </si>
  <si>
    <t>L000011879</t>
  </si>
  <si>
    <t>L000005724</t>
  </si>
  <si>
    <t>CLFF_1000$$$DE10624905</t>
  </si>
  <si>
    <t>CLFF_1000$$$DE10624906</t>
  </si>
  <si>
    <t>Michael Ang</t>
  </si>
  <si>
    <t>Virginia Passadore</t>
  </si>
  <si>
    <t>G000001180</t>
  </si>
  <si>
    <t>Stephane Jaggi</t>
  </si>
  <si>
    <t>Stefanie Reich</t>
  </si>
  <si>
    <t>Fatima Abbas</t>
  </si>
  <si>
    <t>Mohsen Azer Abd El-Sheheed</t>
  </si>
  <si>
    <t>Christina Hamel</t>
  </si>
  <si>
    <t>H000003674</t>
  </si>
  <si>
    <t>H000003675</t>
  </si>
  <si>
    <t>Marvin Anthony Oracion</t>
  </si>
  <si>
    <t>G000000633</t>
  </si>
  <si>
    <t>G000001171</t>
  </si>
  <si>
    <t>Yulia Glazyrina</t>
  </si>
  <si>
    <t>H000000258</t>
  </si>
  <si>
    <t>Elsa Shen</t>
  </si>
  <si>
    <t>Craig McClintock</t>
  </si>
  <si>
    <t>L000005926</t>
  </si>
  <si>
    <t>L000013504</t>
  </si>
  <si>
    <t>Wing Kwan Fong</t>
  </si>
  <si>
    <t>Francesco Ricioppo</t>
  </si>
  <si>
    <t>Christian Albrecht</t>
  </si>
  <si>
    <t>Marcus Avemarie</t>
  </si>
  <si>
    <t>P000000905</t>
  </si>
  <si>
    <t>Stefan Schulz</t>
  </si>
  <si>
    <t>H000000318</t>
  </si>
  <si>
    <t>H000000262</t>
  </si>
  <si>
    <t>H000002969</t>
  </si>
  <si>
    <t>H000002963</t>
  </si>
  <si>
    <t>Denise Rupp</t>
  </si>
  <si>
    <t>CLFF_1000$$$DE10598000</t>
  </si>
  <si>
    <t>CLFF_1000$$$DE10598100</t>
  </si>
  <si>
    <t>CLFF_1000$$$DE10598200</t>
  </si>
  <si>
    <t>CLFF_1000$$$DE10598300</t>
  </si>
  <si>
    <t>CLFF_1000$$$DE10598400</t>
  </si>
  <si>
    <t>CLFF_1000$$$DE10598700</t>
  </si>
  <si>
    <t>L000007346</t>
  </si>
  <si>
    <t>Olivia Zhang</t>
  </si>
  <si>
    <t>MGF</t>
  </si>
  <si>
    <t>LS</t>
  </si>
  <si>
    <t>HC</t>
  </si>
  <si>
    <t>EL</t>
  </si>
  <si>
    <t>Work In Process</t>
  </si>
  <si>
    <t>Pending Approval/Pending Replication</t>
  </si>
  <si>
    <t>Invalid Objects/Cancelled/Duplicated</t>
  </si>
  <si>
    <t>Sum Of All</t>
  </si>
  <si>
    <t>Completion</t>
  </si>
  <si>
    <t>Commentary</t>
  </si>
  <si>
    <t>Closed?</t>
  </si>
  <si>
    <t>We purposefully delayed implementation of these due to FAIM still loading from Mcloud during that time, to avoid potential conflicts, unmapped objects pertain to objects that are not mappable/incorrectly raised</t>
  </si>
  <si>
    <t>We purposefully delayed implementation of these due to FAIM still loading from Mcloud during that time, to avoid potential conflicts, closed</t>
  </si>
  <si>
    <t>Completed within SLA, but we were not able to map the other objects because they are not for mapping.</t>
  </si>
  <si>
    <t>Completed within SLA, closed</t>
  </si>
  <si>
    <t>Just delayed closing, but this was already confirmed to be mapped to requestor before then.</t>
  </si>
  <si>
    <t>Still in progress; remaining objects are LFF waiting for approval - all objects mapped</t>
  </si>
  <si>
    <t>Everything has been mapped correctly, confirmed on Tm1</t>
  </si>
  <si>
    <t>Completed and closed</t>
  </si>
  <si>
    <t>Still in progress; parent nodes just got approved</t>
  </si>
  <si>
    <t>Everything has been mapped correctly except 1, confirmed on Tm1</t>
  </si>
  <si>
    <t>1 object pending for replication to tm1</t>
  </si>
  <si>
    <t>Closed the ticket because controller added more. Advised to open another ticket.</t>
  </si>
  <si>
    <t>everything has been mapped correctly and confirmed on tm1</t>
  </si>
  <si>
    <t>All objects except for 1 has been raised for mapping.</t>
  </si>
  <si>
    <t>Completed and closed, except for 1 that is not for mapping</t>
  </si>
  <si>
    <t>Completed and closed, except for two objects that are not for mapping</t>
  </si>
  <si>
    <t>Closed the ticket because requestor's request was overridden by another request, and was deemed incorrect</t>
  </si>
  <si>
    <t>4 LFF objects pending replication</t>
  </si>
  <si>
    <t>Remaining still under approval</t>
  </si>
  <si>
    <t>Person</t>
  </si>
  <si>
    <t xml:space="preserve"> Luigia Bocola</t>
  </si>
  <si>
    <t>Anita Spinks</t>
  </si>
  <si>
    <t>object</t>
  </si>
  <si>
    <t>Objects</t>
  </si>
  <si>
    <t>P</t>
  </si>
  <si>
    <t>L</t>
  </si>
  <si>
    <t>H</t>
  </si>
  <si>
    <t>G</t>
  </si>
  <si>
    <t>O</t>
  </si>
  <si>
    <t>Forecast Period</t>
  </si>
  <si>
    <t>Number of Tickets Raised</t>
  </si>
  <si>
    <t>Delayed Tickets</t>
  </si>
  <si>
    <t>Number of Total Objects</t>
  </si>
  <si>
    <t>Commentary for delayed tickets</t>
  </si>
  <si>
    <t>We delayed the (3) tickets received during the first week of September due to FAIM still pulling from Mcloud til September 16th.</t>
  </si>
  <si>
    <t>We delayed the (9) tickets received during the first week of September due to FAIM still pulling from Mcloud til September 16th.</t>
  </si>
  <si>
    <t>We delayed the ticket received during the first week of September due to FAIM still pulling from Mcloud til September 16th.</t>
  </si>
  <si>
    <t>We delayed the (4) tickets received during the first week of September due to FAIM still pulling from Mcloud til September 16th.</t>
  </si>
  <si>
    <t>FR6153211</t>
  </si>
  <si>
    <t>G000000698</t>
  </si>
  <si>
    <t>FR6148288</t>
  </si>
  <si>
    <t>FR6151770</t>
  </si>
  <si>
    <t>FR6152641</t>
  </si>
  <si>
    <t>FR6155668</t>
  </si>
  <si>
    <t>L000013188</t>
  </si>
  <si>
    <t>FR6154857</t>
  </si>
  <si>
    <t>FR6148190</t>
  </si>
  <si>
    <t>CLFF_1000$$$DE10200050</t>
  </si>
  <si>
    <t>G000000390</t>
  </si>
  <si>
    <t>FR6152419</t>
  </si>
  <si>
    <t>FR6151381</t>
  </si>
  <si>
    <t>FR6136225</t>
  </si>
  <si>
    <t>FR6156618</t>
  </si>
  <si>
    <t>G000000397</t>
  </si>
  <si>
    <t>FR6158557</t>
  </si>
  <si>
    <t>FR6159825</t>
  </si>
  <si>
    <t>FR6166891</t>
  </si>
  <si>
    <t>FR6163091</t>
  </si>
  <si>
    <t>FR6163557</t>
  </si>
  <si>
    <t>FR6166784</t>
  </si>
  <si>
    <t>Janina Gerl</t>
  </si>
  <si>
    <t>FR6168213</t>
  </si>
  <si>
    <t>FR6172388</t>
  </si>
  <si>
    <t>FR6172800</t>
  </si>
  <si>
    <t>FR6173385</t>
  </si>
  <si>
    <t>FR6173730</t>
  </si>
  <si>
    <t>FR6176961</t>
  </si>
  <si>
    <t>FR6179967</t>
  </si>
  <si>
    <t>Edoardo Benedetti</t>
  </si>
  <si>
    <t>FR6181352</t>
  </si>
  <si>
    <t>FR6181754</t>
  </si>
  <si>
    <t>FR6184227</t>
  </si>
  <si>
    <t>FR6184383</t>
  </si>
  <si>
    <t>FR6187735</t>
  </si>
  <si>
    <t>L000011687</t>
  </si>
  <si>
    <t>FR6188580</t>
  </si>
  <si>
    <t>FR6188699</t>
  </si>
  <si>
    <t>Aileen Villella</t>
  </si>
  <si>
    <t>FR6188850</t>
  </si>
  <si>
    <t>FR6191190</t>
  </si>
  <si>
    <t>FR6191448</t>
  </si>
  <si>
    <t>FR6197450</t>
  </si>
  <si>
    <t>CLFF_1000$$$DE10515400</t>
  </si>
  <si>
    <t>G000001235</t>
  </si>
  <si>
    <t>G000001233</t>
  </si>
  <si>
    <t>FR6197652</t>
  </si>
  <si>
    <t>FR6197806</t>
  </si>
  <si>
    <t>FR6202046</t>
  </si>
  <si>
    <t>FR6209790</t>
  </si>
  <si>
    <t>FR6213525</t>
  </si>
  <si>
    <t>FR6213897</t>
  </si>
  <si>
    <t>FR6214474</t>
  </si>
  <si>
    <t>FR6214722</t>
  </si>
  <si>
    <t>FR6225049</t>
  </si>
  <si>
    <t>FR6218414</t>
  </si>
  <si>
    <t>FR6220285</t>
  </si>
  <si>
    <t>FR6222376</t>
  </si>
  <si>
    <t>FR6227191</t>
  </si>
  <si>
    <t>Kristine Joy Pasiona</t>
  </si>
  <si>
    <t>FR6228438</t>
  </si>
  <si>
    <t>FR6228693</t>
  </si>
  <si>
    <t>FR6228775</t>
  </si>
  <si>
    <t>FR6228963</t>
  </si>
  <si>
    <t>FR6228982</t>
  </si>
  <si>
    <t>FR6231218</t>
  </si>
  <si>
    <t>FR6241806</t>
  </si>
  <si>
    <t>FR6231355</t>
  </si>
  <si>
    <t>FR6243253</t>
  </si>
  <si>
    <t>Julien Frisa</t>
  </si>
  <si>
    <t>FR6240121</t>
  </si>
  <si>
    <t>FR6239515</t>
  </si>
  <si>
    <t>FR6233719</t>
  </si>
  <si>
    <t>FR6245228</t>
  </si>
  <si>
    <t>FR6246998</t>
  </si>
  <si>
    <t>Currently Truncated/Waiting Actuals</t>
  </si>
  <si>
    <t>Issues in Replication</t>
  </si>
  <si>
    <t>FR6250174</t>
  </si>
  <si>
    <t>Annie Tai</t>
  </si>
  <si>
    <t>FR6251550</t>
  </si>
  <si>
    <t>Obj</t>
  </si>
  <si>
    <t>Count of Obj</t>
  </si>
  <si>
    <t>Fil</t>
  </si>
  <si>
    <t>FR6252750</t>
  </si>
  <si>
    <t>Hugo Ordonez-Cardenas</t>
  </si>
  <si>
    <t>FR6256465</t>
  </si>
  <si>
    <t>FR6259950</t>
  </si>
  <si>
    <t>FR6261921</t>
  </si>
  <si>
    <t>FR6262051</t>
  </si>
  <si>
    <t>Gunnar Hirschel</t>
  </si>
  <si>
    <t>FR6263998</t>
  </si>
  <si>
    <t>FR6264052</t>
  </si>
  <si>
    <t>FR6264126</t>
  </si>
  <si>
    <t>FR6264388</t>
  </si>
  <si>
    <t>FR6264402</t>
  </si>
  <si>
    <t>FR6264409</t>
  </si>
  <si>
    <t>FR6267900</t>
  </si>
  <si>
    <t>FR6269497</t>
  </si>
  <si>
    <t>FR6269486</t>
  </si>
  <si>
    <t>FR6269610</t>
  </si>
  <si>
    <t>FR6271180</t>
  </si>
  <si>
    <t>FR6271728</t>
  </si>
  <si>
    <t>FR6271782</t>
  </si>
  <si>
    <t>FR6274100</t>
  </si>
  <si>
    <t>FR6273965</t>
  </si>
  <si>
    <t>FR6276762</t>
  </si>
  <si>
    <t>FR6278806</t>
  </si>
  <si>
    <t>FR6279189</t>
  </si>
  <si>
    <t>FR6280266</t>
  </si>
  <si>
    <t>FR6281945</t>
  </si>
  <si>
    <t>FR6283221</t>
  </si>
  <si>
    <t>FR6281706</t>
  </si>
  <si>
    <t>FR6281173</t>
  </si>
  <si>
    <t>FR6283732</t>
  </si>
  <si>
    <t>FR6283876</t>
  </si>
  <si>
    <t>FR6284126</t>
  </si>
  <si>
    <t>FR6287302</t>
  </si>
  <si>
    <t>FR6287988</t>
  </si>
  <si>
    <t>P000001045</t>
  </si>
  <si>
    <t>FR6287611</t>
  </si>
  <si>
    <t>FR6291668</t>
  </si>
  <si>
    <t>John Poulie Borromeo</t>
  </si>
  <si>
    <t>FR6291533</t>
  </si>
  <si>
    <t>FR6291506</t>
  </si>
  <si>
    <t>FR6291472</t>
  </si>
  <si>
    <t>FR6291417</t>
  </si>
  <si>
    <t>FR6291375</t>
  </si>
  <si>
    <t>FR6291303</t>
  </si>
  <si>
    <t>FR6292438</t>
  </si>
  <si>
    <t>Lawrence Olsheski</t>
  </si>
  <si>
    <t>FR6281957</t>
  </si>
  <si>
    <t>FR6292960</t>
  </si>
  <si>
    <t>FR6295761</t>
  </si>
  <si>
    <t>FR6297339</t>
  </si>
  <si>
    <t>CVRSM_VMCA$$KR15DB3300 PM NH3 Fleet Deprec</t>
  </si>
  <si>
    <t>CVRSM_VMCA$$KR15DB3302 PM NF3 Fleet Deprec</t>
  </si>
  <si>
    <t>CVRSM_VMCA$$KR15DB3307 AM Fleet Depreciation</t>
  </si>
  <si>
    <t>CVRSM_VMCA$$KR16DB3301 Fleet Depreciation</t>
  </si>
  <si>
    <t>CVRSM_VMCA$$TW10DB3302 Taiwan PM Fleet</t>
  </si>
  <si>
    <t>P000001012</t>
  </si>
  <si>
    <t>FR6297578</t>
  </si>
  <si>
    <t>FR6298074</t>
  </si>
  <si>
    <t>G000001238</t>
  </si>
  <si>
    <t>FR6298119</t>
  </si>
  <si>
    <t>FR6291121</t>
  </si>
  <si>
    <t>FR6299920</t>
  </si>
  <si>
    <t>FR6302874</t>
  </si>
  <si>
    <t>Gay Geanuza del Mundo</t>
  </si>
  <si>
    <t>FR6303541</t>
  </si>
  <si>
    <t>FR6304444</t>
  </si>
  <si>
    <t>FR6304043</t>
  </si>
  <si>
    <t>FR6304728</t>
  </si>
  <si>
    <t>FR6304793</t>
  </si>
  <si>
    <t>FR6307908</t>
  </si>
  <si>
    <t>FR6308964</t>
  </si>
  <si>
    <t>FR6308945</t>
  </si>
  <si>
    <t>L000009357</t>
  </si>
  <si>
    <t>L000013274</t>
  </si>
  <si>
    <t>FR6312124</t>
  </si>
  <si>
    <t>FR6312960</t>
  </si>
  <si>
    <t>FR6316297</t>
  </si>
  <si>
    <t>FR6317492</t>
  </si>
  <si>
    <t>FR6318700</t>
  </si>
  <si>
    <t>Roselle Delos Angeles</t>
  </si>
  <si>
    <t>FR6320946</t>
  </si>
  <si>
    <t>FR6320956</t>
  </si>
  <si>
    <t>FR6323269</t>
  </si>
  <si>
    <t>G000000179</t>
  </si>
  <si>
    <t>FR6330455</t>
  </si>
  <si>
    <t>FR6330656</t>
  </si>
  <si>
    <t>FR6333448</t>
  </si>
  <si>
    <t>FR6338690</t>
  </si>
  <si>
    <t>FR6338443</t>
  </si>
  <si>
    <t>FR6338355</t>
  </si>
  <si>
    <t>FR6340281</t>
  </si>
  <si>
    <t>FR6340826</t>
  </si>
  <si>
    <t>Daniel Schaefer</t>
  </si>
  <si>
    <t>FR6341180</t>
  </si>
  <si>
    <t>FR6341719</t>
  </si>
  <si>
    <t>FR6346030</t>
  </si>
  <si>
    <t>FR6345286</t>
  </si>
  <si>
    <t>FR6344082</t>
  </si>
  <si>
    <t>FR6347778</t>
  </si>
  <si>
    <t>FR6358319</t>
  </si>
  <si>
    <t>FR6354934</t>
  </si>
  <si>
    <t>FR6352403</t>
  </si>
  <si>
    <t>FR6352227</t>
  </si>
  <si>
    <t>FR6351702</t>
  </si>
  <si>
    <t>FR6359549</t>
  </si>
  <si>
    <t>FR6362288</t>
  </si>
  <si>
    <t>John Mark Sandoy</t>
  </si>
  <si>
    <t>FR6361036</t>
  </si>
  <si>
    <t>FR6363301</t>
  </si>
  <si>
    <t>FR6362594</t>
  </si>
  <si>
    <t>H000000319</t>
  </si>
  <si>
    <t>H000000325</t>
  </si>
  <si>
    <t>FR6361233</t>
  </si>
  <si>
    <t>FR6361097</t>
  </si>
  <si>
    <t>FR6365656</t>
  </si>
  <si>
    <t>FR6364331</t>
  </si>
  <si>
    <t>FR6368190</t>
  </si>
  <si>
    <t>FR6368518</t>
  </si>
  <si>
    <t>Julia Reifschneider</t>
  </si>
  <si>
    <t>FR6370089</t>
  </si>
  <si>
    <t>FR6370735</t>
  </si>
  <si>
    <t>Not found in MDGF</t>
  </si>
  <si>
    <t>FR6368185</t>
  </si>
  <si>
    <t>FR6368230</t>
  </si>
  <si>
    <t>FR6371538</t>
  </si>
  <si>
    <t>Alice Fan</t>
  </si>
  <si>
    <t>FR6371919</t>
  </si>
  <si>
    <t>FR6373639</t>
  </si>
  <si>
    <t>FR6373302</t>
  </si>
  <si>
    <t>Jayson Martinez</t>
  </si>
  <si>
    <t>FR6374872</t>
  </si>
  <si>
    <t>FR6374913</t>
  </si>
  <si>
    <t>FR6375053</t>
  </si>
  <si>
    <t>FR6375907</t>
  </si>
  <si>
    <t>FR6377570</t>
  </si>
  <si>
    <t>FR6376178</t>
  </si>
  <si>
    <t>FR6378594</t>
  </si>
  <si>
    <t>FR6367467</t>
  </si>
  <si>
    <t>FR6382595</t>
  </si>
  <si>
    <t>FR6381451</t>
  </si>
  <si>
    <t>FR6380675</t>
  </si>
  <si>
    <t>FR6378977</t>
  </si>
  <si>
    <t>FR6388110</t>
  </si>
  <si>
    <t>FR6388129</t>
  </si>
  <si>
    <t>FR6388119</t>
  </si>
  <si>
    <t>FR6385872</t>
  </si>
  <si>
    <t>FR6386810</t>
  </si>
  <si>
    <t>Julia Baer</t>
  </si>
  <si>
    <t>FR6387085</t>
  </si>
  <si>
    <t>G000000201</t>
  </si>
  <si>
    <t>FR6388495</t>
  </si>
  <si>
    <t>FR6392793</t>
  </si>
  <si>
    <t>FR6393143</t>
  </si>
  <si>
    <t>L000010182</t>
  </si>
  <si>
    <t>FR6395371</t>
  </si>
  <si>
    <t>Diana William</t>
  </si>
  <si>
    <t>FR6399151</t>
  </si>
  <si>
    <t>FR6399697</t>
  </si>
  <si>
    <t>G000000727</t>
  </si>
  <si>
    <t>FR6403690</t>
  </si>
  <si>
    <t>FR6403069</t>
  </si>
  <si>
    <t>FR6406123</t>
  </si>
  <si>
    <t>FR6410361</t>
  </si>
  <si>
    <t>FR6422543</t>
  </si>
  <si>
    <t>FR6426063</t>
  </si>
  <si>
    <t>FR6426216</t>
  </si>
  <si>
    <t>FR6426696</t>
  </si>
  <si>
    <t>FR6427020</t>
  </si>
  <si>
    <t>FR6427384</t>
  </si>
  <si>
    <t>FR6430595</t>
  </si>
  <si>
    <t>FR6431103</t>
  </si>
  <si>
    <t>FR6434682</t>
  </si>
  <si>
    <t>FR6437893</t>
  </si>
  <si>
    <t>FR6439569</t>
  </si>
  <si>
    <t>FR6441644</t>
  </si>
  <si>
    <t>FR6441909</t>
  </si>
  <si>
    <t>Wafa Dammak</t>
  </si>
  <si>
    <t>FR6441951</t>
  </si>
  <si>
    <t>FR6444600</t>
  </si>
  <si>
    <t>FR6444863</t>
  </si>
  <si>
    <t>FR6446646</t>
  </si>
  <si>
    <t>FR6449356</t>
  </si>
  <si>
    <t>FR6449162</t>
  </si>
  <si>
    <t>FR6449580</t>
  </si>
  <si>
    <t>FR6450801</t>
  </si>
  <si>
    <t>FR6452567</t>
  </si>
  <si>
    <t>FR6450244</t>
  </si>
  <si>
    <t>FR6454711</t>
  </si>
  <si>
    <t>FR6454750</t>
  </si>
  <si>
    <t>FR6460612</t>
  </si>
  <si>
    <t>FR6458528</t>
  </si>
  <si>
    <t>FR6458163</t>
  </si>
  <si>
    <t>FR6462053</t>
  </si>
  <si>
    <t>FR6462327</t>
  </si>
  <si>
    <t>FR6462190</t>
  </si>
  <si>
    <t>FR6466059</t>
  </si>
  <si>
    <t>FR6467852</t>
  </si>
  <si>
    <t>FR6473130</t>
  </si>
  <si>
    <t>FR6472957</t>
  </si>
  <si>
    <t>FR6475817</t>
  </si>
  <si>
    <t>Mylene Garcia</t>
  </si>
  <si>
    <t>FR6483961</t>
  </si>
  <si>
    <t>FR6483740</t>
  </si>
  <si>
    <t>FR6483859</t>
  </si>
  <si>
    <t>FR6483898</t>
  </si>
  <si>
    <t>FR6484174</t>
  </si>
  <si>
    <t>FR6488197</t>
  </si>
  <si>
    <t>FR6489611</t>
  </si>
  <si>
    <t>Vivian Yip</t>
  </si>
  <si>
    <t>FR6490443</t>
  </si>
  <si>
    <t>FR6492395</t>
  </si>
  <si>
    <t>FR6492600</t>
  </si>
  <si>
    <t>FR6492636</t>
  </si>
  <si>
    <t>FR6495143</t>
  </si>
  <si>
    <t>FR6497918</t>
  </si>
  <si>
    <t>FR6498005</t>
  </si>
  <si>
    <t>FR6505184</t>
  </si>
  <si>
    <t>FR6503651</t>
  </si>
  <si>
    <t>FR6506336</t>
  </si>
  <si>
    <t>FR6507586</t>
  </si>
  <si>
    <t>FR6507413</t>
  </si>
  <si>
    <t>FR6507467</t>
  </si>
  <si>
    <t>FR6509566</t>
  </si>
  <si>
    <t>FR6509417</t>
  </si>
  <si>
    <t>open</t>
  </si>
  <si>
    <t>FR6511691</t>
  </si>
  <si>
    <t>Rameswar Kabligere</t>
  </si>
  <si>
    <t>FR6513445</t>
  </si>
  <si>
    <t>FR6513462</t>
  </si>
  <si>
    <t>FR6516887</t>
  </si>
  <si>
    <t>FR6518603</t>
  </si>
  <si>
    <t>FR6520074</t>
  </si>
  <si>
    <t>FR6520312</t>
  </si>
  <si>
    <t>FR6520854</t>
  </si>
  <si>
    <t>FR6521979</t>
  </si>
  <si>
    <t>FR6524416</t>
  </si>
  <si>
    <t>FR6524905</t>
  </si>
  <si>
    <t>FR6528476</t>
  </si>
  <si>
    <t>FR6530731</t>
  </si>
  <si>
    <t>FR6532125</t>
  </si>
  <si>
    <t>FR6533176</t>
  </si>
  <si>
    <t>FR6536559</t>
  </si>
  <si>
    <t>FR6536938</t>
  </si>
  <si>
    <t>FR6538446</t>
  </si>
  <si>
    <t>FR6539220</t>
  </si>
  <si>
    <t>P000000805</t>
  </si>
  <si>
    <t>FR6540389</t>
  </si>
  <si>
    <t>FR6541967</t>
  </si>
  <si>
    <t>FR6542169</t>
  </si>
  <si>
    <t>FR6542043</t>
  </si>
  <si>
    <t>FR6543710</t>
  </si>
  <si>
    <t>FR6544187</t>
  </si>
  <si>
    <t>FR6544468</t>
  </si>
  <si>
    <t>FR6545671</t>
  </si>
  <si>
    <t>Yusuke Hasegawa</t>
  </si>
  <si>
    <t>FR6547543</t>
  </si>
  <si>
    <t>FR6547774</t>
  </si>
  <si>
    <t>FR6547971</t>
  </si>
  <si>
    <t>FR6547719</t>
  </si>
  <si>
    <t>FR6547771</t>
  </si>
  <si>
    <t>FR6548313</t>
  </si>
  <si>
    <t>FR6551247</t>
  </si>
  <si>
    <t>FR6555352</t>
  </si>
  <si>
    <t>FR6558447</t>
  </si>
  <si>
    <t>FR6558977</t>
  </si>
  <si>
    <t>CLFF_1000$$$DE10505600</t>
  </si>
  <si>
    <t>FR6563283</t>
  </si>
  <si>
    <t>FR6560612</t>
  </si>
  <si>
    <t>FR6560625</t>
  </si>
  <si>
    <t>FR6560635</t>
  </si>
  <si>
    <t>FR6555655</t>
  </si>
  <si>
    <t>Joan Rose Pena</t>
  </si>
  <si>
    <t>FR6556237</t>
  </si>
  <si>
    <t>FR6557036</t>
  </si>
  <si>
    <t>FR6564433</t>
  </si>
  <si>
    <t>FR6564494</t>
  </si>
  <si>
    <t>L000013318</t>
  </si>
  <si>
    <t>FR6564993</t>
  </si>
  <si>
    <t>FR6560552</t>
  </si>
  <si>
    <t>FR6571568</t>
  </si>
  <si>
    <t>FR6575042</t>
  </si>
  <si>
    <t>FR6578157</t>
  </si>
  <si>
    <t>FR6581183</t>
  </si>
  <si>
    <t>FR6581370</t>
  </si>
  <si>
    <t>FR6581829</t>
  </si>
  <si>
    <t>FR6581260</t>
  </si>
  <si>
    <t>FR6582143</t>
  </si>
  <si>
    <t>FR6582151</t>
  </si>
  <si>
    <t>FR6582164</t>
  </si>
  <si>
    <t>FR6582308</t>
  </si>
  <si>
    <t>H000000277</t>
  </si>
  <si>
    <t>FR6597152</t>
  </si>
  <si>
    <t>FR6598626</t>
  </si>
  <si>
    <t>FR6599290</t>
  </si>
  <si>
    <t>FR6595136</t>
  </si>
  <si>
    <t>FR6594917</t>
  </si>
  <si>
    <t>FR6594949</t>
  </si>
  <si>
    <t>FR6602133</t>
  </si>
  <si>
    <t>FR6603780</t>
  </si>
  <si>
    <t>FR6604326</t>
  </si>
  <si>
    <t>Uros Jablanov</t>
  </si>
  <si>
    <t>FR6605720</t>
  </si>
  <si>
    <t>FR6606096</t>
  </si>
  <si>
    <t>FR6606166</t>
  </si>
  <si>
    <t>FR6607760</t>
  </si>
  <si>
    <t>FR6607196</t>
  </si>
  <si>
    <t>FR6607210</t>
  </si>
  <si>
    <t>FR6607213</t>
  </si>
  <si>
    <t>FR6608595</t>
  </si>
  <si>
    <t>FR6608877</t>
  </si>
  <si>
    <t>FR6609722</t>
  </si>
  <si>
    <t>H000000286</t>
  </si>
  <si>
    <t>Rayneil Reas</t>
  </si>
  <si>
    <t>FR6609777</t>
  </si>
  <si>
    <t>FR6611775</t>
  </si>
  <si>
    <t>FR6612399</t>
  </si>
  <si>
    <t>FR6612506</t>
  </si>
  <si>
    <t>P000001195</t>
  </si>
  <si>
    <t>H000003676</t>
  </si>
  <si>
    <t>H000003682</t>
  </si>
  <si>
    <t>H000003683</t>
  </si>
  <si>
    <t>H000003680</t>
  </si>
  <si>
    <t>H000003678</t>
  </si>
  <si>
    <t>H000003679</t>
  </si>
  <si>
    <t>FR6612946</t>
  </si>
  <si>
    <t>FR6615180</t>
  </si>
  <si>
    <t>FR6615392</t>
  </si>
  <si>
    <t>Julia Laetitia Haselberger</t>
  </si>
  <si>
    <t>FR6615154</t>
  </si>
  <si>
    <t>FR6570113</t>
  </si>
  <si>
    <t>Ilaria Marchetti</t>
  </si>
  <si>
    <t>FR6616681</t>
  </si>
  <si>
    <t>FR6617152</t>
  </si>
  <si>
    <t>H000000340</t>
  </si>
  <si>
    <t>FR6617644</t>
  </si>
  <si>
    <t>FR6621256</t>
  </si>
  <si>
    <t>FR6620262</t>
  </si>
  <si>
    <t>FR6620779</t>
  </si>
  <si>
    <t>FR6620631</t>
  </si>
  <si>
    <t>FR6619161</t>
  </si>
  <si>
    <t>FR6620647</t>
  </si>
  <si>
    <t>FR6620365</t>
  </si>
  <si>
    <t>FR6620235</t>
  </si>
  <si>
    <t>L000013154</t>
  </si>
  <si>
    <t>FR6626358</t>
  </si>
  <si>
    <t>FR6626363</t>
  </si>
  <si>
    <t>FR6627117</t>
  </si>
  <si>
    <t>FR6627152</t>
  </si>
  <si>
    <t>FR6627262</t>
  </si>
  <si>
    <t>FR6629779</t>
  </si>
  <si>
    <t>CLFF_1000$$$EG50C01152 Restructuring expenses 8-3217</t>
  </si>
  <si>
    <t>H000000965</t>
  </si>
  <si>
    <t>FR6630393</t>
  </si>
  <si>
    <t>FR6630342</t>
  </si>
  <si>
    <t>FR6631474</t>
  </si>
  <si>
    <t>FR6631905</t>
  </si>
  <si>
    <t>FR6634677</t>
  </si>
  <si>
    <t>FR6635604</t>
  </si>
  <si>
    <t>FR6636570</t>
  </si>
  <si>
    <t>FR6637076</t>
  </si>
  <si>
    <t>FR6638264</t>
  </si>
  <si>
    <t>FR6639364</t>
  </si>
  <si>
    <t>FR6640346</t>
  </si>
  <si>
    <t>FR6644669</t>
  </si>
  <si>
    <t>FR6643296</t>
  </si>
  <si>
    <t>FR6646244</t>
  </si>
  <si>
    <t>FR6646928</t>
  </si>
  <si>
    <t>FR6654244</t>
  </si>
  <si>
    <t>FR6651665</t>
  </si>
  <si>
    <t>FR6658025</t>
  </si>
  <si>
    <t>FR6660348</t>
  </si>
  <si>
    <t>FR6662315</t>
  </si>
  <si>
    <t>FR6659477</t>
  </si>
  <si>
    <t>FR6667673</t>
  </si>
  <si>
    <t>FR6669097</t>
  </si>
  <si>
    <t>Eivy Denine Cruz</t>
  </si>
  <si>
    <t>FR6669064</t>
  </si>
  <si>
    <t>FR6673044</t>
  </si>
  <si>
    <t>FR6673210</t>
  </si>
  <si>
    <t>FR6674287</t>
  </si>
  <si>
    <t>FR6676281</t>
  </si>
  <si>
    <t>FR6677519</t>
  </si>
  <si>
    <t>FR6681275</t>
  </si>
  <si>
    <t>FR6681416</t>
  </si>
  <si>
    <t>FR6685913</t>
  </si>
  <si>
    <t>FR6687036</t>
  </si>
  <si>
    <t>FR6688459</t>
  </si>
  <si>
    <t>FR6690795</t>
  </si>
  <si>
    <t>FR6691720</t>
  </si>
  <si>
    <t>L000007771</t>
  </si>
  <si>
    <t>FR6693670</t>
  </si>
  <si>
    <t>FR6694770</t>
  </si>
  <si>
    <t>FR6695256</t>
  </si>
  <si>
    <t>FR6695513</t>
  </si>
  <si>
    <t>FR6697237</t>
  </si>
  <si>
    <t>FR6698769</t>
  </si>
  <si>
    <t>FR6703333</t>
  </si>
  <si>
    <t>FR6704501</t>
  </si>
  <si>
    <t>FR6708425</t>
  </si>
  <si>
    <t>CLFF_1000$$$DE20566500</t>
  </si>
  <si>
    <t>FR6711755</t>
  </si>
  <si>
    <t>FR6712028</t>
  </si>
  <si>
    <t>FR6713480</t>
  </si>
  <si>
    <t>FR6713786</t>
  </si>
  <si>
    <t>Frederico Simoes</t>
  </si>
  <si>
    <t>FR6714292</t>
  </si>
  <si>
    <t>FR6717290</t>
  </si>
  <si>
    <t>FR6717924</t>
  </si>
  <si>
    <t>FR6718994</t>
  </si>
  <si>
    <t>FR6720769</t>
  </si>
  <si>
    <t>FR6719798</t>
  </si>
  <si>
    <t>FR6722175</t>
  </si>
  <si>
    <t>FR6722025</t>
  </si>
  <si>
    <t>FR6724704</t>
  </si>
  <si>
    <t>FR6724812</t>
  </si>
  <si>
    <t>FR6724968</t>
  </si>
  <si>
    <t>FR6727491</t>
  </si>
  <si>
    <t>FR6728982</t>
  </si>
  <si>
    <t>FR6732007</t>
  </si>
  <si>
    <t>FR6733855</t>
  </si>
  <si>
    <t>FR6736114</t>
  </si>
  <si>
    <t>FR6736321</t>
  </si>
  <si>
    <t>FR6737377</t>
  </si>
  <si>
    <t>FR6737534</t>
  </si>
  <si>
    <t>FR6741477</t>
  </si>
  <si>
    <t>FR6742841</t>
  </si>
  <si>
    <t>FR6743557</t>
  </si>
  <si>
    <t>FR6743876</t>
  </si>
  <si>
    <t>FR6736927</t>
  </si>
  <si>
    <t>FR6748068</t>
  </si>
  <si>
    <t>FR6750332</t>
  </si>
  <si>
    <t>CORAERP_MMOR1945.9115</t>
  </si>
  <si>
    <t>FR6751071</t>
  </si>
  <si>
    <t>FR6751919</t>
  </si>
  <si>
    <t>FR6754422</t>
  </si>
  <si>
    <t>FR6755026</t>
  </si>
  <si>
    <t>FR6755682</t>
  </si>
  <si>
    <t>Lisa Laux</t>
  </si>
  <si>
    <t>FR6756778</t>
  </si>
  <si>
    <t>FR6758997</t>
  </si>
  <si>
    <t>FR6767083</t>
  </si>
  <si>
    <t>FR6767245</t>
  </si>
  <si>
    <t>L000008495</t>
  </si>
  <si>
    <t>L000008494</t>
  </si>
  <si>
    <t>L000008471</t>
  </si>
  <si>
    <t>FR6768057</t>
  </si>
  <si>
    <t>FR6769550</t>
  </si>
  <si>
    <t>FR6770520</t>
  </si>
  <si>
    <t>FR6770731</t>
  </si>
  <si>
    <t>FR6772647</t>
  </si>
  <si>
    <t>FR6772879</t>
  </si>
  <si>
    <t>FR6773139</t>
  </si>
  <si>
    <t>FR6772993</t>
  </si>
  <si>
    <t>FR6774574</t>
  </si>
  <si>
    <t>FR6773357</t>
  </si>
  <si>
    <t>Marina Bau</t>
  </si>
  <si>
    <t>FR6780343</t>
  </si>
  <si>
    <t>Reyangeli Paulino</t>
  </si>
  <si>
    <t>FR6782480</t>
  </si>
  <si>
    <t>FR6782758</t>
  </si>
  <si>
    <t>FR6784332</t>
  </si>
  <si>
    <t>FR6785419</t>
  </si>
  <si>
    <t>FR6785827</t>
  </si>
  <si>
    <t>FR6787753</t>
  </si>
  <si>
    <t>FR6789118</t>
  </si>
  <si>
    <t>P000000943</t>
  </si>
  <si>
    <t>P000000932</t>
  </si>
  <si>
    <t>FR6789692</t>
  </si>
  <si>
    <t>FR6788166</t>
  </si>
  <si>
    <t>FR6791671</t>
  </si>
  <si>
    <t>FR6792398</t>
  </si>
  <si>
    <t>FR6793509</t>
  </si>
  <si>
    <t>FR6797100</t>
  </si>
  <si>
    <t>FR6797115</t>
  </si>
  <si>
    <t>FR6799659</t>
  </si>
  <si>
    <t>FR6803175</t>
  </si>
  <si>
    <t>FR6803164</t>
  </si>
  <si>
    <t>FR6804074</t>
  </si>
  <si>
    <t>L000013772</t>
  </si>
  <si>
    <t>FR6803170</t>
  </si>
  <si>
    <t>FR6801143</t>
  </si>
  <si>
    <t>FR6807080</t>
  </si>
  <si>
    <t>FR6808895</t>
  </si>
  <si>
    <t>FR6810200</t>
  </si>
  <si>
    <t>FR6815694</t>
  </si>
  <si>
    <t>FR6814212</t>
  </si>
  <si>
    <t>FR6820003</t>
  </si>
  <si>
    <t>FR6821258</t>
  </si>
  <si>
    <t>FR6821748</t>
  </si>
  <si>
    <t>FR6822543</t>
  </si>
  <si>
    <t>FR6828826</t>
  </si>
  <si>
    <t>FR6829522</t>
  </si>
  <si>
    <t>FR6832408</t>
  </si>
  <si>
    <t>FR6833917</t>
  </si>
  <si>
    <t>FR6834010</t>
  </si>
  <si>
    <t>FR6834066</t>
  </si>
  <si>
    <t>FR6836102</t>
  </si>
  <si>
    <t>Already mapped</t>
  </si>
  <si>
    <t>FR6839555</t>
  </si>
  <si>
    <t>FR6840440</t>
  </si>
  <si>
    <t>Edison Wu</t>
  </si>
  <si>
    <t>FR6846790</t>
  </si>
  <si>
    <t>FR6846991</t>
  </si>
  <si>
    <t>FR6846939</t>
  </si>
  <si>
    <t>FR6849995</t>
  </si>
  <si>
    <t>FR6849466</t>
  </si>
  <si>
    <t>FR6849303</t>
  </si>
  <si>
    <t>FR6851290</t>
  </si>
  <si>
    <t>FR6852471</t>
  </si>
  <si>
    <t>P000001222</t>
  </si>
  <si>
    <t>P000001235</t>
  </si>
  <si>
    <t>P000001236</t>
  </si>
  <si>
    <t>P000001239</t>
  </si>
  <si>
    <t>P000001232</t>
  </si>
  <si>
    <t>FR6853589</t>
  </si>
  <si>
    <t>FR6854224</t>
  </si>
  <si>
    <t>FR6853204</t>
  </si>
  <si>
    <t>FR6855404</t>
  </si>
  <si>
    <t>FR6856959</t>
  </si>
  <si>
    <t>FR6859744</t>
  </si>
  <si>
    <t>G000001181</t>
  </si>
  <si>
    <t>FR6860447</t>
  </si>
  <si>
    <t>FR6863456</t>
  </si>
  <si>
    <t>FR6867102</t>
  </si>
  <si>
    <t>FR6868579</t>
  </si>
  <si>
    <t>FR6872519</t>
  </si>
  <si>
    <t>FR6872557</t>
  </si>
  <si>
    <t>FR6871129</t>
  </si>
  <si>
    <t>FR6873117</t>
  </si>
  <si>
    <t>FR6873213</t>
  </si>
  <si>
    <t>FR6874797</t>
  </si>
  <si>
    <t>L000013808</t>
  </si>
  <si>
    <t>L000013802</t>
  </si>
  <si>
    <t>L000013800</t>
  </si>
  <si>
    <t>L000013803</t>
  </si>
  <si>
    <t>L000013530</t>
  </si>
  <si>
    <t>L000013445</t>
  </si>
  <si>
    <t>FR6877297</t>
  </si>
  <si>
    <t>FR6879708</t>
  </si>
  <si>
    <t>FR6879586</t>
  </si>
  <si>
    <t>FR6880746</t>
  </si>
  <si>
    <t>FR6881096</t>
  </si>
  <si>
    <t>FR6882174</t>
  </si>
  <si>
    <t>FR6882615</t>
  </si>
  <si>
    <t>FR6883935</t>
  </si>
  <si>
    <t>FR6884430</t>
  </si>
  <si>
    <t>FR6884469</t>
  </si>
  <si>
    <t>Hannah Zundl</t>
  </si>
  <si>
    <t>P000001203</t>
  </si>
  <si>
    <t>P000001208</t>
  </si>
  <si>
    <t>P000001206</t>
  </si>
  <si>
    <t>FR6887626</t>
  </si>
  <si>
    <t>FR6894019</t>
  </si>
  <si>
    <t>FR6894113</t>
  </si>
  <si>
    <t>FR6894369</t>
  </si>
  <si>
    <t>FR6891593</t>
  </si>
  <si>
    <t>FR6894814</t>
  </si>
  <si>
    <t>FR6894591</t>
  </si>
  <si>
    <t>FR6897580</t>
  </si>
  <si>
    <t>FR6902334</t>
  </si>
  <si>
    <t>FR6902348</t>
  </si>
  <si>
    <t>Lakshmi Shree</t>
  </si>
  <si>
    <t>FR6901662</t>
  </si>
  <si>
    <t>FR6906257</t>
  </si>
  <si>
    <t>FR6913258</t>
  </si>
  <si>
    <t>FR6914306</t>
  </si>
  <si>
    <t>FR6918406</t>
  </si>
  <si>
    <t>FR6921228</t>
  </si>
  <si>
    <t>FR6921705</t>
  </si>
  <si>
    <t>FR6918427</t>
  </si>
  <si>
    <t>Miguel Ramirez Jimenez</t>
  </si>
  <si>
    <t>FR6922887</t>
  </si>
  <si>
    <t>Cheryl Krueger</t>
  </si>
  <si>
    <t>FR6932105</t>
  </si>
  <si>
    <t>FR6932189</t>
  </si>
  <si>
    <t>FR6935264</t>
  </si>
  <si>
    <t>FR6936351</t>
  </si>
  <si>
    <t>FR6936387</t>
  </si>
  <si>
    <t>FR6936400</t>
  </si>
  <si>
    <t>FR6936463</t>
  </si>
  <si>
    <t>FR6939441</t>
  </si>
  <si>
    <t xml:space="preserve">CNOW_7210$$$0000020052 </t>
  </si>
  <si>
    <t>CSCALA_1042$GRFE_P49</t>
  </si>
  <si>
    <t>CSCALA_1042$EDP_P49</t>
  </si>
  <si>
    <t>CSCALA_1042$ACC_P49</t>
  </si>
  <si>
    <t>CSCALA_1042$CFO_P49</t>
  </si>
  <si>
    <t>FR6943059</t>
  </si>
  <si>
    <t xml:space="preserve">CLFF_1000$$$DE10N01513 </t>
  </si>
  <si>
    <t>FR6940622</t>
  </si>
  <si>
    <t>FR6945251</t>
  </si>
  <si>
    <t xml:space="preserve">CFLTFLE_10243121070400 </t>
  </si>
  <si>
    <t>CSCALA_1025$CFO</t>
  </si>
  <si>
    <t>CSCALA_1786$0000000832</t>
  </si>
  <si>
    <t>CLFF_1000$$$CH65GMF012 N&amp;I GBF MS Franchise</t>
  </si>
  <si>
    <t>CLFF_1000$$$CH65GMF011 GBF N&amp;I Comms Ops</t>
  </si>
  <si>
    <t>CLFF_1000$$$CH65C00056 GBF N&amp;I Evobrutinib</t>
  </si>
  <si>
    <t>CLFF_1000$$$CH65C00057 N&amp;I GBF New Product Planning</t>
  </si>
  <si>
    <t>FR6945187</t>
  </si>
  <si>
    <t>CLFF_1000$$$DE10501102</t>
  </si>
  <si>
    <t>CLFF_1000$$$DE10502401</t>
  </si>
  <si>
    <t>CLFF_1000$$$DE10502404</t>
  </si>
  <si>
    <t>CLFF_1000$$$DE10502405</t>
  </si>
  <si>
    <t>CLFF_1000$$$DE10502407</t>
  </si>
  <si>
    <t>CLFF_1000$$$DE10502409</t>
  </si>
  <si>
    <t>CLFF_1000$$$DE10502410</t>
  </si>
  <si>
    <t>CLFF_1000$$$DE10502411</t>
  </si>
  <si>
    <t>CLFF_1000$$$DE10502412</t>
  </si>
  <si>
    <t>CLFF_1000$$$DE10502415</t>
  </si>
  <si>
    <t>CLFF_1000$$$DE10502417</t>
  </si>
  <si>
    <t>CLFF_1000$$$DE10502702</t>
  </si>
  <si>
    <t>CLFF_1000$$$DE10502703</t>
  </si>
  <si>
    <t>CLFF_1000$$$DE10502704</t>
  </si>
  <si>
    <t>CLFF_1000$$$DE10502705</t>
  </si>
  <si>
    <t>CLFF_1000$$$DE10502706</t>
  </si>
  <si>
    <t>CLFF_1000$$$DE10502707</t>
  </si>
  <si>
    <t>CLFF_1000$$$DE10502708</t>
  </si>
  <si>
    <t>CLFF_1000$$$DE10502709</t>
  </si>
  <si>
    <t>CLFF_1000$$$DE10503603</t>
  </si>
  <si>
    <t>CLFF_1000$$$DE10503604</t>
  </si>
  <si>
    <t>CLFF_1000$$$DE10503605</t>
  </si>
  <si>
    <t>CLFF_1000$$$DE10503606</t>
  </si>
  <si>
    <t>CLFF_1000$$$DE10538105</t>
  </si>
  <si>
    <t>CLFF_1000$$$DE10538155</t>
  </si>
  <si>
    <t>CLFF_1000$$$DE10538336</t>
  </si>
  <si>
    <t>CLFF_1000$$$DE10538520</t>
  </si>
  <si>
    <t>CLFF_1000$$$DE10538527</t>
  </si>
  <si>
    <t>CLFF_1000$$$DE10588102</t>
  </si>
  <si>
    <t>CLFF_1000$$$DE20501102</t>
  </si>
  <si>
    <t>CLFF_1000$$$DE20501100</t>
  </si>
  <si>
    <t>CLFF_1000$$$DE20502401</t>
  </si>
  <si>
    <t>CLFF_1000$$$DE20502404</t>
  </si>
  <si>
    <t>CLFF_1000$$$DE20502405</t>
  </si>
  <si>
    <t>CLFF_1000$$$DE20502407</t>
  </si>
  <si>
    <t>CLFF_1000$$$DE20502408</t>
  </si>
  <si>
    <t>CLFF_1000$$$DE20502409</t>
  </si>
  <si>
    <t>CLFF_1000$$$DE20502410</t>
  </si>
  <si>
    <t>CLFF_1000$$$DE20502411</t>
  </si>
  <si>
    <t>CLFF_1000$$$DE20502412</t>
  </si>
  <si>
    <t>CLFF_1000$$$DE20502415</t>
  </si>
  <si>
    <t>CLFF_1000$$$DE20502417</t>
  </si>
  <si>
    <t>CLFF_1000$$$DE20502702</t>
  </si>
  <si>
    <t>CLFF_1000$$$DE20502703</t>
  </si>
  <si>
    <t>CLFF_1000$$$DE20502704</t>
  </si>
  <si>
    <t>CLFF_1000$$$DE20502705</t>
  </si>
  <si>
    <t>CLFF_1000$$$DE20502706</t>
  </si>
  <si>
    <t>CLFF_1000$$$DE20502707</t>
  </si>
  <si>
    <t>CLFF_1000$$$DE20502708</t>
  </si>
  <si>
    <t>CLFF_1000$$$DE20502709</t>
  </si>
  <si>
    <t>CLFF_1000$$$DE20503603</t>
  </si>
  <si>
    <t>CLFF_1000$$$DE20503604</t>
  </si>
  <si>
    <t>CLFF_1000$$$DE20503605</t>
  </si>
  <si>
    <t>CLFF_1000$$$DE20503606</t>
  </si>
  <si>
    <t>CLFF_1000$$$DE20538105</t>
  </si>
  <si>
    <t>CLFF_1000$$$DE20538155</t>
  </si>
  <si>
    <t>CLFF_1000$$$DE20538336</t>
  </si>
  <si>
    <t>CLFF_1000$$$DE20538520</t>
  </si>
  <si>
    <t>CLFF_1000$$$DE20538527</t>
  </si>
  <si>
    <t>L000010126</t>
  </si>
  <si>
    <t>L000013249</t>
  </si>
  <si>
    <t>L000010130</t>
  </si>
  <si>
    <t>L000010132</t>
  </si>
  <si>
    <t>L000010128</t>
  </si>
  <si>
    <t>L000010134</t>
  </si>
  <si>
    <t>L000010124</t>
  </si>
  <si>
    <t>FR6947443</t>
  </si>
  <si>
    <t>FR6950020</t>
  </si>
  <si>
    <t xml:space="preserve">ITEMPEU_NL40AA0013 </t>
  </si>
  <si>
    <t xml:space="preserve">CFLTFLE_2373ADM </t>
  </si>
  <si>
    <t xml:space="preserve">CFLTFLE_2373CSR </t>
  </si>
  <si>
    <t xml:space="preserve">CFLTFLE_2373EXC </t>
  </si>
  <si>
    <t xml:space="preserve">CFLTFLE_2373FAS </t>
  </si>
  <si>
    <t xml:space="preserve">CFLTFLE_2373FIN </t>
  </si>
  <si>
    <t xml:space="preserve">CFLTFLE_2373HUR </t>
  </si>
  <si>
    <t xml:space="preserve">CFLTFLE_2373INT </t>
  </si>
  <si>
    <t xml:space="preserve">CFLTFLE_2373LEG </t>
  </si>
  <si>
    <t xml:space="preserve">CFLTFLE_2373MKT </t>
  </si>
  <si>
    <t xml:space="preserve">CFLTFLE_2373OPS </t>
  </si>
  <si>
    <t xml:space="preserve">CFLTFLE_2373PRD </t>
  </si>
  <si>
    <t xml:space="preserve">CFLTFLE_2373PRO </t>
  </si>
  <si>
    <t xml:space="preserve">CFLTFLE_2373QUA </t>
  </si>
  <si>
    <t xml:space="preserve">CFLTFLE_2373QUC </t>
  </si>
  <si>
    <t xml:space="preserve">CFLTFLE_2373RES </t>
  </si>
  <si>
    <t xml:space="preserve">CFLTFLE_2373SAL </t>
  </si>
  <si>
    <t xml:space="preserve">CFLTFLE_2373SHP </t>
  </si>
  <si>
    <t xml:space="preserve">CFLTFLE_2373TEC </t>
  </si>
  <si>
    <t xml:space="preserve">CFLTFLE_2373SGA </t>
  </si>
  <si>
    <t>CTEMPNA_1000PH80L35002 SPICE Carve Out</t>
  </si>
  <si>
    <t>CPHOENX_01019182669150 SPICE Backfill Gernsheim</t>
  </si>
  <si>
    <t>FR6948171</t>
  </si>
  <si>
    <t>CFLTFLE_10543020420000 Write off-Inventories, IC</t>
  </si>
  <si>
    <t>L000009229</t>
  </si>
  <si>
    <t>CFLTFLE_10543020520000 Inventory revaluation IC</t>
  </si>
  <si>
    <t>CNOW_AUS0$$$0000091765 BRK Q/C</t>
  </si>
  <si>
    <t>CFLTFLE_10543020211000 Price variances 3rd party</t>
  </si>
  <si>
    <t>CFLTFLE_10543020510000 Inventory revaluation 3P</t>
  </si>
  <si>
    <t>CFLTFLE_10543020410000 Write off-Inventories, 3r</t>
  </si>
  <si>
    <t>CFLTFLE_10543020212000 Price variances IC</t>
  </si>
  <si>
    <t>CFLTFLE_10543020430000 Valuation adj.- 3rd parti</t>
  </si>
  <si>
    <t>CFLTFLE_10543020531100 Capitalized PV, 3P</t>
  </si>
  <si>
    <t>CFLTFLE_10543020531200 Capitalized PV, IC</t>
  </si>
  <si>
    <t>CFLTFLE_10543020440000 Valuation adjustments IC</t>
  </si>
  <si>
    <t>CNOW_7210$$$0000057730 UK-GILLINGHAM SAFC Miscellaneous</t>
  </si>
  <si>
    <t>CNOW_7210$$$0000051996 FR SAFC Absorbed Cost</t>
  </si>
  <si>
    <t>L000009839</t>
  </si>
  <si>
    <t>CNOW_7210$$$0000051994 FR RS Absorbed Cost</t>
  </si>
  <si>
    <t>CNOW_7210$$$0000051993 FR RE Absorbed Cost</t>
  </si>
  <si>
    <t>CNOW_7210$$$0000051995 FR BT Absorbed Cost</t>
  </si>
  <si>
    <t>CNOW_7210$$$0000058560 CHILE Manufacturing</t>
  </si>
  <si>
    <t>L000009997</t>
  </si>
  <si>
    <t>CNOW_7210$$$0000058205 MY RE COS Expenses</t>
  </si>
  <si>
    <t>L000010065</t>
  </si>
  <si>
    <t>CNOW_7210$$$0000058208 MY SAFC COS Expenses</t>
  </si>
  <si>
    <t>CORAERP_MMOR1975.2653 LS Procurement Rebate COGS</t>
  </si>
  <si>
    <t>CLFF_7210$$$2053L44109 Norway regulatory</t>
  </si>
  <si>
    <t>L000013450</t>
  </si>
  <si>
    <t>FR6951585</t>
  </si>
  <si>
    <t>CLFF_1000$$$CH01Z01000 OKB9 Cost Center</t>
  </si>
  <si>
    <t>CLFF_1000$$$DE01Z01000 OKB9 Cost Center</t>
  </si>
  <si>
    <t>FR6951651</t>
  </si>
  <si>
    <t>As per conversation with requestor, we'll be resolving this for now as the sponsor is on leave until Jan 3rd and will be unable to confirm.</t>
  </si>
  <si>
    <t>object was left out during the process and is now awaiting replication. However, it has been resolved to avoid breaching the SLA.</t>
  </si>
  <si>
    <t xml:space="preserve">CNOW_7210$$$0000000632 </t>
  </si>
  <si>
    <t xml:space="preserve">CNOW_7210$$$0000270007 </t>
  </si>
  <si>
    <t xml:space="preserve">CNOW_ROW$$$$K17D </t>
  </si>
  <si>
    <t xml:space="preserve">CNOW_7210$$$0000020049 </t>
  </si>
  <si>
    <t xml:space="preserve">CNOW_7210$$$0000040170 </t>
  </si>
  <si>
    <t xml:space="preserve">CNOW_7210$$$0000020053 </t>
  </si>
  <si>
    <t>L000007758</t>
  </si>
  <si>
    <t xml:space="preserve">CNOW_7210$$$0000040176 </t>
  </si>
  <si>
    <t xml:space="preserve">CNOW_7210$$$0000496907 </t>
  </si>
  <si>
    <t>L000013313</t>
  </si>
  <si>
    <t xml:space="preserve">CNOW_7210$$$0000051729 </t>
  </si>
  <si>
    <t>L000013491</t>
  </si>
  <si>
    <t xml:space="preserve">CNOW_7210$$$0000051730 </t>
  </si>
  <si>
    <t xml:space="preserve">CNOW_7210$$$0000021188 </t>
  </si>
  <si>
    <t xml:space="preserve">CNOW_7210$$$0000020024 </t>
  </si>
  <si>
    <t xml:space="preserve">CNOW_7210$$$0000057199 </t>
  </si>
  <si>
    <t xml:space="preserve">CNOW_7210$$$0000057200 </t>
  </si>
  <si>
    <t xml:space="preserve">CNOW_7210$$$0000057972 </t>
  </si>
  <si>
    <t xml:space="preserve">CNOW_7210$$$0000020040 </t>
  </si>
  <si>
    <t>CNOW_7210$$$0000052175</t>
  </si>
  <si>
    <t>CNOW_7210$$$0000052176</t>
  </si>
  <si>
    <t xml:space="preserve">CNOW_7210$$$0000015935 </t>
  </si>
  <si>
    <t>CNOW_7210$$$0000020031</t>
  </si>
  <si>
    <t>CNOW_7210$$$0000020032</t>
  </si>
  <si>
    <t xml:space="preserve">CNOW_AUS0$$$0000091932 </t>
  </si>
  <si>
    <t>L000008315</t>
  </si>
  <si>
    <t>CNOW_7210$$$0000058829</t>
  </si>
  <si>
    <t>CNOW_7210$$$0000058828</t>
  </si>
  <si>
    <t>CNOW_7210$$$0000023470</t>
  </si>
  <si>
    <t>FR6956164</t>
  </si>
  <si>
    <t>CSCALA_1212$0000001160</t>
  </si>
  <si>
    <t>CNOW_7210$$$0000051475</t>
  </si>
  <si>
    <t>FR6966061</t>
  </si>
  <si>
    <t>FR6970242</t>
  </si>
  <si>
    <t>CEMERAL_70006502992082</t>
  </si>
  <si>
    <t>CLFF_1000$$$DE10GIT05A</t>
  </si>
  <si>
    <t>G000001356</t>
  </si>
  <si>
    <t>Jay-R Lizardo</t>
  </si>
  <si>
    <t>FR6974751</t>
  </si>
  <si>
    <t>FR6975197</t>
  </si>
  <si>
    <t>CSCALA_1022$ITD_IT1</t>
  </si>
  <si>
    <t>CSCALA_1022$ITS_IT5</t>
  </si>
  <si>
    <t>PTEMPNA_US201PIOFCCHXPR89</t>
  </si>
  <si>
    <t>PTEMPNA_US201PIOMCCGVPR60</t>
  </si>
  <si>
    <t>PTEMPNA_US201PIOMCCEXPR75</t>
  </si>
  <si>
    <t>PTEMPNA_US201PIOMCCEXPR76</t>
  </si>
  <si>
    <t>PTEMPNA_US201PIOMCCEXPR51</t>
  </si>
  <si>
    <t>PTEMPNA_US201PIOMVPTXPR85</t>
  </si>
  <si>
    <t>PTEMPNA_US201PIOMVPLXPR73</t>
  </si>
  <si>
    <t>PTEMPNA_US201PIOMCCIXPR90</t>
  </si>
  <si>
    <t>PTEMPNA_US201PIOMEVBXPR01</t>
  </si>
  <si>
    <t>PTEMPNA_US201PIOMEVBXPR78</t>
  </si>
  <si>
    <t>PTEMPNA_US201PIOMEVBXPR71</t>
  </si>
  <si>
    <t>PTEMPNA_US201PIOMEVBXPR74</t>
  </si>
  <si>
    <t>PTEMPNA_US201PIOMEVBXPR80</t>
  </si>
  <si>
    <t>PTEMPNA_US201PIOMEVAXPR78</t>
  </si>
  <si>
    <t>PTEMPNA_US201PIOMEVAXPR72</t>
  </si>
  <si>
    <t>PTEMPNA_US201PIOMEVAXPR73</t>
  </si>
  <si>
    <t>PTEMPNA_US201PIOMEVAXPR74</t>
  </si>
  <si>
    <t>PTEMPNA_US201PIOMEVAXPR84</t>
  </si>
  <si>
    <t>PTEMPNA_US201PIOMEVAXPR50</t>
  </si>
  <si>
    <t>PTEMPNA_US201PIOMEVAXPR81</t>
  </si>
  <si>
    <t>FR6978118</t>
  </si>
  <si>
    <t xml:space="preserve">CLFF_1000$$$DE10200023 </t>
  </si>
  <si>
    <t>FR6977108</t>
  </si>
  <si>
    <t>CLFF_1000$$$DE10300076</t>
  </si>
  <si>
    <t>FR6977069</t>
  </si>
  <si>
    <t xml:space="preserve">CNOW_ROW$$$$0000091825 </t>
  </si>
  <si>
    <t xml:space="preserve">CFLTFLE_2373COS </t>
  </si>
  <si>
    <t xml:space="preserve">CSCALA_1042$PSCE </t>
  </si>
  <si>
    <t>FR6978512</t>
  </si>
  <si>
    <t>Mapped for 2025. Waiting for Andreas response for action.</t>
  </si>
  <si>
    <t>CSCALA_1759$PRLS</t>
  </si>
  <si>
    <t>CSCALA_1759$VOAL</t>
  </si>
  <si>
    <t xml:space="preserve">CFLTFLE_2276891080IC </t>
  </si>
  <si>
    <t xml:space="preserve">CFLTFLE_2276891082IC </t>
  </si>
  <si>
    <t>L000008966</t>
  </si>
  <si>
    <t>L000008972</t>
  </si>
  <si>
    <t>FR6982139</t>
  </si>
  <si>
    <t>CLFF_VMCA$$$TW91C02001</t>
  </si>
  <si>
    <t>FR6982382</t>
  </si>
  <si>
    <t>CLFF_1000$$$DE10200058</t>
  </si>
  <si>
    <t>CLFF_1000$$$DE10200059</t>
  </si>
  <si>
    <t>CLFF_1000$$$DE10200060</t>
  </si>
  <si>
    <t>CLFF_1000$$$DE10200061</t>
  </si>
  <si>
    <t>CLFF_1000$$$DE10200062</t>
  </si>
  <si>
    <t>FR6981254</t>
  </si>
  <si>
    <t>FR6981168</t>
  </si>
  <si>
    <t>CPRJ-9820240021 BIONTECH SE BNT326</t>
  </si>
  <si>
    <t>FR6981021</t>
  </si>
  <si>
    <t>FR6984381</t>
  </si>
  <si>
    <t>CLFF_1000$$$NG50C1CSLS</t>
  </si>
  <si>
    <t>L000008834</t>
  </si>
  <si>
    <t>Wayne Allen de Vos</t>
  </si>
  <si>
    <t>D00123500000000 AP5008</t>
  </si>
  <si>
    <t>FR6986301</t>
  </si>
  <si>
    <t>CSCALA_1022$ITN_IT4</t>
  </si>
  <si>
    <t>CSCALA_1022$ITS_T01</t>
  </si>
  <si>
    <t>CFLTFLE_22450000002737</t>
  </si>
  <si>
    <t>CFLTFLE_22450000002763</t>
  </si>
  <si>
    <t>L000013151</t>
  </si>
  <si>
    <t>FR6988197</t>
  </si>
  <si>
    <t>CLFF_1000$$$DE20533101</t>
  </si>
  <si>
    <t>CLFF_1000$$$DE20533102</t>
  </si>
  <si>
    <t>CLFF_1000$$$DE20533103</t>
  </si>
  <si>
    <t>CLFF_1000$$$DE20533104</t>
  </si>
  <si>
    <t>CLFF_1000$$$DE20533105</t>
  </si>
  <si>
    <t>CLFF_1000$$$DE20533106</t>
  </si>
  <si>
    <t>CLFF_1000$$$DE20533108</t>
  </si>
  <si>
    <t>CLFF_1000$$$DE20533110</t>
  </si>
  <si>
    <t>CLFF_1000$$$DE20533111</t>
  </si>
  <si>
    <t>CLFF_1000$$$DE20533112</t>
  </si>
  <si>
    <t>CLFF_1000$$$DE20533113</t>
  </si>
  <si>
    <t>CLFF_1000$$$DE20533198</t>
  </si>
  <si>
    <t>CLFF_1000$$$DE10533101</t>
  </si>
  <si>
    <t>CLFF_1000$$$DE10533102</t>
  </si>
  <si>
    <t>CLFF_1000$$$DE10533103</t>
  </si>
  <si>
    <t>CLFF_1000$$$DE10533104</t>
  </si>
  <si>
    <t>CLFF_1000$$$DE10533105</t>
  </si>
  <si>
    <t>CLFF_1000$$$DE10533106</t>
  </si>
  <si>
    <t>CLFF_1000$$$DE10533108</t>
  </si>
  <si>
    <t>CLFF_1000$$$DE10533110</t>
  </si>
  <si>
    <t>CLFF_1000$$$DE10533111</t>
  </si>
  <si>
    <t>CLFF_1000$$$DE10533112</t>
  </si>
  <si>
    <t>CLFF_1000$$$DE10533113</t>
  </si>
  <si>
    <t>FR6995568</t>
  </si>
  <si>
    <t>D00118900000000 Ultra-High Purity Colloidal Silica PD Su</t>
  </si>
  <si>
    <t>D00123000000000 Optiplane 2260</t>
  </si>
  <si>
    <t>DP000010000000 Cu3886 low dishing low defect Cu Bulk Sl</t>
  </si>
  <si>
    <t>D00123300000000 Str Partnership IMEC TFM Share</t>
  </si>
  <si>
    <t>D00123200000000 Adv Pkg CMP (1501-50 BOOST)</t>
  </si>
  <si>
    <t>D00115200000000 Ultra-High Purity Colloidal Silica</t>
  </si>
  <si>
    <t>DP000005000000 DP1284 high-rate Cu bulk slurry for TI</t>
  </si>
  <si>
    <t>RD210008 Advanced particle characterization</t>
  </si>
  <si>
    <t>RD242007 HPD8700 for Micron HBM CMP</t>
  </si>
  <si>
    <t>CLFF_1000$$$TW03TNKA06</t>
  </si>
  <si>
    <t>FR7000149</t>
  </si>
  <si>
    <t xml:space="preserve">CORAERP_MMOR1945.J5XX </t>
  </si>
  <si>
    <t xml:space="preserve">CORAERP_MMOR1975.P1BR </t>
  </si>
  <si>
    <t xml:space="preserve">CORAERP_MMOR1975.P1VP </t>
  </si>
  <si>
    <t xml:space="preserve">CFLTFLE_2373ICO </t>
  </si>
  <si>
    <t>FR7000977</t>
  </si>
  <si>
    <t>CLFF_VMCA$$$GB10C00701 PM-IOQ QA Semicon Materials GB</t>
  </si>
  <si>
    <t>FR7006542</t>
  </si>
  <si>
    <t>FR7007038</t>
  </si>
  <si>
    <t xml:space="preserve">CPHOENX_01010000604520 </t>
  </si>
  <si>
    <t xml:space="preserve">CPHOENX_01010000604540 </t>
  </si>
  <si>
    <t xml:space="preserve">CPHOENX_01010000604530 </t>
  </si>
  <si>
    <t xml:space="preserve">CORAERP_MMOR1975.4147 </t>
  </si>
  <si>
    <t xml:space="preserve">ITEMPEU_001300003829 </t>
  </si>
  <si>
    <t xml:space="preserve">CORAERP_MMOR1975.SMQA </t>
  </si>
  <si>
    <t>L000010145</t>
  </si>
  <si>
    <t>L000009822</t>
  </si>
  <si>
    <t>L000013174</t>
  </si>
  <si>
    <t>CLFF_7210$$$2102TCBZ30 BWY Maintenance</t>
  </si>
  <si>
    <t>CNOW_7210$$$0000020259 STL SAFC BROADWAY BUILDING</t>
  </si>
  <si>
    <t>CNOW_7210$$$0000040415 MWK RS PLANNING &amp; SCHEDULING</t>
  </si>
  <si>
    <t>CNOW_7210$$$0000040534 Food Safety North America</t>
  </si>
  <si>
    <t>CORAERP_MMOR1975.5093 Bulk, Custom, LDA Product Marketing</t>
  </si>
  <si>
    <t>D30010400000000 R&amp;D project expenses</t>
  </si>
  <si>
    <t>CPHOENX_01010000669760 IP Sale Darmstadt Production for MagPrep</t>
  </si>
  <si>
    <t>FR7010037</t>
  </si>
  <si>
    <t>CLFF_1000$$$DE10558300</t>
  </si>
  <si>
    <t>CLFF_1000$$$DE10622200</t>
  </si>
  <si>
    <t>CLFF_1000$$$DE10623000</t>
  </si>
  <si>
    <t>FR7010909</t>
  </si>
  <si>
    <t>G000000392</t>
  </si>
  <si>
    <t>G000000389</t>
  </si>
  <si>
    <t>G000000387</t>
  </si>
  <si>
    <t>FR7018001</t>
  </si>
  <si>
    <t>D00119900000000 OT R&amp;D IC Charge</t>
  </si>
  <si>
    <t>D00120100000000 DPM R&amp;D IC Charge</t>
  </si>
  <si>
    <t>D00120500000000 General OLED R&amp;D</t>
  </si>
  <si>
    <t>D00120600000000 HTM Development</t>
  </si>
  <si>
    <t>D00120700000000 TMM Research &amp; Development</t>
  </si>
  <si>
    <t>D00121500000000 OLED R&amp;D CrossCharge</t>
  </si>
  <si>
    <t>D00121600000000 OT R&amp;D CrossCharge</t>
  </si>
  <si>
    <t>D00121800000000 DPM R&amp;D CrossCharge</t>
  </si>
  <si>
    <t>D00123600000000 LGD-OLED-mobile-RSP</t>
  </si>
  <si>
    <t>D00123700000000 LGD-OLED-mobile-RSP</t>
  </si>
  <si>
    <t>D00123800000000 LGD-OLED-TV-WBE-B9</t>
  </si>
  <si>
    <t>D00123900000000 LGD-OLED-TV-WBE-B9</t>
  </si>
  <si>
    <t>P000001243</t>
  </si>
  <si>
    <t>P000001209</t>
  </si>
  <si>
    <t>FR7013508</t>
  </si>
  <si>
    <t>CSCALA_1042$LSRG_P19</t>
  </si>
  <si>
    <t xml:space="preserve">CSCALA_1042$LWSP </t>
  </si>
  <si>
    <t xml:space="preserve">CEMERAL_70007001584396 </t>
  </si>
  <si>
    <t xml:space="preserve">CORAERP_MMOR1968.LLPD </t>
  </si>
  <si>
    <t>CSCALA_1786$704_114</t>
  </si>
  <si>
    <t>CSCALA_1786$704_116</t>
  </si>
  <si>
    <t>CSCALA_1786$0000000704 3110250000 Internal sales service expenses/BF-Y1; Adjustment</t>
  </si>
  <si>
    <t>FR7022004</t>
  </si>
  <si>
    <t>FR7022142</t>
  </si>
  <si>
    <t>CTEMPLA_1000UY10010031 Customer Service</t>
  </si>
  <si>
    <t>H000000598</t>
  </si>
  <si>
    <t>CTEMPNA_1000US12MBHR01</t>
  </si>
  <si>
    <t>CTEMPNA_1000US12MBSGSD</t>
  </si>
  <si>
    <t>CTEMPNA_1000CA20MBSGSD</t>
  </si>
  <si>
    <t>CTEMPNA_1000US30MBSGSD</t>
  </si>
  <si>
    <t>CTEMPNA_1000US20MBSGSD</t>
  </si>
  <si>
    <t>CTEMPNA_1000US15MBSGSD</t>
  </si>
  <si>
    <t>CSCALA_1025$CFO CFO COST CHARGING</t>
  </si>
  <si>
    <t>CTEMPEU_1000PL80GFO018 ABP</t>
  </si>
  <si>
    <t>FR7024407</t>
  </si>
  <si>
    <t>FR7025313</t>
  </si>
  <si>
    <t>CVRSM_VMCA$$KR07DB3307 PM Fleet Deprec</t>
  </si>
  <si>
    <t>CVRSM_VMCA$$KR07DB3305 AM Fleet Deprec</t>
  </si>
  <si>
    <t>CVRSM_VMCA$$US10DB3015 NA PM WF6 Fleet</t>
  </si>
  <si>
    <t>CVRSM_VMCA$$US10DB3018 NA Distribution</t>
  </si>
  <si>
    <t>CVRSM_VMCA$$US10DB3019 NA Distribution</t>
  </si>
  <si>
    <t>CVRSM_VMCA$$US10DB3010 NA AM Fleet</t>
  </si>
  <si>
    <t>P000000923</t>
  </si>
  <si>
    <t>P000000818</t>
  </si>
  <si>
    <t>P000000914</t>
  </si>
  <si>
    <t>Successfully loaded to 2025.</t>
  </si>
  <si>
    <t>Unable to in PCB as this previously loaded and remap in 2024.</t>
  </si>
  <si>
    <t>Loaded in 2024.</t>
  </si>
  <si>
    <t>Successfully loaded to 2025. Will be resolving the this ticket for now and inform the requester about the situation.</t>
  </si>
  <si>
    <t>FR7025837</t>
  </si>
  <si>
    <t>CEMERAL_70006101P13202 PS APAC Commercial</t>
  </si>
  <si>
    <t>L000006770</t>
  </si>
  <si>
    <t>FR7031618</t>
  </si>
  <si>
    <t xml:space="preserve">CNOW_7210$$$0000020058 </t>
  </si>
  <si>
    <t xml:space="preserve">CNOW_7210$$$0000020057 </t>
  </si>
  <si>
    <t>CNOW_7210$$$P551015412</t>
  </si>
  <si>
    <t xml:space="preserve">CNOW_7210$$$0000051458 </t>
  </si>
  <si>
    <t xml:space="preserve">IEMERAL_000009101239 </t>
  </si>
  <si>
    <t>L000009473</t>
  </si>
  <si>
    <t>L000009306</t>
  </si>
  <si>
    <t>D30011400000000 PES Concentration Device Family</t>
  </si>
  <si>
    <t>CTEMPLA_1000PE10170105 Fertility Reimbursement</t>
  </si>
  <si>
    <t>FR7032783</t>
  </si>
  <si>
    <t>FR7040650</t>
  </si>
  <si>
    <t>RD242006 Shushan in-house Ce for STI slurry</t>
  </si>
  <si>
    <t>FR7040552</t>
  </si>
  <si>
    <t xml:space="preserve">CSCALA_1042$LSCC </t>
  </si>
  <si>
    <t xml:space="preserve">CEMERAL_70007001184363 </t>
  </si>
  <si>
    <t xml:space="preserve">CFLTFLE_1044LSCL </t>
  </si>
  <si>
    <t xml:space="preserve">CEMERAL_70006302991410 </t>
  </si>
  <si>
    <t xml:space="preserve">CSCALA_1042$RARE </t>
  </si>
  <si>
    <t>CPRJ-9820240010 MA8 T228 6828a Payload Synthesis</t>
  </si>
  <si>
    <t>CLFF_1000$$$DE50TODA13</t>
  </si>
  <si>
    <t>FR7040071</t>
  </si>
  <si>
    <t>Volker Ogan</t>
  </si>
  <si>
    <t>H000004262</t>
  </si>
  <si>
    <t>CFLTFLE_10550000002580 Facilities and building charge out</t>
  </si>
  <si>
    <t>CTEMPEU_1000TR10MS4214 52-Promo Marketing</t>
  </si>
  <si>
    <t>PLEAN_X310181TN5013200 BAVENCIO promotion costs GL</t>
  </si>
  <si>
    <t>PLEAN_X310201AE5010203 SP PROM MAT-KW-FERT</t>
  </si>
  <si>
    <t>PLEAN_X310201AE5010205 SP PROM MAT-QA-FERT</t>
  </si>
  <si>
    <t>PLEAN_X310201AE5030504 SP REG-EA-FERT</t>
  </si>
  <si>
    <t>PLEAN_X310201MA5013216 Sponsorship ISIVIF (SMMR)</t>
  </si>
  <si>
    <t>PLEAN_X310201TN5013226 Algeria congresses and events</t>
  </si>
  <si>
    <t>PLEAN_X310201TN6013206 CongrèsnationaldelaSTGOFertilityBiotTN</t>
  </si>
  <si>
    <t>PLEAN_X310211TN5010200 Hébérgement Atlas de reproduction assist</t>
  </si>
  <si>
    <t>PLEAN_X310301AE5015207 SP PROM OTHERS-BH-DIAB</t>
  </si>
  <si>
    <t>PLEAN_X310301AE5030504 SP REG-EA-DIAB</t>
  </si>
  <si>
    <t>PLEAN_X310301EG5010216 B4 Commercial-EG-Pro. material-Print M.</t>
  </si>
  <si>
    <t>PLEAN_X310301TN5013212 ROUND TABLE &amp; STAFFS</t>
  </si>
  <si>
    <t>PLEAN_X310511MA5013214 PHEW: special edition</t>
  </si>
  <si>
    <t>PLEAN_X310511TN5013225 branding : mavenchat</t>
  </si>
  <si>
    <t>PLEAN_X310511TN5030200 X.310511.TN50.30.200</t>
  </si>
  <si>
    <t>PLEAN_X310511TN6013204 Journée ANST</t>
  </si>
  <si>
    <t>FR7043643</t>
  </si>
  <si>
    <t>FR7047510</t>
  </si>
  <si>
    <t xml:space="preserve">CLFF_1000$$$DE20675100 </t>
  </si>
  <si>
    <t>FR7047182</t>
  </si>
  <si>
    <t xml:space="preserve">CNOW_7210$$$0000020056 </t>
  </si>
  <si>
    <t xml:space="preserve">CNOW_7210$$$0000010298 </t>
  </si>
  <si>
    <t xml:space="preserve">CNOW_7210$$$0000040058 </t>
  </si>
  <si>
    <t xml:space="preserve">CNOW_7210$$$0000010344 </t>
  </si>
  <si>
    <t>CLFF_1000$$$DE10523702</t>
  </si>
  <si>
    <t>CLFF_1000$$$DE10575000</t>
  </si>
  <si>
    <t>CLFF_1000$$$DE10575700</t>
  </si>
  <si>
    <t>CLFF_1000$$$DE10577000</t>
  </si>
  <si>
    <t>CLFF_1000$$$DE10671000</t>
  </si>
  <si>
    <t>CLFF_1000$$$DE10575119</t>
  </si>
  <si>
    <t>CLFF_1000$$$DE10575310</t>
  </si>
  <si>
    <t>CLFF_1000$$$DE10675100</t>
  </si>
  <si>
    <t>CLFF_1000$$$DE10598500</t>
  </si>
  <si>
    <t>CLFF_1000$$$DE10598600</t>
  </si>
  <si>
    <t>CLFF_1000$$$DE10698500</t>
  </si>
  <si>
    <t>CLFF_1000$$$DE10575300</t>
  </si>
  <si>
    <t>CLFF_1000$$$DE10672000</t>
  </si>
  <si>
    <t>FR7046557</t>
  </si>
  <si>
    <t>FR7044542</t>
  </si>
  <si>
    <t xml:space="preserve">CNOW_7210$$$0024063019 </t>
  </si>
  <si>
    <t xml:space="preserve">CNOW_7210$$$0000040107 </t>
  </si>
  <si>
    <t xml:space="preserve">CNOW_7210$$$0000015562 </t>
  </si>
  <si>
    <t>CNOW_AUS0$$$0000092059</t>
  </si>
  <si>
    <t>CNOW_ROW$$$$0000091828</t>
  </si>
  <si>
    <t xml:space="preserve">CNOW_7210$$$0000059962 </t>
  </si>
  <si>
    <t>L000007200</t>
  </si>
  <si>
    <t>L000009797</t>
  </si>
  <si>
    <t>FR7049840</t>
  </si>
  <si>
    <t>CLFF_7210$$$2029GIT00M</t>
  </si>
  <si>
    <t>CLFF_1000$$$CH50L98016</t>
  </si>
  <si>
    <t>FR7048767</t>
  </si>
  <si>
    <t>CLFF_1000$$$DE20538290</t>
  </si>
  <si>
    <t>CLFF_1000$$$DE20529600</t>
  </si>
  <si>
    <t>CLFF_1000$$$DE20847200</t>
  </si>
  <si>
    <t>CLFF_1000$$$DE20538257</t>
  </si>
  <si>
    <t>CLFF_1000$$$DE10538257</t>
  </si>
  <si>
    <t>CLFF_1000$$$DE20538295</t>
  </si>
  <si>
    <t>CLFF_1000$$$DE10538295</t>
  </si>
  <si>
    <t>CLFF_1000$$$DE20538456</t>
  </si>
  <si>
    <t>CLFF_1000$$$DE10538456</t>
  </si>
  <si>
    <t>CLFF_1000$$$DE20538554</t>
  </si>
  <si>
    <t>CLFF_1000$$$DE10538554</t>
  </si>
  <si>
    <t>CLFF_1000$$$DE10537810</t>
  </si>
  <si>
    <t>CLFF_1000$$$DE20538242</t>
  </si>
  <si>
    <t>CLFF_1000$$$DE10538242</t>
  </si>
  <si>
    <t>CLFF_1000$$$DE20568016</t>
  </si>
  <si>
    <t>CLFF_1000$$$DE20538431</t>
  </si>
  <si>
    <t>CLFF_1000$$$DE20567105</t>
  </si>
  <si>
    <t>CLFF_1000$$$DE10538431</t>
  </si>
  <si>
    <t>CLFF_1000$$$DE10649700</t>
  </si>
  <si>
    <t>CLFF_1000$$$DE10607900</t>
  </si>
  <si>
    <t>CLFF_1000$$$DE20569511</t>
  </si>
  <si>
    <t>CLFF_1000$$$DE20675101</t>
  </si>
  <si>
    <t>FR7052459</t>
  </si>
  <si>
    <t>FR7051681</t>
  </si>
  <si>
    <t>CSCALA_1820$A064 Field Force in New Zealand</t>
  </si>
  <si>
    <t>FR7051498</t>
  </si>
  <si>
    <t xml:space="preserve">CLFF_1000$$$DE10GT8764 </t>
  </si>
  <si>
    <t xml:space="preserve">CORAERP_MMOR1975.9760 </t>
  </si>
  <si>
    <t xml:space="preserve">IPHOENX_000400753223 </t>
  </si>
  <si>
    <t>CORAERP_MMO$R1975.CXHQ</t>
  </si>
  <si>
    <t>FR7057938</t>
  </si>
  <si>
    <t>CNOW_7210$$$0000015104 DE RS Administration Steinheim</t>
  </si>
  <si>
    <t>CNOW_7210$$$0000015304 DE RS Inbound-Steinheim</t>
  </si>
  <si>
    <t>CNOW_7210$$$0000015305 DE RS Workshop Chemie GmbH</t>
  </si>
  <si>
    <t>CNOW_7210$$$0000015320 DE RS Goods In</t>
  </si>
  <si>
    <t>CNOW_7210$$$0000015350 DE RS Inventory-Steinheim</t>
  </si>
  <si>
    <t>CNOW_7210$$$0000015355 DE RS EHS</t>
  </si>
  <si>
    <t>CNOW_7210$$$0000015360 DE RS waste</t>
  </si>
  <si>
    <t>CNOW_7210$$$0000015404 DE RS Dispatch - Steinheim</t>
  </si>
  <si>
    <t>CNOW_7210$$$0000015504 DE RS Export-Shipping-Steinheim</t>
  </si>
  <si>
    <t>CNOW_7210$$$0000015520 DE RS Sales Support Steinheim</t>
  </si>
  <si>
    <t>CNOW_7210$$$0000015550 DE RS Quality Control</t>
  </si>
  <si>
    <t>CNOW_7210$$$0000015570 DE RS Compliance</t>
  </si>
  <si>
    <t>CNOW_7210$$$0000015600 DE SAFC Filling Station Bulk / F&amp;F</t>
  </si>
  <si>
    <t>CNOW_7210$$$0000015610 DE RS Lables &amp; Prepack Filling</t>
  </si>
  <si>
    <t>CNOW_7210$$$0000015611 DE RS Etikettierungg</t>
  </si>
  <si>
    <t>CNOW_7210$$$0000015614 DE RS Etikettendruck</t>
  </si>
  <si>
    <t>CNOW_7210$$$0000015615 DE SAFC Food Filling</t>
  </si>
  <si>
    <t>CNOW_7210$$$0000015620 DE RS Air Sensitive Filling</t>
  </si>
  <si>
    <t>CNOW_7210$$$0000015710 DE RS Purchasing/Sourcing</t>
  </si>
  <si>
    <t>CNOW_7210$$$0000015919 STH MAOH CCV</t>
  </si>
  <si>
    <t>CNOW_7210$$$0000015940 STH MAOH CCV</t>
  </si>
  <si>
    <t>CNOW_7210$$$0000015941 STH TOLSO charges</t>
  </si>
  <si>
    <t>CNOW_7210$$$0000015995 DE RS SG&amp;A KG Steinheim</t>
  </si>
  <si>
    <t>CNOW_7210$$$0000051910 DE SAFC Filling Station Bulk / F&amp;F</t>
  </si>
  <si>
    <t>CNOW_7210$$$0000051911 DE-PC SAFC Filling Station Bulk/F&amp;F</t>
  </si>
  <si>
    <t>CNOW_7210$$$0000051912 DE-PC RS Lables &amp; Prepack Filling</t>
  </si>
  <si>
    <t>CNOW_7210$$$0000051914 DE-PC SAFC Food Filling</t>
  </si>
  <si>
    <t>CNOW_7210$$$0000051915 DE-PC RS Air Sensitive Filling</t>
  </si>
  <si>
    <t>CNOW_7210$$$0000051926 DE RE CoGs Logistic - Steinheim</t>
  </si>
  <si>
    <t>CNOW_7210$$$0000051936 DE-PC RS Pilot Plant Production</t>
  </si>
  <si>
    <t>CNOW_7210$$$0000051937 DE BT Sigma Genosys Production</t>
  </si>
  <si>
    <t>CNOW_7210$$$0000052070 ICON DE 15104</t>
  </si>
  <si>
    <t>CNOW_7210$$$0000052074 ICON DE 15305</t>
  </si>
  <si>
    <t>CNOW_7210$$$0000052077 ICON DE 15550</t>
  </si>
  <si>
    <t>CNOW_7210$$$0000052078 ICON DE 15600</t>
  </si>
  <si>
    <t>CNOW_7210$$$0000052079 ICON DE 15610</t>
  </si>
  <si>
    <t>CNOW_7210$$$0000052080 ICON DE 15611</t>
  </si>
  <si>
    <t>CNOW_7210$$$0000052081 ICON DE 15614</t>
  </si>
  <si>
    <t>CNOW_7210$$$0000052082 ICON DE 15615</t>
  </si>
  <si>
    <t>CNOW_7210$$$0000052083 ICON DE 15620</t>
  </si>
  <si>
    <t>CNOW_7210$$$0000052084 ICON DE 15320</t>
  </si>
  <si>
    <t>CNOW_7210$$$0000052085 ICON DE 15350</t>
  </si>
  <si>
    <t>CNOW_7210$$$0000052086 ICON DE 15355</t>
  </si>
  <si>
    <t>CNOW_7210$$$0000052087 ICON DE 15360</t>
  </si>
  <si>
    <t>CNOW_7210$$$0000052088 ICON DE 15404</t>
  </si>
  <si>
    <t>CNOW_7210$$$0000052090 ICON DE 15570</t>
  </si>
  <si>
    <t>CNOW_7210$$$0000052093 ICON DE 15710</t>
  </si>
  <si>
    <t>CNOW_7210$$$0000052157 STH MAOH Absorption</t>
  </si>
  <si>
    <t>CNOW_7210$$$0000052172 ICON DE 15941</t>
  </si>
  <si>
    <t>CNOW_7210$$$0000058241 STH R&amp;D Production</t>
  </si>
  <si>
    <t>CNOW_7210$$$0000058242 STH Lab Production</t>
  </si>
  <si>
    <t>CNOW_7210$$$0000058243 STH Pilot Plant Production</t>
  </si>
  <si>
    <t>CNOW_7210$$$0000058244 STH Poduction General</t>
  </si>
  <si>
    <t>CNOW_7210$$$0000058245 STH Oligo Production</t>
  </si>
  <si>
    <t>CNOW_7210$$$0000058251 STH Apprentices Production</t>
  </si>
  <si>
    <t>CNOW_7210$$$0000058261 STH Other Inc/Exp Production</t>
  </si>
  <si>
    <t>L000012426</t>
  </si>
  <si>
    <t>FR7057554</t>
  </si>
  <si>
    <t>CNOW_7210$$$0000051654 Payroll Vendor</t>
  </si>
  <si>
    <t>CNOW_7210$$$0000051644 Payroll Vendor</t>
  </si>
  <si>
    <t>CORAERP_MMOR1975.2738 MBS Hub Wroclaw</t>
  </si>
  <si>
    <t>CLFF_1000$$$ZA50GIT10C</t>
  </si>
  <si>
    <t>CLFF_1000$$$EE50GIT00C</t>
  </si>
  <si>
    <t>CLFF_1000$$$KE50GIT10B</t>
  </si>
  <si>
    <t>CLFF_1000$$$KE50GIT10C</t>
  </si>
  <si>
    <t>CNOW_7210$$$0000051458</t>
  </si>
  <si>
    <t>FR7061005</t>
  </si>
  <si>
    <t>FR7064092</t>
  </si>
  <si>
    <t>CLFF_1000$$$DE10G69660</t>
  </si>
  <si>
    <t>CLFF_1000$$$DE20506400</t>
  </si>
  <si>
    <t>FR7067731</t>
  </si>
  <si>
    <t>G000000353</t>
  </si>
  <si>
    <t>FR7070747</t>
  </si>
  <si>
    <t>Already mapped but not yet replicated in TM1.</t>
  </si>
  <si>
    <t>FR7076100</t>
  </si>
  <si>
    <t>CLFF_1000$$$DE10GIT04K</t>
  </si>
  <si>
    <t>G000000893</t>
  </si>
  <si>
    <t>CLFF_7210$$$2034C00019 Hub Organoids</t>
  </si>
  <si>
    <t>L000007871</t>
  </si>
  <si>
    <t>FR7079666</t>
  </si>
  <si>
    <t>FR7081100</t>
  </si>
  <si>
    <t>Marvin Graef</t>
  </si>
  <si>
    <t>Requested node is non-existent. Reached out with the requester.</t>
  </si>
  <si>
    <t>CNOW_7210$$$0000051707 LS-IT-N BUSINESS PARTNER GLOBAL</t>
  </si>
  <si>
    <t>CNOW_7210$$$0000023582 LS ERP-IT ONE ERP</t>
  </si>
  <si>
    <t>CNOW_7210$$$0000057565 LS ERP-IT ONE ERP</t>
  </si>
  <si>
    <t>CNOW_7210$$$0000265235 LS ERP-IT ONE ERP</t>
  </si>
  <si>
    <t>FR7083726</t>
  </si>
  <si>
    <t>CITR_1000$$$1721IT041</t>
  </si>
  <si>
    <t>FR7084082</t>
  </si>
  <si>
    <t>G000000244</t>
  </si>
  <si>
    <t>FR7084367</t>
  </si>
  <si>
    <t>CLFF_7210$$$2123L28514 SBS Creative Services</t>
  </si>
  <si>
    <t>CLFF_7210$$$2123OF0002 SBS Green Chem Support</t>
  </si>
  <si>
    <t>CLFF_7210$$$2123OF0004 Bus &amp; Comp Intel</t>
  </si>
  <si>
    <t>CEMERAL_70006203991602 MM-SIAL Cross charge</t>
  </si>
  <si>
    <t>CLFF_7210$$$2123L70001 SBS - Administration</t>
  </si>
  <si>
    <t>CLFF_7210$$$2123C00113 LS PS Integrated Marketing Marcom</t>
  </si>
  <si>
    <t>CLFF_7210$$$2123C00108 Commercial Ed APAC</t>
  </si>
  <si>
    <t>CLFF_7210$$$2123C00070 AS - MSX MarCom SBS</t>
  </si>
  <si>
    <t>CLFF_7210$$$2123C00028 SBS Pricing Team AS</t>
  </si>
  <si>
    <t>CLFF_7210$$$2123C00053 AS Analytics</t>
  </si>
  <si>
    <t>CLFF_7210$$$2123C00056 RS Strategy Analytics &amp; Insights</t>
  </si>
  <si>
    <t>CLFF_7210$$$2123OF0011 SLS S&amp;S Global Projects</t>
  </si>
  <si>
    <t>CLFF_7210$$$2123C00071 BM - SBS Marketing Operations</t>
  </si>
  <si>
    <t>CLFF_7210$$$2123C00080 BM - SBS Copernic Marketing Service</t>
  </si>
  <si>
    <t>CLFF_7210$$$2123C00079 BM -Â SBS Strategic Initiatives</t>
  </si>
  <si>
    <t>CLFF_7210$$$2123C00075 SBS Digital Sales BM IN</t>
  </si>
  <si>
    <t>CLFF_7210$$$2123C00094 DxRM SBS</t>
  </si>
  <si>
    <t>CLFF_7210$$$2123C00067 SBS-Digital Specialist</t>
  </si>
  <si>
    <t>CLFF_7210$$$2123CS0001 LW WE Service SBS support</t>
  </si>
  <si>
    <t>CLFF_7210$$$2123CS0003 LW NA Service SBS Support</t>
  </si>
  <si>
    <t>CLFF_7210$$$2123CS0057 LW Marketing OPS SBS</t>
  </si>
  <si>
    <t>CLFF_7210$$$2123R00007 LW SBS Marketing Operations</t>
  </si>
  <si>
    <t>CLFF_7210$$$2123C00023 Blue on Red</t>
  </si>
  <si>
    <t>CLFF_7210$$$2123C00029 AS Digital Content</t>
  </si>
  <si>
    <t>CLFF_7210$$$2123C08497 XXXSBS Content Curation - LS</t>
  </si>
  <si>
    <t>CLFF_7210$$$2123C08528 SMI - SBS Product Ideation</t>
  </si>
  <si>
    <t>EMERAL_70006203991606 SBS Digital Marketing &amp; Prd Mgt</t>
  </si>
  <si>
    <t>CEMERAL_70006203991606 SBS Digital Marketing &amp; Prd Mgt</t>
  </si>
  <si>
    <t>CLFF_7210$$$2123C00031 SBS LSC DC&amp;S Support</t>
  </si>
  <si>
    <t>CLFF_7210$$$2123C00033 SBS LSC CS K Support</t>
  </si>
  <si>
    <t>CLFF_7210$$$2123C00034 SBS LSC PM Support</t>
  </si>
  <si>
    <t>CLFF_7210$$$2123C00062 Marketing Expense: PM Ops</t>
  </si>
  <si>
    <t>CLFF_7210$$$2123C00072 CL Operations India</t>
  </si>
  <si>
    <t>CLFF_7210$$$2123C00142 Marketing Expense</t>
  </si>
  <si>
    <t>CLFF_7210$$$2123C08515 SBS - SMI NPI</t>
  </si>
  <si>
    <t>CLFF_7210$$$2123C00002 R&amp;A Com - Technical Support</t>
  </si>
  <si>
    <t>CLFF_7210$$$2123C00003 R&amp;A Com - Cash Collection</t>
  </si>
  <si>
    <t>CLFF_7210$$$2123C00005 R&amp;A Com - Cash Collection NA</t>
  </si>
  <si>
    <t>CLFF_7210$$$2123C00058 AS Sales Enablement CRM SBS</t>
  </si>
  <si>
    <t>CLFF_7210$$$2123C00063 AS Sales Enablement TMIC SBS</t>
  </si>
  <si>
    <t>CLFF_7210$$$2123C00066 SBS Sales Enablement NA</t>
  </si>
  <si>
    <t>CLFF_7210$$$2123C08471 R&amp;A Com - Customer Service</t>
  </si>
  <si>
    <t>CLFF_7210$$$2123C0BS03 SBS-R&amp;A SSO NA</t>
  </si>
  <si>
    <t>CLFF_7210$$$2123C0BS04 SBS-R&amp;A CEx Eff NA</t>
  </si>
  <si>
    <t>CLFF_7210$$$2123C0BS08 SBS-R&amp;A CEX Latam</t>
  </si>
  <si>
    <t>CLFF_7210$$$2123C0BS09 SBS-R&amp;A Cash Collection Latam</t>
  </si>
  <si>
    <t>CLFF_7210$$$2123C00042 SBS Cust Serv APAC</t>
  </si>
  <si>
    <t>CLFF_7210$$$2123C00050 Mktg Employee Exp</t>
  </si>
  <si>
    <t>CLFF_7210$$$2123C00061 AAIT - SBS India (SIAL)</t>
  </si>
  <si>
    <t>CLFF_7210$$$2123C00068 L &amp; P Management-APAC</t>
  </si>
  <si>
    <t>CLFF_7210$$$2123C00082 APAC MSX SBS</t>
  </si>
  <si>
    <t>CLFF_7210$$$2123C00004 Com - Cash Collection WE</t>
  </si>
  <si>
    <t>CLFF_7210$$$2123C00007 R&amp;A Com - Customer Service WE</t>
  </si>
  <si>
    <t>CLFF_7210$$$2123C00043 SBS Sales Enablement</t>
  </si>
  <si>
    <t>CLFF_7210$$$2123C00044 SBS Tech Service-Field Marketing-SFDC</t>
  </si>
  <si>
    <t>CLFF_7210$$$2123C00045 SBS TchSrv EMEA APAC</t>
  </si>
  <si>
    <t>CLFF_7210$$$2123C00074 SBS Pharma WE</t>
  </si>
  <si>
    <t>CLFF_7210$$$2123C00085 SBS Demand Planning - Order Management</t>
  </si>
  <si>
    <t>CLFF_7210$$$2123C00091 DARwin Field Marketing support</t>
  </si>
  <si>
    <t>CLFF_7210$$$2123C08478 SMI - SBS Strategic Pricing</t>
  </si>
  <si>
    <t>CLFF_7210$$$2123C08504 R&amp;A Com - CRM support</t>
  </si>
  <si>
    <t>CLFF_7210$$$2123C0BS05 CEx BPEX WE</t>
  </si>
  <si>
    <t>CLFF_7210$$$2123C0BS06 CEx Customer Focus</t>
  </si>
  <si>
    <t>CLFF_7210$$$2123C0BS07 CEx Customer Focus</t>
  </si>
  <si>
    <t>EMERAL_70006203991604 MM-SIAL Cross charge</t>
  </si>
  <si>
    <t>CEMERAL_70006203991604 MM-SIAL Cross charge</t>
  </si>
  <si>
    <t>CLFF_7210$$$2123C00011 SMI - SBS Product Management</t>
  </si>
  <si>
    <t>CLFF_7210$$$2123C00078 Cell Culture SBS 2</t>
  </si>
  <si>
    <t>CLFF_7210$$$2123C08519 SBS - SMI Product Support</t>
  </si>
  <si>
    <t>CLFF_7210$$$2123OF0010 SBS RPA Digitalization &amp; Automation</t>
  </si>
  <si>
    <t>CLFF_7210$$$2123OF0018 SBS CTS Order Entry</t>
  </si>
  <si>
    <t>CLFF_7210$$$2123C00009 SBS - PS Com Analytics</t>
  </si>
  <si>
    <t>CLFF_7210$$$2123C00022 SBS PS-Com analytics</t>
  </si>
  <si>
    <t>CLFF_7210$$$2123C00098 SBS Commercial Excellence NA PS</t>
  </si>
  <si>
    <t>CLFF_7210$$$2123C00103 SFDC Automation Project</t>
  </si>
  <si>
    <t>CLFF_7210$$$2123C00102 SBS P&amp;FM business operations</t>
  </si>
  <si>
    <t>CLFF_7210$$$2123OF0009 Business Performance - Reporting &amp; Tools</t>
  </si>
  <si>
    <t>CLFF_7210$$$2123TPSZ91 SBS Direct Purchasing Team</t>
  </si>
  <si>
    <t>CLFF_7210$$$2123TPSZ93 SBS RPA ISCO support</t>
  </si>
  <si>
    <t>CLFF_7210$$$2123L80001 SBS RPA Danvers ISCO</t>
  </si>
  <si>
    <t>CLFF_7210$$$2123TPSZ90 SBS Supply Chain</t>
  </si>
  <si>
    <t>CLFF_7210$$$2123TQJZ94 SBS RPA for APAC Warehouse</t>
  </si>
  <si>
    <t>CLFF_7210$$$2123OF0015 Digital COE Project Management</t>
  </si>
  <si>
    <t>CLFF_7210$$$2123L50024 LS-QD MDM</t>
  </si>
  <si>
    <t>CLFF_7210$$$2123L58472 LS-Q Regulatory - SBS IN</t>
  </si>
  <si>
    <t>CLFF_7210$$$2123L50006 LS-QD SBS Support</t>
  </si>
  <si>
    <t>CLFF_7210$$$2123L50005 LS-QH SBS Support</t>
  </si>
  <si>
    <t>CLFF_7210$$$2123L50003 LS-QS SBS Support</t>
  </si>
  <si>
    <t>CLFF_7210$$$2123L50004 LS-QR SBS Support</t>
  </si>
  <si>
    <t>CLFF_7210$$$2123C00112 SBS Enabling Sourcing</t>
  </si>
  <si>
    <t>CLFF_7210$$$2123OF0025 SBS PS Value Stream</t>
  </si>
  <si>
    <t>CLFF_7210$$$2123OF0024 SBS WCOGS Support</t>
  </si>
  <si>
    <t>CLFF_7210$$$2123OF0021 SBS ISCO AEM Support</t>
  </si>
  <si>
    <t>OL000013741_I GSS - SLS (direct input)</t>
  </si>
  <si>
    <t>OL000013752_I GSS - LSS (direct input)</t>
  </si>
  <si>
    <t>OL000013754_I GSS - PS (direct input)</t>
  </si>
  <si>
    <t>OL000013757_I GSS - ISCO (direct input)</t>
  </si>
  <si>
    <t>OL000013761_I Enabling Functions GSS COE (direct input)</t>
  </si>
  <si>
    <t>G000001314</t>
  </si>
  <si>
    <t>G000001315</t>
  </si>
  <si>
    <t>G000001319</t>
  </si>
  <si>
    <t>G000001303</t>
  </si>
  <si>
    <t>G000001287</t>
  </si>
  <si>
    <t>G000001322</t>
  </si>
  <si>
    <t>G000001288</t>
  </si>
  <si>
    <t>G000001323</t>
  </si>
  <si>
    <t>G000001289</t>
  </si>
  <si>
    <t>G000001290</t>
  </si>
  <si>
    <t>G000001291</t>
  </si>
  <si>
    <t>G000001292</t>
  </si>
  <si>
    <t>G000001293</t>
  </si>
  <si>
    <t>G000001294</t>
  </si>
  <si>
    <t>G000001295</t>
  </si>
  <si>
    <t>G000001296</t>
  </si>
  <si>
    <t>G000001334</t>
  </si>
  <si>
    <t>G000001299</t>
  </si>
  <si>
    <t>G000001337</t>
  </si>
  <si>
    <t>G000001302</t>
  </si>
  <si>
    <t>G000001306</t>
  </si>
  <si>
    <t>G000001341</t>
  </si>
  <si>
    <t>G000001307</t>
  </si>
  <si>
    <t>G000001343</t>
  </si>
  <si>
    <t>G000001316</t>
  </si>
  <si>
    <t>G000001317</t>
  </si>
  <si>
    <t>G000001352</t>
  </si>
  <si>
    <t>G000001318</t>
  </si>
  <si>
    <t>G000001309</t>
  </si>
  <si>
    <t>G000001310</t>
  </si>
  <si>
    <t>G000001311</t>
  </si>
  <si>
    <t>G000000184</t>
  </si>
  <si>
    <t>L000013558</t>
  </si>
  <si>
    <t>Mapped in Trash</t>
  </si>
  <si>
    <t>CPHOENX_01010000648610 CDMO mRNA Quality</t>
  </si>
  <si>
    <t>CPHOENX_01010000604750 mRNA QC Quality</t>
  </si>
  <si>
    <t>CPHOENX_01010000648912 CDMO mRNA QC Hamburg</t>
  </si>
  <si>
    <t>CPHOENX_01010000648916 CDMO mRNA Management Darmstadt/Hamburg</t>
  </si>
  <si>
    <t>CPHOENX_01010000648913 CDMO mRNA Engineering</t>
  </si>
  <si>
    <t>CPHOENX_01010000648921 Alloc. PPA Amptec to RPP Amort Intang</t>
  </si>
  <si>
    <t>CPHOENX_01010000648914 CDMO mRNA Supply Chain</t>
  </si>
  <si>
    <t>CPHOENX_01010000648915 Site HH General &amp; EHS</t>
  </si>
  <si>
    <t>CPHOENX_01010000648917 CDMO mRNA IT/OT</t>
  </si>
  <si>
    <t>L000013824</t>
  </si>
  <si>
    <t>L000013825</t>
  </si>
  <si>
    <t>CLFF_VMCA$$$US20Z01000 Automatic Account Assignment OKB9</t>
  </si>
  <si>
    <t>CLFF_VMCA$$$US16Z01000 Automatic Account Assignment OKB9</t>
  </si>
  <si>
    <t>CLFF_VMCA$$$US14Z01000 Automatic Account Assignment OKB9</t>
  </si>
  <si>
    <t>CLFF_VMCA$$$US15Z01000 Automatic Account Assignment OKB9</t>
  </si>
  <si>
    <t>CLFF_1000$$$US01TNHZ06 EL-SC-E Capital Efficiency &amp; Project Dev</t>
  </si>
  <si>
    <t>CLFF_1000$$$TW03TOKA00 EL-SC-E Capital Efficiency &amp; Project Dev</t>
  </si>
  <si>
    <t>CLFF_1000$$$US01TNHZ05 EL-SC-E Global Techn. &amp; Engineering SMEs</t>
  </si>
  <si>
    <t>CLFF_1000$$$US01TN0001 US ELDP Central CC</t>
  </si>
  <si>
    <t>CLFF_VMCA$$$US10TN2100 US ELDP Central CC</t>
  </si>
  <si>
    <t>CLFF_VMCA$$$CN10C01004 RedOx Operations Technology</t>
  </si>
  <si>
    <t>CFLTFLE_2152IMIPARVR02 AR VR Pilot Line</t>
  </si>
  <si>
    <t>FR7088415</t>
  </si>
  <si>
    <t>P000001191</t>
  </si>
  <si>
    <t>P000001187</t>
  </si>
  <si>
    <t>P000001193</t>
  </si>
  <si>
    <t>P000000649</t>
  </si>
  <si>
    <t>FR7089970</t>
  </si>
  <si>
    <t>CPRJ-9820230002 ALISERTIB, MLN 8237 ML8 Puma</t>
  </si>
  <si>
    <t>CPRJ-9820230003 SSP IMMUNOGEN</t>
  </si>
  <si>
    <t>CPRJ-13870 GY3 Non-GMP Production for Oncternal</t>
  </si>
  <si>
    <t>CPRJ-9820220011 RED-601(ER6) Exelixis Development</t>
  </si>
  <si>
    <t>IPHOENX_000400762139 Telios Cogs</t>
  </si>
  <si>
    <t>FR7088452</t>
  </si>
  <si>
    <t>D00120400000000 SDC-OLED-IT-T2 prime</t>
  </si>
  <si>
    <t>D00124000000000 Unity-SC Cross-collaborations</t>
  </si>
  <si>
    <t>D00124200000000 CSOT-OLED-Mobile-C11</t>
  </si>
  <si>
    <t>D00124300000000 Exploration of New Ideas AR/VR</t>
  </si>
  <si>
    <t>D00124400000000 LCOS</t>
  </si>
  <si>
    <t>ITEMPEU_001300003831 Exploration of new ideas AR/VR UK</t>
  </si>
  <si>
    <t>P000001233</t>
  </si>
  <si>
    <t>P000001229</t>
  </si>
  <si>
    <t>P000001252</t>
  </si>
  <si>
    <t>P000001266</t>
  </si>
  <si>
    <t>P000001265</t>
  </si>
  <si>
    <t>CTEMPLA_1000UY10100019</t>
  </si>
  <si>
    <t>CTEMPLA_1000UY10100028</t>
  </si>
  <si>
    <t>G000000758</t>
  </si>
  <si>
    <t>G000000200</t>
  </si>
  <si>
    <t>FR7088907</t>
  </si>
  <si>
    <t>FR7091332</t>
  </si>
  <si>
    <t xml:space="preserve">CLFF_1000$$$DE20538341 </t>
  </si>
  <si>
    <t xml:space="preserve">CLFF_1000$$$DE10538341 </t>
  </si>
  <si>
    <t>G000000527</t>
  </si>
  <si>
    <t>G000001079</t>
  </si>
  <si>
    <t>FR7093701</t>
  </si>
  <si>
    <t>CPHOENX_01010000642900 SAC mRNA Management Darmstadt/Hamburg</t>
  </si>
  <si>
    <t>L000013891</t>
  </si>
  <si>
    <t>FR7099869</t>
  </si>
  <si>
    <t>D00124100000000 DSA JDP with IMEC</t>
  </si>
  <si>
    <t>CLFF_KR00$$$KR03C00402 SM - Project Management</t>
  </si>
  <si>
    <t>CLFF_1000$$$US01C01107 Congresses &amp; Events PM-I NA</t>
  </si>
  <si>
    <t>CTEMPEU_1000PL80L30009 SPICE Carve Out</t>
  </si>
  <si>
    <t>CTEMPLA_1000UY10100044 SPICE Carve Out</t>
  </si>
  <si>
    <t>CFLTFLE_1044PMSP Project SPICE</t>
  </si>
  <si>
    <t>P000001015</t>
  </si>
  <si>
    <t>P000000959</t>
  </si>
  <si>
    <t>P000001207</t>
  </si>
  <si>
    <t>P000001201</t>
  </si>
  <si>
    <t>FR7099781</t>
  </si>
  <si>
    <t>G000001174</t>
  </si>
  <si>
    <t xml:space="preserve">CLFF_1000$$$ZA50GM2260 </t>
  </si>
  <si>
    <t>FR7098702</t>
  </si>
  <si>
    <t>G000001175</t>
  </si>
  <si>
    <t>Mapped already.</t>
  </si>
  <si>
    <t>FR7102758</t>
  </si>
  <si>
    <t>CLFF_1000$$$AE50GCO220 HC Lumina</t>
  </si>
  <si>
    <t>CTEMPEU_1000PL80860000 ONE LS ERP - MBS Finance reclass</t>
  </si>
  <si>
    <t>CTEMPNA_1000PH80860000 ONE LS ERP - MBS Finance reclass</t>
  </si>
  <si>
    <t>CNOW_7210$$$0000010298 ONE LS ERP - Quality</t>
  </si>
  <si>
    <t>CLFF_1000$$$DE10OF0005 T&amp;E - LS ERP other</t>
  </si>
  <si>
    <t>CLFF_7210$$$2123OF0029 T&amp;E_IN - other LS ERP</t>
  </si>
  <si>
    <t>CNOW_7210$$$0000052114 T&amp;E - other LS ERP</t>
  </si>
  <si>
    <t>CPHOENX_01010000860002 T&amp;E - other LS ERP</t>
  </si>
  <si>
    <t>CNOW_7210$$$0000010584 T&amp;E - other LS ERP</t>
  </si>
  <si>
    <t>CORAERP_MMOR1975.9945 9945 IT T&amp;E - other ERP projects</t>
  </si>
  <si>
    <t>FR7105221</t>
  </si>
  <si>
    <t>L000013798</t>
  </si>
  <si>
    <t>FR7105779</t>
  </si>
  <si>
    <t>CLFF_VMCA$$$DE10GIN006 DivCo Insurance DE10</t>
  </si>
  <si>
    <t>CLFF_VMCA$$$DE10GM1008 MBS FI Trans Costs</t>
  </si>
  <si>
    <t>CLFF_VMCA$$$DE10GM2000 Bank and Audit Fees</t>
  </si>
  <si>
    <t>CLFF_VMCA$$$DE10GM4009 MBS HR Trans Costs</t>
  </si>
  <si>
    <t>CLFF_VMCA$$$DE10GM8003 MBS B&amp;P Trans Costs</t>
  </si>
  <si>
    <t>CLFF_VMCA$$$KR08GLE009 XXX_Legal BP LS GM5</t>
  </si>
  <si>
    <t>CLFF_VMCA$$$KR11GLE006 XXXLegal BP LS GM5XXX</t>
  </si>
  <si>
    <t>CLFF_VMCA$$$KR15GLE006 XXXLegal BP LS GM5XXX</t>
  </si>
  <si>
    <t>CLFF_VMCA$$$KR16GLE006 XXXLegal BP LS GM5XXX</t>
  </si>
  <si>
    <t>CLFF_VMCA$$$SG10GM2004 SG ALLN X-CHG</t>
  </si>
  <si>
    <t>O000000007</t>
  </si>
  <si>
    <t>DE1XGIN006</t>
  </si>
  <si>
    <t>DE1XGM1008</t>
  </si>
  <si>
    <t>DE1XGM4009</t>
  </si>
  <si>
    <t>DE1XGM8003</t>
  </si>
  <si>
    <t>FR7105658</t>
  </si>
  <si>
    <t>PTEMPNA_US201PIOMEVCXPR01</t>
  </si>
  <si>
    <t>PTEMPNA_US201PIOMCCGVPR01</t>
  </si>
  <si>
    <t>PTEMPNA_US201PIOMCCGVPR00</t>
  </si>
  <si>
    <t>PTEMPNA_US201PIOMCCGVPR02</t>
  </si>
  <si>
    <t>H000003686</t>
  </si>
  <si>
    <t>H000003684</t>
  </si>
  <si>
    <t>DE1XGM2000 - Both found</t>
  </si>
  <si>
    <t>FR7109079</t>
  </si>
  <si>
    <t>CNOW_AUS0$$$0000092002</t>
  </si>
  <si>
    <t>CFLTFLE_10548-141-ECOM</t>
  </si>
  <si>
    <t>OUY_3110250000_BF-C2_1823</t>
  </si>
  <si>
    <t>L000006137</t>
  </si>
  <si>
    <t>L000008508</t>
  </si>
  <si>
    <t>H000000381</t>
  </si>
  <si>
    <t>No actions needed from us.</t>
  </si>
  <si>
    <t>FR7108808</t>
  </si>
  <si>
    <t>CLFF_1000$$$CN50C01602 CMCSS R1</t>
  </si>
  <si>
    <t>H000001344</t>
  </si>
  <si>
    <t>CLFF_1000$$$CN90L50000 Local EHS</t>
  </si>
  <si>
    <t>H000001596</t>
  </si>
  <si>
    <t>CLFF_1000$$$CN90L80001 Internal Audit</t>
  </si>
  <si>
    <t>PLEAN_X310001CN5013611 SIT COM C&amp;E Pimi Blue paper</t>
  </si>
  <si>
    <t>H000001595</t>
  </si>
  <si>
    <t>PLEAN_X310101CN5013351 ERB COM C&amp;E Market access for Sales team</t>
  </si>
  <si>
    <t>H000001419</t>
  </si>
  <si>
    <t>PLEAN_X310101CN5013352 ERB COM C&amp;E Market access for Sales team</t>
  </si>
  <si>
    <t>PLEAN_X310101CN5013610 ERB COM C&amp;E BioS differentiation</t>
  </si>
  <si>
    <t>PLEAN_X310111CN5015001 O59 COM PROM OTH 影像科调研(biomarker)</t>
  </si>
  <si>
    <t>H000004390</t>
  </si>
  <si>
    <t>PLEAN_X310111CN5015002 O59 COM PROM OTH Disease awarenees -人民日报</t>
  </si>
  <si>
    <t>PLEAN_X310111CN5015003 O59 COM PROM OTH Disease awarenees -患者组织</t>
  </si>
  <si>
    <t>PLEAN_X310111CN5015004 O59 COM PROM OTH Paitents story (wording</t>
  </si>
  <si>
    <t>PLEAN_X310111CN5015005 O59 COM PROM OTH Pimi白皮书-患者对疾病认知的调研</t>
  </si>
  <si>
    <t>PLEAN_X310111CN5015006 O59 COM PROM OTH Market Research-TGCT Tr</t>
  </si>
  <si>
    <t>PLEAN_X310111CN5015500 O59 COM PROM OTH Global funding-Pimi</t>
  </si>
  <si>
    <t>PLEAN_X310112CN5023302 O59 MED MED OTH TGCT Medical Activities</t>
  </si>
  <si>
    <t>H000004392</t>
  </si>
  <si>
    <t>PLEAN_X310201CN5010271 FD COM PROM Fewer and Complete campaign</t>
  </si>
  <si>
    <t>H000001491</t>
  </si>
  <si>
    <t>PLEAN_X310201CN5011201 FD COM ADV Gonal-f 30 years</t>
  </si>
  <si>
    <t>H000001487</t>
  </si>
  <si>
    <t>PLEAN_X310201CN5013372 FD COM C&amp;E Better Campaign</t>
  </si>
  <si>
    <t>H000001489</t>
  </si>
  <si>
    <t>PLEAN_X310201CN5013373 FD COM C&amp;E Bridge Campaign</t>
  </si>
  <si>
    <t>PLEAN_X310201CN5013374 FD COM C&amp;E Project Future</t>
  </si>
  <si>
    <t>PLEAN_X310201CN5013375 FD COM C&amp;E Hand in hand campaign</t>
  </si>
  <si>
    <t>PLEAN_X310201CN5013376 FD COM C&amp;E Fertility preservation</t>
  </si>
  <si>
    <t>PLEAN_X310201CN5013609 FD COM C&amp;E 辅助生殖十五五规划研究/立法研究</t>
  </si>
  <si>
    <t>PLEAN_X310201CN5015307 FD COM PROM OTH 国药诚信数据</t>
  </si>
  <si>
    <t>H000001486</t>
  </si>
  <si>
    <t>PLEAN_X310201CN5015308 FD COM PROM OTH Localization of ONE</t>
  </si>
  <si>
    <t>H000001484</t>
  </si>
  <si>
    <t>PLEAN_X310201CN5015309 FD COM PROM OTH Localization of IVF Pro</t>
  </si>
  <si>
    <t>PLEAN_X310201CN5015310 FD COM PROM OTH Localization of PJOS</t>
  </si>
  <si>
    <t>PLEAN_X310201CN5015311 FD COM PROM OTH Localization of PIVOT</t>
  </si>
  <si>
    <t>PLEAN_X310201CN5015312 FD COM PROM OTH Implementation of local</t>
  </si>
  <si>
    <t>PLEAN_X310201CN5015313 FD COM PROM OTH Early access &amp; GMA relat</t>
  </si>
  <si>
    <t>PLEAN_X310202CN5020339 FD MED MED EDU COS guideline</t>
  </si>
  <si>
    <t>H000001517</t>
  </si>
  <si>
    <t>PLEAN_X310202CN5020340 FD MED MED EDU 科研系列交流会</t>
  </si>
  <si>
    <t>PLEAN_X310202CN5023641 FD MED MED OTH RA Gonal-f 150&amp;300&amp;450IU</t>
  </si>
  <si>
    <t>H000001521</t>
  </si>
  <si>
    <t>PLEAN_X310303CN5020256 DIA R&amp;D MED EDU in depth interview</t>
  </si>
  <si>
    <t>H000001505</t>
  </si>
  <si>
    <t>PLEAN_X310303CN5020257 DIA R&amp;D MED EDU DB digital MSL  program</t>
  </si>
  <si>
    <t>PLEAN_X310303CN5020508 DIA R&amp;D MED EDU MA Diabetes congress-off</t>
  </si>
  <si>
    <t>PLEAN_X310303CN5020509 DIA R&amp;D MED EDU MA Diabetes congress-onl</t>
  </si>
  <si>
    <t>PLEAN_X310303CN5023617 DIA R&amp;D MED OTH RA GIR renewal</t>
  </si>
  <si>
    <t>H000001507</t>
  </si>
  <si>
    <t>PLEAN_X310323CN5020257 CAR R&amp;D MED EDU CV digital  MSL program</t>
  </si>
  <si>
    <t>PLEAN_X310323CN5020507 CAR R&amp;D MED EDU CV MA meeting- online</t>
  </si>
  <si>
    <t>PLEAN_X310323CN5020823 CAR R&amp;D MED EDU CV MSL 3rd party regiona</t>
  </si>
  <si>
    <t>PLEAN_X310331CN5013608 THY COM C&amp;E Community Thyriods Eco-syste</t>
  </si>
  <si>
    <t>PLEAN_X310331CN5015210 Hotspot Region Support Project</t>
  </si>
  <si>
    <t>H000001382</t>
  </si>
  <si>
    <t>PLEAN_X310333CN5020821 THY R&amp;D MED EDU TD 3rd party meetings</t>
  </si>
  <si>
    <t>PLEAN_X310333CN5020822 THY R&amp;D MED EDU TD funding</t>
  </si>
  <si>
    <t>PLEAN_X310941CN5015308 TEP COM PROM OTH ONC TT NRDL</t>
  </si>
  <si>
    <t>H000004119</t>
  </si>
  <si>
    <t>CSCALA_1042$BISS_S00</t>
  </si>
  <si>
    <t>H000000423</t>
  </si>
  <si>
    <t>CSCALA_1042$BISS_S30</t>
  </si>
  <si>
    <t>CSCALA_1042$MSMS_C96</t>
  </si>
  <si>
    <t>CSCALA_1042$MSMS_D11</t>
  </si>
  <si>
    <t>CSCALA_1042$MSMS_F98</t>
  </si>
  <si>
    <t>CSCALA_1042$MSMS_W09</t>
  </si>
  <si>
    <t>CSCALA_1042$MSPM_E98</t>
  </si>
  <si>
    <t>CSCALA_1042$MSPM_I56</t>
  </si>
  <si>
    <t>CSCALA_1042$MSPM_T96</t>
  </si>
  <si>
    <t>CSCALA_1042$ONPM_O33</t>
  </si>
  <si>
    <t>CSCALA_1042$ONPM_W59</t>
  </si>
  <si>
    <t>CSCALA_1042$ONPM_W62</t>
  </si>
  <si>
    <t>IEMERAL_000009101231 7001IC1814SI3110250000</t>
  </si>
  <si>
    <t>H000000434</t>
  </si>
  <si>
    <t>IEMERAL_000009101238 7001IC1820SI3110250000</t>
  </si>
  <si>
    <t>FR7108798</t>
  </si>
  <si>
    <t xml:space="preserve">CNOW_7210$$$0000052369 </t>
  </si>
  <si>
    <t>L000009361</t>
  </si>
  <si>
    <t>CNOW_7210$$$P139595864</t>
  </si>
  <si>
    <t xml:space="preserve">CNOW_7210$$$0000057565 </t>
  </si>
  <si>
    <t xml:space="preserve">CNOW_7210$$$0000265235 </t>
  </si>
  <si>
    <t xml:space="preserve">CNOW_7210$$$0000023582 </t>
  </si>
  <si>
    <t>CSCALA_1759$LSWH</t>
  </si>
  <si>
    <t>L000009982</t>
  </si>
  <si>
    <t xml:space="preserve">CORAERP_MMOR1945.4141 </t>
  </si>
  <si>
    <t>L000009919</t>
  </si>
  <si>
    <t>CSCALA_1042$PSCE_999</t>
  </si>
  <si>
    <t>CSCALA_1042$PSCE_P19</t>
  </si>
  <si>
    <t>CSCALA_1042$PSCE_P48</t>
  </si>
  <si>
    <t xml:space="preserve">CORAERP_MMOR1968.5031 </t>
  </si>
  <si>
    <t>L000011585</t>
  </si>
  <si>
    <t xml:space="preserve">CORAERP_MMOR1945.5106 </t>
  </si>
  <si>
    <t>L000011619</t>
  </si>
  <si>
    <t xml:space="preserve">CORAERP_MMOR1945.5148 </t>
  </si>
  <si>
    <t xml:space="preserve">CORAERP_MMOR1975.5951 </t>
  </si>
  <si>
    <t>L000012325</t>
  </si>
  <si>
    <t>FR7109966</t>
  </si>
  <si>
    <t>FR7114891</t>
  </si>
  <si>
    <t>CNOW_7210$$$0000052369</t>
  </si>
  <si>
    <t>L000009356</t>
  </si>
  <si>
    <t>FR7114300</t>
  </si>
  <si>
    <t>CNOW_7210$$$0000015912</t>
  </si>
  <si>
    <t>CNOW_7210$$$0000015909</t>
  </si>
  <si>
    <t>CNOW_7210$$$0000015908</t>
  </si>
  <si>
    <t>L000012340</t>
  </si>
  <si>
    <t>L000010037</t>
  </si>
  <si>
    <t>CPHOENX_01010000639309 SAP Next ERP Implementation</t>
  </si>
  <si>
    <t>L000013805</t>
  </si>
  <si>
    <t>FR7113391</t>
  </si>
  <si>
    <t>FR7113612</t>
  </si>
  <si>
    <t>CLFF_VMCA$$$KR07C06030 Global Quality- SP&amp;C Korea</t>
  </si>
  <si>
    <t>P000000904</t>
  </si>
  <si>
    <t xml:space="preserve">D30010800000000 </t>
  </si>
  <si>
    <t>CEMERAL_64010010991319</t>
  </si>
  <si>
    <t>CEMERAL_64010010991310</t>
  </si>
  <si>
    <t>FR7119096</t>
  </si>
  <si>
    <t>FR7118997</t>
  </si>
  <si>
    <t>CLFF_1000$$$KR02TPAZ06 Customer Fulfillment Excellence Asia</t>
  </si>
  <si>
    <t>P000000468</t>
  </si>
  <si>
    <t>Manually added in the parent node.</t>
  </si>
  <si>
    <t>CSCALA_1721$F07 GBF Oncology</t>
  </si>
  <si>
    <t>H000000162</t>
  </si>
  <si>
    <t>CSCALA_1759$E001</t>
  </si>
  <si>
    <t>H000000161</t>
  </si>
  <si>
    <t>CSCALA_1759$E002</t>
  </si>
  <si>
    <t>CSCALA_1759$E003</t>
  </si>
  <si>
    <t>CSCALA_1759$E004</t>
  </si>
  <si>
    <t>CSCALA_1759$E005</t>
  </si>
  <si>
    <t>CSCALA_1759$E006</t>
  </si>
  <si>
    <t>CSCALA_1759$E007</t>
  </si>
  <si>
    <t>CSCALA_1759$E008</t>
  </si>
  <si>
    <t>CSCALA_1759$E009</t>
  </si>
  <si>
    <t>CSCALA_1759$E010</t>
  </si>
  <si>
    <t>CSCALA_1759$E011</t>
  </si>
  <si>
    <t>CSCALA_1759$E012</t>
  </si>
  <si>
    <t>CSCALA_1759$E013</t>
  </si>
  <si>
    <t>CSCALA_1759$E014</t>
  </si>
  <si>
    <t>CSCALA_1759$E015</t>
  </si>
  <si>
    <t>CSCALA_1759$E016</t>
  </si>
  <si>
    <t>PLEAN_X310161CH6814063 MAP: Pricing, Access &amp; Contracting</t>
  </si>
  <si>
    <t>PLEAN_X310181AE5015601 SP PROM OTHERS-FF4-BAVEN V9</t>
  </si>
  <si>
    <t>PLEAN_X310181IT5030227 BAV Other M&amp;S MAP</t>
  </si>
  <si>
    <t>PLEAN_X310182TN5023200 Bavencio global //UC Advisory Board DZ</t>
  </si>
  <si>
    <t>FR7123793</t>
  </si>
  <si>
    <t>PLEAN_X310201AE5010405 SP PROM MAT-PS-FERT</t>
  </si>
  <si>
    <t>H000000299</t>
  </si>
  <si>
    <t>PLEAN_X310201CH6802049 ESHRE global F04 costs ISS</t>
  </si>
  <si>
    <t>H000000453</t>
  </si>
  <si>
    <t>PLEAN_X310201SA5015301 FER COM-OTHER PROM-SA-GAP</t>
  </si>
  <si>
    <t>H000000303</t>
  </si>
  <si>
    <t>PLEAN_X310201SA5030301 FER COM-OTHER M&amp;S-SA</t>
  </si>
  <si>
    <t>PLEAN_X310301SA5011301 DIA COM-ADVERTISING-SA</t>
  </si>
  <si>
    <t>PLEAN_X310301SA5015303 DIA COM-OTHER PROM-SA</t>
  </si>
  <si>
    <t>PLEAN_X310401AE5013407 SP CONG/EVENTS-SY-ENDO</t>
  </si>
  <si>
    <t>H000000312</t>
  </si>
  <si>
    <t>PLEAN_X310403AE5043402 R&amp;D REGISTRTAION-IQ-ENDO</t>
  </si>
  <si>
    <t>H000000274</t>
  </si>
  <si>
    <t>PLEAN_X310511CH6802043 ECTRIMS Global Costs ISS F04</t>
  </si>
  <si>
    <t>PLEAN_X310511SA5030302 MAV COM-OTHER M&amp;S-SA-REGISTRATION</t>
  </si>
  <si>
    <t>PLEAN_X310942SA5020301 TEP MED-MED EDUCATION-SA</t>
  </si>
  <si>
    <t>FR7122508</t>
  </si>
  <si>
    <t>CTEMPNA_1000PH80GFO119 CAO R2P Benfits North America</t>
  </si>
  <si>
    <t>Mercia Moshitwa</t>
  </si>
  <si>
    <t>FR7122316</t>
  </si>
  <si>
    <t>CSCALA_1820$A100_68</t>
  </si>
  <si>
    <t>FR7121444</t>
  </si>
  <si>
    <t>H000001142</t>
  </si>
  <si>
    <t>CSCALA_1025$ARAM Electricity</t>
  </si>
  <si>
    <t>H000003642</t>
  </si>
  <si>
    <t>CSCALA_1025$8111_V38</t>
  </si>
  <si>
    <t>CSCALA_1025$TAVH Heating</t>
  </si>
  <si>
    <t>CSCALA_1025$VIZ Water</t>
  </si>
  <si>
    <t>CSCALA_1025$6114_E83</t>
  </si>
  <si>
    <t>H000003640</t>
  </si>
  <si>
    <t>CSCALA_1025$5113_E21</t>
  </si>
  <si>
    <t>CSCALA_1025$5111_E81</t>
  </si>
  <si>
    <t>CFLTFLE_2276HRIF_EIC Healthcare CM Croatia Income</t>
  </si>
  <si>
    <t>H000003637</t>
  </si>
  <si>
    <t>FR7121419</t>
  </si>
  <si>
    <t>Parent node is mapped under Trash which makes the object unmappable.</t>
  </si>
  <si>
    <t>FR7126485</t>
  </si>
  <si>
    <t>CLFF_1000$$$DE10505500</t>
  </si>
  <si>
    <t>CLFF_1000$$$DE10550100</t>
  </si>
  <si>
    <t>CLFF_1000$$$DE10559100</t>
  </si>
  <si>
    <t>CLFF_1000$$$DE10566910</t>
  </si>
  <si>
    <t>CLFF_1000$$$DE10580022</t>
  </si>
  <si>
    <t>CLFF_1000$$$DE10580023</t>
  </si>
  <si>
    <t>CLFF_1000$$$DE10580024</t>
  </si>
  <si>
    <t>CLFF_1000$$$DE10580025</t>
  </si>
  <si>
    <t>CLFF_1000$$$DE10580026</t>
  </si>
  <si>
    <t>CLFF_1000$$$DE10580027</t>
  </si>
  <si>
    <t>CLFF_1000$$$DE10580040</t>
  </si>
  <si>
    <t>CLFF_1000$$$DE10628300</t>
  </si>
  <si>
    <t>CLFF_1000$$$DE20675105</t>
  </si>
  <si>
    <t>CLFF_1000$$$DE20675106</t>
  </si>
  <si>
    <t>CLFF_1000$$$DE20995000</t>
  </si>
  <si>
    <t>CLFF_1000$$$DE10889997</t>
  </si>
  <si>
    <t>CLFF_1000$$$DE10889998</t>
  </si>
  <si>
    <t>CLFF_1000$$$DE10889999</t>
  </si>
  <si>
    <t xml:space="preserve">CLFF_1000$$$DE20517200 </t>
  </si>
  <si>
    <t xml:space="preserve">CLFF_1000$$$DE20847204 </t>
  </si>
  <si>
    <t xml:space="preserve">CLFF_1000$$$DE20847205 </t>
  </si>
  <si>
    <t xml:space="preserve">CLFF_1000$$$DE20847206 </t>
  </si>
  <si>
    <t xml:space="preserve">CLFF_1000$$$DE20847207 </t>
  </si>
  <si>
    <t>FR7126398</t>
  </si>
  <si>
    <t>CLFF_1000$$$DE10698316</t>
  </si>
  <si>
    <t>FR7129327</t>
  </si>
  <si>
    <t>G000001280</t>
  </si>
  <si>
    <t>CLFF_VMCA$$$CN09L16005</t>
  </si>
  <si>
    <t>P000000499</t>
  </si>
  <si>
    <t>FR7127745</t>
  </si>
  <si>
    <t>CLFF_1000$$$DE10622600</t>
  </si>
  <si>
    <t>FR7135273</t>
  </si>
  <si>
    <t>CEMERAL_70006301992296</t>
  </si>
  <si>
    <t>CITR_1000$$$3943IT1055</t>
  </si>
  <si>
    <t>CITR_1000$$$ITCC179801</t>
  </si>
  <si>
    <t>CLFF_1000$$$DE10513301</t>
  </si>
  <si>
    <t>CLFF_1000$$$DE10533004</t>
  </si>
  <si>
    <t>CLFF_1000$$$DE65GIT032</t>
  </si>
  <si>
    <t>CLFF_1000$$$VN50GIT050</t>
  </si>
  <si>
    <t>CLFF_1000$$$ZA50GIT11B</t>
  </si>
  <si>
    <t>CLFF_VMCA$$$US10GIT044</t>
  </si>
  <si>
    <t>CNOW_7210$$$0000010256</t>
  </si>
  <si>
    <t>CNOW_7210$$$0000015455</t>
  </si>
  <si>
    <t>CNOW_7210$$$0000051657</t>
  </si>
  <si>
    <t>CNOW_7210$$$0000051660</t>
  </si>
  <si>
    <t>CNOW_7210$$$0000051708</t>
  </si>
  <si>
    <t>CNOW_7210$$$0000057162</t>
  </si>
  <si>
    <t>CORAERP_MMOR1975.9445</t>
  </si>
  <si>
    <t>CSCALA_1042$PMIT</t>
  </si>
  <si>
    <t>CTEMPEU_1000FR40708101</t>
  </si>
  <si>
    <t>CTEMPEU_1000GB10005697</t>
  </si>
  <si>
    <t>FR7132388</t>
  </si>
  <si>
    <t>G000001123</t>
  </si>
  <si>
    <t>H000004183</t>
  </si>
  <si>
    <t>G000001240</t>
  </si>
  <si>
    <t>FX31017400000 Bavencio Franchise</t>
  </si>
  <si>
    <t>H000000888</t>
  </si>
  <si>
    <t>FX31050400000 Rebif Franchise</t>
  </si>
  <si>
    <t>FX31051400000 Mavenclad Franchise</t>
  </si>
  <si>
    <t>X31017400000 Bavencio Franchise</t>
  </si>
  <si>
    <t>X31050400000 Rebif Franchise</t>
  </si>
  <si>
    <t>X31051400000 Mavenclad Franchise</t>
  </si>
  <si>
    <t>FR7131332</t>
  </si>
  <si>
    <t>CLFF_1000$$$DE10600870</t>
  </si>
  <si>
    <t>CLFF_1000$$$DE20553406</t>
  </si>
  <si>
    <t>CLFF_1000$$$DE20553407</t>
  </si>
  <si>
    <t>FR7130985</t>
  </si>
  <si>
    <t xml:space="preserve">CNOW_7210$$$0000040108 </t>
  </si>
  <si>
    <t xml:space="preserve">CNOW_7210$$$0000250044 </t>
  </si>
  <si>
    <t xml:space="preserve">CNOW_7210$$$0000015703 </t>
  </si>
  <si>
    <t xml:space="preserve">CNOW_7210$$$0000015415 </t>
  </si>
  <si>
    <t xml:space="preserve">CNOW_7210$$$0000058825 </t>
  </si>
  <si>
    <t xml:space="preserve">CNOW_7210$$$0000056127 </t>
  </si>
  <si>
    <t xml:space="preserve">CNOW_7210$$$0000008098 </t>
  </si>
  <si>
    <t xml:space="preserve">CNOW_7210$$$0000020047 </t>
  </si>
  <si>
    <t xml:space="preserve">CNOW_7210$$$0000056951 </t>
  </si>
  <si>
    <t xml:space="preserve">CNOW_7210$$$0000269002 </t>
  </si>
  <si>
    <t xml:space="preserve">CORAERP_MMOR1945.5822 </t>
  </si>
  <si>
    <t xml:space="preserve">CORAERP_MMOR1917.RLLLX </t>
  </si>
  <si>
    <t xml:space="preserve">CORAERP_MMOR1917.RLLMX </t>
  </si>
  <si>
    <t xml:space="preserve">CORAERP_MMOR1917.RLPLX </t>
  </si>
  <si>
    <t xml:space="preserve">CORAERP_MMOR1975.RLLMX </t>
  </si>
  <si>
    <t xml:space="preserve">CORAERP_MMOR1975.RLPLX </t>
  </si>
  <si>
    <t xml:space="preserve">CORAERP_MMOR1945.RLLMX </t>
  </si>
  <si>
    <t xml:space="preserve">CORAERP_MMOR1945.RLPLX </t>
  </si>
  <si>
    <t>L000010190</t>
  </si>
  <si>
    <t>L000013405</t>
  </si>
  <si>
    <t>L000013502</t>
  </si>
  <si>
    <t>L000010150</t>
  </si>
  <si>
    <t>L000013555</t>
  </si>
  <si>
    <t>L000009645</t>
  </si>
  <si>
    <t>L000013779</t>
  </si>
  <si>
    <t>L000013671</t>
  </si>
  <si>
    <t>L000009205</t>
  </si>
  <si>
    <t>L000009206</t>
  </si>
  <si>
    <t>L000009204</t>
  </si>
  <si>
    <t>FR7130653</t>
  </si>
  <si>
    <t>FR7136272</t>
  </si>
  <si>
    <t>CTEMPEU_1000PL80GBTL06</t>
  </si>
  <si>
    <t>CLFF_7210$$$2123GIT130</t>
  </si>
  <si>
    <t xml:space="preserve">CORAERP_MMOR1945.RLPLX PS </t>
  </si>
  <si>
    <t xml:space="preserve">ITEMPEU_003200001401 </t>
  </si>
  <si>
    <t>FR7140268</t>
  </si>
  <si>
    <t>L000009407</t>
  </si>
  <si>
    <t>CTEMPLA_1000PE10MSCO01 Awareness campaigns (Colombia)</t>
  </si>
  <si>
    <t>H000004091</t>
  </si>
  <si>
    <t>FR7127941</t>
  </si>
  <si>
    <t>FR7148376</t>
  </si>
  <si>
    <t>CLFF_1000$$$CH50R01012</t>
  </si>
  <si>
    <t>H000004380</t>
  </si>
  <si>
    <t>CLFF_1000$$$CH65R00044</t>
  </si>
  <si>
    <t>CLFF_1000$$$CH65R00045</t>
  </si>
  <si>
    <t>CLFF_1000$$$CH65R00046</t>
  </si>
  <si>
    <t>CLFF_1000$$$CH65R00054</t>
  </si>
  <si>
    <t>FR7148336</t>
  </si>
  <si>
    <t>H000000865</t>
  </si>
  <si>
    <t>H000000864</t>
  </si>
  <si>
    <t>H000000861</t>
  </si>
  <si>
    <t>Luigia Bocola</t>
  </si>
  <si>
    <t>FR7154481</t>
  </si>
  <si>
    <t>CLFF_1000$$$DE10300049</t>
  </si>
  <si>
    <t>FR7150528</t>
  </si>
  <si>
    <t>CTEMPNA_1000PH80GFO017</t>
  </si>
  <si>
    <t>G000001166</t>
  </si>
  <si>
    <t>CLFF_7210$$$2013OFIBM1 STO - IBM Finland</t>
  </si>
  <si>
    <t>CORAERP_MMOR1975.6619 KAIST - CTO - Technology Fund</t>
  </si>
  <si>
    <t>CLFF_7210$$$2123C00001 R&amp;A Com - Analytics</t>
  </si>
  <si>
    <t>CLFF_7210$$$2128TMCZ95 Project E&amp;T APAC</t>
  </si>
  <si>
    <t>L000013118</t>
  </si>
  <si>
    <t>L000013813</t>
  </si>
  <si>
    <t>L000011139</t>
  </si>
  <si>
    <t>L000013457</t>
  </si>
  <si>
    <t>FR7150280</t>
  </si>
  <si>
    <t>G000000229</t>
  </si>
  <si>
    <t>G000000103</t>
  </si>
  <si>
    <t>G000000637</t>
  </si>
  <si>
    <t>L000013801</t>
  </si>
  <si>
    <t>H000000907</t>
  </si>
  <si>
    <t>FR7161411</t>
  </si>
  <si>
    <t>D00125200000000 SN-769 Substance Supply</t>
  </si>
  <si>
    <t>D00126100000000 SN-567</t>
  </si>
  <si>
    <t>DP000006000000 HPN8232 High Rate Nitride CMP Slurry for</t>
  </si>
  <si>
    <t>DP000007000000 Cu3936 High Rate Cu Bulk Slurry</t>
  </si>
  <si>
    <t>DP000008000000 MoF6 Manufacturing</t>
  </si>
  <si>
    <t>DP000014000000 PYTK Asset Relocation Activities</t>
  </si>
  <si>
    <t>PFLTFLE_EMDPTFOM13 EPIC AMAT project</t>
  </si>
  <si>
    <t>PFLTFLE_EMDPTFOM15 CDP213 - ALD IWO</t>
  </si>
  <si>
    <t>PFLTFLE_EMDPTFOM16 CDP214-CuBS development</t>
  </si>
  <si>
    <t>P000001010</t>
  </si>
  <si>
    <t>P000001019</t>
  </si>
  <si>
    <t>P000001018</t>
  </si>
  <si>
    <t>PLEAN_X310201CH6843109 Connected solutions</t>
  </si>
  <si>
    <t>H000004215</t>
  </si>
  <si>
    <t>FR7161858</t>
  </si>
  <si>
    <t>Elena Oberto Tarena</t>
  </si>
  <si>
    <t>CEMERAL_70007001581190 MESI REG PS-BIORELIANCE</t>
  </si>
  <si>
    <t>L000013412</t>
  </si>
  <si>
    <t>FR7168978</t>
  </si>
  <si>
    <t>Rachel Liu</t>
  </si>
  <si>
    <t>FR7136872</t>
  </si>
  <si>
    <t>CLFF_1000$$$NO50GIN000</t>
  </si>
  <si>
    <t>G000000145</t>
  </si>
  <si>
    <t>Martin Andresen</t>
  </si>
  <si>
    <t>CORAERP_MMOR1975.2454</t>
  </si>
  <si>
    <t>FR7166517</t>
  </si>
  <si>
    <t>CLFF_7210$$$2148TASA01 Production 1-Equipment</t>
  </si>
  <si>
    <t>CLFF_7210$$$2148TASA99 Production 1-Direct Labor</t>
  </si>
  <si>
    <t>CLFF_7210$$$2148TASB00 Production 2-Main</t>
  </si>
  <si>
    <t>CLFF_7210$$$2148TASB01 Production 2-Equipment</t>
  </si>
  <si>
    <t>CLFF_7210$$$2148TASB99 Production -Direct Labor</t>
  </si>
  <si>
    <t>CLFF_7210$$$2148TBSZ20 Quality Assurance</t>
  </si>
  <si>
    <t>CLFF_7210$$$2148TBSZ21 Quality Control</t>
  </si>
  <si>
    <t>CLFF_7210$$$2148TFSZ64 Local Supply Planning &amp; Purchasing</t>
  </si>
  <si>
    <t>CLFF_7210$$$2148TKSZ70 Overhead Surcharge collector - Cell Marq</t>
  </si>
  <si>
    <t>CLFF_7210$$$2148TQSZ91 Receiving &amp; Materials Management</t>
  </si>
  <si>
    <t>CLFF_7210$$$2148TQSZ92 Warehousing &amp; Distribution - Cell Marque</t>
  </si>
  <si>
    <t>L000013816</t>
  </si>
  <si>
    <t>FR7169133</t>
  </si>
  <si>
    <t>FR7170138</t>
  </si>
  <si>
    <t xml:space="preserve">PQUATRO_T000474DE0412000 </t>
  </si>
  <si>
    <t xml:space="preserve">PNEXT_D300116212501000000 </t>
  </si>
  <si>
    <t>L000006429</t>
  </si>
  <si>
    <t>FR7170711</t>
  </si>
  <si>
    <t>FR7170712</t>
  </si>
  <si>
    <t>CFLTFLE_2152IMIPLSCI01</t>
  </si>
  <si>
    <t>P000000540</t>
  </si>
  <si>
    <t>CFLTFLE_1044PMTC SS Trade Compliance</t>
  </si>
  <si>
    <t>FR7173355</t>
  </si>
  <si>
    <t>P000000609</t>
  </si>
  <si>
    <t>FR7174669</t>
  </si>
  <si>
    <t>CNOW_7210$$$0000010272 EL Digital Data &amp; Cyber ITOT 2098</t>
  </si>
  <si>
    <t>P000000758</t>
  </si>
  <si>
    <t>Requested to be mapped on April 2025 instead.</t>
  </si>
  <si>
    <t>FR7182563</t>
  </si>
  <si>
    <t>CLFF_1000$$$DE10GM2000</t>
  </si>
  <si>
    <t>G000001158</t>
  </si>
  <si>
    <t>FR7182430</t>
  </si>
  <si>
    <t>CLFF_1000$$$US01OF0102 Div. Head PM US</t>
  </si>
  <si>
    <t>CFLTFLE_1044PMNC SPICE NewCos</t>
  </si>
  <si>
    <t>CLFF_1000$$$CN90GM1271 Project Spice</t>
  </si>
  <si>
    <t>P000000656</t>
  </si>
  <si>
    <t>On-going CR 25159233</t>
  </si>
  <si>
    <t xml:space="preserve">CORAERP_MMOR1945.RLLM </t>
  </si>
  <si>
    <t xml:space="preserve">CORAERP_MMOR1945.LLCZX </t>
  </si>
  <si>
    <t xml:space="preserve">CPHOENX_01010000602783 </t>
  </si>
  <si>
    <t>L000007449</t>
  </si>
  <si>
    <t>FR7189136</t>
  </si>
  <si>
    <t>CNOW_7210$$$0000015328 SCP Order Mgmt Germany</t>
  </si>
  <si>
    <t>CLFF_7210$$$1919TQSZ93 Sweden Distribution Outbound Freight</t>
  </si>
  <si>
    <t>CTEMPEU_1000FR10MPEST0 FREIGHT ESTAPOR</t>
  </si>
  <si>
    <t>CPHOENX_01010000040050 Supply Chain Life Science Services</t>
  </si>
  <si>
    <t>L000009691</t>
  </si>
  <si>
    <t>L000009928</t>
  </si>
  <si>
    <t>L000010248</t>
  </si>
  <si>
    <t>L000013797</t>
  </si>
  <si>
    <t>FR7194402</t>
  </si>
  <si>
    <t>FR7198716</t>
  </si>
  <si>
    <t>CLFF_1000$$$ZA50GM1000</t>
  </si>
  <si>
    <t>CLFF_1000$$$ZA50GIT10D</t>
  </si>
  <si>
    <t>CLFF_1000$$$ZA50GHR014</t>
  </si>
  <si>
    <t>CLFF_1000$$$KE50GM2100</t>
  </si>
  <si>
    <t>CLFF_1000$$$CZ50GM2100</t>
  </si>
  <si>
    <t>CLFF_1000$$$CZ50GM2101</t>
  </si>
  <si>
    <t>G000000189</t>
  </si>
  <si>
    <t>G000000560</t>
  </si>
  <si>
    <t>FR7198162</t>
  </si>
  <si>
    <t xml:space="preserve">CLFF_1000$$$DE20569502 </t>
  </si>
  <si>
    <t>G000000686</t>
  </si>
  <si>
    <t>FR7198155</t>
  </si>
  <si>
    <t xml:space="preserve">CLFF_1000$$$DZ50GM1100 </t>
  </si>
  <si>
    <t xml:space="preserve">CLFF_7210$$$2053OF0000 </t>
  </si>
  <si>
    <t>CLFF_1000$$$IT50C02000</t>
  </si>
  <si>
    <t>CLFF_1000$$$IT50C02004</t>
  </si>
  <si>
    <t>CLFF_1000$$$IT50C03005</t>
  </si>
  <si>
    <t>CLFF_1000$$$IT50C03004</t>
  </si>
  <si>
    <t>CLFF_1000$$$IT50C02009</t>
  </si>
  <si>
    <t>CLFF_1000$$$IT50C02010</t>
  </si>
  <si>
    <t>CLFF_1000$$$IT50C03007</t>
  </si>
  <si>
    <t>CLFF_1000$$$IT50C02011</t>
  </si>
  <si>
    <t>H000000181</t>
  </si>
  <si>
    <t>H000000000</t>
  </si>
  <si>
    <t>FR7197616</t>
  </si>
  <si>
    <t>Frances Anne Brecia</t>
  </si>
  <si>
    <t>FR7201312</t>
  </si>
  <si>
    <t xml:space="preserve">CNOW_7210$$$0000057774 </t>
  </si>
  <si>
    <t xml:space="preserve">CNOW_7210$$$0000056973 </t>
  </si>
  <si>
    <t xml:space="preserve">CNOW_7210$$$0000015962 </t>
  </si>
  <si>
    <t>CNOW_7210$$$0000040500</t>
  </si>
  <si>
    <t>CNOW_7210$$$0000040807</t>
  </si>
  <si>
    <t xml:space="preserve">CNOW_7210$$$0000025514 </t>
  </si>
  <si>
    <t xml:space="preserve">CNOW_7210$$$0000057214 </t>
  </si>
  <si>
    <t>CNOW_7210$$$0024070008</t>
  </si>
  <si>
    <t>CNOW_7210$$$0000015533</t>
  </si>
  <si>
    <t>CNOW_7210$$$0000023431</t>
  </si>
  <si>
    <t>L000011266</t>
  </si>
  <si>
    <t>L000013392</t>
  </si>
  <si>
    <t>L000013689</t>
  </si>
  <si>
    <t>L000013403</t>
  </si>
  <si>
    <t>L000013424</t>
  </si>
  <si>
    <t>FR7205291</t>
  </si>
  <si>
    <t>PQUATRO_T000394DE0413001 LAFAMD Support CN 2024 CN01R00403</t>
  </si>
  <si>
    <t>P000000573</t>
  </si>
  <si>
    <t>FR7203070</t>
  </si>
  <si>
    <t>CLFF_1000$$$ES50GPO794</t>
  </si>
  <si>
    <t>H000004174</t>
  </si>
  <si>
    <t>FR7203031</t>
  </si>
  <si>
    <t>CLFF_1000$$$CH75GM8300</t>
  </si>
  <si>
    <t>CNOW_7210$$$0000010137</t>
  </si>
  <si>
    <t>FR7202987</t>
  </si>
  <si>
    <t>CNOW_7210$$$0000058276</t>
  </si>
  <si>
    <t>G000000198</t>
  </si>
  <si>
    <t>FR7202977</t>
  </si>
  <si>
    <t>FR7202906</t>
  </si>
  <si>
    <t>CLFF_1000$$$CH50GM4010</t>
  </si>
  <si>
    <t>FR7202684</t>
  </si>
  <si>
    <t>CLFF_1000$$$CN95GM4000</t>
  </si>
  <si>
    <t>CLFF_1000$$$CN96GM4002</t>
  </si>
  <si>
    <t>G000000636</t>
  </si>
  <si>
    <t>CFLTFLE_17710000000500 Techn:alloc.key BP Gen</t>
  </si>
  <si>
    <t>H000000002</t>
  </si>
  <si>
    <t>FR7205855</t>
  </si>
  <si>
    <t>F2</t>
  </si>
  <si>
    <t>FR7214613</t>
  </si>
  <si>
    <t xml:space="preserve">CNOW_7210$$$0000015395 </t>
  </si>
  <si>
    <t>FR7212236</t>
  </si>
  <si>
    <t>CTEMPLA_1000CO10100511</t>
  </si>
  <si>
    <t>FR7207432</t>
  </si>
  <si>
    <t>CLFF_1000$$$CH50GIT032</t>
  </si>
  <si>
    <t>G000001121</t>
  </si>
  <si>
    <t>FR7214943</t>
  </si>
  <si>
    <t>CLFF_VMCA$$$US10GM4058</t>
  </si>
  <si>
    <t>FR7202557</t>
  </si>
  <si>
    <t>Changes were saved for change request 25192417</t>
  </si>
  <si>
    <t>Object was map in SAP but did not replicate in TM1.</t>
  </si>
  <si>
    <t>CTEMPNA_1000PH80GFO055</t>
  </si>
  <si>
    <t>FR7218063</t>
  </si>
  <si>
    <t>CORAERP_MMOR1975.2463 Receiving &amp; Inventory Control</t>
  </si>
  <si>
    <t>CORAERP_MMOR1945.5106 Sales SG - BioP SP</t>
  </si>
  <si>
    <t>CORAERP_MMOR1945.5148 Sales KR - BioP SP</t>
  </si>
  <si>
    <t>CORAERP_MMOR1975.2609 Manufacturing Strategy</t>
  </si>
  <si>
    <t>L000013790</t>
  </si>
  <si>
    <t>FR7216772</t>
  </si>
  <si>
    <t>FR7216010</t>
  </si>
  <si>
    <t>CNOW_7210$$$0000020215 STL RS BU MANAGEMENT</t>
  </si>
  <si>
    <t>CLFF_7210$$$1937TNCZ90 LS-OO Management</t>
  </si>
  <si>
    <t>CNOW_7210$$$0000056143 Central Europe Operations Management</t>
  </si>
  <si>
    <t>CNOW_7210$$$0000040048 LSS Supply Chain Robustness</t>
  </si>
  <si>
    <t xml:space="preserve">PNEXT_D300124212301000000 </t>
  </si>
  <si>
    <t xml:space="preserve">PNEXT_D300125212301000000 </t>
  </si>
  <si>
    <t>CSCALA_1042$EQWH_P19</t>
  </si>
  <si>
    <t>L000006425</t>
  </si>
  <si>
    <t>L000006432</t>
  </si>
  <si>
    <t>FR7215342</t>
  </si>
  <si>
    <t>FR7218317</t>
  </si>
  <si>
    <t>L000009738</t>
  </si>
  <si>
    <t>L000011670</t>
  </si>
  <si>
    <t>L000013791</t>
  </si>
  <si>
    <t>L000013793</t>
  </si>
  <si>
    <t>L000013794</t>
  </si>
  <si>
    <t>CTEMPNA_1000PH80GFO023</t>
  </si>
  <si>
    <t>FR7202501</t>
  </si>
  <si>
    <t>CLFF_VMCA$$$GB10GM4002</t>
  </si>
  <si>
    <t>FR7220448</t>
  </si>
  <si>
    <t>CSCALA_1025$GEFI GES Finance service</t>
  </si>
  <si>
    <t>CSCALA_1025$GEPO GES PO service</t>
  </si>
  <si>
    <t>G000000711</t>
  </si>
  <si>
    <t>FR7218977</t>
  </si>
  <si>
    <t>CTEMPEU_1000PL80GIT01B</t>
  </si>
  <si>
    <t>CLFF_1000$$$DE10600470</t>
  </si>
  <si>
    <t>CLFF_1000$$$DE10GIT705</t>
  </si>
  <si>
    <t>CNOW_7210$$$0000021372</t>
  </si>
  <si>
    <t>CLFF_7210$$$2123GIT261</t>
  </si>
  <si>
    <t>G000000325</t>
  </si>
  <si>
    <t>G000001239</t>
  </si>
  <si>
    <t>G000000339</t>
  </si>
  <si>
    <t>Changes were saved for change request 25198192</t>
  </si>
  <si>
    <t>CTEMPEU_1000GB10005687</t>
  </si>
  <si>
    <t>FR7202707</t>
  </si>
  <si>
    <t>G000000875</t>
  </si>
  <si>
    <t>FR7228501</t>
  </si>
  <si>
    <t>FR7228078</t>
  </si>
  <si>
    <t>CSCALA_1022$IEF IEF</t>
  </si>
  <si>
    <t>CSCALA_1022$ITN_T02</t>
  </si>
  <si>
    <t>G000000786</t>
  </si>
  <si>
    <t>FR7226507</t>
  </si>
  <si>
    <t xml:space="preserve">CORAERP_MMOR1945.LLCZ </t>
  </si>
  <si>
    <t>CSCALA_1759$GRMI</t>
  </si>
  <si>
    <t>Changes were saved for change request 25207845</t>
  </si>
  <si>
    <t xml:space="preserve">CFLTFLE_23940000000410 </t>
  </si>
  <si>
    <t>CFLTFLE_23950000000410</t>
  </si>
  <si>
    <t>CFLTFLE_23960000000410</t>
  </si>
  <si>
    <t>FR7235622</t>
  </si>
  <si>
    <t>CFLTFLE_23940000000210</t>
  </si>
  <si>
    <t>CFLTFLE_23940000000440</t>
  </si>
  <si>
    <t>CFLTFLE_23950000000210</t>
  </si>
  <si>
    <t>CFLTFLE_23950000000230</t>
  </si>
  <si>
    <t>CFLTFLE_23950000000310</t>
  </si>
  <si>
    <t>CFLTFLE_23950000000420</t>
  </si>
  <si>
    <t>CFLTFLE_23950000000440</t>
  </si>
  <si>
    <t>CFLTFLE_23950000000510</t>
  </si>
  <si>
    <t>CFLTFLE_23950000000530</t>
  </si>
  <si>
    <t>CFLTFLE_23960000000110</t>
  </si>
  <si>
    <t>CFLTFLE_23960000000120</t>
  </si>
  <si>
    <t>CFLTFLE_23960000000170</t>
  </si>
  <si>
    <t>CFLTFLE_23960000000171</t>
  </si>
  <si>
    <t>CFLTFLE_23960000000180</t>
  </si>
  <si>
    <t>CFLTFLE_23960000000220</t>
  </si>
  <si>
    <t>CFLTFLE_23960000000230</t>
  </si>
  <si>
    <t>CFLTFLE_23960000000240</t>
  </si>
  <si>
    <t>CFLTFLE_23960000000250</t>
  </si>
  <si>
    <t>CFLTFLE_23960000000310</t>
  </si>
  <si>
    <t>CFLTFLE_23960000000330</t>
  </si>
  <si>
    <t>CFLTFLE_23960000000340</t>
  </si>
  <si>
    <t>CFLTFLE_23960000000360</t>
  </si>
  <si>
    <t>CFLTFLE_23960000000420</t>
  </si>
  <si>
    <t>CFLTFLE_23960000000430</t>
  </si>
  <si>
    <t>CFLTFLE_23960000000440</t>
  </si>
  <si>
    <t>CFLTFLE_23960000000510</t>
  </si>
  <si>
    <t>L000013521</t>
  </si>
  <si>
    <t>FR7236462</t>
  </si>
  <si>
    <t>Guillermo Goni</t>
  </si>
  <si>
    <t>FR7234075</t>
  </si>
  <si>
    <t>CSCALA_1025$COMP COMPLIANCE</t>
  </si>
  <si>
    <t>CSCALA_1025$COMP_A60</t>
  </si>
  <si>
    <t xml:space="preserve">G000000090 </t>
  </si>
  <si>
    <t>FR7233618</t>
  </si>
  <si>
    <t>CTEMPLA_1000PE10764100</t>
  </si>
  <si>
    <t>G000001160</t>
  </si>
  <si>
    <t>FR7230888</t>
  </si>
  <si>
    <t>CFLTFLE_2276BX227601 F80  EUS CAO Organization</t>
  </si>
  <si>
    <t>Changes were saved for change request 25215394</t>
  </si>
  <si>
    <t>FR7232089</t>
  </si>
  <si>
    <t>FR7231993</t>
  </si>
  <si>
    <t>FR7235227</t>
  </si>
  <si>
    <t>FR7235300</t>
  </si>
  <si>
    <t>CFLTFLE_22450000002743</t>
  </si>
  <si>
    <t>L000011444</t>
  </si>
  <si>
    <t>Pilar Laurido</t>
  </si>
  <si>
    <t>CSCALA_1721$FK5</t>
  </si>
  <si>
    <t>O000000005</t>
  </si>
  <si>
    <t>Emil Eklund</t>
  </si>
  <si>
    <t>CLFF_7210$$$2029C01022</t>
  </si>
  <si>
    <t>move dad</t>
  </si>
  <si>
    <t>Advise the requestor that we'll resolve the ticket for now and request again once the object has actuals in TM1.</t>
  </si>
  <si>
    <t>CLFF_7210$$$1919O05003</t>
  </si>
  <si>
    <t>H000001421</t>
  </si>
  <si>
    <t>FR7240736</t>
  </si>
  <si>
    <t>CNOW_7210$$$0000056258 LSS Global Ops - CPM</t>
  </si>
  <si>
    <t>CPHOENX_01010000681601 LSS Global Business Performance</t>
  </si>
  <si>
    <t>L000013183</t>
  </si>
  <si>
    <t>FR7240668</t>
  </si>
  <si>
    <t>CLFF_1000$$$DE10N12380</t>
  </si>
  <si>
    <t>P000000196</t>
  </si>
  <si>
    <t>CLFF_1000$$$DE10N12340</t>
  </si>
  <si>
    <t>CLFF_1000$$$DE10N11170</t>
  </si>
  <si>
    <t>P000000198</t>
  </si>
  <si>
    <t>CLFF_1000$$$DE10N11115</t>
  </si>
  <si>
    <t>CLFF_1000$$$DE10N11181</t>
  </si>
  <si>
    <t>CLFF_1000$$$DE10N11160</t>
  </si>
  <si>
    <t>CLFF_1000$$$DE10N11180</t>
  </si>
  <si>
    <t>CLFF_1000$$$DE10N11131</t>
  </si>
  <si>
    <t>CLFF_1000$$$DE10N11116</t>
  </si>
  <si>
    <t>CLFF_1000$$$DE10N12312</t>
  </si>
  <si>
    <t>CLFF_1000$$$DE10N12313</t>
  </si>
  <si>
    <t>CLFF_1000$$$DE10N12321</t>
  </si>
  <si>
    <t>P000000197</t>
  </si>
  <si>
    <t>CLFF_1000$$$DE10N12323</t>
  </si>
  <si>
    <t>CLFF_1000$$$DE10N12395</t>
  </si>
  <si>
    <t>CLFF_1000$$$DE10N11195</t>
  </si>
  <si>
    <t>FR7239447</t>
  </si>
  <si>
    <t>Gerhard Doeller</t>
  </si>
  <si>
    <t>PLEAN_X310101CN5015526 ERB COM PROM OTH ONC ERB 百度药典</t>
  </si>
  <si>
    <t>Changes were saved for change request 25218908</t>
  </si>
  <si>
    <t>FR7259193</t>
  </si>
  <si>
    <t>CEMERAL_64010010860845 PS/Formulation</t>
  </si>
  <si>
    <t>CEMERAL_64010010860852 GENM - CT &amp; VGT Sales Japan</t>
  </si>
  <si>
    <t>CEMERAL_700061019903EQ XXXE2E Marketing</t>
  </si>
  <si>
    <t>CEMERAL_70006101MS1105 SAC MRNA Value Chain China</t>
  </si>
  <si>
    <t>CEMERAL_70006502961442 Sales Development - A&amp;F Formulation</t>
  </si>
  <si>
    <t>CEMERAL_70007001581179 MESI REG PS-FF SALES DEVT END TO END</t>
  </si>
  <si>
    <t>CNOW_7210$$$0000000104 PRODUCT DEVELOPMENT</t>
  </si>
  <si>
    <t>CNOW_7210$$$0000000107 ENGINEERING</t>
  </si>
  <si>
    <t>CNOW_7210$$$0000000110 EH&amp;S</t>
  </si>
  <si>
    <t>CNOW_7210$$$0000000120 ANALYTICAL SERVICES</t>
  </si>
  <si>
    <t>CNOW_7210$$$0000000136 El Camino Utilities</t>
  </si>
  <si>
    <t>CNOW_7210$$$0000000137 El Camino Building &amp; Depreciation</t>
  </si>
  <si>
    <t>CNOW_7210$$$0000000138 MANUFACTURING</t>
  </si>
  <si>
    <t>CNOW_7210$$$0000000139 QUALITY CONTROL</t>
  </si>
  <si>
    <t>CNOW_7210$$$0000000140 QUALITY ASSURANCE</t>
  </si>
  <si>
    <t>CNOW_7210$$$0000000142 MATERIALS</t>
  </si>
  <si>
    <t>CNOW_7210$$$0000000143 Idle Capacity-ECR</t>
  </si>
  <si>
    <t>CNOW_7210$$$0000000145 Pre-project Costs</t>
  </si>
  <si>
    <t>CNOW_7210$$$0000000247 CDMO Acceleration Start Up</t>
  </si>
  <si>
    <t>CNOW_7210$$$0000000670 G&amp;A</t>
  </si>
  <si>
    <t>CNOW_7210$$$0000020447 LSS Commercial</t>
  </si>
  <si>
    <t>CNOW_7210$$$0000269902 LSS Commercial</t>
  </si>
  <si>
    <t>CNOW_7210$$$0024069902 LSS Commercial</t>
  </si>
  <si>
    <t>CORAERP_MMOR1917.N3QZ BL N3 Hardware - Merck Life Science UK Limited</t>
  </si>
  <si>
    <t>CORAERP_MMOR1917.N4QZ BL N4 Instrument Services -  Merck Life Science UK Limited</t>
  </si>
  <si>
    <t>CORAERP_MMOR1945.5121 LSS Marketing Communication</t>
  </si>
  <si>
    <t>CORAERP_MMOR1945.5152 5152 LSS Sales Effectiveness</t>
  </si>
  <si>
    <t>CORAERP_MMOR1945.5213 LSS Mktg Com 1975</t>
  </si>
  <si>
    <t>CORAERP_MMOR1945.5963 LSS MarCom</t>
  </si>
  <si>
    <t>CORAERP_MMOR1945.N3IN BL N3 Hardware - IN</t>
  </si>
  <si>
    <t>CORAERP_MMOR1945.N3LC BL N3 Hardware - LC</t>
  </si>
  <si>
    <t>CORAERP_MMOR1945.N4IN BL N4 Instrument Services - IN</t>
  </si>
  <si>
    <t>CORAERP_MMOR1945.N4LC BL N4 Instrument Services - LC</t>
  </si>
  <si>
    <t>CORAERP_MMOR1975.5152 LSS Sales Effectiveness</t>
  </si>
  <si>
    <t>CORAERP_MMOR1975.5213 LSS Mktg Com 1975</t>
  </si>
  <si>
    <t>CORAERP_MMOR1975.5963 LSS MarCom</t>
  </si>
  <si>
    <t>CORAERP_MMOR1975.5971 LSS Commercial 1975</t>
  </si>
  <si>
    <t>CPHOENX_01010000645151 LSS Marketing</t>
  </si>
  <si>
    <t>CPHOENX_01010000699621 SAC MarCom</t>
  </si>
  <si>
    <t>CPHOENX_01010000876691 LSS CTS Sales Promotion</t>
  </si>
  <si>
    <t>CPHOENX_01010000876692 LSS BioVV Sales Promotion</t>
  </si>
  <si>
    <t>CPHOENX_01010000876693 LSS SAC Sales Promotion</t>
  </si>
  <si>
    <t>L000006956 PSMMOR1945.5078 5078 E2E Strategy &amp;-G</t>
  </si>
  <si>
    <t>L000006957 PSMMOR1945.5078 5078 E2E StrategySP-G</t>
  </si>
  <si>
    <t>OL000009433_I 138 LS-PPN-ON Manufacturing-G (direct input)</t>
  </si>
  <si>
    <t>OL000009435_I Carlsbad commercial expansion 145-G (direct input)</t>
  </si>
  <si>
    <t>OL000012811_I CDMO Acceleration Start-Up-G (direct input)</t>
  </si>
  <si>
    <t>CLFF_1000$$$KE50C0FF11 FF - Bio Monitoring</t>
  </si>
  <si>
    <t>CLFF_1000$$$KE50C0IM11 ISS - Bio Monitoring</t>
  </si>
  <si>
    <t>CLFF_7210$$$2029C00004 Life Science Services Commercial Netherl</t>
  </si>
  <si>
    <t>CLFF_7210$$$2031C00005 LSS Marketing Communications</t>
  </si>
  <si>
    <t>CLFF_7210$$$2034C00012 LSS MarCom</t>
  </si>
  <si>
    <t>L000006960</t>
  </si>
  <si>
    <t>L000005617</t>
  </si>
  <si>
    <t>L000009433</t>
  </si>
  <si>
    <t>L000009432</t>
  </si>
  <si>
    <t>L000009435</t>
  </si>
  <si>
    <t>L000012811</t>
  </si>
  <si>
    <t>L000005964</t>
  </si>
  <si>
    <t>L000013354</t>
  </si>
  <si>
    <t>L000013359</t>
  </si>
  <si>
    <t>L000013358</t>
  </si>
  <si>
    <t>L000011549</t>
  </si>
  <si>
    <t>L000007073</t>
  </si>
  <si>
    <t>FR7253856</t>
  </si>
  <si>
    <t>DP000004000000 CU4545TX for Intel Barrier CMP</t>
  </si>
  <si>
    <t>DP000015000000 DP1298 barrier slurry for Intel</t>
  </si>
  <si>
    <t>DP000017000000 DP1292 Cu bulk slurry for TSMC</t>
  </si>
  <si>
    <t>DP000018000000 DP1294 Cu bulk slurry for TSMC A14</t>
  </si>
  <si>
    <t>DP000009000000 HPD8701/8720 for Intel Adv. Packaging</t>
  </si>
  <si>
    <t>DP000011000000 STI2305 CIP (STI3000) for Logic SoN</t>
  </si>
  <si>
    <t>DP000013000000 HPD8762 Oxidizer for Micron HBM CMP</t>
  </si>
  <si>
    <t>DP000016000000 DP1300 barrier slurry for TSMC</t>
  </si>
  <si>
    <t>FR7253315</t>
  </si>
  <si>
    <t>CLFF_7210$$$2123OF0027 SBS PS Pricing operation</t>
  </si>
  <si>
    <t>G000001338</t>
  </si>
  <si>
    <t>Requested last April 16. This request is still within the cut-off and prior K2 transition.</t>
  </si>
  <si>
    <t>CEMERAL_70006302C61901</t>
  </si>
  <si>
    <t>CEMERAL_70006302C85405</t>
  </si>
  <si>
    <t>FR7252687</t>
  </si>
  <si>
    <t>FR7250776</t>
  </si>
  <si>
    <t>CEMERAL_70006302991902 HR International</t>
  </si>
  <si>
    <t xml:space="preserve">G000001164 </t>
  </si>
  <si>
    <t>CSCALA_1025$GEHR</t>
  </si>
  <si>
    <t>FR7249989</t>
  </si>
  <si>
    <t>FR7261475</t>
  </si>
  <si>
    <t xml:space="preserve">ITEMPEU_003300000069 </t>
  </si>
  <si>
    <t xml:space="preserve">CLFF_7210$$$2102TPSZ93 </t>
  </si>
  <si>
    <t xml:space="preserve">IPHOENX_000002414801 </t>
  </si>
  <si>
    <t xml:space="preserve">CORAERP_MMOR1945.SLGJ </t>
  </si>
  <si>
    <t xml:space="preserve">CORAERP_MMOR1975.SLGJ </t>
  </si>
  <si>
    <t xml:space="preserve">CPHOENX_01010000876697 </t>
  </si>
  <si>
    <t xml:space="preserve">CORAERP_MMOR1975.1044 </t>
  </si>
  <si>
    <t xml:space="preserve">CORAERP_MMOR1975.1108 </t>
  </si>
  <si>
    <t xml:space="preserve">CORAERP_MMOR1975.LLCZX </t>
  </si>
  <si>
    <t>L000013788</t>
  </si>
  <si>
    <t>L000013065</t>
  </si>
  <si>
    <t>L000007121</t>
  </si>
  <si>
    <t>L000013677</t>
  </si>
  <si>
    <t>L000006623</t>
  </si>
  <si>
    <t>Changes were saved for change request 25249553</t>
  </si>
  <si>
    <t>D30012600000000 Advanced Filtration Technology 0.1um</t>
  </si>
  <si>
    <t>CNOW_ROW$$$$0000008720</t>
  </si>
  <si>
    <t>FR7262991</t>
  </si>
  <si>
    <t>CLFF_1000$$$AE50R0GR11</t>
  </si>
  <si>
    <t>CSCALA_1820$Q326_P93</t>
  </si>
  <si>
    <t>CSCALA_1820$Q326</t>
  </si>
  <si>
    <t>CSCALA_1820$Q326_H99</t>
  </si>
  <si>
    <t>H000000774</t>
  </si>
  <si>
    <t>H000000773</t>
  </si>
  <si>
    <t>FR7267269</t>
  </si>
  <si>
    <t>CSCALA_1248$GEFI</t>
  </si>
  <si>
    <t>CSCALA_1248$GEPO</t>
  </si>
  <si>
    <t>FR7265072</t>
  </si>
  <si>
    <t xml:space="preserve">Changes were saved for change request 25256034 </t>
  </si>
  <si>
    <t>FR7274431</t>
  </si>
  <si>
    <t>CPHOENX_01010000652050 LS-SC-DNDF Freight Services</t>
  </si>
  <si>
    <t>CORAERP_MMOR1945.2477 EMSC Research Plant</t>
  </si>
  <si>
    <t>CORAERP_MMOR1945.2478 EMSC Applied Plant</t>
  </si>
  <si>
    <t>CORAERP_MMOR1945.2479 EMSC Process Plant</t>
  </si>
  <si>
    <t>CORAERP_MMOR1975.2477 EMSC Research Plant</t>
  </si>
  <si>
    <t>CORAERP_MMOR1975.2478 EMSC Applied Plant</t>
  </si>
  <si>
    <t>CORAERP_MMOR1975.2479 EMSC Process Plant</t>
  </si>
  <si>
    <t>L000013693</t>
  </si>
  <si>
    <t>L000010056</t>
  </si>
  <si>
    <t>L000010054</t>
  </si>
  <si>
    <t>L000010055</t>
  </si>
  <si>
    <t>FR7272340</t>
  </si>
  <si>
    <t>CTEMPLA_1000EC10100145</t>
  </si>
  <si>
    <t>G000000712</t>
  </si>
  <si>
    <t>FR7271136</t>
  </si>
  <si>
    <t>CLFF_1000$$$CH65R00020</t>
  </si>
  <si>
    <t>CLFF_1000$$$CH65R00048</t>
  </si>
  <si>
    <t>CLFF_1000$$$CH65R00050</t>
  </si>
  <si>
    <t>CLFF_1000$$$CH65R00052</t>
  </si>
  <si>
    <t>FR7269207</t>
  </si>
  <si>
    <t>CSCALA_1248$GEHR</t>
  </si>
  <si>
    <t>H000000878</t>
  </si>
  <si>
    <t>Changes were saved for change request 25267790</t>
  </si>
  <si>
    <t>FR7280962</t>
  </si>
  <si>
    <t>CORAERP_MMOR1945.5695</t>
  </si>
  <si>
    <t>FR7283426</t>
  </si>
  <si>
    <t xml:space="preserve">CNOW_7210$$$0000052131 </t>
  </si>
  <si>
    <t xml:space="preserve">CNOW_AUS0$$$0000092060 </t>
  </si>
  <si>
    <t xml:space="preserve">CNOW_7210$$$0000001053 </t>
  </si>
  <si>
    <t xml:space="preserve">CNOW_7210$$$0000001153 </t>
  </si>
  <si>
    <t>L000013315</t>
  </si>
  <si>
    <t>L000008350</t>
  </si>
  <si>
    <t>L000009941</t>
  </si>
  <si>
    <t>CPRJ-952024016</t>
  </si>
  <si>
    <t>FR7283753</t>
  </si>
  <si>
    <t>CSCALA_1042$PMAD SPICE Set up of NewCos</t>
  </si>
  <si>
    <t>FR7287236</t>
  </si>
  <si>
    <t>G000000874</t>
  </si>
  <si>
    <t>Changes were saved for change request 25290612</t>
  </si>
  <si>
    <t>FR7293986</t>
  </si>
  <si>
    <t>CLFF_1000$$$CN50R03152</t>
  </si>
  <si>
    <t>H000004391</t>
  </si>
  <si>
    <t>X.310282.CN50.23.303</t>
  </si>
  <si>
    <t>X.310282.CN50.23.304</t>
  </si>
  <si>
    <t>X.310282.CN50.20.305</t>
  </si>
  <si>
    <t>X.310282.CN50.22.306</t>
  </si>
  <si>
    <t>X.310303.CN50.42.301  </t>
  </si>
  <si>
    <t>X.310323.CN50.43.301  </t>
  </si>
  <si>
    <t>X.310283.CN50.43.302  </t>
  </si>
  <si>
    <t>X.310332.CN50.20.301  </t>
  </si>
  <si>
    <t>H000001509</t>
  </si>
  <si>
    <t>H000004393</t>
  </si>
  <si>
    <t>FR7293971</t>
  </si>
  <si>
    <t>Changes were saved for change request 25304523</t>
  </si>
  <si>
    <t>Objects are new and no figures yet in TM1.</t>
  </si>
  <si>
    <t>FR7294729</t>
  </si>
  <si>
    <t>CSCALA_1042$RSCE</t>
  </si>
  <si>
    <t>L000008473</t>
  </si>
  <si>
    <t>Noor Jahan Shahin</t>
  </si>
  <si>
    <t>CTEMPLA_1000UY10120012</t>
  </si>
  <si>
    <t>CLFF_7210$$$2123GIT02F</t>
  </si>
  <si>
    <t>CLFF_7210$$$2123GIT01F</t>
  </si>
  <si>
    <t>CLFF_VMCA$$$US10GIT01F</t>
  </si>
  <si>
    <t>FR7298409</t>
  </si>
  <si>
    <t>FR7298416</t>
  </si>
  <si>
    <t>L000012908</t>
  </si>
  <si>
    <t>FR7298556</t>
  </si>
  <si>
    <t>L000009975</t>
  </si>
  <si>
    <t>FR7300233</t>
  </si>
  <si>
    <t>PLEAN_X310512SE5020201 Mavenclad Medical Non R&amp;D SE50 Medical E</t>
  </si>
  <si>
    <t>PLEAN_X310512SE5022201 Mavenclad Medical Non R&amp;D SE50 Medical C</t>
  </si>
  <si>
    <t>PLEAN_X310512SE5023201 Mavenclad Medical Non R&amp;D SE50 Other Med</t>
  </si>
  <si>
    <t>PLEAN_X310101SE5015201 Erbitux Commercial SE50 Other Promo and</t>
  </si>
  <si>
    <t>PLEAN_X310102SE5020201 Erbitux Medical Non R&amp;D SE50 Medical Edu</t>
  </si>
  <si>
    <t>PLEAN_X310102SE5022201 Erbitux Medical Non R&amp;D SE50 Medical Con</t>
  </si>
  <si>
    <t>PLEAN_X310202SE5020201 Fertility Medical Non R&amp;D SE50 Medical E</t>
  </si>
  <si>
    <t>PLEAN_X310202SE5022201 Fertility Medical Non R&amp;D SE50 Medical C</t>
  </si>
  <si>
    <t>PLEAN_X310202SE5023201 Fertility Medical Non R&amp;D SE50 Other Med</t>
  </si>
  <si>
    <t>PLEAN_X310321FI5030201 Cardio Commercial FI50 Other M&amp;S Registr</t>
  </si>
  <si>
    <t>PLEAN_X310512FI5021201 Mavenclad Medical Non R&amp;D FI50 Medical D</t>
  </si>
  <si>
    <t>PLEAN_X310512FI5022201 Mavenclad Medical Non R&amp;D FI50 Medical C</t>
  </si>
  <si>
    <t>PLEAN_X310512FI5023201 Mavenclad Medical Non R&amp;D FI50 Other Med</t>
  </si>
  <si>
    <t>PLEAN_X310101FI5010201 Erbitux Commercial FI50 Promo Material G</t>
  </si>
  <si>
    <t>PLEAN_X310101FI5011201 Erbitux Commercial FI50 Advertising Gene</t>
  </si>
  <si>
    <t>PLEAN_X310101FI5013201 Erbitux Commercial FI50 Congress &amp; Event</t>
  </si>
  <si>
    <t>PLEAN_X310101FI5015201 Erbitux Commercial FI50 Other Promo and</t>
  </si>
  <si>
    <t>PLEAN_X310101FI5030201 Erbitux Commercial FI50 Other M&amp;S Regist</t>
  </si>
  <si>
    <t>PLEAN_X310102FI5020201 Erbitux Medical Non R&amp;D FI50 Medical Edu</t>
  </si>
  <si>
    <t>PLEAN_X310102FI5023201 Erbitux Medical Non R&amp;D FI50 Other Medic</t>
  </si>
  <si>
    <t>PLEAN_X310202FI5020201 Fertility Medical Non R&amp;D FI50 Medical E</t>
  </si>
  <si>
    <t>PLEAN_X310202FI5023201 Fertility Medical Non R&amp;D FI50 Other Med</t>
  </si>
  <si>
    <t>PLEAN_X310512DK5020201 Mavenclad Medical Non R&amp;D DK50 Medical E</t>
  </si>
  <si>
    <t>PLEAN_X310101DK5010201 Erbitux Commercial DK50 Promo Material G</t>
  </si>
  <si>
    <t>PLEAN_X310101DK5013201 Erbitux Commercial DK50 Congress &amp; Event</t>
  </si>
  <si>
    <t>PLEAN_X310202DK5020201 Fertility Medical Non R&amp;D DK50 Medical E</t>
  </si>
  <si>
    <t>PLEAN_X310202DK5023201 Fertility Medical Non R&amp;D DK50 Other Med</t>
  </si>
  <si>
    <t>PLEAN_X310512NO5020201 Mavenclad Medical Non R&amp;D NO50 Medical E</t>
  </si>
  <si>
    <t>PLEAN_X310512NO5022201 Mavenclad Medical Non R&amp;D NO50 Medical C</t>
  </si>
  <si>
    <t>PLEAN_X310512NO5023201 Mavenclad Medical Non R&amp;D NO50 Other Med</t>
  </si>
  <si>
    <t>ITEMPEU_009000002325 FR40IC1786SE3110250000 FR40399017 NORWAY</t>
  </si>
  <si>
    <t>PLEAN_X310102NO5023201 Erbitux Medical Non R&amp;D NO50 Other Medic</t>
  </si>
  <si>
    <t>PLEAN_X310202NO5020201 Fertility Medical Non R&amp;D NO50 Medical E</t>
  </si>
  <si>
    <t>PLEAN_X310202NO5022201 Fertility Medical Non R&amp;D NO50 Medical C</t>
  </si>
  <si>
    <t>PLEAN_X310202NO5023201 Fertility Medical Non R&amp;D NO50 Other Med</t>
  </si>
  <si>
    <t>PLEAN_X310512EE5020201 Mavenclad Medical Non R&amp;D EE50 Medical E</t>
  </si>
  <si>
    <t>PLEAN_X310512EE5022201 Mavenclad Medical Non R&amp;D EE50 Medical C</t>
  </si>
  <si>
    <t>PLEAN_X310202EE5020201 Fertility Medical Non R&amp;D EE50 Medical E</t>
  </si>
  <si>
    <t>PLEAN_X310202EE5022201 Fertility Medical Non R&amp;D EE50 Medical C</t>
  </si>
  <si>
    <t>PLEAN_X310202EE5023201 Fertility Medical Non R&amp;D EE50 Other Med</t>
  </si>
  <si>
    <t>PLEAN_X310512LT5020201 Mavenclad Medical Non R&amp;D LT50 Medical E</t>
  </si>
  <si>
    <t>PLEAN_X310202LT5022201 Fertility Medical Non R&amp;D LT50 Medical C</t>
  </si>
  <si>
    <t>PLEAN_X310321LV5013201 Cardio Commercial LV50 Congress &amp; Events</t>
  </si>
  <si>
    <t>PLEAN_X310512LV5022201 Mavenclad Medical Non R&amp;D LV50 Medical C</t>
  </si>
  <si>
    <t>PLEAN_X310202LV5020201 Fertility Medical Non R&amp;D LV50 Medical E</t>
  </si>
  <si>
    <t>PLEAN_X310202LV5022201 Fertility Medical Non R&amp;D LV50 Medical C</t>
  </si>
  <si>
    <t>PLEAN_X310131AT5013200 Tepmetko Sponsorings &amp; events</t>
  </si>
  <si>
    <t>PLEAN_X310131AT5015200 Tepmetko Promo &amp; advertising</t>
  </si>
  <si>
    <t>PLEAN_X310321AT5011200 Cardio Advertising</t>
  </si>
  <si>
    <t>PLEAN_X310321AT5013200 Cardio Congresses &amp; events</t>
  </si>
  <si>
    <t>PLEAN_X310321AT5015200 Cardio Other promotion and advertising</t>
  </si>
  <si>
    <t>PLEAN_X310512AT5023200 Mavenclad Other medical activities (non-</t>
  </si>
  <si>
    <t>PLEAN_X310101AT5013200 Erbitux Sponsorings &amp; events</t>
  </si>
  <si>
    <t>PLEAN_X310101AT5015200 Erbitux Promo &amp; advertising</t>
  </si>
  <si>
    <t>PLEAN_X310102AT5023200 Erbitux Medical activities</t>
  </si>
  <si>
    <t>PLEAN_X310102AT5023201 Erbitux Medical congresses</t>
  </si>
  <si>
    <t>PLEAN_X310202AT5023200 Fertility Other medical activities (non-</t>
  </si>
  <si>
    <t>PLEAN_X310322AT5020200 Cardio Medical education</t>
  </si>
  <si>
    <t>PLEAN_X310322AT5022200 Cardio Medical consultants</t>
  </si>
  <si>
    <t>PLEAN_X310322AT5023200 Cardio Other medical activities (non-R&amp;D</t>
  </si>
  <si>
    <t>PLEAN_X310331AT5013200 Thyroids Congresses &amp; events</t>
  </si>
  <si>
    <t>PLEAN_X310331AT5015200 Thyroids Other promotion and advertising</t>
  </si>
  <si>
    <t>PLEAN_X310332AT5020200 Thyroids Medical education</t>
  </si>
  <si>
    <t>PLEAN_X310332AT5022200 Thyroids Medical consultants</t>
  </si>
  <si>
    <t>PLEAN_X310332AT5023200 Thyroids Other medical activities (non-R</t>
  </si>
  <si>
    <t>PLEAN_X310321CZ5010201 Cardio Commercial CZ50 Promo Material Ge</t>
  </si>
  <si>
    <t>PLEAN_X310321CZ5011201 Cardio Commercial CZ50 Advertising Gener</t>
  </si>
  <si>
    <t>PLEAN_X310321CZ5013201 Cardio Commercial CZ50 Congress &amp; Events</t>
  </si>
  <si>
    <t>PLEAN_X310321CZ5013202 Cardio Commercial CZ50 Congress &amp; Events</t>
  </si>
  <si>
    <t>PLEAN_X310321CZ5013205 Cardio Commercial CZ50 Congress &amp; Events</t>
  </si>
  <si>
    <t>PLEAN_X310321CZ5015201 Cardio Commercial CZ50 Other Promo and A</t>
  </si>
  <si>
    <t>PLEAN_X310321CZ5015205 Cardio Commercial CZ50 Other Promo and A</t>
  </si>
  <si>
    <t>PLEAN_X310321CZ5030201 Cardio Commercial CZ50 Other M&amp;S Registr</t>
  </si>
  <si>
    <t>PLEAN_X310512CZ5020202 Mavenclad Medical Non R&amp;D CZ50 Medical E</t>
  </si>
  <si>
    <t>PLEAN_X310512CZ5020203 Mavenclad Medical Non R&amp;D CZ50 Medical E</t>
  </si>
  <si>
    <t>PLEAN_X310512CZ5021201 Mavenclad Medical Non R&amp;D CZ50 Medical D</t>
  </si>
  <si>
    <t>PLEAN_X310512CZ5022201 Mavenclad Medical Non R&amp;D CZ50 Medical C</t>
  </si>
  <si>
    <t>PLEAN_X310101CZ5010201 Erbitux Commercial CZ50 Promo Material G</t>
  </si>
  <si>
    <t>PLEAN_X310101CZ5013202 Erbitux Commercial CZ50 Congress &amp; Event</t>
  </si>
  <si>
    <t>PLEAN_X310101CZ5013203 Erbitux Commercial CZ50 Congress &amp; Event</t>
  </si>
  <si>
    <t>PLEAN_X310101CZ5013204 Erbitux Commercial CZ50 Congress &amp; Event</t>
  </si>
  <si>
    <t>PLEAN_X310101CZ5013205 Erbitux Commercial CZ50 Congress &amp; Event</t>
  </si>
  <si>
    <t>PLEAN_X310101CZ5015201 Erbitux Commercial CZ50 Other Promo and</t>
  </si>
  <si>
    <t>PLEAN_X310101CZ5015205 Erbitux Commercial CZ50 Other Promo and</t>
  </si>
  <si>
    <t>PLEAN_X310101CZ5030201 Erbitux Commercial CZ50 Other M&amp;S Regist</t>
  </si>
  <si>
    <t>PLEAN_X310102CZ5020201 Erbitux Medical Non R&amp;D CZ50 Medical Edu</t>
  </si>
  <si>
    <t>PLEAN_X310102CZ5020202 Erbitux Medical Non R&amp;D CZ50 Medical Edu</t>
  </si>
  <si>
    <t>PLEAN_X310102CZ5020203 Erbitux Medical Non R&amp;D CZ50 Medical Edu</t>
  </si>
  <si>
    <t>PLEAN_X310102CZ5020206 Erbitux Medical Non R&amp;D CZ50 Medical Edu</t>
  </si>
  <si>
    <t>PLEAN_X310202CZ5020202 Fertility Medical Non R&amp;D CZ50 Medical E</t>
  </si>
  <si>
    <t>PLEAN_X310202CZ5020206 Fertility Medical Non R&amp;D CZ50 Medical E</t>
  </si>
  <si>
    <t>PLEAN_X310322CZ5020205 Cardio Medical Non R&amp;D CZ50 Medical Educ</t>
  </si>
  <si>
    <t>PLEAN_X310331CZ5011201 Thyro Commercial CZ50 Advertising Genera</t>
  </si>
  <si>
    <t>PLEAN_X310331CZ5013201 Thyro Commercial CZ50 Congress &amp; Events</t>
  </si>
  <si>
    <t>PLEAN_X310331CZ5013202 Thyro Commercial CZ50 Congress &amp; Events</t>
  </si>
  <si>
    <t>PLEAN_X310331CZ5013205 Thyro Commercial CZ50 Congress &amp; Events</t>
  </si>
  <si>
    <t>PLEAN_X310331CZ5015201 Thyro Commercial CZ50 Other Promo and Ad</t>
  </si>
  <si>
    <t>PLEAN_X310331CZ5015205 Thyro Commercial CZ50 Other Promo and Ad</t>
  </si>
  <si>
    <t>PLEAN_X310331CZ5030201 Thyro Commercial CZ50 Other M&amp;S Registra</t>
  </si>
  <si>
    <t>PLEAN_X310332CZ5020201 Thyro Medical Non R&amp;D CZ50 Medical Educa</t>
  </si>
  <si>
    <t>PLEAN_X310332CZ5020205 Thyro Medical Non R&amp;D CZ50 Medical Educa</t>
  </si>
  <si>
    <t>H000000238</t>
  </si>
  <si>
    <t>H000000220</t>
  </si>
  <si>
    <t>H000000218</t>
  </si>
  <si>
    <t>H000000233</t>
  </si>
  <si>
    <t>H000000219</t>
  </si>
  <si>
    <t>H000000227</t>
  </si>
  <si>
    <t>H000000229</t>
  </si>
  <si>
    <t>H000000211</t>
  </si>
  <si>
    <t>H000000217</t>
  </si>
  <si>
    <t xml:space="preserve">CNOW_7210$$$0000051664 </t>
  </si>
  <si>
    <t xml:space="preserve">G000000145 </t>
  </si>
  <si>
    <t>FR7303087</t>
  </si>
  <si>
    <t>Changes were saved for change request 25312406</t>
  </si>
  <si>
    <t>FR7311725</t>
  </si>
  <si>
    <t>CFLTFLE_11030000000420 Nymphaea</t>
  </si>
  <si>
    <t>P000000658</t>
  </si>
  <si>
    <t>FR7311374</t>
  </si>
  <si>
    <t>CFLTFLE_1054ITIP1054 IT GOVERNANCE</t>
  </si>
  <si>
    <t>G000000894</t>
  </si>
  <si>
    <t>FR7311013</t>
  </si>
  <si>
    <t>CNOW_7210$$$0000056667</t>
  </si>
  <si>
    <t>G000000631</t>
  </si>
  <si>
    <t>PNEXT_CPRJ-138705 GY3 3 Year ICH Stability Study</t>
  </si>
  <si>
    <t>L000013187</t>
  </si>
  <si>
    <t>PNEXT_CPRJ-138716 GY3 (ONCT-534) Phase 2 cGMP Manufacture</t>
  </si>
  <si>
    <t>PNEXT_CPRJ-138717 GY3 (ONCT-534) Phase 2 cGMP Manufacture</t>
  </si>
  <si>
    <t>PNEXT_CPRJ-138718 GY3 (ONCT-534) 3KG GMP Batch &amp; Testing</t>
  </si>
  <si>
    <t>PNEXT_CON_00011716TTO ER6 Stability Testing Batch</t>
  </si>
  <si>
    <t>PNEXT_CPRJ-98202200116 ER6 cGMP Manufacture 140G Batch 1</t>
  </si>
  <si>
    <t>PNEXT_CPRJ-98202200117 ER6 cGMP Manufacture 140G Batch 2</t>
  </si>
  <si>
    <t>PNEXT_CPRJ-98202200118 ER6 Campaign Summary Report</t>
  </si>
  <si>
    <t>PNEXT_CPRJ-98202200120 ER6 Stability Initiation 140G Batch 2</t>
  </si>
  <si>
    <t>PNEXT_CPRJ-98202200122 ER6 cGMP Mfg 140G Batch 3(rebill)</t>
  </si>
  <si>
    <t>PNEXT_CPRJ-98202200123 FIO analytical testing</t>
  </si>
  <si>
    <t>PNEXT_CPRJ-98202200124 FIO analytical testing</t>
  </si>
  <si>
    <t>PNEXT_CPRJ-98202200125 FIO analytical testing</t>
  </si>
  <si>
    <t>PNEXT_CPRJ-98202200126 Reference standard characterization</t>
  </si>
  <si>
    <t>PNEXT_CPRJ-98202200134 ER6 Analytical Testing PO 4300025737</t>
  </si>
  <si>
    <t>PNEXT_CPRJ-98202200135 ER6 Delivery of Revised CoA</t>
  </si>
  <si>
    <t>PNEXT_CPRJ-98202300021 Analytical Summary Qual and Validation</t>
  </si>
  <si>
    <t>PNEXT_CPRJ-98202300022 Outsource Testing</t>
  </si>
  <si>
    <t>PNEXT_CPRJ-98202300027 cGMP Manufacture of ML59</t>
  </si>
  <si>
    <t>PNEXT_CPRJ-98202300028 cGMP Manufacture of ML8</t>
  </si>
  <si>
    <t>PNEXT_CPRJ-98202300029 Campaign Summary Report</t>
  </si>
  <si>
    <t>PNEXT_CPRJ-98202300030 Stability Testing batch of ML8</t>
  </si>
  <si>
    <t>PNEXT_CPRJ-98202300063 HPLC Method Purity Development- Cpd 7</t>
  </si>
  <si>
    <t>PNEXT_CPRJ-98202300064 GC Method Purity Development- ML59</t>
  </si>
  <si>
    <t>PNEXT_CPRJ-98202300065 Supplemental Method Validation</t>
  </si>
  <si>
    <t>PNEXT_CPRJ-98202300067 Short term storage of Alisertib</t>
  </si>
  <si>
    <t>PNEXT_CPRJ-98202300068 FMEA/DoE Gap Assesment</t>
  </si>
  <si>
    <t>PNEXT_CPRJ-98202300034 SSP-014 Stability</t>
  </si>
  <si>
    <t>PNEXT_CPRJ-98202300039 SSP-020 (2024 Batch #1)</t>
  </si>
  <si>
    <t>PNEXT_CPRJ-98202300040 SSP-021 (2024 Batch #2)</t>
  </si>
  <si>
    <t>PNEXT_CPRJ-98202300041 SSP-022 (2024 Batch #3) and Report</t>
  </si>
  <si>
    <t>PNEXT_CPRJ-98202300045 SSP-018 (Phase 4 150g of cGMP SSP)</t>
  </si>
  <si>
    <t>PNEXT_CPRJ-98202300046 SSP-019 (Phase 5 150g of cGMP SSP)</t>
  </si>
  <si>
    <t>PNEXT_CPRJ-98202300051 Dedicated general Lab GlasswareEquipment</t>
  </si>
  <si>
    <t>PNEXT_CPRJ-98202300055 SSP-024 (Replacement batch for SSP-015)</t>
  </si>
  <si>
    <t>PNEXT_CPRJ-98202300060 SSP Reference Standard Qualification</t>
  </si>
  <si>
    <t>CPRJ-13870</t>
  </si>
  <si>
    <t>CPRJ-9820220011</t>
  </si>
  <si>
    <t>CPRJ-9820230002</t>
  </si>
  <si>
    <t>CPRJ-9820230003</t>
  </si>
  <si>
    <t>FR7317802</t>
  </si>
  <si>
    <t>ITEMPEU_003300000473 CH71 ACA_ALC-0315 Invest F</t>
  </si>
  <si>
    <t>ITEMPEU_003300000474 CH71 MBH DOTMA Invest F</t>
  </si>
  <si>
    <t>ITEMPEU_003300000475 CH71 MBC DOPE Invest F</t>
  </si>
  <si>
    <t>ITEMPEU_003900000189 CH71 MBQ Nacalai</t>
  </si>
  <si>
    <t>ITEMPEU_003900000211 CH71 ENA 89Bio</t>
  </si>
  <si>
    <t>ITEMPEU_003900000216 CH71 CVA Curevac</t>
  </si>
  <si>
    <t>ITEMPEU_003900000217 CH71 MBM Fu Fang</t>
  </si>
  <si>
    <t>ITEMPEU_003900000224 CH71  ASM Aerosol-Service</t>
  </si>
  <si>
    <t>ITEMPEU_003900000226 CH71 DSA Daiichi Sankyo</t>
  </si>
  <si>
    <t>ITEMPEU_003900000227 CH71 OBB Orbital Therapeutics</t>
  </si>
  <si>
    <t>ITEMPEU_003900000228 CH71 OBA Orbital Tx</t>
  </si>
  <si>
    <t>ITEMPEU_003900000229 CH71 MDL Merck_Darmstadt</t>
  </si>
  <si>
    <t>ITEMPEU_003900000234 CH71  UHA_University_of_Hokkaido</t>
  </si>
  <si>
    <t>ITEMPEU_003900000235 CH71  PIA_Prime_Medicine_Inc</t>
  </si>
  <si>
    <t>ITEMPEU_003900000237 CH71 _UAA_University_Health_Network</t>
  </si>
  <si>
    <t>ITEMPEU_003900000238 CH71 _ACD_Acuitas Therapeutics</t>
  </si>
  <si>
    <t>ITEMPEU_003900000239 CH71 _ACC Petheon Alc-0366 S Bulk</t>
  </si>
  <si>
    <t>FR7317532</t>
  </si>
  <si>
    <t>FR7319861</t>
  </si>
  <si>
    <t>FR7319903</t>
  </si>
  <si>
    <t>CEMERAL_70006101MS3119 Communications  Executive Proj</t>
  </si>
  <si>
    <t>CEMERAL_70006101MS3216 Portfolio Brand</t>
  </si>
  <si>
    <t>CEMERAL_70006101STOMKT STO - Strategic market Intelligence</t>
  </si>
  <si>
    <t>CEMERAL_70006203991365 LS Business Services India</t>
  </si>
  <si>
    <t>CEMERAL_700065020KAIST KAIST - CTO</t>
  </si>
  <si>
    <t>CEMERAL_70006502993C17 Social Media Governance</t>
  </si>
  <si>
    <t>CEMERAL_70007001581230 MESI REG LS Com Exec Proj</t>
  </si>
  <si>
    <t>CLFF_1000$$$DE10OF0003 Tail Spend Management</t>
  </si>
  <si>
    <t>CLFF_7210$$$1756OF0001 Social Media &amp; Digital Communications</t>
  </si>
  <si>
    <t>CLFF_7210$$$1756OF0006 Communications Executive Projects</t>
  </si>
  <si>
    <t>CLFF_7210$$$1756OF7061 UK WIL Exec Proj</t>
  </si>
  <si>
    <t>CLFF_7210$$$1756OF7094 LS Business Svcs UK</t>
  </si>
  <si>
    <t>CLFF_7210$$$2148OF0261 LS Creative Svcs CM</t>
  </si>
  <si>
    <t>CNOW_7210$$$0000000658 sustainability</t>
  </si>
  <si>
    <t>CNOW_7210$$$0000010131 LS Business Services</t>
  </si>
  <si>
    <t>CNOW_7210$$$0000010335 LS Global Portfolio Brand Sigma</t>
  </si>
  <si>
    <t>CNOW_7210$$$0000010430 LS US Executive Projects</t>
  </si>
  <si>
    <t>CNOW_7210$$$0000010432 US WIL HR 2098</t>
  </si>
  <si>
    <t>CNOW_7210$$$0000010445 Social Media Governance</t>
  </si>
  <si>
    <t>CNOW_7210$$$0000010453 Social Media Governance</t>
  </si>
  <si>
    <t>CNOW_7210$$$0000010479 Exec Projects Other Admin STL HUB</t>
  </si>
  <si>
    <t>CNOW_7210$$$0000020356 Creative Services</t>
  </si>
  <si>
    <t>CNOW_7210$$$0000020414 C-Virus Expenses</t>
  </si>
  <si>
    <t>CNOW_7210$$$0000021415 Studio Expansion</t>
  </si>
  <si>
    <t>CNOW_7210$$$0000022408 BD BP SLS</t>
  </si>
  <si>
    <t>CNOW_7210$$$0000023175 Executive Projects Other M&amp;S</t>
  </si>
  <si>
    <t>CNOW_7210$$$0000023467 Portfolio Brand</t>
  </si>
  <si>
    <t>CNOW_7210$$$0000040406 C-Virus Expenses</t>
  </si>
  <si>
    <t>CNOW_7210$$$0000040407 LS Business Services Milwaukee</t>
  </si>
  <si>
    <t>CNOW_7210$$$0000057094 LS Business Services UK</t>
  </si>
  <si>
    <t>CNOW_7210$$$0000264020 US WIL HR 5410 BioR</t>
  </si>
  <si>
    <t>CNOW_AUS0$$$0000092047 LS TRO - Competitive Intelligence</t>
  </si>
  <si>
    <t>CORAERP_MMOR1945.5084 Exec Projects Other M&amp;S</t>
  </si>
  <si>
    <t>CORAERP_MMOR1945.5631 LS Corp Responsibilty</t>
  </si>
  <si>
    <t>CORAERP_MMOR1945.9415 Corporate Giving</t>
  </si>
  <si>
    <t>CORAERP_MMOR1945.9541 HR Exec Projects</t>
  </si>
  <si>
    <t>CORAERP_MMOR1945.9655 Communications Executive Proj</t>
  </si>
  <si>
    <t>CORAERP_MMOR1945.9797 Studio Expansion</t>
  </si>
  <si>
    <t>CORAERP_MMOR1975.5084 Exec Projects Other M&amp;S</t>
  </si>
  <si>
    <t>CORAERP_MMOR1975.5611 LS Brand team</t>
  </si>
  <si>
    <t>CORAERP_MMOR1975.5631 LS Corp Responsibilty</t>
  </si>
  <si>
    <t>CORAERP_MMOR1975.5632 Creative Services Depreciation</t>
  </si>
  <si>
    <t>CORAERP_MMOR1975.6042 Business &amp; Competitive Information</t>
  </si>
  <si>
    <t>CORAERP_MMOR1975.6726 Exec Projects R&amp;D</t>
  </si>
  <si>
    <t>CORAERP_MMOR1975.9415 Corporate Giving</t>
  </si>
  <si>
    <t>CORAERP_MMOR1975.9479 LS Global Portfolio Brand US</t>
  </si>
  <si>
    <t>CORAERP_MMOR1975.9501 US Burlington HQ CEO Office</t>
  </si>
  <si>
    <t>CORAERP_MMOR1975.9509 US WIL HR Exec Proj 1975</t>
  </si>
  <si>
    <t>CORAERP_MMOR1975.9517 Employee Engagement</t>
  </si>
  <si>
    <t>CORAERP_MMOR1975.9540 Executive Projects other</t>
  </si>
  <si>
    <t>CORAERP_MMOR1975.9541 HR Exec Projects</t>
  </si>
  <si>
    <t>CORAERP_MMOR1975.9553 C-virus activities</t>
  </si>
  <si>
    <t>CORAERP_MMOR1975.9556 LS Strategy</t>
  </si>
  <si>
    <t>CORAERP_MMOR1975.9655 Communications Executive Proj</t>
  </si>
  <si>
    <t>CORAERP_MMOR1975.9659 Pharma Value Chain</t>
  </si>
  <si>
    <t>CORAERP_MMOR1975.9679 LS Creative Services</t>
  </si>
  <si>
    <t>CORAERP_MMOR1975.9793 PVC - AI Enabled Drug Discovery</t>
  </si>
  <si>
    <t>CORAERP_MMOR1975.9794 PVC - Advanced Cell Culture</t>
  </si>
  <si>
    <t>CORAERP_MMOR1975.9795 PVC - Exploration</t>
  </si>
  <si>
    <t>CORAERP_MMOR1975.9797 Studio Expansion</t>
  </si>
  <si>
    <t>CORAERP_MMOR1975.9871 LS Business Development</t>
  </si>
  <si>
    <t>CPHOENX_01010000623501 LS Lab hub Interim solution A60</t>
  </si>
  <si>
    <t>CPHOENX_01010000623502 LS interim solution R&amp;D growth</t>
  </si>
  <si>
    <t>CPHOENX_01010000630700 LS Global Portfolio Brand - Germany</t>
  </si>
  <si>
    <t>CPHOENX_01010000636700 LS Brand Team - Germany</t>
  </si>
  <si>
    <t>CPHOENX_01010000636710 Business Development</t>
  </si>
  <si>
    <t>CPHOENX_01010000661600 Life Science C4 Exp</t>
  </si>
  <si>
    <t>CPHOENX_01010000683000 LS Strategy</t>
  </si>
  <si>
    <t>CPHOENX_01010000697500 LS Business Services</t>
  </si>
  <si>
    <t>CPHOENX_01010000697550 LS Creative Services</t>
  </si>
  <si>
    <t>CPHOENX_01010000697650 LS Strategic Initiatives</t>
  </si>
  <si>
    <t>CPHOENX_01010000697760 Studio Expansion</t>
  </si>
  <si>
    <t>CPHOENX_01010000697840 HR Execuitive Projects</t>
  </si>
  <si>
    <t>CPHOENX_01010000697860 LS R&amp;D Executive Projects</t>
  </si>
  <si>
    <t>CPHOENX_01010000697880 LS Executive Projects Other M&amp;S</t>
  </si>
  <si>
    <t>CTEMPEU_1000TR10ADK701 Comm Exec Proj</t>
  </si>
  <si>
    <t>CTEMPLA_1000BR10110001 Comm Exec Proj</t>
  </si>
  <si>
    <t>FL000011147_IO Executive Projects Comm-G (IO)</t>
  </si>
  <si>
    <t>L000011146</t>
  </si>
  <si>
    <t>L000011332</t>
  </si>
  <si>
    <t>L000011344</t>
  </si>
  <si>
    <t>L000012995</t>
  </si>
  <si>
    <t>L000012434</t>
  </si>
  <si>
    <t>L000011150</t>
  </si>
  <si>
    <t>L000011148</t>
  </si>
  <si>
    <t>L000011124</t>
  </si>
  <si>
    <t>L000013736</t>
  </si>
  <si>
    <t>L000013107</t>
  </si>
  <si>
    <t>L000011329</t>
  </si>
  <si>
    <t>L000013108</t>
  </si>
  <si>
    <t>L000011144</t>
  </si>
  <si>
    <t>L000011336</t>
  </si>
  <si>
    <t>L000012431</t>
  </si>
  <si>
    <t>L000012432</t>
  </si>
  <si>
    <t>L000013738</t>
  </si>
  <si>
    <t>Changes were saved for change request 25330658</t>
  </si>
  <si>
    <t>FR7320399</t>
  </si>
  <si>
    <t xml:space="preserve">CLFF_7210$$$2123GM1021 </t>
  </si>
  <si>
    <t xml:space="preserve">CLFF_7210$$$2123GMB010 </t>
  </si>
  <si>
    <t>G000001374</t>
  </si>
  <si>
    <t>G000001183</t>
  </si>
  <si>
    <t>Changes were saved for change request 25330845</t>
  </si>
  <si>
    <t>FR7320867</t>
  </si>
  <si>
    <t>CLFF_1000$$$KE50C0FF10 FF - Science &amp; Lab Solutions</t>
  </si>
  <si>
    <t>Changes were saved for change request 25331260</t>
  </si>
  <si>
    <t>FR7322183</t>
  </si>
  <si>
    <t>CLFF_7210$$$2148TCSZ30 Maintenance &amp; Engineering</t>
  </si>
  <si>
    <t>CLFF_7210$$$2148TFSZ60 Production Infrastructure</t>
  </si>
  <si>
    <t>CLFF_7210$$$2148TFSZ61 Production Infrastrcuture (EHS)</t>
  </si>
  <si>
    <t>CLFF_7210$$$2148TFSZ62 IVDR Costs Allocated Out</t>
  </si>
  <si>
    <t>CLFF_7210$$$2148TFSZ63 Site Costs</t>
  </si>
  <si>
    <t>CLFF_7210$$$2148TASA00 Production 1-Main</t>
  </si>
  <si>
    <t>FLFF_7210$$$2148TASA00_IO Production 1-Main (IO)</t>
  </si>
  <si>
    <t>CLFF_7210$$$2148TASA00_IO</t>
  </si>
  <si>
    <t>CLFF_7210$$$2148TASA00</t>
  </si>
  <si>
    <t>FR7318069</t>
  </si>
  <si>
    <t>CLFF_1000$$$DE04G0IT99 Spice non-transferring assets IT</t>
  </si>
  <si>
    <t>CLFF_1000$$$DE04O01001 SPICE non-transferring assets F129</t>
  </si>
  <si>
    <t>CLFF_1000$$$DE04O01002 SPICE non-transferring assets misc</t>
  </si>
  <si>
    <t>CLFF_1000$$$DE04Z03110 SPICE Rebranding</t>
  </si>
  <si>
    <t>CEMERAL_70007001Z03100 SPICE HR</t>
  </si>
  <si>
    <t>CFLTFLE_1044PMHR SPICE HR</t>
  </si>
  <si>
    <t>CLFF_1000$$$CN01Z03105 SPICE HR</t>
  </si>
  <si>
    <t>CLFF_1000$$$DE04Z03108 SPICE HR</t>
  </si>
  <si>
    <t>CLFF_1000$$$DE10Z03113 SPICE HR</t>
  </si>
  <si>
    <t>CLFF_1000$$$IN01Z03101 SPICE HR</t>
  </si>
  <si>
    <t>CLFF_1000$$$JP01Z03103 SPICE HR</t>
  </si>
  <si>
    <t>CLFF_1000$$$US01Z03107 SPICE HR</t>
  </si>
  <si>
    <t>CLFF_KR00$$$KR03Z03104 SPICE HR</t>
  </si>
  <si>
    <t>CLFF_VMCA$$$US10Z03102 SPICE HR</t>
  </si>
  <si>
    <t>CPHOENX_01019182003100 SPICE HR</t>
  </si>
  <si>
    <t>CSCALA_1042$PMHR SPICE HR</t>
  </si>
  <si>
    <t>CTEMPEU_1000BE40Z03001 SPICE HR</t>
  </si>
  <si>
    <t>CTEMPEU_1000ES40Z03100 SPICE HR</t>
  </si>
  <si>
    <t>CTEMPEU_1000FR10Z03100 SPICE HR</t>
  </si>
  <si>
    <t>CTEMPEU_1000NL40Z03100 SPICE HR</t>
  </si>
  <si>
    <t>CTEMPEU_1000PL10Z03100 SPICE HR</t>
  </si>
  <si>
    <t>CTEMPLA_1000BR10Z03100 SPICE HR</t>
  </si>
  <si>
    <t>CTEMPLA_1000MX10Z03100 SPICE HR</t>
  </si>
  <si>
    <t>P000001271</t>
  </si>
  <si>
    <t>P000001268</t>
  </si>
  <si>
    <t>P000001273</t>
  </si>
  <si>
    <t>FR7324585</t>
  </si>
  <si>
    <t>CLFF_1000$$$AE50GCO220 Lumina Plan &amp; Report</t>
  </si>
  <si>
    <t>CLFF_1000$$$CN90GMK003 Lumina  RGP Processes</t>
  </si>
  <si>
    <t>CLFF_1000$$$DE10624905 LEAP</t>
  </si>
  <si>
    <t>CLFF_1000$$$DE10624906 LEAP IT projects</t>
  </si>
  <si>
    <t>CLFF_1000$$$DE10GM1057 Lumina  RGP Processes</t>
  </si>
  <si>
    <t>CLFF_1000$$$DE10GMK003 Lumina Regulatory Compl.</t>
  </si>
  <si>
    <t>CLFF_1000$$$DE10GMK004 Lumina Process Excellence</t>
  </si>
  <si>
    <t>CLFF_1000$$$DE10Z03107 Lumina FTO &amp; FTOM</t>
  </si>
  <si>
    <t>CLFF_1000$$$DE10Z03108 Lumina  RGP Processes</t>
  </si>
  <si>
    <t>CLFF_1000$$$DE10Z03109 Lumina Plan &amp; Report</t>
  </si>
  <si>
    <t>CLFF_1000$$$DE10Z03110 Lumina RDF and Tech&amp;Data</t>
  </si>
  <si>
    <t>CLFF_7210$$$1937GMK003 Lumina FTO &amp; FTOM</t>
  </si>
  <si>
    <t>CLFF_7210$$$2025GMK003 Project Lumina Plan &amp; Report</t>
  </si>
  <si>
    <t>CLFF_7210$$$2123Z03104 Lumina  RGP Processes</t>
  </si>
  <si>
    <t>CORAERP_MMOR1975.9682 Lumina Plan &amp; Report</t>
  </si>
  <si>
    <t>CTEMPEU_1000PL80GMK003 Lumina  RGP Processes</t>
  </si>
  <si>
    <t>CTEMPEU_1000PL80GMK004 Lumina Process Excellence</t>
  </si>
  <si>
    <t>CTEMPNA_1000PH80GBTL53 Lumina Plan &amp; Report</t>
  </si>
  <si>
    <t>CTEMPNA_1000PH80GMK003 Lumina  RGP Processes</t>
  </si>
  <si>
    <t>G000001361</t>
  </si>
  <si>
    <t>G000001362</t>
  </si>
  <si>
    <t>G000001366</t>
  </si>
  <si>
    <t>G000001364</t>
  </si>
  <si>
    <t>G000001365</t>
  </si>
  <si>
    <t>G000001360</t>
  </si>
  <si>
    <t>G000001363</t>
  </si>
  <si>
    <t>FR7324504</t>
  </si>
  <si>
    <t>CTEMPLA_1000UY10100106</t>
  </si>
  <si>
    <t>G000001373</t>
  </si>
  <si>
    <t>G000001359</t>
  </si>
  <si>
    <t>Changes were saved for change request 25334997</t>
  </si>
  <si>
    <t>FR7328669</t>
  </si>
  <si>
    <t>CNOW_7210$$$PC00000000</t>
  </si>
  <si>
    <t>CNOW_7210$$$PC00011091</t>
  </si>
  <si>
    <t>CNOW_7210$$$PC00011809</t>
  </si>
  <si>
    <t>L000012168</t>
  </si>
  <si>
    <t>L000012167</t>
  </si>
  <si>
    <t>L000012165</t>
  </si>
  <si>
    <t>FR7327207</t>
  </si>
  <si>
    <t>PLEAN_X310201CH6843049 ESHRE local costs-1028 Chile LRD</t>
  </si>
  <si>
    <t>CTEMPLA_1000PA20ZZ0B22 ISS - Marketing Ferti / Endo</t>
  </si>
  <si>
    <t>CTEMPLA_1000PA10BB1E33 XXXCMC - Sales Promo CM Care Local-Cilos</t>
  </si>
  <si>
    <t>CTEMPLA_1000PA10CW1E33 XXXCMC - Sales Promo CM Care Local-Cilos</t>
  </si>
  <si>
    <t>CTEMPLA_1000GT10ZZ0E21 ISS - Marketing Cardio</t>
  </si>
  <si>
    <t>CTEMPLA_1000GT10ZZ0E22 ISS - Marketing Tiroides</t>
  </si>
  <si>
    <t>CTEMPLA_1000PA10ZZ0E21 ISS - Marketing Cardio</t>
  </si>
  <si>
    <t>CTEMPLA_1000PA10ZZ0E22 ISS - Marketing tiroides</t>
  </si>
  <si>
    <t>CTEMPLA_1000PA20ZZ0E21 ISS - Marketing Cardio</t>
  </si>
  <si>
    <t>CTEMPLA_1000PA20ZZ0B21 ISS - Marketing Neurology</t>
  </si>
  <si>
    <t>CTEMPLA_1000CL10788702 Destruction expenses TSM</t>
  </si>
  <si>
    <t>H000000336</t>
  </si>
  <si>
    <t>H000000369</t>
  </si>
  <si>
    <t>H000000346</t>
  </si>
  <si>
    <t>H000000353</t>
  </si>
  <si>
    <t>H000000359</t>
  </si>
  <si>
    <t>Dan John Magada</t>
  </si>
  <si>
    <t>Changes were saved for change request 25339736</t>
  </si>
  <si>
    <t>Changes were saved for change request 25339737</t>
  </si>
  <si>
    <t>CNOW_7210$$$0000015235</t>
  </si>
  <si>
    <t>L000013203</t>
  </si>
  <si>
    <t>FR7330120</t>
  </si>
  <si>
    <t>Florian Sonntag</t>
  </si>
  <si>
    <t>FR7332565</t>
  </si>
  <si>
    <t>FR7335135</t>
  </si>
  <si>
    <t>CNOW_7210$$$0000021406</t>
  </si>
  <si>
    <t>L000007892</t>
  </si>
  <si>
    <t>CLFF_7210$$$2137C00001</t>
  </si>
  <si>
    <t>L000013113</t>
  </si>
  <si>
    <t>FR7335136</t>
  </si>
  <si>
    <t>CSCALA_1042$BISS_S22</t>
  </si>
  <si>
    <t>CSCALA_1042$FEPM_F77</t>
  </si>
  <si>
    <t>CSCALA_1042$MSMS_D17</t>
  </si>
  <si>
    <t>CSCALA_1042$MSMS_D20</t>
  </si>
  <si>
    <t>CSCALA_1042$MSMS_E12</t>
  </si>
  <si>
    <t>CSCALA_1042$MSMS_F09</t>
  </si>
  <si>
    <t>CSCALA_1042$MSMS_F10</t>
  </si>
  <si>
    <t>CSCALA_1042$MSMS_O15</t>
  </si>
  <si>
    <t>CSCALA_1042$MSMS_TT6</t>
  </si>
  <si>
    <t>CSCALA_1042$MSMS_W13</t>
  </si>
  <si>
    <t>CSCALA_1042$MSMS_X04</t>
  </si>
  <si>
    <t>CSCALA_1042$MSMS_X06</t>
  </si>
  <si>
    <t>CSCALA_1042$MSPM_C53</t>
  </si>
  <si>
    <t>CSCALA_1042$MSPM_C57</t>
  </si>
  <si>
    <t>CSCALA_1042$MSPM_D93</t>
  </si>
  <si>
    <t>CSCALA_1042$MSPM_D94</t>
  </si>
  <si>
    <t>CSCALA_1042$MSPM_E83</t>
  </si>
  <si>
    <t>CSCALA_1042$MSPM_T52</t>
  </si>
  <si>
    <t>CSCALA_1042$MSPM_T97</t>
  </si>
  <si>
    <t>CSCALA_1042$ONPM_W98</t>
  </si>
  <si>
    <t>CSCALA_1042$ONPM_X53</t>
  </si>
  <si>
    <t>PSCALA_C53 Hiaman Noah</t>
  </si>
  <si>
    <t>PSCALA_F09 Aspire 2025</t>
  </si>
  <si>
    <t>PSCALA_F68 MSART Congress</t>
  </si>
  <si>
    <t>PSCALA_F79 Key Account territory event</t>
  </si>
  <si>
    <t>PSCALA_F99 Unplanned expense</t>
  </si>
  <si>
    <t>PSCALA_O07 ASCOMOS 2024</t>
  </si>
  <si>
    <t>PSCALA_T97 Thyroid Area's Event/ Conferences 2025</t>
  </si>
  <si>
    <t>FR7336709</t>
  </si>
  <si>
    <t>FR7336726</t>
  </si>
  <si>
    <t>IEMERAL_000009101206 7001IC2156SI3110250000</t>
  </si>
  <si>
    <t>Changes were saved for change request 25352858</t>
  </si>
  <si>
    <t>CTEMPLA_1000PA10PA1E25 Medical non R&amp;D Cardiovascular</t>
  </si>
  <si>
    <t>FR7339023</t>
  </si>
  <si>
    <t>FR7339740</t>
  </si>
  <si>
    <t xml:space="preserve">CFLTFLE_23940000000110 </t>
  </si>
  <si>
    <t xml:space="preserve">CFLTFLE_23940000000130 </t>
  </si>
  <si>
    <t xml:space="preserve">CFLTFLE_23940000000150 </t>
  </si>
  <si>
    <t xml:space="preserve">CFLTFLE_23940000000171 </t>
  </si>
  <si>
    <t xml:space="preserve">CFLTFLE_23940000000230 </t>
  </si>
  <si>
    <t xml:space="preserve">CFLTFLE_23940000000430 </t>
  </si>
  <si>
    <t xml:space="preserve">CFLTFLE_22760000891084 </t>
  </si>
  <si>
    <t xml:space="preserve">CFLTFLE_2373TTR </t>
  </si>
  <si>
    <t xml:space="preserve">CORAERP_MMOR1975.LLZRX </t>
  </si>
  <si>
    <t xml:space="preserve">ITEMPEU_003300000049 CH71 C_L_MBD </t>
  </si>
  <si>
    <t>L000013197</t>
  </si>
  <si>
    <t>L000006428</t>
  </si>
  <si>
    <t>FR7337019</t>
  </si>
  <si>
    <t>L000010101</t>
  </si>
  <si>
    <t>FR7314300</t>
  </si>
  <si>
    <t>CTEMPEU_1000PL80GHR223</t>
  </si>
  <si>
    <t>G000001173</t>
  </si>
  <si>
    <t>CTEMPNA_1000PH80GFO122</t>
  </si>
  <si>
    <t>CLFF_1000$$$DE10GMW030</t>
  </si>
  <si>
    <t>CORAERP_MMOR1975.9007</t>
  </si>
  <si>
    <t>CTEMPNA_1000US20GM1000</t>
  </si>
  <si>
    <t>CLFF_1000$$$CN90GHR110</t>
  </si>
  <si>
    <t>FR7337931</t>
  </si>
  <si>
    <t>L000012885</t>
  </si>
  <si>
    <t>FR7337981</t>
  </si>
  <si>
    <t>L000010089</t>
  </si>
  <si>
    <t>IPHOENX_000400763895</t>
  </si>
  <si>
    <t>IPHOENX_000400764088</t>
  </si>
  <si>
    <t>IPHOENX_000400764092</t>
  </si>
  <si>
    <t>IPHOENX_000400764173</t>
  </si>
  <si>
    <t>IPHOENX_000400764086</t>
  </si>
  <si>
    <t>IPHOENX_000400764097</t>
  </si>
  <si>
    <t>IPHOENX_000400764098</t>
  </si>
  <si>
    <t>IPHOENX_000400764095</t>
  </si>
  <si>
    <t>Changes were saved for change request 25366984</t>
  </si>
  <si>
    <t>FR7345542</t>
  </si>
  <si>
    <t xml:space="preserve">CNOW_7210$$$0000056336 </t>
  </si>
  <si>
    <t>CTEMPNA_1000PH80GFO047</t>
  </si>
  <si>
    <t>G000001194</t>
  </si>
  <si>
    <t>G000001161</t>
  </si>
  <si>
    <t>CFLTFLE_23960000000450</t>
  </si>
  <si>
    <t>FR7345953</t>
  </si>
  <si>
    <t>FR7352279</t>
  </si>
  <si>
    <t>EMERAL_70006202991013</t>
  </si>
  <si>
    <t>H000000940</t>
  </si>
  <si>
    <t>CLFF_1000$$$DE20538638</t>
  </si>
  <si>
    <t>CLFF_1000$$$DE10538638</t>
  </si>
  <si>
    <t>FR7351855</t>
  </si>
  <si>
    <t>G000000943</t>
  </si>
  <si>
    <t>G000001017</t>
  </si>
  <si>
    <t>Changes were saved for change request 25374757</t>
  </si>
  <si>
    <t>FR7352048</t>
  </si>
  <si>
    <t>CEMERAL_70006202991013 Learning &amp; Development Administrator</t>
  </si>
  <si>
    <t>ITEMPEU_009000002323 PL10IC1261IS3110350000</t>
  </si>
  <si>
    <t>CEMERAL_70007001433297 MESI REG BP Regional Business Excellence</t>
  </si>
  <si>
    <t>PLEAN_X310001DE5015767 SIT COM PROM OTH GBEI Content Management</t>
  </si>
  <si>
    <t>PLEAN_X310001DE5015768 SIT COM PROM OTH GBEI Content Management</t>
  </si>
  <si>
    <t>PLEAN_X310001DE5015769 SIT COM PROM OTH GCE-Omnichannel Insight</t>
  </si>
  <si>
    <t>PLEAN_X310001DE5015770 SIT COM PROM OTH GCE-Global Conventions</t>
  </si>
  <si>
    <t>PLEAN_X310001DE5015771 SIT COM PROM OTH GCE-FFE Excellence</t>
  </si>
  <si>
    <t>PLEAN_X310001DE5015772 SIT COM PROM OTH GCE-Omnichannel Excelle</t>
  </si>
  <si>
    <t>H000000945</t>
  </si>
  <si>
    <t>FR7352478</t>
  </si>
  <si>
    <t>H000003622</t>
  </si>
  <si>
    <t>H000003628</t>
  </si>
  <si>
    <t>H000003625</t>
  </si>
  <si>
    <t>H000003631</t>
  </si>
  <si>
    <t>H000003633</t>
  </si>
  <si>
    <t>H000002141</t>
  </si>
  <si>
    <t xml:space="preserve">CTEMPLA_1000UY10100011 </t>
  </si>
  <si>
    <t>FR7352779</t>
  </si>
  <si>
    <t>FR7354774</t>
  </si>
  <si>
    <t>CEMERAL_64010010860940 BioP Portfolio Management Headcount</t>
  </si>
  <si>
    <t>CEMERAL_64010010990901</t>
  </si>
  <si>
    <t>CEMERAL_70006101992001</t>
  </si>
  <si>
    <t>CEMERAL_70006101MS1314 LS-PS-FS Focused Modalities &amp; New Segmen</t>
  </si>
  <si>
    <t>CEMERAL_70006101MS3114 Nantong/Wuxi MO</t>
  </si>
  <si>
    <t>CEMERAL_70006101MS3203 Building up a Marketing team in Shanghai</t>
  </si>
  <si>
    <t>CEMERAL_70006101RD3110 Product Management Nantong/Wuxi MO</t>
  </si>
  <si>
    <t>CEMERAL_70006101T2A040</t>
  </si>
  <si>
    <t>CEMERAL_70006112ADA403</t>
  </si>
  <si>
    <t>CEMERAL_70006203100501</t>
  </si>
  <si>
    <t>CEMERAL_70006203121212</t>
  </si>
  <si>
    <t>CEMERAL_70006203131313</t>
  </si>
  <si>
    <t>CEMERAL_70006203600902 A&amp;F Segment Mrktg (IN)</t>
  </si>
  <si>
    <t>CEMERAL_700063029905RA</t>
  </si>
  <si>
    <t>CEMERAL_70006502000001 GTM Mod Focus Korea</t>
  </si>
  <si>
    <t>CEMERAL_70006502991734</t>
  </si>
  <si>
    <t>CEMERAL_70007001580588</t>
  </si>
  <si>
    <t>CEMERAL_70007102171417 Bioprocessing segments</t>
  </si>
  <si>
    <t>CEMERAL_70007102171431 BioP APAC Product Management</t>
  </si>
  <si>
    <t>CEMERAL_70007102171811</t>
  </si>
  <si>
    <t>CFLTFLE_1044LSTC</t>
  </si>
  <si>
    <t>CFLTFLE_10548-151-RMTC</t>
  </si>
  <si>
    <t>CFLTFLE_1106T95000 Marketing</t>
  </si>
  <si>
    <t>CFLTFLE_1798C15</t>
  </si>
  <si>
    <t>CFLTFLE_22450000002762</t>
  </si>
  <si>
    <t>CLFF_7210$$$1756C00005 BioC Innovation Mgmt Mkt UK</t>
  </si>
  <si>
    <t>CLFF_7210$$$1756CS7063 Segment Mkt (U&amp;S)</t>
  </si>
  <si>
    <t>CLFF_7210$$$1756CS7346 PSC - TM EMEA</t>
  </si>
  <si>
    <t>CLFF_7210$$$1756OF0007</t>
  </si>
  <si>
    <t>CLFF_7210$$$1937L52686</t>
  </si>
  <si>
    <t>CLFF_7210$$$2025C01122 A&amp;F Segment Marketing Italy</t>
  </si>
  <si>
    <t>CLFF_7210$$$2063C05891 Strategy Integration</t>
  </si>
  <si>
    <t>CLFF_7210$$$2063C06245 UPSTREAM CANADA</t>
  </si>
  <si>
    <t>CLFF_7210$$$2088C00662 Regional Sales support USA PSC Upstream</t>
  </si>
  <si>
    <t>CLFF_7210$$$2088L50001</t>
  </si>
  <si>
    <t>CLFF_7210$$$2102CS0020 SFRVN cell bank cost</t>
  </si>
  <si>
    <t>CLFF_7210$$$2102CS0713 GENM - Producer Cell Lines Inventory</t>
  </si>
  <si>
    <t>CLFF_7210$$$2102OF0002</t>
  </si>
  <si>
    <t>CLFF_7210$$$2102TESZ81 Cell bank cost STL</t>
  </si>
  <si>
    <t>CLFF_7210$$$2103OF0001</t>
  </si>
  <si>
    <t>CLFF_7210$$$2123C00049 Biocontinuum Marketing</t>
  </si>
  <si>
    <t>CLFF_7210$$$2123CS0002 eCommerce business development India</t>
  </si>
  <si>
    <t>CLFF_7210$$$2123L50008</t>
  </si>
  <si>
    <t>CLFF_7210$$$2125C00005</t>
  </si>
  <si>
    <t>CLFF_7210$$$2128C00002 REG PS-FF UPS&amp;CHROM</t>
  </si>
  <si>
    <t>CLFF_7210$$$2137TPM813 Supply Chain 3813</t>
  </si>
  <si>
    <t>CLFF_7210$$$2137TPM819 Planning 3819</t>
  </si>
  <si>
    <t>CLFF_7210$$$2148L50220</t>
  </si>
  <si>
    <t>CNOW_7210$$$0000010152</t>
  </si>
  <si>
    <t>CNOW_7210$$$0000015019 PSC - Central EU (GESA)</t>
  </si>
  <si>
    <t>CNOW_7210$$$0000021383 Segment Marketing A&amp;F (US)</t>
  </si>
  <si>
    <t>CNOW_7210$$$0000025463 Marketing Ops (Upstream &amp; Systems)</t>
  </si>
  <si>
    <t>CNOW_7210$$$0000025467 Cell Culture Media Marketing</t>
  </si>
  <si>
    <t>CNOW_7210$$$0000040106 Pre-engineering &amp; design support LEAD_PS</t>
  </si>
  <si>
    <t>CNOW_7210$$$0000040459</t>
  </si>
  <si>
    <t>CNOW_7210$$$0000052155 CL - Commercial</t>
  </si>
  <si>
    <t>CNOW_7210$$$0000056127 PS Downstream Portfolio Operations</t>
  </si>
  <si>
    <t>CNOW_7210$$$0000057491</t>
  </si>
  <si>
    <t>CNOW_7210$$$0000058232</t>
  </si>
  <si>
    <t>CNOW_AUS0$$$0000091710</t>
  </si>
  <si>
    <t>CNOW_ROW$$$$0000005301</t>
  </si>
  <si>
    <t>CORAERP_MMOR1917.2686</t>
  </si>
  <si>
    <t>CORAERP_MMOR1917.9076</t>
  </si>
  <si>
    <t>CORAERP_MMOR1945.5002 BioProcessing Upstream</t>
  </si>
  <si>
    <t>CORAERP_MMOR1945.5069 Market, Competitive &amp; Sales Intel / Analytics</t>
  </si>
  <si>
    <t>CORAERP_MMOR1945.5070 BioC Marketing</t>
  </si>
  <si>
    <t>CORAERP_MMOR1945.5077 PS GSA</t>
  </si>
  <si>
    <t>CORAERP_MMOR1945.5124 BioP Process &amp; Governance</t>
  </si>
  <si>
    <t>CORAERP_MMOR1945.5246</t>
  </si>
  <si>
    <t>CORAERP_MMOR1945.5292 Marketing - Single Use</t>
  </si>
  <si>
    <t>CORAERP_MMOR1945.5299 Marketing - Hardware &amp; Systems</t>
  </si>
  <si>
    <t>CORAERP_MMOR1945.5514 Global PSC Tech Management</t>
  </si>
  <si>
    <t>CORAERP_MMOR1945.5891 Segment Marketing</t>
  </si>
  <si>
    <t>CORAERP_MMOR1945.5894 Strategy Operationalization</t>
  </si>
  <si>
    <t>CORAERP_MMOR1945.6520</t>
  </si>
  <si>
    <t>CORAERP_MMOR1945.9729 Resolution Spectra OOEI</t>
  </si>
  <si>
    <t>CORAERP_MMOR1945.L8ZU XXXBL L8 BioPharma Materials - MM - ZU</t>
  </si>
  <si>
    <t>CORAERP_MMOR1945.LR41 PS N9 Single-Use Royalty Expenses</t>
  </si>
  <si>
    <t>CORAERP_MMOR1975.5069 Market, Competitive &amp; Sales Intel / Analytics</t>
  </si>
  <si>
    <t>CORAERP_MMOR1975.5070 BioC Marketing</t>
  </si>
  <si>
    <t>CORAERP_MMOR1975.5074 BioP Upstream Business Line Headcount</t>
  </si>
  <si>
    <t>CORAERP_MMOR1975.5095 PFM Marketing GoGlobal exit</t>
  </si>
  <si>
    <t>CORAERP_MMOR1975.5140 Artemis expenses</t>
  </si>
  <si>
    <t>CORAERP_MMOR1975.5155 PS Digital Experience Management</t>
  </si>
  <si>
    <t>CORAERP_MMOR1975.5202 GENM - Cell &amp; Gene Therapy Franchise</t>
  </si>
  <si>
    <t>CORAERP_MMOR1975.5292 Marketing - Single Use</t>
  </si>
  <si>
    <t>CORAERP_MMOR1975.5299 Marketing - Hardware &amp; Systems</t>
  </si>
  <si>
    <t>CORAERP_MMOR1975.5514 Global PSC Tech Management</t>
  </si>
  <si>
    <t>CORAERP_MMOR1975.5540 PS Marketing Center Management</t>
  </si>
  <si>
    <t>CORAERP_MMOR1975.5598 Marketing - Hardware &amp; Systems</t>
  </si>
  <si>
    <t>CORAERP_MMOR1975.5891 Segment Marketing</t>
  </si>
  <si>
    <t>CORAERP_MMOR1975.5894 Strategy Operationalization</t>
  </si>
  <si>
    <t>CPHOENX_01010000102020 UPM Strategy and Execution</t>
  </si>
  <si>
    <t>CPHOENX_01010000650001 PS UPM Process Liquids &amp; Buffers</t>
  </si>
  <si>
    <t>CPHOENX_01010000681200 MM-PP Marketing Upstream</t>
  </si>
  <si>
    <t>CPHOENX_01010000687201 Bioprocessing - Marketing Operations</t>
  </si>
  <si>
    <t>CPHOENX_01010000689700 NEO-HR HO Operations - Inactive</t>
  </si>
  <si>
    <t>CPHOENX_01010000689970 Franchise 2 SU, Systems &amp; Services</t>
  </si>
  <si>
    <t>CPHOENX_01010000691801 BioProcessing Marketing Excellence</t>
  </si>
  <si>
    <t>CPHOENX_01010000699615 P&amp;FM Tech Comm.</t>
  </si>
  <si>
    <t>CPHOENX_01010000699618 PFM Management</t>
  </si>
  <si>
    <t>CPHOENX_01010000699999 UPM Strategy &amp; Execution</t>
  </si>
  <si>
    <t>CSCALA_1042$LSRG</t>
  </si>
  <si>
    <t>CTEMPEU_1000AT40MS9999 BioProcessing Marketing Segments</t>
  </si>
  <si>
    <t>CTEMPEU_1000CH70MS1105 Marketing SH</t>
  </si>
  <si>
    <t>CTEMPEU_1000CH70MS4004 Franchise 4 BioContinuum</t>
  </si>
  <si>
    <t>CTEMPEU_1000FR60101010</t>
  </si>
  <si>
    <t>CTEMPEU_1000NL40001310 SU Business Planning &amp; Implementation</t>
  </si>
  <si>
    <t>CTEMPLA_1000MX10555555</t>
  </si>
  <si>
    <t>L000013858</t>
  </si>
  <si>
    <t>L000013862</t>
  </si>
  <si>
    <t>L000013855</t>
  </si>
  <si>
    <t>L000013143</t>
  </si>
  <si>
    <t>L000011361</t>
  </si>
  <si>
    <t>L000011394</t>
  </si>
  <si>
    <t>L000013863</t>
  </si>
  <si>
    <t>L000013859</t>
  </si>
  <si>
    <t>L000012407</t>
  </si>
  <si>
    <t>L000013851</t>
  </si>
  <si>
    <t>L000013226</t>
  </si>
  <si>
    <t>L000013840</t>
  </si>
  <si>
    <t>L000013861</t>
  </si>
  <si>
    <t>L000013850</t>
  </si>
  <si>
    <t>L000011362</t>
  </si>
  <si>
    <t>L000011397</t>
  </si>
  <si>
    <t>L000013554</t>
  </si>
  <si>
    <t>L000013841</t>
  </si>
  <si>
    <t>L000006593</t>
  </si>
  <si>
    <t>L000013532</t>
  </si>
  <si>
    <t>L000011363</t>
  </si>
  <si>
    <t>L000010057</t>
  </si>
  <si>
    <t>L000011393</t>
  </si>
  <si>
    <t>L000012348</t>
  </si>
  <si>
    <t>L000013220</t>
  </si>
  <si>
    <t>L000012394</t>
  </si>
  <si>
    <t>L000012392</t>
  </si>
  <si>
    <t>L000011442</t>
  </si>
  <si>
    <t>L000013854</t>
  </si>
  <si>
    <t>L000013842</t>
  </si>
  <si>
    <t>L000013847</t>
  </si>
  <si>
    <t>L000013857</t>
  </si>
  <si>
    <t>L000013852</t>
  </si>
  <si>
    <t>FR7354787</t>
  </si>
  <si>
    <t>CLFF_1000$$$DE10639300 ONE LS ERP - EPP Services</t>
  </si>
  <si>
    <t>CLFF_1000$$$DE10650100 GER NEXT ERP IT Trav 1500</t>
  </si>
  <si>
    <t>CLFF_1000$$$DE10OF0005 T&amp;E - ONE LS ERP</t>
  </si>
  <si>
    <t>CNOW_7210$$$0000010222 US NEXT ERP IT Travel 2098</t>
  </si>
  <si>
    <t>CORAERP_MMOR1975.9770 US NX ERP IT Trav 1975</t>
  </si>
  <si>
    <t>CPHOENX_01010000639300 NEXT - IT Personnel</t>
  </si>
  <si>
    <t>CPHOENX_01010000699620 SAC Business Implementation</t>
  </si>
  <si>
    <t>L000013810</t>
  </si>
  <si>
    <t>L000013831</t>
  </si>
  <si>
    <t>L000013789</t>
  </si>
  <si>
    <t>Changes were saved for change request 25379143</t>
  </si>
  <si>
    <t>FR7356287</t>
  </si>
  <si>
    <t>CSCALA_1042$GSD Global Service Desk MBS</t>
  </si>
  <si>
    <t>CSCALA_1042$MSIS_E55</t>
  </si>
  <si>
    <t>CSCALA_1042$MSIS_O61</t>
  </si>
  <si>
    <t>CSCALA_1042$MSMS_E06</t>
  </si>
  <si>
    <t>CSCALA_1042$MSMS_E07</t>
  </si>
  <si>
    <t>CSCALA_1042$MSMS_W10</t>
  </si>
  <si>
    <t>CSCALA_1042$MSPM_C54</t>
  </si>
  <si>
    <t>PSCALA_F13</t>
  </si>
  <si>
    <t>FR7357071</t>
  </si>
  <si>
    <t>CLFF_7210$$$2102TMCZ91 LSS Global Ops Engineering</t>
  </si>
  <si>
    <t>L000013864</t>
  </si>
  <si>
    <t>CNOW_7210$$$0000268118 LSS Global Engineering - Rockville</t>
  </si>
  <si>
    <t>CNOW_7210$$$0024068118 LSS Global Engineering UK</t>
  </si>
  <si>
    <t>CORAERP_MMOR1975.2696 Engineering - LSS Global Ops</t>
  </si>
  <si>
    <t>CTEMPEU_1000FR60638000 LSS Global Ops Engineering</t>
  </si>
  <si>
    <t>FR7357987</t>
  </si>
  <si>
    <t>D00108800000000 AUO-OLED-Automotive</t>
  </si>
  <si>
    <t>P000001227</t>
  </si>
  <si>
    <t>D00124900000000 LCOS</t>
  </si>
  <si>
    <t>D00125500000000 SDC-OLED-Mobile-M17</t>
  </si>
  <si>
    <t>D00125600000000 SDC-OLED-Mobile-M17</t>
  </si>
  <si>
    <t>D00125700000000 SDC-OLED-TV-QM4</t>
  </si>
  <si>
    <t>D00125800000000 SDC-OLED-TV-QM4</t>
  </si>
  <si>
    <t>D00125900000000 SDC-OLED-IT-T4</t>
  </si>
  <si>
    <t>D00126000000000 SDC-OLED-IT-T4</t>
  </si>
  <si>
    <t>D00127500000000 SHTM-OLED-mobile-U11</t>
  </si>
  <si>
    <t>P000001231</t>
  </si>
  <si>
    <t>D00127700000000 LGD-OLED-TV-WBK</t>
  </si>
  <si>
    <t>D00127900000000 EML Application DE</t>
  </si>
  <si>
    <t>P000001126</t>
  </si>
  <si>
    <t>D00126600000000</t>
  </si>
  <si>
    <t>D00128100000000</t>
  </si>
  <si>
    <t>D00128500000000</t>
  </si>
  <si>
    <t>Changes were saved for change request 25389013</t>
  </si>
  <si>
    <t>CTEMPEU_1000TR10MS3210 MS - ISS - Oncology II</t>
  </si>
  <si>
    <t>CTEMPEU_1000TR10MS3209 MS - ISS - Neurology &amp; PK</t>
  </si>
  <si>
    <t>CTEMPEU_1000TR10MS3208 MS - ISS - Fertility &amp; En</t>
  </si>
  <si>
    <t>H000003497</t>
  </si>
  <si>
    <t>H000003501</t>
  </si>
  <si>
    <t>FR7366903</t>
  </si>
  <si>
    <t>FR7368372</t>
  </si>
  <si>
    <t>CSCALA_1820$A060_A19</t>
  </si>
  <si>
    <t>H000000393</t>
  </si>
  <si>
    <t>CSCALA_1820$A103_AM5</t>
  </si>
  <si>
    <t>CSCALA_1820$A805_AC7</t>
  </si>
  <si>
    <t>CSCALA_1820$A805_H99</t>
  </si>
  <si>
    <t>CSCALA_1820$A870 A870 ANZ Entities Cross Charge</t>
  </si>
  <si>
    <t>CSCALA_1820$Q300_E65</t>
  </si>
  <si>
    <t>FR7368448</t>
  </si>
  <si>
    <t xml:space="preserve">CNOW_7210$$$0000010311 </t>
  </si>
  <si>
    <t xml:space="preserve">CNOW_7210$$$0000057266 </t>
  </si>
  <si>
    <t xml:space="preserve">CNOW_7210$$$0000010312 </t>
  </si>
  <si>
    <t xml:space="preserve">CNOW_7210$$$0000015221 </t>
  </si>
  <si>
    <t xml:space="preserve">CNOW_7210$$$0000040962 </t>
  </si>
  <si>
    <t>L000013262</t>
  </si>
  <si>
    <t>L000009969</t>
  </si>
  <si>
    <t>L000008362</t>
  </si>
  <si>
    <t>CLFF_1000$$$DE10B45000</t>
  </si>
  <si>
    <t>L000006438</t>
  </si>
  <si>
    <t>FR7369412</t>
  </si>
  <si>
    <t>FR7365034</t>
  </si>
  <si>
    <t>CEMERAL_64016401108608 M Lab project cost collection</t>
  </si>
  <si>
    <t>L000012393</t>
  </si>
  <si>
    <t>Changes were saved for change request 25400280</t>
  </si>
  <si>
    <t>FR7368411</t>
  </si>
  <si>
    <t>H000000447</t>
  </si>
  <si>
    <t>CEMERAL_7000640399NP99</t>
  </si>
  <si>
    <t>FR7372363</t>
  </si>
  <si>
    <t>H000001589</t>
  </si>
  <si>
    <t>H000001383</t>
  </si>
  <si>
    <t>PLEAN_X310101CN5013350</t>
  </si>
  <si>
    <t>PLEAN_X310001CN5015349</t>
  </si>
  <si>
    <t>PLEAN_X310001CN5015350</t>
  </si>
  <si>
    <t>PLEAN_X310001CN5015351</t>
  </si>
  <si>
    <t>PLEAN_X310941CN5013012</t>
  </si>
  <si>
    <t>PLEAN_X310331CN5015202</t>
  </si>
  <si>
    <t>PTEMPNA_US201PIOSCCRAPR98</t>
  </si>
  <si>
    <t>H000003677</t>
  </si>
  <si>
    <t>FR7372650</t>
  </si>
  <si>
    <t>Rizza Tolentino</t>
  </si>
  <si>
    <t>FR7372864</t>
  </si>
  <si>
    <t>CTEMPEU_1000GB10005454 Oncology Erbitux</t>
  </si>
  <si>
    <t>CSCALA_1082$12_999</t>
  </si>
  <si>
    <t>CSCALA_1082$4012_114</t>
  </si>
  <si>
    <t>CSCALA_1082$4012_303</t>
  </si>
  <si>
    <t>CSCALA_1082$4901_303</t>
  </si>
  <si>
    <t>CSCALA_1082$10_503</t>
  </si>
  <si>
    <t>CSCALA_1082$4901_214</t>
  </si>
  <si>
    <t>CSCALA_1082$4012_301</t>
  </si>
  <si>
    <t>CSCALA_1082$4012_314</t>
  </si>
  <si>
    <t>CSCALA_1082$0000004008</t>
  </si>
  <si>
    <t>CSCALA_1872$70_C68</t>
  </si>
  <si>
    <t>CSCALA_1203$2004_HP1</t>
  </si>
  <si>
    <t>CSCALA_1785$100_310</t>
  </si>
  <si>
    <t>CSCALA_1082$4901_116</t>
  </si>
  <si>
    <t>CSCALA_1082$0000000021 Evija Buksa</t>
  </si>
  <si>
    <t>CSCALA_1785$610_110</t>
  </si>
  <si>
    <t>PLEAN_X310181DK5013201 Bavencio Commercial DK50 Congress &amp; Even</t>
  </si>
  <si>
    <t>PLEAN_X310181FI5013201 Bavencio Commercial FI50 Congress &amp; Even</t>
  </si>
  <si>
    <t>PLEAN_X310181FI5015201 Bavencio Commercial FI50 Other Promo and</t>
  </si>
  <si>
    <t>PLEAN_X310181FI5030201 Bavencio Commercial FI50 Other M&amp;S Regis</t>
  </si>
  <si>
    <t>PLEAN_X310181NO5011201 Bavencio Commercial NO50 Advertising Gen</t>
  </si>
  <si>
    <t>PLEAN_X310181NO5013201 Bavencio Commercial NO50 Congress &amp; Even</t>
  </si>
  <si>
    <t>PLEAN_X310181NO5030201 Bavencio Commercial NO50 Other M&amp;S Regis</t>
  </si>
  <si>
    <t>PLEAN_X310182DK5020201 Bavencio Medical Non R&amp;D DK50 Medical Ed</t>
  </si>
  <si>
    <t>PLEAN_X310941FI5011201 Tepmetko Commercial FI50 Advertising Gen</t>
  </si>
  <si>
    <t>PLEAN_X310941FI5030201 Tepmetko Commercial FI50 Other M&amp;S Regis</t>
  </si>
  <si>
    <t>PLEAN_X310942FI5023201 Tepmetko Medical Non R&amp;D FI50 Other Medi</t>
  </si>
  <si>
    <t>CSCALA_1872$70_C40</t>
  </si>
  <si>
    <t>PLEAN_X310201FI5011201 Fertility Commercial FI50 Advertising Ge</t>
  </si>
  <si>
    <t>PLEAN_X310201FI5015201 Fertility Commercial FI50 Other Promo an</t>
  </si>
  <si>
    <t>PLEAN_X310201FI5030201 Fertility Commercial FI50 Other M&amp;S Regi</t>
  </si>
  <si>
    <t>PLEAN_X310201NO5013201 Fertility Commercial NO50 Congress &amp; Eve</t>
  </si>
  <si>
    <t>PLEAN_X310201NO5015201 Fertility Commercial NO50 Other Promo an</t>
  </si>
  <si>
    <t>PLEAN_X310201NO5030201 Fertility Commercial NO50 Other M&amp;S Regi</t>
  </si>
  <si>
    <t>PLEAN_X310301FI5030201 Gluco Commercial FI50 Other M&amp;S Registra</t>
  </si>
  <si>
    <t>PLEAN_X310401FI5011201 Saizen Commercial FI50 Advertising Gener</t>
  </si>
  <si>
    <t>PLEAN_X310401FI5013201 Saizen Commercial FI50 Congress &amp; Events</t>
  </si>
  <si>
    <t>PLEAN_X310401FI5015201 Saizen Commercial FI50 Other Promo and A</t>
  </si>
  <si>
    <t>PLEAN_X310401FI5030201 Saizen Commercial FI50 Other M&amp;S Registr</t>
  </si>
  <si>
    <t>PLEAN_X310511DK5013201 Mavenclad Commercial DK50 Congress &amp; Eve</t>
  </si>
  <si>
    <t>PLEAN_X310511FI5010201 Mavenclad Commercial FI50 Promo Material</t>
  </si>
  <si>
    <t>PLEAN_X310511FI5011201 Mavenclad Commercial FI50 Advertising Ge</t>
  </si>
  <si>
    <t>PLEAN_X310511FI5013201 Mavenclad Commercial FI50 Congress &amp; Eve</t>
  </si>
  <si>
    <t>PLEAN_X310511FI5015201 Mavenclad Commercial FI50 Other Promo an</t>
  </si>
  <si>
    <t>PLEAN_X310511FI5030201 Mavenclad Commercial FI50 Other M&amp;S Regi</t>
  </si>
  <si>
    <t>PLEAN_X310511NO5013201 Mavenclad Commercial NO50 Congress &amp; Eve</t>
  </si>
  <si>
    <t>PLEAN_X310511NO5015201 Mavenclad Commercial NO50 Other Promo an</t>
  </si>
  <si>
    <t>PLEAN_X310511NO5030201 Mavenclad Commercial NO50 Other M&amp;S Regi</t>
  </si>
  <si>
    <t>PLEAN_X310513FI5023201 Mavenclad Local R&amp;D FI50 Clinical Study</t>
  </si>
  <si>
    <t>CSCALA_1872$100_C20</t>
  </si>
  <si>
    <t>PLEAN_X310181CH7630200 Local R&amp;D Regulatory Bavencio</t>
  </si>
  <si>
    <t>PLEAN_X310401CH7610200 END COM Promo (Prints, Mailings, Ads)</t>
  </si>
  <si>
    <t>CSCALA_1022$521_SPC</t>
  </si>
  <si>
    <t>PLEAN_X310132CH7630203 Local R&amp;D Regulatory Tepmetko</t>
  </si>
  <si>
    <t>PLEAN_X310201CH6843343 Fertility Award 2024 CH</t>
  </si>
  <si>
    <t>PLEAN_X310401CH7613200 END COM Sponsorings &amp; Events (inkl. WB)</t>
  </si>
  <si>
    <t>PLEAN_X310161CH7630200 BAV COM MAP activities</t>
  </si>
  <si>
    <t>CSCALA_1022$ONB_SER</t>
  </si>
  <si>
    <t>CSCALA_1022$FST_PRM</t>
  </si>
  <si>
    <t>PLEAN_X310201CH7613201 FER Family Forward</t>
  </si>
  <si>
    <t>PLEAN_X310513CH7643201 Medical Research Grant 1300003225</t>
  </si>
  <si>
    <t>PLEAN_X310181CZ5010201 Bavencio Commercial CZ50 Promo Material</t>
  </si>
  <si>
    <t>PLEAN_X310181CZ5013203 Bavencio Commercial CZ50 Congress &amp; Even</t>
  </si>
  <si>
    <t>PLEAN_X310181CZ5013205 Bavencio Commercial CZ50 Congress &amp; Even</t>
  </si>
  <si>
    <t>PLEAN_X310181CZ5015201 Bavencio Commercial CZ50 Other Promo and</t>
  </si>
  <si>
    <t>PLEAN_X310181CZ5030201 Bavencio Commercial CZ50 Other M&amp;S Regis</t>
  </si>
  <si>
    <t>PLEAN_X310182CZ5020202 Bavencio Medical Non R&amp;D CZ50 Medical Ed</t>
  </si>
  <si>
    <t>PLEAN_X310182CZ5020203 Bavencio Medical Non R&amp;D CZ50 Medical Ed</t>
  </si>
  <si>
    <t>PLEAN_X310182CZ5020206 Bavencio Medical Non R&amp;D CZ50 Medical Ed</t>
  </si>
  <si>
    <t>PLEAN_X310182CZ5022201 Bavencio Medical Non R&amp;D CZ50 Medical Co</t>
  </si>
  <si>
    <t>PLEAN_X310361CZ5030201 GM Sante Commercial CZ50 Other M&amp;S Regis</t>
  </si>
  <si>
    <t>PLEAN_X310941CZ5010201 Tepmetko Commercial CZ50 Promo Material</t>
  </si>
  <si>
    <t>PLEAN_X310942CZ5020203 Tepmetko Medical Non R&amp;D CZ50 Medical Ed</t>
  </si>
  <si>
    <t>PLEAN_X310942CZ5023201 Tepmetko Medical Non R&amp;D CZ50 Other Medi</t>
  </si>
  <si>
    <t>PLEAN_X310201CZ5010201 Fertility Commercial CZ50 Promo Material</t>
  </si>
  <si>
    <t>PLEAN_X310201CZ5013204 Fertility Commercial CZ50 Congress &amp; Eve</t>
  </si>
  <si>
    <t>PLEAN_X310201CZ5015201 Fertility Commercial CZ50 Other Promo an</t>
  </si>
  <si>
    <t>PLEAN_X310201CZ5030201 Fertility Commercial CZ50 Other M&amp;S Regi</t>
  </si>
  <si>
    <t>PLEAN_X310301CZ5010201 Gluco Commercial CZ50 Promo Material Gen</t>
  </si>
  <si>
    <t>PLEAN_X310301CZ5013204 Gluco Commercial CZ50 Congress &amp; Events</t>
  </si>
  <si>
    <t>PLEAN_X310301CZ5013205 Gluco Commercial CZ50 Congress &amp; Events</t>
  </si>
  <si>
    <t>PLEAN_X310301CZ5015205 Gluco Commercial CZ50 Other Promo and Ad</t>
  </si>
  <si>
    <t>PLEAN_X310301CZ5030201 Gluco Commercial CZ50 Other M&amp;S Registra</t>
  </si>
  <si>
    <t>PLEAN_X310351CZ5030201 GM KGAA Commercial CZ50 Other M&amp;S Regist</t>
  </si>
  <si>
    <t>PLEAN_X310401CZ5010201 Saizen Commercial CZ50 Promo Material Ge</t>
  </si>
  <si>
    <t>PLEAN_X310401CZ5011201 Saizen Commercial CZ50 Advertising Gener</t>
  </si>
  <si>
    <t>PLEAN_X310401CZ5013202 Saizen Commercial CZ50 Congress &amp; Events</t>
  </si>
  <si>
    <t>PLEAN_X310401CZ5013204 Saizen Commercial CZ50 Congress &amp; Events</t>
  </si>
  <si>
    <t>PLEAN_X310401CZ5015201 Saizen Commercial CZ50 Other Promo and A</t>
  </si>
  <si>
    <t>PLEAN_X310401CZ5030201 Saizen Commercial CZ50 Other M&amp;S Registr</t>
  </si>
  <si>
    <t>PLEAN_X310511CZ5011201 Mavenclad Commercial CZ50 Advertising Ge</t>
  </si>
  <si>
    <t>PLEAN_X310511CZ5013201 Mavenclad Commercial CZ50 Congress &amp; Eve</t>
  </si>
  <si>
    <t>PLEAN_X310511CZ5013202 Mavenclad Commercial CZ50 Congress &amp; Eve</t>
  </si>
  <si>
    <t>PLEAN_X310511CZ5013203 Mavenclad Commercial CZ50 Congress &amp; Eve</t>
  </si>
  <si>
    <t>PLEAN_X310511CZ5013205 Mavenclad Commercial CZ50 Congress &amp; Eve</t>
  </si>
  <si>
    <t>PLEAN_X310511CZ5015201 Mavenclad Commercial CZ50 Other Promo an</t>
  </si>
  <si>
    <t>PLEAN_X310511CZ5030201 Mavenclad Commercial CZ50 Other M&amp;S Regi</t>
  </si>
  <si>
    <t>PLEAN_X310942CZ5020206 Tepmetko Medical Non R&amp;D CZ50 Medical Ed</t>
  </si>
  <si>
    <t>H000000203</t>
  </si>
  <si>
    <t>H000000224</t>
  </si>
  <si>
    <t>H000001986</t>
  </si>
  <si>
    <t>H000002010</t>
  </si>
  <si>
    <t>H000001997</t>
  </si>
  <si>
    <t>H000002151</t>
  </si>
  <si>
    <t>H000002150</t>
  </si>
  <si>
    <t>H000001985</t>
  </si>
  <si>
    <t>FR7372904</t>
  </si>
  <si>
    <t>CSCALA_1086$4901_504</t>
  </si>
  <si>
    <t>CSCALA_1759$B992</t>
  </si>
  <si>
    <t>CSCALA_1759$B993</t>
  </si>
  <si>
    <t>CSCALA_1759$B994</t>
  </si>
  <si>
    <t>CSCALA_1759$B997</t>
  </si>
  <si>
    <t>CSCALA_1759$B990</t>
  </si>
  <si>
    <t>CSCALA_1759$B991</t>
  </si>
  <si>
    <t>CSCALA_1759$B995</t>
  </si>
  <si>
    <t>CSCALA_1759$B996</t>
  </si>
  <si>
    <t>CSCALA_1759$R030</t>
  </si>
  <si>
    <t>CSCALA_1759$R031</t>
  </si>
  <si>
    <t>CSCALA_1759$R032</t>
  </si>
  <si>
    <t>CSCALA_1759$B276</t>
  </si>
  <si>
    <t>CSCALA_1759$B44</t>
  </si>
  <si>
    <t>CSCALA_1759$B45</t>
  </si>
  <si>
    <t>CSCALA_1759$B46</t>
  </si>
  <si>
    <t>CSCALA_1759$B674</t>
  </si>
  <si>
    <t>CSCALA_1759$B998</t>
  </si>
  <si>
    <t>CSCALA_1759$B999</t>
  </si>
  <si>
    <t>CSCALA_1759$O455</t>
  </si>
  <si>
    <t>CSCALA_1759$O515</t>
  </si>
  <si>
    <t>CSCALA_1759$O880</t>
  </si>
  <si>
    <t>CSCALA_1759$F200</t>
  </si>
  <si>
    <t>CSCALA_1759$F810</t>
  </si>
  <si>
    <t>CSCALA_1759$F811</t>
  </si>
  <si>
    <t>CSCALA_1759$F812</t>
  </si>
  <si>
    <t>CSCALA_1759$F813</t>
  </si>
  <si>
    <t>CSCALA_1759$F814</t>
  </si>
  <si>
    <t>CSCALA_1759$F816</t>
  </si>
  <si>
    <t>CSCALA_1759$C181</t>
  </si>
  <si>
    <t>CSCALA_1759$C182</t>
  </si>
  <si>
    <t>CSCALA_1759$C183</t>
  </si>
  <si>
    <t>CSCALA_1759$C185</t>
  </si>
  <si>
    <t>CSCALA_1759$C186</t>
  </si>
  <si>
    <t>CSCALA_1759$C188</t>
  </si>
  <si>
    <t>CSCALA_1759$C189</t>
  </si>
  <si>
    <t>CSCALA_1759$C190</t>
  </si>
  <si>
    <t>CSCALA_1759$C191</t>
  </si>
  <si>
    <t>CSCALA_1759$C193</t>
  </si>
  <si>
    <t>CSCALA_1759$C194</t>
  </si>
  <si>
    <t>CSCALA_1759$C195</t>
  </si>
  <si>
    <t>CSCALA_1759$C196</t>
  </si>
  <si>
    <t>CSCALA_1759$C184</t>
  </si>
  <si>
    <t>CSCALA_1759$C187</t>
  </si>
  <si>
    <t>CSCALA_1759$C192</t>
  </si>
  <si>
    <t>CSCALA_1759$C180</t>
  </si>
  <si>
    <t>CSCALA_1759$F221</t>
  </si>
  <si>
    <t>CSCALA_1759$O658</t>
  </si>
  <si>
    <t>PSCALA_205 ASCO/ESMO evening meeting, NorNe Ea</t>
  </si>
  <si>
    <t>CSCALA_1086$4901_516</t>
  </si>
  <si>
    <t>CSCALA_1759$B62</t>
  </si>
  <si>
    <t>CSCALA_1759$O537</t>
  </si>
  <si>
    <t>CSCALA_1759$F270</t>
  </si>
  <si>
    <t>CSCALA_1759$F817</t>
  </si>
  <si>
    <t>CSCALA_1759$F818</t>
  </si>
  <si>
    <t>CSCALA_1759$F819</t>
  </si>
  <si>
    <t>CSCALA_1759$F820</t>
  </si>
  <si>
    <t>CSCALA_1759$F821</t>
  </si>
  <si>
    <t>CSCALA_1759$F822</t>
  </si>
  <si>
    <t>CSCALA_1759$F823</t>
  </si>
  <si>
    <t>CSCALA_1759$F824</t>
  </si>
  <si>
    <t>CSCALA_1759$F825</t>
  </si>
  <si>
    <t>CSCALA_1759$F890</t>
  </si>
  <si>
    <t>CSCALA_1759$C197</t>
  </si>
  <si>
    <t>CSCALA_1759$C199</t>
  </si>
  <si>
    <t>CSCALA_1759$C200</t>
  </si>
  <si>
    <t>CSCALA_1759$C198</t>
  </si>
  <si>
    <t>CSCALA_1759$C201</t>
  </si>
  <si>
    <t>CSCALA_1759$N318</t>
  </si>
  <si>
    <t>CSCALA_1759$N323</t>
  </si>
  <si>
    <t>CSCALA_1759$R033</t>
  </si>
  <si>
    <t>CSCALA_1759$R043</t>
  </si>
  <si>
    <t>CSCALA_1759$R044</t>
  </si>
  <si>
    <t>CSCALA_1759$R045</t>
  </si>
  <si>
    <t>CSCALA_1759$R046</t>
  </si>
  <si>
    <t>CSCALA_1759$R047</t>
  </si>
  <si>
    <t>CSCALA_1759$R048</t>
  </si>
  <si>
    <t>CSCALA_1759$R049</t>
  </si>
  <si>
    <t>CSCALA_1759$R050</t>
  </si>
  <si>
    <t>CSCALA_1759$R051</t>
  </si>
  <si>
    <t>CSCALA_1759$R052</t>
  </si>
  <si>
    <t>CSCALA_1759$R053</t>
  </si>
  <si>
    <t>CSCALA_1025$6114_Y04</t>
  </si>
  <si>
    <t>CSCALA_1025$8114_Y04</t>
  </si>
  <si>
    <t>CSCALA_1025$AMI4_Y04</t>
  </si>
  <si>
    <t>CSCALA_1759$ACCR</t>
  </si>
  <si>
    <t>CSCALA_1759$E018</t>
  </si>
  <si>
    <t>CSCALA_1759$E019</t>
  </si>
  <si>
    <t>CSCALA_1759$E017</t>
  </si>
  <si>
    <t>CSCALA_1759$E026</t>
  </si>
  <si>
    <t>CSCALA_1759$O519</t>
  </si>
  <si>
    <t>CSCALA_1025$6112_Y04</t>
  </si>
  <si>
    <t>CSCALA_1759$E020</t>
  </si>
  <si>
    <t>CSCALA_1759$E021</t>
  </si>
  <si>
    <t>CSCALA_1759$E022</t>
  </si>
  <si>
    <t>CSCALA_1759$E023</t>
  </si>
  <si>
    <t>CSCALA_1759$E024</t>
  </si>
  <si>
    <t>CSCALA_1759$E025</t>
  </si>
  <si>
    <t>CSCALA_1759$O469</t>
  </si>
  <si>
    <t>CSCALA_1759$F522</t>
  </si>
  <si>
    <t>CSCALA_1759$F891</t>
  </si>
  <si>
    <t>CSCALA_1759$F892</t>
  </si>
  <si>
    <t>CSCALA_1759$C202</t>
  </si>
  <si>
    <t>CSCALA_1025$5111_E82</t>
  </si>
  <si>
    <t>CSCALA_1759$R080</t>
  </si>
  <si>
    <t>CSCALA_1025$6113_Y04</t>
  </si>
  <si>
    <t>CSCALA_1759$N256</t>
  </si>
  <si>
    <t>CSCALA_1759$N99</t>
  </si>
  <si>
    <t>CSCALA_1759$R034</t>
  </si>
  <si>
    <t>CSCALA_1759$R035</t>
  </si>
  <si>
    <t>CSCALA_1759$R036</t>
  </si>
  <si>
    <t>CSCALA_1759$R037</t>
  </si>
  <si>
    <t>CSCALA_1759$R038</t>
  </si>
  <si>
    <t>CSCALA_1759$R039</t>
  </si>
  <si>
    <t>CSCALA_1759$R040</t>
  </si>
  <si>
    <t>CSCALA_1759$R041</t>
  </si>
  <si>
    <t>CSCALA_1759$R042</t>
  </si>
  <si>
    <t>CSCALA_1759$R064</t>
  </si>
  <si>
    <t>CSCALA_1759$R065</t>
  </si>
  <si>
    <t>CSCALA_1759$R066</t>
  </si>
  <si>
    <t>CSCALA_1759$R067</t>
  </si>
  <si>
    <t>CSCALA_1759$R068</t>
  </si>
  <si>
    <t>CSCALA_1759$R069</t>
  </si>
  <si>
    <t>CSCALA_1759$R070</t>
  </si>
  <si>
    <t>CSCALA_1759$R071</t>
  </si>
  <si>
    <t>CSCALA_1759$R072</t>
  </si>
  <si>
    <t>CSCALA_1759$R073</t>
  </si>
  <si>
    <t>CSCALA_1759$R074</t>
  </si>
  <si>
    <t>CSCALA_1759$R075</t>
  </si>
  <si>
    <t>CSCALA_1759$R076</t>
  </si>
  <si>
    <t>CSCALA_1759$R077</t>
  </si>
  <si>
    <t>CSCALA_1759$R078</t>
  </si>
  <si>
    <t>CSCALA_1759$R079</t>
  </si>
  <si>
    <t>PSCALA_E80 MYSG Growth Speaker Tour</t>
  </si>
  <si>
    <t>CSCALA_1025$5111_E84</t>
  </si>
  <si>
    <t>CSCALA_1759$FEVL</t>
  </si>
  <si>
    <t>CSCALA_1759$TUST</t>
  </si>
  <si>
    <t>CSCALA_1759$E060</t>
  </si>
  <si>
    <t>CSCALA_1759$E079</t>
  </si>
  <si>
    <t>CSCALA_1759$E081</t>
  </si>
  <si>
    <t>CSCALA_1759$E080</t>
  </si>
  <si>
    <t>CSCALA_1759$E082</t>
  </si>
  <si>
    <t>CSCALA_1759$E027</t>
  </si>
  <si>
    <t>CSCALA_1759$E028</t>
  </si>
  <si>
    <t>CSCALA_1759$E029</t>
  </si>
  <si>
    <t>CSCALA_1759$E030</t>
  </si>
  <si>
    <t>CSCALA_1759$E031</t>
  </si>
  <si>
    <t>CSCALA_1759$E032</t>
  </si>
  <si>
    <t>CSCALA_1759$E033</t>
  </si>
  <si>
    <t>CSCALA_1759$E034</t>
  </si>
  <si>
    <t>CSCALA_1759$E035</t>
  </si>
  <si>
    <t>CSCALA_1759$E036</t>
  </si>
  <si>
    <t>CSCALA_1759$E037</t>
  </si>
  <si>
    <t>CSCALA_1759$E038</t>
  </si>
  <si>
    <t>CSCALA_1759$E039</t>
  </si>
  <si>
    <t>CSCALA_1759$E040</t>
  </si>
  <si>
    <t>CSCALA_1759$E041</t>
  </si>
  <si>
    <t>CSCALA_1759$E042</t>
  </si>
  <si>
    <t>CSCALA_1759$E043</t>
  </si>
  <si>
    <t>CSCALA_1759$E044</t>
  </si>
  <si>
    <t>CSCALA_1759$E045</t>
  </si>
  <si>
    <t>CSCALA_1759$E046</t>
  </si>
  <si>
    <t>CSCALA_1759$E047</t>
  </si>
  <si>
    <t>CSCALA_1759$E048</t>
  </si>
  <si>
    <t>CSCALA_1759$E049</t>
  </si>
  <si>
    <t>CSCALA_1759$E050</t>
  </si>
  <si>
    <t>CSCALA_1759$E051</t>
  </si>
  <si>
    <t>CSCALA_1759$E052</t>
  </si>
  <si>
    <t>CSCALA_1759$E053</t>
  </si>
  <si>
    <t>CSCALA_1759$E054</t>
  </si>
  <si>
    <t>CSCALA_1759$E055</t>
  </si>
  <si>
    <t>CSCALA_1759$E056</t>
  </si>
  <si>
    <t>CSCALA_1759$E057</t>
  </si>
  <si>
    <t>CSCALA_1759$E058</t>
  </si>
  <si>
    <t>CSCALA_1759$E059</t>
  </si>
  <si>
    <t>CSCALA_1759$E061</t>
  </si>
  <si>
    <t>CSCALA_1759$E062</t>
  </si>
  <si>
    <t>CSCALA_1759$E063</t>
  </si>
  <si>
    <t>CSCALA_1759$E064</t>
  </si>
  <si>
    <t>CSCALA_1759$E065</t>
  </si>
  <si>
    <t>CSCALA_1759$E066</t>
  </si>
  <si>
    <t>CSCALA_1759$E067</t>
  </si>
  <si>
    <t>CSCALA_1759$E068</t>
  </si>
  <si>
    <t>CSCALA_1759$E069</t>
  </si>
  <si>
    <t>CSCALA_1759$E070</t>
  </si>
  <si>
    <t>CSCALA_1759$E071</t>
  </si>
  <si>
    <t>CSCALA_1759$E072</t>
  </si>
  <si>
    <t>CSCALA_1759$E073</t>
  </si>
  <si>
    <t>CSCALA_1759$E074</t>
  </si>
  <si>
    <t>CSCALA_1759$E075</t>
  </si>
  <si>
    <t>CSCALA_1759$E076</t>
  </si>
  <si>
    <t>CSCALA_1759$E077</t>
  </si>
  <si>
    <t>CSCALA_1759$E078</t>
  </si>
  <si>
    <t>CSCALA_1759$F893</t>
  </si>
  <si>
    <t>CSCALA_1759$C203</t>
  </si>
  <si>
    <t>CSCALA_1759$C204</t>
  </si>
  <si>
    <t>CSCALA_1759$G208</t>
  </si>
  <si>
    <t>CSCALA_1759$M002</t>
  </si>
  <si>
    <t>CSCALA_1759$R081</t>
  </si>
  <si>
    <t>CSCALA_1025$6113_V40</t>
  </si>
  <si>
    <t>CSCALA_1759$R082</t>
  </si>
  <si>
    <t>CSCALA_1759$R083</t>
  </si>
  <si>
    <t>CSCALA_1759$R084</t>
  </si>
  <si>
    <t>CSCALA_1759$G573</t>
  </si>
  <si>
    <t>CSCALA_1759$O048</t>
  </si>
  <si>
    <t>CSCALA_1025$8111_V40</t>
  </si>
  <si>
    <t>CSCALA_1025$8111_Y04</t>
  </si>
  <si>
    <t>CSCALA_1025$COMP_Y04</t>
  </si>
  <si>
    <t>CSCALA_1759$MAPP</t>
  </si>
  <si>
    <t>CSCALA_1759$E083</t>
  </si>
  <si>
    <t>CSCALA_1759$E163</t>
  </si>
  <si>
    <t>CSCALA_1759$E158</t>
  </si>
  <si>
    <t>CSCALA_1759$E084</t>
  </si>
  <si>
    <t>CSCALA_1759$E085</t>
  </si>
  <si>
    <t>CSCALA_1759$E086</t>
  </si>
  <si>
    <t>CSCALA_1759$E087</t>
  </si>
  <si>
    <t>CSCALA_1759$E088</t>
  </si>
  <si>
    <t>CSCALA_1759$E089</t>
  </si>
  <si>
    <t>CSCALA_1759$E090</t>
  </si>
  <si>
    <t>CSCALA_1759$E091</t>
  </si>
  <si>
    <t>CSCALA_1759$E093</t>
  </si>
  <si>
    <t>CSCALA_1759$E094</t>
  </si>
  <si>
    <t>CSCALA_1759$E095</t>
  </si>
  <si>
    <t>CSCALA_1759$E096</t>
  </si>
  <si>
    <t>CSCALA_1759$E097</t>
  </si>
  <si>
    <t>CSCALA_1759$E098</t>
  </si>
  <si>
    <t>CSCALA_1759$E099</t>
  </si>
  <si>
    <t>CSCALA_1759$E100</t>
  </si>
  <si>
    <t>CSCALA_1759$E101</t>
  </si>
  <si>
    <t>CSCALA_1759$E102</t>
  </si>
  <si>
    <t>CSCALA_1759$E103</t>
  </si>
  <si>
    <t>CSCALA_1759$E104</t>
  </si>
  <si>
    <t>CSCALA_1759$E105</t>
  </si>
  <si>
    <t>CSCALA_1759$E106</t>
  </si>
  <si>
    <t>CSCALA_1759$E107</t>
  </si>
  <si>
    <t>CSCALA_1759$E108</t>
  </si>
  <si>
    <t>CSCALA_1759$E109</t>
  </si>
  <si>
    <t>CSCALA_1759$E110</t>
  </si>
  <si>
    <t>CSCALA_1759$E111</t>
  </si>
  <si>
    <t>CSCALA_1759$E112</t>
  </si>
  <si>
    <t>CSCALA_1759$E113</t>
  </si>
  <si>
    <t>CSCALA_1759$E114</t>
  </si>
  <si>
    <t>CSCALA_1759$E115</t>
  </si>
  <si>
    <t>CSCALA_1759$E116</t>
  </si>
  <si>
    <t>CSCALA_1759$E117</t>
  </si>
  <si>
    <t>CSCALA_1759$E118</t>
  </si>
  <si>
    <t>CSCALA_1759$E119</t>
  </si>
  <si>
    <t>CSCALA_1759$E120</t>
  </si>
  <si>
    <t>CSCALA_1759$E121</t>
  </si>
  <si>
    <t>CSCALA_1759$E122</t>
  </si>
  <si>
    <t>CSCALA_1759$E123</t>
  </si>
  <si>
    <t>CSCALA_1759$E124</t>
  </si>
  <si>
    <t>CSCALA_1759$E125</t>
  </si>
  <si>
    <t>CSCALA_1759$E126</t>
  </si>
  <si>
    <t>CSCALA_1759$E127</t>
  </si>
  <si>
    <t>CSCALA_1759$E128</t>
  </si>
  <si>
    <t>CSCALA_1759$E129</t>
  </si>
  <si>
    <t>CSCALA_1759$E130</t>
  </si>
  <si>
    <t>CSCALA_1759$E131</t>
  </si>
  <si>
    <t>CSCALA_1759$E132</t>
  </si>
  <si>
    <t>CSCALA_1759$E133</t>
  </si>
  <si>
    <t>CSCALA_1759$E134</t>
  </si>
  <si>
    <t>CSCALA_1759$E135</t>
  </si>
  <si>
    <t>CSCALA_1759$E136</t>
  </si>
  <si>
    <t>CSCALA_1759$E137</t>
  </si>
  <si>
    <t>CSCALA_1759$E138</t>
  </si>
  <si>
    <t>CSCALA_1759$E139</t>
  </si>
  <si>
    <t>CSCALA_1759$E140</t>
  </si>
  <si>
    <t>CSCALA_1759$E141</t>
  </si>
  <si>
    <t>CSCALA_1759$E142</t>
  </si>
  <si>
    <t>CSCALA_1759$E143</t>
  </si>
  <si>
    <t>CSCALA_1759$E144</t>
  </si>
  <si>
    <t>CSCALA_1759$E145</t>
  </si>
  <si>
    <t>CSCALA_1759$E146</t>
  </si>
  <si>
    <t>CSCALA_1759$E147</t>
  </si>
  <si>
    <t>CSCALA_1759$E148</t>
  </si>
  <si>
    <t>CSCALA_1759$E150</t>
  </si>
  <si>
    <t>CSCALA_1759$E151</t>
  </si>
  <si>
    <t>CSCALA_1759$E152</t>
  </si>
  <si>
    <t>CSCALA_1759$E153</t>
  </si>
  <si>
    <t>CSCALA_1759$E154</t>
  </si>
  <si>
    <t>CSCALA_1759$E155</t>
  </si>
  <si>
    <t>CSCALA_1759$E156</t>
  </si>
  <si>
    <t>CSCALA_1759$E157</t>
  </si>
  <si>
    <t>CSCALA_1759$E159</t>
  </si>
  <si>
    <t>CSCALA_1759$E160</t>
  </si>
  <si>
    <t>CSCALA_1759$E92</t>
  </si>
  <si>
    <t>CSCALA_1759$F028</t>
  </si>
  <si>
    <t>CSCALA_1759$F894</t>
  </si>
  <si>
    <t>CSCALA_1759$F895</t>
  </si>
  <si>
    <t>CSCALA_1759$F896</t>
  </si>
  <si>
    <t>CSCALA_1759$F897</t>
  </si>
  <si>
    <t>CSCALA_1759$F898</t>
  </si>
  <si>
    <t>CSCALA_1759$F899</t>
  </si>
  <si>
    <t>CSCALA_1759$F900</t>
  </si>
  <si>
    <t>CSCALA_1759$F901</t>
  </si>
  <si>
    <t>CSCALA_1759$F902</t>
  </si>
  <si>
    <t>CSCALA_1759$F903</t>
  </si>
  <si>
    <t>CSCALA_1759$F904</t>
  </si>
  <si>
    <t>CSCALA_1025$5111_E85</t>
  </si>
  <si>
    <t>CSCALA_1759$ALIS</t>
  </si>
  <si>
    <t>CSCALA_1759$N009</t>
  </si>
  <si>
    <t>CSCALA_1759$N229</t>
  </si>
  <si>
    <t>CSCALA_1759$O016</t>
  </si>
  <si>
    <t>CSCALA_1759$R063</t>
  </si>
  <si>
    <t>CSCALA_1759$R085</t>
  </si>
  <si>
    <t>CSCALA_1759$R086</t>
  </si>
  <si>
    <t>CSCALA_1759$R087</t>
  </si>
  <si>
    <t>CSCALA_1759$R088</t>
  </si>
  <si>
    <t>CSCALA_1759$R089</t>
  </si>
  <si>
    <t>CSCALA_1759$R090</t>
  </si>
  <si>
    <t>CSCALA_1759$R091</t>
  </si>
  <si>
    <t>CSCALA_1759$R092</t>
  </si>
  <si>
    <t>CSCALA_1759$R093</t>
  </si>
  <si>
    <t>CSCALA_1759$F105</t>
  </si>
  <si>
    <t>CSCALA_1759$G592</t>
  </si>
  <si>
    <t>CSCALA_1759$O683</t>
  </si>
  <si>
    <t>CSCALA_1025$8112_E21</t>
  </si>
  <si>
    <t>H000002302</t>
  </si>
  <si>
    <t>H000002337</t>
  </si>
  <si>
    <t>H000003613</t>
  </si>
  <si>
    <t>H000003615</t>
  </si>
  <si>
    <t>PROBLEM NODE WAS DELETED; FR6291121</t>
  </si>
  <si>
    <t>PSCALA_.205 Printed Matter</t>
  </si>
  <si>
    <t>CEMERAL_7000640399NP99 NPP Japan APAC cross charge</t>
  </si>
  <si>
    <t>Object's under Trash</t>
  </si>
  <si>
    <t>FR7374774</t>
  </si>
  <si>
    <t>CORAERP_MMOR1975.4169 LSS Operations (Global)</t>
  </si>
  <si>
    <t>FR7375562</t>
  </si>
  <si>
    <t>CLFF_1000$$$CZ50GIT01D</t>
  </si>
  <si>
    <t>CLFF_1000$$$CZ50GM1000</t>
  </si>
  <si>
    <t>CLFF_1000$$$CZ50GIT01M</t>
  </si>
  <si>
    <t>CLFF_1000$$$CZ50OF0007</t>
  </si>
  <si>
    <t>H000000007</t>
  </si>
  <si>
    <t>Changes were saved for change request 25408363</t>
  </si>
  <si>
    <t>FR7376495</t>
  </si>
  <si>
    <t>CLFF_1000$$$CH75GIT060</t>
  </si>
  <si>
    <t>CLFF_1000$$$DE10653700</t>
  </si>
  <si>
    <t>CNOW_7210$$$0000015456</t>
  </si>
  <si>
    <t>CNOW_7210$$$0000010273</t>
  </si>
  <si>
    <t>CNOW_7210$$$0000031701</t>
  </si>
  <si>
    <t>CNOW_7210$$$0000059608</t>
  </si>
  <si>
    <t>Changes were saved for change request 25408693</t>
  </si>
  <si>
    <t>CITR_1000$$$1022ITE</t>
  </si>
  <si>
    <t>FR7380686</t>
  </si>
  <si>
    <t>CSCALA_1826 0000000340</t>
  </si>
  <si>
    <t>H000000868</t>
  </si>
  <si>
    <t>CSCALA_1042$EDP_P52</t>
  </si>
  <si>
    <t xml:space="preserve">G000000635 </t>
  </si>
  <si>
    <t>FR7382702</t>
  </si>
  <si>
    <t>FR7382732</t>
  </si>
  <si>
    <t>PNEXT_D300119210201000000</t>
  </si>
  <si>
    <t>L000011451</t>
  </si>
  <si>
    <t>L000011147_IO Executive Projects Comm-G (IO)</t>
  </si>
  <si>
    <t>L000011146 Exec Proj Communications -G</t>
  </si>
  <si>
    <t>FR7385123</t>
  </si>
  <si>
    <t>CNOW_7210$$$0000023169</t>
  </si>
  <si>
    <t>CLFF_1000$$$DE20538353</t>
  </si>
  <si>
    <t>CLFF_1000$$$DE10538353</t>
  </si>
  <si>
    <t>CLFF_1000$$$DE10538602</t>
  </si>
  <si>
    <t>CLFF_1000$$$DE10538603</t>
  </si>
  <si>
    <t>CLFF_1000$$$DE10538604</t>
  </si>
  <si>
    <t>CLFF_1000$$$DE20538602</t>
  </si>
  <si>
    <t>CLFF_1000$$$DE20538603</t>
  </si>
  <si>
    <t>CLFF_1000$$$DE20538604</t>
  </si>
  <si>
    <t>G000000994</t>
  </si>
  <si>
    <t>G000001084</t>
  </si>
  <si>
    <t>FR7391800</t>
  </si>
  <si>
    <t>Changes were saved for change request 25432822</t>
  </si>
  <si>
    <t>D30011900000000</t>
  </si>
  <si>
    <t>FR7396570</t>
  </si>
  <si>
    <t>FR7400262</t>
  </si>
  <si>
    <t>G000000763</t>
  </si>
  <si>
    <t>G000001281</t>
  </si>
  <si>
    <t>CNOW_7210$$$PC00011060</t>
  </si>
  <si>
    <t>FR7400920</t>
  </si>
  <si>
    <t>D00128400000000 OLED R&amp;D Transformation</t>
  </si>
  <si>
    <t>D00114300000000 LGD-OLED-Automotive-RDF DE</t>
  </si>
  <si>
    <t>D00128300000000 LGD-OLED-IT-RDH 2</t>
  </si>
  <si>
    <t>D00128700000000 GVO-OLED-mobile-VM11</t>
  </si>
  <si>
    <t>D00128800000000 GVO-OLED-mobile-VM11 DE</t>
  </si>
  <si>
    <t>D00128900000000 BOE-OLED-mobile-L12</t>
  </si>
  <si>
    <t>D00129000000000 BOE-OLED-mobile-L12 DE</t>
  </si>
  <si>
    <t>P000001230</t>
  </si>
  <si>
    <t>P000001228</t>
  </si>
  <si>
    <t>FR7403248</t>
  </si>
  <si>
    <t>CLFF_7210$$$2053OF0000</t>
  </si>
  <si>
    <t>CLFF_1000$$$DZ50GM1100</t>
  </si>
  <si>
    <t>CLFF_1000$$$ZA50GM2100</t>
  </si>
  <si>
    <t>Changes were saved for change request 25454879</t>
  </si>
  <si>
    <t>Object was under in checking sheet.</t>
  </si>
  <si>
    <t>FR7416050</t>
  </si>
  <si>
    <t>CTEMPEU_1000FR40587001 Cial&amp;RegistStandaMey</t>
  </si>
  <si>
    <t>ITEMPEU_009000000264 FR90IC1402AO3121050000 LOYER</t>
  </si>
  <si>
    <t>ITEMPEU_009000000265 FR90IC1403AO3121050000 LOYER</t>
  </si>
  <si>
    <t>ITEMPEU_009000000268 FR90IC1852AO3121050000 LOYER</t>
  </si>
  <si>
    <t>ILEAN_006010001401</t>
  </si>
  <si>
    <t>ILEAN_006010001420</t>
  </si>
  <si>
    <t>CFLTFLE_1075SIIF-EI Healthcare Slovenia Income</t>
  </si>
  <si>
    <t>ITEMPEU_001500000003 GB10_Capit.Loss/Ass. Imp.</t>
  </si>
  <si>
    <t>ITEMPLA_001520000112 Asset retirement Gains</t>
  </si>
  <si>
    <t>IPHOENX_000400757258 1500 KGaA-1401 Santè</t>
  </si>
  <si>
    <t>ITEMPEU_001500000810 Ireland IE10 - 3122113000 Transfer remai</t>
  </si>
  <si>
    <t>ITEMPEU_001500001688 Xcharges to Trading Partner 1917</t>
  </si>
  <si>
    <t>ITEMPEU_001500001689 Xcharges to Trading Partner 1927</t>
  </si>
  <si>
    <t>ITEMPEU_001500001691 Xcharges to Trading Partner 1307</t>
  </si>
  <si>
    <t>ITEMPEU_001500003017 Xcharge to BioReliance Limited</t>
  </si>
  <si>
    <t>ITEMPEU_001500003018 Xcharge to SAFC Biosciences Limited</t>
  </si>
  <si>
    <t>ITEMPEU_001500003019 Xcharge to Sigma-Aldrich Company Limited</t>
  </si>
  <si>
    <t>ITEMPEU_001500003020 Xcharge to  SAFC Hitech Limited</t>
  </si>
  <si>
    <t>ITEMPEU_001500003021 Xcharge to Sigma-Aldrich Ireland</t>
  </si>
  <si>
    <t>ITEMPEU_001500004812 Xcharge to Merck Performance Materials</t>
  </si>
  <si>
    <t>ITEMPEU_001500004813 Xcharge to Merck Life Science Ltd</t>
  </si>
  <si>
    <t>ITEMPEU_001500002889 Marketing and Selling B8 1500 kgaa</t>
  </si>
  <si>
    <t>ITEMPEU_001500002890 GlobaltechOPS B8 1500 kgaa</t>
  </si>
  <si>
    <t>ITEMPEU_001500002891 Logistic B8 1500 kgaa</t>
  </si>
  <si>
    <t>ITEMPLA_001520001017 PE10 - ITF postings - GL 17950000</t>
  </si>
  <si>
    <t>ITEMPLA_001520000530 GT10 - Sales of Fixed Assets (Incomes)</t>
  </si>
  <si>
    <t>ITEMPLA_001520000532 GT10 - Sales of Fixed Assets (Losses)</t>
  </si>
  <si>
    <t>ITEMPLA_001520000289 CO10 - I/O for  99 Dummy</t>
  </si>
  <si>
    <t>ITEMPLA_001520001042 PA20 - Sales of Fixed Assets (Losses)</t>
  </si>
  <si>
    <t>ITEMPEU_003200001474 CH70 Remaining oth inc IC 3122205000</t>
  </si>
  <si>
    <t>ITEMPEU_003200001480 CH70 RemOther Exp 3122112000 3rd P AL</t>
  </si>
  <si>
    <t>ITEMPEU_009000001569 FR40IC1814OX3122112000 FR40884702 JPAN</t>
  </si>
  <si>
    <t>CTEMPEU_1000FR40884103 Manufact Litigation</t>
  </si>
  <si>
    <t>H000001095</t>
  </si>
  <si>
    <t>H000000004</t>
  </si>
  <si>
    <t>H000000970</t>
  </si>
  <si>
    <t>CLFF_1000$$$TN50Z01000</t>
  </si>
  <si>
    <t>CLFF_1000$$$TN60Z01000</t>
  </si>
  <si>
    <t>CLFF_1000$$$DE10629410</t>
  </si>
  <si>
    <t>CLFF_1000$$$DE10594600</t>
  </si>
  <si>
    <t>FR7417161</t>
  </si>
  <si>
    <t>CNOW_ROW$$$$0000008723</t>
  </si>
  <si>
    <t>CFLTFLE_23940000000450</t>
  </si>
  <si>
    <t>CFLTFLE_23940000000420</t>
  </si>
  <si>
    <t>CFLTFLE_23950000000450</t>
  </si>
  <si>
    <t>CFLTFLE_23960000000210</t>
  </si>
  <si>
    <t>CORAERP_MMOR1968.9751</t>
  </si>
  <si>
    <t>FR7417823</t>
  </si>
  <si>
    <t>FR7418685</t>
  </si>
  <si>
    <t>CPHOENX_01010000611714</t>
  </si>
  <si>
    <t>CPHOENX_01010000611716</t>
  </si>
  <si>
    <t>CPHOENX_01010000611720</t>
  </si>
  <si>
    <t>CPHOENX_01010000611722</t>
  </si>
  <si>
    <t>CPHOENX_01010000611740</t>
  </si>
  <si>
    <t>CPHOENX_01010000611750</t>
  </si>
  <si>
    <t>CPHOENX_01010000611780</t>
  </si>
  <si>
    <t>CPHOENX_01010000611800</t>
  </si>
  <si>
    <t>CPHOENX_01010000611812</t>
  </si>
  <si>
    <t>CPHOENX_01010000611813</t>
  </si>
  <si>
    <t>CPHOENX_01010000611814</t>
  </si>
  <si>
    <t>CPHOENX_01010000611816</t>
  </si>
  <si>
    <t>CPHOENX_01010000611818</t>
  </si>
  <si>
    <t>CPHOENX_01010000611820</t>
  </si>
  <si>
    <t>CPHOENX_01010000611826</t>
  </si>
  <si>
    <t>CPHOENX_01010000611830</t>
  </si>
  <si>
    <t>CPHOENX_01010000611840</t>
  </si>
  <si>
    <t>CPHOENX_01010000611850</t>
  </si>
  <si>
    <t>CPHOENX_01010000611855</t>
  </si>
  <si>
    <t>CPHOENX_01010000611860</t>
  </si>
  <si>
    <t>CPHOENX_01010000611863</t>
  </si>
  <si>
    <t>CPHOENX_01010000611864</t>
  </si>
  <si>
    <t>CPHOENX_01010000611870</t>
  </si>
  <si>
    <t>CPHOENX_01010000611880</t>
  </si>
  <si>
    <t>CPHOENX_01010000611881</t>
  </si>
  <si>
    <t>CPHOENX_01019182611700</t>
  </si>
  <si>
    <t>CPHOENX_01019182611714</t>
  </si>
  <si>
    <t>CPHOENX_01019182611716</t>
  </si>
  <si>
    <t>CPHOENX_01019182611720</t>
  </si>
  <si>
    <t>CPHOENX_01019182611722</t>
  </si>
  <si>
    <t>CPHOENX_01019182611740</t>
  </si>
  <si>
    <t>CPHOENX_01019182611750</t>
  </si>
  <si>
    <t>CPHOENX_01019182611780</t>
  </si>
  <si>
    <t>CPHOENX_01019182611800</t>
  </si>
  <si>
    <t>CPHOENX_01019182611812</t>
  </si>
  <si>
    <t>CPHOENX_01019182611813</t>
  </si>
  <si>
    <t>CPHOENX_01019182611814</t>
  </si>
  <si>
    <t>CPHOENX_01019182611816</t>
  </si>
  <si>
    <t>CPHOENX_01019182611818</t>
  </si>
  <si>
    <t>CPHOENX_01019182611820</t>
  </si>
  <si>
    <t>CPHOENX_01019182611826</t>
  </si>
  <si>
    <t>CPHOENX_01019182611830</t>
  </si>
  <si>
    <t>CPHOENX_01019182611840</t>
  </si>
  <si>
    <t>CPHOENX_01019182611850</t>
  </si>
  <si>
    <t>CPHOENX_01019182611855</t>
  </si>
  <si>
    <t>CPHOENX_01019182611860</t>
  </si>
  <si>
    <t>CPHOENX_01019182611863</t>
  </si>
  <si>
    <t>CPHOENX_01019182611864</t>
  </si>
  <si>
    <t>CPHOENX_01019182611870</t>
  </si>
  <si>
    <t>CPHOENX_01019182611880</t>
  </si>
  <si>
    <t>CPHOENX_01019182611881</t>
  </si>
  <si>
    <t>IPHOENX_000400762834</t>
  </si>
  <si>
    <t>IPHOENX_000400762835</t>
  </si>
  <si>
    <t>IPHOENX_000400763392</t>
  </si>
  <si>
    <t>IPHOENX_000400763916</t>
  </si>
  <si>
    <t>IPHOENX_000400764132</t>
  </si>
  <si>
    <t>L000013834</t>
  </si>
  <si>
    <t>L000013835</t>
  </si>
  <si>
    <t>CLFF_1000$$$DE10N11700</t>
  </si>
  <si>
    <t>CLFF_1000$$$DE10N11714</t>
  </si>
  <si>
    <t>CLFF_1000$$$DE10N11716</t>
  </si>
  <si>
    <t>CLFF_1000$$$DE10N11720</t>
  </si>
  <si>
    <t>CLFF_1000$$$DE10N11722</t>
  </si>
  <si>
    <t>CLFF_1000$$$DE10N11740</t>
  </si>
  <si>
    <t>CLFF_1000$$$DE10N11750</t>
  </si>
  <si>
    <t>CLFF_1000$$$DE10N11780</t>
  </si>
  <si>
    <t>CLFF_1000$$$DE10N11800</t>
  </si>
  <si>
    <t>CLFF_1000$$$DE10N11812</t>
  </si>
  <si>
    <t>CLFF_1000$$$DE10N11813</t>
  </si>
  <si>
    <t>CLFF_1000$$$DE10N11814</t>
  </si>
  <si>
    <t>CLFF_1000$$$DE10N11816</t>
  </si>
  <si>
    <t>CLFF_1000$$$DE10N11818</t>
  </si>
  <si>
    <t>CLFF_1000$$$DE10N11820</t>
  </si>
  <si>
    <t>CLFF_1000$$$DE10N11826</t>
  </si>
  <si>
    <t>CLFF_1000$$$DE10N11830</t>
  </si>
  <si>
    <t>CLFF_1000$$$DE10N11840</t>
  </si>
  <si>
    <t>CLFF_1000$$$DE10N11850</t>
  </si>
  <si>
    <t>CLFF_1000$$$DE10N11855</t>
  </si>
  <si>
    <t>CLFF_1000$$$DE10N11860</t>
  </si>
  <si>
    <t>CLFF_1000$$$DE10N11863</t>
  </si>
  <si>
    <t>CLFF_1000$$$DE10N11864</t>
  </si>
  <si>
    <t>CLFF_1000$$$DE10N11870</t>
  </si>
  <si>
    <t>CLFF_1000$$$DE10N11880</t>
  </si>
  <si>
    <t>CLFF_1000$$$DE10N11881</t>
  </si>
  <si>
    <t>PQUATRO_D001263DE0413000000 DSA rectification BCP</t>
  </si>
  <si>
    <t>PQUATRO_D001264DE0413000000 DSA rectification NUL</t>
  </si>
  <si>
    <t>PQUATRO_D001265DE0413000000 DSA rectification PIN</t>
  </si>
  <si>
    <t>PQUATRO_D001267DE0413000000 DSA C/H PIN and PSPT</t>
  </si>
  <si>
    <t>PQUATRO_D001268DE0413000000 DSA Advanced Tech Project</t>
  </si>
  <si>
    <t>PQUATRO_D001269DE0413000000 KrF resist 9300 series</t>
  </si>
  <si>
    <t>PQUATRO_D001270DE0413000000 KrF resist polymers</t>
  </si>
  <si>
    <t>PQUATRO_D001271DE0413000000 KrF Positiv Tone Patterning (China)</t>
  </si>
  <si>
    <t>PQUATRO_D001272DE0413000000 i-line resist polymers</t>
  </si>
  <si>
    <t>PQUATRO_D001262US0101000000 Spin-on Metal-containing TIM</t>
  </si>
  <si>
    <t>PQUATRO_D001273DE0413000000 DCSB Feasibility</t>
  </si>
  <si>
    <t>PQUATRO_D001274DE0413000000 SN-888 Supply</t>
  </si>
  <si>
    <t>PQUATRO_D001278DE0413000000 SN-909</t>
  </si>
  <si>
    <t>PQUATRO_D001293DE0413000000 Low Shrinkage PHPS Feasibility</t>
  </si>
  <si>
    <t>FR7418966</t>
  </si>
  <si>
    <t>Changes were saved for change request 25470855</t>
  </si>
  <si>
    <t>CLFF_1000$$$CH50L95008 Rebilling - USA</t>
  </si>
  <si>
    <t>FR7419978</t>
  </si>
  <si>
    <t>PC00011842</t>
  </si>
  <si>
    <t>L000013495</t>
  </si>
  <si>
    <t>FR7425378</t>
  </si>
  <si>
    <t>FR7426909</t>
  </si>
  <si>
    <t>PEMERAL_6403H2018040201__1001 SI_Project Chronos/H.20180402.01.1001</t>
  </si>
  <si>
    <t>ITEMPNA_009004000840 CA20IC1881SE3122112000</t>
  </si>
  <si>
    <t>ITEMPNA_009004001045 CA20IC1881SE3110250000A4</t>
  </si>
  <si>
    <t>ITEMPNA_001040000036</t>
  </si>
  <si>
    <t>H201804020</t>
  </si>
  <si>
    <t>H000000974</t>
  </si>
  <si>
    <t>FR7428161</t>
  </si>
  <si>
    <t>PCB doesn't recognize the object.</t>
  </si>
  <si>
    <t>CNOW_7210$$$PC00011842</t>
  </si>
  <si>
    <t>FR7436498</t>
  </si>
  <si>
    <t>CPHOENX_01010000538989</t>
  </si>
  <si>
    <t>CLFF_1000$$$DE10B20210</t>
  </si>
  <si>
    <t>L000013259</t>
  </si>
  <si>
    <t>FR7437769</t>
  </si>
  <si>
    <t xml:space="preserve">CLFF_1000$$$CH75GM8300 </t>
  </si>
  <si>
    <t>G000001325</t>
  </si>
  <si>
    <t>Changes were saved for change request 25497069</t>
  </si>
  <si>
    <t>FR7449455</t>
  </si>
  <si>
    <t>CLFF_7210$$$2068TAUA00 Urbana Operations Main CC</t>
  </si>
  <si>
    <t>CLFF_7210$$$2068TAUA99 Urbana Labor</t>
  </si>
  <si>
    <t>CLFF_7210$$$2068TBUZ21 Urbana QC</t>
  </si>
  <si>
    <t>CLFF_7210$$$2068TFUZ61 Urbana Management</t>
  </si>
  <si>
    <t>CLFF_7210$$$2068TKUZ70 Urbana MAOH</t>
  </si>
  <si>
    <t>CLFF_7210$$$2068TQUZ90 Urbana Warehouse</t>
  </si>
  <si>
    <t>PL_E2_ES52 PL_E4_US44 ProcOrd_Urbana Production_US4</t>
  </si>
  <si>
    <t>PL_E4_US44 ProcOrd_Urbana Production_US44</t>
  </si>
  <si>
    <t>CLFF_7210$$$2068TAUA01</t>
  </si>
  <si>
    <t>L000013447</t>
  </si>
  <si>
    <t>P000000179 EL-PS-OU Site Urbana, USA</t>
  </si>
  <si>
    <t>P&amp;L objects not for mapping.</t>
  </si>
  <si>
    <t>Changes were saved for change request 25506375</t>
  </si>
  <si>
    <t>yep</t>
  </si>
  <si>
    <t>CFLTFLE_17710000514000</t>
  </si>
  <si>
    <t>FR7446458</t>
  </si>
  <si>
    <t xml:space="preserve">CFLTFLE_17710000110200 </t>
  </si>
  <si>
    <t>H000002268</t>
  </si>
  <si>
    <t>G000000233</t>
  </si>
  <si>
    <t>ITEMPLA_001520001102 Manifesto - Sales Promo BR</t>
  </si>
  <si>
    <t>H000002867</t>
  </si>
  <si>
    <t>FR7457278</t>
  </si>
  <si>
    <t>FR7453635</t>
  </si>
  <si>
    <t>CFLTFLE_23940000000115</t>
  </si>
  <si>
    <t>CFLTFLE_23940000000120</t>
  </si>
  <si>
    <t>CFLTFLE_23940000000135</t>
  </si>
  <si>
    <t>CFLTFLE_23940000000140</t>
  </si>
  <si>
    <t>CFLTFLE_23940000000160</t>
  </si>
  <si>
    <t>CFLTFLE_23940000000170</t>
  </si>
  <si>
    <t>CFLTFLE_23940000000180</t>
  </si>
  <si>
    <t>CFLTFLE_23940000000220</t>
  </si>
  <si>
    <t>CFLTFLE_23940000000240</t>
  </si>
  <si>
    <t>CFLTFLE_23940000000250</t>
  </si>
  <si>
    <t>CFLTFLE_23940000000310</t>
  </si>
  <si>
    <t>CFLTFLE_23940000000320</t>
  </si>
  <si>
    <t>CFLTFLE_23940000000330</t>
  </si>
  <si>
    <t>CFLTFLE_23940000000340</t>
  </si>
  <si>
    <t>CFLTFLE_23940000000350</t>
  </si>
  <si>
    <t>CFLTFLE_23940000000360</t>
  </si>
  <si>
    <t>CFLTFLE_23940000000510</t>
  </si>
  <si>
    <t>CFLTFLE_23940000000530</t>
  </si>
  <si>
    <t>CFLTFLE_23950000000110</t>
  </si>
  <si>
    <t>CFLTFLE_23950000000115</t>
  </si>
  <si>
    <t>CFLTFLE_23950000000120</t>
  </si>
  <si>
    <t>CFLTFLE_23950000000130</t>
  </si>
  <si>
    <t>CFLTFLE_23950000000135</t>
  </si>
  <si>
    <t>CFLTFLE_23950000000140</t>
  </si>
  <si>
    <t>CFLTFLE_23950000000150</t>
  </si>
  <si>
    <t>CFLTFLE_23950000000160</t>
  </si>
  <si>
    <t>CFLTFLE_23950000000170</t>
  </si>
  <si>
    <t>CFLTFLE_23950000000171</t>
  </si>
  <si>
    <t>CFLTFLE_23950000000180</t>
  </si>
  <si>
    <t>CFLTFLE_23950000000220</t>
  </si>
  <si>
    <t>CFLTFLE_23950000000240</t>
  </si>
  <si>
    <t>CFLTFLE_23950000000250</t>
  </si>
  <si>
    <t>CFLTFLE_23950000000320</t>
  </si>
  <si>
    <t>CFLTFLE_23950000000330</t>
  </si>
  <si>
    <t>CFLTFLE_23950000000340</t>
  </si>
  <si>
    <t>CFLTFLE_23950000000350</t>
  </si>
  <si>
    <t>CFLTFLE_23950000000360</t>
  </si>
  <si>
    <t>CFLTFLE_23950000000430</t>
  </si>
  <si>
    <t>CFLTFLE_23960000000115</t>
  </si>
  <si>
    <t>CFLTFLE_23960000000130</t>
  </si>
  <si>
    <t>CFLTFLE_23960000000135</t>
  </si>
  <si>
    <t>CFLTFLE_23960000000140</t>
  </si>
  <si>
    <t>CFLTFLE_23960000000150</t>
  </si>
  <si>
    <t>CFLTFLE_23960000000160</t>
  </si>
  <si>
    <t>CFLTFLE_23960000000320</t>
  </si>
  <si>
    <t>CFLTFLE_23960000000350</t>
  </si>
  <si>
    <t>CFLTFLE_23960000000530</t>
  </si>
  <si>
    <t>CNOW_7210$$$0000010318</t>
  </si>
  <si>
    <t>L000013324</t>
  </si>
  <si>
    <t>CNOW_7210$$$0000015207</t>
  </si>
  <si>
    <t>CNOW_7210$$$0000015561</t>
  </si>
  <si>
    <t>L000007673</t>
  </si>
  <si>
    <t>CNOW_7210$$$0000020048</t>
  </si>
  <si>
    <t>L000007835</t>
  </si>
  <si>
    <t>CNOW_7210$$$0000040054</t>
  </si>
  <si>
    <t>L000009807</t>
  </si>
  <si>
    <t>CNOW_7210$$$0000052117</t>
  </si>
  <si>
    <t>CNOW_7210$$$0000052118</t>
  </si>
  <si>
    <t>CNOW_7210$$$0000052356</t>
  </si>
  <si>
    <t>L000011665</t>
  </si>
  <si>
    <t>CNOW_7210$$$0000265236</t>
  </si>
  <si>
    <t>CNOW_7210$$$0024065237</t>
  </si>
  <si>
    <t>CNOW_7210$$$0024068113</t>
  </si>
  <si>
    <t>L000007252</t>
  </si>
  <si>
    <t>CLFF_1000$$$DE10677800</t>
  </si>
  <si>
    <t>CLFF_1000$$$ES50GIT40L</t>
  </si>
  <si>
    <t>CLFF_1000$$$IT50GIT025</t>
  </si>
  <si>
    <t>CNOW_7210$$$0000008047</t>
  </si>
  <si>
    <t>CNOW_7210$$$0000015701</t>
  </si>
  <si>
    <t>CNOW_7210$$$0000496755</t>
  </si>
  <si>
    <t>CNOW_AUS0$$$0000092061</t>
  </si>
  <si>
    <t>CSCALA_1042$ITIW</t>
  </si>
  <si>
    <t>CTEMPEU_1000PL10D05003</t>
  </si>
  <si>
    <t>P000000763</t>
  </si>
  <si>
    <t>P000000765</t>
  </si>
  <si>
    <t>G000000282</t>
  </si>
  <si>
    <t>FR7458107</t>
  </si>
  <si>
    <t>Changes were saved for change request 25518301</t>
  </si>
  <si>
    <t>CSCALA_1248$GM00 Quality Assurance</t>
  </si>
  <si>
    <t>FR7461875</t>
  </si>
  <si>
    <t>Nikolaos Antonopoulos</t>
  </si>
  <si>
    <t>CFLTFLE_22450000002707 EXL - Mfg Admin</t>
  </si>
  <si>
    <t>FR7465457</t>
  </si>
  <si>
    <t>CEMERAL_70007001586020 REG Glob Dist Sust &amp; Enhance</t>
  </si>
  <si>
    <t>FR7465429</t>
  </si>
  <si>
    <t>L000013796</t>
  </si>
  <si>
    <t>FR7466373</t>
  </si>
  <si>
    <t>CLFF_1000$$$DE20122000</t>
  </si>
  <si>
    <t>CLFF_1000$$$DE20123000</t>
  </si>
  <si>
    <t>CLFF_1000$$$DE10515800</t>
  </si>
  <si>
    <t>CLFF_1000$$$DE10538021</t>
  </si>
  <si>
    <t>CLFF_1000$$$DE10566000</t>
  </si>
  <si>
    <t>CLFF_1000$$$DE10537833</t>
  </si>
  <si>
    <t>CLFF_1000$$$DE10538012</t>
  </si>
  <si>
    <t>CLFF_1000$$$DE10538014</t>
  </si>
  <si>
    <t>CLFF_1000$$$DE10538015</t>
  </si>
  <si>
    <t>CLFF_1000$$$DE10538017</t>
  </si>
  <si>
    <t>CLFF_1000$$$DE10538018</t>
  </si>
  <si>
    <t>CLFF_1000$$$DE10538132</t>
  </si>
  <si>
    <t>CLFF_1000$$$DE10538101</t>
  </si>
  <si>
    <t>CLFF_1000$$$DE10538102</t>
  </si>
  <si>
    <t>CLFF_1000$$$DE10538104</t>
  </si>
  <si>
    <t>CLFF_1000$$$DE10538109</t>
  </si>
  <si>
    <t>CLFF_1000$$$DE10538116</t>
  </si>
  <si>
    <t>CLFF_1000$$$DE10538123</t>
  </si>
  <si>
    <t>CLFF_1000$$$DE10538128</t>
  </si>
  <si>
    <t>CLFF_1000$$$DE10538146</t>
  </si>
  <si>
    <t>CLFF_1000$$$DE10538150</t>
  </si>
  <si>
    <t>CLFF_1000$$$DE10538152</t>
  </si>
  <si>
    <t>CLFF_1000$$$DE10538157</t>
  </si>
  <si>
    <t>CLFF_1000$$$DE10538158</t>
  </si>
  <si>
    <t>CLFF_1000$$$DE10538159</t>
  </si>
  <si>
    <t>CLFF_1000$$$DE10538179</t>
  </si>
  <si>
    <t>CLFF_1000$$$DE10538180</t>
  </si>
  <si>
    <t>CLFF_1000$$$DE10538181</t>
  </si>
  <si>
    <t>CLFF_1000$$$DE10538182</t>
  </si>
  <si>
    <t>CLFF_1000$$$DE10538183</t>
  </si>
  <si>
    <t>CLFF_1000$$$DE10538187</t>
  </si>
  <si>
    <t>CLFF_1000$$$DE10538188</t>
  </si>
  <si>
    <t>CLFF_1000$$$DE10538189</t>
  </si>
  <si>
    <t>CLFF_1000$$$DE10538196</t>
  </si>
  <si>
    <t>CLFF_1000$$$DE10538236</t>
  </si>
  <si>
    <t>CLFF_1000$$$DE10538470</t>
  </si>
  <si>
    <t>CLFF_1000$$$DE10538472</t>
  </si>
  <si>
    <t>CLFF_1000$$$DE10538473</t>
  </si>
  <si>
    <t>CLFF_1000$$$DE10538762</t>
  </si>
  <si>
    <t>CLFF_1000$$$DE10538961</t>
  </si>
  <si>
    <t>CLFF_1000$$$DE10538962</t>
  </si>
  <si>
    <t>CLFF_1000$$$DE10538963</t>
  </si>
  <si>
    <t>CLFF_1000$$$DE10538964</t>
  </si>
  <si>
    <t>CLFF_1000$$$DE10538965</t>
  </si>
  <si>
    <t>CLFF_1000$$$DE10538966</t>
  </si>
  <si>
    <t>CLFF_1000$$$DE10538967</t>
  </si>
  <si>
    <t>CLFF_1000$$$DE10538968</t>
  </si>
  <si>
    <t>CLFF_1000$$$DE10538969</t>
  </si>
  <si>
    <t>CLFF_1000$$$DE10538970</t>
  </si>
  <si>
    <t>CLFF_1000$$$DE10538971</t>
  </si>
  <si>
    <t>CLFF_1000$$$DE10538972</t>
  </si>
  <si>
    <t>CLFF_1000$$$DE10538973</t>
  </si>
  <si>
    <t>CLFF_1000$$$DE10538974</t>
  </si>
  <si>
    <t>CLFF_1000$$$DE10538975</t>
  </si>
  <si>
    <t>CLFF_1000$$$DE10538977</t>
  </si>
  <si>
    <t>CLFF_1000$$$DE10538979</t>
  </si>
  <si>
    <t>CLFF_1000$$$DE10538980</t>
  </si>
  <si>
    <t>CLFF_1000$$$DE10538982</t>
  </si>
  <si>
    <t>CLFF_1000$$$DE10538984</t>
  </si>
  <si>
    <t>CLFF_1000$$$DE10538985</t>
  </si>
  <si>
    <t>CLFF_1000$$$DE10538994</t>
  </si>
  <si>
    <t>CLFF_1000$$$DE10539930</t>
  </si>
  <si>
    <t>CLFF_1000$$$DE10539931</t>
  </si>
  <si>
    <t>CLFF_1000$$$DE10539932</t>
  </si>
  <si>
    <t>CLFF_1000$$$DE10539934</t>
  </si>
  <si>
    <t>CLFF_1000$$$DE10539935</t>
  </si>
  <si>
    <t>CLFF_1000$$$DE10539936</t>
  </si>
  <si>
    <t>CLFF_1000$$$DE10539937</t>
  </si>
  <si>
    <t>CLFF_1000$$$DE10539938</t>
  </si>
  <si>
    <t>CLFF_1000$$$DE10539939</t>
  </si>
  <si>
    <t>CLFF_1000$$$DE10539940</t>
  </si>
  <si>
    <t>CLFF_1000$$$DE10539941</t>
  </si>
  <si>
    <t>CLFF_1000$$$DE10539942</t>
  </si>
  <si>
    <t>CLFF_1000$$$DE10539943</t>
  </si>
  <si>
    <t>CLFF_1000$$$DE10539944</t>
  </si>
  <si>
    <t>CLFF_1000$$$DE10539995</t>
  </si>
  <si>
    <t>CLFF_1000$$$DE10538103</t>
  </si>
  <si>
    <t>CLFF_1000$$$DE10538108</t>
  </si>
  <si>
    <t>CLFF_1000$$$DE10538110</t>
  </si>
  <si>
    <t>CLFF_1000$$$DE10538111</t>
  </si>
  <si>
    <t>CLFF_1000$$$DE10538112</t>
  </si>
  <si>
    <t>CLFF_1000$$$DE10538113</t>
  </si>
  <si>
    <t>CLFF_1000$$$DE10538114</t>
  </si>
  <si>
    <t>CLFF_1000$$$DE10538115</t>
  </si>
  <si>
    <t>CLFF_1000$$$DE10538117</t>
  </si>
  <si>
    <t>CLFF_1000$$$DE10538119</t>
  </si>
  <si>
    <t>CLFF_1000$$$DE10538120</t>
  </si>
  <si>
    <t>CLFF_1000$$$DE10538121</t>
  </si>
  <si>
    <t>CLFF_1000$$$DE10538122</t>
  </si>
  <si>
    <t>CLFF_1000$$$DE10538124</t>
  </si>
  <si>
    <t>CLFF_1000$$$DE10538129</t>
  </si>
  <si>
    <t>CLFF_1000$$$DE10538130</t>
  </si>
  <si>
    <t>CLFF_1000$$$DE10538131</t>
  </si>
  <si>
    <t>CLFF_1000$$$DE10538133</t>
  </si>
  <si>
    <t>CLFF_1000$$$DE10538134</t>
  </si>
  <si>
    <t>CLFF_1000$$$DE10538135</t>
  </si>
  <si>
    <t>CLFF_1000$$$DE10538138</t>
  </si>
  <si>
    <t>CLFF_1000$$$DE10538139</t>
  </si>
  <si>
    <t>CLFF_1000$$$DE10538142</t>
  </si>
  <si>
    <t>CLFF_1000$$$DE10538144</t>
  </si>
  <si>
    <t>CLFF_1000$$$DE10538161</t>
  </si>
  <si>
    <t>CLFF_1000$$$DE10538174</t>
  </si>
  <si>
    <t>CLFF_1000$$$DE10538178</t>
  </si>
  <si>
    <t>CLFF_1000$$$DE10538192</t>
  </si>
  <si>
    <t>CLFF_1000$$$DE10538397</t>
  </si>
  <si>
    <t>CLFF_1000$$$DE10538556</t>
  </si>
  <si>
    <t>CLFF_1000$$$DE10538654</t>
  </si>
  <si>
    <t>CLFF_1000$$$DE10579990</t>
  </si>
  <si>
    <t>CLFF_1000$$$DE10538107</t>
  </si>
  <si>
    <t>CLFF_1000$$$DE10538118</t>
  </si>
  <si>
    <t>CLFF_1000$$$DE10538136</t>
  </si>
  <si>
    <t>CLFF_1000$$$DE10538137</t>
  </si>
  <si>
    <t>CLFF_1000$$$DE10538141</t>
  </si>
  <si>
    <t>CLFF_1000$$$DE10538143</t>
  </si>
  <si>
    <t>CLFF_1000$$$DE10538147</t>
  </si>
  <si>
    <t>CLFF_1000$$$DE10538148</t>
  </si>
  <si>
    <t>CLFF_1000$$$DE10538151</t>
  </si>
  <si>
    <t>CLFF_1000$$$DE10538153</t>
  </si>
  <si>
    <t>CLFF_1000$$$DE10538160</t>
  </si>
  <si>
    <t>CLFF_1000$$$DE10538162</t>
  </si>
  <si>
    <t>CLFF_1000$$$DE10538163</t>
  </si>
  <si>
    <t>CLFF_1000$$$DE10538164</t>
  </si>
  <si>
    <t>CLFF_1000$$$DE10538166</t>
  </si>
  <si>
    <t>CLFF_1000$$$DE10538167</t>
  </si>
  <si>
    <t>CLFF_1000$$$DE10538168</t>
  </si>
  <si>
    <t>CLFF_1000$$$DE10538171</t>
  </si>
  <si>
    <t>CLFF_1000$$$DE10538175</t>
  </si>
  <si>
    <t>CLFF_1000$$$DE10538176</t>
  </si>
  <si>
    <t>CLFF_1000$$$DE10538177</t>
  </si>
  <si>
    <t>CLFF_1000$$$DE10538184</t>
  </si>
  <si>
    <t>CLFF_1000$$$DE10538185</t>
  </si>
  <si>
    <t>CLFF_1000$$$DE10538186</t>
  </si>
  <si>
    <t>CLFF_1000$$$DE10538193</t>
  </si>
  <si>
    <t>CLFF_1000$$$DE10538194</t>
  </si>
  <si>
    <t>CLFF_1000$$$DE10538195</t>
  </si>
  <si>
    <t>CLFF_1000$$$DE10538197</t>
  </si>
  <si>
    <t>CLFF_1000$$$DE10538712</t>
  </si>
  <si>
    <t>CLFF_1000$$$DE10538713</t>
  </si>
  <si>
    <t>CLFF_1000$$$DE10538714</t>
  </si>
  <si>
    <t>CLFF_1000$$$DE10538715</t>
  </si>
  <si>
    <t>CLFF_1000$$$DE10538716</t>
  </si>
  <si>
    <t>CLFF_1000$$$DE10538717</t>
  </si>
  <si>
    <t>CLFF_1000$$$DE10538887</t>
  </si>
  <si>
    <t>CLFF_1000$$$DE10538920</t>
  </si>
  <si>
    <t>CLFF_1000$$$DE10538921</t>
  </si>
  <si>
    <t>CLFF_1000$$$DE10538978</t>
  </si>
  <si>
    <t>CLFF_1000$$$DE10539001</t>
  </si>
  <si>
    <t>CLFF_1000$$$DE10539002</t>
  </si>
  <si>
    <t>CLFF_1000$$$DE10539004</t>
  </si>
  <si>
    <t>CLFF_1000$$$DE10567500</t>
  </si>
  <si>
    <t>CLFF_1000$$$DE10569401</t>
  </si>
  <si>
    <t>CLFF_1000$$$DE10538145</t>
  </si>
  <si>
    <t>CLFF_1000$$$DE10538190</t>
  </si>
  <si>
    <t>CLFF_1000$$$DE10539003</t>
  </si>
  <si>
    <t>CLFF_1000$$$DE10567400</t>
  </si>
  <si>
    <t>CLFF_1000$$$DE20510800</t>
  </si>
  <si>
    <t>CLFF_1000$$$DE20516800</t>
  </si>
  <si>
    <t>CLFF_1000$$$DE20518800</t>
  </si>
  <si>
    <t>CLFF_1000$$$DE20518900</t>
  </si>
  <si>
    <t>CLFF_1000$$$DE20538199</t>
  </si>
  <si>
    <t>CLFF_1000$$$DE20542000</t>
  </si>
  <si>
    <t>CLFF_1000$$$DE20537833</t>
  </si>
  <si>
    <t>CLFF_1000$$$DE20538012</t>
  </si>
  <si>
    <t>CLFF_1000$$$DE20538014</t>
  </si>
  <si>
    <t>CLFF_1000$$$DE20538015</t>
  </si>
  <si>
    <t>CLFF_1000$$$DE20538017</t>
  </si>
  <si>
    <t>CLFF_1000$$$DE20538018</t>
  </si>
  <si>
    <t>CLFF_1000$$$DE20538132</t>
  </si>
  <si>
    <t>CLFF_1000$$$DE20538101</t>
  </si>
  <si>
    <t>CLFF_1000$$$DE20538102</t>
  </si>
  <si>
    <t>CLFF_1000$$$DE20538104</t>
  </si>
  <si>
    <t>CLFF_1000$$$DE20538109</t>
  </si>
  <si>
    <t>CLFF_1000$$$DE20538116</t>
  </si>
  <si>
    <t>CLFF_1000$$$DE20538123</t>
  </si>
  <si>
    <t>CLFF_1000$$$DE20538128</t>
  </si>
  <si>
    <t>CLFF_1000$$$DE20538146</t>
  </si>
  <si>
    <t>CLFF_1000$$$DE20538150</t>
  </si>
  <si>
    <t>CLFF_1000$$$DE20538152</t>
  </si>
  <si>
    <t>CLFF_1000$$$DE20538157</t>
  </si>
  <si>
    <t>CLFF_1000$$$DE20538158</t>
  </si>
  <si>
    <t>CLFF_1000$$$DE20538159</t>
  </si>
  <si>
    <t>CLFF_1000$$$DE20538179</t>
  </si>
  <si>
    <t>CLFF_1000$$$DE20538180</t>
  </si>
  <si>
    <t>CLFF_1000$$$DE20538181</t>
  </si>
  <si>
    <t>CLFF_1000$$$DE20538182</t>
  </si>
  <si>
    <t>CLFF_1000$$$DE20538183</t>
  </si>
  <si>
    <t>CLFF_1000$$$DE20538187</t>
  </si>
  <si>
    <t>CLFF_1000$$$DE20538188</t>
  </si>
  <si>
    <t>CLFF_1000$$$DE20538189</t>
  </si>
  <si>
    <t>CLFF_1000$$$DE20538196</t>
  </si>
  <si>
    <t>CLFF_1000$$$DE20538236</t>
  </si>
  <si>
    <t>CLFF_1000$$$DE20538470</t>
  </si>
  <si>
    <t>CLFF_1000$$$DE20538472</t>
  </si>
  <si>
    <t>CLFF_1000$$$DE20538473</t>
  </si>
  <si>
    <t>CLFF_1000$$$DE20538762</t>
  </si>
  <si>
    <t>CLFF_1000$$$DE20538961</t>
  </si>
  <si>
    <t>CLFF_1000$$$DE20538962</t>
  </si>
  <si>
    <t>CLFF_1000$$$DE20538963</t>
  </si>
  <si>
    <t>CLFF_1000$$$DE20538964</t>
  </si>
  <si>
    <t>CLFF_1000$$$DE20538965</t>
  </si>
  <si>
    <t>CLFF_1000$$$DE20538966</t>
  </si>
  <si>
    <t>CLFF_1000$$$DE20538967</t>
  </si>
  <si>
    <t>CLFF_1000$$$DE20538968</t>
  </si>
  <si>
    <t>CLFF_1000$$$DE20538969</t>
  </si>
  <si>
    <t>CLFF_1000$$$DE20538970</t>
  </si>
  <si>
    <t>CLFF_1000$$$DE20538971</t>
  </si>
  <si>
    <t>CLFF_1000$$$DE20538972</t>
  </si>
  <si>
    <t>CLFF_1000$$$DE20538973</t>
  </si>
  <si>
    <t>CLFF_1000$$$DE20538974</t>
  </si>
  <si>
    <t>CLFF_1000$$$DE20538975</t>
  </si>
  <si>
    <t>CLFF_1000$$$DE20538977</t>
  </si>
  <si>
    <t>CLFF_1000$$$DE20538979</t>
  </si>
  <si>
    <t>CLFF_1000$$$DE20538980</t>
  </si>
  <si>
    <t>CLFF_1000$$$DE20538982</t>
  </si>
  <si>
    <t>CLFF_1000$$$DE20538984</t>
  </si>
  <si>
    <t>CLFF_1000$$$DE20538985</t>
  </si>
  <si>
    <t>CLFF_1000$$$DE20538994</t>
  </si>
  <si>
    <t>CLFF_1000$$$DE20539930</t>
  </si>
  <si>
    <t>CLFF_1000$$$DE20539931</t>
  </si>
  <si>
    <t>CLFF_1000$$$DE20539932</t>
  </si>
  <si>
    <t>CLFF_1000$$$DE20539934</t>
  </si>
  <si>
    <t>CLFF_1000$$$DE20539935</t>
  </si>
  <si>
    <t>CLFF_1000$$$DE20539936</t>
  </si>
  <si>
    <t>CLFF_1000$$$DE20539937</t>
  </si>
  <si>
    <t>CLFF_1000$$$DE20539938</t>
  </si>
  <si>
    <t>CLFF_1000$$$DE20539939</t>
  </si>
  <si>
    <t>CLFF_1000$$$DE20539940</t>
  </si>
  <si>
    <t>CLFF_1000$$$DE20539941</t>
  </si>
  <si>
    <t>CLFF_1000$$$DE20539942</t>
  </si>
  <si>
    <t>CLFF_1000$$$DE20539943</t>
  </si>
  <si>
    <t>CLFF_1000$$$DE20539944</t>
  </si>
  <si>
    <t>CLFF_1000$$$DE20539995</t>
  </si>
  <si>
    <t>CLFF_1000$$$DE20538103</t>
  </si>
  <si>
    <t>CLFF_1000$$$DE20538108</t>
  </si>
  <si>
    <t>CLFF_1000$$$DE20538110</t>
  </si>
  <si>
    <t>CLFF_1000$$$DE20538111</t>
  </si>
  <si>
    <t>CLFF_1000$$$DE20538112</t>
  </si>
  <si>
    <t>CLFF_1000$$$DE20538113</t>
  </si>
  <si>
    <t>CLFF_1000$$$DE20538114</t>
  </si>
  <si>
    <t>CLFF_1000$$$DE20538115</t>
  </si>
  <si>
    <t>CLFF_1000$$$DE20538117</t>
  </si>
  <si>
    <t>CLFF_1000$$$DE20538119</t>
  </si>
  <si>
    <t>CLFF_1000$$$DE20538120</t>
  </si>
  <si>
    <t>CLFF_1000$$$DE20538121</t>
  </si>
  <si>
    <t>CLFF_1000$$$DE20538122</t>
  </si>
  <si>
    <t>CLFF_1000$$$DE20538124</t>
  </si>
  <si>
    <t>CLFF_1000$$$DE20538129</t>
  </si>
  <si>
    <t>CLFF_1000$$$DE20538130</t>
  </si>
  <si>
    <t>CLFF_1000$$$DE20538131</t>
  </si>
  <si>
    <t>CLFF_1000$$$DE20538133</t>
  </si>
  <si>
    <t>CLFF_1000$$$DE20538134</t>
  </si>
  <si>
    <t>CLFF_1000$$$DE20538135</t>
  </si>
  <si>
    <t>CLFF_1000$$$DE20538138</t>
  </si>
  <si>
    <t>CLFF_1000$$$DE20538139</t>
  </si>
  <si>
    <t>CLFF_1000$$$DE20538142</t>
  </si>
  <si>
    <t>CLFF_1000$$$DE20538144</t>
  </si>
  <si>
    <t>CLFF_1000$$$DE20538161</t>
  </si>
  <si>
    <t>CLFF_1000$$$DE20538174</t>
  </si>
  <si>
    <t>CLFF_1000$$$DE20538178</t>
  </si>
  <si>
    <t>CLFF_1000$$$DE20538192</t>
  </si>
  <si>
    <t>CLFF_1000$$$DE20538397</t>
  </si>
  <si>
    <t>CLFF_1000$$$DE20538556</t>
  </si>
  <si>
    <t>CLFF_1000$$$DE20538654</t>
  </si>
  <si>
    <t>CLFF_1000$$$DE20579990</t>
  </si>
  <si>
    <t>CLFF_1000$$$DE20538107</t>
  </si>
  <si>
    <t>CLFF_1000$$$DE20538118</t>
  </si>
  <si>
    <t>CLFF_1000$$$DE20538136</t>
  </si>
  <si>
    <t>CLFF_1000$$$DE20538137</t>
  </si>
  <si>
    <t>CLFF_1000$$$DE20538141</t>
  </si>
  <si>
    <t>CLFF_1000$$$DE20538143</t>
  </si>
  <si>
    <t>CLFF_1000$$$DE20538147</t>
  </si>
  <si>
    <t>CLFF_1000$$$DE20538148</t>
  </si>
  <si>
    <t>CLFF_1000$$$DE20538151</t>
  </si>
  <si>
    <t>CLFF_1000$$$DE20538153</t>
  </si>
  <si>
    <t>CLFF_1000$$$DE20538160</t>
  </si>
  <si>
    <t>CLFF_1000$$$DE20538162</t>
  </si>
  <si>
    <t>CLFF_1000$$$DE20538163</t>
  </si>
  <si>
    <t>CLFF_1000$$$DE20538164</t>
  </si>
  <si>
    <t>CLFF_1000$$$DE20538166</t>
  </si>
  <si>
    <t>CLFF_1000$$$DE20538167</t>
  </si>
  <si>
    <t>CLFF_1000$$$DE20538168</t>
  </si>
  <si>
    <t>CLFF_1000$$$DE20538171</t>
  </si>
  <si>
    <t>CLFF_1000$$$DE20538175</t>
  </si>
  <si>
    <t>CLFF_1000$$$DE20538176</t>
  </si>
  <si>
    <t>CLFF_1000$$$DE20538177</t>
  </si>
  <si>
    <t>CLFF_1000$$$DE20538184</t>
  </si>
  <si>
    <t>CLFF_1000$$$DE20538185</t>
  </si>
  <si>
    <t>CLFF_1000$$$DE20538186</t>
  </si>
  <si>
    <t>CLFF_1000$$$DE20538193</t>
  </si>
  <si>
    <t>CLFF_1000$$$DE20538194</t>
  </si>
  <si>
    <t>CLFF_1000$$$DE20538195</t>
  </si>
  <si>
    <t>CLFF_1000$$$DE20538197</t>
  </si>
  <si>
    <t>CLFF_1000$$$DE20538712</t>
  </si>
  <si>
    <t>CLFF_1000$$$DE20538713</t>
  </si>
  <si>
    <t>CLFF_1000$$$DE20538714</t>
  </si>
  <si>
    <t>CLFF_1000$$$DE20538715</t>
  </si>
  <si>
    <t>CLFF_1000$$$DE20538716</t>
  </si>
  <si>
    <t>CLFF_1000$$$DE20538717</t>
  </si>
  <si>
    <t>CLFF_1000$$$DE20538887</t>
  </si>
  <si>
    <t>CLFF_1000$$$DE20538920</t>
  </si>
  <si>
    <t>CLFF_1000$$$DE20538921</t>
  </si>
  <si>
    <t>CLFF_1000$$$DE20538978</t>
  </si>
  <si>
    <t>CLFF_1000$$$DE20539001</t>
  </si>
  <si>
    <t>CLFF_1000$$$DE20539002</t>
  </si>
  <si>
    <t>CLFF_1000$$$DE20539004</t>
  </si>
  <si>
    <t>CLFF_1000$$$DE20567500</t>
  </si>
  <si>
    <t>CLFF_1000$$$DE20569401</t>
  </si>
  <si>
    <t>CLFF_1000$$$DE20538145</t>
  </si>
  <si>
    <t>CLFF_1000$$$DE20538190</t>
  </si>
  <si>
    <t>CLFF_1000$$$DE20539003</t>
  </si>
  <si>
    <t>CLFF_1000$$$DE20567400</t>
  </si>
  <si>
    <t>G000000400</t>
  </si>
  <si>
    <t>G000000998</t>
  </si>
  <si>
    <t>G000000997</t>
  </si>
  <si>
    <t>G000000996</t>
  </si>
  <si>
    <t>G000000880</t>
  </si>
  <si>
    <t>G000000915</t>
  </si>
  <si>
    <t>G000000872</t>
  </si>
  <si>
    <t>G000000993</t>
  </si>
  <si>
    <t>G000000950</t>
  </si>
  <si>
    <t>G000000888</t>
  </si>
  <si>
    <t>G000000879</t>
  </si>
  <si>
    <t>G000000537</t>
  </si>
  <si>
    <t>G000000514</t>
  </si>
  <si>
    <t>G000000513</t>
  </si>
  <si>
    <t>G000000446</t>
  </si>
  <si>
    <t>G000000468</t>
  </si>
  <si>
    <t>G000000417</t>
  </si>
  <si>
    <t>G000000512</t>
  </si>
  <si>
    <t>G000000511</t>
  </si>
  <si>
    <t>G000000467</t>
  </si>
  <si>
    <t>G000000443</t>
  </si>
  <si>
    <t>FR7467264</t>
  </si>
  <si>
    <t>CLFF_1000$$$DE50OF0154 Global Health Germany</t>
  </si>
  <si>
    <t>CLFF_1000$$$DE10624416 Global Health</t>
  </si>
  <si>
    <t>CLFF_1000$$$CH65GCA008 Health Equity Accessibility</t>
  </si>
  <si>
    <t>CLFF_1000$$$CH65GCA010 Praziquantel Donation &amp; Global Sch</t>
  </si>
  <si>
    <t>CLFF_1000$$$CH65GCA001 Global Health Research Institute</t>
  </si>
  <si>
    <t>CLFF_1000$$$DE50OF6808 Health Equity Accessibility GER</t>
  </si>
  <si>
    <t>CTEMPEU_1000FR40699007 Access To Health FR</t>
  </si>
  <si>
    <t>CTEMPNA_1000US30136400 Global Health</t>
  </si>
  <si>
    <t>H000004394</t>
  </si>
  <si>
    <t>FR7467597</t>
  </si>
  <si>
    <t>CLFF_1000$$$AT50L93100 Fertility benefit reimbursement costs</t>
  </si>
  <si>
    <t>CLFF_1000$$$DK50L93100 Fertility benefit reimbursement costs</t>
  </si>
  <si>
    <t>CLFF_1000$$$FI50L93100 Fertility benefit reimbursement costs</t>
  </si>
  <si>
    <t>CLFF_1000$$$KR02GHR119 MBS RPO</t>
  </si>
  <si>
    <t>CLFF_1000$$$MA50GHR018 HR - Fert benefit reimbursement costs MA</t>
  </si>
  <si>
    <t>CLFF_1000$$$NO50L93100 Fertility benefit reimbursement costs</t>
  </si>
  <si>
    <t>CLFF_1000$$$SE50L93100 Fertility benefit reimbursement costs</t>
  </si>
  <si>
    <t>CLFF_1000$$$TN50GHR018 HR - Fert benefit reimbursement costs</t>
  </si>
  <si>
    <t>CLFF_1000$$$TN50GHR019 HR - Fert benefit reimbursement costs DZ</t>
  </si>
  <si>
    <t>CLFF_1000$$$TN60GHR018 HR - Fert benefit reimbursement costs TN</t>
  </si>
  <si>
    <t>CORAERP_MMOR1945.9153 Fertility reimbursement purposes</t>
  </si>
  <si>
    <t>G000001227</t>
  </si>
  <si>
    <t>G000000119</t>
  </si>
  <si>
    <t>CLFF_7210$$$2068TAUA01 Urbana Equipment CC</t>
  </si>
  <si>
    <t>FLFF_7210$$$2068TAUA01_IO Urbana Equipment CC (IO)</t>
  </si>
  <si>
    <t>Duplicate request FR7449455. This was already processed and mapped to its requested parent node.</t>
  </si>
  <si>
    <t>FR7468738</t>
  </si>
  <si>
    <t>Changes were saved for change request 25523738</t>
  </si>
  <si>
    <t>Changes were saved for change request 25524013</t>
  </si>
  <si>
    <t>Changes were saved for change request 25526501</t>
  </si>
  <si>
    <t>FR7456326</t>
  </si>
  <si>
    <t>G000000838</t>
  </si>
  <si>
    <t>FR7477367</t>
  </si>
  <si>
    <t>CNOW_7210$$$0000000660</t>
  </si>
  <si>
    <t>CNOW_7210$$$0000000661</t>
  </si>
  <si>
    <t>PNEXT_CPRJ-98202500011</t>
  </si>
  <si>
    <t>PNEXT_CPRJ-98202500012</t>
  </si>
  <si>
    <t>PNEXT_CPRJ-98202500022</t>
  </si>
  <si>
    <t>PNEXT_CPRJ-98202500048</t>
  </si>
  <si>
    <t>CSCALA_1042$EQ_P40</t>
  </si>
  <si>
    <t>FR7477732</t>
  </si>
  <si>
    <t>L000010287</t>
  </si>
  <si>
    <t xml:space="preserve">CNOW_7210$$$0000058275 </t>
  </si>
  <si>
    <t>FR7477845</t>
  </si>
  <si>
    <t>CLFF_KR00$$$KR03GHR119</t>
  </si>
  <si>
    <t>CLFF_7210$$$1937TMCZ80</t>
  </si>
  <si>
    <t xml:space="preserve">Already mapped </t>
  </si>
  <si>
    <t>L000013786</t>
  </si>
  <si>
    <t>NEXT_CPRJ-9820250001</t>
  </si>
  <si>
    <t>NEXT_CPRJ-9820250002</t>
  </si>
  <si>
    <t>NEXT_CPRJ-9820250004</t>
  </si>
  <si>
    <t>CTEMPEU_1000PL80GBTE05</t>
  </si>
  <si>
    <t>FR7479265</t>
  </si>
  <si>
    <t xml:space="preserve">CPRJ-9820250001 </t>
  </si>
  <si>
    <t xml:space="preserve">CPRJ-9820250002 </t>
  </si>
  <si>
    <t xml:space="preserve">CPRJ-9820250004 </t>
  </si>
  <si>
    <t>FR7481165</t>
  </si>
  <si>
    <t>L000011136</t>
  </si>
  <si>
    <t>FR7481575</t>
  </si>
  <si>
    <t>L000012327</t>
  </si>
  <si>
    <t>FR7482145</t>
  </si>
  <si>
    <t>CLFF_1000$$$DE10538528</t>
  </si>
  <si>
    <t>CLFF_1000$$$DE20538528</t>
  </si>
  <si>
    <t>Thomas Mervoyer</t>
  </si>
  <si>
    <t>Anna Wojciechowska-Pacyna</t>
  </si>
  <si>
    <t>CNOW_7210$$$0000052103</t>
  </si>
  <si>
    <t>CORAERP_MMOR1975.5193</t>
  </si>
  <si>
    <t>FR7486081</t>
  </si>
  <si>
    <t>CLFF_1000$$$DE10890000</t>
  </si>
  <si>
    <t>FR7486995</t>
  </si>
  <si>
    <t>CLFF_1000$$$AE50C0LS07</t>
  </si>
  <si>
    <t>L000012381</t>
  </si>
  <si>
    <t>CLFF_7210$$$2123OF0033</t>
  </si>
  <si>
    <t>H000004396</t>
  </si>
  <si>
    <t>FR7493437</t>
  </si>
  <si>
    <t>CLFF_1000$$$DE50O00001</t>
  </si>
  <si>
    <t>Wont get mapped if no actuals</t>
  </si>
  <si>
    <t>L000013386</t>
  </si>
  <si>
    <t>FR7496486</t>
  </si>
  <si>
    <t>D00120000000000</t>
  </si>
  <si>
    <t>D00128200000000</t>
  </si>
  <si>
    <t>P000000698</t>
  </si>
  <si>
    <t>FR7496712</t>
  </si>
  <si>
    <t>CTEMPLA_1000BR10500161</t>
  </si>
  <si>
    <t>CLFF_1000$$$DE10674300</t>
  </si>
  <si>
    <t>L000011388</t>
  </si>
  <si>
    <t>FR7499647</t>
  </si>
  <si>
    <t>G000000477 SM-Z Merck Interim service</t>
  </si>
  <si>
    <t>FR7499694</t>
  </si>
  <si>
    <t>CSCALA_1248$LSQR</t>
  </si>
  <si>
    <t>FR7500016</t>
  </si>
  <si>
    <t>G000000477</t>
  </si>
  <si>
    <t>FR7501205</t>
  </si>
  <si>
    <t>CLFF_1000$$$ZA50GLE005</t>
  </si>
  <si>
    <t>CLFF_1000$$$ZA50GLE006</t>
  </si>
  <si>
    <t>CEMERAL_70006301992006</t>
  </si>
  <si>
    <t>CFLTFLE_10548-308-COMP</t>
  </si>
  <si>
    <t>FR7507363</t>
  </si>
  <si>
    <t>FR7507479</t>
  </si>
  <si>
    <t>H000001071</t>
  </si>
  <si>
    <t>G000000634</t>
  </si>
  <si>
    <t>FR7508533</t>
  </si>
  <si>
    <t>FR7510313</t>
  </si>
  <si>
    <t>CTEMPLA_1000GT10275619 LS-QR-OSA Americas</t>
  </si>
  <si>
    <t>L000011381</t>
  </si>
  <si>
    <t>CSCALA_1826$0000000340</t>
  </si>
  <si>
    <t>FR7515129</t>
  </si>
  <si>
    <t>CEMERAL_70007001433260</t>
  </si>
  <si>
    <t>G000001103</t>
  </si>
  <si>
    <t>G000001104</t>
  </si>
  <si>
    <t>FR7516784</t>
  </si>
  <si>
    <t>CLFF_1000$$$DE73GPS030</t>
  </si>
  <si>
    <t>CLFF_1000$$$DE73GPS031</t>
  </si>
  <si>
    <t>CLFF_1000$$$DE73GPS032</t>
  </si>
  <si>
    <t>CLFF_1000$$$DE73GPS033</t>
  </si>
  <si>
    <t>CLFF_1000$$$DE73GPS034</t>
  </si>
  <si>
    <t>CLFF_1000$$$DE73GPS035</t>
  </si>
  <si>
    <t>CLFF_1000$$$DE73GPS036</t>
  </si>
  <si>
    <t>CLFF_1000$$$DE73GPS037</t>
  </si>
  <si>
    <t>CLFF_1000$$$DE73GPS038</t>
  </si>
  <si>
    <t>CLFF_1000$$$DE73GPS039</t>
  </si>
  <si>
    <t>CLFF_1000$$$DE73GPS040</t>
  </si>
  <si>
    <t>CLFF_1000$$$CH65GPS030</t>
  </si>
  <si>
    <t>CLFF_1000$$$CH65GPS031</t>
  </si>
  <si>
    <t>CLFF_1000$$$CH65GPS032</t>
  </si>
  <si>
    <t>CLFF_1000$$$CH65GPS033</t>
  </si>
  <si>
    <t>CLFF_1000$$$CH65GPS034</t>
  </si>
  <si>
    <t>CLFF_1000$$$CH65GPS035</t>
  </si>
  <si>
    <t>CLFF_1000$$$CH65GPS036</t>
  </si>
  <si>
    <t>CLFF_7210$$$2102TASR00 Granite Project Cost Center</t>
  </si>
  <si>
    <t>CNOW_7210$$$0000058696 Research Product Specialist</t>
  </si>
  <si>
    <t>CNOW_7210$$$0000040107 MWK Packaging EH&amp;S</t>
  </si>
  <si>
    <t>CNOW_7210$$$0000040807 MWK Scientific Kitchen</t>
  </si>
  <si>
    <t>CFLTFLE_22450000002763 EXL - Internal Project Management</t>
  </si>
  <si>
    <t>L000010020</t>
  </si>
  <si>
    <t>L000013153</t>
  </si>
  <si>
    <t>FR7517047</t>
  </si>
  <si>
    <t>CPHOENX_01010000680500 LSS Commercial Excellence</t>
  </si>
  <si>
    <t>f3</t>
  </si>
  <si>
    <t>FR7519490</t>
  </si>
  <si>
    <t xml:space="preserve">CORAERP_MMOR1975.RLP8X </t>
  </si>
  <si>
    <t>CPRJ-9520250001 Regeneron REGN17580</t>
  </si>
  <si>
    <t>CPRJ-9520250004 Regeneron REGN7990-M6324</t>
  </si>
  <si>
    <t>G000001282</t>
  </si>
  <si>
    <t>CSCALA_1826$834_C81</t>
  </si>
  <si>
    <t>CSCALA_1826$834_HR1</t>
  </si>
  <si>
    <t>FR7522204</t>
  </si>
  <si>
    <t>FR7526807</t>
  </si>
  <si>
    <t>CSCALA_1826$0000000834</t>
  </si>
  <si>
    <t>L000013387</t>
  </si>
  <si>
    <t>FR7527104</t>
  </si>
  <si>
    <t>FR7529383</t>
  </si>
  <si>
    <t>CNOW_7210$$$P551015418</t>
  </si>
  <si>
    <t>L000009469</t>
  </si>
  <si>
    <t>Mapped to another node</t>
  </si>
  <si>
    <t>CLFF_1000$$$NO50R00005</t>
  </si>
  <si>
    <t>CLFF_1000$$$CH75L70000</t>
  </si>
  <si>
    <t>CLFF_1000$$$DE50R06355</t>
  </si>
  <si>
    <t>H000000729</t>
  </si>
  <si>
    <t>H000000910</t>
  </si>
  <si>
    <t>H000000737</t>
  </si>
  <si>
    <t>FR7530772</t>
  </si>
  <si>
    <t>ITEMPLA_001520001102</t>
  </si>
  <si>
    <t>FR7531920</t>
  </si>
  <si>
    <t>L000011152</t>
  </si>
  <si>
    <t xml:space="preserve">CNOW_7210$$$0000056337 </t>
  </si>
  <si>
    <t xml:space="preserve">CNOW_7210$$$0000052358 </t>
  </si>
  <si>
    <t xml:space="preserve">CNOW_ROW$$$$0000091826 </t>
  </si>
  <si>
    <t xml:space="preserve">CNOW_7210$$$0000270009 </t>
  </si>
  <si>
    <t xml:space="preserve">CNOW_7210$$$0000015416 </t>
  </si>
  <si>
    <t xml:space="preserve">CNOW_7210$$$0000056421 </t>
  </si>
  <si>
    <t>L000013375</t>
  </si>
  <si>
    <t>L000013120</t>
  </si>
  <si>
    <t>L000013436</t>
  </si>
  <si>
    <t>L000013276</t>
  </si>
  <si>
    <t>L000011306</t>
  </si>
  <si>
    <t>D30013400000000 Project Lotus</t>
  </si>
  <si>
    <t>FR7536035</t>
  </si>
  <si>
    <t>FR7540274</t>
  </si>
  <si>
    <t>G000001428</t>
  </si>
  <si>
    <t>H000004398</t>
  </si>
  <si>
    <t>H000004399</t>
  </si>
  <si>
    <t>H000004400</t>
  </si>
  <si>
    <t>H000004401</t>
  </si>
  <si>
    <t>H000004402</t>
  </si>
  <si>
    <t>CSCALA_1022$RDO</t>
  </si>
  <si>
    <t>CSCALA_1022$RDO_L25</t>
  </si>
  <si>
    <t>CSCALA_1820$Q319_P93</t>
  </si>
  <si>
    <t>CSCALA_1820$Q319_P94</t>
  </si>
  <si>
    <t>CSCALA_1820$Q319_P95</t>
  </si>
  <si>
    <t>CSCALA_1820$Q319_P96</t>
  </si>
  <si>
    <t>CSCALA_1820$Q319_P98</t>
  </si>
  <si>
    <t>CSCALA_1820$Q319_Q03</t>
  </si>
  <si>
    <t>CSCALA_1820$Q319_Q05</t>
  </si>
  <si>
    <t>CSCALA_1248$VR00</t>
  </si>
  <si>
    <t>CSCALA_1248$VR00_CMO</t>
  </si>
  <si>
    <t>CSCALA_1820$Q319</t>
  </si>
  <si>
    <t>CSCALA_1826$450_BD</t>
  </si>
  <si>
    <t>CSCALA_1826$450_C85</t>
  </si>
  <si>
    <t>CLFF_1000$$$DE10GTX000</t>
  </si>
  <si>
    <t>ILEAN_005100310189</t>
  </si>
  <si>
    <t>PLEAN_X310132IT5521201 TEP MED med activities (non-R&amp;D) DON</t>
  </si>
  <si>
    <t>CSCALA_1758$0000011405</t>
  </si>
  <si>
    <t>CSCALA_1758$PSE</t>
  </si>
  <si>
    <t>CSCALA_1758$GFERP</t>
  </si>
  <si>
    <t>PLEAN_X310181SE5010201 Bavencio Commercial SE50 Promo Material</t>
  </si>
  <si>
    <t>PLEAN_X310181SE5011201 Bavencio Commercial SE50 Advertising Gen</t>
  </si>
  <si>
    <t>PLEAN_X310181SE5015201 Bavencio Commercial SE50 Other Promo and</t>
  </si>
  <si>
    <t>PLEAN_X310182LT5022201 Bavencio Medical Non R&amp;D LT50 Medical Co</t>
  </si>
  <si>
    <t>PLEAN_X310182SE5022201 Bavencio Medical Non R&amp;D SE50 Medical Co</t>
  </si>
  <si>
    <t>PLEAN_X310182SE5023201 Bavencio Medical Non R&amp;D SE50 Other Medi</t>
  </si>
  <si>
    <t>PLEAN_X310941SE5010201 Tepmetko Commercial SE50 Promo Material</t>
  </si>
  <si>
    <t>PLEAN_X310941SE5015201 Tepmetko Commercial SE50 Other Promo and</t>
  </si>
  <si>
    <t>PLEAN_X310942SE5022201 Tepmetko Medical Non R&amp;D SE50 Medical Co</t>
  </si>
  <si>
    <t>CSCALA_1758$0000017003</t>
  </si>
  <si>
    <t>PLEAN_X310201EE5013201 Fertility Commercial EE50 Congress &amp; Eve</t>
  </si>
  <si>
    <t>PLEAN_X310201LV5013201 Fertility Commercial LV50 Congress &amp; Eve</t>
  </si>
  <si>
    <t>PLEAN_X310201SE5010201 Fertility Commercial SE50 Promo Material</t>
  </si>
  <si>
    <t>PLEAN_X310201SE5011201 Fertility Commercial SE50 Advertising Ge</t>
  </si>
  <si>
    <t>PLEAN_X310201SE5013201 Fertility Commercial SE50 CongrSEs &amp; Eve</t>
  </si>
  <si>
    <t>PLEAN_X310301LV5013201 Gluco Commercial LV50 Congress &amp; Events</t>
  </si>
  <si>
    <t>PLEAN_X310401SE5013201 Saizen Commercial SE50 CongrSEs &amp; Events</t>
  </si>
  <si>
    <t>PLEAN_X310401SE5015201 Saizen Commercial SE50 Other Promo and A</t>
  </si>
  <si>
    <t>PLEAN_X310511LV5013201 Mavenclad Commercial LV50 Congress &amp; Eve</t>
  </si>
  <si>
    <t>PLEAN_X310511SE5013201 Mavenclad Commercial SE50 CongrSEs &amp; Eve</t>
  </si>
  <si>
    <t>PLEAN_X310511SE5015201 Mavenclad Commercial SE50 Other Promo an</t>
  </si>
  <si>
    <t>PLEAN_X310181FI5010201 Bavencio Commercial FI50 Promo Material</t>
  </si>
  <si>
    <t>PLEAN_X310181SE5013201 Bavencio Commercial SE50 CongrSEs &amp; Even</t>
  </si>
  <si>
    <t>PLEAN_X310182DK5023201 Bavencio Medical Non R&amp;D DK50 Other Medi</t>
  </si>
  <si>
    <t>PLEAN_X310182FI5020201 Bavencio Medical Non R&amp;D FI50 Medical Ed</t>
  </si>
  <si>
    <t>PLEAN_X310182FI5023201 Bavencio Medical Non R&amp;D FI50 Other Medi</t>
  </si>
  <si>
    <t>PLEAN_X310182NO5020201 Bavencio Medical Non R&amp;D NO50 Medical Ed</t>
  </si>
  <si>
    <t>PLEAN_X310941FI5010201 Tepmetko Commercial FI50 Promo Material</t>
  </si>
  <si>
    <t>PLEAN_X310942FI5020201 Tepmetko Medical Non R&amp;D FI50 Medical Ed</t>
  </si>
  <si>
    <t>CSCALA_1758$0000011014</t>
  </si>
  <si>
    <t>ITEMPEU_009000000249 FR40IC1403AO3121050000 OTHER ADMIN GONN</t>
  </si>
  <si>
    <t>PLEAN_X310181LT5011201 Bavencio Commercial LT50 Advertising Gen</t>
  </si>
  <si>
    <t>PLEAN_X310181LT5013201 Bavencio Commercial LT50 Congress &amp; Even</t>
  </si>
  <si>
    <t>PLEAN_X310182EE5020201 Bavencio Medical Non R&amp;D EE50 Medical Ed</t>
  </si>
  <si>
    <t>PLEAN_X310182LT5020201 Bavencio Medical Non R&amp;D LT50 Medical Ed</t>
  </si>
  <si>
    <t>PLEAN_X310182SE5020201 Bavencio Medical Non R&amp;D SE50 Medical Ed</t>
  </si>
  <si>
    <t>PLEAN_X310942DK5023201 Tepmetko Medical Non R&amp;D DK50 Other Medi</t>
  </si>
  <si>
    <t>CSCALA_1758$0000011104</t>
  </si>
  <si>
    <t>PLEAN_X310181EE5013201 Bavencio Commercial EE50 Congress &amp; Even</t>
  </si>
  <si>
    <t>PLEAN_X310181FI5011201 Bavencio Commercial FI50 Advertising Gen</t>
  </si>
  <si>
    <t>CSCALA_1759$G6</t>
  </si>
  <si>
    <t>CSCALA_1759$E161</t>
  </si>
  <si>
    <t>CSCALA_1759$E162</t>
  </si>
  <si>
    <t>CSCALA_1759$E195</t>
  </si>
  <si>
    <t>CSCALA_1759$E196</t>
  </si>
  <si>
    <t>CSCALA_1759$E164</t>
  </si>
  <si>
    <t>CSCALA_1759$E165</t>
  </si>
  <si>
    <t>CSCALA_1759$E166</t>
  </si>
  <si>
    <t>CSCALA_1759$E167</t>
  </si>
  <si>
    <t>CSCALA_1759$E168</t>
  </si>
  <si>
    <t>CSCALA_1759$E169</t>
  </si>
  <si>
    <t>CSCALA_1759$E170</t>
  </si>
  <si>
    <t>CSCALA_1759$E171</t>
  </si>
  <si>
    <t>CSCALA_1759$E172</t>
  </si>
  <si>
    <t>CSCALA_1759$E173</t>
  </si>
  <si>
    <t>CSCALA_1759$E174</t>
  </si>
  <si>
    <t>CSCALA_1759$E175</t>
  </si>
  <si>
    <t>CSCALA_1759$E176</t>
  </si>
  <si>
    <t>CSCALA_1759$E177</t>
  </si>
  <si>
    <t>CSCALA_1759$E178</t>
  </si>
  <si>
    <t>CSCALA_1759$E179</t>
  </si>
  <si>
    <t>CSCALA_1759$E180</t>
  </si>
  <si>
    <t>CSCALA_1759$E181</t>
  </si>
  <si>
    <t>CSCALA_1759$E182</t>
  </si>
  <si>
    <t>CSCALA_1759$E183</t>
  </si>
  <si>
    <t>CSCALA_1759$E184</t>
  </si>
  <si>
    <t>CSCALA_1759$E185</t>
  </si>
  <si>
    <t>CSCALA_1759$E186</t>
  </si>
  <si>
    <t>CSCALA_1759$E187</t>
  </si>
  <si>
    <t>CSCALA_1759$E188</t>
  </si>
  <si>
    <t>CSCALA_1759$E189</t>
  </si>
  <si>
    <t>CSCALA_1759$E190</t>
  </si>
  <si>
    <t>CSCALA_1759$E191</t>
  </si>
  <si>
    <t>CSCALA_1759$E192</t>
  </si>
  <si>
    <t>CSCALA_1759$E193</t>
  </si>
  <si>
    <t>CSCALA_1759$E194</t>
  </si>
  <si>
    <t>CSCALA_1759$E197</t>
  </si>
  <si>
    <t>CSCALA_1759$E198</t>
  </si>
  <si>
    <t>CSCALA_1759$E199</t>
  </si>
  <si>
    <t>CSCALA_1759$E200</t>
  </si>
  <si>
    <t>CSCALA_1759$E201</t>
  </si>
  <si>
    <t>CSCALA_1759$E202</t>
  </si>
  <si>
    <t>CSCALA_1759$E203</t>
  </si>
  <si>
    <t>CSCALA_1759$E204</t>
  </si>
  <si>
    <t>CSCALA_1759$E205</t>
  </si>
  <si>
    <t>CSCALA_1759$E206</t>
  </si>
  <si>
    <t>CSCALA_1759$E207</t>
  </si>
  <si>
    <t>CSCALA_1759$E208</t>
  </si>
  <si>
    <t>CSCALA_1759$E209</t>
  </si>
  <si>
    <t>CSCALA_1759$E210</t>
  </si>
  <si>
    <t>CSCALA_1759$E211</t>
  </si>
  <si>
    <t>CSCALA_1759$E212</t>
  </si>
  <si>
    <t>CSCALA_1759$E213</t>
  </si>
  <si>
    <t>CSCALA_1759$E215</t>
  </si>
  <si>
    <t>CSCALA_1759$E216</t>
  </si>
  <si>
    <t>CSCALA_1759$E217</t>
  </si>
  <si>
    <t>CSCALA_1759$E218</t>
  </si>
  <si>
    <t>CSCALA_1759$E219</t>
  </si>
  <si>
    <t>CSCALA_1759$E220</t>
  </si>
  <si>
    <t>CSCALA_1759$E221</t>
  </si>
  <si>
    <t>CSCALA_1759$E222</t>
  </si>
  <si>
    <t>CSCALA_1759$E223</t>
  </si>
  <si>
    <t>CSCALA_1759$E224</t>
  </si>
  <si>
    <t>CSCALA_1759$E225</t>
  </si>
  <si>
    <t>CSCALA_1759$E226</t>
  </si>
  <si>
    <t>CSCALA_1759$E227</t>
  </si>
  <si>
    <t>CSCALA_1759$E228</t>
  </si>
  <si>
    <t>CSCALA_1759$E229</t>
  </si>
  <si>
    <t>CSCALA_1759$E230</t>
  </si>
  <si>
    <t>CSCALA_1759$E231</t>
  </si>
  <si>
    <t>CSCALA_1759$E232</t>
  </si>
  <si>
    <t>CSCALA_1759$E233</t>
  </si>
  <si>
    <t>CSCALA_1759$E234</t>
  </si>
  <si>
    <t>CSCALA_1759$E235</t>
  </si>
  <si>
    <t>CSCALA_1759$E236</t>
  </si>
  <si>
    <t>CSCALA_1759$E237</t>
  </si>
  <si>
    <t>CSCALA_1759$E238</t>
  </si>
  <si>
    <t>CSCALA_1759$E239</t>
  </si>
  <si>
    <t>CSCALA_1759$E240</t>
  </si>
  <si>
    <t>CSCALA_1759$E241</t>
  </si>
  <si>
    <t>CSCALA_1759$E242</t>
  </si>
  <si>
    <t>CSCALA_1759$E243</t>
  </si>
  <si>
    <t>CSCALA_1759$E244</t>
  </si>
  <si>
    <t>CSCALA_1759$E245</t>
  </si>
  <si>
    <t>CSCALA_1759$E246</t>
  </si>
  <si>
    <t>CSCALA_1759$E247</t>
  </si>
  <si>
    <t>CSCALA_1759$E248</t>
  </si>
  <si>
    <t>CSCALA_1759$E249</t>
  </si>
  <si>
    <t>CSCALA_1759$E250</t>
  </si>
  <si>
    <t>CSCALA_1759$E251</t>
  </si>
  <si>
    <t>CSCALA_1759$E252</t>
  </si>
  <si>
    <t>CSCALA_1759$E253</t>
  </si>
  <si>
    <t>CSCALA_1759$E254</t>
  </si>
  <si>
    <t>CSCALA_1759$E255</t>
  </si>
  <si>
    <t>CSCALA_1759$E256</t>
  </si>
  <si>
    <t>CSCALA_1759$E257</t>
  </si>
  <si>
    <t>CSCALA_1759$E258</t>
  </si>
  <si>
    <t>CSCALA_1759$O342</t>
  </si>
  <si>
    <t>CSCALA_1759$O447</t>
  </si>
  <si>
    <t>CSCALA_1759$O905</t>
  </si>
  <si>
    <t>CSCALA_1759$F285</t>
  </si>
  <si>
    <t>CSCALA_1759$F905</t>
  </si>
  <si>
    <t>CSCALA_1759$F906</t>
  </si>
  <si>
    <t>CSCALA_1759$F907</t>
  </si>
  <si>
    <t>CSCALA_1872$70_C31</t>
  </si>
  <si>
    <t>CSCALA_1759$C205</t>
  </si>
  <si>
    <t>CSCALA_1759$C206</t>
  </si>
  <si>
    <t>CSCALA_1759$C207</t>
  </si>
  <si>
    <t>CSCALA_1759$C208</t>
  </si>
  <si>
    <t>CSCALA_1759$C209</t>
  </si>
  <si>
    <t>CSCALA_1759$ABFL</t>
  </si>
  <si>
    <t>CSCALA_1759$C210</t>
  </si>
  <si>
    <t>CSCALA_1759$C211</t>
  </si>
  <si>
    <t>CSCALA_1759$C212</t>
  </si>
  <si>
    <t>CSCALA_1872$100_111</t>
  </si>
  <si>
    <t>CSCALA_1759$R095</t>
  </si>
  <si>
    <t>CSCALA_1759$R096</t>
  </si>
  <si>
    <t>CSCALA_1759$R097</t>
  </si>
  <si>
    <t>CSCALA_1759$G266</t>
  </si>
  <si>
    <t>CSCALA_1759$G309</t>
  </si>
  <si>
    <t>CSCALA_1759$O610</t>
  </si>
  <si>
    <t>PLEAN_X310182NO5023201 Bavencio Medical Non R&amp;D NO50 Other Medi</t>
  </si>
  <si>
    <t>PLEAN_X310941SE5013201 Tepmetko Commercial SE50 CongrSEs &amp; Even</t>
  </si>
  <si>
    <t>CSCALA_1759$E263</t>
  </si>
  <si>
    <t>CSCALA_1759$E264</t>
  </si>
  <si>
    <t>CSCALA_1759$E265</t>
  </si>
  <si>
    <t>CSCALA_1759$E344</t>
  </si>
  <si>
    <t>CSCALA_1759$E259</t>
  </si>
  <si>
    <t>CSCALA_1759$E260</t>
  </si>
  <si>
    <t>CSCALA_1759$E261</t>
  </si>
  <si>
    <t>CSCALA_1759$E262</t>
  </si>
  <si>
    <t>CSCALA_1759$E266</t>
  </si>
  <si>
    <t>CSCALA_1759$E267</t>
  </si>
  <si>
    <t>CSCALA_1759$E268</t>
  </si>
  <si>
    <t>CSCALA_1759$E269</t>
  </si>
  <si>
    <t>CSCALA_1759$E270</t>
  </si>
  <si>
    <t>CSCALA_1759$E271</t>
  </si>
  <si>
    <t>CSCALA_1759$E272</t>
  </si>
  <si>
    <t>CSCALA_1759$E273</t>
  </si>
  <si>
    <t>CSCALA_1759$E274</t>
  </si>
  <si>
    <t>CSCALA_1759$E275</t>
  </si>
  <si>
    <t>CSCALA_1759$E276</t>
  </si>
  <si>
    <t>CSCALA_1759$E277</t>
  </si>
  <si>
    <t>CSCALA_1759$E278</t>
  </si>
  <si>
    <t>CSCALA_1759$E279</t>
  </si>
  <si>
    <t>CSCALA_1759$E280</t>
  </si>
  <si>
    <t>CSCALA_1759$E281</t>
  </si>
  <si>
    <t>CSCALA_1759$E282</t>
  </si>
  <si>
    <t>CSCALA_1759$E283</t>
  </si>
  <si>
    <t>CSCALA_1759$E284</t>
  </si>
  <si>
    <t>CSCALA_1759$E285</t>
  </si>
  <si>
    <t>CSCALA_1759$E286</t>
  </si>
  <si>
    <t>CSCALA_1759$E287</t>
  </si>
  <si>
    <t>CSCALA_1759$E288</t>
  </si>
  <si>
    <t>CSCALA_1759$E289</t>
  </si>
  <si>
    <t>CSCALA_1759$E290</t>
  </si>
  <si>
    <t>CSCALA_1759$E291</t>
  </si>
  <si>
    <t>CSCALA_1759$E292</t>
  </si>
  <si>
    <t>CSCALA_1759$E293</t>
  </si>
  <si>
    <t>CSCALA_1759$E294</t>
  </si>
  <si>
    <t>CSCALA_1759$E295</t>
  </si>
  <si>
    <t>CSCALA_1759$E296</t>
  </si>
  <si>
    <t>CSCALA_1759$E297</t>
  </si>
  <si>
    <t>CSCALA_1759$E298</t>
  </si>
  <si>
    <t>CSCALA_1759$E299</t>
  </si>
  <si>
    <t>CSCALA_1759$E300</t>
  </si>
  <si>
    <t>CSCALA_1759$E301</t>
  </si>
  <si>
    <t>CSCALA_1759$E302</t>
  </si>
  <si>
    <t>CSCALA_1759$E303</t>
  </si>
  <si>
    <t>CSCALA_1759$E304</t>
  </si>
  <si>
    <t>CSCALA_1759$E305</t>
  </si>
  <si>
    <t>CSCALA_1759$E306</t>
  </si>
  <si>
    <t>CSCALA_1759$E307</t>
  </si>
  <si>
    <t>CSCALA_1759$E308</t>
  </si>
  <si>
    <t>CSCALA_1759$E309</t>
  </si>
  <si>
    <t>CSCALA_1759$E310</t>
  </si>
  <si>
    <t>CSCALA_1759$E311</t>
  </si>
  <si>
    <t>CSCALA_1759$E312</t>
  </si>
  <si>
    <t>CSCALA_1759$E313</t>
  </si>
  <si>
    <t>CSCALA_1759$E314</t>
  </si>
  <si>
    <t>CSCALA_1759$E315</t>
  </si>
  <si>
    <t>CSCALA_1759$E316</t>
  </si>
  <si>
    <t>CSCALA_1759$E318</t>
  </si>
  <si>
    <t>CSCALA_1759$E319</t>
  </si>
  <si>
    <t>CSCALA_1759$E320</t>
  </si>
  <si>
    <t>CSCALA_1759$E321</t>
  </si>
  <si>
    <t>CSCALA_1759$E322</t>
  </si>
  <si>
    <t>CSCALA_1759$E323</t>
  </si>
  <si>
    <t>CSCALA_1759$E324</t>
  </si>
  <si>
    <t>CSCALA_1759$E325</t>
  </si>
  <si>
    <t>CSCALA_1759$E326</t>
  </si>
  <si>
    <t>CSCALA_1759$E327</t>
  </si>
  <si>
    <t>CSCALA_1759$E328</t>
  </si>
  <si>
    <t>CSCALA_1759$E329</t>
  </si>
  <si>
    <t>CSCALA_1759$E330</t>
  </si>
  <si>
    <t>CSCALA_1759$E331</t>
  </si>
  <si>
    <t>CSCALA_1759$E332</t>
  </si>
  <si>
    <t>CSCALA_1759$E333</t>
  </si>
  <si>
    <t>CSCALA_1759$E334</t>
  </si>
  <si>
    <t>CSCALA_1759$E335</t>
  </si>
  <si>
    <t>CSCALA_1759$E336</t>
  </si>
  <si>
    <t>CSCALA_1759$E337</t>
  </si>
  <si>
    <t>CSCALA_1759$E338</t>
  </si>
  <si>
    <t>CSCALA_1759$E339</t>
  </si>
  <si>
    <t>CSCALA_1759$E340</t>
  </si>
  <si>
    <t>CSCALA_1759$E341</t>
  </si>
  <si>
    <t>CSCALA_1759$E342</t>
  </si>
  <si>
    <t>CSCALA_1759$E343</t>
  </si>
  <si>
    <t>CSCALA_1759$O347</t>
  </si>
  <si>
    <t>CSCALA_1759$F908</t>
  </si>
  <si>
    <t>CSCALA_1759$F909</t>
  </si>
  <si>
    <t>CSCALA_1759$F910</t>
  </si>
  <si>
    <t>CSCALA_1759$F911</t>
  </si>
  <si>
    <t>CSCALA_1759$F912</t>
  </si>
  <si>
    <t>CSCALA_1759$F914</t>
  </si>
  <si>
    <t>CSCALA_1759$F915</t>
  </si>
  <si>
    <t>CSCALA_1759$C213</t>
  </si>
  <si>
    <t>CSCALA_1759$C214</t>
  </si>
  <si>
    <t>CSCALA_1759$C215</t>
  </si>
  <si>
    <t>CSCALA_1759$C216</t>
  </si>
  <si>
    <t>CSCALA_1759$ALEL</t>
  </si>
  <si>
    <t>CSCALA_1759$CIRA</t>
  </si>
  <si>
    <t>CSCALA_1759$R098</t>
  </si>
  <si>
    <t>CSCALA_1759$R099</t>
  </si>
  <si>
    <t>CSCALA_1759$R100</t>
  </si>
  <si>
    <t>CSCALA_1759$R101</t>
  </si>
  <si>
    <t>CSCALA_1759$R102</t>
  </si>
  <si>
    <t>CSCALA_1759$R103</t>
  </si>
  <si>
    <t>CSCALA_1759$R104</t>
  </si>
  <si>
    <t>CSCALA_1872$100_C24</t>
  </si>
  <si>
    <t>CSCALA_1759$G306</t>
  </si>
  <si>
    <t>PLEAN_X310513DE6541207 MAV R&amp;D ISS MS700568-250</t>
  </si>
  <si>
    <t>PLEAN_X310151AT5013200 Bavencio Sponsorings &amp; events</t>
  </si>
  <si>
    <t>PLEAN_X310151AT5015200 Bavencio Promo &amp; advertising</t>
  </si>
  <si>
    <t>PLEAN_X310152AT5023200 Bavencio Medical activities</t>
  </si>
  <si>
    <t>PLEAN_X310201AT5015200 Fertility Other promotion and advertisin</t>
  </si>
  <si>
    <t>PLEAN_X310401AT5015200 Endo Other promotion and advertising</t>
  </si>
  <si>
    <t>PLEAN_X310511AT5010200 Mavenclad Promotion material</t>
  </si>
  <si>
    <t>PLEAN_X310511AT5011200 Mavenclad Advertising</t>
  </si>
  <si>
    <t>PLEAN_X310511AT5013200 Mavenclad Congresses &amp; events</t>
  </si>
  <si>
    <t>PLEAN_X310511AT5015200 Mavenclad Other promotion and advertisin</t>
  </si>
  <si>
    <t>PLEAN_X310181CZ5013201 Bavencio Commercial CZ50 Congress &amp; Even</t>
  </si>
  <si>
    <t>PLEAN_X310181CZ5013202 Bavencio Commercial CZ50 Congress &amp; Even</t>
  </si>
  <si>
    <t>PLEAN_X310181CZ5030207 Bavencio Commercial CZ50 Other M&amp;S Regis</t>
  </si>
  <si>
    <t>CSCALA_1022$CMC_SPC</t>
  </si>
  <si>
    <t>PLEAN_X310941CZ5013202 Tepmetko Commercial CZ50 Congress &amp; Even</t>
  </si>
  <si>
    <t>CSCALA_1022$CME_OST</t>
  </si>
  <si>
    <t>PLEAN_X310941CZ5013203 Tepmetko Commercial CZ50 Congress &amp; Even</t>
  </si>
  <si>
    <t>PLEAN_X310941CZ5030201 Tepmetko Commercial CZ50 Other M&amp;S Regis</t>
  </si>
  <si>
    <t>PLEAN_X310942CZ5022201 Tepmetko Medical Non R&amp;D CZ50 Medical Co</t>
  </si>
  <si>
    <t>H000000237</t>
  </si>
  <si>
    <t>H000000186</t>
  </si>
  <si>
    <t>H000000236</t>
  </si>
  <si>
    <t>H000000198</t>
  </si>
  <si>
    <t>H000003620</t>
  </si>
  <si>
    <t>H000003626</t>
  </si>
  <si>
    <t>H000003623</t>
  </si>
  <si>
    <t>FR7551842</t>
  </si>
  <si>
    <t>CNOW_7210$$$0000010322 PS Active &amp; Formulations Patent Fees</t>
  </si>
  <si>
    <t>CTEMPEU_1000CH70AD6500 SAC Patents Merck&amp;Cie</t>
  </si>
  <si>
    <t>IPHOENX_000400763883 SAC Patents</t>
  </si>
  <si>
    <t>CORAERP_MMOR1975.9206 PS - US&amp;SU Patent Fees</t>
  </si>
  <si>
    <t>CORAERP_MMOR1975.9209 PS - BioP Patent Fees</t>
  </si>
  <si>
    <t>CNOW_7210$$$0000021318 Process Sol Cell Culture Patent Fees</t>
  </si>
  <si>
    <t>IPHOENX_000001500010 Patent Costs Chromatography-Process S</t>
  </si>
  <si>
    <t>IPHOENX_000001500011 Patent Costs Cell Culture Media</t>
  </si>
  <si>
    <t>CTEMPEU_1000CH70RD1108 PFM Patents M&amp;Cie</t>
  </si>
  <si>
    <t>IPHOENX_000001500001 Patent Costs Sorbitol-Mannitol</t>
  </si>
  <si>
    <t>CLFF_7210$$$1937R09209 PS - BioP Patent Fees</t>
  </si>
  <si>
    <t>G000001283</t>
  </si>
  <si>
    <t>FR7553566</t>
  </si>
  <si>
    <t>CITR_1000$$$HU161025</t>
  </si>
  <si>
    <t>CLFF_1000$$$ZA50GIT10E</t>
  </si>
  <si>
    <t>CEMERAL_70007001993006</t>
  </si>
  <si>
    <t>CLFF_1000$$$CN90GIT301</t>
  </si>
  <si>
    <t>CLFF_1000$$$CN90GIT306</t>
  </si>
  <si>
    <t>CLFF_1000$$$CN90GIT120</t>
  </si>
  <si>
    <t>CLFF_1000$$$CN90GM4004</t>
  </si>
  <si>
    <t>CLFF_1000$$$CN01GIT01B</t>
  </si>
  <si>
    <t>CLFF_1000$$$DE04GIT01B</t>
  </si>
  <si>
    <t>CTEMPEU_1000GB10GMP070</t>
  </si>
  <si>
    <t>CTEMPEU_1000GB10005657</t>
  </si>
  <si>
    <t>CTEMPEU_1000GB10005920</t>
  </si>
  <si>
    <t>CTEMPEU_1000GB10005645</t>
  </si>
  <si>
    <t>CLFF_1000$$$ES50GIT208</t>
  </si>
  <si>
    <t>CLFF_1000$$$ES50GIT220</t>
  </si>
  <si>
    <t>CLFF_1000$$$ES50GIT60L</t>
  </si>
  <si>
    <t>CLFF_1000$$$NL50GMS010</t>
  </si>
  <si>
    <t>CTEMPLA_1000BR10501160</t>
  </si>
  <si>
    <t>CTEMPLA_1000BR10501150</t>
  </si>
  <si>
    <t>CTEMPEU_1000PL80GBTL13</t>
  </si>
  <si>
    <t>CTEMPEU_1000PL80GHR227</t>
  </si>
  <si>
    <t>CTEMPEU_1000PL80GFO045</t>
  </si>
  <si>
    <t>CTEMPEU_1000PL80GFO025</t>
  </si>
  <si>
    <t>CTEMPEU_1000PL80GFO023</t>
  </si>
  <si>
    <t>CTEMPEU_1000PL80GHR221</t>
  </si>
  <si>
    <t>CTEMPEU_1000PL80GMS040</t>
  </si>
  <si>
    <t>CTEMPEU_1000PL80GHR233</t>
  </si>
  <si>
    <t>CTEMPEU_1000PL80GHR232</t>
  </si>
  <si>
    <t>CTEMPNA_1000PH80GFO12A</t>
  </si>
  <si>
    <t>CTEMPNA_1000PH80YIT002</t>
  </si>
  <si>
    <t>CTEMPNA_1000PH80GFO025</t>
  </si>
  <si>
    <t>CTEMPNA_1000PH80PH80YI</t>
  </si>
  <si>
    <t>CTEMPNA_1000PH80GBTL55</t>
  </si>
  <si>
    <t>CTEMPNA_1000PH80GFO120</t>
  </si>
  <si>
    <t>CTEMPNA_1000PH80GFO043</t>
  </si>
  <si>
    <t>CTEMPNA_1000PH80GFO123</t>
  </si>
  <si>
    <t>CTEMPLA_1000CO10100136</t>
  </si>
  <si>
    <t>CTEMPLA_1000CO10100187</t>
  </si>
  <si>
    <t>CLFF_1000$$$DE65GIT033</t>
  </si>
  <si>
    <t>CEMERAL_70006502ID6502</t>
  </si>
  <si>
    <t>CLFF_1000$$$IT50GIT01C</t>
  </si>
  <si>
    <t>CLFF_1000$$$IT50GM9100</t>
  </si>
  <si>
    <t>CEMERAL_70007102318366</t>
  </si>
  <si>
    <t>CLFF_1000$$$US01GIT01B</t>
  </si>
  <si>
    <t>CLFF_1000$$$DE10518000</t>
  </si>
  <si>
    <t>CLFF_1000$$$DE10519000</t>
  </si>
  <si>
    <t>CLFF_1000$$$DE10643112</t>
  </si>
  <si>
    <t>CLFF_1000$$$DE10677003</t>
  </si>
  <si>
    <t>CLFF_1000$$$DE10517000</t>
  </si>
  <si>
    <t>CLFF_1000$$$DE10574000</t>
  </si>
  <si>
    <t>CLFF_1000$$$DE10679600</t>
  </si>
  <si>
    <t>CLFF_1000$$$DE10512500</t>
  </si>
  <si>
    <t>CLFF_1000$$$DE10656400</t>
  </si>
  <si>
    <t>CLFF_1000$$$DE10677200</t>
  </si>
  <si>
    <t>CLFF_1000$$$DE10685700</t>
  </si>
  <si>
    <t>CLFF_1000$$$DE10643100</t>
  </si>
  <si>
    <t>CLFF_1000$$$DE10669636</t>
  </si>
  <si>
    <t>CLFF_1000$$$DE10635800</t>
  </si>
  <si>
    <t>CLFF_1000$$$DE10561800</t>
  </si>
  <si>
    <t>CLFF_1000$$$DE10GIT706</t>
  </si>
  <si>
    <t>CLFF_1000$$$DE10669635</t>
  </si>
  <si>
    <t>CLFF_1000$$$DE10GIT06A</t>
  </si>
  <si>
    <t>CLFF_1000$$$DE10YIT009</t>
  </si>
  <si>
    <t>CLFF_1000$$$DE10YIT008</t>
  </si>
  <si>
    <t>CLFF_1000$$$DE10YIT012</t>
  </si>
  <si>
    <t>CLFF_1000$$$DE10YIT011</t>
  </si>
  <si>
    <t>CLFF_1000$$$DE10669632</t>
  </si>
  <si>
    <t>CLFF_1000$$$DE10669646</t>
  </si>
  <si>
    <t>CLFF_1000$$$DE10669656</t>
  </si>
  <si>
    <t>CLFF_1000$$$DE10YIT013</t>
  </si>
  <si>
    <t>CLFF_1000$$$DE10638480</t>
  </si>
  <si>
    <t>CLFF_1000$$$DE10638470</t>
  </si>
  <si>
    <t>CLFF_1000$$$DE10512503</t>
  </si>
  <si>
    <t>CLFF_1000$$$DE10638460</t>
  </si>
  <si>
    <t>CLFF_1000$$$DE10512502</t>
  </si>
  <si>
    <t>CLFF_1000$$$DE10512501</t>
  </si>
  <si>
    <t>CLFF_1000$$$DE10638450</t>
  </si>
  <si>
    <t>CLFF_1000$$$DE10GMS020</t>
  </si>
  <si>
    <t>CLFF_1000$$$DE10GMS041</t>
  </si>
  <si>
    <t>CLFF_1000$$$DE10698300</t>
  </si>
  <si>
    <t>CLFF_1000$$$DE10669630</t>
  </si>
  <si>
    <t>CLFF_1000$$$DE10669642</t>
  </si>
  <si>
    <t>CLFF_1000$$$DE10Y00008</t>
  </si>
  <si>
    <t>CEMERAL_70006101AD1L16</t>
  </si>
  <si>
    <t>CLFF_1000$$$CN70GIT301</t>
  </si>
  <si>
    <t>CITR_1000$$$IT17711152</t>
  </si>
  <si>
    <t>CLFF_1000$$$EG50GIT051</t>
  </si>
  <si>
    <t>CLFF_1000$$$EG50GIT030</t>
  </si>
  <si>
    <t>CTEMPLA_1000UY10120022</t>
  </si>
  <si>
    <t>CTEMPLA_1000UY10100040</t>
  </si>
  <si>
    <t>CTEMPLA_1000UY10100037</t>
  </si>
  <si>
    <t>CTEMPLA_1000UY10100021</t>
  </si>
  <si>
    <t>CTEMPNA_1000US20CA8325</t>
  </si>
  <si>
    <t>CTEMPNA_1000US20CA8340</t>
  </si>
  <si>
    <t>CTEMPNA_1000US20CA8407</t>
  </si>
  <si>
    <t>CTEMPNA_1000US20F87G7C</t>
  </si>
  <si>
    <t>CLFF_1000$$$CH65YIT001</t>
  </si>
  <si>
    <t>CLFF_1000$$$CH65GIT011</t>
  </si>
  <si>
    <t>CTEMPEU_1000NL40AD0095</t>
  </si>
  <si>
    <t>CORAERP_MMOR1945.9571</t>
  </si>
  <si>
    <t>CLFF_KR00$$$KR03GIT01B</t>
  </si>
  <si>
    <t>CORAERP_MMOR1975.9579</t>
  </si>
  <si>
    <t>CORAERP_MMOR1975.9855</t>
  </si>
  <si>
    <t>CORAERP_MMOR1975.9810</t>
  </si>
  <si>
    <t>CORAERP_MMOR1975.9833</t>
  </si>
  <si>
    <t>CORAERP_MMOR1975.9852</t>
  </si>
  <si>
    <t>CORAERP_MMOR1975.9491</t>
  </si>
  <si>
    <t>CNOW_7210$$$0000015061</t>
  </si>
  <si>
    <t>CNOW_7210$$$0000051763</t>
  </si>
  <si>
    <t>CNOW_7210$$$0000051757</t>
  </si>
  <si>
    <t>CNOW_7210$$$0000051793</t>
  </si>
  <si>
    <t>CLFF_7210$$$2029GIT120</t>
  </si>
  <si>
    <t>CLFF_7210$$$2034GIT120</t>
  </si>
  <si>
    <t>CNOW_7210$$$0000057801</t>
  </si>
  <si>
    <t>CNOW_7210$$$0000057184</t>
  </si>
  <si>
    <t>CNOW_7210$$$0000056669</t>
  </si>
  <si>
    <t>CNOW_7210$$$0000052182</t>
  </si>
  <si>
    <t>CNOW_7210$$$0000265219</t>
  </si>
  <si>
    <t>CNOW_7210$$$0000265223</t>
  </si>
  <si>
    <t>CNOW_7210$$$0000265222</t>
  </si>
  <si>
    <t>CNOW_7210$$$0000010249</t>
  </si>
  <si>
    <t>CNOW_7210$$$0000010268</t>
  </si>
  <si>
    <t>CNOW_7210$$$0000010266</t>
  </si>
  <si>
    <t>CNOW_7210$$$0000010251</t>
  </si>
  <si>
    <t>CNOW_7210$$$0000010212</t>
  </si>
  <si>
    <t>CNOW_7210$$$0000010209</t>
  </si>
  <si>
    <t>CNOW_7210$$$0000010172</t>
  </si>
  <si>
    <t>CNOW_7210$$$0000031698</t>
  </si>
  <si>
    <t>CLFF_7210$$$2123TQJZ94</t>
  </si>
  <si>
    <t>CLFF_7210$$$2123GIT126</t>
  </si>
  <si>
    <t>CLFF_7210$$$2123GMI020</t>
  </si>
  <si>
    <t>CLFF_7210$$$2123OF0027</t>
  </si>
  <si>
    <t>CLFF_7210$$$2123GMS040</t>
  </si>
  <si>
    <t>CLFF_7210$$$2123GMS030</t>
  </si>
  <si>
    <t>CLFF_7210$$$2123C00009</t>
  </si>
  <si>
    <t>CLFF_7210$$$2123GIT127</t>
  </si>
  <si>
    <t>CLFF_7210$$$2123GMB010</t>
  </si>
  <si>
    <t>CLFF_7210$$$2123OF0010</t>
  </si>
  <si>
    <t>CLFF_7210$$$2123GM1110</t>
  </si>
  <si>
    <t>CLFF_7210$$$2123GMI021</t>
  </si>
  <si>
    <t>CLFF_7210$$$2123L50005</t>
  </si>
  <si>
    <t>CLFF_7210$$$2123YIT005</t>
  </si>
  <si>
    <t>CLFF_7210$$$2123YIT004</t>
  </si>
  <si>
    <t>CLFF_7210$$$2123C00028</t>
  </si>
  <si>
    <t>CLFF_7210$$$2123TPSZ93</t>
  </si>
  <si>
    <t>CLFF_7210$$$2123C00103</t>
  </si>
  <si>
    <t>CLFF_7210$$$2123GIT129</t>
  </si>
  <si>
    <t>CLFF_7210$$$2123GIT027</t>
  </si>
  <si>
    <t>CLFF_7210$$$2123GIT212</t>
  </si>
  <si>
    <t>CLFF_7210$$$2123GIT448</t>
  </si>
  <si>
    <t>CLFF_7210$$$2123GIT520</t>
  </si>
  <si>
    <t>CLFF_7210$$$2123GST008</t>
  </si>
  <si>
    <t>CLFF_7210$$$2123GIT098</t>
  </si>
  <si>
    <t>CLFF_7210$$$2123GIT096</t>
  </si>
  <si>
    <t>CLFF_7210$$$2123C00079</t>
  </si>
  <si>
    <t>CLFF_7210$$$2123GIT135</t>
  </si>
  <si>
    <t>CLFF_7210$$$2123GIT085</t>
  </si>
  <si>
    <t>CLFF_7210$$$2123GIT097</t>
  </si>
  <si>
    <t>CLFF_7210$$$2123GIT025</t>
  </si>
  <si>
    <t>CLFF_7210$$$2123GIT311</t>
  </si>
  <si>
    <t>CLFF_7210$$$2123GIT312</t>
  </si>
  <si>
    <t>CLFF_7210$$$2123GIT313</t>
  </si>
  <si>
    <t>CNOW_AUS0$$$0000092051</t>
  </si>
  <si>
    <t>CFLTFLE_22450000002721</t>
  </si>
  <si>
    <t>CLFF_1000$$$DE10669638</t>
  </si>
  <si>
    <t>CLFF_1000$$$DE10YIT014</t>
  </si>
  <si>
    <t>CLFF_1000$$$DE10GMS070</t>
  </si>
  <si>
    <t>CTEMPNA_1000PH80GFO003</t>
  </si>
  <si>
    <t>CTEMPNA_1000PH80GFO026</t>
  </si>
  <si>
    <t>CTEMPEU_1000PL80GFO016</t>
  </si>
  <si>
    <t>CLFF_7210$$$2123GMS050</t>
  </si>
  <si>
    <t>CLFF_7210$$$2123GMS080</t>
  </si>
  <si>
    <t>G000000726</t>
  </si>
  <si>
    <t>L000013397</t>
  </si>
  <si>
    <t>G000000253</t>
  </si>
  <si>
    <t>G000001399</t>
  </si>
  <si>
    <t>L000013389</t>
  </si>
  <si>
    <t>G000001420</t>
  </si>
  <si>
    <t>G000001381</t>
  </si>
  <si>
    <t>G000001400</t>
  </si>
  <si>
    <t>G000001118</t>
  </si>
  <si>
    <t>G000001398</t>
  </si>
  <si>
    <t>G000001411</t>
  </si>
  <si>
    <t>L000013393</t>
  </si>
  <si>
    <t>G000001387</t>
  </si>
  <si>
    <t>G000001421</t>
  </si>
  <si>
    <t>G000001388</t>
  </si>
  <si>
    <t>G000001395</t>
  </si>
  <si>
    <t>G000001393</t>
  </si>
  <si>
    <t>G000001394</t>
  </si>
  <si>
    <t>G000000243</t>
  </si>
  <si>
    <t>G000001410</t>
  </si>
  <si>
    <t>G000001396</t>
  </si>
  <si>
    <t>G000000247</t>
  </si>
  <si>
    <t>G000000273</t>
  </si>
  <si>
    <t>G000001401</t>
  </si>
  <si>
    <t>G000001415</t>
  </si>
  <si>
    <t>G000001397</t>
  </si>
  <si>
    <t>G000001405</t>
  </si>
  <si>
    <t>G000001409</t>
  </si>
  <si>
    <t>G000001407</t>
  </si>
  <si>
    <t>G000001391</t>
  </si>
  <si>
    <t>G000001389</t>
  </si>
  <si>
    <t>G000001390</t>
  </si>
  <si>
    <t>G000001416</t>
  </si>
  <si>
    <t>G000001392</t>
  </si>
  <si>
    <t>FR7558422</t>
  </si>
  <si>
    <t>Unavailable; to do later</t>
  </si>
  <si>
    <t>PLEAN_X310201CH6802051 ESHRE global F55 costs ISS</t>
  </si>
  <si>
    <t>PLEAN_X310201CH6802059 ESHRE global FD0 costs ISS</t>
  </si>
  <si>
    <t>PLEAN_X310201CH6802060 ESHRE global FD1 costs ISS</t>
  </si>
  <si>
    <t>PLEAN_X310201DE6513299 FD COM PROM GBF</t>
  </si>
  <si>
    <t>ITEMPLA_001520001137 Conceivable Project Fertilidad</t>
  </si>
  <si>
    <t>PLEAN_X310511CH6802033 ECTRIMS Global Costs ISS F55</t>
  </si>
  <si>
    <t>PLEAN_X310511CH6802045 ECTRIMS Global Costs ISS FD0</t>
  </si>
  <si>
    <t>PLEAN_X310284DE5015620 Pimicotinib Marketing</t>
  </si>
  <si>
    <t>PLEAN_X310284DE5015630 Pimicotinib CI</t>
  </si>
  <si>
    <t>IEMERAL_000009101181 7001IC1881SI3110250000</t>
  </si>
  <si>
    <t>CEMERAL_70006403A4SS99 Marketing FE - GBF</t>
  </si>
  <si>
    <t>CLFF_1000$$$NL50C06884 VP Strategic Marketing Fertility</t>
  </si>
  <si>
    <t>PLEAN_X310281CN5013010 PI COM C&amp;E Pimi info &amp; IQVIA proposal (F</t>
  </si>
  <si>
    <t>FR7558717</t>
  </si>
  <si>
    <t>H000000164</t>
  </si>
  <si>
    <t>H000004034</t>
  </si>
  <si>
    <t>H000000948</t>
  </si>
  <si>
    <t>H000000176</t>
  </si>
  <si>
    <t>H000001056</t>
  </si>
  <si>
    <t>FR7569900</t>
  </si>
  <si>
    <t>P000000199</t>
  </si>
  <si>
    <t>Tetyana Kimmel</t>
  </si>
  <si>
    <t>FR7571211</t>
  </si>
  <si>
    <t>CNOW_7210$$$0000040010 SHB RD Analytical Development</t>
  </si>
  <si>
    <t>CNOW_7210$$$0000040207 MWK PRODUCTION PROC DEVELOPMENT (3110)</t>
  </si>
  <si>
    <t>CNOW_7210$$$0000040215 Mirror 40279 R&amp;D allocations (6113)</t>
  </si>
  <si>
    <t>CNOW_7210$$$0000040216 Mirror 40373 R&amp;D qualific alloc (6113)</t>
  </si>
  <si>
    <t>CNOW_7210$$$0000040217 Mirror 40374 hazard eval alloc (6113)</t>
  </si>
  <si>
    <t>CNOW_7210$$$0000040219 Mirror 40010 R&amp;D AD allocations (6113)</t>
  </si>
  <si>
    <t>CNOW_7210$$$0000040220 Mirror 40375 R&amp;D new product alloc(6113)</t>
  </si>
  <si>
    <t>CNOW_7210$$$0000040272 MWK RS R&amp;D</t>
  </si>
  <si>
    <t>CNOW_7210$$$0000040279 MWK PRODUCTION PROCESS DEVELOPMENT</t>
  </si>
  <si>
    <t>CNOW_7210$$$0000040282 MWK SAFC R&amp;D</t>
  </si>
  <si>
    <t>CNOW_7210$$$0000040373 QUALIFICATION - SHB</t>
  </si>
  <si>
    <t>CNOW_7210$$$0000040374 HAZARD EVALUATION - SHB</t>
  </si>
  <si>
    <t>CNOW_7210$$$0000040375 MWK SAFC NEW PRODUCT RESEARCH SHEBOYGAN</t>
  </si>
  <si>
    <t>CNOW_7210$$$0000040376 MWK SAFC PHARMA PROCESS DEVELOPMENT</t>
  </si>
  <si>
    <t>CNOW_7210$$$0000040445 Sheboygan Process Engineering</t>
  </si>
  <si>
    <t>CNOW_7210$$$0000040214 Mirror 40277 R&amp;D mat science alloc(6113)</t>
  </si>
  <si>
    <t>CNOW_7210$$$0000040223 Mirror 20513 DxRM R&amp;D Chemistry (6210)</t>
  </si>
  <si>
    <t>CNOW_7210$$$0000040224 Mirror 40503 MKE Mat. Scien R&amp;D (6113)</t>
  </si>
  <si>
    <t>CNOW_7210$$$0000040225 Mirror 40276 MKE Tech R&amp;DnP alloc (6113)</t>
  </si>
  <si>
    <t>FR7570444</t>
  </si>
  <si>
    <t>CLFF_1000$$$DE10Z03112</t>
  </si>
  <si>
    <t>FR7571293</t>
  </si>
  <si>
    <t>IEMERAL_000009101255 7001IC1248LO3110430000</t>
  </si>
  <si>
    <t>IEMERAL_000009101262 7001IC2142CS3110500000</t>
  </si>
  <si>
    <t>L000008448</t>
  </si>
  <si>
    <t>L000012313</t>
  </si>
  <si>
    <t>FR7571302</t>
  </si>
  <si>
    <t>FR7571309</t>
  </si>
  <si>
    <t>L000013876</t>
  </si>
  <si>
    <t>H000000830</t>
  </si>
  <si>
    <t>FR7573365</t>
  </si>
  <si>
    <t>CTEMPNA_1000US30130501</t>
  </si>
  <si>
    <t>CTEMPNA_1000US30132020</t>
  </si>
  <si>
    <t>CTEMPNA_1000US30133800</t>
  </si>
  <si>
    <t>CTEMPNA_1000US30134000</t>
  </si>
  <si>
    <t>CTEMPNA_1000US30134050</t>
  </si>
  <si>
    <t>CTEMPNA_1000US30134700</t>
  </si>
  <si>
    <t>CTEMPNA_1000US30137050</t>
  </si>
  <si>
    <t>CTEMPNA_1000US30137101</t>
  </si>
  <si>
    <t>CTEMPNA_1000US30139601</t>
  </si>
  <si>
    <t>CTEMPNA_1000US30139602</t>
  </si>
  <si>
    <t>CPHOENX_01019182614800</t>
  </si>
  <si>
    <t>CPHOENX_01019182614810</t>
  </si>
  <si>
    <t>FR7580945</t>
  </si>
  <si>
    <t>CTEMPEU_1000CH70T1SX01</t>
  </si>
  <si>
    <t>L000013337</t>
  </si>
  <si>
    <t>FR7581232</t>
  </si>
  <si>
    <t>CFLTFLE_22450000002746</t>
  </si>
  <si>
    <t>L000013877</t>
  </si>
  <si>
    <t>L000013875</t>
  </si>
  <si>
    <t>G000000123</t>
  </si>
  <si>
    <t>FR7585834</t>
  </si>
  <si>
    <t>H000000643</t>
  </si>
  <si>
    <t>H000000617</t>
  </si>
  <si>
    <t>CLFF_7210$$$2068TAUA00</t>
  </si>
  <si>
    <t>CLFF_7210$$$2068TAUA99</t>
  </si>
  <si>
    <t>CLFF_7210$$$2068TBUZ21</t>
  </si>
  <si>
    <t>CLFF_7210$$$2068TFUZ61</t>
  </si>
  <si>
    <t>CLFF_7210$$$2068TKUZ70</t>
  </si>
  <si>
    <t>CLFF_7210$$$2068TQUZ90</t>
  </si>
  <si>
    <t>CLFF_7210$$$2148TFCZ62</t>
  </si>
  <si>
    <t>CLFF_7210$$$2148TFSZ62</t>
  </si>
  <si>
    <t>CLFF_1000$$$CN70R03104</t>
  </si>
  <si>
    <t>CLFF_1000$$$DE50TMDA06</t>
  </si>
  <si>
    <t>CLFF_1000$$$IT50R02001</t>
  </si>
  <si>
    <t>CLFF_1000$$$IT50R02002</t>
  </si>
  <si>
    <t>DFLTPGCOH_BF-C2_001242</t>
  </si>
  <si>
    <t>L000011664</t>
  </si>
  <si>
    <t>FR7589717</t>
  </si>
  <si>
    <t>CLFF_1000$$$DK50GEQ010</t>
  </si>
  <si>
    <t>CFLTFLE_22450000002741</t>
  </si>
  <si>
    <t>FR7591041</t>
  </si>
  <si>
    <t>CEMERAL_70007102171436</t>
  </si>
  <si>
    <t>CEMERAL_64010010991390 Admin/Sourcing APAC</t>
  </si>
  <si>
    <t>CEMERAL_70006203990110 Procurement APAC</t>
  </si>
  <si>
    <t>CEMERAL_70006203990116 PO - Src. Corporate Services</t>
  </si>
  <si>
    <t>CEMERAL_70006301995401 XXXPO-APAC</t>
  </si>
  <si>
    <t>CEMERAL_70006302995401 XXXGroup Procurement-Purchasing</t>
  </si>
  <si>
    <t>CEMERAL_7000640399GA65 Procurement APAC</t>
  </si>
  <si>
    <t>CEMERAL_70007001993007 XXXMESI MGF-PROCUREMENT</t>
  </si>
  <si>
    <t>CEMERAL_70007102308299 Jade Park expense cross charge</t>
  </si>
  <si>
    <t>CFLTFLE_10550000003914 MGF Procurement</t>
  </si>
  <si>
    <t>CFLTFLE_12350000005017 MGF Procurement</t>
  </si>
  <si>
    <t>CFLTFLE_17710000170000 XXXProcurement</t>
  </si>
  <si>
    <t>CFLTFLE_17710000170020 XXXProcurement restructuring</t>
  </si>
  <si>
    <t>CFLTFLE_1787HQ50GPO1F0 MGF_Procurement NWA_NORTH WEST</t>
  </si>
  <si>
    <t>CFLTFLE_1798A08 Procurement</t>
  </si>
  <si>
    <t>CLFF_1000$$$CH50GPO004 PO Americas - MRO FR &amp; French-Speak. CH</t>
  </si>
  <si>
    <t>CLFF_1000$$$CH50GPO101 Sourcing Healthcare 2</t>
  </si>
  <si>
    <t>CLFF_1000$$$CH50GPO204 Sourcing BT</t>
  </si>
  <si>
    <t>CLFF_1000$$$CH65GPO001 MRO Sourcing</t>
  </si>
  <si>
    <t>CLFF_1000$$$CN90GPO005 Procurement APAC</t>
  </si>
  <si>
    <t>CLFF_1000$$$DE10560000 Sourcing Office Intercomp</t>
  </si>
  <si>
    <t>CLFF_1000$$$DE10661200 PO Src. Plant Serv.</t>
  </si>
  <si>
    <t>CLFF_1000$$$DE10667900 PO - Src. Corp. Services</t>
  </si>
  <si>
    <t>CLFF_1000$$$DE10672010 PO IT Sourcing</t>
  </si>
  <si>
    <t>CLFF_1000$$$DE65GPO001 Sourcing Corp. Serv. &amp; Region EMEA</t>
  </si>
  <si>
    <t>CLFF_1000$$$DK50GPO004 Group Procurement - Real Estate F81</t>
  </si>
  <si>
    <t>CLFF_1000$$$ES50GPO792 PO Global &amp; Local Sourcing EMEA</t>
  </si>
  <si>
    <t>CLFF_1000$$$FR01GPO004 France Procurement</t>
  </si>
  <si>
    <t>CLFF_1000$$$IT50GPO004 Procurement IT</t>
  </si>
  <si>
    <t>CLFF_1000$$$IT50GPO0C3 G1F PO-Sourcing Plant Serv &amp; Region Amer</t>
  </si>
  <si>
    <t>CLFF_1000$$$JP01GPO302 PO APAC</t>
  </si>
  <si>
    <t>CLFF_1000$$$JP02GPO302 PO APAC</t>
  </si>
  <si>
    <t>CLFF_1000$$$KE50GPO004 MGF Procurement</t>
  </si>
  <si>
    <t>CLFF_1000$$$KR02GPO001 Procurement APAC</t>
  </si>
  <si>
    <t>CLFF_1000$$$TW02GPO004 PO-Purchasing APAC</t>
  </si>
  <si>
    <t>CLFF_1000$$$TW03GPO005 PO-Purchasing APAC</t>
  </si>
  <si>
    <t>CLFF_1000$$$US01GPO004 Procurement EMEA</t>
  </si>
  <si>
    <t>CLFF_1000$$$US01GPO101 MPM MRO Region America</t>
  </si>
  <si>
    <t>CLFF_1000$$$US01GPO401 XXXGroup Procurement</t>
  </si>
  <si>
    <t>CLFF_1000$$$VN50GPO005 XX_Procurement - Service</t>
  </si>
  <si>
    <t>CLFF_1000$$$ZA50GPO004 MGF Procurement</t>
  </si>
  <si>
    <t>CLFF_7210$$$2031GPO004 Purchasing</t>
  </si>
  <si>
    <t>CLFF_7210$$$2057GPO008 XX_Procurement CS&amp;EMEA</t>
  </si>
  <si>
    <t>CLFF_7210$$$2102GPO003 PO-Americas</t>
  </si>
  <si>
    <t>CLFF_7210$$$2123GPO001 PO Sourcing IT</t>
  </si>
  <si>
    <t>CLFF_7210$$$2128L40014 2128 General Expenses</t>
  </si>
  <si>
    <t>CLFF_7210$$$2131GPO821 Procurement APAC</t>
  </si>
  <si>
    <t>CLFF_KR00$$$KR03GPO001 Procurement APAC</t>
  </si>
  <si>
    <t>CLFF_VMCA$$$US10GPO022 Procurement Plant Serv. Amer.</t>
  </si>
  <si>
    <t>CLFF_VMCA$$$US10GPO024 Procurement Corp Serv. Amer.</t>
  </si>
  <si>
    <t>CNOW_7210$$$0000010415 PO - EMEA</t>
  </si>
  <si>
    <t>CNOW_7210$$$0000010428 PO-IT Sourcing</t>
  </si>
  <si>
    <t>CNOW_7210$$$0000021133 PO-Procurement-Americas</t>
  </si>
  <si>
    <t>CNOW_7210$$$0000051807 PO-Plant Srv&amp;America</t>
  </si>
  <si>
    <t>CNOW_7210$$$0000057192 PO Sourcing Corporate Services</t>
  </si>
  <si>
    <t>CNOW_7210$$$0000057211 PO - Src. Plant Services</t>
  </si>
  <si>
    <t>CNOW_ROW$$$$0000006106 Sourcing</t>
  </si>
  <si>
    <t>CORAERP_MMOR1945.9866 Procurement Americas FR</t>
  </si>
  <si>
    <t>CORAERP_MMOR1945.9868 Procurement EMEA</t>
  </si>
  <si>
    <t>CORAERP_MMOR1975.2654 PO-P Site Services &amp; Utilities Sourcing</t>
  </si>
  <si>
    <t>CORAERP_MMOR1975.2707 PO-MLF-M Flexible Sourcing</t>
  </si>
  <si>
    <t>CORAERP_MMOR1975.2708 PO-C Sourcing Travel, Fleet &amp; Events</t>
  </si>
  <si>
    <t>CORAERP_MMOR1975.2712 PO-E Global IT Procurement</t>
  </si>
  <si>
    <t>CORAERP_MMOR1975.2720 PO EGM Glbl IT Transformation</t>
  </si>
  <si>
    <t>CORAERP_MMOR1975.2983 PO Americas - Cross Charge</t>
  </si>
  <si>
    <t>CORAERP_MMOR1975.2990 PO-P MRO Sourcing US</t>
  </si>
  <si>
    <t>CSCALA_1042$PURC Procurement</t>
  </si>
  <si>
    <t>CSCALA_1050$B33 Procurement Src. APAC</t>
  </si>
  <si>
    <t>CSCALA_1923$B33 Procurement Src. APAC</t>
  </si>
  <si>
    <t>CTEMPEU_1000FR10700800 PO-Plant Srv&amp;America</t>
  </si>
  <si>
    <t>CTEMPEU_1000FR40700803 PO-Plant Srv&amp;America</t>
  </si>
  <si>
    <t>CTEMPEU_1000FR40700839 PO-PlantSrv&amp;Ame Refa</t>
  </si>
  <si>
    <t>CTEMPEU_1000FR60715000 PO-Plant Srv&amp;America</t>
  </si>
  <si>
    <t>CTEMPEU_1000FR90700803 PO-Plant Srv&amp;America</t>
  </si>
  <si>
    <t>CTEMPEU_1000NL40AD0079 XXXProcurement</t>
  </si>
  <si>
    <t>CTEMPEU_1000PL10C04000 Purchasing</t>
  </si>
  <si>
    <t>CTEMPEU_1000PL10C04500 Procurement</t>
  </si>
  <si>
    <t>CTEMPEU_1000PL80000020 PO Digital IT Sourcing</t>
  </si>
  <si>
    <t>CTEMPEU_1000TR10ADP200 XXXPO - Corp. Serv. / EMEA - Tier 2</t>
  </si>
  <si>
    <t>CTEMPLA_1000AR10310006 XXXProcurement</t>
  </si>
  <si>
    <t>CTEMPLA_1000BR10302210 Procurement Americas</t>
  </si>
  <si>
    <t>CTEMPLA_1000CO10100510 XXXPROCUREMENT</t>
  </si>
  <si>
    <t>CTEMPLA_1000GT10ZZ0A30 XXXADM - CP- Sourcing</t>
  </si>
  <si>
    <t>CTEMPLA_1000GT10ZZ1A30 ADM - PO - Procurement EMEA</t>
  </si>
  <si>
    <t>CTEMPLA_1000MX10501006 PO-Procurement-Americas</t>
  </si>
  <si>
    <t>CTEMPLA_1000PE10760000 XXXXXXPROCUREMENT</t>
  </si>
  <si>
    <t>CTEMPLA_1000UY10050029 XXXPO Src Plant Srvc-Am</t>
  </si>
  <si>
    <t>CTEMPLA_1000UY10GPO004 Site Operations Sourcing Americas</t>
  </si>
  <si>
    <t>CTEMPNA_1000US20CA8801 PO Americas</t>
  </si>
  <si>
    <t>CTEMPNA_1000US20CA8804 PO EMEA</t>
  </si>
  <si>
    <t>CTEMPNA_1000US30CA8800 PO America</t>
  </si>
  <si>
    <t>CTEMPNA_1000US30CA8804 PO EMEA</t>
  </si>
  <si>
    <t>CTEMPNA_1000US30CA8805 PO IT</t>
  </si>
  <si>
    <t>G000001130</t>
  </si>
  <si>
    <t>FR7595707</t>
  </si>
  <si>
    <t>FR7596042</t>
  </si>
  <si>
    <t>L000013589</t>
  </si>
  <si>
    <t>FR7600506</t>
  </si>
  <si>
    <t>PLEAN_X310511VN5015200 MAV COM Other promotion</t>
  </si>
  <si>
    <t>PLEAN_X310172VN5020300 BAV MED Education</t>
  </si>
  <si>
    <t>PLEAN_X310172VN5022300 BAV MED Consultants</t>
  </si>
  <si>
    <t>PLEAN_X310172VN5023300 BAV MED Other activities (non-R&amp;D)</t>
  </si>
  <si>
    <t>PLEAN_X310511VN5010200 MAV COM Promotion material</t>
  </si>
  <si>
    <t>PLEAN_X310171VN5013200 BAV COM Congresses and events</t>
  </si>
  <si>
    <t>H000001323</t>
  </si>
  <si>
    <t>H000001331</t>
  </si>
  <si>
    <t>H000001333</t>
  </si>
  <si>
    <t>Maria Rosario Go</t>
  </si>
  <si>
    <t>FR7600515</t>
  </si>
  <si>
    <t>CSCALA_1042$MSMS_W63</t>
  </si>
  <si>
    <t>CSCALA_1042$ONPM_X60</t>
  </si>
  <si>
    <t>CSCALA_1042$FEPM_F12</t>
  </si>
  <si>
    <t>CSCALA_1042$MSMS_F12</t>
  </si>
  <si>
    <t>CSCALA_1042$MSPM_C55</t>
  </si>
  <si>
    <t>CSCALA_1042$MSPM_C56</t>
  </si>
  <si>
    <t>CSCALA_1042$MSMS_W11</t>
  </si>
  <si>
    <t>CSCALA_1042$MSMS_W14</t>
  </si>
  <si>
    <t>CSCALA_1042$MSIS_F58</t>
  </si>
  <si>
    <t>CSCALA_1042$MSMS_C01</t>
  </si>
  <si>
    <t>CSCALA_1042$MSMS_C02</t>
  </si>
  <si>
    <t>CSCALA_1042$MSMS_T03</t>
  </si>
  <si>
    <t>FR7600523</t>
  </si>
  <si>
    <t>CEMERAL_70006502522500 Erbitux _Risk Sharing Program_NHIS</t>
  </si>
  <si>
    <t>H000001225</t>
  </si>
  <si>
    <t>CEMERAL_70006101MS310A</t>
  </si>
  <si>
    <t>FR7608837</t>
  </si>
  <si>
    <t>D00130000000000 BOE-OLED-Mobile-NT3</t>
  </si>
  <si>
    <t>D00123100000000</t>
  </si>
  <si>
    <t>DP000016000000</t>
  </si>
  <si>
    <t>DP000013000000</t>
  </si>
  <si>
    <t>DP000023000000</t>
  </si>
  <si>
    <t>CLFF_1000$$$TW03TATA02</t>
  </si>
  <si>
    <t>P000000808</t>
  </si>
  <si>
    <t>FR7610526</t>
  </si>
  <si>
    <t>John Rowie Del Rosario</t>
  </si>
  <si>
    <t>FR7612893</t>
  </si>
  <si>
    <t>PLEAN_X310281CN5015008 PI COM PROM OTH MR on TGCT</t>
  </si>
  <si>
    <t>PLEAN_X310282CN5020305 PI MED MED EDU DSA to HCP: Medical educa</t>
  </si>
  <si>
    <t>PLEAN_X310282CN5023303 PI MED MED OTH Data Generation: Publicat</t>
  </si>
  <si>
    <t>PLEAN_X310282CN5023302 PIMI MED MED OTH ASCO campaign</t>
  </si>
  <si>
    <t>PLEAN_X310282CN5023304 PI MED MED OTH Medical Strategy Readines</t>
  </si>
  <si>
    <t>PLEAN_X310101CN5013356 ERB COM C&amp;E ONC H&amp;N-Case Sharing</t>
  </si>
  <si>
    <t>PLEAN_X310101CN5013357 ERB COM C&amp;E ONC H&amp;N-Roadshow</t>
  </si>
  <si>
    <t>PLEAN_X310101CN5013358 ERB COM C&amp;E AI Chatbot upgrade &amp; promoti</t>
  </si>
  <si>
    <t>PLEAN_X310101CN5013362 ERB COM C&amp;E Data purchasing</t>
  </si>
  <si>
    <t>H000001422</t>
  </si>
  <si>
    <t>FR7615323</t>
  </si>
  <si>
    <t>CSCALA_1820$A100_AM5</t>
  </si>
  <si>
    <t>CNOW_ROW$$$$0000091869 Health care Field force</t>
  </si>
  <si>
    <t>H000000396</t>
  </si>
  <si>
    <t>CSCALA_1042$ONPM_W52</t>
  </si>
  <si>
    <t>CSCALA_1042$ONPM_X61</t>
  </si>
  <si>
    <t>CSCALA_1042$MSPM_E84</t>
  </si>
  <si>
    <t>CSCALA_1042$MSMS_D18</t>
  </si>
  <si>
    <t>CSCALA_1042$MSPM_T56</t>
  </si>
  <si>
    <t>CSCALA_1042$MSMS_M99</t>
  </si>
  <si>
    <t>FR7615386</t>
  </si>
  <si>
    <t xml:space="preserve">ITEMPEU_001500001762 </t>
  </si>
  <si>
    <t xml:space="preserve">ITEMPEU_001500001763 </t>
  </si>
  <si>
    <t>FR7615420</t>
  </si>
  <si>
    <t>CLFF_VMCA$$$TW91GPO013</t>
  </si>
  <si>
    <t xml:space="preserve">CSCALA_1248$PSDO </t>
  </si>
  <si>
    <t>FR7619559</t>
  </si>
  <si>
    <t>PLEAN_X310101CN5013353</t>
  </si>
  <si>
    <t>PLEAN_X310101CN5013361</t>
  </si>
  <si>
    <t>PLEAN_X310101CN5013364</t>
  </si>
  <si>
    <t>FR7626038</t>
  </si>
  <si>
    <t>CNOW_7210$$$0000021316 Applied Solutions BRM Patent Fees</t>
  </si>
  <si>
    <t>CORAERP_MMOR1975.6122 AS - BRM Patent Fees</t>
  </si>
  <si>
    <t>IPHOENX_000001500022 Patent Costs BRM Immunoassays</t>
  </si>
  <si>
    <t>CNOW_7210$$$0000020548 PS-GENM Patent Fees</t>
  </si>
  <si>
    <t>CORAERP_MMOR1975.6123 PS-GENM Patent Fees</t>
  </si>
  <si>
    <t>IPHOENX_000001500003 Patent Costs Bioscience; KGaA</t>
  </si>
  <si>
    <t>IPHOENX_000001500014 Patent Cost/AA-Inorganic Reagents</t>
  </si>
  <si>
    <t>CNOW_7210$$$0000021315 Research Solution Patent Fees</t>
  </si>
  <si>
    <t>CORAERP_MMOR1975.9072 RS - RS Patent Fees</t>
  </si>
  <si>
    <t>CORAERP_MMOR1099.6730 PS - FDS PATENT FEES</t>
  </si>
  <si>
    <t>CORAERP_MMOR1975.6730 PS - FDS PATENT FEES</t>
  </si>
  <si>
    <t>CORAERP_MMOR1975.6534 AS - LabW Patent Fees</t>
  </si>
  <si>
    <t>CORAERP_MMOR1945.6534 AS - LabW Patent Fees</t>
  </si>
  <si>
    <t>CFLTFLE_13060000000063 R&amp;D Merck</t>
  </si>
  <si>
    <t>CLFF_1000$$$DE73R00021 Patent Costs SomaLogic In</t>
  </si>
  <si>
    <t>IPHOENX_000001500017 Patent Cost/BioM-Microbiology</t>
  </si>
  <si>
    <t>CLFF_1000$$$DE73R00013 Patent Costs (external)/D</t>
  </si>
  <si>
    <t>CORAERP_MMOR1975.9207 AS - BioM Patent Fees</t>
  </si>
  <si>
    <t>CLFF_VMCA$$$BE10DB3600 BE10 Customs/Duties</t>
  </si>
  <si>
    <t>CLFF_VMCA$$$FR10DB3600 FR10 Customs/Duties</t>
  </si>
  <si>
    <t>CLFF_VMCA$$$GB10DB3600 GB10 Customs/Duties</t>
  </si>
  <si>
    <t>CLFF_VMCA$$$IE10DB3600 IE10 Customs/Duties</t>
  </si>
  <si>
    <t>CLFF_VMCA$$$IL10DB3600 IL10 Customs/Duties</t>
  </si>
  <si>
    <t>CLFF_VMCA$$$IT07DB3600 IT07 Customs/Duties</t>
  </si>
  <si>
    <t>CLFF_VMCA$$$NL10DB3600 NL10 Customs/Duties</t>
  </si>
  <si>
    <t>CLFF_1000$$$DE01OF0303 Customer Service MPM Wiesbaden</t>
  </si>
  <si>
    <t>CLFF_1000$$$DE04OFHQ02 CF Semi Customer Service Europe</t>
  </si>
  <si>
    <t>CLFF_1000$$$DE04TP5000 CF Semiconductor Customer Service</t>
  </si>
  <si>
    <t>P000001331</t>
  </si>
  <si>
    <t>P000001332</t>
  </si>
  <si>
    <t>FR7620211</t>
  </si>
  <si>
    <t>No REAL</t>
  </si>
  <si>
    <t>FR7636902</t>
  </si>
  <si>
    <t>CNOW_7210$$$0000040190 Global Tech and R&amp;D in Sheboygan</t>
  </si>
  <si>
    <t>CNOW_7210$$$0000040500 MWK Packaging Admin</t>
  </si>
  <si>
    <t>CNOW_7210$$$0000040339 MWK RS WASTE WATER TREATMENT SHEBOYGEN</t>
  </si>
  <si>
    <t>CNOW_7210$$$0000040963 MWK RS SHEBOYGAN BUILDING SECURITY</t>
  </si>
  <si>
    <t>CNOW_7210$$$0000040681 MWK RS SAFETY &amp; HEALTH</t>
  </si>
  <si>
    <t>CNOW_7210$$$0000056007 Mobius Warehouse-Distri</t>
  </si>
  <si>
    <t>CNOW_7210$$$0000056057 Mobius Warehouse-Dist</t>
  </si>
  <si>
    <t>CNOW_7210$$$0000059933 WUXI DISTRIBUTION for FG OUTPUT</t>
  </si>
  <si>
    <t>CNOW_7210$$$0000059983 WUXI DISTRIBUTION for FG OUTPUT</t>
  </si>
  <si>
    <t>CORAERP_MMOR1975.6622 6622 WAU Technology Funded Project</t>
  </si>
  <si>
    <t>CNOW_7210$$$0000270009 CTO Strategy &amp; Execution</t>
  </si>
  <si>
    <t>CPHOENX_01010000697782 LS Technology Office</t>
  </si>
  <si>
    <t>CNOW_7210$$$0000022108 PS R&amp;D Tax/IP Entries</t>
  </si>
  <si>
    <t>CEMERAL_70006203601203 BIOP IC Royalty 1975</t>
  </si>
  <si>
    <t>CORAERP_MMOR1945.P3SW BL P3 Systems Hardware - SW</t>
  </si>
  <si>
    <t>CORAERP_MMOR1975.P3IN BL P3 Systems Hardware - IN</t>
  </si>
  <si>
    <t>CORAERP_MMOR1945.P1US BL P1 Aseptic - US</t>
  </si>
  <si>
    <t>CORAERP_MMOR1975.P1FR BL P1 Aseptic - FR</t>
  </si>
  <si>
    <t>CORAERP_MMOR1975.5287 Marketing - Franchise Mgmt</t>
  </si>
  <si>
    <t>CORAERP_MMOR1975.6589 Placeholder Erbi Employees</t>
  </si>
  <si>
    <t>CORAERP_MMOR1975.P3KO BL P3 Systems Hardware - KO</t>
  </si>
  <si>
    <t>CPHOENX_01010000063666 Single Use Growth Segments</t>
  </si>
  <si>
    <t>CPHOENX_01010000686300 MM Process Solutions Global Pricing</t>
  </si>
  <si>
    <t>CTEMPLA_1000BR10500149 BEX Operational Excellence Brazil</t>
  </si>
  <si>
    <t>CEMERAL_70007001581214 MESI REG PS-DIGITAL ENHANCE SG</t>
  </si>
  <si>
    <t>CORAERP_MMOR1975.9531 SFDC PMO</t>
  </si>
  <si>
    <t>CLFF_1000$$$DE10OF0007 LS ERP other - T&amp;E</t>
  </si>
  <si>
    <t>L000010183</t>
  </si>
  <si>
    <t>L000013478</t>
  </si>
  <si>
    <t>L000012185</t>
  </si>
  <si>
    <t>L000009359</t>
  </si>
  <si>
    <t>L000013884</t>
  </si>
  <si>
    <t>L000013885</t>
  </si>
  <si>
    <t>L000013277</t>
  </si>
  <si>
    <t>L000006611</t>
  </si>
  <si>
    <t>L000006568</t>
  </si>
  <si>
    <t>L000013849</t>
  </si>
  <si>
    <t>L000013560</t>
  </si>
  <si>
    <t>L000011729</t>
  </si>
  <si>
    <t>L000013806</t>
  </si>
  <si>
    <t>FR7637010</t>
  </si>
  <si>
    <t>CLFF_7210$$$2123C00057 LW E-Business</t>
  </si>
  <si>
    <t>CORAERP_MMOR1945.5304 LW Strategy Execution</t>
  </si>
  <si>
    <t>CORAERP_MMOR1945.5405 LW Training</t>
  </si>
  <si>
    <t>CEMERAL_70006502108610 MarCom A&amp;P LW South Korea</t>
  </si>
  <si>
    <t>CEMERAL_70006203200904 LW - Marcom India</t>
  </si>
  <si>
    <t>CEMERAL_70006203201003 MarCom A&amp;P LW India</t>
  </si>
  <si>
    <t>CTEMPLA_1000AR10P09014 MarCom LW A&amp;P AR</t>
  </si>
  <si>
    <t>CTEMPLA_1000CO10100387 MarCom LabW A&amp;P</t>
  </si>
  <si>
    <t>CTEMPLA_1000MX10316683 MarCom LabW A&amp;P MX</t>
  </si>
  <si>
    <t>CEMERAL_64010010860931 LW Japan Marcom</t>
  </si>
  <si>
    <t>CEMERAL_70006101MS1310 MarCom A&amp;P LW China+</t>
  </si>
  <si>
    <t>CEMERAL_70006101MS3207 Internal sales service expenses</t>
  </si>
  <si>
    <t>CEMERAL_70007102993226 MarCom A&amp;P LW Taiwan</t>
  </si>
  <si>
    <t>CNOW_7210$$$0000020479 US Campaigns - Lab Water</t>
  </si>
  <si>
    <t>CNOW_7210$$$0000051641 AS MarCom LW</t>
  </si>
  <si>
    <t>CORAERP_MMOR1945.5126 LW EEMEA A&amp;P</t>
  </si>
  <si>
    <t>CORAERP_MMOR1945.5127 LW WE A&amp;P</t>
  </si>
  <si>
    <t>CORAERP_MMOR1975.5128 LW NA A&amp;P</t>
  </si>
  <si>
    <t>CNOW_AUS0$$$0000091703 R&amp;A Marcom Commercial Services</t>
  </si>
  <si>
    <t>CORAERP_MMOR1945.5918 MarCom LabW</t>
  </si>
  <si>
    <t>CORAERP_MMOR1945.5919 MarCom Print</t>
  </si>
  <si>
    <t>CEMERAL_64010010860932 LW Marketing</t>
  </si>
  <si>
    <t>CEMERAL_70007001586012 MESI REG SLS MarCom Singapore</t>
  </si>
  <si>
    <t>CLFF_7210$$$2025C03513 1810 AS MarCom MQ</t>
  </si>
  <si>
    <t>CNOW_7210$$$0000020586 AS MarCom BioM</t>
  </si>
  <si>
    <t>CORAERP_MMOR1975.5122 Marcom Americas</t>
  </si>
  <si>
    <t>CEMERAL_7000710299322A MarCom A&amp;P LW Taiwan</t>
  </si>
  <si>
    <t>CSCALA_1042$LWSP MarCom A&amp;P LW Malaysia</t>
  </si>
  <si>
    <t>CORAERP_MMOR1945.6586 Product Application Mktg &amp; Strat</t>
  </si>
  <si>
    <t>CEMERAL_70006203201004 MarCom A&amp;P LW India</t>
  </si>
  <si>
    <t>CORAERP_MMOR1945.5905 LW Commercial Support</t>
  </si>
  <si>
    <t>CEMERAL_70006203200903 Marketing Operational Pricing &amp; Data</t>
  </si>
  <si>
    <t>L000013826</t>
  </si>
  <si>
    <t>L000013198</t>
  </si>
  <si>
    <t>L000013829</t>
  </si>
  <si>
    <t>L000013827</t>
  </si>
  <si>
    <t>L000013828</t>
  </si>
  <si>
    <t>L000006092</t>
  </si>
  <si>
    <t>L000013703</t>
  </si>
  <si>
    <t>FR7637217</t>
  </si>
  <si>
    <t>FR7639219</t>
  </si>
  <si>
    <t>CSCALA_1025$8111_Y00</t>
  </si>
  <si>
    <t>CSCALA_1025$8112_Y00</t>
  </si>
  <si>
    <t>PLEAN_X310181DK5010201 Bavencio Commercial DK50 Promo Material</t>
  </si>
  <si>
    <t>CSCALA_1759$E346</t>
  </si>
  <si>
    <t>CSCALA_1759$E345</t>
  </si>
  <si>
    <t>CSCALA_1759$E347</t>
  </si>
  <si>
    <t>CSCALA_1759$E348</t>
  </si>
  <si>
    <t>CSCALA_1759$E349</t>
  </si>
  <si>
    <t>CSCALA_1759$E350</t>
  </si>
  <si>
    <t>CSCALA_1025$6112_E77</t>
  </si>
  <si>
    <t>CSCALA_1759$C217</t>
  </si>
  <si>
    <t>CSCALA_1759$R105</t>
  </si>
  <si>
    <t>CSCALA_1759$R106</t>
  </si>
  <si>
    <t>CSCALA_1759$R108</t>
  </si>
  <si>
    <t>CSCALA_1759$TEAN</t>
  </si>
  <si>
    <t>CSCALA_1872$100_C66</t>
  </si>
  <si>
    <t>CSCALA_1759$G539 1671106323969</t>
  </si>
  <si>
    <t>PLEAN_X310201DK5010201 Fertility Commercial DK50 Promo Material</t>
  </si>
  <si>
    <t>PLEAN_X310201DK5013201 Fertility Commercial DK50 Congress &amp; Eve</t>
  </si>
  <si>
    <t>PLEAN_X310201DK5015201 Fertility Commercial DK50 Other Promo an</t>
  </si>
  <si>
    <t>PLEAN_X310201EE5015201 Fertility Commercial EE50 Other Promo an</t>
  </si>
  <si>
    <t>PLEAN_X310201FI5010201 Fertility Commercial FI50 Promo Material</t>
  </si>
  <si>
    <t>PLEAN_X310201FI5013201 Fertility Commercial FI50 Congress &amp; Eve</t>
  </si>
  <si>
    <t>PLEAN_X310201LT5013201 Fertility Commercial LT50 Congress &amp; Eve</t>
  </si>
  <si>
    <t>PLEAN_X310201LT5015201 Fertility Commercial LT50 Other Promo an</t>
  </si>
  <si>
    <t>PLEAN_X310201LT5030201 Fertility Commercial LT50 Other M&amp;S Regi</t>
  </si>
  <si>
    <t>PLEAN_X310201LV5030201 Fertility Commercial LV50 Other M&amp;S Regi</t>
  </si>
  <si>
    <t>PLEAN_X310201SE5015201 Fertility Commercial SE50 Other Promo an</t>
  </si>
  <si>
    <t>PLEAN_X310301LV5010201 Gluco Commercial LV50 Promo Material Gen</t>
  </si>
  <si>
    <t>PLEAN_X310351LT5015201 GM KGAA Commercial LT50 Other Promo and</t>
  </si>
  <si>
    <t>PLEAN_X310401FI5010201 Saizen Commercial FI50 Promo Material Ge</t>
  </si>
  <si>
    <t>PLEAN_X310401NO5030201 Saizen Commercial NO50 Other M&amp;S Registr</t>
  </si>
  <si>
    <t>PLEAN_X310401SE5010201 Saizen Commercial SE50 Promo Material Ge</t>
  </si>
  <si>
    <t>PLEAN_X310511DK5010201 Mavenclad Commercial DK50 Promo Material</t>
  </si>
  <si>
    <t>PLEAN_X310511DK5015201 Mavenclad Commercial DK50 Other Promo an</t>
  </si>
  <si>
    <t>PLEAN_X310511EE5013201 Mavenclad Commercial EE50 Congress &amp; Eve</t>
  </si>
  <si>
    <t>PLEAN_X310511LT5013201 Mavenclad Commercial LT50 Congress &amp; Eve</t>
  </si>
  <si>
    <t>PLEAN_X310511LT5015201 Mavenclad Commercial LT50 Other Promo an</t>
  </si>
  <si>
    <t>PLEAN_X310511LT5030201 Mavenclad Commercial LT50 Other M&amp;S Regi</t>
  </si>
  <si>
    <t>PLEAN_X310511LV5015201 Mavenclad Commercial LV50 Other Promo an</t>
  </si>
  <si>
    <t>PLEAN_X310511NO5010201 Mavenclad Commercial NO50 Promo Material</t>
  </si>
  <si>
    <t>PLEAN_X310511NO5011201 Mavenclad Commercial NO50 Advertising Ge</t>
  </si>
  <si>
    <t>PLEAN_X310511SE5010201 Mavenclad Commercial SE50 Promo Material</t>
  </si>
  <si>
    <t>PLEAN_X310282CH7622200 PIMI MED Consultancy</t>
  </si>
  <si>
    <t>PLEAN_X310132AT5023200 Tepmetko Medical activities</t>
  </si>
  <si>
    <t>PLEAN_X310152AT5020200 Bavencio Medical education</t>
  </si>
  <si>
    <t>PLEAN_X310152AT5021200 Bavencio Medical donations</t>
  </si>
  <si>
    <t>PLEAN_X310152AT5023201 Bavencio Medical congresses</t>
  </si>
  <si>
    <t>PLEAN_X310201AT5013200 Fertility Congresses &amp; events</t>
  </si>
  <si>
    <t>PLEAN_X310201CZ5011201 Fertility Commercial CZ50 Advertising Ge</t>
  </si>
  <si>
    <t>PLEAN_X310201CZ5013203 Fertility Commercial CZ50 Congress &amp; Eve</t>
  </si>
  <si>
    <t>PLEAN_X310201CZ5013205 Fertility Commercial CZ50 Congress &amp; Eve</t>
  </si>
  <si>
    <t>PLEAN_X310301CZ5011201 Gluco Commercial CZ50 Advertising Genera</t>
  </si>
  <si>
    <t>PLEAN_X310301CZ5013201 Gluco Commercial CZ50 Congress &amp; Events</t>
  </si>
  <si>
    <t>PLEAN_X310301CZ5013202 Gluco Commercial CZ50 Congress &amp; Events</t>
  </si>
  <si>
    <t>PLEAN_X310301CZ5015201 Gluco Commercial CZ50 Other Promo and Ad</t>
  </si>
  <si>
    <t>PLEAN_X310401AT5013200 Endo Congresses &amp; events</t>
  </si>
  <si>
    <t>PLEAN_X310401CZ5013203 Saizen Commercial CZ50 Congress &amp; Events</t>
  </si>
  <si>
    <t>PLEAN_X310511CZ5010201 Mavenclad Commercial CZ50 Promo Material</t>
  </si>
  <si>
    <t>PLEAN_X310511CZ5013204 Mavenclad Commercial CZ50 Congress &amp; Eve</t>
  </si>
  <si>
    <t>H000002013</t>
  </si>
  <si>
    <t>FR7640142</t>
  </si>
  <si>
    <t>G000000918</t>
  </si>
  <si>
    <t>FR7640621</t>
  </si>
  <si>
    <t>CLFF_1000$$$CZ50GEQ001</t>
  </si>
  <si>
    <t>CLFF_1000$$$CZ50Z02185</t>
  </si>
  <si>
    <t>CLFF_1000$$$DE10523400</t>
  </si>
  <si>
    <t>CLFF_1000$$$DE10524300</t>
  </si>
  <si>
    <t>CLFF_1000$$$DE10625700</t>
  </si>
  <si>
    <t>CLFF_1000$$$DE10510000</t>
  </si>
  <si>
    <t>CLFF_1000$$$DE10551100</t>
  </si>
  <si>
    <t>PLEAN_X310101CZ5011000</t>
  </si>
  <si>
    <t>PLEAN_X310102CZ5021000</t>
  </si>
  <si>
    <t>PLEAN_X310102CZ5022000</t>
  </si>
  <si>
    <t>PLEAN_X310202CZ5020000</t>
  </si>
  <si>
    <t>PLEAN_X310202CZ5022000</t>
  </si>
  <si>
    <t>PLEAN_X310202CZ5023000</t>
  </si>
  <si>
    <t>PLEAN_X310302CZ5020000</t>
  </si>
  <si>
    <t>PLEAN_X310322CZ5021000</t>
  </si>
  <si>
    <t>PLEAN_X310331CZ5010000</t>
  </si>
  <si>
    <t>PLEAN_X310332CZ5020000</t>
  </si>
  <si>
    <t>PLEAN_X310332CZ5021000</t>
  </si>
  <si>
    <t>PLEAN_X310402CZ5020000</t>
  </si>
  <si>
    <t>PLEAN_X310402CZ5022000</t>
  </si>
  <si>
    <t>PLEAN_X310501CZ5030000</t>
  </si>
  <si>
    <t>PLEAN_X310512CZ5020000</t>
  </si>
  <si>
    <t>PLEAN_X310512CZ5023000</t>
  </si>
  <si>
    <t>PLEAN_X310513CZ5043000</t>
  </si>
  <si>
    <t>CLFF_1000$$$JP01C00020</t>
  </si>
  <si>
    <t>CLFF_1000$$$JP01C00301</t>
  </si>
  <si>
    <t>CLFF_1000$$$JP01C00401</t>
  </si>
  <si>
    <t>CLFF_1000$$$JP01C0M121</t>
  </si>
  <si>
    <t>CLFF_1000$$$JP01C0M600</t>
  </si>
  <si>
    <t>CLFF_1000$$$JP01C0M621</t>
  </si>
  <si>
    <t>CLFF_1000$$$JP01C0M821</t>
  </si>
  <si>
    <t>CLFF_1000$$$JP01C0M822</t>
  </si>
  <si>
    <t>CLFF_1000$$$JP01C0M825</t>
  </si>
  <si>
    <t>CLFF_1000$$$JP01C0M921</t>
  </si>
  <si>
    <t>CLFF_1000$$$JP01C0O921</t>
  </si>
  <si>
    <t>CLFF_1000$$$JP01C0O999</t>
  </si>
  <si>
    <t>CLFF_1000$$$JP01GBT301</t>
  </si>
  <si>
    <t>CLFF_1000$$$JP01GBT303</t>
  </si>
  <si>
    <t>CLFF_1000$$$JP01GBT304</t>
  </si>
  <si>
    <t>CLFF_1000$$$JP01GBT305</t>
  </si>
  <si>
    <t>CLFF_1000$$$JP01GCM301</t>
  </si>
  <si>
    <t>CLFF_1000$$$JP01GCO301</t>
  </si>
  <si>
    <t>CLFF_1000$$$JP01GFO300</t>
  </si>
  <si>
    <t>CLFF_1000$$$JP01GFO301</t>
  </si>
  <si>
    <t>CLFF_1000$$$JP01GHR301</t>
  </si>
  <si>
    <t>CLFF_1000$$$JP01GHR303</t>
  </si>
  <si>
    <t>CLFF_1000$$$JP01GIT01B</t>
  </si>
  <si>
    <t>CLFF_1000$$$JP01GLE301</t>
  </si>
  <si>
    <t>CLFF_1000$$$JP01GLE302</t>
  </si>
  <si>
    <t>CLFF_1000$$$JP01GM1002</t>
  </si>
  <si>
    <t>CLFF_1000$$$JP01GM4001</t>
  </si>
  <si>
    <t>CLFF_1000$$$JP01GM4002</t>
  </si>
  <si>
    <t>CLFF_1000$$$JP01GM8001</t>
  </si>
  <si>
    <t>CLFF_1000$$$JP01GM8002</t>
  </si>
  <si>
    <t>CLFF_1000$$$JP01GMB040</t>
  </si>
  <si>
    <t>CLFF_1000$$$JP01GMW080</t>
  </si>
  <si>
    <t>CLFF_1000$$$JP01GPO301</t>
  </si>
  <si>
    <t>CLFF_1000$$$JP01GPO302</t>
  </si>
  <si>
    <t>CLFF_1000$$$JP01GPO303</t>
  </si>
  <si>
    <t>CLFF_1000$$$JP01GPS302</t>
  </si>
  <si>
    <t>CLFF_1000$$$JP01GSQ013</t>
  </si>
  <si>
    <t>CLFF_1000$$$JP01L1M001</t>
  </si>
  <si>
    <t>CLFF_1000$$$JP01L3K302</t>
  </si>
  <si>
    <t>CLFF_1000$$$JP01L3K304</t>
  </si>
  <si>
    <t>CLFF_1000$$$JP01L3M301</t>
  </si>
  <si>
    <t>CLFF_1000$$$JP01L3M303</t>
  </si>
  <si>
    <t>CLFF_1000$$$JP01L4M301</t>
  </si>
  <si>
    <t>CLFF_1000$$$JP01L4M302</t>
  </si>
  <si>
    <t>CLFF_1000$$$JP01L5M301</t>
  </si>
  <si>
    <t>CLFF_1000$$$JP01L5M302</t>
  </si>
  <si>
    <t>CLFF_1000$$$JP01L7M301</t>
  </si>
  <si>
    <t>CLFF_1000$$$JP01L7M302</t>
  </si>
  <si>
    <t>CLFF_1000$$$JP01L7M303</t>
  </si>
  <si>
    <t>CLFF_1000$$$JP01O05000</t>
  </si>
  <si>
    <t>CLFF_1000$$$JP01O05001</t>
  </si>
  <si>
    <t>CLFF_1000$$$JP01O05002</t>
  </si>
  <si>
    <t>CLFF_1000$$$JP01O05003</t>
  </si>
  <si>
    <t>CLFF_1000$$$JP01O05004</t>
  </si>
  <si>
    <t>CLFF_1000$$$JP01OF0203</t>
  </si>
  <si>
    <t>CLFF_1000$$$JP01R0O721</t>
  </si>
  <si>
    <t>CLFF_1000$$$JP01TAOA00</t>
  </si>
  <si>
    <t>CLFF_1000$$$JP01TAOA01</t>
  </si>
  <si>
    <t>CLFF_1000$$$JP01TAOA99</t>
  </si>
  <si>
    <t>CLFF_1000$$$JP01TAOB00</t>
  </si>
  <si>
    <t>CLFF_1000$$$JP01TAOB01</t>
  </si>
  <si>
    <t>CLFF_1000$$$JP01TAOB02</t>
  </si>
  <si>
    <t>CLFF_1000$$$JP01TAOB99</t>
  </si>
  <si>
    <t>CLFF_1000$$$JP01TAOC00</t>
  </si>
  <si>
    <t>CLFF_1000$$$JP01TAOC01</t>
  </si>
  <si>
    <t>CLFF_1000$$$JP01TAOC02</t>
  </si>
  <si>
    <t>CLFF_1000$$$JP01TAOC03</t>
  </si>
  <si>
    <t>CLFF_1000$$$JP01TAOC99</t>
  </si>
  <si>
    <t>CLFF_1000$$$JP01TAOD00</t>
  </si>
  <si>
    <t>CLFF_1000$$$JP01TAOD01</t>
  </si>
  <si>
    <t>CLFF_1000$$$JP01TAOD02</t>
  </si>
  <si>
    <t>CLFF_1000$$$JP01TAOD99</t>
  </si>
  <si>
    <t>CLFF_1000$$$JP01TAOE00</t>
  </si>
  <si>
    <t>CLFF_1000$$$JP01TAOE01</t>
  </si>
  <si>
    <t>CLFF_1000$$$JP01TAOE99</t>
  </si>
  <si>
    <t>CLFF_1000$$$JP01TAOZ01</t>
  </si>
  <si>
    <t>CLFF_1000$$$JP01TAOZ02</t>
  </si>
  <si>
    <t>CLFF_1000$$$JP01TAOZ03</t>
  </si>
  <si>
    <t>CLFF_1000$$$JP01TAOZ04</t>
  </si>
  <si>
    <t>CLFF_1000$$$JP01TAOZ05</t>
  </si>
  <si>
    <t>CLFF_1000$$$JP01TAOZ06</t>
  </si>
  <si>
    <t>CLFF_1000$$$JP01TBOZ01</t>
  </si>
  <si>
    <t>CLFF_1000$$$JP01TBOZ05</t>
  </si>
  <si>
    <t>CLFF_1000$$$JP01TCOZ01</t>
  </si>
  <si>
    <t>CLFF_1000$$$JP01TDOZ01</t>
  </si>
  <si>
    <t>CLFF_1000$$$JP01TDOZ02</t>
  </si>
  <si>
    <t>CLFF_1000$$$JP01TDOZ03</t>
  </si>
  <si>
    <t>CLFF_1000$$$JP01TDOZ04</t>
  </si>
  <si>
    <t>CLFF_1000$$$JP01TDOZ05</t>
  </si>
  <si>
    <t>CLFF_1000$$$JP01TDOZ06</t>
  </si>
  <si>
    <t>CLFF_1000$$$JP01TEOZ01</t>
  </si>
  <si>
    <t>CLFF_1000$$$JP01TFOZ01</t>
  </si>
  <si>
    <t>CLFF_1000$$$JP01TFOZ02</t>
  </si>
  <si>
    <t>CLFF_1000$$$JP01TFOZ03</t>
  </si>
  <si>
    <t>CLFF_1000$$$JP01TKOZ00</t>
  </si>
  <si>
    <t>CLFF_1000$$$JP01TLOZ01</t>
  </si>
  <si>
    <t>CLFF_1000$$$JP01TNMZ04</t>
  </si>
  <si>
    <t>CLFF_1000$$$JP01TPOZ01</t>
  </si>
  <si>
    <t>CLFF_1000$$$JP01TQOZ01</t>
  </si>
  <si>
    <t>CLFF_1000$$$JP01TQOZ03</t>
  </si>
  <si>
    <t>CLFF_1000$$$JP01TQOZ04</t>
  </si>
  <si>
    <t>CLFF_1000$$$JP01Z01000</t>
  </si>
  <si>
    <t>CLFF_1000$$$JP01Z01IF9</t>
  </si>
  <si>
    <t>CLFF_1000$$$JP01Z02141</t>
  </si>
  <si>
    <t>CLFF_1000$$$JP01Z02171</t>
  </si>
  <si>
    <t>CLFF_1000$$$JP01Z02173</t>
  </si>
  <si>
    <t>CLFF_1000$$$JP01Z02174</t>
  </si>
  <si>
    <t>CLFF_1000$$$JP01Z02175</t>
  </si>
  <si>
    <t>CLFF_1000$$$JP01Z02183</t>
  </si>
  <si>
    <t>CLFF_1000$$$JP01Z03103</t>
  </si>
  <si>
    <t>CLFF_1000$$$JP01Z03104</t>
  </si>
  <si>
    <t>CLFF_1000$$$JP01Z03105</t>
  </si>
  <si>
    <t>CLFF_1000$$$JP01Z03700</t>
  </si>
  <si>
    <t>CLFF_1000$$$JP01Z03725</t>
  </si>
  <si>
    <t>GNMI000090</t>
  </si>
  <si>
    <t>GNMI000415</t>
  </si>
  <si>
    <t>GNMI000710</t>
  </si>
  <si>
    <t>GNMI004131</t>
  </si>
  <si>
    <t>GNMI000051</t>
  </si>
  <si>
    <t>GNMI000414</t>
  </si>
  <si>
    <t>GNMI003610</t>
  </si>
  <si>
    <t>GNMI000084</t>
  </si>
  <si>
    <t>GNMI000091</t>
  </si>
  <si>
    <t>GNMI000081</t>
  </si>
  <si>
    <t>GNMI000082</t>
  </si>
  <si>
    <t>GNMI000080</t>
  </si>
  <si>
    <t>GNMI000083</t>
  </si>
  <si>
    <t>GNMI000390</t>
  </si>
  <si>
    <t>GNMI054210</t>
  </si>
  <si>
    <t>GNMI054215</t>
  </si>
  <si>
    <t>GNMI054211</t>
  </si>
  <si>
    <t>GNMI054219</t>
  </si>
  <si>
    <t>GNMI054212</t>
  </si>
  <si>
    <t>GNMI054213</t>
  </si>
  <si>
    <t>GNMI054214</t>
  </si>
  <si>
    <t>GNMI054216</t>
  </si>
  <si>
    <t>GNMI054217</t>
  </si>
  <si>
    <t>GNMI054220</t>
  </si>
  <si>
    <t>GNMI006310</t>
  </si>
  <si>
    <t>GNMI006330</t>
  </si>
  <si>
    <t>GNMI006320</t>
  </si>
  <si>
    <t>FR7642109</t>
  </si>
  <si>
    <t>Robert Coman</t>
  </si>
  <si>
    <t>G000000627</t>
  </si>
  <si>
    <t>FR7645020</t>
  </si>
  <si>
    <t xml:space="preserve">CLFF_1000$$$DE10GM8401 </t>
  </si>
  <si>
    <t xml:space="preserve">CNOW_7210$$$0000057021 </t>
  </si>
  <si>
    <t xml:space="preserve">CNOW_7210$$$0024069015 </t>
  </si>
  <si>
    <t>CNOW_7210$$$0024069013</t>
  </si>
  <si>
    <t>CNOW_7210$$$0000269011</t>
  </si>
  <si>
    <t>CNOW_7210$$$0000269012</t>
  </si>
  <si>
    <t>CNOW_7210$$$0024069014</t>
  </si>
  <si>
    <t>L000013452</t>
  </si>
  <si>
    <t>FR7648582</t>
  </si>
  <si>
    <t>FR7653134</t>
  </si>
  <si>
    <t>CEMERAL_70006502993A15</t>
  </si>
  <si>
    <t>CLFF_1000$$$NL50GPO180</t>
  </si>
  <si>
    <t>CTEMPLA_1000MX10501000</t>
  </si>
  <si>
    <t>P000000742</t>
  </si>
  <si>
    <t>G000000055</t>
  </si>
  <si>
    <t>FR7659528</t>
  </si>
  <si>
    <t>FR7659713</t>
  </si>
  <si>
    <t>PLEAN_X310181TN5010200 bavencio promotionnel materiel</t>
  </si>
  <si>
    <t>PLEAN_X310181TN5013201 BAVENCIO 25</t>
  </si>
  <si>
    <t>PLEAN_X310201MA5013217 Impression tissu stand parapluie</t>
  </si>
  <si>
    <t>PLEAN_X310201TN5030200 Submission fees Algeria</t>
  </si>
  <si>
    <t>PLEAN_X310301MA5010200 Matériel promotionnel Diabetes</t>
  </si>
  <si>
    <t>PLEAN_X310301TN5010211 Material Promotionnel DZ (Fees submissio</t>
  </si>
  <si>
    <t>PLEAN_X310301TN5013217 Diabet Congres et journées scientifiques</t>
  </si>
  <si>
    <t>PLEAN_X310511MA5013212 Congrès SMASEP</t>
  </si>
  <si>
    <t>PLEAN_X310201AE5015201 SP GAP OTHER-AE-FERT</t>
  </si>
  <si>
    <t>PLEAN_X310201MA5013210 Amicale Meknes (MA50)</t>
  </si>
  <si>
    <t>PLEAN_X310201MA5015201 MA Local regulatory  fertility</t>
  </si>
  <si>
    <t>PLEAN_X310201TN5010214 promotional material fertility morocco</t>
  </si>
  <si>
    <t>PLEAN_X310201TN5010215 Promortional material fertility Algeria</t>
  </si>
  <si>
    <t>PLEAN_X310201TN5010216 Promotional material TN</t>
  </si>
  <si>
    <t>PLEAN_X310201TN6013219 Journée Scientifique clinique les Jasmin</t>
  </si>
  <si>
    <t>PLEAN_X310201TN6015202 Projet khrouf conversion stylos</t>
  </si>
  <si>
    <t>PLEAN_X310301AE5015205 SP GAP OTHER-BH-DIAB</t>
  </si>
  <si>
    <t>PLEAN_X310301AE5015220 SP PROM OTHERS-EGM-Diab Promo</t>
  </si>
  <si>
    <t>PLEAN_X310301AE5030514 SP REG-FS-DIAB</t>
  </si>
  <si>
    <t>PLEAN_X310301MA5013202 Sponsoring Journées scientifiques diabet</t>
  </si>
  <si>
    <t>PLEAN_X310301MA5015201 MA Local regulatory  Diabetes</t>
  </si>
  <si>
    <t>PLEAN_X310301TN5010209 Promotional Material MO</t>
  </si>
  <si>
    <t>PLEAN_X310301TN5010210 Material Promotionnel TN</t>
  </si>
  <si>
    <t>PLEAN_X310301TN5010212 Material Promotionnel DZ</t>
  </si>
  <si>
    <t>PLEAN_X310401AE5011201 SP ADVT-AE-ENDO</t>
  </si>
  <si>
    <t>PLEAN_X310401AE5030501 SP REG-FS-ENDO</t>
  </si>
  <si>
    <t>PLEAN_X310401MA5013201 Congrès Table ronde Staff Saizen</t>
  </si>
  <si>
    <t>PLEAN_X310401MA5015201 MA Local regulatory endocrinology</t>
  </si>
  <si>
    <t>PLEAN_X310401TN5013201 Congres &amp; events</t>
  </si>
  <si>
    <t>PLEAN_X310401TN5013202 Congres &amp; journées Endocrinolgie</t>
  </si>
  <si>
    <t>PLEAN_X310401TN5013203 Congrès Saizen MA50</t>
  </si>
  <si>
    <t>PLEAN_X310511AE5010205 SP PROM MAT-QA-MAVEN</t>
  </si>
  <si>
    <t>PLEAN_X310511AE5015201 SP PROM OTHERS-AE-MAVEN</t>
  </si>
  <si>
    <t>PLEAN_X310511MA5013200 MS Master Forum Mavenclad (MA50)</t>
  </si>
  <si>
    <t>PLEAN_X310511MA5013219 PanArab speaker fees</t>
  </si>
  <si>
    <t>PLEAN_X310511MA5013220 Sponsoring Merck Event Maroc</t>
  </si>
  <si>
    <t>PLEAN_X310511MA5015203 MA Local regulatory  N&amp;I</t>
  </si>
  <si>
    <t>PLEAN_X310511TN5013229 PAN arab expenses</t>
  </si>
  <si>
    <t>PLEAN_X310511TN6013206 Maven expert Tunisia</t>
  </si>
  <si>
    <t>H000002966</t>
  </si>
  <si>
    <t>FR7665415</t>
  </si>
  <si>
    <t>CEMERAL_700061019909BF</t>
  </si>
  <si>
    <t>CLFF_VMCA$$$DE10TM4000</t>
  </si>
  <si>
    <t>CFLTFLE_11030000000520</t>
  </si>
  <si>
    <t>CLFF_1000$$$AE50GIT02C</t>
  </si>
  <si>
    <t>CLFF_1000$$$SG09GBT020</t>
  </si>
  <si>
    <t>CTEMPEU_1000PT10GIT925</t>
  </si>
  <si>
    <t>CNOW_7210$$$0000010296</t>
  </si>
  <si>
    <t>CLFF_7210$$$2128GIT020</t>
  </si>
  <si>
    <t>CLFF_VMCA$$$US10GIT034</t>
  </si>
  <si>
    <t>CLFF_VMCA$$$US10GIT048</t>
  </si>
  <si>
    <t>L000013894</t>
  </si>
  <si>
    <t>P000000768</t>
  </si>
  <si>
    <t>FR7669094</t>
  </si>
  <si>
    <t>FR7672089</t>
  </si>
  <si>
    <t>P000000667</t>
  </si>
  <si>
    <t>P000000601</t>
  </si>
  <si>
    <t>P000000616</t>
  </si>
  <si>
    <t>P000000610</t>
  </si>
  <si>
    <t>G000000093</t>
  </si>
  <si>
    <t>P000000756</t>
  </si>
  <si>
    <t>P000000751</t>
  </si>
  <si>
    <t>P000000421</t>
  </si>
  <si>
    <t>P000000420</t>
  </si>
  <si>
    <t>P000000424</t>
  </si>
  <si>
    <t>P000000175</t>
  </si>
  <si>
    <t>P000001270</t>
  </si>
  <si>
    <t>P000000612</t>
  </si>
  <si>
    <t>P000001050</t>
  </si>
  <si>
    <t>G000001177</t>
  </si>
  <si>
    <t>O000000006</t>
  </si>
  <si>
    <t>P000000556</t>
  </si>
  <si>
    <t>P000001048</t>
  </si>
  <si>
    <t>G000000553</t>
  </si>
  <si>
    <t>P000000041</t>
  </si>
  <si>
    <t>G000000131</t>
  </si>
  <si>
    <t>P000000755</t>
  </si>
  <si>
    <t>P000000170</t>
  </si>
  <si>
    <t>P000000757</t>
  </si>
  <si>
    <t>P000000173</t>
  </si>
  <si>
    <t>P000000174</t>
  </si>
  <si>
    <t>P000000177</t>
  </si>
  <si>
    <t>P000000794</t>
  </si>
  <si>
    <t>P000000176</t>
  </si>
  <si>
    <t>P000000171</t>
  </si>
  <si>
    <t>P000000317</t>
  </si>
  <si>
    <t>P000000172</t>
  </si>
  <si>
    <t>P000000447</t>
  </si>
  <si>
    <t>P000000666</t>
  </si>
  <si>
    <t>P000000448</t>
  </si>
  <si>
    <t>P000000565</t>
  </si>
  <si>
    <t>P000000958</t>
  </si>
  <si>
    <t>G000000096</t>
  </si>
  <si>
    <t>P000001160</t>
  </si>
  <si>
    <t>FR7674797</t>
  </si>
  <si>
    <t>FR7680650</t>
  </si>
  <si>
    <t>CLFF_1000$$$JP01R0S743</t>
  </si>
  <si>
    <t>P000000769</t>
  </si>
  <si>
    <t>CLFF_1000$$$CNS1OF0144</t>
  </si>
  <si>
    <t>CLFF_1000$$$DES1OFCX20</t>
  </si>
  <si>
    <t>CLFF_1000$$$DES1OFCX21</t>
  </si>
  <si>
    <t>CLFF_1000$$$DES1Z01000</t>
  </si>
  <si>
    <t>CLFF_1000$$$KRS1Z01000</t>
  </si>
  <si>
    <t>CLFF_1000$$$MYS1OF0110</t>
  </si>
  <si>
    <t>CLFF_1000$$$MYS1Z01000</t>
  </si>
  <si>
    <t>CLFF_1000$$$THS1OF0110</t>
  </si>
  <si>
    <t>CLFF_1000$$$USS1Z01000</t>
  </si>
  <si>
    <t>CLFF_1000$$$CNS1Z01000</t>
  </si>
  <si>
    <t>CLFF_1000$$$THS1Z01000</t>
  </si>
  <si>
    <t>FR7685524</t>
  </si>
  <si>
    <t>FR7697758</t>
  </si>
  <si>
    <t>CTEMPEU_1000PL80GMK003</t>
  </si>
  <si>
    <t>CEMERAL_70006302992006 Compliance</t>
  </si>
  <si>
    <t>CEMERAL_70007001993015 MESI REG MGF-CORPORATE COMPLIANCE</t>
  </si>
  <si>
    <t>CFLTFLE_1787HQ50GLECF0 MGF_Compliance_NORTH WEST</t>
  </si>
  <si>
    <t>CLFF_1000$$$BE50GLE300 LE - Group Legal &amp; Compliance BE50</t>
  </si>
  <si>
    <t>CLFF_1000$$$JP01GLE302 Compliance</t>
  </si>
  <si>
    <t>CLFF_1000$$$JP02GLE302 Compliance</t>
  </si>
  <si>
    <t>CLFF_1000$$$KR02GLE005 LE-C Group Compliance</t>
  </si>
  <si>
    <t>CLFF_1000$$$TW02GLE006 Group Compliance</t>
  </si>
  <si>
    <t>CLFF_1000$$$TW03GLE006 Group Compliance</t>
  </si>
  <si>
    <t>CLFF_7210$$$2057GLE006 Compliance at 2057</t>
  </si>
  <si>
    <t>CLFF_KR00$$$KR03GLE005 LE-C Group Compliance</t>
  </si>
  <si>
    <t>CLFF_VMCA$$$TW10GLE106 MGF-Group Compliance</t>
  </si>
  <si>
    <t>CLFF_VMCA$$$TW91GLE106 MGF-Group Compliance</t>
  </si>
  <si>
    <t>CNOW_ROW$$$$0000008820 JP Compliance</t>
  </si>
  <si>
    <t>CSCALA_1820$A806</t>
  </si>
  <si>
    <t>CTEMPLA_1000CO10100025 REGIONAL COMPLIANCE OFFICER</t>
  </si>
  <si>
    <t>CTEMPLA_1000MX31170000 Compliance</t>
  </si>
  <si>
    <t>FR7700603</t>
  </si>
  <si>
    <t>G000001105</t>
  </si>
  <si>
    <t>G000000432</t>
  </si>
  <si>
    <t>FR7700650</t>
  </si>
  <si>
    <t>FR7701239</t>
  </si>
  <si>
    <t>FR7702114</t>
  </si>
  <si>
    <t>GNMI000720</t>
  </si>
  <si>
    <t>CLFF_1000$$$DE10620801</t>
  </si>
  <si>
    <t>CSCALA_1022$ITX</t>
  </si>
  <si>
    <t>H000004403</t>
  </si>
  <si>
    <t>FR7705866</t>
  </si>
  <si>
    <t>Julistair Malto</t>
  </si>
  <si>
    <t>P000001323</t>
  </si>
  <si>
    <t>P000001322</t>
  </si>
  <si>
    <t>FR7705980</t>
  </si>
  <si>
    <t>CLFF_VMCA$$$US10O05003</t>
  </si>
  <si>
    <t>CLFF_VMCA$$$KR07O05003</t>
  </si>
  <si>
    <t>CLFF_VMCA$$$CN10O05003</t>
  </si>
  <si>
    <t>N128315000000000000 ICON 1283 VS 1500</t>
  </si>
  <si>
    <t xml:space="preserve">CLFF_VMCA$$$TW91PD1010 KAO containers assm (RT) </t>
  </si>
  <si>
    <t xml:space="preserve">CLFF_VMCA$$$US10C05025 CLOSE-Thin Film Marketing and GPM </t>
  </si>
  <si>
    <t xml:space="preserve">CLFF_VMCA$$$KR15C01027 TF Project Costs </t>
  </si>
  <si>
    <t xml:space="preserve">CLFF_VMCA$$$KR16C01027 TF Project Costs </t>
  </si>
  <si>
    <t xml:space="preserve">CLFF_VMCA$$$CN09C05003 AM Selling </t>
  </si>
  <si>
    <t>CLFF_VMCA$$$NL10C05001 AM Selling</t>
  </si>
  <si>
    <t>CLFF_VMCA$$$MY10C05000 AM Selling</t>
  </si>
  <si>
    <t>CLFF_1000$$$TW02C00311 Sales PM-A</t>
  </si>
  <si>
    <t>P000001205</t>
  </si>
  <si>
    <t>P000000801</t>
  </si>
  <si>
    <t>P000000533</t>
  </si>
  <si>
    <t>P000000802</t>
  </si>
  <si>
    <t>P000000829</t>
  </si>
  <si>
    <t>P000000534</t>
  </si>
  <si>
    <t>P000000954</t>
  </si>
  <si>
    <t>FR7721947</t>
  </si>
  <si>
    <t>CLFF_1000$$$CN60TANA01</t>
  </si>
  <si>
    <t>H000000572</t>
  </si>
  <si>
    <t>Yanhua Sha</t>
  </si>
  <si>
    <t>FR7735014</t>
  </si>
  <si>
    <t>P000000472</t>
  </si>
  <si>
    <t>CEMERAL_70007001058600</t>
  </si>
  <si>
    <t>PNEXT_CPRJ-98202500093</t>
  </si>
  <si>
    <t>PNEXT_CON_00012896TTO</t>
  </si>
  <si>
    <t>CNOW_7210$$$P139595865</t>
  </si>
  <si>
    <t>CFLTFLE_22450000002765</t>
  </si>
  <si>
    <t>PQUATRO_T000346DE0412000</t>
  </si>
  <si>
    <t>CORAERP_MMOR1975.6981</t>
  </si>
  <si>
    <t>L000012522</t>
  </si>
  <si>
    <t>L000013823</t>
  </si>
  <si>
    <t>CPRJ-9820250005 PFIZER SG6</t>
  </si>
  <si>
    <t>CPRJ-9820250006 AMGEN P65</t>
  </si>
  <si>
    <t>FR7742424</t>
  </si>
  <si>
    <t>T00034600000</t>
  </si>
  <si>
    <t>PLEAN_X310174NL5130208 BAV FRA M&amp;S OTH Bavencio Maintenance</t>
  </si>
  <si>
    <t>PLEAN_X310504NL5130201 REB FRA M&amp;S OTH Annual Registration Fees</t>
  </si>
  <si>
    <t>PLEAN_X310514NL5130207 MAV FRA M&amp;S OTH Mavenclad Maintenance</t>
  </si>
  <si>
    <t>ILEAN_006010000769 CH65IC1954AO3610405000</t>
  </si>
  <si>
    <t>ILEAN_006010001160 CH65IC1277AO3610405000</t>
  </si>
  <si>
    <t>ILEAN_001050000802 CH60IC_1685_3121050000_FB2_variousBF</t>
  </si>
  <si>
    <t>ILEAN_006010000765 CH65IC1261OX3610607800</t>
  </si>
  <si>
    <t>ILEAN_006010000766 CH65IC1401OX3610607800</t>
  </si>
  <si>
    <t>ILEAN_006010000768 CH65IC1881OX3610607800</t>
  </si>
  <si>
    <t>ITEMPLA_001520000288 CO10 - I/O for 99  Recovery Depreciation</t>
  </si>
  <si>
    <t>ILEAN_006010001440 CH50IC1401OX3610607800</t>
  </si>
  <si>
    <t>ITEMPEU_001500002380 Capital losses tangilble</t>
  </si>
  <si>
    <t>ITEMPLA_001520000132 MX10 Asset retirement losses</t>
  </si>
  <si>
    <t>ITEMPLA_001520000111 Asset retirement Losses</t>
  </si>
  <si>
    <t>FR7743836</t>
  </si>
  <si>
    <t>FR7743953</t>
  </si>
  <si>
    <t>Michelle Xu</t>
  </si>
  <si>
    <t>I am unable to map these for some reason</t>
  </si>
  <si>
    <t>Someone is locking MDGF currently</t>
  </si>
  <si>
    <t>CLFF_1000$$$CH50L95005</t>
  </si>
  <si>
    <t>CLFF_1000$$$CH50L95009</t>
  </si>
  <si>
    <t>CLFF_1000$$$DE50OF0124</t>
  </si>
  <si>
    <t>FR7754101</t>
  </si>
  <si>
    <t>CLFF_1000$$$DE10O05003</t>
  </si>
  <si>
    <t>CNOW_7210$$$0000010272</t>
  </si>
  <si>
    <t>T00028600000</t>
  </si>
  <si>
    <t>CLFF_1000$$$CN01O05001</t>
  </si>
  <si>
    <t>PFLTFLE_EMDPNMCP02</t>
  </si>
  <si>
    <t>PFLTFLE_EMDPLWFM01</t>
  </si>
  <si>
    <t>PQUATRO_D001245DE0401000000</t>
  </si>
  <si>
    <t>PQUATRO_D001251DE0401000000</t>
  </si>
  <si>
    <t>PQUATRO_D001253DE0401000000</t>
  </si>
  <si>
    <t>CFLTFLE_11030000000310</t>
  </si>
  <si>
    <t>CFLTFLE_11030000000320</t>
  </si>
  <si>
    <t>P000001321</t>
  </si>
  <si>
    <t>P000000677</t>
  </si>
  <si>
    <t>P000001161</t>
  </si>
  <si>
    <t>P000000676</t>
  </si>
  <si>
    <t>P000000678</t>
  </si>
  <si>
    <t>P000000679</t>
  </si>
  <si>
    <t>P000000673</t>
  </si>
  <si>
    <t>D00124500000000</t>
  </si>
  <si>
    <t>D00125100000000</t>
  </si>
  <si>
    <t>D00125300000000</t>
  </si>
  <si>
    <t>CLFF_1000$$$DE10Z01000 Automatic account assignm</t>
  </si>
  <si>
    <t>CLFF_1000$$$CN90Z01000 Finance technical cost center</t>
  </si>
  <si>
    <t>CLFF_1000$$$ES50Z01000 Automatic account assignment via OKB9</t>
  </si>
  <si>
    <t>CLFF_1000$$$CN03Z01000 OKB9 Cost Center and accounting CC</t>
  </si>
  <si>
    <t>CLFF_1000$$$IN01Z01000 OKB9 Cost Center</t>
  </si>
  <si>
    <t>CLFF_1000$$$SG09Z01000 OKB9 Cost Center</t>
  </si>
  <si>
    <t>CLFF_1000$$$CN01Z01000 OKB9 Cost Center</t>
  </si>
  <si>
    <t>CLFF_1000$$$DE04Z01000 Automatic account assignment via OKB9</t>
  </si>
  <si>
    <t>CLFF_KR00$$$KR03Z01000 OKB9 Cost Center</t>
  </si>
  <si>
    <t>CLFF_1000$$$US01Z01000 OKB9 Cost Center</t>
  </si>
  <si>
    <t>CLFF_1000$$$TW02Z01000 OKB9 Cost Center</t>
  </si>
  <si>
    <t>FR7761858</t>
  </si>
  <si>
    <t>G000000242</t>
  </si>
  <si>
    <t>G000000759</t>
  </si>
  <si>
    <t>H000000887</t>
  </si>
  <si>
    <t>P000000665</t>
  </si>
  <si>
    <t>k300</t>
  </si>
  <si>
    <t>CEMERAL_70007001581585</t>
  </si>
  <si>
    <t>Unable to get mapped/ticket locked</t>
  </si>
  <si>
    <t>FR7774847</t>
  </si>
  <si>
    <t xml:space="preserve">CORAERP_MMOR1975.3541 </t>
  </si>
  <si>
    <t>L000006987</t>
  </si>
  <si>
    <t>D30013500000000</t>
  </si>
  <si>
    <t>FR7775027</t>
  </si>
  <si>
    <t>CEMERAL_70007001011GPA GPA Function Singapore</t>
  </si>
  <si>
    <t>CLFF_1000$$$BE50C00901 Global Policy &amp; External Affairs</t>
  </si>
  <si>
    <t>CLFF_1000$$$BE50C00912 Global GPA EU External Investments</t>
  </si>
  <si>
    <t>CLFF_1000$$$BE50C00921 Patient Insights &amp; Advocacy, EU Oncology</t>
  </si>
  <si>
    <t>CLFF_1000$$$CN50GCA002 CA-Healthcare</t>
  </si>
  <si>
    <t>CLFF_1000$$$CN50GCA004 Global GPA CM&amp;E</t>
  </si>
  <si>
    <t>CLFF_1000$$$CN50GCA005 Global GPA Fertility</t>
  </si>
  <si>
    <t>CLFF_1000$$$CN50GCA012 CA-Global Patient Advocacy team</t>
  </si>
  <si>
    <t>CLFF_1000$$$CN90GCA002 CA-Healthcare</t>
  </si>
  <si>
    <t>CLFF_1000$$$CN90GCA004 CA-PM</t>
  </si>
  <si>
    <t>CLFF_1000$$$CN90GCA005 Global GPA Fertility 1100</t>
  </si>
  <si>
    <t>CLFF_1000$$$CN90GCA012 CA-Global Patient Advocacy team</t>
  </si>
  <si>
    <t>CLFF_1000$$$CN90GCA022 CA-global Innovative medicines</t>
  </si>
  <si>
    <t>CLFF_1000$$$CN90GCA032 CA-global core medicines</t>
  </si>
  <si>
    <t>CLFF_1000$$$DE10694000 CA Healthcare</t>
  </si>
  <si>
    <t>CLFF_1000$$$DE50C00011 Membership fees</t>
  </si>
  <si>
    <t>CLFF_1000$$$DE50C06595 Memberships</t>
  </si>
  <si>
    <t>CLFF_1000$$$DE50C06886 Business Operations</t>
  </si>
  <si>
    <t>CLFF_1000$$$ES50L40182 Klinnert Isabel(1100)</t>
  </si>
  <si>
    <t>CLFF_1000$$$VN50C00024 Global External Investment-Fertility</t>
  </si>
  <si>
    <t>CPHOENX_01010000536110 MS - Membership fees</t>
  </si>
  <si>
    <t>CPHOENX_01010000659500 Merck Serono - Memberships</t>
  </si>
  <si>
    <t>CPHOENX_01010000694000 XXXNEO-CA Healthcare</t>
  </si>
  <si>
    <t>CTEMPEU_1000FR40399015 GPA France</t>
  </si>
  <si>
    <t>CTEMPEU_1000GB10005888 Internal Sales Services</t>
  </si>
  <si>
    <t>CTEMPNA_1000US20GAPEXT GA&amp;P - CMSO - External</t>
  </si>
  <si>
    <t>CTEMPNA_1000US20GPA001 GPA Head Office</t>
  </si>
  <si>
    <t>CTEMPNA_1000US20GPA002 GPA Oncology</t>
  </si>
  <si>
    <t>CTEMPNA_1000US20GPA003 GPA N&amp;I</t>
  </si>
  <si>
    <t>CTEMPNA_1000US20GPA005 GPA Strategy</t>
  </si>
  <si>
    <t>CTEMPNA_1000US20GPAFED GPA Federal Lobbying</t>
  </si>
  <si>
    <t>FH000000164_OO GP-Government &amp; Public Affairs- Dummy Ob</t>
  </si>
  <si>
    <t>FX31090400000 Divisional CO Franchise</t>
  </si>
  <si>
    <t>H000000164_OO GP-Government &amp; Public Affairs- Dummy Ob</t>
  </si>
  <si>
    <t>OH000000164_I GP-Government &amp; Public Affairs (direct input)</t>
  </si>
  <si>
    <t>PLEAN_X310184DE5002540 GPA Oncology</t>
  </si>
  <si>
    <t>PLEAN_X310201CH6802037 ESHRE global F55 costs-1500 Germany ISS</t>
  </si>
  <si>
    <t>PLEAN_X310204DE5002535 FD FRA IM Corp Healthcare</t>
  </si>
  <si>
    <t>PLEAN_X310204DE5002541 GPA Fertility</t>
  </si>
  <si>
    <t>PLEAN_X310511CH6802062 AAN Global Costs ISS F55</t>
  </si>
  <si>
    <t>PLEAN_X310904DE5002535 EU GPA</t>
  </si>
  <si>
    <t>PLEAN_X310904DE5002536 GPEA</t>
  </si>
  <si>
    <t>PLEAN_X310904DE5002537 GSP</t>
  </si>
  <si>
    <t>PLEAN_X310909DE5002024 Patient Advocacy</t>
  </si>
  <si>
    <t>X31090400000 Divisional CO Franchise</t>
  </si>
  <si>
    <t>FR7778538</t>
  </si>
  <si>
    <t>H000004404</t>
  </si>
  <si>
    <t>H000004406</t>
  </si>
  <si>
    <t>H000004405</t>
  </si>
  <si>
    <t>CTEMPNA_1000US20GPA004 Patient Insights &amp; Advocacy</t>
  </si>
  <si>
    <t>CNOW_7210$$$0000040506 AA CIA</t>
  </si>
  <si>
    <t>CNOW_7210$$$0000056226 AA Instrumental Analysis - CH</t>
  </si>
  <si>
    <t>FR7781427</t>
  </si>
  <si>
    <t>L000005228</t>
  </si>
  <si>
    <t>L000005227</t>
  </si>
  <si>
    <t>PQUATRO_D001298DE0401000000 AMI dense low-k</t>
  </si>
  <si>
    <t>PQUATRO_D001307DE0413000000 SN-560 and SN-952 Substance Supply</t>
  </si>
  <si>
    <t>PVRSM_DP000021USA1000000 ZrCl4</t>
  </si>
  <si>
    <t>PFLTFLE_EMDPTFOM17 CDP215-Ni Metallization Devpt</t>
  </si>
  <si>
    <t>PFLTFLE_EMDPTFOS08 CDP 217 Low Stress High Quality SiO2</t>
  </si>
  <si>
    <t>PFLTFLE_EMDPTWPK01 Twin Peaks Vendor Services - Timesheet</t>
  </si>
  <si>
    <t>CNOW_7210$$$0000040181 R&amp;D Electronics Reporting - Opal</t>
  </si>
  <si>
    <t>PQUATRO_D001294DE0404000000 Genesis Expense PAT</t>
  </si>
  <si>
    <t>PQUATRO_D001296DE0413000000 TPS-3000</t>
  </si>
  <si>
    <t>PQUATRO_D001299JP0201000000 XXXHigh thermal and thick film SOC</t>
  </si>
  <si>
    <t>PQUATRO_D001299JP0296000000 XXXHigh thermal and thick film SOC</t>
  </si>
  <si>
    <t>PQUATRO_D001304JP0201000000 PFAS-Free TARC PAT</t>
  </si>
  <si>
    <t>PQUATRO_D001305US0101000000 Low Defect on Low-K for CuB</t>
  </si>
  <si>
    <t>PQUATRO_D001294DE0403000000 Genesis Expense SG</t>
  </si>
  <si>
    <t>FR7785982</t>
  </si>
  <si>
    <t>FR7804042</t>
  </si>
  <si>
    <t>CNOW_7210$$$0000056338</t>
  </si>
  <si>
    <t>G000000704</t>
  </si>
  <si>
    <t>FR7811994</t>
  </si>
  <si>
    <t>CLFF_VMCA$$$KR07O05003 EL IT/OT 2331</t>
  </si>
  <si>
    <t>CLFF_VMCA$$$CN10O05003 EL IT/OT 2240</t>
  </si>
  <si>
    <t>CNOW_7210$$$0000051733 IT-PR Research &amp; Dev'l</t>
  </si>
  <si>
    <t>FR7812109</t>
  </si>
  <si>
    <t>f0</t>
  </si>
  <si>
    <t>FR7823194</t>
  </si>
  <si>
    <t>CFLTFLE_1075IT107503</t>
  </si>
  <si>
    <t>CLFF_1000$$$DE10695300</t>
  </si>
  <si>
    <t>CLFF_7210$$$1937OF0002</t>
  </si>
  <si>
    <t>CNOW_7210$$$0000052357</t>
  </si>
  <si>
    <t>CLFF_VMCA$$$US10GIT050</t>
  </si>
  <si>
    <t>CORAERP_MMOR1975.9083</t>
  </si>
  <si>
    <t>CNOW_7210$$$0000010482</t>
  </si>
  <si>
    <t>CNOW_7210$$$0000052358</t>
  </si>
  <si>
    <t>G000001441</t>
  </si>
  <si>
    <t>G000001444</t>
  </si>
  <si>
    <t>G000001442</t>
  </si>
  <si>
    <t>L000013395</t>
  </si>
  <si>
    <t>G000001443</t>
  </si>
  <si>
    <t>G000001234</t>
  </si>
  <si>
    <t>FR7823548</t>
  </si>
  <si>
    <t>CTEMPLA_1000BR10500200 EHS Alphaville</t>
  </si>
  <si>
    <t>CORAERP_MMOR1945.9120 EU Facilities 3</t>
  </si>
  <si>
    <t>CLFF_7210$$$2034L81000 ES40 LF ADM</t>
  </si>
  <si>
    <t>CNOW_7210$$$0000058615 EHS Sigma Aldrich São Paulo</t>
  </si>
  <si>
    <t>CNOW_7210$$$0000056343 AEM Strategy &amp;Transformation Projects</t>
  </si>
  <si>
    <t>CORAERP_MMOR1945.2539 Strategy</t>
  </si>
  <si>
    <t>CORAERP_MMOR1945.2239 Proj &amp; Eng - Central Europe</t>
  </si>
  <si>
    <t>CPHOENX_01010000604453 LS-SC-EC Proj &amp; Eng-CentralEur</t>
  </si>
  <si>
    <t>CLFF_1000$$$DE10B04453 LS-SC-EC Proj&amp;Eng-CE</t>
  </si>
  <si>
    <t>CLFF_1000$$$DE10B14453 LS-SC-EC Proj&amp;Eng-CE</t>
  </si>
  <si>
    <t>CNOW_7210$$$0000057019 Project Control</t>
  </si>
  <si>
    <t>CORAERP_MMOR1945.5169 Molsheim E&amp;T</t>
  </si>
  <si>
    <t>CPHOENX_01010000664454 LS-SC-EAAC SME Global Automation CE</t>
  </si>
  <si>
    <t>CEMERAL_70006101TM0100 E&amp;T Proj &amp; Eng - Central Europe</t>
  </si>
  <si>
    <t>CNOW_7210$$$0000040193 Proj &amp; Eng - USA</t>
  </si>
  <si>
    <t>CLFF_7210$$$2102TMCZ90 CHK - Cherokee TechOps Cluster Personnel</t>
  </si>
  <si>
    <t>L000008037</t>
  </si>
  <si>
    <t>L000005965</t>
  </si>
  <si>
    <t>L000012735</t>
  </si>
  <si>
    <t>L000013454</t>
  </si>
  <si>
    <t>L000013866</t>
  </si>
  <si>
    <t>L000013867</t>
  </si>
  <si>
    <t>FR7823579</t>
  </si>
  <si>
    <t>CLFF_7210$$$1937TMCZ95 LS-OOS S&amp;I Strat &amp; Transf.</t>
  </si>
  <si>
    <t>L000013453</t>
  </si>
  <si>
    <t>P000000760</t>
  </si>
  <si>
    <t>CNOW_7210$$$0000056428</t>
  </si>
  <si>
    <t>FR7825748</t>
  </si>
  <si>
    <t>CTEMPEU_1000GB10003254 M157883</t>
  </si>
  <si>
    <t>FR7831957</t>
  </si>
  <si>
    <t>CORAERP_MMOR1945.2450 2450 LS-SC - EW Global Eng and SMEs</t>
  </si>
  <si>
    <t>CNOW_7210$$$0000057021 LS-SC-EW 2047_Global Engineering &amp;SMEs</t>
  </si>
  <si>
    <t>FR7837035</t>
  </si>
  <si>
    <t>FR7837365</t>
  </si>
  <si>
    <t>CNOW_7210$$$0000040062</t>
  </si>
  <si>
    <t>CNOW_7210$$$0000040063</t>
  </si>
  <si>
    <t>CNOW_7210$$$0000040064</t>
  </si>
  <si>
    <t>CNOW_7210$$$0000040065</t>
  </si>
  <si>
    <t>CNOW_7210$$$0000040055</t>
  </si>
  <si>
    <t>CNOW_7210$$$0000052361</t>
  </si>
  <si>
    <t>CNOW_7210$$$0024050028</t>
  </si>
  <si>
    <t>CNOW_7210$$$0000040056</t>
  </si>
  <si>
    <t>CNOW_7210$$$0000057293</t>
  </si>
  <si>
    <t>CNOW_7210$$$0000040057</t>
  </si>
  <si>
    <t>CNOW_7210$$$0000000314</t>
  </si>
  <si>
    <t>CNOW_7210$$$0000059970</t>
  </si>
  <si>
    <t>L000008415</t>
  </si>
  <si>
    <t>L000007219</t>
  </si>
  <si>
    <t>L000009814</t>
  </si>
  <si>
    <t>P000000427</t>
  </si>
  <si>
    <t>CSCALA_1022$ITN_T03</t>
  </si>
  <si>
    <t>CSCALA_1826$832_SBC</t>
  </si>
  <si>
    <t>FR7849069</t>
  </si>
  <si>
    <t>L000009278</t>
  </si>
  <si>
    <t>CLFF_1000$$$AE50R0GR12</t>
  </si>
  <si>
    <t>CEMERAL_70007001581191</t>
  </si>
  <si>
    <t>L000008464</t>
  </si>
  <si>
    <t>FR7872002</t>
  </si>
  <si>
    <t>CLFF_1000$$$FI50R00004 Regulatory Head</t>
  </si>
  <si>
    <t>CLFF_1000$$$FI50R00009 Nordic Drug safety</t>
  </si>
  <si>
    <t>H000000803</t>
  </si>
  <si>
    <t>FR7869671</t>
  </si>
  <si>
    <t>FR7873614</t>
  </si>
  <si>
    <t>CNOW_7210$$$0000056965</t>
  </si>
  <si>
    <t>FR7873509</t>
  </si>
  <si>
    <t>CPHOENX_01010000111111</t>
  </si>
  <si>
    <t>RD230009 HPD8301 (Abrasive) for GF SoN Slurry</t>
  </si>
  <si>
    <t>DP000024000000 DP1316 Cu bulk slurry for Micron</t>
  </si>
  <si>
    <t>D00130900000000 Selective SiGe etching for GAA</t>
  </si>
  <si>
    <t>D00131100000000 DSA LS Rectification</t>
  </si>
  <si>
    <t>D00131200000000 KrF Positive-tone Patterning</t>
  </si>
  <si>
    <t>D00131400000000 AP-SCR(R) 804 (Roswell)</t>
  </si>
  <si>
    <t>D00131500000000 SOD Productivity Project Cost Collector</t>
  </si>
  <si>
    <t>D00131600000000 SOD Siloxane and Adv. Pack. Incubator</t>
  </si>
  <si>
    <t>D00131700000000 Polysilazane SOD Incubator</t>
  </si>
  <si>
    <t>D00131800000000 Polar Bear iLine PD 2025 PAG 7</t>
  </si>
  <si>
    <t>D00133200000000 Poly(methyl)phenylsilane feasibility</t>
  </si>
  <si>
    <t>D00133300000000 MoOBUT</t>
  </si>
  <si>
    <t>FR7876275</t>
  </si>
  <si>
    <t>L000011379</t>
  </si>
  <si>
    <t>on track</t>
  </si>
  <si>
    <t>FR7886476</t>
  </si>
  <si>
    <t>CLFF_7210$$$2053R00001 HPLC AA R&amp;D</t>
  </si>
  <si>
    <t>CLFF_7210$$$2123R00004 LSC R&amp;D Development</t>
  </si>
  <si>
    <t>CTEMPEU_1000AT40RD0001 Workflows R&amp;D</t>
  </si>
  <si>
    <t>CNOW_7210$$$0000006025 R&amp;D Cerilliant Workflow Team</t>
  </si>
  <si>
    <t>L000009171</t>
  </si>
  <si>
    <t>FR7886442</t>
  </si>
  <si>
    <t>CNOW_7210$$$0000040057 Taunton Closure Exceptional 1 Time Costs</t>
  </si>
  <si>
    <t>FR7884815</t>
  </si>
  <si>
    <t>P000000240</t>
  </si>
  <si>
    <t>CLFF_1000$$$DE01TAWA03</t>
  </si>
  <si>
    <t>CLFF_1000$$$DE01TAWA04</t>
  </si>
  <si>
    <t>CLFF_1000$$$DE01TAWA10</t>
  </si>
  <si>
    <t>CLFF_1000$$$DE01TAWA20</t>
  </si>
  <si>
    <t>CLFF_1000$$$DE01TAWA31</t>
  </si>
  <si>
    <t>CLFF_1000$$$DE01TAWA32</t>
  </si>
  <si>
    <t>CLFF_1000$$$DE01TAWA40</t>
  </si>
  <si>
    <t>CLFF_1000$$$DE01TAWA50</t>
  </si>
  <si>
    <t>CLFF_1000$$$DE01TAWA53</t>
  </si>
  <si>
    <t>CLFF_1000$$$DE01TAWA61</t>
  </si>
  <si>
    <t>CLFF_1000$$$DE01TAWA62</t>
  </si>
  <si>
    <t>CLFF_1000$$$DE01TAWA63</t>
  </si>
  <si>
    <t>CLFF_1000$$$DE01TAWA64</t>
  </si>
  <si>
    <t>CLFF_1000$$$DE01TAWA70</t>
  </si>
  <si>
    <t>CLFF_1000$$$DE01TAWA73</t>
  </si>
  <si>
    <t>CLFF_1000$$$DE01TAWA74</t>
  </si>
  <si>
    <t>CLFF_1000$$$DE01TAWA80</t>
  </si>
  <si>
    <t>CLFF_1000$$$DE01TAWA84</t>
  </si>
  <si>
    <t>CLFF_1000$$$DE01TAWA90</t>
  </si>
  <si>
    <t>CLFF_1000$$$DE01TAWA93</t>
  </si>
  <si>
    <t>Paulina Ciepluch</t>
  </si>
  <si>
    <t>FR7881587</t>
  </si>
  <si>
    <t>H000004594</t>
  </si>
  <si>
    <t>H000004593</t>
  </si>
  <si>
    <t>H000004605</t>
  </si>
  <si>
    <t>CTEMPEU_1000PL10K01000</t>
  </si>
  <si>
    <t>CTEMPEU_1000PL10K02000</t>
  </si>
  <si>
    <t>CTEMPEU_1000PL10K03000</t>
  </si>
  <si>
    <t>CLFF_1000$$$JP03L3M303</t>
  </si>
  <si>
    <t>FR7891441</t>
  </si>
  <si>
    <t>Michiko Nakatani</t>
  </si>
  <si>
    <t>FR7896046</t>
  </si>
  <si>
    <t>CLFF_1000$$$DE01TQWI03 Freight Wiesbaden</t>
  </si>
  <si>
    <t>CLFF_1000$$$DE04TQHQ15 Outbound Freight 3rd Party Optronics</t>
  </si>
  <si>
    <t>CLFF_1000$$$DE04TQHQ16 Outbound Freight Interco Optronics</t>
  </si>
  <si>
    <t>CLFF_VMCA$$$DE10TM2000 DE10 Frt RelatedCost</t>
  </si>
  <si>
    <t>CLFF_VMCA$$$IL10TM2000 IL10 Frt RelatedCost1</t>
  </si>
  <si>
    <t>CLFF_VMCA$$$IT07TM2000 IT07 Freight Related Costs1</t>
  </si>
  <si>
    <t>CLFF_VMCA$$$NL10TM2000 NL10 Freight Related Costs1</t>
  </si>
  <si>
    <t>CPHOENX_01010000618200 Ausgangsfrachten PM (manuell)</t>
  </si>
  <si>
    <t>CPHOENX_01010000618210 Frachtnebenkosten PM (inkl. Rückholung)</t>
  </si>
  <si>
    <t>CPHOENX_01010000874100 Ausgangsfrachten HOH</t>
  </si>
  <si>
    <t>CLFF_VMCA$$$DE10TM4000 DE10 Customs/Duties</t>
  </si>
  <si>
    <t>CLFF_1000$$$DE01TKWI01 Incoming Goods Warehouse</t>
  </si>
  <si>
    <t>CLFF_1000$$$DE01TQWIGH Frankfurt 3P Warehouse</t>
  </si>
  <si>
    <t>CLFF_VMCA$$$DE10DB3600 Hamburg 3P Warehouse</t>
  </si>
  <si>
    <t>CLFF_VMCA$$$DE10TQ1001 Gernsheim Warehouse</t>
  </si>
  <si>
    <t>CLFF_VMCA$$$DE10TQ1002 ISO Containe Storage</t>
  </si>
  <si>
    <t>CLFF_VMCA$$$DE10TQ1003 Consignment Warehouses</t>
  </si>
  <si>
    <t>CLFF_VMCA$$$GB10TQ1000 Middlewich 3P Warehouse1</t>
  </si>
  <si>
    <t>CLFF_VMCA$$$IT07TQ1001 San Giuliano 3P Warehouse1</t>
  </si>
  <si>
    <t>CLFF_VMCA$$$IT07TQ1002 IT07 Other 3P Warehouses1</t>
  </si>
  <si>
    <t>CLFF_VMCA$$$NL10TQ1000 Zwindrecht Warehouse Costs1</t>
  </si>
  <si>
    <t>CLFF_1000$$$DE04TQHQ19 Transportation Management Darmstadt</t>
  </si>
  <si>
    <t>CLFF_1000$$$DE04TQHQ23 Europe Customer Fulfillment</t>
  </si>
  <si>
    <t>CLFF_VMCA$$$NL10TM3000 NL10 Transportation Team1</t>
  </si>
  <si>
    <t>FR7896681</t>
  </si>
  <si>
    <t>CFLTFLE_22760000891078</t>
  </si>
  <si>
    <t>P000001329</t>
  </si>
  <si>
    <t>P000001333</t>
  </si>
  <si>
    <t>P000001334</t>
  </si>
  <si>
    <t>G000001378</t>
  </si>
  <si>
    <t>L000005366</t>
  </si>
  <si>
    <t>FR7902593</t>
  </si>
  <si>
    <t>CFLTFLE_2152IMIPARVR01</t>
  </si>
  <si>
    <t>FR7902814</t>
  </si>
  <si>
    <t>H000003319</t>
  </si>
  <si>
    <t>CLFF_1000$$$IT50YIT001</t>
  </si>
  <si>
    <t>CTEMPEU_1000FR40701604</t>
  </si>
  <si>
    <t>CLFF_1000$$$DE10638210</t>
  </si>
  <si>
    <t>CLFF_1000$$$DE10GIT101</t>
  </si>
  <si>
    <t>CLFF_1000$$$DE10GIT02K</t>
  </si>
  <si>
    <t>CLFF_1000$$$CH65GIT20H</t>
  </si>
  <si>
    <t>CNOW_7210$$$0000010260</t>
  </si>
  <si>
    <t>CLFF_7210$$$2123GIT134</t>
  </si>
  <si>
    <t>CLFF_1000$$$DE10YIT016</t>
  </si>
  <si>
    <t>CLFF_7210$$$2123YIT008</t>
  </si>
  <si>
    <t>CTEMPEU_1000PL80GIT004</t>
  </si>
  <si>
    <t>CLFF_7210$$$2123YIT009</t>
  </si>
  <si>
    <t>CTEMPEU_1000PL80YIT002</t>
  </si>
  <si>
    <t>G000001445</t>
  </si>
  <si>
    <t>G000001447</t>
  </si>
  <si>
    <t>G000001449</t>
  </si>
  <si>
    <t>G000001446</t>
  </si>
  <si>
    <t>G000001448</t>
  </si>
  <si>
    <t>FR7905416</t>
  </si>
  <si>
    <t>FR7905527</t>
  </si>
  <si>
    <t>CORAERP_MMOR1975.5919 MarCom Print</t>
  </si>
  <si>
    <t>CNOW_7210$$$0000020564 US Campaigns - Strat &amp; Seg Marketing</t>
  </si>
  <si>
    <t>CNOW_7210$$$0000021400 Pharma Analysis &amp; QC</t>
  </si>
  <si>
    <t>CNOW_7210$$$0000015308 DE RE Inbound-Schnelldorf</t>
  </si>
  <si>
    <t>CFLTFLE_17710000508010</t>
  </si>
  <si>
    <t>CFLTFLE_17710000113000</t>
  </si>
  <si>
    <t>FR7907863</t>
  </si>
  <si>
    <t xml:space="preserve">ITEMPEU_003200004221 </t>
  </si>
  <si>
    <t>Have to be mapped based on parent</t>
  </si>
  <si>
    <t>FR7897475</t>
  </si>
  <si>
    <t>H000004596</t>
  </si>
  <si>
    <t>H000004597</t>
  </si>
  <si>
    <t>FR7916831</t>
  </si>
  <si>
    <t>PLEAN_X310801AE5013201 SP CONG/EVENTS-AE-SHARED</t>
  </si>
  <si>
    <t>PLEAN_X310801AE5030201 SP-REG-OTHER M&amp;S-ePIL Gulf</t>
  </si>
  <si>
    <t>PLEAN_X310801ZA5010501 SP PROM MAT-ZA-NDD</t>
  </si>
  <si>
    <t>PLEAN_X310801ZA5015505 SP PROM OTHERS-ZA-SHARED</t>
  </si>
  <si>
    <t>PLEAN_X310802ZA5022505 MED  NON R&amp;D-ZA-CME-CONSULTANT</t>
  </si>
  <si>
    <t>PLEAN_X310201AE5015502 SP PROM OTHERS-EA-FERT</t>
  </si>
  <si>
    <t>PLEAN_X310201ZA5010501 SP PROM MAT-ZA-FERT</t>
  </si>
  <si>
    <t>PLEAN_X310201ZA5013501 SP COZA/EVENTS-ZA-FERT</t>
  </si>
  <si>
    <t>PLEAN_X310301ZA5010501 SP PROM MAT-ZA-DIAB</t>
  </si>
  <si>
    <t>PLEAN_X310301ZA5013502 SP COZA/EVENTS-ZA-DIAB</t>
  </si>
  <si>
    <t>PLEAN_X310301ZA5015505 SP PROM OTHERS-ZA-DIAB</t>
  </si>
  <si>
    <t>PLEAN_X310201ZA5015505 SP PROM OTHERS-ZA-FERT</t>
  </si>
  <si>
    <t>PLEAN_X310172EG5023255 V8 Med Non R&amp;D-EG- Registration</t>
  </si>
  <si>
    <t>PLEAN_X310201EG5010224 A4 Commercial-EG-Pro. material-Digital M</t>
  </si>
  <si>
    <t>PLEAN_X310201EG5015222 A4 Commercial-EG-Other pro&amp;Adv-CRM &amp; IMS</t>
  </si>
  <si>
    <t>PLEAN_X310301EG5015222 B4 Commercial-EG-Other pro&amp;Adv-CRM &amp; IMS</t>
  </si>
  <si>
    <t>PLEAN_X310401EG5015222 A5 Commercial-EG-Other pro&amp;Adv-CRM &amp; IMS</t>
  </si>
  <si>
    <t>PLEAN_X310511EG5015222 B3 Commercial-EG-Other pro&amp;Adv-CRM &amp; IMS</t>
  </si>
  <si>
    <t>PLEAN_X310112EG5020205 59 Other Oncology Medical Non R&amp;D-Egypt-</t>
  </si>
  <si>
    <t>PLEAN_X310201EG5010230 A4 Commercial-EG-Pro. material-Brand R</t>
  </si>
  <si>
    <t>H000000263</t>
  </si>
  <si>
    <t>H000002948</t>
  </si>
  <si>
    <t>Niel Esto</t>
  </si>
  <si>
    <t>FR7916819</t>
  </si>
  <si>
    <t>PLEAN_X310181DK5030201 Bavencio Commercial DK50 Other M&amp;S Regis</t>
  </si>
  <si>
    <t>PLEAN_X310182NO5022201 Bavencio Medical Non R&amp;D NO50 Medical Co</t>
  </si>
  <si>
    <t>PLEAN_X310941DK5030201 Tepmetko Commercial DK50 Other M&amp;S Regis</t>
  </si>
  <si>
    <t>PLEAN_X310941FI5013201 Tepmetko Commercial FI50 Congress &amp; Even</t>
  </si>
  <si>
    <t>PLEAN_X310941FI5015201 Tepmetko Commercial FI50 Other Promo and</t>
  </si>
  <si>
    <t>CSCALA_1872$100_C05</t>
  </si>
  <si>
    <t>CSCALA_1872$70_C56</t>
  </si>
  <si>
    <t>PLEAN_X310201DK5030201 Fertility Commercial DK50 Other M&amp;S Regi</t>
  </si>
  <si>
    <t>PLEAN_X310201NO5010201 Fertility Commercial NO50 Promo Material</t>
  </si>
  <si>
    <t>PLEAN_X310511DK5030201 Mavenclad Commercial DK50 Other M&amp;S Regi</t>
  </si>
  <si>
    <t>PLEAN_X310511EE5010201 Mavenclad Commercial EE50 Promo Material</t>
  </si>
  <si>
    <t>PLEAN_X310181CZ5011201 Bavencio Commercial CZ50 Advertising Gen</t>
  </si>
  <si>
    <t>PLEAN_X310941CZ5015205 Tepmetko Commercial CZ50 Other Promo and</t>
  </si>
  <si>
    <t>PLEAN_X310942CZ5020202 Tepmetko Medical Non R&amp;D CZ50 Medical Ed</t>
  </si>
  <si>
    <t>PLEAN_X370132AT5023200 RG Ezmekly Medical activities</t>
  </si>
  <si>
    <t>CSCALA_1759$GHTE</t>
  </si>
  <si>
    <t>CSCALA_1759$E352</t>
  </si>
  <si>
    <t>CSCALA_1759$E353</t>
  </si>
  <si>
    <t>CSCALA_1759$E354</t>
  </si>
  <si>
    <t>CSCALA_1759$E355</t>
  </si>
  <si>
    <t>CSCALA_1759$E356</t>
  </si>
  <si>
    <t>CSCALA_1759$E357</t>
  </si>
  <si>
    <t>CSCALA_1759$E358</t>
  </si>
  <si>
    <t>CSCALA_1759$E359</t>
  </si>
  <si>
    <t>CSCALA_1759$E360</t>
  </si>
  <si>
    <t>CSCALA_1759$E361</t>
  </si>
  <si>
    <t>CSCALA_1759$E362</t>
  </si>
  <si>
    <t>CSCALA_1759$E363</t>
  </si>
  <si>
    <t>CSCALA_1759$E364</t>
  </si>
  <si>
    <t>CSCALA_1759$E365</t>
  </si>
  <si>
    <t>CSCALA_1759$E366</t>
  </si>
  <si>
    <t>CSCALA_1759$O454</t>
  </si>
  <si>
    <t>CSCALA_1759$O633</t>
  </si>
  <si>
    <t>CSCALA_1759$R111</t>
  </si>
  <si>
    <t>CSCALA_1759$R112</t>
  </si>
  <si>
    <t>CSCALA_1759$R113</t>
  </si>
  <si>
    <t>CSCALA_1759$E351</t>
  </si>
  <si>
    <t>CSCALA_1759$F916</t>
  </si>
  <si>
    <t>CSCALA_1759$C218</t>
  </si>
  <si>
    <t>CSCALA_1759$HACH</t>
  </si>
  <si>
    <t>CSCALA_1759$RADI</t>
  </si>
  <si>
    <t>CSCALA_1759$R109</t>
  </si>
  <si>
    <t>CSCALA_1759$R110</t>
  </si>
  <si>
    <t>PLEAN_X310201CH7613200 FER COM Consultancy (inkl. Adboards)</t>
  </si>
  <si>
    <t>PLEAN_X310401CZ5015205 Saizen Commercial CZ50 Other Promo and A</t>
  </si>
  <si>
    <t>PLEAN_X310511CZ5015205 Mavenclad Commercial CZ50 Other Promo an</t>
  </si>
  <si>
    <t>H000004524</t>
  </si>
  <si>
    <t>H000001998</t>
  </si>
  <si>
    <t>FR7916805</t>
  </si>
  <si>
    <t>CLFF_1000$$$CH01GFO001</t>
  </si>
  <si>
    <t>CLFF_1000$$$CH50GIT040</t>
  </si>
  <si>
    <t>CLFF_1000$$$CH50GM2100</t>
  </si>
  <si>
    <t>CLFF_1000$$$CH50GM2200</t>
  </si>
  <si>
    <t>CLFF_1000$$$CH50GM2201</t>
  </si>
  <si>
    <t>CLFF_1000$$$CH50L98043</t>
  </si>
  <si>
    <t>CLFF_1000$$$CH65GIT022</t>
  </si>
  <si>
    <t>CLFF_1000$$$CH65GM2100</t>
  </si>
  <si>
    <t>CLFF_1000$$$CH65GM2201</t>
  </si>
  <si>
    <t>CLFF_1000$$$CH65GM4100</t>
  </si>
  <si>
    <t>CLFF_1000$$$CH75GIT040</t>
  </si>
  <si>
    <t>CLFF_1000$$$CH75GM2100</t>
  </si>
  <si>
    <t>CLFF_1000$$$CH75GM2200</t>
  </si>
  <si>
    <t>CLFF_1000$$$CH81GM2100</t>
  </si>
  <si>
    <t>CLFF_1000$$$CH82GM2100</t>
  </si>
  <si>
    <t>CLFF_1000$$$CH82GM2200</t>
  </si>
  <si>
    <t>CNOW_7210$$$0000051902</t>
  </si>
  <si>
    <t>CNOW_7210$$$0000056400</t>
  </si>
  <si>
    <t>CNOW_7210$$$0000056407</t>
  </si>
  <si>
    <t>CNOW_7210$$$0000056440</t>
  </si>
  <si>
    <t>CNOW_7210$$$0000056480</t>
  </si>
  <si>
    <t>CNOW_7210$$$0000056971</t>
  </si>
  <si>
    <t>CTEMPEU_1000CH70AD1L90</t>
  </si>
  <si>
    <t>CTEMPEU_1000CH70ADF100</t>
  </si>
  <si>
    <t>CLFF_1000$$$CH01GFO000 FO-CFO</t>
  </si>
  <si>
    <t>CLFF_1000$$$CH65GM2200 Finance Reporting,Compliance&amp;Controlling</t>
  </si>
  <si>
    <t>ITEMPEU_001700006137</t>
  </si>
  <si>
    <t>ITEMPEU_001700006138</t>
  </si>
  <si>
    <t>H000002956</t>
  </si>
  <si>
    <t>H000002954</t>
  </si>
  <si>
    <t>DFLTPGCOH_T-01_001777</t>
  </si>
  <si>
    <t>CLFF_1000$$$EG50Z01000</t>
  </si>
  <si>
    <t>FR7930721</t>
  </si>
  <si>
    <t>CITR_1000$$$1022APPL</t>
  </si>
  <si>
    <t>FR7929886</t>
  </si>
  <si>
    <t>CLFF_1000$$$CN01TPAZ08</t>
  </si>
  <si>
    <t>CLFF_1000$$$CN01OF0161</t>
  </si>
  <si>
    <t>CLFF_1000$$$CN01TPAZ06</t>
  </si>
  <si>
    <t>CLFF_1000$$$CN02TPZZ05</t>
  </si>
  <si>
    <t>CLFF_1000$$$CN02TPZZ08</t>
  </si>
  <si>
    <t>CLFF_1000$$$CN03TPZZ01</t>
  </si>
  <si>
    <t>CLFF_1000$$$CN03TPZZ03</t>
  </si>
  <si>
    <t>CLFF_1000$$$CN02TPZZ02</t>
  </si>
  <si>
    <t>CLFF_1000$$$CN02TQ1001</t>
  </si>
  <si>
    <t>CLFF_1000$$$CN02TQ1002</t>
  </si>
  <si>
    <t>CLFF_1000$$$CN02TQ1003</t>
  </si>
  <si>
    <t>CLFF_1000$$$CN03TPZZ02</t>
  </si>
  <si>
    <t>CLFF_VMCA$$$CN10DB1001</t>
  </si>
  <si>
    <t>CLFF_VMCA$$$CN10DB1002</t>
  </si>
  <si>
    <t>CLFF_VMCA$$$CN10DB1004</t>
  </si>
  <si>
    <t>CLFF_VMCA$$$CN09DB3303</t>
  </si>
  <si>
    <t>CLFF_VMCA$$$CN09DB3305</t>
  </si>
  <si>
    <t>CLFF_VMCA$$$CN09TQ1001</t>
  </si>
  <si>
    <t>CLFF_VMCA$$$CN09TQ1002</t>
  </si>
  <si>
    <t>CLFF_VMCA$$$CN09TQ1003</t>
  </si>
  <si>
    <t>CLFF_VMCA$$$CN09DB3309</t>
  </si>
  <si>
    <t>CLFF_VMCA$$$CN09DB3300</t>
  </si>
  <si>
    <t>CLFF_VMCA$$$CN09TM3000</t>
  </si>
  <si>
    <t>CLFF_VMCA$$$CN09DB3301</t>
  </si>
  <si>
    <t>CLFF_VMCA$$$CN09DB3307</t>
  </si>
  <si>
    <t>P000000571</t>
  </si>
  <si>
    <t>FR7933262</t>
  </si>
  <si>
    <t>PLEAN_X310281DE6514800</t>
  </si>
  <si>
    <t>H000001786</t>
  </si>
  <si>
    <t>Won't be mapped til there are actuals</t>
  </si>
  <si>
    <t>FR7941951</t>
  </si>
  <si>
    <t xml:space="preserve">CSCALA_1022$SQR </t>
  </si>
  <si>
    <t>CSCALA_1022$ITR</t>
  </si>
  <si>
    <t>FR7943141</t>
  </si>
  <si>
    <t>FR7944249</t>
  </si>
  <si>
    <t>CTEMPEU_1000GB10005256 SRO Costs</t>
  </si>
  <si>
    <t>H000000947</t>
  </si>
  <si>
    <t>FR7955415</t>
  </si>
  <si>
    <t>CLFF_1000$$$DE07Z02182 Prem./Contrib./Fees M&amp;S</t>
  </si>
  <si>
    <t>CLFF_1000$$$HK01Z02181 XX_Prem/con/fees CoS</t>
  </si>
  <si>
    <t>CLFF_1000$$$HK01Z02182 XX_Prem/con/fees M&amp;S</t>
  </si>
  <si>
    <t>CLFF_1000$$$HK01Z02183 XX_Prem/con/fees Admin</t>
  </si>
  <si>
    <t>CLFF_1000$$$HK01Z02184 XX_Prem/con/fees R&amp;D</t>
  </si>
  <si>
    <t>CLFF_1000$$$HK01Z02185 XX_Prem/con/fees Oth</t>
  </si>
  <si>
    <t>CLFF_1000$$$IN01Z02181 XX_Prem/con/fees CoS</t>
  </si>
  <si>
    <t>CLFF_1000$$$IN01Z02182 XX_Prem/con/fees M&amp;S</t>
  </si>
  <si>
    <t>CLFF_1000$$$IN01Z02183 XX_Prem/con/fees Admin</t>
  </si>
  <si>
    <t>CLFF_1000$$$IN01Z02184 XX_Prem/con/fees R&amp;D</t>
  </si>
  <si>
    <t>CLFF_1000$$$JP01Z02181 XX_Prem/con/fees CoS</t>
  </si>
  <si>
    <t>CLFF_1000$$$JP01Z02184 XX_Prem/con/fees R&amp;D</t>
  </si>
  <si>
    <t>CLFF_1000$$$JP01Z02185 XX_Prem/con/fees Oth</t>
  </si>
  <si>
    <t>CLFF_1000$$$JP02Z02181 XX_Prem/con/fees CoS</t>
  </si>
  <si>
    <t>CLFF_1000$$$JP02Z02182 XX_Prem/con/fees M&amp;S</t>
  </si>
  <si>
    <t>CLFF_1000$$$JP02Z02183 Prem/con/fees Admin</t>
  </si>
  <si>
    <t>CLFF_1000$$$JP02Z02184 XX_Prem/con/fees R&amp;D</t>
  </si>
  <si>
    <t>CLFF_1000$$$JP02Z02185 XX_Prem/con/fees Oth</t>
  </si>
  <si>
    <t>CLFF_1000$$$KR02Z02181 XX_Prem/con/fees CoS</t>
  </si>
  <si>
    <t>CLFF_1000$$$KR02Z02182 XX_Prem/con/fees M&amp;S</t>
  </si>
  <si>
    <t>CLFF_1000$$$KR02Z02183 XX_Prem/con/fees Admin</t>
  </si>
  <si>
    <t>CLFF_1000$$$KR02Z02184 XX_Prem/con/fees R&amp;D</t>
  </si>
  <si>
    <t>CLFF_1000$$$SG09Z02181 XX_Prem/con/fees CoS</t>
  </si>
  <si>
    <t>CLFF_1000$$$SG09Z02182 Prem/con/fees M&amp;S</t>
  </si>
  <si>
    <t>CLFF_1000$$$SG09Z02183 XX_Prem/con/fees Admin</t>
  </si>
  <si>
    <t>CLFF_1000$$$SG09Z02184 XX_Prem/con/fees Oth</t>
  </si>
  <si>
    <t>CLFF_1000$$$TW02Z02183 XX_Prem/con/fees Admin</t>
  </si>
  <si>
    <t>CLFF_1000$$$TW02Z02184 XX_Prem/con/fees R&amp;D</t>
  </si>
  <si>
    <t>CLFF_1000$$$TW03Z02184 XX_Prem/con/fees R&amp;D</t>
  </si>
  <si>
    <t>CLFF_KR00$$$KR03Z02181 XX_Prem/con/fees CoS</t>
  </si>
  <si>
    <t>CLFF_KR00$$$KR03Z02182 XX_Prem/con/fees M&amp;S</t>
  </si>
  <si>
    <t>CLFF_KR00$$$KR03Z02183 XX_Prem/con/fees Admin</t>
  </si>
  <si>
    <t>CLFF_KR00$$$KR03Z02184 XX_Prem/con/fees R&amp;D</t>
  </si>
  <si>
    <t>CLFF_1000$$$CN01OF0083 PM GoGlobal Trainee</t>
  </si>
  <si>
    <t>CLFF_1000$$$US01OF0103 GOglobal Trainee PM-USA</t>
  </si>
  <si>
    <t>CLFF_KR00$$$KR03L80000 GoGlobal Korea</t>
  </si>
  <si>
    <t>CLFF_VMCA$$$TW10OF6016 GOglobal Trainee Program</t>
  </si>
  <si>
    <t>CLFF_VMCA$$$US10OF6070 GOglobal Trainee Program</t>
  </si>
  <si>
    <t>P000001335</t>
  </si>
  <si>
    <t>P000001336</t>
  </si>
  <si>
    <t>CNOW_7210$$$0000052362</t>
  </si>
  <si>
    <t>CNOW_7210$$$0000015217</t>
  </si>
  <si>
    <t>CNOW_7210$$$0000015218</t>
  </si>
  <si>
    <t>CNOW_7210$$$0000015219</t>
  </si>
  <si>
    <t>CNOW_7210$$$0000015222</t>
  </si>
  <si>
    <t>CNOW_7210$$$0000015223</t>
  </si>
  <si>
    <t>CNOW_7210$$$0000222106</t>
  </si>
  <si>
    <t>CNOW_7210$$$0000222107</t>
  </si>
  <si>
    <t>CNOW_7210$$$0000222108</t>
  </si>
  <si>
    <t>CNOW_7210$$$0000222109</t>
  </si>
  <si>
    <t>CNOW_7210$$$0000250045</t>
  </si>
  <si>
    <t>CNOW_7210$$$0000010275</t>
  </si>
  <si>
    <t>CNOW_7210$$$0000040960</t>
  </si>
  <si>
    <t>CNOW_7210$$$0000265323</t>
  </si>
  <si>
    <t>CNOW_7210$$$0000031534</t>
  </si>
  <si>
    <t>ITEMPEU_003200004220</t>
  </si>
  <si>
    <t>CORAERP_MMOR1945.ZXQD</t>
  </si>
  <si>
    <t>CFLTFLE_13060000000030</t>
  </si>
  <si>
    <t>ITEMPEU_AT40AA0014</t>
  </si>
  <si>
    <t>L000013900</t>
  </si>
  <si>
    <t>L000012329</t>
  </si>
  <si>
    <t>L000013758</t>
  </si>
  <si>
    <t>L000010274</t>
  </si>
  <si>
    <t>L000009832</t>
  </si>
  <si>
    <t>FR7953877</t>
  </si>
  <si>
    <t>FR7958459</t>
  </si>
  <si>
    <t>PLEAN_X310324CH6815011 Cardio GBF Digital</t>
  </si>
  <si>
    <t>PLEAN_X310304DE5015404 DIA FRA PROM OTH GBF GSI</t>
  </si>
  <si>
    <t>PLEAN_X310324DE5015403 CAR FRA PROM OTH GBF GCD</t>
  </si>
  <si>
    <t>PLEAN_X310324DE5015404 CAR FRA PROM OTH GBF GSI</t>
  </si>
  <si>
    <t>PLEAN_X310334CH6815011 Thyroids GBF Digital</t>
  </si>
  <si>
    <t>PLEAN_X310404CH6815011 Endo GBF Digital</t>
  </si>
  <si>
    <t>ITEMPLA_001520001165 Cardio Summit 2025</t>
  </si>
  <si>
    <t>Estela Belda Menendez</t>
  </si>
  <si>
    <t xml:space="preserve">CNOW_7210$$$0000498035 </t>
  </si>
  <si>
    <t>FR7967809</t>
  </si>
  <si>
    <t>PLEAN_X310201VN5011200 FD COM Advertising</t>
  </si>
  <si>
    <t>FR7968675</t>
  </si>
  <si>
    <t>CFLTFLE_1044BPOE BP - Others  ISS</t>
  </si>
  <si>
    <t>FR7968701</t>
  </si>
  <si>
    <t>PLEAN_X310301DE6215305 1401_LK_B4_DIA_PROMO OTH</t>
  </si>
  <si>
    <t>FR7968788</t>
  </si>
  <si>
    <t>H000000417</t>
  </si>
  <si>
    <t>H000001318</t>
  </si>
  <si>
    <t>PLEAN_X310113CN5043301 O59 R&amp;D R&amp;D OTH TGCT Trials or RWS proje</t>
  </si>
  <si>
    <t>PLEAN_X310282CN5020301 PIMI MED MED EDU DSA to HCP: Medical edu</t>
  </si>
  <si>
    <t>PLEAN_X310282CN5020303 PIMI MED MED EDU DSA to HCP: Medical edu</t>
  </si>
  <si>
    <t>PLEAN_X310282CN5020304 PIMI MED MED EDU DSA to HCP: Medical edu</t>
  </si>
  <si>
    <t>PLEAN_X310282CN5023305 PIMI MED MED OTH ESMO Campaign</t>
  </si>
  <si>
    <t>PLEAN_X310282CN5023306 PIMI MED MED OTH ESMO Campaign</t>
  </si>
  <si>
    <t>PLEAN_X310282CN5023309 PIMI MED MED OTH Content development</t>
  </si>
  <si>
    <t>PLEAN_X310431CN5015212 THYB COM PROM OTH Zebra</t>
  </si>
  <si>
    <t>PLEAN_X310432CN5020104 Thy MED CN50 MED EDU Thyrotropin</t>
  </si>
  <si>
    <t>PLEAN_X310101CN5013354 ERB COM C&amp;E ONC H&amp;N MOD</t>
  </si>
  <si>
    <t>PLEAN_X310201DE5015018 Project for Cross Charge</t>
  </si>
  <si>
    <t>FR7969110</t>
  </si>
  <si>
    <t>FR7970870</t>
  </si>
  <si>
    <t>CTEMPLA_1000BR10200572 [MED] - Med Consultants - Tepmetko</t>
  </si>
  <si>
    <t>H000002595</t>
  </si>
  <si>
    <t>FR7973160</t>
  </si>
  <si>
    <t>CTEMPLA_1000PA10PA3E25 Medical non R&amp;D Thyroids</t>
  </si>
  <si>
    <t>CTEMPLA_1000PA10PA3B25 Medical non R&amp;D Fertility</t>
  </si>
  <si>
    <t>PSCALA_X54 Tepmetko Launch</t>
  </si>
  <si>
    <t>FR7973237</t>
  </si>
  <si>
    <t>FR7973245</t>
  </si>
  <si>
    <t>CSCALA_1042$ONPM_O28</t>
  </si>
  <si>
    <t>CSCALA_1042$ONPM_X51</t>
  </si>
  <si>
    <t>FR7973246</t>
  </si>
  <si>
    <t>CSCALA_1042$ONPM_X54</t>
  </si>
  <si>
    <t>FR7973251</t>
  </si>
  <si>
    <t>FR7973258</t>
  </si>
  <si>
    <t>CSCALA_1042$MSMS_E09</t>
  </si>
  <si>
    <t>CSCALA_1042$MSPM_E81</t>
  </si>
  <si>
    <t>FR7973269</t>
  </si>
  <si>
    <t>CSCALA_1042$MSMS_D19</t>
  </si>
  <si>
    <t>FR7973273</t>
  </si>
  <si>
    <t>FR7973277</t>
  </si>
  <si>
    <t>CSCALA_1042$MSMS_O12</t>
  </si>
  <si>
    <t>CSCALA_1042$ONPM_X65</t>
  </si>
  <si>
    <t>FR7973286</t>
  </si>
  <si>
    <t>CFLTFLE_10548-191A ISS - OTHER</t>
  </si>
  <si>
    <t>FR7973453</t>
  </si>
  <si>
    <t>H000000429</t>
  </si>
  <si>
    <t>FR7978263</t>
  </si>
  <si>
    <t>G000001272</t>
  </si>
  <si>
    <t>H000002265</t>
  </si>
  <si>
    <t>H000002264</t>
  </si>
  <si>
    <t>H000002266</t>
  </si>
  <si>
    <t>H000002267</t>
  </si>
  <si>
    <t>H000004199</t>
  </si>
  <si>
    <t>check</t>
  </si>
  <si>
    <t>H000001115</t>
  </si>
  <si>
    <t>CORAERP_MMOR1945.9032</t>
  </si>
  <si>
    <t>CTEMPEU_1000PL80GFO011</t>
  </si>
  <si>
    <t>CTEMPEU_1000PL80GFO013</t>
  </si>
  <si>
    <t>CTEMPEU_1000PL80GFO015</t>
  </si>
  <si>
    <t>CTEMPEU_1000PL80GFO018</t>
  </si>
  <si>
    <t>G000001176</t>
  </si>
  <si>
    <t>G000001263</t>
  </si>
  <si>
    <t>FR7983976</t>
  </si>
  <si>
    <t>FR7989462</t>
  </si>
  <si>
    <t>CTEMPLA_1000GT10ZZ0Q18</t>
  </si>
  <si>
    <t>CORAERP_MMOR1945.6306</t>
  </si>
  <si>
    <t>L000011403</t>
  </si>
  <si>
    <t>L000012347</t>
  </si>
  <si>
    <t>FR7989325</t>
  </si>
  <si>
    <t>CORAERP_MMOR1945.3541 Quality PS Field Service</t>
  </si>
  <si>
    <t>CORAERP_MMOR1975.5776 US Strategy and Execution DSP</t>
  </si>
  <si>
    <t>CPHOENX_01010000699404 DE DSP Strategy and Execution</t>
  </si>
  <si>
    <t>CTEMPEU_1000CH70404040 Strategy and Execution CH DSP</t>
  </si>
  <si>
    <t>IPHOENX_000400763813 CCV PFM Other Arevi Thyrosin</t>
  </si>
  <si>
    <t>CEMERAL_70006101P13201 PS Market Intelligence China</t>
  </si>
  <si>
    <t>ITEMPEU_003200001428 CH70 Freight Outbound 3110410000 SH</t>
  </si>
  <si>
    <t>ITEMPEU_CH70AA0011 Freight Outbound 3110410000</t>
  </si>
  <si>
    <t>CNOW_7210$$$0000051972 Buchs Outbound Freight</t>
  </si>
  <si>
    <t>CNOW_7210$$$0000051924 SP General COS Steinheim</t>
  </si>
  <si>
    <t>CFLTFLE_1106T41000 Sales</t>
  </si>
  <si>
    <t>CFLTFLE_1106T62100 Logistic</t>
  </si>
  <si>
    <t>CLFF_7210$$$2125C03326 IL inbound freight</t>
  </si>
  <si>
    <t>CLFF_7210$$$2022TQAZ93 IE Arklow freight</t>
  </si>
  <si>
    <t>CORAERP_MMOR1917.4165 Outbound IC Freight UK</t>
  </si>
  <si>
    <t>CORAERP_MMOR1917.4167 Outbound 3rd Party Freight UK</t>
  </si>
  <si>
    <t>CLFF_7210$$$1937TQCZ91 EI outbound freight</t>
  </si>
  <si>
    <t>CNOW_7210$$$0000040056 Distribution Advancement &amp; Systems</t>
  </si>
  <si>
    <t>CLFF_7210$$$1937TMCZ9J Global Engineering and SME's</t>
  </si>
  <si>
    <t>L000013846</t>
  </si>
  <si>
    <t>L000006552</t>
  </si>
  <si>
    <t>L000013915</t>
  </si>
  <si>
    <t>L000013563</t>
  </si>
  <si>
    <t>L000013845</t>
  </si>
  <si>
    <t>L000013514</t>
  </si>
  <si>
    <t>L000009539</t>
  </si>
  <si>
    <t>L000009413</t>
  </si>
  <si>
    <t>L000010212</t>
  </si>
  <si>
    <t>L000009437</t>
  </si>
  <si>
    <t>L000009657</t>
  </si>
  <si>
    <t>L000009485</t>
  </si>
  <si>
    <t>L000009556</t>
  </si>
  <si>
    <t>D30013700000000</t>
  </si>
  <si>
    <t>FR7992012</t>
  </si>
  <si>
    <t>CSCALA_1826$302_ST</t>
  </si>
  <si>
    <t>CSCALA_1826$301_MV</t>
  </si>
  <si>
    <t>CSCALA_1826$350_MV</t>
  </si>
  <si>
    <t>G000000765</t>
  </si>
  <si>
    <t>G000000152</t>
  </si>
  <si>
    <t>FR7992225</t>
  </si>
  <si>
    <t>FR7993071</t>
  </si>
  <si>
    <t>PLEAN_X310511TN5013218 SMASEP MAVENCLAD</t>
  </si>
  <si>
    <t>PLEAN_X310002TN5013200 FERT-NA-ESHRE</t>
  </si>
  <si>
    <t>PLEAN_X310201MA5013200 Morocco Local congresses (MA50)</t>
  </si>
  <si>
    <t>PLEAN_X310301MA5015200 Projet Maroc : Sobrus</t>
  </si>
  <si>
    <t>PLEAN_X310511MA5013221 Merck event Neuro MA&amp;SA-fees</t>
  </si>
  <si>
    <t>PLEAN_X310201TN6013221 SMART XXI Regional Standalone</t>
  </si>
  <si>
    <t>Daniella Sasa</t>
  </si>
  <si>
    <t>P000001380</t>
  </si>
  <si>
    <t>FR7997264</t>
  </si>
  <si>
    <t>PLEAN_X310802ZA5020505 MED  NON R&amp;D-ZA-CME-EDUCATION</t>
  </si>
  <si>
    <t>PLEAN_X310801AE5015209 SP DIGITAL-Shared-AE</t>
  </si>
  <si>
    <t>PLEAN_X310171DE6230104 1891_BY_V9_BAV_M&amp;S OTH</t>
  </si>
  <si>
    <t>PLEAN_X310201AE5011203 SP ADVT-KW-FERT</t>
  </si>
  <si>
    <t>H000000254</t>
  </si>
  <si>
    <t>Kristel Joyce Manalese</t>
  </si>
  <si>
    <t>FR7996906</t>
  </si>
  <si>
    <t>CLFF_1000$$$ES50Y54321 GES BGL L&amp;D PDP</t>
  </si>
  <si>
    <t>CLFF_1000$$$IT50Y54321 GES BGL L&amp;D PDP</t>
  </si>
  <si>
    <t>CLFF_7210$$$2123Y54321 GES BGL L&amp;D PDP</t>
  </si>
  <si>
    <t>CEMERAL_70006502GM4020 MBS FS ES L&amp;D PDP activities</t>
  </si>
  <si>
    <t>CEMERAL_64016401GM4021 MBS FS ES L&amp;D PDP activities</t>
  </si>
  <si>
    <t>G000001450</t>
  </si>
  <si>
    <t>LS?</t>
  </si>
  <si>
    <t>FR7998841</t>
  </si>
  <si>
    <t>CNOW_7210$$$0000040055 DxRM - R&amp;D Chemical Synthesis Lab SK</t>
  </si>
  <si>
    <t>FR8003528</t>
  </si>
  <si>
    <t>G000000847</t>
  </si>
  <si>
    <t>G000000431</t>
  </si>
  <si>
    <t>G000000848</t>
  </si>
  <si>
    <t>CLFF_1000$$$DE10F27300</t>
  </si>
  <si>
    <t>CLFF_1000$$$DE10566115</t>
  </si>
  <si>
    <t>CLFF_1000$$$DE10566116</t>
  </si>
  <si>
    <t>CLFF_1000$$$DE10566118</t>
  </si>
  <si>
    <t>CLFF_1000$$$DE10566120</t>
  </si>
  <si>
    <t>CLFF_1000$$$DE10566121</t>
  </si>
  <si>
    <t>CLFF_1000$$$DE10566122</t>
  </si>
  <si>
    <t>CLFF_1000$$$DE10566125</t>
  </si>
  <si>
    <t>CLFF_1000$$$DE10566127</t>
  </si>
  <si>
    <t>CLFF_1000$$$DE10E16300</t>
  </si>
  <si>
    <t>CLFF_1000$$$DE10E16600</t>
  </si>
  <si>
    <t>CLFF_1000$$$DE10E38020</t>
  </si>
  <si>
    <t>CLFF_1000$$$DE10E38800</t>
  </si>
  <si>
    <t>CLFF_1000$$$DE10E38810</t>
  </si>
  <si>
    <t>CLFF_1000$$$DE10E61000</t>
  </si>
  <si>
    <t>CLFF_1000$$$DE10E61100</t>
  </si>
  <si>
    <t>CLFF_1000$$$DE10E61200</t>
  </si>
  <si>
    <t>CLFF_1000$$$DE10E61900</t>
  </si>
  <si>
    <t>CLFF_1000$$$DE10F11900</t>
  </si>
  <si>
    <t>CLFF_1000$$$DE10F16000</t>
  </si>
  <si>
    <t>CLFF_1000$$$DE10F16010</t>
  </si>
  <si>
    <t>CLFF_1000$$$DE10F16100</t>
  </si>
  <si>
    <t>CLFF_1000$$$DE10F16200</t>
  </si>
  <si>
    <t>CLFF_1000$$$DE10F16300</t>
  </si>
  <si>
    <t>CLFF_1000$$$DE10F16500</t>
  </si>
  <si>
    <t>CLFF_1000$$$DE10F16600</t>
  </si>
  <si>
    <t>CLFF_1000$$$DE10F16700</t>
  </si>
  <si>
    <t>CLFF_1000$$$DE10F27301</t>
  </si>
  <si>
    <t>CLFF_1000$$$DE10E09200</t>
  </si>
  <si>
    <t>CLFF_1000$$$DE10E47200</t>
  </si>
  <si>
    <t>CLFF_1000$$$DE10F10600</t>
  </si>
  <si>
    <t>CLFF_1000$$$DE10F10900</t>
  </si>
  <si>
    <t>CLFF_1000$$$DE10F15400</t>
  </si>
  <si>
    <t>CLFF_1000$$$DE10F15410</t>
  </si>
  <si>
    <t>FR8006226</t>
  </si>
  <si>
    <t>CLFF_1000$$$SG09OF0504 Customer Service &amp; Material Planning</t>
  </si>
  <si>
    <t>CLFF_1000$$$TW02OF0321 Customer Services</t>
  </si>
  <si>
    <t>CLFF_1000$$$TW02OF0322 Customer Service_Semiconductor</t>
  </si>
  <si>
    <t>CLFF_VMCA$$$SG10DB3305 Singapore Customer Service</t>
  </si>
  <si>
    <t>CLFF_VMCA$$$TW10DB3308 Taiwan Customer Service</t>
  </si>
  <si>
    <t>CLFF_1000$$$SG09TPX001 ACW 3PL Warehouse</t>
  </si>
  <si>
    <t>CLFF_VMCA$$$MY10DB3301 MY10 3PL Cylinder Storage</t>
  </si>
  <si>
    <t>CLFF_VMCA$$$SG10DB3300 Tuas Warehouse</t>
  </si>
  <si>
    <t>CLFF_VMCA$$$SG10DB3301 SG10 PTC 3PL Warehouse</t>
  </si>
  <si>
    <t>CLFF_VMCA$$$SG10DB3302 SG10 Asia Industrial Gases 3PL Warehouse</t>
  </si>
  <si>
    <t>CLFF_VMCA$$$TW10DB3303 Taichung Warehouse</t>
  </si>
  <si>
    <t>CLFF_VMCA$$$TW10DB3307 CTW Qionglin 3PL Warehouse</t>
  </si>
  <si>
    <t>CLFF_VMCA$$$TW10TQ1001 Tainan Rinchem 3PL Warehouse</t>
  </si>
  <si>
    <t>CLFF_VMCA$$$TW10TQ1002 Hsinchu Leemark Logistics 3PL WH</t>
  </si>
  <si>
    <t>CLFF_VMCA$$$TW91DB3301 TW91 Tainan Warehouse</t>
  </si>
  <si>
    <t>CLFF_VMCA$$$TW91TQ1001 CTW Qionglin Warehouse</t>
  </si>
  <si>
    <t>CLFF_VMCA$$$TW91TQ1002 Sanfu Chemical Warehouse</t>
  </si>
  <si>
    <t>CLFF_VMCA$$$MY10TQ1000</t>
  </si>
  <si>
    <t>CLFF_VMCA$$$SG10TQ1001</t>
  </si>
  <si>
    <t>CLFF_VMCA$$$SG10TQ1002</t>
  </si>
  <si>
    <t>CLFF_VMCA$$$SG10TQ1003</t>
  </si>
  <si>
    <t>CLFF_1000$$$TW02TPHZ06</t>
  </si>
  <si>
    <t>CLFF_VMCA$$$TW10TQ1004</t>
  </si>
  <si>
    <t>CLFF_VMCA$$$TW10TQ1005</t>
  </si>
  <si>
    <t>CLFF_VMCA$$$TW10TQ1006</t>
  </si>
  <si>
    <t>CLFF_1000$$$SG09TPX003 Outbound Freight</t>
  </si>
  <si>
    <t>CLFF_1000$$$TW02TPHZ21 Outbound freight_PMD_Hsinchu</t>
  </si>
  <si>
    <t>CLFF_1000$$$TW02TPHZ22 Outbound freight_PMI_Hsinchu</t>
  </si>
  <si>
    <t>CLFF_1000$$$TW02TPHZ23 Outbound freight_Asia Hub</t>
  </si>
  <si>
    <t>CLFF_1000$$$TW02TPTA21 Outbound freight_PMD_Taoyuan</t>
  </si>
  <si>
    <t>CLFF_1000$$$TW02TPTA22 Outbound freight_PMA_Taoyuan</t>
  </si>
  <si>
    <t>CLFF_1000$$$TW03TQKZ22 Outbound freight_PMI_Kaohsiung</t>
  </si>
  <si>
    <t>CLFF_1000$$$SG09TPX004 SG09 Customer Fulfillment Admin Mgmt</t>
  </si>
  <si>
    <t>CLFF_1000$$$TW02TQMZ02 Transportation Management</t>
  </si>
  <si>
    <t>CLFF_1000$$$TW03TQKZ12 Transportation Management</t>
  </si>
  <si>
    <t>CLFF_VMCA$$$MY10DB3300 Malaysia DIstribution</t>
  </si>
  <si>
    <t>CLFF_VMCA$$$SG10TM3000 SG10 Customer Fulfillment Admin Mgmt</t>
  </si>
  <si>
    <t>CLFF_VMCA$$$TW10DB3300 TW Transportation Management</t>
  </si>
  <si>
    <t>CLFF_VMCA$$$TW10DB3301 TW10 Customs/Duties Spec Gas</t>
  </si>
  <si>
    <t>CLFF_VMCA$$$TW10DB3305 AM Transportation</t>
  </si>
  <si>
    <t>CLFF_VMCA$$$MY10TM4000</t>
  </si>
  <si>
    <t>CLFF_VMCA$$$SG10TM4000</t>
  </si>
  <si>
    <t>CLFF_VMCA$$$TW10TM4001</t>
  </si>
  <si>
    <t>CLFF_VMCA$$$TW10TM4002</t>
  </si>
  <si>
    <t>CLFF_VMCA$$$TW91TM4000</t>
  </si>
  <si>
    <t>CLFF_VMCA$$$TW91TM4001</t>
  </si>
  <si>
    <t>CLFF_VMCA$$$TW91TM4002</t>
  </si>
  <si>
    <t>CLFF_VMCA$$$SG10TM2000</t>
  </si>
  <si>
    <t>CLFF_1000$$$JP02C0M111 Customer Service Display and Semi</t>
  </si>
  <si>
    <t>CLFF_KR00$$$KR03OF0303 Customer Service</t>
  </si>
  <si>
    <t>CLFF_VMCA$$$KR07DB3310 Korea Customer Service</t>
  </si>
  <si>
    <t>CLFF_1000$$$JP02TQAZ01 Atsugi DC</t>
  </si>
  <si>
    <t>CLFF_1000$$$JP02TQSZ01 Shizuoka DC</t>
  </si>
  <si>
    <t>CLFF_KR00$$$KR03TPPZ14 W/H Expense from MEM</t>
  </si>
  <si>
    <t>CLFF_VMCA$$$KR07DB3306 AM Warehouse/3PL</t>
  </si>
  <si>
    <t>CLFF_VMCA$$$KR07DB3308 PM 3PL Warehouse</t>
  </si>
  <si>
    <t>CLFF_VMCA$$$KR15DB3301 Ulsan NH3 Distribution</t>
  </si>
  <si>
    <t>CLFF_1000$$$JP02TQ1001</t>
  </si>
  <si>
    <t>CLFF_1000$$$JP02TQ1002</t>
  </si>
  <si>
    <t>CLFF_1000$$$JP02TQ1003</t>
  </si>
  <si>
    <t>CLFF_1000$$$JP02TQ1004</t>
  </si>
  <si>
    <t>CLFF_1000$$$JP02TQ1005</t>
  </si>
  <si>
    <t>CLFF_1000$$$JP02TQ1006</t>
  </si>
  <si>
    <t>CLFF_1000$$$JP02TQ1007</t>
  </si>
  <si>
    <t>CLFF_1000$$$JP02TQ1008</t>
  </si>
  <si>
    <t>CLFF_1000$$$JP02TQ1009</t>
  </si>
  <si>
    <t>CLFF_1000$$$JP02TQ1010</t>
  </si>
  <si>
    <t>CLFF_1000$$$JP02TQ1011</t>
  </si>
  <si>
    <t>CLFF_1000$$$JP02TQ1012</t>
  </si>
  <si>
    <t>CLFF_1000$$$JP02TQ1013</t>
  </si>
  <si>
    <t>CLFF_1000$$$JP02TQ1014</t>
  </si>
  <si>
    <t>CLFF_1000$$$KR02TQ1000</t>
  </si>
  <si>
    <t>CLFF_KR00$$$KR03TQ1011</t>
  </si>
  <si>
    <t>CLFF_KR00$$$KR03TQ1012</t>
  </si>
  <si>
    <t>CLFF_VMCA$$$KR07TQ1001</t>
  </si>
  <si>
    <t>CLFF_VMCA$$$KR07TQ1002</t>
  </si>
  <si>
    <t>CLFF_VMCA$$$KR07TQ1003</t>
  </si>
  <si>
    <t>CLFF_VMCA$$$KR07TQ1004</t>
  </si>
  <si>
    <t>CLFF_VMCA$$$KR07TQ1005</t>
  </si>
  <si>
    <t>CLFF_VMCA$$$KR07TQ1006</t>
  </si>
  <si>
    <t>CLFF_VMCA$$$KR11TQ1001</t>
  </si>
  <si>
    <t>CLFF_VMCA$$$KR11TQ1002</t>
  </si>
  <si>
    <t>CLFF_VMCA$$$KR11TQ1003</t>
  </si>
  <si>
    <t>CLFF_VMCA$$$KR11TQ1004</t>
  </si>
  <si>
    <t>CLFF_VMCA$$$KR15TQ1001</t>
  </si>
  <si>
    <t>CLFF_VMCA$$$KR16TQ1001</t>
  </si>
  <si>
    <t>CLFF_VMCA$$$KR16TQ1002</t>
  </si>
  <si>
    <t>CLFF_1000$$$JP02TQMZ01 PM Logistics</t>
  </si>
  <si>
    <t>CLFF_KR00$$$KR03TPPZ04 SD - Logistics PM</t>
  </si>
  <si>
    <t>CLFF_VMCA$$$KR07DB3300 Transportation Management</t>
  </si>
  <si>
    <t>CLFF_VMCA$$$KR15TM3000</t>
  </si>
  <si>
    <t>CLFF_1000$$$KR02TPAZ02 SD - Warehousing/distribution Asia/Pacif</t>
  </si>
  <si>
    <t>CLFF_VMCA$$$KR07DB3301 PM Distribution</t>
  </si>
  <si>
    <t>CLFF_VMCA$$$KR07DB3302 AM Distribution</t>
  </si>
  <si>
    <t>CLFF_VMCA$$$KR11DB2111 Surf, Prep &amp; Clean Distribution</t>
  </si>
  <si>
    <t>CLFF_VMCA$$$KR11DB2112 Planarization Distribution</t>
  </si>
  <si>
    <t>CLFF_VMCA$$$KR15DB3303 Ulsan NF3 Distribution</t>
  </si>
  <si>
    <t>CLFF_VMCA$$$KR16DB3300 KR16 Transportation</t>
  </si>
  <si>
    <t>CLFF_1000$$$US01C01305 Customer Service US</t>
  </si>
  <si>
    <t>CLFF_VMCA$$$US10DB3021 US Customer Service</t>
  </si>
  <si>
    <t>CLFF_1000$$$US01TPBZ03 FG Warehouse - (BRB)</t>
  </si>
  <si>
    <t>CLFF_VMCA$$$US10DB3004 Tualatin ELE Warehouse</t>
  </si>
  <si>
    <t>CLFF_VMCA$$$US10DB3005 Austin Warehouse</t>
  </si>
  <si>
    <t>CLFF_VMCA$$$US10DB3006 Phoenix Warehouse</t>
  </si>
  <si>
    <t>CLFF_VMCA$$$US10DB3011 3rd Party AM Whse</t>
  </si>
  <si>
    <t>CLFF_1000$$$US01TQ1001</t>
  </si>
  <si>
    <t>CLFF_1000$$$US01TQ1002</t>
  </si>
  <si>
    <t>CLFF_1000$$$US01TQ1003</t>
  </si>
  <si>
    <t>CLFF_1000$$$US01TQ1004</t>
  </si>
  <si>
    <t>CLFF_1000$$$US01TQ1005</t>
  </si>
  <si>
    <t>CLFF_1000$$$US01TQ1006</t>
  </si>
  <si>
    <t>CLFF_1000$$$US01TQ1007</t>
  </si>
  <si>
    <t>CLFF_1000$$$US01TQ1008</t>
  </si>
  <si>
    <t>CLFF_1000$$$US01TQ1009</t>
  </si>
  <si>
    <t>CLFF_VMCA$$$US10TQ1001</t>
  </si>
  <si>
    <t>CLFF_VMCA$$$US10TQ1002</t>
  </si>
  <si>
    <t>CLFF_VMCA$$$US10TQ1003</t>
  </si>
  <si>
    <t>CLFF_VMCA$$$US10TQ1004</t>
  </si>
  <si>
    <t>CLFF_VMCA$$$US10TQ1005</t>
  </si>
  <si>
    <t>CLFF_VMCA$$$US10TQ1006</t>
  </si>
  <si>
    <t>CLFF_VMCA$$$US10TQ1007</t>
  </si>
  <si>
    <t>CLFF_VMCA$$$US10TQ1008</t>
  </si>
  <si>
    <t>CLFF_VMCA$$$US10TQ1009</t>
  </si>
  <si>
    <t>CLFF_VMCA$$$US10TQ1010</t>
  </si>
  <si>
    <t>CLFF_VMCA$$$US10TQ1011</t>
  </si>
  <si>
    <t>CLFF_VMCA$$$US10TQ1012</t>
  </si>
  <si>
    <t>CLFF_VMCA$$$US10TQ1013</t>
  </si>
  <si>
    <t>CLFF_1000$$$US01TPBZ01 Freight Collector - Inbound (BRB)</t>
  </si>
  <si>
    <t>CLFF_1000$$$US01TPBZ02 Freight Collector - Outbound (BRB)</t>
  </si>
  <si>
    <t>CLFF_1000$$$US01TQBZ01 BRB IC Outbound Freight Expense</t>
  </si>
  <si>
    <t>CLFF_1000$$$US01TQHZ01 Sheboygan Outbound Freight</t>
  </si>
  <si>
    <t>CLFF_1000$$$US01TQHZ03 Sheboygan IC Outbound Freight Expense</t>
  </si>
  <si>
    <t>CLFF_VMCA$$$US10DB3000 Catoosa Shipping</t>
  </si>
  <si>
    <t>CLFF_VMCA$$$US10DB3012 Carlsbad Shipping</t>
  </si>
  <si>
    <t>CLFF_VMCA$$$US10DB3013 Hometown PM Shipping</t>
  </si>
  <si>
    <t>CLFF_VMCA$$$US10DB3016 Tempe AM Shipping</t>
  </si>
  <si>
    <t>CLFF_VMCA$$$US10DB3017 Dallas AM Shipping</t>
  </si>
  <si>
    <t>CLFF_1000$$$US01TM2001</t>
  </si>
  <si>
    <t>CLFF_VMCA$$$US10TM2010</t>
  </si>
  <si>
    <t>CLFF_1000$$$US01TPPZ04 PM-US Logistics Organization</t>
  </si>
  <si>
    <t>CLFF_VMCA$$$US10DB3003 US Customer Fulfillment</t>
  </si>
  <si>
    <t>CLFF_VMCA$$$US10TM3001</t>
  </si>
  <si>
    <t>CLFF_VMCA$$$US10TM3002</t>
  </si>
  <si>
    <t>CLFF_VMCA$$$US10DB3014 3PL Customs &amp; Duties</t>
  </si>
  <si>
    <t>CLFF_1000$$$DE10B08450</t>
  </si>
  <si>
    <t>CLFF_1000$$$DE10A48610</t>
  </si>
  <si>
    <t>CLFF_1000$$$DE10A48607</t>
  </si>
  <si>
    <t>CLFF_1000$$$DE10538392</t>
  </si>
  <si>
    <t>CLFF_1000$$$DE20700060</t>
  </si>
  <si>
    <t>L000013429</t>
  </si>
  <si>
    <t>G000000877</t>
  </si>
  <si>
    <t>G000000544</t>
  </si>
  <si>
    <t>FR8012274</t>
  </si>
  <si>
    <t>Analyn Ayson</t>
  </si>
  <si>
    <t>???</t>
  </si>
  <si>
    <t>FR8015451</t>
  </si>
  <si>
    <t>PLEAN_X370121DE6514800 RT Ogsiveo Oth.Prom. MAP HTA</t>
  </si>
  <si>
    <t>PLEAN_X370131DE6514800 RT Ezmekly Oth.Prom. MAP HTA</t>
  </si>
  <si>
    <t>PLEAN_X310181DK5015201 Bavencio Commercial DK50 Other Promo and</t>
  </si>
  <si>
    <t>PLEAN_X370231CH7610201 RT Ezmekly COM Promo</t>
  </si>
  <si>
    <t>PLEAN_X370232AT5023200 RG Ezmekly Medical activities</t>
  </si>
  <si>
    <t>CSCALA_1759$E375</t>
  </si>
  <si>
    <t>CSCALA_1759$E376</t>
  </si>
  <si>
    <t>CSCALA_1759$O209</t>
  </si>
  <si>
    <t>CSCALA_1759$C229</t>
  </si>
  <si>
    <t>CSCALA_1759$C219</t>
  </si>
  <si>
    <t>CSCALA_1759$C220</t>
  </si>
  <si>
    <t>CSCALA_1759$C221</t>
  </si>
  <si>
    <t>CSCALA_1759$C222</t>
  </si>
  <si>
    <t>CSCALA_1759$C223</t>
  </si>
  <si>
    <t>CSCALA_1759$C224</t>
  </si>
  <si>
    <t>CSCALA_1759$C225</t>
  </si>
  <si>
    <t>CSCALA_1759$C226</t>
  </si>
  <si>
    <t>CSCALA_1759$C227</t>
  </si>
  <si>
    <t>CSCALA_1759$C228</t>
  </si>
  <si>
    <t>CSCALA_1759$C231</t>
  </si>
  <si>
    <t>CSCALA_1759$G233</t>
  </si>
  <si>
    <t>H000004527</t>
  </si>
  <si>
    <t>H000004517</t>
  </si>
  <si>
    <t>H000004515</t>
  </si>
  <si>
    <t>H000004528</t>
  </si>
  <si>
    <t>FR8017544</t>
  </si>
  <si>
    <t>CNOW_7210$$$0000021361</t>
  </si>
  <si>
    <t>G000001457</t>
  </si>
  <si>
    <t>G000001458</t>
  </si>
  <si>
    <t>G000001459</t>
  </si>
  <si>
    <t>G000001460</t>
  </si>
  <si>
    <t>G000000736</t>
  </si>
  <si>
    <t>P000001349</t>
  </si>
  <si>
    <t>P000001346</t>
  </si>
  <si>
    <t>P000001344</t>
  </si>
  <si>
    <t>P000001347</t>
  </si>
  <si>
    <t>P000001348</t>
  </si>
  <si>
    <t>P000001355</t>
  </si>
  <si>
    <t>P000001352</t>
  </si>
  <si>
    <t>P000001353</t>
  </si>
  <si>
    <t>P000001354</t>
  </si>
  <si>
    <t>P000001361</t>
  </si>
  <si>
    <t>P000001358</t>
  </si>
  <si>
    <t>P000001356</t>
  </si>
  <si>
    <t>P000001359</t>
  </si>
  <si>
    <t>P000001360</t>
  </si>
  <si>
    <t>H000004415</t>
  </si>
  <si>
    <t>H000004416</t>
  </si>
  <si>
    <t>PLEAN_X370131AT5015200</t>
  </si>
  <si>
    <t>PLEAN_X370122AT5023200</t>
  </si>
  <si>
    <t>CLFF_VMCA$$$TW10TQ1003</t>
  </si>
  <si>
    <t>FR8025328</t>
  </si>
  <si>
    <t>CSCALA_1248$VR00_L36</t>
  </si>
  <si>
    <t>CSCALA_1248$VR00_L37</t>
  </si>
  <si>
    <t>CSCALA_1248$VR00_L38</t>
  </si>
  <si>
    <t>CSCALA_1248$A350_L40</t>
  </si>
  <si>
    <t>FR8025270</t>
  </si>
  <si>
    <t>CSCALA_1248$A350</t>
  </si>
  <si>
    <t>CSCALA_1248$A350_L05</t>
  </si>
  <si>
    <t>CSCALA_1248$A350_L09</t>
  </si>
  <si>
    <t>CSCALA_1248$A350_L11</t>
  </si>
  <si>
    <t>CSCALA_1248$A350_L33</t>
  </si>
  <si>
    <t>FR8022798</t>
  </si>
  <si>
    <t>CSCALA_1022$RDG_L39</t>
  </si>
  <si>
    <t>CSCALA_1022$RDG_L38</t>
  </si>
  <si>
    <t>CSCALA_1022$RDG_L35</t>
  </si>
  <si>
    <t>CSCALA_1022$RDG_L36</t>
  </si>
  <si>
    <t>CSCALA_1022$RDG_L37</t>
  </si>
  <si>
    <t>CSCALA_1022$PVS_L40</t>
  </si>
  <si>
    <t>CSCALA_1248$6528_L40</t>
  </si>
  <si>
    <t>CSCALA_1248$6528_L39</t>
  </si>
  <si>
    <t>CSCALA_1248$VR00_V03</t>
  </si>
  <si>
    <t>CSCALA_1872$195_GCQ</t>
  </si>
  <si>
    <t>RDC0000993 Others</t>
  </si>
  <si>
    <t>H000001088</t>
  </si>
  <si>
    <t>H000001086</t>
  </si>
  <si>
    <t>H000000923</t>
  </si>
  <si>
    <t>FR8026215</t>
  </si>
  <si>
    <t>CSCALA_1248$A351</t>
  </si>
  <si>
    <t>CSCALA_1248$A351_L05</t>
  </si>
  <si>
    <t>CSCALA_1248$A351_L12</t>
  </si>
  <si>
    <t>CSCALA_1248$A351_L33</t>
  </si>
  <si>
    <t>CSCALA_1248$A351_L34</t>
  </si>
  <si>
    <t>FR8031573</t>
  </si>
  <si>
    <t>CFLTFLE_10548-151-RA REGULATORY AFFAIRS</t>
  </si>
  <si>
    <t>H000000719</t>
  </si>
  <si>
    <t>H000000725</t>
  </si>
  <si>
    <t>FR8032594</t>
  </si>
  <si>
    <t>CSCALA_1022$ITS_T02</t>
  </si>
  <si>
    <t>FR8035473</t>
  </si>
  <si>
    <t>CSCALA_1820$Q319_AQ2</t>
  </si>
  <si>
    <t>CSCALA_1025$25DS_B01</t>
  </si>
  <si>
    <t>CSCALA_1025$25RA_B05</t>
  </si>
  <si>
    <t>CSCALA_1042$MSRG_P19</t>
  </si>
  <si>
    <t>CSCALA_1042$MSRG_P48</t>
  </si>
  <si>
    <t>CSCALA_1248$A353_L33</t>
  </si>
  <si>
    <t>CSCALA_1248$A353_L12</t>
  </si>
  <si>
    <t>CSCALA_1248$A353_L05</t>
  </si>
  <si>
    <t>CSCALA_1248$A353_L34</t>
  </si>
  <si>
    <t>CSCALA_1248$A353 LPSO GPS</t>
  </si>
  <si>
    <t>H000001085</t>
  </si>
  <si>
    <t>H000001074</t>
  </si>
  <si>
    <t>H000000723</t>
  </si>
  <si>
    <t>H000000802</t>
  </si>
  <si>
    <t>H000000726</t>
  </si>
  <si>
    <t>FR8035432</t>
  </si>
  <si>
    <t>DFLTPGCOH_000000</t>
  </si>
  <si>
    <t>FR8039212</t>
  </si>
  <si>
    <t>FR8041482</t>
  </si>
  <si>
    <t xml:space="preserve">CPHOENX_01010000648924 </t>
  </si>
  <si>
    <t>CNOW_7210$$$0000008099</t>
  </si>
  <si>
    <t>CNOW_7210$$$0000010313</t>
  </si>
  <si>
    <t>CNOW_7210$$$0000015417</t>
  </si>
  <si>
    <t>CNOW_7210$$$0000057267</t>
  </si>
  <si>
    <t>CNOW_7210$$$0000020734</t>
  </si>
  <si>
    <t>CNOW_7210$$$0000020735</t>
  </si>
  <si>
    <t>CNOW_7210$$$0000040066</t>
  </si>
  <si>
    <t>CNOW_7210$$$0000020741</t>
  </si>
  <si>
    <t>CNOW_7210$$$0000020736</t>
  </si>
  <si>
    <t>CNOW_7210$$$0000020737</t>
  </si>
  <si>
    <t>CNOW_7210$$$0000020738</t>
  </si>
  <si>
    <t>CNOW_7210$$$0000020739</t>
  </si>
  <si>
    <t>CNOW_7210$$$0000025508</t>
  </si>
  <si>
    <t>CNOW_7210$$$0000057566</t>
  </si>
  <si>
    <t>CNOW_7210$$$0000269903</t>
  </si>
  <si>
    <t>CNOW_7210$$$0000009003</t>
  </si>
  <si>
    <t>CNOW_7210$$$0000025537</t>
  </si>
  <si>
    <t>CNOW_7210$$$0000020428</t>
  </si>
  <si>
    <t>CNOW_7210$$$0000020429</t>
  </si>
  <si>
    <t>CNOW_7210$$$0000040593</t>
  </si>
  <si>
    <t>CNOW_7210$$$0000020750</t>
  </si>
  <si>
    <t>CNOW_7210$$$0000497199</t>
  </si>
  <si>
    <t>CNOW_7210$$$0000008063</t>
  </si>
  <si>
    <t>CNOW_7210$$$0000008064</t>
  </si>
  <si>
    <t xml:space="preserve">D30012000000000 </t>
  </si>
  <si>
    <t>L000009635</t>
  </si>
  <si>
    <t>L000005341</t>
  </si>
  <si>
    <t>L000007080</t>
  </si>
  <si>
    <t>L000013317</t>
  </si>
  <si>
    <t>L000013227</t>
  </si>
  <si>
    <t>L000011186</t>
  </si>
  <si>
    <t>L000011185</t>
  </si>
  <si>
    <t>L000009119</t>
  </si>
  <si>
    <t>L000005269</t>
  </si>
  <si>
    <t>L000011184</t>
  </si>
  <si>
    <t>L000011188</t>
  </si>
  <si>
    <t>RDC0000095</t>
  </si>
  <si>
    <t>FR8025258</t>
  </si>
  <si>
    <t>CEMERAL_70006101LSCORE LS China Core and Capabilities</t>
  </si>
  <si>
    <t>CLFF_1000$$$DE10Z0319A LS Project Eagle</t>
  </si>
  <si>
    <t>CORAERP_MMOR1975.9114 LS Project Eagle</t>
  </si>
  <si>
    <t>CPHOENX_01010000697001 Project Eagle</t>
  </si>
  <si>
    <t>CNOW_7210$$$0000021307 Applied Solutions Mgmt</t>
  </si>
  <si>
    <t>L000013903</t>
  </si>
  <si>
    <t>L000013905</t>
  </si>
  <si>
    <t>L000005321</t>
  </si>
  <si>
    <t>FR8041722</t>
  </si>
  <si>
    <t>FR8049358</t>
  </si>
  <si>
    <t>D00134300000000 EUV Rinse G5 – Samsung SF1.4</t>
  </si>
  <si>
    <t>D00134400000000 EUV Rinse G5 – Intel A14</t>
  </si>
  <si>
    <t>D00134000000000 PFAS-free KrF Resist</t>
  </si>
  <si>
    <t>D00134100000000 EUV Rinse G5 – Micron 180s</t>
  </si>
  <si>
    <t>D00133900000000 PFAS-free i-line Resists</t>
  </si>
  <si>
    <t>D00134700000000 FZero Sensitizer tBuDHN</t>
  </si>
  <si>
    <t>D00134200000000 EUV Rinse G5 – SK Hynix D1d</t>
  </si>
  <si>
    <t>CLFF_1000$$$DE04OF1000 R&amp;D Europe GoGlobal Trainee</t>
  </si>
  <si>
    <t>CLFF_1000$$$DE01OF0304 PM-OES Supply Chain 4.0</t>
  </si>
  <si>
    <t>CLFF_1000$$$TW02TPTA14 PM-OES Supply Chain 4.0</t>
  </si>
  <si>
    <t>FR8056007</t>
  </si>
  <si>
    <t>P000000411</t>
  </si>
  <si>
    <t>CFLTFLE_2152IMIPEVOL01</t>
  </si>
  <si>
    <t>CFLTFLE_2152IMIPPCRD01</t>
  </si>
  <si>
    <t>CORAERP_MMOR1975.6201 GENM - CELL THERAPY BIOP. R&amp;D</t>
  </si>
  <si>
    <t>CTEMPLA_1000BR10000003 Downstream Marketing Brazil</t>
  </si>
  <si>
    <t>CTEMPEU_1000AT40MS0012 PS Downstream Aseptic for personell cost</t>
  </si>
  <si>
    <t>FR8060405</t>
  </si>
  <si>
    <t>L000013511</t>
  </si>
  <si>
    <t>L000013912</t>
  </si>
  <si>
    <t>L000013914</t>
  </si>
  <si>
    <t>L000013913</t>
  </si>
  <si>
    <t>FR8060333</t>
  </si>
  <si>
    <t>L000006661</t>
  </si>
  <si>
    <t>CNOW_7210$$$0000021322 SM-AL8 Biomolecular ARD US</t>
  </si>
  <si>
    <t>TO BE DONE IN 2026</t>
  </si>
  <si>
    <t>DE20529800</t>
  </si>
  <si>
    <t>DE20529900</t>
  </si>
  <si>
    <t>G000000482</t>
  </si>
  <si>
    <t>FR8078900</t>
  </si>
  <si>
    <t>CLFF_1000$$$DE20529800</t>
  </si>
  <si>
    <t>CLFF_1000$$$DE20529900</t>
  </si>
  <si>
    <t>FR8078609</t>
  </si>
  <si>
    <t xml:space="preserve">CORAERP_MMOR1975.6635 6635 </t>
  </si>
  <si>
    <t xml:space="preserve">PNEXT_D300120210201000000 </t>
  </si>
  <si>
    <t xml:space="preserve">IEMERAL_000009101287 </t>
  </si>
  <si>
    <t xml:space="preserve">CSCALA_1248$BMGR </t>
  </si>
  <si>
    <t xml:space="preserve">T00054100000 </t>
  </si>
  <si>
    <t xml:space="preserve">CORAERP_MMOR1945.5595 </t>
  </si>
  <si>
    <t xml:space="preserve">CORAERP_MMOR1945.5898 </t>
  </si>
  <si>
    <t>L000007087</t>
  </si>
  <si>
    <t>L000008442</t>
  </si>
  <si>
    <t>L000005798</t>
  </si>
  <si>
    <t>L000007997</t>
  </si>
  <si>
    <t>L000012324</t>
  </si>
  <si>
    <t>DE10538620</t>
  </si>
  <si>
    <t>DE20538620</t>
  </si>
  <si>
    <t>CLFF_1000$$$DE10538620</t>
  </si>
  <si>
    <t>CLFF_1000$$$DE20538620</t>
  </si>
  <si>
    <t>FR8078188</t>
  </si>
  <si>
    <t>D30012000000000</t>
  </si>
  <si>
    <t>DFLTPGCOH_DIV-65_001060_IO</t>
  </si>
  <si>
    <t>DFLTPGCOH_BF-H6_001248</t>
  </si>
  <si>
    <t>DFLTPGCOH_DIV-65_001945</t>
  </si>
  <si>
    <t>DFLTPGCOH_DIV-63_001945</t>
  </si>
  <si>
    <t>STANDARD</t>
  </si>
  <si>
    <t>G000000864</t>
  </si>
  <si>
    <t>DFLTPGCOH_MISSING_NODES</t>
  </si>
  <si>
    <t>DFLTPGCOH_002152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</si>
</sst>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8">
    <numFmt numFmtId="42" formatCode="_(&quot;$&quot;* #,##0_);_(&quot;$&quot;* \(#,##0\);_(&quot;$&quot;* &quot;-&quot;_);_(@_)"/>
    <numFmt numFmtId="41" formatCode="_(* #,##0_);_(* \(#,##0\);_(* &quot;-&quot;_);_(@_)"/>
    <numFmt numFmtId="44" formatCode="_(&quot;$&quot;* #,##0.00_);_(&quot;$&quot;* \(#,##0.00\);_(&quot;$&quot;* &quot;-&quot;??_);_(@_)"/>
    <numFmt numFmtId="43" formatCode="_(* #,##0.00_);_(* \(#,##0.00\);_(* &quot;-&quot;??_);_(@_)"/>
    <numFmt numFmtId="164" formatCode="_(&quot;₱&quot;* #,##0_);_(&quot;₱&quot;* \(#,##0\);_(&quot;₱&quot;* &quot;-&quot;_);_(@_)"/>
    <numFmt numFmtId="165" formatCode="_(&quot;₱&quot;* #,##0.00_);_(&quot;₱&quot;* \(#,##0.00\);_(&quot;₱&quot;* &quot;-&quot;??_);_(@_)"/>
    <numFmt numFmtId="166" formatCode="_ * #,##0.00_ ;_ * \-#,##0.00_ ;_ * &quot;-&quot;??_ ;_ @_ "/>
    <numFmt numFmtId="167" formatCode="[$-F400]h:mm:ss\ AM/PM"/>
  </numFmts>
  <fonts count="26">
    <font>
      <sz val="11"/>
      <color theme="1"/>
      <name val="Calibri"/>
      <family val="2"/>
      <scheme val="minor"/>
    </font>
    <font>
      <sz val="8"/>
      <color rgb="FF000000"/>
      <name val="Verdana"/>
      <family val="2"/>
    </font>
    <font>
      <sz val="11"/>
      <color theme="1"/>
      <name val="Calibri"/>
      <family val="2"/>
      <charset val="238"/>
      <scheme val="minor"/>
    </font>
    <font>
      <sz val="10"/>
      <color theme="1"/>
      <name val="Segoe UI"/>
      <family val="2"/>
    </font>
    <font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0.5"/>
      <color rgb="FF165D81"/>
      <name val="Calibri"/>
      <family val="2"/>
    </font>
    <font>
      <b/>
      <sz val="10.5"/>
      <color theme="1" tint="0.24994659260841701"/>
      <name val="Calibri"/>
      <family val="2"/>
    </font>
    <font>
      <b/>
      <sz val="10.5"/>
      <color theme="1" tint="0.34998626667073579"/>
      <name val="Calibri"/>
      <family val="2"/>
    </font>
    <font>
      <b/>
      <sz val="10.5"/>
      <color theme="4"/>
      <name val="Calibri"/>
      <family val="2"/>
    </font>
    <font>
      <b/>
      <sz val="10.5"/>
      <color theme="7"/>
      <name val="Calibri"/>
      <family val="2"/>
    </font>
    <font>
      <b/>
      <sz val="10.5"/>
      <color theme="5" tint="0.39994506668294322"/>
      <name val="Calibri"/>
      <family val="2"/>
    </font>
    <font>
      <b/>
      <sz val="10.5"/>
      <color rgb="FF336577"/>
      <name val="Calibri"/>
      <family val="2"/>
    </font>
    <font>
      <b/>
      <sz val="10.5"/>
      <color theme="6" tint="-0.24994659260841701"/>
      <name val="Calibri"/>
      <family val="2"/>
    </font>
    <font>
      <b/>
      <sz val="10.5"/>
      <color theme="3" tint="0.39994506668294322"/>
      <name val="Calibri"/>
      <family val="2"/>
    </font>
    <font>
      <sz val="11"/>
      <color theme="1"/>
      <name val="Calibri"/>
      <family val="2"/>
      <charset val="134"/>
      <scheme val="minor"/>
    </font>
    <font>
      <sz val="9"/>
      <color theme="1"/>
      <name val="Verdana"/>
      <family val="2"/>
    </font>
    <font>
      <sz val="10"/>
      <color theme="1"/>
      <name val="Calibri"/>
      <family val="2"/>
      <scheme val="minor"/>
    </font>
    <font>
      <sz val="11"/>
      <color rgb="FF000000"/>
      <name val="Calibri"/>
      <family val="2"/>
      <scheme val="minor"/>
    </font>
    <font>
      <sz val="10"/>
      <name val="Arial"/>
      <family val="2"/>
    </font>
    <font>
      <sz val="11"/>
      <color indexed="8"/>
      <name val="Calibri"/>
      <family val="2"/>
      <scheme val="minor"/>
    </font>
    <font>
      <sz val="11"/>
      <color theme="1"/>
      <name val="Verdana Pro"/>
      <family val="2"/>
    </font>
    <font>
      <sz val="11"/>
      <color indexed="8"/>
      <name val="Calibri"/>
      <family val="2"/>
    </font>
    <font>
      <sz val="11"/>
      <color rgb="FF000000"/>
      <name val="Calibri"/>
      <family val="2"/>
    </font>
    <font>
      <sz val="10"/>
      <color theme="1"/>
      <name val="Arial Narrow"/>
      <family val="2"/>
    </font>
  </fonts>
  <fills count="11">
    <fill>
      <patternFill patternType="none"/>
    </fill>
    <fill>
      <patternFill patternType="gray125"/>
    </fill>
    <fill>
      <patternFill patternType="solid">
        <fgColor rgb="FFE9EFF7"/>
        <bgColor rgb="FF000000"/>
      </patternFill>
    </fill>
    <fill>
      <patternFill patternType="solid">
        <fgColor rgb="FFF1F5FB"/>
        <bgColor rgb="FF000000"/>
      </patternFill>
    </fill>
    <fill>
      <patternFill patternType="solid">
        <fgColor theme="9" tint="0.79998168889431442"/>
        <bgColor theme="9" tint="0.79998168889431442"/>
      </patternFill>
    </fill>
    <fill>
      <patternFill patternType="solid">
        <fgColor rgb="FFBED7A5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DBE5F2"/>
        <bgColor rgb="FF000000"/>
      </patternFill>
    </fill>
    <fill>
      <patternFill patternType="solid">
        <fgColor rgb="FFE9EFF7"/>
        <bgColor indexed="64"/>
      </patternFill>
    </fill>
    <fill>
      <patternFill patternType="solid">
        <fgColor rgb="FFDEFBE6"/>
        <bgColor indexed="64"/>
      </patternFill>
    </fill>
  </fills>
  <borders count="16">
    <border>
      <left/>
      <right/>
      <top/>
      <bottom/>
      <diagonal/>
    </border>
    <border>
      <left style="thin">
        <color theme="3" tint="-0.24994659260841701"/>
      </left>
      <right style="thin">
        <color theme="3" tint="-0.24994659260841701"/>
      </right>
      <top style="thin">
        <color theme="3" tint="-0.24994659260841701"/>
      </top>
      <bottom style="thin">
        <color theme="3" tint="-0.24994659260841701"/>
      </bottom>
      <diagonal/>
    </border>
    <border>
      <left style="thin">
        <color rgb="FF808080"/>
      </left>
      <right style="thin">
        <color rgb="FF808080"/>
      </right>
      <top style="thin">
        <color rgb="FF808080"/>
      </top>
      <bottom style="thin">
        <color rgb="FF808080"/>
      </bottom>
      <diagonal/>
    </border>
    <border>
      <left/>
      <right/>
      <top style="thin">
        <color theme="9" tint="0.39997558519241921"/>
      </top>
      <bottom style="thin">
        <color theme="9" tint="0.39997558519241921"/>
      </bottom>
      <diagonal/>
    </border>
    <border>
      <left/>
      <right/>
      <top/>
      <bottom style="thin">
        <color theme="9" tint="0.39997558519241921"/>
      </bottom>
      <diagonal/>
    </border>
    <border>
      <left/>
      <right/>
      <top style="thin">
        <color theme="9" tint="0.39997558519241921"/>
      </top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medium">
        <color theme="0" tint="-0.24994659260841701"/>
      </left>
      <right style="medium">
        <color theme="0" tint="-0.24994659260841701"/>
      </right>
      <top style="medium">
        <color theme="0" tint="-0.24994659260841701"/>
      </top>
      <bottom style="medium">
        <color theme="0" tint="-0.24994659260841701"/>
      </bottom>
      <diagonal/>
    </border>
    <border>
      <left style="thin">
        <color theme="0" tint="-0.24994659260841701"/>
      </left>
      <right style="thin">
        <color theme="0" tint="-0.24994659260841701"/>
      </right>
      <top/>
      <bottom/>
      <diagonal/>
    </border>
    <border>
      <left style="thin">
        <color theme="0" tint="-0.24994659260841701"/>
      </left>
      <right style="medium">
        <color theme="0" tint="-0.24994659260841701"/>
      </right>
      <top style="thin">
        <color theme="0" tint="-0.24994659260841701"/>
      </top>
      <bottom style="thin">
        <color theme="0" tint="-0.24994659260841701"/>
      </bottom>
      <diagonal/>
    </border>
    <border>
      <left style="thin">
        <color theme="0" tint="-0.24994659260841701"/>
      </left>
      <right style="thin">
        <color theme="0" tint="-0.24994659260841701"/>
      </right>
      <top style="thin">
        <color theme="0" tint="-0.24994659260841701"/>
      </top>
      <bottom style="medium">
        <color theme="0" tint="-0.24994659260841701"/>
      </bottom>
      <diagonal/>
    </border>
    <border>
      <left style="thin">
        <color theme="0" tint="-0.24994659260841701"/>
      </left>
      <right style="thin">
        <color theme="0" tint="-0.24994659260841701"/>
      </right>
      <top style="thin">
        <color theme="0" tint="-0.24994659260841701"/>
      </top>
      <bottom style="thin">
        <color theme="0" tint="-0.2499465926084170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/>
      <diagonal/>
    </border>
    <border>
      <left style="thin">
        <color theme="3" tint="-0.24991607409894101"/>
      </left>
      <right style="thin">
        <color theme="3" tint="-0.24991607409894101"/>
      </right>
      <top style="thin">
        <color theme="3" tint="-0.24991607409894101"/>
      </top>
      <bottom style="thin">
        <color theme="3" tint="-0.24991607409894101"/>
      </bottom>
      <diagonal/>
    </border>
    <border>
      <left style="dotted">
        <color rgb="FF3BAB5A"/>
      </left>
      <right style="dotted">
        <color rgb="FF3BAB5A"/>
      </right>
      <top style="dotted">
        <color rgb="FF3BAB5A"/>
      </top>
      <bottom style="dotted">
        <color rgb="FF3BAB5A"/>
      </bottom>
      <diagonal/>
    </border>
  </borders>
  <cellStyleXfs count="108">
    <xf numFmtId="0" fontId="0" fillId="0" borderId="0"/>
    <xf numFmtId="0" fontId="2" fillId="0" borderId="0"/>
    <xf numFmtId="0" fontId="1" fillId="2" borderId="1" applyNumberFormat="0" applyAlignment="0" applyProtection="0">
      <alignment horizontal="left" vertical="center" indent="1"/>
    </xf>
    <xf numFmtId="0" fontId="1" fillId="3" borderId="2" applyNumberFormat="0" applyAlignment="0" applyProtection="0">
      <alignment horizontal="left" vertical="center" indent="1"/>
    </xf>
    <xf numFmtId="0" fontId="3" fillId="0" borderId="0"/>
    <xf numFmtId="9" fontId="4" fillId="0" borderId="0" applyFont="0" applyFill="0" applyBorder="0" applyAlignment="0" applyProtection="0"/>
    <xf numFmtId="0" fontId="4" fillId="0" borderId="0"/>
    <xf numFmtId="0" fontId="7" fillId="0" borderId="7" applyNumberFormat="0" applyFill="0" applyProtection="0">
      <alignment horizontal="center" vertical="center"/>
    </xf>
    <xf numFmtId="3" fontId="8" fillId="0" borderId="8" applyFont="0" applyFill="0" applyAlignment="0" applyProtection="0"/>
    <xf numFmtId="3" fontId="8" fillId="0" borderId="8" applyFont="0" applyFill="0" applyAlignment="0" applyProtection="0"/>
    <xf numFmtId="3" fontId="8" fillId="0" borderId="8" applyFont="0" applyFill="0" applyAlignment="0" applyProtection="0"/>
    <xf numFmtId="3" fontId="8" fillId="0" borderId="8" applyFont="0" applyFill="0" applyAlignment="0" applyProtection="0"/>
    <xf numFmtId="3" fontId="8" fillId="0" borderId="8" applyFont="0" applyFill="0" applyAlignment="0" applyProtection="0"/>
    <xf numFmtId="3" fontId="8" fillId="0" borderId="8" applyFont="0" applyFill="0" applyAlignment="0" applyProtection="0"/>
    <xf numFmtId="3" fontId="8" fillId="0" borderId="8" applyFont="0" applyFill="0" applyAlignment="0" applyProtection="0"/>
    <xf numFmtId="3" fontId="8" fillId="0" borderId="8" applyFont="0" applyFill="0" applyAlignment="0" applyProtection="0"/>
    <xf numFmtId="3" fontId="7" fillId="0" borderId="7" applyNumberFormat="0" applyFill="0" applyAlignment="0" applyProtection="0"/>
    <xf numFmtId="0" fontId="7" fillId="0" borderId="7" applyNumberFormat="0" applyFill="0" applyAlignment="0" applyProtection="0"/>
    <xf numFmtId="3" fontId="7" fillId="0" borderId="7" applyNumberFormat="0" applyFill="0" applyAlignment="0" applyProtection="0"/>
    <xf numFmtId="0" fontId="7" fillId="0" borderId="7" applyNumberFormat="0" applyFill="0" applyAlignment="0" applyProtection="0"/>
    <xf numFmtId="0" fontId="7" fillId="0" borderId="7" applyNumberFormat="0" applyFill="0" applyAlignment="0" applyProtection="0"/>
    <xf numFmtId="0" fontId="7" fillId="0" borderId="7" applyNumberFormat="0" applyFill="0" applyAlignment="0" applyProtection="0"/>
    <xf numFmtId="0" fontId="7" fillId="0" borderId="7" applyNumberFormat="0" applyFill="0" applyAlignment="0" applyProtection="0"/>
    <xf numFmtId="0" fontId="7" fillId="0" borderId="7" applyNumberFormat="0" applyFill="0" applyAlignment="0" applyProtection="0"/>
    <xf numFmtId="3" fontId="8" fillId="0" borderId="0" applyNumberFormat="0" applyBorder="0" applyAlignment="0" applyProtection="0"/>
    <xf numFmtId="3" fontId="8" fillId="0" borderId="0" applyNumberFormat="0" applyBorder="0" applyAlignment="0" applyProtection="0"/>
    <xf numFmtId="3" fontId="8" fillId="0" borderId="0" applyNumberFormat="0" applyBorder="0" applyAlignment="0" applyProtection="0"/>
    <xf numFmtId="3" fontId="8" fillId="0" borderId="0" applyNumberFormat="0" applyBorder="0" applyAlignment="0" applyProtection="0"/>
    <xf numFmtId="3" fontId="8" fillId="0" borderId="0" applyNumberFormat="0" applyBorder="0" applyAlignment="0" applyProtection="0"/>
    <xf numFmtId="3" fontId="8" fillId="0" borderId="8" applyNumberFormat="0" applyBorder="0" applyAlignment="0" applyProtection="0"/>
    <xf numFmtId="3" fontId="8" fillId="0" borderId="8" applyNumberFormat="0" applyBorder="0" applyAlignment="0" applyProtection="0"/>
    <xf numFmtId="3" fontId="8" fillId="0" borderId="8" applyNumberFormat="0" applyBorder="0" applyAlignment="0" applyProtection="0"/>
    <xf numFmtId="0" fontId="8" fillId="0" borderId="8" applyNumberFormat="0" applyFill="0" applyAlignment="0" applyProtection="0"/>
    <xf numFmtId="0" fontId="8" fillId="0" borderId="8" applyNumberFormat="0" applyFill="0" applyAlignment="0" applyProtection="0"/>
    <xf numFmtId="0" fontId="8" fillId="0" borderId="8">
      <alignment horizontal="right" vertical="center"/>
    </xf>
    <xf numFmtId="3" fontId="8" fillId="5" borderId="8">
      <alignment horizontal="center" vertical="center"/>
    </xf>
    <xf numFmtId="0" fontId="8" fillId="5" borderId="8">
      <alignment horizontal="right" vertical="center"/>
    </xf>
    <xf numFmtId="0" fontId="7" fillId="0" borderId="9">
      <alignment horizontal="left" vertical="center"/>
    </xf>
    <xf numFmtId="0" fontId="7" fillId="0" borderId="10">
      <alignment horizontal="center" vertical="center"/>
    </xf>
    <xf numFmtId="0" fontId="9" fillId="0" borderId="11">
      <alignment horizontal="center" vertical="center"/>
    </xf>
    <xf numFmtId="0" fontId="8" fillId="6" borderId="8"/>
    <xf numFmtId="3" fontId="10" fillId="0" borderId="8"/>
    <xf numFmtId="3" fontId="11" fillId="0" borderId="8"/>
    <xf numFmtId="0" fontId="7" fillId="0" borderId="10">
      <alignment horizontal="left" vertical="top"/>
    </xf>
    <xf numFmtId="0" fontId="12" fillId="0" borderId="8"/>
    <xf numFmtId="0" fontId="7" fillId="0" borderId="10">
      <alignment horizontal="left" vertical="center"/>
    </xf>
    <xf numFmtId="0" fontId="8" fillId="5" borderId="6"/>
    <xf numFmtId="3" fontId="8" fillId="0" borderId="8">
      <alignment horizontal="right" vertical="center"/>
    </xf>
    <xf numFmtId="0" fontId="7" fillId="0" borderId="10">
      <alignment horizontal="right" vertical="center"/>
    </xf>
    <xf numFmtId="0" fontId="8" fillId="0" borderId="11">
      <alignment horizontal="center" vertical="center"/>
    </xf>
    <xf numFmtId="3" fontId="8" fillId="0" borderId="8"/>
    <xf numFmtId="3" fontId="8" fillId="0" borderId="8"/>
    <xf numFmtId="0" fontId="8" fillId="0" borderId="11">
      <alignment horizontal="center" vertical="center" wrapText="1"/>
    </xf>
    <xf numFmtId="0" fontId="13" fillId="0" borderId="11">
      <alignment horizontal="left" vertical="center" indent="1"/>
    </xf>
    <xf numFmtId="0" fontId="14" fillId="0" borderId="8"/>
    <xf numFmtId="0" fontId="7" fillId="0" borderId="9">
      <alignment horizontal="left" vertical="center"/>
    </xf>
    <xf numFmtId="3" fontId="8" fillId="0" borderId="8">
      <alignment horizontal="center" vertical="center"/>
    </xf>
    <xf numFmtId="0" fontId="7" fillId="0" borderId="10">
      <alignment horizontal="center" vertical="center"/>
    </xf>
    <xf numFmtId="0" fontId="7" fillId="0" borderId="10">
      <alignment horizontal="center" vertical="center"/>
    </xf>
    <xf numFmtId="0" fontId="7" fillId="0" borderId="9">
      <alignment horizontal="left" vertical="center"/>
    </xf>
    <xf numFmtId="0" fontId="7" fillId="0" borderId="9">
      <alignment horizontal="left" vertical="center"/>
    </xf>
    <xf numFmtId="0" fontId="15" fillId="0" borderId="8"/>
    <xf numFmtId="167" fontId="16" fillId="0" borderId="0">
      <alignment vertical="center"/>
    </xf>
    <xf numFmtId="166" fontId="16" fillId="0" borderId="0" applyFont="0" applyFill="0" applyBorder="0" applyAlignment="0" applyProtection="0"/>
    <xf numFmtId="0" fontId="4" fillId="0" borderId="0"/>
    <xf numFmtId="0" fontId="17" fillId="0" borderId="0"/>
    <xf numFmtId="0" fontId="18" fillId="0" borderId="0"/>
    <xf numFmtId="0" fontId="1" fillId="8" borderId="1" applyNumberFormat="0" applyAlignment="0" applyProtection="0">
      <alignment horizontal="left" vertical="center" indent="1"/>
    </xf>
    <xf numFmtId="0" fontId="18" fillId="0" borderId="0"/>
    <xf numFmtId="0" fontId="17" fillId="0" borderId="0"/>
    <xf numFmtId="9" fontId="4" fillId="0" borderId="0" applyFont="0" applyFill="0" applyBorder="0" applyAlignment="0" applyProtection="0"/>
    <xf numFmtId="165" fontId="20" fillId="0" borderId="0" applyFont="0" applyFill="0" applyBorder="0" applyAlignment="0" applyProtection="0"/>
    <xf numFmtId="164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41" fontId="20" fillId="0" borderId="0" applyFont="0" applyFill="0" applyBorder="0" applyAlignment="0" applyProtection="0"/>
    <xf numFmtId="0" fontId="20" fillId="0" borderId="0"/>
    <xf numFmtId="0" fontId="1" fillId="9" borderId="14" applyNumberFormat="0" applyProtection="0"/>
    <xf numFmtId="165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0" fontId="21" fillId="0" borderId="0"/>
    <xf numFmtId="3" fontId="7" fillId="0" borderId="7" applyFill="0" applyAlignment="0" applyProtection="0"/>
    <xf numFmtId="3" fontId="7" fillId="0" borderId="7" applyFill="0" applyAlignment="0" applyProtection="0"/>
    <xf numFmtId="3" fontId="7" fillId="0" borderId="7" applyFill="0" applyAlignment="0" applyProtection="0"/>
    <xf numFmtId="3" fontId="7" fillId="0" borderId="7" applyFill="0" applyAlignment="0" applyProtection="0"/>
    <xf numFmtId="0" fontId="7" fillId="0" borderId="7" applyFill="0" applyAlignment="0" applyProtection="0"/>
    <xf numFmtId="3" fontId="7" fillId="0" borderId="7" applyFill="0" applyAlignment="0" applyProtection="0"/>
    <xf numFmtId="0" fontId="7" fillId="0" borderId="10">
      <alignment horizontal="center" vertical="center"/>
    </xf>
    <xf numFmtId="0" fontId="7" fillId="0" borderId="10">
      <alignment horizontal="center" vertical="center"/>
    </xf>
    <xf numFmtId="3" fontId="8" fillId="0" borderId="8" applyFont="0" applyFill="0" applyAlignment="0" applyProtection="0"/>
    <xf numFmtId="0" fontId="8" fillId="0" borderId="8" applyFill="0" applyAlignment="0" applyProtection="0"/>
    <xf numFmtId="0" fontId="7" fillId="0" borderId="7" applyFill="0" applyAlignment="0" applyProtection="0"/>
    <xf numFmtId="3" fontId="7" fillId="0" borderId="7" applyFill="0" applyAlignment="0" applyProtection="0"/>
    <xf numFmtId="0" fontId="7" fillId="0" borderId="7" applyFill="0" applyAlignment="0" applyProtection="0"/>
    <xf numFmtId="0" fontId="7" fillId="0" borderId="7" applyFill="0" applyAlignment="0" applyProtection="0"/>
    <xf numFmtId="0" fontId="7" fillId="0" borderId="7" applyFill="0" applyAlignment="0" applyProtection="0"/>
    <xf numFmtId="0" fontId="7" fillId="0" borderId="7" applyFill="0" applyAlignment="0" applyProtection="0"/>
    <xf numFmtId="0" fontId="7" fillId="0" borderId="9">
      <alignment horizontal="left" vertical="center"/>
    </xf>
    <xf numFmtId="3" fontId="7" fillId="0" borderId="7" applyFill="0" applyAlignment="0" applyProtection="0"/>
    <xf numFmtId="0" fontId="22" fillId="0" borderId="0"/>
    <xf numFmtId="43" fontId="22" fillId="0" borderId="0" applyFont="0" applyFill="0" applyBorder="0" applyAlignment="0" applyProtection="0"/>
    <xf numFmtId="0" fontId="20" fillId="0" borderId="0"/>
    <xf numFmtId="0" fontId="25" fillId="0" borderId="0">
      <alignment vertical="center"/>
    </xf>
    <xf numFmtId="44" fontId="20" fillId="0" borderId="0" applyFont="0" applyFill="0" applyBorder="0" applyAlignment="0" applyProtection="0"/>
    <xf numFmtId="42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3" fontId="7" fillId="10" borderId="15" applyNumberFormat="0" applyFont="0" applyAlignment="0" applyProtection="0"/>
    <xf numFmtId="0" fontId="4" fillId="0" borderId="0"/>
    <xf numFmtId="0" fontId="4" fillId="0" borderId="0"/>
  </cellStyleXfs>
  <cellXfs count="178">
    <xf numFmtId="0" fontId="0" fillId="0" borderId="0" xfId="0"/>
    <xf numFmtId="14" fontId="0" fillId="0" borderId="0" xfId="0" applyNumberFormat="1"/>
    <xf numFmtId="0" fontId="0" fillId="0" borderId="0" xfId="0" applyAlignment="1">
      <alignment horizontal="left"/>
    </xf>
    <xf numFmtId="2" fontId="0" fillId="0" borderId="0" xfId="0" applyNumberFormat="1"/>
    <xf numFmtId="9" fontId="0" fillId="0" borderId="0" xfId="5" applyFont="1"/>
    <xf numFmtId="0" fontId="0" fillId="0" borderId="0" xfId="5" applyNumberFormat="1" applyFont="1"/>
    <xf numFmtId="1" fontId="0" fillId="0" borderId="0" xfId="5" applyNumberFormat="1" applyFont="1"/>
    <xf numFmtId="0" fontId="6" fillId="0" borderId="0" xfId="0" applyFont="1" applyAlignment="1">
      <alignment horizontal="left"/>
    </xf>
    <xf numFmtId="0" fontId="6" fillId="0" borderId="0" xfId="0" applyFont="1"/>
    <xf numFmtId="0" fontId="0" fillId="4" borderId="3" xfId="0" applyFill="1" applyBorder="1"/>
    <xf numFmtId="0" fontId="0" fillId="4" borderId="4" xfId="0" applyFill="1" applyBorder="1"/>
    <xf numFmtId="0" fontId="0" fillId="4" borderId="5" xfId="0" applyFill="1" applyBorder="1"/>
    <xf numFmtId="0" fontId="0" fillId="7" borderId="12" xfId="0" applyFill="1" applyBorder="1"/>
    <xf numFmtId="0" fontId="0" fillId="7" borderId="13" xfId="0" applyFill="1" applyBorder="1"/>
    <xf numFmtId="14" fontId="0" fillId="0" borderId="0" xfId="0" applyNumberFormat="1"/>
    <xf numFmtId="0" fontId="0" fillId="0" borderId="0" xfId="0" applyNumberFormat="1"/>
    <xf numFmtId="0" fontId="0" fillId="0" borderId="0" xfId="0"/>
    <xf numFmtId="0" fontId="0" fillId="0" borderId="0" xfId="0" applyAlignment="1">
      <alignment horizontal="left"/>
    </xf>
    <xf numFmtId="0" fontId="0" fillId="0" borderId="0" xfId="0"/>
    <xf numFmtId="0" fontId="0" fillId="0" borderId="0" xfId="0" applyNumberFormat="1"/>
    <xf numFmtId="0" fontId="0" fillId="0" borderId="0" xfId="0"/>
    <xf numFmtId="0" fontId="0" fillId="0" borderId="0" xfId="0"/>
    <xf numFmtId="0" fontId="0" fillId="0" borderId="0" xfId="0"/>
    <xf numFmtId="0" fontId="0" fillId="0" borderId="0" xfId="0" applyNumberFormat="1"/>
    <xf numFmtId="0" fontId="6" fillId="0" borderId="0" xfId="0" applyFont="1" applyBorder="1" applyAlignment="1">
      <alignment horizontal="left"/>
    </xf>
    <xf numFmtId="0" fontId="6" fillId="0" borderId="0" xfId="0" applyNumberFormat="1" applyFont="1" applyBorder="1"/>
    <xf numFmtId="14" fontId="0" fillId="0" borderId="0" xfId="0" applyNumberFormat="1"/>
    <xf numFmtId="14" fontId="0" fillId="0" borderId="0" xfId="0" applyNumberFormat="1"/>
    <xf numFmtId="0" fontId="0" fillId="0" borderId="0" xfId="0"/>
    <xf numFmtId="0" fontId="0" fillId="0" borderId="0" xfId="0" applyBorder="1"/>
    <xf numFmtId="0" fontId="6" fillId="0" borderId="0" xfId="0" applyNumberFormat="1" applyFont="1"/>
    <xf numFmtId="0" fontId="0" fillId="0" borderId="0" xfId="0" applyFont="1" applyAlignment="1"/>
    <xf numFmtId="0" fontId="0" fillId="0" borderId="0" xfId="0" applyNumberFormat="1" applyFont="1"/>
    <xf numFmtId="0" fontId="0" fillId="0" borderId="0" xfId="0" applyFont="1" applyAlignment="1">
      <alignment horizontal="left"/>
    </xf>
    <xf numFmtId="0" fontId="0" fillId="0" borderId="0" xfId="0" applyNumberFormat="1" applyFont="1" applyAlignment="1">
      <alignment horizontal="right"/>
    </xf>
    <xf numFmtId="0" fontId="0" fillId="0" borderId="0" xfId="0" applyNumberFormat="1" applyFont="1" applyAlignment="1"/>
    <xf numFmtId="14" fontId="0" fillId="0" borderId="0" xfId="0" applyNumberFormat="1"/>
    <xf numFmtId="14" fontId="0" fillId="0" borderId="0" xfId="0" applyNumberFormat="1"/>
    <xf numFmtId="0" fontId="0" fillId="0" borderId="0" xfId="0"/>
    <xf numFmtId="0" fontId="0" fillId="0" borderId="0" xfId="0" applyNumberFormat="1"/>
    <xf numFmtId="0" fontId="0" fillId="0" borderId="0" xfId="0" applyFont="1" applyAlignment="1">
      <alignment vertical="top"/>
    </xf>
    <xf numFmtId="14" fontId="0" fillId="0" borderId="0" xfId="0" applyNumberFormat="1"/>
    <xf numFmtId="0" fontId="0" fillId="0" borderId="0" xfId="0" applyAlignment="1"/>
    <xf numFmtId="0" fontId="0" fillId="0" borderId="0" xfId="0" applyNumberFormat="1" applyAlignment="1"/>
    <xf numFmtId="14" fontId="0" fillId="0" borderId="0" xfId="0" applyNumberFormat="1"/>
    <xf numFmtId="0" fontId="19" fillId="0" borderId="0" xfId="0" applyFont="1"/>
    <xf numFmtId="0" fontId="0" fillId="0" borderId="0" xfId="0"/>
    <xf numFmtId="0" fontId="0" fillId="0" borderId="0" xfId="0"/>
    <xf numFmtId="14" fontId="0" fillId="0" borderId="0" xfId="0" applyNumberFormat="1"/>
    <xf numFmtId="0" fontId="0" fillId="0" borderId="0" xfId="0"/>
    <xf numFmtId="0" fontId="0" fillId="0" borderId="0" xfId="0"/>
    <xf numFmtId="0" fontId="0" fillId="0" borderId="0" xfId="0"/>
    <xf numFmtId="0" fontId="0" fillId="0" borderId="0" xfId="0"/>
    <xf numFmtId="0" fontId="0" fillId="0" borderId="0" xfId="0"/>
    <xf numFmtId="14" fontId="0" fillId="0" borderId="0" xfId="0" applyNumberFormat="1"/>
    <xf numFmtId="0" fontId="0" fillId="0" borderId="0" xfId="0"/>
    <xf numFmtId="0" fontId="0" fillId="0" borderId="0" xfId="0"/>
    <xf numFmtId="0" fontId="0" fillId="0" borderId="0" xfId="0"/>
    <xf numFmtId="0" fontId="0" fillId="0" borderId="0" xfId="0"/>
    <xf numFmtId="0" fontId="0" fillId="0" borderId="0" xfId="0"/>
    <xf numFmtId="0" fontId="0" fillId="0" borderId="0" xfId="0" applyNumberFormat="1"/>
    <xf numFmtId="0" fontId="0" fillId="0" borderId="0" xfId="0"/>
    <xf numFmtId="0" fontId="0" fillId="0" borderId="0" xfId="0"/>
    <xf numFmtId="0" fontId="0" fillId="0" borderId="0" xfId="0" applyFont="1"/>
    <xf numFmtId="14" fontId="0" fillId="0" borderId="0" xfId="0" applyNumberFormat="1"/>
    <xf numFmtId="0" fontId="23" fillId="0" borderId="0" xfId="0" applyNumberFormat="1" applyFont="1" applyFill="1" applyBorder="1" applyAlignment="1" applyProtection="1"/>
    <xf numFmtId="0" fontId="0" fillId="0" borderId="0" xfId="0" pivotButton="1"/>
    <xf numFmtId="14" fontId="0" fillId="0" borderId="0" xfId="0" applyNumberFormat="1"/>
    <xf numFmtId="0" fontId="0" fillId="0" borderId="0" xfId="0"/>
    <xf numFmtId="0" fontId="0" fillId="0" borderId="0" xfId="0" applyNumberFormat="1"/>
    <xf numFmtId="14" fontId="0" fillId="0" borderId="0" xfId="0" applyNumberFormat="1"/>
    <xf numFmtId="14" fontId="0" fillId="0" borderId="0" xfId="0" applyNumberFormat="1"/>
    <xf numFmtId="0" fontId="0" fillId="0" borderId="0" xfId="0"/>
    <xf numFmtId="0" fontId="0" fillId="0" borderId="0" xfId="0" applyBorder="1"/>
    <xf numFmtId="14" fontId="0" fillId="0" borderId="0" xfId="0" applyNumberFormat="1"/>
    <xf numFmtId="0" fontId="19" fillId="0" borderId="0" xfId="0" applyFont="1" applyBorder="1" applyAlignment="1">
      <alignment vertical="center"/>
    </xf>
    <xf numFmtId="0" fontId="0" fillId="0" borderId="0" xfId="0" applyAlignment="1">
      <alignment vertical="center"/>
    </xf>
    <xf numFmtId="14" fontId="0" fillId="0" borderId="0" xfId="0" applyNumberFormat="1"/>
    <xf numFmtId="14" fontId="0" fillId="0" borderId="0" xfId="0" applyNumberFormat="1"/>
    <xf numFmtId="14" fontId="0" fillId="0" borderId="0" xfId="0" applyNumberFormat="1"/>
    <xf numFmtId="14" fontId="0" fillId="0" borderId="0" xfId="0" applyNumberFormat="1"/>
    <xf numFmtId="22" fontId="0" fillId="0" borderId="0" xfId="0" applyNumberFormat="1"/>
    <xf numFmtId="0" fontId="24" fillId="0" borderId="0" xfId="0" applyFont="1"/>
    <xf numFmtId="14" fontId="0" fillId="0" borderId="0" xfId="0" applyNumberFormat="1"/>
    <xf numFmtId="0" fontId="0" fillId="0" borderId="0" xfId="0"/>
    <xf numFmtId="0" fontId="0" fillId="0" borderId="0" xfId="0" applyNumberFormat="1"/>
    <xf numFmtId="14" fontId="0" fillId="0" borderId="0" xfId="0" applyNumberFormat="1"/>
    <xf numFmtId="14" fontId="0" fillId="0" borderId="0" xfId="0" applyNumberFormat="1"/>
    <xf numFmtId="0" fontId="0" fillId="0" borderId="0" xfId="0"/>
    <xf numFmtId="0" fontId="0" fillId="0" borderId="0" xfId="0"/>
    <xf numFmtId="14" fontId="0" fillId="0" borderId="0" xfId="0" applyNumberFormat="1"/>
    <xf numFmtId="14" fontId="0" fillId="0" borderId="0" xfId="0" applyNumberFormat="1"/>
    <xf numFmtId="0" fontId="0" fillId="0" borderId="0" xfId="0"/>
    <xf numFmtId="0" fontId="0" fillId="0" borderId="0" xfId="0"/>
    <xf numFmtId="0" fontId="0" fillId="0" borderId="0" xfId="0" applyNumberFormat="1"/>
    <xf numFmtId="14" fontId="0" fillId="0" borderId="0" xfId="0" applyNumberFormat="1"/>
    <xf numFmtId="14" fontId="0" fillId="0" borderId="0" xfId="0" applyNumberFormat="1"/>
    <xf numFmtId="0" fontId="0" fillId="0" borderId="0" xfId="0"/>
    <xf numFmtId="14" fontId="0" fillId="0" borderId="0" xfId="0" applyNumberFormat="1"/>
    <xf numFmtId="0" fontId="0" fillId="0" borderId="0" xfId="0" applyAlignment="1">
      <alignment wrapText="1"/>
    </xf>
    <xf numFmtId="14" fontId="0" fillId="0" borderId="0" xfId="0" applyNumberFormat="1"/>
    <xf numFmtId="0" fontId="0" fillId="0" borderId="0" xfId="0"/>
    <xf numFmtId="0" fontId="24" fillId="0" borderId="0" xfId="0" applyNumberFormat="1" applyFont="1" applyFill="1" applyBorder="1" applyAlignment="1">
      <alignment vertical="center" wrapText="1"/>
    </xf>
    <xf numFmtId="0" fontId="0" fillId="0" borderId="0" xfId="0"/>
    <xf numFmtId="14" fontId="0" fillId="0" borderId="0" xfId="0" applyNumberFormat="1"/>
    <xf numFmtId="14" fontId="0" fillId="0" borderId="0" xfId="0" applyNumberFormat="1"/>
    <xf numFmtId="14" fontId="0" fillId="0" borderId="0" xfId="0" applyNumberFormat="1"/>
    <xf numFmtId="14" fontId="0" fillId="0" borderId="0" xfId="0" applyNumberFormat="1"/>
    <xf numFmtId="14" fontId="0" fillId="0" borderId="0" xfId="0" applyNumberFormat="1"/>
    <xf numFmtId="14" fontId="0" fillId="0" borderId="0" xfId="0" applyNumberFormat="1"/>
    <xf numFmtId="14" fontId="0" fillId="0" borderId="0" xfId="0" applyNumberFormat="1"/>
    <xf numFmtId="0" fontId="0" fillId="0" borderId="0" xfId="0" applyAlignment="1">
      <alignment horizontal="left" indent="1"/>
    </xf>
    <xf numFmtId="0" fontId="0" fillId="0" borderId="0" xfId="0" applyAlignment="1">
      <alignment horizontal="left" indent="2"/>
    </xf>
    <xf numFmtId="14" fontId="0" fillId="0" borderId="0" xfId="0" applyNumberFormat="1"/>
    <xf numFmtId="0" fontId="0" fillId="0" borderId="0" xfId="0"/>
    <xf numFmtId="14" fontId="0" fillId="0" borderId="0" xfId="0" applyNumberFormat="1"/>
    <xf numFmtId="0" fontId="0" fillId="0" borderId="0" xfId="0" applyAlignment="1"/>
    <xf numFmtId="0" fontId="0" fillId="0" borderId="0" xfId="0"/>
    <xf numFmtId="0" fontId="24" fillId="0" borderId="0" xfId="0" applyNumberFormat="1" applyFont="1" applyFill="1" applyBorder="1" applyAlignment="1">
      <alignment vertical="center"/>
    </xf>
    <xf numFmtId="0" fontId="0" fillId="0" borderId="0" xfId="0"/>
    <xf numFmtId="0" fontId="0" fillId="0" borderId="0" xfId="0" applyNumberFormat="1"/>
    <xf numFmtId="0" fontId="0" fillId="0" borderId="0" xfId="0"/>
    <xf numFmtId="0" fontId="0" fillId="0" borderId="0" xfId="0"/>
    <xf numFmtId="0" fontId="0" fillId="0" borderId="0" xfId="0" applyNumberFormat="1"/>
    <xf numFmtId="0" fontId="0" fillId="0" borderId="0" xfId="0"/>
    <xf numFmtId="0" fontId="0" fillId="0" borderId="0" xfId="0" applyNumberFormat="1"/>
    <xf numFmtId="0" fontId="6" fillId="0" borderId="0" xfId="0" applyFont="1" applyAlignment="1">
      <alignment horizontal="left" indent="1"/>
    </xf>
    <xf numFmtId="14" fontId="0" fillId="0" borderId="0" xfId="0" applyNumberFormat="1"/>
    <xf numFmtId="0" fontId="0" fillId="0" borderId="0" xfId="0"/>
    <xf numFmtId="0" fontId="0" fillId="0" borderId="0" xfId="0" applyNumberFormat="1"/>
    <xf numFmtId="14" fontId="0" fillId="0" borderId="0" xfId="0" applyNumberFormat="1"/>
    <xf numFmtId="14" fontId="0" fillId="0" borderId="0" xfId="0" applyNumberFormat="1"/>
    <xf numFmtId="0" fontId="0" fillId="0" borderId="0" xfId="0"/>
    <xf numFmtId="0" fontId="0" fillId="0" borderId="0" xfId="0"/>
    <xf numFmtId="0" fontId="24" fillId="0" borderId="0" xfId="0" applyFont="1"/>
    <xf numFmtId="0" fontId="0" fillId="0" borderId="0" xfId="0"/>
    <xf numFmtId="14" fontId="0" fillId="0" borderId="0" xfId="0" applyNumberFormat="1"/>
    <xf numFmtId="14" fontId="0" fillId="0" borderId="0" xfId="0" applyNumberFormat="1"/>
    <xf numFmtId="0" fontId="0" fillId="0" borderId="0" xfId="0"/>
    <xf numFmtId="0" fontId="0" fillId="0" borderId="0" xfId="0"/>
    <xf numFmtId="0" fontId="0" fillId="0" borderId="0" xfId="0" applyNumberFormat="1"/>
    <xf numFmtId="0" fontId="0" fillId="0" borderId="0" xfId="0"/>
    <xf numFmtId="0" fontId="0" fillId="0" borderId="0" xfId="0"/>
    <xf numFmtId="0" fontId="0" fillId="0" borderId="0" xfId="0" applyAlignment="1"/>
    <xf numFmtId="0" fontId="0" fillId="0" borderId="0" xfId="0"/>
    <xf numFmtId="14" fontId="0" fillId="0" borderId="0" xfId="0" applyNumberFormat="1"/>
    <xf numFmtId="14" fontId="0" fillId="0" borderId="0" xfId="0" applyNumberFormat="1"/>
    <xf numFmtId="0" fontId="0" fillId="0" borderId="0" xfId="0" applyAlignment="1">
      <alignment vertical="center" wrapText="1"/>
    </xf>
    <xf numFmtId="14" fontId="0" fillId="0" borderId="0" xfId="0" applyNumberFormat="1"/>
    <xf numFmtId="0" fontId="0" fillId="0" borderId="0" xfId="0"/>
    <xf numFmtId="0" fontId="0" fillId="0" borderId="0" xfId="0" applyNumberFormat="1"/>
    <xf numFmtId="14" fontId="0" fillId="0" borderId="0" xfId="0" applyNumberFormat="1"/>
    <xf numFmtId="14" fontId="0" fillId="0" borderId="0" xfId="0" applyNumberFormat="1"/>
    <xf numFmtId="14" fontId="0" fillId="0" borderId="0" xfId="0" applyNumberFormat="1"/>
    <xf numFmtId="14" fontId="0" fillId="0" borderId="0" xfId="0" applyNumberFormat="1"/>
    <xf numFmtId="14" fontId="0" fillId="0" borderId="0" xfId="0" applyNumberFormat="1"/>
    <xf numFmtId="14" fontId="0" fillId="0" borderId="0" xfId="0" applyNumberFormat="1"/>
    <xf numFmtId="14" fontId="0" fillId="0" borderId="0" xfId="0" applyNumberFormat="1"/>
    <xf numFmtId="14" fontId="0" fillId="0" borderId="0" xfId="0" applyNumberFormat="1"/>
    <xf numFmtId="14" fontId="0" fillId="0" borderId="0" xfId="0" applyNumberFormat="1"/>
    <xf numFmtId="14" fontId="0" fillId="0" borderId="0" xfId="0" applyNumberFormat="1"/>
    <xf numFmtId="14" fontId="0" fillId="0" borderId="0" xfId="0" applyNumberFormat="1"/>
    <xf numFmtId="14" fontId="0" fillId="0" borderId="0" xfId="0" applyNumberFormat="1"/>
    <xf numFmtId="14" fontId="0" fillId="0" borderId="0" xfId="0" applyNumberFormat="1"/>
    <xf numFmtId="14" fontId="0" fillId="0" borderId="0" xfId="0" applyNumberFormat="1"/>
    <xf numFmtId="14" fontId="0" fillId="0" borderId="0" xfId="0" applyNumberFormat="1"/>
    <xf numFmtId="14" fontId="0" fillId="0" borderId="0" xfId="0" applyNumberFormat="1"/>
    <xf numFmtId="14" fontId="0" fillId="0" borderId="0" xfId="0" applyNumberFormat="1"/>
    <xf numFmtId="14" fontId="0" fillId="0" borderId="0" xfId="0" applyNumberFormat="1"/>
    <xf numFmtId="14" fontId="0" fillId="0" borderId="0" xfId="0" applyNumberFormat="1"/>
    <xf numFmtId="14" fontId="0" fillId="0" borderId="0" xfId="0" applyNumberFormat="1"/>
    <xf numFmtId="14" fontId="0" fillId="0" borderId="0" xfId="0" applyNumberFormat="1"/>
    <xf numFmtId="14" fontId="0" fillId="0" borderId="0" xfId="0" applyNumberFormat="1"/>
    <xf numFmtId="14" fontId="0" fillId="0" borderId="0" xfId="0" applyNumberFormat="1"/>
    <xf numFmtId="14" fontId="0" fillId="0" borderId="0" xfId="0" applyNumberFormat="1"/>
    <xf numFmtId="14" fontId="0" fillId="0" borderId="0" xfId="0" applyNumberFormat="1"/>
    <xf numFmtId="14" fontId="0" fillId="0" borderId="0" xfId="0" applyNumberFormat="1"/>
    <xf numFmtId="14" fontId="0" fillId="0" borderId="0" xfId="0" applyNumberFormat="1"/>
  </cellXfs>
  <cellStyles count="108">
    <cellStyle name="AF Column - IBM Cognos" xfId="7" xr:uid="{F7169E42-F219-404B-8E76-A130536EB5C5}"/>
    <cellStyle name="AF Data - IBM Cognos" xfId="8" xr:uid="{2608B0EE-B373-4AD5-A6CE-A9736FCEB424}"/>
    <cellStyle name="AF Data 0 - IBM Cognos" xfId="9" xr:uid="{DC533B0F-8425-4997-87DA-F9D4D7581953}"/>
    <cellStyle name="AF Data 1 - IBM Cognos" xfId="10" xr:uid="{021D8B1A-37C9-4031-A22A-267A92661B51}"/>
    <cellStyle name="AF Data 2 - IBM Cognos" xfId="11" xr:uid="{1F85B3F8-7B1A-4CDB-B09D-53A2EDA89AF2}"/>
    <cellStyle name="AF Data 3 - IBM Cognos" xfId="12" xr:uid="{BC64F13F-A19A-4C4A-9B40-DA47C2422015}"/>
    <cellStyle name="AF Data 4 - IBM Cognos" xfId="13" xr:uid="{79465DE8-9F50-447D-8F96-C04B915D4775}"/>
    <cellStyle name="AF Data 5 - IBM Cognos" xfId="14" xr:uid="{1FD3350E-00AA-43C1-8273-966769761EEE}"/>
    <cellStyle name="AF Data Leaf - IBM Cognos" xfId="15" xr:uid="{5138ED57-77D9-4904-B381-0B81A1E116D8}"/>
    <cellStyle name="AF Header - IBM Cognos" xfId="16" xr:uid="{09CE983A-1F23-4780-9F1D-06B703EEB8D2}"/>
    <cellStyle name="AF Header 0 - IBM Cognos" xfId="17" xr:uid="{904AD05B-E90A-4BF8-BED6-B2636C3CD2C2}"/>
    <cellStyle name="AF Header 1 - IBM Cognos" xfId="18" xr:uid="{F553B2AC-E8C6-4517-A633-EABC02112B81}"/>
    <cellStyle name="AF Header 2 - IBM Cognos" xfId="19" xr:uid="{4FA61549-0192-4E14-851B-FEA119B5F1A4}"/>
    <cellStyle name="AF Header 3 - IBM Cognos" xfId="20" xr:uid="{A3815F5D-A4C3-4EF8-B7C6-296E9EDE0288}"/>
    <cellStyle name="AF Header 4 - IBM Cognos" xfId="21" xr:uid="{BA638491-B4D6-4000-87E8-DB83C2EC7003}"/>
    <cellStyle name="AF Header 5 - IBM Cognos" xfId="22" xr:uid="{551C19E3-6F86-483F-9BBA-1146D194DFEC}"/>
    <cellStyle name="AF Header Leaf - IBM Cognos" xfId="23" xr:uid="{4609A03A-67A4-4858-A7C3-D747E1AA25D9}"/>
    <cellStyle name="AF Row - IBM Cognos" xfId="24" xr:uid="{9E5F82E0-5CD8-409E-96A9-5E7340AF1589}"/>
    <cellStyle name="AF Row 0 - IBM Cognos" xfId="25" xr:uid="{E3C4CBB6-9A04-4AE6-85A1-5B15C694EB88}"/>
    <cellStyle name="AF Row 1 - IBM Cognos" xfId="26" xr:uid="{0B74BD4D-2943-43C2-9185-C13013D8ADEF}"/>
    <cellStyle name="AF Row 2 - IBM Cognos" xfId="27" xr:uid="{FECCCEB5-D074-418F-8DB6-1FC1E59BEE49}"/>
    <cellStyle name="AF Row 3 - IBM Cognos" xfId="28" xr:uid="{1031DF76-C572-4F87-B7A7-50F4F0437234}"/>
    <cellStyle name="AF Row 4 - IBM Cognos" xfId="29" xr:uid="{0EE969D4-6BF1-4542-8D11-87ACF79AE171}"/>
    <cellStyle name="AF Row 5 - IBM Cognos" xfId="30" xr:uid="{564D4002-B41F-46F6-9F82-05B1A05BC3E6}"/>
    <cellStyle name="AF Row Leaf - IBM Cognos" xfId="31" xr:uid="{7CCEF394-61A1-448E-A240-448E1C009E85}"/>
    <cellStyle name="AF Subnm - IBM Cognos" xfId="32" xr:uid="{5B6693FB-F51C-415D-BBD8-C14CEE799A79}"/>
    <cellStyle name="AF Title - IBM Cognos" xfId="33" xr:uid="{6AB85E69-CE8C-47B1-BFD9-03984BF8964D}"/>
    <cellStyle name="Calculated Column - IBM Cognos" xfId="34" xr:uid="{214D5A41-D6E6-4048-90CF-A2321B3FE9C7}"/>
    <cellStyle name="Calculated Column Name - IBM Cognos" xfId="35" xr:uid="{7437ED51-FC59-4304-AAAF-E42015A82B5F}"/>
    <cellStyle name="Calculated Row - IBM Cognos" xfId="36" xr:uid="{E3E5987F-F0EC-435F-A8B4-2484C2C08983}"/>
    <cellStyle name="Calculated Row Name - IBM Cognos" xfId="37" xr:uid="{376617A1-B8F6-4D83-97A1-5F0E12B88418}"/>
    <cellStyle name="Column Name - IBM Cognos" xfId="38" xr:uid="{E67A253B-5B1A-43E7-89C1-319258E4D2C1}"/>
    <cellStyle name="Column Template - IBM Cognos" xfId="39" xr:uid="{D007E231-61A2-4E18-A962-B99DD0AB032C}"/>
    <cellStyle name="Comma [0] 2" xfId="74" xr:uid="{F8578550-9F08-4911-844B-D2A49E5C58A1}"/>
    <cellStyle name="Comma 2" xfId="63" xr:uid="{A444754B-44D0-4F25-9F54-7FB13BC64DCA}"/>
    <cellStyle name="Comma 3" xfId="73" xr:uid="{1C13DD46-148A-4187-A01A-174186F1F748}"/>
    <cellStyle name="Comma 4" xfId="78" xr:uid="{207A42EE-A976-4496-AE49-1F267DB5235C}"/>
    <cellStyle name="Comma 5" xfId="99" xr:uid="{2AF7C071-2C61-4240-A9AE-29758BF3B9EB}"/>
    <cellStyle name="Comma 6" xfId="104" xr:uid="{7C7F5D92-3F97-4D6F-8AEF-5DAE9731C87D}"/>
    <cellStyle name="Currency [0] 2" xfId="72" xr:uid="{A9643ABF-1764-4135-AD74-1BCB63C7DA4A}"/>
    <cellStyle name="Currency [0] 3" xfId="103" xr:uid="{123482E8-6B79-4F5C-AD8F-B6DD54008D1C}"/>
    <cellStyle name="Currency 2" xfId="71" xr:uid="{6AF40904-AEB5-436E-8FF4-E22F8F18BE99}"/>
    <cellStyle name="Currency 3" xfId="77" xr:uid="{551AA383-97DE-4A90-9335-BCFA36FEED10}"/>
    <cellStyle name="Currency 4" xfId="102" xr:uid="{15BA7712-A099-4093-BD26-E5C00F28DC12}"/>
    <cellStyle name="Differs From Base - IBM Cognos" xfId="40" xr:uid="{4C667FFA-172F-4F54-8B7C-EB867C2FF37F}"/>
    <cellStyle name="DQR Column 0 - IBM Cognos" xfId="80" xr:uid="{457DC3E5-A843-40F6-B66C-C5455BD300CA}"/>
    <cellStyle name="DQR Column 1 - IBM Cognos" xfId="81" xr:uid="{B9B6A6F7-148A-4EFF-B477-D1D152CB32DC}"/>
    <cellStyle name="DQR Column 2 - IBM Cognos" xfId="82" xr:uid="{80FDEA90-9BB0-4C3C-A765-7A5CA5ED8BE2}"/>
    <cellStyle name="DQR Column 3 - IBM Cognos" xfId="83" xr:uid="{3B629673-EB10-440D-9A9D-838F9BAB41DC}"/>
    <cellStyle name="DQR Column 4 - IBM Cognos" xfId="84" xr:uid="{3166D051-2699-45B4-B3A2-309FA6A4527F}"/>
    <cellStyle name="DQR Column 5 - IBM Cognos" xfId="85" xr:uid="{E2BECDE0-B2CB-4218-846C-883FC4B1C616}"/>
    <cellStyle name="DQR Column Default - IBM Cognos" xfId="86" xr:uid="{40DFCC42-03B5-4F07-8978-8DBEC168FA41}"/>
    <cellStyle name="DQR Column Leaf - IBM Cognos" xfId="87" xr:uid="{A2BFEBFD-16FD-486A-8A90-03A21607A05E}"/>
    <cellStyle name="DQR Data Default - IBM Cognos" xfId="88" xr:uid="{522169F7-B21E-4126-A459-FB75E7EF9358}"/>
    <cellStyle name="DQR Default - IBM Cognos" xfId="89" xr:uid="{550E28CC-39D5-43C6-A1EB-964C38924916}"/>
    <cellStyle name="DQR Gutter Default - IBM Cognos" xfId="105" xr:uid="{4E7B1145-CBC1-49C5-B937-B69D94461087}"/>
    <cellStyle name="DQR Row 0 - IBM Cognos" xfId="90" xr:uid="{0D3DFF3D-2622-485B-A500-F11FEB1A7283}"/>
    <cellStyle name="DQR Row 1 - IBM Cognos" xfId="91" xr:uid="{D537825B-E3FD-44E3-A7AE-97E2D4B1BFE5}"/>
    <cellStyle name="DQR Row 2 - IBM Cognos" xfId="92" xr:uid="{4FFF8F3D-30A2-4A43-A7CD-804C998E9A89}"/>
    <cellStyle name="DQR Row 3 - IBM Cognos" xfId="93" xr:uid="{213A8209-8102-4F7F-9FAA-7E8AA836018F}"/>
    <cellStyle name="DQR Row 4 - IBM Cognos" xfId="94" xr:uid="{C8121A1A-0566-4E64-AF2C-0189833178C4}"/>
    <cellStyle name="DQR Row 5 - IBM Cognos" xfId="95" xr:uid="{0A0D6C71-BFFF-45F8-9DB7-19C8A093A9E8}"/>
    <cellStyle name="DQR Row Default - IBM Cognos" xfId="96" xr:uid="{90D4404B-E90B-445D-AD6D-D0066A4239E2}"/>
    <cellStyle name="DQR Row Leaf - IBM Cognos" xfId="97" xr:uid="{53F9AFC8-96CC-4740-9B90-23A0AF38C339}"/>
    <cellStyle name="Edit - IBM Cognos" xfId="41" xr:uid="{838D819A-0904-4554-8E82-0A600FA3D178}"/>
    <cellStyle name="Formula - IBM Cognos" xfId="42" xr:uid="{138E004E-99A9-4F5A-9AC7-0BEC8558F927}"/>
    <cellStyle name="Group Name - IBM Cognos" xfId="43" xr:uid="{66BDD23E-F6F5-4271-8123-75B3AB761F57}"/>
    <cellStyle name="Hold Values - IBM Cognos" xfId="44" xr:uid="{6A2EAD05-5DCC-4062-BC6D-4925275A476C}"/>
    <cellStyle name="List Name - IBM Cognos" xfId="45" xr:uid="{4688B59A-1A23-42C3-AEFE-9C530CF24A48}"/>
    <cellStyle name="Locked - IBM Cognos" xfId="46" xr:uid="{8D26E71F-392B-494E-B556-7FBAFEC523ED}"/>
    <cellStyle name="Measure - IBM Cognos" xfId="47" xr:uid="{640D3D7E-311C-4251-95FB-72D74573D4FB}"/>
    <cellStyle name="Measure Header - IBM Cognos" xfId="48" xr:uid="{0780EF23-70CE-4117-8B9F-05DB5CCF9399}"/>
    <cellStyle name="Measure Name - IBM Cognos" xfId="49" xr:uid="{47642541-9EE4-41DA-8B88-8E173220B963}"/>
    <cellStyle name="Measure Summary - IBM Cognos" xfId="50" xr:uid="{A82474C0-6B65-460D-AA17-6A7088603378}"/>
    <cellStyle name="Measure Summary TM1 - IBM Cognos" xfId="51" xr:uid="{D9574E65-3022-4EBD-85EA-CF22998295FD}"/>
    <cellStyle name="Measure Template - IBM Cognos" xfId="52" xr:uid="{948D2536-8F40-4FC5-9472-8944A978A655}"/>
    <cellStyle name="More - IBM Cognos" xfId="53" xr:uid="{9B025856-F317-4821-96E2-A333C3F9D594}"/>
    <cellStyle name="Normal" xfId="0" builtinId="0" customBuiltin="1"/>
    <cellStyle name="Normal 2" xfId="1" xr:uid="{6B757A2F-BBA0-4B46-9EED-AA05ACD18889}"/>
    <cellStyle name="Normal 2 2" xfId="62" xr:uid="{A229AFC1-8482-4C75-A10C-EE9B447C9085}"/>
    <cellStyle name="Normal 2 3" xfId="66" xr:uid="{1CE2B6E0-8CC4-4BF9-8B64-8026F4406C03}"/>
    <cellStyle name="Normal 2 4" xfId="68" xr:uid="{72C2E3D4-4D30-46D3-B58D-AE230C1BDE78}"/>
    <cellStyle name="Normal 2 5" xfId="75" xr:uid="{78D6DB6D-C7FA-4DE3-B72E-5AB0803FB905}"/>
    <cellStyle name="Normal 3" xfId="4" xr:uid="{6748AF04-E339-4976-801D-A133FA975CD1}"/>
    <cellStyle name="Normal 3 2" xfId="65" xr:uid="{D016D14B-E2ED-4E11-A637-3989A34CFB38}"/>
    <cellStyle name="Normal 4" xfId="79" xr:uid="{82D2BA7C-1B07-49C1-AE62-D9A4A0F032CF}"/>
    <cellStyle name="Normal 4 15" xfId="6" xr:uid="{856E765A-069A-4F75-8A52-BBF4E3E20FC2}"/>
    <cellStyle name="Normal 4 7 4 5 2 2" xfId="64" xr:uid="{FD85A3CE-241D-4E53-AF9B-F99D4DE8E74F}"/>
    <cellStyle name="Normal 5" xfId="98" xr:uid="{4FBF3BB0-8662-4B8B-AFC8-9508CCDB6196}"/>
    <cellStyle name="Normal 7" xfId="106" xr:uid="{BD3EADEC-399B-4DF8-AF85-B39EDB141CCB}"/>
    <cellStyle name="Normal 8" xfId="107" xr:uid="{DBD656B7-CD1B-4339-B8DC-041143CE6603}"/>
    <cellStyle name="Pending Change - IBM Cognos" xfId="54" xr:uid="{18235EEC-7C4C-4261-B8A8-66B86656DE75}"/>
    <cellStyle name="Percent" xfId="5" builtinId="5"/>
    <cellStyle name="Percent 2" xfId="70" xr:uid="{6A34538B-4707-46FA-97BC-C5185FD44031}"/>
    <cellStyle name="Row Name - IBM Cognos" xfId="55" xr:uid="{2BE862E1-BAFB-4A8A-8F7C-0237EF0269CD}"/>
    <cellStyle name="Row Template - IBM Cognos" xfId="56" xr:uid="{23864002-2E0B-4771-8031-A24E3FA23B72}"/>
    <cellStyle name="SAPHierarchyCell2" xfId="67" xr:uid="{FE485364-6DB8-46C0-A7CE-725D8DDB25BD}"/>
    <cellStyle name="SAPHierarchyCell3" xfId="2" xr:uid="{02D0DF7D-A57D-4E91-80C0-0800E7DC6DB6}"/>
    <cellStyle name="SAPHierarchyCell3 2" xfId="76" xr:uid="{22EB6CF9-F5B5-425C-A133-858FA964148A}"/>
    <cellStyle name="SAPHierarchyCell4" xfId="3" xr:uid="{73A74374-E5CE-4D92-B358-E1CF7D47B43C}"/>
    <cellStyle name="Standard 2" xfId="69" xr:uid="{12BEF019-076C-496F-8E77-F7ACACE10FD6}"/>
    <cellStyle name="Standard 2 2" xfId="101" xr:uid="{1E3042A6-F202-4A81-8B6C-C12A470D8EE5}"/>
    <cellStyle name="Standard_Test_FR21_YI05" xfId="100" xr:uid="{BED271CC-5950-4692-9B40-8F20A876875B}"/>
    <cellStyle name="Summary Column Name - IBM Cognos" xfId="57" xr:uid="{2A284343-6BA0-4C07-BF6B-73B640627AB5}"/>
    <cellStyle name="Summary Column Name TM1 - IBM Cognos" xfId="58" xr:uid="{DCC31FFD-FC8B-4A27-83BF-6ECA90B760B3}"/>
    <cellStyle name="Summary Row Name - IBM Cognos" xfId="59" xr:uid="{730958CB-65C1-48CF-A6BF-C98C85FF3512}"/>
    <cellStyle name="Summary Row Name TM1 - IBM Cognos" xfId="60" xr:uid="{D1A5E0FD-B729-4808-9590-433008E10ACE}"/>
    <cellStyle name="Unsaved Change - IBM Cognos" xfId="61" xr:uid="{F9FC678A-A77B-4A12-8D40-17609F28802A}"/>
  </cellStyles>
  <dxfs count="39">
    <dxf>
      <fill>
        <patternFill patternType="solid">
          <bgColor rgb="FFFF0000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000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19" formatCode="m/d/yyyy"/>
    </dxf>
    <dxf>
      <numFmt numFmtId="2" formatCode="0.00"/>
    </dxf>
    <dxf>
      <numFmt numFmtId="19" formatCode="m/d/yyyy"/>
    </dxf>
    <dxf>
      <numFmt numFmtId="19" formatCode="m/d/yyyy"/>
    </dxf>
    <dxf>
      <numFmt numFmtId="19" formatCode="m/d/yyyy"/>
    </dxf>
    <dxf>
      <numFmt numFmtId="19" formatCode="m/d/yyyy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ill>
        <patternFill patternType="solid">
          <bgColor rgb="FFFF0000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0000"/>
        </patternFill>
      </fill>
    </dxf>
  </dxfs>
  <tableStyles count="1" defaultTableStyle="TableStyleMedium2" defaultPivotStyle="PivotStyleLight16">
    <tableStyle name="Invisible" pivot="0" table="0" count="0" xr9:uid="{7F6E01A9-E990-4125-A5C9-D3182648BE1B}"/>
  </tableStyle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tyles" Target="styles.xml"/><Relationship Id="rId3" Type="http://schemas.openxmlformats.org/officeDocument/2006/relationships/worksheet" Target="worksheets/sheet3.xml"/><Relationship Id="rId21" Type="http://schemas.openxmlformats.org/officeDocument/2006/relationships/customXml" Target="../customXml/item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connections" Target="connections.xml"/><Relationship Id="rId2" Type="http://schemas.openxmlformats.org/officeDocument/2006/relationships/worksheet" Target="worksheets/sheet2.xml"/><Relationship Id="rId16" Type="http://schemas.openxmlformats.org/officeDocument/2006/relationships/theme" Target="theme/theme1.xml"/><Relationship Id="rId20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pivotCacheDefinition" Target="pivotCache/pivotCacheDefinition1.xml"/><Relationship Id="rId10" Type="http://schemas.openxmlformats.org/officeDocument/2006/relationships/worksheet" Target="worksheets/sheet10.xml"/><Relationship Id="rId19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customXml" Target="../customXml/item2.xml"/></Relationships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Pierre Collado" refreshedDate="46010.334137500002" createdVersion="7" refreshedVersion="7" minRefreshableVersion="3" recordCount="5129" xr:uid="{11839AE3-6158-4318-87AD-2C711D0BF451}">
  <cacheSource type="worksheet">
    <worksheetSource name="Proc"/>
  </cacheSource>
  <cacheFields count="19">
    <cacheField name="App" numFmtId="0">
      <sharedItems containsBlank="1" count="1653">
        <s v="FR0000000"/>
        <s v="FR6940622"/>
        <s v="FR6943059"/>
        <s v="FR6945187"/>
        <s v="FR6945251"/>
        <s v="FR6947443"/>
        <s v="FR6948171"/>
        <s v="FR6950020"/>
        <s v="FR6951585"/>
        <s v="FR6951651"/>
        <s v="FR6956164"/>
        <s v="FR6966061"/>
        <s v="FR6970242"/>
        <s v="FR6974751"/>
        <s v="FR6975197"/>
        <s v="FR6977069"/>
        <s v="FR6977108"/>
        <s v="FR6978118"/>
        <s v="FR6978512"/>
        <s v="FR6981021"/>
        <s v="FR6981168"/>
        <s v="FR6981254"/>
        <s v="FR6982139"/>
        <s v="FR6982382"/>
        <s v="FR6984381"/>
        <s v="FR6986301"/>
        <s v="FR6988197"/>
        <s v="FR6995568"/>
        <s v="FR7000149"/>
        <s v="FR7000977"/>
        <s v="FR7006542"/>
        <s v="FR7007038"/>
        <s v="FR7010037"/>
        <s v="FR7010909"/>
        <s v="FR7013508"/>
        <s v="FR7018001"/>
        <s v="FR7022004"/>
        <s v="FR7022142"/>
        <s v="FR7024407"/>
        <s v="FR7025313"/>
        <s v="FR7025837"/>
        <s v="FR7031618"/>
        <s v="FR7032783"/>
        <s v="FR7040071"/>
        <s v="FR7040552"/>
        <s v="FR7040650"/>
        <s v="FR7043643"/>
        <s v="FR7044542"/>
        <s v="FR7046557"/>
        <s v="FR7047182"/>
        <s v="FR7047510"/>
        <s v="FR7048767"/>
        <s v="FR7049840"/>
        <s v="FR7051498"/>
        <s v="FR7051681"/>
        <s v="FR7052459"/>
        <s v="FR7057554"/>
        <s v="FR7057938"/>
        <s v="FR7061005"/>
        <s v="FR7064092"/>
        <s v="FR7067731"/>
        <s v="FR7070747"/>
        <s v="FR7076100"/>
        <s v="FR7079666"/>
        <s v="FR7081100"/>
        <s v="FR7083726"/>
        <s v="FR7084082"/>
        <s v="FR7084367"/>
        <s v="FR7088415"/>
        <s v="FR7088452"/>
        <s v="FR7088907"/>
        <s v="FR7089970"/>
        <s v="FR7091332"/>
        <s v="FR7093701"/>
        <s v="FR7098702"/>
        <s v="FR7099781"/>
        <s v="FR7099869"/>
        <s v="FR7102758"/>
        <s v="FR7105221"/>
        <s v="FR7105658"/>
        <s v="FR7105779"/>
        <s v="FR7108798"/>
        <s v="FR7108808"/>
        <s v="FR7109079"/>
        <s v="FR7109966"/>
        <s v="FR7113391"/>
        <s v="FR7113612"/>
        <s v="FR7114300"/>
        <s v="FR7114891"/>
        <s v="FR7118997"/>
        <s v="FR7119096"/>
        <s v="FR7121419"/>
        <s v="FR7121444"/>
        <s v="FR7122316"/>
        <s v="FR7122508"/>
        <s v="FR7123793"/>
        <s v="FR7126398"/>
        <s v="FR7126485"/>
        <s v="FR7127745"/>
        <s v="FR7127941"/>
        <s v="FR7129327"/>
        <s v="FR7130653"/>
        <s v="FR7130985"/>
        <s v="FR7131332"/>
        <s v="FR7132388"/>
        <s v="FR7135273"/>
        <s v="FR7136272"/>
        <s v="FR7136872"/>
        <s v="FR7140268"/>
        <s v="FR7148336"/>
        <s v="FR7148376"/>
        <s v="FR7150280"/>
        <s v="FR7150528"/>
        <s v="FR7154481"/>
        <s v="FR7161411"/>
        <s v="FR7161858"/>
        <s v="FR7166517"/>
        <s v="FR7168978"/>
        <s v="FR7169133"/>
        <s v="FR7170138"/>
        <s v="FR7170711"/>
        <s v="FR7170712"/>
        <s v="FR7173355"/>
        <s v="FR7174669"/>
        <s v="FR7182430"/>
        <s v="FR7182563"/>
        <s v="FR7189136"/>
        <s v="FR7194402"/>
        <s v="FR7197616"/>
        <s v="FR7198155"/>
        <s v="FR7198162"/>
        <s v="FR7198716"/>
        <s v="FR7201312"/>
        <s v="FR7202501"/>
        <s v="FR7202557"/>
        <s v="FR7202684"/>
        <s v="FR7202707"/>
        <s v="FR7202906"/>
        <s v="FR7202977"/>
        <s v="FR7202987"/>
        <s v="FR7203031"/>
        <s v="FR7203070"/>
        <s v="FR7205291"/>
        <s v="FR7205855"/>
        <s v="FR7207432"/>
        <s v="FR7212236"/>
        <s v="FR7214613"/>
        <s v="FR7214943"/>
        <s v="FR7215342"/>
        <s v="FR7216010"/>
        <s v="FR7216772"/>
        <s v="FR7218063"/>
        <s v="FR7218317"/>
        <s v="FR7218977"/>
        <s v="FR7220448"/>
        <s v="FR7226507"/>
        <s v="FR7228078"/>
        <s v="FR7228501"/>
        <s v="FR7230888"/>
        <s v="FR7231993"/>
        <s v="FR7232089"/>
        <s v="FR7233618"/>
        <s v="FR7234075"/>
        <s v="FR7235227"/>
        <s v="FR7235300"/>
        <s v="FR7235622"/>
        <s v="FR7236462"/>
        <s v="FR7240736"/>
        <s v="FR7240668"/>
        <s v="FR7239447"/>
        <s v="FR7259193"/>
        <s v="FR7253856"/>
        <s v="FR7253315"/>
        <s v="FR7252687"/>
        <s v="FR7250776"/>
        <s v="FR7249989"/>
        <s v="FR7261475"/>
        <s v="FR7262991"/>
        <s v="FR7267269"/>
        <s v="FR7265072"/>
        <s v="FR7274431"/>
        <s v="FR7272340"/>
        <s v="FR7271136"/>
        <s v="FR7269207"/>
        <s v="FR7280962"/>
        <s v="FR7283426"/>
        <s v="FR7283753"/>
        <s v="FR7287236"/>
        <s v="FR7293986"/>
        <s v="FR7293971"/>
        <s v="FR7294729"/>
        <s v="FR7298409"/>
        <s v="FR7298416"/>
        <s v="FR7298556"/>
        <s v="FR7300233"/>
        <s v="FR7303087"/>
        <s v="FR7311725"/>
        <s v="FR7311374"/>
        <s v="FR7311013"/>
        <s v="FR7317802"/>
        <s v="FR7317532"/>
        <s v="FR7319861"/>
        <s v="FR7319903"/>
        <s v="FR7320399"/>
        <s v="FR7320867"/>
        <s v="FR7322183"/>
        <s v="FR7318069"/>
        <s v="FR7324585"/>
        <s v="FR7324504"/>
        <s v="FR7328669"/>
        <s v="FR7327207"/>
        <s v="FR7330120"/>
        <s v="FR7332565"/>
        <s v="FR7335135"/>
        <s v="FR7335136"/>
        <s v="FR7336709"/>
        <s v="FR7336726"/>
        <s v="FR7339023"/>
        <s v="FR7339740"/>
        <s v="FR7337019"/>
        <s v="FR7314300"/>
        <s v="FR7337931"/>
        <s v="FR7337981"/>
        <s v="FR7345542"/>
        <s v="FR7345953"/>
        <s v="FR7352279"/>
        <s v="FR7351855"/>
        <s v="FR7352048"/>
        <s v="FR7352478"/>
        <s v="FR7352779"/>
        <s v="FR7354774"/>
        <s v="FR7354787"/>
        <s v="FR7356287"/>
        <s v="FR7357071"/>
        <s v="FR7357987"/>
        <s v="FR7366903"/>
        <s v="FR7368372"/>
        <s v="FR7368448"/>
        <s v="FR7369412"/>
        <s v="FR7365034"/>
        <s v="FR7368411"/>
        <s v="FR7372363"/>
        <s v="FR7372650"/>
        <s v="FR7372864"/>
        <s v="FR7372904"/>
        <s v="FR7374774"/>
        <s v="FR7375562"/>
        <s v="FR7376495"/>
        <s v="FR7380686"/>
        <s v="FR7382702"/>
        <s v="FR7382732"/>
        <s v="FR7385123"/>
        <s v="FR7391800"/>
        <s v="FR7396570"/>
        <s v="FR7400262"/>
        <s v="FR7400920"/>
        <s v="FR7403248"/>
        <s v="FR7416050"/>
        <s v="FR7417161"/>
        <s v="FR7417823"/>
        <s v="FR7418685"/>
        <s v="FR7418966"/>
        <s v="FR7419978"/>
        <s v="FR7425378"/>
        <s v="FR7426909"/>
        <s v="FR7428161"/>
        <s v="FR7436498"/>
        <s v="FR7437769"/>
        <s v="FR7449455"/>
        <s v="FR7446458"/>
        <s v="FR7457278"/>
        <s v="FR7453635"/>
        <s v="FR7458107"/>
        <s v="FR7461875"/>
        <s v="FR7465457"/>
        <s v="FR7465429"/>
        <s v="FR7466373"/>
        <s v="FR7467264"/>
        <s v="FR7467597"/>
        <s v="FR7468738"/>
        <s v="FR7456326"/>
        <s v="FR7477367"/>
        <s v="FR7477732"/>
        <s v="FR7477845"/>
        <s v="FR7479265"/>
        <s v="FR7481165"/>
        <s v="FR7481575"/>
        <s v="FR7482145"/>
        <s v="FR7486081"/>
        <s v="FR7486995"/>
        <s v="FR7493437"/>
        <s v="FR7496486"/>
        <s v="FR7496712"/>
        <s v="FR7499647"/>
        <s v="FR7499694"/>
        <s v="FR7500016"/>
        <s v="FR7501205"/>
        <s v="FR7507363"/>
        <s v="FR7507479"/>
        <s v="FR7508533"/>
        <s v="FR7510313"/>
        <s v="FR7515129"/>
        <s v="FR7516784"/>
        <s v="FR7517047"/>
        <s v="FR7519490"/>
        <s v="FR7522204"/>
        <s v="FR7526807"/>
        <s v="FR7527104"/>
        <s v="FR7529383"/>
        <s v="FR7530772"/>
        <s v="FR7531920"/>
        <s v="FR7536035"/>
        <s v="FR7540274"/>
        <s v="FR7551842"/>
        <s v="FR7553566"/>
        <s v="FR7558422"/>
        <s v="FR7558717"/>
        <s v="FR7569900"/>
        <s v="FR7571211"/>
        <s v="FR7570444"/>
        <s v="FR7571293"/>
        <s v="FR7571302"/>
        <s v="FR7571309"/>
        <s v="FR7573365"/>
        <s v="FR7580945"/>
        <s v="FR7581232"/>
        <s v="FR7585834"/>
        <s v="FR7589717"/>
        <s v="FR7591041"/>
        <s v="FR7595707"/>
        <s v="FR7596042"/>
        <s v="FR7600506"/>
        <s v="FR7600515"/>
        <s v="FR7600523"/>
        <s v="FR7608837"/>
        <s v="FR7610526"/>
        <s v="FR7612893"/>
        <s v="FR7615323"/>
        <s v="FR7615386"/>
        <s v="FR7615420"/>
        <s v="FR7619559"/>
        <s v="FR7626038"/>
        <s v="FR7620211"/>
        <s v="FR7636902"/>
        <s v="FR7637010"/>
        <s v="FR7637217"/>
        <s v="FR7639219"/>
        <s v="FR7640142"/>
        <s v="FR7640621"/>
        <s v="FR7642109"/>
        <s v="FR7645020"/>
        <s v="FR7648582"/>
        <s v="FR7653134"/>
        <s v="FR7659528"/>
        <s v="FR7659713"/>
        <s v="FR7665415"/>
        <s v="FR7669094"/>
        <s v="FR7672089"/>
        <s v="FR7674797"/>
        <s v="FR7680650"/>
        <s v="FR7685524"/>
        <s v="FR7697758"/>
        <s v="FR7700603"/>
        <s v="FR7700650"/>
        <s v="FR7701239"/>
        <s v="FR7702114"/>
        <s v="FR7705866"/>
        <s v="FR7705980"/>
        <s v="FR7721947"/>
        <s v="FR7735014"/>
        <s v="FR7742424"/>
        <s v="FR7743836"/>
        <s v="FR7743953"/>
        <s v="FR7754101"/>
        <s v="FR7761858"/>
        <s v="FR7774847"/>
        <s v="FR7775027"/>
        <s v="FR7778538"/>
        <s v="FR7781427"/>
        <s v="FR7785982"/>
        <s v="FR7804042"/>
        <s v="FR7811994"/>
        <s v="FR7812109"/>
        <s v="FR7823194"/>
        <s v="FR7823548"/>
        <s v="FR7823579"/>
        <s v="FR7825748"/>
        <s v="FR7831957"/>
        <s v="FR7837035"/>
        <s v="FR7837365"/>
        <s v="FR7849069"/>
        <s v="FR7872002"/>
        <s v="FR7869671"/>
        <s v="FR7873614"/>
        <s v="FR7873509"/>
        <s v="FR7876275"/>
        <s v="FR7886476"/>
        <s v="FR7886442"/>
        <s v="FR7884815"/>
        <s v="FR7881587"/>
        <s v="FR7891441"/>
        <s v="FR7896046"/>
        <s v="FR7896681"/>
        <s v="FR7902593"/>
        <s v="FR7902814"/>
        <s v="FR7905416"/>
        <s v="FR7905527"/>
        <s v="FR7907863"/>
        <s v="FR7897475"/>
        <s v="FR7916831"/>
        <s v="FR7916819"/>
        <s v="FR7916805"/>
        <s v="FR7930721"/>
        <s v="FR7929886"/>
        <s v="FR7933262"/>
        <s v="FR7941951"/>
        <s v="FR7943141"/>
        <s v="FR7944249"/>
        <s v="FR7955415"/>
        <s v="FR7953877"/>
        <s v="FR7958459"/>
        <s v="FR7967809"/>
        <s v="FR7968675"/>
        <s v="FR7968701"/>
        <s v="FR7968788"/>
        <s v="FR7969110"/>
        <s v="FR7970870"/>
        <s v="FR7973160"/>
        <s v="FR7973237"/>
        <s v="FR7973245"/>
        <s v="FR7973246"/>
        <s v="FR7973251"/>
        <s v="FR7973258"/>
        <s v="FR7973269"/>
        <s v="FR7973273"/>
        <s v="FR7973277"/>
        <s v="FR7973286"/>
        <s v="FR7973453"/>
        <s v="FR7978263"/>
        <s v="FR7983976"/>
        <s v="FR7989462"/>
        <s v="FR7989325"/>
        <s v="FR7992012"/>
        <s v="FR7992225"/>
        <s v="FR7993071"/>
        <s v="FR7997264"/>
        <s v="FR7996906"/>
        <s v="FR7998841"/>
        <s v="FR8003528"/>
        <s v="FR8006226"/>
        <s v="FR8012274"/>
        <s v="FR8015451"/>
        <s v="FR8017544"/>
        <s v="FR8025328"/>
        <s v="FR8025270"/>
        <s v="FR8022798"/>
        <s v="FR8026215"/>
        <s v="FR8031573"/>
        <s v="FR8032594"/>
        <s v="FR8035473"/>
        <s v="FR8035432"/>
        <s v="FR8039212"/>
        <s v="FR8041482"/>
        <s v="FR8025258"/>
        <s v="FR8041722"/>
        <s v="FR8049358"/>
        <s v="FR8056007"/>
        <s v="FR8060405"/>
        <s v="FR8060333"/>
        <s v="FR8078900"/>
        <s v="FR8078609"/>
        <s v="FR8078188"/>
        <m u="1"/>
        <s v="FR5900147" u="1"/>
        <s v="FR6280266" u="1"/>
        <s v="FR5621701" u="1"/>
        <s v="FR6520074" u="1"/>
        <s v="FR5556558" u="1"/>
        <s v="FR6431103" u="1"/>
        <s v="FR6220285" u="1"/>
        <s v="FR6536559" u="1"/>
        <s v="FR6528476" u="1"/>
        <s v="FR5856739" u="1"/>
        <s v="FR6620365" u="1"/>
        <s v="FR6539220" u="1"/>
        <s v="FR6239515" u="1"/>
        <s v="FR5920638" u="1"/>
        <s v="FR6936463" u="1"/>
        <s v="FR6466059" u="1"/>
        <s v="FR6507413" u="1"/>
        <s v="FR6115440" u="1"/>
        <s v="FR6036896" u="1"/>
        <s v="FR6472957" u="1"/>
        <s v="FR5800580" u="1"/>
        <s v="FR6582164" u="1"/>
        <s v="FR5904864" u="1"/>
        <s v="FR6037309" u="1"/>
        <s v="FR5614175" u="1"/>
        <s v="FR5790529" u="1"/>
        <s v="FR6018398" u="1"/>
        <s v="FR6299920" u="1"/>
        <s v="FR6543710" u="1"/>
        <s v="FR6906257" u="1"/>
        <s v="FR6728982" u="1"/>
        <s v="FR5714182" u="1"/>
        <s v="FR6902348" u="1"/>
        <s v="FR6462190" u="1"/>
        <s v="passion project" u="1"/>
        <s v="FR5489411" u="1"/>
        <s v="FR6082593" u="1"/>
        <s v="FR6768057" u="1"/>
        <s v="FR6489611" u="1"/>
        <s v="FR5537612" u="1"/>
        <s v="FR6145807" u="1"/>
        <s v="FR5617612" u="1"/>
        <s v="FR6148288" u="1"/>
        <s v="FR6368185" u="1"/>
        <s v="FR6484174" u="1"/>
        <s v="FR6009935" u="1"/>
        <s v="FR6660348" u="1"/>
        <s v="FR6804074" u="1"/>
        <s v="FR6605720" u="1"/>
        <s v="FR5662980" u="1"/>
        <s v="FR6676281" u="1"/>
        <s v="FR6291303" u="1"/>
        <s v="FR6607213" u="1"/>
        <s v="FR6092493" u="1"/>
        <s v="FR6452567" u="1"/>
        <s v="FR5892645" u="1"/>
        <s v="FR6772647" u="1"/>
        <s v="FR5856572" u="1"/>
        <s v="FR6852471" u="1"/>
        <s v="FR6059641" u="1"/>
        <s v="FR6126097" u="1"/>
        <s v="FR6608877" u="1"/>
        <s v="FR6307908" u="1"/>
        <s v="FR5611611" u="1"/>
        <s v="FR5549113" u="1"/>
        <s v="FR6797100" u="1"/>
        <s v="FR5934448" u="1"/>
        <s v="FR6013226" u="1"/>
        <s v="FR6029335" u="1"/>
        <s v="FR5738567" u="1"/>
        <s v="FR6594949" u="1"/>
        <s v="FR6197806" u="1"/>
        <s v="FR6057909" u="1"/>
        <s v="FR6378977" u="1"/>
        <s v="FR6241806" u="1"/>
        <s v="FR6173730" u="1"/>
        <s v="FR6609722" u="1"/>
        <s v="FR5624284" u="1"/>
        <s v="FR6544468" u="1"/>
        <s v="FR5780271" u="1"/>
        <s v="FR5780363" u="1"/>
        <s v="FR6261921" u="1"/>
        <s v="FR6860447" u="1"/>
        <s v="FR6283221" u="1"/>
        <s v="FR5668483" u="1"/>
        <s v="FR5807120" u="1"/>
        <s v="FR5699410" u="1"/>
        <s v="FR5688582" u="1"/>
        <s v="FR5784480" u="1"/>
        <s v="FR6080778" u="1"/>
        <s v="FR6380675" u="1"/>
        <s v="FR6880746" u="1"/>
        <s v="FR6635604" u="1"/>
        <s v="FR6159825" u="1"/>
        <s v="FR6834066" u="1"/>
        <s v="FR5852864" u="1"/>
        <s v="FR5924957" u="1"/>
        <s v="FR5835610" u="1"/>
        <s v="FR6722175" u="1"/>
        <s v="FR6849303" u="1"/>
        <s v="FR5594758" u="1"/>
        <s v="FR6673210" u="1"/>
        <s v="FR6378594" u="1"/>
        <s v="FR6714292" u="1"/>
        <s v="FR5734483" u="1"/>
        <s v="FR5910373" u="1"/>
        <s v="FR5438695" u="1"/>
        <s v="FR6782480" u="1"/>
        <s v="FR6213525" u="1"/>
        <s v="FR6748068" u="1"/>
        <s v="FR5582866" u="1"/>
        <s v="FR6376178" u="1"/>
        <s v="FR6788166" u="1"/>
        <s v="FR6558977" u="1"/>
        <s v="FR6117551" u="1"/>
        <s v="FR5576092" u="1"/>
        <s v="FR5433722" u="1"/>
        <s v="FR5568469" u="1"/>
        <s v="FR6688459" u="1"/>
        <s v="FR5826791" u="1"/>
        <s v="FR6846790" u="1"/>
        <s v="FR6316297" u="1"/>
        <s v="FR6867102" u="1"/>
        <s v="FR6291121" u="1"/>
        <s v="FR6144497" u="1"/>
        <s v="FR5848483" u="1"/>
        <s v="FR6144597" u="1"/>
        <s v="FR5476785" u="1"/>
        <s v="FR6608595" u="1"/>
        <s v="FR5878158" u="1"/>
        <s v="FR5460868" u="1"/>
        <s v="FR5595611" u="1"/>
        <s v="FR6542169" u="1"/>
        <s v="FR6516887" u="1"/>
        <s v="FR6724968" u="1"/>
        <s v="FR6303541" u="1"/>
        <s v="FR5440893" u="1"/>
        <s v="FR6097417" u="1"/>
        <s v="FR5515923" u="1"/>
        <s v="FR5605407" u="1"/>
        <s v="FR6509417" u="1"/>
        <s v="FR5413508" u="1"/>
        <s v="FR6774574" u="1"/>
        <s v="FR6362594" u="1"/>
        <s v="FR6634677" u="1"/>
        <s v="FR6057635" u="1"/>
        <s v="FR5850849" u="1"/>
        <s v="FR6426696" u="1"/>
        <s v="FR6281706" u="1"/>
        <s v="FR6017737" u="1"/>
        <s v="FR5583004" u="1"/>
        <s v="FR5910582" u="1"/>
        <s v="FR6013552" u="1"/>
        <s v="FR6172388" u="1"/>
        <s v="FR6264388" u="1"/>
        <s v="FR5604287" u="1"/>
        <s v="FR6718994" u="1"/>
        <s v="FR6388495" u="1"/>
        <s v="FR6099342" u="1"/>
        <s v="FR6846991" u="1"/>
        <s v="FR6872557" u="1"/>
        <s v="FR6291506" u="1"/>
        <s v="FR6644669" u="1"/>
        <s v="FR5791401" u="1"/>
        <s v="FR5827505" u="1"/>
        <s v="FR5568878" u="1"/>
        <s v="FR6856959" u="1"/>
        <s v="FR6392793" u="1"/>
        <s v="FR6375907" u="1"/>
        <s v="FR5731704" u="1"/>
        <s v="FR5527640" u="1"/>
        <s v="FR6606096" u="1"/>
        <s v="FR5778192" u="1"/>
        <s v="FR6061042" u="1"/>
        <s v="FR6564993" u="1"/>
        <s v="FR6631905" u="1"/>
        <s v="FR5910367" u="1"/>
        <s v="FR6259950" u="1"/>
        <s v="FR6473130" u="1"/>
        <s v="FR6630393" u="1"/>
        <s v="FR6782758" u="1"/>
        <s v="FR6430595" u="1"/>
        <s v="FR5678885" u="1"/>
        <s v="FR6829522" u="1"/>
        <s v="FR5590967" u="1"/>
        <s v="FR5654885" u="1"/>
        <s v="FR6246998" u="1"/>
        <s v="FR6544187" u="1"/>
        <s v="FR6231218" u="1"/>
        <s v="FR5495414" u="1"/>
        <s v="FR5455424" u="1"/>
        <s v="FR6564494" u="1"/>
        <s v="FR5627240" u="1"/>
        <s v="FR6855404" u="1"/>
        <s v="FR5415434" u="1"/>
        <s v="FR5898067" u="1"/>
        <s v="FR5495530" u="1"/>
        <s v="FR6720769" u="1"/>
        <s v="FR5896974" u="1"/>
        <s v="FR5898091" u="1"/>
        <s v="FR6283732" u="1"/>
        <s v="FR6362288" u="1"/>
        <s v="FR6808895" u="1"/>
        <s v="FR5431824" u="1"/>
        <s v="FR6882174" u="1"/>
        <s v="FR5531823" u="1"/>
        <s v="FR5570377" u="1"/>
        <s v="FR5845113" u="1"/>
        <s v="FR6007955" u="1"/>
        <s v="FR5467940" u="1"/>
        <s v="FR6853204" u="1"/>
        <s v="FR6119870" u="1"/>
        <s v="FR6698769" u="1"/>
        <s v="FR5717324" u="1"/>
        <s v="FR6382595" u="1"/>
        <s v="FR5577431" u="1"/>
        <s v="FR6197450" u="1"/>
        <s v="FR5886591" u="1"/>
        <s v="FR5397540" u="1"/>
        <s v="FR5845421" u="1"/>
        <s v="FR6233719" u="1"/>
        <s v="FR5900169" u="1"/>
        <s v="FR5875104" u="1"/>
        <s v="FR6627117" u="1"/>
        <s v="FR5733630" u="1"/>
        <s v="FR6685913" u="1"/>
        <s v="FR6717924" u="1"/>
        <s v="FR6188699" u="1"/>
        <s v="FR5611232" u="1"/>
        <s v="FR6695513" u="1"/>
        <s v="FR5548797" u="1"/>
        <s v="FR6756778" u="1"/>
        <s v="FR5589108" u="1"/>
        <s v="FR6187735" u="1"/>
        <s v="FR6620779" u="1"/>
        <s v="FR5527634" u="1"/>
        <s v="FR5497116" u="1"/>
        <s v="FR6251550" u="1"/>
        <s v="FR5694193" u="1"/>
        <s v="FR5765206" u="1"/>
        <s v="FR6245228" u="1"/>
        <s v="FR6691720" u="1"/>
        <s v="FR5661206" u="1"/>
        <s v="FR6049355" u="1"/>
        <s v="FR6361233" u="1"/>
        <s v="FR5725324" u="1"/>
        <s v="FR5777606" u="1"/>
        <s v="FR5562595" u="1"/>
        <s v="FR5785605" u="1"/>
        <s v="FR6894591" u="1"/>
        <s v="FR6488197" u="1"/>
        <s v="FR5701440" u="1"/>
        <s v="FR6137754" u="1"/>
        <s v="FR6441909" u="1"/>
        <s v="FR6921705" u="1"/>
        <s v="FR5631208" u="1"/>
        <s v="FR5841905" u="1"/>
        <s v="FR6003248" u="1"/>
        <s v="FR6492395" u="1"/>
        <s v="FR6291417" u="1"/>
        <s v="FR5876769" u="1"/>
        <s v="FR5811223" u="1"/>
        <s v="FR5551432" u="1"/>
        <s v="FR5795613" u="1"/>
        <s v="FR6291533" u="1"/>
        <s v="FR6703333" u="1"/>
        <s v="FR6370089" u="1"/>
        <s v="FR5599732" u="1"/>
        <s v="FR6475817" u="1"/>
        <s v="FR5460896" u="1"/>
        <s v="FR5744987" u="1"/>
        <s v="FR5852885" u="1"/>
        <s v="FR5539843" u="1"/>
        <s v="FR6674287" u="1"/>
        <s v="FR6483740" u="1"/>
        <s v="FR6503651" u="1"/>
        <s v="FR6772993" u="1"/>
        <s v="FR6873213" u="1"/>
        <s v="FR5711840" u="1"/>
        <s v="FR5601142" u="1"/>
        <s v="FR5601234" u="1"/>
        <s v="FR5517444" u="1"/>
        <s v="FR6341719" u="1"/>
        <s v="FR6197652" u="1"/>
        <s v="FR5814888" u="1"/>
        <s v="FR5585732" u="1"/>
        <s v="FR6884469" u="1"/>
        <s v="FR5527328" u="1"/>
        <s v="FR6399151" u="1"/>
        <s v="FR5825924" u="1"/>
        <s v="FR6540389" u="1"/>
        <s v="FR6025872" u="1"/>
        <s v="FR6868579" u="1"/>
        <s v="FR6936387" u="1"/>
        <s v="FR5547519" u="1"/>
        <s v="FR5515244" u="1"/>
        <s v="FR6243253" u="1"/>
        <s v="FR6547719" u="1"/>
        <s v="FR5894077" u="1"/>
        <s v="FR6547543" u="1"/>
        <s v="FR5747817" u="1"/>
        <s v="FR5646198" u="1"/>
        <s v="FR5617128" u="1"/>
        <s v="FR6797115" u="1"/>
        <s v="FR5934095" u="1"/>
        <s v="FR6051938" u="1"/>
        <s v="FR6894369" u="1"/>
        <s v="FR5835640" u="1"/>
        <s v="FR5982092" u="1"/>
        <s v="FR5475942" u="1"/>
        <s v="FR6089355" u="1"/>
        <s v="FR5431943" u="1"/>
        <s v="FR6607760" u="1"/>
        <s v="FR5521235" u="1"/>
        <s v="FR6617152" u="1"/>
        <s v="FR6181352" u="1"/>
        <s v="FR5709536" u="1"/>
        <s v="FR5845708" u="1"/>
        <s v="FR5487119" u="1"/>
        <s v="FR6737534" u="1"/>
        <s v="FR5590979" u="1"/>
        <s v="FR5577550" u="1"/>
        <s v="FR6497918" u="1"/>
        <s v="FR5827018" u="1"/>
        <s v="FR5961521" u="1"/>
        <s v="FR5605460" u="1"/>
        <s v="FR6617644" u="1"/>
        <s v="FR6758997" u="1"/>
        <s v="FR6922887" u="1"/>
        <s v="FR6073670" u="1"/>
        <s v="FR6575042" u="1"/>
        <s v="No request" u="1"/>
        <s v="FR5927041" u="1"/>
        <s v="FR6612399" u="1"/>
        <s v="FR5463151" u="1"/>
        <s v="FR6627152" u="1"/>
        <s v="FR6619161" u="1"/>
        <s v="FR6441951" u="1"/>
        <s v="FR6879708" u="1"/>
        <s v="FR5595541" u="1"/>
        <s v="FR6271728" u="1"/>
        <s v="FR6772879" u="1"/>
        <s v="FR5855532" u="1"/>
        <s v="FR6939441" u="1"/>
        <s v="FR5605029" u="1"/>
        <s v="FR5850087" u="1"/>
        <s v="FR6371919" u="1"/>
        <s v="FR6089248" u="1"/>
        <s v="FR6557036" u="1"/>
        <s v="FR5590196" u="1"/>
        <s v="FR6361036" u="1"/>
        <s v="FR5811633" u="1"/>
        <s v="FR5982369" u="1"/>
        <s v="FR5853024" u="1"/>
        <s v="FR5459861" u="1"/>
        <s v="FR6467852" u="1"/>
        <s v="FR6393143" u="1"/>
        <s v="FR6017083" u="1"/>
        <s v="FR6115965" u="1"/>
        <s v="FR6151770" u="1"/>
        <s v="FR6318700" u="1"/>
        <s v="FR6449162" u="1"/>
        <s v="FR6681416" u="1"/>
        <s v="FR5825242" u="1"/>
        <s v="FR6013458" u="1"/>
        <s v="FR5725343" u="1"/>
        <s v="FR5621343" u="1"/>
        <s v="FR5729360" u="1"/>
        <s v="FR6513445" u="1"/>
        <s v="FR6381451" u="1"/>
        <s v="FR6690795" u="1"/>
        <s v="FR6769550" u="1"/>
        <s v="FR5989731" u="1"/>
        <s v="FR6441644" u="1"/>
        <s v="FR6755026" u="1"/>
        <s v="FR5795032" u="1"/>
        <s v="FR5780379" u="1"/>
        <s v="FR6375053" u="1"/>
        <s v="FR6833917" u="1"/>
        <s v="FR5975123" u="1"/>
        <s v="FR6495143" u="1"/>
        <s v="FR5455429" u="1"/>
        <s v="FR5533852" u="1"/>
        <s v="FR5877940" u="1"/>
        <s v="FR6209790" u="1"/>
        <s v="FR6139366" u="1"/>
        <s v="FR5668799" u="1"/>
        <s v="FR6231355" u="1"/>
        <s v="FR6555352" u="1"/>
        <s v="FR5655635" u="1"/>
        <s v="FR5623452" u="1"/>
        <s v="FR6789118" u="1"/>
        <s v="FR6225049" u="1"/>
        <s v="FR5459854" u="1"/>
        <s v="FR6295761" u="1"/>
        <s v="FR5629146" u="1"/>
        <s v="FR5845126" u="1"/>
        <s v="FR6115866" u="1"/>
        <s v="FR5877325" u="1"/>
        <s v="FR6677519" u="1"/>
        <s v="FR5654599" u="1"/>
        <s v="FR6801143" u="1"/>
        <s v="FR5413639" u="1"/>
        <s v="FR5549554" u="1"/>
        <s v="FR5607039" u="1"/>
        <s v="FR6377570" u="1"/>
        <s v="FR6513462" u="1"/>
        <s v="FR5425755" u="1"/>
        <s v="FR5773825" u="1"/>
        <s v="FR6181754" u="1"/>
        <s v="FR6932189" u="1"/>
        <s v="FR6047167" u="1"/>
        <s v="FR5765934" u="1"/>
        <s v="FR5872388" u="1"/>
        <s v="FR5989932" u="1"/>
        <s v="FR6281945" u="1"/>
        <s v="FR5611229" u="1"/>
        <s v="FR5839236" u="1"/>
        <s v="FR5501670" u="1"/>
        <s v="FR6121965" u="1"/>
        <s v="FR6615154" u="1"/>
        <s v="FR6141880" u="1"/>
        <s v="FR6627262" u="1"/>
        <s v="FR5823527" u="1"/>
        <s v="FR5955709" u="1"/>
        <s v="FR6079574" u="1"/>
        <s v="FR5727729" u="1"/>
        <s v="FR5589129" u="1"/>
        <s v="FR5778299" u="1"/>
        <s v="FR6297339" u="1"/>
        <s v="FR6873117" u="1"/>
        <s v="FR5673319" u="1"/>
        <s v="FR6110602" u="1"/>
        <s v="FR6597152" u="1"/>
        <s v="FR6449356" u="1"/>
        <s v="FR6793509" u="1"/>
        <s v="FR6333448" u="1"/>
        <s v="FR5413364" u="1"/>
        <s v="FR5765719" u="1"/>
        <s v="FR6874797" u="1"/>
        <s v="FR6687036" u="1"/>
        <s v="FR6449580" u="1"/>
        <s v="FR6595136" u="1"/>
        <s v="FR5784398" u="1"/>
        <s v="FR5789851" u="1"/>
        <s v="FR5627063" u="1"/>
        <s v="FR5871133" u="1"/>
        <s v="FR5811236" u="1"/>
        <s v="FR6172800" u="1"/>
        <s v="FR6359549" u="1"/>
        <s v="FR6274100" u="1"/>
        <s v="FR5831151" u="1"/>
        <s v="FR6227191" u="1"/>
        <s v="FR6371538" u="1"/>
        <s v="FR6091464" u="1"/>
        <s v="FR6163557" u="1"/>
        <s v="FR6115476" u="1"/>
        <s v="FR6131282" u="1"/>
        <s v="FR6887626" u="1"/>
        <s v="FR6151381" u="1"/>
        <s v="FR5991715" u="1"/>
        <s v="FR6859744" u="1"/>
        <s v="FR5747661" u="1"/>
        <s v="FR5851734" u="1"/>
        <s v="FR6751919" u="1"/>
        <s v="FR5603847" u="1"/>
        <s v="FR6107785" u="1"/>
        <s v="FR6673044" u="1"/>
        <s v="FR6547771" u="1"/>
        <s v="FR6785419" u="1"/>
        <s v="FR5549080" u="1"/>
        <s v="FR5653429" u="1"/>
        <s v="FR5910399" u="1"/>
        <s v="FR6483961" u="1"/>
        <s v="FR6547971" u="1"/>
        <s v="FR5845528" u="1"/>
        <s v="FR6373639" u="1"/>
        <s v="FR6341180" u="1"/>
        <s v="FR6581260" u="1"/>
        <s v="FR5524200" u="1"/>
        <s v="FR6013669" u="1"/>
        <s v="FR6365656" u="1"/>
        <s v="FR6509566" u="1"/>
        <s v="FR6785827" u="1"/>
        <s v="FR5671044" u="1"/>
        <s v="FR6068620" u="1"/>
        <s v="FR6545671" u="1"/>
        <s v="FR5575338" u="1"/>
        <s v="FR6792398" u="1"/>
        <s v="FR5583061" u="1"/>
        <s v="FR5787060" u="1"/>
        <s v="FR6444600" u="1"/>
        <s v="FR5755061" u="1"/>
        <s v="FR6767245" u="1"/>
        <s v="FR6191448" u="1"/>
        <s v="FR5438202" u="1"/>
        <s v="FR6271180" u="1"/>
        <s v="FR6639364" u="1"/>
        <s v="FR6395371" u="1"/>
        <s v="FR6615180" u="1"/>
        <s v="FR5819463" u="1"/>
        <s v="FR6803170" u="1"/>
        <s v="FR5415482" u="1"/>
        <s v="FR6555655" u="1"/>
        <s v="FR5759938" u="1"/>
        <s v="FR6179967" u="1"/>
        <s v="FR6697237" u="1"/>
        <s v="FR6921228" u="1"/>
        <s v="FR6403690" u="1"/>
        <s v="FR6603780" u="1"/>
        <s v="FR6264402" u="1"/>
        <s v="FR6581829" u="1"/>
        <s v="FR5579148" u="1"/>
        <s v="FR6317492" u="1"/>
        <s v="FR5557580" u="1"/>
        <s v="FR5949845" u="1"/>
        <s v="FR6088804" u="1"/>
        <s v="FR5609774" u="1"/>
        <s v="FR5587071" u="1"/>
        <s v="FR5695337" u="1"/>
        <s v="FR6273965" u="1"/>
        <s v="FR6385872" u="1"/>
        <s v="FR5755246" u="1"/>
        <s v="FR6551247" u="1"/>
        <s v="FR6059386" u="1"/>
        <s v="FR6163091" u="1"/>
        <s v="FR5841952" u="1"/>
        <s v="FR6112821" u="1"/>
        <s v="FR6807080" u="1"/>
        <s v="FR6507467" u="1"/>
        <s v="FR5987451" u="1"/>
        <s v="FR6155668" u="1"/>
        <s v="FR6031669" u="1"/>
        <s v="FR6291472" u="1"/>
        <s v="FR6839555" u="1"/>
        <s v="FR6218414" u="1"/>
        <s v="FR5411566" u="1"/>
        <s v="FR6787753" u="1"/>
        <s v="FR5459874" u="1"/>
        <s v="FR6518603" u="1"/>
        <s v="FR6669064" u="1"/>
        <s v="FR5523773" u="1"/>
        <s v="FR6711755" u="1"/>
        <s v="FR6883935" u="1"/>
        <s v="FR5561247" u="1"/>
        <s v="FR5623680" u="1"/>
        <s v="FR6281173" u="1"/>
        <s v="FR6168213" u="1"/>
        <s v="FR6388110" u="1"/>
        <s v="FR6621256" u="1"/>
        <s v="FR6045486" u="1"/>
        <s v="FR5823970" u="1"/>
        <s v="FR6581370" u="1"/>
        <s v="FR6281957" u="1"/>
        <s v="FR6713480" u="1"/>
        <s v="FR5485872" u="1"/>
        <s v="FR5609783" u="1"/>
        <s v="FR6704501" u="1"/>
        <s v="FR6733855" u="1"/>
        <s v="FR5891235" u="1"/>
        <s v="FR6901662" u="1"/>
        <s v="FR5547366" u="1"/>
        <s v="FR6367467" u="1"/>
        <s v="FR6191190" u="1"/>
        <s v="FR6803164" u="1"/>
        <s v="0No ticket" u="1"/>
        <s v="FR6427384" u="1"/>
        <s v="FR5427768" u="1"/>
        <s v="FR5753139" u="1"/>
        <s v="FR5855570" u="1"/>
        <s v="FR6547774" u="1"/>
        <s v="FR5459883" u="1"/>
        <s v="FR5803672" u="1"/>
        <s v="FR6271782" u="1"/>
        <s v="FR5513175" u="1"/>
        <s v="FR5626802" u="1"/>
        <s v="FR6070812" u="1"/>
        <s v="FR6214722" u="1"/>
        <s v="FR6386810" u="1"/>
        <s v="FR6108217" u="1"/>
        <s v="FR6120014" u="1"/>
        <s v="FR6041194" u="1"/>
        <s v="FR6450801" u="1"/>
        <s v="FR6505184" u="1"/>
        <s v="FR5845271" u="1"/>
        <s v="FR5417393" u="1"/>
        <s v="FR6717290" u="1"/>
        <s v="FR6352403" u="1"/>
        <s v="FR5408522" u="1"/>
        <s v="FR6871129" u="1"/>
        <s v="FR5613674" u="1"/>
        <s v="FR6403069" u="1"/>
        <s v="FR6693670" u="1"/>
        <s v="FR6032531" u="1"/>
        <s v="FR6492600" u="1"/>
        <s v="FR5404713" u="1"/>
        <s v="FR6323269" u="1"/>
        <s v="FR5558011" u="1"/>
        <s v="FR5649982" u="1"/>
        <s v="FR6751071" u="1"/>
        <s v="FR5579658" u="1"/>
        <s v="FR6439569" u="1"/>
        <s v="FR5486310" u="1"/>
        <s v="FR5502304" u="1"/>
        <s v="FR5911455" u="1"/>
        <s v="FR6810200" u="1"/>
        <s v="FR5611482" u="1"/>
        <s v="FR6667673" u="1"/>
        <s v="FR5546603" u="1"/>
        <s v="FR6773139" u="1"/>
        <s v="FR5979854" u="1"/>
        <s v="FR5981044" u="1"/>
        <s v="FR5979770" u="1"/>
        <s v="FR5523875" u="1"/>
        <s v="FR5434712" u="1"/>
        <s v="FR6454711" u="1"/>
        <s v="FR6032116" u="1"/>
        <s v="FR6511691" u="1"/>
        <s v="FR5725266" u="1"/>
        <s v="FR6049489" u="1"/>
        <s v="FR5422720" u="1"/>
        <s v="FR6173385" u="1"/>
        <s v="FR6269486" u="1"/>
        <s v="FR5597565" u="1"/>
        <s v="FR6104041" u="1"/>
        <s v="FR6240121" u="1"/>
        <s v="FR6040331" u="1"/>
        <s v="FR5585681" u="1"/>
        <s v="FR6609777" u="1"/>
        <s v="FR6821748" u="1"/>
        <s v="FR6936400" u="1"/>
        <s v="FR6032624" u="1"/>
        <s v="FR5483082" u="1"/>
        <s v="FR6695256" u="1"/>
        <s v="FR6437893" u="1"/>
        <s v="FR5392902" u="1"/>
        <s v="FR5534012" u="1"/>
        <s v="FR6291375" u="1"/>
        <s v="FR6346030" u="1"/>
        <s v="FR6599290" u="1"/>
        <s v="FR6935264" u="1"/>
        <s v="FR6406123" u="1"/>
        <s v="FR5424921" u="1"/>
        <s v="FR5559676" u="1"/>
        <s v="FR6743557" u="1"/>
        <s v="FR6058617" u="1"/>
        <s v="FR5459869" u="1"/>
        <s v="FR6347778" u="1"/>
        <s v="FR6507586" u="1"/>
        <s v="FR6615392" u="1"/>
        <s v="FR6631474" u="1"/>
        <s v="FR6651665" u="1"/>
        <s v="FR6727491" u="1"/>
        <s v="FR5977147" u="1"/>
        <s v="FR6278806" u="1"/>
        <s v="FR6283876" u="1"/>
        <s v="FR6637076" u="1"/>
        <s v="FR5549093" u="1"/>
        <s v="FR5769266" u="1"/>
        <s v="FR5935864" u="1"/>
        <s v="FR5959964" u="1"/>
        <s v="FR6611775" u="1"/>
        <s v="FR5475983" u="1"/>
        <s v="FR6533176" u="1"/>
        <s v="FR6345286" u="1"/>
        <s v="FR6136225" u="1"/>
        <s v="FR5937365" u="1"/>
        <s v="FR6836102" u="1"/>
        <s v="FR5905274" u="1"/>
        <s v="FR6849466" u="1"/>
        <s v="FR6368230" u="1"/>
        <s v="FR6548313" u="1"/>
        <s v="FR5488420" u="1"/>
        <s v="FR6120508" u="1"/>
        <s v="FR5485867" u="1"/>
        <s v="FR6520312" u="1"/>
        <s v="FR5608614" u="1"/>
        <s v="FR6387085" u="1"/>
        <s v="FR5417887" u="1"/>
        <s v="FR5495275" u="1"/>
        <s v="FR6541967" u="1"/>
        <s v="FR5531176" u="1"/>
        <s v="FR6524905" u="1"/>
        <s v="FR6803175" u="1"/>
        <s v="FR5726020" u="1"/>
        <s v="FR5404923" u="1"/>
        <s v="FR5575291" u="1"/>
        <s v="FR6563283" u="1"/>
        <s v="FR6834010" u="1"/>
        <s v="FR6863456" u="1"/>
        <s v="FR5591381" u="1"/>
        <s v="FR6291668" u="1"/>
        <s v="FR6483859" u="1"/>
        <s v="FR5627869" u="1"/>
        <s v="FR5641059" u="1"/>
        <s v="FR5910401" u="1"/>
        <s v="FR5923581" u="1"/>
        <s v="FR6755682" u="1"/>
        <s v="FR6791671" u="1"/>
        <s v="FR5491982" u="1"/>
        <s v="FR5569385" u="1"/>
        <s v="FR6374913" u="1"/>
        <s v="FR6773357" u="1"/>
        <s v="FR6821258" u="1"/>
        <s v="FR6913258" u="1"/>
        <s v="FR6297578" u="1"/>
        <s v="FR5480203" u="1"/>
        <s v="FR5765190" u="1"/>
        <s v="FR6110925" u="1"/>
        <s v="FR6312124" u="1"/>
        <s v="FR5625477" u="1"/>
        <s v="FR5885280" u="1"/>
        <s v="FR5993362" u="1"/>
        <s v="FR5812303" u="1"/>
        <s v="FR5583067" u="1"/>
        <s v="FR5557693" u="1"/>
        <s v="FR6897580" u="1"/>
        <s v="FR6126019" u="1"/>
        <s v="FR6498005" u="1"/>
        <s v="FR5506008" u="1"/>
        <s v="FR5546006" u="1"/>
        <s v="FR6460612" u="1"/>
        <s v="FR6213897" u="1"/>
        <s v="FR6724704" u="1"/>
        <s v="FR6767083" u="1"/>
        <s v="FR5456922" u="1"/>
        <s v="FR6046143" u="1"/>
        <s v="FR6426216" u="1"/>
        <s v="FR6108852" u="1"/>
        <s v="FR6659477" u="1"/>
        <s v="FR6724812" u="1"/>
        <s v="FR6814212" u="1"/>
        <s v="FR5963472" u="1"/>
        <s v="FR5562320" u="1"/>
        <s v="FR5574420" u="1"/>
        <s v="FR5454706" u="1"/>
        <s v="FR5526523" u="1"/>
        <s v="FR5707886" u="1"/>
        <s v="FR6581183" u="1"/>
        <s v="FR5464214" u="1"/>
        <s v="FR6269497" u="1"/>
        <s v="FR6737377" u="1"/>
        <s v="FR6820003" u="1"/>
        <s v="FR5885281" u="1"/>
        <s v="FR6036244" u="1"/>
        <s v="FR6156618" u="1"/>
        <s v="FR6364331" u="1"/>
        <s v="FR6629779" u="1"/>
        <s v="FR6736321" u="1"/>
        <s v="FR5464522" u="1"/>
        <s v="FR6279189" u="1"/>
        <s v="FR6612506" u="1"/>
        <s v="FR5683259" u="1"/>
        <s v="FR5975065" u="1"/>
        <s v="FR5728806" u="1"/>
        <s v="FR5768804" u="1"/>
        <s v="FR5856611" u="1"/>
        <s v="FR6560612" u="1"/>
        <s v="FR6152641" u="1"/>
        <s v="FR5704906" u="1"/>
        <s v="FR6607196" u="1"/>
        <s v="FR5654113" u="1"/>
        <s v="FR5600814" u="1"/>
        <s v="FR5827285" u="1"/>
        <s v="FR5918113" u="1"/>
        <s v="FR6106329" u="1"/>
        <s v="FR5943274" u="1"/>
        <s v="FR6799659" u="1"/>
        <s v="FR6571568" u="1"/>
        <s v="FR5959667" u="1"/>
        <s v="FR5430231" u="1"/>
        <s v="FR5607596" u="1"/>
        <s v="FR6851290" u="1"/>
        <s v="FR5787867" u="1"/>
        <s v="FR5474706" u="1"/>
        <s v="FR6287988" u="1"/>
        <s v="FR6743876" u="1"/>
        <s v="FR6681275" u="1"/>
        <s v="FR6264409" u="1"/>
        <s v="FR6736114" u="1"/>
        <s v="FR6032144" u="1"/>
        <s v="FR6304043" u="1"/>
        <s v="FR5506933" u="1"/>
        <s v="FR6524416" u="1"/>
        <s v="FR5873574" u="1"/>
        <s v="FR5579087" u="1"/>
        <s v="FR6789692" u="1"/>
        <s v="FR5468824" u="1"/>
        <s v="FR6713786" u="1"/>
        <s v="FR6521979" u="1"/>
        <s v="FR5486307" u="1"/>
        <s v="FR6188850" u="1"/>
        <s v="FR5886111" u="1"/>
        <s v="FR5740720" u="1"/>
        <s v="FR5562306" u="1"/>
        <s v="FR5821984" u="1"/>
        <s v="FR6570113" u="1"/>
        <s v="FR6046161" u="1"/>
        <s v="FR5450231" u="1"/>
        <s v="FR6918406" u="1"/>
        <s v="FR5826230" u="1"/>
        <s v="FR5787776" u="1"/>
        <s v="FR6338443" u="1"/>
        <s v="FR6122260" u="1"/>
        <s v="FR5737087" u="1"/>
        <s v="FR6034829" u="1"/>
        <s v="FR5871958" u="1"/>
        <s v="FR6815694" u="1"/>
        <s v="FR5426550" u="1"/>
        <s v="FR5570713" u="1"/>
        <s v="FR6264126" u="1"/>
        <s v="FR5534824" u="1"/>
        <s v="FR6032137" u="1"/>
        <s v="FR5848122" u="1"/>
        <s v="FR6530731" u="1"/>
        <s v="FR6152419" u="1"/>
        <s v="FR6032153" u="1"/>
        <s v="FR6036254" u="1"/>
        <s v="FR6368518" u="1"/>
        <s v="FR5873475" u="1"/>
        <s v="FR6741477" u="1"/>
        <s v="FR5608334" u="1"/>
        <s v="FR5732130" u="1"/>
        <s v="FR6124529" u="1"/>
        <s v="FR5596430" u="1"/>
        <s v="FR6708425" u="1"/>
        <s v="FR6304444" u="1"/>
        <s v="FR5856613" u="1"/>
        <s v="FR5976703" u="1"/>
        <s v="FR6304728" u="1"/>
        <s v="FR5567288" u="1"/>
        <s v="FR5538126" u="1"/>
        <s v="FR5831177" u="1"/>
        <s v="FR6358319" u="1"/>
        <s v="FR5486408" u="1"/>
        <s v="FR6034238" u="1"/>
        <s v="FR5528842" u="1"/>
        <s v="FR6620631" u="1"/>
        <s v="FR5808924" u="1"/>
        <s v="FR6252750" u="1"/>
        <s v="FR6308945" u="1"/>
        <s v="FR6399697" u="1"/>
        <s v="FR5502142" u="1"/>
        <s v="FR6602133" u="1"/>
        <s v="FR6914306" u="1"/>
        <s v="FR6109100" u="1"/>
        <s v="FR5566432" u="1"/>
        <s v="FR5438543" u="1"/>
        <s v="FR6754422" u="1"/>
        <s v="FR6361097" u="1"/>
        <s v="FR6263998" u="1"/>
        <s v="FR6770520" u="1"/>
        <s v="FR6284126" u="1"/>
        <s v="FR6732007" u="1"/>
        <s v="FR5442825" u="1"/>
        <s v="FR6184227" u="1"/>
        <s v="FR6354934" u="1"/>
        <s v="FR6532125" u="1"/>
        <s v="FR6932105" u="1"/>
        <s v="FR6228438" u="1"/>
        <s v="FR6604326" u="1"/>
        <s v="FR6298119" u="1"/>
        <s v="FR5432726" u="1"/>
        <s v="FR5877893" u="1"/>
        <s v="FR6658025" u="1"/>
        <s v="FR5456926" u="1"/>
        <s v="FR5975092" u="1"/>
        <s v="FR6340826" u="1"/>
        <s v="FR5538043" u="1"/>
        <s v="FR6849995" u="1"/>
        <s v="FR5416844" u="1"/>
        <s v="FR6202046" u="1"/>
        <s v="FR5718226" u="1"/>
        <s v="FR6643296" u="1"/>
        <s v="FR6262051" u="1"/>
        <s v="FR6662315" u="1"/>
        <s v="FR6879586" u="1"/>
        <s v="FR6506336" u="1"/>
        <s v="FR5883584" u="1"/>
        <s v="FR6312960" u="1"/>
        <s v="FR5562616" u="1"/>
        <s v="FR6388119" u="1"/>
        <s v="FR6719798" u="1"/>
        <s v="FR6669097" u="1"/>
        <s v="FR5642808" u="1"/>
        <s v="FR6422543" u="1"/>
        <s v="FR5773278" u="1"/>
        <s v="FR5653288" u="1"/>
        <s v="FR6054762" u="1"/>
        <s v="FR6058955" u="1"/>
        <s v="FR6130937" u="1"/>
        <s v="FR6264052" u="1"/>
        <s v="FR6352227" u="1"/>
        <s v="FR5606843" u="1"/>
        <s v="FR6454750" u="1"/>
        <s v="FR5702925" u="1"/>
        <s v="FR5452142" u="1"/>
        <s v="FR5482940" u="1"/>
        <s v="FR6088370" u="1"/>
        <s v="FR6564433" u="1"/>
        <s v="FR5408370" u="1"/>
        <s v="FR5494025" u="1"/>
        <s v="FR5624450" u="1"/>
        <s v="FR5741887" u="1"/>
        <s v="FR5891276" u="1"/>
        <s v="FR6582308" u="1"/>
        <s v="FR6722025" u="1"/>
        <s v="FR6894113" u="1"/>
        <s v="FR6018358" u="1"/>
        <s v="FR5436860" u="1"/>
        <s v="FR5723489" u="1"/>
        <s v="FR6176961" u="1"/>
        <s v="FR6228963" u="1"/>
        <s v="FR6458528" u="1"/>
        <s v="FR5466627" u="1"/>
        <s v="FR5826533" u="1"/>
        <s v="FR5906625" u="1"/>
        <s v="FR5600019" u="1"/>
        <s v="FR5410928" u="1"/>
        <s v="FR5534843" u="1"/>
        <s v="FR5822832" u="1"/>
        <s v="FR5845396" u="1"/>
        <s v="FR5444428" u="1"/>
        <s v="FR5522943" u="1"/>
        <s v="FR6832408" u="1"/>
        <s v="FR5616628" u="1"/>
        <s v="FR5465899" u="1"/>
        <s v="FR6884430" u="1"/>
        <s v="FR6560625" u="1"/>
        <s v="FR5508562" u="1"/>
        <s v="FR5532643" u="1"/>
        <s v="FR5462127" u="1"/>
        <s v="FR6828826" u="1"/>
        <s v="FR5630118" u="1"/>
        <s v="FR5920631" u="1"/>
        <s v="FR6542043" u="1"/>
        <s v="FR6462327" u="1"/>
        <s v="FR6308964" u="1"/>
        <s v="FR6854224" u="1"/>
        <s v="FR6338355" u="1"/>
        <s v="FR6598626" u="1"/>
        <s v="FR5675889" u="1"/>
        <s v="FR6750332" u="1"/>
        <s v="FR6891593" u="1"/>
        <s v="FR6630342" u="1"/>
        <s v="FR6388129" u="1"/>
        <s v="FR6483898" u="1"/>
        <s v="FR6410361" u="1"/>
        <s v="FR5434653" u="1"/>
        <s v="FR5870530" u="1"/>
        <s v="FR6370735" u="1"/>
        <s v="FR6594917" u="1"/>
        <s v="FR6894814" u="1"/>
        <s v="FR6770731" u="1"/>
        <s v="FR6742841" u="1"/>
        <s v="FR5608346" u="1"/>
        <s v="FR5736335" u="1"/>
        <s v="FR6620235" u="1"/>
        <s v="FR5488636" u="1"/>
        <s v="FR5608446" u="1"/>
        <s v="FR5684617" u="1"/>
        <s v="FR6784332" u="1"/>
        <s v="FR5560434" u="1"/>
        <s v="FR5696917" u="1"/>
        <s v="FR5852440" u="1"/>
        <s v="FR5984530" u="1"/>
        <s v="FR6840440" u="1"/>
        <s v="FR6276762" u="1"/>
        <s v="FR6736927" u="1"/>
        <s v="FR5778326" u="1"/>
        <s v="FR6116874" u="1"/>
        <s v="FR6426063" u="1"/>
        <s v="FR6320946" u="1"/>
        <s v="FR5802043" u="1"/>
        <s v="FR5418448" u="1"/>
        <s v="FR5618346" u="1"/>
        <s v="FR6119811" u="1"/>
        <s v="FR6646244" u="1"/>
        <s v="FR6292960" u="1"/>
        <s v="FR6450244" u="1"/>
        <s v="FR6158557" u="1"/>
        <s v="FR6538446" u="1"/>
        <s v="FR6918427" u="1"/>
        <s v="FR5718453" u="1"/>
        <s v="FR6902334" u="1"/>
        <s v="FR6446646" u="1"/>
        <s v="FR6882615" u="1"/>
        <s v="FR5851796" u="1"/>
        <s v="FR5493299" u="1"/>
        <s v="FR5852109" u="1"/>
        <s v="FR5624129" u="1"/>
        <s v="FR6646928" u="1"/>
        <s v="FR6712028" u="1"/>
        <s v="FR6877297" u="1"/>
        <s v="FR5522937" u="1"/>
        <s v="FR5740218" u="1"/>
        <s v="FR6556237" u="1"/>
        <s v="FR6080171" u="1"/>
        <s v="FR6853589" u="1"/>
        <s v="FR5848343" u="1"/>
        <s v="FR6148190" u="1"/>
        <s v="FR5688543" u="1"/>
        <s v="FR5804444" u="1"/>
        <s v="FR5634029" u="1"/>
        <s v="FR5973887" u="1"/>
        <s v="FR6072572" u="1"/>
        <s v="FR6188580" u="1"/>
        <s v="FR6560635" u="1"/>
        <s v="FR6075501" u="1"/>
        <s v="FR5476753" u="1"/>
        <s v="FR5636561" u="1"/>
        <s v="FR6040481" u="1"/>
        <s v="FR5512654" u="1"/>
        <s v="FR5596843" u="1"/>
        <s v="FR6536938" u="1"/>
        <s v="FR5952640" u="1"/>
        <s v="FR6016968" u="1"/>
        <s v="FR6122158" u="1"/>
        <s v="FR5900734" u="1"/>
        <s v="FR6462053" u="1"/>
        <s v="FR6458163" u="1"/>
        <s v="FR6582143" u="1"/>
        <s v="FR5700752" u="1"/>
        <s v="FR5840933" u="1"/>
        <s v="FR5530245" u="1"/>
        <s v="FR6582151" u="1"/>
        <s v="FR6654244" u="1"/>
        <s v="FR6228982" u="1"/>
        <s v="FR6267900" u="1"/>
        <s v="FR5449200" u="1"/>
        <s v="FR5967697" u="1"/>
        <s v="FR6101011" u="1"/>
        <s v="FR5918260" u="1"/>
        <s v="FR6490443" u="1"/>
        <s v="FR6020990" u="1"/>
        <s v="FR6330455" u="1"/>
        <s v="FR5466562" u="1"/>
        <s v="FR6214474" u="1"/>
        <s v="FR5674651" u="1"/>
        <s v="FR6154857" u="1"/>
        <s v="FR6822543" u="1"/>
        <s v="FR6881096" u="1"/>
        <s v="FR5744128" u="1"/>
        <s v="FR5661299" u="1"/>
        <s v="FR5774650" u="1"/>
        <s v="FR5614854" u="1"/>
        <s v="FR5850833" u="1"/>
        <s v="FR6292438" u="1"/>
        <s v="FR6022883" u="1"/>
        <s v="FR5780417" u="1"/>
        <s v="FR5996516" u="1"/>
        <s v="FR6256465" u="1"/>
        <s v="FR6130981" u="1"/>
        <s v="FR6492636" u="1"/>
        <s v="FR5578038" u="1"/>
        <s v="FR6936351" u="1"/>
        <s v="FR5392929" u="1"/>
        <s v="FR5468755" u="1"/>
        <s v="FR5756828" u="1"/>
        <s v="FR5480560" u="1"/>
        <s v="FR6560552" u="1"/>
        <s v="FR6228775" u="1"/>
        <s v="FR5804745" u="1"/>
        <s v="FR6636570" u="1"/>
        <s v="FR6143602" u="1"/>
        <s v="FR5666337" u="1"/>
        <s v="FR6444863" u="1"/>
        <s v="FR6320956" u="1"/>
        <s v="FR6520854" u="1"/>
        <s v="FR6612946" u="1"/>
        <s v="FR5562161" u="1"/>
        <s v="FR6558447" u="1"/>
        <s v="FR6033204" u="1"/>
        <s v="FR5402457" u="1"/>
        <s v="FR5970516" u="1"/>
        <s v="FR6054291" u="1"/>
        <s v="FR6626363" u="1"/>
        <s v="FR5826545" u="1"/>
        <s v="FR5870533" u="1"/>
        <s v="FR5842727" u="1"/>
        <s v="FR6142758" u="1"/>
        <s v="FR5850726" u="1"/>
        <s v="FR5870541" u="1"/>
        <s v="FR6330656" u="1"/>
        <s v="FR6269610" u="1"/>
        <s v="FR6338690" u="1"/>
        <s v="FR5578962" u="1"/>
        <s v="FR5868336" u="1"/>
        <s v="FR5616072" u="1"/>
        <s v="FR6302874" u="1"/>
        <s v="FR5712154" u="1"/>
        <s v="FR6556263" u="1"/>
        <s v="No ticket" u="1"/>
        <s v="FR6620262" u="1"/>
        <s v="FR5684644" u="1"/>
        <s v="FR5968643" u="1"/>
        <s v="FR5528857" u="1"/>
        <s v="FR5658055" u="1"/>
        <s v="FR5432580" u="1"/>
        <s v="FR6119806" u="1"/>
        <s v="FR5808855" u="1"/>
        <s v="FR6117006" u="1"/>
        <s v="FR5802046" u="1"/>
        <s v="FR5736870" u="1"/>
        <s v="FR6638264" u="1"/>
        <s v="FR5906254" u="1"/>
        <s v="FR5406375" u="1"/>
        <s v="FR6153211" u="1"/>
        <s v="FR5870534" u="1"/>
        <s v="FR6021321" u="1"/>
        <s v="FR6101413" u="1"/>
        <s v="FR5526857" u="1"/>
        <s v="FR6117614" u="1"/>
        <s v="FR5428259" u="1"/>
        <s v="FR5724055" u="1"/>
        <s v="FR6374872" u="1"/>
        <s v="FR6166891" u="1"/>
        <s v="FR6344082" u="1"/>
        <s v="FR5852060" u="1"/>
        <s v="FR6368190" u="1"/>
        <s v="FR6872519" u="1"/>
        <s v="FR6640346" u="1"/>
        <s v="FR6287302" u="1"/>
        <s v="FR5609910" u="1"/>
        <s v="FR6780343" u="1"/>
        <s v="FR6059414" u="1"/>
        <s v="FR5413910" u="1"/>
        <s v="FR5612456" u="1"/>
        <s v="FR5880626" u="1"/>
        <s v="FR6340281" u="1"/>
        <s v="FR6363301" u="1"/>
        <s v="FR6894019" u="1"/>
        <s v="FR6607210" u="1"/>
        <s v="FR6620647" u="1"/>
        <s v="FR5956652" u="1"/>
        <s v="FR6298074" u="1"/>
        <s v="FR6228693" u="1"/>
        <s v="FR6616681" u="1"/>
        <s v="FR6097204" u="1"/>
        <s v="FR6002095" u="1"/>
        <s v="FR6606166" u="1"/>
        <s v="FR6250174" u="1"/>
        <s v="FR6222376" u="1"/>
        <s v="FR5570638" u="1"/>
        <s v="FR5870535" u="1"/>
        <s v="FR6082575" u="1"/>
        <s v="FR5622748" u="1"/>
        <s v="FR5488249" u="1"/>
        <s v="FR5462580" u="1"/>
        <s v="FR6166784" u="1"/>
        <s v="FR6434682" u="1"/>
        <s v="FR6044194" u="1"/>
        <s v="FR6116379" u="1"/>
        <s v="FR6427020" u="1"/>
        <s v="FR6184383" u="1"/>
        <s v="FR5656648" u="1"/>
        <s v="FR5519404" u="1"/>
        <s v="FR5456574" u="1"/>
        <s v="FR5564564" u="1"/>
        <s v="FR5420382" u="1"/>
        <s v="FR6052677" u="1"/>
        <s v="FR6080767" u="1"/>
        <s v="FR5411403" u="1"/>
        <s v="FR5490139" u="1"/>
        <s v="FR6115331" u="1"/>
        <s v="FR6287611" u="1"/>
        <s v="FR6578157" u="1"/>
        <s v="FR5688955" u="1"/>
        <s v="FR6351702" u="1"/>
        <s v="FR6304793" u="1"/>
        <s v="FR6626358" u="1"/>
        <s v="FR6134386" u="1"/>
        <s v="FR5410467" u="1"/>
        <s v="FR6022395" u="1"/>
        <s v="FR6373302" u="1"/>
        <s v="FR5442674" u="1"/>
        <s v="FR5910370" u="1"/>
        <s v="FR6846939" u="1"/>
        <s v="FR6059024" u="1"/>
        <s v="FR6694770" u="1"/>
      </sharedItems>
    </cacheField>
    <cacheField name="Filter" numFmtId="0">
      <sharedItems containsMixedTypes="1" containsNumber="1" containsInteger="1" minValue="0" maxValue="0" count="3">
        <s v="ok"/>
        <s v="open"/>
        <n v="0" u="1"/>
      </sharedItems>
    </cacheField>
    <cacheField name="Status" numFmtId="0">
      <sharedItems containsBlank="1" count="16">
        <s v="Cancelled"/>
        <s v="Duplicated Parent"/>
        <s v="MAPPED"/>
        <s v="New"/>
        <s v="Not for mapping/Invalid"/>
        <s v="Waiting for Tm1 Replication"/>
        <s v="Waiting for MDGF approval"/>
        <s v="Waiting for Requestor"/>
        <s v="Currently Truncated/Waiting Actuals"/>
        <m u="1"/>
        <s v="Waiting for approval" u="1"/>
        <s v="Not for mapping" u="1"/>
        <s v="Parents duplicated" u="1"/>
        <e v="#N/A" u="1"/>
        <s v="Issues in Replication" u="1"/>
        <s v="Duplicated" u="1"/>
      </sharedItems>
    </cacheField>
    <cacheField name="Obj" numFmtId="0">
      <sharedItems containsBlank="1"/>
    </cacheField>
    <cacheField name="Requested" numFmtId="0">
      <sharedItems/>
    </cacheField>
    <cacheField name="CurrentParent" numFmtId="0">
      <sharedItems containsBlank="1" containsMixedTypes="1" containsNumber="1" containsInteger="1" minValue="0" maxValue="0"/>
    </cacheField>
    <cacheField name="type" numFmtId="0">
      <sharedItems containsBlank="1"/>
    </cacheField>
    <cacheField name="LFF_ID" numFmtId="0">
      <sharedItems containsBlank="1"/>
    </cacheField>
    <cacheField name="Analysis" numFmtId="0">
      <sharedItems containsBlank="1"/>
    </cacheField>
    <cacheField name="Check" numFmtId="0">
      <sharedItems/>
    </cacheField>
    <cacheField name="Sector" numFmtId="0">
      <sharedItems count="11">
        <s v="MGF"/>
        <s v="HC"/>
        <s v="LS"/>
        <s v="EL"/>
        <s v="LS?"/>
        <s v="???"/>
        <s v="Electronics" u="1"/>
        <s v="Healthcare" u="1"/>
        <s v="No known" u="1"/>
        <e v="#N/A" u="1"/>
        <s v="Life Science" u="1"/>
      </sharedItems>
    </cacheField>
    <cacheField name="Forecast" numFmtId="0">
      <sharedItems containsBlank="1" count="5">
        <s v="F0"/>
        <s v="F1"/>
        <s v="F2"/>
        <s v="f3"/>
        <m u="1"/>
      </sharedItems>
    </cacheField>
    <cacheField name="DateOpened" numFmtId="14">
      <sharedItems containsSemiMixedTypes="0" containsNonDate="0" containsDate="1" containsString="0" minDate="2023-09-01T00:00:00" maxDate="2025-12-19T00:00:00"/>
    </cacheField>
    <cacheField name="DateMapped" numFmtId="14">
      <sharedItems containsNonDate="0" containsDate="1" containsString="0" containsBlank="1" minDate="2023-09-01T00:00:00" maxDate="2025-07-04T00:00:00"/>
    </cacheField>
    <cacheField name="DateClosed" numFmtId="14">
      <sharedItems containsNonDate="0" containsDate="1" containsString="0" containsBlank="1" minDate="2023-09-06T00:00:00" maxDate="2025-07-04T00:00:00"/>
    </cacheField>
    <cacheField name="Delayed?" numFmtId="0">
      <sharedItems containsBlank="1" count="4">
        <s v="on track"/>
        <s v="yep"/>
        <m u="1"/>
        <e v="#REF!" u="1"/>
      </sharedItems>
    </cacheField>
    <cacheField name="DaysAgeing" numFmtId="2">
      <sharedItems containsSemiMixedTypes="0" containsString="0" containsNumber="1" containsInteger="1" minValue="0" maxValue="260"/>
    </cacheField>
    <cacheField name="Author" numFmtId="0">
      <sharedItems/>
    </cacheField>
    <cacheField name="Prognosis" numFmtId="0">
      <sharedItems containsBlank="1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5129">
  <r>
    <x v="0"/>
    <x v="0"/>
    <x v="0"/>
    <m/>
    <s v="G000000000"/>
    <s v="G000000000"/>
    <s v="Non-LFF"/>
    <s v=""/>
    <m/>
    <b v="1"/>
    <x v="0"/>
    <x v="0"/>
    <d v="2023-09-01T00:00:00"/>
    <d v="2023-09-01T00:00:00"/>
    <d v="2023-09-06T00:00:00"/>
    <x v="0"/>
    <n v="3"/>
    <s v="Ronald Pierre Collado"/>
    <m/>
  </r>
  <r>
    <x v="0"/>
    <x v="0"/>
    <x v="1"/>
    <m/>
    <s v="G000000000"/>
    <s v="G000000000"/>
    <s v="Non-LFF"/>
    <s v=""/>
    <m/>
    <b v="1"/>
    <x v="0"/>
    <x v="0"/>
    <d v="2023-09-01T00:00:00"/>
    <d v="2023-09-01T00:00:00"/>
    <d v="2023-09-06T00:00:00"/>
    <x v="0"/>
    <n v="3"/>
    <s v="Ronald Pierre Collado"/>
    <m/>
  </r>
  <r>
    <x v="0"/>
    <x v="0"/>
    <x v="2"/>
    <m/>
    <s v="G000000000"/>
    <s v="G000000000"/>
    <s v="Non-LFF"/>
    <s v=""/>
    <m/>
    <b v="1"/>
    <x v="0"/>
    <x v="0"/>
    <d v="2023-09-01T00:00:00"/>
    <d v="2023-09-01T00:00:00"/>
    <d v="2023-09-06T00:00:00"/>
    <x v="0"/>
    <n v="3"/>
    <s v="Ronald Pierre Collado"/>
    <m/>
  </r>
  <r>
    <x v="0"/>
    <x v="0"/>
    <x v="3"/>
    <m/>
    <s v="G000000000"/>
    <s v="G000000000"/>
    <s v="Non-LFF"/>
    <s v=""/>
    <m/>
    <b v="1"/>
    <x v="0"/>
    <x v="0"/>
    <d v="2023-09-01T00:00:00"/>
    <d v="2023-09-01T00:00:00"/>
    <d v="2023-09-06T00:00:00"/>
    <x v="0"/>
    <n v="3"/>
    <s v="Ronald Pierre Collado"/>
    <m/>
  </r>
  <r>
    <x v="0"/>
    <x v="0"/>
    <x v="4"/>
    <m/>
    <s v="G000000000"/>
    <s v="G000000000"/>
    <s v="Non-LFF"/>
    <s v=""/>
    <m/>
    <b v="1"/>
    <x v="0"/>
    <x v="0"/>
    <d v="2023-09-01T00:00:00"/>
    <d v="2023-09-01T00:00:00"/>
    <d v="2023-09-06T00:00:00"/>
    <x v="0"/>
    <n v="3"/>
    <s v="Ronald Pierre Collado"/>
    <m/>
  </r>
  <r>
    <x v="0"/>
    <x v="0"/>
    <x v="5"/>
    <m/>
    <s v="G000000000"/>
    <s v="G000000000"/>
    <s v="Non-LFF"/>
    <s v=""/>
    <m/>
    <b v="1"/>
    <x v="0"/>
    <x v="0"/>
    <d v="2023-09-01T00:00:00"/>
    <d v="2023-09-01T00:00:00"/>
    <d v="2023-09-06T00:00:00"/>
    <x v="0"/>
    <n v="3"/>
    <s v="Ronald Pierre Collado"/>
    <m/>
  </r>
  <r>
    <x v="0"/>
    <x v="0"/>
    <x v="6"/>
    <m/>
    <s v="G000000000"/>
    <s v="G000000000"/>
    <s v="Non-LFF"/>
    <s v=""/>
    <m/>
    <b v="1"/>
    <x v="0"/>
    <x v="0"/>
    <d v="2023-09-01T00:00:00"/>
    <d v="2023-09-01T00:00:00"/>
    <d v="2023-09-06T00:00:00"/>
    <x v="0"/>
    <n v="3"/>
    <s v="Ronald Pierre Collado"/>
    <m/>
  </r>
  <r>
    <x v="0"/>
    <x v="0"/>
    <x v="7"/>
    <m/>
    <s v="G000000000"/>
    <s v="G000000000"/>
    <s v="Non-LFF"/>
    <s v=""/>
    <m/>
    <b v="1"/>
    <x v="0"/>
    <x v="0"/>
    <d v="2023-09-01T00:00:00"/>
    <d v="2023-09-01T00:00:00"/>
    <d v="2023-09-06T00:00:00"/>
    <x v="0"/>
    <n v="3"/>
    <s v="Ronald Pierre Collado"/>
    <m/>
  </r>
  <r>
    <x v="0"/>
    <x v="0"/>
    <x v="8"/>
    <m/>
    <s v="G000000000"/>
    <s v="G000000000"/>
    <s v="Non-LFF"/>
    <s v=""/>
    <m/>
    <b v="1"/>
    <x v="0"/>
    <x v="0"/>
    <d v="2023-09-01T00:00:00"/>
    <d v="2023-09-01T00:00:00"/>
    <d v="2023-09-06T00:00:00"/>
    <x v="0"/>
    <n v="3"/>
    <s v="Ronald Pierre Collado"/>
    <m/>
  </r>
  <r>
    <x v="1"/>
    <x v="0"/>
    <x v="2"/>
    <s v="CLFF_1000$$$DE10N01513 "/>
    <s v="P000001203"/>
    <s v="P000001203"/>
    <s v="LFF (MDG-F)"/>
    <s v="DE10N01513"/>
    <m/>
    <b v="1"/>
    <x v="0"/>
    <x v="0"/>
    <d v="2024-12-18T14:30:19"/>
    <d v="2024-12-20T00:00:00"/>
    <d v="2024-12-20T00:00:00"/>
    <x v="0"/>
    <n v="2"/>
    <s v="Francesco Ricioppo"/>
    <m/>
  </r>
  <r>
    <x v="2"/>
    <x v="0"/>
    <x v="2"/>
    <s v="CNOW_7210$$$0000020052 "/>
    <s v="G000000103"/>
    <s v="G000000103"/>
    <s v="Non-LFF"/>
    <s v=""/>
    <m/>
    <b v="1"/>
    <x v="0"/>
    <x v="0"/>
    <d v="2024-12-19T09:01:03"/>
    <d v="2024-12-20T00:00:00"/>
    <d v="2024-12-20T00:00:00"/>
    <x v="0"/>
    <n v="1"/>
    <s v="Jojeff Tagnong"/>
    <m/>
  </r>
  <r>
    <x v="2"/>
    <x v="0"/>
    <x v="2"/>
    <s v="CSCALA_1042$GRFE_P49"/>
    <s v="G000000179"/>
    <s v="G000000179"/>
    <s v="Non-LFF"/>
    <s v=""/>
    <m/>
    <b v="1"/>
    <x v="0"/>
    <x v="0"/>
    <d v="2024-12-19T09:01:03"/>
    <d v="2024-12-20T00:00:00"/>
    <d v="2024-12-20T00:00:00"/>
    <x v="0"/>
    <n v="1"/>
    <s v="Jojeff Tagnong"/>
    <m/>
  </r>
  <r>
    <x v="2"/>
    <x v="0"/>
    <x v="2"/>
    <s v="CSCALA_1042$EDP_P49"/>
    <s v="G000000635"/>
    <s v="G000000635"/>
    <s v="Non-LFF"/>
    <s v=""/>
    <m/>
    <b v="1"/>
    <x v="0"/>
    <x v="0"/>
    <d v="2024-12-19T09:01:03"/>
    <d v="2024-12-20T00:00:00"/>
    <d v="2024-12-20T00:00:00"/>
    <x v="0"/>
    <n v="1"/>
    <s v="Jojeff Tagnong"/>
    <m/>
  </r>
  <r>
    <x v="2"/>
    <x v="0"/>
    <x v="2"/>
    <s v="CSCALA_1042$ACC_P49"/>
    <s v="G000000635"/>
    <s v="G000000635"/>
    <s v="Non-LFF"/>
    <s v=""/>
    <m/>
    <b v="1"/>
    <x v="0"/>
    <x v="0"/>
    <d v="2024-12-19T09:01:03"/>
    <d v="2024-12-20T00:00:00"/>
    <d v="2024-12-20T00:00:00"/>
    <x v="0"/>
    <n v="1"/>
    <s v="Jojeff Tagnong"/>
    <m/>
  </r>
  <r>
    <x v="2"/>
    <x v="0"/>
    <x v="2"/>
    <s v="CSCALA_1042$CFO_P49"/>
    <s v="G000000635"/>
    <s v="G000000635"/>
    <s v="Non-LFF"/>
    <s v=""/>
    <m/>
    <b v="1"/>
    <x v="0"/>
    <x v="0"/>
    <d v="2024-12-19T09:01:03"/>
    <d v="2024-12-20T00:00:00"/>
    <d v="2024-12-20T00:00:00"/>
    <x v="0"/>
    <n v="1"/>
    <s v="Jojeff Tagnong"/>
    <m/>
  </r>
  <r>
    <x v="3"/>
    <x v="0"/>
    <x v="2"/>
    <s v="CLFF_1000$$$CH65GMF012 N&amp;I GBF MS Franchise"/>
    <s v="H000004339"/>
    <s v="H000004339"/>
    <s v="LFF (MDG-F)"/>
    <s v="CH65GMF012"/>
    <m/>
    <b v="1"/>
    <x v="1"/>
    <x v="0"/>
    <d v="2024-12-19T15:54:00"/>
    <d v="2024-12-23T00:00:00"/>
    <d v="2024-12-23T00:00:00"/>
    <x v="0"/>
    <n v="2"/>
    <s v="Rayneil Reas"/>
    <m/>
  </r>
  <r>
    <x v="3"/>
    <x v="0"/>
    <x v="2"/>
    <s v="CLFF_1000$$$CH65GMF011 GBF N&amp;I Comms Ops"/>
    <s v="H000004339"/>
    <s v="H000004339"/>
    <s v="LFF (MDG-F)"/>
    <s v="CH65GMF011"/>
    <m/>
    <b v="1"/>
    <x v="1"/>
    <x v="0"/>
    <d v="2024-12-19T15:54:00"/>
    <d v="2024-12-23T00:00:00"/>
    <d v="2024-12-23T00:00:00"/>
    <x v="0"/>
    <n v="2"/>
    <s v="Rayneil Reas"/>
    <m/>
  </r>
  <r>
    <x v="3"/>
    <x v="0"/>
    <x v="2"/>
    <s v="CLFF_1000$$$CH65C00056 GBF N&amp;I Evobrutinib"/>
    <s v="H000004339"/>
    <s v="H000004339"/>
    <s v="LFF (MDG-F)"/>
    <s v="CH65C00056"/>
    <m/>
    <b v="1"/>
    <x v="1"/>
    <x v="0"/>
    <d v="2024-12-19T15:54:00"/>
    <d v="2024-12-23T00:00:00"/>
    <d v="2024-12-23T00:00:00"/>
    <x v="0"/>
    <n v="2"/>
    <s v="Rayneil Reas"/>
    <m/>
  </r>
  <r>
    <x v="3"/>
    <x v="0"/>
    <x v="2"/>
    <s v="CLFF_1000$$$CH65C00057 N&amp;I GBF New Product Planning"/>
    <s v="H000004339"/>
    <s v="H000004339"/>
    <s v="LFF (MDG-F)"/>
    <s v="CH65C00057"/>
    <m/>
    <b v="1"/>
    <x v="1"/>
    <x v="0"/>
    <d v="2024-12-19T15:54:00"/>
    <d v="2024-12-23T00:00:00"/>
    <d v="2024-12-23T00:00:00"/>
    <x v="0"/>
    <n v="2"/>
    <s v="Rayneil Reas"/>
    <m/>
  </r>
  <r>
    <x v="4"/>
    <x v="0"/>
    <x v="2"/>
    <s v="CFLTFLE_10243121070400 "/>
    <s v="G000000103"/>
    <s v="G000000103"/>
    <s v="Non-LFF"/>
    <s v=""/>
    <m/>
    <b v="1"/>
    <x v="0"/>
    <x v="0"/>
    <d v="2024-12-19T16:06:40"/>
    <d v="2024-12-23T00:00:00"/>
    <d v="2024-12-23T00:00:00"/>
    <x v="0"/>
    <n v="2"/>
    <s v="Jojeff Tagnong"/>
    <m/>
  </r>
  <r>
    <x v="4"/>
    <x v="0"/>
    <x v="2"/>
    <s v="CSCALA_1025$CFO"/>
    <s v="G000000630"/>
    <s v="G000000630"/>
    <s v="Non-LFF"/>
    <s v=""/>
    <m/>
    <b v="1"/>
    <x v="0"/>
    <x v="0"/>
    <d v="2024-12-19T16:06:40"/>
    <d v="2024-12-23T00:00:00"/>
    <d v="2024-12-23T00:00:00"/>
    <x v="0"/>
    <n v="2"/>
    <s v="Jojeff Tagnong"/>
    <m/>
  </r>
  <r>
    <x v="4"/>
    <x v="0"/>
    <x v="2"/>
    <s v="CSCALA_1786$0000000832"/>
    <s v="G000001181"/>
    <s v="G000001181"/>
    <s v="Non-LFF"/>
    <s v=""/>
    <m/>
    <b v="1"/>
    <x v="0"/>
    <x v="0"/>
    <d v="2024-12-19T16:06:40"/>
    <d v="2024-12-23T00:00:00"/>
    <d v="2024-12-23T00:00:00"/>
    <x v="0"/>
    <n v="2"/>
    <s v="Jojeff Tagnong"/>
    <m/>
  </r>
  <r>
    <x v="5"/>
    <x v="0"/>
    <x v="2"/>
    <s v="CLFF_1000$$$DE10501102"/>
    <s v="L000010126"/>
    <s v="L000010126"/>
    <s v="LFF (MDG-F)"/>
    <s v="DE10501102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1111"/>
    <s v="L000013249"/>
    <s v="L000013249"/>
    <s v="LFF (MDG-F)"/>
    <s v="DE10501111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401"/>
    <s v="L000010130"/>
    <s v="L000010130"/>
    <s v="LFF (MDG-F)"/>
    <s v="DE10502401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404"/>
    <s v="L000010130"/>
    <s v="L000010130"/>
    <s v="LFF (MDG-F)"/>
    <s v="DE10502404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405"/>
    <s v="L000010130"/>
    <s v="L000010130"/>
    <s v="LFF (MDG-F)"/>
    <s v="DE10502405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407"/>
    <s v="L000010130"/>
    <s v="L000010130"/>
    <s v="LFF (MDG-F)"/>
    <s v="DE10502407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408"/>
    <s v="L000010130"/>
    <s v="L000010130"/>
    <s v="LFF (MDG-F)"/>
    <s v="DE10502408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409"/>
    <s v="L000010130"/>
    <s v="L000010130"/>
    <s v="LFF (MDG-F)"/>
    <s v="DE10502409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410"/>
    <s v="L000010130"/>
    <s v="L000010130"/>
    <s v="LFF (MDG-F)"/>
    <s v="DE10502410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411"/>
    <s v="L000010130"/>
    <s v="L000010130"/>
    <s v="LFF (MDG-F)"/>
    <s v="DE10502411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412"/>
    <s v="L000010130"/>
    <s v="L000010130"/>
    <s v="LFF (MDG-F)"/>
    <s v="DE10502412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415"/>
    <s v="L000010130"/>
    <s v="L000010130"/>
    <s v="LFF (MDG-F)"/>
    <s v="DE10502415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417"/>
    <s v="L000010130"/>
    <s v="L000010130"/>
    <s v="LFF (MDG-F)"/>
    <s v="DE10502417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702"/>
    <s v="L000010132"/>
    <s v="L000010132"/>
    <s v="LFF (MDG-F)"/>
    <s v="DE10502702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703"/>
    <s v="L000010132"/>
    <s v="L000010132"/>
    <s v="LFF (MDG-F)"/>
    <s v="DE10502703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704"/>
    <s v="L000010132"/>
    <s v="L000010132"/>
    <s v="LFF (MDG-F)"/>
    <s v="DE10502704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705"/>
    <s v="L000010132"/>
    <s v="L000010132"/>
    <s v="LFF (MDG-F)"/>
    <s v="DE10502705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706"/>
    <s v="L000010132"/>
    <s v="L000010132"/>
    <s v="LFF (MDG-F)"/>
    <s v="DE10502706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707"/>
    <s v="L000010132"/>
    <s v="L000010132"/>
    <s v="LFF (MDG-F)"/>
    <s v="DE10502707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708"/>
    <s v="L000010132"/>
    <s v="L000010132"/>
    <s v="LFF (MDG-F)"/>
    <s v="DE10502708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709"/>
    <s v="L000010132"/>
    <s v="L000010132"/>
    <s v="LFF (MDG-F)"/>
    <s v="DE10502709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3603"/>
    <s v="L000010128"/>
    <s v="L000010128"/>
    <s v="LFF (MDG-F)"/>
    <s v="DE10503603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3604"/>
    <s v="L000010128"/>
    <s v="L000010128"/>
    <s v="LFF (MDG-F)"/>
    <s v="DE10503604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3605"/>
    <s v="L000010128"/>
    <s v="L000010128"/>
    <s v="LFF (MDG-F)"/>
    <s v="DE10503605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3606"/>
    <s v="L000010128"/>
    <s v="L000010128"/>
    <s v="LFF (MDG-F)"/>
    <s v="DE10503606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38105"/>
    <s v="L000010134"/>
    <s v="L000010134"/>
    <s v="LFF (MDG-F)"/>
    <s v="DE10538105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38155"/>
    <s v="L000010134"/>
    <s v="L000010134"/>
    <s v="LFF (MDG-F)"/>
    <s v="DE10538155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38336"/>
    <s v="L000010130"/>
    <s v="L000010130"/>
    <s v="LFF (MDG-F)"/>
    <s v="DE10538336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38520"/>
    <s v="L000010134"/>
    <s v="L000010134"/>
    <s v="LFF (MDG-F)"/>
    <s v="DE10538520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38527"/>
    <s v="L000010134"/>
    <s v="L000010134"/>
    <s v="LFF (MDG-F)"/>
    <s v="DE10538527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88102"/>
    <s v="L000010124"/>
    <s v="L000010124"/>
    <s v="LFF (MDG-F)"/>
    <s v="DE10588102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1102"/>
    <s v="L000010126"/>
    <s v="L000010126"/>
    <s v="LFF (MDG-F)"/>
    <s v="DE20501102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1100"/>
    <s v="L000013249"/>
    <s v="L000013249"/>
    <s v="LFF (MDG-F)"/>
    <s v="DE20501100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401"/>
    <s v="L000010130"/>
    <s v="L000010130"/>
    <s v="LFF (MDG-F)"/>
    <s v="DE20502401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404"/>
    <s v="L000010130"/>
    <s v="L000010130"/>
    <s v="LFF (MDG-F)"/>
    <s v="DE20502404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405"/>
    <s v="L000010130"/>
    <s v="L000010130"/>
    <s v="LFF (MDG-F)"/>
    <s v="DE20502405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407"/>
    <s v="L000010130"/>
    <s v="L000010130"/>
    <s v="LFF (MDG-F)"/>
    <s v="DE20502407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408"/>
    <s v="L000010130"/>
    <s v="L000010130"/>
    <s v="LFF (MDG-F)"/>
    <s v="DE20502408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409"/>
    <s v="L000010130"/>
    <s v="L000010130"/>
    <s v="LFF (MDG-F)"/>
    <s v="DE20502409"/>
    <s v="object was left out during the process and is now awaiting replication. However, it has been resolved to avoid breaching the SLA."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410"/>
    <s v="L000010130"/>
    <s v="L000010130"/>
    <s v="LFF (MDG-F)"/>
    <s v="DE20502410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411"/>
    <s v="L000010130"/>
    <s v="L000010130"/>
    <s v="LFF (MDG-F)"/>
    <s v="DE20502411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412"/>
    <s v="L000010130"/>
    <s v="L000010130"/>
    <s v="LFF (MDG-F)"/>
    <s v="DE20502412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415"/>
    <s v="L000010130"/>
    <s v="L000010130"/>
    <s v="LFF (MDG-F)"/>
    <s v="DE20502415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417"/>
    <s v="L000010130"/>
    <s v="L000010130"/>
    <s v="LFF (MDG-F)"/>
    <s v="DE20502417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702"/>
    <s v="L000010132"/>
    <s v="L000010132"/>
    <s v="LFF (MDG-F)"/>
    <s v="DE20502702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703"/>
    <s v="L000010132"/>
    <s v="L000010132"/>
    <s v="LFF (MDG-F)"/>
    <s v="DE20502703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704"/>
    <s v="L000010132"/>
    <s v="L000010132"/>
    <s v="LFF (MDG-F)"/>
    <s v="DE20502704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705"/>
    <s v="L000010132"/>
    <s v="L000010132"/>
    <s v="LFF (MDG-F)"/>
    <s v="DE20502705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706"/>
    <s v="L000010132"/>
    <s v="L000010132"/>
    <s v="LFF (MDG-F)"/>
    <s v="DE20502706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707"/>
    <s v="L000010132"/>
    <s v="L000010132"/>
    <s v="LFF (MDG-F)"/>
    <s v="DE20502707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708"/>
    <s v="L000010132"/>
    <s v="L000010132"/>
    <s v="LFF (MDG-F)"/>
    <s v="DE20502708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709"/>
    <s v="L000010132"/>
    <s v="L000010132"/>
    <s v="LFF (MDG-F)"/>
    <s v="DE20502709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3603"/>
    <s v="L000010128"/>
    <s v="L000010128"/>
    <s v="LFF (MDG-F)"/>
    <s v="DE20503603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3604"/>
    <s v="L000010128"/>
    <s v="L000010128"/>
    <s v="LFF (MDG-F)"/>
    <s v="DE20503604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3605"/>
    <s v="L000010128"/>
    <s v="L000010128"/>
    <s v="LFF (MDG-F)"/>
    <s v="DE20503605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3606"/>
    <s v="L000010128"/>
    <s v="L000010128"/>
    <s v="LFF (MDG-F)"/>
    <s v="DE20503606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38105"/>
    <s v="L000010134"/>
    <s v="L000010134"/>
    <s v="LFF (MDG-F)"/>
    <s v="DE20538105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38155"/>
    <s v="L000010134"/>
    <s v="L000010134"/>
    <s v="LFF (MDG-F)"/>
    <s v="DE20538155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38336"/>
    <s v="L000010130"/>
    <s v="L000010130"/>
    <s v="LFF (MDG-F)"/>
    <s v="DE20538336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38520"/>
    <s v="L000010134"/>
    <s v="L000010134"/>
    <s v="LFF (MDG-F)"/>
    <s v="DE20538520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38527"/>
    <s v="L000010134"/>
    <s v="L000010134"/>
    <s v="LFF (MDG-F)"/>
    <s v="DE20538527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88102"/>
    <s v="L000010124"/>
    <s v="L000010124"/>
    <s v="LFF (MDG-F)"/>
    <s v="DE20588102"/>
    <m/>
    <b v="1"/>
    <x v="0"/>
    <x v="0"/>
    <d v="2024-12-20T10:27:33"/>
    <d v="2024-12-26T00:00:00"/>
    <d v="2024-12-26T00:00:00"/>
    <x v="0"/>
    <n v="4"/>
    <s v="Nadine Anic"/>
    <m/>
  </r>
  <r>
    <x v="6"/>
    <x v="0"/>
    <x v="2"/>
    <s v="CTEMPNA_1000PH80L35002 SPICE Carve Out"/>
    <s v="P000001208"/>
    <s v="P000001208"/>
    <s v="Non-LFF"/>
    <s v=""/>
    <s v="As per conversation with requestor, we'll be resolving this for now as the sponsor is on leave until Jan 3rd and will be unable to confirm."/>
    <b v="1"/>
    <x v="0"/>
    <x v="0"/>
    <d v="2024-12-20T13:14:51"/>
    <d v="2024-12-26T00:00:00"/>
    <d v="2024-12-26T00:00:00"/>
    <x v="0"/>
    <n v="4"/>
    <s v="Eivy Denine Cruz"/>
    <m/>
  </r>
  <r>
    <x v="6"/>
    <x v="0"/>
    <x v="2"/>
    <s v="CPHOENX_01019182669150 SPICE Backfill Gernsheim"/>
    <s v="P000001206"/>
    <s v="P000001206"/>
    <s v="Non-LFF"/>
    <s v=""/>
    <s v="Already mapped"/>
    <b v="1"/>
    <x v="0"/>
    <x v="0"/>
    <d v="2024-12-20T13:14:51"/>
    <m/>
    <m/>
    <x v="1"/>
    <n v="260"/>
    <s v="Eivy Denine Cruz"/>
    <m/>
  </r>
  <r>
    <x v="6"/>
    <x v="0"/>
    <x v="2"/>
    <s v="CTEMPNA_1000PH80L35002 SPICE Carve Out"/>
    <s v="G000000201"/>
    <s v="G000000201"/>
    <s v="Non-LFF"/>
    <s v=""/>
    <s v="As per conversation with requestor, we'll be resolving this for now as the sponsor is on leave until Jan 3rd and will be unable to confirm."/>
    <b v="1"/>
    <x v="0"/>
    <x v="0"/>
    <d v="2024-12-20T13:14:51"/>
    <d v="2024-12-26T00:00:00"/>
    <d v="2024-12-26T00:00:00"/>
    <x v="0"/>
    <n v="4"/>
    <s v="Eivy Denine Cruz"/>
    <m/>
  </r>
  <r>
    <x v="7"/>
    <x v="0"/>
    <x v="2"/>
    <s v="ITEMPEU_NL40AA0013 "/>
    <s v="L000007346"/>
    <s v="L000007346"/>
    <s v="Non-LFF"/>
    <s v=""/>
    <m/>
    <b v="1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ADM "/>
    <s v="L000013154"/>
    <s v="L000013154"/>
    <s v="Non-LFF"/>
    <s v=""/>
    <m/>
    <b v="1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CSR "/>
    <s v="L000013154"/>
    <s v="L000013154"/>
    <s v="Non-LFF"/>
    <s v=""/>
    <m/>
    <b v="1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EXC "/>
    <s v="L000013154"/>
    <s v="L000013154"/>
    <s v="Non-LFF"/>
    <s v=""/>
    <m/>
    <b v="1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FAS "/>
    <s v="L000013154"/>
    <s v="L000013154"/>
    <s v="Non-LFF"/>
    <s v=""/>
    <m/>
    <b v="1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FIN "/>
    <s v="L000013154"/>
    <s v="L000013154"/>
    <s v="Non-LFF"/>
    <s v=""/>
    <m/>
    <b v="1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HUR "/>
    <s v="L000013154"/>
    <s v="L000013154"/>
    <s v="Non-LFF"/>
    <s v=""/>
    <m/>
    <b v="1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INT "/>
    <s v="L000013154"/>
    <s v="L000013154"/>
    <s v="Non-LFF"/>
    <s v=""/>
    <m/>
    <b v="1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LEG "/>
    <s v="L000013154"/>
    <s v="L000013154"/>
    <s v="Non-LFF"/>
    <s v=""/>
    <m/>
    <b v="1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MKT "/>
    <s v="L000013154"/>
    <s v="L000013154"/>
    <s v="Non-LFF"/>
    <s v=""/>
    <m/>
    <b v="1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OPS "/>
    <s v="L000013154"/>
    <s v="L000013154"/>
    <s v="Non-LFF"/>
    <s v=""/>
    <m/>
    <b v="1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PRD "/>
    <s v="L000013154"/>
    <s v="L000013154"/>
    <s v="Non-LFF"/>
    <s v=""/>
    <m/>
    <b v="1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PRO "/>
    <s v="L000013154"/>
    <s v="L000013154"/>
    <s v="Non-LFF"/>
    <s v=""/>
    <m/>
    <b v="1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QUA "/>
    <s v="L000013154"/>
    <s v="L000013154"/>
    <s v="Non-LFF"/>
    <s v=""/>
    <m/>
    <b v="1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QUC "/>
    <s v="L000013154"/>
    <s v="L000013154"/>
    <s v="Non-LFF"/>
    <s v=""/>
    <m/>
    <b v="1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RES "/>
    <s v="L000013154"/>
    <s v="L000013154"/>
    <s v="Non-LFF"/>
    <s v=""/>
    <m/>
    <b v="1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SAL "/>
    <s v="L000013154"/>
    <s v="L000013154"/>
    <s v="Non-LFF"/>
    <s v=""/>
    <m/>
    <b v="1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SHP "/>
    <s v="L000013154"/>
    <s v="L000013154"/>
    <s v="Non-LFF"/>
    <s v=""/>
    <m/>
    <b v="1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TEC "/>
    <s v="L000013154"/>
    <s v="L000013154"/>
    <s v="Non-LFF"/>
    <s v=""/>
    <m/>
    <b v="1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SGA "/>
    <s v="L000013154"/>
    <s v="L000013154"/>
    <s v="Non-LFF"/>
    <s v=""/>
    <m/>
    <b v="1"/>
    <x v="2"/>
    <x v="0"/>
    <d v="2024-12-21T12:55:54"/>
    <d v="2024-12-26T00:00:00"/>
    <d v="2024-12-26T00:00:00"/>
    <x v="0"/>
    <n v="3"/>
    <s v="Ruby Grace Garcia"/>
    <m/>
  </r>
  <r>
    <x v="8"/>
    <x v="0"/>
    <x v="2"/>
    <s v="CFLTFLE_10543020420000 Write off-Inventories, IC"/>
    <s v="L000009229"/>
    <s v="L000009229"/>
    <s v="Non-LFF"/>
    <s v=""/>
    <m/>
    <b v="1"/>
    <x v="2"/>
    <x v="0"/>
    <d v="2024-12-23T09:27:44"/>
    <d v="2024-12-26T00:00:00"/>
    <d v="2024-12-26T00:00:00"/>
    <x v="0"/>
    <n v="3"/>
    <s v="Jayson Martinez"/>
    <m/>
  </r>
  <r>
    <x v="8"/>
    <x v="0"/>
    <x v="2"/>
    <s v="CFLTFLE_10543020520000 Inventory revaluation IC"/>
    <s v="L000009229"/>
    <s v="L000009229"/>
    <s v="Non-LFF"/>
    <s v=""/>
    <m/>
    <b v="1"/>
    <x v="2"/>
    <x v="0"/>
    <d v="2024-12-23T09:27:44"/>
    <d v="2024-12-26T00:00:00"/>
    <d v="2024-12-26T00:00:00"/>
    <x v="0"/>
    <n v="3"/>
    <s v="Jayson Martinez"/>
    <m/>
  </r>
  <r>
    <x v="8"/>
    <x v="0"/>
    <x v="2"/>
    <s v="CNOW_AUS0$$$0000091765 BRK Q/C"/>
    <s v="L000009229"/>
    <s v="L000009229"/>
    <s v="Non-LFF"/>
    <s v=""/>
    <m/>
    <b v="1"/>
    <x v="2"/>
    <x v="0"/>
    <d v="2024-12-23T09:27:44"/>
    <d v="2024-12-26T00:00:00"/>
    <d v="2024-12-26T00:00:00"/>
    <x v="0"/>
    <n v="3"/>
    <s v="Jayson Martinez"/>
    <m/>
  </r>
  <r>
    <x v="8"/>
    <x v="0"/>
    <x v="2"/>
    <s v="CFLTFLE_10543020211000 Price variances 3rd party"/>
    <s v="L000009229"/>
    <s v="L000009229"/>
    <s v="Non-LFF"/>
    <s v=""/>
    <m/>
    <b v="1"/>
    <x v="2"/>
    <x v="0"/>
    <d v="2024-12-23T09:27:44"/>
    <d v="2024-12-26T00:00:00"/>
    <d v="2024-12-26T00:00:00"/>
    <x v="0"/>
    <n v="3"/>
    <s v="Jayson Martinez"/>
    <m/>
  </r>
  <r>
    <x v="8"/>
    <x v="0"/>
    <x v="2"/>
    <s v="CFLTFLE_10543020510000 Inventory revaluation 3P"/>
    <s v="L000009229"/>
    <s v="L000009229"/>
    <s v="Non-LFF"/>
    <s v=""/>
    <m/>
    <b v="1"/>
    <x v="2"/>
    <x v="0"/>
    <d v="2024-12-23T09:27:44"/>
    <d v="2024-12-26T00:00:00"/>
    <d v="2024-12-26T00:00:00"/>
    <x v="0"/>
    <n v="3"/>
    <s v="Jayson Martinez"/>
    <m/>
  </r>
  <r>
    <x v="8"/>
    <x v="0"/>
    <x v="2"/>
    <s v="CFLTFLE_10543020410000 Write off-Inventories, 3r"/>
    <s v="L000009229"/>
    <s v="L000009229"/>
    <s v="Non-LFF"/>
    <s v=""/>
    <m/>
    <b v="1"/>
    <x v="2"/>
    <x v="0"/>
    <d v="2024-12-23T09:27:44"/>
    <d v="2024-12-26T00:00:00"/>
    <d v="2024-12-26T00:00:00"/>
    <x v="0"/>
    <n v="3"/>
    <s v="Jayson Martinez"/>
    <m/>
  </r>
  <r>
    <x v="8"/>
    <x v="0"/>
    <x v="2"/>
    <s v="CFLTFLE_10543020212000 Price variances IC"/>
    <s v="L000009229"/>
    <s v="L000009229"/>
    <s v="Non-LFF"/>
    <s v=""/>
    <m/>
    <b v="1"/>
    <x v="2"/>
    <x v="0"/>
    <d v="2024-12-23T09:27:44"/>
    <d v="2024-12-26T00:00:00"/>
    <d v="2024-12-26T00:00:00"/>
    <x v="0"/>
    <n v="3"/>
    <s v="Jayson Martinez"/>
    <m/>
  </r>
  <r>
    <x v="8"/>
    <x v="0"/>
    <x v="2"/>
    <s v="CFLTFLE_10543020430000 Valuation adj.- 3rd parti"/>
    <s v="L000009229"/>
    <s v="L000009229"/>
    <s v="Non-LFF"/>
    <s v=""/>
    <m/>
    <b v="1"/>
    <x v="2"/>
    <x v="0"/>
    <d v="2024-12-23T09:27:44"/>
    <d v="2024-12-26T00:00:00"/>
    <d v="2024-12-26T00:00:00"/>
    <x v="0"/>
    <n v="3"/>
    <s v="Jayson Martinez"/>
    <m/>
  </r>
  <r>
    <x v="8"/>
    <x v="0"/>
    <x v="2"/>
    <s v="CFLTFLE_10543020531100 Capitalized PV, 3P"/>
    <s v="L000009229"/>
    <s v="L000009229"/>
    <s v="Non-LFF"/>
    <s v=""/>
    <m/>
    <b v="1"/>
    <x v="2"/>
    <x v="0"/>
    <d v="2024-12-23T09:27:44"/>
    <d v="2024-12-26T00:00:00"/>
    <d v="2024-12-26T00:00:00"/>
    <x v="0"/>
    <n v="3"/>
    <s v="Jayson Martinez"/>
    <m/>
  </r>
  <r>
    <x v="8"/>
    <x v="0"/>
    <x v="2"/>
    <s v="CFLTFLE_10543020531200 Capitalized PV, IC"/>
    <s v="L000009229"/>
    <s v="L000009229"/>
    <s v="Non-LFF"/>
    <s v=""/>
    <m/>
    <b v="1"/>
    <x v="2"/>
    <x v="0"/>
    <d v="2024-12-23T09:27:44"/>
    <d v="2024-12-26T00:00:00"/>
    <d v="2024-12-26T00:00:00"/>
    <x v="0"/>
    <n v="3"/>
    <s v="Jayson Martinez"/>
    <m/>
  </r>
  <r>
    <x v="8"/>
    <x v="0"/>
    <x v="2"/>
    <s v="CFLTFLE_10543020440000 Valuation adjustments IC"/>
    <s v="L000009229"/>
    <s v="L000009229"/>
    <s v="Non-LFF"/>
    <s v=""/>
    <m/>
    <b v="1"/>
    <x v="2"/>
    <x v="0"/>
    <d v="2024-12-23T09:27:44"/>
    <d v="2024-12-26T00:00:00"/>
    <d v="2024-12-26T00:00:00"/>
    <x v="0"/>
    <n v="3"/>
    <s v="Jayson Martinez"/>
    <m/>
  </r>
  <r>
    <x v="8"/>
    <x v="0"/>
    <x v="2"/>
    <s v="CNOW_7210$$$0000057730 UK-GILLINGHAM SAFC Miscellaneous"/>
    <s v="L000009452"/>
    <s v="L000009452"/>
    <s v="Non-LFF"/>
    <s v=""/>
    <m/>
    <b v="1"/>
    <x v="2"/>
    <x v="0"/>
    <d v="2024-12-23T09:27:44"/>
    <d v="2024-12-26T00:00:00"/>
    <d v="2024-12-26T00:00:00"/>
    <x v="0"/>
    <n v="3"/>
    <s v="Jayson Martinez"/>
    <m/>
  </r>
  <r>
    <x v="8"/>
    <x v="0"/>
    <x v="2"/>
    <s v="CNOW_7210$$$0000051996 FR SAFC Absorbed Cost"/>
    <s v="L000009839"/>
    <s v="L000009839"/>
    <s v="Non-LFF"/>
    <s v=""/>
    <m/>
    <b v="1"/>
    <x v="2"/>
    <x v="0"/>
    <d v="2024-12-23T09:27:44"/>
    <d v="2024-12-26T00:00:00"/>
    <d v="2024-12-26T00:00:00"/>
    <x v="0"/>
    <n v="3"/>
    <s v="Jayson Martinez"/>
    <m/>
  </r>
  <r>
    <x v="8"/>
    <x v="0"/>
    <x v="2"/>
    <s v="CNOW_7210$$$0000051994 FR RS Absorbed Cost"/>
    <s v="L000009839"/>
    <s v="L000009839"/>
    <s v="Non-LFF"/>
    <s v=""/>
    <m/>
    <b v="1"/>
    <x v="2"/>
    <x v="0"/>
    <d v="2024-12-23T09:27:44"/>
    <d v="2024-12-26T00:00:00"/>
    <d v="2024-12-26T00:00:00"/>
    <x v="0"/>
    <n v="3"/>
    <s v="Jayson Martinez"/>
    <m/>
  </r>
  <r>
    <x v="8"/>
    <x v="0"/>
    <x v="2"/>
    <s v="CNOW_7210$$$0000051993 FR RE Absorbed Cost"/>
    <s v="L000009839"/>
    <s v="L000009839"/>
    <s v="Non-LFF"/>
    <s v=""/>
    <m/>
    <b v="1"/>
    <x v="2"/>
    <x v="0"/>
    <d v="2024-12-23T09:27:44"/>
    <d v="2024-12-26T00:00:00"/>
    <d v="2024-12-26T00:00:00"/>
    <x v="0"/>
    <n v="3"/>
    <s v="Jayson Martinez"/>
    <m/>
  </r>
  <r>
    <x v="8"/>
    <x v="0"/>
    <x v="2"/>
    <s v="CNOW_7210$$$0000051995 FR BT Absorbed Cost"/>
    <s v="L000009839"/>
    <s v="L000009839"/>
    <s v="Non-LFF"/>
    <s v=""/>
    <m/>
    <b v="1"/>
    <x v="2"/>
    <x v="0"/>
    <d v="2024-12-23T09:27:44"/>
    <d v="2024-12-26T00:00:00"/>
    <d v="2024-12-26T00:00:00"/>
    <x v="0"/>
    <n v="3"/>
    <s v="Jayson Martinez"/>
    <m/>
  </r>
  <r>
    <x v="8"/>
    <x v="0"/>
    <x v="2"/>
    <s v="CNOW_7210$$$0000058560 CHILE Manufacturing"/>
    <s v="L000009997"/>
    <s v="L000009997"/>
    <s v="Non-LFF"/>
    <s v=""/>
    <m/>
    <b v="1"/>
    <x v="2"/>
    <x v="0"/>
    <d v="2024-12-23T09:27:44"/>
    <d v="2024-12-26T00:00:00"/>
    <d v="2024-12-26T00:00:00"/>
    <x v="0"/>
    <n v="3"/>
    <s v="Jayson Martinez"/>
    <m/>
  </r>
  <r>
    <x v="8"/>
    <x v="0"/>
    <x v="2"/>
    <s v="CNOW_7210$$$0000058205 MY RE COS Expenses"/>
    <s v="L000010065"/>
    <s v="L000010065"/>
    <s v="Non-LFF"/>
    <s v=""/>
    <m/>
    <b v="1"/>
    <x v="2"/>
    <x v="0"/>
    <d v="2024-12-23T09:27:44"/>
    <d v="2024-12-26T00:00:00"/>
    <d v="2024-12-26T00:00:00"/>
    <x v="0"/>
    <n v="3"/>
    <s v="Jayson Martinez"/>
    <m/>
  </r>
  <r>
    <x v="8"/>
    <x v="0"/>
    <x v="2"/>
    <s v="CNOW_7210$$$0000058208 MY SAFC COS Expenses"/>
    <s v="L000010065"/>
    <s v="L000010065"/>
    <s v="Non-LFF"/>
    <s v=""/>
    <m/>
    <b v="1"/>
    <x v="2"/>
    <x v="0"/>
    <d v="2024-12-23T09:27:44"/>
    <d v="2024-12-26T00:00:00"/>
    <d v="2024-12-26T00:00:00"/>
    <x v="0"/>
    <n v="3"/>
    <s v="Jayson Martinez"/>
    <m/>
  </r>
  <r>
    <x v="8"/>
    <x v="0"/>
    <x v="2"/>
    <s v="CORAERP_MMOR1975.2653 LS Procurement Rebate COGS"/>
    <s v="L000013445"/>
    <s v="L000013445"/>
    <s v="Non-LFF"/>
    <s v=""/>
    <m/>
    <b v="1"/>
    <x v="2"/>
    <x v="0"/>
    <d v="2024-12-23T09:27:44"/>
    <d v="2024-12-26T00:00:00"/>
    <d v="2024-12-26T00:00:00"/>
    <x v="0"/>
    <n v="3"/>
    <s v="Jayson Martinez"/>
    <m/>
  </r>
  <r>
    <x v="8"/>
    <x v="0"/>
    <x v="2"/>
    <s v="CLFF_7210$$$2053L44109 Norway regulatory"/>
    <s v="L000013450"/>
    <s v="L000013450"/>
    <s v="LFF (MDG-F)"/>
    <s v="2053L44109"/>
    <m/>
    <b v="1"/>
    <x v="2"/>
    <x v="0"/>
    <d v="2024-12-23T09:27:44"/>
    <d v="2024-12-26T00:00:00"/>
    <d v="2024-12-26T00:00:00"/>
    <x v="0"/>
    <n v="3"/>
    <s v="Jayson Martinez"/>
    <m/>
  </r>
  <r>
    <x v="9"/>
    <x v="0"/>
    <x v="2"/>
    <s v="CLFF_1000$$$CH01Z01000 OKB9 Cost Center"/>
    <s v="P000001045"/>
    <s v="P000001045"/>
    <s v="LFF (MDG-F)"/>
    <s v="CH01Z01000"/>
    <m/>
    <b v="1"/>
    <x v="0"/>
    <x v="0"/>
    <d v="2024-12-23T09:40:00"/>
    <d v="2024-12-26T00:00:00"/>
    <d v="2024-12-26T00:00:00"/>
    <x v="0"/>
    <n v="3"/>
    <s v="Eivy Denine Cruz"/>
    <m/>
  </r>
  <r>
    <x v="9"/>
    <x v="0"/>
    <x v="2"/>
    <s v="CLFF_1000$$$DE01Z01000 OKB9 Cost Center"/>
    <s v="P000001045"/>
    <s v="P000001045"/>
    <s v="LFF (MDG-F)"/>
    <s v="DE01Z01000"/>
    <m/>
    <b v="1"/>
    <x v="0"/>
    <x v="0"/>
    <d v="2024-12-23T09:40:00"/>
    <d v="2024-12-26T00:00:00"/>
    <d v="2024-12-26T00:00:00"/>
    <x v="0"/>
    <n v="3"/>
    <s v="Eivy Denine Cruz"/>
    <m/>
  </r>
  <r>
    <x v="10"/>
    <x v="0"/>
    <x v="2"/>
    <s v="CNOW_7210$$$0000000632 "/>
    <s v="L000013274"/>
    <s v="L000013274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270007 "/>
    <s v="L000013274"/>
    <s v="L000013274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ROW$$$$K17D "/>
    <s v="L000011157"/>
    <s v="L000011157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20049 "/>
    <s v="L000013504"/>
    <s v="L000013504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40170 "/>
    <s v="L000013504"/>
    <s v="L000013504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20053 "/>
    <s v="L000007758"/>
    <s v="L000007758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40176 "/>
    <s v="L000007771"/>
    <s v="L000007771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496907 "/>
    <s v="L000013313"/>
    <s v="L000013313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51729 "/>
    <s v="L000013491"/>
    <s v="L000013491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51730 "/>
    <s v="L000013491"/>
    <s v="L000013491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21188 "/>
    <s v="L000011157"/>
    <s v="L000011157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20024 "/>
    <s v="L000005926"/>
    <s v="L000005926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57199 "/>
    <s v="L000011157"/>
    <s v="L000011157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57200 "/>
    <s v="L000011157"/>
    <s v="L000011157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57972 "/>
    <s v="L000011157"/>
    <s v="L000011157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20040 "/>
    <s v="L000007346"/>
    <s v="L000007346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52175"/>
    <s v="L000011157"/>
    <s v="L000011157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52176"/>
    <s v="L000011157"/>
    <s v="L000011157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15935 "/>
    <s v="L000011157"/>
    <s v="L000011157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20031"/>
    <s v="L000011157"/>
    <s v="L000011157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20032"/>
    <s v="L000011157"/>
    <s v="L000011157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AUS0$$$0000091932 "/>
    <s v="L000008315"/>
    <s v="L000008315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58829"/>
    <s v="L000011157"/>
    <s v="L000011157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58828"/>
    <s v="L000011157"/>
    <s v="L000011157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23470"/>
    <s v="L000011157"/>
    <s v="L000011157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1"/>
    <x v="0"/>
    <x v="2"/>
    <s v="CSCALA_1212$0000001160"/>
    <s v="G000001180"/>
    <s v="G000001180"/>
    <s v="Non-LFF"/>
    <s v=""/>
    <s v="Mapped for 2025. Waiting for Andreas response for action."/>
    <b v="1"/>
    <x v="0"/>
    <x v="0"/>
    <d v="2025-01-02T08:58:46"/>
    <d v="2025-01-14T00:00:00"/>
    <d v="2025-01-14T00:00:00"/>
    <x v="1"/>
    <n v="8"/>
    <s v="Jojeff Tagnong"/>
    <m/>
  </r>
  <r>
    <x v="11"/>
    <x v="0"/>
    <x v="2"/>
    <s v="CNOW_7210$$$0000051475"/>
    <s v="G000001180"/>
    <s v="G000001180"/>
    <s v="Non-LFF"/>
    <s v=""/>
    <s v="Mapped for 2025. Waiting for Andreas response for action."/>
    <b v="1"/>
    <x v="0"/>
    <x v="0"/>
    <d v="2025-01-02T08:58:46"/>
    <d v="2025-01-14T00:00:00"/>
    <d v="2025-01-14T00:00:00"/>
    <x v="1"/>
    <n v="8"/>
    <s v="Jojeff Tagnong"/>
    <m/>
  </r>
  <r>
    <x v="12"/>
    <x v="0"/>
    <x v="2"/>
    <s v="CTEMPNA_1000PH80L35002 SPICE Carve Out"/>
    <s v="G000000201"/>
    <s v="G000000201"/>
    <s v="Non-LFF"/>
    <s v=""/>
    <s v="Mapped for 2025. Waiting for Andreas response for action."/>
    <b v="1"/>
    <x v="0"/>
    <x v="0"/>
    <d v="2025-01-03T12:36:21"/>
    <d v="2025-01-14T00:00:00"/>
    <d v="2025-01-14T00:00:00"/>
    <x v="1"/>
    <n v="7"/>
    <s v="Eivy Denine Cruz"/>
    <m/>
  </r>
  <r>
    <x v="13"/>
    <x v="0"/>
    <x v="2"/>
    <s v="CEMERAL_70006502992082"/>
    <s v="G000001356"/>
    <s v="G000001356"/>
    <s v="Non-LFF"/>
    <s v=""/>
    <s v="Mapped for 2025. Waiting for Andreas response for action."/>
    <b v="1"/>
    <x v="0"/>
    <x v="0"/>
    <d v="2025-01-06T15:09:14"/>
    <d v="2025-01-14T00:00:00"/>
    <d v="2025-01-14T00:00:00"/>
    <x v="1"/>
    <n v="6"/>
    <s v="Jay-R Lizardo"/>
    <m/>
  </r>
  <r>
    <x v="13"/>
    <x v="0"/>
    <x v="2"/>
    <s v="CLFF_1000$$$DE10GIT05A"/>
    <s v="G000000727"/>
    <s v="G000000727"/>
    <s v="LFF (MDG-F)"/>
    <s v="DE10GIT05A"/>
    <m/>
    <b v="1"/>
    <x v="0"/>
    <x v="0"/>
    <d v="2025-01-06T15:09:14"/>
    <d v="2025-01-14T00:00:00"/>
    <d v="2025-01-14T00:00:00"/>
    <x v="1"/>
    <n v="6"/>
    <s v="Jay-R Lizardo"/>
    <m/>
  </r>
  <r>
    <x v="14"/>
    <x v="0"/>
    <x v="2"/>
    <s v="CSCALA_1022$ITD_IT1"/>
    <s v="G000000279"/>
    <s v="G000000279"/>
    <s v="Non-LFF"/>
    <s v=""/>
    <s v="Mapped for 2025. Waiting for Andreas response for action."/>
    <b v="1"/>
    <x v="0"/>
    <x v="0"/>
    <d v="2025-01-06T16:51:20"/>
    <d v="2025-01-14T00:00:00"/>
    <d v="2025-01-14T00:00:00"/>
    <x v="1"/>
    <n v="6"/>
    <s v="Jay-R Lizardo"/>
    <m/>
  </r>
  <r>
    <x v="14"/>
    <x v="0"/>
    <x v="2"/>
    <s v="CSCALA_1022$ITS_IT5"/>
    <s v="G000000895"/>
    <s v="G000000895"/>
    <s v="Non-LFF"/>
    <s v=""/>
    <s v="Mapped for 2025. Waiting for Andreas response for action."/>
    <b v="1"/>
    <x v="0"/>
    <x v="0"/>
    <d v="2025-01-06T16:51:20"/>
    <d v="2025-01-14T00:00:00"/>
    <d v="2025-01-14T00:00:00"/>
    <x v="1"/>
    <n v="6"/>
    <s v="Jay-R Lizardo"/>
    <m/>
  </r>
  <r>
    <x v="15"/>
    <x v="0"/>
    <x v="2"/>
    <s v="CLFF_1000$$$DE10300076"/>
    <s v="G000000390"/>
    <s v="G000000390"/>
    <s v="LFF (MDG-F)"/>
    <s v="DE10300076"/>
    <m/>
    <b v="1"/>
    <x v="0"/>
    <x v="0"/>
    <d v="2025-01-07T09:14:25"/>
    <d v="2025-01-09T00:00:00"/>
    <d v="2025-01-09T00:00:00"/>
    <x v="0"/>
    <n v="2"/>
    <s v="Francesco Ricioppo"/>
    <m/>
  </r>
  <r>
    <x v="16"/>
    <x v="0"/>
    <x v="2"/>
    <s v="CLFF_1000$$$DE10200023 "/>
    <s v="G000000397"/>
    <s v="G000000397"/>
    <s v="LFF (MDG-F)"/>
    <s v="DE10200023"/>
    <m/>
    <b v="1"/>
    <x v="0"/>
    <x v="0"/>
    <d v="2025-01-07T09:21:51"/>
    <d v="2025-01-09T00:00:00"/>
    <d v="2025-01-09T00:00:00"/>
    <x v="0"/>
    <n v="2"/>
    <s v="Francesco Ricioppo"/>
    <m/>
  </r>
  <r>
    <x v="16"/>
    <x v="0"/>
    <x v="2"/>
    <s v="CLFF_1000$$$DE10200050"/>
    <s v="G000000397"/>
    <s v="G000000397"/>
    <s v="LFF (MDG-F)"/>
    <s v="DE10200050"/>
    <m/>
    <b v="1"/>
    <x v="0"/>
    <x v="0"/>
    <d v="2025-01-07T09:21:51"/>
    <d v="2025-01-09T00:00:00"/>
    <d v="2025-01-09T00:00:00"/>
    <x v="0"/>
    <n v="2"/>
    <s v="Francesco Ricioppo"/>
    <m/>
  </r>
  <r>
    <x v="17"/>
    <x v="0"/>
    <x v="2"/>
    <s v="PTEMPNA_US201PIOFCCHXPR89"/>
    <s v="H000003682"/>
    <s v="H000003682"/>
    <s v="Non-LFF"/>
    <s v=""/>
    <s v="Mapped for 2025. Waiting for Andreas response for action."/>
    <b v="1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CCGVPR60"/>
    <s v="H000003683"/>
    <s v="H000003683"/>
    <s v="Non-LFF"/>
    <s v=""/>
    <s v="Mapped for 2025. Waiting for Andreas response for action."/>
    <b v="1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CCEXPR75"/>
    <s v="H000003680"/>
    <s v="H000003680"/>
    <s v="Non-LFF"/>
    <s v=""/>
    <s v="Mapped for 2025. Waiting for Andreas response for action."/>
    <b v="1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CCEXPR76"/>
    <s v="H000003681"/>
    <s v="H000003681"/>
    <s v="Non-LFF"/>
    <s v=""/>
    <s v="Mapped for 2025. Waiting for Andreas response for action."/>
    <b v="1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CCEXPR51"/>
    <s v="H000004360"/>
    <s v="H000004360"/>
    <s v="Non-LFF"/>
    <s v=""/>
    <s v="Mapped for 2025. Waiting for Andreas response for action."/>
    <b v="1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VPTXPR85"/>
    <s v="H000003678"/>
    <s v="H000003678"/>
    <s v="Non-LFF"/>
    <s v=""/>
    <s v="Mapped for 2025. Waiting for Andreas response for action."/>
    <b v="1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VPLXPR73"/>
    <s v="H000003675"/>
    <s v="H000003675"/>
    <s v="Non-LFF"/>
    <s v=""/>
    <s v="Mapped for 2025. Waiting for Andreas response for action."/>
    <b v="1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CCIXPR90"/>
    <s v="H000003679"/>
    <s v="H000003679"/>
    <s v="Non-LFF"/>
    <s v=""/>
    <s v="Mapped for 2025. Waiting for Andreas response for action."/>
    <b v="1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EVBXPR01"/>
    <s v="H000003674"/>
    <s v="H000003674"/>
    <s v="Non-LFF"/>
    <s v=""/>
    <s v="Mapped for 2025. Waiting for Andreas response for action."/>
    <b v="1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EVBXPR78"/>
    <s v="H000003674"/>
    <s v="H000003674"/>
    <s v="Non-LFF"/>
    <s v=""/>
    <s v="Mapped for 2025. Waiting for Andreas response for action."/>
    <b v="1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EVBXPR71"/>
    <s v="H000003674"/>
    <s v="H000003674"/>
    <s v="Non-LFF"/>
    <s v=""/>
    <s v="Mapped for 2025. Waiting for Andreas response for action."/>
    <b v="1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EVBXPR74"/>
    <s v="H000003674"/>
    <s v="H000003674"/>
    <s v="Non-LFF"/>
    <s v=""/>
    <s v="Mapped for 2025. Waiting for Andreas response for action."/>
    <b v="1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EVBXPR80"/>
    <s v="H000003674"/>
    <s v="H000003674"/>
    <s v="Non-LFF"/>
    <s v=""/>
    <s v="Mapped for 2025. Waiting for Andreas response for action."/>
    <b v="1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EVAXPR78"/>
    <s v="H000003676"/>
    <s v="H000003676"/>
    <s v="Non-LFF"/>
    <s v=""/>
    <s v="Mapped for 2025. Waiting for Andreas response for action."/>
    <b v="1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EVAXPR72"/>
    <s v="H000003676"/>
    <s v="H000003676"/>
    <s v="Non-LFF"/>
    <s v=""/>
    <s v="Mapped for 2025. Waiting for Andreas response for action."/>
    <b v="1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EVAXPR73"/>
    <s v="H000003676"/>
    <s v="H000003676"/>
    <s v="Non-LFF"/>
    <s v=""/>
    <s v="Mapped for 2025. Waiting for Andreas response for action."/>
    <b v="1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EVAXPR74"/>
    <s v="H000003676"/>
    <s v="H000003676"/>
    <s v="Non-LFF"/>
    <s v=""/>
    <s v="Mapped for 2025. Waiting for Andreas response for action."/>
    <b v="1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EVAXPR84"/>
    <s v="H000003676"/>
    <s v="H000003676"/>
    <s v="Non-LFF"/>
    <s v=""/>
    <s v="Mapped for 2025. Waiting for Andreas response for action."/>
    <b v="1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EVAXPR50"/>
    <s v="H000003676"/>
    <s v="H000003676"/>
    <s v="Non-LFF"/>
    <s v=""/>
    <s v="Mapped for 2025. Waiting for Andreas response for action."/>
    <b v="1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EVAXPR81"/>
    <s v="H000003676"/>
    <s v="H000003676"/>
    <s v="Non-LFF"/>
    <s v=""/>
    <s v="Mapped for 2025. Waiting for Andreas response for action."/>
    <b v="1"/>
    <x v="1"/>
    <x v="0"/>
    <d v="2025-01-07T12:58:18"/>
    <d v="2025-01-14T00:00:00"/>
    <d v="2025-01-14T00:00:00"/>
    <x v="0"/>
    <n v="5"/>
    <s v="Rizza Domingo"/>
    <m/>
  </r>
  <r>
    <x v="18"/>
    <x v="0"/>
    <x v="2"/>
    <s v="CNOW_ROW$$$$0000091825 "/>
    <s v="L000008315"/>
    <s v="L000008315"/>
    <s v="Non-LFF"/>
    <s v=""/>
    <s v="Mapped for 2025. Waiting for Andreas response for action."/>
    <b v="1"/>
    <x v="2"/>
    <x v="0"/>
    <d v="2025-01-07T14:26:11"/>
    <d v="2025-01-14T00:00:00"/>
    <d v="2025-01-14T00:00:00"/>
    <x v="0"/>
    <n v="5"/>
    <s v="Joan Rose Pena"/>
    <m/>
  </r>
  <r>
    <x v="18"/>
    <x v="0"/>
    <x v="2"/>
    <s v="CFLTFLE_2373COS "/>
    <s v="L000013154"/>
    <s v="L000013154"/>
    <s v="Non-LFF"/>
    <s v=""/>
    <s v="Mapped for 2025. Waiting for Andreas response for action."/>
    <b v="1"/>
    <x v="2"/>
    <x v="0"/>
    <d v="2025-01-07T14:26:11"/>
    <d v="2025-01-14T00:00:00"/>
    <d v="2025-01-14T00:00:00"/>
    <x v="0"/>
    <n v="5"/>
    <s v="Joan Rose Pena"/>
    <m/>
  </r>
  <r>
    <x v="18"/>
    <x v="0"/>
    <x v="2"/>
    <s v="CSCALA_1042$PSCE "/>
    <s v="L000011687"/>
    <s v="L000011687"/>
    <s v="Non-LFF"/>
    <s v=""/>
    <s v="Mapped for 2025. Waiting for Andreas response for action."/>
    <b v="1"/>
    <x v="2"/>
    <x v="0"/>
    <d v="2025-01-07T14:26:11"/>
    <d v="2025-01-14T00:00:00"/>
    <d v="2025-01-14T00:00:00"/>
    <x v="0"/>
    <n v="5"/>
    <s v="Joan Rose Pena"/>
    <m/>
  </r>
  <r>
    <x v="19"/>
    <x v="0"/>
    <x v="2"/>
    <s v="CPRJ-9820240021 BIONTECH SE BNT326"/>
    <s v="L000011470"/>
    <s v="L000011470"/>
    <s v="Non-LFF"/>
    <s v=""/>
    <m/>
    <b v="1"/>
    <x v="2"/>
    <x v="0"/>
    <d v="2025-01-08T09:25:01"/>
    <d v="2025-01-10T00:00:00"/>
    <d v="2025-01-10T00:00:00"/>
    <x v="0"/>
    <n v="2"/>
    <s v="Joan Rose Pena"/>
    <m/>
  </r>
  <r>
    <x v="20"/>
    <x v="0"/>
    <x v="2"/>
    <s v="CLFF_1000$$$DE10604910 "/>
    <s v="G000000397"/>
    <s v="G000000397"/>
    <s v="LFF (MDG-F)"/>
    <s v="DE10604910"/>
    <m/>
    <b v="1"/>
    <x v="0"/>
    <x v="0"/>
    <d v="2025-01-08T09:53:50"/>
    <d v="2025-01-14T00:00:00"/>
    <d v="2025-01-14T00:00:00"/>
    <x v="0"/>
    <n v="4"/>
    <s v="Francesco Ricioppo"/>
    <m/>
  </r>
  <r>
    <x v="21"/>
    <x v="0"/>
    <x v="2"/>
    <s v="CLFF_1000$$$DE10200058"/>
    <s v="G000000390"/>
    <s v="G000000390"/>
    <s v="LFF (MDG-F)"/>
    <s v="DE10200058"/>
    <m/>
    <b v="1"/>
    <x v="0"/>
    <x v="0"/>
    <d v="2025-01-08T10:13:03"/>
    <d v="2025-01-14T00:00:00"/>
    <d v="2025-01-14T00:00:00"/>
    <x v="0"/>
    <n v="4"/>
    <s v="Francesco Ricioppo"/>
    <m/>
  </r>
  <r>
    <x v="21"/>
    <x v="0"/>
    <x v="2"/>
    <s v="CLFF_1000$$$DE10200059"/>
    <s v="G000000390"/>
    <s v="G000000390"/>
    <s v="LFF (MDG-F)"/>
    <s v="DE10200059"/>
    <m/>
    <b v="1"/>
    <x v="0"/>
    <x v="0"/>
    <d v="2025-01-08T10:13:03"/>
    <d v="2025-01-14T00:00:00"/>
    <d v="2025-01-14T00:00:00"/>
    <x v="0"/>
    <n v="4"/>
    <s v="Francesco Ricioppo"/>
    <m/>
  </r>
  <r>
    <x v="21"/>
    <x v="0"/>
    <x v="2"/>
    <s v="CLFF_1000$$$DE10200060"/>
    <s v="G000000390"/>
    <s v="G000000390"/>
    <s v="LFF (MDG-F)"/>
    <s v="DE10200060"/>
    <m/>
    <b v="1"/>
    <x v="0"/>
    <x v="0"/>
    <d v="2025-01-08T10:13:03"/>
    <d v="2025-01-14T00:00:00"/>
    <d v="2025-01-14T00:00:00"/>
    <x v="0"/>
    <n v="4"/>
    <s v="Francesco Ricioppo"/>
    <m/>
  </r>
  <r>
    <x v="21"/>
    <x v="0"/>
    <x v="2"/>
    <s v="CLFF_1000$$$DE10200061"/>
    <s v="G000000390"/>
    <s v="G000000390"/>
    <s v="LFF (MDG-F)"/>
    <s v="DE10200061"/>
    <m/>
    <b v="1"/>
    <x v="0"/>
    <x v="0"/>
    <d v="2025-01-08T10:13:03"/>
    <d v="2025-01-14T00:00:00"/>
    <d v="2025-01-14T00:00:00"/>
    <x v="0"/>
    <n v="4"/>
    <s v="Francesco Ricioppo"/>
    <m/>
  </r>
  <r>
    <x v="21"/>
    <x v="0"/>
    <x v="2"/>
    <s v="CLFF_1000$$$DE10200062"/>
    <s v="G000000390"/>
    <s v="G000000390"/>
    <s v="LFF (MDG-F)"/>
    <s v="DE10200062"/>
    <m/>
    <b v="1"/>
    <x v="0"/>
    <x v="0"/>
    <d v="2025-01-08T10:13:03"/>
    <d v="2025-01-14T00:00:00"/>
    <d v="2025-01-14T00:00:00"/>
    <x v="0"/>
    <n v="4"/>
    <s v="Francesco Ricioppo"/>
    <m/>
  </r>
  <r>
    <x v="22"/>
    <x v="0"/>
    <x v="2"/>
    <s v="CSCALA_1759$PRLS"/>
    <s v="L000008966"/>
    <s v="L000008966"/>
    <s v="Non-LFF"/>
    <s v=""/>
    <m/>
    <b v="1"/>
    <x v="2"/>
    <x v="0"/>
    <d v="2025-01-08T13:00:38"/>
    <d v="2025-01-10T00:00:00"/>
    <d v="2025-01-10T00:00:00"/>
    <x v="0"/>
    <n v="2"/>
    <s v="Joan Rose Pena"/>
    <m/>
  </r>
  <r>
    <x v="22"/>
    <x v="0"/>
    <x v="2"/>
    <s v="CSCALA_1759$VOAL"/>
    <s v="L000008965"/>
    <s v="L000008965"/>
    <s v="Non-LFF"/>
    <s v=""/>
    <m/>
    <b v="1"/>
    <x v="2"/>
    <x v="0"/>
    <d v="2025-01-08T13:00:38"/>
    <d v="2025-01-10T00:00:00"/>
    <d v="2025-01-10T00:00:00"/>
    <x v="0"/>
    <n v="2"/>
    <s v="Joan Rose Pena"/>
    <m/>
  </r>
  <r>
    <x v="22"/>
    <x v="0"/>
    <x v="2"/>
    <s v="CFLTFLE_2276891080IC "/>
    <s v="L000008972"/>
    <s v="L000008972"/>
    <s v="Non-LFF"/>
    <s v=""/>
    <m/>
    <b v="1"/>
    <x v="2"/>
    <x v="0"/>
    <d v="2025-01-08T13:00:38"/>
    <d v="2025-01-10T00:00:00"/>
    <d v="2025-01-10T00:00:00"/>
    <x v="0"/>
    <n v="2"/>
    <s v="Joan Rose Pena"/>
    <m/>
  </r>
  <r>
    <x v="22"/>
    <x v="0"/>
    <x v="2"/>
    <s v="CFLTFLE_2276891082IC "/>
    <s v="L000013121"/>
    <s v="L000013121"/>
    <s v="Non-LFF"/>
    <s v=""/>
    <m/>
    <b v="1"/>
    <x v="2"/>
    <x v="0"/>
    <d v="2025-01-08T13:00:38"/>
    <d v="2025-01-10T00:00:00"/>
    <d v="2025-01-10T00:00:00"/>
    <x v="0"/>
    <n v="2"/>
    <s v="Joan Rose Pena"/>
    <m/>
  </r>
  <r>
    <x v="23"/>
    <x v="0"/>
    <x v="2"/>
    <s v="D00123500000000 AP5008"/>
    <s v="P000001013"/>
    <s v="P000001013"/>
    <s v="Non-LFF"/>
    <s v=""/>
    <s v="Loaded in 2024."/>
    <b v="1"/>
    <x v="0"/>
    <x v="0"/>
    <d v="2025-01-08T14:05:07"/>
    <d v="2025-01-30T00:00:00"/>
    <d v="2025-01-30T00:00:00"/>
    <x v="1"/>
    <n v="16"/>
    <s v="Eivy Denine Cruz"/>
    <m/>
  </r>
  <r>
    <x v="23"/>
    <x v="0"/>
    <x v="2"/>
    <s v="CLFF_VMCA$$$TW91C02001"/>
    <s v="P000000489"/>
    <s v="P000000489"/>
    <s v="LFF (MDG-F)"/>
    <s v="TW91C02001"/>
    <s v="Successfully loaded to 2025. Will be resolving the this ticket for now and inform the requester about the situation."/>
    <b v="1"/>
    <x v="0"/>
    <x v="0"/>
    <d v="2025-01-08T14:05:07"/>
    <d v="2025-01-30T00:00:00"/>
    <d v="2025-01-30T00:00:00"/>
    <x v="1"/>
    <n v="16"/>
    <s v="Eivy Denine Cruz"/>
    <m/>
  </r>
  <r>
    <x v="24"/>
    <x v="0"/>
    <x v="2"/>
    <s v="CLFF_1000$$$NG50C1CSLS"/>
    <s v="L000008834"/>
    <s v="L000008834"/>
    <s v="LFF (MDG-F)"/>
    <s v="NG50C1CSLS"/>
    <m/>
    <b v="1"/>
    <x v="2"/>
    <x v="0"/>
    <d v="2025-01-09T07:53:54"/>
    <d v="2025-01-14T00:00:00"/>
    <d v="2025-01-14T00:00:00"/>
    <x v="0"/>
    <n v="3"/>
    <s v="Wayne Allen de Vos"/>
    <m/>
  </r>
  <r>
    <x v="25"/>
    <x v="0"/>
    <x v="2"/>
    <s v="CSCALA_1022$ITN_IT4"/>
    <s v="G000000277"/>
    <s v="G000000277"/>
    <s v="Non-LFF"/>
    <s v=""/>
    <m/>
    <b v="1"/>
    <x v="0"/>
    <x v="0"/>
    <d v="2025-01-09T15:19:50"/>
    <d v="2025-01-14T00:00:00"/>
    <d v="2025-01-14T00:00:00"/>
    <x v="0"/>
    <n v="3"/>
    <s v="Jay-R Lizardo"/>
    <m/>
  </r>
  <r>
    <x v="25"/>
    <x v="0"/>
    <x v="2"/>
    <s v="CSCALA_1022$ITS_T01"/>
    <s v="G000000895"/>
    <s v="G000000895"/>
    <s v="Non-LFF"/>
    <s v=""/>
    <m/>
    <b v="1"/>
    <x v="0"/>
    <x v="0"/>
    <d v="2025-01-09T15:19:50"/>
    <d v="2025-01-14T00:00:00"/>
    <d v="2025-01-14T00:00:00"/>
    <x v="0"/>
    <n v="3"/>
    <s v="Jay-R Lizardo"/>
    <m/>
  </r>
  <r>
    <x v="26"/>
    <x v="0"/>
    <x v="2"/>
    <s v="CFLTFLE_22450000002737"/>
    <s v="L000013461"/>
    <s v="L000013461"/>
    <s v="Non-LFF"/>
    <s v=""/>
    <s v="Mapped for 2025. Waiting for Andreas response for action."/>
    <b v="1"/>
    <x v="2"/>
    <x v="0"/>
    <d v="2025-01-10T09:35:21"/>
    <d v="2025-01-14T00:00:00"/>
    <d v="2025-01-14T00:00:00"/>
    <x v="0"/>
    <n v="2"/>
    <s v="Joan Rose Pena"/>
    <m/>
  </r>
  <r>
    <x v="26"/>
    <x v="0"/>
    <x v="2"/>
    <s v="CFLTFLE_22450000002763"/>
    <s v="L000013151"/>
    <s v="L000013151"/>
    <s v="Non-LFF"/>
    <s v=""/>
    <s v="Mapped for 2025. Waiting for Andreas response for action."/>
    <b v="1"/>
    <x v="2"/>
    <x v="0"/>
    <d v="2025-01-10T09:35:21"/>
    <d v="2025-01-14T00:00:00"/>
    <d v="2025-01-14T00:00:00"/>
    <x v="0"/>
    <n v="2"/>
    <s v="Joan Rose Pena"/>
    <m/>
  </r>
  <r>
    <x v="27"/>
    <x v="0"/>
    <x v="2"/>
    <s v="CLFF_1000$$$DE20533101"/>
    <s v="G000000397"/>
    <s v="G000000397"/>
    <s v="LFF (MDG-F)"/>
    <s v="DE20533101"/>
    <s v="Successfully loaded to 2025. Will be resolving the this ticket for now and inform the requester about the situation."/>
    <b v="1"/>
    <x v="0"/>
    <x v="1"/>
    <d v="2025-01-14T09:33:55"/>
    <d v="2025-01-31T00:00:00"/>
    <d v="2025-01-31T00:00:00"/>
    <x v="1"/>
    <n v="13"/>
    <s v="Francesco Ricioppo"/>
    <m/>
  </r>
  <r>
    <x v="27"/>
    <x v="0"/>
    <x v="2"/>
    <s v="CLFF_1000$$$DE20533102"/>
    <s v="G000000397"/>
    <s v="G000000397"/>
    <s v="LFF (MDG-F)"/>
    <s v="DE20533102"/>
    <s v="Successfully loaded to 2025. Will be resolving the this ticket for now and inform the requester about the situation."/>
    <b v="1"/>
    <x v="0"/>
    <x v="1"/>
    <d v="2025-01-14T09:33:55"/>
    <d v="2025-01-31T00:00:00"/>
    <d v="2025-01-31T00:00:00"/>
    <x v="1"/>
    <n v="13"/>
    <s v="Francesco Ricioppo"/>
    <m/>
  </r>
  <r>
    <x v="27"/>
    <x v="0"/>
    <x v="2"/>
    <s v="CLFF_1000$$$DE20533103"/>
    <s v="G000000397"/>
    <s v="G000000397"/>
    <s v="LFF (MDG-F)"/>
    <s v="DE20533103"/>
    <s v="Successfully loaded to 2025. Will be resolving the this ticket for now and inform the requester about the situation."/>
    <b v="1"/>
    <x v="0"/>
    <x v="1"/>
    <d v="2025-01-14T09:33:55"/>
    <d v="2025-01-31T00:00:00"/>
    <d v="2025-01-31T00:00:00"/>
    <x v="1"/>
    <n v="13"/>
    <s v="Francesco Ricioppo"/>
    <m/>
  </r>
  <r>
    <x v="27"/>
    <x v="0"/>
    <x v="2"/>
    <s v="CLFF_1000$$$DE20533104"/>
    <s v="G000000397"/>
    <s v="G000000397"/>
    <s v="LFF (MDG-F)"/>
    <s v="DE20533104"/>
    <s v="Successfully loaded to 2025. Will be resolving the this ticket for now and inform the requester about the situation."/>
    <b v="1"/>
    <x v="0"/>
    <x v="1"/>
    <d v="2025-01-14T09:33:55"/>
    <d v="2025-01-31T00:00:00"/>
    <d v="2025-01-31T00:00:00"/>
    <x v="1"/>
    <n v="13"/>
    <s v="Francesco Ricioppo"/>
    <m/>
  </r>
  <r>
    <x v="27"/>
    <x v="0"/>
    <x v="2"/>
    <s v="CLFF_1000$$$DE20533105"/>
    <s v="G000000397"/>
    <s v="G000000397"/>
    <s v="LFF (MDG-F)"/>
    <s v="DE20533105"/>
    <s v="Successfully loaded to 2025. Will be resolving the this ticket for now and inform the requester about the situation."/>
    <b v="1"/>
    <x v="0"/>
    <x v="1"/>
    <d v="2025-01-14T09:33:55"/>
    <d v="2025-01-31T00:00:00"/>
    <d v="2025-01-31T00:00:00"/>
    <x v="1"/>
    <n v="13"/>
    <s v="Francesco Ricioppo"/>
    <m/>
  </r>
  <r>
    <x v="27"/>
    <x v="0"/>
    <x v="2"/>
    <s v="CLFF_1000$$$DE20533106"/>
    <s v="G000000397"/>
    <s v="G000000397"/>
    <s v="LFF (MDG-F)"/>
    <s v="DE20533106"/>
    <s v="Successfully loaded to 2025. Will be resolving the this ticket for now and inform the requester about the situation."/>
    <b v="1"/>
    <x v="0"/>
    <x v="1"/>
    <d v="2025-01-14T09:33:55"/>
    <d v="2025-01-31T00:00:00"/>
    <d v="2025-01-31T00:00:00"/>
    <x v="1"/>
    <n v="13"/>
    <s v="Francesco Ricioppo"/>
    <m/>
  </r>
  <r>
    <x v="27"/>
    <x v="0"/>
    <x v="4"/>
    <s v="CLFF_1000$$$DE20533107"/>
    <s v="G000000397"/>
    <s v="G000000397"/>
    <s v="LFF (MDG-F)"/>
    <s v="DE20533107"/>
    <s v="Trash"/>
    <b v="1"/>
    <x v="0"/>
    <x v="1"/>
    <d v="2025-01-14T09:33:55"/>
    <m/>
    <d v="2025-01-31T00:00:00"/>
    <x v="1"/>
    <n v="13"/>
    <s v="Francesco Ricioppo"/>
    <e v="#REF!"/>
  </r>
  <r>
    <x v="27"/>
    <x v="0"/>
    <x v="2"/>
    <s v="CLFF_1000$$$DE20533108"/>
    <s v="G000000397"/>
    <s v="G000000397"/>
    <s v="LFF (MDG-F)"/>
    <s v="DE20533108"/>
    <s v="Successfully loaded to 2025. Will be resolving the this ticket for now and inform the requester about the situation."/>
    <b v="1"/>
    <x v="0"/>
    <x v="1"/>
    <d v="2025-01-14T09:33:55"/>
    <d v="2025-01-31T00:00:00"/>
    <d v="2025-01-31T00:00:00"/>
    <x v="1"/>
    <n v="13"/>
    <s v="Francesco Ricioppo"/>
    <m/>
  </r>
  <r>
    <x v="27"/>
    <x v="0"/>
    <x v="4"/>
    <s v="CLFF_1000$$$DE20533109"/>
    <s v="G000000397"/>
    <s v="G000000397"/>
    <s v="LFF (MDG-F)"/>
    <s v="DE20533109"/>
    <s v="Trash"/>
    <b v="1"/>
    <x v="0"/>
    <x v="1"/>
    <d v="2025-01-14T09:33:55"/>
    <m/>
    <d v="2025-01-31T00:00:00"/>
    <x v="1"/>
    <n v="13"/>
    <s v="Francesco Ricioppo"/>
    <e v="#REF!"/>
  </r>
  <r>
    <x v="27"/>
    <x v="0"/>
    <x v="2"/>
    <s v="CLFF_1000$$$DE20533110"/>
    <s v="G000000397"/>
    <s v="G000000397"/>
    <s v="LFF (MDG-F)"/>
    <s v="DE20533110"/>
    <s v="Successfully loaded to 2025. Will be resolving the this ticket for now and inform the requester about the situation."/>
    <b v="1"/>
    <x v="0"/>
    <x v="1"/>
    <d v="2025-01-14T09:33:55"/>
    <d v="2025-01-31T00:00:00"/>
    <d v="2025-01-31T00:00:00"/>
    <x v="1"/>
    <n v="13"/>
    <s v="Francesco Ricioppo"/>
    <m/>
  </r>
  <r>
    <x v="27"/>
    <x v="0"/>
    <x v="2"/>
    <s v="CLFF_1000$$$DE20533111"/>
    <s v="G000000397"/>
    <s v="G000000397"/>
    <s v="LFF (MDG-F)"/>
    <s v="DE20533111"/>
    <s v="Successfully loaded to 2025. Will be resolving the this ticket for now and inform the requester about the situation."/>
    <b v="1"/>
    <x v="0"/>
    <x v="1"/>
    <d v="2025-01-14T09:33:55"/>
    <d v="2025-01-31T00:00:00"/>
    <d v="2025-01-31T00:00:00"/>
    <x v="1"/>
    <n v="13"/>
    <s v="Francesco Ricioppo"/>
    <m/>
  </r>
  <r>
    <x v="27"/>
    <x v="0"/>
    <x v="2"/>
    <s v="CLFF_1000$$$DE20533112"/>
    <s v="G000000397"/>
    <s v="G000000397"/>
    <s v="LFF (MDG-F)"/>
    <s v="DE20533112"/>
    <s v="Successfully loaded to 2025. Will be resolving the this ticket for now and inform the requester about the situation."/>
    <b v="1"/>
    <x v="0"/>
    <x v="1"/>
    <d v="2025-01-14T09:33:55"/>
    <d v="2025-01-31T00:00:00"/>
    <d v="2025-01-31T00:00:00"/>
    <x v="1"/>
    <n v="13"/>
    <s v="Francesco Ricioppo"/>
    <m/>
  </r>
  <r>
    <x v="27"/>
    <x v="0"/>
    <x v="4"/>
    <s v="CLFF_1000$$$DE20533113"/>
    <s v="G000000397"/>
    <s v="G000000397"/>
    <s v="LFF (MDG-F)"/>
    <s v="DE20533113"/>
    <s v="Trash"/>
    <b v="1"/>
    <x v="0"/>
    <x v="1"/>
    <d v="2025-01-14T09:33:55"/>
    <m/>
    <d v="2025-01-31T00:00:00"/>
    <x v="1"/>
    <n v="13"/>
    <s v="Francesco Ricioppo"/>
    <e v="#REF!"/>
  </r>
  <r>
    <x v="27"/>
    <x v="0"/>
    <x v="2"/>
    <s v="CLFF_1000$$$DE20533198"/>
    <s v="G000000397"/>
    <s v="G000000397"/>
    <s v="LFF (MDG-F)"/>
    <s v="DE20533198"/>
    <s v="Successfully loaded to 2025. Will be resolving the this ticket for now and inform the requester about the situation."/>
    <b v="1"/>
    <x v="0"/>
    <x v="1"/>
    <d v="2025-01-14T09:33:55"/>
    <d v="2025-01-31T00:00:00"/>
    <d v="2025-01-31T00:00:00"/>
    <x v="1"/>
    <n v="13"/>
    <s v="Francesco Ricioppo"/>
    <m/>
  </r>
  <r>
    <x v="27"/>
    <x v="0"/>
    <x v="2"/>
    <s v="CLFF_1000$$$DE10533101"/>
    <s v="G000000397"/>
    <s v="G000000397"/>
    <s v="LFF (MDG-F)"/>
    <s v="DE10533101"/>
    <s v="Successfully loaded to 2025. Will be resolving the this ticket for now and inform the requester about the situation."/>
    <b v="1"/>
    <x v="0"/>
    <x v="1"/>
    <d v="2025-01-14T09:33:55"/>
    <d v="2025-01-31T00:00:00"/>
    <d v="2025-01-31T00:00:00"/>
    <x v="1"/>
    <n v="13"/>
    <s v="Francesco Ricioppo"/>
    <m/>
  </r>
  <r>
    <x v="27"/>
    <x v="0"/>
    <x v="2"/>
    <s v="CLFF_1000$$$DE10533102"/>
    <s v="G000000397"/>
    <s v="G000000397"/>
    <s v="LFF (MDG-F)"/>
    <s v="DE10533102"/>
    <s v="Successfully loaded to 2025. Will be resolving the this ticket for now and inform the requester about the situation."/>
    <b v="1"/>
    <x v="0"/>
    <x v="1"/>
    <d v="2025-01-14T09:33:55"/>
    <d v="2025-01-31T00:00:00"/>
    <d v="2025-01-31T00:00:00"/>
    <x v="1"/>
    <n v="13"/>
    <s v="Francesco Ricioppo"/>
    <m/>
  </r>
  <r>
    <x v="27"/>
    <x v="0"/>
    <x v="2"/>
    <s v="CLFF_1000$$$DE10533103"/>
    <s v="G000000397"/>
    <s v="G000000397"/>
    <s v="LFF (MDG-F)"/>
    <s v="DE10533103"/>
    <s v="Successfully loaded to 2025. Will be resolving the this ticket for now and inform the requester about the situation."/>
    <b v="1"/>
    <x v="0"/>
    <x v="1"/>
    <d v="2025-01-14T09:33:55"/>
    <d v="2025-01-31T00:00:00"/>
    <d v="2025-01-31T00:00:00"/>
    <x v="1"/>
    <n v="13"/>
    <s v="Francesco Ricioppo"/>
    <m/>
  </r>
  <r>
    <x v="27"/>
    <x v="0"/>
    <x v="2"/>
    <s v="CLFF_1000$$$DE10533104"/>
    <s v="G000000397"/>
    <s v="G000000397"/>
    <s v="LFF (MDG-F)"/>
    <s v="DE10533104"/>
    <s v="Successfully loaded to 2025. Will be resolving the this ticket for now and inform the requester about the situation."/>
    <b v="1"/>
    <x v="0"/>
    <x v="1"/>
    <d v="2025-01-14T09:33:55"/>
    <d v="2025-01-31T00:00:00"/>
    <d v="2025-01-31T00:00:00"/>
    <x v="1"/>
    <n v="13"/>
    <s v="Francesco Ricioppo"/>
    <m/>
  </r>
  <r>
    <x v="27"/>
    <x v="0"/>
    <x v="2"/>
    <s v="CLFF_1000$$$DE10533105"/>
    <s v="G000000397"/>
    <s v="G000000397"/>
    <s v="LFF (MDG-F)"/>
    <s v="DE10533105"/>
    <s v="Successfully loaded to 2025. Will be resolving the this ticket for now and inform the requester about the situation."/>
    <b v="1"/>
    <x v="0"/>
    <x v="1"/>
    <d v="2025-01-14T09:33:55"/>
    <d v="2025-01-31T00:00:00"/>
    <d v="2025-01-31T00:00:00"/>
    <x v="1"/>
    <n v="13"/>
    <s v="Francesco Ricioppo"/>
    <m/>
  </r>
  <r>
    <x v="27"/>
    <x v="0"/>
    <x v="2"/>
    <s v="CLFF_1000$$$DE10533106"/>
    <s v="G000000397"/>
    <s v="G000000397"/>
    <s v="LFF (MDG-F)"/>
    <s v="DE10533106"/>
    <s v="Successfully loaded to 2025. Will be resolving the this ticket for now and inform the requester about the situation."/>
    <b v="1"/>
    <x v="0"/>
    <x v="1"/>
    <d v="2025-01-14T09:33:55"/>
    <d v="2025-01-31T00:00:00"/>
    <d v="2025-01-31T00:00:00"/>
    <x v="1"/>
    <n v="13"/>
    <s v="Francesco Ricioppo"/>
    <m/>
  </r>
  <r>
    <x v="27"/>
    <x v="0"/>
    <x v="4"/>
    <s v="CLFF_1000$$$DE10533107"/>
    <s v="G000000397"/>
    <s v="G000000397"/>
    <s v="LFF (MDG-F)"/>
    <s v="DE10533107"/>
    <s v="Trash"/>
    <b v="1"/>
    <x v="0"/>
    <x v="1"/>
    <d v="2025-01-14T09:33:55"/>
    <m/>
    <d v="2025-01-31T00:00:00"/>
    <x v="1"/>
    <n v="13"/>
    <s v="Francesco Ricioppo"/>
    <e v="#REF!"/>
  </r>
  <r>
    <x v="27"/>
    <x v="0"/>
    <x v="2"/>
    <s v="CLFF_1000$$$DE10533108"/>
    <s v="G000000397"/>
    <s v="G000000397"/>
    <s v="LFF (MDG-F)"/>
    <s v="DE10533108"/>
    <s v="Successfully loaded to 2025. Will be resolving the this ticket for now and inform the requester about the situation."/>
    <b v="1"/>
    <x v="0"/>
    <x v="1"/>
    <d v="2025-01-14T09:33:55"/>
    <d v="2025-01-31T00:00:00"/>
    <d v="2025-01-31T00:00:00"/>
    <x v="1"/>
    <n v="13"/>
    <s v="Francesco Ricioppo"/>
    <m/>
  </r>
  <r>
    <x v="27"/>
    <x v="0"/>
    <x v="4"/>
    <s v="CLFF_1000$$$DE10533109"/>
    <s v="G000000397"/>
    <s v="G000000397"/>
    <s v="LFF (MDG-F)"/>
    <s v="DE10533109"/>
    <s v="Trash"/>
    <b v="1"/>
    <x v="0"/>
    <x v="1"/>
    <d v="2025-01-14T09:33:55"/>
    <m/>
    <d v="2025-01-31T00:00:00"/>
    <x v="1"/>
    <n v="13"/>
    <s v="Francesco Ricioppo"/>
    <e v="#REF!"/>
  </r>
  <r>
    <x v="27"/>
    <x v="0"/>
    <x v="2"/>
    <s v="CLFF_1000$$$DE10533110"/>
    <s v="G000000397"/>
    <s v="G000000397"/>
    <s v="LFF (MDG-F)"/>
    <s v="DE10533110"/>
    <s v="Successfully loaded to 2025. Will be resolving the this ticket for now and inform the requester about the situation."/>
    <b v="1"/>
    <x v="0"/>
    <x v="1"/>
    <d v="2025-01-14T09:33:55"/>
    <d v="2025-01-31T00:00:00"/>
    <d v="2025-01-31T00:00:00"/>
    <x v="1"/>
    <n v="13"/>
    <s v="Francesco Ricioppo"/>
    <m/>
  </r>
  <r>
    <x v="27"/>
    <x v="0"/>
    <x v="2"/>
    <s v="CLFF_1000$$$DE10533111"/>
    <s v="G000000397"/>
    <s v="G000000397"/>
    <s v="LFF (MDG-F)"/>
    <s v="DE10533111"/>
    <s v="Successfully loaded to 2025. Will be resolving the this ticket for now and inform the requester about the situation."/>
    <b v="1"/>
    <x v="0"/>
    <x v="1"/>
    <d v="2025-01-14T09:33:55"/>
    <d v="2025-01-31T00:00:00"/>
    <d v="2025-01-31T00:00:00"/>
    <x v="1"/>
    <n v="13"/>
    <s v="Francesco Ricioppo"/>
    <m/>
  </r>
  <r>
    <x v="27"/>
    <x v="0"/>
    <x v="2"/>
    <s v="CLFF_1000$$$DE10533112"/>
    <s v="G000000397"/>
    <s v="G000000397"/>
    <s v="LFF (MDG-F)"/>
    <s v="DE10533112"/>
    <s v="Successfully loaded to 2025. Will be resolving the this ticket for now and inform the requester about the situation."/>
    <b v="1"/>
    <x v="0"/>
    <x v="1"/>
    <d v="2025-01-14T09:33:55"/>
    <d v="2025-01-31T00:00:00"/>
    <d v="2025-01-31T00:00:00"/>
    <x v="1"/>
    <n v="13"/>
    <s v="Francesco Ricioppo"/>
    <m/>
  </r>
  <r>
    <x v="27"/>
    <x v="0"/>
    <x v="4"/>
    <s v="CLFF_1000$$$DE10533113"/>
    <s v="G000000397"/>
    <s v="G000000397"/>
    <s v="LFF (MDG-F)"/>
    <s v="DE10533113"/>
    <s v="Trash"/>
    <b v="1"/>
    <x v="0"/>
    <x v="1"/>
    <d v="2025-01-14T09:33:55"/>
    <m/>
    <d v="2025-01-31T00:00:00"/>
    <x v="1"/>
    <n v="13"/>
    <s v="Francesco Ricioppo"/>
    <e v="#REF!"/>
  </r>
  <r>
    <x v="28"/>
    <x v="0"/>
    <x v="2"/>
    <s v="D00118900000000 Ultra-High Purity Colloidal Silica PD Su"/>
    <s v="P000001013"/>
    <s v="P000001013"/>
    <s v="Non-LFF"/>
    <s v=""/>
    <s v="Loaded in 2024."/>
    <b v="1"/>
    <x v="0"/>
    <x v="1"/>
    <d v="2025-01-15T13:33:26"/>
    <d v="2025-01-31T00:00:00"/>
    <d v="2025-01-31T00:00:00"/>
    <x v="1"/>
    <n v="12"/>
    <s v="Eivy Denine Cruz"/>
    <m/>
  </r>
  <r>
    <x v="28"/>
    <x v="0"/>
    <x v="2"/>
    <s v="D00123000000000 Optiplane 2260"/>
    <s v="P000001013"/>
    <s v="P000001013"/>
    <s v="Non-LFF"/>
    <s v=""/>
    <s v="Loaded in 2024."/>
    <b v="1"/>
    <x v="0"/>
    <x v="1"/>
    <d v="2025-01-15T13:33:26"/>
    <d v="2025-01-31T00:00:00"/>
    <d v="2025-01-31T00:00:00"/>
    <x v="1"/>
    <n v="12"/>
    <s v="Eivy Denine Cruz"/>
    <m/>
  </r>
  <r>
    <x v="28"/>
    <x v="0"/>
    <x v="2"/>
    <s v="DP000010000000 Cu3886 low dishing low defect Cu Bulk Sl"/>
    <s v="P000001016"/>
    <s v="P000001016"/>
    <s v="Non-LFF"/>
    <s v=""/>
    <s v="Loaded in 2024."/>
    <b v="1"/>
    <x v="0"/>
    <x v="1"/>
    <d v="2025-01-15T13:33:26"/>
    <d v="2025-01-31T00:00:00"/>
    <d v="2025-01-31T00:00:00"/>
    <x v="1"/>
    <n v="12"/>
    <s v="Eivy Denine Cruz"/>
    <m/>
  </r>
  <r>
    <x v="28"/>
    <x v="0"/>
    <x v="2"/>
    <s v="D00123300000000 Str Partnership IMEC TFM Share"/>
    <s v="P000001012"/>
    <s v="P000001012"/>
    <s v="Non-LFF"/>
    <s v=""/>
    <s v="Loaded in 2024."/>
    <b v="1"/>
    <x v="0"/>
    <x v="1"/>
    <d v="2025-01-15T13:33:26"/>
    <d v="2025-01-31T00:00:00"/>
    <d v="2025-01-31T00:00:00"/>
    <x v="1"/>
    <n v="12"/>
    <s v="Eivy Denine Cruz"/>
    <m/>
  </r>
  <r>
    <x v="28"/>
    <x v="0"/>
    <x v="2"/>
    <s v="D00123200000000 Adv Pkg CMP (1501-50 BOOST)"/>
    <s v="P000001013"/>
    <s v="P000001013"/>
    <s v="Non-LFF"/>
    <s v=""/>
    <s v="Unable to in PCB as this previously loaded and remap in 2024."/>
    <b v="1"/>
    <x v="0"/>
    <x v="1"/>
    <d v="2025-01-15T13:33:26"/>
    <d v="2025-01-31T00:00:00"/>
    <d v="2025-01-31T00:00:00"/>
    <x v="1"/>
    <n v="12"/>
    <s v="Eivy Denine Cruz"/>
    <m/>
  </r>
  <r>
    <x v="28"/>
    <x v="0"/>
    <x v="2"/>
    <s v="D00115200000000 Ultra-High Purity Colloidal Silica"/>
    <s v="P000001013"/>
    <s v="P000001013"/>
    <s v="Non-LFF"/>
    <s v=""/>
    <s v="Unable to in PCB as this previously loaded and remap in 2024."/>
    <b v="1"/>
    <x v="0"/>
    <x v="1"/>
    <d v="2025-01-15T13:33:26"/>
    <d v="2025-01-31T00:00:00"/>
    <d v="2025-01-31T00:00:00"/>
    <x v="1"/>
    <n v="12"/>
    <s v="Eivy Denine Cruz"/>
    <m/>
  </r>
  <r>
    <x v="28"/>
    <x v="0"/>
    <x v="2"/>
    <s v="DP000005000000 DP1284 high-rate Cu bulk slurry for TI"/>
    <s v="P000001016"/>
    <s v="P000001016"/>
    <s v="Non-LFF"/>
    <s v=""/>
    <s v="Unable to in PCB as this previously loaded and remap in 2024."/>
    <b v="1"/>
    <x v="0"/>
    <x v="1"/>
    <d v="2025-01-15T13:33:26"/>
    <d v="2025-01-31T00:00:00"/>
    <d v="2025-01-31T00:00:00"/>
    <x v="1"/>
    <n v="12"/>
    <s v="Eivy Denine Cruz"/>
    <m/>
  </r>
  <r>
    <x v="28"/>
    <x v="0"/>
    <x v="2"/>
    <s v="RD210008 Advanced particle characterization"/>
    <s v="P000001016"/>
    <s v="P000001016"/>
    <s v="Non-LFF"/>
    <s v=""/>
    <s v="Unable to in PCB as this previously loaded and remap in 2024."/>
    <b v="1"/>
    <x v="0"/>
    <x v="1"/>
    <d v="2025-01-15T13:33:26"/>
    <d v="2025-01-31T00:00:00"/>
    <d v="2025-01-31T00:00:00"/>
    <x v="1"/>
    <n v="12"/>
    <s v="Eivy Denine Cruz"/>
    <m/>
  </r>
  <r>
    <x v="28"/>
    <x v="0"/>
    <x v="2"/>
    <s v="RD242007 HPD8700 for Micron HBM CMP"/>
    <s v="P000001016"/>
    <s v="P000001016"/>
    <s v="Non-LFF"/>
    <s v=""/>
    <s v="Loaded in 2024."/>
    <b v="1"/>
    <x v="0"/>
    <x v="1"/>
    <d v="2025-01-15T13:33:26"/>
    <d v="2025-01-31T00:00:00"/>
    <d v="2025-01-31T00:00:00"/>
    <x v="1"/>
    <n v="12"/>
    <s v="Eivy Denine Cruz"/>
    <m/>
  </r>
  <r>
    <x v="28"/>
    <x v="0"/>
    <x v="2"/>
    <s v="CLFF_1000$$$TW03TNKA06"/>
    <s v="P000001195"/>
    <s v="P000001195"/>
    <s v="LFF (MDG-F)"/>
    <s v="TW03TNKA06"/>
    <s v="Successfully loaded to 2025."/>
    <b v="1"/>
    <x v="0"/>
    <x v="1"/>
    <d v="2025-01-15T13:33:26"/>
    <d v="2025-01-31T00:00:00"/>
    <d v="2025-01-31T00:00:00"/>
    <x v="1"/>
    <n v="12"/>
    <s v="Eivy Denine Cruz"/>
    <m/>
  </r>
  <r>
    <x v="29"/>
    <x v="0"/>
    <x v="2"/>
    <s v="CORAERP_MMOR1945.J5XX "/>
    <s v="L000007346"/>
    <s v="L000007346"/>
    <s v="Non-LFF"/>
    <s v=""/>
    <m/>
    <b v="1"/>
    <x v="2"/>
    <x v="1"/>
    <d v="2025-01-15T15:54:04"/>
    <d v="2025-01-17T00:00:00"/>
    <d v="2025-01-17T00:00:00"/>
    <x v="0"/>
    <n v="2"/>
    <s v="Joan Rose Pena"/>
    <m/>
  </r>
  <r>
    <x v="29"/>
    <x v="0"/>
    <x v="2"/>
    <s v="CORAERP_MMOR1975.P1BR "/>
    <s v="L000007433"/>
    <s v="L000007433"/>
    <s v="Non-LFF"/>
    <s v=""/>
    <m/>
    <b v="1"/>
    <x v="2"/>
    <x v="1"/>
    <d v="2025-01-15T15:54:04"/>
    <d v="2025-01-17T00:00:00"/>
    <d v="2025-01-17T00:00:00"/>
    <x v="0"/>
    <n v="2"/>
    <s v="Joan Rose Pena"/>
    <m/>
  </r>
  <r>
    <x v="29"/>
    <x v="0"/>
    <x v="2"/>
    <s v="CORAERP_MMOR1975.P1VP "/>
    <s v="L000007433"/>
    <s v="L000007433"/>
    <s v="Non-LFF"/>
    <s v=""/>
    <m/>
    <b v="1"/>
    <x v="2"/>
    <x v="1"/>
    <d v="2025-01-15T15:54:04"/>
    <d v="2025-01-17T00:00:00"/>
    <d v="2025-01-17T00:00:00"/>
    <x v="0"/>
    <n v="2"/>
    <s v="Joan Rose Pena"/>
    <m/>
  </r>
  <r>
    <x v="29"/>
    <x v="0"/>
    <x v="2"/>
    <s v="CFLTFLE_2373ICO "/>
    <s v="L000013154"/>
    <s v="L000013154"/>
    <s v="Non-LFF"/>
    <s v=""/>
    <m/>
    <b v="1"/>
    <x v="2"/>
    <x v="1"/>
    <d v="2025-01-15T15:54:04"/>
    <d v="2025-01-17T00:00:00"/>
    <d v="2025-01-17T00:00:00"/>
    <x v="0"/>
    <n v="2"/>
    <s v="Joan Rose Pena"/>
    <m/>
  </r>
  <r>
    <x v="30"/>
    <x v="0"/>
    <x v="2"/>
    <s v="CLFF_VMCA$$$GB10C00701 PM-IOQ QA Semicon Materials GB"/>
    <s v="P000000575"/>
    <s v="P000000575"/>
    <s v="LFF (MDG-F)"/>
    <s v="GB10C00701"/>
    <s v="Successfully loaded to 2025."/>
    <b v="1"/>
    <x v="0"/>
    <x v="1"/>
    <d v="2025-01-17T11:20:41"/>
    <d v="2025-01-31T00:00:00"/>
    <d v="2025-01-31T00:00:00"/>
    <x v="1"/>
    <n v="10"/>
    <s v="Eivy Denine Cruz"/>
    <m/>
  </r>
  <r>
    <x v="31"/>
    <x v="0"/>
    <x v="2"/>
    <s v="CPHOENX_01010000604520 "/>
    <s v="L000010145"/>
    <s v="L000010145"/>
    <s v="Non-LFF"/>
    <s v=""/>
    <m/>
    <b v="1"/>
    <x v="2"/>
    <x v="1"/>
    <d v="2025-01-17T13:40:43"/>
    <d v="2025-01-21T00:00:00"/>
    <d v="2025-01-21T00:00:00"/>
    <x v="0"/>
    <n v="2"/>
    <s v="Joan Rose Pena"/>
    <m/>
  </r>
  <r>
    <x v="31"/>
    <x v="0"/>
    <x v="2"/>
    <s v="CPHOENX_01010000604540 "/>
    <s v="L000010145"/>
    <s v="L000010145"/>
    <s v="Non-LFF"/>
    <s v=""/>
    <m/>
    <b v="1"/>
    <x v="2"/>
    <x v="1"/>
    <d v="2025-01-17T13:40:43"/>
    <d v="2025-01-21T00:00:00"/>
    <d v="2025-01-21T00:00:00"/>
    <x v="0"/>
    <n v="2"/>
    <s v="Joan Rose Pena"/>
    <m/>
  </r>
  <r>
    <x v="31"/>
    <x v="0"/>
    <x v="2"/>
    <s v="CPHOENX_01010000604530 "/>
    <s v="L000010145"/>
    <s v="L000010145"/>
    <s v="Non-LFF"/>
    <s v=""/>
    <m/>
    <b v="1"/>
    <x v="2"/>
    <x v="1"/>
    <d v="2025-01-17T13:40:43"/>
    <d v="2025-01-21T00:00:00"/>
    <d v="2025-01-21T00:00:00"/>
    <x v="0"/>
    <n v="2"/>
    <s v="Joan Rose Pena"/>
    <m/>
  </r>
  <r>
    <x v="31"/>
    <x v="0"/>
    <x v="2"/>
    <s v="CORAERP_MMOR1975.4147 "/>
    <s v="L000009822"/>
    <s v="L000009822"/>
    <s v="Non-LFF"/>
    <s v=""/>
    <m/>
    <b v="1"/>
    <x v="2"/>
    <x v="1"/>
    <d v="2025-01-17T13:40:43"/>
    <d v="2025-01-21T00:00:00"/>
    <d v="2025-01-21T00:00:00"/>
    <x v="0"/>
    <n v="2"/>
    <s v="Joan Rose Pena"/>
    <m/>
  </r>
  <r>
    <x v="31"/>
    <x v="0"/>
    <x v="2"/>
    <s v="ITEMPEU_001300003829 "/>
    <s v="L000013174"/>
    <s v="L000013174"/>
    <s v="Non-LFF"/>
    <s v=""/>
    <m/>
    <b v="1"/>
    <x v="2"/>
    <x v="1"/>
    <d v="2025-01-17T13:40:43"/>
    <d v="2025-01-21T00:00:00"/>
    <d v="2025-01-21T00:00:00"/>
    <x v="0"/>
    <n v="2"/>
    <s v="Joan Rose Pena"/>
    <m/>
  </r>
  <r>
    <x v="31"/>
    <x v="0"/>
    <x v="2"/>
    <s v="CORAERP_MMOR1975.SMQA "/>
    <s v="L000006414"/>
    <s v="L000006414"/>
    <s v="Non-LFF"/>
    <s v=""/>
    <m/>
    <b v="1"/>
    <x v="2"/>
    <x v="1"/>
    <d v="2025-01-17T13:40:43"/>
    <d v="2025-01-21T00:00:00"/>
    <d v="2025-01-21T00:00:00"/>
    <x v="0"/>
    <n v="2"/>
    <s v="Joan Rose Pena"/>
    <m/>
  </r>
  <r>
    <x v="32"/>
    <x v="0"/>
    <x v="2"/>
    <s v="CLFF_7210$$$2102TCBZ30 BWY Maintenance"/>
    <s v="L000013772"/>
    <s v="L000013772"/>
    <s v="LFF (MDG-F)"/>
    <s v="2102TCBZ30"/>
    <m/>
    <b v="1"/>
    <x v="2"/>
    <x v="1"/>
    <d v="2025-01-20T10:37:19"/>
    <d v="2025-01-23T00:00:00"/>
    <d v="2025-01-23T00:00:00"/>
    <x v="0"/>
    <n v="3"/>
    <s v="Jayson Martinez"/>
    <m/>
  </r>
  <r>
    <x v="32"/>
    <x v="0"/>
    <x v="2"/>
    <s v="CNOW_7210$$$0000020259 STL SAFC BROADWAY BUILDING"/>
    <s v="L000013772"/>
    <s v="L000013772"/>
    <s v="Non-LFF"/>
    <s v=""/>
    <m/>
    <b v="1"/>
    <x v="2"/>
    <x v="1"/>
    <d v="2025-01-20T10:37:19"/>
    <d v="2025-01-23T00:00:00"/>
    <d v="2025-01-23T00:00:00"/>
    <x v="0"/>
    <n v="3"/>
    <s v="Jayson Martinez"/>
    <m/>
  </r>
  <r>
    <x v="32"/>
    <x v="0"/>
    <x v="2"/>
    <s v="CNOW_7210$$$0000040415 MWK RS PLANNING &amp; SCHEDULING"/>
    <s v="L000010182"/>
    <s v="L000010182"/>
    <s v="Non-LFF"/>
    <s v=""/>
    <m/>
    <b v="1"/>
    <x v="2"/>
    <x v="1"/>
    <d v="2025-01-20T10:37:19"/>
    <d v="2025-01-23T00:00:00"/>
    <d v="2025-01-23T00:00:00"/>
    <x v="0"/>
    <n v="3"/>
    <s v="Jayson Martinez"/>
    <m/>
  </r>
  <r>
    <x v="32"/>
    <x v="0"/>
    <x v="2"/>
    <s v="CNOW_7210$$$0000040534 Food Safety North America"/>
    <s v="L000005724"/>
    <s v="L000005724"/>
    <s v="Non-LFF"/>
    <s v=""/>
    <m/>
    <b v="1"/>
    <x v="2"/>
    <x v="1"/>
    <d v="2025-01-20T10:37:19"/>
    <d v="2025-01-23T00:00:00"/>
    <d v="2025-01-23T00:00:00"/>
    <x v="0"/>
    <n v="3"/>
    <s v="Jayson Martinez"/>
    <m/>
  </r>
  <r>
    <x v="32"/>
    <x v="0"/>
    <x v="2"/>
    <s v="CORAERP_MMOR1975.5093 Bulk, Custom, LDA Product Marketing"/>
    <s v="L000005926"/>
    <s v="L000005926"/>
    <s v="Non-LFF"/>
    <s v=""/>
    <m/>
    <b v="1"/>
    <x v="2"/>
    <x v="1"/>
    <d v="2025-01-20T10:37:19"/>
    <d v="2025-01-23T00:00:00"/>
    <d v="2025-01-23T00:00:00"/>
    <x v="0"/>
    <n v="3"/>
    <s v="Jayson Martinez"/>
    <m/>
  </r>
  <r>
    <x v="32"/>
    <x v="0"/>
    <x v="2"/>
    <s v="D30010400000000 R&amp;D project expenses"/>
    <s v="L000013318"/>
    <s v="L000013318"/>
    <s v="Non-LFF"/>
    <s v=""/>
    <m/>
    <b v="1"/>
    <x v="2"/>
    <x v="1"/>
    <d v="2025-01-20T10:37:19"/>
    <d v="2025-01-23T00:00:00"/>
    <d v="2025-01-23T00:00:00"/>
    <x v="0"/>
    <n v="3"/>
    <s v="Jayson Martinez"/>
    <m/>
  </r>
  <r>
    <x v="32"/>
    <x v="0"/>
    <x v="2"/>
    <s v="CPHOENX_01010000669760 IP Sale Darmstadt Production for MagPrep"/>
    <s v="L000005926"/>
    <s v="L000005926"/>
    <s v="Non-LFF"/>
    <s v=""/>
    <m/>
    <b v="1"/>
    <x v="2"/>
    <x v="1"/>
    <d v="2025-01-20T10:37:19"/>
    <d v="2025-01-23T00:00:00"/>
    <d v="2025-01-23T00:00:00"/>
    <x v="0"/>
    <n v="3"/>
    <s v="Jayson Martinez"/>
    <m/>
  </r>
  <r>
    <x v="33"/>
    <x v="0"/>
    <x v="2"/>
    <s v="CLFF_1000$$$DE10558300"/>
    <s v="G000000392"/>
    <s v="G000000392"/>
    <s v="LFF (MDG-F)"/>
    <s v="DE10558300"/>
    <s v="Successfully loaded to 2025."/>
    <b v="1"/>
    <x v="0"/>
    <x v="1"/>
    <d v="2025-01-20T13:21:51"/>
    <d v="2025-01-31T00:00:00"/>
    <d v="2025-01-31T00:00:00"/>
    <x v="1"/>
    <n v="9"/>
    <s v="Marcus Morowski"/>
    <m/>
  </r>
  <r>
    <x v="33"/>
    <x v="0"/>
    <x v="2"/>
    <s v="CLFF_1000$$$DE10622200"/>
    <s v="G000000389"/>
    <s v="G000000389"/>
    <s v="LFF (MDG-F)"/>
    <s v="DE10622200"/>
    <s v="Successfully loaded to 2025."/>
    <b v="1"/>
    <x v="0"/>
    <x v="1"/>
    <d v="2025-01-20T13:21:51"/>
    <d v="2025-01-31T00:00:00"/>
    <d v="2025-01-31T00:00:00"/>
    <x v="1"/>
    <n v="9"/>
    <s v="Marcus Morowski"/>
    <m/>
  </r>
  <r>
    <x v="33"/>
    <x v="0"/>
    <x v="2"/>
    <s v="CLFF_1000$$$DE10623000"/>
    <s v="G000000387"/>
    <s v="G000000387"/>
    <s v="LFF (MDG-F)"/>
    <s v="DE10623000"/>
    <s v="Successfully loaded to 2025."/>
    <b v="1"/>
    <x v="0"/>
    <x v="1"/>
    <d v="2025-01-20T13:21:51"/>
    <d v="2025-01-31T00:00:00"/>
    <d v="2025-01-31T00:00:00"/>
    <x v="1"/>
    <n v="9"/>
    <s v="Marcus Morowski"/>
    <m/>
  </r>
  <r>
    <x v="34"/>
    <x v="0"/>
    <x v="2"/>
    <s v="CSCALA_1042$LSRG_P19"/>
    <s v="L000008494"/>
    <s v="L000008494"/>
    <s v="Non-LFF"/>
    <s v=""/>
    <m/>
    <b v="1"/>
    <x v="2"/>
    <x v="1"/>
    <d v="2025-01-21T10:23:54"/>
    <d v="2025-01-24T00:00:00"/>
    <d v="2025-01-24T00:00:00"/>
    <x v="0"/>
    <n v="3"/>
    <s v="Joan Rose Pena"/>
    <m/>
  </r>
  <r>
    <x v="34"/>
    <x v="0"/>
    <x v="2"/>
    <s v="CSCALA_1042$LWSP "/>
    <s v="L000008495"/>
    <s v="L000008495"/>
    <s v="Non-LFF"/>
    <s v=""/>
    <m/>
    <b v="1"/>
    <x v="2"/>
    <x v="1"/>
    <d v="2025-01-21T10:23:54"/>
    <d v="2025-01-24T00:00:00"/>
    <d v="2025-01-24T00:00:00"/>
    <x v="0"/>
    <n v="3"/>
    <s v="Joan Rose Pena"/>
    <m/>
  </r>
  <r>
    <x v="34"/>
    <x v="0"/>
    <x v="2"/>
    <s v="CEMERAL_70007001584396 "/>
    <s v="L000007703"/>
    <s v="L000007703"/>
    <s v="Non-LFF"/>
    <s v=""/>
    <m/>
    <b v="1"/>
    <x v="2"/>
    <x v="1"/>
    <d v="2025-01-21T10:23:54"/>
    <d v="2025-01-24T00:00:00"/>
    <d v="2025-01-24T00:00:00"/>
    <x v="0"/>
    <n v="3"/>
    <s v="Joan Rose Pena"/>
    <m/>
  </r>
  <r>
    <x v="34"/>
    <x v="0"/>
    <x v="2"/>
    <s v="CORAERP_MMOR1968.LLPD "/>
    <s v="L000013188"/>
    <s v="L000013188"/>
    <s v="Non-LFF"/>
    <s v=""/>
    <m/>
    <b v="1"/>
    <x v="2"/>
    <x v="1"/>
    <d v="2025-01-21T10:23:54"/>
    <d v="2025-01-24T00:00:00"/>
    <d v="2025-01-24T00:00:00"/>
    <x v="0"/>
    <n v="3"/>
    <s v="Joan Rose Pena"/>
    <m/>
  </r>
  <r>
    <x v="35"/>
    <x v="0"/>
    <x v="2"/>
    <s v="D00119900000000 OT R&amp;D IC Charge"/>
    <s v="P000001243"/>
    <s v="P000001243"/>
    <s v="Non-LFF"/>
    <s v=""/>
    <m/>
    <b v="1"/>
    <x v="3"/>
    <x v="1"/>
    <d v="2025-01-22T11:56:02"/>
    <d v="2025-01-24T00:00:00"/>
    <d v="2025-01-24T00:00:00"/>
    <x v="0"/>
    <n v="2"/>
    <s v="Uros Jablanov"/>
    <m/>
  </r>
  <r>
    <x v="35"/>
    <x v="0"/>
    <x v="2"/>
    <s v="D00120100000000 DPM R&amp;D IC Charge"/>
    <s v="P000001209"/>
    <s v="P000001209"/>
    <s v="Non-LFF"/>
    <s v=""/>
    <m/>
    <b v="1"/>
    <x v="3"/>
    <x v="1"/>
    <d v="2025-01-22T11:56:02"/>
    <d v="2025-01-24T00:00:00"/>
    <d v="2025-01-24T00:00:00"/>
    <x v="0"/>
    <n v="2"/>
    <s v="Uros Jablanov"/>
    <m/>
  </r>
  <r>
    <x v="35"/>
    <x v="0"/>
    <x v="2"/>
    <s v="D00120500000000 General OLED R&amp;D"/>
    <s v="P000001239"/>
    <s v="P000001239"/>
    <s v="Non-LFF"/>
    <s v=""/>
    <m/>
    <b v="1"/>
    <x v="3"/>
    <x v="1"/>
    <d v="2025-01-22T11:56:02"/>
    <d v="2025-01-24T00:00:00"/>
    <d v="2025-01-24T00:00:00"/>
    <x v="0"/>
    <n v="2"/>
    <s v="Uros Jablanov"/>
    <m/>
  </r>
  <r>
    <x v="35"/>
    <x v="0"/>
    <x v="2"/>
    <s v="D00120600000000 HTM Development"/>
    <s v="P000001235"/>
    <s v="P000001235"/>
    <s v="Non-LFF"/>
    <s v=""/>
    <m/>
    <b v="1"/>
    <x v="3"/>
    <x v="1"/>
    <d v="2025-01-22T11:56:02"/>
    <d v="2025-01-24T00:00:00"/>
    <d v="2025-01-24T00:00:00"/>
    <x v="0"/>
    <n v="2"/>
    <s v="Uros Jablanov"/>
    <m/>
  </r>
  <r>
    <x v="35"/>
    <x v="0"/>
    <x v="2"/>
    <s v="D00120700000000 TMM Research &amp; Development"/>
    <s v="P000001236"/>
    <s v="P000001236"/>
    <s v="Non-LFF"/>
    <s v=""/>
    <m/>
    <b v="1"/>
    <x v="3"/>
    <x v="1"/>
    <d v="2025-01-22T11:56:02"/>
    <d v="2025-01-24T00:00:00"/>
    <d v="2025-01-24T00:00:00"/>
    <x v="0"/>
    <n v="2"/>
    <s v="Uros Jablanov"/>
    <m/>
  </r>
  <r>
    <x v="35"/>
    <x v="0"/>
    <x v="2"/>
    <s v="D00121500000000 OLED R&amp;D CrossCharge"/>
    <s v="P000001222"/>
    <s v="P000001222"/>
    <s v="Non-LFF"/>
    <s v=""/>
    <m/>
    <b v="1"/>
    <x v="3"/>
    <x v="1"/>
    <d v="2025-01-22T11:56:02"/>
    <d v="2025-01-24T00:00:00"/>
    <d v="2025-01-24T00:00:00"/>
    <x v="0"/>
    <n v="2"/>
    <s v="Uros Jablanov"/>
    <m/>
  </r>
  <r>
    <x v="35"/>
    <x v="0"/>
    <x v="2"/>
    <s v="D00121600000000 OT R&amp;D CrossCharge"/>
    <s v="P000001243"/>
    <s v="P000001243"/>
    <s v="Non-LFF"/>
    <s v=""/>
    <m/>
    <b v="1"/>
    <x v="3"/>
    <x v="1"/>
    <d v="2025-01-22T11:56:02"/>
    <d v="2025-01-24T00:00:00"/>
    <d v="2025-01-24T00:00:00"/>
    <x v="0"/>
    <n v="2"/>
    <s v="Uros Jablanov"/>
    <m/>
  </r>
  <r>
    <x v="35"/>
    <x v="0"/>
    <x v="2"/>
    <s v="D00121800000000 DPM R&amp;D CrossCharge"/>
    <s v="P000001209"/>
    <s v="P000001209"/>
    <s v="Non-LFF"/>
    <s v=""/>
    <m/>
    <b v="1"/>
    <x v="3"/>
    <x v="1"/>
    <d v="2025-01-22T11:56:02"/>
    <d v="2025-01-24T00:00:00"/>
    <d v="2025-01-24T00:00:00"/>
    <x v="0"/>
    <n v="2"/>
    <s v="Uros Jablanov"/>
    <m/>
  </r>
  <r>
    <x v="35"/>
    <x v="0"/>
    <x v="2"/>
    <s v="D00123600000000 LGD-OLED-mobile-RSP"/>
    <s v="P000001232"/>
    <s v="P000001232"/>
    <s v="Non-LFF"/>
    <s v=""/>
    <m/>
    <b v="1"/>
    <x v="3"/>
    <x v="1"/>
    <d v="2025-01-22T11:56:02"/>
    <d v="2025-01-24T00:00:00"/>
    <d v="2025-01-24T00:00:00"/>
    <x v="0"/>
    <n v="2"/>
    <s v="Uros Jablanov"/>
    <m/>
  </r>
  <r>
    <x v="35"/>
    <x v="0"/>
    <x v="2"/>
    <s v="D00123700000000 LGD-OLED-mobile-RSP"/>
    <s v="P000001232"/>
    <s v="P000001232"/>
    <s v="Non-LFF"/>
    <s v=""/>
    <m/>
    <b v="1"/>
    <x v="3"/>
    <x v="1"/>
    <d v="2025-01-22T11:56:02"/>
    <d v="2025-01-24T00:00:00"/>
    <d v="2025-01-24T00:00:00"/>
    <x v="0"/>
    <n v="2"/>
    <s v="Uros Jablanov"/>
    <m/>
  </r>
  <r>
    <x v="35"/>
    <x v="0"/>
    <x v="2"/>
    <s v="D00123800000000 LGD-OLED-TV-WBE-B9"/>
    <s v="P000001232"/>
    <s v="P000001232"/>
    <s v="Non-LFF"/>
    <s v=""/>
    <m/>
    <b v="1"/>
    <x v="3"/>
    <x v="1"/>
    <d v="2025-01-22T11:56:02"/>
    <d v="2025-01-24T00:00:00"/>
    <d v="2025-01-24T00:00:00"/>
    <x v="0"/>
    <n v="2"/>
    <s v="Uros Jablanov"/>
    <m/>
  </r>
  <r>
    <x v="35"/>
    <x v="0"/>
    <x v="2"/>
    <s v="D00123900000000 LGD-OLED-TV-WBE-B9"/>
    <s v="P000001232"/>
    <s v="P000001232"/>
    <s v="Non-LFF"/>
    <s v=""/>
    <m/>
    <b v="1"/>
    <x v="3"/>
    <x v="1"/>
    <d v="2025-01-22T11:56:02"/>
    <d v="2025-01-24T00:00:00"/>
    <d v="2025-01-24T00:00:00"/>
    <x v="0"/>
    <n v="2"/>
    <s v="Uros Jablanov"/>
    <m/>
  </r>
  <r>
    <x v="36"/>
    <x v="0"/>
    <x v="2"/>
    <s v="CSCALA_1786$704_114"/>
    <s v="H000000965"/>
    <s v="H000000965"/>
    <s v="Non-LFF"/>
    <s v=""/>
    <m/>
    <b v="1"/>
    <x v="1"/>
    <x v="1"/>
    <d v="2025-01-23T13:54:16"/>
    <d v="2025-01-24T00:00:00"/>
    <d v="2025-01-24T00:00:00"/>
    <x v="0"/>
    <n v="1"/>
    <s v="Henry Ifurung Jr."/>
    <m/>
  </r>
  <r>
    <x v="36"/>
    <x v="0"/>
    <x v="2"/>
    <s v="CSCALA_1786$704_116"/>
    <s v="H000000965"/>
    <s v="H000000965"/>
    <s v="Non-LFF"/>
    <s v=""/>
    <m/>
    <b v="1"/>
    <x v="1"/>
    <x v="1"/>
    <d v="2025-01-23T13:54:16"/>
    <d v="2025-01-24T00:00:00"/>
    <d v="2025-01-24T00:00:00"/>
    <x v="0"/>
    <n v="1"/>
    <s v="Henry Ifurung Jr."/>
    <m/>
  </r>
  <r>
    <x v="36"/>
    <x v="0"/>
    <x v="4"/>
    <s v="CLFF_1000$$$EG50C01152 Restructuring expenses 8-3217"/>
    <s v="H000000965"/>
    <s v="H000000965"/>
    <s v="LFF (MDG-F)"/>
    <s v="EG50C01152"/>
    <s v="Not found in MDGF"/>
    <b v="1"/>
    <x v="1"/>
    <x v="1"/>
    <d v="2025-01-23T13:54:16"/>
    <m/>
    <d v="2025-01-24T00:00:00"/>
    <x v="0"/>
    <n v="1"/>
    <s v="Henry Ifurung Jr."/>
    <e v="#REF!"/>
  </r>
  <r>
    <x v="36"/>
    <x v="0"/>
    <x v="2"/>
    <s v="CSCALA_1786$0000000704 3110250000 Internal sales service expenses/BF-Y1; Adjustment"/>
    <s v="H000000965"/>
    <s v="H000000965"/>
    <s v="Non-LFF"/>
    <s v=""/>
    <m/>
    <b v="1"/>
    <x v="1"/>
    <x v="1"/>
    <d v="2025-01-23T13:54:16"/>
    <d v="2025-01-24T00:00:00"/>
    <d v="2025-01-24T00:00:00"/>
    <x v="0"/>
    <n v="1"/>
    <s v="Henry Ifurung Jr."/>
    <m/>
  </r>
  <r>
    <x v="37"/>
    <x v="0"/>
    <x v="2"/>
    <s v="CTEMPLA_1000UY10010031 Customer Service"/>
    <s v="H000000598"/>
    <s v="H000000598"/>
    <s v="Non-LFF"/>
    <s v=""/>
    <m/>
    <b v="1"/>
    <x v="1"/>
    <x v="1"/>
    <d v="2025-01-23T13:54:16"/>
    <d v="2025-01-24T00:00:00"/>
    <d v="2025-01-24T00:00:00"/>
    <x v="0"/>
    <n v="1"/>
    <s v="Henry Ifurung Jr."/>
    <m/>
  </r>
  <r>
    <x v="38"/>
    <x v="0"/>
    <x v="2"/>
    <s v="CTEMPNA_1000US12MBHR01"/>
    <s v="G000000199"/>
    <s v="G000000199"/>
    <s v="Non-LFF"/>
    <s v=""/>
    <s v="Successfully loaded to 2025."/>
    <b v="1"/>
    <x v="0"/>
    <x v="1"/>
    <d v="2025-01-24T08:45:21"/>
    <d v="2025-01-31T00:00:00"/>
    <d v="2025-01-31T00:00:00"/>
    <x v="0"/>
    <n v="5"/>
    <s v="Jojeff Tagnong"/>
    <m/>
  </r>
  <r>
    <x v="38"/>
    <x v="0"/>
    <x v="2"/>
    <s v="CTEMPNA_1000US12MBPO01"/>
    <s v="G000000218"/>
    <s v="G000000218"/>
    <s v="Non-LFF"/>
    <s v=""/>
    <s v="Successfully loaded to 2025."/>
    <b v="1"/>
    <x v="0"/>
    <x v="1"/>
    <d v="2025-01-24T08:45:21"/>
    <d v="2025-01-31T00:00:00"/>
    <d v="2025-01-31T00:00:00"/>
    <x v="0"/>
    <n v="5"/>
    <s v="Jojeff Tagnong"/>
    <m/>
  </r>
  <r>
    <x v="38"/>
    <x v="0"/>
    <x v="2"/>
    <s v="CTEMPNA_1000US12MBSGSD"/>
    <s v="G000001181"/>
    <s v="G000001181"/>
    <s v="Non-LFF"/>
    <s v=""/>
    <s v="Successfully loaded to 2025."/>
    <b v="1"/>
    <x v="0"/>
    <x v="1"/>
    <d v="2025-01-24T08:45:21"/>
    <d v="2025-01-31T00:00:00"/>
    <d v="2025-01-31T00:00:00"/>
    <x v="0"/>
    <n v="5"/>
    <s v="Jojeff Tagnong"/>
    <m/>
  </r>
  <r>
    <x v="38"/>
    <x v="0"/>
    <x v="2"/>
    <s v="CTEMPNA_1000CA20MBSGSD"/>
    <s v="G000001181"/>
    <s v="G000001181"/>
    <s v="Non-LFF"/>
    <s v=""/>
    <s v="Successfully loaded to 2025."/>
    <b v="1"/>
    <x v="0"/>
    <x v="1"/>
    <d v="2025-01-24T08:45:21"/>
    <d v="2025-01-31T00:00:00"/>
    <d v="2025-01-31T00:00:00"/>
    <x v="0"/>
    <n v="5"/>
    <s v="Jojeff Tagnong"/>
    <m/>
  </r>
  <r>
    <x v="38"/>
    <x v="0"/>
    <x v="2"/>
    <s v="CTEMPNA_1000US30MBSGSD"/>
    <s v="G000001181"/>
    <s v="G000001181"/>
    <s v="Non-LFF"/>
    <s v=""/>
    <s v="Successfully loaded to 2025."/>
    <b v="1"/>
    <x v="0"/>
    <x v="1"/>
    <d v="2025-01-24T08:45:21"/>
    <d v="2025-01-31T00:00:00"/>
    <d v="2025-01-31T00:00:00"/>
    <x v="0"/>
    <n v="5"/>
    <s v="Jojeff Tagnong"/>
    <m/>
  </r>
  <r>
    <x v="38"/>
    <x v="0"/>
    <x v="2"/>
    <s v="CTEMPNA_1000US20MBSGSD"/>
    <s v="G000001181"/>
    <s v="G000001181"/>
    <s v="Non-LFF"/>
    <s v=""/>
    <s v="Successfully loaded to 2025."/>
    <b v="1"/>
    <x v="0"/>
    <x v="1"/>
    <d v="2025-01-24T08:45:21"/>
    <d v="2025-01-31T00:00:00"/>
    <d v="2025-01-31T00:00:00"/>
    <x v="0"/>
    <n v="5"/>
    <s v="Jojeff Tagnong"/>
    <m/>
  </r>
  <r>
    <x v="38"/>
    <x v="0"/>
    <x v="2"/>
    <s v="CTEMPNA_1000US15MBSGSD"/>
    <s v="G000001181"/>
    <s v="G000001181"/>
    <s v="Non-LFF"/>
    <s v=""/>
    <s v="Successfully loaded to 2025."/>
    <b v="1"/>
    <x v="0"/>
    <x v="1"/>
    <d v="2025-01-24T08:45:21"/>
    <d v="2025-01-31T00:00:00"/>
    <d v="2025-01-31T00:00:00"/>
    <x v="0"/>
    <n v="5"/>
    <s v="Jojeff Tagnong"/>
    <m/>
  </r>
  <r>
    <x v="38"/>
    <x v="0"/>
    <x v="2"/>
    <s v="CSCALA_1025$CFO CFO COST CHARGING"/>
    <s v="G000000637"/>
    <s v="G000000637"/>
    <s v="Non-LFF"/>
    <s v=""/>
    <s v="Successfully loaded to 2025."/>
    <b v="1"/>
    <x v="0"/>
    <x v="1"/>
    <d v="2025-01-24T08:45:21"/>
    <d v="2025-01-31T00:00:00"/>
    <d v="2025-01-31T00:00:00"/>
    <x v="0"/>
    <n v="5"/>
    <s v="Jojeff Tagnong"/>
    <m/>
  </r>
  <r>
    <x v="38"/>
    <x v="0"/>
    <x v="2"/>
    <s v="CTEMPEU_1000PL80GFO018 ABP"/>
    <s v="G000001174"/>
    <s v="G000001174"/>
    <s v="Non-LFF"/>
    <s v=""/>
    <s v="Successfully loaded to 2025."/>
    <b v="1"/>
    <x v="0"/>
    <x v="1"/>
    <d v="2025-01-24T08:45:21"/>
    <d v="2025-01-31T00:00:00"/>
    <d v="2025-01-31T00:00:00"/>
    <x v="0"/>
    <n v="5"/>
    <s v="Jojeff Tagnong"/>
    <m/>
  </r>
  <r>
    <x v="39"/>
    <x v="0"/>
    <x v="2"/>
    <s v="CVRSM_VMCA$$KR07DB3307 PM Fleet Deprec"/>
    <s v="P000000923"/>
    <s v="P000000923"/>
    <s v="LFF (MDG-F)"/>
    <s v="KR07DB3307"/>
    <s v="Successfully loaded to 2025."/>
    <b v="1"/>
    <x v="0"/>
    <x v="1"/>
    <d v="2025-01-24T12:39:05"/>
    <m/>
    <m/>
    <x v="1"/>
    <n v="235"/>
    <s v="Eivy Denine Cruz"/>
    <m/>
  </r>
  <r>
    <x v="39"/>
    <x v="0"/>
    <x v="2"/>
    <s v="CVRSM_VMCA$$KR07DB3305 AM Fleet Deprec"/>
    <s v="P000000805"/>
    <s v="P000000805"/>
    <s v="LFF (MDG-F)"/>
    <s v="KR07DB3305"/>
    <s v="Successfully loaded to 2025."/>
    <b v="1"/>
    <x v="0"/>
    <x v="1"/>
    <d v="2025-01-24T12:39:05"/>
    <m/>
    <m/>
    <x v="1"/>
    <n v="235"/>
    <s v="Eivy Denine Cruz"/>
    <m/>
  </r>
  <r>
    <x v="39"/>
    <x v="0"/>
    <x v="2"/>
    <s v="CVRSM_VMCA$$US10DB3015 NA PM WF6 Fleet"/>
    <s v="P000000932"/>
    <s v="P000000932"/>
    <s v="LFF (MDG-F)"/>
    <s v="US10DB3015"/>
    <s v="Successfully loaded to 2025."/>
    <b v="1"/>
    <x v="0"/>
    <x v="1"/>
    <d v="2025-01-24T12:39:05"/>
    <m/>
    <m/>
    <x v="1"/>
    <n v="235"/>
    <s v="Eivy Denine Cruz"/>
    <m/>
  </r>
  <r>
    <x v="39"/>
    <x v="0"/>
    <x v="2"/>
    <s v="CVRSM_VMCA$$US10DB3018 NA Distribution"/>
    <s v="P000000932"/>
    <s v="P000000932"/>
    <s v="LFF (MDG-F)"/>
    <s v="US10DB3018"/>
    <s v="Successfully loaded to 2025."/>
    <b v="1"/>
    <x v="0"/>
    <x v="1"/>
    <d v="2025-01-24T12:39:05"/>
    <m/>
    <m/>
    <x v="1"/>
    <n v="235"/>
    <s v="Eivy Denine Cruz"/>
    <m/>
  </r>
  <r>
    <x v="39"/>
    <x v="0"/>
    <x v="2"/>
    <s v="CVRSM_VMCA$$US10DB3019 NA Distribution"/>
    <s v="P000000932"/>
    <s v="P000000932"/>
    <s v="LFF (MDG-F)"/>
    <s v="US10DB3019"/>
    <s v="Successfully loaded to 2025."/>
    <b v="1"/>
    <x v="0"/>
    <x v="1"/>
    <d v="2025-01-24T12:39:05"/>
    <m/>
    <m/>
    <x v="1"/>
    <n v="235"/>
    <s v="Eivy Denine Cruz"/>
    <m/>
  </r>
  <r>
    <x v="39"/>
    <x v="0"/>
    <x v="2"/>
    <s v="CVRSM_VMCA$$US10DB3010 NA AM Fleet"/>
    <s v="P000000818"/>
    <s v="P000000818"/>
    <s v="LFF (MDG-F)"/>
    <s v="US10DB3010"/>
    <s v="Successfully loaded to 2025."/>
    <b v="1"/>
    <x v="0"/>
    <x v="1"/>
    <d v="2025-01-24T12:39:05"/>
    <m/>
    <m/>
    <x v="1"/>
    <n v="235"/>
    <s v="Eivy Denine Cruz"/>
    <m/>
  </r>
  <r>
    <x v="39"/>
    <x v="0"/>
    <x v="2"/>
    <s v="CVRSM_VMCA$$KR16DB3301 Fleet Depreciation"/>
    <s v="P000000905"/>
    <s v="P000000905"/>
    <s v="LFF (MDG-F)"/>
    <s v="KR16DB3301"/>
    <s v="Successfully loaded to 2025."/>
    <b v="1"/>
    <x v="0"/>
    <x v="1"/>
    <d v="2025-01-24T12:39:05"/>
    <m/>
    <m/>
    <x v="1"/>
    <n v="235"/>
    <s v="Eivy Denine Cruz"/>
    <m/>
  </r>
  <r>
    <x v="39"/>
    <x v="0"/>
    <x v="2"/>
    <s v="CVRSM_VMCA$$KR15DB3300 PM NH3 Fleet Deprec"/>
    <s v="P000000914"/>
    <s v="P000000914"/>
    <s v="LFF (MDG-F)"/>
    <s v="KR15DB3300"/>
    <s v="Successfully loaded to 2025."/>
    <b v="1"/>
    <x v="0"/>
    <x v="1"/>
    <d v="2025-01-24T12:39:05"/>
    <m/>
    <m/>
    <x v="1"/>
    <n v="235"/>
    <s v="Eivy Denine Cruz"/>
    <m/>
  </r>
  <r>
    <x v="39"/>
    <x v="0"/>
    <x v="2"/>
    <s v="CVRSM_VMCA$$KR15DB3302 PM NF3 Fleet Deprec"/>
    <s v="P000000914"/>
    <s v="P000000914"/>
    <s v="LFF (MDG-F)"/>
    <s v="KR15DB3302"/>
    <s v="Successfully loaded to 2025."/>
    <b v="1"/>
    <x v="0"/>
    <x v="1"/>
    <d v="2025-01-24T12:39:05"/>
    <m/>
    <m/>
    <x v="1"/>
    <n v="235"/>
    <s v="Eivy Denine Cruz"/>
    <m/>
  </r>
  <r>
    <x v="39"/>
    <x v="0"/>
    <x v="2"/>
    <s v="CVRSM_VMCA$$KR15DB3307 AM Fleet Depreciation"/>
    <s v="P000000923"/>
    <s v="P000000923"/>
    <s v="LFF (MDG-F)"/>
    <s v="KR15DB3307"/>
    <s v="Successfully loaded to 2025."/>
    <b v="1"/>
    <x v="0"/>
    <x v="1"/>
    <d v="2025-01-24T12:39:05"/>
    <m/>
    <m/>
    <x v="1"/>
    <n v="235"/>
    <s v="Eivy Denine Cruz"/>
    <m/>
  </r>
  <r>
    <x v="39"/>
    <x v="0"/>
    <x v="2"/>
    <s v="CVRSM_VMCA$$TW10DB3302 Taiwan PM Fleet"/>
    <s v="P000000943"/>
    <s v="P000000943"/>
    <s v="LFF (MDG-F)"/>
    <s v="TW10DB3302"/>
    <s v="Successfully loaded to 2025."/>
    <b v="1"/>
    <x v="0"/>
    <x v="1"/>
    <d v="2025-01-24T12:39:05"/>
    <m/>
    <m/>
    <x v="1"/>
    <n v="235"/>
    <s v="Eivy Denine Cruz"/>
    <m/>
  </r>
  <r>
    <x v="40"/>
    <x v="0"/>
    <x v="2"/>
    <s v="CEMERAL_70006101P13202 PS APAC Commercial"/>
    <s v="L000006770"/>
    <s v="L000006770"/>
    <s v="Non-LFF"/>
    <s v=""/>
    <m/>
    <b v="1"/>
    <x v="2"/>
    <x v="1"/>
    <d v="2025-01-24T14:38:40"/>
    <d v="2025-01-31T00:00:00"/>
    <d v="2025-01-31T00:00:00"/>
    <x v="0"/>
    <n v="5"/>
    <s v="Lakshmi Shree"/>
    <m/>
  </r>
  <r>
    <x v="41"/>
    <x v="0"/>
    <x v="2"/>
    <s v="CNOW_7210$$$0000020058 "/>
    <s v="L000013800"/>
    <s v="L000013800"/>
    <s v="Non-LFF"/>
    <s v=""/>
    <m/>
    <b v="1"/>
    <x v="2"/>
    <x v="1"/>
    <d v="2025-01-28T08:07:13"/>
    <d v="2025-01-31T00:00:00"/>
    <d v="2025-01-31T00:00:00"/>
    <x v="0"/>
    <n v="3"/>
    <s v="Joan Rose Pena"/>
    <m/>
  </r>
  <r>
    <x v="41"/>
    <x v="0"/>
    <x v="2"/>
    <s v="CNOW_7210$$$0000020057 "/>
    <s v="L000013802"/>
    <s v="L000013802"/>
    <s v="Non-LFF"/>
    <s v=""/>
    <m/>
    <b v="1"/>
    <x v="2"/>
    <x v="1"/>
    <d v="2025-01-28T08:07:13"/>
    <d v="2025-01-31T00:00:00"/>
    <d v="2025-01-31T00:00:00"/>
    <x v="0"/>
    <n v="3"/>
    <s v="Joan Rose Pena"/>
    <m/>
  </r>
  <r>
    <x v="41"/>
    <x v="0"/>
    <x v="2"/>
    <s v="CNOW_7210$$$P551015412"/>
    <s v="L000009473"/>
    <s v="L000009473"/>
    <s v="Non-LFF"/>
    <s v=""/>
    <m/>
    <b v="1"/>
    <x v="2"/>
    <x v="1"/>
    <d v="2025-01-28T08:07:13"/>
    <d v="2025-01-31T00:00:00"/>
    <d v="2025-01-31T00:00:00"/>
    <x v="0"/>
    <n v="3"/>
    <s v="Joan Rose Pena"/>
    <m/>
  </r>
  <r>
    <x v="41"/>
    <x v="0"/>
    <x v="2"/>
    <s v="D30011400000000 PES Concentration Device Family"/>
    <s v="L000009196"/>
    <s v="L000009196"/>
    <s v="Non-LFF"/>
    <s v=""/>
    <m/>
    <b v="1"/>
    <x v="2"/>
    <x v="1"/>
    <d v="2025-01-28T08:07:13"/>
    <d v="2025-01-31T00:00:00"/>
    <d v="2025-01-31T00:00:00"/>
    <x v="0"/>
    <n v="3"/>
    <s v="Joan Rose Pena"/>
    <m/>
  </r>
  <r>
    <x v="41"/>
    <x v="0"/>
    <x v="2"/>
    <s v="CNOW_7210$$$0000051458 "/>
    <s v="L000013391"/>
    <s v="L000013391"/>
    <s v="Non-LFF"/>
    <s v=""/>
    <m/>
    <b v="1"/>
    <x v="2"/>
    <x v="1"/>
    <d v="2025-01-28T08:07:13"/>
    <d v="2025-01-31T00:00:00"/>
    <d v="2025-01-31T00:00:00"/>
    <x v="0"/>
    <n v="3"/>
    <s v="Joan Rose Pena"/>
    <m/>
  </r>
  <r>
    <x v="41"/>
    <x v="0"/>
    <x v="2"/>
    <s v="IEMERAL_000009101239 "/>
    <s v="L000009306"/>
    <s v="L000009306"/>
    <s v="Non-LFF"/>
    <s v=""/>
    <m/>
    <b v="1"/>
    <x v="2"/>
    <x v="1"/>
    <d v="2025-01-28T08:07:13"/>
    <d v="2025-01-31T00:00:00"/>
    <d v="2025-01-31T00:00:00"/>
    <x v="0"/>
    <n v="3"/>
    <s v="Joan Rose Pena"/>
    <m/>
  </r>
  <r>
    <x v="42"/>
    <x v="0"/>
    <x v="2"/>
    <s v="CTEMPLA_1000PE10170105 Fertility Reimbursement"/>
    <s v="H000000340"/>
    <s v="H000000340"/>
    <s v="Non-LFF"/>
    <s v=""/>
    <m/>
    <b v="1"/>
    <x v="1"/>
    <x v="1"/>
    <d v="2025-01-28T12:03:45"/>
    <d v="2025-01-31T00:00:00"/>
    <d v="2025-01-31T00:00:00"/>
    <x v="0"/>
    <n v="3"/>
    <s v="Natasha Hazel Aliado"/>
    <m/>
  </r>
  <r>
    <x v="43"/>
    <x v="0"/>
    <x v="2"/>
    <s v="CLFF_1000$$$DE50TODA13"/>
    <s v="H000004262"/>
    <s v="H000004262"/>
    <s v="LFF (MDG-F)"/>
    <s v="DE50TODA13"/>
    <m/>
    <b v="1"/>
    <x v="1"/>
    <x v="1"/>
    <d v="2025-01-30T12:47:25"/>
    <m/>
    <m/>
    <x v="1"/>
    <n v="231"/>
    <s v="Volker Ogan"/>
    <m/>
  </r>
  <r>
    <x v="44"/>
    <x v="0"/>
    <x v="2"/>
    <s v="CPRJ-9820240010 MA8 T228 6828a Payload Synthesis"/>
    <s v="L000011470"/>
    <s v="L000011470"/>
    <s v="Non-LFF"/>
    <s v=""/>
    <m/>
    <b v="1"/>
    <x v="2"/>
    <x v="1"/>
    <d v="2025-01-30T14:25:07"/>
    <d v="2025-02-03T00:00:00"/>
    <d v="2025-02-03T00:00:00"/>
    <x v="0"/>
    <n v="2"/>
    <s v="Joan Rose Pena"/>
    <m/>
  </r>
  <r>
    <x v="44"/>
    <x v="0"/>
    <x v="2"/>
    <s v="CSCALA_1042$LSCC "/>
    <s v="L000008471"/>
    <s v="L000008471"/>
    <s v="Non-LFF"/>
    <s v=""/>
    <m/>
    <b v="1"/>
    <x v="2"/>
    <x v="1"/>
    <d v="2025-01-30T14:25:07"/>
    <d v="2025-02-03T00:00:00"/>
    <d v="2025-02-03T00:00:00"/>
    <x v="0"/>
    <n v="2"/>
    <s v="Joan Rose Pena"/>
    <m/>
  </r>
  <r>
    <x v="44"/>
    <x v="0"/>
    <x v="2"/>
    <s v="CEMERAL_70007001184363 "/>
    <s v="L000008471"/>
    <s v="L000008471"/>
    <s v="Non-LFF"/>
    <s v=""/>
    <m/>
    <b v="1"/>
    <x v="2"/>
    <x v="1"/>
    <d v="2025-01-30T14:25:07"/>
    <d v="2025-02-03T00:00:00"/>
    <d v="2025-02-03T00:00:00"/>
    <x v="0"/>
    <n v="2"/>
    <s v="Joan Rose Pena"/>
    <m/>
  </r>
  <r>
    <x v="44"/>
    <x v="0"/>
    <x v="2"/>
    <s v="CFLTFLE_1044LSCL "/>
    <s v="L000008471"/>
    <s v="L000008471"/>
    <s v="Non-LFF"/>
    <s v=""/>
    <m/>
    <b v="1"/>
    <x v="2"/>
    <x v="1"/>
    <d v="2025-01-30T14:25:07"/>
    <d v="2025-02-03T00:00:00"/>
    <d v="2025-02-03T00:00:00"/>
    <x v="0"/>
    <n v="2"/>
    <s v="Joan Rose Pena"/>
    <m/>
  </r>
  <r>
    <x v="44"/>
    <x v="0"/>
    <x v="2"/>
    <s v="CEMERAL_70006302991410 "/>
    <s v="L000008471"/>
    <s v="L000008471"/>
    <s v="Non-LFF"/>
    <s v=""/>
    <m/>
    <b v="1"/>
    <x v="2"/>
    <x v="1"/>
    <d v="2025-01-30T14:25:07"/>
    <d v="2025-02-03T00:00:00"/>
    <d v="2025-02-03T00:00:00"/>
    <x v="0"/>
    <n v="2"/>
    <s v="Joan Rose Pena"/>
    <m/>
  </r>
  <r>
    <x v="44"/>
    <x v="0"/>
    <x v="2"/>
    <s v="CSCALA_1042$RARE "/>
    <s v="L000008471"/>
    <s v="L000008471"/>
    <s v="Non-LFF"/>
    <s v=""/>
    <m/>
    <b v="1"/>
    <x v="2"/>
    <x v="1"/>
    <d v="2025-01-30T14:25:07"/>
    <d v="2025-02-03T00:00:00"/>
    <d v="2025-02-03T00:00:00"/>
    <x v="0"/>
    <n v="2"/>
    <s v="Joan Rose Pena"/>
    <m/>
  </r>
  <r>
    <x v="45"/>
    <x v="0"/>
    <x v="2"/>
    <s v="RD242006 Shushan in-house Ce for STI slurry"/>
    <s v="P000001016"/>
    <s v="P000001016"/>
    <s v="Non-LFF"/>
    <s v=""/>
    <m/>
    <b v="1"/>
    <x v="0"/>
    <x v="1"/>
    <d v="2025-01-30T14:44:41"/>
    <d v="2025-02-03T00:00:00"/>
    <d v="2025-02-03T00:00:00"/>
    <x v="0"/>
    <n v="2"/>
    <s v="Eivy Denine Cruz"/>
    <m/>
  </r>
  <r>
    <x v="46"/>
    <x v="0"/>
    <x v="2"/>
    <s v="CFLTFLE_10550000002580 Facilities and building charge out"/>
    <s v="H000000325"/>
    <s v="H000000325"/>
    <s v="Non-LFF"/>
    <s v=""/>
    <m/>
    <b v="1"/>
    <x v="1"/>
    <x v="1"/>
    <d v="2025-01-31T12:34:35"/>
    <d v="2025-02-03T00:00:00"/>
    <d v="2025-02-03T00:00:00"/>
    <x v="0"/>
    <n v="1"/>
    <s v="Rayneil Reas"/>
    <m/>
  </r>
  <r>
    <x v="46"/>
    <x v="0"/>
    <x v="2"/>
    <s v="CTEMPEU_1000TR10MS4214 52-Promo Marketing"/>
    <s v="H000000319"/>
    <s v="H000000319"/>
    <s v="Non-LFF"/>
    <s v=""/>
    <m/>
    <b v="1"/>
    <x v="1"/>
    <x v="1"/>
    <d v="2025-01-31T12:34:35"/>
    <d v="2025-02-03T00:00:00"/>
    <d v="2025-02-03T00:00:00"/>
    <x v="0"/>
    <n v="1"/>
    <s v="Rayneil Reas"/>
    <m/>
  </r>
  <r>
    <x v="46"/>
    <x v="0"/>
    <x v="2"/>
    <s v="PLEAN_X310181TN5013200 BAVENCIO promotion costs GL"/>
    <s v="H000000262"/>
    <s v="H000000262"/>
    <s v="Non-LFF"/>
    <s v=""/>
    <m/>
    <b v="1"/>
    <x v="1"/>
    <x v="1"/>
    <d v="2025-01-31T12:34:35"/>
    <d v="2025-02-03T00:00:00"/>
    <d v="2025-02-03T00:00:00"/>
    <x v="0"/>
    <n v="1"/>
    <s v="Rayneil Reas"/>
    <m/>
  </r>
  <r>
    <x v="46"/>
    <x v="0"/>
    <x v="2"/>
    <s v="PLEAN_X310201AE5010203 SP PROM MAT-KW-FERT"/>
    <s v="H000002969"/>
    <s v="H000002969"/>
    <s v="Non-LFF"/>
    <s v=""/>
    <m/>
    <b v="1"/>
    <x v="1"/>
    <x v="1"/>
    <d v="2025-01-31T12:34:35"/>
    <d v="2025-02-03T00:00:00"/>
    <d v="2025-02-03T00:00:00"/>
    <x v="0"/>
    <n v="1"/>
    <s v="Rayneil Reas"/>
    <m/>
  </r>
  <r>
    <x v="46"/>
    <x v="0"/>
    <x v="2"/>
    <s v="PLEAN_X310201AE5010205 SP PROM MAT-QA-FERT"/>
    <s v="H000002969"/>
    <s v="H000002969"/>
    <s v="Non-LFF"/>
    <s v=""/>
    <m/>
    <b v="1"/>
    <x v="1"/>
    <x v="1"/>
    <d v="2025-01-31T12:34:35"/>
    <d v="2025-02-03T00:00:00"/>
    <d v="2025-02-03T00:00:00"/>
    <x v="0"/>
    <n v="1"/>
    <s v="Rayneil Reas"/>
    <m/>
  </r>
  <r>
    <x v="46"/>
    <x v="0"/>
    <x v="2"/>
    <s v="PLEAN_X310201AE5030504 SP REG-EA-FERT"/>
    <s v="H000000277"/>
    <s v="H000000277"/>
    <s v="Non-LFF"/>
    <s v=""/>
    <m/>
    <b v="1"/>
    <x v="1"/>
    <x v="1"/>
    <d v="2025-01-31T12:34:35"/>
    <d v="2025-02-03T00:00:00"/>
    <d v="2025-02-03T00:00:00"/>
    <x v="0"/>
    <n v="1"/>
    <s v="Rayneil Reas"/>
    <m/>
  </r>
  <r>
    <x v="46"/>
    <x v="0"/>
    <x v="2"/>
    <s v="PLEAN_X310201MA5013216 Sponsorship ISIVIF (SMMR)"/>
    <s v="H000000286"/>
    <s v="H000000286"/>
    <s v="Non-LFF"/>
    <s v=""/>
    <m/>
    <b v="1"/>
    <x v="1"/>
    <x v="1"/>
    <d v="2025-01-31T12:34:35"/>
    <d v="2025-02-03T00:00:00"/>
    <d v="2025-02-03T00:00:00"/>
    <x v="0"/>
    <n v="1"/>
    <s v="Rayneil Reas"/>
    <m/>
  </r>
  <r>
    <x v="46"/>
    <x v="0"/>
    <x v="2"/>
    <s v="PLEAN_X310201TN5013226 Algeria congresses and events"/>
    <s v="H000000262"/>
    <s v="H000000262"/>
    <s v="Non-LFF"/>
    <s v=""/>
    <m/>
    <b v="1"/>
    <x v="1"/>
    <x v="1"/>
    <d v="2025-01-31T12:34:35"/>
    <d v="2025-02-03T00:00:00"/>
    <d v="2025-02-03T00:00:00"/>
    <x v="0"/>
    <n v="1"/>
    <s v="Rayneil Reas"/>
    <m/>
  </r>
  <r>
    <x v="46"/>
    <x v="0"/>
    <x v="2"/>
    <s v="PLEAN_X310201TN6013206 CongrèsnationaldelaSTGOFertilityBiotTN"/>
    <s v="H000000318"/>
    <s v="H000000318"/>
    <s v="Non-LFF"/>
    <s v=""/>
    <m/>
    <b v="1"/>
    <x v="1"/>
    <x v="1"/>
    <d v="2025-01-31T12:34:35"/>
    <d v="2025-02-03T00:00:00"/>
    <d v="2025-02-03T00:00:00"/>
    <x v="0"/>
    <n v="1"/>
    <s v="Rayneil Reas"/>
    <m/>
  </r>
  <r>
    <x v="46"/>
    <x v="0"/>
    <x v="2"/>
    <s v="PLEAN_X310211TN5010200 Hébérgement Atlas de reproduction assist"/>
    <s v="H000000318"/>
    <s v="H000000318"/>
    <s v="Non-LFF"/>
    <s v=""/>
    <m/>
    <b v="1"/>
    <x v="1"/>
    <x v="1"/>
    <d v="2025-01-31T12:34:35"/>
    <d v="2025-02-03T00:00:00"/>
    <d v="2025-02-03T00:00:00"/>
    <x v="0"/>
    <n v="1"/>
    <s v="Rayneil Reas"/>
    <m/>
  </r>
  <r>
    <x v="46"/>
    <x v="0"/>
    <x v="2"/>
    <s v="PLEAN_X310301AE5015207 SP PROM OTHERS-BH-DIAB"/>
    <s v="H000002963"/>
    <s v="H000002963"/>
    <s v="Non-LFF"/>
    <s v=""/>
    <m/>
    <b v="1"/>
    <x v="1"/>
    <x v="1"/>
    <d v="2025-01-31T12:34:35"/>
    <d v="2025-02-03T00:00:00"/>
    <d v="2025-02-03T00:00:00"/>
    <x v="0"/>
    <n v="1"/>
    <s v="Rayneil Reas"/>
    <m/>
  </r>
  <r>
    <x v="46"/>
    <x v="0"/>
    <x v="2"/>
    <s v="PLEAN_X310301AE5030504 SP REG-EA-DIAB"/>
    <s v="H000000277"/>
    <s v="H000000277"/>
    <s v="Non-LFF"/>
    <s v=""/>
    <m/>
    <b v="1"/>
    <x v="1"/>
    <x v="1"/>
    <d v="2025-01-31T12:34:35"/>
    <d v="2025-02-03T00:00:00"/>
    <d v="2025-02-03T00:00:00"/>
    <x v="0"/>
    <n v="1"/>
    <s v="Rayneil Reas"/>
    <m/>
  </r>
  <r>
    <x v="46"/>
    <x v="0"/>
    <x v="2"/>
    <s v="PLEAN_X310301EG5010216 B4 Commercial-EG-Pro. material-Print M."/>
    <s v="H000002944"/>
    <s v="H000002944"/>
    <s v="Non-LFF"/>
    <s v=""/>
    <m/>
    <b v="1"/>
    <x v="1"/>
    <x v="1"/>
    <d v="2025-01-31T12:34:35"/>
    <d v="2025-02-03T00:00:00"/>
    <d v="2025-02-03T00:00:00"/>
    <x v="0"/>
    <n v="1"/>
    <s v="Rayneil Reas"/>
    <m/>
  </r>
  <r>
    <x v="46"/>
    <x v="0"/>
    <x v="2"/>
    <s v="PLEAN_X310301TN5013212 ROUND TABLE &amp; STAFFS"/>
    <s v="H000000258"/>
    <s v="H000000258"/>
    <s v="Non-LFF"/>
    <s v=""/>
    <m/>
    <b v="1"/>
    <x v="1"/>
    <x v="1"/>
    <d v="2025-01-31T12:34:35"/>
    <d v="2025-02-03T00:00:00"/>
    <d v="2025-02-03T00:00:00"/>
    <x v="0"/>
    <n v="1"/>
    <s v="Rayneil Reas"/>
    <m/>
  </r>
  <r>
    <x v="46"/>
    <x v="0"/>
    <x v="2"/>
    <s v="PLEAN_X310511MA5013214 PHEW: special edition"/>
    <s v="H000000286"/>
    <s v="H000000286"/>
    <s v="Non-LFF"/>
    <s v=""/>
    <m/>
    <b v="1"/>
    <x v="1"/>
    <x v="1"/>
    <d v="2025-01-31T12:34:35"/>
    <d v="2025-02-03T00:00:00"/>
    <d v="2025-02-03T00:00:00"/>
    <x v="0"/>
    <n v="1"/>
    <s v="Rayneil Reas"/>
    <m/>
  </r>
  <r>
    <x v="46"/>
    <x v="0"/>
    <x v="2"/>
    <s v="PLEAN_X310511TN5013225 branding : mavenchat"/>
    <s v="H000000318"/>
    <s v="H000000318"/>
    <s v="Non-LFF"/>
    <s v=""/>
    <m/>
    <b v="1"/>
    <x v="1"/>
    <x v="1"/>
    <d v="2025-01-31T12:34:35"/>
    <d v="2025-02-03T00:00:00"/>
    <d v="2025-02-03T00:00:00"/>
    <x v="0"/>
    <n v="1"/>
    <s v="Rayneil Reas"/>
    <m/>
  </r>
  <r>
    <x v="46"/>
    <x v="0"/>
    <x v="2"/>
    <s v="PLEAN_X310511TN5030200 X.310511.TN50.30.200"/>
    <s v="H000000262"/>
    <s v="H000000262"/>
    <s v="Non-LFF"/>
    <s v=""/>
    <m/>
    <b v="1"/>
    <x v="1"/>
    <x v="1"/>
    <d v="2025-01-31T12:34:35"/>
    <d v="2025-02-03T00:00:00"/>
    <d v="2025-02-03T00:00:00"/>
    <x v="0"/>
    <n v="1"/>
    <s v="Rayneil Reas"/>
    <m/>
  </r>
  <r>
    <x v="46"/>
    <x v="0"/>
    <x v="2"/>
    <s v="PLEAN_X310511TN6013204 Journée ANST"/>
    <s v="H000000318"/>
    <s v="H000000318"/>
    <s v="Non-LFF"/>
    <s v=""/>
    <m/>
    <b v="1"/>
    <x v="1"/>
    <x v="1"/>
    <d v="2025-01-31T12:34:35"/>
    <d v="2025-02-03T00:00:00"/>
    <d v="2025-02-03T00:00:00"/>
    <x v="0"/>
    <n v="1"/>
    <s v="Rayneil Reas"/>
    <m/>
  </r>
  <r>
    <x v="47"/>
    <x v="0"/>
    <x v="2"/>
    <s v="CNOW_7210$$$0024063019 "/>
    <s v="L000007200"/>
    <s v="L000007200"/>
    <s v="Non-LFF"/>
    <s v=""/>
    <m/>
    <b v="1"/>
    <x v="2"/>
    <x v="1"/>
    <d v="2025-01-31T15:11:09"/>
    <d v="2025-02-04T00:00:00"/>
    <d v="2025-02-04T00:00:00"/>
    <x v="0"/>
    <n v="2"/>
    <s v="Joan Rose Pena"/>
    <m/>
  </r>
  <r>
    <x v="47"/>
    <x v="0"/>
    <x v="2"/>
    <s v="CNOW_7210$$$0000040107 "/>
    <s v="L000009797"/>
    <s v="L000009797"/>
    <s v="Non-LFF"/>
    <s v=""/>
    <m/>
    <b v="1"/>
    <x v="2"/>
    <x v="1"/>
    <d v="2025-01-31T15:11:09"/>
    <d v="2025-02-04T00:00:00"/>
    <d v="2025-02-04T00:00:00"/>
    <x v="0"/>
    <n v="2"/>
    <s v="Joan Rose Pena"/>
    <m/>
  </r>
  <r>
    <x v="47"/>
    <x v="0"/>
    <x v="2"/>
    <s v="CNOW_7210$$$0000015562 "/>
    <s v="L000013530"/>
    <s v="L000013530"/>
    <s v="Non-LFF"/>
    <s v=""/>
    <m/>
    <b v="1"/>
    <x v="2"/>
    <x v="1"/>
    <d v="2025-01-31T15:11:09"/>
    <d v="2025-02-04T00:00:00"/>
    <d v="2025-02-04T00:00:00"/>
    <x v="0"/>
    <n v="2"/>
    <s v="Joan Rose Pena"/>
    <m/>
  </r>
  <r>
    <x v="47"/>
    <x v="0"/>
    <x v="2"/>
    <s v="CNOW_AUS0$$$0000092059"/>
    <s v="L000011879"/>
    <s v="L000011879"/>
    <s v="Non-LFF"/>
    <s v=""/>
    <m/>
    <b v="1"/>
    <x v="2"/>
    <x v="1"/>
    <d v="2025-01-31T15:11:09"/>
    <d v="2025-02-04T00:00:00"/>
    <d v="2025-02-04T00:00:00"/>
    <x v="0"/>
    <n v="2"/>
    <s v="Joan Rose Pena"/>
    <m/>
  </r>
  <r>
    <x v="47"/>
    <x v="0"/>
    <x v="2"/>
    <s v="CNOW_ROW$$$$0000091828"/>
    <s v="L000011879"/>
    <s v="L000011879"/>
    <s v="Non-LFF"/>
    <s v=""/>
    <m/>
    <b v="1"/>
    <x v="2"/>
    <x v="1"/>
    <d v="2025-01-31T15:11:09"/>
    <d v="2025-02-04T00:00:00"/>
    <d v="2025-02-04T00:00:00"/>
    <x v="0"/>
    <n v="2"/>
    <s v="Joan Rose Pena"/>
    <m/>
  </r>
  <r>
    <x v="47"/>
    <x v="0"/>
    <x v="2"/>
    <s v="CNOW_7210$$$0000059962 "/>
    <s v="L000009357"/>
    <s v="L000009357"/>
    <s v="Non-LFF"/>
    <s v=""/>
    <m/>
    <b v="1"/>
    <x v="2"/>
    <x v="1"/>
    <d v="2025-01-31T15:11:09"/>
    <d v="2025-02-04T00:00:00"/>
    <d v="2025-02-04T00:00:00"/>
    <x v="0"/>
    <n v="2"/>
    <s v="Joan Rose Pena"/>
    <m/>
  </r>
  <r>
    <x v="48"/>
    <x v="0"/>
    <x v="2"/>
    <s v="CLFF_1000$$$DE10523702"/>
    <s v="G000000397"/>
    <s v="G000000397"/>
    <s v="LFF (MDG-F)"/>
    <s v="DE10523702"/>
    <m/>
    <b v="1"/>
    <x v="0"/>
    <x v="1"/>
    <d v="2025-02-02T18:55:16"/>
    <d v="2025-02-04T00:00:00"/>
    <d v="2025-02-04T00:00:00"/>
    <x v="0"/>
    <n v="1"/>
    <s v="Francesco Ricioppo"/>
    <m/>
  </r>
  <r>
    <x v="48"/>
    <x v="0"/>
    <x v="2"/>
    <s v="CLFF_1000$$$DE10575000"/>
    <s v="G000000397"/>
    <s v="G000000397"/>
    <s v="LFF (MDG-F)"/>
    <s v="DE10575000"/>
    <m/>
    <b v="1"/>
    <x v="0"/>
    <x v="1"/>
    <d v="2025-02-02T18:55:16"/>
    <d v="2025-02-04T00:00:00"/>
    <d v="2025-02-04T00:00:00"/>
    <x v="0"/>
    <n v="1"/>
    <s v="Francesco Ricioppo"/>
    <m/>
  </r>
  <r>
    <x v="48"/>
    <x v="0"/>
    <x v="2"/>
    <s v="CLFF_1000$$$DE10575700"/>
    <s v="G000000397"/>
    <s v="G000000397"/>
    <s v="LFF (MDG-F)"/>
    <s v="DE10575700"/>
    <m/>
    <b v="1"/>
    <x v="0"/>
    <x v="1"/>
    <d v="2025-02-02T18:55:16"/>
    <d v="2025-02-04T00:00:00"/>
    <d v="2025-02-04T00:00:00"/>
    <x v="0"/>
    <n v="1"/>
    <s v="Francesco Ricioppo"/>
    <m/>
  </r>
  <r>
    <x v="48"/>
    <x v="0"/>
    <x v="2"/>
    <s v="CLFF_1000$$$DE10577000"/>
    <s v="G000000397"/>
    <s v="G000000397"/>
    <s v="LFF (MDG-F)"/>
    <s v="DE10577000"/>
    <m/>
    <b v="1"/>
    <x v="0"/>
    <x v="1"/>
    <d v="2025-02-02T18:55:16"/>
    <d v="2025-02-04T00:00:00"/>
    <d v="2025-02-04T00:00:00"/>
    <x v="0"/>
    <n v="1"/>
    <s v="Francesco Ricioppo"/>
    <m/>
  </r>
  <r>
    <x v="48"/>
    <x v="0"/>
    <x v="2"/>
    <s v="CLFF_1000$$$DE10671000"/>
    <s v="G000000397"/>
    <s v="G000000397"/>
    <s v="LFF (MDG-F)"/>
    <s v="DE10671000"/>
    <m/>
    <b v="1"/>
    <x v="0"/>
    <x v="1"/>
    <d v="2025-02-02T18:55:16"/>
    <d v="2025-02-04T00:00:00"/>
    <d v="2025-02-04T00:00:00"/>
    <x v="0"/>
    <n v="1"/>
    <s v="Francesco Ricioppo"/>
    <m/>
  </r>
  <r>
    <x v="48"/>
    <x v="0"/>
    <x v="2"/>
    <s v="CLFF_1000$$$DE10575119"/>
    <s v="G000000397"/>
    <s v="G000000397"/>
    <s v="LFF (MDG-F)"/>
    <s v="DE10575119"/>
    <m/>
    <b v="1"/>
    <x v="0"/>
    <x v="1"/>
    <d v="2025-02-02T18:55:16"/>
    <d v="2025-02-04T00:00:00"/>
    <d v="2025-02-04T00:00:00"/>
    <x v="0"/>
    <n v="1"/>
    <s v="Francesco Ricioppo"/>
    <m/>
  </r>
  <r>
    <x v="48"/>
    <x v="0"/>
    <x v="2"/>
    <s v="CLFF_1000$$$DE10575310"/>
    <s v="G000000397"/>
    <s v="G000000397"/>
    <s v="LFF (MDG-F)"/>
    <s v="DE10575310"/>
    <m/>
    <b v="1"/>
    <x v="0"/>
    <x v="1"/>
    <d v="2025-02-02T18:55:16"/>
    <d v="2025-02-04T00:00:00"/>
    <d v="2025-02-04T00:00:00"/>
    <x v="0"/>
    <n v="1"/>
    <s v="Francesco Ricioppo"/>
    <m/>
  </r>
  <r>
    <x v="48"/>
    <x v="0"/>
    <x v="2"/>
    <s v="CLFF_1000$$$DE10675100"/>
    <s v="G000000397"/>
    <s v="G000000397"/>
    <s v="LFF (MDG-F)"/>
    <s v="DE10675100"/>
    <m/>
    <b v="1"/>
    <x v="0"/>
    <x v="1"/>
    <d v="2025-02-02T18:55:16"/>
    <d v="2025-02-04T00:00:00"/>
    <d v="2025-02-04T00:00:00"/>
    <x v="0"/>
    <n v="1"/>
    <s v="Francesco Ricioppo"/>
    <m/>
  </r>
  <r>
    <x v="48"/>
    <x v="0"/>
    <x v="2"/>
    <s v="CLFF_1000$$$DE10598500"/>
    <s v="G000000397"/>
    <s v="G000000397"/>
    <s v="LFF (MDG-F)"/>
    <s v="DE10598500"/>
    <m/>
    <b v="1"/>
    <x v="0"/>
    <x v="1"/>
    <d v="2025-02-02T18:55:16"/>
    <d v="2025-02-04T00:00:00"/>
    <d v="2025-02-04T00:00:00"/>
    <x v="0"/>
    <n v="1"/>
    <s v="Francesco Ricioppo"/>
    <m/>
  </r>
  <r>
    <x v="48"/>
    <x v="0"/>
    <x v="2"/>
    <s v="CLFF_1000$$$DE10598600"/>
    <s v="G000000397"/>
    <s v="G000000397"/>
    <s v="LFF (MDG-F)"/>
    <s v="DE10598600"/>
    <m/>
    <b v="1"/>
    <x v="0"/>
    <x v="1"/>
    <d v="2025-02-02T18:55:16"/>
    <d v="2025-02-04T00:00:00"/>
    <d v="2025-02-04T00:00:00"/>
    <x v="0"/>
    <n v="1"/>
    <s v="Francesco Ricioppo"/>
    <m/>
  </r>
  <r>
    <x v="48"/>
    <x v="0"/>
    <x v="4"/>
    <s v="CLFF_1000$$$DE10698500"/>
    <s v="G000000397"/>
    <s v="G000000397"/>
    <s v="LFF (MDG-F)"/>
    <s v="DE10698500"/>
    <m/>
    <b v="1"/>
    <x v="0"/>
    <x v="1"/>
    <d v="2025-02-02T18:55:16"/>
    <d v="2025-02-04T00:00:00"/>
    <d v="2025-02-04T00:00:00"/>
    <x v="0"/>
    <n v="1"/>
    <s v="Francesco Ricioppo"/>
    <e v="#REF!"/>
  </r>
  <r>
    <x v="48"/>
    <x v="0"/>
    <x v="2"/>
    <s v="CLFF_1000$$$DE10575300"/>
    <s v="G000000397"/>
    <s v="G000000397"/>
    <s v="LFF (MDG-F)"/>
    <s v="DE10575300"/>
    <m/>
    <b v="1"/>
    <x v="0"/>
    <x v="1"/>
    <d v="2025-02-02T18:55:16"/>
    <d v="2025-02-04T00:00:00"/>
    <d v="2025-02-04T00:00:00"/>
    <x v="0"/>
    <n v="1"/>
    <s v="Francesco Ricioppo"/>
    <m/>
  </r>
  <r>
    <x v="48"/>
    <x v="0"/>
    <x v="2"/>
    <s v="CLFF_1000$$$DE10672000"/>
    <s v="G000000397"/>
    <s v="G000000397"/>
    <s v="LFF (MDG-F)"/>
    <s v="DE10672000"/>
    <m/>
    <b v="1"/>
    <x v="0"/>
    <x v="1"/>
    <d v="2025-02-02T18:55:16"/>
    <d v="2025-02-04T00:00:00"/>
    <d v="2025-02-04T00:00:00"/>
    <x v="0"/>
    <n v="1"/>
    <s v="Francesco Ricioppo"/>
    <m/>
  </r>
  <r>
    <x v="49"/>
    <x v="0"/>
    <x v="2"/>
    <s v="CNOW_7210$$$0000020056 "/>
    <s v="L000013802"/>
    <s v="L000013802"/>
    <s v="Non-LFF"/>
    <s v=""/>
    <m/>
    <b v="1"/>
    <x v="2"/>
    <x v="1"/>
    <d v="2025-02-03T08:16:26"/>
    <d v="2025-02-04T00:00:00"/>
    <d v="2025-02-04T00:00:00"/>
    <x v="0"/>
    <n v="1"/>
    <s v="Joan Rose Pena"/>
    <m/>
  </r>
  <r>
    <x v="49"/>
    <x v="0"/>
    <x v="2"/>
    <s v="CNOW_7210$$$0000010298 "/>
    <s v="L000013800"/>
    <s v="L000013800"/>
    <s v="Non-LFF"/>
    <s v=""/>
    <m/>
    <b v="1"/>
    <x v="2"/>
    <x v="1"/>
    <d v="2025-02-03T08:16:26"/>
    <d v="2025-02-04T00:00:00"/>
    <d v="2025-02-04T00:00:00"/>
    <x v="0"/>
    <n v="1"/>
    <s v="Joan Rose Pena"/>
    <m/>
  </r>
  <r>
    <x v="49"/>
    <x v="0"/>
    <x v="2"/>
    <s v="CNOW_7210$$$0000040058 "/>
    <s v="L000013803"/>
    <s v="L000013803"/>
    <s v="Non-LFF"/>
    <s v=""/>
    <m/>
    <b v="1"/>
    <x v="2"/>
    <x v="1"/>
    <d v="2025-02-03T08:16:26"/>
    <d v="2025-02-04T00:00:00"/>
    <d v="2025-02-04T00:00:00"/>
    <x v="0"/>
    <n v="1"/>
    <s v="Joan Rose Pena"/>
    <m/>
  </r>
  <r>
    <x v="49"/>
    <x v="0"/>
    <x v="2"/>
    <s v="CNOW_7210$$$0000010344 "/>
    <s v="L000013803"/>
    <s v="L000013803"/>
    <s v="Non-LFF"/>
    <s v=""/>
    <m/>
    <b v="1"/>
    <x v="2"/>
    <x v="1"/>
    <d v="2025-02-03T08:16:26"/>
    <d v="2025-02-04T00:00:00"/>
    <d v="2025-02-04T00:00:00"/>
    <x v="0"/>
    <n v="1"/>
    <s v="Joan Rose Pena"/>
    <m/>
  </r>
  <r>
    <x v="50"/>
    <x v="0"/>
    <x v="2"/>
    <s v="CLFF_1000$$$DE20675100 "/>
    <s v="G000000397"/>
    <s v="G000000397"/>
    <s v="LFF (MDG-F)"/>
    <s v="DE20675100"/>
    <m/>
    <b v="1"/>
    <x v="0"/>
    <x v="1"/>
    <d v="2025-02-03T09:21:03"/>
    <d v="2025-02-04T00:00:00"/>
    <d v="2025-02-04T00:00:00"/>
    <x v="0"/>
    <n v="1"/>
    <s v="Francesco Ricioppo"/>
    <m/>
  </r>
  <r>
    <x v="51"/>
    <x v="0"/>
    <x v="2"/>
    <s v="CLFF_1000$$$CH50L98016"/>
    <s v="G000000630"/>
    <s v="G000000630"/>
    <s v="LFF (MDG-F)"/>
    <s v="CH50L98016"/>
    <m/>
    <b v="1"/>
    <x v="0"/>
    <x v="1"/>
    <d v="2025-02-03T13:12:49"/>
    <d v="2025-02-05T00:00:00"/>
    <d v="2025-02-05T00:00:00"/>
    <x v="0"/>
    <n v="2"/>
    <s v="Jojeff Tagnong"/>
    <m/>
  </r>
  <r>
    <x v="52"/>
    <x v="0"/>
    <x v="2"/>
    <s v="CTEMPEU_1000PL80GITL20"/>
    <s v="L000013808"/>
    <s v="L000013808"/>
    <s v="Non-LFF"/>
    <s v=""/>
    <m/>
    <b v="1"/>
    <x v="0"/>
    <x v="1"/>
    <d v="2025-02-03T16:40:45"/>
    <d v="2025-02-24T00:00:00"/>
    <d v="2025-02-24T00:00:00"/>
    <x v="1"/>
    <n v="15"/>
    <s v="Jay-R Lizardo"/>
    <m/>
  </r>
  <r>
    <x v="52"/>
    <x v="0"/>
    <x v="2"/>
    <s v="CLFF_1000$$$DE10515400"/>
    <s v="G000001238"/>
    <s v="G000001238"/>
    <s v="LFF (MDG-F)"/>
    <s v="DE10515400"/>
    <m/>
    <b v="1"/>
    <x v="0"/>
    <x v="1"/>
    <d v="2025-02-03T16:40:45"/>
    <d v="2025-02-24T00:00:00"/>
    <d v="2025-02-24T00:00:00"/>
    <x v="1"/>
    <n v="15"/>
    <s v="Jay-R Lizardo"/>
    <m/>
  </r>
  <r>
    <x v="52"/>
    <x v="0"/>
    <x v="2"/>
    <s v="CLFF_1000$$$DE10533731"/>
    <s v="L000013808"/>
    <s v="L000013808"/>
    <s v="LFF (MDG-F)"/>
    <s v="DE10533731"/>
    <m/>
    <b v="1"/>
    <x v="0"/>
    <x v="1"/>
    <d v="2025-02-03T16:40:45"/>
    <d v="2025-02-24T00:00:00"/>
    <d v="2025-02-24T00:00:00"/>
    <x v="1"/>
    <n v="15"/>
    <s v="Jay-R Lizardo"/>
    <m/>
  </r>
  <r>
    <x v="52"/>
    <x v="0"/>
    <x v="2"/>
    <s v="CLFF_1000$$$DE10533730"/>
    <s v="L000013808"/>
    <s v="L000013808"/>
    <s v="LFF (MDG-F)"/>
    <s v="DE10533730"/>
    <m/>
    <b v="1"/>
    <x v="0"/>
    <x v="1"/>
    <d v="2025-02-03T16:40:45"/>
    <d v="2025-02-24T00:00:00"/>
    <d v="2025-02-24T00:00:00"/>
    <x v="1"/>
    <n v="15"/>
    <s v="Jay-R Lizardo"/>
    <m/>
  </r>
  <r>
    <x v="52"/>
    <x v="0"/>
    <x v="2"/>
    <s v="CFLTFLE_17710000115500"/>
    <s v="L000013808"/>
    <s v="L000013808"/>
    <s v="Non-LFF"/>
    <s v=""/>
    <m/>
    <b v="1"/>
    <x v="0"/>
    <x v="1"/>
    <d v="2025-02-03T16:40:45"/>
    <d v="2025-02-24T00:00:00"/>
    <d v="2025-02-24T00:00:00"/>
    <x v="1"/>
    <n v="15"/>
    <s v="Jay-R Lizardo"/>
    <m/>
  </r>
  <r>
    <x v="52"/>
    <x v="0"/>
    <x v="2"/>
    <s v="CTEMPEU_1000NL40AD1N40"/>
    <s v="L000013808"/>
    <s v="L000013808"/>
    <s v="Non-LFF"/>
    <s v=""/>
    <m/>
    <b v="1"/>
    <x v="0"/>
    <x v="1"/>
    <d v="2025-02-03T16:40:45"/>
    <d v="2025-02-24T00:00:00"/>
    <d v="2025-02-24T00:00:00"/>
    <x v="1"/>
    <n v="15"/>
    <s v="Jay-R Lizardo"/>
    <m/>
  </r>
  <r>
    <x v="52"/>
    <x v="0"/>
    <x v="2"/>
    <s v="CORAERP_MMOR1945.9018"/>
    <s v="L000013808"/>
    <s v="L000013808"/>
    <s v="Non-LFF"/>
    <s v=""/>
    <m/>
    <b v="1"/>
    <x v="0"/>
    <x v="1"/>
    <d v="2025-02-03T16:40:45"/>
    <d v="2025-02-24T00:00:00"/>
    <d v="2025-02-24T00:00:00"/>
    <x v="1"/>
    <n v="15"/>
    <s v="Jay-R Lizardo"/>
    <m/>
  </r>
  <r>
    <x v="52"/>
    <x v="0"/>
    <x v="2"/>
    <s v="CORAERP_MMOR1975.9046"/>
    <s v="L000013808"/>
    <s v="L000013808"/>
    <s v="Non-LFF"/>
    <s v=""/>
    <m/>
    <b v="1"/>
    <x v="0"/>
    <x v="1"/>
    <d v="2025-02-03T16:40:45"/>
    <d v="2025-02-24T00:00:00"/>
    <d v="2025-02-24T00:00:00"/>
    <x v="1"/>
    <n v="15"/>
    <s v="Jay-R Lizardo"/>
    <m/>
  </r>
  <r>
    <x v="52"/>
    <x v="0"/>
    <x v="2"/>
    <s v="CORAERP_MMOR1975.9019"/>
    <s v="L000013808"/>
    <s v="L000013808"/>
    <s v="Non-LFF"/>
    <s v=""/>
    <m/>
    <b v="1"/>
    <x v="0"/>
    <x v="1"/>
    <d v="2025-02-03T16:40:45"/>
    <d v="2025-02-24T00:00:00"/>
    <d v="2025-02-24T00:00:00"/>
    <x v="1"/>
    <n v="15"/>
    <s v="Jay-R Lizardo"/>
    <m/>
  </r>
  <r>
    <x v="52"/>
    <x v="0"/>
    <x v="2"/>
    <s v="CNOW_7210$$$0000015076"/>
    <s v="L000013808"/>
    <s v="L000013808"/>
    <s v="Non-LFF"/>
    <s v=""/>
    <m/>
    <b v="1"/>
    <x v="0"/>
    <x v="1"/>
    <d v="2025-02-03T16:40:45"/>
    <d v="2025-02-24T00:00:00"/>
    <d v="2025-02-24T00:00:00"/>
    <x v="1"/>
    <n v="15"/>
    <s v="Jay-R Lizardo"/>
    <m/>
  </r>
  <r>
    <x v="52"/>
    <x v="0"/>
    <x v="2"/>
    <s v="CNOW_7210$$$0000051457"/>
    <s v="L000013808"/>
    <s v="L000013808"/>
    <s v="Non-LFF"/>
    <s v=""/>
    <m/>
    <b v="1"/>
    <x v="0"/>
    <x v="1"/>
    <d v="2025-02-03T16:40:45"/>
    <d v="2025-02-24T00:00:00"/>
    <d v="2025-02-24T00:00:00"/>
    <x v="1"/>
    <n v="15"/>
    <s v="Jay-R Lizardo"/>
    <m/>
  </r>
  <r>
    <x v="52"/>
    <x v="0"/>
    <x v="2"/>
    <s v="CLFF_7210$$$2029GIT00M"/>
    <s v="L000013808"/>
    <s v="L000013808"/>
    <s v="LFF (MDG-F)"/>
    <s v="2029GIT00M"/>
    <m/>
    <b v="1"/>
    <x v="0"/>
    <x v="1"/>
    <d v="2025-02-03T16:40:45"/>
    <d v="2025-02-24T00:00:00"/>
    <d v="2025-02-24T00:00:00"/>
    <x v="1"/>
    <n v="15"/>
    <s v="Jay-R Lizardo"/>
    <m/>
  </r>
  <r>
    <x v="52"/>
    <x v="0"/>
    <x v="2"/>
    <s v="CNOW_7210$$$0000040682"/>
    <s v="L000013808"/>
    <s v="L000013808"/>
    <s v="Non-LFF"/>
    <s v=""/>
    <m/>
    <b v="1"/>
    <x v="0"/>
    <x v="1"/>
    <d v="2025-02-03T16:40:45"/>
    <d v="2025-02-24T00:00:00"/>
    <d v="2025-02-24T00:00:00"/>
    <x v="1"/>
    <n v="15"/>
    <s v="Jay-R Lizardo"/>
    <m/>
  </r>
  <r>
    <x v="52"/>
    <x v="0"/>
    <x v="2"/>
    <s v="CNOW_7210$$$0000010232"/>
    <s v="L000013808"/>
    <s v="L000013808"/>
    <s v="Non-LFF"/>
    <s v=""/>
    <m/>
    <b v="1"/>
    <x v="0"/>
    <x v="1"/>
    <d v="2025-02-03T16:40:45"/>
    <d v="2025-02-24T00:00:00"/>
    <d v="2025-02-24T00:00:00"/>
    <x v="1"/>
    <n v="15"/>
    <s v="Jay-R Lizardo"/>
    <m/>
  </r>
  <r>
    <x v="52"/>
    <x v="0"/>
    <x v="2"/>
    <s v="CNOW_7210$$$0000010262"/>
    <s v="L000013808"/>
    <s v="L000013808"/>
    <s v="Non-LFF"/>
    <s v=""/>
    <m/>
    <b v="1"/>
    <x v="0"/>
    <x v="1"/>
    <d v="2025-02-03T16:40:45"/>
    <d v="2025-02-24T00:00:00"/>
    <d v="2025-02-24T00:00:00"/>
    <x v="1"/>
    <n v="15"/>
    <s v="Jay-R Lizardo"/>
    <m/>
  </r>
  <r>
    <x v="52"/>
    <x v="0"/>
    <x v="2"/>
    <s v="CNOW_7210$$$0000010263"/>
    <s v="L000013808"/>
    <s v="L000013808"/>
    <s v="Non-LFF"/>
    <s v=""/>
    <m/>
    <b v="1"/>
    <x v="0"/>
    <x v="1"/>
    <d v="2025-02-03T16:40:45"/>
    <d v="2025-02-24T00:00:00"/>
    <d v="2025-02-24T00:00:00"/>
    <x v="1"/>
    <n v="15"/>
    <s v="Jay-R Lizardo"/>
    <m/>
  </r>
  <r>
    <x v="52"/>
    <x v="0"/>
    <x v="2"/>
    <s v="CLFF_7210$$$2123GIT094"/>
    <s v="L000013808"/>
    <s v="L000013808"/>
    <s v="LFF (MDG-F)"/>
    <s v="2123GIT094"/>
    <m/>
    <b v="1"/>
    <x v="0"/>
    <x v="1"/>
    <d v="2025-02-03T16:40:45"/>
    <d v="2025-02-24T00:00:00"/>
    <d v="2025-02-24T00:00:00"/>
    <x v="1"/>
    <n v="15"/>
    <s v="Jay-R Lizardo"/>
    <m/>
  </r>
  <r>
    <x v="53"/>
    <x v="0"/>
    <x v="4"/>
    <s v="CLFF_1000$$$DE10GT8764 "/>
    <s v="L000013119"/>
    <s v="L000013119"/>
    <s v="LFF (MDG-F)"/>
    <s v="DE10GT8764"/>
    <s v="Not found in MDGF"/>
    <b v="1"/>
    <x v="2"/>
    <x v="1"/>
    <d v="2025-02-04T07:33:04"/>
    <m/>
    <d v="2025-02-05T00:00:00"/>
    <x v="0"/>
    <n v="1"/>
    <s v="Joan Rose Pena"/>
    <e v="#REF!"/>
  </r>
  <r>
    <x v="53"/>
    <x v="0"/>
    <x v="2"/>
    <s v="CORAERP_MMOR1975.9760 "/>
    <s v="L000013119"/>
    <s v="L000013119"/>
    <s v="Non-LFF"/>
    <s v=""/>
    <m/>
    <b v="1"/>
    <x v="2"/>
    <x v="1"/>
    <d v="2025-02-04T07:33:04"/>
    <d v="2025-02-05T00:00:00"/>
    <d v="2025-02-05T00:00:00"/>
    <x v="0"/>
    <n v="1"/>
    <s v="Joan Rose Pena"/>
    <m/>
  </r>
  <r>
    <x v="53"/>
    <x v="0"/>
    <x v="2"/>
    <s v="IPHOENX_000400753223 "/>
    <s v="L000011242"/>
    <s v="L000011242"/>
    <s v="Non-LFF"/>
    <s v=""/>
    <m/>
    <b v="1"/>
    <x v="2"/>
    <x v="1"/>
    <d v="2025-02-04T07:33:04"/>
    <d v="2025-02-05T00:00:00"/>
    <d v="2025-02-05T00:00:00"/>
    <x v="0"/>
    <n v="1"/>
    <s v="Joan Rose Pena"/>
    <m/>
  </r>
  <r>
    <x v="53"/>
    <x v="0"/>
    <x v="2"/>
    <s v="CORAERP_MMO$R1975.CXHQ"/>
    <s v="L000011157"/>
    <s v="L000011157"/>
    <s v="Non-LFF"/>
    <s v=""/>
    <m/>
    <b v="1"/>
    <x v="2"/>
    <x v="1"/>
    <d v="2025-02-04T07:33:04"/>
    <d v="2025-02-05T00:00:00"/>
    <d v="2025-02-05T00:00:00"/>
    <x v="0"/>
    <n v="1"/>
    <s v="Joan Rose Pena"/>
    <m/>
  </r>
  <r>
    <x v="54"/>
    <x v="0"/>
    <x v="2"/>
    <s v="CSCALA_1820$A064 Field Force in New Zealand"/>
    <s v="H000001141"/>
    <s v="H000001141"/>
    <s v="Non-LFF"/>
    <s v=""/>
    <m/>
    <b v="1"/>
    <x v="1"/>
    <x v="1"/>
    <d v="2025-02-04T08:25:50"/>
    <d v="2025-02-05T00:00:00"/>
    <d v="2025-02-05T00:00:00"/>
    <x v="0"/>
    <n v="1"/>
    <s v="Henry Ifurung Jr."/>
    <m/>
  </r>
  <r>
    <x v="55"/>
    <x v="0"/>
    <x v="4"/>
    <s v="CLFF_1000$$$DE20538290"/>
    <s v="G000000397"/>
    <s v="G000000397"/>
    <s v="LFF (MDG-F)"/>
    <s v="DE20538290"/>
    <s v="Trash"/>
    <b v="1"/>
    <x v="0"/>
    <x v="1"/>
    <d v="2025-02-04T11:10:05"/>
    <m/>
    <m/>
    <x v="1"/>
    <n v="228"/>
    <s v="Francesco Ricioppo"/>
    <e v="#REF!"/>
  </r>
  <r>
    <x v="55"/>
    <x v="0"/>
    <x v="2"/>
    <s v="CLFF_1000$$$DE10598000"/>
    <s v="G000000397"/>
    <s v="G000000397"/>
    <s v="LFF (MDG-F)"/>
    <s v="DE10598000"/>
    <m/>
    <b v="1"/>
    <x v="0"/>
    <x v="1"/>
    <d v="2025-02-04T11:10:05"/>
    <m/>
    <m/>
    <x v="1"/>
    <n v="228"/>
    <s v="Francesco Ricioppo"/>
    <m/>
  </r>
  <r>
    <x v="55"/>
    <x v="0"/>
    <x v="2"/>
    <s v="CLFF_1000$$$DE10598100"/>
    <s v="G000000397"/>
    <s v="G000000397"/>
    <s v="LFF (MDG-F)"/>
    <s v="DE10598100"/>
    <m/>
    <b v="1"/>
    <x v="0"/>
    <x v="1"/>
    <d v="2025-02-04T11:10:05"/>
    <m/>
    <m/>
    <x v="1"/>
    <n v="228"/>
    <s v="Francesco Ricioppo"/>
    <m/>
  </r>
  <r>
    <x v="55"/>
    <x v="0"/>
    <x v="2"/>
    <s v="CLFF_1000$$$DE10598200"/>
    <s v="G000000397"/>
    <s v="G000000397"/>
    <s v="LFF (MDG-F)"/>
    <s v="DE10598200"/>
    <m/>
    <b v="1"/>
    <x v="0"/>
    <x v="1"/>
    <d v="2025-02-04T11:10:05"/>
    <m/>
    <m/>
    <x v="1"/>
    <n v="228"/>
    <s v="Francesco Ricioppo"/>
    <m/>
  </r>
  <r>
    <x v="55"/>
    <x v="0"/>
    <x v="2"/>
    <s v="CLFF_1000$$$DE10598300"/>
    <s v="G000000397"/>
    <s v="G000000397"/>
    <s v="LFF (MDG-F)"/>
    <s v="DE10598300"/>
    <m/>
    <b v="1"/>
    <x v="0"/>
    <x v="1"/>
    <d v="2025-02-04T11:10:05"/>
    <m/>
    <m/>
    <x v="1"/>
    <n v="228"/>
    <s v="Francesco Ricioppo"/>
    <m/>
  </r>
  <r>
    <x v="55"/>
    <x v="0"/>
    <x v="2"/>
    <s v="CLFF_1000$$$DE10598400"/>
    <s v="G000000397"/>
    <s v="G000000397"/>
    <s v="LFF (MDG-F)"/>
    <s v="DE10598400"/>
    <m/>
    <b v="1"/>
    <x v="0"/>
    <x v="1"/>
    <d v="2025-02-04T11:10:05"/>
    <m/>
    <m/>
    <x v="1"/>
    <n v="228"/>
    <s v="Francesco Ricioppo"/>
    <m/>
  </r>
  <r>
    <x v="55"/>
    <x v="0"/>
    <x v="2"/>
    <s v="CLFF_1000$$$DE10598700"/>
    <s v="G000000397"/>
    <s v="G000000397"/>
    <s v="LFF (MDG-F)"/>
    <s v="DE10598700"/>
    <m/>
    <b v="1"/>
    <x v="0"/>
    <x v="1"/>
    <d v="2025-02-04T11:10:05"/>
    <m/>
    <m/>
    <x v="1"/>
    <n v="228"/>
    <s v="Francesco Ricioppo"/>
    <m/>
  </r>
  <r>
    <x v="55"/>
    <x v="0"/>
    <x v="2"/>
    <s v="CLFF_1000$$$DE20538280"/>
    <s v="G000000397"/>
    <s v="G000000397"/>
    <s v="LFF (MDG-F)"/>
    <s v="DE20538280"/>
    <m/>
    <b v="1"/>
    <x v="0"/>
    <x v="1"/>
    <d v="2025-02-04T11:10:05"/>
    <m/>
    <m/>
    <x v="1"/>
    <n v="228"/>
    <s v="Francesco Ricioppo"/>
    <m/>
  </r>
  <r>
    <x v="55"/>
    <x v="0"/>
    <x v="2"/>
    <s v="CLFF_1000$$$DE20568200"/>
    <s v="G000000397"/>
    <s v="G000000397"/>
    <s v="LFF (MDG-F)"/>
    <s v="DE20568200"/>
    <m/>
    <b v="1"/>
    <x v="0"/>
    <x v="1"/>
    <d v="2025-02-04T11:10:05"/>
    <m/>
    <m/>
    <x v="1"/>
    <n v="228"/>
    <s v="Francesco Ricioppo"/>
    <m/>
  </r>
  <r>
    <x v="55"/>
    <x v="0"/>
    <x v="2"/>
    <s v="CLFF_1000$$$DE20529600"/>
    <s v="G000000397"/>
    <s v="G000000397"/>
    <s v="LFF (MDG-F)"/>
    <s v="DE20529600"/>
    <m/>
    <b v="1"/>
    <x v="0"/>
    <x v="1"/>
    <d v="2025-02-04T11:10:05"/>
    <m/>
    <m/>
    <x v="1"/>
    <n v="228"/>
    <s v="Francesco Ricioppo"/>
    <m/>
  </r>
  <r>
    <x v="55"/>
    <x v="0"/>
    <x v="2"/>
    <s v="CLFF_1000$$$DE20847200"/>
    <s v="G000000397"/>
    <s v="G000000397"/>
    <s v="LFF (MDG-F)"/>
    <s v="DE20847200"/>
    <m/>
    <b v="1"/>
    <x v="0"/>
    <x v="1"/>
    <d v="2025-02-04T11:10:05"/>
    <m/>
    <m/>
    <x v="1"/>
    <n v="228"/>
    <s v="Francesco Ricioppo"/>
    <m/>
  </r>
  <r>
    <x v="55"/>
    <x v="0"/>
    <x v="4"/>
    <s v="CLFF_1000$$$DE20538257"/>
    <s v="G000000397"/>
    <s v="G000000397"/>
    <s v="LFF (MDG-F)"/>
    <s v="DE20538257"/>
    <m/>
    <b v="1"/>
    <x v="0"/>
    <x v="1"/>
    <d v="2025-02-04T11:10:05"/>
    <m/>
    <m/>
    <x v="1"/>
    <n v="228"/>
    <s v="Francesco Ricioppo"/>
    <e v="#REF!"/>
  </r>
  <r>
    <x v="55"/>
    <x v="0"/>
    <x v="2"/>
    <s v="CLFF_1000$$$DE10538257"/>
    <s v="G000000397"/>
    <s v="G000000397"/>
    <s v="LFF (MDG-F)"/>
    <s v="DE10538257"/>
    <m/>
    <b v="1"/>
    <x v="0"/>
    <x v="1"/>
    <d v="2025-02-04T11:10:05"/>
    <m/>
    <m/>
    <x v="1"/>
    <n v="228"/>
    <s v="Francesco Ricioppo"/>
    <m/>
  </r>
  <r>
    <x v="55"/>
    <x v="0"/>
    <x v="2"/>
    <s v="CLFF_1000$$$DE20538295"/>
    <s v="G000000397"/>
    <s v="G000000397"/>
    <s v="LFF (MDG-F)"/>
    <s v="DE20538295"/>
    <m/>
    <b v="1"/>
    <x v="0"/>
    <x v="1"/>
    <d v="2025-02-04T11:10:05"/>
    <m/>
    <m/>
    <x v="1"/>
    <n v="228"/>
    <s v="Francesco Ricioppo"/>
    <m/>
  </r>
  <r>
    <x v="55"/>
    <x v="0"/>
    <x v="2"/>
    <s v="CLFF_1000$$$DE10538295"/>
    <s v="G000000397"/>
    <s v="G000000397"/>
    <s v="LFF (MDG-F)"/>
    <s v="DE10538295"/>
    <m/>
    <b v="1"/>
    <x v="0"/>
    <x v="1"/>
    <d v="2025-02-04T11:10:05"/>
    <m/>
    <m/>
    <x v="1"/>
    <n v="228"/>
    <s v="Francesco Ricioppo"/>
    <m/>
  </r>
  <r>
    <x v="55"/>
    <x v="0"/>
    <x v="2"/>
    <s v="CLFF_1000$$$DE20538456"/>
    <s v="G000000397"/>
    <s v="G000000397"/>
    <s v="LFF (MDG-F)"/>
    <s v="DE20538456"/>
    <m/>
    <b v="1"/>
    <x v="0"/>
    <x v="1"/>
    <d v="2025-02-04T11:10:05"/>
    <m/>
    <m/>
    <x v="1"/>
    <n v="228"/>
    <s v="Francesco Ricioppo"/>
    <m/>
  </r>
  <r>
    <x v="55"/>
    <x v="0"/>
    <x v="2"/>
    <s v="CLFF_1000$$$DE10538456"/>
    <s v="G000000397"/>
    <s v="G000000397"/>
    <s v="LFF (MDG-F)"/>
    <s v="DE10538456"/>
    <m/>
    <b v="1"/>
    <x v="0"/>
    <x v="1"/>
    <d v="2025-02-04T11:10:05"/>
    <m/>
    <m/>
    <x v="1"/>
    <n v="228"/>
    <s v="Francesco Ricioppo"/>
    <m/>
  </r>
  <r>
    <x v="55"/>
    <x v="0"/>
    <x v="4"/>
    <s v="CLFF_1000$$$DE10623200"/>
    <s v="G000000397"/>
    <s v="G000000397"/>
    <s v="LFF (MDG-F)"/>
    <s v="DE10623200"/>
    <m/>
    <b v="1"/>
    <x v="0"/>
    <x v="1"/>
    <d v="2025-02-04T11:10:05"/>
    <m/>
    <m/>
    <x v="1"/>
    <n v="228"/>
    <s v="Francesco Ricioppo"/>
    <e v="#REF!"/>
  </r>
  <r>
    <x v="55"/>
    <x v="0"/>
    <x v="2"/>
    <s v="CLFF_1000$$$DE10523100"/>
    <s v="G000000397"/>
    <s v="G000000397"/>
    <s v="LFF (MDG-F)"/>
    <s v="DE10523100"/>
    <m/>
    <b v="1"/>
    <x v="0"/>
    <x v="1"/>
    <d v="2025-02-04T11:10:05"/>
    <m/>
    <m/>
    <x v="1"/>
    <n v="228"/>
    <s v="Francesco Ricioppo"/>
    <m/>
  </r>
  <r>
    <x v="55"/>
    <x v="0"/>
    <x v="2"/>
    <s v="CLFF_1000$$$DE20538554"/>
    <s v="G000000397"/>
    <s v="G000000397"/>
    <s v="LFF (MDG-F)"/>
    <s v="DE20538554"/>
    <m/>
    <b v="1"/>
    <x v="0"/>
    <x v="1"/>
    <d v="2025-02-04T11:10:05"/>
    <m/>
    <m/>
    <x v="1"/>
    <n v="228"/>
    <s v="Francesco Ricioppo"/>
    <m/>
  </r>
  <r>
    <x v="55"/>
    <x v="0"/>
    <x v="2"/>
    <s v="CLFF_1000$$$DE10538554"/>
    <s v="G000000397"/>
    <s v="G000000397"/>
    <s v="LFF (MDG-F)"/>
    <s v="DE10538554"/>
    <m/>
    <b v="1"/>
    <x v="0"/>
    <x v="1"/>
    <d v="2025-02-04T11:10:05"/>
    <m/>
    <m/>
    <x v="1"/>
    <n v="228"/>
    <s v="Francesco Ricioppo"/>
    <m/>
  </r>
  <r>
    <x v="55"/>
    <x v="0"/>
    <x v="2"/>
    <s v="CLFF_1000$$$DE10840200"/>
    <s v="G000000397"/>
    <s v="G000000397"/>
    <s v="LFF (MDG-F)"/>
    <s v="DE10840200"/>
    <m/>
    <b v="1"/>
    <x v="0"/>
    <x v="1"/>
    <d v="2025-02-04T11:10:05"/>
    <m/>
    <m/>
    <x v="1"/>
    <n v="228"/>
    <s v="Francesco Ricioppo"/>
    <m/>
  </r>
  <r>
    <x v="55"/>
    <x v="0"/>
    <x v="2"/>
    <s v="CLFF_1000$$$DE10537810"/>
    <s v="G000000397"/>
    <s v="G000000397"/>
    <s v="LFF (MDG-F)"/>
    <s v="DE10537810"/>
    <m/>
    <b v="1"/>
    <x v="0"/>
    <x v="1"/>
    <d v="2025-02-04T11:10:05"/>
    <m/>
    <m/>
    <x v="1"/>
    <n v="228"/>
    <s v="Francesco Ricioppo"/>
    <m/>
  </r>
  <r>
    <x v="55"/>
    <x v="0"/>
    <x v="2"/>
    <s v="CLFF_1000$$$DE20538242"/>
    <s v="G000000397"/>
    <s v="G000000397"/>
    <s v="LFF (MDG-F)"/>
    <s v="DE20538242"/>
    <m/>
    <b v="1"/>
    <x v="0"/>
    <x v="1"/>
    <d v="2025-02-04T11:10:05"/>
    <m/>
    <m/>
    <x v="1"/>
    <n v="228"/>
    <s v="Francesco Ricioppo"/>
    <m/>
  </r>
  <r>
    <x v="55"/>
    <x v="0"/>
    <x v="2"/>
    <s v="CLFF_1000$$$DE10538242"/>
    <s v="G000000397"/>
    <s v="G000000397"/>
    <s v="LFF (MDG-F)"/>
    <s v="DE10538242"/>
    <m/>
    <b v="1"/>
    <x v="0"/>
    <x v="1"/>
    <d v="2025-02-04T11:10:05"/>
    <m/>
    <m/>
    <x v="1"/>
    <n v="228"/>
    <s v="Francesco Ricioppo"/>
    <m/>
  </r>
  <r>
    <x v="55"/>
    <x v="0"/>
    <x v="4"/>
    <s v="CLFF_1000$$$DE20568016"/>
    <s v="G000000397"/>
    <s v="G000000397"/>
    <s v="LFF (MDG-F)"/>
    <s v="DE20568016"/>
    <m/>
    <b v="1"/>
    <x v="0"/>
    <x v="1"/>
    <d v="2025-02-04T11:10:05"/>
    <m/>
    <m/>
    <x v="1"/>
    <n v="228"/>
    <s v="Francesco Ricioppo"/>
    <e v="#REF!"/>
  </r>
  <r>
    <x v="55"/>
    <x v="0"/>
    <x v="4"/>
    <s v="CLFF_1000$$$DE10568016"/>
    <s v="G000000397"/>
    <s v="G000000397"/>
    <s v="LFF (MDG-F)"/>
    <s v="DE10568016"/>
    <m/>
    <b v="1"/>
    <x v="0"/>
    <x v="1"/>
    <d v="2025-02-04T11:10:05"/>
    <m/>
    <m/>
    <x v="1"/>
    <n v="228"/>
    <s v="Francesco Ricioppo"/>
    <e v="#REF!"/>
  </r>
  <r>
    <x v="55"/>
    <x v="0"/>
    <x v="2"/>
    <s v="CLFF_1000$$$DE20538431"/>
    <s v="G000000397"/>
    <s v="G000000397"/>
    <s v="LFF (MDG-F)"/>
    <s v="DE20538431"/>
    <m/>
    <b v="1"/>
    <x v="0"/>
    <x v="1"/>
    <d v="2025-02-04T11:10:05"/>
    <m/>
    <m/>
    <x v="1"/>
    <n v="228"/>
    <s v="Francesco Ricioppo"/>
    <m/>
  </r>
  <r>
    <x v="55"/>
    <x v="0"/>
    <x v="2"/>
    <s v="CLFF_1000$$$DE20567105"/>
    <s v="G000000397"/>
    <s v="G000000397"/>
    <s v="LFF (MDG-F)"/>
    <s v="DE20567105"/>
    <m/>
    <b v="1"/>
    <x v="0"/>
    <x v="1"/>
    <d v="2025-02-04T11:10:05"/>
    <m/>
    <m/>
    <x v="1"/>
    <n v="228"/>
    <s v="Francesco Ricioppo"/>
    <m/>
  </r>
  <r>
    <x v="55"/>
    <x v="0"/>
    <x v="2"/>
    <s v="CLFF_1000$$$DE10538431"/>
    <s v="G000000397"/>
    <s v="G000000397"/>
    <s v="LFF (MDG-F)"/>
    <s v="DE10538431"/>
    <m/>
    <b v="1"/>
    <x v="0"/>
    <x v="1"/>
    <d v="2025-02-04T11:10:05"/>
    <m/>
    <m/>
    <x v="1"/>
    <n v="228"/>
    <s v="Francesco Ricioppo"/>
    <m/>
  </r>
  <r>
    <x v="55"/>
    <x v="0"/>
    <x v="2"/>
    <s v="CLFF_1000$$$DE10567105"/>
    <s v="G000000397"/>
    <s v="G000000397"/>
    <s v="LFF (MDG-F)"/>
    <s v="DE10567105"/>
    <m/>
    <b v="1"/>
    <x v="0"/>
    <x v="1"/>
    <d v="2025-02-04T11:10:05"/>
    <m/>
    <m/>
    <x v="1"/>
    <n v="228"/>
    <s v="Francesco Ricioppo"/>
    <m/>
  </r>
  <r>
    <x v="55"/>
    <x v="0"/>
    <x v="2"/>
    <s v="CLFF_1000$$$DE10566400"/>
    <s v="G000000397"/>
    <s v="G000000397"/>
    <s v="LFF (MDG-F)"/>
    <s v="DE10566400"/>
    <m/>
    <b v="1"/>
    <x v="0"/>
    <x v="1"/>
    <d v="2025-02-04T11:10:05"/>
    <m/>
    <m/>
    <x v="1"/>
    <n v="228"/>
    <s v="Francesco Ricioppo"/>
    <m/>
  </r>
  <r>
    <x v="55"/>
    <x v="0"/>
    <x v="2"/>
    <s v="CLFF_1000$$$DE10505600"/>
    <s v="G000000397"/>
    <s v="G000000397"/>
    <s v="LFF (MDG-F)"/>
    <s v="DE10505600"/>
    <m/>
    <b v="1"/>
    <x v="0"/>
    <x v="1"/>
    <d v="2025-02-04T11:10:05"/>
    <m/>
    <m/>
    <x v="1"/>
    <n v="228"/>
    <s v="Francesco Ricioppo"/>
    <m/>
  </r>
  <r>
    <x v="55"/>
    <x v="0"/>
    <x v="4"/>
    <s v="CLFF_1000$$$DE20566500"/>
    <s v="G000000397"/>
    <s v="G000000397"/>
    <s v="LFF (MDG-F)"/>
    <s v="DE20566500"/>
    <m/>
    <b v="1"/>
    <x v="0"/>
    <x v="1"/>
    <d v="2025-02-04T11:10:05"/>
    <m/>
    <m/>
    <x v="1"/>
    <n v="228"/>
    <s v="Francesco Ricioppo"/>
    <e v="#REF!"/>
  </r>
  <r>
    <x v="55"/>
    <x v="0"/>
    <x v="2"/>
    <s v="CLFF_1000$$$DE20625300"/>
    <s v="G000000397"/>
    <s v="G000000397"/>
    <s v="LFF (MDG-F)"/>
    <s v="DE20625300"/>
    <m/>
    <b v="1"/>
    <x v="0"/>
    <x v="1"/>
    <d v="2025-02-04T11:10:05"/>
    <m/>
    <m/>
    <x v="1"/>
    <n v="228"/>
    <s v="Francesco Ricioppo"/>
    <m/>
  </r>
  <r>
    <x v="55"/>
    <x v="0"/>
    <x v="2"/>
    <s v="CLFF_1000$$$DE20585300"/>
    <s v="G000000397"/>
    <s v="G000000397"/>
    <s v="LFF (MDG-F)"/>
    <s v="DE20585300"/>
    <m/>
    <b v="1"/>
    <x v="0"/>
    <x v="1"/>
    <d v="2025-02-04T11:10:05"/>
    <m/>
    <m/>
    <x v="1"/>
    <n v="228"/>
    <s v="Francesco Ricioppo"/>
    <m/>
  </r>
  <r>
    <x v="55"/>
    <x v="0"/>
    <x v="2"/>
    <s v="CLFF_1000$$$DE10649700"/>
    <s v="G000000397"/>
    <s v="G000000397"/>
    <s v="LFF (MDG-F)"/>
    <s v="DE10649700"/>
    <m/>
    <b v="1"/>
    <x v="0"/>
    <x v="1"/>
    <d v="2025-02-04T11:10:05"/>
    <m/>
    <m/>
    <x v="1"/>
    <n v="228"/>
    <s v="Francesco Ricioppo"/>
    <m/>
  </r>
  <r>
    <x v="55"/>
    <x v="0"/>
    <x v="2"/>
    <s v="CLFF_1000$$$DE10607900"/>
    <s v="G000000397"/>
    <s v="G000000397"/>
    <s v="LFF (MDG-F)"/>
    <s v="DE10607900"/>
    <m/>
    <b v="1"/>
    <x v="0"/>
    <x v="1"/>
    <d v="2025-02-04T11:10:05"/>
    <m/>
    <m/>
    <x v="1"/>
    <n v="228"/>
    <s v="Francesco Ricioppo"/>
    <m/>
  </r>
  <r>
    <x v="55"/>
    <x v="0"/>
    <x v="2"/>
    <s v="CLFF_1000$$$DE10517300"/>
    <s v="G000000397"/>
    <s v="G000000397"/>
    <s v="LFF (MDG-F)"/>
    <s v="DE10517300"/>
    <m/>
    <b v="1"/>
    <x v="0"/>
    <x v="1"/>
    <d v="2025-02-04T11:10:05"/>
    <m/>
    <m/>
    <x v="1"/>
    <n v="228"/>
    <s v="Francesco Ricioppo"/>
    <m/>
  </r>
  <r>
    <x v="55"/>
    <x v="0"/>
    <x v="2"/>
    <s v="CLFF_1000$$$DE20569511"/>
    <s v="G000000397"/>
    <s v="G000000397"/>
    <s v="LFF (MDG-F)"/>
    <s v="DE20569511"/>
    <m/>
    <b v="1"/>
    <x v="0"/>
    <x v="1"/>
    <d v="2025-02-04T11:10:05"/>
    <m/>
    <m/>
    <x v="1"/>
    <n v="228"/>
    <s v="Francesco Ricioppo"/>
    <m/>
  </r>
  <r>
    <x v="55"/>
    <x v="0"/>
    <x v="2"/>
    <s v="CLFF_1000$$$DE20675101"/>
    <s v="G000000397"/>
    <s v="G000000397"/>
    <s v="LFF (MDG-F)"/>
    <s v="DE20675101"/>
    <m/>
    <b v="1"/>
    <x v="0"/>
    <x v="1"/>
    <d v="2025-02-04T11:10:05"/>
    <m/>
    <m/>
    <x v="1"/>
    <n v="228"/>
    <s v="Francesco Ricioppo"/>
    <m/>
  </r>
  <r>
    <x v="56"/>
    <x v="0"/>
    <x v="2"/>
    <s v="CNOW_7210$$$0000051654 Payroll Vendor"/>
    <s v="G000000630"/>
    <s v="G000000630"/>
    <s v="Non-LFF"/>
    <s v=""/>
    <m/>
    <b v="1"/>
    <x v="0"/>
    <x v="1"/>
    <d v="2025-02-05T14:28:05"/>
    <m/>
    <m/>
    <x v="1"/>
    <n v="227"/>
    <s v="Jojeff Tagnong"/>
    <m/>
  </r>
  <r>
    <x v="56"/>
    <x v="0"/>
    <x v="2"/>
    <s v="CNOW_7210$$$0000051644 Payroll Vendor"/>
    <s v="G000000630"/>
    <s v="G000000630"/>
    <s v="Non-LFF"/>
    <s v=""/>
    <m/>
    <b v="1"/>
    <x v="0"/>
    <x v="1"/>
    <d v="2025-02-05T14:28:05"/>
    <m/>
    <m/>
    <x v="1"/>
    <n v="227"/>
    <s v="Jojeff Tagnong"/>
    <m/>
  </r>
  <r>
    <x v="56"/>
    <x v="0"/>
    <x v="2"/>
    <s v="CORAERP_MMOR1975.2738 MBS Hub Wroclaw"/>
    <s v="G000001171"/>
    <s v="G000001171"/>
    <s v="Non-LFF"/>
    <s v=""/>
    <m/>
    <b v="1"/>
    <x v="0"/>
    <x v="1"/>
    <d v="2025-02-05T14:28:05"/>
    <m/>
    <m/>
    <x v="1"/>
    <n v="227"/>
    <s v="Jojeff Tagnong"/>
    <m/>
  </r>
  <r>
    <x v="57"/>
    <x v="0"/>
    <x v="2"/>
    <s v="CNOW_7210$$$0000015104 DE RS Administration Steinheim"/>
    <s v="L000012426"/>
    <s v="L000012426"/>
    <s v="Non-LFF"/>
    <s v=""/>
    <m/>
    <b v="1"/>
    <x v="2"/>
    <x v="1"/>
    <d v="2025-02-05T15:47:25"/>
    <m/>
    <m/>
    <x v="1"/>
    <n v="227"/>
    <s v="Jayson Martinez"/>
    <m/>
  </r>
  <r>
    <x v="57"/>
    <x v="0"/>
    <x v="2"/>
    <s v="CNOW_7210$$$0000015304 DE RS Inbound-Steinheim"/>
    <s v="L000012426"/>
    <s v="L000012426"/>
    <s v="Non-LFF"/>
    <s v=""/>
    <m/>
    <b v="1"/>
    <x v="2"/>
    <x v="1"/>
    <d v="2025-02-05T15:47:25"/>
    <m/>
    <m/>
    <x v="1"/>
    <n v="227"/>
    <s v="Jayson Martinez"/>
    <m/>
  </r>
  <r>
    <x v="57"/>
    <x v="0"/>
    <x v="2"/>
    <s v="CNOW_7210$$$0000015305 DE RS Workshop Chemie GmbH"/>
    <s v="L000012426"/>
    <s v="L000012426"/>
    <s v="Non-LFF"/>
    <s v=""/>
    <m/>
    <b v="1"/>
    <x v="2"/>
    <x v="1"/>
    <d v="2025-02-05T15:47:25"/>
    <m/>
    <m/>
    <x v="1"/>
    <n v="227"/>
    <s v="Jayson Martinez"/>
    <m/>
  </r>
  <r>
    <x v="57"/>
    <x v="0"/>
    <x v="2"/>
    <s v="CNOW_7210$$$0000015320 DE RS Goods In"/>
    <s v="L000012426"/>
    <s v="L000012426"/>
    <s v="Non-LFF"/>
    <s v=""/>
    <m/>
    <b v="1"/>
    <x v="2"/>
    <x v="1"/>
    <d v="2025-02-05T15:47:25"/>
    <m/>
    <m/>
    <x v="1"/>
    <n v="227"/>
    <s v="Jayson Martinez"/>
    <m/>
  </r>
  <r>
    <x v="57"/>
    <x v="0"/>
    <x v="2"/>
    <s v="CNOW_7210$$$0000015350 DE RS Inventory-Steinheim"/>
    <s v="L000012426"/>
    <s v="L000012426"/>
    <s v="Non-LFF"/>
    <s v=""/>
    <m/>
    <b v="1"/>
    <x v="2"/>
    <x v="1"/>
    <d v="2025-02-05T15:47:25"/>
    <m/>
    <m/>
    <x v="1"/>
    <n v="227"/>
    <s v="Jayson Martinez"/>
    <m/>
  </r>
  <r>
    <x v="57"/>
    <x v="0"/>
    <x v="2"/>
    <s v="CNOW_7210$$$0000015355 DE RS EHS"/>
    <s v="L000012426"/>
    <s v="L000012426"/>
    <s v="Non-LFF"/>
    <s v=""/>
    <m/>
    <b v="1"/>
    <x v="2"/>
    <x v="1"/>
    <d v="2025-02-05T15:47:25"/>
    <m/>
    <m/>
    <x v="1"/>
    <n v="227"/>
    <s v="Jayson Martinez"/>
    <m/>
  </r>
  <r>
    <x v="57"/>
    <x v="0"/>
    <x v="2"/>
    <s v="CNOW_7210$$$0000015360 DE RS waste"/>
    <s v="L000012426"/>
    <s v="L000012426"/>
    <s v="Non-LFF"/>
    <s v=""/>
    <m/>
    <b v="1"/>
    <x v="2"/>
    <x v="1"/>
    <d v="2025-02-05T15:47:25"/>
    <m/>
    <m/>
    <x v="1"/>
    <n v="227"/>
    <s v="Jayson Martinez"/>
    <m/>
  </r>
  <r>
    <x v="57"/>
    <x v="0"/>
    <x v="2"/>
    <s v="CNOW_7210$$$0000015404 DE RS Dispatch - Steinheim"/>
    <s v="L000012426"/>
    <s v="L000012426"/>
    <s v="Non-LFF"/>
    <s v=""/>
    <m/>
    <b v="1"/>
    <x v="2"/>
    <x v="1"/>
    <d v="2025-02-05T15:47:25"/>
    <m/>
    <m/>
    <x v="1"/>
    <n v="227"/>
    <s v="Jayson Martinez"/>
    <m/>
  </r>
  <r>
    <x v="57"/>
    <x v="0"/>
    <x v="2"/>
    <s v="CNOW_7210$$$0000015504 DE RS Export-Shipping-Steinheim"/>
    <s v="L000012426"/>
    <s v="L000012426"/>
    <s v="Non-LFF"/>
    <s v=""/>
    <m/>
    <b v="1"/>
    <x v="2"/>
    <x v="1"/>
    <d v="2025-02-05T15:47:25"/>
    <m/>
    <m/>
    <x v="1"/>
    <n v="227"/>
    <s v="Jayson Martinez"/>
    <m/>
  </r>
  <r>
    <x v="57"/>
    <x v="0"/>
    <x v="2"/>
    <s v="CNOW_7210$$$0000015520 DE RS Sales Support Steinheim"/>
    <s v="L000012426"/>
    <s v="L000012426"/>
    <s v="Non-LFF"/>
    <s v=""/>
    <m/>
    <b v="1"/>
    <x v="2"/>
    <x v="1"/>
    <d v="2025-02-05T15:47:25"/>
    <m/>
    <m/>
    <x v="1"/>
    <n v="227"/>
    <s v="Jayson Martinez"/>
    <m/>
  </r>
  <r>
    <x v="57"/>
    <x v="0"/>
    <x v="2"/>
    <s v="CNOW_7210$$$0000015550 DE RS Quality Control"/>
    <s v="L000012426"/>
    <s v="L000012426"/>
    <s v="Non-LFF"/>
    <s v=""/>
    <m/>
    <b v="1"/>
    <x v="2"/>
    <x v="1"/>
    <d v="2025-02-05T15:47:25"/>
    <m/>
    <m/>
    <x v="1"/>
    <n v="227"/>
    <s v="Jayson Martinez"/>
    <m/>
  </r>
  <r>
    <x v="57"/>
    <x v="0"/>
    <x v="2"/>
    <s v="CNOW_7210$$$0000015570 DE RS Compliance"/>
    <s v="L000012426"/>
    <s v="L000012426"/>
    <s v="Non-LFF"/>
    <s v=""/>
    <m/>
    <b v="1"/>
    <x v="2"/>
    <x v="1"/>
    <d v="2025-02-05T15:47:25"/>
    <m/>
    <m/>
    <x v="1"/>
    <n v="227"/>
    <s v="Jayson Martinez"/>
    <m/>
  </r>
  <r>
    <x v="57"/>
    <x v="0"/>
    <x v="2"/>
    <s v="CNOW_7210$$$0000015600 DE SAFC Filling Station Bulk / F&amp;F"/>
    <s v="L000012426"/>
    <s v="L000012426"/>
    <s v="Non-LFF"/>
    <s v=""/>
    <m/>
    <b v="1"/>
    <x v="2"/>
    <x v="1"/>
    <d v="2025-02-05T15:47:25"/>
    <m/>
    <m/>
    <x v="1"/>
    <n v="227"/>
    <s v="Jayson Martinez"/>
    <m/>
  </r>
  <r>
    <x v="57"/>
    <x v="0"/>
    <x v="2"/>
    <s v="CNOW_7210$$$0000015610 DE RS Lables &amp; Prepack Filling"/>
    <s v="L000012426"/>
    <s v="L000012426"/>
    <s v="Non-LFF"/>
    <s v=""/>
    <m/>
    <b v="1"/>
    <x v="2"/>
    <x v="1"/>
    <d v="2025-02-05T15:47:25"/>
    <m/>
    <m/>
    <x v="1"/>
    <n v="227"/>
    <s v="Jayson Martinez"/>
    <m/>
  </r>
  <r>
    <x v="57"/>
    <x v="0"/>
    <x v="2"/>
    <s v="CNOW_7210$$$0000015611 DE RS Etikettierungg"/>
    <s v="L000012426"/>
    <s v="L000012426"/>
    <s v="Non-LFF"/>
    <s v=""/>
    <m/>
    <b v="1"/>
    <x v="2"/>
    <x v="1"/>
    <d v="2025-02-05T15:47:25"/>
    <m/>
    <m/>
    <x v="1"/>
    <n v="227"/>
    <s v="Jayson Martinez"/>
    <m/>
  </r>
  <r>
    <x v="57"/>
    <x v="0"/>
    <x v="2"/>
    <s v="CNOW_7210$$$0000015614 DE RS Etikettendruck"/>
    <s v="L000012426"/>
    <s v="L000012426"/>
    <s v="Non-LFF"/>
    <s v=""/>
    <m/>
    <b v="1"/>
    <x v="2"/>
    <x v="1"/>
    <d v="2025-02-05T15:47:25"/>
    <m/>
    <m/>
    <x v="1"/>
    <n v="227"/>
    <s v="Jayson Martinez"/>
    <m/>
  </r>
  <r>
    <x v="57"/>
    <x v="0"/>
    <x v="2"/>
    <s v="CNOW_7210$$$0000015615 DE SAFC Food Filling"/>
    <s v="L000012426"/>
    <s v="L000012426"/>
    <s v="Non-LFF"/>
    <s v=""/>
    <m/>
    <b v="1"/>
    <x v="2"/>
    <x v="1"/>
    <d v="2025-02-05T15:47:25"/>
    <m/>
    <m/>
    <x v="1"/>
    <n v="227"/>
    <s v="Jayson Martinez"/>
    <m/>
  </r>
  <r>
    <x v="57"/>
    <x v="0"/>
    <x v="2"/>
    <s v="CNOW_7210$$$0000015620 DE RS Air Sensitive Filling"/>
    <s v="L000012426"/>
    <s v="L000012426"/>
    <s v="Non-LFF"/>
    <s v=""/>
    <m/>
    <b v="1"/>
    <x v="2"/>
    <x v="1"/>
    <d v="2025-02-05T15:47:25"/>
    <m/>
    <m/>
    <x v="1"/>
    <n v="227"/>
    <s v="Jayson Martinez"/>
    <m/>
  </r>
  <r>
    <x v="57"/>
    <x v="0"/>
    <x v="2"/>
    <s v="CNOW_7210$$$0000015710 DE RS Purchasing/Sourcing"/>
    <s v="L000012426"/>
    <s v="L000012426"/>
    <s v="Non-LFF"/>
    <s v=""/>
    <m/>
    <b v="1"/>
    <x v="2"/>
    <x v="1"/>
    <d v="2025-02-05T15:47:25"/>
    <m/>
    <m/>
    <x v="1"/>
    <n v="227"/>
    <s v="Jayson Martinez"/>
    <m/>
  </r>
  <r>
    <x v="57"/>
    <x v="0"/>
    <x v="2"/>
    <s v="CNOW_7210$$$0000015919 STH MAOH CCV"/>
    <s v="L000012426"/>
    <s v="L000012426"/>
    <s v="Non-LFF"/>
    <s v=""/>
    <m/>
    <b v="1"/>
    <x v="2"/>
    <x v="1"/>
    <d v="2025-02-05T15:47:25"/>
    <m/>
    <m/>
    <x v="1"/>
    <n v="227"/>
    <s v="Jayson Martinez"/>
    <m/>
  </r>
  <r>
    <x v="57"/>
    <x v="0"/>
    <x v="2"/>
    <s v="CNOW_7210$$$0000015940 STH MAOH CCV"/>
    <s v="L000012426"/>
    <s v="L000012426"/>
    <s v="Non-LFF"/>
    <s v=""/>
    <m/>
    <b v="1"/>
    <x v="2"/>
    <x v="1"/>
    <d v="2025-02-05T15:47:25"/>
    <m/>
    <m/>
    <x v="1"/>
    <n v="227"/>
    <s v="Jayson Martinez"/>
    <m/>
  </r>
  <r>
    <x v="57"/>
    <x v="0"/>
    <x v="2"/>
    <s v="CNOW_7210$$$0000015941 STH TOLSO charges"/>
    <s v="L000012426"/>
    <s v="L000012426"/>
    <s v="Non-LFF"/>
    <s v=""/>
    <m/>
    <b v="1"/>
    <x v="2"/>
    <x v="1"/>
    <d v="2025-02-05T15:47:25"/>
    <m/>
    <m/>
    <x v="1"/>
    <n v="227"/>
    <s v="Jayson Martinez"/>
    <m/>
  </r>
  <r>
    <x v="57"/>
    <x v="0"/>
    <x v="2"/>
    <s v="CNOW_7210$$$0000015995 DE RS SG&amp;A KG Steinheim"/>
    <s v="L000012426"/>
    <s v="L000012426"/>
    <s v="Non-LFF"/>
    <s v=""/>
    <m/>
    <b v="1"/>
    <x v="2"/>
    <x v="1"/>
    <d v="2025-02-05T15:47:25"/>
    <m/>
    <m/>
    <x v="1"/>
    <n v="227"/>
    <s v="Jayson Martinez"/>
    <m/>
  </r>
  <r>
    <x v="57"/>
    <x v="0"/>
    <x v="2"/>
    <s v="CNOW_7210$$$0000051910 DE SAFC Filling Station Bulk / F&amp;F"/>
    <s v="L000012426"/>
    <s v="L000012426"/>
    <s v="Non-LFF"/>
    <s v=""/>
    <m/>
    <b v="1"/>
    <x v="2"/>
    <x v="1"/>
    <d v="2025-02-05T15:47:25"/>
    <m/>
    <m/>
    <x v="1"/>
    <n v="227"/>
    <s v="Jayson Martinez"/>
    <m/>
  </r>
  <r>
    <x v="57"/>
    <x v="0"/>
    <x v="2"/>
    <s v="CNOW_7210$$$0000051911 DE-PC SAFC Filling Station Bulk/F&amp;F"/>
    <s v="L000012426"/>
    <s v="L000012426"/>
    <s v="Non-LFF"/>
    <s v=""/>
    <m/>
    <b v="1"/>
    <x v="2"/>
    <x v="1"/>
    <d v="2025-02-05T15:47:25"/>
    <m/>
    <m/>
    <x v="1"/>
    <n v="227"/>
    <s v="Jayson Martinez"/>
    <m/>
  </r>
  <r>
    <x v="57"/>
    <x v="0"/>
    <x v="2"/>
    <s v="CNOW_7210$$$0000051912 DE-PC RS Lables &amp; Prepack Filling"/>
    <s v="L000012426"/>
    <s v="L000012426"/>
    <s v="Non-LFF"/>
    <s v=""/>
    <m/>
    <b v="1"/>
    <x v="2"/>
    <x v="1"/>
    <d v="2025-02-05T15:47:25"/>
    <m/>
    <m/>
    <x v="1"/>
    <n v="227"/>
    <s v="Jayson Martinez"/>
    <m/>
  </r>
  <r>
    <x v="57"/>
    <x v="0"/>
    <x v="2"/>
    <s v="CNOW_7210$$$0000051914 DE-PC SAFC Food Filling"/>
    <s v="L000012426"/>
    <s v="L000012426"/>
    <s v="Non-LFF"/>
    <s v=""/>
    <m/>
    <b v="1"/>
    <x v="2"/>
    <x v="1"/>
    <d v="2025-02-05T15:47:25"/>
    <m/>
    <m/>
    <x v="1"/>
    <n v="227"/>
    <s v="Jayson Martinez"/>
    <m/>
  </r>
  <r>
    <x v="57"/>
    <x v="0"/>
    <x v="2"/>
    <s v="CNOW_7210$$$0000051915 DE-PC RS Air Sensitive Filling"/>
    <s v="L000012426"/>
    <s v="L000012426"/>
    <s v="Non-LFF"/>
    <s v=""/>
    <m/>
    <b v="1"/>
    <x v="2"/>
    <x v="1"/>
    <d v="2025-02-05T15:47:25"/>
    <m/>
    <m/>
    <x v="1"/>
    <n v="227"/>
    <s v="Jayson Martinez"/>
    <m/>
  </r>
  <r>
    <x v="57"/>
    <x v="0"/>
    <x v="2"/>
    <s v="CNOW_7210$$$0000051926 DE RE CoGs Logistic - Steinheim"/>
    <s v="L000012426"/>
    <s v="L000012426"/>
    <s v="Non-LFF"/>
    <s v=""/>
    <m/>
    <b v="1"/>
    <x v="2"/>
    <x v="1"/>
    <d v="2025-02-05T15:47:25"/>
    <m/>
    <m/>
    <x v="1"/>
    <n v="227"/>
    <s v="Jayson Martinez"/>
    <m/>
  </r>
  <r>
    <x v="57"/>
    <x v="0"/>
    <x v="2"/>
    <s v="CNOW_7210$$$0000051936 DE-PC RS Pilot Plant Production"/>
    <s v="L000012426"/>
    <s v="L000012426"/>
    <s v="Non-LFF"/>
    <s v=""/>
    <m/>
    <b v="1"/>
    <x v="2"/>
    <x v="1"/>
    <d v="2025-02-05T15:47:25"/>
    <m/>
    <m/>
    <x v="1"/>
    <n v="227"/>
    <s v="Jayson Martinez"/>
    <m/>
  </r>
  <r>
    <x v="57"/>
    <x v="0"/>
    <x v="2"/>
    <s v="CNOW_7210$$$0000051937 DE BT Sigma Genosys Production"/>
    <s v="L000012426"/>
    <s v="L000012426"/>
    <s v="Non-LFF"/>
    <s v=""/>
    <m/>
    <b v="1"/>
    <x v="2"/>
    <x v="1"/>
    <d v="2025-02-05T15:47:25"/>
    <m/>
    <m/>
    <x v="1"/>
    <n v="227"/>
    <s v="Jayson Martinez"/>
    <m/>
  </r>
  <r>
    <x v="57"/>
    <x v="0"/>
    <x v="2"/>
    <s v="CNOW_7210$$$0000052070 ICON DE 15104"/>
    <s v="L000012426"/>
    <s v="L000012426"/>
    <s v="Non-LFF"/>
    <s v=""/>
    <m/>
    <b v="1"/>
    <x v="2"/>
    <x v="1"/>
    <d v="2025-02-05T15:47:25"/>
    <m/>
    <m/>
    <x v="1"/>
    <n v="227"/>
    <s v="Jayson Martinez"/>
    <m/>
  </r>
  <r>
    <x v="57"/>
    <x v="0"/>
    <x v="2"/>
    <s v="CNOW_7210$$$0000052074 ICON DE 15305"/>
    <s v="L000012426"/>
    <s v="L000012426"/>
    <s v="Non-LFF"/>
    <s v=""/>
    <m/>
    <b v="1"/>
    <x v="2"/>
    <x v="1"/>
    <d v="2025-02-05T15:47:25"/>
    <m/>
    <m/>
    <x v="1"/>
    <n v="227"/>
    <s v="Jayson Martinez"/>
    <m/>
  </r>
  <r>
    <x v="57"/>
    <x v="0"/>
    <x v="2"/>
    <s v="CNOW_7210$$$0000052077 ICON DE 15550"/>
    <s v="L000012426"/>
    <s v="L000012426"/>
    <s v="Non-LFF"/>
    <s v=""/>
    <m/>
    <b v="1"/>
    <x v="2"/>
    <x v="1"/>
    <d v="2025-02-05T15:47:25"/>
    <m/>
    <m/>
    <x v="1"/>
    <n v="227"/>
    <s v="Jayson Martinez"/>
    <m/>
  </r>
  <r>
    <x v="57"/>
    <x v="0"/>
    <x v="2"/>
    <s v="CNOW_7210$$$0000052078 ICON DE 15600"/>
    <s v="L000012426"/>
    <s v="L000012426"/>
    <s v="Non-LFF"/>
    <s v=""/>
    <m/>
    <b v="1"/>
    <x v="2"/>
    <x v="1"/>
    <d v="2025-02-05T15:47:25"/>
    <m/>
    <m/>
    <x v="1"/>
    <n v="227"/>
    <s v="Jayson Martinez"/>
    <m/>
  </r>
  <r>
    <x v="57"/>
    <x v="0"/>
    <x v="2"/>
    <s v="CNOW_7210$$$0000052079 ICON DE 15610"/>
    <s v="L000012426"/>
    <s v="L000012426"/>
    <s v="Non-LFF"/>
    <s v=""/>
    <m/>
    <b v="1"/>
    <x v="2"/>
    <x v="1"/>
    <d v="2025-02-05T15:47:25"/>
    <m/>
    <m/>
    <x v="1"/>
    <n v="227"/>
    <s v="Jayson Martinez"/>
    <m/>
  </r>
  <r>
    <x v="57"/>
    <x v="0"/>
    <x v="2"/>
    <s v="CNOW_7210$$$0000052080 ICON DE 15611"/>
    <s v="L000012426"/>
    <s v="L000012426"/>
    <s v="Non-LFF"/>
    <s v=""/>
    <m/>
    <b v="1"/>
    <x v="2"/>
    <x v="1"/>
    <d v="2025-02-05T15:47:25"/>
    <m/>
    <m/>
    <x v="1"/>
    <n v="227"/>
    <s v="Jayson Martinez"/>
    <m/>
  </r>
  <r>
    <x v="57"/>
    <x v="0"/>
    <x v="2"/>
    <s v="CNOW_7210$$$0000052081 ICON DE 15614"/>
    <s v="L000012426"/>
    <s v="L000012426"/>
    <s v="Non-LFF"/>
    <s v=""/>
    <m/>
    <b v="1"/>
    <x v="2"/>
    <x v="1"/>
    <d v="2025-02-05T15:47:25"/>
    <m/>
    <m/>
    <x v="1"/>
    <n v="227"/>
    <s v="Jayson Martinez"/>
    <m/>
  </r>
  <r>
    <x v="57"/>
    <x v="0"/>
    <x v="2"/>
    <s v="CNOW_7210$$$0000052082 ICON DE 15615"/>
    <s v="L000012426"/>
    <s v="L000012426"/>
    <s v="Non-LFF"/>
    <s v=""/>
    <m/>
    <b v="1"/>
    <x v="2"/>
    <x v="1"/>
    <d v="2025-02-05T15:47:25"/>
    <m/>
    <m/>
    <x v="1"/>
    <n v="227"/>
    <s v="Jayson Martinez"/>
    <m/>
  </r>
  <r>
    <x v="57"/>
    <x v="0"/>
    <x v="2"/>
    <s v="CNOW_7210$$$0000052083 ICON DE 15620"/>
    <s v="L000012426"/>
    <s v="L000012426"/>
    <s v="Non-LFF"/>
    <s v=""/>
    <m/>
    <b v="1"/>
    <x v="2"/>
    <x v="1"/>
    <d v="2025-02-05T15:47:25"/>
    <m/>
    <m/>
    <x v="1"/>
    <n v="227"/>
    <s v="Jayson Martinez"/>
    <m/>
  </r>
  <r>
    <x v="57"/>
    <x v="0"/>
    <x v="2"/>
    <s v="CNOW_7210$$$0000052084 ICON DE 15320"/>
    <s v="L000012426"/>
    <s v="L000012426"/>
    <s v="Non-LFF"/>
    <s v=""/>
    <m/>
    <b v="1"/>
    <x v="2"/>
    <x v="1"/>
    <d v="2025-02-05T15:47:25"/>
    <m/>
    <m/>
    <x v="1"/>
    <n v="227"/>
    <s v="Jayson Martinez"/>
    <m/>
  </r>
  <r>
    <x v="57"/>
    <x v="0"/>
    <x v="2"/>
    <s v="CNOW_7210$$$0000052085 ICON DE 15350"/>
    <s v="L000012426"/>
    <s v="L000012426"/>
    <s v="Non-LFF"/>
    <s v=""/>
    <m/>
    <b v="1"/>
    <x v="2"/>
    <x v="1"/>
    <d v="2025-02-05T15:47:25"/>
    <m/>
    <m/>
    <x v="1"/>
    <n v="227"/>
    <s v="Jayson Martinez"/>
    <m/>
  </r>
  <r>
    <x v="57"/>
    <x v="0"/>
    <x v="2"/>
    <s v="CNOW_7210$$$0000052086 ICON DE 15355"/>
    <s v="L000012426"/>
    <s v="L000012426"/>
    <s v="Non-LFF"/>
    <s v=""/>
    <m/>
    <b v="1"/>
    <x v="2"/>
    <x v="1"/>
    <d v="2025-02-05T15:47:25"/>
    <m/>
    <m/>
    <x v="1"/>
    <n v="227"/>
    <s v="Jayson Martinez"/>
    <m/>
  </r>
  <r>
    <x v="57"/>
    <x v="0"/>
    <x v="2"/>
    <s v="CNOW_7210$$$0000052087 ICON DE 15360"/>
    <s v="L000012426"/>
    <s v="L000012426"/>
    <s v="Non-LFF"/>
    <s v=""/>
    <m/>
    <b v="1"/>
    <x v="2"/>
    <x v="1"/>
    <d v="2025-02-05T15:47:25"/>
    <m/>
    <m/>
    <x v="1"/>
    <n v="227"/>
    <s v="Jayson Martinez"/>
    <m/>
  </r>
  <r>
    <x v="57"/>
    <x v="0"/>
    <x v="2"/>
    <s v="CNOW_7210$$$0000052088 ICON DE 15404"/>
    <s v="L000012426"/>
    <s v="L000012426"/>
    <s v="Non-LFF"/>
    <s v=""/>
    <m/>
    <b v="1"/>
    <x v="2"/>
    <x v="1"/>
    <d v="2025-02-05T15:47:25"/>
    <m/>
    <m/>
    <x v="1"/>
    <n v="227"/>
    <s v="Jayson Martinez"/>
    <m/>
  </r>
  <r>
    <x v="57"/>
    <x v="0"/>
    <x v="2"/>
    <s v="CNOW_7210$$$0000052090 ICON DE 15570"/>
    <s v="L000012426"/>
    <s v="L000012426"/>
    <s v="Non-LFF"/>
    <s v=""/>
    <m/>
    <b v="1"/>
    <x v="2"/>
    <x v="1"/>
    <d v="2025-02-05T15:47:25"/>
    <m/>
    <m/>
    <x v="1"/>
    <n v="227"/>
    <s v="Jayson Martinez"/>
    <m/>
  </r>
  <r>
    <x v="57"/>
    <x v="0"/>
    <x v="2"/>
    <s v="CNOW_7210$$$0000052093 ICON DE 15710"/>
    <s v="L000012426"/>
    <s v="L000012426"/>
    <s v="Non-LFF"/>
    <s v=""/>
    <m/>
    <b v="1"/>
    <x v="2"/>
    <x v="1"/>
    <d v="2025-02-05T15:47:25"/>
    <m/>
    <m/>
    <x v="1"/>
    <n v="227"/>
    <s v="Jayson Martinez"/>
    <m/>
  </r>
  <r>
    <x v="57"/>
    <x v="0"/>
    <x v="2"/>
    <s v="CNOW_7210$$$0000052157 STH MAOH Absorption"/>
    <s v="L000012426"/>
    <s v="L000012426"/>
    <s v="Non-LFF"/>
    <s v=""/>
    <m/>
    <b v="1"/>
    <x v="2"/>
    <x v="1"/>
    <d v="2025-02-05T15:47:25"/>
    <m/>
    <m/>
    <x v="1"/>
    <n v="227"/>
    <s v="Jayson Martinez"/>
    <m/>
  </r>
  <r>
    <x v="57"/>
    <x v="0"/>
    <x v="2"/>
    <s v="CNOW_7210$$$0000052172 ICON DE 15941"/>
    <s v="L000012426"/>
    <s v="L000012426"/>
    <s v="Non-LFF"/>
    <s v=""/>
    <m/>
    <b v="1"/>
    <x v="2"/>
    <x v="1"/>
    <d v="2025-02-05T15:47:25"/>
    <m/>
    <m/>
    <x v="1"/>
    <n v="227"/>
    <s v="Jayson Martinez"/>
    <m/>
  </r>
  <r>
    <x v="57"/>
    <x v="0"/>
    <x v="2"/>
    <s v="CNOW_7210$$$0000058241 STH R&amp;D Production"/>
    <s v="L000012426"/>
    <s v="L000012426"/>
    <s v="Non-LFF"/>
    <s v=""/>
    <m/>
    <b v="1"/>
    <x v="2"/>
    <x v="1"/>
    <d v="2025-02-05T15:47:25"/>
    <m/>
    <m/>
    <x v="1"/>
    <n v="227"/>
    <s v="Jayson Martinez"/>
    <m/>
  </r>
  <r>
    <x v="57"/>
    <x v="0"/>
    <x v="2"/>
    <s v="CNOW_7210$$$0000058242 STH Lab Production"/>
    <s v="L000012426"/>
    <s v="L000012426"/>
    <s v="Non-LFF"/>
    <s v=""/>
    <m/>
    <b v="1"/>
    <x v="2"/>
    <x v="1"/>
    <d v="2025-02-05T15:47:25"/>
    <m/>
    <m/>
    <x v="1"/>
    <n v="227"/>
    <s v="Jayson Martinez"/>
    <m/>
  </r>
  <r>
    <x v="57"/>
    <x v="0"/>
    <x v="2"/>
    <s v="CNOW_7210$$$0000058243 STH Pilot Plant Production"/>
    <s v="L000012426"/>
    <s v="L000012426"/>
    <s v="Non-LFF"/>
    <s v=""/>
    <m/>
    <b v="1"/>
    <x v="2"/>
    <x v="1"/>
    <d v="2025-02-05T15:47:25"/>
    <m/>
    <m/>
    <x v="1"/>
    <n v="227"/>
    <s v="Jayson Martinez"/>
    <m/>
  </r>
  <r>
    <x v="57"/>
    <x v="0"/>
    <x v="2"/>
    <s v="CNOW_7210$$$0000058244 STH Poduction General"/>
    <s v="L000012426"/>
    <s v="L000012426"/>
    <s v="Non-LFF"/>
    <s v=""/>
    <m/>
    <b v="1"/>
    <x v="2"/>
    <x v="1"/>
    <d v="2025-02-05T15:47:25"/>
    <m/>
    <m/>
    <x v="1"/>
    <n v="227"/>
    <s v="Jayson Martinez"/>
    <m/>
  </r>
  <r>
    <x v="57"/>
    <x v="0"/>
    <x v="2"/>
    <s v="CNOW_7210$$$0000058245 STH Oligo Production"/>
    <s v="L000012426"/>
    <s v="L000012426"/>
    <s v="Non-LFF"/>
    <s v=""/>
    <m/>
    <b v="1"/>
    <x v="2"/>
    <x v="1"/>
    <d v="2025-02-05T15:47:25"/>
    <m/>
    <m/>
    <x v="1"/>
    <n v="227"/>
    <s v="Jayson Martinez"/>
    <m/>
  </r>
  <r>
    <x v="57"/>
    <x v="0"/>
    <x v="2"/>
    <s v="CNOW_7210$$$0000058251 STH Apprentices Production"/>
    <s v="L000012426"/>
    <s v="L000012426"/>
    <s v="Non-LFF"/>
    <s v=""/>
    <m/>
    <b v="1"/>
    <x v="2"/>
    <x v="1"/>
    <d v="2025-02-05T15:47:25"/>
    <m/>
    <m/>
    <x v="1"/>
    <n v="227"/>
    <s v="Jayson Martinez"/>
    <m/>
  </r>
  <r>
    <x v="57"/>
    <x v="0"/>
    <x v="2"/>
    <s v="CNOW_7210$$$0000058261 STH Other Inc/Exp Production"/>
    <s v="L000012426"/>
    <s v="L000012426"/>
    <s v="Non-LFF"/>
    <s v=""/>
    <m/>
    <b v="1"/>
    <x v="2"/>
    <x v="1"/>
    <d v="2025-02-05T15:47:25"/>
    <m/>
    <m/>
    <x v="1"/>
    <n v="227"/>
    <s v="Jayson Martinez"/>
    <m/>
  </r>
  <r>
    <x v="58"/>
    <x v="0"/>
    <x v="2"/>
    <s v="CLFF_1000$$$ZA50GIT10C"/>
    <s v="G000001233"/>
    <s v="G000001233"/>
    <s v="LFF (MDG-F)"/>
    <s v="ZA50GIT10C"/>
    <m/>
    <b v="1"/>
    <x v="0"/>
    <x v="1"/>
    <d v="2025-02-06T14:26:11"/>
    <m/>
    <m/>
    <x v="1"/>
    <n v="226"/>
    <s v="Jay-R Lizardo"/>
    <m/>
  </r>
  <r>
    <x v="58"/>
    <x v="0"/>
    <x v="2"/>
    <s v="CLFF_1000$$$EE50GIT00C"/>
    <s v="H000004185"/>
    <s v="H000004185"/>
    <s v="LFF (MDG-F)"/>
    <s v="EE50GIT00C"/>
    <m/>
    <b v="1"/>
    <x v="0"/>
    <x v="1"/>
    <d v="2025-02-06T14:26:11"/>
    <m/>
    <m/>
    <x v="1"/>
    <n v="226"/>
    <s v="Jay-R Lizardo"/>
    <m/>
  </r>
  <r>
    <x v="58"/>
    <x v="0"/>
    <x v="2"/>
    <s v="CLFF_1000$$$KE50GIT10B"/>
    <s v="G000000279"/>
    <s v="G000000279"/>
    <s v="LFF (MDG-F)"/>
    <s v="KE50GIT10B"/>
    <m/>
    <b v="1"/>
    <x v="0"/>
    <x v="1"/>
    <d v="2025-02-06T14:26:11"/>
    <m/>
    <m/>
    <x v="1"/>
    <n v="226"/>
    <s v="Jay-R Lizardo"/>
    <m/>
  </r>
  <r>
    <x v="58"/>
    <x v="0"/>
    <x v="2"/>
    <s v="CLFF_1000$$$KE50GIT10C"/>
    <s v="H000004185"/>
    <s v="H000004185"/>
    <s v="LFF (MDG-F)"/>
    <s v="KE50GIT10C"/>
    <m/>
    <b v="1"/>
    <x v="0"/>
    <x v="1"/>
    <d v="2025-02-06T14:26:11"/>
    <m/>
    <m/>
    <x v="1"/>
    <n v="226"/>
    <s v="Jay-R Lizardo"/>
    <m/>
  </r>
  <r>
    <x v="58"/>
    <x v="0"/>
    <x v="2"/>
    <s v="CNOW_7210$$$0000051458"/>
    <s v="L000013808"/>
    <s v="L000013808"/>
    <s v="Non-LFF"/>
    <s v=""/>
    <m/>
    <b v="1"/>
    <x v="0"/>
    <x v="1"/>
    <d v="2025-02-06T14:26:11"/>
    <m/>
    <m/>
    <x v="1"/>
    <n v="226"/>
    <s v="Jay-R Lizardo"/>
    <m/>
  </r>
  <r>
    <x v="59"/>
    <x v="0"/>
    <x v="2"/>
    <s v="CORAERP_MMOR1945.9115"/>
    <s v="G000001174"/>
    <s v="G000001174"/>
    <s v="Non-LFF"/>
    <s v=""/>
    <m/>
    <b v="1"/>
    <x v="0"/>
    <x v="1"/>
    <d v="2025-02-07T13:27:47"/>
    <m/>
    <m/>
    <x v="1"/>
    <n v="225"/>
    <s v="Jojeff Tagnong"/>
    <m/>
  </r>
  <r>
    <x v="59"/>
    <x v="0"/>
    <x v="4"/>
    <s v="CLFF_1000$$$DE10G69660"/>
    <s v="G000001174"/>
    <s v="G000001174"/>
    <s v="LFF (MDG-F)"/>
    <s v="DE10G69660"/>
    <m/>
    <b v="1"/>
    <x v="0"/>
    <x v="1"/>
    <d v="2025-02-07T13:27:47"/>
    <m/>
    <m/>
    <x v="1"/>
    <n v="225"/>
    <s v="Jojeff Tagnong"/>
    <e v="#REF!"/>
  </r>
  <r>
    <x v="60"/>
    <x v="0"/>
    <x v="2"/>
    <s v="CLFF_1000$$$DE20506400"/>
    <s v="G000000353"/>
    <s v="G000000353"/>
    <s v="LFF (MDG-F)"/>
    <s v="DE20506400"/>
    <m/>
    <b v="1"/>
    <x v="0"/>
    <x v="1"/>
    <d v="2025-02-10T09:59:05"/>
    <d v="2025-02-13T00:00:00"/>
    <d v="2025-02-13T00:00:00"/>
    <x v="0"/>
    <n v="3"/>
    <s v="Francesco Ricioppo"/>
    <m/>
  </r>
  <r>
    <x v="61"/>
    <x v="0"/>
    <x v="2"/>
    <s v="CLFF_1000$$$DE10624905"/>
    <s v="G000000235"/>
    <s v="G000000235"/>
    <s v="LFF (MDG-F)"/>
    <s v="DE10624905"/>
    <s v="Already mapped but not yet replicated in TM1."/>
    <b v="1"/>
    <x v="0"/>
    <x v="1"/>
    <d v="2025-02-11T04:00:09"/>
    <m/>
    <m/>
    <x v="1"/>
    <n v="223"/>
    <s v="Jojeff Tagnong"/>
    <m/>
  </r>
  <r>
    <x v="61"/>
    <x v="0"/>
    <x v="2"/>
    <s v="CLFF_1000$$$DE10624906"/>
    <s v="G000000235"/>
    <s v="G000000235"/>
    <s v="LFF (MDG-F)"/>
    <s v="DE10624906"/>
    <m/>
    <b v="1"/>
    <x v="0"/>
    <x v="1"/>
    <d v="2025-02-11T04:00:09"/>
    <m/>
    <m/>
    <x v="1"/>
    <n v="223"/>
    <s v="Jojeff Tagnong"/>
    <m/>
  </r>
  <r>
    <x v="62"/>
    <x v="0"/>
    <x v="2"/>
    <s v="CLFF_1000$$$DE10GIT04K"/>
    <s v="G000000893"/>
    <s v="G000000893"/>
    <s v="LFF (MDG-F)"/>
    <s v="DE10GIT04K"/>
    <m/>
    <b v="1"/>
    <x v="0"/>
    <x v="1"/>
    <d v="2025-02-12T04:00:09"/>
    <m/>
    <m/>
    <x v="1"/>
    <n v="222"/>
    <s v="Jay-R Lizardo"/>
    <m/>
  </r>
  <r>
    <x v="63"/>
    <x v="0"/>
    <x v="2"/>
    <s v="CLFF_7210$$$2034C00019 Hub Organoids"/>
    <s v="L000007871"/>
    <s v="L000007871"/>
    <s v="LFF (MDG-F)"/>
    <s v="2034C00019"/>
    <m/>
    <b v="1"/>
    <x v="2"/>
    <x v="1"/>
    <d v="2025-02-13T09:20:50"/>
    <d v="2025-02-24T00:00:00"/>
    <d v="2025-02-24T00:00:00"/>
    <x v="1"/>
    <n v="7"/>
    <s v="Jayson Martinez"/>
    <m/>
  </r>
  <r>
    <x v="64"/>
    <x v="0"/>
    <x v="2"/>
    <s v="CPHOENX_01010000648610 CDMO mRNA Quality"/>
    <s v="L000013824"/>
    <s v="L000013824"/>
    <s v="Non-LFF"/>
    <s v=""/>
    <s v="Requested node is non-existent. Reached out with the requester."/>
    <b v="1"/>
    <x v="2"/>
    <x v="1"/>
    <d v="2025-02-13T14:41:14"/>
    <d v="2025-02-18T00:00:00"/>
    <d v="2025-02-18T00:00:00"/>
    <x v="0"/>
    <n v="3"/>
    <s v="Marvin Graef"/>
    <m/>
  </r>
  <r>
    <x v="64"/>
    <x v="0"/>
    <x v="2"/>
    <s v="CPHOENX_01010000604750 mRNA QC Quality"/>
    <s v="L000013824"/>
    <s v="L000013824"/>
    <s v="Non-LFF"/>
    <s v=""/>
    <s v="Requested node is non-existent. Reached out with the requester."/>
    <b v="1"/>
    <x v="2"/>
    <x v="1"/>
    <d v="2025-02-13T14:41:14"/>
    <d v="2025-02-18T00:00:00"/>
    <d v="2025-02-18T00:00:00"/>
    <x v="0"/>
    <n v="3"/>
    <s v="Marvin Graef"/>
    <m/>
  </r>
  <r>
    <x v="64"/>
    <x v="0"/>
    <x v="2"/>
    <s v="CPHOENX_01010000648912 CDMO mRNA QC Hamburg"/>
    <s v="L000013824"/>
    <s v="L000013824"/>
    <s v="Non-LFF"/>
    <s v=""/>
    <s v="Requested node is non-existent. Reached out with the requester."/>
    <b v="1"/>
    <x v="2"/>
    <x v="1"/>
    <d v="2025-02-13T14:41:14"/>
    <d v="2025-02-18T00:00:00"/>
    <d v="2025-02-18T00:00:00"/>
    <x v="0"/>
    <n v="3"/>
    <s v="Marvin Graef"/>
    <m/>
  </r>
  <r>
    <x v="64"/>
    <x v="0"/>
    <x v="2"/>
    <s v="CPHOENX_01010000648916 CDMO mRNA Management Darmstadt/Hamburg"/>
    <s v="L000013825"/>
    <s v="L000013825"/>
    <s v="Non-LFF"/>
    <s v=""/>
    <s v="Requested node is non-existent. Reached out with the requester."/>
    <b v="1"/>
    <x v="2"/>
    <x v="1"/>
    <d v="2025-02-13T14:41:14"/>
    <d v="2025-02-18T00:00:00"/>
    <d v="2025-02-18T00:00:00"/>
    <x v="0"/>
    <n v="3"/>
    <s v="Marvin Graef"/>
    <m/>
  </r>
  <r>
    <x v="64"/>
    <x v="0"/>
    <x v="2"/>
    <s v="CPHOENX_01010000648921 Alloc. PPA Amptec to RPP Amort Intang"/>
    <s v="L000013825"/>
    <s v="L000013825"/>
    <s v="Non-LFF"/>
    <s v=""/>
    <s v="Requested node is non-existent. Reached out with the requester."/>
    <b v="1"/>
    <x v="2"/>
    <x v="1"/>
    <d v="2025-02-13T14:41:14"/>
    <d v="2025-02-18T00:00:00"/>
    <d v="2025-02-18T00:00:00"/>
    <x v="0"/>
    <n v="3"/>
    <s v="Marvin Graef"/>
    <m/>
  </r>
  <r>
    <x v="64"/>
    <x v="0"/>
    <x v="2"/>
    <s v="CPHOENX_01010000648913 CDMO mRNA Engineering"/>
    <s v="L000013825"/>
    <s v="L000013825"/>
    <s v="Non-LFF"/>
    <s v=""/>
    <s v="Requested node is non-existent. Reached out with the requester."/>
    <b v="1"/>
    <x v="2"/>
    <x v="1"/>
    <d v="2025-02-13T14:41:14"/>
    <d v="2025-02-18T00:00:00"/>
    <d v="2025-02-18T00:00:00"/>
    <x v="0"/>
    <n v="3"/>
    <s v="Marvin Graef"/>
    <m/>
  </r>
  <r>
    <x v="64"/>
    <x v="0"/>
    <x v="2"/>
    <s v="CPHOENX_01010000648914 CDMO mRNA Supply Chain"/>
    <s v="L000013825"/>
    <s v="L000013825"/>
    <s v="Non-LFF"/>
    <s v=""/>
    <s v="Requested node is non-existent. Reached out with the requester."/>
    <b v="1"/>
    <x v="2"/>
    <x v="1"/>
    <d v="2025-02-13T14:41:14"/>
    <d v="2025-02-18T00:00:00"/>
    <d v="2025-02-18T00:00:00"/>
    <x v="0"/>
    <n v="3"/>
    <s v="Marvin Graef"/>
    <m/>
  </r>
  <r>
    <x v="64"/>
    <x v="0"/>
    <x v="2"/>
    <s v="CPHOENX_01010000648915 Site HH General &amp; EHS"/>
    <s v="L000013825"/>
    <s v="L000013825"/>
    <s v="Non-LFF"/>
    <s v=""/>
    <s v="Requested node is non-existent. Reached out with the requester."/>
    <b v="1"/>
    <x v="2"/>
    <x v="1"/>
    <d v="2025-02-13T14:41:14"/>
    <d v="2025-02-18T00:00:00"/>
    <d v="2025-02-18T00:00:00"/>
    <x v="0"/>
    <n v="3"/>
    <s v="Marvin Graef"/>
    <m/>
  </r>
  <r>
    <x v="64"/>
    <x v="0"/>
    <x v="2"/>
    <s v="CPHOENX_01010000648917 CDMO mRNA IT/OT"/>
    <s v="L000013825"/>
    <s v="L000013825"/>
    <s v="Non-LFF"/>
    <s v=""/>
    <s v="Requested node is non-existent. Reached out with the requester."/>
    <b v="1"/>
    <x v="2"/>
    <x v="1"/>
    <d v="2025-02-13T14:41:14"/>
    <d v="2025-02-18T00:00:00"/>
    <d v="2025-02-18T00:00:00"/>
    <x v="0"/>
    <n v="3"/>
    <s v="Marvin Graef"/>
    <m/>
  </r>
  <r>
    <x v="65"/>
    <x v="0"/>
    <x v="2"/>
    <s v="CNOW_7210$$$0000051707 LS-IT-N BUSINESS PARTNER GLOBAL"/>
    <s v="L000013391"/>
    <s v="L000013391"/>
    <s v="Non-LFF"/>
    <s v=""/>
    <m/>
    <b v="1"/>
    <x v="0"/>
    <x v="1"/>
    <d v="2025-02-14T12:08:32"/>
    <d v="2025-02-17T00:00:00"/>
    <d v="2025-02-17T00:00:00"/>
    <x v="0"/>
    <n v="1"/>
    <s v="Jay-R Lizardo"/>
    <m/>
  </r>
  <r>
    <x v="65"/>
    <x v="0"/>
    <x v="2"/>
    <s v="CNOW_7210$$$0000023582 LS ERP-IT ONE ERP"/>
    <s v="L000013808"/>
    <s v="L000013808"/>
    <s v="Non-LFF"/>
    <s v=""/>
    <m/>
    <b v="1"/>
    <x v="0"/>
    <x v="1"/>
    <d v="2025-02-14T12:08:32"/>
    <d v="2025-02-17T00:00:00"/>
    <d v="2025-02-17T00:00:00"/>
    <x v="0"/>
    <n v="1"/>
    <s v="Jay-R Lizardo"/>
    <m/>
  </r>
  <r>
    <x v="65"/>
    <x v="0"/>
    <x v="2"/>
    <s v="CNOW_7210$$$0000057565 LS ERP-IT ONE ERP"/>
    <s v="L000013808"/>
    <s v="L000013808"/>
    <s v="Non-LFF"/>
    <s v=""/>
    <m/>
    <b v="1"/>
    <x v="0"/>
    <x v="1"/>
    <d v="2025-02-14T12:08:32"/>
    <d v="2025-02-17T00:00:00"/>
    <d v="2025-02-17T00:00:00"/>
    <x v="0"/>
    <n v="1"/>
    <s v="Jay-R Lizardo"/>
    <m/>
  </r>
  <r>
    <x v="65"/>
    <x v="0"/>
    <x v="2"/>
    <s v="CNOW_7210$$$0000265235 LS ERP-IT ONE ERP"/>
    <s v="L000013808"/>
    <s v="L000013808"/>
    <s v="Non-LFF"/>
    <s v=""/>
    <m/>
    <b v="1"/>
    <x v="0"/>
    <x v="1"/>
    <d v="2025-02-14T12:08:32"/>
    <d v="2025-02-17T00:00:00"/>
    <d v="2025-02-17T00:00:00"/>
    <x v="0"/>
    <n v="1"/>
    <s v="Jay-R Lizardo"/>
    <m/>
  </r>
  <r>
    <x v="66"/>
    <x v="0"/>
    <x v="2"/>
    <s v="CITR_1000$$$1721IT041"/>
    <s v="G000000244"/>
    <s v="G000000244"/>
    <s v="Non-LFF"/>
    <s v=""/>
    <m/>
    <b v="1"/>
    <x v="0"/>
    <x v="1"/>
    <d v="2025-02-14T13:42:48"/>
    <d v="2025-02-17T00:00:00"/>
    <d v="2025-02-17T00:00:00"/>
    <x v="0"/>
    <n v="1"/>
    <s v="Jay-R Lizardo"/>
    <m/>
  </r>
  <r>
    <x v="67"/>
    <x v="0"/>
    <x v="2"/>
    <s v="CLFF_7210$$$2123L28514 SBS Creative Services"/>
    <s v="G000001314"/>
    <s v="G000001314"/>
    <s v="LFF (MDG-F)"/>
    <s v="2123L28514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OF0002 SBS Green Chem Support"/>
    <s v="G000001315"/>
    <s v="G000001315"/>
    <s v="LFF (MDG-F)"/>
    <s v="2123OF0002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OF0004 Bus &amp; Comp Intel"/>
    <s v="G000001315"/>
    <s v="G000001315"/>
    <s v="LFF (MDG-F)"/>
    <s v="2123OF0004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EMERAL_70006203991602 MM-SIAL Cross charge"/>
    <s v="G000001319"/>
    <s v="G000001319"/>
    <s v="Non-LFF"/>
    <s v="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L70001 SBS - Administration"/>
    <s v="G000001319"/>
    <s v="G000001319"/>
    <s v="LFF (MDG-F)"/>
    <s v="2123L70001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113 LS PS Integrated Marketing Marcom"/>
    <s v="G000001303"/>
    <s v="G000001303"/>
    <s v="LFF (MDG-F)"/>
    <s v="2123C00113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108 Commercial Ed APAC"/>
    <s v="G000001287"/>
    <s v="G000001287"/>
    <s v="LFF (MDG-F)"/>
    <s v="2123C00108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70 AS - MSX MarCom SBS"/>
    <s v="G000001287"/>
    <s v="G000001287"/>
    <s v="LFF (MDG-F)"/>
    <s v="2123C00070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28 SBS Pricing Team AS"/>
    <s v="G000001322"/>
    <s v="G000001322"/>
    <s v="LFF (MDG-F)"/>
    <s v="2123C00028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53 AS Analytics"/>
    <s v="G000001287"/>
    <s v="G000001287"/>
    <s v="LFF (MDG-F)"/>
    <s v="2123C00053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56 RS Strategy Analytics &amp; Insights"/>
    <s v="G000001287"/>
    <s v="G000001287"/>
    <s v="LFF (MDG-F)"/>
    <s v="2123C00056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OF0011 SLS S&amp;S Global Projects"/>
    <s v="G000001287"/>
    <s v="G000001287"/>
    <s v="LFF (MDG-F)"/>
    <s v="2123OF0011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71 BM - SBS Marketing Operations"/>
    <s v="G000001288"/>
    <s v="G000001288"/>
    <s v="LFF (MDG-F)"/>
    <s v="2123C00071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80 BM - SBS Copernic Marketing Service"/>
    <s v="G000001288"/>
    <s v="G000001288"/>
    <s v="LFF (MDG-F)"/>
    <s v="2123C00080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79 BM -Â SBS Strategic Initiatives"/>
    <s v="G000001323"/>
    <s v="G000001323"/>
    <s v="LFF (MDG-F)"/>
    <s v="2123C00079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75 SBS Digital Sales BM IN"/>
    <s v="G000001288"/>
    <s v="G000001288"/>
    <s v="LFF (MDG-F)"/>
    <s v="2123C00075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94 DxRM SBS"/>
    <s v="G000001289"/>
    <s v="G000001289"/>
    <s v="LFF (MDG-F)"/>
    <s v="2123C00094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67 SBS-Digital Specialist"/>
    <s v="G000001290"/>
    <s v="G000001290"/>
    <s v="LFF (MDG-F)"/>
    <s v="2123C00067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S0001 LW WE Service SBS support"/>
    <s v="G000001290"/>
    <s v="G000001290"/>
    <s v="LFF (MDG-F)"/>
    <s v="2123CS0001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S0003 LW NA Service SBS Support"/>
    <s v="G000001290"/>
    <s v="G000001290"/>
    <s v="LFF (MDG-F)"/>
    <s v="2123CS0003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S0057 LW Marketing OPS SBS"/>
    <s v="G000001290"/>
    <s v="G000001290"/>
    <s v="LFF (MDG-F)"/>
    <s v="2123CS0057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R00007 LW SBS Marketing Operations"/>
    <s v="G000001290"/>
    <s v="G000001290"/>
    <s v="LFF (MDG-F)"/>
    <s v="2123R00007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23 Blue on Red"/>
    <s v="G000001291"/>
    <s v="G000001291"/>
    <s v="LFF (MDG-F)"/>
    <s v="2123C00023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29 AS Digital Content"/>
    <s v="G000001291"/>
    <s v="G000001291"/>
    <s v="LFF (MDG-F)"/>
    <s v="2123C00029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8497 XXXSBS Content Curation - LS"/>
    <s v="G000001291"/>
    <s v="G000001291"/>
    <s v="LFF (MDG-F)"/>
    <s v="2123C08497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8528 SMI - SBS Product Ideation"/>
    <s v="G000001291"/>
    <s v="G000001291"/>
    <s v="LFF (MDG-F)"/>
    <s v="2123C08528"/>
    <m/>
    <b v="1"/>
    <x v="0"/>
    <x v="1"/>
    <d v="2025-02-14T15:12:14"/>
    <d v="2025-02-24T00:00:00"/>
    <d v="2025-02-24T00:00:00"/>
    <x v="1"/>
    <n v="6"/>
    <s v="Jojeff Tagnong"/>
    <m/>
  </r>
  <r>
    <x v="67"/>
    <x v="0"/>
    <x v="4"/>
    <s v="EMERAL_70006203991606 SBS Digital Marketing &amp; Prd Mgt"/>
    <s v="G000001291"/>
    <s v="G000001291"/>
    <s v="Non-LFF"/>
    <s v=""/>
    <s v="Mapped in Trash"/>
    <b v="1"/>
    <x v="0"/>
    <x v="1"/>
    <d v="2025-02-14T15:12:14"/>
    <d v="2025-02-24T00:00:00"/>
    <d v="2025-02-24T00:00:00"/>
    <x v="1"/>
    <n v="6"/>
    <s v="Jojeff Tagnong"/>
    <e v="#REF!"/>
  </r>
  <r>
    <x v="67"/>
    <x v="0"/>
    <x v="2"/>
    <s v="CEMERAL_70006203991606 SBS Digital Marketing &amp; Prd Mgt"/>
    <s v="G000001291"/>
    <s v="G000001291"/>
    <s v="Non-LFF"/>
    <s v="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31 SBS LSC DC&amp;S Support"/>
    <s v="G000001292"/>
    <s v="G000001292"/>
    <s v="LFF (MDG-F)"/>
    <s v="2123C00031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33 SBS LSC CS K Support"/>
    <s v="G000001292"/>
    <s v="G000001292"/>
    <s v="LFF (MDG-F)"/>
    <s v="2123C00033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34 SBS LSC PM Support"/>
    <s v="G000001292"/>
    <s v="G000001292"/>
    <s v="LFF (MDG-F)"/>
    <s v="2123C00034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62 Marketing Expense: PM Ops"/>
    <s v="G000001292"/>
    <s v="G000001292"/>
    <s v="LFF (MDG-F)"/>
    <s v="2123C00062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72 CL Operations India"/>
    <s v="G000001292"/>
    <s v="G000001292"/>
    <s v="LFF (MDG-F)"/>
    <s v="2123C00072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142 Marketing Expense"/>
    <s v="G000001292"/>
    <s v="G000001292"/>
    <s v="LFF (MDG-F)"/>
    <s v="2123C00142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8515 SBS - SMI NPI"/>
    <s v="G000001292"/>
    <s v="G000001292"/>
    <s v="LFF (MDG-F)"/>
    <s v="2123C08515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02 R&amp;A Com - Technical Support"/>
    <s v="G000001293"/>
    <s v="G000001293"/>
    <s v="LFF (MDG-F)"/>
    <s v="2123C00002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03 R&amp;A Com - Cash Collection"/>
    <s v="G000001293"/>
    <s v="G000001293"/>
    <s v="LFF (MDG-F)"/>
    <s v="2123C00003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05 R&amp;A Com - Cash Collection NA"/>
    <s v="G000001293"/>
    <s v="G000001293"/>
    <s v="LFF (MDG-F)"/>
    <s v="2123C00005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58 AS Sales Enablement CRM SBS"/>
    <s v="G000001293"/>
    <s v="G000001293"/>
    <s v="LFF (MDG-F)"/>
    <s v="2123C00058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63 AS Sales Enablement TMIC SBS"/>
    <s v="G000001293"/>
    <s v="G000001293"/>
    <s v="LFF (MDG-F)"/>
    <s v="2123C00063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66 SBS Sales Enablement NA"/>
    <s v="G000001293"/>
    <s v="G000001293"/>
    <s v="LFF (MDG-F)"/>
    <s v="2123C00066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8471 R&amp;A Com - Customer Service"/>
    <s v="G000001293"/>
    <s v="G000001293"/>
    <s v="LFF (MDG-F)"/>
    <s v="2123C08471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BS03 SBS-R&amp;A SSO NA"/>
    <s v="G000001293"/>
    <s v="G000001293"/>
    <s v="LFF (MDG-F)"/>
    <s v="2123C0BS03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BS04 SBS-R&amp;A CEx Eff NA"/>
    <s v="G000001293"/>
    <s v="G000001293"/>
    <s v="LFF (MDG-F)"/>
    <s v="2123C0BS04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BS08 SBS-R&amp;A CEX Latam"/>
    <s v="G000001293"/>
    <s v="G000001293"/>
    <s v="LFF (MDG-F)"/>
    <s v="2123C0BS08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BS09 SBS-R&amp;A Cash Collection Latam"/>
    <s v="G000001293"/>
    <s v="G000001293"/>
    <s v="LFF (MDG-F)"/>
    <s v="2123C0BS09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42 SBS Cust Serv APAC"/>
    <s v="G000001294"/>
    <s v="G000001294"/>
    <s v="LFF (MDG-F)"/>
    <s v="2123C00042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50 Mktg Employee Exp"/>
    <s v="G000001294"/>
    <s v="G000001294"/>
    <s v="LFF (MDG-F)"/>
    <s v="2123C00050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61 AAIT - SBS India (SIAL)"/>
    <s v="G000001294"/>
    <s v="G000001294"/>
    <s v="LFF (MDG-F)"/>
    <s v="2123C00061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68 L &amp; P Management-APAC"/>
    <s v="G000001294"/>
    <s v="G000001294"/>
    <s v="LFF (MDG-F)"/>
    <s v="2123C00068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82 APAC MSX SBS"/>
    <s v="G000001294"/>
    <s v="G000001294"/>
    <s v="LFF (MDG-F)"/>
    <s v="2123C00082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04 Com - Cash Collection WE"/>
    <s v="G000001295"/>
    <s v="G000001295"/>
    <s v="LFF (MDG-F)"/>
    <s v="2123C00004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07 R&amp;A Com - Customer Service WE"/>
    <s v="G000001295"/>
    <s v="G000001295"/>
    <s v="LFF (MDG-F)"/>
    <s v="2123C00007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43 SBS Sales Enablement"/>
    <s v="G000001295"/>
    <s v="G000001295"/>
    <s v="LFF (MDG-F)"/>
    <s v="2123C00043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44 SBS Tech Service-Field Marketing-SFDC"/>
    <s v="G000001295"/>
    <s v="G000001295"/>
    <s v="LFF (MDG-F)"/>
    <s v="2123C00044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45 SBS TchSrv EMEA APAC"/>
    <s v="G000001295"/>
    <s v="G000001295"/>
    <s v="LFF (MDG-F)"/>
    <s v="2123C00045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74 SBS Pharma WE"/>
    <s v="G000001295"/>
    <s v="G000001295"/>
    <s v="LFF (MDG-F)"/>
    <s v="2123C00074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85 SBS Demand Planning - Order Management"/>
    <s v="G000001295"/>
    <s v="G000001295"/>
    <s v="LFF (MDG-F)"/>
    <s v="2123C00085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91 DARwin Field Marketing support"/>
    <s v="G000001295"/>
    <s v="G000001295"/>
    <s v="LFF (MDG-F)"/>
    <s v="2123C00091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8478 SMI - SBS Strategic Pricing"/>
    <s v="G000001295"/>
    <s v="G000001295"/>
    <s v="LFF (MDG-F)"/>
    <s v="2123C08478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8504 R&amp;A Com - CRM support"/>
    <s v="G000001295"/>
    <s v="G000001295"/>
    <s v="LFF (MDG-F)"/>
    <s v="2123C08504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BS05 CEx BPEX WE"/>
    <s v="G000001295"/>
    <s v="G000001295"/>
    <s v="LFF (MDG-F)"/>
    <s v="2123C0BS05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BS06 CEx Customer Focus"/>
    <s v="G000001295"/>
    <s v="G000001295"/>
    <s v="LFF (MDG-F)"/>
    <s v="2123C0BS06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BS07 CEx Customer Focus"/>
    <s v="G000001295"/>
    <s v="G000001295"/>
    <s v="LFF (MDG-F)"/>
    <s v="2123C0BS07"/>
    <m/>
    <b v="1"/>
    <x v="0"/>
    <x v="1"/>
    <d v="2025-02-14T15:12:14"/>
    <d v="2025-02-24T00:00:00"/>
    <d v="2025-02-24T00:00:00"/>
    <x v="1"/>
    <n v="6"/>
    <s v="Jojeff Tagnong"/>
    <m/>
  </r>
  <r>
    <x v="67"/>
    <x v="0"/>
    <x v="4"/>
    <s v="EMERAL_70006203991604 MM-SIAL Cross charge"/>
    <s v="G000001295"/>
    <s v="G000001295"/>
    <s v="Non-LFF"/>
    <s v=""/>
    <s v="Mapped in Trash"/>
    <b v="1"/>
    <x v="0"/>
    <x v="1"/>
    <d v="2025-02-14T15:12:14"/>
    <d v="2025-02-24T00:00:00"/>
    <d v="2025-02-24T00:00:00"/>
    <x v="1"/>
    <n v="6"/>
    <s v="Jojeff Tagnong"/>
    <e v="#REF!"/>
  </r>
  <r>
    <x v="67"/>
    <x v="0"/>
    <x v="2"/>
    <s v="CEMERAL_70006203991604 MM-SIAL Cross charge"/>
    <s v="G000001295"/>
    <s v="G000001295"/>
    <s v="Non-LFF"/>
    <s v="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11 SMI - SBS Product Management"/>
    <s v="G000001296"/>
    <s v="G000001296"/>
    <s v="LFF (MDG-F)"/>
    <s v="2123C00011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78 Cell Culture SBS 2"/>
    <s v="G000001296"/>
    <s v="G000001296"/>
    <s v="LFF (MDG-F)"/>
    <s v="2123C00078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8519 SBS - SMI Product Support"/>
    <s v="G000001296"/>
    <s v="G000001296"/>
    <s v="LFF (MDG-F)"/>
    <s v="2123C08519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OF0010 SBS RPA Digitalization &amp; Automation"/>
    <s v="G000001334"/>
    <s v="G000001334"/>
    <s v="LFF (MDG-F)"/>
    <s v="2123OF0010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OF0018 SBS CTS Order Entry"/>
    <s v="G000001299"/>
    <s v="G000001299"/>
    <s v="LFF (MDG-F)"/>
    <s v="2123OF0018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09 SBS - PS Com Analytics"/>
    <s v="G000001337"/>
    <s v="G000001337"/>
    <s v="LFF (MDG-F)"/>
    <s v="2123C00009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22 SBS PS-Com analytics"/>
    <s v="G000001302"/>
    <s v="G000001302"/>
    <s v="LFF (MDG-F)"/>
    <s v="2123C00022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98 SBS Commercial Excellence NA PS"/>
    <s v="G000001302"/>
    <s v="G000001302"/>
    <s v="LFF (MDG-F)"/>
    <s v="2123C00098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103 SFDC Automation Project"/>
    <s v="G000001337"/>
    <s v="G000001337"/>
    <s v="LFF (MDG-F)"/>
    <s v="2123C00103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102 SBS P&amp;FM business operations"/>
    <s v="G000001303"/>
    <s v="G000001303"/>
    <s v="LFF (MDG-F)"/>
    <s v="2123C00102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OF0009 Business Performance - Reporting &amp; Tools"/>
    <s v="G000001303"/>
    <s v="G000001303"/>
    <s v="LFF (MDG-F)"/>
    <s v="2123OF0009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TPSZ91 SBS Direct Purchasing Team"/>
    <s v="G000001306"/>
    <s v="G000001306"/>
    <s v="LFF (MDG-F)"/>
    <s v="2123TPSZ91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TPSZ93 SBS RPA ISCO support"/>
    <s v="G000001341"/>
    <s v="G000001341"/>
    <s v="LFF (MDG-F)"/>
    <s v="2123TPSZ93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L80001 SBS RPA Danvers ISCO"/>
    <s v="G000001307"/>
    <s v="G000001307"/>
    <s v="LFF (MDG-F)"/>
    <s v="2123L80001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TPSZ90 SBS Supply Chain"/>
    <s v="G000001307"/>
    <s v="G000001307"/>
    <s v="LFF (MDG-F)"/>
    <s v="2123TPSZ90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TQJZ94 SBS RPA for APAC Warehouse"/>
    <s v="G000001343"/>
    <s v="G000001343"/>
    <s v="LFF (MDG-F)"/>
    <s v="2123TQJZ94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OF0015 Digital COE Project Management"/>
    <s v="G000001316"/>
    <s v="G000001316"/>
    <s v="LFF (MDG-F)"/>
    <s v="2123OF0015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L50024 LS-QD MDM"/>
    <s v="G000001317"/>
    <s v="G000001317"/>
    <s v="LFF (MDG-F)"/>
    <s v="2123L50024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L58472 LS-Q Regulatory - SBS IN"/>
    <s v="G000001317"/>
    <s v="G000001317"/>
    <s v="LFF (MDG-F)"/>
    <s v="2123L58472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L50006 LS-QD SBS Support"/>
    <s v="G000001317"/>
    <s v="G000001317"/>
    <s v="LFF (MDG-F)"/>
    <s v="2123L50006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L50005 LS-QH SBS Support"/>
    <s v="G000001352"/>
    <s v="G000001352"/>
    <s v="LFF (MDG-F)"/>
    <s v="2123L50005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L50003 LS-QS SBS Support"/>
    <s v="G000001317"/>
    <s v="G000001317"/>
    <s v="LFF (MDG-F)"/>
    <s v="2123L50003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L50004 LS-QR SBS Support"/>
    <s v="G000001317"/>
    <s v="G000001317"/>
    <s v="LFF (MDG-F)"/>
    <s v="2123L50004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112 SBS Enabling Sourcing"/>
    <s v="G000001318"/>
    <s v="G000001318"/>
    <s v="LFF (MDG-F)"/>
    <s v="2123C00112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OF0025 SBS PS Value Stream"/>
    <s v="G000001309"/>
    <s v="G000001309"/>
    <s v="LFF (MDG-F)"/>
    <s v="2123OF0025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OF0024 SBS WCOGS Support"/>
    <s v="G000001310"/>
    <s v="G000001310"/>
    <s v="LFF (MDG-F)"/>
    <s v="2123OF0024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OF0021 SBS ISCO AEM Support"/>
    <s v="G000001311"/>
    <s v="G000001311"/>
    <s v="LFF (MDG-F)"/>
    <s v="2123OF0021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OL000013741_I GSS - SLS (direct input)"/>
    <s v="G000000184"/>
    <s v="G000000184"/>
    <s v="Non-LFF"/>
    <s v="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OL000013752_I GSS - LSS (direct input)"/>
    <s v="G000000184"/>
    <s v="G000000184"/>
    <s v="Non-LFF"/>
    <s v="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OL000013754_I GSS - PS (direct input)"/>
    <s v="G000000184"/>
    <s v="G000000184"/>
    <s v="Non-LFF"/>
    <s v="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OL000013757_I GSS - ISCO (direct input)"/>
    <s v="G000000184"/>
    <s v="G000000184"/>
    <s v="Non-LFF"/>
    <s v="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OL000013761_I Enabling Functions GSS COE (direct input)"/>
    <s v="G000000184"/>
    <s v="G000000184"/>
    <s v="Non-LFF"/>
    <s v=""/>
    <m/>
    <b v="1"/>
    <x v="0"/>
    <x v="1"/>
    <d v="2025-02-14T15:12:14"/>
    <d v="2025-02-24T00:00:00"/>
    <d v="2025-02-24T00:00:00"/>
    <x v="1"/>
    <n v="6"/>
    <s v="Jojeff Tagnong"/>
    <m/>
  </r>
  <r>
    <x v="68"/>
    <x v="0"/>
    <x v="4"/>
    <s v="CLFF_VMCA$$$US20Z01000 Automatic Account Assignment OKB9"/>
    <s v="P000001045"/>
    <s v="P000001045"/>
    <s v="LFF (MDG-F)"/>
    <s v="US20Z01000"/>
    <s v="Not found in MDGF"/>
    <b v="1"/>
    <x v="0"/>
    <x v="1"/>
    <d v="2025-02-17T15:23:20"/>
    <m/>
    <m/>
    <x v="1"/>
    <n v="219"/>
    <s v="Eivy Denine Cruz"/>
    <e v="#REF!"/>
  </r>
  <r>
    <x v="68"/>
    <x v="0"/>
    <x v="4"/>
    <s v="CLFF_VMCA$$$US16Z01000 Automatic Account Assignment OKB9"/>
    <s v="P000001045"/>
    <s v="P000001045"/>
    <s v="LFF (MDG-F)"/>
    <s v="US16Z01000"/>
    <s v="Not found in MDGF"/>
    <b v="1"/>
    <x v="0"/>
    <x v="1"/>
    <d v="2025-02-17T15:23:20"/>
    <m/>
    <m/>
    <x v="1"/>
    <n v="219"/>
    <s v="Eivy Denine Cruz"/>
    <e v="#REF!"/>
  </r>
  <r>
    <x v="68"/>
    <x v="0"/>
    <x v="4"/>
    <s v="CLFF_VMCA$$$US14Z01000 Automatic Account Assignment OKB9"/>
    <s v="P000001045"/>
    <s v="P000001045"/>
    <s v="LFF (MDG-F)"/>
    <s v="US14Z01000"/>
    <s v="Not found in MDGF"/>
    <b v="1"/>
    <x v="0"/>
    <x v="1"/>
    <d v="2025-02-17T15:23:20"/>
    <m/>
    <m/>
    <x v="1"/>
    <n v="219"/>
    <s v="Eivy Denine Cruz"/>
    <e v="#REF!"/>
  </r>
  <r>
    <x v="68"/>
    <x v="0"/>
    <x v="4"/>
    <s v="CLFF_VMCA$$$US15Z01000 Automatic Account Assignment OKB9"/>
    <s v="P000001045"/>
    <s v="P000001045"/>
    <s v="LFF (MDG-F)"/>
    <s v="US15Z01000"/>
    <s v="Not found in MDGF"/>
    <b v="1"/>
    <x v="0"/>
    <x v="1"/>
    <d v="2025-02-17T15:23:20"/>
    <m/>
    <m/>
    <x v="1"/>
    <n v="219"/>
    <s v="Eivy Denine Cruz"/>
    <e v="#REF!"/>
  </r>
  <r>
    <x v="68"/>
    <x v="0"/>
    <x v="4"/>
    <s v="CLFF_1000$$$US01TNHZ06 EL-SC-E Capital Efficiency &amp; Project Dev"/>
    <s v="P000001191"/>
    <s v="P000001191"/>
    <s v="LFF (MDG-F)"/>
    <s v="US01TNHZ06"/>
    <s v="Manually added in the parent node."/>
    <b v="1"/>
    <x v="0"/>
    <x v="1"/>
    <d v="2025-02-17T15:23:20"/>
    <m/>
    <m/>
    <x v="1"/>
    <n v="219"/>
    <s v="Eivy Denine Cruz"/>
    <e v="#REF!"/>
  </r>
  <r>
    <x v="68"/>
    <x v="0"/>
    <x v="4"/>
    <s v="CLFF_1000$$$TW03TOKA00 EL-SC-E Capital Efficiency &amp; Project Dev"/>
    <s v="P000001191"/>
    <s v="P000001191"/>
    <s v="LFF (MDG-F)"/>
    <s v="TW03TOKA00"/>
    <s v="Manually added in the parent node."/>
    <b v="1"/>
    <x v="0"/>
    <x v="1"/>
    <d v="2025-02-17T15:23:20"/>
    <m/>
    <m/>
    <x v="1"/>
    <n v="219"/>
    <s v="Eivy Denine Cruz"/>
    <e v="#REF!"/>
  </r>
  <r>
    <x v="68"/>
    <x v="0"/>
    <x v="4"/>
    <s v="CLFF_1000$$$US01TNHZ05 EL-SC-E Global Techn. &amp; Engineering SMEs"/>
    <s v="P000001195"/>
    <s v="P000001195"/>
    <s v="LFF (MDG-F)"/>
    <s v="US01TNHZ05"/>
    <s v="Manually added in the parent node."/>
    <b v="1"/>
    <x v="0"/>
    <x v="1"/>
    <d v="2025-02-17T15:23:20"/>
    <m/>
    <m/>
    <x v="1"/>
    <n v="219"/>
    <s v="Eivy Denine Cruz"/>
    <e v="#REF!"/>
  </r>
  <r>
    <x v="68"/>
    <x v="0"/>
    <x v="2"/>
    <s v="CLFF_1000$$$US01TN0001 US ELDP Central CC"/>
    <s v="P000001187"/>
    <s v="P000001187"/>
    <s v="LFF (MDG-F)"/>
    <s v="US01TN0001"/>
    <m/>
    <b v="1"/>
    <x v="0"/>
    <x v="1"/>
    <d v="2025-02-17T15:23:20"/>
    <m/>
    <m/>
    <x v="1"/>
    <n v="219"/>
    <s v="Eivy Denine Cruz"/>
    <m/>
  </r>
  <r>
    <x v="68"/>
    <x v="0"/>
    <x v="2"/>
    <s v="CLFF_VMCA$$$US10TN2100 US ELDP Central CC"/>
    <s v="P000001187"/>
    <s v="P000001187"/>
    <s v="LFF (MDG-F)"/>
    <s v="US10TN2100"/>
    <m/>
    <b v="1"/>
    <x v="0"/>
    <x v="1"/>
    <d v="2025-02-17T15:23:20"/>
    <m/>
    <m/>
    <x v="1"/>
    <n v="219"/>
    <s v="Eivy Denine Cruz"/>
    <m/>
  </r>
  <r>
    <x v="68"/>
    <x v="0"/>
    <x v="2"/>
    <s v="CLFF_VMCA$$$CN10C01004 RedOx Operations Technology"/>
    <s v="P000001193"/>
    <s v="P000001193"/>
    <s v="LFF (MDG-F)"/>
    <s v="CN10C01004"/>
    <m/>
    <b v="1"/>
    <x v="0"/>
    <x v="1"/>
    <d v="2025-02-17T15:23:20"/>
    <m/>
    <m/>
    <x v="1"/>
    <n v="219"/>
    <s v="Eivy Denine Cruz"/>
    <m/>
  </r>
  <r>
    <x v="68"/>
    <x v="0"/>
    <x v="2"/>
    <s v="CFLTFLE_2152IMIPARVR02 AR VR Pilot Line"/>
    <s v="P000000649"/>
    <s v="P000000649"/>
    <s v="Non-LFF"/>
    <s v=""/>
    <m/>
    <b v="1"/>
    <x v="0"/>
    <x v="1"/>
    <d v="2025-02-17T15:23:20"/>
    <m/>
    <m/>
    <x v="1"/>
    <n v="219"/>
    <s v="Eivy Denine Cruz"/>
    <m/>
  </r>
  <r>
    <x v="69"/>
    <x v="0"/>
    <x v="2"/>
    <s v="D00120400000000 SDC-OLED-IT-T2 prime"/>
    <s v="P000001233"/>
    <s v="P000001233"/>
    <s v="Non-LFF"/>
    <s v=""/>
    <m/>
    <b v="1"/>
    <x v="3"/>
    <x v="1"/>
    <d v="2025-02-17T15:29:53"/>
    <m/>
    <m/>
    <x v="1"/>
    <n v="219"/>
    <s v="Uros Jablanov"/>
    <m/>
  </r>
  <r>
    <x v="69"/>
    <x v="0"/>
    <x v="2"/>
    <s v="D00124000000000 Unity-SC Cross-collaborations"/>
    <s v="P000001243"/>
    <s v="P000001243"/>
    <s v="Non-LFF"/>
    <s v=""/>
    <m/>
    <b v="1"/>
    <x v="3"/>
    <x v="1"/>
    <d v="2025-02-17T15:29:53"/>
    <m/>
    <m/>
    <x v="1"/>
    <n v="219"/>
    <s v="Uros Jablanov"/>
    <m/>
  </r>
  <r>
    <x v="69"/>
    <x v="0"/>
    <x v="2"/>
    <s v="D00124200000000 CSOT-OLED-Mobile-C11"/>
    <s v="P000001229"/>
    <s v="P000001229"/>
    <s v="Non-LFF"/>
    <s v=""/>
    <m/>
    <b v="1"/>
    <x v="3"/>
    <x v="1"/>
    <d v="2025-02-17T15:29:53"/>
    <m/>
    <m/>
    <x v="1"/>
    <n v="219"/>
    <s v="Uros Jablanov"/>
    <m/>
  </r>
  <r>
    <x v="69"/>
    <x v="0"/>
    <x v="2"/>
    <s v="D00124300000000 Exploration of New Ideas AR/VR"/>
    <s v="P000001252"/>
    <s v="P000001252"/>
    <s v="Non-LFF"/>
    <s v=""/>
    <m/>
    <b v="1"/>
    <x v="3"/>
    <x v="1"/>
    <d v="2025-02-17T15:29:53"/>
    <m/>
    <m/>
    <x v="1"/>
    <n v="219"/>
    <s v="Uros Jablanov"/>
    <m/>
  </r>
  <r>
    <x v="69"/>
    <x v="0"/>
    <x v="2"/>
    <s v="D00124400000000 LCOS"/>
    <s v="P000001252"/>
    <s v="P000001252"/>
    <s v="Non-LFF"/>
    <s v=""/>
    <m/>
    <b v="1"/>
    <x v="3"/>
    <x v="1"/>
    <d v="2025-02-17T15:29:53"/>
    <m/>
    <m/>
    <x v="1"/>
    <n v="219"/>
    <s v="Uros Jablanov"/>
    <m/>
  </r>
  <r>
    <x v="69"/>
    <x v="0"/>
    <x v="2"/>
    <s v="ITEMPEU_001300003831 Exploration of new ideas AR/VR UK"/>
    <s v="P000001252"/>
    <s v="P000001252"/>
    <s v="Non-LFF"/>
    <s v=""/>
    <m/>
    <b v="1"/>
    <x v="3"/>
    <x v="1"/>
    <d v="2025-02-17T15:29:53"/>
    <m/>
    <m/>
    <x v="1"/>
    <n v="219"/>
    <s v="Uros Jablanov"/>
    <m/>
  </r>
  <r>
    <x v="69"/>
    <x v="0"/>
    <x v="2"/>
    <s v="D00119900000000 OT R&amp;D IC Charge"/>
    <s v="P000001266"/>
    <s v="P000001266"/>
    <s v="Non-LFF"/>
    <s v=""/>
    <m/>
    <b v="1"/>
    <x v="3"/>
    <x v="1"/>
    <d v="2025-02-17T15:29:53"/>
    <m/>
    <m/>
    <x v="1"/>
    <n v="219"/>
    <s v="Uros Jablanov"/>
    <m/>
  </r>
  <r>
    <x v="69"/>
    <x v="0"/>
    <x v="2"/>
    <s v="D00121600000000 OT R&amp;D CrossCharge"/>
    <s v="P000001266"/>
    <s v="P000001266"/>
    <s v="Non-LFF"/>
    <s v=""/>
    <m/>
    <b v="1"/>
    <x v="3"/>
    <x v="1"/>
    <d v="2025-02-17T15:29:53"/>
    <m/>
    <m/>
    <x v="1"/>
    <n v="219"/>
    <s v="Uros Jablanov"/>
    <m/>
  </r>
  <r>
    <x v="69"/>
    <x v="0"/>
    <x v="2"/>
    <s v="D00120100000000 DPM R&amp;D IC Charge"/>
    <s v="P000001265"/>
    <s v="P000001265"/>
    <s v="Non-LFF"/>
    <s v=""/>
    <m/>
    <b v="1"/>
    <x v="3"/>
    <x v="1"/>
    <d v="2025-02-17T15:29:53"/>
    <m/>
    <m/>
    <x v="1"/>
    <n v="219"/>
    <s v="Uros Jablanov"/>
    <m/>
  </r>
  <r>
    <x v="69"/>
    <x v="0"/>
    <x v="2"/>
    <s v="D00121800000000 DPM R&amp;D CrossCharge"/>
    <s v="P000001265"/>
    <s v="P000001265"/>
    <s v="Non-LFF"/>
    <s v=""/>
    <m/>
    <b v="1"/>
    <x v="3"/>
    <x v="1"/>
    <d v="2025-02-17T15:29:53"/>
    <m/>
    <m/>
    <x v="1"/>
    <n v="219"/>
    <s v="Uros Jablanov"/>
    <m/>
  </r>
  <r>
    <x v="70"/>
    <x v="0"/>
    <x v="2"/>
    <s v="CTEMPLA_1000UY10100019"/>
    <s v="G000000758"/>
    <s v="G000000758"/>
    <s v="Non-LFF"/>
    <s v=""/>
    <m/>
    <b v="1"/>
    <x v="0"/>
    <x v="1"/>
    <d v="2025-02-17T17:10:05"/>
    <d v="2025-02-18T00:00:00"/>
    <d v="2025-02-18T00:00:00"/>
    <x v="0"/>
    <n v="1"/>
    <s v="Jojeff Tagnong"/>
    <m/>
  </r>
  <r>
    <x v="70"/>
    <x v="0"/>
    <x v="2"/>
    <s v="CTEMPLA_1000UY10100028"/>
    <s v="G000000200"/>
    <s v="G000000200"/>
    <s v="Non-LFF"/>
    <s v=""/>
    <m/>
    <b v="1"/>
    <x v="0"/>
    <x v="1"/>
    <d v="2025-02-17T17:10:05"/>
    <d v="2025-02-18T00:00:00"/>
    <d v="2025-02-18T00:00:00"/>
    <x v="0"/>
    <n v="1"/>
    <s v="Jojeff Tagnong"/>
    <m/>
  </r>
  <r>
    <x v="71"/>
    <x v="0"/>
    <x v="2"/>
    <s v="CPRJ-9820230002 ALISERTIB, MLN 8237 ML8 Puma"/>
    <s v="L000013151"/>
    <s v="L000013151"/>
    <s v="Non-LFF"/>
    <s v=""/>
    <m/>
    <b v="1"/>
    <x v="2"/>
    <x v="1"/>
    <d v="2025-02-18T06:18:31"/>
    <m/>
    <m/>
    <x v="1"/>
    <n v="218"/>
    <s v="Jayson Martinez"/>
    <m/>
  </r>
  <r>
    <x v="71"/>
    <x v="0"/>
    <x v="2"/>
    <s v="CPRJ-9820230003 SSP IMMUNOGEN"/>
    <s v="L000013151"/>
    <s v="L000013151"/>
    <s v="Non-LFF"/>
    <s v=""/>
    <m/>
    <b v="1"/>
    <x v="2"/>
    <x v="1"/>
    <d v="2025-02-18T06:18:31"/>
    <m/>
    <m/>
    <x v="1"/>
    <n v="218"/>
    <s v="Jayson Martinez"/>
    <m/>
  </r>
  <r>
    <x v="71"/>
    <x v="0"/>
    <x v="2"/>
    <s v="CPRJ-13870 GY3 Non-GMP Production for Oncternal"/>
    <s v="L000013151"/>
    <s v="L000013151"/>
    <s v="Non-LFF"/>
    <s v=""/>
    <m/>
    <b v="1"/>
    <x v="2"/>
    <x v="1"/>
    <d v="2025-02-18T06:18:31"/>
    <m/>
    <m/>
    <x v="1"/>
    <n v="218"/>
    <s v="Jayson Martinez"/>
    <m/>
  </r>
  <r>
    <x v="71"/>
    <x v="0"/>
    <x v="2"/>
    <s v="CPRJ-9820220011 RED-601(ER6) Exelixis Development"/>
    <s v="L000013151"/>
    <s v="L000013151"/>
    <s v="Non-LFF"/>
    <s v=""/>
    <m/>
    <b v="1"/>
    <x v="2"/>
    <x v="1"/>
    <d v="2025-02-18T06:18:31"/>
    <m/>
    <m/>
    <x v="1"/>
    <n v="218"/>
    <s v="Jayson Martinez"/>
    <m/>
  </r>
  <r>
    <x v="71"/>
    <x v="0"/>
    <x v="2"/>
    <s v="IPHOENX_000400762139 Telios Cogs"/>
    <s v="L000013151"/>
    <s v="L000013151"/>
    <s v="Non-LFF"/>
    <s v=""/>
    <m/>
    <b v="1"/>
    <x v="2"/>
    <x v="1"/>
    <d v="2025-02-18T06:18:31"/>
    <m/>
    <m/>
    <x v="1"/>
    <n v="218"/>
    <s v="Jayson Martinez"/>
    <m/>
  </r>
  <r>
    <x v="72"/>
    <x v="0"/>
    <x v="2"/>
    <s v="CLFF_1000$$$DE20538341 "/>
    <s v="G000000527"/>
    <s v="G000000527"/>
    <s v="LFF (MDG-F)"/>
    <s v="DE20538341"/>
    <m/>
    <b v="1"/>
    <x v="0"/>
    <x v="1"/>
    <d v="2025-02-18T12:10:41"/>
    <d v="2025-02-21T00:00:00"/>
    <d v="2025-02-21T00:00:00"/>
    <x v="0"/>
    <n v="3"/>
    <s v="Francesco Ricioppo"/>
    <m/>
  </r>
  <r>
    <x v="72"/>
    <x v="0"/>
    <x v="2"/>
    <s v="CLFF_1000$$$DE10538341 "/>
    <s v="G000001079"/>
    <s v="G000001079"/>
    <s v="LFF (MDG-F)"/>
    <s v="DE10538341"/>
    <m/>
    <b v="1"/>
    <x v="0"/>
    <x v="1"/>
    <d v="2025-02-18T12:10:41"/>
    <d v="2025-02-21T00:00:00"/>
    <d v="2025-02-21T00:00:00"/>
    <x v="0"/>
    <n v="3"/>
    <s v="Francesco Ricioppo"/>
    <m/>
  </r>
  <r>
    <x v="73"/>
    <x v="0"/>
    <x v="2"/>
    <s v="CLFF_1000$$$DE10G69660"/>
    <s v="G000001174"/>
    <s v="G000001174"/>
    <s v="LFF (MDG-F)"/>
    <s v="DE10G69660"/>
    <m/>
    <b v="1"/>
    <x v="0"/>
    <x v="1"/>
    <d v="2025-02-19T04:00:33"/>
    <d v="2025-02-21T00:00:00"/>
    <d v="2025-02-21T00:00:00"/>
    <x v="0"/>
    <n v="2"/>
    <s v="Jojeff Tagnong"/>
    <m/>
  </r>
  <r>
    <x v="74"/>
    <x v="0"/>
    <x v="2"/>
    <s v="CLFF_1000$$$ZA50GM2260 "/>
    <s v="G000001175"/>
    <s v="G000001175"/>
    <s v="LFF (MDG-F)"/>
    <s v="ZA50GM2260"/>
    <m/>
    <b v="1"/>
    <x v="0"/>
    <x v="1"/>
    <d v="2025-02-20T10:55:23"/>
    <d v="2025-02-24T00:00:00"/>
    <d v="2025-02-24T00:00:00"/>
    <x v="0"/>
    <n v="2"/>
    <s v="Jojeff Tagnong"/>
    <m/>
  </r>
  <r>
    <x v="75"/>
    <x v="0"/>
    <x v="2"/>
    <s v="D00124100000000 DSA JDP with IMEC"/>
    <s v="P000001015"/>
    <s v="P000001015"/>
    <s v="Non-LFF"/>
    <s v=""/>
    <m/>
    <b v="1"/>
    <x v="0"/>
    <x v="1"/>
    <d v="2025-02-20T14:59:52"/>
    <d v="2025-02-24T00:00:00"/>
    <d v="2025-02-24T00:00:00"/>
    <x v="0"/>
    <n v="2"/>
    <s v="Eivy Denine Cruz"/>
    <m/>
  </r>
  <r>
    <x v="75"/>
    <x v="0"/>
    <x v="2"/>
    <s v="DP000010000000 Cu3886 low dishing low defect Cu Bulk Sl"/>
    <s v="P000001016"/>
    <s v="P000001016"/>
    <s v="Non-LFF"/>
    <s v=""/>
    <s v="Mapped already."/>
    <b v="1"/>
    <x v="0"/>
    <x v="1"/>
    <d v="2025-02-20T14:59:52"/>
    <d v="2025-02-24T00:00:00"/>
    <d v="2025-02-24T00:00:00"/>
    <x v="0"/>
    <n v="2"/>
    <s v="Eivy Denine Cruz"/>
    <m/>
  </r>
  <r>
    <x v="75"/>
    <x v="0"/>
    <x v="2"/>
    <s v="CLFF_KR00$$$KR03C00402 SM - Project Management"/>
    <s v="P000000959"/>
    <s v="P000000959"/>
    <s v="LFF (MDG-F)"/>
    <s v="KR03C00402"/>
    <m/>
    <b v="1"/>
    <x v="0"/>
    <x v="1"/>
    <d v="2025-02-20T14:59:52"/>
    <d v="2025-02-24T00:00:00"/>
    <d v="2025-02-24T00:00:00"/>
    <x v="0"/>
    <n v="2"/>
    <s v="Eivy Denine Cruz"/>
    <m/>
  </r>
  <r>
    <x v="75"/>
    <x v="0"/>
    <x v="2"/>
    <s v="CLFF_1000$$$US01C01107 Congresses &amp; Events PM-I NA"/>
    <s v="P000000959"/>
    <s v="P000000959"/>
    <s v="LFF (MDG-F)"/>
    <s v="US01C01107"/>
    <m/>
    <b v="1"/>
    <x v="0"/>
    <x v="1"/>
    <d v="2025-02-20T14:59:52"/>
    <d v="2025-02-24T00:00:00"/>
    <d v="2025-02-24T00:00:00"/>
    <x v="0"/>
    <n v="2"/>
    <s v="Eivy Denine Cruz"/>
    <m/>
  </r>
  <r>
    <x v="75"/>
    <x v="0"/>
    <x v="2"/>
    <s v="CTEMPEU_1000PL80L30009 SPICE Carve Out"/>
    <s v="P000001207"/>
    <s v="P000001207"/>
    <s v="Non-LFF"/>
    <s v=""/>
    <m/>
    <b v="1"/>
    <x v="0"/>
    <x v="1"/>
    <d v="2025-02-20T14:59:52"/>
    <d v="2025-02-24T00:00:00"/>
    <d v="2025-02-24T00:00:00"/>
    <x v="0"/>
    <n v="2"/>
    <s v="Eivy Denine Cruz"/>
    <m/>
  </r>
  <r>
    <x v="75"/>
    <x v="0"/>
    <x v="2"/>
    <s v="CTEMPLA_1000UY10100044 SPICE Carve Out"/>
    <s v="P000001207"/>
    <s v="P000001207"/>
    <s v="Non-LFF"/>
    <s v=""/>
    <m/>
    <b v="1"/>
    <x v="0"/>
    <x v="1"/>
    <d v="2025-02-20T14:59:52"/>
    <d v="2025-02-24T00:00:00"/>
    <d v="2025-02-24T00:00:00"/>
    <x v="0"/>
    <n v="2"/>
    <s v="Eivy Denine Cruz"/>
    <m/>
  </r>
  <r>
    <x v="75"/>
    <x v="0"/>
    <x v="2"/>
    <s v="CFLTFLE_1044PMSP Project SPICE"/>
    <s v="P000001201"/>
    <s v="P000001201"/>
    <s v="Non-LFF"/>
    <s v=""/>
    <m/>
    <b v="1"/>
    <x v="0"/>
    <x v="1"/>
    <d v="2025-02-20T14:59:52"/>
    <d v="2025-02-24T00:00:00"/>
    <d v="2025-02-24T00:00:00"/>
    <x v="0"/>
    <n v="2"/>
    <s v="Eivy Denine Cruz"/>
    <m/>
  </r>
  <r>
    <x v="76"/>
    <x v="0"/>
    <x v="2"/>
    <s v="CPHOENX_01010000642900 SAC mRNA Management Darmstadt/Hamburg"/>
    <s v="L000013891"/>
    <s v="L000013891"/>
    <s v="Non-LFF"/>
    <s v=""/>
    <m/>
    <b v="1"/>
    <x v="2"/>
    <x v="1"/>
    <d v="2025-02-20T15:22:02"/>
    <d v="2025-02-24T00:00:00"/>
    <d v="2025-02-24T00:00:00"/>
    <x v="0"/>
    <n v="2"/>
    <s v="Marvin Graef"/>
    <m/>
  </r>
  <r>
    <x v="77"/>
    <x v="0"/>
    <x v="2"/>
    <s v="CLFF_1000$$$AE50GCO220 HC Lumina"/>
    <s v="G000000235"/>
    <s v="G000000235"/>
    <s v="LFF (MDG-F)"/>
    <s v="AE50GCO220"/>
    <m/>
    <b v="1"/>
    <x v="1"/>
    <x v="1"/>
    <d v="2025-02-21T13:18:19"/>
    <d v="2025-02-25T00:00:00"/>
    <d v="2025-02-25T00:00:00"/>
    <x v="0"/>
    <n v="2"/>
    <s v="Henry Ifurung Jr."/>
    <m/>
  </r>
  <r>
    <x v="78"/>
    <x v="0"/>
    <x v="2"/>
    <s v="CTEMPEU_1000PL80860000 ONE LS ERP - MBS Finance reclass"/>
    <s v="L000013801"/>
    <s v="L000013801"/>
    <s v="Non-LFF"/>
    <s v=""/>
    <m/>
    <b v="1"/>
    <x v="2"/>
    <x v="1"/>
    <d v="2025-02-24T07:50:35"/>
    <d v="2025-02-25T00:00:00"/>
    <d v="2025-02-25T00:00:00"/>
    <x v="0"/>
    <n v="1"/>
    <s v="Jayson Martinez"/>
    <m/>
  </r>
  <r>
    <x v="78"/>
    <x v="0"/>
    <x v="2"/>
    <s v="CTEMPNA_1000PH80860000 ONE LS ERP - MBS Finance reclass"/>
    <s v="L000013801"/>
    <s v="L000013801"/>
    <s v="Non-LFF"/>
    <s v=""/>
    <m/>
    <b v="1"/>
    <x v="2"/>
    <x v="1"/>
    <d v="2025-02-24T07:50:35"/>
    <d v="2025-02-25T00:00:00"/>
    <d v="2025-02-25T00:00:00"/>
    <x v="0"/>
    <n v="1"/>
    <s v="Jayson Martinez"/>
    <m/>
  </r>
  <r>
    <x v="78"/>
    <x v="0"/>
    <x v="2"/>
    <s v="CNOW_7210$$$0000010298 ONE LS ERP - Quality"/>
    <s v="L000013802"/>
    <s v="L000013802"/>
    <s v="Non-LFF"/>
    <s v=""/>
    <m/>
    <b v="1"/>
    <x v="2"/>
    <x v="1"/>
    <d v="2025-02-24T07:50:35"/>
    <d v="2025-02-25T00:00:00"/>
    <d v="2025-02-25T00:00:00"/>
    <x v="0"/>
    <n v="1"/>
    <s v="Jayson Martinez"/>
    <m/>
  </r>
  <r>
    <x v="78"/>
    <x v="0"/>
    <x v="2"/>
    <s v="CLFF_1000$$$DE10OF0005 T&amp;E - LS ERP other"/>
    <s v="L000013798"/>
    <s v="L000013798"/>
    <s v="LFF (MDG-F)"/>
    <s v="DE10OF0005"/>
    <m/>
    <b v="1"/>
    <x v="2"/>
    <x v="1"/>
    <d v="2025-02-24T07:50:35"/>
    <d v="2025-02-25T00:00:00"/>
    <d v="2025-02-25T00:00:00"/>
    <x v="0"/>
    <n v="1"/>
    <s v="Jayson Martinez"/>
    <m/>
  </r>
  <r>
    <x v="78"/>
    <x v="0"/>
    <x v="2"/>
    <s v="CLFF_7210$$$2123OF0029 T&amp;E_IN - other LS ERP"/>
    <s v="L000013798"/>
    <s v="L000013798"/>
    <s v="LFF (MDG-F)"/>
    <s v="2123OF0029"/>
    <m/>
    <b v="1"/>
    <x v="2"/>
    <x v="1"/>
    <d v="2025-02-24T07:50:35"/>
    <d v="2025-02-25T00:00:00"/>
    <d v="2025-02-25T00:00:00"/>
    <x v="0"/>
    <n v="1"/>
    <s v="Jayson Martinez"/>
    <m/>
  </r>
  <r>
    <x v="78"/>
    <x v="0"/>
    <x v="2"/>
    <s v="CNOW_7210$$$0000052114 T&amp;E - other LS ERP"/>
    <s v="L000013798"/>
    <s v="L000013798"/>
    <s v="Non-LFF"/>
    <s v=""/>
    <m/>
    <b v="1"/>
    <x v="2"/>
    <x v="1"/>
    <d v="2025-02-24T07:50:35"/>
    <d v="2025-02-25T00:00:00"/>
    <d v="2025-02-25T00:00:00"/>
    <x v="0"/>
    <n v="1"/>
    <s v="Jayson Martinez"/>
    <m/>
  </r>
  <r>
    <x v="78"/>
    <x v="0"/>
    <x v="2"/>
    <s v="CPHOENX_01010000860002 T&amp;E - other LS ERP"/>
    <s v="L000013798"/>
    <s v="L000013798"/>
    <s v="Non-LFF"/>
    <s v=""/>
    <m/>
    <b v="1"/>
    <x v="2"/>
    <x v="1"/>
    <d v="2025-02-24T07:50:35"/>
    <d v="2025-02-25T00:00:00"/>
    <d v="2025-02-25T00:00:00"/>
    <x v="0"/>
    <n v="1"/>
    <s v="Jayson Martinez"/>
    <m/>
  </r>
  <r>
    <x v="78"/>
    <x v="0"/>
    <x v="2"/>
    <s v="CNOW_7210$$$0000010584 T&amp;E - other LS ERP"/>
    <s v="L000013798"/>
    <s v="L000013798"/>
    <s v="Non-LFF"/>
    <s v=""/>
    <m/>
    <b v="1"/>
    <x v="2"/>
    <x v="1"/>
    <d v="2025-02-24T07:50:35"/>
    <d v="2025-02-25T00:00:00"/>
    <d v="2025-02-25T00:00:00"/>
    <x v="0"/>
    <n v="1"/>
    <s v="Jayson Martinez"/>
    <m/>
  </r>
  <r>
    <x v="78"/>
    <x v="0"/>
    <x v="2"/>
    <s v="CORAERP_MMOR1975.9945 9945 IT T&amp;E - other ERP projects"/>
    <s v="L000013798"/>
    <s v="L000013798"/>
    <s v="Non-LFF"/>
    <s v=""/>
    <m/>
    <b v="1"/>
    <x v="2"/>
    <x v="1"/>
    <d v="2025-02-24T07:50:35"/>
    <d v="2025-02-25T00:00:00"/>
    <d v="2025-02-25T00:00:00"/>
    <x v="0"/>
    <n v="1"/>
    <s v="Jayson Martinez"/>
    <m/>
  </r>
  <r>
    <x v="79"/>
    <x v="0"/>
    <x v="2"/>
    <s v="PTEMPNA_US201PIOMEVCXPR01"/>
    <s v="H000003686"/>
    <s v="H000003686"/>
    <s v="Non-LFF"/>
    <s v=""/>
    <m/>
    <b v="1"/>
    <x v="1"/>
    <x v="1"/>
    <d v="2025-02-24T09:29:21"/>
    <d v="2025-02-25T00:00:00"/>
    <d v="2025-02-25T00:00:00"/>
    <x v="0"/>
    <n v="1"/>
    <s v="Rizza Domingo"/>
    <m/>
  </r>
  <r>
    <x v="79"/>
    <x v="0"/>
    <x v="2"/>
    <s v="PTEMPNA_US201PIOMCCGVPR01"/>
    <s v="H000003684"/>
    <s v="H000003684"/>
    <s v="Non-LFF"/>
    <s v=""/>
    <m/>
    <b v="1"/>
    <x v="1"/>
    <x v="1"/>
    <d v="2025-02-24T09:29:21"/>
    <d v="2025-02-25T00:00:00"/>
    <d v="2025-02-25T00:00:00"/>
    <x v="0"/>
    <n v="1"/>
    <s v="Rizza Domingo"/>
    <m/>
  </r>
  <r>
    <x v="79"/>
    <x v="0"/>
    <x v="2"/>
    <s v="PTEMPNA_US201PIOMCCGVPR00"/>
    <s v="H000003684"/>
    <s v="H000003684"/>
    <s v="Non-LFF"/>
    <s v=""/>
    <m/>
    <b v="1"/>
    <x v="1"/>
    <x v="1"/>
    <d v="2025-02-24T09:29:21"/>
    <d v="2025-02-25T00:00:00"/>
    <d v="2025-02-25T00:00:00"/>
    <x v="0"/>
    <n v="1"/>
    <s v="Rizza Domingo"/>
    <m/>
  </r>
  <r>
    <x v="79"/>
    <x v="0"/>
    <x v="2"/>
    <s v="PTEMPNA_US201PIOMCCGVPR02"/>
    <s v="H000003684"/>
    <s v="H000003684"/>
    <s v="Non-LFF"/>
    <s v=""/>
    <m/>
    <b v="1"/>
    <x v="1"/>
    <x v="1"/>
    <d v="2025-02-24T09:29:21"/>
    <d v="2025-02-25T00:00:00"/>
    <d v="2025-02-25T00:00:00"/>
    <x v="0"/>
    <n v="1"/>
    <s v="Rizza Domingo"/>
    <m/>
  </r>
  <r>
    <x v="80"/>
    <x v="0"/>
    <x v="2"/>
    <s v="CLFF_VMCA$$$DE10GIN006 DivCo Insurance DE10"/>
    <s v="O000000007"/>
    <s v="O000000007"/>
    <s v="LFF (MDG-F)"/>
    <s v="DE10GIN006"/>
    <s v="DE1XGIN006"/>
    <b v="1"/>
    <x v="0"/>
    <x v="1"/>
    <d v="2025-02-24T09:53:09"/>
    <d v="2025-02-27T00:00:00"/>
    <d v="2025-02-28T00:00:00"/>
    <x v="0"/>
    <n v="4"/>
    <s v="Jojeff Tagnong"/>
    <m/>
  </r>
  <r>
    <x v="80"/>
    <x v="0"/>
    <x v="2"/>
    <s v="CLFF_VMCA$$$DE10GM1008 MBS FI Trans Costs"/>
    <s v="O000000007"/>
    <s v="O000000007"/>
    <s v="LFF (MDG-F)"/>
    <s v="DE10GM1008"/>
    <s v="DE1XGM1008"/>
    <b v="1"/>
    <x v="0"/>
    <x v="1"/>
    <d v="2025-02-24T09:53:09"/>
    <d v="2025-02-27T00:00:00"/>
    <d v="2025-02-28T00:00:00"/>
    <x v="0"/>
    <n v="4"/>
    <s v="Jojeff Tagnong"/>
    <m/>
  </r>
  <r>
    <x v="80"/>
    <x v="0"/>
    <x v="2"/>
    <s v="CLFF_VMCA$$$DE10GM2000 Bank and Audit Fees"/>
    <s v="O000000007"/>
    <s v="O000000007"/>
    <s v="LFF (MDG-F)"/>
    <s v="DE10GM2000"/>
    <s v="DE1XGM2000 - Both found"/>
    <b v="1"/>
    <x v="0"/>
    <x v="1"/>
    <d v="2025-02-24T09:53:09"/>
    <d v="2025-02-28T00:00:00"/>
    <d v="2025-02-28T00:00:00"/>
    <x v="0"/>
    <n v="4"/>
    <s v="Jojeff Tagnong"/>
    <m/>
  </r>
  <r>
    <x v="80"/>
    <x v="0"/>
    <x v="2"/>
    <s v="CLFF_VMCA$$$DE10GM4009 MBS HR Trans Costs"/>
    <s v="O000000007"/>
    <s v="O000000007"/>
    <s v="LFF (MDG-F)"/>
    <s v="DE10GM4009"/>
    <s v="DE1XGM4009"/>
    <b v="1"/>
    <x v="0"/>
    <x v="1"/>
    <d v="2025-02-24T09:53:09"/>
    <d v="2025-02-27T00:00:00"/>
    <d v="2025-02-28T00:00:00"/>
    <x v="0"/>
    <n v="4"/>
    <s v="Jojeff Tagnong"/>
    <m/>
  </r>
  <r>
    <x v="80"/>
    <x v="0"/>
    <x v="2"/>
    <s v="CLFF_VMCA$$$DE10GM8003 MBS B&amp;P Trans Costs"/>
    <s v="O000000007"/>
    <s v="O000000007"/>
    <s v="LFF (MDG-F)"/>
    <s v="DE10GM8003"/>
    <s v="DE1XGM8003"/>
    <b v="1"/>
    <x v="0"/>
    <x v="1"/>
    <d v="2025-02-24T09:53:09"/>
    <d v="2025-02-27T00:00:00"/>
    <d v="2025-02-28T00:00:00"/>
    <x v="0"/>
    <n v="4"/>
    <s v="Jojeff Tagnong"/>
    <m/>
  </r>
  <r>
    <x v="80"/>
    <x v="0"/>
    <x v="2"/>
    <s v="CLFF_VMCA$$$KR08GLE009 XXX_Legal BP LS GM5"/>
    <s v="O000000007"/>
    <s v="O000000007"/>
    <s v="LFF (MDG-F)"/>
    <s v="KR08GLE009"/>
    <m/>
    <b v="1"/>
    <x v="0"/>
    <x v="1"/>
    <d v="2025-02-24T09:53:09"/>
    <d v="2025-02-27T00:00:00"/>
    <d v="2025-02-28T00:00:00"/>
    <x v="0"/>
    <n v="4"/>
    <s v="Jojeff Tagnong"/>
    <m/>
  </r>
  <r>
    <x v="80"/>
    <x v="0"/>
    <x v="2"/>
    <s v="CLFF_VMCA$$$KR11GLE006 XXXLegal BP LS GM5XXX"/>
    <s v="O000000007"/>
    <s v="O000000007"/>
    <s v="LFF (MDG-F)"/>
    <s v="KR11GLE006"/>
    <m/>
    <b v="1"/>
    <x v="0"/>
    <x v="1"/>
    <d v="2025-02-24T09:53:09"/>
    <d v="2025-02-27T00:00:00"/>
    <d v="2025-02-28T00:00:00"/>
    <x v="0"/>
    <n v="4"/>
    <s v="Jojeff Tagnong"/>
    <m/>
  </r>
  <r>
    <x v="80"/>
    <x v="0"/>
    <x v="2"/>
    <s v="CLFF_VMCA$$$KR15GLE006 XXXLegal BP LS GM5XXX"/>
    <s v="O000000007"/>
    <s v="O000000007"/>
    <s v="LFF (MDG-F)"/>
    <s v="KR15GLE006"/>
    <m/>
    <b v="1"/>
    <x v="0"/>
    <x v="1"/>
    <d v="2025-02-24T09:53:09"/>
    <d v="2025-02-27T00:00:00"/>
    <d v="2025-02-28T00:00:00"/>
    <x v="0"/>
    <n v="4"/>
    <s v="Jojeff Tagnong"/>
    <m/>
  </r>
  <r>
    <x v="80"/>
    <x v="0"/>
    <x v="2"/>
    <s v="CLFF_VMCA$$$KR16GLE006 XXXLegal BP LS GM5XXX"/>
    <s v="O000000007"/>
    <s v="O000000007"/>
    <s v="LFF (MDG-F)"/>
    <s v="KR16GLE006"/>
    <m/>
    <b v="1"/>
    <x v="0"/>
    <x v="1"/>
    <d v="2025-02-24T09:53:09"/>
    <d v="2025-02-27T00:00:00"/>
    <d v="2025-02-28T00:00:00"/>
    <x v="0"/>
    <n v="4"/>
    <s v="Jojeff Tagnong"/>
    <m/>
  </r>
  <r>
    <x v="80"/>
    <x v="0"/>
    <x v="2"/>
    <s v="CLFF_VMCA$$$SG10GM2004 SG ALLN X-CHG"/>
    <s v="O000000007"/>
    <s v="O000000007"/>
    <s v="LFF (MDG-F)"/>
    <s v="SG10GM2004"/>
    <m/>
    <b v="1"/>
    <x v="0"/>
    <x v="1"/>
    <d v="2025-02-24T09:53:09"/>
    <d v="2025-02-27T00:00:00"/>
    <d v="2025-02-28T00:00:00"/>
    <x v="0"/>
    <n v="4"/>
    <s v="Jojeff Tagnong"/>
    <m/>
  </r>
  <r>
    <x v="81"/>
    <x v="0"/>
    <x v="2"/>
    <s v="CSCALA_1042$BISS_S00"/>
    <s v="H000000423"/>
    <s v="H000000423"/>
    <s v="Non-LFF"/>
    <s v=""/>
    <m/>
    <b v="1"/>
    <x v="1"/>
    <x v="1"/>
    <d v="2025-02-25T05:11:05"/>
    <d v="2025-02-27T00:00:00"/>
    <d v="2025-02-27T00:00:00"/>
    <x v="0"/>
    <n v="2"/>
    <s v="Carlo Umali"/>
    <m/>
  </r>
  <r>
    <x v="81"/>
    <x v="0"/>
    <x v="2"/>
    <s v="CSCALA_1042$BISS_S30"/>
    <s v="H000000423"/>
    <s v="H000000423"/>
    <s v="Non-LFF"/>
    <s v=""/>
    <m/>
    <b v="1"/>
    <x v="1"/>
    <x v="1"/>
    <d v="2025-02-25T05:11:05"/>
    <d v="2025-02-27T00:00:00"/>
    <d v="2025-02-27T00:00:00"/>
    <x v="0"/>
    <n v="2"/>
    <s v="Carlo Umali"/>
    <m/>
  </r>
  <r>
    <x v="81"/>
    <x v="0"/>
    <x v="2"/>
    <s v="CSCALA_1042$MSMS_C96"/>
    <s v="H000000423"/>
    <s v="H000000423"/>
    <s v="Non-LFF"/>
    <s v=""/>
    <m/>
    <b v="1"/>
    <x v="1"/>
    <x v="1"/>
    <d v="2025-02-25T05:11:05"/>
    <d v="2025-02-27T00:00:00"/>
    <d v="2025-02-27T00:00:00"/>
    <x v="0"/>
    <n v="2"/>
    <s v="Carlo Umali"/>
    <m/>
  </r>
  <r>
    <x v="81"/>
    <x v="0"/>
    <x v="2"/>
    <s v="CSCALA_1042$MSMS_D11"/>
    <s v="H000000423"/>
    <s v="H000000423"/>
    <s v="Non-LFF"/>
    <s v=""/>
    <m/>
    <b v="1"/>
    <x v="1"/>
    <x v="1"/>
    <d v="2025-02-25T05:11:05"/>
    <d v="2025-02-27T00:00:00"/>
    <d v="2025-02-27T00:00:00"/>
    <x v="0"/>
    <n v="2"/>
    <s v="Carlo Umali"/>
    <m/>
  </r>
  <r>
    <x v="81"/>
    <x v="0"/>
    <x v="2"/>
    <s v="CSCALA_1042$MSMS_F98"/>
    <s v="H000000423"/>
    <s v="H000000423"/>
    <s v="Non-LFF"/>
    <s v=""/>
    <m/>
    <b v="1"/>
    <x v="1"/>
    <x v="1"/>
    <d v="2025-02-25T05:11:05"/>
    <d v="2025-02-27T00:00:00"/>
    <d v="2025-02-27T00:00:00"/>
    <x v="0"/>
    <n v="2"/>
    <s v="Carlo Umali"/>
    <m/>
  </r>
  <r>
    <x v="81"/>
    <x v="0"/>
    <x v="2"/>
    <s v="CSCALA_1042$MSMS_W09"/>
    <s v="H000000423"/>
    <s v="H000000423"/>
    <s v="Non-LFF"/>
    <s v=""/>
    <m/>
    <b v="1"/>
    <x v="1"/>
    <x v="1"/>
    <d v="2025-02-25T05:11:05"/>
    <d v="2025-02-27T00:00:00"/>
    <d v="2025-02-27T00:00:00"/>
    <x v="0"/>
    <n v="2"/>
    <s v="Carlo Umali"/>
    <m/>
  </r>
  <r>
    <x v="81"/>
    <x v="0"/>
    <x v="2"/>
    <s v="CSCALA_1042$MSPM_E98"/>
    <s v="H000000423"/>
    <s v="H000000423"/>
    <s v="Non-LFF"/>
    <s v=""/>
    <m/>
    <b v="1"/>
    <x v="1"/>
    <x v="1"/>
    <d v="2025-02-25T05:11:05"/>
    <d v="2025-02-27T00:00:00"/>
    <d v="2025-02-27T00:00:00"/>
    <x v="0"/>
    <n v="2"/>
    <s v="Carlo Umali"/>
    <m/>
  </r>
  <r>
    <x v="81"/>
    <x v="0"/>
    <x v="2"/>
    <s v="CSCALA_1042$MSPM_I56"/>
    <s v="H000000423"/>
    <s v="H000000423"/>
    <s v="Non-LFF"/>
    <s v=""/>
    <m/>
    <b v="1"/>
    <x v="1"/>
    <x v="1"/>
    <d v="2025-02-25T05:11:05"/>
    <d v="2025-02-27T00:00:00"/>
    <d v="2025-02-27T00:00:00"/>
    <x v="0"/>
    <n v="2"/>
    <s v="Carlo Umali"/>
    <m/>
  </r>
  <r>
    <x v="81"/>
    <x v="0"/>
    <x v="2"/>
    <s v="CSCALA_1042$MSPM_T96"/>
    <s v="H000000423"/>
    <s v="H000000423"/>
    <s v="Non-LFF"/>
    <s v=""/>
    <m/>
    <b v="1"/>
    <x v="1"/>
    <x v="1"/>
    <d v="2025-02-25T05:11:05"/>
    <d v="2025-02-27T00:00:00"/>
    <d v="2025-02-27T00:00:00"/>
    <x v="0"/>
    <n v="2"/>
    <s v="Carlo Umali"/>
    <m/>
  </r>
  <r>
    <x v="81"/>
    <x v="0"/>
    <x v="2"/>
    <s v="CSCALA_1042$ONPM_O33"/>
    <s v="H000000423"/>
    <s v="H000000423"/>
    <s v="Non-LFF"/>
    <s v=""/>
    <m/>
    <b v="1"/>
    <x v="1"/>
    <x v="1"/>
    <d v="2025-02-25T05:11:05"/>
    <d v="2025-02-27T00:00:00"/>
    <d v="2025-02-27T00:00:00"/>
    <x v="0"/>
    <n v="2"/>
    <s v="Carlo Umali"/>
    <m/>
  </r>
  <r>
    <x v="81"/>
    <x v="0"/>
    <x v="2"/>
    <s v="CSCALA_1042$ONPM_W59"/>
    <s v="H000000423"/>
    <s v="H000000423"/>
    <s v="Non-LFF"/>
    <s v=""/>
    <m/>
    <b v="1"/>
    <x v="1"/>
    <x v="1"/>
    <d v="2025-02-25T05:11:05"/>
    <d v="2025-02-27T00:00:00"/>
    <d v="2025-02-27T00:00:00"/>
    <x v="0"/>
    <n v="2"/>
    <s v="Carlo Umali"/>
    <m/>
  </r>
  <r>
    <x v="81"/>
    <x v="0"/>
    <x v="2"/>
    <s v="CSCALA_1042$ONPM_W62"/>
    <s v="H000000423"/>
    <s v="H000000423"/>
    <s v="Non-LFF"/>
    <s v=""/>
    <m/>
    <b v="1"/>
    <x v="1"/>
    <x v="1"/>
    <d v="2025-02-25T05:11:05"/>
    <d v="2025-02-27T00:00:00"/>
    <d v="2025-02-27T00:00:00"/>
    <x v="0"/>
    <n v="2"/>
    <s v="Carlo Umali"/>
    <m/>
  </r>
  <r>
    <x v="81"/>
    <x v="0"/>
    <x v="2"/>
    <s v="IEMERAL_000009101231 7001IC1814SI3110250000"/>
    <s v="H000000434"/>
    <s v="H000000434"/>
    <s v="Non-LFF"/>
    <s v=""/>
    <m/>
    <b v="1"/>
    <x v="1"/>
    <x v="1"/>
    <d v="2025-02-25T05:11:05"/>
    <d v="2025-02-27T00:00:00"/>
    <d v="2025-02-27T00:00:00"/>
    <x v="0"/>
    <n v="2"/>
    <s v="Carlo Umali"/>
    <m/>
  </r>
  <r>
    <x v="81"/>
    <x v="0"/>
    <x v="2"/>
    <s v="IEMERAL_000009101238 7001IC1820SI3110250000"/>
    <s v="H000000434"/>
    <s v="H000000434"/>
    <s v="Non-LFF"/>
    <s v=""/>
    <m/>
    <b v="1"/>
    <x v="1"/>
    <x v="1"/>
    <d v="2025-02-25T05:11:05"/>
    <d v="2025-02-27T00:00:00"/>
    <d v="2025-02-27T00:00:00"/>
    <x v="0"/>
    <n v="2"/>
    <s v="Carlo Umali"/>
    <m/>
  </r>
  <r>
    <x v="82"/>
    <x v="0"/>
    <x v="2"/>
    <s v="CLFF_1000$$$CN50C01602 CMCSS R1"/>
    <s v="H000001344"/>
    <s v="H000001344"/>
    <s v="LFF (MDG-F)"/>
    <s v="CN50C01602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CLFF_1000$$$CN90L50000 Local EHS"/>
    <s v="H000001596"/>
    <s v="H000001596"/>
    <s v="LFF (MDG-F)"/>
    <s v="CN90L50000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CLFF_1000$$$CN90L80001 Internal Audit"/>
    <s v="H000001596"/>
    <s v="H000001596"/>
    <s v="LFF (MDG-F)"/>
    <s v="CN90L80001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001CN5013611 SIT COM C&amp;E Pimi Blue paper"/>
    <s v="H000001595"/>
    <s v="H000001595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101CN5013351 ERB COM C&amp;E Market access for Sales team"/>
    <s v="H000001419"/>
    <s v="H000001419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101CN5013352 ERB COM C&amp;E Market access for Sales team"/>
    <s v="H000001419"/>
    <s v="H000001419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101CN5013610 ERB COM C&amp;E BioS differentiation"/>
    <s v="H000001595"/>
    <s v="H000001595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111CN5015001 O59 COM PROM OTH 影像科调研(biomarker)"/>
    <s v="H000004390"/>
    <s v="H000004390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111CN5015002 O59 COM PROM OTH Disease awarenees -人民日报"/>
    <s v="H000004390"/>
    <s v="H000004390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111CN5015003 O59 COM PROM OTH Disease awarenees -患者组织"/>
    <s v="H000004390"/>
    <s v="H000004390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111CN5015004 O59 COM PROM OTH Paitents story (wording"/>
    <s v="H000004390"/>
    <s v="H000004390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111CN5015005 O59 COM PROM OTH Pimi白皮书-患者对疾病认知的调研"/>
    <s v="H000004390"/>
    <s v="H000004390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111CN5015006 O59 COM PROM OTH Market Research-TGCT Tr"/>
    <s v="H000004390"/>
    <s v="H000004390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111CN5015500 O59 COM PROM OTH Global funding-Pimi"/>
    <s v="H000004390"/>
    <s v="H000004390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112CN5023302 O59 MED MED OTH TGCT Medical Activities"/>
    <s v="H000004392"/>
    <s v="H000004392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201CN5010271 FD COM PROM Fewer and Complete campaign"/>
    <s v="H000001491"/>
    <s v="H000001491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201CN5011201 FD COM ADV Gonal-f 30 years"/>
    <s v="H000001487"/>
    <s v="H000001487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201CN5013372 FD COM C&amp;E Better Campaign"/>
    <s v="H000001489"/>
    <s v="H000001489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201CN5013373 FD COM C&amp;E Bridge Campaign"/>
    <s v="H000001489"/>
    <s v="H000001489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201CN5013374 FD COM C&amp;E Project Future"/>
    <s v="H000001491"/>
    <s v="H000001491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201CN5013375 FD COM C&amp;E Hand in hand campaign"/>
    <s v="H000001491"/>
    <s v="H000001491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201CN5013376 FD COM C&amp;E Fertility preservation"/>
    <s v="H000001491"/>
    <s v="H000001491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201CN5013609 FD COM C&amp;E 辅助生殖十五五规划研究/立法研究"/>
    <s v="H000001595"/>
    <s v="H000001595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201CN5015307 FD COM PROM OTH 国药诚信数据"/>
    <s v="H000001486"/>
    <s v="H000001486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201CN5015308 FD COM PROM OTH Localization of ONE"/>
    <s v="H000001484"/>
    <s v="H000001484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201CN5015309 FD COM PROM OTH Localization of IVF Pro"/>
    <s v="H000001484"/>
    <s v="H000001484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201CN5015310 FD COM PROM OTH Localization of PJOS"/>
    <s v="H000001484"/>
    <s v="H000001484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201CN5015311 FD COM PROM OTH Localization of PIVOT"/>
    <s v="H000001484"/>
    <s v="H000001484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201CN5015312 FD COM PROM OTH Implementation of local"/>
    <s v="H000001484"/>
    <s v="H000001484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201CN5015313 FD COM PROM OTH Early access &amp; GMA relat"/>
    <s v="H000001484"/>
    <s v="H000001484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202CN5020339 FD MED MED EDU COS guideline"/>
    <s v="H000001517"/>
    <s v="H000001517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202CN5020340 FD MED MED EDU 科研系列交流会"/>
    <s v="H000001517"/>
    <s v="H000001517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202CN5023641 FD MED MED OTH RA Gonal-f 150&amp;300&amp;450IU"/>
    <s v="H000001521"/>
    <s v="H000001521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303CN5020256 DIA R&amp;D MED EDU in depth interview"/>
    <s v="H000001505"/>
    <s v="H000001505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303CN5020257 DIA R&amp;D MED EDU DB digital MSL  program"/>
    <s v="H000001505"/>
    <s v="H000001505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303CN5020508 DIA R&amp;D MED EDU MA Diabetes congress-off"/>
    <s v="H000001505"/>
    <s v="H000001505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303CN5020509 DIA R&amp;D MED EDU MA Diabetes congress-onl"/>
    <s v="H000001505"/>
    <s v="H000001505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303CN5023617 DIA R&amp;D MED OTH RA GIR renewal"/>
    <s v="H000001507"/>
    <s v="H000001507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323CN5020257 CAR R&amp;D MED EDU CV digital  MSL program"/>
    <s v="H000001505"/>
    <s v="H000001505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323CN5020507 CAR R&amp;D MED EDU CV MA meeting- online"/>
    <s v="H000001505"/>
    <s v="H000001505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323CN5020823 CAR R&amp;D MED EDU CV MSL 3rd party regiona"/>
    <s v="H000001505"/>
    <s v="H000001505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331CN5013608 THY COM C&amp;E Community Thyriods Eco-syste"/>
    <s v="H000001595"/>
    <s v="H000001595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331CN5015210 Hotspot Region Support Project"/>
    <s v="H000001382"/>
    <s v="H000001382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333CN5020821 THY R&amp;D MED EDU TD 3rd party meetings"/>
    <s v="H000001505"/>
    <s v="H000001505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333CN5020822 THY R&amp;D MED EDU TD funding"/>
    <s v="H000001505"/>
    <s v="H000001505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941CN5015308 TEP COM PROM OTH ONC TT NRDL"/>
    <s v="H000004119"/>
    <s v="H000004119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3"/>
    <x v="0"/>
    <x v="2"/>
    <s v="CNOW_AUS0$$$0000092002"/>
    <s v="L000006137"/>
    <s v="L000006137"/>
    <s v="Non-LFF"/>
    <s v=""/>
    <s v="No actions needed from us."/>
    <b v="1"/>
    <x v="1"/>
    <x v="1"/>
    <d v="2025-02-25T07:29:41"/>
    <m/>
    <m/>
    <x v="1"/>
    <n v="213"/>
    <s v="Natasha Hazel Aliado"/>
    <m/>
  </r>
  <r>
    <x v="83"/>
    <x v="0"/>
    <x v="2"/>
    <s v="CFLTFLE_10548-141-ECOM"/>
    <s v="L000008508"/>
    <s v="L000008508"/>
    <s v="Non-LFF"/>
    <s v=""/>
    <s v="No actions needed from us."/>
    <b v="1"/>
    <x v="1"/>
    <x v="1"/>
    <d v="2025-02-25T07:29:41"/>
    <m/>
    <m/>
    <x v="1"/>
    <n v="213"/>
    <s v="Natasha Hazel Aliado"/>
    <m/>
  </r>
  <r>
    <x v="83"/>
    <x v="0"/>
    <x v="2"/>
    <s v="OUY_3110250000_BF-C2_1823"/>
    <s v="H000000381"/>
    <s v="H000000381"/>
    <s v="Non-LFF"/>
    <s v=""/>
    <s v="No actions needed from us."/>
    <b v="1"/>
    <x v="1"/>
    <x v="1"/>
    <d v="2025-02-25T07:29:41"/>
    <m/>
    <m/>
    <x v="1"/>
    <n v="213"/>
    <s v="Natasha Hazel Aliado"/>
    <m/>
  </r>
  <r>
    <x v="84"/>
    <x v="0"/>
    <x v="2"/>
    <s v="CNOW_7210$$$0000052369 "/>
    <s v="L000009361"/>
    <s v="L000009361"/>
    <s v="Non-LFF"/>
    <s v=""/>
    <m/>
    <b v="1"/>
    <x v="2"/>
    <x v="1"/>
    <d v="2025-02-25T11:03:33"/>
    <d v="2025-02-27T00:00:00"/>
    <d v="2025-02-27T00:00:00"/>
    <x v="0"/>
    <n v="2"/>
    <s v="Joan Rose Pena"/>
    <m/>
  </r>
  <r>
    <x v="84"/>
    <x v="0"/>
    <x v="2"/>
    <s v="CNOW_7210$$$P139595864"/>
    <s v="L000009361"/>
    <s v="L000009361"/>
    <s v="Non-LFF"/>
    <s v=""/>
    <m/>
    <b v="1"/>
    <x v="2"/>
    <x v="1"/>
    <d v="2025-02-25T11:03:33"/>
    <d v="2025-02-27T00:00:00"/>
    <d v="2025-02-27T00:00:00"/>
    <x v="0"/>
    <n v="2"/>
    <s v="Joan Rose Pena"/>
    <m/>
  </r>
  <r>
    <x v="84"/>
    <x v="0"/>
    <x v="2"/>
    <s v="CNOW_7210$$$P139595864"/>
    <s v="L000009361"/>
    <s v="L000009361"/>
    <s v="Non-LFF"/>
    <s v=""/>
    <m/>
    <b v="1"/>
    <x v="2"/>
    <x v="1"/>
    <d v="2025-02-25T11:03:33"/>
    <d v="2025-02-27T00:00:00"/>
    <d v="2025-02-27T00:00:00"/>
    <x v="0"/>
    <n v="2"/>
    <s v="Joan Rose Pena"/>
    <m/>
  </r>
  <r>
    <x v="84"/>
    <x v="0"/>
    <x v="2"/>
    <s v="CNOW_7210$$$0000057565 "/>
    <s v="L000013808"/>
    <s v="L000013808"/>
    <s v="Non-LFF"/>
    <s v=""/>
    <s v="Already mapped"/>
    <b v="1"/>
    <x v="2"/>
    <x v="1"/>
    <d v="2025-02-25T11:03:33"/>
    <d v="2025-02-27T00:00:00"/>
    <d v="2025-02-27T00:00:00"/>
    <x v="0"/>
    <n v="2"/>
    <s v="Joan Rose Pena"/>
    <m/>
  </r>
  <r>
    <x v="84"/>
    <x v="0"/>
    <x v="2"/>
    <s v="CNOW_7210$$$0000265235 "/>
    <s v="L000013808"/>
    <s v="L000013808"/>
    <s v="Non-LFF"/>
    <s v=""/>
    <s v="Already mapped"/>
    <b v="1"/>
    <x v="2"/>
    <x v="1"/>
    <d v="2025-02-25T11:03:33"/>
    <d v="2025-02-27T00:00:00"/>
    <d v="2025-02-27T00:00:00"/>
    <x v="0"/>
    <n v="2"/>
    <s v="Joan Rose Pena"/>
    <m/>
  </r>
  <r>
    <x v="84"/>
    <x v="0"/>
    <x v="2"/>
    <s v="CNOW_7210$$$0000023582 "/>
    <s v="L000013808"/>
    <s v="L000013808"/>
    <s v="Non-LFF"/>
    <s v=""/>
    <s v="Already mapped"/>
    <b v="1"/>
    <x v="2"/>
    <x v="1"/>
    <d v="2025-02-25T11:03:33"/>
    <d v="2025-02-27T00:00:00"/>
    <d v="2025-02-27T00:00:00"/>
    <x v="0"/>
    <n v="2"/>
    <s v="Joan Rose Pena"/>
    <m/>
  </r>
  <r>
    <x v="84"/>
    <x v="0"/>
    <x v="2"/>
    <s v="CSCALA_1759$LSWH"/>
    <s v="L000009982"/>
    <s v="L000009982"/>
    <s v="Non-LFF"/>
    <s v=""/>
    <m/>
    <b v="1"/>
    <x v="2"/>
    <x v="1"/>
    <d v="2025-02-25T11:03:33"/>
    <d v="2025-02-27T00:00:00"/>
    <d v="2025-02-27T00:00:00"/>
    <x v="0"/>
    <n v="2"/>
    <s v="Joan Rose Pena"/>
    <m/>
  </r>
  <r>
    <x v="84"/>
    <x v="0"/>
    <x v="2"/>
    <s v="CORAERP_MMOR1945.4141 "/>
    <s v="L000009919"/>
    <s v="L000009919"/>
    <s v="Non-LFF"/>
    <s v=""/>
    <m/>
    <b v="1"/>
    <x v="2"/>
    <x v="1"/>
    <d v="2025-02-25T11:03:33"/>
    <d v="2025-02-27T00:00:00"/>
    <d v="2025-02-27T00:00:00"/>
    <x v="0"/>
    <n v="2"/>
    <s v="Joan Rose Pena"/>
    <m/>
  </r>
  <r>
    <x v="84"/>
    <x v="0"/>
    <x v="2"/>
    <s v="CSCALA_1042$PSCE_999"/>
    <s v="L000011687"/>
    <s v="L000011687"/>
    <s v="Non-LFF"/>
    <s v=""/>
    <m/>
    <b v="1"/>
    <x v="2"/>
    <x v="1"/>
    <d v="2025-02-25T11:03:33"/>
    <d v="2025-02-27T00:00:00"/>
    <d v="2025-02-27T00:00:00"/>
    <x v="0"/>
    <n v="2"/>
    <s v="Joan Rose Pena"/>
    <m/>
  </r>
  <r>
    <x v="84"/>
    <x v="0"/>
    <x v="2"/>
    <s v="CSCALA_1042$PSCE_P19"/>
    <s v="L000011687"/>
    <s v="L000011687"/>
    <s v="Non-LFF"/>
    <s v=""/>
    <m/>
    <b v="1"/>
    <x v="2"/>
    <x v="1"/>
    <d v="2025-02-25T11:03:33"/>
    <d v="2025-02-27T00:00:00"/>
    <d v="2025-02-27T00:00:00"/>
    <x v="0"/>
    <n v="2"/>
    <s v="Joan Rose Pena"/>
    <m/>
  </r>
  <r>
    <x v="84"/>
    <x v="0"/>
    <x v="2"/>
    <s v="CSCALA_1042$PSCE_P48"/>
    <s v="L000011687"/>
    <s v="L000011687"/>
    <s v="Non-LFF"/>
    <s v=""/>
    <m/>
    <b v="1"/>
    <x v="2"/>
    <x v="1"/>
    <d v="2025-02-25T11:03:33"/>
    <d v="2025-02-27T00:00:00"/>
    <d v="2025-02-27T00:00:00"/>
    <x v="0"/>
    <n v="2"/>
    <s v="Joan Rose Pena"/>
    <m/>
  </r>
  <r>
    <x v="84"/>
    <x v="0"/>
    <x v="2"/>
    <s v="CORAERP_MMOR1968.5031 "/>
    <s v="L000011585"/>
    <s v="L000011585"/>
    <s v="Non-LFF"/>
    <s v=""/>
    <m/>
    <b v="1"/>
    <x v="2"/>
    <x v="1"/>
    <d v="2025-02-25T11:03:33"/>
    <d v="2025-02-27T00:00:00"/>
    <d v="2025-02-27T00:00:00"/>
    <x v="0"/>
    <n v="2"/>
    <s v="Joan Rose Pena"/>
    <m/>
  </r>
  <r>
    <x v="84"/>
    <x v="0"/>
    <x v="2"/>
    <s v="CORAERP_MMOR1945.5106 "/>
    <s v="L000011619"/>
    <s v="L000011619"/>
    <s v="Non-LFF"/>
    <s v=""/>
    <m/>
    <b v="1"/>
    <x v="2"/>
    <x v="1"/>
    <d v="2025-02-25T11:03:33"/>
    <d v="2025-02-27T00:00:00"/>
    <d v="2025-02-27T00:00:00"/>
    <x v="0"/>
    <n v="2"/>
    <s v="Joan Rose Pena"/>
    <m/>
  </r>
  <r>
    <x v="84"/>
    <x v="0"/>
    <x v="2"/>
    <s v="CORAERP_MMOR1945.5148 "/>
    <s v="L000011619"/>
    <s v="L000011619"/>
    <s v="Non-LFF"/>
    <s v=""/>
    <m/>
    <b v="1"/>
    <x v="2"/>
    <x v="1"/>
    <d v="2025-02-25T11:03:33"/>
    <d v="2025-02-27T00:00:00"/>
    <d v="2025-02-27T00:00:00"/>
    <x v="0"/>
    <n v="2"/>
    <s v="Joan Rose Pena"/>
    <m/>
  </r>
  <r>
    <x v="84"/>
    <x v="0"/>
    <x v="2"/>
    <s v="CORAERP_MMOR1975.5951 "/>
    <s v="L000012325"/>
    <s v="L000012325"/>
    <s v="Non-LFF"/>
    <s v=""/>
    <m/>
    <b v="1"/>
    <x v="2"/>
    <x v="1"/>
    <d v="2025-02-25T11:03:33"/>
    <d v="2025-02-27T00:00:00"/>
    <d v="2025-02-27T00:00:00"/>
    <x v="0"/>
    <n v="2"/>
    <s v="Joan Rose Pena"/>
    <m/>
  </r>
  <r>
    <x v="85"/>
    <x v="0"/>
    <x v="2"/>
    <s v="CPHOENX_01010000639309 SAP Next ERP Implementation"/>
    <s v="L000013805"/>
    <s v="L000013805"/>
    <s v="Non-LFF"/>
    <s v=""/>
    <m/>
    <b v="1"/>
    <x v="2"/>
    <x v="1"/>
    <d v="2025-02-26T08:32:22"/>
    <d v="2025-02-28T00:00:00"/>
    <d v="2025-02-28T00:00:00"/>
    <x v="0"/>
    <n v="2"/>
    <s v="Jayson Martinez"/>
    <m/>
  </r>
  <r>
    <x v="86"/>
    <x v="0"/>
    <x v="2"/>
    <s v="CLFF_VMCA$$$KR07C06030 Global Quality- SP&amp;C Korea"/>
    <s v="P000000904"/>
    <s v="P000000904"/>
    <s v="LFF (MDG-F)"/>
    <s v="KR07C06030"/>
    <m/>
    <b v="1"/>
    <x v="0"/>
    <x v="1"/>
    <d v="2025-02-26T09:18:33"/>
    <d v="2025-02-28T00:00:00"/>
    <d v="2025-02-28T00:00:00"/>
    <x v="0"/>
    <n v="2"/>
    <s v="Eivy Denine Cruz"/>
    <m/>
  </r>
  <r>
    <x v="87"/>
    <x v="0"/>
    <x v="2"/>
    <s v="D30010800000000 "/>
    <s v="L000006431"/>
    <s v="L000006431"/>
    <s v="Non-LFF"/>
    <s v=""/>
    <m/>
    <b v="1"/>
    <x v="2"/>
    <x v="1"/>
    <d v="2025-02-26T11:46:04"/>
    <d v="2025-02-28T00:00:00"/>
    <d v="2025-02-28T00:00:00"/>
    <x v="0"/>
    <n v="2"/>
    <s v="Joan Rose Pena"/>
    <m/>
  </r>
  <r>
    <x v="87"/>
    <x v="0"/>
    <x v="2"/>
    <s v="CNOW_7210$$$0000015909"/>
    <s v="L000012340"/>
    <s v="L000012340"/>
    <s v="Non-LFF"/>
    <s v=""/>
    <m/>
    <b v="1"/>
    <x v="2"/>
    <x v="1"/>
    <d v="2025-02-26T11:46:04"/>
    <d v="2025-02-28T00:00:00"/>
    <d v="2025-02-28T00:00:00"/>
    <x v="0"/>
    <n v="2"/>
    <s v="Joan Rose Pena"/>
    <m/>
  </r>
  <r>
    <x v="87"/>
    <x v="0"/>
    <x v="2"/>
    <s v="CNOW_7210$$$0000015908"/>
    <s v="L000010037"/>
    <s v="L000010037"/>
    <s v="Non-LFF"/>
    <s v=""/>
    <m/>
    <b v="1"/>
    <x v="2"/>
    <x v="1"/>
    <d v="2025-02-26T11:46:04"/>
    <d v="2025-02-28T00:00:00"/>
    <d v="2025-02-28T00:00:00"/>
    <x v="0"/>
    <n v="2"/>
    <s v="Joan Rose Pena"/>
    <m/>
  </r>
  <r>
    <x v="87"/>
    <x v="0"/>
    <x v="2"/>
    <s v="CNOW_7210$$$0000015912"/>
    <s v="L000012340"/>
    <s v="L000012340"/>
    <s v="Non-LFF"/>
    <s v=""/>
    <m/>
    <b v="1"/>
    <x v="2"/>
    <x v="1"/>
    <d v="2025-02-26T11:46:04"/>
    <d v="2025-02-28T00:00:00"/>
    <d v="2025-02-28T00:00:00"/>
    <x v="0"/>
    <n v="2"/>
    <s v="Joan Rose Pena"/>
    <m/>
  </r>
  <r>
    <x v="88"/>
    <x v="0"/>
    <x v="2"/>
    <s v="CNOW_7210$$$0000052369"/>
    <s v="L000009356"/>
    <s v="L000009356"/>
    <s v="Non-LFF"/>
    <s v=""/>
    <m/>
    <b v="1"/>
    <x v="2"/>
    <x v="1"/>
    <d v="2025-02-26T14:26:03"/>
    <d v="2025-02-28T00:00:00"/>
    <d v="2025-02-28T00:00:00"/>
    <x v="0"/>
    <n v="2"/>
    <s v="Joan Rose Pena"/>
    <m/>
  </r>
  <r>
    <x v="89"/>
    <x v="0"/>
    <x v="2"/>
    <s v="CLFF_1000$$$KR02TPAZ06 Customer Fulfillment Excellence Asia"/>
    <s v="P000000468"/>
    <s v="P000000468"/>
    <s v="LFF (MDG-F)"/>
    <s v="KR02TPAZ06"/>
    <m/>
    <b v="1"/>
    <x v="0"/>
    <x v="1"/>
    <d v="2025-02-27T14:54:12"/>
    <d v="2025-03-03T00:00:00"/>
    <d v="2025-03-03T00:00:00"/>
    <x v="0"/>
    <n v="2"/>
    <s v="Eivy Denine Cruz"/>
    <m/>
  </r>
  <r>
    <x v="90"/>
    <x v="0"/>
    <x v="2"/>
    <s v="CEMERAL_64010010991319"/>
    <s v="G000000635"/>
    <s v="G000000635"/>
    <s v="Non-LFF"/>
    <s v=""/>
    <m/>
    <b v="1"/>
    <x v="0"/>
    <x v="1"/>
    <d v="2025-02-27T15:14:00"/>
    <d v="2025-02-28T00:00:00"/>
    <d v="2025-02-28T00:00:00"/>
    <x v="0"/>
    <n v="1"/>
    <s v="Jojeff Tagnong"/>
    <m/>
  </r>
  <r>
    <x v="90"/>
    <x v="0"/>
    <x v="2"/>
    <s v="CEMERAL_64010010991310"/>
    <s v="G000000635"/>
    <s v="G000000635"/>
    <s v="Non-LFF"/>
    <s v=""/>
    <m/>
    <b v="1"/>
    <x v="0"/>
    <x v="1"/>
    <d v="2025-02-27T15:14:00"/>
    <d v="2025-02-28T00:00:00"/>
    <d v="2025-02-28T00:00:00"/>
    <x v="0"/>
    <n v="1"/>
    <s v="Jojeff Tagnong"/>
    <m/>
  </r>
  <r>
    <x v="91"/>
    <x v="0"/>
    <x v="2"/>
    <s v="CSCALA_1025$ARAM Electricity"/>
    <s v="H000003642"/>
    <s v="H000003642"/>
    <s v="Non-LFF"/>
    <s v=""/>
    <m/>
    <b v="1"/>
    <x v="1"/>
    <x v="1"/>
    <d v="2025-02-28T09:44:16"/>
    <d v="2025-03-05T00:00:00"/>
    <d v="2025-03-05T00:00:00"/>
    <x v="0"/>
    <n v="3"/>
    <s v="John Poulie Borromeo"/>
    <m/>
  </r>
  <r>
    <x v="91"/>
    <x v="0"/>
    <x v="2"/>
    <s v="CSCALA_1025$8111_V38"/>
    <s v="H000003642"/>
    <s v="H000003642"/>
    <s v="Non-LFF"/>
    <s v=""/>
    <m/>
    <b v="1"/>
    <x v="1"/>
    <x v="1"/>
    <d v="2025-02-28T09:44:16"/>
    <d v="2025-03-05T00:00:00"/>
    <d v="2025-03-05T00:00:00"/>
    <x v="0"/>
    <n v="3"/>
    <s v="John Poulie Borromeo"/>
    <m/>
  </r>
  <r>
    <x v="91"/>
    <x v="0"/>
    <x v="2"/>
    <s v="CSCALA_1025$TAVH Heating"/>
    <s v="H000003642"/>
    <s v="H000003642"/>
    <s v="Non-LFF"/>
    <s v=""/>
    <m/>
    <b v="1"/>
    <x v="1"/>
    <x v="1"/>
    <d v="2025-02-28T09:44:16"/>
    <d v="2025-03-05T00:00:00"/>
    <d v="2025-03-05T00:00:00"/>
    <x v="0"/>
    <n v="3"/>
    <s v="John Poulie Borromeo"/>
    <m/>
  </r>
  <r>
    <x v="91"/>
    <x v="0"/>
    <x v="2"/>
    <s v="CSCALA_1025$VIZ Water"/>
    <s v="H000003642"/>
    <s v="H000003642"/>
    <s v="Non-LFF"/>
    <s v=""/>
    <m/>
    <b v="1"/>
    <x v="1"/>
    <x v="1"/>
    <d v="2025-02-28T09:44:16"/>
    <d v="2025-03-05T00:00:00"/>
    <d v="2025-03-05T00:00:00"/>
    <x v="0"/>
    <n v="3"/>
    <s v="John Poulie Borromeo"/>
    <m/>
  </r>
  <r>
    <x v="91"/>
    <x v="0"/>
    <x v="2"/>
    <s v="CSCALA_1025$6114_E83"/>
    <s v="H000003640"/>
    <s v="H000003640"/>
    <s v="Non-LFF"/>
    <s v=""/>
    <m/>
    <b v="1"/>
    <x v="1"/>
    <x v="1"/>
    <d v="2025-02-28T09:44:16"/>
    <d v="2025-03-05T00:00:00"/>
    <d v="2025-03-05T00:00:00"/>
    <x v="0"/>
    <n v="3"/>
    <s v="John Poulie Borromeo"/>
    <m/>
  </r>
  <r>
    <x v="91"/>
    <x v="0"/>
    <x v="2"/>
    <s v="CSCALA_1025$5113_E21"/>
    <s v="H000003640"/>
    <s v="H000003640"/>
    <s v="Non-LFF"/>
    <s v=""/>
    <m/>
    <b v="1"/>
    <x v="1"/>
    <x v="1"/>
    <d v="2025-02-28T09:44:16"/>
    <d v="2025-03-05T00:00:00"/>
    <d v="2025-03-05T00:00:00"/>
    <x v="0"/>
    <n v="3"/>
    <s v="John Poulie Borromeo"/>
    <m/>
  </r>
  <r>
    <x v="91"/>
    <x v="0"/>
    <x v="2"/>
    <s v="CSCALA_1025$5111_E81"/>
    <s v="H000003640"/>
    <s v="H000003640"/>
    <s v="Non-LFF"/>
    <s v=""/>
    <m/>
    <b v="1"/>
    <x v="1"/>
    <x v="1"/>
    <d v="2025-02-28T09:44:16"/>
    <d v="2025-03-05T00:00:00"/>
    <d v="2025-03-05T00:00:00"/>
    <x v="0"/>
    <n v="3"/>
    <s v="John Poulie Borromeo"/>
    <m/>
  </r>
  <r>
    <x v="91"/>
    <x v="0"/>
    <x v="2"/>
    <s v="CFLTFLE_2276HRIF_EIC Healthcare CM Croatia Income"/>
    <s v="H000003637"/>
    <s v="H000003637"/>
    <s v="Non-LFF"/>
    <s v=""/>
    <m/>
    <b v="1"/>
    <x v="1"/>
    <x v="1"/>
    <d v="2025-02-28T09:44:16"/>
    <d v="2025-03-05T00:00:00"/>
    <d v="2025-03-05T00:00:00"/>
    <x v="0"/>
    <n v="3"/>
    <s v="John Poulie Borromeo"/>
    <m/>
  </r>
  <r>
    <x v="92"/>
    <x v="0"/>
    <x v="2"/>
    <s v="CSCALA_1820$A064 Field Force in New Zealand"/>
    <s v="H000001141"/>
    <s v="H000001141"/>
    <s v="Non-LFF"/>
    <s v=""/>
    <s v="Already mapped"/>
    <b v="1"/>
    <x v="1"/>
    <x v="1"/>
    <d v="2025-02-28T09:46:49"/>
    <d v="2025-03-05T00:00:00"/>
    <d v="2025-03-05T00:00:00"/>
    <x v="0"/>
    <n v="3"/>
    <s v="Carlo Umali"/>
    <m/>
  </r>
  <r>
    <x v="92"/>
    <x v="0"/>
    <x v="2"/>
    <s v="CSCALA_1820$A100_68"/>
    <s v="H000001142"/>
    <s v="H000001142"/>
    <s v="Non-LFF"/>
    <s v=""/>
    <m/>
    <b v="1"/>
    <x v="1"/>
    <x v="1"/>
    <d v="2025-02-28T09:46:49"/>
    <d v="2025-03-05T00:00:00"/>
    <d v="2025-03-05T00:00:00"/>
    <x v="0"/>
    <n v="3"/>
    <s v="Carlo Umali"/>
    <m/>
  </r>
  <r>
    <x v="93"/>
    <x v="0"/>
    <x v="2"/>
    <s v="CTEMPNA_1000PH80GFO119 CAO R2P Benfits North America"/>
    <s v="G000000633"/>
    <s v="G000000633"/>
    <s v="Non-LFF"/>
    <s v=""/>
    <m/>
    <b v="1"/>
    <x v="0"/>
    <x v="1"/>
    <d v="2025-02-28T12:22:02"/>
    <d v="2025-03-05T00:00:00"/>
    <d v="2025-03-05T00:00:00"/>
    <x v="0"/>
    <n v="3"/>
    <s v="Mercia Moshitwa"/>
    <m/>
  </r>
  <r>
    <x v="94"/>
    <x v="0"/>
    <x v="2"/>
    <s v="PLEAN_X310201AE5010405 SP PROM MAT-PS-FERT"/>
    <s v="H000000299"/>
    <s v="H000000299"/>
    <s v="Non-LFF"/>
    <s v=""/>
    <m/>
    <b v="1"/>
    <x v="1"/>
    <x v="1"/>
    <d v="2025-02-28T13:10:21"/>
    <d v="2025-03-05T00:00:00"/>
    <d v="2025-03-05T00:00:00"/>
    <x v="0"/>
    <n v="3"/>
    <s v="Rayneil Reas"/>
    <m/>
  </r>
  <r>
    <x v="94"/>
    <x v="0"/>
    <x v="2"/>
    <s v="PLEAN_X310201CH6802049 ESHRE global F04 costs ISS"/>
    <s v="H000000453"/>
    <s v="H000000453"/>
    <s v="Non-LFF"/>
    <s v=""/>
    <s v="Parent node is mapped under Trash which makes the object unmappable."/>
    <b v="1"/>
    <x v="1"/>
    <x v="1"/>
    <d v="2025-02-28T13:10:21"/>
    <d v="2025-03-05T00:00:00"/>
    <d v="2025-03-05T00:00:00"/>
    <x v="0"/>
    <n v="3"/>
    <s v="Rayneil Reas"/>
    <m/>
  </r>
  <r>
    <x v="94"/>
    <x v="0"/>
    <x v="2"/>
    <s v="PLEAN_X310201SA5015301 FER COM-OTHER PROM-SA-GAP"/>
    <s v="H000000303"/>
    <s v="H000000303"/>
    <s v="Non-LFF"/>
    <s v=""/>
    <m/>
    <b v="1"/>
    <x v="1"/>
    <x v="1"/>
    <d v="2025-02-28T13:10:21"/>
    <d v="2025-03-05T00:00:00"/>
    <d v="2025-03-05T00:00:00"/>
    <x v="0"/>
    <n v="3"/>
    <s v="Rayneil Reas"/>
    <m/>
  </r>
  <r>
    <x v="94"/>
    <x v="0"/>
    <x v="2"/>
    <s v="PLEAN_X310201SA5030301 FER COM-OTHER M&amp;S-SA"/>
    <s v="H000000303"/>
    <s v="H000000303"/>
    <s v="Non-LFF"/>
    <s v=""/>
    <m/>
    <b v="1"/>
    <x v="1"/>
    <x v="1"/>
    <d v="2025-02-28T13:10:21"/>
    <d v="2025-03-05T00:00:00"/>
    <d v="2025-03-05T00:00:00"/>
    <x v="0"/>
    <n v="3"/>
    <s v="Rayneil Reas"/>
    <m/>
  </r>
  <r>
    <x v="94"/>
    <x v="0"/>
    <x v="2"/>
    <s v="PLEAN_X310301SA5011301 DIA COM-ADVERTISING-SA"/>
    <s v="H000000303"/>
    <s v="H000000303"/>
    <s v="Non-LFF"/>
    <s v=""/>
    <m/>
    <b v="1"/>
    <x v="1"/>
    <x v="1"/>
    <d v="2025-02-28T13:10:21"/>
    <d v="2025-03-05T00:00:00"/>
    <d v="2025-03-05T00:00:00"/>
    <x v="0"/>
    <n v="3"/>
    <s v="Rayneil Reas"/>
    <m/>
  </r>
  <r>
    <x v="94"/>
    <x v="0"/>
    <x v="2"/>
    <s v="PLEAN_X310301SA5015303 DIA COM-OTHER PROM-SA"/>
    <s v="H000000303"/>
    <s v="H000000303"/>
    <s v="Non-LFF"/>
    <s v=""/>
    <m/>
    <b v="1"/>
    <x v="1"/>
    <x v="1"/>
    <d v="2025-02-28T13:10:21"/>
    <d v="2025-03-05T00:00:00"/>
    <d v="2025-03-05T00:00:00"/>
    <x v="0"/>
    <n v="3"/>
    <s v="Rayneil Reas"/>
    <m/>
  </r>
  <r>
    <x v="94"/>
    <x v="0"/>
    <x v="2"/>
    <s v="PLEAN_X310401AE5013407 SP CONG/EVENTS-SY-ENDO"/>
    <s v="H000000312"/>
    <s v="H000000312"/>
    <s v="Non-LFF"/>
    <s v=""/>
    <m/>
    <b v="1"/>
    <x v="1"/>
    <x v="1"/>
    <d v="2025-02-28T13:10:21"/>
    <d v="2025-03-05T00:00:00"/>
    <d v="2025-03-05T00:00:00"/>
    <x v="0"/>
    <n v="3"/>
    <s v="Rayneil Reas"/>
    <m/>
  </r>
  <r>
    <x v="94"/>
    <x v="0"/>
    <x v="2"/>
    <s v="PLEAN_X310403AE5043402 R&amp;D REGISTRTAION-IQ-ENDO"/>
    <s v="H000000274"/>
    <s v="H000000274"/>
    <s v="Non-LFF"/>
    <s v=""/>
    <m/>
    <b v="1"/>
    <x v="1"/>
    <x v="1"/>
    <d v="2025-02-28T13:10:21"/>
    <d v="2025-03-05T00:00:00"/>
    <d v="2025-03-05T00:00:00"/>
    <x v="0"/>
    <n v="3"/>
    <s v="Rayneil Reas"/>
    <m/>
  </r>
  <r>
    <x v="94"/>
    <x v="0"/>
    <x v="2"/>
    <s v="PLEAN_X310511CH6802043 ECTRIMS Global Costs ISS F04"/>
    <s v="H000000453"/>
    <s v="H000000453"/>
    <s v="Non-LFF"/>
    <s v=""/>
    <s v="Parent node is mapped under Trash which makes the object unmappable."/>
    <b v="1"/>
    <x v="1"/>
    <x v="1"/>
    <d v="2025-02-28T13:10:21"/>
    <d v="2025-03-05T00:00:00"/>
    <d v="2025-03-05T00:00:00"/>
    <x v="0"/>
    <n v="3"/>
    <s v="Rayneil Reas"/>
    <m/>
  </r>
  <r>
    <x v="94"/>
    <x v="0"/>
    <x v="2"/>
    <s v="PLEAN_X310511SA5030302 MAV COM-OTHER M&amp;S-SA-REGISTRATION"/>
    <s v="H000000303"/>
    <s v="H000000303"/>
    <s v="Non-LFF"/>
    <s v=""/>
    <m/>
    <b v="1"/>
    <x v="1"/>
    <x v="1"/>
    <d v="2025-02-28T13:10:21"/>
    <d v="2025-03-05T00:00:00"/>
    <d v="2025-03-05T00:00:00"/>
    <x v="0"/>
    <n v="3"/>
    <s v="Rayneil Reas"/>
    <m/>
  </r>
  <r>
    <x v="94"/>
    <x v="0"/>
    <x v="2"/>
    <s v="PLEAN_X310942SA5020301 TEP MED-MED EDUCATION-SA"/>
    <s v="H000000303"/>
    <s v="H000000303"/>
    <s v="Non-LFF"/>
    <s v=""/>
    <m/>
    <b v="1"/>
    <x v="1"/>
    <x v="1"/>
    <d v="2025-02-28T13:10:21"/>
    <d v="2025-03-05T00:00:00"/>
    <d v="2025-03-05T00:00:00"/>
    <x v="0"/>
    <n v="3"/>
    <s v="Rayneil Reas"/>
    <m/>
  </r>
  <r>
    <x v="95"/>
    <x v="0"/>
    <x v="2"/>
    <s v="CSCALA_1721$F07 GBF Oncology"/>
    <s v="H000000162"/>
    <s v="H000000162"/>
    <s v="Non-LFF"/>
    <s v=""/>
    <m/>
    <b v="1"/>
    <x v="1"/>
    <x v="1"/>
    <d v="2025-02-28T17:38:23"/>
    <d v="2025-03-05T00:00:00"/>
    <d v="2025-03-05T00:00:00"/>
    <x v="0"/>
    <n v="3"/>
    <s v="Rayneil Reas"/>
    <m/>
  </r>
  <r>
    <x v="95"/>
    <x v="0"/>
    <x v="2"/>
    <s v="CSCALA_1759$E001"/>
    <s v="H000000161"/>
    <s v="H000000161"/>
    <s v="Non-LFF"/>
    <s v=""/>
    <m/>
    <b v="1"/>
    <x v="1"/>
    <x v="1"/>
    <d v="2025-02-28T17:38:23"/>
    <d v="2025-03-05T00:00:00"/>
    <d v="2025-03-05T00:00:00"/>
    <x v="0"/>
    <n v="3"/>
    <s v="Rayneil Reas"/>
    <m/>
  </r>
  <r>
    <x v="95"/>
    <x v="0"/>
    <x v="2"/>
    <s v="CSCALA_1759$E002"/>
    <s v="H000000161"/>
    <s v="H000000161"/>
    <s v="Non-LFF"/>
    <s v=""/>
    <m/>
    <b v="1"/>
    <x v="1"/>
    <x v="1"/>
    <d v="2025-02-28T17:38:23"/>
    <d v="2025-03-05T00:00:00"/>
    <d v="2025-03-05T00:00:00"/>
    <x v="0"/>
    <n v="3"/>
    <s v="Rayneil Reas"/>
    <m/>
  </r>
  <r>
    <x v="95"/>
    <x v="0"/>
    <x v="2"/>
    <s v="CSCALA_1759$E003"/>
    <s v="H000000161"/>
    <s v="H000000161"/>
    <s v="Non-LFF"/>
    <s v=""/>
    <m/>
    <b v="1"/>
    <x v="1"/>
    <x v="1"/>
    <d v="2025-02-28T17:38:23"/>
    <d v="2025-03-05T00:00:00"/>
    <d v="2025-03-05T00:00:00"/>
    <x v="0"/>
    <n v="3"/>
    <s v="Rayneil Reas"/>
    <m/>
  </r>
  <r>
    <x v="95"/>
    <x v="0"/>
    <x v="2"/>
    <s v="CSCALA_1759$E004"/>
    <s v="H000000161"/>
    <s v="H000000161"/>
    <s v="Non-LFF"/>
    <s v=""/>
    <m/>
    <b v="1"/>
    <x v="1"/>
    <x v="1"/>
    <d v="2025-02-28T17:38:23"/>
    <d v="2025-03-05T00:00:00"/>
    <d v="2025-03-05T00:00:00"/>
    <x v="0"/>
    <n v="3"/>
    <s v="Rayneil Reas"/>
    <m/>
  </r>
  <r>
    <x v="95"/>
    <x v="0"/>
    <x v="2"/>
    <s v="CSCALA_1759$E005"/>
    <s v="H000000161"/>
    <s v="H000000161"/>
    <s v="Non-LFF"/>
    <s v=""/>
    <m/>
    <b v="1"/>
    <x v="1"/>
    <x v="1"/>
    <d v="2025-02-28T17:38:23"/>
    <d v="2025-03-05T00:00:00"/>
    <d v="2025-03-05T00:00:00"/>
    <x v="0"/>
    <n v="3"/>
    <s v="Rayneil Reas"/>
    <m/>
  </r>
  <r>
    <x v="95"/>
    <x v="0"/>
    <x v="2"/>
    <s v="CSCALA_1759$E006"/>
    <s v="H000000161"/>
    <s v="H000000161"/>
    <s v="Non-LFF"/>
    <s v=""/>
    <m/>
    <b v="1"/>
    <x v="1"/>
    <x v="1"/>
    <d v="2025-02-28T17:38:23"/>
    <d v="2025-03-05T00:00:00"/>
    <d v="2025-03-05T00:00:00"/>
    <x v="0"/>
    <n v="3"/>
    <s v="Rayneil Reas"/>
    <m/>
  </r>
  <r>
    <x v="95"/>
    <x v="0"/>
    <x v="2"/>
    <s v="CSCALA_1759$E007"/>
    <s v="H000000161"/>
    <s v="H000000161"/>
    <s v="Non-LFF"/>
    <s v=""/>
    <m/>
    <b v="1"/>
    <x v="1"/>
    <x v="1"/>
    <d v="2025-02-28T17:38:23"/>
    <d v="2025-03-05T00:00:00"/>
    <d v="2025-03-05T00:00:00"/>
    <x v="0"/>
    <n v="3"/>
    <s v="Rayneil Reas"/>
    <m/>
  </r>
  <r>
    <x v="95"/>
    <x v="0"/>
    <x v="2"/>
    <s v="CSCALA_1759$E008"/>
    <s v="H000000161"/>
    <s v="H000000161"/>
    <s v="Non-LFF"/>
    <s v=""/>
    <m/>
    <b v="1"/>
    <x v="1"/>
    <x v="1"/>
    <d v="2025-02-28T17:38:23"/>
    <d v="2025-03-05T00:00:00"/>
    <d v="2025-03-05T00:00:00"/>
    <x v="0"/>
    <n v="3"/>
    <s v="Rayneil Reas"/>
    <m/>
  </r>
  <r>
    <x v="95"/>
    <x v="0"/>
    <x v="2"/>
    <s v="CSCALA_1759$E009"/>
    <s v="H000000161"/>
    <s v="H000000161"/>
    <s v="Non-LFF"/>
    <s v=""/>
    <m/>
    <b v="1"/>
    <x v="1"/>
    <x v="1"/>
    <d v="2025-02-28T17:38:23"/>
    <d v="2025-03-05T00:00:00"/>
    <d v="2025-03-05T00:00:00"/>
    <x v="0"/>
    <n v="3"/>
    <s v="Rayneil Reas"/>
    <m/>
  </r>
  <r>
    <x v="95"/>
    <x v="0"/>
    <x v="2"/>
    <s v="CSCALA_1759$E010"/>
    <s v="H000000161"/>
    <s v="H000000161"/>
    <s v="Non-LFF"/>
    <s v=""/>
    <m/>
    <b v="1"/>
    <x v="1"/>
    <x v="1"/>
    <d v="2025-02-28T17:38:23"/>
    <d v="2025-03-05T00:00:00"/>
    <d v="2025-03-05T00:00:00"/>
    <x v="0"/>
    <n v="3"/>
    <s v="Rayneil Reas"/>
    <m/>
  </r>
  <r>
    <x v="95"/>
    <x v="0"/>
    <x v="2"/>
    <s v="CSCALA_1759$E011"/>
    <s v="H000000161"/>
    <s v="H000000161"/>
    <s v="Non-LFF"/>
    <s v=""/>
    <m/>
    <b v="1"/>
    <x v="1"/>
    <x v="1"/>
    <d v="2025-02-28T17:38:23"/>
    <d v="2025-03-05T00:00:00"/>
    <d v="2025-03-05T00:00:00"/>
    <x v="0"/>
    <n v="3"/>
    <s v="Rayneil Reas"/>
    <m/>
  </r>
  <r>
    <x v="95"/>
    <x v="0"/>
    <x v="2"/>
    <s v="CSCALA_1759$E012"/>
    <s v="H000000161"/>
    <s v="H000000161"/>
    <s v="Non-LFF"/>
    <s v=""/>
    <m/>
    <b v="1"/>
    <x v="1"/>
    <x v="1"/>
    <d v="2025-02-28T17:38:23"/>
    <d v="2025-03-05T00:00:00"/>
    <d v="2025-03-05T00:00:00"/>
    <x v="0"/>
    <n v="3"/>
    <s v="Rayneil Reas"/>
    <m/>
  </r>
  <r>
    <x v="95"/>
    <x v="0"/>
    <x v="2"/>
    <s v="CSCALA_1759$E013"/>
    <s v="H000000161"/>
    <s v="H000000161"/>
    <s v="Non-LFF"/>
    <s v=""/>
    <m/>
    <b v="1"/>
    <x v="1"/>
    <x v="1"/>
    <d v="2025-02-28T17:38:23"/>
    <d v="2025-03-05T00:00:00"/>
    <d v="2025-03-05T00:00:00"/>
    <x v="0"/>
    <n v="3"/>
    <s v="Rayneil Reas"/>
    <m/>
  </r>
  <r>
    <x v="95"/>
    <x v="0"/>
    <x v="2"/>
    <s v="CSCALA_1759$E014"/>
    <s v="H000000161"/>
    <s v="H000000161"/>
    <s v="Non-LFF"/>
    <s v=""/>
    <m/>
    <b v="1"/>
    <x v="1"/>
    <x v="1"/>
    <d v="2025-02-28T17:38:23"/>
    <d v="2025-03-05T00:00:00"/>
    <d v="2025-03-05T00:00:00"/>
    <x v="0"/>
    <n v="3"/>
    <s v="Rayneil Reas"/>
    <m/>
  </r>
  <r>
    <x v="95"/>
    <x v="0"/>
    <x v="2"/>
    <s v="CSCALA_1759$E015"/>
    <s v="H000000161"/>
    <s v="H000000161"/>
    <s v="Non-LFF"/>
    <s v=""/>
    <m/>
    <b v="1"/>
    <x v="1"/>
    <x v="1"/>
    <d v="2025-02-28T17:38:23"/>
    <d v="2025-03-05T00:00:00"/>
    <d v="2025-03-05T00:00:00"/>
    <x v="0"/>
    <n v="3"/>
    <s v="Rayneil Reas"/>
    <m/>
  </r>
  <r>
    <x v="95"/>
    <x v="0"/>
    <x v="2"/>
    <s v="CSCALA_1759$E016"/>
    <s v="H000000161"/>
    <s v="H000000161"/>
    <s v="Non-LFF"/>
    <s v=""/>
    <m/>
    <b v="1"/>
    <x v="1"/>
    <x v="1"/>
    <d v="2025-02-28T17:38:23"/>
    <d v="2025-03-05T00:00:00"/>
    <d v="2025-03-05T00:00:00"/>
    <x v="0"/>
    <n v="3"/>
    <s v="Rayneil Reas"/>
    <m/>
  </r>
  <r>
    <x v="95"/>
    <x v="0"/>
    <x v="2"/>
    <s v="PLEAN_X310111CN5015500 O59 COM PROM OTH Global funding-Pimi"/>
    <s v="H000000162"/>
    <s v="H000000162"/>
    <s v="Non-LFF"/>
    <s v=""/>
    <m/>
    <b v="1"/>
    <x v="1"/>
    <x v="1"/>
    <d v="2025-02-28T17:38:23"/>
    <d v="2025-03-05T00:00:00"/>
    <d v="2025-03-05T00:00:00"/>
    <x v="0"/>
    <n v="3"/>
    <s v="Rayneil Reas"/>
    <m/>
  </r>
  <r>
    <x v="95"/>
    <x v="0"/>
    <x v="2"/>
    <s v="PLEAN_X310161CH6814063 MAP: Pricing, Access &amp; Contracting"/>
    <s v="H000000161"/>
    <s v="H000000161"/>
    <s v="Non-LFF"/>
    <s v=""/>
    <m/>
    <b v="1"/>
    <x v="1"/>
    <x v="1"/>
    <d v="2025-02-28T17:38:23"/>
    <d v="2025-03-05T00:00:00"/>
    <d v="2025-03-05T00:00:00"/>
    <x v="0"/>
    <n v="3"/>
    <s v="Rayneil Reas"/>
    <m/>
  </r>
  <r>
    <x v="95"/>
    <x v="0"/>
    <x v="2"/>
    <s v="PLEAN_X310181AE5015601 SP PROM OTHERS-FF4-BAVEN V9"/>
    <s v="H000000161"/>
    <s v="H000000161"/>
    <s v="Non-LFF"/>
    <s v=""/>
    <m/>
    <b v="1"/>
    <x v="1"/>
    <x v="1"/>
    <d v="2025-02-28T17:38:23"/>
    <d v="2025-03-05T00:00:00"/>
    <d v="2025-03-05T00:00:00"/>
    <x v="0"/>
    <n v="3"/>
    <s v="Rayneil Reas"/>
    <m/>
  </r>
  <r>
    <x v="95"/>
    <x v="0"/>
    <x v="2"/>
    <s v="PLEAN_X310181IT5030227 BAV Other M&amp;S MAP"/>
    <s v="H000000161"/>
    <s v="H000000161"/>
    <s v="Non-LFF"/>
    <s v=""/>
    <m/>
    <b v="1"/>
    <x v="1"/>
    <x v="1"/>
    <d v="2025-02-28T17:38:23"/>
    <d v="2025-03-05T00:00:00"/>
    <d v="2025-03-05T00:00:00"/>
    <x v="0"/>
    <n v="3"/>
    <s v="Rayneil Reas"/>
    <m/>
  </r>
  <r>
    <x v="95"/>
    <x v="0"/>
    <x v="2"/>
    <s v="PLEAN_X310182TN5023200 Bavencio global //UC Advisory Board DZ"/>
    <s v="H000000161"/>
    <s v="H000000161"/>
    <s v="Non-LFF"/>
    <s v=""/>
    <m/>
    <b v="1"/>
    <x v="1"/>
    <x v="1"/>
    <d v="2025-02-28T17:38:23"/>
    <d v="2025-03-05T00:00:00"/>
    <d v="2025-03-05T00:00:00"/>
    <x v="0"/>
    <n v="3"/>
    <s v="Rayneil Reas"/>
    <m/>
  </r>
  <r>
    <x v="96"/>
    <x v="0"/>
    <x v="2"/>
    <s v="CLFF_1000$$$DE20517200 "/>
    <s v="G000000397"/>
    <s v="G000000397"/>
    <s v="LFF (MDG-F)"/>
    <s v="DE20517200"/>
    <m/>
    <b v="1"/>
    <x v="0"/>
    <x v="1"/>
    <d v="2025-03-03T09:22:03"/>
    <d v="2025-03-05T00:00:00"/>
    <d v="2025-03-05T00:00:00"/>
    <x v="0"/>
    <n v="2"/>
    <s v="Francesco Ricioppo"/>
    <m/>
  </r>
  <r>
    <x v="96"/>
    <x v="0"/>
    <x v="2"/>
    <s v="CLFF_1000$$$DE20847204 "/>
    <s v="G000000397"/>
    <s v="G000000397"/>
    <s v="LFF (MDG-F)"/>
    <s v="DE20847204"/>
    <m/>
    <b v="1"/>
    <x v="0"/>
    <x v="1"/>
    <d v="2025-03-03T09:22:03"/>
    <d v="2025-03-05T00:00:00"/>
    <d v="2025-03-05T00:00:00"/>
    <x v="0"/>
    <n v="2"/>
    <s v="Francesco Ricioppo"/>
    <m/>
  </r>
  <r>
    <x v="96"/>
    <x v="0"/>
    <x v="2"/>
    <s v="CLFF_1000$$$DE20847205 "/>
    <s v="G000000397"/>
    <s v="G000000397"/>
    <s v="LFF (MDG-F)"/>
    <s v="DE20847205"/>
    <m/>
    <b v="1"/>
    <x v="0"/>
    <x v="1"/>
    <d v="2025-03-03T09:22:03"/>
    <d v="2025-03-05T00:00:00"/>
    <d v="2025-03-05T00:00:00"/>
    <x v="0"/>
    <n v="2"/>
    <s v="Francesco Ricioppo"/>
    <m/>
  </r>
  <r>
    <x v="96"/>
    <x v="0"/>
    <x v="2"/>
    <s v="CLFF_1000$$$DE20847206 "/>
    <s v="G000000397"/>
    <s v="G000000397"/>
    <s v="LFF (MDG-F)"/>
    <s v="DE20847206"/>
    <m/>
    <b v="1"/>
    <x v="0"/>
    <x v="1"/>
    <d v="2025-03-03T09:22:03"/>
    <d v="2025-03-05T00:00:00"/>
    <d v="2025-03-05T00:00:00"/>
    <x v="0"/>
    <n v="2"/>
    <s v="Francesco Ricioppo"/>
    <m/>
  </r>
  <r>
    <x v="96"/>
    <x v="0"/>
    <x v="2"/>
    <s v="CLFF_1000$$$DE20847207 "/>
    <s v="G000000397"/>
    <s v="G000000397"/>
    <s v="LFF (MDG-F)"/>
    <s v="DE20847207"/>
    <m/>
    <b v="1"/>
    <x v="0"/>
    <x v="1"/>
    <d v="2025-03-03T09:22:03"/>
    <d v="2025-03-05T00:00:00"/>
    <d v="2025-03-05T00:00:00"/>
    <x v="0"/>
    <n v="2"/>
    <s v="Francesco Ricioppo"/>
    <m/>
  </r>
  <r>
    <x v="97"/>
    <x v="0"/>
    <x v="2"/>
    <s v="CLFF_1000$$$DE10505500"/>
    <s v="G000000397"/>
    <s v="G000000397"/>
    <s v="LFF (MDG-F)"/>
    <s v="DE10505500"/>
    <m/>
    <b v="1"/>
    <x v="0"/>
    <x v="1"/>
    <d v="2025-03-03T09:34:30"/>
    <d v="2025-03-06T00:00:00"/>
    <d v="2025-03-06T00:00:00"/>
    <x v="0"/>
    <n v="3"/>
    <s v="Francesco Ricioppo"/>
    <m/>
  </r>
  <r>
    <x v="97"/>
    <x v="0"/>
    <x v="4"/>
    <s v="CLFF_1000$$$DE10550100"/>
    <s v="G000000397"/>
    <s v="G000000397"/>
    <s v="LFF (MDG-F)"/>
    <s v="DE10550100"/>
    <s v="Trash"/>
    <b v="1"/>
    <x v="0"/>
    <x v="1"/>
    <d v="2025-03-03T09:34:30"/>
    <m/>
    <d v="2025-03-06T00:00:00"/>
    <x v="0"/>
    <n v="3"/>
    <s v="Francesco Ricioppo"/>
    <e v="#REF!"/>
  </r>
  <r>
    <x v="97"/>
    <x v="0"/>
    <x v="4"/>
    <s v="CLFF_1000$$$DE10559100"/>
    <s v="G000000397"/>
    <s v="G000000397"/>
    <s v="LFF (MDG-F)"/>
    <s v="DE10559100"/>
    <s v="Trash"/>
    <b v="1"/>
    <x v="0"/>
    <x v="1"/>
    <d v="2025-03-03T09:34:30"/>
    <m/>
    <d v="2025-03-06T00:00:00"/>
    <x v="0"/>
    <n v="3"/>
    <s v="Francesco Ricioppo"/>
    <e v="#REF!"/>
  </r>
  <r>
    <x v="97"/>
    <x v="0"/>
    <x v="4"/>
    <s v="CLFF_1000$$$DE10566910"/>
    <s v="G000000397"/>
    <s v="G000000397"/>
    <s v="LFF (MDG-F)"/>
    <s v="DE10566910"/>
    <s v="Trash"/>
    <b v="1"/>
    <x v="0"/>
    <x v="1"/>
    <d v="2025-03-03T09:34:30"/>
    <m/>
    <d v="2025-03-06T00:00:00"/>
    <x v="0"/>
    <n v="3"/>
    <s v="Francesco Ricioppo"/>
    <e v="#REF!"/>
  </r>
  <r>
    <x v="97"/>
    <x v="0"/>
    <x v="2"/>
    <s v="CLFF_1000$$$DE10580022"/>
    <s v="G000000397"/>
    <s v="G000000397"/>
    <s v="LFF (MDG-F)"/>
    <s v="DE10580022"/>
    <m/>
    <b v="1"/>
    <x v="0"/>
    <x v="1"/>
    <d v="2025-03-03T09:34:30"/>
    <d v="2025-03-06T00:00:00"/>
    <d v="2025-03-06T00:00:00"/>
    <x v="0"/>
    <n v="3"/>
    <s v="Francesco Ricioppo"/>
    <m/>
  </r>
  <r>
    <x v="97"/>
    <x v="0"/>
    <x v="2"/>
    <s v="CLFF_1000$$$DE10580023"/>
    <s v="G000000397"/>
    <s v="G000000397"/>
    <s v="LFF (MDG-F)"/>
    <s v="DE10580023"/>
    <m/>
    <b v="1"/>
    <x v="0"/>
    <x v="1"/>
    <d v="2025-03-03T09:34:30"/>
    <d v="2025-03-06T00:00:00"/>
    <d v="2025-03-06T00:00:00"/>
    <x v="0"/>
    <n v="3"/>
    <s v="Francesco Ricioppo"/>
    <m/>
  </r>
  <r>
    <x v="97"/>
    <x v="0"/>
    <x v="2"/>
    <s v="CLFF_1000$$$DE10580024"/>
    <s v="G000000397"/>
    <s v="G000000397"/>
    <s v="LFF (MDG-F)"/>
    <s v="DE10580024"/>
    <m/>
    <b v="1"/>
    <x v="0"/>
    <x v="1"/>
    <d v="2025-03-03T09:34:30"/>
    <d v="2025-03-06T00:00:00"/>
    <d v="2025-03-06T00:00:00"/>
    <x v="0"/>
    <n v="3"/>
    <s v="Francesco Ricioppo"/>
    <m/>
  </r>
  <r>
    <x v="97"/>
    <x v="0"/>
    <x v="2"/>
    <s v="CLFF_1000$$$DE10580025"/>
    <s v="G000000397"/>
    <s v="G000000397"/>
    <s v="LFF (MDG-F)"/>
    <s v="DE10580025"/>
    <m/>
    <b v="1"/>
    <x v="0"/>
    <x v="1"/>
    <d v="2025-03-03T09:34:30"/>
    <d v="2025-03-06T00:00:00"/>
    <d v="2025-03-06T00:00:00"/>
    <x v="0"/>
    <n v="3"/>
    <s v="Francesco Ricioppo"/>
    <m/>
  </r>
  <r>
    <x v="97"/>
    <x v="0"/>
    <x v="2"/>
    <s v="CLFF_1000$$$DE10580026"/>
    <s v="G000000397"/>
    <s v="G000000397"/>
    <s v="LFF (MDG-F)"/>
    <s v="DE10580026"/>
    <m/>
    <b v="1"/>
    <x v="0"/>
    <x v="1"/>
    <d v="2025-03-03T09:34:30"/>
    <d v="2025-03-06T00:00:00"/>
    <d v="2025-03-06T00:00:00"/>
    <x v="0"/>
    <n v="3"/>
    <s v="Francesco Ricioppo"/>
    <m/>
  </r>
  <r>
    <x v="97"/>
    <x v="0"/>
    <x v="2"/>
    <s v="CLFF_1000$$$DE10580027"/>
    <s v="G000000397"/>
    <s v="G000000397"/>
    <s v="LFF (MDG-F)"/>
    <s v="DE10580027"/>
    <m/>
    <b v="1"/>
    <x v="0"/>
    <x v="1"/>
    <d v="2025-03-03T09:34:30"/>
    <d v="2025-03-06T00:00:00"/>
    <d v="2025-03-06T00:00:00"/>
    <x v="0"/>
    <n v="3"/>
    <s v="Francesco Ricioppo"/>
    <m/>
  </r>
  <r>
    <x v="97"/>
    <x v="0"/>
    <x v="2"/>
    <s v="CLFF_1000$$$DE10580040"/>
    <s v="G000000397"/>
    <s v="G000000397"/>
    <s v="LFF (MDG-F)"/>
    <s v="DE10580040"/>
    <m/>
    <b v="1"/>
    <x v="0"/>
    <x v="1"/>
    <d v="2025-03-03T09:34:30"/>
    <d v="2025-03-06T00:00:00"/>
    <d v="2025-03-06T00:00:00"/>
    <x v="0"/>
    <n v="3"/>
    <s v="Francesco Ricioppo"/>
    <m/>
  </r>
  <r>
    <x v="97"/>
    <x v="0"/>
    <x v="2"/>
    <s v="CLFF_1000$$$DE10628300"/>
    <s v="G000000397"/>
    <s v="G000000397"/>
    <s v="LFF (MDG-F)"/>
    <s v="DE10628300"/>
    <m/>
    <b v="1"/>
    <x v="0"/>
    <x v="1"/>
    <d v="2025-03-03T09:34:30"/>
    <d v="2025-03-06T00:00:00"/>
    <d v="2025-03-06T00:00:00"/>
    <x v="0"/>
    <n v="3"/>
    <s v="Francesco Ricioppo"/>
    <m/>
  </r>
  <r>
    <x v="97"/>
    <x v="0"/>
    <x v="2"/>
    <s v="CLFF_1000$$$DE20675105"/>
    <s v="G000000397"/>
    <s v="G000000397"/>
    <s v="LFF (MDG-F)"/>
    <s v="DE20675105"/>
    <m/>
    <b v="1"/>
    <x v="0"/>
    <x v="1"/>
    <d v="2025-03-03T09:34:30"/>
    <d v="2025-03-06T00:00:00"/>
    <d v="2025-03-06T00:00:00"/>
    <x v="0"/>
    <n v="3"/>
    <s v="Francesco Ricioppo"/>
    <m/>
  </r>
  <r>
    <x v="97"/>
    <x v="0"/>
    <x v="2"/>
    <s v="CLFF_1000$$$DE20675106"/>
    <s v="G000000397"/>
    <s v="G000000397"/>
    <s v="LFF (MDG-F)"/>
    <s v="DE20675106"/>
    <m/>
    <b v="1"/>
    <x v="0"/>
    <x v="1"/>
    <d v="2025-03-03T09:34:30"/>
    <d v="2025-03-06T00:00:00"/>
    <d v="2025-03-06T00:00:00"/>
    <x v="0"/>
    <n v="3"/>
    <s v="Francesco Ricioppo"/>
    <m/>
  </r>
  <r>
    <x v="97"/>
    <x v="0"/>
    <x v="4"/>
    <s v="CLFF_1000$$$DE20995000"/>
    <s v="G000000397"/>
    <s v="G000000397"/>
    <s v="LFF (MDG-F)"/>
    <s v="DE20995000"/>
    <s v="Trash"/>
    <b v="1"/>
    <x v="0"/>
    <x v="1"/>
    <d v="2025-03-03T09:34:30"/>
    <m/>
    <d v="2025-03-06T00:00:00"/>
    <x v="0"/>
    <n v="3"/>
    <s v="Francesco Ricioppo"/>
    <e v="#REF!"/>
  </r>
  <r>
    <x v="97"/>
    <x v="0"/>
    <x v="4"/>
    <s v="CLFF_1000$$$DE10889997"/>
    <s v="G000000397"/>
    <s v="G000000397"/>
    <s v="LFF (MDG-F)"/>
    <s v="DE10889997"/>
    <s v="Trash"/>
    <b v="1"/>
    <x v="0"/>
    <x v="1"/>
    <d v="2025-03-03T09:34:30"/>
    <m/>
    <d v="2025-03-06T00:00:00"/>
    <x v="0"/>
    <n v="3"/>
    <s v="Francesco Ricioppo"/>
    <e v="#REF!"/>
  </r>
  <r>
    <x v="97"/>
    <x v="0"/>
    <x v="4"/>
    <s v="CLFF_1000$$$DE10889998"/>
    <s v="G000000397"/>
    <s v="G000000397"/>
    <s v="LFF (MDG-F)"/>
    <s v="DE10889998"/>
    <s v="Trash"/>
    <b v="1"/>
    <x v="0"/>
    <x v="1"/>
    <d v="2025-03-03T09:34:30"/>
    <m/>
    <d v="2025-03-06T00:00:00"/>
    <x v="0"/>
    <n v="3"/>
    <s v="Francesco Ricioppo"/>
    <e v="#REF!"/>
  </r>
  <r>
    <x v="97"/>
    <x v="0"/>
    <x v="4"/>
    <s v="CLFF_1000$$$DE10889999"/>
    <s v="G000000397"/>
    <s v="G000000397"/>
    <s v="LFF (MDG-F)"/>
    <s v="DE10889999"/>
    <s v="Trash"/>
    <b v="1"/>
    <x v="0"/>
    <x v="1"/>
    <d v="2025-03-03T09:34:30"/>
    <m/>
    <d v="2025-03-06T00:00:00"/>
    <x v="0"/>
    <n v="3"/>
    <s v="Francesco Ricioppo"/>
    <e v="#REF!"/>
  </r>
  <r>
    <x v="98"/>
    <x v="0"/>
    <x v="2"/>
    <s v="CLFF_VMCA$$$CN09L16005"/>
    <s v="P000000499"/>
    <s v="P000000499"/>
    <s v="LFF (MDG-F)"/>
    <s v="CN09L16005"/>
    <m/>
    <b v="1"/>
    <x v="0"/>
    <x v="1"/>
    <d v="2025-03-03T13:53:54"/>
    <d v="2025-03-05T00:00:00"/>
    <d v="2025-03-05T00:00:00"/>
    <x v="0"/>
    <n v="2"/>
    <s v="Eivy Denine Cruz"/>
    <m/>
  </r>
  <r>
    <x v="99"/>
    <x v="0"/>
    <x v="2"/>
    <s v="CTEMPLA_1000PE10MSCO01 Awareness campaigns (Colombia)"/>
    <s v="H000004091"/>
    <s v="H000004091"/>
    <s v="Non-LFF"/>
    <s v=""/>
    <m/>
    <b v="1"/>
    <x v="1"/>
    <x v="1"/>
    <d v="2025-03-03T14:36:47"/>
    <d v="2025-03-13T00:00:00"/>
    <d v="2025-03-13T00:00:00"/>
    <x v="1"/>
    <n v="8"/>
    <s v="Natasha Hazel Aliado"/>
    <m/>
  </r>
  <r>
    <x v="100"/>
    <x v="0"/>
    <x v="2"/>
    <s v="CLFF_1000$$$DE10698316"/>
    <s v="G000001280"/>
    <s v="G000001280"/>
    <s v="LFF (MDG-F)"/>
    <s v="DE10698316"/>
    <m/>
    <b v="1"/>
    <x v="0"/>
    <x v="1"/>
    <d v="2025-03-03T20:31:53"/>
    <d v="2025-03-20T00:00:00"/>
    <d v="2025-03-20T00:00:00"/>
    <x v="1"/>
    <n v="13"/>
    <s v="Virginia Passadore"/>
    <m/>
  </r>
  <r>
    <x v="101"/>
    <x v="0"/>
    <x v="2"/>
    <s v="CNOW_7210$$$0000040108 "/>
    <s v="L000010190"/>
    <s v="L000010190"/>
    <s v="Non-LFF"/>
    <s v=""/>
    <m/>
    <b v="1"/>
    <x v="2"/>
    <x v="1"/>
    <d v="2025-03-04T08:50:04"/>
    <d v="2025-03-06T00:00:00"/>
    <d v="2025-03-06T00:00:00"/>
    <x v="0"/>
    <n v="2"/>
    <s v="Ruby Grace Garcia"/>
    <m/>
  </r>
  <r>
    <x v="101"/>
    <x v="0"/>
    <x v="2"/>
    <s v="CNOW_7210$$$0000250044 "/>
    <s v="L000013405"/>
    <s v="L000013405"/>
    <s v="Non-LFF"/>
    <s v=""/>
    <m/>
    <b v="1"/>
    <x v="2"/>
    <x v="1"/>
    <d v="2025-03-04T08:50:04"/>
    <d v="2025-03-06T00:00:00"/>
    <d v="2025-03-06T00:00:00"/>
    <x v="0"/>
    <n v="2"/>
    <s v="Ruby Grace Garcia"/>
    <m/>
  </r>
  <r>
    <x v="101"/>
    <x v="0"/>
    <x v="2"/>
    <s v="CNOW_7210$$$0000015703 "/>
    <s v="L000013502"/>
    <s v="L000013502"/>
    <s v="Non-LFF"/>
    <s v=""/>
    <m/>
    <b v="1"/>
    <x v="2"/>
    <x v="1"/>
    <d v="2025-03-04T08:50:04"/>
    <d v="2025-03-06T00:00:00"/>
    <d v="2025-03-06T00:00:00"/>
    <x v="0"/>
    <n v="2"/>
    <s v="Ruby Grace Garcia"/>
    <m/>
  </r>
  <r>
    <x v="101"/>
    <x v="0"/>
    <x v="2"/>
    <s v="CNOW_7210$$$0000015415 "/>
    <s v="L000013502"/>
    <s v="L000013502"/>
    <s v="Non-LFF"/>
    <s v=""/>
    <m/>
    <b v="1"/>
    <x v="2"/>
    <x v="1"/>
    <d v="2025-03-04T08:50:04"/>
    <d v="2025-03-06T00:00:00"/>
    <d v="2025-03-06T00:00:00"/>
    <x v="0"/>
    <n v="2"/>
    <s v="Ruby Grace Garcia"/>
    <m/>
  </r>
  <r>
    <x v="101"/>
    <x v="0"/>
    <x v="2"/>
    <s v="CNOW_7210$$$0000058825 "/>
    <s v="L000010150"/>
    <s v="L000010150"/>
    <s v="Non-LFF"/>
    <s v=""/>
    <m/>
    <b v="1"/>
    <x v="2"/>
    <x v="1"/>
    <d v="2025-03-04T08:50:04"/>
    <d v="2025-03-06T00:00:00"/>
    <d v="2025-03-06T00:00:00"/>
    <x v="0"/>
    <n v="2"/>
    <s v="Ruby Grace Garcia"/>
    <m/>
  </r>
  <r>
    <x v="101"/>
    <x v="0"/>
    <x v="2"/>
    <s v="CNOW_7210$$$0000056127 "/>
    <s v="L000013555"/>
    <s v="L000013555"/>
    <s v="Non-LFF"/>
    <s v=""/>
    <m/>
    <b v="1"/>
    <x v="2"/>
    <x v="1"/>
    <d v="2025-03-04T08:50:04"/>
    <d v="2025-03-06T00:00:00"/>
    <d v="2025-03-06T00:00:00"/>
    <x v="0"/>
    <n v="2"/>
    <s v="Ruby Grace Garcia"/>
    <m/>
  </r>
  <r>
    <x v="101"/>
    <x v="0"/>
    <x v="2"/>
    <s v="CNOW_7210$$$0000008098 "/>
    <s v="L000009645"/>
    <s v="L000009645"/>
    <s v="Non-LFF"/>
    <s v=""/>
    <m/>
    <b v="1"/>
    <x v="2"/>
    <x v="1"/>
    <d v="2025-03-04T08:50:04"/>
    <d v="2025-03-06T00:00:00"/>
    <d v="2025-03-06T00:00:00"/>
    <x v="0"/>
    <n v="2"/>
    <s v="Ruby Grace Garcia"/>
    <m/>
  </r>
  <r>
    <x v="101"/>
    <x v="0"/>
    <x v="2"/>
    <s v="CNOW_7210$$$0000020047 "/>
    <s v="L000013779"/>
    <s v="L000013779"/>
    <s v="Non-LFF"/>
    <s v=""/>
    <m/>
    <b v="1"/>
    <x v="2"/>
    <x v="1"/>
    <d v="2025-03-04T08:50:04"/>
    <d v="2025-03-06T00:00:00"/>
    <d v="2025-03-06T00:00:00"/>
    <x v="0"/>
    <n v="2"/>
    <s v="Ruby Grace Garcia"/>
    <m/>
  </r>
  <r>
    <x v="101"/>
    <x v="0"/>
    <x v="2"/>
    <s v="CNOW_7210$$$0000056951 "/>
    <s v="L000013779"/>
    <s v="L000013779"/>
    <s v="Non-LFF"/>
    <s v=""/>
    <m/>
    <b v="1"/>
    <x v="2"/>
    <x v="1"/>
    <d v="2025-03-04T08:50:04"/>
    <d v="2025-03-06T00:00:00"/>
    <d v="2025-03-06T00:00:00"/>
    <x v="0"/>
    <n v="2"/>
    <s v="Ruby Grace Garcia"/>
    <m/>
  </r>
  <r>
    <x v="101"/>
    <x v="0"/>
    <x v="2"/>
    <s v="CNOW_7210$$$0000269002 "/>
    <s v="L000013779"/>
    <s v="L000013779"/>
    <s v="Non-LFF"/>
    <s v=""/>
    <m/>
    <b v="1"/>
    <x v="2"/>
    <x v="1"/>
    <d v="2025-03-04T08:50:04"/>
    <d v="2025-03-06T00:00:00"/>
    <d v="2025-03-06T00:00:00"/>
    <x v="0"/>
    <n v="2"/>
    <s v="Ruby Grace Garcia"/>
    <m/>
  </r>
  <r>
    <x v="101"/>
    <x v="0"/>
    <x v="2"/>
    <s v="CORAERP_MMOR1945.5822 "/>
    <s v="L000013671"/>
    <s v="L000013671"/>
    <s v="Non-LFF"/>
    <s v=""/>
    <m/>
    <b v="1"/>
    <x v="2"/>
    <x v="1"/>
    <d v="2025-03-04T08:50:04"/>
    <d v="2025-03-06T00:00:00"/>
    <d v="2025-03-06T00:00:00"/>
    <x v="0"/>
    <n v="2"/>
    <s v="Ruby Grace Garcia"/>
    <m/>
  </r>
  <r>
    <x v="101"/>
    <x v="0"/>
    <x v="2"/>
    <s v="CORAERP_MMOR1917.RLLLX "/>
    <s v="L000009205"/>
    <s v="L000009205"/>
    <s v="Non-LFF"/>
    <s v=""/>
    <m/>
    <b v="1"/>
    <x v="2"/>
    <x v="1"/>
    <d v="2025-03-04T08:50:04"/>
    <d v="2025-03-06T00:00:00"/>
    <d v="2025-03-06T00:00:00"/>
    <x v="0"/>
    <n v="2"/>
    <s v="Ruby Grace Garcia"/>
    <m/>
  </r>
  <r>
    <x v="101"/>
    <x v="0"/>
    <x v="2"/>
    <s v="CORAERP_MMOR1917.RLLMX "/>
    <s v="L000009205"/>
    <s v="L000009205"/>
    <s v="Non-LFF"/>
    <s v=""/>
    <m/>
    <b v="1"/>
    <x v="2"/>
    <x v="1"/>
    <d v="2025-03-04T08:50:04"/>
    <d v="2025-03-06T00:00:00"/>
    <d v="2025-03-06T00:00:00"/>
    <x v="0"/>
    <n v="2"/>
    <s v="Ruby Grace Garcia"/>
    <m/>
  </r>
  <r>
    <x v="101"/>
    <x v="0"/>
    <x v="2"/>
    <s v="CORAERP_MMOR1917.RLPLX "/>
    <s v="L000009205"/>
    <s v="L000009205"/>
    <s v="Non-LFF"/>
    <s v=""/>
    <m/>
    <b v="1"/>
    <x v="2"/>
    <x v="1"/>
    <d v="2025-03-04T08:50:04"/>
    <d v="2025-03-06T00:00:00"/>
    <d v="2025-03-06T00:00:00"/>
    <x v="0"/>
    <n v="2"/>
    <s v="Ruby Grace Garcia"/>
    <m/>
  </r>
  <r>
    <x v="101"/>
    <x v="0"/>
    <x v="2"/>
    <s v="CORAERP_MMOR1975.RLLMX "/>
    <s v="L000009206"/>
    <s v="L000009206"/>
    <s v="Non-LFF"/>
    <s v=""/>
    <m/>
    <b v="1"/>
    <x v="2"/>
    <x v="1"/>
    <d v="2025-03-04T08:50:04"/>
    <d v="2025-03-06T00:00:00"/>
    <d v="2025-03-06T00:00:00"/>
    <x v="0"/>
    <n v="2"/>
    <s v="Ruby Grace Garcia"/>
    <m/>
  </r>
  <r>
    <x v="101"/>
    <x v="0"/>
    <x v="2"/>
    <s v="CORAERP_MMOR1975.RLPLX "/>
    <s v="L000009206"/>
    <s v="L000009206"/>
    <s v="Non-LFF"/>
    <s v=""/>
    <m/>
    <b v="1"/>
    <x v="2"/>
    <x v="1"/>
    <d v="2025-03-04T08:50:04"/>
    <d v="2025-03-06T00:00:00"/>
    <d v="2025-03-06T00:00:00"/>
    <x v="0"/>
    <n v="2"/>
    <s v="Ruby Grace Garcia"/>
    <m/>
  </r>
  <r>
    <x v="101"/>
    <x v="0"/>
    <x v="2"/>
    <s v="CORAERP_MMOR1945.RLLMX "/>
    <s v="L000009204"/>
    <s v="L000009204"/>
    <s v="Non-LFF"/>
    <s v=""/>
    <m/>
    <b v="1"/>
    <x v="2"/>
    <x v="1"/>
    <d v="2025-03-04T08:50:04"/>
    <d v="2025-03-06T00:00:00"/>
    <d v="2025-03-06T00:00:00"/>
    <x v="0"/>
    <n v="2"/>
    <s v="Ruby Grace Garcia"/>
    <m/>
  </r>
  <r>
    <x v="101"/>
    <x v="0"/>
    <x v="2"/>
    <s v="CORAERP_MMOR1945.RLPLX "/>
    <s v="L000009204"/>
    <s v="L000009204"/>
    <s v="Non-LFF"/>
    <s v=""/>
    <m/>
    <b v="1"/>
    <x v="2"/>
    <x v="1"/>
    <d v="2025-03-04T08:50:04"/>
    <d v="2025-03-06T00:00:00"/>
    <d v="2025-03-06T00:00:00"/>
    <x v="0"/>
    <n v="2"/>
    <s v="Ruby Grace Garcia"/>
    <m/>
  </r>
  <r>
    <x v="102"/>
    <x v="0"/>
    <x v="2"/>
    <s v="CLFF_1000$$$DE10600870"/>
    <s v="G000000397"/>
    <s v="G000000397"/>
    <s v="LFF (MDG-F)"/>
    <s v="DE10600870"/>
    <m/>
    <b v="1"/>
    <x v="0"/>
    <x v="1"/>
    <d v="2025-03-04T09:55:18"/>
    <d v="2025-03-07T00:00:00"/>
    <d v="2025-03-07T00:00:00"/>
    <x v="0"/>
    <n v="3"/>
    <s v="Francesco Ricioppo"/>
    <m/>
  </r>
  <r>
    <x v="102"/>
    <x v="0"/>
    <x v="4"/>
    <s v="CLFF_1000$$$DE20553406"/>
    <s v="G000000397"/>
    <s v="G000000397"/>
    <s v="LFF (MDG-F)"/>
    <s v="DE20553406"/>
    <s v="Trash"/>
    <b v="1"/>
    <x v="0"/>
    <x v="1"/>
    <d v="2025-03-04T09:55:18"/>
    <m/>
    <d v="2025-03-07T00:00:00"/>
    <x v="0"/>
    <n v="3"/>
    <s v="Francesco Ricioppo"/>
    <e v="#REF!"/>
  </r>
  <r>
    <x v="102"/>
    <x v="0"/>
    <x v="4"/>
    <s v="CLFF_1000$$$DE20553407"/>
    <s v="G000000397"/>
    <s v="G000000397"/>
    <s v="LFF (MDG-F)"/>
    <s v="DE20553407"/>
    <s v="Trash"/>
    <b v="1"/>
    <x v="0"/>
    <x v="1"/>
    <d v="2025-03-04T09:55:18"/>
    <m/>
    <d v="2025-03-07T00:00:00"/>
    <x v="0"/>
    <n v="3"/>
    <s v="Francesco Ricioppo"/>
    <e v="#REF!"/>
  </r>
  <r>
    <x v="103"/>
    <x v="0"/>
    <x v="4"/>
    <s v="FX31017400000 Bavencio Franchise"/>
    <s v="H000000888"/>
    <s v="H000000888"/>
    <s v="Non-LFF"/>
    <s v=""/>
    <m/>
    <b v="1"/>
    <x v="1"/>
    <x v="1"/>
    <d v="2025-03-04T10:59:32"/>
    <m/>
    <d v="2025-03-06T00:00:00"/>
    <x v="0"/>
    <n v="2"/>
    <s v="Erjo Miguel Tagle"/>
    <e v="#REF!"/>
  </r>
  <r>
    <x v="103"/>
    <x v="0"/>
    <x v="4"/>
    <s v="FX31050400000 Rebif Franchise"/>
    <s v="H000000888"/>
    <s v="H000000888"/>
    <s v="Non-LFF"/>
    <s v=""/>
    <m/>
    <b v="1"/>
    <x v="1"/>
    <x v="1"/>
    <d v="2025-03-04T10:59:32"/>
    <m/>
    <d v="2025-03-06T00:00:00"/>
    <x v="0"/>
    <n v="2"/>
    <s v="Erjo Miguel Tagle"/>
    <e v="#REF!"/>
  </r>
  <r>
    <x v="103"/>
    <x v="0"/>
    <x v="4"/>
    <s v="FX31051400000 Mavenclad Franchise"/>
    <s v="H000000888"/>
    <s v="H000000888"/>
    <s v="Non-LFF"/>
    <s v=""/>
    <m/>
    <b v="1"/>
    <x v="1"/>
    <x v="1"/>
    <d v="2025-03-04T10:59:32"/>
    <m/>
    <d v="2025-03-06T00:00:00"/>
    <x v="0"/>
    <n v="2"/>
    <s v="Erjo Miguel Tagle"/>
    <e v="#REF!"/>
  </r>
  <r>
    <x v="103"/>
    <x v="0"/>
    <x v="2"/>
    <s v="X31017400000 Bavencio Franchise"/>
    <s v="H000000888"/>
    <s v="H000000888"/>
    <s v="Non-LFF"/>
    <s v=""/>
    <m/>
    <b v="1"/>
    <x v="1"/>
    <x v="1"/>
    <d v="2025-03-04T10:59:32"/>
    <d v="2025-03-06T00:00:00"/>
    <d v="2025-03-06T00:00:00"/>
    <x v="0"/>
    <n v="2"/>
    <s v="Erjo Miguel Tagle"/>
    <m/>
  </r>
  <r>
    <x v="103"/>
    <x v="0"/>
    <x v="2"/>
    <s v="X31050400000 Rebif Franchise"/>
    <s v="H000000888"/>
    <s v="H000000888"/>
    <s v="Non-LFF"/>
    <s v=""/>
    <m/>
    <b v="1"/>
    <x v="1"/>
    <x v="1"/>
    <d v="2025-03-04T10:59:32"/>
    <d v="2025-03-06T00:00:00"/>
    <d v="2025-03-06T00:00:00"/>
    <x v="0"/>
    <n v="2"/>
    <s v="Erjo Miguel Tagle"/>
    <m/>
  </r>
  <r>
    <x v="103"/>
    <x v="0"/>
    <x v="2"/>
    <s v="X31051400000 Mavenclad Franchise"/>
    <s v="H000000888"/>
    <s v="H000000888"/>
    <s v="Non-LFF"/>
    <s v=""/>
    <m/>
    <b v="1"/>
    <x v="1"/>
    <x v="1"/>
    <d v="2025-03-04T10:59:32"/>
    <d v="2025-03-06T00:00:00"/>
    <d v="2025-03-06T00:00:00"/>
    <x v="0"/>
    <n v="2"/>
    <s v="Erjo Miguel Tagle"/>
    <m/>
  </r>
  <r>
    <x v="104"/>
    <x v="0"/>
    <x v="2"/>
    <s v="CEMERAL_70006301992296"/>
    <s v="G000001233"/>
    <s v="G000001233"/>
    <s v="Non-LFF"/>
    <s v=""/>
    <m/>
    <b v="1"/>
    <x v="0"/>
    <x v="1"/>
    <d v="2025-03-04T14:35:25"/>
    <m/>
    <m/>
    <x v="1"/>
    <n v="208"/>
    <s v="Jay-R Lizardo"/>
    <m/>
  </r>
  <r>
    <x v="104"/>
    <x v="0"/>
    <x v="2"/>
    <s v="CITR_1000$$$3943IT1055"/>
    <s v="G000000279"/>
    <s v="G000000279"/>
    <s v="Non-LFF"/>
    <s v=""/>
    <m/>
    <b v="1"/>
    <x v="0"/>
    <x v="1"/>
    <d v="2025-03-04T14:35:25"/>
    <m/>
    <m/>
    <x v="1"/>
    <n v="208"/>
    <s v="Jay-R Lizardo"/>
    <m/>
  </r>
  <r>
    <x v="104"/>
    <x v="0"/>
    <x v="2"/>
    <s v="CITR_1000$$$ITCC179801"/>
    <s v="G000001233"/>
    <s v="G000001233"/>
    <s v="Non-LFF"/>
    <s v=""/>
    <m/>
    <b v="1"/>
    <x v="0"/>
    <x v="1"/>
    <d v="2025-03-04T14:35:25"/>
    <m/>
    <m/>
    <x v="1"/>
    <n v="208"/>
    <s v="Jay-R Lizardo"/>
    <m/>
  </r>
  <r>
    <x v="104"/>
    <x v="0"/>
    <x v="2"/>
    <s v="CLFF_1000$$$DE10513301"/>
    <s v="G000001356"/>
    <s v="G000001356"/>
    <s v="LFF (MDG-F)"/>
    <s v="DE10513301"/>
    <m/>
    <b v="1"/>
    <x v="0"/>
    <x v="1"/>
    <d v="2025-03-04T14:35:25"/>
    <m/>
    <m/>
    <x v="1"/>
    <n v="208"/>
    <s v="Jay-R Lizardo"/>
    <m/>
  </r>
  <r>
    <x v="104"/>
    <x v="0"/>
    <x v="2"/>
    <s v="CLFF_1000$$$DE10533004"/>
    <s v="G000001123"/>
    <s v="G000001123"/>
    <s v="LFF (MDG-F)"/>
    <s v="DE10533004"/>
    <m/>
    <b v="1"/>
    <x v="0"/>
    <x v="1"/>
    <d v="2025-03-04T14:35:25"/>
    <m/>
    <m/>
    <x v="1"/>
    <n v="208"/>
    <s v="Jay-R Lizardo"/>
    <m/>
  </r>
  <r>
    <x v="104"/>
    <x v="0"/>
    <x v="2"/>
    <s v="CLFF_1000$$$DE65GIT032"/>
    <s v="G000000256"/>
    <s v="G000000256"/>
    <s v="LFF (MDG-F)"/>
    <s v="DE65GIT032"/>
    <s v="Object was map in SAP but did not replicate in TM1."/>
    <b v="1"/>
    <x v="0"/>
    <x v="1"/>
    <d v="2025-03-04T14:35:25"/>
    <m/>
    <d v="2025-04-02T00:00:00"/>
    <x v="1"/>
    <n v="21"/>
    <s v="Jay-R Lizardo"/>
    <m/>
  </r>
  <r>
    <x v="104"/>
    <x v="0"/>
    <x v="2"/>
    <s v="CLFF_1000$$$VN50GIT050"/>
    <s v="H000004183"/>
    <s v="H000004183"/>
    <s v="LFF (MDG-F)"/>
    <s v="VN50GIT050"/>
    <m/>
    <b v="1"/>
    <x v="0"/>
    <x v="1"/>
    <d v="2025-03-04T14:35:25"/>
    <m/>
    <m/>
    <x v="1"/>
    <n v="208"/>
    <s v="Jay-R Lizardo"/>
    <m/>
  </r>
  <r>
    <x v="104"/>
    <x v="0"/>
    <x v="2"/>
    <s v="CLFF_1000$$$ZA50GIT11B"/>
    <s v="G000000279"/>
    <s v="G000000279"/>
    <s v="LFF (MDG-F)"/>
    <s v="ZA50GIT11B"/>
    <m/>
    <b v="1"/>
    <x v="0"/>
    <x v="1"/>
    <d v="2025-03-04T14:35:25"/>
    <m/>
    <m/>
    <x v="1"/>
    <n v="208"/>
    <s v="Jay-R Lizardo"/>
    <m/>
  </r>
  <r>
    <x v="104"/>
    <x v="0"/>
    <x v="2"/>
    <s v="CLFF_VMCA$$$US10GIT044"/>
    <s v="G000001356"/>
    <s v="G000001356"/>
    <s v="LFF (MDG-F)"/>
    <s v="US10GIT044"/>
    <m/>
    <b v="1"/>
    <x v="0"/>
    <x v="1"/>
    <d v="2025-03-04T14:35:25"/>
    <m/>
    <m/>
    <x v="1"/>
    <n v="208"/>
    <s v="Jay-R Lizardo"/>
    <m/>
  </r>
  <r>
    <x v="104"/>
    <x v="0"/>
    <x v="2"/>
    <s v="CNOW_7210$$$0000010256"/>
    <s v="G000001356"/>
    <s v="G000001356"/>
    <s v="Non-LFF"/>
    <m/>
    <m/>
    <b v="1"/>
    <x v="0"/>
    <x v="1"/>
    <d v="2025-03-04T14:35:25"/>
    <m/>
    <m/>
    <x v="1"/>
    <n v="208"/>
    <s v="Jay-R Lizardo"/>
    <m/>
  </r>
  <r>
    <x v="104"/>
    <x v="0"/>
    <x v="2"/>
    <s v="CNOW_7210$$$0000015455"/>
    <s v="L000013391"/>
    <s v="L000013391"/>
    <s v="Non-LFF"/>
    <s v=""/>
    <m/>
    <b v="1"/>
    <x v="0"/>
    <x v="1"/>
    <d v="2025-03-04T14:35:25"/>
    <m/>
    <m/>
    <x v="1"/>
    <n v="208"/>
    <s v="Jay-R Lizardo"/>
    <m/>
  </r>
  <r>
    <x v="104"/>
    <x v="0"/>
    <x v="2"/>
    <s v="CNOW_7210$$$0000051657"/>
    <s v="L000013808"/>
    <s v="L000013808"/>
    <s v="Non-LFF"/>
    <s v=""/>
    <m/>
    <b v="1"/>
    <x v="0"/>
    <x v="1"/>
    <d v="2025-03-04T14:35:25"/>
    <m/>
    <m/>
    <x v="1"/>
    <n v="208"/>
    <s v="Jay-R Lizardo"/>
    <m/>
  </r>
  <r>
    <x v="104"/>
    <x v="0"/>
    <x v="2"/>
    <s v="CNOW_7210$$$0000051660"/>
    <s v="L000013808"/>
    <s v="L000013808"/>
    <s v="Non-LFF"/>
    <s v=""/>
    <m/>
    <b v="1"/>
    <x v="0"/>
    <x v="1"/>
    <d v="2025-03-04T14:35:25"/>
    <m/>
    <m/>
    <x v="1"/>
    <n v="208"/>
    <s v="Jay-R Lizardo"/>
    <m/>
  </r>
  <r>
    <x v="104"/>
    <x v="0"/>
    <x v="2"/>
    <s v="CNOW_7210$$$0000051708"/>
    <s v="L000013391"/>
    <s v="L000013391"/>
    <s v="Non-LFF"/>
    <s v=""/>
    <m/>
    <b v="1"/>
    <x v="0"/>
    <x v="1"/>
    <d v="2025-03-04T14:35:25"/>
    <m/>
    <m/>
    <x v="1"/>
    <n v="208"/>
    <s v="Jay-R Lizardo"/>
    <m/>
  </r>
  <r>
    <x v="104"/>
    <x v="0"/>
    <x v="2"/>
    <s v="CNOW_7210$$$0000057162"/>
    <s v="G000001356"/>
    <s v="G000001356"/>
    <s v="Non-LFF"/>
    <s v=""/>
    <m/>
    <b v="1"/>
    <x v="0"/>
    <x v="1"/>
    <d v="2025-03-04T14:35:25"/>
    <m/>
    <m/>
    <x v="1"/>
    <n v="208"/>
    <s v="Jay-R Lizardo"/>
    <m/>
  </r>
  <r>
    <x v="104"/>
    <x v="0"/>
    <x v="2"/>
    <s v="CORAERP_MMOR1975.9445"/>
    <s v="G000001356"/>
    <s v="G000001356"/>
    <s v="Non-LFF"/>
    <s v=""/>
    <m/>
    <b v="1"/>
    <x v="0"/>
    <x v="1"/>
    <d v="2025-03-04T14:35:25"/>
    <m/>
    <m/>
    <x v="1"/>
    <n v="208"/>
    <s v="Jay-R Lizardo"/>
    <m/>
  </r>
  <r>
    <x v="104"/>
    <x v="0"/>
    <x v="2"/>
    <s v="CSCALA_1042$PMIT"/>
    <s v="G000000277"/>
    <s v="G000000277"/>
    <s v="Non-LFF"/>
    <s v=""/>
    <m/>
    <b v="1"/>
    <x v="0"/>
    <x v="1"/>
    <d v="2025-03-04T14:35:25"/>
    <m/>
    <m/>
    <x v="1"/>
    <n v="208"/>
    <s v="Jay-R Lizardo"/>
    <m/>
  </r>
  <r>
    <x v="104"/>
    <x v="0"/>
    <x v="2"/>
    <s v="CTEMPEU_1000FR40708101"/>
    <s v="G000001240"/>
    <s v="G000001240"/>
    <s v="Non-LFF"/>
    <s v=""/>
    <m/>
    <b v="1"/>
    <x v="0"/>
    <x v="1"/>
    <d v="2025-03-04T14:35:25"/>
    <m/>
    <m/>
    <x v="1"/>
    <n v="208"/>
    <s v="Jay-R Lizardo"/>
    <m/>
  </r>
  <r>
    <x v="104"/>
    <x v="0"/>
    <x v="2"/>
    <s v="CTEMPEU_1000GB10005697"/>
    <s v="G000001356"/>
    <s v="G000001356"/>
    <s v="Non-LFF"/>
    <s v=""/>
    <m/>
    <b v="1"/>
    <x v="0"/>
    <x v="1"/>
    <d v="2025-03-04T14:35:25"/>
    <m/>
    <m/>
    <x v="1"/>
    <n v="208"/>
    <s v="Jay-R Lizardo"/>
    <m/>
  </r>
  <r>
    <x v="105"/>
    <x v="0"/>
    <x v="2"/>
    <s v="CLFF_1000$$$DE10622600"/>
    <s v="G000000392"/>
    <s v="G000000392"/>
    <s v="LFF (MDG-F)"/>
    <s v="DE10622600"/>
    <m/>
    <b v="1"/>
    <x v="0"/>
    <x v="1"/>
    <d v="2025-03-05T11:08:11"/>
    <d v="2025-03-07T00:00:00"/>
    <d v="2025-03-07T00:00:00"/>
    <x v="0"/>
    <n v="2"/>
    <s v="Francesco Ricioppo"/>
    <m/>
  </r>
  <r>
    <x v="106"/>
    <x v="0"/>
    <x v="2"/>
    <s v="CTEMPEU_1000PL80GBTL06"/>
    <s v="G000001356"/>
    <s v="G000001356"/>
    <s v="Non-LFF"/>
    <s v=""/>
    <m/>
    <b v="1"/>
    <x v="0"/>
    <x v="1"/>
    <d v="2025-03-05T14:50:18"/>
    <d v="2025-03-10T00:00:00"/>
    <d v="2025-03-10T00:00:00"/>
    <x v="0"/>
    <n v="3"/>
    <s v="Jay-R Lizardo"/>
    <m/>
  </r>
  <r>
    <x v="106"/>
    <x v="0"/>
    <x v="2"/>
    <s v="CLFF_7210$$$2123GIT130"/>
    <s v="G000001356"/>
    <s v="G000001356"/>
    <s v="LFF (MDG-F)"/>
    <s v="2123GIT130"/>
    <m/>
    <b v="1"/>
    <x v="0"/>
    <x v="1"/>
    <d v="2025-03-05T14:50:18"/>
    <d v="2025-03-10T00:00:00"/>
    <d v="2025-03-10T00:00:00"/>
    <x v="0"/>
    <n v="3"/>
    <s v="Jay-R Lizardo"/>
    <m/>
  </r>
  <r>
    <x v="107"/>
    <x v="0"/>
    <x v="2"/>
    <s v="CLFF_1000$$$NO50GIN000"/>
    <s v="G000000145"/>
    <s v="G000000145"/>
    <s v="LFF (MDG-F)"/>
    <s v="NO50GIN000"/>
    <m/>
    <b v="1"/>
    <x v="0"/>
    <x v="1"/>
    <d v="2025-03-05T18:14:29"/>
    <d v="2025-03-25T00:00:00"/>
    <d v="2025-03-25T00:00:00"/>
    <x v="1"/>
    <n v="14"/>
    <s v="Martin Andresen"/>
    <m/>
  </r>
  <r>
    <x v="108"/>
    <x v="0"/>
    <x v="0"/>
    <s v="CORAERP_MMOR1945.RLPLX PS "/>
    <s v="L000009204"/>
    <s v="L000009204"/>
    <s v="Non-LFF"/>
    <s v=""/>
    <s v="Already mapped"/>
    <b v="1"/>
    <x v="2"/>
    <x v="1"/>
    <d v="2025-03-06T16:05:55"/>
    <m/>
    <d v="2025-03-10T00:00:00"/>
    <x v="0"/>
    <n v="2"/>
    <s v="Joan Rose Pena"/>
    <e v="#REF!"/>
  </r>
  <r>
    <x v="108"/>
    <x v="0"/>
    <x v="2"/>
    <s v="ITEMPEU_003200001401 "/>
    <s v="L000009407"/>
    <s v="L000009407"/>
    <s v="Non-LFF"/>
    <s v=""/>
    <m/>
    <b v="1"/>
    <x v="2"/>
    <x v="1"/>
    <d v="2025-03-06T16:05:55"/>
    <d v="2025-03-10T00:00:00"/>
    <d v="2025-03-10T00:00:00"/>
    <x v="0"/>
    <n v="2"/>
    <s v="Joan Rose Pena"/>
    <m/>
  </r>
  <r>
    <x v="109"/>
    <x v="0"/>
    <x v="2"/>
    <s v="CLFF_1000$$$CH65R00044"/>
    <s v="H000000865"/>
    <s v="H000000865"/>
    <s v="LFF (MDG-F)"/>
    <s v="CH65R00044"/>
    <m/>
    <b v="1"/>
    <x v="1"/>
    <x v="1"/>
    <d v="2025-03-10T18:14:29"/>
    <m/>
    <m/>
    <x v="1"/>
    <n v="204"/>
    <s v="Luigia Bocola"/>
    <m/>
  </r>
  <r>
    <x v="109"/>
    <x v="0"/>
    <x v="2"/>
    <s v="CLFF_1000$$$CH65R00045"/>
    <s v="H000000864"/>
    <s v="H000000864"/>
    <s v="LFF (MDG-F)"/>
    <s v="CH65R00045"/>
    <m/>
    <b v="1"/>
    <x v="1"/>
    <x v="1"/>
    <d v="2025-03-10T18:14:29"/>
    <m/>
    <m/>
    <x v="1"/>
    <n v="204"/>
    <s v="Luigia Bocola"/>
    <m/>
  </r>
  <r>
    <x v="109"/>
    <x v="0"/>
    <x v="2"/>
    <s v="CLFF_1000$$$CH65R00046"/>
    <s v="H000000861"/>
    <s v="H000000861"/>
    <s v="LFF (MDG-F)"/>
    <s v="CH65R00046"/>
    <m/>
    <b v="1"/>
    <x v="1"/>
    <x v="1"/>
    <d v="2025-03-10T18:14:29"/>
    <m/>
    <m/>
    <x v="1"/>
    <n v="204"/>
    <s v="Luigia Bocola"/>
    <m/>
  </r>
  <r>
    <x v="109"/>
    <x v="0"/>
    <x v="2"/>
    <s v="CLFF_1000$$$CH65R00054"/>
    <s v="H000000907"/>
    <s v="H000000907"/>
    <s v="LFF (MDG-F)"/>
    <s v="CH65R00054"/>
    <m/>
    <b v="1"/>
    <x v="1"/>
    <x v="1"/>
    <d v="2025-03-10T18:14:29"/>
    <d v="2025-03-19T00:00:00"/>
    <d v="2025-03-19T00:00:00"/>
    <x v="1"/>
    <n v="7"/>
    <s v="Luigia Bocola"/>
    <m/>
  </r>
  <r>
    <x v="110"/>
    <x v="0"/>
    <x v="2"/>
    <s v="CLFF_1000$$$CH50R01012"/>
    <s v="H000004380"/>
    <s v="H000004380"/>
    <s v="LFF (MDG-F)"/>
    <s v="CH50R01012"/>
    <m/>
    <b v="1"/>
    <x v="1"/>
    <x v="1"/>
    <d v="2025-03-10T18:26:11"/>
    <d v="2025-03-13T00:00:00"/>
    <d v="2025-03-13T00:00:00"/>
    <x v="0"/>
    <n v="3"/>
    <s v="Luigia Bocola"/>
    <m/>
  </r>
  <r>
    <x v="111"/>
    <x v="0"/>
    <x v="2"/>
    <s v="CLFF_7210$$$2013OFIBM1 STO - IBM Finland"/>
    <s v="L000013118"/>
    <s v="L000013118"/>
    <s v="LFF (MDG-F)"/>
    <s v="2013OFIBM1"/>
    <m/>
    <b v="1"/>
    <x v="2"/>
    <x v="1"/>
    <d v="2025-03-11T10:50:27"/>
    <d v="2025-03-14T00:00:00"/>
    <d v="2025-03-14T00:00:00"/>
    <x v="0"/>
    <n v="3"/>
    <s v="Jayson Martinez"/>
    <m/>
  </r>
  <r>
    <x v="111"/>
    <x v="0"/>
    <x v="2"/>
    <s v="CORAERP_MMOR1975.6619 KAIST - CTO - Technology Fund"/>
    <s v="L000013813"/>
    <s v="L000013813"/>
    <s v="Non-LFF"/>
    <s v=""/>
    <m/>
    <b v="1"/>
    <x v="2"/>
    <x v="1"/>
    <d v="2025-03-11T10:50:27"/>
    <d v="2025-03-14T00:00:00"/>
    <d v="2025-03-14T00:00:00"/>
    <x v="0"/>
    <n v="3"/>
    <s v="Jayson Martinez"/>
    <m/>
  </r>
  <r>
    <x v="111"/>
    <x v="0"/>
    <x v="2"/>
    <s v="CLFF_7210$$$2123C00001 R&amp;A Com - Analytics"/>
    <s v="L000011139"/>
    <s v="L000011139"/>
    <s v="LFF (MDG-F)"/>
    <s v="2123C00001"/>
    <m/>
    <b v="1"/>
    <x v="2"/>
    <x v="1"/>
    <d v="2025-03-11T10:50:27"/>
    <d v="2025-03-14T00:00:00"/>
    <d v="2025-03-14T00:00:00"/>
    <x v="0"/>
    <n v="3"/>
    <s v="Jayson Martinez"/>
    <m/>
  </r>
  <r>
    <x v="111"/>
    <x v="0"/>
    <x v="2"/>
    <s v="CLFF_7210$$$2128TMCZ95 Project E&amp;T APAC"/>
    <s v="L000013457"/>
    <s v="L000013457"/>
    <s v="LFF (MDG-F)"/>
    <s v="2128TMCZ95"/>
    <m/>
    <b v="1"/>
    <x v="2"/>
    <x v="1"/>
    <d v="2025-03-11T10:50:27"/>
    <d v="2025-03-14T00:00:00"/>
    <d v="2025-03-14T00:00:00"/>
    <x v="0"/>
    <n v="3"/>
    <s v="Jayson Martinez"/>
    <m/>
  </r>
  <r>
    <x v="112"/>
    <x v="0"/>
    <x v="2"/>
    <s v="CTEMPNA_1000PH80GFO017"/>
    <s v="G000000635"/>
    <s v="G000000635"/>
    <s v="Non-LFF"/>
    <s v=""/>
    <m/>
    <b v="1"/>
    <x v="0"/>
    <x v="1"/>
    <d v="2025-03-11T11:33:59"/>
    <d v="2025-03-14T00:00:00"/>
    <d v="2025-03-14T00:00:00"/>
    <x v="0"/>
    <n v="3"/>
    <s v="Jojeff Tagnong"/>
    <m/>
  </r>
  <r>
    <x v="113"/>
    <x v="0"/>
    <x v="2"/>
    <s v="CLFF_1000$$$DE10300049"/>
    <s v="G000000229"/>
    <s v="G000000229"/>
    <s v="LFF (MDG-F)"/>
    <s v="DE10300049"/>
    <m/>
    <b v="1"/>
    <x v="0"/>
    <x v="1"/>
    <d v="2025-03-12T11:36:24"/>
    <d v="2025-03-14T00:00:00"/>
    <d v="2025-03-14T00:00:00"/>
    <x v="0"/>
    <n v="2"/>
    <s v="Jojeff Tagnong"/>
    <m/>
  </r>
  <r>
    <x v="114"/>
    <x v="0"/>
    <x v="2"/>
    <s v="D00125200000000 SN-769 Substance Supply"/>
    <s v="P000001010"/>
    <s v="P000001010"/>
    <s v="Non-LFF"/>
    <s v=""/>
    <m/>
    <b v="1"/>
    <x v="0"/>
    <x v="1"/>
    <d v="2025-03-14T10:04:28"/>
    <d v="2025-03-17T00:00:00"/>
    <d v="2025-03-17T00:00:00"/>
    <x v="0"/>
    <n v="1"/>
    <s v="Eivy Denine Cruz"/>
    <m/>
  </r>
  <r>
    <x v="114"/>
    <x v="0"/>
    <x v="2"/>
    <s v="D00126100000000 SN-567"/>
    <s v="P000001010"/>
    <s v="P000001010"/>
    <s v="Non-LFF"/>
    <s v=""/>
    <m/>
    <b v="1"/>
    <x v="0"/>
    <x v="1"/>
    <d v="2025-03-14T10:04:28"/>
    <d v="2025-03-17T00:00:00"/>
    <d v="2025-03-17T00:00:00"/>
    <x v="0"/>
    <n v="1"/>
    <s v="Eivy Denine Cruz"/>
    <m/>
  </r>
  <r>
    <x v="114"/>
    <x v="0"/>
    <x v="2"/>
    <s v="DP000006000000 HPN8232 High Rate Nitride CMP Slurry for"/>
    <s v="P000001016"/>
    <s v="P000001016"/>
    <s v="Non-LFF"/>
    <s v=""/>
    <m/>
    <b v="1"/>
    <x v="0"/>
    <x v="1"/>
    <d v="2025-03-14T10:04:28"/>
    <d v="2025-03-17T00:00:00"/>
    <d v="2025-03-17T00:00:00"/>
    <x v="0"/>
    <n v="1"/>
    <s v="Eivy Denine Cruz"/>
    <m/>
  </r>
  <r>
    <x v="114"/>
    <x v="0"/>
    <x v="2"/>
    <s v="DP000007000000 Cu3936 High Rate Cu Bulk Slurry"/>
    <s v="P000001016"/>
    <s v="P000001016"/>
    <s v="Non-LFF"/>
    <s v=""/>
    <m/>
    <b v="1"/>
    <x v="0"/>
    <x v="1"/>
    <d v="2025-03-14T10:04:28"/>
    <d v="2025-03-17T00:00:00"/>
    <d v="2025-03-17T00:00:00"/>
    <x v="0"/>
    <n v="1"/>
    <s v="Eivy Denine Cruz"/>
    <m/>
  </r>
  <r>
    <x v="114"/>
    <x v="0"/>
    <x v="2"/>
    <s v="DP000008000000 MoF6 Manufacturing"/>
    <s v="P000001019"/>
    <s v="P000001019"/>
    <s v="Non-LFF"/>
    <s v=""/>
    <m/>
    <b v="1"/>
    <x v="0"/>
    <x v="1"/>
    <d v="2025-03-14T10:04:28"/>
    <d v="2025-03-17T00:00:00"/>
    <d v="2025-03-17T00:00:00"/>
    <x v="0"/>
    <n v="1"/>
    <s v="Eivy Denine Cruz"/>
    <m/>
  </r>
  <r>
    <x v="114"/>
    <x v="0"/>
    <x v="2"/>
    <s v="DP000014000000 PYTK Asset Relocation Activities"/>
    <s v="P000001018"/>
    <s v="P000001018"/>
    <s v="Non-LFF"/>
    <s v=""/>
    <m/>
    <b v="1"/>
    <x v="0"/>
    <x v="1"/>
    <d v="2025-03-14T10:04:28"/>
    <d v="2025-03-17T00:00:00"/>
    <d v="2025-03-17T00:00:00"/>
    <x v="0"/>
    <n v="1"/>
    <s v="Eivy Denine Cruz"/>
    <m/>
  </r>
  <r>
    <x v="114"/>
    <x v="0"/>
    <x v="2"/>
    <s v="PFLTFLE_EMDPTFOM13 EPIC AMAT project"/>
    <s v="P000001010"/>
    <s v="P000001010"/>
    <s v="Non-LFF"/>
    <s v=""/>
    <m/>
    <b v="1"/>
    <x v="0"/>
    <x v="1"/>
    <d v="2025-03-14T10:04:28"/>
    <d v="2025-03-17T00:00:00"/>
    <d v="2025-03-17T00:00:00"/>
    <x v="0"/>
    <n v="1"/>
    <s v="Eivy Denine Cruz"/>
    <m/>
  </r>
  <r>
    <x v="114"/>
    <x v="0"/>
    <x v="2"/>
    <s v="PFLTFLE_EMDPTFOM15 CDP213 - ALD IWO"/>
    <s v="P000001010"/>
    <s v="P000001010"/>
    <s v="Non-LFF"/>
    <s v=""/>
    <m/>
    <b v="1"/>
    <x v="0"/>
    <x v="1"/>
    <d v="2025-03-14T10:04:28"/>
    <d v="2025-03-17T00:00:00"/>
    <d v="2025-03-17T00:00:00"/>
    <x v="0"/>
    <n v="1"/>
    <s v="Eivy Denine Cruz"/>
    <m/>
  </r>
  <r>
    <x v="114"/>
    <x v="0"/>
    <x v="2"/>
    <s v="PFLTFLE_EMDPTFOM16 CDP214-CuBS development"/>
    <s v="P000001010"/>
    <s v="P000001010"/>
    <s v="Non-LFF"/>
    <s v=""/>
    <m/>
    <b v="1"/>
    <x v="0"/>
    <x v="1"/>
    <d v="2025-03-14T10:04:28"/>
    <d v="2025-03-17T00:00:00"/>
    <d v="2025-03-17T00:00:00"/>
    <x v="0"/>
    <n v="1"/>
    <s v="Eivy Denine Cruz"/>
    <m/>
  </r>
  <r>
    <x v="115"/>
    <x v="0"/>
    <x v="2"/>
    <s v="PLEAN_X310201CH6843109 Connected solutions"/>
    <s v="H000004215"/>
    <s v="H000004215"/>
    <s v="Non-LFF"/>
    <s v=""/>
    <m/>
    <b v="1"/>
    <x v="1"/>
    <x v="1"/>
    <d v="2025-03-14T11:54:10"/>
    <d v="2025-03-17T00:00:00"/>
    <d v="2025-03-17T00:00:00"/>
    <x v="0"/>
    <n v="1"/>
    <s v="Elena Oberto Tarena"/>
    <m/>
  </r>
  <r>
    <x v="116"/>
    <x v="0"/>
    <x v="2"/>
    <s v="CORAERP_MMOR1975.2454"/>
    <s v="G000000633"/>
    <s v="G000000633"/>
    <s v="Non-LFF"/>
    <s v=""/>
    <m/>
    <b v="1"/>
    <x v="0"/>
    <x v="1"/>
    <d v="2025-03-17T18:14:29"/>
    <m/>
    <m/>
    <x v="1"/>
    <n v="199"/>
    <s v="Jojeff Tagnong"/>
    <m/>
  </r>
  <r>
    <x v="117"/>
    <x v="0"/>
    <x v="2"/>
    <s v="CEMERAL_70007001581190 MESI REG PS-BIORELIANCE"/>
    <s v="L000013412"/>
    <s v="L000013412"/>
    <s v="Non-LFF"/>
    <s v=""/>
    <m/>
    <b v="1"/>
    <x v="2"/>
    <x v="1"/>
    <d v="2025-03-18T05:32:52"/>
    <m/>
    <m/>
    <x v="1"/>
    <n v="198"/>
    <s v="Rachel Liu"/>
    <m/>
  </r>
  <r>
    <x v="118"/>
    <x v="0"/>
    <x v="0"/>
    <s v="CLFF_7210$$$2148TASA01 Production 1-Equipment"/>
    <s v="L000013816"/>
    <s v="L000013816"/>
    <s v="LFF (MDG-F)"/>
    <s v="2148TASA01"/>
    <s v="Requested to be mapped on April 2025 instead."/>
    <b v="1"/>
    <x v="2"/>
    <x v="1"/>
    <d v="2025-03-18T18:14:29"/>
    <m/>
    <m/>
    <x v="1"/>
    <n v="198"/>
    <s v="Jayson Martinez"/>
    <e v="#REF!"/>
  </r>
  <r>
    <x v="118"/>
    <x v="0"/>
    <x v="0"/>
    <s v="CLFF_7210$$$2148TASA99 Production 1-Direct Labor"/>
    <s v="L000013816"/>
    <s v="L000013816"/>
    <s v="LFF (MDG-F)"/>
    <s v="2148TASA99"/>
    <s v="Requested to be mapped on April 2025 instead."/>
    <b v="1"/>
    <x v="2"/>
    <x v="1"/>
    <d v="2025-03-18T18:14:29"/>
    <m/>
    <m/>
    <x v="1"/>
    <n v="198"/>
    <s v="Jayson Martinez"/>
    <e v="#REF!"/>
  </r>
  <r>
    <x v="118"/>
    <x v="0"/>
    <x v="0"/>
    <s v="CLFF_7210$$$2148TASB00 Production 2-Main"/>
    <s v="L000013816"/>
    <s v="L000013816"/>
    <s v="LFF (MDG-F)"/>
    <s v="2148TASB00"/>
    <s v="Requested to be mapped on April 2025 instead."/>
    <b v="1"/>
    <x v="2"/>
    <x v="1"/>
    <d v="2025-03-18T18:14:29"/>
    <m/>
    <m/>
    <x v="1"/>
    <n v="198"/>
    <s v="Jayson Martinez"/>
    <e v="#REF!"/>
  </r>
  <r>
    <x v="118"/>
    <x v="0"/>
    <x v="0"/>
    <s v="CLFF_7210$$$2148TASB01 Production 2-Equipment"/>
    <s v="L000013816"/>
    <s v="L000013816"/>
    <s v="LFF (MDG-F)"/>
    <s v="2148TASB01"/>
    <s v="Requested to be mapped on April 2025 instead."/>
    <b v="1"/>
    <x v="2"/>
    <x v="1"/>
    <d v="2025-03-18T18:14:29"/>
    <m/>
    <m/>
    <x v="1"/>
    <n v="198"/>
    <s v="Jayson Martinez"/>
    <e v="#REF!"/>
  </r>
  <r>
    <x v="118"/>
    <x v="0"/>
    <x v="0"/>
    <s v="CLFF_7210$$$2148TASB99 Production -Direct Labor"/>
    <s v="L000013816"/>
    <s v="L000013816"/>
    <s v="LFF (MDG-F)"/>
    <s v="2148TASB99"/>
    <s v="Requested to be mapped on April 2025 instead."/>
    <b v="1"/>
    <x v="2"/>
    <x v="1"/>
    <d v="2025-03-18T18:14:29"/>
    <m/>
    <m/>
    <x v="1"/>
    <n v="198"/>
    <s v="Jayson Martinez"/>
    <e v="#REF!"/>
  </r>
  <r>
    <x v="118"/>
    <x v="0"/>
    <x v="0"/>
    <s v="CLFF_7210$$$2148TBSZ20 Quality Assurance"/>
    <s v="L000013816"/>
    <s v="L000013816"/>
    <s v="LFF (MDG-F)"/>
    <s v="2148TBSZ20"/>
    <s v="Requested to be mapped on April 2025 instead."/>
    <b v="1"/>
    <x v="2"/>
    <x v="1"/>
    <d v="2025-03-18T18:14:29"/>
    <m/>
    <m/>
    <x v="1"/>
    <n v="198"/>
    <s v="Jayson Martinez"/>
    <e v="#REF!"/>
  </r>
  <r>
    <x v="118"/>
    <x v="0"/>
    <x v="0"/>
    <s v="CLFF_7210$$$2148TBSZ21 Quality Control"/>
    <s v="L000013816"/>
    <s v="L000013816"/>
    <s v="LFF (MDG-F)"/>
    <s v="2148TBSZ21"/>
    <s v="Requested to be mapped on April 2025 instead."/>
    <b v="1"/>
    <x v="2"/>
    <x v="1"/>
    <d v="2025-03-18T18:14:29"/>
    <m/>
    <m/>
    <x v="1"/>
    <n v="198"/>
    <s v="Jayson Martinez"/>
    <e v="#REF!"/>
  </r>
  <r>
    <x v="118"/>
    <x v="0"/>
    <x v="0"/>
    <s v="CLFF_7210$$$2148TFSZ64 Local Supply Planning &amp; Purchasing"/>
    <s v="L000013816"/>
    <s v="L000013816"/>
    <s v="LFF (MDG-F)"/>
    <s v="2148TFSZ64"/>
    <s v="Requested to be mapped on April 2025 instead."/>
    <b v="1"/>
    <x v="2"/>
    <x v="1"/>
    <d v="2025-03-18T18:14:29"/>
    <m/>
    <m/>
    <x v="1"/>
    <n v="198"/>
    <s v="Jayson Martinez"/>
    <e v="#REF!"/>
  </r>
  <r>
    <x v="118"/>
    <x v="0"/>
    <x v="0"/>
    <s v="CLFF_7210$$$2148TKSZ70 Overhead Surcharge collector - Cell Marq"/>
    <s v="L000013816"/>
    <s v="L000013816"/>
    <s v="LFF (MDG-F)"/>
    <s v="2148TKSZ70"/>
    <s v="Requested to be mapped on April 2025 instead."/>
    <b v="1"/>
    <x v="2"/>
    <x v="1"/>
    <d v="2025-03-18T18:14:29"/>
    <m/>
    <m/>
    <x v="1"/>
    <n v="198"/>
    <s v="Jayson Martinez"/>
    <e v="#REF!"/>
  </r>
  <r>
    <x v="118"/>
    <x v="0"/>
    <x v="0"/>
    <s v="CLFF_7210$$$2148TQSZ91 Receiving &amp; Materials Management"/>
    <s v="L000013816"/>
    <s v="L000013816"/>
    <s v="LFF (MDG-F)"/>
    <s v="2148TQSZ91"/>
    <s v="Requested to be mapped on April 2025 instead."/>
    <b v="1"/>
    <x v="2"/>
    <x v="1"/>
    <d v="2025-03-18T18:14:29"/>
    <m/>
    <m/>
    <x v="1"/>
    <n v="198"/>
    <s v="Jayson Martinez"/>
    <e v="#REF!"/>
  </r>
  <r>
    <x v="118"/>
    <x v="0"/>
    <x v="0"/>
    <s v="CLFF_7210$$$2148TQSZ92 Warehousing &amp; Distribution - Cell Marque"/>
    <s v="L000013816"/>
    <s v="L000013816"/>
    <s v="LFF (MDG-F)"/>
    <s v="2148TQSZ92"/>
    <s v="Requested to be mapped on April 2025 instead."/>
    <b v="1"/>
    <x v="2"/>
    <x v="1"/>
    <d v="2025-03-18T18:14:29"/>
    <m/>
    <m/>
    <x v="1"/>
    <n v="198"/>
    <s v="Jayson Martinez"/>
    <e v="#REF!"/>
  </r>
  <r>
    <x v="119"/>
    <x v="0"/>
    <x v="2"/>
    <s v="PQUATRO_T000474DE0412000 "/>
    <s v="L000006429"/>
    <s v="L000006429"/>
    <s v="Non-LFF"/>
    <s v=""/>
    <m/>
    <b v="1"/>
    <x v="2"/>
    <x v="1"/>
    <d v="2025-03-18T18:14:29"/>
    <d v="2025-03-24T00:00:00"/>
    <d v="2025-03-24T00:00:00"/>
    <x v="0"/>
    <n v="4"/>
    <s v="Joan Rose Pena"/>
    <m/>
  </r>
  <r>
    <x v="119"/>
    <x v="0"/>
    <x v="2"/>
    <s v="PNEXT_D300116212501000000 "/>
    <s v="L000013318"/>
    <s v="L000013318"/>
    <s v="Non-LFF"/>
    <s v=""/>
    <m/>
    <b v="1"/>
    <x v="2"/>
    <x v="1"/>
    <d v="2025-03-18T18:14:29"/>
    <d v="2025-03-24T00:00:00"/>
    <d v="2025-03-24T00:00:00"/>
    <x v="0"/>
    <n v="4"/>
    <s v="Joan Rose Pena"/>
    <m/>
  </r>
  <r>
    <x v="120"/>
    <x v="0"/>
    <x v="2"/>
    <s v="CLFF_1000$$$DE10698316"/>
    <s v="G000001280"/>
    <s v="G000001280"/>
    <s v="LFF (MDG-F)"/>
    <s v="DE10698316"/>
    <m/>
    <b v="1"/>
    <x v="0"/>
    <x v="1"/>
    <d v="2025-03-18T18:14:29"/>
    <d v="2025-03-20T00:00:00"/>
    <d v="2025-03-20T00:00:00"/>
    <x v="0"/>
    <n v="2"/>
    <s v="Jojeff Tagnong"/>
    <m/>
  </r>
  <r>
    <x v="121"/>
    <x v="0"/>
    <x v="2"/>
    <s v="CFLTFLE_2152IMIPLSCI01"/>
    <s v="P000000540"/>
    <s v="P000000540"/>
    <s v="Non-LFF"/>
    <s v=""/>
    <m/>
    <b v="1"/>
    <x v="0"/>
    <x v="1"/>
    <d v="2025-03-18T18:14:29"/>
    <d v="2025-03-20T00:00:00"/>
    <d v="2025-03-20T00:00:00"/>
    <x v="0"/>
    <n v="2"/>
    <s v="Eivy Denine Cruz"/>
    <m/>
  </r>
  <r>
    <x v="122"/>
    <x v="0"/>
    <x v="2"/>
    <s v="CFLTFLE_1044PMTC SS Trade Compliance"/>
    <s v="P000000609"/>
    <s v="P000000609"/>
    <s v="Non-LFF"/>
    <s v=""/>
    <m/>
    <b v="1"/>
    <x v="0"/>
    <x v="1"/>
    <d v="2025-03-19T08:35:30"/>
    <d v="2025-03-20T00:00:00"/>
    <d v="2025-03-20T00:00:00"/>
    <x v="0"/>
    <n v="1"/>
    <s v="Eivy Denine Cruz"/>
    <m/>
  </r>
  <r>
    <x v="123"/>
    <x v="0"/>
    <x v="2"/>
    <s v="CNOW_7210$$$0000010272 EL Digital Data &amp; Cyber ITOT 2098"/>
    <s v="P000000758"/>
    <s v="P000000758"/>
    <s v="Non-LFF"/>
    <s v=""/>
    <m/>
    <b v="1"/>
    <x v="0"/>
    <x v="1"/>
    <d v="2025-03-19T13:23:27"/>
    <d v="2025-03-20T00:00:00"/>
    <d v="2025-03-20T00:00:00"/>
    <x v="0"/>
    <n v="1"/>
    <s v="Eivy Denine Cruz"/>
    <m/>
  </r>
  <r>
    <x v="124"/>
    <x v="0"/>
    <x v="2"/>
    <s v="CLFF_1000$$$US01OF0102 Div. Head PM US"/>
    <s v="P000000656"/>
    <s v="P000000656"/>
    <s v="LFF (MDG-F)"/>
    <s v="US01OF0102"/>
    <s v="On-going CR 25159233"/>
    <b v="1"/>
    <x v="0"/>
    <x v="1"/>
    <d v="2025-03-21T13:38:07"/>
    <d v="2025-03-27T00:00:00"/>
    <d v="2025-03-27T00:00:00"/>
    <x v="0"/>
    <n v="4"/>
    <s v="Eivy Denine Cruz"/>
    <m/>
  </r>
  <r>
    <x v="124"/>
    <x v="0"/>
    <x v="2"/>
    <s v="CFLTFLE_1044PMNC SPICE NewCos"/>
    <s v="P000001201"/>
    <s v="P000001201"/>
    <s v="Non-LFF"/>
    <s v=""/>
    <m/>
    <b v="1"/>
    <x v="0"/>
    <x v="1"/>
    <d v="2025-03-21T13:38:07"/>
    <d v="2025-03-27T00:00:00"/>
    <d v="2025-03-27T00:00:00"/>
    <x v="0"/>
    <n v="4"/>
    <s v="Eivy Denine Cruz"/>
    <m/>
  </r>
  <r>
    <x v="124"/>
    <x v="0"/>
    <x v="2"/>
    <s v="CFLTFLE_1044PMSP Project SPICE"/>
    <s v="P000001203"/>
    <s v="P000001203"/>
    <s v="Non-LFF"/>
    <s v=""/>
    <m/>
    <b v="1"/>
    <x v="0"/>
    <x v="1"/>
    <d v="2025-03-21T13:38:07"/>
    <d v="2025-03-27T00:00:00"/>
    <d v="2025-03-27T00:00:00"/>
    <x v="0"/>
    <n v="4"/>
    <s v="Eivy Denine Cruz"/>
    <m/>
  </r>
  <r>
    <x v="124"/>
    <x v="0"/>
    <x v="2"/>
    <s v="CLFF_1000$$$CN90GM1271 Project Spice"/>
    <s v="P000001201"/>
    <s v="P000001201"/>
    <s v="LFF (MDG-F)"/>
    <s v="CN90GM1271"/>
    <m/>
    <b v="1"/>
    <x v="0"/>
    <x v="1"/>
    <d v="2025-03-21T13:38:07"/>
    <d v="2025-03-27T00:00:00"/>
    <d v="2025-03-27T00:00:00"/>
    <x v="0"/>
    <n v="4"/>
    <s v="Eivy Denine Cruz"/>
    <m/>
  </r>
  <r>
    <x v="125"/>
    <x v="0"/>
    <x v="2"/>
    <s v="CLFF_1000$$$DE10GM2000"/>
    <s v="G000001158"/>
    <s v="G000001158"/>
    <s v="LFF (MDG-F)"/>
    <s v="DE10GM2000"/>
    <m/>
    <b v="1"/>
    <x v="0"/>
    <x v="1"/>
    <d v="2025-03-21T14:01:12"/>
    <d v="2025-03-25T00:00:00"/>
    <d v="2025-03-25T00:00:00"/>
    <x v="0"/>
    <n v="2"/>
    <s v="Jojeff Tagnong"/>
    <m/>
  </r>
  <r>
    <x v="126"/>
    <x v="0"/>
    <x v="2"/>
    <s v="CORAERP_MMOR1945.RLLM "/>
    <s v="L000007449"/>
    <s v="L000007449"/>
    <m/>
    <s v=""/>
    <m/>
    <b v="1"/>
    <x v="2"/>
    <x v="1"/>
    <d v="2025-03-25T09:10:42"/>
    <d v="2025-03-26T00:00:00"/>
    <d v="2025-03-26T00:00:00"/>
    <x v="0"/>
    <n v="1"/>
    <s v="Joan Rose Pena"/>
    <m/>
  </r>
  <r>
    <x v="126"/>
    <x v="0"/>
    <x v="2"/>
    <s v="CORAERP_MMOR1945.LLCZX "/>
    <s v="L000009204"/>
    <s v="L000009204"/>
    <m/>
    <s v=""/>
    <m/>
    <b v="1"/>
    <x v="2"/>
    <x v="1"/>
    <d v="2025-03-25T09:10:42"/>
    <d v="2025-03-26T00:00:00"/>
    <d v="2025-03-26T00:00:00"/>
    <x v="0"/>
    <n v="1"/>
    <s v="Joan Rose Pena"/>
    <m/>
  </r>
  <r>
    <x v="126"/>
    <x v="0"/>
    <x v="2"/>
    <s v="CPHOENX_01010000602783 "/>
    <s v="L000010132"/>
    <s v="L000010132"/>
    <m/>
    <s v=""/>
    <m/>
    <b v="1"/>
    <x v="2"/>
    <x v="1"/>
    <d v="2025-03-25T09:10:42"/>
    <d v="2025-03-26T00:00:00"/>
    <d v="2025-03-26T00:00:00"/>
    <x v="0"/>
    <n v="1"/>
    <s v="Joan Rose Pena"/>
    <m/>
  </r>
  <r>
    <x v="127"/>
    <x v="0"/>
    <x v="2"/>
    <s v="CNOW_7210$$$0000015328 SCP Order Mgmt Germany"/>
    <s v="L000009691"/>
    <s v="L000009691"/>
    <s v="Non-LFF"/>
    <s v=""/>
    <m/>
    <b v="1"/>
    <x v="2"/>
    <x v="1"/>
    <d v="2025-03-26T12:57:27"/>
    <d v="2025-03-28T00:00:00"/>
    <d v="2025-03-28T00:00:00"/>
    <x v="0"/>
    <n v="2"/>
    <s v="Ruby Grace Garcia"/>
    <m/>
  </r>
  <r>
    <x v="127"/>
    <x v="0"/>
    <x v="2"/>
    <s v="CLFF_7210$$$1919TQSZ93 Sweden Distribution Outbound Freight"/>
    <s v="L000009928"/>
    <s v="L000009928"/>
    <s v="LFF (MDG-F)"/>
    <s v="1919TQSZ93"/>
    <m/>
    <b v="1"/>
    <x v="2"/>
    <x v="1"/>
    <d v="2025-03-26T12:57:27"/>
    <d v="2025-03-28T00:00:00"/>
    <d v="2025-03-28T00:00:00"/>
    <x v="0"/>
    <n v="2"/>
    <s v="Ruby Grace Garcia"/>
    <m/>
  </r>
  <r>
    <x v="127"/>
    <x v="0"/>
    <x v="2"/>
    <s v="CTEMPEU_1000FR10MPEST0 FREIGHT ESTAPOR"/>
    <s v="L000010248"/>
    <s v="L000010248"/>
    <s v="Non-LFF"/>
    <s v=""/>
    <m/>
    <b v="1"/>
    <x v="2"/>
    <x v="1"/>
    <d v="2025-03-26T12:57:27"/>
    <d v="2025-03-28T00:00:00"/>
    <d v="2025-03-28T00:00:00"/>
    <x v="0"/>
    <n v="2"/>
    <s v="Ruby Grace Garcia"/>
    <m/>
  </r>
  <r>
    <x v="127"/>
    <x v="0"/>
    <x v="2"/>
    <s v="CPHOENX_01010000040050 Supply Chain Life Science Services"/>
    <s v="L000013797"/>
    <s v="L000013797"/>
    <s v="Non-LFF"/>
    <s v=""/>
    <m/>
    <b v="1"/>
    <x v="2"/>
    <x v="1"/>
    <d v="2025-03-26T12:57:27"/>
    <d v="2025-03-28T00:00:00"/>
    <d v="2025-03-28T00:00:00"/>
    <x v="0"/>
    <n v="2"/>
    <s v="Ruby Grace Garcia"/>
    <m/>
  </r>
  <r>
    <x v="128"/>
    <x v="0"/>
    <x v="2"/>
    <s v="CLFF_1000$$$IT50C02000"/>
    <s v="H000000000"/>
    <s v="H000000000"/>
    <s v="LFF (MDG-F)"/>
    <s v="IT50C02000"/>
    <m/>
    <b v="1"/>
    <x v="1"/>
    <x v="1"/>
    <d v="2025-03-27T10:20:22"/>
    <d v="2025-04-02T00:00:00"/>
    <d v="2025-04-02T00:00:00"/>
    <x v="0"/>
    <n v="4"/>
    <s v="Frances Anne Brecia"/>
    <m/>
  </r>
  <r>
    <x v="128"/>
    <x v="0"/>
    <x v="2"/>
    <s v="CLFF_1000$$$IT50C02004"/>
    <s v="H000000000"/>
    <s v="H000000000"/>
    <s v="LFF (MDG-F)"/>
    <s v="IT50C02004"/>
    <m/>
    <b v="1"/>
    <x v="1"/>
    <x v="1"/>
    <d v="2025-03-27T10:20:22"/>
    <d v="2025-04-02T00:00:00"/>
    <d v="2025-04-02T00:00:00"/>
    <x v="0"/>
    <n v="4"/>
    <s v="Frances Anne Brecia"/>
    <m/>
  </r>
  <r>
    <x v="128"/>
    <x v="0"/>
    <x v="2"/>
    <s v="CLFF_1000$$$IT50C03005"/>
    <s v="H000000000"/>
    <s v="H000000000"/>
    <s v="LFF (MDG-F)"/>
    <s v="IT50C03005"/>
    <m/>
    <b v="1"/>
    <x v="1"/>
    <x v="1"/>
    <d v="2025-03-27T10:20:22"/>
    <d v="2025-04-02T00:00:00"/>
    <d v="2025-04-02T00:00:00"/>
    <x v="0"/>
    <n v="4"/>
    <s v="Frances Anne Brecia"/>
    <m/>
  </r>
  <r>
    <x v="128"/>
    <x v="0"/>
    <x v="2"/>
    <s v="CLFF_1000$$$IT50C03004"/>
    <s v="H000000000"/>
    <s v="H000000000"/>
    <s v="LFF (MDG-F)"/>
    <s v="IT50C03004"/>
    <m/>
    <b v="1"/>
    <x v="1"/>
    <x v="1"/>
    <d v="2025-03-27T10:20:22"/>
    <d v="2025-04-02T00:00:00"/>
    <d v="2025-04-02T00:00:00"/>
    <x v="0"/>
    <n v="4"/>
    <s v="Frances Anne Brecia"/>
    <m/>
  </r>
  <r>
    <x v="128"/>
    <x v="0"/>
    <x v="2"/>
    <s v="CLFF_1000$$$IT50C02009"/>
    <s v="H000000000"/>
    <s v="H000000000"/>
    <s v="LFF (MDG-F)"/>
    <s v="IT50C02009"/>
    <m/>
    <b v="1"/>
    <x v="1"/>
    <x v="1"/>
    <d v="2025-03-27T10:20:22"/>
    <d v="2025-04-02T00:00:00"/>
    <d v="2025-04-02T00:00:00"/>
    <x v="0"/>
    <n v="4"/>
    <s v="Frances Anne Brecia"/>
    <m/>
  </r>
  <r>
    <x v="128"/>
    <x v="0"/>
    <x v="2"/>
    <s v="CLFF_1000$$$IT50C02010"/>
    <s v="H000000000"/>
    <s v="H000000000"/>
    <s v="LFF (MDG-F)"/>
    <s v="IT50C02010"/>
    <m/>
    <b v="1"/>
    <x v="1"/>
    <x v="1"/>
    <d v="2025-03-27T10:20:22"/>
    <d v="2025-04-02T00:00:00"/>
    <d v="2025-04-02T00:00:00"/>
    <x v="0"/>
    <n v="4"/>
    <s v="Frances Anne Brecia"/>
    <m/>
  </r>
  <r>
    <x v="128"/>
    <x v="0"/>
    <x v="2"/>
    <s v="CLFF_1000$$$IT50C03007"/>
    <s v="H000000000"/>
    <s v="H000000000"/>
    <s v="LFF (MDG-F)"/>
    <s v="IT50C03007"/>
    <m/>
    <b v="1"/>
    <x v="1"/>
    <x v="1"/>
    <d v="2025-03-27T10:20:22"/>
    <d v="2025-04-02T00:00:00"/>
    <d v="2025-04-02T00:00:00"/>
    <x v="0"/>
    <n v="4"/>
    <s v="Frances Anne Brecia"/>
    <m/>
  </r>
  <r>
    <x v="128"/>
    <x v="0"/>
    <x v="2"/>
    <s v="CLFF_1000$$$IT50C02011"/>
    <s v="H000000000"/>
    <s v="H000000000"/>
    <s v="LFF (MDG-F)"/>
    <s v="IT50C02011"/>
    <m/>
    <b v="1"/>
    <x v="1"/>
    <x v="1"/>
    <d v="2025-03-27T10:20:22"/>
    <d v="2025-04-02T00:00:00"/>
    <d v="2025-04-02T00:00:00"/>
    <x v="0"/>
    <n v="4"/>
    <s v="Frances Anne Brecia"/>
    <m/>
  </r>
  <r>
    <x v="129"/>
    <x v="0"/>
    <x v="2"/>
    <s v="CLFF_1000$$$DZ50GM1100 "/>
    <s v="G000000630"/>
    <s v="G000000630"/>
    <s v="LFF (MDG-F)"/>
    <s v="DZ50GM1100"/>
    <m/>
    <b v="1"/>
    <x v="0"/>
    <x v="1"/>
    <d v="2025-03-27T12:32:18"/>
    <d v="2025-04-02T00:00:00"/>
    <d v="2025-04-02T00:00:00"/>
    <x v="0"/>
    <n v="4"/>
    <s v="Jojeff Tagnong"/>
    <m/>
  </r>
  <r>
    <x v="129"/>
    <x v="0"/>
    <x v="2"/>
    <s v="CLFF_7210$$$2053OF0000 "/>
    <s v="G000000637"/>
    <s v="G000000637"/>
    <s v="LFF (MDG-F)"/>
    <s v="2053OF0000"/>
    <m/>
    <b v="1"/>
    <x v="0"/>
    <x v="1"/>
    <d v="2025-03-27T12:32:18"/>
    <d v="2025-04-02T00:00:00"/>
    <d v="2025-04-02T00:00:00"/>
    <x v="0"/>
    <n v="4"/>
    <s v="Jojeff Tagnong"/>
    <m/>
  </r>
  <r>
    <x v="130"/>
    <x v="0"/>
    <x v="2"/>
    <s v="CLFF_1000$$$DE20569502 "/>
    <s v="G000000686"/>
    <s v="G000000686"/>
    <s v="LFF (MDG-F)"/>
    <s v="DE20569502"/>
    <m/>
    <b v="1"/>
    <x v="0"/>
    <x v="1"/>
    <d v="2025-03-27T12:36:27"/>
    <d v="2025-04-02T00:00:00"/>
    <d v="2025-04-02T00:00:00"/>
    <x v="0"/>
    <n v="4"/>
    <s v="Francesco Ricioppo"/>
    <m/>
  </r>
  <r>
    <x v="131"/>
    <x v="0"/>
    <x v="2"/>
    <s v="CLFF_1000$$$ZA50GM1000"/>
    <s v="G000000637"/>
    <s v="G000000637"/>
    <s v="LFF (MDG-F)"/>
    <s v="ZA50GM1000"/>
    <m/>
    <b v="1"/>
    <x v="0"/>
    <x v="1"/>
    <d v="2025-03-27T14:44:39"/>
    <d v="2025-04-02T00:00:00"/>
    <d v="2025-04-02T00:00:00"/>
    <x v="0"/>
    <n v="4"/>
    <s v="Jojeff Tagnong"/>
    <m/>
  </r>
  <r>
    <x v="131"/>
    <x v="0"/>
    <x v="2"/>
    <s v="CLFF_1000$$$ZA50GIT10D"/>
    <s v="G000000637"/>
    <s v="G000000637"/>
    <s v="LFF (MDG-F)"/>
    <s v="ZA50GIT10D"/>
    <m/>
    <b v="1"/>
    <x v="0"/>
    <x v="1"/>
    <d v="2025-03-27T14:44:39"/>
    <d v="2025-04-02T00:00:00"/>
    <d v="2025-04-02T00:00:00"/>
    <x v="0"/>
    <n v="4"/>
    <s v="Jojeff Tagnong"/>
    <m/>
  </r>
  <r>
    <x v="131"/>
    <x v="0"/>
    <x v="2"/>
    <s v="CLFF_1000$$$ZA50GHR014"/>
    <s v="G000000637"/>
    <s v="G000000637"/>
    <s v="LFF (MDG-F)"/>
    <s v="ZA50GHR014"/>
    <m/>
    <b v="1"/>
    <x v="0"/>
    <x v="1"/>
    <d v="2025-03-27T14:44:39"/>
    <d v="2025-04-02T00:00:00"/>
    <d v="2025-04-02T00:00:00"/>
    <x v="0"/>
    <n v="4"/>
    <s v="Jojeff Tagnong"/>
    <m/>
  </r>
  <r>
    <x v="131"/>
    <x v="0"/>
    <x v="2"/>
    <s v="CLFF_1000$$$KE50GM2100"/>
    <s v="G000000637"/>
    <s v="G000000637"/>
    <s v="LFF (MDG-F)"/>
    <s v="KE50GM2100"/>
    <m/>
    <b v="1"/>
    <x v="0"/>
    <x v="1"/>
    <d v="2025-03-27T14:44:39"/>
    <d v="2025-04-02T00:00:00"/>
    <d v="2025-04-02T00:00:00"/>
    <x v="0"/>
    <n v="4"/>
    <s v="Jojeff Tagnong"/>
    <m/>
  </r>
  <r>
    <x v="131"/>
    <x v="0"/>
    <x v="2"/>
    <s v="CLFF_1000$$$CZ50GM2100"/>
    <s v="G000000637"/>
    <s v="G000000637"/>
    <s v="LFF (MDG-F)"/>
    <s v="CZ50GM2100"/>
    <m/>
    <b v="1"/>
    <x v="0"/>
    <x v="1"/>
    <d v="2025-03-27T14:44:39"/>
    <d v="2025-04-02T00:00:00"/>
    <d v="2025-04-02T00:00:00"/>
    <x v="0"/>
    <n v="4"/>
    <s v="Jojeff Tagnong"/>
    <m/>
  </r>
  <r>
    <x v="131"/>
    <x v="0"/>
    <x v="2"/>
    <s v="CLFF_1000$$$CZ50GM2101"/>
    <s v="G000000637"/>
    <s v="G000000637"/>
    <s v="LFF (MDG-F)"/>
    <s v="CZ50GM2101"/>
    <m/>
    <b v="1"/>
    <x v="0"/>
    <x v="1"/>
    <d v="2025-03-27T14:44:39"/>
    <d v="2025-04-02T00:00:00"/>
    <d v="2025-04-02T00:00:00"/>
    <x v="0"/>
    <n v="4"/>
    <s v="Jojeff Tagnong"/>
    <m/>
  </r>
  <r>
    <x v="132"/>
    <x v="0"/>
    <x v="2"/>
    <s v="CNOW_7210$$$0000057774 "/>
    <s v="L000011266"/>
    <s v="L000011266"/>
    <s v="Non-LFF"/>
    <s v=""/>
    <m/>
    <b v="1"/>
    <x v="2"/>
    <x v="1"/>
    <d v="2025-03-28T10:16:04"/>
    <d v="2025-03-31T00:00:00"/>
    <d v="2025-03-31T00:00:00"/>
    <x v="0"/>
    <n v="1"/>
    <s v="Joan Rose Pena"/>
    <m/>
  </r>
  <r>
    <x v="132"/>
    <x v="0"/>
    <x v="2"/>
    <s v="CNOW_7210$$$0000056973 "/>
    <s v="L000013392"/>
    <s v="L000013392"/>
    <s v="Non-LFF"/>
    <s v=""/>
    <m/>
    <b v="1"/>
    <x v="2"/>
    <x v="1"/>
    <d v="2025-03-28T10:16:04"/>
    <d v="2025-03-31T00:00:00"/>
    <d v="2025-03-31T00:00:00"/>
    <x v="0"/>
    <n v="1"/>
    <s v="Joan Rose Pena"/>
    <m/>
  </r>
  <r>
    <x v="132"/>
    <x v="0"/>
    <x v="2"/>
    <s v="CNOW_7210$$$0000015962 "/>
    <s v="L000013558"/>
    <s v="L000013558"/>
    <s v="Non-LFF"/>
    <s v=""/>
    <m/>
    <b v="1"/>
    <x v="2"/>
    <x v="1"/>
    <d v="2025-03-28T10:16:04"/>
    <d v="2025-03-31T00:00:00"/>
    <d v="2025-03-31T00:00:00"/>
    <x v="0"/>
    <n v="1"/>
    <s v="Joan Rose Pena"/>
    <m/>
  </r>
  <r>
    <x v="132"/>
    <x v="0"/>
    <x v="2"/>
    <s v="CNOW_7210$$$0000040500"/>
    <s v="L000009797"/>
    <s v="L000009797"/>
    <s v="Non-LFF"/>
    <s v=""/>
    <m/>
    <b v="1"/>
    <x v="2"/>
    <x v="1"/>
    <d v="2025-03-28T10:16:04"/>
    <d v="2025-03-31T00:00:00"/>
    <d v="2025-03-31T00:00:00"/>
    <x v="0"/>
    <n v="1"/>
    <s v="Joan Rose Pena"/>
    <m/>
  </r>
  <r>
    <x v="132"/>
    <x v="0"/>
    <x v="2"/>
    <s v="CNOW_7210$$$0000040807"/>
    <s v="L000009797"/>
    <s v="L000009797"/>
    <s v="Non-LFF"/>
    <s v=""/>
    <m/>
    <b v="1"/>
    <x v="2"/>
    <x v="1"/>
    <d v="2025-03-28T10:16:04"/>
    <d v="2025-03-31T00:00:00"/>
    <d v="2025-03-31T00:00:00"/>
    <x v="0"/>
    <n v="1"/>
    <s v="Joan Rose Pena"/>
    <m/>
  </r>
  <r>
    <x v="132"/>
    <x v="0"/>
    <x v="2"/>
    <s v="CNOW_7210$$$0000025514 "/>
    <s v="L000013689"/>
    <s v="L000013689"/>
    <s v="Non-LFF"/>
    <s v=""/>
    <m/>
    <b v="1"/>
    <x v="2"/>
    <x v="1"/>
    <d v="2025-03-28T10:16:04"/>
    <d v="2025-03-31T00:00:00"/>
    <d v="2025-03-31T00:00:00"/>
    <x v="0"/>
    <n v="1"/>
    <s v="Joan Rose Pena"/>
    <m/>
  </r>
  <r>
    <x v="132"/>
    <x v="0"/>
    <x v="2"/>
    <s v="CNOW_7210$$$0000057214 "/>
    <s v="L000013274"/>
    <s v="L000013274"/>
    <s v="Non-LFF"/>
    <s v=""/>
    <m/>
    <b v="1"/>
    <x v="2"/>
    <x v="1"/>
    <d v="2025-03-28T10:16:04"/>
    <d v="2025-03-31T00:00:00"/>
    <d v="2025-03-31T00:00:00"/>
    <x v="0"/>
    <n v="1"/>
    <s v="Joan Rose Pena"/>
    <m/>
  </r>
  <r>
    <x v="132"/>
    <x v="0"/>
    <x v="2"/>
    <s v="CNOW_7210$$$0024070008"/>
    <s v="L000013403"/>
    <s v="L000013403"/>
    <s v="Non-LFF"/>
    <s v=""/>
    <m/>
    <b v="1"/>
    <x v="2"/>
    <x v="1"/>
    <d v="2025-03-28T10:16:04"/>
    <d v="2025-03-31T00:00:00"/>
    <d v="2025-03-31T00:00:00"/>
    <x v="0"/>
    <n v="1"/>
    <s v="Joan Rose Pena"/>
    <m/>
  </r>
  <r>
    <x v="132"/>
    <x v="0"/>
    <x v="2"/>
    <s v="CNOW_7210$$$0000015533"/>
    <s v="L000013274"/>
    <s v="L000013274"/>
    <s v="Non-LFF"/>
    <s v=""/>
    <m/>
    <b v="1"/>
    <x v="2"/>
    <x v="1"/>
    <d v="2025-03-28T10:16:04"/>
    <d v="2025-03-31T00:00:00"/>
    <d v="2025-03-31T00:00:00"/>
    <x v="0"/>
    <n v="1"/>
    <s v="Joan Rose Pena"/>
    <m/>
  </r>
  <r>
    <x v="132"/>
    <x v="0"/>
    <x v="2"/>
    <s v="CNOW_7210$$$0000023431"/>
    <s v="L000013424"/>
    <s v="L000013424"/>
    <s v="Non-LFF"/>
    <s v=""/>
    <m/>
    <b v="1"/>
    <x v="2"/>
    <x v="1"/>
    <d v="2025-03-28T10:16:04"/>
    <d v="2025-03-31T00:00:00"/>
    <d v="2025-03-31T00:00:00"/>
    <x v="0"/>
    <n v="1"/>
    <s v="Joan Rose Pena"/>
    <m/>
  </r>
  <r>
    <x v="133"/>
    <x v="0"/>
    <x v="2"/>
    <s v="CLFF_VMCA$$$GB10GM4002"/>
    <s v="G000000630"/>
    <s v="G000000630"/>
    <s v="LFF (MDG-F)"/>
    <s v="GB10GM4002"/>
    <m/>
    <b v="1"/>
    <x v="0"/>
    <x v="2"/>
    <d v="2025-03-28T14:47:19"/>
    <d v="2025-04-04T00:00:00"/>
    <d v="2025-04-04T00:00:00"/>
    <x v="0"/>
    <n v="5"/>
    <s v="Virginia Passadore"/>
    <m/>
  </r>
  <r>
    <x v="134"/>
    <x v="0"/>
    <x v="2"/>
    <s v="CLFF_VMCA$$$US10GM4058"/>
    <s v="G000000633"/>
    <s v="G000000633"/>
    <s v="LFF (MDG-F)"/>
    <s v="US10GM4058"/>
    <s v="Changes were saved for change request 25192417"/>
    <b v="1"/>
    <x v="0"/>
    <x v="2"/>
    <d v="2025-03-28T14:57:53"/>
    <d v="2025-04-04T00:00:00"/>
    <d v="2025-04-04T00:00:00"/>
    <x v="0"/>
    <n v="5"/>
    <s v="Virginia Passadore"/>
    <m/>
  </r>
  <r>
    <x v="135"/>
    <x v="0"/>
    <x v="2"/>
    <s v="CLFF_1000$$$CN95GM4000"/>
    <s v="G000000636"/>
    <s v="G000000636"/>
    <s v="LFF (MDG-F)"/>
    <s v="CN95GM4000"/>
    <m/>
    <b v="1"/>
    <x v="0"/>
    <x v="1"/>
    <d v="2025-03-28T15:09:24"/>
    <d v="2025-04-02T00:00:00"/>
    <d v="2025-04-02T00:00:00"/>
    <x v="0"/>
    <n v="3"/>
    <s v="Virginia Passadore"/>
    <m/>
  </r>
  <r>
    <x v="135"/>
    <x v="0"/>
    <x v="2"/>
    <s v="CLFF_1000$$$CN96GM4002"/>
    <s v="G000000636"/>
    <s v="G000000636"/>
    <s v="LFF (MDG-F)"/>
    <s v="CN96GM4002"/>
    <m/>
    <b v="1"/>
    <x v="0"/>
    <x v="1"/>
    <d v="2025-03-28T15:09:24"/>
    <d v="2025-04-02T00:00:00"/>
    <d v="2025-04-02T00:00:00"/>
    <x v="0"/>
    <n v="3"/>
    <s v="Virginia Passadore"/>
    <m/>
  </r>
  <r>
    <x v="136"/>
    <x v="0"/>
    <x v="2"/>
    <s v="CTEMPEU_1000GB10005687"/>
    <s v="G000000636"/>
    <s v="G000000636"/>
    <s v="Non-LFF"/>
    <s v=""/>
    <m/>
    <b v="1"/>
    <x v="0"/>
    <x v="2"/>
    <d v="2025-03-28T15:14:56"/>
    <d v="2025-04-07T00:00:00"/>
    <d v="2025-04-07T00:00:00"/>
    <x v="1"/>
    <n v="6"/>
    <s v="Virginia Passadore"/>
    <m/>
  </r>
  <r>
    <x v="137"/>
    <x v="0"/>
    <x v="2"/>
    <s v="CLFF_1000$$$CH50GM4010"/>
    <s v="G000000630"/>
    <s v="G000000630"/>
    <s v="LFF (MDG-F)"/>
    <s v="CH50GM4010"/>
    <m/>
    <b v="1"/>
    <x v="0"/>
    <x v="1"/>
    <d v="2025-03-28T15:59:53"/>
    <d v="2025-04-02T00:00:00"/>
    <d v="2025-04-02T00:00:00"/>
    <x v="0"/>
    <n v="3"/>
    <s v="Virginia Passadore"/>
    <m/>
  </r>
  <r>
    <x v="138"/>
    <x v="0"/>
    <x v="2"/>
    <s v="CNOW_7210$$$0000058276"/>
    <s v="G000000630"/>
    <s v="G000000630"/>
    <s v="Non-LFF"/>
    <s v=""/>
    <m/>
    <b v="1"/>
    <x v="0"/>
    <x v="1"/>
    <d v="2025-03-28T16:14:14"/>
    <d v="2025-04-02T00:00:00"/>
    <d v="2025-04-02T00:00:00"/>
    <x v="0"/>
    <n v="3"/>
    <s v="Virginia Passadore"/>
    <m/>
  </r>
  <r>
    <x v="139"/>
    <x v="0"/>
    <x v="2"/>
    <s v="CNOW_7210$$$0000010137"/>
    <s v="G000000630"/>
    <s v="G000000630"/>
    <s v="Non-LFF"/>
    <s v=""/>
    <m/>
    <b v="1"/>
    <x v="0"/>
    <x v="1"/>
    <d v="2025-03-28T16:17:35"/>
    <d v="2025-04-02T00:00:00"/>
    <d v="2025-04-02T00:00:00"/>
    <x v="0"/>
    <n v="3"/>
    <s v="Virginia Passadore"/>
    <m/>
  </r>
  <r>
    <x v="140"/>
    <x v="0"/>
    <x v="2"/>
    <s v="CLFF_1000$$$CH75GM8300"/>
    <s v="G000000630"/>
    <s v="G000000630"/>
    <s v="LFF (MDG-F)"/>
    <s v="CH75GM8300"/>
    <m/>
    <b v="1"/>
    <x v="0"/>
    <x v="1"/>
    <d v="2025-03-28T16:30:37"/>
    <d v="2025-04-02T00:00:00"/>
    <d v="2025-04-02T00:00:00"/>
    <x v="0"/>
    <n v="3"/>
    <s v="Virginia Passadore"/>
    <m/>
  </r>
  <r>
    <x v="141"/>
    <x v="0"/>
    <x v="2"/>
    <s v="CLFF_1000$$$ES50GPO794"/>
    <s v="H000004174"/>
    <s v="H000004174"/>
    <s v="LFF (MDG-F)"/>
    <s v="ES50GPO794"/>
    <m/>
    <b v="1"/>
    <x v="0"/>
    <x v="1"/>
    <d v="2025-03-28T16:46:58"/>
    <d v="2025-04-02T00:00:00"/>
    <d v="2025-04-02T00:00:00"/>
    <x v="0"/>
    <n v="3"/>
    <s v="Virginia Passadore"/>
    <m/>
  </r>
  <r>
    <x v="142"/>
    <x v="0"/>
    <x v="2"/>
    <s v="PQUATRO_T000394DE0413001 LAFAMD Support CN 2024 CN01R00403"/>
    <s v="P000000573"/>
    <s v="P000000573"/>
    <s v="Non-LFF"/>
    <s v=""/>
    <m/>
    <b v="1"/>
    <x v="0"/>
    <x v="1"/>
    <d v="2025-03-31T09:30:50"/>
    <d v="2025-04-02T00:00:00"/>
    <d v="2025-04-02T00:00:00"/>
    <x v="0"/>
    <n v="2"/>
    <s v="Eivy Denine Cruz"/>
    <m/>
  </r>
  <r>
    <x v="143"/>
    <x v="0"/>
    <x v="2"/>
    <s v="CFLTFLE_17710000000500 Techn:alloc.key BP Gen"/>
    <s v="H000000002"/>
    <s v="H000000002"/>
    <s v="Non-LFF"/>
    <s v=""/>
    <m/>
    <b v="1"/>
    <x v="1"/>
    <x v="1"/>
    <d v="2025-03-31T11:20:17"/>
    <d v="2025-04-02T00:00:00"/>
    <d v="2025-04-02T00:00:00"/>
    <x v="0"/>
    <n v="2"/>
    <s v="Riccardo CASSANESE"/>
    <m/>
  </r>
  <r>
    <x v="144"/>
    <x v="0"/>
    <x v="2"/>
    <s v="CLFF_1000$$$CH50GIT032"/>
    <s v="G000001121"/>
    <s v="G000001121"/>
    <s v="LFF (MDG-F)"/>
    <s v="CH50GIT032"/>
    <s v="Changes were saved for change request 25192417"/>
    <b v="1"/>
    <x v="0"/>
    <x v="2"/>
    <d v="2025-03-31T17:05:02"/>
    <d v="2025-04-04T00:00:00"/>
    <d v="2025-04-04T00:00:00"/>
    <x v="0"/>
    <n v="4"/>
    <s v="Jay-R Lizardo"/>
    <m/>
  </r>
  <r>
    <x v="145"/>
    <x v="0"/>
    <x v="2"/>
    <s v="CTEMPLA_1000CO10100511"/>
    <s v="G000000218"/>
    <s v="G000000218"/>
    <s v="Non-LFF"/>
    <s v=""/>
    <m/>
    <b v="1"/>
    <x v="0"/>
    <x v="2"/>
    <d v="2025-04-01T17:03:24"/>
    <d v="2025-04-04T00:00:00"/>
    <d v="2025-04-04T00:00:00"/>
    <x v="0"/>
    <n v="3"/>
    <s v="Virginia Passadore"/>
    <m/>
  </r>
  <r>
    <x v="146"/>
    <x v="0"/>
    <x v="2"/>
    <s v="CNOW_7210$$$0000015395 "/>
    <s v="G000000198"/>
    <s v="G000000198"/>
    <s v="Non-LFF"/>
    <s v=""/>
    <m/>
    <b v="1"/>
    <x v="0"/>
    <x v="2"/>
    <d v="2025-04-02T09:39:57"/>
    <d v="2025-04-04T00:00:00"/>
    <d v="2025-04-04T00:00:00"/>
    <x v="0"/>
    <n v="2"/>
    <s v="Jojeff Tagnong"/>
    <m/>
  </r>
  <r>
    <x v="147"/>
    <x v="0"/>
    <x v="2"/>
    <s v="CLFF_1000$$$IT50C02000"/>
    <s v="H000000181"/>
    <s v="H000000181"/>
    <s v="LFF (MDG-F)"/>
    <s v="IT50C02000"/>
    <s v="Changes were saved for change request 25192417"/>
    <b v="1"/>
    <x v="1"/>
    <x v="2"/>
    <d v="2025-04-02T10:34:12"/>
    <d v="2025-04-04T00:00:00"/>
    <d v="2025-04-04T00:00:00"/>
    <x v="0"/>
    <n v="2"/>
    <s v="Frances Anne Brecia"/>
    <m/>
  </r>
  <r>
    <x v="147"/>
    <x v="0"/>
    <x v="2"/>
    <s v="CLFF_1000$$$IT50C02004"/>
    <s v="H000000181"/>
    <s v="H000000181"/>
    <s v="LFF (MDG-F)"/>
    <s v="IT50C02004"/>
    <s v="Changes were saved for change request 25192417"/>
    <b v="1"/>
    <x v="1"/>
    <x v="2"/>
    <d v="2025-04-02T10:34:12"/>
    <d v="2025-04-04T00:00:00"/>
    <d v="2025-04-04T00:00:00"/>
    <x v="0"/>
    <n v="2"/>
    <s v="Frances Anne Brecia"/>
    <m/>
  </r>
  <r>
    <x v="147"/>
    <x v="0"/>
    <x v="2"/>
    <s v="CLFF_1000$$$IT50C03005"/>
    <s v="H000000181"/>
    <s v="H000000181"/>
    <s v="LFF (MDG-F)"/>
    <s v="IT50C03005"/>
    <s v="Changes were saved for change request 25192417"/>
    <b v="1"/>
    <x v="1"/>
    <x v="2"/>
    <d v="2025-04-02T10:34:12"/>
    <d v="2025-04-04T00:00:00"/>
    <d v="2025-04-04T00:00:00"/>
    <x v="0"/>
    <n v="2"/>
    <s v="Frances Anne Brecia"/>
    <m/>
  </r>
  <r>
    <x v="147"/>
    <x v="0"/>
    <x v="2"/>
    <s v="CLFF_1000$$$IT50C03004"/>
    <s v="H000000181"/>
    <s v="H000000181"/>
    <s v="LFF (MDG-F)"/>
    <s v="IT50C03004"/>
    <s v="Changes were saved for change request 25192417"/>
    <b v="1"/>
    <x v="1"/>
    <x v="2"/>
    <d v="2025-04-02T10:34:12"/>
    <d v="2025-04-04T00:00:00"/>
    <d v="2025-04-04T00:00:00"/>
    <x v="0"/>
    <n v="2"/>
    <s v="Frances Anne Brecia"/>
    <m/>
  </r>
  <r>
    <x v="147"/>
    <x v="0"/>
    <x v="2"/>
    <s v="CLFF_1000$$$IT50C02009"/>
    <s v="H000000181"/>
    <s v="H000000181"/>
    <s v="LFF (MDG-F)"/>
    <s v="IT50C02009"/>
    <s v="Changes were saved for change request 25192417"/>
    <b v="1"/>
    <x v="1"/>
    <x v="2"/>
    <d v="2025-04-02T10:34:12"/>
    <d v="2025-04-04T00:00:00"/>
    <d v="2025-04-04T00:00:00"/>
    <x v="0"/>
    <n v="2"/>
    <s v="Frances Anne Brecia"/>
    <m/>
  </r>
  <r>
    <x v="147"/>
    <x v="0"/>
    <x v="2"/>
    <s v="CLFF_1000$$$IT50C02010"/>
    <s v="H000000181"/>
    <s v="H000000181"/>
    <s v="LFF (MDG-F)"/>
    <s v="IT50C02010"/>
    <s v="Changes were saved for change request 25192417"/>
    <b v="1"/>
    <x v="1"/>
    <x v="2"/>
    <d v="2025-04-02T10:34:12"/>
    <d v="2025-04-04T00:00:00"/>
    <d v="2025-04-04T00:00:00"/>
    <x v="0"/>
    <n v="2"/>
    <s v="Frances Anne Brecia"/>
    <m/>
  </r>
  <r>
    <x v="147"/>
    <x v="0"/>
    <x v="2"/>
    <s v="CLFF_1000$$$IT50C03007"/>
    <s v="H000000181"/>
    <s v="H000000181"/>
    <s v="LFF (MDG-F)"/>
    <s v="IT50C03007"/>
    <s v="Changes were saved for change request 25192417"/>
    <b v="1"/>
    <x v="1"/>
    <x v="2"/>
    <d v="2025-04-02T10:34:12"/>
    <d v="2025-04-04T00:00:00"/>
    <d v="2025-04-04T00:00:00"/>
    <x v="0"/>
    <n v="2"/>
    <s v="Frances Anne Brecia"/>
    <m/>
  </r>
  <r>
    <x v="147"/>
    <x v="0"/>
    <x v="2"/>
    <s v="CLFF_1000$$$IT50C02011"/>
    <s v="H000000181"/>
    <s v="H000000181"/>
    <s v="LFF (MDG-F)"/>
    <s v="IT50C02011"/>
    <s v="Changes were saved for change request 25192417"/>
    <b v="1"/>
    <x v="1"/>
    <x v="2"/>
    <d v="2025-04-02T10:34:12"/>
    <d v="2025-04-04T00:00:00"/>
    <d v="2025-04-04T00:00:00"/>
    <x v="0"/>
    <n v="2"/>
    <s v="Frances Anne Brecia"/>
    <m/>
  </r>
  <r>
    <x v="148"/>
    <x v="0"/>
    <x v="2"/>
    <s v="PNEXT_D300124212301000000 "/>
    <s v="L000006425"/>
    <s v="L000006425"/>
    <s v="Non-LFF"/>
    <s v=""/>
    <m/>
    <b v="1"/>
    <x v="2"/>
    <x v="2"/>
    <d v="2025-04-02T11:58:38"/>
    <d v="2025-04-04T00:00:00"/>
    <d v="2025-04-04T00:00:00"/>
    <x v="0"/>
    <n v="2"/>
    <s v="Joan Rose Pena"/>
    <m/>
  </r>
  <r>
    <x v="148"/>
    <x v="0"/>
    <x v="2"/>
    <s v="PNEXT_D300125212301000000 "/>
    <s v="L000006432"/>
    <s v="L000006432"/>
    <s v="Non-LFF"/>
    <s v=""/>
    <m/>
    <b v="1"/>
    <x v="2"/>
    <x v="2"/>
    <d v="2025-04-02T11:58:38"/>
    <d v="2025-04-04T00:00:00"/>
    <d v="2025-04-04T00:00:00"/>
    <x v="0"/>
    <n v="2"/>
    <s v="Joan Rose Pena"/>
    <m/>
  </r>
  <r>
    <x v="148"/>
    <x v="0"/>
    <x v="2"/>
    <s v="CSCALA_1042$EQWH_P19"/>
    <s v="L000011687"/>
    <s v="L000011687"/>
    <s v="Non-LFF"/>
    <s v=""/>
    <m/>
    <b v="1"/>
    <x v="2"/>
    <x v="2"/>
    <d v="2025-04-02T11:58:38"/>
    <d v="2025-04-04T00:00:00"/>
    <d v="2025-04-04T00:00:00"/>
    <x v="0"/>
    <n v="2"/>
    <s v="Joan Rose Pena"/>
    <m/>
  </r>
  <r>
    <x v="149"/>
    <x v="0"/>
    <x v="2"/>
    <s v="CNOW_7210$$$0000020215 STL RS BU MANAGEMENT"/>
    <s v="L000013791"/>
    <s v="L000013791"/>
    <s v="Non-LFF"/>
    <s v=""/>
    <m/>
    <b v="1"/>
    <x v="2"/>
    <x v="2"/>
    <d v="2025-04-02T14:24:36"/>
    <d v="2025-04-04T00:00:00"/>
    <d v="2025-04-04T00:00:00"/>
    <x v="0"/>
    <n v="2"/>
    <s v="Ruby Grace Garcia"/>
    <m/>
  </r>
  <r>
    <x v="149"/>
    <x v="0"/>
    <x v="2"/>
    <s v="CLFF_7210$$$1937TNCZ90 LS-OO Management"/>
    <s v="L000013793"/>
    <s v="L000013793"/>
    <s v="LFF (MDG-F)"/>
    <s v="1937TNCZ90"/>
    <m/>
    <b v="1"/>
    <x v="2"/>
    <x v="2"/>
    <d v="2025-04-02T14:24:36"/>
    <d v="2025-04-04T00:00:00"/>
    <d v="2025-04-04T00:00:00"/>
    <x v="0"/>
    <n v="2"/>
    <s v="Ruby Grace Garcia"/>
    <m/>
  </r>
  <r>
    <x v="149"/>
    <x v="0"/>
    <x v="2"/>
    <s v="CNOW_7210$$$0000056143 Central Europe Operations Management"/>
    <s v="L000013794"/>
    <s v="L000013794"/>
    <s v="Non-LFF"/>
    <s v=""/>
    <m/>
    <b v="1"/>
    <x v="2"/>
    <x v="2"/>
    <d v="2025-04-02T14:24:36"/>
    <d v="2025-04-04T00:00:00"/>
    <d v="2025-04-04T00:00:00"/>
    <x v="0"/>
    <n v="2"/>
    <s v="Ruby Grace Garcia"/>
    <m/>
  </r>
  <r>
    <x v="149"/>
    <x v="0"/>
    <x v="2"/>
    <s v="CNOW_7210$$$0000040048 LSS Supply Chain Robustness"/>
    <s v="L000013797"/>
    <s v="L000013797"/>
    <s v="Non-LFF"/>
    <s v=""/>
    <m/>
    <b v="1"/>
    <x v="2"/>
    <x v="2"/>
    <d v="2025-04-02T14:24:36"/>
    <d v="2025-04-04T00:00:00"/>
    <d v="2025-04-04T00:00:00"/>
    <x v="0"/>
    <n v="2"/>
    <s v="Ruby Grace Garcia"/>
    <m/>
  </r>
  <r>
    <x v="150"/>
    <x v="0"/>
    <x v="2"/>
    <s v="CORAERP_MMOR1975.2463 Receiving &amp; Inventory Control"/>
    <s v="L000009738"/>
    <s v="L000009738"/>
    <s v="Non-LFF"/>
    <s v=""/>
    <m/>
    <b v="1"/>
    <x v="2"/>
    <x v="2"/>
    <d v="2025-04-02T17:03:32"/>
    <d v="2025-04-04T00:00:00"/>
    <d v="2025-04-04T00:00:00"/>
    <x v="0"/>
    <n v="2"/>
    <s v="Ruby Grace Garcia"/>
    <m/>
  </r>
  <r>
    <x v="150"/>
    <x v="0"/>
    <x v="2"/>
    <s v="CORAERP_MMOR1945.5106 Sales SG - BioP SP"/>
    <s v="L000011670"/>
    <s v="L000011670"/>
    <s v="Non-LFF"/>
    <s v=""/>
    <m/>
    <b v="1"/>
    <x v="2"/>
    <x v="2"/>
    <d v="2025-04-02T17:03:32"/>
    <d v="2025-04-04T00:00:00"/>
    <d v="2025-04-04T00:00:00"/>
    <x v="0"/>
    <n v="2"/>
    <s v="Ruby Grace Garcia"/>
    <m/>
  </r>
  <r>
    <x v="150"/>
    <x v="0"/>
    <x v="2"/>
    <s v="CORAERP_MMOR1945.5148 Sales KR - BioP SP"/>
    <s v="L000011670"/>
    <s v="L000011670"/>
    <s v="Non-LFF"/>
    <s v=""/>
    <m/>
    <b v="1"/>
    <x v="2"/>
    <x v="2"/>
    <d v="2025-04-02T17:03:32"/>
    <d v="2025-04-04T00:00:00"/>
    <d v="2025-04-04T00:00:00"/>
    <x v="0"/>
    <n v="2"/>
    <s v="Ruby Grace Garcia"/>
    <m/>
  </r>
  <r>
    <x v="150"/>
    <x v="0"/>
    <x v="2"/>
    <s v="CORAERP_MMOR1975.2609 Manufacturing Strategy"/>
    <s v="L000013790"/>
    <s v="L000013790"/>
    <s v="Non-LFF"/>
    <s v=""/>
    <m/>
    <b v="1"/>
    <x v="2"/>
    <x v="2"/>
    <d v="2025-04-02T17:03:32"/>
    <d v="2025-04-04T00:00:00"/>
    <d v="2025-04-04T00:00:00"/>
    <x v="0"/>
    <n v="2"/>
    <s v="Ruby Grace Garcia"/>
    <m/>
  </r>
  <r>
    <x v="151"/>
    <x v="0"/>
    <x v="2"/>
    <s v="CTEMPNA_1000PH80GFO055"/>
    <s v="G000000698"/>
    <s v="G000000698"/>
    <s v="Non-LFF"/>
    <s v=""/>
    <m/>
    <b v="1"/>
    <x v="0"/>
    <x v="2"/>
    <d v="2025-04-03T07:26:49"/>
    <d v="2025-04-04T00:00:00"/>
    <d v="2025-04-04T00:00:00"/>
    <x v="0"/>
    <n v="1"/>
    <s v="Jojeff Tagnong"/>
    <m/>
  </r>
  <r>
    <x v="152"/>
    <x v="0"/>
    <x v="2"/>
    <s v="CTEMPNA_1000PH80GFO023"/>
    <s v="G000001166"/>
    <s v="G000001166"/>
    <s v="Non-LFF"/>
    <s v=""/>
    <m/>
    <b v="1"/>
    <x v="0"/>
    <x v="2"/>
    <d v="2025-04-03T08:49:06"/>
    <d v="2025-04-04T00:00:00"/>
    <d v="2025-04-04T00:00:00"/>
    <x v="0"/>
    <n v="1"/>
    <s v="Jojeff Tagnong"/>
    <m/>
  </r>
  <r>
    <x v="153"/>
    <x v="0"/>
    <x v="2"/>
    <s v="CTEMPEU_1000PL80GIT01B"/>
    <s v="G000000279"/>
    <s v="G000000279"/>
    <s v="Non-LFF"/>
    <s v=""/>
    <m/>
    <b v="1"/>
    <x v="0"/>
    <x v="2"/>
    <d v="2025-04-03T11:07:44"/>
    <d v="2025-04-07T00:00:00"/>
    <d v="2025-04-07T00:00:00"/>
    <x v="0"/>
    <n v="2"/>
    <s v="Jay-R Lizardo"/>
    <m/>
  </r>
  <r>
    <x v="153"/>
    <x v="0"/>
    <x v="2"/>
    <s v="CLFF_1000$$$DE10600470"/>
    <s v="G000000325"/>
    <s v="G000000325"/>
    <s v="LFF (MDG-F)"/>
    <s v="DE10600470"/>
    <s v="Changes were saved for change request 25198192"/>
    <b v="1"/>
    <x v="0"/>
    <x v="2"/>
    <d v="2025-04-03T11:07:44"/>
    <d v="2025-04-07T00:00:00"/>
    <d v="2025-04-07T00:00:00"/>
    <x v="0"/>
    <n v="2"/>
    <s v="Jay-R Lizardo"/>
    <m/>
  </r>
  <r>
    <x v="153"/>
    <x v="0"/>
    <x v="2"/>
    <s v="CLFF_1000$$$DE10GIT705"/>
    <s v="G000001239"/>
    <s v="G000001239"/>
    <s v="LFF (MDG-F)"/>
    <s v="DE10GIT705"/>
    <s v="Changes were saved for change request 25198192"/>
    <b v="1"/>
    <x v="0"/>
    <x v="2"/>
    <d v="2025-04-03T11:07:44"/>
    <d v="2025-04-07T00:00:00"/>
    <d v="2025-04-07T00:00:00"/>
    <x v="0"/>
    <n v="2"/>
    <s v="Jay-R Lizardo"/>
    <m/>
  </r>
  <r>
    <x v="153"/>
    <x v="0"/>
    <x v="2"/>
    <s v="CNOW_7210$$$0000021372"/>
    <s v="G000001238"/>
    <s v="G000001238"/>
    <s v="Non-LFF"/>
    <s v=""/>
    <m/>
    <b v="1"/>
    <x v="0"/>
    <x v="2"/>
    <d v="2025-04-03T11:07:44"/>
    <d v="2025-04-07T00:00:00"/>
    <d v="2025-04-07T00:00:00"/>
    <x v="0"/>
    <n v="2"/>
    <s v="Jay-R Lizardo"/>
    <m/>
  </r>
  <r>
    <x v="153"/>
    <x v="0"/>
    <x v="2"/>
    <s v="CLFF_7210$$$2123GIT261"/>
    <s v="G000001239"/>
    <s v="G000001239"/>
    <s v="LFF (MDG-F)"/>
    <s v="2123GIT261"/>
    <s v="Changes were saved for change request 25198192"/>
    <b v="1"/>
    <x v="0"/>
    <x v="2"/>
    <d v="2025-04-03T11:07:44"/>
    <d v="2025-04-07T00:00:00"/>
    <d v="2025-04-07T00:00:00"/>
    <x v="0"/>
    <n v="2"/>
    <s v="Jay-R Lizardo"/>
    <m/>
  </r>
  <r>
    <x v="154"/>
    <x v="0"/>
    <x v="2"/>
    <s v="CSCALA_1025$GEFI GES Finance service"/>
    <s v="G000000189"/>
    <s v="G000000189"/>
    <s v="Non-LFF"/>
    <s v=""/>
    <m/>
    <b v="1"/>
    <x v="0"/>
    <x v="2"/>
    <d v="2025-04-03T16:42:33"/>
    <d v="2025-04-07T00:00:00"/>
    <d v="2025-04-07T00:00:00"/>
    <x v="0"/>
    <n v="2"/>
    <s v="Jojeff Tagnong"/>
    <m/>
  </r>
  <r>
    <x v="154"/>
    <x v="0"/>
    <x v="2"/>
    <s v="CSCALA_1025$GEPO GES PO service"/>
    <s v="G000000711"/>
    <s v="G000000711"/>
    <s v="Non-LFF"/>
    <s v=""/>
    <m/>
    <b v="1"/>
    <x v="0"/>
    <x v="2"/>
    <d v="2025-04-03T16:42:33"/>
    <d v="2025-04-07T00:00:00"/>
    <d v="2025-04-07T00:00:00"/>
    <x v="0"/>
    <n v="2"/>
    <s v="Jojeff Tagnong"/>
    <m/>
  </r>
  <r>
    <x v="155"/>
    <x v="0"/>
    <x v="2"/>
    <s v="CORAERP_MMOR1945.LLCZ "/>
    <s v="L000013188"/>
    <s v="L000013188"/>
    <s v="Non-LFF"/>
    <s v=""/>
    <m/>
    <b v="1"/>
    <x v="2"/>
    <x v="2"/>
    <d v="2025-04-07T12:06:32"/>
    <d v="2025-04-10T00:00:00"/>
    <m/>
    <x v="1"/>
    <n v="184"/>
    <s v="Joan Rose Pena"/>
    <m/>
  </r>
  <r>
    <x v="155"/>
    <x v="0"/>
    <x v="2"/>
    <s v="CSCALA_1759$GRMI"/>
    <s v="L000008965"/>
    <s v="L000008965"/>
    <s v="Non-LFF"/>
    <s v=""/>
    <m/>
    <b v="1"/>
    <x v="2"/>
    <x v="2"/>
    <d v="2025-04-07T12:06:32"/>
    <d v="2025-04-10T00:00:00"/>
    <m/>
    <x v="1"/>
    <n v="184"/>
    <s v="Joan Rose Pena"/>
    <m/>
  </r>
  <r>
    <x v="156"/>
    <x v="0"/>
    <x v="2"/>
    <s v="CSCALA_1022$IEF IEF"/>
    <s v="G000000786"/>
    <s v="G000000786"/>
    <s v="Non-LFF"/>
    <s v=""/>
    <s v="move dad"/>
    <b v="1"/>
    <x v="0"/>
    <x v="2"/>
    <d v="2025-04-07T17:45:30"/>
    <d v="2025-04-11T00:00:00"/>
    <d v="2025-04-11T00:00:00"/>
    <x v="0"/>
    <n v="4"/>
    <s v="Jay-R Lizardo"/>
    <m/>
  </r>
  <r>
    <x v="156"/>
    <x v="0"/>
    <x v="2"/>
    <s v="CSCALA_1022$ITN_T02"/>
    <s v="G000000277"/>
    <s v="G000000277"/>
    <s v="Non-LFF"/>
    <s v=""/>
    <m/>
    <b v="1"/>
    <x v="0"/>
    <x v="2"/>
    <d v="2025-04-07T17:45:30"/>
    <d v="2025-04-10T00:00:00"/>
    <d v="2025-04-11T00:00:00"/>
    <x v="0"/>
    <n v="4"/>
    <s v="Jay-R Lizardo"/>
    <m/>
  </r>
  <r>
    <x v="157"/>
    <x v="0"/>
    <x v="2"/>
    <s v="CLFF_1000$$$DE10566400"/>
    <s v="G000000875"/>
    <s v="G000000875"/>
    <s v="LFF (MDG-F)"/>
    <s v="DE10566400"/>
    <s v="Changes were saved for change request 25207845"/>
    <b v="1"/>
    <x v="0"/>
    <x v="2"/>
    <d v="2025-04-07T20:57:33"/>
    <d v="2025-04-10T00:00:00"/>
    <d v="2025-04-10T00:00:00"/>
    <x v="0"/>
    <n v="3"/>
    <s v="Francesco Ricioppo"/>
    <m/>
  </r>
  <r>
    <x v="157"/>
    <x v="0"/>
    <x v="2"/>
    <s v="CLFF_1000$$$DE10566910"/>
    <s v="G000000875"/>
    <s v="G000000875"/>
    <s v="LFF (MDG-F)"/>
    <s v="DE10566910"/>
    <s v="Changes were saved for change request 25207845"/>
    <b v="1"/>
    <x v="0"/>
    <x v="2"/>
    <d v="2025-04-07T20:57:33"/>
    <m/>
    <d v="2025-04-10T00:00:00"/>
    <x v="0"/>
    <n v="3"/>
    <s v="Francesco Ricioppo"/>
    <m/>
  </r>
  <r>
    <x v="158"/>
    <x v="0"/>
    <x v="2"/>
    <s v="CFLTFLE_2276BX227601 F80  EUS CAO Organization"/>
    <s v="G000000637"/>
    <s v="G000000637"/>
    <s v="Non-LFF"/>
    <s v=""/>
    <m/>
    <b v="1"/>
    <x v="0"/>
    <x v="2"/>
    <d v="2025-04-08T12:39:28"/>
    <d v="2025-04-11T00:00:00"/>
    <d v="2025-04-11T00:00:00"/>
    <x v="0"/>
    <n v="3"/>
    <s v="Jojeff Tagnong"/>
    <m/>
  </r>
  <r>
    <x v="159"/>
    <x v="0"/>
    <x v="0"/>
    <s v="CFLTFLE_22450000002743"/>
    <s v="L000011444"/>
    <s v="L000011444"/>
    <s v="Non-LFF"/>
    <s v=""/>
    <s v="Advise the requestor that we'll resolve the ticket for now and request again once the object has actuals in TM1."/>
    <b v="1"/>
    <x v="2"/>
    <x v="2"/>
    <d v="2025-04-08T12:39:28"/>
    <m/>
    <d v="2025-04-11T00:00:00"/>
    <x v="0"/>
    <n v="3"/>
    <s v="Pilar Laurido"/>
    <e v="#REF!"/>
  </r>
  <r>
    <x v="160"/>
    <x v="0"/>
    <x v="2"/>
    <s v="CFLTFLE_23940000000410 "/>
    <s v="L000007871"/>
    <s v="L000007871"/>
    <s v="Non-LFF"/>
    <s v=""/>
    <m/>
    <b v="1"/>
    <x v="2"/>
    <x v="2"/>
    <d v="2025-04-08T12:39:28"/>
    <m/>
    <m/>
    <x v="1"/>
    <n v="183"/>
    <s v="Ruby Grace Garcia"/>
    <m/>
  </r>
  <r>
    <x v="160"/>
    <x v="0"/>
    <x v="2"/>
    <s v="CFLTFLE_23950000000410"/>
    <s v="L000007871"/>
    <s v="L000007871"/>
    <s v="Non-LFF"/>
    <s v=""/>
    <m/>
    <b v="1"/>
    <x v="2"/>
    <x v="2"/>
    <d v="2025-04-08T12:39:28"/>
    <m/>
    <m/>
    <x v="1"/>
    <n v="183"/>
    <s v="Ruby Grace Garcia"/>
    <m/>
  </r>
  <r>
    <x v="160"/>
    <x v="0"/>
    <x v="2"/>
    <s v="CFLTFLE_23960000000410"/>
    <s v="L000007871"/>
    <s v="L000007871"/>
    <s v="Non-LFF"/>
    <s v=""/>
    <m/>
    <b v="1"/>
    <x v="2"/>
    <x v="2"/>
    <d v="2025-04-08T12:39:28"/>
    <m/>
    <m/>
    <x v="1"/>
    <n v="183"/>
    <s v="Ruby Grace Garcia"/>
    <m/>
  </r>
  <r>
    <x v="161"/>
    <x v="0"/>
    <x v="2"/>
    <s v="CTEMPLA_1000PE10764100"/>
    <s v="G000001160"/>
    <s v="G000001160"/>
    <s v="Non-LFF"/>
    <s v=""/>
    <m/>
    <b v="1"/>
    <x v="0"/>
    <x v="2"/>
    <d v="2025-04-09T09:18:22"/>
    <d v="2025-04-11T00:00:00"/>
    <d v="2025-04-11T00:00:00"/>
    <x v="0"/>
    <n v="2"/>
    <s v="Jojeff Tagnong"/>
    <m/>
  </r>
  <r>
    <x v="162"/>
    <x v="0"/>
    <x v="2"/>
    <s v="CSCALA_1025$COMP COMPLIANCE"/>
    <s v="G000000090 "/>
    <s v="G000000090 "/>
    <s v="Non-LFF"/>
    <s v=""/>
    <m/>
    <b v="1"/>
    <x v="0"/>
    <x v="2"/>
    <d v="2025-04-09T10:52:22"/>
    <d v="2025-04-11T00:00:00"/>
    <d v="2025-04-11T00:00:00"/>
    <x v="0"/>
    <n v="2"/>
    <s v="Jojeff Tagnong"/>
    <m/>
  </r>
  <r>
    <x v="162"/>
    <x v="0"/>
    <x v="2"/>
    <s v="CSCALA_1025$COMP_A60"/>
    <s v="G000000090 "/>
    <s v="G000000090 "/>
    <s v="Non-LFF"/>
    <s v=""/>
    <m/>
    <b v="1"/>
    <x v="0"/>
    <x v="2"/>
    <d v="2025-04-09T10:52:22"/>
    <d v="2025-04-11T00:00:00"/>
    <d v="2025-04-11T00:00:00"/>
    <x v="0"/>
    <n v="2"/>
    <s v="Jojeff Tagnong"/>
    <m/>
  </r>
  <r>
    <x v="163"/>
    <x v="0"/>
    <x v="2"/>
    <s v="CSCALA_1721$FK5"/>
    <s v="G000001160"/>
    <s v="G000001160"/>
    <s v="Non-LFF"/>
    <s v=""/>
    <m/>
    <b v="1"/>
    <x v="0"/>
    <x v="2"/>
    <d v="2025-04-09T10:52:22"/>
    <d v="2025-04-11T00:00:00"/>
    <d v="2025-04-11T00:00:00"/>
    <x v="0"/>
    <n v="2"/>
    <s v="Virginia Passadore"/>
    <m/>
  </r>
  <r>
    <x v="164"/>
    <x v="0"/>
    <x v="2"/>
    <s v="CLFF_7210$$$1919O05003"/>
    <s v="O000000005"/>
    <s v="O000000005"/>
    <s v="LFF (MDG-F)"/>
    <s v="1919O05003"/>
    <m/>
    <b v="1"/>
    <x v="0"/>
    <x v="2"/>
    <d v="2025-04-09T10:52:22"/>
    <d v="2025-04-11T00:00:00"/>
    <d v="2025-04-11T00:00:00"/>
    <x v="0"/>
    <n v="2"/>
    <s v="Emil Eklund"/>
    <m/>
  </r>
  <r>
    <x v="165"/>
    <x v="0"/>
    <x v="2"/>
    <s v="CFLTFLE_23940000000410 "/>
    <s v="L000007871"/>
    <s v="L000007871"/>
    <s v="Non-LFF"/>
    <s v=""/>
    <m/>
    <b v="1"/>
    <x v="2"/>
    <x v="2"/>
    <d v="2025-04-08T12:06:32"/>
    <d v="2025-04-10T00:00:00"/>
    <d v="2025-04-10T00:00:00"/>
    <x v="0"/>
    <n v="2"/>
    <s v="Ruby Grace Garcia"/>
    <m/>
  </r>
  <r>
    <x v="165"/>
    <x v="0"/>
    <x v="2"/>
    <s v="CFLTFLE_23950000000410"/>
    <s v="L000007871"/>
    <s v="L000007871"/>
    <s v="Non-LFF"/>
    <s v=""/>
    <m/>
    <b v="1"/>
    <x v="2"/>
    <x v="2"/>
    <d v="2025-04-08T12:06:32"/>
    <d v="2025-04-10T00:00:00"/>
    <d v="2025-04-10T00:00:00"/>
    <x v="0"/>
    <n v="2"/>
    <s v="Ruby Grace Garcia"/>
    <m/>
  </r>
  <r>
    <x v="165"/>
    <x v="0"/>
    <x v="2"/>
    <s v="CFLTFLE_23960000000410"/>
    <s v="L000007871"/>
    <s v="L000007871"/>
    <s v="Non-LFF"/>
    <s v=""/>
    <m/>
    <b v="1"/>
    <x v="2"/>
    <x v="2"/>
    <d v="2025-04-08T12:06:32"/>
    <d v="2025-04-10T00:00:00"/>
    <d v="2025-04-10T00:00:00"/>
    <x v="0"/>
    <n v="2"/>
    <s v="Ruby Grace Garcia"/>
    <m/>
  </r>
  <r>
    <x v="165"/>
    <x v="0"/>
    <x v="2"/>
    <s v="CFLTFLE_2394000000021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4000000044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5000000021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5000000023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5000000031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5000000042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5000000044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5000000051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5000000053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6000000011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6000000012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6000000017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60000000171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6000000018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6000000022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6000000023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6000000024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6000000025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6000000031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6000000033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6000000034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6000000036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6000000042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6000000043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6000000044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6000000051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6"/>
    <x v="0"/>
    <x v="2"/>
    <s v="CLFF_7210$$$2029C01022"/>
    <s v="L000013521"/>
    <s v="L000013521"/>
    <s v="LFF (MDG-F)"/>
    <s v="2029C01022"/>
    <s v="Changes were saved for change request 25215394"/>
    <b v="1"/>
    <x v="0"/>
    <x v="2"/>
    <d v="2025-04-09T22:59:51"/>
    <d v="2025-04-11T00:00:00"/>
    <d v="2025-04-11T00:00:00"/>
    <x v="0"/>
    <n v="2"/>
    <s v="Guillermo Goni"/>
    <m/>
  </r>
  <r>
    <x v="167"/>
    <x v="0"/>
    <x v="2"/>
    <s v="PLEAN_X310101CN5015526 ERB COM PROM OTH ONC ERB 百度药典"/>
    <s v="H000001421"/>
    <s v="H000001421"/>
    <s v="Non-LFF"/>
    <s v=""/>
    <m/>
    <b v="1"/>
    <x v="1"/>
    <x v="2"/>
    <d v="2025-04-11T08:56:52"/>
    <d v="2025-04-14T00:00:00"/>
    <d v="2025-04-14T00:00:00"/>
    <x v="0"/>
    <n v="1"/>
    <s v="Carlo Umali"/>
    <m/>
  </r>
  <r>
    <x v="168"/>
    <x v="0"/>
    <x v="2"/>
    <s v="CNOW_7210$$$0000056258 LSS Global Ops - CPM"/>
    <s v="L000013779"/>
    <s v="L000013779"/>
    <s v="Non-LFF"/>
    <s v=""/>
    <m/>
    <b v="1"/>
    <x v="2"/>
    <x v="2"/>
    <d v="2025-04-11T08:36:09"/>
    <d v="2025-04-14T00:00:00"/>
    <d v="2025-04-14T00:00:00"/>
    <x v="0"/>
    <n v="1"/>
    <s v="Jayson Martinez"/>
    <m/>
  </r>
  <r>
    <x v="168"/>
    <x v="0"/>
    <x v="2"/>
    <s v="CPHOENX_01010000681601 LSS Global Business Performance"/>
    <s v="L000013183"/>
    <s v="L000013183"/>
    <s v="Non-LFF"/>
    <s v=""/>
    <m/>
    <b v="1"/>
    <x v="2"/>
    <x v="2"/>
    <d v="2025-04-11T08:36:09"/>
    <d v="2025-04-14T00:00:00"/>
    <d v="2025-04-14T00:00:00"/>
    <x v="0"/>
    <n v="1"/>
    <s v="Jayson Martinez"/>
    <m/>
  </r>
  <r>
    <x v="169"/>
    <x v="0"/>
    <x v="2"/>
    <s v="CLFF_1000$$$DE10N12380"/>
    <s v="P000000196"/>
    <s v="P000000196"/>
    <s v="LFF (MDG-F)"/>
    <s v="DE10N12380"/>
    <s v="Changes were saved for change request 25218908"/>
    <b v="1"/>
    <x v="0"/>
    <x v="2"/>
    <d v="2025-04-10T17:14:49"/>
    <d v="2025-04-21T00:00:00"/>
    <d v="2025-04-21T00:00:00"/>
    <x v="1"/>
    <n v="7"/>
    <s v="Gerhard Doeller"/>
    <m/>
  </r>
  <r>
    <x v="169"/>
    <x v="0"/>
    <x v="2"/>
    <s v="CLFF_1000$$$DE10N12340"/>
    <s v="P000000196"/>
    <s v="P000000196"/>
    <s v="LFF (MDG-F)"/>
    <s v="DE10N12340"/>
    <s v="Changes were saved for change request 25218908"/>
    <b v="1"/>
    <x v="0"/>
    <x v="2"/>
    <d v="2025-04-10T17:14:49"/>
    <d v="2025-04-21T00:00:00"/>
    <d v="2025-04-21T00:00:00"/>
    <x v="1"/>
    <n v="7"/>
    <s v="Gerhard Doeller"/>
    <m/>
  </r>
  <r>
    <x v="169"/>
    <x v="0"/>
    <x v="2"/>
    <s v="CLFF_1000$$$DE10N11170"/>
    <s v="P000000198"/>
    <s v="P000000198"/>
    <s v="LFF (MDG-F)"/>
    <s v="DE10N11170"/>
    <s v="Changes were saved for change request 25218908"/>
    <b v="1"/>
    <x v="0"/>
    <x v="2"/>
    <d v="2025-04-10T17:14:49"/>
    <d v="2025-04-21T00:00:00"/>
    <d v="2025-04-21T00:00:00"/>
    <x v="1"/>
    <n v="7"/>
    <s v="Gerhard Doeller"/>
    <m/>
  </r>
  <r>
    <x v="169"/>
    <x v="0"/>
    <x v="2"/>
    <s v="CLFF_1000$$$DE10N11115"/>
    <s v="P000000198"/>
    <s v="P000000198"/>
    <s v="LFF (MDG-F)"/>
    <s v="DE10N11115"/>
    <s v="Changes were saved for change request 25218908"/>
    <b v="1"/>
    <x v="0"/>
    <x v="2"/>
    <d v="2025-04-10T17:14:49"/>
    <d v="2025-04-21T00:00:00"/>
    <d v="2025-04-21T00:00:00"/>
    <x v="1"/>
    <n v="7"/>
    <s v="Gerhard Doeller"/>
    <m/>
  </r>
  <r>
    <x v="169"/>
    <x v="0"/>
    <x v="2"/>
    <s v="CLFF_1000$$$DE10N11181"/>
    <s v="P000000198"/>
    <s v="P000000198"/>
    <s v="LFF (MDG-F)"/>
    <s v="DE10N11181"/>
    <s v="Changes were saved for change request 25218908"/>
    <b v="1"/>
    <x v="0"/>
    <x v="2"/>
    <d v="2025-04-10T17:14:49"/>
    <d v="2025-04-21T00:00:00"/>
    <d v="2025-04-21T00:00:00"/>
    <x v="1"/>
    <n v="7"/>
    <s v="Gerhard Doeller"/>
    <m/>
  </r>
  <r>
    <x v="169"/>
    <x v="0"/>
    <x v="2"/>
    <s v="CLFF_1000$$$DE10N11160"/>
    <s v="P000000198"/>
    <s v="P000000198"/>
    <s v="LFF (MDG-F)"/>
    <s v="DE10N11160"/>
    <s v="Changes were saved for change request 25218908"/>
    <b v="1"/>
    <x v="0"/>
    <x v="2"/>
    <d v="2025-04-10T17:14:49"/>
    <d v="2025-04-21T00:00:00"/>
    <d v="2025-04-21T00:00:00"/>
    <x v="1"/>
    <n v="7"/>
    <s v="Gerhard Doeller"/>
    <m/>
  </r>
  <r>
    <x v="169"/>
    <x v="0"/>
    <x v="2"/>
    <s v="CLFF_1000$$$DE10N11180"/>
    <s v="P000000198"/>
    <s v="P000000198"/>
    <s v="LFF (MDG-F)"/>
    <s v="DE10N11180"/>
    <s v="Changes were saved for change request 25218908"/>
    <b v="1"/>
    <x v="0"/>
    <x v="2"/>
    <d v="2025-04-10T17:14:49"/>
    <d v="2025-04-21T00:00:00"/>
    <d v="2025-04-21T00:00:00"/>
    <x v="1"/>
    <n v="7"/>
    <s v="Gerhard Doeller"/>
    <m/>
  </r>
  <r>
    <x v="169"/>
    <x v="0"/>
    <x v="2"/>
    <s v="CLFF_1000$$$DE10N11131"/>
    <s v="P000000198"/>
    <s v="P000000198"/>
    <s v="LFF (MDG-F)"/>
    <s v="DE10N11131"/>
    <s v="Changes were saved for change request 25218908"/>
    <b v="1"/>
    <x v="0"/>
    <x v="2"/>
    <d v="2025-04-10T17:14:49"/>
    <d v="2025-04-21T00:00:00"/>
    <d v="2025-04-21T00:00:00"/>
    <x v="1"/>
    <n v="7"/>
    <s v="Gerhard Doeller"/>
    <m/>
  </r>
  <r>
    <x v="169"/>
    <x v="0"/>
    <x v="2"/>
    <s v="CLFF_1000$$$DE10N11116"/>
    <s v="P000000198"/>
    <s v="P000000198"/>
    <s v="LFF (MDG-F)"/>
    <s v="DE10N11116"/>
    <s v="Changes were saved for change request 25218908"/>
    <b v="1"/>
    <x v="0"/>
    <x v="2"/>
    <d v="2025-04-10T17:14:49"/>
    <d v="2025-04-21T00:00:00"/>
    <d v="2025-04-21T00:00:00"/>
    <x v="1"/>
    <n v="7"/>
    <s v="Gerhard Doeller"/>
    <m/>
  </r>
  <r>
    <x v="169"/>
    <x v="0"/>
    <x v="2"/>
    <s v="CLFF_1000$$$DE10N12312"/>
    <s v="P000000198"/>
    <s v="P000000198"/>
    <s v="LFF (MDG-F)"/>
    <s v="DE10N12312"/>
    <s v="Changes were saved for change request 25218908"/>
    <b v="1"/>
    <x v="0"/>
    <x v="2"/>
    <d v="2025-04-10T17:14:49"/>
    <d v="2025-04-21T00:00:00"/>
    <d v="2025-04-21T00:00:00"/>
    <x v="1"/>
    <n v="7"/>
    <s v="Gerhard Doeller"/>
    <m/>
  </r>
  <r>
    <x v="169"/>
    <x v="0"/>
    <x v="2"/>
    <s v="CLFF_1000$$$DE10N12313"/>
    <s v="P000000198"/>
    <s v="P000000198"/>
    <s v="LFF (MDG-F)"/>
    <s v="DE10N12313"/>
    <s v="Changes were saved for change request 25218908"/>
    <b v="1"/>
    <x v="0"/>
    <x v="2"/>
    <d v="2025-04-10T17:14:49"/>
    <d v="2025-04-21T00:00:00"/>
    <d v="2025-04-21T00:00:00"/>
    <x v="1"/>
    <n v="7"/>
    <s v="Gerhard Doeller"/>
    <m/>
  </r>
  <r>
    <x v="169"/>
    <x v="0"/>
    <x v="2"/>
    <s v="CLFF_1000$$$DE10N12321"/>
    <s v="P000000197"/>
    <s v="P000000197"/>
    <s v="LFF (MDG-F)"/>
    <s v="DE10N12321"/>
    <s v="Changes were saved for change request 25218908"/>
    <b v="1"/>
    <x v="0"/>
    <x v="2"/>
    <d v="2025-04-10T17:14:49"/>
    <d v="2025-04-21T00:00:00"/>
    <d v="2025-04-21T00:00:00"/>
    <x v="1"/>
    <n v="7"/>
    <s v="Gerhard Doeller"/>
    <m/>
  </r>
  <r>
    <x v="169"/>
    <x v="0"/>
    <x v="2"/>
    <s v="CLFF_1000$$$DE10N12323"/>
    <s v="P000000197"/>
    <s v="P000000197"/>
    <s v="LFF (MDG-F)"/>
    <s v="DE10N12323"/>
    <s v="Changes were saved for change request 25218908"/>
    <b v="1"/>
    <x v="0"/>
    <x v="2"/>
    <d v="2025-04-10T17:14:49"/>
    <d v="2025-04-21T00:00:00"/>
    <d v="2025-04-21T00:00:00"/>
    <x v="1"/>
    <n v="7"/>
    <s v="Gerhard Doeller"/>
    <m/>
  </r>
  <r>
    <x v="169"/>
    <x v="0"/>
    <x v="2"/>
    <s v="CLFF_1000$$$DE10N12395"/>
    <s v="P000000197"/>
    <s v="P000000197"/>
    <s v="LFF (MDG-F)"/>
    <s v="DE10N12395"/>
    <s v="Changes were saved for change request 25218908"/>
    <b v="1"/>
    <x v="0"/>
    <x v="2"/>
    <d v="2025-04-10T17:14:49"/>
    <d v="2025-04-21T00:00:00"/>
    <d v="2025-04-21T00:00:00"/>
    <x v="1"/>
    <n v="7"/>
    <s v="Gerhard Doeller"/>
    <m/>
  </r>
  <r>
    <x v="169"/>
    <x v="0"/>
    <x v="2"/>
    <s v="CLFF_1000$$$DE10N11195"/>
    <s v="P000000197"/>
    <s v="P000000197"/>
    <s v="LFF (MDG-F)"/>
    <s v="DE10N11195"/>
    <s v="Changes were saved for change request 25218908"/>
    <b v="1"/>
    <x v="0"/>
    <x v="2"/>
    <d v="2025-04-10T17:14:49"/>
    <d v="2025-04-21T00:00:00"/>
    <d v="2025-04-21T00:00:00"/>
    <x v="1"/>
    <n v="7"/>
    <s v="Gerhard Doeller"/>
    <m/>
  </r>
  <r>
    <x v="170"/>
    <x v="0"/>
    <x v="2"/>
    <s v="CEMERAL_64010010860845 PS/Formulation"/>
    <s v="L000013183"/>
    <s v="L00001318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EMERAL_64010010860852 GENM - CT &amp; VGT Sales Japan"/>
    <s v="L000013183"/>
    <s v="L00001318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EMERAL_700061019903EQ XXXE2E Marketing"/>
    <s v="L000006960"/>
    <s v="L000006960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EMERAL_70006101MS1105 SAC MRNA Value Chain China"/>
    <s v="L000013183"/>
    <s v="L00001318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EMERAL_70006502961442 Sales Development - A&amp;F Formulation"/>
    <s v="L000013183"/>
    <s v="L00001318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EMERAL_70007001581179 MESI REG PS-FF SALES DEVT END TO END"/>
    <s v="L000013183"/>
    <s v="L00001318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LFF_1000$$$KE50C0FF11 FF - Bio Monitoring"/>
    <s v="L000005617"/>
    <s v="L000005617"/>
    <s v="LFF (MDG-F)"/>
    <s v="KE50C0FF11"/>
    <s v="Changes were saved for change request 25249553"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LFF_1000$$$KE50C0IM11 ISS - Bio Monitoring"/>
    <s v="L000005617"/>
    <s v="L000005617"/>
    <s v="LFF (MDG-F)"/>
    <s v="KE50C0IM11"/>
    <s v="Changes were saved for change request 25249553"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LFF_7210$$$2029C00004 Life Science Services Commercial Netherl"/>
    <s v="L000013183"/>
    <s v="L000013183"/>
    <s v="LFF (MDG-F)"/>
    <s v="2029C00004"/>
    <s v="Changes were saved for change request 25249553"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LFF_7210$$$2031C00005 LSS Marketing Communications"/>
    <s v="L000013183"/>
    <s v="L000013183"/>
    <s v="LFF (MDG-F)"/>
    <s v="2031C00005"/>
    <s v="Changes were saved for change request 25249553"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LFF_7210$$$2034C00012 LSS MarCom"/>
    <s v="L000013183"/>
    <s v="L000013183"/>
    <s v="LFF (MDG-F)"/>
    <s v="2034C00012"/>
    <s v="Changes were saved for change request 25249553"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NOW_7210$$$0000000104 PRODUCT DEVELOPMENT"/>
    <s v="L000009433"/>
    <s v="L00000943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NOW_7210$$$0000000107 ENGINEERING"/>
    <s v="L000009433"/>
    <s v="L00000943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NOW_7210$$$0000000110 EH&amp;S"/>
    <s v="L000009433"/>
    <s v="L00000943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NOW_7210$$$0000000120 ANALYTICAL SERVICES"/>
    <s v="L000009433"/>
    <s v="L00000943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NOW_7210$$$0000000136 El Camino Utilities"/>
    <s v="L000009433"/>
    <s v="L00000943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NOW_7210$$$0000000137 El Camino Building &amp; Depreciation"/>
    <s v="L000009433"/>
    <s v="L00000943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NOW_7210$$$0000000138 MANUFACTURING"/>
    <s v="L000009433"/>
    <s v="L00000943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NOW_7210$$$0000000139 QUALITY CONTROL"/>
    <s v="L000009433"/>
    <s v="L00000943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NOW_7210$$$0000000140 QUALITY ASSURANCE"/>
    <s v="L000009433"/>
    <s v="L00000943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NOW_7210$$$0000000142 MATERIALS"/>
    <s v="L000009433"/>
    <s v="L00000943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NOW_7210$$$0000000143 Idle Capacity-ECR"/>
    <s v="L000009432"/>
    <s v="L000009432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NOW_7210$$$0000000145 Pre-project Costs"/>
    <s v="L000009435"/>
    <s v="L000009435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NOW_7210$$$0000000247 CDMO Acceleration Start Up"/>
    <s v="L000012811"/>
    <s v="L000012811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NOW_7210$$$0000000670 G&amp;A"/>
    <s v="L000009433"/>
    <s v="L00000943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NOW_7210$$$0000020447 LSS Commercial"/>
    <s v="L000013183"/>
    <s v="L00001318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NOW_7210$$$0000269902 LSS Commercial"/>
    <s v="L000013183"/>
    <s v="L00001318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NOW_7210$$$0024069902 LSS Commercial"/>
    <s v="L000013183"/>
    <s v="L00001318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ORAERP_MMOR1917.N3QZ BL N3 Hardware - Merck Life Science UK Limited"/>
    <s v="L000005964"/>
    <s v="L000005964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ORAERP_MMOR1917.N4QZ BL N4 Instrument Services -  Merck Life Science UK Limited"/>
    <s v="L000005964"/>
    <s v="L000005964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ORAERP_MMOR1945.5121 LSS Marketing Communication"/>
    <s v="L000013183"/>
    <s v="L00001318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ORAERP_MMOR1945.5152 5152 LSS Sales Effectiveness"/>
    <s v="L000013354"/>
    <s v="L000013354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ORAERP_MMOR1945.5213 LSS Mktg Com 1975"/>
    <s v="L000013359"/>
    <s v="L000013359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ORAERP_MMOR1945.5963 LSS MarCom"/>
    <s v="L000013358"/>
    <s v="L000013358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ORAERP_MMOR1945.N3IN BL N3 Hardware - IN"/>
    <s v="L000005964"/>
    <s v="L000005964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ORAERP_MMOR1945.N3LC BL N3 Hardware - LC"/>
    <s v="L000005964"/>
    <s v="L000005964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ORAERP_MMOR1945.N4IN BL N4 Instrument Services - IN"/>
    <s v="L000005964"/>
    <s v="L000005964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ORAERP_MMOR1945.N4LC BL N4 Instrument Services - LC"/>
    <s v="L000005964"/>
    <s v="L000005964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ORAERP_MMOR1975.5152 LSS Sales Effectiveness"/>
    <s v="L000013354"/>
    <s v="L000013354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ORAERP_MMOR1975.5213 LSS Mktg Com 1975"/>
    <s v="L000013359"/>
    <s v="L000013359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ORAERP_MMOR1975.5963 LSS MarCom"/>
    <s v="L000011549"/>
    <s v="L000011549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ORAERP_MMOR1975.5971 LSS Commercial 1975"/>
    <s v="L000007073"/>
    <s v="L00000707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PHOENX_01010000645151 LSS Marketing"/>
    <s v="L000013183"/>
    <s v="L00001318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PHOENX_01010000699621 SAC MarCom"/>
    <s v="L000013359"/>
    <s v="L000013359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PHOENX_01010000876691 LSS CTS Sales Promotion"/>
    <s v="L000013359"/>
    <s v="L000013359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PHOENX_01010000876692 LSS BioVV Sales Promotion"/>
    <s v="L000013183"/>
    <s v="L00001318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PHOENX_01010000876693 LSS SAC Sales Promotion"/>
    <s v="L000013183"/>
    <s v="L00001318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L000006956 PSMMOR1945.5078 5078 E2E Strategy &amp;-G"/>
    <s v="L000013358"/>
    <s v="L000013358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L000006957 PSMMOR1945.5078 5078 E2E StrategySP-G"/>
    <s v="L000013358"/>
    <s v="L000013358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OL000009433_I 138 LS-PPN-ON Manufacturing-G (direct input)"/>
    <s v="L000009433"/>
    <s v="L00000943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OL000009435_I Carlsbad commercial expansion 145-G (direct input)"/>
    <s v="L000009435"/>
    <s v="L000009435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OL000012811_I CDMO Acceleration Start-Up-G (direct input)"/>
    <s v="L000012811"/>
    <s v="L000012811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1"/>
    <x v="0"/>
    <x v="2"/>
    <s v="DP000004000000 CU4545TX for Intel Barrier CMP"/>
    <s v="P000001016"/>
    <s v="P000001016"/>
    <s v="Non-LFF"/>
    <s v=""/>
    <m/>
    <b v="1"/>
    <x v="0"/>
    <x v="2"/>
    <d v="2025-04-16T14:40:47"/>
    <d v="2025-04-23T00:00:00"/>
    <d v="2025-04-23T00:00:00"/>
    <x v="0"/>
    <n v="5"/>
    <s v="Eivy Denine Cruz"/>
    <m/>
  </r>
  <r>
    <x v="171"/>
    <x v="0"/>
    <x v="2"/>
    <s v="DP000015000000 DP1298 barrier slurry for Intel"/>
    <s v="P000001016"/>
    <s v="P000001016"/>
    <s v="Non-LFF"/>
    <s v=""/>
    <m/>
    <b v="1"/>
    <x v="0"/>
    <x v="2"/>
    <d v="2025-04-16T14:40:47"/>
    <d v="2025-04-23T00:00:00"/>
    <d v="2025-04-23T00:00:00"/>
    <x v="0"/>
    <n v="5"/>
    <s v="Eivy Denine Cruz"/>
    <m/>
  </r>
  <r>
    <x v="171"/>
    <x v="0"/>
    <x v="2"/>
    <s v="DP000017000000 DP1292 Cu bulk slurry for TSMC"/>
    <s v="P000001016"/>
    <s v="P000001016"/>
    <s v="Non-LFF"/>
    <s v=""/>
    <m/>
    <b v="1"/>
    <x v="0"/>
    <x v="2"/>
    <d v="2025-04-16T14:40:47"/>
    <d v="2025-04-23T00:00:00"/>
    <d v="2025-04-23T00:00:00"/>
    <x v="0"/>
    <n v="5"/>
    <s v="Eivy Denine Cruz"/>
    <m/>
  </r>
  <r>
    <x v="171"/>
    <x v="0"/>
    <x v="2"/>
    <s v="DP000018000000 DP1294 Cu bulk slurry for TSMC A14"/>
    <s v="P000001016"/>
    <s v="P000001016"/>
    <s v="Non-LFF"/>
    <s v=""/>
    <m/>
    <b v="1"/>
    <x v="0"/>
    <x v="2"/>
    <d v="2025-04-16T14:40:47"/>
    <d v="2025-04-23T00:00:00"/>
    <d v="2025-04-23T00:00:00"/>
    <x v="0"/>
    <n v="5"/>
    <s v="Eivy Denine Cruz"/>
    <m/>
  </r>
  <r>
    <x v="171"/>
    <x v="0"/>
    <x v="4"/>
    <s v="DP000009000000 HPD8701/8720 for Intel Adv. Packaging"/>
    <s v="P000001016"/>
    <s v="P000001016"/>
    <s v="Non-LFF"/>
    <s v=""/>
    <m/>
    <b v="1"/>
    <x v="0"/>
    <x v="2"/>
    <d v="2025-04-16T14:40:47"/>
    <m/>
    <d v="2025-04-23T00:00:00"/>
    <x v="0"/>
    <n v="5"/>
    <s v="Eivy Denine Cruz"/>
    <e v="#REF!"/>
  </r>
  <r>
    <x v="171"/>
    <x v="0"/>
    <x v="4"/>
    <s v="DP000011000000 STI2305 CIP (STI3000) for Logic SoN"/>
    <s v="P000001016"/>
    <s v="P000001016"/>
    <s v="Non-LFF"/>
    <s v=""/>
    <m/>
    <b v="1"/>
    <x v="0"/>
    <x v="2"/>
    <d v="2025-04-16T14:40:47"/>
    <m/>
    <d v="2025-04-23T00:00:00"/>
    <x v="0"/>
    <n v="5"/>
    <s v="Eivy Denine Cruz"/>
    <e v="#REF!"/>
  </r>
  <r>
    <x v="171"/>
    <x v="0"/>
    <x v="4"/>
    <s v="DP000013000000 HPD8762 Oxidizer for Micron HBM CMP"/>
    <s v="P000001016"/>
    <s v="P000001016"/>
    <s v="Non-LFF"/>
    <s v=""/>
    <m/>
    <b v="1"/>
    <x v="0"/>
    <x v="2"/>
    <d v="2025-04-16T14:40:47"/>
    <m/>
    <d v="2025-04-23T00:00:00"/>
    <x v="0"/>
    <n v="5"/>
    <s v="Eivy Denine Cruz"/>
    <e v="#REF!"/>
  </r>
  <r>
    <x v="171"/>
    <x v="0"/>
    <x v="4"/>
    <s v="DP000016000000 DP1300 barrier slurry for TSMC"/>
    <s v="P000001016"/>
    <s v="P000001016"/>
    <s v="Non-LFF"/>
    <s v=""/>
    <m/>
    <b v="1"/>
    <x v="0"/>
    <x v="2"/>
    <d v="2025-04-16T14:40:47"/>
    <m/>
    <d v="2025-04-23T00:00:00"/>
    <x v="0"/>
    <n v="5"/>
    <s v="Eivy Denine Cruz"/>
    <e v="#REF!"/>
  </r>
  <r>
    <x v="172"/>
    <x v="0"/>
    <x v="2"/>
    <s v="CLFF_7210$$$2123OF0027 SBS PS Pricing operation"/>
    <s v="G000001338"/>
    <s v="G000001338"/>
    <s v="LFF (MDG-F)"/>
    <s v="2123OF0027"/>
    <s v="Requested last April 16. This request is still within the cut-off and prior K2 transition."/>
    <b v="1"/>
    <x v="0"/>
    <x v="2"/>
    <d v="2025-04-16T14:40:47"/>
    <d v="2025-04-23T00:00:00"/>
    <d v="2025-04-23T00:00:00"/>
    <x v="0"/>
    <n v="5"/>
    <s v="Jojeff Tagnong"/>
    <m/>
  </r>
  <r>
    <x v="173"/>
    <x v="0"/>
    <x v="2"/>
    <s v="CEMERAL_70006302C61901"/>
    <s v="G000000637"/>
    <s v="G000000637"/>
    <s v="Non-LFF"/>
    <s v=""/>
    <m/>
    <b v="1"/>
    <x v="0"/>
    <x v="2"/>
    <d v="2025-04-16T09:58:39"/>
    <d v="2025-04-23T00:00:00"/>
    <d v="2025-04-23T00:00:00"/>
    <x v="0"/>
    <n v="5"/>
    <s v="Jojeff Tagnong"/>
    <m/>
  </r>
  <r>
    <x v="173"/>
    <x v="0"/>
    <x v="2"/>
    <s v="CEMERAL_70006302C85405"/>
    <s v="G000000637"/>
    <s v="G000000637"/>
    <s v="Non-LFF"/>
    <s v=""/>
    <m/>
    <b v="1"/>
    <x v="0"/>
    <x v="2"/>
    <d v="2025-04-16T09:58:39"/>
    <d v="2025-04-23T00:00:00"/>
    <d v="2025-04-23T00:00:00"/>
    <x v="0"/>
    <n v="5"/>
    <s v="Jojeff Tagnong"/>
    <m/>
  </r>
  <r>
    <x v="174"/>
    <x v="0"/>
    <x v="2"/>
    <s v="CEMERAL_70006302991902 HR International"/>
    <s v="G000001164 "/>
    <s v="G000001164 "/>
    <s v="Non-LFF"/>
    <s v=""/>
    <m/>
    <b v="1"/>
    <x v="0"/>
    <x v="2"/>
    <d v="2025-04-15T18:20:43"/>
    <d v="2025-04-23T00:00:00"/>
    <d v="2025-04-23T00:00:00"/>
    <x v="1"/>
    <n v="6"/>
    <s v="Jojeff Tagnong"/>
    <m/>
  </r>
  <r>
    <x v="175"/>
    <x v="0"/>
    <x v="2"/>
    <s v="CSCALA_1025$GEHR"/>
    <s v="G000000199"/>
    <s v="G000000199"/>
    <s v="Non-LFF"/>
    <s v=""/>
    <m/>
    <b v="1"/>
    <x v="0"/>
    <x v="2"/>
    <d v="2025-04-15T14:58:41"/>
    <d v="2025-04-23T00:00:00"/>
    <d v="2025-04-23T00:00:00"/>
    <x v="1"/>
    <n v="6"/>
    <s v="Jojeff Tagnong"/>
    <m/>
  </r>
  <r>
    <x v="176"/>
    <x v="0"/>
    <x v="2"/>
    <s v="ITEMPEU_003300000069 "/>
    <s v="L000006425"/>
    <s v="L000006425"/>
    <s v="Non-LFF"/>
    <s v=""/>
    <m/>
    <b v="1"/>
    <x v="2"/>
    <x v="2"/>
    <d v="2025-04-21T10:40:46"/>
    <d v="2025-04-23T00:00:00"/>
    <d v="2025-04-23T00:00:00"/>
    <x v="0"/>
    <n v="2"/>
    <s v="Joan Rose Pena"/>
    <m/>
  </r>
  <r>
    <x v="176"/>
    <x v="0"/>
    <x v="4"/>
    <s v="CLFF_7210$$$2102TPSZ93 "/>
    <s v="L000013788"/>
    <s v="L000013788"/>
    <s v="LFF (MDG-F)"/>
    <s v="2102TPSZ93"/>
    <s v="Not found in MDGF"/>
    <b v="1"/>
    <x v="2"/>
    <x v="2"/>
    <d v="2025-04-21T10:40:46"/>
    <m/>
    <d v="2025-04-23T00:00:00"/>
    <x v="0"/>
    <n v="2"/>
    <s v="Joan Rose Pena"/>
    <e v="#REF!"/>
  </r>
  <r>
    <x v="176"/>
    <x v="0"/>
    <x v="2"/>
    <s v="IPHOENX_000002414801 "/>
    <s v="L000013065"/>
    <s v="L000013065"/>
    <s v="Non-LFF"/>
    <s v=""/>
    <m/>
    <b v="1"/>
    <x v="2"/>
    <x v="2"/>
    <d v="2025-04-21T10:40:46"/>
    <d v="2025-04-23T00:00:00"/>
    <d v="2025-04-23T00:00:00"/>
    <x v="0"/>
    <n v="2"/>
    <s v="Joan Rose Pena"/>
    <m/>
  </r>
  <r>
    <x v="176"/>
    <x v="0"/>
    <x v="2"/>
    <s v="CORAERP_MMOR1945.SLGJ "/>
    <s v="L000007121"/>
    <s v="L000007121"/>
    <s v="Non-LFF"/>
    <s v=""/>
    <m/>
    <b v="1"/>
    <x v="2"/>
    <x v="2"/>
    <d v="2025-04-21T10:40:46"/>
    <d v="2025-04-23T00:00:00"/>
    <d v="2025-04-23T00:00:00"/>
    <x v="0"/>
    <n v="2"/>
    <s v="Joan Rose Pena"/>
    <m/>
  </r>
  <r>
    <x v="176"/>
    <x v="0"/>
    <x v="2"/>
    <s v="CORAERP_MMOR1975.SLGJ "/>
    <s v="L000007121"/>
    <s v="L000007121"/>
    <s v="Non-LFF"/>
    <s v=""/>
    <m/>
    <b v="1"/>
    <x v="2"/>
    <x v="2"/>
    <d v="2025-04-21T10:40:46"/>
    <d v="2025-04-23T00:00:00"/>
    <d v="2025-04-23T00:00:00"/>
    <x v="0"/>
    <n v="2"/>
    <s v="Joan Rose Pena"/>
    <m/>
  </r>
  <r>
    <x v="176"/>
    <x v="0"/>
    <x v="2"/>
    <s v="CPHOENX_01010000876697 "/>
    <s v="L000013677"/>
    <s v="L000013677"/>
    <s v="Non-LFF"/>
    <s v=""/>
    <m/>
    <b v="1"/>
    <x v="2"/>
    <x v="2"/>
    <d v="2025-04-21T10:40:46"/>
    <d v="2025-04-23T00:00:00"/>
    <d v="2025-04-23T00:00:00"/>
    <x v="0"/>
    <n v="2"/>
    <s v="Joan Rose Pena"/>
    <m/>
  </r>
  <r>
    <x v="176"/>
    <x v="0"/>
    <x v="2"/>
    <s v="CORAERP_MMOR1975.1044 "/>
    <s v="L000009206"/>
    <s v="L000009206"/>
    <s v="Non-LFF"/>
    <s v=""/>
    <m/>
    <b v="1"/>
    <x v="2"/>
    <x v="2"/>
    <d v="2025-04-21T10:40:46"/>
    <d v="2025-04-23T00:00:00"/>
    <d v="2025-04-23T00:00:00"/>
    <x v="0"/>
    <n v="2"/>
    <s v="Joan Rose Pena"/>
    <m/>
  </r>
  <r>
    <x v="176"/>
    <x v="0"/>
    <x v="2"/>
    <s v="CORAERP_MMOR1975.1108 "/>
    <s v="L000009206"/>
    <s v="L000009206"/>
    <s v="Non-LFF"/>
    <s v=""/>
    <m/>
    <b v="1"/>
    <x v="2"/>
    <x v="2"/>
    <d v="2025-04-21T10:40:46"/>
    <d v="2025-04-23T00:00:00"/>
    <d v="2025-04-23T00:00:00"/>
    <x v="0"/>
    <n v="2"/>
    <s v="Joan Rose Pena"/>
    <m/>
  </r>
  <r>
    <x v="176"/>
    <x v="0"/>
    <x v="2"/>
    <s v="CORAERP_MMOR1975.LLCZX "/>
    <s v="L000009206"/>
    <s v="L000009206"/>
    <s v="Non-LFF"/>
    <s v=""/>
    <m/>
    <b v="1"/>
    <x v="2"/>
    <x v="2"/>
    <d v="2025-04-21T10:40:46"/>
    <d v="2025-04-23T00:00:00"/>
    <d v="2025-04-23T00:00:00"/>
    <x v="0"/>
    <n v="2"/>
    <s v="Joan Rose Pena"/>
    <m/>
  </r>
  <r>
    <x v="176"/>
    <x v="0"/>
    <x v="2"/>
    <s v="D30012600000000 Advanced Filtration Technology 0.1um"/>
    <s v="L000006623"/>
    <s v="L000006623"/>
    <s v="Non-LFF"/>
    <s v=""/>
    <m/>
    <b v="1"/>
    <x v="2"/>
    <x v="2"/>
    <d v="2025-04-21T10:40:46"/>
    <d v="2025-04-23T00:00:00"/>
    <d v="2025-04-23T00:00:00"/>
    <x v="0"/>
    <n v="2"/>
    <s v="Joan Rose Pena"/>
    <m/>
  </r>
  <r>
    <x v="177"/>
    <x v="0"/>
    <x v="2"/>
    <s v="CNOW_ROW$$$$0000008720"/>
    <s v="G000000635"/>
    <s v="G000000635"/>
    <s v="Non-LFF"/>
    <s v=""/>
    <m/>
    <b v="1"/>
    <x v="1"/>
    <x v="2"/>
    <d v="2025-04-22T07:24:24"/>
    <d v="2025-04-23T00:00:00"/>
    <d v="2025-04-23T00:00:00"/>
    <x v="0"/>
    <n v="1"/>
    <s v="Yusuke Hasegawa"/>
    <m/>
  </r>
  <r>
    <x v="178"/>
    <x v="0"/>
    <x v="2"/>
    <s v="CLFF_1000$$$AE50R0GR11"/>
    <s v="H000000774"/>
    <s v="H000000774"/>
    <s v="LFF (MDG-F)"/>
    <s v="AE50R0GR11"/>
    <s v="Changes were saved for change request 25256034 "/>
    <b v="1"/>
    <x v="1"/>
    <x v="2"/>
    <d v="2025-04-23T09:09:14"/>
    <d v="2025-04-25T00:00:00"/>
    <d v="2025-04-25T00:00:00"/>
    <x v="0"/>
    <n v="2"/>
    <s v="Erjo Miguel Tagle"/>
    <m/>
  </r>
  <r>
    <x v="178"/>
    <x v="0"/>
    <x v="2"/>
    <s v="CSCALA_1820$Q326_P93"/>
    <s v="H000000773"/>
    <s v="H000000773"/>
    <s v="Non-LFF"/>
    <s v=""/>
    <m/>
    <b v="1"/>
    <x v="1"/>
    <x v="2"/>
    <d v="2025-04-23T09:09:14"/>
    <d v="2025-04-25T00:00:00"/>
    <d v="2025-04-25T00:00:00"/>
    <x v="0"/>
    <n v="2"/>
    <s v="Erjo Miguel Tagle"/>
    <m/>
  </r>
  <r>
    <x v="178"/>
    <x v="0"/>
    <x v="2"/>
    <s v="CSCALA_1820$Q326"/>
    <s v="H000000773"/>
    <s v="H000000773"/>
    <s v="Non-LFF"/>
    <s v=""/>
    <m/>
    <b v="1"/>
    <x v="1"/>
    <x v="2"/>
    <d v="2025-04-23T09:09:14"/>
    <d v="2025-04-25T00:00:00"/>
    <d v="2025-04-25T00:00:00"/>
    <x v="0"/>
    <n v="2"/>
    <s v="Erjo Miguel Tagle"/>
    <m/>
  </r>
  <r>
    <x v="178"/>
    <x v="0"/>
    <x v="2"/>
    <s v="CSCALA_1820$Q326_H99"/>
    <s v="H000000773"/>
    <s v="H000000773"/>
    <s v="Non-LFF"/>
    <s v=""/>
    <m/>
    <b v="1"/>
    <x v="1"/>
    <x v="2"/>
    <d v="2025-04-23T09:09:14"/>
    <d v="2025-04-25T00:00:00"/>
    <d v="2025-04-25T00:00:00"/>
    <x v="0"/>
    <n v="2"/>
    <s v="Erjo Miguel Tagle"/>
    <m/>
  </r>
  <r>
    <x v="179"/>
    <x v="0"/>
    <x v="2"/>
    <s v="CSCALA_1025$GEHR"/>
    <s v="G000000199"/>
    <s v="G000000199"/>
    <s v="Non-LFF"/>
    <s v=""/>
    <s v="Already mapped"/>
    <b v="1"/>
    <x v="0"/>
    <x v="2"/>
    <d v="2025-04-22T15:19:09"/>
    <m/>
    <m/>
    <x v="1"/>
    <n v="173"/>
    <s v="Jojeff Tagnong"/>
    <m/>
  </r>
  <r>
    <x v="179"/>
    <x v="0"/>
    <x v="2"/>
    <s v="CSCALA_1248$GEFI"/>
    <s v="G000000189"/>
    <s v="G000000189"/>
    <s v="Non-LFF"/>
    <s v=""/>
    <m/>
    <b v="1"/>
    <x v="0"/>
    <x v="2"/>
    <d v="2025-04-22T15:19:09"/>
    <d v="2025-04-25T00:00:00"/>
    <d v="2025-04-25T00:00:00"/>
    <x v="0"/>
    <n v="3"/>
    <s v="Jojeff Tagnong"/>
    <m/>
  </r>
  <r>
    <x v="179"/>
    <x v="0"/>
    <x v="2"/>
    <s v="CSCALA_1248$GEPO"/>
    <s v="G000000711"/>
    <s v="G000000711"/>
    <s v="Non-LFF"/>
    <s v=""/>
    <m/>
    <b v="1"/>
    <x v="0"/>
    <x v="2"/>
    <d v="2025-04-22T15:19:09"/>
    <d v="2025-04-25T00:00:00"/>
    <d v="2025-04-25T00:00:00"/>
    <x v="0"/>
    <n v="3"/>
    <s v="Jojeff Tagnong"/>
    <m/>
  </r>
  <r>
    <x v="180"/>
    <x v="0"/>
    <x v="2"/>
    <s v="CPHOENX_01010000652050 LS-SC-DNDF Freight Services"/>
    <s v="L000013693"/>
    <s v="L000013693"/>
    <s v="Non-LFF"/>
    <s v=""/>
    <m/>
    <b v="1"/>
    <x v="2"/>
    <x v="2"/>
    <d v="2025-04-25T08:21:24"/>
    <d v="2025-04-28T00:00:00"/>
    <d v="2025-04-28T00:00:00"/>
    <x v="0"/>
    <n v="1"/>
    <s v="Ruby Grace Garcia"/>
    <m/>
  </r>
  <r>
    <x v="180"/>
    <x v="0"/>
    <x v="2"/>
    <s v="CORAERP_MMOR1945.2477 EMSC Research Plant"/>
    <s v="L000010056"/>
    <s v="L000010056"/>
    <s v="Non-LFF"/>
    <s v=""/>
    <m/>
    <b v="1"/>
    <x v="2"/>
    <x v="2"/>
    <d v="2025-04-25T08:21:24"/>
    <d v="2025-04-28T00:00:00"/>
    <d v="2025-04-28T00:00:00"/>
    <x v="0"/>
    <n v="1"/>
    <s v="Ruby Grace Garcia"/>
    <m/>
  </r>
  <r>
    <x v="180"/>
    <x v="0"/>
    <x v="2"/>
    <s v="CORAERP_MMOR1945.2478 EMSC Applied Plant"/>
    <s v="L000010054"/>
    <s v="L000010054"/>
    <s v="Non-LFF"/>
    <s v=""/>
    <m/>
    <b v="1"/>
    <x v="2"/>
    <x v="2"/>
    <d v="2025-04-25T08:21:24"/>
    <d v="2025-04-28T00:00:00"/>
    <d v="2025-04-28T00:00:00"/>
    <x v="0"/>
    <n v="1"/>
    <s v="Ruby Grace Garcia"/>
    <m/>
  </r>
  <r>
    <x v="180"/>
    <x v="0"/>
    <x v="2"/>
    <s v="CORAERP_MMOR1945.2479 EMSC Process Plant"/>
    <s v="L000010055"/>
    <s v="L000010055"/>
    <s v="Non-LFF"/>
    <s v=""/>
    <m/>
    <b v="1"/>
    <x v="2"/>
    <x v="2"/>
    <d v="2025-04-25T08:21:24"/>
    <d v="2025-04-28T00:00:00"/>
    <d v="2025-04-28T00:00:00"/>
    <x v="0"/>
    <n v="1"/>
    <s v="Ruby Grace Garcia"/>
    <m/>
  </r>
  <r>
    <x v="180"/>
    <x v="0"/>
    <x v="2"/>
    <s v="CORAERP_MMOR1975.2477 EMSC Research Plant"/>
    <s v="L000010056"/>
    <s v="L000010056"/>
    <s v="Non-LFF"/>
    <s v=""/>
    <m/>
    <b v="1"/>
    <x v="2"/>
    <x v="2"/>
    <d v="2025-04-25T08:21:24"/>
    <d v="2025-04-28T00:00:00"/>
    <d v="2025-04-28T00:00:00"/>
    <x v="0"/>
    <n v="1"/>
    <s v="Ruby Grace Garcia"/>
    <m/>
  </r>
  <r>
    <x v="180"/>
    <x v="0"/>
    <x v="2"/>
    <s v="CORAERP_MMOR1975.2478 EMSC Applied Plant"/>
    <s v="L000010054"/>
    <s v="L000010054"/>
    <s v="Non-LFF"/>
    <s v=""/>
    <m/>
    <b v="1"/>
    <x v="2"/>
    <x v="2"/>
    <d v="2025-04-25T08:21:24"/>
    <d v="2025-04-28T00:00:00"/>
    <d v="2025-04-28T00:00:00"/>
    <x v="0"/>
    <n v="1"/>
    <s v="Ruby Grace Garcia"/>
    <m/>
  </r>
  <r>
    <x v="180"/>
    <x v="0"/>
    <x v="2"/>
    <s v="CORAERP_MMOR1975.2479 EMSC Process Plant"/>
    <s v="L000010055"/>
    <s v="L000010055"/>
    <s v="Non-LFF"/>
    <s v=""/>
    <m/>
    <b v="1"/>
    <x v="2"/>
    <x v="2"/>
    <d v="2025-04-25T08:21:24"/>
    <d v="2025-04-28T00:00:00"/>
    <d v="2025-04-28T00:00:00"/>
    <x v="0"/>
    <n v="1"/>
    <s v="Ruby Grace Garcia"/>
    <m/>
  </r>
  <r>
    <x v="181"/>
    <x v="0"/>
    <x v="2"/>
    <s v="CTEMPLA_1000EC10100145"/>
    <s v="G000000712"/>
    <s v="G000000712"/>
    <s v="Non-LFF"/>
    <s v=""/>
    <m/>
    <b v="1"/>
    <x v="0"/>
    <x v="2"/>
    <d v="2025-04-24T14:23:20"/>
    <d v="2025-04-28T00:00:00"/>
    <d v="2025-04-28T00:00:00"/>
    <x v="0"/>
    <n v="2"/>
    <s v="Jojeff Tagnong"/>
    <m/>
  </r>
  <r>
    <x v="182"/>
    <x v="0"/>
    <x v="2"/>
    <s v="CLFF_1000$$$CH65R00020"/>
    <s v="H000000878"/>
    <s v="H000000878"/>
    <s v="LFF (MDG-F)"/>
    <s v="CH65R00020"/>
    <s v="Changes were saved for change request 25267790"/>
    <b v="1"/>
    <x v="1"/>
    <x v="2"/>
    <d v="2025-04-24T09:55:55"/>
    <d v="2025-04-29T00:00:00"/>
    <d v="2025-04-29T00:00:00"/>
    <x v="0"/>
    <n v="3"/>
    <s v="Erjo Miguel Tagle"/>
    <m/>
  </r>
  <r>
    <x v="182"/>
    <x v="0"/>
    <x v="2"/>
    <s v="CLFF_1000$$$CH65R00048"/>
    <s v="H000000878"/>
    <s v="H000000878"/>
    <s v="LFF (MDG-F)"/>
    <s v="CH65R00048"/>
    <s v="Changes were saved for change request 25267790"/>
    <b v="1"/>
    <x v="1"/>
    <x v="2"/>
    <d v="2025-04-24T09:55:55"/>
    <d v="2025-04-29T00:00:00"/>
    <d v="2025-04-29T00:00:00"/>
    <x v="0"/>
    <n v="3"/>
    <s v="Erjo Miguel Tagle"/>
    <m/>
  </r>
  <r>
    <x v="182"/>
    <x v="0"/>
    <x v="2"/>
    <s v="CLFF_1000$$$CH65R00050"/>
    <s v="H000000878"/>
    <s v="H000000878"/>
    <s v="LFF (MDG-F)"/>
    <s v="CH65R00050"/>
    <s v="Changes were saved for change request 25267790"/>
    <b v="1"/>
    <x v="1"/>
    <x v="2"/>
    <d v="2025-04-24T09:55:55"/>
    <d v="2025-04-29T00:00:00"/>
    <d v="2025-04-29T00:00:00"/>
    <x v="0"/>
    <n v="3"/>
    <s v="Erjo Miguel Tagle"/>
    <m/>
  </r>
  <r>
    <x v="182"/>
    <x v="0"/>
    <x v="2"/>
    <s v="CLFF_1000$$$CH65R00052"/>
    <s v="H000000878"/>
    <s v="H000000878"/>
    <s v="LFF (MDG-F)"/>
    <s v="CH65R00052"/>
    <s v="Changes were saved for change request 25267790"/>
    <b v="1"/>
    <x v="1"/>
    <x v="2"/>
    <d v="2025-04-24T09:55:55"/>
    <d v="2025-04-29T00:00:00"/>
    <d v="2025-04-29T00:00:00"/>
    <x v="0"/>
    <n v="3"/>
    <s v="Erjo Miguel Tagle"/>
    <m/>
  </r>
  <r>
    <x v="183"/>
    <x v="0"/>
    <x v="2"/>
    <s v="CSCALA_1248$GEHR"/>
    <s v="G000000199"/>
    <s v="G000000199"/>
    <s v="Non-LFF"/>
    <s v=""/>
    <m/>
    <b v="1"/>
    <x v="0"/>
    <x v="2"/>
    <d v="2025-04-23T16:00:24"/>
    <d v="2025-04-28T00:00:00"/>
    <d v="2025-04-28T00:00:00"/>
    <x v="0"/>
    <n v="3"/>
    <s v="Jojeff Tagnong"/>
    <m/>
  </r>
  <r>
    <x v="184"/>
    <x v="0"/>
    <x v="2"/>
    <s v="CORAERP_MMOR1945.5695"/>
    <s v="L000013779"/>
    <s v="L000013779"/>
    <s v="Non-LFF"/>
    <s v=""/>
    <m/>
    <b v="1"/>
    <x v="2"/>
    <x v="2"/>
    <d v="2025-04-28T16:39:14"/>
    <d v="2025-04-30T00:00:00"/>
    <d v="2025-04-30T00:00:00"/>
    <x v="0"/>
    <n v="2"/>
    <s v="Ruby Grace Garcia"/>
    <m/>
  </r>
  <r>
    <x v="185"/>
    <x v="0"/>
    <x v="2"/>
    <s v="CPRJ-952024016"/>
    <s v="L000011470"/>
    <s v="L000011470"/>
    <s v="Non-LFF"/>
    <s v=""/>
    <m/>
    <b v="1"/>
    <x v="2"/>
    <x v="2"/>
    <d v="2025-04-29T10:09:16"/>
    <d v="2025-05-02T00:00:00"/>
    <d v="2025-05-02T00:00:00"/>
    <x v="0"/>
    <n v="3"/>
    <s v="Joan Rose Pena"/>
    <m/>
  </r>
  <r>
    <x v="185"/>
    <x v="0"/>
    <x v="2"/>
    <s v="CNOW_7210$$$0000052131 "/>
    <s v="L000013315"/>
    <s v="L000013315"/>
    <s v="Non-LFF"/>
    <s v=""/>
    <m/>
    <b v="1"/>
    <x v="2"/>
    <x v="2"/>
    <d v="2025-04-29T10:09:16"/>
    <d v="2025-05-02T00:00:00"/>
    <d v="2025-05-02T00:00:00"/>
    <x v="0"/>
    <n v="3"/>
    <s v="Joan Rose Pena"/>
    <m/>
  </r>
  <r>
    <x v="185"/>
    <x v="0"/>
    <x v="2"/>
    <s v="CNOW_AUS0$$$0000092060 "/>
    <s v="L000008350"/>
    <s v="L000008350"/>
    <s v="Non-LFF"/>
    <s v=""/>
    <m/>
    <b v="1"/>
    <x v="2"/>
    <x v="2"/>
    <d v="2025-04-29T10:09:16"/>
    <d v="2025-05-02T00:00:00"/>
    <d v="2025-05-02T00:00:00"/>
    <x v="0"/>
    <n v="3"/>
    <s v="Joan Rose Pena"/>
    <m/>
  </r>
  <r>
    <x v="185"/>
    <x v="0"/>
    <x v="2"/>
    <s v="CNOW_7210$$$0000001053 "/>
    <s v="L000009941"/>
    <s v="L000009941"/>
    <s v="Non-LFF"/>
    <s v=""/>
    <m/>
    <b v="1"/>
    <x v="2"/>
    <x v="2"/>
    <d v="2025-04-29T10:09:16"/>
    <d v="2025-05-02T00:00:00"/>
    <d v="2025-05-02T00:00:00"/>
    <x v="0"/>
    <n v="3"/>
    <s v="Joan Rose Pena"/>
    <m/>
  </r>
  <r>
    <x v="185"/>
    <x v="0"/>
    <x v="2"/>
    <s v="CNOW_7210$$$0000001153 "/>
    <s v="L000009941"/>
    <s v="L000009941"/>
    <s v="Non-LFF"/>
    <s v=""/>
    <m/>
    <b v="1"/>
    <x v="2"/>
    <x v="2"/>
    <d v="2025-04-29T10:09:16"/>
    <d v="2025-05-02T00:00:00"/>
    <d v="2025-05-02T00:00:00"/>
    <x v="0"/>
    <n v="3"/>
    <s v="Joan Rose Pena"/>
    <m/>
  </r>
  <r>
    <x v="186"/>
    <x v="0"/>
    <x v="2"/>
    <s v="CLFF_1000$$$DE20675106"/>
    <s v="G000000874"/>
    <s v="G000000874"/>
    <s v="LFF (MDG-F)"/>
    <s v="DE20675106"/>
    <s v="Changes were saved for change request 25290612"/>
    <b v="1"/>
    <x v="0"/>
    <x v="2"/>
    <d v="2025-04-29T11:12:40"/>
    <d v="2025-05-02T00:00:00"/>
    <d v="2025-05-02T00:00:00"/>
    <x v="0"/>
    <n v="3"/>
    <s v="Francesco Ricioppo"/>
    <m/>
  </r>
  <r>
    <x v="187"/>
    <x v="0"/>
    <x v="2"/>
    <s v="CSCALA_1042$PMAD SPICE Set up of NewCos"/>
    <s v="P000001201"/>
    <s v="P000001201"/>
    <s v="Non-LFF"/>
    <s v=""/>
    <m/>
    <b v="1"/>
    <x v="0"/>
    <x v="2"/>
    <d v="2025-04-30T08:25:33"/>
    <d v="2025-05-02T00:00:00"/>
    <d v="2025-05-02T00:00:00"/>
    <x v="0"/>
    <n v="2"/>
    <s v="Eivy Denine Cruz"/>
    <m/>
  </r>
  <r>
    <x v="188"/>
    <x v="0"/>
    <x v="2"/>
    <s v="CLFF_1000$$$CN50R03152"/>
    <s v="H000004391"/>
    <s v="H000004391"/>
    <s v="LFF (MDG-F)"/>
    <s v="CN50R03152"/>
    <s v="Changes were saved for change request 25304523"/>
    <b v="1"/>
    <x v="1"/>
    <x v="2"/>
    <d v="2025-05-02T08:57:03"/>
    <d v="2025-05-07T00:00:00"/>
    <d v="2025-05-07T00:00:00"/>
    <x v="0"/>
    <n v="3"/>
    <s v="Carlo Umali"/>
    <m/>
  </r>
  <r>
    <x v="189"/>
    <x v="0"/>
    <x v="0"/>
    <s v="X.310282.CN50.23.303"/>
    <s v="H000004392"/>
    <s v="H000004392"/>
    <s v="Non-LFF"/>
    <s v=""/>
    <s v="Objects are new and no figures yet in TM1."/>
    <b v="1"/>
    <x v="1"/>
    <x v="2"/>
    <d v="2025-05-02T08:54:11"/>
    <m/>
    <d v="2025-05-07T00:00:00"/>
    <x v="0"/>
    <n v="3"/>
    <s v="Carlo Umali"/>
    <e v="#REF!"/>
  </r>
  <r>
    <x v="189"/>
    <x v="0"/>
    <x v="0"/>
    <s v="X.310282.CN50.23.304"/>
    <s v="H000004392"/>
    <s v="H000004392"/>
    <s v="Non-LFF"/>
    <s v=""/>
    <s v="Objects are new and no figures yet in TM1."/>
    <b v="1"/>
    <x v="1"/>
    <x v="2"/>
    <d v="2025-05-02T08:54:11"/>
    <m/>
    <d v="2025-05-07T00:00:00"/>
    <x v="0"/>
    <n v="3"/>
    <s v="Carlo Umali"/>
    <e v="#REF!"/>
  </r>
  <r>
    <x v="189"/>
    <x v="0"/>
    <x v="0"/>
    <s v="X.310282.CN50.20.305"/>
    <s v="H000004392"/>
    <s v="H000004392"/>
    <s v="Non-LFF"/>
    <s v=""/>
    <s v="Objects are new and no figures yet in TM1."/>
    <b v="1"/>
    <x v="1"/>
    <x v="2"/>
    <d v="2025-05-02T08:54:11"/>
    <m/>
    <d v="2025-05-07T00:00:00"/>
    <x v="0"/>
    <n v="3"/>
    <s v="Carlo Umali"/>
    <e v="#REF!"/>
  </r>
  <r>
    <x v="189"/>
    <x v="0"/>
    <x v="0"/>
    <s v="X.310282.CN50.22.306"/>
    <s v="H000004392"/>
    <s v="H000004392"/>
    <s v="Non-LFF"/>
    <s v=""/>
    <s v="Objects are new and no figures yet in TM1."/>
    <b v="1"/>
    <x v="1"/>
    <x v="2"/>
    <d v="2025-05-02T08:54:11"/>
    <m/>
    <d v="2025-05-07T00:00:00"/>
    <x v="0"/>
    <n v="3"/>
    <s v="Carlo Umali"/>
    <e v="#REF!"/>
  </r>
  <r>
    <x v="189"/>
    <x v="0"/>
    <x v="0"/>
    <s v="X.310303.CN50.42.301  "/>
    <s v="H000001509"/>
    <s v="H000001509"/>
    <s v="Non-LFF"/>
    <s v=""/>
    <s v="Objects are new and no figures yet in TM1."/>
    <b v="1"/>
    <x v="1"/>
    <x v="2"/>
    <d v="2025-05-02T08:54:11"/>
    <m/>
    <d v="2025-05-07T00:00:00"/>
    <x v="0"/>
    <n v="3"/>
    <s v="Carlo Umali"/>
    <e v="#REF!"/>
  </r>
  <r>
    <x v="189"/>
    <x v="0"/>
    <x v="0"/>
    <s v="X.310323.CN50.43.301  "/>
    <s v="H000001509"/>
    <s v="H000001509"/>
    <s v="Non-LFF"/>
    <s v=""/>
    <s v="Objects are new and no figures yet in TM1."/>
    <b v="1"/>
    <x v="1"/>
    <x v="2"/>
    <d v="2025-05-02T08:54:11"/>
    <m/>
    <d v="2025-05-07T00:00:00"/>
    <x v="0"/>
    <n v="3"/>
    <s v="Carlo Umali"/>
    <e v="#REF!"/>
  </r>
  <r>
    <x v="189"/>
    <x v="0"/>
    <x v="0"/>
    <s v="X.310283.CN50.43.302  "/>
    <s v="H000004393"/>
    <s v="H000004393"/>
    <s v="Non-LFF"/>
    <s v=""/>
    <s v="Objects are new and no figures yet in TM1."/>
    <b v="1"/>
    <x v="1"/>
    <x v="2"/>
    <d v="2025-05-02T08:54:11"/>
    <m/>
    <d v="2025-05-07T00:00:00"/>
    <x v="0"/>
    <n v="3"/>
    <s v="Carlo Umali"/>
    <e v="#REF!"/>
  </r>
  <r>
    <x v="189"/>
    <x v="0"/>
    <x v="0"/>
    <s v="X.310332.CN50.20.301  "/>
    <s v="H000001505"/>
    <s v="H000001505"/>
    <s v="Non-LFF"/>
    <s v=""/>
    <s v="Objects are new and no figures yet in TM1."/>
    <b v="1"/>
    <x v="1"/>
    <x v="2"/>
    <d v="2025-05-02T08:54:11"/>
    <m/>
    <d v="2025-05-07T00:00:00"/>
    <x v="0"/>
    <n v="3"/>
    <s v="Carlo Umali"/>
    <e v="#REF!"/>
  </r>
  <r>
    <x v="190"/>
    <x v="0"/>
    <x v="2"/>
    <s v="CSCALA_1042$RSCE"/>
    <s v="L000008473"/>
    <s v="L000008473"/>
    <s v="Non-LFF"/>
    <s v=""/>
    <m/>
    <b v="1"/>
    <x v="2"/>
    <x v="2"/>
    <d v="2025-05-02T12:11:12"/>
    <d v="2025-05-13T00:00:00"/>
    <d v="2025-05-13T00:00:00"/>
    <x v="1"/>
    <n v="7"/>
    <s v="Noor Jahan Shahin"/>
    <m/>
  </r>
  <r>
    <x v="191"/>
    <x v="0"/>
    <x v="2"/>
    <s v="CTEMPLA_1000UY10120012"/>
    <s v="G000000339"/>
    <s v="G000000339"/>
    <s v="Non-LFF"/>
    <s v=""/>
    <m/>
    <b v="1"/>
    <x v="0"/>
    <x v="2"/>
    <d v="2025-05-05T10:27:28"/>
    <d v="2025-05-13T00:00:00"/>
    <d v="2025-05-13T00:00:00"/>
    <x v="1"/>
    <n v="6"/>
    <s v="Jay-R Lizardo"/>
    <m/>
  </r>
  <r>
    <x v="191"/>
    <x v="0"/>
    <x v="2"/>
    <s v="CLFF_7210$$$2123GIT02F"/>
    <s v="G000000339"/>
    <s v="G000000339"/>
    <s v="LFF (MDG-F)"/>
    <s v="2123GIT02F"/>
    <s v="Changes were saved for change request 25312406"/>
    <b v="1"/>
    <x v="0"/>
    <x v="2"/>
    <d v="2025-05-05T10:27:28"/>
    <d v="2025-05-13T00:00:00"/>
    <d v="2025-05-13T00:00:00"/>
    <x v="1"/>
    <n v="6"/>
    <s v="Jay-R Lizardo"/>
    <m/>
  </r>
  <r>
    <x v="191"/>
    <x v="0"/>
    <x v="2"/>
    <s v="CLFF_7210$$$2123GIT01F"/>
    <s v="G000000339"/>
    <s v="G000000339"/>
    <s v="LFF (MDG-F)"/>
    <s v="2123GIT01F"/>
    <s v="Changes were saved for change request 25312406"/>
    <b v="1"/>
    <x v="0"/>
    <x v="2"/>
    <d v="2025-05-05T10:27:28"/>
    <d v="2025-05-13T00:00:00"/>
    <d v="2025-05-13T00:00:00"/>
    <x v="1"/>
    <n v="6"/>
    <s v="Jay-R Lizardo"/>
    <m/>
  </r>
  <r>
    <x v="191"/>
    <x v="0"/>
    <x v="2"/>
    <s v="CLFF_VMCA$$$US10GIT01F"/>
    <s v="G000000339"/>
    <s v="G000000339"/>
    <s v="LFF (MDG-F)"/>
    <s v="US10GIT01F"/>
    <s v="Changes were saved for change request 25312406"/>
    <b v="1"/>
    <x v="0"/>
    <x v="2"/>
    <d v="2025-05-05T10:27:28"/>
    <d v="2025-05-13T00:00:00"/>
    <d v="2025-05-13T00:00:00"/>
    <x v="1"/>
    <n v="6"/>
    <s v="Jay-R Lizardo"/>
    <m/>
  </r>
  <r>
    <x v="192"/>
    <x v="0"/>
    <x v="2"/>
    <s v="CNOW_7210$$$0000058205 MY RE COS Expenses"/>
    <s v="L000012908"/>
    <s v="L000012908"/>
    <s v="Non-LFF"/>
    <s v=""/>
    <m/>
    <b v="1"/>
    <x v="2"/>
    <x v="2"/>
    <d v="2025-05-05T10:29:25"/>
    <d v="2025-05-13T00:00:00"/>
    <d v="2025-05-13T00:00:00"/>
    <x v="1"/>
    <n v="6"/>
    <s v="Ruby Grace Garcia"/>
    <m/>
  </r>
  <r>
    <x v="192"/>
    <x v="0"/>
    <x v="2"/>
    <s v="CNOW_7210$$$0000058208 MY SAFC COS Expenses"/>
    <s v="L000012908"/>
    <s v="L000012908"/>
    <s v="Non-LFF"/>
    <s v=""/>
    <m/>
    <b v="1"/>
    <x v="2"/>
    <x v="2"/>
    <d v="2025-05-05T10:29:25"/>
    <d v="2025-05-13T00:00:00"/>
    <d v="2025-05-13T00:00:00"/>
    <x v="1"/>
    <n v="6"/>
    <s v="Ruby Grace Garcia"/>
    <m/>
  </r>
  <r>
    <x v="193"/>
    <x v="0"/>
    <x v="2"/>
    <s v="CPHOENX_01010000652050 LS-SC-DNDF Freight Services"/>
    <s v="L000009975"/>
    <s v="L000009975"/>
    <s v="Non-LFF"/>
    <s v=""/>
    <m/>
    <b v="1"/>
    <x v="2"/>
    <x v="2"/>
    <d v="2025-05-05T10:56:12"/>
    <d v="2025-05-13T00:00:00"/>
    <d v="2025-05-13T00:00:00"/>
    <x v="1"/>
    <n v="6"/>
    <s v="Ruby Grace Garcia"/>
    <m/>
  </r>
  <r>
    <x v="194"/>
    <x v="0"/>
    <x v="2"/>
    <s v="PLEAN_X310512SE5020201 Mavenclad Medical Non R&amp;D SE50 Medical E"/>
    <s v="H000000238"/>
    <s v="H000000238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512SE5022201 Mavenclad Medical Non R&amp;D SE50 Medical C"/>
    <s v="H000000238"/>
    <s v="H000000238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512SE5023201 Mavenclad Medical Non R&amp;D SE50 Other Med"/>
    <s v="H000000238"/>
    <s v="H000000238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1SE5015201 Erbitux Commercial SE50 Other Promo and"/>
    <s v="H000000238"/>
    <s v="H000000238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2SE5020201 Erbitux Medical Non R&amp;D SE50 Medical Edu"/>
    <s v="H000000238"/>
    <s v="H000000238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2SE5022201 Erbitux Medical Non R&amp;D SE50 Medical Con"/>
    <s v="H000000238"/>
    <s v="H000000238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SE5020201 Fertility Medical Non R&amp;D SE50 Medical E"/>
    <s v="H000000238"/>
    <s v="H000000238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SE5022201 Fertility Medical Non R&amp;D SE50 Medical C"/>
    <s v="H000000238"/>
    <s v="H000000238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SE5023201 Fertility Medical Non R&amp;D SE50 Other Med"/>
    <s v="H000000238"/>
    <s v="H000000238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21FI5030201 Cardio Commercial FI50 Other M&amp;S Registr"/>
    <s v="H000000220"/>
    <s v="H000000220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512FI5021201 Mavenclad Medical Non R&amp;D FI50 Medical D"/>
    <s v="H000000220"/>
    <s v="H000000220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512FI5022201 Mavenclad Medical Non R&amp;D FI50 Medical C"/>
    <s v="H000000220"/>
    <s v="H000000220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512FI5023201 Mavenclad Medical Non R&amp;D FI50 Other Med"/>
    <s v="H000000220"/>
    <s v="H000000220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1FI5010201 Erbitux Commercial FI50 Promo Material G"/>
    <s v="H000000220"/>
    <s v="H000000220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1FI5011201 Erbitux Commercial FI50 Advertising Gene"/>
    <s v="H000000220"/>
    <s v="H000000220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1FI5013201 Erbitux Commercial FI50 Congress &amp; Event"/>
    <s v="H000000220"/>
    <s v="H000000220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1FI5015201 Erbitux Commercial FI50 Other Promo and"/>
    <s v="H000000220"/>
    <s v="H000000220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1FI5030201 Erbitux Commercial FI50 Other M&amp;S Regist"/>
    <s v="H000000220"/>
    <s v="H000000220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2FI5020201 Erbitux Medical Non R&amp;D FI50 Medical Edu"/>
    <s v="H000000220"/>
    <s v="H000000220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2FI5023201 Erbitux Medical Non R&amp;D FI50 Other Medic"/>
    <s v="H000000220"/>
    <s v="H000000220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FI5020201 Fertility Medical Non R&amp;D FI50 Medical E"/>
    <s v="H000000220"/>
    <s v="H000000220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FI5023201 Fertility Medical Non R&amp;D FI50 Other Med"/>
    <s v="H000000220"/>
    <s v="H000000220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512DK5020201 Mavenclad Medical Non R&amp;D DK50 Medical E"/>
    <s v="H000000218"/>
    <s v="H000000218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1DK5010201 Erbitux Commercial DK50 Promo Material G"/>
    <s v="H000000218"/>
    <s v="H000000218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1DK5013201 Erbitux Commercial DK50 Congress &amp; Event"/>
    <s v="H000000218"/>
    <s v="H000000218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DK5020201 Fertility Medical Non R&amp;D DK50 Medical E"/>
    <s v="H000000218"/>
    <s v="H000000218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DK5023201 Fertility Medical Non R&amp;D DK50 Other Med"/>
    <s v="H000000218"/>
    <s v="H000000218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512NO5020201 Mavenclad Medical Non R&amp;D NO50 Medical E"/>
    <s v="H000000233"/>
    <s v="H000000233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512NO5022201 Mavenclad Medical Non R&amp;D NO50 Medical C"/>
    <s v="H000000233"/>
    <s v="H000000233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512NO5023201 Mavenclad Medical Non R&amp;D NO50 Other Med"/>
    <s v="H000000233"/>
    <s v="H000000233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ITEMPEU_009000002325 FR40IC1786SE3110250000 FR40399017 NORWAY"/>
    <s v="H000000233"/>
    <s v="H000000233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2NO5023201 Erbitux Medical Non R&amp;D NO50 Other Medic"/>
    <s v="H000000233"/>
    <s v="H000000233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NO5020201 Fertility Medical Non R&amp;D NO50 Medical E"/>
    <s v="H000000233"/>
    <s v="H000000233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NO5022201 Fertility Medical Non R&amp;D NO50 Medical C"/>
    <s v="H000000233"/>
    <s v="H000000233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NO5023201 Fertility Medical Non R&amp;D NO50 Other Med"/>
    <s v="H000000233"/>
    <s v="H000000233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512EE5020201 Mavenclad Medical Non R&amp;D EE50 Medical E"/>
    <s v="H000000219"/>
    <s v="H000000219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512EE5022201 Mavenclad Medical Non R&amp;D EE50 Medical C"/>
    <s v="H000000219"/>
    <s v="H000000219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EE5020201 Fertility Medical Non R&amp;D EE50 Medical E"/>
    <s v="H000000219"/>
    <s v="H000000219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EE5022201 Fertility Medical Non R&amp;D EE50 Medical C"/>
    <s v="H000000219"/>
    <s v="H000000219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EE5023201 Fertility Medical Non R&amp;D EE50 Other Med"/>
    <s v="H000000219"/>
    <s v="H000000219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512LT5020201 Mavenclad Medical Non R&amp;D LT50 Medical E"/>
    <s v="H000000227"/>
    <s v="H00000022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LT5022201 Fertility Medical Non R&amp;D LT50 Medical C"/>
    <s v="H000000227"/>
    <s v="H00000022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21LV5013201 Cardio Commercial LV50 Congress &amp; Events"/>
    <s v="H000000229"/>
    <s v="H000000229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512LV5022201 Mavenclad Medical Non R&amp;D LV50 Medical C"/>
    <s v="H000000229"/>
    <s v="H000000229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LV5020201 Fertility Medical Non R&amp;D LV50 Medical E"/>
    <s v="H000000229"/>
    <s v="H000000229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LV5022201 Fertility Medical Non R&amp;D LV50 Medical C"/>
    <s v="H000000229"/>
    <s v="H000000229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31AT5013200 Tepmetko Sponsorings &amp; events"/>
    <s v="H000000211"/>
    <s v="H000000211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31AT5015200 Tepmetko Promo &amp; advertising"/>
    <s v="H000000211"/>
    <s v="H000000211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21AT5011200 Cardio Advertising"/>
    <s v="H000000211"/>
    <s v="H000000211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21AT5013200 Cardio Congresses &amp; events"/>
    <s v="H000000211"/>
    <s v="H000000211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21AT5015200 Cardio Other promotion and advertising"/>
    <s v="H000000211"/>
    <s v="H000000211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512AT5023200 Mavenclad Other medical activities (non-"/>
    <s v="H000000211"/>
    <s v="H000000211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1AT5013200 Erbitux Sponsorings &amp; events"/>
    <s v="H000000211"/>
    <s v="H000000211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1AT5015200 Erbitux Promo &amp; advertising"/>
    <s v="H000000211"/>
    <s v="H000000211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2AT5023200 Erbitux Medical activities"/>
    <s v="H000000211"/>
    <s v="H000000211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2AT5023201 Erbitux Medical congresses"/>
    <s v="H000000211"/>
    <s v="H000000211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AT5023200 Fertility Other medical activities (non-"/>
    <s v="H000000211"/>
    <s v="H000000211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22AT5020200 Cardio Medical education"/>
    <s v="H000000211"/>
    <s v="H000000211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22AT5022200 Cardio Medical consultants"/>
    <s v="H000000211"/>
    <s v="H000000211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22AT5023200 Cardio Other medical activities (non-R&amp;D"/>
    <s v="H000000211"/>
    <s v="H000000211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31AT5013200 Thyroids Congresses &amp; events"/>
    <s v="H000000211"/>
    <s v="H000000211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31AT5015200 Thyroids Other promotion and advertising"/>
    <s v="H000000211"/>
    <s v="H000000211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32AT5020200 Thyroids Medical education"/>
    <s v="H000000211"/>
    <s v="H000000211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32AT5022200 Thyroids Medical consultants"/>
    <s v="H000000211"/>
    <s v="H000000211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32AT5023200 Thyroids Other medical activities (non-R"/>
    <s v="H000000211"/>
    <s v="H000000211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21CZ5010201 Cardio Commercial CZ50 Promo Material Ge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21CZ5011201 Cardio Commercial CZ50 Advertising Gener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21CZ5013201 Cardio Commercial CZ50 Congress &amp; Events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21CZ5013202 Cardio Commercial CZ50 Congress &amp; Events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21CZ5013205 Cardio Commercial CZ50 Congress &amp; Events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21CZ5015201 Cardio Commercial CZ50 Other Promo and A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21CZ5015205 Cardio Commercial CZ50 Other Promo and A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21CZ5030201 Cardio Commercial CZ50 Other M&amp;S Registr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512CZ5020202 Mavenclad Medical Non R&amp;D CZ50 Medical E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512CZ5020203 Mavenclad Medical Non R&amp;D CZ50 Medical E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512CZ5021201 Mavenclad Medical Non R&amp;D CZ50 Medical D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512CZ5022201 Mavenclad Medical Non R&amp;D CZ50 Medical C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1CZ5010201 Erbitux Commercial CZ50 Promo Material G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1CZ5013202 Erbitux Commercial CZ50 Congress &amp; Event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1CZ5013203 Erbitux Commercial CZ50 Congress &amp; Event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1CZ5013204 Erbitux Commercial CZ50 Congress &amp; Event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1CZ5013205 Erbitux Commercial CZ50 Congress &amp; Event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1CZ5015201 Erbitux Commercial CZ50 Other Promo and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1CZ5015205 Erbitux Commercial CZ50 Other Promo and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1CZ5030201 Erbitux Commercial CZ50 Other M&amp;S Regist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2CZ5020201 Erbitux Medical Non R&amp;D CZ50 Medical Edu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2CZ5020202 Erbitux Medical Non R&amp;D CZ50 Medical Edu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2CZ5020203 Erbitux Medical Non R&amp;D CZ50 Medical Edu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2CZ5020206 Erbitux Medical Non R&amp;D CZ50 Medical Edu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CZ5020202 Fertility Medical Non R&amp;D CZ50 Medical E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CZ5020206 Fertility Medical Non R&amp;D CZ50 Medical E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22CZ5020205 Cardio Medical Non R&amp;D CZ50 Medical Educ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31CZ5011201 Thyro Commercial CZ50 Advertising Genera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31CZ5013201 Thyro Commercial CZ50 Congress &amp; Events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31CZ5013202 Thyro Commercial CZ50 Congress &amp; Events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31CZ5013205 Thyro Commercial CZ50 Congress &amp; Events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31CZ5015201 Thyro Commercial CZ50 Other Promo and Ad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31CZ5015205 Thyro Commercial CZ50 Other Promo and Ad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31CZ5030201 Thyro Commercial CZ50 Other M&amp;S Registra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32CZ5020201 Thyro Medical Non R&amp;D CZ50 Medical Educa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32CZ5020205 Thyro Medical Non R&amp;D CZ50 Medical Educa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5"/>
    <x v="0"/>
    <x v="2"/>
    <s v="CNOW_7210$$$0000051664 "/>
    <s v="G000000145 "/>
    <s v="G000000145 "/>
    <s v="Non-LFF"/>
    <s v=""/>
    <m/>
    <b v="1"/>
    <x v="0"/>
    <x v="2"/>
    <d v="2025-05-06T12:35:04"/>
    <d v="2025-05-13T00:00:00"/>
    <d v="2025-05-13T00:00:00"/>
    <x v="0"/>
    <n v="5"/>
    <s v="Jojeff Tagnong"/>
    <m/>
  </r>
  <r>
    <x v="196"/>
    <x v="0"/>
    <x v="2"/>
    <s v="CFLTFLE_11030000000420 Nymphaea"/>
    <s v="P000000658"/>
    <s v="P000000658"/>
    <s v="Non-LFF"/>
    <s v=""/>
    <m/>
    <b v="1"/>
    <x v="0"/>
    <x v="2"/>
    <d v="2025-05-08T16:53:17"/>
    <d v="2025-05-13T00:00:00"/>
    <d v="2025-05-13T00:00:00"/>
    <x v="0"/>
    <n v="3"/>
    <s v="Eivy Denine Cruz"/>
    <m/>
  </r>
  <r>
    <x v="196"/>
    <x v="0"/>
    <x v="4"/>
    <s v="CLFF_VMCA$$$US20Z01000 Automatic Account Assignment OKB9"/>
    <s v="P000001045"/>
    <s v="P000001045"/>
    <s v="LFF (MDG-F)"/>
    <s v="US20Z01000"/>
    <s v="Not found in MDGF"/>
    <b v="1"/>
    <x v="0"/>
    <x v="2"/>
    <d v="2025-05-08T16:53:17"/>
    <m/>
    <d v="2025-05-13T00:00:00"/>
    <x v="0"/>
    <n v="3"/>
    <s v="Eivy Denine Cruz"/>
    <e v="#REF!"/>
  </r>
  <r>
    <x v="197"/>
    <x v="0"/>
    <x v="2"/>
    <s v="CFLTFLE_1054ITIP1054 IT GOVERNANCE"/>
    <s v="G000000894"/>
    <s v="G000000894"/>
    <s v="Non-LFF"/>
    <s v=""/>
    <m/>
    <b v="1"/>
    <x v="0"/>
    <x v="2"/>
    <d v="2025-05-08T15:41:19"/>
    <d v="2025-05-13T00:00:00"/>
    <d v="2025-05-13T00:00:00"/>
    <x v="0"/>
    <n v="3"/>
    <s v="Jay-R Lizardo"/>
    <m/>
  </r>
  <r>
    <x v="198"/>
    <x v="0"/>
    <x v="2"/>
    <s v="CNOW_7210$$$0000056667"/>
    <s v="G000000631"/>
    <s v="G000000631"/>
    <s v="Non-LFF"/>
    <s v=""/>
    <m/>
    <b v="1"/>
    <x v="0"/>
    <x v="2"/>
    <d v="2025-05-08T14:21:51"/>
    <d v="2025-05-13T00:00:00"/>
    <d v="2025-05-13T00:00:00"/>
    <x v="0"/>
    <n v="3"/>
    <s v="Jojeff Tagnong"/>
    <m/>
  </r>
  <r>
    <x v="199"/>
    <x v="0"/>
    <x v="2"/>
    <s v="PNEXT_CPRJ-138705 GY3 3 Year ICH Stability Study"/>
    <s v="L000013187"/>
    <s v="L000013187"/>
    <s v="Non-LFF"/>
    <s v=""/>
    <s v="CPRJ-13870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138716 GY3 (ONCT-534) Phase 2 cGMP Manufacture"/>
    <s v="L000013187"/>
    <s v="L000013187"/>
    <s v="Non-LFF"/>
    <s v=""/>
    <s v="CPRJ-13870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138717 GY3 (ONCT-534) Phase 2 cGMP Manufacture"/>
    <s v="L000013187"/>
    <s v="L000013187"/>
    <s v="Non-LFF"/>
    <s v=""/>
    <s v="CPRJ-13870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138718 GY3 (ONCT-534) 3KG GMP Batch &amp; Testing"/>
    <s v="L000013187"/>
    <s v="L000013187"/>
    <s v="Non-LFF"/>
    <s v=""/>
    <s v="CPRJ-13870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ON_00011716TTO ER6 Stability Testing Batch"/>
    <s v="L000013187"/>
    <s v="L000013187"/>
    <s v="Non-LFF"/>
    <s v=""/>
    <s v="CPRJ-9820220011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200116 ER6 cGMP Manufacture 140G Batch 1"/>
    <s v="L000013187"/>
    <s v="L000013187"/>
    <s v="Non-LFF"/>
    <s v=""/>
    <s v="CPRJ-9820220011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200117 ER6 cGMP Manufacture 140G Batch 2"/>
    <s v="L000013187"/>
    <s v="L000013187"/>
    <s v="Non-LFF"/>
    <s v=""/>
    <s v="CPRJ-9820220011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200118 ER6 Campaign Summary Report"/>
    <s v="L000013187"/>
    <s v="L000013187"/>
    <s v="Non-LFF"/>
    <s v=""/>
    <s v="CPRJ-9820220011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200120 ER6 Stability Initiation 140G Batch 2"/>
    <s v="L000013187"/>
    <s v="L000013187"/>
    <s v="Non-LFF"/>
    <s v=""/>
    <s v="CPRJ-9820220011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200122 ER6 cGMP Mfg 140G Batch 3(rebill)"/>
    <s v="L000013187"/>
    <s v="L000013187"/>
    <s v="Non-LFF"/>
    <s v=""/>
    <s v="CPRJ-9820220011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200123 FIO analytical testing"/>
    <s v="L000013187"/>
    <s v="L000013187"/>
    <s v="Non-LFF"/>
    <s v=""/>
    <s v="CPRJ-9820220011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200124 FIO analytical testing"/>
    <s v="L000013187"/>
    <s v="L000013187"/>
    <s v="Non-LFF"/>
    <s v=""/>
    <s v="CPRJ-9820220011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200125 FIO analytical testing"/>
    <s v="L000013187"/>
    <s v="L000013187"/>
    <s v="Non-LFF"/>
    <s v=""/>
    <s v="CPRJ-9820220011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200126 Reference standard characterization"/>
    <s v="L000013187"/>
    <s v="L000013187"/>
    <s v="Non-LFF"/>
    <s v=""/>
    <s v="CPRJ-9820220011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200134 ER6 Analytical Testing PO 4300025737"/>
    <s v="L000013187"/>
    <s v="L000013187"/>
    <s v="Non-LFF"/>
    <s v=""/>
    <s v="CPRJ-9820220011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200135 ER6 Delivery of Revised CoA"/>
    <s v="L000013187"/>
    <s v="L000013187"/>
    <s v="Non-LFF"/>
    <s v=""/>
    <s v="CPRJ-9820220011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21 Analytical Summary Qual and Validation"/>
    <s v="L000013187"/>
    <s v="L000013187"/>
    <s v="Non-LFF"/>
    <s v=""/>
    <s v="CPRJ-9820230002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22 Outsource Testing"/>
    <s v="L000013187"/>
    <s v="L000013187"/>
    <s v="Non-LFF"/>
    <s v=""/>
    <s v="CPRJ-9820230002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27 cGMP Manufacture of ML59"/>
    <s v="L000013187"/>
    <s v="L000013187"/>
    <s v="Non-LFF"/>
    <s v=""/>
    <s v="CPRJ-9820230002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28 cGMP Manufacture of ML8"/>
    <s v="L000013187"/>
    <s v="L000013187"/>
    <s v="Non-LFF"/>
    <s v=""/>
    <s v="CPRJ-9820230002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29 Campaign Summary Report"/>
    <s v="L000013187"/>
    <s v="L000013187"/>
    <s v="Non-LFF"/>
    <s v=""/>
    <s v="CPRJ-9820230002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30 Stability Testing batch of ML8"/>
    <s v="L000013187"/>
    <s v="L000013187"/>
    <s v="Non-LFF"/>
    <s v=""/>
    <s v="CPRJ-9820230002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63 HPLC Method Purity Development- Cpd 7"/>
    <s v="L000013187"/>
    <s v="L000013187"/>
    <s v="Non-LFF"/>
    <s v=""/>
    <s v="CPRJ-9820230002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64 GC Method Purity Development- ML59"/>
    <s v="L000013187"/>
    <s v="L000013187"/>
    <s v="Non-LFF"/>
    <s v=""/>
    <s v="CPRJ-9820230002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65 Supplemental Method Validation"/>
    <s v="L000013187"/>
    <s v="L000013187"/>
    <s v="Non-LFF"/>
    <s v=""/>
    <s v="CPRJ-9820230002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67 Short term storage of Alisertib"/>
    <s v="L000013187"/>
    <s v="L000013187"/>
    <s v="Non-LFF"/>
    <s v=""/>
    <s v="CPRJ-9820230002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68 FMEA/DoE Gap Assesment"/>
    <s v="L000013187"/>
    <s v="L000013187"/>
    <s v="Non-LFF"/>
    <s v=""/>
    <s v="CPRJ-9820230002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34 SSP-014 Stability"/>
    <s v="L000013187"/>
    <s v="L000013187"/>
    <s v="Non-LFF"/>
    <s v=""/>
    <s v="CPRJ-9820230003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39 SSP-020 (2024 Batch #1)"/>
    <s v="L000013187"/>
    <s v="L000013187"/>
    <s v="Non-LFF"/>
    <s v=""/>
    <s v="CPRJ-9820230003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40 SSP-021 (2024 Batch #2)"/>
    <s v="L000013187"/>
    <s v="L000013187"/>
    <s v="Non-LFF"/>
    <s v=""/>
    <s v="CPRJ-9820230003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41 SSP-022 (2024 Batch #3) and Report"/>
    <s v="L000013187"/>
    <s v="L000013187"/>
    <s v="Non-LFF"/>
    <s v=""/>
    <s v="CPRJ-9820230003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45 SSP-018 (Phase 4 150g of cGMP SSP)"/>
    <s v="L000013187"/>
    <s v="L000013187"/>
    <s v="Non-LFF"/>
    <s v=""/>
    <s v="CPRJ-9820230003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46 SSP-019 (Phase 5 150g of cGMP SSP)"/>
    <s v="L000013187"/>
    <s v="L000013187"/>
    <s v="Non-LFF"/>
    <s v=""/>
    <s v="CPRJ-9820230003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51 Dedicated general Lab GlasswareEquipment"/>
    <s v="L000013187"/>
    <s v="L000013187"/>
    <s v="Non-LFF"/>
    <s v=""/>
    <s v="CPRJ-9820230003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55 SSP-024 (Replacement batch for SSP-015)"/>
    <s v="L000013187"/>
    <s v="L000013187"/>
    <s v="Non-LFF"/>
    <s v=""/>
    <s v="CPRJ-9820230003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60 SSP Reference Standard Qualification"/>
    <s v="L000013187"/>
    <s v="L000013187"/>
    <s v="Non-LFF"/>
    <s v=""/>
    <s v="CPRJ-9820230003"/>
    <b v="1"/>
    <x v="2"/>
    <x v="2"/>
    <d v="2025-05-12T12:24:34"/>
    <d v="2025-05-14T00:00:00"/>
    <d v="2025-05-14T00:00:00"/>
    <x v="0"/>
    <n v="2"/>
    <s v="Ruby Grace Garcia"/>
    <m/>
  </r>
  <r>
    <x v="200"/>
    <x v="0"/>
    <x v="2"/>
    <s v="ITEMPEU_003300000473 CH71 ACA_ALC-0315 Invest F"/>
    <s v="L000006425"/>
    <s v="L000006425"/>
    <s v="Non-LFF"/>
    <s v=""/>
    <m/>
    <b v="1"/>
    <x v="2"/>
    <x v="2"/>
    <d v="2025-05-12T11:37:08"/>
    <d v="2025-05-13T00:00:00"/>
    <d v="2025-05-13T00:00:00"/>
    <x v="0"/>
    <n v="1"/>
    <s v="Ruby Grace Garcia"/>
    <m/>
  </r>
  <r>
    <x v="200"/>
    <x v="0"/>
    <x v="2"/>
    <s v="ITEMPEU_003300000474 CH71 MBH DOTMA Invest F"/>
    <s v="L000006425"/>
    <s v="L000006425"/>
    <s v="Non-LFF"/>
    <s v=""/>
    <m/>
    <b v="1"/>
    <x v="2"/>
    <x v="2"/>
    <d v="2025-05-12T11:37:08"/>
    <d v="2025-05-13T00:00:00"/>
    <d v="2025-05-13T00:00:00"/>
    <x v="0"/>
    <n v="1"/>
    <s v="Ruby Grace Garcia"/>
    <m/>
  </r>
  <r>
    <x v="200"/>
    <x v="0"/>
    <x v="2"/>
    <s v="ITEMPEU_003300000475 CH71 MBC DOPE Invest F"/>
    <s v="L000006425"/>
    <s v="L000006425"/>
    <s v="Non-LFF"/>
    <s v=""/>
    <m/>
    <b v="1"/>
    <x v="2"/>
    <x v="2"/>
    <d v="2025-05-12T11:37:08"/>
    <d v="2025-05-13T00:00:00"/>
    <d v="2025-05-13T00:00:00"/>
    <x v="0"/>
    <n v="1"/>
    <s v="Ruby Grace Garcia"/>
    <m/>
  </r>
  <r>
    <x v="200"/>
    <x v="0"/>
    <x v="2"/>
    <s v="ITEMPEU_003900000189 CH71 MBQ Nacalai"/>
    <s v="L000011470"/>
    <s v="L000011470"/>
    <s v="Non-LFF"/>
    <s v=""/>
    <m/>
    <b v="1"/>
    <x v="2"/>
    <x v="2"/>
    <d v="2025-05-12T11:37:08"/>
    <d v="2025-05-13T00:00:00"/>
    <d v="2025-05-13T00:00:00"/>
    <x v="0"/>
    <n v="1"/>
    <s v="Ruby Grace Garcia"/>
    <m/>
  </r>
  <r>
    <x v="200"/>
    <x v="0"/>
    <x v="2"/>
    <s v="ITEMPEU_003900000211 CH71 ENA 89Bio"/>
    <s v="L000011470"/>
    <s v="L000011470"/>
    <s v="Non-LFF"/>
    <s v=""/>
    <m/>
    <b v="1"/>
    <x v="2"/>
    <x v="2"/>
    <d v="2025-05-12T11:37:08"/>
    <d v="2025-05-13T00:00:00"/>
    <d v="2025-05-13T00:00:00"/>
    <x v="0"/>
    <n v="1"/>
    <s v="Ruby Grace Garcia"/>
    <m/>
  </r>
  <r>
    <x v="200"/>
    <x v="0"/>
    <x v="2"/>
    <s v="ITEMPEU_003900000216 CH71 CVA Curevac"/>
    <s v="L000011470"/>
    <s v="L000011470"/>
    <s v="Non-LFF"/>
    <s v=""/>
    <m/>
    <b v="1"/>
    <x v="2"/>
    <x v="2"/>
    <d v="2025-05-12T11:37:08"/>
    <d v="2025-05-13T00:00:00"/>
    <d v="2025-05-13T00:00:00"/>
    <x v="0"/>
    <n v="1"/>
    <s v="Ruby Grace Garcia"/>
    <m/>
  </r>
  <r>
    <x v="200"/>
    <x v="0"/>
    <x v="2"/>
    <s v="ITEMPEU_003900000217 CH71 MBM Fu Fang"/>
    <s v="L000011470"/>
    <s v="L000011470"/>
    <s v="Non-LFF"/>
    <s v=""/>
    <m/>
    <b v="1"/>
    <x v="2"/>
    <x v="2"/>
    <d v="2025-05-12T11:37:08"/>
    <d v="2025-05-13T00:00:00"/>
    <d v="2025-05-13T00:00:00"/>
    <x v="0"/>
    <n v="1"/>
    <s v="Ruby Grace Garcia"/>
    <m/>
  </r>
  <r>
    <x v="200"/>
    <x v="0"/>
    <x v="2"/>
    <s v="ITEMPEU_003900000224 CH71  ASM Aerosol-Service"/>
    <s v="L000011470"/>
    <s v="L000011470"/>
    <s v="Non-LFF"/>
    <s v=""/>
    <m/>
    <b v="1"/>
    <x v="2"/>
    <x v="2"/>
    <d v="2025-05-12T11:37:08"/>
    <d v="2025-05-13T00:00:00"/>
    <d v="2025-05-13T00:00:00"/>
    <x v="0"/>
    <n v="1"/>
    <s v="Ruby Grace Garcia"/>
    <m/>
  </r>
  <r>
    <x v="200"/>
    <x v="0"/>
    <x v="2"/>
    <s v="ITEMPEU_003900000226 CH71 DSA Daiichi Sankyo"/>
    <s v="L000011470"/>
    <s v="L000011470"/>
    <s v="Non-LFF"/>
    <s v=""/>
    <m/>
    <b v="1"/>
    <x v="2"/>
    <x v="2"/>
    <d v="2025-05-12T11:37:08"/>
    <d v="2025-05-13T00:00:00"/>
    <d v="2025-05-13T00:00:00"/>
    <x v="0"/>
    <n v="1"/>
    <s v="Ruby Grace Garcia"/>
    <m/>
  </r>
  <r>
    <x v="200"/>
    <x v="0"/>
    <x v="2"/>
    <s v="ITEMPEU_003900000227 CH71 OBB Orbital Therapeutics"/>
    <s v="L000011470"/>
    <s v="L000011470"/>
    <s v="Non-LFF"/>
    <s v=""/>
    <m/>
    <b v="1"/>
    <x v="2"/>
    <x v="2"/>
    <d v="2025-05-12T11:37:08"/>
    <d v="2025-05-13T00:00:00"/>
    <d v="2025-05-13T00:00:00"/>
    <x v="0"/>
    <n v="1"/>
    <s v="Ruby Grace Garcia"/>
    <m/>
  </r>
  <r>
    <x v="200"/>
    <x v="0"/>
    <x v="2"/>
    <s v="ITEMPEU_003900000228 CH71 OBA Orbital Tx"/>
    <s v="L000011470"/>
    <s v="L000011470"/>
    <s v="Non-LFF"/>
    <s v=""/>
    <m/>
    <b v="1"/>
    <x v="2"/>
    <x v="2"/>
    <d v="2025-05-12T11:37:08"/>
    <d v="2025-05-13T00:00:00"/>
    <d v="2025-05-13T00:00:00"/>
    <x v="0"/>
    <n v="1"/>
    <s v="Ruby Grace Garcia"/>
    <m/>
  </r>
  <r>
    <x v="200"/>
    <x v="0"/>
    <x v="2"/>
    <s v="ITEMPEU_003900000229 CH71 MDL Merck_Darmstadt"/>
    <s v="L000011470"/>
    <s v="L000011470"/>
    <s v="Non-LFF"/>
    <s v=""/>
    <m/>
    <b v="1"/>
    <x v="2"/>
    <x v="2"/>
    <d v="2025-05-12T11:37:08"/>
    <d v="2025-05-13T00:00:00"/>
    <d v="2025-05-13T00:00:00"/>
    <x v="0"/>
    <n v="1"/>
    <s v="Ruby Grace Garcia"/>
    <m/>
  </r>
  <r>
    <x v="200"/>
    <x v="0"/>
    <x v="2"/>
    <s v="ITEMPEU_003900000234 CH71  UHA_University_of_Hokkaido"/>
    <s v="L000011470"/>
    <s v="L000011470"/>
    <s v="Non-LFF"/>
    <s v=""/>
    <m/>
    <b v="1"/>
    <x v="2"/>
    <x v="2"/>
    <d v="2025-05-12T11:37:08"/>
    <d v="2025-05-13T00:00:00"/>
    <d v="2025-05-13T00:00:00"/>
    <x v="0"/>
    <n v="1"/>
    <s v="Ruby Grace Garcia"/>
    <m/>
  </r>
  <r>
    <x v="200"/>
    <x v="0"/>
    <x v="2"/>
    <s v="ITEMPEU_003900000235 CH71  PIA_Prime_Medicine_Inc"/>
    <s v="L000011470"/>
    <s v="L000011470"/>
    <s v="Non-LFF"/>
    <s v=""/>
    <m/>
    <b v="1"/>
    <x v="2"/>
    <x v="2"/>
    <d v="2025-05-12T11:37:08"/>
    <d v="2025-05-13T00:00:00"/>
    <d v="2025-05-13T00:00:00"/>
    <x v="0"/>
    <n v="1"/>
    <s v="Ruby Grace Garcia"/>
    <m/>
  </r>
  <r>
    <x v="200"/>
    <x v="0"/>
    <x v="2"/>
    <s v="ITEMPEU_003900000237 CH71 _UAA_University_Health_Network"/>
    <s v="L000011470"/>
    <s v="L000011470"/>
    <s v="Non-LFF"/>
    <s v=""/>
    <m/>
    <b v="1"/>
    <x v="2"/>
    <x v="2"/>
    <d v="2025-05-12T11:37:08"/>
    <d v="2025-05-13T00:00:00"/>
    <d v="2025-05-13T00:00:00"/>
    <x v="0"/>
    <n v="1"/>
    <s v="Ruby Grace Garcia"/>
    <m/>
  </r>
  <r>
    <x v="200"/>
    <x v="0"/>
    <x v="2"/>
    <s v="ITEMPEU_003900000238 CH71 _ACD_Acuitas Therapeutics"/>
    <s v="L000011470"/>
    <s v="L000011470"/>
    <s v="Non-LFF"/>
    <s v=""/>
    <m/>
    <b v="1"/>
    <x v="2"/>
    <x v="2"/>
    <d v="2025-05-12T11:37:08"/>
    <d v="2025-05-13T00:00:00"/>
    <d v="2025-05-13T00:00:00"/>
    <x v="0"/>
    <n v="1"/>
    <s v="Ruby Grace Garcia"/>
    <m/>
  </r>
  <r>
    <x v="200"/>
    <x v="0"/>
    <x v="2"/>
    <s v="ITEMPEU_003900000239 CH71 _ACC Petheon Alc-0366 S Bulk"/>
    <s v="L000011470"/>
    <s v="L000011470"/>
    <s v="Non-LFF"/>
    <s v=""/>
    <m/>
    <b v="1"/>
    <x v="2"/>
    <x v="2"/>
    <d v="2025-05-12T11:37:08"/>
    <d v="2025-05-13T00:00:00"/>
    <d v="2025-05-13T00:00:00"/>
    <x v="0"/>
    <n v="1"/>
    <s v="Ruby Grace Garcia"/>
    <m/>
  </r>
  <r>
    <x v="201"/>
    <x v="0"/>
    <x v="2"/>
    <s v="CSCALA_1042$RSCE"/>
    <s v="L000008473"/>
    <s v="L000008473"/>
    <s v="Non-LFF"/>
    <s v=""/>
    <m/>
    <b v="1"/>
    <x v="2"/>
    <x v="2"/>
    <d v="2025-05-13T03:01:34"/>
    <d v="2025-05-13T00:00:00"/>
    <d v="2025-05-13T00:00:00"/>
    <x v="0"/>
    <n v="0"/>
    <s v="Ruby Grace Garcia"/>
    <m/>
  </r>
  <r>
    <x v="202"/>
    <x v="0"/>
    <x v="2"/>
    <s v="CEMERAL_70006101MS3119 Communications  Executive Proj"/>
    <s v="L000011146"/>
    <s v="L000011146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EMERAL_70006101MS3216 Portfolio Brand"/>
    <s v="L000011332"/>
    <s v="L000011332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EMERAL_70006101STOMKT STO - Strategic market Intelligence"/>
    <s v="L000011344"/>
    <s v="L000011344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EMERAL_70006203991365 LS Business Services India"/>
    <s v="L000012995"/>
    <s v="L000012995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EMERAL_700065020KAIST KAIST - CTO"/>
    <s v="L000013813"/>
    <s v="L000013813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EMERAL_70006502993C17 Social Media Governance"/>
    <s v="L000012434"/>
    <s v="L000012434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EMERAL_70007001581230 MESI REG LS Com Exec Proj"/>
    <s v="L000011146"/>
    <s v="L000011146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LFF_1000$$$DE10OF0003 Tail Spend Management"/>
    <s v="L000011150"/>
    <s v="L000011150"/>
    <s v="LFF (MDG-F)"/>
    <s v="DE10OF0003"/>
    <s v="Changes were saved for change request 25330658"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LFF_7210$$$1756OF0001 Social Media &amp; Digital Communications"/>
    <s v="L000012434"/>
    <s v="L000012434"/>
    <s v="LFF (MDG-F)"/>
    <s v="1756OF0001"/>
    <s v="Changes were saved for change request 25330658"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LFF_7210$$$1756OF0006 Communications Executive Projects"/>
    <s v="L000011146"/>
    <s v="L000011146"/>
    <s v="LFF (MDG-F)"/>
    <s v="1756OF0006"/>
    <s v="Changes were saved for change request 25330658"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LFF_7210$$$1756OF7061 UK WIL Exec Proj"/>
    <s v="L000011148"/>
    <s v="L000011148"/>
    <s v="LFF (MDG-F)"/>
    <s v="1756OF7061"/>
    <s v="Changes were saved for change request 25330658"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LFF_7210$$$1756OF7094 LS Business Svcs UK"/>
    <s v="L000012995"/>
    <s v="L000012995"/>
    <s v="LFF (MDG-F)"/>
    <s v="1756OF7094"/>
    <s v="Changes were saved for change request 25330658"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LFF_7210$$$2148OF0261 LS Creative Svcs CM"/>
    <s v="L000011124"/>
    <s v="L000011124"/>
    <s v="LFF (MDG-F)"/>
    <s v="2148OF0261"/>
    <s v="Changes were saved for change request 25330658"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NOW_7210$$$0000000658 sustainability"/>
    <s v="L000012995"/>
    <s v="L000012995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NOW_7210$$$0000010131 LS Business Services"/>
    <s v="L000012995"/>
    <s v="L000012995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NOW_7210$$$0000010335 LS Global Portfolio Brand Sigma"/>
    <s v="L000011332"/>
    <s v="L000011332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NOW_7210$$$0000010430 LS US Executive Projects"/>
    <s v="L000011146"/>
    <s v="L000011146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NOW_7210$$$0000010432 US WIL HR 2098"/>
    <s v="L000011148"/>
    <s v="L000011148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NOW_7210$$$0000010445 Social Media Governance"/>
    <s v="L000012434"/>
    <s v="L000012434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NOW_7210$$$0000010453 Social Media Governance"/>
    <s v="L000012434"/>
    <s v="L000012434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NOW_7210$$$0000010479 Exec Projects Other Admin STL HUB"/>
    <s v="L000011150"/>
    <s v="L000011150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NOW_7210$$$0000020356 Creative Services"/>
    <s v="L000011124"/>
    <s v="L000011124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NOW_7210$$$0000020414 C-Virus Expenses"/>
    <s v="L000011150"/>
    <s v="L000011150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NOW_7210$$$0000021415 Studio Expansion"/>
    <s v="L000011124"/>
    <s v="L000011124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NOW_7210$$$0000022408 BD BP SLS"/>
    <s v="L000013736"/>
    <s v="L000013736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NOW_7210$$$0000023175 Executive Projects Other M&amp;S"/>
    <s v="L000013107"/>
    <s v="L000013107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NOW_7210$$$0000023467 Portfolio Brand"/>
    <s v="L000011332"/>
    <s v="L000011332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NOW_7210$$$0000040406 C-Virus Expenses"/>
    <s v="L000011150"/>
    <s v="L000011150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NOW_7210$$$0000040407 LS Business Services Milwaukee"/>
    <s v="L000012995"/>
    <s v="L000012995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NOW_7210$$$0000057094 LS Business Services UK"/>
    <s v="L000012995"/>
    <s v="L000012995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NOW_7210$$$0000264020 US WIL HR 5410 BioR"/>
    <s v="L000011148"/>
    <s v="L000011148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NOW_AUS0$$$0000092047 LS TRO - Competitive Intelligence"/>
    <s v="L000011344"/>
    <s v="L000011344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45.5084 Exec Projects Other M&amp;S"/>
    <s v="L000013107"/>
    <s v="L000013107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45.5631 LS Corp Responsibilty"/>
    <s v="L000012995"/>
    <s v="L000012995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45.9415 Corporate Giving"/>
    <s v="L000012995"/>
    <s v="L000012995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45.9541 HR Exec Projects"/>
    <s v="L000011148"/>
    <s v="L000011148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45.9655 Communications Executive Proj"/>
    <s v="L000011146"/>
    <s v="L000011146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45.9797 Studio Expansion"/>
    <s v="L000011124"/>
    <s v="L000011124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5084 Exec Projects Other M&amp;S"/>
    <s v="L000013107"/>
    <s v="L000013107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5611 LS Brand team"/>
    <s v="L000011329"/>
    <s v="L000011329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5631 LS Corp Responsibilty"/>
    <s v="L000012995"/>
    <s v="L000012995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5632 Creative Services Depreciation"/>
    <s v="L000011124"/>
    <s v="L000011124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6042 Business &amp; Competitive Information"/>
    <s v="L000011344"/>
    <s v="L000011344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6726 Exec Projects R&amp;D"/>
    <s v="L000013108"/>
    <s v="L000013108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9415 Corporate Giving"/>
    <s v="L000012995"/>
    <s v="L000012995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9479 LS Global Portfolio Brand US"/>
    <s v="L000011332"/>
    <s v="L000011332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9501 US Burlington HQ CEO Office"/>
    <s v="L000011144"/>
    <s v="L000011144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9509 US WIL HR Exec Proj 1975"/>
    <s v="L000011148"/>
    <s v="L000011148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9517 Employee Engagement"/>
    <s v="L000011144"/>
    <s v="L000011144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9540 Executive Projects other"/>
    <s v="L000011150"/>
    <s v="L000011150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9541 HR Exec Projects"/>
    <s v="L000011148"/>
    <s v="L000011148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9553 C-virus activities"/>
    <s v="L000011150"/>
    <s v="L000011150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9556 LS Strategy"/>
    <s v="L000011344"/>
    <s v="L000011344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9655 Communications Executive Proj"/>
    <s v="L000011146"/>
    <s v="L000011146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9659 Pharma Value Chain"/>
    <s v="L000011336"/>
    <s v="L000011336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9679 LS Creative Services"/>
    <s v="L000011124"/>
    <s v="L000011124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9793 PVC - AI Enabled Drug Discovery"/>
    <s v="L000012431"/>
    <s v="L000012431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9794 PVC - Advanced Cell Culture"/>
    <s v="L000012432"/>
    <s v="L000012432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9795 PVC - Exploration"/>
    <s v="L000011336"/>
    <s v="L000011336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9797 Studio Expansion"/>
    <s v="L000011124"/>
    <s v="L000011124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9871 LS Business Development"/>
    <s v="L000013738"/>
    <s v="L000013738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PHOENX_01010000623501 LS Lab hub Interim solution A60"/>
    <s v="L000011150"/>
    <s v="L000011150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PHOENX_01010000623502 LS interim solution R&amp;D growth"/>
    <s v="L000011150"/>
    <s v="L000011150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PHOENX_01010000630700 LS Global Portfolio Brand - Germany"/>
    <s v="L000011332"/>
    <s v="L000011332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PHOENX_01010000636700 LS Brand Team - Germany"/>
    <s v="L000011329"/>
    <s v="L000011329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PHOENX_01010000636710 Business Development"/>
    <s v="L000013738"/>
    <s v="L000013738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PHOENX_01010000661600 Life Science C4 Exp"/>
    <s v="L000011146"/>
    <s v="L000011146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PHOENX_01010000683000 LS Strategy"/>
    <s v="L000011344"/>
    <s v="L000011344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PHOENX_01010000697500 LS Business Services"/>
    <s v="L000012995"/>
    <s v="L000012995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PHOENX_01010000697550 LS Creative Services"/>
    <s v="L000011124"/>
    <s v="L000011124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PHOENX_01010000697650 LS Strategic Initiatives"/>
    <s v="L000012995"/>
    <s v="L000012995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PHOENX_01010000697760 Studio Expansion"/>
    <s v="L000011124"/>
    <s v="L000011124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PHOENX_01010000697840 HR Execuitive Projects"/>
    <s v="L000011148"/>
    <s v="L000011148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PHOENX_01010000697860 LS R&amp;D Executive Projects"/>
    <s v="L000013108"/>
    <s v="L000013108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PHOENX_01010000697880 LS Executive Projects Other M&amp;S"/>
    <s v="L000013107"/>
    <s v="L000013107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TEMPEU_1000TR10ADK701 Comm Exec Proj"/>
    <s v="L000011146"/>
    <s v="L000011146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TEMPLA_1000BR10110001 Comm Exec Proj"/>
    <s v="L000011146"/>
    <s v="L000011146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4"/>
    <s v="FL000011147_IO Executive Projects Comm-G (IO)"/>
    <s v="L000011146"/>
    <s v="L000011146"/>
    <s v="Non-LFF"/>
    <s v=""/>
    <m/>
    <b v="1"/>
    <x v="2"/>
    <x v="2"/>
    <d v="2025-05-13T03:27:57"/>
    <m/>
    <d v="2025-05-14T00:00:00"/>
    <x v="0"/>
    <n v="1"/>
    <s v="Ruby Grace Garcia"/>
    <e v="#REF!"/>
  </r>
  <r>
    <x v="203"/>
    <x v="0"/>
    <x v="2"/>
    <s v="CLFF_7210$$$2123GM1021 "/>
    <s v="G000001374"/>
    <s v="G000001374"/>
    <s v="LFF (MDG-F)"/>
    <s v="2123GM1021"/>
    <s v="Already mapped"/>
    <b v="1"/>
    <x v="0"/>
    <x v="2"/>
    <d v="2025-05-13T08:39:52"/>
    <d v="2025-05-13T00:00:00"/>
    <d v="2025-05-14T00:00:00"/>
    <x v="0"/>
    <n v="1"/>
    <s v="Jojeff Tagnong"/>
    <m/>
  </r>
  <r>
    <x v="203"/>
    <x v="0"/>
    <x v="2"/>
    <s v="CLFF_7210$$$2123GMB010 "/>
    <s v="G000001183"/>
    <s v="G000001183"/>
    <s v="LFF (MDG-F)"/>
    <s v="2123GMB010"/>
    <s v="Changes were saved for change request 25330845"/>
    <b v="1"/>
    <x v="0"/>
    <x v="2"/>
    <d v="2025-05-13T08:39:52"/>
    <d v="2025-05-14T00:00:00"/>
    <d v="2025-05-14T00:00:00"/>
    <x v="0"/>
    <n v="1"/>
    <s v="Jojeff Tagnong"/>
    <m/>
  </r>
  <r>
    <x v="204"/>
    <x v="0"/>
    <x v="2"/>
    <s v="CLFF_1000$$$KE50C0FF10 FF - Science &amp; Lab Solutions"/>
    <s v="L000008834"/>
    <s v="L000008834"/>
    <s v="LFF (MDG-F)"/>
    <s v="KE50C0FF10"/>
    <s v="Changes were saved for change request 25331260"/>
    <b v="1"/>
    <x v="2"/>
    <x v="2"/>
    <d v="2025-05-13T10:11:48"/>
    <d v="2025-05-14T00:00:00"/>
    <d v="2025-05-14T00:00:00"/>
    <x v="0"/>
    <n v="1"/>
    <s v="Ruby Grace Garcia"/>
    <m/>
  </r>
  <r>
    <x v="205"/>
    <x v="0"/>
    <x v="2"/>
    <s v="CLFF_7210$$$2148TASA01 Production 1-Equipment"/>
    <s v="L000013816"/>
    <s v="L000013816"/>
    <s v="LFF (MDG-F)"/>
    <s v="2148TASA01"/>
    <m/>
    <b v="1"/>
    <x v="2"/>
    <x v="2"/>
    <d v="2025-05-13T10:11:48"/>
    <m/>
    <m/>
    <x v="1"/>
    <n v="158"/>
    <s v="Ruby Grace Garcia"/>
    <m/>
  </r>
  <r>
    <x v="205"/>
    <x v="0"/>
    <x v="2"/>
    <s v="CLFF_7210$$$2148TASA99 Production 1-Direct Labor"/>
    <s v="L000013816"/>
    <s v="L000013816"/>
    <s v="LFF (MDG-F)"/>
    <s v="2148TASA99"/>
    <m/>
    <b v="1"/>
    <x v="2"/>
    <x v="2"/>
    <d v="2025-05-13T10:11:48"/>
    <m/>
    <m/>
    <x v="1"/>
    <n v="158"/>
    <s v="Ruby Grace Garcia"/>
    <m/>
  </r>
  <r>
    <x v="205"/>
    <x v="0"/>
    <x v="2"/>
    <s v="CLFF_7210$$$2148TASB00 Production 2-Main"/>
    <s v="L000013816"/>
    <s v="L000013816"/>
    <s v="LFF (MDG-F)"/>
    <s v="2148TASB00"/>
    <m/>
    <b v="1"/>
    <x v="2"/>
    <x v="2"/>
    <d v="2025-05-13T10:11:48"/>
    <m/>
    <m/>
    <x v="1"/>
    <n v="158"/>
    <s v="Ruby Grace Garcia"/>
    <m/>
  </r>
  <r>
    <x v="205"/>
    <x v="0"/>
    <x v="2"/>
    <s v="CLFF_7210$$$2148TASB01 Production 2-Equipment"/>
    <s v="L000013816"/>
    <s v="L000013816"/>
    <s v="LFF (MDG-F)"/>
    <s v="2148TASB01"/>
    <m/>
    <b v="1"/>
    <x v="2"/>
    <x v="2"/>
    <d v="2025-05-13T10:11:48"/>
    <m/>
    <m/>
    <x v="1"/>
    <n v="158"/>
    <s v="Ruby Grace Garcia"/>
    <m/>
  </r>
  <r>
    <x v="205"/>
    <x v="0"/>
    <x v="2"/>
    <s v="CLFF_7210$$$2148TASB99 Production -Direct Labor"/>
    <s v="L000013816"/>
    <s v="L000013816"/>
    <s v="LFF (MDG-F)"/>
    <s v="2148TASB99"/>
    <m/>
    <b v="1"/>
    <x v="2"/>
    <x v="2"/>
    <d v="2025-05-13T10:11:48"/>
    <m/>
    <m/>
    <x v="1"/>
    <n v="158"/>
    <s v="Ruby Grace Garcia"/>
    <m/>
  </r>
  <r>
    <x v="205"/>
    <x v="0"/>
    <x v="2"/>
    <s v="CLFF_7210$$$2148TBSZ20 Quality Assurance"/>
    <s v="L000013816"/>
    <s v="L000013816"/>
    <s v="LFF (MDG-F)"/>
    <s v="2148TBSZ20"/>
    <m/>
    <b v="1"/>
    <x v="2"/>
    <x v="2"/>
    <d v="2025-05-13T10:11:48"/>
    <m/>
    <m/>
    <x v="1"/>
    <n v="158"/>
    <s v="Ruby Grace Garcia"/>
    <m/>
  </r>
  <r>
    <x v="205"/>
    <x v="0"/>
    <x v="2"/>
    <s v="CLFF_7210$$$2148TBSZ21 Quality Control"/>
    <s v="L000013816"/>
    <s v="L000013816"/>
    <s v="LFF (MDG-F)"/>
    <s v="2148TBSZ21"/>
    <m/>
    <b v="1"/>
    <x v="2"/>
    <x v="2"/>
    <d v="2025-05-13T10:11:48"/>
    <m/>
    <m/>
    <x v="1"/>
    <n v="158"/>
    <s v="Ruby Grace Garcia"/>
    <m/>
  </r>
  <r>
    <x v="205"/>
    <x v="0"/>
    <x v="2"/>
    <s v="CLFF_7210$$$2148TFSZ64 Local Supply Planning &amp; Purchasing"/>
    <s v="L000013816"/>
    <s v="L000013816"/>
    <s v="LFF (MDG-F)"/>
    <s v="2148TFSZ64"/>
    <m/>
    <b v="1"/>
    <x v="2"/>
    <x v="2"/>
    <d v="2025-05-13T10:11:48"/>
    <m/>
    <m/>
    <x v="1"/>
    <n v="158"/>
    <s v="Ruby Grace Garcia"/>
    <m/>
  </r>
  <r>
    <x v="205"/>
    <x v="0"/>
    <x v="2"/>
    <s v="CLFF_7210$$$2148TKSZ70 Overhead Surcharge collector - Cell Marq"/>
    <s v="L000013816"/>
    <s v="L000013816"/>
    <s v="LFF (MDG-F)"/>
    <s v="2148TKSZ70"/>
    <m/>
    <b v="1"/>
    <x v="2"/>
    <x v="2"/>
    <d v="2025-05-13T10:11:48"/>
    <m/>
    <m/>
    <x v="1"/>
    <n v="158"/>
    <s v="Ruby Grace Garcia"/>
    <m/>
  </r>
  <r>
    <x v="205"/>
    <x v="0"/>
    <x v="2"/>
    <s v="CLFF_7210$$$2148TQSZ91 Receiving &amp; Materials Management"/>
    <s v="L000013816"/>
    <s v="L000013816"/>
    <s v="LFF (MDG-F)"/>
    <s v="2148TQSZ91"/>
    <m/>
    <b v="1"/>
    <x v="2"/>
    <x v="2"/>
    <d v="2025-05-13T10:11:48"/>
    <m/>
    <m/>
    <x v="1"/>
    <n v="158"/>
    <s v="Ruby Grace Garcia"/>
    <m/>
  </r>
  <r>
    <x v="205"/>
    <x v="0"/>
    <x v="2"/>
    <s v="CLFF_7210$$$2148TQSZ92 Warehousing &amp; Distribution - Cell Marque"/>
    <s v="L000013816"/>
    <s v="L000013816"/>
    <s v="LFF (MDG-F)"/>
    <s v="2148TQSZ92"/>
    <m/>
    <b v="1"/>
    <x v="2"/>
    <x v="2"/>
    <d v="2025-05-13T10:11:48"/>
    <m/>
    <m/>
    <x v="1"/>
    <n v="158"/>
    <s v="Ruby Grace Garcia"/>
    <m/>
  </r>
  <r>
    <x v="205"/>
    <x v="0"/>
    <x v="2"/>
    <s v="CLFF_7210$$$2148TCSZ30 Maintenance &amp; Engineering"/>
    <s v="L000013816"/>
    <s v="L000013816"/>
    <s v="LFF (MDG-F)"/>
    <s v="2148TCSZ30"/>
    <m/>
    <b v="1"/>
    <x v="2"/>
    <x v="2"/>
    <d v="2025-05-13T10:11:48"/>
    <m/>
    <m/>
    <x v="1"/>
    <n v="158"/>
    <s v="Ruby Grace Garcia"/>
    <m/>
  </r>
  <r>
    <x v="205"/>
    <x v="0"/>
    <x v="2"/>
    <s v="CLFF_7210$$$2148TFSZ60 Production Infrastructure"/>
    <s v="L000013816"/>
    <s v="L000013816"/>
    <s v="LFF (MDG-F)"/>
    <s v="2148TFSZ60"/>
    <m/>
    <b v="1"/>
    <x v="2"/>
    <x v="2"/>
    <d v="2025-05-13T10:11:48"/>
    <m/>
    <m/>
    <x v="1"/>
    <n v="158"/>
    <s v="Ruby Grace Garcia"/>
    <m/>
  </r>
  <r>
    <x v="205"/>
    <x v="0"/>
    <x v="2"/>
    <s v="CLFF_7210$$$2148TFSZ61 Production Infrastrcuture (EHS)"/>
    <s v="L000013816"/>
    <s v="L000013816"/>
    <s v="LFF (MDG-F)"/>
    <s v="2148TFSZ61"/>
    <m/>
    <b v="1"/>
    <x v="2"/>
    <x v="2"/>
    <d v="2025-05-13T10:11:48"/>
    <m/>
    <m/>
    <x v="1"/>
    <n v="158"/>
    <s v="Ruby Grace Garcia"/>
    <m/>
  </r>
  <r>
    <x v="205"/>
    <x v="0"/>
    <x v="2"/>
    <s v="CLFF_7210$$$2148TFSZ62 IVDR Costs Allocated Out"/>
    <s v="L000013816"/>
    <s v="L000013816"/>
    <s v="LFF (MDG-F)"/>
    <s v="2148TFSZ62"/>
    <m/>
    <b v="1"/>
    <x v="2"/>
    <x v="2"/>
    <d v="2025-05-13T10:11:48"/>
    <m/>
    <m/>
    <x v="1"/>
    <n v="158"/>
    <s v="Ruby Grace Garcia"/>
    <m/>
  </r>
  <r>
    <x v="205"/>
    <x v="0"/>
    <x v="2"/>
    <s v="CLFF_7210$$$2148TFSZ63 Site Costs"/>
    <s v="L000013816"/>
    <s v="L000013816"/>
    <s v="LFF (MDG-F)"/>
    <s v="2148TFSZ63"/>
    <m/>
    <b v="1"/>
    <x v="2"/>
    <x v="2"/>
    <d v="2025-05-13T10:11:48"/>
    <m/>
    <m/>
    <x v="1"/>
    <n v="158"/>
    <s v="Ruby Grace Garcia"/>
    <m/>
  </r>
  <r>
    <x v="205"/>
    <x v="0"/>
    <x v="2"/>
    <s v="CLFF_7210$$$2148TASA00"/>
    <s v="L000013816"/>
    <s v="L000013816"/>
    <s v="LFF (MDG-F)"/>
    <s v="2148TASA00"/>
    <m/>
    <b v="1"/>
    <x v="2"/>
    <x v="2"/>
    <d v="2025-05-13T10:11:48"/>
    <m/>
    <m/>
    <x v="1"/>
    <n v="158"/>
    <s v="Ruby Grace Garcia"/>
    <m/>
  </r>
  <r>
    <x v="205"/>
    <x v="0"/>
    <x v="2"/>
    <s v="CLFF_7210$$$2148TASA00 Production 1-Main"/>
    <s v="L000013816"/>
    <s v="L000013816"/>
    <s v="LFF (MDG-F)"/>
    <s v="2148TASA00"/>
    <m/>
    <b v="1"/>
    <x v="2"/>
    <x v="2"/>
    <d v="2025-05-13T10:11:48"/>
    <m/>
    <m/>
    <x v="1"/>
    <n v="158"/>
    <s v="Ruby Grace Garcia"/>
    <m/>
  </r>
  <r>
    <x v="205"/>
    <x v="0"/>
    <x v="2"/>
    <s v="FLFF_7210$$$2148TASA00_IO Production 1-Main (IO)"/>
    <s v="L000013816"/>
    <s v="L000013816"/>
    <s v="LFF (MDG-F)"/>
    <s v="2148TASA00"/>
    <m/>
    <b v="1"/>
    <x v="2"/>
    <x v="2"/>
    <d v="2025-05-13T10:11:48"/>
    <m/>
    <m/>
    <x v="1"/>
    <n v="158"/>
    <s v="Ruby Grace Garcia"/>
    <m/>
  </r>
  <r>
    <x v="205"/>
    <x v="0"/>
    <x v="2"/>
    <s v="CLFF_7210$$$2148TASA00_IO"/>
    <s v="L000013816"/>
    <s v="L000013816"/>
    <s v="LFF (MDG-F)"/>
    <s v="2148TASA00"/>
    <m/>
    <b v="1"/>
    <x v="2"/>
    <x v="2"/>
    <d v="2025-05-13T10:11:48"/>
    <m/>
    <m/>
    <x v="1"/>
    <n v="158"/>
    <s v="Ruby Grace Garcia"/>
    <m/>
  </r>
  <r>
    <x v="206"/>
    <x v="0"/>
    <x v="2"/>
    <s v="CLFF_1000$$$DE04G0IT99 Spice non-transferring assets IT"/>
    <s v="P000001273"/>
    <s v="P000001273"/>
    <s v="LFF (MDG-F)"/>
    <s v="DE04G0IT99"/>
    <s v="Changes were saved for change request 25339736"/>
    <b v="1"/>
    <x v="0"/>
    <x v="2"/>
    <d v="2025-05-13T10:11:48"/>
    <d v="2025-05-19T00:00:00"/>
    <d v="2025-05-19T00:00:00"/>
    <x v="0"/>
    <n v="4"/>
    <s v="Eivy Denine Cruz"/>
    <m/>
  </r>
  <r>
    <x v="206"/>
    <x v="0"/>
    <x v="2"/>
    <s v="CLFF_1000$$$DE04O01001 SPICE non-transferring assets F129"/>
    <s v="P000001273"/>
    <s v="P000001273"/>
    <s v="LFF (MDG-F)"/>
    <s v="DE04O01001"/>
    <s v="Changes were saved for change request 25339736"/>
    <b v="1"/>
    <x v="0"/>
    <x v="2"/>
    <d v="2025-05-13T10:11:48"/>
    <d v="2025-05-19T00:00:00"/>
    <d v="2025-05-19T00:00:00"/>
    <x v="0"/>
    <n v="4"/>
    <s v="Eivy Denine Cruz"/>
    <m/>
  </r>
  <r>
    <x v="206"/>
    <x v="0"/>
    <x v="2"/>
    <s v="CLFF_1000$$$DE04O01002 SPICE non-transferring assets misc"/>
    <s v="P000001273"/>
    <s v="P000001273"/>
    <s v="LFF (MDG-F)"/>
    <s v="DE04O01002"/>
    <s v="Changes were saved for change request 25339736"/>
    <b v="1"/>
    <x v="0"/>
    <x v="2"/>
    <d v="2025-05-13T10:11:48"/>
    <d v="2025-05-19T00:00:00"/>
    <d v="2025-05-19T00:00:00"/>
    <x v="0"/>
    <n v="4"/>
    <s v="Eivy Denine Cruz"/>
    <m/>
  </r>
  <r>
    <x v="206"/>
    <x v="0"/>
    <x v="2"/>
    <s v="CLFF_1000$$$DE04Z03110 SPICE Rebranding"/>
    <s v="P000001268"/>
    <s v="P000001268"/>
    <s v="LFF (MDG-F)"/>
    <s v="DE04Z03110"/>
    <s v="Changes were saved for change request 25339736"/>
    <b v="1"/>
    <x v="0"/>
    <x v="2"/>
    <d v="2025-05-13T10:11:48"/>
    <d v="2025-05-19T00:00:00"/>
    <d v="2025-05-19T00:00:00"/>
    <x v="0"/>
    <n v="4"/>
    <s v="Eivy Denine Cruz"/>
    <m/>
  </r>
  <r>
    <x v="206"/>
    <x v="0"/>
    <x v="2"/>
    <s v="CEMERAL_70007001Z03100 SPICE HR"/>
    <s v="P000001271"/>
    <s v="P000001271"/>
    <s v="Non-LFF"/>
    <s v=""/>
    <m/>
    <b v="1"/>
    <x v="0"/>
    <x v="2"/>
    <d v="2025-05-13T10:11:48"/>
    <d v="2025-05-19T00:00:00"/>
    <d v="2025-05-19T00:00:00"/>
    <x v="0"/>
    <n v="4"/>
    <s v="Eivy Denine Cruz"/>
    <m/>
  </r>
  <r>
    <x v="206"/>
    <x v="0"/>
    <x v="2"/>
    <s v="CFLTFLE_1044PMHR SPICE HR"/>
    <s v="P000001271"/>
    <s v="P000001271"/>
    <s v="Non-LFF"/>
    <s v=""/>
    <m/>
    <b v="1"/>
    <x v="0"/>
    <x v="2"/>
    <d v="2025-05-13T10:11:48"/>
    <d v="2025-05-19T00:00:00"/>
    <d v="2025-05-19T00:00:00"/>
    <x v="0"/>
    <n v="4"/>
    <s v="Eivy Denine Cruz"/>
    <m/>
  </r>
  <r>
    <x v="206"/>
    <x v="0"/>
    <x v="2"/>
    <s v="CLFF_1000$$$CN01Z03105 SPICE HR"/>
    <s v="P000001271"/>
    <s v="P000001271"/>
    <s v="LFF (MDG-F)"/>
    <s v="CN01Z03105"/>
    <s v="Changes were saved for change request 25339736"/>
    <b v="1"/>
    <x v="0"/>
    <x v="2"/>
    <d v="2025-05-13T10:11:48"/>
    <d v="2025-05-19T00:00:00"/>
    <d v="2025-05-19T00:00:00"/>
    <x v="0"/>
    <n v="4"/>
    <s v="Eivy Denine Cruz"/>
    <m/>
  </r>
  <r>
    <x v="206"/>
    <x v="0"/>
    <x v="2"/>
    <s v="CLFF_1000$$$DE04Z03108 SPICE HR"/>
    <s v="P000001271"/>
    <s v="P000001271"/>
    <s v="LFF (MDG-F)"/>
    <s v="DE04Z03108"/>
    <s v="Changes were saved for change request 25339736"/>
    <b v="1"/>
    <x v="0"/>
    <x v="2"/>
    <d v="2025-05-13T10:11:48"/>
    <d v="2025-05-19T00:00:00"/>
    <d v="2025-05-19T00:00:00"/>
    <x v="0"/>
    <n v="4"/>
    <s v="Eivy Denine Cruz"/>
    <m/>
  </r>
  <r>
    <x v="206"/>
    <x v="0"/>
    <x v="2"/>
    <s v="CLFF_1000$$$DE10Z03113 SPICE HR"/>
    <s v="P000001271"/>
    <s v="P000001271"/>
    <s v="LFF (MDG-F)"/>
    <s v="DE10Z03113"/>
    <s v="Changes were saved for change request 25339736"/>
    <b v="1"/>
    <x v="0"/>
    <x v="2"/>
    <d v="2025-05-13T10:11:48"/>
    <d v="2025-05-19T00:00:00"/>
    <d v="2025-05-19T00:00:00"/>
    <x v="0"/>
    <n v="4"/>
    <s v="Eivy Denine Cruz"/>
    <m/>
  </r>
  <r>
    <x v="206"/>
    <x v="0"/>
    <x v="2"/>
    <s v="CLFF_1000$$$IN01Z03101 SPICE HR"/>
    <s v="P000001271"/>
    <s v="P000001271"/>
    <s v="LFF (MDG-F)"/>
    <s v="IN01Z03101"/>
    <s v="Changes were saved for change request 25339736"/>
    <b v="1"/>
    <x v="0"/>
    <x v="2"/>
    <d v="2025-05-13T10:11:48"/>
    <d v="2025-05-19T00:00:00"/>
    <d v="2025-05-19T00:00:00"/>
    <x v="0"/>
    <n v="4"/>
    <s v="Eivy Denine Cruz"/>
    <m/>
  </r>
  <r>
    <x v="206"/>
    <x v="0"/>
    <x v="2"/>
    <s v="CLFF_1000$$$JP01Z03103 SPICE HR"/>
    <s v="P000001271"/>
    <s v="P000001271"/>
    <s v="LFF (MDG-F)"/>
    <s v="JP01Z03103"/>
    <s v="Changes were saved for change request 25339736"/>
    <b v="1"/>
    <x v="0"/>
    <x v="2"/>
    <d v="2025-05-13T10:11:48"/>
    <d v="2025-05-19T00:00:00"/>
    <d v="2025-05-19T00:00:00"/>
    <x v="0"/>
    <n v="4"/>
    <s v="Eivy Denine Cruz"/>
    <m/>
  </r>
  <r>
    <x v="206"/>
    <x v="0"/>
    <x v="2"/>
    <s v="CLFF_1000$$$US01Z03107 SPICE HR"/>
    <s v="P000001271"/>
    <s v="P000001271"/>
    <s v="LFF (MDG-F)"/>
    <s v="US01Z03107"/>
    <s v="Changes were saved for change request 25339736"/>
    <b v="1"/>
    <x v="0"/>
    <x v="2"/>
    <d v="2025-05-13T10:11:48"/>
    <d v="2025-05-19T00:00:00"/>
    <d v="2025-05-19T00:00:00"/>
    <x v="0"/>
    <n v="4"/>
    <s v="Eivy Denine Cruz"/>
    <m/>
  </r>
  <r>
    <x v="206"/>
    <x v="0"/>
    <x v="2"/>
    <s v="CLFF_KR00$$$KR03Z03104 SPICE HR"/>
    <s v="P000001271"/>
    <s v="P000001271"/>
    <s v="LFF (MDG-F)"/>
    <s v="KR03Z03104"/>
    <s v="Changes were saved for change request 25339737"/>
    <b v="1"/>
    <x v="0"/>
    <x v="2"/>
    <d v="2025-05-13T10:11:48"/>
    <d v="2025-05-19T00:00:00"/>
    <d v="2025-05-19T00:00:00"/>
    <x v="0"/>
    <n v="4"/>
    <s v="Eivy Denine Cruz"/>
    <m/>
  </r>
  <r>
    <x v="206"/>
    <x v="0"/>
    <x v="2"/>
    <s v="CLFF_VMCA$$$US10Z03102 SPICE HR"/>
    <s v="P000001271"/>
    <s v="P000001271"/>
    <s v="LFF (MDG-F)"/>
    <s v="US10Z03102"/>
    <s v="Changes were saved for change request 25339736"/>
    <b v="1"/>
    <x v="0"/>
    <x v="2"/>
    <d v="2025-05-13T10:11:48"/>
    <d v="2025-05-19T00:00:00"/>
    <d v="2025-05-19T00:00:00"/>
    <x v="0"/>
    <n v="4"/>
    <s v="Eivy Denine Cruz"/>
    <m/>
  </r>
  <r>
    <x v="206"/>
    <x v="0"/>
    <x v="2"/>
    <s v="CPHOENX_01019182003100 SPICE HR"/>
    <s v="P000001271"/>
    <s v="P000001271"/>
    <s v="Non-LFF"/>
    <s v=""/>
    <m/>
    <b v="1"/>
    <x v="0"/>
    <x v="2"/>
    <d v="2025-05-13T10:11:48"/>
    <d v="2025-05-19T00:00:00"/>
    <d v="2025-05-19T00:00:00"/>
    <x v="0"/>
    <n v="4"/>
    <s v="Eivy Denine Cruz"/>
    <m/>
  </r>
  <r>
    <x v="206"/>
    <x v="0"/>
    <x v="2"/>
    <s v="CSCALA_1042$PMHR SPICE HR"/>
    <s v="P000001271"/>
    <s v="P000001271"/>
    <s v="Non-LFF"/>
    <s v=""/>
    <m/>
    <b v="1"/>
    <x v="0"/>
    <x v="2"/>
    <d v="2025-05-13T10:11:48"/>
    <d v="2025-05-19T00:00:00"/>
    <d v="2025-05-19T00:00:00"/>
    <x v="0"/>
    <n v="4"/>
    <s v="Eivy Denine Cruz"/>
    <m/>
  </r>
  <r>
    <x v="206"/>
    <x v="0"/>
    <x v="2"/>
    <s v="CTEMPEU_1000BE40Z03001 SPICE HR"/>
    <s v="P000001271"/>
    <s v="P000001271"/>
    <s v="Non-LFF"/>
    <s v=""/>
    <m/>
    <b v="1"/>
    <x v="0"/>
    <x v="2"/>
    <d v="2025-05-13T10:11:48"/>
    <d v="2025-05-19T00:00:00"/>
    <d v="2025-05-19T00:00:00"/>
    <x v="0"/>
    <n v="4"/>
    <s v="Eivy Denine Cruz"/>
    <m/>
  </r>
  <r>
    <x v="206"/>
    <x v="0"/>
    <x v="2"/>
    <s v="CTEMPEU_1000ES40Z03100 SPICE HR"/>
    <s v="P000001271"/>
    <s v="P000001271"/>
    <s v="Non-LFF"/>
    <s v=""/>
    <m/>
    <b v="1"/>
    <x v="0"/>
    <x v="2"/>
    <d v="2025-05-13T10:11:48"/>
    <d v="2025-05-19T00:00:00"/>
    <d v="2025-05-19T00:00:00"/>
    <x v="0"/>
    <n v="4"/>
    <s v="Eivy Denine Cruz"/>
    <m/>
  </r>
  <r>
    <x v="206"/>
    <x v="0"/>
    <x v="2"/>
    <s v="CTEMPEU_1000FR10Z03100 SPICE HR"/>
    <s v="P000001271"/>
    <s v="P000001271"/>
    <s v="Non-LFF"/>
    <s v=""/>
    <m/>
    <b v="1"/>
    <x v="0"/>
    <x v="2"/>
    <d v="2025-05-13T10:11:48"/>
    <d v="2025-05-19T00:00:00"/>
    <d v="2025-05-19T00:00:00"/>
    <x v="0"/>
    <n v="4"/>
    <s v="Eivy Denine Cruz"/>
    <m/>
  </r>
  <r>
    <x v="206"/>
    <x v="0"/>
    <x v="2"/>
    <s v="CTEMPEU_1000NL40Z03100 SPICE HR"/>
    <s v="P000001271"/>
    <s v="P000001271"/>
    <s v="Non-LFF"/>
    <s v=""/>
    <m/>
    <b v="1"/>
    <x v="0"/>
    <x v="2"/>
    <d v="2025-05-13T10:11:48"/>
    <d v="2025-05-19T00:00:00"/>
    <d v="2025-05-19T00:00:00"/>
    <x v="0"/>
    <n v="4"/>
    <s v="Eivy Denine Cruz"/>
    <m/>
  </r>
  <r>
    <x v="206"/>
    <x v="0"/>
    <x v="2"/>
    <s v="CTEMPEU_1000PL10Z03100 SPICE HR"/>
    <s v="P000001271"/>
    <s v="P000001271"/>
    <s v="Non-LFF"/>
    <s v=""/>
    <m/>
    <b v="1"/>
    <x v="0"/>
    <x v="2"/>
    <d v="2025-05-13T10:11:48"/>
    <d v="2025-05-19T00:00:00"/>
    <d v="2025-05-19T00:00:00"/>
    <x v="0"/>
    <n v="4"/>
    <s v="Eivy Denine Cruz"/>
    <m/>
  </r>
  <r>
    <x v="206"/>
    <x v="0"/>
    <x v="2"/>
    <s v="CTEMPLA_1000BR10Z03100 SPICE HR"/>
    <s v="P000001271"/>
    <s v="P000001271"/>
    <s v="Non-LFF"/>
    <s v=""/>
    <m/>
    <b v="1"/>
    <x v="0"/>
    <x v="2"/>
    <d v="2025-05-13T10:11:48"/>
    <d v="2025-05-19T00:00:00"/>
    <d v="2025-05-19T00:00:00"/>
    <x v="0"/>
    <n v="4"/>
    <s v="Eivy Denine Cruz"/>
    <m/>
  </r>
  <r>
    <x v="206"/>
    <x v="0"/>
    <x v="2"/>
    <s v="CTEMPLA_1000MX10Z03100 SPICE HR"/>
    <s v="P000001271"/>
    <s v="P000001271"/>
    <s v="Non-LFF"/>
    <s v=""/>
    <m/>
    <b v="1"/>
    <x v="0"/>
    <x v="2"/>
    <d v="2025-05-13T10:11:48"/>
    <d v="2025-05-19T00:00:00"/>
    <d v="2025-05-19T00:00:00"/>
    <x v="0"/>
    <n v="4"/>
    <s v="Eivy Denine Cruz"/>
    <m/>
  </r>
  <r>
    <x v="207"/>
    <x v="0"/>
    <x v="2"/>
    <s v="CLFF_1000$$$AE50GCO220 Lumina Plan &amp; Report"/>
    <s v="G000001361"/>
    <s v="G000001361"/>
    <s v="LFF (MDG-F)"/>
    <s v="AE50GCO220"/>
    <s v="Changes were saved for change request 25334997"/>
    <b v="1"/>
    <x v="0"/>
    <x v="2"/>
    <d v="2025-05-14T08:13:01"/>
    <d v="2025-05-15T00:00:00"/>
    <d v="2025-05-15T00:00:00"/>
    <x v="0"/>
    <n v="1"/>
    <s v="Jojeff Tagnong"/>
    <m/>
  </r>
  <r>
    <x v="207"/>
    <x v="0"/>
    <x v="2"/>
    <s v="CLFF_1000$$$CN90GMK003 Lumina  RGP Processes"/>
    <s v="G000001362"/>
    <s v="G000001362"/>
    <s v="LFF (MDG-F)"/>
    <s v="CN90GMK003"/>
    <s v="Changes were saved for change request 25334997"/>
    <b v="1"/>
    <x v="0"/>
    <x v="2"/>
    <d v="2025-05-14T08:13:01"/>
    <d v="2025-05-15T00:00:00"/>
    <d v="2025-05-15T00:00:00"/>
    <x v="0"/>
    <n v="1"/>
    <s v="Jojeff Tagnong"/>
    <m/>
  </r>
  <r>
    <x v="207"/>
    <x v="0"/>
    <x v="2"/>
    <s v="CLFF_1000$$$DE10624905 LEAP"/>
    <s v="G000001366"/>
    <s v="G000001366"/>
    <s v="LFF (MDG-F)"/>
    <s v="DE10624905"/>
    <s v="Changes were saved for change request 25334997"/>
    <b v="1"/>
    <x v="0"/>
    <x v="2"/>
    <d v="2025-05-14T08:13:01"/>
    <d v="2025-05-15T00:00:00"/>
    <d v="2025-05-15T00:00:00"/>
    <x v="0"/>
    <n v="1"/>
    <s v="Jojeff Tagnong"/>
    <m/>
  </r>
  <r>
    <x v="207"/>
    <x v="0"/>
    <x v="2"/>
    <s v="CLFF_1000$$$DE10624906 LEAP IT projects"/>
    <s v="G000001366"/>
    <s v="G000001366"/>
    <s v="LFF (MDG-F)"/>
    <s v="DE10624906"/>
    <s v="Changes were saved for change request 25334997"/>
    <b v="1"/>
    <x v="0"/>
    <x v="2"/>
    <d v="2025-05-14T08:13:01"/>
    <d v="2025-05-15T00:00:00"/>
    <d v="2025-05-15T00:00:00"/>
    <x v="0"/>
    <n v="1"/>
    <s v="Jojeff Tagnong"/>
    <m/>
  </r>
  <r>
    <x v="207"/>
    <x v="0"/>
    <x v="2"/>
    <s v="CLFF_1000$$$DE10GM1057 Lumina  RGP Processes"/>
    <s v="G000001362"/>
    <s v="G000001362"/>
    <s v="LFF (MDG-F)"/>
    <s v="DE10GM1057"/>
    <s v="Changes were saved for change request 25334997"/>
    <b v="1"/>
    <x v="0"/>
    <x v="2"/>
    <d v="2025-05-14T08:13:01"/>
    <d v="2025-05-15T00:00:00"/>
    <d v="2025-05-15T00:00:00"/>
    <x v="0"/>
    <n v="1"/>
    <s v="Jojeff Tagnong"/>
    <m/>
  </r>
  <r>
    <x v="207"/>
    <x v="0"/>
    <x v="2"/>
    <s v="CLFF_1000$$$DE10GMK003 Lumina Regulatory Compl."/>
    <s v="G000001364"/>
    <s v="G000001364"/>
    <s v="LFF (MDG-F)"/>
    <s v="DE10GMK003"/>
    <s v="Changes were saved for change request 25334997"/>
    <b v="1"/>
    <x v="0"/>
    <x v="2"/>
    <d v="2025-05-14T08:13:01"/>
    <d v="2025-05-15T00:00:00"/>
    <d v="2025-05-15T00:00:00"/>
    <x v="0"/>
    <n v="1"/>
    <s v="Jojeff Tagnong"/>
    <m/>
  </r>
  <r>
    <x v="207"/>
    <x v="0"/>
    <x v="2"/>
    <s v="CLFF_1000$$$DE10GMK004 Lumina Process Excellence"/>
    <s v="G000001365"/>
    <s v="G000001365"/>
    <s v="LFF (MDG-F)"/>
    <s v="DE10GMK004"/>
    <s v="Changes were saved for change request 25334997"/>
    <b v="1"/>
    <x v="0"/>
    <x v="2"/>
    <d v="2025-05-14T08:13:01"/>
    <d v="2025-05-15T00:00:00"/>
    <d v="2025-05-15T00:00:00"/>
    <x v="0"/>
    <n v="1"/>
    <s v="Jojeff Tagnong"/>
    <m/>
  </r>
  <r>
    <x v="207"/>
    <x v="0"/>
    <x v="2"/>
    <s v="CLFF_1000$$$DE10Z03107 Lumina FTO &amp; FTOM"/>
    <s v="G000001360"/>
    <s v="G000001360"/>
    <s v="LFF (MDG-F)"/>
    <s v="DE10Z03107"/>
    <s v="Changes were saved for change request 25334997"/>
    <b v="1"/>
    <x v="0"/>
    <x v="2"/>
    <d v="2025-05-14T08:13:01"/>
    <d v="2025-05-15T00:00:00"/>
    <d v="2025-05-15T00:00:00"/>
    <x v="0"/>
    <n v="1"/>
    <s v="Jojeff Tagnong"/>
    <m/>
  </r>
  <r>
    <x v="207"/>
    <x v="0"/>
    <x v="2"/>
    <s v="CLFF_1000$$$DE10Z03108 Lumina  RGP Processes"/>
    <s v="G000001362"/>
    <s v="G000001362"/>
    <s v="LFF (MDG-F)"/>
    <s v="DE10Z03108"/>
    <s v="Changes were saved for change request 25334997"/>
    <b v="1"/>
    <x v="0"/>
    <x v="2"/>
    <d v="2025-05-14T08:13:01"/>
    <d v="2025-05-15T00:00:00"/>
    <d v="2025-05-15T00:00:00"/>
    <x v="0"/>
    <n v="1"/>
    <s v="Jojeff Tagnong"/>
    <m/>
  </r>
  <r>
    <x v="207"/>
    <x v="0"/>
    <x v="2"/>
    <s v="CLFF_1000$$$DE10Z03109 Lumina Plan &amp; Report"/>
    <s v="G000001361"/>
    <s v="G000001361"/>
    <s v="LFF (MDG-F)"/>
    <s v="DE10Z03109"/>
    <s v="Changes were saved for change request 25334997"/>
    <b v="1"/>
    <x v="0"/>
    <x v="2"/>
    <d v="2025-05-14T08:13:01"/>
    <d v="2025-05-15T00:00:00"/>
    <d v="2025-05-15T00:00:00"/>
    <x v="0"/>
    <n v="1"/>
    <s v="Jojeff Tagnong"/>
    <m/>
  </r>
  <r>
    <x v="207"/>
    <x v="0"/>
    <x v="2"/>
    <s v="CLFF_1000$$$DE10Z03110 Lumina RDF and Tech&amp;Data"/>
    <s v="G000001363"/>
    <s v="G000001363"/>
    <s v="LFF (MDG-F)"/>
    <s v="DE10Z03110"/>
    <s v="Changes were saved for change request 25334997"/>
    <b v="1"/>
    <x v="0"/>
    <x v="2"/>
    <d v="2025-05-14T08:13:01"/>
    <d v="2025-05-15T00:00:00"/>
    <d v="2025-05-15T00:00:00"/>
    <x v="0"/>
    <n v="1"/>
    <s v="Jojeff Tagnong"/>
    <m/>
  </r>
  <r>
    <x v="207"/>
    <x v="0"/>
    <x v="2"/>
    <s v="CLFF_7210$$$1937GMK003 Lumina FTO &amp; FTOM"/>
    <s v="G000001360"/>
    <s v="G000001360"/>
    <s v="LFF (MDG-F)"/>
    <s v="1937GMK003"/>
    <s v="Changes were saved for change request 25334997"/>
    <b v="1"/>
    <x v="0"/>
    <x v="2"/>
    <d v="2025-05-14T08:13:01"/>
    <d v="2025-05-15T00:00:00"/>
    <d v="2025-05-15T00:00:00"/>
    <x v="0"/>
    <n v="1"/>
    <s v="Jojeff Tagnong"/>
    <m/>
  </r>
  <r>
    <x v="207"/>
    <x v="0"/>
    <x v="2"/>
    <s v="CLFF_7210$$$2025GMK003 Project Lumina Plan &amp; Report"/>
    <s v="G000001361"/>
    <s v="G000001361"/>
    <s v="LFF (MDG-F)"/>
    <s v="2025GMK003"/>
    <s v="Changes were saved for change request 25334997"/>
    <b v="1"/>
    <x v="0"/>
    <x v="2"/>
    <d v="2025-05-14T08:13:01"/>
    <d v="2025-05-15T00:00:00"/>
    <d v="2025-05-15T00:00:00"/>
    <x v="0"/>
    <n v="1"/>
    <s v="Jojeff Tagnong"/>
    <m/>
  </r>
  <r>
    <x v="207"/>
    <x v="0"/>
    <x v="2"/>
    <s v="CLFF_7210$$$2123Z03104 Lumina  RGP Processes"/>
    <s v="G000001362"/>
    <s v="G000001362"/>
    <s v="LFF (MDG-F)"/>
    <s v="2123Z03104"/>
    <s v="Changes were saved for change request 25334997"/>
    <b v="1"/>
    <x v="0"/>
    <x v="2"/>
    <d v="2025-05-14T08:13:01"/>
    <d v="2025-05-15T00:00:00"/>
    <d v="2025-05-15T00:00:00"/>
    <x v="0"/>
    <n v="1"/>
    <s v="Jojeff Tagnong"/>
    <m/>
  </r>
  <r>
    <x v="207"/>
    <x v="0"/>
    <x v="2"/>
    <s v="CORAERP_MMOR1975.9682 Lumina Plan &amp; Report"/>
    <s v="G000001361"/>
    <s v="G000001361"/>
    <s v="Non-LFF"/>
    <s v=""/>
    <m/>
    <b v="1"/>
    <x v="0"/>
    <x v="2"/>
    <d v="2025-05-14T08:13:01"/>
    <d v="2025-05-15T00:00:00"/>
    <d v="2025-05-15T00:00:00"/>
    <x v="0"/>
    <n v="1"/>
    <s v="Jojeff Tagnong"/>
    <m/>
  </r>
  <r>
    <x v="207"/>
    <x v="0"/>
    <x v="2"/>
    <s v="CTEMPEU_1000PL80GMK003 Lumina  RGP Processes"/>
    <s v="G000001362"/>
    <s v="G000001362"/>
    <s v="Non-LFF"/>
    <s v=""/>
    <m/>
    <b v="1"/>
    <x v="0"/>
    <x v="2"/>
    <d v="2025-05-14T08:13:01"/>
    <d v="2025-05-15T00:00:00"/>
    <d v="2025-05-15T00:00:00"/>
    <x v="0"/>
    <n v="1"/>
    <s v="Jojeff Tagnong"/>
    <m/>
  </r>
  <r>
    <x v="207"/>
    <x v="0"/>
    <x v="2"/>
    <s v="CTEMPEU_1000PL80GMK004 Lumina Process Excellence"/>
    <s v="G000001365"/>
    <s v="G000001365"/>
    <s v="Non-LFF"/>
    <s v=""/>
    <m/>
    <b v="1"/>
    <x v="0"/>
    <x v="2"/>
    <d v="2025-05-14T08:13:01"/>
    <d v="2025-05-15T00:00:00"/>
    <d v="2025-05-15T00:00:00"/>
    <x v="0"/>
    <n v="1"/>
    <s v="Jojeff Tagnong"/>
    <m/>
  </r>
  <r>
    <x v="207"/>
    <x v="0"/>
    <x v="2"/>
    <s v="CTEMPNA_1000PH80GBTL53 Lumina Plan &amp; Report"/>
    <s v="G000001361"/>
    <s v="G000001361"/>
    <s v="Non-LFF"/>
    <s v=""/>
    <m/>
    <b v="1"/>
    <x v="0"/>
    <x v="2"/>
    <d v="2025-05-14T08:13:01"/>
    <d v="2025-05-15T00:00:00"/>
    <d v="2025-05-15T00:00:00"/>
    <x v="0"/>
    <n v="1"/>
    <s v="Jojeff Tagnong"/>
    <m/>
  </r>
  <r>
    <x v="207"/>
    <x v="0"/>
    <x v="2"/>
    <s v="CTEMPNA_1000PH80GMK003 Lumina  RGP Processes"/>
    <s v="G000001362"/>
    <s v="G000001362"/>
    <s v="Non-LFF"/>
    <s v=""/>
    <m/>
    <b v="1"/>
    <x v="0"/>
    <x v="2"/>
    <d v="2025-05-14T08:13:01"/>
    <d v="2025-05-15T00:00:00"/>
    <d v="2025-05-15T00:00:00"/>
    <x v="0"/>
    <n v="1"/>
    <s v="Jojeff Tagnong"/>
    <m/>
  </r>
  <r>
    <x v="208"/>
    <x v="0"/>
    <x v="2"/>
    <s v="CTEMPNA_1000PH80GFO023"/>
    <s v="G000001373"/>
    <s v="G000001373"/>
    <s v="Non-LFF"/>
    <s v=""/>
    <m/>
    <b v="1"/>
    <x v="0"/>
    <x v="2"/>
    <d v="2025-05-14T07:50:42"/>
    <d v="2025-05-15T00:00:00"/>
    <d v="2025-05-15T00:00:00"/>
    <x v="0"/>
    <n v="1"/>
    <s v="Jojeff Tagnong"/>
    <m/>
  </r>
  <r>
    <x v="208"/>
    <x v="0"/>
    <x v="2"/>
    <s v="CTEMPLA_1000UY10100106"/>
    <s v="G000001359"/>
    <s v="G000001359"/>
    <s v="Non-LFF"/>
    <s v=""/>
    <m/>
    <b v="1"/>
    <x v="0"/>
    <x v="2"/>
    <d v="2025-05-14T07:50:42"/>
    <d v="2025-05-15T00:00:00"/>
    <d v="2025-05-15T00:00:00"/>
    <x v="0"/>
    <n v="1"/>
    <s v="Jojeff Tagnong"/>
    <m/>
  </r>
  <r>
    <x v="209"/>
    <x v="0"/>
    <x v="2"/>
    <s v="CNOW_7210$$$PC00000000"/>
    <s v="L000012168"/>
    <s v="L000012168"/>
    <s v="Non-LFF"/>
    <s v=""/>
    <m/>
    <b v="1"/>
    <x v="2"/>
    <x v="2"/>
    <d v="2025-05-15T09:23:46"/>
    <d v="2025-05-19T00:00:00"/>
    <d v="2025-05-19T00:00:00"/>
    <x v="0"/>
    <n v="2"/>
    <s v="Ruby Grace Garcia"/>
    <m/>
  </r>
  <r>
    <x v="209"/>
    <x v="0"/>
    <x v="2"/>
    <s v="CNOW_7210$$$PC00011091"/>
    <s v="L000012167"/>
    <s v="L000012167"/>
    <s v="Non-LFF"/>
    <s v=""/>
    <m/>
    <b v="1"/>
    <x v="2"/>
    <x v="2"/>
    <d v="2025-05-15T09:23:46"/>
    <d v="2025-05-19T00:00:00"/>
    <d v="2025-05-19T00:00:00"/>
    <x v="0"/>
    <n v="2"/>
    <s v="Ruby Grace Garcia"/>
    <m/>
  </r>
  <r>
    <x v="209"/>
    <x v="0"/>
    <x v="2"/>
    <s v="CNOW_7210$$$PC00011809"/>
    <s v="L000012165"/>
    <s v="L000012165"/>
    <s v="Non-LFF"/>
    <s v=""/>
    <m/>
    <b v="1"/>
    <x v="2"/>
    <x v="2"/>
    <d v="2025-05-15T09:23:46"/>
    <d v="2025-05-19T00:00:00"/>
    <d v="2025-05-19T00:00:00"/>
    <x v="0"/>
    <n v="2"/>
    <s v="Ruby Grace Garcia"/>
    <m/>
  </r>
  <r>
    <x v="210"/>
    <x v="0"/>
    <x v="2"/>
    <s v="PLEAN_X310201CH6843049 ESHRE local costs-1028 Chile LRD"/>
    <s v="H000000336"/>
    <s v="H000000336"/>
    <s v="Non-LFF"/>
    <s v=""/>
    <m/>
    <b v="1"/>
    <x v="1"/>
    <x v="2"/>
    <d v="2025-05-14T18:45:23"/>
    <d v="2025-05-19T00:00:00"/>
    <d v="2025-05-19T00:00:00"/>
    <x v="0"/>
    <n v="3"/>
    <s v="Dan John Magada"/>
    <m/>
  </r>
  <r>
    <x v="210"/>
    <x v="0"/>
    <x v="2"/>
    <s v="CTEMPLA_1000PA20ZZ0B22 ISS - Marketing Ferti / Endo"/>
    <s v="H000000369"/>
    <s v="H000000369"/>
    <s v="Non-LFF"/>
    <s v=""/>
    <m/>
    <b v="1"/>
    <x v="1"/>
    <x v="2"/>
    <d v="2025-05-14T18:45:23"/>
    <d v="2025-05-19T00:00:00"/>
    <d v="2025-05-19T00:00:00"/>
    <x v="0"/>
    <n v="3"/>
    <s v="Dan John Magada"/>
    <m/>
  </r>
  <r>
    <x v="210"/>
    <x v="0"/>
    <x v="2"/>
    <s v="CTEMPLA_1000PA10BB1E33 XXXCMC - Sales Promo CM Care Local-Cilos"/>
    <s v="H000000346"/>
    <s v="H000000346"/>
    <s v="Non-LFF"/>
    <s v=""/>
    <m/>
    <b v="1"/>
    <x v="1"/>
    <x v="2"/>
    <d v="2025-05-14T18:45:23"/>
    <d v="2025-05-19T00:00:00"/>
    <d v="2025-05-19T00:00:00"/>
    <x v="0"/>
    <n v="3"/>
    <s v="Dan John Magada"/>
    <m/>
  </r>
  <r>
    <x v="210"/>
    <x v="0"/>
    <x v="2"/>
    <s v="CTEMPLA_1000PA10CW1E33 XXXCMC - Sales Promo CM Care Local-Cilos"/>
    <s v="H000000353"/>
    <s v="H000000353"/>
    <s v="Non-LFF"/>
    <s v=""/>
    <m/>
    <b v="1"/>
    <x v="1"/>
    <x v="2"/>
    <d v="2025-05-14T18:45:23"/>
    <d v="2025-05-19T00:00:00"/>
    <d v="2025-05-19T00:00:00"/>
    <x v="0"/>
    <n v="3"/>
    <s v="Dan John Magada"/>
    <m/>
  </r>
  <r>
    <x v="210"/>
    <x v="0"/>
    <x v="2"/>
    <s v="CTEMPLA_1000GT10ZZ0E21 ISS - Marketing Cardio"/>
    <s v="H000000359"/>
    <s v="H000000359"/>
    <s v="Non-LFF"/>
    <s v=""/>
    <m/>
    <b v="1"/>
    <x v="1"/>
    <x v="2"/>
    <d v="2025-05-14T18:45:23"/>
    <d v="2025-05-19T00:00:00"/>
    <d v="2025-05-19T00:00:00"/>
    <x v="0"/>
    <n v="3"/>
    <s v="Dan John Magada"/>
    <m/>
  </r>
  <r>
    <x v="210"/>
    <x v="0"/>
    <x v="2"/>
    <s v="CTEMPLA_1000GT10ZZ0E22 ISS - Marketing Tiroides"/>
    <s v="H000000359"/>
    <s v="H000000359"/>
    <s v="Non-LFF"/>
    <s v=""/>
    <m/>
    <b v="1"/>
    <x v="1"/>
    <x v="2"/>
    <d v="2025-05-14T18:45:23"/>
    <d v="2025-05-19T00:00:00"/>
    <d v="2025-05-19T00:00:00"/>
    <x v="0"/>
    <n v="3"/>
    <s v="Dan John Magada"/>
    <m/>
  </r>
  <r>
    <x v="210"/>
    <x v="0"/>
    <x v="2"/>
    <s v="CTEMPLA_1000PA10ZZ0E21 ISS - Marketing Cardio"/>
    <s v="H000000369"/>
    <s v="H000000369"/>
    <s v="Non-LFF"/>
    <s v=""/>
    <m/>
    <b v="1"/>
    <x v="1"/>
    <x v="2"/>
    <d v="2025-05-14T18:45:23"/>
    <d v="2025-05-19T00:00:00"/>
    <d v="2025-05-19T00:00:00"/>
    <x v="0"/>
    <n v="3"/>
    <s v="Dan John Magada"/>
    <m/>
  </r>
  <r>
    <x v="210"/>
    <x v="0"/>
    <x v="2"/>
    <s v="CTEMPLA_1000PA10ZZ0E22 ISS - Marketing tiroides"/>
    <s v="H000000369"/>
    <s v="H000000369"/>
    <s v="Non-LFF"/>
    <s v=""/>
    <m/>
    <b v="1"/>
    <x v="1"/>
    <x v="2"/>
    <d v="2025-05-14T18:45:23"/>
    <d v="2025-05-19T00:00:00"/>
    <d v="2025-05-19T00:00:00"/>
    <x v="0"/>
    <n v="3"/>
    <s v="Dan John Magada"/>
    <m/>
  </r>
  <r>
    <x v="210"/>
    <x v="0"/>
    <x v="2"/>
    <s v="CTEMPLA_1000PA20ZZ0E21 ISS - Marketing Cardio"/>
    <s v="H000000369"/>
    <s v="H000000369"/>
    <s v="Non-LFF"/>
    <s v=""/>
    <m/>
    <b v="1"/>
    <x v="1"/>
    <x v="2"/>
    <d v="2025-05-14T18:45:23"/>
    <d v="2025-05-19T00:00:00"/>
    <d v="2025-05-19T00:00:00"/>
    <x v="0"/>
    <n v="3"/>
    <s v="Dan John Magada"/>
    <m/>
  </r>
  <r>
    <x v="210"/>
    <x v="0"/>
    <x v="2"/>
    <s v="CTEMPLA_1000PA20ZZ0B21 ISS - Marketing Neurology"/>
    <s v="H000000369"/>
    <s v="H000000369"/>
    <s v="Non-LFF"/>
    <s v=""/>
    <m/>
    <b v="1"/>
    <x v="1"/>
    <x v="2"/>
    <d v="2025-05-14T18:45:23"/>
    <d v="2025-05-19T00:00:00"/>
    <d v="2025-05-19T00:00:00"/>
    <x v="0"/>
    <n v="3"/>
    <s v="Dan John Magada"/>
    <m/>
  </r>
  <r>
    <x v="210"/>
    <x v="0"/>
    <x v="2"/>
    <s v="CTEMPLA_1000CL10788702 Destruction expenses TSM"/>
    <s v="H000000336"/>
    <s v="H000000336"/>
    <s v="Non-LFF"/>
    <s v=""/>
    <m/>
    <b v="1"/>
    <x v="1"/>
    <x v="2"/>
    <d v="2025-05-14T18:45:23"/>
    <d v="2025-05-19T00:00:00"/>
    <d v="2025-05-19T00:00:00"/>
    <x v="0"/>
    <n v="3"/>
    <s v="Dan John Magada"/>
    <m/>
  </r>
  <r>
    <x v="211"/>
    <x v="0"/>
    <x v="2"/>
    <s v="CNOW_7210$$$0000015235"/>
    <s v="L000013203"/>
    <s v="L000013203"/>
    <s v="Non-LFF"/>
    <s v=""/>
    <m/>
    <b v="1"/>
    <x v="2"/>
    <x v="2"/>
    <d v="2025-05-15T14:29:43"/>
    <d v="2025-05-19T00:00:00"/>
    <d v="2025-05-19T00:00:00"/>
    <x v="0"/>
    <n v="2"/>
    <s v="Florian Sonntag"/>
    <m/>
  </r>
  <r>
    <x v="212"/>
    <x v="0"/>
    <x v="2"/>
    <s v="CLFF_1000$$$DZ50GM1100"/>
    <s v="G000000637"/>
    <s v="G000000637"/>
    <s v="LFF (MDG-F)"/>
    <s v="DZ50GM1100"/>
    <s v="Changes were saved for change request 25454879"/>
    <b v="1"/>
    <x v="0"/>
    <x v="2"/>
    <d v="2025-05-16T08:45:44"/>
    <m/>
    <m/>
    <x v="1"/>
    <n v="155"/>
    <s v="Jojeff Tagnong"/>
    <m/>
  </r>
  <r>
    <x v="212"/>
    <x v="0"/>
    <x v="2"/>
    <s v="CLFF_1000$$$ZA50GM2100"/>
    <s v="G000000637"/>
    <s v="G000000637"/>
    <s v="LFF (MDG-F)"/>
    <s v="ZA50GM2100"/>
    <s v="Changes were saved for change request 25454879"/>
    <b v="1"/>
    <x v="0"/>
    <x v="2"/>
    <d v="2025-05-16T08:45:44"/>
    <m/>
    <m/>
    <x v="1"/>
    <n v="155"/>
    <s v="Jojeff Tagnong"/>
    <m/>
  </r>
  <r>
    <x v="212"/>
    <x v="0"/>
    <x v="2"/>
    <s v="CLFF_7210$$$2053OF0000"/>
    <s v="G000000630"/>
    <s v="G000000630"/>
    <s v="LFF (MDG-F)"/>
    <s v="2053OF0000"/>
    <s v="Changes were saved for change request 25454879"/>
    <b v="1"/>
    <x v="0"/>
    <x v="2"/>
    <d v="2025-05-16T08:45:44"/>
    <d v="2025-06-17T00:00:00"/>
    <d v="2025-06-17T00:00:00"/>
    <x v="1"/>
    <n v="22"/>
    <s v="Jojeff Tagnong"/>
    <m/>
  </r>
  <r>
    <x v="212"/>
    <x v="0"/>
    <x v="2"/>
    <s v="CORAERP_MMOR1975.2454"/>
    <s v="G000000633"/>
    <s v="G000000633"/>
    <s v="Non-LFF"/>
    <s v=""/>
    <s v="Object was under in checking sheet."/>
    <b v="1"/>
    <x v="0"/>
    <x v="2"/>
    <d v="2025-05-16T08:45:44"/>
    <d v="2025-06-17T00:00:00"/>
    <d v="2025-06-17T00:00:00"/>
    <x v="1"/>
    <n v="22"/>
    <s v="Jojeff Tagnong"/>
    <m/>
  </r>
  <r>
    <x v="213"/>
    <x v="0"/>
    <x v="2"/>
    <s v="CNOW_7210$$$0000021406"/>
    <s v="L000007892"/>
    <s v="L000007892"/>
    <s v="Non-LFF"/>
    <s v=""/>
    <m/>
    <b v="1"/>
    <x v="2"/>
    <x v="2"/>
    <d v="2025-05-16T21:38:01"/>
    <m/>
    <m/>
    <x v="1"/>
    <n v="155"/>
    <s v="Florian Sonntag"/>
    <m/>
  </r>
  <r>
    <x v="214"/>
    <x v="0"/>
    <x v="2"/>
    <s v="CLFF_7210$$$2137C00001"/>
    <s v="L000013113"/>
    <s v="L000013113"/>
    <s v="LFF (MDG-F)"/>
    <s v="2137C00001"/>
    <s v="Changes were saved for change request 25352858"/>
    <b v="1"/>
    <x v="2"/>
    <x v="2"/>
    <d v="2025-05-16T21:38:22"/>
    <m/>
    <m/>
    <x v="1"/>
    <n v="155"/>
    <s v="Florian Sonntag"/>
    <m/>
  </r>
  <r>
    <x v="215"/>
    <x v="0"/>
    <x v="2"/>
    <s v="CSCALA_1042$BISS_S22"/>
    <s v="H000000423"/>
    <s v="H000000423"/>
    <s v="Non-LFF"/>
    <s v=""/>
    <m/>
    <b v="1"/>
    <x v="1"/>
    <x v="2"/>
    <d v="2025-05-19T09:26:03"/>
    <m/>
    <m/>
    <x v="1"/>
    <n v="154"/>
    <s v="Carlo Umali"/>
    <m/>
  </r>
  <r>
    <x v="215"/>
    <x v="0"/>
    <x v="2"/>
    <s v="CSCALA_1042$FEPM_F77"/>
    <s v="H000000423"/>
    <s v="H000000423"/>
    <s v="Non-LFF"/>
    <s v=""/>
    <m/>
    <b v="1"/>
    <x v="1"/>
    <x v="2"/>
    <d v="2025-05-19T09:26:03"/>
    <m/>
    <m/>
    <x v="1"/>
    <n v="154"/>
    <s v="Carlo Umali"/>
    <m/>
  </r>
  <r>
    <x v="215"/>
    <x v="0"/>
    <x v="2"/>
    <s v="CSCALA_1042$MSMS_D17"/>
    <s v="H000000423"/>
    <s v="H000000423"/>
    <s v="Non-LFF"/>
    <s v=""/>
    <m/>
    <b v="1"/>
    <x v="1"/>
    <x v="2"/>
    <d v="2025-05-19T09:26:03"/>
    <m/>
    <m/>
    <x v="1"/>
    <n v="154"/>
    <s v="Carlo Umali"/>
    <m/>
  </r>
  <r>
    <x v="215"/>
    <x v="0"/>
    <x v="2"/>
    <s v="CSCALA_1042$MSMS_D20"/>
    <s v="H000000423"/>
    <s v="H000000423"/>
    <s v="Non-LFF"/>
    <s v=""/>
    <m/>
    <b v="1"/>
    <x v="1"/>
    <x v="2"/>
    <d v="2025-05-19T09:26:03"/>
    <m/>
    <m/>
    <x v="1"/>
    <n v="154"/>
    <s v="Carlo Umali"/>
    <m/>
  </r>
  <r>
    <x v="215"/>
    <x v="0"/>
    <x v="2"/>
    <s v="CSCALA_1042$MSMS_E12"/>
    <s v="H000000423"/>
    <s v="H000000423"/>
    <s v="Non-LFF"/>
    <s v=""/>
    <m/>
    <b v="1"/>
    <x v="1"/>
    <x v="2"/>
    <d v="2025-05-19T09:26:03"/>
    <m/>
    <m/>
    <x v="1"/>
    <n v="154"/>
    <s v="Carlo Umali"/>
    <m/>
  </r>
  <r>
    <x v="215"/>
    <x v="0"/>
    <x v="2"/>
    <s v="CSCALA_1042$MSMS_F09"/>
    <s v="H000000423"/>
    <s v="H000000423"/>
    <s v="Non-LFF"/>
    <s v=""/>
    <m/>
    <b v="1"/>
    <x v="1"/>
    <x v="2"/>
    <d v="2025-05-19T09:26:03"/>
    <m/>
    <m/>
    <x v="1"/>
    <n v="154"/>
    <s v="Carlo Umali"/>
    <m/>
  </r>
  <r>
    <x v="215"/>
    <x v="0"/>
    <x v="2"/>
    <s v="CSCALA_1042$MSMS_F10"/>
    <s v="H000000423"/>
    <s v="H000000423"/>
    <s v="Non-LFF"/>
    <s v=""/>
    <m/>
    <b v="1"/>
    <x v="1"/>
    <x v="2"/>
    <d v="2025-05-19T09:26:03"/>
    <m/>
    <m/>
    <x v="1"/>
    <n v="154"/>
    <s v="Carlo Umali"/>
    <m/>
  </r>
  <r>
    <x v="215"/>
    <x v="0"/>
    <x v="2"/>
    <s v="CSCALA_1042$MSMS_O15"/>
    <s v="H000000423"/>
    <s v="H000000423"/>
    <s v="Non-LFF"/>
    <s v=""/>
    <m/>
    <b v="1"/>
    <x v="1"/>
    <x v="2"/>
    <d v="2025-05-19T09:26:03"/>
    <m/>
    <m/>
    <x v="1"/>
    <n v="154"/>
    <s v="Carlo Umali"/>
    <m/>
  </r>
  <r>
    <x v="215"/>
    <x v="0"/>
    <x v="2"/>
    <s v="CSCALA_1042$MSMS_TT6"/>
    <s v="H000000423"/>
    <s v="H000000423"/>
    <s v="Non-LFF"/>
    <s v=""/>
    <m/>
    <b v="1"/>
    <x v="1"/>
    <x v="2"/>
    <d v="2025-05-19T09:26:03"/>
    <m/>
    <m/>
    <x v="1"/>
    <n v="154"/>
    <s v="Carlo Umali"/>
    <m/>
  </r>
  <r>
    <x v="215"/>
    <x v="0"/>
    <x v="2"/>
    <s v="CSCALA_1042$MSMS_W13"/>
    <s v="H000000423"/>
    <s v="H000000423"/>
    <s v="Non-LFF"/>
    <s v=""/>
    <m/>
    <b v="1"/>
    <x v="1"/>
    <x v="2"/>
    <d v="2025-05-19T09:26:03"/>
    <m/>
    <m/>
    <x v="1"/>
    <n v="154"/>
    <s v="Carlo Umali"/>
    <m/>
  </r>
  <r>
    <x v="215"/>
    <x v="0"/>
    <x v="2"/>
    <s v="CSCALA_1042$MSMS_X04"/>
    <s v="H000000423"/>
    <s v="H000000423"/>
    <s v="Non-LFF"/>
    <s v=""/>
    <m/>
    <b v="1"/>
    <x v="1"/>
    <x v="2"/>
    <d v="2025-05-19T09:26:03"/>
    <m/>
    <m/>
    <x v="1"/>
    <n v="154"/>
    <s v="Carlo Umali"/>
    <m/>
  </r>
  <r>
    <x v="215"/>
    <x v="0"/>
    <x v="2"/>
    <s v="CSCALA_1042$MSMS_X06"/>
    <s v="H000000423"/>
    <s v="H000000423"/>
    <s v="Non-LFF"/>
    <s v=""/>
    <m/>
    <b v="1"/>
    <x v="1"/>
    <x v="2"/>
    <d v="2025-05-19T09:26:03"/>
    <m/>
    <m/>
    <x v="1"/>
    <n v="154"/>
    <s v="Carlo Umali"/>
    <m/>
  </r>
  <r>
    <x v="215"/>
    <x v="0"/>
    <x v="2"/>
    <s v="CSCALA_1042$MSPM_C53"/>
    <s v="H000000423"/>
    <s v="H000000423"/>
    <s v="Non-LFF"/>
    <s v=""/>
    <m/>
    <b v="1"/>
    <x v="1"/>
    <x v="2"/>
    <d v="2025-05-19T09:26:03"/>
    <m/>
    <m/>
    <x v="1"/>
    <n v="154"/>
    <s v="Carlo Umali"/>
    <m/>
  </r>
  <r>
    <x v="215"/>
    <x v="0"/>
    <x v="2"/>
    <s v="CSCALA_1042$MSPM_C57"/>
    <s v="H000000423"/>
    <s v="H000000423"/>
    <s v="Non-LFF"/>
    <s v=""/>
    <m/>
    <b v="1"/>
    <x v="1"/>
    <x v="2"/>
    <d v="2025-05-19T09:26:03"/>
    <m/>
    <m/>
    <x v="1"/>
    <n v="154"/>
    <s v="Carlo Umali"/>
    <m/>
  </r>
  <r>
    <x v="215"/>
    <x v="0"/>
    <x v="2"/>
    <s v="CSCALA_1042$MSPM_D93"/>
    <s v="H000000423"/>
    <s v="H000000423"/>
    <s v="Non-LFF"/>
    <s v=""/>
    <m/>
    <b v="1"/>
    <x v="1"/>
    <x v="2"/>
    <d v="2025-05-19T09:26:03"/>
    <m/>
    <m/>
    <x v="1"/>
    <n v="154"/>
    <s v="Carlo Umali"/>
    <m/>
  </r>
  <r>
    <x v="215"/>
    <x v="0"/>
    <x v="2"/>
    <s v="CSCALA_1042$MSPM_D94"/>
    <s v="H000000423"/>
    <s v="H000000423"/>
    <s v="Non-LFF"/>
    <s v=""/>
    <m/>
    <b v="1"/>
    <x v="1"/>
    <x v="2"/>
    <d v="2025-05-19T09:26:03"/>
    <m/>
    <m/>
    <x v="1"/>
    <n v="154"/>
    <s v="Carlo Umali"/>
    <m/>
  </r>
  <r>
    <x v="215"/>
    <x v="0"/>
    <x v="2"/>
    <s v="CSCALA_1042$MSPM_E83"/>
    <s v="H000000423"/>
    <s v="H000000423"/>
    <s v="Non-LFF"/>
    <s v=""/>
    <m/>
    <b v="1"/>
    <x v="1"/>
    <x v="2"/>
    <d v="2025-05-19T09:26:03"/>
    <m/>
    <m/>
    <x v="1"/>
    <n v="154"/>
    <s v="Carlo Umali"/>
    <m/>
  </r>
  <r>
    <x v="215"/>
    <x v="0"/>
    <x v="2"/>
    <s v="CSCALA_1042$MSPM_T52"/>
    <s v="H000000423"/>
    <s v="H000000423"/>
    <s v="Non-LFF"/>
    <s v=""/>
    <m/>
    <b v="1"/>
    <x v="1"/>
    <x v="2"/>
    <d v="2025-05-19T09:26:03"/>
    <m/>
    <m/>
    <x v="1"/>
    <n v="154"/>
    <s v="Carlo Umali"/>
    <m/>
  </r>
  <r>
    <x v="215"/>
    <x v="0"/>
    <x v="2"/>
    <s v="CSCALA_1042$MSPM_T97"/>
    <s v="H000000423"/>
    <s v="H000000423"/>
    <s v="Non-LFF"/>
    <s v=""/>
    <m/>
    <b v="1"/>
    <x v="1"/>
    <x v="2"/>
    <d v="2025-05-19T09:26:03"/>
    <m/>
    <m/>
    <x v="1"/>
    <n v="154"/>
    <s v="Carlo Umali"/>
    <m/>
  </r>
  <r>
    <x v="215"/>
    <x v="0"/>
    <x v="2"/>
    <s v="CSCALA_1042$ONPM_W98"/>
    <s v="H000000423"/>
    <s v="H000000423"/>
    <s v="Non-LFF"/>
    <s v=""/>
    <m/>
    <b v="1"/>
    <x v="1"/>
    <x v="2"/>
    <d v="2025-05-19T09:26:03"/>
    <m/>
    <m/>
    <x v="1"/>
    <n v="154"/>
    <s v="Carlo Umali"/>
    <m/>
  </r>
  <r>
    <x v="215"/>
    <x v="0"/>
    <x v="2"/>
    <s v="CSCALA_1042$ONPM_X53"/>
    <s v="H000000423"/>
    <s v="H000000423"/>
    <s v="Non-LFF"/>
    <s v=""/>
    <m/>
    <b v="1"/>
    <x v="1"/>
    <x v="2"/>
    <d v="2025-05-19T09:26:03"/>
    <m/>
    <m/>
    <x v="1"/>
    <n v="154"/>
    <s v="Carlo Umali"/>
    <m/>
  </r>
  <r>
    <x v="215"/>
    <x v="0"/>
    <x v="2"/>
    <s v="PSCALA_C53 Hiaman Noah"/>
    <s v="H000000423"/>
    <s v="H000000423"/>
    <s v="Non-LFF"/>
    <s v=""/>
    <m/>
    <b v="1"/>
    <x v="1"/>
    <x v="2"/>
    <d v="2025-05-19T09:26:03"/>
    <m/>
    <m/>
    <x v="1"/>
    <n v="154"/>
    <s v="Carlo Umali"/>
    <m/>
  </r>
  <r>
    <x v="215"/>
    <x v="0"/>
    <x v="2"/>
    <s v="PSCALA_F09 Aspire 2025"/>
    <s v="H000000423"/>
    <s v="H000000423"/>
    <s v="Non-LFF"/>
    <s v=""/>
    <m/>
    <b v="1"/>
    <x v="1"/>
    <x v="2"/>
    <d v="2025-05-19T09:26:03"/>
    <m/>
    <m/>
    <x v="1"/>
    <n v="154"/>
    <s v="Carlo Umali"/>
    <m/>
  </r>
  <r>
    <x v="215"/>
    <x v="0"/>
    <x v="2"/>
    <s v="PSCALA_F68 MSART Congress"/>
    <s v="H000000423"/>
    <s v="H000000423"/>
    <s v="Non-LFF"/>
    <s v=""/>
    <m/>
    <b v="1"/>
    <x v="1"/>
    <x v="2"/>
    <d v="2025-05-19T09:26:03"/>
    <m/>
    <m/>
    <x v="1"/>
    <n v="154"/>
    <s v="Carlo Umali"/>
    <m/>
  </r>
  <r>
    <x v="215"/>
    <x v="0"/>
    <x v="2"/>
    <s v="PSCALA_F79 Key Account territory event"/>
    <s v="H000000423"/>
    <s v="H000000423"/>
    <s v="Non-LFF"/>
    <s v=""/>
    <m/>
    <b v="1"/>
    <x v="1"/>
    <x v="2"/>
    <d v="2025-05-19T09:26:03"/>
    <m/>
    <m/>
    <x v="1"/>
    <n v="154"/>
    <s v="Carlo Umali"/>
    <m/>
  </r>
  <r>
    <x v="215"/>
    <x v="0"/>
    <x v="2"/>
    <s v="PSCALA_F99 Unplanned expense"/>
    <s v="H000000423"/>
    <s v="H000000423"/>
    <s v="Non-LFF"/>
    <s v=""/>
    <m/>
    <b v="1"/>
    <x v="1"/>
    <x v="2"/>
    <d v="2025-05-19T09:26:03"/>
    <m/>
    <m/>
    <x v="1"/>
    <n v="154"/>
    <s v="Carlo Umali"/>
    <m/>
  </r>
  <r>
    <x v="215"/>
    <x v="0"/>
    <x v="2"/>
    <s v="PSCALA_O07 ASCOMOS 2024"/>
    <s v="H000000423"/>
    <s v="H000000423"/>
    <s v="Non-LFF"/>
    <s v=""/>
    <m/>
    <b v="1"/>
    <x v="1"/>
    <x v="2"/>
    <d v="2025-05-19T09:26:03"/>
    <m/>
    <m/>
    <x v="1"/>
    <n v="154"/>
    <s v="Carlo Umali"/>
    <m/>
  </r>
  <r>
    <x v="215"/>
    <x v="0"/>
    <x v="2"/>
    <s v="PSCALA_T97 Thyroid Area's Event/ Conferences 2025"/>
    <s v="H000000423"/>
    <s v="H000000423"/>
    <s v="Non-LFF"/>
    <s v=""/>
    <m/>
    <b v="1"/>
    <x v="1"/>
    <x v="2"/>
    <d v="2025-05-19T09:26:03"/>
    <m/>
    <m/>
    <x v="1"/>
    <n v="154"/>
    <s v="Carlo Umali"/>
    <m/>
  </r>
  <r>
    <x v="216"/>
    <x v="0"/>
    <x v="2"/>
    <s v="IEMERAL_000009101206 7001IC2156SI3110250000"/>
    <s v="H000000434"/>
    <s v="H000000434"/>
    <s v="Non-LFF"/>
    <s v=""/>
    <m/>
    <b v="1"/>
    <x v="1"/>
    <x v="2"/>
    <d v="2025-05-19T09:29:25"/>
    <m/>
    <m/>
    <x v="1"/>
    <n v="154"/>
    <s v="Carlo Umali"/>
    <m/>
  </r>
  <r>
    <x v="217"/>
    <x v="0"/>
    <x v="2"/>
    <s v="CTEMPLA_1000PA10PA1E25 Medical non R&amp;D Cardiovascular"/>
    <s v="H000000369"/>
    <s v="H000000369"/>
    <s v="Non-LFF"/>
    <s v=""/>
    <m/>
    <b v="1"/>
    <x v="1"/>
    <x v="2"/>
    <d v="2025-05-19T18:16:18"/>
    <m/>
    <m/>
    <x v="1"/>
    <n v="154"/>
    <s v="Dan John Magada"/>
    <m/>
  </r>
  <r>
    <x v="218"/>
    <x v="0"/>
    <x v="2"/>
    <s v="CFLTFLE_23940000000110 "/>
    <s v="L000007871"/>
    <s v="L000007871"/>
    <s v="Non-LFF"/>
    <s v=""/>
    <m/>
    <b v="1"/>
    <x v="2"/>
    <x v="2"/>
    <d v="2025-05-20T03:40:20"/>
    <m/>
    <m/>
    <x v="1"/>
    <n v="153"/>
    <s v="Joan Rose Pena"/>
    <m/>
  </r>
  <r>
    <x v="218"/>
    <x v="0"/>
    <x v="2"/>
    <s v="CFLTFLE_23940000000130 "/>
    <s v="L000007871"/>
    <s v="L000007871"/>
    <s v="Non-LFF"/>
    <s v=""/>
    <m/>
    <b v="1"/>
    <x v="2"/>
    <x v="2"/>
    <d v="2025-05-20T03:40:20"/>
    <m/>
    <m/>
    <x v="1"/>
    <n v="153"/>
    <s v="Joan Rose Pena"/>
    <m/>
  </r>
  <r>
    <x v="218"/>
    <x v="0"/>
    <x v="2"/>
    <s v="CFLTFLE_23940000000150 "/>
    <s v="L000007871"/>
    <s v="L000007871"/>
    <s v="Non-LFF"/>
    <s v=""/>
    <m/>
    <b v="1"/>
    <x v="2"/>
    <x v="2"/>
    <d v="2025-05-20T03:40:20"/>
    <m/>
    <m/>
    <x v="1"/>
    <n v="153"/>
    <s v="Joan Rose Pena"/>
    <m/>
  </r>
  <r>
    <x v="218"/>
    <x v="0"/>
    <x v="2"/>
    <s v="CFLTFLE_23940000000171 "/>
    <s v="L000007871"/>
    <s v="L000007871"/>
    <s v="Non-LFF"/>
    <s v=""/>
    <m/>
    <b v="1"/>
    <x v="2"/>
    <x v="2"/>
    <d v="2025-05-20T03:40:20"/>
    <m/>
    <m/>
    <x v="1"/>
    <n v="153"/>
    <s v="Joan Rose Pena"/>
    <m/>
  </r>
  <r>
    <x v="218"/>
    <x v="0"/>
    <x v="2"/>
    <s v="CFLTFLE_23940000000230 "/>
    <s v="L000007871"/>
    <s v="L000007871"/>
    <s v="Non-LFF"/>
    <s v=""/>
    <m/>
    <b v="1"/>
    <x v="2"/>
    <x v="2"/>
    <d v="2025-05-20T03:40:20"/>
    <m/>
    <m/>
    <x v="1"/>
    <n v="153"/>
    <s v="Joan Rose Pena"/>
    <m/>
  </r>
  <r>
    <x v="218"/>
    <x v="0"/>
    <x v="2"/>
    <s v="CFLTFLE_23940000000430 "/>
    <s v="L000007871"/>
    <s v="L000007871"/>
    <s v="Non-LFF"/>
    <s v=""/>
    <m/>
    <b v="1"/>
    <x v="2"/>
    <x v="2"/>
    <d v="2025-05-20T03:40:20"/>
    <m/>
    <m/>
    <x v="1"/>
    <n v="153"/>
    <s v="Joan Rose Pena"/>
    <m/>
  </r>
  <r>
    <x v="218"/>
    <x v="0"/>
    <x v="2"/>
    <s v="CFLTFLE_22760000891084 "/>
    <s v="L000013197"/>
    <s v="L000013197"/>
    <s v="Non-LFF"/>
    <s v=""/>
    <m/>
    <b v="1"/>
    <x v="2"/>
    <x v="2"/>
    <d v="2025-05-20T03:40:20"/>
    <m/>
    <m/>
    <x v="1"/>
    <n v="153"/>
    <s v="Joan Rose Pena"/>
    <m/>
  </r>
  <r>
    <x v="218"/>
    <x v="0"/>
    <x v="2"/>
    <s v="CFLTFLE_2373TTR "/>
    <s v="L000013154"/>
    <s v="L000013154"/>
    <s v="Non-LFF"/>
    <s v=""/>
    <m/>
    <b v="1"/>
    <x v="2"/>
    <x v="2"/>
    <d v="2025-05-20T03:40:20"/>
    <m/>
    <m/>
    <x v="1"/>
    <n v="153"/>
    <s v="Joan Rose Pena"/>
    <m/>
  </r>
  <r>
    <x v="218"/>
    <x v="0"/>
    <x v="2"/>
    <s v="CORAERP_MMOR1975.LLZRX "/>
    <s v="L000009206"/>
    <s v="L000009206"/>
    <s v="Non-LFF"/>
    <s v=""/>
    <m/>
    <b v="1"/>
    <x v="2"/>
    <x v="2"/>
    <d v="2025-05-20T03:40:20"/>
    <m/>
    <m/>
    <x v="1"/>
    <n v="153"/>
    <s v="Joan Rose Pena"/>
    <m/>
  </r>
  <r>
    <x v="218"/>
    <x v="0"/>
    <x v="2"/>
    <s v="ITEMPEU_003300000049 CH71 C_L_MBD "/>
    <s v="L000006428"/>
    <s v="L000006428"/>
    <s v="Non-LFF"/>
    <s v=""/>
    <m/>
    <b v="1"/>
    <x v="2"/>
    <x v="2"/>
    <d v="2025-05-20T03:40:20"/>
    <m/>
    <m/>
    <x v="1"/>
    <n v="153"/>
    <s v="Joan Rose Pena"/>
    <m/>
  </r>
  <r>
    <x v="219"/>
    <x v="0"/>
    <x v="2"/>
    <s v="IPHOENX_000400763895"/>
    <s v="L000010101"/>
    <s v="L000010101"/>
    <s v="Non-LFF"/>
    <s v=""/>
    <m/>
    <b v="1"/>
    <x v="2"/>
    <x v="2"/>
    <d v="2025-05-20T03:40:20"/>
    <m/>
    <m/>
    <x v="1"/>
    <n v="153"/>
    <s v="Marcus Avemarie"/>
    <m/>
  </r>
  <r>
    <x v="219"/>
    <x v="0"/>
    <x v="2"/>
    <s v="IPHOENX_000400764088"/>
    <s v="L000010101"/>
    <s v="L000010101"/>
    <s v="Non-LFF"/>
    <s v=""/>
    <m/>
    <b v="1"/>
    <x v="2"/>
    <x v="2"/>
    <d v="2025-05-20T03:40:20"/>
    <m/>
    <m/>
    <x v="1"/>
    <n v="153"/>
    <s v="Marcus Avemarie"/>
    <m/>
  </r>
  <r>
    <x v="219"/>
    <x v="0"/>
    <x v="2"/>
    <s v="IPHOENX_000400764092"/>
    <s v="L000010101"/>
    <s v="L000010101"/>
    <s v="Non-LFF"/>
    <s v=""/>
    <m/>
    <b v="1"/>
    <x v="2"/>
    <x v="2"/>
    <d v="2025-05-20T03:40:20"/>
    <m/>
    <m/>
    <x v="1"/>
    <n v="153"/>
    <s v="Marcus Avemarie"/>
    <m/>
  </r>
  <r>
    <x v="220"/>
    <x v="0"/>
    <x v="2"/>
    <s v="CTEMPEU_1000PL80GHR223"/>
    <s v="G000001173"/>
    <s v="G000001173"/>
    <s v="Non-LFF"/>
    <s v=""/>
    <m/>
    <b v="1"/>
    <x v="0"/>
    <x v="2"/>
    <d v="2025-05-09T03:40:20"/>
    <d v="2025-05-30T00:00:00"/>
    <d v="2025-05-30T00:00:00"/>
    <x v="1"/>
    <n v="15"/>
    <s v="Jojeff Tagnong"/>
    <m/>
  </r>
  <r>
    <x v="220"/>
    <x v="0"/>
    <x v="2"/>
    <s v="CTEMPNA_1000PH80GFO122"/>
    <s v="G000001173"/>
    <s v="G000001173"/>
    <s v="Non-LFF"/>
    <s v=""/>
    <m/>
    <b v="1"/>
    <x v="0"/>
    <x v="2"/>
    <d v="2025-05-09T03:40:20"/>
    <d v="2025-05-30T00:00:00"/>
    <d v="2025-05-30T00:00:00"/>
    <x v="1"/>
    <n v="15"/>
    <s v="Jojeff Tagnong"/>
    <m/>
  </r>
  <r>
    <x v="220"/>
    <x v="0"/>
    <x v="2"/>
    <s v="CLFF_1000$$$DE10GMW030"/>
    <s v="G000001173"/>
    <s v="G000001173"/>
    <s v="LFF (MDG-F)"/>
    <s v="DE10GMW030"/>
    <s v="Changes were saved for change request 25366984"/>
    <b v="1"/>
    <x v="0"/>
    <x v="2"/>
    <d v="2025-05-09T03:40:20"/>
    <d v="2025-05-30T00:00:00"/>
    <d v="2025-05-30T00:00:00"/>
    <x v="1"/>
    <n v="15"/>
    <s v="Jojeff Tagnong"/>
    <m/>
  </r>
  <r>
    <x v="220"/>
    <x v="0"/>
    <x v="2"/>
    <s v="CORAERP_MMOR1975.9007"/>
    <s v="G000001173"/>
    <s v="G000001173"/>
    <s v="Non-LFF"/>
    <s v=""/>
    <m/>
    <b v="1"/>
    <x v="0"/>
    <x v="2"/>
    <d v="2025-05-09T03:40:20"/>
    <d v="2025-05-30T00:00:00"/>
    <d v="2025-05-30T00:00:00"/>
    <x v="1"/>
    <n v="15"/>
    <s v="Jojeff Tagnong"/>
    <m/>
  </r>
  <r>
    <x v="220"/>
    <x v="0"/>
    <x v="2"/>
    <s v="CTEMPNA_1000US20GM1000"/>
    <s v="G000001173"/>
    <s v="G000001173"/>
    <s v="Non-LFF"/>
    <s v=""/>
    <m/>
    <b v="1"/>
    <x v="0"/>
    <x v="2"/>
    <d v="2025-05-09T03:40:20"/>
    <d v="2025-05-30T00:00:00"/>
    <d v="2025-05-30T00:00:00"/>
    <x v="1"/>
    <n v="15"/>
    <s v="Jojeff Tagnong"/>
    <m/>
  </r>
  <r>
    <x v="220"/>
    <x v="0"/>
    <x v="2"/>
    <s v="CLFF_1000$$$CN90GHR110"/>
    <s v="G000001173"/>
    <s v="G000001173"/>
    <s v="LFF (MDG-F)"/>
    <s v="CN90GHR110"/>
    <s v="Changes were saved for change request 25366984"/>
    <b v="1"/>
    <x v="0"/>
    <x v="2"/>
    <d v="2025-05-09T03:40:20"/>
    <d v="2025-05-30T00:00:00"/>
    <d v="2025-05-30T00:00:00"/>
    <x v="1"/>
    <n v="15"/>
    <s v="Jojeff Tagnong"/>
    <m/>
  </r>
  <r>
    <x v="221"/>
    <x v="0"/>
    <x v="2"/>
    <s v="IPHOENX_000400764173"/>
    <s v="L000012885"/>
    <s v="L000012885"/>
    <s v="Non-LFF"/>
    <s v=""/>
    <m/>
    <b v="1"/>
    <x v="2"/>
    <x v="2"/>
    <d v="2025-05-20T03:40:20"/>
    <m/>
    <m/>
    <x v="1"/>
    <n v="153"/>
    <s v="Marcus Avemarie"/>
    <m/>
  </r>
  <r>
    <x v="222"/>
    <x v="0"/>
    <x v="2"/>
    <s v="IPHOENX_000400764086"/>
    <s v="L000010089"/>
    <s v="L000010089"/>
    <s v="Non-LFF"/>
    <s v=""/>
    <m/>
    <b v="1"/>
    <x v="2"/>
    <x v="2"/>
    <d v="2025-05-20T03:40:20"/>
    <m/>
    <m/>
    <x v="1"/>
    <n v="153"/>
    <s v="Marcus Avemarie"/>
    <m/>
  </r>
  <r>
    <x v="222"/>
    <x v="0"/>
    <x v="2"/>
    <s v="IPHOENX_000400764097"/>
    <s v="L000010089"/>
    <s v="L000010089"/>
    <s v="Non-LFF"/>
    <s v=""/>
    <m/>
    <b v="1"/>
    <x v="2"/>
    <x v="2"/>
    <d v="2025-05-20T03:40:20"/>
    <m/>
    <m/>
    <x v="1"/>
    <n v="153"/>
    <s v="Marcus Avemarie"/>
    <m/>
  </r>
  <r>
    <x v="222"/>
    <x v="0"/>
    <x v="2"/>
    <s v="IPHOENX_000400764098"/>
    <s v="L000010089"/>
    <s v="L000010089"/>
    <s v="Non-LFF"/>
    <s v=""/>
    <m/>
    <b v="1"/>
    <x v="2"/>
    <x v="2"/>
    <d v="2025-05-20T03:40:20"/>
    <m/>
    <m/>
    <x v="1"/>
    <n v="153"/>
    <s v="Marcus Avemarie"/>
    <m/>
  </r>
  <r>
    <x v="222"/>
    <x v="0"/>
    <x v="2"/>
    <s v="IPHOENX_000400764095"/>
    <s v="L000010089"/>
    <s v="L000010089"/>
    <s v="Non-LFF"/>
    <s v=""/>
    <m/>
    <b v="1"/>
    <x v="2"/>
    <x v="2"/>
    <d v="2025-05-20T03:40:20"/>
    <m/>
    <m/>
    <x v="1"/>
    <n v="153"/>
    <s v="Marcus Avemarie"/>
    <m/>
  </r>
  <r>
    <x v="223"/>
    <x v="0"/>
    <x v="2"/>
    <s v="CNOW_7210$$$0000056336 "/>
    <s v="G000001194"/>
    <s v="G000001194"/>
    <s v="Non-LFF"/>
    <s v=""/>
    <m/>
    <b v="1"/>
    <x v="0"/>
    <x v="2"/>
    <d v="2025-05-21T12:36:51"/>
    <d v="2025-05-27T00:00:00"/>
    <d v="2025-05-27T00:00:00"/>
    <x v="0"/>
    <n v="4"/>
    <s v="Jojeff Tagnong"/>
    <m/>
  </r>
  <r>
    <x v="223"/>
    <x v="0"/>
    <x v="2"/>
    <s v="CTEMPNA_1000PH80GFO047"/>
    <s v="G000001161"/>
    <s v="G000001161"/>
    <s v="Non-LFF"/>
    <s v=""/>
    <m/>
    <b v="1"/>
    <x v="0"/>
    <x v="2"/>
    <d v="2025-05-21T12:36:51"/>
    <d v="2025-05-27T00:00:00"/>
    <d v="2025-05-27T00:00:00"/>
    <x v="0"/>
    <n v="4"/>
    <s v="Jojeff Tagnong"/>
    <m/>
  </r>
  <r>
    <x v="224"/>
    <x v="0"/>
    <x v="2"/>
    <s v="CFLTFLE_23960000000450"/>
    <s v="L000007703"/>
    <s v="L000007703"/>
    <s v="Non-LFF"/>
    <s v=""/>
    <m/>
    <b v="1"/>
    <x v="2"/>
    <x v="2"/>
    <d v="2025-05-21T14:15:15"/>
    <d v="2025-05-27T00:00:00"/>
    <d v="2025-05-27T00:00:00"/>
    <x v="0"/>
    <n v="4"/>
    <s v="Joan Rose Pena"/>
    <m/>
  </r>
  <r>
    <x v="225"/>
    <x v="0"/>
    <x v="2"/>
    <s v="EMERAL_70006202991013"/>
    <s v="H000000940"/>
    <s v="H000000940"/>
    <s v="Non-LFF"/>
    <s v=""/>
    <m/>
    <b v="1"/>
    <x v="1"/>
    <x v="2"/>
    <d v="2025-05-23T10:01:07"/>
    <d v="2025-05-29T00:00:00"/>
    <d v="2025-05-29T00:00:00"/>
    <x v="0"/>
    <n v="4"/>
    <s v="Henry Ifurung Jr."/>
    <m/>
  </r>
  <r>
    <x v="226"/>
    <x v="0"/>
    <x v="2"/>
    <s v="CLFF_1000$$$DE20538638"/>
    <s v="G000000686"/>
    <s v="G000000686"/>
    <s v="LFF (MDG-F)"/>
    <s v="DE20538638"/>
    <s v="Changes were saved for change request 25374757"/>
    <b v="1"/>
    <x v="0"/>
    <x v="2"/>
    <d v="2025-05-23T08:07:09"/>
    <d v="2025-05-29T00:00:00"/>
    <d v="2025-05-29T00:00:00"/>
    <x v="0"/>
    <n v="4"/>
    <s v="Nadine Anic"/>
    <m/>
  </r>
  <r>
    <x v="226"/>
    <x v="0"/>
    <x v="2"/>
    <s v="CLFF_1000$$$DE10538638"/>
    <s v="G000000686"/>
    <s v="G000000686"/>
    <s v="LFF (MDG-F)"/>
    <s v="DE10538638"/>
    <s v="Changes were saved for change request 25374757"/>
    <b v="1"/>
    <x v="0"/>
    <x v="2"/>
    <d v="2025-05-23T08:07:09"/>
    <d v="2025-05-29T00:00:00"/>
    <d v="2025-05-29T00:00:00"/>
    <x v="0"/>
    <n v="4"/>
    <s v="Nadine Anic"/>
    <m/>
  </r>
  <r>
    <x v="227"/>
    <x v="0"/>
    <x v="2"/>
    <s v="CEMERAL_70006202991013 Learning &amp; Development Administrator"/>
    <s v="H000000945"/>
    <s v="H000000945"/>
    <s v="Non-LFF"/>
    <s v=""/>
    <m/>
    <b v="1"/>
    <x v="1"/>
    <x v="2"/>
    <d v="2025-05-23T09:06:25"/>
    <d v="2025-05-27T00:00:00"/>
    <d v="2025-05-27T00:00:00"/>
    <x v="0"/>
    <n v="2"/>
    <s v="Henry Ifurung Jr."/>
    <m/>
  </r>
  <r>
    <x v="227"/>
    <x v="0"/>
    <x v="2"/>
    <s v="ITEMPEU_009000002323 PL10IC1261IS3110350000"/>
    <s v="H000000940"/>
    <s v="H000000940"/>
    <s v="Non-LFF"/>
    <s v=""/>
    <m/>
    <b v="1"/>
    <x v="1"/>
    <x v="2"/>
    <d v="2025-05-23T09:06:25"/>
    <d v="2025-05-27T00:00:00"/>
    <d v="2025-05-27T00:00:00"/>
    <x v="0"/>
    <n v="2"/>
    <s v="Henry Ifurung Jr."/>
    <m/>
  </r>
  <r>
    <x v="227"/>
    <x v="0"/>
    <x v="2"/>
    <s v="CEMERAL_70007001433297 MESI REG BP Regional Business Excellence"/>
    <s v="H000000940"/>
    <s v="H000000940"/>
    <s v="Non-LFF"/>
    <s v=""/>
    <m/>
    <b v="1"/>
    <x v="1"/>
    <x v="2"/>
    <d v="2025-05-23T09:06:25"/>
    <d v="2025-05-27T00:00:00"/>
    <d v="2025-05-27T00:00:00"/>
    <x v="0"/>
    <n v="2"/>
    <s v="Henry Ifurung Jr."/>
    <m/>
  </r>
  <r>
    <x v="227"/>
    <x v="0"/>
    <x v="2"/>
    <s v="PLEAN_X310001DE5015767 SIT COM PROM OTH GBEI Content Management"/>
    <s v="H000000940"/>
    <s v="H000000940"/>
    <s v="Non-LFF"/>
    <s v=""/>
    <m/>
    <b v="1"/>
    <x v="1"/>
    <x v="2"/>
    <d v="2025-05-23T09:06:25"/>
    <d v="2025-05-27T00:00:00"/>
    <d v="2025-05-27T00:00:00"/>
    <x v="0"/>
    <n v="2"/>
    <s v="Henry Ifurung Jr."/>
    <m/>
  </r>
  <r>
    <x v="227"/>
    <x v="0"/>
    <x v="2"/>
    <s v="PLEAN_X310001DE5015768 SIT COM PROM OTH GBEI Content Management"/>
    <s v="H000000940"/>
    <s v="H000000940"/>
    <s v="Non-LFF"/>
    <s v=""/>
    <m/>
    <b v="1"/>
    <x v="1"/>
    <x v="2"/>
    <d v="2025-05-23T09:06:25"/>
    <d v="2025-05-27T00:00:00"/>
    <d v="2025-05-27T00:00:00"/>
    <x v="0"/>
    <n v="2"/>
    <s v="Henry Ifurung Jr."/>
    <m/>
  </r>
  <r>
    <x v="227"/>
    <x v="0"/>
    <x v="2"/>
    <s v="PLEAN_X310001DE5015769 SIT COM PROM OTH GCE-Omnichannel Insight"/>
    <s v="H000000940"/>
    <s v="H000000940"/>
    <s v="Non-LFF"/>
    <s v=""/>
    <m/>
    <b v="1"/>
    <x v="1"/>
    <x v="2"/>
    <d v="2025-05-23T09:06:25"/>
    <d v="2025-05-27T00:00:00"/>
    <d v="2025-05-27T00:00:00"/>
    <x v="0"/>
    <n v="2"/>
    <s v="Henry Ifurung Jr."/>
    <m/>
  </r>
  <r>
    <x v="227"/>
    <x v="0"/>
    <x v="2"/>
    <s v="PLEAN_X310001DE5015770 SIT COM PROM OTH GCE-Global Conventions"/>
    <s v="H000000940"/>
    <s v="H000000940"/>
    <s v="Non-LFF"/>
    <s v=""/>
    <m/>
    <b v="1"/>
    <x v="1"/>
    <x v="2"/>
    <d v="2025-05-23T09:06:25"/>
    <d v="2025-05-27T00:00:00"/>
    <d v="2025-05-27T00:00:00"/>
    <x v="0"/>
    <n v="2"/>
    <s v="Henry Ifurung Jr."/>
    <m/>
  </r>
  <r>
    <x v="227"/>
    <x v="0"/>
    <x v="2"/>
    <s v="PLEAN_X310001DE5015771 SIT COM PROM OTH GCE-FFE Excellence"/>
    <s v="H000000940"/>
    <s v="H000000940"/>
    <s v="Non-LFF"/>
    <s v=""/>
    <m/>
    <b v="1"/>
    <x v="1"/>
    <x v="2"/>
    <d v="2025-05-23T09:06:25"/>
    <d v="2025-05-27T00:00:00"/>
    <d v="2025-05-27T00:00:00"/>
    <x v="0"/>
    <n v="2"/>
    <s v="Henry Ifurung Jr."/>
    <m/>
  </r>
  <r>
    <x v="227"/>
    <x v="0"/>
    <x v="2"/>
    <s v="PLEAN_X310001DE5015772 SIT COM PROM OTH GCE-Omnichannel Excelle"/>
    <s v="H000000940"/>
    <s v="H000000940"/>
    <s v="Non-LFF"/>
    <s v=""/>
    <m/>
    <b v="1"/>
    <x v="1"/>
    <x v="2"/>
    <d v="2025-05-23T09:06:25"/>
    <d v="2025-05-27T00:00:00"/>
    <d v="2025-05-27T00:00:00"/>
    <x v="0"/>
    <n v="2"/>
    <s v="Henry Ifurung Jr."/>
    <m/>
  </r>
  <r>
    <x v="228"/>
    <x v="0"/>
    <x v="2"/>
    <s v="PLEAN_X310131AT5013200 Tepmetko Sponsorings &amp; events"/>
    <s v="H000003622"/>
    <s v="H000003622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131AT5015200 Tepmetko Promo &amp; advertising"/>
    <s v="H000003622"/>
    <s v="H000003622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21AT5011200 Cardio Advertising"/>
    <s v="H000003628"/>
    <s v="H000003628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21AT5013200 Cardio Congresses &amp; events"/>
    <s v="H000003628"/>
    <s v="H000003628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21AT5015200 Cardio Other promotion and advertising"/>
    <s v="H000003628"/>
    <s v="H000003628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512AT5023200 Mavenclad Other medical activities (non-"/>
    <s v="H000003625"/>
    <s v="H000003625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101AT5013200 Erbitux Sponsorings &amp; events"/>
    <s v="H000003622"/>
    <s v="H000003622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101AT5015200 Erbitux Promo &amp; advertising"/>
    <s v="H000003622"/>
    <s v="H000003622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102AT5023200 Erbitux Medical activities"/>
    <s v="H000003631"/>
    <s v="H00000363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102AT5023201 Erbitux Medical congresses"/>
    <s v="H000003631"/>
    <s v="H00000363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202AT5023200 Fertility Other medical activities (non-"/>
    <s v="H000003633"/>
    <s v="H000003633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22AT5020200 Cardio Medical education"/>
    <s v="H000003633"/>
    <s v="H000003633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22AT5022200 Cardio Medical consultants"/>
    <s v="H000003633"/>
    <s v="H000003633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22AT5023200 Cardio Other medical activities (non-R&amp;D"/>
    <s v="H000003633"/>
    <s v="H000003633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31AT5013200 Thyroids Congresses &amp; events"/>
    <s v="H000003628"/>
    <s v="H000003628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31AT5015200 Thyroids Other promotion and advertising"/>
    <s v="H000003628"/>
    <s v="H000003628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32AT5020200 Thyroids Medical education"/>
    <s v="H000003633"/>
    <s v="H000003633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32AT5022200 Thyroids Medical consultants"/>
    <s v="H000003633"/>
    <s v="H000003633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32AT5023200 Thyroids Other medical activities (non-R"/>
    <s v="H000003633"/>
    <s v="H000003633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21CZ5010201 Cardio Commercial CZ50 Promo Material Ge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21CZ5011201 Cardio Commercial CZ50 Advertising Gener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21CZ5013201 Cardio Commercial CZ50 Congress &amp; Events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21CZ5013202 Cardio Commercial CZ50 Congress &amp; Events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21CZ5013205 Cardio Commercial CZ50 Congress &amp; Events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21CZ5015201 Cardio Commercial CZ50 Other Promo and A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21CZ5015205 Cardio Commercial CZ50 Other Promo and A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21CZ5030201 Cardio Commercial CZ50 Other M&amp;S Registr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512CZ5020202 Mavenclad Medical Non R&amp;D CZ50 Medical E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512CZ5020203 Mavenclad Medical Non R&amp;D CZ50 Medical E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512CZ5021201 Mavenclad Medical Non R&amp;D CZ50 Medical D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512CZ5022201 Mavenclad Medical Non R&amp;D CZ50 Medical C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101CZ5010201 Erbitux Commercial CZ50 Promo Material G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101CZ5013202 Erbitux Commercial CZ50 Congress &amp; Event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101CZ5013203 Erbitux Commercial CZ50 Congress &amp; Event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101CZ5013204 Erbitux Commercial CZ50 Congress &amp; Event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101CZ5013205 Erbitux Commercial CZ50 Congress &amp; Event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101CZ5015201 Erbitux Commercial CZ50 Other Promo and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101CZ5015205 Erbitux Commercial CZ50 Other Promo and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101CZ5030201 Erbitux Commercial CZ50 Other M&amp;S Regist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102CZ5020201 Erbitux Medical Non R&amp;D CZ50 Medical Edu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102CZ5020202 Erbitux Medical Non R&amp;D CZ50 Medical Edu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102CZ5020203 Erbitux Medical Non R&amp;D CZ50 Medical Edu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102CZ5020206 Erbitux Medical Non R&amp;D CZ50 Medical Edu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202CZ5020202 Fertility Medical Non R&amp;D CZ50 Medical E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202CZ5020206 Fertility Medical Non R&amp;D CZ50 Medical E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22CZ5020205 Cardio Medical Non R&amp;D CZ50 Medical Educ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31CZ5011201 Thyro Commercial CZ50 Advertising Genera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31CZ5013201 Thyro Commercial CZ50 Congress &amp; Events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31CZ5013202 Thyro Commercial CZ50 Congress &amp; Events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31CZ5013205 Thyro Commercial CZ50 Congress &amp; Events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31CZ5015201 Thyro Commercial CZ50 Other Promo and Ad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31CZ5015205 Thyro Commercial CZ50 Other Promo and Ad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31CZ5030201 Thyro Commercial CZ50 Other M&amp;S Registra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32CZ5020201 Thyro Medical Non R&amp;D CZ50 Medical Educa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32CZ5020205 Thyro Medical Non R&amp;D CZ50 Medical Educa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9"/>
    <x v="0"/>
    <x v="2"/>
    <s v="CTEMPLA_1000UY10100011 "/>
    <s v="G000001175"/>
    <s v="G000001175"/>
    <s v="Non-LFF"/>
    <s v=""/>
    <m/>
    <b v="1"/>
    <x v="0"/>
    <x v="2"/>
    <d v="2025-05-23T12:03:05"/>
    <d v="2025-05-27T00:00:00"/>
    <d v="2025-05-27T00:00:00"/>
    <x v="0"/>
    <n v="2"/>
    <s v="Jojeff Tagnong"/>
    <m/>
  </r>
  <r>
    <x v="230"/>
    <x v="0"/>
    <x v="2"/>
    <s v="CEMERAL_64010010860940 BioP Portfolio Management Headcount"/>
    <s v="L000013858"/>
    <s v="L000013858"/>
    <s v="Non-LFF"/>
    <s v=""/>
    <m/>
    <b v="1"/>
    <x v="2"/>
    <x v="2"/>
    <d v="2025-05-24T06:19:42"/>
    <m/>
    <m/>
    <x v="1"/>
    <n v="149"/>
    <s v="Ruby Grace Garcia"/>
    <m/>
  </r>
  <r>
    <x v="230"/>
    <x v="0"/>
    <x v="2"/>
    <s v="CEMERAL_64010010990901"/>
    <s v="L000013862"/>
    <s v="L000013862"/>
    <s v="Non-LFF"/>
    <s v=""/>
    <m/>
    <b v="1"/>
    <x v="2"/>
    <x v="2"/>
    <d v="2025-05-24T06:19:42"/>
    <m/>
    <m/>
    <x v="1"/>
    <n v="149"/>
    <s v="Ruby Grace Garcia"/>
    <m/>
  </r>
  <r>
    <x v="230"/>
    <x v="0"/>
    <x v="2"/>
    <s v="CEMERAL_70006101992001"/>
    <s v="L000013862"/>
    <s v="L000013862"/>
    <s v="Non-LFF"/>
    <s v=""/>
    <m/>
    <b v="1"/>
    <x v="2"/>
    <x v="2"/>
    <d v="2025-05-24T06:19:42"/>
    <m/>
    <m/>
    <x v="1"/>
    <n v="149"/>
    <s v="Ruby Grace Garcia"/>
    <m/>
  </r>
  <r>
    <x v="230"/>
    <x v="0"/>
    <x v="2"/>
    <s v="CEMERAL_70006101MS1314 LS-PS-FS Focused Modalities &amp; New Segmen"/>
    <s v="L000013855"/>
    <s v="L000013855"/>
    <s v="Non-LFF"/>
    <s v=""/>
    <m/>
    <b v="1"/>
    <x v="2"/>
    <x v="2"/>
    <d v="2025-05-24T06:19:42"/>
    <m/>
    <m/>
    <x v="1"/>
    <n v="149"/>
    <s v="Ruby Grace Garcia"/>
    <m/>
  </r>
  <r>
    <x v="230"/>
    <x v="0"/>
    <x v="2"/>
    <s v="CEMERAL_70006101MS3114 Nantong/Wuxi MO"/>
    <s v="L000013143"/>
    <s v="L000013143"/>
    <s v="Non-LFF"/>
    <s v=""/>
    <m/>
    <b v="1"/>
    <x v="2"/>
    <x v="2"/>
    <d v="2025-05-24T06:19:42"/>
    <m/>
    <m/>
    <x v="1"/>
    <n v="149"/>
    <s v="Ruby Grace Garcia"/>
    <m/>
  </r>
  <r>
    <x v="230"/>
    <x v="0"/>
    <x v="2"/>
    <s v="CEMERAL_70006101MS3203 Building up a Marketing team in Shanghai"/>
    <s v="L000013143"/>
    <s v="L000013143"/>
    <s v="Non-LFF"/>
    <s v=""/>
    <m/>
    <b v="1"/>
    <x v="2"/>
    <x v="2"/>
    <d v="2025-05-24T06:19:42"/>
    <m/>
    <m/>
    <x v="1"/>
    <n v="149"/>
    <s v="Ruby Grace Garcia"/>
    <m/>
  </r>
  <r>
    <x v="230"/>
    <x v="0"/>
    <x v="2"/>
    <s v="CEMERAL_70006101RD3110 Product Management Nantong/Wuxi MO"/>
    <s v="L000013143"/>
    <s v="L000013143"/>
    <s v="Non-LFF"/>
    <s v=""/>
    <m/>
    <b v="1"/>
    <x v="2"/>
    <x v="2"/>
    <d v="2025-05-24T06:19:42"/>
    <m/>
    <m/>
    <x v="1"/>
    <n v="149"/>
    <s v="Ruby Grace Garcia"/>
    <m/>
  </r>
  <r>
    <x v="230"/>
    <x v="0"/>
    <x v="2"/>
    <s v="CEMERAL_70006101T2A040"/>
    <s v="L000011361"/>
    <s v="L000011361"/>
    <s v="Non-LFF"/>
    <s v=""/>
    <m/>
    <b v="1"/>
    <x v="2"/>
    <x v="2"/>
    <d v="2025-05-24T06:19:42"/>
    <m/>
    <m/>
    <x v="1"/>
    <n v="149"/>
    <s v="Ruby Grace Garcia"/>
    <m/>
  </r>
  <r>
    <x v="230"/>
    <x v="0"/>
    <x v="2"/>
    <s v="CEMERAL_70006112ADA403"/>
    <s v="L000013862"/>
    <s v="L000013862"/>
    <s v="Non-LFF"/>
    <s v=""/>
    <m/>
    <b v="1"/>
    <x v="2"/>
    <x v="2"/>
    <d v="2025-05-24T06:19:42"/>
    <m/>
    <m/>
    <x v="1"/>
    <n v="149"/>
    <s v="Ruby Grace Garcia"/>
    <m/>
  </r>
  <r>
    <x v="230"/>
    <x v="0"/>
    <x v="2"/>
    <s v="CEMERAL_70006203100501"/>
    <s v="L000011394"/>
    <s v="L000011394"/>
    <s v="Non-LFF"/>
    <s v=""/>
    <m/>
    <b v="1"/>
    <x v="2"/>
    <x v="2"/>
    <d v="2025-05-24T06:19:42"/>
    <m/>
    <m/>
    <x v="1"/>
    <n v="149"/>
    <s v="Ruby Grace Garcia"/>
    <m/>
  </r>
  <r>
    <x v="230"/>
    <x v="0"/>
    <x v="2"/>
    <s v="CEMERAL_70006203121212"/>
    <s v="L000013863"/>
    <s v="L000013863"/>
    <s v="Non-LFF"/>
    <s v=""/>
    <m/>
    <b v="1"/>
    <x v="2"/>
    <x v="2"/>
    <d v="2025-05-24T06:19:42"/>
    <m/>
    <m/>
    <x v="1"/>
    <n v="149"/>
    <s v="Ruby Grace Garcia"/>
    <m/>
  </r>
  <r>
    <x v="230"/>
    <x v="0"/>
    <x v="2"/>
    <s v="CEMERAL_70006203131313"/>
    <s v="L000013863"/>
    <s v="L000013863"/>
    <s v="Non-LFF"/>
    <s v=""/>
    <m/>
    <b v="1"/>
    <x v="2"/>
    <x v="2"/>
    <d v="2025-05-24T06:19:42"/>
    <m/>
    <m/>
    <x v="1"/>
    <n v="149"/>
    <s v="Ruby Grace Garcia"/>
    <m/>
  </r>
  <r>
    <x v="230"/>
    <x v="0"/>
    <x v="2"/>
    <s v="CEMERAL_70006203600902 A&amp;F Segment Mrktg (IN)"/>
    <s v="L000013859"/>
    <s v="L000013859"/>
    <s v="Non-LFF"/>
    <s v=""/>
    <m/>
    <b v="1"/>
    <x v="2"/>
    <x v="2"/>
    <d v="2025-05-24T06:19:42"/>
    <m/>
    <m/>
    <x v="1"/>
    <n v="149"/>
    <s v="Ruby Grace Garcia"/>
    <m/>
  </r>
  <r>
    <x v="230"/>
    <x v="0"/>
    <x v="2"/>
    <s v="CEMERAL_700063029905RA"/>
    <s v="L000013862"/>
    <s v="L000013862"/>
    <s v="Non-LFF"/>
    <s v=""/>
    <m/>
    <b v="1"/>
    <x v="2"/>
    <x v="2"/>
    <d v="2025-05-24T06:19:42"/>
    <m/>
    <m/>
    <x v="1"/>
    <n v="149"/>
    <s v="Ruby Grace Garcia"/>
    <m/>
  </r>
  <r>
    <x v="230"/>
    <x v="0"/>
    <x v="2"/>
    <s v="CEMERAL_70006502000001 GTM Mod Focus Korea"/>
    <s v="L000012407"/>
    <s v="L000012407"/>
    <s v="Non-LFF"/>
    <s v=""/>
    <m/>
    <b v="1"/>
    <x v="2"/>
    <x v="2"/>
    <d v="2025-05-24T06:19:42"/>
    <m/>
    <m/>
    <x v="1"/>
    <n v="149"/>
    <s v="Ruby Grace Garcia"/>
    <m/>
  </r>
  <r>
    <x v="230"/>
    <x v="0"/>
    <x v="2"/>
    <s v="CEMERAL_70006502991734"/>
    <s v="L000013862"/>
    <s v="L000013862"/>
    <s v="Non-LFF"/>
    <s v=""/>
    <m/>
    <b v="1"/>
    <x v="2"/>
    <x v="2"/>
    <d v="2025-05-24T06:19:42"/>
    <m/>
    <m/>
    <x v="1"/>
    <n v="149"/>
    <s v="Ruby Grace Garcia"/>
    <m/>
  </r>
  <r>
    <x v="230"/>
    <x v="0"/>
    <x v="2"/>
    <s v="CEMERAL_70007001580588"/>
    <s v="L000013862"/>
    <s v="L000013862"/>
    <s v="Non-LFF"/>
    <s v=""/>
    <m/>
    <b v="1"/>
    <x v="2"/>
    <x v="2"/>
    <d v="2025-05-24T06:19:42"/>
    <m/>
    <m/>
    <x v="1"/>
    <n v="149"/>
    <s v="Ruby Grace Garcia"/>
    <m/>
  </r>
  <r>
    <x v="230"/>
    <x v="0"/>
    <x v="2"/>
    <s v="CEMERAL_70007102171417 Bioprocessing segments"/>
    <s v="L000013851"/>
    <s v="L000013851"/>
    <s v="Non-LFF"/>
    <s v=""/>
    <m/>
    <b v="1"/>
    <x v="2"/>
    <x v="2"/>
    <d v="2025-05-24T06:19:42"/>
    <m/>
    <m/>
    <x v="1"/>
    <n v="149"/>
    <s v="Ruby Grace Garcia"/>
    <m/>
  </r>
  <r>
    <x v="230"/>
    <x v="0"/>
    <x v="2"/>
    <s v="CEMERAL_70007102171431 BioP APAC Product Management"/>
    <s v="L000013226"/>
    <s v="L000013226"/>
    <s v="Non-LFF"/>
    <s v=""/>
    <m/>
    <b v="1"/>
    <x v="2"/>
    <x v="2"/>
    <d v="2025-05-24T06:19:42"/>
    <m/>
    <m/>
    <x v="1"/>
    <n v="149"/>
    <s v="Ruby Grace Garcia"/>
    <m/>
  </r>
  <r>
    <x v="230"/>
    <x v="0"/>
    <x v="2"/>
    <s v="CEMERAL_70007102171811"/>
    <s v="L000013862"/>
    <s v="L000013862"/>
    <s v="Non-LFF"/>
    <s v=""/>
    <m/>
    <b v="1"/>
    <x v="2"/>
    <x v="2"/>
    <d v="2025-05-24T06:19:42"/>
    <m/>
    <m/>
    <x v="1"/>
    <n v="149"/>
    <s v="Ruby Grace Garcia"/>
    <m/>
  </r>
  <r>
    <x v="230"/>
    <x v="0"/>
    <x v="2"/>
    <s v="CFLTFLE_1044LSTC"/>
    <s v="L000013862"/>
    <s v="L000013862"/>
    <s v="Non-LFF"/>
    <s v=""/>
    <m/>
    <b v="1"/>
    <x v="2"/>
    <x v="2"/>
    <d v="2025-05-24T06:19:42"/>
    <m/>
    <m/>
    <x v="1"/>
    <n v="149"/>
    <s v="Ruby Grace Garcia"/>
    <m/>
  </r>
  <r>
    <x v="230"/>
    <x v="0"/>
    <x v="2"/>
    <s v="CFLTFLE_10548-151-RMTC"/>
    <s v="L000013862"/>
    <s v="L000013862"/>
    <s v="Non-LFF"/>
    <s v=""/>
    <m/>
    <b v="1"/>
    <x v="2"/>
    <x v="2"/>
    <d v="2025-05-24T06:19:42"/>
    <m/>
    <m/>
    <x v="1"/>
    <n v="149"/>
    <s v="Ruby Grace Garcia"/>
    <m/>
  </r>
  <r>
    <x v="230"/>
    <x v="0"/>
    <x v="2"/>
    <s v="CFLTFLE_1106T95000 Marketing"/>
    <s v="L000013840"/>
    <s v="L000013840"/>
    <s v="Non-LFF"/>
    <s v=""/>
    <m/>
    <b v="1"/>
    <x v="2"/>
    <x v="2"/>
    <d v="2025-05-24T06:19:42"/>
    <m/>
    <m/>
    <x v="1"/>
    <n v="149"/>
    <s v="Ruby Grace Garcia"/>
    <m/>
  </r>
  <r>
    <x v="230"/>
    <x v="0"/>
    <x v="2"/>
    <s v="CFLTFLE_1798C15"/>
    <s v="L000013862"/>
    <s v="L000013862"/>
    <s v="Non-LFF"/>
    <s v=""/>
    <m/>
    <b v="1"/>
    <x v="2"/>
    <x v="2"/>
    <d v="2025-05-24T06:19:42"/>
    <m/>
    <m/>
    <x v="1"/>
    <n v="149"/>
    <s v="Ruby Grace Garcia"/>
    <m/>
  </r>
  <r>
    <x v="230"/>
    <x v="0"/>
    <x v="2"/>
    <s v="CFLTFLE_22450000002762"/>
    <s v="L000013861"/>
    <s v="L000013861"/>
    <s v="Non-LFF"/>
    <s v=""/>
    <m/>
    <b v="1"/>
    <x v="2"/>
    <x v="2"/>
    <d v="2025-05-24T06:19:42"/>
    <m/>
    <m/>
    <x v="1"/>
    <n v="149"/>
    <s v="Ruby Grace Garcia"/>
    <m/>
  </r>
  <r>
    <x v="230"/>
    <x v="0"/>
    <x v="2"/>
    <s v="CLFF_1000$$$KE50C0FF10 FF - Science &amp; Lab Solutions"/>
    <s v="L000008834"/>
    <s v="L000008834"/>
    <s v="LFF (MDG-F)"/>
    <s v="KE50C0FF10"/>
    <s v="Already mapped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1756C00005 BioC Innovation Mgmt Mkt UK"/>
    <s v="L000013555"/>
    <s v="L000013555"/>
    <s v="LFF (MDG-F)"/>
    <s v="1756C00005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1756CS7063 Segment Mkt (U&amp;S)"/>
    <s v="L000013840"/>
    <s v="L000013840"/>
    <s v="LFF (MDG-F)"/>
    <s v="1756CS7063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1756CS7346 PSC - TM EMEA"/>
    <s v="L000013850"/>
    <s v="L000013850"/>
    <s v="LFF (MDG-F)"/>
    <s v="1756CS7346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1756OF0007"/>
    <s v="L000011362"/>
    <s v="L000011362"/>
    <s v="LFF (MDG-F)"/>
    <s v="1756OF0007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1937L52686"/>
    <s v="L000011397"/>
    <s v="L000011397"/>
    <s v="LFF (MDG-F)"/>
    <s v="1937L52686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2025C01122 A&amp;F Segment Marketing Italy"/>
    <s v="L000013855"/>
    <s v="L000013855"/>
    <s v="LFF (MDG-F)"/>
    <s v="2025C01122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2063C05891 Strategy Integration"/>
    <s v="L000013554"/>
    <s v="L000013554"/>
    <s v="LFF (MDG-F)"/>
    <s v="2063C05891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2063C06245 UPSTREAM CANADA"/>
    <s v="L000013841"/>
    <s v="L000013841"/>
    <s v="LFF (MDG-F)"/>
    <s v="2063C06245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2088C00662 Regional Sales support USA PSC Upstream"/>
    <s v="L000006593"/>
    <s v="L000006593"/>
    <s v="LFF (MDG-F)"/>
    <s v="2088C00662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2088L50001"/>
    <s v="L000013861"/>
    <s v="L000013861"/>
    <s v="LFF (MDG-F)"/>
    <s v="2088L50001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2102CS0020 SFRVN cell bank cost"/>
    <s v="L000013841"/>
    <s v="L000013841"/>
    <s v="LFF (MDG-F)"/>
    <s v="2102CS0020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2102CS0713 GENM - Producer Cell Lines Inventory"/>
    <s v="L000013841"/>
    <s v="L000013841"/>
    <s v="LFF (MDG-F)"/>
    <s v="2102CS0713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2102OF0002"/>
    <s v="L000013861"/>
    <s v="L000013861"/>
    <s v="LFF (MDG-F)"/>
    <s v="2102OF0002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2102TESZ81 Cell bank cost STL"/>
    <s v="L000013841"/>
    <s v="L000013841"/>
    <s v="LFF (MDG-F)"/>
    <s v="2102TESZ81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2103OF0001"/>
    <s v="L000011362"/>
    <s v="L000011362"/>
    <s v="LFF (MDG-F)"/>
    <s v="2103OF0001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2123C00049 Biocontinuum Marketing"/>
    <s v="L000013850"/>
    <s v="L000013850"/>
    <s v="LFF (MDG-F)"/>
    <s v="2123C00049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2123CS0002 eCommerce business development India"/>
    <s v="L000013532"/>
    <s v="L000013532"/>
    <s v="LFF (MDG-F)"/>
    <s v="2123CS0002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2123L50008"/>
    <s v="L000011394"/>
    <s v="L000011394"/>
    <s v="LFF (MDG-F)"/>
    <s v="2123L50008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2125C00005"/>
    <s v="L000011363"/>
    <s v="L000011363"/>
    <s v="LFF (MDG-F)"/>
    <s v="2125C00005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2128C00002 REG PS-FF UPS&amp;CHROM"/>
    <s v="L000013855"/>
    <s v="L000013855"/>
    <s v="LFF (MDG-F)"/>
    <s v="2128C00002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2137TPM813 Supply Chain 3813"/>
    <s v="L000010057"/>
    <s v="L000010057"/>
    <s v="LFF (MDG-F)"/>
    <s v="2137TPM813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2137TPM819 Planning 3819"/>
    <s v="L000010057"/>
    <s v="L000010057"/>
    <s v="LFF (MDG-F)"/>
    <s v="2137TPM819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2148L50220"/>
    <s v="L000011397"/>
    <s v="L000011397"/>
    <s v="LFF (MDG-F)"/>
    <s v="2148L50220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NOW_7210$$$0000010152"/>
    <s v="L000011362"/>
    <s v="L000011362"/>
    <s v="Non-LFF"/>
    <s v=""/>
    <m/>
    <b v="1"/>
    <x v="2"/>
    <x v="2"/>
    <d v="2025-05-24T06:19:42"/>
    <m/>
    <m/>
    <x v="1"/>
    <n v="149"/>
    <s v="Ruby Grace Garcia"/>
    <m/>
  </r>
  <r>
    <x v="230"/>
    <x v="0"/>
    <x v="2"/>
    <s v="CNOW_7210$$$0000015019 PSC - Central EU (GESA)"/>
    <s v="L000013143"/>
    <s v="L000013143"/>
    <s v="Non-LFF"/>
    <s v=""/>
    <m/>
    <b v="1"/>
    <x v="2"/>
    <x v="2"/>
    <d v="2025-05-24T06:19:42"/>
    <m/>
    <m/>
    <x v="1"/>
    <n v="149"/>
    <s v="Ruby Grace Garcia"/>
    <m/>
  </r>
  <r>
    <x v="230"/>
    <x v="0"/>
    <x v="2"/>
    <s v="CNOW_7210$$$0000021383 Segment Marketing A&amp;F (US)"/>
    <s v="L000013855"/>
    <s v="L000013855"/>
    <s v="Non-LFF"/>
    <s v=""/>
    <m/>
    <b v="1"/>
    <x v="2"/>
    <x v="2"/>
    <d v="2025-05-24T06:19:42"/>
    <m/>
    <m/>
    <x v="1"/>
    <n v="149"/>
    <s v="Ruby Grace Garcia"/>
    <m/>
  </r>
  <r>
    <x v="230"/>
    <x v="0"/>
    <x v="2"/>
    <s v="CNOW_7210$$$0000025463 Marketing Ops (Upstream &amp; Systems)"/>
    <s v="L000013858"/>
    <s v="L000013858"/>
    <s v="Non-LFF"/>
    <s v=""/>
    <m/>
    <b v="1"/>
    <x v="2"/>
    <x v="2"/>
    <d v="2025-05-24T06:19:42"/>
    <m/>
    <m/>
    <x v="1"/>
    <n v="149"/>
    <s v="Ruby Grace Garcia"/>
    <m/>
  </r>
  <r>
    <x v="230"/>
    <x v="0"/>
    <x v="2"/>
    <s v="CNOW_7210$$$0000025467 Cell Culture Media Marketing"/>
    <s v="L000013841"/>
    <s v="L000013841"/>
    <s v="Non-LFF"/>
    <s v=""/>
    <m/>
    <b v="1"/>
    <x v="2"/>
    <x v="2"/>
    <d v="2025-05-24T06:19:42"/>
    <m/>
    <m/>
    <x v="1"/>
    <n v="149"/>
    <s v="Ruby Grace Garcia"/>
    <m/>
  </r>
  <r>
    <x v="230"/>
    <x v="0"/>
    <x v="2"/>
    <s v="CNOW_7210$$$0000040106 Pre-engineering &amp; design support LEAD_PS"/>
    <s v="L000013841"/>
    <s v="L000013841"/>
    <s v="Non-LFF"/>
    <s v=""/>
    <m/>
    <b v="1"/>
    <x v="2"/>
    <x v="2"/>
    <d v="2025-05-24T06:19:42"/>
    <m/>
    <m/>
    <x v="1"/>
    <n v="149"/>
    <s v="Ruby Grace Garcia"/>
    <m/>
  </r>
  <r>
    <x v="230"/>
    <x v="0"/>
    <x v="2"/>
    <s v="CNOW_7210$$$0000040459"/>
    <s v="L000011363"/>
    <s v="L000011363"/>
    <s v="Non-LFF"/>
    <s v=""/>
    <m/>
    <b v="1"/>
    <x v="2"/>
    <x v="2"/>
    <d v="2025-05-24T06:19:42"/>
    <m/>
    <m/>
    <x v="1"/>
    <n v="149"/>
    <s v="Ruby Grace Garcia"/>
    <m/>
  </r>
  <r>
    <x v="230"/>
    <x v="0"/>
    <x v="2"/>
    <s v="CNOW_7210$$$0000052155 CL - Commercial"/>
    <s v="L000013855"/>
    <s v="L000013855"/>
    <s v="Non-LFF"/>
    <s v=""/>
    <m/>
    <b v="1"/>
    <x v="2"/>
    <x v="2"/>
    <d v="2025-05-24T06:19:42"/>
    <m/>
    <m/>
    <x v="1"/>
    <n v="149"/>
    <s v="Ruby Grace Garcia"/>
    <m/>
  </r>
  <r>
    <x v="230"/>
    <x v="0"/>
    <x v="2"/>
    <s v="CNOW_7210$$$0000056127 PS Downstream Portfolio Operations"/>
    <s v="L000013858"/>
    <s v="L000013858"/>
    <s v="Non-LFF"/>
    <s v=""/>
    <m/>
    <b v="1"/>
    <x v="2"/>
    <x v="2"/>
    <d v="2025-05-24T06:19:42"/>
    <m/>
    <m/>
    <x v="1"/>
    <n v="149"/>
    <s v="Ruby Grace Garcia"/>
    <m/>
  </r>
  <r>
    <x v="230"/>
    <x v="0"/>
    <x v="2"/>
    <s v="CNOW_7210$$$0000057491"/>
    <s v="L000011393"/>
    <s v="L000011393"/>
    <s v="Non-LFF"/>
    <s v=""/>
    <m/>
    <b v="1"/>
    <x v="2"/>
    <x v="2"/>
    <d v="2025-05-24T06:19:42"/>
    <m/>
    <m/>
    <x v="1"/>
    <n v="149"/>
    <s v="Ruby Grace Garcia"/>
    <m/>
  </r>
  <r>
    <x v="230"/>
    <x v="0"/>
    <x v="2"/>
    <s v="CNOW_7210$$$0000058232"/>
    <s v="L000013862"/>
    <s v="L000013862"/>
    <s v="Non-LFF"/>
    <s v=""/>
    <m/>
    <b v="1"/>
    <x v="2"/>
    <x v="2"/>
    <d v="2025-05-24T06:19:42"/>
    <m/>
    <m/>
    <x v="1"/>
    <n v="149"/>
    <s v="Ruby Grace Garcia"/>
    <m/>
  </r>
  <r>
    <x v="230"/>
    <x v="0"/>
    <x v="2"/>
    <s v="CNOW_AUS0$$$0000091710"/>
    <s v="L000013862"/>
    <s v="L000013862"/>
    <s v="Non-LFF"/>
    <s v=""/>
    <m/>
    <b v="1"/>
    <x v="2"/>
    <x v="2"/>
    <d v="2025-05-24T06:19:42"/>
    <m/>
    <m/>
    <x v="1"/>
    <n v="149"/>
    <s v="Ruby Grace Garcia"/>
    <m/>
  </r>
  <r>
    <x v="230"/>
    <x v="0"/>
    <x v="2"/>
    <s v="CNOW_ROW$$$$0000005301"/>
    <s v="L000013862"/>
    <s v="L000013862"/>
    <s v="Non-LFF"/>
    <s v=""/>
    <m/>
    <b v="1"/>
    <x v="2"/>
    <x v="2"/>
    <d v="2025-05-24T06:19:42"/>
    <m/>
    <m/>
    <x v="1"/>
    <n v="149"/>
    <s v="Ruby Grace Garcia"/>
    <m/>
  </r>
  <r>
    <x v="230"/>
    <x v="0"/>
    <x v="2"/>
    <s v="CORAERP_MMOR1917.2686"/>
    <s v="L000011397"/>
    <s v="L000011397"/>
    <s v="Non-LFF"/>
    <s v=""/>
    <m/>
    <b v="1"/>
    <x v="2"/>
    <x v="2"/>
    <d v="2025-05-24T06:19:42"/>
    <m/>
    <m/>
    <x v="1"/>
    <n v="149"/>
    <s v="Ruby Grace Garcia"/>
    <m/>
  </r>
  <r>
    <x v="230"/>
    <x v="0"/>
    <x v="2"/>
    <s v="CORAERP_MMOR1917.9076"/>
    <s v="L000011363"/>
    <s v="L000011363"/>
    <s v="Non-LFF"/>
    <s v=""/>
    <m/>
    <b v="1"/>
    <x v="2"/>
    <x v="2"/>
    <d v="2025-05-24T06:19:42"/>
    <m/>
    <m/>
    <x v="1"/>
    <n v="149"/>
    <s v="Ruby Grace Garcia"/>
    <m/>
  </r>
  <r>
    <x v="230"/>
    <x v="0"/>
    <x v="2"/>
    <s v="CORAERP_MMOR1945.5002 BioProcessing Upstream"/>
    <s v="L000013841"/>
    <s v="L000013841"/>
    <s v="Non-LFF"/>
    <s v=""/>
    <m/>
    <b v="1"/>
    <x v="2"/>
    <x v="2"/>
    <d v="2025-05-24T06:19:42"/>
    <m/>
    <m/>
    <x v="1"/>
    <n v="149"/>
    <s v="Ruby Grace Garcia"/>
    <m/>
  </r>
  <r>
    <x v="230"/>
    <x v="0"/>
    <x v="2"/>
    <s v="CORAERP_MMOR1945.5069 Market, Competitive &amp; Sales Intel / Analytics"/>
    <s v="L000012348"/>
    <s v="L000012348"/>
    <s v="Non-LFF"/>
    <s v=""/>
    <m/>
    <b v="1"/>
    <x v="2"/>
    <x v="2"/>
    <d v="2025-05-24T06:19:42"/>
    <m/>
    <m/>
    <x v="1"/>
    <n v="149"/>
    <s v="Ruby Grace Garcia"/>
    <m/>
  </r>
  <r>
    <x v="230"/>
    <x v="0"/>
    <x v="2"/>
    <s v="CORAERP_MMOR1945.5070 BioC Marketing"/>
    <s v="L000013850"/>
    <s v="L000013850"/>
    <s v="Non-LFF"/>
    <s v=""/>
    <m/>
    <b v="1"/>
    <x v="2"/>
    <x v="2"/>
    <d v="2025-05-24T06:19:42"/>
    <m/>
    <m/>
    <x v="1"/>
    <n v="149"/>
    <s v="Ruby Grace Garcia"/>
    <m/>
  </r>
  <r>
    <x v="230"/>
    <x v="0"/>
    <x v="2"/>
    <s v="CORAERP_MMOR1945.5077 PS GSA"/>
    <s v="L000013220"/>
    <s v="L000013220"/>
    <s v="Non-LFF"/>
    <s v=""/>
    <m/>
    <b v="1"/>
    <x v="2"/>
    <x v="2"/>
    <d v="2025-05-24T06:19:42"/>
    <m/>
    <m/>
    <x v="1"/>
    <n v="149"/>
    <s v="Ruby Grace Garcia"/>
    <m/>
  </r>
  <r>
    <x v="230"/>
    <x v="0"/>
    <x v="2"/>
    <s v="CORAERP_MMOR1945.5106 Sales SG - BioP SP"/>
    <s v="L000012394"/>
    <s v="L000012394"/>
    <s v="Non-LFF"/>
    <s v=""/>
    <m/>
    <b v="1"/>
    <x v="2"/>
    <x v="2"/>
    <d v="2025-05-24T06:19:42"/>
    <m/>
    <m/>
    <x v="1"/>
    <n v="149"/>
    <s v="Ruby Grace Garcia"/>
    <m/>
  </r>
  <r>
    <x v="230"/>
    <x v="0"/>
    <x v="2"/>
    <s v="CORAERP_MMOR1945.5124 BioP Process &amp; Governance"/>
    <s v="L000013858"/>
    <s v="L000013858"/>
    <s v="Non-LFF"/>
    <s v=""/>
    <m/>
    <b v="1"/>
    <x v="2"/>
    <x v="2"/>
    <d v="2025-05-24T06:19:42"/>
    <m/>
    <m/>
    <x v="1"/>
    <n v="149"/>
    <s v="Ruby Grace Garcia"/>
    <m/>
  </r>
  <r>
    <x v="230"/>
    <x v="0"/>
    <x v="2"/>
    <s v="CORAERP_MMOR1945.5148 Sales KR - BioP SP"/>
    <s v="L000012392"/>
    <s v="L000012392"/>
    <s v="Non-LFF"/>
    <s v=""/>
    <m/>
    <b v="1"/>
    <x v="2"/>
    <x v="2"/>
    <d v="2025-05-24T06:19:42"/>
    <m/>
    <m/>
    <x v="1"/>
    <n v="149"/>
    <s v="Ruby Grace Garcia"/>
    <m/>
  </r>
  <r>
    <x v="230"/>
    <x v="0"/>
    <x v="2"/>
    <s v="CORAERP_MMOR1945.5246"/>
    <s v="L000013863"/>
    <s v="L000013863"/>
    <s v="Non-LFF"/>
    <s v=""/>
    <m/>
    <b v="1"/>
    <x v="2"/>
    <x v="2"/>
    <d v="2025-05-24T06:19:42"/>
    <m/>
    <m/>
    <x v="1"/>
    <n v="149"/>
    <s v="Ruby Grace Garcia"/>
    <m/>
  </r>
  <r>
    <x v="230"/>
    <x v="0"/>
    <x v="2"/>
    <s v="CORAERP_MMOR1945.5292 Marketing - Single Use"/>
    <s v="L000013850"/>
    <s v="L000013850"/>
    <s v="Non-LFF"/>
    <s v=""/>
    <m/>
    <b v="1"/>
    <x v="2"/>
    <x v="2"/>
    <d v="2025-05-24T06:19:42"/>
    <m/>
    <m/>
    <x v="1"/>
    <n v="149"/>
    <s v="Ruby Grace Garcia"/>
    <m/>
  </r>
  <r>
    <x v="230"/>
    <x v="0"/>
    <x v="2"/>
    <s v="CORAERP_MMOR1945.5299 Marketing - Hardware &amp; Systems"/>
    <s v="L000013850"/>
    <s v="L000013850"/>
    <s v="Non-LFF"/>
    <s v=""/>
    <m/>
    <b v="1"/>
    <x v="2"/>
    <x v="2"/>
    <d v="2025-05-24T06:19:42"/>
    <m/>
    <m/>
    <x v="1"/>
    <n v="149"/>
    <s v="Ruby Grace Garcia"/>
    <m/>
  </r>
  <r>
    <x v="230"/>
    <x v="0"/>
    <x v="2"/>
    <s v="CORAERP_MMOR1945.5514 Global PSC Tech Management"/>
    <s v="L000013855"/>
    <s v="L000013855"/>
    <s v="Non-LFF"/>
    <s v=""/>
    <m/>
    <b v="1"/>
    <x v="2"/>
    <x v="2"/>
    <d v="2025-05-24T06:19:42"/>
    <m/>
    <m/>
    <x v="1"/>
    <n v="149"/>
    <s v="Ruby Grace Garcia"/>
    <m/>
  </r>
  <r>
    <x v="230"/>
    <x v="0"/>
    <x v="2"/>
    <s v="CORAERP_MMOR1945.5891 Segment Marketing"/>
    <s v="L000013855"/>
    <s v="L000013855"/>
    <s v="Non-LFF"/>
    <s v=""/>
    <m/>
    <b v="1"/>
    <x v="2"/>
    <x v="2"/>
    <d v="2025-05-24T06:19:42"/>
    <m/>
    <m/>
    <x v="1"/>
    <n v="149"/>
    <s v="Ruby Grace Garcia"/>
    <m/>
  </r>
  <r>
    <x v="230"/>
    <x v="0"/>
    <x v="2"/>
    <s v="CORAERP_MMOR1945.5894 Strategy Operationalization"/>
    <s v="L000013851"/>
    <s v="L000013851"/>
    <s v="Non-LFF"/>
    <s v=""/>
    <m/>
    <b v="1"/>
    <x v="2"/>
    <x v="2"/>
    <d v="2025-05-24T06:19:42"/>
    <m/>
    <m/>
    <x v="1"/>
    <n v="149"/>
    <s v="Ruby Grace Garcia"/>
    <m/>
  </r>
  <r>
    <x v="230"/>
    <x v="0"/>
    <x v="2"/>
    <s v="CORAERP_MMOR1945.6520"/>
    <s v="L000011393"/>
    <s v="L000011393"/>
    <s v="Non-LFF"/>
    <s v=""/>
    <m/>
    <b v="1"/>
    <x v="2"/>
    <x v="2"/>
    <d v="2025-05-24T06:19:42"/>
    <m/>
    <m/>
    <x v="1"/>
    <n v="149"/>
    <s v="Ruby Grace Garcia"/>
    <m/>
  </r>
  <r>
    <x v="230"/>
    <x v="0"/>
    <x v="2"/>
    <s v="CORAERP_MMOR1945.9729 Resolution Spectra OOEI"/>
    <s v="L000013554"/>
    <s v="L000013554"/>
    <s v="Non-LFF"/>
    <s v=""/>
    <m/>
    <b v="1"/>
    <x v="2"/>
    <x v="2"/>
    <d v="2025-05-24T06:19:42"/>
    <m/>
    <m/>
    <x v="1"/>
    <n v="149"/>
    <s v="Ruby Grace Garcia"/>
    <m/>
  </r>
  <r>
    <x v="230"/>
    <x v="0"/>
    <x v="2"/>
    <s v="CORAERP_MMOR1945.L8ZU XXXBL L8 BioPharma Materials - MM - ZU"/>
    <s v="L000013226"/>
    <s v="L000013226"/>
    <s v="Non-LFF"/>
    <s v=""/>
    <m/>
    <b v="1"/>
    <x v="2"/>
    <x v="2"/>
    <d v="2025-05-24T06:19:42"/>
    <m/>
    <m/>
    <x v="1"/>
    <n v="149"/>
    <s v="Ruby Grace Garcia"/>
    <m/>
  </r>
  <r>
    <x v="230"/>
    <x v="0"/>
    <x v="2"/>
    <s v="CORAERP_MMOR1945.LR41 PS N9 Single-Use Royalty Expenses"/>
    <s v="L000013554"/>
    <s v="L000013554"/>
    <s v="Non-LFF"/>
    <s v=""/>
    <m/>
    <b v="1"/>
    <x v="2"/>
    <x v="2"/>
    <d v="2025-05-24T06:19:42"/>
    <m/>
    <m/>
    <x v="1"/>
    <n v="149"/>
    <s v="Ruby Grace Garcia"/>
    <m/>
  </r>
  <r>
    <x v="230"/>
    <x v="0"/>
    <x v="2"/>
    <s v="CORAERP_MMOR1975.5069 Market, Competitive &amp; Sales Intel / Analytics"/>
    <s v="L000012348"/>
    <s v="L000012348"/>
    <s v="Non-LFF"/>
    <s v=""/>
    <m/>
    <b v="1"/>
    <x v="2"/>
    <x v="2"/>
    <d v="2025-05-24T06:19:42"/>
    <m/>
    <m/>
    <x v="1"/>
    <n v="149"/>
    <s v="Ruby Grace Garcia"/>
    <m/>
  </r>
  <r>
    <x v="230"/>
    <x v="0"/>
    <x v="2"/>
    <s v="CORAERP_MMOR1975.5070 BioC Marketing"/>
    <s v="L000013850"/>
    <s v="L000013850"/>
    <s v="Non-LFF"/>
    <s v=""/>
    <m/>
    <b v="1"/>
    <x v="2"/>
    <x v="2"/>
    <d v="2025-05-24T06:19:42"/>
    <m/>
    <m/>
    <x v="1"/>
    <n v="149"/>
    <s v="Ruby Grace Garcia"/>
    <m/>
  </r>
  <r>
    <x v="230"/>
    <x v="0"/>
    <x v="2"/>
    <s v="CORAERP_MMOR1975.5074 BioP Upstream Business Line Headcount"/>
    <s v="L000011442"/>
    <s v="L000011442"/>
    <s v="Non-LFF"/>
    <s v=""/>
    <m/>
    <b v="1"/>
    <x v="2"/>
    <x v="2"/>
    <d v="2025-05-24T06:19:42"/>
    <m/>
    <m/>
    <x v="1"/>
    <n v="149"/>
    <s v="Ruby Grace Garcia"/>
    <m/>
  </r>
  <r>
    <x v="230"/>
    <x v="0"/>
    <x v="2"/>
    <s v="CORAERP_MMOR1975.5095 PFM Marketing GoGlobal exit"/>
    <s v="L000013226"/>
    <s v="L000013226"/>
    <s v="Non-LFF"/>
    <s v=""/>
    <m/>
    <b v="1"/>
    <x v="2"/>
    <x v="2"/>
    <d v="2025-05-24T06:19:42"/>
    <m/>
    <m/>
    <x v="1"/>
    <n v="149"/>
    <s v="Ruby Grace Garcia"/>
    <m/>
  </r>
  <r>
    <x v="230"/>
    <x v="0"/>
    <x v="2"/>
    <s v="CORAERP_MMOR1975.5140 Artemis expenses"/>
    <s v="L000013858"/>
    <s v="L000013858"/>
    <s v="Non-LFF"/>
    <s v=""/>
    <m/>
    <b v="1"/>
    <x v="2"/>
    <x v="2"/>
    <d v="2025-05-24T06:19:42"/>
    <m/>
    <m/>
    <x v="1"/>
    <n v="149"/>
    <s v="Ruby Grace Garcia"/>
    <m/>
  </r>
  <r>
    <x v="230"/>
    <x v="0"/>
    <x v="2"/>
    <s v="CORAERP_MMOR1975.5155 PS Digital Experience Management"/>
    <s v="L000013855"/>
    <s v="L000013855"/>
    <s v="Non-LFF"/>
    <s v=""/>
    <m/>
    <b v="1"/>
    <x v="2"/>
    <x v="2"/>
    <d v="2025-05-24T06:19:42"/>
    <m/>
    <m/>
    <x v="1"/>
    <n v="149"/>
    <s v="Ruby Grace Garcia"/>
    <m/>
  </r>
  <r>
    <x v="230"/>
    <x v="0"/>
    <x v="2"/>
    <s v="CORAERP_MMOR1975.5202 GENM - Cell &amp; Gene Therapy Franchise"/>
    <s v="L000013554"/>
    <s v="L000013554"/>
    <s v="Non-LFF"/>
    <s v=""/>
    <m/>
    <b v="1"/>
    <x v="2"/>
    <x v="2"/>
    <d v="2025-05-24T06:19:42"/>
    <m/>
    <m/>
    <x v="1"/>
    <n v="149"/>
    <s v="Ruby Grace Garcia"/>
    <m/>
  </r>
  <r>
    <x v="230"/>
    <x v="0"/>
    <x v="2"/>
    <s v="CORAERP_MMOR1975.5292 Marketing - Single Use"/>
    <s v="L000013851"/>
    <s v="L000013851"/>
    <s v="Non-LFF"/>
    <s v=""/>
    <m/>
    <b v="1"/>
    <x v="2"/>
    <x v="2"/>
    <d v="2025-05-24T06:19:42"/>
    <m/>
    <m/>
    <x v="1"/>
    <n v="149"/>
    <s v="Ruby Grace Garcia"/>
    <m/>
  </r>
  <r>
    <x v="230"/>
    <x v="0"/>
    <x v="2"/>
    <s v="CORAERP_MMOR1975.5299 Marketing - Hardware &amp; Systems"/>
    <s v="L000013850"/>
    <s v="L000013850"/>
    <s v="Non-LFF"/>
    <s v=""/>
    <m/>
    <b v="1"/>
    <x v="2"/>
    <x v="2"/>
    <d v="2025-05-24T06:19:42"/>
    <m/>
    <m/>
    <x v="1"/>
    <n v="149"/>
    <s v="Ruby Grace Garcia"/>
    <m/>
  </r>
  <r>
    <x v="230"/>
    <x v="0"/>
    <x v="2"/>
    <s v="CORAERP_MMOR1975.5514 Global PSC Tech Management"/>
    <s v="L000013855"/>
    <s v="L000013855"/>
    <s v="Non-LFF"/>
    <s v=""/>
    <m/>
    <b v="1"/>
    <x v="2"/>
    <x v="2"/>
    <d v="2025-05-24T06:19:42"/>
    <m/>
    <m/>
    <x v="1"/>
    <n v="149"/>
    <s v="Ruby Grace Garcia"/>
    <m/>
  </r>
  <r>
    <x v="230"/>
    <x v="0"/>
    <x v="2"/>
    <s v="CORAERP_MMOR1975.5540 PS Marketing Center Management"/>
    <s v="L000013854"/>
    <s v="L000013854"/>
    <s v="Non-LFF"/>
    <s v=""/>
    <m/>
    <b v="1"/>
    <x v="2"/>
    <x v="2"/>
    <d v="2025-05-24T06:19:42"/>
    <m/>
    <m/>
    <x v="1"/>
    <n v="149"/>
    <s v="Ruby Grace Garcia"/>
    <m/>
  </r>
  <r>
    <x v="230"/>
    <x v="0"/>
    <x v="2"/>
    <s v="CORAERP_MMOR1975.5598 Marketing - Hardware &amp; Systems"/>
    <s v="L000013858"/>
    <s v="L000013858"/>
    <s v="Non-LFF"/>
    <s v=""/>
    <m/>
    <b v="1"/>
    <x v="2"/>
    <x v="2"/>
    <d v="2025-05-24T06:19:42"/>
    <m/>
    <m/>
    <x v="1"/>
    <n v="149"/>
    <s v="Ruby Grace Garcia"/>
    <m/>
  </r>
  <r>
    <x v="230"/>
    <x v="0"/>
    <x v="2"/>
    <s v="CORAERP_MMOR1975.5891 Segment Marketing"/>
    <s v="L000013855"/>
    <s v="L000013855"/>
    <s v="Non-LFF"/>
    <s v=""/>
    <m/>
    <b v="1"/>
    <x v="2"/>
    <x v="2"/>
    <d v="2025-05-24T06:19:42"/>
    <m/>
    <m/>
    <x v="1"/>
    <n v="149"/>
    <s v="Ruby Grace Garcia"/>
    <m/>
  </r>
  <r>
    <x v="230"/>
    <x v="0"/>
    <x v="2"/>
    <s v="CORAERP_MMOR1975.5894 Strategy Operationalization"/>
    <s v="L000013851"/>
    <s v="L000013851"/>
    <s v="Non-LFF"/>
    <s v=""/>
    <m/>
    <b v="1"/>
    <x v="2"/>
    <x v="2"/>
    <d v="2025-05-24T06:19:42"/>
    <m/>
    <m/>
    <x v="1"/>
    <n v="149"/>
    <s v="Ruby Grace Garcia"/>
    <m/>
  </r>
  <r>
    <x v="230"/>
    <x v="0"/>
    <x v="2"/>
    <s v="CPHOENX_01010000102020 UPM Strategy and Execution"/>
    <s v="L000013842"/>
    <s v="L000013842"/>
    <s v="Non-LFF"/>
    <s v=""/>
    <m/>
    <b v="1"/>
    <x v="2"/>
    <x v="2"/>
    <d v="2025-05-24T06:19:42"/>
    <m/>
    <m/>
    <x v="1"/>
    <n v="149"/>
    <s v="Ruby Grace Garcia"/>
    <m/>
  </r>
  <r>
    <x v="230"/>
    <x v="0"/>
    <x v="2"/>
    <s v="CPHOENX_01010000650001 PS UPM Process Liquids &amp; Buffers"/>
    <s v="L000013840"/>
    <s v="L000013840"/>
    <s v="Non-LFF"/>
    <s v=""/>
    <m/>
    <b v="1"/>
    <x v="2"/>
    <x v="2"/>
    <d v="2025-05-24T06:19:42"/>
    <m/>
    <m/>
    <x v="1"/>
    <n v="149"/>
    <s v="Ruby Grace Garcia"/>
    <m/>
  </r>
  <r>
    <x v="230"/>
    <x v="0"/>
    <x v="2"/>
    <s v="CPHOENX_01010000681200 MM-PP Marketing Upstream"/>
    <s v="L000013841"/>
    <s v="L000013841"/>
    <s v="Non-LFF"/>
    <s v=""/>
    <m/>
    <b v="1"/>
    <x v="2"/>
    <x v="2"/>
    <d v="2025-05-24T06:19:42"/>
    <m/>
    <m/>
    <x v="1"/>
    <n v="149"/>
    <s v="Ruby Grace Garcia"/>
    <m/>
  </r>
  <r>
    <x v="230"/>
    <x v="0"/>
    <x v="2"/>
    <s v="CPHOENX_01010000687201 Bioprocessing - Marketing Operations"/>
    <s v="L000013143"/>
    <s v="L000013143"/>
    <s v="Non-LFF"/>
    <s v=""/>
    <m/>
    <b v="1"/>
    <x v="2"/>
    <x v="2"/>
    <d v="2025-05-24T06:19:42"/>
    <m/>
    <m/>
    <x v="1"/>
    <n v="149"/>
    <s v="Ruby Grace Garcia"/>
    <m/>
  </r>
  <r>
    <x v="230"/>
    <x v="0"/>
    <x v="2"/>
    <s v="CPHOENX_01010000689700 NEO-HR HO Operations - Inactive"/>
    <s v="L000013850"/>
    <s v="L000013850"/>
    <s v="Non-LFF"/>
    <s v=""/>
    <m/>
    <b v="1"/>
    <x v="2"/>
    <x v="2"/>
    <d v="2025-05-24T06:19:42"/>
    <m/>
    <m/>
    <x v="1"/>
    <n v="149"/>
    <s v="Ruby Grace Garcia"/>
    <m/>
  </r>
  <r>
    <x v="230"/>
    <x v="0"/>
    <x v="2"/>
    <s v="CPHOENX_01010000689970 Franchise 2 SU, Systems &amp; Services"/>
    <s v="L000013847"/>
    <s v="L000013847"/>
    <s v="Non-LFF"/>
    <s v=""/>
    <m/>
    <b v="1"/>
    <x v="2"/>
    <x v="2"/>
    <d v="2025-05-24T06:19:42"/>
    <m/>
    <m/>
    <x v="1"/>
    <n v="149"/>
    <s v="Ruby Grace Garcia"/>
    <m/>
  </r>
  <r>
    <x v="230"/>
    <x v="0"/>
    <x v="2"/>
    <s v="CPHOENX_01010000691801 BioProcessing Marketing Excellence"/>
    <s v="L000013858"/>
    <s v="L000013858"/>
    <s v="Non-LFF"/>
    <s v=""/>
    <m/>
    <b v="1"/>
    <x v="2"/>
    <x v="2"/>
    <d v="2025-05-24T06:19:42"/>
    <m/>
    <m/>
    <x v="1"/>
    <n v="149"/>
    <s v="Ruby Grace Garcia"/>
    <m/>
  </r>
  <r>
    <x v="230"/>
    <x v="0"/>
    <x v="2"/>
    <s v="CPHOENX_01010000699615 P&amp;FM Tech Comm."/>
    <s v="L000013558"/>
    <s v="L000013558"/>
    <s v="Non-LFF"/>
    <s v=""/>
    <m/>
    <b v="1"/>
    <x v="2"/>
    <x v="2"/>
    <d v="2025-05-24T06:19:42"/>
    <m/>
    <m/>
    <x v="1"/>
    <n v="149"/>
    <s v="Ruby Grace Garcia"/>
    <m/>
  </r>
  <r>
    <x v="230"/>
    <x v="0"/>
    <x v="2"/>
    <s v="CPHOENX_01010000699618 PFM Management"/>
    <s v="L000013857"/>
    <s v="L000013857"/>
    <s v="Non-LFF"/>
    <s v=""/>
    <m/>
    <b v="1"/>
    <x v="2"/>
    <x v="2"/>
    <d v="2025-05-24T06:19:42"/>
    <m/>
    <m/>
    <x v="1"/>
    <n v="149"/>
    <s v="Ruby Grace Garcia"/>
    <m/>
  </r>
  <r>
    <x v="230"/>
    <x v="0"/>
    <x v="2"/>
    <s v="CPHOENX_01010000699999 UPM Strategy &amp; Execution"/>
    <s v="L000013842"/>
    <s v="L000013842"/>
    <s v="Non-LFF"/>
    <s v=""/>
    <m/>
    <b v="1"/>
    <x v="2"/>
    <x v="2"/>
    <d v="2025-05-24T06:19:42"/>
    <m/>
    <m/>
    <x v="1"/>
    <n v="149"/>
    <s v="Ruby Grace Garcia"/>
    <m/>
  </r>
  <r>
    <x v="230"/>
    <x v="0"/>
    <x v="2"/>
    <s v="CSCALA_1042$LSRG"/>
    <s v="L000013862"/>
    <s v="L000013862"/>
    <s v="Non-LFF"/>
    <s v=""/>
    <m/>
    <b v="1"/>
    <x v="2"/>
    <x v="2"/>
    <d v="2025-05-24T06:19:42"/>
    <m/>
    <m/>
    <x v="1"/>
    <n v="149"/>
    <s v="Ruby Grace Garcia"/>
    <m/>
  </r>
  <r>
    <x v="230"/>
    <x v="0"/>
    <x v="2"/>
    <s v="CTEMPEU_1000AT40MS9999 BioProcessing Marketing Segments"/>
    <s v="L000013555"/>
    <s v="L000013555"/>
    <s v="Non-LFF"/>
    <s v=""/>
    <m/>
    <b v="1"/>
    <x v="2"/>
    <x v="2"/>
    <d v="2025-05-24T06:19:42"/>
    <m/>
    <m/>
    <x v="1"/>
    <n v="149"/>
    <s v="Ruby Grace Garcia"/>
    <m/>
  </r>
  <r>
    <x v="230"/>
    <x v="0"/>
    <x v="2"/>
    <s v="CTEMPEU_1000CH70MS1105 Marketing SH"/>
    <s v="L000011442"/>
    <s v="L000011442"/>
    <s v="Non-LFF"/>
    <s v=""/>
    <m/>
    <b v="1"/>
    <x v="2"/>
    <x v="2"/>
    <d v="2025-05-24T06:19:42"/>
    <m/>
    <m/>
    <x v="1"/>
    <n v="149"/>
    <s v="Ruby Grace Garcia"/>
    <m/>
  </r>
  <r>
    <x v="230"/>
    <x v="0"/>
    <x v="2"/>
    <s v="CTEMPEU_1000CH70MS4004 Franchise 4 BioContinuum"/>
    <s v="L000013851"/>
    <s v="L000013851"/>
    <s v="Non-LFF"/>
    <s v=""/>
    <m/>
    <b v="1"/>
    <x v="2"/>
    <x v="2"/>
    <d v="2025-05-24T06:19:42"/>
    <m/>
    <m/>
    <x v="1"/>
    <n v="149"/>
    <s v="Ruby Grace Garcia"/>
    <m/>
  </r>
  <r>
    <x v="230"/>
    <x v="0"/>
    <x v="2"/>
    <s v="CTEMPEU_1000FR60101010"/>
    <s v="L000013861"/>
    <s v="L000013861"/>
    <s v="Non-LFF"/>
    <s v=""/>
    <m/>
    <b v="1"/>
    <x v="2"/>
    <x v="2"/>
    <d v="2025-05-24T06:19:42"/>
    <m/>
    <m/>
    <x v="1"/>
    <n v="149"/>
    <s v="Ruby Grace Garcia"/>
    <m/>
  </r>
  <r>
    <x v="230"/>
    <x v="0"/>
    <x v="2"/>
    <s v="CTEMPEU_1000NL40001310 SU Business Planning &amp; Implementation"/>
    <s v="L000013852"/>
    <s v="L000013852"/>
    <s v="Non-LFF"/>
    <s v=""/>
    <m/>
    <b v="1"/>
    <x v="2"/>
    <x v="2"/>
    <d v="2025-05-24T06:19:42"/>
    <m/>
    <m/>
    <x v="1"/>
    <n v="149"/>
    <s v="Ruby Grace Garcia"/>
    <m/>
  </r>
  <r>
    <x v="230"/>
    <x v="0"/>
    <x v="2"/>
    <s v="CTEMPLA_1000MX10555555"/>
    <s v="L000011363"/>
    <s v="L000011363"/>
    <s v="Non-LFF"/>
    <s v=""/>
    <m/>
    <b v="1"/>
    <x v="2"/>
    <x v="2"/>
    <d v="2025-05-24T06:19:42"/>
    <m/>
    <m/>
    <x v="1"/>
    <n v="149"/>
    <s v="Ruby Grace Garcia"/>
    <m/>
  </r>
  <r>
    <x v="231"/>
    <x v="0"/>
    <x v="2"/>
    <s v="CLFF_1000$$$DE10639300 ONE LS ERP - EPP Services"/>
    <s v="L000013810"/>
    <s v="L000013810"/>
    <s v="LFF (MDG-F)"/>
    <s v="DE10639300"/>
    <s v="Changes were saved for change request 25379143"/>
    <b v="1"/>
    <x v="2"/>
    <x v="2"/>
    <d v="2025-05-24T06:47:49"/>
    <d v="2025-05-29T00:00:00"/>
    <d v="2025-05-29T00:00:00"/>
    <x v="0"/>
    <n v="3"/>
    <s v="Ruby Grace Garcia"/>
    <m/>
  </r>
  <r>
    <x v="231"/>
    <x v="0"/>
    <x v="2"/>
    <s v="CLFF_1000$$$DE10650100 GER NEXT ERP IT Trav 1500"/>
    <s v="L000013831"/>
    <s v="L000013831"/>
    <s v="LFF (MDG-F)"/>
    <s v="DE10650100"/>
    <s v="Changes were saved for change request 25379143"/>
    <b v="1"/>
    <x v="2"/>
    <x v="2"/>
    <d v="2025-05-24T06:47:49"/>
    <d v="2025-05-29T00:00:00"/>
    <d v="2025-05-29T00:00:00"/>
    <x v="0"/>
    <n v="3"/>
    <s v="Ruby Grace Garcia"/>
    <m/>
  </r>
  <r>
    <x v="231"/>
    <x v="0"/>
    <x v="2"/>
    <s v="CLFF_1000$$$DE10OF0005 T&amp;E - ONE LS ERP"/>
    <s v="L000013831"/>
    <s v="L000013831"/>
    <s v="LFF (MDG-F)"/>
    <s v="DE10OF0005"/>
    <s v="Changes were saved for change request 25379143"/>
    <b v="1"/>
    <x v="2"/>
    <x v="2"/>
    <d v="2025-05-24T06:47:49"/>
    <d v="2025-05-29T00:00:00"/>
    <d v="2025-05-29T00:00:00"/>
    <x v="0"/>
    <n v="3"/>
    <s v="Ruby Grace Garcia"/>
    <m/>
  </r>
  <r>
    <x v="231"/>
    <x v="0"/>
    <x v="2"/>
    <s v="CNOW_7210$$$0000010222 US NEXT ERP IT Travel 2098"/>
    <s v="L000013831"/>
    <s v="L000013831"/>
    <s v="Non-LFF"/>
    <s v=""/>
    <m/>
    <b v="1"/>
    <x v="2"/>
    <x v="2"/>
    <d v="2025-05-24T06:47:49"/>
    <m/>
    <m/>
    <x v="1"/>
    <n v="149"/>
    <s v="Ruby Grace Garcia"/>
    <m/>
  </r>
  <r>
    <x v="231"/>
    <x v="0"/>
    <x v="2"/>
    <s v="CORAERP_MMOR1975.9770 US NX ERP IT Trav 1975"/>
    <s v="L000013831"/>
    <s v="L000013831"/>
    <s v="Non-LFF"/>
    <s v=""/>
    <m/>
    <b v="1"/>
    <x v="2"/>
    <x v="2"/>
    <d v="2025-05-24T06:47:49"/>
    <m/>
    <m/>
    <x v="1"/>
    <n v="149"/>
    <s v="Ruby Grace Garcia"/>
    <m/>
  </r>
  <r>
    <x v="231"/>
    <x v="0"/>
    <x v="2"/>
    <s v="CPHOENX_01010000639300 NEXT - IT Personnel"/>
    <s v="L000013810"/>
    <s v="L000013810"/>
    <s v="Non-LFF"/>
    <s v=""/>
    <m/>
    <b v="1"/>
    <x v="2"/>
    <x v="2"/>
    <d v="2025-05-24T06:47:49"/>
    <m/>
    <m/>
    <x v="1"/>
    <n v="149"/>
    <s v="Ruby Grace Garcia"/>
    <m/>
  </r>
  <r>
    <x v="231"/>
    <x v="0"/>
    <x v="2"/>
    <s v="CPHOENX_01010000699620 SAC Business Implementation"/>
    <s v="L000013789"/>
    <s v="L000013789"/>
    <s v="Non-LFF"/>
    <s v=""/>
    <m/>
    <b v="1"/>
    <x v="2"/>
    <x v="2"/>
    <d v="2025-05-24T06:47:49"/>
    <m/>
    <m/>
    <x v="1"/>
    <n v="149"/>
    <s v="Ruby Grace Garcia"/>
    <m/>
  </r>
  <r>
    <x v="232"/>
    <x v="0"/>
    <x v="2"/>
    <s v="CSCALA_1042$GSD Global Service Desk MBS"/>
    <s v="H000000423"/>
    <s v="H000000423"/>
    <s v="Non-LFF"/>
    <s v=""/>
    <m/>
    <b v="1"/>
    <x v="1"/>
    <x v="2"/>
    <d v="2025-05-26T09:57:51"/>
    <d v="2025-05-29T00:00:00"/>
    <d v="2025-05-29T00:00:00"/>
    <x v="0"/>
    <n v="3"/>
    <s v="Carlo Umali"/>
    <m/>
  </r>
  <r>
    <x v="232"/>
    <x v="0"/>
    <x v="2"/>
    <s v="CSCALA_1042$MSIS_E55"/>
    <s v="H000000423"/>
    <s v="H000000423"/>
    <s v="Non-LFF"/>
    <s v=""/>
    <m/>
    <b v="1"/>
    <x v="1"/>
    <x v="2"/>
    <d v="2025-05-26T09:57:51"/>
    <d v="2025-05-29T00:00:00"/>
    <d v="2025-05-29T00:00:00"/>
    <x v="0"/>
    <n v="3"/>
    <s v="Carlo Umali"/>
    <m/>
  </r>
  <r>
    <x v="232"/>
    <x v="0"/>
    <x v="2"/>
    <s v="CSCALA_1042$MSIS_O61"/>
    <s v="H000000423"/>
    <s v="H000000423"/>
    <s v="Non-LFF"/>
    <s v=""/>
    <m/>
    <b v="1"/>
    <x v="1"/>
    <x v="2"/>
    <d v="2025-05-26T09:57:51"/>
    <d v="2025-05-29T00:00:00"/>
    <d v="2025-05-29T00:00:00"/>
    <x v="0"/>
    <n v="3"/>
    <s v="Carlo Umali"/>
    <m/>
  </r>
  <r>
    <x v="232"/>
    <x v="0"/>
    <x v="2"/>
    <s v="CSCALA_1042$MSMS_E06"/>
    <s v="H000000423"/>
    <s v="H000000423"/>
    <s v="Non-LFF"/>
    <s v=""/>
    <m/>
    <b v="1"/>
    <x v="1"/>
    <x v="2"/>
    <d v="2025-05-26T09:57:51"/>
    <d v="2025-05-29T00:00:00"/>
    <d v="2025-05-29T00:00:00"/>
    <x v="0"/>
    <n v="3"/>
    <s v="Carlo Umali"/>
    <m/>
  </r>
  <r>
    <x v="232"/>
    <x v="0"/>
    <x v="2"/>
    <s v="CSCALA_1042$MSMS_E07"/>
    <s v="H000000423"/>
    <s v="H000000423"/>
    <s v="Non-LFF"/>
    <s v=""/>
    <m/>
    <b v="1"/>
    <x v="1"/>
    <x v="2"/>
    <d v="2025-05-26T09:57:51"/>
    <d v="2025-05-29T00:00:00"/>
    <d v="2025-05-29T00:00:00"/>
    <x v="0"/>
    <n v="3"/>
    <s v="Carlo Umali"/>
    <m/>
  </r>
  <r>
    <x v="232"/>
    <x v="0"/>
    <x v="2"/>
    <s v="CSCALA_1042$MSMS_W10"/>
    <s v="H000000423"/>
    <s v="H000000423"/>
    <s v="Non-LFF"/>
    <s v=""/>
    <m/>
    <b v="1"/>
    <x v="1"/>
    <x v="2"/>
    <d v="2025-05-26T09:57:51"/>
    <d v="2025-05-29T00:00:00"/>
    <d v="2025-05-29T00:00:00"/>
    <x v="0"/>
    <n v="3"/>
    <s v="Carlo Umali"/>
    <m/>
  </r>
  <r>
    <x v="232"/>
    <x v="0"/>
    <x v="2"/>
    <s v="CSCALA_1042$MSPM_C54"/>
    <s v="H000000423"/>
    <s v="H000000423"/>
    <s v="Non-LFF"/>
    <s v=""/>
    <m/>
    <b v="1"/>
    <x v="1"/>
    <x v="2"/>
    <d v="2025-05-26T09:57:51"/>
    <d v="2025-05-29T00:00:00"/>
    <d v="2025-05-29T00:00:00"/>
    <x v="0"/>
    <n v="3"/>
    <s v="Carlo Umali"/>
    <m/>
  </r>
  <r>
    <x v="232"/>
    <x v="0"/>
    <x v="2"/>
    <s v="PSCALA_F13"/>
    <s v="H000000423"/>
    <s v="H000000423"/>
    <s v="Non-LFF"/>
    <s v=""/>
    <m/>
    <b v="1"/>
    <x v="1"/>
    <x v="2"/>
    <d v="2025-05-26T09:57:51"/>
    <d v="2025-05-29T00:00:00"/>
    <d v="2025-05-29T00:00:00"/>
    <x v="0"/>
    <n v="3"/>
    <s v="Carlo Umali"/>
    <m/>
  </r>
  <r>
    <x v="233"/>
    <x v="0"/>
    <x v="2"/>
    <s v="CLFF_7210$$$2102TMCZ91 LSS Global Ops Engineering"/>
    <s v="L000013864"/>
    <s v="L000013864"/>
    <s v="LFF (MDG-F)"/>
    <s v="2102TMCZ91"/>
    <s v="Changes were saved for change request 25389013"/>
    <b v="1"/>
    <x v="2"/>
    <x v="2"/>
    <d v="2025-05-26T12:18:40"/>
    <d v="2025-05-29T00:00:00"/>
    <d v="2025-05-29T00:00:00"/>
    <x v="0"/>
    <n v="3"/>
    <s v="Ruby Grace Garcia"/>
    <m/>
  </r>
  <r>
    <x v="233"/>
    <x v="0"/>
    <x v="2"/>
    <s v="CNOW_7210$$$0000268118 LSS Global Engineering - Rockville"/>
    <s v="L000013864"/>
    <s v="L000013864"/>
    <s v="Non-LFF"/>
    <s v=""/>
    <m/>
    <b v="1"/>
    <x v="2"/>
    <x v="2"/>
    <d v="2025-05-26T12:18:40"/>
    <d v="2025-05-29T00:00:00"/>
    <d v="2025-05-29T00:00:00"/>
    <x v="0"/>
    <n v="3"/>
    <s v="Ruby Grace Garcia"/>
    <m/>
  </r>
  <r>
    <x v="233"/>
    <x v="0"/>
    <x v="2"/>
    <s v="CNOW_7210$$$0024068118 LSS Global Engineering UK"/>
    <s v="L000013864"/>
    <s v="L000013864"/>
    <s v="Non-LFF"/>
    <s v=""/>
    <m/>
    <b v="1"/>
    <x v="2"/>
    <x v="2"/>
    <d v="2025-05-26T12:18:40"/>
    <d v="2025-05-29T00:00:00"/>
    <d v="2025-05-29T00:00:00"/>
    <x v="0"/>
    <n v="3"/>
    <s v="Ruby Grace Garcia"/>
    <m/>
  </r>
  <r>
    <x v="233"/>
    <x v="0"/>
    <x v="2"/>
    <s v="CORAERP_MMOR1975.2696 Engineering - LSS Global Ops"/>
    <s v="L000013864"/>
    <s v="L000013864"/>
    <s v="Non-LFF"/>
    <s v=""/>
    <m/>
    <b v="1"/>
    <x v="2"/>
    <x v="2"/>
    <d v="2025-05-26T12:18:40"/>
    <d v="2025-05-29T00:00:00"/>
    <d v="2025-05-29T00:00:00"/>
    <x v="0"/>
    <n v="3"/>
    <s v="Ruby Grace Garcia"/>
    <m/>
  </r>
  <r>
    <x v="233"/>
    <x v="0"/>
    <x v="2"/>
    <s v="CTEMPEU_1000FR60638000 LSS Global Ops Engineering"/>
    <s v="L000013864"/>
    <s v="L000013864"/>
    <s v="Non-LFF"/>
    <s v=""/>
    <m/>
    <b v="1"/>
    <x v="2"/>
    <x v="2"/>
    <d v="2025-05-26T12:18:40"/>
    <d v="2025-05-29T00:00:00"/>
    <d v="2025-05-29T00:00:00"/>
    <x v="0"/>
    <n v="3"/>
    <s v="Ruby Grace Garcia"/>
    <m/>
  </r>
  <r>
    <x v="234"/>
    <x v="0"/>
    <x v="2"/>
    <s v="D00108800000000 AUO-OLED-Automotive"/>
    <s v="P000001227"/>
    <s v="P000001227"/>
    <s v="Non-LFF"/>
    <s v=""/>
    <m/>
    <b v="1"/>
    <x v="0"/>
    <x v="2"/>
    <d v="2025-05-26T16:04:18"/>
    <d v="2025-05-29T00:00:00"/>
    <d v="2025-05-29T00:00:00"/>
    <x v="0"/>
    <n v="3"/>
    <s v="Eivy Denine Cruz"/>
    <m/>
  </r>
  <r>
    <x v="234"/>
    <x v="0"/>
    <x v="2"/>
    <s v="D00124900000000 LCOS"/>
    <s v="P000001252"/>
    <s v="P000001252"/>
    <s v="Non-LFF"/>
    <s v=""/>
    <m/>
    <b v="1"/>
    <x v="0"/>
    <x v="2"/>
    <d v="2025-05-26T16:04:18"/>
    <d v="2025-05-29T00:00:00"/>
    <d v="2025-05-29T00:00:00"/>
    <x v="0"/>
    <n v="3"/>
    <s v="Eivy Denine Cruz"/>
    <m/>
  </r>
  <r>
    <x v="234"/>
    <x v="0"/>
    <x v="2"/>
    <s v="D00125500000000 SDC-OLED-Mobile-M17"/>
    <s v="P000001233"/>
    <s v="P000001233"/>
    <s v="Non-LFF"/>
    <s v=""/>
    <m/>
    <b v="1"/>
    <x v="0"/>
    <x v="2"/>
    <d v="2025-05-26T16:04:18"/>
    <d v="2025-05-29T00:00:00"/>
    <d v="2025-05-29T00:00:00"/>
    <x v="0"/>
    <n v="3"/>
    <s v="Eivy Denine Cruz"/>
    <m/>
  </r>
  <r>
    <x v="234"/>
    <x v="0"/>
    <x v="2"/>
    <s v="D00125600000000 SDC-OLED-Mobile-M17"/>
    <s v="P000001233"/>
    <s v="P000001233"/>
    <s v="Non-LFF"/>
    <s v=""/>
    <m/>
    <b v="1"/>
    <x v="0"/>
    <x v="2"/>
    <d v="2025-05-26T16:04:18"/>
    <d v="2025-05-29T00:00:00"/>
    <d v="2025-05-29T00:00:00"/>
    <x v="0"/>
    <n v="3"/>
    <s v="Eivy Denine Cruz"/>
    <m/>
  </r>
  <r>
    <x v="234"/>
    <x v="0"/>
    <x v="2"/>
    <s v="D00125700000000 SDC-OLED-TV-QM4"/>
    <s v="P000001233"/>
    <s v="P000001233"/>
    <s v="Non-LFF"/>
    <s v=""/>
    <m/>
    <b v="1"/>
    <x v="0"/>
    <x v="2"/>
    <d v="2025-05-26T16:04:18"/>
    <d v="2025-05-29T00:00:00"/>
    <d v="2025-05-29T00:00:00"/>
    <x v="0"/>
    <n v="3"/>
    <s v="Eivy Denine Cruz"/>
    <m/>
  </r>
  <r>
    <x v="234"/>
    <x v="0"/>
    <x v="2"/>
    <s v="D00125800000000 SDC-OLED-TV-QM4"/>
    <s v="P000001233"/>
    <s v="P000001233"/>
    <s v="Non-LFF"/>
    <s v=""/>
    <m/>
    <b v="1"/>
    <x v="0"/>
    <x v="2"/>
    <d v="2025-05-26T16:04:18"/>
    <d v="2025-05-29T00:00:00"/>
    <d v="2025-05-29T00:00:00"/>
    <x v="0"/>
    <n v="3"/>
    <s v="Eivy Denine Cruz"/>
    <m/>
  </r>
  <r>
    <x v="234"/>
    <x v="0"/>
    <x v="2"/>
    <s v="D00125900000000 SDC-OLED-IT-T4"/>
    <s v="P000001233"/>
    <s v="P000001233"/>
    <s v="Non-LFF"/>
    <s v=""/>
    <m/>
    <b v="1"/>
    <x v="0"/>
    <x v="2"/>
    <d v="2025-05-26T16:04:18"/>
    <d v="2025-05-29T00:00:00"/>
    <d v="2025-05-29T00:00:00"/>
    <x v="0"/>
    <n v="3"/>
    <s v="Eivy Denine Cruz"/>
    <m/>
  </r>
  <r>
    <x v="234"/>
    <x v="0"/>
    <x v="2"/>
    <s v="D00126000000000 SDC-OLED-IT-T4"/>
    <s v="P000001233"/>
    <s v="P000001233"/>
    <s v="Non-LFF"/>
    <s v=""/>
    <m/>
    <b v="1"/>
    <x v="0"/>
    <x v="2"/>
    <d v="2025-05-26T16:04:18"/>
    <d v="2025-05-29T00:00:00"/>
    <d v="2025-05-29T00:00:00"/>
    <x v="0"/>
    <n v="3"/>
    <s v="Eivy Denine Cruz"/>
    <m/>
  </r>
  <r>
    <x v="234"/>
    <x v="0"/>
    <x v="2"/>
    <s v="D00127500000000 SHTM-OLED-mobile-U11"/>
    <s v="P000001231"/>
    <s v="P000001231"/>
    <s v="Non-LFF"/>
    <s v=""/>
    <m/>
    <b v="1"/>
    <x v="0"/>
    <x v="2"/>
    <d v="2025-05-26T16:04:18"/>
    <d v="2025-05-29T00:00:00"/>
    <d v="2025-05-29T00:00:00"/>
    <x v="0"/>
    <n v="3"/>
    <s v="Eivy Denine Cruz"/>
    <m/>
  </r>
  <r>
    <x v="234"/>
    <x v="0"/>
    <x v="2"/>
    <s v="D00127700000000 LGD-OLED-TV-WBK"/>
    <s v="P000001232"/>
    <s v="P000001232"/>
    <s v="Non-LFF"/>
    <s v=""/>
    <m/>
    <b v="1"/>
    <x v="0"/>
    <x v="2"/>
    <d v="2025-05-26T16:04:18"/>
    <d v="2025-05-29T00:00:00"/>
    <d v="2025-05-29T00:00:00"/>
    <x v="0"/>
    <n v="3"/>
    <s v="Eivy Denine Cruz"/>
    <m/>
  </r>
  <r>
    <x v="234"/>
    <x v="0"/>
    <x v="2"/>
    <s v="D00127900000000 EML Application DE"/>
    <s v="P000001126"/>
    <s v="P000001126"/>
    <s v="Non-LFF"/>
    <s v=""/>
    <m/>
    <b v="1"/>
    <x v="0"/>
    <x v="2"/>
    <d v="2025-05-26T16:04:18"/>
    <d v="2025-05-29T00:00:00"/>
    <d v="2025-05-29T00:00:00"/>
    <x v="0"/>
    <n v="3"/>
    <s v="Eivy Denine Cruz"/>
    <m/>
  </r>
  <r>
    <x v="234"/>
    <x v="0"/>
    <x v="2"/>
    <s v="D00126600000000"/>
    <s v="P000001013"/>
    <s v="P000001013"/>
    <s v="Non-LFF"/>
    <s v=""/>
    <m/>
    <b v="1"/>
    <x v="0"/>
    <x v="2"/>
    <d v="2025-05-26T16:04:18"/>
    <d v="2025-05-29T00:00:00"/>
    <d v="2025-05-29T00:00:00"/>
    <x v="0"/>
    <n v="3"/>
    <s v="Eivy Denine Cruz"/>
    <m/>
  </r>
  <r>
    <x v="234"/>
    <x v="0"/>
    <x v="2"/>
    <s v="D00128100000000"/>
    <s v="P000001013"/>
    <s v="P000001013"/>
    <s v="Non-LFF"/>
    <s v=""/>
    <m/>
    <b v="1"/>
    <x v="0"/>
    <x v="2"/>
    <d v="2025-05-26T16:04:18"/>
    <d v="2025-05-29T00:00:00"/>
    <d v="2025-05-29T00:00:00"/>
    <x v="0"/>
    <n v="3"/>
    <s v="Eivy Denine Cruz"/>
    <m/>
  </r>
  <r>
    <x v="234"/>
    <x v="0"/>
    <x v="2"/>
    <s v="D00128500000000"/>
    <s v="P000001013"/>
    <s v="P000001013"/>
    <s v="Non-LFF"/>
    <s v=""/>
    <m/>
    <b v="1"/>
    <x v="0"/>
    <x v="2"/>
    <d v="2025-05-26T16:04:18"/>
    <d v="2025-05-29T00:00:00"/>
    <d v="2025-05-29T00:00:00"/>
    <x v="0"/>
    <n v="3"/>
    <s v="Eivy Denine Cruz"/>
    <m/>
  </r>
  <r>
    <x v="235"/>
    <x v="0"/>
    <x v="2"/>
    <s v="CTEMPEU_1000TR10MS3210 MS - ISS - Oncology II"/>
    <s v="H000003497"/>
    <s v="H000003497"/>
    <s v="Non-LFF"/>
    <s v=""/>
    <m/>
    <b v="1"/>
    <x v="1"/>
    <x v="2"/>
    <d v="2025-05-28T20:08:36"/>
    <d v="2025-05-30T00:00:00"/>
    <d v="2025-05-30T00:00:00"/>
    <x v="0"/>
    <n v="2"/>
    <s v="Rayneil Reas"/>
    <m/>
  </r>
  <r>
    <x v="235"/>
    <x v="0"/>
    <x v="2"/>
    <s v="CTEMPEU_1000TR10MS3209 MS - ISS - Neurology &amp; PK"/>
    <s v="H000003501"/>
    <s v="H000003501"/>
    <s v="Non-LFF"/>
    <s v=""/>
    <m/>
    <b v="1"/>
    <x v="1"/>
    <x v="2"/>
    <d v="2025-05-28T20:08:36"/>
    <d v="2025-05-30T00:00:00"/>
    <d v="2025-05-30T00:00:00"/>
    <x v="0"/>
    <n v="2"/>
    <s v="Rayneil Reas"/>
    <m/>
  </r>
  <r>
    <x v="235"/>
    <x v="0"/>
    <x v="2"/>
    <s v="CTEMPEU_1000TR10MS3208 MS - ISS - Fertility &amp; En"/>
    <s v="H000003501"/>
    <s v="H000003501"/>
    <s v="Non-LFF"/>
    <s v=""/>
    <m/>
    <b v="1"/>
    <x v="1"/>
    <x v="2"/>
    <d v="2025-05-28T20:08:36"/>
    <d v="2025-05-30T00:00:00"/>
    <d v="2025-05-30T00:00:00"/>
    <x v="0"/>
    <n v="2"/>
    <s v="Rayneil Reas"/>
    <m/>
  </r>
  <r>
    <x v="236"/>
    <x v="0"/>
    <x v="2"/>
    <s v="CSCALA_1820$A060_A19"/>
    <s v="H000000393"/>
    <s v="H000000393"/>
    <s v="Non-LFF"/>
    <s v=""/>
    <m/>
    <b v="1"/>
    <x v="1"/>
    <x v="2"/>
    <d v="2025-05-29T10:21:30"/>
    <d v="2025-06-02T00:00:00"/>
    <d v="2025-06-02T00:00:00"/>
    <x v="0"/>
    <n v="2"/>
    <s v="Carlo Umali"/>
    <m/>
  </r>
  <r>
    <x v="236"/>
    <x v="0"/>
    <x v="2"/>
    <s v="CSCALA_1820$A103_AM5"/>
    <s v="H000000393"/>
    <s v="H000000393"/>
    <s v="Non-LFF"/>
    <s v=""/>
    <m/>
    <b v="1"/>
    <x v="1"/>
    <x v="2"/>
    <d v="2025-05-29T10:21:30"/>
    <d v="2025-06-02T00:00:00"/>
    <d v="2025-06-02T00:00:00"/>
    <x v="0"/>
    <n v="2"/>
    <s v="Carlo Umali"/>
    <m/>
  </r>
  <r>
    <x v="236"/>
    <x v="0"/>
    <x v="2"/>
    <s v="CSCALA_1820$A805_AC7"/>
    <s v="H000000393"/>
    <s v="H000000393"/>
    <s v="Non-LFF"/>
    <s v=""/>
    <m/>
    <b v="1"/>
    <x v="1"/>
    <x v="2"/>
    <d v="2025-05-29T10:21:30"/>
    <d v="2025-06-02T00:00:00"/>
    <d v="2025-06-02T00:00:00"/>
    <x v="0"/>
    <n v="2"/>
    <s v="Carlo Umali"/>
    <m/>
  </r>
  <r>
    <x v="236"/>
    <x v="0"/>
    <x v="2"/>
    <s v="CSCALA_1820$A805_H99"/>
    <s v="H000000393"/>
    <s v="H000000393"/>
    <s v="Non-LFF"/>
    <s v=""/>
    <m/>
    <b v="1"/>
    <x v="1"/>
    <x v="2"/>
    <d v="2025-05-29T10:21:30"/>
    <d v="2025-06-02T00:00:00"/>
    <d v="2025-06-02T00:00:00"/>
    <x v="0"/>
    <n v="2"/>
    <s v="Carlo Umali"/>
    <m/>
  </r>
  <r>
    <x v="236"/>
    <x v="0"/>
    <x v="2"/>
    <s v="CSCALA_1820$A870 A870 ANZ Entities Cross Charge"/>
    <s v="H000000393"/>
    <s v="H000000393"/>
    <s v="Non-LFF"/>
    <s v=""/>
    <m/>
    <b v="1"/>
    <x v="1"/>
    <x v="2"/>
    <d v="2025-05-29T10:21:30"/>
    <d v="2025-06-02T00:00:00"/>
    <d v="2025-06-02T00:00:00"/>
    <x v="0"/>
    <n v="2"/>
    <s v="Carlo Umali"/>
    <m/>
  </r>
  <r>
    <x v="236"/>
    <x v="0"/>
    <x v="2"/>
    <s v="CSCALA_1820$Q300_E65"/>
    <s v="H000000393"/>
    <s v="H000000393"/>
    <s v="Non-LFF"/>
    <s v=""/>
    <m/>
    <b v="1"/>
    <x v="1"/>
    <x v="2"/>
    <d v="2025-05-29T10:21:30"/>
    <d v="2025-06-02T00:00:00"/>
    <d v="2025-06-02T00:00:00"/>
    <x v="0"/>
    <n v="2"/>
    <s v="Carlo Umali"/>
    <m/>
  </r>
  <r>
    <x v="237"/>
    <x v="0"/>
    <x v="2"/>
    <s v="CNOW_7210$$$0000010311 "/>
    <s v="L000013262"/>
    <s v="L000013262"/>
    <s v="Non-LFF"/>
    <s v=""/>
    <m/>
    <b v="1"/>
    <x v="2"/>
    <x v="2"/>
    <d v="2025-05-29T10:41:08"/>
    <d v="2025-06-02T00:00:00"/>
    <d v="2025-06-02T00:00:00"/>
    <x v="0"/>
    <n v="2"/>
    <s v="Joan Rose Pena"/>
    <m/>
  </r>
  <r>
    <x v="237"/>
    <x v="0"/>
    <x v="2"/>
    <s v="CNOW_7210$$$0000057266 "/>
    <s v="L000009969"/>
    <s v="L000009969"/>
    <s v="Non-LFF"/>
    <s v=""/>
    <m/>
    <b v="1"/>
    <x v="2"/>
    <x v="2"/>
    <d v="2025-05-29T10:41:08"/>
    <d v="2025-06-02T00:00:00"/>
    <d v="2025-06-02T00:00:00"/>
    <x v="0"/>
    <n v="2"/>
    <s v="Joan Rose Pena"/>
    <m/>
  </r>
  <r>
    <x v="237"/>
    <x v="0"/>
    <x v="2"/>
    <s v="CNOW_7210$$$0000010312 "/>
    <s v="L000008362"/>
    <s v="L000008362"/>
    <s v="Non-LFF"/>
    <s v=""/>
    <m/>
    <b v="1"/>
    <x v="2"/>
    <x v="2"/>
    <d v="2025-05-29T10:41:08"/>
    <d v="2025-06-02T00:00:00"/>
    <d v="2025-06-02T00:00:00"/>
    <x v="0"/>
    <n v="2"/>
    <s v="Joan Rose Pena"/>
    <m/>
  </r>
  <r>
    <x v="237"/>
    <x v="0"/>
    <x v="2"/>
    <s v="CNOW_7210$$$0000015221 "/>
    <s v="L000010037"/>
    <s v="L000010037"/>
    <s v="Non-LFF"/>
    <s v=""/>
    <m/>
    <b v="1"/>
    <x v="2"/>
    <x v="2"/>
    <d v="2025-05-29T10:41:08"/>
    <d v="2025-06-02T00:00:00"/>
    <d v="2025-06-02T00:00:00"/>
    <x v="0"/>
    <n v="2"/>
    <s v="Joan Rose Pena"/>
    <m/>
  </r>
  <r>
    <x v="237"/>
    <x v="0"/>
    <x v="2"/>
    <s v="CNOW_7210$$$0000040962 "/>
    <s v="L000009797"/>
    <s v="L000009797"/>
    <s v="Non-LFF"/>
    <s v=""/>
    <m/>
    <b v="1"/>
    <x v="2"/>
    <x v="2"/>
    <d v="2025-05-29T10:41:08"/>
    <d v="2025-06-02T00:00:00"/>
    <d v="2025-06-02T00:00:00"/>
    <x v="0"/>
    <n v="2"/>
    <s v="Joan Rose Pena"/>
    <m/>
  </r>
  <r>
    <x v="238"/>
    <x v="0"/>
    <x v="2"/>
    <s v="CLFF_1000$$$DE10B45000"/>
    <s v="L000006438"/>
    <s v="L000006438"/>
    <s v="LFF (MDG-F)"/>
    <s v="DE10B45000"/>
    <s v="Changes were saved for change request 25400280"/>
    <b v="1"/>
    <x v="2"/>
    <x v="2"/>
    <d v="2025-05-29T16:16:50"/>
    <d v="2025-06-02T00:00:00"/>
    <d v="2025-06-02T00:00:00"/>
    <x v="0"/>
    <n v="2"/>
    <s v="Ruby Grace Garcia"/>
    <m/>
  </r>
  <r>
    <x v="239"/>
    <x v="0"/>
    <x v="2"/>
    <s v="CEMERAL_64016401108608 M Lab project cost collection"/>
    <s v="L000012393"/>
    <s v="L000012393"/>
    <s v="Non-LFF"/>
    <s v=""/>
    <m/>
    <b v="1"/>
    <x v="2"/>
    <x v="2"/>
    <d v="2025-05-28T11:53:42"/>
    <d v="2025-06-02T00:00:00"/>
    <d v="2025-06-02T00:00:00"/>
    <x v="0"/>
    <n v="3"/>
    <s v="Lakshmi Shree"/>
    <m/>
  </r>
  <r>
    <x v="240"/>
    <x v="0"/>
    <x v="2"/>
    <s v="CEMERAL_7000640399NP99"/>
    <s v="H000000447"/>
    <s v="H000000447"/>
    <s v="Non-LFF"/>
    <s v=""/>
    <m/>
    <b v="1"/>
    <x v="1"/>
    <x v="2"/>
    <d v="2025-05-29T16:16:50"/>
    <d v="2025-06-02T00:00:00"/>
    <d v="2025-06-02T00:00:00"/>
    <x v="0"/>
    <n v="2"/>
    <s v="Carlo Umali"/>
    <m/>
  </r>
  <r>
    <x v="241"/>
    <x v="0"/>
    <x v="2"/>
    <s v="PLEAN_X310101CN5013350"/>
    <s v="H000001419"/>
    <s v="H000001419"/>
    <s v="Non-LFF"/>
    <s v=""/>
    <m/>
    <b v="1"/>
    <x v="1"/>
    <x v="2"/>
    <d v="2025-05-30T16:16:50"/>
    <d v="2025-06-02T00:00:00"/>
    <d v="2025-06-02T00:00:00"/>
    <x v="0"/>
    <n v="1"/>
    <s v="John Poulie Borromeo"/>
    <m/>
  </r>
  <r>
    <x v="241"/>
    <x v="0"/>
    <x v="2"/>
    <s v="PLEAN_X310001CN5015349"/>
    <s v="H000001589"/>
    <s v="H000001589"/>
    <s v="Non-LFF"/>
    <s v=""/>
    <m/>
    <b v="1"/>
    <x v="1"/>
    <x v="2"/>
    <d v="2025-05-30T16:16:50"/>
    <d v="2025-06-02T00:00:00"/>
    <d v="2025-06-02T00:00:00"/>
    <x v="0"/>
    <n v="1"/>
    <s v="John Poulie Borromeo"/>
    <m/>
  </r>
  <r>
    <x v="241"/>
    <x v="0"/>
    <x v="2"/>
    <s v="PLEAN_X310001CN5015350"/>
    <s v="H000001589"/>
    <s v="H000001589"/>
    <s v="Non-LFF"/>
    <s v=""/>
    <m/>
    <b v="1"/>
    <x v="1"/>
    <x v="2"/>
    <d v="2025-05-30T16:16:50"/>
    <d v="2025-06-02T00:00:00"/>
    <d v="2025-06-02T00:00:00"/>
    <x v="0"/>
    <n v="1"/>
    <s v="John Poulie Borromeo"/>
    <m/>
  </r>
  <r>
    <x v="241"/>
    <x v="0"/>
    <x v="2"/>
    <s v="PLEAN_X310001CN5015351"/>
    <s v="H000001589"/>
    <s v="H000001589"/>
    <s v="Non-LFF"/>
    <s v=""/>
    <m/>
    <b v="1"/>
    <x v="1"/>
    <x v="2"/>
    <d v="2025-05-30T16:16:50"/>
    <d v="2025-06-02T00:00:00"/>
    <d v="2025-06-02T00:00:00"/>
    <x v="0"/>
    <n v="1"/>
    <s v="John Poulie Borromeo"/>
    <m/>
  </r>
  <r>
    <x v="241"/>
    <x v="0"/>
    <x v="2"/>
    <s v="PLEAN_X310941CN5013012"/>
    <s v="H000004119"/>
    <s v="H000004119"/>
    <s v="Non-LFF"/>
    <s v=""/>
    <m/>
    <b v="1"/>
    <x v="1"/>
    <x v="2"/>
    <d v="2025-05-30T16:16:50"/>
    <d v="2025-06-02T00:00:00"/>
    <d v="2025-06-02T00:00:00"/>
    <x v="0"/>
    <n v="1"/>
    <s v="John Poulie Borromeo"/>
    <m/>
  </r>
  <r>
    <x v="241"/>
    <x v="0"/>
    <x v="2"/>
    <s v="PLEAN_X310331CN5015202"/>
    <s v="H000001383"/>
    <s v="H000001383"/>
    <s v="Non-LFF"/>
    <s v=""/>
    <m/>
    <b v="1"/>
    <x v="1"/>
    <x v="2"/>
    <d v="2025-05-30T16:16:50"/>
    <d v="2025-06-02T00:00:00"/>
    <d v="2025-06-02T00:00:00"/>
    <x v="0"/>
    <n v="1"/>
    <s v="John Poulie Borromeo"/>
    <m/>
  </r>
  <r>
    <x v="242"/>
    <x v="0"/>
    <x v="2"/>
    <s v="PTEMPNA_US201PIOSCCRAPR98"/>
    <s v="H000003677"/>
    <s v="H000003677"/>
    <s v="Non-LFF"/>
    <s v=""/>
    <m/>
    <b v="1"/>
    <x v="1"/>
    <x v="2"/>
    <d v="2025-05-30T16:16:50"/>
    <d v="2025-06-02T00:00:00"/>
    <d v="2025-06-02T00:00:00"/>
    <x v="0"/>
    <n v="1"/>
    <s v="Rizza Tolentino"/>
    <m/>
  </r>
  <r>
    <x v="243"/>
    <x v="0"/>
    <x v="2"/>
    <s v="CTEMPEU_1000GB10005454 Oncology Erbitux"/>
    <s v="H000000203"/>
    <s v="H00000020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CSCALA_1082$12_999"/>
    <s v="H000000219"/>
    <s v="H000000219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CSCALA_1082$4012_114"/>
    <s v="H000000219"/>
    <s v="H000000219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CSCALA_1082$4012_303"/>
    <s v="H000000219"/>
    <s v="H000000219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CSCALA_1082$4901_303"/>
    <s v="H000000219"/>
    <s v="H000000219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CSCALA_1082$10_503"/>
    <s v="H000000219"/>
    <s v="H000000219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CSCALA_1082$4901_214"/>
    <s v="H000000219"/>
    <s v="H000000219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CSCALA_1082$4012_301"/>
    <s v="H000000219"/>
    <s v="H000000219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CSCALA_1082$4012_314"/>
    <s v="H000000219"/>
    <s v="H000000219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CSCALA_1082$0000004008"/>
    <s v="H000000219"/>
    <s v="H000000219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CSCALA_1872$70_C68"/>
    <s v="H000000224"/>
    <s v="H000000224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CSCALA_1203$2004_HP1"/>
    <s v="H000000220"/>
    <s v="H00000022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CSCALA_1785$100_310"/>
    <s v="H000000218"/>
    <s v="H000000218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CSCALA_1082$4901_116"/>
    <s v="H000000219"/>
    <s v="H000000219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CSCALA_1082$0000000021 Evija Buksa"/>
    <s v="H000000219"/>
    <s v="H000000219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CSCALA_1785$610_110"/>
    <s v="H000000218"/>
    <s v="H000000218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181DK5013201 Bavencio Commercial DK50 Congress &amp; Even"/>
    <s v="H000000218"/>
    <s v="H000000218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181FI5013201 Bavencio Commercial FI50 Congress &amp; Even"/>
    <s v="H000000220"/>
    <s v="H00000022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181FI5015201 Bavencio Commercial FI50 Other Promo and"/>
    <s v="H000000220"/>
    <s v="H00000022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181FI5030201 Bavencio Commercial FI50 Other M&amp;S Regis"/>
    <s v="H000000220"/>
    <s v="H00000022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181NO5011201 Bavencio Commercial NO50 Advertising Gen"/>
    <s v="H000000233"/>
    <s v="H00000023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181NO5013201 Bavencio Commercial NO50 Congress &amp; Even"/>
    <s v="H000000233"/>
    <s v="H00000023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181NO5030201 Bavencio Commercial NO50 Other M&amp;S Regis"/>
    <s v="H000000233"/>
    <s v="H00000023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182DK5020201 Bavencio Medical Non R&amp;D DK50 Medical Ed"/>
    <s v="H000000218"/>
    <s v="H000000218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941FI5011201 Tepmetko Commercial FI50 Advertising Gen"/>
    <s v="H000000220"/>
    <s v="H00000022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941FI5030201 Tepmetko Commercial FI50 Other M&amp;S Regis"/>
    <s v="H000000220"/>
    <s v="H00000022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942FI5023201 Tepmetko Medical Non R&amp;D FI50 Other Medi"/>
    <s v="H000000220"/>
    <s v="H00000022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CSCALA_1872$70_C40"/>
    <s v="H000000224"/>
    <s v="H000000224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201FI5011201 Fertility Commercial FI50 Advertising Ge"/>
    <s v="H000000220"/>
    <s v="H00000022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201FI5015201 Fertility Commercial FI50 Other Promo an"/>
    <s v="H000000220"/>
    <s v="H00000022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201FI5030201 Fertility Commercial FI50 Other M&amp;S Regi"/>
    <s v="H000000220"/>
    <s v="H00000022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201NO5013201 Fertility Commercial NO50 Congress &amp; Eve"/>
    <s v="H000000233"/>
    <s v="H00000023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201NO5015201 Fertility Commercial NO50 Other Promo an"/>
    <s v="H000000233"/>
    <s v="H00000023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201NO5030201 Fertility Commercial NO50 Other M&amp;S Regi"/>
    <s v="H000000233"/>
    <s v="H00000023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301FI5030201 Gluco Commercial FI50 Other M&amp;S Registra"/>
    <s v="H000000220"/>
    <s v="H00000022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401FI5011201 Saizen Commercial FI50 Advertising Gener"/>
    <s v="H000000220"/>
    <s v="H00000022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401FI5013201 Saizen Commercial FI50 Congress &amp; Events"/>
    <s v="H000000220"/>
    <s v="H00000022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401FI5015201 Saizen Commercial FI50 Other Promo and A"/>
    <s v="H000000220"/>
    <s v="H00000022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401FI5030201 Saizen Commercial FI50 Other M&amp;S Registr"/>
    <s v="H000000220"/>
    <s v="H00000022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511DK5013201 Mavenclad Commercial DK50 Congress &amp; Eve"/>
    <s v="H000000218"/>
    <s v="H000000218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511FI5010201 Mavenclad Commercial FI50 Promo Material"/>
    <s v="H000000220"/>
    <s v="H00000022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511FI5011201 Mavenclad Commercial FI50 Advertising Ge"/>
    <s v="H000000220"/>
    <s v="H00000022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511FI5013201 Mavenclad Commercial FI50 Congress &amp; Eve"/>
    <s v="H000000220"/>
    <s v="H00000022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511FI5015201 Mavenclad Commercial FI50 Other Promo an"/>
    <s v="H000000220"/>
    <s v="H00000022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511FI5030201 Mavenclad Commercial FI50 Other M&amp;S Regi"/>
    <s v="H000000220"/>
    <s v="H00000022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511NO5013201 Mavenclad Commercial NO50 Congress &amp; Eve"/>
    <s v="H000000233"/>
    <s v="H00000023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511NO5015201 Mavenclad Commercial NO50 Other Promo an"/>
    <s v="H000000233"/>
    <s v="H00000023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511NO5030201 Mavenclad Commercial NO50 Other M&amp;S Regi"/>
    <s v="H000000233"/>
    <s v="H00000023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513FI5023201 Mavenclad Local R&amp;D FI50 Clinical Study"/>
    <s v="H000000220"/>
    <s v="H00000022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CSCALA_1872$100_C20"/>
    <s v="H000000224"/>
    <s v="H000000224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181CH7630200 Local R&amp;D Regulatory Bavencio"/>
    <s v="H000001986"/>
    <s v="H000001986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401CH7610200 END COM Promo (Prints, Mailings, Ads)"/>
    <s v="H000001997"/>
    <s v="H000001997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CSCALA_1022$521_SPC"/>
    <s v="H000002150"/>
    <s v="H00000215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132CH7630203 Local R&amp;D Regulatory Tepmetko"/>
    <s v="H000001986"/>
    <s v="H000001986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201CH6843343 Fertility Award 2024 CH"/>
    <s v="H000001997"/>
    <s v="H000001997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401CH7613200 END COM Sponsorings &amp; Events (inkl. WB)"/>
    <s v="H000001997"/>
    <s v="H000001997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161CH7630200 BAV COM MAP activities"/>
    <s v="H000001985"/>
    <s v="H000001985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CSCALA_1022$ONB_SER"/>
    <s v="H000002150"/>
    <s v="H00000215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CSCALA_1022$FST_PRM"/>
    <s v="H000002151"/>
    <s v="H00000215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201CH7613201 FER Family Forward"/>
    <s v="H000001997"/>
    <s v="H000001997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4"/>
    <s v="PLEAN_X310513CH7643201 Medical Research Grant 1300003225"/>
    <s v="H000002010"/>
    <s v="H000002010"/>
    <s v="Non-LFF"/>
    <s v=""/>
    <s v="PROBLEM NODE WAS DELETED; FR6291121"/>
    <b v="1"/>
    <x v="1"/>
    <x v="2"/>
    <d v="2025-05-30T16:16:50"/>
    <m/>
    <d v="2025-06-02T00:00:00"/>
    <x v="0"/>
    <n v="1"/>
    <s v="Rayneil Reas"/>
    <e v="#REF!"/>
  </r>
  <r>
    <x v="243"/>
    <x v="0"/>
    <x v="2"/>
    <s v="PLEAN_X310181CZ5010201 Bavencio Commercial CZ50 Promo Material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181CZ5013203 Bavencio Commercial CZ50 Congress &amp; Even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181CZ5013205 Bavencio Commercial CZ50 Congress &amp; Even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181CZ5015201 Bavencio Commercial CZ50 Other Promo and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181CZ5030201 Bavencio Commercial CZ50 Other M&amp;S Regis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182CZ5020202 Bavencio Medical Non R&amp;D CZ50 Medical Ed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182CZ5020203 Bavencio Medical Non R&amp;D CZ50 Medical Ed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182CZ5020206 Bavencio Medical Non R&amp;D CZ50 Medical Ed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182CZ5022201 Bavencio Medical Non R&amp;D CZ50 Medical Co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361CZ5030201 GM Sante Commercial CZ50 Other M&amp;S Regis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941CZ5010201 Tepmetko Commercial CZ50 Promo Material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942CZ5020203 Tepmetko Medical Non R&amp;D CZ50 Medical Ed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942CZ5023201 Tepmetko Medical Non R&amp;D CZ50 Other Medi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201CZ5010201 Fertility Commercial CZ50 Promo Material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201CZ5013204 Fertility Commercial CZ50 Congress &amp; Eve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201CZ5015201 Fertility Commercial CZ50 Other Promo an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201CZ5030201 Fertility Commercial CZ50 Other M&amp;S Regi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301CZ5010201 Gluco Commercial CZ50 Promo Material Gen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301CZ5013204 Gluco Commercial CZ50 Congress &amp; Events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301CZ5013205 Gluco Commercial CZ50 Congress &amp; Events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301CZ5015205 Gluco Commercial CZ50 Other Promo and Ad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301CZ5030201 Gluco Commercial CZ50 Other M&amp;S Registra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351CZ5030201 GM KGAA Commercial CZ50 Other M&amp;S Regist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401CZ5010201 Saizen Commercial CZ50 Promo Material Ge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401CZ5011201 Saizen Commercial CZ50 Advertising Gener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401CZ5013202 Saizen Commercial CZ50 Congress &amp; Events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401CZ5013204 Saizen Commercial CZ50 Congress &amp; Events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401CZ5015201 Saizen Commercial CZ50 Other Promo and A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401CZ5030201 Saizen Commercial CZ50 Other M&amp;S Registr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511CZ5011201 Mavenclad Commercial CZ50 Advertising Ge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511CZ5013201 Mavenclad Commercial CZ50 Congress &amp; Eve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511CZ5013202 Mavenclad Commercial CZ50 Congress &amp; Eve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511CZ5013203 Mavenclad Commercial CZ50 Congress &amp; Eve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511CZ5013205 Mavenclad Commercial CZ50 Congress &amp; Eve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511CZ5015201 Mavenclad Commercial CZ50 Other Promo an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511CZ5030201 Mavenclad Commercial CZ50 Other M&amp;S Regi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942CZ5020206 Tepmetko Medical Non R&amp;D CZ50 Medical Ed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4"/>
    <s v="PSCALA_.205 Printed Matter"/>
    <s v="H000002302"/>
    <s v="H000002302"/>
    <s v="Non-LFF"/>
    <s v=""/>
    <s v="Object's under Trash"/>
    <b v="1"/>
    <x v="1"/>
    <x v="2"/>
    <d v="2025-05-30T16:16:50"/>
    <m/>
    <d v="2025-06-02T00:00:00"/>
    <x v="0"/>
    <n v="1"/>
    <s v="Rayneil Reas"/>
    <e v="#REF!"/>
  </r>
  <r>
    <x v="244"/>
    <x v="0"/>
    <x v="2"/>
    <s v="CSCALA_1086$4901_504"/>
    <s v="H000002337"/>
    <s v="H000002337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B99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B99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B99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B99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B99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B99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B99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B99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3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3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3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B27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B4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B4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B4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B67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B99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B99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O45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O51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O88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20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1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1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1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1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1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1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18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18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18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18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18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18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18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19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19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19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19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19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19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18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18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19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18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22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O65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PSCALA_205 ASCO/ESMO evening meeting, NorNe Ea"/>
    <s v="H000002302"/>
    <s v="H000002302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086$4901_516"/>
    <s v="H000002337"/>
    <s v="H000002337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B6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O53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27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1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1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1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2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2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2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2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2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2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9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19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19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20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19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20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N31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N32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3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4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4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4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4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4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4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4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5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5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5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5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025$6114_Y04"/>
    <s v="H000003640"/>
    <s v="H00000364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025$8114_Y04"/>
    <s v="H000003640"/>
    <s v="H00000364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025$AMI4_Y04"/>
    <s v="H000003640"/>
    <s v="H00000364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ACCR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1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1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1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2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O51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025$6112_Y04"/>
    <s v="H000003640"/>
    <s v="H00000364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2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2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2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2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2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2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O46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52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9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9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20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025$5111_E82"/>
    <s v="H000003640"/>
    <s v="H00000364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8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025$6113_Y04"/>
    <s v="H000003640"/>
    <s v="H00000364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N25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N9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3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3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3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3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3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3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4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4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4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6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6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6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6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6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6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7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7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7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7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7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7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7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7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7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7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PSCALA_E80 MYSG Growth Speaker Tour"/>
    <s v="H000003640"/>
    <s v="H00000364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025$5111_E84"/>
    <s v="H000003640"/>
    <s v="H00000364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EVL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TUST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6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7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8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8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8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2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2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2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3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3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3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3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3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3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3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3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3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3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4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4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4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4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4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4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4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4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4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4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5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5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5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5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5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5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5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5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5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5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6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6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6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6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6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6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6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6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6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7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7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7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7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7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7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7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7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7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9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20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20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G20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M00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8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025$6113_V40"/>
    <s v="H000003640"/>
    <s v="H00000364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8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8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8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G57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O04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025$8111_V40"/>
    <s v="H000003640"/>
    <s v="H00000364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025$8111_Y04"/>
    <s v="H000003640"/>
    <s v="H00000364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025$COMP_Y04"/>
    <s v="H000003640"/>
    <s v="H00000364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MAPP"/>
    <s v="H000003615"/>
    <s v="H000003615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8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6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5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8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8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8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8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8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8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9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9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9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9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9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9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9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9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9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0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0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0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0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0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0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0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0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0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0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1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1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1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1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1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1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1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1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1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1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2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2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2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2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2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2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2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2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2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2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3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3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3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3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3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3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3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3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3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3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4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4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4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4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4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4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4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4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4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5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5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5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5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5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5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5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5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5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6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9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02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9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9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9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9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9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9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90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90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90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90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90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025$5111_E85"/>
    <s v="H000003640"/>
    <s v="H00000364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ALIS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N00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N22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O01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6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8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8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8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8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8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9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9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9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9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10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G59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O68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025$8112_E21"/>
    <s v="H000003640"/>
    <s v="H00000364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0"/>
    <x v="0"/>
    <x v="2"/>
    <s v="CEMERAL_7000640399NP99 NPP Japan APAC cross charge"/>
    <s v="H000000447"/>
    <s v="H000000447"/>
    <s v="Non-LFF"/>
    <s v=""/>
    <m/>
    <b v="1"/>
    <x v="1"/>
    <x v="2"/>
    <d v="2025-05-29T10:35:38"/>
    <d v="2025-06-02T00:00:00"/>
    <d v="2025-06-02T00:00:00"/>
    <x v="0"/>
    <n v="2"/>
    <s v="Carlo Umali"/>
    <m/>
  </r>
  <r>
    <x v="245"/>
    <x v="0"/>
    <x v="2"/>
    <s v="CORAERP_MMOR1975.4169 LSS Operations (Global)"/>
    <s v="L000013151"/>
    <s v="L000013151"/>
    <s v="Non-LFF"/>
    <s v=""/>
    <m/>
    <b v="1"/>
    <x v="2"/>
    <x v="2"/>
    <d v="2025-06-02T03:16:47"/>
    <d v="2025-06-03T00:00:00"/>
    <d v="2025-06-03T00:00:00"/>
    <x v="0"/>
    <n v="1"/>
    <s v="Ruby Grace Garcia"/>
    <m/>
  </r>
  <r>
    <x v="246"/>
    <x v="0"/>
    <x v="2"/>
    <s v="CLFF_1000$$$CZ50GIT01D"/>
    <s v="G000000637"/>
    <s v="G000000637"/>
    <s v="LFF (MDG-F)"/>
    <s v="CZ50GIT01D"/>
    <s v="Changes were saved for change request 25408363"/>
    <b v="1"/>
    <x v="0"/>
    <x v="2"/>
    <d v="2025-06-02T09:37:40"/>
    <d v="2025-06-03T00:00:00"/>
    <d v="2025-06-03T00:00:00"/>
    <x v="0"/>
    <n v="1"/>
    <s v="Jojeff Tagnong"/>
    <m/>
  </r>
  <r>
    <x v="246"/>
    <x v="0"/>
    <x v="2"/>
    <s v="CLFF_1000$$$CZ50GM1000"/>
    <s v="G000000637"/>
    <s v="G000000637"/>
    <s v="LFF (MDG-F)"/>
    <s v="CZ50GM1000"/>
    <s v="Changes were saved for change request 25408363"/>
    <b v="1"/>
    <x v="0"/>
    <x v="2"/>
    <d v="2025-06-02T09:37:40"/>
    <d v="2025-06-03T00:00:00"/>
    <d v="2025-06-03T00:00:00"/>
    <x v="0"/>
    <n v="1"/>
    <s v="Jojeff Tagnong"/>
    <m/>
  </r>
  <r>
    <x v="246"/>
    <x v="0"/>
    <x v="2"/>
    <s v="CLFF_1000$$$CZ50GIT01M"/>
    <s v="G000000637"/>
    <s v="G000000637"/>
    <s v="LFF (MDG-F)"/>
    <s v="CZ50GIT01M"/>
    <s v="Changes were saved for change request 25408363"/>
    <b v="1"/>
    <x v="0"/>
    <x v="2"/>
    <d v="2025-06-02T09:37:40"/>
    <d v="2025-06-03T00:00:00"/>
    <d v="2025-06-03T00:00:00"/>
    <x v="0"/>
    <n v="1"/>
    <s v="Jojeff Tagnong"/>
    <m/>
  </r>
  <r>
    <x v="246"/>
    <x v="0"/>
    <x v="2"/>
    <s v="CLFF_1000$$$CZ50GM1000"/>
    <s v="G000000637"/>
    <s v="G000000637"/>
    <s v="LFF (MDG-F)"/>
    <s v="CZ50GM1000"/>
    <s v="Changes were saved for change request 25408363"/>
    <b v="1"/>
    <x v="0"/>
    <x v="2"/>
    <d v="2025-06-02T09:37:40"/>
    <d v="2025-06-03T00:00:00"/>
    <d v="2025-06-03T00:00:00"/>
    <x v="0"/>
    <n v="1"/>
    <s v="Jojeff Tagnong"/>
    <m/>
  </r>
  <r>
    <x v="246"/>
    <x v="0"/>
    <x v="2"/>
    <s v="CLFF_1000$$$CZ50OF0007"/>
    <s v="G000000637"/>
    <s v="G000000637"/>
    <s v="LFF (MDG-F)"/>
    <s v="CZ50OF0007"/>
    <s v="Changes were saved for change request 25408363"/>
    <b v="1"/>
    <x v="0"/>
    <x v="2"/>
    <d v="2025-06-02T09:37:40"/>
    <d v="2025-06-03T00:00:00"/>
    <d v="2025-06-03T00:00:00"/>
    <x v="0"/>
    <n v="1"/>
    <s v="Jojeff Tagnong"/>
    <m/>
  </r>
  <r>
    <x v="247"/>
    <x v="0"/>
    <x v="2"/>
    <s v="CITR_1000$$$1022ITE"/>
    <s v="G000001235"/>
    <s v="G000001235"/>
    <s v="Non-LFF"/>
    <s v=""/>
    <m/>
    <b v="1"/>
    <x v="0"/>
    <x v="2"/>
    <d v="2025-06-02T12:34:38"/>
    <d v="2025-06-03T00:00:00"/>
    <d v="2025-06-03T00:00:00"/>
    <x v="0"/>
    <n v="1"/>
    <s v="Jay-R Lizardo"/>
    <m/>
  </r>
  <r>
    <x v="247"/>
    <x v="0"/>
    <x v="2"/>
    <s v="CLFF_1000$$$CH75GIT060"/>
    <s v="G000000339"/>
    <s v="G000000339"/>
    <s v="LFF (MDG-F)"/>
    <s v="CH75GIT060"/>
    <s v="Changes were saved for change request 25408693"/>
    <b v="1"/>
    <x v="0"/>
    <x v="2"/>
    <d v="2025-06-02T12:34:38"/>
    <d v="2025-06-03T00:00:00"/>
    <d v="2025-06-03T00:00:00"/>
    <x v="0"/>
    <n v="1"/>
    <s v="Jay-R Lizardo"/>
    <m/>
  </r>
  <r>
    <x v="247"/>
    <x v="0"/>
    <x v="2"/>
    <s v="CLFF_1000$$$DE10653700"/>
    <s v="G000001123"/>
    <s v="G000001123"/>
    <s v="LFF (MDG-F)"/>
    <s v="DE10653700"/>
    <s v="Changes were saved for change request 25408693"/>
    <b v="1"/>
    <x v="0"/>
    <x v="2"/>
    <d v="2025-06-02T12:34:38"/>
    <d v="2025-06-03T00:00:00"/>
    <d v="2025-06-03T00:00:00"/>
    <x v="0"/>
    <n v="1"/>
    <s v="Jay-R Lizardo"/>
    <m/>
  </r>
  <r>
    <x v="247"/>
    <x v="0"/>
    <x v="2"/>
    <s v="CNOW_7210$$$0000015456"/>
    <s v="G000001240"/>
    <s v="G000001240"/>
    <s v="Non-LFF"/>
    <s v=""/>
    <m/>
    <b v="1"/>
    <x v="0"/>
    <x v="2"/>
    <d v="2025-06-02T12:34:38"/>
    <d v="2025-06-03T00:00:00"/>
    <d v="2025-06-03T00:00:00"/>
    <x v="0"/>
    <n v="1"/>
    <s v="Jay-R Lizardo"/>
    <m/>
  </r>
  <r>
    <x v="247"/>
    <x v="0"/>
    <x v="2"/>
    <s v="CNOW_7210$$$0000010273"/>
    <s v="G000001240"/>
    <s v="G000001240"/>
    <s v="Non-LFF"/>
    <s v=""/>
    <m/>
    <b v="1"/>
    <x v="0"/>
    <x v="2"/>
    <d v="2025-06-02T12:34:38"/>
    <d v="2025-06-03T00:00:00"/>
    <d v="2025-06-03T00:00:00"/>
    <x v="0"/>
    <n v="1"/>
    <s v="Jay-R Lizardo"/>
    <m/>
  </r>
  <r>
    <x v="247"/>
    <x v="0"/>
    <x v="2"/>
    <s v="CNOW_7210$$$0000031701"/>
    <s v="G000001240"/>
    <s v="G000001240"/>
    <s v="Non-LFF"/>
    <s v=""/>
    <m/>
    <b v="1"/>
    <x v="0"/>
    <x v="2"/>
    <d v="2025-06-02T12:34:38"/>
    <d v="2025-06-03T00:00:00"/>
    <d v="2025-06-03T00:00:00"/>
    <x v="0"/>
    <n v="1"/>
    <s v="Jay-R Lizardo"/>
    <m/>
  </r>
  <r>
    <x v="247"/>
    <x v="0"/>
    <x v="2"/>
    <s v="CNOW_7210$$$0000059608"/>
    <s v="G000000895"/>
    <s v="G000000895"/>
    <s v="Non-LFF"/>
    <s v=""/>
    <m/>
    <b v="1"/>
    <x v="0"/>
    <x v="2"/>
    <d v="2025-06-02T12:34:38"/>
    <d v="2025-06-03T00:00:00"/>
    <d v="2025-06-03T00:00:00"/>
    <x v="0"/>
    <n v="1"/>
    <s v="Jay-R Lizardo"/>
    <m/>
  </r>
  <r>
    <x v="248"/>
    <x v="0"/>
    <x v="2"/>
    <s v="CSCALA_1826 0000000340"/>
    <s v="H000000868"/>
    <s v="H000000868"/>
    <s v="Non-LFF"/>
    <s v=""/>
    <m/>
    <b v="1"/>
    <x v="1"/>
    <x v="2"/>
    <d v="2025-06-03T11:02:55"/>
    <m/>
    <m/>
    <x v="1"/>
    <n v="143"/>
    <s v="Gay Geanuza del Mundo"/>
    <m/>
  </r>
  <r>
    <x v="249"/>
    <x v="0"/>
    <x v="2"/>
    <s v="CSCALA_1042$EDP_P52"/>
    <s v="G000000635 "/>
    <s v="G000000635 "/>
    <s v="Non-LFF"/>
    <s v=""/>
    <m/>
    <b v="1"/>
    <x v="0"/>
    <x v="2"/>
    <d v="2025-06-03T11:02:55"/>
    <m/>
    <m/>
    <x v="1"/>
    <n v="143"/>
    <s v="Jojeff Tagnong"/>
    <m/>
  </r>
  <r>
    <x v="250"/>
    <x v="0"/>
    <x v="2"/>
    <s v="PNEXT_D300119210201000000"/>
    <s v="L000011451"/>
    <s v="L000011451"/>
    <s v="Non-LFF"/>
    <s v=""/>
    <m/>
    <b v="1"/>
    <x v="2"/>
    <x v="2"/>
    <d v="2025-06-03T11:02:55"/>
    <d v="2025-06-11T00:00:00"/>
    <d v="2025-06-11T00:00:00"/>
    <x v="1"/>
    <n v="6"/>
    <s v="Ruby Grace Garcia"/>
    <m/>
  </r>
  <r>
    <x v="251"/>
    <x v="0"/>
    <x v="2"/>
    <s v="CNOW_7210$$$0000023169"/>
    <s v="L000013530"/>
    <s v="L000013530"/>
    <s v="Non-LFF"/>
    <s v=""/>
    <m/>
    <b v="1"/>
    <x v="2"/>
    <x v="2"/>
    <d v="2025-06-03T11:02:55"/>
    <d v="2025-06-11T00:00:00"/>
    <d v="2025-06-11T00:00:00"/>
    <x v="1"/>
    <n v="6"/>
    <s v="Ruby Grace Garcia"/>
    <m/>
  </r>
  <r>
    <x v="251"/>
    <x v="0"/>
    <x v="4"/>
    <s v="L000011147_IO Executive Projects Comm-G (IO)"/>
    <s v="L000011146 Exec Proj Communications -G"/>
    <s v="L000011146 Exec Proj Communications -G"/>
    <s v="Non-LFF"/>
    <s v=""/>
    <m/>
    <b v="1"/>
    <x v="2"/>
    <x v="2"/>
    <d v="2025-06-03T11:02:55"/>
    <m/>
    <d v="2025-06-11T00:00:00"/>
    <x v="1"/>
    <n v="6"/>
    <s v="Ruby Grace Garcia"/>
    <e v="#REF!"/>
  </r>
  <r>
    <x v="252"/>
    <x v="0"/>
    <x v="2"/>
    <s v="CLFF_1000$$$DE20538353"/>
    <s v="G000000994"/>
    <s v="G000000994"/>
    <s v="LFF (MDG-F)"/>
    <s v="DE20538353"/>
    <s v="Changes were saved for change request 25432822"/>
    <b v="1"/>
    <x v="0"/>
    <x v="2"/>
    <d v="2025-06-06T08:51:25"/>
    <d v="2025-06-11T00:00:00"/>
    <d v="2025-06-11T00:00:00"/>
    <x v="0"/>
    <n v="3"/>
    <s v="Nadine Anic"/>
    <m/>
  </r>
  <r>
    <x v="252"/>
    <x v="0"/>
    <x v="2"/>
    <s v="CLFF_1000$$$DE10538353"/>
    <s v="G000001084"/>
    <s v="G000001084"/>
    <s v="LFF (MDG-F)"/>
    <s v="DE10538353"/>
    <s v="Changes were saved for change request 25432822"/>
    <b v="1"/>
    <x v="0"/>
    <x v="2"/>
    <d v="2025-06-06T08:51:25"/>
    <d v="2025-06-11T00:00:00"/>
    <d v="2025-06-11T00:00:00"/>
    <x v="0"/>
    <n v="3"/>
    <s v="Nadine Anic"/>
    <m/>
  </r>
  <r>
    <x v="252"/>
    <x v="0"/>
    <x v="2"/>
    <s v="CLFF_1000$$$DE10538602"/>
    <s v="G000001017"/>
    <s v="G000001017"/>
    <s v="LFF (MDG-F)"/>
    <s v="DE10538602"/>
    <s v="Changes were saved for change request 25432822"/>
    <b v="1"/>
    <x v="0"/>
    <x v="2"/>
    <d v="2025-06-06T08:51:25"/>
    <d v="2025-06-11T00:00:00"/>
    <d v="2025-06-11T00:00:00"/>
    <x v="0"/>
    <n v="3"/>
    <s v="Nadine Anic"/>
    <m/>
  </r>
  <r>
    <x v="252"/>
    <x v="0"/>
    <x v="2"/>
    <s v="CLFF_1000$$$DE10538603"/>
    <s v="G000001017"/>
    <s v="G000001017"/>
    <s v="LFF (MDG-F)"/>
    <s v="DE10538603"/>
    <s v="Changes were saved for change request 25432822"/>
    <b v="1"/>
    <x v="0"/>
    <x v="2"/>
    <d v="2025-06-06T08:51:25"/>
    <d v="2025-06-11T00:00:00"/>
    <d v="2025-06-11T00:00:00"/>
    <x v="0"/>
    <n v="3"/>
    <s v="Nadine Anic"/>
    <m/>
  </r>
  <r>
    <x v="252"/>
    <x v="0"/>
    <x v="2"/>
    <s v="CLFF_1000$$$DE10538604"/>
    <s v="G000001017"/>
    <s v="G000001017"/>
    <s v="LFF (MDG-F)"/>
    <s v="DE10538604"/>
    <s v="Changes were saved for change request 25432822"/>
    <b v="1"/>
    <x v="0"/>
    <x v="2"/>
    <d v="2025-06-06T08:51:25"/>
    <d v="2025-06-11T00:00:00"/>
    <d v="2025-06-11T00:00:00"/>
    <x v="0"/>
    <n v="3"/>
    <s v="Nadine Anic"/>
    <m/>
  </r>
  <r>
    <x v="252"/>
    <x v="0"/>
    <x v="2"/>
    <s v="CLFF_1000$$$DE20538602"/>
    <s v="G000000943"/>
    <s v="G000000943"/>
    <s v="LFF (MDG-F)"/>
    <s v="DE20538602"/>
    <s v="Changes were saved for change request 25432822"/>
    <b v="1"/>
    <x v="0"/>
    <x v="2"/>
    <d v="2025-06-06T08:51:25"/>
    <d v="2025-06-11T00:00:00"/>
    <d v="2025-06-11T00:00:00"/>
    <x v="0"/>
    <n v="3"/>
    <s v="Nadine Anic"/>
    <m/>
  </r>
  <r>
    <x v="252"/>
    <x v="0"/>
    <x v="2"/>
    <s v="CLFF_1000$$$DE20538603"/>
    <s v="G000000943"/>
    <s v="G000000943"/>
    <s v="LFF (MDG-F)"/>
    <s v="DE20538603"/>
    <s v="Changes were saved for change request 25432822"/>
    <b v="1"/>
    <x v="0"/>
    <x v="2"/>
    <d v="2025-06-06T08:51:25"/>
    <d v="2025-06-11T00:00:00"/>
    <d v="2025-06-11T00:00:00"/>
    <x v="0"/>
    <n v="3"/>
    <s v="Nadine Anic"/>
    <m/>
  </r>
  <r>
    <x v="252"/>
    <x v="0"/>
    <x v="2"/>
    <s v="CLFF_1000$$$DE20538604"/>
    <s v="G000000943"/>
    <s v="G000000943"/>
    <s v="LFF (MDG-F)"/>
    <s v="DE20538604"/>
    <s v="Changes were saved for change request 25432822"/>
    <b v="1"/>
    <x v="0"/>
    <x v="2"/>
    <d v="2025-06-06T08:51:25"/>
    <d v="2025-06-11T00:00:00"/>
    <d v="2025-06-11T00:00:00"/>
    <x v="0"/>
    <n v="3"/>
    <s v="Nadine Anic"/>
    <m/>
  </r>
  <r>
    <x v="253"/>
    <x v="0"/>
    <x v="2"/>
    <s v="D30011900000000"/>
    <s v="L000011451"/>
    <s v="L000011451"/>
    <s v="Non-LFF"/>
    <s v=""/>
    <m/>
    <b v="1"/>
    <x v="2"/>
    <x v="2"/>
    <d v="2025-06-10T08:51:25"/>
    <d v="2025-06-11T00:00:00"/>
    <d v="2025-06-11T00:00:00"/>
    <x v="0"/>
    <n v="1"/>
    <s v="Ruby Grace Garcia"/>
    <m/>
  </r>
  <r>
    <x v="254"/>
    <x v="0"/>
    <x v="2"/>
    <s v="CLFF_1000$$$DE10594600"/>
    <s v="G000000763"/>
    <s v="G000000763"/>
    <s v="LFF (MDG-F)"/>
    <s v="DE10594600"/>
    <m/>
    <b v="1"/>
    <x v="0"/>
    <x v="2"/>
    <d v="2025-06-10T08:51:25"/>
    <m/>
    <m/>
    <x v="1"/>
    <n v="138"/>
    <s v="Jojeff Tagnong"/>
    <m/>
  </r>
  <r>
    <x v="254"/>
    <x v="0"/>
    <x v="2"/>
    <s v="CLFF_1000$$$DE10629410"/>
    <s v="G000001281"/>
    <s v="G000001281"/>
    <s v="LFF (MDG-F)"/>
    <s v="DE10629410"/>
    <m/>
    <b v="1"/>
    <x v="0"/>
    <x v="2"/>
    <d v="2025-06-10T08:51:25"/>
    <m/>
    <m/>
    <x v="1"/>
    <n v="138"/>
    <s v="Jojeff Tagnong"/>
    <m/>
  </r>
  <r>
    <x v="255"/>
    <x v="0"/>
    <x v="2"/>
    <s v="CNOW_7210$$$PC00011060"/>
    <s v="L000012168"/>
    <s v="L000012168"/>
    <s v="Non-LFF"/>
    <s v=""/>
    <m/>
    <b v="1"/>
    <x v="2"/>
    <x v="2"/>
    <d v="2025-06-10T08:51:25"/>
    <d v="2025-06-11T00:00:00"/>
    <d v="2025-06-11T00:00:00"/>
    <x v="0"/>
    <n v="1"/>
    <s v="Ruby Grace Garcia"/>
    <m/>
  </r>
  <r>
    <x v="256"/>
    <x v="0"/>
    <x v="2"/>
    <s v="D00128400000000 OLED R&amp;D Transformation"/>
    <s v="P000001239"/>
    <s v="P000001239"/>
    <s v="Non-LFF"/>
    <s v=""/>
    <m/>
    <b v="1"/>
    <x v="3"/>
    <x v="2"/>
    <d v="2025-06-11T11:32:35"/>
    <d v="2025-06-17T00:00:00"/>
    <d v="2025-06-17T00:00:00"/>
    <x v="0"/>
    <n v="4"/>
    <s v="Roselle Delos Angeles"/>
    <m/>
  </r>
  <r>
    <x v="256"/>
    <x v="0"/>
    <x v="2"/>
    <s v="D00114300000000 LGD-OLED-Automotive-RDF DE"/>
    <s v="P000001232"/>
    <s v="P000001232"/>
    <s v="Non-LFF"/>
    <s v=""/>
    <m/>
    <b v="1"/>
    <x v="3"/>
    <x v="2"/>
    <d v="2025-06-11T11:32:35"/>
    <d v="2025-06-17T00:00:00"/>
    <d v="2025-06-17T00:00:00"/>
    <x v="0"/>
    <n v="4"/>
    <s v="Roselle Delos Angeles"/>
    <m/>
  </r>
  <r>
    <x v="256"/>
    <x v="0"/>
    <x v="2"/>
    <s v="D00128300000000 LGD-OLED-IT-RDH 2"/>
    <s v="P000001232"/>
    <s v="P000001232"/>
    <s v="Non-LFF"/>
    <s v=""/>
    <m/>
    <b v="1"/>
    <x v="3"/>
    <x v="2"/>
    <d v="2025-06-11T11:32:35"/>
    <d v="2025-06-17T00:00:00"/>
    <d v="2025-06-17T00:00:00"/>
    <x v="0"/>
    <n v="4"/>
    <s v="Roselle Delos Angeles"/>
    <m/>
  </r>
  <r>
    <x v="256"/>
    <x v="0"/>
    <x v="2"/>
    <s v="D00128700000000 GVO-OLED-mobile-VM11"/>
    <s v="P000001230"/>
    <s v="P000001230"/>
    <s v="Non-LFF"/>
    <s v=""/>
    <m/>
    <b v="1"/>
    <x v="3"/>
    <x v="2"/>
    <d v="2025-06-11T11:32:35"/>
    <d v="2025-06-17T00:00:00"/>
    <d v="2025-06-17T00:00:00"/>
    <x v="0"/>
    <n v="4"/>
    <s v="Roselle Delos Angeles"/>
    <m/>
  </r>
  <r>
    <x v="256"/>
    <x v="0"/>
    <x v="2"/>
    <s v="D00128800000000 GVO-OLED-mobile-VM11 DE"/>
    <s v="P000001230"/>
    <s v="P000001230"/>
    <s v="Non-LFF"/>
    <s v=""/>
    <m/>
    <b v="1"/>
    <x v="3"/>
    <x v="2"/>
    <d v="2025-06-11T11:32:35"/>
    <d v="2025-06-17T00:00:00"/>
    <d v="2025-06-17T00:00:00"/>
    <x v="0"/>
    <n v="4"/>
    <s v="Roselle Delos Angeles"/>
    <m/>
  </r>
  <r>
    <x v="256"/>
    <x v="0"/>
    <x v="2"/>
    <s v="D00128900000000 BOE-OLED-mobile-L12"/>
    <s v="P000001228"/>
    <s v="P000001228"/>
    <s v="Non-LFF"/>
    <s v=""/>
    <m/>
    <b v="1"/>
    <x v="3"/>
    <x v="2"/>
    <d v="2025-06-11T11:32:35"/>
    <d v="2025-06-17T00:00:00"/>
    <d v="2025-06-17T00:00:00"/>
    <x v="0"/>
    <n v="4"/>
    <s v="Roselle Delos Angeles"/>
    <m/>
  </r>
  <r>
    <x v="256"/>
    <x v="0"/>
    <x v="2"/>
    <s v="D00129000000000 BOE-OLED-mobile-L12 DE"/>
    <s v="P000001228"/>
    <s v="P000001228"/>
    <s v="Non-LFF"/>
    <s v=""/>
    <m/>
    <b v="1"/>
    <x v="3"/>
    <x v="2"/>
    <d v="2025-06-11T11:32:35"/>
    <d v="2025-06-17T00:00:00"/>
    <d v="2025-06-17T00:00:00"/>
    <x v="0"/>
    <n v="4"/>
    <s v="Roselle Delos Angeles"/>
    <m/>
  </r>
  <r>
    <x v="257"/>
    <x v="0"/>
    <x v="2"/>
    <s v="CTEMPEU_1000FR40587001 Cial&amp;RegistStandaMey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EU_009000000264 FR90IC1402AO3121050000 LOYER"/>
    <s v="H000000004"/>
    <s v="H000000004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EU_009000000265 FR90IC1403AO3121050000 LOYER"/>
    <s v="H000000004"/>
    <s v="H000000004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EU_009000000268 FR90IC1852AO3121050000 LOYER"/>
    <s v="H000000004"/>
    <s v="H000000004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LEAN_006010001401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LEAN_006010001420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CFLTFLE_1075SIIF-EI Healthcare Slovenia Income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EU_001500000003 GB10_Capit.Loss/Ass. Imp."/>
    <s v="H000000007"/>
    <s v="H000000007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LA_001520000112 Asset retirement Gains"/>
    <s v="H000000004"/>
    <s v="H000000004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PHOENX_000400757258 1500 KGaA-1401 Santè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EU_001500000810 Ireland IE10 - 3122113000 Transfer remai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EU_001500001688 Xcharges to Trading Partner 1917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EU_001500001689 Xcharges to Trading Partner 1927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EU_001500001691 Xcharges to Trading Partner 1307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EU_001500003017 Xcharge to BioReliance Limited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EU_001500003018 Xcharge to SAFC Biosciences Limited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EU_001500003019 Xcharge to Sigma-Aldrich Company Limited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EU_001500003020 Xcharge to  SAFC Hitech Limited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EU_001500003021 Xcharge to Sigma-Aldrich Ireland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EU_001500004812 Xcharge to Merck Performance Materials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EU_001500004813 Xcharge to Merck Life Science Ltd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EU_001500002889 Marketing and Selling B8 1500 kgaa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EU_001500002890 GlobaltechOPS B8 1500 kgaa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EU_001500002891 Logistic B8 1500 kgaa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LA_001520001017 PE10 - ITF postings - GL 17950000"/>
    <s v="H000000004"/>
    <s v="H000000004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LA_001520000530 GT10 - Sales of Fixed Assets (Incomes)"/>
    <s v="H000000004"/>
    <s v="H000000004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LA_001520000532 GT10 - Sales of Fixed Assets (Losses)"/>
    <s v="H000000004"/>
    <s v="H000000004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LA_001520000289 CO10 - I/O for  99 Dummy"/>
    <s v="H000000004"/>
    <s v="H000000004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LA_001520001042 PA20 - Sales of Fixed Assets (Losses)"/>
    <s v="H000000004"/>
    <s v="H000000004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EU_003200001474 CH70 Remaining oth inc IC 3122205000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EU_003200001480 CH70 RemOther Exp 3122112000 3rd P AL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EU_009000001569 FR40IC1814OX3122112000 FR40884702 JPAN"/>
    <s v="H000000004"/>
    <s v="H000000004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CTEMPEU_1000FR40884103 Manufact Litigation"/>
    <s v="H000000970"/>
    <s v="H000000970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CLFF_1000$$$TN50Z01000"/>
    <s v="H000001095"/>
    <s v="H000001095"/>
    <s v="LFF (MDG-F)"/>
    <s v="TN50Z01000"/>
    <m/>
    <b v="1"/>
    <x v="1"/>
    <x v="2"/>
    <d v="2025-06-17T11:32:35"/>
    <m/>
    <m/>
    <x v="1"/>
    <n v="133"/>
    <s v="Henry Ifurung Jr."/>
    <m/>
  </r>
  <r>
    <x v="257"/>
    <x v="0"/>
    <x v="2"/>
    <s v="CLFF_1000$$$TN60Z01000"/>
    <s v="H000001095"/>
    <s v="H000001095"/>
    <s v="LFF (MDG-F)"/>
    <s v="TN60Z01000"/>
    <m/>
    <b v="1"/>
    <x v="1"/>
    <x v="2"/>
    <d v="2025-06-17T11:32:35"/>
    <m/>
    <m/>
    <x v="1"/>
    <n v="133"/>
    <s v="Henry Ifurung Jr."/>
    <m/>
  </r>
  <r>
    <x v="258"/>
    <x v="0"/>
    <x v="2"/>
    <s v="CNOW_ROW$$$$0000008723"/>
    <s v="G000000560"/>
    <s v="G000000560"/>
    <s v="Non-LFF"/>
    <s v=""/>
    <m/>
    <b v="1"/>
    <x v="1"/>
    <x v="2"/>
    <d v="2025-06-17T03:33:06"/>
    <m/>
    <m/>
    <x v="1"/>
    <n v="133"/>
    <s v="Yusuke Hasegawa"/>
    <m/>
  </r>
  <r>
    <x v="259"/>
    <x v="0"/>
    <x v="2"/>
    <s v="CFLTFLE_23940000000450"/>
    <s v="L000007703"/>
    <s v="L000007703"/>
    <s v="Non-LFF"/>
    <s v=""/>
    <m/>
    <b v="1"/>
    <x v="2"/>
    <x v="2"/>
    <d v="2025-06-17T09:04:52"/>
    <m/>
    <m/>
    <x v="1"/>
    <n v="133"/>
    <s v="Joan Rose Pena"/>
    <m/>
  </r>
  <r>
    <x v="259"/>
    <x v="0"/>
    <x v="2"/>
    <s v="CFLTFLE_23940000000420"/>
    <s v="L000007871"/>
    <s v="L000007871"/>
    <s v="Non-LFF"/>
    <s v=""/>
    <m/>
    <b v="1"/>
    <x v="2"/>
    <x v="2"/>
    <d v="2025-06-17T09:04:52"/>
    <m/>
    <m/>
    <x v="1"/>
    <n v="133"/>
    <s v="Joan Rose Pena"/>
    <m/>
  </r>
  <r>
    <x v="259"/>
    <x v="0"/>
    <x v="2"/>
    <s v="CFLTFLE_23950000000450"/>
    <s v="L000007703"/>
    <s v="L000007703"/>
    <s v="Non-LFF"/>
    <s v=""/>
    <m/>
    <b v="1"/>
    <x v="2"/>
    <x v="2"/>
    <d v="2025-06-17T09:04:52"/>
    <m/>
    <m/>
    <x v="1"/>
    <n v="133"/>
    <s v="Joan Rose Pena"/>
    <m/>
  </r>
  <r>
    <x v="259"/>
    <x v="0"/>
    <x v="2"/>
    <s v="CFLTFLE_23960000000210"/>
    <s v="L000007871"/>
    <s v="L000007871"/>
    <s v="Non-LFF"/>
    <s v=""/>
    <m/>
    <b v="1"/>
    <x v="2"/>
    <x v="2"/>
    <d v="2025-06-17T09:04:52"/>
    <m/>
    <m/>
    <x v="1"/>
    <n v="133"/>
    <s v="Joan Rose Pena"/>
    <m/>
  </r>
  <r>
    <x v="259"/>
    <x v="0"/>
    <x v="2"/>
    <s v="CORAERP_MMOR1968.9751"/>
    <s v="L000011242"/>
    <s v="L000011242"/>
    <s v="Non-LFF"/>
    <s v=""/>
    <m/>
    <b v="1"/>
    <x v="2"/>
    <x v="2"/>
    <d v="2025-06-17T09:04:52"/>
    <m/>
    <m/>
    <x v="1"/>
    <n v="133"/>
    <s v="Joan Rose Pena"/>
    <m/>
  </r>
  <r>
    <x v="260"/>
    <x v="0"/>
    <x v="2"/>
    <s v="CPHOENX_01010000611714"/>
    <s v="L000013834"/>
    <s v="L000013834"/>
    <s v="Non-LFF"/>
    <s v=""/>
    <m/>
    <b v="1"/>
    <x v="3"/>
    <x v="2"/>
    <d v="2025-06-17T11:26:25"/>
    <m/>
    <m/>
    <x v="1"/>
    <n v="133"/>
    <s v="Roselle Delos Angeles"/>
    <m/>
  </r>
  <r>
    <x v="260"/>
    <x v="0"/>
    <x v="2"/>
    <s v="CPHOENX_01010000611716"/>
    <s v="L000013834"/>
    <s v="L000013834"/>
    <s v="Non-LFF"/>
    <s v=""/>
    <m/>
    <b v="1"/>
    <x v="3"/>
    <x v="2"/>
    <d v="2025-06-17T11:26:25"/>
    <m/>
    <m/>
    <x v="1"/>
    <n v="133"/>
    <s v="Roselle Delos Angeles"/>
    <m/>
  </r>
  <r>
    <x v="260"/>
    <x v="0"/>
    <x v="2"/>
    <s v="CPHOENX_01010000611720"/>
    <s v="L000013834"/>
    <s v="L000013834"/>
    <s v="Non-LFF"/>
    <s v=""/>
    <m/>
    <b v="1"/>
    <x v="3"/>
    <x v="2"/>
    <d v="2025-06-17T11:26:25"/>
    <m/>
    <m/>
    <x v="1"/>
    <n v="133"/>
    <s v="Roselle Delos Angeles"/>
    <m/>
  </r>
  <r>
    <x v="260"/>
    <x v="0"/>
    <x v="2"/>
    <s v="CPHOENX_01010000611722"/>
    <s v="L000013834"/>
    <s v="L000013834"/>
    <s v="Non-LFF"/>
    <s v=""/>
    <m/>
    <b v="1"/>
    <x v="3"/>
    <x v="2"/>
    <d v="2025-06-17T11:26:25"/>
    <m/>
    <m/>
    <x v="1"/>
    <n v="133"/>
    <s v="Roselle Delos Angeles"/>
    <m/>
  </r>
  <r>
    <x v="260"/>
    <x v="0"/>
    <x v="2"/>
    <s v="CPHOENX_01010000611740"/>
    <s v="L000013834"/>
    <s v="L000013834"/>
    <s v="Non-LFF"/>
    <s v=""/>
    <m/>
    <b v="1"/>
    <x v="3"/>
    <x v="2"/>
    <d v="2025-06-17T11:26:25"/>
    <m/>
    <m/>
    <x v="1"/>
    <n v="133"/>
    <s v="Roselle Delos Angeles"/>
    <m/>
  </r>
  <r>
    <x v="260"/>
    <x v="0"/>
    <x v="2"/>
    <s v="CPHOENX_01010000611750"/>
    <s v="L000013834"/>
    <s v="L000013834"/>
    <s v="Non-LFF"/>
    <s v=""/>
    <m/>
    <b v="1"/>
    <x v="3"/>
    <x v="2"/>
    <d v="2025-06-17T11:26:25"/>
    <m/>
    <m/>
    <x v="1"/>
    <n v="133"/>
    <s v="Roselle Delos Angeles"/>
    <m/>
  </r>
  <r>
    <x v="260"/>
    <x v="0"/>
    <x v="2"/>
    <s v="CPHOENX_01010000611780"/>
    <s v="L000013834"/>
    <s v="L000013834"/>
    <s v="Non-LFF"/>
    <s v=""/>
    <m/>
    <b v="1"/>
    <x v="3"/>
    <x v="2"/>
    <d v="2025-06-17T11:26:25"/>
    <m/>
    <m/>
    <x v="1"/>
    <n v="133"/>
    <s v="Roselle Delos Angeles"/>
    <m/>
  </r>
  <r>
    <x v="260"/>
    <x v="0"/>
    <x v="2"/>
    <s v="CPHOENX_01010000611800"/>
    <s v="L000013835"/>
    <s v="L000013835"/>
    <s v="Non-LFF"/>
    <s v=""/>
    <m/>
    <b v="1"/>
    <x v="3"/>
    <x v="2"/>
    <d v="2025-06-17T11:26:25"/>
    <m/>
    <m/>
    <x v="1"/>
    <n v="133"/>
    <s v="Roselle Delos Angeles"/>
    <m/>
  </r>
  <r>
    <x v="260"/>
    <x v="0"/>
    <x v="2"/>
    <s v="CPHOENX_01010000611812"/>
    <s v="L000013835"/>
    <s v="L000013835"/>
    <s v="Non-LFF"/>
    <s v=""/>
    <m/>
    <b v="1"/>
    <x v="3"/>
    <x v="2"/>
    <d v="2025-06-17T11:26:25"/>
    <m/>
    <m/>
    <x v="1"/>
    <n v="133"/>
    <s v="Roselle Delos Angeles"/>
    <m/>
  </r>
  <r>
    <x v="260"/>
    <x v="0"/>
    <x v="2"/>
    <s v="CPHOENX_01010000611813"/>
    <s v="L000013835"/>
    <s v="L000013835"/>
    <s v="Non-LFF"/>
    <s v=""/>
    <m/>
    <b v="1"/>
    <x v="3"/>
    <x v="2"/>
    <d v="2025-06-17T11:26:25"/>
    <m/>
    <m/>
    <x v="1"/>
    <n v="133"/>
    <s v="Roselle Delos Angeles"/>
    <m/>
  </r>
  <r>
    <x v="260"/>
    <x v="0"/>
    <x v="2"/>
    <s v="CPHOENX_01010000611814"/>
    <s v="L000013835"/>
    <s v="L000013835"/>
    <s v="Non-LFF"/>
    <s v=""/>
    <m/>
    <b v="1"/>
    <x v="3"/>
    <x v="2"/>
    <d v="2025-06-17T11:26:25"/>
    <m/>
    <m/>
    <x v="1"/>
    <n v="133"/>
    <s v="Roselle Delos Angeles"/>
    <m/>
  </r>
  <r>
    <x v="260"/>
    <x v="0"/>
    <x v="2"/>
    <s v="CPHOENX_01010000611816"/>
    <s v="L000013835"/>
    <s v="L000013835"/>
    <s v="Non-LFF"/>
    <s v=""/>
    <m/>
    <b v="1"/>
    <x v="3"/>
    <x v="2"/>
    <d v="2025-06-17T11:26:25"/>
    <m/>
    <m/>
    <x v="1"/>
    <n v="133"/>
    <s v="Roselle Delos Angeles"/>
    <m/>
  </r>
  <r>
    <x v="260"/>
    <x v="0"/>
    <x v="2"/>
    <s v="CPHOENX_01010000611818"/>
    <s v="L000013835"/>
    <s v="L000013835"/>
    <s v="Non-LFF"/>
    <s v=""/>
    <m/>
    <b v="1"/>
    <x v="3"/>
    <x v="2"/>
    <d v="2025-06-17T11:26:25"/>
    <m/>
    <m/>
    <x v="1"/>
    <n v="133"/>
    <s v="Roselle Delos Angeles"/>
    <m/>
  </r>
  <r>
    <x v="260"/>
    <x v="0"/>
    <x v="2"/>
    <s v="CPHOENX_01010000611820"/>
    <s v="L000013835"/>
    <s v="L000013835"/>
    <s v="Non-LFF"/>
    <s v=""/>
    <m/>
    <b v="1"/>
    <x v="3"/>
    <x v="2"/>
    <d v="2025-06-17T11:26:25"/>
    <m/>
    <m/>
    <x v="1"/>
    <n v="133"/>
    <s v="Roselle Delos Angeles"/>
    <m/>
  </r>
  <r>
    <x v="260"/>
    <x v="0"/>
    <x v="2"/>
    <s v="CPHOENX_01010000611826"/>
    <s v="L000013835"/>
    <s v="L000013835"/>
    <s v="Non-LFF"/>
    <s v=""/>
    <m/>
    <b v="1"/>
    <x v="3"/>
    <x v="2"/>
    <d v="2025-06-17T11:26:25"/>
    <m/>
    <m/>
    <x v="1"/>
    <n v="133"/>
    <s v="Roselle Delos Angeles"/>
    <m/>
  </r>
  <r>
    <x v="260"/>
    <x v="0"/>
    <x v="2"/>
    <s v="CPHOENX_01010000611830"/>
    <s v="L000013835"/>
    <s v="L000013835"/>
    <s v="Non-LFF"/>
    <s v=""/>
    <m/>
    <b v="1"/>
    <x v="3"/>
    <x v="2"/>
    <d v="2025-06-17T11:26:25"/>
    <m/>
    <m/>
    <x v="1"/>
    <n v="133"/>
    <s v="Roselle Delos Angeles"/>
    <m/>
  </r>
  <r>
    <x v="260"/>
    <x v="0"/>
    <x v="2"/>
    <s v="CPHOENX_01010000611840"/>
    <s v="L000013835"/>
    <s v="L000013835"/>
    <s v="Non-LFF"/>
    <s v=""/>
    <m/>
    <b v="1"/>
    <x v="3"/>
    <x v="2"/>
    <d v="2025-06-17T11:26:25"/>
    <m/>
    <m/>
    <x v="1"/>
    <n v="133"/>
    <s v="Roselle Delos Angeles"/>
    <m/>
  </r>
  <r>
    <x v="260"/>
    <x v="0"/>
    <x v="2"/>
    <s v="CPHOENX_01010000611850"/>
    <s v="L000013835"/>
    <s v="L000013835"/>
    <s v="Non-LFF"/>
    <s v=""/>
    <m/>
    <b v="1"/>
    <x v="3"/>
    <x v="2"/>
    <d v="2025-06-17T11:26:25"/>
    <m/>
    <m/>
    <x v="1"/>
    <n v="133"/>
    <s v="Roselle Delos Angeles"/>
    <m/>
  </r>
  <r>
    <x v="260"/>
    <x v="0"/>
    <x v="2"/>
    <s v="CPHOENX_01010000611855"/>
    <s v="L000013835"/>
    <s v="L000013835"/>
    <s v="Non-LFF"/>
    <s v=""/>
    <m/>
    <b v="1"/>
    <x v="3"/>
    <x v="2"/>
    <d v="2025-06-17T11:26:25"/>
    <m/>
    <m/>
    <x v="1"/>
    <n v="133"/>
    <s v="Roselle Delos Angeles"/>
    <m/>
  </r>
  <r>
    <x v="260"/>
    <x v="0"/>
    <x v="2"/>
    <s v="CPHOENX_01010000611860"/>
    <s v="L000013835"/>
    <s v="L000013835"/>
    <s v="Non-LFF"/>
    <s v=""/>
    <m/>
    <b v="1"/>
    <x v="3"/>
    <x v="2"/>
    <d v="2025-06-17T11:26:25"/>
    <m/>
    <m/>
    <x v="1"/>
    <n v="133"/>
    <s v="Roselle Delos Angeles"/>
    <m/>
  </r>
  <r>
    <x v="260"/>
    <x v="0"/>
    <x v="2"/>
    <s v="CPHOENX_01010000611863"/>
    <s v="L000013835"/>
    <s v="L000013835"/>
    <s v="Non-LFF"/>
    <s v=""/>
    <m/>
    <b v="1"/>
    <x v="3"/>
    <x v="2"/>
    <d v="2025-06-17T11:26:25"/>
    <m/>
    <m/>
    <x v="1"/>
    <n v="133"/>
    <s v="Roselle Delos Angeles"/>
    <m/>
  </r>
  <r>
    <x v="260"/>
    <x v="0"/>
    <x v="2"/>
    <s v="CPHOENX_01010000611864"/>
    <s v="L000013835"/>
    <s v="L000013835"/>
    <s v="Non-LFF"/>
    <s v=""/>
    <m/>
    <b v="1"/>
    <x v="3"/>
    <x v="2"/>
    <d v="2025-06-17T11:26:25"/>
    <m/>
    <m/>
    <x v="1"/>
    <n v="133"/>
    <s v="Roselle Delos Angeles"/>
    <m/>
  </r>
  <r>
    <x v="260"/>
    <x v="0"/>
    <x v="2"/>
    <s v="CPHOENX_01010000611870"/>
    <s v="L000013835"/>
    <s v="L000013835"/>
    <s v="Non-LFF"/>
    <s v=""/>
    <m/>
    <b v="1"/>
    <x v="3"/>
    <x v="2"/>
    <d v="2025-06-17T11:26:25"/>
    <m/>
    <m/>
    <x v="1"/>
    <n v="133"/>
    <s v="Roselle Delos Angeles"/>
    <m/>
  </r>
  <r>
    <x v="260"/>
    <x v="0"/>
    <x v="2"/>
    <s v="CPHOENX_01010000611880"/>
    <s v="L000013835"/>
    <s v="L000013835"/>
    <s v="Non-LFF"/>
    <s v=""/>
    <m/>
    <b v="1"/>
    <x v="3"/>
    <x v="2"/>
    <d v="2025-06-17T11:26:25"/>
    <m/>
    <m/>
    <x v="1"/>
    <n v="133"/>
    <s v="Roselle Delos Angeles"/>
    <m/>
  </r>
  <r>
    <x v="260"/>
    <x v="0"/>
    <x v="2"/>
    <s v="CPHOENX_01010000611881"/>
    <s v="L000013835"/>
    <s v="L000013835"/>
    <s v="Non-LFF"/>
    <s v=""/>
    <m/>
    <b v="1"/>
    <x v="3"/>
    <x v="2"/>
    <d v="2025-06-17T11:26:25"/>
    <m/>
    <m/>
    <x v="1"/>
    <n v="133"/>
    <s v="Roselle Delos Angeles"/>
    <m/>
  </r>
  <r>
    <x v="260"/>
    <x v="0"/>
    <x v="2"/>
    <s v="CPHOENX_01019182611700"/>
    <s v="L000013834"/>
    <s v="L000013834"/>
    <s v="Non-LFF"/>
    <s v=""/>
    <m/>
    <b v="1"/>
    <x v="3"/>
    <x v="2"/>
    <d v="2025-06-17T11:26:25"/>
    <m/>
    <m/>
    <x v="1"/>
    <n v="133"/>
    <s v="Roselle Delos Angeles"/>
    <m/>
  </r>
  <r>
    <x v="260"/>
    <x v="0"/>
    <x v="2"/>
    <s v="CPHOENX_01019182611714"/>
    <s v="L000013834"/>
    <s v="L000013834"/>
    <s v="Non-LFF"/>
    <s v=""/>
    <m/>
    <b v="1"/>
    <x v="3"/>
    <x v="2"/>
    <d v="2025-06-17T11:26:25"/>
    <m/>
    <m/>
    <x v="1"/>
    <n v="133"/>
    <s v="Roselle Delos Angeles"/>
    <m/>
  </r>
  <r>
    <x v="260"/>
    <x v="0"/>
    <x v="2"/>
    <s v="CPHOENX_01019182611716"/>
    <s v="L000013834"/>
    <s v="L000013834"/>
    <s v="Non-LFF"/>
    <s v=""/>
    <m/>
    <b v="1"/>
    <x v="3"/>
    <x v="2"/>
    <d v="2025-06-17T11:26:25"/>
    <m/>
    <m/>
    <x v="1"/>
    <n v="133"/>
    <s v="Roselle Delos Angeles"/>
    <m/>
  </r>
  <r>
    <x v="260"/>
    <x v="0"/>
    <x v="2"/>
    <s v="CPHOENX_01019182611720"/>
    <s v="L000013834"/>
    <s v="L000013834"/>
    <s v="Non-LFF"/>
    <s v=""/>
    <m/>
    <b v="1"/>
    <x v="3"/>
    <x v="2"/>
    <d v="2025-06-17T11:26:25"/>
    <m/>
    <m/>
    <x v="1"/>
    <n v="133"/>
    <s v="Roselle Delos Angeles"/>
    <m/>
  </r>
  <r>
    <x v="260"/>
    <x v="0"/>
    <x v="2"/>
    <s v="CPHOENX_01019182611722"/>
    <s v="L000013834"/>
    <s v="L000013834"/>
    <s v="Non-LFF"/>
    <s v=""/>
    <m/>
    <b v="1"/>
    <x v="3"/>
    <x v="2"/>
    <d v="2025-06-17T11:26:25"/>
    <m/>
    <m/>
    <x v="1"/>
    <n v="133"/>
    <s v="Roselle Delos Angeles"/>
    <m/>
  </r>
  <r>
    <x v="260"/>
    <x v="0"/>
    <x v="2"/>
    <s v="CPHOENX_01019182611740"/>
    <s v="L000013834"/>
    <s v="L000013834"/>
    <s v="Non-LFF"/>
    <s v=""/>
    <m/>
    <b v="1"/>
    <x v="3"/>
    <x v="2"/>
    <d v="2025-06-17T11:26:25"/>
    <m/>
    <m/>
    <x v="1"/>
    <n v="133"/>
    <s v="Roselle Delos Angeles"/>
    <m/>
  </r>
  <r>
    <x v="260"/>
    <x v="0"/>
    <x v="2"/>
    <s v="CPHOENX_01019182611750"/>
    <s v="L000013834"/>
    <s v="L000013834"/>
    <s v="Non-LFF"/>
    <s v=""/>
    <m/>
    <b v="1"/>
    <x v="3"/>
    <x v="2"/>
    <d v="2025-06-17T11:26:25"/>
    <m/>
    <m/>
    <x v="1"/>
    <n v="133"/>
    <s v="Roselle Delos Angeles"/>
    <m/>
  </r>
  <r>
    <x v="260"/>
    <x v="0"/>
    <x v="2"/>
    <s v="CPHOENX_01019182611780"/>
    <s v="L000013834"/>
    <s v="L000013834"/>
    <s v="Non-LFF"/>
    <s v=""/>
    <m/>
    <b v="1"/>
    <x v="3"/>
    <x v="2"/>
    <d v="2025-06-17T11:26:25"/>
    <m/>
    <m/>
    <x v="1"/>
    <n v="133"/>
    <s v="Roselle Delos Angeles"/>
    <m/>
  </r>
  <r>
    <x v="260"/>
    <x v="0"/>
    <x v="2"/>
    <s v="CPHOENX_01019182611800"/>
    <s v="L000013835"/>
    <s v="L000013835"/>
    <s v="Non-LFF"/>
    <s v=""/>
    <m/>
    <b v="1"/>
    <x v="3"/>
    <x v="2"/>
    <d v="2025-06-17T11:26:25"/>
    <m/>
    <m/>
    <x v="1"/>
    <n v="133"/>
    <s v="Roselle Delos Angeles"/>
    <m/>
  </r>
  <r>
    <x v="260"/>
    <x v="0"/>
    <x v="2"/>
    <s v="CPHOENX_01019182611812"/>
    <s v="L000013835"/>
    <s v="L000013835"/>
    <s v="Non-LFF"/>
    <s v=""/>
    <m/>
    <b v="1"/>
    <x v="3"/>
    <x v="2"/>
    <d v="2025-06-17T11:26:25"/>
    <m/>
    <m/>
    <x v="1"/>
    <n v="133"/>
    <s v="Roselle Delos Angeles"/>
    <m/>
  </r>
  <r>
    <x v="260"/>
    <x v="0"/>
    <x v="2"/>
    <s v="CPHOENX_01019182611813"/>
    <s v="L000013835"/>
    <s v="L000013835"/>
    <s v="Non-LFF"/>
    <s v=""/>
    <m/>
    <b v="1"/>
    <x v="3"/>
    <x v="2"/>
    <d v="2025-06-17T11:26:25"/>
    <m/>
    <m/>
    <x v="1"/>
    <n v="133"/>
    <s v="Roselle Delos Angeles"/>
    <m/>
  </r>
  <r>
    <x v="260"/>
    <x v="0"/>
    <x v="2"/>
    <s v="CPHOENX_01019182611814"/>
    <s v="L000013835"/>
    <s v="L000013835"/>
    <s v="Non-LFF"/>
    <s v=""/>
    <m/>
    <b v="1"/>
    <x v="3"/>
    <x v="2"/>
    <d v="2025-06-17T11:26:25"/>
    <m/>
    <m/>
    <x v="1"/>
    <n v="133"/>
    <s v="Roselle Delos Angeles"/>
    <m/>
  </r>
  <r>
    <x v="260"/>
    <x v="0"/>
    <x v="2"/>
    <s v="CPHOENX_01019182611816"/>
    <s v="L000013835"/>
    <s v="L000013835"/>
    <s v="Non-LFF"/>
    <s v=""/>
    <m/>
    <b v="1"/>
    <x v="3"/>
    <x v="2"/>
    <d v="2025-06-17T11:26:25"/>
    <m/>
    <m/>
    <x v="1"/>
    <n v="133"/>
    <s v="Roselle Delos Angeles"/>
    <m/>
  </r>
  <r>
    <x v="260"/>
    <x v="0"/>
    <x v="2"/>
    <s v="CPHOENX_01019182611818"/>
    <s v="L000013835"/>
    <s v="L000013835"/>
    <s v="Non-LFF"/>
    <s v=""/>
    <m/>
    <b v="1"/>
    <x v="3"/>
    <x v="2"/>
    <d v="2025-06-17T11:26:25"/>
    <m/>
    <m/>
    <x v="1"/>
    <n v="133"/>
    <s v="Roselle Delos Angeles"/>
    <m/>
  </r>
  <r>
    <x v="260"/>
    <x v="0"/>
    <x v="2"/>
    <s v="CPHOENX_01019182611820"/>
    <s v="L000013835"/>
    <s v="L000013835"/>
    <s v="Non-LFF"/>
    <s v=""/>
    <m/>
    <b v="1"/>
    <x v="3"/>
    <x v="2"/>
    <d v="2025-06-17T11:26:25"/>
    <m/>
    <m/>
    <x v="1"/>
    <n v="133"/>
    <s v="Roselle Delos Angeles"/>
    <m/>
  </r>
  <r>
    <x v="260"/>
    <x v="0"/>
    <x v="2"/>
    <s v="CPHOENX_01019182611826"/>
    <s v="L000013835"/>
    <s v="L000013835"/>
    <s v="Non-LFF"/>
    <s v=""/>
    <m/>
    <b v="1"/>
    <x v="3"/>
    <x v="2"/>
    <d v="2025-06-17T11:26:25"/>
    <m/>
    <m/>
    <x v="1"/>
    <n v="133"/>
    <s v="Roselle Delos Angeles"/>
    <m/>
  </r>
  <r>
    <x v="260"/>
    <x v="0"/>
    <x v="2"/>
    <s v="CPHOENX_01019182611830"/>
    <s v="L000013835"/>
    <s v="L000013835"/>
    <s v="Non-LFF"/>
    <s v=""/>
    <m/>
    <b v="1"/>
    <x v="3"/>
    <x v="2"/>
    <d v="2025-06-17T11:26:25"/>
    <m/>
    <m/>
    <x v="1"/>
    <n v="133"/>
    <s v="Roselle Delos Angeles"/>
    <m/>
  </r>
  <r>
    <x v="260"/>
    <x v="0"/>
    <x v="2"/>
    <s v="CPHOENX_01019182611840"/>
    <s v="L000013835"/>
    <s v="L000013835"/>
    <s v="Non-LFF"/>
    <s v=""/>
    <m/>
    <b v="1"/>
    <x v="3"/>
    <x v="2"/>
    <d v="2025-06-17T11:26:25"/>
    <m/>
    <m/>
    <x v="1"/>
    <n v="133"/>
    <s v="Roselle Delos Angeles"/>
    <m/>
  </r>
  <r>
    <x v="260"/>
    <x v="0"/>
    <x v="2"/>
    <s v="CPHOENX_01019182611850"/>
    <s v="L000013835"/>
    <s v="L000013835"/>
    <s v="Non-LFF"/>
    <s v=""/>
    <m/>
    <b v="1"/>
    <x v="3"/>
    <x v="2"/>
    <d v="2025-06-17T11:26:25"/>
    <m/>
    <m/>
    <x v="1"/>
    <n v="133"/>
    <s v="Roselle Delos Angeles"/>
    <m/>
  </r>
  <r>
    <x v="260"/>
    <x v="0"/>
    <x v="2"/>
    <s v="CPHOENX_01019182611855"/>
    <s v="L000013835"/>
    <s v="L000013835"/>
    <s v="Non-LFF"/>
    <s v=""/>
    <m/>
    <b v="1"/>
    <x v="3"/>
    <x v="2"/>
    <d v="2025-06-17T11:26:25"/>
    <m/>
    <m/>
    <x v="1"/>
    <n v="133"/>
    <s v="Roselle Delos Angeles"/>
    <m/>
  </r>
  <r>
    <x v="260"/>
    <x v="0"/>
    <x v="2"/>
    <s v="CPHOENX_01019182611860"/>
    <s v="L000013835"/>
    <s v="L000013835"/>
    <s v="Non-LFF"/>
    <s v=""/>
    <m/>
    <b v="1"/>
    <x v="3"/>
    <x v="2"/>
    <d v="2025-06-17T11:26:25"/>
    <m/>
    <m/>
    <x v="1"/>
    <n v="133"/>
    <s v="Roselle Delos Angeles"/>
    <m/>
  </r>
  <r>
    <x v="260"/>
    <x v="0"/>
    <x v="2"/>
    <s v="CPHOENX_01019182611863"/>
    <s v="L000013835"/>
    <s v="L000013835"/>
    <s v="Non-LFF"/>
    <s v=""/>
    <m/>
    <b v="1"/>
    <x v="3"/>
    <x v="2"/>
    <d v="2025-06-17T11:26:25"/>
    <m/>
    <m/>
    <x v="1"/>
    <n v="133"/>
    <s v="Roselle Delos Angeles"/>
    <m/>
  </r>
  <r>
    <x v="260"/>
    <x v="0"/>
    <x v="2"/>
    <s v="CPHOENX_01019182611864"/>
    <s v="L000013835"/>
    <s v="L000013835"/>
    <s v="Non-LFF"/>
    <s v=""/>
    <m/>
    <b v="1"/>
    <x v="3"/>
    <x v="2"/>
    <d v="2025-06-17T11:26:25"/>
    <m/>
    <m/>
    <x v="1"/>
    <n v="133"/>
    <s v="Roselle Delos Angeles"/>
    <m/>
  </r>
  <r>
    <x v="260"/>
    <x v="0"/>
    <x v="2"/>
    <s v="CPHOENX_01019182611870"/>
    <s v="L000013835"/>
    <s v="L000013835"/>
    <s v="Non-LFF"/>
    <s v=""/>
    <m/>
    <b v="1"/>
    <x v="3"/>
    <x v="2"/>
    <d v="2025-06-17T11:26:25"/>
    <m/>
    <m/>
    <x v="1"/>
    <n v="133"/>
    <s v="Roselle Delos Angeles"/>
    <m/>
  </r>
  <r>
    <x v="260"/>
    <x v="0"/>
    <x v="2"/>
    <s v="CPHOENX_01019182611880"/>
    <s v="L000013835"/>
    <s v="L000013835"/>
    <s v="Non-LFF"/>
    <s v=""/>
    <m/>
    <b v="1"/>
    <x v="3"/>
    <x v="2"/>
    <d v="2025-06-17T11:26:25"/>
    <m/>
    <m/>
    <x v="1"/>
    <n v="133"/>
    <s v="Roselle Delos Angeles"/>
    <m/>
  </r>
  <r>
    <x v="260"/>
    <x v="0"/>
    <x v="2"/>
    <s v="CPHOENX_01019182611881"/>
    <s v="L000013835"/>
    <s v="L000013835"/>
    <s v="Non-LFF"/>
    <s v=""/>
    <m/>
    <b v="1"/>
    <x v="3"/>
    <x v="2"/>
    <d v="2025-06-17T11:26:25"/>
    <m/>
    <m/>
    <x v="1"/>
    <n v="133"/>
    <s v="Roselle Delos Angeles"/>
    <m/>
  </r>
  <r>
    <x v="260"/>
    <x v="0"/>
    <x v="2"/>
    <s v="IPHOENX_000400762834"/>
    <s v="L000013835"/>
    <s v="L000013835"/>
    <s v="Non-LFF"/>
    <s v=""/>
    <m/>
    <b v="1"/>
    <x v="3"/>
    <x v="2"/>
    <d v="2025-06-17T11:26:25"/>
    <m/>
    <m/>
    <x v="1"/>
    <n v="133"/>
    <s v="Roselle Delos Angeles"/>
    <m/>
  </r>
  <r>
    <x v="260"/>
    <x v="0"/>
    <x v="2"/>
    <s v="IPHOENX_000400762835"/>
    <s v="L000013835"/>
    <s v="L000013835"/>
    <s v="Non-LFF"/>
    <s v=""/>
    <m/>
    <b v="1"/>
    <x v="3"/>
    <x v="2"/>
    <d v="2025-06-17T11:26:25"/>
    <m/>
    <m/>
    <x v="1"/>
    <n v="133"/>
    <s v="Roselle Delos Angeles"/>
    <m/>
  </r>
  <r>
    <x v="260"/>
    <x v="0"/>
    <x v="2"/>
    <s v="IPHOENX_000400763392"/>
    <s v="L000013835"/>
    <s v="L000013835"/>
    <s v="Non-LFF"/>
    <s v=""/>
    <m/>
    <b v="1"/>
    <x v="3"/>
    <x v="2"/>
    <d v="2025-06-17T11:26:25"/>
    <m/>
    <m/>
    <x v="1"/>
    <n v="133"/>
    <s v="Roselle Delos Angeles"/>
    <m/>
  </r>
  <r>
    <x v="260"/>
    <x v="0"/>
    <x v="2"/>
    <s v="IPHOENX_000400763916"/>
    <s v="L000013834"/>
    <s v="L000013834"/>
    <s v="Non-LFF"/>
    <s v=""/>
    <m/>
    <b v="1"/>
    <x v="3"/>
    <x v="2"/>
    <d v="2025-06-17T11:26:25"/>
    <m/>
    <m/>
    <x v="1"/>
    <n v="133"/>
    <s v="Roselle Delos Angeles"/>
    <m/>
  </r>
  <r>
    <x v="260"/>
    <x v="0"/>
    <x v="2"/>
    <s v="IPHOENX_000400764132"/>
    <s v="L000013835"/>
    <s v="L000013835"/>
    <s v="Non-LFF"/>
    <s v=""/>
    <m/>
    <b v="1"/>
    <x v="3"/>
    <x v="2"/>
    <d v="2025-06-17T11:26:25"/>
    <m/>
    <m/>
    <x v="1"/>
    <n v="133"/>
    <s v="Roselle Delos Angeles"/>
    <m/>
  </r>
  <r>
    <x v="260"/>
    <x v="0"/>
    <x v="2"/>
    <s v="CLFF_1000$$$DE10N11700"/>
    <s v="L000013834"/>
    <s v="L000013834"/>
    <s v="LFF (MDG-F)"/>
    <s v="DE10N11700"/>
    <s v="Changes were saved for change request 25470855"/>
    <b v="1"/>
    <x v="3"/>
    <x v="2"/>
    <d v="2025-06-17T11:26:25"/>
    <m/>
    <m/>
    <x v="1"/>
    <n v="133"/>
    <s v="Roselle Delos Angeles"/>
    <m/>
  </r>
  <r>
    <x v="260"/>
    <x v="0"/>
    <x v="2"/>
    <s v="CLFF_1000$$$DE10N11714"/>
    <s v="L000013834"/>
    <s v="L000013834"/>
    <s v="LFF (MDG-F)"/>
    <s v="DE10N11714"/>
    <s v="Changes were saved for change request 25470855"/>
    <b v="1"/>
    <x v="3"/>
    <x v="2"/>
    <d v="2025-06-17T11:26:25"/>
    <m/>
    <m/>
    <x v="1"/>
    <n v="133"/>
    <s v="Roselle Delos Angeles"/>
    <m/>
  </r>
  <r>
    <x v="260"/>
    <x v="0"/>
    <x v="2"/>
    <s v="CLFF_1000$$$DE10N11716"/>
    <s v="L000013834"/>
    <s v="L000013834"/>
    <s v="LFF (MDG-F)"/>
    <s v="DE10N11716"/>
    <s v="Changes were saved for change request 25470855"/>
    <b v="1"/>
    <x v="3"/>
    <x v="2"/>
    <d v="2025-06-17T11:26:25"/>
    <m/>
    <m/>
    <x v="1"/>
    <n v="133"/>
    <s v="Roselle Delos Angeles"/>
    <m/>
  </r>
  <r>
    <x v="260"/>
    <x v="0"/>
    <x v="2"/>
    <s v="CLFF_1000$$$DE10N11720"/>
    <s v="L000013834"/>
    <s v="L000013834"/>
    <s v="LFF (MDG-F)"/>
    <s v="DE10N11720"/>
    <s v="Changes were saved for change request 25470855"/>
    <b v="1"/>
    <x v="3"/>
    <x v="2"/>
    <d v="2025-06-17T11:26:25"/>
    <m/>
    <m/>
    <x v="1"/>
    <n v="133"/>
    <s v="Roselle Delos Angeles"/>
    <m/>
  </r>
  <r>
    <x v="260"/>
    <x v="0"/>
    <x v="2"/>
    <s v="CLFF_1000$$$DE10N11722"/>
    <s v="L000013834"/>
    <s v="L000013834"/>
    <s v="LFF (MDG-F)"/>
    <s v="DE10N11722"/>
    <s v="Changes were saved for change request 25470855"/>
    <b v="1"/>
    <x v="3"/>
    <x v="2"/>
    <d v="2025-06-17T11:26:25"/>
    <m/>
    <m/>
    <x v="1"/>
    <n v="133"/>
    <s v="Roselle Delos Angeles"/>
    <m/>
  </r>
  <r>
    <x v="260"/>
    <x v="0"/>
    <x v="2"/>
    <s v="CLFF_1000$$$DE10N11740"/>
    <s v="L000013834"/>
    <s v="L000013834"/>
    <s v="LFF (MDG-F)"/>
    <s v="DE10N11740"/>
    <s v="Changes were saved for change request 25470855"/>
    <b v="1"/>
    <x v="3"/>
    <x v="2"/>
    <d v="2025-06-17T11:26:25"/>
    <m/>
    <m/>
    <x v="1"/>
    <n v="133"/>
    <s v="Roselle Delos Angeles"/>
    <m/>
  </r>
  <r>
    <x v="260"/>
    <x v="0"/>
    <x v="2"/>
    <s v="CLFF_1000$$$DE10N11750"/>
    <s v="L000013834"/>
    <s v="L000013834"/>
    <s v="LFF (MDG-F)"/>
    <s v="DE10N11750"/>
    <s v="Changes were saved for change request 25470855"/>
    <b v="1"/>
    <x v="3"/>
    <x v="2"/>
    <d v="2025-06-17T11:26:25"/>
    <m/>
    <m/>
    <x v="1"/>
    <n v="133"/>
    <s v="Roselle Delos Angeles"/>
    <m/>
  </r>
  <r>
    <x v="260"/>
    <x v="0"/>
    <x v="2"/>
    <s v="CLFF_1000$$$DE10N11780"/>
    <s v="L000013834"/>
    <s v="L000013834"/>
    <s v="LFF (MDG-F)"/>
    <s v="DE10N11780"/>
    <s v="Changes were saved for change request 25470855"/>
    <b v="1"/>
    <x v="3"/>
    <x v="2"/>
    <d v="2025-06-17T11:26:25"/>
    <m/>
    <m/>
    <x v="1"/>
    <n v="133"/>
    <s v="Roselle Delos Angeles"/>
    <m/>
  </r>
  <r>
    <x v="260"/>
    <x v="0"/>
    <x v="2"/>
    <s v="CLFF_1000$$$DE10N11800"/>
    <s v="L000013835"/>
    <s v="L000013835"/>
    <s v="LFF (MDG-F)"/>
    <s v="DE10N11800"/>
    <s v="Changes were saved for change request 25470855"/>
    <b v="1"/>
    <x v="3"/>
    <x v="2"/>
    <d v="2025-06-17T11:26:25"/>
    <m/>
    <m/>
    <x v="1"/>
    <n v="133"/>
    <s v="Roselle Delos Angeles"/>
    <m/>
  </r>
  <r>
    <x v="260"/>
    <x v="0"/>
    <x v="2"/>
    <s v="CLFF_1000$$$DE10N11812"/>
    <s v="L000013835"/>
    <s v="L000013835"/>
    <s v="LFF (MDG-F)"/>
    <s v="DE10N11812"/>
    <s v="Changes were saved for change request 25470855"/>
    <b v="1"/>
    <x v="3"/>
    <x v="2"/>
    <d v="2025-06-17T11:26:25"/>
    <m/>
    <m/>
    <x v="1"/>
    <n v="133"/>
    <s v="Roselle Delos Angeles"/>
    <m/>
  </r>
  <r>
    <x v="260"/>
    <x v="0"/>
    <x v="2"/>
    <s v="CLFF_1000$$$DE10N11813"/>
    <s v="L000013835"/>
    <s v="L000013835"/>
    <s v="LFF (MDG-F)"/>
    <s v="DE10N11813"/>
    <s v="Changes were saved for change request 25470855"/>
    <b v="1"/>
    <x v="3"/>
    <x v="2"/>
    <d v="2025-06-17T11:26:25"/>
    <m/>
    <m/>
    <x v="1"/>
    <n v="133"/>
    <s v="Roselle Delos Angeles"/>
    <m/>
  </r>
  <r>
    <x v="260"/>
    <x v="0"/>
    <x v="2"/>
    <s v="CLFF_1000$$$DE10N11814"/>
    <s v="L000013835"/>
    <s v="L000013835"/>
    <s v="LFF (MDG-F)"/>
    <s v="DE10N11814"/>
    <s v="Changes were saved for change request 25470855"/>
    <b v="1"/>
    <x v="3"/>
    <x v="2"/>
    <d v="2025-06-17T11:26:25"/>
    <m/>
    <m/>
    <x v="1"/>
    <n v="133"/>
    <s v="Roselle Delos Angeles"/>
    <m/>
  </r>
  <r>
    <x v="260"/>
    <x v="0"/>
    <x v="2"/>
    <s v="CLFF_1000$$$DE10N11816"/>
    <s v="L000013835"/>
    <s v="L000013835"/>
    <s v="LFF (MDG-F)"/>
    <s v="DE10N11816"/>
    <s v="Changes were saved for change request 25470855"/>
    <b v="1"/>
    <x v="3"/>
    <x v="2"/>
    <d v="2025-06-17T11:26:25"/>
    <m/>
    <m/>
    <x v="1"/>
    <n v="133"/>
    <s v="Roselle Delos Angeles"/>
    <m/>
  </r>
  <r>
    <x v="260"/>
    <x v="0"/>
    <x v="2"/>
    <s v="CLFF_1000$$$DE10N11818"/>
    <s v="L000013835"/>
    <s v="L000013835"/>
    <s v="LFF (MDG-F)"/>
    <s v="DE10N11818"/>
    <s v="Changes were saved for change request 25470855"/>
    <b v="1"/>
    <x v="3"/>
    <x v="2"/>
    <d v="2025-06-17T11:26:25"/>
    <m/>
    <m/>
    <x v="1"/>
    <n v="133"/>
    <s v="Roselle Delos Angeles"/>
    <m/>
  </r>
  <r>
    <x v="260"/>
    <x v="0"/>
    <x v="2"/>
    <s v="CLFF_1000$$$DE10N11820"/>
    <s v="L000013835"/>
    <s v="L000013835"/>
    <s v="LFF (MDG-F)"/>
    <s v="DE10N11820"/>
    <s v="Changes were saved for change request 25470855"/>
    <b v="1"/>
    <x v="3"/>
    <x v="2"/>
    <d v="2025-06-17T11:26:25"/>
    <m/>
    <m/>
    <x v="1"/>
    <n v="133"/>
    <s v="Roselle Delos Angeles"/>
    <m/>
  </r>
  <r>
    <x v="260"/>
    <x v="0"/>
    <x v="2"/>
    <s v="CLFF_1000$$$DE10N11826"/>
    <s v="L000013835"/>
    <s v="L000013835"/>
    <s v="LFF (MDG-F)"/>
    <s v="DE10N11826"/>
    <s v="Changes were saved for change request 25470855"/>
    <b v="1"/>
    <x v="3"/>
    <x v="2"/>
    <d v="2025-06-17T11:26:25"/>
    <m/>
    <m/>
    <x v="1"/>
    <n v="133"/>
    <s v="Roselle Delos Angeles"/>
    <m/>
  </r>
  <r>
    <x v="260"/>
    <x v="0"/>
    <x v="2"/>
    <s v="CLFF_1000$$$DE10N11830"/>
    <s v="L000013835"/>
    <s v="L000013835"/>
    <s v="LFF (MDG-F)"/>
    <s v="DE10N11830"/>
    <s v="Changes were saved for change request 25470855"/>
    <b v="1"/>
    <x v="3"/>
    <x v="2"/>
    <d v="2025-06-17T11:26:25"/>
    <m/>
    <m/>
    <x v="1"/>
    <n v="133"/>
    <s v="Roselle Delos Angeles"/>
    <m/>
  </r>
  <r>
    <x v="260"/>
    <x v="0"/>
    <x v="2"/>
    <s v="CLFF_1000$$$DE10N11840"/>
    <s v="L000013835"/>
    <s v="L000013835"/>
    <s v="LFF (MDG-F)"/>
    <s v="DE10N11840"/>
    <s v="Changes were saved for change request 25470855"/>
    <b v="1"/>
    <x v="3"/>
    <x v="2"/>
    <d v="2025-06-17T11:26:25"/>
    <m/>
    <m/>
    <x v="1"/>
    <n v="133"/>
    <s v="Roselle Delos Angeles"/>
    <m/>
  </r>
  <r>
    <x v="260"/>
    <x v="0"/>
    <x v="2"/>
    <s v="CLFF_1000$$$DE10N11850"/>
    <s v="L000013835"/>
    <s v="L000013835"/>
    <s v="LFF (MDG-F)"/>
    <s v="DE10N11850"/>
    <s v="Changes were saved for change request 25470855"/>
    <b v="1"/>
    <x v="3"/>
    <x v="2"/>
    <d v="2025-06-17T11:26:25"/>
    <m/>
    <m/>
    <x v="1"/>
    <n v="133"/>
    <s v="Roselle Delos Angeles"/>
    <m/>
  </r>
  <r>
    <x v="260"/>
    <x v="0"/>
    <x v="2"/>
    <s v="CLFF_1000$$$DE10N11855"/>
    <s v="L000013835"/>
    <s v="L000013835"/>
    <s v="LFF (MDG-F)"/>
    <s v="DE10N11855"/>
    <s v="Changes were saved for change request 25470855"/>
    <b v="1"/>
    <x v="3"/>
    <x v="2"/>
    <d v="2025-06-17T11:26:25"/>
    <m/>
    <m/>
    <x v="1"/>
    <n v="133"/>
    <s v="Roselle Delos Angeles"/>
    <m/>
  </r>
  <r>
    <x v="260"/>
    <x v="0"/>
    <x v="2"/>
    <s v="CLFF_1000$$$DE10N11860"/>
    <s v="L000013835"/>
    <s v="L000013835"/>
    <s v="LFF (MDG-F)"/>
    <s v="DE10N11860"/>
    <s v="Changes were saved for change request 25470855"/>
    <b v="1"/>
    <x v="3"/>
    <x v="2"/>
    <d v="2025-06-17T11:26:25"/>
    <m/>
    <m/>
    <x v="1"/>
    <n v="133"/>
    <s v="Roselle Delos Angeles"/>
    <m/>
  </r>
  <r>
    <x v="260"/>
    <x v="0"/>
    <x v="2"/>
    <s v="CLFF_1000$$$DE10N11863"/>
    <s v="L000013835"/>
    <s v="L000013835"/>
    <s v="LFF (MDG-F)"/>
    <s v="DE10N11863"/>
    <s v="Changes were saved for change request 25470855"/>
    <b v="1"/>
    <x v="3"/>
    <x v="2"/>
    <d v="2025-06-17T11:26:25"/>
    <m/>
    <m/>
    <x v="1"/>
    <n v="133"/>
    <s v="Roselle Delos Angeles"/>
    <m/>
  </r>
  <r>
    <x v="260"/>
    <x v="0"/>
    <x v="2"/>
    <s v="CLFF_1000$$$DE10N11864"/>
    <s v="L000013835"/>
    <s v="L000013835"/>
    <s v="LFF (MDG-F)"/>
    <s v="DE10N11864"/>
    <s v="Changes were saved for change request 25470855"/>
    <b v="1"/>
    <x v="3"/>
    <x v="2"/>
    <d v="2025-06-17T11:26:25"/>
    <m/>
    <m/>
    <x v="1"/>
    <n v="133"/>
    <s v="Roselle Delos Angeles"/>
    <m/>
  </r>
  <r>
    <x v="260"/>
    <x v="0"/>
    <x v="2"/>
    <s v="CLFF_1000$$$DE10N11870"/>
    <s v="L000013835"/>
    <s v="L000013835"/>
    <s v="LFF (MDG-F)"/>
    <s v="DE10N11870"/>
    <s v="Changes were saved for change request 25470855"/>
    <b v="1"/>
    <x v="3"/>
    <x v="2"/>
    <d v="2025-06-17T11:26:25"/>
    <m/>
    <m/>
    <x v="1"/>
    <n v="133"/>
    <s v="Roselle Delos Angeles"/>
    <m/>
  </r>
  <r>
    <x v="260"/>
    <x v="0"/>
    <x v="2"/>
    <s v="CLFF_1000$$$DE10N11880"/>
    <s v="L000013835"/>
    <s v="L000013835"/>
    <s v="LFF (MDG-F)"/>
    <s v="DE10N11880"/>
    <s v="Changes were saved for change request 25470855"/>
    <b v="1"/>
    <x v="3"/>
    <x v="2"/>
    <d v="2025-06-17T11:26:25"/>
    <m/>
    <m/>
    <x v="1"/>
    <n v="133"/>
    <s v="Roselle Delos Angeles"/>
    <m/>
  </r>
  <r>
    <x v="260"/>
    <x v="0"/>
    <x v="2"/>
    <s v="CLFF_1000$$$DE10N11881"/>
    <s v="L000013835"/>
    <s v="L000013835"/>
    <s v="LFF (MDG-F)"/>
    <s v="DE10N11881"/>
    <s v="Changes were saved for change request 25470855"/>
    <b v="1"/>
    <x v="3"/>
    <x v="2"/>
    <d v="2025-06-17T11:26:25"/>
    <m/>
    <m/>
    <x v="1"/>
    <n v="133"/>
    <s v="Roselle Delos Angeles"/>
    <m/>
  </r>
  <r>
    <x v="261"/>
    <x v="0"/>
    <x v="2"/>
    <s v="PQUATRO_D001263DE0413000000 DSA rectification BCP"/>
    <s v="P000001013"/>
    <s v="P000001013"/>
    <s v="Non-LFF"/>
    <s v=""/>
    <m/>
    <b v="1"/>
    <x v="3"/>
    <x v="2"/>
    <d v="2025-06-17T12:12:54"/>
    <m/>
    <m/>
    <x v="1"/>
    <n v="133"/>
    <s v="Roselle Delos Angeles"/>
    <m/>
  </r>
  <r>
    <x v="261"/>
    <x v="0"/>
    <x v="2"/>
    <s v="PQUATRO_D001264DE0413000000 DSA rectification NUL"/>
    <s v="P000001013"/>
    <s v="P000001013"/>
    <s v="Non-LFF"/>
    <s v=""/>
    <m/>
    <b v="1"/>
    <x v="3"/>
    <x v="2"/>
    <d v="2025-06-17T12:12:54"/>
    <m/>
    <m/>
    <x v="1"/>
    <n v="133"/>
    <s v="Roselle Delos Angeles"/>
    <m/>
  </r>
  <r>
    <x v="261"/>
    <x v="0"/>
    <x v="2"/>
    <s v="PQUATRO_D001265DE0413000000 DSA rectification PIN"/>
    <s v="P000001013"/>
    <s v="P000001013"/>
    <s v="Non-LFF"/>
    <s v=""/>
    <m/>
    <b v="1"/>
    <x v="3"/>
    <x v="2"/>
    <d v="2025-06-17T12:12:54"/>
    <m/>
    <m/>
    <x v="1"/>
    <n v="133"/>
    <s v="Roselle Delos Angeles"/>
    <m/>
  </r>
  <r>
    <x v="261"/>
    <x v="0"/>
    <x v="2"/>
    <s v="PQUATRO_D001267DE0413000000 DSA C/H PIN and PSPT"/>
    <s v="P000001013"/>
    <s v="P000001013"/>
    <s v="Non-LFF"/>
    <s v=""/>
    <m/>
    <b v="1"/>
    <x v="3"/>
    <x v="2"/>
    <d v="2025-06-17T12:12:54"/>
    <m/>
    <m/>
    <x v="1"/>
    <n v="133"/>
    <s v="Roselle Delos Angeles"/>
    <m/>
  </r>
  <r>
    <x v="261"/>
    <x v="0"/>
    <x v="2"/>
    <s v="PQUATRO_D001268DE0413000000 DSA Advanced Tech Project"/>
    <s v="P000001013"/>
    <s v="P000001013"/>
    <s v="Non-LFF"/>
    <s v=""/>
    <m/>
    <b v="1"/>
    <x v="3"/>
    <x v="2"/>
    <d v="2025-06-17T12:12:54"/>
    <m/>
    <m/>
    <x v="1"/>
    <n v="133"/>
    <s v="Roselle Delos Angeles"/>
    <m/>
  </r>
  <r>
    <x v="261"/>
    <x v="0"/>
    <x v="2"/>
    <s v="PQUATRO_D001269DE0413000000 KrF resist 9300 series"/>
    <s v="P000001013"/>
    <s v="P000001013"/>
    <s v="Non-LFF"/>
    <s v=""/>
    <m/>
    <b v="1"/>
    <x v="3"/>
    <x v="2"/>
    <d v="2025-06-17T12:12:54"/>
    <m/>
    <m/>
    <x v="1"/>
    <n v="133"/>
    <s v="Roselle Delos Angeles"/>
    <m/>
  </r>
  <r>
    <x v="261"/>
    <x v="0"/>
    <x v="2"/>
    <s v="PQUATRO_D001270DE0413000000 KrF resist polymers"/>
    <s v="P000001013"/>
    <s v="P000001013"/>
    <s v="Non-LFF"/>
    <s v=""/>
    <m/>
    <b v="1"/>
    <x v="3"/>
    <x v="2"/>
    <d v="2025-06-17T12:12:54"/>
    <m/>
    <m/>
    <x v="1"/>
    <n v="133"/>
    <s v="Roselle Delos Angeles"/>
    <m/>
  </r>
  <r>
    <x v="261"/>
    <x v="0"/>
    <x v="2"/>
    <s v="PQUATRO_D001271DE0413000000 KrF Positiv Tone Patterning (China)"/>
    <s v="P000001013"/>
    <s v="P000001013"/>
    <s v="Non-LFF"/>
    <s v=""/>
    <m/>
    <b v="1"/>
    <x v="3"/>
    <x v="2"/>
    <d v="2025-06-17T12:12:54"/>
    <m/>
    <m/>
    <x v="1"/>
    <n v="133"/>
    <s v="Roselle Delos Angeles"/>
    <m/>
  </r>
  <r>
    <x v="261"/>
    <x v="0"/>
    <x v="2"/>
    <s v="PQUATRO_D001272DE0413000000 i-line resist polymers"/>
    <s v="P000001013"/>
    <s v="P000001013"/>
    <s v="Non-LFF"/>
    <s v=""/>
    <m/>
    <b v="1"/>
    <x v="3"/>
    <x v="2"/>
    <d v="2025-06-17T12:12:54"/>
    <m/>
    <m/>
    <x v="1"/>
    <n v="133"/>
    <s v="Roselle Delos Angeles"/>
    <m/>
  </r>
  <r>
    <x v="261"/>
    <x v="0"/>
    <x v="2"/>
    <s v="PQUATRO_D001262US0101000000 Spin-on Metal-containing TIM"/>
    <s v="P000001013"/>
    <s v="P000001013"/>
    <s v="Non-LFF"/>
    <s v=""/>
    <m/>
    <b v="1"/>
    <x v="3"/>
    <x v="2"/>
    <d v="2025-06-17T12:12:54"/>
    <m/>
    <m/>
    <x v="1"/>
    <n v="133"/>
    <s v="Roselle Delos Angeles"/>
    <m/>
  </r>
  <r>
    <x v="261"/>
    <x v="0"/>
    <x v="2"/>
    <s v="PQUATRO_D001273DE0413000000 DCSB Feasibility"/>
    <s v="P000001010"/>
    <s v="P000001010"/>
    <s v="Non-LFF"/>
    <s v=""/>
    <m/>
    <b v="1"/>
    <x v="3"/>
    <x v="2"/>
    <d v="2025-06-17T12:12:54"/>
    <m/>
    <m/>
    <x v="1"/>
    <n v="133"/>
    <s v="Roselle Delos Angeles"/>
    <m/>
  </r>
  <r>
    <x v="261"/>
    <x v="0"/>
    <x v="2"/>
    <s v="PQUATRO_D001274DE0413000000 SN-888 Supply"/>
    <s v="P000001010"/>
    <s v="P000001010"/>
    <s v="Non-LFF"/>
    <s v=""/>
    <m/>
    <b v="1"/>
    <x v="3"/>
    <x v="2"/>
    <d v="2025-06-17T12:12:54"/>
    <m/>
    <m/>
    <x v="1"/>
    <n v="133"/>
    <s v="Roselle Delos Angeles"/>
    <m/>
  </r>
  <r>
    <x v="261"/>
    <x v="0"/>
    <x v="2"/>
    <s v="PQUATRO_D001278DE0413000000 SN-909"/>
    <s v="P000001010"/>
    <s v="P000001010"/>
    <s v="Non-LFF"/>
    <s v=""/>
    <m/>
    <b v="1"/>
    <x v="3"/>
    <x v="2"/>
    <d v="2025-06-17T12:12:54"/>
    <m/>
    <m/>
    <x v="1"/>
    <n v="133"/>
    <s v="Roselle Delos Angeles"/>
    <m/>
  </r>
  <r>
    <x v="261"/>
    <x v="0"/>
    <x v="2"/>
    <s v="PQUATRO_D001293DE0413000000 Low Shrinkage PHPS Feasibility"/>
    <s v="P000001010"/>
    <s v="P000001010"/>
    <s v="Non-LFF"/>
    <s v=""/>
    <m/>
    <b v="1"/>
    <x v="3"/>
    <x v="2"/>
    <d v="2025-06-17T12:12:54"/>
    <m/>
    <m/>
    <x v="1"/>
    <n v="133"/>
    <s v="Roselle Delos Angeles"/>
    <m/>
  </r>
  <r>
    <x v="262"/>
    <x v="0"/>
    <x v="2"/>
    <s v="CLFF_1000$$$CH50L95008 Rebilling - USA"/>
    <s v="H000000002"/>
    <s v="H000000002"/>
    <s v="LFF (MDG-F)"/>
    <s v="CH50L95008"/>
    <m/>
    <b v="1"/>
    <x v="1"/>
    <x v="2"/>
    <d v="2025-06-17T12:12:54"/>
    <m/>
    <m/>
    <x v="1"/>
    <n v="133"/>
    <s v="Rizza Tolentino"/>
    <m/>
  </r>
  <r>
    <x v="263"/>
    <x v="0"/>
    <x v="4"/>
    <s v="PC00011842"/>
    <s v="L000013495"/>
    <n v="0"/>
    <s v="Non-LFF"/>
    <s v=""/>
    <m/>
    <b v="0"/>
    <x v="2"/>
    <x v="2"/>
    <d v="2025-06-20T12:12:54"/>
    <m/>
    <d v="2025-06-23T00:00:00"/>
    <x v="0"/>
    <n v="1"/>
    <s v="Joan Rose Pena"/>
    <m/>
  </r>
  <r>
    <x v="264"/>
    <x v="0"/>
    <x v="2"/>
    <s v="CFLTFLE_22450000002743"/>
    <s v="L000011444"/>
    <s v="L000011444"/>
    <s v="Non-LFF"/>
    <s v=""/>
    <m/>
    <b v="1"/>
    <x v="2"/>
    <x v="2"/>
    <d v="2025-06-20T12:12:54"/>
    <d v="2025-06-23T00:00:00"/>
    <d v="2025-06-23T00:00:00"/>
    <x v="0"/>
    <n v="1"/>
    <s v="Pilar Laurido"/>
    <m/>
  </r>
  <r>
    <x v="265"/>
    <x v="0"/>
    <x v="4"/>
    <s v="PEMERAL_6403H2018040201__1001 SI_Project Chronos/H.20180402.01.1001"/>
    <s v="H201804020"/>
    <m/>
    <s v="Non-LFF"/>
    <s v=""/>
    <s v="PCB doesn't recognize the object."/>
    <b v="0"/>
    <x v="1"/>
    <x v="2"/>
    <d v="2025-06-20T09:13:19"/>
    <m/>
    <m/>
    <x v="1"/>
    <n v="130"/>
    <s v="Erjo Miguel Tagle"/>
    <m/>
  </r>
  <r>
    <x v="265"/>
    <x v="0"/>
    <x v="2"/>
    <s v="ITEMPNA_009004000840 CA20IC1881SE3122112000"/>
    <s v="H000000974"/>
    <s v="H000000974"/>
    <s v="Non-LFF"/>
    <s v=""/>
    <m/>
    <b v="1"/>
    <x v="1"/>
    <x v="2"/>
    <d v="2025-06-20T09:13:19"/>
    <m/>
    <m/>
    <x v="1"/>
    <n v="130"/>
    <s v="Erjo Miguel Tagle"/>
    <m/>
  </r>
  <r>
    <x v="265"/>
    <x v="0"/>
    <x v="2"/>
    <s v="ITEMPNA_009004001045 CA20IC1881SE3110250000A4"/>
    <s v="H000000974"/>
    <s v="H000000974"/>
    <s v="Non-LFF"/>
    <s v=""/>
    <m/>
    <b v="1"/>
    <x v="1"/>
    <x v="2"/>
    <d v="2025-06-20T09:13:19"/>
    <m/>
    <m/>
    <x v="1"/>
    <n v="130"/>
    <s v="Erjo Miguel Tagle"/>
    <m/>
  </r>
  <r>
    <x v="265"/>
    <x v="0"/>
    <x v="2"/>
    <s v="ITEMPNA_001040000036"/>
    <s v="H000000974"/>
    <s v="H000000974"/>
    <s v="Non-LFF"/>
    <s v=""/>
    <m/>
    <b v="1"/>
    <x v="1"/>
    <x v="2"/>
    <d v="2025-06-20T09:13:19"/>
    <m/>
    <m/>
    <x v="1"/>
    <n v="130"/>
    <s v="Erjo Miguel Tagle"/>
    <m/>
  </r>
  <r>
    <x v="263"/>
    <x v="0"/>
    <x v="2"/>
    <s v="CNOW_7210$$$PC00011842"/>
    <s v="L000013495"/>
    <s v="L000013495"/>
    <s v="Non-LFF"/>
    <s v=""/>
    <m/>
    <b v="1"/>
    <x v="2"/>
    <x v="2"/>
    <d v="2025-06-19T09:13:19"/>
    <m/>
    <m/>
    <x v="1"/>
    <n v="131"/>
    <s v="Joan Rose Pena"/>
    <m/>
  </r>
  <r>
    <x v="266"/>
    <x v="0"/>
    <x v="2"/>
    <s v="CPHOENX_01010000538989"/>
    <s v="L000013259"/>
    <s v="L000013259"/>
    <s v="Non-LFF"/>
    <s v=""/>
    <m/>
    <b v="1"/>
    <x v="2"/>
    <x v="2"/>
    <d v="2025-06-24T09:13:19"/>
    <d v="2025-07-01T00:00:00"/>
    <d v="2025-07-01T00:00:00"/>
    <x v="0"/>
    <n v="5"/>
    <s v="Joan Rose Pena"/>
    <m/>
  </r>
  <r>
    <x v="266"/>
    <x v="0"/>
    <x v="2"/>
    <s v="CLFF_1000$$$DE10B20210"/>
    <s v="L000013794"/>
    <s v="L000013794"/>
    <s v="LFF (MDG-F)"/>
    <s v="DE10B20210"/>
    <m/>
    <b v="1"/>
    <x v="2"/>
    <x v="2"/>
    <d v="2025-06-24T09:13:19"/>
    <d v="2025-07-01T00:00:00"/>
    <d v="2025-07-01T00:00:00"/>
    <x v="0"/>
    <n v="5"/>
    <s v="Joan Rose Pena"/>
    <m/>
  </r>
  <r>
    <x v="267"/>
    <x v="0"/>
    <x v="2"/>
    <s v="CLFF_7210$$$2123OF0033"/>
    <s v="G000001325"/>
    <s v="G000001325"/>
    <s v="LFF (MDG-F)"/>
    <s v="2123OF0033"/>
    <s v="Changes were saved for change request 25497069"/>
    <b v="1"/>
    <x v="0"/>
    <x v="2"/>
    <d v="2025-06-24T15:59:23"/>
    <m/>
    <m/>
    <x v="1"/>
    <n v="128"/>
    <s v="Jojeff Tagnong"/>
    <m/>
  </r>
  <r>
    <x v="267"/>
    <x v="0"/>
    <x v="2"/>
    <s v="CLFF_1000$$$CH75GM8300 "/>
    <s v="G000000218"/>
    <s v="G000000218"/>
    <s v="LFF (MDG-F)"/>
    <s v="CH75GM8300"/>
    <s v="Changes were saved for change request 25497069"/>
    <b v="1"/>
    <x v="0"/>
    <x v="2"/>
    <d v="2025-06-24T15:59:23"/>
    <m/>
    <m/>
    <x v="1"/>
    <n v="128"/>
    <s v="Jojeff Tagnong"/>
    <m/>
  </r>
  <r>
    <x v="268"/>
    <x v="0"/>
    <x v="2"/>
    <s v="CLFF_7210$$$2068TAUA00 Urbana Operations Main CC"/>
    <s v="L000013447"/>
    <s v="L000013447"/>
    <s v="LFF (MDG-F)"/>
    <s v="2068TAUA00"/>
    <s v="Changes were saved for change request 25506375"/>
    <b v="1"/>
    <x v="3"/>
    <x v="2"/>
    <d v="2025-06-27T14:36:58"/>
    <d v="2025-07-01T00:00:00"/>
    <d v="2025-07-01T00:00:00"/>
    <x v="0"/>
    <n v="2"/>
    <s v="Roselle Delos Angeles"/>
    <m/>
  </r>
  <r>
    <x v="268"/>
    <x v="0"/>
    <x v="2"/>
    <s v="CLFF_7210$$$2068TAUA99 Urbana Labor"/>
    <s v="L000013447"/>
    <s v="L000013447"/>
    <s v="LFF (MDG-F)"/>
    <s v="2068TAUA99"/>
    <s v="Changes were saved for change request 25506375"/>
    <b v="1"/>
    <x v="3"/>
    <x v="2"/>
    <d v="2025-06-27T14:36:58"/>
    <d v="2025-07-01T00:00:00"/>
    <d v="2025-07-01T00:00:00"/>
    <x v="0"/>
    <n v="2"/>
    <s v="Roselle Delos Angeles"/>
    <m/>
  </r>
  <r>
    <x v="268"/>
    <x v="0"/>
    <x v="2"/>
    <s v="CLFF_7210$$$2068TBUZ21 Urbana QC"/>
    <s v="L000013447"/>
    <s v="L000013447"/>
    <s v="LFF (MDG-F)"/>
    <s v="2068TBUZ21"/>
    <s v="Changes were saved for change request 25506375"/>
    <b v="1"/>
    <x v="3"/>
    <x v="2"/>
    <d v="2025-06-27T14:36:58"/>
    <d v="2025-07-01T00:00:00"/>
    <d v="2025-07-01T00:00:00"/>
    <x v="0"/>
    <n v="2"/>
    <s v="Roselle Delos Angeles"/>
    <m/>
  </r>
  <r>
    <x v="268"/>
    <x v="0"/>
    <x v="2"/>
    <s v="CLFF_7210$$$2068TFUZ61 Urbana Management"/>
    <s v="L000013447"/>
    <s v="L000013447"/>
    <s v="LFF (MDG-F)"/>
    <s v="2068TFUZ61"/>
    <s v="Changes were saved for change request 25506375"/>
    <b v="1"/>
    <x v="3"/>
    <x v="2"/>
    <d v="2025-06-27T14:36:58"/>
    <d v="2025-07-01T00:00:00"/>
    <d v="2025-07-01T00:00:00"/>
    <x v="0"/>
    <n v="2"/>
    <s v="Roselle Delos Angeles"/>
    <m/>
  </r>
  <r>
    <x v="268"/>
    <x v="0"/>
    <x v="2"/>
    <s v="CLFF_7210$$$2068TKUZ70 Urbana MAOH"/>
    <s v="L000013447"/>
    <s v="L000013447"/>
    <s v="LFF (MDG-F)"/>
    <s v="2068TKUZ70"/>
    <s v="Changes were saved for change request 25506375"/>
    <b v="1"/>
    <x v="3"/>
    <x v="2"/>
    <d v="2025-06-27T14:36:58"/>
    <d v="2025-07-01T00:00:00"/>
    <d v="2025-07-01T00:00:00"/>
    <x v="0"/>
    <n v="2"/>
    <s v="Roselle Delos Angeles"/>
    <m/>
  </r>
  <r>
    <x v="268"/>
    <x v="0"/>
    <x v="2"/>
    <s v="CLFF_7210$$$2068TQUZ90 Urbana Warehouse"/>
    <s v="L000013447"/>
    <s v="L000013447"/>
    <s v="LFF (MDG-F)"/>
    <s v="2068TQUZ90"/>
    <s v="Changes were saved for change request 25506375"/>
    <b v="1"/>
    <x v="3"/>
    <x v="2"/>
    <d v="2025-06-27T14:36:58"/>
    <d v="2025-07-01T00:00:00"/>
    <d v="2025-07-01T00:00:00"/>
    <x v="0"/>
    <n v="2"/>
    <s v="Roselle Delos Angeles"/>
    <m/>
  </r>
  <r>
    <x v="268"/>
    <x v="0"/>
    <x v="2"/>
    <s v="CLFF_7210$$$2068TAUA01"/>
    <s v="L000013447"/>
    <s v="L000013447"/>
    <s v="LFF (MDG-F)"/>
    <s v="2068TAUA01"/>
    <s v="Changes were saved for change request 25506375"/>
    <b v="1"/>
    <x v="3"/>
    <x v="2"/>
    <d v="2025-06-27T14:36:58"/>
    <d v="2025-07-01T00:00:00"/>
    <d v="2025-07-01T00:00:00"/>
    <x v="0"/>
    <n v="2"/>
    <s v="Roselle Delos Angeles"/>
    <m/>
  </r>
  <r>
    <x v="268"/>
    <x v="0"/>
    <x v="4"/>
    <s v="PL_E2_ES52 PL_E4_US44 ProcOrd_Urbana Production_US4"/>
    <s v="L000013447"/>
    <s v="P000000179 EL-PS-OU Site Urbana, USA"/>
    <s v="Non-LFF"/>
    <s v=""/>
    <s v="P&amp;L objects not for mapping."/>
    <b v="0"/>
    <x v="3"/>
    <x v="2"/>
    <d v="2025-06-27T14:36:58"/>
    <m/>
    <d v="2025-07-01T00:00:00"/>
    <x v="0"/>
    <n v="2"/>
    <s v="Roselle Delos Angeles"/>
    <m/>
  </r>
  <r>
    <x v="268"/>
    <x v="0"/>
    <x v="4"/>
    <s v="PL_E4_US44 ProcOrd_Urbana Production_US44"/>
    <s v="L000013447"/>
    <s v="P000000179 EL-PS-OU Site Urbana, USA"/>
    <s v="Non-LFF"/>
    <s v=""/>
    <s v="P&amp;L objects not for mapping."/>
    <b v="0"/>
    <x v="3"/>
    <x v="2"/>
    <d v="2025-06-27T14:36:58"/>
    <m/>
    <d v="2025-07-01T00:00:00"/>
    <x v="0"/>
    <n v="2"/>
    <s v="Roselle Delos Angeles"/>
    <m/>
  </r>
  <r>
    <x v="269"/>
    <x v="0"/>
    <x v="2"/>
    <s v="CFLTFLE_17710000514000"/>
    <s v="H000002268"/>
    <s v="H000002268"/>
    <s v="Non-LFF"/>
    <s v=""/>
    <m/>
    <b v="1"/>
    <x v="0"/>
    <x v="2"/>
    <d v="2025-06-26T18:04:52"/>
    <d v="2025-07-01T00:00:00"/>
    <d v="2025-07-01T00:00:00"/>
    <x v="0"/>
    <n v="3"/>
    <s v="Yulia Glazyrina"/>
    <m/>
  </r>
  <r>
    <x v="269"/>
    <x v="0"/>
    <x v="2"/>
    <s v="CFLTFLE_17710000110200 "/>
    <s v="G000000233"/>
    <s v="G000000233"/>
    <s v="Non-LFF"/>
    <s v=""/>
    <m/>
    <b v="1"/>
    <x v="0"/>
    <x v="2"/>
    <d v="2025-06-26T18:04:52"/>
    <d v="2025-07-01T00:00:00"/>
    <d v="2025-07-01T00:00:00"/>
    <x v="0"/>
    <n v="3"/>
    <s v="Yulia Glazyrina"/>
    <m/>
  </r>
  <r>
    <x v="270"/>
    <x v="0"/>
    <x v="2"/>
    <s v="ITEMPLA_001520001102 Manifesto - Sales Promo BR"/>
    <s v="H000002867"/>
    <s v="H000002867"/>
    <s v="Non-LFF"/>
    <s v=""/>
    <m/>
    <b v="1"/>
    <x v="1"/>
    <x v="3"/>
    <d v="2025-07-01T09:43:16"/>
    <d v="2025-07-02T00:00:00"/>
    <d v="2025-07-02T00:00:00"/>
    <x v="0"/>
    <n v="1"/>
    <s v="Henry Ifurung Jr."/>
    <m/>
  </r>
  <r>
    <x v="271"/>
    <x v="0"/>
    <x v="2"/>
    <s v="CFLTFLE_23940000000115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4000000012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40000000135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4000000014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4000000016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4000000017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4000000018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4000000022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4000000024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4000000025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4000000031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4000000032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4000000033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4000000034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4000000035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4000000036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4000000051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4000000053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5000000011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50000000115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5000000012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5000000013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50000000135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5000000014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5000000015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5000000016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5000000017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50000000171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5000000018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5000000022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5000000024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5000000025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5000000032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5000000033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5000000034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5000000035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5000000036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5000000043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60000000115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6000000013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60000000135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6000000014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6000000015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6000000016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6000000032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6000000035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6000000053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NOW_7210$$$0000010318"/>
    <s v="L000013324"/>
    <s v="L000013324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NOW_7210$$$0000015207"/>
    <s v="L000010150"/>
    <s v="L000010150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NOW_7210$$$0000015561"/>
    <s v="L000007673"/>
    <s v="L000007673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NOW_7210$$$0000020048"/>
    <s v="L000007835"/>
    <s v="L000007835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NOW_7210$$$0000040054"/>
    <s v="L000009807"/>
    <s v="L000009807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NOW_7210$$$0000052117"/>
    <s v="L000011157"/>
    <s v="L000011157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NOW_7210$$$0000052118"/>
    <s v="L000011157"/>
    <s v="L000011157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NOW_7210$$$0000052356"/>
    <s v="L000011665"/>
    <s v="L000011665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NOW_7210$$$0000265236"/>
    <s v="L000011362"/>
    <s v="L000011362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NOW_7210$$$0024065237"/>
    <s v="L000011362"/>
    <s v="L000011362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NOW_7210$$$0024068113"/>
    <s v="L000007252"/>
    <s v="L000007252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2"/>
    <x v="0"/>
    <x v="2"/>
    <s v="CLFF_1000$$$DE10677800"/>
    <s v="P000000763"/>
    <s v="P000000763"/>
    <s v="LFF (MDG-F)"/>
    <s v="DE10677800"/>
    <s v="Changes were saved for change request 25518301"/>
    <b v="1"/>
    <x v="0"/>
    <x v="3"/>
    <d v="2025-07-01T12:24:11"/>
    <d v="2025-07-03T00:00:00"/>
    <m/>
    <x v="1"/>
    <n v="123"/>
    <s v="Jay-R Lizardo"/>
    <m/>
  </r>
  <r>
    <x v="272"/>
    <x v="0"/>
    <x v="4"/>
    <s v="CLFF_1000$$$DE65GIT032"/>
    <s v="G000000256"/>
    <s v="DFLTPGCOH_BF-C2_001242"/>
    <s v="LFF (MDG-F)"/>
    <s v="DE65GIT032"/>
    <s v="Wont get mapped if no actuals"/>
    <b v="0"/>
    <x v="0"/>
    <x v="3"/>
    <d v="2025-07-01T12:24:11"/>
    <m/>
    <m/>
    <x v="1"/>
    <n v="123"/>
    <s v="Jay-R Lizardo"/>
    <m/>
  </r>
  <r>
    <x v="272"/>
    <x v="0"/>
    <x v="2"/>
    <s v="CLFF_1000$$$ES50GIT40L"/>
    <s v="P000000765"/>
    <s v="P000000765"/>
    <s v="LFF (MDG-F)"/>
    <s v="ES50GIT40L"/>
    <s v="Changes were saved for change request 25518301"/>
    <b v="1"/>
    <x v="0"/>
    <x v="3"/>
    <d v="2025-07-01T12:24:11"/>
    <d v="2025-07-03T00:00:00"/>
    <m/>
    <x v="1"/>
    <n v="123"/>
    <s v="Jay-R Lizardo"/>
    <m/>
  </r>
  <r>
    <x v="272"/>
    <x v="0"/>
    <x v="2"/>
    <s v="CLFF_1000$$$IT50GIT025"/>
    <s v="G000000339"/>
    <s v="G000000339"/>
    <s v="LFF (MDG-F)"/>
    <s v="IT50GIT025"/>
    <s v="Changes were saved for change request 25518301"/>
    <b v="1"/>
    <x v="0"/>
    <x v="3"/>
    <d v="2025-07-01T12:24:11"/>
    <d v="2025-07-03T00:00:00"/>
    <m/>
    <x v="1"/>
    <n v="123"/>
    <s v="Jay-R Lizardo"/>
    <m/>
  </r>
  <r>
    <x v="272"/>
    <x v="0"/>
    <x v="2"/>
    <s v="CNOW_7210$$$0000008047"/>
    <s v="G000000279"/>
    <s v="G000000279"/>
    <s v="Non-LFF"/>
    <s v=""/>
    <m/>
    <b v="1"/>
    <x v="0"/>
    <x v="3"/>
    <d v="2025-07-01T12:24:11"/>
    <d v="2025-07-03T00:00:00"/>
    <m/>
    <x v="1"/>
    <n v="123"/>
    <s v="Jay-R Lizardo"/>
    <m/>
  </r>
  <r>
    <x v="272"/>
    <x v="0"/>
    <x v="2"/>
    <s v="CNOW_7210$$$0000015701"/>
    <s v="G000000282"/>
    <s v="G000000282"/>
    <s v="Non-LFF"/>
    <s v=""/>
    <m/>
    <b v="1"/>
    <x v="0"/>
    <x v="3"/>
    <d v="2025-07-01T12:24:11"/>
    <d v="2025-07-03T00:00:00"/>
    <m/>
    <x v="1"/>
    <n v="123"/>
    <s v="Jay-R Lizardo"/>
    <m/>
  </r>
  <r>
    <x v="272"/>
    <x v="0"/>
    <x v="2"/>
    <s v="CNOW_7210$$$0000496755"/>
    <s v="G000000279"/>
    <s v="G000000279"/>
    <s v="Non-LFF"/>
    <s v=""/>
    <m/>
    <b v="1"/>
    <x v="0"/>
    <x v="3"/>
    <d v="2025-07-01T12:24:11"/>
    <d v="2025-07-03T00:00:00"/>
    <m/>
    <x v="1"/>
    <n v="123"/>
    <s v="Jay-R Lizardo"/>
    <m/>
  </r>
  <r>
    <x v="272"/>
    <x v="0"/>
    <x v="2"/>
    <s v="CNOW_AUS0$$$0000092061"/>
    <s v="G000000282"/>
    <s v="G000000282"/>
    <s v="Non-LFF"/>
    <s v=""/>
    <m/>
    <b v="1"/>
    <x v="0"/>
    <x v="3"/>
    <d v="2025-07-01T12:24:11"/>
    <d v="2025-07-03T00:00:00"/>
    <m/>
    <x v="1"/>
    <n v="123"/>
    <s v="Jay-R Lizardo"/>
    <m/>
  </r>
  <r>
    <x v="272"/>
    <x v="0"/>
    <x v="2"/>
    <s v="CSCALA_1042$ITIW"/>
    <s v="G000000282"/>
    <s v="G000000282"/>
    <s v="Non-LFF"/>
    <s v=""/>
    <m/>
    <b v="1"/>
    <x v="0"/>
    <x v="3"/>
    <d v="2025-07-01T12:24:11"/>
    <d v="2025-07-03T00:00:00"/>
    <m/>
    <x v="1"/>
    <n v="123"/>
    <s v="Jay-R Lizardo"/>
    <m/>
  </r>
  <r>
    <x v="272"/>
    <x v="0"/>
    <x v="2"/>
    <s v="CTEMPEU_1000PL10D05003"/>
    <s v="G000000895"/>
    <s v="G000000895"/>
    <s v="Non-LFF"/>
    <s v=""/>
    <m/>
    <b v="1"/>
    <x v="0"/>
    <x v="3"/>
    <d v="2025-07-01T12:24:11"/>
    <d v="2025-07-03T00:00:00"/>
    <m/>
    <x v="1"/>
    <n v="123"/>
    <s v="Jay-R Lizardo"/>
    <m/>
  </r>
  <r>
    <x v="272"/>
    <x v="0"/>
    <x v="2"/>
    <s v="CTEMPEU_1000PL80GIT01B"/>
    <s v="G000000339"/>
    <s v="G000000339"/>
    <s v="Non-LFF"/>
    <s v=""/>
    <m/>
    <b v="1"/>
    <x v="0"/>
    <x v="3"/>
    <d v="2025-07-01T12:24:11"/>
    <d v="2025-07-03T00:00:00"/>
    <m/>
    <x v="1"/>
    <n v="123"/>
    <s v="Jay-R Lizardo"/>
    <m/>
  </r>
  <r>
    <x v="273"/>
    <x v="0"/>
    <x v="2"/>
    <s v="CSCALA_1248$GM00 Quality Assurance"/>
    <s v="H000000000"/>
    <s v="H000000000"/>
    <s v="Non-LFF"/>
    <s v=""/>
    <m/>
    <b v="1"/>
    <x v="1"/>
    <x v="3"/>
    <d v="2025-07-02T09:13:57"/>
    <d v="2025-07-03T00:00:00"/>
    <d v="2025-07-03T00:00:00"/>
    <x v="0"/>
    <n v="1"/>
    <s v="Nikolaos Antonopoulos"/>
    <m/>
  </r>
  <r>
    <x v="274"/>
    <x v="0"/>
    <x v="2"/>
    <s v="CFLTFLE_22450000002707 EXL - Mfg Admin"/>
    <s v="L000013786"/>
    <s v="L000013786"/>
    <s v="Non-LFF"/>
    <s v=""/>
    <m/>
    <b v="1"/>
    <x v="2"/>
    <x v="3"/>
    <d v="2025-07-03T05:48:53"/>
    <m/>
    <m/>
    <x v="1"/>
    <n v="121"/>
    <s v="Ruby Grace Garcia"/>
    <m/>
  </r>
  <r>
    <x v="275"/>
    <x v="0"/>
    <x v="2"/>
    <s v="CEMERAL_70007001586020 REG Glob Dist Sust &amp; Enhance"/>
    <s v="L000013796"/>
    <s v="L000013796"/>
    <s v="Non-LFF"/>
    <s v=""/>
    <m/>
    <b v="1"/>
    <x v="2"/>
    <x v="3"/>
    <d v="2025-07-03T05:23:33"/>
    <m/>
    <m/>
    <x v="1"/>
    <n v="121"/>
    <s v="Ruby Grace Garcia"/>
    <m/>
  </r>
  <r>
    <x v="276"/>
    <x v="0"/>
    <x v="2"/>
    <s v="CLFF_1000$$$DE20122000"/>
    <s v="G000000400"/>
    <s v="G000000400"/>
    <s v="LFF (MDG-F)"/>
    <s v="DE20122000"/>
    <s v="Changes were saved for change request 25524013"/>
    <b v="1"/>
    <x v="0"/>
    <x v="3"/>
    <d v="2025-07-03T10:53:06"/>
    <m/>
    <m/>
    <x v="1"/>
    <n v="121"/>
    <s v="Manuel Walther"/>
    <m/>
  </r>
  <r>
    <x v="276"/>
    <x v="0"/>
    <x v="2"/>
    <s v="CLFF_1000$$$DE20123000"/>
    <s v="G000000400"/>
    <s v="G000000400"/>
    <s v="LFF (MDG-F)"/>
    <s v="DE20123000"/>
    <s v="Changes were saved for change request 25524013"/>
    <b v="1"/>
    <x v="0"/>
    <x v="3"/>
    <d v="2025-07-03T10:53:06"/>
    <m/>
    <m/>
    <x v="1"/>
    <n v="121"/>
    <s v="Manuel Walther"/>
    <m/>
  </r>
  <r>
    <x v="276"/>
    <x v="0"/>
    <x v="2"/>
    <s v="CLFF_1000$$$DE10515800"/>
    <s v="G000000998"/>
    <s v="G000000998"/>
    <s v="LFF (MDG-F)"/>
    <s v="DE10515800"/>
    <s v="Changes were saved for change request 25524013"/>
    <b v="1"/>
    <x v="0"/>
    <x v="3"/>
    <d v="2025-07-03T10:53:06"/>
    <m/>
    <m/>
    <x v="1"/>
    <n v="121"/>
    <s v="Manuel Walther"/>
    <m/>
  </r>
  <r>
    <x v="276"/>
    <x v="0"/>
    <x v="2"/>
    <s v="CLFF_1000$$$DE10538021"/>
    <s v="G000000998"/>
    <s v="G000000998"/>
    <s v="LFF (MDG-F)"/>
    <s v="DE10538021"/>
    <s v="Changes were saved for change request 25524013"/>
    <b v="1"/>
    <x v="0"/>
    <x v="3"/>
    <d v="2025-07-03T10:53:06"/>
    <m/>
    <m/>
    <x v="1"/>
    <n v="121"/>
    <s v="Manuel Walther"/>
    <m/>
  </r>
  <r>
    <x v="276"/>
    <x v="0"/>
    <x v="2"/>
    <s v="CLFF_1000$$$DE10566000"/>
    <s v="G000000998"/>
    <s v="G000000998"/>
    <s v="LFF (MDG-F)"/>
    <s v="DE10566000"/>
    <s v="Changes were saved for change request 25524013"/>
    <b v="1"/>
    <x v="0"/>
    <x v="3"/>
    <d v="2025-07-03T10:53:06"/>
    <m/>
    <m/>
    <x v="1"/>
    <n v="121"/>
    <s v="Manuel Walther"/>
    <m/>
  </r>
  <r>
    <x v="276"/>
    <x v="0"/>
    <x v="2"/>
    <s v="CLFF_1000$$$DE10537833"/>
    <s v="G000000997"/>
    <s v="G000000997"/>
    <s v="LFF (MDG-F)"/>
    <s v="DE10537833"/>
    <s v="Changes were saved for change request 25524013"/>
    <b v="1"/>
    <x v="0"/>
    <x v="3"/>
    <d v="2025-07-03T10:53:06"/>
    <m/>
    <m/>
    <x v="1"/>
    <n v="121"/>
    <s v="Manuel Walther"/>
    <m/>
  </r>
  <r>
    <x v="276"/>
    <x v="0"/>
    <x v="2"/>
    <s v="CLFF_1000$$$DE10538012"/>
    <s v="G000000997"/>
    <s v="G000000997"/>
    <s v="LFF (MDG-F)"/>
    <s v="DE10538012"/>
    <s v="Changes were saved for change request 25524013"/>
    <b v="1"/>
    <x v="0"/>
    <x v="3"/>
    <d v="2025-07-03T10:53:06"/>
    <m/>
    <m/>
    <x v="1"/>
    <n v="121"/>
    <s v="Manuel Walther"/>
    <m/>
  </r>
  <r>
    <x v="276"/>
    <x v="0"/>
    <x v="2"/>
    <s v="CLFF_1000$$$DE10538014"/>
    <s v="G000000997"/>
    <s v="G000000997"/>
    <s v="LFF (MDG-F)"/>
    <s v="DE10538014"/>
    <s v="Changes were saved for change request 25524013"/>
    <b v="1"/>
    <x v="0"/>
    <x v="3"/>
    <d v="2025-07-03T10:53:06"/>
    <m/>
    <m/>
    <x v="1"/>
    <n v="121"/>
    <s v="Manuel Walther"/>
    <m/>
  </r>
  <r>
    <x v="276"/>
    <x v="0"/>
    <x v="2"/>
    <s v="CLFF_1000$$$DE10538015"/>
    <s v="G000000997"/>
    <s v="G000000997"/>
    <s v="LFF (MDG-F)"/>
    <s v="DE10538015"/>
    <s v="Changes were saved for change request 25524013"/>
    <b v="1"/>
    <x v="0"/>
    <x v="3"/>
    <d v="2025-07-03T10:53:06"/>
    <m/>
    <m/>
    <x v="1"/>
    <n v="121"/>
    <s v="Manuel Walther"/>
    <m/>
  </r>
  <r>
    <x v="276"/>
    <x v="0"/>
    <x v="2"/>
    <s v="CLFF_1000$$$DE10538017"/>
    <s v="G000000997"/>
    <s v="G000000997"/>
    <s v="LFF (MDG-F)"/>
    <s v="DE10538017"/>
    <s v="Changes were saved for change request 25524013"/>
    <b v="1"/>
    <x v="0"/>
    <x v="3"/>
    <d v="2025-07-03T10:53:06"/>
    <m/>
    <m/>
    <x v="1"/>
    <n v="121"/>
    <s v="Manuel Walther"/>
    <m/>
  </r>
  <r>
    <x v="276"/>
    <x v="0"/>
    <x v="2"/>
    <s v="CLFF_1000$$$DE10538018"/>
    <s v="G000000997"/>
    <s v="G000000997"/>
    <s v="LFF (MDG-F)"/>
    <s v="DE10538018"/>
    <s v="Changes were saved for change request 25524013"/>
    <b v="1"/>
    <x v="0"/>
    <x v="3"/>
    <d v="2025-07-03T10:53:06"/>
    <m/>
    <m/>
    <x v="1"/>
    <n v="121"/>
    <s v="Manuel Walther"/>
    <m/>
  </r>
  <r>
    <x v="276"/>
    <x v="0"/>
    <x v="2"/>
    <s v="CLFF_1000$$$DE10538132"/>
    <s v="G000000997"/>
    <s v="G000000997"/>
    <s v="LFF (MDG-F)"/>
    <s v="DE10538132"/>
    <s v="Changes were saved for change request 25524013"/>
    <b v="1"/>
    <x v="0"/>
    <x v="3"/>
    <d v="2025-07-03T10:53:06"/>
    <m/>
    <m/>
    <x v="1"/>
    <n v="121"/>
    <s v="Manuel Walther"/>
    <m/>
  </r>
  <r>
    <x v="276"/>
    <x v="0"/>
    <x v="2"/>
    <s v="CLFF_1000$$$DE10538101"/>
    <s v="G000000996"/>
    <s v="G000000996"/>
    <s v="LFF (MDG-F)"/>
    <s v="DE10538101"/>
    <s v="Changes were saved for change request 25524013"/>
    <b v="1"/>
    <x v="0"/>
    <x v="3"/>
    <d v="2025-07-03T10:53:06"/>
    <m/>
    <m/>
    <x v="1"/>
    <n v="121"/>
    <s v="Manuel Walther"/>
    <m/>
  </r>
  <r>
    <x v="276"/>
    <x v="0"/>
    <x v="2"/>
    <s v="CLFF_1000$$$DE10538102"/>
    <s v="G000000996"/>
    <s v="G000000996"/>
    <s v="LFF (MDG-F)"/>
    <s v="DE10538102"/>
    <s v="Changes were saved for change request 25524013"/>
    <b v="1"/>
    <x v="0"/>
    <x v="3"/>
    <d v="2025-07-03T10:53:06"/>
    <m/>
    <m/>
    <x v="1"/>
    <n v="121"/>
    <s v="Manuel Walther"/>
    <m/>
  </r>
  <r>
    <x v="276"/>
    <x v="0"/>
    <x v="2"/>
    <s v="CLFF_1000$$$DE10538104"/>
    <s v="G000000996"/>
    <s v="G000000996"/>
    <s v="LFF (MDG-F)"/>
    <s v="DE10538104"/>
    <s v="Changes were saved for change request 25524013"/>
    <b v="1"/>
    <x v="0"/>
    <x v="3"/>
    <d v="2025-07-03T10:53:06"/>
    <m/>
    <m/>
    <x v="1"/>
    <n v="121"/>
    <s v="Manuel Walther"/>
    <m/>
  </r>
  <r>
    <x v="276"/>
    <x v="0"/>
    <x v="2"/>
    <s v="CLFF_1000$$$DE10538109"/>
    <s v="G000000880"/>
    <s v="G000000880"/>
    <s v="LFF (MDG-F)"/>
    <s v="DE10538109"/>
    <s v="Changes were saved for change request 25524013"/>
    <b v="1"/>
    <x v="0"/>
    <x v="3"/>
    <d v="2025-07-03T10:53:06"/>
    <m/>
    <m/>
    <x v="1"/>
    <n v="121"/>
    <s v="Manuel Walther"/>
    <m/>
  </r>
  <r>
    <x v="276"/>
    <x v="0"/>
    <x v="2"/>
    <s v="CLFF_1000$$$DE10538116"/>
    <s v="G000000996"/>
    <s v="G000000996"/>
    <s v="LFF (MDG-F)"/>
    <s v="DE10538116"/>
    <s v="Changes were saved for change request 25524013"/>
    <b v="1"/>
    <x v="0"/>
    <x v="3"/>
    <d v="2025-07-03T10:53:06"/>
    <m/>
    <m/>
    <x v="1"/>
    <n v="121"/>
    <s v="Manuel Walther"/>
    <m/>
  </r>
  <r>
    <x v="276"/>
    <x v="0"/>
    <x v="2"/>
    <s v="CLFF_1000$$$DE10538123"/>
    <s v="G000000880"/>
    <s v="G000000880"/>
    <s v="LFF (MDG-F)"/>
    <s v="DE10538123"/>
    <s v="Changes were saved for change request 25524013"/>
    <b v="1"/>
    <x v="0"/>
    <x v="3"/>
    <d v="2025-07-03T10:53:06"/>
    <m/>
    <m/>
    <x v="1"/>
    <n v="121"/>
    <s v="Manuel Walther"/>
    <m/>
  </r>
  <r>
    <x v="276"/>
    <x v="0"/>
    <x v="2"/>
    <s v="CLFF_1000$$$DE10538128"/>
    <s v="G000000915"/>
    <s v="G000000915"/>
    <s v="LFF (MDG-F)"/>
    <s v="DE10538128"/>
    <s v="Changes were saved for change request 25524013"/>
    <b v="1"/>
    <x v="0"/>
    <x v="3"/>
    <d v="2025-07-03T10:53:06"/>
    <m/>
    <m/>
    <x v="1"/>
    <n v="121"/>
    <s v="Manuel Walther"/>
    <m/>
  </r>
  <r>
    <x v="276"/>
    <x v="0"/>
    <x v="2"/>
    <s v="CLFF_1000$$$DE10538146"/>
    <s v="G000000880"/>
    <s v="G000000880"/>
    <s v="LFF (MDG-F)"/>
    <s v="DE10538146"/>
    <s v="Changes were saved for change request 25524013"/>
    <b v="1"/>
    <x v="0"/>
    <x v="3"/>
    <d v="2025-07-03T10:53:06"/>
    <m/>
    <m/>
    <x v="1"/>
    <n v="121"/>
    <s v="Manuel Walther"/>
    <m/>
  </r>
  <r>
    <x v="276"/>
    <x v="0"/>
    <x v="2"/>
    <s v="CLFF_1000$$$DE10538150"/>
    <s v="G000000880"/>
    <s v="G000000880"/>
    <s v="LFF (MDG-F)"/>
    <s v="DE10538150"/>
    <s v="Changes were saved for change request 25524013"/>
    <b v="1"/>
    <x v="0"/>
    <x v="3"/>
    <d v="2025-07-03T10:53:06"/>
    <m/>
    <m/>
    <x v="1"/>
    <n v="121"/>
    <s v="Manuel Walther"/>
    <m/>
  </r>
  <r>
    <x v="276"/>
    <x v="0"/>
    <x v="2"/>
    <s v="CLFF_1000$$$DE10538152"/>
    <s v="G000000996"/>
    <s v="G000000996"/>
    <s v="LFF (MDG-F)"/>
    <s v="DE10538152"/>
    <s v="Changes were saved for change request 25524013"/>
    <b v="1"/>
    <x v="0"/>
    <x v="3"/>
    <d v="2025-07-03T10:53:06"/>
    <m/>
    <m/>
    <x v="1"/>
    <n v="121"/>
    <s v="Manuel Walther"/>
    <m/>
  </r>
  <r>
    <x v="276"/>
    <x v="0"/>
    <x v="2"/>
    <s v="CLFF_1000$$$DE10538157"/>
    <s v="G000000996"/>
    <s v="G000000996"/>
    <s v="LFF (MDG-F)"/>
    <s v="DE10538157"/>
    <s v="Changes were saved for change request 25524013"/>
    <b v="1"/>
    <x v="0"/>
    <x v="3"/>
    <d v="2025-07-03T10:53:06"/>
    <m/>
    <m/>
    <x v="1"/>
    <n v="121"/>
    <s v="Manuel Walther"/>
    <m/>
  </r>
  <r>
    <x v="276"/>
    <x v="0"/>
    <x v="2"/>
    <s v="CLFF_1000$$$DE10538158"/>
    <s v="G000000996"/>
    <s v="G000000996"/>
    <s v="LFF (MDG-F)"/>
    <s v="DE10538158"/>
    <s v="Changes were saved for change request 25524013"/>
    <b v="1"/>
    <x v="0"/>
    <x v="3"/>
    <d v="2025-07-03T10:53:06"/>
    <m/>
    <m/>
    <x v="1"/>
    <n v="121"/>
    <s v="Manuel Walther"/>
    <m/>
  </r>
  <r>
    <x v="276"/>
    <x v="0"/>
    <x v="2"/>
    <s v="CLFF_1000$$$DE10538159"/>
    <s v="G000000996"/>
    <s v="G000000996"/>
    <s v="LFF (MDG-F)"/>
    <s v="DE10538159"/>
    <s v="Changes were saved for change request 25524013"/>
    <b v="1"/>
    <x v="0"/>
    <x v="3"/>
    <d v="2025-07-03T10:53:06"/>
    <m/>
    <m/>
    <x v="1"/>
    <n v="121"/>
    <s v="Manuel Walther"/>
    <m/>
  </r>
  <r>
    <x v="276"/>
    <x v="0"/>
    <x v="2"/>
    <s v="CLFF_1000$$$DE10538179"/>
    <s v="G000000996"/>
    <s v="G000000996"/>
    <s v="LFF (MDG-F)"/>
    <s v="DE10538179"/>
    <s v="Changes were saved for change request 25524013"/>
    <b v="1"/>
    <x v="0"/>
    <x v="3"/>
    <d v="2025-07-03T10:53:06"/>
    <m/>
    <m/>
    <x v="1"/>
    <n v="121"/>
    <s v="Manuel Walther"/>
    <m/>
  </r>
  <r>
    <x v="276"/>
    <x v="0"/>
    <x v="2"/>
    <s v="CLFF_1000$$$DE10538180"/>
    <s v="G000000915"/>
    <s v="G000000915"/>
    <s v="LFF (MDG-F)"/>
    <s v="DE10538180"/>
    <s v="Changes were saved for change request 25524013"/>
    <b v="1"/>
    <x v="0"/>
    <x v="3"/>
    <d v="2025-07-03T10:53:06"/>
    <m/>
    <m/>
    <x v="1"/>
    <n v="121"/>
    <s v="Manuel Walther"/>
    <m/>
  </r>
  <r>
    <x v="276"/>
    <x v="0"/>
    <x v="2"/>
    <s v="CLFF_1000$$$DE10538181"/>
    <s v="G000000996"/>
    <s v="G000000996"/>
    <s v="LFF (MDG-F)"/>
    <s v="DE10538181"/>
    <s v="Changes were saved for change request 25524013"/>
    <b v="1"/>
    <x v="0"/>
    <x v="3"/>
    <d v="2025-07-03T10:53:06"/>
    <m/>
    <m/>
    <x v="1"/>
    <n v="121"/>
    <s v="Manuel Walther"/>
    <m/>
  </r>
  <r>
    <x v="276"/>
    <x v="0"/>
    <x v="2"/>
    <s v="CLFF_1000$$$DE10538182"/>
    <s v="G000000996"/>
    <s v="G000000996"/>
    <s v="LFF (MDG-F)"/>
    <s v="DE10538182"/>
    <s v="Changes were saved for change request 25524013"/>
    <b v="1"/>
    <x v="0"/>
    <x v="3"/>
    <d v="2025-07-03T10:53:06"/>
    <m/>
    <m/>
    <x v="1"/>
    <n v="121"/>
    <s v="Manuel Walther"/>
    <m/>
  </r>
  <r>
    <x v="276"/>
    <x v="0"/>
    <x v="2"/>
    <s v="CLFF_1000$$$DE10538183"/>
    <s v="G000000996"/>
    <s v="G000000996"/>
    <s v="LFF (MDG-F)"/>
    <s v="DE10538183"/>
    <s v="Changes were saved for change request 25524013"/>
    <b v="1"/>
    <x v="0"/>
    <x v="3"/>
    <d v="2025-07-03T10:53:06"/>
    <m/>
    <m/>
    <x v="1"/>
    <n v="121"/>
    <s v="Manuel Walther"/>
    <m/>
  </r>
  <r>
    <x v="276"/>
    <x v="0"/>
    <x v="2"/>
    <s v="CLFF_1000$$$DE10538187"/>
    <s v="G000000915"/>
    <s v="G000000915"/>
    <s v="LFF (MDG-F)"/>
    <s v="DE10538187"/>
    <s v="Changes were saved for change request 25524013"/>
    <b v="1"/>
    <x v="0"/>
    <x v="3"/>
    <d v="2025-07-03T10:53:06"/>
    <m/>
    <m/>
    <x v="1"/>
    <n v="121"/>
    <s v="Manuel Walther"/>
    <m/>
  </r>
  <r>
    <x v="276"/>
    <x v="0"/>
    <x v="2"/>
    <s v="CLFF_1000$$$DE10538188"/>
    <s v="G000000996"/>
    <s v="G000000996"/>
    <s v="LFF (MDG-F)"/>
    <s v="DE10538188"/>
    <s v="Changes were saved for change request 25524013"/>
    <b v="1"/>
    <x v="0"/>
    <x v="3"/>
    <d v="2025-07-03T10:53:06"/>
    <m/>
    <m/>
    <x v="1"/>
    <n v="121"/>
    <s v="Manuel Walther"/>
    <m/>
  </r>
  <r>
    <x v="276"/>
    <x v="0"/>
    <x v="2"/>
    <s v="CLFF_1000$$$DE10538189"/>
    <s v="G000000996"/>
    <s v="G000000996"/>
    <s v="LFF (MDG-F)"/>
    <s v="DE10538189"/>
    <s v="Changes were saved for change request 25524013"/>
    <b v="1"/>
    <x v="0"/>
    <x v="3"/>
    <d v="2025-07-03T10:53:06"/>
    <m/>
    <m/>
    <x v="1"/>
    <n v="121"/>
    <s v="Manuel Walther"/>
    <m/>
  </r>
  <r>
    <x v="276"/>
    <x v="0"/>
    <x v="2"/>
    <s v="CLFF_1000$$$DE10538196"/>
    <s v="G000000996"/>
    <s v="G000000996"/>
    <s v="LFF (MDG-F)"/>
    <s v="DE10538196"/>
    <s v="Changes were saved for change request 25524013"/>
    <b v="1"/>
    <x v="0"/>
    <x v="3"/>
    <d v="2025-07-03T10:53:06"/>
    <m/>
    <m/>
    <x v="1"/>
    <n v="121"/>
    <s v="Manuel Walther"/>
    <m/>
  </r>
  <r>
    <x v="276"/>
    <x v="0"/>
    <x v="2"/>
    <s v="CLFF_1000$$$DE10538236"/>
    <s v="G000000880"/>
    <s v="G000000880"/>
    <s v="LFF (MDG-F)"/>
    <s v="DE10538236"/>
    <s v="Changes were saved for change request 25524013"/>
    <b v="1"/>
    <x v="0"/>
    <x v="3"/>
    <d v="2025-07-03T10:53:06"/>
    <m/>
    <m/>
    <x v="1"/>
    <n v="121"/>
    <s v="Manuel Walther"/>
    <m/>
  </r>
  <r>
    <x v="276"/>
    <x v="0"/>
    <x v="2"/>
    <s v="CLFF_1000$$$DE10538470"/>
    <s v="G000000996"/>
    <s v="G000000996"/>
    <s v="LFF (MDG-F)"/>
    <s v="DE10538470"/>
    <s v="Changes were saved for change request 25524013"/>
    <b v="1"/>
    <x v="0"/>
    <x v="3"/>
    <d v="2025-07-03T10:53:06"/>
    <m/>
    <m/>
    <x v="1"/>
    <n v="121"/>
    <s v="Manuel Walther"/>
    <m/>
  </r>
  <r>
    <x v="276"/>
    <x v="0"/>
    <x v="2"/>
    <s v="CLFF_1000$$$DE10538472"/>
    <s v="G000000915"/>
    <s v="G000000915"/>
    <s v="LFF (MDG-F)"/>
    <s v="DE10538472"/>
    <s v="Changes were saved for change request 25524013"/>
    <b v="1"/>
    <x v="0"/>
    <x v="3"/>
    <d v="2025-07-03T10:53:06"/>
    <m/>
    <m/>
    <x v="1"/>
    <n v="121"/>
    <s v="Manuel Walther"/>
    <m/>
  </r>
  <r>
    <x v="276"/>
    <x v="0"/>
    <x v="2"/>
    <s v="CLFF_1000$$$DE10538473"/>
    <s v="G000000915"/>
    <s v="G000000915"/>
    <s v="LFF (MDG-F)"/>
    <s v="DE10538473"/>
    <s v="Changes were saved for change request 25524013"/>
    <b v="1"/>
    <x v="0"/>
    <x v="3"/>
    <d v="2025-07-03T10:53:06"/>
    <m/>
    <m/>
    <x v="1"/>
    <n v="121"/>
    <s v="Manuel Walther"/>
    <m/>
  </r>
  <r>
    <x v="276"/>
    <x v="0"/>
    <x v="2"/>
    <s v="CLFF_1000$$$DE10538762"/>
    <s v="G000000996"/>
    <s v="G000000996"/>
    <s v="LFF (MDG-F)"/>
    <s v="DE10538762"/>
    <s v="Changes were saved for change request 25524013"/>
    <b v="1"/>
    <x v="0"/>
    <x v="3"/>
    <d v="2025-07-03T10:53:06"/>
    <m/>
    <m/>
    <x v="1"/>
    <n v="121"/>
    <s v="Manuel Walther"/>
    <m/>
  </r>
  <r>
    <x v="276"/>
    <x v="0"/>
    <x v="2"/>
    <s v="CLFF_1000$$$DE10538961"/>
    <s v="G000000996"/>
    <s v="G000000996"/>
    <s v="LFF (MDG-F)"/>
    <s v="DE10538961"/>
    <s v="Changes were saved for change request 25524013"/>
    <b v="1"/>
    <x v="0"/>
    <x v="3"/>
    <d v="2025-07-03T10:53:06"/>
    <m/>
    <m/>
    <x v="1"/>
    <n v="121"/>
    <s v="Manuel Walther"/>
    <m/>
  </r>
  <r>
    <x v="276"/>
    <x v="0"/>
    <x v="2"/>
    <s v="CLFF_1000$$$DE10538962"/>
    <s v="G000000996"/>
    <s v="G000000996"/>
    <s v="LFF (MDG-F)"/>
    <s v="DE10538962"/>
    <s v="Changes were saved for change request 25524013"/>
    <b v="1"/>
    <x v="0"/>
    <x v="3"/>
    <d v="2025-07-03T10:53:06"/>
    <m/>
    <m/>
    <x v="1"/>
    <n v="121"/>
    <s v="Manuel Walther"/>
    <m/>
  </r>
  <r>
    <x v="276"/>
    <x v="0"/>
    <x v="2"/>
    <s v="CLFF_1000$$$DE10538963"/>
    <s v="G000000880"/>
    <s v="G000000880"/>
    <s v="LFF (MDG-F)"/>
    <s v="DE10538963"/>
    <s v="Changes were saved for change request 25524013"/>
    <b v="1"/>
    <x v="0"/>
    <x v="3"/>
    <d v="2025-07-03T10:53:06"/>
    <m/>
    <m/>
    <x v="1"/>
    <n v="121"/>
    <s v="Manuel Walther"/>
    <m/>
  </r>
  <r>
    <x v="276"/>
    <x v="0"/>
    <x v="2"/>
    <s v="CLFF_1000$$$DE10538964"/>
    <s v="G000000880"/>
    <s v="G000000880"/>
    <s v="LFF (MDG-F)"/>
    <s v="DE10538964"/>
    <s v="Changes were saved for change request 25524013"/>
    <b v="1"/>
    <x v="0"/>
    <x v="3"/>
    <d v="2025-07-03T10:53:06"/>
    <m/>
    <m/>
    <x v="1"/>
    <n v="121"/>
    <s v="Manuel Walther"/>
    <m/>
  </r>
  <r>
    <x v="276"/>
    <x v="0"/>
    <x v="2"/>
    <s v="CLFF_1000$$$DE10538965"/>
    <s v="G000000880"/>
    <s v="G000000880"/>
    <s v="LFF (MDG-F)"/>
    <s v="DE10538965"/>
    <s v="Changes were saved for change request 25524013"/>
    <b v="1"/>
    <x v="0"/>
    <x v="3"/>
    <d v="2025-07-03T10:53:06"/>
    <m/>
    <m/>
    <x v="1"/>
    <n v="121"/>
    <s v="Manuel Walther"/>
    <m/>
  </r>
  <r>
    <x v="276"/>
    <x v="0"/>
    <x v="2"/>
    <s v="CLFF_1000$$$DE10538966"/>
    <s v="G000000880"/>
    <s v="G000000880"/>
    <s v="LFF (MDG-F)"/>
    <s v="DE10538966"/>
    <s v="Changes were saved for change request 25524013"/>
    <b v="1"/>
    <x v="0"/>
    <x v="3"/>
    <d v="2025-07-03T10:53:06"/>
    <m/>
    <m/>
    <x v="1"/>
    <n v="121"/>
    <s v="Manuel Walther"/>
    <m/>
  </r>
  <r>
    <x v="276"/>
    <x v="0"/>
    <x v="2"/>
    <s v="CLFF_1000$$$DE10538967"/>
    <s v="G000000880"/>
    <s v="G000000880"/>
    <s v="LFF (MDG-F)"/>
    <s v="DE10538967"/>
    <s v="Changes were saved for change request 25524013"/>
    <b v="1"/>
    <x v="0"/>
    <x v="3"/>
    <d v="2025-07-03T10:53:06"/>
    <m/>
    <m/>
    <x v="1"/>
    <n v="121"/>
    <s v="Manuel Walther"/>
    <m/>
  </r>
  <r>
    <x v="276"/>
    <x v="0"/>
    <x v="2"/>
    <s v="CLFF_1000$$$DE10538968"/>
    <s v="G000000880"/>
    <s v="G000000880"/>
    <s v="LFF (MDG-F)"/>
    <s v="DE10538968"/>
    <s v="Changes were saved for change request 25524013"/>
    <b v="1"/>
    <x v="0"/>
    <x v="3"/>
    <d v="2025-07-03T10:53:06"/>
    <m/>
    <m/>
    <x v="1"/>
    <n v="121"/>
    <s v="Manuel Walther"/>
    <m/>
  </r>
  <r>
    <x v="276"/>
    <x v="0"/>
    <x v="2"/>
    <s v="CLFF_1000$$$DE10538969"/>
    <s v="G000000880"/>
    <s v="G000000880"/>
    <s v="LFF (MDG-F)"/>
    <s v="DE10538969"/>
    <s v="Changes were saved for change request 25524013"/>
    <b v="1"/>
    <x v="0"/>
    <x v="3"/>
    <d v="2025-07-03T10:53:06"/>
    <m/>
    <m/>
    <x v="1"/>
    <n v="121"/>
    <s v="Manuel Walther"/>
    <m/>
  </r>
  <r>
    <x v="276"/>
    <x v="0"/>
    <x v="2"/>
    <s v="CLFF_1000$$$DE10538970"/>
    <s v="G000000880"/>
    <s v="G000000880"/>
    <s v="LFF (MDG-F)"/>
    <s v="DE10538970"/>
    <s v="Changes were saved for change request 25524013"/>
    <b v="1"/>
    <x v="0"/>
    <x v="3"/>
    <d v="2025-07-03T10:53:06"/>
    <m/>
    <m/>
    <x v="1"/>
    <n v="121"/>
    <s v="Manuel Walther"/>
    <m/>
  </r>
  <r>
    <x v="276"/>
    <x v="0"/>
    <x v="2"/>
    <s v="CLFF_1000$$$DE10538971"/>
    <s v="G000000880"/>
    <s v="G000000880"/>
    <s v="LFF (MDG-F)"/>
    <s v="DE10538971"/>
    <s v="Changes were saved for change request 25524013"/>
    <b v="1"/>
    <x v="0"/>
    <x v="3"/>
    <d v="2025-07-03T10:53:06"/>
    <m/>
    <m/>
    <x v="1"/>
    <n v="121"/>
    <s v="Manuel Walther"/>
    <m/>
  </r>
  <r>
    <x v="276"/>
    <x v="0"/>
    <x v="2"/>
    <s v="CLFF_1000$$$DE10538972"/>
    <s v="G000000880"/>
    <s v="G000000880"/>
    <s v="LFF (MDG-F)"/>
    <s v="DE10538972"/>
    <s v="Changes were saved for change request 25524013"/>
    <b v="1"/>
    <x v="0"/>
    <x v="3"/>
    <d v="2025-07-03T10:53:06"/>
    <m/>
    <m/>
    <x v="1"/>
    <n v="121"/>
    <s v="Manuel Walther"/>
    <m/>
  </r>
  <r>
    <x v="276"/>
    <x v="0"/>
    <x v="2"/>
    <s v="CLFF_1000$$$DE10538973"/>
    <s v="G000000880"/>
    <s v="G000000880"/>
    <s v="LFF (MDG-F)"/>
    <s v="DE10538973"/>
    <s v="Changes were saved for change request 25524013"/>
    <b v="1"/>
    <x v="0"/>
    <x v="3"/>
    <d v="2025-07-03T10:53:06"/>
    <m/>
    <m/>
    <x v="1"/>
    <n v="121"/>
    <s v="Manuel Walther"/>
    <m/>
  </r>
  <r>
    <x v="276"/>
    <x v="0"/>
    <x v="2"/>
    <s v="CLFF_1000$$$DE10538974"/>
    <s v="G000000880"/>
    <s v="G000000880"/>
    <s v="LFF (MDG-F)"/>
    <s v="DE10538974"/>
    <s v="Changes were saved for change request 25524013"/>
    <b v="1"/>
    <x v="0"/>
    <x v="3"/>
    <d v="2025-07-03T10:53:06"/>
    <m/>
    <m/>
    <x v="1"/>
    <n v="121"/>
    <s v="Manuel Walther"/>
    <m/>
  </r>
  <r>
    <x v="276"/>
    <x v="0"/>
    <x v="2"/>
    <s v="CLFF_1000$$$DE10538975"/>
    <s v="G000000880"/>
    <s v="G000000880"/>
    <s v="LFF (MDG-F)"/>
    <s v="DE10538975"/>
    <s v="Changes were saved for change request 25524013"/>
    <b v="1"/>
    <x v="0"/>
    <x v="3"/>
    <d v="2025-07-03T10:53:06"/>
    <m/>
    <m/>
    <x v="1"/>
    <n v="121"/>
    <s v="Manuel Walther"/>
    <m/>
  </r>
  <r>
    <x v="276"/>
    <x v="0"/>
    <x v="2"/>
    <s v="CLFF_1000$$$DE10538977"/>
    <s v="G000000880"/>
    <s v="G000000880"/>
    <s v="LFF (MDG-F)"/>
    <s v="DE10538977"/>
    <s v="Changes were saved for change request 25524013"/>
    <b v="1"/>
    <x v="0"/>
    <x v="3"/>
    <d v="2025-07-03T10:53:06"/>
    <m/>
    <m/>
    <x v="1"/>
    <n v="121"/>
    <s v="Manuel Walther"/>
    <m/>
  </r>
  <r>
    <x v="276"/>
    <x v="0"/>
    <x v="2"/>
    <s v="CLFF_1000$$$DE10538979"/>
    <s v="G000000996"/>
    <s v="G000000996"/>
    <s v="LFF (MDG-F)"/>
    <s v="DE10538979"/>
    <s v="Changes were saved for change request 25524013"/>
    <b v="1"/>
    <x v="0"/>
    <x v="3"/>
    <d v="2025-07-03T10:53:06"/>
    <m/>
    <m/>
    <x v="1"/>
    <n v="121"/>
    <s v="Manuel Walther"/>
    <m/>
  </r>
  <r>
    <x v="276"/>
    <x v="0"/>
    <x v="2"/>
    <s v="CLFF_1000$$$DE10538980"/>
    <s v="G000000996"/>
    <s v="G000000996"/>
    <s v="LFF (MDG-F)"/>
    <s v="DE10538980"/>
    <s v="Changes were saved for change request 25524013"/>
    <b v="1"/>
    <x v="0"/>
    <x v="3"/>
    <d v="2025-07-03T10:53:06"/>
    <m/>
    <m/>
    <x v="1"/>
    <n v="121"/>
    <s v="Manuel Walther"/>
    <m/>
  </r>
  <r>
    <x v="276"/>
    <x v="0"/>
    <x v="2"/>
    <s v="CLFF_1000$$$DE10538982"/>
    <s v="G000000996"/>
    <s v="G000000996"/>
    <s v="LFF (MDG-F)"/>
    <s v="DE10538982"/>
    <s v="Changes were saved for change request 25524013"/>
    <b v="1"/>
    <x v="0"/>
    <x v="3"/>
    <d v="2025-07-03T10:53:06"/>
    <m/>
    <m/>
    <x v="1"/>
    <n v="121"/>
    <s v="Manuel Walther"/>
    <m/>
  </r>
  <r>
    <x v="276"/>
    <x v="0"/>
    <x v="2"/>
    <s v="CLFF_1000$$$DE10538984"/>
    <s v="G000000880"/>
    <s v="G000000880"/>
    <s v="LFF (MDG-F)"/>
    <s v="DE10538984"/>
    <s v="Changes were saved for change request 25524013"/>
    <b v="1"/>
    <x v="0"/>
    <x v="3"/>
    <d v="2025-07-03T10:53:06"/>
    <m/>
    <m/>
    <x v="1"/>
    <n v="121"/>
    <s v="Manuel Walther"/>
    <m/>
  </r>
  <r>
    <x v="276"/>
    <x v="0"/>
    <x v="2"/>
    <s v="CLFF_1000$$$DE10538985"/>
    <s v="G000000880"/>
    <s v="G000000880"/>
    <s v="LFF (MDG-F)"/>
    <s v="DE10538985"/>
    <s v="Changes were saved for change request 25524013"/>
    <b v="1"/>
    <x v="0"/>
    <x v="3"/>
    <d v="2025-07-03T10:53:06"/>
    <m/>
    <m/>
    <x v="1"/>
    <n v="121"/>
    <s v="Manuel Walther"/>
    <m/>
  </r>
  <r>
    <x v="276"/>
    <x v="0"/>
    <x v="2"/>
    <s v="CLFF_1000$$$DE10538994"/>
    <s v="G000000880"/>
    <s v="G000000880"/>
    <s v="LFF (MDG-F)"/>
    <s v="DE10538994"/>
    <s v="Changes were saved for change request 25524013"/>
    <b v="1"/>
    <x v="0"/>
    <x v="3"/>
    <d v="2025-07-03T10:53:06"/>
    <m/>
    <m/>
    <x v="1"/>
    <n v="121"/>
    <s v="Manuel Walther"/>
    <m/>
  </r>
  <r>
    <x v="276"/>
    <x v="0"/>
    <x v="2"/>
    <s v="CLFF_1000$$$DE10539930"/>
    <s v="G000000880"/>
    <s v="G000000880"/>
    <s v="LFF (MDG-F)"/>
    <s v="DE10539930"/>
    <s v="Changes were saved for change request 25524013"/>
    <b v="1"/>
    <x v="0"/>
    <x v="3"/>
    <d v="2025-07-03T10:53:06"/>
    <m/>
    <m/>
    <x v="1"/>
    <n v="121"/>
    <s v="Manuel Walther"/>
    <m/>
  </r>
  <r>
    <x v="276"/>
    <x v="0"/>
    <x v="2"/>
    <s v="CLFF_1000$$$DE10539931"/>
    <s v="G000000880"/>
    <s v="G000000880"/>
    <s v="LFF (MDG-F)"/>
    <s v="DE10539931"/>
    <s v="Changes were saved for change request 25524013"/>
    <b v="1"/>
    <x v="0"/>
    <x v="3"/>
    <d v="2025-07-03T10:53:06"/>
    <m/>
    <m/>
    <x v="1"/>
    <n v="121"/>
    <s v="Manuel Walther"/>
    <m/>
  </r>
  <r>
    <x v="276"/>
    <x v="0"/>
    <x v="2"/>
    <s v="CLFF_1000$$$DE10539932"/>
    <s v="G000000880"/>
    <s v="G000000880"/>
    <s v="LFF (MDG-F)"/>
    <s v="DE10539932"/>
    <s v="Changes were saved for change request 25524013"/>
    <b v="1"/>
    <x v="0"/>
    <x v="3"/>
    <d v="2025-07-03T10:53:06"/>
    <m/>
    <m/>
    <x v="1"/>
    <n v="121"/>
    <s v="Manuel Walther"/>
    <m/>
  </r>
  <r>
    <x v="276"/>
    <x v="0"/>
    <x v="2"/>
    <s v="CLFF_1000$$$DE10539934"/>
    <s v="G000000880"/>
    <s v="G000000880"/>
    <s v="LFF (MDG-F)"/>
    <s v="DE10539934"/>
    <s v="Changes were saved for change request 25524013"/>
    <b v="1"/>
    <x v="0"/>
    <x v="3"/>
    <d v="2025-07-03T10:53:06"/>
    <m/>
    <m/>
    <x v="1"/>
    <n v="121"/>
    <s v="Manuel Walther"/>
    <m/>
  </r>
  <r>
    <x v="276"/>
    <x v="0"/>
    <x v="2"/>
    <s v="CLFF_1000$$$DE10539935"/>
    <s v="G000000880"/>
    <s v="G000000880"/>
    <s v="LFF (MDG-F)"/>
    <s v="DE10539935"/>
    <s v="Changes were saved for change request 25524013"/>
    <b v="1"/>
    <x v="0"/>
    <x v="3"/>
    <d v="2025-07-03T10:53:06"/>
    <m/>
    <m/>
    <x v="1"/>
    <n v="121"/>
    <s v="Manuel Walther"/>
    <m/>
  </r>
  <r>
    <x v="276"/>
    <x v="0"/>
    <x v="2"/>
    <s v="CLFF_1000$$$DE10539936"/>
    <s v="G000000880"/>
    <s v="G000000880"/>
    <s v="LFF (MDG-F)"/>
    <s v="DE10539936"/>
    <s v="Changes were saved for change request 25524013"/>
    <b v="1"/>
    <x v="0"/>
    <x v="3"/>
    <d v="2025-07-03T10:53:06"/>
    <m/>
    <m/>
    <x v="1"/>
    <n v="121"/>
    <s v="Manuel Walther"/>
    <m/>
  </r>
  <r>
    <x v="276"/>
    <x v="0"/>
    <x v="2"/>
    <s v="CLFF_1000$$$DE10539937"/>
    <s v="G000000880"/>
    <s v="G000000880"/>
    <s v="LFF (MDG-F)"/>
    <s v="DE10539937"/>
    <s v="Changes were saved for change request 25524013"/>
    <b v="1"/>
    <x v="0"/>
    <x v="3"/>
    <d v="2025-07-03T10:53:06"/>
    <m/>
    <m/>
    <x v="1"/>
    <n v="121"/>
    <s v="Manuel Walther"/>
    <m/>
  </r>
  <r>
    <x v="276"/>
    <x v="0"/>
    <x v="2"/>
    <s v="CLFF_1000$$$DE10539938"/>
    <s v="G000000880"/>
    <s v="G000000880"/>
    <s v="LFF (MDG-F)"/>
    <s v="DE10539938"/>
    <s v="Changes were saved for change request 25524013"/>
    <b v="1"/>
    <x v="0"/>
    <x v="3"/>
    <d v="2025-07-03T10:53:06"/>
    <m/>
    <m/>
    <x v="1"/>
    <n v="121"/>
    <s v="Manuel Walther"/>
    <m/>
  </r>
  <r>
    <x v="276"/>
    <x v="0"/>
    <x v="2"/>
    <s v="CLFF_1000$$$DE10539939"/>
    <s v="G000000880"/>
    <s v="G000000880"/>
    <s v="LFF (MDG-F)"/>
    <s v="DE10539939"/>
    <s v="Changes were saved for change request 25524013"/>
    <b v="1"/>
    <x v="0"/>
    <x v="3"/>
    <d v="2025-07-03T10:53:06"/>
    <m/>
    <m/>
    <x v="1"/>
    <n v="121"/>
    <s v="Manuel Walther"/>
    <m/>
  </r>
  <r>
    <x v="276"/>
    <x v="0"/>
    <x v="2"/>
    <s v="CLFF_1000$$$DE10539940"/>
    <s v="G000000880"/>
    <s v="G000000880"/>
    <s v="LFF (MDG-F)"/>
    <s v="DE10539940"/>
    <s v="Changes were saved for change request 25524013"/>
    <b v="1"/>
    <x v="0"/>
    <x v="3"/>
    <d v="2025-07-03T10:53:06"/>
    <m/>
    <m/>
    <x v="1"/>
    <n v="121"/>
    <s v="Manuel Walther"/>
    <m/>
  </r>
  <r>
    <x v="276"/>
    <x v="0"/>
    <x v="2"/>
    <s v="CLFF_1000$$$DE10539941"/>
    <s v="G000000880"/>
    <s v="G000000880"/>
    <s v="LFF (MDG-F)"/>
    <s v="DE10539941"/>
    <s v="Changes were saved for change request 25524013"/>
    <b v="1"/>
    <x v="0"/>
    <x v="3"/>
    <d v="2025-07-03T10:53:06"/>
    <m/>
    <m/>
    <x v="1"/>
    <n v="121"/>
    <s v="Manuel Walther"/>
    <m/>
  </r>
  <r>
    <x v="276"/>
    <x v="0"/>
    <x v="2"/>
    <s v="CLFF_1000$$$DE10539942"/>
    <s v="G000000880"/>
    <s v="G000000880"/>
    <s v="LFF (MDG-F)"/>
    <s v="DE10539942"/>
    <s v="Changes were saved for change request 25524013"/>
    <b v="1"/>
    <x v="0"/>
    <x v="3"/>
    <d v="2025-07-03T10:53:06"/>
    <m/>
    <m/>
    <x v="1"/>
    <n v="121"/>
    <s v="Manuel Walther"/>
    <m/>
  </r>
  <r>
    <x v="276"/>
    <x v="0"/>
    <x v="2"/>
    <s v="CLFF_1000$$$DE10539943"/>
    <s v="G000000880"/>
    <s v="G000000880"/>
    <s v="LFF (MDG-F)"/>
    <s v="DE10539943"/>
    <s v="Changes were saved for change request 25524013"/>
    <b v="1"/>
    <x v="0"/>
    <x v="3"/>
    <d v="2025-07-03T10:53:06"/>
    <m/>
    <m/>
    <x v="1"/>
    <n v="121"/>
    <s v="Manuel Walther"/>
    <m/>
  </r>
  <r>
    <x v="276"/>
    <x v="0"/>
    <x v="2"/>
    <s v="CLFF_1000$$$DE10539944"/>
    <s v="G000000880"/>
    <s v="G000000880"/>
    <s v="LFF (MDG-F)"/>
    <s v="DE10539944"/>
    <s v="Changes were saved for change request 25524013"/>
    <b v="1"/>
    <x v="0"/>
    <x v="3"/>
    <d v="2025-07-03T10:53:06"/>
    <m/>
    <m/>
    <x v="1"/>
    <n v="121"/>
    <s v="Manuel Walther"/>
    <m/>
  </r>
  <r>
    <x v="276"/>
    <x v="0"/>
    <x v="2"/>
    <s v="CLFF_1000$$$DE10539995"/>
    <s v="G000000880"/>
    <s v="G000000880"/>
    <s v="LFF (MDG-F)"/>
    <s v="DE10539995"/>
    <s v="Changes were saved for change request 25524013"/>
    <b v="1"/>
    <x v="0"/>
    <x v="3"/>
    <d v="2025-07-03T10:53:06"/>
    <m/>
    <m/>
    <x v="1"/>
    <n v="121"/>
    <s v="Manuel Walther"/>
    <m/>
  </r>
  <r>
    <x v="276"/>
    <x v="0"/>
    <x v="2"/>
    <s v="CLFF_1000$$$DE10538103"/>
    <s v="G000000872"/>
    <s v="G000000872"/>
    <s v="LFF (MDG-F)"/>
    <s v="DE10538103"/>
    <s v="Changes were saved for change request 25524013"/>
    <b v="1"/>
    <x v="0"/>
    <x v="3"/>
    <d v="2025-07-03T10:53:06"/>
    <m/>
    <m/>
    <x v="1"/>
    <n v="121"/>
    <s v="Manuel Walther"/>
    <m/>
  </r>
  <r>
    <x v="276"/>
    <x v="0"/>
    <x v="2"/>
    <s v="CLFF_1000$$$DE10538108"/>
    <s v="G000000993"/>
    <s v="G000000993"/>
    <s v="LFF (MDG-F)"/>
    <s v="DE10538108"/>
    <s v="Changes were saved for change request 25524013"/>
    <b v="1"/>
    <x v="0"/>
    <x v="3"/>
    <d v="2025-07-03T10:53:06"/>
    <m/>
    <m/>
    <x v="1"/>
    <n v="121"/>
    <s v="Manuel Walther"/>
    <m/>
  </r>
  <r>
    <x v="276"/>
    <x v="0"/>
    <x v="2"/>
    <s v="CLFF_1000$$$DE10538110"/>
    <s v="G000000872"/>
    <s v="G000000872"/>
    <s v="LFF (MDG-F)"/>
    <s v="DE10538110"/>
    <s v="Changes were saved for change request 25524013"/>
    <b v="1"/>
    <x v="0"/>
    <x v="3"/>
    <d v="2025-07-03T10:53:06"/>
    <m/>
    <m/>
    <x v="1"/>
    <n v="121"/>
    <s v="Manuel Walther"/>
    <m/>
  </r>
  <r>
    <x v="276"/>
    <x v="0"/>
    <x v="2"/>
    <s v="CLFF_1000$$$DE10538111"/>
    <s v="G000000950"/>
    <s v="G000000950"/>
    <s v="LFF (MDG-F)"/>
    <s v="DE10538111"/>
    <s v="Changes were saved for change request 25524013"/>
    <b v="1"/>
    <x v="0"/>
    <x v="3"/>
    <d v="2025-07-03T10:53:06"/>
    <m/>
    <m/>
    <x v="1"/>
    <n v="121"/>
    <s v="Manuel Walther"/>
    <m/>
  </r>
  <r>
    <x v="276"/>
    <x v="0"/>
    <x v="2"/>
    <s v="CLFF_1000$$$DE10538112"/>
    <s v="G000000872"/>
    <s v="G000000872"/>
    <s v="LFF (MDG-F)"/>
    <s v="DE10538112"/>
    <s v="Changes were saved for change request 25524013"/>
    <b v="1"/>
    <x v="0"/>
    <x v="3"/>
    <d v="2025-07-03T10:53:06"/>
    <m/>
    <m/>
    <x v="1"/>
    <n v="121"/>
    <s v="Manuel Walther"/>
    <m/>
  </r>
  <r>
    <x v="276"/>
    <x v="0"/>
    <x v="2"/>
    <s v="CLFF_1000$$$DE10538113"/>
    <s v="G000000872"/>
    <s v="G000000872"/>
    <s v="LFF (MDG-F)"/>
    <s v="DE10538113"/>
    <s v="Changes were saved for change request 25524013"/>
    <b v="1"/>
    <x v="0"/>
    <x v="3"/>
    <d v="2025-07-03T10:53:06"/>
    <m/>
    <m/>
    <x v="1"/>
    <n v="121"/>
    <s v="Manuel Walther"/>
    <m/>
  </r>
  <r>
    <x v="276"/>
    <x v="0"/>
    <x v="2"/>
    <s v="CLFF_1000$$$DE10538114"/>
    <s v="G000000872"/>
    <s v="G000000872"/>
    <s v="LFF (MDG-F)"/>
    <s v="DE10538114"/>
    <s v="Changes were saved for change request 25524013"/>
    <b v="1"/>
    <x v="0"/>
    <x v="3"/>
    <d v="2025-07-03T10:53:06"/>
    <m/>
    <m/>
    <x v="1"/>
    <n v="121"/>
    <s v="Manuel Walther"/>
    <m/>
  </r>
  <r>
    <x v="276"/>
    <x v="0"/>
    <x v="2"/>
    <s v="CLFF_1000$$$DE10538115"/>
    <s v="G000000950"/>
    <s v="G000000950"/>
    <s v="LFF (MDG-F)"/>
    <s v="DE10538115"/>
    <s v="Changes were saved for change request 25524013"/>
    <b v="1"/>
    <x v="0"/>
    <x v="3"/>
    <d v="2025-07-03T10:53:06"/>
    <m/>
    <m/>
    <x v="1"/>
    <n v="121"/>
    <s v="Manuel Walther"/>
    <m/>
  </r>
  <r>
    <x v="276"/>
    <x v="0"/>
    <x v="2"/>
    <s v="CLFF_1000$$$DE10538117"/>
    <s v="G000000993"/>
    <s v="G000000993"/>
    <s v="LFF (MDG-F)"/>
    <s v="DE10538117"/>
    <s v="Changes were saved for change request 25524013"/>
    <b v="1"/>
    <x v="0"/>
    <x v="3"/>
    <d v="2025-07-03T10:53:06"/>
    <m/>
    <m/>
    <x v="1"/>
    <n v="121"/>
    <s v="Manuel Walther"/>
    <m/>
  </r>
  <r>
    <x v="276"/>
    <x v="0"/>
    <x v="2"/>
    <s v="CLFF_1000$$$DE10538119"/>
    <s v="G000000872"/>
    <s v="G000000872"/>
    <s v="LFF (MDG-F)"/>
    <s v="DE10538119"/>
    <s v="Changes were saved for change request 25524013"/>
    <b v="1"/>
    <x v="0"/>
    <x v="3"/>
    <d v="2025-07-03T10:53:06"/>
    <m/>
    <m/>
    <x v="1"/>
    <n v="121"/>
    <s v="Manuel Walther"/>
    <m/>
  </r>
  <r>
    <x v="276"/>
    <x v="0"/>
    <x v="2"/>
    <s v="CLFF_1000$$$DE10538120"/>
    <s v="G000000872"/>
    <s v="G000000872"/>
    <s v="LFF (MDG-F)"/>
    <s v="DE10538120"/>
    <s v="Changes were saved for change request 25524013"/>
    <b v="1"/>
    <x v="0"/>
    <x v="3"/>
    <d v="2025-07-03T10:53:06"/>
    <m/>
    <m/>
    <x v="1"/>
    <n v="121"/>
    <s v="Manuel Walther"/>
    <m/>
  </r>
  <r>
    <x v="276"/>
    <x v="0"/>
    <x v="2"/>
    <s v="CLFF_1000$$$DE10538121"/>
    <s v="G000000872"/>
    <s v="G000000872"/>
    <s v="LFF (MDG-F)"/>
    <s v="DE10538121"/>
    <s v="Changes were saved for change request 25524013"/>
    <b v="1"/>
    <x v="0"/>
    <x v="3"/>
    <d v="2025-07-03T10:53:06"/>
    <m/>
    <m/>
    <x v="1"/>
    <n v="121"/>
    <s v="Manuel Walther"/>
    <m/>
  </r>
  <r>
    <x v="276"/>
    <x v="0"/>
    <x v="2"/>
    <s v="CLFF_1000$$$DE10538122"/>
    <s v="G000000872"/>
    <s v="G000000872"/>
    <s v="LFF (MDG-F)"/>
    <s v="DE10538122"/>
    <s v="Changes were saved for change request 25524013"/>
    <b v="1"/>
    <x v="0"/>
    <x v="3"/>
    <d v="2025-07-03T10:53:06"/>
    <m/>
    <m/>
    <x v="1"/>
    <n v="121"/>
    <s v="Manuel Walther"/>
    <m/>
  </r>
  <r>
    <x v="276"/>
    <x v="0"/>
    <x v="2"/>
    <s v="CLFF_1000$$$DE10538124"/>
    <s v="G000000872"/>
    <s v="G000000872"/>
    <s v="LFF (MDG-F)"/>
    <s v="DE10538124"/>
    <s v="Changes were saved for change request 25524013"/>
    <b v="1"/>
    <x v="0"/>
    <x v="3"/>
    <d v="2025-07-03T10:53:06"/>
    <m/>
    <m/>
    <x v="1"/>
    <n v="121"/>
    <s v="Manuel Walther"/>
    <m/>
  </r>
  <r>
    <x v="276"/>
    <x v="0"/>
    <x v="2"/>
    <s v="CLFF_1000$$$DE10538129"/>
    <s v="G000000872"/>
    <s v="G000000872"/>
    <s v="LFF (MDG-F)"/>
    <s v="DE10538129"/>
    <s v="Changes were saved for change request 25524013"/>
    <b v="1"/>
    <x v="0"/>
    <x v="3"/>
    <d v="2025-07-03T10:53:06"/>
    <m/>
    <m/>
    <x v="1"/>
    <n v="121"/>
    <s v="Manuel Walther"/>
    <m/>
  </r>
  <r>
    <x v="276"/>
    <x v="0"/>
    <x v="2"/>
    <s v="CLFF_1000$$$DE10538130"/>
    <s v="G000000872"/>
    <s v="G000000872"/>
    <s v="LFF (MDG-F)"/>
    <s v="DE10538130"/>
    <s v="Changes were saved for change request 25524013"/>
    <b v="1"/>
    <x v="0"/>
    <x v="3"/>
    <d v="2025-07-03T10:53:06"/>
    <m/>
    <m/>
    <x v="1"/>
    <n v="121"/>
    <s v="Manuel Walther"/>
    <m/>
  </r>
  <r>
    <x v="276"/>
    <x v="0"/>
    <x v="2"/>
    <s v="CLFF_1000$$$DE10538131"/>
    <s v="G000000872"/>
    <s v="G000000872"/>
    <s v="LFF (MDG-F)"/>
    <s v="DE10538131"/>
    <s v="Changes were saved for change request 25524013"/>
    <b v="1"/>
    <x v="0"/>
    <x v="3"/>
    <d v="2025-07-03T10:53:06"/>
    <m/>
    <m/>
    <x v="1"/>
    <n v="121"/>
    <s v="Manuel Walther"/>
    <m/>
  </r>
  <r>
    <x v="276"/>
    <x v="0"/>
    <x v="2"/>
    <s v="CLFF_1000$$$DE10538133"/>
    <s v="G000000872"/>
    <s v="G000000872"/>
    <s v="LFF (MDG-F)"/>
    <s v="DE10538133"/>
    <s v="Changes were saved for change request 25524013"/>
    <b v="1"/>
    <x v="0"/>
    <x v="3"/>
    <d v="2025-07-03T10:53:06"/>
    <m/>
    <m/>
    <x v="1"/>
    <n v="121"/>
    <s v="Manuel Walther"/>
    <m/>
  </r>
  <r>
    <x v="276"/>
    <x v="0"/>
    <x v="2"/>
    <s v="CLFF_1000$$$DE10538134"/>
    <s v="G000000872"/>
    <s v="G000000872"/>
    <s v="LFF (MDG-F)"/>
    <s v="DE10538134"/>
    <s v="Changes were saved for change request 25524013"/>
    <b v="1"/>
    <x v="0"/>
    <x v="3"/>
    <d v="2025-07-03T10:53:06"/>
    <m/>
    <m/>
    <x v="1"/>
    <n v="121"/>
    <s v="Manuel Walther"/>
    <m/>
  </r>
  <r>
    <x v="276"/>
    <x v="0"/>
    <x v="2"/>
    <s v="CLFF_1000$$$DE10538135"/>
    <s v="G000000872"/>
    <s v="G000000872"/>
    <s v="LFF (MDG-F)"/>
    <s v="DE10538135"/>
    <s v="Changes were saved for change request 25524013"/>
    <b v="1"/>
    <x v="0"/>
    <x v="3"/>
    <d v="2025-07-03T10:53:06"/>
    <m/>
    <m/>
    <x v="1"/>
    <n v="121"/>
    <s v="Manuel Walther"/>
    <m/>
  </r>
  <r>
    <x v="276"/>
    <x v="0"/>
    <x v="2"/>
    <s v="CLFF_1000$$$DE10538138"/>
    <s v="G000000872"/>
    <s v="G000000872"/>
    <s v="LFF (MDG-F)"/>
    <s v="DE10538138"/>
    <s v="Changes were saved for change request 25524013"/>
    <b v="1"/>
    <x v="0"/>
    <x v="3"/>
    <d v="2025-07-03T10:53:06"/>
    <m/>
    <m/>
    <x v="1"/>
    <n v="121"/>
    <s v="Manuel Walther"/>
    <m/>
  </r>
  <r>
    <x v="276"/>
    <x v="0"/>
    <x v="2"/>
    <s v="CLFF_1000$$$DE10538139"/>
    <s v="G000000872"/>
    <s v="G000000872"/>
    <s v="LFF (MDG-F)"/>
    <s v="DE10538139"/>
    <s v="Changes were saved for change request 25524013"/>
    <b v="1"/>
    <x v="0"/>
    <x v="3"/>
    <d v="2025-07-03T10:53:06"/>
    <m/>
    <m/>
    <x v="1"/>
    <n v="121"/>
    <s v="Manuel Walther"/>
    <m/>
  </r>
  <r>
    <x v="276"/>
    <x v="0"/>
    <x v="2"/>
    <s v="CLFF_1000$$$DE10538142"/>
    <s v="G000000872"/>
    <s v="G000000872"/>
    <s v="LFF (MDG-F)"/>
    <s v="DE10538142"/>
    <s v="Changes were saved for change request 25524013"/>
    <b v="1"/>
    <x v="0"/>
    <x v="3"/>
    <d v="2025-07-03T10:53:06"/>
    <m/>
    <m/>
    <x v="1"/>
    <n v="121"/>
    <s v="Manuel Walther"/>
    <m/>
  </r>
  <r>
    <x v="276"/>
    <x v="0"/>
    <x v="2"/>
    <s v="CLFF_1000$$$DE10538144"/>
    <s v="G000000872"/>
    <s v="G000000872"/>
    <s v="LFF (MDG-F)"/>
    <s v="DE10538144"/>
    <s v="Changes were saved for change request 25524013"/>
    <b v="1"/>
    <x v="0"/>
    <x v="3"/>
    <d v="2025-07-03T10:53:06"/>
    <m/>
    <m/>
    <x v="1"/>
    <n v="121"/>
    <s v="Manuel Walther"/>
    <m/>
  </r>
  <r>
    <x v="276"/>
    <x v="0"/>
    <x v="2"/>
    <s v="CLFF_1000$$$DE10538161"/>
    <s v="G000000872"/>
    <s v="G000000872"/>
    <s v="LFF (MDG-F)"/>
    <s v="DE10538161"/>
    <s v="Changes were saved for change request 25526501"/>
    <b v="1"/>
    <x v="0"/>
    <x v="3"/>
    <d v="2025-07-03T10:53:06"/>
    <m/>
    <m/>
    <x v="1"/>
    <n v="121"/>
    <s v="Manuel Walther"/>
    <m/>
  </r>
  <r>
    <x v="276"/>
    <x v="0"/>
    <x v="2"/>
    <s v="CLFF_1000$$$DE10538174"/>
    <s v="G000000993"/>
    <s v="G000000993"/>
    <s v="LFF (MDG-F)"/>
    <s v="DE10538174"/>
    <s v="Changes were saved for change request 25526501"/>
    <b v="1"/>
    <x v="0"/>
    <x v="3"/>
    <d v="2025-07-03T10:53:06"/>
    <m/>
    <m/>
    <x v="1"/>
    <n v="121"/>
    <s v="Manuel Walther"/>
    <m/>
  </r>
  <r>
    <x v="276"/>
    <x v="0"/>
    <x v="2"/>
    <s v="CLFF_1000$$$DE10538178"/>
    <s v="G000000993"/>
    <s v="G000000993"/>
    <s v="LFF (MDG-F)"/>
    <s v="DE10538178"/>
    <s v="Changes were saved for change request 25526501"/>
    <b v="1"/>
    <x v="0"/>
    <x v="3"/>
    <d v="2025-07-03T10:53:06"/>
    <m/>
    <m/>
    <x v="1"/>
    <n v="121"/>
    <s v="Manuel Walther"/>
    <m/>
  </r>
  <r>
    <x v="276"/>
    <x v="0"/>
    <x v="2"/>
    <s v="CLFF_1000$$$DE10538192"/>
    <s v="G000000872"/>
    <s v="G000000872"/>
    <s v="LFF (MDG-F)"/>
    <s v="DE10538192"/>
    <s v="Changes were saved for change request 25526501"/>
    <b v="1"/>
    <x v="0"/>
    <x v="3"/>
    <d v="2025-07-03T10:53:06"/>
    <m/>
    <m/>
    <x v="1"/>
    <n v="121"/>
    <s v="Manuel Walther"/>
    <m/>
  </r>
  <r>
    <x v="276"/>
    <x v="0"/>
    <x v="2"/>
    <s v="CLFF_1000$$$DE10538397"/>
    <s v="G000000993"/>
    <s v="G000000993"/>
    <s v="LFF (MDG-F)"/>
    <s v="DE10538397"/>
    <s v="Changes were saved for change request 25526501"/>
    <b v="1"/>
    <x v="0"/>
    <x v="3"/>
    <d v="2025-07-03T10:53:06"/>
    <m/>
    <m/>
    <x v="1"/>
    <n v="121"/>
    <s v="Manuel Walther"/>
    <m/>
  </r>
  <r>
    <x v="276"/>
    <x v="0"/>
    <x v="2"/>
    <s v="CLFF_1000$$$DE10538556"/>
    <s v="G000000872"/>
    <s v="G000000872"/>
    <s v="LFF (MDG-F)"/>
    <s v="DE10538556"/>
    <s v="Changes were saved for change request 25526501"/>
    <b v="1"/>
    <x v="0"/>
    <x v="3"/>
    <d v="2025-07-03T10:53:06"/>
    <m/>
    <m/>
    <x v="1"/>
    <n v="121"/>
    <s v="Manuel Walther"/>
    <m/>
  </r>
  <r>
    <x v="276"/>
    <x v="0"/>
    <x v="2"/>
    <s v="CLFF_1000$$$DE10538654"/>
    <s v="G000000993"/>
    <s v="G000000993"/>
    <s v="LFF (MDG-F)"/>
    <s v="DE10538654"/>
    <s v="Changes were saved for change request 25526501"/>
    <b v="1"/>
    <x v="0"/>
    <x v="3"/>
    <d v="2025-07-03T10:53:06"/>
    <m/>
    <m/>
    <x v="1"/>
    <n v="121"/>
    <s v="Manuel Walther"/>
    <m/>
  </r>
  <r>
    <x v="276"/>
    <x v="0"/>
    <x v="2"/>
    <s v="CLFF_1000$$$DE10579990"/>
    <s v="G000000872"/>
    <s v="G000000872"/>
    <s v="LFF (MDG-F)"/>
    <s v="DE10579990"/>
    <s v="Changes were saved for change request 25526501"/>
    <b v="1"/>
    <x v="0"/>
    <x v="3"/>
    <d v="2025-07-03T10:53:06"/>
    <m/>
    <m/>
    <x v="1"/>
    <n v="121"/>
    <s v="Manuel Walther"/>
    <m/>
  </r>
  <r>
    <x v="276"/>
    <x v="0"/>
    <x v="2"/>
    <s v="CLFF_1000$$$DE10538107"/>
    <s v="G000000993"/>
    <s v="G000000993"/>
    <s v="LFF (MDG-F)"/>
    <s v="DE10538107"/>
    <s v="Changes were saved for change request 25526501"/>
    <b v="1"/>
    <x v="0"/>
    <x v="3"/>
    <d v="2025-07-03T10:53:06"/>
    <m/>
    <m/>
    <x v="1"/>
    <n v="121"/>
    <s v="Manuel Walther"/>
    <m/>
  </r>
  <r>
    <x v="276"/>
    <x v="0"/>
    <x v="2"/>
    <s v="CLFF_1000$$$DE10538118"/>
    <s v="G000000888"/>
    <s v="G000000888"/>
    <s v="LFF (MDG-F)"/>
    <s v="DE10538118"/>
    <s v="Changes were saved for change request 25526501"/>
    <b v="1"/>
    <x v="0"/>
    <x v="3"/>
    <d v="2025-07-03T10:53:06"/>
    <m/>
    <m/>
    <x v="1"/>
    <n v="121"/>
    <s v="Manuel Walther"/>
    <m/>
  </r>
  <r>
    <x v="276"/>
    <x v="0"/>
    <x v="2"/>
    <s v="CLFF_1000$$$DE10538136"/>
    <s v="G000000993"/>
    <s v="G000000993"/>
    <s v="LFF (MDG-F)"/>
    <s v="DE10538136"/>
    <s v="Changes were saved for change request 25526501"/>
    <b v="1"/>
    <x v="0"/>
    <x v="3"/>
    <d v="2025-07-03T10:53:06"/>
    <m/>
    <m/>
    <x v="1"/>
    <n v="121"/>
    <s v="Manuel Walther"/>
    <m/>
  </r>
  <r>
    <x v="276"/>
    <x v="0"/>
    <x v="2"/>
    <s v="CLFF_1000$$$DE10538137"/>
    <s v="G000000993"/>
    <s v="G000000993"/>
    <s v="LFF (MDG-F)"/>
    <s v="DE10538137"/>
    <s v="Changes were saved for change request 25526501"/>
    <b v="1"/>
    <x v="0"/>
    <x v="3"/>
    <d v="2025-07-03T10:53:06"/>
    <m/>
    <m/>
    <x v="1"/>
    <n v="121"/>
    <s v="Manuel Walther"/>
    <m/>
  </r>
  <r>
    <x v="276"/>
    <x v="0"/>
    <x v="2"/>
    <s v="CLFF_1000$$$DE10538141"/>
    <s v="G000000993"/>
    <s v="G000000993"/>
    <s v="LFF (MDG-F)"/>
    <s v="DE10538141"/>
    <s v="Changes were saved for change request 25526501"/>
    <b v="1"/>
    <x v="0"/>
    <x v="3"/>
    <d v="2025-07-03T10:53:06"/>
    <m/>
    <m/>
    <x v="1"/>
    <n v="121"/>
    <s v="Manuel Walther"/>
    <m/>
  </r>
  <r>
    <x v="276"/>
    <x v="0"/>
    <x v="2"/>
    <s v="CLFF_1000$$$DE10538143"/>
    <s v="G000000993"/>
    <s v="G000000993"/>
    <s v="LFF (MDG-F)"/>
    <s v="DE10538143"/>
    <s v="Changes were saved for change request 25526501"/>
    <b v="1"/>
    <x v="0"/>
    <x v="3"/>
    <d v="2025-07-03T10:53:06"/>
    <m/>
    <m/>
    <x v="1"/>
    <n v="121"/>
    <s v="Manuel Walther"/>
    <m/>
  </r>
  <r>
    <x v="276"/>
    <x v="0"/>
    <x v="2"/>
    <s v="CLFF_1000$$$DE10538147"/>
    <s v="G000000993"/>
    <s v="G000000993"/>
    <s v="LFF (MDG-F)"/>
    <s v="DE10538147"/>
    <s v="Changes were saved for change request 25526501"/>
    <b v="1"/>
    <x v="0"/>
    <x v="3"/>
    <d v="2025-07-03T10:53:06"/>
    <m/>
    <m/>
    <x v="1"/>
    <n v="121"/>
    <s v="Manuel Walther"/>
    <m/>
  </r>
  <r>
    <x v="276"/>
    <x v="0"/>
    <x v="2"/>
    <s v="CLFF_1000$$$DE10538148"/>
    <s v="G000000879"/>
    <s v="G000000879"/>
    <s v="LFF (MDG-F)"/>
    <s v="DE10538148"/>
    <s v="Changes were saved for change request 25526501"/>
    <b v="1"/>
    <x v="0"/>
    <x v="3"/>
    <d v="2025-07-03T10:53:06"/>
    <m/>
    <m/>
    <x v="1"/>
    <n v="121"/>
    <s v="Manuel Walther"/>
    <m/>
  </r>
  <r>
    <x v="276"/>
    <x v="0"/>
    <x v="2"/>
    <s v="CLFF_1000$$$DE10538151"/>
    <s v="G000000993"/>
    <s v="G000000993"/>
    <s v="LFF (MDG-F)"/>
    <s v="DE10538151"/>
    <s v="Changes were saved for change request 25526501"/>
    <b v="1"/>
    <x v="0"/>
    <x v="3"/>
    <d v="2025-07-03T10:53:06"/>
    <m/>
    <m/>
    <x v="1"/>
    <n v="121"/>
    <s v="Manuel Walther"/>
    <m/>
  </r>
  <r>
    <x v="276"/>
    <x v="0"/>
    <x v="2"/>
    <s v="CLFF_1000$$$DE10538153"/>
    <s v="G000000993"/>
    <s v="G000000993"/>
    <s v="LFF (MDG-F)"/>
    <s v="DE10538153"/>
    <s v="Changes were saved for change request 25526501"/>
    <b v="1"/>
    <x v="0"/>
    <x v="3"/>
    <d v="2025-07-03T10:53:06"/>
    <m/>
    <m/>
    <x v="1"/>
    <n v="121"/>
    <s v="Manuel Walther"/>
    <m/>
  </r>
  <r>
    <x v="276"/>
    <x v="0"/>
    <x v="2"/>
    <s v="CLFF_1000$$$DE10538160"/>
    <s v="G000000993"/>
    <s v="G000000993"/>
    <s v="LFF (MDG-F)"/>
    <s v="DE10538160"/>
    <s v="Changes were saved for change request 25526501"/>
    <b v="1"/>
    <x v="0"/>
    <x v="3"/>
    <d v="2025-07-03T10:53:06"/>
    <m/>
    <m/>
    <x v="1"/>
    <n v="121"/>
    <s v="Manuel Walther"/>
    <m/>
  </r>
  <r>
    <x v="276"/>
    <x v="0"/>
    <x v="2"/>
    <s v="CLFF_1000$$$DE10538162"/>
    <s v="G000000993"/>
    <s v="G000000993"/>
    <s v="LFF (MDG-F)"/>
    <s v="DE10538162"/>
    <s v="Changes were saved for change request 25526501"/>
    <b v="1"/>
    <x v="0"/>
    <x v="3"/>
    <d v="2025-07-03T10:53:06"/>
    <m/>
    <m/>
    <x v="1"/>
    <n v="121"/>
    <s v="Manuel Walther"/>
    <m/>
  </r>
  <r>
    <x v="276"/>
    <x v="0"/>
    <x v="2"/>
    <s v="CLFF_1000$$$DE10538163"/>
    <s v="G000000879"/>
    <s v="G000000879"/>
    <s v="LFF (MDG-F)"/>
    <s v="DE10538163"/>
    <s v="Changes were saved for change request 25526501"/>
    <b v="1"/>
    <x v="0"/>
    <x v="3"/>
    <d v="2025-07-03T10:53:06"/>
    <m/>
    <m/>
    <x v="1"/>
    <n v="121"/>
    <s v="Manuel Walther"/>
    <m/>
  </r>
  <r>
    <x v="276"/>
    <x v="0"/>
    <x v="2"/>
    <s v="CLFF_1000$$$DE10538164"/>
    <s v="G000000993"/>
    <s v="G000000993"/>
    <s v="LFF (MDG-F)"/>
    <s v="DE10538164"/>
    <s v="Changes were saved for change request 25526501"/>
    <b v="1"/>
    <x v="0"/>
    <x v="3"/>
    <d v="2025-07-03T10:53:06"/>
    <m/>
    <m/>
    <x v="1"/>
    <n v="121"/>
    <s v="Manuel Walther"/>
    <m/>
  </r>
  <r>
    <x v="276"/>
    <x v="0"/>
    <x v="2"/>
    <s v="CLFF_1000$$$DE10538166"/>
    <s v="G000000993"/>
    <s v="G000000993"/>
    <s v="LFF (MDG-F)"/>
    <s v="DE10538166"/>
    <s v="Changes were saved for change request 25526501"/>
    <b v="1"/>
    <x v="0"/>
    <x v="3"/>
    <d v="2025-07-03T10:53:06"/>
    <m/>
    <m/>
    <x v="1"/>
    <n v="121"/>
    <s v="Manuel Walther"/>
    <m/>
  </r>
  <r>
    <x v="276"/>
    <x v="0"/>
    <x v="2"/>
    <s v="CLFF_1000$$$DE10538167"/>
    <s v="G000000872"/>
    <s v="G000000872"/>
    <s v="LFF (MDG-F)"/>
    <s v="DE10538167"/>
    <s v="Changes were saved for change request 25526501"/>
    <b v="1"/>
    <x v="0"/>
    <x v="3"/>
    <d v="2025-07-03T10:53:06"/>
    <m/>
    <m/>
    <x v="1"/>
    <n v="121"/>
    <s v="Manuel Walther"/>
    <m/>
  </r>
  <r>
    <x v="276"/>
    <x v="0"/>
    <x v="2"/>
    <s v="CLFF_1000$$$DE10538168"/>
    <s v="G000000993"/>
    <s v="G000000993"/>
    <s v="LFF (MDG-F)"/>
    <s v="DE10538168"/>
    <s v="Changes were saved for change request 25526501"/>
    <b v="1"/>
    <x v="0"/>
    <x v="3"/>
    <d v="2025-07-03T10:53:06"/>
    <m/>
    <m/>
    <x v="1"/>
    <n v="121"/>
    <s v="Manuel Walther"/>
    <m/>
  </r>
  <r>
    <x v="276"/>
    <x v="0"/>
    <x v="2"/>
    <s v="CLFF_1000$$$DE10538171"/>
    <s v="G000000993"/>
    <s v="G000000993"/>
    <s v="LFF (MDG-F)"/>
    <s v="DE10538171"/>
    <s v="Changes were saved for change request 25526501"/>
    <b v="1"/>
    <x v="0"/>
    <x v="3"/>
    <d v="2025-07-03T10:53:06"/>
    <m/>
    <m/>
    <x v="1"/>
    <n v="121"/>
    <s v="Manuel Walther"/>
    <m/>
  </r>
  <r>
    <x v="276"/>
    <x v="0"/>
    <x v="2"/>
    <s v="CLFF_1000$$$DE10538175"/>
    <s v="G000000888"/>
    <s v="G000000888"/>
    <s v="LFF (MDG-F)"/>
    <s v="DE10538175"/>
    <s v="Changes were saved for change request 25526501"/>
    <b v="1"/>
    <x v="0"/>
    <x v="3"/>
    <d v="2025-07-03T10:53:06"/>
    <m/>
    <m/>
    <x v="1"/>
    <n v="121"/>
    <s v="Manuel Walther"/>
    <m/>
  </r>
  <r>
    <x v="276"/>
    <x v="0"/>
    <x v="2"/>
    <s v="CLFF_1000$$$DE10538176"/>
    <s v="G000000993"/>
    <s v="G000000993"/>
    <s v="LFF (MDG-F)"/>
    <s v="DE10538176"/>
    <s v="Changes were saved for change request 25526501"/>
    <b v="1"/>
    <x v="0"/>
    <x v="3"/>
    <d v="2025-07-03T10:53:06"/>
    <m/>
    <m/>
    <x v="1"/>
    <n v="121"/>
    <s v="Manuel Walther"/>
    <m/>
  </r>
  <r>
    <x v="276"/>
    <x v="0"/>
    <x v="2"/>
    <s v="CLFF_1000$$$DE10538177"/>
    <s v="G000000993"/>
    <s v="G000000993"/>
    <s v="LFF (MDG-F)"/>
    <s v="DE10538177"/>
    <s v="Changes were saved for change request 25526501"/>
    <b v="1"/>
    <x v="0"/>
    <x v="3"/>
    <d v="2025-07-03T10:53:06"/>
    <m/>
    <m/>
    <x v="1"/>
    <n v="121"/>
    <s v="Manuel Walther"/>
    <m/>
  </r>
  <r>
    <x v="276"/>
    <x v="0"/>
    <x v="2"/>
    <s v="CLFF_1000$$$DE10538184"/>
    <s v="G000000993"/>
    <s v="G000000993"/>
    <s v="LFF (MDG-F)"/>
    <s v="DE10538184"/>
    <s v="Changes were saved for change request 25526501"/>
    <b v="1"/>
    <x v="0"/>
    <x v="3"/>
    <d v="2025-07-03T10:53:06"/>
    <m/>
    <m/>
    <x v="1"/>
    <n v="121"/>
    <s v="Manuel Walther"/>
    <m/>
  </r>
  <r>
    <x v="276"/>
    <x v="0"/>
    <x v="2"/>
    <s v="CLFF_1000$$$DE10538185"/>
    <s v="G000000888"/>
    <s v="G000000888"/>
    <s v="LFF (MDG-F)"/>
    <s v="DE10538185"/>
    <s v="Changes were saved for change request 25526501"/>
    <b v="1"/>
    <x v="0"/>
    <x v="3"/>
    <d v="2025-07-03T10:53:06"/>
    <m/>
    <m/>
    <x v="1"/>
    <n v="121"/>
    <s v="Manuel Walther"/>
    <m/>
  </r>
  <r>
    <x v="276"/>
    <x v="0"/>
    <x v="2"/>
    <s v="CLFF_1000$$$DE10538186"/>
    <s v="G000000888"/>
    <s v="G000000888"/>
    <s v="LFF (MDG-F)"/>
    <s v="DE10538186"/>
    <s v="Changes were saved for change request 25526501"/>
    <b v="1"/>
    <x v="0"/>
    <x v="3"/>
    <d v="2025-07-03T10:53:06"/>
    <m/>
    <m/>
    <x v="1"/>
    <n v="121"/>
    <s v="Manuel Walther"/>
    <m/>
  </r>
  <r>
    <x v="276"/>
    <x v="0"/>
    <x v="2"/>
    <s v="CLFF_1000$$$DE10538193"/>
    <s v="G000000879"/>
    <s v="G000000879"/>
    <s v="LFF (MDG-F)"/>
    <s v="DE10538193"/>
    <s v="Changes were saved for change request 25526501"/>
    <b v="1"/>
    <x v="0"/>
    <x v="3"/>
    <d v="2025-07-03T10:53:06"/>
    <m/>
    <m/>
    <x v="1"/>
    <n v="121"/>
    <s v="Manuel Walther"/>
    <m/>
  </r>
  <r>
    <x v="276"/>
    <x v="0"/>
    <x v="2"/>
    <s v="CLFF_1000$$$DE10538194"/>
    <s v="G000000879"/>
    <s v="G000000879"/>
    <s v="LFF (MDG-F)"/>
    <s v="DE10538194"/>
    <s v="Changes were saved for change request 25526501"/>
    <b v="1"/>
    <x v="0"/>
    <x v="3"/>
    <d v="2025-07-03T10:53:06"/>
    <m/>
    <m/>
    <x v="1"/>
    <n v="121"/>
    <s v="Manuel Walther"/>
    <m/>
  </r>
  <r>
    <x v="276"/>
    <x v="0"/>
    <x v="2"/>
    <s v="CLFF_1000$$$DE10538195"/>
    <s v="G000000879"/>
    <s v="G000000879"/>
    <s v="LFF (MDG-F)"/>
    <s v="DE10538195"/>
    <s v="Changes were saved for change request 25526501"/>
    <b v="1"/>
    <x v="0"/>
    <x v="3"/>
    <d v="2025-07-03T10:53:06"/>
    <m/>
    <m/>
    <x v="1"/>
    <n v="121"/>
    <s v="Manuel Walther"/>
    <m/>
  </r>
  <r>
    <x v="276"/>
    <x v="0"/>
    <x v="2"/>
    <s v="CLFF_1000$$$DE10538197"/>
    <s v="G000000993"/>
    <s v="G000000993"/>
    <s v="LFF (MDG-F)"/>
    <s v="DE10538197"/>
    <s v="Changes were saved for change request 25526501"/>
    <b v="1"/>
    <x v="0"/>
    <x v="3"/>
    <d v="2025-07-03T10:53:06"/>
    <m/>
    <m/>
    <x v="1"/>
    <n v="121"/>
    <s v="Manuel Walther"/>
    <m/>
  </r>
  <r>
    <x v="276"/>
    <x v="0"/>
    <x v="2"/>
    <s v="CLFF_1000$$$DE10538712"/>
    <s v="G000000993"/>
    <s v="G000000993"/>
    <s v="LFF (MDG-F)"/>
    <s v="DE10538712"/>
    <s v="Changes were saved for change request 25526501"/>
    <b v="1"/>
    <x v="0"/>
    <x v="3"/>
    <d v="2025-07-03T10:53:06"/>
    <m/>
    <m/>
    <x v="1"/>
    <n v="121"/>
    <s v="Manuel Walther"/>
    <m/>
  </r>
  <r>
    <x v="276"/>
    <x v="0"/>
    <x v="2"/>
    <s v="CLFF_1000$$$DE10538713"/>
    <s v="G000000888"/>
    <s v="G000000888"/>
    <s v="LFF (MDG-F)"/>
    <s v="DE10538713"/>
    <s v="Changes were saved for change request 25526501"/>
    <b v="1"/>
    <x v="0"/>
    <x v="3"/>
    <d v="2025-07-03T10:53:06"/>
    <m/>
    <m/>
    <x v="1"/>
    <n v="121"/>
    <s v="Manuel Walther"/>
    <m/>
  </r>
  <r>
    <x v="276"/>
    <x v="0"/>
    <x v="2"/>
    <s v="CLFF_1000$$$DE10538714"/>
    <s v="G000000888"/>
    <s v="G000000888"/>
    <s v="LFF (MDG-F)"/>
    <s v="DE10538714"/>
    <s v="Changes were saved for change request 25526501"/>
    <b v="1"/>
    <x v="0"/>
    <x v="3"/>
    <d v="2025-07-03T10:53:06"/>
    <m/>
    <m/>
    <x v="1"/>
    <n v="121"/>
    <s v="Manuel Walther"/>
    <m/>
  </r>
  <r>
    <x v="276"/>
    <x v="0"/>
    <x v="2"/>
    <s v="CLFF_1000$$$DE10538715"/>
    <s v="G000000888"/>
    <s v="G000000888"/>
    <s v="LFF (MDG-F)"/>
    <s v="DE10538715"/>
    <s v="Changes were saved for change request 25526501"/>
    <b v="1"/>
    <x v="0"/>
    <x v="3"/>
    <d v="2025-07-03T10:53:06"/>
    <m/>
    <m/>
    <x v="1"/>
    <n v="121"/>
    <s v="Manuel Walther"/>
    <m/>
  </r>
  <r>
    <x v="276"/>
    <x v="0"/>
    <x v="2"/>
    <s v="CLFF_1000$$$DE10538716"/>
    <s v="G000000888"/>
    <s v="G000000888"/>
    <s v="LFF (MDG-F)"/>
    <s v="DE10538716"/>
    <s v="Changes were saved for change request 25526501"/>
    <b v="1"/>
    <x v="0"/>
    <x v="3"/>
    <d v="2025-07-03T10:53:06"/>
    <m/>
    <m/>
    <x v="1"/>
    <n v="121"/>
    <s v="Manuel Walther"/>
    <m/>
  </r>
  <r>
    <x v="276"/>
    <x v="0"/>
    <x v="2"/>
    <s v="CLFF_1000$$$DE10538717"/>
    <s v="G000000993"/>
    <s v="G000000993"/>
    <s v="LFF (MDG-F)"/>
    <s v="DE10538717"/>
    <s v="Changes were saved for change request 25526501"/>
    <b v="1"/>
    <x v="0"/>
    <x v="3"/>
    <d v="2025-07-03T10:53:06"/>
    <m/>
    <m/>
    <x v="1"/>
    <n v="121"/>
    <s v="Manuel Walther"/>
    <m/>
  </r>
  <r>
    <x v="276"/>
    <x v="0"/>
    <x v="2"/>
    <s v="CLFF_1000$$$DE10538887"/>
    <s v="G000000993"/>
    <s v="G000000993"/>
    <s v="LFF (MDG-F)"/>
    <s v="DE10538887"/>
    <s v="Changes were saved for change request 25526501"/>
    <b v="1"/>
    <x v="0"/>
    <x v="3"/>
    <d v="2025-07-03T10:53:06"/>
    <m/>
    <m/>
    <x v="1"/>
    <n v="121"/>
    <s v="Manuel Walther"/>
    <m/>
  </r>
  <r>
    <x v="276"/>
    <x v="0"/>
    <x v="2"/>
    <s v="CLFF_1000$$$DE10538920"/>
    <s v="G000000993"/>
    <s v="G000000993"/>
    <s v="LFF (MDG-F)"/>
    <s v="DE10538920"/>
    <s v="Changes were saved for change request 25526501"/>
    <b v="1"/>
    <x v="0"/>
    <x v="3"/>
    <d v="2025-07-03T10:53:06"/>
    <m/>
    <m/>
    <x v="1"/>
    <n v="121"/>
    <s v="Manuel Walther"/>
    <m/>
  </r>
  <r>
    <x v="276"/>
    <x v="0"/>
    <x v="2"/>
    <s v="CLFF_1000$$$DE10538921"/>
    <s v="G000000993"/>
    <s v="G000000993"/>
    <s v="LFF (MDG-F)"/>
    <s v="DE10538921"/>
    <s v="Changes were saved for change request 25526501"/>
    <b v="1"/>
    <x v="0"/>
    <x v="3"/>
    <d v="2025-07-03T10:53:06"/>
    <m/>
    <m/>
    <x v="1"/>
    <n v="121"/>
    <s v="Manuel Walther"/>
    <m/>
  </r>
  <r>
    <x v="276"/>
    <x v="0"/>
    <x v="2"/>
    <s v="CLFF_1000$$$DE10538978"/>
    <s v="G000000888"/>
    <s v="G000000888"/>
    <s v="LFF (MDG-F)"/>
    <s v="DE10538978"/>
    <s v="Changes were saved for change request 25526501"/>
    <b v="1"/>
    <x v="0"/>
    <x v="3"/>
    <d v="2025-07-03T10:53:06"/>
    <m/>
    <m/>
    <x v="1"/>
    <n v="121"/>
    <s v="Manuel Walther"/>
    <m/>
  </r>
  <r>
    <x v="276"/>
    <x v="0"/>
    <x v="2"/>
    <s v="CLFF_1000$$$DE10539001"/>
    <s v="G000000879"/>
    <s v="G000000879"/>
    <s v="LFF (MDG-F)"/>
    <s v="DE10539001"/>
    <s v="Changes were saved for change request 25526501"/>
    <b v="1"/>
    <x v="0"/>
    <x v="3"/>
    <d v="2025-07-03T10:53:06"/>
    <m/>
    <m/>
    <x v="1"/>
    <n v="121"/>
    <s v="Manuel Walther"/>
    <m/>
  </r>
  <r>
    <x v="276"/>
    <x v="0"/>
    <x v="2"/>
    <s v="CLFF_1000$$$DE10539002"/>
    <s v="G000000879"/>
    <s v="G000000879"/>
    <s v="LFF (MDG-F)"/>
    <s v="DE10539002"/>
    <s v="Changes were saved for change request 25526501"/>
    <b v="1"/>
    <x v="0"/>
    <x v="3"/>
    <d v="2025-07-03T10:53:06"/>
    <m/>
    <m/>
    <x v="1"/>
    <n v="121"/>
    <s v="Manuel Walther"/>
    <m/>
  </r>
  <r>
    <x v="276"/>
    <x v="0"/>
    <x v="2"/>
    <s v="CLFF_1000$$$DE10539004"/>
    <s v="G000000879"/>
    <s v="G000000879"/>
    <s v="LFF (MDG-F)"/>
    <s v="DE10539004"/>
    <s v="Changes were saved for change request 25526501"/>
    <b v="1"/>
    <x v="0"/>
    <x v="3"/>
    <d v="2025-07-03T10:53:06"/>
    <m/>
    <m/>
    <x v="1"/>
    <n v="121"/>
    <s v="Manuel Walther"/>
    <m/>
  </r>
  <r>
    <x v="276"/>
    <x v="0"/>
    <x v="2"/>
    <s v="CLFF_1000$$$DE10567500"/>
    <s v="G000000879"/>
    <s v="G000000879"/>
    <s v="LFF (MDG-F)"/>
    <s v="DE10567500"/>
    <s v="Changes were saved for change request 25526501"/>
    <b v="1"/>
    <x v="0"/>
    <x v="3"/>
    <d v="2025-07-03T10:53:06"/>
    <m/>
    <m/>
    <x v="1"/>
    <n v="121"/>
    <s v="Manuel Walther"/>
    <m/>
  </r>
  <r>
    <x v="276"/>
    <x v="0"/>
    <x v="2"/>
    <s v="CLFF_1000$$$DE10569401"/>
    <s v="G000000993"/>
    <s v="G000000993"/>
    <s v="LFF (MDG-F)"/>
    <s v="DE10569401"/>
    <s v="Changes were saved for change request 25526501"/>
    <b v="1"/>
    <x v="0"/>
    <x v="3"/>
    <d v="2025-07-03T10:53:06"/>
    <m/>
    <m/>
    <x v="1"/>
    <n v="121"/>
    <s v="Manuel Walther"/>
    <m/>
  </r>
  <r>
    <x v="276"/>
    <x v="0"/>
    <x v="2"/>
    <s v="CLFF_1000$$$DE10538145"/>
    <s v="G000000872"/>
    <s v="G000000872"/>
    <s v="LFF (MDG-F)"/>
    <s v="DE10538145"/>
    <s v="Changes were saved for change request 25526501"/>
    <b v="1"/>
    <x v="0"/>
    <x v="3"/>
    <d v="2025-07-03T10:53:06"/>
    <m/>
    <m/>
    <x v="1"/>
    <n v="121"/>
    <s v="Manuel Walther"/>
    <m/>
  </r>
  <r>
    <x v="276"/>
    <x v="0"/>
    <x v="2"/>
    <s v="CLFF_1000$$$DE10538190"/>
    <s v="G000000872"/>
    <s v="G000000872"/>
    <s v="LFF (MDG-F)"/>
    <s v="DE10538190"/>
    <s v="Changes were saved for change request 25526501"/>
    <b v="1"/>
    <x v="0"/>
    <x v="3"/>
    <d v="2025-07-03T10:53:06"/>
    <m/>
    <m/>
    <x v="1"/>
    <n v="121"/>
    <s v="Manuel Walther"/>
    <m/>
  </r>
  <r>
    <x v="276"/>
    <x v="0"/>
    <x v="2"/>
    <s v="CLFF_1000$$$DE10539003"/>
    <s v="G000000879"/>
    <s v="G000000879"/>
    <s v="LFF (MDG-F)"/>
    <s v="DE10539003"/>
    <s v="Changes were saved for change request 25526501"/>
    <b v="1"/>
    <x v="0"/>
    <x v="3"/>
    <d v="2025-07-03T10:53:06"/>
    <m/>
    <m/>
    <x v="1"/>
    <n v="121"/>
    <s v="Manuel Walther"/>
    <m/>
  </r>
  <r>
    <x v="276"/>
    <x v="0"/>
    <x v="2"/>
    <s v="CLFF_1000$$$DE10567400"/>
    <s v="G000000872"/>
    <s v="G000000872"/>
    <s v="LFF (MDG-F)"/>
    <s v="DE10567400"/>
    <s v="Changes were saved for change request 25526501"/>
    <b v="1"/>
    <x v="0"/>
    <x v="3"/>
    <d v="2025-07-03T10:53:06"/>
    <m/>
    <m/>
    <x v="1"/>
    <n v="121"/>
    <s v="Manuel Walther"/>
    <m/>
  </r>
  <r>
    <x v="276"/>
    <x v="0"/>
    <x v="2"/>
    <s v="CLFF_1000$$$DE20510800"/>
    <s v="G000000537"/>
    <s v="G000000537"/>
    <s v="LFF (MDG-F)"/>
    <s v="DE20510800"/>
    <s v="Changes were saved for change request 25526501"/>
    <b v="1"/>
    <x v="0"/>
    <x v="3"/>
    <d v="2025-07-03T10:53:06"/>
    <m/>
    <m/>
    <x v="1"/>
    <n v="121"/>
    <s v="Manuel Walther"/>
    <m/>
  </r>
  <r>
    <x v="276"/>
    <x v="0"/>
    <x v="2"/>
    <s v="CLFF_1000$$$DE20516800"/>
    <s v="G000000537"/>
    <s v="G000000537"/>
    <s v="LFF (MDG-F)"/>
    <s v="DE20516800"/>
    <s v="Changes were saved for change request 25526501"/>
    <b v="1"/>
    <x v="0"/>
    <x v="3"/>
    <d v="2025-07-03T10:53:06"/>
    <m/>
    <m/>
    <x v="1"/>
    <n v="121"/>
    <s v="Manuel Walther"/>
    <m/>
  </r>
  <r>
    <x v="276"/>
    <x v="0"/>
    <x v="2"/>
    <s v="CLFF_1000$$$DE20518800"/>
    <s v="G000000537"/>
    <s v="G000000537"/>
    <s v="LFF (MDG-F)"/>
    <s v="DE20518800"/>
    <s v="Changes were saved for change request 25526501"/>
    <b v="1"/>
    <x v="0"/>
    <x v="3"/>
    <d v="2025-07-03T10:53:06"/>
    <m/>
    <m/>
    <x v="1"/>
    <n v="121"/>
    <s v="Manuel Walther"/>
    <m/>
  </r>
  <r>
    <x v="276"/>
    <x v="0"/>
    <x v="2"/>
    <s v="CLFF_1000$$$DE20518900"/>
    <s v="G000000537"/>
    <s v="G000000537"/>
    <s v="LFF (MDG-F)"/>
    <s v="DE20518900"/>
    <s v="Changes were saved for change request 25526501"/>
    <b v="1"/>
    <x v="0"/>
    <x v="3"/>
    <d v="2025-07-03T10:53:06"/>
    <m/>
    <m/>
    <x v="1"/>
    <n v="121"/>
    <s v="Manuel Walther"/>
    <m/>
  </r>
  <r>
    <x v="276"/>
    <x v="0"/>
    <x v="2"/>
    <s v="CLFF_1000$$$DE20538199"/>
    <s v="G000000537"/>
    <s v="G000000537"/>
    <s v="LFF (MDG-F)"/>
    <s v="DE20538199"/>
    <s v="Changes were saved for change request 25526501"/>
    <b v="1"/>
    <x v="0"/>
    <x v="3"/>
    <d v="2025-07-03T10:53:06"/>
    <m/>
    <m/>
    <x v="1"/>
    <n v="121"/>
    <s v="Manuel Walther"/>
    <m/>
  </r>
  <r>
    <x v="276"/>
    <x v="0"/>
    <x v="2"/>
    <s v="CLFF_1000$$$DE20542000"/>
    <s v="G000000537"/>
    <s v="G000000537"/>
    <s v="LFF (MDG-F)"/>
    <s v="DE20542000"/>
    <s v="Changes were saved for change request 25526501"/>
    <b v="1"/>
    <x v="0"/>
    <x v="3"/>
    <d v="2025-07-03T10:53:06"/>
    <m/>
    <m/>
    <x v="1"/>
    <n v="121"/>
    <s v="Manuel Walther"/>
    <m/>
  </r>
  <r>
    <x v="276"/>
    <x v="0"/>
    <x v="2"/>
    <s v="CLFF_1000$$$DE20537833"/>
    <s v="G000000514"/>
    <s v="G000000514"/>
    <s v="LFF (MDG-F)"/>
    <s v="DE20537833"/>
    <s v="Changes were saved for change request 25526501"/>
    <b v="1"/>
    <x v="0"/>
    <x v="3"/>
    <d v="2025-07-03T10:53:06"/>
    <m/>
    <m/>
    <x v="1"/>
    <n v="121"/>
    <s v="Manuel Walther"/>
    <m/>
  </r>
  <r>
    <x v="276"/>
    <x v="0"/>
    <x v="2"/>
    <s v="CLFF_1000$$$DE20538012"/>
    <s v="G000000514"/>
    <s v="G000000514"/>
    <s v="LFF (MDG-F)"/>
    <s v="DE20538012"/>
    <s v="Changes were saved for change request 25526501"/>
    <b v="1"/>
    <x v="0"/>
    <x v="3"/>
    <d v="2025-07-03T10:53:06"/>
    <m/>
    <m/>
    <x v="1"/>
    <n v="121"/>
    <s v="Manuel Walther"/>
    <m/>
  </r>
  <r>
    <x v="276"/>
    <x v="0"/>
    <x v="2"/>
    <s v="CLFF_1000$$$DE20538014"/>
    <s v="G000000514"/>
    <s v="G000000514"/>
    <s v="LFF (MDG-F)"/>
    <s v="DE20538014"/>
    <s v="Changes were saved for change request 25526501"/>
    <b v="1"/>
    <x v="0"/>
    <x v="3"/>
    <d v="2025-07-03T10:53:06"/>
    <m/>
    <m/>
    <x v="1"/>
    <n v="121"/>
    <s v="Manuel Walther"/>
    <m/>
  </r>
  <r>
    <x v="276"/>
    <x v="0"/>
    <x v="2"/>
    <s v="CLFF_1000$$$DE20538015"/>
    <s v="G000000514"/>
    <s v="G000000514"/>
    <s v="LFF (MDG-F)"/>
    <s v="DE20538015"/>
    <s v="Changes were saved for change request 25526501"/>
    <b v="1"/>
    <x v="0"/>
    <x v="3"/>
    <d v="2025-07-03T10:53:06"/>
    <m/>
    <m/>
    <x v="1"/>
    <n v="121"/>
    <s v="Manuel Walther"/>
    <m/>
  </r>
  <r>
    <x v="276"/>
    <x v="0"/>
    <x v="2"/>
    <s v="CLFF_1000$$$DE20538017"/>
    <s v="G000000514"/>
    <s v="G000000514"/>
    <s v="LFF (MDG-F)"/>
    <s v="DE20538017"/>
    <s v="Changes were saved for change request 25526501"/>
    <b v="1"/>
    <x v="0"/>
    <x v="3"/>
    <d v="2025-07-03T10:53:06"/>
    <m/>
    <m/>
    <x v="1"/>
    <n v="121"/>
    <s v="Manuel Walther"/>
    <m/>
  </r>
  <r>
    <x v="276"/>
    <x v="0"/>
    <x v="2"/>
    <s v="CLFF_1000$$$DE20538018"/>
    <s v="G000000514"/>
    <s v="G000000514"/>
    <s v="LFF (MDG-F)"/>
    <s v="DE20538018"/>
    <s v="Changes were saved for change request 25526501"/>
    <b v="1"/>
    <x v="0"/>
    <x v="3"/>
    <d v="2025-07-03T10:53:06"/>
    <m/>
    <m/>
    <x v="1"/>
    <n v="121"/>
    <s v="Manuel Walther"/>
    <m/>
  </r>
  <r>
    <x v="276"/>
    <x v="0"/>
    <x v="2"/>
    <s v="CLFF_1000$$$DE20538132"/>
    <s v="G000000514"/>
    <s v="G000000514"/>
    <s v="LFF (MDG-F)"/>
    <s v="DE20538132"/>
    <s v="Changes were saved for change request 25526501"/>
    <b v="1"/>
    <x v="0"/>
    <x v="3"/>
    <d v="2025-07-03T10:53:06"/>
    <m/>
    <m/>
    <x v="1"/>
    <n v="121"/>
    <s v="Manuel Walther"/>
    <m/>
  </r>
  <r>
    <x v="276"/>
    <x v="0"/>
    <x v="2"/>
    <s v="CLFF_1000$$$DE20538101"/>
    <s v="G000000513"/>
    <s v="G000000513"/>
    <s v="LFF (MDG-F)"/>
    <s v="DE20538101"/>
    <s v="Changes were saved for change request 25526501"/>
    <b v="1"/>
    <x v="0"/>
    <x v="3"/>
    <d v="2025-07-03T10:53:06"/>
    <m/>
    <m/>
    <x v="1"/>
    <n v="121"/>
    <s v="Manuel Walther"/>
    <m/>
  </r>
  <r>
    <x v="276"/>
    <x v="0"/>
    <x v="2"/>
    <s v="CLFF_1000$$$DE20538102"/>
    <s v="G000000513"/>
    <s v="G000000513"/>
    <s v="LFF (MDG-F)"/>
    <s v="DE20538102"/>
    <s v="Changes were saved for change request 25526501"/>
    <b v="1"/>
    <x v="0"/>
    <x v="3"/>
    <d v="2025-07-03T10:53:06"/>
    <m/>
    <m/>
    <x v="1"/>
    <n v="121"/>
    <s v="Manuel Walther"/>
    <m/>
  </r>
  <r>
    <x v="276"/>
    <x v="0"/>
    <x v="2"/>
    <s v="CLFF_1000$$$DE20538104"/>
    <s v="G000000513"/>
    <s v="G000000513"/>
    <s v="LFF (MDG-F)"/>
    <s v="DE20538104"/>
    <s v="Changes were saved for change request 25526501"/>
    <b v="1"/>
    <x v="0"/>
    <x v="3"/>
    <d v="2025-07-03T10:53:06"/>
    <m/>
    <m/>
    <x v="1"/>
    <n v="121"/>
    <s v="Manuel Walther"/>
    <m/>
  </r>
  <r>
    <x v="276"/>
    <x v="0"/>
    <x v="2"/>
    <s v="CLFF_1000$$$DE20538109"/>
    <s v="G000000446"/>
    <s v="G000000446"/>
    <s v="LFF (MDG-F)"/>
    <s v="DE20538109"/>
    <s v="Changes were saved for change request 25526501"/>
    <b v="1"/>
    <x v="0"/>
    <x v="3"/>
    <d v="2025-07-03T10:53:06"/>
    <m/>
    <m/>
    <x v="1"/>
    <n v="121"/>
    <s v="Manuel Walther"/>
    <m/>
  </r>
  <r>
    <x v="276"/>
    <x v="0"/>
    <x v="2"/>
    <s v="CLFF_1000$$$DE20538116"/>
    <s v="G000000513"/>
    <s v="G000000513"/>
    <s v="LFF (MDG-F)"/>
    <s v="DE20538116"/>
    <s v="Changes were saved for change request 25526501"/>
    <b v="1"/>
    <x v="0"/>
    <x v="3"/>
    <d v="2025-07-03T10:53:06"/>
    <m/>
    <m/>
    <x v="1"/>
    <n v="121"/>
    <s v="Manuel Walther"/>
    <m/>
  </r>
  <r>
    <x v="276"/>
    <x v="0"/>
    <x v="2"/>
    <s v="CLFF_1000$$$DE20538123"/>
    <s v="G000000446"/>
    <s v="G000000446"/>
    <s v="LFF (MDG-F)"/>
    <s v="DE20538123"/>
    <s v="Changes were saved for change request 25526501"/>
    <b v="1"/>
    <x v="0"/>
    <x v="3"/>
    <d v="2025-07-03T10:53:06"/>
    <m/>
    <m/>
    <x v="1"/>
    <n v="121"/>
    <s v="Manuel Walther"/>
    <m/>
  </r>
  <r>
    <x v="276"/>
    <x v="0"/>
    <x v="2"/>
    <s v="CLFF_1000$$$DE20538128"/>
    <s v="G000000468"/>
    <s v="G000000468"/>
    <s v="LFF (MDG-F)"/>
    <s v="DE20538128"/>
    <s v="Changes were saved for change request 25526501"/>
    <b v="1"/>
    <x v="0"/>
    <x v="3"/>
    <d v="2025-07-03T10:53:06"/>
    <m/>
    <m/>
    <x v="1"/>
    <n v="121"/>
    <s v="Manuel Walther"/>
    <m/>
  </r>
  <r>
    <x v="276"/>
    <x v="0"/>
    <x v="2"/>
    <s v="CLFF_1000$$$DE20538146"/>
    <s v="G000000446"/>
    <s v="G000000446"/>
    <s v="LFF (MDG-F)"/>
    <s v="DE20538146"/>
    <s v="Changes were saved for change request 25526501"/>
    <b v="1"/>
    <x v="0"/>
    <x v="3"/>
    <d v="2025-07-03T10:53:06"/>
    <m/>
    <m/>
    <x v="1"/>
    <n v="121"/>
    <s v="Manuel Walther"/>
    <m/>
  </r>
  <r>
    <x v="276"/>
    <x v="0"/>
    <x v="2"/>
    <s v="CLFF_1000$$$DE20538150"/>
    <s v="G000000446"/>
    <s v="G000000446"/>
    <s v="LFF (MDG-F)"/>
    <s v="DE20538150"/>
    <s v="Changes were saved for change request 25526501"/>
    <b v="1"/>
    <x v="0"/>
    <x v="3"/>
    <d v="2025-07-03T10:53:06"/>
    <m/>
    <m/>
    <x v="1"/>
    <n v="121"/>
    <s v="Manuel Walther"/>
    <m/>
  </r>
  <r>
    <x v="276"/>
    <x v="0"/>
    <x v="2"/>
    <s v="CLFF_1000$$$DE20538152"/>
    <s v="G000000513"/>
    <s v="G000000513"/>
    <s v="LFF (MDG-F)"/>
    <s v="DE20538152"/>
    <s v="Changes were saved for change request 25526501"/>
    <b v="1"/>
    <x v="0"/>
    <x v="3"/>
    <d v="2025-07-03T10:53:06"/>
    <m/>
    <m/>
    <x v="1"/>
    <n v="121"/>
    <s v="Manuel Walther"/>
    <m/>
  </r>
  <r>
    <x v="276"/>
    <x v="0"/>
    <x v="2"/>
    <s v="CLFF_1000$$$DE20538157"/>
    <s v="G000000513"/>
    <s v="G000000513"/>
    <s v="LFF (MDG-F)"/>
    <s v="DE20538157"/>
    <s v="Changes were saved for change request 25526501"/>
    <b v="1"/>
    <x v="0"/>
    <x v="3"/>
    <d v="2025-07-03T10:53:06"/>
    <m/>
    <m/>
    <x v="1"/>
    <n v="121"/>
    <s v="Manuel Walther"/>
    <m/>
  </r>
  <r>
    <x v="276"/>
    <x v="0"/>
    <x v="2"/>
    <s v="CLFF_1000$$$DE20538158"/>
    <s v="G000000513"/>
    <s v="G000000513"/>
    <s v="LFF (MDG-F)"/>
    <s v="DE20538158"/>
    <s v="Changes were saved for change request 25526501"/>
    <b v="1"/>
    <x v="0"/>
    <x v="3"/>
    <d v="2025-07-03T10:53:06"/>
    <m/>
    <m/>
    <x v="1"/>
    <n v="121"/>
    <s v="Manuel Walther"/>
    <m/>
  </r>
  <r>
    <x v="276"/>
    <x v="0"/>
    <x v="2"/>
    <s v="CLFF_1000$$$DE20538159"/>
    <s v="G000000513"/>
    <s v="G000000513"/>
    <s v="LFF (MDG-F)"/>
    <s v="DE20538159"/>
    <s v="Changes were saved for change request 25526501"/>
    <b v="1"/>
    <x v="0"/>
    <x v="3"/>
    <d v="2025-07-03T10:53:06"/>
    <m/>
    <m/>
    <x v="1"/>
    <n v="121"/>
    <s v="Manuel Walther"/>
    <m/>
  </r>
  <r>
    <x v="276"/>
    <x v="0"/>
    <x v="2"/>
    <s v="CLFF_1000$$$DE20538179"/>
    <s v="G000000513"/>
    <s v="G000000513"/>
    <s v="LFF (MDG-F)"/>
    <s v="DE20538179"/>
    <s v="Changes were saved for change request 25526501"/>
    <b v="1"/>
    <x v="0"/>
    <x v="3"/>
    <d v="2025-07-03T10:53:06"/>
    <m/>
    <m/>
    <x v="1"/>
    <n v="121"/>
    <s v="Manuel Walther"/>
    <m/>
  </r>
  <r>
    <x v="276"/>
    <x v="0"/>
    <x v="2"/>
    <s v="CLFF_1000$$$DE20538180"/>
    <s v="G000000468"/>
    <s v="G000000468"/>
    <s v="LFF (MDG-F)"/>
    <s v="DE20538180"/>
    <s v="Changes were saved for change request 25526501"/>
    <b v="1"/>
    <x v="0"/>
    <x v="3"/>
    <d v="2025-07-03T10:53:06"/>
    <m/>
    <m/>
    <x v="1"/>
    <n v="121"/>
    <s v="Manuel Walther"/>
    <m/>
  </r>
  <r>
    <x v="276"/>
    <x v="0"/>
    <x v="2"/>
    <s v="CLFF_1000$$$DE20538181"/>
    <s v="G000000513"/>
    <s v="G000000513"/>
    <s v="LFF (MDG-F)"/>
    <s v="DE20538181"/>
    <s v="Changes were saved for change request 25526501"/>
    <b v="1"/>
    <x v="0"/>
    <x v="3"/>
    <d v="2025-07-03T10:53:06"/>
    <m/>
    <m/>
    <x v="1"/>
    <n v="121"/>
    <s v="Manuel Walther"/>
    <m/>
  </r>
  <r>
    <x v="276"/>
    <x v="0"/>
    <x v="2"/>
    <s v="CLFF_1000$$$DE20538182"/>
    <s v="G000000513"/>
    <s v="G000000513"/>
    <s v="LFF (MDG-F)"/>
    <s v="DE20538182"/>
    <s v="Changes were saved for change request 25526501"/>
    <b v="1"/>
    <x v="0"/>
    <x v="3"/>
    <d v="2025-07-03T10:53:06"/>
    <m/>
    <m/>
    <x v="1"/>
    <n v="121"/>
    <s v="Manuel Walther"/>
    <m/>
  </r>
  <r>
    <x v="276"/>
    <x v="0"/>
    <x v="2"/>
    <s v="CLFF_1000$$$DE20538183"/>
    <s v="G000000513"/>
    <s v="G000000513"/>
    <s v="LFF (MDG-F)"/>
    <s v="DE20538183"/>
    <s v="Changes were saved for change request 25526501"/>
    <b v="1"/>
    <x v="0"/>
    <x v="3"/>
    <d v="2025-07-03T10:53:06"/>
    <m/>
    <m/>
    <x v="1"/>
    <n v="121"/>
    <s v="Manuel Walther"/>
    <m/>
  </r>
  <r>
    <x v="276"/>
    <x v="0"/>
    <x v="2"/>
    <s v="CLFF_1000$$$DE20538187"/>
    <s v="G000000468"/>
    <s v="G000000468"/>
    <s v="LFF (MDG-F)"/>
    <s v="DE20538187"/>
    <s v="Changes were saved for change request 25526501"/>
    <b v="1"/>
    <x v="0"/>
    <x v="3"/>
    <d v="2025-07-03T10:53:06"/>
    <m/>
    <m/>
    <x v="1"/>
    <n v="121"/>
    <s v="Manuel Walther"/>
    <m/>
  </r>
  <r>
    <x v="276"/>
    <x v="0"/>
    <x v="2"/>
    <s v="CLFF_1000$$$DE20538188"/>
    <s v="G000000513"/>
    <s v="G000000513"/>
    <s v="LFF (MDG-F)"/>
    <s v="DE20538188"/>
    <s v="Changes were saved for change request 25526501"/>
    <b v="1"/>
    <x v="0"/>
    <x v="3"/>
    <d v="2025-07-03T10:53:06"/>
    <m/>
    <m/>
    <x v="1"/>
    <n v="121"/>
    <s v="Manuel Walther"/>
    <m/>
  </r>
  <r>
    <x v="276"/>
    <x v="0"/>
    <x v="2"/>
    <s v="CLFF_1000$$$DE20538189"/>
    <s v="G000000513"/>
    <s v="G000000513"/>
    <s v="LFF (MDG-F)"/>
    <s v="DE20538189"/>
    <s v="Changes were saved for change request 25526501"/>
    <b v="1"/>
    <x v="0"/>
    <x v="3"/>
    <d v="2025-07-03T10:53:06"/>
    <m/>
    <m/>
    <x v="1"/>
    <n v="121"/>
    <s v="Manuel Walther"/>
    <m/>
  </r>
  <r>
    <x v="276"/>
    <x v="0"/>
    <x v="2"/>
    <s v="CLFF_1000$$$DE20538196"/>
    <s v="G000000513"/>
    <s v="G000000513"/>
    <s v="LFF (MDG-F)"/>
    <s v="DE20538196"/>
    <s v="Changes were saved for change request 25526501"/>
    <b v="1"/>
    <x v="0"/>
    <x v="3"/>
    <d v="2025-07-03T10:53:06"/>
    <m/>
    <m/>
    <x v="1"/>
    <n v="121"/>
    <s v="Manuel Walther"/>
    <m/>
  </r>
  <r>
    <x v="276"/>
    <x v="0"/>
    <x v="2"/>
    <s v="CLFF_1000$$$DE20538236"/>
    <s v="G000000446"/>
    <s v="G000000446"/>
    <s v="LFF (MDG-F)"/>
    <s v="DE20538236"/>
    <s v="Changes were saved for change request 25526501"/>
    <b v="1"/>
    <x v="0"/>
    <x v="3"/>
    <d v="2025-07-03T10:53:06"/>
    <m/>
    <m/>
    <x v="1"/>
    <n v="121"/>
    <s v="Manuel Walther"/>
    <m/>
  </r>
  <r>
    <x v="276"/>
    <x v="0"/>
    <x v="2"/>
    <s v="CLFF_1000$$$DE20538470"/>
    <s v="G000000513"/>
    <s v="G000000513"/>
    <s v="LFF (MDG-F)"/>
    <s v="DE20538470"/>
    <s v="Changes were saved for change request 25526501"/>
    <b v="1"/>
    <x v="0"/>
    <x v="3"/>
    <d v="2025-07-03T10:53:06"/>
    <m/>
    <m/>
    <x v="1"/>
    <n v="121"/>
    <s v="Manuel Walther"/>
    <m/>
  </r>
  <r>
    <x v="276"/>
    <x v="0"/>
    <x v="2"/>
    <s v="CLFF_1000$$$DE20538472"/>
    <s v="G000000468"/>
    <s v="G000000468"/>
    <s v="LFF (MDG-F)"/>
    <s v="DE20538472"/>
    <s v="Changes were saved for change request 25526501"/>
    <b v="1"/>
    <x v="0"/>
    <x v="3"/>
    <d v="2025-07-03T10:53:06"/>
    <m/>
    <m/>
    <x v="1"/>
    <n v="121"/>
    <s v="Manuel Walther"/>
    <m/>
  </r>
  <r>
    <x v="276"/>
    <x v="0"/>
    <x v="2"/>
    <s v="CLFF_1000$$$DE20538473"/>
    <s v="G000000468"/>
    <s v="G000000468"/>
    <s v="LFF (MDG-F)"/>
    <s v="DE20538473"/>
    <s v="Changes were saved for change request 25526501"/>
    <b v="1"/>
    <x v="0"/>
    <x v="3"/>
    <d v="2025-07-03T10:53:06"/>
    <m/>
    <m/>
    <x v="1"/>
    <n v="121"/>
    <s v="Manuel Walther"/>
    <m/>
  </r>
  <r>
    <x v="276"/>
    <x v="0"/>
    <x v="2"/>
    <s v="CLFF_1000$$$DE20538762"/>
    <s v="G000000513"/>
    <s v="G000000513"/>
    <s v="LFF (MDG-F)"/>
    <s v="DE20538762"/>
    <s v="Changes were saved for change request 25526501"/>
    <b v="1"/>
    <x v="0"/>
    <x v="3"/>
    <d v="2025-07-03T10:53:06"/>
    <m/>
    <m/>
    <x v="1"/>
    <n v="121"/>
    <s v="Manuel Walther"/>
    <m/>
  </r>
  <r>
    <x v="276"/>
    <x v="0"/>
    <x v="2"/>
    <s v="CLFF_1000$$$DE20538961"/>
    <s v="G000000513"/>
    <s v="G000000513"/>
    <s v="LFF (MDG-F)"/>
    <s v="DE20538961"/>
    <s v="Changes were saved for change request 25526501"/>
    <b v="1"/>
    <x v="0"/>
    <x v="3"/>
    <d v="2025-07-03T10:53:06"/>
    <m/>
    <m/>
    <x v="1"/>
    <n v="121"/>
    <s v="Manuel Walther"/>
    <m/>
  </r>
  <r>
    <x v="276"/>
    <x v="0"/>
    <x v="2"/>
    <s v="CLFF_1000$$$DE20538962"/>
    <s v="G000000513"/>
    <s v="G000000513"/>
    <s v="LFF (MDG-F)"/>
    <s v="DE20538962"/>
    <s v="Changes were saved for change request 25526501"/>
    <b v="1"/>
    <x v="0"/>
    <x v="3"/>
    <d v="2025-07-03T10:53:06"/>
    <m/>
    <m/>
    <x v="1"/>
    <n v="121"/>
    <s v="Manuel Walther"/>
    <m/>
  </r>
  <r>
    <x v="276"/>
    <x v="0"/>
    <x v="2"/>
    <s v="CLFF_1000$$$DE20538963"/>
    <s v="G000000446"/>
    <s v="G000000446"/>
    <s v="LFF (MDG-F)"/>
    <s v="DE20538963"/>
    <s v="Changes were saved for change request 25526501"/>
    <b v="1"/>
    <x v="0"/>
    <x v="3"/>
    <d v="2025-07-03T10:53:06"/>
    <m/>
    <m/>
    <x v="1"/>
    <n v="121"/>
    <s v="Manuel Walther"/>
    <m/>
  </r>
  <r>
    <x v="276"/>
    <x v="0"/>
    <x v="2"/>
    <s v="CLFF_1000$$$DE20538964"/>
    <s v="G000000446"/>
    <s v="G000000446"/>
    <s v="LFF (MDG-F)"/>
    <s v="DE20538964"/>
    <s v="Changes were saved for change request 25526501"/>
    <b v="1"/>
    <x v="0"/>
    <x v="3"/>
    <d v="2025-07-03T10:53:06"/>
    <m/>
    <m/>
    <x v="1"/>
    <n v="121"/>
    <s v="Manuel Walther"/>
    <m/>
  </r>
  <r>
    <x v="276"/>
    <x v="0"/>
    <x v="2"/>
    <s v="CLFF_1000$$$DE20538965"/>
    <s v="G000000446"/>
    <s v="G000000446"/>
    <s v="LFF (MDG-F)"/>
    <s v="DE20538965"/>
    <s v="Changes were saved for change request 25526501"/>
    <b v="1"/>
    <x v="0"/>
    <x v="3"/>
    <d v="2025-07-03T10:53:06"/>
    <m/>
    <m/>
    <x v="1"/>
    <n v="121"/>
    <s v="Manuel Walther"/>
    <m/>
  </r>
  <r>
    <x v="276"/>
    <x v="0"/>
    <x v="2"/>
    <s v="CLFF_1000$$$DE20538966"/>
    <s v="G000000446"/>
    <s v="G000000446"/>
    <s v="LFF (MDG-F)"/>
    <s v="DE20538966"/>
    <s v="Changes were saved for change request 25526501"/>
    <b v="1"/>
    <x v="0"/>
    <x v="3"/>
    <d v="2025-07-03T10:53:06"/>
    <m/>
    <m/>
    <x v="1"/>
    <n v="121"/>
    <s v="Manuel Walther"/>
    <m/>
  </r>
  <r>
    <x v="276"/>
    <x v="0"/>
    <x v="2"/>
    <s v="CLFF_1000$$$DE20538967"/>
    <s v="G000000446"/>
    <s v="G000000446"/>
    <s v="LFF (MDG-F)"/>
    <s v="DE20538967"/>
    <s v="Changes were saved for change request 25526501"/>
    <b v="1"/>
    <x v="0"/>
    <x v="3"/>
    <d v="2025-07-03T10:53:06"/>
    <m/>
    <m/>
    <x v="1"/>
    <n v="121"/>
    <s v="Manuel Walther"/>
    <m/>
  </r>
  <r>
    <x v="276"/>
    <x v="0"/>
    <x v="2"/>
    <s v="CLFF_1000$$$DE20538968"/>
    <s v="G000000446"/>
    <s v="G000000446"/>
    <s v="LFF (MDG-F)"/>
    <s v="DE20538968"/>
    <s v="Changes were saved for change request 25526501"/>
    <b v="1"/>
    <x v="0"/>
    <x v="3"/>
    <d v="2025-07-03T10:53:06"/>
    <m/>
    <m/>
    <x v="1"/>
    <n v="121"/>
    <s v="Manuel Walther"/>
    <m/>
  </r>
  <r>
    <x v="276"/>
    <x v="0"/>
    <x v="2"/>
    <s v="CLFF_1000$$$DE20538969"/>
    <s v="G000000446"/>
    <s v="G000000446"/>
    <s v="LFF (MDG-F)"/>
    <s v="DE20538969"/>
    <s v="Changes were saved for change request 25526501"/>
    <b v="1"/>
    <x v="0"/>
    <x v="3"/>
    <d v="2025-07-03T10:53:06"/>
    <m/>
    <m/>
    <x v="1"/>
    <n v="121"/>
    <s v="Manuel Walther"/>
    <m/>
  </r>
  <r>
    <x v="276"/>
    <x v="0"/>
    <x v="2"/>
    <s v="CLFF_1000$$$DE20538970"/>
    <s v="G000000446"/>
    <s v="G000000446"/>
    <s v="LFF (MDG-F)"/>
    <s v="DE20538970"/>
    <s v="Changes were saved for change request 25526501"/>
    <b v="1"/>
    <x v="0"/>
    <x v="3"/>
    <d v="2025-07-03T10:53:06"/>
    <m/>
    <m/>
    <x v="1"/>
    <n v="121"/>
    <s v="Manuel Walther"/>
    <m/>
  </r>
  <r>
    <x v="276"/>
    <x v="0"/>
    <x v="2"/>
    <s v="CLFF_1000$$$DE20538971"/>
    <s v="G000000446"/>
    <s v="G000000446"/>
    <s v="LFF (MDG-F)"/>
    <s v="DE20538971"/>
    <s v="Changes were saved for change request 25526501"/>
    <b v="1"/>
    <x v="0"/>
    <x v="3"/>
    <d v="2025-07-03T10:53:06"/>
    <m/>
    <m/>
    <x v="1"/>
    <n v="121"/>
    <s v="Manuel Walther"/>
    <m/>
  </r>
  <r>
    <x v="276"/>
    <x v="0"/>
    <x v="2"/>
    <s v="CLFF_1000$$$DE20538972"/>
    <s v="G000000446"/>
    <s v="G000000446"/>
    <s v="LFF (MDG-F)"/>
    <s v="DE20538972"/>
    <s v="Changes were saved for change request 25526501"/>
    <b v="1"/>
    <x v="0"/>
    <x v="3"/>
    <d v="2025-07-03T10:53:06"/>
    <m/>
    <m/>
    <x v="1"/>
    <n v="121"/>
    <s v="Manuel Walther"/>
    <m/>
  </r>
  <r>
    <x v="276"/>
    <x v="0"/>
    <x v="2"/>
    <s v="CLFF_1000$$$DE20538973"/>
    <s v="G000000446"/>
    <s v="G000000446"/>
    <s v="LFF (MDG-F)"/>
    <s v="DE20538973"/>
    <s v="Changes were saved for change request 25526501"/>
    <b v="1"/>
    <x v="0"/>
    <x v="3"/>
    <d v="2025-07-03T10:53:06"/>
    <m/>
    <m/>
    <x v="1"/>
    <n v="121"/>
    <s v="Manuel Walther"/>
    <m/>
  </r>
  <r>
    <x v="276"/>
    <x v="0"/>
    <x v="2"/>
    <s v="CLFF_1000$$$DE20538974"/>
    <s v="G000000446"/>
    <s v="G000000446"/>
    <s v="LFF (MDG-F)"/>
    <s v="DE20538974"/>
    <s v="Changes were saved for change request 25526501"/>
    <b v="1"/>
    <x v="0"/>
    <x v="3"/>
    <d v="2025-07-03T10:53:06"/>
    <m/>
    <m/>
    <x v="1"/>
    <n v="121"/>
    <s v="Manuel Walther"/>
    <m/>
  </r>
  <r>
    <x v="276"/>
    <x v="0"/>
    <x v="2"/>
    <s v="CLFF_1000$$$DE20538975"/>
    <s v="G000000446"/>
    <s v="G000000446"/>
    <s v="LFF (MDG-F)"/>
    <s v="DE20538975"/>
    <s v="Changes were saved for change request 25526501"/>
    <b v="1"/>
    <x v="0"/>
    <x v="3"/>
    <d v="2025-07-03T10:53:06"/>
    <m/>
    <m/>
    <x v="1"/>
    <n v="121"/>
    <s v="Manuel Walther"/>
    <m/>
  </r>
  <r>
    <x v="276"/>
    <x v="0"/>
    <x v="2"/>
    <s v="CLFF_1000$$$DE20538977"/>
    <s v="G000000446"/>
    <s v="G000000446"/>
    <s v="LFF (MDG-F)"/>
    <s v="DE20538977"/>
    <s v="Changes were saved for change request 25526501"/>
    <b v="1"/>
    <x v="0"/>
    <x v="3"/>
    <d v="2025-07-03T10:53:06"/>
    <m/>
    <m/>
    <x v="1"/>
    <n v="121"/>
    <s v="Manuel Walther"/>
    <m/>
  </r>
  <r>
    <x v="276"/>
    <x v="0"/>
    <x v="2"/>
    <s v="CLFF_1000$$$DE20538979"/>
    <s v="G000000513"/>
    <s v="G000000513"/>
    <s v="LFF (MDG-F)"/>
    <s v="DE20538979"/>
    <s v="Changes were saved for change request 25526501"/>
    <b v="1"/>
    <x v="0"/>
    <x v="3"/>
    <d v="2025-07-03T10:53:06"/>
    <m/>
    <m/>
    <x v="1"/>
    <n v="121"/>
    <s v="Manuel Walther"/>
    <m/>
  </r>
  <r>
    <x v="276"/>
    <x v="0"/>
    <x v="2"/>
    <s v="CLFF_1000$$$DE20538980"/>
    <s v="G000000513"/>
    <s v="G000000513"/>
    <s v="LFF (MDG-F)"/>
    <s v="DE20538980"/>
    <s v="Changes were saved for change request 25526501"/>
    <b v="1"/>
    <x v="0"/>
    <x v="3"/>
    <d v="2025-07-03T10:53:06"/>
    <m/>
    <m/>
    <x v="1"/>
    <n v="121"/>
    <s v="Manuel Walther"/>
    <m/>
  </r>
  <r>
    <x v="276"/>
    <x v="0"/>
    <x v="2"/>
    <s v="CLFF_1000$$$DE20538982"/>
    <s v="G000000513"/>
    <s v="G000000513"/>
    <s v="LFF (MDG-F)"/>
    <s v="DE20538982"/>
    <s v="Changes were saved for change request 25526501"/>
    <b v="1"/>
    <x v="0"/>
    <x v="3"/>
    <d v="2025-07-03T10:53:06"/>
    <m/>
    <m/>
    <x v="1"/>
    <n v="121"/>
    <s v="Manuel Walther"/>
    <m/>
  </r>
  <r>
    <x v="276"/>
    <x v="0"/>
    <x v="2"/>
    <s v="CLFF_1000$$$DE20538984"/>
    <s v="G000000446"/>
    <s v="G000000446"/>
    <s v="LFF (MDG-F)"/>
    <s v="DE20538984"/>
    <s v="Changes were saved for change request 25526501"/>
    <b v="1"/>
    <x v="0"/>
    <x v="3"/>
    <d v="2025-07-03T10:53:06"/>
    <m/>
    <m/>
    <x v="1"/>
    <n v="121"/>
    <s v="Manuel Walther"/>
    <m/>
  </r>
  <r>
    <x v="276"/>
    <x v="0"/>
    <x v="2"/>
    <s v="CLFF_1000$$$DE20538985"/>
    <s v="G000000446"/>
    <s v="G000000446"/>
    <s v="LFF (MDG-F)"/>
    <s v="DE20538985"/>
    <s v="Changes were saved for change request 25526501"/>
    <b v="1"/>
    <x v="0"/>
    <x v="3"/>
    <d v="2025-07-03T10:53:06"/>
    <m/>
    <m/>
    <x v="1"/>
    <n v="121"/>
    <s v="Manuel Walther"/>
    <m/>
  </r>
  <r>
    <x v="276"/>
    <x v="0"/>
    <x v="2"/>
    <s v="CLFF_1000$$$DE20538994"/>
    <s v="G000000446"/>
    <s v="G000000446"/>
    <s v="LFF (MDG-F)"/>
    <s v="DE20538994"/>
    <s v="Changes were saved for change request 25526501"/>
    <b v="1"/>
    <x v="0"/>
    <x v="3"/>
    <d v="2025-07-03T10:53:06"/>
    <m/>
    <m/>
    <x v="1"/>
    <n v="121"/>
    <s v="Manuel Walther"/>
    <m/>
  </r>
  <r>
    <x v="276"/>
    <x v="0"/>
    <x v="2"/>
    <s v="CLFF_1000$$$DE20539930"/>
    <s v="G000000446"/>
    <s v="G000000446"/>
    <s v="LFF (MDG-F)"/>
    <s v="DE20539930"/>
    <s v="Changes were saved for change request 25526501"/>
    <b v="1"/>
    <x v="0"/>
    <x v="3"/>
    <d v="2025-07-03T10:53:06"/>
    <m/>
    <m/>
    <x v="1"/>
    <n v="121"/>
    <s v="Manuel Walther"/>
    <m/>
  </r>
  <r>
    <x v="276"/>
    <x v="0"/>
    <x v="2"/>
    <s v="CLFF_1000$$$DE20539931"/>
    <s v="G000000446"/>
    <s v="G000000446"/>
    <s v="LFF (MDG-F)"/>
    <s v="DE20539931"/>
    <s v="Changes were saved for change request 25526501"/>
    <b v="1"/>
    <x v="0"/>
    <x v="3"/>
    <d v="2025-07-03T10:53:06"/>
    <m/>
    <m/>
    <x v="1"/>
    <n v="121"/>
    <s v="Manuel Walther"/>
    <m/>
  </r>
  <r>
    <x v="276"/>
    <x v="0"/>
    <x v="2"/>
    <s v="CLFF_1000$$$DE20539932"/>
    <s v="G000000446"/>
    <s v="G000000446"/>
    <s v="LFF (MDG-F)"/>
    <s v="DE20539932"/>
    <s v="Changes were saved for change request 25526501"/>
    <b v="1"/>
    <x v="0"/>
    <x v="3"/>
    <d v="2025-07-03T10:53:06"/>
    <m/>
    <m/>
    <x v="1"/>
    <n v="121"/>
    <s v="Manuel Walther"/>
    <m/>
  </r>
  <r>
    <x v="276"/>
    <x v="0"/>
    <x v="2"/>
    <s v="CLFF_1000$$$DE20539934"/>
    <s v="G000000446"/>
    <s v="G000000446"/>
    <s v="LFF (MDG-F)"/>
    <s v="DE20539934"/>
    <s v="Changes were saved for change request 25526501"/>
    <b v="1"/>
    <x v="0"/>
    <x v="3"/>
    <d v="2025-07-03T10:53:06"/>
    <m/>
    <m/>
    <x v="1"/>
    <n v="121"/>
    <s v="Manuel Walther"/>
    <m/>
  </r>
  <r>
    <x v="276"/>
    <x v="0"/>
    <x v="2"/>
    <s v="CLFF_1000$$$DE20539935"/>
    <s v="G000000446"/>
    <s v="G000000446"/>
    <s v="LFF (MDG-F)"/>
    <s v="DE20539935"/>
    <s v="Changes were saved for change request 25526501"/>
    <b v="1"/>
    <x v="0"/>
    <x v="3"/>
    <d v="2025-07-03T10:53:06"/>
    <m/>
    <m/>
    <x v="1"/>
    <n v="121"/>
    <s v="Manuel Walther"/>
    <m/>
  </r>
  <r>
    <x v="276"/>
    <x v="0"/>
    <x v="2"/>
    <s v="CLFF_1000$$$DE20539936"/>
    <s v="G000000446"/>
    <s v="G000000446"/>
    <s v="LFF (MDG-F)"/>
    <s v="DE20539936"/>
    <s v="Changes were saved for change request 25526501"/>
    <b v="1"/>
    <x v="0"/>
    <x v="3"/>
    <d v="2025-07-03T10:53:06"/>
    <m/>
    <m/>
    <x v="1"/>
    <n v="121"/>
    <s v="Manuel Walther"/>
    <m/>
  </r>
  <r>
    <x v="276"/>
    <x v="0"/>
    <x v="2"/>
    <s v="CLFF_1000$$$DE20539937"/>
    <s v="G000000446"/>
    <s v="G000000446"/>
    <s v="LFF (MDG-F)"/>
    <s v="DE20539937"/>
    <s v="Changes were saved for change request 25526501"/>
    <b v="1"/>
    <x v="0"/>
    <x v="3"/>
    <d v="2025-07-03T10:53:06"/>
    <m/>
    <m/>
    <x v="1"/>
    <n v="121"/>
    <s v="Manuel Walther"/>
    <m/>
  </r>
  <r>
    <x v="276"/>
    <x v="0"/>
    <x v="2"/>
    <s v="CLFF_1000$$$DE20539938"/>
    <s v="G000000446"/>
    <s v="G000000446"/>
    <s v="LFF (MDG-F)"/>
    <s v="DE20539938"/>
    <s v="Changes were saved for change request 25526501"/>
    <b v="1"/>
    <x v="0"/>
    <x v="3"/>
    <d v="2025-07-03T10:53:06"/>
    <m/>
    <m/>
    <x v="1"/>
    <n v="121"/>
    <s v="Manuel Walther"/>
    <m/>
  </r>
  <r>
    <x v="276"/>
    <x v="0"/>
    <x v="2"/>
    <s v="CLFF_1000$$$DE20539939"/>
    <s v="G000000446"/>
    <s v="G000000446"/>
    <s v="LFF (MDG-F)"/>
    <s v="DE20539939"/>
    <s v="Changes were saved for change request 25526501"/>
    <b v="1"/>
    <x v="0"/>
    <x v="3"/>
    <d v="2025-07-03T10:53:06"/>
    <m/>
    <m/>
    <x v="1"/>
    <n v="121"/>
    <s v="Manuel Walther"/>
    <m/>
  </r>
  <r>
    <x v="276"/>
    <x v="0"/>
    <x v="2"/>
    <s v="CLFF_1000$$$DE20539940"/>
    <s v="G000000446"/>
    <s v="G000000446"/>
    <s v="LFF (MDG-F)"/>
    <s v="DE20539940"/>
    <s v="Changes were saved for change request 25526501"/>
    <b v="1"/>
    <x v="0"/>
    <x v="3"/>
    <d v="2025-07-03T10:53:06"/>
    <m/>
    <m/>
    <x v="1"/>
    <n v="121"/>
    <s v="Manuel Walther"/>
    <m/>
  </r>
  <r>
    <x v="276"/>
    <x v="0"/>
    <x v="2"/>
    <s v="CLFF_1000$$$DE20539941"/>
    <s v="G000000446"/>
    <s v="G000000446"/>
    <s v="LFF (MDG-F)"/>
    <s v="DE20539941"/>
    <s v="Changes were saved for change request 25526501"/>
    <b v="1"/>
    <x v="0"/>
    <x v="3"/>
    <d v="2025-07-03T10:53:06"/>
    <m/>
    <m/>
    <x v="1"/>
    <n v="121"/>
    <s v="Manuel Walther"/>
    <m/>
  </r>
  <r>
    <x v="276"/>
    <x v="0"/>
    <x v="2"/>
    <s v="CLFF_1000$$$DE20539942"/>
    <s v="G000000446"/>
    <s v="G000000446"/>
    <s v="LFF (MDG-F)"/>
    <s v="DE20539942"/>
    <s v="Changes were saved for change request 25526501"/>
    <b v="1"/>
    <x v="0"/>
    <x v="3"/>
    <d v="2025-07-03T10:53:06"/>
    <m/>
    <m/>
    <x v="1"/>
    <n v="121"/>
    <s v="Manuel Walther"/>
    <m/>
  </r>
  <r>
    <x v="276"/>
    <x v="0"/>
    <x v="2"/>
    <s v="CLFF_1000$$$DE20539943"/>
    <s v="G000000446"/>
    <s v="G000000446"/>
    <s v="LFF (MDG-F)"/>
    <s v="DE20539943"/>
    <s v="Changes were saved for change request 25526501"/>
    <b v="1"/>
    <x v="0"/>
    <x v="3"/>
    <d v="2025-07-03T10:53:06"/>
    <m/>
    <m/>
    <x v="1"/>
    <n v="121"/>
    <s v="Manuel Walther"/>
    <m/>
  </r>
  <r>
    <x v="276"/>
    <x v="0"/>
    <x v="2"/>
    <s v="CLFF_1000$$$DE20539944"/>
    <s v="G000000446"/>
    <s v="G000000446"/>
    <s v="LFF (MDG-F)"/>
    <s v="DE20539944"/>
    <s v="Changes were saved for change request 25526501"/>
    <b v="1"/>
    <x v="0"/>
    <x v="3"/>
    <d v="2025-07-03T10:53:06"/>
    <m/>
    <m/>
    <x v="1"/>
    <n v="121"/>
    <s v="Manuel Walther"/>
    <m/>
  </r>
  <r>
    <x v="276"/>
    <x v="0"/>
    <x v="2"/>
    <s v="CLFF_1000$$$DE20539995"/>
    <s v="G000000446"/>
    <s v="G000000446"/>
    <s v="LFF (MDG-F)"/>
    <s v="DE20539995"/>
    <s v="Changes were saved for change request 25526501"/>
    <b v="1"/>
    <x v="0"/>
    <x v="3"/>
    <d v="2025-07-03T10:53:06"/>
    <m/>
    <m/>
    <x v="1"/>
    <n v="121"/>
    <s v="Manuel Walther"/>
    <m/>
  </r>
  <r>
    <x v="276"/>
    <x v="0"/>
    <x v="2"/>
    <s v="CLFF_1000$$$DE20538103"/>
    <s v="G000000417"/>
    <s v="G000000417"/>
    <s v="LFF (MDG-F)"/>
    <s v="DE20538103"/>
    <s v="Changes were saved for change request 25526501"/>
    <b v="1"/>
    <x v="0"/>
    <x v="3"/>
    <d v="2025-07-03T10:53:06"/>
    <m/>
    <m/>
    <x v="1"/>
    <n v="121"/>
    <s v="Manuel Walther"/>
    <m/>
  </r>
  <r>
    <x v="276"/>
    <x v="0"/>
    <x v="2"/>
    <s v="CLFF_1000$$$DE20538108"/>
    <s v="G000000512"/>
    <s v="G000000512"/>
    <s v="LFF (MDG-F)"/>
    <s v="DE20538108"/>
    <s v="Changes were saved for change request 25526501"/>
    <b v="1"/>
    <x v="0"/>
    <x v="3"/>
    <d v="2025-07-03T10:53:06"/>
    <m/>
    <m/>
    <x v="1"/>
    <n v="121"/>
    <s v="Manuel Walther"/>
    <m/>
  </r>
  <r>
    <x v="276"/>
    <x v="0"/>
    <x v="2"/>
    <s v="CLFF_1000$$$DE20538110"/>
    <s v="G000000417"/>
    <s v="G000000417"/>
    <s v="LFF (MDG-F)"/>
    <s v="DE20538110"/>
    <s v="Changes were saved for change request 25526501"/>
    <b v="1"/>
    <x v="0"/>
    <x v="3"/>
    <d v="2025-07-03T10:53:06"/>
    <m/>
    <m/>
    <x v="1"/>
    <n v="121"/>
    <s v="Manuel Walther"/>
    <m/>
  </r>
  <r>
    <x v="276"/>
    <x v="0"/>
    <x v="2"/>
    <s v="CLFF_1000$$$DE20538111"/>
    <s v="G000000511"/>
    <s v="G000000511"/>
    <s v="LFF (MDG-F)"/>
    <s v="DE20538111"/>
    <s v="Changes were saved for change request 25526501"/>
    <b v="1"/>
    <x v="0"/>
    <x v="3"/>
    <d v="2025-07-03T10:53:06"/>
    <m/>
    <m/>
    <x v="1"/>
    <n v="121"/>
    <s v="Manuel Walther"/>
    <m/>
  </r>
  <r>
    <x v="276"/>
    <x v="0"/>
    <x v="2"/>
    <s v="CLFF_1000$$$DE20538112"/>
    <s v="G000000417"/>
    <s v="G000000417"/>
    <s v="LFF (MDG-F)"/>
    <s v="DE20538112"/>
    <s v="Changes were saved for change request 25526501"/>
    <b v="1"/>
    <x v="0"/>
    <x v="3"/>
    <d v="2025-07-03T10:53:06"/>
    <m/>
    <m/>
    <x v="1"/>
    <n v="121"/>
    <s v="Manuel Walther"/>
    <m/>
  </r>
  <r>
    <x v="276"/>
    <x v="0"/>
    <x v="2"/>
    <s v="CLFF_1000$$$DE20538113"/>
    <s v="G000000417"/>
    <s v="G000000417"/>
    <s v="LFF (MDG-F)"/>
    <s v="DE20538113"/>
    <s v="Changes were saved for change request 25526501"/>
    <b v="1"/>
    <x v="0"/>
    <x v="3"/>
    <d v="2025-07-03T10:53:06"/>
    <m/>
    <m/>
    <x v="1"/>
    <n v="121"/>
    <s v="Manuel Walther"/>
    <m/>
  </r>
  <r>
    <x v="276"/>
    <x v="0"/>
    <x v="2"/>
    <s v="CLFF_1000$$$DE20538114"/>
    <s v="G000000417"/>
    <s v="G000000417"/>
    <s v="LFF (MDG-F)"/>
    <s v="DE20538114"/>
    <s v="Changes were saved for change request 25526501"/>
    <b v="1"/>
    <x v="0"/>
    <x v="3"/>
    <d v="2025-07-03T10:53:06"/>
    <m/>
    <m/>
    <x v="1"/>
    <n v="121"/>
    <s v="Manuel Walther"/>
    <m/>
  </r>
  <r>
    <x v="276"/>
    <x v="0"/>
    <x v="2"/>
    <s v="CLFF_1000$$$DE20538115"/>
    <s v="G000000511"/>
    <s v="G000000511"/>
    <s v="LFF (MDG-F)"/>
    <s v="DE20538115"/>
    <s v="Changes were saved for change request 25526501"/>
    <b v="1"/>
    <x v="0"/>
    <x v="3"/>
    <d v="2025-07-03T10:53:06"/>
    <m/>
    <m/>
    <x v="1"/>
    <n v="121"/>
    <s v="Manuel Walther"/>
    <m/>
  </r>
  <r>
    <x v="276"/>
    <x v="0"/>
    <x v="2"/>
    <s v="CLFF_1000$$$DE20538117"/>
    <s v="G000000512"/>
    <s v="G000000512"/>
    <s v="LFF (MDG-F)"/>
    <s v="DE20538117"/>
    <s v="Changes were saved for change request 25526501"/>
    <b v="1"/>
    <x v="0"/>
    <x v="3"/>
    <d v="2025-07-03T10:53:06"/>
    <m/>
    <m/>
    <x v="1"/>
    <n v="121"/>
    <s v="Manuel Walther"/>
    <m/>
  </r>
  <r>
    <x v="276"/>
    <x v="0"/>
    <x v="2"/>
    <s v="CLFF_1000$$$DE20538119"/>
    <s v="G000000417"/>
    <s v="G000000417"/>
    <s v="LFF (MDG-F)"/>
    <s v="DE20538119"/>
    <s v="Changes were saved for change request 25526501"/>
    <b v="1"/>
    <x v="0"/>
    <x v="3"/>
    <d v="2025-07-03T10:53:06"/>
    <m/>
    <m/>
    <x v="1"/>
    <n v="121"/>
    <s v="Manuel Walther"/>
    <m/>
  </r>
  <r>
    <x v="276"/>
    <x v="0"/>
    <x v="2"/>
    <s v="CLFF_1000$$$DE20538120"/>
    <s v="G000000417"/>
    <s v="G000000417"/>
    <s v="LFF (MDG-F)"/>
    <s v="DE20538120"/>
    <s v="Changes were saved for change request 25526501"/>
    <b v="1"/>
    <x v="0"/>
    <x v="3"/>
    <d v="2025-07-03T10:53:06"/>
    <m/>
    <m/>
    <x v="1"/>
    <n v="121"/>
    <s v="Manuel Walther"/>
    <m/>
  </r>
  <r>
    <x v="276"/>
    <x v="0"/>
    <x v="2"/>
    <s v="CLFF_1000$$$DE20538121"/>
    <s v="G000000417"/>
    <s v="G000000417"/>
    <s v="LFF (MDG-F)"/>
    <s v="DE20538121"/>
    <s v="Changes were saved for change request 25526501"/>
    <b v="1"/>
    <x v="0"/>
    <x v="3"/>
    <d v="2025-07-03T10:53:06"/>
    <m/>
    <m/>
    <x v="1"/>
    <n v="121"/>
    <s v="Manuel Walther"/>
    <m/>
  </r>
  <r>
    <x v="276"/>
    <x v="0"/>
    <x v="2"/>
    <s v="CLFF_1000$$$DE20538122"/>
    <s v="G000000417"/>
    <s v="G000000417"/>
    <s v="LFF (MDG-F)"/>
    <s v="DE20538122"/>
    <s v="Changes were saved for change request 25526501"/>
    <b v="1"/>
    <x v="0"/>
    <x v="3"/>
    <d v="2025-07-03T10:53:06"/>
    <m/>
    <m/>
    <x v="1"/>
    <n v="121"/>
    <s v="Manuel Walther"/>
    <m/>
  </r>
  <r>
    <x v="276"/>
    <x v="0"/>
    <x v="2"/>
    <s v="CLFF_1000$$$DE20538124"/>
    <s v="G000000417"/>
    <s v="G000000417"/>
    <s v="LFF (MDG-F)"/>
    <s v="DE20538124"/>
    <s v="Changes were saved for change request 25526501"/>
    <b v="1"/>
    <x v="0"/>
    <x v="3"/>
    <d v="2025-07-03T10:53:06"/>
    <m/>
    <m/>
    <x v="1"/>
    <n v="121"/>
    <s v="Manuel Walther"/>
    <m/>
  </r>
  <r>
    <x v="276"/>
    <x v="0"/>
    <x v="2"/>
    <s v="CLFF_1000$$$DE20538129"/>
    <s v="G000000417"/>
    <s v="G000000417"/>
    <s v="LFF (MDG-F)"/>
    <s v="DE20538129"/>
    <s v="Changes were saved for change request 25526501"/>
    <b v="1"/>
    <x v="0"/>
    <x v="3"/>
    <d v="2025-07-03T10:53:06"/>
    <m/>
    <m/>
    <x v="1"/>
    <n v="121"/>
    <s v="Manuel Walther"/>
    <m/>
  </r>
  <r>
    <x v="276"/>
    <x v="0"/>
    <x v="2"/>
    <s v="CLFF_1000$$$DE20538130"/>
    <s v="G000000417"/>
    <s v="G000000417"/>
    <s v="LFF (MDG-F)"/>
    <s v="DE20538130"/>
    <s v="Changes were saved for change request 25526501"/>
    <b v="1"/>
    <x v="0"/>
    <x v="3"/>
    <d v="2025-07-03T10:53:06"/>
    <m/>
    <m/>
    <x v="1"/>
    <n v="121"/>
    <s v="Manuel Walther"/>
    <m/>
  </r>
  <r>
    <x v="276"/>
    <x v="0"/>
    <x v="2"/>
    <s v="CLFF_1000$$$DE20538131"/>
    <s v="G000000417"/>
    <s v="G000000417"/>
    <s v="LFF (MDG-F)"/>
    <s v="DE20538131"/>
    <s v="Changes were saved for change request 25526501"/>
    <b v="1"/>
    <x v="0"/>
    <x v="3"/>
    <d v="2025-07-03T10:53:06"/>
    <m/>
    <m/>
    <x v="1"/>
    <n v="121"/>
    <s v="Manuel Walther"/>
    <m/>
  </r>
  <r>
    <x v="276"/>
    <x v="0"/>
    <x v="2"/>
    <s v="CLFF_1000$$$DE20538133"/>
    <s v="G000000417"/>
    <s v="G000000417"/>
    <s v="LFF (MDG-F)"/>
    <s v="DE20538133"/>
    <s v="Changes were saved for change request 25526501"/>
    <b v="1"/>
    <x v="0"/>
    <x v="3"/>
    <d v="2025-07-03T10:53:06"/>
    <m/>
    <m/>
    <x v="1"/>
    <n v="121"/>
    <s v="Manuel Walther"/>
    <m/>
  </r>
  <r>
    <x v="276"/>
    <x v="0"/>
    <x v="2"/>
    <s v="CLFF_1000$$$DE20538134"/>
    <s v="G000000417"/>
    <s v="G000000417"/>
    <s v="LFF (MDG-F)"/>
    <s v="DE20538134"/>
    <s v="Changes were saved for change request 25526501"/>
    <b v="1"/>
    <x v="0"/>
    <x v="3"/>
    <d v="2025-07-03T10:53:06"/>
    <m/>
    <m/>
    <x v="1"/>
    <n v="121"/>
    <s v="Manuel Walther"/>
    <m/>
  </r>
  <r>
    <x v="276"/>
    <x v="0"/>
    <x v="2"/>
    <s v="CLFF_1000$$$DE20538135"/>
    <s v="G000000417"/>
    <s v="G000000417"/>
    <s v="LFF (MDG-F)"/>
    <s v="DE20538135"/>
    <s v="Changes were saved for change request 25526501"/>
    <b v="1"/>
    <x v="0"/>
    <x v="3"/>
    <d v="2025-07-03T10:53:06"/>
    <m/>
    <m/>
    <x v="1"/>
    <n v="121"/>
    <s v="Manuel Walther"/>
    <m/>
  </r>
  <r>
    <x v="276"/>
    <x v="0"/>
    <x v="2"/>
    <s v="CLFF_1000$$$DE20538138"/>
    <s v="G000000417"/>
    <s v="G000000417"/>
    <s v="LFF (MDG-F)"/>
    <s v="DE20538138"/>
    <s v="Changes were saved for change request 25526501"/>
    <b v="1"/>
    <x v="0"/>
    <x v="3"/>
    <d v="2025-07-03T10:53:06"/>
    <m/>
    <m/>
    <x v="1"/>
    <n v="121"/>
    <s v="Manuel Walther"/>
    <m/>
  </r>
  <r>
    <x v="276"/>
    <x v="0"/>
    <x v="2"/>
    <s v="CLFF_1000$$$DE20538139"/>
    <s v="G000000417"/>
    <s v="G000000417"/>
    <s v="LFF (MDG-F)"/>
    <s v="DE20538139"/>
    <s v="Changes were saved for change request 25526501"/>
    <b v="1"/>
    <x v="0"/>
    <x v="3"/>
    <d v="2025-07-03T10:53:06"/>
    <m/>
    <m/>
    <x v="1"/>
    <n v="121"/>
    <s v="Manuel Walther"/>
    <m/>
  </r>
  <r>
    <x v="276"/>
    <x v="0"/>
    <x v="2"/>
    <s v="CLFF_1000$$$DE20538142"/>
    <s v="G000000417"/>
    <s v="G000000417"/>
    <s v="LFF (MDG-F)"/>
    <s v="DE20538142"/>
    <s v="Changes were saved for change request 25526501"/>
    <b v="1"/>
    <x v="0"/>
    <x v="3"/>
    <d v="2025-07-03T10:53:06"/>
    <m/>
    <m/>
    <x v="1"/>
    <n v="121"/>
    <s v="Manuel Walther"/>
    <m/>
  </r>
  <r>
    <x v="276"/>
    <x v="0"/>
    <x v="2"/>
    <s v="CLFF_1000$$$DE20538144"/>
    <s v="G000000417"/>
    <s v="G000000417"/>
    <s v="LFF (MDG-F)"/>
    <s v="DE20538144"/>
    <s v="Changes were saved for change request 25526501"/>
    <b v="1"/>
    <x v="0"/>
    <x v="3"/>
    <d v="2025-07-03T10:53:06"/>
    <m/>
    <m/>
    <x v="1"/>
    <n v="121"/>
    <s v="Manuel Walther"/>
    <m/>
  </r>
  <r>
    <x v="276"/>
    <x v="0"/>
    <x v="2"/>
    <s v="CLFF_1000$$$DE20538161"/>
    <s v="G000000417"/>
    <s v="G000000417"/>
    <s v="LFF (MDG-F)"/>
    <s v="DE20538161"/>
    <s v="Changes were saved for change request 25526501"/>
    <b v="1"/>
    <x v="0"/>
    <x v="3"/>
    <d v="2025-07-03T10:53:06"/>
    <m/>
    <m/>
    <x v="1"/>
    <n v="121"/>
    <s v="Manuel Walther"/>
    <m/>
  </r>
  <r>
    <x v="276"/>
    <x v="0"/>
    <x v="2"/>
    <s v="CLFF_1000$$$DE20538174"/>
    <s v="G000000512"/>
    <s v="G000000512"/>
    <s v="LFF (MDG-F)"/>
    <s v="DE20538174"/>
    <s v="Changes were saved for change request 25526501"/>
    <b v="1"/>
    <x v="0"/>
    <x v="3"/>
    <d v="2025-07-03T10:53:06"/>
    <m/>
    <m/>
    <x v="1"/>
    <n v="121"/>
    <s v="Manuel Walther"/>
    <m/>
  </r>
  <r>
    <x v="276"/>
    <x v="0"/>
    <x v="2"/>
    <s v="CLFF_1000$$$DE20538178"/>
    <s v="G000000512"/>
    <s v="G000000512"/>
    <s v="LFF (MDG-F)"/>
    <s v="DE20538178"/>
    <s v="Changes were saved for change request 25526501"/>
    <b v="1"/>
    <x v="0"/>
    <x v="3"/>
    <d v="2025-07-03T10:53:06"/>
    <m/>
    <m/>
    <x v="1"/>
    <n v="121"/>
    <s v="Manuel Walther"/>
    <m/>
  </r>
  <r>
    <x v="276"/>
    <x v="0"/>
    <x v="2"/>
    <s v="CLFF_1000$$$DE20538192"/>
    <s v="G000000417"/>
    <s v="G000000417"/>
    <s v="LFF (MDG-F)"/>
    <s v="DE20538192"/>
    <s v="Changes were saved for change request 25526501"/>
    <b v="1"/>
    <x v="0"/>
    <x v="3"/>
    <d v="2025-07-03T10:53:06"/>
    <m/>
    <m/>
    <x v="1"/>
    <n v="121"/>
    <s v="Manuel Walther"/>
    <m/>
  </r>
  <r>
    <x v="276"/>
    <x v="0"/>
    <x v="2"/>
    <s v="CLFF_1000$$$DE20538397"/>
    <s v="G000000512"/>
    <s v="G000000512"/>
    <s v="LFF (MDG-F)"/>
    <s v="DE20538397"/>
    <s v="Changes were saved for change request 25526501"/>
    <b v="1"/>
    <x v="0"/>
    <x v="3"/>
    <d v="2025-07-03T10:53:06"/>
    <m/>
    <m/>
    <x v="1"/>
    <n v="121"/>
    <s v="Manuel Walther"/>
    <m/>
  </r>
  <r>
    <x v="276"/>
    <x v="0"/>
    <x v="2"/>
    <s v="CLFF_1000$$$DE20538556"/>
    <s v="G000000417"/>
    <s v="G000000417"/>
    <s v="LFF (MDG-F)"/>
    <s v="DE20538556"/>
    <s v="Changes were saved for change request 25526501"/>
    <b v="1"/>
    <x v="0"/>
    <x v="3"/>
    <d v="2025-07-03T10:53:06"/>
    <m/>
    <m/>
    <x v="1"/>
    <n v="121"/>
    <s v="Manuel Walther"/>
    <m/>
  </r>
  <r>
    <x v="276"/>
    <x v="0"/>
    <x v="2"/>
    <s v="CLFF_1000$$$DE20538654"/>
    <s v="G000000512"/>
    <s v="G000000512"/>
    <s v="LFF (MDG-F)"/>
    <s v="DE20538654"/>
    <s v="Changes were saved for change request 25526501"/>
    <b v="1"/>
    <x v="0"/>
    <x v="3"/>
    <d v="2025-07-03T10:53:06"/>
    <m/>
    <m/>
    <x v="1"/>
    <n v="121"/>
    <s v="Manuel Walther"/>
    <m/>
  </r>
  <r>
    <x v="276"/>
    <x v="0"/>
    <x v="2"/>
    <s v="CLFF_1000$$$DE20579990"/>
    <s v="G000000417"/>
    <s v="G000000417"/>
    <s v="LFF (MDG-F)"/>
    <s v="DE20579990"/>
    <s v="Changes were saved for change request 25526501"/>
    <b v="1"/>
    <x v="0"/>
    <x v="3"/>
    <d v="2025-07-03T10:53:06"/>
    <m/>
    <m/>
    <x v="1"/>
    <n v="121"/>
    <s v="Manuel Walther"/>
    <m/>
  </r>
  <r>
    <x v="276"/>
    <x v="0"/>
    <x v="2"/>
    <s v="CLFF_1000$$$DE20538107"/>
    <s v="G000000512"/>
    <s v="G000000512"/>
    <s v="LFF (MDG-F)"/>
    <s v="DE20538107"/>
    <s v="Changes were saved for change request 25526501"/>
    <b v="1"/>
    <x v="0"/>
    <x v="3"/>
    <d v="2025-07-03T10:53:06"/>
    <m/>
    <m/>
    <x v="1"/>
    <n v="121"/>
    <s v="Manuel Walther"/>
    <m/>
  </r>
  <r>
    <x v="276"/>
    <x v="0"/>
    <x v="2"/>
    <s v="CLFF_1000$$$DE20538118"/>
    <s v="G000000467"/>
    <s v="G000000467"/>
    <s v="LFF (MDG-F)"/>
    <s v="DE20538118"/>
    <s v="Changes were saved for change request 25526501"/>
    <b v="1"/>
    <x v="0"/>
    <x v="3"/>
    <d v="2025-07-03T10:53:06"/>
    <m/>
    <m/>
    <x v="1"/>
    <n v="121"/>
    <s v="Manuel Walther"/>
    <m/>
  </r>
  <r>
    <x v="276"/>
    <x v="0"/>
    <x v="2"/>
    <s v="CLFF_1000$$$DE20538136"/>
    <s v="G000000512"/>
    <s v="G000000512"/>
    <s v="LFF (MDG-F)"/>
    <s v="DE20538136"/>
    <s v="Changes were saved for change request 25526501"/>
    <b v="1"/>
    <x v="0"/>
    <x v="3"/>
    <d v="2025-07-03T10:53:06"/>
    <m/>
    <m/>
    <x v="1"/>
    <n v="121"/>
    <s v="Manuel Walther"/>
    <m/>
  </r>
  <r>
    <x v="276"/>
    <x v="0"/>
    <x v="2"/>
    <s v="CLFF_1000$$$DE20538137"/>
    <s v="G000000512"/>
    <s v="G000000512"/>
    <s v="LFF (MDG-F)"/>
    <s v="DE20538137"/>
    <s v="Changes were saved for change request 25526501"/>
    <b v="1"/>
    <x v="0"/>
    <x v="3"/>
    <d v="2025-07-03T10:53:06"/>
    <m/>
    <m/>
    <x v="1"/>
    <n v="121"/>
    <s v="Manuel Walther"/>
    <m/>
  </r>
  <r>
    <x v="276"/>
    <x v="0"/>
    <x v="2"/>
    <s v="CLFF_1000$$$DE20538141"/>
    <s v="G000000512"/>
    <s v="G000000512"/>
    <s v="LFF (MDG-F)"/>
    <s v="DE20538141"/>
    <s v="Changes were saved for change request 25526501"/>
    <b v="1"/>
    <x v="0"/>
    <x v="3"/>
    <d v="2025-07-03T10:53:06"/>
    <m/>
    <m/>
    <x v="1"/>
    <n v="121"/>
    <s v="Manuel Walther"/>
    <m/>
  </r>
  <r>
    <x v="276"/>
    <x v="0"/>
    <x v="2"/>
    <s v="CLFF_1000$$$DE20538143"/>
    <s v="G000000512"/>
    <s v="G000000512"/>
    <s v="LFF (MDG-F)"/>
    <s v="DE20538143"/>
    <s v="Changes were saved for change request 25526501"/>
    <b v="1"/>
    <x v="0"/>
    <x v="3"/>
    <d v="2025-07-03T10:53:06"/>
    <m/>
    <m/>
    <x v="1"/>
    <n v="121"/>
    <s v="Manuel Walther"/>
    <m/>
  </r>
  <r>
    <x v="276"/>
    <x v="0"/>
    <x v="2"/>
    <s v="CLFF_1000$$$DE20538147"/>
    <s v="G000000512"/>
    <s v="G000000512"/>
    <s v="LFF (MDG-F)"/>
    <s v="DE20538147"/>
    <s v="Changes were saved for change request 25526501"/>
    <b v="1"/>
    <x v="0"/>
    <x v="3"/>
    <d v="2025-07-03T10:53:06"/>
    <m/>
    <m/>
    <x v="1"/>
    <n v="121"/>
    <s v="Manuel Walther"/>
    <m/>
  </r>
  <r>
    <x v="276"/>
    <x v="0"/>
    <x v="2"/>
    <s v="CLFF_1000$$$DE20538148"/>
    <s v="G000000443"/>
    <s v="G000000443"/>
    <s v="LFF (MDG-F)"/>
    <s v="DE20538148"/>
    <s v="Changes were saved for change request 25526501"/>
    <b v="1"/>
    <x v="0"/>
    <x v="3"/>
    <d v="2025-07-03T10:53:06"/>
    <m/>
    <m/>
    <x v="1"/>
    <n v="121"/>
    <s v="Manuel Walther"/>
    <m/>
  </r>
  <r>
    <x v="276"/>
    <x v="0"/>
    <x v="2"/>
    <s v="CLFF_1000$$$DE20538151"/>
    <s v="G000000512"/>
    <s v="G000000512"/>
    <s v="LFF (MDG-F)"/>
    <s v="DE20538151"/>
    <s v="Changes were saved for change request 25526501"/>
    <b v="1"/>
    <x v="0"/>
    <x v="3"/>
    <d v="2025-07-03T10:53:06"/>
    <m/>
    <m/>
    <x v="1"/>
    <n v="121"/>
    <s v="Manuel Walther"/>
    <m/>
  </r>
  <r>
    <x v="276"/>
    <x v="0"/>
    <x v="2"/>
    <s v="CLFF_1000$$$DE20538153"/>
    <s v="G000000512"/>
    <s v="G000000512"/>
    <s v="LFF (MDG-F)"/>
    <s v="DE20538153"/>
    <s v="Changes were saved for change request 25526501"/>
    <b v="1"/>
    <x v="0"/>
    <x v="3"/>
    <d v="2025-07-03T10:53:06"/>
    <m/>
    <m/>
    <x v="1"/>
    <n v="121"/>
    <s v="Manuel Walther"/>
    <m/>
  </r>
  <r>
    <x v="276"/>
    <x v="0"/>
    <x v="2"/>
    <s v="CLFF_1000$$$DE20538160"/>
    <s v="G000000512"/>
    <s v="G000000512"/>
    <s v="LFF (MDG-F)"/>
    <s v="DE20538160"/>
    <s v="Changes were saved for change request 25526501"/>
    <b v="1"/>
    <x v="0"/>
    <x v="3"/>
    <d v="2025-07-03T10:53:06"/>
    <m/>
    <m/>
    <x v="1"/>
    <n v="121"/>
    <s v="Manuel Walther"/>
    <m/>
  </r>
  <r>
    <x v="276"/>
    <x v="0"/>
    <x v="2"/>
    <s v="CLFF_1000$$$DE20538162"/>
    <s v="G000000512"/>
    <s v="G000000512"/>
    <s v="LFF (MDG-F)"/>
    <s v="DE20538162"/>
    <s v="Changes were saved for change request 25526501"/>
    <b v="1"/>
    <x v="0"/>
    <x v="3"/>
    <d v="2025-07-03T10:53:06"/>
    <m/>
    <m/>
    <x v="1"/>
    <n v="121"/>
    <s v="Manuel Walther"/>
    <m/>
  </r>
  <r>
    <x v="276"/>
    <x v="0"/>
    <x v="2"/>
    <s v="CLFF_1000$$$DE20538163"/>
    <s v="G000000443"/>
    <s v="G000000443"/>
    <s v="LFF (MDG-F)"/>
    <s v="DE20538163"/>
    <s v="Changes were saved for change request 25526501"/>
    <b v="1"/>
    <x v="0"/>
    <x v="3"/>
    <d v="2025-07-03T10:53:06"/>
    <m/>
    <m/>
    <x v="1"/>
    <n v="121"/>
    <s v="Manuel Walther"/>
    <m/>
  </r>
  <r>
    <x v="276"/>
    <x v="0"/>
    <x v="2"/>
    <s v="CLFF_1000$$$DE20538164"/>
    <s v="G000000512"/>
    <s v="G000000512"/>
    <s v="LFF (MDG-F)"/>
    <s v="DE20538164"/>
    <s v="Changes were saved for change request 25526501"/>
    <b v="1"/>
    <x v="0"/>
    <x v="3"/>
    <d v="2025-07-03T10:53:06"/>
    <m/>
    <m/>
    <x v="1"/>
    <n v="121"/>
    <s v="Manuel Walther"/>
    <m/>
  </r>
  <r>
    <x v="276"/>
    <x v="0"/>
    <x v="2"/>
    <s v="CLFF_1000$$$DE20538166"/>
    <s v="G000000512"/>
    <s v="G000000512"/>
    <s v="LFF (MDG-F)"/>
    <s v="DE20538166"/>
    <s v="Changes were saved for change request 25526501"/>
    <b v="1"/>
    <x v="0"/>
    <x v="3"/>
    <d v="2025-07-03T10:53:06"/>
    <m/>
    <m/>
    <x v="1"/>
    <n v="121"/>
    <s v="Manuel Walther"/>
    <m/>
  </r>
  <r>
    <x v="276"/>
    <x v="0"/>
    <x v="2"/>
    <s v="CLFF_1000$$$DE20538167"/>
    <s v="G000000417"/>
    <s v="G000000417"/>
    <s v="LFF (MDG-F)"/>
    <s v="DE20538167"/>
    <s v="Changes were saved for change request 25526501"/>
    <b v="1"/>
    <x v="0"/>
    <x v="3"/>
    <d v="2025-07-03T10:53:06"/>
    <m/>
    <m/>
    <x v="1"/>
    <n v="121"/>
    <s v="Manuel Walther"/>
    <m/>
  </r>
  <r>
    <x v="276"/>
    <x v="0"/>
    <x v="2"/>
    <s v="CLFF_1000$$$DE20538168"/>
    <s v="G000000512"/>
    <s v="G000000512"/>
    <s v="LFF (MDG-F)"/>
    <s v="DE20538168"/>
    <s v="Changes were saved for change request 25526501"/>
    <b v="1"/>
    <x v="0"/>
    <x v="3"/>
    <d v="2025-07-03T10:53:06"/>
    <m/>
    <m/>
    <x v="1"/>
    <n v="121"/>
    <s v="Manuel Walther"/>
    <m/>
  </r>
  <r>
    <x v="276"/>
    <x v="0"/>
    <x v="2"/>
    <s v="CLFF_1000$$$DE20538171"/>
    <s v="G000000512"/>
    <s v="G000000512"/>
    <s v="LFF (MDG-F)"/>
    <s v="DE20538171"/>
    <s v="Changes were saved for change request 25526501"/>
    <b v="1"/>
    <x v="0"/>
    <x v="3"/>
    <d v="2025-07-03T10:53:06"/>
    <m/>
    <m/>
    <x v="1"/>
    <n v="121"/>
    <s v="Manuel Walther"/>
    <m/>
  </r>
  <r>
    <x v="276"/>
    <x v="0"/>
    <x v="2"/>
    <s v="CLFF_1000$$$DE20538175"/>
    <s v="G000000468"/>
    <s v="G000000468"/>
    <s v="LFF (MDG-F)"/>
    <s v="DE20538175"/>
    <s v="Changes were saved for change request 25526501"/>
    <b v="1"/>
    <x v="0"/>
    <x v="3"/>
    <d v="2025-07-03T10:53:06"/>
    <m/>
    <m/>
    <x v="1"/>
    <n v="121"/>
    <s v="Manuel Walther"/>
    <m/>
  </r>
  <r>
    <x v="276"/>
    <x v="0"/>
    <x v="2"/>
    <s v="CLFF_1000$$$DE20538176"/>
    <s v="G000000512"/>
    <s v="G000000512"/>
    <s v="LFF (MDG-F)"/>
    <s v="DE20538176"/>
    <s v="Changes were saved for change request 25526501"/>
    <b v="1"/>
    <x v="0"/>
    <x v="3"/>
    <d v="2025-07-03T10:53:06"/>
    <m/>
    <m/>
    <x v="1"/>
    <n v="121"/>
    <s v="Manuel Walther"/>
    <m/>
  </r>
  <r>
    <x v="276"/>
    <x v="0"/>
    <x v="2"/>
    <s v="CLFF_1000$$$DE20538177"/>
    <s v="G000000512"/>
    <s v="G000000512"/>
    <s v="LFF (MDG-F)"/>
    <s v="DE20538177"/>
    <s v="Changes were saved for change request 25526501"/>
    <b v="1"/>
    <x v="0"/>
    <x v="3"/>
    <d v="2025-07-03T10:53:06"/>
    <m/>
    <m/>
    <x v="1"/>
    <n v="121"/>
    <s v="Manuel Walther"/>
    <m/>
  </r>
  <r>
    <x v="276"/>
    <x v="0"/>
    <x v="2"/>
    <s v="CLFF_1000$$$DE20538184"/>
    <s v="G000000512"/>
    <s v="G000000512"/>
    <s v="LFF (MDG-F)"/>
    <s v="DE20538184"/>
    <s v="Changes were saved for change request 25526501"/>
    <b v="1"/>
    <x v="0"/>
    <x v="3"/>
    <d v="2025-07-03T10:53:06"/>
    <m/>
    <m/>
    <x v="1"/>
    <n v="121"/>
    <s v="Manuel Walther"/>
    <m/>
  </r>
  <r>
    <x v="276"/>
    <x v="0"/>
    <x v="2"/>
    <s v="CLFF_1000$$$DE20538185"/>
    <s v="G000000467"/>
    <s v="G000000467"/>
    <s v="LFF (MDG-F)"/>
    <s v="DE20538185"/>
    <s v="Changes were saved for change request 25526501"/>
    <b v="1"/>
    <x v="0"/>
    <x v="3"/>
    <d v="2025-07-03T10:53:06"/>
    <m/>
    <m/>
    <x v="1"/>
    <n v="121"/>
    <s v="Manuel Walther"/>
    <m/>
  </r>
  <r>
    <x v="276"/>
    <x v="0"/>
    <x v="2"/>
    <s v="CLFF_1000$$$DE20538186"/>
    <s v="G000000467"/>
    <s v="G000000467"/>
    <s v="LFF (MDG-F)"/>
    <s v="DE20538186"/>
    <s v="Changes were saved for change request 25526501"/>
    <b v="1"/>
    <x v="0"/>
    <x v="3"/>
    <d v="2025-07-03T10:53:06"/>
    <m/>
    <m/>
    <x v="1"/>
    <n v="121"/>
    <s v="Manuel Walther"/>
    <m/>
  </r>
  <r>
    <x v="276"/>
    <x v="0"/>
    <x v="2"/>
    <s v="CLFF_1000$$$DE20538193"/>
    <s v="G000000443"/>
    <s v="G000000443"/>
    <s v="LFF (MDG-F)"/>
    <s v="DE20538193"/>
    <s v="Changes were saved for change request 25526501"/>
    <b v="1"/>
    <x v="0"/>
    <x v="3"/>
    <d v="2025-07-03T10:53:06"/>
    <m/>
    <m/>
    <x v="1"/>
    <n v="121"/>
    <s v="Manuel Walther"/>
    <m/>
  </r>
  <r>
    <x v="276"/>
    <x v="0"/>
    <x v="2"/>
    <s v="CLFF_1000$$$DE20538194"/>
    <s v="G000000443"/>
    <s v="G000000443"/>
    <s v="LFF (MDG-F)"/>
    <s v="DE20538194"/>
    <s v="Changes were saved for change request 25526501"/>
    <b v="1"/>
    <x v="0"/>
    <x v="3"/>
    <d v="2025-07-03T10:53:06"/>
    <m/>
    <m/>
    <x v="1"/>
    <n v="121"/>
    <s v="Manuel Walther"/>
    <m/>
  </r>
  <r>
    <x v="276"/>
    <x v="0"/>
    <x v="2"/>
    <s v="CLFF_1000$$$DE20538195"/>
    <s v="G000000879"/>
    <s v="G000000879"/>
    <s v="LFF (MDG-F)"/>
    <s v="DE20538195"/>
    <s v="Changes were saved for change request 25526501"/>
    <b v="1"/>
    <x v="0"/>
    <x v="3"/>
    <d v="2025-07-03T10:53:06"/>
    <m/>
    <m/>
    <x v="1"/>
    <n v="121"/>
    <s v="Manuel Walther"/>
    <m/>
  </r>
  <r>
    <x v="276"/>
    <x v="0"/>
    <x v="2"/>
    <s v="CLFF_1000$$$DE20538197"/>
    <s v="G000000512"/>
    <s v="G000000512"/>
    <s v="LFF (MDG-F)"/>
    <s v="DE20538197"/>
    <s v="Changes were saved for change request 25526501"/>
    <b v="1"/>
    <x v="0"/>
    <x v="3"/>
    <d v="2025-07-03T10:53:06"/>
    <m/>
    <m/>
    <x v="1"/>
    <n v="121"/>
    <s v="Manuel Walther"/>
    <m/>
  </r>
  <r>
    <x v="276"/>
    <x v="0"/>
    <x v="2"/>
    <s v="CLFF_1000$$$DE20538712"/>
    <s v="G000000512"/>
    <s v="G000000512"/>
    <s v="LFF (MDG-F)"/>
    <s v="DE20538712"/>
    <s v="Changes were saved for change request 25526501"/>
    <b v="1"/>
    <x v="0"/>
    <x v="3"/>
    <d v="2025-07-03T10:53:06"/>
    <m/>
    <m/>
    <x v="1"/>
    <n v="121"/>
    <s v="Manuel Walther"/>
    <m/>
  </r>
  <r>
    <x v="276"/>
    <x v="0"/>
    <x v="2"/>
    <s v="CLFF_1000$$$DE20538713"/>
    <s v="G000000468"/>
    <s v="G000000468"/>
    <s v="LFF (MDG-F)"/>
    <s v="DE20538713"/>
    <s v="Changes were saved for change request 25526501"/>
    <b v="1"/>
    <x v="0"/>
    <x v="3"/>
    <d v="2025-07-03T10:53:06"/>
    <m/>
    <m/>
    <x v="1"/>
    <n v="121"/>
    <s v="Manuel Walther"/>
    <m/>
  </r>
  <r>
    <x v="276"/>
    <x v="0"/>
    <x v="2"/>
    <s v="CLFF_1000$$$DE20538714"/>
    <s v="G000000468"/>
    <s v="G000000468"/>
    <s v="LFF (MDG-F)"/>
    <s v="DE20538714"/>
    <s v="Changes were saved for change request 25526501"/>
    <b v="1"/>
    <x v="0"/>
    <x v="3"/>
    <d v="2025-07-03T10:53:06"/>
    <m/>
    <m/>
    <x v="1"/>
    <n v="121"/>
    <s v="Manuel Walther"/>
    <m/>
  </r>
  <r>
    <x v="276"/>
    <x v="0"/>
    <x v="2"/>
    <s v="CLFF_1000$$$DE20538715"/>
    <s v="G000000468"/>
    <s v="G000000468"/>
    <s v="LFF (MDG-F)"/>
    <s v="DE20538715"/>
    <s v="Changes were saved for change request 25526501"/>
    <b v="1"/>
    <x v="0"/>
    <x v="3"/>
    <d v="2025-07-03T10:53:06"/>
    <m/>
    <m/>
    <x v="1"/>
    <n v="121"/>
    <s v="Manuel Walther"/>
    <m/>
  </r>
  <r>
    <x v="276"/>
    <x v="0"/>
    <x v="2"/>
    <s v="CLFF_1000$$$DE20538716"/>
    <s v="G000000468"/>
    <s v="G000000468"/>
    <s v="LFF (MDG-F)"/>
    <s v="DE20538716"/>
    <s v="Changes were saved for change request 25526501"/>
    <b v="1"/>
    <x v="0"/>
    <x v="3"/>
    <d v="2025-07-03T10:53:06"/>
    <m/>
    <m/>
    <x v="1"/>
    <n v="121"/>
    <s v="Manuel Walther"/>
    <m/>
  </r>
  <r>
    <x v="276"/>
    <x v="0"/>
    <x v="2"/>
    <s v="CLFF_1000$$$DE20538717"/>
    <s v="G000000512"/>
    <s v="G000000512"/>
    <s v="LFF (MDG-F)"/>
    <s v="DE20538717"/>
    <s v="Changes were saved for change request 25526501"/>
    <b v="1"/>
    <x v="0"/>
    <x v="3"/>
    <d v="2025-07-03T10:53:06"/>
    <m/>
    <m/>
    <x v="1"/>
    <n v="121"/>
    <s v="Manuel Walther"/>
    <m/>
  </r>
  <r>
    <x v="276"/>
    <x v="0"/>
    <x v="2"/>
    <s v="CLFF_1000$$$DE20538887"/>
    <s v="G000000512"/>
    <s v="G000000512"/>
    <s v="LFF (MDG-F)"/>
    <s v="DE20538887"/>
    <s v="Changes were saved for change request 25526501"/>
    <b v="1"/>
    <x v="0"/>
    <x v="3"/>
    <d v="2025-07-03T10:53:06"/>
    <m/>
    <m/>
    <x v="1"/>
    <n v="121"/>
    <s v="Manuel Walther"/>
    <m/>
  </r>
  <r>
    <x v="276"/>
    <x v="0"/>
    <x v="2"/>
    <s v="CLFF_1000$$$DE20538920"/>
    <s v="G000000512"/>
    <s v="G000000512"/>
    <s v="LFF (MDG-F)"/>
    <s v="DE20538920"/>
    <s v="Changes were saved for change request 25526501"/>
    <b v="1"/>
    <x v="0"/>
    <x v="3"/>
    <d v="2025-07-03T10:53:06"/>
    <m/>
    <m/>
    <x v="1"/>
    <n v="121"/>
    <s v="Manuel Walther"/>
    <m/>
  </r>
  <r>
    <x v="276"/>
    <x v="0"/>
    <x v="2"/>
    <s v="CLFF_1000$$$DE20538921"/>
    <s v="G000000512"/>
    <s v="G000000512"/>
    <s v="LFF (MDG-F)"/>
    <s v="DE20538921"/>
    <s v="Changes were saved for change request 25526501"/>
    <b v="1"/>
    <x v="0"/>
    <x v="3"/>
    <d v="2025-07-03T10:53:06"/>
    <m/>
    <m/>
    <x v="1"/>
    <n v="121"/>
    <s v="Manuel Walther"/>
    <m/>
  </r>
  <r>
    <x v="276"/>
    <x v="0"/>
    <x v="2"/>
    <s v="CLFF_1000$$$DE20538978"/>
    <s v="G000000467"/>
    <s v="G000000467"/>
    <s v="LFF (MDG-F)"/>
    <s v="DE20538978"/>
    <s v="Changes were saved for change request 25526501"/>
    <b v="1"/>
    <x v="0"/>
    <x v="3"/>
    <d v="2025-07-03T10:53:06"/>
    <m/>
    <m/>
    <x v="1"/>
    <n v="121"/>
    <s v="Manuel Walther"/>
    <m/>
  </r>
  <r>
    <x v="276"/>
    <x v="0"/>
    <x v="2"/>
    <s v="CLFF_1000$$$DE20539001"/>
    <s v="G000000443"/>
    <s v="G000000443"/>
    <s v="LFF (MDG-F)"/>
    <s v="DE20539001"/>
    <s v="Changes were saved for change request 25526501"/>
    <b v="1"/>
    <x v="0"/>
    <x v="3"/>
    <d v="2025-07-03T10:53:06"/>
    <m/>
    <m/>
    <x v="1"/>
    <n v="121"/>
    <s v="Manuel Walther"/>
    <m/>
  </r>
  <r>
    <x v="276"/>
    <x v="0"/>
    <x v="2"/>
    <s v="CLFF_1000$$$DE20539002"/>
    <s v="G000000443"/>
    <s v="G000000443"/>
    <s v="LFF (MDG-F)"/>
    <s v="DE20539002"/>
    <s v="Changes were saved for change request 25526501"/>
    <b v="1"/>
    <x v="0"/>
    <x v="3"/>
    <d v="2025-07-03T10:53:06"/>
    <m/>
    <m/>
    <x v="1"/>
    <n v="121"/>
    <s v="Manuel Walther"/>
    <m/>
  </r>
  <r>
    <x v="276"/>
    <x v="0"/>
    <x v="2"/>
    <s v="CLFF_1000$$$DE20539004"/>
    <s v="G000000443"/>
    <s v="G000000443"/>
    <s v="LFF (MDG-F)"/>
    <s v="DE20539004"/>
    <s v="Changes were saved for change request 25526501"/>
    <b v="1"/>
    <x v="0"/>
    <x v="3"/>
    <d v="2025-07-03T10:53:06"/>
    <m/>
    <m/>
    <x v="1"/>
    <n v="121"/>
    <s v="Manuel Walther"/>
    <m/>
  </r>
  <r>
    <x v="276"/>
    <x v="0"/>
    <x v="2"/>
    <s v="CLFF_1000$$$DE20567500"/>
    <s v="G000000443"/>
    <s v="G000000443"/>
    <s v="LFF (MDG-F)"/>
    <s v="DE20567500"/>
    <s v="Changes were saved for change request 25526501"/>
    <b v="1"/>
    <x v="0"/>
    <x v="3"/>
    <d v="2025-07-03T10:53:06"/>
    <m/>
    <m/>
    <x v="1"/>
    <n v="121"/>
    <s v="Manuel Walther"/>
    <m/>
  </r>
  <r>
    <x v="276"/>
    <x v="0"/>
    <x v="2"/>
    <s v="CLFF_1000$$$DE20569401"/>
    <s v="G000000512"/>
    <s v="G000000512"/>
    <s v="LFF (MDG-F)"/>
    <s v="DE20569401"/>
    <s v="Changes were saved for change request 25526501"/>
    <b v="1"/>
    <x v="0"/>
    <x v="3"/>
    <d v="2025-07-03T10:53:06"/>
    <m/>
    <m/>
    <x v="1"/>
    <n v="121"/>
    <s v="Manuel Walther"/>
    <m/>
  </r>
  <r>
    <x v="276"/>
    <x v="0"/>
    <x v="2"/>
    <s v="CLFF_1000$$$DE20538145"/>
    <s v="G000000417"/>
    <s v="G000000417"/>
    <s v="LFF (MDG-F)"/>
    <s v="DE20538145"/>
    <s v="Changes were saved for change request 25526501"/>
    <b v="1"/>
    <x v="0"/>
    <x v="3"/>
    <d v="2025-07-03T10:53:06"/>
    <m/>
    <m/>
    <x v="1"/>
    <n v="121"/>
    <s v="Manuel Walther"/>
    <m/>
  </r>
  <r>
    <x v="276"/>
    <x v="0"/>
    <x v="2"/>
    <s v="CLFF_1000$$$DE20538190"/>
    <s v="G000000417"/>
    <s v="G000000417"/>
    <s v="LFF (MDG-F)"/>
    <s v="DE20538190"/>
    <s v="Changes were saved for change request 25526501"/>
    <b v="1"/>
    <x v="0"/>
    <x v="3"/>
    <d v="2025-07-03T10:53:06"/>
    <m/>
    <m/>
    <x v="1"/>
    <n v="121"/>
    <s v="Manuel Walther"/>
    <m/>
  </r>
  <r>
    <x v="276"/>
    <x v="0"/>
    <x v="2"/>
    <s v="CLFF_1000$$$DE20539003"/>
    <s v="G000000443"/>
    <s v="G000000443"/>
    <s v="LFF (MDG-F)"/>
    <s v="DE20539003"/>
    <s v="Changes were saved for change request 25526501"/>
    <b v="1"/>
    <x v="0"/>
    <x v="3"/>
    <d v="2025-07-03T10:53:06"/>
    <m/>
    <m/>
    <x v="1"/>
    <n v="121"/>
    <s v="Manuel Walther"/>
    <m/>
  </r>
  <r>
    <x v="276"/>
    <x v="0"/>
    <x v="2"/>
    <s v="CLFF_1000$$$DE20567400"/>
    <s v="G000000872"/>
    <s v="G000000872"/>
    <s v="LFF (MDG-F)"/>
    <s v="DE20567400"/>
    <s v="Changes were saved for change request 25526501"/>
    <b v="1"/>
    <x v="0"/>
    <x v="3"/>
    <d v="2025-07-03T10:53:06"/>
    <m/>
    <m/>
    <x v="1"/>
    <n v="121"/>
    <s v="Manuel Walther"/>
    <m/>
  </r>
  <r>
    <x v="277"/>
    <x v="0"/>
    <x v="2"/>
    <s v="CLFF_1000$$$DE50OF0154 Global Health Germany"/>
    <s v="H000004394"/>
    <s v="H000004394"/>
    <s v="LFF (MDG-F)"/>
    <s v="DE50OF0154"/>
    <s v="Changes were saved for change request 25526501"/>
    <b v="1"/>
    <x v="1"/>
    <x v="3"/>
    <d v="2025-07-03T13:56:08"/>
    <m/>
    <m/>
    <x v="1"/>
    <n v="121"/>
    <s v="Henry Ifurung Jr."/>
    <m/>
  </r>
  <r>
    <x v="277"/>
    <x v="0"/>
    <x v="2"/>
    <s v="CLFF_1000$$$DE10624416 Global Health"/>
    <s v="H000004394"/>
    <s v="H000004394"/>
    <s v="LFF (MDG-F)"/>
    <s v="DE10624416"/>
    <s v="Changes were saved for change request 25526501"/>
    <b v="1"/>
    <x v="1"/>
    <x v="3"/>
    <d v="2025-07-03T13:56:08"/>
    <m/>
    <m/>
    <x v="1"/>
    <n v="121"/>
    <s v="Henry Ifurung Jr."/>
    <m/>
  </r>
  <r>
    <x v="277"/>
    <x v="0"/>
    <x v="2"/>
    <s v="CLFF_1000$$$CH65GCA008 Health Equity Accessibility"/>
    <s v="H000004394"/>
    <s v="H000004394"/>
    <s v="LFF (MDG-F)"/>
    <s v="CH65GCA008"/>
    <s v="Changes were saved for change request 25526501"/>
    <b v="1"/>
    <x v="1"/>
    <x v="3"/>
    <d v="2025-07-03T13:56:08"/>
    <m/>
    <m/>
    <x v="1"/>
    <n v="121"/>
    <s v="Henry Ifurung Jr."/>
    <m/>
  </r>
  <r>
    <x v="277"/>
    <x v="0"/>
    <x v="2"/>
    <s v="CLFF_1000$$$CH65GCA010 Praziquantel Donation &amp; Global Sch"/>
    <s v="H000004394"/>
    <s v="H000004394"/>
    <s v="LFF (MDG-F)"/>
    <s v="CH65GCA010"/>
    <s v="Changes were saved for change request 25526501"/>
    <b v="1"/>
    <x v="1"/>
    <x v="3"/>
    <d v="2025-07-03T13:56:08"/>
    <m/>
    <m/>
    <x v="1"/>
    <n v="121"/>
    <s v="Henry Ifurung Jr."/>
    <m/>
  </r>
  <r>
    <x v="277"/>
    <x v="0"/>
    <x v="2"/>
    <s v="CLFF_1000$$$CH65GCA001 Global Health Research Institute"/>
    <s v="H000004394"/>
    <s v="H000004394"/>
    <s v="LFF (MDG-F)"/>
    <s v="CH65GCA001"/>
    <s v="Changes were saved for change request 25526501"/>
    <b v="1"/>
    <x v="1"/>
    <x v="3"/>
    <d v="2025-07-03T13:56:08"/>
    <m/>
    <m/>
    <x v="1"/>
    <n v="121"/>
    <s v="Henry Ifurung Jr."/>
    <m/>
  </r>
  <r>
    <x v="277"/>
    <x v="0"/>
    <x v="2"/>
    <s v="CLFF_1000$$$DE50OF6808 Health Equity Accessibility GER"/>
    <s v="H000004394"/>
    <s v="H000004394"/>
    <s v="LFF (MDG-F)"/>
    <s v="DE50OF6808"/>
    <s v="Changes were saved for change request 25526501"/>
    <b v="1"/>
    <x v="1"/>
    <x v="3"/>
    <d v="2025-07-03T13:56:08"/>
    <m/>
    <m/>
    <x v="1"/>
    <n v="121"/>
    <s v="Henry Ifurung Jr."/>
    <m/>
  </r>
  <r>
    <x v="277"/>
    <x v="0"/>
    <x v="2"/>
    <s v="CTEMPEU_1000FR40699007 Access To Health FR"/>
    <s v="H000004394"/>
    <s v="H000004394"/>
    <s v="Non-LFF"/>
    <s v=""/>
    <m/>
    <b v="1"/>
    <x v="1"/>
    <x v="3"/>
    <d v="2025-07-03T13:56:08"/>
    <m/>
    <m/>
    <x v="1"/>
    <n v="121"/>
    <s v="Henry Ifurung Jr."/>
    <m/>
  </r>
  <r>
    <x v="277"/>
    <x v="0"/>
    <x v="2"/>
    <s v="CTEMPNA_1000US30136400 Global Health"/>
    <s v="H000004394"/>
    <s v="H000004394"/>
    <s v="Non-LFF"/>
    <s v=""/>
    <m/>
    <b v="1"/>
    <x v="1"/>
    <x v="3"/>
    <d v="2025-07-03T13:56:08"/>
    <m/>
    <m/>
    <x v="1"/>
    <n v="121"/>
    <s v="Henry Ifurung Jr."/>
    <m/>
  </r>
  <r>
    <x v="278"/>
    <x v="0"/>
    <x v="2"/>
    <s v="CLFF_1000$$$AT50L93100 Fertility benefit reimbursement costs"/>
    <s v="G000001227"/>
    <s v="G000001227"/>
    <s v="LFF (MDG-F)"/>
    <s v="AT50L93100"/>
    <s v="Changes were saved for change request 25526501"/>
    <b v="1"/>
    <x v="0"/>
    <x v="3"/>
    <d v="2025-07-03T15:06:51"/>
    <m/>
    <m/>
    <x v="1"/>
    <n v="121"/>
    <s v="Jojeff Tagnong"/>
    <m/>
  </r>
  <r>
    <x v="278"/>
    <x v="0"/>
    <x v="2"/>
    <s v="CLFF_1000$$$DK50L93100 Fertility benefit reimbursement costs"/>
    <s v="G000001227"/>
    <s v="G000001227"/>
    <s v="LFF (MDG-F)"/>
    <s v="DK50L93100"/>
    <s v="Changes were saved for change request 25526501"/>
    <b v="1"/>
    <x v="0"/>
    <x v="3"/>
    <d v="2025-07-03T15:06:51"/>
    <m/>
    <m/>
    <x v="1"/>
    <n v="121"/>
    <s v="Jojeff Tagnong"/>
    <m/>
  </r>
  <r>
    <x v="278"/>
    <x v="0"/>
    <x v="2"/>
    <s v="CLFF_1000$$$FI50L93100 Fertility benefit reimbursement costs"/>
    <s v="G000001227"/>
    <s v="G000001227"/>
    <s v="LFF (MDG-F)"/>
    <s v="FI50L93100"/>
    <s v="Changes were saved for change request 25526501"/>
    <b v="1"/>
    <x v="0"/>
    <x v="3"/>
    <d v="2025-07-03T15:06:51"/>
    <m/>
    <m/>
    <x v="1"/>
    <n v="121"/>
    <s v="Jojeff Tagnong"/>
    <m/>
  </r>
  <r>
    <x v="278"/>
    <x v="0"/>
    <x v="2"/>
    <s v="CLFF_1000$$$KR02GHR119 MBS RPO"/>
    <s v="G000000119"/>
    <s v="G000000119"/>
    <s v="LFF (MDG-F)"/>
    <s v="KR02GHR119"/>
    <s v="Changes were saved for change request 25526501"/>
    <b v="1"/>
    <x v="0"/>
    <x v="3"/>
    <d v="2025-07-03T15:06:51"/>
    <m/>
    <m/>
    <x v="1"/>
    <n v="121"/>
    <s v="Jojeff Tagnong"/>
    <m/>
  </r>
  <r>
    <x v="278"/>
    <x v="0"/>
    <x v="2"/>
    <s v="CLFF_1000$$$MA50GHR018 HR - Fert benefit reimbursement costs MA"/>
    <s v="G000001227"/>
    <s v="G000001227"/>
    <s v="LFF (MDG-F)"/>
    <s v="MA50GHR018"/>
    <s v="Changes were saved for change request 25526501"/>
    <b v="1"/>
    <x v="0"/>
    <x v="3"/>
    <d v="2025-07-03T15:06:51"/>
    <m/>
    <m/>
    <x v="1"/>
    <n v="121"/>
    <s v="Jojeff Tagnong"/>
    <m/>
  </r>
  <r>
    <x v="278"/>
    <x v="0"/>
    <x v="2"/>
    <s v="CLFF_1000$$$NO50L93100 Fertility benefit reimbursement costs"/>
    <s v="G000001227"/>
    <s v="G000001227"/>
    <s v="LFF (MDG-F)"/>
    <s v="NO50L93100"/>
    <s v="Changes were saved for change request 25526501"/>
    <b v="1"/>
    <x v="0"/>
    <x v="3"/>
    <d v="2025-07-03T15:06:51"/>
    <m/>
    <m/>
    <x v="1"/>
    <n v="121"/>
    <s v="Jojeff Tagnong"/>
    <m/>
  </r>
  <r>
    <x v="278"/>
    <x v="0"/>
    <x v="2"/>
    <s v="CLFF_1000$$$SE50L93100 Fertility benefit reimbursement costs"/>
    <s v="G000001227"/>
    <s v="G000001227"/>
    <s v="LFF (MDG-F)"/>
    <s v="SE50L93100"/>
    <s v="Changes were saved for change request 25526501"/>
    <b v="1"/>
    <x v="0"/>
    <x v="3"/>
    <d v="2025-07-03T15:06:51"/>
    <m/>
    <m/>
    <x v="1"/>
    <n v="121"/>
    <s v="Jojeff Tagnong"/>
    <m/>
  </r>
  <r>
    <x v="278"/>
    <x v="0"/>
    <x v="2"/>
    <s v="CLFF_1000$$$TN50GHR018 HR - Fert benefit reimbursement costs"/>
    <s v="G000001227"/>
    <s v="G000001227"/>
    <s v="LFF (MDG-F)"/>
    <s v="TN50GHR018"/>
    <s v="Changes were saved for change request 25526501"/>
    <b v="1"/>
    <x v="0"/>
    <x v="3"/>
    <d v="2025-07-03T15:06:51"/>
    <m/>
    <m/>
    <x v="1"/>
    <n v="121"/>
    <s v="Jojeff Tagnong"/>
    <m/>
  </r>
  <r>
    <x v="278"/>
    <x v="0"/>
    <x v="2"/>
    <s v="CLFF_1000$$$TN50GHR019 HR - Fert benefit reimbursement costs DZ"/>
    <s v="G000001227"/>
    <s v="G000001227"/>
    <s v="LFF (MDG-F)"/>
    <s v="TN50GHR019"/>
    <s v="Changes were saved for change request 25526501"/>
    <b v="1"/>
    <x v="0"/>
    <x v="3"/>
    <d v="2025-07-03T15:06:51"/>
    <m/>
    <m/>
    <x v="1"/>
    <n v="121"/>
    <s v="Jojeff Tagnong"/>
    <m/>
  </r>
  <r>
    <x v="278"/>
    <x v="0"/>
    <x v="2"/>
    <s v="CLFF_1000$$$TN60GHR018 HR - Fert benefit reimbursement costs TN"/>
    <s v="G000001227"/>
    <s v="G000001227"/>
    <s v="LFF (MDG-F)"/>
    <s v="TN60GHR018"/>
    <s v="Changes were saved for change request 25526501"/>
    <b v="1"/>
    <x v="0"/>
    <x v="3"/>
    <d v="2025-07-03T15:06:51"/>
    <m/>
    <m/>
    <x v="1"/>
    <n v="121"/>
    <s v="Jojeff Tagnong"/>
    <m/>
  </r>
  <r>
    <x v="278"/>
    <x v="0"/>
    <x v="2"/>
    <s v="CLFF_KR00$$$KR03GHR119"/>
    <s v="G000000119"/>
    <s v="G000000119"/>
    <s v="LFF (MDG-F)"/>
    <s v="KR03GHR119"/>
    <s v="Changes were saved for change request 25523738"/>
    <b v="1"/>
    <x v="0"/>
    <x v="3"/>
    <d v="2025-07-03T15:06:51"/>
    <m/>
    <m/>
    <x v="1"/>
    <n v="121"/>
    <s v="Jojeff Tagnong"/>
    <m/>
  </r>
  <r>
    <x v="278"/>
    <x v="0"/>
    <x v="2"/>
    <s v="CORAERP_MMOR1945.9153 Fertility reimbursement purposes"/>
    <s v="G000001227"/>
    <s v="G000001227"/>
    <s v="Non-LFF"/>
    <s v=""/>
    <m/>
    <b v="1"/>
    <x v="0"/>
    <x v="3"/>
    <d v="2025-07-03T15:06:51"/>
    <m/>
    <m/>
    <x v="1"/>
    <n v="121"/>
    <s v="Jojeff Tagnong"/>
    <m/>
  </r>
  <r>
    <x v="279"/>
    <x v="0"/>
    <x v="2"/>
    <s v="CLFF_7210$$$2068TAUA01 Urbana Equipment CC"/>
    <s v="L000013447"/>
    <s v="L000013447"/>
    <s v="LFF (MDG-F)"/>
    <s v="2068TAUA01"/>
    <s v="Duplicate request FR7449455. This was already processed and mapped to its requested parent node."/>
    <b v="1"/>
    <x v="3"/>
    <x v="3"/>
    <d v="2025-07-03T21:50:37"/>
    <m/>
    <m/>
    <x v="1"/>
    <n v="121"/>
    <s v="Roselle Delos Angeles"/>
    <m/>
  </r>
  <r>
    <x v="279"/>
    <x v="0"/>
    <x v="2"/>
    <s v="FLFF_7210$$$2068TAUA01_IO Urbana Equipment CC (IO)"/>
    <s v="L000013447"/>
    <s v="L000013447"/>
    <s v="LFF (MDG-F)"/>
    <s v="2068TAUA01"/>
    <s v="Duplicate request FR7449455. This was already processed and mapped to its requested parent node."/>
    <b v="1"/>
    <x v="3"/>
    <x v="3"/>
    <d v="2025-07-03T21:50:37"/>
    <m/>
    <m/>
    <x v="1"/>
    <n v="121"/>
    <s v="Roselle Delos Angeles"/>
    <m/>
  </r>
  <r>
    <x v="280"/>
    <x v="0"/>
    <x v="2"/>
    <s v="CTEMPEU_1000PL80GBTE05"/>
    <s v="G000000838"/>
    <s v="G000000838"/>
    <s v="Non-LFF"/>
    <s v=""/>
    <m/>
    <b v="1"/>
    <x v="0"/>
    <x v="3"/>
    <d v="2025-07-07T21:50:37"/>
    <m/>
    <m/>
    <x v="1"/>
    <n v="119"/>
    <s v="Jay-R Lizardo"/>
    <m/>
  </r>
  <r>
    <x v="281"/>
    <x v="0"/>
    <x v="2"/>
    <s v="CNOW_7210$$$0000000660"/>
    <s v="L000013461"/>
    <s v="L000013461"/>
    <s v="Non-LFF"/>
    <s v=""/>
    <m/>
    <b v="1"/>
    <x v="2"/>
    <x v="3"/>
    <d v="2025-07-07T21:50:37"/>
    <m/>
    <m/>
    <x v="1"/>
    <n v="119"/>
    <s v="Ruby Grace Garcia"/>
    <m/>
  </r>
  <r>
    <x v="281"/>
    <x v="0"/>
    <x v="2"/>
    <s v="CNOW_7210$$$0000000661"/>
    <s v="L000013789"/>
    <s v="L000013789"/>
    <s v="Non-LFF"/>
    <s v=""/>
    <m/>
    <b v="1"/>
    <x v="2"/>
    <x v="3"/>
    <d v="2025-07-07T21:50:37"/>
    <m/>
    <m/>
    <x v="1"/>
    <n v="119"/>
    <s v="Ruby Grace Garcia"/>
    <m/>
  </r>
  <r>
    <x v="281"/>
    <x v="0"/>
    <x v="4"/>
    <s v="PNEXT_CPRJ-98202500011"/>
    <s v="L000011470"/>
    <s v="NEXT_CPRJ-9820250001"/>
    <s v="Non-LFF"/>
    <s v=""/>
    <m/>
    <b v="0"/>
    <x v="2"/>
    <x v="3"/>
    <d v="2025-07-07T21:50:37"/>
    <m/>
    <m/>
    <x v="1"/>
    <n v="119"/>
    <s v="Ruby Grace Garcia"/>
    <m/>
  </r>
  <r>
    <x v="281"/>
    <x v="0"/>
    <x v="4"/>
    <s v="PNEXT_CPRJ-98202500012"/>
    <s v="L000011470"/>
    <s v="NEXT_CPRJ-9820250001"/>
    <s v="Non-LFF"/>
    <s v=""/>
    <m/>
    <b v="0"/>
    <x v="2"/>
    <x v="3"/>
    <d v="2025-07-07T21:50:37"/>
    <m/>
    <m/>
    <x v="1"/>
    <n v="119"/>
    <s v="Ruby Grace Garcia"/>
    <m/>
  </r>
  <r>
    <x v="281"/>
    <x v="0"/>
    <x v="4"/>
    <s v="PNEXT_CPRJ-98202500022"/>
    <s v="L000011470"/>
    <s v="NEXT_CPRJ-9820250002"/>
    <s v="Non-LFF"/>
    <s v=""/>
    <m/>
    <b v="0"/>
    <x v="2"/>
    <x v="3"/>
    <d v="2025-07-07T21:50:37"/>
    <m/>
    <m/>
    <x v="1"/>
    <n v="119"/>
    <s v="Ruby Grace Garcia"/>
    <m/>
  </r>
  <r>
    <x v="281"/>
    <x v="0"/>
    <x v="4"/>
    <s v="PNEXT_CPRJ-98202500048"/>
    <s v="L000011470"/>
    <s v="NEXT_CPRJ-9820250004"/>
    <s v="Non-LFF"/>
    <s v=""/>
    <m/>
    <b v="0"/>
    <x v="2"/>
    <x v="3"/>
    <d v="2025-07-07T21:50:37"/>
    <m/>
    <m/>
    <x v="1"/>
    <n v="119"/>
    <s v="Ruby Grace Garcia"/>
    <m/>
  </r>
  <r>
    <x v="281"/>
    <x v="0"/>
    <x v="2"/>
    <s v="CSCALA_1042$EQ_P40"/>
    <s v="L000008494"/>
    <s v="L000008494"/>
    <s v="Non-LFF"/>
    <s v=""/>
    <m/>
    <b v="1"/>
    <x v="2"/>
    <x v="3"/>
    <d v="2025-07-07T21:50:37"/>
    <m/>
    <m/>
    <x v="1"/>
    <n v="119"/>
    <s v="Ruby Grace Garcia"/>
    <m/>
  </r>
  <r>
    <x v="282"/>
    <x v="0"/>
    <x v="2"/>
    <s v="CLFF_7210$$$1937TMCZ80"/>
    <s v="L000010287"/>
    <s v="L000010287"/>
    <s v="LFF (MDG-F)"/>
    <s v="1937TMCZ80"/>
    <s v="Already mapped "/>
    <b v="1"/>
    <x v="2"/>
    <x v="3"/>
    <d v="2025-07-07T21:50:37"/>
    <m/>
    <m/>
    <x v="1"/>
    <n v="119"/>
    <s v="Ruby Grace Garcia"/>
    <m/>
  </r>
  <r>
    <x v="283"/>
    <x v="0"/>
    <x v="2"/>
    <s v="CNOW_7210$$$0000058275 "/>
    <s v="G000000635"/>
    <s v="G000000635"/>
    <s v="Non-LFF"/>
    <s v=""/>
    <m/>
    <b v="1"/>
    <x v="0"/>
    <x v="3"/>
    <d v="2025-07-07T21:50:37"/>
    <m/>
    <m/>
    <x v="1"/>
    <n v="119"/>
    <s v="Jojeff Tagnong"/>
    <m/>
  </r>
  <r>
    <x v="284"/>
    <x v="0"/>
    <x v="2"/>
    <s v="CPRJ-9820250001 "/>
    <s v="L000011470"/>
    <s v="L000011470"/>
    <s v="Non-LFF"/>
    <s v=""/>
    <m/>
    <b v="1"/>
    <x v="2"/>
    <x v="3"/>
    <d v="2025-07-08T21:50:37"/>
    <m/>
    <m/>
    <x v="1"/>
    <n v="118"/>
    <s v="Ruby Grace Garcia"/>
    <m/>
  </r>
  <r>
    <x v="284"/>
    <x v="0"/>
    <x v="2"/>
    <s v="CPRJ-9820250002 "/>
    <s v="L000011470"/>
    <s v="L000011470"/>
    <s v="Non-LFF"/>
    <s v=""/>
    <m/>
    <b v="1"/>
    <x v="2"/>
    <x v="3"/>
    <d v="2025-07-08T21:50:37"/>
    <m/>
    <m/>
    <x v="1"/>
    <n v="118"/>
    <s v="Ruby Grace Garcia"/>
    <m/>
  </r>
  <r>
    <x v="284"/>
    <x v="0"/>
    <x v="2"/>
    <s v="CPRJ-9820250004 "/>
    <s v="L000011470"/>
    <s v="L000011470"/>
    <s v="Non-LFF"/>
    <s v=""/>
    <m/>
    <b v="1"/>
    <x v="2"/>
    <x v="3"/>
    <d v="2025-07-08T21:50:37"/>
    <m/>
    <m/>
    <x v="1"/>
    <n v="118"/>
    <s v="Ruby Grace Garcia"/>
    <m/>
  </r>
  <r>
    <x v="285"/>
    <x v="0"/>
    <x v="2"/>
    <s v="CNOW_7210$$$0000052103"/>
    <s v="L000011136"/>
    <s v="L000011136"/>
    <s v="Non-LFF"/>
    <s v=""/>
    <m/>
    <b v="1"/>
    <x v="2"/>
    <x v="3"/>
    <d v="2025-07-09T21:50:37"/>
    <m/>
    <m/>
    <x v="1"/>
    <n v="117"/>
    <s v="Anna Wojciechowska-Pacyna"/>
    <m/>
  </r>
  <r>
    <x v="286"/>
    <x v="0"/>
    <x v="2"/>
    <s v="CNOW_AUS0$$$0000092002"/>
    <s v="L000006137"/>
    <s v="L000006137"/>
    <s v="Non-LFF"/>
    <s v=""/>
    <m/>
    <b v="1"/>
    <x v="2"/>
    <x v="3"/>
    <d v="2025-07-09T21:50:37"/>
    <m/>
    <m/>
    <x v="1"/>
    <n v="117"/>
    <s v="Thomas Mervoyer"/>
    <m/>
  </r>
  <r>
    <x v="286"/>
    <x v="0"/>
    <x v="2"/>
    <s v="CFLTFLE_10548-141-ECOM"/>
    <s v="L000008508"/>
    <s v="L000008508"/>
    <s v="Non-LFF"/>
    <s v=""/>
    <m/>
    <b v="1"/>
    <x v="2"/>
    <x v="3"/>
    <d v="2025-07-09T21:50:37"/>
    <m/>
    <m/>
    <x v="1"/>
    <n v="117"/>
    <s v="Thomas Mervoyer"/>
    <m/>
  </r>
  <r>
    <x v="286"/>
    <x v="0"/>
    <x v="2"/>
    <s v="CORAERP_MMOR1975.5193"/>
    <s v="L000012327"/>
    <s v="L000012327"/>
    <s v="Non-LFF"/>
    <s v=""/>
    <m/>
    <b v="1"/>
    <x v="2"/>
    <x v="3"/>
    <d v="2025-07-09T21:50:37"/>
    <m/>
    <m/>
    <x v="1"/>
    <n v="117"/>
    <s v="Thomas Mervoyer"/>
    <m/>
  </r>
  <r>
    <x v="287"/>
    <x v="0"/>
    <x v="2"/>
    <s v="CLFF_1000$$$DE10538528"/>
    <s v="G000001017"/>
    <s v="G000001017"/>
    <s v="LFF (MDG-F)"/>
    <s v="DE10538528"/>
    <m/>
    <b v="1"/>
    <x v="0"/>
    <x v="3"/>
    <d v="2025-07-09T21:50:37"/>
    <m/>
    <m/>
    <x v="1"/>
    <n v="117"/>
    <s v="Nadine Anic"/>
    <m/>
  </r>
  <r>
    <x v="287"/>
    <x v="0"/>
    <x v="2"/>
    <s v="CLFF_1000$$$DE20538528"/>
    <s v="G000000943"/>
    <s v="G000000943"/>
    <s v="LFF (MDG-F)"/>
    <s v="DE20538528"/>
    <m/>
    <b v="1"/>
    <x v="0"/>
    <x v="3"/>
    <d v="2025-07-09T21:50:37"/>
    <m/>
    <m/>
    <x v="1"/>
    <n v="117"/>
    <s v="Nadine Anic"/>
    <m/>
  </r>
  <r>
    <x v="288"/>
    <x v="0"/>
    <x v="2"/>
    <s v="CLFF_1000$$$DE10890000"/>
    <s v="H000000888"/>
    <s v="H000000888"/>
    <s v="LFF (MDG-F)"/>
    <s v="DE10890000"/>
    <m/>
    <b v="1"/>
    <x v="1"/>
    <x v="3"/>
    <d v="2025-07-10T21:50:37"/>
    <m/>
    <m/>
    <x v="1"/>
    <n v="116"/>
    <s v="Henry Ifurung Jr."/>
    <m/>
  </r>
  <r>
    <x v="289"/>
    <x v="0"/>
    <x v="2"/>
    <s v="CLFF_1000$$$AE50C0LS07"/>
    <s v="L000012381"/>
    <s v="L000012381"/>
    <s v="LFF (MDG-F)"/>
    <s v="AE50C0LS07"/>
    <m/>
    <b v="1"/>
    <x v="2"/>
    <x v="3"/>
    <d v="2025-07-10T21:50:37"/>
    <m/>
    <m/>
    <x v="1"/>
    <n v="116"/>
    <s v="Thomas Mervoyer"/>
    <m/>
  </r>
  <r>
    <x v="290"/>
    <x v="0"/>
    <x v="2"/>
    <s v="CLFF_1000$$$DE50O00001"/>
    <s v="H000004396"/>
    <s v="H000004396"/>
    <s v="LFF (MDG-F)"/>
    <s v="DE50O00001"/>
    <m/>
    <b v="1"/>
    <x v="1"/>
    <x v="3"/>
    <d v="2025-07-14T21:50:37"/>
    <m/>
    <m/>
    <x v="1"/>
    <n v="114"/>
    <s v="Henry Ifurung Jr."/>
    <m/>
  </r>
  <r>
    <x v="291"/>
    <x v="0"/>
    <x v="2"/>
    <s v="CTEMPLA_1000BR10500161"/>
    <s v="L000013386"/>
    <s v="L000013386"/>
    <s v="Non-LFF"/>
    <s v=""/>
    <m/>
    <b v="1"/>
    <x v="1"/>
    <x v="3"/>
    <d v="2025-07-15T21:50:37"/>
    <m/>
    <m/>
    <x v="1"/>
    <n v="113"/>
    <s v="Henry Ifurung Jr."/>
    <m/>
  </r>
  <r>
    <x v="292"/>
    <x v="0"/>
    <x v="2"/>
    <s v="D00120000000000"/>
    <s v="P000001232"/>
    <s v="P000001232"/>
    <s v="Non-LFF"/>
    <s v=""/>
    <m/>
    <b v="1"/>
    <x v="3"/>
    <x v="3"/>
    <d v="2025-07-15T21:50:37"/>
    <m/>
    <m/>
    <x v="1"/>
    <n v="113"/>
    <s v="Roselle Delos Angeles"/>
    <m/>
  </r>
  <r>
    <x v="292"/>
    <x v="0"/>
    <x v="2"/>
    <s v="D00128200000000"/>
    <s v="P000000698"/>
    <s v="P000000698"/>
    <s v="Non-LFF"/>
    <s v=""/>
    <m/>
    <b v="1"/>
    <x v="3"/>
    <x v="3"/>
    <d v="2025-07-15T21:50:37"/>
    <m/>
    <m/>
    <x v="1"/>
    <n v="113"/>
    <s v="Roselle Delos Angeles"/>
    <m/>
  </r>
  <r>
    <x v="293"/>
    <x v="0"/>
    <x v="2"/>
    <s v="CLFF_1000$$$DE10674300"/>
    <s v="L000011388"/>
    <s v="L000011388"/>
    <s v="LFF (MDG-F)"/>
    <s v="DE10674300"/>
    <s v="G000000477 SM-Z Merck Interim service"/>
    <b v="1"/>
    <x v="0"/>
    <x v="3"/>
    <d v="2025-07-16T21:50:37"/>
    <m/>
    <m/>
    <x v="1"/>
    <n v="112"/>
    <s v="Diana William"/>
    <m/>
  </r>
  <r>
    <x v="294"/>
    <x v="0"/>
    <x v="2"/>
    <s v="CSCALA_1248$LSQR"/>
    <s v="L000011363"/>
    <s v="L000011363"/>
    <s v="Non-LFF"/>
    <s v=""/>
    <m/>
    <b v="1"/>
    <x v="0"/>
    <x v="3"/>
    <d v="2025-07-16T21:50:37"/>
    <m/>
    <m/>
    <x v="1"/>
    <n v="112"/>
    <s v="Diana William"/>
    <m/>
  </r>
  <r>
    <x v="295"/>
    <x v="0"/>
    <x v="2"/>
    <s v="CLFF_7210$$$2102TPSZ93 "/>
    <s v="L000013788"/>
    <s v="L000013788"/>
    <s v="LFF (MDG-F)"/>
    <s v="2102TPSZ93"/>
    <m/>
    <b v="1"/>
    <x v="2"/>
    <x v="3"/>
    <d v="2025-07-16T21:50:37"/>
    <m/>
    <m/>
    <x v="1"/>
    <n v="112"/>
    <s v="Ruby Grace Garcia"/>
    <m/>
  </r>
  <r>
    <x v="296"/>
    <x v="0"/>
    <x v="2"/>
    <s v="CLFF_1000$$$DE10674300"/>
    <s v="G000000477"/>
    <s v="G000000477"/>
    <s v="LFF (MDG-F)"/>
    <s v="DE10674300"/>
    <m/>
    <b v="1"/>
    <x v="2"/>
    <x v="2"/>
    <d v="2025-06-30T12:35:21"/>
    <d v="2025-07-02T00:00:00"/>
    <d v="2025-07-02T00:00:00"/>
    <x v="0"/>
    <n v="2"/>
    <s v="Joan Rose Pena"/>
    <m/>
  </r>
  <r>
    <x v="297"/>
    <x v="0"/>
    <x v="2"/>
    <s v="CLFF_1000$$$ZA50GLE005"/>
    <s v="G000001104"/>
    <s v="G000001104"/>
    <s v="LFF (MDG-F)"/>
    <s v="ZA50GLE005"/>
    <m/>
    <b v="1"/>
    <x v="0"/>
    <x v="3"/>
    <d v="2025-07-18T21:50:37"/>
    <m/>
    <m/>
    <x v="1"/>
    <n v="110"/>
    <s v="Jojeff Tagnong"/>
    <m/>
  </r>
  <r>
    <x v="297"/>
    <x v="0"/>
    <x v="2"/>
    <s v="CLFF_1000$$$ZA50GLE006"/>
    <s v="G000001104"/>
    <s v="G000001104"/>
    <s v="LFF (MDG-F)"/>
    <s v="ZA50GLE006"/>
    <m/>
    <b v="1"/>
    <x v="0"/>
    <x v="3"/>
    <d v="2025-07-18T21:50:37"/>
    <m/>
    <m/>
    <x v="1"/>
    <n v="110"/>
    <s v="Jojeff Tagnong"/>
    <m/>
  </r>
  <r>
    <x v="297"/>
    <x v="0"/>
    <x v="2"/>
    <s v="CEMERAL_70006301992006"/>
    <s v="G000001103"/>
    <s v="G000001103"/>
    <s v="Non-LFF"/>
    <s v=""/>
    <m/>
    <b v="1"/>
    <x v="0"/>
    <x v="3"/>
    <d v="2025-07-18T21:50:37"/>
    <m/>
    <m/>
    <x v="1"/>
    <n v="110"/>
    <s v="Jojeff Tagnong"/>
    <m/>
  </r>
  <r>
    <x v="297"/>
    <x v="0"/>
    <x v="2"/>
    <s v="CFLTFLE_10548-308-COMP"/>
    <s v="G000001103"/>
    <s v="G000001103"/>
    <s v="Non-LFF"/>
    <s v=""/>
    <m/>
    <b v="1"/>
    <x v="0"/>
    <x v="3"/>
    <d v="2025-07-18T21:50:37"/>
    <m/>
    <m/>
    <x v="1"/>
    <n v="110"/>
    <s v="Jojeff Tagnong"/>
    <m/>
  </r>
  <r>
    <x v="298"/>
    <x v="0"/>
    <x v="2"/>
    <s v="CSCALA_1826$0000000340"/>
    <s v="H000001071"/>
    <s v="H000001071"/>
    <s v="Non-LFF"/>
    <s v=""/>
    <m/>
    <b v="1"/>
    <x v="1"/>
    <x v="3"/>
    <d v="2025-07-18T21:50:37"/>
    <m/>
    <m/>
    <x v="1"/>
    <n v="110"/>
    <s v="Erjo Miguel Tagle"/>
    <m/>
  </r>
  <r>
    <x v="299"/>
    <x v="0"/>
    <x v="2"/>
    <s v="ITEMPLA_001520001102 Manifesto - Sales Promo BR"/>
    <s v="G000000634"/>
    <s v="G000000634"/>
    <s v="Non-LFF"/>
    <s v=""/>
    <m/>
    <b v="1"/>
    <x v="1"/>
    <x v="3"/>
    <d v="2025-07-18T21:50:37"/>
    <m/>
    <m/>
    <x v="1"/>
    <n v="110"/>
    <s v="Henry Ifurung Jr."/>
    <m/>
  </r>
  <r>
    <x v="300"/>
    <x v="0"/>
    <x v="2"/>
    <s v="CTEMPLA_1000GT10275619 LS-QR-OSA Americas"/>
    <s v="L000011381"/>
    <s v="L000011381"/>
    <s v="Non-LFF"/>
    <s v=""/>
    <m/>
    <b v="1"/>
    <x v="0"/>
    <x v="3"/>
    <d v="2025-07-18T21:50:37"/>
    <m/>
    <m/>
    <x v="1"/>
    <n v="110"/>
    <s v="Diana William"/>
    <m/>
  </r>
  <r>
    <x v="301"/>
    <x v="0"/>
    <x v="2"/>
    <s v="CEMERAL_70007001433260"/>
    <s v="H000000434"/>
    <s v="H000000434"/>
    <s v="Non-LFF"/>
    <s v=""/>
    <m/>
    <b v="1"/>
    <x v="1"/>
    <x v="3"/>
    <d v="2025-07-23T21:50:37"/>
    <m/>
    <m/>
    <x v="1"/>
    <n v="107"/>
    <s v="Erjo Miguel Tagle"/>
    <m/>
  </r>
  <r>
    <x v="302"/>
    <x v="0"/>
    <x v="2"/>
    <s v="CLFF_1000$$$DE73GPS030"/>
    <s v="G000001282"/>
    <s v="G000001282"/>
    <s v="LFF (MDG-F)"/>
    <s v="DE73GPS030"/>
    <m/>
    <b v="1"/>
    <x v="0"/>
    <x v="3"/>
    <d v="2025-07-23T21:50:37"/>
    <m/>
    <m/>
    <x v="1"/>
    <n v="107"/>
    <s v="Jojeff Tagnong"/>
    <m/>
  </r>
  <r>
    <x v="302"/>
    <x v="0"/>
    <x v="2"/>
    <s v="CLFF_1000$$$DE73GPS031"/>
    <s v="G000001282"/>
    <s v="G000001282"/>
    <s v="LFF (MDG-F)"/>
    <s v="DE73GPS031"/>
    <m/>
    <b v="1"/>
    <x v="0"/>
    <x v="3"/>
    <d v="2025-07-23T21:50:37"/>
    <m/>
    <m/>
    <x v="1"/>
    <n v="107"/>
    <s v="Jojeff Tagnong"/>
    <m/>
  </r>
  <r>
    <x v="302"/>
    <x v="0"/>
    <x v="2"/>
    <s v="CLFF_1000$$$DE73GPS032"/>
    <s v="G000001282"/>
    <s v="G000001282"/>
    <s v="LFF (MDG-F)"/>
    <s v="DE73GPS032"/>
    <m/>
    <b v="1"/>
    <x v="0"/>
    <x v="3"/>
    <d v="2025-07-23T21:50:37"/>
    <m/>
    <m/>
    <x v="1"/>
    <n v="107"/>
    <s v="Jojeff Tagnong"/>
    <m/>
  </r>
  <r>
    <x v="302"/>
    <x v="0"/>
    <x v="2"/>
    <s v="CLFF_1000$$$DE73GPS033"/>
    <s v="G000001282"/>
    <s v="G000001282"/>
    <s v="LFF (MDG-F)"/>
    <s v="DE73GPS033"/>
    <m/>
    <b v="1"/>
    <x v="0"/>
    <x v="3"/>
    <d v="2025-07-23T21:50:37"/>
    <m/>
    <m/>
    <x v="1"/>
    <n v="107"/>
    <s v="Jojeff Tagnong"/>
    <m/>
  </r>
  <r>
    <x v="302"/>
    <x v="0"/>
    <x v="2"/>
    <s v="CLFF_1000$$$DE73GPS034"/>
    <s v="G000001282"/>
    <s v="G000001282"/>
    <s v="LFF (MDG-F)"/>
    <s v="DE73GPS034"/>
    <m/>
    <b v="1"/>
    <x v="0"/>
    <x v="3"/>
    <d v="2025-07-23T21:50:37"/>
    <m/>
    <m/>
    <x v="1"/>
    <n v="107"/>
    <s v="Jojeff Tagnong"/>
    <m/>
  </r>
  <r>
    <x v="302"/>
    <x v="0"/>
    <x v="2"/>
    <s v="CLFF_1000$$$DE73GPS035"/>
    <s v="G000001282"/>
    <s v="G000001282"/>
    <s v="LFF (MDG-F)"/>
    <s v="DE73GPS035"/>
    <m/>
    <b v="1"/>
    <x v="0"/>
    <x v="3"/>
    <d v="2025-07-23T21:50:37"/>
    <m/>
    <m/>
    <x v="1"/>
    <n v="107"/>
    <s v="Jojeff Tagnong"/>
    <m/>
  </r>
  <r>
    <x v="302"/>
    <x v="0"/>
    <x v="2"/>
    <s v="CLFF_1000$$$DE73GPS036"/>
    <s v="G000001282"/>
    <s v="G000001282"/>
    <s v="LFF (MDG-F)"/>
    <s v="DE73GPS036"/>
    <m/>
    <b v="1"/>
    <x v="0"/>
    <x v="3"/>
    <d v="2025-07-23T21:50:37"/>
    <m/>
    <m/>
    <x v="1"/>
    <n v="107"/>
    <s v="Jojeff Tagnong"/>
    <m/>
  </r>
  <r>
    <x v="302"/>
    <x v="0"/>
    <x v="2"/>
    <s v="CLFF_1000$$$DE73GPS037"/>
    <s v="G000001282"/>
    <s v="G000001282"/>
    <s v="LFF (MDG-F)"/>
    <s v="DE73GPS037"/>
    <m/>
    <b v="1"/>
    <x v="0"/>
    <x v="3"/>
    <d v="2025-07-23T21:50:37"/>
    <m/>
    <m/>
    <x v="1"/>
    <n v="107"/>
    <s v="Jojeff Tagnong"/>
    <m/>
  </r>
  <r>
    <x v="302"/>
    <x v="0"/>
    <x v="2"/>
    <s v="CLFF_1000$$$DE73GPS038"/>
    <s v="G000001282"/>
    <s v="G000001282"/>
    <s v="LFF (MDG-F)"/>
    <s v="DE73GPS038"/>
    <m/>
    <b v="1"/>
    <x v="0"/>
    <x v="3"/>
    <d v="2025-07-23T21:50:37"/>
    <m/>
    <m/>
    <x v="1"/>
    <n v="107"/>
    <s v="Jojeff Tagnong"/>
    <m/>
  </r>
  <r>
    <x v="302"/>
    <x v="0"/>
    <x v="2"/>
    <s v="CLFF_1000$$$DE73GPS039"/>
    <s v="G000001282"/>
    <s v="G000001282"/>
    <s v="LFF (MDG-F)"/>
    <s v="DE73GPS039"/>
    <m/>
    <b v="1"/>
    <x v="0"/>
    <x v="3"/>
    <d v="2025-07-23T21:50:37"/>
    <m/>
    <m/>
    <x v="1"/>
    <n v="107"/>
    <s v="Jojeff Tagnong"/>
    <m/>
  </r>
  <r>
    <x v="302"/>
    <x v="0"/>
    <x v="2"/>
    <s v="CLFF_1000$$$DE73GPS040"/>
    <s v="G000001282"/>
    <s v="G000001282"/>
    <s v="LFF (MDG-F)"/>
    <s v="DE73GPS040"/>
    <m/>
    <b v="1"/>
    <x v="0"/>
    <x v="3"/>
    <d v="2025-07-23T21:50:37"/>
    <m/>
    <m/>
    <x v="1"/>
    <n v="107"/>
    <s v="Jojeff Tagnong"/>
    <m/>
  </r>
  <r>
    <x v="302"/>
    <x v="0"/>
    <x v="2"/>
    <s v="CLFF_1000$$$CH65GPS030"/>
    <s v="G000001282"/>
    <s v="G000001282"/>
    <s v="LFF (MDG-F)"/>
    <s v="CH65GPS030"/>
    <m/>
    <b v="1"/>
    <x v="0"/>
    <x v="3"/>
    <d v="2025-07-23T21:50:37"/>
    <m/>
    <m/>
    <x v="1"/>
    <n v="107"/>
    <s v="Jojeff Tagnong"/>
    <m/>
  </r>
  <r>
    <x v="302"/>
    <x v="0"/>
    <x v="2"/>
    <s v="CLFF_1000$$$CH65GPS031"/>
    <s v="G000001282"/>
    <s v="G000001282"/>
    <s v="LFF (MDG-F)"/>
    <s v="CH65GPS031"/>
    <m/>
    <b v="1"/>
    <x v="0"/>
    <x v="3"/>
    <d v="2025-07-23T21:50:37"/>
    <m/>
    <m/>
    <x v="1"/>
    <n v="107"/>
    <s v="Jojeff Tagnong"/>
    <m/>
  </r>
  <r>
    <x v="302"/>
    <x v="0"/>
    <x v="2"/>
    <s v="CLFF_1000$$$CH65GPS032"/>
    <s v="G000001282"/>
    <s v="G000001282"/>
    <s v="LFF (MDG-F)"/>
    <s v="CH65GPS032"/>
    <m/>
    <b v="1"/>
    <x v="0"/>
    <x v="3"/>
    <d v="2025-07-23T21:50:37"/>
    <m/>
    <m/>
    <x v="1"/>
    <n v="107"/>
    <s v="Jojeff Tagnong"/>
    <m/>
  </r>
  <r>
    <x v="302"/>
    <x v="0"/>
    <x v="2"/>
    <s v="CLFF_1000$$$CH65GPS033"/>
    <s v="G000001282"/>
    <s v="G000001282"/>
    <s v="LFF (MDG-F)"/>
    <s v="CH65GPS033"/>
    <m/>
    <b v="1"/>
    <x v="0"/>
    <x v="3"/>
    <d v="2025-07-23T21:50:37"/>
    <m/>
    <m/>
    <x v="1"/>
    <n v="107"/>
    <s v="Jojeff Tagnong"/>
    <m/>
  </r>
  <r>
    <x v="302"/>
    <x v="0"/>
    <x v="2"/>
    <s v="CLFF_1000$$$CH65GPS034"/>
    <s v="G000001282"/>
    <s v="G000001282"/>
    <s v="LFF (MDG-F)"/>
    <s v="CH65GPS034"/>
    <m/>
    <b v="1"/>
    <x v="0"/>
    <x v="3"/>
    <d v="2025-07-23T21:50:37"/>
    <m/>
    <m/>
    <x v="1"/>
    <n v="107"/>
    <s v="Jojeff Tagnong"/>
    <m/>
  </r>
  <r>
    <x v="302"/>
    <x v="0"/>
    <x v="2"/>
    <s v="CLFF_1000$$$CH65GPS035"/>
    <s v="G000001282"/>
    <s v="G000001282"/>
    <s v="LFF (MDG-F)"/>
    <s v="CH65GPS035"/>
    <m/>
    <b v="1"/>
    <x v="0"/>
    <x v="3"/>
    <d v="2025-07-23T21:50:37"/>
    <m/>
    <m/>
    <x v="1"/>
    <n v="107"/>
    <s v="Jojeff Tagnong"/>
    <m/>
  </r>
  <r>
    <x v="302"/>
    <x v="0"/>
    <x v="2"/>
    <s v="CLFF_1000$$$CH65GPS036"/>
    <s v="G000001282"/>
    <s v="G000001282"/>
    <s v="LFF (MDG-F)"/>
    <s v="CH65GPS036"/>
    <m/>
    <b v="1"/>
    <x v="0"/>
    <x v="3"/>
    <d v="2025-07-23T21:50:37"/>
    <m/>
    <m/>
    <x v="1"/>
    <n v="107"/>
    <s v="Jojeff Tagnong"/>
    <m/>
  </r>
  <r>
    <x v="303"/>
    <x v="0"/>
    <x v="2"/>
    <s v="CLFF_7210$$$2102TASR00 Granite Project Cost Center"/>
    <s v="L000013816"/>
    <s v="L000013816"/>
    <s v="LFF (MDG-F)"/>
    <s v="2102TASR00"/>
    <m/>
    <b v="1"/>
    <x v="2"/>
    <x v="3"/>
    <d v="2025-07-23T00:00:00"/>
    <m/>
    <m/>
    <x v="1"/>
    <n v="107"/>
    <s v="Ruby Grace Garcia"/>
    <m/>
  </r>
  <r>
    <x v="303"/>
    <x v="0"/>
    <x v="2"/>
    <s v="CPHOENX_01010000680500 LSS Commercial Excellence"/>
    <s v="L000013183"/>
    <s v="L000013183"/>
    <s v="Non-LFF"/>
    <s v=""/>
    <m/>
    <b v="1"/>
    <x v="2"/>
    <x v="3"/>
    <d v="2025-07-23T00:00:00"/>
    <m/>
    <m/>
    <x v="1"/>
    <n v="107"/>
    <s v="Ruby Grace Garcia"/>
    <m/>
  </r>
  <r>
    <x v="303"/>
    <x v="0"/>
    <x v="2"/>
    <s v="CNOW_7210$$$0000057730 UK-GILLINGHAM SAFC Miscellaneous"/>
    <s v="L000010020"/>
    <s v="L000010020"/>
    <s v="Non-LFF"/>
    <s v=""/>
    <m/>
    <b v="1"/>
    <x v="2"/>
    <x v="3"/>
    <d v="2025-07-23T00:00:00"/>
    <m/>
    <m/>
    <x v="1"/>
    <n v="107"/>
    <s v="Ruby Grace Garcia"/>
    <m/>
  </r>
  <r>
    <x v="303"/>
    <x v="0"/>
    <x v="2"/>
    <s v="CNOW_7210$$$0000058696 Research Product Specialist"/>
    <s v="L000007835"/>
    <s v="L000007835"/>
    <s v="Non-LFF"/>
    <s v=""/>
    <m/>
    <b v="1"/>
    <x v="2"/>
    <x v="3"/>
    <d v="2025-07-23T00:00:00"/>
    <m/>
    <m/>
    <x v="1"/>
    <n v="107"/>
    <s v="Ruby Grace Garcia"/>
    <m/>
  </r>
  <r>
    <x v="303"/>
    <x v="0"/>
    <x v="2"/>
    <s v="CNOW_7210$$$0000040107 MWK Packaging EH&amp;S"/>
    <s v="L000010182"/>
    <s v="L000010182"/>
    <s v="Non-LFF"/>
    <s v=""/>
    <m/>
    <b v="1"/>
    <x v="2"/>
    <x v="3"/>
    <d v="2025-07-23T00:00:00"/>
    <m/>
    <m/>
    <x v="1"/>
    <n v="107"/>
    <s v="Ruby Grace Garcia"/>
    <m/>
  </r>
  <r>
    <x v="303"/>
    <x v="0"/>
    <x v="2"/>
    <s v="CNOW_7210$$$0000040807 MWK Scientific Kitchen"/>
    <s v="L000010182"/>
    <s v="L000010182"/>
    <s v="Non-LFF"/>
    <s v=""/>
    <m/>
    <b v="1"/>
    <x v="2"/>
    <x v="3"/>
    <d v="2025-07-23T00:00:00"/>
    <m/>
    <m/>
    <x v="1"/>
    <n v="107"/>
    <s v="Ruby Grace Garcia"/>
    <m/>
  </r>
  <r>
    <x v="303"/>
    <x v="0"/>
    <x v="2"/>
    <s v="CFLTFLE_22450000002763 EXL - Internal Project Management"/>
    <s v="L000013153"/>
    <s v="L000013153"/>
    <s v="Non-LFF"/>
    <s v=""/>
    <m/>
    <b v="1"/>
    <x v="2"/>
    <x v="3"/>
    <d v="2025-07-23T00:00:00"/>
    <m/>
    <m/>
    <x v="1"/>
    <n v="107"/>
    <s v="Ruby Grace Garcia"/>
    <m/>
  </r>
  <r>
    <x v="304"/>
    <x v="0"/>
    <x v="2"/>
    <s v="CPRJ-9520250001 Regeneron REGN17580"/>
    <s v="L000011470"/>
    <s v="L000011470"/>
    <s v="Non-LFF"/>
    <s v=""/>
    <m/>
    <b v="1"/>
    <x v="2"/>
    <x v="3"/>
    <d v="2025-07-23T00:00:00"/>
    <m/>
    <m/>
    <x v="1"/>
    <n v="107"/>
    <s v="Joan Rose Pena"/>
    <m/>
  </r>
  <r>
    <x v="304"/>
    <x v="0"/>
    <x v="2"/>
    <s v="CPRJ-9520250004 Regeneron REGN7990-M6324"/>
    <s v="L000011470"/>
    <s v="L000011470"/>
    <s v="Non-LFF"/>
    <s v=""/>
    <m/>
    <b v="1"/>
    <x v="2"/>
    <x v="3"/>
    <d v="2025-07-23T00:00:00"/>
    <m/>
    <m/>
    <x v="1"/>
    <n v="107"/>
    <s v="Joan Rose Pena"/>
    <m/>
  </r>
  <r>
    <x v="304"/>
    <x v="0"/>
    <x v="2"/>
    <s v="CORAERP_MMOR1975.RLP8X "/>
    <s v="L000009206"/>
    <s v="L000009206"/>
    <s v="Non-LFF"/>
    <s v=""/>
    <m/>
    <b v="1"/>
    <x v="2"/>
    <x v="3"/>
    <d v="2025-07-23T00:00:00"/>
    <m/>
    <m/>
    <x v="1"/>
    <n v="107"/>
    <s v="Joan Rose Pena"/>
    <m/>
  </r>
  <r>
    <x v="305"/>
    <x v="0"/>
    <x v="2"/>
    <s v="CSCALA_1826$834_C81"/>
    <s v="G000000630"/>
    <s v="G000000630"/>
    <s v="Non-LFF"/>
    <s v=""/>
    <s v="Mapped to another node"/>
    <b v="1"/>
    <x v="0"/>
    <x v="3"/>
    <d v="2025-07-24T12:24:11"/>
    <m/>
    <m/>
    <x v="1"/>
    <n v="106"/>
    <s v="Jojeff Tagnong"/>
    <m/>
  </r>
  <r>
    <x v="305"/>
    <x v="0"/>
    <x v="2"/>
    <s v="CSCALA_1826$834_HR1"/>
    <s v="G000000630"/>
    <s v="G000000630"/>
    <s v="Non-LFF"/>
    <s v=""/>
    <s v="Mapped to another node"/>
    <b v="1"/>
    <x v="0"/>
    <x v="3"/>
    <d v="2025-07-24T12:24:11"/>
    <m/>
    <m/>
    <x v="1"/>
    <n v="106"/>
    <s v="Jojeff Tagnong"/>
    <m/>
  </r>
  <r>
    <x v="306"/>
    <x v="0"/>
    <x v="2"/>
    <s v="CSCALA_1826$834_C81"/>
    <s v="L000013387"/>
    <s v="L000013387"/>
    <s v="Non-LFF"/>
    <s v=""/>
    <m/>
    <b v="1"/>
    <x v="0"/>
    <x v="3"/>
    <d v="2025-07-28T12:24:11"/>
    <m/>
    <m/>
    <x v="1"/>
    <n v="104"/>
    <s v="Jojeff Tagnong"/>
    <m/>
  </r>
  <r>
    <x v="306"/>
    <x v="0"/>
    <x v="2"/>
    <s v="CSCALA_1826$834_HR1"/>
    <s v="L000013387"/>
    <s v="L000013387"/>
    <s v="Non-LFF"/>
    <s v=""/>
    <m/>
    <b v="1"/>
    <x v="0"/>
    <x v="3"/>
    <d v="2025-07-28T12:24:11"/>
    <m/>
    <m/>
    <x v="1"/>
    <n v="104"/>
    <s v="Jojeff Tagnong"/>
    <m/>
  </r>
  <r>
    <x v="306"/>
    <x v="0"/>
    <x v="2"/>
    <s v="CSCALA_1826$0000000834"/>
    <s v="G000000630"/>
    <s v="G000000630"/>
    <s v="Non-LFF"/>
    <s v=""/>
    <m/>
    <b v="1"/>
    <x v="0"/>
    <x v="3"/>
    <d v="2025-07-28T12:24:11"/>
    <m/>
    <m/>
    <x v="1"/>
    <n v="104"/>
    <s v="Jojeff Tagnong"/>
    <m/>
  </r>
  <r>
    <x v="307"/>
    <x v="0"/>
    <x v="2"/>
    <s v="CORAERP_MMOR1975.6726 Exec Projects R&amp;D"/>
    <s v="L000011152"/>
    <s v="L000011152"/>
    <s v="Non-LFF"/>
    <s v=""/>
    <m/>
    <b v="1"/>
    <x v="2"/>
    <x v="3"/>
    <d v="2025-07-28T12:24:11"/>
    <m/>
    <m/>
    <x v="1"/>
    <n v="104"/>
    <s v="Ruby Grace Garcia"/>
    <m/>
  </r>
  <r>
    <x v="307"/>
    <x v="0"/>
    <x v="2"/>
    <s v="CPHOENX_01010000697860 LS R&amp;D Executive Projects"/>
    <s v="L000011152"/>
    <s v="L000011152"/>
    <s v="Non-LFF"/>
    <s v=""/>
    <m/>
    <b v="1"/>
    <x v="2"/>
    <x v="3"/>
    <d v="2025-07-28T12:24:11"/>
    <m/>
    <m/>
    <x v="1"/>
    <n v="104"/>
    <s v="Ruby Grace Garcia"/>
    <m/>
  </r>
  <r>
    <x v="308"/>
    <x v="0"/>
    <x v="2"/>
    <s v="CNOW_7210$$$P551015418"/>
    <s v="L000009469"/>
    <s v="L000009469"/>
    <s v="Non-LFF"/>
    <s v=""/>
    <m/>
    <b v="1"/>
    <x v="2"/>
    <x v="3"/>
    <d v="2025-07-28T12:24:11"/>
    <m/>
    <m/>
    <x v="1"/>
    <n v="104"/>
    <s v="Joan Rose Pena"/>
    <m/>
  </r>
  <r>
    <x v="309"/>
    <x v="0"/>
    <x v="2"/>
    <s v="CLFF_1000$$$NO50R00005"/>
    <s v="H000000729"/>
    <s v="H000000729"/>
    <s v="LFF (MDG-F)"/>
    <s v="NO50R00005"/>
    <m/>
    <b v="1"/>
    <x v="1"/>
    <x v="3"/>
    <d v="2025-07-28T12:24:11"/>
    <m/>
    <m/>
    <x v="1"/>
    <n v="104"/>
    <s v="Gay Geanuza del Mundo"/>
    <m/>
  </r>
  <r>
    <x v="309"/>
    <x v="0"/>
    <x v="2"/>
    <s v="CLFF_1000$$$CH75L70000"/>
    <s v="H000000910"/>
    <s v="H000000910"/>
    <s v="LFF (MDG-F)"/>
    <s v="CH75L70000"/>
    <m/>
    <b v="1"/>
    <x v="1"/>
    <x v="3"/>
    <d v="2025-07-28T12:24:11"/>
    <m/>
    <m/>
    <x v="1"/>
    <n v="104"/>
    <s v="Gay Geanuza del Mundo"/>
    <m/>
  </r>
  <r>
    <x v="309"/>
    <x v="0"/>
    <x v="2"/>
    <s v="CLFF_1000$$$DE50R06355"/>
    <s v="H000000737"/>
    <s v="H000000737"/>
    <s v="LFF (MDG-F)"/>
    <s v="DE50R06355"/>
    <m/>
    <b v="1"/>
    <x v="1"/>
    <x v="3"/>
    <d v="2025-07-28T12:24:11"/>
    <m/>
    <m/>
    <x v="1"/>
    <n v="104"/>
    <s v="Gay Geanuza del Mundo"/>
    <m/>
  </r>
  <r>
    <x v="310"/>
    <x v="0"/>
    <x v="2"/>
    <s v="ITEMPLA_001520001102"/>
    <s v="H000002867"/>
    <s v="H000002867"/>
    <s v="Non-LFF"/>
    <s v=""/>
    <m/>
    <b v="1"/>
    <x v="1"/>
    <x v="3"/>
    <d v="2025-07-28T12:24:11"/>
    <m/>
    <m/>
    <x v="1"/>
    <n v="104"/>
    <s v="Henry Ifurung Jr."/>
    <m/>
  </r>
  <r>
    <x v="311"/>
    <x v="0"/>
    <x v="2"/>
    <s v="CNOW_7210$$$0000056337 "/>
    <s v="L000013375"/>
    <s v="L000013375"/>
    <s v="Non-LFF"/>
    <s v=""/>
    <m/>
    <b v="1"/>
    <x v="2"/>
    <x v="3"/>
    <d v="2025-07-30T00:00:00"/>
    <m/>
    <m/>
    <x v="1"/>
    <n v="102"/>
    <s v="Joan Rose Pena"/>
    <m/>
  </r>
  <r>
    <x v="311"/>
    <x v="0"/>
    <x v="2"/>
    <s v="CNOW_7210$$$0000052358 "/>
    <s v="L000013120"/>
    <s v="L000013120"/>
    <s v="Non-LFF"/>
    <s v=""/>
    <m/>
    <b v="1"/>
    <x v="2"/>
    <x v="3"/>
    <d v="2025-07-30T00:00:00"/>
    <m/>
    <m/>
    <x v="1"/>
    <n v="102"/>
    <s v="Joan Rose Pena"/>
    <m/>
  </r>
  <r>
    <x v="311"/>
    <x v="0"/>
    <x v="2"/>
    <s v="CNOW_ROW$$$$0000091826 "/>
    <s v="L000013436"/>
    <s v="L000013436"/>
    <s v="Non-LFF"/>
    <s v=""/>
    <m/>
    <b v="1"/>
    <x v="2"/>
    <x v="3"/>
    <d v="2025-07-30T00:00:00"/>
    <m/>
    <m/>
    <x v="1"/>
    <n v="102"/>
    <s v="Joan Rose Pena"/>
    <m/>
  </r>
  <r>
    <x v="311"/>
    <x v="0"/>
    <x v="2"/>
    <s v="CNOW_7210$$$0000270009 "/>
    <s v="L000013276"/>
    <s v="L000013276"/>
    <s v="Non-LFF"/>
    <s v=""/>
    <m/>
    <b v="1"/>
    <x v="2"/>
    <x v="3"/>
    <d v="2025-07-30T00:00:00"/>
    <m/>
    <m/>
    <x v="1"/>
    <n v="102"/>
    <s v="Joan Rose Pena"/>
    <m/>
  </r>
  <r>
    <x v="311"/>
    <x v="0"/>
    <x v="2"/>
    <s v="CNOW_7210$$$0000015416 "/>
    <s v="L000010037"/>
    <s v="L000010037"/>
    <s v="Non-LFF"/>
    <s v=""/>
    <m/>
    <b v="1"/>
    <x v="2"/>
    <x v="3"/>
    <d v="2025-07-30T00:00:00"/>
    <m/>
    <m/>
    <x v="1"/>
    <n v="102"/>
    <s v="Joan Rose Pena"/>
    <m/>
  </r>
  <r>
    <x v="311"/>
    <x v="0"/>
    <x v="2"/>
    <s v="CNOW_7210$$$0000056421 "/>
    <s v="L000011306"/>
    <s v="L000011306"/>
    <s v="Non-LFF"/>
    <s v=""/>
    <m/>
    <b v="1"/>
    <x v="2"/>
    <x v="3"/>
    <d v="2025-07-30T00:00:00"/>
    <m/>
    <m/>
    <x v="1"/>
    <n v="102"/>
    <s v="Joan Rose Pena"/>
    <m/>
  </r>
  <r>
    <x v="311"/>
    <x v="0"/>
    <x v="2"/>
    <s v="D30013400000000 Project Lotus"/>
    <s v="L000006623"/>
    <s v="L000006623"/>
    <s v="Non-LFF"/>
    <s v=""/>
    <m/>
    <b v="1"/>
    <x v="2"/>
    <x v="3"/>
    <d v="2025-07-30T00:00:00"/>
    <m/>
    <m/>
    <x v="1"/>
    <n v="102"/>
    <s v="Joan Rose Pena"/>
    <m/>
  </r>
  <r>
    <x v="312"/>
    <x v="0"/>
    <x v="2"/>
    <s v="CLFF_1000$$$DE10GTX000"/>
    <s v="G000001428"/>
    <s v="G000001428"/>
    <s v="LFF (MDG-F)"/>
    <s v="DE10GTX000"/>
    <m/>
    <b v="1"/>
    <x v="0"/>
    <x v="3"/>
    <d v="2025-07-30T00:00:00"/>
    <m/>
    <m/>
    <x v="1"/>
    <n v="102"/>
    <s v="Jojeff Tagnong"/>
    <m/>
  </r>
  <r>
    <x v="312"/>
    <x v="0"/>
    <x v="2"/>
    <s v="CSCALA_1022$RDO"/>
    <s v="H000004398"/>
    <s v="H000004398"/>
    <s v="Non-LFF"/>
    <s v=""/>
    <m/>
    <b v="1"/>
    <x v="1"/>
    <x v="3"/>
    <d v="2025-07-31T00:00:00"/>
    <m/>
    <m/>
    <x v="1"/>
    <n v="101"/>
    <s v="Erjo Miguel Tagle"/>
    <m/>
  </r>
  <r>
    <x v="312"/>
    <x v="0"/>
    <x v="2"/>
    <s v="CSCALA_1022$RDO_L25"/>
    <s v="H000004398"/>
    <s v="H000004398"/>
    <s v="Non-LFF"/>
    <s v=""/>
    <m/>
    <b v="1"/>
    <x v="1"/>
    <x v="3"/>
    <d v="2025-07-31T00:00:00"/>
    <m/>
    <m/>
    <x v="1"/>
    <n v="101"/>
    <s v="Erjo Miguel Tagle"/>
    <m/>
  </r>
  <r>
    <x v="312"/>
    <x v="0"/>
    <x v="2"/>
    <s v="CSCALA_1820$Q319_P93"/>
    <s v="H000004399"/>
    <s v="H000004399"/>
    <s v="Non-LFF"/>
    <s v=""/>
    <m/>
    <b v="1"/>
    <x v="1"/>
    <x v="3"/>
    <d v="2025-07-31T00:00:00"/>
    <m/>
    <m/>
    <x v="1"/>
    <n v="101"/>
    <s v="Erjo Miguel Tagle"/>
    <m/>
  </r>
  <r>
    <x v="312"/>
    <x v="0"/>
    <x v="2"/>
    <s v="CSCALA_1820$Q319_P94"/>
    <s v="H000004399"/>
    <s v="H000004399"/>
    <s v="Non-LFF"/>
    <s v=""/>
    <m/>
    <b v="1"/>
    <x v="1"/>
    <x v="3"/>
    <d v="2025-07-31T00:00:00"/>
    <m/>
    <m/>
    <x v="1"/>
    <n v="101"/>
    <s v="Erjo Miguel Tagle"/>
    <m/>
  </r>
  <r>
    <x v="312"/>
    <x v="0"/>
    <x v="2"/>
    <s v="CSCALA_1820$Q319_P95"/>
    <s v="H000004399"/>
    <s v="H000004399"/>
    <s v="Non-LFF"/>
    <s v=""/>
    <m/>
    <b v="1"/>
    <x v="1"/>
    <x v="3"/>
    <d v="2025-07-31T00:00:00"/>
    <m/>
    <m/>
    <x v="1"/>
    <n v="101"/>
    <s v="Erjo Miguel Tagle"/>
    <m/>
  </r>
  <r>
    <x v="312"/>
    <x v="0"/>
    <x v="2"/>
    <s v="CSCALA_1820$Q319_P96"/>
    <s v="H000004399"/>
    <s v="H000004399"/>
    <s v="Non-LFF"/>
    <s v=""/>
    <m/>
    <b v="1"/>
    <x v="1"/>
    <x v="3"/>
    <d v="2025-07-31T00:00:00"/>
    <m/>
    <m/>
    <x v="1"/>
    <n v="101"/>
    <s v="Erjo Miguel Tagle"/>
    <m/>
  </r>
  <r>
    <x v="312"/>
    <x v="0"/>
    <x v="2"/>
    <s v="CSCALA_1820$Q319_P98"/>
    <s v="H000004399"/>
    <s v="H000004399"/>
    <s v="Non-LFF"/>
    <s v=""/>
    <m/>
    <b v="1"/>
    <x v="1"/>
    <x v="3"/>
    <d v="2025-07-31T00:00:00"/>
    <m/>
    <m/>
    <x v="1"/>
    <n v="101"/>
    <s v="Erjo Miguel Tagle"/>
    <m/>
  </r>
  <r>
    <x v="312"/>
    <x v="0"/>
    <x v="2"/>
    <s v="CSCALA_1820$Q319_Q03"/>
    <s v="H000004399"/>
    <s v="H000004399"/>
    <s v="Non-LFF"/>
    <s v=""/>
    <m/>
    <b v="1"/>
    <x v="1"/>
    <x v="3"/>
    <d v="2025-07-31T00:00:00"/>
    <m/>
    <m/>
    <x v="1"/>
    <n v="101"/>
    <s v="Erjo Miguel Tagle"/>
    <m/>
  </r>
  <r>
    <x v="312"/>
    <x v="0"/>
    <x v="2"/>
    <s v="CSCALA_1820$Q319_Q05"/>
    <s v="H000004399"/>
    <s v="H000004399"/>
    <s v="Non-LFF"/>
    <s v=""/>
    <m/>
    <b v="1"/>
    <x v="1"/>
    <x v="3"/>
    <d v="2025-07-31T00:00:00"/>
    <m/>
    <m/>
    <x v="1"/>
    <n v="101"/>
    <s v="Erjo Miguel Tagle"/>
    <m/>
  </r>
  <r>
    <x v="312"/>
    <x v="0"/>
    <x v="2"/>
    <s v="CSCALA_1820$Q326"/>
    <s v="H000004400"/>
    <s v="H000004400"/>
    <s v="Non-LFF"/>
    <s v=""/>
    <m/>
    <b v="1"/>
    <x v="1"/>
    <x v="3"/>
    <d v="2025-07-31T00:00:00"/>
    <m/>
    <m/>
    <x v="1"/>
    <n v="101"/>
    <s v="Erjo Miguel Tagle"/>
    <m/>
  </r>
  <r>
    <x v="312"/>
    <x v="0"/>
    <x v="2"/>
    <s v="CSCALA_1820$Q326_H99"/>
    <s v="H000004400"/>
    <s v="H000004400"/>
    <s v="Non-LFF"/>
    <s v=""/>
    <m/>
    <b v="1"/>
    <x v="1"/>
    <x v="3"/>
    <d v="2025-07-31T00:00:00"/>
    <m/>
    <m/>
    <x v="1"/>
    <n v="101"/>
    <s v="Erjo Miguel Tagle"/>
    <m/>
  </r>
  <r>
    <x v="312"/>
    <x v="0"/>
    <x v="2"/>
    <s v="CSCALA_1820$Q326_P93"/>
    <s v="H000004400"/>
    <s v="H000004400"/>
    <s v="Non-LFF"/>
    <s v=""/>
    <m/>
    <b v="1"/>
    <x v="1"/>
    <x v="3"/>
    <d v="2025-07-31T00:00:00"/>
    <m/>
    <m/>
    <x v="1"/>
    <n v="101"/>
    <s v="Erjo Miguel Tagle"/>
    <m/>
  </r>
  <r>
    <x v="312"/>
    <x v="0"/>
    <x v="2"/>
    <s v="CSCALA_1248$VR00"/>
    <s v="H000004401"/>
    <s v="H000004401"/>
    <s v="Non-LFF"/>
    <s v=""/>
    <m/>
    <b v="1"/>
    <x v="1"/>
    <x v="3"/>
    <d v="2025-07-31T00:00:00"/>
    <m/>
    <m/>
    <x v="1"/>
    <n v="101"/>
    <s v="Erjo Miguel Tagle"/>
    <m/>
  </r>
  <r>
    <x v="312"/>
    <x v="0"/>
    <x v="2"/>
    <s v="CSCALA_1248$VR00_CMO"/>
    <s v="H000004401"/>
    <s v="H000004401"/>
    <s v="Non-LFF"/>
    <s v=""/>
    <m/>
    <b v="1"/>
    <x v="1"/>
    <x v="3"/>
    <d v="2025-07-31T00:00:00"/>
    <m/>
    <m/>
    <x v="1"/>
    <n v="101"/>
    <s v="Erjo Miguel Tagle"/>
    <m/>
  </r>
  <r>
    <x v="312"/>
    <x v="0"/>
    <x v="2"/>
    <s v="CSCALA_1820$Q319"/>
    <s v="H000004399"/>
    <s v="H000004399"/>
    <s v="Non-LFF"/>
    <s v=""/>
    <m/>
    <b v="1"/>
    <x v="1"/>
    <x v="3"/>
    <d v="2025-07-31T00:00:00"/>
    <m/>
    <m/>
    <x v="1"/>
    <n v="101"/>
    <s v="Erjo Miguel Tagle"/>
    <m/>
  </r>
  <r>
    <x v="312"/>
    <x v="0"/>
    <x v="2"/>
    <s v="CSCALA_1826$450_BD"/>
    <s v="H000004402"/>
    <s v="H000004402"/>
    <s v="Non-LFF"/>
    <s v=""/>
    <m/>
    <b v="1"/>
    <x v="1"/>
    <x v="3"/>
    <d v="2025-07-31T00:00:00"/>
    <m/>
    <m/>
    <x v="1"/>
    <n v="101"/>
    <s v="Erjo Miguel Tagle"/>
    <m/>
  </r>
  <r>
    <x v="312"/>
    <x v="0"/>
    <x v="2"/>
    <s v="CSCALA_1826$450_C85"/>
    <s v="H000004402"/>
    <s v="H000004402"/>
    <s v="Non-LFF"/>
    <s v=""/>
    <m/>
    <b v="1"/>
    <x v="1"/>
    <x v="3"/>
    <d v="2025-07-31T00:00:00"/>
    <m/>
    <m/>
    <x v="1"/>
    <n v="101"/>
    <s v="Erjo Miguel Tagle"/>
    <m/>
  </r>
  <r>
    <x v="313"/>
    <x v="0"/>
    <x v="2"/>
    <s v="ILEAN_005100310189"/>
    <s v="H000000181"/>
    <s v="H000000181"/>
    <s v="Non-LFF"/>
    <s v=""/>
    <m/>
    <b v="1"/>
    <x v="1"/>
    <x v="3"/>
    <d v="2025-08-04T00:00:00"/>
    <m/>
    <m/>
    <x v="1"/>
    <n v="99"/>
    <s v="Rayneil Reas"/>
    <m/>
  </r>
  <r>
    <x v="313"/>
    <x v="0"/>
    <x v="2"/>
    <s v="PLEAN_X310132IT5521201 TEP MED med activities (non-R&amp;D) DON"/>
    <s v="H000000181"/>
    <s v="H000000181"/>
    <s v="Non-LFF"/>
    <s v=""/>
    <m/>
    <b v="1"/>
    <x v="1"/>
    <x v="3"/>
    <d v="2025-08-04T00:00:00"/>
    <m/>
    <m/>
    <x v="1"/>
    <n v="99"/>
    <s v="Rayneil Reas"/>
    <m/>
  </r>
  <r>
    <x v="313"/>
    <x v="0"/>
    <x v="2"/>
    <s v="CSCALA_1758$0000011405"/>
    <s v="H000000237"/>
    <s v="H000000237"/>
    <s v="Non-LFF"/>
    <s v=""/>
    <m/>
    <b v="1"/>
    <x v="1"/>
    <x v="3"/>
    <d v="2025-08-04T00:00:00"/>
    <m/>
    <m/>
    <x v="1"/>
    <n v="99"/>
    <s v="Rayneil Reas"/>
    <m/>
  </r>
  <r>
    <x v="313"/>
    <x v="0"/>
    <x v="2"/>
    <s v="CSCALA_1758$PSE"/>
    <s v="H000000237"/>
    <s v="H000000237"/>
    <s v="Non-LFF"/>
    <s v=""/>
    <m/>
    <b v="1"/>
    <x v="1"/>
    <x v="3"/>
    <d v="2025-08-04T00:00:00"/>
    <m/>
    <m/>
    <x v="1"/>
    <n v="99"/>
    <s v="Rayneil Reas"/>
    <m/>
  </r>
  <r>
    <x v="313"/>
    <x v="0"/>
    <x v="2"/>
    <s v="CSCALA_1758$GFERP"/>
    <s v="H000000237"/>
    <s v="H000000237"/>
    <s v="Non-LFF"/>
    <s v=""/>
    <m/>
    <b v="1"/>
    <x v="1"/>
    <x v="3"/>
    <d v="2025-08-04T00:00:00"/>
    <m/>
    <m/>
    <x v="1"/>
    <n v="99"/>
    <s v="Rayneil Reas"/>
    <m/>
  </r>
  <r>
    <x v="313"/>
    <x v="0"/>
    <x v="2"/>
    <s v="PLEAN_X310181SE5010201 Bavencio Commercial SE50 Promo Material"/>
    <s v="H000000238"/>
    <s v="H000000238"/>
    <s v="Non-LFF"/>
    <s v=""/>
    <m/>
    <b v="1"/>
    <x v="1"/>
    <x v="3"/>
    <d v="2025-08-04T00:00:00"/>
    <m/>
    <m/>
    <x v="1"/>
    <n v="99"/>
    <s v="Rayneil Reas"/>
    <m/>
  </r>
  <r>
    <x v="313"/>
    <x v="0"/>
    <x v="2"/>
    <s v="PLEAN_X310181SE5011201 Bavencio Commercial SE50 Advertising Gen"/>
    <s v="H000000238"/>
    <s v="H000000238"/>
    <s v="Non-LFF"/>
    <s v=""/>
    <m/>
    <b v="1"/>
    <x v="1"/>
    <x v="3"/>
    <d v="2025-08-04T00:00:00"/>
    <m/>
    <m/>
    <x v="1"/>
    <n v="99"/>
    <s v="Rayneil Reas"/>
    <m/>
  </r>
  <r>
    <x v="313"/>
    <x v="0"/>
    <x v="2"/>
    <s v="PLEAN_X310181SE5015201 Bavencio Commercial SE50 Other Promo and"/>
    <s v="H000000238"/>
    <s v="H000000238"/>
    <s v="Non-LFF"/>
    <s v=""/>
    <m/>
    <b v="1"/>
    <x v="1"/>
    <x v="3"/>
    <d v="2025-08-04T00:00:00"/>
    <m/>
    <m/>
    <x v="1"/>
    <n v="99"/>
    <s v="Rayneil Reas"/>
    <m/>
  </r>
  <r>
    <x v="313"/>
    <x v="0"/>
    <x v="2"/>
    <s v="PLEAN_X310182LT5022201 Bavencio Medical Non R&amp;D LT50 Medical Co"/>
    <s v="H000000227"/>
    <s v="H000000227"/>
    <s v="Non-LFF"/>
    <s v=""/>
    <m/>
    <b v="1"/>
    <x v="1"/>
    <x v="3"/>
    <d v="2025-08-04T00:00:00"/>
    <m/>
    <m/>
    <x v="1"/>
    <n v="99"/>
    <s v="Rayneil Reas"/>
    <m/>
  </r>
  <r>
    <x v="313"/>
    <x v="0"/>
    <x v="2"/>
    <s v="PLEAN_X310182SE5022201 Bavencio Medical Non R&amp;D SE50 Medical Co"/>
    <s v="H000000238"/>
    <s v="H000000238"/>
    <s v="Non-LFF"/>
    <s v=""/>
    <m/>
    <b v="1"/>
    <x v="1"/>
    <x v="3"/>
    <d v="2025-08-04T00:00:00"/>
    <m/>
    <m/>
    <x v="1"/>
    <n v="99"/>
    <s v="Rayneil Reas"/>
    <m/>
  </r>
  <r>
    <x v="313"/>
    <x v="0"/>
    <x v="2"/>
    <s v="PLEAN_X310182SE5023201 Bavencio Medical Non R&amp;D SE50 Other Medi"/>
    <s v="H000000238"/>
    <s v="H000000238"/>
    <s v="Non-LFF"/>
    <s v=""/>
    <m/>
    <b v="1"/>
    <x v="1"/>
    <x v="3"/>
    <d v="2025-08-04T00:00:00"/>
    <m/>
    <m/>
    <x v="1"/>
    <n v="99"/>
    <s v="Rayneil Reas"/>
    <m/>
  </r>
  <r>
    <x v="313"/>
    <x v="0"/>
    <x v="2"/>
    <s v="PLEAN_X310941SE5010201 Tepmetko Commercial SE50 Promo Material"/>
    <s v="H000000238"/>
    <s v="H000000238"/>
    <s v="Non-LFF"/>
    <s v=""/>
    <m/>
    <b v="1"/>
    <x v="1"/>
    <x v="3"/>
    <d v="2025-08-04T00:00:00"/>
    <m/>
    <m/>
    <x v="1"/>
    <n v="99"/>
    <s v="Rayneil Reas"/>
    <m/>
  </r>
  <r>
    <x v="313"/>
    <x v="0"/>
    <x v="2"/>
    <s v="PLEAN_X310941SE5015201 Tepmetko Commercial SE50 Other Promo and"/>
    <s v="H000000238"/>
    <s v="H000000238"/>
    <s v="Non-LFF"/>
    <s v=""/>
    <m/>
    <b v="1"/>
    <x v="1"/>
    <x v="3"/>
    <d v="2025-08-04T00:00:00"/>
    <m/>
    <m/>
    <x v="1"/>
    <n v="99"/>
    <s v="Rayneil Reas"/>
    <m/>
  </r>
  <r>
    <x v="313"/>
    <x v="0"/>
    <x v="2"/>
    <s v="PLEAN_X310942SE5022201 Tepmetko Medical Non R&amp;D SE50 Medical Co"/>
    <s v="H000000238"/>
    <s v="H000000238"/>
    <s v="Non-LFF"/>
    <s v=""/>
    <m/>
    <b v="1"/>
    <x v="1"/>
    <x v="3"/>
    <d v="2025-08-04T00:00:00"/>
    <m/>
    <m/>
    <x v="1"/>
    <n v="99"/>
    <s v="Rayneil Reas"/>
    <m/>
  </r>
  <r>
    <x v="313"/>
    <x v="0"/>
    <x v="2"/>
    <s v="CSCALA_1758$0000017003"/>
    <s v="H000000237"/>
    <s v="H000000237"/>
    <s v="Non-LFF"/>
    <s v=""/>
    <m/>
    <b v="1"/>
    <x v="1"/>
    <x v="3"/>
    <d v="2025-08-04T00:00:00"/>
    <m/>
    <m/>
    <x v="1"/>
    <n v="99"/>
    <s v="Rayneil Reas"/>
    <m/>
  </r>
  <r>
    <x v="313"/>
    <x v="0"/>
    <x v="2"/>
    <s v="PLEAN_X310201EE5013201 Fertility Commercial EE50 Congress &amp; Eve"/>
    <s v="H000000219"/>
    <s v="H000000219"/>
    <s v="Non-LFF"/>
    <s v=""/>
    <m/>
    <b v="1"/>
    <x v="1"/>
    <x v="3"/>
    <d v="2025-08-04T00:00:00"/>
    <m/>
    <m/>
    <x v="1"/>
    <n v="99"/>
    <s v="Rayneil Reas"/>
    <m/>
  </r>
  <r>
    <x v="313"/>
    <x v="0"/>
    <x v="2"/>
    <s v="PLEAN_X310201LV5013201 Fertility Commercial LV50 Congress &amp; Eve"/>
    <s v="H000000229"/>
    <s v="H000000229"/>
    <s v="Non-LFF"/>
    <s v=""/>
    <m/>
    <b v="1"/>
    <x v="1"/>
    <x v="3"/>
    <d v="2025-08-04T00:00:00"/>
    <m/>
    <m/>
    <x v="1"/>
    <n v="99"/>
    <s v="Rayneil Reas"/>
    <m/>
  </r>
  <r>
    <x v="313"/>
    <x v="0"/>
    <x v="2"/>
    <s v="PLEAN_X310201SE5010201 Fertility Commercial SE50 Promo Material"/>
    <s v="H000000238"/>
    <s v="H000000238"/>
    <s v="Non-LFF"/>
    <s v=""/>
    <m/>
    <b v="1"/>
    <x v="1"/>
    <x v="3"/>
    <d v="2025-08-04T00:00:00"/>
    <m/>
    <m/>
    <x v="1"/>
    <n v="99"/>
    <s v="Rayneil Reas"/>
    <m/>
  </r>
  <r>
    <x v="313"/>
    <x v="0"/>
    <x v="2"/>
    <s v="PLEAN_X310201SE5011201 Fertility Commercial SE50 Advertising Ge"/>
    <s v="H000000238"/>
    <s v="H000000238"/>
    <s v="Non-LFF"/>
    <s v=""/>
    <m/>
    <b v="1"/>
    <x v="1"/>
    <x v="3"/>
    <d v="2025-08-04T00:00:00"/>
    <m/>
    <m/>
    <x v="1"/>
    <n v="99"/>
    <s v="Rayneil Reas"/>
    <m/>
  </r>
  <r>
    <x v="313"/>
    <x v="0"/>
    <x v="2"/>
    <s v="PLEAN_X310201SE5013201 Fertility Commercial SE50 CongrSEs &amp; Eve"/>
    <s v="H000000238"/>
    <s v="H000000238"/>
    <s v="Non-LFF"/>
    <s v=""/>
    <m/>
    <b v="1"/>
    <x v="1"/>
    <x v="3"/>
    <d v="2025-08-04T00:00:00"/>
    <m/>
    <m/>
    <x v="1"/>
    <n v="99"/>
    <s v="Rayneil Reas"/>
    <m/>
  </r>
  <r>
    <x v="313"/>
    <x v="0"/>
    <x v="2"/>
    <s v="PLEAN_X310301LV5013201 Gluco Commercial LV50 Congress &amp; Events"/>
    <s v="H000000229"/>
    <s v="H000000229"/>
    <s v="Non-LFF"/>
    <s v=""/>
    <m/>
    <b v="1"/>
    <x v="1"/>
    <x v="3"/>
    <d v="2025-08-04T00:00:00"/>
    <m/>
    <m/>
    <x v="1"/>
    <n v="99"/>
    <s v="Rayneil Reas"/>
    <m/>
  </r>
  <r>
    <x v="313"/>
    <x v="0"/>
    <x v="2"/>
    <s v="PLEAN_X310401SE5013201 Saizen Commercial SE50 CongrSEs &amp; Events"/>
    <s v="H000000238"/>
    <s v="H000000238"/>
    <s v="Non-LFF"/>
    <s v=""/>
    <m/>
    <b v="1"/>
    <x v="1"/>
    <x v="3"/>
    <d v="2025-08-04T00:00:00"/>
    <m/>
    <m/>
    <x v="1"/>
    <n v="99"/>
    <s v="Rayneil Reas"/>
    <m/>
  </r>
  <r>
    <x v="313"/>
    <x v="0"/>
    <x v="2"/>
    <s v="PLEAN_X310401SE5015201 Saizen Commercial SE50 Other Promo and A"/>
    <s v="H000000238"/>
    <s v="H000000238"/>
    <s v="Non-LFF"/>
    <s v=""/>
    <m/>
    <b v="1"/>
    <x v="1"/>
    <x v="3"/>
    <d v="2025-08-04T00:00:00"/>
    <m/>
    <m/>
    <x v="1"/>
    <n v="99"/>
    <s v="Rayneil Reas"/>
    <m/>
  </r>
  <r>
    <x v="313"/>
    <x v="0"/>
    <x v="2"/>
    <s v="PLEAN_X310511LV5013201 Mavenclad Commercial LV50 Congress &amp; Eve"/>
    <s v="H000000229"/>
    <s v="H000000229"/>
    <s v="Non-LFF"/>
    <s v=""/>
    <m/>
    <b v="1"/>
    <x v="1"/>
    <x v="3"/>
    <d v="2025-08-04T00:00:00"/>
    <m/>
    <m/>
    <x v="1"/>
    <n v="99"/>
    <s v="Rayneil Reas"/>
    <m/>
  </r>
  <r>
    <x v="313"/>
    <x v="0"/>
    <x v="2"/>
    <s v="PLEAN_X310511SE5013201 Mavenclad Commercial SE50 CongrSEs &amp; Eve"/>
    <s v="H000000238"/>
    <s v="H000000238"/>
    <s v="Non-LFF"/>
    <s v=""/>
    <m/>
    <b v="1"/>
    <x v="1"/>
    <x v="3"/>
    <d v="2025-08-04T00:00:00"/>
    <m/>
    <m/>
    <x v="1"/>
    <n v="99"/>
    <s v="Rayneil Reas"/>
    <m/>
  </r>
  <r>
    <x v="313"/>
    <x v="0"/>
    <x v="2"/>
    <s v="PLEAN_X310511SE5015201 Mavenclad Commercial SE50 Other Promo an"/>
    <s v="H000000238"/>
    <s v="H000000238"/>
    <s v="Non-LFF"/>
    <s v=""/>
    <m/>
    <b v="1"/>
    <x v="1"/>
    <x v="3"/>
    <d v="2025-08-04T00:00:00"/>
    <m/>
    <m/>
    <x v="1"/>
    <n v="99"/>
    <s v="Rayneil Reas"/>
    <m/>
  </r>
  <r>
    <x v="313"/>
    <x v="0"/>
    <x v="2"/>
    <s v="PLEAN_X310181FI5010201 Bavencio Commercial FI50 Promo Material"/>
    <s v="H000000220"/>
    <s v="H000000220"/>
    <s v="Non-LFF"/>
    <s v=""/>
    <m/>
    <b v="1"/>
    <x v="1"/>
    <x v="3"/>
    <d v="2025-08-04T00:00:00"/>
    <m/>
    <m/>
    <x v="1"/>
    <n v="99"/>
    <s v="Rayneil Reas"/>
    <m/>
  </r>
  <r>
    <x v="313"/>
    <x v="0"/>
    <x v="2"/>
    <s v="PLEAN_X310181SE5013201 Bavencio Commercial SE50 CongrSEs &amp; Even"/>
    <s v="H000000238"/>
    <s v="H000000238"/>
    <s v="Non-LFF"/>
    <s v=""/>
    <m/>
    <b v="1"/>
    <x v="1"/>
    <x v="3"/>
    <d v="2025-08-04T00:00:00"/>
    <m/>
    <m/>
    <x v="1"/>
    <n v="99"/>
    <s v="Rayneil Reas"/>
    <m/>
  </r>
  <r>
    <x v="313"/>
    <x v="0"/>
    <x v="2"/>
    <s v="PLEAN_X310182DK5023201 Bavencio Medical Non R&amp;D DK50 Other Medi"/>
    <s v="H000000218"/>
    <s v="H000000218"/>
    <s v="Non-LFF"/>
    <s v=""/>
    <m/>
    <b v="1"/>
    <x v="1"/>
    <x v="3"/>
    <d v="2025-08-04T00:00:00"/>
    <m/>
    <m/>
    <x v="1"/>
    <n v="99"/>
    <s v="Rayneil Reas"/>
    <m/>
  </r>
  <r>
    <x v="313"/>
    <x v="0"/>
    <x v="2"/>
    <s v="PLEAN_X310182FI5020201 Bavencio Medical Non R&amp;D FI50 Medical Ed"/>
    <s v="H000000220"/>
    <s v="H000000220"/>
    <s v="Non-LFF"/>
    <s v=""/>
    <m/>
    <b v="1"/>
    <x v="1"/>
    <x v="3"/>
    <d v="2025-08-04T00:00:00"/>
    <m/>
    <m/>
    <x v="1"/>
    <n v="99"/>
    <s v="Rayneil Reas"/>
    <m/>
  </r>
  <r>
    <x v="313"/>
    <x v="0"/>
    <x v="2"/>
    <s v="PLEAN_X310182FI5023201 Bavencio Medical Non R&amp;D FI50 Other Medi"/>
    <s v="H000000220"/>
    <s v="H000000220"/>
    <s v="Non-LFF"/>
    <s v=""/>
    <m/>
    <b v="1"/>
    <x v="1"/>
    <x v="3"/>
    <d v="2025-08-04T00:00:00"/>
    <m/>
    <m/>
    <x v="1"/>
    <n v="99"/>
    <s v="Rayneil Reas"/>
    <m/>
  </r>
  <r>
    <x v="313"/>
    <x v="0"/>
    <x v="2"/>
    <s v="PLEAN_X310182NO5020201 Bavencio Medical Non R&amp;D NO50 Medical Ed"/>
    <s v="H000000233"/>
    <s v="H000000233"/>
    <s v="Non-LFF"/>
    <s v=""/>
    <m/>
    <b v="1"/>
    <x v="1"/>
    <x v="3"/>
    <d v="2025-08-04T00:00:00"/>
    <m/>
    <m/>
    <x v="1"/>
    <n v="99"/>
    <s v="Rayneil Reas"/>
    <m/>
  </r>
  <r>
    <x v="313"/>
    <x v="0"/>
    <x v="2"/>
    <s v="PLEAN_X310941FI5010201 Tepmetko Commercial FI50 Promo Material"/>
    <s v="H000000220"/>
    <s v="H000000220"/>
    <s v="Non-LFF"/>
    <s v=""/>
    <m/>
    <b v="1"/>
    <x v="1"/>
    <x v="3"/>
    <d v="2025-08-04T00:00:00"/>
    <m/>
    <m/>
    <x v="1"/>
    <n v="99"/>
    <s v="Rayneil Reas"/>
    <m/>
  </r>
  <r>
    <x v="313"/>
    <x v="0"/>
    <x v="2"/>
    <s v="PLEAN_X310942FI5020201 Tepmetko Medical Non R&amp;D FI50 Medical Ed"/>
    <s v="H000000220"/>
    <s v="H000000220"/>
    <s v="Non-LFF"/>
    <s v=""/>
    <m/>
    <b v="1"/>
    <x v="1"/>
    <x v="3"/>
    <d v="2025-08-04T00:00:00"/>
    <m/>
    <m/>
    <x v="1"/>
    <n v="99"/>
    <s v="Rayneil Reas"/>
    <m/>
  </r>
  <r>
    <x v="313"/>
    <x v="0"/>
    <x v="2"/>
    <s v="CSCALA_1758$0000011014"/>
    <s v="H000000237"/>
    <s v="H000000237"/>
    <s v="Non-LFF"/>
    <s v=""/>
    <m/>
    <b v="1"/>
    <x v="1"/>
    <x v="3"/>
    <d v="2025-08-04T00:00:00"/>
    <m/>
    <m/>
    <x v="1"/>
    <n v="99"/>
    <s v="Rayneil Reas"/>
    <m/>
  </r>
  <r>
    <x v="313"/>
    <x v="0"/>
    <x v="2"/>
    <s v="ITEMPEU_009000000249 FR40IC1403AO3121050000 OTHER ADMIN GONN"/>
    <s v="H000000186"/>
    <s v="H000000186"/>
    <s v="Non-LFF"/>
    <s v=""/>
    <m/>
    <b v="1"/>
    <x v="1"/>
    <x v="3"/>
    <d v="2025-08-04T00:00:00"/>
    <m/>
    <m/>
    <x v="1"/>
    <n v="99"/>
    <s v="Rayneil Reas"/>
    <m/>
  </r>
  <r>
    <x v="313"/>
    <x v="0"/>
    <x v="2"/>
    <s v="PLEAN_X310181LT5011201 Bavencio Commercial LT50 Advertising Gen"/>
    <s v="H000000227"/>
    <s v="H000000227"/>
    <s v="Non-LFF"/>
    <s v=""/>
    <m/>
    <b v="1"/>
    <x v="1"/>
    <x v="3"/>
    <d v="2025-08-04T00:00:00"/>
    <m/>
    <m/>
    <x v="1"/>
    <n v="99"/>
    <s v="Rayneil Reas"/>
    <m/>
  </r>
  <r>
    <x v="313"/>
    <x v="0"/>
    <x v="2"/>
    <s v="PLEAN_X310181LT5013201 Bavencio Commercial LT50 Congress &amp; Even"/>
    <s v="H000000227"/>
    <s v="H000000227"/>
    <s v="Non-LFF"/>
    <s v=""/>
    <m/>
    <b v="1"/>
    <x v="1"/>
    <x v="3"/>
    <d v="2025-08-04T00:00:00"/>
    <m/>
    <m/>
    <x v="1"/>
    <n v="99"/>
    <s v="Rayneil Reas"/>
    <m/>
  </r>
  <r>
    <x v="313"/>
    <x v="0"/>
    <x v="2"/>
    <s v="PLEAN_X310182EE5020201 Bavencio Medical Non R&amp;D EE50 Medical Ed"/>
    <s v="H000000219"/>
    <s v="H000000219"/>
    <s v="Non-LFF"/>
    <s v=""/>
    <m/>
    <b v="1"/>
    <x v="1"/>
    <x v="3"/>
    <d v="2025-08-04T00:00:00"/>
    <m/>
    <m/>
    <x v="1"/>
    <n v="99"/>
    <s v="Rayneil Reas"/>
    <m/>
  </r>
  <r>
    <x v="313"/>
    <x v="0"/>
    <x v="2"/>
    <s v="PLEAN_X310182LT5020201 Bavencio Medical Non R&amp;D LT50 Medical Ed"/>
    <s v="H000000227"/>
    <s v="H000000227"/>
    <s v="Non-LFF"/>
    <s v=""/>
    <m/>
    <b v="1"/>
    <x v="1"/>
    <x v="3"/>
    <d v="2025-08-04T00:00:00"/>
    <m/>
    <m/>
    <x v="1"/>
    <n v="99"/>
    <s v="Rayneil Reas"/>
    <m/>
  </r>
  <r>
    <x v="313"/>
    <x v="0"/>
    <x v="2"/>
    <s v="PLEAN_X310182SE5020201 Bavencio Medical Non R&amp;D SE50 Medical Ed"/>
    <s v="H000000238"/>
    <s v="H000000238"/>
    <s v="Non-LFF"/>
    <s v=""/>
    <m/>
    <b v="1"/>
    <x v="1"/>
    <x v="3"/>
    <d v="2025-08-04T00:00:00"/>
    <m/>
    <m/>
    <x v="1"/>
    <n v="99"/>
    <s v="Rayneil Reas"/>
    <m/>
  </r>
  <r>
    <x v="313"/>
    <x v="0"/>
    <x v="2"/>
    <s v="PLEAN_X310942DK5023201 Tepmetko Medical Non R&amp;D DK50 Other Medi"/>
    <s v="H000000218"/>
    <s v="H000000218"/>
    <s v="Non-LFF"/>
    <s v=""/>
    <m/>
    <b v="1"/>
    <x v="1"/>
    <x v="3"/>
    <d v="2025-08-04T00:00:00"/>
    <m/>
    <m/>
    <x v="1"/>
    <n v="99"/>
    <s v="Rayneil Reas"/>
    <m/>
  </r>
  <r>
    <x v="313"/>
    <x v="0"/>
    <x v="2"/>
    <s v="CSCALA_1758$0000011104"/>
    <s v="H000000237"/>
    <s v="H000000237"/>
    <s v="Non-LFF"/>
    <s v=""/>
    <m/>
    <b v="1"/>
    <x v="1"/>
    <x v="3"/>
    <d v="2025-08-04T00:00:00"/>
    <m/>
    <m/>
    <x v="1"/>
    <n v="99"/>
    <s v="Rayneil Reas"/>
    <m/>
  </r>
  <r>
    <x v="313"/>
    <x v="0"/>
    <x v="2"/>
    <s v="PLEAN_X310181EE5013201 Bavencio Commercial EE50 Congress &amp; Even"/>
    <s v="H000000219"/>
    <s v="H000000219"/>
    <s v="Non-LFF"/>
    <s v=""/>
    <m/>
    <b v="1"/>
    <x v="1"/>
    <x v="3"/>
    <d v="2025-08-04T00:00:00"/>
    <m/>
    <m/>
    <x v="1"/>
    <n v="99"/>
    <s v="Rayneil Reas"/>
    <m/>
  </r>
  <r>
    <x v="313"/>
    <x v="0"/>
    <x v="2"/>
    <s v="PLEAN_X310181FI5011201 Bavencio Commercial FI50 Advertising Gen"/>
    <s v="H000000220"/>
    <s v="H000000220"/>
    <s v="Non-LFF"/>
    <s v=""/>
    <m/>
    <b v="1"/>
    <x v="1"/>
    <x v="3"/>
    <d v="2025-08-04T00:00:00"/>
    <m/>
    <m/>
    <x v="1"/>
    <n v="99"/>
    <s v="Rayneil Reas"/>
    <m/>
  </r>
  <r>
    <x v="313"/>
    <x v="0"/>
    <x v="2"/>
    <s v="CSCALA_1759$G6"/>
    <s v="H000003613"/>
    <s v="H000003613"/>
    <s v="Non-LFF"/>
    <s v=""/>
    <m/>
    <b v="1"/>
    <x v="1"/>
    <x v="3"/>
    <d v="2025-08-04T00:00:00"/>
    <m/>
    <m/>
    <x v="1"/>
    <n v="99"/>
    <s v="Rayneil Reas"/>
    <m/>
  </r>
  <r>
    <x v="313"/>
    <x v="0"/>
    <x v="2"/>
    <s v="CSCALA_1759$E161"/>
    <s v="H000003613"/>
    <s v="H000003613"/>
    <s v="Non-LFF"/>
    <s v=""/>
    <m/>
    <b v="1"/>
    <x v="1"/>
    <x v="3"/>
    <d v="2025-08-04T00:00:00"/>
    <m/>
    <m/>
    <x v="1"/>
    <n v="99"/>
    <s v="Rayneil Reas"/>
    <m/>
  </r>
  <r>
    <x v="313"/>
    <x v="0"/>
    <x v="2"/>
    <s v="CSCALA_1759$E162"/>
    <s v="H000003613"/>
    <s v="H000003613"/>
    <s v="Non-LFF"/>
    <s v=""/>
    <m/>
    <b v="1"/>
    <x v="1"/>
    <x v="3"/>
    <d v="2025-08-04T00:00:00"/>
    <m/>
    <m/>
    <x v="1"/>
    <n v="99"/>
    <s v="Rayneil Reas"/>
    <m/>
  </r>
  <r>
    <x v="313"/>
    <x v="0"/>
    <x v="2"/>
    <s v="CSCALA_1759$E195"/>
    <s v="H000003613"/>
    <s v="H000003613"/>
    <s v="Non-LFF"/>
    <s v=""/>
    <m/>
    <b v="1"/>
    <x v="1"/>
    <x v="3"/>
    <d v="2025-08-04T00:00:00"/>
    <m/>
    <m/>
    <x v="1"/>
    <n v="99"/>
    <s v="Rayneil Reas"/>
    <m/>
  </r>
  <r>
    <x v="313"/>
    <x v="0"/>
    <x v="2"/>
    <s v="CSCALA_1759$E196"/>
    <s v="H000003613"/>
    <s v="H000003613"/>
    <s v="Non-LFF"/>
    <s v=""/>
    <m/>
    <b v="1"/>
    <x v="1"/>
    <x v="3"/>
    <d v="2025-08-04T00:00:00"/>
    <m/>
    <m/>
    <x v="1"/>
    <n v="99"/>
    <s v="Rayneil Reas"/>
    <m/>
  </r>
  <r>
    <x v="313"/>
    <x v="0"/>
    <x v="2"/>
    <s v="CSCALA_1759$E164"/>
    <s v="H000003613"/>
    <s v="H000003613"/>
    <s v="Non-LFF"/>
    <s v=""/>
    <m/>
    <b v="1"/>
    <x v="1"/>
    <x v="3"/>
    <d v="2025-08-04T00:00:00"/>
    <m/>
    <m/>
    <x v="1"/>
    <n v="99"/>
    <s v="Rayneil Reas"/>
    <m/>
  </r>
  <r>
    <x v="313"/>
    <x v="0"/>
    <x v="2"/>
    <s v="CSCALA_1759$E165"/>
    <s v="H000003613"/>
    <s v="H000003613"/>
    <s v="Non-LFF"/>
    <s v=""/>
    <m/>
    <b v="1"/>
    <x v="1"/>
    <x v="3"/>
    <d v="2025-08-04T00:00:00"/>
    <m/>
    <m/>
    <x v="1"/>
    <n v="99"/>
    <s v="Rayneil Reas"/>
    <m/>
  </r>
  <r>
    <x v="313"/>
    <x v="0"/>
    <x v="2"/>
    <s v="CSCALA_1759$E166"/>
    <s v="H000003613"/>
    <s v="H000003613"/>
    <s v="Non-LFF"/>
    <s v=""/>
    <m/>
    <b v="1"/>
    <x v="1"/>
    <x v="3"/>
    <d v="2025-08-04T00:00:00"/>
    <m/>
    <m/>
    <x v="1"/>
    <n v="99"/>
    <s v="Rayneil Reas"/>
    <m/>
  </r>
  <r>
    <x v="313"/>
    <x v="0"/>
    <x v="2"/>
    <s v="CSCALA_1759$E167"/>
    <s v="H000003613"/>
    <s v="H000003613"/>
    <s v="Non-LFF"/>
    <s v=""/>
    <m/>
    <b v="1"/>
    <x v="1"/>
    <x v="3"/>
    <d v="2025-08-04T00:00:00"/>
    <m/>
    <m/>
    <x v="1"/>
    <n v="99"/>
    <s v="Rayneil Reas"/>
    <m/>
  </r>
  <r>
    <x v="313"/>
    <x v="0"/>
    <x v="2"/>
    <s v="CSCALA_1759$E168"/>
    <s v="H000003613"/>
    <s v="H000003613"/>
    <s v="Non-LFF"/>
    <s v=""/>
    <m/>
    <b v="1"/>
    <x v="1"/>
    <x v="3"/>
    <d v="2025-08-04T00:00:00"/>
    <m/>
    <m/>
    <x v="1"/>
    <n v="99"/>
    <s v="Rayneil Reas"/>
    <m/>
  </r>
  <r>
    <x v="313"/>
    <x v="0"/>
    <x v="2"/>
    <s v="CSCALA_1759$E169"/>
    <s v="H000003613"/>
    <s v="H000003613"/>
    <s v="Non-LFF"/>
    <s v=""/>
    <m/>
    <b v="1"/>
    <x v="1"/>
    <x v="3"/>
    <d v="2025-08-04T00:00:00"/>
    <m/>
    <m/>
    <x v="1"/>
    <n v="99"/>
    <s v="Rayneil Reas"/>
    <m/>
  </r>
  <r>
    <x v="313"/>
    <x v="0"/>
    <x v="2"/>
    <s v="CSCALA_1759$E170"/>
    <s v="H000003613"/>
    <s v="H000003613"/>
    <s v="Non-LFF"/>
    <s v=""/>
    <m/>
    <b v="1"/>
    <x v="1"/>
    <x v="3"/>
    <d v="2025-08-04T00:00:00"/>
    <m/>
    <m/>
    <x v="1"/>
    <n v="99"/>
    <s v="Rayneil Reas"/>
    <m/>
  </r>
  <r>
    <x v="313"/>
    <x v="0"/>
    <x v="2"/>
    <s v="CSCALA_1759$E171"/>
    <s v="H000003613"/>
    <s v="H000003613"/>
    <s v="Non-LFF"/>
    <s v=""/>
    <m/>
    <b v="1"/>
    <x v="1"/>
    <x v="3"/>
    <d v="2025-08-04T00:00:00"/>
    <m/>
    <m/>
    <x v="1"/>
    <n v="99"/>
    <s v="Rayneil Reas"/>
    <m/>
  </r>
  <r>
    <x v="313"/>
    <x v="0"/>
    <x v="2"/>
    <s v="CSCALA_1759$E172"/>
    <s v="H000003613"/>
    <s v="H000003613"/>
    <s v="Non-LFF"/>
    <s v=""/>
    <m/>
    <b v="1"/>
    <x v="1"/>
    <x v="3"/>
    <d v="2025-08-04T00:00:00"/>
    <m/>
    <m/>
    <x v="1"/>
    <n v="99"/>
    <s v="Rayneil Reas"/>
    <m/>
  </r>
  <r>
    <x v="313"/>
    <x v="0"/>
    <x v="2"/>
    <s v="CSCALA_1759$E173"/>
    <s v="H000003613"/>
    <s v="H000003613"/>
    <s v="Non-LFF"/>
    <s v=""/>
    <m/>
    <b v="1"/>
    <x v="1"/>
    <x v="3"/>
    <d v="2025-08-04T00:00:00"/>
    <m/>
    <m/>
    <x v="1"/>
    <n v="99"/>
    <s v="Rayneil Reas"/>
    <m/>
  </r>
  <r>
    <x v="313"/>
    <x v="0"/>
    <x v="2"/>
    <s v="CSCALA_1759$E174"/>
    <s v="H000003613"/>
    <s v="H000003613"/>
    <s v="Non-LFF"/>
    <s v=""/>
    <m/>
    <b v="1"/>
    <x v="1"/>
    <x v="3"/>
    <d v="2025-08-04T00:00:00"/>
    <m/>
    <m/>
    <x v="1"/>
    <n v="99"/>
    <s v="Rayneil Reas"/>
    <m/>
  </r>
  <r>
    <x v="313"/>
    <x v="0"/>
    <x v="2"/>
    <s v="CSCALA_1759$E175"/>
    <s v="H000003613"/>
    <s v="H000003613"/>
    <s v="Non-LFF"/>
    <s v=""/>
    <m/>
    <b v="1"/>
    <x v="1"/>
    <x v="3"/>
    <d v="2025-08-04T00:00:00"/>
    <m/>
    <m/>
    <x v="1"/>
    <n v="99"/>
    <s v="Rayneil Reas"/>
    <m/>
  </r>
  <r>
    <x v="313"/>
    <x v="0"/>
    <x v="2"/>
    <s v="CSCALA_1759$E176"/>
    <s v="H000003613"/>
    <s v="H000003613"/>
    <s v="Non-LFF"/>
    <s v=""/>
    <m/>
    <b v="1"/>
    <x v="1"/>
    <x v="3"/>
    <d v="2025-08-04T00:00:00"/>
    <m/>
    <m/>
    <x v="1"/>
    <n v="99"/>
    <s v="Rayneil Reas"/>
    <m/>
  </r>
  <r>
    <x v="313"/>
    <x v="0"/>
    <x v="2"/>
    <s v="CSCALA_1759$E177"/>
    <s v="H000003613"/>
    <s v="H000003613"/>
    <s v="Non-LFF"/>
    <s v=""/>
    <m/>
    <b v="1"/>
    <x v="1"/>
    <x v="3"/>
    <d v="2025-08-04T00:00:00"/>
    <m/>
    <m/>
    <x v="1"/>
    <n v="99"/>
    <s v="Rayneil Reas"/>
    <m/>
  </r>
  <r>
    <x v="313"/>
    <x v="0"/>
    <x v="2"/>
    <s v="CSCALA_1759$E178"/>
    <s v="H000003613"/>
    <s v="H000003613"/>
    <s v="Non-LFF"/>
    <s v=""/>
    <m/>
    <b v="1"/>
    <x v="1"/>
    <x v="3"/>
    <d v="2025-08-04T00:00:00"/>
    <m/>
    <m/>
    <x v="1"/>
    <n v="99"/>
    <s v="Rayneil Reas"/>
    <m/>
  </r>
  <r>
    <x v="313"/>
    <x v="0"/>
    <x v="2"/>
    <s v="CSCALA_1759$E179"/>
    <s v="H000003613"/>
    <s v="H000003613"/>
    <s v="Non-LFF"/>
    <s v=""/>
    <m/>
    <b v="1"/>
    <x v="1"/>
    <x v="3"/>
    <d v="2025-08-04T00:00:00"/>
    <m/>
    <m/>
    <x v="1"/>
    <n v="99"/>
    <s v="Rayneil Reas"/>
    <m/>
  </r>
  <r>
    <x v="313"/>
    <x v="0"/>
    <x v="2"/>
    <s v="CSCALA_1759$E180"/>
    <s v="H000003613"/>
    <s v="H000003613"/>
    <s v="Non-LFF"/>
    <s v=""/>
    <m/>
    <b v="1"/>
    <x v="1"/>
    <x v="3"/>
    <d v="2025-08-04T00:00:00"/>
    <m/>
    <m/>
    <x v="1"/>
    <n v="99"/>
    <s v="Rayneil Reas"/>
    <m/>
  </r>
  <r>
    <x v="313"/>
    <x v="0"/>
    <x v="2"/>
    <s v="CSCALA_1759$E181"/>
    <s v="H000003613"/>
    <s v="H000003613"/>
    <s v="Non-LFF"/>
    <s v=""/>
    <m/>
    <b v="1"/>
    <x v="1"/>
    <x v="3"/>
    <d v="2025-08-04T00:00:00"/>
    <m/>
    <m/>
    <x v="1"/>
    <n v="99"/>
    <s v="Rayneil Reas"/>
    <m/>
  </r>
  <r>
    <x v="313"/>
    <x v="0"/>
    <x v="2"/>
    <s v="CSCALA_1759$E182"/>
    <s v="H000003613"/>
    <s v="H000003613"/>
    <s v="Non-LFF"/>
    <s v=""/>
    <m/>
    <b v="1"/>
    <x v="1"/>
    <x v="3"/>
    <d v="2025-08-04T00:00:00"/>
    <m/>
    <m/>
    <x v="1"/>
    <n v="99"/>
    <s v="Rayneil Reas"/>
    <m/>
  </r>
  <r>
    <x v="313"/>
    <x v="0"/>
    <x v="2"/>
    <s v="CSCALA_1759$E183"/>
    <s v="H000003613"/>
    <s v="H000003613"/>
    <s v="Non-LFF"/>
    <s v=""/>
    <m/>
    <b v="1"/>
    <x v="1"/>
    <x v="3"/>
    <d v="2025-08-04T00:00:00"/>
    <m/>
    <m/>
    <x v="1"/>
    <n v="99"/>
    <s v="Rayneil Reas"/>
    <m/>
  </r>
  <r>
    <x v="313"/>
    <x v="0"/>
    <x v="2"/>
    <s v="CSCALA_1759$E184"/>
    <s v="H000003613"/>
    <s v="H000003613"/>
    <s v="Non-LFF"/>
    <s v=""/>
    <m/>
    <b v="1"/>
    <x v="1"/>
    <x v="3"/>
    <d v="2025-08-04T00:00:00"/>
    <m/>
    <m/>
    <x v="1"/>
    <n v="99"/>
    <s v="Rayneil Reas"/>
    <m/>
  </r>
  <r>
    <x v="313"/>
    <x v="0"/>
    <x v="2"/>
    <s v="CSCALA_1759$E185"/>
    <s v="H000003613"/>
    <s v="H000003613"/>
    <s v="Non-LFF"/>
    <s v=""/>
    <m/>
    <b v="1"/>
    <x v="1"/>
    <x v="3"/>
    <d v="2025-08-04T00:00:00"/>
    <m/>
    <m/>
    <x v="1"/>
    <n v="99"/>
    <s v="Rayneil Reas"/>
    <m/>
  </r>
  <r>
    <x v="313"/>
    <x v="0"/>
    <x v="2"/>
    <s v="CSCALA_1759$E186"/>
    <s v="H000003613"/>
    <s v="H000003613"/>
    <s v="Non-LFF"/>
    <s v=""/>
    <m/>
    <b v="1"/>
    <x v="1"/>
    <x v="3"/>
    <d v="2025-08-04T00:00:00"/>
    <m/>
    <m/>
    <x v="1"/>
    <n v="99"/>
    <s v="Rayneil Reas"/>
    <m/>
  </r>
  <r>
    <x v="313"/>
    <x v="0"/>
    <x v="2"/>
    <s v="CSCALA_1759$E187"/>
    <s v="H000003613"/>
    <s v="H000003613"/>
    <s v="Non-LFF"/>
    <s v=""/>
    <m/>
    <b v="1"/>
    <x v="1"/>
    <x v="3"/>
    <d v="2025-08-04T00:00:00"/>
    <m/>
    <m/>
    <x v="1"/>
    <n v="99"/>
    <s v="Rayneil Reas"/>
    <m/>
  </r>
  <r>
    <x v="313"/>
    <x v="0"/>
    <x v="2"/>
    <s v="CSCALA_1759$E188"/>
    <s v="H000003613"/>
    <s v="H000003613"/>
    <s v="Non-LFF"/>
    <s v=""/>
    <m/>
    <b v="1"/>
    <x v="1"/>
    <x v="3"/>
    <d v="2025-08-04T00:00:00"/>
    <m/>
    <m/>
    <x v="1"/>
    <n v="99"/>
    <s v="Rayneil Reas"/>
    <m/>
  </r>
  <r>
    <x v="313"/>
    <x v="0"/>
    <x v="2"/>
    <s v="CSCALA_1759$E189"/>
    <s v="H000003613"/>
    <s v="H000003613"/>
    <s v="Non-LFF"/>
    <s v=""/>
    <m/>
    <b v="1"/>
    <x v="1"/>
    <x v="3"/>
    <d v="2025-08-04T00:00:00"/>
    <m/>
    <m/>
    <x v="1"/>
    <n v="99"/>
    <s v="Rayneil Reas"/>
    <m/>
  </r>
  <r>
    <x v="313"/>
    <x v="0"/>
    <x v="2"/>
    <s v="CSCALA_1759$E190"/>
    <s v="H000003613"/>
    <s v="H000003613"/>
    <s v="Non-LFF"/>
    <s v=""/>
    <m/>
    <b v="1"/>
    <x v="1"/>
    <x v="3"/>
    <d v="2025-08-04T00:00:00"/>
    <m/>
    <m/>
    <x v="1"/>
    <n v="99"/>
    <s v="Rayneil Reas"/>
    <m/>
  </r>
  <r>
    <x v="313"/>
    <x v="0"/>
    <x v="2"/>
    <s v="CSCALA_1759$E191"/>
    <s v="H000003613"/>
    <s v="H000003613"/>
    <s v="Non-LFF"/>
    <s v=""/>
    <m/>
    <b v="1"/>
    <x v="1"/>
    <x v="3"/>
    <d v="2025-08-04T00:00:00"/>
    <m/>
    <m/>
    <x v="1"/>
    <n v="99"/>
    <s v="Rayneil Reas"/>
    <m/>
  </r>
  <r>
    <x v="313"/>
    <x v="0"/>
    <x v="2"/>
    <s v="CSCALA_1759$E192"/>
    <s v="H000003613"/>
    <s v="H000003613"/>
    <s v="Non-LFF"/>
    <s v=""/>
    <m/>
    <b v="1"/>
    <x v="1"/>
    <x v="3"/>
    <d v="2025-08-04T00:00:00"/>
    <m/>
    <m/>
    <x v="1"/>
    <n v="99"/>
    <s v="Rayneil Reas"/>
    <m/>
  </r>
  <r>
    <x v="313"/>
    <x v="0"/>
    <x v="2"/>
    <s v="CSCALA_1759$E193"/>
    <s v="H000003613"/>
    <s v="H000003613"/>
    <s v="Non-LFF"/>
    <s v=""/>
    <m/>
    <b v="1"/>
    <x v="1"/>
    <x v="3"/>
    <d v="2025-08-04T00:00:00"/>
    <m/>
    <m/>
    <x v="1"/>
    <n v="99"/>
    <s v="Rayneil Reas"/>
    <m/>
  </r>
  <r>
    <x v="313"/>
    <x v="0"/>
    <x v="2"/>
    <s v="CSCALA_1759$E194"/>
    <s v="H000003613"/>
    <s v="H000003613"/>
    <s v="Non-LFF"/>
    <s v=""/>
    <m/>
    <b v="1"/>
    <x v="1"/>
    <x v="3"/>
    <d v="2025-08-04T00:00:00"/>
    <m/>
    <m/>
    <x v="1"/>
    <n v="99"/>
    <s v="Rayneil Reas"/>
    <m/>
  </r>
  <r>
    <x v="313"/>
    <x v="0"/>
    <x v="2"/>
    <s v="CSCALA_1759$E197"/>
    <s v="H000003613"/>
    <s v="H000003613"/>
    <s v="Non-LFF"/>
    <s v=""/>
    <m/>
    <b v="1"/>
    <x v="1"/>
    <x v="3"/>
    <d v="2025-08-04T00:00:00"/>
    <m/>
    <m/>
    <x v="1"/>
    <n v="99"/>
    <s v="Rayneil Reas"/>
    <m/>
  </r>
  <r>
    <x v="313"/>
    <x v="0"/>
    <x v="2"/>
    <s v="CSCALA_1759$E198"/>
    <s v="H000003613"/>
    <s v="H000003613"/>
    <s v="Non-LFF"/>
    <s v=""/>
    <m/>
    <b v="1"/>
    <x v="1"/>
    <x v="3"/>
    <d v="2025-08-04T00:00:00"/>
    <m/>
    <m/>
    <x v="1"/>
    <n v="99"/>
    <s v="Rayneil Reas"/>
    <m/>
  </r>
  <r>
    <x v="313"/>
    <x v="0"/>
    <x v="2"/>
    <s v="CSCALA_1759$E199"/>
    <s v="H000003613"/>
    <s v="H000003613"/>
    <s v="Non-LFF"/>
    <s v=""/>
    <m/>
    <b v="1"/>
    <x v="1"/>
    <x v="3"/>
    <d v="2025-08-04T00:00:00"/>
    <m/>
    <m/>
    <x v="1"/>
    <n v="99"/>
    <s v="Rayneil Reas"/>
    <m/>
  </r>
  <r>
    <x v="313"/>
    <x v="0"/>
    <x v="2"/>
    <s v="CSCALA_1759$E200"/>
    <s v="H000003613"/>
    <s v="H000003613"/>
    <s v="Non-LFF"/>
    <s v=""/>
    <m/>
    <b v="1"/>
    <x v="1"/>
    <x v="3"/>
    <d v="2025-08-04T00:00:00"/>
    <m/>
    <m/>
    <x v="1"/>
    <n v="99"/>
    <s v="Rayneil Reas"/>
    <m/>
  </r>
  <r>
    <x v="313"/>
    <x v="0"/>
    <x v="2"/>
    <s v="CSCALA_1759$E201"/>
    <s v="H000003613"/>
    <s v="H000003613"/>
    <s v="Non-LFF"/>
    <s v=""/>
    <m/>
    <b v="1"/>
    <x v="1"/>
    <x v="3"/>
    <d v="2025-08-04T00:00:00"/>
    <m/>
    <m/>
    <x v="1"/>
    <n v="99"/>
    <s v="Rayneil Reas"/>
    <m/>
  </r>
  <r>
    <x v="313"/>
    <x v="0"/>
    <x v="2"/>
    <s v="CSCALA_1759$E202"/>
    <s v="H000003613"/>
    <s v="H000003613"/>
    <s v="Non-LFF"/>
    <s v=""/>
    <m/>
    <b v="1"/>
    <x v="1"/>
    <x v="3"/>
    <d v="2025-08-04T00:00:00"/>
    <m/>
    <m/>
    <x v="1"/>
    <n v="99"/>
    <s v="Rayneil Reas"/>
    <m/>
  </r>
  <r>
    <x v="313"/>
    <x v="0"/>
    <x v="2"/>
    <s v="CSCALA_1759$E203"/>
    <s v="H000003613"/>
    <s v="H000003613"/>
    <s v="Non-LFF"/>
    <s v=""/>
    <m/>
    <b v="1"/>
    <x v="1"/>
    <x v="3"/>
    <d v="2025-08-04T00:00:00"/>
    <m/>
    <m/>
    <x v="1"/>
    <n v="99"/>
    <s v="Rayneil Reas"/>
    <m/>
  </r>
  <r>
    <x v="313"/>
    <x v="0"/>
    <x v="2"/>
    <s v="CSCALA_1759$E204"/>
    <s v="H000003613"/>
    <s v="H000003613"/>
    <s v="Non-LFF"/>
    <s v=""/>
    <m/>
    <b v="1"/>
    <x v="1"/>
    <x v="3"/>
    <d v="2025-08-04T00:00:00"/>
    <m/>
    <m/>
    <x v="1"/>
    <n v="99"/>
    <s v="Rayneil Reas"/>
    <m/>
  </r>
  <r>
    <x v="313"/>
    <x v="0"/>
    <x v="2"/>
    <s v="CSCALA_1759$E205"/>
    <s v="H000003613"/>
    <s v="H000003613"/>
    <s v="Non-LFF"/>
    <s v=""/>
    <m/>
    <b v="1"/>
    <x v="1"/>
    <x v="3"/>
    <d v="2025-08-04T00:00:00"/>
    <m/>
    <m/>
    <x v="1"/>
    <n v="99"/>
    <s v="Rayneil Reas"/>
    <m/>
  </r>
  <r>
    <x v="313"/>
    <x v="0"/>
    <x v="2"/>
    <s v="CSCALA_1759$E206"/>
    <s v="H000003613"/>
    <s v="H000003613"/>
    <s v="Non-LFF"/>
    <s v=""/>
    <m/>
    <b v="1"/>
    <x v="1"/>
    <x v="3"/>
    <d v="2025-08-04T00:00:00"/>
    <m/>
    <m/>
    <x v="1"/>
    <n v="99"/>
    <s v="Rayneil Reas"/>
    <m/>
  </r>
  <r>
    <x v="313"/>
    <x v="0"/>
    <x v="2"/>
    <s v="CSCALA_1759$E207"/>
    <s v="H000003613"/>
    <s v="H000003613"/>
    <s v="Non-LFF"/>
    <s v=""/>
    <m/>
    <b v="1"/>
    <x v="1"/>
    <x v="3"/>
    <d v="2025-08-04T00:00:00"/>
    <m/>
    <m/>
    <x v="1"/>
    <n v="99"/>
    <s v="Rayneil Reas"/>
    <m/>
  </r>
  <r>
    <x v="313"/>
    <x v="0"/>
    <x v="2"/>
    <s v="CSCALA_1759$E208"/>
    <s v="H000003613"/>
    <s v="H000003613"/>
    <s v="Non-LFF"/>
    <s v=""/>
    <m/>
    <b v="1"/>
    <x v="1"/>
    <x v="3"/>
    <d v="2025-08-04T00:00:00"/>
    <m/>
    <m/>
    <x v="1"/>
    <n v="99"/>
    <s v="Rayneil Reas"/>
    <m/>
  </r>
  <r>
    <x v="313"/>
    <x v="0"/>
    <x v="2"/>
    <s v="CSCALA_1759$E209"/>
    <s v="H000003613"/>
    <s v="H000003613"/>
    <s v="Non-LFF"/>
    <s v=""/>
    <m/>
    <b v="1"/>
    <x v="1"/>
    <x v="3"/>
    <d v="2025-08-04T00:00:00"/>
    <m/>
    <m/>
    <x v="1"/>
    <n v="99"/>
    <s v="Rayneil Reas"/>
    <m/>
  </r>
  <r>
    <x v="313"/>
    <x v="0"/>
    <x v="2"/>
    <s v="CSCALA_1759$E210"/>
    <s v="H000003613"/>
    <s v="H000003613"/>
    <s v="Non-LFF"/>
    <s v=""/>
    <m/>
    <b v="1"/>
    <x v="1"/>
    <x v="3"/>
    <d v="2025-08-04T00:00:00"/>
    <m/>
    <m/>
    <x v="1"/>
    <n v="99"/>
    <s v="Rayneil Reas"/>
    <m/>
  </r>
  <r>
    <x v="313"/>
    <x v="0"/>
    <x v="2"/>
    <s v="CSCALA_1759$E211"/>
    <s v="H000003613"/>
    <s v="H000003613"/>
    <s v="Non-LFF"/>
    <s v=""/>
    <m/>
    <b v="1"/>
    <x v="1"/>
    <x v="3"/>
    <d v="2025-08-04T00:00:00"/>
    <m/>
    <m/>
    <x v="1"/>
    <n v="99"/>
    <s v="Rayneil Reas"/>
    <m/>
  </r>
  <r>
    <x v="313"/>
    <x v="0"/>
    <x v="2"/>
    <s v="CSCALA_1759$E212"/>
    <s v="H000003613"/>
    <s v="H000003613"/>
    <s v="Non-LFF"/>
    <s v=""/>
    <m/>
    <b v="1"/>
    <x v="1"/>
    <x v="3"/>
    <d v="2025-08-04T00:00:00"/>
    <m/>
    <m/>
    <x v="1"/>
    <n v="99"/>
    <s v="Rayneil Reas"/>
    <m/>
  </r>
  <r>
    <x v="313"/>
    <x v="0"/>
    <x v="2"/>
    <s v="CSCALA_1759$E213"/>
    <s v="H000003613"/>
    <s v="H000003613"/>
    <s v="Non-LFF"/>
    <s v=""/>
    <m/>
    <b v="1"/>
    <x v="1"/>
    <x v="3"/>
    <d v="2025-08-04T00:00:00"/>
    <m/>
    <m/>
    <x v="1"/>
    <n v="99"/>
    <s v="Rayneil Reas"/>
    <m/>
  </r>
  <r>
    <x v="313"/>
    <x v="0"/>
    <x v="2"/>
    <s v="CSCALA_1759$E215"/>
    <s v="H000003613"/>
    <s v="H000003613"/>
    <s v="Non-LFF"/>
    <s v=""/>
    <m/>
    <b v="1"/>
    <x v="1"/>
    <x v="3"/>
    <d v="2025-08-04T00:00:00"/>
    <m/>
    <m/>
    <x v="1"/>
    <n v="99"/>
    <s v="Rayneil Reas"/>
    <m/>
  </r>
  <r>
    <x v="313"/>
    <x v="0"/>
    <x v="2"/>
    <s v="CSCALA_1759$E216"/>
    <s v="H000003613"/>
    <s v="H000003613"/>
    <s v="Non-LFF"/>
    <s v=""/>
    <m/>
    <b v="1"/>
    <x v="1"/>
    <x v="3"/>
    <d v="2025-08-04T00:00:00"/>
    <m/>
    <m/>
    <x v="1"/>
    <n v="99"/>
    <s v="Rayneil Reas"/>
    <m/>
  </r>
  <r>
    <x v="313"/>
    <x v="0"/>
    <x v="2"/>
    <s v="CSCALA_1759$E217"/>
    <s v="H000003613"/>
    <s v="H000003613"/>
    <s v="Non-LFF"/>
    <s v=""/>
    <m/>
    <b v="1"/>
    <x v="1"/>
    <x v="3"/>
    <d v="2025-08-04T00:00:00"/>
    <m/>
    <m/>
    <x v="1"/>
    <n v="99"/>
    <s v="Rayneil Reas"/>
    <m/>
  </r>
  <r>
    <x v="313"/>
    <x v="0"/>
    <x v="2"/>
    <s v="CSCALA_1759$E218"/>
    <s v="H000003613"/>
    <s v="H000003613"/>
    <s v="Non-LFF"/>
    <s v=""/>
    <m/>
    <b v="1"/>
    <x v="1"/>
    <x v="3"/>
    <d v="2025-08-04T00:00:00"/>
    <m/>
    <m/>
    <x v="1"/>
    <n v="99"/>
    <s v="Rayneil Reas"/>
    <m/>
  </r>
  <r>
    <x v="313"/>
    <x v="0"/>
    <x v="2"/>
    <s v="CSCALA_1759$E219"/>
    <s v="H000003613"/>
    <s v="H000003613"/>
    <s v="Non-LFF"/>
    <s v=""/>
    <m/>
    <b v="1"/>
    <x v="1"/>
    <x v="3"/>
    <d v="2025-08-04T00:00:00"/>
    <m/>
    <m/>
    <x v="1"/>
    <n v="99"/>
    <s v="Rayneil Reas"/>
    <m/>
  </r>
  <r>
    <x v="313"/>
    <x v="0"/>
    <x v="2"/>
    <s v="CSCALA_1759$E220"/>
    <s v="H000003613"/>
    <s v="H000003613"/>
    <s v="Non-LFF"/>
    <s v=""/>
    <m/>
    <b v="1"/>
    <x v="1"/>
    <x v="3"/>
    <d v="2025-08-04T00:00:00"/>
    <m/>
    <m/>
    <x v="1"/>
    <n v="99"/>
    <s v="Rayneil Reas"/>
    <m/>
  </r>
  <r>
    <x v="313"/>
    <x v="0"/>
    <x v="2"/>
    <s v="CSCALA_1759$E221"/>
    <s v="H000003613"/>
    <s v="H000003613"/>
    <s v="Non-LFF"/>
    <s v=""/>
    <m/>
    <b v="1"/>
    <x v="1"/>
    <x v="3"/>
    <d v="2025-08-04T00:00:00"/>
    <m/>
    <m/>
    <x v="1"/>
    <n v="99"/>
    <s v="Rayneil Reas"/>
    <m/>
  </r>
  <r>
    <x v="313"/>
    <x v="0"/>
    <x v="2"/>
    <s v="CSCALA_1759$E222"/>
    <s v="H000003613"/>
    <s v="H000003613"/>
    <s v="Non-LFF"/>
    <s v=""/>
    <m/>
    <b v="1"/>
    <x v="1"/>
    <x v="3"/>
    <d v="2025-08-04T00:00:00"/>
    <m/>
    <m/>
    <x v="1"/>
    <n v="99"/>
    <s v="Rayneil Reas"/>
    <m/>
  </r>
  <r>
    <x v="313"/>
    <x v="0"/>
    <x v="2"/>
    <s v="CSCALA_1759$E223"/>
    <s v="H000003613"/>
    <s v="H000003613"/>
    <s v="Non-LFF"/>
    <s v=""/>
    <m/>
    <b v="1"/>
    <x v="1"/>
    <x v="3"/>
    <d v="2025-08-04T00:00:00"/>
    <m/>
    <m/>
    <x v="1"/>
    <n v="99"/>
    <s v="Rayneil Reas"/>
    <m/>
  </r>
  <r>
    <x v="313"/>
    <x v="0"/>
    <x v="2"/>
    <s v="CSCALA_1759$E224"/>
    <s v="H000003613"/>
    <s v="H000003613"/>
    <s v="Non-LFF"/>
    <s v=""/>
    <m/>
    <b v="1"/>
    <x v="1"/>
    <x v="3"/>
    <d v="2025-08-04T00:00:00"/>
    <m/>
    <m/>
    <x v="1"/>
    <n v="99"/>
    <s v="Rayneil Reas"/>
    <m/>
  </r>
  <r>
    <x v="313"/>
    <x v="0"/>
    <x v="2"/>
    <s v="CSCALA_1759$E225"/>
    <s v="H000003613"/>
    <s v="H000003613"/>
    <s v="Non-LFF"/>
    <s v=""/>
    <m/>
    <b v="1"/>
    <x v="1"/>
    <x v="3"/>
    <d v="2025-08-04T00:00:00"/>
    <m/>
    <m/>
    <x v="1"/>
    <n v="99"/>
    <s v="Rayneil Reas"/>
    <m/>
  </r>
  <r>
    <x v="313"/>
    <x v="0"/>
    <x v="2"/>
    <s v="CSCALA_1759$E226"/>
    <s v="H000003613"/>
    <s v="H000003613"/>
    <s v="Non-LFF"/>
    <s v=""/>
    <m/>
    <b v="1"/>
    <x v="1"/>
    <x v="3"/>
    <d v="2025-08-04T00:00:00"/>
    <m/>
    <m/>
    <x v="1"/>
    <n v="99"/>
    <s v="Rayneil Reas"/>
    <m/>
  </r>
  <r>
    <x v="313"/>
    <x v="0"/>
    <x v="2"/>
    <s v="CSCALA_1759$E227"/>
    <s v="H000003613"/>
    <s v="H000003613"/>
    <s v="Non-LFF"/>
    <s v=""/>
    <m/>
    <b v="1"/>
    <x v="1"/>
    <x v="3"/>
    <d v="2025-08-04T00:00:00"/>
    <m/>
    <m/>
    <x v="1"/>
    <n v="99"/>
    <s v="Rayneil Reas"/>
    <m/>
  </r>
  <r>
    <x v="313"/>
    <x v="0"/>
    <x v="2"/>
    <s v="CSCALA_1759$E228"/>
    <s v="H000003613"/>
    <s v="H000003613"/>
    <s v="Non-LFF"/>
    <s v=""/>
    <m/>
    <b v="1"/>
    <x v="1"/>
    <x v="3"/>
    <d v="2025-08-04T00:00:00"/>
    <m/>
    <m/>
    <x v="1"/>
    <n v="99"/>
    <s v="Rayneil Reas"/>
    <m/>
  </r>
  <r>
    <x v="313"/>
    <x v="0"/>
    <x v="2"/>
    <s v="CSCALA_1759$E229"/>
    <s v="H000003613"/>
    <s v="H000003613"/>
    <s v="Non-LFF"/>
    <s v=""/>
    <m/>
    <b v="1"/>
    <x v="1"/>
    <x v="3"/>
    <d v="2025-08-04T00:00:00"/>
    <m/>
    <m/>
    <x v="1"/>
    <n v="99"/>
    <s v="Rayneil Reas"/>
    <m/>
  </r>
  <r>
    <x v="313"/>
    <x v="0"/>
    <x v="2"/>
    <s v="CSCALA_1759$E230"/>
    <s v="H000003613"/>
    <s v="H000003613"/>
    <s v="Non-LFF"/>
    <s v=""/>
    <m/>
    <b v="1"/>
    <x v="1"/>
    <x v="3"/>
    <d v="2025-08-04T00:00:00"/>
    <m/>
    <m/>
    <x v="1"/>
    <n v="99"/>
    <s v="Rayneil Reas"/>
    <m/>
  </r>
  <r>
    <x v="313"/>
    <x v="0"/>
    <x v="2"/>
    <s v="CSCALA_1759$E231"/>
    <s v="H000003613"/>
    <s v="H000003613"/>
    <s v="Non-LFF"/>
    <s v=""/>
    <m/>
    <b v="1"/>
    <x v="1"/>
    <x v="3"/>
    <d v="2025-08-04T00:00:00"/>
    <m/>
    <m/>
    <x v="1"/>
    <n v="99"/>
    <s v="Rayneil Reas"/>
    <m/>
  </r>
  <r>
    <x v="313"/>
    <x v="0"/>
    <x v="2"/>
    <s v="CSCALA_1759$E232"/>
    <s v="H000003613"/>
    <s v="H000003613"/>
    <s v="Non-LFF"/>
    <s v=""/>
    <m/>
    <b v="1"/>
    <x v="1"/>
    <x v="3"/>
    <d v="2025-08-04T00:00:00"/>
    <m/>
    <m/>
    <x v="1"/>
    <n v="99"/>
    <s v="Rayneil Reas"/>
    <m/>
  </r>
  <r>
    <x v="313"/>
    <x v="0"/>
    <x v="2"/>
    <s v="CSCALA_1759$E233"/>
    <s v="H000003613"/>
    <s v="H000003613"/>
    <s v="Non-LFF"/>
    <s v=""/>
    <m/>
    <b v="1"/>
    <x v="1"/>
    <x v="3"/>
    <d v="2025-08-04T00:00:00"/>
    <m/>
    <m/>
    <x v="1"/>
    <n v="99"/>
    <s v="Rayneil Reas"/>
    <m/>
  </r>
  <r>
    <x v="313"/>
    <x v="0"/>
    <x v="2"/>
    <s v="CSCALA_1759$E234"/>
    <s v="H000003613"/>
    <s v="H000003613"/>
    <s v="Non-LFF"/>
    <s v=""/>
    <m/>
    <b v="1"/>
    <x v="1"/>
    <x v="3"/>
    <d v="2025-08-04T00:00:00"/>
    <m/>
    <m/>
    <x v="1"/>
    <n v="99"/>
    <s v="Rayneil Reas"/>
    <m/>
  </r>
  <r>
    <x v="313"/>
    <x v="0"/>
    <x v="2"/>
    <s v="CSCALA_1759$E235"/>
    <s v="H000003613"/>
    <s v="H000003613"/>
    <s v="Non-LFF"/>
    <s v=""/>
    <m/>
    <b v="1"/>
    <x v="1"/>
    <x v="3"/>
    <d v="2025-08-04T00:00:00"/>
    <m/>
    <m/>
    <x v="1"/>
    <n v="99"/>
    <s v="Rayneil Reas"/>
    <m/>
  </r>
  <r>
    <x v="313"/>
    <x v="0"/>
    <x v="2"/>
    <s v="CSCALA_1759$E236"/>
    <s v="H000003613"/>
    <s v="H000003613"/>
    <s v="Non-LFF"/>
    <s v=""/>
    <m/>
    <b v="1"/>
    <x v="1"/>
    <x v="3"/>
    <d v="2025-08-04T00:00:00"/>
    <m/>
    <m/>
    <x v="1"/>
    <n v="99"/>
    <s v="Rayneil Reas"/>
    <m/>
  </r>
  <r>
    <x v="313"/>
    <x v="0"/>
    <x v="2"/>
    <s v="CSCALA_1759$E237"/>
    <s v="H000003613"/>
    <s v="H000003613"/>
    <s v="Non-LFF"/>
    <s v=""/>
    <m/>
    <b v="1"/>
    <x v="1"/>
    <x v="3"/>
    <d v="2025-08-04T00:00:00"/>
    <m/>
    <m/>
    <x v="1"/>
    <n v="99"/>
    <s v="Rayneil Reas"/>
    <m/>
  </r>
  <r>
    <x v="313"/>
    <x v="0"/>
    <x v="2"/>
    <s v="CSCALA_1759$E238"/>
    <s v="H000003613"/>
    <s v="H000003613"/>
    <s v="Non-LFF"/>
    <s v=""/>
    <m/>
    <b v="1"/>
    <x v="1"/>
    <x v="3"/>
    <d v="2025-08-04T00:00:00"/>
    <m/>
    <m/>
    <x v="1"/>
    <n v="99"/>
    <s v="Rayneil Reas"/>
    <m/>
  </r>
  <r>
    <x v="313"/>
    <x v="0"/>
    <x v="2"/>
    <s v="CSCALA_1759$E239"/>
    <s v="H000003613"/>
    <s v="H000003613"/>
    <s v="Non-LFF"/>
    <s v=""/>
    <m/>
    <b v="1"/>
    <x v="1"/>
    <x v="3"/>
    <d v="2025-08-04T00:00:00"/>
    <m/>
    <m/>
    <x v="1"/>
    <n v="99"/>
    <s v="Rayneil Reas"/>
    <m/>
  </r>
  <r>
    <x v="313"/>
    <x v="0"/>
    <x v="2"/>
    <s v="CSCALA_1759$E240"/>
    <s v="H000003613"/>
    <s v="H000003613"/>
    <s v="Non-LFF"/>
    <s v=""/>
    <m/>
    <b v="1"/>
    <x v="1"/>
    <x v="3"/>
    <d v="2025-08-04T00:00:00"/>
    <m/>
    <m/>
    <x v="1"/>
    <n v="99"/>
    <s v="Rayneil Reas"/>
    <m/>
  </r>
  <r>
    <x v="313"/>
    <x v="0"/>
    <x v="2"/>
    <s v="CSCALA_1759$E241"/>
    <s v="H000003613"/>
    <s v="H000003613"/>
    <s v="Non-LFF"/>
    <s v=""/>
    <m/>
    <b v="1"/>
    <x v="1"/>
    <x v="3"/>
    <d v="2025-08-04T00:00:00"/>
    <m/>
    <m/>
    <x v="1"/>
    <n v="99"/>
    <s v="Rayneil Reas"/>
    <m/>
  </r>
  <r>
    <x v="313"/>
    <x v="0"/>
    <x v="2"/>
    <s v="CSCALA_1759$E242"/>
    <s v="H000003613"/>
    <s v="H000003613"/>
    <s v="Non-LFF"/>
    <s v=""/>
    <m/>
    <b v="1"/>
    <x v="1"/>
    <x v="3"/>
    <d v="2025-08-04T00:00:00"/>
    <m/>
    <m/>
    <x v="1"/>
    <n v="99"/>
    <s v="Rayneil Reas"/>
    <m/>
  </r>
  <r>
    <x v="313"/>
    <x v="0"/>
    <x v="2"/>
    <s v="CSCALA_1759$E243"/>
    <s v="H000003613"/>
    <s v="H000003613"/>
    <s v="Non-LFF"/>
    <s v=""/>
    <m/>
    <b v="1"/>
    <x v="1"/>
    <x v="3"/>
    <d v="2025-08-04T00:00:00"/>
    <m/>
    <m/>
    <x v="1"/>
    <n v="99"/>
    <s v="Rayneil Reas"/>
    <m/>
  </r>
  <r>
    <x v="313"/>
    <x v="0"/>
    <x v="2"/>
    <s v="CSCALA_1759$E244"/>
    <s v="H000003613"/>
    <s v="H000003613"/>
    <s v="Non-LFF"/>
    <s v=""/>
    <m/>
    <b v="1"/>
    <x v="1"/>
    <x v="3"/>
    <d v="2025-08-04T00:00:00"/>
    <m/>
    <m/>
    <x v="1"/>
    <n v="99"/>
    <s v="Rayneil Reas"/>
    <m/>
  </r>
  <r>
    <x v="313"/>
    <x v="0"/>
    <x v="2"/>
    <s v="CSCALA_1759$E245"/>
    <s v="H000003613"/>
    <s v="H000003613"/>
    <s v="Non-LFF"/>
    <s v=""/>
    <m/>
    <b v="1"/>
    <x v="1"/>
    <x v="3"/>
    <d v="2025-08-04T00:00:00"/>
    <m/>
    <m/>
    <x v="1"/>
    <n v="99"/>
    <s v="Rayneil Reas"/>
    <m/>
  </r>
  <r>
    <x v="313"/>
    <x v="0"/>
    <x v="2"/>
    <s v="CSCALA_1759$E246"/>
    <s v="H000003613"/>
    <s v="H000003613"/>
    <s v="Non-LFF"/>
    <s v=""/>
    <m/>
    <b v="1"/>
    <x v="1"/>
    <x v="3"/>
    <d v="2025-08-04T00:00:00"/>
    <m/>
    <m/>
    <x v="1"/>
    <n v="99"/>
    <s v="Rayneil Reas"/>
    <m/>
  </r>
  <r>
    <x v="313"/>
    <x v="0"/>
    <x v="2"/>
    <s v="CSCALA_1759$E247"/>
    <s v="H000003613"/>
    <s v="H000003613"/>
    <s v="Non-LFF"/>
    <s v=""/>
    <m/>
    <b v="1"/>
    <x v="1"/>
    <x v="3"/>
    <d v="2025-08-04T00:00:00"/>
    <m/>
    <m/>
    <x v="1"/>
    <n v="99"/>
    <s v="Rayneil Reas"/>
    <m/>
  </r>
  <r>
    <x v="313"/>
    <x v="0"/>
    <x v="2"/>
    <s v="CSCALA_1759$E248"/>
    <s v="H000003613"/>
    <s v="H000003613"/>
    <s v="Non-LFF"/>
    <s v=""/>
    <m/>
    <b v="1"/>
    <x v="1"/>
    <x v="3"/>
    <d v="2025-08-04T00:00:00"/>
    <m/>
    <m/>
    <x v="1"/>
    <n v="99"/>
    <s v="Rayneil Reas"/>
    <m/>
  </r>
  <r>
    <x v="313"/>
    <x v="0"/>
    <x v="2"/>
    <s v="CSCALA_1759$E249"/>
    <s v="H000003613"/>
    <s v="H000003613"/>
    <s v="Non-LFF"/>
    <s v=""/>
    <m/>
    <b v="1"/>
    <x v="1"/>
    <x v="3"/>
    <d v="2025-08-04T00:00:00"/>
    <m/>
    <m/>
    <x v="1"/>
    <n v="99"/>
    <s v="Rayneil Reas"/>
    <m/>
  </r>
  <r>
    <x v="313"/>
    <x v="0"/>
    <x v="2"/>
    <s v="CSCALA_1759$E250"/>
    <s v="H000003613"/>
    <s v="H000003613"/>
    <s v="Non-LFF"/>
    <s v=""/>
    <m/>
    <b v="1"/>
    <x v="1"/>
    <x v="3"/>
    <d v="2025-08-04T00:00:00"/>
    <m/>
    <m/>
    <x v="1"/>
    <n v="99"/>
    <s v="Rayneil Reas"/>
    <m/>
  </r>
  <r>
    <x v="313"/>
    <x v="0"/>
    <x v="2"/>
    <s v="CSCALA_1759$E251"/>
    <s v="H000003613"/>
    <s v="H000003613"/>
    <s v="Non-LFF"/>
    <s v=""/>
    <m/>
    <b v="1"/>
    <x v="1"/>
    <x v="3"/>
    <d v="2025-08-04T00:00:00"/>
    <m/>
    <m/>
    <x v="1"/>
    <n v="99"/>
    <s v="Rayneil Reas"/>
    <m/>
  </r>
  <r>
    <x v="313"/>
    <x v="0"/>
    <x v="2"/>
    <s v="CSCALA_1759$E252"/>
    <s v="H000003613"/>
    <s v="H000003613"/>
    <s v="Non-LFF"/>
    <s v=""/>
    <m/>
    <b v="1"/>
    <x v="1"/>
    <x v="3"/>
    <d v="2025-08-04T00:00:00"/>
    <m/>
    <m/>
    <x v="1"/>
    <n v="99"/>
    <s v="Rayneil Reas"/>
    <m/>
  </r>
  <r>
    <x v="313"/>
    <x v="0"/>
    <x v="2"/>
    <s v="CSCALA_1759$E253"/>
    <s v="H000003613"/>
    <s v="H000003613"/>
    <s v="Non-LFF"/>
    <s v=""/>
    <m/>
    <b v="1"/>
    <x v="1"/>
    <x v="3"/>
    <d v="2025-08-04T00:00:00"/>
    <m/>
    <m/>
    <x v="1"/>
    <n v="99"/>
    <s v="Rayneil Reas"/>
    <m/>
  </r>
  <r>
    <x v="313"/>
    <x v="0"/>
    <x v="2"/>
    <s v="CSCALA_1759$E254"/>
    <s v="H000003613"/>
    <s v="H000003613"/>
    <s v="Non-LFF"/>
    <s v=""/>
    <m/>
    <b v="1"/>
    <x v="1"/>
    <x v="3"/>
    <d v="2025-08-04T00:00:00"/>
    <m/>
    <m/>
    <x v="1"/>
    <n v="99"/>
    <s v="Rayneil Reas"/>
    <m/>
  </r>
  <r>
    <x v="313"/>
    <x v="0"/>
    <x v="2"/>
    <s v="CSCALA_1759$E255"/>
    <s v="H000003613"/>
    <s v="H000003613"/>
    <s v="Non-LFF"/>
    <s v=""/>
    <m/>
    <b v="1"/>
    <x v="1"/>
    <x v="3"/>
    <d v="2025-08-04T00:00:00"/>
    <m/>
    <m/>
    <x v="1"/>
    <n v="99"/>
    <s v="Rayneil Reas"/>
    <m/>
  </r>
  <r>
    <x v="313"/>
    <x v="0"/>
    <x v="2"/>
    <s v="CSCALA_1759$E256"/>
    <s v="H000003613"/>
    <s v="H000003613"/>
    <s v="Non-LFF"/>
    <s v=""/>
    <m/>
    <b v="1"/>
    <x v="1"/>
    <x v="3"/>
    <d v="2025-08-04T00:00:00"/>
    <m/>
    <m/>
    <x v="1"/>
    <n v="99"/>
    <s v="Rayneil Reas"/>
    <m/>
  </r>
  <r>
    <x v="313"/>
    <x v="0"/>
    <x v="2"/>
    <s v="CSCALA_1759$E257"/>
    <s v="H000003613"/>
    <s v="H000003613"/>
    <s v="Non-LFF"/>
    <s v=""/>
    <m/>
    <b v="1"/>
    <x v="1"/>
    <x v="3"/>
    <d v="2025-08-04T00:00:00"/>
    <m/>
    <m/>
    <x v="1"/>
    <n v="99"/>
    <s v="Rayneil Reas"/>
    <m/>
  </r>
  <r>
    <x v="313"/>
    <x v="0"/>
    <x v="2"/>
    <s v="CSCALA_1759$E258"/>
    <s v="H000003613"/>
    <s v="H000003613"/>
    <s v="Non-LFF"/>
    <s v=""/>
    <m/>
    <b v="1"/>
    <x v="1"/>
    <x v="3"/>
    <d v="2025-08-04T00:00:00"/>
    <m/>
    <m/>
    <x v="1"/>
    <n v="99"/>
    <s v="Rayneil Reas"/>
    <m/>
  </r>
  <r>
    <x v="313"/>
    <x v="0"/>
    <x v="2"/>
    <s v="CSCALA_1759$O342"/>
    <s v="H000003613"/>
    <s v="H000003613"/>
    <s v="Non-LFF"/>
    <s v=""/>
    <m/>
    <b v="1"/>
    <x v="1"/>
    <x v="3"/>
    <d v="2025-08-04T00:00:00"/>
    <m/>
    <m/>
    <x v="1"/>
    <n v="99"/>
    <s v="Rayneil Reas"/>
    <m/>
  </r>
  <r>
    <x v="313"/>
    <x v="0"/>
    <x v="2"/>
    <s v="CSCALA_1759$O447"/>
    <s v="H000003613"/>
    <s v="H000003613"/>
    <s v="Non-LFF"/>
    <s v=""/>
    <m/>
    <b v="1"/>
    <x v="1"/>
    <x v="3"/>
    <d v="2025-08-04T00:00:00"/>
    <m/>
    <m/>
    <x v="1"/>
    <n v="99"/>
    <s v="Rayneil Reas"/>
    <m/>
  </r>
  <r>
    <x v="313"/>
    <x v="0"/>
    <x v="2"/>
    <s v="CSCALA_1759$O905"/>
    <s v="H000003613"/>
    <s v="H000003613"/>
    <s v="Non-LFF"/>
    <s v=""/>
    <m/>
    <b v="1"/>
    <x v="1"/>
    <x v="3"/>
    <d v="2025-08-04T00:00:00"/>
    <m/>
    <m/>
    <x v="1"/>
    <n v="99"/>
    <s v="Rayneil Reas"/>
    <m/>
  </r>
  <r>
    <x v="313"/>
    <x v="0"/>
    <x v="2"/>
    <s v="CSCALA_1759$F285"/>
    <s v="H000003613"/>
    <s v="H000003613"/>
    <s v="Non-LFF"/>
    <s v=""/>
    <m/>
    <b v="1"/>
    <x v="1"/>
    <x v="3"/>
    <d v="2025-08-04T00:00:00"/>
    <m/>
    <m/>
    <x v="1"/>
    <n v="99"/>
    <s v="Rayneil Reas"/>
    <m/>
  </r>
  <r>
    <x v="313"/>
    <x v="0"/>
    <x v="2"/>
    <s v="CSCALA_1759$F905"/>
    <s v="H000003613"/>
    <s v="H000003613"/>
    <s v="Non-LFF"/>
    <s v=""/>
    <m/>
    <b v="1"/>
    <x v="1"/>
    <x v="3"/>
    <d v="2025-08-04T00:00:00"/>
    <m/>
    <m/>
    <x v="1"/>
    <n v="99"/>
    <s v="Rayneil Reas"/>
    <m/>
  </r>
  <r>
    <x v="313"/>
    <x v="0"/>
    <x v="2"/>
    <s v="CSCALA_1759$F906"/>
    <s v="H000003613"/>
    <s v="H000003613"/>
    <s v="Non-LFF"/>
    <s v=""/>
    <m/>
    <b v="1"/>
    <x v="1"/>
    <x v="3"/>
    <d v="2025-08-04T00:00:00"/>
    <m/>
    <m/>
    <x v="1"/>
    <n v="99"/>
    <s v="Rayneil Reas"/>
    <m/>
  </r>
  <r>
    <x v="313"/>
    <x v="0"/>
    <x v="2"/>
    <s v="CSCALA_1759$F907"/>
    <s v="H000003613"/>
    <s v="H000003613"/>
    <s v="Non-LFF"/>
    <s v=""/>
    <m/>
    <b v="1"/>
    <x v="1"/>
    <x v="3"/>
    <d v="2025-08-04T00:00:00"/>
    <m/>
    <m/>
    <x v="1"/>
    <n v="99"/>
    <s v="Rayneil Reas"/>
    <m/>
  </r>
  <r>
    <x v="313"/>
    <x v="0"/>
    <x v="2"/>
    <s v="CSCALA_1872$70_C31"/>
    <s v="H000003613"/>
    <s v="H000003613"/>
    <s v="Non-LFF"/>
    <s v=""/>
    <m/>
    <b v="1"/>
    <x v="1"/>
    <x v="3"/>
    <d v="2025-08-04T00:00:00"/>
    <m/>
    <m/>
    <x v="1"/>
    <n v="99"/>
    <s v="Rayneil Reas"/>
    <m/>
  </r>
  <r>
    <x v="313"/>
    <x v="0"/>
    <x v="2"/>
    <s v="CSCALA_1759$C205"/>
    <s v="H000003613"/>
    <s v="H000003613"/>
    <s v="Non-LFF"/>
    <s v=""/>
    <m/>
    <b v="1"/>
    <x v="1"/>
    <x v="3"/>
    <d v="2025-08-04T00:00:00"/>
    <m/>
    <m/>
    <x v="1"/>
    <n v="99"/>
    <s v="Rayneil Reas"/>
    <m/>
  </r>
  <r>
    <x v="313"/>
    <x v="0"/>
    <x v="2"/>
    <s v="CSCALA_1759$C206"/>
    <s v="H000003613"/>
    <s v="H000003613"/>
    <s v="Non-LFF"/>
    <s v=""/>
    <m/>
    <b v="1"/>
    <x v="1"/>
    <x v="3"/>
    <d v="2025-08-04T00:00:00"/>
    <m/>
    <m/>
    <x v="1"/>
    <n v="99"/>
    <s v="Rayneil Reas"/>
    <m/>
  </r>
  <r>
    <x v="313"/>
    <x v="0"/>
    <x v="2"/>
    <s v="CSCALA_1759$C207"/>
    <s v="H000003613"/>
    <s v="H000003613"/>
    <s v="Non-LFF"/>
    <s v=""/>
    <m/>
    <b v="1"/>
    <x v="1"/>
    <x v="3"/>
    <d v="2025-08-04T00:00:00"/>
    <m/>
    <m/>
    <x v="1"/>
    <n v="99"/>
    <s v="Rayneil Reas"/>
    <m/>
  </r>
  <r>
    <x v="313"/>
    <x v="0"/>
    <x v="2"/>
    <s v="CSCALA_1759$C208"/>
    <s v="H000003613"/>
    <s v="H000003613"/>
    <s v="Non-LFF"/>
    <s v=""/>
    <m/>
    <b v="1"/>
    <x v="1"/>
    <x v="3"/>
    <d v="2025-08-04T00:00:00"/>
    <m/>
    <m/>
    <x v="1"/>
    <n v="99"/>
    <s v="Rayneil Reas"/>
    <m/>
  </r>
  <r>
    <x v="313"/>
    <x v="0"/>
    <x v="2"/>
    <s v="CSCALA_1759$C209"/>
    <s v="H000003613"/>
    <s v="H000003613"/>
    <s v="Non-LFF"/>
    <s v=""/>
    <m/>
    <b v="1"/>
    <x v="1"/>
    <x v="3"/>
    <d v="2025-08-04T00:00:00"/>
    <m/>
    <m/>
    <x v="1"/>
    <n v="99"/>
    <s v="Rayneil Reas"/>
    <m/>
  </r>
  <r>
    <x v="313"/>
    <x v="0"/>
    <x v="2"/>
    <s v="CSCALA_1759$ABFL"/>
    <s v="H000003613"/>
    <s v="H000003613"/>
    <s v="Non-LFF"/>
    <s v=""/>
    <m/>
    <b v="1"/>
    <x v="1"/>
    <x v="3"/>
    <d v="2025-08-04T00:00:00"/>
    <m/>
    <m/>
    <x v="1"/>
    <n v="99"/>
    <s v="Rayneil Reas"/>
    <m/>
  </r>
  <r>
    <x v="313"/>
    <x v="0"/>
    <x v="2"/>
    <s v="CSCALA_1759$C210"/>
    <s v="H000003613"/>
    <s v="H000003613"/>
    <s v="Non-LFF"/>
    <s v=""/>
    <m/>
    <b v="1"/>
    <x v="1"/>
    <x v="3"/>
    <d v="2025-08-04T00:00:00"/>
    <m/>
    <m/>
    <x v="1"/>
    <n v="99"/>
    <s v="Rayneil Reas"/>
    <m/>
  </r>
  <r>
    <x v="313"/>
    <x v="0"/>
    <x v="2"/>
    <s v="CSCALA_1759$C211"/>
    <s v="H000003613"/>
    <s v="H000003613"/>
    <s v="Non-LFF"/>
    <s v=""/>
    <m/>
    <b v="1"/>
    <x v="1"/>
    <x v="3"/>
    <d v="2025-08-04T00:00:00"/>
    <m/>
    <m/>
    <x v="1"/>
    <n v="99"/>
    <s v="Rayneil Reas"/>
    <m/>
  </r>
  <r>
    <x v="313"/>
    <x v="0"/>
    <x v="2"/>
    <s v="CSCALA_1759$C212"/>
    <s v="H000003613"/>
    <s v="H000003613"/>
    <s v="Non-LFF"/>
    <s v=""/>
    <m/>
    <b v="1"/>
    <x v="1"/>
    <x v="3"/>
    <d v="2025-08-04T00:00:00"/>
    <m/>
    <m/>
    <x v="1"/>
    <n v="99"/>
    <s v="Rayneil Reas"/>
    <m/>
  </r>
  <r>
    <x v="313"/>
    <x v="0"/>
    <x v="2"/>
    <s v="CSCALA_1872$100_111"/>
    <s v="H000003613"/>
    <s v="H000003613"/>
    <s v="Non-LFF"/>
    <s v=""/>
    <m/>
    <b v="1"/>
    <x v="1"/>
    <x v="3"/>
    <d v="2025-08-04T00:00:00"/>
    <m/>
    <m/>
    <x v="1"/>
    <n v="99"/>
    <s v="Rayneil Reas"/>
    <m/>
  </r>
  <r>
    <x v="313"/>
    <x v="0"/>
    <x v="2"/>
    <s v="CSCALA_1759$R095"/>
    <s v="H000003613"/>
    <s v="H000003613"/>
    <s v="Non-LFF"/>
    <s v=""/>
    <m/>
    <b v="1"/>
    <x v="1"/>
    <x v="3"/>
    <d v="2025-08-04T00:00:00"/>
    <m/>
    <m/>
    <x v="1"/>
    <n v="99"/>
    <s v="Rayneil Reas"/>
    <m/>
  </r>
  <r>
    <x v="313"/>
    <x v="0"/>
    <x v="2"/>
    <s v="CSCALA_1759$R096"/>
    <s v="H000003613"/>
    <s v="H000003613"/>
    <s v="Non-LFF"/>
    <s v=""/>
    <m/>
    <b v="1"/>
    <x v="1"/>
    <x v="3"/>
    <d v="2025-08-04T00:00:00"/>
    <m/>
    <m/>
    <x v="1"/>
    <n v="99"/>
    <s v="Rayneil Reas"/>
    <m/>
  </r>
  <r>
    <x v="313"/>
    <x v="0"/>
    <x v="2"/>
    <s v="CSCALA_1759$R097"/>
    <s v="H000003613"/>
    <s v="H000003613"/>
    <s v="Non-LFF"/>
    <s v=""/>
    <m/>
    <b v="1"/>
    <x v="1"/>
    <x v="3"/>
    <d v="2025-08-04T00:00:00"/>
    <m/>
    <m/>
    <x v="1"/>
    <n v="99"/>
    <s v="Rayneil Reas"/>
    <m/>
  </r>
  <r>
    <x v="313"/>
    <x v="0"/>
    <x v="2"/>
    <s v="CSCALA_1759$G266"/>
    <s v="H000003613"/>
    <s v="H000003613"/>
    <s v="Non-LFF"/>
    <s v=""/>
    <m/>
    <b v="1"/>
    <x v="1"/>
    <x v="3"/>
    <d v="2025-08-04T00:00:00"/>
    <m/>
    <m/>
    <x v="1"/>
    <n v="99"/>
    <s v="Rayneil Reas"/>
    <m/>
  </r>
  <r>
    <x v="313"/>
    <x v="0"/>
    <x v="2"/>
    <s v="CSCALA_1759$G309"/>
    <s v="H000003613"/>
    <s v="H000003613"/>
    <s v="Non-LFF"/>
    <s v=""/>
    <m/>
    <b v="1"/>
    <x v="1"/>
    <x v="3"/>
    <d v="2025-08-04T00:00:00"/>
    <m/>
    <m/>
    <x v="1"/>
    <n v="99"/>
    <s v="Rayneil Reas"/>
    <m/>
  </r>
  <r>
    <x v="313"/>
    <x v="0"/>
    <x v="2"/>
    <s v="CSCALA_1759$O610"/>
    <s v="H000003613"/>
    <s v="H000003613"/>
    <s v="Non-LFF"/>
    <s v=""/>
    <m/>
    <b v="1"/>
    <x v="1"/>
    <x v="3"/>
    <d v="2025-08-04T00:00:00"/>
    <m/>
    <m/>
    <x v="1"/>
    <n v="99"/>
    <s v="Rayneil Reas"/>
    <m/>
  </r>
  <r>
    <x v="313"/>
    <x v="0"/>
    <x v="2"/>
    <s v="PLEAN_X310182NO5023201 Bavencio Medical Non R&amp;D NO50 Other Medi"/>
    <s v="H000003613"/>
    <s v="H000003613"/>
    <s v="Non-LFF"/>
    <s v=""/>
    <m/>
    <b v="1"/>
    <x v="1"/>
    <x v="3"/>
    <d v="2025-08-04T00:00:00"/>
    <m/>
    <m/>
    <x v="1"/>
    <n v="99"/>
    <s v="Rayneil Reas"/>
    <m/>
  </r>
  <r>
    <x v="313"/>
    <x v="0"/>
    <x v="2"/>
    <s v="PLEAN_X310941SE5013201 Tepmetko Commercial SE50 CongrSEs &amp; Even"/>
    <s v="H000003613"/>
    <s v="H000003613"/>
    <s v="Non-LFF"/>
    <s v=""/>
    <m/>
    <b v="1"/>
    <x v="1"/>
    <x v="3"/>
    <d v="2025-08-04T00:00:00"/>
    <m/>
    <m/>
    <x v="1"/>
    <n v="99"/>
    <s v="Rayneil Reas"/>
    <m/>
  </r>
  <r>
    <x v="313"/>
    <x v="0"/>
    <x v="2"/>
    <s v="CSCALA_1759$E263"/>
    <s v="H000003613"/>
    <s v="H000003613"/>
    <s v="Non-LFF"/>
    <s v=""/>
    <m/>
    <b v="1"/>
    <x v="1"/>
    <x v="3"/>
    <d v="2025-08-04T00:00:00"/>
    <m/>
    <m/>
    <x v="1"/>
    <n v="99"/>
    <s v="Rayneil Reas"/>
    <m/>
  </r>
  <r>
    <x v="313"/>
    <x v="0"/>
    <x v="2"/>
    <s v="CSCALA_1759$E264"/>
    <s v="H000003613"/>
    <s v="H000003613"/>
    <s v="Non-LFF"/>
    <s v=""/>
    <m/>
    <b v="1"/>
    <x v="1"/>
    <x v="3"/>
    <d v="2025-08-04T00:00:00"/>
    <m/>
    <m/>
    <x v="1"/>
    <n v="99"/>
    <s v="Rayneil Reas"/>
    <m/>
  </r>
  <r>
    <x v="313"/>
    <x v="0"/>
    <x v="2"/>
    <s v="CSCALA_1759$E265"/>
    <s v="H000003613"/>
    <s v="H000003613"/>
    <s v="Non-LFF"/>
    <s v=""/>
    <m/>
    <b v="1"/>
    <x v="1"/>
    <x v="3"/>
    <d v="2025-08-04T00:00:00"/>
    <m/>
    <m/>
    <x v="1"/>
    <n v="99"/>
    <s v="Rayneil Reas"/>
    <m/>
  </r>
  <r>
    <x v="313"/>
    <x v="0"/>
    <x v="2"/>
    <s v="CSCALA_1759$E344"/>
    <s v="H000003613"/>
    <s v="H000003613"/>
    <s v="Non-LFF"/>
    <s v=""/>
    <m/>
    <b v="1"/>
    <x v="1"/>
    <x v="3"/>
    <d v="2025-08-04T00:00:00"/>
    <m/>
    <m/>
    <x v="1"/>
    <n v="99"/>
    <s v="Rayneil Reas"/>
    <m/>
  </r>
  <r>
    <x v="313"/>
    <x v="0"/>
    <x v="2"/>
    <s v="CSCALA_1759$E259"/>
    <s v="H000003613"/>
    <s v="H000003613"/>
    <s v="Non-LFF"/>
    <s v=""/>
    <m/>
    <b v="1"/>
    <x v="1"/>
    <x v="3"/>
    <d v="2025-08-04T00:00:00"/>
    <m/>
    <m/>
    <x v="1"/>
    <n v="99"/>
    <s v="Rayneil Reas"/>
    <m/>
  </r>
  <r>
    <x v="313"/>
    <x v="0"/>
    <x v="2"/>
    <s v="CSCALA_1759$E260"/>
    <s v="H000003613"/>
    <s v="H000003613"/>
    <s v="Non-LFF"/>
    <s v=""/>
    <m/>
    <b v="1"/>
    <x v="1"/>
    <x v="3"/>
    <d v="2025-08-04T00:00:00"/>
    <m/>
    <m/>
    <x v="1"/>
    <n v="99"/>
    <s v="Rayneil Reas"/>
    <m/>
  </r>
  <r>
    <x v="313"/>
    <x v="0"/>
    <x v="2"/>
    <s v="CSCALA_1759$E261"/>
    <s v="H000003613"/>
    <s v="H000003613"/>
    <s v="Non-LFF"/>
    <s v=""/>
    <m/>
    <b v="1"/>
    <x v="1"/>
    <x v="3"/>
    <d v="2025-08-04T00:00:00"/>
    <m/>
    <m/>
    <x v="1"/>
    <n v="99"/>
    <s v="Rayneil Reas"/>
    <m/>
  </r>
  <r>
    <x v="313"/>
    <x v="0"/>
    <x v="2"/>
    <s v="CSCALA_1759$E262"/>
    <s v="H000003613"/>
    <s v="H000003613"/>
    <s v="Non-LFF"/>
    <s v=""/>
    <m/>
    <b v="1"/>
    <x v="1"/>
    <x v="3"/>
    <d v="2025-08-04T00:00:00"/>
    <m/>
    <m/>
    <x v="1"/>
    <n v="99"/>
    <s v="Rayneil Reas"/>
    <m/>
  </r>
  <r>
    <x v="313"/>
    <x v="0"/>
    <x v="2"/>
    <s v="CSCALA_1759$E266"/>
    <s v="H000003613"/>
    <s v="H000003613"/>
    <s v="Non-LFF"/>
    <s v=""/>
    <m/>
    <b v="1"/>
    <x v="1"/>
    <x v="3"/>
    <d v="2025-08-04T00:00:00"/>
    <m/>
    <m/>
    <x v="1"/>
    <n v="99"/>
    <s v="Rayneil Reas"/>
    <m/>
  </r>
  <r>
    <x v="313"/>
    <x v="0"/>
    <x v="2"/>
    <s v="CSCALA_1759$E267"/>
    <s v="H000003613"/>
    <s v="H000003613"/>
    <s v="Non-LFF"/>
    <s v=""/>
    <m/>
    <b v="1"/>
    <x v="1"/>
    <x v="3"/>
    <d v="2025-08-04T00:00:00"/>
    <m/>
    <m/>
    <x v="1"/>
    <n v="99"/>
    <s v="Rayneil Reas"/>
    <m/>
  </r>
  <r>
    <x v="313"/>
    <x v="0"/>
    <x v="2"/>
    <s v="CSCALA_1759$E268"/>
    <s v="H000003613"/>
    <s v="H000003613"/>
    <s v="Non-LFF"/>
    <s v=""/>
    <m/>
    <b v="1"/>
    <x v="1"/>
    <x v="3"/>
    <d v="2025-08-04T00:00:00"/>
    <m/>
    <m/>
    <x v="1"/>
    <n v="99"/>
    <s v="Rayneil Reas"/>
    <m/>
  </r>
  <r>
    <x v="313"/>
    <x v="0"/>
    <x v="2"/>
    <s v="CSCALA_1759$E269"/>
    <s v="H000003613"/>
    <s v="H000003613"/>
    <s v="Non-LFF"/>
    <s v=""/>
    <m/>
    <b v="1"/>
    <x v="1"/>
    <x v="3"/>
    <d v="2025-08-04T00:00:00"/>
    <m/>
    <m/>
    <x v="1"/>
    <n v="99"/>
    <s v="Rayneil Reas"/>
    <m/>
  </r>
  <r>
    <x v="313"/>
    <x v="0"/>
    <x v="2"/>
    <s v="CSCALA_1759$E270"/>
    <s v="H000003613"/>
    <s v="H000003613"/>
    <s v="Non-LFF"/>
    <s v=""/>
    <m/>
    <b v="1"/>
    <x v="1"/>
    <x v="3"/>
    <d v="2025-08-04T00:00:00"/>
    <m/>
    <m/>
    <x v="1"/>
    <n v="99"/>
    <s v="Rayneil Reas"/>
    <m/>
  </r>
  <r>
    <x v="313"/>
    <x v="0"/>
    <x v="2"/>
    <s v="CSCALA_1759$E271"/>
    <s v="H000003613"/>
    <s v="H000003613"/>
    <s v="Non-LFF"/>
    <s v=""/>
    <m/>
    <b v="1"/>
    <x v="1"/>
    <x v="3"/>
    <d v="2025-08-04T00:00:00"/>
    <m/>
    <m/>
    <x v="1"/>
    <n v="99"/>
    <s v="Rayneil Reas"/>
    <m/>
  </r>
  <r>
    <x v="313"/>
    <x v="0"/>
    <x v="2"/>
    <s v="CSCALA_1759$E272"/>
    <s v="H000003613"/>
    <s v="H000003613"/>
    <s v="Non-LFF"/>
    <s v=""/>
    <m/>
    <b v="1"/>
    <x v="1"/>
    <x v="3"/>
    <d v="2025-08-04T00:00:00"/>
    <m/>
    <m/>
    <x v="1"/>
    <n v="99"/>
    <s v="Rayneil Reas"/>
    <m/>
  </r>
  <r>
    <x v="313"/>
    <x v="0"/>
    <x v="2"/>
    <s v="CSCALA_1759$E273"/>
    <s v="H000003613"/>
    <s v="H000003613"/>
    <s v="Non-LFF"/>
    <s v=""/>
    <m/>
    <b v="1"/>
    <x v="1"/>
    <x v="3"/>
    <d v="2025-08-04T00:00:00"/>
    <m/>
    <m/>
    <x v="1"/>
    <n v="99"/>
    <s v="Rayneil Reas"/>
    <m/>
  </r>
  <r>
    <x v="313"/>
    <x v="0"/>
    <x v="2"/>
    <s v="CSCALA_1759$E274"/>
    <s v="H000003613"/>
    <s v="H000003613"/>
    <s v="Non-LFF"/>
    <s v=""/>
    <m/>
    <b v="1"/>
    <x v="1"/>
    <x v="3"/>
    <d v="2025-08-04T00:00:00"/>
    <m/>
    <m/>
    <x v="1"/>
    <n v="99"/>
    <s v="Rayneil Reas"/>
    <m/>
  </r>
  <r>
    <x v="313"/>
    <x v="0"/>
    <x v="2"/>
    <s v="CSCALA_1759$E275"/>
    <s v="H000003613"/>
    <s v="H000003613"/>
    <s v="Non-LFF"/>
    <s v=""/>
    <m/>
    <b v="1"/>
    <x v="1"/>
    <x v="3"/>
    <d v="2025-08-04T00:00:00"/>
    <m/>
    <m/>
    <x v="1"/>
    <n v="99"/>
    <s v="Rayneil Reas"/>
    <m/>
  </r>
  <r>
    <x v="313"/>
    <x v="0"/>
    <x v="2"/>
    <s v="CSCALA_1759$E276"/>
    <s v="H000003613"/>
    <s v="H000003613"/>
    <s v="Non-LFF"/>
    <s v=""/>
    <m/>
    <b v="1"/>
    <x v="1"/>
    <x v="3"/>
    <d v="2025-08-04T00:00:00"/>
    <m/>
    <m/>
    <x v="1"/>
    <n v="99"/>
    <s v="Rayneil Reas"/>
    <m/>
  </r>
  <r>
    <x v="313"/>
    <x v="0"/>
    <x v="2"/>
    <s v="CSCALA_1759$E277"/>
    <s v="H000003613"/>
    <s v="H000003613"/>
    <s v="Non-LFF"/>
    <s v=""/>
    <m/>
    <b v="1"/>
    <x v="1"/>
    <x v="3"/>
    <d v="2025-08-04T00:00:00"/>
    <m/>
    <m/>
    <x v="1"/>
    <n v="99"/>
    <s v="Rayneil Reas"/>
    <m/>
  </r>
  <r>
    <x v="313"/>
    <x v="0"/>
    <x v="2"/>
    <s v="CSCALA_1759$E278"/>
    <s v="H000003613"/>
    <s v="H000003613"/>
    <s v="Non-LFF"/>
    <s v=""/>
    <m/>
    <b v="1"/>
    <x v="1"/>
    <x v="3"/>
    <d v="2025-08-04T00:00:00"/>
    <m/>
    <m/>
    <x v="1"/>
    <n v="99"/>
    <s v="Rayneil Reas"/>
    <m/>
  </r>
  <r>
    <x v="313"/>
    <x v="0"/>
    <x v="2"/>
    <s v="CSCALA_1759$E279"/>
    <s v="H000003613"/>
    <s v="H000003613"/>
    <s v="Non-LFF"/>
    <s v=""/>
    <m/>
    <b v="1"/>
    <x v="1"/>
    <x v="3"/>
    <d v="2025-08-04T00:00:00"/>
    <m/>
    <m/>
    <x v="1"/>
    <n v="99"/>
    <s v="Rayneil Reas"/>
    <m/>
  </r>
  <r>
    <x v="313"/>
    <x v="0"/>
    <x v="2"/>
    <s v="CSCALA_1759$E280"/>
    <s v="H000003613"/>
    <s v="H000003613"/>
    <s v="Non-LFF"/>
    <s v=""/>
    <m/>
    <b v="1"/>
    <x v="1"/>
    <x v="3"/>
    <d v="2025-08-04T00:00:00"/>
    <m/>
    <m/>
    <x v="1"/>
    <n v="99"/>
    <s v="Rayneil Reas"/>
    <m/>
  </r>
  <r>
    <x v="313"/>
    <x v="0"/>
    <x v="2"/>
    <s v="CSCALA_1759$E281"/>
    <s v="H000003613"/>
    <s v="H000003613"/>
    <s v="Non-LFF"/>
    <s v=""/>
    <m/>
    <b v="1"/>
    <x v="1"/>
    <x v="3"/>
    <d v="2025-08-04T00:00:00"/>
    <m/>
    <m/>
    <x v="1"/>
    <n v="99"/>
    <s v="Rayneil Reas"/>
    <m/>
  </r>
  <r>
    <x v="313"/>
    <x v="0"/>
    <x v="2"/>
    <s v="CSCALA_1759$E282"/>
    <s v="H000003613"/>
    <s v="H000003613"/>
    <s v="Non-LFF"/>
    <s v=""/>
    <m/>
    <b v="1"/>
    <x v="1"/>
    <x v="3"/>
    <d v="2025-08-04T00:00:00"/>
    <m/>
    <m/>
    <x v="1"/>
    <n v="99"/>
    <s v="Rayneil Reas"/>
    <m/>
  </r>
  <r>
    <x v="313"/>
    <x v="0"/>
    <x v="2"/>
    <s v="CSCALA_1759$E283"/>
    <s v="H000003613"/>
    <s v="H000003613"/>
    <s v="Non-LFF"/>
    <s v=""/>
    <m/>
    <b v="1"/>
    <x v="1"/>
    <x v="3"/>
    <d v="2025-08-04T00:00:00"/>
    <m/>
    <m/>
    <x v="1"/>
    <n v="99"/>
    <s v="Rayneil Reas"/>
    <m/>
  </r>
  <r>
    <x v="313"/>
    <x v="0"/>
    <x v="2"/>
    <s v="CSCALA_1759$E284"/>
    <s v="H000003613"/>
    <s v="H000003613"/>
    <s v="Non-LFF"/>
    <s v=""/>
    <m/>
    <b v="1"/>
    <x v="1"/>
    <x v="3"/>
    <d v="2025-08-04T00:00:00"/>
    <m/>
    <m/>
    <x v="1"/>
    <n v="99"/>
    <s v="Rayneil Reas"/>
    <m/>
  </r>
  <r>
    <x v="313"/>
    <x v="0"/>
    <x v="2"/>
    <s v="CSCALA_1759$E285"/>
    <s v="H000003613"/>
    <s v="H000003613"/>
    <s v="Non-LFF"/>
    <s v=""/>
    <m/>
    <b v="1"/>
    <x v="1"/>
    <x v="3"/>
    <d v="2025-08-04T00:00:00"/>
    <m/>
    <m/>
    <x v="1"/>
    <n v="99"/>
    <s v="Rayneil Reas"/>
    <m/>
  </r>
  <r>
    <x v="313"/>
    <x v="0"/>
    <x v="2"/>
    <s v="CSCALA_1759$E286"/>
    <s v="H000003613"/>
    <s v="H000003613"/>
    <s v="Non-LFF"/>
    <s v=""/>
    <m/>
    <b v="1"/>
    <x v="1"/>
    <x v="3"/>
    <d v="2025-08-04T00:00:00"/>
    <m/>
    <m/>
    <x v="1"/>
    <n v="99"/>
    <s v="Rayneil Reas"/>
    <m/>
  </r>
  <r>
    <x v="313"/>
    <x v="0"/>
    <x v="2"/>
    <s v="CSCALA_1759$E287"/>
    <s v="H000003613"/>
    <s v="H000003613"/>
    <s v="Non-LFF"/>
    <s v=""/>
    <m/>
    <b v="1"/>
    <x v="1"/>
    <x v="3"/>
    <d v="2025-08-04T00:00:00"/>
    <m/>
    <m/>
    <x v="1"/>
    <n v="99"/>
    <s v="Rayneil Reas"/>
    <m/>
  </r>
  <r>
    <x v="313"/>
    <x v="0"/>
    <x v="2"/>
    <s v="CSCALA_1759$E288"/>
    <s v="H000003613"/>
    <s v="H000003613"/>
    <s v="Non-LFF"/>
    <s v=""/>
    <m/>
    <b v="1"/>
    <x v="1"/>
    <x v="3"/>
    <d v="2025-08-04T00:00:00"/>
    <m/>
    <m/>
    <x v="1"/>
    <n v="99"/>
    <s v="Rayneil Reas"/>
    <m/>
  </r>
  <r>
    <x v="313"/>
    <x v="0"/>
    <x v="2"/>
    <s v="CSCALA_1759$E289"/>
    <s v="H000003613"/>
    <s v="H000003613"/>
    <s v="Non-LFF"/>
    <s v=""/>
    <m/>
    <b v="1"/>
    <x v="1"/>
    <x v="3"/>
    <d v="2025-08-04T00:00:00"/>
    <m/>
    <m/>
    <x v="1"/>
    <n v="99"/>
    <s v="Rayneil Reas"/>
    <m/>
  </r>
  <r>
    <x v="313"/>
    <x v="0"/>
    <x v="2"/>
    <s v="CSCALA_1759$E290"/>
    <s v="H000003613"/>
    <s v="H000003613"/>
    <s v="Non-LFF"/>
    <s v=""/>
    <m/>
    <b v="1"/>
    <x v="1"/>
    <x v="3"/>
    <d v="2025-08-04T00:00:00"/>
    <m/>
    <m/>
    <x v="1"/>
    <n v="99"/>
    <s v="Rayneil Reas"/>
    <m/>
  </r>
  <r>
    <x v="313"/>
    <x v="0"/>
    <x v="2"/>
    <s v="CSCALA_1759$E291"/>
    <s v="H000003613"/>
    <s v="H000003613"/>
    <s v="Non-LFF"/>
    <s v=""/>
    <m/>
    <b v="1"/>
    <x v="1"/>
    <x v="3"/>
    <d v="2025-08-04T00:00:00"/>
    <m/>
    <m/>
    <x v="1"/>
    <n v="99"/>
    <s v="Rayneil Reas"/>
    <m/>
  </r>
  <r>
    <x v="313"/>
    <x v="0"/>
    <x v="2"/>
    <s v="CSCALA_1759$E292"/>
    <s v="H000003613"/>
    <s v="H000003613"/>
    <s v="Non-LFF"/>
    <s v=""/>
    <m/>
    <b v="1"/>
    <x v="1"/>
    <x v="3"/>
    <d v="2025-08-04T00:00:00"/>
    <m/>
    <m/>
    <x v="1"/>
    <n v="99"/>
    <s v="Rayneil Reas"/>
    <m/>
  </r>
  <r>
    <x v="313"/>
    <x v="0"/>
    <x v="2"/>
    <s v="CSCALA_1759$E293"/>
    <s v="H000003613"/>
    <s v="H000003613"/>
    <s v="Non-LFF"/>
    <s v=""/>
    <m/>
    <b v="1"/>
    <x v="1"/>
    <x v="3"/>
    <d v="2025-08-04T00:00:00"/>
    <m/>
    <m/>
    <x v="1"/>
    <n v="99"/>
    <s v="Rayneil Reas"/>
    <m/>
  </r>
  <r>
    <x v="313"/>
    <x v="0"/>
    <x v="2"/>
    <s v="CSCALA_1759$E294"/>
    <s v="H000003613"/>
    <s v="H000003613"/>
    <s v="Non-LFF"/>
    <s v=""/>
    <m/>
    <b v="1"/>
    <x v="1"/>
    <x v="3"/>
    <d v="2025-08-04T00:00:00"/>
    <m/>
    <m/>
    <x v="1"/>
    <n v="99"/>
    <s v="Rayneil Reas"/>
    <m/>
  </r>
  <r>
    <x v="313"/>
    <x v="0"/>
    <x v="2"/>
    <s v="CSCALA_1759$E295"/>
    <s v="H000003613"/>
    <s v="H000003613"/>
    <s v="Non-LFF"/>
    <s v=""/>
    <m/>
    <b v="1"/>
    <x v="1"/>
    <x v="3"/>
    <d v="2025-08-04T00:00:00"/>
    <m/>
    <m/>
    <x v="1"/>
    <n v="99"/>
    <s v="Rayneil Reas"/>
    <m/>
  </r>
  <r>
    <x v="313"/>
    <x v="0"/>
    <x v="2"/>
    <s v="CSCALA_1759$E296"/>
    <s v="H000003613"/>
    <s v="H000003613"/>
    <s v="Non-LFF"/>
    <s v=""/>
    <m/>
    <b v="1"/>
    <x v="1"/>
    <x v="3"/>
    <d v="2025-08-04T00:00:00"/>
    <m/>
    <m/>
    <x v="1"/>
    <n v="99"/>
    <s v="Rayneil Reas"/>
    <m/>
  </r>
  <r>
    <x v="313"/>
    <x v="0"/>
    <x v="2"/>
    <s v="CSCALA_1759$E297"/>
    <s v="H000003613"/>
    <s v="H000003613"/>
    <s v="Non-LFF"/>
    <s v=""/>
    <m/>
    <b v="1"/>
    <x v="1"/>
    <x v="3"/>
    <d v="2025-08-04T00:00:00"/>
    <m/>
    <m/>
    <x v="1"/>
    <n v="99"/>
    <s v="Rayneil Reas"/>
    <m/>
  </r>
  <r>
    <x v="313"/>
    <x v="0"/>
    <x v="2"/>
    <s v="CSCALA_1759$E298"/>
    <s v="H000003613"/>
    <s v="H000003613"/>
    <s v="Non-LFF"/>
    <s v=""/>
    <m/>
    <b v="1"/>
    <x v="1"/>
    <x v="3"/>
    <d v="2025-08-04T00:00:00"/>
    <m/>
    <m/>
    <x v="1"/>
    <n v="99"/>
    <s v="Rayneil Reas"/>
    <m/>
  </r>
  <r>
    <x v="313"/>
    <x v="0"/>
    <x v="2"/>
    <s v="CSCALA_1759$E299"/>
    <s v="H000003613"/>
    <s v="H000003613"/>
    <s v="Non-LFF"/>
    <s v=""/>
    <m/>
    <b v="1"/>
    <x v="1"/>
    <x v="3"/>
    <d v="2025-08-04T00:00:00"/>
    <m/>
    <m/>
    <x v="1"/>
    <n v="99"/>
    <s v="Rayneil Reas"/>
    <m/>
  </r>
  <r>
    <x v="313"/>
    <x v="0"/>
    <x v="2"/>
    <s v="CSCALA_1759$E300"/>
    <s v="H000003613"/>
    <s v="H000003613"/>
    <s v="Non-LFF"/>
    <s v=""/>
    <m/>
    <b v="1"/>
    <x v="1"/>
    <x v="3"/>
    <d v="2025-08-04T00:00:00"/>
    <m/>
    <m/>
    <x v="1"/>
    <n v="99"/>
    <s v="Rayneil Reas"/>
    <m/>
  </r>
  <r>
    <x v="313"/>
    <x v="0"/>
    <x v="2"/>
    <s v="CSCALA_1759$E301"/>
    <s v="H000003613"/>
    <s v="H000003613"/>
    <s v="Non-LFF"/>
    <s v=""/>
    <m/>
    <b v="1"/>
    <x v="1"/>
    <x v="3"/>
    <d v="2025-08-04T00:00:00"/>
    <m/>
    <m/>
    <x v="1"/>
    <n v="99"/>
    <s v="Rayneil Reas"/>
    <m/>
  </r>
  <r>
    <x v="313"/>
    <x v="0"/>
    <x v="2"/>
    <s v="CSCALA_1759$E302"/>
    <s v="H000003613"/>
    <s v="H000003613"/>
    <s v="Non-LFF"/>
    <s v=""/>
    <m/>
    <b v="1"/>
    <x v="1"/>
    <x v="3"/>
    <d v="2025-08-04T00:00:00"/>
    <m/>
    <m/>
    <x v="1"/>
    <n v="99"/>
    <s v="Rayneil Reas"/>
    <m/>
  </r>
  <r>
    <x v="313"/>
    <x v="0"/>
    <x v="2"/>
    <s v="CSCALA_1759$E303"/>
    <s v="H000003613"/>
    <s v="H000003613"/>
    <s v="Non-LFF"/>
    <s v=""/>
    <m/>
    <b v="1"/>
    <x v="1"/>
    <x v="3"/>
    <d v="2025-08-04T00:00:00"/>
    <m/>
    <m/>
    <x v="1"/>
    <n v="99"/>
    <s v="Rayneil Reas"/>
    <m/>
  </r>
  <r>
    <x v="313"/>
    <x v="0"/>
    <x v="2"/>
    <s v="CSCALA_1759$E304"/>
    <s v="H000003613"/>
    <s v="H000003613"/>
    <s v="Non-LFF"/>
    <s v=""/>
    <m/>
    <b v="1"/>
    <x v="1"/>
    <x v="3"/>
    <d v="2025-08-04T00:00:00"/>
    <m/>
    <m/>
    <x v="1"/>
    <n v="99"/>
    <s v="Rayneil Reas"/>
    <m/>
  </r>
  <r>
    <x v="313"/>
    <x v="0"/>
    <x v="2"/>
    <s v="CSCALA_1759$E305"/>
    <s v="H000003613"/>
    <s v="H000003613"/>
    <s v="Non-LFF"/>
    <s v=""/>
    <m/>
    <b v="1"/>
    <x v="1"/>
    <x v="3"/>
    <d v="2025-08-04T00:00:00"/>
    <m/>
    <m/>
    <x v="1"/>
    <n v="99"/>
    <s v="Rayneil Reas"/>
    <m/>
  </r>
  <r>
    <x v="313"/>
    <x v="0"/>
    <x v="2"/>
    <s v="CSCALA_1759$E306"/>
    <s v="H000003613"/>
    <s v="H000003613"/>
    <s v="Non-LFF"/>
    <s v=""/>
    <m/>
    <b v="1"/>
    <x v="1"/>
    <x v="3"/>
    <d v="2025-08-04T00:00:00"/>
    <m/>
    <m/>
    <x v="1"/>
    <n v="99"/>
    <s v="Rayneil Reas"/>
    <m/>
  </r>
  <r>
    <x v="313"/>
    <x v="0"/>
    <x v="2"/>
    <s v="CSCALA_1759$E307"/>
    <s v="H000003613"/>
    <s v="H000003613"/>
    <s v="Non-LFF"/>
    <s v=""/>
    <m/>
    <b v="1"/>
    <x v="1"/>
    <x v="3"/>
    <d v="2025-08-04T00:00:00"/>
    <m/>
    <m/>
    <x v="1"/>
    <n v="99"/>
    <s v="Rayneil Reas"/>
    <m/>
  </r>
  <r>
    <x v="313"/>
    <x v="0"/>
    <x v="2"/>
    <s v="CSCALA_1759$E308"/>
    <s v="H000003613"/>
    <s v="H000003613"/>
    <s v="Non-LFF"/>
    <s v=""/>
    <m/>
    <b v="1"/>
    <x v="1"/>
    <x v="3"/>
    <d v="2025-08-04T00:00:00"/>
    <m/>
    <m/>
    <x v="1"/>
    <n v="99"/>
    <s v="Rayneil Reas"/>
    <m/>
  </r>
  <r>
    <x v="313"/>
    <x v="0"/>
    <x v="2"/>
    <s v="CSCALA_1759$E309"/>
    <s v="H000003613"/>
    <s v="H000003613"/>
    <s v="Non-LFF"/>
    <s v=""/>
    <m/>
    <b v="1"/>
    <x v="1"/>
    <x v="3"/>
    <d v="2025-08-04T00:00:00"/>
    <m/>
    <m/>
    <x v="1"/>
    <n v="99"/>
    <s v="Rayneil Reas"/>
    <m/>
  </r>
  <r>
    <x v="313"/>
    <x v="0"/>
    <x v="2"/>
    <s v="CSCALA_1759$E310"/>
    <s v="H000003613"/>
    <s v="H000003613"/>
    <s v="Non-LFF"/>
    <s v=""/>
    <m/>
    <b v="1"/>
    <x v="1"/>
    <x v="3"/>
    <d v="2025-08-04T00:00:00"/>
    <m/>
    <m/>
    <x v="1"/>
    <n v="99"/>
    <s v="Rayneil Reas"/>
    <m/>
  </r>
  <r>
    <x v="313"/>
    <x v="0"/>
    <x v="2"/>
    <s v="CSCALA_1759$E311"/>
    <s v="H000003613"/>
    <s v="H000003613"/>
    <s v="Non-LFF"/>
    <s v=""/>
    <m/>
    <b v="1"/>
    <x v="1"/>
    <x v="3"/>
    <d v="2025-08-04T00:00:00"/>
    <m/>
    <m/>
    <x v="1"/>
    <n v="99"/>
    <s v="Rayneil Reas"/>
    <m/>
  </r>
  <r>
    <x v="313"/>
    <x v="0"/>
    <x v="2"/>
    <s v="CSCALA_1759$E312"/>
    <s v="H000003613"/>
    <s v="H000003613"/>
    <s v="Non-LFF"/>
    <s v=""/>
    <m/>
    <b v="1"/>
    <x v="1"/>
    <x v="3"/>
    <d v="2025-08-04T00:00:00"/>
    <m/>
    <m/>
    <x v="1"/>
    <n v="99"/>
    <s v="Rayneil Reas"/>
    <m/>
  </r>
  <r>
    <x v="313"/>
    <x v="0"/>
    <x v="2"/>
    <s v="CSCALA_1759$E313"/>
    <s v="H000003613"/>
    <s v="H000003613"/>
    <s v="Non-LFF"/>
    <s v=""/>
    <m/>
    <b v="1"/>
    <x v="1"/>
    <x v="3"/>
    <d v="2025-08-04T00:00:00"/>
    <m/>
    <m/>
    <x v="1"/>
    <n v="99"/>
    <s v="Rayneil Reas"/>
    <m/>
  </r>
  <r>
    <x v="313"/>
    <x v="0"/>
    <x v="2"/>
    <s v="CSCALA_1759$E314"/>
    <s v="H000003613"/>
    <s v="H000003613"/>
    <s v="Non-LFF"/>
    <s v=""/>
    <m/>
    <b v="1"/>
    <x v="1"/>
    <x v="3"/>
    <d v="2025-08-04T00:00:00"/>
    <m/>
    <m/>
    <x v="1"/>
    <n v="99"/>
    <s v="Rayneil Reas"/>
    <m/>
  </r>
  <r>
    <x v="313"/>
    <x v="0"/>
    <x v="2"/>
    <s v="CSCALA_1759$E315"/>
    <s v="H000003613"/>
    <s v="H000003613"/>
    <s v="Non-LFF"/>
    <s v=""/>
    <m/>
    <b v="1"/>
    <x v="1"/>
    <x v="3"/>
    <d v="2025-08-04T00:00:00"/>
    <m/>
    <m/>
    <x v="1"/>
    <n v="99"/>
    <s v="Rayneil Reas"/>
    <m/>
  </r>
  <r>
    <x v="313"/>
    <x v="0"/>
    <x v="2"/>
    <s v="CSCALA_1759$E316"/>
    <s v="H000003613"/>
    <s v="H000003613"/>
    <s v="Non-LFF"/>
    <s v=""/>
    <m/>
    <b v="1"/>
    <x v="1"/>
    <x v="3"/>
    <d v="2025-08-04T00:00:00"/>
    <m/>
    <m/>
    <x v="1"/>
    <n v="99"/>
    <s v="Rayneil Reas"/>
    <m/>
  </r>
  <r>
    <x v="313"/>
    <x v="0"/>
    <x v="2"/>
    <s v="CSCALA_1759$E318"/>
    <s v="H000003613"/>
    <s v="H000003613"/>
    <s v="Non-LFF"/>
    <s v=""/>
    <m/>
    <b v="1"/>
    <x v="1"/>
    <x v="3"/>
    <d v="2025-08-04T00:00:00"/>
    <m/>
    <m/>
    <x v="1"/>
    <n v="99"/>
    <s v="Rayneil Reas"/>
    <m/>
  </r>
  <r>
    <x v="313"/>
    <x v="0"/>
    <x v="2"/>
    <s v="CSCALA_1759$E319"/>
    <s v="H000003613"/>
    <s v="H000003613"/>
    <s v="Non-LFF"/>
    <s v=""/>
    <m/>
    <b v="1"/>
    <x v="1"/>
    <x v="3"/>
    <d v="2025-08-04T00:00:00"/>
    <m/>
    <m/>
    <x v="1"/>
    <n v="99"/>
    <s v="Rayneil Reas"/>
    <m/>
  </r>
  <r>
    <x v="313"/>
    <x v="0"/>
    <x v="2"/>
    <s v="CSCALA_1759$E320"/>
    <s v="H000003613"/>
    <s v="H000003613"/>
    <s v="Non-LFF"/>
    <s v=""/>
    <m/>
    <b v="1"/>
    <x v="1"/>
    <x v="3"/>
    <d v="2025-08-04T00:00:00"/>
    <m/>
    <m/>
    <x v="1"/>
    <n v="99"/>
    <s v="Rayneil Reas"/>
    <m/>
  </r>
  <r>
    <x v="313"/>
    <x v="0"/>
    <x v="2"/>
    <s v="CSCALA_1759$E321"/>
    <s v="H000003613"/>
    <s v="H000003613"/>
    <s v="Non-LFF"/>
    <s v=""/>
    <m/>
    <b v="1"/>
    <x v="1"/>
    <x v="3"/>
    <d v="2025-08-04T00:00:00"/>
    <m/>
    <m/>
    <x v="1"/>
    <n v="99"/>
    <s v="Rayneil Reas"/>
    <m/>
  </r>
  <r>
    <x v="313"/>
    <x v="0"/>
    <x v="2"/>
    <s v="CSCALA_1759$E322"/>
    <s v="H000003613"/>
    <s v="H000003613"/>
    <s v="Non-LFF"/>
    <s v=""/>
    <m/>
    <b v="1"/>
    <x v="1"/>
    <x v="3"/>
    <d v="2025-08-04T00:00:00"/>
    <m/>
    <m/>
    <x v="1"/>
    <n v="99"/>
    <s v="Rayneil Reas"/>
    <m/>
  </r>
  <r>
    <x v="313"/>
    <x v="0"/>
    <x v="2"/>
    <s v="CSCALA_1759$E323"/>
    <s v="H000003613"/>
    <s v="H000003613"/>
    <s v="Non-LFF"/>
    <s v=""/>
    <m/>
    <b v="1"/>
    <x v="1"/>
    <x v="3"/>
    <d v="2025-08-04T00:00:00"/>
    <m/>
    <m/>
    <x v="1"/>
    <n v="99"/>
    <s v="Rayneil Reas"/>
    <m/>
  </r>
  <r>
    <x v="313"/>
    <x v="0"/>
    <x v="2"/>
    <s v="CSCALA_1759$E324"/>
    <s v="H000003613"/>
    <s v="H000003613"/>
    <s v="Non-LFF"/>
    <s v=""/>
    <m/>
    <b v="1"/>
    <x v="1"/>
    <x v="3"/>
    <d v="2025-08-04T00:00:00"/>
    <m/>
    <m/>
    <x v="1"/>
    <n v="99"/>
    <s v="Rayneil Reas"/>
    <m/>
  </r>
  <r>
    <x v="313"/>
    <x v="0"/>
    <x v="2"/>
    <s v="CSCALA_1759$E325"/>
    <s v="H000003613"/>
    <s v="H000003613"/>
    <s v="Non-LFF"/>
    <s v=""/>
    <m/>
    <b v="1"/>
    <x v="1"/>
    <x v="3"/>
    <d v="2025-08-04T00:00:00"/>
    <m/>
    <m/>
    <x v="1"/>
    <n v="99"/>
    <s v="Rayneil Reas"/>
    <m/>
  </r>
  <r>
    <x v="313"/>
    <x v="0"/>
    <x v="2"/>
    <s v="CSCALA_1759$E326"/>
    <s v="H000003613"/>
    <s v="H000003613"/>
    <s v="Non-LFF"/>
    <s v=""/>
    <m/>
    <b v="1"/>
    <x v="1"/>
    <x v="3"/>
    <d v="2025-08-04T00:00:00"/>
    <m/>
    <m/>
    <x v="1"/>
    <n v="99"/>
    <s v="Rayneil Reas"/>
    <m/>
  </r>
  <r>
    <x v="313"/>
    <x v="0"/>
    <x v="2"/>
    <s v="CSCALA_1759$E327"/>
    <s v="H000003613"/>
    <s v="H000003613"/>
    <s v="Non-LFF"/>
    <s v=""/>
    <m/>
    <b v="1"/>
    <x v="1"/>
    <x v="3"/>
    <d v="2025-08-04T00:00:00"/>
    <m/>
    <m/>
    <x v="1"/>
    <n v="99"/>
    <s v="Rayneil Reas"/>
    <m/>
  </r>
  <r>
    <x v="313"/>
    <x v="0"/>
    <x v="2"/>
    <s v="CSCALA_1759$E328"/>
    <s v="H000003613"/>
    <s v="H000003613"/>
    <s v="Non-LFF"/>
    <s v=""/>
    <m/>
    <b v="1"/>
    <x v="1"/>
    <x v="3"/>
    <d v="2025-08-04T00:00:00"/>
    <m/>
    <m/>
    <x v="1"/>
    <n v="99"/>
    <s v="Rayneil Reas"/>
    <m/>
  </r>
  <r>
    <x v="313"/>
    <x v="0"/>
    <x v="2"/>
    <s v="CSCALA_1759$E329"/>
    <s v="H000003613"/>
    <s v="H000003613"/>
    <s v="Non-LFF"/>
    <s v=""/>
    <m/>
    <b v="1"/>
    <x v="1"/>
    <x v="3"/>
    <d v="2025-08-04T00:00:00"/>
    <m/>
    <m/>
    <x v="1"/>
    <n v="99"/>
    <s v="Rayneil Reas"/>
    <m/>
  </r>
  <r>
    <x v="313"/>
    <x v="0"/>
    <x v="2"/>
    <s v="CSCALA_1759$E330"/>
    <s v="H000003613"/>
    <s v="H000003613"/>
    <s v="Non-LFF"/>
    <s v=""/>
    <m/>
    <b v="1"/>
    <x v="1"/>
    <x v="3"/>
    <d v="2025-08-04T00:00:00"/>
    <m/>
    <m/>
    <x v="1"/>
    <n v="99"/>
    <s v="Rayneil Reas"/>
    <m/>
  </r>
  <r>
    <x v="313"/>
    <x v="0"/>
    <x v="2"/>
    <s v="CSCALA_1759$E331"/>
    <s v="H000003613"/>
    <s v="H000003613"/>
    <s v="Non-LFF"/>
    <s v=""/>
    <m/>
    <b v="1"/>
    <x v="1"/>
    <x v="3"/>
    <d v="2025-08-04T00:00:00"/>
    <m/>
    <m/>
    <x v="1"/>
    <n v="99"/>
    <s v="Rayneil Reas"/>
    <m/>
  </r>
  <r>
    <x v="313"/>
    <x v="0"/>
    <x v="2"/>
    <s v="CSCALA_1759$E332"/>
    <s v="H000003613"/>
    <s v="H000003613"/>
    <s v="Non-LFF"/>
    <s v=""/>
    <m/>
    <b v="1"/>
    <x v="1"/>
    <x v="3"/>
    <d v="2025-08-04T00:00:00"/>
    <m/>
    <m/>
    <x v="1"/>
    <n v="99"/>
    <s v="Rayneil Reas"/>
    <m/>
  </r>
  <r>
    <x v="313"/>
    <x v="0"/>
    <x v="2"/>
    <s v="CSCALA_1759$E333"/>
    <s v="H000003613"/>
    <s v="H000003613"/>
    <s v="Non-LFF"/>
    <s v=""/>
    <m/>
    <b v="1"/>
    <x v="1"/>
    <x v="3"/>
    <d v="2025-08-04T00:00:00"/>
    <m/>
    <m/>
    <x v="1"/>
    <n v="99"/>
    <s v="Rayneil Reas"/>
    <m/>
  </r>
  <r>
    <x v="313"/>
    <x v="0"/>
    <x v="2"/>
    <s v="CSCALA_1759$E334"/>
    <s v="H000003613"/>
    <s v="H000003613"/>
    <s v="Non-LFF"/>
    <s v=""/>
    <m/>
    <b v="1"/>
    <x v="1"/>
    <x v="3"/>
    <d v="2025-08-04T00:00:00"/>
    <m/>
    <m/>
    <x v="1"/>
    <n v="99"/>
    <s v="Rayneil Reas"/>
    <m/>
  </r>
  <r>
    <x v="313"/>
    <x v="0"/>
    <x v="2"/>
    <s v="CSCALA_1759$E335"/>
    <s v="H000003613"/>
    <s v="H000003613"/>
    <s v="Non-LFF"/>
    <s v=""/>
    <m/>
    <b v="1"/>
    <x v="1"/>
    <x v="3"/>
    <d v="2025-08-04T00:00:00"/>
    <m/>
    <m/>
    <x v="1"/>
    <n v="99"/>
    <s v="Rayneil Reas"/>
    <m/>
  </r>
  <r>
    <x v="313"/>
    <x v="0"/>
    <x v="2"/>
    <s v="CSCALA_1759$E336"/>
    <s v="H000003613"/>
    <s v="H000003613"/>
    <s v="Non-LFF"/>
    <s v=""/>
    <m/>
    <b v="1"/>
    <x v="1"/>
    <x v="3"/>
    <d v="2025-08-04T00:00:00"/>
    <m/>
    <m/>
    <x v="1"/>
    <n v="99"/>
    <s v="Rayneil Reas"/>
    <m/>
  </r>
  <r>
    <x v="313"/>
    <x v="0"/>
    <x v="2"/>
    <s v="CSCALA_1759$E337"/>
    <s v="H000003613"/>
    <s v="H000003613"/>
    <s v="Non-LFF"/>
    <s v=""/>
    <m/>
    <b v="1"/>
    <x v="1"/>
    <x v="3"/>
    <d v="2025-08-04T00:00:00"/>
    <m/>
    <m/>
    <x v="1"/>
    <n v="99"/>
    <s v="Rayneil Reas"/>
    <m/>
  </r>
  <r>
    <x v="313"/>
    <x v="0"/>
    <x v="2"/>
    <s v="CSCALA_1759$E338"/>
    <s v="H000003613"/>
    <s v="H000003613"/>
    <s v="Non-LFF"/>
    <s v=""/>
    <m/>
    <b v="1"/>
    <x v="1"/>
    <x v="3"/>
    <d v="2025-08-04T00:00:00"/>
    <m/>
    <m/>
    <x v="1"/>
    <n v="99"/>
    <s v="Rayneil Reas"/>
    <m/>
  </r>
  <r>
    <x v="313"/>
    <x v="0"/>
    <x v="2"/>
    <s v="CSCALA_1759$E339"/>
    <s v="H000003613"/>
    <s v="H000003613"/>
    <s v="Non-LFF"/>
    <s v=""/>
    <m/>
    <b v="1"/>
    <x v="1"/>
    <x v="3"/>
    <d v="2025-08-04T00:00:00"/>
    <m/>
    <m/>
    <x v="1"/>
    <n v="99"/>
    <s v="Rayneil Reas"/>
    <m/>
  </r>
  <r>
    <x v="313"/>
    <x v="0"/>
    <x v="2"/>
    <s v="CSCALA_1759$E340"/>
    <s v="H000003613"/>
    <s v="H000003613"/>
    <s v="Non-LFF"/>
    <s v=""/>
    <m/>
    <b v="1"/>
    <x v="1"/>
    <x v="3"/>
    <d v="2025-08-04T00:00:00"/>
    <m/>
    <m/>
    <x v="1"/>
    <n v="99"/>
    <s v="Rayneil Reas"/>
    <m/>
  </r>
  <r>
    <x v="313"/>
    <x v="0"/>
    <x v="2"/>
    <s v="CSCALA_1759$E341"/>
    <s v="H000003613"/>
    <s v="H000003613"/>
    <s v="Non-LFF"/>
    <s v=""/>
    <m/>
    <b v="1"/>
    <x v="1"/>
    <x v="3"/>
    <d v="2025-08-04T00:00:00"/>
    <m/>
    <m/>
    <x v="1"/>
    <n v="99"/>
    <s v="Rayneil Reas"/>
    <m/>
  </r>
  <r>
    <x v="313"/>
    <x v="0"/>
    <x v="2"/>
    <s v="CSCALA_1759$E342"/>
    <s v="H000003613"/>
    <s v="H000003613"/>
    <s v="Non-LFF"/>
    <s v=""/>
    <m/>
    <b v="1"/>
    <x v="1"/>
    <x v="3"/>
    <d v="2025-08-04T00:00:00"/>
    <m/>
    <m/>
    <x v="1"/>
    <n v="99"/>
    <s v="Rayneil Reas"/>
    <m/>
  </r>
  <r>
    <x v="313"/>
    <x v="0"/>
    <x v="2"/>
    <s v="CSCALA_1759$E343"/>
    <s v="H000003613"/>
    <s v="H000003613"/>
    <s v="Non-LFF"/>
    <s v=""/>
    <m/>
    <b v="1"/>
    <x v="1"/>
    <x v="3"/>
    <d v="2025-08-04T00:00:00"/>
    <m/>
    <m/>
    <x v="1"/>
    <n v="99"/>
    <s v="Rayneil Reas"/>
    <m/>
  </r>
  <r>
    <x v="313"/>
    <x v="0"/>
    <x v="2"/>
    <s v="CSCALA_1759$O347"/>
    <s v="H000003613"/>
    <s v="H000003613"/>
    <s v="Non-LFF"/>
    <s v=""/>
    <m/>
    <b v="1"/>
    <x v="1"/>
    <x v="3"/>
    <d v="2025-08-04T00:00:00"/>
    <m/>
    <m/>
    <x v="1"/>
    <n v="99"/>
    <s v="Rayneil Reas"/>
    <m/>
  </r>
  <r>
    <x v="313"/>
    <x v="0"/>
    <x v="2"/>
    <s v="CSCALA_1759$F908"/>
    <s v="H000003613"/>
    <s v="H000003613"/>
    <s v="Non-LFF"/>
    <s v=""/>
    <m/>
    <b v="1"/>
    <x v="1"/>
    <x v="3"/>
    <d v="2025-08-04T00:00:00"/>
    <m/>
    <m/>
    <x v="1"/>
    <n v="99"/>
    <s v="Rayneil Reas"/>
    <m/>
  </r>
  <r>
    <x v="313"/>
    <x v="0"/>
    <x v="2"/>
    <s v="CSCALA_1759$F909"/>
    <s v="H000003613"/>
    <s v="H000003613"/>
    <s v="Non-LFF"/>
    <s v=""/>
    <m/>
    <b v="1"/>
    <x v="1"/>
    <x v="3"/>
    <d v="2025-08-04T00:00:00"/>
    <m/>
    <m/>
    <x v="1"/>
    <n v="99"/>
    <s v="Rayneil Reas"/>
    <m/>
  </r>
  <r>
    <x v="313"/>
    <x v="0"/>
    <x v="2"/>
    <s v="CSCALA_1759$F910"/>
    <s v="H000003613"/>
    <s v="H000003613"/>
    <s v="Non-LFF"/>
    <s v=""/>
    <m/>
    <b v="1"/>
    <x v="1"/>
    <x v="3"/>
    <d v="2025-08-04T00:00:00"/>
    <m/>
    <m/>
    <x v="1"/>
    <n v="99"/>
    <s v="Rayneil Reas"/>
    <m/>
  </r>
  <r>
    <x v="313"/>
    <x v="0"/>
    <x v="2"/>
    <s v="CSCALA_1759$F911"/>
    <s v="H000003613"/>
    <s v="H000003613"/>
    <s v="Non-LFF"/>
    <s v=""/>
    <m/>
    <b v="1"/>
    <x v="1"/>
    <x v="3"/>
    <d v="2025-08-04T00:00:00"/>
    <m/>
    <m/>
    <x v="1"/>
    <n v="99"/>
    <s v="Rayneil Reas"/>
    <m/>
  </r>
  <r>
    <x v="313"/>
    <x v="0"/>
    <x v="2"/>
    <s v="CSCALA_1759$F912"/>
    <s v="H000003613"/>
    <s v="H000003613"/>
    <s v="Non-LFF"/>
    <s v=""/>
    <m/>
    <b v="1"/>
    <x v="1"/>
    <x v="3"/>
    <d v="2025-08-04T00:00:00"/>
    <m/>
    <m/>
    <x v="1"/>
    <n v="99"/>
    <s v="Rayneil Reas"/>
    <m/>
  </r>
  <r>
    <x v="313"/>
    <x v="0"/>
    <x v="2"/>
    <s v="CSCALA_1759$F914"/>
    <s v="H000003613"/>
    <s v="H000003613"/>
    <s v="Non-LFF"/>
    <s v=""/>
    <m/>
    <b v="1"/>
    <x v="1"/>
    <x v="3"/>
    <d v="2025-08-04T00:00:00"/>
    <m/>
    <m/>
    <x v="1"/>
    <n v="99"/>
    <s v="Rayneil Reas"/>
    <m/>
  </r>
  <r>
    <x v="313"/>
    <x v="0"/>
    <x v="2"/>
    <s v="CSCALA_1759$F915"/>
    <s v="H000003613"/>
    <s v="H000003613"/>
    <s v="Non-LFF"/>
    <s v=""/>
    <m/>
    <b v="1"/>
    <x v="1"/>
    <x v="3"/>
    <d v="2025-08-04T00:00:00"/>
    <m/>
    <m/>
    <x v="1"/>
    <n v="99"/>
    <s v="Rayneil Reas"/>
    <m/>
  </r>
  <r>
    <x v="313"/>
    <x v="0"/>
    <x v="2"/>
    <s v="CSCALA_1759$C213"/>
    <s v="H000003613"/>
    <s v="H000003613"/>
    <s v="Non-LFF"/>
    <s v=""/>
    <m/>
    <b v="1"/>
    <x v="1"/>
    <x v="3"/>
    <d v="2025-08-04T00:00:00"/>
    <m/>
    <m/>
    <x v="1"/>
    <n v="99"/>
    <s v="Rayneil Reas"/>
    <m/>
  </r>
  <r>
    <x v="313"/>
    <x v="0"/>
    <x v="2"/>
    <s v="CSCALA_1759$C214"/>
    <s v="H000003613"/>
    <s v="H000003613"/>
    <s v="Non-LFF"/>
    <s v=""/>
    <m/>
    <b v="1"/>
    <x v="1"/>
    <x v="3"/>
    <d v="2025-08-04T00:00:00"/>
    <m/>
    <m/>
    <x v="1"/>
    <n v="99"/>
    <s v="Rayneil Reas"/>
    <m/>
  </r>
  <r>
    <x v="313"/>
    <x v="0"/>
    <x v="2"/>
    <s v="CSCALA_1759$C215"/>
    <s v="H000003613"/>
    <s v="H000003613"/>
    <s v="Non-LFF"/>
    <s v=""/>
    <m/>
    <b v="1"/>
    <x v="1"/>
    <x v="3"/>
    <d v="2025-08-04T00:00:00"/>
    <m/>
    <m/>
    <x v="1"/>
    <n v="99"/>
    <s v="Rayneil Reas"/>
    <m/>
  </r>
  <r>
    <x v="313"/>
    <x v="0"/>
    <x v="2"/>
    <s v="CSCALA_1759$C216"/>
    <s v="H000003613"/>
    <s v="H000003613"/>
    <s v="Non-LFF"/>
    <s v=""/>
    <m/>
    <b v="1"/>
    <x v="1"/>
    <x v="3"/>
    <d v="2025-08-04T00:00:00"/>
    <m/>
    <m/>
    <x v="1"/>
    <n v="99"/>
    <s v="Rayneil Reas"/>
    <m/>
  </r>
  <r>
    <x v="313"/>
    <x v="0"/>
    <x v="2"/>
    <s v="CSCALA_1759$ALEL"/>
    <s v="H000003613"/>
    <s v="H000003613"/>
    <s v="Non-LFF"/>
    <s v=""/>
    <m/>
    <b v="1"/>
    <x v="1"/>
    <x v="3"/>
    <d v="2025-08-04T00:00:00"/>
    <m/>
    <m/>
    <x v="1"/>
    <n v="99"/>
    <s v="Rayneil Reas"/>
    <m/>
  </r>
  <r>
    <x v="313"/>
    <x v="0"/>
    <x v="2"/>
    <s v="CSCALA_1759$CIRA"/>
    <s v="H000003613"/>
    <s v="H000003613"/>
    <s v="Non-LFF"/>
    <s v=""/>
    <m/>
    <b v="1"/>
    <x v="1"/>
    <x v="3"/>
    <d v="2025-08-04T00:00:00"/>
    <m/>
    <m/>
    <x v="1"/>
    <n v="99"/>
    <s v="Rayneil Reas"/>
    <m/>
  </r>
  <r>
    <x v="313"/>
    <x v="0"/>
    <x v="2"/>
    <s v="CSCALA_1759$R098"/>
    <s v="H000003613"/>
    <s v="H000003613"/>
    <s v="Non-LFF"/>
    <s v=""/>
    <m/>
    <b v="1"/>
    <x v="1"/>
    <x v="3"/>
    <d v="2025-08-04T00:00:00"/>
    <m/>
    <m/>
    <x v="1"/>
    <n v="99"/>
    <s v="Rayneil Reas"/>
    <m/>
  </r>
  <r>
    <x v="313"/>
    <x v="0"/>
    <x v="2"/>
    <s v="CSCALA_1759$R099"/>
    <s v="H000003613"/>
    <s v="H000003613"/>
    <s v="Non-LFF"/>
    <s v=""/>
    <m/>
    <b v="1"/>
    <x v="1"/>
    <x v="3"/>
    <d v="2025-08-04T00:00:00"/>
    <m/>
    <m/>
    <x v="1"/>
    <n v="99"/>
    <s v="Rayneil Reas"/>
    <m/>
  </r>
  <r>
    <x v="313"/>
    <x v="0"/>
    <x v="2"/>
    <s v="CSCALA_1759$R100"/>
    <s v="H000003613"/>
    <s v="H000003613"/>
    <s v="Non-LFF"/>
    <s v=""/>
    <m/>
    <b v="1"/>
    <x v="1"/>
    <x v="3"/>
    <d v="2025-08-04T00:00:00"/>
    <m/>
    <m/>
    <x v="1"/>
    <n v="99"/>
    <s v="Rayneil Reas"/>
    <m/>
  </r>
  <r>
    <x v="313"/>
    <x v="0"/>
    <x v="2"/>
    <s v="CSCALA_1759$R101"/>
    <s v="H000003613"/>
    <s v="H000003613"/>
    <s v="Non-LFF"/>
    <s v=""/>
    <m/>
    <b v="1"/>
    <x v="1"/>
    <x v="3"/>
    <d v="2025-08-04T00:00:00"/>
    <m/>
    <m/>
    <x v="1"/>
    <n v="99"/>
    <s v="Rayneil Reas"/>
    <m/>
  </r>
  <r>
    <x v="313"/>
    <x v="0"/>
    <x v="2"/>
    <s v="CSCALA_1759$R102"/>
    <s v="H000000236"/>
    <s v="H000000236"/>
    <s v="Non-LFF"/>
    <s v=""/>
    <m/>
    <b v="1"/>
    <x v="1"/>
    <x v="3"/>
    <d v="2025-08-04T00:00:00"/>
    <m/>
    <m/>
    <x v="1"/>
    <n v="99"/>
    <s v="Rayneil Reas"/>
    <m/>
  </r>
  <r>
    <x v="313"/>
    <x v="0"/>
    <x v="2"/>
    <s v="CSCALA_1759$R103"/>
    <s v="H000000236"/>
    <s v="H000000236"/>
    <s v="Non-LFF"/>
    <s v=""/>
    <m/>
    <b v="1"/>
    <x v="1"/>
    <x v="3"/>
    <d v="2025-08-04T00:00:00"/>
    <m/>
    <m/>
    <x v="1"/>
    <n v="99"/>
    <s v="Rayneil Reas"/>
    <m/>
  </r>
  <r>
    <x v="313"/>
    <x v="0"/>
    <x v="2"/>
    <s v="CSCALA_1759$R104"/>
    <s v="H000000236"/>
    <s v="H000000236"/>
    <s v="Non-LFF"/>
    <s v=""/>
    <m/>
    <b v="1"/>
    <x v="1"/>
    <x v="3"/>
    <d v="2025-08-04T00:00:00"/>
    <m/>
    <m/>
    <x v="1"/>
    <n v="99"/>
    <s v="Rayneil Reas"/>
    <m/>
  </r>
  <r>
    <x v="313"/>
    <x v="0"/>
    <x v="2"/>
    <s v="CSCALA_1872$100_C24"/>
    <s v="H000000224"/>
    <s v="H000000224"/>
    <s v="Non-LFF"/>
    <s v=""/>
    <m/>
    <b v="1"/>
    <x v="1"/>
    <x v="3"/>
    <d v="2025-08-04T00:00:00"/>
    <m/>
    <m/>
    <x v="1"/>
    <n v="99"/>
    <s v="Rayneil Reas"/>
    <m/>
  </r>
  <r>
    <x v="313"/>
    <x v="0"/>
    <x v="2"/>
    <s v="CSCALA_1759$G306"/>
    <s v="H000000236"/>
    <s v="H000000236"/>
    <s v="Non-LFF"/>
    <s v=""/>
    <m/>
    <b v="1"/>
    <x v="1"/>
    <x v="3"/>
    <d v="2025-08-04T00:00:00"/>
    <m/>
    <m/>
    <x v="1"/>
    <n v="99"/>
    <s v="Rayneil Reas"/>
    <m/>
  </r>
  <r>
    <x v="313"/>
    <x v="0"/>
    <x v="2"/>
    <s v="PLEAN_X310513DE6541207 MAV R&amp;D ISS MS700568-250"/>
    <s v="H000000198"/>
    <s v="H000000198"/>
    <s v="Non-LFF"/>
    <s v=""/>
    <m/>
    <b v="1"/>
    <x v="1"/>
    <x v="3"/>
    <d v="2025-08-04T00:00:00"/>
    <m/>
    <m/>
    <x v="1"/>
    <n v="99"/>
    <s v="Rayneil Reas"/>
    <m/>
  </r>
  <r>
    <x v="313"/>
    <x v="0"/>
    <x v="2"/>
    <s v="PLEAN_X310151AT5013200 Bavencio Sponsorings &amp; events"/>
    <s v="H000003620"/>
    <s v="H000003620"/>
    <s v="Non-LFF"/>
    <s v=""/>
    <m/>
    <b v="1"/>
    <x v="1"/>
    <x v="3"/>
    <d v="2025-08-04T00:00:00"/>
    <m/>
    <m/>
    <x v="1"/>
    <n v="99"/>
    <s v="Rayneil Reas"/>
    <m/>
  </r>
  <r>
    <x v="313"/>
    <x v="0"/>
    <x v="2"/>
    <s v="PLEAN_X310151AT5015200 Bavencio Promo &amp; advertising"/>
    <s v="H000003620"/>
    <s v="H000003620"/>
    <s v="Non-LFF"/>
    <s v=""/>
    <m/>
    <b v="1"/>
    <x v="1"/>
    <x v="3"/>
    <d v="2025-08-04T00:00:00"/>
    <m/>
    <m/>
    <x v="1"/>
    <n v="99"/>
    <s v="Rayneil Reas"/>
    <m/>
  </r>
  <r>
    <x v="313"/>
    <x v="0"/>
    <x v="2"/>
    <s v="PLEAN_X310152AT5023200 Bavencio Medical activities"/>
    <s v="H000003620"/>
    <s v="H000003620"/>
    <s v="Non-LFF"/>
    <s v=""/>
    <m/>
    <b v="1"/>
    <x v="1"/>
    <x v="3"/>
    <d v="2025-08-04T00:00:00"/>
    <m/>
    <m/>
    <x v="1"/>
    <n v="99"/>
    <s v="Rayneil Reas"/>
    <m/>
  </r>
  <r>
    <x v="313"/>
    <x v="0"/>
    <x v="2"/>
    <s v="PLEAN_X310201AT5015200 Fertility Other promotion and advertisin"/>
    <s v="H000003626"/>
    <s v="H000003626"/>
    <s v="Non-LFF"/>
    <s v=""/>
    <m/>
    <b v="1"/>
    <x v="1"/>
    <x v="3"/>
    <d v="2025-08-04T00:00:00"/>
    <m/>
    <m/>
    <x v="1"/>
    <n v="99"/>
    <s v="Rayneil Reas"/>
    <m/>
  </r>
  <r>
    <x v="313"/>
    <x v="0"/>
    <x v="2"/>
    <s v="PLEAN_X310401AT5015200 Endo Other promotion and advertising"/>
    <s v="H000003626"/>
    <s v="H000003626"/>
    <s v="Non-LFF"/>
    <s v=""/>
    <m/>
    <b v="1"/>
    <x v="1"/>
    <x v="3"/>
    <d v="2025-08-04T00:00:00"/>
    <m/>
    <m/>
    <x v="1"/>
    <n v="99"/>
    <s v="Rayneil Reas"/>
    <m/>
  </r>
  <r>
    <x v="313"/>
    <x v="0"/>
    <x v="2"/>
    <s v="PLEAN_X310511AT5010200 Mavenclad Promotion material"/>
    <s v="H000003623"/>
    <s v="H000003623"/>
    <s v="Non-LFF"/>
    <s v=""/>
    <m/>
    <b v="1"/>
    <x v="1"/>
    <x v="3"/>
    <d v="2025-08-04T00:00:00"/>
    <m/>
    <m/>
    <x v="1"/>
    <n v="99"/>
    <s v="Rayneil Reas"/>
    <m/>
  </r>
  <r>
    <x v="313"/>
    <x v="0"/>
    <x v="2"/>
    <s v="PLEAN_X310511AT5011200 Mavenclad Advertising"/>
    <s v="H000003623"/>
    <s v="H000003623"/>
    <s v="Non-LFF"/>
    <s v=""/>
    <m/>
    <b v="1"/>
    <x v="1"/>
    <x v="3"/>
    <d v="2025-08-04T00:00:00"/>
    <m/>
    <m/>
    <x v="1"/>
    <n v="99"/>
    <s v="Rayneil Reas"/>
    <m/>
  </r>
  <r>
    <x v="313"/>
    <x v="0"/>
    <x v="2"/>
    <s v="PLEAN_X310511AT5013200 Mavenclad Congresses &amp; events"/>
    <s v="H000003623"/>
    <s v="H000003623"/>
    <s v="Non-LFF"/>
    <s v=""/>
    <m/>
    <b v="1"/>
    <x v="1"/>
    <x v="3"/>
    <d v="2025-08-04T00:00:00"/>
    <m/>
    <m/>
    <x v="1"/>
    <n v="99"/>
    <s v="Rayneil Reas"/>
    <m/>
  </r>
  <r>
    <x v="313"/>
    <x v="0"/>
    <x v="2"/>
    <s v="PLEAN_X310511AT5015200 Mavenclad Other promotion and advertisin"/>
    <s v="H000003623"/>
    <s v="H000003623"/>
    <s v="Non-LFF"/>
    <s v=""/>
    <m/>
    <b v="1"/>
    <x v="1"/>
    <x v="3"/>
    <d v="2025-08-04T00:00:00"/>
    <m/>
    <m/>
    <x v="1"/>
    <n v="99"/>
    <s v="Rayneil Reas"/>
    <m/>
  </r>
  <r>
    <x v="313"/>
    <x v="0"/>
    <x v="2"/>
    <s v="PLEAN_X310181CZ5013201 Bavencio Commercial CZ50 Congress &amp; Even"/>
    <s v="H000002141"/>
    <s v="H000002141"/>
    <s v="Non-LFF"/>
    <s v=""/>
    <m/>
    <b v="1"/>
    <x v="1"/>
    <x v="3"/>
    <d v="2025-08-04T00:00:00"/>
    <m/>
    <m/>
    <x v="1"/>
    <n v="99"/>
    <s v="Rayneil Reas"/>
    <m/>
  </r>
  <r>
    <x v="313"/>
    <x v="0"/>
    <x v="2"/>
    <s v="PLEAN_X310181CZ5013202 Bavencio Commercial CZ50 Congress &amp; Even"/>
    <s v="H000002141"/>
    <s v="H000002141"/>
    <s v="Non-LFF"/>
    <s v=""/>
    <m/>
    <b v="1"/>
    <x v="1"/>
    <x v="3"/>
    <d v="2025-08-04T00:00:00"/>
    <m/>
    <m/>
    <x v="1"/>
    <n v="99"/>
    <s v="Rayneil Reas"/>
    <m/>
  </r>
  <r>
    <x v="313"/>
    <x v="0"/>
    <x v="2"/>
    <s v="PLEAN_X310181CZ5030207 Bavencio Commercial CZ50 Other M&amp;S Regis"/>
    <s v="H000002141"/>
    <s v="H000002141"/>
    <s v="Non-LFF"/>
    <s v=""/>
    <m/>
    <b v="1"/>
    <x v="1"/>
    <x v="3"/>
    <d v="2025-08-04T00:00:00"/>
    <m/>
    <m/>
    <x v="1"/>
    <n v="99"/>
    <s v="Rayneil Reas"/>
    <m/>
  </r>
  <r>
    <x v="313"/>
    <x v="0"/>
    <x v="2"/>
    <s v="CSCALA_1022$CMC_SPC"/>
    <s v="H000002150"/>
    <s v="H000002150"/>
    <s v="Non-LFF"/>
    <s v=""/>
    <m/>
    <b v="1"/>
    <x v="1"/>
    <x v="3"/>
    <d v="2025-08-04T00:00:00"/>
    <m/>
    <m/>
    <x v="1"/>
    <n v="99"/>
    <s v="Rayneil Reas"/>
    <m/>
  </r>
  <r>
    <x v="313"/>
    <x v="0"/>
    <x v="2"/>
    <s v="PLEAN_X310941CZ5013202 Tepmetko Commercial CZ50 Congress &amp; Even"/>
    <s v="H000002141"/>
    <s v="H000002141"/>
    <s v="Non-LFF"/>
    <s v=""/>
    <m/>
    <b v="1"/>
    <x v="1"/>
    <x v="3"/>
    <d v="2025-08-04T00:00:00"/>
    <m/>
    <m/>
    <x v="1"/>
    <n v="99"/>
    <s v="Rayneil Reas"/>
    <m/>
  </r>
  <r>
    <x v="313"/>
    <x v="0"/>
    <x v="2"/>
    <s v="CSCALA_1022$CME_OST"/>
    <s v="H000002150"/>
    <s v="H000002150"/>
    <s v="Non-LFF"/>
    <s v=""/>
    <m/>
    <b v="1"/>
    <x v="1"/>
    <x v="3"/>
    <d v="2025-08-04T00:00:00"/>
    <m/>
    <m/>
    <x v="1"/>
    <n v="99"/>
    <s v="Rayneil Reas"/>
    <m/>
  </r>
  <r>
    <x v="313"/>
    <x v="0"/>
    <x v="2"/>
    <s v="PLEAN_X310941CZ5013203 Tepmetko Commercial CZ50 Congress &amp; Even"/>
    <s v="H000002141"/>
    <s v="H000002141"/>
    <s v="Non-LFF"/>
    <s v=""/>
    <m/>
    <b v="1"/>
    <x v="1"/>
    <x v="3"/>
    <d v="2025-08-04T00:00:00"/>
    <m/>
    <m/>
    <x v="1"/>
    <n v="99"/>
    <s v="Rayneil Reas"/>
    <m/>
  </r>
  <r>
    <x v="313"/>
    <x v="0"/>
    <x v="2"/>
    <s v="PLEAN_X310941CZ5030201 Tepmetko Commercial CZ50 Other M&amp;S Regis"/>
    <s v="H000002141"/>
    <s v="H000002141"/>
    <s v="Non-LFF"/>
    <s v=""/>
    <m/>
    <b v="1"/>
    <x v="1"/>
    <x v="3"/>
    <d v="2025-08-04T00:00:00"/>
    <m/>
    <m/>
    <x v="1"/>
    <n v="99"/>
    <s v="Rayneil Reas"/>
    <m/>
  </r>
  <r>
    <x v="313"/>
    <x v="0"/>
    <x v="2"/>
    <s v="PLEAN_X310942CZ5022201 Tepmetko Medical Non R&amp;D CZ50 Medical Co"/>
    <s v="H000002141"/>
    <s v="H000002141"/>
    <s v="Non-LFF"/>
    <s v=""/>
    <m/>
    <b v="1"/>
    <x v="1"/>
    <x v="3"/>
    <d v="2025-08-04T00:00:00"/>
    <m/>
    <m/>
    <x v="1"/>
    <n v="99"/>
    <s v="Rayneil Reas"/>
    <m/>
  </r>
  <r>
    <x v="314"/>
    <x v="0"/>
    <x v="2"/>
    <s v="CNOW_7210$$$0000010322 PS Active &amp; Formulations Patent Fees"/>
    <s v="G000001283"/>
    <s v="G000001283"/>
    <s v="Non-LFF"/>
    <s v=""/>
    <m/>
    <b v="1"/>
    <x v="2"/>
    <x v="3"/>
    <d v="2025-08-05T00:00:00"/>
    <m/>
    <m/>
    <x v="1"/>
    <n v="98"/>
    <s v="Ruby Grace Garcia"/>
    <m/>
  </r>
  <r>
    <x v="314"/>
    <x v="0"/>
    <x v="2"/>
    <s v="CTEMPEU_1000CH70AD6500 SAC Patents Merck&amp;Cie"/>
    <s v="G000001283"/>
    <s v="G000001283"/>
    <s v="Non-LFF"/>
    <s v=""/>
    <m/>
    <b v="1"/>
    <x v="2"/>
    <x v="3"/>
    <d v="2025-08-05T00:00:00"/>
    <m/>
    <m/>
    <x v="1"/>
    <n v="98"/>
    <s v="Ruby Grace Garcia"/>
    <m/>
  </r>
  <r>
    <x v="314"/>
    <x v="0"/>
    <x v="2"/>
    <s v="IPHOENX_000400763883 SAC Patents"/>
    <s v="G000001283"/>
    <s v="G000001283"/>
    <s v="Non-LFF"/>
    <s v=""/>
    <m/>
    <b v="1"/>
    <x v="2"/>
    <x v="3"/>
    <d v="2025-08-05T00:00:00"/>
    <m/>
    <m/>
    <x v="1"/>
    <n v="98"/>
    <s v="Ruby Grace Garcia"/>
    <m/>
  </r>
  <r>
    <x v="314"/>
    <x v="0"/>
    <x v="2"/>
    <s v="CORAERP_MMOR1975.9206 PS - US&amp;SU Patent Fees"/>
    <s v="G000001283"/>
    <s v="G000001283"/>
    <s v="Non-LFF"/>
    <s v=""/>
    <m/>
    <b v="1"/>
    <x v="2"/>
    <x v="3"/>
    <d v="2025-08-05T00:00:00"/>
    <m/>
    <m/>
    <x v="1"/>
    <n v="98"/>
    <s v="Ruby Grace Garcia"/>
    <m/>
  </r>
  <r>
    <x v="314"/>
    <x v="0"/>
    <x v="2"/>
    <s v="CORAERP_MMOR1975.9209 PS - BioP Patent Fees"/>
    <s v="G000001283"/>
    <s v="G000001283"/>
    <s v="Non-LFF"/>
    <s v=""/>
    <m/>
    <b v="1"/>
    <x v="2"/>
    <x v="3"/>
    <d v="2025-08-05T00:00:00"/>
    <m/>
    <m/>
    <x v="1"/>
    <n v="98"/>
    <s v="Ruby Grace Garcia"/>
    <m/>
  </r>
  <r>
    <x v="314"/>
    <x v="0"/>
    <x v="2"/>
    <s v="CNOW_7210$$$0000021318 Process Sol Cell Culture Patent Fees"/>
    <s v="G000001283"/>
    <s v="G000001283"/>
    <s v="Non-LFF"/>
    <s v=""/>
    <m/>
    <b v="1"/>
    <x v="2"/>
    <x v="3"/>
    <d v="2025-08-05T00:00:00"/>
    <m/>
    <m/>
    <x v="1"/>
    <n v="98"/>
    <s v="Ruby Grace Garcia"/>
    <m/>
  </r>
  <r>
    <x v="314"/>
    <x v="0"/>
    <x v="2"/>
    <s v="IPHOENX_000001500010 Patent Costs Chromatography-Process S"/>
    <s v="G000001283"/>
    <s v="G000001283"/>
    <s v="Non-LFF"/>
    <s v=""/>
    <m/>
    <b v="1"/>
    <x v="2"/>
    <x v="3"/>
    <d v="2025-08-05T00:00:00"/>
    <m/>
    <m/>
    <x v="1"/>
    <n v="98"/>
    <s v="Ruby Grace Garcia"/>
    <m/>
  </r>
  <r>
    <x v="314"/>
    <x v="0"/>
    <x v="2"/>
    <s v="IPHOENX_000001500011 Patent Costs Cell Culture Media"/>
    <s v="G000001283"/>
    <s v="G000001283"/>
    <s v="Non-LFF"/>
    <s v=""/>
    <m/>
    <b v="1"/>
    <x v="2"/>
    <x v="3"/>
    <d v="2025-08-05T00:00:00"/>
    <m/>
    <m/>
    <x v="1"/>
    <n v="98"/>
    <s v="Ruby Grace Garcia"/>
    <m/>
  </r>
  <r>
    <x v="314"/>
    <x v="0"/>
    <x v="2"/>
    <s v="CTEMPEU_1000CH70RD1108 PFM Patents M&amp;Cie"/>
    <s v="G000001283"/>
    <s v="G000001283"/>
    <s v="Non-LFF"/>
    <s v=""/>
    <m/>
    <b v="1"/>
    <x v="2"/>
    <x v="3"/>
    <d v="2025-08-05T00:00:00"/>
    <m/>
    <m/>
    <x v="1"/>
    <n v="98"/>
    <s v="Ruby Grace Garcia"/>
    <m/>
  </r>
  <r>
    <x v="314"/>
    <x v="0"/>
    <x v="2"/>
    <s v="IPHOENX_000001500001 Patent Costs Sorbitol-Mannitol"/>
    <s v="G000001283"/>
    <s v="G000001283"/>
    <s v="Non-LFF"/>
    <s v=""/>
    <m/>
    <b v="1"/>
    <x v="2"/>
    <x v="3"/>
    <d v="2025-08-05T00:00:00"/>
    <m/>
    <m/>
    <x v="1"/>
    <n v="98"/>
    <s v="Ruby Grace Garcia"/>
    <m/>
  </r>
  <r>
    <x v="314"/>
    <x v="0"/>
    <x v="2"/>
    <s v="CLFF_7210$$$1937R09209 PS - BioP Patent Fees"/>
    <s v="G000001283"/>
    <s v="G000001283"/>
    <s v="LFF (MDG-F)"/>
    <s v="1937R09209"/>
    <m/>
    <b v="1"/>
    <x v="2"/>
    <x v="3"/>
    <d v="2025-08-05T00:00:00"/>
    <m/>
    <m/>
    <x v="1"/>
    <n v="98"/>
    <s v="Ruby Grace Garcia"/>
    <m/>
  </r>
  <r>
    <x v="315"/>
    <x v="0"/>
    <x v="2"/>
    <s v="CITR_1000$$$HU161025"/>
    <s v="G000000726"/>
    <s v="G000000726"/>
    <s v="Non-LFF"/>
    <s v=""/>
    <m/>
    <b v="1"/>
    <x v="0"/>
    <x v="3"/>
    <d v="2025-08-05T00:00:00"/>
    <m/>
    <m/>
    <x v="1"/>
    <n v="98"/>
    <s v="Jay-R Lizardo"/>
    <m/>
  </r>
  <r>
    <x v="315"/>
    <x v="0"/>
    <x v="2"/>
    <s v="CLFF_1000$$$ZA50GIT10E"/>
    <s v="L000013397"/>
    <s v="L000013397"/>
    <s v="LFF (MDG-F)"/>
    <s v="ZA50GIT10E"/>
    <m/>
    <b v="1"/>
    <x v="0"/>
    <x v="3"/>
    <d v="2025-08-05T00:00:00"/>
    <m/>
    <m/>
    <x v="1"/>
    <n v="98"/>
    <s v="Jay-R Lizardo"/>
    <m/>
  </r>
  <r>
    <x v="315"/>
    <x v="0"/>
    <x v="2"/>
    <s v="CEMERAL_70007001993006"/>
    <s v="G000000726"/>
    <s v="G000000726"/>
    <s v="Non-LFF"/>
    <s v=""/>
    <m/>
    <b v="1"/>
    <x v="0"/>
    <x v="3"/>
    <d v="2025-08-05T00:00:00"/>
    <m/>
    <m/>
    <x v="1"/>
    <n v="98"/>
    <s v="Jay-R Lizardo"/>
    <m/>
  </r>
  <r>
    <x v="315"/>
    <x v="0"/>
    <x v="2"/>
    <s v="CLFF_1000$$$CN90GIT301"/>
    <s v="G000000253"/>
    <s v="G000000253"/>
    <s v="LFF (MDG-F)"/>
    <s v="CN90GIT301"/>
    <m/>
    <b v="1"/>
    <x v="0"/>
    <x v="3"/>
    <d v="2025-08-05T00:00:00"/>
    <m/>
    <m/>
    <x v="1"/>
    <n v="98"/>
    <s v="Jay-R Lizardo"/>
    <m/>
  </r>
  <r>
    <x v="315"/>
    <x v="0"/>
    <x v="2"/>
    <s v="CLFF_1000$$$CN90GIT306"/>
    <s v="G000001399"/>
    <s v="G000001399"/>
    <s v="LFF (MDG-F)"/>
    <s v="CN90GIT306"/>
    <m/>
    <b v="1"/>
    <x v="0"/>
    <x v="3"/>
    <d v="2025-08-05T00:00:00"/>
    <m/>
    <m/>
    <x v="1"/>
    <n v="98"/>
    <s v="Jay-R Lizardo"/>
    <m/>
  </r>
  <r>
    <x v="315"/>
    <x v="0"/>
    <x v="2"/>
    <s v="CLFF_1000$$$CN90GIT120"/>
    <s v="L000013389"/>
    <s v="L000013389"/>
    <s v="LFF (MDG-F)"/>
    <s v="CN90GIT120"/>
    <m/>
    <b v="1"/>
    <x v="0"/>
    <x v="3"/>
    <d v="2025-08-05T00:00:00"/>
    <m/>
    <m/>
    <x v="1"/>
    <n v="98"/>
    <s v="Jay-R Lizardo"/>
    <m/>
  </r>
  <r>
    <x v="315"/>
    <x v="0"/>
    <x v="2"/>
    <s v="CLFF_1000$$$CN90GM4004"/>
    <s v="G000001420"/>
    <s v="G000001420"/>
    <s v="LFF (MDG-F)"/>
    <s v="CN90GM4004"/>
    <m/>
    <b v="1"/>
    <x v="0"/>
    <x v="3"/>
    <d v="2025-08-05T00:00:00"/>
    <m/>
    <m/>
    <x v="1"/>
    <n v="98"/>
    <s v="Jay-R Lizardo"/>
    <m/>
  </r>
  <r>
    <x v="315"/>
    <x v="0"/>
    <x v="2"/>
    <s v="CLFF_1000$$$CN01GIT01B"/>
    <s v="G000000277"/>
    <s v="G000000277"/>
    <s v="LFF (MDG-F)"/>
    <s v="CN01GIT01B"/>
    <m/>
    <b v="1"/>
    <x v="0"/>
    <x v="3"/>
    <d v="2025-08-05T00:00:00"/>
    <m/>
    <m/>
    <x v="1"/>
    <n v="98"/>
    <s v="Jay-R Lizardo"/>
    <m/>
  </r>
  <r>
    <x v="315"/>
    <x v="0"/>
    <x v="2"/>
    <s v="CLFF_1000$$$DE04GIT01B"/>
    <s v="G000000277"/>
    <s v="G000000277"/>
    <s v="LFF (MDG-F)"/>
    <s v="DE04GIT01B"/>
    <m/>
    <b v="1"/>
    <x v="0"/>
    <x v="3"/>
    <d v="2025-08-05T00:00:00"/>
    <m/>
    <m/>
    <x v="1"/>
    <n v="98"/>
    <s v="Jay-R Lizardo"/>
    <m/>
  </r>
  <r>
    <x v="315"/>
    <x v="0"/>
    <x v="2"/>
    <s v="CTEMPEU_1000GB10GMP070"/>
    <s v="G000001381"/>
    <s v="G000001381"/>
    <s v="Non-LFF"/>
    <s v=""/>
    <m/>
    <b v="1"/>
    <x v="0"/>
    <x v="3"/>
    <d v="2025-08-05T00:00:00"/>
    <m/>
    <m/>
    <x v="1"/>
    <n v="98"/>
    <s v="Jay-R Lizardo"/>
    <m/>
  </r>
  <r>
    <x v="315"/>
    <x v="0"/>
    <x v="2"/>
    <s v="CTEMPEU_1000GB10005657"/>
    <s v="G000001400"/>
    <s v="G000001400"/>
    <s v="Non-LFF"/>
    <s v=""/>
    <m/>
    <b v="1"/>
    <x v="0"/>
    <x v="3"/>
    <d v="2025-08-05T00:00:00"/>
    <m/>
    <m/>
    <x v="1"/>
    <n v="98"/>
    <s v="Jay-R Lizardo"/>
    <m/>
  </r>
  <r>
    <x v="315"/>
    <x v="0"/>
    <x v="2"/>
    <s v="CTEMPEU_1000GB10005920"/>
    <s v="G000001118"/>
    <s v="G000001118"/>
    <s v="Non-LFF"/>
    <s v=""/>
    <m/>
    <b v="1"/>
    <x v="0"/>
    <x v="3"/>
    <d v="2025-08-05T00:00:00"/>
    <m/>
    <m/>
    <x v="1"/>
    <n v="98"/>
    <s v="Jay-R Lizardo"/>
    <m/>
  </r>
  <r>
    <x v="315"/>
    <x v="0"/>
    <x v="2"/>
    <s v="CTEMPEU_1000GB10005645"/>
    <s v="G000001398"/>
    <s v="G000001398"/>
    <s v="Non-LFF"/>
    <s v=""/>
    <m/>
    <b v="1"/>
    <x v="0"/>
    <x v="3"/>
    <d v="2025-08-05T00:00:00"/>
    <m/>
    <m/>
    <x v="1"/>
    <n v="98"/>
    <s v="Jay-R Lizardo"/>
    <m/>
  </r>
  <r>
    <x v="315"/>
    <x v="0"/>
    <x v="2"/>
    <s v="CLFF_1000$$$ES50GIT208"/>
    <s v="G000001398"/>
    <s v="G000001398"/>
    <s v="LFF (MDG-F)"/>
    <s v="ES50GIT208"/>
    <m/>
    <b v="1"/>
    <x v="0"/>
    <x v="3"/>
    <d v="2025-08-05T00:00:00"/>
    <m/>
    <m/>
    <x v="1"/>
    <n v="98"/>
    <s v="Jay-R Lizardo"/>
    <m/>
  </r>
  <r>
    <x v="315"/>
    <x v="0"/>
    <x v="2"/>
    <s v="CLFF_1000$$$ES50GIT220"/>
    <s v="G000001398"/>
    <s v="G000001398"/>
    <s v="LFF (MDG-F)"/>
    <s v="ES50GIT220"/>
    <m/>
    <b v="1"/>
    <x v="0"/>
    <x v="3"/>
    <d v="2025-08-05T00:00:00"/>
    <m/>
    <m/>
    <x v="1"/>
    <n v="98"/>
    <s v="Jay-R Lizardo"/>
    <m/>
  </r>
  <r>
    <x v="315"/>
    <x v="0"/>
    <x v="2"/>
    <s v="CLFF_1000$$$ES50GIT60L"/>
    <s v="G000001411"/>
    <s v="G000001411"/>
    <s v="LFF (MDG-F)"/>
    <s v="ES50GIT60L"/>
    <m/>
    <b v="1"/>
    <x v="0"/>
    <x v="3"/>
    <d v="2025-08-05T00:00:00"/>
    <m/>
    <m/>
    <x v="1"/>
    <n v="98"/>
    <s v="Jay-R Lizardo"/>
    <m/>
  </r>
  <r>
    <x v="315"/>
    <x v="0"/>
    <x v="2"/>
    <s v="CLFF_1000$$$NL50GMS010"/>
    <s v="G000001381"/>
    <s v="G000001381"/>
    <s v="LFF (MDG-F)"/>
    <s v="NL50GMS010"/>
    <m/>
    <b v="1"/>
    <x v="0"/>
    <x v="3"/>
    <d v="2025-08-05T00:00:00"/>
    <m/>
    <m/>
    <x v="1"/>
    <n v="98"/>
    <s v="Jay-R Lizardo"/>
    <m/>
  </r>
  <r>
    <x v="315"/>
    <x v="0"/>
    <x v="2"/>
    <s v="CTEMPLA_1000BR10501160"/>
    <s v="L000013393"/>
    <s v="L000013393"/>
    <s v="Non-LFF"/>
    <s v=""/>
    <m/>
    <b v="1"/>
    <x v="0"/>
    <x v="3"/>
    <d v="2025-08-05T00:00:00"/>
    <m/>
    <m/>
    <x v="1"/>
    <n v="98"/>
    <s v="Jay-R Lizardo"/>
    <m/>
  </r>
  <r>
    <x v="315"/>
    <x v="0"/>
    <x v="2"/>
    <s v="CTEMPLA_1000BR10501150"/>
    <s v="L000013393"/>
    <s v="L000013393"/>
    <s v="Non-LFF"/>
    <s v=""/>
    <m/>
    <b v="1"/>
    <x v="0"/>
    <x v="3"/>
    <d v="2025-08-05T00:00:00"/>
    <m/>
    <m/>
    <x v="1"/>
    <n v="98"/>
    <s v="Jay-R Lizardo"/>
    <m/>
  </r>
  <r>
    <x v="315"/>
    <x v="0"/>
    <x v="2"/>
    <s v="CTEMPEU_1000PL80GBTL13"/>
    <s v="G000001398"/>
    <s v="G000001398"/>
    <s v="Non-LFF"/>
    <s v=""/>
    <m/>
    <b v="1"/>
    <x v="0"/>
    <x v="3"/>
    <d v="2025-08-05T00:00:00"/>
    <m/>
    <m/>
    <x v="1"/>
    <n v="98"/>
    <s v="Jay-R Lizardo"/>
    <m/>
  </r>
  <r>
    <x v="315"/>
    <x v="0"/>
    <x v="2"/>
    <s v="CTEMPEU_1000PL80GHR227"/>
    <s v="G000001387"/>
    <s v="G000001387"/>
    <s v="Non-LFF"/>
    <s v=""/>
    <m/>
    <b v="1"/>
    <x v="0"/>
    <x v="3"/>
    <d v="2025-08-05T00:00:00"/>
    <m/>
    <m/>
    <x v="1"/>
    <n v="98"/>
    <s v="Jay-R Lizardo"/>
    <m/>
  </r>
  <r>
    <x v="315"/>
    <x v="0"/>
    <x v="2"/>
    <s v="CTEMPEU_1000PL80GFO045"/>
    <s v="G000001420"/>
    <s v="G000001420"/>
    <s v="Non-LFF"/>
    <s v=""/>
    <m/>
    <b v="1"/>
    <x v="0"/>
    <x v="3"/>
    <d v="2025-08-05T00:00:00"/>
    <m/>
    <m/>
    <x v="1"/>
    <n v="98"/>
    <s v="Jay-R Lizardo"/>
    <m/>
  </r>
  <r>
    <x v="315"/>
    <x v="0"/>
    <x v="2"/>
    <s v="CTEMPEU_1000PL80GFO025"/>
    <s v="G000001387"/>
    <s v="G000001387"/>
    <s v="Non-LFF"/>
    <s v=""/>
    <m/>
    <b v="1"/>
    <x v="0"/>
    <x v="3"/>
    <d v="2025-08-05T00:00:00"/>
    <m/>
    <m/>
    <x v="1"/>
    <n v="98"/>
    <s v="Jay-R Lizardo"/>
    <m/>
  </r>
  <r>
    <x v="315"/>
    <x v="0"/>
    <x v="2"/>
    <s v="CTEMPEU_1000PL80GFO023"/>
    <s v="G000001421"/>
    <s v="G000001421"/>
    <s v="Non-LFF"/>
    <s v=""/>
    <m/>
    <b v="1"/>
    <x v="0"/>
    <x v="3"/>
    <d v="2025-08-05T00:00:00"/>
    <m/>
    <m/>
    <x v="1"/>
    <n v="98"/>
    <s v="Jay-R Lizardo"/>
    <m/>
  </r>
  <r>
    <x v="315"/>
    <x v="0"/>
    <x v="2"/>
    <s v="CTEMPEU_1000PL80GHR221"/>
    <s v="G000001420"/>
    <s v="G000001420"/>
    <s v="Non-LFF"/>
    <s v=""/>
    <m/>
    <b v="1"/>
    <x v="0"/>
    <x v="3"/>
    <d v="2025-08-05T00:00:00"/>
    <m/>
    <m/>
    <x v="1"/>
    <n v="98"/>
    <s v="Jay-R Lizardo"/>
    <m/>
  </r>
  <r>
    <x v="315"/>
    <x v="0"/>
    <x v="2"/>
    <s v="CTEMPEU_1000PL80GBTE05"/>
    <s v="P000000765"/>
    <s v="P000000765"/>
    <s v="Non-LFF"/>
    <s v=""/>
    <m/>
    <b v="1"/>
    <x v="0"/>
    <x v="3"/>
    <d v="2025-08-05T00:00:00"/>
    <m/>
    <m/>
    <x v="1"/>
    <n v="98"/>
    <s v="Jay-R Lizardo"/>
    <m/>
  </r>
  <r>
    <x v="315"/>
    <x v="0"/>
    <x v="2"/>
    <s v="CTEMPEU_1000PL80GMS040"/>
    <s v="G000001420"/>
    <s v="G000001420"/>
    <s v="Non-LFF"/>
    <s v=""/>
    <m/>
    <b v="1"/>
    <x v="0"/>
    <x v="3"/>
    <d v="2025-08-05T00:00:00"/>
    <m/>
    <m/>
    <x v="1"/>
    <n v="98"/>
    <s v="Jay-R Lizardo"/>
    <m/>
  </r>
  <r>
    <x v="315"/>
    <x v="0"/>
    <x v="2"/>
    <s v="CTEMPEU_1000PL80GHR233"/>
    <s v="G000001388"/>
    <s v="G000001388"/>
    <s v="Non-LFF"/>
    <s v=""/>
    <m/>
    <b v="1"/>
    <x v="0"/>
    <x v="3"/>
    <d v="2025-08-05T00:00:00"/>
    <m/>
    <m/>
    <x v="1"/>
    <n v="98"/>
    <s v="Jay-R Lizardo"/>
    <m/>
  </r>
  <r>
    <x v="315"/>
    <x v="0"/>
    <x v="2"/>
    <s v="CTEMPEU_1000PL80GHR232"/>
    <s v="G000001395"/>
    <s v="G000001395"/>
    <s v="Non-LFF"/>
    <s v=""/>
    <m/>
    <b v="1"/>
    <x v="0"/>
    <x v="3"/>
    <d v="2025-08-05T00:00:00"/>
    <m/>
    <m/>
    <x v="1"/>
    <n v="98"/>
    <s v="Jay-R Lizardo"/>
    <m/>
  </r>
  <r>
    <x v="315"/>
    <x v="0"/>
    <x v="2"/>
    <s v="CTEMPNA_1000PH80GFO12A"/>
    <s v="G000001393"/>
    <s v="G000001393"/>
    <s v="Non-LFF"/>
    <s v=""/>
    <m/>
    <b v="1"/>
    <x v="0"/>
    <x v="3"/>
    <d v="2025-08-05T00:00:00"/>
    <m/>
    <m/>
    <x v="1"/>
    <n v="98"/>
    <s v="Jay-R Lizardo"/>
    <m/>
  </r>
  <r>
    <x v="315"/>
    <x v="0"/>
    <x v="2"/>
    <s v="CTEMPNA_1000PH80GFO047"/>
    <s v="G000001421"/>
    <s v="G000001421"/>
    <s v="Non-LFF"/>
    <s v=""/>
    <m/>
    <b v="1"/>
    <x v="0"/>
    <x v="3"/>
    <d v="2025-08-05T00:00:00"/>
    <m/>
    <m/>
    <x v="1"/>
    <n v="98"/>
    <s v="Jay-R Lizardo"/>
    <m/>
  </r>
  <r>
    <x v="315"/>
    <x v="0"/>
    <x v="2"/>
    <s v="CTEMPNA_1000PH80YIT002"/>
    <s v="G000001395"/>
    <s v="G000001395"/>
    <s v="Non-LFF"/>
    <s v=""/>
    <m/>
    <b v="1"/>
    <x v="0"/>
    <x v="3"/>
    <d v="2025-08-05T00:00:00"/>
    <m/>
    <m/>
    <x v="1"/>
    <n v="98"/>
    <s v="Jay-R Lizardo"/>
    <m/>
  </r>
  <r>
    <x v="315"/>
    <x v="0"/>
    <x v="2"/>
    <s v="CTEMPNA_1000PH80GFO025"/>
    <s v="G000001420"/>
    <s v="G000001420"/>
    <s v="Non-LFF"/>
    <s v=""/>
    <m/>
    <b v="1"/>
    <x v="0"/>
    <x v="3"/>
    <d v="2025-08-05T00:00:00"/>
    <m/>
    <m/>
    <x v="1"/>
    <n v="98"/>
    <s v="Jay-R Lizardo"/>
    <m/>
  </r>
  <r>
    <x v="315"/>
    <x v="0"/>
    <x v="2"/>
    <s v="CTEMPNA_1000PH80PH80YI"/>
    <s v="G000001394"/>
    <s v="G000001394"/>
    <s v="Non-LFF"/>
    <s v=""/>
    <m/>
    <b v="1"/>
    <x v="0"/>
    <x v="3"/>
    <d v="2025-08-05T00:00:00"/>
    <m/>
    <m/>
    <x v="1"/>
    <n v="98"/>
    <s v="Jay-R Lizardo"/>
    <m/>
  </r>
  <r>
    <x v="315"/>
    <x v="0"/>
    <x v="2"/>
    <s v="CTEMPNA_1000PH80GBTL55"/>
    <s v="G000000243"/>
    <s v="G000000243"/>
    <s v="Non-LFF"/>
    <s v=""/>
    <m/>
    <b v="1"/>
    <x v="0"/>
    <x v="3"/>
    <d v="2025-08-05T00:00:00"/>
    <m/>
    <m/>
    <x v="1"/>
    <n v="98"/>
    <s v="Jay-R Lizardo"/>
    <m/>
  </r>
  <r>
    <x v="315"/>
    <x v="0"/>
    <x v="2"/>
    <s v="CTEMPNA_1000PH80GFO120"/>
    <s v="G000001420"/>
    <s v="G000001420"/>
    <s v="Non-LFF"/>
    <s v=""/>
    <m/>
    <b v="1"/>
    <x v="0"/>
    <x v="3"/>
    <d v="2025-08-05T00:00:00"/>
    <m/>
    <m/>
    <x v="1"/>
    <n v="98"/>
    <s v="Jay-R Lizardo"/>
    <m/>
  </r>
  <r>
    <x v="315"/>
    <x v="0"/>
    <x v="2"/>
    <s v="CTEMPNA_1000PH80GFO043"/>
    <s v="G000001387"/>
    <s v="G000001387"/>
    <s v="Non-LFF"/>
    <s v=""/>
    <m/>
    <b v="1"/>
    <x v="0"/>
    <x v="3"/>
    <d v="2025-08-05T00:00:00"/>
    <m/>
    <m/>
    <x v="1"/>
    <n v="98"/>
    <s v="Jay-R Lizardo"/>
    <m/>
  </r>
  <r>
    <x v="315"/>
    <x v="0"/>
    <x v="2"/>
    <s v="CTEMPNA_1000PH80GFO123"/>
    <s v="G000001387"/>
    <s v="G000001387"/>
    <s v="Non-LFF"/>
    <s v=""/>
    <m/>
    <b v="1"/>
    <x v="0"/>
    <x v="3"/>
    <d v="2025-08-05T00:00:00"/>
    <m/>
    <m/>
    <x v="1"/>
    <n v="98"/>
    <s v="Jay-R Lizardo"/>
    <m/>
  </r>
  <r>
    <x v="315"/>
    <x v="0"/>
    <x v="2"/>
    <s v="CTEMPLA_1000CO10100136"/>
    <s v="G000001410"/>
    <s v="G000001410"/>
    <s v="Non-LFF"/>
    <s v=""/>
    <m/>
    <b v="1"/>
    <x v="0"/>
    <x v="3"/>
    <d v="2025-08-05T00:00:00"/>
    <m/>
    <m/>
    <x v="1"/>
    <n v="98"/>
    <s v="Jay-R Lizardo"/>
    <m/>
  </r>
  <r>
    <x v="315"/>
    <x v="0"/>
    <x v="2"/>
    <s v="CTEMPLA_1000CO10100187"/>
    <s v="G000001395"/>
    <s v="G000001395"/>
    <s v="Non-LFF"/>
    <s v=""/>
    <m/>
    <b v="1"/>
    <x v="0"/>
    <x v="3"/>
    <d v="2025-08-05T00:00:00"/>
    <m/>
    <m/>
    <x v="1"/>
    <n v="98"/>
    <s v="Jay-R Lizardo"/>
    <m/>
  </r>
  <r>
    <x v="315"/>
    <x v="0"/>
    <x v="4"/>
    <s v="CLFF_1000$$$DE65GIT032"/>
    <s v="G000000256"/>
    <s v="DFLTPGCOH_BF-C2_001242"/>
    <s v="LFF (MDG-F)"/>
    <s v="DE65GIT032"/>
    <s v="Wont get mapped if no actuals"/>
    <b v="0"/>
    <x v="0"/>
    <x v="3"/>
    <d v="2025-08-05T00:00:00"/>
    <m/>
    <m/>
    <x v="1"/>
    <n v="98"/>
    <s v="Jay-R Lizardo"/>
    <m/>
  </r>
  <r>
    <x v="315"/>
    <x v="0"/>
    <x v="2"/>
    <s v="CLFF_1000$$$DE65GIT033"/>
    <s v="G000001396"/>
    <s v="G000001396"/>
    <s v="LFF (MDG-F)"/>
    <s v="DE65GIT033"/>
    <m/>
    <b v="1"/>
    <x v="0"/>
    <x v="3"/>
    <d v="2025-08-05T00:00:00"/>
    <m/>
    <m/>
    <x v="1"/>
    <n v="98"/>
    <s v="Jay-R Lizardo"/>
    <m/>
  </r>
  <r>
    <x v="315"/>
    <x v="0"/>
    <x v="2"/>
    <s v="CEMERAL_70006502ID6502"/>
    <s v="G000001387"/>
    <s v="G000001387"/>
    <s v="Non-LFF"/>
    <s v=""/>
    <m/>
    <b v="1"/>
    <x v="0"/>
    <x v="3"/>
    <d v="2025-08-05T00:00:00"/>
    <m/>
    <m/>
    <x v="1"/>
    <n v="98"/>
    <s v="Jay-R Lizardo"/>
    <m/>
  </r>
  <r>
    <x v="315"/>
    <x v="0"/>
    <x v="2"/>
    <s v="CLFF_1000$$$IT50GIT01C"/>
    <s v="G000001396"/>
    <s v="G000001396"/>
    <s v="LFF (MDG-F)"/>
    <s v="IT50GIT01C"/>
    <m/>
    <b v="1"/>
    <x v="0"/>
    <x v="3"/>
    <d v="2025-08-05T00:00:00"/>
    <m/>
    <m/>
    <x v="1"/>
    <n v="98"/>
    <s v="Jay-R Lizardo"/>
    <m/>
  </r>
  <r>
    <x v="315"/>
    <x v="0"/>
    <x v="2"/>
    <s v="CLFF_1000$$$IT50GM9100"/>
    <s v="G000001387"/>
    <s v="G000001387"/>
    <s v="LFF (MDG-F)"/>
    <s v="IT50GM9100"/>
    <m/>
    <b v="1"/>
    <x v="0"/>
    <x v="3"/>
    <d v="2025-08-05T00:00:00"/>
    <m/>
    <m/>
    <x v="1"/>
    <n v="98"/>
    <s v="Jay-R Lizardo"/>
    <m/>
  </r>
  <r>
    <x v="315"/>
    <x v="0"/>
    <x v="2"/>
    <s v="CEMERAL_70007102318366"/>
    <s v="G000001398"/>
    <s v="G000001398"/>
    <s v="Non-LFF"/>
    <s v=""/>
    <m/>
    <b v="1"/>
    <x v="0"/>
    <x v="3"/>
    <d v="2025-08-05T00:00:00"/>
    <m/>
    <m/>
    <x v="1"/>
    <n v="98"/>
    <s v="Jay-R Lizardo"/>
    <m/>
  </r>
  <r>
    <x v="315"/>
    <x v="0"/>
    <x v="2"/>
    <s v="CLFF_1000$$$US01GIT01B"/>
    <s v="G000000277"/>
    <s v="G000000277"/>
    <s v="LFF (MDG-F)"/>
    <s v="US01GIT01B"/>
    <m/>
    <b v="1"/>
    <x v="0"/>
    <x v="3"/>
    <d v="2025-08-05T00:00:00"/>
    <m/>
    <m/>
    <x v="1"/>
    <n v="98"/>
    <s v="Jay-R Lizardo"/>
    <m/>
  </r>
  <r>
    <x v="315"/>
    <x v="0"/>
    <x v="2"/>
    <s v="CLFF_1000$$$DE10518000"/>
    <s v="G000001118"/>
    <s v="G000001118"/>
    <s v="LFF (MDG-F)"/>
    <s v="DE10518000"/>
    <m/>
    <b v="1"/>
    <x v="0"/>
    <x v="3"/>
    <d v="2025-08-05T00:00:00"/>
    <m/>
    <m/>
    <x v="1"/>
    <n v="98"/>
    <s v="Jay-R Lizardo"/>
    <m/>
  </r>
  <r>
    <x v="315"/>
    <x v="0"/>
    <x v="2"/>
    <s v="CLFF_1000$$$DE10519000"/>
    <s v="G000001118"/>
    <s v="G000001118"/>
    <s v="LFF (MDG-F)"/>
    <s v="DE10519000"/>
    <m/>
    <b v="1"/>
    <x v="0"/>
    <x v="3"/>
    <d v="2025-08-05T00:00:00"/>
    <m/>
    <m/>
    <x v="1"/>
    <n v="98"/>
    <s v="Jay-R Lizardo"/>
    <m/>
  </r>
  <r>
    <x v="315"/>
    <x v="0"/>
    <x v="2"/>
    <s v="CLFF_1000$$$DE10643112"/>
    <s v="G000000726"/>
    <s v="G000000726"/>
    <s v="LFF (MDG-F)"/>
    <s v="DE10643112"/>
    <m/>
    <b v="1"/>
    <x v="0"/>
    <x v="3"/>
    <d v="2025-08-05T00:00:00"/>
    <m/>
    <m/>
    <x v="1"/>
    <n v="98"/>
    <s v="Jay-R Lizardo"/>
    <m/>
  </r>
  <r>
    <x v="315"/>
    <x v="0"/>
    <x v="2"/>
    <s v="CLFF_1000$$$DE10677003"/>
    <s v="L000013397"/>
    <s v="L000013397"/>
    <s v="LFF (MDG-F)"/>
    <s v="DE10677003"/>
    <m/>
    <b v="1"/>
    <x v="0"/>
    <x v="3"/>
    <d v="2025-08-05T00:00:00"/>
    <m/>
    <m/>
    <x v="1"/>
    <n v="98"/>
    <s v="Jay-R Lizardo"/>
    <m/>
  </r>
  <r>
    <x v="315"/>
    <x v="0"/>
    <x v="2"/>
    <s v="CLFF_1000$$$DE10517000"/>
    <s v="G000001118"/>
    <s v="G000001118"/>
    <s v="LFF (MDG-F)"/>
    <s v="DE10517000"/>
    <m/>
    <b v="1"/>
    <x v="0"/>
    <x v="3"/>
    <d v="2025-08-05T00:00:00"/>
    <m/>
    <m/>
    <x v="1"/>
    <n v="98"/>
    <s v="Jay-R Lizardo"/>
    <m/>
  </r>
  <r>
    <x v="315"/>
    <x v="0"/>
    <x v="2"/>
    <s v="CLFF_1000$$$DE10574000"/>
    <s v="G000000253"/>
    <s v="G000000253"/>
    <s v="LFF (MDG-F)"/>
    <s v="DE10574000"/>
    <m/>
    <b v="1"/>
    <x v="0"/>
    <x v="3"/>
    <d v="2025-08-05T00:00:00"/>
    <m/>
    <m/>
    <x v="1"/>
    <n v="98"/>
    <s v="Jay-R Lizardo"/>
    <m/>
  </r>
  <r>
    <x v="315"/>
    <x v="0"/>
    <x v="2"/>
    <s v="CLFF_1000$$$DE10679600"/>
    <s v="G000001396"/>
    <s v="G000001396"/>
    <s v="LFF (MDG-F)"/>
    <s v="DE10679600"/>
    <m/>
    <b v="1"/>
    <x v="0"/>
    <x v="3"/>
    <d v="2025-08-05T00:00:00"/>
    <m/>
    <m/>
    <x v="1"/>
    <n v="98"/>
    <s v="Jay-R Lizardo"/>
    <m/>
  </r>
  <r>
    <x v="315"/>
    <x v="0"/>
    <x v="2"/>
    <s v="CLFF_1000$$$DE10512500"/>
    <s v="G000001118"/>
    <s v="G000001118"/>
    <s v="LFF (MDG-F)"/>
    <s v="DE10512500"/>
    <m/>
    <b v="1"/>
    <x v="0"/>
    <x v="3"/>
    <d v="2025-08-05T00:00:00"/>
    <m/>
    <m/>
    <x v="1"/>
    <n v="98"/>
    <s v="Jay-R Lizardo"/>
    <m/>
  </r>
  <r>
    <x v="315"/>
    <x v="0"/>
    <x v="2"/>
    <s v="CLFF_1000$$$DE10656400"/>
    <s v="G000000726"/>
    <s v="G000000726"/>
    <s v="LFF (MDG-F)"/>
    <s v="DE10656400"/>
    <m/>
    <b v="1"/>
    <x v="0"/>
    <x v="3"/>
    <d v="2025-08-05T00:00:00"/>
    <m/>
    <m/>
    <x v="1"/>
    <n v="98"/>
    <s v="Jay-R Lizardo"/>
    <m/>
  </r>
  <r>
    <x v="315"/>
    <x v="0"/>
    <x v="2"/>
    <s v="CLFF_1000$$$DE10677200"/>
    <s v="G000001396"/>
    <s v="G000001396"/>
    <s v="LFF (MDG-F)"/>
    <s v="DE10677200"/>
    <m/>
    <b v="1"/>
    <x v="0"/>
    <x v="3"/>
    <d v="2025-08-05T00:00:00"/>
    <m/>
    <m/>
    <x v="1"/>
    <n v="98"/>
    <s v="Jay-R Lizardo"/>
    <m/>
  </r>
  <r>
    <x v="315"/>
    <x v="0"/>
    <x v="2"/>
    <s v="CLFF_1000$$$DE10685700"/>
    <s v="P000000765"/>
    <s v="P000000765"/>
    <s v="LFF (MDG-F)"/>
    <s v="DE10685700"/>
    <s v="Unavailable; to do later"/>
    <b v="1"/>
    <x v="0"/>
    <x v="3"/>
    <d v="2025-08-05T00:00:00"/>
    <m/>
    <m/>
    <x v="1"/>
    <n v="98"/>
    <s v="Jay-R Lizardo"/>
    <m/>
  </r>
  <r>
    <x v="315"/>
    <x v="0"/>
    <x v="2"/>
    <s v="CLFF_1000$$$DE10643100"/>
    <s v="G000000726"/>
    <s v="G000000726"/>
    <s v="LFF (MDG-F)"/>
    <s v="DE10643100"/>
    <m/>
    <b v="1"/>
    <x v="0"/>
    <x v="3"/>
    <d v="2025-08-05T00:00:00"/>
    <m/>
    <m/>
    <x v="1"/>
    <n v="98"/>
    <s v="Jay-R Lizardo"/>
    <m/>
  </r>
  <r>
    <x v="315"/>
    <x v="0"/>
    <x v="2"/>
    <s v="CLFF_1000$$$DE10669636"/>
    <s v="G000001387"/>
    <s v="G000001387"/>
    <s v="LFF (MDG-F)"/>
    <s v="DE10669636"/>
    <m/>
    <b v="1"/>
    <x v="0"/>
    <x v="3"/>
    <d v="2025-08-05T00:00:00"/>
    <m/>
    <m/>
    <x v="1"/>
    <n v="98"/>
    <s v="Jay-R Lizardo"/>
    <m/>
  </r>
  <r>
    <x v="315"/>
    <x v="0"/>
    <x v="2"/>
    <s v="CLFF_1000$$$DE10635800"/>
    <s v="G000001118"/>
    <s v="G000001118"/>
    <s v="LFF (MDG-F)"/>
    <s v="DE10635800"/>
    <m/>
    <b v="1"/>
    <x v="0"/>
    <x v="3"/>
    <d v="2025-08-05T00:00:00"/>
    <m/>
    <m/>
    <x v="1"/>
    <n v="98"/>
    <s v="Jay-R Lizardo"/>
    <m/>
  </r>
  <r>
    <x v="315"/>
    <x v="0"/>
    <x v="2"/>
    <s v="CLFF_1000$$$DE10561800"/>
    <s v="G000001118"/>
    <s v="G000001118"/>
    <s v="LFF (MDG-F)"/>
    <s v="DE10561800"/>
    <m/>
    <b v="1"/>
    <x v="0"/>
    <x v="3"/>
    <d v="2025-08-05T00:00:00"/>
    <m/>
    <m/>
    <x v="1"/>
    <n v="98"/>
    <s v="Jay-R Lizardo"/>
    <m/>
  </r>
  <r>
    <x v="315"/>
    <x v="0"/>
    <x v="2"/>
    <s v="CLFF_1000$$$DE10GIT706"/>
    <s v="L000013397"/>
    <s v="L000013397"/>
    <s v="LFF (MDG-F)"/>
    <s v="DE10GIT706"/>
    <m/>
    <b v="1"/>
    <x v="0"/>
    <x v="3"/>
    <d v="2025-08-05T00:00:00"/>
    <m/>
    <m/>
    <x v="1"/>
    <n v="98"/>
    <s v="Jay-R Lizardo"/>
    <m/>
  </r>
  <r>
    <x v="315"/>
    <x v="0"/>
    <x v="2"/>
    <s v="CLFF_1000$$$DE10669635"/>
    <s v="G000001421"/>
    <s v="G000001421"/>
    <s v="LFF (MDG-F)"/>
    <s v="DE10669635"/>
    <m/>
    <b v="1"/>
    <x v="0"/>
    <x v="3"/>
    <d v="2025-08-05T00:00:00"/>
    <m/>
    <m/>
    <x v="1"/>
    <n v="98"/>
    <s v="Jay-R Lizardo"/>
    <m/>
  </r>
  <r>
    <x v="315"/>
    <x v="0"/>
    <x v="2"/>
    <s v="CLFF_1000$$$DE10GIT06A"/>
    <s v="G000000726"/>
    <s v="G000000726"/>
    <s v="LFF (MDG-F)"/>
    <s v="DE10GIT06A"/>
    <m/>
    <b v="1"/>
    <x v="0"/>
    <x v="3"/>
    <d v="2025-08-05T00:00:00"/>
    <m/>
    <m/>
    <x v="1"/>
    <n v="98"/>
    <s v="Jay-R Lizardo"/>
    <m/>
  </r>
  <r>
    <x v="315"/>
    <x v="0"/>
    <x v="2"/>
    <s v="CLFF_1000$$$DE10GIT05A"/>
    <s v="G000000726"/>
    <s v="G000000726"/>
    <s v="LFF (MDG-F)"/>
    <s v="DE10GIT05A"/>
    <m/>
    <b v="1"/>
    <x v="0"/>
    <x v="3"/>
    <d v="2025-08-05T00:00:00"/>
    <m/>
    <m/>
    <x v="1"/>
    <n v="98"/>
    <s v="Jay-R Lizardo"/>
    <m/>
  </r>
  <r>
    <x v="315"/>
    <x v="0"/>
    <x v="2"/>
    <s v="CLFF_1000$$$DE10YIT009"/>
    <s v="G000001233"/>
    <s v="G000001233"/>
    <s v="LFF (MDG-F)"/>
    <s v="DE10YIT009"/>
    <m/>
    <b v="1"/>
    <x v="0"/>
    <x v="3"/>
    <d v="2025-08-05T00:00:00"/>
    <m/>
    <m/>
    <x v="1"/>
    <n v="98"/>
    <s v="Jay-R Lizardo"/>
    <m/>
  </r>
  <r>
    <x v="315"/>
    <x v="0"/>
    <x v="2"/>
    <s v="CLFF_1000$$$DE10YIT008"/>
    <s v="G000001235"/>
    <s v="G000001235"/>
    <s v="LFF (MDG-F)"/>
    <s v="DE10YIT008"/>
    <m/>
    <b v="1"/>
    <x v="0"/>
    <x v="3"/>
    <d v="2025-08-05T00:00:00"/>
    <m/>
    <m/>
    <x v="1"/>
    <n v="98"/>
    <s v="Jay-R Lizardo"/>
    <m/>
  </r>
  <r>
    <x v="315"/>
    <x v="0"/>
    <x v="2"/>
    <s v="CLFF_1000$$$DE10YIT012"/>
    <s v="G000000247"/>
    <s v="G000000247"/>
    <s v="LFF (MDG-F)"/>
    <s v="DE10YIT012"/>
    <m/>
    <b v="1"/>
    <x v="0"/>
    <x v="3"/>
    <d v="2025-08-05T00:00:00"/>
    <m/>
    <m/>
    <x v="1"/>
    <n v="98"/>
    <s v="Jay-R Lizardo"/>
    <m/>
  </r>
  <r>
    <x v="315"/>
    <x v="0"/>
    <x v="2"/>
    <s v="CLFF_1000$$$DE10YIT011"/>
    <s v="G000000273"/>
    <s v="G000000273"/>
    <s v="LFF (MDG-F)"/>
    <s v="DE10YIT011"/>
    <m/>
    <b v="1"/>
    <x v="0"/>
    <x v="3"/>
    <d v="2025-08-05T00:00:00"/>
    <m/>
    <m/>
    <x v="1"/>
    <n v="98"/>
    <s v="Jay-R Lizardo"/>
    <m/>
  </r>
  <r>
    <x v="315"/>
    <x v="0"/>
    <x v="2"/>
    <s v="CLFF_1000$$$DE10669632"/>
    <s v="G000001420"/>
    <s v="G000001420"/>
    <s v="LFF (MDG-F)"/>
    <s v="DE10669632"/>
    <m/>
    <b v="1"/>
    <x v="0"/>
    <x v="3"/>
    <d v="2025-08-05T00:00:00"/>
    <m/>
    <m/>
    <x v="1"/>
    <n v="98"/>
    <s v="Jay-R Lizardo"/>
    <m/>
  </r>
  <r>
    <x v="315"/>
    <x v="0"/>
    <x v="2"/>
    <s v="CLFF_1000$$$DE10669646"/>
    <s v="G000001388"/>
    <s v="G000001388"/>
    <s v="LFF (MDG-F)"/>
    <s v="DE10669646"/>
    <m/>
    <b v="1"/>
    <x v="0"/>
    <x v="3"/>
    <d v="2025-08-05T00:00:00"/>
    <m/>
    <m/>
    <x v="1"/>
    <n v="98"/>
    <s v="Jay-R Lizardo"/>
    <m/>
  </r>
  <r>
    <x v="315"/>
    <x v="0"/>
    <x v="2"/>
    <s v="CLFF_1000$$$DE10669656"/>
    <s v="G000001393"/>
    <s v="G000001393"/>
    <s v="LFF (MDG-F)"/>
    <s v="DE10669656"/>
    <m/>
    <b v="1"/>
    <x v="0"/>
    <x v="3"/>
    <d v="2025-08-05T00:00:00"/>
    <m/>
    <m/>
    <x v="1"/>
    <n v="98"/>
    <s v="Jay-R Lizardo"/>
    <m/>
  </r>
  <r>
    <x v="315"/>
    <x v="0"/>
    <x v="2"/>
    <s v="CLFF_1000$$$DE10YIT013"/>
    <s v="G000001395"/>
    <s v="G000001395"/>
    <s v="LFF (MDG-F)"/>
    <s v="DE10YIT013"/>
    <m/>
    <b v="1"/>
    <x v="0"/>
    <x v="3"/>
    <d v="2025-08-05T00:00:00"/>
    <m/>
    <m/>
    <x v="1"/>
    <n v="98"/>
    <s v="Jay-R Lizardo"/>
    <m/>
  </r>
  <r>
    <x v="315"/>
    <x v="0"/>
    <x v="2"/>
    <s v="CLFF_1000$$$DE10638480"/>
    <s v="G000001118"/>
    <s v="G000001118"/>
    <s v="LFF (MDG-F)"/>
    <s v="DE10638480"/>
    <m/>
    <b v="1"/>
    <x v="0"/>
    <x v="3"/>
    <d v="2025-08-05T00:00:00"/>
    <m/>
    <m/>
    <x v="1"/>
    <n v="98"/>
    <s v="Jay-R Lizardo"/>
    <m/>
  </r>
  <r>
    <x v="315"/>
    <x v="0"/>
    <x v="2"/>
    <s v="CLFF_1000$$$DE10638470"/>
    <s v="G000001118"/>
    <s v="G000001118"/>
    <s v="LFF (MDG-F)"/>
    <s v="DE10638470"/>
    <m/>
    <b v="1"/>
    <x v="0"/>
    <x v="3"/>
    <d v="2025-08-05T00:00:00"/>
    <m/>
    <m/>
    <x v="1"/>
    <n v="98"/>
    <s v="Jay-R Lizardo"/>
    <m/>
  </r>
  <r>
    <x v="315"/>
    <x v="0"/>
    <x v="2"/>
    <s v="CLFF_1000$$$DE10512503"/>
    <s v="G000001118"/>
    <s v="G000001118"/>
    <s v="LFF (MDG-F)"/>
    <s v="DE10512503"/>
    <m/>
    <b v="1"/>
    <x v="0"/>
    <x v="3"/>
    <d v="2025-08-05T00:00:00"/>
    <m/>
    <m/>
    <x v="1"/>
    <n v="98"/>
    <s v="Jay-R Lizardo"/>
    <m/>
  </r>
  <r>
    <x v="315"/>
    <x v="0"/>
    <x v="2"/>
    <s v="CLFF_1000$$$DE10638460"/>
    <s v="G000001118"/>
    <s v="G000001118"/>
    <s v="LFF (MDG-F)"/>
    <s v="DE10638460"/>
    <m/>
    <b v="1"/>
    <x v="0"/>
    <x v="3"/>
    <d v="2025-08-05T00:00:00"/>
    <m/>
    <m/>
    <x v="1"/>
    <n v="98"/>
    <s v="Jay-R Lizardo"/>
    <m/>
  </r>
  <r>
    <x v="315"/>
    <x v="0"/>
    <x v="2"/>
    <s v="CLFF_1000$$$DE10512502"/>
    <s v="G000001118"/>
    <s v="G000001118"/>
    <s v="LFF (MDG-F)"/>
    <s v="DE10512502"/>
    <m/>
    <b v="1"/>
    <x v="0"/>
    <x v="3"/>
    <d v="2025-08-05T00:00:00"/>
    <m/>
    <m/>
    <x v="1"/>
    <n v="98"/>
    <s v="Jay-R Lizardo"/>
    <m/>
  </r>
  <r>
    <x v="315"/>
    <x v="0"/>
    <x v="2"/>
    <s v="CLFF_1000$$$DE10512501"/>
    <s v="G000001118"/>
    <s v="G000001118"/>
    <s v="LFF (MDG-F)"/>
    <s v="DE10512501"/>
    <m/>
    <b v="1"/>
    <x v="0"/>
    <x v="3"/>
    <d v="2025-08-05T00:00:00"/>
    <m/>
    <m/>
    <x v="1"/>
    <n v="98"/>
    <s v="Jay-R Lizardo"/>
    <m/>
  </r>
  <r>
    <x v="315"/>
    <x v="0"/>
    <x v="2"/>
    <s v="CLFF_1000$$$DE10638450"/>
    <s v="G000001118"/>
    <s v="G000001118"/>
    <s v="LFF (MDG-F)"/>
    <s v="DE10638450"/>
    <m/>
    <b v="1"/>
    <x v="0"/>
    <x v="3"/>
    <d v="2025-08-05T00:00:00"/>
    <m/>
    <m/>
    <x v="1"/>
    <n v="98"/>
    <s v="Jay-R Lizardo"/>
    <m/>
  </r>
  <r>
    <x v="315"/>
    <x v="0"/>
    <x v="2"/>
    <s v="CLFF_1000$$$DE10GMS020"/>
    <s v="G000001381"/>
    <s v="G000001381"/>
    <s v="LFF (MDG-F)"/>
    <s v="DE10GMS020"/>
    <m/>
    <b v="1"/>
    <x v="0"/>
    <x v="3"/>
    <d v="2025-08-05T00:00:00"/>
    <m/>
    <m/>
    <x v="1"/>
    <n v="98"/>
    <s v="Jay-R Lizardo"/>
    <m/>
  </r>
  <r>
    <x v="315"/>
    <x v="0"/>
    <x v="2"/>
    <s v="CLFF_1000$$$DE10GMS041"/>
    <s v="G000001420"/>
    <s v="G000001420"/>
    <s v="LFF (MDG-F)"/>
    <s v="DE10GMS041"/>
    <m/>
    <b v="1"/>
    <x v="0"/>
    <x v="3"/>
    <d v="2025-08-05T00:00:00"/>
    <m/>
    <m/>
    <x v="1"/>
    <n v="98"/>
    <s v="Jay-R Lizardo"/>
    <m/>
  </r>
  <r>
    <x v="315"/>
    <x v="0"/>
    <x v="2"/>
    <s v="CLFF_1000$$$DE10698300"/>
    <s v="G000001381"/>
    <s v="G000001381"/>
    <s v="LFF (MDG-F)"/>
    <s v="DE10698300"/>
    <m/>
    <b v="1"/>
    <x v="0"/>
    <x v="3"/>
    <d v="2025-08-05T00:00:00"/>
    <m/>
    <m/>
    <x v="1"/>
    <n v="98"/>
    <s v="Jay-R Lizardo"/>
    <m/>
  </r>
  <r>
    <x v="315"/>
    <x v="0"/>
    <x v="2"/>
    <s v="CLFF_1000$$$DE10669630"/>
    <s v="G000001381"/>
    <s v="G000001381"/>
    <s v="LFF (MDG-F)"/>
    <s v="DE10669630"/>
    <m/>
    <b v="1"/>
    <x v="0"/>
    <x v="3"/>
    <d v="2025-08-05T00:00:00"/>
    <m/>
    <m/>
    <x v="1"/>
    <n v="98"/>
    <s v="Jay-R Lizardo"/>
    <m/>
  </r>
  <r>
    <x v="315"/>
    <x v="0"/>
    <x v="2"/>
    <s v="CLFF_1000$$$DE10669642"/>
    <s v="G000001381"/>
    <s v="G000001381"/>
    <s v="LFF (MDG-F)"/>
    <s v="DE10669642"/>
    <m/>
    <b v="1"/>
    <x v="0"/>
    <x v="3"/>
    <d v="2025-08-05T00:00:00"/>
    <m/>
    <m/>
    <x v="1"/>
    <n v="98"/>
    <s v="Jay-R Lizardo"/>
    <m/>
  </r>
  <r>
    <x v="315"/>
    <x v="0"/>
    <x v="2"/>
    <s v="CLFF_1000$$$DE10Y00008"/>
    <s v="G000001381"/>
    <s v="G000001381"/>
    <s v="LFF (MDG-F)"/>
    <s v="DE10Y00008"/>
    <m/>
    <b v="1"/>
    <x v="0"/>
    <x v="3"/>
    <d v="2025-08-05T00:00:00"/>
    <m/>
    <m/>
    <x v="1"/>
    <n v="98"/>
    <s v="Jay-R Lizardo"/>
    <m/>
  </r>
  <r>
    <x v="315"/>
    <x v="0"/>
    <x v="2"/>
    <s v="CEMERAL_70006101AD1L16"/>
    <s v="G000000253"/>
    <s v="G000000253"/>
    <s v="Non-LFF"/>
    <s v=""/>
    <m/>
    <b v="1"/>
    <x v="0"/>
    <x v="3"/>
    <d v="2025-08-05T00:00:00"/>
    <m/>
    <m/>
    <x v="1"/>
    <n v="98"/>
    <s v="Jay-R Lizardo"/>
    <m/>
  </r>
  <r>
    <x v="315"/>
    <x v="0"/>
    <x v="2"/>
    <s v="CLFF_1000$$$CN70GIT301"/>
    <s v="G000000253"/>
    <s v="G000000253"/>
    <s v="LFF (MDG-F)"/>
    <s v="CN70GIT301"/>
    <m/>
    <b v="1"/>
    <x v="0"/>
    <x v="3"/>
    <d v="2025-08-05T00:00:00"/>
    <m/>
    <m/>
    <x v="1"/>
    <n v="98"/>
    <s v="Jay-R Lizardo"/>
    <m/>
  </r>
  <r>
    <x v="315"/>
    <x v="0"/>
    <x v="2"/>
    <s v="CITR_1000$$$IT17711152"/>
    <s v="G000001118"/>
    <s v="G000001118"/>
    <s v="Non-LFF"/>
    <s v=""/>
    <m/>
    <b v="1"/>
    <x v="0"/>
    <x v="3"/>
    <d v="2025-08-05T00:00:00"/>
    <m/>
    <m/>
    <x v="1"/>
    <n v="98"/>
    <s v="Jay-R Lizardo"/>
    <m/>
  </r>
  <r>
    <x v="315"/>
    <x v="0"/>
    <x v="2"/>
    <s v="CLFF_1000$$$EG50GIT051"/>
    <s v="G000001401"/>
    <s v="G000001401"/>
    <s v="LFF (MDG-F)"/>
    <s v="EG50GIT051"/>
    <m/>
    <b v="1"/>
    <x v="0"/>
    <x v="3"/>
    <d v="2025-08-05T00:00:00"/>
    <m/>
    <m/>
    <x v="1"/>
    <n v="98"/>
    <s v="Jay-R Lizardo"/>
    <m/>
  </r>
  <r>
    <x v="315"/>
    <x v="0"/>
    <x v="2"/>
    <s v="CLFF_1000$$$EG50GIT030"/>
    <s v="G000001415"/>
    <s v="G000001415"/>
    <s v="LFF (MDG-F)"/>
    <s v="EG50GIT030"/>
    <m/>
    <b v="1"/>
    <x v="0"/>
    <x v="3"/>
    <d v="2025-08-05T00:00:00"/>
    <m/>
    <m/>
    <x v="1"/>
    <n v="98"/>
    <s v="Jay-R Lizardo"/>
    <m/>
  </r>
  <r>
    <x v="315"/>
    <x v="0"/>
    <x v="2"/>
    <s v="CTEMPLA_1000UY10120022"/>
    <s v="L000013397"/>
    <s v="L000013397"/>
    <s v="Non-LFF"/>
    <s v=""/>
    <m/>
    <b v="1"/>
    <x v="0"/>
    <x v="3"/>
    <d v="2025-08-05T00:00:00"/>
    <m/>
    <m/>
    <x v="1"/>
    <n v="98"/>
    <s v="Jay-R Lizardo"/>
    <m/>
  </r>
  <r>
    <x v="315"/>
    <x v="0"/>
    <x v="2"/>
    <s v="CTEMPLA_1000UY10100040"/>
    <s v="G000001420"/>
    <s v="G000001420"/>
    <s v="Non-LFF"/>
    <s v=""/>
    <m/>
    <b v="1"/>
    <x v="0"/>
    <x v="3"/>
    <d v="2025-08-05T00:00:00"/>
    <m/>
    <m/>
    <x v="1"/>
    <n v="98"/>
    <s v="Jay-R Lizardo"/>
    <m/>
  </r>
  <r>
    <x v="315"/>
    <x v="0"/>
    <x v="2"/>
    <s v="CTEMPLA_1000UY10100037"/>
    <s v="G000001420"/>
    <s v="G000001420"/>
    <s v="Non-LFF"/>
    <s v=""/>
    <m/>
    <b v="1"/>
    <x v="0"/>
    <x v="3"/>
    <d v="2025-08-05T00:00:00"/>
    <m/>
    <m/>
    <x v="1"/>
    <n v="98"/>
    <s v="Jay-R Lizardo"/>
    <m/>
  </r>
  <r>
    <x v="315"/>
    <x v="0"/>
    <x v="2"/>
    <s v="CTEMPLA_1000UY10100021"/>
    <s v="G000001421"/>
    <s v="G000001421"/>
    <s v="Non-LFF"/>
    <s v=""/>
    <m/>
    <b v="1"/>
    <x v="0"/>
    <x v="3"/>
    <d v="2025-08-05T00:00:00"/>
    <m/>
    <m/>
    <x v="1"/>
    <n v="98"/>
    <s v="Jay-R Lizardo"/>
    <m/>
  </r>
  <r>
    <x v="315"/>
    <x v="0"/>
    <x v="2"/>
    <s v="CTEMPNA_1000US20CA8325"/>
    <s v="G000000253"/>
    <s v="G000000253"/>
    <s v="Non-LFF"/>
    <s v=""/>
    <m/>
    <b v="1"/>
    <x v="0"/>
    <x v="3"/>
    <d v="2025-08-05T00:00:00"/>
    <m/>
    <m/>
    <x v="1"/>
    <n v="98"/>
    <s v="Jay-R Lizardo"/>
    <m/>
  </r>
  <r>
    <x v="315"/>
    <x v="0"/>
    <x v="2"/>
    <s v="CTEMPNA_1000US20CA8340"/>
    <s v="G000001397"/>
    <s v="G000001397"/>
    <s v="Non-LFF"/>
    <s v=""/>
    <m/>
    <b v="1"/>
    <x v="0"/>
    <x v="3"/>
    <d v="2025-08-05T00:00:00"/>
    <m/>
    <m/>
    <x v="1"/>
    <n v="98"/>
    <s v="Jay-R Lizardo"/>
    <m/>
  </r>
  <r>
    <x v="315"/>
    <x v="0"/>
    <x v="2"/>
    <s v="CTEMPNA_1000US20CA8407"/>
    <s v="G000001387"/>
    <s v="G000001387"/>
    <s v="Non-LFF"/>
    <s v=""/>
    <m/>
    <b v="1"/>
    <x v="0"/>
    <x v="3"/>
    <d v="2025-08-05T00:00:00"/>
    <m/>
    <m/>
    <x v="1"/>
    <n v="98"/>
    <s v="Jay-R Lizardo"/>
    <m/>
  </r>
  <r>
    <x v="315"/>
    <x v="0"/>
    <x v="2"/>
    <s v="CTEMPNA_1000US20F87G7C"/>
    <s v="G000001118"/>
    <s v="G000001118"/>
    <s v="Non-LFF"/>
    <s v=""/>
    <m/>
    <b v="1"/>
    <x v="0"/>
    <x v="3"/>
    <d v="2025-08-05T00:00:00"/>
    <m/>
    <m/>
    <x v="1"/>
    <n v="98"/>
    <s v="Jay-R Lizardo"/>
    <m/>
  </r>
  <r>
    <x v="315"/>
    <x v="0"/>
    <x v="2"/>
    <s v="CLFF_1000$$$CH65YIT001"/>
    <s v="G000001235"/>
    <s v="G000001235"/>
    <s v="LFF (MDG-F)"/>
    <s v="CH65YIT001"/>
    <m/>
    <b v="1"/>
    <x v="0"/>
    <x v="3"/>
    <d v="2025-08-05T00:00:00"/>
    <m/>
    <m/>
    <x v="1"/>
    <n v="98"/>
    <s v="Jay-R Lizardo"/>
    <m/>
  </r>
  <r>
    <x v="315"/>
    <x v="0"/>
    <x v="2"/>
    <s v="CLFF_1000$$$CH65GIT011"/>
    <s v="G000000726"/>
    <s v="G000000726"/>
    <s v="LFF (MDG-F)"/>
    <s v="CH65GIT011"/>
    <m/>
    <b v="1"/>
    <x v="0"/>
    <x v="3"/>
    <d v="2025-08-05T00:00:00"/>
    <m/>
    <m/>
    <x v="1"/>
    <n v="98"/>
    <s v="Jay-R Lizardo"/>
    <m/>
  </r>
  <r>
    <x v="315"/>
    <x v="0"/>
    <x v="2"/>
    <s v="CTEMPEU_1000NL40AD0095"/>
    <s v="L000013397"/>
    <s v="L000013397"/>
    <s v="Non-LFF"/>
    <s v=""/>
    <m/>
    <b v="1"/>
    <x v="0"/>
    <x v="3"/>
    <d v="2025-08-05T00:00:00"/>
    <m/>
    <m/>
    <x v="1"/>
    <n v="98"/>
    <s v="Jay-R Lizardo"/>
    <m/>
  </r>
  <r>
    <x v="315"/>
    <x v="0"/>
    <x v="2"/>
    <s v="CORAERP_MMOR1945.9571"/>
    <s v="G000000253"/>
    <s v="G000000253"/>
    <s v="Non-LFF"/>
    <s v=""/>
    <m/>
    <b v="1"/>
    <x v="0"/>
    <x v="3"/>
    <d v="2025-08-05T00:00:00"/>
    <m/>
    <m/>
    <x v="1"/>
    <n v="98"/>
    <s v="Jay-R Lizardo"/>
    <m/>
  </r>
  <r>
    <x v="315"/>
    <x v="0"/>
    <x v="2"/>
    <s v="CLFF_1000$$$CH50GIT032"/>
    <s v="G000001398"/>
    <s v="G000001398"/>
    <s v="LFF (MDG-F)"/>
    <s v="CH50GIT032"/>
    <m/>
    <b v="1"/>
    <x v="0"/>
    <x v="3"/>
    <d v="2025-08-05T00:00:00"/>
    <m/>
    <m/>
    <x v="1"/>
    <n v="98"/>
    <s v="Jay-R Lizardo"/>
    <m/>
  </r>
  <r>
    <x v="315"/>
    <x v="0"/>
    <x v="2"/>
    <s v="CLFF_KR00$$$KR03GIT01B"/>
    <s v="G000000277"/>
    <s v="G000000277"/>
    <s v="LFF (MDG-F)"/>
    <s v="KR03GIT01B"/>
    <m/>
    <b v="1"/>
    <x v="0"/>
    <x v="3"/>
    <d v="2025-08-05T00:00:00"/>
    <m/>
    <m/>
    <x v="1"/>
    <n v="98"/>
    <s v="Jay-R Lizardo"/>
    <m/>
  </r>
  <r>
    <x v="315"/>
    <x v="0"/>
    <x v="2"/>
    <s v="CORAERP_MMOR1975.9579"/>
    <s v="G000000253"/>
    <s v="G000000253"/>
    <s v="Non-LFF"/>
    <s v=""/>
    <m/>
    <b v="1"/>
    <x v="0"/>
    <x v="3"/>
    <d v="2025-08-05T00:00:00"/>
    <m/>
    <m/>
    <x v="1"/>
    <n v="98"/>
    <s v="Jay-R Lizardo"/>
    <m/>
  </r>
  <r>
    <x v="315"/>
    <x v="0"/>
    <x v="2"/>
    <s v="CORAERP_MMOR1975.9855"/>
    <s v="L000013397"/>
    <s v="L000013397"/>
    <s v="Non-LFF"/>
    <s v=""/>
    <m/>
    <b v="1"/>
    <x v="0"/>
    <x v="3"/>
    <d v="2025-08-05T00:00:00"/>
    <m/>
    <m/>
    <x v="1"/>
    <n v="98"/>
    <s v="Jay-R Lizardo"/>
    <m/>
  </r>
  <r>
    <x v="315"/>
    <x v="0"/>
    <x v="2"/>
    <s v="CORAERP_MMOR1975.9810"/>
    <s v="G000001405"/>
    <s v="G000001405"/>
    <s v="Non-LFF"/>
    <s v=""/>
    <m/>
    <b v="1"/>
    <x v="0"/>
    <x v="3"/>
    <d v="2025-08-05T00:00:00"/>
    <m/>
    <m/>
    <x v="1"/>
    <n v="98"/>
    <s v="Jay-R Lizardo"/>
    <m/>
  </r>
  <r>
    <x v="315"/>
    <x v="0"/>
    <x v="2"/>
    <s v="CORAERP_MMOR1975.9833"/>
    <s v="G000000726"/>
    <s v="G000000726"/>
    <s v="Non-LFF"/>
    <s v=""/>
    <m/>
    <b v="1"/>
    <x v="0"/>
    <x v="3"/>
    <d v="2025-08-05T00:00:00"/>
    <m/>
    <m/>
    <x v="1"/>
    <n v="98"/>
    <s v="Jay-R Lizardo"/>
    <m/>
  </r>
  <r>
    <x v="315"/>
    <x v="0"/>
    <x v="2"/>
    <s v="CORAERP_MMOR1975.9852"/>
    <s v="G000001396"/>
    <s v="G000001396"/>
    <s v="Non-LFF"/>
    <s v=""/>
    <m/>
    <b v="1"/>
    <x v="0"/>
    <x v="3"/>
    <d v="2025-08-05T00:00:00"/>
    <m/>
    <m/>
    <x v="1"/>
    <n v="98"/>
    <s v="Jay-R Lizardo"/>
    <m/>
  </r>
  <r>
    <x v="315"/>
    <x v="0"/>
    <x v="2"/>
    <s v="CORAERP_MMOR1975.9491"/>
    <s v="G000000253"/>
    <s v="G000000253"/>
    <s v="Non-LFF"/>
    <s v=""/>
    <m/>
    <b v="1"/>
    <x v="0"/>
    <x v="3"/>
    <d v="2025-08-05T00:00:00"/>
    <m/>
    <m/>
    <x v="1"/>
    <n v="98"/>
    <s v="Jay-R Lizardo"/>
    <m/>
  </r>
  <r>
    <x v="315"/>
    <x v="0"/>
    <x v="2"/>
    <s v="CNOW_7210$$$0000015061"/>
    <s v="L000013393"/>
    <s v="L000013393"/>
    <s v="Non-LFF"/>
    <s v=""/>
    <m/>
    <b v="1"/>
    <x v="0"/>
    <x v="3"/>
    <d v="2025-08-05T00:00:00"/>
    <m/>
    <m/>
    <x v="1"/>
    <n v="98"/>
    <s v="Jay-R Lizardo"/>
    <m/>
  </r>
  <r>
    <x v="315"/>
    <x v="0"/>
    <x v="2"/>
    <s v="CNOW_7210$$$0000051763"/>
    <s v="L000013397"/>
    <s v="L000013397"/>
    <s v="Non-LFF"/>
    <s v=""/>
    <m/>
    <b v="1"/>
    <x v="0"/>
    <x v="3"/>
    <d v="2025-08-05T00:00:00"/>
    <m/>
    <m/>
    <x v="1"/>
    <n v="98"/>
    <s v="Jay-R Lizardo"/>
    <m/>
  </r>
  <r>
    <x v="315"/>
    <x v="0"/>
    <x v="2"/>
    <s v="CNOW_7210$$$0000051757"/>
    <s v="G000001398"/>
    <s v="G000001398"/>
    <s v="Non-LFF"/>
    <s v=""/>
    <m/>
    <b v="1"/>
    <x v="0"/>
    <x v="3"/>
    <d v="2025-08-05T00:00:00"/>
    <m/>
    <m/>
    <x v="1"/>
    <n v="98"/>
    <s v="Jay-R Lizardo"/>
    <m/>
  </r>
  <r>
    <x v="315"/>
    <x v="0"/>
    <x v="2"/>
    <s v="CNOW_7210$$$0000051793"/>
    <s v="L000013389"/>
    <s v="L000013389"/>
    <s v="Non-LFF"/>
    <s v=""/>
    <m/>
    <b v="1"/>
    <x v="0"/>
    <x v="3"/>
    <d v="2025-08-05T00:00:00"/>
    <m/>
    <m/>
    <x v="1"/>
    <n v="98"/>
    <s v="Jay-R Lizardo"/>
    <m/>
  </r>
  <r>
    <x v="315"/>
    <x v="0"/>
    <x v="2"/>
    <s v="CLFF_7210$$$2029GIT120"/>
    <s v="L000013393"/>
    <s v="L000013393"/>
    <s v="LFF (MDG-F)"/>
    <s v="2029GIT120"/>
    <m/>
    <b v="1"/>
    <x v="0"/>
    <x v="3"/>
    <d v="2025-08-05T00:00:00"/>
    <m/>
    <m/>
    <x v="1"/>
    <n v="98"/>
    <s v="Jay-R Lizardo"/>
    <m/>
  </r>
  <r>
    <x v="315"/>
    <x v="0"/>
    <x v="2"/>
    <s v="CLFF_7210$$$2034GIT120"/>
    <s v="L000013397"/>
    <s v="L000013397"/>
    <s v="LFF (MDG-F)"/>
    <s v="2034GIT120"/>
    <m/>
    <b v="1"/>
    <x v="0"/>
    <x v="3"/>
    <d v="2025-08-05T00:00:00"/>
    <m/>
    <m/>
    <x v="1"/>
    <n v="98"/>
    <s v="Jay-R Lizardo"/>
    <m/>
  </r>
  <r>
    <x v="315"/>
    <x v="0"/>
    <x v="2"/>
    <s v="CNOW_7210$$$0000057801"/>
    <s v="G000001235"/>
    <s v="G000001235"/>
    <s v="Non-LFF"/>
    <s v=""/>
    <m/>
    <b v="1"/>
    <x v="0"/>
    <x v="3"/>
    <d v="2025-08-05T00:00:00"/>
    <m/>
    <m/>
    <x v="1"/>
    <n v="98"/>
    <s v="Jay-R Lizardo"/>
    <m/>
  </r>
  <r>
    <x v="315"/>
    <x v="0"/>
    <x v="2"/>
    <s v="CNOW_7210$$$0000057184"/>
    <s v="L000013397"/>
    <s v="L000013397"/>
    <s v="Non-LFF"/>
    <s v=""/>
    <m/>
    <b v="1"/>
    <x v="0"/>
    <x v="3"/>
    <d v="2025-08-05T00:00:00"/>
    <m/>
    <m/>
    <x v="1"/>
    <n v="98"/>
    <s v="Jay-R Lizardo"/>
    <m/>
  </r>
  <r>
    <x v="315"/>
    <x v="0"/>
    <x v="2"/>
    <s v="CNOW_7210$$$0000056669"/>
    <s v="G000001409"/>
    <s v="G000001409"/>
    <s v="Non-LFF"/>
    <s v=""/>
    <m/>
    <b v="1"/>
    <x v="0"/>
    <x v="3"/>
    <d v="2025-08-05T00:00:00"/>
    <m/>
    <m/>
    <x v="1"/>
    <n v="98"/>
    <s v="Jay-R Lizardo"/>
    <m/>
  </r>
  <r>
    <x v="315"/>
    <x v="0"/>
    <x v="2"/>
    <s v="CNOW_7210$$$0000052182"/>
    <s v="G000001407"/>
    <s v="G000001407"/>
    <s v="Non-LFF"/>
    <s v=""/>
    <m/>
    <b v="1"/>
    <x v="0"/>
    <x v="3"/>
    <d v="2025-08-05T00:00:00"/>
    <m/>
    <m/>
    <x v="1"/>
    <n v="98"/>
    <s v="Jay-R Lizardo"/>
    <m/>
  </r>
  <r>
    <x v="315"/>
    <x v="0"/>
    <x v="2"/>
    <s v="CNOW_7210$$$0000265219"/>
    <s v="G000001398"/>
    <s v="G000001398"/>
    <s v="Non-LFF"/>
    <s v=""/>
    <m/>
    <b v="1"/>
    <x v="0"/>
    <x v="3"/>
    <d v="2025-08-05T00:00:00"/>
    <m/>
    <m/>
    <x v="1"/>
    <n v="98"/>
    <s v="Jay-R Lizardo"/>
    <m/>
  </r>
  <r>
    <x v="315"/>
    <x v="0"/>
    <x v="2"/>
    <s v="CNOW_7210$$$0000265223"/>
    <s v="G000000253"/>
    <s v="G000000253"/>
    <s v="Non-LFF"/>
    <s v=""/>
    <m/>
    <b v="1"/>
    <x v="0"/>
    <x v="3"/>
    <d v="2025-08-05T00:00:00"/>
    <m/>
    <m/>
    <x v="1"/>
    <n v="98"/>
    <s v="Jay-R Lizardo"/>
    <m/>
  </r>
  <r>
    <x v="315"/>
    <x v="0"/>
    <x v="2"/>
    <s v="CNOW_7210$$$0000265222"/>
    <s v="L000013393"/>
    <s v="L000013393"/>
    <s v="Non-LFF"/>
    <s v=""/>
    <m/>
    <b v="1"/>
    <x v="0"/>
    <x v="3"/>
    <d v="2025-08-05T00:00:00"/>
    <m/>
    <m/>
    <x v="1"/>
    <n v="98"/>
    <s v="Jay-R Lizardo"/>
    <m/>
  </r>
  <r>
    <x v="315"/>
    <x v="0"/>
    <x v="2"/>
    <s v="CNOW_7210$$$0000010249"/>
    <s v="G000001398"/>
    <s v="G000001398"/>
    <s v="Non-LFF"/>
    <s v=""/>
    <m/>
    <b v="1"/>
    <x v="0"/>
    <x v="3"/>
    <d v="2025-08-05T00:00:00"/>
    <m/>
    <m/>
    <x v="1"/>
    <n v="98"/>
    <s v="Jay-R Lizardo"/>
    <m/>
  </r>
  <r>
    <x v="315"/>
    <x v="0"/>
    <x v="2"/>
    <s v="CNOW_7210$$$0000010268"/>
    <s v="L000013397"/>
    <s v="L000013397"/>
    <s v="Non-LFF"/>
    <s v=""/>
    <m/>
    <b v="1"/>
    <x v="0"/>
    <x v="3"/>
    <d v="2025-08-05T00:00:00"/>
    <m/>
    <m/>
    <x v="1"/>
    <n v="98"/>
    <s v="Jay-R Lizardo"/>
    <m/>
  </r>
  <r>
    <x v="315"/>
    <x v="0"/>
    <x v="2"/>
    <s v="CNOW_7210$$$0000010266"/>
    <s v="G000001118"/>
    <s v="G000001118"/>
    <s v="Non-LFF"/>
    <s v=""/>
    <m/>
    <b v="1"/>
    <x v="0"/>
    <x v="3"/>
    <d v="2025-08-05T00:00:00"/>
    <m/>
    <m/>
    <x v="1"/>
    <n v="98"/>
    <s v="Jay-R Lizardo"/>
    <m/>
  </r>
  <r>
    <x v="315"/>
    <x v="0"/>
    <x v="2"/>
    <s v="CNOW_7210$$$0000010251"/>
    <s v="G000000253"/>
    <s v="G000000253"/>
    <s v="Non-LFF"/>
    <s v=""/>
    <m/>
    <b v="1"/>
    <x v="0"/>
    <x v="3"/>
    <d v="2025-08-05T00:00:00"/>
    <m/>
    <m/>
    <x v="1"/>
    <n v="98"/>
    <s v="Jay-R Lizardo"/>
    <m/>
  </r>
  <r>
    <x v="315"/>
    <x v="0"/>
    <x v="2"/>
    <s v="CNOW_7210$$$0000010212"/>
    <s v="L000013397"/>
    <s v="L000013397"/>
    <s v="Non-LFF"/>
    <s v=""/>
    <m/>
    <b v="1"/>
    <x v="0"/>
    <x v="3"/>
    <d v="2025-08-05T00:00:00"/>
    <m/>
    <m/>
    <x v="1"/>
    <n v="98"/>
    <s v="Jay-R Lizardo"/>
    <m/>
  </r>
  <r>
    <x v="315"/>
    <x v="0"/>
    <x v="2"/>
    <s v="CNOW_7210$$$0000010209"/>
    <s v="L000013397"/>
    <s v="L000013397"/>
    <s v="Non-LFF"/>
    <s v=""/>
    <m/>
    <b v="1"/>
    <x v="0"/>
    <x v="3"/>
    <d v="2025-08-05T00:00:00"/>
    <m/>
    <m/>
    <x v="1"/>
    <n v="98"/>
    <s v="Jay-R Lizardo"/>
    <m/>
  </r>
  <r>
    <x v="315"/>
    <x v="0"/>
    <x v="2"/>
    <s v="CNOW_7210$$$0000010172"/>
    <s v="L000013389"/>
    <s v="L000013389"/>
    <s v="Non-LFF"/>
    <s v=""/>
    <m/>
    <b v="1"/>
    <x v="0"/>
    <x v="3"/>
    <d v="2025-08-05T00:00:00"/>
    <m/>
    <m/>
    <x v="1"/>
    <n v="98"/>
    <s v="Jay-R Lizardo"/>
    <m/>
  </r>
  <r>
    <x v="315"/>
    <x v="0"/>
    <x v="2"/>
    <s v="CNOW_7210$$$0000031698"/>
    <s v="L000013389"/>
    <s v="L000013389"/>
    <s v="Non-LFF"/>
    <s v=""/>
    <m/>
    <b v="1"/>
    <x v="0"/>
    <x v="3"/>
    <d v="2025-08-05T00:00:00"/>
    <m/>
    <m/>
    <x v="1"/>
    <n v="98"/>
    <s v="Jay-R Lizardo"/>
    <m/>
  </r>
  <r>
    <x v="315"/>
    <x v="0"/>
    <x v="2"/>
    <s v="CLFF_7210$$$2123TQJZ94"/>
    <s v="G000001387"/>
    <s v="G000001387"/>
    <s v="LFF (MDG-F)"/>
    <s v="2123TQJZ94"/>
    <m/>
    <b v="1"/>
    <x v="0"/>
    <x v="3"/>
    <d v="2025-08-05T00:00:00"/>
    <m/>
    <m/>
    <x v="1"/>
    <n v="98"/>
    <s v="Jay-R Lizardo"/>
    <m/>
  </r>
  <r>
    <x v="315"/>
    <x v="0"/>
    <x v="2"/>
    <s v="CLFF_7210$$$2123GIT126"/>
    <s v="G000001396"/>
    <s v="G000001396"/>
    <s v="LFF (MDG-F)"/>
    <s v="2123GIT126"/>
    <m/>
    <b v="1"/>
    <x v="0"/>
    <x v="3"/>
    <d v="2025-08-05T00:00:00"/>
    <m/>
    <m/>
    <x v="1"/>
    <n v="98"/>
    <s v="Jay-R Lizardo"/>
    <m/>
  </r>
  <r>
    <x v="315"/>
    <x v="0"/>
    <x v="2"/>
    <s v="CLFF_7210$$$2123GMI020"/>
    <s v="G000001387"/>
    <s v="G000001387"/>
    <s v="LFF (MDG-F)"/>
    <s v="2123GMI020"/>
    <m/>
    <b v="1"/>
    <x v="0"/>
    <x v="3"/>
    <d v="2025-08-05T00:00:00"/>
    <m/>
    <m/>
    <x v="1"/>
    <n v="98"/>
    <s v="Jay-R Lizardo"/>
    <m/>
  </r>
  <r>
    <x v="315"/>
    <x v="0"/>
    <x v="2"/>
    <s v="CLFF_7210$$$2123OF0033"/>
    <s v="G000001391"/>
    <s v="G000001391"/>
    <s v="LFF (MDG-F)"/>
    <s v="2123OF0033"/>
    <m/>
    <b v="1"/>
    <x v="0"/>
    <x v="3"/>
    <d v="2025-08-05T00:00:00"/>
    <m/>
    <m/>
    <x v="1"/>
    <n v="98"/>
    <s v="Jay-R Lizardo"/>
    <m/>
  </r>
  <r>
    <x v="315"/>
    <x v="0"/>
    <x v="2"/>
    <s v="CLFF_7210$$$2123OF0027"/>
    <s v="G000001391"/>
    <s v="G000001391"/>
    <s v="LFF (MDG-F)"/>
    <s v="2123OF0027"/>
    <m/>
    <b v="1"/>
    <x v="0"/>
    <x v="3"/>
    <d v="2025-08-05T00:00:00"/>
    <m/>
    <m/>
    <x v="1"/>
    <n v="98"/>
    <s v="Jay-R Lizardo"/>
    <m/>
  </r>
  <r>
    <x v="315"/>
    <x v="0"/>
    <x v="2"/>
    <s v="CLFF_7210$$$2123GMS040"/>
    <s v="G000001420"/>
    <s v="G000001420"/>
    <s v="LFF (MDG-F)"/>
    <s v="2123GMS040"/>
    <m/>
    <b v="1"/>
    <x v="0"/>
    <x v="3"/>
    <d v="2025-08-05T00:00:00"/>
    <m/>
    <m/>
    <x v="1"/>
    <n v="98"/>
    <s v="Jay-R Lizardo"/>
    <m/>
  </r>
  <r>
    <x v="315"/>
    <x v="0"/>
    <x v="2"/>
    <s v="CLFF_7210$$$2123GMS030"/>
    <s v="G000001421"/>
    <s v="G000001421"/>
    <s v="LFF (MDG-F)"/>
    <s v="2123GMS030"/>
    <m/>
    <b v="1"/>
    <x v="0"/>
    <x v="3"/>
    <d v="2025-08-05T00:00:00"/>
    <m/>
    <m/>
    <x v="1"/>
    <n v="98"/>
    <s v="Jay-R Lizardo"/>
    <m/>
  </r>
  <r>
    <x v="315"/>
    <x v="0"/>
    <x v="2"/>
    <s v="CLFF_7210$$$2123C00009"/>
    <s v="G000001391"/>
    <s v="G000001391"/>
    <s v="LFF (MDG-F)"/>
    <s v="2123C00009"/>
    <m/>
    <b v="1"/>
    <x v="0"/>
    <x v="3"/>
    <d v="2025-08-05T00:00:00"/>
    <m/>
    <m/>
    <x v="1"/>
    <n v="98"/>
    <s v="Jay-R Lizardo"/>
    <m/>
  </r>
  <r>
    <x v="315"/>
    <x v="0"/>
    <x v="2"/>
    <s v="CLFF_7210$$$2123GIT127"/>
    <s v="L000013393"/>
    <s v="L000013393"/>
    <s v="LFF (MDG-F)"/>
    <s v="2123GIT127"/>
    <m/>
    <b v="1"/>
    <x v="0"/>
    <x v="3"/>
    <d v="2025-08-05T00:00:00"/>
    <m/>
    <m/>
    <x v="1"/>
    <n v="98"/>
    <s v="Jay-R Lizardo"/>
    <m/>
  </r>
  <r>
    <x v="315"/>
    <x v="0"/>
    <x v="2"/>
    <s v="CLFF_7210$$$2123GMB010"/>
    <s v="G000001381"/>
    <s v="G000001381"/>
    <s v="LFF (MDG-F)"/>
    <s v="2123GMB010"/>
    <m/>
    <b v="1"/>
    <x v="0"/>
    <x v="3"/>
    <d v="2025-08-05T00:00:00"/>
    <m/>
    <m/>
    <x v="1"/>
    <n v="98"/>
    <s v="Jay-R Lizardo"/>
    <m/>
  </r>
  <r>
    <x v="315"/>
    <x v="0"/>
    <x v="2"/>
    <s v="CLFF_7210$$$2123OF0010"/>
    <s v="G000001387"/>
    <s v="G000001387"/>
    <s v="LFF (MDG-F)"/>
    <s v="2123OF0010"/>
    <m/>
    <b v="1"/>
    <x v="0"/>
    <x v="3"/>
    <d v="2025-08-05T00:00:00"/>
    <m/>
    <m/>
    <x v="1"/>
    <n v="98"/>
    <s v="Jay-R Lizardo"/>
    <m/>
  </r>
  <r>
    <x v="315"/>
    <x v="0"/>
    <x v="2"/>
    <s v="CLFF_7210$$$2123GM1110"/>
    <s v="G000001387"/>
    <s v="G000001387"/>
    <s v="LFF (MDG-F)"/>
    <s v="2123GM1110"/>
    <m/>
    <b v="1"/>
    <x v="0"/>
    <x v="3"/>
    <d v="2025-08-05T00:00:00"/>
    <m/>
    <m/>
    <x v="1"/>
    <n v="98"/>
    <s v="Jay-R Lizardo"/>
    <m/>
  </r>
  <r>
    <x v="315"/>
    <x v="0"/>
    <x v="2"/>
    <s v="CLFF_7210$$$2123GMI021"/>
    <s v="G000001389"/>
    <s v="G000001389"/>
    <s v="LFF (MDG-F)"/>
    <s v="2123GMI021"/>
    <m/>
    <b v="1"/>
    <x v="0"/>
    <x v="3"/>
    <d v="2025-08-05T00:00:00"/>
    <m/>
    <m/>
    <x v="1"/>
    <n v="98"/>
    <s v="Jay-R Lizardo"/>
    <m/>
  </r>
  <r>
    <x v="315"/>
    <x v="0"/>
    <x v="2"/>
    <s v="CLFF_7210$$$2123L50005"/>
    <s v="G000001387"/>
    <s v="G000001387"/>
    <s v="LFF (MDG-F)"/>
    <s v="2123L50005"/>
    <m/>
    <b v="1"/>
    <x v="0"/>
    <x v="3"/>
    <d v="2025-08-05T00:00:00"/>
    <m/>
    <m/>
    <x v="1"/>
    <n v="98"/>
    <s v="Jay-R Lizardo"/>
    <m/>
  </r>
  <r>
    <x v="315"/>
    <x v="0"/>
    <x v="2"/>
    <s v="CLFF_7210$$$2123YIT005"/>
    <s v="G000001387"/>
    <s v="G000001387"/>
    <s v="LFF (MDG-F)"/>
    <s v="2123YIT005"/>
    <m/>
    <b v="1"/>
    <x v="0"/>
    <x v="3"/>
    <d v="2025-08-05T00:00:00"/>
    <m/>
    <m/>
    <x v="1"/>
    <n v="98"/>
    <s v="Jay-R Lizardo"/>
    <m/>
  </r>
  <r>
    <x v="315"/>
    <x v="0"/>
    <x v="2"/>
    <s v="CLFF_7210$$$2123YIT004"/>
    <s v="G000001387"/>
    <s v="G000001387"/>
    <s v="LFF (MDG-F)"/>
    <s v="2123YIT004"/>
    <m/>
    <b v="1"/>
    <x v="0"/>
    <x v="3"/>
    <d v="2025-08-05T00:00:00"/>
    <m/>
    <m/>
    <x v="1"/>
    <n v="98"/>
    <s v="Jay-R Lizardo"/>
    <m/>
  </r>
  <r>
    <x v="315"/>
    <x v="0"/>
    <x v="2"/>
    <s v="CLFF_7210$$$2123C00028"/>
    <s v="G000001390"/>
    <s v="G000001390"/>
    <s v="LFF (MDG-F)"/>
    <s v="2123C00028"/>
    <m/>
    <b v="1"/>
    <x v="0"/>
    <x v="3"/>
    <d v="2025-08-05T00:00:00"/>
    <m/>
    <m/>
    <x v="1"/>
    <n v="98"/>
    <s v="Jay-R Lizardo"/>
    <m/>
  </r>
  <r>
    <x v="315"/>
    <x v="0"/>
    <x v="2"/>
    <s v="CLFF_7210$$$2123TPSZ93"/>
    <s v="G000001387"/>
    <s v="G000001387"/>
    <s v="LFF (MDG-F)"/>
    <s v="2123TPSZ93"/>
    <m/>
    <b v="1"/>
    <x v="0"/>
    <x v="3"/>
    <d v="2025-08-05T00:00:00"/>
    <m/>
    <m/>
    <x v="1"/>
    <n v="98"/>
    <s v="Jay-R Lizardo"/>
    <m/>
  </r>
  <r>
    <x v="315"/>
    <x v="0"/>
    <x v="2"/>
    <s v="CLFF_7210$$$2123C00103"/>
    <s v="G000001387"/>
    <s v="G000001387"/>
    <s v="LFF (MDG-F)"/>
    <s v="2123C00103"/>
    <m/>
    <b v="1"/>
    <x v="0"/>
    <x v="3"/>
    <d v="2025-08-05T00:00:00"/>
    <m/>
    <m/>
    <x v="1"/>
    <n v="98"/>
    <s v="Jay-R Lizardo"/>
    <m/>
  </r>
  <r>
    <x v="315"/>
    <x v="0"/>
    <x v="2"/>
    <s v="CLFF_7210$$$2123GIT129"/>
    <s v="L000013389"/>
    <s v="L000013389"/>
    <s v="LFF (MDG-F)"/>
    <s v="2123GIT129"/>
    <m/>
    <b v="1"/>
    <x v="0"/>
    <x v="3"/>
    <d v="2025-08-05T00:00:00"/>
    <m/>
    <m/>
    <x v="1"/>
    <n v="98"/>
    <s v="Jay-R Lizardo"/>
    <m/>
  </r>
  <r>
    <x v="315"/>
    <x v="0"/>
    <x v="2"/>
    <s v="CLFF_7210$$$2123GIT027"/>
    <s v="G000001396"/>
    <s v="G000001396"/>
    <s v="LFF (MDG-F)"/>
    <s v="2123GIT027"/>
    <m/>
    <b v="1"/>
    <x v="0"/>
    <x v="3"/>
    <d v="2025-08-05T00:00:00"/>
    <m/>
    <m/>
    <x v="1"/>
    <n v="98"/>
    <s v="Jay-R Lizardo"/>
    <m/>
  </r>
  <r>
    <x v="315"/>
    <x v="0"/>
    <x v="2"/>
    <s v="CLFF_7210$$$2123GIT212"/>
    <s v="G000001399"/>
    <s v="G000001399"/>
    <s v="LFF (MDG-F)"/>
    <s v="2123GIT212"/>
    <m/>
    <b v="1"/>
    <x v="0"/>
    <x v="3"/>
    <d v="2025-08-05T00:00:00"/>
    <m/>
    <m/>
    <x v="1"/>
    <n v="98"/>
    <s v="Jay-R Lizardo"/>
    <m/>
  </r>
  <r>
    <x v="315"/>
    <x v="0"/>
    <x v="2"/>
    <s v="CLFF_7210$$$2123GIT448"/>
    <s v="G000001396"/>
    <s v="G000001396"/>
    <s v="LFF (MDG-F)"/>
    <s v="2123GIT448"/>
    <m/>
    <b v="1"/>
    <x v="0"/>
    <x v="3"/>
    <d v="2025-08-05T00:00:00"/>
    <m/>
    <m/>
    <x v="1"/>
    <n v="98"/>
    <s v="Jay-R Lizardo"/>
    <m/>
  </r>
  <r>
    <x v="315"/>
    <x v="0"/>
    <x v="2"/>
    <s v="CLFF_7210$$$2123GIT520"/>
    <s v="G000000253"/>
    <s v="G000000253"/>
    <s v="LFF (MDG-F)"/>
    <s v="2123GIT520"/>
    <m/>
    <b v="1"/>
    <x v="0"/>
    <x v="3"/>
    <d v="2025-08-05T00:00:00"/>
    <m/>
    <m/>
    <x v="1"/>
    <n v="98"/>
    <s v="Jay-R Lizardo"/>
    <m/>
  </r>
  <r>
    <x v="315"/>
    <x v="0"/>
    <x v="2"/>
    <s v="CLFF_7210$$$2123GST008"/>
    <s v="G000001401"/>
    <s v="G000001401"/>
    <s v="LFF (MDG-F)"/>
    <s v="2123GST008"/>
    <m/>
    <b v="1"/>
    <x v="0"/>
    <x v="3"/>
    <d v="2025-08-05T00:00:00"/>
    <m/>
    <m/>
    <x v="1"/>
    <n v="98"/>
    <s v="Jay-R Lizardo"/>
    <m/>
  </r>
  <r>
    <x v="315"/>
    <x v="0"/>
    <x v="2"/>
    <s v="CLFF_7210$$$2123GIT098"/>
    <s v="L000013397"/>
    <s v="L000013397"/>
    <s v="LFF (MDG-F)"/>
    <s v="2123GIT098"/>
    <m/>
    <b v="1"/>
    <x v="0"/>
    <x v="3"/>
    <d v="2025-08-05T00:00:00"/>
    <m/>
    <m/>
    <x v="1"/>
    <n v="98"/>
    <s v="Jay-R Lizardo"/>
    <m/>
  </r>
  <r>
    <x v="315"/>
    <x v="0"/>
    <x v="2"/>
    <s v="CLFF_7210$$$2123GIT096"/>
    <s v="G000001396"/>
    <s v="G000001396"/>
    <s v="LFF (MDG-F)"/>
    <s v="2123GIT096"/>
    <m/>
    <b v="1"/>
    <x v="0"/>
    <x v="3"/>
    <d v="2025-08-05T00:00:00"/>
    <m/>
    <m/>
    <x v="1"/>
    <n v="98"/>
    <s v="Jay-R Lizardo"/>
    <m/>
  </r>
  <r>
    <x v="315"/>
    <x v="0"/>
    <x v="2"/>
    <s v="CLFF_7210$$$2123C00079"/>
    <s v="G000001391"/>
    <s v="G000001391"/>
    <s v="LFF (MDG-F)"/>
    <s v="2123C00079"/>
    <m/>
    <b v="1"/>
    <x v="0"/>
    <x v="3"/>
    <d v="2025-08-05T00:00:00"/>
    <m/>
    <m/>
    <x v="1"/>
    <n v="98"/>
    <s v="Jay-R Lizardo"/>
    <m/>
  </r>
  <r>
    <x v="315"/>
    <x v="0"/>
    <x v="2"/>
    <s v="CLFF_7210$$$2123GIT135"/>
    <s v="G000000253"/>
    <s v="G000000253"/>
    <s v="LFF (MDG-F)"/>
    <s v="2123GIT135"/>
    <m/>
    <b v="1"/>
    <x v="0"/>
    <x v="3"/>
    <d v="2025-08-05T00:00:00"/>
    <m/>
    <m/>
    <x v="1"/>
    <n v="98"/>
    <s v="Jay-R Lizardo"/>
    <m/>
  </r>
  <r>
    <x v="315"/>
    <x v="0"/>
    <x v="2"/>
    <s v="CLFF_7210$$$2123GIT085"/>
    <s v="G000001398"/>
    <s v="G000001398"/>
    <s v="LFF (MDG-F)"/>
    <s v="2123GIT085"/>
    <m/>
    <b v="1"/>
    <x v="0"/>
    <x v="3"/>
    <d v="2025-08-05T00:00:00"/>
    <m/>
    <m/>
    <x v="1"/>
    <n v="98"/>
    <s v="Jay-R Lizardo"/>
    <m/>
  </r>
  <r>
    <x v="315"/>
    <x v="0"/>
    <x v="2"/>
    <s v="CLFF_7210$$$2123GIT097"/>
    <s v="G000001398"/>
    <s v="G000001398"/>
    <s v="LFF (MDG-F)"/>
    <s v="2123GIT097"/>
    <m/>
    <b v="1"/>
    <x v="0"/>
    <x v="3"/>
    <d v="2025-08-05T00:00:00"/>
    <m/>
    <m/>
    <x v="1"/>
    <n v="98"/>
    <s v="Jay-R Lizardo"/>
    <m/>
  </r>
  <r>
    <x v="315"/>
    <x v="0"/>
    <x v="2"/>
    <s v="CLFF_7210$$$2123GIT025"/>
    <s v="G000001396"/>
    <s v="G000001396"/>
    <s v="LFF (MDG-F)"/>
    <s v="2123GIT025"/>
    <m/>
    <b v="1"/>
    <x v="0"/>
    <x v="3"/>
    <d v="2025-08-05T00:00:00"/>
    <m/>
    <m/>
    <x v="1"/>
    <n v="98"/>
    <s v="Jay-R Lizardo"/>
    <m/>
  </r>
  <r>
    <x v="315"/>
    <x v="0"/>
    <x v="2"/>
    <s v="CLFF_7210$$$2123GIT311"/>
    <s v="G000001398"/>
    <s v="G000001398"/>
    <s v="LFF (MDG-F)"/>
    <s v="2123GIT311"/>
    <m/>
    <b v="1"/>
    <x v="0"/>
    <x v="3"/>
    <d v="2025-08-05T00:00:00"/>
    <m/>
    <m/>
    <x v="1"/>
    <n v="98"/>
    <s v="Jay-R Lizardo"/>
    <m/>
  </r>
  <r>
    <x v="315"/>
    <x v="0"/>
    <x v="2"/>
    <s v="CLFF_7210$$$2123GIT312"/>
    <s v="G000001399"/>
    <s v="G000001399"/>
    <s v="LFF (MDG-F)"/>
    <s v="2123GIT312"/>
    <m/>
    <b v="1"/>
    <x v="0"/>
    <x v="3"/>
    <d v="2025-08-05T00:00:00"/>
    <m/>
    <m/>
    <x v="1"/>
    <n v="98"/>
    <s v="Jay-R Lizardo"/>
    <m/>
  </r>
  <r>
    <x v="315"/>
    <x v="0"/>
    <x v="2"/>
    <s v="CLFF_7210$$$2123GIT313"/>
    <s v="G000001399"/>
    <s v="G000001399"/>
    <s v="LFF (MDG-F)"/>
    <s v="2123GIT313"/>
    <m/>
    <b v="1"/>
    <x v="0"/>
    <x v="3"/>
    <d v="2025-08-05T00:00:00"/>
    <m/>
    <m/>
    <x v="1"/>
    <n v="98"/>
    <s v="Jay-R Lizardo"/>
    <m/>
  </r>
  <r>
    <x v="315"/>
    <x v="0"/>
    <x v="2"/>
    <s v="CNOW_AUS0$$$0000092051"/>
    <s v="G000000279"/>
    <s v="G000000279"/>
    <s v="Non-LFF"/>
    <s v=""/>
    <m/>
    <b v="1"/>
    <x v="0"/>
    <x v="3"/>
    <d v="2025-08-05T00:00:00"/>
    <m/>
    <m/>
    <x v="1"/>
    <n v="98"/>
    <s v="Jay-R Lizardo"/>
    <m/>
  </r>
  <r>
    <x v="315"/>
    <x v="0"/>
    <x v="2"/>
    <s v="CFLTFLE_22450000002721"/>
    <s v="G000000253"/>
    <s v="G000000253"/>
    <s v="Non-LFF"/>
    <s v=""/>
    <m/>
    <b v="1"/>
    <x v="0"/>
    <x v="3"/>
    <d v="2025-08-05T00:00:00"/>
    <m/>
    <m/>
    <x v="1"/>
    <n v="98"/>
    <s v="Jay-R Lizardo"/>
    <m/>
  </r>
  <r>
    <x v="315"/>
    <x v="0"/>
    <x v="2"/>
    <s v="CLFF_1000$$$DE10669638"/>
    <s v="G000001416"/>
    <s v="G000001416"/>
    <s v="LFF (MDG-F)"/>
    <s v="DE10669638"/>
    <m/>
    <b v="1"/>
    <x v="0"/>
    <x v="3"/>
    <d v="2025-08-05T00:00:00"/>
    <m/>
    <m/>
    <x v="1"/>
    <n v="98"/>
    <s v="Jay-R Lizardo"/>
    <m/>
  </r>
  <r>
    <x v="315"/>
    <x v="0"/>
    <x v="2"/>
    <s v="CLFF_1000$$$DE10YIT014"/>
    <s v="G000001392"/>
    <s v="G000001392"/>
    <s v="LFF (MDG-F)"/>
    <s v="DE10YIT014"/>
    <m/>
    <b v="1"/>
    <x v="0"/>
    <x v="3"/>
    <d v="2025-08-05T00:00:00"/>
    <m/>
    <m/>
    <x v="1"/>
    <n v="98"/>
    <s v="Jay-R Lizardo"/>
    <m/>
  </r>
  <r>
    <x v="315"/>
    <x v="0"/>
    <x v="2"/>
    <s v="CLFF_1000$$$DE10GMS070"/>
    <s v="G000001416"/>
    <s v="G000001416"/>
    <s v="LFF (MDG-F)"/>
    <s v="DE10GMS070"/>
    <m/>
    <b v="1"/>
    <x v="0"/>
    <x v="3"/>
    <d v="2025-08-05T00:00:00"/>
    <m/>
    <m/>
    <x v="1"/>
    <n v="98"/>
    <s v="Jay-R Lizardo"/>
    <m/>
  </r>
  <r>
    <x v="315"/>
    <x v="0"/>
    <x v="2"/>
    <s v="CTEMPNA_1000PH80GFO003"/>
    <s v="G000001416"/>
    <s v="G000001416"/>
    <s v="Non-LFF"/>
    <s v=""/>
    <m/>
    <b v="1"/>
    <x v="0"/>
    <x v="3"/>
    <d v="2025-08-05T00:00:00"/>
    <m/>
    <m/>
    <x v="1"/>
    <n v="98"/>
    <s v="Jay-R Lizardo"/>
    <m/>
  </r>
  <r>
    <x v="315"/>
    <x v="0"/>
    <x v="2"/>
    <s v="CTEMPNA_1000PH80GFO026"/>
    <s v="G000001416"/>
    <s v="G000001416"/>
    <s v="Non-LFF"/>
    <s v=""/>
    <m/>
    <b v="1"/>
    <x v="0"/>
    <x v="3"/>
    <d v="2025-08-05T00:00:00"/>
    <m/>
    <m/>
    <x v="1"/>
    <n v="98"/>
    <s v="Jay-R Lizardo"/>
    <m/>
  </r>
  <r>
    <x v="315"/>
    <x v="0"/>
    <x v="2"/>
    <s v="CTEMPEU_1000PL80GFO016"/>
    <s v="G000001416"/>
    <s v="G000001416"/>
    <s v="Non-LFF"/>
    <s v=""/>
    <m/>
    <b v="1"/>
    <x v="0"/>
    <x v="3"/>
    <d v="2025-08-05T00:00:00"/>
    <m/>
    <m/>
    <x v="1"/>
    <n v="98"/>
    <s v="Jay-R Lizardo"/>
    <m/>
  </r>
  <r>
    <x v="315"/>
    <x v="0"/>
    <x v="2"/>
    <s v="CLFF_7210$$$2123GMS050"/>
    <s v="G000001416"/>
    <s v="G000001416"/>
    <s v="LFF (MDG-F)"/>
    <s v="2123GMS050"/>
    <m/>
    <b v="1"/>
    <x v="0"/>
    <x v="3"/>
    <d v="2025-08-05T00:00:00"/>
    <m/>
    <m/>
    <x v="1"/>
    <n v="98"/>
    <s v="Jay-R Lizardo"/>
    <m/>
  </r>
  <r>
    <x v="315"/>
    <x v="0"/>
    <x v="2"/>
    <s v="CLFF_7210$$$2123GMS080"/>
    <s v="G000001416"/>
    <s v="G000001416"/>
    <s v="LFF (MDG-F)"/>
    <s v="2123GMS080"/>
    <m/>
    <b v="1"/>
    <x v="0"/>
    <x v="3"/>
    <d v="2025-08-05T00:00:00"/>
    <m/>
    <m/>
    <x v="1"/>
    <n v="98"/>
    <s v="Jay-R Lizardo"/>
    <m/>
  </r>
  <r>
    <x v="316"/>
    <x v="0"/>
    <x v="2"/>
    <s v="PLEAN_X310201CH6802051 ESHRE global F55 costs ISS"/>
    <s v="H000000164"/>
    <s v="H000000164"/>
    <s v="Non-LFF"/>
    <s v=""/>
    <m/>
    <b v="1"/>
    <x v="1"/>
    <x v="3"/>
    <d v="2025-08-05T00:00:00"/>
    <m/>
    <m/>
    <x v="1"/>
    <n v="98"/>
    <s v="Rayneil Reas"/>
    <m/>
  </r>
  <r>
    <x v="316"/>
    <x v="0"/>
    <x v="2"/>
    <s v="PLEAN_X310201CH6802059 ESHRE global FD0 costs ISS"/>
    <s v="H000004034"/>
    <s v="H000004034"/>
    <s v="Non-LFF"/>
    <s v=""/>
    <m/>
    <b v="1"/>
    <x v="1"/>
    <x v="3"/>
    <d v="2025-08-05T00:00:00"/>
    <m/>
    <m/>
    <x v="1"/>
    <n v="98"/>
    <s v="Rayneil Reas"/>
    <m/>
  </r>
  <r>
    <x v="316"/>
    <x v="0"/>
    <x v="2"/>
    <s v="PLEAN_X310201CH6802060 ESHRE global FD1 costs ISS"/>
    <s v="H000000948"/>
    <s v="H000000948"/>
    <s v="Non-LFF"/>
    <s v=""/>
    <m/>
    <b v="1"/>
    <x v="1"/>
    <x v="3"/>
    <d v="2025-08-05T00:00:00"/>
    <m/>
    <m/>
    <x v="1"/>
    <n v="98"/>
    <s v="Rayneil Reas"/>
    <m/>
  </r>
  <r>
    <x v="316"/>
    <x v="0"/>
    <x v="2"/>
    <s v="PLEAN_X310201DE6513299 FD COM PROM GBF"/>
    <s v="H000000176"/>
    <s v="H000000176"/>
    <s v="Non-LFF"/>
    <s v=""/>
    <m/>
    <b v="1"/>
    <x v="1"/>
    <x v="3"/>
    <d v="2025-08-05T00:00:00"/>
    <m/>
    <m/>
    <x v="1"/>
    <n v="98"/>
    <s v="Rayneil Reas"/>
    <m/>
  </r>
  <r>
    <x v="316"/>
    <x v="0"/>
    <x v="2"/>
    <s v="ITEMPLA_001520001137 Conceivable Project Fertilidad"/>
    <s v="H000000176"/>
    <s v="H000000176"/>
    <s v="Non-LFF"/>
    <s v=""/>
    <m/>
    <b v="1"/>
    <x v="1"/>
    <x v="3"/>
    <d v="2025-08-05T00:00:00"/>
    <m/>
    <m/>
    <x v="1"/>
    <n v="98"/>
    <s v="Rayneil Reas"/>
    <m/>
  </r>
  <r>
    <x v="316"/>
    <x v="0"/>
    <x v="2"/>
    <s v="PLEAN_X310511CH6802033 ECTRIMS Global Costs ISS F55"/>
    <s v="H000000164"/>
    <s v="H000000164"/>
    <s v="Non-LFF"/>
    <s v=""/>
    <m/>
    <b v="1"/>
    <x v="1"/>
    <x v="3"/>
    <d v="2025-08-05T00:00:00"/>
    <m/>
    <m/>
    <x v="1"/>
    <n v="98"/>
    <s v="Rayneil Reas"/>
    <m/>
  </r>
  <r>
    <x v="316"/>
    <x v="0"/>
    <x v="2"/>
    <s v="PLEAN_X310511CH6802045 ECTRIMS Global Costs ISS FD0"/>
    <s v="H000004034"/>
    <s v="H000004034"/>
    <s v="Non-LFF"/>
    <s v=""/>
    <m/>
    <b v="1"/>
    <x v="1"/>
    <x v="3"/>
    <d v="2025-08-05T00:00:00"/>
    <m/>
    <m/>
    <x v="1"/>
    <n v="98"/>
    <s v="Rayneil Reas"/>
    <m/>
  </r>
  <r>
    <x v="316"/>
    <x v="0"/>
    <x v="2"/>
    <s v="PLEAN_X310284DE5015620 Pimicotinib Marketing"/>
    <s v="H000000162"/>
    <s v="H000000162"/>
    <s v="Non-LFF"/>
    <s v=""/>
    <m/>
    <b v="1"/>
    <x v="1"/>
    <x v="3"/>
    <d v="2025-08-05T00:00:00"/>
    <m/>
    <m/>
    <x v="1"/>
    <n v="98"/>
    <s v="Rayneil Reas"/>
    <m/>
  </r>
  <r>
    <x v="316"/>
    <x v="0"/>
    <x v="2"/>
    <s v="PLEAN_X310284DE5015630 Pimicotinib CI"/>
    <s v="H000000162"/>
    <s v="H000000162"/>
    <s v="Non-LFF"/>
    <s v=""/>
    <m/>
    <b v="1"/>
    <x v="1"/>
    <x v="3"/>
    <d v="2025-08-05T00:00:00"/>
    <m/>
    <m/>
    <x v="1"/>
    <n v="98"/>
    <s v="Rayneil Reas"/>
    <m/>
  </r>
  <r>
    <x v="316"/>
    <x v="0"/>
    <x v="2"/>
    <s v="IEMERAL_000009101181 7001IC1881SI3110250000"/>
    <s v="H000000161"/>
    <s v="H000000161"/>
    <s v="Non-LFF"/>
    <s v=""/>
    <m/>
    <b v="1"/>
    <x v="1"/>
    <x v="3"/>
    <d v="2025-08-05T00:00:00"/>
    <m/>
    <m/>
    <x v="1"/>
    <n v="98"/>
    <s v="Rayneil Reas"/>
    <m/>
  </r>
  <r>
    <x v="316"/>
    <x v="0"/>
    <x v="2"/>
    <s v="CEMERAL_70006403A4SS99 Marketing FE - GBF"/>
    <s v="H000000176"/>
    <s v="H000000176"/>
    <s v="Non-LFF"/>
    <s v=""/>
    <m/>
    <b v="1"/>
    <x v="1"/>
    <x v="3"/>
    <d v="2025-08-05T00:00:00"/>
    <m/>
    <m/>
    <x v="1"/>
    <n v="98"/>
    <s v="Rayneil Reas"/>
    <m/>
  </r>
  <r>
    <x v="316"/>
    <x v="0"/>
    <x v="2"/>
    <s v="CLFF_1000$$$NL50C06884 VP Strategic Marketing Fertility"/>
    <s v="H000000176"/>
    <s v="H000000176"/>
    <s v="LFF (MDG-F)"/>
    <s v="NL50C06884"/>
    <m/>
    <b v="1"/>
    <x v="1"/>
    <x v="3"/>
    <d v="2025-08-05T00:00:00"/>
    <m/>
    <m/>
    <x v="1"/>
    <n v="98"/>
    <s v="Rayneil Reas"/>
    <m/>
  </r>
  <r>
    <x v="316"/>
    <x v="0"/>
    <x v="2"/>
    <s v="PLEAN_X310281CN5013010 PI COM C&amp;E Pimi info &amp; IQVIA proposal (F"/>
    <s v="H000001056"/>
    <s v="H000001056"/>
    <s v="Non-LFF"/>
    <s v=""/>
    <m/>
    <b v="1"/>
    <x v="1"/>
    <x v="3"/>
    <d v="2025-08-05T00:00:00"/>
    <m/>
    <m/>
    <x v="1"/>
    <n v="98"/>
    <s v="Rayneil Reas"/>
    <m/>
  </r>
  <r>
    <x v="317"/>
    <x v="0"/>
    <x v="2"/>
    <s v="CPHOENX_01019182614800"/>
    <s v="P000000199"/>
    <s v="P000000199"/>
    <s v="Non-LFF"/>
    <s v=""/>
    <m/>
    <b v="1"/>
    <x v="3"/>
    <x v="3"/>
    <d v="2025-08-08T00:00:00"/>
    <m/>
    <m/>
    <x v="1"/>
    <n v="95"/>
    <s v="Tetyana Kimmel"/>
    <m/>
  </r>
  <r>
    <x v="317"/>
    <x v="0"/>
    <x v="2"/>
    <s v="CPHOENX_01019182614810"/>
    <s v="P000000199"/>
    <s v="P000000199"/>
    <s v="Non-LFF"/>
    <s v=""/>
    <m/>
    <b v="1"/>
    <x v="3"/>
    <x v="3"/>
    <d v="2025-08-08T00:00:00"/>
    <m/>
    <m/>
    <x v="1"/>
    <n v="95"/>
    <s v="Tetyana Kimmel"/>
    <m/>
  </r>
  <r>
    <x v="318"/>
    <x v="0"/>
    <x v="2"/>
    <s v="CNOW_7210$$$0000040010 SHB RD Analytical Development"/>
    <s v="L000013877"/>
    <s v="L000013877"/>
    <s v="Non-LFF"/>
    <s v=""/>
    <m/>
    <b v="1"/>
    <x v="2"/>
    <x v="3"/>
    <d v="2025-08-08T00:00:00"/>
    <m/>
    <m/>
    <x v="1"/>
    <n v="95"/>
    <s v="Ruby Grace Garcia"/>
    <m/>
  </r>
  <r>
    <x v="318"/>
    <x v="0"/>
    <x v="2"/>
    <s v="CNOW_7210$$$0000040207 MWK PRODUCTION PROC DEVELOPMENT (3110)"/>
    <s v="L000013877"/>
    <s v="L000013877"/>
    <s v="Non-LFF"/>
    <s v=""/>
    <m/>
    <b v="1"/>
    <x v="2"/>
    <x v="3"/>
    <d v="2025-08-08T00:00:00"/>
    <m/>
    <m/>
    <x v="1"/>
    <n v="95"/>
    <s v="Ruby Grace Garcia"/>
    <m/>
  </r>
  <r>
    <x v="318"/>
    <x v="0"/>
    <x v="2"/>
    <s v="CNOW_7210$$$0000040215 Mirror 40279 R&amp;D allocations (6113)"/>
    <s v="L000013877"/>
    <s v="L000013877"/>
    <s v="Non-LFF"/>
    <s v=""/>
    <m/>
    <b v="1"/>
    <x v="2"/>
    <x v="3"/>
    <d v="2025-08-08T00:00:00"/>
    <m/>
    <m/>
    <x v="1"/>
    <n v="95"/>
    <s v="Ruby Grace Garcia"/>
    <m/>
  </r>
  <r>
    <x v="318"/>
    <x v="0"/>
    <x v="2"/>
    <s v="CNOW_7210$$$0000040216 Mirror 40373 R&amp;D qualific alloc (6113)"/>
    <s v="L000013877"/>
    <s v="L000013877"/>
    <s v="Non-LFF"/>
    <s v=""/>
    <m/>
    <b v="1"/>
    <x v="2"/>
    <x v="3"/>
    <d v="2025-08-08T00:00:00"/>
    <m/>
    <m/>
    <x v="1"/>
    <n v="95"/>
    <s v="Ruby Grace Garcia"/>
    <m/>
  </r>
  <r>
    <x v="318"/>
    <x v="0"/>
    <x v="2"/>
    <s v="CNOW_7210$$$0000040217 Mirror 40374 hazard eval alloc (6113)"/>
    <s v="L000013877"/>
    <s v="L000013877"/>
    <s v="Non-LFF"/>
    <s v=""/>
    <m/>
    <b v="1"/>
    <x v="2"/>
    <x v="3"/>
    <d v="2025-08-08T00:00:00"/>
    <m/>
    <m/>
    <x v="1"/>
    <n v="95"/>
    <s v="Ruby Grace Garcia"/>
    <m/>
  </r>
  <r>
    <x v="318"/>
    <x v="0"/>
    <x v="2"/>
    <s v="CNOW_7210$$$0000040219 Mirror 40010 R&amp;D AD allocations (6113)"/>
    <s v="L000013877"/>
    <s v="L000013877"/>
    <s v="Non-LFF"/>
    <s v=""/>
    <m/>
    <b v="1"/>
    <x v="2"/>
    <x v="3"/>
    <d v="2025-08-08T00:00:00"/>
    <m/>
    <m/>
    <x v="1"/>
    <n v="95"/>
    <s v="Ruby Grace Garcia"/>
    <m/>
  </r>
  <r>
    <x v="318"/>
    <x v="0"/>
    <x v="2"/>
    <s v="CNOW_7210$$$0000040220 Mirror 40375 R&amp;D new product alloc(6113)"/>
    <s v="L000013877"/>
    <s v="L000013877"/>
    <s v="Non-LFF"/>
    <s v=""/>
    <m/>
    <b v="1"/>
    <x v="2"/>
    <x v="3"/>
    <d v="2025-08-08T00:00:00"/>
    <m/>
    <m/>
    <x v="1"/>
    <n v="95"/>
    <s v="Ruby Grace Garcia"/>
    <m/>
  </r>
  <r>
    <x v="318"/>
    <x v="0"/>
    <x v="2"/>
    <s v="CNOW_7210$$$0000040272 MWK RS R&amp;D"/>
    <s v="L000013877"/>
    <s v="L000013877"/>
    <s v="Non-LFF"/>
    <s v=""/>
    <m/>
    <b v="1"/>
    <x v="2"/>
    <x v="3"/>
    <d v="2025-08-08T00:00:00"/>
    <m/>
    <m/>
    <x v="1"/>
    <n v="95"/>
    <s v="Ruby Grace Garcia"/>
    <m/>
  </r>
  <r>
    <x v="318"/>
    <x v="0"/>
    <x v="2"/>
    <s v="CNOW_7210$$$0000040279 MWK PRODUCTION PROCESS DEVELOPMENT"/>
    <s v="L000013877"/>
    <s v="L000013877"/>
    <s v="Non-LFF"/>
    <s v=""/>
    <m/>
    <b v="1"/>
    <x v="2"/>
    <x v="3"/>
    <d v="2025-08-08T00:00:00"/>
    <m/>
    <m/>
    <x v="1"/>
    <n v="95"/>
    <s v="Ruby Grace Garcia"/>
    <m/>
  </r>
  <r>
    <x v="318"/>
    <x v="0"/>
    <x v="2"/>
    <s v="CNOW_7210$$$0000040282 MWK SAFC R&amp;D"/>
    <s v="L000013877"/>
    <s v="L000013877"/>
    <s v="Non-LFF"/>
    <s v=""/>
    <m/>
    <b v="1"/>
    <x v="2"/>
    <x v="3"/>
    <d v="2025-08-08T00:00:00"/>
    <m/>
    <m/>
    <x v="1"/>
    <n v="95"/>
    <s v="Ruby Grace Garcia"/>
    <m/>
  </r>
  <r>
    <x v="318"/>
    <x v="0"/>
    <x v="2"/>
    <s v="CNOW_7210$$$0000040373 QUALIFICATION - SHB"/>
    <s v="L000013877"/>
    <s v="L000013877"/>
    <s v="Non-LFF"/>
    <s v=""/>
    <m/>
    <b v="1"/>
    <x v="2"/>
    <x v="3"/>
    <d v="2025-08-08T00:00:00"/>
    <m/>
    <m/>
    <x v="1"/>
    <n v="95"/>
    <s v="Ruby Grace Garcia"/>
    <m/>
  </r>
  <r>
    <x v="318"/>
    <x v="0"/>
    <x v="2"/>
    <s v="CNOW_7210$$$0000040374 HAZARD EVALUATION - SHB"/>
    <s v="L000013877"/>
    <s v="L000013877"/>
    <s v="Non-LFF"/>
    <s v=""/>
    <m/>
    <b v="1"/>
    <x v="2"/>
    <x v="3"/>
    <d v="2025-08-08T00:00:00"/>
    <m/>
    <m/>
    <x v="1"/>
    <n v="95"/>
    <s v="Ruby Grace Garcia"/>
    <m/>
  </r>
  <r>
    <x v="318"/>
    <x v="0"/>
    <x v="2"/>
    <s v="CNOW_7210$$$0000040375 MWK SAFC NEW PRODUCT RESEARCH SHEBOYGAN"/>
    <s v="L000013877"/>
    <s v="L000013877"/>
    <s v="Non-LFF"/>
    <s v=""/>
    <m/>
    <b v="1"/>
    <x v="2"/>
    <x v="3"/>
    <d v="2025-08-08T00:00:00"/>
    <m/>
    <m/>
    <x v="1"/>
    <n v="95"/>
    <s v="Ruby Grace Garcia"/>
    <m/>
  </r>
  <r>
    <x v="318"/>
    <x v="0"/>
    <x v="2"/>
    <s v="CNOW_7210$$$0000040376 MWK SAFC PHARMA PROCESS DEVELOPMENT"/>
    <s v="L000013877"/>
    <s v="L000013877"/>
    <s v="Non-LFF"/>
    <s v=""/>
    <m/>
    <b v="1"/>
    <x v="2"/>
    <x v="3"/>
    <d v="2025-08-08T00:00:00"/>
    <m/>
    <m/>
    <x v="1"/>
    <n v="95"/>
    <s v="Ruby Grace Garcia"/>
    <m/>
  </r>
  <r>
    <x v="318"/>
    <x v="0"/>
    <x v="2"/>
    <s v="CNOW_7210$$$0000040445 Sheboygan Process Engineering"/>
    <s v="L000013877"/>
    <s v="L000013877"/>
    <s v="Non-LFF"/>
    <s v=""/>
    <m/>
    <b v="1"/>
    <x v="2"/>
    <x v="3"/>
    <d v="2025-08-08T00:00:00"/>
    <m/>
    <m/>
    <x v="1"/>
    <n v="95"/>
    <s v="Ruby Grace Garcia"/>
    <m/>
  </r>
  <r>
    <x v="318"/>
    <x v="0"/>
    <x v="2"/>
    <s v="CNOW_7210$$$0000040214 Mirror 40277 R&amp;D mat science alloc(6113)"/>
    <s v="L000013877"/>
    <s v="L000013877"/>
    <s v="Non-LFF"/>
    <s v=""/>
    <m/>
    <b v="1"/>
    <x v="2"/>
    <x v="3"/>
    <d v="2025-08-08T00:00:00"/>
    <m/>
    <m/>
    <x v="1"/>
    <n v="95"/>
    <s v="Ruby Grace Garcia"/>
    <m/>
  </r>
  <r>
    <x v="318"/>
    <x v="0"/>
    <x v="2"/>
    <s v="CNOW_7210$$$0000040223 Mirror 20513 DxRM R&amp;D Chemistry (6210)"/>
    <s v="L000013877"/>
    <s v="L000013877"/>
    <s v="Non-LFF"/>
    <s v=""/>
    <m/>
    <b v="1"/>
    <x v="2"/>
    <x v="3"/>
    <d v="2025-08-08T00:00:00"/>
    <m/>
    <m/>
    <x v="1"/>
    <n v="95"/>
    <s v="Ruby Grace Garcia"/>
    <m/>
  </r>
  <r>
    <x v="318"/>
    <x v="0"/>
    <x v="2"/>
    <s v="CNOW_7210$$$0000040224 Mirror 40503 MKE Mat. Scien R&amp;D (6113)"/>
    <s v="L000013877"/>
    <s v="L000013877"/>
    <s v="Non-LFF"/>
    <s v=""/>
    <m/>
    <b v="1"/>
    <x v="2"/>
    <x v="3"/>
    <d v="2025-08-08T00:00:00"/>
    <m/>
    <m/>
    <x v="1"/>
    <n v="95"/>
    <s v="Ruby Grace Garcia"/>
    <m/>
  </r>
  <r>
    <x v="318"/>
    <x v="0"/>
    <x v="2"/>
    <s v="CNOW_7210$$$0000040225 Mirror 40276 MKE Tech R&amp;DnP alloc (6113)"/>
    <s v="L000013877"/>
    <s v="L000013877"/>
    <s v="Non-LFF"/>
    <s v=""/>
    <m/>
    <b v="1"/>
    <x v="2"/>
    <x v="3"/>
    <d v="2025-08-08T00:00:00"/>
    <m/>
    <m/>
    <x v="1"/>
    <n v="95"/>
    <s v="Ruby Grace Garcia"/>
    <m/>
  </r>
  <r>
    <x v="319"/>
    <x v="0"/>
    <x v="2"/>
    <s v="CLFF_1000$$$DE10Z03112"/>
    <s v="P000001206"/>
    <s v="P000001206"/>
    <s v="LFF (MDG-F)"/>
    <s v="DE10Z03112"/>
    <m/>
    <b v="1"/>
    <x v="0"/>
    <x v="3"/>
    <d v="2025-08-08T00:00:00"/>
    <m/>
    <m/>
    <x v="1"/>
    <n v="95"/>
    <s v="Jay-R Lizardo"/>
    <m/>
  </r>
  <r>
    <x v="320"/>
    <x v="0"/>
    <x v="2"/>
    <s v="IEMERAL_000009101255 7001IC1248LO3110430000"/>
    <s v="L000008448"/>
    <s v="L000008448"/>
    <s v="Non-LFF"/>
    <s v=""/>
    <m/>
    <b v="1"/>
    <x v="2"/>
    <x v="3"/>
    <d v="2025-08-08T00:00:00"/>
    <m/>
    <m/>
    <x v="1"/>
    <n v="95"/>
    <s v="Ruby Grace Garcia"/>
    <m/>
  </r>
  <r>
    <x v="320"/>
    <x v="0"/>
    <x v="2"/>
    <s v="IEMERAL_000009101262 7001IC2142CS3110500000"/>
    <s v="L000012313"/>
    <s v="L000012313"/>
    <s v="Non-LFF"/>
    <s v=""/>
    <m/>
    <b v="1"/>
    <x v="2"/>
    <x v="3"/>
    <d v="2025-08-08T00:00:00"/>
    <m/>
    <m/>
    <x v="1"/>
    <n v="95"/>
    <s v="Ruby Grace Garcia"/>
    <m/>
  </r>
  <r>
    <x v="321"/>
    <x v="0"/>
    <x v="2"/>
    <s v="CLFF_7210$$$2068TAUA01"/>
    <s v="L000013875"/>
    <s v="L000013875"/>
    <s v="LFF (MDG-F)"/>
    <s v="2068TAUA01"/>
    <m/>
    <b v="1"/>
    <x v="2"/>
    <x v="3"/>
    <d v="2025-08-08T00:00:00"/>
    <m/>
    <m/>
    <x v="1"/>
    <n v="95"/>
    <s v="Ruby Grace Garcia"/>
    <m/>
  </r>
  <r>
    <x v="322"/>
    <x v="0"/>
    <x v="2"/>
    <s v="CLFF_7210$$$2068TAUA00"/>
    <s v="L000013875"/>
    <s v="L000013875"/>
    <s v="LFF (MDG-F)"/>
    <s v="2068TAUA00"/>
    <m/>
    <b v="1"/>
    <x v="2"/>
    <x v="3"/>
    <d v="2025-08-08T00:00:00"/>
    <m/>
    <m/>
    <x v="1"/>
    <n v="95"/>
    <s v="Ruby Grace Garcia"/>
    <m/>
  </r>
  <r>
    <x v="322"/>
    <x v="0"/>
    <x v="2"/>
    <s v="CLFF_7210$$$2068TAUA99"/>
    <s v="L000013875"/>
    <s v="L000013875"/>
    <s v="LFF (MDG-F)"/>
    <s v="2068TAUA99"/>
    <m/>
    <b v="1"/>
    <x v="2"/>
    <x v="3"/>
    <d v="2025-08-08T00:00:00"/>
    <m/>
    <m/>
    <x v="1"/>
    <n v="95"/>
    <s v="Ruby Grace Garcia"/>
    <m/>
  </r>
  <r>
    <x v="322"/>
    <x v="0"/>
    <x v="2"/>
    <s v="CLFF_7210$$$2068TBUZ21"/>
    <s v="L000013875"/>
    <s v="L000013875"/>
    <s v="LFF (MDG-F)"/>
    <s v="2068TBUZ21"/>
    <m/>
    <b v="1"/>
    <x v="2"/>
    <x v="3"/>
    <d v="2025-08-08T00:00:00"/>
    <m/>
    <m/>
    <x v="1"/>
    <n v="95"/>
    <s v="Ruby Grace Garcia"/>
    <m/>
  </r>
  <r>
    <x v="322"/>
    <x v="0"/>
    <x v="2"/>
    <s v="CLFF_7210$$$2068TFUZ61"/>
    <s v="L000013875"/>
    <s v="L000013875"/>
    <s v="LFF (MDG-F)"/>
    <s v="2068TFUZ61"/>
    <m/>
    <b v="1"/>
    <x v="2"/>
    <x v="3"/>
    <d v="2025-08-08T00:00:00"/>
    <m/>
    <m/>
    <x v="1"/>
    <n v="95"/>
    <s v="Ruby Grace Garcia"/>
    <m/>
  </r>
  <r>
    <x v="322"/>
    <x v="0"/>
    <x v="2"/>
    <s v="CLFF_7210$$$2068TKUZ70"/>
    <s v="L000013875"/>
    <s v="L000013875"/>
    <s v="LFF (MDG-F)"/>
    <s v="2068TKUZ70"/>
    <m/>
    <b v="1"/>
    <x v="2"/>
    <x v="3"/>
    <d v="2025-08-08T00:00:00"/>
    <m/>
    <m/>
    <x v="1"/>
    <n v="95"/>
    <s v="Ruby Grace Garcia"/>
    <m/>
  </r>
  <r>
    <x v="322"/>
    <x v="0"/>
    <x v="2"/>
    <s v="CLFF_7210$$$2068TQUZ90"/>
    <s v="L000013875"/>
    <s v="L000013875"/>
    <s v="LFF (MDG-F)"/>
    <s v="2068TQUZ90"/>
    <m/>
    <b v="1"/>
    <x v="2"/>
    <x v="3"/>
    <d v="2025-08-08T00:00:00"/>
    <m/>
    <m/>
    <x v="1"/>
    <n v="95"/>
    <s v="Ruby Grace Garcia"/>
    <m/>
  </r>
  <r>
    <x v="322"/>
    <x v="0"/>
    <x v="2"/>
    <s v="CLFF_7210$$$2148TFCZ62"/>
    <s v="L000013876"/>
    <s v="L000013876"/>
    <s v="LFF (MDG-F)"/>
    <s v="2148TFCZ62"/>
    <m/>
    <b v="1"/>
    <x v="2"/>
    <x v="3"/>
    <d v="2025-08-08T00:00:00"/>
    <m/>
    <m/>
    <x v="1"/>
    <n v="95"/>
    <s v="Ruby Grace Garcia"/>
    <m/>
  </r>
  <r>
    <x v="322"/>
    <x v="0"/>
    <x v="2"/>
    <s v="CLFF_7210$$$2148TFSZ62"/>
    <s v="L000013876"/>
    <s v="L000013876"/>
    <s v="LFF (MDG-F)"/>
    <s v="2148TFSZ62"/>
    <m/>
    <b v="1"/>
    <x v="2"/>
    <x v="3"/>
    <d v="2025-08-08T00:00:00"/>
    <m/>
    <m/>
    <x v="1"/>
    <n v="95"/>
    <s v="Ruby Grace Garcia"/>
    <m/>
  </r>
  <r>
    <x v="323"/>
    <x v="0"/>
    <x v="2"/>
    <s v="CTEMPNA_1000US30130501"/>
    <s v="H000000830"/>
    <s v="H000000830"/>
    <s v="Non-LFF"/>
    <s v=""/>
    <m/>
    <b v="1"/>
    <x v="1"/>
    <x v="3"/>
    <d v="2025-08-08T00:00:00"/>
    <m/>
    <m/>
    <x v="1"/>
    <n v="95"/>
    <s v="Erjo Miguel Tagle"/>
    <m/>
  </r>
  <r>
    <x v="323"/>
    <x v="0"/>
    <x v="2"/>
    <s v="CTEMPNA_1000US30132020"/>
    <s v="H000000830"/>
    <s v="H000000830"/>
    <s v="Non-LFF"/>
    <s v=""/>
    <m/>
    <b v="1"/>
    <x v="1"/>
    <x v="3"/>
    <d v="2025-08-08T00:00:00"/>
    <m/>
    <m/>
    <x v="1"/>
    <n v="95"/>
    <s v="Erjo Miguel Tagle"/>
    <m/>
  </r>
  <r>
    <x v="323"/>
    <x v="0"/>
    <x v="2"/>
    <s v="CTEMPNA_1000US30133800"/>
    <s v="H000000830"/>
    <s v="H000000830"/>
    <s v="Non-LFF"/>
    <s v=""/>
    <m/>
    <b v="1"/>
    <x v="1"/>
    <x v="3"/>
    <d v="2025-08-08T00:00:00"/>
    <m/>
    <m/>
    <x v="1"/>
    <n v="95"/>
    <s v="Erjo Miguel Tagle"/>
    <m/>
  </r>
  <r>
    <x v="323"/>
    <x v="0"/>
    <x v="2"/>
    <s v="CTEMPNA_1000US30134000"/>
    <s v="H000000830"/>
    <s v="H000000830"/>
    <s v="Non-LFF"/>
    <s v=""/>
    <m/>
    <b v="1"/>
    <x v="1"/>
    <x v="3"/>
    <d v="2025-08-08T00:00:00"/>
    <m/>
    <m/>
    <x v="1"/>
    <n v="95"/>
    <s v="Erjo Miguel Tagle"/>
    <m/>
  </r>
  <r>
    <x v="323"/>
    <x v="0"/>
    <x v="2"/>
    <s v="CTEMPNA_1000US30134050"/>
    <s v="H000000830"/>
    <s v="H000000830"/>
    <s v="Non-LFF"/>
    <s v=""/>
    <m/>
    <b v="1"/>
    <x v="1"/>
    <x v="3"/>
    <d v="2025-08-08T00:00:00"/>
    <m/>
    <m/>
    <x v="1"/>
    <n v="95"/>
    <s v="Erjo Miguel Tagle"/>
    <m/>
  </r>
  <r>
    <x v="323"/>
    <x v="0"/>
    <x v="2"/>
    <s v="CTEMPNA_1000US30134700"/>
    <s v="H000000830"/>
    <s v="H000000830"/>
    <s v="Non-LFF"/>
    <s v=""/>
    <m/>
    <b v="1"/>
    <x v="1"/>
    <x v="3"/>
    <d v="2025-08-08T00:00:00"/>
    <m/>
    <m/>
    <x v="1"/>
    <n v="95"/>
    <s v="Erjo Miguel Tagle"/>
    <m/>
  </r>
  <r>
    <x v="323"/>
    <x v="0"/>
    <x v="2"/>
    <s v="CTEMPNA_1000US30137050"/>
    <s v="H000000830"/>
    <s v="H000000830"/>
    <s v="Non-LFF"/>
    <s v=""/>
    <m/>
    <b v="1"/>
    <x v="1"/>
    <x v="3"/>
    <d v="2025-08-08T00:00:00"/>
    <m/>
    <m/>
    <x v="1"/>
    <n v="95"/>
    <s v="Erjo Miguel Tagle"/>
    <m/>
  </r>
  <r>
    <x v="323"/>
    <x v="0"/>
    <x v="2"/>
    <s v="CTEMPNA_1000US30137101"/>
    <s v="H000000830"/>
    <s v="H000000830"/>
    <s v="Non-LFF"/>
    <s v=""/>
    <m/>
    <b v="1"/>
    <x v="1"/>
    <x v="3"/>
    <d v="2025-08-08T00:00:00"/>
    <m/>
    <m/>
    <x v="1"/>
    <n v="95"/>
    <s v="Erjo Miguel Tagle"/>
    <m/>
  </r>
  <r>
    <x v="323"/>
    <x v="0"/>
    <x v="2"/>
    <s v="CTEMPNA_1000US30139601"/>
    <s v="H000000830"/>
    <s v="H000000830"/>
    <s v="Non-LFF"/>
    <s v=""/>
    <m/>
    <b v="1"/>
    <x v="1"/>
    <x v="3"/>
    <d v="2025-08-08T00:00:00"/>
    <m/>
    <m/>
    <x v="1"/>
    <n v="95"/>
    <s v="Erjo Miguel Tagle"/>
    <m/>
  </r>
  <r>
    <x v="323"/>
    <x v="0"/>
    <x v="2"/>
    <s v="CTEMPNA_1000US30139602"/>
    <s v="H000000830"/>
    <s v="H000000830"/>
    <s v="Non-LFF"/>
    <s v=""/>
    <m/>
    <b v="1"/>
    <x v="1"/>
    <x v="3"/>
    <d v="2025-08-08T00:00:00"/>
    <m/>
    <m/>
    <x v="1"/>
    <n v="95"/>
    <s v="Erjo Miguel Tagle"/>
    <m/>
  </r>
  <r>
    <x v="324"/>
    <x v="0"/>
    <x v="2"/>
    <s v="CTEMPEU_1000CH70T1SX01"/>
    <s v="L000013337"/>
    <s v="L000013337"/>
    <s v="Non-LFF"/>
    <s v=""/>
    <m/>
    <b v="1"/>
    <x v="1"/>
    <x v="3"/>
    <d v="2025-08-11T00:00:00"/>
    <m/>
    <m/>
    <x v="1"/>
    <n v="94"/>
    <s v="Henry Ifurung Jr."/>
    <m/>
  </r>
  <r>
    <x v="325"/>
    <x v="0"/>
    <x v="2"/>
    <s v="CFLTFLE_22450000002746"/>
    <s v="G000000123"/>
    <s v="G000000123"/>
    <s v="Non-LFF"/>
    <s v=""/>
    <m/>
    <b v="1"/>
    <x v="0"/>
    <x v="3"/>
    <d v="2025-08-11T00:00:00"/>
    <m/>
    <m/>
    <x v="1"/>
    <n v="94"/>
    <s v="Jojeff Tagnong"/>
    <m/>
  </r>
  <r>
    <x v="326"/>
    <x v="0"/>
    <x v="2"/>
    <s v="CLFF_1000$$$CN70R03104"/>
    <s v="H000000643"/>
    <s v="H000000643"/>
    <s v="LFF (MDG-F)"/>
    <s v="CN70R03104"/>
    <m/>
    <b v="1"/>
    <x v="1"/>
    <x v="3"/>
    <d v="2025-08-12T00:00:00"/>
    <m/>
    <m/>
    <x v="1"/>
    <n v="93"/>
    <s v="Henry Ifurung Jr."/>
    <m/>
  </r>
  <r>
    <x v="326"/>
    <x v="0"/>
    <x v="2"/>
    <s v="CLFF_1000$$$DE50TMDA06"/>
    <s v="H000000643"/>
    <s v="H000000643"/>
    <s v="LFF (MDG-F)"/>
    <s v="DE50TMDA06"/>
    <m/>
    <b v="1"/>
    <x v="1"/>
    <x v="3"/>
    <d v="2025-08-12T00:00:00"/>
    <m/>
    <m/>
    <x v="1"/>
    <n v="93"/>
    <s v="Henry Ifurung Jr."/>
    <m/>
  </r>
  <r>
    <x v="326"/>
    <x v="0"/>
    <x v="2"/>
    <s v="CLFF_1000$$$CH65R00046"/>
    <s v="H000004380"/>
    <s v="H000004380"/>
    <s v="LFF (MDG-F)"/>
    <s v="CH65R00046"/>
    <m/>
    <b v="1"/>
    <x v="1"/>
    <x v="3"/>
    <d v="2025-08-12T00:00:00"/>
    <m/>
    <m/>
    <x v="1"/>
    <n v="93"/>
    <s v="Henry Ifurung Jr."/>
    <m/>
  </r>
  <r>
    <x v="326"/>
    <x v="0"/>
    <x v="2"/>
    <s v="CLFF_1000$$$CH65R00045"/>
    <s v="H000004380"/>
    <s v="H000004380"/>
    <s v="LFF (MDG-F)"/>
    <s v="CH65R00045"/>
    <m/>
    <b v="1"/>
    <x v="1"/>
    <x v="3"/>
    <d v="2025-08-12T00:00:00"/>
    <m/>
    <m/>
    <x v="1"/>
    <n v="93"/>
    <s v="Henry Ifurung Jr."/>
    <m/>
  </r>
  <r>
    <x v="326"/>
    <x v="0"/>
    <x v="2"/>
    <s v="CLFF_1000$$$CH65R00044"/>
    <s v="H000004380"/>
    <s v="H000004380"/>
    <s v="LFF (MDG-F)"/>
    <s v="CH65R00044"/>
    <m/>
    <b v="1"/>
    <x v="1"/>
    <x v="3"/>
    <d v="2025-08-12T00:00:00"/>
    <m/>
    <m/>
    <x v="1"/>
    <n v="93"/>
    <s v="Henry Ifurung Jr."/>
    <m/>
  </r>
  <r>
    <x v="326"/>
    <x v="0"/>
    <x v="2"/>
    <s v="CLFF_1000$$$IT50R02001"/>
    <s v="H000000617"/>
    <s v="H000000617"/>
    <s v="LFF (MDG-F)"/>
    <s v="IT50R02001"/>
    <m/>
    <b v="1"/>
    <x v="1"/>
    <x v="3"/>
    <d v="2025-08-12T00:00:00"/>
    <m/>
    <m/>
    <x v="1"/>
    <n v="93"/>
    <s v="Henry Ifurung Jr."/>
    <m/>
  </r>
  <r>
    <x v="326"/>
    <x v="0"/>
    <x v="2"/>
    <s v="CLFF_1000$$$IT50R02002"/>
    <s v="H000000617"/>
    <s v="H000000617"/>
    <s v="LFF (MDG-F)"/>
    <s v="IT50R02002"/>
    <m/>
    <b v="1"/>
    <x v="1"/>
    <x v="3"/>
    <d v="2025-08-12T00:00:00"/>
    <m/>
    <m/>
    <x v="1"/>
    <n v="93"/>
    <s v="Henry Ifurung Jr."/>
    <m/>
  </r>
  <r>
    <x v="327"/>
    <x v="0"/>
    <x v="2"/>
    <s v="CEMERAL_70007102171436"/>
    <s v="L000011664"/>
    <s v="L000011664"/>
    <s v="Non-LFF"/>
    <s v=""/>
    <m/>
    <b v="1"/>
    <x v="2"/>
    <x v="3"/>
    <d v="2025-08-13T00:00:00"/>
    <m/>
    <m/>
    <x v="1"/>
    <n v="92"/>
    <s v="Lakshmi Shree"/>
    <m/>
  </r>
  <r>
    <x v="328"/>
    <x v="0"/>
    <x v="2"/>
    <s v="CLFF_1000$$$DK50GEQ010"/>
    <s v="G000000103"/>
    <s v="G000000103"/>
    <s v="LFF (MDG-F)"/>
    <s v="DK50GEQ010"/>
    <m/>
    <b v="1"/>
    <x v="0"/>
    <x v="3"/>
    <d v="2025-08-13T00:00:00"/>
    <m/>
    <m/>
    <x v="1"/>
    <n v="92"/>
    <s v="Jojeff Tagnong"/>
    <m/>
  </r>
  <r>
    <x v="328"/>
    <x v="0"/>
    <x v="2"/>
    <s v="CFLTFLE_22450000002741"/>
    <s v="G000000103"/>
    <s v="G000000103"/>
    <s v="Non-LFF"/>
    <s v=""/>
    <m/>
    <b v="1"/>
    <x v="0"/>
    <x v="3"/>
    <d v="2025-08-13T00:00:00"/>
    <m/>
    <m/>
    <x v="1"/>
    <n v="92"/>
    <s v="Jojeff Tagnong"/>
    <m/>
  </r>
  <r>
    <x v="329"/>
    <x v="0"/>
    <x v="2"/>
    <s v="CEMERAL_64010010991390 Admin/Sourcing APAC"/>
    <s v="G000001130"/>
    <s v="G000001130"/>
    <s v="Non-LFF"/>
    <s v=""/>
    <m/>
    <b v="1"/>
    <x v="0"/>
    <x v="3"/>
    <d v="2025-08-14T00:00:00"/>
    <m/>
    <m/>
    <x v="1"/>
    <n v="91"/>
    <s v="Jojeff Tagnong"/>
    <m/>
  </r>
  <r>
    <x v="329"/>
    <x v="0"/>
    <x v="2"/>
    <s v="CEMERAL_70006203990110 Procurement APAC"/>
    <s v="G000001130"/>
    <s v="G000001130"/>
    <s v="Non-LFF"/>
    <s v=""/>
    <m/>
    <b v="1"/>
    <x v="0"/>
    <x v="3"/>
    <d v="2025-08-14T00:00:00"/>
    <m/>
    <m/>
    <x v="1"/>
    <n v="91"/>
    <s v="Jojeff Tagnong"/>
    <m/>
  </r>
  <r>
    <x v="329"/>
    <x v="0"/>
    <x v="2"/>
    <s v="CEMERAL_70006203990116 PO - Src. Corporate Services"/>
    <s v="G000001130"/>
    <s v="G000001130"/>
    <s v="Non-LFF"/>
    <s v=""/>
    <m/>
    <b v="1"/>
    <x v="0"/>
    <x v="3"/>
    <d v="2025-08-14T00:00:00"/>
    <m/>
    <m/>
    <x v="1"/>
    <n v="91"/>
    <s v="Jojeff Tagnong"/>
    <m/>
  </r>
  <r>
    <x v="329"/>
    <x v="0"/>
    <x v="2"/>
    <s v="CEMERAL_70006301995401 XXXPO-APAC"/>
    <s v="G000001130"/>
    <s v="G000001130"/>
    <s v="Non-LFF"/>
    <s v=""/>
    <m/>
    <b v="1"/>
    <x v="0"/>
    <x v="3"/>
    <d v="2025-08-14T00:00:00"/>
    <m/>
    <m/>
    <x v="1"/>
    <n v="91"/>
    <s v="Jojeff Tagnong"/>
    <m/>
  </r>
  <r>
    <x v="329"/>
    <x v="0"/>
    <x v="2"/>
    <s v="CEMERAL_70006302995401 XXXGroup Procurement-Purchasing"/>
    <s v="G000001130"/>
    <s v="G000001130"/>
    <s v="Non-LFF"/>
    <s v=""/>
    <m/>
    <b v="1"/>
    <x v="0"/>
    <x v="3"/>
    <d v="2025-08-14T00:00:00"/>
    <m/>
    <m/>
    <x v="1"/>
    <n v="91"/>
    <s v="Jojeff Tagnong"/>
    <m/>
  </r>
  <r>
    <x v="329"/>
    <x v="0"/>
    <x v="2"/>
    <s v="CEMERAL_7000640399GA65 Procurement APAC"/>
    <s v="G000001130"/>
    <s v="G000001130"/>
    <s v="Non-LFF"/>
    <s v=""/>
    <m/>
    <b v="1"/>
    <x v="0"/>
    <x v="3"/>
    <d v="2025-08-14T00:00:00"/>
    <m/>
    <m/>
    <x v="1"/>
    <n v="91"/>
    <s v="Jojeff Tagnong"/>
    <m/>
  </r>
  <r>
    <x v="329"/>
    <x v="0"/>
    <x v="2"/>
    <s v="CEMERAL_70007001993007 XXXMESI MGF-PROCUREMENT"/>
    <s v="G000001130"/>
    <s v="G000001130"/>
    <s v="Non-LFF"/>
    <s v=""/>
    <m/>
    <b v="1"/>
    <x v="0"/>
    <x v="3"/>
    <d v="2025-08-14T00:00:00"/>
    <m/>
    <m/>
    <x v="1"/>
    <n v="91"/>
    <s v="Jojeff Tagnong"/>
    <m/>
  </r>
  <r>
    <x v="329"/>
    <x v="0"/>
    <x v="2"/>
    <s v="CEMERAL_70007102308299 Jade Park expense cross charge"/>
    <s v="G000001130"/>
    <s v="G000001130"/>
    <s v="Non-LFF"/>
    <s v=""/>
    <m/>
    <b v="1"/>
    <x v="0"/>
    <x v="3"/>
    <d v="2025-08-14T00:00:00"/>
    <m/>
    <m/>
    <x v="1"/>
    <n v="91"/>
    <s v="Jojeff Tagnong"/>
    <m/>
  </r>
  <r>
    <x v="329"/>
    <x v="0"/>
    <x v="2"/>
    <s v="CFLTFLE_10550000003914 MGF Procurement"/>
    <s v="G000001130"/>
    <s v="G000001130"/>
    <s v="Non-LFF"/>
    <s v=""/>
    <m/>
    <b v="1"/>
    <x v="0"/>
    <x v="3"/>
    <d v="2025-08-14T00:00:00"/>
    <m/>
    <m/>
    <x v="1"/>
    <n v="91"/>
    <s v="Jojeff Tagnong"/>
    <m/>
  </r>
  <r>
    <x v="329"/>
    <x v="0"/>
    <x v="2"/>
    <s v="CFLTFLE_12350000005017 MGF Procurement"/>
    <s v="G000001130"/>
    <s v="G000001130"/>
    <s v="Non-LFF"/>
    <s v=""/>
    <m/>
    <b v="1"/>
    <x v="0"/>
    <x v="3"/>
    <d v="2025-08-14T00:00:00"/>
    <m/>
    <m/>
    <x v="1"/>
    <n v="91"/>
    <s v="Jojeff Tagnong"/>
    <m/>
  </r>
  <r>
    <x v="329"/>
    <x v="0"/>
    <x v="2"/>
    <s v="CFLTFLE_17710000170000 XXXProcurement"/>
    <s v="G000001130"/>
    <s v="G000001130"/>
    <s v="Non-LFF"/>
    <s v=""/>
    <m/>
    <b v="1"/>
    <x v="0"/>
    <x v="3"/>
    <d v="2025-08-14T00:00:00"/>
    <m/>
    <m/>
    <x v="1"/>
    <n v="91"/>
    <s v="Jojeff Tagnong"/>
    <m/>
  </r>
  <r>
    <x v="329"/>
    <x v="0"/>
    <x v="2"/>
    <s v="CFLTFLE_17710000170020 XXXProcurement restructuring"/>
    <s v="G000001130"/>
    <s v="G000001130"/>
    <s v="Non-LFF"/>
    <s v=""/>
    <m/>
    <b v="1"/>
    <x v="0"/>
    <x v="3"/>
    <d v="2025-08-14T00:00:00"/>
    <m/>
    <m/>
    <x v="1"/>
    <n v="91"/>
    <s v="Jojeff Tagnong"/>
    <m/>
  </r>
  <r>
    <x v="329"/>
    <x v="0"/>
    <x v="2"/>
    <s v="CFLTFLE_1787HQ50GPO1F0 MGF_Procurement NWA_NORTH WEST"/>
    <s v="G000001130"/>
    <s v="G000001130"/>
    <s v="Non-LFF"/>
    <s v=""/>
    <m/>
    <b v="1"/>
    <x v="0"/>
    <x v="3"/>
    <d v="2025-08-14T00:00:00"/>
    <m/>
    <m/>
    <x v="1"/>
    <n v="91"/>
    <s v="Jojeff Tagnong"/>
    <m/>
  </r>
  <r>
    <x v="329"/>
    <x v="0"/>
    <x v="2"/>
    <s v="CFLTFLE_1798A08 Procurement"/>
    <s v="G000001130"/>
    <s v="G000001130"/>
    <s v="Non-LFF"/>
    <s v=""/>
    <m/>
    <b v="1"/>
    <x v="0"/>
    <x v="3"/>
    <d v="2025-08-14T00:00:00"/>
    <m/>
    <m/>
    <x v="1"/>
    <n v="91"/>
    <s v="Jojeff Tagnong"/>
    <m/>
  </r>
  <r>
    <x v="329"/>
    <x v="0"/>
    <x v="2"/>
    <s v="CLFF_1000$$$CH50GPO004 PO Americas - MRO FR &amp; French-Speak. CH"/>
    <s v="G000001130"/>
    <s v="G000001130"/>
    <s v="LFF (MDG-F)"/>
    <s v="CH50GPO004"/>
    <m/>
    <b v="1"/>
    <x v="0"/>
    <x v="3"/>
    <d v="2025-08-14T00:00:00"/>
    <m/>
    <m/>
    <x v="1"/>
    <n v="91"/>
    <s v="Jojeff Tagnong"/>
    <m/>
  </r>
  <r>
    <x v="329"/>
    <x v="0"/>
    <x v="2"/>
    <s v="CLFF_1000$$$CH50GPO101 Sourcing Healthcare 2"/>
    <s v="G000001130"/>
    <s v="G000001130"/>
    <s v="LFF (MDG-F)"/>
    <s v="CH50GPO101"/>
    <m/>
    <b v="1"/>
    <x v="0"/>
    <x v="3"/>
    <d v="2025-08-14T00:00:00"/>
    <m/>
    <m/>
    <x v="1"/>
    <n v="91"/>
    <s v="Jojeff Tagnong"/>
    <m/>
  </r>
  <r>
    <x v="329"/>
    <x v="0"/>
    <x v="2"/>
    <s v="CLFF_1000$$$CH50GPO204 Sourcing BT"/>
    <s v="G000001130"/>
    <s v="G000001130"/>
    <s v="LFF (MDG-F)"/>
    <s v="CH50GPO204"/>
    <m/>
    <b v="1"/>
    <x v="0"/>
    <x v="3"/>
    <d v="2025-08-14T00:00:00"/>
    <m/>
    <m/>
    <x v="1"/>
    <n v="91"/>
    <s v="Jojeff Tagnong"/>
    <m/>
  </r>
  <r>
    <x v="329"/>
    <x v="0"/>
    <x v="2"/>
    <s v="CLFF_1000$$$CH65GPO001 MRO Sourcing"/>
    <s v="G000001130"/>
    <s v="G000001130"/>
    <s v="LFF (MDG-F)"/>
    <s v="CH65GPO001"/>
    <m/>
    <b v="1"/>
    <x v="0"/>
    <x v="3"/>
    <d v="2025-08-14T00:00:00"/>
    <m/>
    <m/>
    <x v="1"/>
    <n v="91"/>
    <s v="Jojeff Tagnong"/>
    <m/>
  </r>
  <r>
    <x v="329"/>
    <x v="0"/>
    <x v="2"/>
    <s v="CLFF_1000$$$CN90GPO005 Procurement APAC"/>
    <s v="G000001130"/>
    <s v="G000001130"/>
    <s v="LFF (MDG-F)"/>
    <s v="CN90GPO005"/>
    <m/>
    <b v="1"/>
    <x v="0"/>
    <x v="3"/>
    <d v="2025-08-14T00:00:00"/>
    <m/>
    <m/>
    <x v="1"/>
    <n v="91"/>
    <s v="Jojeff Tagnong"/>
    <m/>
  </r>
  <r>
    <x v="329"/>
    <x v="0"/>
    <x v="2"/>
    <s v="CLFF_1000$$$DE10560000 Sourcing Office Intercomp"/>
    <s v="G000001130"/>
    <s v="G000001130"/>
    <s v="LFF (MDG-F)"/>
    <s v="DE10560000"/>
    <m/>
    <b v="1"/>
    <x v="0"/>
    <x v="3"/>
    <d v="2025-08-14T00:00:00"/>
    <m/>
    <m/>
    <x v="1"/>
    <n v="91"/>
    <s v="Jojeff Tagnong"/>
    <m/>
  </r>
  <r>
    <x v="329"/>
    <x v="0"/>
    <x v="2"/>
    <s v="CLFF_1000$$$DE10661200 PO Src. Plant Serv."/>
    <s v="G000001130"/>
    <s v="G000001130"/>
    <s v="LFF (MDG-F)"/>
    <s v="DE10661200"/>
    <m/>
    <b v="1"/>
    <x v="0"/>
    <x v="3"/>
    <d v="2025-08-14T00:00:00"/>
    <m/>
    <m/>
    <x v="1"/>
    <n v="91"/>
    <s v="Jojeff Tagnong"/>
    <m/>
  </r>
  <r>
    <x v="329"/>
    <x v="0"/>
    <x v="2"/>
    <s v="CLFF_1000$$$DE10667900 PO - Src. Corp. Services"/>
    <s v="G000001130"/>
    <s v="G000001130"/>
    <s v="LFF (MDG-F)"/>
    <s v="DE10667900"/>
    <m/>
    <b v="1"/>
    <x v="0"/>
    <x v="3"/>
    <d v="2025-08-14T00:00:00"/>
    <m/>
    <m/>
    <x v="1"/>
    <n v="91"/>
    <s v="Jojeff Tagnong"/>
    <m/>
  </r>
  <r>
    <x v="329"/>
    <x v="0"/>
    <x v="2"/>
    <s v="CLFF_1000$$$DE10672010 PO IT Sourcing"/>
    <s v="G000001130"/>
    <s v="G000001130"/>
    <s v="LFF (MDG-F)"/>
    <s v="DE10672010"/>
    <m/>
    <b v="1"/>
    <x v="0"/>
    <x v="3"/>
    <d v="2025-08-14T00:00:00"/>
    <m/>
    <m/>
    <x v="1"/>
    <n v="91"/>
    <s v="Jojeff Tagnong"/>
    <m/>
  </r>
  <r>
    <x v="329"/>
    <x v="0"/>
    <x v="2"/>
    <s v="CLFF_1000$$$DE65GPO001 Sourcing Corp. Serv. &amp; Region EMEA"/>
    <s v="G000001130"/>
    <s v="G000001130"/>
    <s v="LFF (MDG-F)"/>
    <s v="DE65GPO001"/>
    <m/>
    <b v="1"/>
    <x v="0"/>
    <x v="3"/>
    <d v="2025-08-14T00:00:00"/>
    <m/>
    <m/>
    <x v="1"/>
    <n v="91"/>
    <s v="Jojeff Tagnong"/>
    <m/>
  </r>
  <r>
    <x v="329"/>
    <x v="0"/>
    <x v="2"/>
    <s v="CLFF_1000$$$DK50GPO004 Group Procurement - Real Estate F81"/>
    <s v="G000001130"/>
    <s v="G000001130"/>
    <s v="LFF (MDG-F)"/>
    <s v="DK50GPO004"/>
    <m/>
    <b v="1"/>
    <x v="0"/>
    <x v="3"/>
    <d v="2025-08-14T00:00:00"/>
    <m/>
    <m/>
    <x v="1"/>
    <n v="91"/>
    <s v="Jojeff Tagnong"/>
    <m/>
  </r>
  <r>
    <x v="329"/>
    <x v="0"/>
    <x v="2"/>
    <s v="CLFF_1000$$$ES50GPO792 PO Global &amp; Local Sourcing EMEA"/>
    <s v="G000001130"/>
    <s v="G000001130"/>
    <s v="LFF (MDG-F)"/>
    <s v="ES50GPO792"/>
    <m/>
    <b v="1"/>
    <x v="0"/>
    <x v="3"/>
    <d v="2025-08-14T00:00:00"/>
    <m/>
    <m/>
    <x v="1"/>
    <n v="91"/>
    <s v="Jojeff Tagnong"/>
    <m/>
  </r>
  <r>
    <x v="329"/>
    <x v="0"/>
    <x v="2"/>
    <s v="CLFF_1000$$$FR01GPO004 France Procurement"/>
    <s v="G000001130"/>
    <s v="G000001130"/>
    <s v="LFF (MDG-F)"/>
    <s v="FR01GPO004"/>
    <m/>
    <b v="1"/>
    <x v="0"/>
    <x v="3"/>
    <d v="2025-08-14T00:00:00"/>
    <m/>
    <m/>
    <x v="1"/>
    <n v="91"/>
    <s v="Jojeff Tagnong"/>
    <m/>
  </r>
  <r>
    <x v="329"/>
    <x v="0"/>
    <x v="2"/>
    <s v="CLFF_1000$$$IT50GPO004 Procurement IT"/>
    <s v="G000001130"/>
    <s v="G000001130"/>
    <s v="LFF (MDG-F)"/>
    <s v="IT50GPO004"/>
    <m/>
    <b v="1"/>
    <x v="0"/>
    <x v="3"/>
    <d v="2025-08-14T00:00:00"/>
    <m/>
    <m/>
    <x v="1"/>
    <n v="91"/>
    <s v="Jojeff Tagnong"/>
    <m/>
  </r>
  <r>
    <x v="329"/>
    <x v="0"/>
    <x v="2"/>
    <s v="CLFF_1000$$$IT50GPO0C3 G1F PO-Sourcing Plant Serv &amp; Region Amer"/>
    <s v="G000001130"/>
    <s v="G000001130"/>
    <s v="LFF (MDG-F)"/>
    <s v="IT50GPO0C3"/>
    <m/>
    <b v="1"/>
    <x v="0"/>
    <x v="3"/>
    <d v="2025-08-14T00:00:00"/>
    <m/>
    <m/>
    <x v="1"/>
    <n v="91"/>
    <s v="Jojeff Tagnong"/>
    <m/>
  </r>
  <r>
    <x v="329"/>
    <x v="0"/>
    <x v="2"/>
    <s v="CLFF_1000$$$JP01GPO302 PO APAC"/>
    <s v="G000001130"/>
    <s v="G000001130"/>
    <s v="LFF (MDG-F)"/>
    <s v="JP01GPO302"/>
    <m/>
    <b v="1"/>
    <x v="0"/>
    <x v="3"/>
    <d v="2025-08-14T00:00:00"/>
    <m/>
    <m/>
    <x v="1"/>
    <n v="91"/>
    <s v="Jojeff Tagnong"/>
    <m/>
  </r>
  <r>
    <x v="329"/>
    <x v="0"/>
    <x v="2"/>
    <s v="CLFF_1000$$$JP02GPO302 PO APAC"/>
    <s v="G000001130"/>
    <s v="G000001130"/>
    <s v="LFF (MDG-F)"/>
    <s v="JP02GPO302"/>
    <m/>
    <b v="1"/>
    <x v="0"/>
    <x v="3"/>
    <d v="2025-08-14T00:00:00"/>
    <m/>
    <m/>
    <x v="1"/>
    <n v="91"/>
    <s v="Jojeff Tagnong"/>
    <m/>
  </r>
  <r>
    <x v="329"/>
    <x v="0"/>
    <x v="2"/>
    <s v="CLFF_1000$$$KE50GPO004 MGF Procurement"/>
    <s v="G000001130"/>
    <s v="G000001130"/>
    <s v="LFF (MDG-F)"/>
    <s v="KE50GPO004"/>
    <m/>
    <b v="1"/>
    <x v="0"/>
    <x v="3"/>
    <d v="2025-08-14T00:00:00"/>
    <m/>
    <m/>
    <x v="1"/>
    <n v="91"/>
    <s v="Jojeff Tagnong"/>
    <m/>
  </r>
  <r>
    <x v="329"/>
    <x v="0"/>
    <x v="2"/>
    <s v="CLFF_1000$$$KR02GPO001 Procurement APAC"/>
    <s v="G000001130"/>
    <s v="G000001130"/>
    <s v="LFF (MDG-F)"/>
    <s v="KR02GPO001"/>
    <m/>
    <b v="1"/>
    <x v="0"/>
    <x v="3"/>
    <d v="2025-08-14T00:00:00"/>
    <m/>
    <m/>
    <x v="1"/>
    <n v="91"/>
    <s v="Jojeff Tagnong"/>
    <m/>
  </r>
  <r>
    <x v="329"/>
    <x v="0"/>
    <x v="2"/>
    <s v="CLFF_1000$$$TW02GPO004 PO-Purchasing APAC"/>
    <s v="G000001130"/>
    <s v="G000001130"/>
    <s v="LFF (MDG-F)"/>
    <s v="TW02GPO004"/>
    <m/>
    <b v="1"/>
    <x v="0"/>
    <x v="3"/>
    <d v="2025-08-14T00:00:00"/>
    <m/>
    <m/>
    <x v="1"/>
    <n v="91"/>
    <s v="Jojeff Tagnong"/>
    <m/>
  </r>
  <r>
    <x v="329"/>
    <x v="0"/>
    <x v="2"/>
    <s v="CLFF_1000$$$TW03GPO005 PO-Purchasing APAC"/>
    <s v="G000001130"/>
    <s v="G000001130"/>
    <s v="LFF (MDG-F)"/>
    <s v="TW03GPO005"/>
    <m/>
    <b v="1"/>
    <x v="0"/>
    <x v="3"/>
    <d v="2025-08-14T00:00:00"/>
    <m/>
    <m/>
    <x v="1"/>
    <n v="91"/>
    <s v="Jojeff Tagnong"/>
    <m/>
  </r>
  <r>
    <x v="329"/>
    <x v="0"/>
    <x v="2"/>
    <s v="CLFF_1000$$$US01GPO004 Procurement EMEA"/>
    <s v="G000001130"/>
    <s v="G000001130"/>
    <s v="LFF (MDG-F)"/>
    <s v="US01GPO004"/>
    <m/>
    <b v="1"/>
    <x v="0"/>
    <x v="3"/>
    <d v="2025-08-14T00:00:00"/>
    <m/>
    <m/>
    <x v="1"/>
    <n v="91"/>
    <s v="Jojeff Tagnong"/>
    <m/>
  </r>
  <r>
    <x v="329"/>
    <x v="0"/>
    <x v="2"/>
    <s v="CLFF_1000$$$US01GPO101 MPM MRO Region America"/>
    <s v="G000001130"/>
    <s v="G000001130"/>
    <s v="LFF (MDG-F)"/>
    <s v="US01GPO101"/>
    <m/>
    <b v="1"/>
    <x v="0"/>
    <x v="3"/>
    <d v="2025-08-14T00:00:00"/>
    <m/>
    <m/>
    <x v="1"/>
    <n v="91"/>
    <s v="Jojeff Tagnong"/>
    <m/>
  </r>
  <r>
    <x v="329"/>
    <x v="0"/>
    <x v="2"/>
    <s v="CLFF_1000$$$US01GPO401 XXXGroup Procurement"/>
    <s v="G000001130"/>
    <s v="G000001130"/>
    <s v="LFF (MDG-F)"/>
    <s v="US01GPO401"/>
    <m/>
    <b v="1"/>
    <x v="0"/>
    <x v="3"/>
    <d v="2025-08-14T00:00:00"/>
    <m/>
    <m/>
    <x v="1"/>
    <n v="91"/>
    <s v="Jojeff Tagnong"/>
    <m/>
  </r>
  <r>
    <x v="329"/>
    <x v="0"/>
    <x v="2"/>
    <s v="CLFF_1000$$$VN50GPO005 XX_Procurement - Service"/>
    <s v="G000001130"/>
    <s v="G000001130"/>
    <s v="LFF (MDG-F)"/>
    <s v="VN50GPO005"/>
    <m/>
    <b v="1"/>
    <x v="0"/>
    <x v="3"/>
    <d v="2025-08-14T00:00:00"/>
    <m/>
    <m/>
    <x v="1"/>
    <n v="91"/>
    <s v="Jojeff Tagnong"/>
    <m/>
  </r>
  <r>
    <x v="329"/>
    <x v="0"/>
    <x v="2"/>
    <s v="CLFF_1000$$$ZA50GPO004 MGF Procurement"/>
    <s v="G000001130"/>
    <s v="G000001130"/>
    <s v="LFF (MDG-F)"/>
    <s v="ZA50GPO004"/>
    <m/>
    <b v="1"/>
    <x v="0"/>
    <x v="3"/>
    <d v="2025-08-14T00:00:00"/>
    <m/>
    <m/>
    <x v="1"/>
    <n v="91"/>
    <s v="Jojeff Tagnong"/>
    <m/>
  </r>
  <r>
    <x v="329"/>
    <x v="0"/>
    <x v="2"/>
    <s v="CLFF_7210$$$2031GPO004 Purchasing"/>
    <s v="G000001130"/>
    <s v="G000001130"/>
    <s v="LFF (MDG-F)"/>
    <s v="2031GPO004"/>
    <m/>
    <b v="1"/>
    <x v="0"/>
    <x v="3"/>
    <d v="2025-08-14T00:00:00"/>
    <m/>
    <m/>
    <x v="1"/>
    <n v="91"/>
    <s v="Jojeff Tagnong"/>
    <m/>
  </r>
  <r>
    <x v="329"/>
    <x v="0"/>
    <x v="2"/>
    <s v="CLFF_7210$$$2057GPO008 XX_Procurement CS&amp;EMEA"/>
    <s v="G000001130"/>
    <s v="G000001130"/>
    <s v="LFF (MDG-F)"/>
    <s v="2057GPO008"/>
    <m/>
    <b v="1"/>
    <x v="0"/>
    <x v="3"/>
    <d v="2025-08-14T00:00:00"/>
    <m/>
    <m/>
    <x v="1"/>
    <n v="91"/>
    <s v="Jojeff Tagnong"/>
    <m/>
  </r>
  <r>
    <x v="329"/>
    <x v="0"/>
    <x v="2"/>
    <s v="CLFF_7210$$$2102GPO003 PO-Americas"/>
    <s v="G000001130"/>
    <s v="G000001130"/>
    <s v="LFF (MDG-F)"/>
    <s v="2102GPO003"/>
    <m/>
    <b v="1"/>
    <x v="0"/>
    <x v="3"/>
    <d v="2025-08-14T00:00:00"/>
    <m/>
    <m/>
    <x v="1"/>
    <n v="91"/>
    <s v="Jojeff Tagnong"/>
    <m/>
  </r>
  <r>
    <x v="329"/>
    <x v="0"/>
    <x v="2"/>
    <s v="CLFF_7210$$$2123GPO001 PO Sourcing IT"/>
    <s v="G000001130"/>
    <s v="G000001130"/>
    <s v="LFF (MDG-F)"/>
    <s v="2123GPO001"/>
    <m/>
    <b v="1"/>
    <x v="0"/>
    <x v="3"/>
    <d v="2025-08-14T00:00:00"/>
    <m/>
    <m/>
    <x v="1"/>
    <n v="91"/>
    <s v="Jojeff Tagnong"/>
    <m/>
  </r>
  <r>
    <x v="329"/>
    <x v="0"/>
    <x v="2"/>
    <s v="CLFF_7210$$$2128L40014 2128 General Expenses"/>
    <s v="G000001130"/>
    <s v="G000001130"/>
    <s v="LFF (MDG-F)"/>
    <s v="2128L40014"/>
    <m/>
    <b v="1"/>
    <x v="0"/>
    <x v="3"/>
    <d v="2025-08-14T00:00:00"/>
    <m/>
    <m/>
    <x v="1"/>
    <n v="91"/>
    <s v="Jojeff Tagnong"/>
    <m/>
  </r>
  <r>
    <x v="329"/>
    <x v="0"/>
    <x v="2"/>
    <s v="CLFF_7210$$$2131GPO821 Procurement APAC"/>
    <s v="G000001130"/>
    <s v="G000001130"/>
    <s v="LFF (MDG-F)"/>
    <s v="2131GPO821"/>
    <m/>
    <b v="1"/>
    <x v="0"/>
    <x v="3"/>
    <d v="2025-08-14T00:00:00"/>
    <m/>
    <m/>
    <x v="1"/>
    <n v="91"/>
    <s v="Jojeff Tagnong"/>
    <m/>
  </r>
  <r>
    <x v="329"/>
    <x v="0"/>
    <x v="2"/>
    <s v="CLFF_KR00$$$KR03GPO001 Procurement APAC"/>
    <s v="G000001130"/>
    <s v="G000001130"/>
    <s v="LFF (MDG-F)"/>
    <s v="KR03GPO001"/>
    <m/>
    <b v="1"/>
    <x v="0"/>
    <x v="3"/>
    <d v="2025-08-14T00:00:00"/>
    <m/>
    <m/>
    <x v="1"/>
    <n v="91"/>
    <s v="Jojeff Tagnong"/>
    <m/>
  </r>
  <r>
    <x v="329"/>
    <x v="0"/>
    <x v="2"/>
    <s v="CLFF_VMCA$$$TW91GPO013"/>
    <s v="G000001130"/>
    <s v="G000001130"/>
    <s v="LFF (MDG-F)"/>
    <s v="TW91GPO013"/>
    <m/>
    <b v="1"/>
    <x v="0"/>
    <x v="3"/>
    <d v="2025-08-14T00:00:00"/>
    <m/>
    <m/>
    <x v="1"/>
    <n v="91"/>
    <s v="Jojeff Tagnong"/>
    <m/>
  </r>
  <r>
    <x v="329"/>
    <x v="0"/>
    <x v="2"/>
    <s v="CLFF_VMCA$$$US10GPO022 Procurement Plant Serv. Amer."/>
    <s v="G000001130"/>
    <s v="G000001130"/>
    <s v="LFF (MDG-F)"/>
    <s v="US10GPO022"/>
    <m/>
    <b v="1"/>
    <x v="0"/>
    <x v="3"/>
    <d v="2025-08-14T00:00:00"/>
    <m/>
    <m/>
    <x v="1"/>
    <n v="91"/>
    <s v="Jojeff Tagnong"/>
    <m/>
  </r>
  <r>
    <x v="329"/>
    <x v="0"/>
    <x v="2"/>
    <s v="CLFF_VMCA$$$US10GPO024 Procurement Corp Serv. Amer."/>
    <s v="G000001130"/>
    <s v="G000001130"/>
    <s v="LFF (MDG-F)"/>
    <s v="US10GPO024"/>
    <m/>
    <b v="1"/>
    <x v="0"/>
    <x v="3"/>
    <d v="2025-08-14T00:00:00"/>
    <m/>
    <m/>
    <x v="1"/>
    <n v="91"/>
    <s v="Jojeff Tagnong"/>
    <m/>
  </r>
  <r>
    <x v="329"/>
    <x v="0"/>
    <x v="2"/>
    <s v="CNOW_7210$$$0000010415 PO - EMEA"/>
    <s v="G000001130"/>
    <s v="G000001130"/>
    <s v="Non-LFF"/>
    <s v=""/>
    <m/>
    <b v="1"/>
    <x v="0"/>
    <x v="3"/>
    <d v="2025-08-14T00:00:00"/>
    <m/>
    <m/>
    <x v="1"/>
    <n v="91"/>
    <s v="Jojeff Tagnong"/>
    <m/>
  </r>
  <r>
    <x v="329"/>
    <x v="0"/>
    <x v="2"/>
    <s v="CNOW_7210$$$0000010428 PO-IT Sourcing"/>
    <s v="G000001130"/>
    <s v="G000001130"/>
    <s v="Non-LFF"/>
    <s v=""/>
    <m/>
    <b v="1"/>
    <x v="0"/>
    <x v="3"/>
    <d v="2025-08-14T00:00:00"/>
    <m/>
    <m/>
    <x v="1"/>
    <n v="91"/>
    <s v="Jojeff Tagnong"/>
    <m/>
  </r>
  <r>
    <x v="329"/>
    <x v="0"/>
    <x v="2"/>
    <s v="CNOW_7210$$$0000021133 PO-Procurement-Americas"/>
    <s v="G000001130"/>
    <s v="G000001130"/>
    <s v="Non-LFF"/>
    <s v=""/>
    <m/>
    <b v="1"/>
    <x v="0"/>
    <x v="3"/>
    <d v="2025-08-14T00:00:00"/>
    <m/>
    <m/>
    <x v="1"/>
    <n v="91"/>
    <s v="Jojeff Tagnong"/>
    <m/>
  </r>
  <r>
    <x v="329"/>
    <x v="0"/>
    <x v="2"/>
    <s v="CNOW_7210$$$0000051807 PO-Plant Srv&amp;America"/>
    <s v="G000001130"/>
    <s v="G000001130"/>
    <s v="Non-LFF"/>
    <s v=""/>
    <m/>
    <b v="1"/>
    <x v="0"/>
    <x v="3"/>
    <d v="2025-08-14T00:00:00"/>
    <m/>
    <m/>
    <x v="1"/>
    <n v="91"/>
    <s v="Jojeff Tagnong"/>
    <m/>
  </r>
  <r>
    <x v="329"/>
    <x v="0"/>
    <x v="2"/>
    <s v="CNOW_7210$$$0000057192 PO Sourcing Corporate Services"/>
    <s v="G000001130"/>
    <s v="G000001130"/>
    <s v="Non-LFF"/>
    <s v=""/>
    <m/>
    <b v="1"/>
    <x v="0"/>
    <x v="3"/>
    <d v="2025-08-14T00:00:00"/>
    <m/>
    <m/>
    <x v="1"/>
    <n v="91"/>
    <s v="Jojeff Tagnong"/>
    <m/>
  </r>
  <r>
    <x v="329"/>
    <x v="0"/>
    <x v="2"/>
    <s v="CNOW_7210$$$0000057211 PO - Src. Plant Services"/>
    <s v="G000001130"/>
    <s v="G000001130"/>
    <s v="Non-LFF"/>
    <s v=""/>
    <m/>
    <b v="1"/>
    <x v="0"/>
    <x v="3"/>
    <d v="2025-08-14T00:00:00"/>
    <m/>
    <m/>
    <x v="1"/>
    <n v="91"/>
    <s v="Jojeff Tagnong"/>
    <m/>
  </r>
  <r>
    <x v="329"/>
    <x v="0"/>
    <x v="2"/>
    <s v="CNOW_ROW$$$$0000006106 Sourcing"/>
    <s v="G000001130"/>
    <s v="G000001130"/>
    <s v="Non-LFF"/>
    <s v=""/>
    <m/>
    <b v="1"/>
    <x v="0"/>
    <x v="3"/>
    <d v="2025-08-14T00:00:00"/>
    <m/>
    <m/>
    <x v="1"/>
    <n v="91"/>
    <s v="Jojeff Tagnong"/>
    <m/>
  </r>
  <r>
    <x v="329"/>
    <x v="0"/>
    <x v="2"/>
    <s v="CORAERP_MMOR1945.9866 Procurement Americas FR"/>
    <s v="G000001130"/>
    <s v="G000001130"/>
    <s v="Non-LFF"/>
    <s v=""/>
    <m/>
    <b v="1"/>
    <x v="0"/>
    <x v="3"/>
    <d v="2025-08-14T00:00:00"/>
    <m/>
    <m/>
    <x v="1"/>
    <n v="91"/>
    <s v="Jojeff Tagnong"/>
    <m/>
  </r>
  <r>
    <x v="329"/>
    <x v="0"/>
    <x v="2"/>
    <s v="CORAERP_MMOR1945.9868 Procurement EMEA"/>
    <s v="G000001130"/>
    <s v="G000001130"/>
    <s v="Non-LFF"/>
    <s v=""/>
    <m/>
    <b v="1"/>
    <x v="0"/>
    <x v="3"/>
    <d v="2025-08-14T00:00:00"/>
    <m/>
    <m/>
    <x v="1"/>
    <n v="91"/>
    <s v="Jojeff Tagnong"/>
    <m/>
  </r>
  <r>
    <x v="329"/>
    <x v="0"/>
    <x v="2"/>
    <s v="CORAERP_MMOR1975.2654 PO-P Site Services &amp; Utilities Sourcing"/>
    <s v="G000001130"/>
    <s v="G000001130"/>
    <s v="Non-LFF"/>
    <s v=""/>
    <m/>
    <b v="1"/>
    <x v="0"/>
    <x v="3"/>
    <d v="2025-08-14T00:00:00"/>
    <m/>
    <m/>
    <x v="1"/>
    <n v="91"/>
    <s v="Jojeff Tagnong"/>
    <m/>
  </r>
  <r>
    <x v="329"/>
    <x v="0"/>
    <x v="2"/>
    <s v="CORAERP_MMOR1975.2707 PO-MLF-M Flexible Sourcing"/>
    <s v="G000001130"/>
    <s v="G000001130"/>
    <s v="Non-LFF"/>
    <s v=""/>
    <m/>
    <b v="1"/>
    <x v="0"/>
    <x v="3"/>
    <d v="2025-08-14T00:00:00"/>
    <m/>
    <m/>
    <x v="1"/>
    <n v="91"/>
    <s v="Jojeff Tagnong"/>
    <m/>
  </r>
  <r>
    <x v="329"/>
    <x v="0"/>
    <x v="2"/>
    <s v="CORAERP_MMOR1975.2708 PO-C Sourcing Travel, Fleet &amp; Events"/>
    <s v="G000001130"/>
    <s v="G000001130"/>
    <s v="Non-LFF"/>
    <s v=""/>
    <m/>
    <b v="1"/>
    <x v="0"/>
    <x v="3"/>
    <d v="2025-08-14T00:00:00"/>
    <m/>
    <m/>
    <x v="1"/>
    <n v="91"/>
    <s v="Jojeff Tagnong"/>
    <m/>
  </r>
  <r>
    <x v="329"/>
    <x v="0"/>
    <x v="2"/>
    <s v="CORAERP_MMOR1975.2712 PO-E Global IT Procurement"/>
    <s v="G000001130"/>
    <s v="G000001130"/>
    <s v="Non-LFF"/>
    <s v=""/>
    <m/>
    <b v="1"/>
    <x v="0"/>
    <x v="3"/>
    <d v="2025-08-14T00:00:00"/>
    <m/>
    <m/>
    <x v="1"/>
    <n v="91"/>
    <s v="Jojeff Tagnong"/>
    <m/>
  </r>
  <r>
    <x v="329"/>
    <x v="0"/>
    <x v="2"/>
    <s v="CORAERP_MMOR1975.2720 PO EGM Glbl IT Transformation"/>
    <s v="G000001130"/>
    <s v="G000001130"/>
    <s v="Non-LFF"/>
    <s v=""/>
    <m/>
    <b v="1"/>
    <x v="0"/>
    <x v="3"/>
    <d v="2025-08-14T00:00:00"/>
    <m/>
    <m/>
    <x v="1"/>
    <n v="91"/>
    <s v="Jojeff Tagnong"/>
    <m/>
  </r>
  <r>
    <x v="329"/>
    <x v="0"/>
    <x v="2"/>
    <s v="CORAERP_MMOR1975.2983 PO Americas - Cross Charge"/>
    <s v="G000001130"/>
    <s v="G000001130"/>
    <s v="Non-LFF"/>
    <s v=""/>
    <m/>
    <b v="1"/>
    <x v="0"/>
    <x v="3"/>
    <d v="2025-08-14T00:00:00"/>
    <m/>
    <m/>
    <x v="1"/>
    <n v="91"/>
    <s v="Jojeff Tagnong"/>
    <m/>
  </r>
  <r>
    <x v="329"/>
    <x v="0"/>
    <x v="2"/>
    <s v="CORAERP_MMOR1975.2990 PO-P MRO Sourcing US"/>
    <s v="G000001130"/>
    <s v="G000001130"/>
    <s v="Non-LFF"/>
    <s v=""/>
    <m/>
    <b v="1"/>
    <x v="0"/>
    <x v="3"/>
    <d v="2025-08-14T00:00:00"/>
    <m/>
    <m/>
    <x v="1"/>
    <n v="91"/>
    <s v="Jojeff Tagnong"/>
    <m/>
  </r>
  <r>
    <x v="329"/>
    <x v="0"/>
    <x v="2"/>
    <s v="CSCALA_1042$PURC Procurement"/>
    <s v="G000001130"/>
    <s v="G000001130"/>
    <s v="Non-LFF"/>
    <s v=""/>
    <m/>
    <b v="1"/>
    <x v="0"/>
    <x v="3"/>
    <d v="2025-08-14T00:00:00"/>
    <m/>
    <m/>
    <x v="1"/>
    <n v="91"/>
    <s v="Jojeff Tagnong"/>
    <m/>
  </r>
  <r>
    <x v="329"/>
    <x v="0"/>
    <x v="2"/>
    <s v="CSCALA_1050$B33 Procurement Src. APAC"/>
    <s v="G000001130"/>
    <s v="G000001130"/>
    <s v="Non-LFF"/>
    <s v=""/>
    <m/>
    <b v="1"/>
    <x v="0"/>
    <x v="3"/>
    <d v="2025-08-14T00:00:00"/>
    <m/>
    <m/>
    <x v="1"/>
    <n v="91"/>
    <s v="Jojeff Tagnong"/>
    <m/>
  </r>
  <r>
    <x v="329"/>
    <x v="0"/>
    <x v="2"/>
    <s v="CSCALA_1923$B33 Procurement Src. APAC"/>
    <s v="G000001130"/>
    <s v="G000001130"/>
    <s v="Non-LFF"/>
    <s v=""/>
    <m/>
    <b v="1"/>
    <x v="0"/>
    <x v="3"/>
    <d v="2025-08-14T00:00:00"/>
    <m/>
    <m/>
    <x v="1"/>
    <n v="91"/>
    <s v="Jojeff Tagnong"/>
    <m/>
  </r>
  <r>
    <x v="329"/>
    <x v="0"/>
    <x v="2"/>
    <s v="CTEMPEU_1000FR10700800 PO-Plant Srv&amp;America"/>
    <s v="G000001130"/>
    <s v="G000001130"/>
    <s v="Non-LFF"/>
    <s v=""/>
    <m/>
    <b v="1"/>
    <x v="0"/>
    <x v="3"/>
    <d v="2025-08-14T00:00:00"/>
    <m/>
    <m/>
    <x v="1"/>
    <n v="91"/>
    <s v="Jojeff Tagnong"/>
    <m/>
  </r>
  <r>
    <x v="329"/>
    <x v="0"/>
    <x v="2"/>
    <s v="CTEMPEU_1000FR40700803 PO-Plant Srv&amp;America"/>
    <s v="G000001130"/>
    <s v="G000001130"/>
    <s v="Non-LFF"/>
    <s v=""/>
    <m/>
    <b v="1"/>
    <x v="0"/>
    <x v="3"/>
    <d v="2025-08-14T00:00:00"/>
    <m/>
    <m/>
    <x v="1"/>
    <n v="91"/>
    <s v="Jojeff Tagnong"/>
    <m/>
  </r>
  <r>
    <x v="329"/>
    <x v="0"/>
    <x v="2"/>
    <s v="CTEMPEU_1000FR40700839 PO-PlantSrv&amp;Ame Refa"/>
    <s v="G000001130"/>
    <s v="G000001130"/>
    <s v="Non-LFF"/>
    <s v=""/>
    <m/>
    <b v="1"/>
    <x v="0"/>
    <x v="3"/>
    <d v="2025-08-14T00:00:00"/>
    <m/>
    <m/>
    <x v="1"/>
    <n v="91"/>
    <s v="Jojeff Tagnong"/>
    <m/>
  </r>
  <r>
    <x v="329"/>
    <x v="0"/>
    <x v="2"/>
    <s v="CTEMPEU_1000FR60715000 PO-Plant Srv&amp;America"/>
    <s v="G000001130"/>
    <s v="G000001130"/>
    <s v="Non-LFF"/>
    <s v=""/>
    <m/>
    <b v="1"/>
    <x v="0"/>
    <x v="3"/>
    <d v="2025-08-14T00:00:00"/>
    <m/>
    <m/>
    <x v="1"/>
    <n v="91"/>
    <s v="Jojeff Tagnong"/>
    <m/>
  </r>
  <r>
    <x v="329"/>
    <x v="0"/>
    <x v="2"/>
    <s v="CTEMPEU_1000FR90700803 PO-Plant Srv&amp;America"/>
    <s v="G000001130"/>
    <s v="G000001130"/>
    <s v="Non-LFF"/>
    <s v=""/>
    <m/>
    <b v="1"/>
    <x v="0"/>
    <x v="3"/>
    <d v="2025-08-14T00:00:00"/>
    <m/>
    <m/>
    <x v="1"/>
    <n v="91"/>
    <s v="Jojeff Tagnong"/>
    <m/>
  </r>
  <r>
    <x v="329"/>
    <x v="0"/>
    <x v="2"/>
    <s v="CTEMPEU_1000NL40AD0079 XXXProcurement"/>
    <s v="G000001130"/>
    <s v="G000001130"/>
    <s v="Non-LFF"/>
    <s v=""/>
    <m/>
    <b v="1"/>
    <x v="0"/>
    <x v="3"/>
    <d v="2025-08-14T00:00:00"/>
    <m/>
    <m/>
    <x v="1"/>
    <n v="91"/>
    <s v="Jojeff Tagnong"/>
    <m/>
  </r>
  <r>
    <x v="329"/>
    <x v="0"/>
    <x v="2"/>
    <s v="CTEMPEU_1000PL10C04000 Purchasing"/>
    <s v="G000001130"/>
    <s v="G000001130"/>
    <s v="Non-LFF"/>
    <s v=""/>
    <m/>
    <b v="1"/>
    <x v="0"/>
    <x v="3"/>
    <d v="2025-08-14T00:00:00"/>
    <m/>
    <m/>
    <x v="1"/>
    <n v="91"/>
    <s v="Jojeff Tagnong"/>
    <m/>
  </r>
  <r>
    <x v="329"/>
    <x v="0"/>
    <x v="2"/>
    <s v="CTEMPEU_1000PL10C04500 Procurement"/>
    <s v="G000001130"/>
    <s v="G000001130"/>
    <s v="Non-LFF"/>
    <s v=""/>
    <m/>
    <b v="1"/>
    <x v="0"/>
    <x v="3"/>
    <d v="2025-08-14T00:00:00"/>
    <m/>
    <m/>
    <x v="1"/>
    <n v="91"/>
    <s v="Jojeff Tagnong"/>
    <m/>
  </r>
  <r>
    <x v="329"/>
    <x v="0"/>
    <x v="2"/>
    <s v="CTEMPEU_1000PL80000020 PO Digital IT Sourcing"/>
    <s v="G000001130"/>
    <s v="G000001130"/>
    <s v="Non-LFF"/>
    <s v=""/>
    <m/>
    <b v="1"/>
    <x v="0"/>
    <x v="3"/>
    <d v="2025-08-14T00:00:00"/>
    <m/>
    <m/>
    <x v="1"/>
    <n v="91"/>
    <s v="Jojeff Tagnong"/>
    <m/>
  </r>
  <r>
    <x v="329"/>
    <x v="0"/>
    <x v="2"/>
    <s v="CTEMPEU_1000TR10ADP200 XXXPO - Corp. Serv. / EMEA - Tier 2"/>
    <s v="G000001130"/>
    <s v="G000001130"/>
    <s v="Non-LFF"/>
    <s v=""/>
    <m/>
    <b v="1"/>
    <x v="0"/>
    <x v="3"/>
    <d v="2025-08-14T00:00:00"/>
    <m/>
    <m/>
    <x v="1"/>
    <n v="91"/>
    <s v="Jojeff Tagnong"/>
    <m/>
  </r>
  <r>
    <x v="329"/>
    <x v="0"/>
    <x v="2"/>
    <s v="CTEMPLA_1000AR10310006 XXXProcurement"/>
    <s v="G000001130"/>
    <s v="G000001130"/>
    <s v="Non-LFF"/>
    <s v=""/>
    <m/>
    <b v="1"/>
    <x v="0"/>
    <x v="3"/>
    <d v="2025-08-14T00:00:00"/>
    <m/>
    <m/>
    <x v="1"/>
    <n v="91"/>
    <s v="Jojeff Tagnong"/>
    <m/>
  </r>
  <r>
    <x v="329"/>
    <x v="0"/>
    <x v="2"/>
    <s v="CTEMPLA_1000BR10302210 Procurement Americas"/>
    <s v="G000001130"/>
    <s v="G000001130"/>
    <s v="Non-LFF"/>
    <s v=""/>
    <m/>
    <b v="1"/>
    <x v="0"/>
    <x v="3"/>
    <d v="2025-08-14T00:00:00"/>
    <m/>
    <m/>
    <x v="1"/>
    <n v="91"/>
    <s v="Jojeff Tagnong"/>
    <m/>
  </r>
  <r>
    <x v="329"/>
    <x v="0"/>
    <x v="2"/>
    <s v="CTEMPLA_1000CO10100510 XXXPROCUREMENT"/>
    <s v="G000001130"/>
    <s v="G000001130"/>
    <s v="Non-LFF"/>
    <s v=""/>
    <m/>
    <b v="1"/>
    <x v="0"/>
    <x v="3"/>
    <d v="2025-08-14T00:00:00"/>
    <m/>
    <m/>
    <x v="1"/>
    <n v="91"/>
    <s v="Jojeff Tagnong"/>
    <m/>
  </r>
  <r>
    <x v="329"/>
    <x v="0"/>
    <x v="2"/>
    <s v="CTEMPLA_1000GT10ZZ0A30 XXXADM - CP- Sourcing"/>
    <s v="G000001130"/>
    <s v="G000001130"/>
    <s v="Non-LFF"/>
    <s v=""/>
    <m/>
    <b v="1"/>
    <x v="0"/>
    <x v="3"/>
    <d v="2025-08-14T00:00:00"/>
    <m/>
    <m/>
    <x v="1"/>
    <n v="91"/>
    <s v="Jojeff Tagnong"/>
    <m/>
  </r>
  <r>
    <x v="329"/>
    <x v="0"/>
    <x v="2"/>
    <s v="CTEMPLA_1000GT10ZZ1A30 ADM - PO - Procurement EMEA"/>
    <s v="G000001130"/>
    <s v="G000001130"/>
    <s v="Non-LFF"/>
    <s v=""/>
    <m/>
    <b v="1"/>
    <x v="0"/>
    <x v="3"/>
    <d v="2025-08-14T00:00:00"/>
    <m/>
    <m/>
    <x v="1"/>
    <n v="91"/>
    <s v="Jojeff Tagnong"/>
    <m/>
  </r>
  <r>
    <x v="329"/>
    <x v="0"/>
    <x v="2"/>
    <s v="CTEMPLA_1000MX10501006 PO-Procurement-Americas"/>
    <s v="G000001130"/>
    <s v="G000001130"/>
    <s v="Non-LFF"/>
    <s v=""/>
    <m/>
    <b v="1"/>
    <x v="0"/>
    <x v="3"/>
    <d v="2025-08-14T00:00:00"/>
    <m/>
    <m/>
    <x v="1"/>
    <n v="91"/>
    <s v="Jojeff Tagnong"/>
    <m/>
  </r>
  <r>
    <x v="329"/>
    <x v="0"/>
    <x v="2"/>
    <s v="CTEMPLA_1000PE10760000 XXXXXXPROCUREMENT"/>
    <s v="G000001130"/>
    <s v="G000001130"/>
    <s v="Non-LFF"/>
    <s v=""/>
    <m/>
    <b v="1"/>
    <x v="0"/>
    <x v="3"/>
    <d v="2025-08-14T00:00:00"/>
    <m/>
    <m/>
    <x v="1"/>
    <n v="91"/>
    <s v="Jojeff Tagnong"/>
    <m/>
  </r>
  <r>
    <x v="329"/>
    <x v="0"/>
    <x v="2"/>
    <s v="CTEMPLA_1000UY10050029 XXXPO Src Plant Srvc-Am"/>
    <s v="G000001130"/>
    <s v="G000001130"/>
    <s v="Non-LFF"/>
    <s v=""/>
    <m/>
    <b v="1"/>
    <x v="0"/>
    <x v="3"/>
    <d v="2025-08-14T00:00:00"/>
    <m/>
    <m/>
    <x v="1"/>
    <n v="91"/>
    <s v="Jojeff Tagnong"/>
    <m/>
  </r>
  <r>
    <x v="329"/>
    <x v="0"/>
    <x v="2"/>
    <s v="CTEMPLA_1000UY10GPO004 Site Operations Sourcing Americas"/>
    <s v="G000001130"/>
    <s v="G000001130"/>
    <s v="Non-LFF"/>
    <s v=""/>
    <m/>
    <b v="1"/>
    <x v="0"/>
    <x v="3"/>
    <d v="2025-08-14T00:00:00"/>
    <m/>
    <m/>
    <x v="1"/>
    <n v="91"/>
    <s v="Jojeff Tagnong"/>
    <m/>
  </r>
  <r>
    <x v="329"/>
    <x v="0"/>
    <x v="2"/>
    <s v="CTEMPNA_1000US20CA8801 PO Americas"/>
    <s v="G000001130"/>
    <s v="G000001130"/>
    <s v="Non-LFF"/>
    <s v=""/>
    <m/>
    <b v="1"/>
    <x v="0"/>
    <x v="3"/>
    <d v="2025-08-14T00:00:00"/>
    <m/>
    <m/>
    <x v="1"/>
    <n v="91"/>
    <s v="Jojeff Tagnong"/>
    <m/>
  </r>
  <r>
    <x v="329"/>
    <x v="0"/>
    <x v="2"/>
    <s v="CTEMPNA_1000US20CA8804 PO EMEA"/>
    <s v="G000001130"/>
    <s v="G000001130"/>
    <s v="Non-LFF"/>
    <s v=""/>
    <m/>
    <b v="1"/>
    <x v="0"/>
    <x v="3"/>
    <d v="2025-08-14T00:00:00"/>
    <m/>
    <m/>
    <x v="1"/>
    <n v="91"/>
    <s v="Jojeff Tagnong"/>
    <m/>
  </r>
  <r>
    <x v="329"/>
    <x v="0"/>
    <x v="2"/>
    <s v="CTEMPNA_1000US30CA8800 PO America"/>
    <s v="G000001130"/>
    <s v="G000001130"/>
    <s v="Non-LFF"/>
    <s v=""/>
    <m/>
    <b v="1"/>
    <x v="0"/>
    <x v="3"/>
    <d v="2025-08-14T00:00:00"/>
    <m/>
    <m/>
    <x v="1"/>
    <n v="91"/>
    <s v="Jojeff Tagnong"/>
    <m/>
  </r>
  <r>
    <x v="329"/>
    <x v="0"/>
    <x v="2"/>
    <s v="CTEMPNA_1000US30CA8804 PO EMEA"/>
    <s v="G000001130"/>
    <s v="G000001130"/>
    <s v="Non-LFF"/>
    <s v=""/>
    <m/>
    <b v="1"/>
    <x v="0"/>
    <x v="3"/>
    <d v="2025-08-14T00:00:00"/>
    <m/>
    <m/>
    <x v="1"/>
    <n v="91"/>
    <s v="Jojeff Tagnong"/>
    <m/>
  </r>
  <r>
    <x v="329"/>
    <x v="0"/>
    <x v="2"/>
    <s v="CTEMPNA_1000US30CA8805 PO IT"/>
    <s v="G000001130"/>
    <s v="G000001130"/>
    <s v="Non-LFF"/>
    <s v=""/>
    <m/>
    <b v="1"/>
    <x v="0"/>
    <x v="3"/>
    <d v="2025-08-14T00:00:00"/>
    <m/>
    <m/>
    <x v="1"/>
    <n v="91"/>
    <s v="Jojeff Tagnong"/>
    <m/>
  </r>
  <r>
    <x v="330"/>
    <x v="0"/>
    <x v="2"/>
    <s v="CEMERAL_70006101MS310A"/>
    <s v="L000013589"/>
    <s v="L000013589"/>
    <s v="Non-LFF"/>
    <s v=""/>
    <m/>
    <b v="1"/>
    <x v="2"/>
    <x v="3"/>
    <d v="2025-08-14T00:00:00"/>
    <m/>
    <m/>
    <x v="1"/>
    <n v="91"/>
    <s v="Lakshmi Shree"/>
    <m/>
  </r>
  <r>
    <x v="331"/>
    <x v="0"/>
    <x v="2"/>
    <s v="PLEAN_X310511VN5015200 MAV COM Other promotion"/>
    <s v="H000001323"/>
    <s v="H000001323"/>
    <s v="Non-LFF"/>
    <s v=""/>
    <m/>
    <b v="1"/>
    <x v="1"/>
    <x v="3"/>
    <d v="2025-08-15T00:00:00"/>
    <m/>
    <m/>
    <x v="1"/>
    <n v="90"/>
    <s v="Maria Rosario Go"/>
    <m/>
  </r>
  <r>
    <x v="331"/>
    <x v="0"/>
    <x v="2"/>
    <s v="PLEAN_X310172VN5020300 BAV MED Education"/>
    <s v="H000001331"/>
    <s v="H000001331"/>
    <s v="Non-LFF"/>
    <s v=""/>
    <m/>
    <b v="1"/>
    <x v="1"/>
    <x v="3"/>
    <d v="2025-08-15T00:00:00"/>
    <m/>
    <m/>
    <x v="1"/>
    <n v="90"/>
    <s v="Maria Rosario Go"/>
    <m/>
  </r>
  <r>
    <x v="331"/>
    <x v="0"/>
    <x v="2"/>
    <s v="PLEAN_X310172VN5022300 BAV MED Consultants"/>
    <s v="H000001331"/>
    <s v="H000001331"/>
    <s v="Non-LFF"/>
    <s v=""/>
    <m/>
    <b v="1"/>
    <x v="1"/>
    <x v="3"/>
    <d v="2025-08-15T00:00:00"/>
    <m/>
    <m/>
    <x v="1"/>
    <n v="90"/>
    <s v="Maria Rosario Go"/>
    <m/>
  </r>
  <r>
    <x v="331"/>
    <x v="0"/>
    <x v="2"/>
    <s v="PLEAN_X310172VN5023300 BAV MED Other activities (non-R&amp;D)"/>
    <s v="H000001333"/>
    <s v="H000001333"/>
    <s v="Non-LFF"/>
    <s v=""/>
    <m/>
    <b v="1"/>
    <x v="1"/>
    <x v="3"/>
    <d v="2025-08-15T00:00:00"/>
    <m/>
    <m/>
    <x v="1"/>
    <n v="90"/>
    <s v="Maria Rosario Go"/>
    <m/>
  </r>
  <r>
    <x v="331"/>
    <x v="0"/>
    <x v="2"/>
    <s v="PLEAN_X310511VN5010200 MAV COM Promotion material"/>
    <s v="H000001323"/>
    <s v="H000001323"/>
    <s v="Non-LFF"/>
    <s v=""/>
    <m/>
    <b v="1"/>
    <x v="1"/>
    <x v="3"/>
    <d v="2025-08-15T00:00:00"/>
    <m/>
    <m/>
    <x v="1"/>
    <n v="90"/>
    <s v="Maria Rosario Go"/>
    <m/>
  </r>
  <r>
    <x v="331"/>
    <x v="0"/>
    <x v="2"/>
    <s v="PLEAN_X310171VN5013200 BAV COM Congresses and events"/>
    <s v="H000001323"/>
    <s v="H000001323"/>
    <s v="Non-LFF"/>
    <s v=""/>
    <m/>
    <b v="1"/>
    <x v="1"/>
    <x v="3"/>
    <d v="2025-08-15T00:00:00"/>
    <m/>
    <m/>
    <x v="1"/>
    <n v="90"/>
    <s v="Maria Rosario Go"/>
    <m/>
  </r>
  <r>
    <x v="332"/>
    <x v="0"/>
    <x v="2"/>
    <s v="CSCALA_1042$MSMS_W63"/>
    <s v="H000000423"/>
    <s v="H000000423"/>
    <s v="Non-LFF"/>
    <s v=""/>
    <m/>
    <b v="1"/>
    <x v="1"/>
    <x v="3"/>
    <d v="2025-08-15T00:00:00"/>
    <m/>
    <m/>
    <x v="1"/>
    <n v="90"/>
    <s v="Maria Rosario Go"/>
    <m/>
  </r>
  <r>
    <x v="332"/>
    <x v="0"/>
    <x v="2"/>
    <s v="CSCALA_1042$ONPM_X60"/>
    <s v="H000000423"/>
    <s v="H000000423"/>
    <s v="Non-LFF"/>
    <s v=""/>
    <m/>
    <b v="1"/>
    <x v="1"/>
    <x v="3"/>
    <d v="2025-08-15T00:00:00"/>
    <m/>
    <m/>
    <x v="1"/>
    <n v="90"/>
    <s v="Maria Rosario Go"/>
    <m/>
  </r>
  <r>
    <x v="332"/>
    <x v="0"/>
    <x v="2"/>
    <s v="CSCALA_1042$FEPM_F12"/>
    <s v="H000000423"/>
    <s v="H000000423"/>
    <s v="Non-LFF"/>
    <s v=""/>
    <m/>
    <b v="1"/>
    <x v="1"/>
    <x v="3"/>
    <d v="2025-08-15T00:00:00"/>
    <m/>
    <m/>
    <x v="1"/>
    <n v="90"/>
    <s v="Maria Rosario Go"/>
    <m/>
  </r>
  <r>
    <x v="332"/>
    <x v="0"/>
    <x v="2"/>
    <s v="CSCALA_1042$MSMS_F12"/>
    <s v="H000000423"/>
    <s v="H000000423"/>
    <s v="Non-LFF"/>
    <s v=""/>
    <m/>
    <b v="1"/>
    <x v="1"/>
    <x v="3"/>
    <d v="2025-08-15T00:00:00"/>
    <m/>
    <m/>
    <x v="1"/>
    <n v="90"/>
    <s v="Maria Rosario Go"/>
    <m/>
  </r>
  <r>
    <x v="332"/>
    <x v="0"/>
    <x v="2"/>
    <s v="CSCALA_1042$MSPM_C55"/>
    <s v="H000000423"/>
    <s v="H000000423"/>
    <s v="Non-LFF"/>
    <s v=""/>
    <m/>
    <b v="1"/>
    <x v="1"/>
    <x v="3"/>
    <d v="2025-08-15T00:00:00"/>
    <m/>
    <m/>
    <x v="1"/>
    <n v="90"/>
    <s v="Maria Rosario Go"/>
    <m/>
  </r>
  <r>
    <x v="332"/>
    <x v="0"/>
    <x v="2"/>
    <s v="CSCALA_1042$MSPM_C56"/>
    <s v="H000000423"/>
    <s v="H000000423"/>
    <s v="Non-LFF"/>
    <s v=""/>
    <m/>
    <b v="1"/>
    <x v="1"/>
    <x v="3"/>
    <d v="2025-08-15T00:00:00"/>
    <m/>
    <m/>
    <x v="1"/>
    <n v="90"/>
    <s v="Maria Rosario Go"/>
    <m/>
  </r>
  <r>
    <x v="332"/>
    <x v="0"/>
    <x v="2"/>
    <s v="CSCALA_1042$MSMS_W11"/>
    <s v="H000000423"/>
    <s v="H000000423"/>
    <s v="Non-LFF"/>
    <s v=""/>
    <m/>
    <b v="1"/>
    <x v="1"/>
    <x v="3"/>
    <d v="2025-08-15T00:00:00"/>
    <m/>
    <m/>
    <x v="1"/>
    <n v="90"/>
    <s v="Maria Rosario Go"/>
    <m/>
  </r>
  <r>
    <x v="332"/>
    <x v="0"/>
    <x v="2"/>
    <s v="CSCALA_1042$MSMS_W14"/>
    <s v="H000000423"/>
    <s v="H000000423"/>
    <s v="Non-LFF"/>
    <s v=""/>
    <m/>
    <b v="1"/>
    <x v="1"/>
    <x v="3"/>
    <d v="2025-08-15T00:00:00"/>
    <m/>
    <m/>
    <x v="1"/>
    <n v="90"/>
    <s v="Maria Rosario Go"/>
    <m/>
  </r>
  <r>
    <x v="332"/>
    <x v="0"/>
    <x v="2"/>
    <s v="CSCALA_1042$MSIS_F58"/>
    <s v="H000000423"/>
    <s v="H000000423"/>
    <s v="Non-LFF"/>
    <s v=""/>
    <m/>
    <b v="1"/>
    <x v="1"/>
    <x v="3"/>
    <d v="2025-08-15T00:00:00"/>
    <m/>
    <m/>
    <x v="1"/>
    <n v="90"/>
    <s v="Maria Rosario Go"/>
    <m/>
  </r>
  <r>
    <x v="332"/>
    <x v="0"/>
    <x v="2"/>
    <s v="CSCALA_1042$MSMS_C01"/>
    <s v="H000000423"/>
    <s v="H000000423"/>
    <s v="Non-LFF"/>
    <s v=""/>
    <m/>
    <b v="1"/>
    <x v="1"/>
    <x v="3"/>
    <d v="2025-08-15T00:00:00"/>
    <m/>
    <m/>
    <x v="1"/>
    <n v="90"/>
    <s v="Maria Rosario Go"/>
    <m/>
  </r>
  <r>
    <x v="332"/>
    <x v="0"/>
    <x v="2"/>
    <s v="CSCALA_1042$MSMS_C02"/>
    <s v="H000000423"/>
    <s v="H000000423"/>
    <s v="Non-LFF"/>
    <s v=""/>
    <m/>
    <b v="1"/>
    <x v="1"/>
    <x v="3"/>
    <d v="2025-08-15T00:00:00"/>
    <m/>
    <m/>
    <x v="1"/>
    <n v="90"/>
    <s v="Maria Rosario Go"/>
    <m/>
  </r>
  <r>
    <x v="332"/>
    <x v="0"/>
    <x v="2"/>
    <s v="CSCALA_1042$MSMS_T03"/>
    <s v="H000000423"/>
    <s v="H000000423"/>
    <s v="Non-LFF"/>
    <s v=""/>
    <m/>
    <b v="1"/>
    <x v="1"/>
    <x v="3"/>
    <d v="2025-08-15T00:00:00"/>
    <m/>
    <m/>
    <x v="1"/>
    <n v="90"/>
    <s v="Maria Rosario Go"/>
    <m/>
  </r>
  <r>
    <x v="333"/>
    <x v="0"/>
    <x v="2"/>
    <s v="CEMERAL_70006502522500 Erbitux _Risk Sharing Program_NHIS"/>
    <s v="H000001225"/>
    <s v="H000001225"/>
    <s v="Non-LFF"/>
    <s v=""/>
    <m/>
    <b v="1"/>
    <x v="1"/>
    <x v="3"/>
    <d v="2025-08-15T00:00:00"/>
    <m/>
    <m/>
    <x v="1"/>
    <n v="90"/>
    <s v="Maria Rosario Go"/>
    <m/>
  </r>
  <r>
    <x v="334"/>
    <x v="0"/>
    <x v="2"/>
    <s v="D00123100000000"/>
    <s v="P000001013"/>
    <s v="P000001013"/>
    <s v="Non-LFF"/>
    <s v=""/>
    <m/>
    <b v="1"/>
    <x v="3"/>
    <x v="3"/>
    <d v="2025-08-18T00:00:00"/>
    <m/>
    <m/>
    <x v="1"/>
    <n v="89"/>
    <s v="Roselle Delos Angeles"/>
    <m/>
  </r>
  <r>
    <x v="334"/>
    <x v="0"/>
    <x v="2"/>
    <s v="DP000016000000"/>
    <s v="P000001016"/>
    <s v="P000001016"/>
    <s v="Non-LFF"/>
    <s v=""/>
    <m/>
    <b v="1"/>
    <x v="3"/>
    <x v="3"/>
    <d v="2025-08-18T00:00:00"/>
    <m/>
    <m/>
    <x v="1"/>
    <n v="89"/>
    <s v="Roselle Delos Angeles"/>
    <m/>
  </r>
  <r>
    <x v="334"/>
    <x v="0"/>
    <x v="2"/>
    <s v="DP000013000000"/>
    <s v="P000001016"/>
    <s v="P000001016"/>
    <s v="Non-LFF"/>
    <s v=""/>
    <m/>
    <b v="1"/>
    <x v="3"/>
    <x v="3"/>
    <d v="2025-08-18T00:00:00"/>
    <m/>
    <m/>
    <x v="1"/>
    <n v="89"/>
    <s v="Roselle Delos Angeles"/>
    <m/>
  </r>
  <r>
    <x v="334"/>
    <x v="0"/>
    <x v="2"/>
    <s v="DP000023000000"/>
    <s v="P000001010"/>
    <s v="P000001010"/>
    <s v="Non-LFF"/>
    <s v=""/>
    <m/>
    <b v="1"/>
    <x v="3"/>
    <x v="3"/>
    <d v="2025-08-18T00:00:00"/>
    <m/>
    <m/>
    <x v="1"/>
    <n v="89"/>
    <s v="Roselle Delos Angeles"/>
    <m/>
  </r>
  <r>
    <x v="334"/>
    <x v="0"/>
    <x v="2"/>
    <s v="D00130000000000 BOE-OLED-Mobile-NT3"/>
    <s v="P000001228"/>
    <s v="P000001228"/>
    <s v="Non-LFF"/>
    <s v=""/>
    <m/>
    <b v="1"/>
    <x v="3"/>
    <x v="3"/>
    <d v="2025-08-18T00:00:00"/>
    <m/>
    <m/>
    <x v="1"/>
    <n v="89"/>
    <s v="Roselle Delos Angeles"/>
    <m/>
  </r>
  <r>
    <x v="335"/>
    <x v="0"/>
    <x v="2"/>
    <s v="CLFF_1000$$$TW03TATA02"/>
    <s v="P000000808"/>
    <s v="P000000808"/>
    <s v="LFF (MDG-F)"/>
    <s v="TW03TATA02"/>
    <m/>
    <b v="1"/>
    <x v="3"/>
    <x v="3"/>
    <d v="2025-08-18T00:00:00"/>
    <m/>
    <m/>
    <x v="1"/>
    <n v="89"/>
    <s v="John Rowie Del Rosario"/>
    <m/>
  </r>
  <r>
    <x v="336"/>
    <x v="0"/>
    <x v="2"/>
    <s v="PLEAN_X310281CN5015008 PI COM PROM OTH MR on TGCT"/>
    <s v="H000004390"/>
    <s v="H000004390"/>
    <s v="Non-LFF"/>
    <s v=""/>
    <m/>
    <b v="1"/>
    <x v="1"/>
    <x v="3"/>
    <d v="2025-08-18T00:00:00"/>
    <m/>
    <m/>
    <x v="1"/>
    <n v="89"/>
    <s v="John Poulie Borromeo"/>
    <m/>
  </r>
  <r>
    <x v="336"/>
    <x v="0"/>
    <x v="2"/>
    <s v="PLEAN_X310282CN5020305 PI MED MED EDU DSA to HCP: Medical educa"/>
    <s v="H000004392"/>
    <s v="H000004392"/>
    <s v="Non-LFF"/>
    <s v=""/>
    <m/>
    <b v="1"/>
    <x v="1"/>
    <x v="3"/>
    <d v="2025-08-18T00:00:00"/>
    <m/>
    <m/>
    <x v="1"/>
    <n v="89"/>
    <s v="John Poulie Borromeo"/>
    <m/>
  </r>
  <r>
    <x v="336"/>
    <x v="0"/>
    <x v="2"/>
    <s v="PLEAN_X310282CN5023303 PI MED MED OTH Data Generation: Publicat"/>
    <s v="H000004392"/>
    <s v="H000004392"/>
    <s v="Non-LFF"/>
    <s v=""/>
    <m/>
    <b v="1"/>
    <x v="1"/>
    <x v="3"/>
    <d v="2025-08-18T00:00:00"/>
    <m/>
    <m/>
    <x v="1"/>
    <n v="89"/>
    <s v="John Poulie Borromeo"/>
    <m/>
  </r>
  <r>
    <x v="336"/>
    <x v="0"/>
    <x v="2"/>
    <s v="PLEAN_X310282CN5023302 PIMI MED MED OTH ASCO campaign"/>
    <s v="H000004392"/>
    <s v="H000004392"/>
    <s v="Non-LFF"/>
    <s v=""/>
    <m/>
    <b v="1"/>
    <x v="1"/>
    <x v="3"/>
    <d v="2025-08-18T00:00:00"/>
    <m/>
    <m/>
    <x v="1"/>
    <n v="89"/>
    <s v="John Poulie Borromeo"/>
    <m/>
  </r>
  <r>
    <x v="336"/>
    <x v="0"/>
    <x v="2"/>
    <s v="PLEAN_X310282CN5023304 PI MED MED OTH Medical Strategy Readines"/>
    <s v="H000004392"/>
    <s v="H000004392"/>
    <s v="Non-LFF"/>
    <s v=""/>
    <m/>
    <b v="1"/>
    <x v="1"/>
    <x v="3"/>
    <d v="2025-08-18T00:00:00"/>
    <m/>
    <m/>
    <x v="1"/>
    <n v="89"/>
    <s v="John Poulie Borromeo"/>
    <m/>
  </r>
  <r>
    <x v="336"/>
    <x v="0"/>
    <x v="2"/>
    <s v="PLEAN_X310101CN5013353"/>
    <s v="H000001422"/>
    <s v="H000001422"/>
    <s v="Non-LFF"/>
    <s v=""/>
    <m/>
    <b v="1"/>
    <x v="1"/>
    <x v="3"/>
    <d v="2025-08-18T00:00:00"/>
    <m/>
    <m/>
    <x v="1"/>
    <n v="89"/>
    <s v="John Poulie Borromeo"/>
    <m/>
  </r>
  <r>
    <x v="336"/>
    <x v="0"/>
    <x v="2"/>
    <s v="PLEAN_X310101CN5013356 ERB COM C&amp;E ONC H&amp;N-Case Sharing"/>
    <s v="H000001422"/>
    <s v="H000001422"/>
    <s v="Non-LFF"/>
    <s v=""/>
    <m/>
    <b v="1"/>
    <x v="1"/>
    <x v="3"/>
    <d v="2025-08-18T00:00:00"/>
    <m/>
    <m/>
    <x v="1"/>
    <n v="89"/>
    <s v="John Poulie Borromeo"/>
    <m/>
  </r>
  <r>
    <x v="336"/>
    <x v="0"/>
    <x v="2"/>
    <s v="PLEAN_X310101CN5013357 ERB COM C&amp;E ONC H&amp;N-Roadshow"/>
    <s v="H000001422"/>
    <s v="H000001422"/>
    <s v="Non-LFF"/>
    <s v=""/>
    <m/>
    <b v="1"/>
    <x v="1"/>
    <x v="3"/>
    <d v="2025-08-18T00:00:00"/>
    <m/>
    <m/>
    <x v="1"/>
    <n v="89"/>
    <s v="John Poulie Borromeo"/>
    <m/>
  </r>
  <r>
    <x v="336"/>
    <x v="0"/>
    <x v="2"/>
    <s v="PLEAN_X310101CN5013358 ERB COM C&amp;E AI Chatbot upgrade &amp; promoti"/>
    <s v="H000001422"/>
    <s v="H000001422"/>
    <s v="Non-LFF"/>
    <s v=""/>
    <m/>
    <b v="1"/>
    <x v="1"/>
    <x v="3"/>
    <d v="2025-08-18T00:00:00"/>
    <m/>
    <m/>
    <x v="1"/>
    <n v="89"/>
    <s v="John Poulie Borromeo"/>
    <m/>
  </r>
  <r>
    <x v="336"/>
    <x v="0"/>
    <x v="2"/>
    <s v="PLEAN_X310101CN5013361"/>
    <s v="H000001422"/>
    <s v="H000001422"/>
    <s v="Non-LFF"/>
    <s v=""/>
    <m/>
    <b v="1"/>
    <x v="1"/>
    <x v="3"/>
    <d v="2025-08-18T00:00:00"/>
    <m/>
    <m/>
    <x v="1"/>
    <n v="89"/>
    <s v="John Poulie Borromeo"/>
    <m/>
  </r>
  <r>
    <x v="336"/>
    <x v="0"/>
    <x v="2"/>
    <s v="PLEAN_X310101CN5013362 ERB COM C&amp;E Data purchasing"/>
    <s v="H000001422"/>
    <s v="H000001422"/>
    <s v="Non-LFF"/>
    <s v=""/>
    <m/>
    <b v="1"/>
    <x v="1"/>
    <x v="3"/>
    <d v="2025-08-18T00:00:00"/>
    <m/>
    <m/>
    <x v="1"/>
    <n v="89"/>
    <s v="John Poulie Borromeo"/>
    <m/>
  </r>
  <r>
    <x v="336"/>
    <x v="0"/>
    <x v="2"/>
    <s v="PLEAN_X310101CN5013364"/>
    <s v="H000001422"/>
    <s v="H000001422"/>
    <s v="Non-LFF"/>
    <s v=""/>
    <m/>
    <b v="1"/>
    <x v="1"/>
    <x v="3"/>
    <d v="2025-08-18T00:00:00"/>
    <m/>
    <m/>
    <x v="1"/>
    <n v="89"/>
    <s v="John Poulie Borromeo"/>
    <m/>
  </r>
  <r>
    <x v="337"/>
    <x v="0"/>
    <x v="2"/>
    <s v="CSCALA_1820$A100_AM5"/>
    <s v="H000000393"/>
    <s v="H000000393"/>
    <s v="Non-LFF"/>
    <s v=""/>
    <m/>
    <b v="1"/>
    <x v="1"/>
    <x v="3"/>
    <d v="2025-08-19T00:00:00"/>
    <m/>
    <m/>
    <x v="1"/>
    <n v="88"/>
    <s v="John Poulie Borromeo"/>
    <m/>
  </r>
  <r>
    <x v="337"/>
    <x v="0"/>
    <x v="2"/>
    <s v="CNOW_ROW$$$$0000091869 Health care Field force"/>
    <s v="H000000396"/>
    <s v="H000000396"/>
    <s v="Non-LFF"/>
    <s v=""/>
    <m/>
    <b v="1"/>
    <x v="1"/>
    <x v="3"/>
    <d v="2025-08-19T00:00:00"/>
    <m/>
    <m/>
    <x v="1"/>
    <n v="88"/>
    <s v="John Poulie Borromeo"/>
    <m/>
  </r>
  <r>
    <x v="337"/>
    <x v="0"/>
    <x v="2"/>
    <s v="CSCALA_1042$ONPM_W52"/>
    <s v="H000000423"/>
    <s v="H000000423"/>
    <s v="Non-LFF"/>
    <s v=""/>
    <m/>
    <b v="1"/>
    <x v="1"/>
    <x v="3"/>
    <d v="2025-08-19T00:00:00"/>
    <m/>
    <m/>
    <x v="1"/>
    <n v="88"/>
    <s v="John Poulie Borromeo"/>
    <m/>
  </r>
  <r>
    <x v="337"/>
    <x v="0"/>
    <x v="2"/>
    <s v="CSCALA_1042$ONPM_X61"/>
    <s v="H000000423"/>
    <s v="H000000423"/>
    <s v="Non-LFF"/>
    <s v=""/>
    <m/>
    <b v="1"/>
    <x v="1"/>
    <x v="3"/>
    <d v="2025-08-19T00:00:00"/>
    <m/>
    <m/>
    <x v="1"/>
    <n v="88"/>
    <s v="John Poulie Borromeo"/>
    <m/>
  </r>
  <r>
    <x v="337"/>
    <x v="0"/>
    <x v="2"/>
    <s v="CSCALA_1042$MSPM_E84"/>
    <s v="H000000423"/>
    <s v="H000000423"/>
    <s v="Non-LFF"/>
    <s v=""/>
    <m/>
    <b v="1"/>
    <x v="1"/>
    <x v="3"/>
    <d v="2025-08-19T00:00:00"/>
    <m/>
    <m/>
    <x v="1"/>
    <n v="88"/>
    <s v="John Poulie Borromeo"/>
    <m/>
  </r>
  <r>
    <x v="337"/>
    <x v="0"/>
    <x v="2"/>
    <s v="CSCALA_1042$MSMS_D18"/>
    <s v="H000000423"/>
    <s v="H000000423"/>
    <s v="Non-LFF"/>
    <s v=""/>
    <m/>
    <b v="1"/>
    <x v="1"/>
    <x v="3"/>
    <d v="2025-08-19T00:00:00"/>
    <m/>
    <m/>
    <x v="1"/>
    <n v="88"/>
    <s v="John Poulie Borromeo"/>
    <m/>
  </r>
  <r>
    <x v="337"/>
    <x v="0"/>
    <x v="2"/>
    <s v="CSCALA_1042$MSPM_T56"/>
    <s v="H000000423"/>
    <s v="H000000423"/>
    <s v="Non-LFF"/>
    <s v=""/>
    <m/>
    <b v="1"/>
    <x v="1"/>
    <x v="3"/>
    <d v="2025-08-19T00:00:00"/>
    <m/>
    <m/>
    <x v="1"/>
    <n v="88"/>
    <s v="John Poulie Borromeo"/>
    <m/>
  </r>
  <r>
    <x v="337"/>
    <x v="0"/>
    <x v="2"/>
    <s v="CSCALA_1042$MSMS_M99"/>
    <s v="H000000423"/>
    <s v="H000000423"/>
    <s v="Non-LFF"/>
    <s v=""/>
    <m/>
    <b v="1"/>
    <x v="1"/>
    <x v="3"/>
    <d v="2025-08-19T00:00:00"/>
    <m/>
    <m/>
    <x v="1"/>
    <n v="88"/>
    <s v="John Poulie Borromeo"/>
    <m/>
  </r>
  <r>
    <x v="338"/>
    <x v="0"/>
    <x v="2"/>
    <s v="ITEMPEU_001500001762 "/>
    <s v="L000013461"/>
    <s v="L000013461"/>
    <s v="Non-LFF"/>
    <s v=""/>
    <m/>
    <b v="1"/>
    <x v="2"/>
    <x v="3"/>
    <d v="2025-08-19T00:00:00"/>
    <m/>
    <m/>
    <x v="1"/>
    <n v="88"/>
    <s v="Ruby Grace Garcia"/>
    <m/>
  </r>
  <r>
    <x v="338"/>
    <x v="0"/>
    <x v="2"/>
    <s v="ITEMPEU_001500001763 "/>
    <s v="L000013461"/>
    <s v="L000013461"/>
    <s v="Non-LFF"/>
    <s v=""/>
    <m/>
    <b v="1"/>
    <x v="2"/>
    <x v="3"/>
    <d v="2025-08-19T00:00:00"/>
    <m/>
    <m/>
    <x v="1"/>
    <n v="88"/>
    <s v="Ruby Grace Garcia"/>
    <m/>
  </r>
  <r>
    <x v="339"/>
    <x v="0"/>
    <x v="2"/>
    <s v="CEMERAL_70007102171436"/>
    <s v="L000012407"/>
    <s v="L000012407"/>
    <s v="Non-LFF"/>
    <s v=""/>
    <m/>
    <b v="1"/>
    <x v="2"/>
    <x v="3"/>
    <d v="2025-08-19T00:00:00"/>
    <m/>
    <m/>
    <x v="1"/>
    <n v="88"/>
    <s v="Lakshmi Shree"/>
    <m/>
  </r>
  <r>
    <x v="340"/>
    <x v="0"/>
    <x v="2"/>
    <s v="CSCALA_1248$PSDO "/>
    <s v="L000013858"/>
    <s v="L000013858"/>
    <s v="Non-LFF"/>
    <s v=""/>
    <m/>
    <b v="1"/>
    <x v="2"/>
    <x v="3"/>
    <d v="2025-08-19T00:00:00"/>
    <m/>
    <m/>
    <x v="1"/>
    <n v="88"/>
    <s v="Joan Rose Pena"/>
    <m/>
  </r>
  <r>
    <x v="341"/>
    <x v="0"/>
    <x v="2"/>
    <s v="CNOW_7210$$$0000021316 Applied Solutions BRM Patent Fees"/>
    <s v="G000001283"/>
    <s v="G000001283"/>
    <s v="Non-LFF"/>
    <s v=""/>
    <m/>
    <b v="1"/>
    <x v="2"/>
    <x v="3"/>
    <d v="2025-08-22T00:00:00"/>
    <m/>
    <m/>
    <x v="1"/>
    <n v="85"/>
    <s v="Ruby Grace Garcia"/>
    <m/>
  </r>
  <r>
    <x v="341"/>
    <x v="0"/>
    <x v="2"/>
    <s v="CORAERP_MMOR1975.6122 AS - BRM Patent Fees"/>
    <s v="G000001283"/>
    <s v="G000001283"/>
    <s v="Non-LFF"/>
    <s v=""/>
    <m/>
    <b v="1"/>
    <x v="2"/>
    <x v="3"/>
    <d v="2025-08-22T00:00:00"/>
    <m/>
    <m/>
    <x v="1"/>
    <n v="85"/>
    <s v="Ruby Grace Garcia"/>
    <m/>
  </r>
  <r>
    <x v="341"/>
    <x v="0"/>
    <x v="2"/>
    <s v="IPHOENX_000001500022 Patent Costs BRM Immunoassays"/>
    <s v="G000001283"/>
    <s v="G000001283"/>
    <s v="Non-LFF"/>
    <s v=""/>
    <m/>
    <b v="1"/>
    <x v="2"/>
    <x v="3"/>
    <d v="2025-08-22T00:00:00"/>
    <m/>
    <m/>
    <x v="1"/>
    <n v="85"/>
    <s v="Ruby Grace Garcia"/>
    <m/>
  </r>
  <r>
    <x v="341"/>
    <x v="0"/>
    <x v="2"/>
    <s v="CNOW_7210$$$0000020548 PS-GENM Patent Fees"/>
    <s v="G000001283"/>
    <s v="G000001283"/>
    <s v="Non-LFF"/>
    <s v=""/>
    <m/>
    <b v="1"/>
    <x v="2"/>
    <x v="3"/>
    <d v="2025-08-22T00:00:00"/>
    <m/>
    <m/>
    <x v="1"/>
    <n v="85"/>
    <s v="Ruby Grace Garcia"/>
    <m/>
  </r>
  <r>
    <x v="341"/>
    <x v="0"/>
    <x v="2"/>
    <s v="CORAERP_MMOR1975.6123 PS-GENM Patent Fees"/>
    <s v="G000001283"/>
    <s v="G000001283"/>
    <s v="Non-LFF"/>
    <s v=""/>
    <m/>
    <b v="1"/>
    <x v="2"/>
    <x v="3"/>
    <d v="2025-08-22T00:00:00"/>
    <m/>
    <m/>
    <x v="1"/>
    <n v="85"/>
    <s v="Ruby Grace Garcia"/>
    <m/>
  </r>
  <r>
    <x v="341"/>
    <x v="0"/>
    <x v="2"/>
    <s v="IPHOENX_000001500003 Patent Costs Bioscience; KGaA"/>
    <s v="G000001283"/>
    <s v="G000001283"/>
    <s v="Non-LFF"/>
    <s v=""/>
    <m/>
    <b v="1"/>
    <x v="2"/>
    <x v="3"/>
    <d v="2025-08-22T00:00:00"/>
    <m/>
    <m/>
    <x v="1"/>
    <n v="85"/>
    <s v="Ruby Grace Garcia"/>
    <m/>
  </r>
  <r>
    <x v="341"/>
    <x v="0"/>
    <x v="2"/>
    <s v="IPHOENX_000001500014 Patent Cost/AA-Inorganic Reagents"/>
    <s v="G000001283"/>
    <s v="G000001283"/>
    <s v="Non-LFF"/>
    <s v=""/>
    <m/>
    <b v="1"/>
    <x v="2"/>
    <x v="3"/>
    <d v="2025-08-22T00:00:00"/>
    <m/>
    <m/>
    <x v="1"/>
    <n v="85"/>
    <s v="Ruby Grace Garcia"/>
    <m/>
  </r>
  <r>
    <x v="341"/>
    <x v="0"/>
    <x v="2"/>
    <s v="CNOW_7210$$$0000021315 Research Solution Patent Fees"/>
    <s v="G000001283"/>
    <s v="G000001283"/>
    <s v="Non-LFF"/>
    <s v=""/>
    <m/>
    <b v="1"/>
    <x v="2"/>
    <x v="3"/>
    <d v="2025-08-22T00:00:00"/>
    <m/>
    <m/>
    <x v="1"/>
    <n v="85"/>
    <s v="Ruby Grace Garcia"/>
    <m/>
  </r>
  <r>
    <x v="341"/>
    <x v="0"/>
    <x v="2"/>
    <s v="CORAERP_MMOR1975.9072 RS - RS Patent Fees"/>
    <s v="G000001283"/>
    <s v="G000001283"/>
    <s v="Non-LFF"/>
    <s v=""/>
    <m/>
    <b v="1"/>
    <x v="2"/>
    <x v="3"/>
    <d v="2025-08-22T00:00:00"/>
    <m/>
    <m/>
    <x v="1"/>
    <n v="85"/>
    <s v="Ruby Grace Garcia"/>
    <m/>
  </r>
  <r>
    <x v="341"/>
    <x v="0"/>
    <x v="2"/>
    <s v="CORAERP_MMOR1099.6730 PS - FDS PATENT FEES"/>
    <s v="G000001283"/>
    <s v="G000001283"/>
    <s v="Non-LFF"/>
    <s v=""/>
    <m/>
    <b v="1"/>
    <x v="2"/>
    <x v="3"/>
    <d v="2025-08-22T00:00:00"/>
    <m/>
    <m/>
    <x v="1"/>
    <n v="85"/>
    <s v="Ruby Grace Garcia"/>
    <m/>
  </r>
  <r>
    <x v="341"/>
    <x v="0"/>
    <x v="2"/>
    <s v="CORAERP_MMOR1975.6730 PS - FDS PATENT FEES"/>
    <s v="G000001283"/>
    <s v="G000001283"/>
    <s v="Non-LFF"/>
    <s v=""/>
    <m/>
    <b v="1"/>
    <x v="2"/>
    <x v="3"/>
    <d v="2025-08-22T00:00:00"/>
    <m/>
    <m/>
    <x v="1"/>
    <n v="85"/>
    <s v="Ruby Grace Garcia"/>
    <m/>
  </r>
  <r>
    <x v="341"/>
    <x v="0"/>
    <x v="2"/>
    <s v="CORAERP_MMOR1975.6534 AS - LabW Patent Fees"/>
    <s v="G000001283"/>
    <s v="G000001283"/>
    <s v="Non-LFF"/>
    <s v=""/>
    <m/>
    <b v="1"/>
    <x v="2"/>
    <x v="3"/>
    <d v="2025-08-22T00:00:00"/>
    <m/>
    <m/>
    <x v="1"/>
    <n v="85"/>
    <s v="Ruby Grace Garcia"/>
    <m/>
  </r>
  <r>
    <x v="341"/>
    <x v="0"/>
    <x v="2"/>
    <s v="CORAERP_MMOR1945.6534 AS - LabW Patent Fees"/>
    <s v="G000001283"/>
    <s v="G000001283"/>
    <s v="Non-LFF"/>
    <s v=""/>
    <m/>
    <b v="1"/>
    <x v="2"/>
    <x v="3"/>
    <d v="2025-08-22T00:00:00"/>
    <m/>
    <m/>
    <x v="1"/>
    <n v="85"/>
    <s v="Ruby Grace Garcia"/>
    <m/>
  </r>
  <r>
    <x v="341"/>
    <x v="0"/>
    <x v="2"/>
    <s v="CFLTFLE_13060000000063 R&amp;D Merck"/>
    <s v="G000001283"/>
    <s v="G000001283"/>
    <s v="Non-LFF"/>
    <s v=""/>
    <m/>
    <b v="1"/>
    <x v="2"/>
    <x v="3"/>
    <d v="2025-08-22T00:00:00"/>
    <m/>
    <m/>
    <x v="1"/>
    <n v="85"/>
    <s v="Ruby Grace Garcia"/>
    <m/>
  </r>
  <r>
    <x v="341"/>
    <x v="0"/>
    <x v="2"/>
    <s v="CLFF_1000$$$DE73R00021 Patent Costs SomaLogic In"/>
    <s v="G000001283"/>
    <s v="G000001283"/>
    <s v="LFF (MDG-F)"/>
    <s v="DE73R00021"/>
    <m/>
    <b v="1"/>
    <x v="2"/>
    <x v="3"/>
    <d v="2025-08-22T00:00:00"/>
    <m/>
    <m/>
    <x v="1"/>
    <n v="85"/>
    <s v="Ruby Grace Garcia"/>
    <m/>
  </r>
  <r>
    <x v="341"/>
    <x v="0"/>
    <x v="2"/>
    <s v="IPHOENX_000001500017 Patent Cost/BioM-Microbiology"/>
    <s v="G000001283"/>
    <s v="G000001283"/>
    <s v="Non-LFF"/>
    <s v=""/>
    <m/>
    <b v="1"/>
    <x v="2"/>
    <x v="3"/>
    <d v="2025-08-22T00:00:00"/>
    <m/>
    <m/>
    <x v="1"/>
    <n v="85"/>
    <s v="Ruby Grace Garcia"/>
    <m/>
  </r>
  <r>
    <x v="341"/>
    <x v="0"/>
    <x v="2"/>
    <s v="CLFF_1000$$$DE73R00013 Patent Costs (external)/D"/>
    <s v="G000001283"/>
    <s v="G000001283"/>
    <s v="LFF (MDG-F)"/>
    <s v="DE73R00013"/>
    <m/>
    <b v="1"/>
    <x v="2"/>
    <x v="3"/>
    <d v="2025-08-22T00:00:00"/>
    <m/>
    <m/>
    <x v="1"/>
    <n v="85"/>
    <s v="Ruby Grace Garcia"/>
    <m/>
  </r>
  <r>
    <x v="341"/>
    <x v="0"/>
    <x v="2"/>
    <s v="CORAERP_MMOR1975.9207 AS - BioM Patent Fees"/>
    <s v="G000001283"/>
    <s v="G000001283"/>
    <s v="Non-LFF"/>
    <s v=""/>
    <m/>
    <b v="1"/>
    <x v="2"/>
    <x v="3"/>
    <d v="2025-08-22T00:00:00"/>
    <m/>
    <m/>
    <x v="1"/>
    <n v="85"/>
    <s v="Ruby Grace Garcia"/>
    <m/>
  </r>
  <r>
    <x v="342"/>
    <x v="0"/>
    <x v="4"/>
    <s v="CLFF_VMCA$$$DE10TM4000"/>
    <s v="P000001331"/>
    <s v="P000000472"/>
    <s v="LFF (MDG-F)"/>
    <s v="DE10TM4000"/>
    <s v="No REAL"/>
    <b v="0"/>
    <x v="1"/>
    <x v="3"/>
    <d v="2025-08-22T00:00:00"/>
    <m/>
    <m/>
    <x v="1"/>
    <n v="85"/>
    <s v="Lawrence Olsheski"/>
    <m/>
  </r>
  <r>
    <x v="342"/>
    <x v="0"/>
    <x v="2"/>
    <s v="CLFF_VMCA$$$BE10DB3600 BE10 Customs/Duties"/>
    <s v="P000001331"/>
    <s v="P000001331"/>
    <s v="LFF (MDG-F)"/>
    <s v="BE10DB3600"/>
    <m/>
    <b v="1"/>
    <x v="1"/>
    <x v="3"/>
    <d v="2025-08-22T00:00:00"/>
    <m/>
    <m/>
    <x v="1"/>
    <n v="85"/>
    <s v="Lawrence Olsheski"/>
    <m/>
  </r>
  <r>
    <x v="342"/>
    <x v="0"/>
    <x v="2"/>
    <s v="CLFF_VMCA$$$FR10DB3600 FR10 Customs/Duties"/>
    <s v="P000001331"/>
    <s v="P000001331"/>
    <s v="LFF (MDG-F)"/>
    <s v="FR10DB3600"/>
    <m/>
    <b v="1"/>
    <x v="1"/>
    <x v="3"/>
    <d v="2025-08-22T00:00:00"/>
    <m/>
    <m/>
    <x v="1"/>
    <n v="85"/>
    <s v="Lawrence Olsheski"/>
    <m/>
  </r>
  <r>
    <x v="342"/>
    <x v="0"/>
    <x v="2"/>
    <s v="CLFF_VMCA$$$GB10DB3600 GB10 Customs/Duties"/>
    <s v="P000001331"/>
    <s v="P000001331"/>
    <s v="LFF (MDG-F)"/>
    <s v="GB10DB3600"/>
    <m/>
    <b v="1"/>
    <x v="1"/>
    <x v="3"/>
    <d v="2025-08-22T00:00:00"/>
    <m/>
    <m/>
    <x v="1"/>
    <n v="85"/>
    <s v="Lawrence Olsheski"/>
    <m/>
  </r>
  <r>
    <x v="342"/>
    <x v="0"/>
    <x v="2"/>
    <s v="CLFF_VMCA$$$IE10DB3600 IE10 Customs/Duties"/>
    <s v="P000001331"/>
    <s v="P000001331"/>
    <s v="LFF (MDG-F)"/>
    <s v="IE10DB3600"/>
    <m/>
    <b v="1"/>
    <x v="1"/>
    <x v="3"/>
    <d v="2025-08-22T00:00:00"/>
    <m/>
    <m/>
    <x v="1"/>
    <n v="85"/>
    <s v="Lawrence Olsheski"/>
    <m/>
  </r>
  <r>
    <x v="342"/>
    <x v="0"/>
    <x v="2"/>
    <s v="CLFF_VMCA$$$IL10DB3600 IL10 Customs/Duties"/>
    <s v="P000001331"/>
    <s v="P000001331"/>
    <s v="LFF (MDG-F)"/>
    <s v="IL10DB3600"/>
    <m/>
    <b v="1"/>
    <x v="1"/>
    <x v="3"/>
    <d v="2025-08-22T00:00:00"/>
    <m/>
    <m/>
    <x v="1"/>
    <n v="85"/>
    <s v="Lawrence Olsheski"/>
    <m/>
  </r>
  <r>
    <x v="342"/>
    <x v="0"/>
    <x v="2"/>
    <s v="CLFF_VMCA$$$IT07DB3600 IT07 Customs/Duties"/>
    <s v="P000001331"/>
    <s v="P000001331"/>
    <s v="LFF (MDG-F)"/>
    <s v="IT07DB3600"/>
    <m/>
    <b v="1"/>
    <x v="1"/>
    <x v="3"/>
    <d v="2025-08-22T00:00:00"/>
    <m/>
    <m/>
    <x v="1"/>
    <n v="85"/>
    <s v="Lawrence Olsheski"/>
    <m/>
  </r>
  <r>
    <x v="342"/>
    <x v="0"/>
    <x v="2"/>
    <s v="CLFF_VMCA$$$NL10DB3600 NL10 Customs/Duties"/>
    <s v="P000001331"/>
    <s v="P000001331"/>
    <s v="LFF (MDG-F)"/>
    <s v="NL10DB3600"/>
    <m/>
    <b v="1"/>
    <x v="1"/>
    <x v="3"/>
    <d v="2025-08-22T00:00:00"/>
    <m/>
    <m/>
    <x v="1"/>
    <n v="85"/>
    <s v="Lawrence Olsheski"/>
    <m/>
  </r>
  <r>
    <x v="342"/>
    <x v="0"/>
    <x v="2"/>
    <s v="CLFF_1000$$$DE01OF0303 Customer Service MPM Wiesbaden"/>
    <s v="P000001332"/>
    <s v="P000001332"/>
    <s v="LFF (MDG-F)"/>
    <s v="DE01OF0303"/>
    <m/>
    <b v="1"/>
    <x v="1"/>
    <x v="3"/>
    <d v="2025-08-22T00:00:00"/>
    <m/>
    <m/>
    <x v="1"/>
    <n v="85"/>
    <s v="Lawrence Olsheski"/>
    <m/>
  </r>
  <r>
    <x v="342"/>
    <x v="0"/>
    <x v="2"/>
    <s v="CLFF_1000$$$DE04OFHQ02 CF Semi Customer Service Europe"/>
    <s v="P000001332"/>
    <s v="P000001332"/>
    <s v="LFF (MDG-F)"/>
    <s v="DE04OFHQ02"/>
    <m/>
    <b v="1"/>
    <x v="1"/>
    <x v="3"/>
    <d v="2025-08-22T00:00:00"/>
    <m/>
    <m/>
    <x v="1"/>
    <n v="85"/>
    <s v="Lawrence Olsheski"/>
    <m/>
  </r>
  <r>
    <x v="342"/>
    <x v="0"/>
    <x v="2"/>
    <s v="CLFF_1000$$$DE04TP5000 CF Semiconductor Customer Service"/>
    <s v="P000001332"/>
    <s v="P000001332"/>
    <s v="LFF (MDG-F)"/>
    <s v="DE04TP5000"/>
    <m/>
    <b v="1"/>
    <x v="1"/>
    <x v="3"/>
    <d v="2025-08-22T00:00:00"/>
    <m/>
    <m/>
    <x v="1"/>
    <n v="85"/>
    <s v="Lawrence Olsheski"/>
    <m/>
  </r>
  <r>
    <x v="343"/>
    <x v="0"/>
    <x v="2"/>
    <s v="CNOW_7210$$$0000040190 Global Tech and R&amp;D in Sheboygan"/>
    <s v="L000013877"/>
    <s v="L000013877"/>
    <s v="Non-LFF"/>
    <s v=""/>
    <m/>
    <b v="1"/>
    <x v="2"/>
    <x v="3"/>
    <d v="2025-08-25T00:00:00"/>
    <m/>
    <m/>
    <x v="1"/>
    <n v="84"/>
    <s v="Ruby Grace Garcia"/>
    <m/>
  </r>
  <r>
    <x v="343"/>
    <x v="0"/>
    <x v="2"/>
    <s v="CNOW_7210$$$0000040500 MWK Packaging Admin"/>
    <s v="L000010183"/>
    <s v="L000010183"/>
    <s v="Non-LFF"/>
    <s v=""/>
    <m/>
    <b v="1"/>
    <x v="2"/>
    <x v="3"/>
    <d v="2025-08-25T00:00:00"/>
    <m/>
    <m/>
    <x v="1"/>
    <n v="84"/>
    <s v="Ruby Grace Garcia"/>
    <m/>
  </r>
  <r>
    <x v="343"/>
    <x v="0"/>
    <x v="2"/>
    <s v="CNOW_7210$$$0000040339 MWK RS WASTE WATER TREATMENT SHEBOYGEN"/>
    <s v="L000013478"/>
    <s v="L000013478"/>
    <s v="Non-LFF"/>
    <s v=""/>
    <m/>
    <b v="1"/>
    <x v="2"/>
    <x v="3"/>
    <d v="2025-08-25T00:00:00"/>
    <m/>
    <m/>
    <x v="1"/>
    <n v="84"/>
    <s v="Ruby Grace Garcia"/>
    <m/>
  </r>
  <r>
    <x v="343"/>
    <x v="0"/>
    <x v="2"/>
    <s v="CNOW_7210$$$0000040963 MWK RS SHEBOYGAN BUILDING SECURITY"/>
    <s v="L000013478"/>
    <s v="L000013478"/>
    <s v="Non-LFF"/>
    <s v=""/>
    <m/>
    <b v="1"/>
    <x v="2"/>
    <x v="3"/>
    <d v="2025-08-25T00:00:00"/>
    <m/>
    <m/>
    <x v="1"/>
    <n v="84"/>
    <s v="Ruby Grace Garcia"/>
    <m/>
  </r>
  <r>
    <x v="343"/>
    <x v="0"/>
    <x v="2"/>
    <s v="CNOW_7210$$$0000040681 MWK RS SAFETY &amp; HEALTH"/>
    <s v="L000013478"/>
    <s v="L000013478"/>
    <s v="Non-LFF"/>
    <s v=""/>
    <m/>
    <b v="1"/>
    <x v="2"/>
    <x v="3"/>
    <d v="2025-08-25T00:00:00"/>
    <m/>
    <m/>
    <x v="1"/>
    <n v="84"/>
    <s v="Ruby Grace Garcia"/>
    <m/>
  </r>
  <r>
    <x v="343"/>
    <x v="0"/>
    <x v="2"/>
    <s v="CNOW_7210$$$0000056007 Mobius Warehouse-Distri"/>
    <s v="L000012185"/>
    <s v="L000012185"/>
    <s v="Non-LFF"/>
    <s v=""/>
    <m/>
    <b v="1"/>
    <x v="2"/>
    <x v="3"/>
    <d v="2025-08-25T00:00:00"/>
    <m/>
    <m/>
    <x v="1"/>
    <n v="84"/>
    <s v="Ruby Grace Garcia"/>
    <m/>
  </r>
  <r>
    <x v="343"/>
    <x v="0"/>
    <x v="2"/>
    <s v="CNOW_7210$$$0000056057 Mobius Warehouse-Dist"/>
    <s v="L000012185"/>
    <s v="L000012185"/>
    <s v="Non-LFF"/>
    <s v=""/>
    <m/>
    <b v="1"/>
    <x v="2"/>
    <x v="3"/>
    <d v="2025-08-25T00:00:00"/>
    <m/>
    <m/>
    <x v="1"/>
    <n v="84"/>
    <s v="Ruby Grace Garcia"/>
    <m/>
  </r>
  <r>
    <x v="343"/>
    <x v="0"/>
    <x v="2"/>
    <s v="CNOW_7210$$$0000059933 WUXI DISTRIBUTION for FG OUTPUT"/>
    <s v="L000009359"/>
    <s v="L000009359"/>
    <s v="Non-LFF"/>
    <s v=""/>
    <m/>
    <b v="1"/>
    <x v="2"/>
    <x v="3"/>
    <d v="2025-08-25T00:00:00"/>
    <m/>
    <m/>
    <x v="1"/>
    <n v="84"/>
    <s v="Ruby Grace Garcia"/>
    <m/>
  </r>
  <r>
    <x v="343"/>
    <x v="0"/>
    <x v="2"/>
    <s v="CNOW_7210$$$0000059983 WUXI DISTRIBUTION for FG OUTPUT"/>
    <s v="L000009359"/>
    <s v="L000009359"/>
    <s v="Non-LFF"/>
    <s v=""/>
    <m/>
    <b v="1"/>
    <x v="2"/>
    <x v="3"/>
    <d v="2025-08-25T00:00:00"/>
    <m/>
    <m/>
    <x v="1"/>
    <n v="84"/>
    <s v="Ruby Grace Garcia"/>
    <m/>
  </r>
  <r>
    <x v="343"/>
    <x v="0"/>
    <x v="2"/>
    <s v="CORAERP_MMOR1975.6622 6622 WAU Technology Funded Project"/>
    <s v="L000013884"/>
    <s v="L000013884"/>
    <s v="Non-LFF"/>
    <s v=""/>
    <m/>
    <b v="1"/>
    <x v="2"/>
    <x v="3"/>
    <d v="2025-08-25T00:00:00"/>
    <m/>
    <m/>
    <x v="1"/>
    <n v="84"/>
    <s v="Ruby Grace Garcia"/>
    <m/>
  </r>
  <r>
    <x v="343"/>
    <x v="0"/>
    <x v="2"/>
    <s v="CNOW_7210$$$0000270009 CTO Strategy &amp; Execution"/>
    <s v="L000013885"/>
    <s v="L000013885"/>
    <s v="Non-LFF"/>
    <s v=""/>
    <m/>
    <b v="1"/>
    <x v="2"/>
    <x v="3"/>
    <d v="2025-08-25T00:00:00"/>
    <m/>
    <m/>
    <x v="1"/>
    <n v="84"/>
    <s v="Ruby Grace Garcia"/>
    <m/>
  </r>
  <r>
    <x v="343"/>
    <x v="0"/>
    <x v="2"/>
    <s v="CPHOENX_01010000697782 LS Technology Office"/>
    <s v="L000013324"/>
    <s v="L000013324"/>
    <s v="Non-LFF"/>
    <s v=""/>
    <m/>
    <b v="1"/>
    <x v="2"/>
    <x v="3"/>
    <d v="2025-08-25T00:00:00"/>
    <m/>
    <m/>
    <x v="1"/>
    <n v="84"/>
    <s v="Ruby Grace Garcia"/>
    <m/>
  </r>
  <r>
    <x v="343"/>
    <x v="0"/>
    <x v="2"/>
    <s v="CEMERAL_700065020KAIST KAIST - CTO"/>
    <s v="L000013277"/>
    <s v="L000013277"/>
    <s v="Non-LFF"/>
    <s v=""/>
    <m/>
    <b v="1"/>
    <x v="2"/>
    <x v="3"/>
    <d v="2025-08-25T00:00:00"/>
    <m/>
    <m/>
    <x v="1"/>
    <n v="84"/>
    <s v="Ruby Grace Garcia"/>
    <m/>
  </r>
  <r>
    <x v="343"/>
    <x v="0"/>
    <x v="2"/>
    <s v="CNOW_7210$$$0000022108 PS R&amp;D Tax/IP Entries"/>
    <s v="L000006611"/>
    <s v="L000006611"/>
    <s v="Non-LFF"/>
    <s v=""/>
    <m/>
    <b v="1"/>
    <x v="2"/>
    <x v="3"/>
    <d v="2025-08-25T00:00:00"/>
    <m/>
    <m/>
    <x v="1"/>
    <n v="84"/>
    <s v="Ruby Grace Garcia"/>
    <m/>
  </r>
  <r>
    <x v="343"/>
    <x v="0"/>
    <x v="2"/>
    <s v="CEMERAL_70006203601203 BIOP IC Royalty 1975"/>
    <s v="L000013847"/>
    <s v="L000013847"/>
    <s v="Non-LFF"/>
    <s v=""/>
    <m/>
    <b v="1"/>
    <x v="2"/>
    <x v="3"/>
    <d v="2025-08-25T00:00:00"/>
    <m/>
    <m/>
    <x v="1"/>
    <n v="84"/>
    <s v="Ruby Grace Garcia"/>
    <m/>
  </r>
  <r>
    <x v="343"/>
    <x v="0"/>
    <x v="2"/>
    <s v="CORAERP_MMOR1945.P3SW BL P3 Systems Hardware - SW"/>
    <s v="L000013847"/>
    <s v="L000013847"/>
    <s v="Non-LFF"/>
    <s v=""/>
    <m/>
    <b v="1"/>
    <x v="2"/>
    <x v="3"/>
    <d v="2025-08-25T00:00:00"/>
    <m/>
    <m/>
    <x v="1"/>
    <n v="84"/>
    <s v="Ruby Grace Garcia"/>
    <m/>
  </r>
  <r>
    <x v="343"/>
    <x v="0"/>
    <x v="2"/>
    <s v="CORAERP_MMOR1975.P3IN BL P3 Systems Hardware - IN"/>
    <s v="L000013847"/>
    <s v="L000013847"/>
    <s v="Non-LFF"/>
    <s v=""/>
    <m/>
    <b v="1"/>
    <x v="2"/>
    <x v="3"/>
    <d v="2025-08-25T00:00:00"/>
    <m/>
    <m/>
    <x v="1"/>
    <n v="84"/>
    <s v="Ruby Grace Garcia"/>
    <m/>
  </r>
  <r>
    <x v="343"/>
    <x v="0"/>
    <x v="2"/>
    <s v="CORAERP_MMOR1945.P1US BL P1 Aseptic - US"/>
    <s v="L000006568"/>
    <s v="L000006568"/>
    <s v="Non-LFF"/>
    <s v=""/>
    <m/>
    <b v="1"/>
    <x v="2"/>
    <x v="3"/>
    <d v="2025-08-25T00:00:00"/>
    <m/>
    <m/>
    <x v="1"/>
    <n v="84"/>
    <s v="Ruby Grace Garcia"/>
    <m/>
  </r>
  <r>
    <x v="343"/>
    <x v="0"/>
    <x v="2"/>
    <s v="CORAERP_MMOR1975.P1FR BL P1 Aseptic - FR"/>
    <s v="L000006568"/>
    <s v="L000006568"/>
    <s v="Non-LFF"/>
    <s v=""/>
    <m/>
    <b v="1"/>
    <x v="2"/>
    <x v="3"/>
    <d v="2025-08-25T00:00:00"/>
    <m/>
    <m/>
    <x v="1"/>
    <n v="84"/>
    <s v="Ruby Grace Garcia"/>
    <m/>
  </r>
  <r>
    <x v="343"/>
    <x v="0"/>
    <x v="2"/>
    <s v="CORAERP_MMOR1945.9729 Resolution Spectra OOEI"/>
    <s v="L000013847"/>
    <s v="L000013847"/>
    <s v="Non-LFF"/>
    <s v=""/>
    <m/>
    <b v="1"/>
    <x v="2"/>
    <x v="3"/>
    <d v="2025-08-25T00:00:00"/>
    <m/>
    <m/>
    <x v="1"/>
    <n v="84"/>
    <s v="Ruby Grace Garcia"/>
    <m/>
  </r>
  <r>
    <x v="343"/>
    <x v="0"/>
    <x v="2"/>
    <s v="CORAERP_MMOR1975.5202 GENM - Cell &amp; Gene Therapy Franchise"/>
    <s v="L000013850"/>
    <s v="L000013850"/>
    <s v="Non-LFF"/>
    <s v=""/>
    <m/>
    <b v="1"/>
    <x v="2"/>
    <x v="3"/>
    <d v="2025-08-25T00:00:00"/>
    <m/>
    <m/>
    <x v="1"/>
    <n v="84"/>
    <s v="Ruby Grace Garcia"/>
    <m/>
  </r>
  <r>
    <x v="343"/>
    <x v="0"/>
    <x v="2"/>
    <s v="CORAERP_MMOR1975.5287 Marketing - Franchise Mgmt"/>
    <s v="L000013847"/>
    <s v="L000013847"/>
    <s v="Non-LFF"/>
    <s v=""/>
    <m/>
    <b v="1"/>
    <x v="2"/>
    <x v="3"/>
    <d v="2025-08-25T00:00:00"/>
    <m/>
    <m/>
    <x v="1"/>
    <n v="84"/>
    <s v="Ruby Grace Garcia"/>
    <m/>
  </r>
  <r>
    <x v="343"/>
    <x v="0"/>
    <x v="2"/>
    <s v="CORAERP_MMOR1975.6589 Placeholder Erbi Employees"/>
    <s v="L000013850"/>
    <s v="L000013850"/>
    <s v="Non-LFF"/>
    <s v=""/>
    <m/>
    <b v="1"/>
    <x v="2"/>
    <x v="3"/>
    <d v="2025-08-25T00:00:00"/>
    <m/>
    <m/>
    <x v="1"/>
    <n v="84"/>
    <s v="Ruby Grace Garcia"/>
    <m/>
  </r>
  <r>
    <x v="343"/>
    <x v="0"/>
    <x v="2"/>
    <s v="CORAERP_MMOR1975.P3KO BL P3 Systems Hardware - KO"/>
    <s v="L000013850"/>
    <s v="L000013850"/>
    <s v="Non-LFF"/>
    <s v=""/>
    <m/>
    <b v="1"/>
    <x v="2"/>
    <x v="3"/>
    <d v="2025-08-25T00:00:00"/>
    <m/>
    <m/>
    <x v="1"/>
    <n v="84"/>
    <s v="Ruby Grace Garcia"/>
    <m/>
  </r>
  <r>
    <x v="343"/>
    <x v="0"/>
    <x v="2"/>
    <s v="CPHOENX_01010000063666 Single Use Growth Segments"/>
    <s v="L000013849"/>
    <s v="L000013849"/>
    <s v="Non-LFF"/>
    <s v=""/>
    <m/>
    <b v="1"/>
    <x v="2"/>
    <x v="3"/>
    <d v="2025-08-25T00:00:00"/>
    <m/>
    <m/>
    <x v="1"/>
    <n v="84"/>
    <s v="Ruby Grace Garcia"/>
    <m/>
  </r>
  <r>
    <x v="343"/>
    <x v="0"/>
    <x v="2"/>
    <s v="CPHOENX_01010000686300 MM Process Solutions Global Pricing"/>
    <s v="L000013560"/>
    <s v="L000013560"/>
    <s v="Non-LFF"/>
    <s v=""/>
    <m/>
    <b v="1"/>
    <x v="2"/>
    <x v="3"/>
    <d v="2025-08-25T00:00:00"/>
    <m/>
    <m/>
    <x v="1"/>
    <n v="84"/>
    <s v="Ruby Grace Garcia"/>
    <m/>
  </r>
  <r>
    <x v="343"/>
    <x v="0"/>
    <x v="2"/>
    <s v="CTEMPLA_1000BR10500149 BEX Operational Excellence Brazil"/>
    <s v="L000013560"/>
    <s v="L000013560"/>
    <s v="Non-LFF"/>
    <s v=""/>
    <m/>
    <b v="1"/>
    <x v="2"/>
    <x v="3"/>
    <d v="2025-08-25T00:00:00"/>
    <m/>
    <m/>
    <x v="1"/>
    <n v="84"/>
    <s v="Ruby Grace Garcia"/>
    <m/>
  </r>
  <r>
    <x v="343"/>
    <x v="0"/>
    <x v="2"/>
    <s v="CEMERAL_70007001581214 MESI REG PS-DIGITAL ENHANCE SG"/>
    <s v="L000011729"/>
    <s v="L000011729"/>
    <s v="Non-LFF"/>
    <s v=""/>
    <m/>
    <b v="1"/>
    <x v="2"/>
    <x v="3"/>
    <d v="2025-08-25T00:00:00"/>
    <m/>
    <m/>
    <x v="1"/>
    <n v="84"/>
    <s v="Ruby Grace Garcia"/>
    <m/>
  </r>
  <r>
    <x v="343"/>
    <x v="0"/>
    <x v="2"/>
    <s v="CORAERP_MMOR1975.9531 SFDC PMO"/>
    <s v="L000013530"/>
    <s v="L000013530"/>
    <s v="Non-LFF"/>
    <s v=""/>
    <m/>
    <b v="1"/>
    <x v="2"/>
    <x v="3"/>
    <d v="2025-08-25T00:00:00"/>
    <m/>
    <m/>
    <x v="1"/>
    <n v="84"/>
    <s v="Ruby Grace Garcia"/>
    <m/>
  </r>
  <r>
    <x v="343"/>
    <x v="0"/>
    <x v="2"/>
    <s v="CORAERP_MMOR1975.9945 9945 IT T&amp;E - other ERP projects"/>
    <s v="L000013806"/>
    <s v="L000013806"/>
    <s v="Non-LFF"/>
    <s v=""/>
    <m/>
    <b v="1"/>
    <x v="2"/>
    <x v="3"/>
    <d v="2025-08-25T00:00:00"/>
    <m/>
    <m/>
    <x v="1"/>
    <n v="84"/>
    <s v="Ruby Grace Garcia"/>
    <m/>
  </r>
  <r>
    <x v="343"/>
    <x v="0"/>
    <x v="2"/>
    <s v="CLFF_1000$$$DE10OF0005 T&amp;E - ONE LS ERP"/>
    <s v="L000013831"/>
    <s v="L000013831"/>
    <s v="LFF (MDG-F)"/>
    <s v="DE10OF0005"/>
    <m/>
    <b v="1"/>
    <x v="2"/>
    <x v="3"/>
    <d v="2025-08-25T00:00:00"/>
    <m/>
    <m/>
    <x v="1"/>
    <n v="84"/>
    <s v="Ruby Grace Garcia"/>
    <m/>
  </r>
  <r>
    <x v="343"/>
    <x v="0"/>
    <x v="2"/>
    <s v="CLFF_1000$$$DE10OF0007 LS ERP other - T&amp;E"/>
    <s v="L000013831"/>
    <s v="L000013831"/>
    <s v="LFF (MDG-F)"/>
    <s v="DE10OF0007"/>
    <m/>
    <b v="1"/>
    <x v="2"/>
    <x v="3"/>
    <d v="2025-08-25T00:00:00"/>
    <m/>
    <m/>
    <x v="1"/>
    <n v="84"/>
    <s v="Ruby Grace Garcia"/>
    <m/>
  </r>
  <r>
    <x v="343"/>
    <x v="0"/>
    <x v="2"/>
    <s v="CLFF_7210$$$2123OF0029 T&amp;E_IN - other LS ERP"/>
    <s v="L000013831"/>
    <s v="L000013831"/>
    <s v="LFF (MDG-F)"/>
    <s v="2123OF0029"/>
    <m/>
    <b v="1"/>
    <x v="2"/>
    <x v="3"/>
    <d v="2025-08-25T00:00:00"/>
    <m/>
    <m/>
    <x v="1"/>
    <n v="84"/>
    <s v="Ruby Grace Garcia"/>
    <m/>
  </r>
  <r>
    <x v="343"/>
    <x v="0"/>
    <x v="2"/>
    <s v="CNOW_7210$$$0000010584 T&amp;E - other LS ERP"/>
    <s v="L000013831"/>
    <s v="L000013831"/>
    <s v="Non-LFF"/>
    <s v=""/>
    <m/>
    <b v="1"/>
    <x v="2"/>
    <x v="3"/>
    <d v="2025-08-25T00:00:00"/>
    <m/>
    <m/>
    <x v="1"/>
    <n v="84"/>
    <s v="Ruby Grace Garcia"/>
    <m/>
  </r>
  <r>
    <x v="343"/>
    <x v="0"/>
    <x v="2"/>
    <s v="CNOW_7210$$$0000052114 T&amp;E - other LS ERP"/>
    <s v="L000013831"/>
    <s v="L000013831"/>
    <s v="Non-LFF"/>
    <s v=""/>
    <m/>
    <b v="1"/>
    <x v="2"/>
    <x v="3"/>
    <d v="2025-08-25T00:00:00"/>
    <m/>
    <m/>
    <x v="1"/>
    <n v="84"/>
    <s v="Ruby Grace Garcia"/>
    <m/>
  </r>
  <r>
    <x v="344"/>
    <x v="0"/>
    <x v="2"/>
    <s v="CLFF_7210$$$2123C00057 LW E-Business"/>
    <s v="L000013826"/>
    <s v="L000013826"/>
    <s v="LFF (MDG-F)"/>
    <s v="2123C00057"/>
    <m/>
    <b v="1"/>
    <x v="2"/>
    <x v="3"/>
    <d v="2025-08-26T00:00:00"/>
    <m/>
    <m/>
    <x v="1"/>
    <n v="83"/>
    <s v="Ruby Grace Garcia"/>
    <m/>
  </r>
  <r>
    <x v="344"/>
    <x v="0"/>
    <x v="2"/>
    <s v="CORAERP_MMOR1945.5304 LW Strategy Execution"/>
    <s v="L000013826"/>
    <s v="L000013826"/>
    <s v="Non-LFF"/>
    <m/>
    <m/>
    <b v="1"/>
    <x v="2"/>
    <x v="3"/>
    <d v="2025-08-26T00:00:00"/>
    <m/>
    <m/>
    <x v="1"/>
    <n v="83"/>
    <s v="Ruby Grace Garcia"/>
    <m/>
  </r>
  <r>
    <x v="344"/>
    <x v="0"/>
    <x v="2"/>
    <s v="CORAERP_MMOR1945.5405 LW Training"/>
    <s v="L000013198"/>
    <s v="L000013198"/>
    <s v="Non-LFF"/>
    <m/>
    <m/>
    <b v="1"/>
    <x v="2"/>
    <x v="3"/>
    <d v="2025-08-26T00:00:00"/>
    <m/>
    <m/>
    <x v="1"/>
    <n v="83"/>
    <s v="Ruby Grace Garcia"/>
    <m/>
  </r>
  <r>
    <x v="344"/>
    <x v="0"/>
    <x v="2"/>
    <s v="CEMERAL_70006502108610 MarCom A&amp;P LW South Korea"/>
    <s v="L000013829"/>
    <s v="L000013829"/>
    <s v="Non-LFF"/>
    <m/>
    <m/>
    <b v="1"/>
    <x v="2"/>
    <x v="3"/>
    <d v="2025-08-26T00:00:00"/>
    <m/>
    <m/>
    <x v="1"/>
    <n v="83"/>
    <s v="Ruby Grace Garcia"/>
    <m/>
  </r>
  <r>
    <x v="344"/>
    <x v="0"/>
    <x v="2"/>
    <s v="CEMERAL_70006203200904 LW - Marcom India"/>
    <s v="L000013829"/>
    <s v="L000013829"/>
    <s v="Non-LFF"/>
    <m/>
    <m/>
    <b v="1"/>
    <x v="2"/>
    <x v="3"/>
    <d v="2025-08-26T00:00:00"/>
    <m/>
    <m/>
    <x v="1"/>
    <n v="83"/>
    <s v="Ruby Grace Garcia"/>
    <m/>
  </r>
  <r>
    <x v="344"/>
    <x v="0"/>
    <x v="2"/>
    <s v="CEMERAL_70006203201003 MarCom A&amp;P LW India"/>
    <s v="L000013829"/>
    <s v="L000013829"/>
    <s v="Non-LFF"/>
    <m/>
    <m/>
    <b v="1"/>
    <x v="2"/>
    <x v="3"/>
    <d v="2025-08-26T00:00:00"/>
    <m/>
    <m/>
    <x v="1"/>
    <n v="83"/>
    <s v="Ruby Grace Garcia"/>
    <m/>
  </r>
  <r>
    <x v="344"/>
    <x v="0"/>
    <x v="2"/>
    <s v="CTEMPLA_1000AR10P09014 MarCom LW A&amp;P AR"/>
    <s v="L000013829"/>
    <s v="L000013829"/>
    <s v="Non-LFF"/>
    <m/>
    <m/>
    <b v="1"/>
    <x v="2"/>
    <x v="3"/>
    <d v="2025-08-26T00:00:00"/>
    <m/>
    <m/>
    <x v="1"/>
    <n v="83"/>
    <s v="Ruby Grace Garcia"/>
    <m/>
  </r>
  <r>
    <x v="344"/>
    <x v="0"/>
    <x v="2"/>
    <s v="CTEMPLA_1000CO10100387 MarCom LabW A&amp;P"/>
    <s v="L000013829"/>
    <s v="L000013829"/>
    <s v="Non-LFF"/>
    <m/>
    <m/>
    <b v="1"/>
    <x v="2"/>
    <x v="3"/>
    <d v="2025-08-26T00:00:00"/>
    <m/>
    <m/>
    <x v="1"/>
    <n v="83"/>
    <s v="Ruby Grace Garcia"/>
    <m/>
  </r>
  <r>
    <x v="344"/>
    <x v="0"/>
    <x v="2"/>
    <s v="CTEMPLA_1000MX10316683 MarCom LabW A&amp;P MX"/>
    <s v="L000013829"/>
    <s v="L000013829"/>
    <s v="Non-LFF"/>
    <m/>
    <m/>
    <b v="1"/>
    <x v="2"/>
    <x v="3"/>
    <d v="2025-08-26T00:00:00"/>
    <m/>
    <m/>
    <x v="1"/>
    <n v="83"/>
    <s v="Ruby Grace Garcia"/>
    <m/>
  </r>
  <r>
    <x v="344"/>
    <x v="0"/>
    <x v="2"/>
    <s v="CEMERAL_64010010860931 LW Japan Marcom"/>
    <s v="L000013829"/>
    <s v="L000013829"/>
    <s v="Non-LFF"/>
    <m/>
    <m/>
    <b v="1"/>
    <x v="2"/>
    <x v="3"/>
    <d v="2025-08-26T00:00:00"/>
    <m/>
    <m/>
    <x v="1"/>
    <n v="83"/>
    <s v="Ruby Grace Garcia"/>
    <m/>
  </r>
  <r>
    <x v="344"/>
    <x v="0"/>
    <x v="2"/>
    <s v="CEMERAL_70006101MS1310 MarCom A&amp;P LW China+"/>
    <s v="L000013829"/>
    <s v="L000013829"/>
    <s v="Non-LFF"/>
    <m/>
    <m/>
    <b v="1"/>
    <x v="2"/>
    <x v="3"/>
    <d v="2025-08-26T00:00:00"/>
    <m/>
    <m/>
    <x v="1"/>
    <n v="83"/>
    <s v="Ruby Grace Garcia"/>
    <m/>
  </r>
  <r>
    <x v="344"/>
    <x v="0"/>
    <x v="2"/>
    <s v="CEMERAL_70006101MS3207 Internal sales service expenses"/>
    <s v="L000013829"/>
    <s v="L000013829"/>
    <s v="Non-LFF"/>
    <m/>
    <m/>
    <b v="1"/>
    <x v="2"/>
    <x v="3"/>
    <d v="2025-08-26T00:00:00"/>
    <m/>
    <m/>
    <x v="1"/>
    <n v="83"/>
    <s v="Ruby Grace Garcia"/>
    <m/>
  </r>
  <r>
    <x v="344"/>
    <x v="0"/>
    <x v="2"/>
    <s v="CEMERAL_70007102993226 MarCom A&amp;P LW Taiwan"/>
    <s v="L000013829"/>
    <s v="L000013829"/>
    <s v="Non-LFF"/>
    <m/>
    <m/>
    <b v="1"/>
    <x v="2"/>
    <x v="3"/>
    <d v="2025-08-26T00:00:00"/>
    <m/>
    <m/>
    <x v="1"/>
    <n v="83"/>
    <s v="Ruby Grace Garcia"/>
    <m/>
  </r>
  <r>
    <x v="344"/>
    <x v="0"/>
    <x v="2"/>
    <s v="CNOW_7210$$$0000020479 US Campaigns - Lab Water"/>
    <s v="L000013829"/>
    <s v="L000013829"/>
    <s v="Non-LFF"/>
    <m/>
    <m/>
    <b v="1"/>
    <x v="2"/>
    <x v="3"/>
    <d v="2025-08-26T00:00:00"/>
    <m/>
    <m/>
    <x v="1"/>
    <n v="83"/>
    <s v="Ruby Grace Garcia"/>
    <m/>
  </r>
  <r>
    <x v="344"/>
    <x v="0"/>
    <x v="2"/>
    <s v="CNOW_7210$$$0000051641 AS MarCom LW"/>
    <s v="L000013829"/>
    <s v="L000013829"/>
    <s v="Non-LFF"/>
    <m/>
    <m/>
    <b v="1"/>
    <x v="2"/>
    <x v="3"/>
    <d v="2025-08-26T00:00:00"/>
    <m/>
    <m/>
    <x v="1"/>
    <n v="83"/>
    <s v="Ruby Grace Garcia"/>
    <m/>
  </r>
  <r>
    <x v="344"/>
    <x v="0"/>
    <x v="2"/>
    <s v="CORAERP_MMOR1945.5126 LW EEMEA A&amp;P"/>
    <s v="L000013829"/>
    <s v="L000013829"/>
    <s v="Non-LFF"/>
    <m/>
    <m/>
    <b v="1"/>
    <x v="2"/>
    <x v="3"/>
    <d v="2025-08-26T00:00:00"/>
    <m/>
    <m/>
    <x v="1"/>
    <n v="83"/>
    <s v="Ruby Grace Garcia"/>
    <m/>
  </r>
  <r>
    <x v="344"/>
    <x v="0"/>
    <x v="2"/>
    <s v="CORAERP_MMOR1945.5127 LW WE A&amp;P"/>
    <s v="L000013829"/>
    <s v="L000013829"/>
    <s v="Non-LFF"/>
    <m/>
    <m/>
    <b v="1"/>
    <x v="2"/>
    <x v="3"/>
    <d v="2025-08-26T00:00:00"/>
    <m/>
    <m/>
    <x v="1"/>
    <n v="83"/>
    <s v="Ruby Grace Garcia"/>
    <m/>
  </r>
  <r>
    <x v="344"/>
    <x v="0"/>
    <x v="2"/>
    <s v="CTEMPLA_1000MX10316683 MarCom LabW A&amp;P MX"/>
    <s v="L000013829"/>
    <s v="L000013829"/>
    <s v="Non-LFF"/>
    <m/>
    <m/>
    <b v="1"/>
    <x v="2"/>
    <x v="3"/>
    <d v="2025-08-26T00:00:00"/>
    <m/>
    <m/>
    <x v="1"/>
    <n v="83"/>
    <s v="Ruby Grace Garcia"/>
    <m/>
  </r>
  <r>
    <x v="344"/>
    <x v="0"/>
    <x v="2"/>
    <s v="CORAERP_MMOR1975.5128 LW NA A&amp;P"/>
    <s v="L000013829"/>
    <s v="L000013829"/>
    <s v="Non-LFF"/>
    <m/>
    <m/>
    <b v="1"/>
    <x v="2"/>
    <x v="3"/>
    <d v="2025-08-26T00:00:00"/>
    <m/>
    <m/>
    <x v="1"/>
    <n v="83"/>
    <s v="Ruby Grace Garcia"/>
    <m/>
  </r>
  <r>
    <x v="344"/>
    <x v="0"/>
    <x v="2"/>
    <s v="CNOW_AUS0$$$0000091703 R&amp;A Marcom Commercial Services"/>
    <s v="L000013829"/>
    <s v="L000013829"/>
    <s v="Non-LFF"/>
    <m/>
    <m/>
    <b v="1"/>
    <x v="2"/>
    <x v="3"/>
    <d v="2025-08-26T00:00:00"/>
    <m/>
    <m/>
    <x v="1"/>
    <n v="83"/>
    <s v="Ruby Grace Garcia"/>
    <m/>
  </r>
  <r>
    <x v="344"/>
    <x v="0"/>
    <x v="2"/>
    <s v="CORAERP_MMOR1945.5918 MarCom LabW"/>
    <s v="L000013827"/>
    <s v="L000013827"/>
    <s v="Non-LFF"/>
    <m/>
    <m/>
    <b v="1"/>
    <x v="2"/>
    <x v="3"/>
    <d v="2025-08-26T00:00:00"/>
    <m/>
    <m/>
    <x v="1"/>
    <n v="83"/>
    <s v="Ruby Grace Garcia"/>
    <m/>
  </r>
  <r>
    <x v="344"/>
    <x v="0"/>
    <x v="2"/>
    <s v="CORAERP_MMOR1945.5919 MarCom Print"/>
    <s v="L000013828"/>
    <s v="L000013828"/>
    <s v="Non-LFF"/>
    <m/>
    <m/>
    <b v="1"/>
    <x v="2"/>
    <x v="3"/>
    <d v="2025-08-26T00:00:00"/>
    <m/>
    <m/>
    <x v="1"/>
    <n v="83"/>
    <s v="Ruby Grace Garcia"/>
    <m/>
  </r>
  <r>
    <x v="344"/>
    <x v="0"/>
    <x v="2"/>
    <s v="CEMERAL_64010010860932 LW Marketing"/>
    <s v="L000013829"/>
    <s v="L000013829"/>
    <s v="Non-LFF"/>
    <m/>
    <m/>
    <b v="1"/>
    <x v="2"/>
    <x v="3"/>
    <d v="2025-08-26T00:00:00"/>
    <m/>
    <m/>
    <x v="1"/>
    <n v="83"/>
    <s v="Ruby Grace Garcia"/>
    <m/>
  </r>
  <r>
    <x v="344"/>
    <x v="0"/>
    <x v="2"/>
    <s v="CEMERAL_70007001586012 MESI REG SLS MarCom Singapore"/>
    <s v="L000013829"/>
    <s v="L000013829"/>
    <s v="Non-LFF"/>
    <m/>
    <m/>
    <b v="1"/>
    <x v="2"/>
    <x v="3"/>
    <d v="2025-08-26T00:00:00"/>
    <m/>
    <m/>
    <x v="1"/>
    <n v="83"/>
    <s v="Ruby Grace Garcia"/>
    <m/>
  </r>
  <r>
    <x v="344"/>
    <x v="0"/>
    <x v="2"/>
    <s v="CEMERAL_70007102993226 MarCom A&amp;P LW Taiwan"/>
    <s v="L000013829"/>
    <s v="L000013829"/>
    <s v="Non-LFF"/>
    <m/>
    <m/>
    <b v="1"/>
    <x v="2"/>
    <x v="3"/>
    <d v="2025-08-26T00:00:00"/>
    <m/>
    <m/>
    <x v="1"/>
    <n v="83"/>
    <s v="Ruby Grace Garcia"/>
    <m/>
  </r>
  <r>
    <x v="344"/>
    <x v="0"/>
    <x v="2"/>
    <s v="CLFF_7210$$$2025C03513 1810 AS MarCom MQ"/>
    <s v="L000013829"/>
    <s v="L000013829"/>
    <s v="LFF (MDG-F)"/>
    <s v="2025C03513"/>
    <m/>
    <b v="1"/>
    <x v="2"/>
    <x v="3"/>
    <d v="2025-08-26T00:00:00"/>
    <m/>
    <m/>
    <x v="1"/>
    <n v="83"/>
    <s v="Ruby Grace Garcia"/>
    <m/>
  </r>
  <r>
    <x v="344"/>
    <x v="0"/>
    <x v="2"/>
    <s v="CNOW_7210$$$0000020586 AS MarCom BioM"/>
    <s v="L000013829"/>
    <s v="L000013829"/>
    <s v="Non-LFF"/>
    <m/>
    <m/>
    <b v="1"/>
    <x v="2"/>
    <x v="3"/>
    <d v="2025-08-26T00:00:00"/>
    <m/>
    <m/>
    <x v="1"/>
    <n v="83"/>
    <s v="Ruby Grace Garcia"/>
    <m/>
  </r>
  <r>
    <x v="344"/>
    <x v="0"/>
    <x v="2"/>
    <s v="CNOW_7210$$$0000051641 AS MarCom LW"/>
    <s v="L000013829"/>
    <s v="L000013829"/>
    <s v="Non-LFF"/>
    <m/>
    <m/>
    <b v="1"/>
    <x v="2"/>
    <x v="3"/>
    <d v="2025-08-26T00:00:00"/>
    <m/>
    <m/>
    <x v="1"/>
    <n v="83"/>
    <s v="Ruby Grace Garcia"/>
    <m/>
  </r>
  <r>
    <x v="344"/>
    <x v="0"/>
    <x v="2"/>
    <s v="CORAERP_MMOR1975.5122 Marcom Americas"/>
    <s v="L000013829"/>
    <s v="L000013829"/>
    <s v="Non-LFF"/>
    <m/>
    <m/>
    <b v="1"/>
    <x v="2"/>
    <x v="3"/>
    <d v="2025-08-26T00:00:00"/>
    <m/>
    <m/>
    <x v="1"/>
    <n v="83"/>
    <s v="Ruby Grace Garcia"/>
    <m/>
  </r>
  <r>
    <x v="344"/>
    <x v="0"/>
    <x v="2"/>
    <s v="CEMERAL_70006203200904 LW - Marcom India"/>
    <s v="L000013829"/>
    <s v="L000013829"/>
    <s v="Non-LFF"/>
    <m/>
    <m/>
    <b v="1"/>
    <x v="2"/>
    <x v="3"/>
    <d v="2025-08-26T00:00:00"/>
    <m/>
    <m/>
    <x v="1"/>
    <n v="83"/>
    <s v="Ruby Grace Garcia"/>
    <m/>
  </r>
  <r>
    <x v="344"/>
    <x v="0"/>
    <x v="2"/>
    <s v="CEMERAL_7000710299322A MarCom A&amp;P LW Taiwan"/>
    <s v="L000013829"/>
    <s v="L000013829"/>
    <s v="Non-LFF"/>
    <m/>
    <m/>
    <b v="1"/>
    <x v="2"/>
    <x v="3"/>
    <d v="2025-08-26T00:00:00"/>
    <m/>
    <m/>
    <x v="1"/>
    <n v="83"/>
    <s v="Ruby Grace Garcia"/>
    <m/>
  </r>
  <r>
    <x v="344"/>
    <x v="0"/>
    <x v="2"/>
    <s v="CSCALA_1042$LWSP MarCom A&amp;P LW Malaysia"/>
    <s v="L000013829"/>
    <s v="L000013829"/>
    <s v="Non-LFF"/>
    <m/>
    <m/>
    <b v="1"/>
    <x v="2"/>
    <x v="3"/>
    <d v="2025-08-26T00:00:00"/>
    <m/>
    <m/>
    <x v="1"/>
    <n v="83"/>
    <s v="Ruby Grace Garcia"/>
    <m/>
  </r>
  <r>
    <x v="344"/>
    <x v="0"/>
    <x v="2"/>
    <s v="CORAERP_MMOR1945.6586 Product Application Mktg &amp; Strat"/>
    <s v="L000006092"/>
    <s v="L000006092"/>
    <s v="Non-LFF"/>
    <m/>
    <m/>
    <b v="1"/>
    <x v="2"/>
    <x v="3"/>
    <d v="2025-08-26T00:00:00"/>
    <m/>
    <m/>
    <x v="1"/>
    <n v="83"/>
    <s v="Ruby Grace Garcia"/>
    <m/>
  </r>
  <r>
    <x v="344"/>
    <x v="0"/>
    <x v="2"/>
    <s v="CEMERAL_70006203201004 MarCom A&amp;P LW India"/>
    <s v="L000013829"/>
    <s v="L000013829"/>
    <s v="Non-LFF"/>
    <m/>
    <m/>
    <b v="1"/>
    <x v="2"/>
    <x v="3"/>
    <d v="2025-08-26T00:00:00"/>
    <m/>
    <m/>
    <x v="1"/>
    <n v="83"/>
    <s v="Ruby Grace Garcia"/>
    <m/>
  </r>
  <r>
    <x v="344"/>
    <x v="0"/>
    <x v="2"/>
    <s v="CORAERP_MMOR1945.5905 LW Commercial Support"/>
    <s v="L000013703"/>
    <s v="L000013703"/>
    <s v="Non-LFF"/>
    <m/>
    <m/>
    <b v="1"/>
    <x v="2"/>
    <x v="3"/>
    <d v="2025-08-26T00:00:00"/>
    <m/>
    <m/>
    <x v="1"/>
    <n v="83"/>
    <s v="Ruby Grace Garcia"/>
    <m/>
  </r>
  <r>
    <x v="344"/>
    <x v="0"/>
    <x v="2"/>
    <s v="CEMERAL_70006203200903 Marketing Operational Pricing &amp; Data"/>
    <s v="L000013703"/>
    <s v="L000013703"/>
    <s v="Non-LFF"/>
    <s v=""/>
    <m/>
    <b v="1"/>
    <x v="2"/>
    <x v="3"/>
    <d v="2025-08-26T00:00:00"/>
    <m/>
    <m/>
    <x v="1"/>
    <n v="83"/>
    <s v="Ruby Grace Garcia"/>
    <m/>
  </r>
  <r>
    <x v="345"/>
    <x v="0"/>
    <x v="2"/>
    <s v="CLFF_1000$$$DE73R00021 Patent Costs SomaLogic In"/>
    <s v="G000001283"/>
    <s v="G000001283"/>
    <s v="LFF (MDG-F)"/>
    <s v="DE73R00021"/>
    <m/>
    <b v="1"/>
    <x v="2"/>
    <x v="3"/>
    <d v="2025-08-26T00:00:00"/>
    <m/>
    <m/>
    <x v="1"/>
    <n v="83"/>
    <s v="Ruby Grace Garcia"/>
    <m/>
  </r>
  <r>
    <x v="345"/>
    <x v="0"/>
    <x v="2"/>
    <s v="CLFF_1000$$$DE73R00013 Patent Costs (external)/D"/>
    <s v="G000001283"/>
    <s v="G000001283"/>
    <s v="LFF (MDG-F)"/>
    <s v="DE73R00013"/>
    <m/>
    <b v="1"/>
    <x v="2"/>
    <x v="3"/>
    <d v="2025-08-26T00:00:00"/>
    <m/>
    <m/>
    <x v="1"/>
    <n v="83"/>
    <s v="Ruby Grace Garcia"/>
    <m/>
  </r>
  <r>
    <x v="346"/>
    <x v="0"/>
    <x v="2"/>
    <s v="CSCALA_1025$8111_Y00"/>
    <s v="H000003640"/>
    <s v="H000003640"/>
    <s v="Non-LFF"/>
    <s v=""/>
    <m/>
    <b v="1"/>
    <x v="1"/>
    <x v="3"/>
    <d v="2025-08-26T00:00:00"/>
    <m/>
    <m/>
    <x v="1"/>
    <n v="83"/>
    <s v="Rayneil Reas"/>
    <m/>
  </r>
  <r>
    <x v="346"/>
    <x v="0"/>
    <x v="2"/>
    <s v="CSCALA_1025$8112_Y00"/>
    <s v="H000003640"/>
    <s v="H000003640"/>
    <s v="Non-LFF"/>
    <s v=""/>
    <m/>
    <b v="1"/>
    <x v="1"/>
    <x v="3"/>
    <d v="2025-08-26T00:00:00"/>
    <m/>
    <m/>
    <x v="1"/>
    <n v="83"/>
    <s v="Rayneil Reas"/>
    <m/>
  </r>
  <r>
    <x v="346"/>
    <x v="0"/>
    <x v="2"/>
    <s v="PLEAN_X310181DK5010201 Bavencio Commercial DK50 Promo Material"/>
    <s v="H000000218"/>
    <s v="H000000218"/>
    <s v="Non-LFF"/>
    <s v=""/>
    <m/>
    <b v="1"/>
    <x v="1"/>
    <x v="3"/>
    <d v="2025-08-26T00:00:00"/>
    <m/>
    <m/>
    <x v="1"/>
    <n v="83"/>
    <s v="Rayneil Reas"/>
    <m/>
  </r>
  <r>
    <x v="346"/>
    <x v="0"/>
    <x v="2"/>
    <s v="CSCALA_1759$E346"/>
    <s v="H000003613"/>
    <s v="H000003613"/>
    <s v="Non-LFF"/>
    <s v=""/>
    <m/>
    <b v="1"/>
    <x v="1"/>
    <x v="3"/>
    <d v="2025-08-26T00:00:00"/>
    <m/>
    <m/>
    <x v="1"/>
    <n v="83"/>
    <s v="Rayneil Reas"/>
    <m/>
  </r>
  <r>
    <x v="346"/>
    <x v="0"/>
    <x v="2"/>
    <s v="CSCALA_1759$E345"/>
    <s v="H000003613"/>
    <s v="H000003613"/>
    <s v="Non-LFF"/>
    <s v=""/>
    <m/>
    <b v="1"/>
    <x v="1"/>
    <x v="3"/>
    <d v="2025-08-26T00:00:00"/>
    <m/>
    <m/>
    <x v="1"/>
    <n v="83"/>
    <s v="Rayneil Reas"/>
    <m/>
  </r>
  <r>
    <x v="346"/>
    <x v="0"/>
    <x v="2"/>
    <s v="CSCALA_1759$E347"/>
    <s v="H000003613"/>
    <s v="H000003613"/>
    <s v="Non-LFF"/>
    <s v=""/>
    <m/>
    <b v="1"/>
    <x v="1"/>
    <x v="3"/>
    <d v="2025-08-26T00:00:00"/>
    <m/>
    <m/>
    <x v="1"/>
    <n v="83"/>
    <s v="Rayneil Reas"/>
    <m/>
  </r>
  <r>
    <x v="346"/>
    <x v="0"/>
    <x v="2"/>
    <s v="CSCALA_1759$E348"/>
    <s v="H000003613"/>
    <s v="H000003613"/>
    <s v="Non-LFF"/>
    <s v=""/>
    <m/>
    <b v="1"/>
    <x v="1"/>
    <x v="3"/>
    <d v="2025-08-26T00:00:00"/>
    <m/>
    <m/>
    <x v="1"/>
    <n v="83"/>
    <s v="Rayneil Reas"/>
    <m/>
  </r>
  <r>
    <x v="346"/>
    <x v="0"/>
    <x v="2"/>
    <s v="CSCALA_1759$E349"/>
    <s v="H000003613"/>
    <s v="H000003613"/>
    <s v="Non-LFF"/>
    <s v=""/>
    <m/>
    <b v="1"/>
    <x v="1"/>
    <x v="3"/>
    <d v="2025-08-26T00:00:00"/>
    <m/>
    <m/>
    <x v="1"/>
    <n v="83"/>
    <s v="Rayneil Reas"/>
    <m/>
  </r>
  <r>
    <x v="346"/>
    <x v="0"/>
    <x v="2"/>
    <s v="CSCALA_1759$E350"/>
    <s v="H000003613"/>
    <s v="H000003613"/>
    <s v="Non-LFF"/>
    <s v=""/>
    <m/>
    <b v="1"/>
    <x v="1"/>
    <x v="3"/>
    <d v="2025-08-26T00:00:00"/>
    <m/>
    <m/>
    <x v="1"/>
    <n v="83"/>
    <s v="Rayneil Reas"/>
    <m/>
  </r>
  <r>
    <x v="346"/>
    <x v="0"/>
    <x v="2"/>
    <s v="CSCALA_1025$6112_E77"/>
    <s v="H000003640"/>
    <s v="H000003640"/>
    <s v="Non-LFF"/>
    <s v=""/>
    <m/>
    <b v="1"/>
    <x v="1"/>
    <x v="3"/>
    <d v="2025-08-26T00:00:00"/>
    <m/>
    <m/>
    <x v="1"/>
    <n v="83"/>
    <s v="Rayneil Reas"/>
    <m/>
  </r>
  <r>
    <x v="346"/>
    <x v="0"/>
    <x v="2"/>
    <s v="CSCALA_1759$C217"/>
    <s v="H000003613"/>
    <s v="H000003613"/>
    <s v="Non-LFF"/>
    <s v=""/>
    <m/>
    <b v="1"/>
    <x v="1"/>
    <x v="3"/>
    <d v="2025-08-26T00:00:00"/>
    <m/>
    <m/>
    <x v="1"/>
    <n v="83"/>
    <s v="Rayneil Reas"/>
    <m/>
  </r>
  <r>
    <x v="346"/>
    <x v="0"/>
    <x v="2"/>
    <s v="CSCALA_1759$R105"/>
    <s v="H000003613"/>
    <s v="H000003613"/>
    <s v="Non-LFF"/>
    <s v=""/>
    <m/>
    <b v="1"/>
    <x v="1"/>
    <x v="3"/>
    <d v="2025-08-26T00:00:00"/>
    <m/>
    <m/>
    <x v="1"/>
    <n v="83"/>
    <s v="Rayneil Reas"/>
    <m/>
  </r>
  <r>
    <x v="346"/>
    <x v="0"/>
    <x v="2"/>
    <s v="CSCALA_1759$R106"/>
    <s v="H000003613"/>
    <s v="H000003613"/>
    <s v="Non-LFF"/>
    <s v=""/>
    <m/>
    <b v="1"/>
    <x v="1"/>
    <x v="3"/>
    <d v="2025-08-26T00:00:00"/>
    <m/>
    <m/>
    <x v="1"/>
    <n v="83"/>
    <s v="Rayneil Reas"/>
    <m/>
  </r>
  <r>
    <x v="346"/>
    <x v="0"/>
    <x v="2"/>
    <s v="CSCALA_1759$R108"/>
    <s v="H000003613"/>
    <s v="H000003613"/>
    <s v="Non-LFF"/>
    <s v=""/>
    <m/>
    <b v="1"/>
    <x v="1"/>
    <x v="3"/>
    <d v="2025-08-26T00:00:00"/>
    <m/>
    <m/>
    <x v="1"/>
    <n v="83"/>
    <s v="Rayneil Reas"/>
    <m/>
  </r>
  <r>
    <x v="346"/>
    <x v="0"/>
    <x v="2"/>
    <s v="CSCALA_1759$TEAN"/>
    <s v="H000003613"/>
    <s v="H000003613"/>
    <s v="Non-LFF"/>
    <s v=""/>
    <m/>
    <b v="1"/>
    <x v="1"/>
    <x v="3"/>
    <d v="2025-08-26T00:00:00"/>
    <m/>
    <m/>
    <x v="1"/>
    <n v="83"/>
    <s v="Rayneil Reas"/>
    <m/>
  </r>
  <r>
    <x v="346"/>
    <x v="0"/>
    <x v="2"/>
    <s v="CSCALA_1872$100_C66"/>
    <s v="H000000224"/>
    <s v="H000000224"/>
    <s v="Non-LFF"/>
    <s v=""/>
    <m/>
    <b v="1"/>
    <x v="1"/>
    <x v="3"/>
    <d v="2025-08-26T00:00:00"/>
    <m/>
    <m/>
    <x v="1"/>
    <n v="83"/>
    <s v="Rayneil Reas"/>
    <m/>
  </r>
  <r>
    <x v="346"/>
    <x v="0"/>
    <x v="2"/>
    <s v="CSCALA_1759$G539 1671106323969"/>
    <s v="H000003613"/>
    <s v="H000003613"/>
    <s v="Non-LFF"/>
    <s v=""/>
    <m/>
    <b v="1"/>
    <x v="1"/>
    <x v="3"/>
    <d v="2025-08-26T00:00:00"/>
    <m/>
    <m/>
    <x v="1"/>
    <n v="83"/>
    <s v="Rayneil Reas"/>
    <m/>
  </r>
  <r>
    <x v="346"/>
    <x v="0"/>
    <x v="2"/>
    <s v="PLEAN_X310201DK5010201 Fertility Commercial DK50 Promo Material"/>
    <s v="H000000218"/>
    <s v="H000000218"/>
    <s v="Non-LFF"/>
    <s v=""/>
    <m/>
    <b v="1"/>
    <x v="1"/>
    <x v="3"/>
    <d v="2025-08-26T00:00:00"/>
    <m/>
    <m/>
    <x v="1"/>
    <n v="83"/>
    <s v="Rayneil Reas"/>
    <m/>
  </r>
  <r>
    <x v="346"/>
    <x v="0"/>
    <x v="2"/>
    <s v="PLEAN_X310201DK5013201 Fertility Commercial DK50 Congress &amp; Eve"/>
    <s v="H000000218"/>
    <s v="H000000218"/>
    <s v="Non-LFF"/>
    <s v=""/>
    <m/>
    <b v="1"/>
    <x v="1"/>
    <x v="3"/>
    <d v="2025-08-26T00:00:00"/>
    <m/>
    <m/>
    <x v="1"/>
    <n v="83"/>
    <s v="Rayneil Reas"/>
    <m/>
  </r>
  <r>
    <x v="346"/>
    <x v="0"/>
    <x v="2"/>
    <s v="PLEAN_X310201DK5015201 Fertility Commercial DK50 Other Promo an"/>
    <s v="H000000218"/>
    <s v="H000000218"/>
    <s v="Non-LFF"/>
    <s v=""/>
    <m/>
    <b v="1"/>
    <x v="1"/>
    <x v="3"/>
    <d v="2025-08-26T00:00:00"/>
    <m/>
    <m/>
    <x v="1"/>
    <n v="83"/>
    <s v="Rayneil Reas"/>
    <m/>
  </r>
  <r>
    <x v="346"/>
    <x v="0"/>
    <x v="2"/>
    <s v="PLEAN_X310201EE5015201 Fertility Commercial EE50 Other Promo an"/>
    <s v="H000000219"/>
    <s v="H000000219"/>
    <s v="Non-LFF"/>
    <s v=""/>
    <m/>
    <b v="1"/>
    <x v="1"/>
    <x v="3"/>
    <d v="2025-08-26T00:00:00"/>
    <m/>
    <m/>
    <x v="1"/>
    <n v="83"/>
    <s v="Rayneil Reas"/>
    <m/>
  </r>
  <r>
    <x v="346"/>
    <x v="0"/>
    <x v="2"/>
    <s v="PLEAN_X310201FI5010201 Fertility Commercial FI50 Promo Material"/>
    <s v="H000000220"/>
    <s v="H000000220"/>
    <s v="Non-LFF"/>
    <s v=""/>
    <m/>
    <b v="1"/>
    <x v="1"/>
    <x v="3"/>
    <d v="2025-08-26T00:00:00"/>
    <m/>
    <m/>
    <x v="1"/>
    <n v="83"/>
    <s v="Rayneil Reas"/>
    <m/>
  </r>
  <r>
    <x v="346"/>
    <x v="0"/>
    <x v="2"/>
    <s v="PLEAN_X310201FI5013201 Fertility Commercial FI50 Congress &amp; Eve"/>
    <s v="H000000220"/>
    <s v="H000000220"/>
    <s v="Non-LFF"/>
    <s v=""/>
    <m/>
    <b v="1"/>
    <x v="1"/>
    <x v="3"/>
    <d v="2025-08-26T00:00:00"/>
    <m/>
    <m/>
    <x v="1"/>
    <n v="83"/>
    <s v="Rayneil Reas"/>
    <m/>
  </r>
  <r>
    <x v="346"/>
    <x v="0"/>
    <x v="2"/>
    <s v="PLEAN_X310201LT5013201 Fertility Commercial LT50 Congress &amp; Eve"/>
    <s v="H000000227"/>
    <s v="H000000227"/>
    <s v="Non-LFF"/>
    <s v=""/>
    <m/>
    <b v="1"/>
    <x v="1"/>
    <x v="3"/>
    <d v="2025-08-26T00:00:00"/>
    <m/>
    <m/>
    <x v="1"/>
    <n v="83"/>
    <s v="Rayneil Reas"/>
    <m/>
  </r>
  <r>
    <x v="346"/>
    <x v="0"/>
    <x v="2"/>
    <s v="PLEAN_X310201LT5015201 Fertility Commercial LT50 Other Promo an"/>
    <s v="H000000227"/>
    <s v="H000000227"/>
    <s v="Non-LFF"/>
    <s v=""/>
    <m/>
    <b v="1"/>
    <x v="1"/>
    <x v="3"/>
    <d v="2025-08-26T00:00:00"/>
    <m/>
    <m/>
    <x v="1"/>
    <n v="83"/>
    <s v="Rayneil Reas"/>
    <m/>
  </r>
  <r>
    <x v="346"/>
    <x v="0"/>
    <x v="2"/>
    <s v="PLEAN_X310201LT5030201 Fertility Commercial LT50 Other M&amp;S Regi"/>
    <s v="H000000227"/>
    <s v="H000000227"/>
    <s v="Non-LFF"/>
    <s v=""/>
    <m/>
    <b v="1"/>
    <x v="1"/>
    <x v="3"/>
    <d v="2025-08-26T00:00:00"/>
    <m/>
    <m/>
    <x v="1"/>
    <n v="83"/>
    <s v="Rayneil Reas"/>
    <m/>
  </r>
  <r>
    <x v="346"/>
    <x v="0"/>
    <x v="2"/>
    <s v="PLEAN_X310201LV5030201 Fertility Commercial LV50 Other M&amp;S Regi"/>
    <s v="H000000229"/>
    <s v="H000000229"/>
    <s v="Non-LFF"/>
    <s v=""/>
    <m/>
    <b v="1"/>
    <x v="1"/>
    <x v="3"/>
    <d v="2025-08-26T00:00:00"/>
    <m/>
    <m/>
    <x v="1"/>
    <n v="83"/>
    <s v="Rayneil Reas"/>
    <m/>
  </r>
  <r>
    <x v="346"/>
    <x v="0"/>
    <x v="2"/>
    <s v="PLEAN_X310201SE5015201 Fertility Commercial SE50 Other Promo an"/>
    <s v="H000000238"/>
    <s v="H000000238"/>
    <s v="Non-LFF"/>
    <s v=""/>
    <m/>
    <b v="1"/>
    <x v="1"/>
    <x v="3"/>
    <d v="2025-08-26T00:00:00"/>
    <m/>
    <m/>
    <x v="1"/>
    <n v="83"/>
    <s v="Rayneil Reas"/>
    <m/>
  </r>
  <r>
    <x v="346"/>
    <x v="0"/>
    <x v="2"/>
    <s v="PLEAN_X310301LV5010201 Gluco Commercial LV50 Promo Material Gen"/>
    <s v="H000000229"/>
    <s v="H000000229"/>
    <s v="Non-LFF"/>
    <s v=""/>
    <m/>
    <b v="1"/>
    <x v="1"/>
    <x v="3"/>
    <d v="2025-08-26T00:00:00"/>
    <m/>
    <m/>
    <x v="1"/>
    <n v="83"/>
    <s v="Rayneil Reas"/>
    <m/>
  </r>
  <r>
    <x v="346"/>
    <x v="0"/>
    <x v="2"/>
    <s v="PLEAN_X310351LT5015201 GM KGAA Commercial LT50 Other Promo and"/>
    <s v="H000000227"/>
    <s v="H000000227"/>
    <s v="Non-LFF"/>
    <s v=""/>
    <m/>
    <b v="1"/>
    <x v="1"/>
    <x v="3"/>
    <d v="2025-08-26T00:00:00"/>
    <m/>
    <m/>
    <x v="1"/>
    <n v="83"/>
    <s v="Rayneil Reas"/>
    <m/>
  </r>
  <r>
    <x v="346"/>
    <x v="0"/>
    <x v="2"/>
    <s v="PLEAN_X310401FI5010201 Saizen Commercial FI50 Promo Material Ge"/>
    <s v="H000000220"/>
    <s v="H000000220"/>
    <s v="Non-LFF"/>
    <s v=""/>
    <m/>
    <b v="1"/>
    <x v="1"/>
    <x v="3"/>
    <d v="2025-08-26T00:00:00"/>
    <m/>
    <m/>
    <x v="1"/>
    <n v="83"/>
    <s v="Rayneil Reas"/>
    <m/>
  </r>
  <r>
    <x v="346"/>
    <x v="0"/>
    <x v="2"/>
    <s v="PLEAN_X310401NO5030201 Saizen Commercial NO50 Other M&amp;S Registr"/>
    <s v="H000000233"/>
    <s v="H000000233"/>
    <s v="Non-LFF"/>
    <s v=""/>
    <m/>
    <b v="1"/>
    <x v="1"/>
    <x v="3"/>
    <d v="2025-08-26T00:00:00"/>
    <m/>
    <m/>
    <x v="1"/>
    <n v="83"/>
    <s v="Rayneil Reas"/>
    <m/>
  </r>
  <r>
    <x v="346"/>
    <x v="0"/>
    <x v="2"/>
    <s v="PLEAN_X310401SE5010201 Saizen Commercial SE50 Promo Material Ge"/>
    <s v="H000000238"/>
    <s v="H000000238"/>
    <s v="Non-LFF"/>
    <s v=""/>
    <m/>
    <b v="1"/>
    <x v="1"/>
    <x v="3"/>
    <d v="2025-08-26T00:00:00"/>
    <m/>
    <m/>
    <x v="1"/>
    <n v="83"/>
    <s v="Rayneil Reas"/>
    <m/>
  </r>
  <r>
    <x v="346"/>
    <x v="0"/>
    <x v="2"/>
    <s v="PLEAN_X310511DK5010201 Mavenclad Commercial DK50 Promo Material"/>
    <s v="H000000218"/>
    <s v="H000000218"/>
    <s v="Non-LFF"/>
    <s v=""/>
    <m/>
    <b v="1"/>
    <x v="1"/>
    <x v="3"/>
    <d v="2025-08-26T00:00:00"/>
    <m/>
    <m/>
    <x v="1"/>
    <n v="83"/>
    <s v="Rayneil Reas"/>
    <m/>
  </r>
  <r>
    <x v="346"/>
    <x v="0"/>
    <x v="2"/>
    <s v="PLEAN_X310511DK5015201 Mavenclad Commercial DK50 Other Promo an"/>
    <s v="H000000218"/>
    <s v="H000000218"/>
    <s v="Non-LFF"/>
    <s v=""/>
    <m/>
    <b v="1"/>
    <x v="1"/>
    <x v="3"/>
    <d v="2025-08-26T00:00:00"/>
    <m/>
    <m/>
    <x v="1"/>
    <n v="83"/>
    <s v="Rayneil Reas"/>
    <m/>
  </r>
  <r>
    <x v="346"/>
    <x v="0"/>
    <x v="2"/>
    <s v="PLEAN_X310511EE5013201 Mavenclad Commercial EE50 Congress &amp; Eve"/>
    <s v="H000000219"/>
    <s v="H000000219"/>
    <s v="Non-LFF"/>
    <s v=""/>
    <m/>
    <b v="1"/>
    <x v="1"/>
    <x v="3"/>
    <d v="2025-08-26T00:00:00"/>
    <m/>
    <m/>
    <x v="1"/>
    <n v="83"/>
    <s v="Rayneil Reas"/>
    <m/>
  </r>
  <r>
    <x v="346"/>
    <x v="0"/>
    <x v="2"/>
    <s v="PLEAN_X310511LT5013201 Mavenclad Commercial LT50 Congress &amp; Eve"/>
    <s v="H000000227"/>
    <s v="H000000227"/>
    <s v="Non-LFF"/>
    <s v=""/>
    <m/>
    <b v="1"/>
    <x v="1"/>
    <x v="3"/>
    <d v="2025-08-26T00:00:00"/>
    <m/>
    <m/>
    <x v="1"/>
    <n v="83"/>
    <s v="Rayneil Reas"/>
    <m/>
  </r>
  <r>
    <x v="346"/>
    <x v="0"/>
    <x v="2"/>
    <s v="PLEAN_X310511LT5015201 Mavenclad Commercial LT50 Other Promo an"/>
    <s v="H000000227"/>
    <s v="H000000227"/>
    <s v="Non-LFF"/>
    <s v=""/>
    <m/>
    <b v="1"/>
    <x v="1"/>
    <x v="3"/>
    <d v="2025-08-26T00:00:00"/>
    <m/>
    <m/>
    <x v="1"/>
    <n v="83"/>
    <s v="Rayneil Reas"/>
    <m/>
  </r>
  <r>
    <x v="346"/>
    <x v="0"/>
    <x v="2"/>
    <s v="PLEAN_X310511LT5030201 Mavenclad Commercial LT50 Other M&amp;S Regi"/>
    <s v="H000000227"/>
    <s v="H000000227"/>
    <s v="Non-LFF"/>
    <s v=""/>
    <m/>
    <b v="1"/>
    <x v="1"/>
    <x v="3"/>
    <d v="2025-08-26T00:00:00"/>
    <m/>
    <m/>
    <x v="1"/>
    <n v="83"/>
    <s v="Rayneil Reas"/>
    <m/>
  </r>
  <r>
    <x v="346"/>
    <x v="0"/>
    <x v="2"/>
    <s v="PLEAN_X310511LV5015201 Mavenclad Commercial LV50 Other Promo an"/>
    <s v="H000000229"/>
    <s v="H000000229"/>
    <s v="Non-LFF"/>
    <s v=""/>
    <m/>
    <b v="1"/>
    <x v="1"/>
    <x v="3"/>
    <d v="2025-08-26T00:00:00"/>
    <m/>
    <m/>
    <x v="1"/>
    <n v="83"/>
    <s v="Rayneil Reas"/>
    <m/>
  </r>
  <r>
    <x v="346"/>
    <x v="0"/>
    <x v="2"/>
    <s v="PLEAN_X310511NO5010201 Mavenclad Commercial NO50 Promo Material"/>
    <s v="H000000233"/>
    <s v="H000000233"/>
    <s v="Non-LFF"/>
    <s v=""/>
    <m/>
    <b v="1"/>
    <x v="1"/>
    <x v="3"/>
    <d v="2025-08-26T00:00:00"/>
    <m/>
    <m/>
    <x v="1"/>
    <n v="83"/>
    <s v="Rayneil Reas"/>
    <m/>
  </r>
  <r>
    <x v="346"/>
    <x v="0"/>
    <x v="2"/>
    <s v="PLEAN_X310511NO5011201 Mavenclad Commercial NO50 Advertising Ge"/>
    <s v="H000000233"/>
    <s v="H000000233"/>
    <s v="Non-LFF"/>
    <s v=""/>
    <m/>
    <b v="1"/>
    <x v="1"/>
    <x v="3"/>
    <d v="2025-08-26T00:00:00"/>
    <m/>
    <m/>
    <x v="1"/>
    <n v="83"/>
    <s v="Rayneil Reas"/>
    <m/>
  </r>
  <r>
    <x v="346"/>
    <x v="0"/>
    <x v="2"/>
    <s v="PLEAN_X310511SE5010201 Mavenclad Commercial SE50 Promo Material"/>
    <s v="H000000238"/>
    <s v="H000000238"/>
    <s v="Non-LFF"/>
    <s v=""/>
    <m/>
    <b v="1"/>
    <x v="1"/>
    <x v="3"/>
    <d v="2025-08-26T00:00:00"/>
    <m/>
    <m/>
    <x v="1"/>
    <n v="83"/>
    <s v="Rayneil Reas"/>
    <m/>
  </r>
  <r>
    <x v="346"/>
    <x v="0"/>
    <x v="2"/>
    <s v="PLEAN_X310282CH7622200 PIMI MED Consultancy"/>
    <s v="H000002013"/>
    <s v="H000002013"/>
    <s v="Non-LFF"/>
    <s v=""/>
    <m/>
    <b v="1"/>
    <x v="1"/>
    <x v="3"/>
    <d v="2025-08-26T00:00:00"/>
    <m/>
    <m/>
    <x v="1"/>
    <n v="83"/>
    <s v="Rayneil Reas"/>
    <m/>
  </r>
  <r>
    <x v="346"/>
    <x v="0"/>
    <x v="2"/>
    <s v="PLEAN_X310132AT5023200 Tepmetko Medical activities"/>
    <s v="H000003631"/>
    <s v="H000003631"/>
    <s v="Non-LFF"/>
    <s v=""/>
    <m/>
    <b v="1"/>
    <x v="1"/>
    <x v="3"/>
    <d v="2025-08-26T00:00:00"/>
    <m/>
    <m/>
    <x v="1"/>
    <n v="83"/>
    <s v="Rayneil Reas"/>
    <m/>
  </r>
  <r>
    <x v="346"/>
    <x v="0"/>
    <x v="2"/>
    <s v="PLEAN_X310152AT5020200 Bavencio Medical education"/>
    <s v="H000003631"/>
    <s v="H000003631"/>
    <s v="Non-LFF"/>
    <s v=""/>
    <m/>
    <b v="1"/>
    <x v="1"/>
    <x v="3"/>
    <d v="2025-08-26T00:00:00"/>
    <m/>
    <m/>
    <x v="1"/>
    <n v="83"/>
    <s v="Rayneil Reas"/>
    <m/>
  </r>
  <r>
    <x v="346"/>
    <x v="0"/>
    <x v="2"/>
    <s v="PLEAN_X310152AT5021200 Bavencio Medical donations"/>
    <s v="H000003631"/>
    <s v="H000003631"/>
    <s v="Non-LFF"/>
    <s v=""/>
    <m/>
    <b v="1"/>
    <x v="1"/>
    <x v="3"/>
    <d v="2025-08-26T00:00:00"/>
    <m/>
    <m/>
    <x v="1"/>
    <n v="83"/>
    <s v="Rayneil Reas"/>
    <m/>
  </r>
  <r>
    <x v="346"/>
    <x v="0"/>
    <x v="2"/>
    <s v="PLEAN_X310152AT5023201 Bavencio Medical congresses"/>
    <s v="H000003631"/>
    <s v="H000003631"/>
    <s v="Non-LFF"/>
    <s v=""/>
    <m/>
    <b v="1"/>
    <x v="1"/>
    <x v="3"/>
    <d v="2025-08-26T00:00:00"/>
    <m/>
    <m/>
    <x v="1"/>
    <n v="83"/>
    <s v="Rayneil Reas"/>
    <m/>
  </r>
  <r>
    <x v="346"/>
    <x v="0"/>
    <x v="2"/>
    <s v="PLEAN_X310201AT5013200 Fertility Congresses &amp; events"/>
    <s v="H000003628"/>
    <s v="H000003628"/>
    <s v="Non-LFF"/>
    <s v=""/>
    <m/>
    <b v="1"/>
    <x v="1"/>
    <x v="3"/>
    <d v="2025-08-26T00:00:00"/>
    <m/>
    <m/>
    <x v="1"/>
    <n v="83"/>
    <s v="Rayneil Reas"/>
    <m/>
  </r>
  <r>
    <x v="346"/>
    <x v="0"/>
    <x v="2"/>
    <s v="PLEAN_X310201CZ5011201 Fertility Commercial CZ50 Advertising Ge"/>
    <s v="H000002141"/>
    <s v="H000002141"/>
    <s v="Non-LFF"/>
    <s v=""/>
    <m/>
    <b v="1"/>
    <x v="1"/>
    <x v="3"/>
    <d v="2025-08-26T00:00:00"/>
    <m/>
    <m/>
    <x v="1"/>
    <n v="83"/>
    <s v="Rayneil Reas"/>
    <m/>
  </r>
  <r>
    <x v="346"/>
    <x v="0"/>
    <x v="2"/>
    <s v="PLEAN_X310201CZ5013203 Fertility Commercial CZ50 Congress &amp; Eve"/>
    <s v="H000002141"/>
    <s v="H000002141"/>
    <s v="Non-LFF"/>
    <s v=""/>
    <m/>
    <b v="1"/>
    <x v="1"/>
    <x v="3"/>
    <d v="2025-08-26T00:00:00"/>
    <m/>
    <m/>
    <x v="1"/>
    <n v="83"/>
    <s v="Rayneil Reas"/>
    <m/>
  </r>
  <r>
    <x v="346"/>
    <x v="0"/>
    <x v="2"/>
    <s v="PLEAN_X310201CZ5013205 Fertility Commercial CZ50 Congress &amp; Eve"/>
    <s v="H000002141"/>
    <s v="H000002141"/>
    <s v="Non-LFF"/>
    <s v=""/>
    <m/>
    <b v="1"/>
    <x v="1"/>
    <x v="3"/>
    <d v="2025-08-26T00:00:00"/>
    <m/>
    <m/>
    <x v="1"/>
    <n v="83"/>
    <s v="Rayneil Reas"/>
    <m/>
  </r>
  <r>
    <x v="346"/>
    <x v="0"/>
    <x v="2"/>
    <s v="PLEAN_X310301CZ5011201 Gluco Commercial CZ50 Advertising Genera"/>
    <s v="H000002141"/>
    <s v="H000002141"/>
    <s v="Non-LFF"/>
    <s v=""/>
    <m/>
    <b v="1"/>
    <x v="1"/>
    <x v="3"/>
    <d v="2025-08-26T00:00:00"/>
    <m/>
    <m/>
    <x v="1"/>
    <n v="83"/>
    <s v="Rayneil Reas"/>
    <m/>
  </r>
  <r>
    <x v="346"/>
    <x v="0"/>
    <x v="2"/>
    <s v="PLEAN_X310301CZ5013201 Gluco Commercial CZ50 Congress &amp; Events"/>
    <s v="H000002141"/>
    <s v="H000002141"/>
    <s v="Non-LFF"/>
    <s v=""/>
    <m/>
    <b v="1"/>
    <x v="1"/>
    <x v="3"/>
    <d v="2025-08-26T00:00:00"/>
    <m/>
    <m/>
    <x v="1"/>
    <n v="83"/>
    <s v="Rayneil Reas"/>
    <m/>
  </r>
  <r>
    <x v="346"/>
    <x v="0"/>
    <x v="2"/>
    <s v="PLEAN_X310301CZ5013202 Gluco Commercial CZ50 Congress &amp; Events"/>
    <s v="H000002141"/>
    <s v="H000002141"/>
    <s v="Non-LFF"/>
    <s v=""/>
    <m/>
    <b v="1"/>
    <x v="1"/>
    <x v="3"/>
    <d v="2025-08-26T00:00:00"/>
    <m/>
    <m/>
    <x v="1"/>
    <n v="83"/>
    <s v="Rayneil Reas"/>
    <m/>
  </r>
  <r>
    <x v="346"/>
    <x v="0"/>
    <x v="2"/>
    <s v="PLEAN_X310301CZ5015201 Gluco Commercial CZ50 Other Promo and Ad"/>
    <s v="H000002141"/>
    <s v="H000002141"/>
    <s v="Non-LFF"/>
    <s v=""/>
    <m/>
    <b v="1"/>
    <x v="1"/>
    <x v="3"/>
    <d v="2025-08-26T00:00:00"/>
    <m/>
    <m/>
    <x v="1"/>
    <n v="83"/>
    <s v="Rayneil Reas"/>
    <m/>
  </r>
  <r>
    <x v="346"/>
    <x v="0"/>
    <x v="2"/>
    <s v="PLEAN_X310401AT5013200 Endo Congresses &amp; events"/>
    <s v="H000003628"/>
    <s v="H000003628"/>
    <s v="Non-LFF"/>
    <s v=""/>
    <m/>
    <b v="1"/>
    <x v="1"/>
    <x v="3"/>
    <d v="2025-08-26T00:00:00"/>
    <m/>
    <m/>
    <x v="1"/>
    <n v="83"/>
    <s v="Rayneil Reas"/>
    <m/>
  </r>
  <r>
    <x v="346"/>
    <x v="0"/>
    <x v="2"/>
    <s v="PLEAN_X310401CZ5013203 Saizen Commercial CZ50 Congress &amp; Events"/>
    <s v="H000002141"/>
    <s v="H000002141"/>
    <s v="Non-LFF"/>
    <s v=""/>
    <m/>
    <b v="1"/>
    <x v="1"/>
    <x v="3"/>
    <d v="2025-08-26T00:00:00"/>
    <m/>
    <m/>
    <x v="1"/>
    <n v="83"/>
    <s v="Rayneil Reas"/>
    <m/>
  </r>
  <r>
    <x v="346"/>
    <x v="0"/>
    <x v="2"/>
    <s v="PLEAN_X310511CZ5010201 Mavenclad Commercial CZ50 Promo Material"/>
    <s v="H000002141"/>
    <s v="H000002141"/>
    <s v="Non-LFF"/>
    <s v=""/>
    <m/>
    <b v="1"/>
    <x v="1"/>
    <x v="3"/>
    <d v="2025-08-26T00:00:00"/>
    <m/>
    <m/>
    <x v="1"/>
    <n v="83"/>
    <s v="Rayneil Reas"/>
    <m/>
  </r>
  <r>
    <x v="346"/>
    <x v="0"/>
    <x v="2"/>
    <s v="PLEAN_X310511CZ5013204 Mavenclad Commercial CZ50 Congress &amp; Eve"/>
    <s v="H000002141"/>
    <s v="H000002141"/>
    <s v="Non-LFF"/>
    <s v=""/>
    <m/>
    <b v="1"/>
    <x v="1"/>
    <x v="3"/>
    <d v="2025-08-26T00:00:00"/>
    <m/>
    <m/>
    <x v="1"/>
    <n v="83"/>
    <s v="Rayneil Reas"/>
    <m/>
  </r>
  <r>
    <x v="347"/>
    <x v="0"/>
    <x v="2"/>
    <s v="CLFF_1000$$$DE10523400"/>
    <s v="G000000387"/>
    <s v="G000000387"/>
    <s v="LFF (MDG-F)"/>
    <s v="DE10523400"/>
    <m/>
    <b v="1"/>
    <x v="0"/>
    <x v="3"/>
    <d v="2025-08-26T00:00:00"/>
    <m/>
    <m/>
    <x v="1"/>
    <n v="83"/>
    <s v="Marcus Morowski"/>
    <m/>
  </r>
  <r>
    <x v="347"/>
    <x v="0"/>
    <x v="2"/>
    <s v="CLFF_1000$$$DE10524300"/>
    <s v="G000000387"/>
    <s v="G000000387"/>
    <s v="LFF (MDG-F)"/>
    <s v="DE10524300"/>
    <m/>
    <b v="1"/>
    <x v="0"/>
    <x v="3"/>
    <d v="2025-08-26T00:00:00"/>
    <m/>
    <m/>
    <x v="1"/>
    <n v="83"/>
    <s v="Marcus Morowski"/>
    <m/>
  </r>
  <r>
    <x v="347"/>
    <x v="0"/>
    <x v="2"/>
    <s v="CLFF_1000$$$DE10625700"/>
    <s v="G000000918"/>
    <s v="G000000918"/>
    <s v="LFF (MDG-F)"/>
    <s v="DE10625700"/>
    <m/>
    <b v="1"/>
    <x v="0"/>
    <x v="3"/>
    <d v="2025-08-26T00:00:00"/>
    <m/>
    <m/>
    <x v="1"/>
    <n v="83"/>
    <s v="Marcus Morowski"/>
    <m/>
  </r>
  <r>
    <x v="347"/>
    <x v="0"/>
    <x v="2"/>
    <s v="CLFF_1000$$$DE10510000"/>
    <s v="G000000918"/>
    <s v="G000000918"/>
    <s v="LFF (MDG-F)"/>
    <s v="DE10510000"/>
    <m/>
    <b v="1"/>
    <x v="0"/>
    <x v="3"/>
    <d v="2025-08-26T00:00:00"/>
    <m/>
    <m/>
    <x v="1"/>
    <n v="83"/>
    <s v="Marcus Morowski"/>
    <m/>
  </r>
  <r>
    <x v="347"/>
    <x v="0"/>
    <x v="2"/>
    <s v="CLFF_1000$$$DE10551100"/>
    <s v="G000000918"/>
    <s v="G000000918"/>
    <s v="LFF (MDG-F)"/>
    <s v="DE10551100"/>
    <m/>
    <b v="1"/>
    <x v="0"/>
    <x v="3"/>
    <d v="2025-08-26T00:00:00"/>
    <m/>
    <m/>
    <x v="1"/>
    <n v="83"/>
    <s v="Marcus Morowski"/>
    <m/>
  </r>
  <r>
    <x v="348"/>
    <x v="0"/>
    <x v="2"/>
    <s v="PLEAN_X310101CZ5011000"/>
    <s v="H000002141"/>
    <s v="H000002141"/>
    <s v="Non-LFF"/>
    <s v=""/>
    <m/>
    <b v="1"/>
    <x v="1"/>
    <x v="3"/>
    <d v="2025-08-26T00:00:00"/>
    <m/>
    <m/>
    <x v="1"/>
    <n v="83"/>
    <s v="Rayneil Reas"/>
    <m/>
  </r>
  <r>
    <x v="348"/>
    <x v="0"/>
    <x v="2"/>
    <s v="PLEAN_X310102CZ5021000"/>
    <s v="H000002141"/>
    <s v="H000002141"/>
    <s v="Non-LFF"/>
    <s v=""/>
    <m/>
    <b v="1"/>
    <x v="1"/>
    <x v="3"/>
    <d v="2025-08-26T00:00:00"/>
    <m/>
    <m/>
    <x v="1"/>
    <n v="83"/>
    <s v="Rayneil Reas"/>
    <m/>
  </r>
  <r>
    <x v="348"/>
    <x v="0"/>
    <x v="2"/>
    <s v="PLEAN_X310102CZ5022000"/>
    <s v="H000002141"/>
    <s v="H000002141"/>
    <s v="Non-LFF"/>
    <s v=""/>
    <m/>
    <b v="1"/>
    <x v="1"/>
    <x v="3"/>
    <d v="2025-08-26T00:00:00"/>
    <m/>
    <m/>
    <x v="1"/>
    <n v="83"/>
    <s v="Rayneil Reas"/>
    <m/>
  </r>
  <r>
    <x v="348"/>
    <x v="0"/>
    <x v="2"/>
    <s v="PLEAN_X310202CZ5020000"/>
    <s v="H000002141"/>
    <s v="H000002141"/>
    <s v="Non-LFF"/>
    <s v=""/>
    <m/>
    <b v="1"/>
    <x v="1"/>
    <x v="3"/>
    <d v="2025-08-26T00:00:00"/>
    <m/>
    <m/>
    <x v="1"/>
    <n v="83"/>
    <s v="Rayneil Reas"/>
    <m/>
  </r>
  <r>
    <x v="348"/>
    <x v="0"/>
    <x v="2"/>
    <s v="PLEAN_X310202CZ5022000"/>
    <s v="H000002141"/>
    <s v="H000002141"/>
    <s v="Non-LFF"/>
    <s v=""/>
    <m/>
    <b v="1"/>
    <x v="1"/>
    <x v="3"/>
    <d v="2025-08-26T00:00:00"/>
    <m/>
    <m/>
    <x v="1"/>
    <n v="83"/>
    <s v="Rayneil Reas"/>
    <m/>
  </r>
  <r>
    <x v="348"/>
    <x v="0"/>
    <x v="2"/>
    <s v="PLEAN_X310202CZ5023000"/>
    <s v="H000002141"/>
    <s v="H000002141"/>
    <s v="Non-LFF"/>
    <s v=""/>
    <m/>
    <b v="1"/>
    <x v="1"/>
    <x v="3"/>
    <d v="2025-08-26T00:00:00"/>
    <m/>
    <m/>
    <x v="1"/>
    <n v="83"/>
    <s v="Rayneil Reas"/>
    <m/>
  </r>
  <r>
    <x v="348"/>
    <x v="0"/>
    <x v="2"/>
    <s v="PLEAN_X310302CZ5020000"/>
    <s v="H000002141"/>
    <s v="H000002141"/>
    <s v="Non-LFF"/>
    <s v=""/>
    <m/>
    <b v="1"/>
    <x v="1"/>
    <x v="3"/>
    <d v="2025-08-26T00:00:00"/>
    <m/>
    <m/>
    <x v="1"/>
    <n v="83"/>
    <s v="Rayneil Reas"/>
    <m/>
  </r>
  <r>
    <x v="348"/>
    <x v="0"/>
    <x v="2"/>
    <s v="PLEAN_X310322CZ5021000"/>
    <s v="H000002141"/>
    <s v="H000002141"/>
    <s v="Non-LFF"/>
    <s v=""/>
    <m/>
    <b v="1"/>
    <x v="1"/>
    <x v="3"/>
    <d v="2025-08-26T00:00:00"/>
    <m/>
    <m/>
    <x v="1"/>
    <n v="83"/>
    <s v="Rayneil Reas"/>
    <m/>
  </r>
  <r>
    <x v="348"/>
    <x v="0"/>
    <x v="2"/>
    <s v="PLEAN_X310331CZ5010000"/>
    <s v="H000002141"/>
    <s v="H000002141"/>
    <s v="Non-LFF"/>
    <s v=""/>
    <m/>
    <b v="1"/>
    <x v="1"/>
    <x v="3"/>
    <d v="2025-08-26T00:00:00"/>
    <m/>
    <m/>
    <x v="1"/>
    <n v="83"/>
    <s v="Rayneil Reas"/>
    <m/>
  </r>
  <r>
    <x v="348"/>
    <x v="0"/>
    <x v="2"/>
    <s v="PLEAN_X310332CZ5020000"/>
    <s v="H000002141"/>
    <s v="H000002141"/>
    <s v="Non-LFF"/>
    <s v=""/>
    <m/>
    <b v="1"/>
    <x v="1"/>
    <x v="3"/>
    <d v="2025-08-26T00:00:00"/>
    <m/>
    <m/>
    <x v="1"/>
    <n v="83"/>
    <s v="Rayneil Reas"/>
    <m/>
  </r>
  <r>
    <x v="348"/>
    <x v="0"/>
    <x v="2"/>
    <s v="PLEAN_X310332CZ5021000"/>
    <s v="H000002141"/>
    <s v="H000002141"/>
    <s v="Non-LFF"/>
    <s v=""/>
    <m/>
    <b v="1"/>
    <x v="1"/>
    <x v="3"/>
    <d v="2025-08-26T00:00:00"/>
    <m/>
    <m/>
    <x v="1"/>
    <n v="83"/>
    <s v="Rayneil Reas"/>
    <m/>
  </r>
  <r>
    <x v="348"/>
    <x v="0"/>
    <x v="2"/>
    <s v="PLEAN_X310402CZ5020000"/>
    <s v="H000002141"/>
    <s v="H000002141"/>
    <s v="Non-LFF"/>
    <s v=""/>
    <m/>
    <b v="1"/>
    <x v="1"/>
    <x v="3"/>
    <d v="2025-08-26T00:00:00"/>
    <m/>
    <m/>
    <x v="1"/>
    <n v="83"/>
    <s v="Rayneil Reas"/>
    <m/>
  </r>
  <r>
    <x v="348"/>
    <x v="0"/>
    <x v="2"/>
    <s v="PLEAN_X310402CZ5022000"/>
    <s v="H000002141"/>
    <s v="H000002141"/>
    <s v="Non-LFF"/>
    <s v=""/>
    <m/>
    <b v="1"/>
    <x v="1"/>
    <x v="3"/>
    <d v="2025-08-26T00:00:00"/>
    <m/>
    <m/>
    <x v="1"/>
    <n v="83"/>
    <s v="Rayneil Reas"/>
    <m/>
  </r>
  <r>
    <x v="348"/>
    <x v="0"/>
    <x v="2"/>
    <s v="PLEAN_X310501CZ5030000"/>
    <s v="H000002141"/>
    <s v="H000002141"/>
    <s v="Non-LFF"/>
    <s v=""/>
    <m/>
    <b v="1"/>
    <x v="1"/>
    <x v="3"/>
    <d v="2025-08-26T00:00:00"/>
    <m/>
    <m/>
    <x v="1"/>
    <n v="83"/>
    <s v="Rayneil Reas"/>
    <m/>
  </r>
  <r>
    <x v="348"/>
    <x v="0"/>
    <x v="2"/>
    <s v="PLEAN_X310512CZ5020000"/>
    <s v="H000002141"/>
    <s v="H000002141"/>
    <s v="Non-LFF"/>
    <s v=""/>
    <m/>
    <b v="1"/>
    <x v="1"/>
    <x v="3"/>
    <d v="2025-08-26T00:00:00"/>
    <m/>
    <m/>
    <x v="1"/>
    <n v="83"/>
    <s v="Rayneil Reas"/>
    <m/>
  </r>
  <r>
    <x v="348"/>
    <x v="0"/>
    <x v="2"/>
    <s v="PLEAN_X310512CZ5023000"/>
    <s v="H000002141"/>
    <s v="H000002141"/>
    <s v="Non-LFF"/>
    <s v=""/>
    <m/>
    <b v="1"/>
    <x v="1"/>
    <x v="3"/>
    <d v="2025-08-26T00:00:00"/>
    <m/>
    <m/>
    <x v="1"/>
    <n v="83"/>
    <s v="Rayneil Reas"/>
    <m/>
  </r>
  <r>
    <x v="348"/>
    <x v="0"/>
    <x v="2"/>
    <s v="PLEAN_X310513CZ5043000"/>
    <s v="H000002141"/>
    <s v="H000002141"/>
    <s v="Non-LFF"/>
    <s v=""/>
    <m/>
    <b v="1"/>
    <x v="1"/>
    <x v="3"/>
    <d v="2025-08-26T00:00:00"/>
    <m/>
    <m/>
    <x v="1"/>
    <n v="83"/>
    <s v="Rayneil Reas"/>
    <m/>
  </r>
  <r>
    <x v="348"/>
    <x v="0"/>
    <x v="2"/>
    <s v="CLFF_1000$$$CZ50GEQ001"/>
    <s v="H000002141"/>
    <s v="H000002141"/>
    <s v="LFF (MDG-F)"/>
    <s v="CZ50GEQ001"/>
    <m/>
    <b v="1"/>
    <x v="1"/>
    <x v="3"/>
    <d v="2025-08-26T00:00:00"/>
    <m/>
    <m/>
    <x v="1"/>
    <n v="83"/>
    <s v="Rayneil Reas"/>
    <m/>
  </r>
  <r>
    <x v="348"/>
    <x v="0"/>
    <x v="2"/>
    <s v="CLFF_1000$$$CZ50Z02185"/>
    <s v="H000002141"/>
    <s v="H000002141"/>
    <s v="LFF (MDG-F)"/>
    <s v="CZ50Z02185"/>
    <m/>
    <b v="1"/>
    <x v="1"/>
    <x v="3"/>
    <d v="2025-08-26T00:00:00"/>
    <m/>
    <m/>
    <x v="1"/>
    <n v="83"/>
    <s v="Rayneil Reas"/>
    <m/>
  </r>
  <r>
    <x v="349"/>
    <x v="0"/>
    <x v="2"/>
    <s v="CLFF_1000$$$JP01C00020"/>
    <s v="GNMI000090"/>
    <s v="GNMI000090"/>
    <s v="LFF (MDG-F)"/>
    <s v="JP01C00020"/>
    <m/>
    <b v="1"/>
    <x v="3"/>
    <x v="3"/>
    <d v="2025-08-26T00:00:00"/>
    <m/>
    <m/>
    <x v="1"/>
    <n v="83"/>
    <s v="Robert Coman"/>
    <m/>
  </r>
  <r>
    <x v="349"/>
    <x v="0"/>
    <x v="2"/>
    <s v="CLFF_1000$$$JP01C00301"/>
    <s v="GNMI000090"/>
    <s v="GNMI000090"/>
    <s v="LFF (MDG-F)"/>
    <s v="JP01C00301"/>
    <m/>
    <b v="1"/>
    <x v="3"/>
    <x v="3"/>
    <d v="2025-08-26T00:00:00"/>
    <m/>
    <m/>
    <x v="1"/>
    <n v="83"/>
    <s v="Robert Coman"/>
    <m/>
  </r>
  <r>
    <x v="349"/>
    <x v="0"/>
    <x v="2"/>
    <s v="CLFF_1000$$$JP01C00401"/>
    <s v="GNMI000090"/>
    <s v="GNMI000090"/>
    <s v="LFF (MDG-F)"/>
    <s v="JP01C00401"/>
    <m/>
    <b v="1"/>
    <x v="3"/>
    <x v="3"/>
    <d v="2025-08-26T00:00:00"/>
    <m/>
    <m/>
    <x v="1"/>
    <n v="83"/>
    <s v="Robert Coman"/>
    <m/>
  </r>
  <r>
    <x v="349"/>
    <x v="0"/>
    <x v="2"/>
    <s v="CLFF_1000$$$JP01C0M121"/>
    <s v="GNMI000415"/>
    <s v="GNMI000415"/>
    <s v="LFF (MDG-F)"/>
    <s v="JP01C0M121"/>
    <m/>
    <b v="1"/>
    <x v="3"/>
    <x v="3"/>
    <d v="2025-08-26T00:00:00"/>
    <m/>
    <m/>
    <x v="1"/>
    <n v="83"/>
    <s v="Robert Coman"/>
    <m/>
  </r>
  <r>
    <x v="349"/>
    <x v="0"/>
    <x v="2"/>
    <s v="CLFF_1000$$$JP01C0M600"/>
    <s v="GNMI000710"/>
    <s v="GNMI000710"/>
    <s v="LFF (MDG-F)"/>
    <s v="JP01C0M600"/>
    <m/>
    <b v="1"/>
    <x v="3"/>
    <x v="3"/>
    <d v="2025-08-26T00:00:00"/>
    <m/>
    <m/>
    <x v="1"/>
    <n v="83"/>
    <s v="Robert Coman"/>
    <m/>
  </r>
  <r>
    <x v="349"/>
    <x v="0"/>
    <x v="2"/>
    <s v="CLFF_1000$$$JP01C0M621"/>
    <s v="GNMI000710"/>
    <s v="GNMI000710"/>
    <s v="LFF (MDG-F)"/>
    <s v="JP01C0M621"/>
    <m/>
    <b v="1"/>
    <x v="3"/>
    <x v="3"/>
    <d v="2025-08-26T00:00:00"/>
    <m/>
    <m/>
    <x v="1"/>
    <n v="83"/>
    <s v="Robert Coman"/>
    <m/>
  </r>
  <r>
    <x v="349"/>
    <x v="0"/>
    <x v="2"/>
    <s v="CLFF_1000$$$JP01C0M821"/>
    <s v="GNMI004131"/>
    <s v="GNMI004131"/>
    <s v="LFF (MDG-F)"/>
    <s v="JP01C0M821"/>
    <m/>
    <b v="1"/>
    <x v="3"/>
    <x v="3"/>
    <d v="2025-08-26T00:00:00"/>
    <m/>
    <m/>
    <x v="1"/>
    <n v="83"/>
    <s v="Robert Coman"/>
    <m/>
  </r>
  <r>
    <x v="349"/>
    <x v="0"/>
    <x v="2"/>
    <s v="CLFF_1000$$$JP01C0M822"/>
    <s v="GNMI004131"/>
    <s v="GNMI004131"/>
    <s v="LFF (MDG-F)"/>
    <s v="JP01C0M822"/>
    <m/>
    <b v="1"/>
    <x v="3"/>
    <x v="3"/>
    <d v="2025-08-26T00:00:00"/>
    <m/>
    <m/>
    <x v="1"/>
    <n v="83"/>
    <s v="Robert Coman"/>
    <m/>
  </r>
  <r>
    <x v="349"/>
    <x v="0"/>
    <x v="2"/>
    <s v="CLFF_1000$$$JP01C0M825"/>
    <s v="GNMI000051"/>
    <s v="GNMI000051"/>
    <s v="LFF (MDG-F)"/>
    <s v="JP01C0M825"/>
    <m/>
    <b v="1"/>
    <x v="3"/>
    <x v="3"/>
    <d v="2025-08-26T00:00:00"/>
    <m/>
    <m/>
    <x v="1"/>
    <n v="83"/>
    <s v="Robert Coman"/>
    <m/>
  </r>
  <r>
    <x v="349"/>
    <x v="0"/>
    <x v="2"/>
    <s v="CLFF_1000$$$JP01C0M921"/>
    <s v="GNMI000414"/>
    <s v="GNMI000414"/>
    <s v="LFF (MDG-F)"/>
    <s v="JP01C0M921"/>
    <m/>
    <b v="1"/>
    <x v="3"/>
    <x v="3"/>
    <d v="2025-08-26T00:00:00"/>
    <m/>
    <m/>
    <x v="1"/>
    <n v="83"/>
    <s v="Robert Coman"/>
    <m/>
  </r>
  <r>
    <x v="349"/>
    <x v="0"/>
    <x v="2"/>
    <s v="CLFF_1000$$$JP01C0O921"/>
    <s v="GNMI003610"/>
    <s v="GNMI003610"/>
    <s v="LFF (MDG-F)"/>
    <s v="JP01C0O921"/>
    <m/>
    <b v="1"/>
    <x v="3"/>
    <x v="3"/>
    <d v="2025-08-26T00:00:00"/>
    <m/>
    <m/>
    <x v="1"/>
    <n v="83"/>
    <s v="Robert Coman"/>
    <m/>
  </r>
  <r>
    <x v="349"/>
    <x v="0"/>
    <x v="2"/>
    <s v="CLFF_1000$$$JP01C0O999"/>
    <s v="GNMI004131"/>
    <s v="GNMI004131"/>
    <s v="LFF (MDG-F)"/>
    <s v="JP01C0O999"/>
    <m/>
    <b v="1"/>
    <x v="3"/>
    <x v="3"/>
    <d v="2025-08-26T00:00:00"/>
    <m/>
    <m/>
    <x v="1"/>
    <n v="83"/>
    <s v="Robert Coman"/>
    <m/>
  </r>
  <r>
    <x v="349"/>
    <x v="0"/>
    <x v="2"/>
    <s v="CLFF_1000$$$JP01GBT301"/>
    <s v="GNMI000084"/>
    <s v="GNMI000084"/>
    <s v="LFF (MDG-F)"/>
    <s v="JP01GBT301"/>
    <m/>
    <b v="1"/>
    <x v="3"/>
    <x v="3"/>
    <d v="2025-08-26T00:00:00"/>
    <m/>
    <m/>
    <x v="1"/>
    <n v="83"/>
    <s v="Robert Coman"/>
    <m/>
  </r>
  <r>
    <x v="349"/>
    <x v="0"/>
    <x v="2"/>
    <s v="CLFF_1000$$$JP01GBT303"/>
    <s v="GNMI000084"/>
    <s v="GNMI000084"/>
    <s v="LFF (MDG-F)"/>
    <s v="JP01GBT303"/>
    <m/>
    <b v="1"/>
    <x v="3"/>
    <x v="3"/>
    <d v="2025-08-26T00:00:00"/>
    <m/>
    <m/>
    <x v="1"/>
    <n v="83"/>
    <s v="Robert Coman"/>
    <m/>
  </r>
  <r>
    <x v="349"/>
    <x v="0"/>
    <x v="2"/>
    <s v="CLFF_1000$$$JP01GBT304"/>
    <s v="GNMI000084"/>
    <s v="GNMI000084"/>
    <s v="LFF (MDG-F)"/>
    <s v="JP01GBT304"/>
    <m/>
    <b v="1"/>
    <x v="3"/>
    <x v="3"/>
    <d v="2025-08-26T00:00:00"/>
    <m/>
    <m/>
    <x v="1"/>
    <n v="83"/>
    <s v="Robert Coman"/>
    <m/>
  </r>
  <r>
    <x v="349"/>
    <x v="0"/>
    <x v="2"/>
    <s v="CLFF_1000$$$JP01GBT305"/>
    <s v="GNMI000084"/>
    <s v="GNMI000084"/>
    <s v="LFF (MDG-F)"/>
    <s v="JP01GBT305"/>
    <m/>
    <b v="1"/>
    <x v="3"/>
    <x v="3"/>
    <d v="2025-08-26T00:00:00"/>
    <m/>
    <m/>
    <x v="1"/>
    <n v="83"/>
    <s v="Robert Coman"/>
    <m/>
  </r>
  <r>
    <x v="349"/>
    <x v="0"/>
    <x v="2"/>
    <s v="CLFF_1000$$$JP01GCM301"/>
    <s v="GNMI000091"/>
    <s v="GNMI000091"/>
    <s v="LFF (MDG-F)"/>
    <s v="JP01GCM301"/>
    <m/>
    <b v="1"/>
    <x v="3"/>
    <x v="3"/>
    <d v="2025-08-26T00:00:00"/>
    <m/>
    <m/>
    <x v="1"/>
    <n v="83"/>
    <s v="Robert Coman"/>
    <m/>
  </r>
  <r>
    <x v="349"/>
    <x v="0"/>
    <x v="2"/>
    <s v="CLFF_1000$$$JP01GCO301"/>
    <s v="GNMI000081"/>
    <s v="GNMI000081"/>
    <s v="LFF (MDG-F)"/>
    <s v="JP01GCO301"/>
    <m/>
    <b v="1"/>
    <x v="3"/>
    <x v="3"/>
    <d v="2025-08-26T00:00:00"/>
    <m/>
    <m/>
    <x v="1"/>
    <n v="83"/>
    <s v="Robert Coman"/>
    <m/>
  </r>
  <r>
    <x v="349"/>
    <x v="0"/>
    <x v="2"/>
    <s v="CLFF_1000$$$JP01GFO300"/>
    <s v="GNMI000091"/>
    <s v="GNMI000091"/>
    <s v="LFF (MDG-F)"/>
    <s v="JP01GFO300"/>
    <m/>
    <b v="1"/>
    <x v="3"/>
    <x v="3"/>
    <d v="2025-08-26T00:00:00"/>
    <m/>
    <m/>
    <x v="1"/>
    <n v="83"/>
    <s v="Robert Coman"/>
    <m/>
  </r>
  <r>
    <x v="349"/>
    <x v="0"/>
    <x v="2"/>
    <s v="CLFF_1000$$$JP01GFO301"/>
    <s v="GNMI000091"/>
    <s v="GNMI000091"/>
    <s v="LFF (MDG-F)"/>
    <s v="JP01GFO301"/>
    <m/>
    <b v="1"/>
    <x v="3"/>
    <x v="3"/>
    <d v="2025-08-26T00:00:00"/>
    <m/>
    <m/>
    <x v="1"/>
    <n v="83"/>
    <s v="Robert Coman"/>
    <m/>
  </r>
  <r>
    <x v="349"/>
    <x v="0"/>
    <x v="2"/>
    <s v="CLFF_1000$$$JP01GHR301"/>
    <s v="GNMI000082"/>
    <s v="GNMI000082"/>
    <s v="LFF (MDG-F)"/>
    <s v="JP01GHR301"/>
    <m/>
    <b v="1"/>
    <x v="3"/>
    <x v="3"/>
    <d v="2025-08-26T00:00:00"/>
    <m/>
    <m/>
    <x v="1"/>
    <n v="83"/>
    <s v="Robert Coman"/>
    <m/>
  </r>
  <r>
    <x v="349"/>
    <x v="0"/>
    <x v="2"/>
    <s v="CLFF_1000$$$JP01GHR303"/>
    <s v="GNMI000082"/>
    <s v="GNMI000082"/>
    <s v="LFF (MDG-F)"/>
    <s v="JP01GHR303"/>
    <m/>
    <b v="1"/>
    <x v="3"/>
    <x v="3"/>
    <d v="2025-08-26T00:00:00"/>
    <m/>
    <m/>
    <x v="1"/>
    <n v="83"/>
    <s v="Robert Coman"/>
    <m/>
  </r>
  <r>
    <x v="349"/>
    <x v="0"/>
    <x v="2"/>
    <s v="CLFF_1000$$$JP01GIT01B"/>
    <s v="GNMI000084"/>
    <s v="GNMI000084"/>
    <s v="LFF (MDG-F)"/>
    <s v="JP01GIT01B"/>
    <m/>
    <b v="1"/>
    <x v="3"/>
    <x v="3"/>
    <d v="2025-08-26T00:00:00"/>
    <m/>
    <m/>
    <x v="1"/>
    <n v="83"/>
    <s v="Robert Coman"/>
    <m/>
  </r>
  <r>
    <x v="349"/>
    <x v="0"/>
    <x v="2"/>
    <s v="CLFF_1000$$$JP01GLE301"/>
    <s v="GNMI000080"/>
    <s v="GNMI000080"/>
    <s v="LFF (MDG-F)"/>
    <s v="JP01GLE301"/>
    <m/>
    <b v="1"/>
    <x v="3"/>
    <x v="3"/>
    <d v="2025-08-26T00:00:00"/>
    <m/>
    <m/>
    <x v="1"/>
    <n v="83"/>
    <s v="Robert Coman"/>
    <m/>
  </r>
  <r>
    <x v="349"/>
    <x v="0"/>
    <x v="2"/>
    <s v="CLFF_1000$$$JP01GLE302"/>
    <s v="GNMI000080"/>
    <s v="GNMI000080"/>
    <s v="LFF (MDG-F)"/>
    <s v="JP01GLE302"/>
    <m/>
    <b v="1"/>
    <x v="3"/>
    <x v="3"/>
    <d v="2025-08-26T00:00:00"/>
    <m/>
    <m/>
    <x v="1"/>
    <n v="83"/>
    <s v="Robert Coman"/>
    <m/>
  </r>
  <r>
    <x v="349"/>
    <x v="0"/>
    <x v="2"/>
    <s v="CLFF_1000$$$JP01GM1002"/>
    <s v="GNMI000090"/>
    <s v="GNMI000090"/>
    <s v="LFF (MDG-F)"/>
    <s v="JP01GM1002"/>
    <m/>
    <b v="1"/>
    <x v="3"/>
    <x v="3"/>
    <d v="2025-08-26T00:00:00"/>
    <m/>
    <m/>
    <x v="1"/>
    <n v="83"/>
    <s v="Robert Coman"/>
    <m/>
  </r>
  <r>
    <x v="349"/>
    <x v="0"/>
    <x v="2"/>
    <s v="CLFF_1000$$$JP01GM4001"/>
    <s v="GNMI000090"/>
    <s v="GNMI000090"/>
    <s v="LFF (MDG-F)"/>
    <s v="JP01GM4001"/>
    <m/>
    <b v="1"/>
    <x v="3"/>
    <x v="3"/>
    <d v="2025-08-26T00:00:00"/>
    <m/>
    <m/>
    <x v="1"/>
    <n v="83"/>
    <s v="Robert Coman"/>
    <m/>
  </r>
  <r>
    <x v="349"/>
    <x v="0"/>
    <x v="2"/>
    <s v="CLFF_1000$$$JP01GM4002"/>
    <s v="GNMI000090"/>
    <s v="GNMI000090"/>
    <s v="LFF (MDG-F)"/>
    <s v="JP01GM4002"/>
    <m/>
    <b v="1"/>
    <x v="3"/>
    <x v="3"/>
    <d v="2025-08-26T00:00:00"/>
    <m/>
    <m/>
    <x v="1"/>
    <n v="83"/>
    <s v="Robert Coman"/>
    <m/>
  </r>
  <r>
    <x v="349"/>
    <x v="0"/>
    <x v="2"/>
    <s v="CLFF_1000$$$JP01GM8001"/>
    <s v="GNMI000091"/>
    <s v="GNMI000091"/>
    <s v="LFF (MDG-F)"/>
    <s v="JP01GM8001"/>
    <m/>
    <b v="1"/>
    <x v="3"/>
    <x v="3"/>
    <d v="2025-08-26T00:00:00"/>
    <m/>
    <m/>
    <x v="1"/>
    <n v="83"/>
    <s v="Robert Coman"/>
    <m/>
  </r>
  <r>
    <x v="349"/>
    <x v="0"/>
    <x v="2"/>
    <s v="CLFF_1000$$$JP01GM8002"/>
    <s v="GNMI000090"/>
    <s v="GNMI000090"/>
    <s v="LFF (MDG-F)"/>
    <s v="JP01GM8002"/>
    <m/>
    <b v="1"/>
    <x v="3"/>
    <x v="3"/>
    <d v="2025-08-26T00:00:00"/>
    <m/>
    <m/>
    <x v="1"/>
    <n v="83"/>
    <s v="Robert Coman"/>
    <m/>
  </r>
  <r>
    <x v="349"/>
    <x v="0"/>
    <x v="2"/>
    <s v="CLFF_1000$$$JP01GMB040"/>
    <s v="GNMI000090"/>
    <s v="GNMI000090"/>
    <s v="LFF (MDG-F)"/>
    <s v="JP01GMB040"/>
    <m/>
    <b v="1"/>
    <x v="3"/>
    <x v="3"/>
    <d v="2025-08-26T00:00:00"/>
    <m/>
    <m/>
    <x v="1"/>
    <n v="83"/>
    <s v="Robert Coman"/>
    <m/>
  </r>
  <r>
    <x v="349"/>
    <x v="0"/>
    <x v="2"/>
    <s v="CLFF_1000$$$JP01GMW080"/>
    <s v="GNMI000090"/>
    <s v="GNMI000090"/>
    <s v="LFF (MDG-F)"/>
    <s v="JP01GMW080"/>
    <m/>
    <b v="1"/>
    <x v="3"/>
    <x v="3"/>
    <d v="2025-08-26T00:00:00"/>
    <m/>
    <m/>
    <x v="1"/>
    <n v="83"/>
    <s v="Robert Coman"/>
    <m/>
  </r>
  <r>
    <x v="349"/>
    <x v="0"/>
    <x v="2"/>
    <s v="CLFF_1000$$$JP01GPO301"/>
    <s v="GNMI000083"/>
    <s v="GNMI000083"/>
    <s v="LFF (MDG-F)"/>
    <s v="JP01GPO301"/>
    <m/>
    <b v="1"/>
    <x v="3"/>
    <x v="3"/>
    <d v="2025-08-26T00:00:00"/>
    <m/>
    <m/>
    <x v="1"/>
    <n v="83"/>
    <s v="Robert Coman"/>
    <m/>
  </r>
  <r>
    <x v="349"/>
    <x v="0"/>
    <x v="2"/>
    <s v="CLFF_1000$$$JP01GPO302"/>
    <s v="GNMI000083"/>
    <s v="GNMI000083"/>
    <s v="LFF (MDG-F)"/>
    <s v="JP01GPO302"/>
    <m/>
    <b v="1"/>
    <x v="3"/>
    <x v="3"/>
    <d v="2025-08-26T00:00:00"/>
    <m/>
    <m/>
    <x v="1"/>
    <n v="83"/>
    <s v="Robert Coman"/>
    <m/>
  </r>
  <r>
    <x v="349"/>
    <x v="0"/>
    <x v="2"/>
    <s v="CLFF_1000$$$JP01GPO303"/>
    <s v="GNMI000091"/>
    <s v="GNMI000091"/>
    <s v="LFF (MDG-F)"/>
    <s v="JP01GPO303"/>
    <m/>
    <b v="1"/>
    <x v="3"/>
    <x v="3"/>
    <d v="2025-08-26T00:00:00"/>
    <m/>
    <m/>
    <x v="1"/>
    <n v="83"/>
    <s v="Robert Coman"/>
    <m/>
  </r>
  <r>
    <x v="349"/>
    <x v="0"/>
    <x v="2"/>
    <s v="CLFF_1000$$$JP01GPS302"/>
    <s v="GNMI000390"/>
    <s v="GNMI000390"/>
    <s v="LFF (MDG-F)"/>
    <s v="JP01GPS302"/>
    <m/>
    <b v="1"/>
    <x v="3"/>
    <x v="3"/>
    <d v="2025-08-26T00:00:00"/>
    <m/>
    <m/>
    <x v="1"/>
    <n v="83"/>
    <s v="Robert Coman"/>
    <m/>
  </r>
  <r>
    <x v="349"/>
    <x v="0"/>
    <x v="2"/>
    <s v="CLFF_1000$$$JP01GSQ013"/>
    <s v="GNMI000084"/>
    <s v="GNMI000084"/>
    <s v="LFF (MDG-F)"/>
    <s v="JP01GSQ013"/>
    <m/>
    <b v="1"/>
    <x v="3"/>
    <x v="3"/>
    <d v="2025-08-26T00:00:00"/>
    <m/>
    <m/>
    <x v="1"/>
    <n v="83"/>
    <s v="Robert Coman"/>
    <m/>
  </r>
  <r>
    <x v="349"/>
    <x v="0"/>
    <x v="2"/>
    <s v="CLFF_1000$$$JP01L1M001"/>
    <s v="GNMI000091"/>
    <s v="GNMI000091"/>
    <s v="LFF (MDG-F)"/>
    <s v="JP01L1M001"/>
    <m/>
    <b v="1"/>
    <x v="3"/>
    <x v="3"/>
    <d v="2025-08-26T00:00:00"/>
    <m/>
    <m/>
    <x v="1"/>
    <n v="83"/>
    <s v="Robert Coman"/>
    <m/>
  </r>
  <r>
    <x v="349"/>
    <x v="0"/>
    <x v="2"/>
    <s v="CLFF_1000$$$JP01L3K302"/>
    <s v="GNMI000091"/>
    <s v="GNMI000091"/>
    <s v="LFF (MDG-F)"/>
    <s v="JP01L3K302"/>
    <m/>
    <b v="1"/>
    <x v="3"/>
    <x v="3"/>
    <d v="2025-08-26T00:00:00"/>
    <m/>
    <m/>
    <x v="1"/>
    <n v="83"/>
    <s v="Robert Coman"/>
    <m/>
  </r>
  <r>
    <x v="349"/>
    <x v="0"/>
    <x v="2"/>
    <s v="CLFF_1000$$$JP01L3K304"/>
    <s v="GNMI000091"/>
    <s v="GNMI000091"/>
    <s v="LFF (MDG-F)"/>
    <s v="JP01L3K304"/>
    <m/>
    <b v="1"/>
    <x v="3"/>
    <x v="3"/>
    <d v="2025-08-26T00:00:00"/>
    <m/>
    <m/>
    <x v="1"/>
    <n v="83"/>
    <s v="Robert Coman"/>
    <m/>
  </r>
  <r>
    <x v="349"/>
    <x v="0"/>
    <x v="2"/>
    <s v="CLFF_1000$$$JP01L3M301"/>
    <s v="GNMI000091"/>
    <s v="GNMI000091"/>
    <s v="LFF (MDG-F)"/>
    <s v="JP01L3M301"/>
    <m/>
    <b v="1"/>
    <x v="3"/>
    <x v="3"/>
    <d v="2025-08-26T00:00:00"/>
    <m/>
    <m/>
    <x v="1"/>
    <n v="83"/>
    <s v="Robert Coman"/>
    <m/>
  </r>
  <r>
    <x v="349"/>
    <x v="0"/>
    <x v="2"/>
    <s v="CLFF_1000$$$JP01L3M303"/>
    <s v="GNMI000091"/>
    <s v="GNMI000091"/>
    <s v="LFF (MDG-F)"/>
    <s v="JP01L3M303"/>
    <m/>
    <b v="1"/>
    <x v="3"/>
    <x v="3"/>
    <d v="2025-08-26T00:00:00"/>
    <m/>
    <m/>
    <x v="1"/>
    <n v="83"/>
    <s v="Robert Coman"/>
    <m/>
  </r>
  <r>
    <x v="349"/>
    <x v="0"/>
    <x v="2"/>
    <s v="CLFF_1000$$$JP01L4M301"/>
    <s v="GNMI000091"/>
    <s v="GNMI000091"/>
    <s v="LFF (MDG-F)"/>
    <s v="JP01L4M301"/>
    <m/>
    <b v="1"/>
    <x v="3"/>
    <x v="3"/>
    <d v="2025-08-26T00:00:00"/>
    <m/>
    <m/>
    <x v="1"/>
    <n v="83"/>
    <s v="Robert Coman"/>
    <m/>
  </r>
  <r>
    <x v="349"/>
    <x v="0"/>
    <x v="2"/>
    <s v="CLFF_1000$$$JP01L4M302"/>
    <s v="GNMI000082"/>
    <s v="GNMI000082"/>
    <s v="LFF (MDG-F)"/>
    <s v="JP01L4M302"/>
    <m/>
    <b v="1"/>
    <x v="3"/>
    <x v="3"/>
    <d v="2025-08-26T00:00:00"/>
    <m/>
    <m/>
    <x v="1"/>
    <n v="83"/>
    <s v="Robert Coman"/>
    <m/>
  </r>
  <r>
    <x v="349"/>
    <x v="0"/>
    <x v="2"/>
    <s v="CLFF_1000$$$JP01L5M301"/>
    <s v="GNMI000091"/>
    <s v="GNMI000091"/>
    <s v="LFF (MDG-F)"/>
    <s v="JP01L5M301"/>
    <m/>
    <b v="1"/>
    <x v="3"/>
    <x v="3"/>
    <d v="2025-08-26T00:00:00"/>
    <m/>
    <m/>
    <x v="1"/>
    <n v="83"/>
    <s v="Robert Coman"/>
    <m/>
  </r>
  <r>
    <x v="349"/>
    <x v="0"/>
    <x v="2"/>
    <s v="CLFF_1000$$$JP01L5M302"/>
    <s v="GNMI000091"/>
    <s v="GNMI000091"/>
    <s v="LFF (MDG-F)"/>
    <s v="JP01L5M302"/>
    <m/>
    <b v="1"/>
    <x v="3"/>
    <x v="3"/>
    <d v="2025-08-26T00:00:00"/>
    <m/>
    <m/>
    <x v="1"/>
    <n v="83"/>
    <s v="Robert Coman"/>
    <m/>
  </r>
  <r>
    <x v="349"/>
    <x v="0"/>
    <x v="2"/>
    <s v="CLFF_1000$$$JP01L7M301"/>
    <s v="GNMI000091"/>
    <s v="GNMI000091"/>
    <s v="LFF (MDG-F)"/>
    <s v="JP01L7M301"/>
    <m/>
    <b v="1"/>
    <x v="3"/>
    <x v="3"/>
    <d v="2025-08-26T00:00:00"/>
    <m/>
    <m/>
    <x v="1"/>
    <n v="83"/>
    <s v="Robert Coman"/>
    <m/>
  </r>
  <r>
    <x v="349"/>
    <x v="0"/>
    <x v="2"/>
    <s v="CLFF_1000$$$JP01L7M302"/>
    <s v="GNMI000091"/>
    <s v="GNMI000091"/>
    <s v="LFF (MDG-F)"/>
    <s v="JP01L7M302"/>
    <m/>
    <b v="1"/>
    <x v="3"/>
    <x v="3"/>
    <d v="2025-08-26T00:00:00"/>
    <m/>
    <m/>
    <x v="1"/>
    <n v="83"/>
    <s v="Robert Coman"/>
    <m/>
  </r>
  <r>
    <x v="349"/>
    <x v="0"/>
    <x v="2"/>
    <s v="CLFF_1000$$$JP01L7M303"/>
    <s v="GNMI000091"/>
    <s v="GNMI000091"/>
    <s v="LFF (MDG-F)"/>
    <s v="JP01L7M303"/>
    <m/>
    <b v="1"/>
    <x v="3"/>
    <x v="3"/>
    <d v="2025-08-26T00:00:00"/>
    <m/>
    <m/>
    <x v="1"/>
    <n v="83"/>
    <s v="Robert Coman"/>
    <m/>
  </r>
  <r>
    <x v="349"/>
    <x v="0"/>
    <x v="2"/>
    <s v="CLFF_1000$$$JP01O05000"/>
    <s v="GNMI000084"/>
    <s v="GNMI000084"/>
    <s v="LFF (MDG-F)"/>
    <s v="JP01O05000"/>
    <m/>
    <b v="1"/>
    <x v="3"/>
    <x v="3"/>
    <d v="2025-08-26T00:00:00"/>
    <m/>
    <m/>
    <x v="1"/>
    <n v="83"/>
    <s v="Robert Coman"/>
    <m/>
  </r>
  <r>
    <x v="349"/>
    <x v="0"/>
    <x v="2"/>
    <s v="CLFF_1000$$$JP01O05001"/>
    <s v="GNMI000084"/>
    <s v="GNMI000084"/>
    <s v="LFF (MDG-F)"/>
    <s v="JP01O05001"/>
    <m/>
    <b v="1"/>
    <x v="3"/>
    <x v="3"/>
    <d v="2025-08-26T00:00:00"/>
    <m/>
    <m/>
    <x v="1"/>
    <n v="83"/>
    <s v="Robert Coman"/>
    <m/>
  </r>
  <r>
    <x v="349"/>
    <x v="0"/>
    <x v="2"/>
    <s v="CLFF_1000$$$JP01O05002"/>
    <s v="GNMI000084"/>
    <s v="GNMI000084"/>
    <s v="LFF (MDG-F)"/>
    <s v="JP01O05002"/>
    <m/>
    <b v="1"/>
    <x v="3"/>
    <x v="3"/>
    <d v="2025-08-26T00:00:00"/>
    <m/>
    <m/>
    <x v="1"/>
    <n v="83"/>
    <s v="Robert Coman"/>
    <m/>
  </r>
  <r>
    <x v="349"/>
    <x v="0"/>
    <x v="2"/>
    <s v="CLFF_1000$$$JP01O05003"/>
    <s v="GNMI000084"/>
    <s v="GNMI000084"/>
    <s v="LFF (MDG-F)"/>
    <s v="JP01O05003"/>
    <m/>
    <b v="1"/>
    <x v="3"/>
    <x v="3"/>
    <d v="2025-08-26T00:00:00"/>
    <m/>
    <m/>
    <x v="1"/>
    <n v="83"/>
    <s v="Robert Coman"/>
    <m/>
  </r>
  <r>
    <x v="349"/>
    <x v="0"/>
    <x v="2"/>
    <s v="CLFF_1000$$$JP01O05004"/>
    <s v="GNMI000084"/>
    <s v="GNMI000084"/>
    <s v="LFF (MDG-F)"/>
    <s v="JP01O05004"/>
    <m/>
    <b v="1"/>
    <x v="3"/>
    <x v="3"/>
    <d v="2025-08-26T00:00:00"/>
    <m/>
    <m/>
    <x v="1"/>
    <n v="83"/>
    <s v="Robert Coman"/>
    <m/>
  </r>
  <r>
    <x v="349"/>
    <x v="0"/>
    <x v="2"/>
    <s v="CLFF_1000$$$JP01OF0203"/>
    <s v="GNMI000390"/>
    <s v="GNMI000390"/>
    <s v="LFF (MDG-F)"/>
    <s v="JP01OF0203"/>
    <m/>
    <b v="1"/>
    <x v="3"/>
    <x v="3"/>
    <d v="2025-08-26T00:00:00"/>
    <m/>
    <m/>
    <x v="1"/>
    <n v="83"/>
    <s v="Robert Coman"/>
    <m/>
  </r>
  <r>
    <x v="349"/>
    <x v="0"/>
    <x v="2"/>
    <s v="CLFF_1000$$$JP01R0O721"/>
    <s v="GNMI003610"/>
    <s v="GNMI003610"/>
    <s v="LFF (MDG-F)"/>
    <s v="JP01R0O721"/>
    <m/>
    <b v="1"/>
    <x v="3"/>
    <x v="3"/>
    <d v="2025-08-26T00:00:00"/>
    <m/>
    <m/>
    <x v="1"/>
    <n v="83"/>
    <s v="Robert Coman"/>
    <m/>
  </r>
  <r>
    <x v="349"/>
    <x v="0"/>
    <x v="2"/>
    <s v="CLFF_1000$$$JP01TAOA00"/>
    <s v="GNMI054210"/>
    <s v="GNMI054210"/>
    <s v="LFF (MDG-F)"/>
    <s v="JP01TAOA00"/>
    <m/>
    <b v="1"/>
    <x v="3"/>
    <x v="3"/>
    <d v="2025-08-26T00:00:00"/>
    <m/>
    <m/>
    <x v="1"/>
    <n v="83"/>
    <s v="Robert Coman"/>
    <m/>
  </r>
  <r>
    <x v="349"/>
    <x v="0"/>
    <x v="2"/>
    <s v="CLFF_1000$$$JP01TAOA01"/>
    <s v="GNMI054210"/>
    <s v="GNMI054210"/>
    <s v="LFF (MDG-F)"/>
    <s v="JP01TAOA01"/>
    <m/>
    <b v="1"/>
    <x v="3"/>
    <x v="3"/>
    <d v="2025-08-26T00:00:00"/>
    <m/>
    <m/>
    <x v="1"/>
    <n v="83"/>
    <s v="Robert Coman"/>
    <m/>
  </r>
  <r>
    <x v="349"/>
    <x v="0"/>
    <x v="2"/>
    <s v="CLFF_1000$$$JP01TAOA99"/>
    <s v="GNMI054210"/>
    <s v="GNMI054210"/>
    <s v="LFF (MDG-F)"/>
    <s v="JP01TAOA99"/>
    <m/>
    <b v="1"/>
    <x v="3"/>
    <x v="3"/>
    <d v="2025-08-26T00:00:00"/>
    <m/>
    <m/>
    <x v="1"/>
    <n v="83"/>
    <s v="Robert Coman"/>
    <m/>
  </r>
  <r>
    <x v="349"/>
    <x v="0"/>
    <x v="2"/>
    <s v="CLFF_1000$$$JP01TAOB00"/>
    <s v="GNMI054210"/>
    <s v="GNMI054210"/>
    <s v="LFF (MDG-F)"/>
    <s v="JP01TAOB00"/>
    <m/>
    <b v="1"/>
    <x v="3"/>
    <x v="3"/>
    <d v="2025-08-26T00:00:00"/>
    <m/>
    <m/>
    <x v="1"/>
    <n v="83"/>
    <s v="Robert Coman"/>
    <m/>
  </r>
  <r>
    <x v="349"/>
    <x v="0"/>
    <x v="2"/>
    <s v="CLFF_1000$$$JP01TAOB01"/>
    <s v="GNMI054210"/>
    <s v="GNMI054210"/>
    <s v="LFF (MDG-F)"/>
    <s v="JP01TAOB01"/>
    <m/>
    <b v="1"/>
    <x v="3"/>
    <x v="3"/>
    <d v="2025-08-26T00:00:00"/>
    <m/>
    <m/>
    <x v="1"/>
    <n v="83"/>
    <s v="Robert Coman"/>
    <m/>
  </r>
  <r>
    <x v="349"/>
    <x v="0"/>
    <x v="2"/>
    <s v="CLFF_1000$$$JP01TAOB02"/>
    <s v="GNMI054210"/>
    <s v="GNMI054210"/>
    <s v="LFF (MDG-F)"/>
    <s v="JP01TAOB02"/>
    <m/>
    <b v="1"/>
    <x v="3"/>
    <x v="3"/>
    <d v="2025-08-26T00:00:00"/>
    <m/>
    <m/>
    <x v="1"/>
    <n v="83"/>
    <s v="Robert Coman"/>
    <m/>
  </r>
  <r>
    <x v="349"/>
    <x v="0"/>
    <x v="2"/>
    <s v="CLFF_1000$$$JP01TAOB99"/>
    <s v="GNMI054210"/>
    <s v="GNMI054210"/>
    <s v="LFF (MDG-F)"/>
    <s v="JP01TAOB99"/>
    <m/>
    <b v="1"/>
    <x v="3"/>
    <x v="3"/>
    <d v="2025-08-26T00:00:00"/>
    <m/>
    <m/>
    <x v="1"/>
    <n v="83"/>
    <s v="Robert Coman"/>
    <m/>
  </r>
  <r>
    <x v="349"/>
    <x v="0"/>
    <x v="2"/>
    <s v="CLFF_1000$$$JP01TAOC00"/>
    <s v="GNMI054210"/>
    <s v="GNMI054210"/>
    <s v="LFF (MDG-F)"/>
    <s v="JP01TAOC00"/>
    <m/>
    <b v="1"/>
    <x v="3"/>
    <x v="3"/>
    <d v="2025-08-26T00:00:00"/>
    <m/>
    <m/>
    <x v="1"/>
    <n v="83"/>
    <s v="Robert Coman"/>
    <m/>
  </r>
  <r>
    <x v="349"/>
    <x v="0"/>
    <x v="2"/>
    <s v="CLFF_1000$$$JP01TAOC01"/>
    <s v="GNMI054210"/>
    <s v="GNMI054210"/>
    <s v="LFF (MDG-F)"/>
    <s v="JP01TAOC01"/>
    <m/>
    <b v="1"/>
    <x v="3"/>
    <x v="3"/>
    <d v="2025-08-26T00:00:00"/>
    <m/>
    <m/>
    <x v="1"/>
    <n v="83"/>
    <s v="Robert Coman"/>
    <m/>
  </r>
  <r>
    <x v="349"/>
    <x v="0"/>
    <x v="2"/>
    <s v="CLFF_1000$$$JP01TAOC02"/>
    <s v="GNMI054210"/>
    <s v="GNMI054210"/>
    <s v="LFF (MDG-F)"/>
    <s v="JP01TAOC02"/>
    <m/>
    <b v="1"/>
    <x v="3"/>
    <x v="3"/>
    <d v="2025-08-26T00:00:00"/>
    <m/>
    <m/>
    <x v="1"/>
    <n v="83"/>
    <s v="Robert Coman"/>
    <m/>
  </r>
  <r>
    <x v="349"/>
    <x v="0"/>
    <x v="2"/>
    <s v="CLFF_1000$$$JP01TAOC03"/>
    <s v="GNMI054210"/>
    <s v="GNMI054210"/>
    <s v="LFF (MDG-F)"/>
    <s v="JP01TAOC03"/>
    <m/>
    <b v="1"/>
    <x v="3"/>
    <x v="3"/>
    <d v="2025-08-26T00:00:00"/>
    <m/>
    <m/>
    <x v="1"/>
    <n v="83"/>
    <s v="Robert Coman"/>
    <m/>
  </r>
  <r>
    <x v="349"/>
    <x v="0"/>
    <x v="2"/>
    <s v="CLFF_1000$$$JP01TAOC99"/>
    <s v="GNMI054210"/>
    <s v="GNMI054210"/>
    <s v="LFF (MDG-F)"/>
    <s v="JP01TAOC99"/>
    <m/>
    <b v="1"/>
    <x v="3"/>
    <x v="3"/>
    <d v="2025-08-26T00:00:00"/>
    <m/>
    <m/>
    <x v="1"/>
    <n v="83"/>
    <s v="Robert Coman"/>
    <m/>
  </r>
  <r>
    <x v="349"/>
    <x v="0"/>
    <x v="2"/>
    <s v="CLFF_1000$$$JP01TAOD00"/>
    <s v="GNMI054210"/>
    <s v="GNMI054210"/>
    <s v="LFF (MDG-F)"/>
    <s v="JP01TAOD00"/>
    <m/>
    <b v="1"/>
    <x v="3"/>
    <x v="3"/>
    <d v="2025-08-26T00:00:00"/>
    <m/>
    <m/>
    <x v="1"/>
    <n v="83"/>
    <s v="Robert Coman"/>
    <m/>
  </r>
  <r>
    <x v="349"/>
    <x v="0"/>
    <x v="2"/>
    <s v="CLFF_1000$$$JP01TAOD01"/>
    <s v="GNMI054210"/>
    <s v="GNMI054210"/>
    <s v="LFF (MDG-F)"/>
    <s v="JP01TAOD01"/>
    <m/>
    <b v="1"/>
    <x v="3"/>
    <x v="3"/>
    <d v="2025-08-26T00:00:00"/>
    <m/>
    <m/>
    <x v="1"/>
    <n v="83"/>
    <s v="Robert Coman"/>
    <m/>
  </r>
  <r>
    <x v="349"/>
    <x v="0"/>
    <x v="2"/>
    <s v="CLFF_1000$$$JP01TAOD02"/>
    <s v="GNMI054210"/>
    <s v="GNMI054210"/>
    <s v="LFF (MDG-F)"/>
    <s v="JP01TAOD02"/>
    <m/>
    <b v="1"/>
    <x v="3"/>
    <x v="3"/>
    <d v="2025-08-26T00:00:00"/>
    <m/>
    <m/>
    <x v="1"/>
    <n v="83"/>
    <s v="Robert Coman"/>
    <m/>
  </r>
  <r>
    <x v="349"/>
    <x v="0"/>
    <x v="2"/>
    <s v="CLFF_1000$$$JP01TAOD99"/>
    <s v="GNMI054210"/>
    <s v="GNMI054210"/>
    <s v="LFF (MDG-F)"/>
    <s v="JP01TAOD99"/>
    <m/>
    <b v="1"/>
    <x v="3"/>
    <x v="3"/>
    <d v="2025-08-26T00:00:00"/>
    <m/>
    <m/>
    <x v="1"/>
    <n v="83"/>
    <s v="Robert Coman"/>
    <m/>
  </r>
  <r>
    <x v="349"/>
    <x v="0"/>
    <x v="2"/>
    <s v="CLFF_1000$$$JP01TAOE00"/>
    <s v="GNMI054210"/>
    <s v="GNMI054210"/>
    <s v="LFF (MDG-F)"/>
    <s v="JP01TAOE00"/>
    <m/>
    <b v="1"/>
    <x v="3"/>
    <x v="3"/>
    <d v="2025-08-26T00:00:00"/>
    <m/>
    <m/>
    <x v="1"/>
    <n v="83"/>
    <s v="Robert Coman"/>
    <m/>
  </r>
  <r>
    <x v="349"/>
    <x v="0"/>
    <x v="2"/>
    <s v="CLFF_1000$$$JP01TAOE01"/>
    <s v="GNMI054210"/>
    <s v="GNMI054210"/>
    <s v="LFF (MDG-F)"/>
    <s v="JP01TAOE01"/>
    <m/>
    <b v="1"/>
    <x v="3"/>
    <x v="3"/>
    <d v="2025-08-26T00:00:00"/>
    <m/>
    <m/>
    <x v="1"/>
    <n v="83"/>
    <s v="Robert Coman"/>
    <m/>
  </r>
  <r>
    <x v="349"/>
    <x v="0"/>
    <x v="2"/>
    <s v="CLFF_1000$$$JP01TAOE99"/>
    <s v="GNMI054210"/>
    <s v="GNMI054210"/>
    <s v="LFF (MDG-F)"/>
    <s v="JP01TAOE99"/>
    <m/>
    <b v="1"/>
    <x v="3"/>
    <x v="3"/>
    <d v="2025-08-26T00:00:00"/>
    <m/>
    <m/>
    <x v="1"/>
    <n v="83"/>
    <s v="Robert Coman"/>
    <m/>
  </r>
  <r>
    <x v="349"/>
    <x v="0"/>
    <x v="2"/>
    <s v="CLFF_1000$$$JP01TAOZ01"/>
    <s v="GNMI054210"/>
    <s v="GNMI054210"/>
    <s v="LFF (MDG-F)"/>
    <s v="JP01TAOZ01"/>
    <m/>
    <b v="1"/>
    <x v="3"/>
    <x v="3"/>
    <d v="2025-08-26T00:00:00"/>
    <m/>
    <m/>
    <x v="1"/>
    <n v="83"/>
    <s v="Robert Coman"/>
    <m/>
  </r>
  <r>
    <x v="349"/>
    <x v="0"/>
    <x v="2"/>
    <s v="CLFF_1000$$$JP01TAOZ02"/>
    <s v="GNMI054210"/>
    <s v="GNMI054210"/>
    <s v="LFF (MDG-F)"/>
    <s v="JP01TAOZ02"/>
    <m/>
    <b v="1"/>
    <x v="3"/>
    <x v="3"/>
    <d v="2025-08-26T00:00:00"/>
    <m/>
    <m/>
    <x v="1"/>
    <n v="83"/>
    <s v="Robert Coman"/>
    <m/>
  </r>
  <r>
    <x v="349"/>
    <x v="0"/>
    <x v="2"/>
    <s v="CLFF_1000$$$JP01TAOZ03"/>
    <s v="GNMI054210"/>
    <s v="GNMI054210"/>
    <s v="LFF (MDG-F)"/>
    <s v="JP01TAOZ03"/>
    <m/>
    <b v="1"/>
    <x v="3"/>
    <x v="3"/>
    <d v="2025-08-26T00:00:00"/>
    <m/>
    <m/>
    <x v="1"/>
    <n v="83"/>
    <s v="Robert Coman"/>
    <m/>
  </r>
  <r>
    <x v="349"/>
    <x v="0"/>
    <x v="2"/>
    <s v="CLFF_1000$$$JP01TAOZ04"/>
    <s v="GNMI054210"/>
    <s v="GNMI054210"/>
    <s v="LFF (MDG-F)"/>
    <s v="JP01TAOZ04"/>
    <m/>
    <b v="1"/>
    <x v="3"/>
    <x v="3"/>
    <d v="2025-08-26T00:00:00"/>
    <m/>
    <m/>
    <x v="1"/>
    <n v="83"/>
    <s v="Robert Coman"/>
    <m/>
  </r>
  <r>
    <x v="349"/>
    <x v="0"/>
    <x v="2"/>
    <s v="CLFF_1000$$$JP01TAOZ05"/>
    <s v="GNMI054215"/>
    <s v="GNMI054215"/>
    <s v="LFF (MDG-F)"/>
    <s v="JP01TAOZ05"/>
    <m/>
    <b v="1"/>
    <x v="3"/>
    <x v="3"/>
    <d v="2025-08-26T00:00:00"/>
    <m/>
    <m/>
    <x v="1"/>
    <n v="83"/>
    <s v="Robert Coman"/>
    <m/>
  </r>
  <r>
    <x v="349"/>
    <x v="0"/>
    <x v="2"/>
    <s v="CLFF_1000$$$JP01TAOZ06"/>
    <s v="GNMI054210"/>
    <s v="GNMI054210"/>
    <s v="LFF (MDG-F)"/>
    <s v="JP01TAOZ06"/>
    <m/>
    <b v="1"/>
    <x v="3"/>
    <x v="3"/>
    <d v="2025-08-26T00:00:00"/>
    <m/>
    <m/>
    <x v="1"/>
    <n v="83"/>
    <s v="Robert Coman"/>
    <m/>
  </r>
  <r>
    <x v="349"/>
    <x v="0"/>
    <x v="2"/>
    <s v="CLFF_1000$$$JP01TBOZ01"/>
    <s v="GNMI054211"/>
    <s v="GNMI054211"/>
    <s v="LFF (MDG-F)"/>
    <s v="JP01TBOZ01"/>
    <m/>
    <b v="1"/>
    <x v="3"/>
    <x v="3"/>
    <d v="2025-08-26T00:00:00"/>
    <m/>
    <m/>
    <x v="1"/>
    <n v="83"/>
    <s v="Robert Coman"/>
    <m/>
  </r>
  <r>
    <x v="349"/>
    <x v="0"/>
    <x v="2"/>
    <s v="CLFF_1000$$$JP01TBOZ05"/>
    <s v="GNMI054219"/>
    <s v="GNMI054219"/>
    <s v="LFF (MDG-F)"/>
    <s v="JP01TBOZ05"/>
    <m/>
    <b v="1"/>
    <x v="3"/>
    <x v="3"/>
    <d v="2025-08-26T00:00:00"/>
    <m/>
    <m/>
    <x v="1"/>
    <n v="83"/>
    <s v="Robert Coman"/>
    <m/>
  </r>
  <r>
    <x v="349"/>
    <x v="0"/>
    <x v="2"/>
    <s v="CLFF_1000$$$JP01TCOZ01"/>
    <s v="GNMI054212"/>
    <s v="GNMI054212"/>
    <s v="LFF (MDG-F)"/>
    <s v="JP01TCOZ01"/>
    <m/>
    <b v="1"/>
    <x v="3"/>
    <x v="3"/>
    <d v="2025-08-26T00:00:00"/>
    <m/>
    <m/>
    <x v="1"/>
    <n v="83"/>
    <s v="Robert Coman"/>
    <m/>
  </r>
  <r>
    <x v="349"/>
    <x v="0"/>
    <x v="2"/>
    <s v="CLFF_1000$$$JP01TDOZ01"/>
    <s v="GNMI054213"/>
    <s v="GNMI054213"/>
    <s v="LFF (MDG-F)"/>
    <s v="JP01TDOZ01"/>
    <m/>
    <b v="1"/>
    <x v="3"/>
    <x v="3"/>
    <d v="2025-08-26T00:00:00"/>
    <m/>
    <m/>
    <x v="1"/>
    <n v="83"/>
    <s v="Robert Coman"/>
    <m/>
  </r>
  <r>
    <x v="349"/>
    <x v="0"/>
    <x v="2"/>
    <s v="CLFF_1000$$$JP01TDOZ02"/>
    <s v="GNMI054213"/>
    <s v="GNMI054213"/>
    <s v="LFF (MDG-F)"/>
    <s v="JP01TDOZ02"/>
    <m/>
    <b v="1"/>
    <x v="3"/>
    <x v="3"/>
    <d v="2025-08-26T00:00:00"/>
    <m/>
    <m/>
    <x v="1"/>
    <n v="83"/>
    <s v="Robert Coman"/>
    <m/>
  </r>
  <r>
    <x v="349"/>
    <x v="0"/>
    <x v="2"/>
    <s v="CLFF_1000$$$JP01TDOZ03"/>
    <s v="GNMI054213"/>
    <s v="GNMI054213"/>
    <s v="LFF (MDG-F)"/>
    <s v="JP01TDOZ03"/>
    <m/>
    <b v="1"/>
    <x v="3"/>
    <x v="3"/>
    <d v="2025-08-26T00:00:00"/>
    <m/>
    <m/>
    <x v="1"/>
    <n v="83"/>
    <s v="Robert Coman"/>
    <m/>
  </r>
  <r>
    <x v="349"/>
    <x v="0"/>
    <x v="2"/>
    <s v="CLFF_1000$$$JP01TDOZ04"/>
    <s v="GNMI054213"/>
    <s v="GNMI054213"/>
    <s v="LFF (MDG-F)"/>
    <s v="JP01TDOZ04"/>
    <m/>
    <b v="1"/>
    <x v="3"/>
    <x v="3"/>
    <d v="2025-08-26T00:00:00"/>
    <m/>
    <m/>
    <x v="1"/>
    <n v="83"/>
    <s v="Robert Coman"/>
    <m/>
  </r>
  <r>
    <x v="349"/>
    <x v="0"/>
    <x v="2"/>
    <s v="CLFF_1000$$$JP01TDOZ05"/>
    <s v="GNMI054213"/>
    <s v="GNMI054213"/>
    <s v="LFF (MDG-F)"/>
    <s v="JP01TDOZ05"/>
    <m/>
    <b v="1"/>
    <x v="3"/>
    <x v="3"/>
    <d v="2025-08-26T00:00:00"/>
    <m/>
    <m/>
    <x v="1"/>
    <n v="83"/>
    <s v="Robert Coman"/>
    <m/>
  </r>
  <r>
    <x v="349"/>
    <x v="0"/>
    <x v="2"/>
    <s v="CLFF_1000$$$JP01TDOZ06"/>
    <s v="GNMI054213"/>
    <s v="GNMI054213"/>
    <s v="LFF (MDG-F)"/>
    <s v="JP01TDOZ06"/>
    <m/>
    <b v="1"/>
    <x v="3"/>
    <x v="3"/>
    <d v="2025-08-26T00:00:00"/>
    <m/>
    <m/>
    <x v="1"/>
    <n v="83"/>
    <s v="Robert Coman"/>
    <m/>
  </r>
  <r>
    <x v="349"/>
    <x v="0"/>
    <x v="2"/>
    <s v="CLFF_1000$$$JP01TEOZ01"/>
    <s v="GNMI054214"/>
    <s v="GNMI054214"/>
    <s v="LFF (MDG-F)"/>
    <s v="JP01TEOZ01"/>
    <m/>
    <b v="1"/>
    <x v="3"/>
    <x v="3"/>
    <d v="2025-08-26T00:00:00"/>
    <m/>
    <m/>
    <x v="1"/>
    <n v="83"/>
    <s v="Robert Coman"/>
    <m/>
  </r>
  <r>
    <x v="349"/>
    <x v="0"/>
    <x v="2"/>
    <s v="CLFF_1000$$$JP01TFOZ01"/>
    <s v="GNMI054215"/>
    <s v="GNMI054215"/>
    <s v="LFF (MDG-F)"/>
    <s v="JP01TFOZ01"/>
    <m/>
    <b v="1"/>
    <x v="3"/>
    <x v="3"/>
    <d v="2025-08-26T00:00:00"/>
    <m/>
    <m/>
    <x v="1"/>
    <n v="83"/>
    <s v="Robert Coman"/>
    <m/>
  </r>
  <r>
    <x v="349"/>
    <x v="0"/>
    <x v="2"/>
    <s v="CLFF_1000$$$JP01TFOZ02"/>
    <s v="GNMI054215"/>
    <s v="GNMI054215"/>
    <s v="LFF (MDG-F)"/>
    <s v="JP01TFOZ02"/>
    <m/>
    <b v="1"/>
    <x v="3"/>
    <x v="3"/>
    <d v="2025-08-26T00:00:00"/>
    <m/>
    <m/>
    <x v="1"/>
    <n v="83"/>
    <s v="Robert Coman"/>
    <m/>
  </r>
  <r>
    <x v="349"/>
    <x v="0"/>
    <x v="2"/>
    <s v="CLFF_1000$$$JP01TFOZ03"/>
    <s v="GNMI054215"/>
    <s v="GNMI054215"/>
    <s v="LFF (MDG-F)"/>
    <s v="JP01TFOZ03"/>
    <m/>
    <b v="1"/>
    <x v="3"/>
    <x v="3"/>
    <d v="2025-08-26T00:00:00"/>
    <m/>
    <m/>
    <x v="1"/>
    <n v="83"/>
    <s v="Robert Coman"/>
    <m/>
  </r>
  <r>
    <x v="349"/>
    <x v="0"/>
    <x v="2"/>
    <s v="CLFF_1000$$$JP01TKOZ00"/>
    <s v="GNMI054216"/>
    <s v="GNMI054216"/>
    <s v="LFF (MDG-F)"/>
    <s v="JP01TKOZ00"/>
    <m/>
    <b v="1"/>
    <x v="3"/>
    <x v="3"/>
    <d v="2025-08-26T00:00:00"/>
    <m/>
    <m/>
    <x v="1"/>
    <n v="83"/>
    <s v="Robert Coman"/>
    <m/>
  </r>
  <r>
    <x v="349"/>
    <x v="0"/>
    <x v="2"/>
    <s v="CLFF_1000$$$JP01TLOZ01"/>
    <s v="GNMI054217"/>
    <s v="GNMI054217"/>
    <s v="LFF (MDG-F)"/>
    <s v="JP01TLOZ01"/>
    <m/>
    <b v="1"/>
    <x v="3"/>
    <x v="3"/>
    <d v="2025-08-26T00:00:00"/>
    <m/>
    <m/>
    <x v="1"/>
    <n v="83"/>
    <s v="Robert Coman"/>
    <m/>
  </r>
  <r>
    <x v="349"/>
    <x v="0"/>
    <x v="2"/>
    <s v="CLFF_1000$$$JP01TNMZ04"/>
    <s v="GNMI054220"/>
    <s v="GNMI054220"/>
    <s v="LFF (MDG-F)"/>
    <s v="JP01TNMZ04"/>
    <m/>
    <b v="1"/>
    <x v="3"/>
    <x v="3"/>
    <d v="2025-08-26T00:00:00"/>
    <m/>
    <m/>
    <x v="1"/>
    <n v="83"/>
    <s v="Robert Coman"/>
    <m/>
  </r>
  <r>
    <x v="349"/>
    <x v="0"/>
    <x v="2"/>
    <s v="CLFF_1000$$$JP01TPOZ01"/>
    <s v="GNMI006310"/>
    <s v="GNMI006310"/>
    <s v="LFF (MDG-F)"/>
    <s v="JP01TPOZ01"/>
    <m/>
    <b v="1"/>
    <x v="3"/>
    <x v="3"/>
    <d v="2025-08-26T00:00:00"/>
    <m/>
    <m/>
    <x v="1"/>
    <n v="83"/>
    <s v="Robert Coman"/>
    <m/>
  </r>
  <r>
    <x v="349"/>
    <x v="0"/>
    <x v="2"/>
    <s v="CLFF_1000$$$JP01TQOZ01"/>
    <s v="GNMI006330"/>
    <s v="GNMI006330"/>
    <s v="LFF (MDG-F)"/>
    <s v="JP01TQOZ01"/>
    <m/>
    <b v="1"/>
    <x v="3"/>
    <x v="3"/>
    <d v="2025-08-26T00:00:00"/>
    <m/>
    <m/>
    <x v="1"/>
    <n v="83"/>
    <s v="Robert Coman"/>
    <m/>
  </r>
  <r>
    <x v="349"/>
    <x v="0"/>
    <x v="2"/>
    <s v="CLFF_1000$$$JP01TQOZ03"/>
    <s v="GNMI006320"/>
    <s v="GNMI006320"/>
    <s v="LFF (MDG-F)"/>
    <s v="JP01TQOZ03"/>
    <m/>
    <b v="1"/>
    <x v="3"/>
    <x v="3"/>
    <d v="2025-08-26T00:00:00"/>
    <m/>
    <m/>
    <x v="1"/>
    <n v="83"/>
    <s v="Robert Coman"/>
    <m/>
  </r>
  <r>
    <x v="349"/>
    <x v="0"/>
    <x v="2"/>
    <s v="CLFF_1000$$$JP01TQOZ04"/>
    <s v="GNMI006320"/>
    <s v="GNMI006320"/>
    <s v="LFF (MDG-F)"/>
    <s v="JP01TQOZ04"/>
    <m/>
    <b v="1"/>
    <x v="3"/>
    <x v="3"/>
    <d v="2025-08-26T00:00:00"/>
    <m/>
    <m/>
    <x v="1"/>
    <n v="83"/>
    <s v="Robert Coman"/>
    <m/>
  </r>
  <r>
    <x v="349"/>
    <x v="0"/>
    <x v="2"/>
    <s v="CLFF_1000$$$JP01Z01000"/>
    <s v="GNMI000090"/>
    <s v="GNMI000090"/>
    <s v="LFF (MDG-F)"/>
    <s v="JP01Z01000"/>
    <m/>
    <b v="1"/>
    <x v="3"/>
    <x v="3"/>
    <d v="2025-08-26T00:00:00"/>
    <m/>
    <m/>
    <x v="1"/>
    <n v="83"/>
    <s v="Robert Coman"/>
    <m/>
  </r>
  <r>
    <x v="349"/>
    <x v="0"/>
    <x v="2"/>
    <s v="CLFF_1000$$$JP01Z01IF9"/>
    <s v="GNMI000090"/>
    <s v="GNMI000090"/>
    <s v="LFF (MDG-F)"/>
    <s v="JP01Z01IF9"/>
    <m/>
    <b v="1"/>
    <x v="3"/>
    <x v="3"/>
    <d v="2025-08-26T00:00:00"/>
    <m/>
    <m/>
    <x v="1"/>
    <n v="83"/>
    <s v="Robert Coman"/>
    <m/>
  </r>
  <r>
    <x v="349"/>
    <x v="0"/>
    <x v="2"/>
    <s v="CLFF_1000$$$JP01Z02141"/>
    <s v="GNMI000090"/>
    <s v="GNMI000090"/>
    <s v="LFF (MDG-F)"/>
    <s v="JP01Z02141"/>
    <m/>
    <b v="1"/>
    <x v="3"/>
    <x v="3"/>
    <d v="2025-08-26T00:00:00"/>
    <m/>
    <m/>
    <x v="1"/>
    <n v="83"/>
    <s v="Robert Coman"/>
    <m/>
  </r>
  <r>
    <x v="349"/>
    <x v="0"/>
    <x v="2"/>
    <s v="CLFF_1000$$$JP01Z02171"/>
    <s v="GNMI000090"/>
    <s v="GNMI000090"/>
    <s v="LFF (MDG-F)"/>
    <s v="JP01Z02171"/>
    <m/>
    <b v="1"/>
    <x v="3"/>
    <x v="3"/>
    <d v="2025-08-26T00:00:00"/>
    <m/>
    <m/>
    <x v="1"/>
    <n v="83"/>
    <s v="Robert Coman"/>
    <m/>
  </r>
  <r>
    <x v="349"/>
    <x v="0"/>
    <x v="2"/>
    <s v="CLFF_1000$$$JP01Z02173"/>
    <s v="GNMI000090"/>
    <s v="GNMI000090"/>
    <s v="LFF (MDG-F)"/>
    <s v="JP01Z02173"/>
    <m/>
    <b v="1"/>
    <x v="3"/>
    <x v="3"/>
    <d v="2025-08-26T00:00:00"/>
    <m/>
    <m/>
    <x v="1"/>
    <n v="83"/>
    <s v="Robert Coman"/>
    <m/>
  </r>
  <r>
    <x v="349"/>
    <x v="0"/>
    <x v="2"/>
    <s v="CLFF_1000$$$JP01Z02174"/>
    <s v="GNMI000090"/>
    <s v="GNMI000090"/>
    <s v="LFF (MDG-F)"/>
    <s v="JP01Z02174"/>
    <m/>
    <b v="1"/>
    <x v="3"/>
    <x v="3"/>
    <d v="2025-08-26T00:00:00"/>
    <m/>
    <m/>
    <x v="1"/>
    <n v="83"/>
    <s v="Robert Coman"/>
    <m/>
  </r>
  <r>
    <x v="349"/>
    <x v="0"/>
    <x v="2"/>
    <s v="CLFF_1000$$$JP01Z02175"/>
    <s v="GNMI000090"/>
    <s v="GNMI000090"/>
    <s v="LFF (MDG-F)"/>
    <s v="JP01Z02175"/>
    <m/>
    <b v="1"/>
    <x v="3"/>
    <x v="3"/>
    <d v="2025-08-26T00:00:00"/>
    <m/>
    <m/>
    <x v="1"/>
    <n v="83"/>
    <s v="Robert Coman"/>
    <m/>
  </r>
  <r>
    <x v="349"/>
    <x v="0"/>
    <x v="2"/>
    <s v="CLFF_1000$$$JP01Z02183"/>
    <s v="GNMI000090"/>
    <s v="GNMI000090"/>
    <s v="LFF (MDG-F)"/>
    <s v="JP01Z02183"/>
    <m/>
    <b v="1"/>
    <x v="3"/>
    <x v="3"/>
    <d v="2025-08-26T00:00:00"/>
    <m/>
    <m/>
    <x v="1"/>
    <n v="83"/>
    <s v="Robert Coman"/>
    <m/>
  </r>
  <r>
    <x v="349"/>
    <x v="0"/>
    <x v="2"/>
    <s v="CLFF_1000$$$JP01Z03103"/>
    <s v="GNMI000082"/>
    <s v="GNMI000082"/>
    <s v="LFF (MDG-F)"/>
    <s v="JP01Z03103"/>
    <m/>
    <b v="1"/>
    <x v="3"/>
    <x v="3"/>
    <d v="2025-08-26T00:00:00"/>
    <m/>
    <m/>
    <x v="1"/>
    <n v="83"/>
    <s v="Robert Coman"/>
    <m/>
  </r>
  <r>
    <x v="349"/>
    <x v="0"/>
    <x v="2"/>
    <s v="CLFF_1000$$$JP01Z03104"/>
    <s v="GNMI000090"/>
    <s v="GNMI000090"/>
    <s v="LFF (MDG-F)"/>
    <s v="JP01Z03104"/>
    <m/>
    <b v="1"/>
    <x v="3"/>
    <x v="3"/>
    <d v="2025-08-26T00:00:00"/>
    <m/>
    <m/>
    <x v="1"/>
    <n v="83"/>
    <s v="Robert Coman"/>
    <m/>
  </r>
  <r>
    <x v="349"/>
    <x v="0"/>
    <x v="2"/>
    <s v="CLFF_1000$$$JP01Z03105"/>
    <s v="GNMI000090"/>
    <s v="GNMI000090"/>
    <s v="LFF (MDG-F)"/>
    <s v="JP01Z03105"/>
    <m/>
    <b v="1"/>
    <x v="3"/>
    <x v="3"/>
    <d v="2025-08-26T00:00:00"/>
    <m/>
    <m/>
    <x v="1"/>
    <n v="83"/>
    <s v="Robert Coman"/>
    <m/>
  </r>
  <r>
    <x v="349"/>
    <x v="0"/>
    <x v="2"/>
    <s v="CLFF_1000$$$JP01Z03700"/>
    <s v="GNMI000090"/>
    <s v="GNMI000090"/>
    <s v="LFF (MDG-F)"/>
    <s v="JP01Z03700"/>
    <m/>
    <b v="1"/>
    <x v="3"/>
    <x v="3"/>
    <d v="2025-08-26T00:00:00"/>
    <m/>
    <m/>
    <x v="1"/>
    <n v="83"/>
    <s v="Robert Coman"/>
    <m/>
  </r>
  <r>
    <x v="349"/>
    <x v="0"/>
    <x v="2"/>
    <s v="CLFF_1000$$$JP01Z03725"/>
    <s v="GNMI000090"/>
    <s v="GNMI000090"/>
    <s v="LFF (MDG-F)"/>
    <s v="JP01Z03725"/>
    <m/>
    <b v="1"/>
    <x v="3"/>
    <x v="3"/>
    <d v="2025-08-26T00:00:00"/>
    <m/>
    <m/>
    <x v="1"/>
    <n v="83"/>
    <s v="Robert Coman"/>
    <m/>
  </r>
  <r>
    <x v="350"/>
    <x v="0"/>
    <x v="2"/>
    <s v="CLFF_1000$$$DE10YIT011"/>
    <s v="G000000627"/>
    <s v="G000000627"/>
    <s v="LFF (MDG-F)"/>
    <s v="DE10YIT011"/>
    <m/>
    <b v="1"/>
    <x v="0"/>
    <x v="3"/>
    <d v="2025-08-28T00:00:00"/>
    <m/>
    <m/>
    <x v="1"/>
    <n v="81"/>
    <s v="Jay-R Lizardo"/>
    <m/>
  </r>
  <r>
    <x v="350"/>
    <x v="0"/>
    <x v="2"/>
    <s v="CLFF_1000$$$DE10YIT012"/>
    <s v="G000000627"/>
    <s v="G000000627"/>
    <s v="LFF (MDG-F)"/>
    <s v="DE10YIT012"/>
    <m/>
    <b v="1"/>
    <x v="0"/>
    <x v="3"/>
    <d v="2025-08-28T00:00:00"/>
    <m/>
    <m/>
    <x v="1"/>
    <n v="81"/>
    <s v="Jay-R Lizardo"/>
    <m/>
  </r>
  <r>
    <x v="350"/>
    <x v="0"/>
    <x v="2"/>
    <s v="CLFF_1000$$$DE10YIT009"/>
    <s v="G000000627"/>
    <s v="G000000627"/>
    <s v="LFF (MDG-F)"/>
    <s v="DE10YIT009"/>
    <m/>
    <b v="1"/>
    <x v="0"/>
    <x v="3"/>
    <d v="2025-08-28T00:00:00"/>
    <m/>
    <m/>
    <x v="1"/>
    <n v="81"/>
    <s v="Jay-R Lizardo"/>
    <m/>
  </r>
  <r>
    <x v="350"/>
    <x v="0"/>
    <x v="2"/>
    <s v="CLFF_1000$$$CH65YIT001"/>
    <s v="G000000627"/>
    <s v="G000000627"/>
    <s v="LFF (MDG-F)"/>
    <s v="CH65YIT001"/>
    <m/>
    <b v="1"/>
    <x v="0"/>
    <x v="3"/>
    <d v="2025-08-28T00:00:00"/>
    <m/>
    <m/>
    <x v="1"/>
    <n v="81"/>
    <s v="Jay-R Lizardo"/>
    <m/>
  </r>
  <r>
    <x v="350"/>
    <x v="0"/>
    <x v="2"/>
    <s v="CLFF_1000$$$DE10YIT008"/>
    <s v="G000000627"/>
    <s v="G000000627"/>
    <s v="LFF (MDG-F)"/>
    <s v="DE10YIT008"/>
    <m/>
    <b v="1"/>
    <x v="0"/>
    <x v="3"/>
    <d v="2025-08-28T00:00:00"/>
    <m/>
    <m/>
    <x v="1"/>
    <n v="81"/>
    <s v="Jay-R Lizardo"/>
    <m/>
  </r>
  <r>
    <x v="351"/>
    <x v="0"/>
    <x v="2"/>
    <s v="CLFF_1000$$$DE10GM8401 "/>
    <s v="L000013461"/>
    <s v="L000013461"/>
    <s v="LFF (MDG-F)"/>
    <s v="DE10GM8401"/>
    <m/>
    <b v="1"/>
    <x v="2"/>
    <x v="3"/>
    <d v="2025-08-28T00:00:00"/>
    <m/>
    <m/>
    <x v="1"/>
    <n v="81"/>
    <s v="Joan Rose Pena"/>
    <m/>
  </r>
  <r>
    <x v="351"/>
    <x v="0"/>
    <x v="2"/>
    <s v="CNOW_7210$$$0000057021 "/>
    <s v="L000013452"/>
    <s v="L000013452"/>
    <s v="Non-LFF"/>
    <s v=""/>
    <m/>
    <b v="1"/>
    <x v="2"/>
    <x v="3"/>
    <d v="2025-08-28T00:00:00"/>
    <m/>
    <m/>
    <x v="1"/>
    <n v="81"/>
    <s v="Joan Rose Pena"/>
    <m/>
  </r>
  <r>
    <x v="351"/>
    <x v="0"/>
    <x v="2"/>
    <s v="CNOW_7210$$$0024069015 "/>
    <s v="L000007121"/>
    <s v="L000007121"/>
    <s v="Non-LFF"/>
    <s v=""/>
    <m/>
    <b v="1"/>
    <x v="2"/>
    <x v="3"/>
    <d v="2025-08-28T00:00:00"/>
    <m/>
    <m/>
    <x v="1"/>
    <n v="81"/>
    <s v="Joan Rose Pena"/>
    <m/>
  </r>
  <r>
    <x v="351"/>
    <x v="0"/>
    <x v="2"/>
    <s v="CNOW_7210$$$0024069013"/>
    <s v="L000007121"/>
    <s v="L000007121"/>
    <s v="Non-LFF"/>
    <s v=""/>
    <m/>
    <b v="1"/>
    <x v="2"/>
    <x v="3"/>
    <d v="2025-08-28T00:00:00"/>
    <m/>
    <m/>
    <x v="1"/>
    <n v="81"/>
    <s v="Joan Rose Pena"/>
    <m/>
  </r>
  <r>
    <x v="351"/>
    <x v="0"/>
    <x v="2"/>
    <s v="CNOW_7210$$$0000269011"/>
    <s v="L000007121"/>
    <s v="L000007121"/>
    <s v="Non-LFF"/>
    <s v=""/>
    <m/>
    <b v="1"/>
    <x v="2"/>
    <x v="3"/>
    <d v="2025-08-28T00:00:00"/>
    <m/>
    <m/>
    <x v="1"/>
    <n v="81"/>
    <s v="Joan Rose Pena"/>
    <m/>
  </r>
  <r>
    <x v="351"/>
    <x v="0"/>
    <x v="2"/>
    <s v="CNOW_7210$$$0000269012"/>
    <s v="L000007121"/>
    <s v="L000007121"/>
    <s v="Non-LFF"/>
    <s v=""/>
    <m/>
    <b v="1"/>
    <x v="2"/>
    <x v="3"/>
    <d v="2025-08-28T00:00:00"/>
    <m/>
    <m/>
    <x v="1"/>
    <n v="81"/>
    <s v="Joan Rose Pena"/>
    <m/>
  </r>
  <r>
    <x v="351"/>
    <x v="0"/>
    <x v="2"/>
    <s v="CNOW_7210$$$0024069014"/>
    <s v="L000007121"/>
    <s v="L000007121"/>
    <s v="Non-LFF"/>
    <s v=""/>
    <m/>
    <b v="1"/>
    <x v="2"/>
    <x v="3"/>
    <d v="2025-08-28T00:00:00"/>
    <m/>
    <m/>
    <x v="1"/>
    <n v="81"/>
    <s v="Joan Rose Pena"/>
    <m/>
  </r>
  <r>
    <x v="352"/>
    <x v="0"/>
    <x v="2"/>
    <s v="CEMERAL_70006502993A15"/>
    <s v="G000001130"/>
    <s v="G000001130"/>
    <s v="Non-LFF"/>
    <s v=""/>
    <m/>
    <b v="1"/>
    <x v="0"/>
    <x v="3"/>
    <d v="2025-08-28T00:00:00"/>
    <m/>
    <m/>
    <x v="1"/>
    <n v="81"/>
    <s v="Jojeff Tagnong"/>
    <m/>
  </r>
  <r>
    <x v="352"/>
    <x v="0"/>
    <x v="2"/>
    <s v="CLFF_1000$$$NL50GPO180"/>
    <s v="G000001130"/>
    <s v="G000001130"/>
    <s v="LFF (MDG-F)"/>
    <s v="NL50GPO180"/>
    <m/>
    <b v="1"/>
    <x v="0"/>
    <x v="3"/>
    <d v="2025-08-28T00:00:00"/>
    <m/>
    <m/>
    <x v="1"/>
    <n v="81"/>
    <s v="Jojeff Tagnong"/>
    <m/>
  </r>
  <r>
    <x v="352"/>
    <x v="0"/>
    <x v="2"/>
    <s v="CTEMPLA_1000MX10501000"/>
    <s v="G000001130"/>
    <s v="G000001130"/>
    <s v="Non-LFF"/>
    <s v=""/>
    <m/>
    <b v="1"/>
    <x v="0"/>
    <x v="3"/>
    <d v="2025-08-28T00:00:00"/>
    <m/>
    <m/>
    <x v="1"/>
    <n v="81"/>
    <s v="Jojeff Tagnong"/>
    <m/>
  </r>
  <r>
    <x v="353"/>
    <x v="0"/>
    <x v="2"/>
    <s v="CLFF_1000$$$JP01C0M825"/>
    <s v="GNMI000051"/>
    <s v="GNMI000051"/>
    <s v="LFF (MDG-F)"/>
    <s v="JP01C0M825"/>
    <m/>
    <b v="1"/>
    <x v="3"/>
    <x v="3"/>
    <d v="2025-08-28T00:00:00"/>
    <m/>
    <m/>
    <x v="1"/>
    <n v="81"/>
    <s v="Robert Coman"/>
    <m/>
  </r>
  <r>
    <x v="354"/>
    <x v="0"/>
    <x v="2"/>
    <s v="PLEAN_X310181TN5010200 bavencio promotionnel materiel"/>
    <s v="H000000262"/>
    <s v="H000000262"/>
    <s v="Non-LFF"/>
    <s v=""/>
    <m/>
    <b v="1"/>
    <x v="1"/>
    <x v="3"/>
    <d v="2025-08-29T00:00:00"/>
    <m/>
    <m/>
    <x v="1"/>
    <n v="80"/>
    <s v="Rayneil Reas"/>
    <m/>
  </r>
  <r>
    <x v="354"/>
    <x v="0"/>
    <x v="2"/>
    <s v="PLEAN_X310181TN5013201 BAVENCIO 25"/>
    <s v="H000000262"/>
    <s v="H000000262"/>
    <s v="Non-LFF"/>
    <s v=""/>
    <m/>
    <b v="1"/>
    <x v="1"/>
    <x v="3"/>
    <d v="2025-08-29T00:00:00"/>
    <m/>
    <m/>
    <x v="1"/>
    <n v="80"/>
    <s v="Rayneil Reas"/>
    <m/>
  </r>
  <r>
    <x v="354"/>
    <x v="0"/>
    <x v="2"/>
    <s v="PLEAN_X310201MA5013217 Impression tissu stand parapluie"/>
    <s v="H000000286"/>
    <s v="H000000286"/>
    <s v="Non-LFF"/>
    <s v=""/>
    <m/>
    <b v="1"/>
    <x v="1"/>
    <x v="3"/>
    <d v="2025-08-29T00:00:00"/>
    <m/>
    <m/>
    <x v="1"/>
    <n v="80"/>
    <s v="Rayneil Reas"/>
    <m/>
  </r>
  <r>
    <x v="354"/>
    <x v="0"/>
    <x v="2"/>
    <s v="PLEAN_X310201TN5030200 Submission fees Algeria"/>
    <s v="H000000262"/>
    <s v="H000000262"/>
    <s v="Non-LFF"/>
    <s v=""/>
    <m/>
    <b v="1"/>
    <x v="1"/>
    <x v="3"/>
    <d v="2025-08-29T00:00:00"/>
    <m/>
    <m/>
    <x v="1"/>
    <n v="80"/>
    <s v="Rayneil Reas"/>
    <m/>
  </r>
  <r>
    <x v="354"/>
    <x v="0"/>
    <x v="2"/>
    <s v="PLEAN_X310301MA5010200 Matériel promotionnel Diabetes"/>
    <s v="H000000286"/>
    <s v="H000000286"/>
    <s v="Non-LFF"/>
    <s v=""/>
    <m/>
    <b v="1"/>
    <x v="1"/>
    <x v="3"/>
    <d v="2025-08-29T00:00:00"/>
    <m/>
    <m/>
    <x v="1"/>
    <n v="80"/>
    <s v="Rayneil Reas"/>
    <m/>
  </r>
  <r>
    <x v="354"/>
    <x v="0"/>
    <x v="2"/>
    <s v="PLEAN_X310301TN5010211 Material Promotionnel DZ (Fees submissio"/>
    <s v="H000000262"/>
    <s v="H000000262"/>
    <s v="Non-LFF"/>
    <s v=""/>
    <m/>
    <b v="1"/>
    <x v="1"/>
    <x v="3"/>
    <d v="2025-08-29T00:00:00"/>
    <m/>
    <m/>
    <x v="1"/>
    <n v="80"/>
    <s v="Rayneil Reas"/>
    <m/>
  </r>
  <r>
    <x v="354"/>
    <x v="0"/>
    <x v="2"/>
    <s v="PLEAN_X310301TN5013217 Diabet Congres et journées scientifiques"/>
    <s v="H000000262"/>
    <s v="H000000262"/>
    <s v="Non-LFF"/>
    <s v=""/>
    <m/>
    <b v="1"/>
    <x v="1"/>
    <x v="3"/>
    <d v="2025-08-29T00:00:00"/>
    <m/>
    <m/>
    <x v="1"/>
    <n v="80"/>
    <s v="Rayneil Reas"/>
    <m/>
  </r>
  <r>
    <x v="354"/>
    <x v="0"/>
    <x v="2"/>
    <s v="PLEAN_X310511MA5013212 Congrès SMASEP"/>
    <s v="H000000286"/>
    <s v="H000000286"/>
    <s v="Non-LFF"/>
    <s v=""/>
    <m/>
    <b v="1"/>
    <x v="1"/>
    <x v="3"/>
    <d v="2025-08-29T00:00:00"/>
    <m/>
    <m/>
    <x v="1"/>
    <n v="80"/>
    <s v="Rayneil Reas"/>
    <m/>
  </r>
  <r>
    <x v="354"/>
    <x v="0"/>
    <x v="2"/>
    <s v="PLEAN_X310201AE5015201 SP GAP OTHER-AE-FERT"/>
    <s v="H000002969"/>
    <s v="H000002969"/>
    <s v="Non-LFF"/>
    <s v=""/>
    <m/>
    <b v="1"/>
    <x v="1"/>
    <x v="3"/>
    <d v="2025-08-29T00:00:00"/>
    <m/>
    <m/>
    <x v="1"/>
    <n v="80"/>
    <s v="Rayneil Reas"/>
    <m/>
  </r>
  <r>
    <x v="354"/>
    <x v="0"/>
    <x v="2"/>
    <s v="PLEAN_X310201MA5013210 Amicale Meknes (MA50)"/>
    <s v="H000000286"/>
    <s v="H000000286"/>
    <s v="Non-LFF"/>
    <s v=""/>
    <m/>
    <b v="1"/>
    <x v="1"/>
    <x v="3"/>
    <d v="2025-08-29T00:00:00"/>
    <m/>
    <m/>
    <x v="1"/>
    <n v="80"/>
    <s v="Rayneil Reas"/>
    <m/>
  </r>
  <r>
    <x v="354"/>
    <x v="0"/>
    <x v="2"/>
    <s v="PLEAN_X310201MA5015201 MA Local regulatory  fertility"/>
    <s v="H000000286"/>
    <s v="H000000286"/>
    <s v="Non-LFF"/>
    <s v=""/>
    <m/>
    <b v="1"/>
    <x v="1"/>
    <x v="3"/>
    <d v="2025-08-29T00:00:00"/>
    <m/>
    <m/>
    <x v="1"/>
    <n v="80"/>
    <s v="Rayneil Reas"/>
    <m/>
  </r>
  <r>
    <x v="354"/>
    <x v="0"/>
    <x v="2"/>
    <s v="PLEAN_X310201TN5010214 promotional material fertility morocco"/>
    <s v="H000000286"/>
    <s v="H000000286"/>
    <s v="Non-LFF"/>
    <s v=""/>
    <m/>
    <b v="1"/>
    <x v="1"/>
    <x v="3"/>
    <d v="2025-08-29T00:00:00"/>
    <m/>
    <m/>
    <x v="1"/>
    <n v="80"/>
    <s v="Rayneil Reas"/>
    <m/>
  </r>
  <r>
    <x v="354"/>
    <x v="0"/>
    <x v="2"/>
    <s v="PLEAN_X310201TN5010215 Promortional material fertility Algeria"/>
    <s v="H000000262"/>
    <s v="H000000262"/>
    <s v="Non-LFF"/>
    <s v=""/>
    <m/>
    <b v="1"/>
    <x v="1"/>
    <x v="3"/>
    <d v="2025-08-29T00:00:00"/>
    <m/>
    <m/>
    <x v="1"/>
    <n v="80"/>
    <s v="Rayneil Reas"/>
    <m/>
  </r>
  <r>
    <x v="354"/>
    <x v="0"/>
    <x v="2"/>
    <s v="PLEAN_X310201TN5010216 Promotional material TN"/>
    <s v="H000000318"/>
    <s v="H000000318"/>
    <s v="Non-LFF"/>
    <s v=""/>
    <m/>
    <b v="1"/>
    <x v="1"/>
    <x v="3"/>
    <d v="2025-08-29T00:00:00"/>
    <m/>
    <m/>
    <x v="1"/>
    <n v="80"/>
    <s v="Rayneil Reas"/>
    <m/>
  </r>
  <r>
    <x v="354"/>
    <x v="0"/>
    <x v="2"/>
    <s v="PLEAN_X310201TN6013219 Journée Scientifique clinique les Jasmin"/>
    <s v="H000000318"/>
    <s v="H000000318"/>
    <s v="Non-LFF"/>
    <s v=""/>
    <m/>
    <b v="1"/>
    <x v="1"/>
    <x v="3"/>
    <d v="2025-08-29T00:00:00"/>
    <m/>
    <m/>
    <x v="1"/>
    <n v="80"/>
    <s v="Rayneil Reas"/>
    <m/>
  </r>
  <r>
    <x v="354"/>
    <x v="0"/>
    <x v="2"/>
    <s v="PLEAN_X310201TN6015202 Projet khrouf conversion stylos"/>
    <s v="H000000318"/>
    <s v="H000000318"/>
    <s v="Non-LFF"/>
    <s v=""/>
    <m/>
    <b v="1"/>
    <x v="1"/>
    <x v="3"/>
    <d v="2025-08-29T00:00:00"/>
    <m/>
    <m/>
    <x v="1"/>
    <n v="80"/>
    <s v="Rayneil Reas"/>
    <m/>
  </r>
  <r>
    <x v="354"/>
    <x v="0"/>
    <x v="2"/>
    <s v="PLEAN_X310301AE5015205 SP GAP OTHER-BH-DIAB"/>
    <s v="H000002963"/>
    <s v="H000002963"/>
    <s v="Non-LFF"/>
    <s v=""/>
    <m/>
    <b v="1"/>
    <x v="1"/>
    <x v="3"/>
    <d v="2025-08-29T00:00:00"/>
    <m/>
    <m/>
    <x v="1"/>
    <n v="80"/>
    <s v="Rayneil Reas"/>
    <m/>
  </r>
  <r>
    <x v="354"/>
    <x v="0"/>
    <x v="2"/>
    <s v="PLEAN_X310301AE5015220 SP PROM OTHERS-EGM-Diab Promo"/>
    <s v="H000002963"/>
    <s v="H000002963"/>
    <s v="Non-LFF"/>
    <s v=""/>
    <m/>
    <b v="1"/>
    <x v="1"/>
    <x v="3"/>
    <d v="2025-08-29T00:00:00"/>
    <m/>
    <m/>
    <x v="1"/>
    <n v="80"/>
    <s v="Rayneil Reas"/>
    <m/>
  </r>
  <r>
    <x v="354"/>
    <x v="0"/>
    <x v="2"/>
    <s v="PLEAN_X310301AE5030514 SP REG-FS-DIAB"/>
    <s v="H000000258"/>
    <s v="H000000258"/>
    <s v="Non-LFF"/>
    <s v=""/>
    <m/>
    <b v="1"/>
    <x v="1"/>
    <x v="3"/>
    <d v="2025-08-29T00:00:00"/>
    <m/>
    <m/>
    <x v="1"/>
    <n v="80"/>
    <s v="Rayneil Reas"/>
    <m/>
  </r>
  <r>
    <x v="354"/>
    <x v="0"/>
    <x v="2"/>
    <s v="PLEAN_X310301MA5013202 Sponsoring Journées scientifiques diabet"/>
    <s v="H000000286"/>
    <s v="H000000286"/>
    <s v="Non-LFF"/>
    <s v=""/>
    <m/>
    <b v="1"/>
    <x v="1"/>
    <x v="3"/>
    <d v="2025-08-29T00:00:00"/>
    <m/>
    <m/>
    <x v="1"/>
    <n v="80"/>
    <s v="Rayneil Reas"/>
    <m/>
  </r>
  <r>
    <x v="354"/>
    <x v="0"/>
    <x v="2"/>
    <s v="PLEAN_X310301MA5015201 MA Local regulatory  Diabetes"/>
    <s v="H000000286"/>
    <s v="H000000286"/>
    <s v="Non-LFF"/>
    <s v=""/>
    <m/>
    <b v="1"/>
    <x v="1"/>
    <x v="3"/>
    <d v="2025-08-29T00:00:00"/>
    <m/>
    <m/>
    <x v="1"/>
    <n v="80"/>
    <s v="Rayneil Reas"/>
    <m/>
  </r>
  <r>
    <x v="354"/>
    <x v="0"/>
    <x v="2"/>
    <s v="PLEAN_X310301TN5010209 Promotional Material MO"/>
    <s v="H000000286"/>
    <s v="H000000286"/>
    <s v="Non-LFF"/>
    <s v=""/>
    <m/>
    <b v="1"/>
    <x v="1"/>
    <x v="3"/>
    <d v="2025-08-29T00:00:00"/>
    <m/>
    <m/>
    <x v="1"/>
    <n v="80"/>
    <s v="Rayneil Reas"/>
    <m/>
  </r>
  <r>
    <x v="354"/>
    <x v="0"/>
    <x v="2"/>
    <s v="PLEAN_X310301TN5010210 Material Promotionnel TN"/>
    <s v="H000000318"/>
    <s v="H000000318"/>
    <s v="Non-LFF"/>
    <s v=""/>
    <m/>
    <b v="1"/>
    <x v="1"/>
    <x v="3"/>
    <d v="2025-08-29T00:00:00"/>
    <m/>
    <m/>
    <x v="1"/>
    <n v="80"/>
    <s v="Rayneil Reas"/>
    <m/>
  </r>
  <r>
    <x v="354"/>
    <x v="0"/>
    <x v="2"/>
    <s v="PLEAN_X310301TN5010212 Material Promotionnel DZ"/>
    <s v="H000000262"/>
    <s v="H000000262"/>
    <s v="Non-LFF"/>
    <s v=""/>
    <m/>
    <b v="1"/>
    <x v="1"/>
    <x v="3"/>
    <d v="2025-08-29T00:00:00"/>
    <m/>
    <m/>
    <x v="1"/>
    <n v="80"/>
    <s v="Rayneil Reas"/>
    <m/>
  </r>
  <r>
    <x v="354"/>
    <x v="0"/>
    <x v="2"/>
    <s v="PLEAN_X310401AE5011201 SP ADVT-AE-ENDO"/>
    <s v="H000002963"/>
    <s v="H000002963"/>
    <s v="Non-LFF"/>
    <s v=""/>
    <m/>
    <b v="1"/>
    <x v="1"/>
    <x v="3"/>
    <d v="2025-08-29T00:00:00"/>
    <m/>
    <m/>
    <x v="1"/>
    <n v="80"/>
    <s v="Rayneil Reas"/>
    <m/>
  </r>
  <r>
    <x v="354"/>
    <x v="0"/>
    <x v="2"/>
    <s v="PLEAN_X310401AE5030501 SP REG-FS-ENDO"/>
    <s v="H000000258"/>
    <s v="H000000258"/>
    <s v="Non-LFF"/>
    <s v=""/>
    <m/>
    <b v="1"/>
    <x v="1"/>
    <x v="3"/>
    <d v="2025-08-29T00:00:00"/>
    <m/>
    <m/>
    <x v="1"/>
    <n v="80"/>
    <s v="Rayneil Reas"/>
    <m/>
  </r>
  <r>
    <x v="354"/>
    <x v="0"/>
    <x v="2"/>
    <s v="PLEAN_X310401MA5013201 Congrès Table ronde Staff Saizen"/>
    <s v="H000000286"/>
    <s v="H000000286"/>
    <s v="Non-LFF"/>
    <s v=""/>
    <m/>
    <b v="1"/>
    <x v="1"/>
    <x v="3"/>
    <d v="2025-08-29T00:00:00"/>
    <m/>
    <m/>
    <x v="1"/>
    <n v="80"/>
    <s v="Rayneil Reas"/>
    <m/>
  </r>
  <r>
    <x v="354"/>
    <x v="0"/>
    <x v="2"/>
    <s v="PLEAN_X310401MA5015201 MA Local regulatory endocrinology"/>
    <s v="H000000286"/>
    <s v="H000000286"/>
    <s v="Non-LFF"/>
    <s v=""/>
    <m/>
    <b v="1"/>
    <x v="1"/>
    <x v="3"/>
    <d v="2025-08-29T00:00:00"/>
    <m/>
    <m/>
    <x v="1"/>
    <n v="80"/>
    <s v="Rayneil Reas"/>
    <m/>
  </r>
  <r>
    <x v="354"/>
    <x v="0"/>
    <x v="2"/>
    <s v="PLEAN_X310401TN5013201 Congres &amp; events"/>
    <s v="H000000262"/>
    <s v="H000000262"/>
    <s v="Non-LFF"/>
    <s v=""/>
    <m/>
    <b v="1"/>
    <x v="1"/>
    <x v="3"/>
    <d v="2025-08-29T00:00:00"/>
    <m/>
    <m/>
    <x v="1"/>
    <n v="80"/>
    <s v="Rayneil Reas"/>
    <m/>
  </r>
  <r>
    <x v="354"/>
    <x v="0"/>
    <x v="2"/>
    <s v="PLEAN_X310401TN5013202 Congres &amp; journées Endocrinolgie"/>
    <s v="H000000262"/>
    <s v="H000000262"/>
    <s v="Non-LFF"/>
    <s v=""/>
    <m/>
    <b v="1"/>
    <x v="1"/>
    <x v="3"/>
    <d v="2025-08-29T00:00:00"/>
    <m/>
    <m/>
    <x v="1"/>
    <n v="80"/>
    <s v="Rayneil Reas"/>
    <m/>
  </r>
  <r>
    <x v="354"/>
    <x v="0"/>
    <x v="2"/>
    <s v="PLEAN_X310401TN5013203 Congrès Saizen MA50"/>
    <s v="H000000286"/>
    <s v="H000000286"/>
    <s v="Non-LFF"/>
    <s v=""/>
    <m/>
    <b v="1"/>
    <x v="1"/>
    <x v="3"/>
    <d v="2025-08-29T00:00:00"/>
    <m/>
    <m/>
    <x v="1"/>
    <n v="80"/>
    <s v="Rayneil Reas"/>
    <m/>
  </r>
  <r>
    <x v="354"/>
    <x v="0"/>
    <x v="2"/>
    <s v="PLEAN_X310511AE5010205 SP PROM MAT-QA-MAVEN"/>
    <s v="H000002966"/>
    <s v="H000002966"/>
    <s v="Non-LFF"/>
    <s v=""/>
    <m/>
    <b v="1"/>
    <x v="1"/>
    <x v="3"/>
    <d v="2025-08-29T00:00:00"/>
    <m/>
    <m/>
    <x v="1"/>
    <n v="80"/>
    <s v="Rayneil Reas"/>
    <m/>
  </r>
  <r>
    <x v="354"/>
    <x v="0"/>
    <x v="2"/>
    <s v="PLEAN_X310511AE5015201 SP PROM OTHERS-AE-MAVEN"/>
    <s v="H000002966"/>
    <s v="H000002966"/>
    <s v="Non-LFF"/>
    <s v=""/>
    <m/>
    <b v="1"/>
    <x v="1"/>
    <x v="3"/>
    <d v="2025-08-29T00:00:00"/>
    <m/>
    <m/>
    <x v="1"/>
    <n v="80"/>
    <s v="Rayneil Reas"/>
    <m/>
  </r>
  <r>
    <x v="354"/>
    <x v="0"/>
    <x v="2"/>
    <s v="PLEAN_X310511MA5013200 MS Master Forum Mavenclad (MA50)"/>
    <s v="H000000286"/>
    <s v="H000000286"/>
    <s v="Non-LFF"/>
    <s v=""/>
    <m/>
    <b v="1"/>
    <x v="1"/>
    <x v="3"/>
    <d v="2025-08-29T00:00:00"/>
    <m/>
    <m/>
    <x v="1"/>
    <n v="80"/>
    <s v="Rayneil Reas"/>
    <m/>
  </r>
  <r>
    <x v="354"/>
    <x v="0"/>
    <x v="2"/>
    <s v="PLEAN_X310511MA5013219 PanArab speaker fees"/>
    <s v="H000000286"/>
    <s v="H000000286"/>
    <s v="Non-LFF"/>
    <s v=""/>
    <m/>
    <b v="1"/>
    <x v="1"/>
    <x v="3"/>
    <d v="2025-08-29T00:00:00"/>
    <m/>
    <m/>
    <x v="1"/>
    <n v="80"/>
    <s v="Rayneil Reas"/>
    <m/>
  </r>
  <r>
    <x v="354"/>
    <x v="0"/>
    <x v="2"/>
    <s v="PLEAN_X310511MA5013220 Sponsoring Merck Event Maroc"/>
    <s v="H000000286"/>
    <s v="H000000286"/>
    <s v="Non-LFF"/>
    <s v=""/>
    <m/>
    <b v="1"/>
    <x v="1"/>
    <x v="3"/>
    <d v="2025-08-29T00:00:00"/>
    <m/>
    <m/>
    <x v="1"/>
    <n v="80"/>
    <s v="Rayneil Reas"/>
    <m/>
  </r>
  <r>
    <x v="354"/>
    <x v="0"/>
    <x v="2"/>
    <s v="PLEAN_X310511MA5015203 MA Local regulatory  N&amp;I"/>
    <s v="H000000286"/>
    <s v="H000000286"/>
    <s v="Non-LFF"/>
    <s v=""/>
    <m/>
    <b v="1"/>
    <x v="1"/>
    <x v="3"/>
    <d v="2025-08-29T00:00:00"/>
    <m/>
    <m/>
    <x v="1"/>
    <n v="80"/>
    <s v="Rayneil Reas"/>
    <m/>
  </r>
  <r>
    <x v="354"/>
    <x v="0"/>
    <x v="2"/>
    <s v="PLEAN_X310511TN5013229 PAN arab expenses"/>
    <s v="H000000318"/>
    <s v="H000000318"/>
    <s v="Non-LFF"/>
    <s v=""/>
    <m/>
    <b v="1"/>
    <x v="1"/>
    <x v="3"/>
    <d v="2025-08-29T00:00:00"/>
    <m/>
    <m/>
    <x v="1"/>
    <n v="80"/>
    <s v="Rayneil Reas"/>
    <m/>
  </r>
  <r>
    <x v="354"/>
    <x v="0"/>
    <x v="2"/>
    <s v="PLEAN_X310511TN6013206 Maven expert Tunisia"/>
    <s v="H000000318"/>
    <s v="H000000318"/>
    <s v="Non-LFF"/>
    <s v=""/>
    <m/>
    <b v="1"/>
    <x v="1"/>
    <x v="3"/>
    <d v="2025-08-29T00:00:00"/>
    <m/>
    <m/>
    <x v="1"/>
    <n v="80"/>
    <s v="Rayneil Reas"/>
    <m/>
  </r>
  <r>
    <x v="355"/>
    <x v="0"/>
    <x v="2"/>
    <s v="CEMERAL_700061019909BF"/>
    <s v="L000013842"/>
    <s v="L000013842"/>
    <s v="Non-LFF"/>
    <s v=""/>
    <m/>
    <b v="1"/>
    <x v="2"/>
    <x v="3"/>
    <d v="2025-09-01T00:00:00"/>
    <m/>
    <m/>
    <x v="1"/>
    <n v="79"/>
    <s v="Lakshmi Shree"/>
    <m/>
  </r>
  <r>
    <x v="356"/>
    <x v="0"/>
    <x v="2"/>
    <s v="CLFF_1000$$$CN90GIT120"/>
    <s v="L000013894"/>
    <s v="L000013894"/>
    <s v="LFF (MDG-F)"/>
    <s v="CN90GIT120"/>
    <m/>
    <b v="1"/>
    <x v="0"/>
    <x v="3"/>
    <d v="2025-09-01T00:00:00"/>
    <m/>
    <m/>
    <x v="1"/>
    <n v="79"/>
    <s v="Jay-R Lizardo"/>
    <m/>
  </r>
  <r>
    <x v="356"/>
    <x v="0"/>
    <x v="2"/>
    <s v="CFLTFLE_11030000000520"/>
    <s v="G000000282"/>
    <s v="G000000282"/>
    <s v="Non-LFF"/>
    <s v=""/>
    <m/>
    <b v="1"/>
    <x v="0"/>
    <x v="3"/>
    <d v="2025-09-01T00:00:00"/>
    <m/>
    <m/>
    <x v="1"/>
    <n v="79"/>
    <s v="Jay-R Lizardo"/>
    <m/>
  </r>
  <r>
    <x v="356"/>
    <x v="0"/>
    <x v="2"/>
    <s v="CLFF_1000$$$AE50GIT02C"/>
    <s v="G000001118"/>
    <s v="G000001118"/>
    <s v="LFF (MDG-F)"/>
    <s v="AE50GIT02C"/>
    <m/>
    <b v="1"/>
    <x v="0"/>
    <x v="3"/>
    <d v="2025-09-01T00:00:00"/>
    <m/>
    <m/>
    <x v="1"/>
    <n v="79"/>
    <s v="Jay-R Lizardo"/>
    <m/>
  </r>
  <r>
    <x v="356"/>
    <x v="0"/>
    <x v="4"/>
    <s v="CLFF_1000$$$DE65GIT032"/>
    <s v="G000000256"/>
    <s v="DFLTPGCOH_BF-C2_001242"/>
    <s v="LFF (MDG-F)"/>
    <s v="DE65GIT032"/>
    <s v="Wont get mapped if no actuals"/>
    <b v="0"/>
    <x v="0"/>
    <x v="3"/>
    <d v="2025-09-01T00:00:00"/>
    <m/>
    <m/>
    <x v="1"/>
    <n v="79"/>
    <s v="Jay-R Lizardo"/>
    <m/>
  </r>
  <r>
    <x v="356"/>
    <x v="0"/>
    <x v="8"/>
    <s v="CLFF_1000$$$SG09GBT020"/>
    <s v="G000000279"/>
    <s v="Trash"/>
    <s v="LFF (MDG-F)"/>
    <s v="SG09GBT020"/>
    <s v="Wont get mapped if no actuals"/>
    <b v="0"/>
    <x v="0"/>
    <x v="3"/>
    <d v="2025-09-01T00:00:00"/>
    <m/>
    <m/>
    <x v="1"/>
    <n v="79"/>
    <s v="Jay-R Lizardo"/>
    <m/>
  </r>
  <r>
    <x v="356"/>
    <x v="0"/>
    <x v="2"/>
    <s v="CLFF_1000$$$JP01GIT01B"/>
    <s v="G000000277"/>
    <s v="G000000277"/>
    <s v="LFF (MDG-F)"/>
    <s v="JP01GIT01B"/>
    <m/>
    <b v="1"/>
    <x v="0"/>
    <x v="3"/>
    <d v="2025-09-01T00:00:00"/>
    <m/>
    <m/>
    <x v="1"/>
    <n v="79"/>
    <s v="Jay-R Lizardo"/>
    <m/>
  </r>
  <r>
    <x v="356"/>
    <x v="0"/>
    <x v="2"/>
    <s v="CTEMPEU_1000PT10GIT925"/>
    <s v="G000001118"/>
    <s v="G000001118"/>
    <s v="Non-LFF"/>
    <s v=""/>
    <m/>
    <b v="1"/>
    <x v="0"/>
    <x v="3"/>
    <d v="2025-09-01T00:00:00"/>
    <m/>
    <m/>
    <x v="1"/>
    <n v="79"/>
    <s v="Jay-R Lizardo"/>
    <m/>
  </r>
  <r>
    <x v="356"/>
    <x v="0"/>
    <x v="2"/>
    <s v="CLFF_1000$$$DE10677800"/>
    <s v="P000000763"/>
    <s v="P000000763"/>
    <s v="LFF (MDG-F)"/>
    <s v="DE10677800"/>
    <m/>
    <b v="1"/>
    <x v="0"/>
    <x v="3"/>
    <d v="2025-09-01T00:00:00"/>
    <m/>
    <m/>
    <x v="1"/>
    <n v="79"/>
    <s v="Jay-R Lizardo"/>
    <m/>
  </r>
  <r>
    <x v="356"/>
    <x v="0"/>
    <x v="2"/>
    <s v="CLFF_1000$$$DE10685700"/>
    <s v="P000000765"/>
    <s v="P000000765"/>
    <s v="LFF (MDG-F)"/>
    <s v="DE10685700"/>
    <m/>
    <b v="1"/>
    <x v="0"/>
    <x v="3"/>
    <d v="2025-09-01T00:00:00"/>
    <m/>
    <m/>
    <x v="1"/>
    <n v="79"/>
    <s v="Jay-R Lizardo"/>
    <m/>
  </r>
  <r>
    <x v="356"/>
    <x v="0"/>
    <x v="2"/>
    <s v="CNOW_7210$$$0000010172"/>
    <s v="L000013894"/>
    <s v="L000013894"/>
    <s v="Non-LFF"/>
    <s v=""/>
    <m/>
    <b v="1"/>
    <x v="0"/>
    <x v="3"/>
    <d v="2025-09-01T00:00:00"/>
    <m/>
    <m/>
    <x v="1"/>
    <n v="79"/>
    <s v="Jay-R Lizardo"/>
    <m/>
  </r>
  <r>
    <x v="356"/>
    <x v="0"/>
    <x v="2"/>
    <s v="CNOW_7210$$$0000010296"/>
    <s v="G000001238"/>
    <s v="G000001238"/>
    <s v="Non-LFF"/>
    <s v=""/>
    <m/>
    <b v="1"/>
    <x v="0"/>
    <x v="3"/>
    <d v="2025-09-01T00:00:00"/>
    <m/>
    <m/>
    <x v="1"/>
    <n v="79"/>
    <s v="Jay-R Lizardo"/>
    <m/>
  </r>
  <r>
    <x v="356"/>
    <x v="0"/>
    <x v="2"/>
    <s v="CNOW_7210$$$0000031698"/>
    <s v="L000013894"/>
    <s v="L000013894"/>
    <s v="Non-LFF"/>
    <s v=""/>
    <m/>
    <b v="1"/>
    <x v="0"/>
    <x v="3"/>
    <d v="2025-09-01T00:00:00"/>
    <m/>
    <m/>
    <x v="1"/>
    <n v="79"/>
    <s v="Jay-R Lizardo"/>
    <m/>
  </r>
  <r>
    <x v="356"/>
    <x v="0"/>
    <x v="2"/>
    <s v="CLFF_7210$$$2123GIT129"/>
    <s v="L000013894"/>
    <s v="L000013894"/>
    <s v="LFF (MDG-F)"/>
    <s v="2123GIT129"/>
    <m/>
    <b v="1"/>
    <x v="0"/>
    <x v="3"/>
    <d v="2025-09-01T00:00:00"/>
    <m/>
    <m/>
    <x v="1"/>
    <n v="79"/>
    <s v="Jay-R Lizardo"/>
    <m/>
  </r>
  <r>
    <x v="356"/>
    <x v="0"/>
    <x v="8"/>
    <s v="CLFF_7210$$$2128GIT020"/>
    <s v="G000000279"/>
    <s v="Trash"/>
    <s v="LFF (MDG-F)"/>
    <s v="2128GIT020"/>
    <s v="Wont get mapped if no actuals"/>
    <b v="0"/>
    <x v="0"/>
    <x v="3"/>
    <d v="2025-09-01T00:00:00"/>
    <m/>
    <m/>
    <x v="1"/>
    <n v="79"/>
    <s v="Jay-R Lizardo"/>
    <m/>
  </r>
  <r>
    <x v="356"/>
    <x v="0"/>
    <x v="2"/>
    <s v="CNOW_AUS0$$$0000092051"/>
    <s v="G000001233"/>
    <s v="G000001233"/>
    <s v="Non-LFF"/>
    <s v=""/>
    <m/>
    <b v="1"/>
    <x v="0"/>
    <x v="3"/>
    <d v="2025-09-01T00:00:00"/>
    <m/>
    <m/>
    <x v="1"/>
    <n v="79"/>
    <s v="Jay-R Lizardo"/>
    <m/>
  </r>
  <r>
    <x v="356"/>
    <x v="0"/>
    <x v="2"/>
    <s v="CLFF_VMCA$$$US10GIT034"/>
    <s v="P000000768"/>
    <s v="P000000768"/>
    <s v="LFF (MDG-F)"/>
    <s v="US10GIT034"/>
    <m/>
    <b v="1"/>
    <x v="0"/>
    <x v="3"/>
    <d v="2025-09-01T00:00:00"/>
    <m/>
    <m/>
    <x v="1"/>
    <n v="79"/>
    <s v="Jay-R Lizardo"/>
    <m/>
  </r>
  <r>
    <x v="356"/>
    <x v="0"/>
    <x v="2"/>
    <s v="CLFF_VMCA$$$US10GIT048"/>
    <s v="G000001118"/>
    <s v="G000001118"/>
    <s v="LFF (MDG-F)"/>
    <s v="US10GIT048"/>
    <m/>
    <b v="1"/>
    <x v="0"/>
    <x v="3"/>
    <d v="2025-09-01T00:00:00"/>
    <m/>
    <m/>
    <x v="1"/>
    <n v="79"/>
    <s v="Jay-R Lizardo"/>
    <m/>
  </r>
  <r>
    <x v="357"/>
    <x v="0"/>
    <x v="2"/>
    <s v="CLFF_1000$$$DE10GM8401 "/>
    <s v="L000011444"/>
    <s v="L000011444"/>
    <s v="LFF (MDG-F)"/>
    <s v="DE10GM8401"/>
    <m/>
    <b v="1"/>
    <x v="2"/>
    <x v="3"/>
    <d v="2025-09-02T00:00:00"/>
    <m/>
    <m/>
    <x v="1"/>
    <n v="78"/>
    <s v="Joan Rose Pena"/>
    <m/>
  </r>
  <r>
    <x v="358"/>
    <x v="0"/>
    <x v="2"/>
    <s v="CLFF_1000$$$JP01C0M121"/>
    <s v="P000000667"/>
    <s v="P000000667"/>
    <s v="LFF (MDG-F)"/>
    <s v="JP01C0M121"/>
    <m/>
    <b v="1"/>
    <x v="3"/>
    <x v="3"/>
    <d v="2025-09-02T00:00:00"/>
    <m/>
    <m/>
    <x v="1"/>
    <n v="78"/>
    <s v="Robert Coman"/>
    <m/>
  </r>
  <r>
    <x v="358"/>
    <x v="0"/>
    <x v="2"/>
    <s v="CLFF_1000$$$JP01TQOZ04"/>
    <s v="P000000601"/>
    <s v="P000000601"/>
    <s v="LFF (MDG-F)"/>
    <s v="JP01TQOZ04"/>
    <m/>
    <b v="1"/>
    <x v="3"/>
    <x v="3"/>
    <d v="2025-09-02T00:00:00"/>
    <m/>
    <m/>
    <x v="1"/>
    <n v="78"/>
    <s v="Robert Coman"/>
    <m/>
  </r>
  <r>
    <x v="358"/>
    <x v="0"/>
    <x v="2"/>
    <s v="CLFF_1000$$$JP01C0O921"/>
    <s v="P000000616"/>
    <s v="P000000616"/>
    <s v="LFF (MDG-F)"/>
    <s v="JP01C0O921"/>
    <m/>
    <b v="1"/>
    <x v="3"/>
    <x v="3"/>
    <d v="2025-09-02T00:00:00"/>
    <m/>
    <m/>
    <x v="1"/>
    <n v="78"/>
    <s v="Robert Coman"/>
    <m/>
  </r>
  <r>
    <x v="358"/>
    <x v="0"/>
    <x v="2"/>
    <s v="CLFF_1000$$$JP01R0O721"/>
    <s v="P000000616"/>
    <s v="P000000616"/>
    <s v="LFF (MDG-F)"/>
    <s v="JP01R0O721"/>
    <m/>
    <b v="1"/>
    <x v="3"/>
    <x v="3"/>
    <d v="2025-09-02T00:00:00"/>
    <m/>
    <m/>
    <x v="1"/>
    <n v="78"/>
    <s v="Robert Coman"/>
    <m/>
  </r>
  <r>
    <x v="358"/>
    <x v="0"/>
    <x v="2"/>
    <s v="CLFF_1000$$$JP01C0M621"/>
    <s v="P000000610"/>
    <s v="P000000610"/>
    <s v="LFF (MDG-F)"/>
    <s v="JP01C0M621"/>
    <m/>
    <b v="1"/>
    <x v="3"/>
    <x v="3"/>
    <d v="2025-09-02T00:00:00"/>
    <m/>
    <m/>
    <x v="1"/>
    <n v="78"/>
    <s v="Robert Coman"/>
    <m/>
  </r>
  <r>
    <x v="358"/>
    <x v="0"/>
    <x v="2"/>
    <s v="CLFF_1000$$$JP01C0M600"/>
    <s v="P000000609"/>
    <s v="P000000609"/>
    <s v="LFF (MDG-F)"/>
    <s v="JP01C0M600"/>
    <m/>
    <b v="1"/>
    <x v="3"/>
    <x v="3"/>
    <d v="2025-09-02T00:00:00"/>
    <m/>
    <m/>
    <x v="1"/>
    <n v="78"/>
    <s v="Robert Coman"/>
    <m/>
  </r>
  <r>
    <x v="358"/>
    <x v="0"/>
    <x v="2"/>
    <s v="CLFF_1000$$$JP01GM8002"/>
    <s v="G000000218"/>
    <s v="G000000218"/>
    <s v="LFF (MDG-F)"/>
    <s v="JP01GM8002"/>
    <m/>
    <b v="1"/>
    <x v="3"/>
    <x v="3"/>
    <d v="2025-09-02T00:00:00"/>
    <m/>
    <m/>
    <x v="1"/>
    <n v="78"/>
    <s v="Robert Coman"/>
    <m/>
  </r>
  <r>
    <x v="358"/>
    <x v="0"/>
    <x v="2"/>
    <s v="CLFF_1000$$$JP01GFO301"/>
    <s v="G000000635"/>
    <s v="G000000635"/>
    <s v="LFF (MDG-F)"/>
    <s v="JP01GFO301"/>
    <m/>
    <b v="1"/>
    <x v="3"/>
    <x v="3"/>
    <d v="2025-09-02T00:00:00"/>
    <m/>
    <m/>
    <x v="1"/>
    <n v="78"/>
    <s v="Robert Coman"/>
    <m/>
  </r>
  <r>
    <x v="358"/>
    <x v="0"/>
    <x v="2"/>
    <s v="CLFF_1000$$$JP01GLE301"/>
    <s v="G000000093"/>
    <s v="G000000093"/>
    <s v="LFF (MDG-F)"/>
    <s v="JP01GLE301"/>
    <m/>
    <b v="1"/>
    <x v="3"/>
    <x v="3"/>
    <d v="2025-09-02T00:00:00"/>
    <m/>
    <m/>
    <x v="1"/>
    <n v="78"/>
    <s v="Robert Coman"/>
    <m/>
  </r>
  <r>
    <x v="358"/>
    <x v="0"/>
    <x v="2"/>
    <s v="CLFF_1000$$$JP01GCM301"/>
    <s v="P000000756"/>
    <s v="P000000756"/>
    <s v="LFF (MDG-F)"/>
    <s v="JP01GCM301"/>
    <m/>
    <b v="1"/>
    <x v="3"/>
    <x v="3"/>
    <d v="2025-09-02T00:00:00"/>
    <m/>
    <m/>
    <x v="1"/>
    <n v="78"/>
    <s v="Robert Coman"/>
    <m/>
  </r>
  <r>
    <x v="358"/>
    <x v="0"/>
    <x v="2"/>
    <s v="CLFF_1000$$$JP01GCO301"/>
    <s v="P000000751"/>
    <s v="P000000751"/>
    <s v="LFF (MDG-F)"/>
    <s v="JP01GCO301"/>
    <m/>
    <b v="1"/>
    <x v="3"/>
    <x v="3"/>
    <d v="2025-09-02T00:00:00"/>
    <m/>
    <m/>
    <x v="1"/>
    <n v="78"/>
    <s v="Robert Coman"/>
    <m/>
  </r>
  <r>
    <x v="358"/>
    <x v="0"/>
    <x v="2"/>
    <s v="CLFF_1000$$$JP01L5M302"/>
    <s v="P000000421"/>
    <s v="P000000421"/>
    <s v="LFF (MDG-F)"/>
    <s v="JP01L5M302"/>
    <m/>
    <b v="1"/>
    <x v="3"/>
    <x v="3"/>
    <d v="2025-09-02T00:00:00"/>
    <m/>
    <m/>
    <x v="1"/>
    <n v="78"/>
    <s v="Robert Coman"/>
    <m/>
  </r>
  <r>
    <x v="358"/>
    <x v="0"/>
    <x v="2"/>
    <s v="CLFF_1000$$$JP01GM4001"/>
    <s v="G000000635"/>
    <s v="G000000635"/>
    <s v="LFF (MDG-F)"/>
    <s v="JP01GM4001"/>
    <m/>
    <b v="1"/>
    <x v="3"/>
    <x v="3"/>
    <d v="2025-09-02T00:00:00"/>
    <m/>
    <m/>
    <x v="1"/>
    <n v="78"/>
    <s v="Robert Coman"/>
    <m/>
  </r>
  <r>
    <x v="358"/>
    <x v="0"/>
    <x v="2"/>
    <s v="CLFF_1000$$$JP01GM4002"/>
    <s v="G000000199"/>
    <s v="G000000199"/>
    <s v="LFF (MDG-F)"/>
    <s v="JP01GM4002"/>
    <m/>
    <b v="1"/>
    <x v="3"/>
    <x v="3"/>
    <d v="2025-09-02T00:00:00"/>
    <m/>
    <m/>
    <x v="1"/>
    <n v="78"/>
    <s v="Robert Coman"/>
    <m/>
  </r>
  <r>
    <x v="358"/>
    <x v="0"/>
    <x v="2"/>
    <s v="CLFF_1000$$$JP01L4M302"/>
    <s v="P000000420"/>
    <s v="P000000420"/>
    <s v="LFF (MDG-F)"/>
    <s v="JP01L4M302"/>
    <m/>
    <b v="1"/>
    <x v="3"/>
    <x v="3"/>
    <d v="2025-09-02T00:00:00"/>
    <m/>
    <m/>
    <x v="1"/>
    <n v="78"/>
    <s v="Robert Coman"/>
    <m/>
  </r>
  <r>
    <x v="358"/>
    <x v="0"/>
    <x v="2"/>
    <s v="CLFF_1000$$$JP01O05001"/>
    <s v="O000000005"/>
    <s v="O000000005"/>
    <s v="LFF (MDG-F)"/>
    <s v="JP01O05001"/>
    <m/>
    <b v="1"/>
    <x v="3"/>
    <x v="3"/>
    <d v="2025-09-02T00:00:00"/>
    <m/>
    <m/>
    <x v="1"/>
    <n v="78"/>
    <s v="Robert Coman"/>
    <m/>
  </r>
  <r>
    <x v="358"/>
    <x v="0"/>
    <x v="2"/>
    <s v="CLFF_1000$$$JP01L7M303"/>
    <s v="P000000424"/>
    <s v="P000000424"/>
    <s v="LFF (MDG-F)"/>
    <s v="JP01L7M303"/>
    <m/>
    <b v="1"/>
    <x v="3"/>
    <x v="3"/>
    <d v="2025-09-02T00:00:00"/>
    <m/>
    <m/>
    <x v="1"/>
    <n v="78"/>
    <s v="Robert Coman"/>
    <m/>
  </r>
  <r>
    <x v="358"/>
    <x v="0"/>
    <x v="2"/>
    <s v="CLFF_1000$$$JP01TPOZ01"/>
    <s v="P000000601"/>
    <s v="P000000601"/>
    <s v="LFF (MDG-F)"/>
    <s v="JP01TPOZ01"/>
    <m/>
    <b v="1"/>
    <x v="3"/>
    <x v="3"/>
    <d v="2025-09-02T00:00:00"/>
    <m/>
    <m/>
    <x v="1"/>
    <n v="78"/>
    <s v="Robert Coman"/>
    <m/>
  </r>
  <r>
    <x v="358"/>
    <x v="0"/>
    <x v="2"/>
    <s v="CLFF_1000$$$JP01TQOZ03"/>
    <s v="P000000601"/>
    <s v="P000000601"/>
    <s v="LFF (MDG-F)"/>
    <s v="JP01TQOZ03"/>
    <m/>
    <b v="1"/>
    <x v="3"/>
    <x v="3"/>
    <d v="2025-09-02T00:00:00"/>
    <m/>
    <m/>
    <x v="1"/>
    <n v="78"/>
    <s v="Robert Coman"/>
    <m/>
  </r>
  <r>
    <x v="358"/>
    <x v="0"/>
    <x v="2"/>
    <s v="CLFF_1000$$$JP01C0M825"/>
    <s v="P000000742"/>
    <s v="P000000742"/>
    <s v="LFF (MDG-F)"/>
    <s v="JP01C0M825"/>
    <m/>
    <b v="1"/>
    <x v="3"/>
    <x v="3"/>
    <d v="2025-09-02T00:00:00"/>
    <m/>
    <m/>
    <x v="1"/>
    <n v="78"/>
    <s v="Robert Coman"/>
    <m/>
  </r>
  <r>
    <x v="358"/>
    <x v="0"/>
    <x v="2"/>
    <s v="CLFF_1000$$$JP01TFOZ01"/>
    <s v="P000000175"/>
    <s v="P000000175"/>
    <s v="LFF (MDG-F)"/>
    <s v="JP01TFOZ01"/>
    <m/>
    <b v="1"/>
    <x v="3"/>
    <x v="3"/>
    <d v="2025-09-02T00:00:00"/>
    <m/>
    <m/>
    <x v="1"/>
    <n v="78"/>
    <s v="Robert Coman"/>
    <m/>
  </r>
  <r>
    <x v="358"/>
    <x v="0"/>
    <x v="2"/>
    <s v="CLFF_1000$$$JP01TFOZ02"/>
    <s v="P000000175"/>
    <s v="P000000175"/>
    <s v="LFF (MDG-F)"/>
    <s v="JP01TFOZ02"/>
    <m/>
    <b v="1"/>
    <x v="3"/>
    <x v="3"/>
    <d v="2025-09-02T00:00:00"/>
    <m/>
    <m/>
    <x v="1"/>
    <n v="78"/>
    <s v="Robert Coman"/>
    <m/>
  </r>
  <r>
    <x v="358"/>
    <x v="0"/>
    <x v="2"/>
    <s v="CLFF_1000$$$JP01TFOZ03"/>
    <s v="P000000175"/>
    <s v="P000000175"/>
    <s v="LFF (MDG-F)"/>
    <s v="JP01TFOZ03"/>
    <m/>
    <b v="1"/>
    <x v="3"/>
    <x v="3"/>
    <d v="2025-09-02T00:00:00"/>
    <m/>
    <m/>
    <x v="1"/>
    <n v="78"/>
    <s v="Robert Coman"/>
    <m/>
  </r>
  <r>
    <x v="358"/>
    <x v="0"/>
    <x v="2"/>
    <s v="CLFF_1000$$$JP01Z03725"/>
    <s v="P000001206"/>
    <s v="P000001206"/>
    <s v="LFF (MDG-F)"/>
    <s v="JP01Z03725"/>
    <m/>
    <b v="1"/>
    <x v="3"/>
    <x v="3"/>
    <d v="2025-09-02T00:00:00"/>
    <m/>
    <m/>
    <x v="1"/>
    <n v="78"/>
    <s v="Robert Coman"/>
    <m/>
  </r>
  <r>
    <x v="358"/>
    <x v="0"/>
    <x v="2"/>
    <s v="CLFF_1000$$$JP01Z03104"/>
    <s v="P000001201"/>
    <s v="P000001201"/>
    <s v="LFF (MDG-F)"/>
    <s v="JP01Z03104"/>
    <m/>
    <b v="1"/>
    <x v="3"/>
    <x v="3"/>
    <d v="2025-09-02T00:00:00"/>
    <m/>
    <m/>
    <x v="1"/>
    <n v="78"/>
    <s v="Robert Coman"/>
    <m/>
  </r>
  <r>
    <x v="358"/>
    <x v="0"/>
    <x v="2"/>
    <s v="CLFF_1000$$$JP01Z03105"/>
    <s v="P000001270"/>
    <s v="P000001270"/>
    <s v="LFF (MDG-F)"/>
    <s v="JP01Z03105"/>
    <m/>
    <b v="1"/>
    <x v="3"/>
    <x v="3"/>
    <d v="2025-09-02T00:00:00"/>
    <m/>
    <m/>
    <x v="1"/>
    <n v="78"/>
    <s v="Robert Coman"/>
    <m/>
  </r>
  <r>
    <x v="358"/>
    <x v="0"/>
    <x v="2"/>
    <s v="CLFF_1000$$$JP01C00020"/>
    <s v="P000000612"/>
    <s v="P000000612"/>
    <s v="LFF (MDG-F)"/>
    <s v="JP01C00020"/>
    <m/>
    <b v="1"/>
    <x v="3"/>
    <x v="3"/>
    <d v="2025-09-02T00:00:00"/>
    <m/>
    <m/>
    <x v="1"/>
    <n v="78"/>
    <s v="Robert Coman"/>
    <m/>
  </r>
  <r>
    <x v="358"/>
    <x v="0"/>
    <x v="2"/>
    <s v="CLFF_1000$$$JP01C00301"/>
    <s v="P000001050"/>
    <s v="P000001050"/>
    <s v="LFF (MDG-F)"/>
    <s v="JP01C00301"/>
    <m/>
    <b v="1"/>
    <x v="3"/>
    <x v="3"/>
    <d v="2025-09-02T00:00:00"/>
    <m/>
    <m/>
    <x v="1"/>
    <n v="78"/>
    <s v="Robert Coman"/>
    <m/>
  </r>
  <r>
    <x v="358"/>
    <x v="0"/>
    <x v="2"/>
    <s v="CLFF_1000$$$JP01C00401"/>
    <s v="P000001050"/>
    <s v="P000001050"/>
    <s v="LFF (MDG-F)"/>
    <s v="JP01C00401"/>
    <m/>
    <b v="1"/>
    <x v="3"/>
    <x v="3"/>
    <d v="2025-09-02T00:00:00"/>
    <m/>
    <m/>
    <x v="1"/>
    <n v="78"/>
    <s v="Robert Coman"/>
    <m/>
  </r>
  <r>
    <x v="358"/>
    <x v="0"/>
    <x v="2"/>
    <s v="CLFF_1000$$$JP01GMW080"/>
    <s v="G000001177"/>
    <s v="G000001177"/>
    <s v="LFF (MDG-F)"/>
    <s v="JP01GMW080"/>
    <m/>
    <b v="1"/>
    <x v="3"/>
    <x v="3"/>
    <d v="2025-09-02T00:00:00"/>
    <m/>
    <m/>
    <x v="1"/>
    <n v="78"/>
    <s v="Robert Coman"/>
    <m/>
  </r>
  <r>
    <x v="358"/>
    <x v="0"/>
    <x v="2"/>
    <s v="CLFF_1000$$$JP01O05000"/>
    <s v="O000000005"/>
    <s v="O000000005"/>
    <s v="LFF (MDG-F)"/>
    <s v="JP01O05000"/>
    <m/>
    <b v="1"/>
    <x v="3"/>
    <x v="3"/>
    <d v="2025-09-02T00:00:00"/>
    <m/>
    <m/>
    <x v="1"/>
    <n v="78"/>
    <s v="Robert Coman"/>
    <m/>
  </r>
  <r>
    <x v="358"/>
    <x v="0"/>
    <x v="2"/>
    <s v="CLFF_1000$$$JP01O05002"/>
    <s v="O000000005"/>
    <s v="O000000005"/>
    <s v="LFF (MDG-F)"/>
    <s v="JP01O05002"/>
    <m/>
    <b v="1"/>
    <x v="3"/>
    <x v="3"/>
    <d v="2025-09-02T00:00:00"/>
    <m/>
    <m/>
    <x v="1"/>
    <n v="78"/>
    <s v="Robert Coman"/>
    <m/>
  </r>
  <r>
    <x v="358"/>
    <x v="0"/>
    <x v="2"/>
    <s v="CLFF_1000$$$JP01O05003"/>
    <s v="O000000005"/>
    <s v="O000000005"/>
    <s v="LFF (MDG-F)"/>
    <s v="JP01O05003"/>
    <m/>
    <b v="1"/>
    <x v="3"/>
    <x v="3"/>
    <d v="2025-09-02T00:00:00"/>
    <m/>
    <m/>
    <x v="1"/>
    <n v="78"/>
    <s v="Robert Coman"/>
    <m/>
  </r>
  <r>
    <x v="358"/>
    <x v="0"/>
    <x v="2"/>
    <s v="CLFF_1000$$$JP01O05004"/>
    <s v="O000000005"/>
    <s v="O000000005"/>
    <s v="LFF (MDG-F)"/>
    <s v="JP01O05004"/>
    <m/>
    <b v="1"/>
    <x v="3"/>
    <x v="3"/>
    <d v="2025-09-02T00:00:00"/>
    <m/>
    <m/>
    <x v="1"/>
    <n v="78"/>
    <s v="Robert Coman"/>
    <m/>
  </r>
  <r>
    <x v="358"/>
    <x v="0"/>
    <x v="2"/>
    <s v="CLFF_1000$$$JP01Z01000"/>
    <s v="P000001045"/>
    <s v="P000001045"/>
    <s v="LFF (MDG-F)"/>
    <s v="JP01Z01000"/>
    <m/>
    <b v="1"/>
    <x v="3"/>
    <x v="3"/>
    <d v="2025-09-02T00:00:00"/>
    <m/>
    <m/>
    <x v="1"/>
    <n v="78"/>
    <s v="Robert Coman"/>
    <m/>
  </r>
  <r>
    <x v="358"/>
    <x v="0"/>
    <x v="2"/>
    <s v="CLFF_1000$$$JP01Z01IF9"/>
    <s v="O000000006"/>
    <s v="O000000006"/>
    <s v="LFF (MDG-F)"/>
    <s v="JP01Z01IF9"/>
    <m/>
    <b v="1"/>
    <x v="3"/>
    <x v="3"/>
    <d v="2025-09-02T00:00:00"/>
    <m/>
    <m/>
    <x v="1"/>
    <n v="78"/>
    <s v="Robert Coman"/>
    <m/>
  </r>
  <r>
    <x v="358"/>
    <x v="0"/>
    <x v="2"/>
    <s v="CLFF_1000$$$JP01Z02141"/>
    <s v="P000000556"/>
    <s v="P000000556"/>
    <s v="LFF (MDG-F)"/>
    <s v="JP01Z02141"/>
    <m/>
    <b v="1"/>
    <x v="3"/>
    <x v="3"/>
    <d v="2025-09-02T00:00:00"/>
    <m/>
    <m/>
    <x v="1"/>
    <n v="78"/>
    <s v="Robert Coman"/>
    <m/>
  </r>
  <r>
    <x v="358"/>
    <x v="0"/>
    <x v="2"/>
    <s v="CLFF_1000$$$JP01Z02171"/>
    <s v="P000001048"/>
    <s v="P000001048"/>
    <s v="LFF (MDG-F)"/>
    <s v="JP01Z02171"/>
    <m/>
    <b v="1"/>
    <x v="3"/>
    <x v="3"/>
    <d v="2025-09-02T00:00:00"/>
    <m/>
    <m/>
    <x v="1"/>
    <n v="78"/>
    <s v="Robert Coman"/>
    <m/>
  </r>
  <r>
    <x v="358"/>
    <x v="0"/>
    <x v="2"/>
    <s v="CLFF_1000$$$JP01Z02173"/>
    <s v="P000001048"/>
    <s v="P000001048"/>
    <s v="LFF (MDG-F)"/>
    <s v="JP01Z02173"/>
    <m/>
    <b v="1"/>
    <x v="3"/>
    <x v="3"/>
    <d v="2025-09-02T00:00:00"/>
    <m/>
    <m/>
    <x v="1"/>
    <n v="78"/>
    <s v="Robert Coman"/>
    <m/>
  </r>
  <r>
    <x v="358"/>
    <x v="0"/>
    <x v="2"/>
    <s v="CLFF_1000$$$JP01Z02174"/>
    <s v="P000001048"/>
    <s v="P000001048"/>
    <s v="LFF (MDG-F)"/>
    <s v="JP01Z02174"/>
    <m/>
    <b v="1"/>
    <x v="3"/>
    <x v="3"/>
    <d v="2025-09-02T00:00:00"/>
    <m/>
    <m/>
    <x v="1"/>
    <n v="78"/>
    <s v="Robert Coman"/>
    <m/>
  </r>
  <r>
    <x v="358"/>
    <x v="0"/>
    <x v="2"/>
    <s v="CLFF_1000$$$JP01Z02175"/>
    <s v="P000001048"/>
    <s v="P000001048"/>
    <s v="LFF (MDG-F)"/>
    <s v="JP01Z02175"/>
    <m/>
    <b v="1"/>
    <x v="3"/>
    <x v="3"/>
    <d v="2025-09-02T00:00:00"/>
    <m/>
    <m/>
    <x v="1"/>
    <n v="78"/>
    <s v="Robert Coman"/>
    <m/>
  </r>
  <r>
    <x v="358"/>
    <x v="0"/>
    <x v="2"/>
    <s v="CLFF_1000$$$JP01Z02183"/>
    <s v="G000000553"/>
    <s v="G000000553"/>
    <s v="LFF (MDG-F)"/>
    <s v="JP01Z02183"/>
    <m/>
    <b v="1"/>
    <x v="3"/>
    <x v="3"/>
    <d v="2025-09-02T00:00:00"/>
    <m/>
    <m/>
    <x v="1"/>
    <n v="78"/>
    <s v="Robert Coman"/>
    <m/>
  </r>
  <r>
    <x v="358"/>
    <x v="0"/>
    <x v="2"/>
    <s v="CLFF_1000$$$JP01Z03700"/>
    <s v="P000000041"/>
    <s v="P000000041"/>
    <s v="LFF (MDG-F)"/>
    <s v="JP01Z03700"/>
    <m/>
    <b v="1"/>
    <x v="3"/>
    <x v="3"/>
    <d v="2025-09-02T00:00:00"/>
    <m/>
    <m/>
    <x v="1"/>
    <n v="78"/>
    <s v="Robert Coman"/>
    <m/>
  </r>
  <r>
    <x v="358"/>
    <x v="0"/>
    <x v="2"/>
    <s v="CLFF_1000$$$JP01GPS302"/>
    <s v="G000000131"/>
    <s v="G000000131"/>
    <s v="LFF (MDG-F)"/>
    <s v="JP01GPS302"/>
    <m/>
    <b v="1"/>
    <x v="3"/>
    <x v="3"/>
    <d v="2025-09-02T00:00:00"/>
    <m/>
    <m/>
    <x v="1"/>
    <n v="78"/>
    <s v="Robert Coman"/>
    <m/>
  </r>
  <r>
    <x v="358"/>
    <x v="0"/>
    <x v="2"/>
    <s v="CLFF_1000$$$JP01GPO301"/>
    <s v="P000000755"/>
    <s v="P000000755"/>
    <s v="LFF (MDG-F)"/>
    <s v="JP01GPO301"/>
    <m/>
    <b v="1"/>
    <x v="3"/>
    <x v="3"/>
    <d v="2025-09-02T00:00:00"/>
    <m/>
    <m/>
    <x v="1"/>
    <n v="78"/>
    <s v="Robert Coman"/>
    <m/>
  </r>
  <r>
    <x v="358"/>
    <x v="0"/>
    <x v="2"/>
    <s v="CLFF_1000$$$JP01GPO302"/>
    <s v="G000000055"/>
    <s v="G000000055"/>
    <s v="LFF (MDG-F)"/>
    <s v="JP01GPO302"/>
    <m/>
    <b v="1"/>
    <x v="3"/>
    <x v="3"/>
    <d v="2025-09-02T00:00:00"/>
    <m/>
    <m/>
    <x v="1"/>
    <n v="78"/>
    <s v="Robert Coman"/>
    <m/>
  </r>
  <r>
    <x v="358"/>
    <x v="0"/>
    <x v="2"/>
    <s v="CLFF_1000$$$JP01GIT01B"/>
    <s v="G000000277"/>
    <s v="G000000277"/>
    <s v="LFF (MDG-F)"/>
    <s v="JP01GIT01B"/>
    <m/>
    <b v="1"/>
    <x v="3"/>
    <x v="3"/>
    <d v="2025-09-02T00:00:00"/>
    <m/>
    <m/>
    <x v="1"/>
    <n v="78"/>
    <s v="Robert Coman"/>
    <m/>
  </r>
  <r>
    <x v="358"/>
    <x v="0"/>
    <x v="2"/>
    <s v="CLFF_1000$$$JP01TAOZ02"/>
    <s v="P000000170"/>
    <s v="P000000170"/>
    <s v="LFF (MDG-F)"/>
    <s v="JP01TAOZ02"/>
    <m/>
    <b v="1"/>
    <x v="3"/>
    <x v="3"/>
    <d v="2025-09-02T00:00:00"/>
    <m/>
    <m/>
    <x v="1"/>
    <n v="78"/>
    <s v="Robert Coman"/>
    <m/>
  </r>
  <r>
    <x v="358"/>
    <x v="0"/>
    <x v="2"/>
    <s v="CLFF_1000$$$JP01TAOZ05"/>
    <s v="P000000170"/>
    <s v="P000000170"/>
    <s v="LFF (MDG-F)"/>
    <s v="JP01TAOZ05"/>
    <m/>
    <b v="1"/>
    <x v="3"/>
    <x v="3"/>
    <d v="2025-09-02T00:00:00"/>
    <m/>
    <m/>
    <x v="1"/>
    <n v="78"/>
    <s v="Robert Coman"/>
    <m/>
  </r>
  <r>
    <x v="358"/>
    <x v="0"/>
    <x v="2"/>
    <s v="CLFF_1000$$$JP01GHR303"/>
    <s v="P000000757"/>
    <s v="P000000757"/>
    <s v="LFF (MDG-F)"/>
    <s v="JP01GHR303"/>
    <m/>
    <b v="1"/>
    <x v="3"/>
    <x v="3"/>
    <d v="2025-09-02T00:00:00"/>
    <m/>
    <m/>
    <x v="1"/>
    <n v="78"/>
    <s v="Robert Coman"/>
    <m/>
  </r>
  <r>
    <x v="358"/>
    <x v="0"/>
    <x v="2"/>
    <s v="CLFF_1000$$$JP01Z03103"/>
    <s v="P000001271"/>
    <s v="P000001271"/>
    <s v="LFF (MDG-F)"/>
    <s v="JP01Z03103"/>
    <m/>
    <b v="1"/>
    <x v="3"/>
    <x v="3"/>
    <d v="2025-09-02T00:00:00"/>
    <m/>
    <m/>
    <x v="1"/>
    <n v="78"/>
    <s v="Robert Coman"/>
    <m/>
  </r>
  <r>
    <x v="358"/>
    <x v="0"/>
    <x v="2"/>
    <s v="CLFF_1000$$$JP01TAOC00"/>
    <s v="P000000170"/>
    <s v="P000000170"/>
    <s v="LFF (MDG-F)"/>
    <s v="JP01TAOC00"/>
    <m/>
    <b v="1"/>
    <x v="3"/>
    <x v="3"/>
    <d v="2025-09-02T00:00:00"/>
    <m/>
    <m/>
    <x v="1"/>
    <n v="78"/>
    <s v="Robert Coman"/>
    <m/>
  </r>
  <r>
    <x v="358"/>
    <x v="0"/>
    <x v="2"/>
    <s v="CLFF_1000$$$JP01TAOC01"/>
    <s v="P000000170"/>
    <s v="P000000170"/>
    <s v="LFF (MDG-F)"/>
    <s v="JP01TAOC01"/>
    <m/>
    <b v="1"/>
    <x v="3"/>
    <x v="3"/>
    <d v="2025-09-02T00:00:00"/>
    <m/>
    <m/>
    <x v="1"/>
    <n v="78"/>
    <s v="Robert Coman"/>
    <m/>
  </r>
  <r>
    <x v="358"/>
    <x v="0"/>
    <x v="2"/>
    <s v="CLFF_1000$$$JP01TAOC03"/>
    <s v="P000000170"/>
    <s v="P000000170"/>
    <s v="LFF (MDG-F)"/>
    <s v="JP01TAOC03"/>
    <m/>
    <b v="1"/>
    <x v="3"/>
    <x v="3"/>
    <d v="2025-09-02T00:00:00"/>
    <m/>
    <m/>
    <x v="1"/>
    <n v="78"/>
    <s v="Robert Coman"/>
    <m/>
  </r>
  <r>
    <x v="358"/>
    <x v="0"/>
    <x v="2"/>
    <s v="CLFF_1000$$$JP01TAOC99"/>
    <s v="P000000170"/>
    <s v="P000000170"/>
    <s v="LFF (MDG-F)"/>
    <s v="JP01TAOC99"/>
    <m/>
    <b v="1"/>
    <x v="3"/>
    <x v="3"/>
    <d v="2025-09-02T00:00:00"/>
    <m/>
    <m/>
    <x v="1"/>
    <n v="78"/>
    <s v="Robert Coman"/>
    <m/>
  </r>
  <r>
    <x v="358"/>
    <x v="0"/>
    <x v="2"/>
    <s v="CLFF_1000$$$JP01TAOD00"/>
    <s v="P000000170"/>
    <s v="P000000170"/>
    <s v="LFF (MDG-F)"/>
    <s v="JP01TAOD00"/>
    <m/>
    <b v="1"/>
    <x v="3"/>
    <x v="3"/>
    <d v="2025-09-02T00:00:00"/>
    <m/>
    <m/>
    <x v="1"/>
    <n v="78"/>
    <s v="Robert Coman"/>
    <m/>
  </r>
  <r>
    <x v="358"/>
    <x v="0"/>
    <x v="2"/>
    <s v="CLFF_1000$$$JP01TAOD01"/>
    <s v="P000000170"/>
    <s v="P000000170"/>
    <s v="LFF (MDG-F)"/>
    <s v="JP01TAOD01"/>
    <m/>
    <b v="1"/>
    <x v="3"/>
    <x v="3"/>
    <d v="2025-09-02T00:00:00"/>
    <m/>
    <m/>
    <x v="1"/>
    <n v="78"/>
    <s v="Robert Coman"/>
    <m/>
  </r>
  <r>
    <x v="358"/>
    <x v="0"/>
    <x v="2"/>
    <s v="CLFF_1000$$$JP01TAOD99"/>
    <s v="P000000170"/>
    <s v="P000000170"/>
    <s v="LFF (MDG-F)"/>
    <s v="JP01TAOD99"/>
    <m/>
    <b v="1"/>
    <x v="3"/>
    <x v="3"/>
    <d v="2025-09-02T00:00:00"/>
    <m/>
    <m/>
    <x v="1"/>
    <n v="78"/>
    <s v="Robert Coman"/>
    <m/>
  </r>
  <r>
    <x v="358"/>
    <x v="0"/>
    <x v="2"/>
    <s v="CLFF_1000$$$JP01TAOZ03"/>
    <s v="P000000170"/>
    <s v="P000000170"/>
    <s v="LFF (MDG-F)"/>
    <s v="JP01TAOZ03"/>
    <m/>
    <b v="1"/>
    <x v="3"/>
    <x v="3"/>
    <d v="2025-09-02T00:00:00"/>
    <m/>
    <m/>
    <x v="1"/>
    <n v="78"/>
    <s v="Robert Coman"/>
    <m/>
  </r>
  <r>
    <x v="358"/>
    <x v="0"/>
    <x v="2"/>
    <s v="CLFF_1000$$$JP01TDOZ01"/>
    <s v="P000000173"/>
    <s v="P000000173"/>
    <s v="LFF (MDG-F)"/>
    <s v="JP01TDOZ01"/>
    <m/>
    <b v="1"/>
    <x v="3"/>
    <x v="3"/>
    <d v="2025-09-02T00:00:00"/>
    <m/>
    <m/>
    <x v="1"/>
    <n v="78"/>
    <s v="Robert Coman"/>
    <m/>
  </r>
  <r>
    <x v="358"/>
    <x v="0"/>
    <x v="2"/>
    <s v="CLFF_1000$$$JP01TDOZ02"/>
    <s v="P000000173"/>
    <s v="P000000173"/>
    <s v="LFF (MDG-F)"/>
    <s v="JP01TDOZ02"/>
    <m/>
    <b v="1"/>
    <x v="3"/>
    <x v="3"/>
    <d v="2025-09-02T00:00:00"/>
    <m/>
    <m/>
    <x v="1"/>
    <n v="78"/>
    <s v="Robert Coman"/>
    <m/>
  </r>
  <r>
    <x v="358"/>
    <x v="0"/>
    <x v="2"/>
    <s v="CLFF_1000$$$JP01TDOZ03"/>
    <s v="P000000173"/>
    <s v="P000000173"/>
    <s v="LFF (MDG-F)"/>
    <s v="JP01TDOZ03"/>
    <m/>
    <b v="1"/>
    <x v="3"/>
    <x v="3"/>
    <d v="2025-09-02T00:00:00"/>
    <m/>
    <m/>
    <x v="1"/>
    <n v="78"/>
    <s v="Robert Coman"/>
    <m/>
  </r>
  <r>
    <x v="358"/>
    <x v="0"/>
    <x v="2"/>
    <s v="CLFF_1000$$$JP01TDOZ04"/>
    <s v="P000000173"/>
    <s v="P000000173"/>
    <s v="LFF (MDG-F)"/>
    <s v="JP01TDOZ04"/>
    <m/>
    <b v="1"/>
    <x v="3"/>
    <x v="3"/>
    <d v="2025-09-02T00:00:00"/>
    <m/>
    <m/>
    <x v="1"/>
    <n v="78"/>
    <s v="Robert Coman"/>
    <m/>
  </r>
  <r>
    <x v="358"/>
    <x v="0"/>
    <x v="2"/>
    <s v="CLFF_1000$$$JP01TDOZ05"/>
    <s v="P000000173"/>
    <s v="P000000173"/>
    <s v="LFF (MDG-F)"/>
    <s v="JP01TDOZ05"/>
    <m/>
    <b v="1"/>
    <x v="3"/>
    <x v="3"/>
    <d v="2025-09-02T00:00:00"/>
    <m/>
    <m/>
    <x v="1"/>
    <n v="78"/>
    <s v="Robert Coman"/>
    <m/>
  </r>
  <r>
    <x v="358"/>
    <x v="0"/>
    <x v="2"/>
    <s v="CLFF_1000$$$JP01TDOZ06"/>
    <s v="P000000173"/>
    <s v="P000000173"/>
    <s v="LFF (MDG-F)"/>
    <s v="JP01TDOZ06"/>
    <m/>
    <b v="1"/>
    <x v="3"/>
    <x v="3"/>
    <d v="2025-09-02T00:00:00"/>
    <m/>
    <m/>
    <x v="1"/>
    <n v="78"/>
    <s v="Robert Coman"/>
    <m/>
  </r>
  <r>
    <x v="358"/>
    <x v="0"/>
    <x v="2"/>
    <s v="CLFF_1000$$$JP01TEOZ01"/>
    <s v="P000000174"/>
    <s v="P000000174"/>
    <s v="LFF (MDG-F)"/>
    <s v="JP01TEOZ01"/>
    <m/>
    <b v="1"/>
    <x v="3"/>
    <x v="3"/>
    <d v="2025-09-02T00:00:00"/>
    <m/>
    <m/>
    <x v="1"/>
    <n v="78"/>
    <s v="Robert Coman"/>
    <m/>
  </r>
  <r>
    <x v="358"/>
    <x v="0"/>
    <x v="2"/>
    <s v="CLFF_1000$$$JP01TAOB00"/>
    <s v="P000000170"/>
    <s v="P000000170"/>
    <s v="LFF (MDG-F)"/>
    <s v="JP01TAOB00"/>
    <m/>
    <b v="1"/>
    <x v="3"/>
    <x v="3"/>
    <d v="2025-09-02T00:00:00"/>
    <m/>
    <m/>
    <x v="1"/>
    <n v="78"/>
    <s v="Robert Coman"/>
    <m/>
  </r>
  <r>
    <x v="358"/>
    <x v="0"/>
    <x v="2"/>
    <s v="CLFF_1000$$$JP01TAOB01"/>
    <s v="P000000170"/>
    <s v="P000000170"/>
    <s v="LFF (MDG-F)"/>
    <s v="JP01TAOB01"/>
    <m/>
    <b v="1"/>
    <x v="3"/>
    <x v="3"/>
    <d v="2025-09-02T00:00:00"/>
    <m/>
    <m/>
    <x v="1"/>
    <n v="78"/>
    <s v="Robert Coman"/>
    <m/>
  </r>
  <r>
    <x v="358"/>
    <x v="0"/>
    <x v="2"/>
    <s v="CLFF_1000$$$JP01TAOB02"/>
    <s v="P000000170"/>
    <s v="P000000170"/>
    <s v="LFF (MDG-F)"/>
    <s v="JP01TAOB02"/>
    <m/>
    <b v="1"/>
    <x v="3"/>
    <x v="3"/>
    <d v="2025-09-02T00:00:00"/>
    <m/>
    <m/>
    <x v="1"/>
    <n v="78"/>
    <s v="Robert Coman"/>
    <m/>
  </r>
  <r>
    <x v="358"/>
    <x v="0"/>
    <x v="2"/>
    <s v="CLFF_1000$$$JP01TAOB99"/>
    <s v="P000000170"/>
    <s v="P000000170"/>
    <s v="LFF (MDG-F)"/>
    <s v="JP01TAOB99"/>
    <m/>
    <b v="1"/>
    <x v="3"/>
    <x v="3"/>
    <d v="2025-09-02T00:00:00"/>
    <m/>
    <m/>
    <x v="1"/>
    <n v="78"/>
    <s v="Robert Coman"/>
    <m/>
  </r>
  <r>
    <x v="358"/>
    <x v="0"/>
    <x v="2"/>
    <s v="CLFF_1000$$$JP01TAOC02"/>
    <s v="P000000170"/>
    <s v="P000000170"/>
    <s v="LFF (MDG-F)"/>
    <s v="JP01TAOC02"/>
    <m/>
    <b v="1"/>
    <x v="3"/>
    <x v="3"/>
    <d v="2025-09-02T00:00:00"/>
    <m/>
    <m/>
    <x v="1"/>
    <n v="78"/>
    <s v="Robert Coman"/>
    <m/>
  </r>
  <r>
    <x v="358"/>
    <x v="0"/>
    <x v="2"/>
    <s v="CLFF_1000$$$JP01TAOE00"/>
    <s v="P000000170"/>
    <s v="P000000170"/>
    <s v="LFF (MDG-F)"/>
    <s v="JP01TAOE00"/>
    <m/>
    <b v="1"/>
    <x v="3"/>
    <x v="3"/>
    <d v="2025-09-02T00:00:00"/>
    <m/>
    <m/>
    <x v="1"/>
    <n v="78"/>
    <s v="Robert Coman"/>
    <m/>
  </r>
  <r>
    <x v="358"/>
    <x v="0"/>
    <x v="2"/>
    <s v="CLFF_1000$$$JP01TAOE01"/>
    <s v="P000000170"/>
    <s v="P000000170"/>
    <s v="LFF (MDG-F)"/>
    <s v="JP01TAOE01"/>
    <m/>
    <b v="1"/>
    <x v="3"/>
    <x v="3"/>
    <d v="2025-09-02T00:00:00"/>
    <m/>
    <m/>
    <x v="1"/>
    <n v="78"/>
    <s v="Robert Coman"/>
    <m/>
  </r>
  <r>
    <x v="358"/>
    <x v="0"/>
    <x v="2"/>
    <s v="CLFF_1000$$$JP01TAOE99"/>
    <s v="P000000170"/>
    <s v="P000000170"/>
    <s v="LFF (MDG-F)"/>
    <s v="JP01TAOE99"/>
    <m/>
    <b v="1"/>
    <x v="3"/>
    <x v="3"/>
    <d v="2025-09-02T00:00:00"/>
    <m/>
    <m/>
    <x v="1"/>
    <n v="78"/>
    <s v="Robert Coman"/>
    <m/>
  </r>
  <r>
    <x v="358"/>
    <x v="0"/>
    <x v="2"/>
    <s v="CLFF_1000$$$JP01TAOA00"/>
    <s v="P000000170"/>
    <s v="P000000170"/>
    <s v="LFF (MDG-F)"/>
    <s v="JP01TAOA00"/>
    <m/>
    <b v="1"/>
    <x v="3"/>
    <x v="3"/>
    <d v="2025-09-02T00:00:00"/>
    <m/>
    <m/>
    <x v="1"/>
    <n v="78"/>
    <s v="Robert Coman"/>
    <m/>
  </r>
  <r>
    <x v="358"/>
    <x v="0"/>
    <x v="2"/>
    <s v="CLFF_1000$$$JP01TAOA01"/>
    <s v="P000000170"/>
    <s v="P000000170"/>
    <s v="LFF (MDG-F)"/>
    <s v="JP01TAOA01"/>
    <m/>
    <b v="1"/>
    <x v="3"/>
    <x v="3"/>
    <d v="2025-09-02T00:00:00"/>
    <m/>
    <m/>
    <x v="1"/>
    <n v="78"/>
    <s v="Robert Coman"/>
    <m/>
  </r>
  <r>
    <x v="358"/>
    <x v="0"/>
    <x v="2"/>
    <s v="CLFF_1000$$$JP01TAOA99"/>
    <s v="P000000170"/>
    <s v="P000000170"/>
    <s v="LFF (MDG-F)"/>
    <s v="JP01TAOA99"/>
    <m/>
    <b v="1"/>
    <x v="3"/>
    <x v="3"/>
    <d v="2025-09-02T00:00:00"/>
    <m/>
    <m/>
    <x v="1"/>
    <n v="78"/>
    <s v="Robert Coman"/>
    <m/>
  </r>
  <r>
    <x v="358"/>
    <x v="0"/>
    <x v="2"/>
    <s v="CLFF_1000$$$JP01TAOD02"/>
    <s v="P000000170"/>
    <s v="P000000170"/>
    <s v="LFF (MDG-F)"/>
    <s v="JP01TAOD02"/>
    <m/>
    <b v="1"/>
    <x v="3"/>
    <x v="3"/>
    <d v="2025-09-02T00:00:00"/>
    <m/>
    <m/>
    <x v="1"/>
    <n v="78"/>
    <s v="Robert Coman"/>
    <m/>
  </r>
  <r>
    <x v="358"/>
    <x v="0"/>
    <x v="2"/>
    <s v="CLFF_1000$$$JP01TAOZ06"/>
    <s v="P000000170"/>
    <s v="P000000170"/>
    <s v="LFF (MDG-F)"/>
    <s v="JP01TAOZ06"/>
    <m/>
    <b v="1"/>
    <x v="3"/>
    <x v="3"/>
    <d v="2025-09-02T00:00:00"/>
    <m/>
    <m/>
    <x v="1"/>
    <n v="78"/>
    <s v="Robert Coman"/>
    <m/>
  </r>
  <r>
    <x v="358"/>
    <x v="0"/>
    <x v="2"/>
    <s v="CLFF_1000$$$JP01GSQ013"/>
    <s v="G000000103"/>
    <s v="G000000103"/>
    <s v="LFF (MDG-F)"/>
    <s v="JP01GSQ013"/>
    <m/>
    <b v="1"/>
    <x v="3"/>
    <x v="3"/>
    <d v="2025-09-02T00:00:00"/>
    <m/>
    <m/>
    <x v="1"/>
    <n v="78"/>
    <s v="Robert Coman"/>
    <m/>
  </r>
  <r>
    <x v="358"/>
    <x v="0"/>
    <x v="2"/>
    <s v="CLFF_1000$$$JP01TAOZ01"/>
    <s v="P000000170"/>
    <s v="P000000170"/>
    <s v="LFF (MDG-F)"/>
    <s v="JP01TAOZ01"/>
    <m/>
    <b v="1"/>
    <x v="3"/>
    <x v="3"/>
    <d v="2025-09-02T00:00:00"/>
    <m/>
    <m/>
    <x v="1"/>
    <n v="78"/>
    <s v="Robert Coman"/>
    <m/>
  </r>
  <r>
    <x v="358"/>
    <x v="0"/>
    <x v="2"/>
    <s v="CLFF_1000$$$JP01TLOZ01"/>
    <s v="P000000177"/>
    <s v="P000000177"/>
    <s v="LFF (MDG-F)"/>
    <s v="JP01TLOZ01"/>
    <m/>
    <b v="1"/>
    <x v="3"/>
    <x v="3"/>
    <d v="2025-09-02T00:00:00"/>
    <m/>
    <m/>
    <x v="1"/>
    <n v="78"/>
    <s v="Robert Coman"/>
    <m/>
  </r>
  <r>
    <x v="358"/>
    <x v="0"/>
    <x v="2"/>
    <s v="CLFF_1000$$$JP01TNMZ04"/>
    <s v="P000000794"/>
    <s v="P000000794"/>
    <s v="LFF (MDG-F)"/>
    <s v="JP01TNMZ04"/>
    <m/>
    <b v="1"/>
    <x v="3"/>
    <x v="3"/>
    <d v="2025-09-02T00:00:00"/>
    <m/>
    <m/>
    <x v="1"/>
    <n v="78"/>
    <s v="Robert Coman"/>
    <m/>
  </r>
  <r>
    <x v="358"/>
    <x v="0"/>
    <x v="2"/>
    <s v="CLFF_1000$$$JP01TAOZ04"/>
    <s v="P000000170"/>
    <s v="P000000170"/>
    <s v="LFF (MDG-F)"/>
    <s v="JP01TAOZ04"/>
    <m/>
    <b v="1"/>
    <x v="3"/>
    <x v="3"/>
    <d v="2025-09-02T00:00:00"/>
    <m/>
    <m/>
    <x v="1"/>
    <n v="78"/>
    <s v="Robert Coman"/>
    <m/>
  </r>
  <r>
    <x v="358"/>
    <x v="0"/>
    <x v="2"/>
    <s v="CLFF_1000$$$JP01TKOZ00"/>
    <s v="P000000176"/>
    <s v="P000000176"/>
    <s v="LFF (MDG-F)"/>
    <s v="JP01TKOZ00"/>
    <m/>
    <b v="1"/>
    <x v="3"/>
    <x v="3"/>
    <d v="2025-09-02T00:00:00"/>
    <m/>
    <m/>
    <x v="1"/>
    <n v="78"/>
    <s v="Robert Coman"/>
    <m/>
  </r>
  <r>
    <x v="358"/>
    <x v="0"/>
    <x v="2"/>
    <s v="CLFF_1000$$$JP01TBOZ01"/>
    <s v="P000000171"/>
    <s v="P000000171"/>
    <s v="LFF (MDG-F)"/>
    <s v="JP01TBOZ01"/>
    <m/>
    <b v="1"/>
    <x v="3"/>
    <x v="3"/>
    <d v="2025-09-02T00:00:00"/>
    <m/>
    <m/>
    <x v="1"/>
    <n v="78"/>
    <s v="Robert Coman"/>
    <m/>
  </r>
  <r>
    <x v="358"/>
    <x v="0"/>
    <x v="2"/>
    <s v="CLFF_1000$$$JP01TQOZ01"/>
    <s v="P000000601"/>
    <s v="P000000601"/>
    <s v="LFF (MDG-F)"/>
    <s v="JP01TQOZ01"/>
    <m/>
    <b v="1"/>
    <x v="3"/>
    <x v="3"/>
    <d v="2025-09-02T00:00:00"/>
    <m/>
    <m/>
    <x v="1"/>
    <n v="78"/>
    <s v="Robert Coman"/>
    <m/>
  </r>
  <r>
    <x v="358"/>
    <x v="0"/>
    <x v="2"/>
    <s v="CLFF_1000$$$JP01TBOZ05"/>
    <s v="P000000317"/>
    <s v="P000000317"/>
    <s v="LFF (MDG-F)"/>
    <s v="JP01TBOZ05"/>
    <m/>
    <b v="1"/>
    <x v="3"/>
    <x v="3"/>
    <d v="2025-09-02T00:00:00"/>
    <m/>
    <m/>
    <x v="1"/>
    <n v="78"/>
    <s v="Robert Coman"/>
    <m/>
  </r>
  <r>
    <x v="358"/>
    <x v="0"/>
    <x v="2"/>
    <s v="CLFF_1000$$$JP01TCOZ01"/>
    <s v="P000000172"/>
    <s v="P000000172"/>
    <s v="LFF (MDG-F)"/>
    <s v="JP01TCOZ01"/>
    <m/>
    <b v="1"/>
    <x v="3"/>
    <x v="3"/>
    <d v="2025-09-02T00:00:00"/>
    <m/>
    <m/>
    <x v="1"/>
    <n v="78"/>
    <s v="Robert Coman"/>
    <m/>
  </r>
  <r>
    <x v="358"/>
    <x v="0"/>
    <x v="2"/>
    <s v="CLFF_1000$$$JP01C0M821"/>
    <s v="P000000447"/>
    <s v="P000000447"/>
    <s v="LFF (MDG-F)"/>
    <s v="JP01C0M821"/>
    <m/>
    <b v="1"/>
    <x v="3"/>
    <x v="3"/>
    <d v="2025-09-02T00:00:00"/>
    <m/>
    <m/>
    <x v="1"/>
    <n v="78"/>
    <s v="Robert Coman"/>
    <m/>
  </r>
  <r>
    <x v="358"/>
    <x v="0"/>
    <x v="2"/>
    <s v="CLFF_1000$$$JP01C0M921"/>
    <s v="P000000666"/>
    <s v="P000000666"/>
    <s v="LFF (MDG-F)"/>
    <s v="JP01C0M921"/>
    <m/>
    <b v="1"/>
    <x v="3"/>
    <x v="3"/>
    <d v="2025-09-02T00:00:00"/>
    <m/>
    <m/>
    <x v="1"/>
    <n v="78"/>
    <s v="Robert Coman"/>
    <m/>
  </r>
  <r>
    <x v="358"/>
    <x v="0"/>
    <x v="2"/>
    <s v="CLFF_1000$$$JP01C0M822"/>
    <s v="P000000448"/>
    <s v="P000000448"/>
    <s v="LFF (MDG-F)"/>
    <s v="JP01C0M822"/>
    <m/>
    <b v="1"/>
    <x v="3"/>
    <x v="3"/>
    <d v="2025-09-02T00:00:00"/>
    <m/>
    <m/>
    <x v="1"/>
    <n v="78"/>
    <s v="Robert Coman"/>
    <m/>
  </r>
  <r>
    <x v="358"/>
    <x v="0"/>
    <x v="2"/>
    <s v="CLFF_1000$$$JP01C0O999"/>
    <s v="P000000565"/>
    <s v="P000000565"/>
    <s v="LFF (MDG-F)"/>
    <s v="JP01C0O999"/>
    <m/>
    <b v="1"/>
    <x v="3"/>
    <x v="3"/>
    <d v="2025-09-02T00:00:00"/>
    <m/>
    <m/>
    <x v="1"/>
    <n v="78"/>
    <s v="Robert Coman"/>
    <m/>
  </r>
  <r>
    <x v="358"/>
    <x v="0"/>
    <x v="2"/>
    <s v="CLFF_1000$$$JP01L1M001"/>
    <s v="P000000958"/>
    <s v="P000000958"/>
    <s v="LFF (MDG-F)"/>
    <s v="JP01L1M001"/>
    <m/>
    <b v="1"/>
    <x v="3"/>
    <x v="3"/>
    <d v="2025-09-02T00:00:00"/>
    <m/>
    <m/>
    <x v="1"/>
    <n v="78"/>
    <s v="Robert Coman"/>
    <m/>
  </r>
  <r>
    <x v="358"/>
    <x v="0"/>
    <x v="2"/>
    <s v="CLFF_1000$$$JP01GPO303"/>
    <s v="G000000179"/>
    <s v="G000000179"/>
    <s v="LFF (MDG-F)"/>
    <s v="JP01GPO303"/>
    <m/>
    <b v="1"/>
    <x v="3"/>
    <x v="3"/>
    <d v="2025-09-02T00:00:00"/>
    <m/>
    <m/>
    <x v="1"/>
    <n v="78"/>
    <s v="Robert Coman"/>
    <m/>
  </r>
  <r>
    <x v="358"/>
    <x v="0"/>
    <x v="2"/>
    <s v="CLFF_1000$$$JP01L3K302"/>
    <s v="G000000179"/>
    <s v="G000000179"/>
    <s v="LFF (MDG-F)"/>
    <s v="JP01L3K302"/>
    <m/>
    <b v="1"/>
    <x v="3"/>
    <x v="3"/>
    <d v="2025-09-02T00:00:00"/>
    <m/>
    <m/>
    <x v="1"/>
    <n v="78"/>
    <s v="Robert Coman"/>
    <m/>
  </r>
  <r>
    <x v="358"/>
    <x v="0"/>
    <x v="2"/>
    <s v="CLFF_1000$$$JP01L3K304"/>
    <s v="P000000424"/>
    <s v="P000000424"/>
    <s v="LFF (MDG-F)"/>
    <s v="JP01L3K304"/>
    <m/>
    <b v="1"/>
    <x v="3"/>
    <x v="3"/>
    <d v="2025-09-02T00:00:00"/>
    <m/>
    <m/>
    <x v="1"/>
    <n v="78"/>
    <s v="Robert Coman"/>
    <m/>
  </r>
  <r>
    <x v="358"/>
    <x v="0"/>
    <x v="2"/>
    <s v="CLFF_1000$$$JP01L3M301"/>
    <s v="G000000179"/>
    <s v="G000000179"/>
    <s v="LFF (MDG-F)"/>
    <s v="JP01L3M301"/>
    <m/>
    <b v="1"/>
    <x v="3"/>
    <x v="3"/>
    <d v="2025-09-02T00:00:00"/>
    <m/>
    <m/>
    <x v="1"/>
    <n v="78"/>
    <s v="Robert Coman"/>
    <m/>
  </r>
  <r>
    <x v="358"/>
    <x v="0"/>
    <x v="2"/>
    <s v="CLFF_1000$$$JP01L3M303"/>
    <s v="P000000424"/>
    <s v="P000000424"/>
    <s v="LFF (MDG-F)"/>
    <s v="JP01L3M303"/>
    <m/>
    <b v="1"/>
    <x v="3"/>
    <x v="3"/>
    <d v="2025-09-02T00:00:00"/>
    <m/>
    <m/>
    <x v="1"/>
    <n v="78"/>
    <s v="Robert Coman"/>
    <m/>
  </r>
  <r>
    <x v="358"/>
    <x v="0"/>
    <x v="2"/>
    <s v="CLFF_1000$$$JP01L4M301"/>
    <s v="P000000424"/>
    <s v="P000000424"/>
    <s v="LFF (MDG-F)"/>
    <s v="JP01L4M301"/>
    <m/>
    <b v="1"/>
    <x v="3"/>
    <x v="3"/>
    <d v="2025-09-02T00:00:00"/>
    <m/>
    <m/>
    <x v="1"/>
    <n v="78"/>
    <s v="Robert Coman"/>
    <m/>
  </r>
  <r>
    <x v="358"/>
    <x v="0"/>
    <x v="2"/>
    <s v="CLFF_1000$$$JP01L5M301"/>
    <s v="P000000421"/>
    <s v="P000000421"/>
    <s v="LFF (MDG-F)"/>
    <s v="JP01L5M301"/>
    <m/>
    <b v="1"/>
    <x v="3"/>
    <x v="3"/>
    <d v="2025-09-02T00:00:00"/>
    <m/>
    <m/>
    <x v="1"/>
    <n v="78"/>
    <s v="Robert Coman"/>
    <m/>
  </r>
  <r>
    <x v="358"/>
    <x v="0"/>
    <x v="2"/>
    <s v="CLFF_1000$$$JP01L7M301"/>
    <s v="P000000424"/>
    <s v="P000000424"/>
    <s v="LFF (MDG-F)"/>
    <s v="JP01L7M301"/>
    <m/>
    <b v="1"/>
    <x v="3"/>
    <x v="3"/>
    <d v="2025-09-02T00:00:00"/>
    <m/>
    <m/>
    <x v="1"/>
    <n v="78"/>
    <s v="Robert Coman"/>
    <m/>
  </r>
  <r>
    <x v="358"/>
    <x v="0"/>
    <x v="2"/>
    <s v="CLFF_1000$$$JP01GBT301"/>
    <s v="G000000635"/>
    <s v="G000000635"/>
    <s v="LFF (MDG-F)"/>
    <s v="JP01GBT301"/>
    <m/>
    <b v="1"/>
    <x v="3"/>
    <x v="3"/>
    <d v="2025-09-02T00:00:00"/>
    <m/>
    <m/>
    <x v="1"/>
    <n v="78"/>
    <s v="Robert Coman"/>
    <m/>
  </r>
  <r>
    <x v="358"/>
    <x v="0"/>
    <x v="2"/>
    <s v="CLFF_1000$$$JP01GBT303"/>
    <s v="G000000635"/>
    <s v="G000000635"/>
    <s v="LFF (MDG-F)"/>
    <s v="JP01GBT303"/>
    <m/>
    <b v="1"/>
    <x v="3"/>
    <x v="3"/>
    <d v="2025-09-02T00:00:00"/>
    <m/>
    <m/>
    <x v="1"/>
    <n v="78"/>
    <s v="Robert Coman"/>
    <m/>
  </r>
  <r>
    <x v="358"/>
    <x v="0"/>
    <x v="2"/>
    <s v="CLFF_1000$$$JP01GBT304"/>
    <s v="G000000635"/>
    <s v="G000000635"/>
    <s v="LFF (MDG-F)"/>
    <s v="JP01GBT304"/>
    <m/>
    <b v="1"/>
    <x v="3"/>
    <x v="3"/>
    <d v="2025-09-02T00:00:00"/>
    <m/>
    <m/>
    <x v="1"/>
    <n v="78"/>
    <s v="Robert Coman"/>
    <m/>
  </r>
  <r>
    <x v="358"/>
    <x v="0"/>
    <x v="2"/>
    <s v="CLFF_1000$$$JP01GFO300"/>
    <s v="G000000635"/>
    <s v="G000000635"/>
    <s v="LFF (MDG-F)"/>
    <s v="JP01GFO300"/>
    <m/>
    <b v="1"/>
    <x v="3"/>
    <x v="3"/>
    <d v="2025-09-02T00:00:00"/>
    <m/>
    <m/>
    <x v="1"/>
    <n v="78"/>
    <s v="Robert Coman"/>
    <m/>
  </r>
  <r>
    <x v="358"/>
    <x v="0"/>
    <x v="2"/>
    <s v="CLFF_1000$$$JP01GLE302"/>
    <s v="G000000096"/>
    <s v="G000000096"/>
    <s v="LFF (MDG-F)"/>
    <s v="JP01GLE302"/>
    <m/>
    <b v="1"/>
    <x v="3"/>
    <x v="3"/>
    <d v="2025-09-02T00:00:00"/>
    <m/>
    <m/>
    <x v="1"/>
    <n v="78"/>
    <s v="Robert Coman"/>
    <m/>
  </r>
  <r>
    <x v="358"/>
    <x v="0"/>
    <x v="2"/>
    <s v="CLFF_1000$$$JP01GM1002"/>
    <s v="G000000189"/>
    <s v="G000000189"/>
    <s v="LFF (MDG-F)"/>
    <s v="JP01GM1002"/>
    <m/>
    <b v="1"/>
    <x v="3"/>
    <x v="3"/>
    <d v="2025-09-02T00:00:00"/>
    <m/>
    <m/>
    <x v="1"/>
    <n v="78"/>
    <s v="Robert Coman"/>
    <m/>
  </r>
  <r>
    <x v="358"/>
    <x v="0"/>
    <x v="2"/>
    <s v="CLFF_1000$$$JP01GM8001"/>
    <s v="G000000635"/>
    <s v="G000000635"/>
    <s v="LFF (MDG-F)"/>
    <s v="JP01GM8001"/>
    <m/>
    <b v="1"/>
    <x v="3"/>
    <x v="3"/>
    <d v="2025-09-02T00:00:00"/>
    <m/>
    <m/>
    <x v="1"/>
    <n v="78"/>
    <s v="Robert Coman"/>
    <m/>
  </r>
  <r>
    <x v="358"/>
    <x v="0"/>
    <x v="2"/>
    <s v="CLFF_1000$$$JP01GMB040"/>
    <s v="G000001181"/>
    <s v="G000001181"/>
    <s v="LFF (MDG-F)"/>
    <s v="JP01GMB040"/>
    <m/>
    <b v="1"/>
    <x v="3"/>
    <x v="3"/>
    <d v="2025-09-02T00:00:00"/>
    <m/>
    <m/>
    <x v="1"/>
    <n v="78"/>
    <s v="Robert Coman"/>
    <m/>
  </r>
  <r>
    <x v="358"/>
    <x v="0"/>
    <x v="2"/>
    <s v="CLFF_1000$$$JP01L7M302"/>
    <s v="P000000424"/>
    <s v="P000000424"/>
    <s v="LFF (MDG-F)"/>
    <s v="JP01L7M302"/>
    <m/>
    <b v="1"/>
    <x v="3"/>
    <x v="3"/>
    <d v="2025-09-02T00:00:00"/>
    <m/>
    <m/>
    <x v="1"/>
    <n v="78"/>
    <s v="Robert Coman"/>
    <m/>
  </r>
  <r>
    <x v="358"/>
    <x v="0"/>
    <x v="2"/>
    <s v="CLFF_1000$$$JP01OF0203"/>
    <s v="P000001160"/>
    <s v="P000001160"/>
    <s v="LFF (MDG-F)"/>
    <s v="JP01OF0203"/>
    <m/>
    <b v="1"/>
    <x v="3"/>
    <x v="3"/>
    <d v="2025-09-02T00:00:00"/>
    <m/>
    <m/>
    <x v="1"/>
    <n v="78"/>
    <s v="Robert Coman"/>
    <m/>
  </r>
  <r>
    <x v="358"/>
    <x v="0"/>
    <x v="2"/>
    <s v="CLFF_1000$$$JP01R0S743"/>
    <s v="P000001015"/>
    <s v="P000001015"/>
    <s v="LFF (MDG-F)"/>
    <s v="JP01R0S743"/>
    <m/>
    <b v="1"/>
    <x v="3"/>
    <x v="3"/>
    <d v="2025-09-02T00:00:00"/>
    <m/>
    <m/>
    <x v="1"/>
    <n v="78"/>
    <s v="Robert Coman"/>
    <m/>
  </r>
  <r>
    <x v="359"/>
    <x v="0"/>
    <x v="2"/>
    <s v="CEMERAL_70007001058600"/>
    <s v="L000012407"/>
    <s v="L000012407"/>
    <s v="Non-LFF"/>
    <s v=""/>
    <m/>
    <b v="1"/>
    <x v="2"/>
    <x v="3"/>
    <d v="2025-09-02T00:00:00"/>
    <m/>
    <m/>
    <x v="1"/>
    <n v="78"/>
    <s v="Lakshmi Shree"/>
    <m/>
  </r>
  <r>
    <x v="360"/>
    <x v="0"/>
    <x v="2"/>
    <s v="CLFF_1000$$$CNS1OF0144"/>
    <s v="P000000769"/>
    <s v="P000000769"/>
    <s v="LFF (MDG-F)"/>
    <s v="CNS1OF0144"/>
    <m/>
    <b v="1"/>
    <x v="3"/>
    <x v="3"/>
    <d v="2025-09-06T00:00:00"/>
    <m/>
    <m/>
    <x v="1"/>
    <n v="74"/>
    <s v="Robert Coman"/>
    <m/>
  </r>
  <r>
    <x v="360"/>
    <x v="0"/>
    <x v="2"/>
    <s v="CLFF_1000$$$DES1OFCX20"/>
    <s v="GNMI000082"/>
    <s v="GNMI000082"/>
    <s v="LFF (MDG-F)"/>
    <s v="DES1OFCX20"/>
    <m/>
    <b v="1"/>
    <x v="3"/>
    <x v="3"/>
    <d v="2025-09-06T00:00:00"/>
    <m/>
    <m/>
    <x v="1"/>
    <n v="74"/>
    <s v="Robert Coman"/>
    <m/>
  </r>
  <r>
    <x v="360"/>
    <x v="0"/>
    <x v="2"/>
    <s v="CLFF_1000$$$DES1OFCX21"/>
    <s v="GNMI000082"/>
    <s v="GNMI000082"/>
    <s v="LFF (MDG-F)"/>
    <s v="DES1OFCX21"/>
    <m/>
    <b v="1"/>
    <x v="3"/>
    <x v="3"/>
    <d v="2025-09-06T00:00:00"/>
    <m/>
    <m/>
    <x v="1"/>
    <n v="74"/>
    <s v="Robert Coman"/>
    <m/>
  </r>
  <r>
    <x v="360"/>
    <x v="0"/>
    <x v="2"/>
    <s v="CLFF_1000$$$DES1Z01000"/>
    <s v="GNMI000090"/>
    <s v="GNMI000090"/>
    <s v="LFF (MDG-F)"/>
    <s v="DES1Z01000"/>
    <m/>
    <b v="1"/>
    <x v="3"/>
    <x v="3"/>
    <d v="2025-09-06T00:00:00"/>
    <m/>
    <m/>
    <x v="1"/>
    <n v="74"/>
    <s v="Robert Coman"/>
    <m/>
  </r>
  <r>
    <x v="360"/>
    <x v="0"/>
    <x v="2"/>
    <s v="CLFF_1000$$$KRS1Z01000"/>
    <s v="GNMI000090"/>
    <s v="GNMI000090"/>
    <s v="LFF (MDG-F)"/>
    <s v="KRS1Z01000"/>
    <m/>
    <b v="1"/>
    <x v="3"/>
    <x v="3"/>
    <d v="2025-09-06T00:00:00"/>
    <m/>
    <m/>
    <x v="1"/>
    <n v="74"/>
    <s v="Robert Coman"/>
    <m/>
  </r>
  <r>
    <x v="360"/>
    <x v="0"/>
    <x v="2"/>
    <s v="CLFF_1000$$$MYS1OF0110"/>
    <s v="P000000769"/>
    <s v="P000000769"/>
    <s v="LFF (MDG-F)"/>
    <s v="MYS1OF0110"/>
    <m/>
    <b v="1"/>
    <x v="3"/>
    <x v="3"/>
    <d v="2025-09-06T00:00:00"/>
    <m/>
    <m/>
    <x v="1"/>
    <n v="74"/>
    <s v="Robert Coman"/>
    <m/>
  </r>
  <r>
    <x v="360"/>
    <x v="0"/>
    <x v="2"/>
    <s v="CLFF_1000$$$MYS1Z01000"/>
    <s v="GNMI000090"/>
    <s v="GNMI000090"/>
    <s v="LFF (MDG-F)"/>
    <s v="MYS1Z01000"/>
    <m/>
    <b v="1"/>
    <x v="3"/>
    <x v="3"/>
    <d v="2025-09-06T00:00:00"/>
    <m/>
    <m/>
    <x v="1"/>
    <n v="74"/>
    <s v="Robert Coman"/>
    <m/>
  </r>
  <r>
    <x v="360"/>
    <x v="0"/>
    <x v="2"/>
    <s v="CLFF_1000$$$THS1OF0110"/>
    <s v="P000000769"/>
    <s v="P000000769"/>
    <s v="LFF (MDG-F)"/>
    <s v="THS1OF0110"/>
    <m/>
    <b v="1"/>
    <x v="3"/>
    <x v="3"/>
    <d v="2025-09-06T00:00:00"/>
    <m/>
    <m/>
    <x v="1"/>
    <n v="74"/>
    <s v="Robert Coman"/>
    <m/>
  </r>
  <r>
    <x v="360"/>
    <x v="0"/>
    <x v="2"/>
    <s v="CLFF_1000$$$USS1Z01000"/>
    <s v="GNMI000090"/>
    <s v="GNMI000090"/>
    <s v="LFF (MDG-F)"/>
    <s v="USS1Z01000"/>
    <m/>
    <b v="1"/>
    <x v="3"/>
    <x v="3"/>
    <d v="2025-09-06T00:00:00"/>
    <m/>
    <m/>
    <x v="1"/>
    <n v="74"/>
    <s v="Robert Coman"/>
    <m/>
  </r>
  <r>
    <x v="360"/>
    <x v="0"/>
    <x v="2"/>
    <s v="CLFF_1000$$$CNS1Z01000"/>
    <s v="GNMI000090"/>
    <s v="GNMI000090"/>
    <s v="LFF (MDG-F)"/>
    <s v="CNS1Z01000"/>
    <m/>
    <b v="1"/>
    <x v="3"/>
    <x v="3"/>
    <d v="2025-09-06T00:00:00"/>
    <m/>
    <m/>
    <x v="1"/>
    <n v="74"/>
    <s v="Robert Coman"/>
    <m/>
  </r>
  <r>
    <x v="360"/>
    <x v="0"/>
    <x v="2"/>
    <s v="CLFF_1000$$$THS1Z01000"/>
    <s v="GNMI000090"/>
    <s v="GNMI000090"/>
    <s v="LFF (MDG-F)"/>
    <s v="THS1Z01000"/>
    <m/>
    <b v="1"/>
    <x v="3"/>
    <x v="3"/>
    <d v="2025-09-06T00:00:00"/>
    <m/>
    <m/>
    <x v="1"/>
    <n v="74"/>
    <s v="Robert Coman"/>
    <m/>
  </r>
  <r>
    <x v="361"/>
    <x v="0"/>
    <x v="2"/>
    <s v="CTEMPEU_1000PL80GMK003"/>
    <s v="G000001362"/>
    <s v="G000001362"/>
    <s v="Non-LFF"/>
    <s v=""/>
    <m/>
    <b v="1"/>
    <x v="0"/>
    <x v="3"/>
    <d v="2025-09-08T00:00:00"/>
    <m/>
    <m/>
    <x v="1"/>
    <n v="74"/>
    <s v="Jojeff Tagnong"/>
    <m/>
  </r>
  <r>
    <x v="362"/>
    <x v="0"/>
    <x v="2"/>
    <s v="CEMERAL_70006302992006 Compliance"/>
    <s v="G000001103"/>
    <s v="G000001103"/>
    <s v="Non-LFF"/>
    <s v=""/>
    <m/>
    <b v="1"/>
    <x v="0"/>
    <x v="3"/>
    <d v="2025-09-09T00:00:00"/>
    <m/>
    <m/>
    <x v="1"/>
    <n v="73"/>
    <s v="Jojeff Tagnong"/>
    <m/>
  </r>
  <r>
    <x v="362"/>
    <x v="0"/>
    <x v="2"/>
    <s v="CEMERAL_70007001993015 MESI REG MGF-CORPORATE COMPLIANCE"/>
    <s v="G000001103"/>
    <s v="G000001103"/>
    <s v="Non-LFF"/>
    <s v=""/>
    <m/>
    <b v="1"/>
    <x v="0"/>
    <x v="3"/>
    <d v="2025-09-09T00:00:00"/>
    <m/>
    <m/>
    <x v="1"/>
    <n v="73"/>
    <s v="Jojeff Tagnong"/>
    <m/>
  </r>
  <r>
    <x v="362"/>
    <x v="0"/>
    <x v="2"/>
    <s v="CFLTFLE_1787HQ50GLECF0 MGF_Compliance_NORTH WEST"/>
    <s v="G000001104"/>
    <s v="G000001104"/>
    <s v="Non-LFF"/>
    <s v=""/>
    <m/>
    <b v="1"/>
    <x v="0"/>
    <x v="3"/>
    <d v="2025-09-09T00:00:00"/>
    <m/>
    <m/>
    <x v="1"/>
    <n v="73"/>
    <s v="Jojeff Tagnong"/>
    <m/>
  </r>
  <r>
    <x v="362"/>
    <x v="0"/>
    <x v="2"/>
    <s v="CLFF_1000$$$BE50GLE300 LE - Group Legal &amp; Compliance BE50"/>
    <s v="G000001104"/>
    <s v="G000001104"/>
    <s v="LFF (MDG-F)"/>
    <s v="BE50GLE300"/>
    <m/>
    <b v="1"/>
    <x v="0"/>
    <x v="3"/>
    <d v="2025-09-09T00:00:00"/>
    <m/>
    <m/>
    <x v="1"/>
    <n v="73"/>
    <s v="Jojeff Tagnong"/>
    <m/>
  </r>
  <r>
    <x v="362"/>
    <x v="0"/>
    <x v="2"/>
    <s v="CLFF_1000$$$JP01GLE302 Compliance"/>
    <s v="G000001103"/>
    <s v="G000001103"/>
    <s v="LFF (MDG-F)"/>
    <s v="JP01GLE302"/>
    <m/>
    <b v="1"/>
    <x v="0"/>
    <x v="3"/>
    <d v="2025-09-09T00:00:00"/>
    <m/>
    <m/>
    <x v="1"/>
    <n v="73"/>
    <s v="Jojeff Tagnong"/>
    <m/>
  </r>
  <r>
    <x v="362"/>
    <x v="0"/>
    <x v="2"/>
    <s v="CLFF_1000$$$JP02GLE302 Compliance"/>
    <s v="G000001103"/>
    <s v="G000001103"/>
    <s v="LFF (MDG-F)"/>
    <s v="JP02GLE302"/>
    <m/>
    <b v="1"/>
    <x v="0"/>
    <x v="3"/>
    <d v="2025-09-09T00:00:00"/>
    <m/>
    <m/>
    <x v="1"/>
    <n v="73"/>
    <s v="Jojeff Tagnong"/>
    <m/>
  </r>
  <r>
    <x v="362"/>
    <x v="0"/>
    <x v="2"/>
    <s v="CLFF_1000$$$KR02GLE005 LE-C Group Compliance"/>
    <s v="G000001103"/>
    <s v="G000001103"/>
    <s v="LFF (MDG-F)"/>
    <s v="KR02GLE005"/>
    <m/>
    <b v="1"/>
    <x v="0"/>
    <x v="3"/>
    <d v="2025-09-09T00:00:00"/>
    <m/>
    <m/>
    <x v="1"/>
    <n v="73"/>
    <s v="Jojeff Tagnong"/>
    <m/>
  </r>
  <r>
    <x v="362"/>
    <x v="0"/>
    <x v="2"/>
    <s v="CLFF_1000$$$TW02GLE006 Group Compliance"/>
    <s v="G000001103"/>
    <s v="G000001103"/>
    <s v="LFF (MDG-F)"/>
    <s v="TW02GLE006"/>
    <m/>
    <b v="1"/>
    <x v="0"/>
    <x v="3"/>
    <d v="2025-09-09T00:00:00"/>
    <m/>
    <m/>
    <x v="1"/>
    <n v="73"/>
    <s v="Jojeff Tagnong"/>
    <m/>
  </r>
  <r>
    <x v="362"/>
    <x v="0"/>
    <x v="2"/>
    <s v="CLFF_1000$$$TW03GLE006 Group Compliance"/>
    <s v="G000001103"/>
    <s v="G000001103"/>
    <s v="LFF (MDG-F)"/>
    <s v="TW03GLE006"/>
    <m/>
    <b v="1"/>
    <x v="0"/>
    <x v="3"/>
    <d v="2025-09-09T00:00:00"/>
    <m/>
    <m/>
    <x v="1"/>
    <n v="73"/>
    <s v="Jojeff Tagnong"/>
    <m/>
  </r>
  <r>
    <x v="362"/>
    <x v="0"/>
    <x v="2"/>
    <s v="CLFF_7210$$$2057GLE006 Compliance at 2057"/>
    <s v="G000001104"/>
    <s v="G000001104"/>
    <s v="LFF (MDG-F)"/>
    <s v="2057GLE006"/>
    <m/>
    <b v="1"/>
    <x v="0"/>
    <x v="3"/>
    <d v="2025-09-09T00:00:00"/>
    <m/>
    <m/>
    <x v="1"/>
    <n v="73"/>
    <s v="Jojeff Tagnong"/>
    <m/>
  </r>
  <r>
    <x v="362"/>
    <x v="0"/>
    <x v="2"/>
    <s v="CLFF_KR00$$$KR03GLE005 LE-C Group Compliance"/>
    <s v="G000001103"/>
    <s v="G000001103"/>
    <s v="LFF (MDG-F)"/>
    <s v="KR03GLE005"/>
    <m/>
    <b v="1"/>
    <x v="0"/>
    <x v="3"/>
    <d v="2025-09-09T00:00:00"/>
    <m/>
    <m/>
    <x v="1"/>
    <n v="73"/>
    <s v="Jojeff Tagnong"/>
    <m/>
  </r>
  <r>
    <x v="362"/>
    <x v="0"/>
    <x v="2"/>
    <s v="CLFF_VMCA$$$TW10GLE106 MGF-Group Compliance"/>
    <s v="G000001103"/>
    <s v="G000001103"/>
    <s v="LFF (MDG-F)"/>
    <s v="TW10GLE106"/>
    <m/>
    <b v="1"/>
    <x v="0"/>
    <x v="3"/>
    <d v="2025-09-09T00:00:00"/>
    <m/>
    <m/>
    <x v="1"/>
    <n v="73"/>
    <s v="Jojeff Tagnong"/>
    <m/>
  </r>
  <r>
    <x v="362"/>
    <x v="0"/>
    <x v="2"/>
    <s v="CLFF_VMCA$$$TW91GLE106 MGF-Group Compliance"/>
    <s v="G000001103"/>
    <s v="G000001103"/>
    <s v="LFF (MDG-F)"/>
    <s v="TW91GLE106"/>
    <m/>
    <b v="1"/>
    <x v="0"/>
    <x v="3"/>
    <d v="2025-09-09T00:00:00"/>
    <m/>
    <m/>
    <x v="1"/>
    <n v="73"/>
    <s v="Jojeff Tagnong"/>
    <m/>
  </r>
  <r>
    <x v="362"/>
    <x v="0"/>
    <x v="2"/>
    <s v="CNOW_ROW$$$$0000008820 JP Compliance"/>
    <s v="G000001103"/>
    <s v="G000001103"/>
    <s v="Non-LFF"/>
    <s v=""/>
    <m/>
    <b v="1"/>
    <x v="0"/>
    <x v="3"/>
    <d v="2025-09-09T00:00:00"/>
    <m/>
    <m/>
    <x v="1"/>
    <n v="73"/>
    <s v="Jojeff Tagnong"/>
    <m/>
  </r>
  <r>
    <x v="362"/>
    <x v="0"/>
    <x v="2"/>
    <s v="CSCALA_1820$A806"/>
    <s v="G000001103"/>
    <s v="G000001103"/>
    <s v="Non-LFF"/>
    <s v=""/>
    <m/>
    <b v="1"/>
    <x v="0"/>
    <x v="3"/>
    <d v="2025-09-09T00:00:00"/>
    <m/>
    <m/>
    <x v="1"/>
    <n v="73"/>
    <s v="Jojeff Tagnong"/>
    <m/>
  </r>
  <r>
    <x v="362"/>
    <x v="0"/>
    <x v="2"/>
    <s v="CTEMPLA_1000CO10100025 REGIONAL COMPLIANCE OFFICER"/>
    <s v="G000001105"/>
    <s v="G000001105"/>
    <s v="Non-LFF"/>
    <s v=""/>
    <m/>
    <b v="1"/>
    <x v="0"/>
    <x v="3"/>
    <d v="2025-09-09T00:00:00"/>
    <m/>
    <m/>
    <x v="1"/>
    <n v="73"/>
    <s v="Jojeff Tagnong"/>
    <m/>
  </r>
  <r>
    <x v="362"/>
    <x v="0"/>
    <x v="2"/>
    <s v="CTEMPLA_1000MX31170000 Compliance"/>
    <s v="G000001105"/>
    <s v="G000001105"/>
    <s v="Non-LFF"/>
    <s v=""/>
    <m/>
    <b v="1"/>
    <x v="0"/>
    <x v="3"/>
    <d v="2025-09-09T00:00:00"/>
    <m/>
    <m/>
    <x v="1"/>
    <n v="73"/>
    <s v="Jojeff Tagnong"/>
    <m/>
  </r>
  <r>
    <x v="363"/>
    <x v="0"/>
    <x v="2"/>
    <s v="CLFF_1000$$$DE10620801"/>
    <s v="G000000432"/>
    <s v="G000000432"/>
    <s v="LFF (MDG-F)"/>
    <s v="DE10620801"/>
    <m/>
    <b v="1"/>
    <x v="0"/>
    <x v="3"/>
    <d v="2025-09-09T00:00:00"/>
    <m/>
    <m/>
    <x v="1"/>
    <n v="73"/>
    <s v="Marcus Morowski"/>
    <m/>
  </r>
  <r>
    <x v="364"/>
    <x v="0"/>
    <x v="2"/>
    <s v="CSCALA_1022$ITX"/>
    <s v="G000001356"/>
    <s v="G000001356"/>
    <s v="Non-LFF"/>
    <s v=""/>
    <m/>
    <b v="1"/>
    <x v="0"/>
    <x v="3"/>
    <d v="2025-09-09T00:00:00"/>
    <m/>
    <m/>
    <x v="1"/>
    <n v="73"/>
    <s v="Jay-R Lizardo"/>
    <m/>
  </r>
  <r>
    <x v="365"/>
    <x v="0"/>
    <x v="2"/>
    <s v="CLFF_1000$$$CNS1OF0144"/>
    <s v="GNMI000720"/>
    <s v="GNMI000720"/>
    <s v="LFF (MDG-F)"/>
    <s v="CNS1OF0144"/>
    <m/>
    <b v="1"/>
    <x v="3"/>
    <x v="3"/>
    <d v="2025-09-09T00:00:00"/>
    <m/>
    <m/>
    <x v="1"/>
    <n v="73"/>
    <s v="Robert Coman"/>
    <m/>
  </r>
  <r>
    <x v="365"/>
    <x v="0"/>
    <x v="2"/>
    <s v="CLFF_1000$$$MYS1OF0110"/>
    <s v="GNMI000720"/>
    <s v="GNMI000720"/>
    <s v="LFF (MDG-F)"/>
    <s v="MYS1OF0110"/>
    <m/>
    <b v="1"/>
    <x v="3"/>
    <x v="3"/>
    <d v="2025-09-09T00:00:00"/>
    <m/>
    <m/>
    <x v="1"/>
    <n v="73"/>
    <s v="Robert Coman"/>
    <m/>
  </r>
  <r>
    <x v="365"/>
    <x v="0"/>
    <x v="2"/>
    <s v="CLFF_1000$$$THS1OF0110"/>
    <s v="GNMI000720"/>
    <s v="GNMI000720"/>
    <s v="LFF (MDG-F)"/>
    <s v="THS1OF0110"/>
    <m/>
    <b v="1"/>
    <x v="3"/>
    <x v="3"/>
    <d v="2025-09-09T00:00:00"/>
    <m/>
    <m/>
    <x v="1"/>
    <n v="73"/>
    <s v="Robert Coman"/>
    <m/>
  </r>
  <r>
    <x v="365"/>
    <x v="0"/>
    <x v="2"/>
    <s v="CLFF_1000$$$MYS1OF0110"/>
    <s v="GNMI000720"/>
    <s v="GNMI000720"/>
    <s v="LFF (MDG-F)"/>
    <s v="MYS1OF0110"/>
    <m/>
    <b v="1"/>
    <x v="3"/>
    <x v="3"/>
    <d v="2025-09-09T00:00:00"/>
    <m/>
    <m/>
    <x v="1"/>
    <n v="73"/>
    <s v="Robert Coman"/>
    <m/>
  </r>
  <r>
    <x v="366"/>
    <x v="0"/>
    <x v="2"/>
    <s v="CTEMPNA_1000US30130501"/>
    <s v="H000004403"/>
    <s v="H000004403"/>
    <s v="Non-LFF"/>
    <s v=""/>
    <m/>
    <b v="1"/>
    <x v="0"/>
    <x v="3"/>
    <d v="2025-09-09T00:00:00"/>
    <m/>
    <m/>
    <x v="1"/>
    <n v="73"/>
    <s v="Julistair Malto"/>
    <m/>
  </r>
  <r>
    <x v="366"/>
    <x v="0"/>
    <x v="2"/>
    <s v="CTEMPNA_1000US30132020"/>
    <s v="H000004403"/>
    <s v="H000004403"/>
    <s v="Non-LFF"/>
    <s v=""/>
    <m/>
    <b v="1"/>
    <x v="0"/>
    <x v="3"/>
    <d v="2025-09-09T00:00:00"/>
    <m/>
    <m/>
    <x v="1"/>
    <n v="73"/>
    <s v="Julistair Malto"/>
    <m/>
  </r>
  <r>
    <x v="366"/>
    <x v="0"/>
    <x v="2"/>
    <s v="CTEMPNA_1000US30133800"/>
    <s v="H000004403"/>
    <s v="H000004403"/>
    <s v="Non-LFF"/>
    <s v=""/>
    <m/>
    <b v="1"/>
    <x v="0"/>
    <x v="3"/>
    <d v="2025-09-09T00:00:00"/>
    <m/>
    <m/>
    <x v="1"/>
    <n v="73"/>
    <s v="Julistair Malto"/>
    <m/>
  </r>
  <r>
    <x v="366"/>
    <x v="0"/>
    <x v="2"/>
    <s v="CTEMPNA_1000US30134000"/>
    <s v="H000004403"/>
    <s v="H000004403"/>
    <s v="Non-LFF"/>
    <s v=""/>
    <m/>
    <b v="1"/>
    <x v="0"/>
    <x v="3"/>
    <d v="2025-09-09T00:00:00"/>
    <m/>
    <m/>
    <x v="1"/>
    <n v="73"/>
    <s v="Julistair Malto"/>
    <m/>
  </r>
  <r>
    <x v="366"/>
    <x v="0"/>
    <x v="2"/>
    <s v="CTEMPNA_1000US30134050"/>
    <s v="H000004403"/>
    <s v="H000004403"/>
    <s v="Non-LFF"/>
    <s v=""/>
    <m/>
    <b v="1"/>
    <x v="0"/>
    <x v="3"/>
    <d v="2025-09-09T00:00:00"/>
    <m/>
    <m/>
    <x v="1"/>
    <n v="73"/>
    <s v="Julistair Malto"/>
    <m/>
  </r>
  <r>
    <x v="367"/>
    <x v="0"/>
    <x v="2"/>
    <s v="CLFF_VMCA$$$US10O05003"/>
    <s v="P000001323"/>
    <s v="P000001323"/>
    <s v="LFF (MDG-F)"/>
    <s v="US10O05003"/>
    <m/>
    <b v="1"/>
    <x v="3"/>
    <x v="3"/>
    <d v="2025-09-09T00:00:00"/>
    <m/>
    <m/>
    <x v="1"/>
    <n v="73"/>
    <s v="John Rowie Del Rosario"/>
    <m/>
  </r>
  <r>
    <x v="367"/>
    <x v="0"/>
    <x v="2"/>
    <s v="CLFF_VMCA$$$KR07O05003"/>
    <s v="P000001322"/>
    <s v="P000001322"/>
    <s v="LFF (MDG-F)"/>
    <s v="KR07O05003"/>
    <m/>
    <b v="1"/>
    <x v="3"/>
    <x v="3"/>
    <d v="2025-09-09T00:00:00"/>
    <m/>
    <m/>
    <x v="1"/>
    <n v="73"/>
    <s v="John Rowie Del Rosario"/>
    <m/>
  </r>
  <r>
    <x v="367"/>
    <x v="0"/>
    <x v="2"/>
    <s v="CLFF_VMCA$$$CN10O05003"/>
    <s v="P000001322"/>
    <s v="P000001322"/>
    <s v="LFF (MDG-F)"/>
    <s v="CN10O05003"/>
    <m/>
    <b v="1"/>
    <x v="3"/>
    <x v="3"/>
    <d v="2025-09-09T00:00:00"/>
    <m/>
    <m/>
    <x v="1"/>
    <n v="73"/>
    <s v="John Rowie Del Rosario"/>
    <m/>
  </r>
  <r>
    <x v="368"/>
    <x v="0"/>
    <x v="2"/>
    <s v="N128315000000000000 ICON 1283 VS 1500"/>
    <s v="P000001205"/>
    <s v="P000001205"/>
    <s v="Non-LFF"/>
    <s v=""/>
    <m/>
    <b v="1"/>
    <x v="3"/>
    <x v="3"/>
    <d v="2025-09-12T00:00:00"/>
    <m/>
    <m/>
    <x v="1"/>
    <n v="70"/>
    <s v="Roselle Delos Angeles"/>
    <m/>
  </r>
  <r>
    <x v="368"/>
    <x v="0"/>
    <x v="2"/>
    <s v="CLFF_VMCA$$$TW91PD1010 KAO containers assm (RT) "/>
    <s v="P000000801"/>
    <s v="P000000801"/>
    <s v="LFF (MDG-F)"/>
    <s v="TW91PD1010"/>
    <m/>
    <b v="1"/>
    <x v="3"/>
    <x v="3"/>
    <d v="2025-09-12T00:00:00"/>
    <m/>
    <m/>
    <x v="1"/>
    <n v="70"/>
    <s v="Roselle Delos Angeles"/>
    <m/>
  </r>
  <r>
    <x v="368"/>
    <x v="0"/>
    <x v="2"/>
    <s v="CLFF_VMCA$$$US10C05025 CLOSE-Thin Film Marketing and GPM "/>
    <s v="P000000533"/>
    <s v="P000000533"/>
    <s v="LFF (MDG-F)"/>
    <s v="US10C05025"/>
    <m/>
    <b v="1"/>
    <x v="3"/>
    <x v="3"/>
    <d v="2025-09-12T00:00:00"/>
    <m/>
    <m/>
    <x v="1"/>
    <n v="70"/>
    <s v="Roselle Delos Angeles"/>
    <m/>
  </r>
  <r>
    <x v="368"/>
    <x v="0"/>
    <x v="2"/>
    <s v="CLFF_VMCA$$$KR15C01027 TF Project Costs "/>
    <s v="P000000802"/>
    <s v="P000000802"/>
    <s v="LFF (MDG-F)"/>
    <s v="KR15C01027"/>
    <m/>
    <b v="1"/>
    <x v="3"/>
    <x v="3"/>
    <d v="2025-09-12T00:00:00"/>
    <m/>
    <m/>
    <x v="1"/>
    <n v="70"/>
    <s v="Roselle Delos Angeles"/>
    <m/>
  </r>
  <r>
    <x v="368"/>
    <x v="0"/>
    <x v="2"/>
    <s v="CLFF_VMCA$$$KR16C01027 TF Project Costs "/>
    <s v="P000000802"/>
    <s v="P000000802"/>
    <s v="LFF (MDG-F)"/>
    <s v="KR16C01027"/>
    <m/>
    <b v="1"/>
    <x v="3"/>
    <x v="3"/>
    <d v="2025-09-12T00:00:00"/>
    <m/>
    <m/>
    <x v="1"/>
    <n v="70"/>
    <s v="Roselle Delos Angeles"/>
    <m/>
  </r>
  <r>
    <x v="368"/>
    <x v="0"/>
    <x v="2"/>
    <s v="CLFF_VMCA$$$CN09C05003 AM Selling "/>
    <s v="P000000829"/>
    <s v="P000000829"/>
    <s v="LFF (MDG-F)"/>
    <s v="CN09C05003"/>
    <m/>
    <b v="1"/>
    <x v="3"/>
    <x v="3"/>
    <d v="2025-09-12T00:00:00"/>
    <m/>
    <m/>
    <x v="1"/>
    <n v="70"/>
    <s v="Roselle Delos Angeles"/>
    <m/>
  </r>
  <r>
    <x v="368"/>
    <x v="0"/>
    <x v="2"/>
    <s v="CLFF_VMCA$$$NL10C05001 AM Selling"/>
    <s v="P000000829"/>
    <s v="P000000829"/>
    <s v="LFF (MDG-F)"/>
    <s v="NL10C05001"/>
    <m/>
    <b v="1"/>
    <x v="3"/>
    <x v="3"/>
    <d v="2025-09-12T00:00:00"/>
    <m/>
    <m/>
    <x v="1"/>
    <n v="70"/>
    <s v="Roselle Delos Angeles"/>
    <m/>
  </r>
  <r>
    <x v="368"/>
    <x v="0"/>
    <x v="2"/>
    <s v="CLFF_VMCA$$$MY10C05000 AM Selling"/>
    <s v="P000000534"/>
    <s v="P000000534"/>
    <s v="LFF (MDG-F)"/>
    <s v="MY10C05000"/>
    <m/>
    <b v="1"/>
    <x v="3"/>
    <x v="3"/>
    <d v="2025-09-12T00:00:00"/>
    <m/>
    <m/>
    <x v="1"/>
    <n v="70"/>
    <s v="Roselle Delos Angeles"/>
    <m/>
  </r>
  <r>
    <x v="368"/>
    <x v="0"/>
    <x v="2"/>
    <s v="CLFF_1000$$$TW02C00311 Sales PM-A"/>
    <s v="P000000954"/>
    <s v="P000000954"/>
    <s v="LFF (MDG-F)"/>
    <s v="TW02C00311"/>
    <m/>
    <b v="1"/>
    <x v="3"/>
    <x v="3"/>
    <d v="2025-09-12T00:00:00"/>
    <m/>
    <m/>
    <x v="1"/>
    <n v="70"/>
    <s v="Roselle Delos Angeles"/>
    <m/>
  </r>
  <r>
    <x v="369"/>
    <x v="0"/>
    <x v="2"/>
    <s v="CLFF_1000$$$CN60TANA01"/>
    <s v="H000000572"/>
    <s v="H000000572"/>
    <s v="LFF (MDG-F)"/>
    <s v="CN60TANA01"/>
    <m/>
    <b v="1"/>
    <x v="1"/>
    <x v="3"/>
    <d v="2025-09-15T00:00:00"/>
    <m/>
    <m/>
    <x v="1"/>
    <n v="69"/>
    <s v="Yanhua Sha"/>
    <m/>
  </r>
  <r>
    <x v="370"/>
    <x v="0"/>
    <x v="2"/>
    <s v="PNEXT_CPRJ-98202500093"/>
    <s v="L000011470"/>
    <s v="L000011470"/>
    <s v="Non-LFF"/>
    <s v=""/>
    <s v="CPRJ-9820250005 PFIZER SG6"/>
    <b v="1"/>
    <x v="2"/>
    <x v="3"/>
    <d v="2025-09-16T00:00:00"/>
    <m/>
    <m/>
    <x v="1"/>
    <n v="68"/>
    <s v="Ruby Grace Garcia"/>
    <m/>
  </r>
  <r>
    <x v="370"/>
    <x v="0"/>
    <x v="2"/>
    <s v="PNEXT_CON_00012896TTO"/>
    <s v="L000011470"/>
    <s v="L000011470"/>
    <s v="Non-LFF"/>
    <s v=""/>
    <s v="CPRJ-9820250006 AMGEN P65"/>
    <b v="1"/>
    <x v="2"/>
    <x v="3"/>
    <d v="2025-09-16T00:00:00"/>
    <m/>
    <m/>
    <x v="1"/>
    <n v="68"/>
    <s v="Ruby Grace Garcia"/>
    <m/>
  </r>
  <r>
    <x v="370"/>
    <x v="0"/>
    <x v="2"/>
    <s v="CNOW_7210$$$P139595865"/>
    <s v="L000012522"/>
    <s v="L000012522"/>
    <s v="Non-LFF"/>
    <s v=""/>
    <m/>
    <b v="1"/>
    <x v="2"/>
    <x v="3"/>
    <d v="2025-09-16T00:00:00"/>
    <m/>
    <m/>
    <x v="1"/>
    <n v="68"/>
    <s v="Ruby Grace Garcia"/>
    <m/>
  </r>
  <r>
    <x v="370"/>
    <x v="0"/>
    <x v="2"/>
    <s v="CFLTFLE_22450000002765"/>
    <s v="L000011444"/>
    <s v="L000011444"/>
    <s v="Non-LFF"/>
    <s v=""/>
    <m/>
    <b v="1"/>
    <x v="2"/>
    <x v="3"/>
    <d v="2025-09-16T00:00:00"/>
    <m/>
    <m/>
    <x v="1"/>
    <n v="68"/>
    <s v="Ruby Grace Garcia"/>
    <m/>
  </r>
  <r>
    <x v="370"/>
    <x v="0"/>
    <x v="2"/>
    <s v="PQUATRO_T000346DE0412000"/>
    <s v="L000006425"/>
    <s v="L000006425"/>
    <s v="Non-LFF"/>
    <s v=""/>
    <s v="T00034600000"/>
    <b v="1"/>
    <x v="2"/>
    <x v="3"/>
    <d v="2025-09-16T00:00:00"/>
    <m/>
    <m/>
    <x v="1"/>
    <n v="68"/>
    <s v="Ruby Grace Garcia"/>
    <m/>
  </r>
  <r>
    <x v="370"/>
    <x v="0"/>
    <x v="2"/>
    <s v="CORAERP_MMOR1975.6981"/>
    <s v="L000013823"/>
    <s v="L000013823"/>
    <s v="Non-LFF"/>
    <s v=""/>
    <m/>
    <b v="1"/>
    <x v="2"/>
    <x v="3"/>
    <d v="2025-09-16T00:00:00"/>
    <m/>
    <m/>
    <x v="1"/>
    <n v="68"/>
    <s v="Ruby Grace Garcia"/>
    <m/>
  </r>
  <r>
    <x v="371"/>
    <x v="0"/>
    <x v="2"/>
    <s v="PLEAN_X310174NL5130208 BAV FRA M&amp;S OTH Bavencio Maintenance"/>
    <s v="H000001095"/>
    <s v="H000001095"/>
    <s v="Non-LFF"/>
    <s v=""/>
    <s v="I am unable to map these for some reason"/>
    <b v="1"/>
    <x v="1"/>
    <x v="3"/>
    <d v="2025-09-17T00:00:00"/>
    <m/>
    <m/>
    <x v="1"/>
    <n v="67"/>
    <s v="Henry Ifurung Jr."/>
    <m/>
  </r>
  <r>
    <x v="371"/>
    <x v="0"/>
    <x v="2"/>
    <s v="PLEAN_X310504NL5130201 REB FRA M&amp;S OTH Annual Registration Fees"/>
    <s v="H000001095"/>
    <s v="H000001095"/>
    <s v="Non-LFF"/>
    <s v=""/>
    <s v="I am unable to map these for some reason"/>
    <b v="1"/>
    <x v="1"/>
    <x v="3"/>
    <d v="2025-09-17T00:00:00"/>
    <m/>
    <m/>
    <x v="1"/>
    <n v="67"/>
    <s v="Henry Ifurung Jr."/>
    <m/>
  </r>
  <r>
    <x v="371"/>
    <x v="0"/>
    <x v="2"/>
    <s v="PLEAN_X310514NL5130207 MAV FRA M&amp;S OTH Mavenclad Maintenance"/>
    <s v="H000001095"/>
    <s v="H000001095"/>
    <s v="Non-LFF"/>
    <s v=""/>
    <s v="I am unable to map these for some reason"/>
    <b v="1"/>
    <x v="1"/>
    <x v="3"/>
    <d v="2025-09-17T00:00:00"/>
    <m/>
    <m/>
    <x v="1"/>
    <n v="67"/>
    <s v="Henry Ifurung Jr."/>
    <m/>
  </r>
  <r>
    <x v="371"/>
    <x v="0"/>
    <x v="2"/>
    <s v="ILEAN_006010000769 CH65IC1954AO3610405000"/>
    <s v="H000001095"/>
    <s v="H000001095"/>
    <s v="Non-LFF"/>
    <s v=""/>
    <s v="I am unable to map these for some reason"/>
    <b v="1"/>
    <x v="1"/>
    <x v="3"/>
    <d v="2025-09-17T00:00:00"/>
    <m/>
    <m/>
    <x v="1"/>
    <n v="67"/>
    <s v="Henry Ifurung Jr."/>
    <m/>
  </r>
  <r>
    <x v="371"/>
    <x v="0"/>
    <x v="2"/>
    <s v="ILEAN_006010001160 CH65IC1277AO3610405000"/>
    <s v="H000001095"/>
    <s v="H000001095"/>
    <s v="Non-LFF"/>
    <s v=""/>
    <s v="I am unable to map these for some reason"/>
    <b v="1"/>
    <x v="1"/>
    <x v="3"/>
    <d v="2025-09-17T00:00:00"/>
    <m/>
    <m/>
    <x v="1"/>
    <n v="67"/>
    <s v="Henry Ifurung Jr."/>
    <m/>
  </r>
  <r>
    <x v="371"/>
    <x v="0"/>
    <x v="2"/>
    <s v="ILEAN_001050000802 CH60IC_1685_3121050000_FB2_variousBF"/>
    <s v="H000000004"/>
    <s v="H000000004"/>
    <s v="Non-LFF"/>
    <s v=""/>
    <s v="I am unable to map these for some reason"/>
    <b v="1"/>
    <x v="1"/>
    <x v="3"/>
    <d v="2025-09-17T00:00:00"/>
    <m/>
    <m/>
    <x v="1"/>
    <n v="67"/>
    <s v="Henry Ifurung Jr."/>
    <m/>
  </r>
  <r>
    <x v="371"/>
    <x v="0"/>
    <x v="2"/>
    <s v="ILEAN_006010000765 CH65IC1261OX3610607800"/>
    <s v="H000000004"/>
    <s v="H000000004"/>
    <s v="Non-LFF"/>
    <s v=""/>
    <s v="I am unable to map these for some reason"/>
    <b v="1"/>
    <x v="1"/>
    <x v="3"/>
    <d v="2025-09-17T00:00:00"/>
    <m/>
    <m/>
    <x v="1"/>
    <n v="67"/>
    <s v="Henry Ifurung Jr."/>
    <m/>
  </r>
  <r>
    <x v="371"/>
    <x v="0"/>
    <x v="2"/>
    <s v="ILEAN_006010000766 CH65IC1401OX3610607800"/>
    <s v="H000000004"/>
    <s v="H000000004"/>
    <s v="Non-LFF"/>
    <s v=""/>
    <s v="I am unable to map these for some reason"/>
    <b v="1"/>
    <x v="1"/>
    <x v="3"/>
    <d v="2025-09-17T00:00:00"/>
    <m/>
    <m/>
    <x v="1"/>
    <n v="67"/>
    <s v="Henry Ifurung Jr."/>
    <m/>
  </r>
  <r>
    <x v="371"/>
    <x v="0"/>
    <x v="2"/>
    <s v="ILEAN_006010000768 CH65IC1881OX3610607800"/>
    <s v="H000000004"/>
    <s v="H000000004"/>
    <s v="Non-LFF"/>
    <s v=""/>
    <s v="I am unable to map these for some reason"/>
    <b v="1"/>
    <x v="1"/>
    <x v="3"/>
    <d v="2025-09-17T00:00:00"/>
    <m/>
    <m/>
    <x v="1"/>
    <n v="67"/>
    <s v="Henry Ifurung Jr."/>
    <m/>
  </r>
  <r>
    <x v="371"/>
    <x v="0"/>
    <x v="2"/>
    <s v="ITEMPLA_001520000288 CO10 - I/O for 99  Recovery Depreciation"/>
    <s v="H000000004"/>
    <s v="H000000004"/>
    <s v="Non-LFF"/>
    <s v=""/>
    <s v="I am unable to map these for some reason"/>
    <b v="1"/>
    <x v="1"/>
    <x v="3"/>
    <d v="2025-09-17T00:00:00"/>
    <m/>
    <m/>
    <x v="1"/>
    <n v="67"/>
    <s v="Henry Ifurung Jr."/>
    <m/>
  </r>
  <r>
    <x v="371"/>
    <x v="0"/>
    <x v="2"/>
    <s v="CLFF_1000$$$CH50L95005"/>
    <s v="H000001095"/>
    <s v="H000001095"/>
    <s v="LFF (MDG-F)"/>
    <s v="CH50L95005"/>
    <s v="Someone is locking MDGF currently"/>
    <b v="1"/>
    <x v="1"/>
    <x v="3"/>
    <d v="2025-09-17T00:00:00"/>
    <m/>
    <m/>
    <x v="1"/>
    <n v="67"/>
    <s v="Henry Ifurung Jr."/>
    <m/>
  </r>
  <r>
    <x v="371"/>
    <x v="0"/>
    <x v="2"/>
    <s v="CLFF_1000$$$CH50L95009"/>
    <s v="H000001095"/>
    <s v="H000001095"/>
    <s v="LFF (MDG-F)"/>
    <s v="CH50L95009"/>
    <s v="Someone is locking MDGF currently"/>
    <b v="1"/>
    <x v="1"/>
    <x v="3"/>
    <d v="2025-09-17T00:00:00"/>
    <m/>
    <m/>
    <x v="1"/>
    <n v="67"/>
    <s v="Henry Ifurung Jr."/>
    <m/>
  </r>
  <r>
    <x v="371"/>
    <x v="0"/>
    <x v="2"/>
    <s v="ILEAN_006010001440 CH50IC1401OX3610607800"/>
    <s v="H000001095"/>
    <s v="H000001095"/>
    <s v="Non-LFF"/>
    <s v=""/>
    <s v="I am unable to map these for some reason"/>
    <b v="1"/>
    <x v="1"/>
    <x v="3"/>
    <d v="2025-09-17T00:00:00"/>
    <m/>
    <m/>
    <x v="1"/>
    <n v="67"/>
    <s v="Henry Ifurung Jr."/>
    <m/>
  </r>
  <r>
    <x v="371"/>
    <x v="0"/>
    <x v="2"/>
    <s v="CLFF_1000$$$DE50OF0124"/>
    <s v="H000001095"/>
    <s v="H000001095"/>
    <s v="LFF (MDG-F)"/>
    <s v="DE50OF0124"/>
    <s v="Someone is locking MDGF currently"/>
    <b v="1"/>
    <x v="1"/>
    <x v="3"/>
    <d v="2025-09-17T00:00:00"/>
    <m/>
    <m/>
    <x v="1"/>
    <n v="67"/>
    <s v="Henry Ifurung Jr."/>
    <m/>
  </r>
  <r>
    <x v="371"/>
    <x v="0"/>
    <x v="2"/>
    <s v="ITEMPEU_001500002380 Capital losses tangilble"/>
    <s v="H000000004"/>
    <s v="H000000004"/>
    <s v="Non-LFF"/>
    <s v=""/>
    <s v="I am unable to map these for some reason"/>
    <b v="1"/>
    <x v="1"/>
    <x v="3"/>
    <d v="2025-09-17T00:00:00"/>
    <m/>
    <m/>
    <x v="1"/>
    <n v="67"/>
    <s v="Henry Ifurung Jr."/>
    <m/>
  </r>
  <r>
    <x v="371"/>
    <x v="0"/>
    <x v="2"/>
    <s v="ITEMPLA_001520000132 MX10 Asset retirement losses"/>
    <s v="H000000004"/>
    <s v="H000000004"/>
    <s v="Non-LFF"/>
    <s v=""/>
    <s v="I am unable to map these for some reason"/>
    <b v="1"/>
    <x v="1"/>
    <x v="3"/>
    <d v="2025-09-17T00:00:00"/>
    <m/>
    <m/>
    <x v="1"/>
    <n v="67"/>
    <s v="Henry Ifurung Jr."/>
    <m/>
  </r>
  <r>
    <x v="371"/>
    <x v="0"/>
    <x v="2"/>
    <s v="ITEMPLA_001520000111 Asset retirement Losses"/>
    <s v="H000000004"/>
    <s v="H000000004"/>
    <s v="Non-LFF"/>
    <s v=""/>
    <s v="I am unable to map these for some reason"/>
    <b v="1"/>
    <x v="1"/>
    <x v="3"/>
    <d v="2025-09-17T00:00:00"/>
    <m/>
    <m/>
    <x v="1"/>
    <n v="67"/>
    <s v="Henry Ifurung Jr."/>
    <m/>
  </r>
  <r>
    <x v="372"/>
    <x v="0"/>
    <x v="2"/>
    <s v="CLFF_1000$$$JP01C0M825"/>
    <s v="P000000742"/>
    <s v="P000000742"/>
    <s v="LFF (MDG-F)"/>
    <s v="JP01C0M825"/>
    <s v="Someone is locking MDGF currently"/>
    <b v="1"/>
    <x v="0"/>
    <x v="3"/>
    <d v="2025-09-17T00:00:00"/>
    <m/>
    <m/>
    <x v="1"/>
    <n v="67"/>
    <s v="Michelle Xu"/>
    <m/>
  </r>
  <r>
    <x v="372"/>
    <x v="0"/>
    <x v="2"/>
    <s v="CLFF_1000$$$JP01GBT305"/>
    <s v="G000000244"/>
    <s v="G000000244"/>
    <s v="LFF (MDG-F)"/>
    <s v="JP01GBT305"/>
    <s v="Someone is locking MDGF currently"/>
    <b v="1"/>
    <x v="0"/>
    <x v="3"/>
    <d v="2025-09-17T00:00:00"/>
    <m/>
    <m/>
    <x v="1"/>
    <n v="67"/>
    <s v="Michelle Xu"/>
    <m/>
  </r>
  <r>
    <x v="372"/>
    <x v="0"/>
    <x v="2"/>
    <s v="CLFF_1000$$$JP01GHR301"/>
    <s v="G000000198"/>
    <s v="G000000198"/>
    <s v="LFF (MDG-F)"/>
    <s v="JP01GHR301"/>
    <s v="Someone is locking MDGF currently"/>
    <b v="1"/>
    <x v="0"/>
    <x v="3"/>
    <d v="2025-09-17T00:00:00"/>
    <m/>
    <m/>
    <x v="1"/>
    <n v="67"/>
    <s v="Michelle Xu"/>
    <m/>
  </r>
  <r>
    <x v="373"/>
    <x v="0"/>
    <x v="2"/>
    <s v="CNOW_7210$$$0000010272 EL Digital Data &amp; Cyber ITOT 2098"/>
    <s v="P000001321"/>
    <s v="P000001321"/>
    <s v="Non-LFF"/>
    <s v=""/>
    <m/>
    <b v="1"/>
    <x v="3"/>
    <x v="3"/>
    <d v="2025-09-18T00:00:00"/>
    <m/>
    <m/>
    <x v="1"/>
    <n v="66"/>
    <s v="Roselle Delos Angeles"/>
    <m/>
  </r>
  <r>
    <x v="373"/>
    <x v="0"/>
    <x v="2"/>
    <s v="CLFF_1000$$$DE10O05003"/>
    <s v="P000001321"/>
    <s v="P000001321"/>
    <s v="LFF (MDG-F)"/>
    <s v="DE10O05003"/>
    <m/>
    <b v="1"/>
    <x v="3"/>
    <x v="3"/>
    <d v="2025-09-18T00:00:00"/>
    <m/>
    <m/>
    <x v="1"/>
    <n v="66"/>
    <s v="Roselle Delos Angeles"/>
    <m/>
  </r>
  <r>
    <x v="373"/>
    <x v="0"/>
    <x v="2"/>
    <s v="CNOW_7210$$$0000010272"/>
    <s v="P000001321"/>
    <s v="P000001321"/>
    <s v="Non-LFF"/>
    <s v=""/>
    <m/>
    <b v="1"/>
    <x v="3"/>
    <x v="3"/>
    <d v="2025-09-18T00:00:00"/>
    <m/>
    <m/>
    <x v="1"/>
    <n v="66"/>
    <s v="Roselle Delos Angeles"/>
    <m/>
  </r>
  <r>
    <x v="373"/>
    <x v="0"/>
    <x v="2"/>
    <s v="T00028600000"/>
    <s v="P000001321"/>
    <s v="P000001321"/>
    <s v="Non-LFF"/>
    <s v=""/>
    <m/>
    <b v="1"/>
    <x v="3"/>
    <x v="3"/>
    <d v="2025-09-18T00:00:00"/>
    <m/>
    <m/>
    <x v="1"/>
    <n v="66"/>
    <s v="Roselle Delos Angeles"/>
    <m/>
  </r>
  <r>
    <x v="373"/>
    <x v="0"/>
    <x v="2"/>
    <s v="CLFF_1000$$$CN01O05001"/>
    <s v="P000001323"/>
    <s v="P000001323"/>
    <s v="LFF (MDG-F)"/>
    <s v="CN01O05001"/>
    <s v="Unable to get mapped/ticket locked"/>
    <b v="1"/>
    <x v="3"/>
    <x v="3"/>
    <d v="2025-09-18T00:00:00"/>
    <m/>
    <m/>
    <x v="1"/>
    <n v="66"/>
    <s v="Roselle Delos Angeles"/>
    <m/>
  </r>
  <r>
    <x v="373"/>
    <x v="0"/>
    <x v="2"/>
    <s v="PFLTFLE_EMDPNMCP02"/>
    <s v="P000000677"/>
    <s v="P000000677"/>
    <s v="Non-LFF"/>
    <s v=""/>
    <m/>
    <b v="1"/>
    <x v="3"/>
    <x v="3"/>
    <d v="2025-09-18T00:00:00"/>
    <m/>
    <m/>
    <x v="1"/>
    <n v="66"/>
    <s v="Roselle Delos Angeles"/>
    <m/>
  </r>
  <r>
    <x v="373"/>
    <x v="0"/>
    <x v="2"/>
    <s v="PFLTFLE_EMDPLWFM01"/>
    <s v="P000001161"/>
    <s v="P000001161"/>
    <s v="Non-LFF"/>
    <s v=""/>
    <m/>
    <b v="1"/>
    <x v="3"/>
    <x v="3"/>
    <d v="2025-09-18T00:00:00"/>
    <m/>
    <m/>
    <x v="1"/>
    <n v="66"/>
    <s v="Roselle Delos Angeles"/>
    <m/>
  </r>
  <r>
    <x v="373"/>
    <x v="0"/>
    <x v="2"/>
    <s v="D00124500000000"/>
    <s v="P000000676"/>
    <s v="P000000676"/>
    <s v="Non-LFF"/>
    <s v=""/>
    <s v="PQUATRO_D001245DE0401000000"/>
    <b v="1"/>
    <x v="3"/>
    <x v="3"/>
    <d v="2025-09-18T00:00:00"/>
    <m/>
    <m/>
    <x v="1"/>
    <n v="66"/>
    <s v="Roselle Delos Angeles"/>
    <m/>
  </r>
  <r>
    <x v="373"/>
    <x v="0"/>
    <x v="2"/>
    <s v="D00125100000000"/>
    <s v="P000000678"/>
    <s v="P000000678"/>
    <s v="Non-LFF"/>
    <s v=""/>
    <s v="PQUATRO_D001251DE0401000000"/>
    <b v="1"/>
    <x v="3"/>
    <x v="3"/>
    <d v="2025-09-18T00:00:00"/>
    <m/>
    <m/>
    <x v="1"/>
    <n v="66"/>
    <s v="Roselle Delos Angeles"/>
    <m/>
  </r>
  <r>
    <x v="373"/>
    <x v="0"/>
    <x v="2"/>
    <s v="D00125300000000"/>
    <s v="P000000679"/>
    <s v="P000000679"/>
    <s v="Non-LFF"/>
    <s v=""/>
    <s v="PQUATRO_D001253DE0401000000"/>
    <b v="1"/>
    <x v="3"/>
    <x v="3"/>
    <d v="2025-09-18T00:00:00"/>
    <m/>
    <m/>
    <x v="1"/>
    <n v="66"/>
    <s v="Roselle Delos Angeles"/>
    <m/>
  </r>
  <r>
    <x v="373"/>
    <x v="0"/>
    <x v="2"/>
    <s v="CFLTFLE_11030000000310"/>
    <s v="P000000673"/>
    <s v="P000000673"/>
    <s v="Non-LFF"/>
    <s v=""/>
    <m/>
    <b v="1"/>
    <x v="3"/>
    <x v="3"/>
    <d v="2025-09-18T00:00:00"/>
    <m/>
    <m/>
    <x v="1"/>
    <n v="66"/>
    <s v="Roselle Delos Angeles"/>
    <m/>
  </r>
  <r>
    <x v="373"/>
    <x v="0"/>
    <x v="2"/>
    <s v="CFLTFLE_11030000000320"/>
    <s v="P000000673"/>
    <s v="P000000673"/>
    <s v="Non-LFF"/>
    <s v=""/>
    <m/>
    <b v="1"/>
    <x v="3"/>
    <x v="3"/>
    <d v="2025-09-18T00:00:00"/>
    <m/>
    <m/>
    <x v="1"/>
    <n v="66"/>
    <s v="Roselle Delos Angeles"/>
    <m/>
  </r>
  <r>
    <x v="374"/>
    <x v="0"/>
    <x v="2"/>
    <s v="CLFF_1000$$$DE10Z01000 Automatic account assignm"/>
    <s v="G000000242"/>
    <s v="G000000242"/>
    <s v="LFF (MDG-F)"/>
    <s v="DE10Z01000"/>
    <m/>
    <b v="1"/>
    <x v="3"/>
    <x v="3"/>
    <d v="2025-09-19T00:00:00"/>
    <m/>
    <m/>
    <x v="1"/>
    <n v="65"/>
    <s v="Roselle Delos Angeles"/>
    <m/>
  </r>
  <r>
    <x v="374"/>
    <x v="0"/>
    <x v="2"/>
    <s v="CLFF_1000$$$CN90Z01000 Finance technical cost center"/>
    <s v="G000000759"/>
    <s v="G000000759"/>
    <s v="LFF (MDG-F)"/>
    <s v="CN90Z01000"/>
    <m/>
    <b v="1"/>
    <x v="3"/>
    <x v="3"/>
    <d v="2025-09-19T00:00:00"/>
    <m/>
    <m/>
    <x v="1"/>
    <n v="65"/>
    <s v="Roselle Delos Angeles"/>
    <m/>
  </r>
  <r>
    <x v="374"/>
    <x v="0"/>
    <x v="2"/>
    <s v="CLFF_1000$$$ES50Z01000 Automatic account assignment via OKB9"/>
    <s v="H000000887"/>
    <s v="H000000887"/>
    <s v="LFF (MDG-F)"/>
    <s v="ES50Z01000"/>
    <m/>
    <b v="1"/>
    <x v="3"/>
    <x v="3"/>
    <d v="2025-09-19T00:00:00"/>
    <m/>
    <m/>
    <x v="1"/>
    <n v="65"/>
    <s v="Roselle Delos Angeles"/>
    <m/>
  </r>
  <r>
    <x v="374"/>
    <x v="0"/>
    <x v="2"/>
    <s v="CLFF_1000$$$CN03Z01000 OKB9 Cost Center and accounting CC"/>
    <s v="O000000006"/>
    <s v="O000000006"/>
    <s v="LFF (MDG-F)"/>
    <s v="CN03Z01000"/>
    <m/>
    <b v="1"/>
    <x v="3"/>
    <x v="3"/>
    <d v="2025-09-19T00:00:00"/>
    <m/>
    <m/>
    <x v="1"/>
    <n v="65"/>
    <s v="Roselle Delos Angeles"/>
    <m/>
  </r>
  <r>
    <x v="374"/>
    <x v="0"/>
    <x v="2"/>
    <s v="CLFF_1000$$$IN01Z01000 OKB9 Cost Center"/>
    <s v="O000000006"/>
    <s v="O000000006"/>
    <s v="LFF (MDG-F)"/>
    <s v="IN01Z01000"/>
    <m/>
    <b v="1"/>
    <x v="3"/>
    <x v="3"/>
    <d v="2025-09-19T00:00:00"/>
    <m/>
    <m/>
    <x v="1"/>
    <n v="65"/>
    <s v="Roselle Delos Angeles"/>
    <m/>
  </r>
  <r>
    <x v="374"/>
    <x v="0"/>
    <x v="2"/>
    <s v="CLFF_1000$$$SG09Z01000 OKB9 Cost Center"/>
    <s v="O000000006"/>
    <s v="O000000006"/>
    <s v="LFF (MDG-F)"/>
    <s v="SG09Z01000"/>
    <m/>
    <b v="1"/>
    <x v="3"/>
    <x v="3"/>
    <d v="2025-09-19T00:00:00"/>
    <m/>
    <m/>
    <x v="1"/>
    <n v="65"/>
    <s v="Roselle Delos Angeles"/>
    <m/>
  </r>
  <r>
    <x v="374"/>
    <x v="0"/>
    <x v="2"/>
    <s v="CEMERAL_70007001581585"/>
    <s v="P000000665"/>
    <s v="P000000665"/>
    <s v="Non-LFF"/>
    <s v=""/>
    <m/>
    <b v="1"/>
    <x v="3"/>
    <x v="3"/>
    <d v="2025-09-19T00:00:00"/>
    <m/>
    <m/>
    <x v="1"/>
    <n v="65"/>
    <s v="Roselle Delos Angeles"/>
    <m/>
  </r>
  <r>
    <x v="374"/>
    <x v="0"/>
    <x v="2"/>
    <s v="CLFF_1000$$$CN01Z01000 OKB9 Cost Center"/>
    <s v="P000001045"/>
    <s v="P000001045"/>
    <s v="LFF (MDG-F)"/>
    <s v="CN01Z01000"/>
    <m/>
    <b v="1"/>
    <x v="3"/>
    <x v="3"/>
    <d v="2025-09-19T00:00:00"/>
    <m/>
    <m/>
    <x v="1"/>
    <n v="65"/>
    <s v="Roselle Delos Angeles"/>
    <m/>
  </r>
  <r>
    <x v="374"/>
    <x v="0"/>
    <x v="2"/>
    <s v="CLFF_1000$$$DE04Z01000 Automatic account assignment via OKB9"/>
    <s v="P000001045"/>
    <s v="P000001045"/>
    <s v="LFF (MDG-F)"/>
    <s v="DE04Z01000"/>
    <m/>
    <b v="1"/>
    <x v="3"/>
    <x v="3"/>
    <d v="2025-09-19T00:00:00"/>
    <m/>
    <m/>
    <x v="1"/>
    <n v="65"/>
    <s v="Roselle Delos Angeles"/>
    <m/>
  </r>
  <r>
    <x v="374"/>
    <x v="0"/>
    <x v="2"/>
    <s v="CLFF_KR00$$$KR03Z01000 OKB9 Cost Center"/>
    <s v="P000001045"/>
    <s v="P000001045"/>
    <s v="LFF (MDG-F)"/>
    <s v="KR03Z01000"/>
    <s v="k300"/>
    <b v="1"/>
    <x v="3"/>
    <x v="3"/>
    <d v="2025-09-19T00:00:00"/>
    <m/>
    <m/>
    <x v="1"/>
    <n v="65"/>
    <s v="Roselle Delos Angeles"/>
    <m/>
  </r>
  <r>
    <x v="374"/>
    <x v="0"/>
    <x v="2"/>
    <s v="CLFF_1000$$$US01Z01000 OKB9 Cost Center"/>
    <s v="P000001045"/>
    <s v="P000001045"/>
    <s v="LFF (MDG-F)"/>
    <s v="US01Z01000"/>
    <m/>
    <b v="1"/>
    <x v="3"/>
    <x v="3"/>
    <d v="2025-09-19T00:00:00"/>
    <m/>
    <m/>
    <x v="1"/>
    <n v="65"/>
    <s v="Roselle Delos Angeles"/>
    <m/>
  </r>
  <r>
    <x v="374"/>
    <x v="0"/>
    <x v="2"/>
    <s v="CLFF_1000$$$TW02Z01000 OKB9 Cost Center"/>
    <s v="P000000427"/>
    <s v="P000000534"/>
    <s v="LFF (MDG-F)"/>
    <s v="TW02Z01000"/>
    <m/>
    <b v="0"/>
    <x v="3"/>
    <x v="3"/>
    <d v="2025-09-19T00:00:00"/>
    <m/>
    <m/>
    <x v="1"/>
    <n v="65"/>
    <s v="Roselle Delos Angeles"/>
    <m/>
  </r>
  <r>
    <x v="375"/>
    <x v="0"/>
    <x v="2"/>
    <s v="CORAERP_MMOR1975.3541 "/>
    <s v="L000006987"/>
    <s v="L000006987"/>
    <s v="Non-LFF"/>
    <s v=""/>
    <m/>
    <b v="1"/>
    <x v="2"/>
    <x v="3"/>
    <d v="2025-09-24T00:00:00"/>
    <m/>
    <m/>
    <x v="1"/>
    <n v="62"/>
    <s v="Ruby Grace Garcia"/>
    <m/>
  </r>
  <r>
    <x v="376"/>
    <x v="0"/>
    <x v="2"/>
    <s v="D30013500000000"/>
    <s v="L000006623"/>
    <s v="L000006623"/>
    <s v="Non-LFF"/>
    <s v=""/>
    <m/>
    <b v="1"/>
    <x v="2"/>
    <x v="3"/>
    <d v="2025-09-24T00:00:00"/>
    <m/>
    <m/>
    <x v="1"/>
    <n v="62"/>
    <s v="Ruby Grace Garcia"/>
    <m/>
  </r>
  <r>
    <x v="377"/>
    <x v="0"/>
    <x v="2"/>
    <s v="CEMERAL_70007001011GPA GPA Function Singapore"/>
    <s v="H000004404"/>
    <s v="H000004404"/>
    <s v="Non-LFF"/>
    <s v=""/>
    <m/>
    <b v="1"/>
    <x v="1"/>
    <x v="3"/>
    <d v="2025-09-24T00:00:00"/>
    <m/>
    <m/>
    <x v="1"/>
    <n v="62"/>
    <s v="Henry Ifurung Jr."/>
    <m/>
  </r>
  <r>
    <x v="377"/>
    <x v="0"/>
    <x v="2"/>
    <s v="CLFF_1000$$$BE50C00901 Global Policy &amp; External Affairs"/>
    <s v="H000004404"/>
    <s v="H000004404"/>
    <s v="LFF (MDG-F)"/>
    <s v="BE50C00901"/>
    <m/>
    <b v="1"/>
    <x v="1"/>
    <x v="3"/>
    <d v="2025-09-24T00:00:00"/>
    <m/>
    <m/>
    <x v="1"/>
    <n v="62"/>
    <s v="Henry Ifurung Jr."/>
    <m/>
  </r>
  <r>
    <x v="377"/>
    <x v="0"/>
    <x v="2"/>
    <s v="CLFF_1000$$$BE50C00912 Global GPA EU External Investments"/>
    <s v="H000004406"/>
    <s v="H000004406"/>
    <s v="LFF (MDG-F)"/>
    <s v="BE50C00912"/>
    <m/>
    <b v="1"/>
    <x v="1"/>
    <x v="3"/>
    <d v="2025-09-24T00:00:00"/>
    <m/>
    <m/>
    <x v="1"/>
    <n v="62"/>
    <s v="Henry Ifurung Jr."/>
    <m/>
  </r>
  <r>
    <x v="377"/>
    <x v="0"/>
    <x v="2"/>
    <s v="CLFF_1000$$$BE50C00921 Patient Insights &amp; Advocacy, EU Oncology"/>
    <s v="H000004404"/>
    <s v="H000004404"/>
    <s v="LFF (MDG-F)"/>
    <s v="BE50C00921"/>
    <m/>
    <b v="1"/>
    <x v="1"/>
    <x v="3"/>
    <d v="2025-09-24T00:00:00"/>
    <m/>
    <m/>
    <x v="1"/>
    <n v="62"/>
    <s v="Henry Ifurung Jr."/>
    <m/>
  </r>
  <r>
    <x v="377"/>
    <x v="0"/>
    <x v="2"/>
    <s v="CLFF_1000$$$CN50GCA002 CA-Healthcare"/>
    <s v="H000004404"/>
    <s v="H000004404"/>
    <s v="LFF (MDG-F)"/>
    <s v="CN50GCA002"/>
    <m/>
    <b v="1"/>
    <x v="1"/>
    <x v="3"/>
    <d v="2025-09-24T00:00:00"/>
    <m/>
    <m/>
    <x v="1"/>
    <n v="62"/>
    <s v="Henry Ifurung Jr."/>
    <m/>
  </r>
  <r>
    <x v="377"/>
    <x v="0"/>
    <x v="2"/>
    <s v="CLFF_1000$$$CN50GCA004 Global GPA CM&amp;E"/>
    <s v="H000004406"/>
    <s v="H000004406"/>
    <s v="LFF (MDG-F)"/>
    <s v="CN50GCA004"/>
    <m/>
    <b v="1"/>
    <x v="1"/>
    <x v="3"/>
    <d v="2025-09-24T00:00:00"/>
    <m/>
    <m/>
    <x v="1"/>
    <n v="62"/>
    <s v="Henry Ifurung Jr."/>
    <m/>
  </r>
  <r>
    <x v="377"/>
    <x v="0"/>
    <x v="2"/>
    <s v="CLFF_1000$$$CN50GCA005 Global GPA Fertility"/>
    <s v="H000004406"/>
    <s v="H000004406"/>
    <s v="LFF (MDG-F)"/>
    <s v="CN50GCA005"/>
    <m/>
    <b v="1"/>
    <x v="1"/>
    <x v="3"/>
    <d v="2025-09-24T00:00:00"/>
    <m/>
    <m/>
    <x v="1"/>
    <n v="62"/>
    <s v="Henry Ifurung Jr."/>
    <m/>
  </r>
  <r>
    <x v="377"/>
    <x v="0"/>
    <x v="2"/>
    <s v="CLFF_1000$$$CN50GCA012 CA-Global Patient Advocacy team"/>
    <s v="H000004406"/>
    <s v="H000004406"/>
    <s v="LFF (MDG-F)"/>
    <s v="CN50GCA012"/>
    <m/>
    <b v="1"/>
    <x v="1"/>
    <x v="3"/>
    <d v="2025-09-24T00:00:00"/>
    <m/>
    <m/>
    <x v="1"/>
    <n v="62"/>
    <s v="Henry Ifurung Jr."/>
    <m/>
  </r>
  <r>
    <x v="377"/>
    <x v="0"/>
    <x v="2"/>
    <s v="CLFF_1000$$$CN90GCA002 CA-Healthcare"/>
    <s v="H000004404"/>
    <s v="H000004404"/>
    <s v="LFF (MDG-F)"/>
    <s v="CN90GCA002"/>
    <m/>
    <b v="1"/>
    <x v="1"/>
    <x v="3"/>
    <d v="2025-09-24T00:00:00"/>
    <m/>
    <m/>
    <x v="1"/>
    <n v="62"/>
    <s v="Henry Ifurung Jr."/>
    <m/>
  </r>
  <r>
    <x v="377"/>
    <x v="0"/>
    <x v="2"/>
    <s v="CLFF_1000$$$CN90GCA004 CA-PM"/>
    <s v="H000004406"/>
    <s v="H000004406"/>
    <s v="LFF (MDG-F)"/>
    <s v="CN90GCA004"/>
    <m/>
    <b v="1"/>
    <x v="1"/>
    <x v="3"/>
    <d v="2025-09-24T00:00:00"/>
    <m/>
    <m/>
    <x v="1"/>
    <n v="62"/>
    <s v="Henry Ifurung Jr."/>
    <m/>
  </r>
  <r>
    <x v="377"/>
    <x v="0"/>
    <x v="2"/>
    <s v="CLFF_1000$$$CN90GCA005 Global GPA Fertility 1100"/>
    <s v="H000004406"/>
    <s v="H000004406"/>
    <s v="LFF (MDG-F)"/>
    <s v="CN90GCA005"/>
    <m/>
    <b v="1"/>
    <x v="1"/>
    <x v="3"/>
    <d v="2025-09-24T00:00:00"/>
    <m/>
    <m/>
    <x v="1"/>
    <n v="62"/>
    <s v="Henry Ifurung Jr."/>
    <m/>
  </r>
  <r>
    <x v="377"/>
    <x v="0"/>
    <x v="2"/>
    <s v="CLFF_1000$$$CN90GCA012 CA-Global Patient Advocacy team"/>
    <s v="H000004406"/>
    <s v="H000004406"/>
    <s v="LFF (MDG-F)"/>
    <s v="CN90GCA012"/>
    <m/>
    <b v="1"/>
    <x v="1"/>
    <x v="3"/>
    <d v="2025-09-24T00:00:00"/>
    <m/>
    <m/>
    <x v="1"/>
    <n v="62"/>
    <s v="Henry Ifurung Jr."/>
    <m/>
  </r>
  <r>
    <x v="377"/>
    <x v="0"/>
    <x v="2"/>
    <s v="CLFF_1000$$$CN90GCA022 CA-global Innovative medicines"/>
    <s v="H000004406"/>
    <s v="H000004406"/>
    <s v="LFF (MDG-F)"/>
    <s v="CN90GCA022"/>
    <m/>
    <b v="1"/>
    <x v="1"/>
    <x v="3"/>
    <d v="2025-09-24T00:00:00"/>
    <m/>
    <m/>
    <x v="1"/>
    <n v="62"/>
    <s v="Henry Ifurung Jr."/>
    <m/>
  </r>
  <r>
    <x v="377"/>
    <x v="0"/>
    <x v="2"/>
    <s v="CLFF_1000$$$CN90GCA032 CA-global core medicines"/>
    <s v="H000004406"/>
    <s v="H000004406"/>
    <s v="LFF (MDG-F)"/>
    <s v="CN90GCA032"/>
    <m/>
    <b v="1"/>
    <x v="1"/>
    <x v="3"/>
    <d v="2025-09-24T00:00:00"/>
    <m/>
    <m/>
    <x v="1"/>
    <n v="62"/>
    <s v="Henry Ifurung Jr."/>
    <m/>
  </r>
  <r>
    <x v="377"/>
    <x v="0"/>
    <x v="2"/>
    <s v="CLFF_1000$$$DE10694000 CA Healthcare"/>
    <s v="H000004404"/>
    <s v="H000004404"/>
    <s v="LFF (MDG-F)"/>
    <s v="DE10694000"/>
    <m/>
    <b v="1"/>
    <x v="1"/>
    <x v="3"/>
    <d v="2025-09-24T00:00:00"/>
    <m/>
    <m/>
    <x v="1"/>
    <n v="62"/>
    <s v="Henry Ifurung Jr."/>
    <m/>
  </r>
  <r>
    <x v="377"/>
    <x v="0"/>
    <x v="2"/>
    <s v="CLFF_1000$$$DE50C00011 Membership fees"/>
    <s v="H000004404"/>
    <s v="H000004404"/>
    <s v="LFF (MDG-F)"/>
    <s v="DE50C00011"/>
    <m/>
    <b v="1"/>
    <x v="1"/>
    <x v="3"/>
    <d v="2025-09-24T00:00:00"/>
    <m/>
    <m/>
    <x v="1"/>
    <n v="62"/>
    <s v="Henry Ifurung Jr."/>
    <m/>
  </r>
  <r>
    <x v="377"/>
    <x v="0"/>
    <x v="2"/>
    <s v="CLFF_1000$$$DE50C06595 Memberships"/>
    <s v="H000004404"/>
    <s v="H000004404"/>
    <s v="LFF (MDG-F)"/>
    <s v="DE50C06595"/>
    <m/>
    <b v="1"/>
    <x v="1"/>
    <x v="3"/>
    <d v="2025-09-24T00:00:00"/>
    <m/>
    <m/>
    <x v="1"/>
    <n v="62"/>
    <s v="Henry Ifurung Jr."/>
    <m/>
  </r>
  <r>
    <x v="377"/>
    <x v="0"/>
    <x v="2"/>
    <s v="CLFF_1000$$$DE50C06886 Business Operations"/>
    <s v="H000004404"/>
    <s v="H000004404"/>
    <s v="LFF (MDG-F)"/>
    <s v="DE50C06886"/>
    <m/>
    <b v="1"/>
    <x v="1"/>
    <x v="3"/>
    <d v="2025-09-24T00:00:00"/>
    <m/>
    <m/>
    <x v="1"/>
    <n v="62"/>
    <s v="Henry Ifurung Jr."/>
    <m/>
  </r>
  <r>
    <x v="377"/>
    <x v="0"/>
    <x v="2"/>
    <s v="CLFF_1000$$$ES50L40182 Klinnert Isabel(1100)"/>
    <s v="H000004404"/>
    <s v="H000004404"/>
    <s v="LFF (MDG-F)"/>
    <s v="ES50L40182"/>
    <m/>
    <b v="1"/>
    <x v="1"/>
    <x v="3"/>
    <d v="2025-09-24T00:00:00"/>
    <m/>
    <m/>
    <x v="1"/>
    <n v="62"/>
    <s v="Henry Ifurung Jr."/>
    <m/>
  </r>
  <r>
    <x v="377"/>
    <x v="0"/>
    <x v="2"/>
    <s v="CLFF_1000$$$VN50C00024 Global External Investment-Fertility"/>
    <s v="H000004406"/>
    <s v="H000004406"/>
    <s v="LFF (MDG-F)"/>
    <s v="VN50C00024"/>
    <m/>
    <b v="1"/>
    <x v="1"/>
    <x v="3"/>
    <d v="2025-09-24T00:00:00"/>
    <m/>
    <m/>
    <x v="1"/>
    <n v="62"/>
    <s v="Henry Ifurung Jr."/>
    <m/>
  </r>
  <r>
    <x v="377"/>
    <x v="0"/>
    <x v="2"/>
    <s v="CPHOENX_01010000536110 MS - Membership fees"/>
    <s v="H000004406"/>
    <s v="H000004406"/>
    <s v="Non-LFF"/>
    <s v=""/>
    <m/>
    <b v="1"/>
    <x v="1"/>
    <x v="3"/>
    <d v="2025-09-24T00:00:00"/>
    <m/>
    <m/>
    <x v="1"/>
    <n v="62"/>
    <s v="Henry Ifurung Jr."/>
    <m/>
  </r>
  <r>
    <x v="377"/>
    <x v="0"/>
    <x v="2"/>
    <s v="CPHOENX_01010000659500 Merck Serono - Memberships"/>
    <s v="H000004406"/>
    <s v="H000004406"/>
    <s v="Non-LFF"/>
    <s v=""/>
    <m/>
    <b v="1"/>
    <x v="1"/>
    <x v="3"/>
    <d v="2025-09-24T00:00:00"/>
    <m/>
    <m/>
    <x v="1"/>
    <n v="62"/>
    <s v="Henry Ifurung Jr."/>
    <m/>
  </r>
  <r>
    <x v="377"/>
    <x v="0"/>
    <x v="2"/>
    <s v="CPHOENX_01010000694000 XXXNEO-CA Healthcare"/>
    <s v="H000004406"/>
    <s v="H000004406"/>
    <s v="Non-LFF"/>
    <s v=""/>
    <m/>
    <b v="1"/>
    <x v="1"/>
    <x v="3"/>
    <d v="2025-09-24T00:00:00"/>
    <m/>
    <m/>
    <x v="1"/>
    <n v="62"/>
    <s v="Henry Ifurung Jr."/>
    <m/>
  </r>
  <r>
    <x v="377"/>
    <x v="0"/>
    <x v="2"/>
    <s v="CTEMPEU_1000FR40399015 GPA France"/>
    <s v="H000004404"/>
    <s v="H000004404"/>
    <s v="Non-LFF"/>
    <s v=""/>
    <m/>
    <b v="1"/>
    <x v="1"/>
    <x v="3"/>
    <d v="2025-09-24T00:00:00"/>
    <m/>
    <m/>
    <x v="1"/>
    <n v="62"/>
    <s v="Henry Ifurung Jr."/>
    <m/>
  </r>
  <r>
    <x v="377"/>
    <x v="0"/>
    <x v="2"/>
    <s v="CTEMPEU_1000GB10005888 Internal Sales Services"/>
    <s v="H000004404"/>
    <s v="H000004404"/>
    <s v="Non-LFF"/>
    <s v=""/>
    <m/>
    <b v="1"/>
    <x v="1"/>
    <x v="3"/>
    <d v="2025-09-24T00:00:00"/>
    <m/>
    <m/>
    <x v="1"/>
    <n v="62"/>
    <s v="Henry Ifurung Jr."/>
    <m/>
  </r>
  <r>
    <x v="377"/>
    <x v="0"/>
    <x v="2"/>
    <s v="CTEMPNA_1000US20GAPEXT GA&amp;P - CMSO - External"/>
    <s v="H000004404"/>
    <s v="H000004404"/>
    <s v="Non-LFF"/>
    <s v=""/>
    <m/>
    <b v="1"/>
    <x v="1"/>
    <x v="3"/>
    <d v="2025-09-24T00:00:00"/>
    <m/>
    <m/>
    <x v="1"/>
    <n v="62"/>
    <s v="Henry Ifurung Jr."/>
    <m/>
  </r>
  <r>
    <x v="377"/>
    <x v="0"/>
    <x v="2"/>
    <s v="CTEMPNA_1000US20GPA001 GPA Head Office"/>
    <s v="H000004405"/>
    <s v="H000004405"/>
    <s v="Non-LFF"/>
    <s v=""/>
    <m/>
    <b v="1"/>
    <x v="1"/>
    <x v="3"/>
    <d v="2025-09-24T00:00:00"/>
    <m/>
    <m/>
    <x v="1"/>
    <n v="62"/>
    <s v="Henry Ifurung Jr."/>
    <m/>
  </r>
  <r>
    <x v="377"/>
    <x v="0"/>
    <x v="2"/>
    <s v="CTEMPNA_1000US20GPA002 GPA Oncology"/>
    <s v="H000004405"/>
    <s v="H000004405"/>
    <s v="Non-LFF"/>
    <s v=""/>
    <m/>
    <b v="1"/>
    <x v="1"/>
    <x v="3"/>
    <d v="2025-09-24T00:00:00"/>
    <m/>
    <m/>
    <x v="1"/>
    <n v="62"/>
    <s v="Henry Ifurung Jr."/>
    <m/>
  </r>
  <r>
    <x v="377"/>
    <x v="0"/>
    <x v="2"/>
    <s v="CTEMPNA_1000US20GPA003 GPA N&amp;I"/>
    <s v="H000004405"/>
    <s v="H000004405"/>
    <s v="Non-LFF"/>
    <s v=""/>
    <m/>
    <b v="1"/>
    <x v="1"/>
    <x v="3"/>
    <d v="2025-09-24T00:00:00"/>
    <m/>
    <m/>
    <x v="1"/>
    <n v="62"/>
    <s v="Henry Ifurung Jr."/>
    <m/>
  </r>
  <r>
    <x v="377"/>
    <x v="0"/>
    <x v="2"/>
    <s v="CTEMPNA_1000US20GPA005 GPA Strategy"/>
    <s v="H000004405"/>
    <s v="H000004405"/>
    <s v="Non-LFF"/>
    <s v=""/>
    <m/>
    <b v="1"/>
    <x v="1"/>
    <x v="3"/>
    <d v="2025-09-24T00:00:00"/>
    <m/>
    <m/>
    <x v="1"/>
    <n v="62"/>
    <s v="Henry Ifurung Jr."/>
    <m/>
  </r>
  <r>
    <x v="377"/>
    <x v="0"/>
    <x v="2"/>
    <s v="CTEMPNA_1000US20GPAFED GPA Federal Lobbying"/>
    <s v="H000004406"/>
    <s v="H000004406"/>
    <s v="Non-LFF"/>
    <s v=""/>
    <m/>
    <b v="1"/>
    <x v="1"/>
    <x v="3"/>
    <d v="2025-09-24T00:00:00"/>
    <m/>
    <m/>
    <x v="1"/>
    <n v="62"/>
    <s v="Henry Ifurung Jr."/>
    <m/>
  </r>
  <r>
    <x v="377"/>
    <x v="0"/>
    <x v="4"/>
    <s v="FH000000164_OO GP-Government &amp; Public Affairs- Dummy Ob"/>
    <s v="H000004406"/>
    <s v="H000000164"/>
    <s v="Non-LFF"/>
    <s v=""/>
    <m/>
    <b v="0"/>
    <x v="1"/>
    <x v="3"/>
    <d v="2025-09-24T00:00:00"/>
    <m/>
    <m/>
    <x v="1"/>
    <n v="62"/>
    <s v="Henry Ifurung Jr."/>
    <m/>
  </r>
  <r>
    <x v="377"/>
    <x v="0"/>
    <x v="2"/>
    <s v="FX31090400000 Divisional CO Franchise"/>
    <s v="H000004406"/>
    <s v="H000004406"/>
    <s v="Non-LFF"/>
    <s v=""/>
    <m/>
    <b v="1"/>
    <x v="1"/>
    <x v="3"/>
    <d v="2025-09-24T00:00:00"/>
    <m/>
    <m/>
    <x v="1"/>
    <n v="62"/>
    <s v="Henry Ifurung Jr."/>
    <m/>
  </r>
  <r>
    <x v="377"/>
    <x v="0"/>
    <x v="4"/>
    <s v="H000000164_OO GP-Government &amp; Public Affairs- Dummy Ob"/>
    <s v="H000004406"/>
    <s v="H000000164"/>
    <s v="Non-LFF"/>
    <s v=""/>
    <m/>
    <b v="0"/>
    <x v="1"/>
    <x v="3"/>
    <d v="2025-09-24T00:00:00"/>
    <m/>
    <m/>
    <x v="1"/>
    <n v="62"/>
    <s v="Henry Ifurung Jr."/>
    <m/>
  </r>
  <r>
    <x v="377"/>
    <x v="0"/>
    <x v="4"/>
    <s v="OH000000164_I GP-Government &amp; Public Affairs (direct input)"/>
    <s v="H000004406"/>
    <s v="H000000164"/>
    <s v="Non-LFF"/>
    <s v=""/>
    <m/>
    <b v="0"/>
    <x v="1"/>
    <x v="3"/>
    <d v="2025-09-24T00:00:00"/>
    <m/>
    <m/>
    <x v="1"/>
    <n v="62"/>
    <s v="Henry Ifurung Jr."/>
    <m/>
  </r>
  <r>
    <x v="377"/>
    <x v="0"/>
    <x v="2"/>
    <s v="PLEAN_X310184DE5002540 GPA Oncology"/>
    <s v="H000004405"/>
    <s v="H000004405"/>
    <s v="Non-LFF"/>
    <s v=""/>
    <m/>
    <b v="1"/>
    <x v="1"/>
    <x v="3"/>
    <d v="2025-09-24T00:00:00"/>
    <m/>
    <m/>
    <x v="1"/>
    <n v="62"/>
    <s v="Henry Ifurung Jr."/>
    <m/>
  </r>
  <r>
    <x v="377"/>
    <x v="0"/>
    <x v="2"/>
    <s v="PLEAN_X310201CH6802037 ESHRE global F55 costs-1500 Germany ISS"/>
    <s v="H000004406"/>
    <s v="H000004406"/>
    <s v="Non-LFF"/>
    <s v=""/>
    <m/>
    <b v="1"/>
    <x v="1"/>
    <x v="3"/>
    <d v="2025-09-24T00:00:00"/>
    <m/>
    <m/>
    <x v="1"/>
    <n v="62"/>
    <s v="Henry Ifurung Jr."/>
    <m/>
  </r>
  <r>
    <x v="377"/>
    <x v="0"/>
    <x v="2"/>
    <s v="PLEAN_X310201CH6802051 ESHRE global F55 costs ISS"/>
    <s v="H000004406"/>
    <s v="H000004406"/>
    <s v="Non-LFF"/>
    <s v=""/>
    <m/>
    <b v="1"/>
    <x v="1"/>
    <x v="3"/>
    <d v="2025-09-24T00:00:00"/>
    <m/>
    <m/>
    <x v="1"/>
    <n v="62"/>
    <s v="Henry Ifurung Jr."/>
    <m/>
  </r>
  <r>
    <x v="377"/>
    <x v="0"/>
    <x v="2"/>
    <s v="PLEAN_X310204DE5002535 FD FRA IM Corp Healthcare"/>
    <s v="H000004406"/>
    <s v="H000004406"/>
    <s v="Non-LFF"/>
    <s v=""/>
    <m/>
    <b v="1"/>
    <x v="1"/>
    <x v="3"/>
    <d v="2025-09-24T00:00:00"/>
    <m/>
    <m/>
    <x v="1"/>
    <n v="62"/>
    <s v="Henry Ifurung Jr."/>
    <m/>
  </r>
  <r>
    <x v="377"/>
    <x v="0"/>
    <x v="2"/>
    <s v="PLEAN_X310204DE5002541 GPA Fertility"/>
    <s v="H000004405"/>
    <s v="H000004405"/>
    <s v="Non-LFF"/>
    <s v=""/>
    <m/>
    <b v="1"/>
    <x v="1"/>
    <x v="3"/>
    <d v="2025-09-24T00:00:00"/>
    <m/>
    <m/>
    <x v="1"/>
    <n v="62"/>
    <s v="Henry Ifurung Jr."/>
    <m/>
  </r>
  <r>
    <x v="377"/>
    <x v="0"/>
    <x v="2"/>
    <s v="PLEAN_X310511CH6802033 ECTRIMS Global Costs ISS F55"/>
    <s v="H000004406"/>
    <s v="H000004406"/>
    <s v="Non-LFF"/>
    <s v=""/>
    <m/>
    <b v="1"/>
    <x v="1"/>
    <x v="3"/>
    <d v="2025-09-24T00:00:00"/>
    <m/>
    <m/>
    <x v="1"/>
    <n v="62"/>
    <s v="Henry Ifurung Jr."/>
    <m/>
  </r>
  <r>
    <x v="377"/>
    <x v="0"/>
    <x v="2"/>
    <s v="PLEAN_X310511CH6802062 AAN Global Costs ISS F55"/>
    <s v="H000004406"/>
    <s v="H000004406"/>
    <s v="Non-LFF"/>
    <s v=""/>
    <m/>
    <b v="1"/>
    <x v="1"/>
    <x v="3"/>
    <d v="2025-09-24T00:00:00"/>
    <m/>
    <m/>
    <x v="1"/>
    <n v="62"/>
    <s v="Henry Ifurung Jr."/>
    <m/>
  </r>
  <r>
    <x v="377"/>
    <x v="0"/>
    <x v="2"/>
    <s v="PLEAN_X310904DE5002535 EU GPA"/>
    <s v="H000004405"/>
    <s v="H000004405"/>
    <s v="Non-LFF"/>
    <s v=""/>
    <m/>
    <b v="1"/>
    <x v="1"/>
    <x v="3"/>
    <d v="2025-09-24T00:00:00"/>
    <m/>
    <m/>
    <x v="1"/>
    <n v="62"/>
    <s v="Henry Ifurung Jr."/>
    <m/>
  </r>
  <r>
    <x v="377"/>
    <x v="0"/>
    <x v="2"/>
    <s v="PLEAN_X310904DE5002536 GPEA"/>
    <s v="H000004405"/>
    <s v="H000004405"/>
    <s v="Non-LFF"/>
    <s v=""/>
    <m/>
    <b v="1"/>
    <x v="1"/>
    <x v="3"/>
    <d v="2025-09-24T00:00:00"/>
    <m/>
    <m/>
    <x v="1"/>
    <n v="62"/>
    <s v="Henry Ifurung Jr."/>
    <m/>
  </r>
  <r>
    <x v="377"/>
    <x v="0"/>
    <x v="2"/>
    <s v="PLEAN_X310904DE5002537 GSP"/>
    <s v="H000004405"/>
    <s v="H000004405"/>
    <s v="Non-LFF"/>
    <s v=""/>
    <m/>
    <b v="1"/>
    <x v="1"/>
    <x v="3"/>
    <d v="2025-09-24T00:00:00"/>
    <m/>
    <m/>
    <x v="1"/>
    <n v="62"/>
    <s v="Henry Ifurung Jr."/>
    <m/>
  </r>
  <r>
    <x v="377"/>
    <x v="0"/>
    <x v="2"/>
    <s v="PLEAN_X310909DE5002024 Patient Advocacy"/>
    <s v="H000004405"/>
    <s v="H000004405"/>
    <s v="Non-LFF"/>
    <s v=""/>
    <m/>
    <b v="1"/>
    <x v="1"/>
    <x v="3"/>
    <d v="2025-09-24T00:00:00"/>
    <m/>
    <m/>
    <x v="1"/>
    <n v="62"/>
    <s v="Henry Ifurung Jr."/>
    <m/>
  </r>
  <r>
    <x v="377"/>
    <x v="0"/>
    <x v="2"/>
    <s v="CTEMPNA_1000US20GPA004 Patient Insights &amp; Advocacy"/>
    <s v="H000004405"/>
    <s v="H000004405"/>
    <s v="Non-LFF"/>
    <s v=""/>
    <m/>
    <b v="1"/>
    <x v="1"/>
    <x v="3"/>
    <d v="2025-09-24T00:00:00"/>
    <m/>
    <m/>
    <x v="1"/>
    <n v="62"/>
    <s v="Henry Ifurung Jr."/>
    <m/>
  </r>
  <r>
    <x v="377"/>
    <x v="0"/>
    <x v="2"/>
    <s v="X31090400000 Divisional CO Franchise"/>
    <s v="H000004406"/>
    <s v="H000004406"/>
    <s v="Non-LFF"/>
    <s v=""/>
    <m/>
    <b v="1"/>
    <x v="1"/>
    <x v="3"/>
    <d v="2025-09-24T00:00:00"/>
    <m/>
    <m/>
    <x v="1"/>
    <n v="62"/>
    <s v="Henry Ifurung Jr."/>
    <m/>
  </r>
  <r>
    <x v="378"/>
    <x v="0"/>
    <x v="2"/>
    <s v="CNOW_7210$$$0000040506 AA CIA"/>
    <s v="L000005228"/>
    <s v="L000005228"/>
    <s v="Non-LFF"/>
    <s v=""/>
    <m/>
    <b v="1"/>
    <x v="2"/>
    <x v="3"/>
    <d v="2025-09-25T00:00:00"/>
    <m/>
    <m/>
    <x v="1"/>
    <n v="61"/>
    <s v="Ruby Grace Garcia"/>
    <m/>
  </r>
  <r>
    <x v="378"/>
    <x v="0"/>
    <x v="2"/>
    <s v="CNOW_7210$$$0000056226 AA Instrumental Analysis - CH"/>
    <s v="L000005227"/>
    <s v="L000005227"/>
    <s v="Non-LFF"/>
    <s v=""/>
    <m/>
    <b v="1"/>
    <x v="2"/>
    <x v="3"/>
    <d v="2025-09-25T00:00:00"/>
    <m/>
    <m/>
    <x v="1"/>
    <n v="61"/>
    <s v="Ruby Grace Garcia"/>
    <m/>
  </r>
  <r>
    <x v="379"/>
    <x v="0"/>
    <x v="2"/>
    <s v="PQUATRO_D001298DE0401000000 AMI dense low-k"/>
    <s v="P000001010"/>
    <s v="P000001010"/>
    <s v="Non-LFF"/>
    <s v=""/>
    <e v="#REF!"/>
    <b v="1"/>
    <x v="3"/>
    <x v="3"/>
    <d v="2025-09-25T00:00:00"/>
    <m/>
    <m/>
    <x v="1"/>
    <n v="61"/>
    <s v="Roselle Delos Angeles"/>
    <m/>
  </r>
  <r>
    <x v="379"/>
    <x v="0"/>
    <x v="2"/>
    <s v="PQUATRO_D001307DE0413000000 SN-560 and SN-952 Substance Supply"/>
    <s v="P000001010"/>
    <s v="P000001010"/>
    <s v="Non-LFF"/>
    <s v=""/>
    <e v="#REF!"/>
    <b v="1"/>
    <x v="3"/>
    <x v="3"/>
    <d v="2025-09-25T00:00:00"/>
    <m/>
    <m/>
    <x v="1"/>
    <n v="61"/>
    <s v="Roselle Delos Angeles"/>
    <m/>
  </r>
  <r>
    <x v="379"/>
    <x v="0"/>
    <x v="2"/>
    <s v="PVRSM_DP000021USA1000000 ZrCl4"/>
    <s v="P000001010"/>
    <s v="P000001010"/>
    <s v="Non-LFF"/>
    <s v=""/>
    <e v="#REF!"/>
    <b v="1"/>
    <x v="3"/>
    <x v="3"/>
    <d v="2025-09-25T00:00:00"/>
    <m/>
    <m/>
    <x v="1"/>
    <n v="61"/>
    <s v="Roselle Delos Angeles"/>
    <m/>
  </r>
  <r>
    <x v="379"/>
    <x v="0"/>
    <x v="2"/>
    <s v="PFLTFLE_EMDPTFOM17 CDP215-Ni Metallization Devpt"/>
    <s v="P000001010"/>
    <s v="P000001010"/>
    <s v="Non-LFF"/>
    <s v=""/>
    <m/>
    <b v="1"/>
    <x v="3"/>
    <x v="3"/>
    <d v="2025-09-25T00:00:00"/>
    <m/>
    <m/>
    <x v="1"/>
    <n v="61"/>
    <s v="Roselle Delos Angeles"/>
    <m/>
  </r>
  <r>
    <x v="379"/>
    <x v="0"/>
    <x v="2"/>
    <s v="PFLTFLE_EMDPTFOS08 CDP 217 Low Stress High Quality SiO2"/>
    <s v="P000001010"/>
    <s v="P000001010"/>
    <s v="Non-LFF"/>
    <s v=""/>
    <m/>
    <b v="1"/>
    <x v="3"/>
    <x v="3"/>
    <d v="2025-09-25T00:00:00"/>
    <m/>
    <m/>
    <x v="1"/>
    <n v="61"/>
    <s v="Roselle Delos Angeles"/>
    <m/>
  </r>
  <r>
    <x v="379"/>
    <x v="0"/>
    <x v="2"/>
    <s v="PFLTFLE_EMDPTWPK01 Twin Peaks Vendor Services - Timesheet"/>
    <s v="P000001010"/>
    <s v="P000001010"/>
    <s v="Non-LFF"/>
    <s v=""/>
    <m/>
    <b v="1"/>
    <x v="3"/>
    <x v="3"/>
    <d v="2025-09-25T00:00:00"/>
    <m/>
    <m/>
    <x v="1"/>
    <n v="61"/>
    <s v="Roselle Delos Angeles"/>
    <m/>
  </r>
  <r>
    <x v="379"/>
    <x v="0"/>
    <x v="2"/>
    <s v="CNOW_7210$$$0000040181 R&amp;D Electronics Reporting - Opal"/>
    <s v="P000001010"/>
    <s v="P000001010"/>
    <s v="Non-LFF"/>
    <s v=""/>
    <m/>
    <b v="1"/>
    <x v="3"/>
    <x v="3"/>
    <d v="2025-09-25T00:00:00"/>
    <m/>
    <m/>
    <x v="1"/>
    <n v="61"/>
    <s v="Roselle Delos Angeles"/>
    <m/>
  </r>
  <r>
    <x v="379"/>
    <x v="0"/>
    <x v="2"/>
    <s v="PQUATRO_D001294DE0404000000 Genesis Expense PAT"/>
    <s v="P000001013"/>
    <s v="P000001013"/>
    <s v="Non-LFF"/>
    <s v=""/>
    <e v="#REF!"/>
    <b v="1"/>
    <x v="3"/>
    <x v="3"/>
    <d v="2025-09-25T00:00:00"/>
    <m/>
    <m/>
    <x v="1"/>
    <n v="61"/>
    <s v="Roselle Delos Angeles"/>
    <m/>
  </r>
  <r>
    <x v="379"/>
    <x v="0"/>
    <x v="2"/>
    <s v="PQUATRO_D001296DE0413000000 TPS-3000"/>
    <s v="P000001013"/>
    <s v="P000001013"/>
    <s v="Non-LFF"/>
    <s v=""/>
    <e v="#REF!"/>
    <b v="1"/>
    <x v="3"/>
    <x v="3"/>
    <d v="2025-09-25T00:00:00"/>
    <m/>
    <m/>
    <x v="1"/>
    <n v="61"/>
    <s v="Roselle Delos Angeles"/>
    <m/>
  </r>
  <r>
    <x v="379"/>
    <x v="0"/>
    <x v="2"/>
    <s v="PQUATRO_D001299JP0201000000 XXXHigh thermal and thick film SOC"/>
    <s v="P000001013"/>
    <s v="P000001013"/>
    <s v="Non-LFF"/>
    <s v=""/>
    <e v="#REF!"/>
    <b v="1"/>
    <x v="3"/>
    <x v="3"/>
    <d v="2025-09-25T00:00:00"/>
    <m/>
    <m/>
    <x v="1"/>
    <n v="61"/>
    <s v="Roselle Delos Angeles"/>
    <m/>
  </r>
  <r>
    <x v="379"/>
    <x v="0"/>
    <x v="2"/>
    <s v="PQUATRO_D001299JP0296000000 XXXHigh thermal and thick film SOC"/>
    <s v="P000001013"/>
    <s v="P000001013"/>
    <s v="Non-LFF"/>
    <s v=""/>
    <e v="#REF!"/>
    <b v="1"/>
    <x v="3"/>
    <x v="3"/>
    <d v="2025-09-25T00:00:00"/>
    <m/>
    <m/>
    <x v="1"/>
    <n v="61"/>
    <s v="Roselle Delos Angeles"/>
    <m/>
  </r>
  <r>
    <x v="379"/>
    <x v="0"/>
    <x v="2"/>
    <s v="PQUATRO_D001304JP0201000000 PFAS-Free TARC PAT"/>
    <s v="P000001013"/>
    <s v="P000001013"/>
    <s v="Non-LFF"/>
    <s v=""/>
    <e v="#REF!"/>
    <b v="1"/>
    <x v="3"/>
    <x v="3"/>
    <d v="2025-09-25T00:00:00"/>
    <m/>
    <m/>
    <x v="1"/>
    <n v="61"/>
    <s v="Roselle Delos Angeles"/>
    <m/>
  </r>
  <r>
    <x v="379"/>
    <x v="0"/>
    <x v="2"/>
    <s v="PQUATRO_D001305US0101000000 Low Defect on Low-K for CuB"/>
    <s v="P000001013"/>
    <s v="P000001013"/>
    <s v="Non-LFF"/>
    <s v=""/>
    <e v="#REF!"/>
    <b v="1"/>
    <x v="3"/>
    <x v="3"/>
    <d v="2025-09-25T00:00:00"/>
    <m/>
    <m/>
    <x v="1"/>
    <n v="61"/>
    <s v="Roselle Delos Angeles"/>
    <m/>
  </r>
  <r>
    <x v="379"/>
    <x v="0"/>
    <x v="2"/>
    <s v="PQUATRO_D001294DE0403000000 Genesis Expense SG"/>
    <s v="P000001013"/>
    <s v="P000001013"/>
    <s v="Non-LFF"/>
    <s v=""/>
    <e v="#REF!"/>
    <b v="1"/>
    <x v="3"/>
    <x v="3"/>
    <d v="2025-09-25T00:00:00"/>
    <m/>
    <m/>
    <x v="1"/>
    <n v="61"/>
    <s v="Roselle Delos Angeles"/>
    <m/>
  </r>
  <r>
    <x v="380"/>
    <x v="0"/>
    <x v="2"/>
    <s v="CNOW_7210$$$0000056338"/>
    <s v="G000000704"/>
    <s v="G000000704"/>
    <s v="Non-LFF"/>
    <s v=""/>
    <m/>
    <b v="1"/>
    <x v="0"/>
    <x v="3"/>
    <d v="2025-09-30T00:00:00"/>
    <m/>
    <m/>
    <x v="1"/>
    <n v="58"/>
    <s v="Jojeff Tagnong"/>
    <m/>
  </r>
  <r>
    <x v="381"/>
    <x v="0"/>
    <x v="2"/>
    <s v="CLFF_VMCA$$$US10O05003"/>
    <s v="P000001323"/>
    <s v="P000001323"/>
    <s v="LFF (MDG-F)"/>
    <s v="US10O05003"/>
    <m/>
    <b v="1"/>
    <x v="3"/>
    <x v="0"/>
    <d v="2025-10-01T00:00:00"/>
    <m/>
    <m/>
    <x v="1"/>
    <n v="57"/>
    <s v="Roselle Delos Angeles"/>
    <m/>
  </r>
  <r>
    <x v="381"/>
    <x v="0"/>
    <x v="2"/>
    <s v="CLFF_VMCA$$$KR07O05003 EL IT/OT 2331"/>
    <s v="P000001322"/>
    <s v="P000001322"/>
    <s v="LFF (MDG-F)"/>
    <s v="KR07O05003"/>
    <m/>
    <b v="1"/>
    <x v="3"/>
    <x v="0"/>
    <d v="2025-10-01T00:00:00"/>
    <m/>
    <m/>
    <x v="1"/>
    <n v="57"/>
    <s v="Roselle Delos Angeles"/>
    <m/>
  </r>
  <r>
    <x v="381"/>
    <x v="0"/>
    <x v="2"/>
    <s v="CLFF_VMCA$$$CN10O05003 EL IT/OT 2240"/>
    <s v="P000001322"/>
    <s v="P000001322"/>
    <s v="LFF (MDG-F)"/>
    <s v="CN10O05003"/>
    <m/>
    <b v="1"/>
    <x v="3"/>
    <x v="0"/>
    <d v="2025-10-01T00:00:00"/>
    <m/>
    <m/>
    <x v="1"/>
    <n v="57"/>
    <s v="Roselle Delos Angeles"/>
    <m/>
  </r>
  <r>
    <x v="381"/>
    <x v="0"/>
    <x v="2"/>
    <s v="CNOW_7210$$$0000051733 IT-PR Research &amp; Dev'l"/>
    <s v="P000000760"/>
    <s v="P000000760"/>
    <s v="Non-LFF"/>
    <s v=""/>
    <m/>
    <b v="1"/>
    <x v="3"/>
    <x v="0"/>
    <d v="2025-10-01T00:00:00"/>
    <m/>
    <m/>
    <x v="1"/>
    <n v="57"/>
    <s v="Roselle Delos Angeles"/>
    <m/>
  </r>
  <r>
    <x v="382"/>
    <x v="0"/>
    <x v="2"/>
    <s v="CLFF_1000$$$BE50C00921 Patient Insights &amp; Advocacy, EU Oncology"/>
    <s v="H000004404"/>
    <s v="H000004404"/>
    <s v="LFF (MDG-F)"/>
    <s v="BE50C00921"/>
    <m/>
    <b v="1"/>
    <x v="1"/>
    <x v="0"/>
    <d v="2025-10-01T00:00:00"/>
    <m/>
    <m/>
    <x v="1"/>
    <n v="57"/>
    <s v="Henry Ifurung Jr."/>
    <m/>
  </r>
  <r>
    <x v="382"/>
    <x v="0"/>
    <x v="2"/>
    <s v="CLFF_1000$$$DE50C00011 Membership fees"/>
    <s v="H000004404"/>
    <s v="H000004404"/>
    <s v="LFF (MDG-F)"/>
    <s v="DE50C00011"/>
    <m/>
    <b v="1"/>
    <x v="1"/>
    <x v="0"/>
    <d v="2025-10-01T00:00:00"/>
    <m/>
    <m/>
    <x v="1"/>
    <n v="57"/>
    <s v="Henry Ifurung Jr."/>
    <m/>
  </r>
  <r>
    <x v="383"/>
    <x v="0"/>
    <x v="2"/>
    <s v="CSCALA_1022$ITX"/>
    <s v="G000001356"/>
    <s v="G000001356"/>
    <s v="Non-LFF"/>
    <s v=""/>
    <m/>
    <b v="1"/>
    <x v="0"/>
    <x v="0"/>
    <d v="2025-10-03T00:00:00"/>
    <m/>
    <m/>
    <x v="1"/>
    <n v="55"/>
    <s v="Jay-R Lizardo"/>
    <m/>
  </r>
  <r>
    <x v="383"/>
    <x v="0"/>
    <x v="2"/>
    <s v="CSCALA_1042$PMIT"/>
    <s v="G000000277"/>
    <s v="G000000277"/>
    <s v="Non-LFF"/>
    <s v=""/>
    <m/>
    <b v="1"/>
    <x v="0"/>
    <x v="0"/>
    <d v="2025-10-03T00:00:00"/>
    <m/>
    <m/>
    <x v="1"/>
    <n v="55"/>
    <s v="Jay-R Lizardo"/>
    <m/>
  </r>
  <r>
    <x v="383"/>
    <x v="0"/>
    <x v="2"/>
    <s v="CSCALA_1042$ITIW"/>
    <s v="G000000282"/>
    <s v="G000000282"/>
    <s v="Non-LFF"/>
    <s v=""/>
    <m/>
    <b v="1"/>
    <x v="0"/>
    <x v="0"/>
    <d v="2025-10-03T00:00:00"/>
    <m/>
    <m/>
    <x v="1"/>
    <n v="55"/>
    <s v="Jay-R Lizardo"/>
    <m/>
  </r>
  <r>
    <x v="383"/>
    <x v="0"/>
    <x v="2"/>
    <s v="CFLTFLE_1075IT107503"/>
    <s v="G000000277"/>
    <s v="G000000277"/>
    <s v="Non-LFF"/>
    <s v=""/>
    <m/>
    <b v="1"/>
    <x v="0"/>
    <x v="0"/>
    <d v="2025-10-03T00:00:00"/>
    <m/>
    <m/>
    <x v="1"/>
    <n v="55"/>
    <s v="Jay-R Lizardo"/>
    <m/>
  </r>
  <r>
    <x v="383"/>
    <x v="0"/>
    <x v="2"/>
    <s v="CTEMPEU_1000PL80GFO016"/>
    <s v="G000001441"/>
    <s v="G000001441"/>
    <s v="Non-LFF"/>
    <s v=""/>
    <m/>
    <b v="1"/>
    <x v="0"/>
    <x v="0"/>
    <d v="2025-10-03T00:00:00"/>
    <m/>
    <m/>
    <x v="1"/>
    <n v="55"/>
    <s v="Jay-R Lizardo"/>
    <m/>
  </r>
  <r>
    <x v="383"/>
    <x v="0"/>
    <x v="2"/>
    <s v="CTEMPNA_1000PH80GFO003"/>
    <s v="G000001441"/>
    <s v="G000001441"/>
    <s v="Non-LFF"/>
    <s v=""/>
    <m/>
    <b v="1"/>
    <x v="0"/>
    <x v="0"/>
    <d v="2025-10-03T00:00:00"/>
    <m/>
    <m/>
    <x v="1"/>
    <n v="55"/>
    <s v="Jay-R Lizardo"/>
    <m/>
  </r>
  <r>
    <x v="383"/>
    <x v="0"/>
    <x v="2"/>
    <s v="CTEMPNA_1000PH80GBTL55"/>
    <s v="G000001444"/>
    <s v="G000001444"/>
    <s v="Non-LFF"/>
    <s v=""/>
    <m/>
    <b v="1"/>
    <x v="0"/>
    <x v="0"/>
    <d v="2025-10-03T00:00:00"/>
    <m/>
    <m/>
    <x v="1"/>
    <n v="55"/>
    <s v="Jay-R Lizardo"/>
    <m/>
  </r>
  <r>
    <x v="383"/>
    <x v="0"/>
    <x v="2"/>
    <s v="CTEMPNA_1000PH80GFO026"/>
    <s v="G000001442"/>
    <s v="G000001442"/>
    <s v="Non-LFF"/>
    <s v=""/>
    <m/>
    <b v="1"/>
    <x v="0"/>
    <x v="0"/>
    <d v="2025-10-03T00:00:00"/>
    <m/>
    <m/>
    <x v="1"/>
    <n v="55"/>
    <s v="Jay-R Lizardo"/>
    <m/>
  </r>
  <r>
    <x v="383"/>
    <x v="0"/>
    <x v="4"/>
    <s v="CLFF_1000$$$DE65GIT032"/>
    <s v="G000000256"/>
    <s v="DFLTPGCOH_BF-C2_001242"/>
    <s v="LFF (MDG-F)"/>
    <s v="DE65GIT032"/>
    <s v="Wont get mapped if no actuals"/>
    <b v="0"/>
    <x v="0"/>
    <x v="0"/>
    <d v="2025-10-03T00:00:00"/>
    <m/>
    <m/>
    <x v="1"/>
    <n v="55"/>
    <s v="Jay-R Lizardo"/>
    <m/>
  </r>
  <r>
    <x v="383"/>
    <x v="0"/>
    <x v="2"/>
    <s v="CLFF_1000$$$DE10695300"/>
    <s v="L000013894"/>
    <s v="L000013894"/>
    <s v="LFF (MDG-F)"/>
    <s v="DE10695300"/>
    <m/>
    <b v="1"/>
    <x v="0"/>
    <x v="0"/>
    <d v="2025-10-03T00:00:00"/>
    <m/>
    <m/>
    <x v="1"/>
    <n v="55"/>
    <s v="Jay-R Lizardo"/>
    <m/>
  </r>
  <r>
    <x v="383"/>
    <x v="0"/>
    <x v="2"/>
    <s v="CLFF_1000$$$DE10GMS070"/>
    <s v="G000001442"/>
    <s v="G000001442"/>
    <s v="LFF (MDG-F)"/>
    <s v="DE10GMS070"/>
    <m/>
    <b v="1"/>
    <x v="0"/>
    <x v="0"/>
    <d v="2025-10-03T00:00:00"/>
    <m/>
    <m/>
    <x v="1"/>
    <n v="55"/>
    <s v="Jay-R Lizardo"/>
    <m/>
  </r>
  <r>
    <x v="383"/>
    <x v="0"/>
    <x v="2"/>
    <s v="CLFF_1000$$$DE10669638"/>
    <s v="G000001441"/>
    <s v="G000001441"/>
    <s v="LFF (MDG-F)"/>
    <s v="DE10669638"/>
    <m/>
    <b v="1"/>
    <x v="0"/>
    <x v="0"/>
    <d v="2025-10-03T00:00:00"/>
    <m/>
    <m/>
    <x v="1"/>
    <n v="55"/>
    <s v="Jay-R Lizardo"/>
    <m/>
  </r>
  <r>
    <x v="383"/>
    <x v="0"/>
    <x v="2"/>
    <s v="CLFF_7210$$$1937OF0002"/>
    <s v="L000013395"/>
    <s v="L000013395"/>
    <s v="LFF (MDG-F)"/>
    <s v="1937OF0002"/>
    <m/>
    <b v="1"/>
    <x v="0"/>
    <x v="0"/>
    <d v="2025-10-03T00:00:00"/>
    <m/>
    <m/>
    <x v="1"/>
    <n v="55"/>
    <s v="Jay-R Lizardo"/>
    <m/>
  </r>
  <r>
    <x v="383"/>
    <x v="0"/>
    <x v="2"/>
    <s v="CNOW_7210$$$0000052357"/>
    <s v="G000001235"/>
    <s v="G000001235"/>
    <s v="Non-LFF"/>
    <s v=""/>
    <m/>
    <b v="1"/>
    <x v="0"/>
    <x v="0"/>
    <d v="2025-10-03T00:00:00"/>
    <m/>
    <m/>
    <x v="1"/>
    <n v="55"/>
    <s v="Jay-R Lizardo"/>
    <m/>
  </r>
  <r>
    <x v="383"/>
    <x v="0"/>
    <x v="2"/>
    <s v="CLFF_7210$$$2123GMS080"/>
    <s v="G000001443"/>
    <s v="G000001443"/>
    <s v="LFF (MDG-F)"/>
    <s v="2123GMS080"/>
    <m/>
    <b v="1"/>
    <x v="0"/>
    <x v="0"/>
    <d v="2025-10-03T00:00:00"/>
    <m/>
    <m/>
    <x v="1"/>
    <n v="55"/>
    <s v="Jay-R Lizardo"/>
    <m/>
  </r>
  <r>
    <x v="383"/>
    <x v="0"/>
    <x v="2"/>
    <s v="CLFF_7210$$$2123GMS050"/>
    <s v="G000001441"/>
    <s v="G000001441"/>
    <s v="LFF (MDG-F)"/>
    <s v="2123GMS050"/>
    <m/>
    <b v="1"/>
    <x v="0"/>
    <x v="0"/>
    <d v="2025-10-03T00:00:00"/>
    <m/>
    <m/>
    <x v="1"/>
    <n v="55"/>
    <s v="Jay-R Lizardo"/>
    <m/>
  </r>
  <r>
    <x v="383"/>
    <x v="0"/>
    <x v="2"/>
    <s v="CNOW_AUS0$$$0000092051"/>
    <s v="G000001234"/>
    <s v="G000001234"/>
    <s v="Non-LFF"/>
    <s v=""/>
    <m/>
    <b v="1"/>
    <x v="0"/>
    <x v="0"/>
    <d v="2025-10-03T00:00:00"/>
    <m/>
    <m/>
    <x v="1"/>
    <n v="55"/>
    <s v="Jay-R Lizardo"/>
    <m/>
  </r>
  <r>
    <x v="383"/>
    <x v="0"/>
    <x v="2"/>
    <s v="CLFF_VMCA$$$US10GIT050"/>
    <s v="P000000765"/>
    <s v="P000000765"/>
    <s v="LFF (MDG-F)"/>
    <s v="US10GIT050"/>
    <m/>
    <b v="1"/>
    <x v="0"/>
    <x v="0"/>
    <d v="2025-10-03T00:00:00"/>
    <m/>
    <m/>
    <x v="1"/>
    <n v="55"/>
    <s v="Jay-R Lizardo"/>
    <m/>
  </r>
  <r>
    <x v="383"/>
    <x v="0"/>
    <x v="2"/>
    <s v="CORAERP_MMOR1975.9083"/>
    <s v="L000013395"/>
    <s v="L000013395"/>
    <s v="Non-LFF"/>
    <s v=""/>
    <m/>
    <b v="1"/>
    <x v="0"/>
    <x v="0"/>
    <d v="2025-10-03T00:00:00"/>
    <m/>
    <m/>
    <x v="1"/>
    <n v="55"/>
    <s v="Jay-R Lizardo"/>
    <m/>
  </r>
  <r>
    <x v="383"/>
    <x v="0"/>
    <x v="2"/>
    <s v="CNOW_7210$$$0000010482"/>
    <s v="L000013395"/>
    <s v="L000013395"/>
    <s v="Non-LFF"/>
    <s v=""/>
    <m/>
    <b v="1"/>
    <x v="0"/>
    <x v="0"/>
    <d v="2025-10-03T00:00:00"/>
    <m/>
    <m/>
    <x v="1"/>
    <n v="55"/>
    <s v="Jay-R Lizardo"/>
    <m/>
  </r>
  <r>
    <x v="383"/>
    <x v="0"/>
    <x v="2"/>
    <s v="CNOW_7210$$$0000052358"/>
    <s v="L000013395"/>
    <s v="L000013395"/>
    <s v="Non-LFF"/>
    <s v=""/>
    <m/>
    <b v="1"/>
    <x v="0"/>
    <x v="0"/>
    <d v="2025-10-03T00:00:00"/>
    <m/>
    <m/>
    <x v="1"/>
    <n v="55"/>
    <s v="Jay-R Lizardo"/>
    <m/>
  </r>
  <r>
    <x v="384"/>
    <x v="0"/>
    <x v="2"/>
    <s v="CTEMPLA_1000BR10500200 EHS Alphaville"/>
    <s v="L000008037"/>
    <s v="L000008037"/>
    <s v="Non-LFF"/>
    <s v=""/>
    <m/>
    <b v="1"/>
    <x v="2"/>
    <x v="0"/>
    <d v="2025-10-03T00:00:00"/>
    <m/>
    <m/>
    <x v="1"/>
    <n v="55"/>
    <s v="Ruby Grace Garcia"/>
    <m/>
  </r>
  <r>
    <x v="384"/>
    <x v="0"/>
    <x v="2"/>
    <s v="CORAERP_MMOR1945.9120 EU Facilities 3"/>
    <s v="L000005965"/>
    <s v="L000005965"/>
    <s v="Non-LFF"/>
    <s v=""/>
    <m/>
    <b v="1"/>
    <x v="2"/>
    <x v="0"/>
    <d v="2025-10-03T00:00:00"/>
    <m/>
    <m/>
    <x v="1"/>
    <n v="55"/>
    <s v="Ruby Grace Garcia"/>
    <m/>
  </r>
  <r>
    <x v="384"/>
    <x v="0"/>
    <x v="2"/>
    <s v="CLFF_7210$$$2034L81000 ES40 LF ADM"/>
    <s v="L000012735"/>
    <s v="L000012735"/>
    <s v="LFF (MDG-F)"/>
    <s v="2034L81000"/>
    <m/>
    <b v="1"/>
    <x v="2"/>
    <x v="0"/>
    <d v="2025-10-03T00:00:00"/>
    <m/>
    <m/>
    <x v="1"/>
    <n v="55"/>
    <s v="Ruby Grace Garcia"/>
    <m/>
  </r>
  <r>
    <x v="384"/>
    <x v="0"/>
    <x v="2"/>
    <s v="CNOW_7210$$$0000058615 EHS Sigma Aldrich São Paulo"/>
    <s v="L000008037"/>
    <s v="L000008037"/>
    <s v="Non-LFF"/>
    <s v=""/>
    <m/>
    <b v="1"/>
    <x v="2"/>
    <x v="0"/>
    <d v="2025-10-03T00:00:00"/>
    <m/>
    <m/>
    <x v="1"/>
    <n v="55"/>
    <s v="Ruby Grace Garcia"/>
    <m/>
  </r>
  <r>
    <x v="384"/>
    <x v="0"/>
    <x v="2"/>
    <s v="CLFF_7210$$$2102TMCZ91 LSS Global Ops Engineering"/>
    <s v="L000013454"/>
    <s v="L000013454"/>
    <s v="LFF (MDG-F)"/>
    <s v="2102TMCZ91"/>
    <m/>
    <b v="1"/>
    <x v="2"/>
    <x v="0"/>
    <d v="2025-10-03T00:00:00"/>
    <m/>
    <m/>
    <x v="1"/>
    <n v="55"/>
    <s v="Ruby Grace Garcia"/>
    <m/>
  </r>
  <r>
    <x v="384"/>
    <x v="0"/>
    <x v="2"/>
    <s v="CNOW_7210$$$0000056343 AEM Strategy &amp;Transformation Projects"/>
    <s v="L000013866"/>
    <s v="L000013866"/>
    <s v="Non-LFF"/>
    <s v=""/>
    <m/>
    <b v="1"/>
    <x v="2"/>
    <x v="0"/>
    <d v="2025-10-03T00:00:00"/>
    <m/>
    <m/>
    <x v="1"/>
    <n v="55"/>
    <s v="Ruby Grace Garcia"/>
    <m/>
  </r>
  <r>
    <x v="384"/>
    <x v="0"/>
    <x v="2"/>
    <s v="CORAERP_MMOR1945.2539 Strategy"/>
    <s v="L000013866"/>
    <s v="L000013866"/>
    <s v="Non-LFF"/>
    <s v=""/>
    <m/>
    <b v="1"/>
    <x v="2"/>
    <x v="0"/>
    <d v="2025-10-03T00:00:00"/>
    <m/>
    <m/>
    <x v="1"/>
    <n v="55"/>
    <s v="Ruby Grace Garcia"/>
    <m/>
  </r>
  <r>
    <x v="384"/>
    <x v="0"/>
    <x v="2"/>
    <s v="CORAERP_MMOR1945.2239 Proj &amp; Eng - Central Europe"/>
    <s v="L000013866"/>
    <s v="L000013866"/>
    <s v="Non-LFF"/>
    <s v=""/>
    <m/>
    <b v="1"/>
    <x v="2"/>
    <x v="0"/>
    <d v="2025-10-03T00:00:00"/>
    <m/>
    <m/>
    <x v="1"/>
    <n v="55"/>
    <s v="Ruby Grace Garcia"/>
    <m/>
  </r>
  <r>
    <x v="384"/>
    <x v="0"/>
    <x v="2"/>
    <s v="CPHOENX_01010000604453 LS-SC-EC Proj &amp; Eng-CentralEur"/>
    <s v="L000013866"/>
    <s v="L000013866"/>
    <s v="Non-LFF"/>
    <s v=""/>
    <m/>
    <b v="1"/>
    <x v="2"/>
    <x v="0"/>
    <d v="2025-10-03T00:00:00"/>
    <m/>
    <m/>
    <x v="1"/>
    <n v="55"/>
    <s v="Ruby Grace Garcia"/>
    <m/>
  </r>
  <r>
    <x v="384"/>
    <x v="0"/>
    <x v="2"/>
    <s v="CLFF_1000$$$DE10B04453 LS-SC-EC Proj&amp;Eng-CE"/>
    <s v="L000013866"/>
    <s v="L000013866"/>
    <s v="LFF (MDG-F)"/>
    <s v="DE10B04453"/>
    <m/>
    <b v="1"/>
    <x v="2"/>
    <x v="0"/>
    <d v="2025-10-03T00:00:00"/>
    <m/>
    <m/>
    <x v="1"/>
    <n v="55"/>
    <s v="Ruby Grace Garcia"/>
    <m/>
  </r>
  <r>
    <x v="384"/>
    <x v="0"/>
    <x v="2"/>
    <s v="CLFF_1000$$$DE10B14453 LS-SC-EC Proj&amp;Eng-CE"/>
    <s v="L000013866"/>
    <s v="L000013866"/>
    <s v="LFF (MDG-F)"/>
    <s v="DE10B14453"/>
    <m/>
    <b v="1"/>
    <x v="2"/>
    <x v="0"/>
    <d v="2025-10-03T00:00:00"/>
    <m/>
    <m/>
    <x v="1"/>
    <n v="55"/>
    <s v="Ruby Grace Garcia"/>
    <m/>
  </r>
  <r>
    <x v="384"/>
    <x v="0"/>
    <x v="2"/>
    <s v="CNOW_7210$$$0000057019 Project Control"/>
    <s v="L000013866"/>
    <s v="L000013866"/>
    <s v="Non-LFF"/>
    <s v=""/>
    <m/>
    <b v="1"/>
    <x v="2"/>
    <x v="0"/>
    <d v="2025-10-03T00:00:00"/>
    <m/>
    <m/>
    <x v="1"/>
    <n v="55"/>
    <s v="Ruby Grace Garcia"/>
    <m/>
  </r>
  <r>
    <x v="384"/>
    <x v="0"/>
    <x v="2"/>
    <s v="CORAERP_MMOR1945.5169 Molsheim E&amp;T"/>
    <s v="L000013866"/>
    <s v="L000013866"/>
    <s v="Non-LFF"/>
    <s v=""/>
    <m/>
    <b v="1"/>
    <x v="2"/>
    <x v="0"/>
    <d v="2025-10-03T00:00:00"/>
    <m/>
    <m/>
    <x v="1"/>
    <n v="55"/>
    <s v="Ruby Grace Garcia"/>
    <m/>
  </r>
  <r>
    <x v="384"/>
    <x v="0"/>
    <x v="2"/>
    <s v="CORAERP_MMOR1945.2239 Proj &amp; Eng - Central Europe"/>
    <s v="L000013866"/>
    <s v="L000013866"/>
    <s v="Non-LFF"/>
    <s v=""/>
    <m/>
    <b v="1"/>
    <x v="2"/>
    <x v="0"/>
    <d v="2025-10-03T00:00:00"/>
    <m/>
    <m/>
    <x v="1"/>
    <n v="55"/>
    <s v="Ruby Grace Garcia"/>
    <m/>
  </r>
  <r>
    <x v="384"/>
    <x v="0"/>
    <x v="2"/>
    <s v="CTEMPEU_1000FR60638000 LSS Global Ops Engineering"/>
    <s v="L000013866"/>
    <s v="L000013866"/>
    <s v="Non-LFF"/>
    <s v=""/>
    <m/>
    <b v="1"/>
    <x v="2"/>
    <x v="0"/>
    <d v="2025-10-03T00:00:00"/>
    <m/>
    <m/>
    <x v="1"/>
    <n v="55"/>
    <s v="Ruby Grace Garcia"/>
    <m/>
  </r>
  <r>
    <x v="384"/>
    <x v="0"/>
    <x v="2"/>
    <s v="CNOW_7210$$$0024068118 LSS Global Engineering UK"/>
    <s v="L000013866"/>
    <s v="L000013866"/>
    <s v="Non-LFF"/>
    <s v=""/>
    <m/>
    <b v="1"/>
    <x v="2"/>
    <x v="0"/>
    <d v="2025-10-03T00:00:00"/>
    <m/>
    <m/>
    <x v="1"/>
    <n v="55"/>
    <s v="Ruby Grace Garcia"/>
    <m/>
  </r>
  <r>
    <x v="384"/>
    <x v="0"/>
    <x v="2"/>
    <s v="CPHOENX_01010000664454 LS-SC-EAAC SME Global Automation CE"/>
    <s v="L000013867"/>
    <s v="L000013867"/>
    <s v="Non-LFF"/>
    <s v=""/>
    <m/>
    <b v="1"/>
    <x v="2"/>
    <x v="0"/>
    <d v="2025-10-03T00:00:00"/>
    <m/>
    <m/>
    <x v="1"/>
    <n v="55"/>
    <s v="Ruby Grace Garcia"/>
    <m/>
  </r>
  <r>
    <x v="384"/>
    <x v="0"/>
    <x v="2"/>
    <s v="CEMERAL_70006101TM0100 E&amp;T Proj &amp; Eng - Central Europe"/>
    <s v="L000013867"/>
    <s v="L000013867"/>
    <s v="Non-LFF"/>
    <s v=""/>
    <m/>
    <b v="1"/>
    <x v="2"/>
    <x v="0"/>
    <d v="2025-10-03T00:00:00"/>
    <m/>
    <m/>
    <x v="1"/>
    <n v="55"/>
    <s v="Ruby Grace Garcia"/>
    <m/>
  </r>
  <r>
    <x v="384"/>
    <x v="0"/>
    <x v="2"/>
    <s v="CNOW_7210$$$0000040193 Proj &amp; Eng - USA"/>
    <s v="L000013867"/>
    <s v="L000013867"/>
    <s v="Non-LFF"/>
    <s v=""/>
    <m/>
    <b v="1"/>
    <x v="2"/>
    <x v="0"/>
    <d v="2025-10-03T00:00:00"/>
    <m/>
    <m/>
    <x v="1"/>
    <n v="55"/>
    <s v="Ruby Grace Garcia"/>
    <m/>
  </r>
  <r>
    <x v="384"/>
    <x v="0"/>
    <x v="2"/>
    <s v="CLFF_7210$$$2102TMCZ90 CHK - Cherokee TechOps Cluster Personnel"/>
    <s v="L000013867"/>
    <s v="L000013867"/>
    <s v="LFF (MDG-F)"/>
    <s v="2102TMCZ90"/>
    <m/>
    <b v="1"/>
    <x v="2"/>
    <x v="0"/>
    <d v="2025-10-03T00:00:00"/>
    <m/>
    <m/>
    <x v="1"/>
    <n v="55"/>
    <s v="Ruby Grace Garcia"/>
    <m/>
  </r>
  <r>
    <x v="384"/>
    <x v="0"/>
    <x v="2"/>
    <s v="CNOW_7210$$$0000268118 LSS Global Engineering - Rockville"/>
    <s v="L000013867"/>
    <s v="L000013867"/>
    <s v="Non-LFF"/>
    <s v=""/>
    <m/>
    <b v="1"/>
    <x v="2"/>
    <x v="0"/>
    <d v="2025-10-03T00:00:00"/>
    <m/>
    <m/>
    <x v="1"/>
    <n v="55"/>
    <s v="Ruby Grace Garcia"/>
    <m/>
  </r>
  <r>
    <x v="384"/>
    <x v="0"/>
    <x v="2"/>
    <s v="CORAERP_MMOR1975.2696 Engineering - LSS Global Ops"/>
    <s v="L000013454"/>
    <s v="L000013454"/>
    <s v="Non-LFF"/>
    <s v=""/>
    <m/>
    <b v="1"/>
    <x v="2"/>
    <x v="0"/>
    <d v="2025-10-03T00:00:00"/>
    <m/>
    <m/>
    <x v="1"/>
    <n v="55"/>
    <s v="Ruby Grace Garcia"/>
    <m/>
  </r>
  <r>
    <x v="385"/>
    <x v="0"/>
    <x v="2"/>
    <s v="CNOW_7210$$$0000056428"/>
    <s v="L000013453"/>
    <s v="L000013453"/>
    <s v="Non-LFF"/>
    <s v=""/>
    <m/>
    <b v="1"/>
    <x v="2"/>
    <x v="0"/>
    <d v="2025-10-03T00:00:00"/>
    <m/>
    <m/>
    <x v="1"/>
    <n v="55"/>
    <s v="Ruby Grace Garcia"/>
    <m/>
  </r>
  <r>
    <x v="385"/>
    <x v="0"/>
    <x v="2"/>
    <s v="CLFF_7210$$$1937TMCZ95 LS-OOS S&amp;I Strat &amp; Transf."/>
    <s v="L000013866"/>
    <s v="L000013866"/>
    <s v="LFF (MDG-F)"/>
    <s v="1937TMCZ95"/>
    <m/>
    <b v="1"/>
    <x v="2"/>
    <x v="0"/>
    <d v="2025-10-03T00:00:00"/>
    <m/>
    <m/>
    <x v="1"/>
    <n v="55"/>
    <s v="Ruby Grace Garcia"/>
    <m/>
  </r>
  <r>
    <x v="386"/>
    <x v="0"/>
    <x v="2"/>
    <s v="CSCALA_1022$ITN_T03"/>
    <s v="G000000277"/>
    <s v="G000000277"/>
    <s v="Non-LFF"/>
    <s v=""/>
    <m/>
    <b v="1"/>
    <x v="0"/>
    <x v="0"/>
    <d v="2025-10-03T00:00:00"/>
    <m/>
    <m/>
    <x v="1"/>
    <n v="55"/>
    <s v="Jay-R Lizardo"/>
    <m/>
  </r>
  <r>
    <x v="386"/>
    <x v="0"/>
    <x v="2"/>
    <s v="CSCALA_1826$832_SBC"/>
    <s v="G000000895"/>
    <s v="G000000895"/>
    <s v="Non-LFF"/>
    <s v=""/>
    <m/>
    <b v="1"/>
    <x v="0"/>
    <x v="0"/>
    <d v="2025-10-03T00:00:00"/>
    <m/>
    <m/>
    <x v="1"/>
    <n v="55"/>
    <s v="Jay-R Lizardo"/>
    <m/>
  </r>
  <r>
    <x v="387"/>
    <x v="0"/>
    <x v="2"/>
    <s v="CLFF_1000$$$AE50R0GR12"/>
    <s v="H000004394"/>
    <s v="H000004394"/>
    <s v="LFF (MDG-F)"/>
    <s v="AE50R0GR12"/>
    <m/>
    <b v="1"/>
    <x v="1"/>
    <x v="0"/>
    <d v="2025-10-07T00:00:00"/>
    <m/>
    <m/>
    <x v="1"/>
    <n v="53"/>
    <s v="Henry Ifurung Jr."/>
    <m/>
  </r>
  <r>
    <x v="387"/>
    <x v="0"/>
    <x v="2"/>
    <s v="CTEMPEU_1000GB10003254 M157883"/>
    <s v="H000004394"/>
    <s v="H000004394"/>
    <s v="Non-LFF"/>
    <s v=""/>
    <m/>
    <b v="1"/>
    <x v="1"/>
    <x v="0"/>
    <d v="2025-10-07T00:00:00"/>
    <m/>
    <m/>
    <x v="1"/>
    <n v="53"/>
    <s v="Henry Ifurung Jr."/>
    <m/>
  </r>
  <r>
    <x v="388"/>
    <x v="0"/>
    <x v="2"/>
    <s v="CORAERP_MMOR1945.2450 2450 LS-SC - EW Global Eng and SMEs"/>
    <s v="L000013867"/>
    <s v="L000013867"/>
    <s v="Non-LFF"/>
    <s v=""/>
    <m/>
    <b v="1"/>
    <x v="2"/>
    <x v="0"/>
    <d v="2025-10-07T00:00:00"/>
    <m/>
    <m/>
    <x v="1"/>
    <n v="53"/>
    <s v="Ruby Grace Garcia"/>
    <m/>
  </r>
  <r>
    <x v="388"/>
    <x v="0"/>
    <x v="2"/>
    <s v="CNOW_7210$$$0000057021 LS-SC-EW 2047_Global Engineering &amp;SMEs"/>
    <s v="L000013867"/>
    <s v="L000013867"/>
    <s v="Non-LFF"/>
    <s v=""/>
    <m/>
    <b v="1"/>
    <x v="2"/>
    <x v="0"/>
    <d v="2025-10-07T00:00:00"/>
    <m/>
    <m/>
    <x v="1"/>
    <n v="53"/>
    <s v="Ruby Grace Garcia"/>
    <m/>
  </r>
  <r>
    <x v="389"/>
    <x v="0"/>
    <x v="2"/>
    <s v="CNOW_7210$$$0000040062"/>
    <s v="L000013453"/>
    <s v="L000013453"/>
    <s v="Non-LFF"/>
    <s v=""/>
    <m/>
    <b v="1"/>
    <x v="2"/>
    <x v="0"/>
    <d v="2025-10-07T00:00:00"/>
    <m/>
    <m/>
    <x v="1"/>
    <n v="53"/>
    <s v="Ruby Grace Garcia"/>
    <m/>
  </r>
  <r>
    <x v="389"/>
    <x v="0"/>
    <x v="2"/>
    <s v="CNOW_7210$$$0000040063"/>
    <s v="L000010190"/>
    <s v="L000010190"/>
    <s v="Non-LFF"/>
    <s v=""/>
    <m/>
    <b v="1"/>
    <x v="2"/>
    <x v="0"/>
    <d v="2025-10-07T00:00:00"/>
    <m/>
    <m/>
    <x v="1"/>
    <n v="53"/>
    <s v="Ruby Grace Garcia"/>
    <m/>
  </r>
  <r>
    <x v="389"/>
    <x v="0"/>
    <x v="2"/>
    <s v="CNOW_7210$$$0000040064"/>
    <s v="L000010190"/>
    <s v="L000010190"/>
    <s v="Non-LFF"/>
    <s v=""/>
    <m/>
    <b v="1"/>
    <x v="2"/>
    <x v="0"/>
    <d v="2025-10-07T00:00:00"/>
    <m/>
    <m/>
    <x v="1"/>
    <n v="53"/>
    <s v="Ruby Grace Garcia"/>
    <m/>
  </r>
  <r>
    <x v="389"/>
    <x v="0"/>
    <x v="2"/>
    <s v="CNOW_7210$$$0000040065"/>
    <s v="L000010190"/>
    <s v="L000010190"/>
    <s v="Non-LFF"/>
    <s v=""/>
    <m/>
    <b v="1"/>
    <x v="2"/>
    <x v="0"/>
    <d v="2025-10-07T00:00:00"/>
    <m/>
    <m/>
    <x v="1"/>
    <n v="53"/>
    <s v="Ruby Grace Garcia"/>
    <m/>
  </r>
  <r>
    <x v="389"/>
    <x v="0"/>
    <x v="2"/>
    <s v="CNOW_7210$$$0000040055"/>
    <s v="L000010190"/>
    <s v="L000010190"/>
    <s v="Non-LFF"/>
    <s v=""/>
    <m/>
    <b v="1"/>
    <x v="2"/>
    <x v="0"/>
    <d v="2025-10-07T00:00:00"/>
    <m/>
    <m/>
    <x v="1"/>
    <n v="53"/>
    <s v="Ruby Grace Garcia"/>
    <m/>
  </r>
  <r>
    <x v="389"/>
    <x v="0"/>
    <x v="2"/>
    <s v="CNOW_7210$$$0000052361"/>
    <s v="L000008415"/>
    <s v="L000008415"/>
    <s v="Non-LFF"/>
    <s v=""/>
    <m/>
    <b v="1"/>
    <x v="2"/>
    <x v="0"/>
    <d v="2025-10-07T00:00:00"/>
    <m/>
    <m/>
    <x v="1"/>
    <n v="53"/>
    <s v="Ruby Grace Garcia"/>
    <m/>
  </r>
  <r>
    <x v="389"/>
    <x v="0"/>
    <x v="2"/>
    <s v="CNOW_7210$$$0024050028"/>
    <s v="L000009356"/>
    <s v="L000009356"/>
    <s v="Non-LFF"/>
    <s v=""/>
    <m/>
    <b v="1"/>
    <x v="2"/>
    <x v="0"/>
    <d v="2025-10-07T00:00:00"/>
    <m/>
    <m/>
    <x v="1"/>
    <n v="53"/>
    <s v="Ruby Grace Garcia"/>
    <m/>
  </r>
  <r>
    <x v="389"/>
    <x v="0"/>
    <x v="2"/>
    <s v="CNOW_7210$$$0000040056"/>
    <s v="L000007219"/>
    <s v="L000007219"/>
    <s v="Non-LFF"/>
    <s v=""/>
    <m/>
    <b v="1"/>
    <x v="2"/>
    <x v="0"/>
    <d v="2025-10-07T00:00:00"/>
    <m/>
    <m/>
    <x v="1"/>
    <n v="53"/>
    <s v="Ruby Grace Garcia"/>
    <m/>
  </r>
  <r>
    <x v="389"/>
    <x v="0"/>
    <x v="2"/>
    <s v="CNOW_7210$$$0000057293"/>
    <s v="L000009969"/>
    <s v="L000009969"/>
    <s v="Non-LFF"/>
    <s v=""/>
    <m/>
    <b v="1"/>
    <x v="2"/>
    <x v="0"/>
    <d v="2025-10-07T00:00:00"/>
    <m/>
    <m/>
    <x v="1"/>
    <n v="53"/>
    <s v="Ruby Grace Garcia"/>
    <m/>
  </r>
  <r>
    <x v="389"/>
    <x v="0"/>
    <x v="2"/>
    <s v="CNOW_7210$$$0000040057"/>
    <s v="L000010020"/>
    <s v="L000010020"/>
    <s v="Non-LFF"/>
    <s v=""/>
    <m/>
    <b v="1"/>
    <x v="2"/>
    <x v="0"/>
    <d v="2025-10-07T00:00:00"/>
    <m/>
    <m/>
    <x v="1"/>
    <n v="53"/>
    <s v="Ruby Grace Garcia"/>
    <m/>
  </r>
  <r>
    <x v="389"/>
    <x v="0"/>
    <x v="2"/>
    <s v="CNOW_7210$$$0000000314"/>
    <s v="L000009814"/>
    <s v="L000009814"/>
    <s v="Non-LFF"/>
    <s v=""/>
    <m/>
    <b v="1"/>
    <x v="2"/>
    <x v="0"/>
    <d v="2025-10-07T00:00:00"/>
    <m/>
    <m/>
    <x v="1"/>
    <n v="53"/>
    <s v="Ruby Grace Garcia"/>
    <m/>
  </r>
  <r>
    <x v="389"/>
    <x v="0"/>
    <x v="2"/>
    <s v="CNOW_7210$$$0000059970"/>
    <s v="L000009361"/>
    <s v="L000009361"/>
    <s v="Non-LFF"/>
    <s v=""/>
    <m/>
    <b v="1"/>
    <x v="2"/>
    <x v="0"/>
    <d v="2025-10-07T00:00:00"/>
    <m/>
    <m/>
    <x v="1"/>
    <n v="53"/>
    <s v="Ruby Grace Garcia"/>
    <m/>
  </r>
  <r>
    <x v="374"/>
    <x v="0"/>
    <x v="2"/>
    <s v="CLFF_1000$$$DE10Z01000 Automatic account assignm"/>
    <s v="P000000427"/>
    <s v="P000000427"/>
    <s v="LFF (MDG-F)"/>
    <s v="DE10Z01000"/>
    <m/>
    <b v="1"/>
    <x v="3"/>
    <x v="3"/>
    <d v="2025-10-07T00:00:00"/>
    <m/>
    <m/>
    <x v="1"/>
    <n v="53"/>
    <s v="Roselle Delos Angeles"/>
    <m/>
  </r>
  <r>
    <x v="374"/>
    <x v="0"/>
    <x v="2"/>
    <s v="CLFF_1000$$$CN90Z01000 Finance technical cost center"/>
    <s v="P000000427"/>
    <s v="P000000427"/>
    <s v="LFF (MDG-F)"/>
    <s v="CN90Z01000"/>
    <m/>
    <b v="1"/>
    <x v="3"/>
    <x v="3"/>
    <d v="2025-10-07T00:00:00"/>
    <m/>
    <m/>
    <x v="1"/>
    <n v="53"/>
    <s v="Roselle Delos Angeles"/>
    <m/>
  </r>
  <r>
    <x v="374"/>
    <x v="0"/>
    <x v="2"/>
    <s v="CLFF_1000$$$ES50Z01000 Automatic account assignment via OKB9"/>
    <s v="P000000427"/>
    <s v="P000000427"/>
    <s v="LFF (MDG-F)"/>
    <s v="ES50Z01000"/>
    <m/>
    <b v="1"/>
    <x v="3"/>
    <x v="3"/>
    <d v="2025-10-07T00:00:00"/>
    <m/>
    <m/>
    <x v="1"/>
    <n v="53"/>
    <s v="Roselle Delos Angeles"/>
    <m/>
  </r>
  <r>
    <x v="374"/>
    <x v="0"/>
    <x v="2"/>
    <s v="CLFF_1000$$$CN03Z01000 OKB9 Cost Center and accounting CC"/>
    <s v="P000000427"/>
    <s v="P000000427"/>
    <s v="LFF (MDG-F)"/>
    <s v="CN03Z01000"/>
    <m/>
    <b v="1"/>
    <x v="3"/>
    <x v="3"/>
    <d v="2025-10-07T00:00:00"/>
    <m/>
    <m/>
    <x v="1"/>
    <n v="53"/>
    <s v="Roselle Delos Angeles"/>
    <m/>
  </r>
  <r>
    <x v="374"/>
    <x v="0"/>
    <x v="2"/>
    <s v="CLFF_1000$$$IN01Z01000 OKB9 Cost Center"/>
    <s v="P000000427"/>
    <s v="P000000427"/>
    <s v="LFF (MDG-F)"/>
    <s v="IN01Z01000"/>
    <m/>
    <b v="1"/>
    <x v="3"/>
    <x v="3"/>
    <d v="2025-10-07T00:00:00"/>
    <m/>
    <m/>
    <x v="1"/>
    <n v="53"/>
    <s v="Roselle Delos Angeles"/>
    <m/>
  </r>
  <r>
    <x v="374"/>
    <x v="0"/>
    <x v="2"/>
    <s v="CLFF_1000$$$SG09Z01000 OKB9 Cost Center"/>
    <s v="P000000427"/>
    <s v="P000000427"/>
    <s v="LFF (MDG-F)"/>
    <s v="SG09Z01000"/>
    <m/>
    <b v="1"/>
    <x v="3"/>
    <x v="3"/>
    <d v="2025-10-07T00:00:00"/>
    <m/>
    <m/>
    <x v="1"/>
    <n v="53"/>
    <s v="Roselle Delos Angeles"/>
    <m/>
  </r>
  <r>
    <x v="374"/>
    <x v="0"/>
    <x v="2"/>
    <s v="CEMERAL_70007001581585"/>
    <s v="P000000427"/>
    <s v="P000000427"/>
    <s v="Non-LFF"/>
    <s v=""/>
    <m/>
    <b v="1"/>
    <x v="3"/>
    <x v="3"/>
    <d v="2025-10-07T00:00:00"/>
    <m/>
    <m/>
    <x v="1"/>
    <n v="53"/>
    <s v="Roselle Delos Angeles"/>
    <m/>
  </r>
  <r>
    <x v="374"/>
    <x v="0"/>
    <x v="2"/>
    <s v="CLFF_1000$$$CN01Z01000 OKB9 Cost Center"/>
    <s v="P000000427"/>
    <s v="P000000427"/>
    <s v="LFF (MDG-F)"/>
    <s v="CN01Z01000"/>
    <m/>
    <b v="1"/>
    <x v="3"/>
    <x v="3"/>
    <d v="2025-10-07T00:00:00"/>
    <m/>
    <m/>
    <x v="1"/>
    <n v="53"/>
    <s v="Roselle Delos Angeles"/>
    <m/>
  </r>
  <r>
    <x v="374"/>
    <x v="0"/>
    <x v="2"/>
    <s v="CLFF_1000$$$DE04Z01000 Automatic account assignment via OKB9"/>
    <s v="P000000427"/>
    <s v="P000000427"/>
    <s v="LFF (MDG-F)"/>
    <s v="DE04Z01000"/>
    <m/>
    <b v="1"/>
    <x v="3"/>
    <x v="3"/>
    <d v="2025-10-07T00:00:00"/>
    <m/>
    <m/>
    <x v="1"/>
    <n v="53"/>
    <s v="Roselle Delos Angeles"/>
    <m/>
  </r>
  <r>
    <x v="374"/>
    <x v="0"/>
    <x v="2"/>
    <s v="CLFF_KR00$$$KR03Z01000 OKB9 Cost Center"/>
    <s v="P000000427"/>
    <s v="P000000427"/>
    <s v="LFF (MDG-F)"/>
    <s v="KR03Z01000"/>
    <m/>
    <b v="1"/>
    <x v="3"/>
    <x v="3"/>
    <d v="2025-10-07T00:00:00"/>
    <m/>
    <m/>
    <x v="1"/>
    <n v="53"/>
    <s v="Roselle Delos Angeles"/>
    <m/>
  </r>
  <r>
    <x v="374"/>
    <x v="0"/>
    <x v="2"/>
    <s v="CLFF_1000$$$US01Z01000 OKB9 Cost Center"/>
    <s v="P000000427"/>
    <s v="P000000427"/>
    <s v="LFF (MDG-F)"/>
    <s v="US01Z01000"/>
    <m/>
    <b v="1"/>
    <x v="3"/>
    <x v="3"/>
    <d v="2025-10-07T00:00:00"/>
    <m/>
    <m/>
    <x v="1"/>
    <n v="53"/>
    <s v="Roselle Delos Angeles"/>
    <m/>
  </r>
  <r>
    <x v="374"/>
    <x v="0"/>
    <x v="2"/>
    <s v="CLFF_1000$$$TW02Z01000 OKB9 Cost Center"/>
    <s v="P000000427"/>
    <s v="P000000427"/>
    <s v="LFF (MDG-F)"/>
    <s v="TW02Z01000"/>
    <m/>
    <b v="1"/>
    <x v="3"/>
    <x v="3"/>
    <d v="2025-10-07T00:00:00"/>
    <m/>
    <m/>
    <x v="1"/>
    <n v="53"/>
    <s v="Roselle Delos Angeles"/>
    <m/>
  </r>
  <r>
    <x v="390"/>
    <x v="0"/>
    <x v="2"/>
    <s v="CNOW_7210$$$0000056007 Mobius Warehouse-Distri"/>
    <s v="L000009278"/>
    <s v="L000009278"/>
    <s v="Non-LFF"/>
    <s v=""/>
    <m/>
    <b v="1"/>
    <x v="2"/>
    <x v="0"/>
    <d v="2025-10-09T00:00:00"/>
    <m/>
    <m/>
    <x v="1"/>
    <n v="51"/>
    <s v="Ruby Grace Garcia"/>
    <m/>
  </r>
  <r>
    <x v="390"/>
    <x v="0"/>
    <x v="2"/>
    <s v="CNOW_7210$$$0000056057 Mobius Warehouse-Dist"/>
    <s v="L000009278"/>
    <s v="L000009278"/>
    <s v="Non-LFF"/>
    <s v=""/>
    <m/>
    <b v="1"/>
    <x v="2"/>
    <x v="0"/>
    <d v="2025-10-09T00:00:00"/>
    <m/>
    <m/>
    <x v="1"/>
    <n v="51"/>
    <s v="Ruby Grace Garcia"/>
    <m/>
  </r>
  <r>
    <x v="390"/>
    <x v="0"/>
    <x v="2"/>
    <s v="CNOW_7210$$$0000059933 WUXI DISTRIBUTION for FG OUTPUT"/>
    <s v="L000009278"/>
    <s v="L000009278"/>
    <s v="Non-LFF"/>
    <s v=""/>
    <m/>
    <b v="1"/>
    <x v="2"/>
    <x v="0"/>
    <d v="2025-10-09T00:00:00"/>
    <m/>
    <m/>
    <x v="1"/>
    <n v="51"/>
    <s v="Ruby Grace Garcia"/>
    <m/>
  </r>
  <r>
    <x v="390"/>
    <x v="0"/>
    <x v="2"/>
    <s v="CNOW_7210$$$0000059983 WUXI DISTRIBUTION for FG OUTPUT"/>
    <s v="L000009278"/>
    <s v="L000009278"/>
    <s v="Non-LFF"/>
    <s v=""/>
    <m/>
    <b v="1"/>
    <x v="2"/>
    <x v="0"/>
    <d v="2025-10-09T00:00:00"/>
    <m/>
    <m/>
    <x v="1"/>
    <n v="51"/>
    <s v="Ruby Grace Garcia"/>
    <m/>
  </r>
  <r>
    <x v="391"/>
    <x v="0"/>
    <x v="2"/>
    <s v="CEMERAL_70007001581191"/>
    <s v="L000008464"/>
    <s v="L000008464"/>
    <s v="Non-LFF"/>
    <s v=""/>
    <m/>
    <b v="1"/>
    <x v="2"/>
    <x v="0"/>
    <d v="2025-10-16T00:00:00"/>
    <m/>
    <m/>
    <x v="1"/>
    <n v="46"/>
    <s v="Ruby Grace Garcia"/>
    <m/>
  </r>
  <r>
    <x v="392"/>
    <x v="0"/>
    <x v="2"/>
    <s v="CLFF_1000$$$FI50R00004 Regulatory Head"/>
    <s v="H000000729"/>
    <s v="H000000729"/>
    <s v="LFF (MDG-F)"/>
    <s v="FI50R00004"/>
    <m/>
    <b v="1"/>
    <x v="1"/>
    <x v="0"/>
    <d v="2025-10-16T00:00:00"/>
    <m/>
    <m/>
    <x v="1"/>
    <n v="46"/>
    <s v="Erjo Miguel Tagle"/>
    <m/>
  </r>
  <r>
    <x v="392"/>
    <x v="0"/>
    <x v="2"/>
    <s v="CLFF_1000$$$FI50R00009 Nordic Drug safety"/>
    <s v="H000000803"/>
    <s v="H000000803"/>
    <s v="LFF (MDG-F)"/>
    <s v="FI50R00009"/>
    <m/>
    <b v="1"/>
    <x v="1"/>
    <x v="0"/>
    <d v="2025-10-16T00:00:00"/>
    <m/>
    <m/>
    <x v="1"/>
    <n v="46"/>
    <s v="Erjo Miguel Tagle"/>
    <m/>
  </r>
  <r>
    <x v="393"/>
    <x v="0"/>
    <x v="2"/>
    <s v="CNOW_7210$$$0000056965"/>
    <s v="L000011379"/>
    <s v="L000011379"/>
    <s v="Non-LFF"/>
    <s v=""/>
    <m/>
    <b v="1"/>
    <x v="0"/>
    <x v="0"/>
    <d v="2025-10-16T00:00:00"/>
    <m/>
    <m/>
    <x v="1"/>
    <n v="46"/>
    <s v="Diana William"/>
    <m/>
  </r>
  <r>
    <x v="394"/>
    <x v="0"/>
    <x v="2"/>
    <s v="CPHOENX_01010000111111"/>
    <s v="L000011379"/>
    <s v="L000011379"/>
    <s v="Non-LFF"/>
    <s v=""/>
    <m/>
    <b v="1"/>
    <x v="0"/>
    <x v="0"/>
    <d v="2025-10-16T00:00:00"/>
    <m/>
    <m/>
    <x v="1"/>
    <n v="46"/>
    <s v="Diana William"/>
    <m/>
  </r>
  <r>
    <x v="395"/>
    <x v="0"/>
    <x v="2"/>
    <s v="RD230009 HPD8301 (Abrasive) for GF SoN Slurry"/>
    <s v="P000001016"/>
    <s v="P000001016"/>
    <s v="Non-LFF"/>
    <s v=""/>
    <m/>
    <b v="1"/>
    <x v="3"/>
    <x v="0"/>
    <d v="2025-10-17T00:00:00"/>
    <m/>
    <m/>
    <x v="1"/>
    <n v="45"/>
    <s v="John Rowie Del Rosario"/>
    <m/>
  </r>
  <r>
    <x v="395"/>
    <x v="0"/>
    <x v="2"/>
    <s v="DP000024000000 DP1316 Cu bulk slurry for Micron"/>
    <s v="P000001016"/>
    <s v="P000001016"/>
    <s v="Non-LFF"/>
    <s v=""/>
    <m/>
    <b v="1"/>
    <x v="3"/>
    <x v="0"/>
    <d v="2025-10-17T00:00:00"/>
    <m/>
    <m/>
    <x v="1"/>
    <n v="45"/>
    <s v="John Rowie Del Rosario"/>
    <m/>
  </r>
  <r>
    <x v="395"/>
    <x v="0"/>
    <x v="2"/>
    <s v="D00130900000000 Selective SiGe etching for GAA"/>
    <s v="P000001013"/>
    <s v="P000001013"/>
    <s v="Non-LFF"/>
    <s v=""/>
    <m/>
    <b v="1"/>
    <x v="3"/>
    <x v="0"/>
    <d v="2025-10-17T00:00:00"/>
    <m/>
    <m/>
    <x v="1"/>
    <n v="45"/>
    <s v="John Rowie Del Rosario"/>
    <m/>
  </r>
  <r>
    <x v="395"/>
    <x v="0"/>
    <x v="2"/>
    <s v="D00131100000000 DSA LS Rectification"/>
    <s v="P000001013"/>
    <s v="P000001013"/>
    <s v="Non-LFF"/>
    <s v=""/>
    <m/>
    <b v="1"/>
    <x v="3"/>
    <x v="0"/>
    <d v="2025-10-17T00:00:00"/>
    <m/>
    <m/>
    <x v="1"/>
    <n v="45"/>
    <s v="John Rowie Del Rosario"/>
    <m/>
  </r>
  <r>
    <x v="395"/>
    <x v="0"/>
    <x v="2"/>
    <s v="D00131200000000 KrF Positive-tone Patterning"/>
    <s v="P000001013"/>
    <s v="P000001013"/>
    <s v="Non-LFF"/>
    <s v=""/>
    <m/>
    <b v="1"/>
    <x v="3"/>
    <x v="0"/>
    <d v="2025-10-17T00:00:00"/>
    <m/>
    <m/>
    <x v="1"/>
    <n v="45"/>
    <s v="John Rowie Del Rosario"/>
    <m/>
  </r>
  <r>
    <x v="395"/>
    <x v="0"/>
    <x v="2"/>
    <s v="D00131400000000 AP-SCR(R) 804 (Roswell)"/>
    <s v="P000001010"/>
    <s v="P000001010"/>
    <s v="Non-LFF"/>
    <s v=""/>
    <m/>
    <b v="1"/>
    <x v="3"/>
    <x v="0"/>
    <d v="2025-10-17T00:00:00"/>
    <m/>
    <m/>
    <x v="1"/>
    <n v="45"/>
    <s v="John Rowie Del Rosario"/>
    <m/>
  </r>
  <r>
    <x v="395"/>
    <x v="0"/>
    <x v="2"/>
    <s v="D00131500000000 SOD Productivity Project Cost Collector"/>
    <s v="P000001010"/>
    <s v="P000001010"/>
    <s v="Non-LFF"/>
    <s v=""/>
    <m/>
    <b v="1"/>
    <x v="3"/>
    <x v="0"/>
    <d v="2025-10-17T00:00:00"/>
    <m/>
    <m/>
    <x v="1"/>
    <n v="45"/>
    <s v="John Rowie Del Rosario"/>
    <m/>
  </r>
  <r>
    <x v="395"/>
    <x v="0"/>
    <x v="2"/>
    <s v="D00131600000000 SOD Siloxane and Adv. Pack. Incubator"/>
    <s v="P000001010"/>
    <s v="P000001010"/>
    <s v="Non-LFF"/>
    <s v=""/>
    <m/>
    <b v="1"/>
    <x v="3"/>
    <x v="0"/>
    <d v="2025-10-17T00:00:00"/>
    <m/>
    <m/>
    <x v="1"/>
    <n v="45"/>
    <s v="John Rowie Del Rosario"/>
    <m/>
  </r>
  <r>
    <x v="395"/>
    <x v="0"/>
    <x v="2"/>
    <s v="D00131700000000 Polysilazane SOD Incubator"/>
    <s v="P000001010"/>
    <s v="P000001010"/>
    <s v="Non-LFF"/>
    <s v=""/>
    <m/>
    <b v="1"/>
    <x v="3"/>
    <x v="0"/>
    <d v="2025-10-17T00:00:00"/>
    <m/>
    <m/>
    <x v="1"/>
    <n v="45"/>
    <s v="John Rowie Del Rosario"/>
    <m/>
  </r>
  <r>
    <x v="395"/>
    <x v="0"/>
    <x v="2"/>
    <s v="D00131800000000 Polar Bear iLine PD 2025 PAG 7"/>
    <s v="P000001013"/>
    <s v="P000001013"/>
    <s v="Non-LFF"/>
    <s v=""/>
    <m/>
    <b v="1"/>
    <x v="3"/>
    <x v="0"/>
    <d v="2025-10-17T00:00:00"/>
    <m/>
    <m/>
    <x v="1"/>
    <n v="45"/>
    <s v="John Rowie Del Rosario"/>
    <m/>
  </r>
  <r>
    <x v="395"/>
    <x v="0"/>
    <x v="2"/>
    <s v="D00133200000000 Poly(methyl)phenylsilane feasibility"/>
    <s v="P000001010"/>
    <s v="P000001010"/>
    <s v="Non-LFF"/>
    <s v=""/>
    <m/>
    <b v="1"/>
    <x v="3"/>
    <x v="0"/>
    <d v="2025-10-17T00:00:00"/>
    <m/>
    <m/>
    <x v="1"/>
    <n v="45"/>
    <s v="John Rowie Del Rosario"/>
    <m/>
  </r>
  <r>
    <x v="395"/>
    <x v="0"/>
    <x v="2"/>
    <s v="D00133300000000 MoOBUT"/>
    <s v="P000001010"/>
    <s v="P000001010"/>
    <s v="Non-LFF"/>
    <s v=""/>
    <m/>
    <b v="1"/>
    <x v="3"/>
    <x v="0"/>
    <d v="2025-10-17T00:00:00"/>
    <m/>
    <m/>
    <x v="1"/>
    <n v="45"/>
    <s v="John Rowie Del Rosario"/>
    <m/>
  </r>
  <r>
    <x v="396"/>
    <x v="0"/>
    <x v="2"/>
    <s v="CLFF_7210$$$2053R00001 HPLC AA R&amp;D"/>
    <s v="L000009171"/>
    <s v="L000009171"/>
    <s v="LFF (MDG-F)"/>
    <s v="2053R00001"/>
    <m/>
    <b v="1"/>
    <x v="2"/>
    <x v="0"/>
    <d v="2025-10-22T00:00:00"/>
    <m/>
    <m/>
    <x v="1"/>
    <n v="42"/>
    <s v="Ruby Grace Garcia"/>
    <m/>
  </r>
  <r>
    <x v="396"/>
    <x v="0"/>
    <x v="2"/>
    <s v="CLFF_7210$$$2123R00004 LSC R&amp;D Development"/>
    <s v="L000009171"/>
    <s v="L000009171"/>
    <s v="LFF (MDG-F)"/>
    <s v="2123R00004"/>
    <m/>
    <b v="1"/>
    <x v="2"/>
    <x v="0"/>
    <d v="2025-10-22T00:00:00"/>
    <m/>
    <m/>
    <x v="1"/>
    <n v="42"/>
    <s v="Ruby Grace Garcia"/>
    <m/>
  </r>
  <r>
    <x v="396"/>
    <x v="0"/>
    <x v="2"/>
    <s v="CTEMPEU_1000AT40RD0001 Workflows R&amp;D"/>
    <s v="L000009171"/>
    <s v="L000009171"/>
    <s v="Non-LFF"/>
    <s v=""/>
    <m/>
    <b v="1"/>
    <x v="2"/>
    <x v="0"/>
    <d v="2025-10-22T00:00:00"/>
    <m/>
    <m/>
    <x v="1"/>
    <n v="42"/>
    <s v="Ruby Grace Garcia"/>
    <m/>
  </r>
  <r>
    <x v="396"/>
    <x v="0"/>
    <x v="2"/>
    <s v="CNOW_7210$$$0000006025 R&amp;D Cerilliant Workflow Team"/>
    <s v="L000009171"/>
    <s v="L000009171"/>
    <s v="Non-LFF"/>
    <s v=""/>
    <m/>
    <b v="1"/>
    <x v="2"/>
    <x v="0"/>
    <d v="2025-10-22T00:00:00"/>
    <m/>
    <m/>
    <x v="1"/>
    <n v="42"/>
    <s v="Ruby Grace Garcia"/>
    <m/>
  </r>
  <r>
    <x v="397"/>
    <x v="0"/>
    <x v="2"/>
    <s v="CNOW_7210$$$0000040057 Taunton Closure Exceptional 1 Time Costs"/>
    <s v="L000009814"/>
    <s v="L000009814"/>
    <s v="Non-LFF"/>
    <s v=""/>
    <m/>
    <b v="1"/>
    <x v="2"/>
    <x v="0"/>
    <d v="2025-10-22T00:00:00"/>
    <m/>
    <m/>
    <x v="1"/>
    <n v="42"/>
    <s v="Ruby Grace Garcia"/>
    <m/>
  </r>
  <r>
    <x v="397"/>
    <x v="0"/>
    <x v="2"/>
    <s v="CEMERAL_70007001581191"/>
    <s v="L000008464"/>
    <s v="L000008464"/>
    <s v="Non-LFF"/>
    <s v=""/>
    <m/>
    <b v="1"/>
    <x v="2"/>
    <x v="0"/>
    <d v="2025-10-22T00:00:00"/>
    <m/>
    <m/>
    <x v="1"/>
    <n v="42"/>
    <s v="Ruby Grace Garcia"/>
    <m/>
  </r>
  <r>
    <x v="398"/>
    <x v="0"/>
    <x v="2"/>
    <s v="CLFF_1000$$$DE01TAWA03"/>
    <s v="P000000240"/>
    <s v="P000000240"/>
    <s v="LFF (MDG-F)"/>
    <s v="DE01TAWA03"/>
    <m/>
    <b v="1"/>
    <x v="3"/>
    <x v="0"/>
    <d v="2025-10-22T00:00:00"/>
    <m/>
    <m/>
    <x v="1"/>
    <n v="42"/>
    <s v="Paulina Ciepluch"/>
    <m/>
  </r>
  <r>
    <x v="398"/>
    <x v="0"/>
    <x v="2"/>
    <s v="CLFF_1000$$$DE01TAWA04"/>
    <s v="P000000240"/>
    <s v="P000000240"/>
    <s v="LFF (MDG-F)"/>
    <s v="DE01TAWA04"/>
    <m/>
    <b v="1"/>
    <x v="3"/>
    <x v="0"/>
    <d v="2025-10-22T00:00:00"/>
    <m/>
    <m/>
    <x v="1"/>
    <n v="42"/>
    <s v="Paulina Ciepluch"/>
    <m/>
  </r>
  <r>
    <x v="398"/>
    <x v="0"/>
    <x v="2"/>
    <s v="CLFF_1000$$$DE01TAWA10"/>
    <s v="P000000240"/>
    <s v="P000000240"/>
    <s v="LFF (MDG-F)"/>
    <s v="DE01TAWA10"/>
    <m/>
    <b v="1"/>
    <x v="3"/>
    <x v="0"/>
    <d v="2025-10-22T00:00:00"/>
    <m/>
    <m/>
    <x v="1"/>
    <n v="42"/>
    <s v="Paulina Ciepluch"/>
    <m/>
  </r>
  <r>
    <x v="398"/>
    <x v="0"/>
    <x v="2"/>
    <s v="CLFF_1000$$$DE01TAWA20"/>
    <s v="P000000240"/>
    <s v="P000000240"/>
    <s v="LFF (MDG-F)"/>
    <s v="DE01TAWA20"/>
    <m/>
    <b v="1"/>
    <x v="3"/>
    <x v="0"/>
    <d v="2025-10-22T00:00:00"/>
    <m/>
    <m/>
    <x v="1"/>
    <n v="42"/>
    <s v="Paulina Ciepluch"/>
    <m/>
  </r>
  <r>
    <x v="398"/>
    <x v="0"/>
    <x v="2"/>
    <s v="CLFF_1000$$$DE01TAWA31"/>
    <s v="P000000240"/>
    <s v="P000000240"/>
    <s v="LFF (MDG-F)"/>
    <s v="DE01TAWA31"/>
    <m/>
    <b v="1"/>
    <x v="3"/>
    <x v="0"/>
    <d v="2025-10-22T00:00:00"/>
    <m/>
    <m/>
    <x v="1"/>
    <n v="42"/>
    <s v="Paulina Ciepluch"/>
    <m/>
  </r>
  <r>
    <x v="398"/>
    <x v="0"/>
    <x v="2"/>
    <s v="CLFF_1000$$$DE01TAWA32"/>
    <s v="P000000240"/>
    <s v="P000000240"/>
    <s v="LFF (MDG-F)"/>
    <s v="DE01TAWA32"/>
    <m/>
    <b v="1"/>
    <x v="3"/>
    <x v="0"/>
    <d v="2025-10-22T00:00:00"/>
    <m/>
    <m/>
    <x v="1"/>
    <n v="42"/>
    <s v="Paulina Ciepluch"/>
    <m/>
  </r>
  <r>
    <x v="398"/>
    <x v="0"/>
    <x v="2"/>
    <s v="CLFF_1000$$$DE01TAWA40"/>
    <s v="P000000240"/>
    <s v="P000000240"/>
    <s v="LFF (MDG-F)"/>
    <s v="DE01TAWA40"/>
    <m/>
    <b v="1"/>
    <x v="3"/>
    <x v="0"/>
    <d v="2025-10-22T00:00:00"/>
    <m/>
    <m/>
    <x v="1"/>
    <n v="42"/>
    <s v="Paulina Ciepluch"/>
    <m/>
  </r>
  <r>
    <x v="398"/>
    <x v="0"/>
    <x v="2"/>
    <s v="CLFF_1000$$$DE01TAWA50"/>
    <s v="P000000240"/>
    <s v="P000000240"/>
    <s v="LFF (MDG-F)"/>
    <s v="DE01TAWA50"/>
    <m/>
    <b v="1"/>
    <x v="3"/>
    <x v="0"/>
    <d v="2025-10-22T00:00:00"/>
    <m/>
    <m/>
    <x v="1"/>
    <n v="42"/>
    <s v="Paulina Ciepluch"/>
    <m/>
  </r>
  <r>
    <x v="398"/>
    <x v="0"/>
    <x v="2"/>
    <s v="CLFF_1000$$$DE01TAWA53"/>
    <s v="P000000240"/>
    <s v="P000000240"/>
    <s v="LFF (MDG-F)"/>
    <s v="DE01TAWA53"/>
    <m/>
    <b v="1"/>
    <x v="3"/>
    <x v="0"/>
    <d v="2025-10-22T00:00:00"/>
    <m/>
    <m/>
    <x v="1"/>
    <n v="42"/>
    <s v="Paulina Ciepluch"/>
    <m/>
  </r>
  <r>
    <x v="398"/>
    <x v="0"/>
    <x v="2"/>
    <s v="CLFF_1000$$$DE01TAWA61"/>
    <s v="P000000240"/>
    <s v="P000000240"/>
    <s v="LFF (MDG-F)"/>
    <s v="DE01TAWA61"/>
    <m/>
    <b v="1"/>
    <x v="3"/>
    <x v="0"/>
    <d v="2025-10-22T00:00:00"/>
    <m/>
    <m/>
    <x v="1"/>
    <n v="42"/>
    <s v="Paulina Ciepluch"/>
    <m/>
  </r>
  <r>
    <x v="398"/>
    <x v="0"/>
    <x v="2"/>
    <s v="CLFF_1000$$$DE01TAWA62"/>
    <s v="P000000240"/>
    <s v="P000000240"/>
    <s v="LFF (MDG-F)"/>
    <s v="DE01TAWA62"/>
    <m/>
    <b v="1"/>
    <x v="3"/>
    <x v="0"/>
    <d v="2025-10-22T00:00:00"/>
    <m/>
    <m/>
    <x v="1"/>
    <n v="42"/>
    <s v="Paulina Ciepluch"/>
    <m/>
  </r>
  <r>
    <x v="398"/>
    <x v="0"/>
    <x v="2"/>
    <s v="CLFF_1000$$$DE01TAWA63"/>
    <s v="P000000240"/>
    <s v="P000000240"/>
    <s v="LFF (MDG-F)"/>
    <s v="DE01TAWA63"/>
    <m/>
    <b v="1"/>
    <x v="3"/>
    <x v="0"/>
    <d v="2025-10-22T00:00:00"/>
    <m/>
    <m/>
    <x v="1"/>
    <n v="42"/>
    <s v="Paulina Ciepluch"/>
    <m/>
  </r>
  <r>
    <x v="398"/>
    <x v="0"/>
    <x v="2"/>
    <s v="CLFF_1000$$$DE01TAWA64"/>
    <s v="P000000240"/>
    <s v="P000000240"/>
    <s v="LFF (MDG-F)"/>
    <s v="DE01TAWA64"/>
    <m/>
    <b v="1"/>
    <x v="3"/>
    <x v="0"/>
    <d v="2025-10-22T00:00:00"/>
    <m/>
    <m/>
    <x v="1"/>
    <n v="42"/>
    <s v="Paulina Ciepluch"/>
    <m/>
  </r>
  <r>
    <x v="398"/>
    <x v="0"/>
    <x v="2"/>
    <s v="CLFF_1000$$$DE01TAWA70"/>
    <s v="P000000240"/>
    <s v="P000000240"/>
    <s v="LFF (MDG-F)"/>
    <s v="DE01TAWA70"/>
    <m/>
    <b v="1"/>
    <x v="3"/>
    <x v="0"/>
    <d v="2025-10-22T00:00:00"/>
    <m/>
    <m/>
    <x v="1"/>
    <n v="42"/>
    <s v="Paulina Ciepluch"/>
    <m/>
  </r>
  <r>
    <x v="398"/>
    <x v="0"/>
    <x v="2"/>
    <s v="CLFF_1000$$$DE01TAWA73"/>
    <s v="P000000240"/>
    <s v="P000000240"/>
    <s v="LFF (MDG-F)"/>
    <s v="DE01TAWA73"/>
    <m/>
    <b v="1"/>
    <x v="3"/>
    <x v="0"/>
    <d v="2025-10-22T00:00:00"/>
    <m/>
    <m/>
    <x v="1"/>
    <n v="42"/>
    <s v="Paulina Ciepluch"/>
    <m/>
  </r>
  <r>
    <x v="398"/>
    <x v="0"/>
    <x v="2"/>
    <s v="CLFF_1000$$$DE01TAWA74"/>
    <s v="P000000240"/>
    <s v="P000000240"/>
    <s v="LFF (MDG-F)"/>
    <s v="DE01TAWA74"/>
    <m/>
    <b v="1"/>
    <x v="3"/>
    <x v="0"/>
    <d v="2025-10-22T00:00:00"/>
    <m/>
    <m/>
    <x v="1"/>
    <n v="42"/>
    <s v="Paulina Ciepluch"/>
    <m/>
  </r>
  <r>
    <x v="398"/>
    <x v="0"/>
    <x v="2"/>
    <s v="CLFF_1000$$$DE01TAWA80"/>
    <s v="P000000240"/>
    <s v="P000000240"/>
    <s v="LFF (MDG-F)"/>
    <s v="DE01TAWA80"/>
    <m/>
    <b v="1"/>
    <x v="3"/>
    <x v="0"/>
    <d v="2025-10-22T00:00:00"/>
    <m/>
    <m/>
    <x v="1"/>
    <n v="42"/>
    <s v="Paulina Ciepluch"/>
    <m/>
  </r>
  <r>
    <x v="398"/>
    <x v="0"/>
    <x v="2"/>
    <s v="CLFF_1000$$$DE01TAWA84"/>
    <s v="P000000240"/>
    <s v="P000000240"/>
    <s v="LFF (MDG-F)"/>
    <s v="DE01TAWA84"/>
    <m/>
    <b v="1"/>
    <x v="3"/>
    <x v="0"/>
    <d v="2025-10-22T00:00:00"/>
    <m/>
    <m/>
    <x v="1"/>
    <n v="42"/>
    <s v="Paulina Ciepluch"/>
    <m/>
  </r>
  <r>
    <x v="398"/>
    <x v="0"/>
    <x v="2"/>
    <s v="CLFF_1000$$$DE01TAWA90"/>
    <s v="P000000240"/>
    <s v="P000000240"/>
    <s v="LFF (MDG-F)"/>
    <s v="DE01TAWA90"/>
    <m/>
    <b v="1"/>
    <x v="3"/>
    <x v="0"/>
    <d v="2025-10-22T00:00:00"/>
    <m/>
    <m/>
    <x v="1"/>
    <n v="42"/>
    <s v="Paulina Ciepluch"/>
    <m/>
  </r>
  <r>
    <x v="398"/>
    <x v="0"/>
    <x v="2"/>
    <s v="CLFF_1000$$$DE01TAWA93"/>
    <s v="P000000240"/>
    <s v="P000000240"/>
    <s v="LFF (MDG-F)"/>
    <s v="DE01TAWA93"/>
    <m/>
    <b v="1"/>
    <x v="3"/>
    <x v="0"/>
    <d v="2025-10-22T00:00:00"/>
    <m/>
    <m/>
    <x v="1"/>
    <n v="42"/>
    <s v="Paulina Ciepluch"/>
    <m/>
  </r>
  <r>
    <x v="399"/>
    <x v="0"/>
    <x v="2"/>
    <s v="CTEMPEU_1000PL10K01000"/>
    <s v="H000004594"/>
    <s v="H000004594"/>
    <s v="Non-LFF"/>
    <s v=""/>
    <m/>
    <b v="1"/>
    <x v="1"/>
    <x v="0"/>
    <d v="2025-10-22T00:00:00"/>
    <m/>
    <m/>
    <x v="1"/>
    <n v="42"/>
    <s v="Anna Glab"/>
    <m/>
  </r>
  <r>
    <x v="399"/>
    <x v="0"/>
    <x v="2"/>
    <s v="CTEMPEU_1000PL10K02000"/>
    <s v="H000004593"/>
    <s v="H000004593"/>
    <s v="Non-LFF"/>
    <s v=""/>
    <m/>
    <b v="1"/>
    <x v="1"/>
    <x v="0"/>
    <d v="2025-10-22T00:00:00"/>
    <m/>
    <m/>
    <x v="1"/>
    <n v="42"/>
    <s v="Anna Glab"/>
    <m/>
  </r>
  <r>
    <x v="399"/>
    <x v="0"/>
    <x v="2"/>
    <s v="CTEMPEU_1000PL10K03000"/>
    <s v="H000004605"/>
    <s v="H000004605"/>
    <s v="Non-LFF"/>
    <s v=""/>
    <m/>
    <b v="1"/>
    <x v="1"/>
    <x v="0"/>
    <d v="2025-10-22T00:00:00"/>
    <m/>
    <m/>
    <x v="1"/>
    <n v="42"/>
    <s v="Anna Glab"/>
    <m/>
  </r>
  <r>
    <x v="400"/>
    <x v="0"/>
    <x v="2"/>
    <s v="CLFF_1000$$$JP03L3M303"/>
    <s v="G000000179"/>
    <s v="G000000179"/>
    <s v="LFF (MDG-F)"/>
    <s v="JP03L3M303"/>
    <m/>
    <b v="1"/>
    <x v="0"/>
    <x v="0"/>
    <d v="2025-10-23T00:00:00"/>
    <m/>
    <m/>
    <x v="1"/>
    <n v="41"/>
    <s v="Michiko Nakatani"/>
    <m/>
  </r>
  <r>
    <x v="401"/>
    <x v="0"/>
    <x v="2"/>
    <s v="CFLTFLE_22760000891078"/>
    <s v="H000000729"/>
    <s v="H000000729"/>
    <s v="Non-LFF"/>
    <s v=""/>
    <m/>
    <b v="1"/>
    <x v="1"/>
    <x v="0"/>
    <d v="2025-10-24T00:00:00"/>
    <m/>
    <m/>
    <x v="1"/>
    <n v="40"/>
    <s v="Gay Geanuza del Mundo"/>
    <m/>
  </r>
  <r>
    <x v="402"/>
    <x v="0"/>
    <x v="2"/>
    <s v="CLFF_1000$$$DE01TQWI03 Freight Wiesbaden"/>
    <s v="P000001329"/>
    <s v="P000001329"/>
    <s v="LFF (MDG-F)"/>
    <s v="DE01TQWI03"/>
    <m/>
    <b v="1"/>
    <x v="3"/>
    <x v="0"/>
    <d v="2025-10-27T00:00:00"/>
    <m/>
    <m/>
    <x v="1"/>
    <n v="39"/>
    <s v="John Rowie Del Rosario"/>
    <m/>
  </r>
  <r>
    <x v="402"/>
    <x v="0"/>
    <x v="2"/>
    <s v="CLFF_1000$$$DE04TQHQ15 Outbound Freight 3rd Party Optronics"/>
    <s v="P000001329"/>
    <s v="P000001329"/>
    <s v="LFF (MDG-F)"/>
    <s v="DE04TQHQ15"/>
    <m/>
    <b v="1"/>
    <x v="3"/>
    <x v="0"/>
    <d v="2025-10-27T00:00:00"/>
    <m/>
    <m/>
    <x v="1"/>
    <n v="39"/>
    <s v="John Rowie Del Rosario"/>
    <m/>
  </r>
  <r>
    <x v="402"/>
    <x v="0"/>
    <x v="2"/>
    <s v="CLFF_1000$$$DE04TQHQ16 Outbound Freight Interco Optronics"/>
    <s v="P000001329"/>
    <s v="P000001329"/>
    <s v="LFF (MDG-F)"/>
    <s v="DE04TQHQ16"/>
    <m/>
    <b v="1"/>
    <x v="3"/>
    <x v="0"/>
    <d v="2025-10-27T00:00:00"/>
    <m/>
    <m/>
    <x v="1"/>
    <n v="39"/>
    <s v="John Rowie Del Rosario"/>
    <m/>
  </r>
  <r>
    <x v="402"/>
    <x v="0"/>
    <x v="4"/>
    <s v="CLFF_VMCA$$$DE10TM2000 DE10 Frt RelatedCost"/>
    <s v="P000001329"/>
    <s v="P000000472"/>
    <s v="LFF (MDG-F)"/>
    <s v="DE10TM2000"/>
    <m/>
    <b v="0"/>
    <x v="3"/>
    <x v="0"/>
    <d v="2025-10-27T00:00:00"/>
    <m/>
    <m/>
    <x v="1"/>
    <n v="39"/>
    <s v="John Rowie Del Rosario"/>
    <m/>
  </r>
  <r>
    <x v="402"/>
    <x v="0"/>
    <x v="2"/>
    <s v="CLFF_VMCA$$$IL10TM2000 IL10 Frt RelatedCost1"/>
    <s v="P000001329"/>
    <s v="P000001329"/>
    <s v="LFF (MDG-F)"/>
    <s v="IL10TM2000"/>
    <m/>
    <b v="1"/>
    <x v="3"/>
    <x v="0"/>
    <d v="2025-10-27T00:00:00"/>
    <m/>
    <m/>
    <x v="1"/>
    <n v="39"/>
    <s v="John Rowie Del Rosario"/>
    <m/>
  </r>
  <r>
    <x v="402"/>
    <x v="0"/>
    <x v="2"/>
    <s v="CLFF_VMCA$$$IT07TM2000 IT07 Freight Related Costs1"/>
    <s v="P000001329"/>
    <s v="P000001329"/>
    <s v="LFF (MDG-F)"/>
    <s v="IT07TM2000"/>
    <m/>
    <b v="1"/>
    <x v="3"/>
    <x v="0"/>
    <d v="2025-10-27T00:00:00"/>
    <m/>
    <m/>
    <x v="1"/>
    <n v="39"/>
    <s v="John Rowie Del Rosario"/>
    <m/>
  </r>
  <r>
    <x v="402"/>
    <x v="0"/>
    <x v="2"/>
    <s v="CLFF_VMCA$$$NL10TM2000 NL10 Freight Related Costs1"/>
    <s v="P000001329"/>
    <s v="P000001329"/>
    <s v="LFF (MDG-F)"/>
    <s v="NL10TM2000"/>
    <m/>
    <b v="1"/>
    <x v="3"/>
    <x v="0"/>
    <d v="2025-10-27T00:00:00"/>
    <m/>
    <m/>
    <x v="1"/>
    <n v="39"/>
    <s v="John Rowie Del Rosario"/>
    <m/>
  </r>
  <r>
    <x v="402"/>
    <x v="0"/>
    <x v="2"/>
    <s v="CPHOENX_01010000618200 Ausgangsfrachten PM (manuell)"/>
    <s v="P000001329"/>
    <s v="P000001329"/>
    <s v="Non-LFF"/>
    <s v=""/>
    <m/>
    <b v="1"/>
    <x v="3"/>
    <x v="0"/>
    <d v="2025-10-27T00:00:00"/>
    <m/>
    <m/>
    <x v="1"/>
    <n v="39"/>
    <s v="John Rowie Del Rosario"/>
    <m/>
  </r>
  <r>
    <x v="402"/>
    <x v="0"/>
    <x v="2"/>
    <s v="CPHOENX_01010000618210 Frachtnebenkosten PM (inkl. Rückholung)"/>
    <s v="P000001329"/>
    <s v="P000001329"/>
    <s v="Non-LFF"/>
    <s v=""/>
    <m/>
    <b v="1"/>
    <x v="3"/>
    <x v="0"/>
    <d v="2025-10-27T00:00:00"/>
    <m/>
    <m/>
    <x v="1"/>
    <n v="39"/>
    <s v="John Rowie Del Rosario"/>
    <m/>
  </r>
  <r>
    <x v="402"/>
    <x v="0"/>
    <x v="2"/>
    <s v="CPHOENX_01010000874100 Ausgangsfrachten HOH"/>
    <s v="P000001329"/>
    <s v="P000001329"/>
    <s v="Non-LFF"/>
    <s v=""/>
    <m/>
    <b v="1"/>
    <x v="3"/>
    <x v="0"/>
    <d v="2025-10-27T00:00:00"/>
    <m/>
    <m/>
    <x v="1"/>
    <n v="39"/>
    <s v="John Rowie Del Rosario"/>
    <m/>
  </r>
  <r>
    <x v="402"/>
    <x v="0"/>
    <x v="4"/>
    <s v="CLFF_VMCA$$$DE10TM4000 DE10 Customs/Duties"/>
    <s v="P000001331"/>
    <s v="P000000472"/>
    <s v="LFF (MDG-F)"/>
    <s v="DE10TM4000"/>
    <m/>
    <b v="0"/>
    <x v="3"/>
    <x v="0"/>
    <d v="2025-10-27T00:00:00"/>
    <m/>
    <m/>
    <x v="1"/>
    <n v="39"/>
    <s v="John Rowie Del Rosario"/>
    <m/>
  </r>
  <r>
    <x v="402"/>
    <x v="0"/>
    <x v="2"/>
    <s v="CLFF_1000$$$DE01TKWI01 Incoming Goods Warehouse"/>
    <s v="P000001333"/>
    <s v="P000001333"/>
    <s v="LFF (MDG-F)"/>
    <s v="DE01TKWI01"/>
    <m/>
    <b v="1"/>
    <x v="3"/>
    <x v="0"/>
    <d v="2025-10-27T00:00:00"/>
    <m/>
    <m/>
    <x v="1"/>
    <n v="39"/>
    <s v="John Rowie Del Rosario"/>
    <m/>
  </r>
  <r>
    <x v="402"/>
    <x v="0"/>
    <x v="2"/>
    <s v="CLFF_1000$$$DE01TQWIGH Frankfurt 3P Warehouse"/>
    <s v="P000001333"/>
    <s v="P000001333"/>
    <s v="LFF (MDG-F)"/>
    <s v="DE01TQWIGH"/>
    <m/>
    <b v="1"/>
    <x v="3"/>
    <x v="0"/>
    <d v="2025-10-27T00:00:00"/>
    <m/>
    <m/>
    <x v="1"/>
    <n v="39"/>
    <s v="John Rowie Del Rosario"/>
    <m/>
  </r>
  <r>
    <x v="402"/>
    <x v="0"/>
    <x v="4"/>
    <s v="CLFF_VMCA$$$DE10DB3600 Hamburg 3P Warehouse"/>
    <s v="P000001333"/>
    <s v="P000000472"/>
    <s v="LFF (MDG-F)"/>
    <s v="DE10DB3600"/>
    <m/>
    <b v="0"/>
    <x v="3"/>
    <x v="0"/>
    <d v="2025-10-27T00:00:00"/>
    <m/>
    <m/>
    <x v="1"/>
    <n v="39"/>
    <s v="John Rowie Del Rosario"/>
    <m/>
  </r>
  <r>
    <x v="402"/>
    <x v="0"/>
    <x v="4"/>
    <s v="CLFF_VMCA$$$DE10TQ1001 Gernsheim Warehouse"/>
    <s v="P000001333"/>
    <s v="P000000472"/>
    <s v="LFF (MDG-F)"/>
    <s v="DE10TQ1001"/>
    <m/>
    <b v="0"/>
    <x v="3"/>
    <x v="0"/>
    <d v="2025-10-27T00:00:00"/>
    <m/>
    <m/>
    <x v="1"/>
    <n v="39"/>
    <s v="John Rowie Del Rosario"/>
    <m/>
  </r>
  <r>
    <x v="402"/>
    <x v="0"/>
    <x v="4"/>
    <s v="CLFF_VMCA$$$DE10TQ1002 ISO Containe Storage"/>
    <s v="P000001333"/>
    <s v="P000000472"/>
    <s v="LFF (MDG-F)"/>
    <s v="DE10TQ1002"/>
    <m/>
    <b v="0"/>
    <x v="3"/>
    <x v="0"/>
    <d v="2025-10-27T00:00:00"/>
    <m/>
    <m/>
    <x v="1"/>
    <n v="39"/>
    <s v="John Rowie Del Rosario"/>
    <m/>
  </r>
  <r>
    <x v="402"/>
    <x v="0"/>
    <x v="4"/>
    <s v="CLFF_VMCA$$$DE10TQ1003 Consignment Warehouses"/>
    <s v="P000001333"/>
    <s v="P000000472"/>
    <s v="LFF (MDG-F)"/>
    <s v="DE10TQ1003"/>
    <m/>
    <b v="0"/>
    <x v="3"/>
    <x v="0"/>
    <d v="2025-10-27T00:00:00"/>
    <m/>
    <m/>
    <x v="1"/>
    <n v="39"/>
    <s v="John Rowie Del Rosario"/>
    <m/>
  </r>
  <r>
    <x v="402"/>
    <x v="0"/>
    <x v="2"/>
    <s v="CLFF_VMCA$$$GB10TQ1000 Middlewich 3P Warehouse1"/>
    <s v="P000001333"/>
    <s v="P000001333"/>
    <s v="LFF (MDG-F)"/>
    <s v="GB10TQ1000"/>
    <m/>
    <b v="1"/>
    <x v="3"/>
    <x v="0"/>
    <d v="2025-10-27T00:00:00"/>
    <m/>
    <m/>
    <x v="1"/>
    <n v="39"/>
    <s v="John Rowie Del Rosario"/>
    <m/>
  </r>
  <r>
    <x v="402"/>
    <x v="0"/>
    <x v="2"/>
    <s v="CLFF_VMCA$$$IT07TQ1001 San Giuliano 3P Warehouse1"/>
    <s v="P000001333"/>
    <s v="P000001333"/>
    <s v="LFF (MDG-F)"/>
    <s v="IT07TQ1001"/>
    <m/>
    <b v="1"/>
    <x v="3"/>
    <x v="0"/>
    <d v="2025-10-27T00:00:00"/>
    <m/>
    <m/>
    <x v="1"/>
    <n v="39"/>
    <s v="John Rowie Del Rosario"/>
    <m/>
  </r>
  <r>
    <x v="402"/>
    <x v="0"/>
    <x v="2"/>
    <s v="CLFF_VMCA$$$IT07TQ1002 IT07 Other 3P Warehouses1"/>
    <s v="P000001333"/>
    <s v="P000001333"/>
    <s v="LFF (MDG-F)"/>
    <s v="IT07TQ1002"/>
    <m/>
    <b v="1"/>
    <x v="3"/>
    <x v="0"/>
    <d v="2025-10-27T00:00:00"/>
    <m/>
    <m/>
    <x v="1"/>
    <n v="39"/>
    <s v="John Rowie Del Rosario"/>
    <m/>
  </r>
  <r>
    <x v="402"/>
    <x v="0"/>
    <x v="2"/>
    <s v="CLFF_VMCA$$$NL10TQ1000 Zwindrecht Warehouse Costs1"/>
    <s v="P000001333"/>
    <s v="P000001333"/>
    <s v="LFF (MDG-F)"/>
    <s v="NL10TQ1000"/>
    <m/>
    <b v="1"/>
    <x v="3"/>
    <x v="0"/>
    <d v="2025-10-27T00:00:00"/>
    <m/>
    <m/>
    <x v="1"/>
    <n v="39"/>
    <s v="John Rowie Del Rosario"/>
    <m/>
  </r>
  <r>
    <x v="402"/>
    <x v="0"/>
    <x v="2"/>
    <s v="CLFF_1000$$$DE04TQHQ19 Transportation Management Darmstadt"/>
    <s v="P000001334"/>
    <s v="P000001334"/>
    <s v="LFF (MDG-F)"/>
    <s v="DE04TQHQ19"/>
    <m/>
    <b v="1"/>
    <x v="3"/>
    <x v="0"/>
    <d v="2025-10-27T00:00:00"/>
    <m/>
    <m/>
    <x v="1"/>
    <n v="39"/>
    <s v="John Rowie Del Rosario"/>
    <m/>
  </r>
  <r>
    <x v="402"/>
    <x v="0"/>
    <x v="2"/>
    <s v="CLFF_1000$$$DE04TQHQ23 Europe Customer Fulfillment"/>
    <s v="P000001334"/>
    <s v="P000001334"/>
    <s v="LFF (MDG-F)"/>
    <s v="DE04TQHQ23"/>
    <m/>
    <b v="1"/>
    <x v="3"/>
    <x v="0"/>
    <d v="2025-10-27T00:00:00"/>
    <m/>
    <m/>
    <x v="1"/>
    <n v="39"/>
    <s v="John Rowie Del Rosario"/>
    <m/>
  </r>
  <r>
    <x v="402"/>
    <x v="0"/>
    <x v="2"/>
    <s v="CLFF_VMCA$$$NL10TM3000 NL10 Transportation Team1"/>
    <s v="P000001334"/>
    <s v="P000001334"/>
    <s v="LFF (MDG-F)"/>
    <s v="NL10TM3000"/>
    <m/>
    <b v="1"/>
    <x v="3"/>
    <x v="0"/>
    <d v="2025-10-27T00:00:00"/>
    <m/>
    <m/>
    <x v="1"/>
    <n v="39"/>
    <s v="John Rowie Del Rosario"/>
    <m/>
  </r>
  <r>
    <x v="403"/>
    <x v="0"/>
    <x v="2"/>
    <s v="CFLTFLE_2152IMIPARVR01"/>
    <s v="P000000540"/>
    <s v="P000000540"/>
    <s v="Non-LFF"/>
    <s v=""/>
    <m/>
    <b v="1"/>
    <x v="3"/>
    <x v="0"/>
    <d v="2025-10-27T00:00:00"/>
    <m/>
    <m/>
    <x v="1"/>
    <n v="39"/>
    <s v="Roselle Delos Angeles"/>
    <m/>
  </r>
  <r>
    <x v="404"/>
    <x v="0"/>
    <x v="2"/>
    <s v="CFLTFLE_17710000508010"/>
    <s v="H000003319"/>
    <s v="H000003319"/>
    <s v="Non-LFF"/>
    <s v=""/>
    <m/>
    <b v="1"/>
    <x v="0"/>
    <x v="0"/>
    <d v="2025-10-27T00:00:00"/>
    <m/>
    <m/>
    <x v="1"/>
    <n v="39"/>
    <s v="Yulia Glazyrina"/>
    <m/>
  </r>
  <r>
    <x v="404"/>
    <x v="0"/>
    <x v="2"/>
    <s v="CFLTFLE_17710000113000"/>
    <s v="G000000637"/>
    <m/>
    <s v="Non-LFF"/>
    <s v=""/>
    <s v="Have to be mapped based on parent"/>
    <b v="0"/>
    <x v="0"/>
    <x v="0"/>
    <d v="2025-10-27T00:00:00"/>
    <m/>
    <m/>
    <x v="1"/>
    <n v="39"/>
    <s v="Yulia Glazyrina"/>
    <m/>
  </r>
  <r>
    <x v="405"/>
    <x v="0"/>
    <x v="2"/>
    <s v="CTEMPEU_1000PL80GHR227"/>
    <s v="G000001445"/>
    <s v="G000001445"/>
    <s v="Non-LFF"/>
    <s v=""/>
    <m/>
    <b v="1"/>
    <x v="0"/>
    <x v="0"/>
    <d v="2025-10-28T00:00:00"/>
    <m/>
    <m/>
    <x v="1"/>
    <n v="38"/>
    <s v="Jay-R Lizardo"/>
    <m/>
  </r>
  <r>
    <x v="405"/>
    <x v="0"/>
    <x v="2"/>
    <s v="CTEMPEU_1000PL80GFO016"/>
    <s v="G000001447"/>
    <s v="G000001447"/>
    <s v="Non-LFF"/>
    <s v=""/>
    <m/>
    <b v="1"/>
    <x v="0"/>
    <x v="0"/>
    <d v="2025-10-28T00:00:00"/>
    <m/>
    <m/>
    <x v="1"/>
    <n v="38"/>
    <s v="Jay-R Lizardo"/>
    <m/>
  </r>
  <r>
    <x v="405"/>
    <x v="0"/>
    <x v="2"/>
    <s v="CTEMPEU_1000PL80GFO025"/>
    <s v="G000001445"/>
    <s v="G000001445"/>
    <s v="Non-LFF"/>
    <s v=""/>
    <m/>
    <b v="1"/>
    <x v="0"/>
    <x v="0"/>
    <d v="2025-10-28T00:00:00"/>
    <m/>
    <m/>
    <x v="1"/>
    <n v="38"/>
    <s v="Jay-R Lizardo"/>
    <m/>
  </r>
  <r>
    <x v="405"/>
    <x v="0"/>
    <x v="2"/>
    <s v="CTEMPNA_1000PH80GFO123"/>
    <s v="G000001445"/>
    <s v="G000001445"/>
    <s v="Non-LFF"/>
    <s v=""/>
    <m/>
    <b v="1"/>
    <x v="0"/>
    <x v="0"/>
    <d v="2025-10-28T00:00:00"/>
    <m/>
    <m/>
    <x v="1"/>
    <n v="38"/>
    <s v="Jay-R Lizardo"/>
    <m/>
  </r>
  <r>
    <x v="405"/>
    <x v="0"/>
    <x v="2"/>
    <s v="CTEMPNA_1000PH80GFO003"/>
    <s v="G000001447"/>
    <s v="G000001447"/>
    <s v="Non-LFF"/>
    <s v=""/>
    <m/>
    <b v="1"/>
    <x v="0"/>
    <x v="0"/>
    <d v="2025-10-28T00:00:00"/>
    <m/>
    <m/>
    <x v="1"/>
    <n v="38"/>
    <s v="Jay-R Lizardo"/>
    <m/>
  </r>
  <r>
    <x v="405"/>
    <x v="0"/>
    <x v="2"/>
    <s v="CTEMPNA_1000PH80GFO043"/>
    <s v="G000001445"/>
    <s v="G000001445"/>
    <s v="Non-LFF"/>
    <s v=""/>
    <m/>
    <b v="1"/>
    <x v="0"/>
    <x v="0"/>
    <d v="2025-10-28T00:00:00"/>
    <m/>
    <m/>
    <x v="1"/>
    <n v="38"/>
    <s v="Jay-R Lizardo"/>
    <m/>
  </r>
  <r>
    <x v="405"/>
    <x v="0"/>
    <x v="2"/>
    <s v="CEMERAL_70006502ID6502"/>
    <s v="G000001445"/>
    <s v="G000001445"/>
    <s v="Non-LFF"/>
    <s v=""/>
    <m/>
    <b v="1"/>
    <x v="0"/>
    <x v="0"/>
    <d v="2025-10-28T00:00:00"/>
    <m/>
    <m/>
    <x v="1"/>
    <n v="38"/>
    <s v="Jay-R Lizardo"/>
    <m/>
  </r>
  <r>
    <x v="405"/>
    <x v="0"/>
    <x v="2"/>
    <s v="CLFF_1000$$$IT50YIT001"/>
    <s v="G000001378"/>
    <s v="G000001378"/>
    <s v="LFF (MDG-F)"/>
    <s v="IT50YIT001"/>
    <m/>
    <b v="1"/>
    <x v="0"/>
    <x v="0"/>
    <d v="2025-10-28T00:00:00"/>
    <m/>
    <m/>
    <x v="1"/>
    <n v="38"/>
    <s v="Jay-R Lizardo"/>
    <m/>
  </r>
  <r>
    <x v="405"/>
    <x v="0"/>
    <x v="2"/>
    <s v="CTEMPEU_1000FR40701604"/>
    <s v="G000001449"/>
    <s v="G000001449"/>
    <s v="Non-LFF"/>
    <s v=""/>
    <m/>
    <b v="1"/>
    <x v="0"/>
    <x v="0"/>
    <d v="2025-10-28T00:00:00"/>
    <m/>
    <m/>
    <x v="1"/>
    <n v="38"/>
    <s v="Jay-R Lizardo"/>
    <m/>
  </r>
  <r>
    <x v="405"/>
    <x v="0"/>
    <x v="2"/>
    <s v="CLFF_1000$$$DE10GIT04K"/>
    <s v="G000001446"/>
    <s v="G000001446"/>
    <s v="LFF (MDG-F)"/>
    <s v="DE10GIT04K"/>
    <m/>
    <b v="1"/>
    <x v="0"/>
    <x v="0"/>
    <d v="2025-10-28T00:00:00"/>
    <m/>
    <m/>
    <x v="1"/>
    <n v="38"/>
    <s v="Jay-R Lizardo"/>
    <m/>
  </r>
  <r>
    <x v="405"/>
    <x v="0"/>
    <x v="2"/>
    <s v="CLFF_1000$$$DE10638210"/>
    <s v="G000001449"/>
    <s v="G000001449"/>
    <s v="LFF (MDG-F)"/>
    <s v="DE10638210"/>
    <m/>
    <b v="1"/>
    <x v="0"/>
    <x v="0"/>
    <d v="2025-10-28T00:00:00"/>
    <m/>
    <m/>
    <x v="1"/>
    <n v="38"/>
    <s v="Jay-R Lizardo"/>
    <m/>
  </r>
  <r>
    <x v="405"/>
    <x v="0"/>
    <x v="2"/>
    <s v="CLFF_1000$$$DE10GIT101"/>
    <s v="G000001446"/>
    <s v="G000001446"/>
    <s v="LFF (MDG-F)"/>
    <s v="DE10GIT101"/>
    <m/>
    <b v="1"/>
    <x v="0"/>
    <x v="0"/>
    <d v="2025-10-28T00:00:00"/>
    <m/>
    <m/>
    <x v="1"/>
    <n v="38"/>
    <s v="Jay-R Lizardo"/>
    <m/>
  </r>
  <r>
    <x v="405"/>
    <x v="0"/>
    <x v="2"/>
    <s v="CLFF_1000$$$DE10GIT02K"/>
    <s v="G000001446"/>
    <s v="G000001446"/>
    <s v="LFF (MDG-F)"/>
    <s v="DE10GIT02K"/>
    <m/>
    <b v="1"/>
    <x v="0"/>
    <x v="0"/>
    <d v="2025-10-28T00:00:00"/>
    <m/>
    <m/>
    <x v="1"/>
    <n v="38"/>
    <s v="Jay-R Lizardo"/>
    <m/>
  </r>
  <r>
    <x v="405"/>
    <x v="0"/>
    <x v="2"/>
    <s v="CLFF_1000$$$DE10669638"/>
    <s v="G000001447"/>
    <s v="G000001447"/>
    <s v="LFF (MDG-F)"/>
    <s v="DE10669638"/>
    <m/>
    <b v="1"/>
    <x v="0"/>
    <x v="0"/>
    <d v="2025-10-28T00:00:00"/>
    <m/>
    <m/>
    <x v="1"/>
    <n v="38"/>
    <s v="Jay-R Lizardo"/>
    <m/>
  </r>
  <r>
    <x v="405"/>
    <x v="0"/>
    <x v="2"/>
    <s v="CLFF_1000$$$DE10669636"/>
    <s v="G000001445"/>
    <s v="G000001445"/>
    <s v="LFF (MDG-F)"/>
    <s v="DE10669636"/>
    <m/>
    <b v="1"/>
    <x v="0"/>
    <x v="0"/>
    <d v="2025-10-28T00:00:00"/>
    <m/>
    <m/>
    <x v="1"/>
    <n v="38"/>
    <s v="Jay-R Lizardo"/>
    <m/>
  </r>
  <r>
    <x v="405"/>
    <x v="0"/>
    <x v="2"/>
    <s v="CTEMPNA_1000US20CA8407"/>
    <s v="G000001445"/>
    <s v="G000001445"/>
    <s v="Non-LFF"/>
    <s v=""/>
    <m/>
    <b v="1"/>
    <x v="0"/>
    <x v="0"/>
    <d v="2025-10-28T00:00:00"/>
    <m/>
    <m/>
    <x v="1"/>
    <n v="38"/>
    <s v="Jay-R Lizardo"/>
    <m/>
  </r>
  <r>
    <x v="405"/>
    <x v="0"/>
    <x v="2"/>
    <s v="CLFF_1000$$$CH65GIT20H"/>
    <s v="G000001378"/>
    <s v="G000001378"/>
    <s v="LFF (MDG-F)"/>
    <s v="CH65GIT20H"/>
    <m/>
    <b v="1"/>
    <x v="0"/>
    <x v="0"/>
    <d v="2025-10-28T00:00:00"/>
    <m/>
    <m/>
    <x v="1"/>
    <n v="38"/>
    <s v="Jay-R Lizardo"/>
    <m/>
  </r>
  <r>
    <x v="405"/>
    <x v="0"/>
    <x v="2"/>
    <s v="CNOW_7210$$$0000010260"/>
    <s v="G000001446"/>
    <s v="G000001446"/>
    <s v="Non-LFF"/>
    <s v=""/>
    <m/>
    <b v="1"/>
    <x v="0"/>
    <x v="0"/>
    <d v="2025-10-28T00:00:00"/>
    <m/>
    <m/>
    <x v="1"/>
    <n v="38"/>
    <s v="Jay-R Lizardo"/>
    <m/>
  </r>
  <r>
    <x v="405"/>
    <x v="0"/>
    <x v="2"/>
    <s v="CNOW_7210$$$0000052358"/>
    <s v="G000000253"/>
    <s v="G000000253"/>
    <s v="Non-LFF"/>
    <s v=""/>
    <m/>
    <b v="1"/>
    <x v="0"/>
    <x v="0"/>
    <d v="2025-10-28T00:00:00"/>
    <m/>
    <m/>
    <x v="1"/>
    <n v="38"/>
    <s v="Jay-R Lizardo"/>
    <m/>
  </r>
  <r>
    <x v="405"/>
    <x v="0"/>
    <x v="2"/>
    <s v="CLFF_7210$$$2123C00103"/>
    <s v="G000001445"/>
    <s v="G000001445"/>
    <s v="LFF (MDG-F)"/>
    <s v="2123C00103"/>
    <m/>
    <b v="1"/>
    <x v="0"/>
    <x v="0"/>
    <d v="2025-10-28T00:00:00"/>
    <m/>
    <m/>
    <x v="1"/>
    <n v="38"/>
    <s v="Jay-R Lizardo"/>
    <m/>
  </r>
  <r>
    <x v="405"/>
    <x v="0"/>
    <x v="2"/>
    <s v="CLFF_7210$$$2123GM1110"/>
    <s v="G000001445"/>
    <s v="G000001445"/>
    <s v="LFF (MDG-F)"/>
    <s v="2123GM1110"/>
    <m/>
    <b v="1"/>
    <x v="0"/>
    <x v="0"/>
    <d v="2025-10-28T00:00:00"/>
    <m/>
    <m/>
    <x v="1"/>
    <n v="38"/>
    <s v="Jay-R Lizardo"/>
    <m/>
  </r>
  <r>
    <x v="405"/>
    <x v="0"/>
    <x v="2"/>
    <s v="CLFF_7210$$$2123GMS050"/>
    <s v="G000001447"/>
    <s v="G000001447"/>
    <s v="LFF (MDG-F)"/>
    <s v="2123GMS050"/>
    <m/>
    <b v="1"/>
    <x v="0"/>
    <x v="0"/>
    <d v="2025-10-28T00:00:00"/>
    <m/>
    <m/>
    <x v="1"/>
    <n v="38"/>
    <s v="Jay-R Lizardo"/>
    <m/>
  </r>
  <r>
    <x v="405"/>
    <x v="0"/>
    <x v="2"/>
    <s v="CLFF_7210$$$2123GMS080"/>
    <s v="G000001447"/>
    <s v="G000001447"/>
    <s v="LFF (MDG-F)"/>
    <s v="2123GMS080"/>
    <m/>
    <b v="1"/>
    <x v="0"/>
    <x v="0"/>
    <d v="2025-10-28T00:00:00"/>
    <m/>
    <m/>
    <x v="1"/>
    <n v="38"/>
    <s v="Jay-R Lizardo"/>
    <m/>
  </r>
  <r>
    <x v="405"/>
    <x v="0"/>
    <x v="2"/>
    <s v="CLFF_7210$$$2123L50005"/>
    <s v="G000001445"/>
    <s v="G000001445"/>
    <s v="LFF (MDG-F)"/>
    <s v="2123L50005"/>
    <m/>
    <b v="1"/>
    <x v="0"/>
    <x v="0"/>
    <d v="2025-10-28T00:00:00"/>
    <m/>
    <m/>
    <x v="1"/>
    <n v="38"/>
    <s v="Jay-R Lizardo"/>
    <m/>
  </r>
  <r>
    <x v="405"/>
    <x v="0"/>
    <x v="2"/>
    <s v="CLFF_7210$$$2123OF0010"/>
    <s v="G000001445"/>
    <s v="G000001445"/>
    <s v="LFF (MDG-F)"/>
    <s v="2123OF0010"/>
    <m/>
    <b v="1"/>
    <x v="0"/>
    <x v="0"/>
    <d v="2025-10-28T00:00:00"/>
    <m/>
    <m/>
    <x v="1"/>
    <n v="38"/>
    <s v="Jay-R Lizardo"/>
    <m/>
  </r>
  <r>
    <x v="405"/>
    <x v="0"/>
    <x v="2"/>
    <s v="CLFF_7210$$$2123TPSZ93"/>
    <s v="G000001445"/>
    <s v="G000001445"/>
    <s v="LFF (MDG-F)"/>
    <s v="2123TPSZ93"/>
    <m/>
    <b v="1"/>
    <x v="0"/>
    <x v="0"/>
    <d v="2025-10-28T00:00:00"/>
    <m/>
    <m/>
    <x v="1"/>
    <n v="38"/>
    <s v="Jay-R Lizardo"/>
    <m/>
  </r>
  <r>
    <x v="405"/>
    <x v="0"/>
    <x v="2"/>
    <s v="CLFF_7210$$$2123TQJZ94"/>
    <s v="G000001445"/>
    <s v="G000001445"/>
    <s v="LFF (MDG-F)"/>
    <s v="2123TQJZ94"/>
    <m/>
    <b v="1"/>
    <x v="0"/>
    <x v="0"/>
    <d v="2025-10-28T00:00:00"/>
    <m/>
    <m/>
    <x v="1"/>
    <n v="38"/>
    <s v="Jay-R Lizardo"/>
    <m/>
  </r>
  <r>
    <x v="405"/>
    <x v="0"/>
    <x v="2"/>
    <s v="CLFF_7210$$$2123GIT134"/>
    <s v="G000001446"/>
    <s v="G000001446"/>
    <s v="LFF (MDG-F)"/>
    <s v="2123GIT134"/>
    <m/>
    <b v="1"/>
    <x v="0"/>
    <x v="0"/>
    <d v="2025-10-28T00:00:00"/>
    <m/>
    <m/>
    <x v="1"/>
    <n v="38"/>
    <s v="Jay-R Lizardo"/>
    <m/>
  </r>
  <r>
    <x v="405"/>
    <x v="0"/>
    <x v="2"/>
    <s v="CLFF_7210$$$2123YIT004"/>
    <s v="G000001445"/>
    <s v="G000001445"/>
    <s v="LFF (MDG-F)"/>
    <s v="2123YIT004"/>
    <m/>
    <b v="1"/>
    <x v="0"/>
    <x v="0"/>
    <d v="2025-10-28T00:00:00"/>
    <m/>
    <m/>
    <x v="1"/>
    <n v="38"/>
    <s v="Jay-R Lizardo"/>
    <m/>
  </r>
  <r>
    <x v="405"/>
    <x v="0"/>
    <x v="2"/>
    <s v="CLFF_7210$$$2123YIT005"/>
    <s v="G000001445"/>
    <s v="G000001445"/>
    <s v="LFF (MDG-F)"/>
    <s v="2123YIT005"/>
    <m/>
    <b v="1"/>
    <x v="0"/>
    <x v="0"/>
    <d v="2025-10-28T00:00:00"/>
    <m/>
    <m/>
    <x v="1"/>
    <n v="38"/>
    <s v="Jay-R Lizardo"/>
    <m/>
  </r>
  <r>
    <x v="405"/>
    <x v="0"/>
    <x v="2"/>
    <s v="CLFF_1000$$$DE10YIT016"/>
    <s v="G000001448"/>
    <s v="G000001448"/>
    <s v="LFF (MDG-F)"/>
    <s v="DE10YIT016"/>
    <m/>
    <b v="1"/>
    <x v="0"/>
    <x v="0"/>
    <d v="2025-10-28T00:00:00"/>
    <m/>
    <m/>
    <x v="1"/>
    <n v="38"/>
    <s v="Jay-R Lizardo"/>
    <m/>
  </r>
  <r>
    <x v="405"/>
    <x v="0"/>
    <x v="2"/>
    <s v="CLFF_7210$$$2123YIT008"/>
    <s v="G000001448"/>
    <s v="G000001448"/>
    <s v="LFF (MDG-F)"/>
    <s v="2123YIT008"/>
    <m/>
    <b v="1"/>
    <x v="0"/>
    <x v="0"/>
    <d v="2025-10-28T00:00:00"/>
    <m/>
    <m/>
    <x v="1"/>
    <n v="38"/>
    <s v="Jay-R Lizardo"/>
    <m/>
  </r>
  <r>
    <x v="405"/>
    <x v="0"/>
    <x v="2"/>
    <s v="CTEMPEU_1000PL80GIT004"/>
    <s v="G000001448"/>
    <s v="G000001448"/>
    <s v="Non-LFF"/>
    <s v=""/>
    <m/>
    <b v="1"/>
    <x v="0"/>
    <x v="0"/>
    <d v="2025-10-28T00:00:00"/>
    <m/>
    <m/>
    <x v="1"/>
    <n v="38"/>
    <s v="Jay-R Lizardo"/>
    <m/>
  </r>
  <r>
    <x v="405"/>
    <x v="0"/>
    <x v="2"/>
    <s v="CLFF_7210$$$2123YIT009"/>
    <s v="G000001449"/>
    <s v="G000001449"/>
    <s v="LFF (MDG-F)"/>
    <s v="2123YIT009"/>
    <m/>
    <b v="1"/>
    <x v="0"/>
    <x v="0"/>
    <d v="2025-10-28T00:00:00"/>
    <m/>
    <m/>
    <x v="1"/>
    <n v="38"/>
    <s v="Jay-R Lizardo"/>
    <m/>
  </r>
  <r>
    <x v="405"/>
    <x v="0"/>
    <x v="2"/>
    <s v="CTEMPEU_1000PL80YIT002"/>
    <s v="G000001449"/>
    <s v="G000001449"/>
    <s v="Non-LFF"/>
    <s v=""/>
    <m/>
    <b v="1"/>
    <x v="0"/>
    <x v="0"/>
    <d v="2025-10-28T00:00:00"/>
    <m/>
    <m/>
    <x v="1"/>
    <n v="38"/>
    <s v="Jay-R Lizardo"/>
    <m/>
  </r>
  <r>
    <x v="406"/>
    <x v="0"/>
    <x v="2"/>
    <s v="CORAERP_MMOR1975.5919 MarCom Print"/>
    <s v="L000005366"/>
    <s v="L000005366"/>
    <s v="Non-LFF"/>
    <s v=""/>
    <m/>
    <b v="1"/>
    <x v="2"/>
    <x v="0"/>
    <d v="2025-10-28T00:00:00"/>
    <m/>
    <m/>
    <x v="1"/>
    <n v="38"/>
    <s v="Ruby Grace Garcia"/>
    <m/>
  </r>
  <r>
    <x v="406"/>
    <x v="0"/>
    <x v="2"/>
    <s v="CNOW_7210$$$0000020564 US Campaigns - Strat &amp; Seg Marketing"/>
    <s v="L000005366"/>
    <s v="L000005366"/>
    <s v="Non-LFF"/>
    <s v=""/>
    <m/>
    <b v="1"/>
    <x v="2"/>
    <x v="0"/>
    <d v="2025-10-28T00:00:00"/>
    <m/>
    <m/>
    <x v="1"/>
    <n v="38"/>
    <s v="Ruby Grace Garcia"/>
    <m/>
  </r>
  <r>
    <x v="406"/>
    <x v="0"/>
    <x v="2"/>
    <s v="CNOW_7210$$$0000021400 Pharma Analysis &amp; QC"/>
    <s v="L000005366"/>
    <s v="L000005366"/>
    <s v="Non-LFF"/>
    <s v=""/>
    <m/>
    <b v="1"/>
    <x v="2"/>
    <x v="0"/>
    <d v="2025-10-28T00:00:00"/>
    <m/>
    <m/>
    <x v="1"/>
    <n v="38"/>
    <s v="Ruby Grace Garcia"/>
    <m/>
  </r>
  <r>
    <x v="406"/>
    <x v="0"/>
    <x v="2"/>
    <s v="CNOW_7210$$$0000015308 DE RE Inbound-Schnelldorf"/>
    <s v="L000012340"/>
    <s v="L000012340"/>
    <s v="Non-LFF"/>
    <s v=""/>
    <m/>
    <b v="1"/>
    <x v="2"/>
    <x v="0"/>
    <d v="2025-10-28T00:00:00"/>
    <m/>
    <m/>
    <x v="1"/>
    <n v="38"/>
    <s v="Ruby Grace Garcia"/>
    <m/>
  </r>
  <r>
    <x v="407"/>
    <x v="0"/>
    <x v="2"/>
    <s v="ITEMPEU_003200004221 "/>
    <s v="L000011242"/>
    <s v="L000011242"/>
    <s v="Non-LFF"/>
    <s v=""/>
    <m/>
    <b v="1"/>
    <x v="2"/>
    <x v="0"/>
    <d v="2025-10-29T00:00:00"/>
    <m/>
    <m/>
    <x v="1"/>
    <n v="37"/>
    <s v="Ruby Grace Garcia"/>
    <m/>
  </r>
  <r>
    <x v="408"/>
    <x v="1"/>
    <x v="8"/>
    <s v="ITEMPEU_001700006137"/>
    <s v="H000004596"/>
    <n v="0"/>
    <s v="Non-LFF"/>
    <s v=""/>
    <m/>
    <b v="0"/>
    <x v="1"/>
    <x v="0"/>
    <d v="2025-10-24T00:00:00"/>
    <m/>
    <m/>
    <x v="1"/>
    <n v="40"/>
    <s v="Anna Glab"/>
    <m/>
  </r>
  <r>
    <x v="408"/>
    <x v="1"/>
    <x v="8"/>
    <s v="ITEMPEU_001700006138"/>
    <s v="H000004597"/>
    <n v="0"/>
    <s v="Non-LFF"/>
    <s v=""/>
    <m/>
    <b v="0"/>
    <x v="1"/>
    <x v="0"/>
    <d v="2025-10-24T00:00:00"/>
    <m/>
    <m/>
    <x v="1"/>
    <n v="40"/>
    <s v="Anna Glab"/>
    <m/>
  </r>
  <r>
    <x v="409"/>
    <x v="0"/>
    <x v="2"/>
    <s v="PLEAN_X310801AE5013201 SP CONG/EVENTS-AE-SHARED"/>
    <s v="H000002956"/>
    <s v="H000002956"/>
    <s v="Non-LFF"/>
    <s v=""/>
    <m/>
    <b v="1"/>
    <x v="1"/>
    <x v="0"/>
    <d v="2025-10-31T00:00:00"/>
    <m/>
    <m/>
    <x v="1"/>
    <n v="35"/>
    <s v="Niel Esto"/>
    <m/>
  </r>
  <r>
    <x v="409"/>
    <x v="0"/>
    <x v="2"/>
    <s v="PLEAN_X310801AE5030201 SP-REG-OTHER M&amp;S-ePIL Gulf"/>
    <s v="H000002954"/>
    <s v="H000002954"/>
    <s v="Non-LFF"/>
    <s v=""/>
    <m/>
    <b v="1"/>
    <x v="1"/>
    <x v="0"/>
    <d v="2025-10-31T00:00:00"/>
    <m/>
    <m/>
    <x v="1"/>
    <n v="35"/>
    <s v="Niel Esto"/>
    <m/>
  </r>
  <r>
    <x v="409"/>
    <x v="0"/>
    <x v="2"/>
    <s v="PLEAN_X310801ZA5010501 SP PROM MAT-ZA-NDD"/>
    <s v="H000000325"/>
    <s v="H000000325"/>
    <s v="Non-LFF"/>
    <s v=""/>
    <m/>
    <b v="1"/>
    <x v="1"/>
    <x v="0"/>
    <d v="2025-10-31T00:00:00"/>
    <m/>
    <m/>
    <x v="1"/>
    <n v="35"/>
    <s v="Niel Esto"/>
    <m/>
  </r>
  <r>
    <x v="409"/>
    <x v="0"/>
    <x v="2"/>
    <s v="PLEAN_X310801ZA5015505 SP PROM OTHERS-ZA-SHARED"/>
    <s v="H000000325"/>
    <s v="H000000325"/>
    <s v="Non-LFF"/>
    <s v=""/>
    <m/>
    <b v="1"/>
    <x v="1"/>
    <x v="0"/>
    <d v="2025-10-31T00:00:00"/>
    <m/>
    <m/>
    <x v="1"/>
    <n v="35"/>
    <s v="Niel Esto"/>
    <m/>
  </r>
  <r>
    <x v="409"/>
    <x v="0"/>
    <x v="4"/>
    <s v="CLFF_1000$$$EG50Z01000"/>
    <s v="H000000263"/>
    <s v="DFLTPGCOH_T-01_001777"/>
    <s v="LFF (MDG-F)"/>
    <s v="EG50Z01000"/>
    <m/>
    <b v="0"/>
    <x v="1"/>
    <x v="0"/>
    <d v="2025-10-31T00:00:00"/>
    <m/>
    <m/>
    <x v="1"/>
    <n v="35"/>
    <s v="Niel Esto"/>
    <m/>
  </r>
  <r>
    <x v="409"/>
    <x v="0"/>
    <x v="2"/>
    <s v="PLEAN_X310802ZA5022505 MED  NON R&amp;D-ZA-CME-CONSULTANT"/>
    <s v="H000000325"/>
    <s v="H000000325"/>
    <s v="Non-LFF"/>
    <s v=""/>
    <m/>
    <b v="1"/>
    <x v="1"/>
    <x v="0"/>
    <d v="2025-10-31T00:00:00"/>
    <m/>
    <m/>
    <x v="1"/>
    <n v="35"/>
    <s v="Niel Esto"/>
    <m/>
  </r>
  <r>
    <x v="409"/>
    <x v="0"/>
    <x v="2"/>
    <s v="PLEAN_X310201AE5015502 SP PROM OTHERS-EA-FERT"/>
    <s v="H000000277"/>
    <s v="H000000277"/>
    <s v="Non-LFF"/>
    <s v=""/>
    <m/>
    <b v="1"/>
    <x v="1"/>
    <x v="0"/>
    <d v="2025-10-31T00:00:00"/>
    <m/>
    <m/>
    <x v="1"/>
    <n v="35"/>
    <s v="Niel Esto"/>
    <m/>
  </r>
  <r>
    <x v="409"/>
    <x v="0"/>
    <x v="2"/>
    <s v="PLEAN_X310201ZA5010501 SP PROM MAT-ZA-FERT"/>
    <s v="H000000325"/>
    <s v="H000000325"/>
    <s v="Non-LFF"/>
    <s v=""/>
    <m/>
    <b v="1"/>
    <x v="1"/>
    <x v="0"/>
    <d v="2025-10-31T00:00:00"/>
    <m/>
    <m/>
    <x v="1"/>
    <n v="35"/>
    <s v="Niel Esto"/>
    <m/>
  </r>
  <r>
    <x v="409"/>
    <x v="0"/>
    <x v="2"/>
    <s v="PLEAN_X310201ZA5013501 SP COZA/EVENTS-ZA-FERT"/>
    <s v="H000000325"/>
    <s v="H000000325"/>
    <s v="Non-LFF"/>
    <s v=""/>
    <m/>
    <b v="1"/>
    <x v="1"/>
    <x v="0"/>
    <d v="2025-10-31T00:00:00"/>
    <m/>
    <m/>
    <x v="1"/>
    <n v="35"/>
    <s v="Niel Esto"/>
    <m/>
  </r>
  <r>
    <x v="409"/>
    <x v="0"/>
    <x v="2"/>
    <s v="PLEAN_X310301ZA5010501 SP PROM MAT-ZA-DIAB"/>
    <s v="H000000325"/>
    <s v="H000000325"/>
    <s v="Non-LFF"/>
    <s v=""/>
    <m/>
    <b v="1"/>
    <x v="1"/>
    <x v="0"/>
    <d v="2025-10-31T00:00:00"/>
    <m/>
    <m/>
    <x v="1"/>
    <n v="35"/>
    <s v="Niel Esto"/>
    <m/>
  </r>
  <r>
    <x v="409"/>
    <x v="0"/>
    <x v="2"/>
    <s v="PLEAN_X310301ZA5013502 SP COZA/EVENTS-ZA-DIAB"/>
    <s v="H000000325"/>
    <s v="H000000325"/>
    <s v="Non-LFF"/>
    <s v=""/>
    <m/>
    <b v="1"/>
    <x v="1"/>
    <x v="0"/>
    <d v="2025-10-31T00:00:00"/>
    <m/>
    <m/>
    <x v="1"/>
    <n v="35"/>
    <s v="Niel Esto"/>
    <m/>
  </r>
  <r>
    <x v="409"/>
    <x v="0"/>
    <x v="2"/>
    <s v="PLEAN_X310301ZA5015505 SP PROM OTHERS-ZA-DIAB"/>
    <s v="H000000325"/>
    <s v="H000000325"/>
    <s v="Non-LFF"/>
    <s v=""/>
    <m/>
    <b v="1"/>
    <x v="1"/>
    <x v="0"/>
    <d v="2025-10-31T00:00:00"/>
    <m/>
    <m/>
    <x v="1"/>
    <n v="35"/>
    <s v="Niel Esto"/>
    <m/>
  </r>
  <r>
    <x v="409"/>
    <x v="0"/>
    <x v="2"/>
    <s v="PLEAN_X310201ZA5015505 SP PROM OTHERS-ZA-FERT"/>
    <s v="H000000325"/>
    <s v="H000000325"/>
    <s v="Non-LFF"/>
    <s v=""/>
    <m/>
    <b v="1"/>
    <x v="1"/>
    <x v="0"/>
    <d v="2025-10-31T00:00:00"/>
    <m/>
    <m/>
    <x v="1"/>
    <n v="35"/>
    <s v="Niel Esto"/>
    <m/>
  </r>
  <r>
    <x v="409"/>
    <x v="0"/>
    <x v="2"/>
    <s v="PLEAN_X310172EG5023255 V8 Med Non R&amp;D-EG- Registration"/>
    <s v="H000002948"/>
    <s v="H000002948"/>
    <s v="Non-LFF"/>
    <s v=""/>
    <m/>
    <b v="1"/>
    <x v="1"/>
    <x v="0"/>
    <d v="2025-10-31T00:00:00"/>
    <m/>
    <m/>
    <x v="1"/>
    <n v="35"/>
    <s v="Niel Esto"/>
    <m/>
  </r>
  <r>
    <x v="409"/>
    <x v="0"/>
    <x v="2"/>
    <s v="PLEAN_X310201EG5010224 A4 Commercial-EG-Pro. material-Digital M"/>
    <s v="H000002944"/>
    <s v="H000002944"/>
    <s v="Non-LFF"/>
    <s v=""/>
    <m/>
    <b v="1"/>
    <x v="1"/>
    <x v="0"/>
    <d v="2025-10-31T00:00:00"/>
    <m/>
    <m/>
    <x v="1"/>
    <n v="35"/>
    <s v="Niel Esto"/>
    <m/>
  </r>
  <r>
    <x v="409"/>
    <x v="0"/>
    <x v="2"/>
    <s v="PLEAN_X310201EG5015222 A4 Commercial-EG-Other pro&amp;Adv-CRM &amp; IMS"/>
    <s v="H000002944"/>
    <s v="H000002944"/>
    <s v="Non-LFF"/>
    <s v=""/>
    <m/>
    <b v="1"/>
    <x v="1"/>
    <x v="0"/>
    <d v="2025-10-31T00:00:00"/>
    <m/>
    <m/>
    <x v="1"/>
    <n v="35"/>
    <s v="Niel Esto"/>
    <m/>
  </r>
  <r>
    <x v="409"/>
    <x v="0"/>
    <x v="2"/>
    <s v="PLEAN_X310301EG5015222 B4 Commercial-EG-Other pro&amp;Adv-CRM &amp; IMS"/>
    <s v="H000002944"/>
    <s v="H000002944"/>
    <s v="Non-LFF"/>
    <s v=""/>
    <m/>
    <b v="1"/>
    <x v="1"/>
    <x v="0"/>
    <d v="2025-10-31T00:00:00"/>
    <m/>
    <m/>
    <x v="1"/>
    <n v="35"/>
    <s v="Niel Esto"/>
    <m/>
  </r>
  <r>
    <x v="409"/>
    <x v="0"/>
    <x v="2"/>
    <s v="PLEAN_X310401EG5015222 A5 Commercial-EG-Other pro&amp;Adv-CRM &amp; IMS"/>
    <s v="H000002944"/>
    <s v="H000002944"/>
    <s v="Non-LFF"/>
    <s v=""/>
    <m/>
    <b v="1"/>
    <x v="1"/>
    <x v="0"/>
    <d v="2025-10-31T00:00:00"/>
    <m/>
    <m/>
    <x v="1"/>
    <n v="35"/>
    <s v="Niel Esto"/>
    <m/>
  </r>
  <r>
    <x v="409"/>
    <x v="0"/>
    <x v="2"/>
    <s v="PLEAN_X310511EG5015222 B3 Commercial-EG-Other pro&amp;Adv-CRM &amp; IMS"/>
    <s v="H000002944"/>
    <s v="H000002944"/>
    <s v="Non-LFF"/>
    <s v=""/>
    <m/>
    <b v="1"/>
    <x v="1"/>
    <x v="0"/>
    <d v="2025-10-31T00:00:00"/>
    <m/>
    <m/>
    <x v="1"/>
    <n v="35"/>
    <s v="Niel Esto"/>
    <m/>
  </r>
  <r>
    <x v="409"/>
    <x v="0"/>
    <x v="2"/>
    <s v="PLEAN_X310112EG5020205 59 Other Oncology Medical Non R&amp;D-Egypt-"/>
    <s v="H000002948"/>
    <s v="H000002948"/>
    <s v="Non-LFF"/>
    <s v=""/>
    <m/>
    <b v="1"/>
    <x v="1"/>
    <x v="0"/>
    <d v="2025-10-31T00:00:00"/>
    <m/>
    <m/>
    <x v="1"/>
    <n v="35"/>
    <s v="Niel Esto"/>
    <m/>
  </r>
  <r>
    <x v="409"/>
    <x v="0"/>
    <x v="2"/>
    <s v="PLEAN_X310201EG5010230 A4 Commercial-EG-Pro. material-Brand R"/>
    <s v="H000002944"/>
    <s v="H000002944"/>
    <s v="Non-LFF"/>
    <s v=""/>
    <m/>
    <b v="1"/>
    <x v="1"/>
    <x v="0"/>
    <d v="2025-10-31T00:00:00"/>
    <m/>
    <m/>
    <x v="1"/>
    <n v="35"/>
    <s v="Niel Esto"/>
    <m/>
  </r>
  <r>
    <x v="410"/>
    <x v="0"/>
    <x v="2"/>
    <s v="PLEAN_X310181DK5030201 Bavencio Commercial DK50 Other M&amp;S Regis"/>
    <s v="H000000218"/>
    <s v="H000000218"/>
    <s v="Non-LFF"/>
    <s v=""/>
    <m/>
    <b v="1"/>
    <x v="1"/>
    <x v="0"/>
    <d v="2025-10-31T00:00:00"/>
    <m/>
    <m/>
    <x v="1"/>
    <n v="35"/>
    <s v="Rayneil Reas"/>
    <m/>
  </r>
  <r>
    <x v="410"/>
    <x v="0"/>
    <x v="2"/>
    <s v="PLEAN_X310182NO5022201 Bavencio Medical Non R&amp;D NO50 Medical Co"/>
    <s v="H000000233"/>
    <s v="H000000233"/>
    <s v="Non-LFF"/>
    <s v=""/>
    <m/>
    <b v="1"/>
    <x v="1"/>
    <x v="0"/>
    <d v="2025-10-31T00:00:00"/>
    <m/>
    <m/>
    <x v="1"/>
    <n v="35"/>
    <s v="Rayneil Reas"/>
    <m/>
  </r>
  <r>
    <x v="410"/>
    <x v="0"/>
    <x v="2"/>
    <s v="PLEAN_X310941DK5030201 Tepmetko Commercial DK50 Other M&amp;S Regis"/>
    <s v="H000000218"/>
    <s v="H000000218"/>
    <s v="Non-LFF"/>
    <s v=""/>
    <m/>
    <b v="1"/>
    <x v="1"/>
    <x v="0"/>
    <d v="2025-10-31T00:00:00"/>
    <m/>
    <m/>
    <x v="1"/>
    <n v="35"/>
    <s v="Rayneil Reas"/>
    <m/>
  </r>
  <r>
    <x v="410"/>
    <x v="0"/>
    <x v="2"/>
    <s v="PLEAN_X310941FI5013201 Tepmetko Commercial FI50 Congress &amp; Even"/>
    <s v="H000000220"/>
    <s v="H000000220"/>
    <s v="Non-LFF"/>
    <s v=""/>
    <m/>
    <b v="1"/>
    <x v="1"/>
    <x v="0"/>
    <d v="2025-10-31T00:00:00"/>
    <m/>
    <m/>
    <x v="1"/>
    <n v="35"/>
    <s v="Rayneil Reas"/>
    <m/>
  </r>
  <r>
    <x v="410"/>
    <x v="0"/>
    <x v="2"/>
    <s v="PLEAN_X310941FI5015201 Tepmetko Commercial FI50 Other Promo and"/>
    <s v="H000000220"/>
    <s v="H000000220"/>
    <s v="Non-LFF"/>
    <s v=""/>
    <m/>
    <b v="1"/>
    <x v="1"/>
    <x v="0"/>
    <d v="2025-10-31T00:00:00"/>
    <m/>
    <m/>
    <x v="1"/>
    <n v="35"/>
    <s v="Rayneil Reas"/>
    <m/>
  </r>
  <r>
    <x v="410"/>
    <x v="0"/>
    <x v="2"/>
    <s v="CSCALA_1872$100_C05"/>
    <s v="H000000224"/>
    <s v="H000000224"/>
    <s v="Non-LFF"/>
    <s v=""/>
    <m/>
    <b v="1"/>
    <x v="1"/>
    <x v="0"/>
    <d v="2025-10-31T00:00:00"/>
    <m/>
    <m/>
    <x v="1"/>
    <n v="35"/>
    <s v="Rayneil Reas"/>
    <m/>
  </r>
  <r>
    <x v="410"/>
    <x v="0"/>
    <x v="2"/>
    <s v="CSCALA_1872$70_C56"/>
    <s v="H000000224"/>
    <s v="H000000224"/>
    <s v="Non-LFF"/>
    <s v=""/>
    <m/>
    <b v="1"/>
    <x v="1"/>
    <x v="0"/>
    <d v="2025-10-31T00:00:00"/>
    <m/>
    <m/>
    <x v="1"/>
    <n v="35"/>
    <s v="Rayneil Reas"/>
    <m/>
  </r>
  <r>
    <x v="410"/>
    <x v="0"/>
    <x v="2"/>
    <s v="PLEAN_X310201DK5030201 Fertility Commercial DK50 Other M&amp;S Regi"/>
    <s v="H000000218"/>
    <s v="H000000218"/>
    <s v="Non-LFF"/>
    <s v=""/>
    <m/>
    <b v="1"/>
    <x v="1"/>
    <x v="0"/>
    <d v="2025-10-31T00:00:00"/>
    <m/>
    <m/>
    <x v="1"/>
    <n v="35"/>
    <s v="Rayneil Reas"/>
    <m/>
  </r>
  <r>
    <x v="410"/>
    <x v="0"/>
    <x v="2"/>
    <s v="PLEAN_X310201NO5010201 Fertility Commercial NO50 Promo Material"/>
    <s v="H000000233"/>
    <s v="H000000233"/>
    <s v="Non-LFF"/>
    <s v=""/>
    <m/>
    <b v="1"/>
    <x v="1"/>
    <x v="0"/>
    <d v="2025-10-31T00:00:00"/>
    <m/>
    <m/>
    <x v="1"/>
    <n v="35"/>
    <s v="Rayneil Reas"/>
    <m/>
  </r>
  <r>
    <x v="410"/>
    <x v="0"/>
    <x v="2"/>
    <s v="PLEAN_X310511DK5030201 Mavenclad Commercial DK50 Other M&amp;S Regi"/>
    <s v="H000000218"/>
    <s v="H000000218"/>
    <s v="Non-LFF"/>
    <s v=""/>
    <m/>
    <b v="1"/>
    <x v="1"/>
    <x v="0"/>
    <d v="2025-10-31T00:00:00"/>
    <m/>
    <m/>
    <x v="1"/>
    <n v="35"/>
    <s v="Rayneil Reas"/>
    <m/>
  </r>
  <r>
    <x v="410"/>
    <x v="0"/>
    <x v="2"/>
    <s v="PLEAN_X310511EE5010201 Mavenclad Commercial EE50 Promo Material"/>
    <s v="H000000219"/>
    <s v="H000000219"/>
    <s v="Non-LFF"/>
    <s v=""/>
    <m/>
    <b v="1"/>
    <x v="1"/>
    <x v="0"/>
    <d v="2025-10-31T00:00:00"/>
    <m/>
    <m/>
    <x v="1"/>
    <n v="35"/>
    <s v="Rayneil Reas"/>
    <m/>
  </r>
  <r>
    <x v="410"/>
    <x v="0"/>
    <x v="2"/>
    <s v="PLEAN_X310181CZ5011201 Bavencio Commercial CZ50 Advertising Gen"/>
    <s v="H000002141"/>
    <s v="H000002141"/>
    <s v="Non-LFF"/>
    <s v=""/>
    <m/>
    <b v="1"/>
    <x v="1"/>
    <x v="0"/>
    <d v="2025-10-31T00:00:00"/>
    <m/>
    <m/>
    <x v="1"/>
    <n v="35"/>
    <s v="Rayneil Reas"/>
    <m/>
  </r>
  <r>
    <x v="410"/>
    <x v="0"/>
    <x v="2"/>
    <s v="PLEAN_X310941CZ5015205 Tepmetko Commercial CZ50 Other Promo and"/>
    <s v="H000002141"/>
    <s v="H000002141"/>
    <s v="Non-LFF"/>
    <s v=""/>
    <m/>
    <b v="1"/>
    <x v="1"/>
    <x v="0"/>
    <d v="2025-10-31T00:00:00"/>
    <m/>
    <m/>
    <x v="1"/>
    <n v="35"/>
    <s v="Rayneil Reas"/>
    <m/>
  </r>
  <r>
    <x v="410"/>
    <x v="0"/>
    <x v="2"/>
    <s v="PLEAN_X310942CZ5020202 Tepmetko Medical Non R&amp;D CZ50 Medical Ed"/>
    <s v="H000002141"/>
    <s v="H000002141"/>
    <s v="Non-LFF"/>
    <s v=""/>
    <m/>
    <b v="1"/>
    <x v="1"/>
    <x v="0"/>
    <d v="2025-10-31T00:00:00"/>
    <m/>
    <m/>
    <x v="1"/>
    <n v="35"/>
    <s v="Rayneil Reas"/>
    <m/>
  </r>
  <r>
    <x v="410"/>
    <x v="0"/>
    <x v="2"/>
    <s v="PLEAN_X370132AT5023200 RG Ezmekly Medical activities"/>
    <s v="H000004524"/>
    <s v="H000004524"/>
    <s v="Non-LFF"/>
    <s v=""/>
    <m/>
    <b v="1"/>
    <x v="1"/>
    <x v="0"/>
    <d v="2025-10-31T00:00:00"/>
    <m/>
    <m/>
    <x v="1"/>
    <n v="35"/>
    <s v="Rayneil Reas"/>
    <m/>
  </r>
  <r>
    <x v="410"/>
    <x v="0"/>
    <x v="2"/>
    <s v="CSCALA_1759$GHTE"/>
    <s v="H000003613"/>
    <s v="H000003613"/>
    <s v="Non-LFF"/>
    <s v=""/>
    <m/>
    <b v="1"/>
    <x v="1"/>
    <x v="0"/>
    <d v="2025-10-31T00:00:00"/>
    <m/>
    <m/>
    <x v="1"/>
    <n v="35"/>
    <s v="Rayneil Reas"/>
    <m/>
  </r>
  <r>
    <x v="410"/>
    <x v="0"/>
    <x v="2"/>
    <s v="CSCALA_1759$E352"/>
    <s v="H000003613"/>
    <s v="H000003613"/>
    <s v="Non-LFF"/>
    <s v=""/>
    <m/>
    <b v="1"/>
    <x v="1"/>
    <x v="0"/>
    <d v="2025-10-31T00:00:00"/>
    <m/>
    <m/>
    <x v="1"/>
    <n v="35"/>
    <s v="Rayneil Reas"/>
    <m/>
  </r>
  <r>
    <x v="410"/>
    <x v="0"/>
    <x v="2"/>
    <s v="CSCALA_1759$E353"/>
    <s v="H000003613"/>
    <s v="H000003613"/>
    <s v="Non-LFF"/>
    <s v=""/>
    <m/>
    <b v="1"/>
    <x v="1"/>
    <x v="0"/>
    <d v="2025-10-31T00:00:00"/>
    <m/>
    <m/>
    <x v="1"/>
    <n v="35"/>
    <s v="Rayneil Reas"/>
    <m/>
  </r>
  <r>
    <x v="410"/>
    <x v="0"/>
    <x v="2"/>
    <s v="CSCALA_1759$E354"/>
    <s v="H000003613"/>
    <s v="H000003613"/>
    <s v="Non-LFF"/>
    <s v=""/>
    <m/>
    <b v="1"/>
    <x v="1"/>
    <x v="0"/>
    <d v="2025-10-31T00:00:00"/>
    <m/>
    <m/>
    <x v="1"/>
    <n v="35"/>
    <s v="Rayneil Reas"/>
    <m/>
  </r>
  <r>
    <x v="410"/>
    <x v="0"/>
    <x v="2"/>
    <s v="CSCALA_1759$E355"/>
    <s v="H000003613"/>
    <s v="H000003613"/>
    <s v="Non-LFF"/>
    <s v=""/>
    <m/>
    <b v="1"/>
    <x v="1"/>
    <x v="0"/>
    <d v="2025-10-31T00:00:00"/>
    <m/>
    <m/>
    <x v="1"/>
    <n v="35"/>
    <s v="Rayneil Reas"/>
    <m/>
  </r>
  <r>
    <x v="410"/>
    <x v="0"/>
    <x v="2"/>
    <s v="CSCALA_1759$E356"/>
    <s v="H000003613"/>
    <s v="H000003613"/>
    <s v="Non-LFF"/>
    <s v=""/>
    <m/>
    <b v="1"/>
    <x v="1"/>
    <x v="0"/>
    <d v="2025-10-31T00:00:00"/>
    <m/>
    <m/>
    <x v="1"/>
    <n v="35"/>
    <s v="Rayneil Reas"/>
    <m/>
  </r>
  <r>
    <x v="410"/>
    <x v="0"/>
    <x v="2"/>
    <s v="CSCALA_1759$E357"/>
    <s v="H000003613"/>
    <s v="H000003613"/>
    <s v="Non-LFF"/>
    <s v=""/>
    <m/>
    <b v="1"/>
    <x v="1"/>
    <x v="0"/>
    <d v="2025-10-31T00:00:00"/>
    <m/>
    <m/>
    <x v="1"/>
    <n v="35"/>
    <s v="Rayneil Reas"/>
    <m/>
  </r>
  <r>
    <x v="410"/>
    <x v="0"/>
    <x v="2"/>
    <s v="CSCALA_1759$E358"/>
    <s v="H000003613"/>
    <s v="H000003613"/>
    <s v="Non-LFF"/>
    <s v=""/>
    <m/>
    <b v="1"/>
    <x v="1"/>
    <x v="0"/>
    <d v="2025-10-31T00:00:00"/>
    <m/>
    <m/>
    <x v="1"/>
    <n v="35"/>
    <s v="Rayneil Reas"/>
    <m/>
  </r>
  <r>
    <x v="410"/>
    <x v="0"/>
    <x v="2"/>
    <s v="CSCALA_1759$E359"/>
    <s v="H000003613"/>
    <s v="H000003613"/>
    <s v="Non-LFF"/>
    <s v=""/>
    <m/>
    <b v="1"/>
    <x v="1"/>
    <x v="0"/>
    <d v="2025-10-31T00:00:00"/>
    <m/>
    <m/>
    <x v="1"/>
    <n v="35"/>
    <s v="Rayneil Reas"/>
    <m/>
  </r>
  <r>
    <x v="410"/>
    <x v="0"/>
    <x v="2"/>
    <s v="CSCALA_1759$E360"/>
    <s v="H000003613"/>
    <s v="H000003613"/>
    <s v="Non-LFF"/>
    <s v=""/>
    <m/>
    <b v="1"/>
    <x v="1"/>
    <x v="0"/>
    <d v="2025-10-31T00:00:00"/>
    <m/>
    <m/>
    <x v="1"/>
    <n v="35"/>
    <s v="Rayneil Reas"/>
    <m/>
  </r>
  <r>
    <x v="410"/>
    <x v="0"/>
    <x v="2"/>
    <s v="CSCALA_1759$E361"/>
    <s v="H000003613"/>
    <s v="H000003613"/>
    <s v="Non-LFF"/>
    <s v=""/>
    <m/>
    <b v="1"/>
    <x v="1"/>
    <x v="0"/>
    <d v="2025-10-31T00:00:00"/>
    <m/>
    <m/>
    <x v="1"/>
    <n v="35"/>
    <s v="Rayneil Reas"/>
    <m/>
  </r>
  <r>
    <x v="410"/>
    <x v="0"/>
    <x v="2"/>
    <s v="CSCALA_1759$E362"/>
    <s v="H000003613"/>
    <s v="H000003613"/>
    <s v="Non-LFF"/>
    <s v=""/>
    <m/>
    <b v="1"/>
    <x v="1"/>
    <x v="0"/>
    <d v="2025-10-31T00:00:00"/>
    <m/>
    <m/>
    <x v="1"/>
    <n v="35"/>
    <s v="Rayneil Reas"/>
    <m/>
  </r>
  <r>
    <x v="410"/>
    <x v="0"/>
    <x v="2"/>
    <s v="CSCALA_1759$E363"/>
    <s v="H000003613"/>
    <s v="H000003613"/>
    <s v="Non-LFF"/>
    <s v=""/>
    <m/>
    <b v="1"/>
    <x v="1"/>
    <x v="0"/>
    <d v="2025-10-31T00:00:00"/>
    <m/>
    <m/>
    <x v="1"/>
    <n v="35"/>
    <s v="Rayneil Reas"/>
    <m/>
  </r>
  <r>
    <x v="410"/>
    <x v="0"/>
    <x v="2"/>
    <s v="CSCALA_1759$E364"/>
    <s v="H000003613"/>
    <s v="H000003613"/>
    <s v="Non-LFF"/>
    <s v=""/>
    <m/>
    <b v="1"/>
    <x v="1"/>
    <x v="0"/>
    <d v="2025-10-31T00:00:00"/>
    <m/>
    <m/>
    <x v="1"/>
    <n v="35"/>
    <s v="Rayneil Reas"/>
    <m/>
  </r>
  <r>
    <x v="410"/>
    <x v="0"/>
    <x v="2"/>
    <s v="CSCALA_1759$E365"/>
    <s v="H000003613"/>
    <s v="H000003613"/>
    <s v="Non-LFF"/>
    <s v=""/>
    <m/>
    <b v="1"/>
    <x v="1"/>
    <x v="0"/>
    <d v="2025-10-31T00:00:00"/>
    <m/>
    <m/>
    <x v="1"/>
    <n v="35"/>
    <s v="Rayneil Reas"/>
    <m/>
  </r>
  <r>
    <x v="410"/>
    <x v="0"/>
    <x v="2"/>
    <s v="CSCALA_1759$E366"/>
    <s v="H000003613"/>
    <s v="H000003613"/>
    <s v="Non-LFF"/>
    <s v=""/>
    <m/>
    <b v="1"/>
    <x v="1"/>
    <x v="0"/>
    <d v="2025-10-31T00:00:00"/>
    <m/>
    <m/>
    <x v="1"/>
    <n v="35"/>
    <s v="Rayneil Reas"/>
    <m/>
  </r>
  <r>
    <x v="410"/>
    <x v="0"/>
    <x v="2"/>
    <s v="CSCALA_1759$O454"/>
    <s v="H000003613"/>
    <s v="H000003613"/>
    <s v="Non-LFF"/>
    <s v=""/>
    <m/>
    <b v="1"/>
    <x v="1"/>
    <x v="0"/>
    <d v="2025-10-31T00:00:00"/>
    <m/>
    <m/>
    <x v="1"/>
    <n v="35"/>
    <s v="Rayneil Reas"/>
    <m/>
  </r>
  <r>
    <x v="410"/>
    <x v="0"/>
    <x v="2"/>
    <s v="CSCALA_1759$O633"/>
    <s v="H000003613"/>
    <s v="H000003613"/>
    <s v="Non-LFF"/>
    <s v=""/>
    <m/>
    <b v="1"/>
    <x v="1"/>
    <x v="0"/>
    <d v="2025-10-31T00:00:00"/>
    <m/>
    <m/>
    <x v="1"/>
    <n v="35"/>
    <s v="Rayneil Reas"/>
    <m/>
  </r>
  <r>
    <x v="410"/>
    <x v="0"/>
    <x v="2"/>
    <s v="CSCALA_1759$R111"/>
    <s v="H000003613"/>
    <s v="H000003613"/>
    <s v="Non-LFF"/>
    <s v=""/>
    <m/>
    <b v="1"/>
    <x v="1"/>
    <x v="0"/>
    <d v="2025-10-31T00:00:00"/>
    <m/>
    <m/>
    <x v="1"/>
    <n v="35"/>
    <s v="Rayneil Reas"/>
    <m/>
  </r>
  <r>
    <x v="410"/>
    <x v="0"/>
    <x v="2"/>
    <s v="CSCALA_1759$R112"/>
    <s v="H000003613"/>
    <s v="H000003613"/>
    <s v="Non-LFF"/>
    <s v=""/>
    <m/>
    <b v="1"/>
    <x v="1"/>
    <x v="0"/>
    <d v="2025-10-31T00:00:00"/>
    <m/>
    <m/>
    <x v="1"/>
    <n v="35"/>
    <s v="Rayneil Reas"/>
    <m/>
  </r>
  <r>
    <x v="410"/>
    <x v="0"/>
    <x v="2"/>
    <s v="CSCALA_1759$R113"/>
    <s v="H000003613"/>
    <s v="H000003613"/>
    <s v="Non-LFF"/>
    <s v=""/>
    <m/>
    <b v="1"/>
    <x v="1"/>
    <x v="0"/>
    <d v="2025-10-31T00:00:00"/>
    <m/>
    <m/>
    <x v="1"/>
    <n v="35"/>
    <s v="Rayneil Reas"/>
    <m/>
  </r>
  <r>
    <x v="410"/>
    <x v="0"/>
    <x v="2"/>
    <s v="CSCALA_1759$E351"/>
    <s v="H000003613"/>
    <s v="H000003613"/>
    <s v="Non-LFF"/>
    <s v=""/>
    <m/>
    <b v="1"/>
    <x v="1"/>
    <x v="0"/>
    <d v="2025-10-31T00:00:00"/>
    <m/>
    <m/>
    <x v="1"/>
    <n v="35"/>
    <s v="Rayneil Reas"/>
    <m/>
  </r>
  <r>
    <x v="410"/>
    <x v="0"/>
    <x v="2"/>
    <s v="CSCALA_1759$F916"/>
    <s v="H000003613"/>
    <s v="H000003613"/>
    <s v="Non-LFF"/>
    <s v=""/>
    <m/>
    <b v="1"/>
    <x v="1"/>
    <x v="0"/>
    <d v="2025-10-31T00:00:00"/>
    <m/>
    <m/>
    <x v="1"/>
    <n v="35"/>
    <s v="Rayneil Reas"/>
    <m/>
  </r>
  <r>
    <x v="410"/>
    <x v="0"/>
    <x v="2"/>
    <s v="CSCALA_1759$C218"/>
    <s v="H000003613"/>
    <s v="H000003613"/>
    <s v="Non-LFF"/>
    <s v=""/>
    <m/>
    <b v="1"/>
    <x v="1"/>
    <x v="0"/>
    <d v="2025-10-31T00:00:00"/>
    <m/>
    <m/>
    <x v="1"/>
    <n v="35"/>
    <s v="Rayneil Reas"/>
    <m/>
  </r>
  <r>
    <x v="410"/>
    <x v="0"/>
    <x v="2"/>
    <s v="CSCALA_1759$HACH"/>
    <s v="H000003613"/>
    <s v="H000003613"/>
    <s v="Non-LFF"/>
    <s v=""/>
    <m/>
    <b v="1"/>
    <x v="1"/>
    <x v="0"/>
    <d v="2025-10-31T00:00:00"/>
    <m/>
    <m/>
    <x v="1"/>
    <n v="35"/>
    <s v="Rayneil Reas"/>
    <m/>
  </r>
  <r>
    <x v="410"/>
    <x v="0"/>
    <x v="2"/>
    <s v="CSCALA_1759$RADI"/>
    <s v="H000003613"/>
    <s v="H000003613"/>
    <s v="Non-LFF"/>
    <s v=""/>
    <m/>
    <b v="1"/>
    <x v="1"/>
    <x v="0"/>
    <d v="2025-10-31T00:00:00"/>
    <m/>
    <m/>
    <x v="1"/>
    <n v="35"/>
    <s v="Rayneil Reas"/>
    <m/>
  </r>
  <r>
    <x v="410"/>
    <x v="0"/>
    <x v="2"/>
    <s v="CSCALA_1759$R109"/>
    <s v="H000003613"/>
    <s v="H000003613"/>
    <s v="Non-LFF"/>
    <s v=""/>
    <m/>
    <b v="1"/>
    <x v="1"/>
    <x v="0"/>
    <d v="2025-10-31T00:00:00"/>
    <m/>
    <m/>
    <x v="1"/>
    <n v="35"/>
    <s v="Rayneil Reas"/>
    <m/>
  </r>
  <r>
    <x v="410"/>
    <x v="0"/>
    <x v="2"/>
    <s v="CSCALA_1759$R110"/>
    <s v="H000003613"/>
    <s v="H000003613"/>
    <s v="Non-LFF"/>
    <s v=""/>
    <m/>
    <b v="1"/>
    <x v="1"/>
    <x v="0"/>
    <d v="2025-10-31T00:00:00"/>
    <m/>
    <m/>
    <x v="1"/>
    <n v="35"/>
    <s v="Rayneil Reas"/>
    <m/>
  </r>
  <r>
    <x v="410"/>
    <x v="0"/>
    <x v="2"/>
    <s v="PLEAN_X310201CH7613200 FER COM Consultancy (inkl. Adboards)"/>
    <s v="H000001998"/>
    <s v="H000001998"/>
    <s v="Non-LFF"/>
    <s v=""/>
    <m/>
    <b v="1"/>
    <x v="1"/>
    <x v="0"/>
    <d v="2025-10-31T00:00:00"/>
    <m/>
    <m/>
    <x v="1"/>
    <n v="35"/>
    <s v="Rayneil Reas"/>
    <m/>
  </r>
  <r>
    <x v="410"/>
    <x v="0"/>
    <x v="2"/>
    <s v="PLEAN_X310401CZ5015205 Saizen Commercial CZ50 Other Promo and A"/>
    <s v="H000002141"/>
    <s v="H000002141"/>
    <s v="Non-LFF"/>
    <s v=""/>
    <m/>
    <b v="1"/>
    <x v="1"/>
    <x v="0"/>
    <d v="2025-10-31T00:00:00"/>
    <m/>
    <m/>
    <x v="1"/>
    <n v="35"/>
    <s v="Rayneil Reas"/>
    <m/>
  </r>
  <r>
    <x v="410"/>
    <x v="0"/>
    <x v="2"/>
    <s v="PLEAN_X310511CZ5015205 Mavenclad Commercial CZ50 Other Promo an"/>
    <s v="H000002141"/>
    <s v="H000002141"/>
    <s v="Non-LFF"/>
    <s v=""/>
    <m/>
    <b v="1"/>
    <x v="1"/>
    <x v="0"/>
    <d v="2025-10-31T00:00:00"/>
    <m/>
    <m/>
    <x v="1"/>
    <n v="35"/>
    <s v="Rayneil Reas"/>
    <m/>
  </r>
  <r>
    <x v="411"/>
    <x v="0"/>
    <x v="2"/>
    <s v="CLFF_1000$$$CH01GFO001"/>
    <s v="G000000631"/>
    <s v="G000000631"/>
    <s v="LFF (MDG-F)"/>
    <s v="CH01GFO001"/>
    <m/>
    <b v="1"/>
    <x v="0"/>
    <x v="0"/>
    <d v="2025-10-31T00:00:00"/>
    <m/>
    <m/>
    <x v="1"/>
    <n v="35"/>
    <s v="Jojeff Tagnong"/>
    <m/>
  </r>
  <r>
    <x v="411"/>
    <x v="0"/>
    <x v="2"/>
    <s v="CLFF_1000$$$CH50GIT040"/>
    <s v="G000000631"/>
    <s v="G000000631"/>
    <s v="LFF (MDG-F)"/>
    <s v="CH50GIT040"/>
    <m/>
    <b v="1"/>
    <x v="0"/>
    <x v="0"/>
    <d v="2025-10-31T00:00:00"/>
    <m/>
    <m/>
    <x v="1"/>
    <n v="35"/>
    <s v="Jojeff Tagnong"/>
    <m/>
  </r>
  <r>
    <x v="411"/>
    <x v="0"/>
    <x v="2"/>
    <s v="CLFF_1000$$$CH50GM2100"/>
    <s v="G000000631"/>
    <s v="G000000631"/>
    <s v="LFF (MDG-F)"/>
    <s v="CH50GM2100"/>
    <m/>
    <b v="1"/>
    <x v="0"/>
    <x v="0"/>
    <d v="2025-10-31T00:00:00"/>
    <m/>
    <m/>
    <x v="1"/>
    <n v="35"/>
    <s v="Jojeff Tagnong"/>
    <m/>
  </r>
  <r>
    <x v="411"/>
    <x v="0"/>
    <x v="2"/>
    <s v="CLFF_1000$$$CH50GM2200"/>
    <s v="G000000631"/>
    <s v="G000000631"/>
    <s v="LFF (MDG-F)"/>
    <s v="CH50GM2200"/>
    <m/>
    <b v="1"/>
    <x v="0"/>
    <x v="0"/>
    <d v="2025-10-31T00:00:00"/>
    <m/>
    <m/>
    <x v="1"/>
    <n v="35"/>
    <s v="Jojeff Tagnong"/>
    <m/>
  </r>
  <r>
    <x v="411"/>
    <x v="0"/>
    <x v="2"/>
    <s v="CLFF_1000$$$CH50GM2201"/>
    <s v="G000000631"/>
    <s v="G000000631"/>
    <s v="LFF (MDG-F)"/>
    <s v="CH50GM2201"/>
    <m/>
    <b v="1"/>
    <x v="0"/>
    <x v="0"/>
    <d v="2025-10-31T00:00:00"/>
    <m/>
    <m/>
    <x v="1"/>
    <n v="35"/>
    <s v="Jojeff Tagnong"/>
    <m/>
  </r>
  <r>
    <x v="411"/>
    <x v="0"/>
    <x v="2"/>
    <s v="CLFF_1000$$$CH50L98043"/>
    <s v="G000000631"/>
    <s v="G000000631"/>
    <s v="LFF (MDG-F)"/>
    <s v="CH50L98043"/>
    <m/>
    <b v="1"/>
    <x v="0"/>
    <x v="0"/>
    <d v="2025-10-31T00:00:00"/>
    <m/>
    <m/>
    <x v="1"/>
    <n v="35"/>
    <s v="Jojeff Tagnong"/>
    <m/>
  </r>
  <r>
    <x v="411"/>
    <x v="0"/>
    <x v="2"/>
    <s v="CLFF_1000$$$CH65GIT022"/>
    <s v="G000000631"/>
    <s v="G000000631"/>
    <s v="LFF (MDG-F)"/>
    <s v="CH65GIT022"/>
    <m/>
    <b v="1"/>
    <x v="0"/>
    <x v="0"/>
    <d v="2025-10-31T00:00:00"/>
    <m/>
    <m/>
    <x v="1"/>
    <n v="35"/>
    <s v="Jojeff Tagnong"/>
    <m/>
  </r>
  <r>
    <x v="411"/>
    <x v="0"/>
    <x v="2"/>
    <s v="CLFF_1000$$$CH65GM2100"/>
    <s v="G000000631"/>
    <s v="G000000631"/>
    <s v="LFF (MDG-F)"/>
    <s v="CH65GM2100"/>
    <m/>
    <b v="1"/>
    <x v="0"/>
    <x v="0"/>
    <d v="2025-10-31T00:00:00"/>
    <m/>
    <m/>
    <x v="1"/>
    <n v="35"/>
    <s v="Jojeff Tagnong"/>
    <m/>
  </r>
  <r>
    <x v="411"/>
    <x v="0"/>
    <x v="2"/>
    <s v="CLFF_1000$$$CH65GM2201"/>
    <s v="G000000631"/>
    <s v="G000000631"/>
    <s v="LFF (MDG-F)"/>
    <s v="CH65GM2201"/>
    <m/>
    <b v="1"/>
    <x v="0"/>
    <x v="0"/>
    <d v="2025-10-31T00:00:00"/>
    <m/>
    <m/>
    <x v="1"/>
    <n v="35"/>
    <s v="Jojeff Tagnong"/>
    <m/>
  </r>
  <r>
    <x v="411"/>
    <x v="0"/>
    <x v="2"/>
    <s v="CLFF_1000$$$CH65GM4100"/>
    <s v="G000000631"/>
    <s v="G000000631"/>
    <s v="LFF (MDG-F)"/>
    <s v="CH65GM4100"/>
    <m/>
    <b v="1"/>
    <x v="0"/>
    <x v="0"/>
    <d v="2025-10-31T00:00:00"/>
    <m/>
    <m/>
    <x v="1"/>
    <n v="35"/>
    <s v="Jojeff Tagnong"/>
    <m/>
  </r>
  <r>
    <x v="411"/>
    <x v="0"/>
    <x v="2"/>
    <s v="CLFF_1000$$$CH75GIT040"/>
    <s v="G000000631"/>
    <s v="G000000631"/>
    <s v="LFF (MDG-F)"/>
    <s v="CH75GIT040"/>
    <m/>
    <b v="1"/>
    <x v="0"/>
    <x v="0"/>
    <d v="2025-10-31T00:00:00"/>
    <m/>
    <m/>
    <x v="1"/>
    <n v="35"/>
    <s v="Jojeff Tagnong"/>
    <m/>
  </r>
  <r>
    <x v="411"/>
    <x v="0"/>
    <x v="2"/>
    <s v="CLFF_1000$$$CH75GM2100"/>
    <s v="G000000631"/>
    <s v="G000000631"/>
    <s v="LFF (MDG-F)"/>
    <s v="CH75GM2100"/>
    <m/>
    <b v="1"/>
    <x v="0"/>
    <x v="0"/>
    <d v="2025-10-31T00:00:00"/>
    <m/>
    <m/>
    <x v="1"/>
    <n v="35"/>
    <s v="Jojeff Tagnong"/>
    <m/>
  </r>
  <r>
    <x v="411"/>
    <x v="0"/>
    <x v="2"/>
    <s v="CLFF_1000$$$CH75GM2200"/>
    <s v="G000000631"/>
    <s v="G000000631"/>
    <s v="LFF (MDG-F)"/>
    <s v="CH75GM2200"/>
    <m/>
    <b v="1"/>
    <x v="0"/>
    <x v="0"/>
    <d v="2025-10-31T00:00:00"/>
    <m/>
    <m/>
    <x v="1"/>
    <n v="35"/>
    <s v="Jojeff Tagnong"/>
    <m/>
  </r>
  <r>
    <x v="411"/>
    <x v="0"/>
    <x v="2"/>
    <s v="CLFF_1000$$$CH81GM2100"/>
    <s v="G000000631"/>
    <s v="G000000631"/>
    <s v="LFF (MDG-F)"/>
    <s v="CH81GM2100"/>
    <m/>
    <b v="1"/>
    <x v="0"/>
    <x v="0"/>
    <d v="2025-10-31T00:00:00"/>
    <m/>
    <m/>
    <x v="1"/>
    <n v="35"/>
    <s v="Jojeff Tagnong"/>
    <m/>
  </r>
  <r>
    <x v="411"/>
    <x v="0"/>
    <x v="2"/>
    <s v="CLFF_1000$$$CH82GM2100"/>
    <s v="G000000631"/>
    <s v="G000000631"/>
    <s v="LFF (MDG-F)"/>
    <s v="CH82GM2100"/>
    <m/>
    <b v="1"/>
    <x v="0"/>
    <x v="0"/>
    <d v="2025-10-31T00:00:00"/>
    <m/>
    <m/>
    <x v="1"/>
    <n v="35"/>
    <s v="Jojeff Tagnong"/>
    <m/>
  </r>
  <r>
    <x v="411"/>
    <x v="0"/>
    <x v="2"/>
    <s v="CLFF_1000$$$CH82GM2200"/>
    <s v="G000000631"/>
    <s v="G000000631"/>
    <s v="LFF (MDG-F)"/>
    <s v="CH82GM2200"/>
    <m/>
    <b v="1"/>
    <x v="0"/>
    <x v="0"/>
    <d v="2025-10-31T00:00:00"/>
    <m/>
    <m/>
    <x v="1"/>
    <n v="35"/>
    <s v="Jojeff Tagnong"/>
    <m/>
  </r>
  <r>
    <x v="411"/>
    <x v="0"/>
    <x v="2"/>
    <s v="CNOW_7210$$$0000051902"/>
    <s v="G000000631"/>
    <s v="G000000631"/>
    <s v="Non-LFF"/>
    <s v=""/>
    <m/>
    <b v="1"/>
    <x v="0"/>
    <x v="0"/>
    <d v="2025-10-31T00:00:00"/>
    <m/>
    <m/>
    <x v="1"/>
    <n v="35"/>
    <s v="Jojeff Tagnong"/>
    <m/>
  </r>
  <r>
    <x v="411"/>
    <x v="0"/>
    <x v="2"/>
    <s v="CNOW_7210$$$0000056400"/>
    <s v="G000000631"/>
    <s v="G000000631"/>
    <s v="Non-LFF"/>
    <s v=""/>
    <m/>
    <b v="1"/>
    <x v="0"/>
    <x v="0"/>
    <d v="2025-10-31T00:00:00"/>
    <m/>
    <m/>
    <x v="1"/>
    <n v="35"/>
    <s v="Jojeff Tagnong"/>
    <m/>
  </r>
  <r>
    <x v="411"/>
    <x v="0"/>
    <x v="2"/>
    <s v="CNOW_7210$$$0000056407"/>
    <s v="G000000631"/>
    <s v="G000000631"/>
    <s v="Non-LFF"/>
    <s v=""/>
    <m/>
    <b v="1"/>
    <x v="0"/>
    <x v="0"/>
    <d v="2025-10-31T00:00:00"/>
    <m/>
    <m/>
    <x v="1"/>
    <n v="35"/>
    <s v="Jojeff Tagnong"/>
    <m/>
  </r>
  <r>
    <x v="411"/>
    <x v="0"/>
    <x v="2"/>
    <s v="CNOW_7210$$$0000056440"/>
    <s v="G000000631"/>
    <s v="G000000631"/>
    <s v="Non-LFF"/>
    <s v=""/>
    <m/>
    <b v="1"/>
    <x v="0"/>
    <x v="0"/>
    <d v="2025-10-31T00:00:00"/>
    <m/>
    <m/>
    <x v="1"/>
    <n v="35"/>
    <s v="Jojeff Tagnong"/>
    <m/>
  </r>
  <r>
    <x v="411"/>
    <x v="0"/>
    <x v="2"/>
    <s v="CNOW_7210$$$0000056480"/>
    <s v="G000000631"/>
    <s v="G000000631"/>
    <s v="Non-LFF"/>
    <s v=""/>
    <m/>
    <b v="1"/>
    <x v="0"/>
    <x v="0"/>
    <d v="2025-10-31T00:00:00"/>
    <m/>
    <m/>
    <x v="1"/>
    <n v="35"/>
    <s v="Jojeff Tagnong"/>
    <m/>
  </r>
  <r>
    <x v="411"/>
    <x v="0"/>
    <x v="2"/>
    <s v="CNOW_7210$$$0000056971"/>
    <s v="G000000631"/>
    <s v="G000000631"/>
    <s v="Non-LFF"/>
    <s v=""/>
    <m/>
    <b v="1"/>
    <x v="0"/>
    <x v="0"/>
    <d v="2025-10-31T00:00:00"/>
    <m/>
    <m/>
    <x v="1"/>
    <n v="35"/>
    <s v="Jojeff Tagnong"/>
    <m/>
  </r>
  <r>
    <x v="411"/>
    <x v="0"/>
    <x v="2"/>
    <s v="CTEMPEU_1000CH70AD1L90"/>
    <s v="G000000631"/>
    <s v="G000000631"/>
    <s v="Non-LFF"/>
    <s v=""/>
    <m/>
    <b v="1"/>
    <x v="0"/>
    <x v="0"/>
    <d v="2025-10-31T00:00:00"/>
    <m/>
    <m/>
    <x v="1"/>
    <n v="35"/>
    <s v="Jojeff Tagnong"/>
    <m/>
  </r>
  <r>
    <x v="411"/>
    <x v="0"/>
    <x v="2"/>
    <s v="CTEMPEU_1000CH70ADF100"/>
    <s v="G000000631"/>
    <s v="G000000631"/>
    <s v="Non-LFF"/>
    <s v=""/>
    <m/>
    <b v="1"/>
    <x v="0"/>
    <x v="0"/>
    <d v="2025-10-31T00:00:00"/>
    <m/>
    <m/>
    <x v="1"/>
    <n v="35"/>
    <s v="Jojeff Tagnong"/>
    <m/>
  </r>
  <r>
    <x v="411"/>
    <x v="0"/>
    <x v="2"/>
    <s v="CLFF_1000$$$CH01GFO000 FO-CFO"/>
    <s v="G000000631"/>
    <s v="G000000631"/>
    <s v="LFF (MDG-F)"/>
    <s v="CH01GFO000"/>
    <m/>
    <b v="1"/>
    <x v="0"/>
    <x v="0"/>
    <d v="2025-10-31T00:00:00"/>
    <m/>
    <m/>
    <x v="1"/>
    <n v="35"/>
    <s v="Jojeff Tagnong"/>
    <m/>
  </r>
  <r>
    <x v="411"/>
    <x v="0"/>
    <x v="2"/>
    <s v="CLFF_1000$$$CH65GM2200 Finance Reporting,Compliance&amp;Controlling"/>
    <s v="G000000631"/>
    <s v="G000000631"/>
    <s v="LFF (MDG-F)"/>
    <s v="CH65GM2200"/>
    <m/>
    <b v="1"/>
    <x v="0"/>
    <x v="0"/>
    <d v="2025-10-31T00:00:00"/>
    <m/>
    <m/>
    <x v="1"/>
    <n v="35"/>
    <s v="Jojeff Tagnong"/>
    <m/>
  </r>
  <r>
    <x v="412"/>
    <x v="0"/>
    <x v="2"/>
    <s v="CITR_1000$$$1022APPL"/>
    <s v="G000000256"/>
    <s v="G000000256"/>
    <s v="Non-LFF"/>
    <s v=""/>
    <m/>
    <b v="1"/>
    <x v="0"/>
    <x v="0"/>
    <d v="2025-11-04T00:00:00"/>
    <m/>
    <m/>
    <x v="1"/>
    <n v="33"/>
    <s v="Jay-R Lizardo"/>
    <m/>
  </r>
  <r>
    <x v="412"/>
    <x v="0"/>
    <x v="8"/>
    <s v="CLFF_1000$$$DE65GIT032"/>
    <s v="G000000256"/>
    <s v="DFLTPGCOH_BF-C2_001242"/>
    <s v="LFF (MDG-F)"/>
    <s v="DE65GIT032"/>
    <s v="Won't be mapped til there are actuals"/>
    <b v="0"/>
    <x v="0"/>
    <x v="0"/>
    <d v="2025-11-04T00:00:00"/>
    <m/>
    <m/>
    <x v="1"/>
    <n v="33"/>
    <s v="Jay-R Lizardo"/>
    <m/>
  </r>
  <r>
    <x v="412"/>
    <x v="0"/>
    <x v="2"/>
    <s v="CLFF_1000$$$DE10GIT101"/>
    <s v="G000001446"/>
    <s v="G000001446"/>
    <s v="LFF (MDG-F)"/>
    <s v="DE10GIT101"/>
    <m/>
    <b v="1"/>
    <x v="0"/>
    <x v="0"/>
    <d v="2025-11-04T00:00:00"/>
    <m/>
    <m/>
    <x v="1"/>
    <n v="33"/>
    <s v="Jay-R Lizardo"/>
    <m/>
  </r>
  <r>
    <x v="412"/>
    <x v="0"/>
    <x v="2"/>
    <s v="CLFF_1000$$$DE10YIT014"/>
    <s v="G000001444"/>
    <s v="G000001444"/>
    <s v="LFF (MDG-F)"/>
    <s v="DE10YIT014"/>
    <m/>
    <b v="1"/>
    <x v="0"/>
    <x v="0"/>
    <d v="2025-11-04T00:00:00"/>
    <m/>
    <m/>
    <x v="1"/>
    <n v="33"/>
    <s v="Jay-R Lizardo"/>
    <m/>
  </r>
  <r>
    <x v="413"/>
    <x v="0"/>
    <x v="2"/>
    <s v="CLFF_1000$$$CN01TPAZ08"/>
    <s v="P000000571"/>
    <s v="P000000571"/>
    <s v="LFF (MDG-F)"/>
    <s v="CN01TPAZ08"/>
    <m/>
    <b v="1"/>
    <x v="3"/>
    <x v="0"/>
    <d v="2025-11-04T00:00:00"/>
    <m/>
    <m/>
    <x v="1"/>
    <n v="33"/>
    <s v="John Rowie Del Rosario"/>
    <m/>
  </r>
  <r>
    <x v="413"/>
    <x v="0"/>
    <x v="2"/>
    <s v="CLFF_1000$$$CN01OF0161"/>
    <s v="P000000571"/>
    <s v="P000000571"/>
    <s v="LFF (MDG-F)"/>
    <s v="CN01OF0161"/>
    <m/>
    <b v="1"/>
    <x v="3"/>
    <x v="0"/>
    <d v="2025-11-04T00:00:00"/>
    <m/>
    <m/>
    <x v="1"/>
    <n v="33"/>
    <s v="John Rowie Del Rosario"/>
    <m/>
  </r>
  <r>
    <x v="413"/>
    <x v="0"/>
    <x v="2"/>
    <s v="CLFF_1000$$$CN01TPAZ06"/>
    <s v="P000000571"/>
    <s v="P000000571"/>
    <s v="LFF (MDG-F)"/>
    <s v="CN01TPAZ06"/>
    <m/>
    <b v="1"/>
    <x v="3"/>
    <x v="0"/>
    <d v="2025-11-04T00:00:00"/>
    <m/>
    <m/>
    <x v="1"/>
    <n v="33"/>
    <s v="John Rowie Del Rosario"/>
    <m/>
  </r>
  <r>
    <x v="413"/>
    <x v="0"/>
    <x v="2"/>
    <s v="CLFF_1000$$$CN02TPZZ05"/>
    <s v="P000000571"/>
    <s v="P000000571"/>
    <s v="LFF (MDG-F)"/>
    <s v="CN02TPZZ05"/>
    <m/>
    <b v="1"/>
    <x v="3"/>
    <x v="0"/>
    <d v="2025-11-04T00:00:00"/>
    <m/>
    <m/>
    <x v="1"/>
    <n v="33"/>
    <s v="John Rowie Del Rosario"/>
    <m/>
  </r>
  <r>
    <x v="413"/>
    <x v="0"/>
    <x v="2"/>
    <s v="CLFF_1000$$$CN02TPZZ08"/>
    <s v="P000000571"/>
    <s v="P000000571"/>
    <s v="LFF (MDG-F)"/>
    <s v="CN02TPZZ08"/>
    <m/>
    <b v="1"/>
    <x v="3"/>
    <x v="0"/>
    <d v="2025-11-04T00:00:00"/>
    <m/>
    <m/>
    <x v="1"/>
    <n v="33"/>
    <s v="John Rowie Del Rosario"/>
    <m/>
  </r>
  <r>
    <x v="413"/>
    <x v="0"/>
    <x v="2"/>
    <s v="CLFF_1000$$$CN03TPZZ01"/>
    <s v="P000000571"/>
    <s v="P000000571"/>
    <s v="LFF (MDG-F)"/>
    <s v="CN03TPZZ01"/>
    <m/>
    <b v="1"/>
    <x v="3"/>
    <x v="0"/>
    <d v="2025-11-04T00:00:00"/>
    <m/>
    <m/>
    <x v="1"/>
    <n v="33"/>
    <s v="John Rowie Del Rosario"/>
    <m/>
  </r>
  <r>
    <x v="413"/>
    <x v="0"/>
    <x v="2"/>
    <s v="CLFF_1000$$$CN03TPZZ03"/>
    <s v="P000000571"/>
    <s v="P000000571"/>
    <s v="LFF (MDG-F)"/>
    <s v="CN03TPZZ03"/>
    <m/>
    <b v="1"/>
    <x v="3"/>
    <x v="0"/>
    <d v="2025-11-04T00:00:00"/>
    <m/>
    <m/>
    <x v="1"/>
    <n v="33"/>
    <s v="John Rowie Del Rosario"/>
    <m/>
  </r>
  <r>
    <x v="413"/>
    <x v="0"/>
    <x v="2"/>
    <s v="CLFF_1000$$$CN02TPZZ02"/>
    <s v="P000000571"/>
    <s v="P000000571"/>
    <s v="LFF (MDG-F)"/>
    <s v="CN02TPZZ02"/>
    <m/>
    <b v="1"/>
    <x v="3"/>
    <x v="0"/>
    <d v="2025-11-04T00:00:00"/>
    <m/>
    <m/>
    <x v="1"/>
    <n v="33"/>
    <s v="John Rowie Del Rosario"/>
    <m/>
  </r>
  <r>
    <x v="413"/>
    <x v="0"/>
    <x v="2"/>
    <s v="CLFF_1000$$$CN02TQ1001"/>
    <s v="P000000571"/>
    <s v="P000000571"/>
    <s v="LFF (MDG-F)"/>
    <s v="CN02TQ1001"/>
    <m/>
    <b v="1"/>
    <x v="3"/>
    <x v="0"/>
    <d v="2025-11-04T00:00:00"/>
    <m/>
    <m/>
    <x v="1"/>
    <n v="33"/>
    <s v="John Rowie Del Rosario"/>
    <m/>
  </r>
  <r>
    <x v="413"/>
    <x v="0"/>
    <x v="2"/>
    <s v="CLFF_1000$$$CN02TQ1002"/>
    <s v="P000000571"/>
    <s v="P000000571"/>
    <s v="LFF (MDG-F)"/>
    <s v="CN02TQ1002"/>
    <m/>
    <b v="1"/>
    <x v="3"/>
    <x v="0"/>
    <d v="2025-11-04T00:00:00"/>
    <m/>
    <m/>
    <x v="1"/>
    <n v="33"/>
    <s v="John Rowie Del Rosario"/>
    <m/>
  </r>
  <r>
    <x v="413"/>
    <x v="0"/>
    <x v="2"/>
    <s v="CLFF_1000$$$CN02TQ1003"/>
    <s v="P000000571"/>
    <s v="P000000571"/>
    <s v="LFF (MDG-F)"/>
    <s v="CN02TQ1003"/>
    <m/>
    <b v="1"/>
    <x v="3"/>
    <x v="0"/>
    <d v="2025-11-04T00:00:00"/>
    <m/>
    <m/>
    <x v="1"/>
    <n v="33"/>
    <s v="John Rowie Del Rosario"/>
    <m/>
  </r>
  <r>
    <x v="413"/>
    <x v="0"/>
    <x v="2"/>
    <s v="CLFF_1000$$$CN03TPZZ02"/>
    <s v="P000000571"/>
    <s v="P000000571"/>
    <s v="LFF (MDG-F)"/>
    <s v="CN03TPZZ02"/>
    <m/>
    <b v="1"/>
    <x v="3"/>
    <x v="0"/>
    <d v="2025-11-04T00:00:00"/>
    <m/>
    <m/>
    <x v="1"/>
    <n v="33"/>
    <s v="John Rowie Del Rosario"/>
    <m/>
  </r>
  <r>
    <x v="413"/>
    <x v="0"/>
    <x v="2"/>
    <s v="CLFF_VMCA$$$CN10DB1001"/>
    <s v="P000000571"/>
    <s v="P000000571"/>
    <s v="LFF (MDG-F)"/>
    <s v="CN10DB1001"/>
    <m/>
    <b v="1"/>
    <x v="3"/>
    <x v="0"/>
    <d v="2025-11-04T00:00:00"/>
    <m/>
    <m/>
    <x v="1"/>
    <n v="33"/>
    <s v="John Rowie Del Rosario"/>
    <m/>
  </r>
  <r>
    <x v="413"/>
    <x v="0"/>
    <x v="2"/>
    <s v="CLFF_VMCA$$$CN10DB1002"/>
    <s v="P000000571"/>
    <s v="P000000571"/>
    <s v="LFF (MDG-F)"/>
    <s v="CN10DB1002"/>
    <m/>
    <b v="1"/>
    <x v="3"/>
    <x v="0"/>
    <d v="2025-11-04T00:00:00"/>
    <m/>
    <m/>
    <x v="1"/>
    <n v="33"/>
    <s v="John Rowie Del Rosario"/>
    <m/>
  </r>
  <r>
    <x v="413"/>
    <x v="0"/>
    <x v="2"/>
    <s v="CLFF_VMCA$$$CN10DB1004"/>
    <s v="P000000571"/>
    <s v="P000000571"/>
    <s v="LFF (MDG-F)"/>
    <s v="CN10DB1004"/>
    <m/>
    <b v="1"/>
    <x v="3"/>
    <x v="0"/>
    <d v="2025-11-04T00:00:00"/>
    <m/>
    <m/>
    <x v="1"/>
    <n v="33"/>
    <s v="John Rowie Del Rosario"/>
    <m/>
  </r>
  <r>
    <x v="413"/>
    <x v="0"/>
    <x v="2"/>
    <s v="CLFF_VMCA$$$CN09DB3303"/>
    <s v="P000000571"/>
    <s v="P000000571"/>
    <s v="LFF (MDG-F)"/>
    <s v="CN09DB3303"/>
    <m/>
    <b v="1"/>
    <x v="3"/>
    <x v="0"/>
    <d v="2025-11-04T00:00:00"/>
    <m/>
    <m/>
    <x v="1"/>
    <n v="33"/>
    <s v="John Rowie Del Rosario"/>
    <m/>
  </r>
  <r>
    <x v="413"/>
    <x v="0"/>
    <x v="2"/>
    <s v="CLFF_VMCA$$$CN09DB3305"/>
    <s v="P000000571"/>
    <s v="P000000571"/>
    <s v="LFF (MDG-F)"/>
    <s v="CN09DB3305"/>
    <m/>
    <b v="1"/>
    <x v="3"/>
    <x v="0"/>
    <d v="2025-11-04T00:00:00"/>
    <m/>
    <m/>
    <x v="1"/>
    <n v="33"/>
    <s v="John Rowie Del Rosario"/>
    <m/>
  </r>
  <r>
    <x v="413"/>
    <x v="0"/>
    <x v="2"/>
    <s v="CLFF_VMCA$$$CN09TQ1001"/>
    <s v="P000000571"/>
    <s v="P000000571"/>
    <s v="LFF (MDG-F)"/>
    <s v="CN09TQ1001"/>
    <m/>
    <b v="1"/>
    <x v="3"/>
    <x v="0"/>
    <d v="2025-11-04T00:00:00"/>
    <m/>
    <m/>
    <x v="1"/>
    <n v="33"/>
    <s v="John Rowie Del Rosario"/>
    <m/>
  </r>
  <r>
    <x v="413"/>
    <x v="0"/>
    <x v="2"/>
    <s v="CLFF_VMCA$$$CN09TQ1002"/>
    <s v="P000000571"/>
    <s v="P000000571"/>
    <s v="LFF (MDG-F)"/>
    <s v="CN09TQ1002"/>
    <m/>
    <b v="1"/>
    <x v="3"/>
    <x v="0"/>
    <d v="2025-11-04T00:00:00"/>
    <m/>
    <m/>
    <x v="1"/>
    <n v="33"/>
    <s v="John Rowie Del Rosario"/>
    <m/>
  </r>
  <r>
    <x v="413"/>
    <x v="0"/>
    <x v="2"/>
    <s v="CLFF_VMCA$$$CN09TQ1003"/>
    <s v="P000000571"/>
    <s v="P000000571"/>
    <s v="LFF (MDG-F)"/>
    <s v="CN09TQ1003"/>
    <m/>
    <b v="1"/>
    <x v="3"/>
    <x v="0"/>
    <d v="2025-11-04T00:00:00"/>
    <m/>
    <m/>
    <x v="1"/>
    <n v="33"/>
    <s v="John Rowie Del Rosario"/>
    <m/>
  </r>
  <r>
    <x v="413"/>
    <x v="0"/>
    <x v="2"/>
    <s v="CLFF_VMCA$$$CN09DB3309"/>
    <s v="P000000571"/>
    <s v="P000000571"/>
    <s v="LFF (MDG-F)"/>
    <s v="CN09DB3309"/>
    <m/>
    <b v="1"/>
    <x v="3"/>
    <x v="0"/>
    <d v="2025-11-04T00:00:00"/>
    <m/>
    <m/>
    <x v="1"/>
    <n v="33"/>
    <s v="John Rowie Del Rosario"/>
    <m/>
  </r>
  <r>
    <x v="413"/>
    <x v="0"/>
    <x v="2"/>
    <s v="CLFF_VMCA$$$CN09DB3300"/>
    <s v="P000000571"/>
    <s v="P000000571"/>
    <s v="LFF (MDG-F)"/>
    <s v="CN09DB3300"/>
    <m/>
    <b v="1"/>
    <x v="3"/>
    <x v="0"/>
    <d v="2025-11-04T00:00:00"/>
    <m/>
    <m/>
    <x v="1"/>
    <n v="33"/>
    <s v="John Rowie Del Rosario"/>
    <m/>
  </r>
  <r>
    <x v="413"/>
    <x v="0"/>
    <x v="2"/>
    <s v="CLFF_VMCA$$$CN09TM3000"/>
    <s v="P000000571"/>
    <s v="P000000571"/>
    <s v="LFF (MDG-F)"/>
    <s v="CN09TM3000"/>
    <m/>
    <b v="1"/>
    <x v="3"/>
    <x v="0"/>
    <d v="2025-11-04T00:00:00"/>
    <m/>
    <m/>
    <x v="1"/>
    <n v="33"/>
    <s v="John Rowie Del Rosario"/>
    <m/>
  </r>
  <r>
    <x v="413"/>
    <x v="0"/>
    <x v="2"/>
    <s v="CLFF_VMCA$$$CN09DB3301"/>
    <s v="P000000571"/>
    <s v="P000000571"/>
    <s v="LFF (MDG-F)"/>
    <s v="CN09DB3301"/>
    <m/>
    <b v="1"/>
    <x v="3"/>
    <x v="0"/>
    <d v="2025-11-04T00:00:00"/>
    <m/>
    <m/>
    <x v="1"/>
    <n v="33"/>
    <s v="John Rowie Del Rosario"/>
    <m/>
  </r>
  <r>
    <x v="413"/>
    <x v="0"/>
    <x v="2"/>
    <s v="CLFF_VMCA$$$CN09DB3307"/>
    <s v="P000000571"/>
    <s v="P000000571"/>
    <s v="LFF (MDG-F)"/>
    <s v="CN09DB3307"/>
    <m/>
    <b v="1"/>
    <x v="3"/>
    <x v="0"/>
    <d v="2025-11-04T00:00:00"/>
    <m/>
    <m/>
    <x v="1"/>
    <n v="33"/>
    <s v="John Rowie Del Rosario"/>
    <m/>
  </r>
  <r>
    <x v="414"/>
    <x v="0"/>
    <x v="2"/>
    <s v="PLEAN_X310281DE6514800"/>
    <s v="H000001786"/>
    <s v="H000001786"/>
    <s v="Non-LFF"/>
    <s v=""/>
    <m/>
    <b v="1"/>
    <x v="1"/>
    <x v="0"/>
    <d v="2025-11-05T00:00:00"/>
    <m/>
    <m/>
    <x v="1"/>
    <n v="32"/>
    <s v="Rayneil Reas"/>
    <m/>
  </r>
  <r>
    <x v="415"/>
    <x v="0"/>
    <x v="2"/>
    <s v="CSCALA_1022$SQR "/>
    <s v="G000001272"/>
    <s v="G000001272"/>
    <s v="Non-LFF"/>
    <s v=""/>
    <m/>
    <b v="1"/>
    <x v="0"/>
    <x v="0"/>
    <d v="2025-11-07T00:00:00"/>
    <m/>
    <m/>
    <x v="1"/>
    <n v="30"/>
    <s v="Jojeff Tagnong"/>
    <m/>
  </r>
  <r>
    <x v="416"/>
    <x v="0"/>
    <x v="2"/>
    <s v="CSCALA_1022$ITR"/>
    <s v="G000001238"/>
    <s v="G000001238"/>
    <s v="Non-LFF"/>
    <s v=""/>
    <m/>
    <b v="1"/>
    <x v="0"/>
    <x v="0"/>
    <d v="2025-11-07T00:00:00"/>
    <m/>
    <m/>
    <x v="1"/>
    <n v="30"/>
    <s v="Jay-R Lizardo"/>
    <m/>
  </r>
  <r>
    <x v="417"/>
    <x v="0"/>
    <x v="2"/>
    <s v="CTEMPEU_1000GB10005256 SRO Costs"/>
    <s v="H000000947"/>
    <s v="H000000947"/>
    <s v="Non-LFF"/>
    <s v=""/>
    <m/>
    <b v="1"/>
    <x v="1"/>
    <x v="0"/>
    <d v="2025-11-07T00:00:00"/>
    <m/>
    <m/>
    <x v="1"/>
    <n v="30"/>
    <s v="Henry Ifurung Jr."/>
    <m/>
  </r>
  <r>
    <x v="418"/>
    <x v="0"/>
    <x v="2"/>
    <s v="CLFF_1000$$$DE07Z02182 Prem./Contrib./Fees M&amp;S"/>
    <s v="P000001335"/>
    <s v="P000001335"/>
    <s v="LFF (MDG-F)"/>
    <s v="DE07Z02182"/>
    <s v="P000001335"/>
    <b v="1"/>
    <x v="3"/>
    <x v="0"/>
    <d v="2025-11-12T00:00:00"/>
    <m/>
    <m/>
    <x v="1"/>
    <n v="27"/>
    <s v="John Rowie Del Rosario"/>
    <m/>
  </r>
  <r>
    <x v="418"/>
    <x v="0"/>
    <x v="2"/>
    <s v="CLFF_1000$$$HK01Z02181 XX_Prem/con/fees CoS"/>
    <s v="P000001335"/>
    <s v="P000001335"/>
    <s v="LFF (MDG-F)"/>
    <s v="HK01Z02181"/>
    <s v="P000001335"/>
    <b v="1"/>
    <x v="3"/>
    <x v="0"/>
    <d v="2025-11-12T00:00:00"/>
    <m/>
    <m/>
    <x v="1"/>
    <n v="27"/>
    <s v="John Rowie Del Rosario"/>
    <m/>
  </r>
  <r>
    <x v="418"/>
    <x v="0"/>
    <x v="2"/>
    <s v="CLFF_1000$$$HK01Z02182 XX_Prem/con/fees M&amp;S"/>
    <s v="P000001335"/>
    <s v="P000001335"/>
    <s v="LFF (MDG-F)"/>
    <s v="HK01Z02182"/>
    <s v="P000001335"/>
    <b v="1"/>
    <x v="3"/>
    <x v="0"/>
    <d v="2025-11-12T00:00:00"/>
    <m/>
    <m/>
    <x v="1"/>
    <n v="27"/>
    <s v="John Rowie Del Rosario"/>
    <m/>
  </r>
  <r>
    <x v="418"/>
    <x v="0"/>
    <x v="2"/>
    <s v="CLFF_1000$$$HK01Z02183 XX_Prem/con/fees Admin"/>
    <s v="P000001335"/>
    <s v="P000001335"/>
    <s v="LFF (MDG-F)"/>
    <s v="HK01Z02183"/>
    <s v="P000001335"/>
    <b v="1"/>
    <x v="3"/>
    <x v="0"/>
    <d v="2025-11-12T00:00:00"/>
    <m/>
    <m/>
    <x v="1"/>
    <n v="27"/>
    <s v="John Rowie Del Rosario"/>
    <m/>
  </r>
  <r>
    <x v="418"/>
    <x v="0"/>
    <x v="2"/>
    <s v="CLFF_1000$$$HK01Z02184 XX_Prem/con/fees R&amp;D"/>
    <s v="P000001335"/>
    <s v="P000001335"/>
    <s v="LFF (MDG-F)"/>
    <s v="HK01Z02184"/>
    <s v="P000001335"/>
    <b v="1"/>
    <x v="3"/>
    <x v="0"/>
    <d v="2025-11-12T00:00:00"/>
    <m/>
    <m/>
    <x v="1"/>
    <n v="27"/>
    <s v="John Rowie Del Rosario"/>
    <m/>
  </r>
  <r>
    <x v="418"/>
    <x v="0"/>
    <x v="2"/>
    <s v="CLFF_1000$$$HK01Z02185 XX_Prem/con/fees Oth"/>
    <s v="P000001335"/>
    <s v="P000001335"/>
    <s v="LFF (MDG-F)"/>
    <s v="HK01Z02185"/>
    <s v="P000001335"/>
    <b v="1"/>
    <x v="3"/>
    <x v="0"/>
    <d v="2025-11-12T00:00:00"/>
    <m/>
    <m/>
    <x v="1"/>
    <n v="27"/>
    <s v="John Rowie Del Rosario"/>
    <m/>
  </r>
  <r>
    <x v="418"/>
    <x v="0"/>
    <x v="2"/>
    <s v="CLFF_1000$$$IN01Z02181 XX_Prem/con/fees CoS"/>
    <s v="P000001335"/>
    <s v="P000001335"/>
    <s v="LFF (MDG-F)"/>
    <s v="IN01Z02181"/>
    <s v="P000001335"/>
    <b v="1"/>
    <x v="3"/>
    <x v="0"/>
    <d v="2025-11-12T00:00:00"/>
    <m/>
    <m/>
    <x v="1"/>
    <n v="27"/>
    <s v="John Rowie Del Rosario"/>
    <m/>
  </r>
  <r>
    <x v="418"/>
    <x v="0"/>
    <x v="2"/>
    <s v="CLFF_1000$$$IN01Z02182 XX_Prem/con/fees M&amp;S"/>
    <s v="P000001335"/>
    <s v="P000001335"/>
    <s v="LFF (MDG-F)"/>
    <s v="IN01Z02182"/>
    <s v="P000001335"/>
    <b v="1"/>
    <x v="3"/>
    <x v="0"/>
    <d v="2025-11-12T00:00:00"/>
    <m/>
    <m/>
    <x v="1"/>
    <n v="27"/>
    <s v="John Rowie Del Rosario"/>
    <m/>
  </r>
  <r>
    <x v="418"/>
    <x v="0"/>
    <x v="2"/>
    <s v="CLFF_1000$$$IN01Z02183 XX_Prem/con/fees Admin"/>
    <s v="P000001335"/>
    <s v="P000001335"/>
    <s v="LFF (MDG-F)"/>
    <s v="IN01Z02183"/>
    <s v="P000001335"/>
    <b v="1"/>
    <x v="3"/>
    <x v="0"/>
    <d v="2025-11-12T00:00:00"/>
    <m/>
    <m/>
    <x v="1"/>
    <n v="27"/>
    <s v="John Rowie Del Rosario"/>
    <m/>
  </r>
  <r>
    <x v="418"/>
    <x v="0"/>
    <x v="2"/>
    <s v="CLFF_1000$$$IN01Z02184 XX_Prem/con/fees R&amp;D"/>
    <s v="P000001335"/>
    <s v="P000001335"/>
    <s v="LFF (MDG-F)"/>
    <s v="IN01Z02184"/>
    <s v="P000001335"/>
    <b v="1"/>
    <x v="3"/>
    <x v="0"/>
    <d v="2025-11-12T00:00:00"/>
    <m/>
    <m/>
    <x v="1"/>
    <n v="27"/>
    <s v="John Rowie Del Rosario"/>
    <m/>
  </r>
  <r>
    <x v="418"/>
    <x v="0"/>
    <x v="2"/>
    <s v="CLFF_1000$$$JP01Z02181 XX_Prem/con/fees CoS"/>
    <s v="P000001335"/>
    <s v="P000001335"/>
    <s v="LFF (MDG-F)"/>
    <s v="JP01Z02181"/>
    <s v="P000001335"/>
    <b v="1"/>
    <x v="3"/>
    <x v="0"/>
    <d v="2025-11-12T00:00:00"/>
    <m/>
    <m/>
    <x v="1"/>
    <n v="27"/>
    <s v="John Rowie Del Rosario"/>
    <m/>
  </r>
  <r>
    <x v="418"/>
    <x v="0"/>
    <x v="2"/>
    <s v="CLFF_1000$$$JP01Z02184 XX_Prem/con/fees R&amp;D"/>
    <s v="P000001335"/>
    <s v="P000001335"/>
    <s v="LFF (MDG-F)"/>
    <s v="JP01Z02184"/>
    <s v="P000001335"/>
    <b v="1"/>
    <x v="3"/>
    <x v="0"/>
    <d v="2025-11-12T00:00:00"/>
    <m/>
    <m/>
    <x v="1"/>
    <n v="27"/>
    <s v="John Rowie Del Rosario"/>
    <m/>
  </r>
  <r>
    <x v="418"/>
    <x v="0"/>
    <x v="2"/>
    <s v="CLFF_1000$$$JP01Z02185 XX_Prem/con/fees Oth"/>
    <s v="P000001335"/>
    <s v="P000001335"/>
    <s v="LFF (MDG-F)"/>
    <s v="JP01Z02185"/>
    <s v="P000001335"/>
    <b v="1"/>
    <x v="3"/>
    <x v="0"/>
    <d v="2025-11-12T00:00:00"/>
    <m/>
    <m/>
    <x v="1"/>
    <n v="27"/>
    <s v="John Rowie Del Rosario"/>
    <m/>
  </r>
  <r>
    <x v="418"/>
    <x v="0"/>
    <x v="2"/>
    <s v="CLFF_1000$$$JP02Z02181 XX_Prem/con/fees CoS"/>
    <s v="P000001335"/>
    <s v="P000001335"/>
    <s v="LFF (MDG-F)"/>
    <s v="JP02Z02181"/>
    <s v="P000001335"/>
    <b v="1"/>
    <x v="3"/>
    <x v="0"/>
    <d v="2025-11-12T00:00:00"/>
    <m/>
    <m/>
    <x v="1"/>
    <n v="27"/>
    <s v="John Rowie Del Rosario"/>
    <m/>
  </r>
  <r>
    <x v="418"/>
    <x v="0"/>
    <x v="2"/>
    <s v="CLFF_1000$$$JP02Z02182 XX_Prem/con/fees M&amp;S"/>
    <s v="P000001335"/>
    <s v="P000001335"/>
    <s v="LFF (MDG-F)"/>
    <s v="JP02Z02182"/>
    <s v="P000001335"/>
    <b v="1"/>
    <x v="3"/>
    <x v="0"/>
    <d v="2025-11-12T00:00:00"/>
    <m/>
    <m/>
    <x v="1"/>
    <n v="27"/>
    <s v="John Rowie Del Rosario"/>
    <m/>
  </r>
  <r>
    <x v="418"/>
    <x v="0"/>
    <x v="2"/>
    <s v="CLFF_1000$$$JP02Z02183 Prem/con/fees Admin"/>
    <s v="P000001335"/>
    <s v="P000001335"/>
    <s v="LFF (MDG-F)"/>
    <s v="JP02Z02183"/>
    <s v="P000001335"/>
    <b v="1"/>
    <x v="3"/>
    <x v="0"/>
    <d v="2025-11-12T00:00:00"/>
    <m/>
    <m/>
    <x v="1"/>
    <n v="27"/>
    <s v="John Rowie Del Rosario"/>
    <m/>
  </r>
  <r>
    <x v="418"/>
    <x v="0"/>
    <x v="2"/>
    <s v="CLFF_1000$$$JP02Z02184 XX_Prem/con/fees R&amp;D"/>
    <s v="P000001335"/>
    <s v="P000001335"/>
    <s v="LFF (MDG-F)"/>
    <s v="JP02Z02184"/>
    <s v="P000001335"/>
    <b v="1"/>
    <x v="3"/>
    <x v="0"/>
    <d v="2025-11-12T00:00:00"/>
    <m/>
    <m/>
    <x v="1"/>
    <n v="27"/>
    <s v="John Rowie Del Rosario"/>
    <m/>
  </r>
  <r>
    <x v="418"/>
    <x v="0"/>
    <x v="2"/>
    <s v="CLFF_1000$$$JP02Z02185 XX_Prem/con/fees Oth"/>
    <s v="P000001335"/>
    <s v="P000001335"/>
    <s v="LFF (MDG-F)"/>
    <s v="JP02Z02185"/>
    <s v="P000001335"/>
    <b v="1"/>
    <x v="3"/>
    <x v="0"/>
    <d v="2025-11-12T00:00:00"/>
    <m/>
    <m/>
    <x v="1"/>
    <n v="27"/>
    <s v="John Rowie Del Rosario"/>
    <m/>
  </r>
  <r>
    <x v="418"/>
    <x v="0"/>
    <x v="2"/>
    <s v="CLFF_1000$$$KR02Z02181 XX_Prem/con/fees CoS"/>
    <s v="P000001335"/>
    <s v="P000001335"/>
    <s v="LFF (MDG-F)"/>
    <s v="KR02Z02181"/>
    <s v="P000001335"/>
    <b v="1"/>
    <x v="3"/>
    <x v="0"/>
    <d v="2025-11-12T00:00:00"/>
    <m/>
    <m/>
    <x v="1"/>
    <n v="27"/>
    <s v="John Rowie Del Rosario"/>
    <m/>
  </r>
  <r>
    <x v="418"/>
    <x v="0"/>
    <x v="2"/>
    <s v="CLFF_1000$$$KR02Z02182 XX_Prem/con/fees M&amp;S"/>
    <s v="P000001335"/>
    <s v="P000001335"/>
    <s v="LFF (MDG-F)"/>
    <s v="KR02Z02182"/>
    <s v="P000001335"/>
    <b v="1"/>
    <x v="3"/>
    <x v="0"/>
    <d v="2025-11-12T00:00:00"/>
    <m/>
    <m/>
    <x v="1"/>
    <n v="27"/>
    <s v="John Rowie Del Rosario"/>
    <m/>
  </r>
  <r>
    <x v="418"/>
    <x v="0"/>
    <x v="2"/>
    <s v="CLFF_1000$$$KR02Z02183 XX_Prem/con/fees Admin"/>
    <s v="P000001335"/>
    <s v="P000001335"/>
    <s v="LFF (MDG-F)"/>
    <s v="KR02Z02183"/>
    <s v="P000001335"/>
    <b v="1"/>
    <x v="3"/>
    <x v="0"/>
    <d v="2025-11-12T00:00:00"/>
    <m/>
    <m/>
    <x v="1"/>
    <n v="27"/>
    <s v="John Rowie Del Rosario"/>
    <m/>
  </r>
  <r>
    <x v="418"/>
    <x v="0"/>
    <x v="2"/>
    <s v="CLFF_1000$$$KR02Z02184 XX_Prem/con/fees R&amp;D"/>
    <s v="P000001335"/>
    <s v="P000001335"/>
    <s v="LFF (MDG-F)"/>
    <s v="KR02Z02184"/>
    <s v="P000001335"/>
    <b v="1"/>
    <x v="3"/>
    <x v="0"/>
    <d v="2025-11-12T00:00:00"/>
    <m/>
    <m/>
    <x v="1"/>
    <n v="27"/>
    <s v="John Rowie Del Rosario"/>
    <m/>
  </r>
  <r>
    <x v="418"/>
    <x v="0"/>
    <x v="2"/>
    <s v="CLFF_1000$$$SG09Z02181 XX_Prem/con/fees CoS"/>
    <s v="P000001335"/>
    <s v="P000001335"/>
    <s v="LFF (MDG-F)"/>
    <s v="SG09Z02181"/>
    <s v="P000001335"/>
    <b v="1"/>
    <x v="3"/>
    <x v="0"/>
    <d v="2025-11-12T00:00:00"/>
    <m/>
    <m/>
    <x v="1"/>
    <n v="27"/>
    <s v="John Rowie Del Rosario"/>
    <m/>
  </r>
  <r>
    <x v="418"/>
    <x v="0"/>
    <x v="2"/>
    <s v="CLFF_1000$$$SG09Z02182 Prem/con/fees M&amp;S"/>
    <s v="P000001335"/>
    <s v="P000001335"/>
    <s v="LFF (MDG-F)"/>
    <s v="SG09Z02182"/>
    <s v="P000001335"/>
    <b v="1"/>
    <x v="3"/>
    <x v="0"/>
    <d v="2025-11-12T00:00:00"/>
    <m/>
    <m/>
    <x v="1"/>
    <n v="27"/>
    <s v="John Rowie Del Rosario"/>
    <m/>
  </r>
  <r>
    <x v="418"/>
    <x v="0"/>
    <x v="2"/>
    <s v="CLFF_1000$$$SG09Z02183 XX_Prem/con/fees Admin"/>
    <s v="P000001335"/>
    <s v="P000001335"/>
    <s v="LFF (MDG-F)"/>
    <s v="SG09Z02183"/>
    <s v="P000001335"/>
    <b v="1"/>
    <x v="3"/>
    <x v="0"/>
    <d v="2025-11-12T00:00:00"/>
    <m/>
    <m/>
    <x v="1"/>
    <n v="27"/>
    <s v="John Rowie Del Rosario"/>
    <m/>
  </r>
  <r>
    <x v="418"/>
    <x v="0"/>
    <x v="2"/>
    <s v="CLFF_1000$$$SG09Z02184 XX_Prem/con/fees Oth"/>
    <s v="P000001335"/>
    <s v="P000001335"/>
    <s v="LFF (MDG-F)"/>
    <s v="SG09Z02184"/>
    <s v="P000001335"/>
    <b v="1"/>
    <x v="3"/>
    <x v="0"/>
    <d v="2025-11-12T00:00:00"/>
    <m/>
    <m/>
    <x v="1"/>
    <n v="27"/>
    <s v="John Rowie Del Rosario"/>
    <m/>
  </r>
  <r>
    <x v="418"/>
    <x v="0"/>
    <x v="2"/>
    <s v="CLFF_1000$$$TW02Z02183 XX_Prem/con/fees Admin"/>
    <s v="P000001335"/>
    <s v="P000001335"/>
    <s v="LFF (MDG-F)"/>
    <s v="TW02Z02183"/>
    <s v="P000001335"/>
    <b v="1"/>
    <x v="3"/>
    <x v="0"/>
    <d v="2025-11-12T00:00:00"/>
    <m/>
    <m/>
    <x v="1"/>
    <n v="27"/>
    <s v="John Rowie Del Rosario"/>
    <m/>
  </r>
  <r>
    <x v="418"/>
    <x v="0"/>
    <x v="2"/>
    <s v="CLFF_1000$$$TW02Z02184 XX_Prem/con/fees R&amp;D"/>
    <s v="P000001335"/>
    <s v="P000001335"/>
    <s v="LFF (MDG-F)"/>
    <s v="TW02Z02184"/>
    <s v="P000001335"/>
    <b v="1"/>
    <x v="3"/>
    <x v="0"/>
    <d v="2025-11-12T00:00:00"/>
    <m/>
    <m/>
    <x v="1"/>
    <n v="27"/>
    <s v="John Rowie Del Rosario"/>
    <m/>
  </r>
  <r>
    <x v="418"/>
    <x v="0"/>
    <x v="2"/>
    <s v="CLFF_1000$$$TW03Z02184 XX_Prem/con/fees R&amp;D"/>
    <s v="P000001335"/>
    <s v="P000001335"/>
    <s v="LFF (MDG-F)"/>
    <s v="TW03Z02184"/>
    <s v="P000001335"/>
    <b v="1"/>
    <x v="3"/>
    <x v="0"/>
    <d v="2025-11-12T00:00:00"/>
    <m/>
    <m/>
    <x v="1"/>
    <n v="27"/>
    <s v="John Rowie Del Rosario"/>
    <m/>
  </r>
  <r>
    <x v="418"/>
    <x v="0"/>
    <x v="2"/>
    <s v="CLFF_KR00$$$KR03Z02181 XX_Prem/con/fees CoS"/>
    <s v="P000001335"/>
    <s v="P000001335"/>
    <s v="LFF (MDG-F)"/>
    <s v="KR03Z02181"/>
    <s v="P000001335"/>
    <b v="1"/>
    <x v="3"/>
    <x v="0"/>
    <d v="2025-11-12T00:00:00"/>
    <m/>
    <m/>
    <x v="1"/>
    <n v="27"/>
    <s v="John Rowie Del Rosario"/>
    <m/>
  </r>
  <r>
    <x v="418"/>
    <x v="0"/>
    <x v="2"/>
    <s v="CLFF_KR00$$$KR03Z02182 XX_Prem/con/fees M&amp;S"/>
    <s v="P000001335"/>
    <s v="P000001335"/>
    <s v="LFF (MDG-F)"/>
    <s v="KR03Z02182"/>
    <s v="P000001335"/>
    <b v="1"/>
    <x v="3"/>
    <x v="0"/>
    <d v="2025-11-12T00:00:00"/>
    <m/>
    <m/>
    <x v="1"/>
    <n v="27"/>
    <s v="John Rowie Del Rosario"/>
    <m/>
  </r>
  <r>
    <x v="418"/>
    <x v="0"/>
    <x v="2"/>
    <s v="CLFF_KR00$$$KR03Z02183 XX_Prem/con/fees Admin"/>
    <s v="P000001335"/>
    <s v="P000001335"/>
    <s v="LFF (MDG-F)"/>
    <s v="KR03Z02183"/>
    <s v="P000001335"/>
    <b v="1"/>
    <x v="3"/>
    <x v="0"/>
    <d v="2025-11-12T00:00:00"/>
    <m/>
    <m/>
    <x v="1"/>
    <n v="27"/>
    <s v="John Rowie Del Rosario"/>
    <m/>
  </r>
  <r>
    <x v="418"/>
    <x v="0"/>
    <x v="2"/>
    <s v="CLFF_KR00$$$KR03Z02184 XX_Prem/con/fees R&amp;D"/>
    <s v="P000001335"/>
    <s v="P000001335"/>
    <s v="LFF (MDG-F)"/>
    <s v="KR03Z02184"/>
    <s v="P000001335"/>
    <b v="1"/>
    <x v="3"/>
    <x v="0"/>
    <d v="2025-11-12T00:00:00"/>
    <m/>
    <m/>
    <x v="1"/>
    <n v="27"/>
    <s v="John Rowie Del Rosario"/>
    <m/>
  </r>
  <r>
    <x v="418"/>
    <x v="0"/>
    <x v="2"/>
    <s v="CLFF_1000$$$CN01OF0083 PM GoGlobal Trainee"/>
    <s v="P000001336"/>
    <s v="P000001336"/>
    <s v="LFF (MDG-F)"/>
    <s v="CN01OF0083"/>
    <s v="P000001336"/>
    <b v="1"/>
    <x v="3"/>
    <x v="0"/>
    <d v="2025-11-12T00:00:00"/>
    <m/>
    <m/>
    <x v="1"/>
    <n v="27"/>
    <s v="John Rowie Del Rosario"/>
    <m/>
  </r>
  <r>
    <x v="418"/>
    <x v="0"/>
    <x v="2"/>
    <s v="CLFF_1000$$$US01OF0103 GOglobal Trainee PM-USA"/>
    <s v="P000001336"/>
    <s v="P000001336"/>
    <s v="LFF (MDG-F)"/>
    <s v="US01OF0103"/>
    <s v="P000001336"/>
    <b v="1"/>
    <x v="3"/>
    <x v="0"/>
    <d v="2025-11-12T00:00:00"/>
    <m/>
    <m/>
    <x v="1"/>
    <n v="27"/>
    <s v="John Rowie Del Rosario"/>
    <m/>
  </r>
  <r>
    <x v="418"/>
    <x v="0"/>
    <x v="2"/>
    <s v="CLFF_KR00$$$KR03L80000 GoGlobal Korea"/>
    <s v="P000001336"/>
    <s v="P000001336"/>
    <s v="LFF (MDG-F)"/>
    <s v="KR03L80000"/>
    <s v="P000001336"/>
    <b v="1"/>
    <x v="3"/>
    <x v="0"/>
    <d v="2025-11-12T00:00:00"/>
    <m/>
    <m/>
    <x v="1"/>
    <n v="27"/>
    <s v="John Rowie Del Rosario"/>
    <m/>
  </r>
  <r>
    <x v="418"/>
    <x v="0"/>
    <x v="2"/>
    <s v="CLFF_VMCA$$$TW10OF6016 GOglobal Trainee Program"/>
    <s v="P000001336"/>
    <s v="P000001336"/>
    <s v="LFF (MDG-F)"/>
    <s v="TW10OF6016"/>
    <s v="P000001336"/>
    <b v="1"/>
    <x v="3"/>
    <x v="0"/>
    <d v="2025-11-12T00:00:00"/>
    <m/>
    <m/>
    <x v="1"/>
    <n v="27"/>
    <s v="John Rowie Del Rosario"/>
    <m/>
  </r>
  <r>
    <x v="418"/>
    <x v="0"/>
    <x v="2"/>
    <s v="CLFF_VMCA$$$US10OF6070 GOglobal Trainee Program"/>
    <s v="P000001336"/>
    <s v="P000001336"/>
    <s v="LFF (MDG-F)"/>
    <s v="US10OF6070"/>
    <s v="P000001336"/>
    <b v="1"/>
    <x v="3"/>
    <x v="0"/>
    <d v="2025-11-12T00:00:00"/>
    <m/>
    <m/>
    <x v="1"/>
    <n v="27"/>
    <s v="John Rowie Del Rosario"/>
    <m/>
  </r>
  <r>
    <x v="419"/>
    <x v="0"/>
    <x v="2"/>
    <s v="CNOW_7210$$$0000052362"/>
    <s v="L000009356"/>
    <s v="L000009356"/>
    <s v="Non-LFF"/>
    <s v=""/>
    <m/>
    <b v="1"/>
    <x v="2"/>
    <x v="0"/>
    <d v="2025-11-12T00:00:00"/>
    <m/>
    <m/>
    <x v="1"/>
    <n v="27"/>
    <s v="Ruby Grace Garcia"/>
    <m/>
  </r>
  <r>
    <x v="419"/>
    <x v="0"/>
    <x v="2"/>
    <s v="CNOW_7210$$$0000015217"/>
    <s v="L000010037"/>
    <s v="L000010037"/>
    <s v="Non-LFF"/>
    <s v=""/>
    <m/>
    <b v="1"/>
    <x v="2"/>
    <x v="0"/>
    <d v="2025-11-12T00:00:00"/>
    <m/>
    <m/>
    <x v="1"/>
    <n v="27"/>
    <s v="Ruby Grace Garcia"/>
    <m/>
  </r>
  <r>
    <x v="419"/>
    <x v="0"/>
    <x v="2"/>
    <s v="CNOW_7210$$$0000015218"/>
    <s v="L000010037"/>
    <s v="L000010037"/>
    <s v="Non-LFF"/>
    <s v=""/>
    <m/>
    <b v="1"/>
    <x v="2"/>
    <x v="0"/>
    <d v="2025-11-12T00:00:00"/>
    <m/>
    <m/>
    <x v="1"/>
    <n v="27"/>
    <s v="Ruby Grace Garcia"/>
    <m/>
  </r>
  <r>
    <x v="419"/>
    <x v="0"/>
    <x v="2"/>
    <s v="CNOW_7210$$$0000015219"/>
    <s v="L000010037"/>
    <s v="L000010037"/>
    <s v="Non-LFF"/>
    <s v=""/>
    <m/>
    <b v="1"/>
    <x v="2"/>
    <x v="0"/>
    <d v="2025-11-12T00:00:00"/>
    <m/>
    <m/>
    <x v="1"/>
    <n v="27"/>
    <s v="Ruby Grace Garcia"/>
    <m/>
  </r>
  <r>
    <x v="419"/>
    <x v="0"/>
    <x v="2"/>
    <s v="CNOW_7210$$$0000015222"/>
    <s v="L000010037"/>
    <s v="L000010037"/>
    <s v="Non-LFF"/>
    <s v=""/>
    <m/>
    <b v="1"/>
    <x v="2"/>
    <x v="0"/>
    <d v="2025-11-12T00:00:00"/>
    <m/>
    <m/>
    <x v="1"/>
    <n v="27"/>
    <s v="Ruby Grace Garcia"/>
    <m/>
  </r>
  <r>
    <x v="419"/>
    <x v="0"/>
    <x v="2"/>
    <s v="CNOW_7210$$$0000015223"/>
    <s v="L000012340"/>
    <s v="L000012340"/>
    <s v="Non-LFF"/>
    <s v=""/>
    <m/>
    <b v="1"/>
    <x v="2"/>
    <x v="0"/>
    <d v="2025-11-12T00:00:00"/>
    <m/>
    <m/>
    <x v="1"/>
    <n v="27"/>
    <s v="Ruby Grace Garcia"/>
    <m/>
  </r>
  <r>
    <x v="419"/>
    <x v="0"/>
    <x v="2"/>
    <s v="CNOW_7210$$$0000222106"/>
    <s v="L000013405"/>
    <s v="L000013405"/>
    <s v="Non-LFF"/>
    <s v=""/>
    <m/>
    <b v="1"/>
    <x v="2"/>
    <x v="0"/>
    <d v="2025-11-12T00:00:00"/>
    <m/>
    <m/>
    <x v="1"/>
    <n v="27"/>
    <s v="Ruby Grace Garcia"/>
    <m/>
  </r>
  <r>
    <x v="419"/>
    <x v="0"/>
    <x v="2"/>
    <s v="CNOW_7210$$$0000222107"/>
    <s v="L000013405"/>
    <s v="L000013405"/>
    <s v="Non-LFF"/>
    <s v=""/>
    <m/>
    <b v="1"/>
    <x v="2"/>
    <x v="0"/>
    <d v="2025-11-12T00:00:00"/>
    <m/>
    <m/>
    <x v="1"/>
    <n v="27"/>
    <s v="Ruby Grace Garcia"/>
    <m/>
  </r>
  <r>
    <x v="419"/>
    <x v="0"/>
    <x v="2"/>
    <s v="CNOW_7210$$$0000222108"/>
    <s v="L000013405"/>
    <s v="L000013405"/>
    <s v="Non-LFF"/>
    <s v=""/>
    <m/>
    <b v="1"/>
    <x v="2"/>
    <x v="0"/>
    <d v="2025-11-12T00:00:00"/>
    <m/>
    <m/>
    <x v="1"/>
    <n v="27"/>
    <s v="Ruby Grace Garcia"/>
    <m/>
  </r>
  <r>
    <x v="419"/>
    <x v="0"/>
    <x v="2"/>
    <s v="CNOW_7210$$$0000222109"/>
    <s v="L000013405"/>
    <s v="L000013405"/>
    <s v="Non-LFF"/>
    <s v=""/>
    <m/>
    <b v="1"/>
    <x v="2"/>
    <x v="0"/>
    <d v="2025-11-12T00:00:00"/>
    <m/>
    <m/>
    <x v="1"/>
    <n v="27"/>
    <s v="Ruby Grace Garcia"/>
    <m/>
  </r>
  <r>
    <x v="419"/>
    <x v="0"/>
    <x v="2"/>
    <s v="CNOW_7210$$$0000250045"/>
    <s v="L000013405"/>
    <s v="L000013405"/>
    <s v="Non-LFF"/>
    <s v=""/>
    <m/>
    <b v="1"/>
    <x v="2"/>
    <x v="0"/>
    <d v="2025-11-12T00:00:00"/>
    <m/>
    <m/>
    <x v="1"/>
    <n v="27"/>
    <s v="Ruby Grace Garcia"/>
    <m/>
  </r>
  <r>
    <x v="419"/>
    <x v="0"/>
    <x v="2"/>
    <s v="CNOW_7210$$$0000010275"/>
    <s v="L000013900"/>
    <s v="L000013900"/>
    <s v="Non-LFF"/>
    <s v=""/>
    <m/>
    <b v="1"/>
    <x v="2"/>
    <x v="0"/>
    <d v="2025-11-12T00:00:00"/>
    <m/>
    <m/>
    <x v="1"/>
    <n v="27"/>
    <s v="Ruby Grace Garcia"/>
    <m/>
  </r>
  <r>
    <x v="419"/>
    <x v="0"/>
    <x v="2"/>
    <s v="CNOW_7210$$$0000040960"/>
    <s v="L000012329"/>
    <s v="L000012329"/>
    <s v="Non-LFF"/>
    <s v=""/>
    <m/>
    <b v="1"/>
    <x v="2"/>
    <x v="0"/>
    <d v="2025-11-12T00:00:00"/>
    <m/>
    <m/>
    <x v="1"/>
    <n v="27"/>
    <s v="Ruby Grace Garcia"/>
    <m/>
  </r>
  <r>
    <x v="419"/>
    <x v="0"/>
    <x v="2"/>
    <s v="CNOW_7210$$$0000265323"/>
    <s v="L000011379"/>
    <s v="L000011379"/>
    <s v="Non-LFF"/>
    <s v=""/>
    <m/>
    <b v="1"/>
    <x v="2"/>
    <x v="0"/>
    <d v="2025-11-12T00:00:00"/>
    <m/>
    <m/>
    <x v="1"/>
    <n v="27"/>
    <s v="Ruby Grace Garcia"/>
    <m/>
  </r>
  <r>
    <x v="419"/>
    <x v="0"/>
    <x v="2"/>
    <s v="CNOW_7210$$$0000031534"/>
    <s v="L000013758"/>
    <s v="L000013758"/>
    <s v="Non-LFF"/>
    <s v=""/>
    <m/>
    <b v="1"/>
    <x v="2"/>
    <x v="0"/>
    <d v="2025-11-12T00:00:00"/>
    <m/>
    <m/>
    <x v="1"/>
    <n v="27"/>
    <s v="Ruby Grace Garcia"/>
    <m/>
  </r>
  <r>
    <x v="419"/>
    <x v="0"/>
    <x v="2"/>
    <s v="ITEMPEU_003200004220"/>
    <s v="L000011242"/>
    <s v="L000011242"/>
    <s v="Non-LFF"/>
    <s v=""/>
    <m/>
    <b v="1"/>
    <x v="2"/>
    <x v="0"/>
    <d v="2025-11-12T00:00:00"/>
    <m/>
    <m/>
    <x v="1"/>
    <n v="27"/>
    <s v="Ruby Grace Garcia"/>
    <m/>
  </r>
  <r>
    <x v="419"/>
    <x v="0"/>
    <x v="2"/>
    <s v="CORAERP_MMOR1945.ZXQD"/>
    <s v="L000013461"/>
    <s v="L000013461"/>
    <s v="Non-LFF"/>
    <s v=""/>
    <m/>
    <b v="1"/>
    <x v="2"/>
    <x v="0"/>
    <d v="2025-11-12T00:00:00"/>
    <m/>
    <m/>
    <x v="1"/>
    <n v="27"/>
    <s v="Ruby Grace Garcia"/>
    <m/>
  </r>
  <r>
    <x v="419"/>
    <x v="0"/>
    <x v="2"/>
    <s v="CFLTFLE_13060000000030"/>
    <s v="L000010274"/>
    <s v="L000010274"/>
    <s v="Non-LFF"/>
    <s v=""/>
    <m/>
    <b v="1"/>
    <x v="2"/>
    <x v="0"/>
    <d v="2025-11-12T00:00:00"/>
    <m/>
    <m/>
    <x v="1"/>
    <n v="27"/>
    <s v="Ruby Grace Garcia"/>
    <m/>
  </r>
  <r>
    <x v="419"/>
    <x v="0"/>
    <x v="2"/>
    <s v="ITEMPEU_AT40AA0014"/>
    <s v="L000009832"/>
    <s v="L000009832"/>
    <s v="Non-LFF"/>
    <s v=""/>
    <m/>
    <b v="1"/>
    <x v="2"/>
    <x v="0"/>
    <d v="2025-11-12T00:00:00"/>
    <m/>
    <m/>
    <x v="1"/>
    <n v="27"/>
    <s v="Ruby Grace Garcia"/>
    <m/>
  </r>
  <r>
    <x v="419"/>
    <x v="0"/>
    <x v="2"/>
    <s v="CNOW_7210$$$0000015218"/>
    <s v="L000010037"/>
    <s v="L000010037"/>
    <s v="Non-LFF"/>
    <s v=""/>
    <m/>
    <b v="1"/>
    <x v="2"/>
    <x v="0"/>
    <d v="2025-11-12T00:00:00"/>
    <m/>
    <m/>
    <x v="1"/>
    <n v="27"/>
    <s v="Ruby Grace Garcia"/>
    <m/>
  </r>
  <r>
    <x v="419"/>
    <x v="0"/>
    <x v="2"/>
    <s v="CNOW_7210$$$0000015219"/>
    <s v="L000010037"/>
    <s v="L000010037"/>
    <s v="Non-LFF"/>
    <s v=""/>
    <m/>
    <b v="1"/>
    <x v="2"/>
    <x v="0"/>
    <d v="2025-11-12T00:00:00"/>
    <m/>
    <m/>
    <x v="1"/>
    <n v="27"/>
    <s v="Ruby Grace Garcia"/>
    <m/>
  </r>
  <r>
    <x v="420"/>
    <x v="0"/>
    <x v="2"/>
    <s v="PLEAN_X310324CH6815011 Cardio GBF Digital"/>
    <s v="H000002265"/>
    <s v="H000002265"/>
    <s v="Non-LFF"/>
    <s v=""/>
    <m/>
    <b v="1"/>
    <x v="1"/>
    <x v="0"/>
    <d v="2025-11-17T00:00:00"/>
    <m/>
    <m/>
    <x v="1"/>
    <n v="24"/>
    <s v="Estela Belda Menendez"/>
    <m/>
  </r>
  <r>
    <x v="420"/>
    <x v="0"/>
    <x v="2"/>
    <s v="PLEAN_X310304DE5015404 DIA FRA PROM OTH GBF GSI"/>
    <s v="H000002264"/>
    <s v="H000002264"/>
    <s v="Non-LFF"/>
    <s v=""/>
    <m/>
    <b v="1"/>
    <x v="1"/>
    <x v="0"/>
    <d v="2025-11-17T00:00:00"/>
    <m/>
    <m/>
    <x v="1"/>
    <n v="24"/>
    <s v="Estela Belda Menendez"/>
    <m/>
  </r>
  <r>
    <x v="420"/>
    <x v="0"/>
    <x v="2"/>
    <s v="PLEAN_X310324DE5015403 CAR FRA PROM OTH GBF GCD"/>
    <s v="H000002265"/>
    <s v="H000002265"/>
    <s v="Non-LFF"/>
    <s v=""/>
    <m/>
    <b v="1"/>
    <x v="1"/>
    <x v="0"/>
    <d v="2025-11-17T00:00:00"/>
    <m/>
    <m/>
    <x v="1"/>
    <n v="24"/>
    <s v="Estela Belda Menendez"/>
    <m/>
  </r>
  <r>
    <x v="420"/>
    <x v="0"/>
    <x v="2"/>
    <s v="PLEAN_X310324DE5015404 CAR FRA PROM OTH GBF GSI"/>
    <s v="H000002265"/>
    <s v="H000002265"/>
    <s v="Non-LFF"/>
    <s v=""/>
    <m/>
    <b v="1"/>
    <x v="1"/>
    <x v="0"/>
    <d v="2025-11-17T00:00:00"/>
    <m/>
    <m/>
    <x v="1"/>
    <n v="24"/>
    <s v="Estela Belda Menendez"/>
    <m/>
  </r>
  <r>
    <x v="420"/>
    <x v="0"/>
    <x v="2"/>
    <s v="PLEAN_X310334CH6815011 Thyroids GBF Digital"/>
    <s v="H000002266"/>
    <s v="H000002266"/>
    <s v="Non-LFF"/>
    <s v=""/>
    <m/>
    <b v="1"/>
    <x v="1"/>
    <x v="0"/>
    <d v="2025-11-17T00:00:00"/>
    <m/>
    <m/>
    <x v="1"/>
    <n v="24"/>
    <s v="Estela Belda Menendez"/>
    <m/>
  </r>
  <r>
    <x v="420"/>
    <x v="0"/>
    <x v="2"/>
    <s v="PLEAN_X310404CH6815011 Endo GBF Digital"/>
    <s v="H000002267"/>
    <s v="H000002267"/>
    <s v="Non-LFF"/>
    <s v=""/>
    <m/>
    <b v="1"/>
    <x v="1"/>
    <x v="0"/>
    <d v="2025-11-17T00:00:00"/>
    <m/>
    <m/>
    <x v="1"/>
    <n v="24"/>
    <s v="Estela Belda Menendez"/>
    <m/>
  </r>
  <r>
    <x v="420"/>
    <x v="0"/>
    <x v="2"/>
    <s v="ITEMPLA_001520001165 Cardio Summit 2025"/>
    <s v="H000002265"/>
    <s v="H000002265"/>
    <s v="Non-LFF"/>
    <s v=""/>
    <m/>
    <b v="1"/>
    <x v="1"/>
    <x v="0"/>
    <d v="2025-11-17T00:00:00"/>
    <m/>
    <m/>
    <x v="1"/>
    <n v="24"/>
    <s v="Estela Belda Menendez"/>
    <m/>
  </r>
  <r>
    <x v="421"/>
    <x v="0"/>
    <x v="2"/>
    <s v="CNOW_7210$$$0000498035 "/>
    <s v="G000000633"/>
    <s v="G000000633"/>
    <s v="Non-LFF"/>
    <s v=""/>
    <m/>
    <b v="1"/>
    <x v="0"/>
    <x v="0"/>
    <d v="2025-11-17T00:00:00"/>
    <m/>
    <m/>
    <x v="1"/>
    <n v="24"/>
    <s v="Jojeff Tagnong"/>
    <m/>
  </r>
  <r>
    <x v="422"/>
    <x v="0"/>
    <x v="2"/>
    <s v="PLEAN_X310201VN5011200 FD COM Advertising"/>
    <s v="H000001318"/>
    <s v="H000001318"/>
    <s v="Non-LFF"/>
    <s v=""/>
    <s v="check"/>
    <b v="1"/>
    <x v="1"/>
    <x v="0"/>
    <d v="2025-11-17T00:00:00"/>
    <m/>
    <m/>
    <x v="1"/>
    <n v="24"/>
    <s v="Maria Rosario Go"/>
    <m/>
  </r>
  <r>
    <x v="423"/>
    <x v="0"/>
    <x v="2"/>
    <s v="CFLTFLE_1044BPOE BP - Others  ISS"/>
    <s v="H000001115"/>
    <s v="H000001115"/>
    <s v="Non-LFF"/>
    <s v=""/>
    <s v="check"/>
    <b v="1"/>
    <x v="1"/>
    <x v="0"/>
    <d v="2025-11-17T00:00:00"/>
    <m/>
    <m/>
    <x v="1"/>
    <n v="24"/>
    <s v="Carlo Umali"/>
    <m/>
  </r>
  <r>
    <x v="424"/>
    <x v="0"/>
    <x v="2"/>
    <s v="PLEAN_X310301DE6215305 1401_LK_B4_DIA_PROMO OTH"/>
    <s v="H000000417"/>
    <s v="H000000417"/>
    <s v="Non-LFF"/>
    <s v=""/>
    <m/>
    <b v="1"/>
    <x v="1"/>
    <x v="0"/>
    <d v="2025-11-17T00:00:00"/>
    <m/>
    <m/>
    <x v="1"/>
    <n v="24"/>
    <s v="Maria Rosario Go"/>
    <m/>
  </r>
  <r>
    <x v="425"/>
    <x v="0"/>
    <x v="2"/>
    <s v="PLEAN_X310113CN5043301 O59 R&amp;D R&amp;D OTH TGCT Trials or RWS proje"/>
    <s v="H000004393"/>
    <s v="H000004393"/>
    <s v="Non-LFF"/>
    <s v=""/>
    <m/>
    <b v="1"/>
    <x v="1"/>
    <x v="0"/>
    <d v="2025-11-17T00:00:00"/>
    <m/>
    <m/>
    <x v="1"/>
    <n v="24"/>
    <s v="John Poulie Borromeo"/>
    <m/>
  </r>
  <r>
    <x v="425"/>
    <x v="0"/>
    <x v="2"/>
    <s v="PLEAN_X310282CN5020301 PIMI MED MED EDU DSA to HCP: Medical edu"/>
    <s v="H000004392"/>
    <s v="H000004392"/>
    <s v="Non-LFF"/>
    <s v=""/>
    <m/>
    <b v="1"/>
    <x v="1"/>
    <x v="0"/>
    <d v="2025-11-17T00:00:00"/>
    <m/>
    <m/>
    <x v="1"/>
    <n v="24"/>
    <s v="John Poulie Borromeo"/>
    <m/>
  </r>
  <r>
    <x v="425"/>
    <x v="0"/>
    <x v="2"/>
    <s v="PLEAN_X310282CN5020303 PIMI MED MED EDU DSA to HCP: Medical edu"/>
    <s v="H000004392"/>
    <s v="H000004392"/>
    <s v="Non-LFF"/>
    <s v=""/>
    <m/>
    <b v="1"/>
    <x v="1"/>
    <x v="0"/>
    <d v="2025-11-17T00:00:00"/>
    <m/>
    <m/>
    <x v="1"/>
    <n v="24"/>
    <s v="John Poulie Borromeo"/>
    <m/>
  </r>
  <r>
    <x v="425"/>
    <x v="0"/>
    <x v="2"/>
    <s v="PLEAN_X310282CN5020304 PIMI MED MED EDU DSA to HCP: Medical edu"/>
    <s v="H000004392"/>
    <s v="H000004392"/>
    <s v="Non-LFF"/>
    <s v=""/>
    <m/>
    <b v="1"/>
    <x v="1"/>
    <x v="0"/>
    <d v="2025-11-17T00:00:00"/>
    <m/>
    <m/>
    <x v="1"/>
    <n v="24"/>
    <s v="John Poulie Borromeo"/>
    <m/>
  </r>
  <r>
    <x v="425"/>
    <x v="0"/>
    <x v="2"/>
    <s v="PLEAN_X310282CN5023305 PIMI MED MED OTH ESMO Campaign"/>
    <s v="H000004392"/>
    <s v="H000004392"/>
    <s v="Non-LFF"/>
    <s v=""/>
    <m/>
    <b v="1"/>
    <x v="1"/>
    <x v="0"/>
    <d v="2025-11-17T00:00:00"/>
    <m/>
    <m/>
    <x v="1"/>
    <n v="24"/>
    <s v="John Poulie Borromeo"/>
    <m/>
  </r>
  <r>
    <x v="425"/>
    <x v="0"/>
    <x v="2"/>
    <s v="PLEAN_X310282CN5023306 PIMI MED MED OTH ESMO Campaign"/>
    <s v="H000004392"/>
    <s v="H000004392"/>
    <s v="Non-LFF"/>
    <s v=""/>
    <m/>
    <b v="1"/>
    <x v="1"/>
    <x v="0"/>
    <d v="2025-11-17T00:00:00"/>
    <m/>
    <m/>
    <x v="1"/>
    <n v="24"/>
    <s v="John Poulie Borromeo"/>
    <m/>
  </r>
  <r>
    <x v="425"/>
    <x v="0"/>
    <x v="2"/>
    <s v="PLEAN_X310282CN5023309 PIMI MED MED OTH Content development"/>
    <s v="H000004392"/>
    <s v="H000004392"/>
    <s v="Non-LFF"/>
    <s v=""/>
    <m/>
    <b v="1"/>
    <x v="1"/>
    <x v="0"/>
    <d v="2025-11-17T00:00:00"/>
    <m/>
    <m/>
    <x v="1"/>
    <n v="24"/>
    <s v="John Poulie Borromeo"/>
    <m/>
  </r>
  <r>
    <x v="425"/>
    <x v="0"/>
    <x v="2"/>
    <s v="PLEAN_X310431CN5015212 THYB COM PROM OTH Zebra"/>
    <s v="H000001382"/>
    <s v="H000001382"/>
    <s v="Non-LFF"/>
    <s v=""/>
    <m/>
    <b v="1"/>
    <x v="1"/>
    <x v="0"/>
    <d v="2025-11-17T00:00:00"/>
    <m/>
    <m/>
    <x v="1"/>
    <n v="24"/>
    <s v="John Poulie Borromeo"/>
    <m/>
  </r>
  <r>
    <x v="425"/>
    <x v="0"/>
    <x v="2"/>
    <s v="PLEAN_X310432CN5020104 Thy MED CN50 MED EDU Thyrotropin"/>
    <s v="H000001505"/>
    <s v="H000001505"/>
    <s v="Non-LFF"/>
    <s v=""/>
    <m/>
    <b v="1"/>
    <x v="1"/>
    <x v="0"/>
    <d v="2025-11-17T00:00:00"/>
    <m/>
    <m/>
    <x v="1"/>
    <n v="24"/>
    <s v="John Poulie Borromeo"/>
    <m/>
  </r>
  <r>
    <x v="425"/>
    <x v="0"/>
    <x v="2"/>
    <s v="PLEAN_X310111CN5015500 O59 COM PROM OTH Global funding-Pimi"/>
    <s v="H000004390"/>
    <s v="H000004390"/>
    <s v="Non-LFF"/>
    <s v=""/>
    <m/>
    <b v="1"/>
    <x v="1"/>
    <x v="0"/>
    <d v="2025-11-17T00:00:00"/>
    <m/>
    <m/>
    <x v="1"/>
    <n v="24"/>
    <s v="John Poulie Borromeo"/>
    <m/>
  </r>
  <r>
    <x v="425"/>
    <x v="0"/>
    <x v="2"/>
    <s v="PLEAN_X310101CN5013354 ERB COM C&amp;E ONC H&amp;N MOD"/>
    <s v="H000001422"/>
    <s v="H000001422"/>
    <s v="Non-LFF"/>
    <s v=""/>
    <m/>
    <b v="1"/>
    <x v="1"/>
    <x v="0"/>
    <d v="2025-11-17T00:00:00"/>
    <m/>
    <m/>
    <x v="1"/>
    <n v="24"/>
    <s v="John Poulie Borromeo"/>
    <m/>
  </r>
  <r>
    <x v="425"/>
    <x v="0"/>
    <x v="2"/>
    <s v="PLEAN_X310201DE5015018 Project for Cross Charge"/>
    <s v="H000004199"/>
    <s v="H000004199"/>
    <s v="Non-LFF"/>
    <s v=""/>
    <m/>
    <b v="1"/>
    <x v="1"/>
    <x v="0"/>
    <d v="2025-11-17T00:00:00"/>
    <m/>
    <m/>
    <x v="1"/>
    <n v="24"/>
    <s v="John Poulie Borromeo"/>
    <m/>
  </r>
  <r>
    <x v="426"/>
    <x v="0"/>
    <x v="2"/>
    <s v="CTEMPLA_1000BR10200572 [MED] - Med Consultants - Tepmetko"/>
    <s v="H000002595"/>
    <s v="H000002595"/>
    <s v="Non-LFF"/>
    <s v=""/>
    <m/>
    <b v="1"/>
    <x v="1"/>
    <x v="0"/>
    <d v="2025-11-17T00:00:00"/>
    <m/>
    <m/>
    <x v="1"/>
    <n v="24"/>
    <s v="Natasha Hazel Aliado"/>
    <m/>
  </r>
  <r>
    <x v="427"/>
    <x v="0"/>
    <x v="2"/>
    <s v="CTEMPLA_1000PA10PA3E25 Medical non R&amp;D Thyroids"/>
    <s v="H000000369"/>
    <s v="H000000369"/>
    <s v="Non-LFF"/>
    <s v=""/>
    <m/>
    <b v="1"/>
    <x v="1"/>
    <x v="0"/>
    <d v="2025-11-18T00:00:00"/>
    <m/>
    <m/>
    <x v="1"/>
    <n v="23"/>
    <s v="Natasha Hazel Aliado"/>
    <m/>
  </r>
  <r>
    <x v="427"/>
    <x v="0"/>
    <x v="2"/>
    <s v="CTEMPLA_1000PA10PA3B25 Medical non R&amp;D Fertility"/>
    <s v="H000000369"/>
    <s v="H000000369"/>
    <s v="Non-LFF"/>
    <s v=""/>
    <m/>
    <b v="1"/>
    <x v="1"/>
    <x v="0"/>
    <d v="2025-11-18T00:00:00"/>
    <m/>
    <m/>
    <x v="1"/>
    <n v="23"/>
    <s v="Natasha Hazel Aliado"/>
    <m/>
  </r>
  <r>
    <x v="428"/>
    <x v="0"/>
    <x v="2"/>
    <s v="PSCALA_X54 Tepmetko Launch"/>
    <s v="H000000423"/>
    <s v="H000000423"/>
    <s v="Non-LFF"/>
    <s v=""/>
    <m/>
    <b v="1"/>
    <x v="1"/>
    <x v="0"/>
    <d v="2025-11-18T00:00:00"/>
    <m/>
    <m/>
    <x v="1"/>
    <n v="23"/>
    <s v="Carlo Umali"/>
    <m/>
  </r>
  <r>
    <x v="429"/>
    <x v="0"/>
    <x v="2"/>
    <s v="CSCALA_1042$ONPM_O28"/>
    <s v="H000000423"/>
    <s v="H000000423"/>
    <s v="Non-LFF"/>
    <s v=""/>
    <m/>
    <b v="1"/>
    <x v="1"/>
    <x v="0"/>
    <d v="2025-11-18T00:00:00"/>
    <m/>
    <m/>
    <x v="1"/>
    <n v="23"/>
    <s v="Carlo Umali"/>
    <m/>
  </r>
  <r>
    <x v="430"/>
    <x v="0"/>
    <x v="2"/>
    <s v="CSCALA_1042$ONPM_X51"/>
    <s v="H000000423"/>
    <s v="H000000423"/>
    <s v="Non-LFF"/>
    <s v=""/>
    <m/>
    <b v="1"/>
    <x v="1"/>
    <x v="0"/>
    <d v="2025-11-18T00:00:00"/>
    <m/>
    <m/>
    <x v="1"/>
    <n v="23"/>
    <s v="Carlo Umali"/>
    <m/>
  </r>
  <r>
    <x v="431"/>
    <x v="0"/>
    <x v="2"/>
    <s v="CSCALA_1042$ONPM_X54"/>
    <s v="H000000423"/>
    <s v="H000000423"/>
    <s v="Non-LFF"/>
    <s v=""/>
    <m/>
    <b v="1"/>
    <x v="1"/>
    <x v="0"/>
    <d v="2025-11-18T00:00:00"/>
    <m/>
    <m/>
    <x v="1"/>
    <n v="23"/>
    <s v="Carlo Umali"/>
    <m/>
  </r>
  <r>
    <x v="432"/>
    <x v="0"/>
    <x v="2"/>
    <s v="CSCALA_1042$MSMS_E09"/>
    <s v="H000000423"/>
    <s v="H000000423"/>
    <s v="Non-LFF"/>
    <s v=""/>
    <m/>
    <b v="1"/>
    <x v="1"/>
    <x v="0"/>
    <d v="2025-11-18T00:00:00"/>
    <m/>
    <m/>
    <x v="1"/>
    <n v="23"/>
    <s v="Carlo Umali"/>
    <m/>
  </r>
  <r>
    <x v="433"/>
    <x v="0"/>
    <x v="2"/>
    <s v="CSCALA_1042$MSPM_E81"/>
    <s v="H000000423"/>
    <s v="H000000423"/>
    <s v="Non-LFF"/>
    <s v=""/>
    <m/>
    <b v="1"/>
    <x v="1"/>
    <x v="0"/>
    <d v="2025-11-18T00:00:00"/>
    <m/>
    <m/>
    <x v="1"/>
    <n v="23"/>
    <s v="Carlo Umali"/>
    <m/>
  </r>
  <r>
    <x v="434"/>
    <x v="0"/>
    <x v="2"/>
    <s v="CSCALA_1042$MSMS_D19"/>
    <s v="H000000423"/>
    <s v="H000000423"/>
    <s v="Non-LFF"/>
    <s v=""/>
    <m/>
    <b v="1"/>
    <x v="1"/>
    <x v="0"/>
    <d v="2025-11-18T00:00:00"/>
    <m/>
    <m/>
    <x v="1"/>
    <n v="23"/>
    <s v="Carlo Umali"/>
    <m/>
  </r>
  <r>
    <x v="435"/>
    <x v="0"/>
    <x v="2"/>
    <s v="CSCALA_1042$MSMS_O12"/>
    <s v="H000000423"/>
    <s v="H000000423"/>
    <s v="Non-LFF"/>
    <s v=""/>
    <m/>
    <b v="1"/>
    <x v="1"/>
    <x v="0"/>
    <d v="2025-11-18T00:00:00"/>
    <m/>
    <m/>
    <x v="1"/>
    <n v="23"/>
    <s v="Carlo Umali"/>
    <m/>
  </r>
  <r>
    <x v="436"/>
    <x v="0"/>
    <x v="2"/>
    <s v="CSCALA_1042$ONPM_X65"/>
    <s v="H000000423"/>
    <s v="H000000423"/>
    <s v="Non-LFF"/>
    <s v=""/>
    <m/>
    <b v="1"/>
    <x v="1"/>
    <x v="0"/>
    <d v="2025-11-18T00:00:00"/>
    <m/>
    <m/>
    <x v="1"/>
    <n v="23"/>
    <s v="Carlo Umali"/>
    <m/>
  </r>
  <r>
    <x v="437"/>
    <x v="0"/>
    <x v="2"/>
    <s v="CFLTFLE_10548-191A ISS - OTHER"/>
    <s v="H000000429"/>
    <s v="H000000429"/>
    <s v="Non-LFF"/>
    <s v=""/>
    <m/>
    <b v="1"/>
    <x v="1"/>
    <x v="0"/>
    <d v="2025-11-18T00:00:00"/>
    <m/>
    <m/>
    <x v="1"/>
    <n v="23"/>
    <s v="Carlo Umali"/>
    <m/>
  </r>
  <r>
    <x v="438"/>
    <x v="0"/>
    <x v="2"/>
    <s v="PLEAN_X310201VN5011200 FD COM Advertising"/>
    <s v="H000001318"/>
    <s v="H000001318"/>
    <s v="Non-LFF"/>
    <s v=""/>
    <m/>
    <b v="1"/>
    <x v="1"/>
    <x v="0"/>
    <d v="2025-11-18T00:00:00"/>
    <m/>
    <m/>
    <x v="1"/>
    <n v="23"/>
    <s v="Carlo Umali"/>
    <m/>
  </r>
  <r>
    <x v="423"/>
    <x v="0"/>
    <x v="2"/>
    <s v="CFLTFLE_1044BPOE BP - Others  ISS"/>
    <s v="H000001115"/>
    <s v="H000001115"/>
    <s v="Non-LFF"/>
    <s v=""/>
    <m/>
    <b v="1"/>
    <x v="1"/>
    <x v="0"/>
    <d v="2025-11-18T00:00:00"/>
    <m/>
    <m/>
    <x v="1"/>
    <n v="23"/>
    <s v="Carlo Umali"/>
    <m/>
  </r>
  <r>
    <x v="439"/>
    <x v="0"/>
    <x v="2"/>
    <s v="CORAERP_MMOR1945.9032"/>
    <s v="G000001176"/>
    <s v="G000001176"/>
    <s v="Non-LFF"/>
    <s v=""/>
    <m/>
    <b v="1"/>
    <x v="0"/>
    <x v="0"/>
    <d v="2025-11-20T00:00:00"/>
    <m/>
    <m/>
    <x v="1"/>
    <n v="21"/>
    <s v="Jojeff Tagnong"/>
    <m/>
  </r>
  <r>
    <x v="439"/>
    <x v="0"/>
    <x v="2"/>
    <s v="CTEMPEU_1000PL80GFO011"/>
    <s v="G000001263"/>
    <s v="G000001263"/>
    <s v="Non-LFF"/>
    <s v=""/>
    <m/>
    <b v="1"/>
    <x v="0"/>
    <x v="0"/>
    <d v="2025-11-20T00:00:00"/>
    <m/>
    <m/>
    <x v="1"/>
    <n v="21"/>
    <s v="Jojeff Tagnong"/>
    <m/>
  </r>
  <r>
    <x v="439"/>
    <x v="0"/>
    <x v="2"/>
    <s v="CTEMPEU_1000PL80GFO013"/>
    <s v="G000001176"/>
    <s v="G000001176"/>
    <s v="Non-LFF"/>
    <s v=""/>
    <m/>
    <b v="1"/>
    <x v="0"/>
    <x v="0"/>
    <d v="2025-11-20T00:00:00"/>
    <m/>
    <m/>
    <x v="1"/>
    <n v="21"/>
    <s v="Jojeff Tagnong"/>
    <m/>
  </r>
  <r>
    <x v="439"/>
    <x v="0"/>
    <x v="2"/>
    <s v="CTEMPEU_1000PL80GFO015"/>
    <s v="G000001176"/>
    <s v="G000001176"/>
    <s v="Non-LFF"/>
    <s v=""/>
    <m/>
    <b v="1"/>
    <x v="0"/>
    <x v="0"/>
    <d v="2025-11-20T00:00:00"/>
    <m/>
    <m/>
    <x v="1"/>
    <n v="21"/>
    <s v="Jojeff Tagnong"/>
    <m/>
  </r>
  <r>
    <x v="439"/>
    <x v="0"/>
    <x v="2"/>
    <s v="CORAERP_MMOR1945.9115"/>
    <s v="G000001263"/>
    <s v="G000001263"/>
    <s v="Non-LFF"/>
    <s v=""/>
    <m/>
    <b v="1"/>
    <x v="0"/>
    <x v="0"/>
    <d v="2025-11-20T00:00:00"/>
    <m/>
    <m/>
    <x v="1"/>
    <n v="21"/>
    <s v="Jojeff Tagnong"/>
    <m/>
  </r>
  <r>
    <x v="439"/>
    <x v="0"/>
    <x v="2"/>
    <s v="CLFF_1000$$$DE10G69660"/>
    <s v="G000001263"/>
    <s v="G000001263"/>
    <s v="LFF (MDG-F)"/>
    <s v="DE10G69660"/>
    <m/>
    <b v="1"/>
    <x v="0"/>
    <x v="0"/>
    <d v="2025-11-20T00:00:00"/>
    <m/>
    <m/>
    <x v="1"/>
    <n v="21"/>
    <s v="Jojeff Tagnong"/>
    <m/>
  </r>
  <r>
    <x v="439"/>
    <x v="0"/>
    <x v="2"/>
    <s v="CTEMPEU_1000PL80GFO018"/>
    <s v="G000001176"/>
    <s v="G000001176"/>
    <s v="Non-LFF"/>
    <s v=""/>
    <m/>
    <b v="1"/>
    <x v="0"/>
    <x v="0"/>
    <d v="2025-11-20T00:00:00"/>
    <m/>
    <m/>
    <x v="1"/>
    <n v="21"/>
    <s v="Jojeff Tagnong"/>
    <m/>
  </r>
  <r>
    <x v="440"/>
    <x v="0"/>
    <x v="2"/>
    <s v="ITEMPEU_AT40AA0014"/>
    <s v="L000009832"/>
    <s v="L000009832"/>
    <s v="Non-LFF"/>
    <s v=""/>
    <m/>
    <b v="1"/>
    <x v="2"/>
    <x v="0"/>
    <d v="2025-11-22T00:00:00"/>
    <m/>
    <m/>
    <x v="1"/>
    <n v="19"/>
    <s v="Ruby Grace Garcia"/>
    <m/>
  </r>
  <r>
    <x v="440"/>
    <x v="0"/>
    <x v="2"/>
    <s v="CNOW_7210$$$0000015218"/>
    <s v="L000010037"/>
    <s v="L000010037"/>
    <s v="Non-LFF"/>
    <s v=""/>
    <m/>
    <b v="1"/>
    <x v="2"/>
    <x v="0"/>
    <d v="2025-11-22T00:00:00"/>
    <m/>
    <m/>
    <x v="1"/>
    <n v="19"/>
    <s v="Ruby Grace Garcia"/>
    <m/>
  </r>
  <r>
    <x v="440"/>
    <x v="0"/>
    <x v="2"/>
    <s v="CNOW_7210$$$0000015219"/>
    <s v="L000010037"/>
    <s v="L000010037"/>
    <s v="Non-LFF"/>
    <s v=""/>
    <m/>
    <b v="1"/>
    <x v="2"/>
    <x v="0"/>
    <d v="2025-11-22T00:00:00"/>
    <m/>
    <m/>
    <x v="1"/>
    <n v="19"/>
    <s v="Ruby Grace Garcia"/>
    <m/>
  </r>
  <r>
    <x v="440"/>
    <x v="0"/>
    <x v="2"/>
    <s v="CTEMPLA_1000GT10ZZ0Q18"/>
    <s v="L000011585"/>
    <s v="L000011585"/>
    <s v="Non-LFF"/>
    <s v=""/>
    <m/>
    <b v="1"/>
    <x v="2"/>
    <x v="0"/>
    <d v="2025-11-22T00:00:00"/>
    <m/>
    <m/>
    <x v="1"/>
    <n v="19"/>
    <s v="Ruby Grace Garcia"/>
    <m/>
  </r>
  <r>
    <x v="440"/>
    <x v="0"/>
    <x v="2"/>
    <s v="D30013700000000"/>
    <s v="L000011403"/>
    <s v="L000011403"/>
    <s v="Non-LFF"/>
    <s v=""/>
    <m/>
    <b v="1"/>
    <x v="2"/>
    <x v="0"/>
    <d v="2025-11-22T00:00:00"/>
    <m/>
    <m/>
    <x v="1"/>
    <n v="19"/>
    <s v="Ruby Grace Garcia"/>
    <m/>
  </r>
  <r>
    <x v="440"/>
    <x v="0"/>
    <x v="2"/>
    <s v="CORAERP_MMOR1945.6306"/>
    <s v="L000012347"/>
    <s v="L000012347"/>
    <s v="Non-LFF"/>
    <s v=""/>
    <m/>
    <b v="1"/>
    <x v="2"/>
    <x v="0"/>
    <d v="2025-11-22T00:00:00"/>
    <m/>
    <m/>
    <x v="1"/>
    <n v="19"/>
    <s v="Ruby Grace Garcia"/>
    <m/>
  </r>
  <r>
    <x v="441"/>
    <x v="0"/>
    <x v="2"/>
    <s v="CORAERP_MMOR1975.5598 Marketing - Hardware &amp; Systems"/>
    <s v="L000013558"/>
    <s v="L000013558"/>
    <s v="Non-LFF"/>
    <s v=""/>
    <m/>
    <b v="1"/>
    <x v="2"/>
    <x v="0"/>
    <d v="2025-11-22T00:00:00"/>
    <m/>
    <m/>
    <x v="1"/>
    <n v="19"/>
    <s v="Ruby Grace Garcia"/>
    <m/>
  </r>
  <r>
    <x v="441"/>
    <x v="0"/>
    <x v="2"/>
    <s v="CORAERP_MMOR1945.3541 Quality PS Field Service"/>
    <s v="L000013846"/>
    <s v="L000013846"/>
    <s v="Non-LFF"/>
    <s v=""/>
    <m/>
    <b v="1"/>
    <x v="2"/>
    <x v="0"/>
    <d v="2025-11-22T00:00:00"/>
    <m/>
    <m/>
    <x v="1"/>
    <n v="19"/>
    <s v="Ruby Grace Garcia"/>
    <m/>
  </r>
  <r>
    <x v="441"/>
    <x v="0"/>
    <x v="2"/>
    <s v="CORAERP_MMOR1975.5776 US Strategy and Execution DSP"/>
    <s v="L000013859"/>
    <s v="L000013859"/>
    <s v="Non-LFF"/>
    <s v=""/>
    <m/>
    <b v="1"/>
    <x v="2"/>
    <x v="0"/>
    <d v="2025-11-22T00:00:00"/>
    <m/>
    <m/>
    <x v="1"/>
    <n v="19"/>
    <s v="Ruby Grace Garcia"/>
    <m/>
  </r>
  <r>
    <x v="441"/>
    <x v="0"/>
    <x v="2"/>
    <s v="CPHOENX_01010000699404 DE DSP Strategy and Execution"/>
    <s v="L000013859"/>
    <s v="L000013859"/>
    <s v="Non-LFF"/>
    <s v=""/>
    <m/>
    <b v="1"/>
    <x v="2"/>
    <x v="0"/>
    <d v="2025-11-22T00:00:00"/>
    <m/>
    <m/>
    <x v="1"/>
    <n v="19"/>
    <s v="Ruby Grace Garcia"/>
    <m/>
  </r>
  <r>
    <x v="441"/>
    <x v="0"/>
    <x v="2"/>
    <s v="CTEMPEU_1000CH70404040 Strategy and Execution CH DSP"/>
    <s v="L000013859"/>
    <s v="L000013859"/>
    <s v="Non-LFF"/>
    <s v=""/>
    <m/>
    <b v="1"/>
    <x v="2"/>
    <x v="0"/>
    <d v="2025-11-22T00:00:00"/>
    <m/>
    <m/>
    <x v="1"/>
    <n v="19"/>
    <s v="Ruby Grace Garcia"/>
    <m/>
  </r>
  <r>
    <x v="441"/>
    <x v="0"/>
    <x v="2"/>
    <s v="CORAERP_MMOR1945.P3SW BL P3 Systems Hardware - SW"/>
    <s v="L000006552"/>
    <s v="L000006552"/>
    <s v="Non-LFF"/>
    <s v=""/>
    <m/>
    <b v="1"/>
    <x v="2"/>
    <x v="0"/>
    <d v="2025-11-22T00:00:00"/>
    <m/>
    <m/>
    <x v="1"/>
    <n v="19"/>
    <s v="Ruby Grace Garcia"/>
    <m/>
  </r>
  <r>
    <x v="441"/>
    <x v="0"/>
    <x v="2"/>
    <s v="CORAERP_MMOR1975.5074 BioP Upstream Business Line Headcount"/>
    <s v="L000006593"/>
    <s v="L000006593"/>
    <s v="Non-LFF"/>
    <s v=""/>
    <m/>
    <b v="1"/>
    <x v="2"/>
    <x v="0"/>
    <d v="2025-11-22T00:00:00"/>
    <m/>
    <m/>
    <x v="1"/>
    <n v="19"/>
    <s v="Ruby Grace Garcia"/>
    <m/>
  </r>
  <r>
    <x v="441"/>
    <x v="0"/>
    <x v="2"/>
    <s v="CNOW_7210$$$0000015019 PSC - Central EU (GESA)"/>
    <s v="L000013915"/>
    <s v="L000013915"/>
    <s v="Non-LFF"/>
    <s v=""/>
    <m/>
    <b v="1"/>
    <x v="2"/>
    <x v="0"/>
    <d v="2025-11-22T00:00:00"/>
    <m/>
    <m/>
    <x v="1"/>
    <n v="19"/>
    <s v="Ruby Grace Garcia"/>
    <m/>
  </r>
  <r>
    <x v="441"/>
    <x v="0"/>
    <x v="2"/>
    <s v="IPHOENX_000400763813 CCV PFM Other Arevi Thyrosin"/>
    <s v="L000013563"/>
    <s v="L000013563"/>
    <s v="Non-LFF"/>
    <s v=""/>
    <m/>
    <b v="1"/>
    <x v="2"/>
    <x v="0"/>
    <d v="2025-11-22T00:00:00"/>
    <m/>
    <m/>
    <x v="1"/>
    <n v="19"/>
    <s v="Ruby Grace Garcia"/>
    <m/>
  </r>
  <r>
    <x v="441"/>
    <x v="0"/>
    <x v="2"/>
    <s v="CFLTFLE_1106T95000 Marketing"/>
    <s v="L000013845"/>
    <s v="L000013845"/>
    <s v="Non-LFF"/>
    <s v=""/>
    <m/>
    <b v="1"/>
    <x v="2"/>
    <x v="0"/>
    <d v="2025-11-22T00:00:00"/>
    <m/>
    <m/>
    <x v="1"/>
    <n v="19"/>
    <s v="Ruby Grace Garcia"/>
    <m/>
  </r>
  <r>
    <x v="441"/>
    <x v="0"/>
    <x v="2"/>
    <s v="CEMERAL_70006101P13201 PS Market Intelligence China"/>
    <s v="L000013514"/>
    <s v="L000013514"/>
    <s v="Non-LFF"/>
    <s v=""/>
    <m/>
    <b v="1"/>
    <x v="2"/>
    <x v="0"/>
    <d v="2025-11-22T00:00:00"/>
    <m/>
    <m/>
    <x v="1"/>
    <n v="19"/>
    <s v="Ruby Grace Garcia"/>
    <m/>
  </r>
  <r>
    <x v="441"/>
    <x v="0"/>
    <x v="2"/>
    <s v="ITEMPEU_003200001428 CH70 Freight Outbound 3110410000 SH"/>
    <s v="L000009539"/>
    <s v="L000009539"/>
    <s v="Non-LFF"/>
    <s v=""/>
    <m/>
    <b v="1"/>
    <x v="2"/>
    <x v="0"/>
    <d v="2025-11-22T00:00:00"/>
    <m/>
    <m/>
    <x v="1"/>
    <n v="19"/>
    <s v="Ruby Grace Garcia"/>
    <m/>
  </r>
  <r>
    <x v="441"/>
    <x v="0"/>
    <x v="2"/>
    <s v="ITEMPEU_CH70AA0011 Freight Outbound 3110410000"/>
    <s v="L000009407"/>
    <s v="L000009407"/>
    <s v="Non-LFF"/>
    <s v=""/>
    <m/>
    <b v="1"/>
    <x v="2"/>
    <x v="0"/>
    <d v="2025-11-22T00:00:00"/>
    <m/>
    <m/>
    <x v="1"/>
    <n v="19"/>
    <s v="Ruby Grace Garcia"/>
    <m/>
  </r>
  <r>
    <x v="441"/>
    <x v="0"/>
    <x v="2"/>
    <s v="CNOW_7210$$$0000051972 Buchs Outbound Freight"/>
    <s v="L000009413"/>
    <s v="L000009413"/>
    <s v="Non-LFF"/>
    <s v=""/>
    <m/>
    <b v="1"/>
    <x v="2"/>
    <x v="0"/>
    <d v="2025-11-22T00:00:00"/>
    <m/>
    <m/>
    <x v="1"/>
    <n v="19"/>
    <s v="Ruby Grace Garcia"/>
    <m/>
  </r>
  <r>
    <x v="441"/>
    <x v="0"/>
    <x v="2"/>
    <s v="CNOW_7210$$$0000051924 SP General COS Steinheim"/>
    <s v="L000010212"/>
    <s v="L000010212"/>
    <s v="Non-LFF"/>
    <s v=""/>
    <m/>
    <b v="1"/>
    <x v="2"/>
    <x v="0"/>
    <d v="2025-11-22T00:00:00"/>
    <m/>
    <m/>
    <x v="1"/>
    <n v="19"/>
    <s v="Ruby Grace Garcia"/>
    <m/>
  </r>
  <r>
    <x v="441"/>
    <x v="0"/>
    <x v="2"/>
    <s v="CFLTFLE_1106T41000 Sales"/>
    <s v="L000009437"/>
    <s v="L000009437"/>
    <s v="Non-LFF"/>
    <s v=""/>
    <m/>
    <b v="1"/>
    <x v="2"/>
    <x v="0"/>
    <d v="2025-11-22T00:00:00"/>
    <m/>
    <m/>
    <x v="1"/>
    <n v="19"/>
    <s v="Ruby Grace Garcia"/>
    <m/>
  </r>
  <r>
    <x v="441"/>
    <x v="0"/>
    <x v="2"/>
    <s v="CFLTFLE_1106T62100 Logistic"/>
    <s v="L000009437"/>
    <s v="L000009437"/>
    <s v="Non-LFF"/>
    <s v=""/>
    <m/>
    <b v="1"/>
    <x v="2"/>
    <x v="0"/>
    <d v="2025-11-22T00:00:00"/>
    <m/>
    <m/>
    <x v="1"/>
    <n v="19"/>
    <s v="Ruby Grace Garcia"/>
    <m/>
  </r>
  <r>
    <x v="441"/>
    <x v="0"/>
    <x v="2"/>
    <s v="CLFF_7210$$$2125C03326 IL inbound freight"/>
    <s v="L000009657"/>
    <s v="L000009657"/>
    <s v="LFF (MDG-F)"/>
    <s v="2125C03326"/>
    <m/>
    <b v="1"/>
    <x v="2"/>
    <x v="0"/>
    <d v="2025-11-22T00:00:00"/>
    <m/>
    <m/>
    <x v="1"/>
    <n v="19"/>
    <s v="Ruby Grace Garcia"/>
    <m/>
  </r>
  <r>
    <x v="441"/>
    <x v="0"/>
    <x v="2"/>
    <s v="CLFF_7210$$$2022TQAZ93 IE Arklow freight"/>
    <s v="L000009485"/>
    <s v="L000009485"/>
    <s v="LFF (MDG-F)"/>
    <s v="2022TQAZ93"/>
    <m/>
    <b v="1"/>
    <x v="2"/>
    <x v="0"/>
    <d v="2025-11-22T00:00:00"/>
    <m/>
    <m/>
    <x v="1"/>
    <n v="19"/>
    <s v="Ruby Grace Garcia"/>
    <m/>
  </r>
  <r>
    <x v="441"/>
    <x v="0"/>
    <x v="2"/>
    <s v="CORAERP_MMOR1917.4165 Outbound IC Freight UK"/>
    <s v="L000009556"/>
    <s v="L000009556"/>
    <s v="Non-LFF"/>
    <s v=""/>
    <m/>
    <b v="1"/>
    <x v="2"/>
    <x v="0"/>
    <d v="2025-11-22T00:00:00"/>
    <m/>
    <m/>
    <x v="1"/>
    <n v="19"/>
    <s v="Ruby Grace Garcia"/>
    <m/>
  </r>
  <r>
    <x v="441"/>
    <x v="0"/>
    <x v="2"/>
    <s v="CORAERP_MMOR1917.4167 Outbound 3rd Party Freight UK"/>
    <s v="L000009556"/>
    <s v="L000009556"/>
    <s v="Non-LFF"/>
    <s v=""/>
    <m/>
    <b v="1"/>
    <x v="2"/>
    <x v="0"/>
    <d v="2025-11-22T00:00:00"/>
    <m/>
    <m/>
    <x v="1"/>
    <n v="19"/>
    <s v="Ruby Grace Garcia"/>
    <m/>
  </r>
  <r>
    <x v="441"/>
    <x v="0"/>
    <x v="2"/>
    <s v="CLFF_7210$$$1937TQCZ91 EI outbound freight"/>
    <s v="L000010287"/>
    <s v="L000010287"/>
    <s v="LFF (MDG-F)"/>
    <s v="1937TQCZ91"/>
    <m/>
    <b v="1"/>
    <x v="2"/>
    <x v="0"/>
    <d v="2025-11-22T00:00:00"/>
    <m/>
    <m/>
    <x v="1"/>
    <n v="19"/>
    <s v="Ruby Grace Garcia"/>
    <m/>
  </r>
  <r>
    <x v="441"/>
    <x v="0"/>
    <x v="2"/>
    <s v="CNOW_7210$$$0000040056 Distribution Advancement &amp; Systems"/>
    <s v="L000009969"/>
    <s v="L000009969"/>
    <s v="Non-LFF"/>
    <s v=""/>
    <m/>
    <b v="1"/>
    <x v="2"/>
    <x v="0"/>
    <d v="2025-11-22T00:00:00"/>
    <m/>
    <m/>
    <x v="1"/>
    <n v="19"/>
    <s v="Ruby Grace Garcia"/>
    <m/>
  </r>
  <r>
    <x v="441"/>
    <x v="0"/>
    <x v="2"/>
    <s v="CLFF_7210$$$1937TMCZ9J Global Engineering and SME's"/>
    <s v="L000013867"/>
    <s v="L000013867"/>
    <s v="LFF (MDG-F)"/>
    <s v="1937TMCZ9J"/>
    <m/>
    <b v="1"/>
    <x v="2"/>
    <x v="0"/>
    <d v="2025-11-22T00:00:00"/>
    <m/>
    <m/>
    <x v="1"/>
    <n v="19"/>
    <s v="Ruby Grace Garcia"/>
    <m/>
  </r>
  <r>
    <x v="442"/>
    <x v="0"/>
    <x v="2"/>
    <s v="CSCALA_1826$302_ST"/>
    <s v="G000000765"/>
    <s v="G000000765"/>
    <s v="Non-LFF"/>
    <s v=""/>
    <m/>
    <b v="1"/>
    <x v="0"/>
    <x v="0"/>
    <d v="2025-11-24T00:00:00"/>
    <m/>
    <m/>
    <x v="1"/>
    <n v="19"/>
    <s v="Jojeff Tagnong"/>
    <m/>
  </r>
  <r>
    <x v="442"/>
    <x v="0"/>
    <x v="2"/>
    <s v="CSCALA_1826$301_MV"/>
    <s v="G000000152"/>
    <s v="G000000152"/>
    <s v="Non-LFF"/>
    <s v=""/>
    <m/>
    <b v="1"/>
    <x v="0"/>
    <x v="0"/>
    <d v="2025-11-24T00:00:00"/>
    <m/>
    <m/>
    <x v="1"/>
    <n v="19"/>
    <s v="Jojeff Tagnong"/>
    <m/>
  </r>
  <r>
    <x v="442"/>
    <x v="0"/>
    <x v="2"/>
    <s v="CSCALA_1826$350_MV"/>
    <s v="G000000152"/>
    <s v="G000000152"/>
    <s v="Non-LFF"/>
    <s v=""/>
    <m/>
    <b v="1"/>
    <x v="0"/>
    <x v="0"/>
    <d v="2025-11-24T00:00:00"/>
    <m/>
    <m/>
    <x v="1"/>
    <n v="19"/>
    <s v="Jojeff Tagnong"/>
    <m/>
  </r>
  <r>
    <x v="443"/>
    <x v="0"/>
    <x v="2"/>
    <s v="CLFF_1000$$$CN01TPAZ08"/>
    <s v="P000001380"/>
    <s v="P000001380"/>
    <s v="LFF (MDG-F)"/>
    <s v="CN01TPAZ08"/>
    <m/>
    <b v="1"/>
    <x v="3"/>
    <x v="0"/>
    <d v="2025-11-24T00:00:00"/>
    <m/>
    <m/>
    <x v="1"/>
    <n v="19"/>
    <s v="John Rowie Del Rosario"/>
    <m/>
  </r>
  <r>
    <x v="443"/>
    <x v="0"/>
    <x v="2"/>
    <s v="CLFF_1000$$$CN01OF0161"/>
    <s v="P000001380"/>
    <s v="P000001380"/>
    <s v="LFF (MDG-F)"/>
    <s v="CN01OF0161"/>
    <m/>
    <b v="1"/>
    <x v="3"/>
    <x v="0"/>
    <d v="2025-11-24T00:00:00"/>
    <m/>
    <m/>
    <x v="1"/>
    <n v="19"/>
    <s v="John Rowie Del Rosario"/>
    <m/>
  </r>
  <r>
    <x v="443"/>
    <x v="0"/>
    <x v="2"/>
    <s v="CLFF_1000$$$CN01TPAZ06"/>
    <s v="P000001380"/>
    <s v="P000001380"/>
    <s v="LFF (MDG-F)"/>
    <s v="CN01TPAZ06"/>
    <m/>
    <b v="1"/>
    <x v="3"/>
    <x v="0"/>
    <d v="2025-11-24T00:00:00"/>
    <m/>
    <m/>
    <x v="1"/>
    <n v="19"/>
    <s v="John Rowie Del Rosario"/>
    <m/>
  </r>
  <r>
    <x v="443"/>
    <x v="0"/>
    <x v="2"/>
    <s v="CLFF_1000$$$CN02TPZZ05"/>
    <s v="P000001380"/>
    <s v="P000001380"/>
    <s v="LFF (MDG-F)"/>
    <s v="CN02TPZZ05"/>
    <m/>
    <b v="1"/>
    <x v="3"/>
    <x v="0"/>
    <d v="2025-11-24T00:00:00"/>
    <m/>
    <m/>
    <x v="1"/>
    <n v="19"/>
    <s v="John Rowie Del Rosario"/>
    <m/>
  </r>
  <r>
    <x v="443"/>
    <x v="0"/>
    <x v="2"/>
    <s v="CLFF_1000$$$CN02TPZZ08"/>
    <s v="P000001380"/>
    <s v="P000001380"/>
    <s v="LFF (MDG-F)"/>
    <s v="CN02TPZZ08"/>
    <m/>
    <b v="1"/>
    <x v="3"/>
    <x v="0"/>
    <d v="2025-11-24T00:00:00"/>
    <m/>
    <m/>
    <x v="1"/>
    <n v="19"/>
    <s v="John Rowie Del Rosario"/>
    <m/>
  </r>
  <r>
    <x v="443"/>
    <x v="0"/>
    <x v="2"/>
    <s v="CLFF_1000$$$CN03TPZZ01"/>
    <s v="P000001380"/>
    <s v="P000001380"/>
    <s v="LFF (MDG-F)"/>
    <s v="CN03TPZZ01"/>
    <m/>
    <b v="1"/>
    <x v="3"/>
    <x v="0"/>
    <d v="2025-11-24T00:00:00"/>
    <m/>
    <m/>
    <x v="1"/>
    <n v="19"/>
    <s v="John Rowie Del Rosario"/>
    <m/>
  </r>
  <r>
    <x v="443"/>
    <x v="0"/>
    <x v="2"/>
    <s v="CLFF_1000$$$CN03TPZZ03"/>
    <s v="P000001380"/>
    <s v="P000001380"/>
    <s v="LFF (MDG-F)"/>
    <s v="CN03TPZZ03"/>
    <m/>
    <b v="1"/>
    <x v="3"/>
    <x v="0"/>
    <d v="2025-11-24T00:00:00"/>
    <m/>
    <m/>
    <x v="1"/>
    <n v="19"/>
    <s v="John Rowie Del Rosario"/>
    <m/>
  </r>
  <r>
    <x v="443"/>
    <x v="0"/>
    <x v="2"/>
    <s v="CLFF_1000$$$CN02TPZZ02"/>
    <s v="P000001380"/>
    <s v="P000001380"/>
    <s v="LFF (MDG-F)"/>
    <s v="CN02TPZZ02"/>
    <m/>
    <b v="1"/>
    <x v="3"/>
    <x v="0"/>
    <d v="2025-11-24T00:00:00"/>
    <m/>
    <m/>
    <x v="1"/>
    <n v="19"/>
    <s v="John Rowie Del Rosario"/>
    <m/>
  </r>
  <r>
    <x v="443"/>
    <x v="0"/>
    <x v="2"/>
    <s v="CLFF_1000$$$CN02TQ1001"/>
    <s v="P000001380"/>
    <s v="P000001380"/>
    <s v="LFF (MDG-F)"/>
    <s v="CN02TQ1001"/>
    <m/>
    <b v="1"/>
    <x v="3"/>
    <x v="0"/>
    <d v="2025-11-24T00:00:00"/>
    <m/>
    <m/>
    <x v="1"/>
    <n v="19"/>
    <s v="John Rowie Del Rosario"/>
    <m/>
  </r>
  <r>
    <x v="443"/>
    <x v="0"/>
    <x v="2"/>
    <s v="CLFF_1000$$$CN02TQ1002"/>
    <s v="P000001380"/>
    <s v="P000001380"/>
    <s v="LFF (MDG-F)"/>
    <s v="CN02TQ1002"/>
    <m/>
    <b v="1"/>
    <x v="3"/>
    <x v="0"/>
    <d v="2025-11-24T00:00:00"/>
    <m/>
    <m/>
    <x v="1"/>
    <n v="19"/>
    <s v="John Rowie Del Rosario"/>
    <m/>
  </r>
  <r>
    <x v="443"/>
    <x v="0"/>
    <x v="2"/>
    <s v="CLFF_1000$$$CN02TQ1003"/>
    <s v="P000001380"/>
    <s v="P000001380"/>
    <s v="LFF (MDG-F)"/>
    <s v="CN02TQ1003"/>
    <m/>
    <b v="1"/>
    <x v="3"/>
    <x v="0"/>
    <d v="2025-11-24T00:00:00"/>
    <m/>
    <m/>
    <x v="1"/>
    <n v="19"/>
    <s v="John Rowie Del Rosario"/>
    <m/>
  </r>
  <r>
    <x v="443"/>
    <x v="0"/>
    <x v="2"/>
    <s v="CLFF_1000$$$CN03TPZZ02"/>
    <s v="P000001380"/>
    <s v="P000001380"/>
    <s v="LFF (MDG-F)"/>
    <s v="CN03TPZZ02"/>
    <m/>
    <b v="1"/>
    <x v="3"/>
    <x v="0"/>
    <d v="2025-11-24T00:00:00"/>
    <m/>
    <m/>
    <x v="1"/>
    <n v="19"/>
    <s v="John Rowie Del Rosario"/>
    <m/>
  </r>
  <r>
    <x v="443"/>
    <x v="0"/>
    <x v="2"/>
    <s v="CLFF_VMCA$$$CN10DB1001"/>
    <s v="P000001380"/>
    <s v="P000001380"/>
    <s v="LFF (MDG-F)"/>
    <s v="CN10DB1001"/>
    <m/>
    <b v="1"/>
    <x v="3"/>
    <x v="0"/>
    <d v="2025-11-24T00:00:00"/>
    <m/>
    <m/>
    <x v="1"/>
    <n v="19"/>
    <s v="John Rowie Del Rosario"/>
    <m/>
  </r>
  <r>
    <x v="443"/>
    <x v="0"/>
    <x v="2"/>
    <s v="CLFF_VMCA$$$CN10DB1002"/>
    <s v="P000001380"/>
    <s v="P000001380"/>
    <s v="LFF (MDG-F)"/>
    <s v="CN10DB1002"/>
    <m/>
    <b v="1"/>
    <x v="3"/>
    <x v="0"/>
    <d v="2025-11-24T00:00:00"/>
    <m/>
    <m/>
    <x v="1"/>
    <n v="19"/>
    <s v="John Rowie Del Rosario"/>
    <m/>
  </r>
  <r>
    <x v="443"/>
    <x v="0"/>
    <x v="2"/>
    <s v="CLFF_VMCA$$$CN10DB1004"/>
    <s v="P000001380"/>
    <s v="P000001380"/>
    <s v="LFF (MDG-F)"/>
    <s v="CN10DB1004"/>
    <m/>
    <b v="1"/>
    <x v="3"/>
    <x v="0"/>
    <d v="2025-11-24T00:00:00"/>
    <m/>
    <m/>
    <x v="1"/>
    <n v="19"/>
    <s v="John Rowie Del Rosario"/>
    <m/>
  </r>
  <r>
    <x v="443"/>
    <x v="0"/>
    <x v="2"/>
    <s v="CLFF_VMCA$$$CN09DB3303"/>
    <s v="P000001380"/>
    <s v="P000001380"/>
    <s v="LFF (MDG-F)"/>
    <s v="CN09DB3303"/>
    <m/>
    <b v="1"/>
    <x v="3"/>
    <x v="0"/>
    <d v="2025-11-24T00:00:00"/>
    <m/>
    <m/>
    <x v="1"/>
    <n v="19"/>
    <s v="John Rowie Del Rosario"/>
    <m/>
  </r>
  <r>
    <x v="443"/>
    <x v="0"/>
    <x v="2"/>
    <s v="CLFF_VMCA$$$CN09DB3305"/>
    <s v="P000001380"/>
    <s v="P000001380"/>
    <s v="LFF (MDG-F)"/>
    <s v="CN09DB3305"/>
    <m/>
    <b v="1"/>
    <x v="3"/>
    <x v="0"/>
    <d v="2025-11-24T00:00:00"/>
    <m/>
    <m/>
    <x v="1"/>
    <n v="19"/>
    <s v="John Rowie Del Rosario"/>
    <m/>
  </r>
  <r>
    <x v="443"/>
    <x v="0"/>
    <x v="2"/>
    <s v="CLFF_VMCA$$$CN09TQ1001"/>
    <s v="P000001380"/>
    <s v="P000001380"/>
    <s v="LFF (MDG-F)"/>
    <s v="CN09TQ1001"/>
    <m/>
    <b v="1"/>
    <x v="3"/>
    <x v="0"/>
    <d v="2025-11-24T00:00:00"/>
    <m/>
    <m/>
    <x v="1"/>
    <n v="19"/>
    <s v="John Rowie Del Rosario"/>
    <m/>
  </r>
  <r>
    <x v="443"/>
    <x v="0"/>
    <x v="2"/>
    <s v="CLFF_VMCA$$$CN09TQ1002"/>
    <s v="P000001380"/>
    <s v="P000001380"/>
    <s v="LFF (MDG-F)"/>
    <s v="CN09TQ1002"/>
    <m/>
    <b v="1"/>
    <x v="3"/>
    <x v="0"/>
    <d v="2025-11-24T00:00:00"/>
    <m/>
    <m/>
    <x v="1"/>
    <n v="19"/>
    <s v="John Rowie Del Rosario"/>
    <m/>
  </r>
  <r>
    <x v="443"/>
    <x v="0"/>
    <x v="2"/>
    <s v="CLFF_VMCA$$$CN09TQ1003"/>
    <s v="P000001380"/>
    <s v="P000001380"/>
    <s v="LFF (MDG-F)"/>
    <s v="CN09TQ1003"/>
    <m/>
    <b v="1"/>
    <x v="3"/>
    <x v="0"/>
    <d v="2025-11-24T00:00:00"/>
    <m/>
    <m/>
    <x v="1"/>
    <n v="19"/>
    <s v="John Rowie Del Rosario"/>
    <m/>
  </r>
  <r>
    <x v="443"/>
    <x v="0"/>
    <x v="2"/>
    <s v="CLFF_VMCA$$$CN09DB3309"/>
    <s v="P000001380"/>
    <s v="P000001380"/>
    <s v="LFF (MDG-F)"/>
    <s v="CN09DB3309"/>
    <m/>
    <b v="1"/>
    <x v="3"/>
    <x v="0"/>
    <d v="2025-11-24T00:00:00"/>
    <m/>
    <m/>
    <x v="1"/>
    <n v="19"/>
    <s v="John Rowie Del Rosario"/>
    <m/>
  </r>
  <r>
    <x v="443"/>
    <x v="0"/>
    <x v="2"/>
    <s v="CLFF_VMCA$$$CN09DB3300"/>
    <s v="P000001380"/>
    <s v="P000001380"/>
    <s v="LFF (MDG-F)"/>
    <s v="CN09DB3300"/>
    <m/>
    <b v="1"/>
    <x v="3"/>
    <x v="0"/>
    <d v="2025-11-24T00:00:00"/>
    <m/>
    <m/>
    <x v="1"/>
    <n v="19"/>
    <s v="John Rowie Del Rosario"/>
    <m/>
  </r>
  <r>
    <x v="443"/>
    <x v="0"/>
    <x v="2"/>
    <s v="CLFF_VMCA$$$CN09TM3000"/>
    <s v="P000001380"/>
    <s v="P000001380"/>
    <s v="LFF (MDG-F)"/>
    <s v="CN09TM3000"/>
    <m/>
    <b v="1"/>
    <x v="3"/>
    <x v="0"/>
    <d v="2025-11-24T00:00:00"/>
    <m/>
    <m/>
    <x v="1"/>
    <n v="19"/>
    <s v="John Rowie Del Rosario"/>
    <m/>
  </r>
  <r>
    <x v="443"/>
    <x v="0"/>
    <x v="2"/>
    <s v="CLFF_VMCA$$$CN09DB3301"/>
    <s v="P000001380"/>
    <s v="P000001380"/>
    <s v="LFF (MDG-F)"/>
    <s v="CN09DB3301"/>
    <m/>
    <b v="1"/>
    <x v="3"/>
    <x v="0"/>
    <d v="2025-11-24T00:00:00"/>
    <m/>
    <m/>
    <x v="1"/>
    <n v="19"/>
    <s v="John Rowie Del Rosario"/>
    <m/>
  </r>
  <r>
    <x v="443"/>
    <x v="0"/>
    <x v="2"/>
    <s v="CLFF_VMCA$$$CN09DB3307"/>
    <s v="P000001380"/>
    <s v="P000001380"/>
    <s v="LFF (MDG-F)"/>
    <s v="CN09DB3307"/>
    <m/>
    <b v="1"/>
    <x v="3"/>
    <x v="0"/>
    <d v="2025-11-24T00:00:00"/>
    <m/>
    <m/>
    <x v="1"/>
    <n v="19"/>
    <s v="John Rowie Del Rosario"/>
    <m/>
  </r>
  <r>
    <x v="444"/>
    <x v="0"/>
    <x v="2"/>
    <s v="PLEAN_X310511TN5013218 SMASEP MAVENCLAD"/>
    <s v="H000000286"/>
    <s v="H000000286"/>
    <s v="Non-LFF"/>
    <s v=""/>
    <m/>
    <b v="1"/>
    <x v="1"/>
    <x v="0"/>
    <d v="2025-11-24T00:00:00"/>
    <m/>
    <m/>
    <x v="1"/>
    <n v="19"/>
    <s v="Daniella Sasa"/>
    <m/>
  </r>
  <r>
    <x v="444"/>
    <x v="0"/>
    <x v="2"/>
    <s v="PLEAN_X310002TN5013200 FERT-NA-ESHRE"/>
    <s v="H000000262"/>
    <s v="H000000262"/>
    <s v="Non-LFF"/>
    <s v=""/>
    <m/>
    <b v="1"/>
    <x v="1"/>
    <x v="0"/>
    <d v="2025-11-24T00:00:00"/>
    <m/>
    <m/>
    <x v="1"/>
    <n v="19"/>
    <s v="Daniella Sasa"/>
    <m/>
  </r>
  <r>
    <x v="444"/>
    <x v="0"/>
    <x v="2"/>
    <s v="PLEAN_X310201MA5013200 Morocco Local congresses (MA50)"/>
    <s v="H000000286"/>
    <s v="H000000286"/>
    <s v="Non-LFF"/>
    <s v=""/>
    <m/>
    <b v="1"/>
    <x v="1"/>
    <x v="0"/>
    <d v="2025-11-24T00:00:00"/>
    <m/>
    <m/>
    <x v="1"/>
    <n v="19"/>
    <s v="Daniella Sasa"/>
    <m/>
  </r>
  <r>
    <x v="444"/>
    <x v="0"/>
    <x v="2"/>
    <s v="PLEAN_X310301MA5015200 Projet Maroc : Sobrus"/>
    <s v="H000000286"/>
    <s v="H000000286"/>
    <s v="Non-LFF"/>
    <s v=""/>
    <m/>
    <b v="1"/>
    <x v="1"/>
    <x v="0"/>
    <d v="2025-11-24T00:00:00"/>
    <m/>
    <m/>
    <x v="1"/>
    <n v="19"/>
    <s v="Daniella Sasa"/>
    <m/>
  </r>
  <r>
    <x v="444"/>
    <x v="0"/>
    <x v="2"/>
    <s v="PLEAN_X310511MA5013221 Merck event Neuro MA&amp;SA-fees"/>
    <s v="H000000286"/>
    <s v="H000000286"/>
    <s v="Non-LFF"/>
    <s v=""/>
    <m/>
    <b v="1"/>
    <x v="1"/>
    <x v="0"/>
    <d v="2025-11-24T00:00:00"/>
    <m/>
    <m/>
    <x v="1"/>
    <n v="19"/>
    <s v="Daniella Sasa"/>
    <m/>
  </r>
  <r>
    <x v="444"/>
    <x v="0"/>
    <x v="2"/>
    <s v="PLEAN_X310201TN6013221 SMART XXI Regional Standalone"/>
    <s v="H000000318"/>
    <s v="H000000318"/>
    <s v="Non-LFF"/>
    <s v=""/>
    <m/>
    <b v="1"/>
    <x v="1"/>
    <x v="0"/>
    <d v="2025-11-24T00:00:00"/>
    <m/>
    <m/>
    <x v="1"/>
    <n v="19"/>
    <s v="Daniella Sasa"/>
    <m/>
  </r>
  <r>
    <x v="445"/>
    <x v="0"/>
    <x v="2"/>
    <s v="PLEAN_X310802ZA5020505 MED  NON R&amp;D-ZA-CME-EDUCATION"/>
    <s v="H000000325"/>
    <s v="H000000325"/>
    <s v="Non-LFF"/>
    <s v=""/>
    <m/>
    <b v="1"/>
    <x v="4"/>
    <x v="0"/>
    <d v="2025-11-25T00:00:00"/>
    <m/>
    <m/>
    <x v="1"/>
    <n v="18"/>
    <s v="Kristel Joyce Manalese"/>
    <m/>
  </r>
  <r>
    <x v="445"/>
    <x v="0"/>
    <x v="2"/>
    <s v="PLEAN_X310801AE5015209 SP DIGITAL-Shared-AE"/>
    <s v="H000002956"/>
    <s v="H000002956"/>
    <s v="Non-LFF"/>
    <s v=""/>
    <m/>
    <b v="1"/>
    <x v="4"/>
    <x v="0"/>
    <d v="2025-11-25T00:00:00"/>
    <m/>
    <m/>
    <x v="1"/>
    <n v="18"/>
    <s v="Kristel Joyce Manalese"/>
    <m/>
  </r>
  <r>
    <x v="445"/>
    <x v="0"/>
    <x v="2"/>
    <s v="PLEAN_X310171DE6230104 1891_BY_V9_BAV_M&amp;S OTH"/>
    <s v="H000000254"/>
    <s v="H000000254"/>
    <s v="Non-LFF"/>
    <s v=""/>
    <m/>
    <b v="1"/>
    <x v="4"/>
    <x v="0"/>
    <d v="2025-11-25T00:00:00"/>
    <m/>
    <m/>
    <x v="1"/>
    <n v="18"/>
    <s v="Kristel Joyce Manalese"/>
    <m/>
  </r>
  <r>
    <x v="445"/>
    <x v="0"/>
    <x v="2"/>
    <s v="PLEAN_X310201AE5011203 SP ADVT-KW-FERT"/>
    <s v="H000002969"/>
    <s v="H000002969"/>
    <s v="Non-LFF"/>
    <s v=""/>
    <m/>
    <b v="1"/>
    <x v="4"/>
    <x v="0"/>
    <d v="2025-11-25T00:00:00"/>
    <m/>
    <m/>
    <x v="1"/>
    <n v="18"/>
    <s v="Kristel Joyce Manalese"/>
    <m/>
  </r>
  <r>
    <x v="446"/>
    <x v="0"/>
    <x v="2"/>
    <s v="CLFF_1000$$$ES50Y54321 GES BGL L&amp;D PDP"/>
    <s v="G000001450"/>
    <s v="G000001450"/>
    <s v="LFF (MDG-F)"/>
    <s v="ES50Y54321"/>
    <m/>
    <b v="1"/>
    <x v="0"/>
    <x v="0"/>
    <d v="2025-11-25T00:00:00"/>
    <m/>
    <m/>
    <x v="1"/>
    <n v="18"/>
    <s v="Jojeff Tagnong"/>
    <m/>
  </r>
  <r>
    <x v="446"/>
    <x v="0"/>
    <x v="2"/>
    <s v="CLFF_1000$$$IT50Y54321 GES BGL L&amp;D PDP"/>
    <s v="G000001450"/>
    <s v="G000001450"/>
    <s v="LFF (MDG-F)"/>
    <s v="IT50Y54321"/>
    <m/>
    <b v="1"/>
    <x v="0"/>
    <x v="0"/>
    <d v="2025-11-25T00:00:00"/>
    <m/>
    <m/>
    <x v="1"/>
    <n v="18"/>
    <s v="Jojeff Tagnong"/>
    <m/>
  </r>
  <r>
    <x v="446"/>
    <x v="0"/>
    <x v="2"/>
    <s v="CLFF_7210$$$2123Y54321 GES BGL L&amp;D PDP"/>
    <s v="G000001450"/>
    <s v="G000001450"/>
    <s v="LFF (MDG-F)"/>
    <s v="2123Y54321"/>
    <m/>
    <b v="1"/>
    <x v="0"/>
    <x v="0"/>
    <d v="2025-11-25T00:00:00"/>
    <m/>
    <m/>
    <x v="1"/>
    <n v="18"/>
    <s v="Jojeff Tagnong"/>
    <m/>
  </r>
  <r>
    <x v="446"/>
    <x v="0"/>
    <x v="2"/>
    <s v="CEMERAL_70006502GM4020 MBS FS ES L&amp;D PDP activities"/>
    <s v="G000001450"/>
    <s v="G000001450"/>
    <s v="Non-LFF"/>
    <s v=""/>
    <m/>
    <b v="1"/>
    <x v="0"/>
    <x v="0"/>
    <d v="2025-11-25T00:00:00"/>
    <m/>
    <m/>
    <x v="1"/>
    <n v="18"/>
    <s v="Jojeff Tagnong"/>
    <m/>
  </r>
  <r>
    <x v="446"/>
    <x v="0"/>
    <x v="2"/>
    <s v="CEMERAL_64016401GM4021 MBS FS ES L&amp;D PDP activities"/>
    <s v="G000001450"/>
    <s v="G000001450"/>
    <s v="Non-LFF"/>
    <s v=""/>
    <m/>
    <b v="1"/>
    <x v="0"/>
    <x v="0"/>
    <d v="2025-11-25T00:00:00"/>
    <m/>
    <m/>
    <x v="1"/>
    <n v="18"/>
    <s v="Jojeff Tagnong"/>
    <m/>
  </r>
  <r>
    <x v="447"/>
    <x v="0"/>
    <x v="2"/>
    <s v="CNOW_7210$$$0000040055 DxRM - R&amp;D Chemical Synthesis Lab SK"/>
    <s v="L000008415"/>
    <s v="L000008415"/>
    <s v="Non-LFF"/>
    <s v=""/>
    <m/>
    <b v="1"/>
    <x v="2"/>
    <x v="0"/>
    <d v="2025-11-25T00:00:00"/>
    <m/>
    <m/>
    <x v="1"/>
    <n v="18"/>
    <s v="Ruby Grace Garcia"/>
    <m/>
  </r>
  <r>
    <x v="448"/>
    <x v="0"/>
    <x v="2"/>
    <s v="CLFF_1000$$$DE10F27300"/>
    <s v="G000000847"/>
    <s v="G000000847"/>
    <s v="LFF (MDG-F)"/>
    <s v="DE10F27300"/>
    <m/>
    <b v="1"/>
    <x v="0"/>
    <x v="0"/>
    <d v="2025-11-27T00:00:00"/>
    <m/>
    <m/>
    <x v="1"/>
    <n v="16"/>
    <s v="Manuel Walther"/>
    <m/>
  </r>
  <r>
    <x v="448"/>
    <x v="0"/>
    <x v="2"/>
    <s v="CLFF_1000$$$DE10566115"/>
    <s v="G000000431"/>
    <s v="G000000431"/>
    <s v="LFF (MDG-F)"/>
    <s v="DE10566115"/>
    <m/>
    <b v="1"/>
    <x v="0"/>
    <x v="0"/>
    <d v="2025-11-27T00:00:00"/>
    <m/>
    <m/>
    <x v="1"/>
    <n v="16"/>
    <s v="Manuel Walther"/>
    <m/>
  </r>
  <r>
    <x v="448"/>
    <x v="0"/>
    <x v="2"/>
    <s v="CLFF_1000$$$DE10566116"/>
    <s v="G000000431"/>
    <s v="G000000431"/>
    <s v="LFF (MDG-F)"/>
    <s v="DE10566116"/>
    <m/>
    <b v="1"/>
    <x v="0"/>
    <x v="0"/>
    <d v="2025-11-27T00:00:00"/>
    <m/>
    <m/>
    <x v="1"/>
    <n v="16"/>
    <s v="Manuel Walther"/>
    <m/>
  </r>
  <r>
    <x v="448"/>
    <x v="0"/>
    <x v="2"/>
    <s v="CLFF_1000$$$DE10566118"/>
    <s v="G000000431"/>
    <s v="G000000431"/>
    <s v="LFF (MDG-F)"/>
    <s v="DE10566118"/>
    <m/>
    <b v="1"/>
    <x v="0"/>
    <x v="0"/>
    <d v="2025-11-27T00:00:00"/>
    <m/>
    <m/>
    <x v="1"/>
    <n v="16"/>
    <s v="Manuel Walther"/>
    <m/>
  </r>
  <r>
    <x v="448"/>
    <x v="0"/>
    <x v="2"/>
    <s v="CLFF_1000$$$DE10566120"/>
    <s v="G000000431"/>
    <s v="G000000431"/>
    <s v="LFF (MDG-F)"/>
    <s v="DE10566120"/>
    <m/>
    <b v="1"/>
    <x v="0"/>
    <x v="0"/>
    <d v="2025-11-27T00:00:00"/>
    <m/>
    <m/>
    <x v="1"/>
    <n v="16"/>
    <s v="Manuel Walther"/>
    <m/>
  </r>
  <r>
    <x v="448"/>
    <x v="0"/>
    <x v="2"/>
    <s v="CLFF_1000$$$DE10566121"/>
    <s v="G000000431"/>
    <s v="G000000431"/>
    <s v="LFF (MDG-F)"/>
    <s v="DE10566121"/>
    <m/>
    <b v="1"/>
    <x v="0"/>
    <x v="0"/>
    <d v="2025-11-27T00:00:00"/>
    <m/>
    <m/>
    <x v="1"/>
    <n v="16"/>
    <s v="Manuel Walther"/>
    <m/>
  </r>
  <r>
    <x v="448"/>
    <x v="0"/>
    <x v="2"/>
    <s v="CLFF_1000$$$DE10566122"/>
    <s v="G000000431"/>
    <s v="G000000431"/>
    <s v="LFF (MDG-F)"/>
    <s v="DE10566122"/>
    <m/>
    <b v="1"/>
    <x v="0"/>
    <x v="0"/>
    <d v="2025-11-27T00:00:00"/>
    <m/>
    <m/>
    <x v="1"/>
    <n v="16"/>
    <s v="Manuel Walther"/>
    <m/>
  </r>
  <r>
    <x v="448"/>
    <x v="0"/>
    <x v="2"/>
    <s v="CLFF_1000$$$DE10566125"/>
    <s v="G000000431"/>
    <s v="G000000431"/>
    <s v="LFF (MDG-F)"/>
    <s v="DE10566125"/>
    <m/>
    <b v="1"/>
    <x v="0"/>
    <x v="0"/>
    <d v="2025-11-27T00:00:00"/>
    <m/>
    <m/>
    <x v="1"/>
    <n v="16"/>
    <s v="Manuel Walther"/>
    <m/>
  </r>
  <r>
    <x v="448"/>
    <x v="0"/>
    <x v="2"/>
    <s v="CLFF_1000$$$DE10566127"/>
    <s v="G000000431"/>
    <s v="G000000431"/>
    <s v="LFF (MDG-F)"/>
    <s v="DE10566127"/>
    <m/>
    <b v="1"/>
    <x v="0"/>
    <x v="0"/>
    <d v="2025-11-27T00:00:00"/>
    <m/>
    <m/>
    <x v="1"/>
    <n v="16"/>
    <s v="Manuel Walther"/>
    <m/>
  </r>
  <r>
    <x v="448"/>
    <x v="0"/>
    <x v="2"/>
    <s v="CLFF_1000$$$DE10E16300"/>
    <s v="G000000847"/>
    <s v="G000000847"/>
    <s v="LFF (MDG-F)"/>
    <s v="DE10E16300"/>
    <m/>
    <b v="1"/>
    <x v="0"/>
    <x v="0"/>
    <d v="2025-11-27T00:00:00"/>
    <m/>
    <m/>
    <x v="1"/>
    <n v="16"/>
    <s v="Manuel Walther"/>
    <m/>
  </r>
  <r>
    <x v="448"/>
    <x v="0"/>
    <x v="2"/>
    <s v="CLFF_1000$$$DE10E16600"/>
    <s v="G000000847"/>
    <s v="G000000847"/>
    <s v="LFF (MDG-F)"/>
    <s v="DE10E16600"/>
    <m/>
    <b v="1"/>
    <x v="0"/>
    <x v="0"/>
    <d v="2025-11-27T00:00:00"/>
    <m/>
    <m/>
    <x v="1"/>
    <n v="16"/>
    <s v="Manuel Walther"/>
    <m/>
  </r>
  <r>
    <x v="448"/>
    <x v="0"/>
    <x v="2"/>
    <s v="CLFF_1000$$$DE10E38020"/>
    <s v="G000000847"/>
    <s v="G000000847"/>
    <s v="LFF (MDG-F)"/>
    <s v="DE10E38020"/>
    <m/>
    <b v="1"/>
    <x v="0"/>
    <x v="0"/>
    <d v="2025-11-27T00:00:00"/>
    <m/>
    <m/>
    <x v="1"/>
    <n v="16"/>
    <s v="Manuel Walther"/>
    <m/>
  </r>
  <r>
    <x v="448"/>
    <x v="0"/>
    <x v="2"/>
    <s v="CLFF_1000$$$DE10E38800"/>
    <s v="G000000848"/>
    <s v="G000000848"/>
    <s v="LFF (MDG-F)"/>
    <s v="DE10E38800"/>
    <m/>
    <b v="1"/>
    <x v="0"/>
    <x v="0"/>
    <d v="2025-11-27T00:00:00"/>
    <m/>
    <m/>
    <x v="1"/>
    <n v="16"/>
    <s v="Manuel Walther"/>
    <m/>
  </r>
  <r>
    <x v="448"/>
    <x v="0"/>
    <x v="2"/>
    <s v="CLFF_1000$$$DE10E38810"/>
    <s v="G000000847"/>
    <s v="G000000847"/>
    <s v="LFF (MDG-F)"/>
    <s v="DE10E38810"/>
    <m/>
    <b v="1"/>
    <x v="0"/>
    <x v="0"/>
    <d v="2025-11-27T00:00:00"/>
    <m/>
    <m/>
    <x v="1"/>
    <n v="16"/>
    <s v="Manuel Walther"/>
    <m/>
  </r>
  <r>
    <x v="448"/>
    <x v="0"/>
    <x v="2"/>
    <s v="CLFF_1000$$$DE10E61000"/>
    <s v="G000000847"/>
    <s v="G000000847"/>
    <s v="LFF (MDG-F)"/>
    <s v="DE10E61000"/>
    <m/>
    <b v="1"/>
    <x v="0"/>
    <x v="0"/>
    <d v="2025-11-27T00:00:00"/>
    <m/>
    <m/>
    <x v="1"/>
    <n v="16"/>
    <s v="Manuel Walther"/>
    <m/>
  </r>
  <r>
    <x v="448"/>
    <x v="0"/>
    <x v="2"/>
    <s v="CLFF_1000$$$DE10E61100"/>
    <s v="G000000847"/>
    <s v="G000000847"/>
    <s v="LFF (MDG-F)"/>
    <s v="DE10E61100"/>
    <m/>
    <b v="1"/>
    <x v="0"/>
    <x v="0"/>
    <d v="2025-11-27T00:00:00"/>
    <m/>
    <m/>
    <x v="1"/>
    <n v="16"/>
    <s v="Manuel Walther"/>
    <m/>
  </r>
  <r>
    <x v="448"/>
    <x v="0"/>
    <x v="2"/>
    <s v="CLFF_1000$$$DE10E61200"/>
    <s v="G000000847"/>
    <s v="G000000847"/>
    <s v="LFF (MDG-F)"/>
    <s v="DE10E61200"/>
    <m/>
    <b v="1"/>
    <x v="0"/>
    <x v="0"/>
    <d v="2025-11-27T00:00:00"/>
    <m/>
    <m/>
    <x v="1"/>
    <n v="16"/>
    <s v="Manuel Walther"/>
    <m/>
  </r>
  <r>
    <x v="448"/>
    <x v="0"/>
    <x v="2"/>
    <s v="CLFF_1000$$$DE10E61900"/>
    <s v="G000000847"/>
    <s v="G000000847"/>
    <s v="LFF (MDG-F)"/>
    <s v="DE10E61900"/>
    <m/>
    <b v="1"/>
    <x v="0"/>
    <x v="0"/>
    <d v="2025-11-27T00:00:00"/>
    <m/>
    <m/>
    <x v="1"/>
    <n v="16"/>
    <s v="Manuel Walther"/>
    <m/>
  </r>
  <r>
    <x v="448"/>
    <x v="0"/>
    <x v="2"/>
    <s v="CLFF_1000$$$DE10F11900"/>
    <s v="G000000847"/>
    <s v="G000000847"/>
    <s v="LFF (MDG-F)"/>
    <s v="DE10F11900"/>
    <m/>
    <b v="1"/>
    <x v="0"/>
    <x v="0"/>
    <d v="2025-11-27T00:00:00"/>
    <m/>
    <m/>
    <x v="1"/>
    <n v="16"/>
    <s v="Manuel Walther"/>
    <m/>
  </r>
  <r>
    <x v="448"/>
    <x v="0"/>
    <x v="2"/>
    <s v="CLFF_1000$$$DE10F16000"/>
    <s v="G000000848"/>
    <s v="G000000848"/>
    <s v="LFF (MDG-F)"/>
    <s v="DE10F16000"/>
    <m/>
    <b v="1"/>
    <x v="0"/>
    <x v="0"/>
    <d v="2025-11-27T00:00:00"/>
    <m/>
    <m/>
    <x v="1"/>
    <n v="16"/>
    <s v="Manuel Walther"/>
    <m/>
  </r>
  <r>
    <x v="448"/>
    <x v="0"/>
    <x v="2"/>
    <s v="CLFF_1000$$$DE10F16010"/>
    <s v="G000000847"/>
    <s v="G000000847"/>
    <s v="LFF (MDG-F)"/>
    <s v="DE10F16010"/>
    <m/>
    <b v="1"/>
    <x v="0"/>
    <x v="0"/>
    <d v="2025-11-27T00:00:00"/>
    <m/>
    <m/>
    <x v="1"/>
    <n v="16"/>
    <s v="Manuel Walther"/>
    <m/>
  </r>
  <r>
    <x v="448"/>
    <x v="0"/>
    <x v="2"/>
    <s v="CLFF_1000$$$DE10F16100"/>
    <s v="G000000847"/>
    <s v="G000000847"/>
    <s v="LFF (MDG-F)"/>
    <s v="DE10F16100"/>
    <m/>
    <b v="1"/>
    <x v="0"/>
    <x v="0"/>
    <d v="2025-11-27T00:00:00"/>
    <m/>
    <m/>
    <x v="1"/>
    <n v="16"/>
    <s v="Manuel Walther"/>
    <m/>
  </r>
  <r>
    <x v="448"/>
    <x v="0"/>
    <x v="2"/>
    <s v="CLFF_1000$$$DE10F16200"/>
    <s v="G000000847"/>
    <s v="G000000847"/>
    <s v="LFF (MDG-F)"/>
    <s v="DE10F16200"/>
    <m/>
    <b v="1"/>
    <x v="0"/>
    <x v="0"/>
    <d v="2025-11-27T00:00:00"/>
    <m/>
    <m/>
    <x v="1"/>
    <n v="16"/>
    <s v="Manuel Walther"/>
    <m/>
  </r>
  <r>
    <x v="448"/>
    <x v="0"/>
    <x v="2"/>
    <s v="CLFF_1000$$$DE10F16300"/>
    <s v="G000000847"/>
    <s v="G000000847"/>
    <s v="LFF (MDG-F)"/>
    <s v="DE10F16300"/>
    <m/>
    <b v="1"/>
    <x v="0"/>
    <x v="0"/>
    <d v="2025-11-27T00:00:00"/>
    <m/>
    <m/>
    <x v="1"/>
    <n v="16"/>
    <s v="Manuel Walther"/>
    <m/>
  </r>
  <r>
    <x v="448"/>
    <x v="0"/>
    <x v="2"/>
    <s v="CLFF_1000$$$DE10F16500"/>
    <s v="G000000847"/>
    <s v="G000000847"/>
    <s v="LFF (MDG-F)"/>
    <s v="DE10F16500"/>
    <m/>
    <b v="1"/>
    <x v="0"/>
    <x v="0"/>
    <d v="2025-11-27T00:00:00"/>
    <m/>
    <m/>
    <x v="1"/>
    <n v="16"/>
    <s v="Manuel Walther"/>
    <m/>
  </r>
  <r>
    <x v="448"/>
    <x v="0"/>
    <x v="2"/>
    <s v="CLFF_1000$$$DE10F16600"/>
    <s v="G000000847"/>
    <s v="G000000847"/>
    <s v="LFF (MDG-F)"/>
    <s v="DE10F16600"/>
    <m/>
    <b v="1"/>
    <x v="0"/>
    <x v="0"/>
    <d v="2025-11-27T00:00:00"/>
    <m/>
    <m/>
    <x v="1"/>
    <n v="16"/>
    <s v="Manuel Walther"/>
    <m/>
  </r>
  <r>
    <x v="448"/>
    <x v="0"/>
    <x v="2"/>
    <s v="CLFF_1000$$$DE10F16700"/>
    <s v="G000000847"/>
    <s v="G000000847"/>
    <s v="LFF (MDG-F)"/>
    <s v="DE10F16700"/>
    <m/>
    <b v="1"/>
    <x v="0"/>
    <x v="0"/>
    <d v="2025-11-27T00:00:00"/>
    <m/>
    <m/>
    <x v="1"/>
    <n v="16"/>
    <s v="Manuel Walther"/>
    <m/>
  </r>
  <r>
    <x v="448"/>
    <x v="0"/>
    <x v="2"/>
    <s v="CLFF_1000$$$DE10F27301"/>
    <s v="G000000848"/>
    <s v="G000000848"/>
    <s v="LFF (MDG-F)"/>
    <s v="DE10F27301"/>
    <m/>
    <b v="1"/>
    <x v="0"/>
    <x v="0"/>
    <d v="2025-11-27T00:00:00"/>
    <m/>
    <m/>
    <x v="1"/>
    <n v="16"/>
    <s v="Manuel Walther"/>
    <m/>
  </r>
  <r>
    <x v="448"/>
    <x v="0"/>
    <x v="2"/>
    <s v="CLFF_1000$$$DE10E09200"/>
    <s v="G000000848"/>
    <s v="G000000848"/>
    <s v="LFF (MDG-F)"/>
    <s v="DE10E09200"/>
    <m/>
    <b v="1"/>
    <x v="0"/>
    <x v="0"/>
    <d v="2025-11-27T00:00:00"/>
    <m/>
    <m/>
    <x v="1"/>
    <n v="16"/>
    <s v="Manuel Walther"/>
    <m/>
  </r>
  <r>
    <x v="448"/>
    <x v="0"/>
    <x v="2"/>
    <s v="CLFF_1000$$$DE10E47200"/>
    <s v="G000000847"/>
    <s v="G000000847"/>
    <s v="LFF (MDG-F)"/>
    <s v="DE10E47200"/>
    <m/>
    <b v="1"/>
    <x v="0"/>
    <x v="0"/>
    <d v="2025-11-27T00:00:00"/>
    <m/>
    <m/>
    <x v="1"/>
    <n v="16"/>
    <s v="Manuel Walther"/>
    <m/>
  </r>
  <r>
    <x v="448"/>
    <x v="0"/>
    <x v="2"/>
    <s v="CLFF_1000$$$DE10F10600"/>
    <s v="G000000847"/>
    <s v="G000000847"/>
    <s v="LFF (MDG-F)"/>
    <s v="DE10F10600"/>
    <m/>
    <b v="1"/>
    <x v="0"/>
    <x v="0"/>
    <d v="2025-11-27T00:00:00"/>
    <m/>
    <m/>
    <x v="1"/>
    <n v="16"/>
    <s v="Manuel Walther"/>
    <m/>
  </r>
  <r>
    <x v="448"/>
    <x v="0"/>
    <x v="2"/>
    <s v="CLFF_1000$$$DE10F10900"/>
    <s v="G000000847"/>
    <s v="G000000847"/>
    <s v="LFF (MDG-F)"/>
    <s v="DE10F10900"/>
    <m/>
    <b v="1"/>
    <x v="0"/>
    <x v="0"/>
    <d v="2025-11-27T00:00:00"/>
    <m/>
    <m/>
    <x v="1"/>
    <n v="16"/>
    <s v="Manuel Walther"/>
    <m/>
  </r>
  <r>
    <x v="448"/>
    <x v="0"/>
    <x v="2"/>
    <s v="CLFF_1000$$$DE10F15400"/>
    <s v="G000000848"/>
    <s v="G000000848"/>
    <s v="LFF (MDG-F)"/>
    <s v="DE10F15400"/>
    <m/>
    <b v="1"/>
    <x v="0"/>
    <x v="0"/>
    <d v="2025-11-27T00:00:00"/>
    <m/>
    <m/>
    <x v="1"/>
    <n v="16"/>
    <s v="Manuel Walther"/>
    <m/>
  </r>
  <r>
    <x v="448"/>
    <x v="0"/>
    <x v="2"/>
    <s v="CLFF_1000$$$DE10F15410"/>
    <s v="G000000847"/>
    <s v="G000000847"/>
    <s v="LFF (MDG-F)"/>
    <s v="DE10F15410"/>
    <m/>
    <b v="1"/>
    <x v="0"/>
    <x v="0"/>
    <d v="2025-11-27T00:00:00"/>
    <m/>
    <m/>
    <x v="1"/>
    <n v="16"/>
    <s v="Manuel Walther"/>
    <m/>
  </r>
  <r>
    <x v="449"/>
    <x v="0"/>
    <x v="2"/>
    <s v="CLFF_1000$$$SG09OF0504 Customer Service &amp; Material Planning"/>
    <s v="P000001349"/>
    <s v="P000001349"/>
    <s v="LFF (MDG-F)"/>
    <s v="SG09OF0504"/>
    <s v="P000001349"/>
    <b v="1"/>
    <x v="3"/>
    <x v="0"/>
    <d v="2025-11-28T00:00:00"/>
    <m/>
    <m/>
    <x v="1"/>
    <n v="15"/>
    <s v="John Rowie Del Rosario"/>
    <m/>
  </r>
  <r>
    <x v="449"/>
    <x v="0"/>
    <x v="2"/>
    <s v="CLFF_1000$$$TW02OF0321 Customer Services"/>
    <s v="P000001349"/>
    <s v="P000001349"/>
    <s v="LFF (MDG-F)"/>
    <s v="TW02OF0321"/>
    <s v="P000001349"/>
    <b v="1"/>
    <x v="3"/>
    <x v="0"/>
    <d v="2025-11-28T00:00:00"/>
    <m/>
    <m/>
    <x v="1"/>
    <n v="15"/>
    <s v="John Rowie Del Rosario"/>
    <m/>
  </r>
  <r>
    <x v="449"/>
    <x v="0"/>
    <x v="2"/>
    <s v="CLFF_1000$$$TW02OF0322 Customer Service_Semiconductor"/>
    <s v="P000001349"/>
    <s v="P000001349"/>
    <s v="LFF (MDG-F)"/>
    <s v="TW02OF0322"/>
    <s v="P000001349"/>
    <b v="1"/>
    <x v="3"/>
    <x v="0"/>
    <d v="2025-11-28T00:00:00"/>
    <m/>
    <m/>
    <x v="1"/>
    <n v="15"/>
    <s v="John Rowie Del Rosario"/>
    <m/>
  </r>
  <r>
    <x v="449"/>
    <x v="0"/>
    <x v="2"/>
    <s v="CLFF_VMCA$$$SG10DB3305 Singapore Customer Service"/>
    <s v="P000001349"/>
    <s v="P000001349"/>
    <s v="LFF (MDG-F)"/>
    <s v="SG10DB3305"/>
    <s v="P000001349"/>
    <b v="1"/>
    <x v="3"/>
    <x v="0"/>
    <d v="2025-11-28T00:00:00"/>
    <m/>
    <m/>
    <x v="1"/>
    <n v="15"/>
    <s v="John Rowie Del Rosario"/>
    <m/>
  </r>
  <r>
    <x v="449"/>
    <x v="0"/>
    <x v="2"/>
    <s v="CLFF_VMCA$$$TW10DB3308 Taiwan Customer Service"/>
    <s v="P000001349"/>
    <s v="P000001349"/>
    <s v="LFF (MDG-F)"/>
    <s v="TW10DB3308"/>
    <s v="P000001349"/>
    <b v="1"/>
    <x v="3"/>
    <x v="0"/>
    <d v="2025-11-28T00:00:00"/>
    <m/>
    <m/>
    <x v="1"/>
    <n v="15"/>
    <s v="John Rowie Del Rosario"/>
    <m/>
  </r>
  <r>
    <x v="449"/>
    <x v="0"/>
    <x v="2"/>
    <s v="CLFF_1000$$$SG09TPX001 ACW 3PL Warehouse"/>
    <s v="P000001346"/>
    <s v="P000001346"/>
    <s v="LFF (MDG-F)"/>
    <s v="SG09TPX001"/>
    <s v="P000001346"/>
    <b v="1"/>
    <x v="3"/>
    <x v="0"/>
    <d v="2025-11-28T00:00:00"/>
    <m/>
    <m/>
    <x v="1"/>
    <n v="15"/>
    <s v="John Rowie Del Rosario"/>
    <m/>
  </r>
  <r>
    <x v="449"/>
    <x v="0"/>
    <x v="2"/>
    <s v="CLFF_VMCA$$$MY10DB3301 MY10 3PL Cylinder Storage"/>
    <s v="P000001346"/>
    <s v="P000001346"/>
    <s v="LFF (MDG-F)"/>
    <s v="MY10DB3301"/>
    <s v="P000001346"/>
    <b v="1"/>
    <x v="3"/>
    <x v="0"/>
    <d v="2025-11-28T00:00:00"/>
    <m/>
    <m/>
    <x v="1"/>
    <n v="15"/>
    <s v="John Rowie Del Rosario"/>
    <m/>
  </r>
  <r>
    <x v="449"/>
    <x v="0"/>
    <x v="2"/>
    <s v="CLFF_VMCA$$$SG10DB3300 Tuas Warehouse"/>
    <s v="P000001346"/>
    <s v="P000001346"/>
    <s v="LFF (MDG-F)"/>
    <s v="SG10DB3300"/>
    <s v="P000001346"/>
    <b v="1"/>
    <x v="3"/>
    <x v="0"/>
    <d v="2025-11-28T00:00:00"/>
    <m/>
    <m/>
    <x v="1"/>
    <n v="15"/>
    <s v="John Rowie Del Rosario"/>
    <m/>
  </r>
  <r>
    <x v="449"/>
    <x v="0"/>
    <x v="2"/>
    <s v="CLFF_VMCA$$$SG10DB3301 SG10 PTC 3PL Warehouse"/>
    <s v="P000001346"/>
    <s v="P000001346"/>
    <s v="LFF (MDG-F)"/>
    <s v="SG10DB3301"/>
    <s v="P000001346"/>
    <b v="1"/>
    <x v="3"/>
    <x v="0"/>
    <d v="2025-11-28T00:00:00"/>
    <m/>
    <m/>
    <x v="1"/>
    <n v="15"/>
    <s v="John Rowie Del Rosario"/>
    <m/>
  </r>
  <r>
    <x v="449"/>
    <x v="0"/>
    <x v="2"/>
    <s v="CLFF_VMCA$$$SG10DB3302 SG10 Asia Industrial Gases 3PL Warehouse"/>
    <s v="P000001346"/>
    <s v="P000001346"/>
    <s v="LFF (MDG-F)"/>
    <s v="SG10DB3302"/>
    <s v="P000001346"/>
    <b v="1"/>
    <x v="3"/>
    <x v="0"/>
    <d v="2025-11-28T00:00:00"/>
    <m/>
    <m/>
    <x v="1"/>
    <n v="15"/>
    <s v="John Rowie Del Rosario"/>
    <m/>
  </r>
  <r>
    <x v="449"/>
    <x v="0"/>
    <x v="2"/>
    <s v="CLFF_VMCA$$$TW10DB3303 Taichung Warehouse"/>
    <s v="P000001346"/>
    <s v="P000001346"/>
    <s v="LFF (MDG-F)"/>
    <s v="TW10DB3303"/>
    <s v="P000001346"/>
    <b v="1"/>
    <x v="3"/>
    <x v="0"/>
    <d v="2025-11-28T00:00:00"/>
    <m/>
    <m/>
    <x v="1"/>
    <n v="15"/>
    <s v="John Rowie Del Rosario"/>
    <m/>
  </r>
  <r>
    <x v="449"/>
    <x v="0"/>
    <x v="2"/>
    <s v="CLFF_VMCA$$$TW10DB3307 CTW Qionglin 3PL Warehouse"/>
    <s v="P000001346"/>
    <s v="P000001346"/>
    <s v="LFF (MDG-F)"/>
    <s v="TW10DB3307"/>
    <s v="P000001346"/>
    <b v="1"/>
    <x v="3"/>
    <x v="0"/>
    <d v="2025-11-28T00:00:00"/>
    <m/>
    <m/>
    <x v="1"/>
    <n v="15"/>
    <s v="John Rowie Del Rosario"/>
    <m/>
  </r>
  <r>
    <x v="449"/>
    <x v="0"/>
    <x v="2"/>
    <s v="CLFF_VMCA$$$TW10TQ1001 Tainan Rinchem 3PL Warehouse"/>
    <s v="P000001346"/>
    <s v="P000001346"/>
    <s v="LFF (MDG-F)"/>
    <s v="TW10TQ1001"/>
    <s v="P000001346"/>
    <b v="1"/>
    <x v="3"/>
    <x v="0"/>
    <d v="2025-11-28T00:00:00"/>
    <m/>
    <m/>
    <x v="1"/>
    <n v="15"/>
    <s v="John Rowie Del Rosario"/>
    <m/>
  </r>
  <r>
    <x v="449"/>
    <x v="0"/>
    <x v="2"/>
    <s v="CLFF_VMCA$$$TW10TQ1002 Hsinchu Leemark Logistics 3PL WH"/>
    <s v="P000001346"/>
    <s v="P000001346"/>
    <s v="LFF (MDG-F)"/>
    <s v="TW10TQ1002"/>
    <s v="P000001346"/>
    <b v="1"/>
    <x v="3"/>
    <x v="0"/>
    <d v="2025-11-28T00:00:00"/>
    <m/>
    <m/>
    <x v="1"/>
    <n v="15"/>
    <s v="John Rowie Del Rosario"/>
    <m/>
  </r>
  <r>
    <x v="449"/>
    <x v="0"/>
    <x v="2"/>
    <s v="CLFF_VMCA$$$TW10TQ1003"/>
    <s v="P000001346"/>
    <s v="P000001346"/>
    <s v="LFF (MDG-F)"/>
    <s v="TW10TQ1003"/>
    <s v="P000001346"/>
    <b v="1"/>
    <x v="3"/>
    <x v="0"/>
    <d v="2025-11-28T00:00:00"/>
    <m/>
    <m/>
    <x v="1"/>
    <n v="15"/>
    <s v="John Rowie Del Rosario"/>
    <m/>
  </r>
  <r>
    <x v="449"/>
    <x v="0"/>
    <x v="2"/>
    <s v="CLFF_VMCA$$$TW91DB3301 TW91 Tainan Warehouse"/>
    <s v="P000001346"/>
    <s v="P000001346"/>
    <s v="LFF (MDG-F)"/>
    <s v="TW91DB3301"/>
    <s v="P000001346"/>
    <b v="1"/>
    <x v="3"/>
    <x v="0"/>
    <d v="2025-11-28T00:00:00"/>
    <m/>
    <m/>
    <x v="1"/>
    <n v="15"/>
    <s v="John Rowie Del Rosario"/>
    <m/>
  </r>
  <r>
    <x v="449"/>
    <x v="0"/>
    <x v="2"/>
    <s v="CLFF_VMCA$$$TW91TQ1001 CTW Qionglin Warehouse"/>
    <s v="P000001346"/>
    <s v="P000001346"/>
    <s v="LFF (MDG-F)"/>
    <s v="TW91TQ1001"/>
    <s v="P000001346"/>
    <b v="1"/>
    <x v="3"/>
    <x v="0"/>
    <d v="2025-11-28T00:00:00"/>
    <m/>
    <m/>
    <x v="1"/>
    <n v="15"/>
    <s v="John Rowie Del Rosario"/>
    <m/>
  </r>
  <r>
    <x v="449"/>
    <x v="0"/>
    <x v="2"/>
    <s v="CLFF_VMCA$$$TW91TQ1002 Sanfu Chemical Warehouse"/>
    <s v="P000001346"/>
    <s v="P000001346"/>
    <s v="LFF (MDG-F)"/>
    <s v="TW91TQ1002"/>
    <s v="P000001346"/>
    <b v="1"/>
    <x v="3"/>
    <x v="0"/>
    <d v="2025-11-28T00:00:00"/>
    <m/>
    <m/>
    <x v="1"/>
    <n v="15"/>
    <s v="John Rowie Del Rosario"/>
    <m/>
  </r>
  <r>
    <x v="449"/>
    <x v="0"/>
    <x v="2"/>
    <s v="CLFF_VMCA$$$MY10TQ1000"/>
    <s v="P000001346"/>
    <s v="P000001346"/>
    <s v="LFF (MDG-F)"/>
    <s v="MY10TQ1000"/>
    <s v="P000001346"/>
    <b v="1"/>
    <x v="3"/>
    <x v="0"/>
    <d v="2025-11-28T00:00:00"/>
    <m/>
    <m/>
    <x v="1"/>
    <n v="15"/>
    <s v="John Rowie Del Rosario"/>
    <m/>
  </r>
  <r>
    <x v="449"/>
    <x v="0"/>
    <x v="4"/>
    <s v="CLFF_VMCA$$$SG10TQ1001"/>
    <s v="P000001346"/>
    <n v="0"/>
    <s v="LFF (MDG-F)"/>
    <s v="SG10TQ1001"/>
    <s v="P000001346"/>
    <b v="0"/>
    <x v="3"/>
    <x v="0"/>
    <d v="2025-11-28T00:00:00"/>
    <m/>
    <m/>
    <x v="1"/>
    <n v="15"/>
    <s v="John Rowie Del Rosario"/>
    <m/>
  </r>
  <r>
    <x v="449"/>
    <x v="0"/>
    <x v="4"/>
    <s v="CLFF_VMCA$$$SG10TQ1002"/>
    <s v="P000001346"/>
    <n v="0"/>
    <s v="LFF (MDG-F)"/>
    <s v="SG10TQ1002"/>
    <s v="P000001346"/>
    <b v="0"/>
    <x v="3"/>
    <x v="0"/>
    <d v="2025-11-28T00:00:00"/>
    <m/>
    <m/>
    <x v="1"/>
    <n v="15"/>
    <s v="John Rowie Del Rosario"/>
    <m/>
  </r>
  <r>
    <x v="449"/>
    <x v="0"/>
    <x v="4"/>
    <s v="CLFF_VMCA$$$SG10TQ1003"/>
    <s v="P000001346"/>
    <n v="0"/>
    <s v="LFF (MDG-F)"/>
    <s v="SG10TQ1003"/>
    <s v="P000001346"/>
    <b v="0"/>
    <x v="3"/>
    <x v="0"/>
    <d v="2025-11-28T00:00:00"/>
    <m/>
    <m/>
    <x v="1"/>
    <n v="15"/>
    <s v="John Rowie Del Rosario"/>
    <m/>
  </r>
  <r>
    <x v="449"/>
    <x v="0"/>
    <x v="2"/>
    <s v="CLFF_1000$$$TW02TPHZ06"/>
    <s v="P000001346"/>
    <s v="P000001346"/>
    <s v="LFF (MDG-F)"/>
    <s v="TW02TPHZ06"/>
    <s v="P000001346"/>
    <b v="1"/>
    <x v="3"/>
    <x v="0"/>
    <d v="2025-11-28T00:00:00"/>
    <m/>
    <m/>
    <x v="1"/>
    <n v="15"/>
    <s v="John Rowie Del Rosario"/>
    <m/>
  </r>
  <r>
    <x v="449"/>
    <x v="0"/>
    <x v="2"/>
    <s v="CLFF_VMCA$$$TW10TQ1004"/>
    <s v="P000001346"/>
    <s v="P000001346"/>
    <s v="LFF (MDG-F)"/>
    <s v="TW10TQ1004"/>
    <s v="P000001346"/>
    <b v="1"/>
    <x v="3"/>
    <x v="0"/>
    <d v="2025-11-28T00:00:00"/>
    <m/>
    <m/>
    <x v="1"/>
    <n v="15"/>
    <s v="John Rowie Del Rosario"/>
    <m/>
  </r>
  <r>
    <x v="449"/>
    <x v="0"/>
    <x v="2"/>
    <s v="CLFF_VMCA$$$TW10TQ1005"/>
    <s v="P000001346"/>
    <s v="P000001346"/>
    <s v="LFF (MDG-F)"/>
    <s v="TW10TQ1005"/>
    <s v="P000001346"/>
    <b v="1"/>
    <x v="3"/>
    <x v="0"/>
    <d v="2025-11-28T00:00:00"/>
    <m/>
    <m/>
    <x v="1"/>
    <n v="15"/>
    <s v="John Rowie Del Rosario"/>
    <m/>
  </r>
  <r>
    <x v="449"/>
    <x v="0"/>
    <x v="2"/>
    <s v="CLFF_VMCA$$$TW10TQ1006"/>
    <s v="P000001346"/>
    <s v="P000001346"/>
    <s v="LFF (MDG-F)"/>
    <s v="TW10TQ1006"/>
    <s v="P000001346"/>
    <b v="1"/>
    <x v="3"/>
    <x v="0"/>
    <d v="2025-11-28T00:00:00"/>
    <m/>
    <m/>
    <x v="1"/>
    <n v="15"/>
    <s v="John Rowie Del Rosario"/>
    <m/>
  </r>
  <r>
    <x v="449"/>
    <x v="0"/>
    <x v="2"/>
    <s v="CLFF_1000$$$SG09TPX003 Outbound Freight"/>
    <s v="P000001344"/>
    <s v="P000001344"/>
    <s v="LFF (MDG-F)"/>
    <s v="SG09TPX003"/>
    <s v="P000001344"/>
    <b v="1"/>
    <x v="3"/>
    <x v="0"/>
    <d v="2025-11-28T00:00:00"/>
    <m/>
    <m/>
    <x v="1"/>
    <n v="15"/>
    <s v="John Rowie Del Rosario"/>
    <m/>
  </r>
  <r>
    <x v="449"/>
    <x v="0"/>
    <x v="2"/>
    <s v="CLFF_1000$$$TW02TPHZ21 Outbound freight_PMD_Hsinchu"/>
    <s v="P000001344"/>
    <s v="P000001344"/>
    <s v="LFF (MDG-F)"/>
    <s v="TW02TPHZ21"/>
    <s v="P000001344"/>
    <b v="1"/>
    <x v="3"/>
    <x v="0"/>
    <d v="2025-11-28T00:00:00"/>
    <m/>
    <m/>
    <x v="1"/>
    <n v="15"/>
    <s v="John Rowie Del Rosario"/>
    <m/>
  </r>
  <r>
    <x v="449"/>
    <x v="0"/>
    <x v="2"/>
    <s v="CLFF_1000$$$TW02TPHZ22 Outbound freight_PMI_Hsinchu"/>
    <s v="P000001344"/>
    <s v="P000001344"/>
    <s v="LFF (MDG-F)"/>
    <s v="TW02TPHZ22"/>
    <s v="P000001344"/>
    <b v="1"/>
    <x v="3"/>
    <x v="0"/>
    <d v="2025-11-28T00:00:00"/>
    <m/>
    <m/>
    <x v="1"/>
    <n v="15"/>
    <s v="John Rowie Del Rosario"/>
    <m/>
  </r>
  <r>
    <x v="449"/>
    <x v="0"/>
    <x v="2"/>
    <s v="CLFF_1000$$$TW02TPHZ23 Outbound freight_Asia Hub"/>
    <s v="P000001344"/>
    <s v="P000001344"/>
    <s v="LFF (MDG-F)"/>
    <s v="TW02TPHZ23"/>
    <s v="P000001344"/>
    <b v="1"/>
    <x v="3"/>
    <x v="0"/>
    <d v="2025-11-28T00:00:00"/>
    <m/>
    <m/>
    <x v="1"/>
    <n v="15"/>
    <s v="John Rowie Del Rosario"/>
    <m/>
  </r>
  <r>
    <x v="449"/>
    <x v="0"/>
    <x v="2"/>
    <s v="CLFF_1000$$$TW02TPTA21 Outbound freight_PMD_Taoyuan"/>
    <s v="P000001344"/>
    <s v="P000001344"/>
    <s v="LFF (MDG-F)"/>
    <s v="TW02TPTA21"/>
    <s v="P000001344"/>
    <b v="1"/>
    <x v="3"/>
    <x v="0"/>
    <d v="2025-11-28T00:00:00"/>
    <m/>
    <m/>
    <x v="1"/>
    <n v="15"/>
    <s v="John Rowie Del Rosario"/>
    <m/>
  </r>
  <r>
    <x v="449"/>
    <x v="0"/>
    <x v="2"/>
    <s v="CLFF_1000$$$TW02TPTA22 Outbound freight_PMA_Taoyuan"/>
    <s v="P000001344"/>
    <s v="P000001344"/>
    <s v="LFF (MDG-F)"/>
    <s v="TW02TPTA22"/>
    <s v="P000001344"/>
    <b v="1"/>
    <x v="3"/>
    <x v="0"/>
    <d v="2025-11-28T00:00:00"/>
    <m/>
    <m/>
    <x v="1"/>
    <n v="15"/>
    <s v="John Rowie Del Rosario"/>
    <m/>
  </r>
  <r>
    <x v="449"/>
    <x v="0"/>
    <x v="2"/>
    <s v="CLFF_1000$$$TW03TQKZ22 Outbound freight_PMI_Kaohsiung"/>
    <s v="P000001344"/>
    <s v="P000001344"/>
    <s v="LFF (MDG-F)"/>
    <s v="TW03TQKZ22"/>
    <s v="P000001344"/>
    <b v="1"/>
    <x v="3"/>
    <x v="0"/>
    <d v="2025-11-28T00:00:00"/>
    <m/>
    <m/>
    <x v="1"/>
    <n v="15"/>
    <s v="John Rowie Del Rosario"/>
    <m/>
  </r>
  <r>
    <x v="449"/>
    <x v="0"/>
    <x v="2"/>
    <s v="CLFF_1000$$$SG09TPX004 SG09 Customer Fulfillment Admin Mgmt"/>
    <s v="P000001347"/>
    <s v="P000001347"/>
    <s v="LFF (MDG-F)"/>
    <s v="SG09TPX004"/>
    <s v="P000001347"/>
    <b v="1"/>
    <x v="3"/>
    <x v="0"/>
    <d v="2025-11-28T00:00:00"/>
    <m/>
    <m/>
    <x v="1"/>
    <n v="15"/>
    <s v="John Rowie Del Rosario"/>
    <m/>
  </r>
  <r>
    <x v="449"/>
    <x v="0"/>
    <x v="2"/>
    <s v="CLFF_1000$$$TW02TQMZ02 Transportation Management"/>
    <s v="P000001347"/>
    <s v="P000001347"/>
    <s v="LFF (MDG-F)"/>
    <s v="TW02TQMZ02"/>
    <s v="P000001347"/>
    <b v="1"/>
    <x v="3"/>
    <x v="0"/>
    <d v="2025-11-28T00:00:00"/>
    <m/>
    <m/>
    <x v="1"/>
    <n v="15"/>
    <s v="John Rowie Del Rosario"/>
    <m/>
  </r>
  <r>
    <x v="449"/>
    <x v="0"/>
    <x v="2"/>
    <s v="CLFF_1000$$$TW03TQKZ12 Transportation Management"/>
    <s v="P000001347"/>
    <s v="P000001347"/>
    <s v="LFF (MDG-F)"/>
    <s v="TW03TQKZ12"/>
    <s v="P000001347"/>
    <b v="1"/>
    <x v="3"/>
    <x v="0"/>
    <d v="2025-11-28T00:00:00"/>
    <m/>
    <m/>
    <x v="1"/>
    <n v="15"/>
    <s v="John Rowie Del Rosario"/>
    <m/>
  </r>
  <r>
    <x v="449"/>
    <x v="0"/>
    <x v="2"/>
    <s v="CLFF_VMCA$$$MY10DB3300 Malaysia DIstribution"/>
    <s v="P000001347"/>
    <s v="P000001347"/>
    <s v="LFF (MDG-F)"/>
    <s v="MY10DB3300"/>
    <s v="P000001347"/>
    <b v="1"/>
    <x v="3"/>
    <x v="0"/>
    <d v="2025-11-28T00:00:00"/>
    <m/>
    <m/>
    <x v="1"/>
    <n v="15"/>
    <s v="John Rowie Del Rosario"/>
    <m/>
  </r>
  <r>
    <x v="449"/>
    <x v="0"/>
    <x v="2"/>
    <s v="CLFF_VMCA$$$SG10TM3000 SG10 Customer Fulfillment Admin Mgmt"/>
    <s v="P000001347"/>
    <s v="P000001347"/>
    <s v="LFF (MDG-F)"/>
    <s v="SG10TM3000"/>
    <s v="P000001347"/>
    <b v="1"/>
    <x v="3"/>
    <x v="0"/>
    <d v="2025-11-28T00:00:00"/>
    <m/>
    <m/>
    <x v="1"/>
    <n v="15"/>
    <s v="John Rowie Del Rosario"/>
    <m/>
  </r>
  <r>
    <x v="449"/>
    <x v="0"/>
    <x v="2"/>
    <s v="CLFF_VMCA$$$TW10DB3300 TW Transportation Management"/>
    <s v="P000001347"/>
    <s v="P000001347"/>
    <s v="LFF (MDG-F)"/>
    <s v="TW10DB3300"/>
    <s v="P000001347"/>
    <b v="1"/>
    <x v="3"/>
    <x v="0"/>
    <d v="2025-11-28T00:00:00"/>
    <m/>
    <m/>
    <x v="1"/>
    <n v="15"/>
    <s v="John Rowie Del Rosario"/>
    <m/>
  </r>
  <r>
    <x v="449"/>
    <x v="0"/>
    <x v="2"/>
    <s v="CLFF_VMCA$$$TW10DB3301 TW10 Customs/Duties Spec Gas"/>
    <s v="P000001348"/>
    <s v="P000001348"/>
    <s v="LFF (MDG-F)"/>
    <s v="TW10DB3301"/>
    <s v="P000001348"/>
    <b v="1"/>
    <x v="3"/>
    <x v="0"/>
    <d v="2025-11-28T00:00:00"/>
    <m/>
    <m/>
    <x v="1"/>
    <n v="15"/>
    <s v="John Rowie Del Rosario"/>
    <m/>
  </r>
  <r>
    <x v="449"/>
    <x v="0"/>
    <x v="2"/>
    <s v="CLFF_VMCA$$$TW10DB3305 AM Transportation"/>
    <s v="P000001348"/>
    <s v="P000001348"/>
    <s v="LFF (MDG-F)"/>
    <s v="TW10DB3305"/>
    <s v="P000001348"/>
    <b v="1"/>
    <x v="3"/>
    <x v="0"/>
    <d v="2025-11-28T00:00:00"/>
    <m/>
    <m/>
    <x v="1"/>
    <n v="15"/>
    <s v="John Rowie Del Rosario"/>
    <m/>
  </r>
  <r>
    <x v="449"/>
    <x v="0"/>
    <x v="2"/>
    <s v="CLFF_VMCA$$$MY10TM4000"/>
    <s v="P000001348"/>
    <s v="P000001348"/>
    <s v="LFF (MDG-F)"/>
    <s v="MY10TM4000"/>
    <s v="P000001348"/>
    <b v="1"/>
    <x v="3"/>
    <x v="0"/>
    <d v="2025-11-28T00:00:00"/>
    <m/>
    <m/>
    <x v="1"/>
    <n v="15"/>
    <s v="John Rowie Del Rosario"/>
    <m/>
  </r>
  <r>
    <x v="449"/>
    <x v="0"/>
    <x v="2"/>
    <s v="CLFF_VMCA$$$SG10TM4000"/>
    <s v="P000001348"/>
    <s v="P000001348"/>
    <s v="LFF (MDG-F)"/>
    <s v="SG10TM4000"/>
    <s v="P000001348"/>
    <b v="1"/>
    <x v="3"/>
    <x v="0"/>
    <d v="2025-11-28T00:00:00"/>
    <m/>
    <m/>
    <x v="1"/>
    <n v="15"/>
    <s v="John Rowie Del Rosario"/>
    <m/>
  </r>
  <r>
    <x v="449"/>
    <x v="0"/>
    <x v="2"/>
    <s v="CLFF_VMCA$$$TW10TM4001"/>
    <s v="P000001348"/>
    <s v="P000001348"/>
    <s v="LFF (MDG-F)"/>
    <s v="TW10TM4001"/>
    <s v="P000001348"/>
    <b v="1"/>
    <x v="3"/>
    <x v="0"/>
    <d v="2025-11-28T00:00:00"/>
    <m/>
    <m/>
    <x v="1"/>
    <n v="15"/>
    <s v="John Rowie Del Rosario"/>
    <m/>
  </r>
  <r>
    <x v="449"/>
    <x v="0"/>
    <x v="2"/>
    <s v="CLFF_VMCA$$$TW10TM4002"/>
    <s v="P000001348"/>
    <s v="P000001348"/>
    <s v="LFF (MDG-F)"/>
    <s v="TW10TM4002"/>
    <s v="P000001348"/>
    <b v="1"/>
    <x v="3"/>
    <x v="0"/>
    <d v="2025-11-28T00:00:00"/>
    <m/>
    <m/>
    <x v="1"/>
    <n v="15"/>
    <s v="John Rowie Del Rosario"/>
    <m/>
  </r>
  <r>
    <x v="449"/>
    <x v="0"/>
    <x v="2"/>
    <s v="CLFF_VMCA$$$TW91TM4000"/>
    <s v="P000001348"/>
    <s v="P000001348"/>
    <s v="LFF (MDG-F)"/>
    <s v="TW91TM4000"/>
    <s v="P000001348"/>
    <b v="1"/>
    <x v="3"/>
    <x v="0"/>
    <d v="2025-11-28T00:00:00"/>
    <m/>
    <m/>
    <x v="1"/>
    <n v="15"/>
    <s v="John Rowie Del Rosario"/>
    <m/>
  </r>
  <r>
    <x v="449"/>
    <x v="0"/>
    <x v="2"/>
    <s v="CLFF_VMCA$$$TW91TM4001"/>
    <s v="P000001348"/>
    <s v="P000001348"/>
    <s v="LFF (MDG-F)"/>
    <s v="TW91TM4001"/>
    <s v="P000001348"/>
    <b v="1"/>
    <x v="3"/>
    <x v="0"/>
    <d v="2025-11-28T00:00:00"/>
    <m/>
    <m/>
    <x v="1"/>
    <n v="15"/>
    <s v="John Rowie Del Rosario"/>
    <m/>
  </r>
  <r>
    <x v="449"/>
    <x v="0"/>
    <x v="2"/>
    <s v="CLFF_VMCA$$$TW91TM4002"/>
    <s v="P000001348"/>
    <s v="P000001348"/>
    <s v="LFF (MDG-F)"/>
    <s v="TW91TM4002"/>
    <s v="P000001348"/>
    <b v="1"/>
    <x v="3"/>
    <x v="0"/>
    <d v="2025-11-28T00:00:00"/>
    <m/>
    <m/>
    <x v="1"/>
    <n v="15"/>
    <s v="John Rowie Del Rosario"/>
    <m/>
  </r>
  <r>
    <x v="449"/>
    <x v="0"/>
    <x v="2"/>
    <s v="CLFF_VMCA$$$SG10TM2000"/>
    <s v="P000001344"/>
    <s v="P000001344"/>
    <s v="LFF (MDG-F)"/>
    <s v="SG10TM2000"/>
    <s v="P000001344"/>
    <b v="1"/>
    <x v="3"/>
    <x v="0"/>
    <d v="2025-11-28T00:00:00"/>
    <m/>
    <m/>
    <x v="1"/>
    <n v="15"/>
    <s v="John Rowie Del Rosario"/>
    <m/>
  </r>
  <r>
    <x v="449"/>
    <x v="0"/>
    <x v="2"/>
    <s v="CLFF_1000$$$JP02C0M111 Customer Service Display and Semi"/>
    <s v="P000001355"/>
    <s v="P000001355"/>
    <s v="LFF (MDG-F)"/>
    <s v="JP02C0M111"/>
    <s v="P000001355"/>
    <b v="1"/>
    <x v="3"/>
    <x v="0"/>
    <d v="2025-11-28T00:00:00"/>
    <m/>
    <m/>
    <x v="1"/>
    <n v="15"/>
    <s v="John Rowie Del Rosario"/>
    <m/>
  </r>
  <r>
    <x v="449"/>
    <x v="0"/>
    <x v="2"/>
    <s v="CLFF_KR00$$$KR03OF0303 Customer Service"/>
    <s v="P000001355"/>
    <s v="P000001355"/>
    <s v="LFF (MDG-F)"/>
    <s v="KR03OF0303"/>
    <s v="P000001355"/>
    <b v="1"/>
    <x v="3"/>
    <x v="0"/>
    <d v="2025-11-28T00:00:00"/>
    <m/>
    <m/>
    <x v="1"/>
    <n v="15"/>
    <s v="John Rowie Del Rosario"/>
    <m/>
  </r>
  <r>
    <x v="449"/>
    <x v="0"/>
    <x v="2"/>
    <s v="CLFF_VMCA$$$KR07DB3310 Korea Customer Service"/>
    <s v="P000001355"/>
    <s v="P000001355"/>
    <s v="LFF (MDG-F)"/>
    <s v="KR07DB3310"/>
    <s v="P000001355"/>
    <b v="1"/>
    <x v="3"/>
    <x v="0"/>
    <d v="2025-11-28T00:00:00"/>
    <m/>
    <m/>
    <x v="1"/>
    <n v="15"/>
    <s v="John Rowie Del Rosario"/>
    <m/>
  </r>
  <r>
    <x v="449"/>
    <x v="0"/>
    <x v="2"/>
    <s v="CLFF_1000$$$JP02TQAZ01 Atsugi DC"/>
    <s v="P000001352"/>
    <s v="P000001352"/>
    <s v="LFF (MDG-F)"/>
    <s v="JP02TQAZ01"/>
    <s v="P000001352"/>
    <b v="1"/>
    <x v="3"/>
    <x v="0"/>
    <d v="2025-11-28T00:00:00"/>
    <m/>
    <m/>
    <x v="1"/>
    <n v="15"/>
    <s v="John Rowie Del Rosario"/>
    <m/>
  </r>
  <r>
    <x v="449"/>
    <x v="0"/>
    <x v="2"/>
    <s v="CLFF_1000$$$JP02TQSZ01 Shizuoka DC"/>
    <s v="P000001352"/>
    <s v="P000001352"/>
    <s v="LFF (MDG-F)"/>
    <s v="JP02TQSZ01"/>
    <s v="P000001352"/>
    <b v="1"/>
    <x v="3"/>
    <x v="0"/>
    <d v="2025-11-28T00:00:00"/>
    <m/>
    <m/>
    <x v="1"/>
    <n v="15"/>
    <s v="John Rowie Del Rosario"/>
    <m/>
  </r>
  <r>
    <x v="449"/>
    <x v="0"/>
    <x v="2"/>
    <s v="CLFF_KR00$$$KR03TPPZ14 W/H Expense from MEM"/>
    <s v="P000001352"/>
    <s v="P000001352"/>
    <s v="LFF (MDG-F)"/>
    <s v="KR03TPPZ14"/>
    <s v="P000001352"/>
    <b v="1"/>
    <x v="3"/>
    <x v="0"/>
    <d v="2025-11-28T00:00:00"/>
    <m/>
    <m/>
    <x v="1"/>
    <n v="15"/>
    <s v="John Rowie Del Rosario"/>
    <m/>
  </r>
  <r>
    <x v="449"/>
    <x v="0"/>
    <x v="2"/>
    <s v="CLFF_VMCA$$$KR07DB3306 AM Warehouse/3PL"/>
    <s v="P000001352"/>
    <s v="P000001352"/>
    <s v="LFF (MDG-F)"/>
    <s v="KR07DB3306"/>
    <s v="P000001352"/>
    <b v="1"/>
    <x v="3"/>
    <x v="0"/>
    <d v="2025-11-28T00:00:00"/>
    <m/>
    <m/>
    <x v="1"/>
    <n v="15"/>
    <s v="John Rowie Del Rosario"/>
    <m/>
  </r>
  <r>
    <x v="449"/>
    <x v="0"/>
    <x v="2"/>
    <s v="CLFF_VMCA$$$KR07DB3308 PM 3PL Warehouse"/>
    <s v="P000001352"/>
    <s v="P000001352"/>
    <s v="LFF (MDG-F)"/>
    <s v="KR07DB3308"/>
    <s v="P000001352"/>
    <b v="1"/>
    <x v="3"/>
    <x v="0"/>
    <d v="2025-11-28T00:00:00"/>
    <m/>
    <m/>
    <x v="1"/>
    <n v="15"/>
    <s v="John Rowie Del Rosario"/>
    <m/>
  </r>
  <r>
    <x v="449"/>
    <x v="0"/>
    <x v="2"/>
    <s v="CLFF_VMCA$$$KR15DB3301 Ulsan NH3 Distribution"/>
    <s v="P000001352"/>
    <s v="P000001352"/>
    <s v="LFF (MDG-F)"/>
    <s v="KR15DB3301"/>
    <s v="P000001352"/>
    <b v="1"/>
    <x v="3"/>
    <x v="0"/>
    <d v="2025-11-28T00:00:00"/>
    <m/>
    <m/>
    <x v="1"/>
    <n v="15"/>
    <s v="John Rowie Del Rosario"/>
    <m/>
  </r>
  <r>
    <x v="449"/>
    <x v="0"/>
    <x v="2"/>
    <s v="CLFF_1000$$$JP02TQ1001"/>
    <s v="P000001352"/>
    <s v="P000001352"/>
    <s v="LFF (MDG-F)"/>
    <s v="JP02TQ1001"/>
    <s v="P000001352"/>
    <b v="1"/>
    <x v="3"/>
    <x v="0"/>
    <d v="2025-11-28T00:00:00"/>
    <m/>
    <m/>
    <x v="1"/>
    <n v="15"/>
    <s v="John Rowie Del Rosario"/>
    <m/>
  </r>
  <r>
    <x v="449"/>
    <x v="0"/>
    <x v="2"/>
    <s v="CLFF_1000$$$JP02TQ1002"/>
    <s v="P000001352"/>
    <s v="P000001352"/>
    <s v="LFF (MDG-F)"/>
    <s v="JP02TQ1002"/>
    <s v="P000001352"/>
    <b v="1"/>
    <x v="3"/>
    <x v="0"/>
    <d v="2025-11-28T00:00:00"/>
    <m/>
    <m/>
    <x v="1"/>
    <n v="15"/>
    <s v="John Rowie Del Rosario"/>
    <m/>
  </r>
  <r>
    <x v="449"/>
    <x v="0"/>
    <x v="2"/>
    <s v="CLFF_1000$$$JP02TQ1003"/>
    <s v="P000001352"/>
    <s v="P000001352"/>
    <s v="LFF (MDG-F)"/>
    <s v="JP02TQ1003"/>
    <s v="P000001352"/>
    <b v="1"/>
    <x v="3"/>
    <x v="0"/>
    <d v="2025-11-28T00:00:00"/>
    <m/>
    <m/>
    <x v="1"/>
    <n v="15"/>
    <s v="John Rowie Del Rosario"/>
    <m/>
  </r>
  <r>
    <x v="449"/>
    <x v="0"/>
    <x v="2"/>
    <s v="CLFF_1000$$$JP02TQ1004"/>
    <s v="P000001352"/>
    <s v="P000001352"/>
    <s v="LFF (MDG-F)"/>
    <s v="JP02TQ1004"/>
    <s v="P000001352"/>
    <b v="1"/>
    <x v="3"/>
    <x v="0"/>
    <d v="2025-11-28T00:00:00"/>
    <m/>
    <m/>
    <x v="1"/>
    <n v="15"/>
    <s v="John Rowie Del Rosario"/>
    <m/>
  </r>
  <r>
    <x v="449"/>
    <x v="0"/>
    <x v="2"/>
    <s v="CLFF_1000$$$JP02TQ1005"/>
    <s v="P000001352"/>
    <s v="P000001352"/>
    <s v="LFF (MDG-F)"/>
    <s v="JP02TQ1005"/>
    <s v="P000001352"/>
    <b v="1"/>
    <x v="3"/>
    <x v="0"/>
    <d v="2025-11-28T00:00:00"/>
    <m/>
    <m/>
    <x v="1"/>
    <n v="15"/>
    <s v="John Rowie Del Rosario"/>
    <m/>
  </r>
  <r>
    <x v="449"/>
    <x v="0"/>
    <x v="2"/>
    <s v="CLFF_1000$$$JP02TQ1006"/>
    <s v="P000001352"/>
    <s v="P000001352"/>
    <s v="LFF (MDG-F)"/>
    <s v="JP02TQ1006"/>
    <s v="P000001352"/>
    <b v="1"/>
    <x v="3"/>
    <x v="0"/>
    <d v="2025-11-28T00:00:00"/>
    <m/>
    <m/>
    <x v="1"/>
    <n v="15"/>
    <s v="John Rowie Del Rosario"/>
    <m/>
  </r>
  <r>
    <x v="449"/>
    <x v="0"/>
    <x v="2"/>
    <s v="CLFF_1000$$$JP02TQ1007"/>
    <s v="P000001352"/>
    <s v="P000001352"/>
    <s v="LFF (MDG-F)"/>
    <s v="JP02TQ1007"/>
    <s v="P000001352"/>
    <b v="1"/>
    <x v="3"/>
    <x v="0"/>
    <d v="2025-11-28T00:00:00"/>
    <m/>
    <m/>
    <x v="1"/>
    <n v="15"/>
    <s v="John Rowie Del Rosario"/>
    <m/>
  </r>
  <r>
    <x v="449"/>
    <x v="0"/>
    <x v="2"/>
    <s v="CLFF_1000$$$JP02TQ1008"/>
    <s v="P000001352"/>
    <s v="P000001352"/>
    <s v="LFF (MDG-F)"/>
    <s v="JP02TQ1008"/>
    <s v="P000001352"/>
    <b v="1"/>
    <x v="3"/>
    <x v="0"/>
    <d v="2025-11-28T00:00:00"/>
    <m/>
    <m/>
    <x v="1"/>
    <n v="15"/>
    <s v="John Rowie Del Rosario"/>
    <m/>
  </r>
  <r>
    <x v="449"/>
    <x v="0"/>
    <x v="2"/>
    <s v="CLFF_1000$$$JP02TQ1009"/>
    <s v="P000001352"/>
    <s v="P000001352"/>
    <s v="LFF (MDG-F)"/>
    <s v="JP02TQ1009"/>
    <s v="P000001352"/>
    <b v="1"/>
    <x v="3"/>
    <x v="0"/>
    <d v="2025-11-28T00:00:00"/>
    <m/>
    <m/>
    <x v="1"/>
    <n v="15"/>
    <s v="John Rowie Del Rosario"/>
    <m/>
  </r>
  <r>
    <x v="449"/>
    <x v="0"/>
    <x v="2"/>
    <s v="CLFF_1000$$$JP02TQ1010"/>
    <s v="P000001352"/>
    <s v="P000001352"/>
    <s v="LFF (MDG-F)"/>
    <s v="JP02TQ1010"/>
    <s v="P000001352"/>
    <b v="1"/>
    <x v="3"/>
    <x v="0"/>
    <d v="2025-11-28T00:00:00"/>
    <m/>
    <m/>
    <x v="1"/>
    <n v="15"/>
    <s v="John Rowie Del Rosario"/>
    <m/>
  </r>
  <r>
    <x v="449"/>
    <x v="0"/>
    <x v="2"/>
    <s v="CLFF_1000$$$JP02TQ1011"/>
    <s v="P000001352"/>
    <s v="P000001352"/>
    <s v="LFF (MDG-F)"/>
    <s v="JP02TQ1011"/>
    <s v="P000001352"/>
    <b v="1"/>
    <x v="3"/>
    <x v="0"/>
    <d v="2025-11-28T00:00:00"/>
    <m/>
    <m/>
    <x v="1"/>
    <n v="15"/>
    <s v="John Rowie Del Rosario"/>
    <m/>
  </r>
  <r>
    <x v="449"/>
    <x v="0"/>
    <x v="2"/>
    <s v="CLFF_1000$$$JP02TQ1012"/>
    <s v="P000001352"/>
    <s v="P000001352"/>
    <s v="LFF (MDG-F)"/>
    <s v="JP02TQ1012"/>
    <s v="P000001352"/>
    <b v="1"/>
    <x v="3"/>
    <x v="0"/>
    <d v="2025-11-28T00:00:00"/>
    <m/>
    <m/>
    <x v="1"/>
    <n v="15"/>
    <s v="John Rowie Del Rosario"/>
    <m/>
  </r>
  <r>
    <x v="449"/>
    <x v="0"/>
    <x v="2"/>
    <s v="CLFF_1000$$$JP02TQ1013"/>
    <s v="P000001352"/>
    <s v="P000001352"/>
    <s v="LFF (MDG-F)"/>
    <s v="JP02TQ1013"/>
    <s v="P000001352"/>
    <b v="1"/>
    <x v="3"/>
    <x v="0"/>
    <d v="2025-11-28T00:00:00"/>
    <m/>
    <m/>
    <x v="1"/>
    <n v="15"/>
    <s v="John Rowie Del Rosario"/>
    <m/>
  </r>
  <r>
    <x v="449"/>
    <x v="0"/>
    <x v="2"/>
    <s v="CLFF_1000$$$JP02TQ1014"/>
    <s v="P000001352"/>
    <s v="P000001352"/>
    <s v="LFF (MDG-F)"/>
    <s v="JP02TQ1014"/>
    <s v="P000001352"/>
    <b v="1"/>
    <x v="3"/>
    <x v="0"/>
    <d v="2025-11-28T00:00:00"/>
    <m/>
    <m/>
    <x v="1"/>
    <n v="15"/>
    <s v="John Rowie Del Rosario"/>
    <m/>
  </r>
  <r>
    <x v="449"/>
    <x v="0"/>
    <x v="2"/>
    <s v="CLFF_1000$$$KR02TQ1000"/>
    <s v="P000001352"/>
    <s v="P000001352"/>
    <s v="LFF (MDG-F)"/>
    <s v="KR02TQ1000"/>
    <s v="P000001352"/>
    <b v="1"/>
    <x v="3"/>
    <x v="0"/>
    <d v="2025-11-28T00:00:00"/>
    <m/>
    <m/>
    <x v="1"/>
    <n v="15"/>
    <s v="John Rowie Del Rosario"/>
    <m/>
  </r>
  <r>
    <x v="449"/>
    <x v="0"/>
    <x v="2"/>
    <s v="CLFF_KR00$$$KR03TQ1011"/>
    <s v="P000001352"/>
    <s v="P000001352"/>
    <s v="LFF (MDG-F)"/>
    <s v="KR03TQ1011"/>
    <s v="P000001352"/>
    <b v="1"/>
    <x v="3"/>
    <x v="0"/>
    <d v="2025-11-28T00:00:00"/>
    <m/>
    <m/>
    <x v="1"/>
    <n v="15"/>
    <s v="John Rowie Del Rosario"/>
    <m/>
  </r>
  <r>
    <x v="449"/>
    <x v="0"/>
    <x v="2"/>
    <s v="CLFF_KR00$$$KR03TQ1012"/>
    <s v="P000001352"/>
    <s v="P000001352"/>
    <s v="LFF (MDG-F)"/>
    <s v="KR03TQ1012"/>
    <s v="P000001352"/>
    <b v="1"/>
    <x v="3"/>
    <x v="0"/>
    <d v="2025-11-28T00:00:00"/>
    <m/>
    <m/>
    <x v="1"/>
    <n v="15"/>
    <s v="John Rowie Del Rosario"/>
    <m/>
  </r>
  <r>
    <x v="449"/>
    <x v="0"/>
    <x v="2"/>
    <s v="CLFF_VMCA$$$KR07TQ1001"/>
    <s v="P000001352"/>
    <s v="P000001352"/>
    <s v="LFF (MDG-F)"/>
    <s v="KR07TQ1001"/>
    <s v="P000001352"/>
    <b v="1"/>
    <x v="3"/>
    <x v="0"/>
    <d v="2025-11-28T00:00:00"/>
    <m/>
    <m/>
    <x v="1"/>
    <n v="15"/>
    <s v="John Rowie Del Rosario"/>
    <m/>
  </r>
  <r>
    <x v="449"/>
    <x v="0"/>
    <x v="2"/>
    <s v="CLFF_VMCA$$$KR07TQ1002"/>
    <s v="P000001352"/>
    <s v="P000001352"/>
    <s v="LFF (MDG-F)"/>
    <s v="KR07TQ1002"/>
    <s v="P000001352"/>
    <b v="1"/>
    <x v="3"/>
    <x v="0"/>
    <d v="2025-11-28T00:00:00"/>
    <m/>
    <m/>
    <x v="1"/>
    <n v="15"/>
    <s v="John Rowie Del Rosario"/>
    <m/>
  </r>
  <r>
    <x v="449"/>
    <x v="0"/>
    <x v="2"/>
    <s v="CLFF_VMCA$$$KR07TQ1003"/>
    <s v="P000001352"/>
    <s v="P000001352"/>
    <s v="LFF (MDG-F)"/>
    <s v="KR07TQ1003"/>
    <s v="P000001352"/>
    <b v="1"/>
    <x v="3"/>
    <x v="0"/>
    <d v="2025-11-28T00:00:00"/>
    <m/>
    <m/>
    <x v="1"/>
    <n v="15"/>
    <s v="John Rowie Del Rosario"/>
    <m/>
  </r>
  <r>
    <x v="449"/>
    <x v="0"/>
    <x v="2"/>
    <s v="CLFF_VMCA$$$KR07TQ1004"/>
    <s v="P000001352"/>
    <s v="P000001352"/>
    <s v="LFF (MDG-F)"/>
    <s v="KR07TQ1004"/>
    <s v="P000001352"/>
    <b v="1"/>
    <x v="3"/>
    <x v="0"/>
    <d v="2025-11-28T00:00:00"/>
    <m/>
    <m/>
    <x v="1"/>
    <n v="15"/>
    <s v="John Rowie Del Rosario"/>
    <m/>
  </r>
  <r>
    <x v="449"/>
    <x v="0"/>
    <x v="2"/>
    <s v="CLFF_VMCA$$$KR07TQ1005"/>
    <s v="P000001352"/>
    <s v="P000001352"/>
    <s v="LFF (MDG-F)"/>
    <s v="KR07TQ1005"/>
    <s v="P000001352"/>
    <b v="1"/>
    <x v="3"/>
    <x v="0"/>
    <d v="2025-11-28T00:00:00"/>
    <m/>
    <m/>
    <x v="1"/>
    <n v="15"/>
    <s v="John Rowie Del Rosario"/>
    <m/>
  </r>
  <r>
    <x v="449"/>
    <x v="0"/>
    <x v="2"/>
    <s v="CLFF_VMCA$$$KR07TQ1006"/>
    <s v="P000001352"/>
    <s v="P000001352"/>
    <s v="LFF (MDG-F)"/>
    <s v="KR07TQ1006"/>
    <s v="P000001352"/>
    <b v="1"/>
    <x v="3"/>
    <x v="0"/>
    <d v="2025-11-28T00:00:00"/>
    <m/>
    <m/>
    <x v="1"/>
    <n v="15"/>
    <s v="John Rowie Del Rosario"/>
    <m/>
  </r>
  <r>
    <x v="449"/>
    <x v="0"/>
    <x v="2"/>
    <s v="CLFF_VMCA$$$KR11TQ1001"/>
    <s v="P000001352"/>
    <s v="P000001352"/>
    <s v="LFF (MDG-F)"/>
    <s v="KR11TQ1001"/>
    <s v="P000001352"/>
    <b v="1"/>
    <x v="3"/>
    <x v="0"/>
    <d v="2025-11-28T00:00:00"/>
    <m/>
    <m/>
    <x v="1"/>
    <n v="15"/>
    <s v="John Rowie Del Rosario"/>
    <m/>
  </r>
  <r>
    <x v="449"/>
    <x v="0"/>
    <x v="2"/>
    <s v="CLFF_VMCA$$$KR11TQ1002"/>
    <s v="P000001352"/>
    <s v="P000001352"/>
    <s v="LFF (MDG-F)"/>
    <s v="KR11TQ1002"/>
    <s v="P000001352"/>
    <b v="1"/>
    <x v="3"/>
    <x v="0"/>
    <d v="2025-11-28T00:00:00"/>
    <m/>
    <m/>
    <x v="1"/>
    <n v="15"/>
    <s v="John Rowie Del Rosario"/>
    <m/>
  </r>
  <r>
    <x v="449"/>
    <x v="0"/>
    <x v="2"/>
    <s v="CLFF_VMCA$$$KR11TQ1003"/>
    <s v="P000001352"/>
    <s v="P000001352"/>
    <s v="LFF (MDG-F)"/>
    <s v="KR11TQ1003"/>
    <s v="P000001352"/>
    <b v="1"/>
    <x v="3"/>
    <x v="0"/>
    <d v="2025-11-28T00:00:00"/>
    <m/>
    <m/>
    <x v="1"/>
    <n v="15"/>
    <s v="John Rowie Del Rosario"/>
    <m/>
  </r>
  <r>
    <x v="449"/>
    <x v="0"/>
    <x v="2"/>
    <s v="CLFF_VMCA$$$KR11TQ1004"/>
    <s v="P000001352"/>
    <s v="P000001352"/>
    <s v="LFF (MDG-F)"/>
    <s v="KR11TQ1004"/>
    <s v="P000001352"/>
    <b v="1"/>
    <x v="3"/>
    <x v="0"/>
    <d v="2025-11-28T00:00:00"/>
    <m/>
    <m/>
    <x v="1"/>
    <n v="15"/>
    <s v="John Rowie Del Rosario"/>
    <m/>
  </r>
  <r>
    <x v="449"/>
    <x v="0"/>
    <x v="2"/>
    <s v="CLFF_VMCA$$$KR15TQ1001"/>
    <s v="P000001352"/>
    <s v="P000001352"/>
    <s v="LFF (MDG-F)"/>
    <s v="KR15TQ1001"/>
    <s v="P000001352"/>
    <b v="1"/>
    <x v="3"/>
    <x v="0"/>
    <d v="2025-11-28T00:00:00"/>
    <m/>
    <m/>
    <x v="1"/>
    <n v="15"/>
    <s v="John Rowie Del Rosario"/>
    <m/>
  </r>
  <r>
    <x v="449"/>
    <x v="0"/>
    <x v="2"/>
    <s v="CLFF_VMCA$$$KR16TQ1001"/>
    <s v="P000001352"/>
    <s v="P000001352"/>
    <s v="LFF (MDG-F)"/>
    <s v="KR16TQ1001"/>
    <s v="P000001352"/>
    <b v="1"/>
    <x v="3"/>
    <x v="0"/>
    <d v="2025-11-28T00:00:00"/>
    <m/>
    <m/>
    <x v="1"/>
    <n v="15"/>
    <s v="John Rowie Del Rosario"/>
    <m/>
  </r>
  <r>
    <x v="449"/>
    <x v="0"/>
    <x v="2"/>
    <s v="CLFF_VMCA$$$KR16TQ1002"/>
    <s v="P000001352"/>
    <s v="P000001352"/>
    <s v="LFF (MDG-F)"/>
    <s v="KR16TQ1002"/>
    <s v="P000001352"/>
    <b v="1"/>
    <x v="3"/>
    <x v="0"/>
    <d v="2025-11-28T00:00:00"/>
    <m/>
    <m/>
    <x v="1"/>
    <n v="15"/>
    <s v="John Rowie Del Rosario"/>
    <m/>
  </r>
  <r>
    <x v="449"/>
    <x v="0"/>
    <x v="2"/>
    <s v="CLFF_1000$$$JP02TQMZ01 PM Logistics"/>
    <s v="P000001353"/>
    <s v="P000001353"/>
    <s v="LFF (MDG-F)"/>
    <s v="JP02TQMZ01"/>
    <s v="P000001353"/>
    <b v="1"/>
    <x v="3"/>
    <x v="0"/>
    <d v="2025-11-28T00:00:00"/>
    <m/>
    <m/>
    <x v="1"/>
    <n v="15"/>
    <s v="John Rowie Del Rosario"/>
    <m/>
  </r>
  <r>
    <x v="449"/>
    <x v="0"/>
    <x v="2"/>
    <s v="CLFF_KR00$$$KR03TPPZ04 SD - Logistics PM"/>
    <s v="P000001353"/>
    <s v="P000001353"/>
    <s v="LFF (MDG-F)"/>
    <s v="KR03TPPZ04"/>
    <s v="P000001353"/>
    <b v="1"/>
    <x v="3"/>
    <x v="0"/>
    <d v="2025-11-28T00:00:00"/>
    <m/>
    <m/>
    <x v="1"/>
    <n v="15"/>
    <s v="John Rowie Del Rosario"/>
    <m/>
  </r>
  <r>
    <x v="449"/>
    <x v="0"/>
    <x v="2"/>
    <s v="CLFF_VMCA$$$KR07DB3300 Transportation Management"/>
    <s v="P000001353"/>
    <s v="P000001353"/>
    <s v="LFF (MDG-F)"/>
    <s v="KR07DB3300"/>
    <s v="P000001353"/>
    <b v="1"/>
    <x v="3"/>
    <x v="0"/>
    <d v="2025-11-28T00:00:00"/>
    <m/>
    <m/>
    <x v="1"/>
    <n v="15"/>
    <s v="John Rowie Del Rosario"/>
    <m/>
  </r>
  <r>
    <x v="449"/>
    <x v="0"/>
    <x v="2"/>
    <s v="CLFF_VMCA$$$KR15TM3000"/>
    <s v="P000001353"/>
    <s v="P000001353"/>
    <s v="LFF (MDG-F)"/>
    <s v="KR15TM3000"/>
    <s v="P000001353"/>
    <b v="1"/>
    <x v="3"/>
    <x v="0"/>
    <d v="2025-11-28T00:00:00"/>
    <m/>
    <m/>
    <x v="1"/>
    <n v="15"/>
    <s v="John Rowie Del Rosario"/>
    <m/>
  </r>
  <r>
    <x v="449"/>
    <x v="0"/>
    <x v="2"/>
    <s v="CLFF_1000$$$KR02TPAZ02 SD - Warehousing/distribution Asia/Pacif"/>
    <s v="P000001354"/>
    <s v="P000001354"/>
    <s v="LFF (MDG-F)"/>
    <s v="KR02TPAZ02"/>
    <s v="P000001354"/>
    <b v="1"/>
    <x v="3"/>
    <x v="0"/>
    <d v="2025-11-28T00:00:00"/>
    <m/>
    <m/>
    <x v="1"/>
    <n v="15"/>
    <s v="John Rowie Del Rosario"/>
    <m/>
  </r>
  <r>
    <x v="449"/>
    <x v="0"/>
    <x v="2"/>
    <s v="CLFF_VMCA$$$KR07DB3301 PM Distribution"/>
    <s v="P000001354"/>
    <s v="P000001354"/>
    <s v="LFF (MDG-F)"/>
    <s v="KR07DB3301"/>
    <s v="P000001354"/>
    <b v="1"/>
    <x v="3"/>
    <x v="0"/>
    <d v="2025-11-28T00:00:00"/>
    <m/>
    <m/>
    <x v="1"/>
    <n v="15"/>
    <s v="John Rowie Del Rosario"/>
    <m/>
  </r>
  <r>
    <x v="449"/>
    <x v="0"/>
    <x v="2"/>
    <s v="CLFF_VMCA$$$KR07DB3302 AM Distribution"/>
    <s v="P000001354"/>
    <s v="P000001354"/>
    <s v="LFF (MDG-F)"/>
    <s v="KR07DB3302"/>
    <s v="P000001354"/>
    <b v="1"/>
    <x v="3"/>
    <x v="0"/>
    <d v="2025-11-28T00:00:00"/>
    <m/>
    <m/>
    <x v="1"/>
    <n v="15"/>
    <s v="John Rowie Del Rosario"/>
    <m/>
  </r>
  <r>
    <x v="449"/>
    <x v="0"/>
    <x v="2"/>
    <s v="CLFF_VMCA$$$KR11DB2111 Surf, Prep &amp; Clean Distribution"/>
    <s v="P000001354"/>
    <s v="P000001354"/>
    <s v="LFF (MDG-F)"/>
    <s v="KR11DB2111"/>
    <s v="P000001354"/>
    <b v="1"/>
    <x v="3"/>
    <x v="0"/>
    <d v="2025-11-28T00:00:00"/>
    <m/>
    <m/>
    <x v="1"/>
    <n v="15"/>
    <s v="John Rowie Del Rosario"/>
    <m/>
  </r>
  <r>
    <x v="449"/>
    <x v="0"/>
    <x v="2"/>
    <s v="CLFF_VMCA$$$KR11DB2112 Planarization Distribution"/>
    <s v="P000001354"/>
    <s v="P000001354"/>
    <s v="LFF (MDG-F)"/>
    <s v="KR11DB2112"/>
    <s v="P000001354"/>
    <b v="1"/>
    <x v="3"/>
    <x v="0"/>
    <d v="2025-11-28T00:00:00"/>
    <m/>
    <m/>
    <x v="1"/>
    <n v="15"/>
    <s v="John Rowie Del Rosario"/>
    <m/>
  </r>
  <r>
    <x v="449"/>
    <x v="0"/>
    <x v="2"/>
    <s v="CLFF_VMCA$$$KR15DB3303 Ulsan NF3 Distribution"/>
    <s v="P000001354"/>
    <s v="P000001354"/>
    <s v="LFF (MDG-F)"/>
    <s v="KR15DB3303"/>
    <s v="P000001354"/>
    <b v="1"/>
    <x v="3"/>
    <x v="0"/>
    <d v="2025-11-28T00:00:00"/>
    <m/>
    <m/>
    <x v="1"/>
    <n v="15"/>
    <s v="John Rowie Del Rosario"/>
    <m/>
  </r>
  <r>
    <x v="449"/>
    <x v="0"/>
    <x v="2"/>
    <s v="CLFF_VMCA$$$KR16DB3300 KR16 Transportation"/>
    <s v="P000001354"/>
    <s v="P000001354"/>
    <s v="LFF (MDG-F)"/>
    <s v="KR16DB3300"/>
    <s v="P000001354"/>
    <b v="1"/>
    <x v="3"/>
    <x v="0"/>
    <d v="2025-11-28T00:00:00"/>
    <m/>
    <m/>
    <x v="1"/>
    <n v="15"/>
    <s v="John Rowie Del Rosario"/>
    <m/>
  </r>
  <r>
    <x v="449"/>
    <x v="0"/>
    <x v="2"/>
    <s v="CLFF_1000$$$US01C01305 Customer Service US"/>
    <s v="P000001361"/>
    <s v="P000001361"/>
    <s v="LFF (MDG-F)"/>
    <s v="US01C01305"/>
    <s v="P000001361"/>
    <b v="1"/>
    <x v="3"/>
    <x v="0"/>
    <d v="2025-11-28T00:00:00"/>
    <m/>
    <m/>
    <x v="1"/>
    <n v="15"/>
    <s v="John Rowie Del Rosario"/>
    <m/>
  </r>
  <r>
    <x v="449"/>
    <x v="0"/>
    <x v="2"/>
    <s v="CLFF_VMCA$$$US10DB3021 US Customer Service"/>
    <s v="P000001361"/>
    <s v="P000001361"/>
    <s v="LFF (MDG-F)"/>
    <s v="US10DB3021"/>
    <s v="P000001361"/>
    <b v="1"/>
    <x v="3"/>
    <x v="0"/>
    <d v="2025-11-28T00:00:00"/>
    <m/>
    <m/>
    <x v="1"/>
    <n v="15"/>
    <s v="John Rowie Del Rosario"/>
    <m/>
  </r>
  <r>
    <x v="449"/>
    <x v="0"/>
    <x v="2"/>
    <s v="CLFF_1000$$$US01TPBZ03 FG Warehouse - (BRB)"/>
    <s v="P000001358"/>
    <s v="P000001358"/>
    <s v="LFF (MDG-F)"/>
    <s v="US01TPBZ03"/>
    <s v="P000001358"/>
    <b v="1"/>
    <x v="3"/>
    <x v="0"/>
    <d v="2025-11-28T00:00:00"/>
    <m/>
    <m/>
    <x v="1"/>
    <n v="15"/>
    <s v="John Rowie Del Rosario"/>
    <m/>
  </r>
  <r>
    <x v="449"/>
    <x v="0"/>
    <x v="2"/>
    <s v="CLFF_VMCA$$$US10DB3004 Tualatin ELE Warehouse"/>
    <s v="P000001358"/>
    <s v="P000001358"/>
    <s v="LFF (MDG-F)"/>
    <s v="US10DB3004"/>
    <s v="P000001358"/>
    <b v="1"/>
    <x v="3"/>
    <x v="0"/>
    <d v="2025-11-28T00:00:00"/>
    <m/>
    <m/>
    <x v="1"/>
    <n v="15"/>
    <s v="John Rowie Del Rosario"/>
    <m/>
  </r>
  <r>
    <x v="449"/>
    <x v="0"/>
    <x v="2"/>
    <s v="CLFF_VMCA$$$US10DB3005 Austin Warehouse"/>
    <s v="P000001358"/>
    <s v="P000001358"/>
    <s v="LFF (MDG-F)"/>
    <s v="US10DB3005"/>
    <s v="P000001358"/>
    <b v="1"/>
    <x v="3"/>
    <x v="0"/>
    <d v="2025-11-28T00:00:00"/>
    <m/>
    <m/>
    <x v="1"/>
    <n v="15"/>
    <s v="John Rowie Del Rosario"/>
    <m/>
  </r>
  <r>
    <x v="449"/>
    <x v="0"/>
    <x v="2"/>
    <s v="CLFF_VMCA$$$US10DB3006 Phoenix Warehouse"/>
    <s v="P000001358"/>
    <s v="P000001358"/>
    <s v="LFF (MDG-F)"/>
    <s v="US10DB3006"/>
    <s v="P000001358"/>
    <b v="1"/>
    <x v="3"/>
    <x v="0"/>
    <d v="2025-11-28T00:00:00"/>
    <m/>
    <m/>
    <x v="1"/>
    <n v="15"/>
    <s v="John Rowie Del Rosario"/>
    <m/>
  </r>
  <r>
    <x v="449"/>
    <x v="0"/>
    <x v="2"/>
    <s v="CLFF_VMCA$$$US10DB3011 3rd Party AM Whse"/>
    <s v="P000001358"/>
    <s v="P000001358"/>
    <s v="LFF (MDG-F)"/>
    <s v="US10DB3011"/>
    <s v="P000001358"/>
    <b v="1"/>
    <x v="3"/>
    <x v="0"/>
    <d v="2025-11-28T00:00:00"/>
    <m/>
    <m/>
    <x v="1"/>
    <n v="15"/>
    <s v="John Rowie Del Rosario"/>
    <m/>
  </r>
  <r>
    <x v="449"/>
    <x v="0"/>
    <x v="2"/>
    <s v="CLFF_1000$$$US01TQ1001"/>
    <s v="P000001358"/>
    <s v="P000001358"/>
    <s v="LFF (MDG-F)"/>
    <s v="US01TQ1001"/>
    <s v="P000001358"/>
    <b v="1"/>
    <x v="3"/>
    <x v="0"/>
    <d v="2025-11-28T00:00:00"/>
    <m/>
    <m/>
    <x v="1"/>
    <n v="15"/>
    <s v="John Rowie Del Rosario"/>
    <m/>
  </r>
  <r>
    <x v="449"/>
    <x v="0"/>
    <x v="2"/>
    <s v="CLFF_1000$$$US01TQ1002"/>
    <s v="P000001358"/>
    <s v="P000001358"/>
    <s v="LFF (MDG-F)"/>
    <s v="US01TQ1002"/>
    <s v="P000001358"/>
    <b v="1"/>
    <x v="3"/>
    <x v="0"/>
    <d v="2025-11-28T00:00:00"/>
    <m/>
    <m/>
    <x v="1"/>
    <n v="15"/>
    <s v="John Rowie Del Rosario"/>
    <m/>
  </r>
  <r>
    <x v="449"/>
    <x v="0"/>
    <x v="2"/>
    <s v="CLFF_1000$$$US01TQ1003"/>
    <s v="P000001358"/>
    <s v="P000001358"/>
    <s v="LFF (MDG-F)"/>
    <s v="US01TQ1003"/>
    <s v="P000001358"/>
    <b v="1"/>
    <x v="3"/>
    <x v="0"/>
    <d v="2025-11-28T00:00:00"/>
    <m/>
    <m/>
    <x v="1"/>
    <n v="15"/>
    <s v="John Rowie Del Rosario"/>
    <m/>
  </r>
  <r>
    <x v="449"/>
    <x v="0"/>
    <x v="2"/>
    <s v="CLFF_1000$$$US01TQ1004"/>
    <s v="P000001358"/>
    <s v="P000001358"/>
    <s v="LFF (MDG-F)"/>
    <s v="US01TQ1004"/>
    <s v="P000001358"/>
    <b v="1"/>
    <x v="3"/>
    <x v="0"/>
    <d v="2025-11-28T00:00:00"/>
    <m/>
    <m/>
    <x v="1"/>
    <n v="15"/>
    <s v="John Rowie Del Rosario"/>
    <m/>
  </r>
  <r>
    <x v="449"/>
    <x v="0"/>
    <x v="2"/>
    <s v="CLFF_1000$$$US01TQ1005"/>
    <s v="P000001358"/>
    <s v="P000001358"/>
    <s v="LFF (MDG-F)"/>
    <s v="US01TQ1005"/>
    <s v="P000001358"/>
    <b v="1"/>
    <x v="3"/>
    <x v="0"/>
    <d v="2025-11-28T00:00:00"/>
    <m/>
    <m/>
    <x v="1"/>
    <n v="15"/>
    <s v="John Rowie Del Rosario"/>
    <m/>
  </r>
  <r>
    <x v="449"/>
    <x v="0"/>
    <x v="2"/>
    <s v="CLFF_1000$$$US01TQ1006"/>
    <s v="P000001358"/>
    <s v="P000001358"/>
    <s v="LFF (MDG-F)"/>
    <s v="US01TQ1006"/>
    <s v="P000001358"/>
    <b v="1"/>
    <x v="3"/>
    <x v="0"/>
    <d v="2025-11-28T00:00:00"/>
    <m/>
    <m/>
    <x v="1"/>
    <n v="15"/>
    <s v="John Rowie Del Rosario"/>
    <m/>
  </r>
  <r>
    <x v="449"/>
    <x v="0"/>
    <x v="2"/>
    <s v="CLFF_1000$$$US01TQ1007"/>
    <s v="P000001358"/>
    <s v="P000001358"/>
    <s v="LFF (MDG-F)"/>
    <s v="US01TQ1007"/>
    <s v="P000001358"/>
    <b v="1"/>
    <x v="3"/>
    <x v="0"/>
    <d v="2025-11-28T00:00:00"/>
    <m/>
    <m/>
    <x v="1"/>
    <n v="15"/>
    <s v="John Rowie Del Rosario"/>
    <m/>
  </r>
  <r>
    <x v="449"/>
    <x v="0"/>
    <x v="2"/>
    <s v="CLFF_1000$$$US01TQ1008"/>
    <s v="P000001358"/>
    <s v="P000001358"/>
    <s v="LFF (MDG-F)"/>
    <s v="US01TQ1008"/>
    <s v="P000001358"/>
    <b v="1"/>
    <x v="3"/>
    <x v="0"/>
    <d v="2025-11-28T00:00:00"/>
    <m/>
    <m/>
    <x v="1"/>
    <n v="15"/>
    <s v="John Rowie Del Rosario"/>
    <m/>
  </r>
  <r>
    <x v="449"/>
    <x v="0"/>
    <x v="2"/>
    <s v="CLFF_1000$$$US01TQ1009"/>
    <s v="P000001358"/>
    <s v="P000001358"/>
    <s v="LFF (MDG-F)"/>
    <s v="US01TQ1009"/>
    <s v="P000001358"/>
    <b v="1"/>
    <x v="3"/>
    <x v="0"/>
    <d v="2025-11-28T00:00:00"/>
    <m/>
    <m/>
    <x v="1"/>
    <n v="15"/>
    <s v="John Rowie Del Rosario"/>
    <m/>
  </r>
  <r>
    <x v="449"/>
    <x v="0"/>
    <x v="2"/>
    <s v="CLFF_VMCA$$$US10TQ1001"/>
    <s v="P000001358"/>
    <s v="P000001358"/>
    <s v="LFF (MDG-F)"/>
    <s v="US10TQ1001"/>
    <s v="P000001358"/>
    <b v="1"/>
    <x v="3"/>
    <x v="0"/>
    <d v="2025-11-28T00:00:00"/>
    <m/>
    <m/>
    <x v="1"/>
    <n v="15"/>
    <s v="John Rowie Del Rosario"/>
    <m/>
  </r>
  <r>
    <x v="449"/>
    <x v="0"/>
    <x v="2"/>
    <s v="CLFF_VMCA$$$US10TQ1002"/>
    <s v="P000001358"/>
    <s v="P000001358"/>
    <s v="LFF (MDG-F)"/>
    <s v="US10TQ1002"/>
    <s v="P000001358"/>
    <b v="1"/>
    <x v="3"/>
    <x v="0"/>
    <d v="2025-11-28T00:00:00"/>
    <m/>
    <m/>
    <x v="1"/>
    <n v="15"/>
    <s v="John Rowie Del Rosario"/>
    <m/>
  </r>
  <r>
    <x v="449"/>
    <x v="0"/>
    <x v="2"/>
    <s v="CLFF_VMCA$$$US10TQ1003"/>
    <s v="P000001358"/>
    <s v="P000001358"/>
    <s v="LFF (MDG-F)"/>
    <s v="US10TQ1003"/>
    <s v="P000001358"/>
    <b v="1"/>
    <x v="3"/>
    <x v="0"/>
    <d v="2025-11-28T00:00:00"/>
    <m/>
    <m/>
    <x v="1"/>
    <n v="15"/>
    <s v="John Rowie Del Rosario"/>
    <m/>
  </r>
  <r>
    <x v="449"/>
    <x v="0"/>
    <x v="2"/>
    <s v="CLFF_VMCA$$$US10TQ1004"/>
    <s v="P000001358"/>
    <s v="P000001358"/>
    <s v="LFF (MDG-F)"/>
    <s v="US10TQ1004"/>
    <s v="P000001358"/>
    <b v="1"/>
    <x v="3"/>
    <x v="0"/>
    <d v="2025-11-28T00:00:00"/>
    <m/>
    <m/>
    <x v="1"/>
    <n v="15"/>
    <s v="John Rowie Del Rosario"/>
    <m/>
  </r>
  <r>
    <x v="449"/>
    <x v="0"/>
    <x v="2"/>
    <s v="CLFF_VMCA$$$US10TQ1005"/>
    <s v="P000001358"/>
    <s v="P000001358"/>
    <s v="LFF (MDG-F)"/>
    <s v="US10TQ1005"/>
    <s v="P000001358"/>
    <b v="1"/>
    <x v="3"/>
    <x v="0"/>
    <d v="2025-11-28T00:00:00"/>
    <m/>
    <m/>
    <x v="1"/>
    <n v="15"/>
    <s v="John Rowie Del Rosario"/>
    <m/>
  </r>
  <r>
    <x v="449"/>
    <x v="0"/>
    <x v="2"/>
    <s v="CLFF_VMCA$$$US10TQ1006"/>
    <s v="P000001358"/>
    <s v="P000001358"/>
    <s v="LFF (MDG-F)"/>
    <s v="US10TQ1006"/>
    <s v="P000001358"/>
    <b v="1"/>
    <x v="3"/>
    <x v="0"/>
    <d v="2025-11-28T00:00:00"/>
    <m/>
    <m/>
    <x v="1"/>
    <n v="15"/>
    <s v="John Rowie Del Rosario"/>
    <m/>
  </r>
  <r>
    <x v="449"/>
    <x v="0"/>
    <x v="2"/>
    <s v="CLFF_VMCA$$$US10TQ1007"/>
    <s v="P000001358"/>
    <s v="P000001358"/>
    <s v="LFF (MDG-F)"/>
    <s v="US10TQ1007"/>
    <s v="P000001358"/>
    <b v="1"/>
    <x v="3"/>
    <x v="0"/>
    <d v="2025-11-28T00:00:00"/>
    <m/>
    <m/>
    <x v="1"/>
    <n v="15"/>
    <s v="John Rowie Del Rosario"/>
    <m/>
  </r>
  <r>
    <x v="449"/>
    <x v="0"/>
    <x v="2"/>
    <s v="CLFF_VMCA$$$US10TQ1008"/>
    <s v="P000001358"/>
    <s v="P000001358"/>
    <s v="LFF (MDG-F)"/>
    <s v="US10TQ1008"/>
    <s v="P000001358"/>
    <b v="1"/>
    <x v="3"/>
    <x v="0"/>
    <d v="2025-11-28T00:00:00"/>
    <m/>
    <m/>
    <x v="1"/>
    <n v="15"/>
    <s v="John Rowie Del Rosario"/>
    <m/>
  </r>
  <r>
    <x v="449"/>
    <x v="0"/>
    <x v="2"/>
    <s v="CLFF_VMCA$$$US10TQ1009"/>
    <s v="P000001358"/>
    <s v="P000001358"/>
    <s v="LFF (MDG-F)"/>
    <s v="US10TQ1009"/>
    <s v="P000001358"/>
    <b v="1"/>
    <x v="3"/>
    <x v="0"/>
    <d v="2025-11-28T00:00:00"/>
    <m/>
    <m/>
    <x v="1"/>
    <n v="15"/>
    <s v="John Rowie Del Rosario"/>
    <m/>
  </r>
  <r>
    <x v="449"/>
    <x v="0"/>
    <x v="2"/>
    <s v="CLFF_VMCA$$$US10TQ1010"/>
    <s v="P000001358"/>
    <s v="P000001358"/>
    <s v="LFF (MDG-F)"/>
    <s v="US10TQ1010"/>
    <s v="P000001358"/>
    <b v="1"/>
    <x v="3"/>
    <x v="0"/>
    <d v="2025-11-28T00:00:00"/>
    <m/>
    <m/>
    <x v="1"/>
    <n v="15"/>
    <s v="John Rowie Del Rosario"/>
    <m/>
  </r>
  <r>
    <x v="449"/>
    <x v="0"/>
    <x v="2"/>
    <s v="CLFF_VMCA$$$US10TQ1011"/>
    <s v="P000001358"/>
    <s v="P000001358"/>
    <s v="LFF (MDG-F)"/>
    <s v="US10TQ1011"/>
    <s v="P000001358"/>
    <b v="1"/>
    <x v="3"/>
    <x v="0"/>
    <d v="2025-11-28T00:00:00"/>
    <m/>
    <m/>
    <x v="1"/>
    <n v="15"/>
    <s v="John Rowie Del Rosario"/>
    <m/>
  </r>
  <r>
    <x v="449"/>
    <x v="0"/>
    <x v="2"/>
    <s v="CLFF_VMCA$$$US10TQ1012"/>
    <s v="P000001358"/>
    <s v="P000001358"/>
    <s v="LFF (MDG-F)"/>
    <s v="US10TQ1012"/>
    <s v="P000001358"/>
    <b v="1"/>
    <x v="3"/>
    <x v="0"/>
    <d v="2025-11-28T00:00:00"/>
    <m/>
    <m/>
    <x v="1"/>
    <n v="15"/>
    <s v="John Rowie Del Rosario"/>
    <m/>
  </r>
  <r>
    <x v="449"/>
    <x v="0"/>
    <x v="2"/>
    <s v="CLFF_VMCA$$$US10TQ1013"/>
    <s v="P000001358"/>
    <s v="P000001358"/>
    <s v="LFF (MDG-F)"/>
    <s v="US10TQ1013"/>
    <s v="P000001358"/>
    <b v="1"/>
    <x v="3"/>
    <x v="0"/>
    <d v="2025-11-28T00:00:00"/>
    <m/>
    <m/>
    <x v="1"/>
    <n v="15"/>
    <s v="John Rowie Del Rosario"/>
    <m/>
  </r>
  <r>
    <x v="449"/>
    <x v="0"/>
    <x v="2"/>
    <s v="CLFF_1000$$$US01TPBZ01 Freight Collector - Inbound (BRB)"/>
    <s v="P000001356"/>
    <s v="P000001356"/>
    <s v="LFF (MDG-F)"/>
    <s v="US01TPBZ01"/>
    <s v="P000001356"/>
    <b v="1"/>
    <x v="3"/>
    <x v="0"/>
    <d v="2025-11-28T00:00:00"/>
    <m/>
    <m/>
    <x v="1"/>
    <n v="15"/>
    <s v="John Rowie Del Rosario"/>
    <m/>
  </r>
  <r>
    <x v="449"/>
    <x v="0"/>
    <x v="2"/>
    <s v="CLFF_1000$$$US01TPBZ02 Freight Collector - Outbound (BRB)"/>
    <s v="P000001356"/>
    <s v="P000001356"/>
    <s v="LFF (MDG-F)"/>
    <s v="US01TPBZ02"/>
    <s v="P000001356"/>
    <b v="1"/>
    <x v="3"/>
    <x v="0"/>
    <d v="2025-11-28T00:00:00"/>
    <m/>
    <m/>
    <x v="1"/>
    <n v="15"/>
    <s v="John Rowie Del Rosario"/>
    <m/>
  </r>
  <r>
    <x v="449"/>
    <x v="0"/>
    <x v="2"/>
    <s v="CLFF_1000$$$US01TQBZ01 BRB IC Outbound Freight Expense"/>
    <s v="P000001356"/>
    <s v="P000001356"/>
    <s v="LFF (MDG-F)"/>
    <s v="US01TQBZ01"/>
    <s v="P000001356"/>
    <b v="1"/>
    <x v="3"/>
    <x v="0"/>
    <d v="2025-11-28T00:00:00"/>
    <m/>
    <m/>
    <x v="1"/>
    <n v="15"/>
    <s v="John Rowie Del Rosario"/>
    <m/>
  </r>
  <r>
    <x v="449"/>
    <x v="0"/>
    <x v="2"/>
    <s v="CLFF_1000$$$US01TQHZ01 Sheboygan Outbound Freight"/>
    <s v="P000001356"/>
    <s v="P000001356"/>
    <s v="LFF (MDG-F)"/>
    <s v="US01TQHZ01"/>
    <s v="P000001356"/>
    <b v="1"/>
    <x v="3"/>
    <x v="0"/>
    <d v="2025-11-28T00:00:00"/>
    <m/>
    <m/>
    <x v="1"/>
    <n v="15"/>
    <s v="John Rowie Del Rosario"/>
    <m/>
  </r>
  <r>
    <x v="449"/>
    <x v="0"/>
    <x v="2"/>
    <s v="CLFF_1000$$$US01TQHZ03 Sheboygan IC Outbound Freight Expense"/>
    <s v="P000001356"/>
    <s v="P000001356"/>
    <s v="LFF (MDG-F)"/>
    <s v="US01TQHZ03"/>
    <s v="P000001356"/>
    <b v="1"/>
    <x v="3"/>
    <x v="0"/>
    <d v="2025-11-28T00:00:00"/>
    <m/>
    <m/>
    <x v="1"/>
    <n v="15"/>
    <s v="John Rowie Del Rosario"/>
    <m/>
  </r>
  <r>
    <x v="449"/>
    <x v="0"/>
    <x v="2"/>
    <s v="CLFF_VMCA$$$US10DB3000 Catoosa Shipping"/>
    <s v="P000001356"/>
    <s v="P000001356"/>
    <s v="LFF (MDG-F)"/>
    <s v="US10DB3000"/>
    <s v="P000001356"/>
    <b v="1"/>
    <x v="3"/>
    <x v="0"/>
    <d v="2025-11-28T00:00:00"/>
    <m/>
    <m/>
    <x v="1"/>
    <n v="15"/>
    <s v="John Rowie Del Rosario"/>
    <m/>
  </r>
  <r>
    <x v="449"/>
    <x v="0"/>
    <x v="2"/>
    <s v="CLFF_VMCA$$$US10DB3012 Carlsbad Shipping"/>
    <s v="P000001356"/>
    <s v="P000001356"/>
    <s v="LFF (MDG-F)"/>
    <s v="US10DB3012"/>
    <s v="P000001356"/>
    <b v="1"/>
    <x v="3"/>
    <x v="0"/>
    <d v="2025-11-28T00:00:00"/>
    <m/>
    <m/>
    <x v="1"/>
    <n v="15"/>
    <s v="John Rowie Del Rosario"/>
    <m/>
  </r>
  <r>
    <x v="449"/>
    <x v="0"/>
    <x v="2"/>
    <s v="CLFF_VMCA$$$US10DB3013 Hometown PM Shipping"/>
    <s v="P000001356"/>
    <s v="P000001356"/>
    <s v="LFF (MDG-F)"/>
    <s v="US10DB3013"/>
    <s v="P000001356"/>
    <b v="1"/>
    <x v="3"/>
    <x v="0"/>
    <d v="2025-11-28T00:00:00"/>
    <m/>
    <m/>
    <x v="1"/>
    <n v="15"/>
    <s v="John Rowie Del Rosario"/>
    <m/>
  </r>
  <r>
    <x v="449"/>
    <x v="0"/>
    <x v="2"/>
    <s v="CLFF_VMCA$$$US10DB3016 Tempe AM Shipping"/>
    <s v="P000001356"/>
    <s v="P000001356"/>
    <s v="LFF (MDG-F)"/>
    <s v="US10DB3016"/>
    <s v="P000001356"/>
    <b v="1"/>
    <x v="3"/>
    <x v="0"/>
    <d v="2025-11-28T00:00:00"/>
    <m/>
    <m/>
    <x v="1"/>
    <n v="15"/>
    <s v="John Rowie Del Rosario"/>
    <m/>
  </r>
  <r>
    <x v="449"/>
    <x v="0"/>
    <x v="2"/>
    <s v="CLFF_VMCA$$$US10DB3017 Dallas AM Shipping"/>
    <s v="P000001356"/>
    <s v="P000001356"/>
    <s v="LFF (MDG-F)"/>
    <s v="US10DB3017"/>
    <s v="P000001356"/>
    <b v="1"/>
    <x v="3"/>
    <x v="0"/>
    <d v="2025-11-28T00:00:00"/>
    <m/>
    <m/>
    <x v="1"/>
    <n v="15"/>
    <s v="John Rowie Del Rosario"/>
    <m/>
  </r>
  <r>
    <x v="449"/>
    <x v="0"/>
    <x v="2"/>
    <s v="CLFF_1000$$$US01TM2001"/>
    <s v="P000001356"/>
    <s v="P000001356"/>
    <s v="LFF (MDG-F)"/>
    <s v="US01TM2001"/>
    <s v="P000001356"/>
    <b v="1"/>
    <x v="3"/>
    <x v="0"/>
    <d v="2025-11-28T00:00:00"/>
    <m/>
    <m/>
    <x v="1"/>
    <n v="15"/>
    <s v="John Rowie Del Rosario"/>
    <m/>
  </r>
  <r>
    <x v="449"/>
    <x v="0"/>
    <x v="2"/>
    <s v="CLFF_VMCA$$$US10TM2010"/>
    <s v="P000001356"/>
    <s v="P000001356"/>
    <s v="LFF (MDG-F)"/>
    <s v="US10TM2010"/>
    <s v="P000001356"/>
    <b v="1"/>
    <x v="3"/>
    <x v="0"/>
    <d v="2025-11-28T00:00:00"/>
    <m/>
    <m/>
    <x v="1"/>
    <n v="15"/>
    <s v="John Rowie Del Rosario"/>
    <m/>
  </r>
  <r>
    <x v="449"/>
    <x v="0"/>
    <x v="2"/>
    <s v="CLFF_1000$$$US01TPPZ04 PM-US Logistics Organization"/>
    <s v="P000001359"/>
    <s v="P000001359"/>
    <s v="LFF (MDG-F)"/>
    <s v="US01TPPZ04"/>
    <s v="P000001359"/>
    <b v="1"/>
    <x v="3"/>
    <x v="0"/>
    <d v="2025-11-28T00:00:00"/>
    <m/>
    <m/>
    <x v="1"/>
    <n v="15"/>
    <s v="John Rowie Del Rosario"/>
    <m/>
  </r>
  <r>
    <x v="449"/>
    <x v="0"/>
    <x v="2"/>
    <s v="CLFF_VMCA$$$US10DB3003 US Customer Fulfillment"/>
    <s v="P000001359"/>
    <s v="P000001359"/>
    <s v="LFF (MDG-F)"/>
    <s v="US10DB3003"/>
    <s v="P000001359"/>
    <b v="1"/>
    <x v="3"/>
    <x v="0"/>
    <d v="2025-11-28T00:00:00"/>
    <m/>
    <m/>
    <x v="1"/>
    <n v="15"/>
    <s v="John Rowie Del Rosario"/>
    <m/>
  </r>
  <r>
    <x v="449"/>
    <x v="0"/>
    <x v="2"/>
    <s v="CLFF_VMCA$$$US10TM3001"/>
    <s v="P000001359"/>
    <s v="P000001359"/>
    <s v="LFF (MDG-F)"/>
    <s v="US10TM3001"/>
    <s v="P000001359"/>
    <b v="1"/>
    <x v="3"/>
    <x v="0"/>
    <d v="2025-11-28T00:00:00"/>
    <m/>
    <m/>
    <x v="1"/>
    <n v="15"/>
    <s v="John Rowie Del Rosario"/>
    <m/>
  </r>
  <r>
    <x v="449"/>
    <x v="0"/>
    <x v="2"/>
    <s v="CLFF_VMCA$$$US10TM3002"/>
    <s v="P000001359"/>
    <s v="P000001359"/>
    <s v="LFF (MDG-F)"/>
    <s v="US10TM3002"/>
    <s v="P000001359"/>
    <b v="1"/>
    <x v="3"/>
    <x v="0"/>
    <d v="2025-11-28T00:00:00"/>
    <m/>
    <m/>
    <x v="1"/>
    <n v="15"/>
    <s v="John Rowie Del Rosario"/>
    <m/>
  </r>
  <r>
    <x v="449"/>
    <x v="0"/>
    <x v="2"/>
    <s v="CLFF_VMCA$$$US10DB3014 3PL Customs &amp; Duties"/>
    <s v="P000001360"/>
    <s v="P000001360"/>
    <s v="LFF (MDG-F)"/>
    <s v="US10DB3014"/>
    <s v="P000001360"/>
    <b v="1"/>
    <x v="3"/>
    <x v="0"/>
    <d v="2025-11-28T00:00:00"/>
    <m/>
    <m/>
    <x v="1"/>
    <n v="15"/>
    <s v="John Rowie Del Rosario"/>
    <m/>
  </r>
  <r>
    <x v="450"/>
    <x v="0"/>
    <x v="2"/>
    <s v="CLFF_1000$$$DE10B08450"/>
    <s v="L000013429"/>
    <s v="L000013429"/>
    <s v="LFF (MDG-F)"/>
    <s v="DE10B08450"/>
    <m/>
    <b v="1"/>
    <x v="5"/>
    <x v="0"/>
    <d v="2025-12-01T00:00:00"/>
    <m/>
    <m/>
    <x v="1"/>
    <n v="14"/>
    <s v="Analyn Ayson"/>
    <m/>
  </r>
  <r>
    <x v="450"/>
    <x v="0"/>
    <x v="2"/>
    <s v="CLFF_1000$$$DE10A48610"/>
    <s v="G000000877"/>
    <s v="G000000877"/>
    <s v="LFF (MDG-F)"/>
    <s v="DE10A48610"/>
    <m/>
    <b v="1"/>
    <x v="5"/>
    <x v="0"/>
    <d v="2025-12-01T00:00:00"/>
    <m/>
    <m/>
    <x v="1"/>
    <n v="14"/>
    <s v="Analyn Ayson"/>
    <m/>
  </r>
  <r>
    <x v="450"/>
    <x v="0"/>
    <x v="2"/>
    <s v="CLFF_1000$$$DE10A48607"/>
    <s v="G000000877"/>
    <s v="G000000877"/>
    <s v="LFF (MDG-F)"/>
    <s v="DE10A48607"/>
    <m/>
    <b v="1"/>
    <x v="5"/>
    <x v="0"/>
    <d v="2025-12-01T00:00:00"/>
    <m/>
    <m/>
    <x v="1"/>
    <n v="14"/>
    <s v="Analyn Ayson"/>
    <m/>
  </r>
  <r>
    <x v="450"/>
    <x v="0"/>
    <x v="2"/>
    <s v="CLFF_1000$$$DE10538392"/>
    <s v="G000001084"/>
    <s v="G000001084"/>
    <s v="LFF (MDG-F)"/>
    <s v="DE10538392"/>
    <m/>
    <b v="1"/>
    <x v="5"/>
    <x v="0"/>
    <d v="2025-12-01T00:00:00"/>
    <m/>
    <m/>
    <x v="1"/>
    <n v="14"/>
    <s v="Analyn Ayson"/>
    <m/>
  </r>
  <r>
    <x v="450"/>
    <x v="0"/>
    <x v="2"/>
    <s v="CLFF_1000$$$DE20700060"/>
    <s v="G000000544"/>
    <s v="G000000544"/>
    <s v="LFF (MDG-F)"/>
    <s v="DE20700060"/>
    <m/>
    <b v="1"/>
    <x v="5"/>
    <x v="0"/>
    <d v="2025-12-01T00:00:00"/>
    <m/>
    <m/>
    <x v="1"/>
    <n v="14"/>
    <s v="Analyn Ayson"/>
    <m/>
  </r>
  <r>
    <x v="451"/>
    <x v="0"/>
    <x v="2"/>
    <s v="PLEAN_X370121DE6514800 RT Ogsiveo Oth.Prom. MAP HTA"/>
    <s v="H000004415"/>
    <s v="H000004415"/>
    <s v="Non-LFF"/>
    <s v=""/>
    <s v="H000004415"/>
    <b v="1"/>
    <x v="1"/>
    <x v="0"/>
    <d v="2025-12-01T00:00:00"/>
    <m/>
    <m/>
    <x v="1"/>
    <n v="14"/>
    <s v="Rayneil Reas"/>
    <m/>
  </r>
  <r>
    <x v="451"/>
    <x v="0"/>
    <x v="2"/>
    <s v="PLEAN_X370131DE6514800 RT Ezmekly Oth.Prom. MAP HTA"/>
    <s v="H000004416"/>
    <s v="H000004416"/>
    <s v="Non-LFF"/>
    <s v=""/>
    <s v="H000004416"/>
    <b v="1"/>
    <x v="1"/>
    <x v="0"/>
    <d v="2025-12-01T00:00:00"/>
    <m/>
    <m/>
    <x v="1"/>
    <n v="14"/>
    <s v="Rayneil Reas"/>
    <m/>
  </r>
  <r>
    <x v="451"/>
    <x v="0"/>
    <x v="2"/>
    <s v="PLEAN_X310181DK5015201 Bavencio Commercial DK50 Other Promo and"/>
    <s v="H000000218"/>
    <s v="H000000218"/>
    <s v="Non-LFF"/>
    <s v=""/>
    <m/>
    <b v="1"/>
    <x v="1"/>
    <x v="0"/>
    <d v="2025-12-01T00:00:00"/>
    <m/>
    <m/>
    <x v="1"/>
    <n v="14"/>
    <s v="Rayneil Reas"/>
    <m/>
  </r>
  <r>
    <x v="451"/>
    <x v="0"/>
    <x v="2"/>
    <s v="PLEAN_X370122AT5023200"/>
    <s v="H000004527"/>
    <s v="H000004527"/>
    <s v="Non-LFF"/>
    <s v=""/>
    <s v="H000004527"/>
    <b v="1"/>
    <x v="1"/>
    <x v="0"/>
    <d v="2025-12-01T00:00:00"/>
    <m/>
    <m/>
    <x v="1"/>
    <n v="14"/>
    <s v="Rayneil Reas"/>
    <m/>
  </r>
  <r>
    <x v="451"/>
    <x v="0"/>
    <x v="2"/>
    <s v="PLEAN_X370131AT5015200"/>
    <s v="H000004517"/>
    <s v="H000004517"/>
    <s v="Non-LFF"/>
    <s v=""/>
    <s v="H000004517"/>
    <b v="1"/>
    <x v="1"/>
    <x v="0"/>
    <d v="2025-12-01T00:00:00"/>
    <m/>
    <m/>
    <x v="1"/>
    <n v="14"/>
    <s v="Rayneil Reas"/>
    <m/>
  </r>
  <r>
    <x v="451"/>
    <x v="0"/>
    <x v="2"/>
    <s v="PLEAN_X370231CH7610201 RT Ezmekly COM Promo"/>
    <s v="H000004515"/>
    <s v="H000004515"/>
    <s v="Non-LFF"/>
    <s v=""/>
    <m/>
    <b v="1"/>
    <x v="1"/>
    <x v="0"/>
    <d v="2025-12-01T00:00:00"/>
    <m/>
    <m/>
    <x v="1"/>
    <n v="14"/>
    <s v="Rayneil Reas"/>
    <m/>
  </r>
  <r>
    <x v="451"/>
    <x v="0"/>
    <x v="2"/>
    <s v="PLEAN_X370232AT5023200 RG Ezmekly Medical activities"/>
    <s v="H000004528"/>
    <s v="H000004528"/>
    <s v="Non-LFF"/>
    <s v=""/>
    <m/>
    <b v="1"/>
    <x v="1"/>
    <x v="0"/>
    <d v="2025-12-01T00:00:00"/>
    <m/>
    <m/>
    <x v="1"/>
    <n v="14"/>
    <s v="Rayneil Reas"/>
    <m/>
  </r>
  <r>
    <x v="451"/>
    <x v="0"/>
    <x v="2"/>
    <s v="CSCALA_1759$E375"/>
    <s v="H000003613"/>
    <s v="H000003613"/>
    <s v="Non-LFF"/>
    <s v=""/>
    <m/>
    <b v="1"/>
    <x v="1"/>
    <x v="0"/>
    <d v="2025-12-01T00:00:00"/>
    <m/>
    <m/>
    <x v="1"/>
    <n v="14"/>
    <s v="Rayneil Reas"/>
    <m/>
  </r>
  <r>
    <x v="451"/>
    <x v="0"/>
    <x v="2"/>
    <s v="CSCALA_1759$E376"/>
    <s v="H000003613"/>
    <s v="H000003613"/>
    <s v="Non-LFF"/>
    <s v=""/>
    <m/>
    <b v="1"/>
    <x v="1"/>
    <x v="0"/>
    <d v="2025-12-01T00:00:00"/>
    <m/>
    <m/>
    <x v="1"/>
    <n v="14"/>
    <s v="Rayneil Reas"/>
    <m/>
  </r>
  <r>
    <x v="451"/>
    <x v="0"/>
    <x v="2"/>
    <s v="CSCALA_1759$O209"/>
    <s v="H000003613"/>
    <s v="H000003613"/>
    <s v="Non-LFF"/>
    <s v=""/>
    <m/>
    <b v="1"/>
    <x v="1"/>
    <x v="0"/>
    <d v="2025-12-01T00:00:00"/>
    <m/>
    <m/>
    <x v="1"/>
    <n v="14"/>
    <s v="Rayneil Reas"/>
    <m/>
  </r>
  <r>
    <x v="451"/>
    <x v="0"/>
    <x v="2"/>
    <s v="CSCALA_1759$C229"/>
    <s v="H000003613"/>
    <s v="H000003613"/>
    <s v="Non-LFF"/>
    <s v=""/>
    <m/>
    <b v="1"/>
    <x v="1"/>
    <x v="0"/>
    <d v="2025-12-01T00:00:00"/>
    <m/>
    <m/>
    <x v="1"/>
    <n v="14"/>
    <s v="Rayneil Reas"/>
    <m/>
  </r>
  <r>
    <x v="451"/>
    <x v="0"/>
    <x v="2"/>
    <s v="CSCALA_1759$C219"/>
    <s v="H000003613"/>
    <s v="H000003613"/>
    <s v="Non-LFF"/>
    <s v=""/>
    <m/>
    <b v="1"/>
    <x v="1"/>
    <x v="0"/>
    <d v="2025-12-01T00:00:00"/>
    <m/>
    <m/>
    <x v="1"/>
    <n v="14"/>
    <s v="Rayneil Reas"/>
    <m/>
  </r>
  <r>
    <x v="451"/>
    <x v="0"/>
    <x v="2"/>
    <s v="CSCALA_1759$C220"/>
    <s v="H000003613"/>
    <s v="H000003613"/>
    <s v="Non-LFF"/>
    <s v=""/>
    <m/>
    <b v="1"/>
    <x v="1"/>
    <x v="0"/>
    <d v="2025-12-01T00:00:00"/>
    <m/>
    <m/>
    <x v="1"/>
    <n v="14"/>
    <s v="Rayneil Reas"/>
    <m/>
  </r>
  <r>
    <x v="451"/>
    <x v="0"/>
    <x v="2"/>
    <s v="CSCALA_1759$C221"/>
    <s v="H000003613"/>
    <s v="H000003613"/>
    <s v="Non-LFF"/>
    <s v=""/>
    <m/>
    <b v="1"/>
    <x v="1"/>
    <x v="0"/>
    <d v="2025-12-01T00:00:00"/>
    <m/>
    <m/>
    <x v="1"/>
    <n v="14"/>
    <s v="Rayneil Reas"/>
    <m/>
  </r>
  <r>
    <x v="451"/>
    <x v="0"/>
    <x v="2"/>
    <s v="CSCALA_1759$C222"/>
    <s v="H000003613"/>
    <s v="H000003613"/>
    <s v="Non-LFF"/>
    <s v=""/>
    <m/>
    <b v="1"/>
    <x v="1"/>
    <x v="0"/>
    <d v="2025-12-01T00:00:00"/>
    <m/>
    <m/>
    <x v="1"/>
    <n v="14"/>
    <s v="Rayneil Reas"/>
    <m/>
  </r>
  <r>
    <x v="451"/>
    <x v="0"/>
    <x v="2"/>
    <s v="CSCALA_1759$C223"/>
    <s v="H000003613"/>
    <s v="H000003613"/>
    <s v="Non-LFF"/>
    <s v=""/>
    <m/>
    <b v="1"/>
    <x v="1"/>
    <x v="0"/>
    <d v="2025-12-01T00:00:00"/>
    <m/>
    <m/>
    <x v="1"/>
    <n v="14"/>
    <s v="Rayneil Reas"/>
    <m/>
  </r>
  <r>
    <x v="451"/>
    <x v="0"/>
    <x v="2"/>
    <s v="CSCALA_1759$C224"/>
    <s v="H000003613"/>
    <s v="H000003613"/>
    <s v="Non-LFF"/>
    <s v=""/>
    <m/>
    <b v="1"/>
    <x v="1"/>
    <x v="0"/>
    <d v="2025-12-01T00:00:00"/>
    <m/>
    <m/>
    <x v="1"/>
    <n v="14"/>
    <s v="Rayneil Reas"/>
    <m/>
  </r>
  <r>
    <x v="451"/>
    <x v="0"/>
    <x v="2"/>
    <s v="CSCALA_1759$C225"/>
    <s v="H000003613"/>
    <s v="H000003613"/>
    <s v="Non-LFF"/>
    <s v=""/>
    <m/>
    <b v="1"/>
    <x v="1"/>
    <x v="0"/>
    <d v="2025-12-01T00:00:00"/>
    <m/>
    <m/>
    <x v="1"/>
    <n v="14"/>
    <s v="Rayneil Reas"/>
    <m/>
  </r>
  <r>
    <x v="451"/>
    <x v="0"/>
    <x v="2"/>
    <s v="CSCALA_1759$C226"/>
    <s v="H000003613"/>
    <s v="H000003613"/>
    <s v="Non-LFF"/>
    <s v=""/>
    <m/>
    <b v="1"/>
    <x v="1"/>
    <x v="0"/>
    <d v="2025-12-01T00:00:00"/>
    <m/>
    <m/>
    <x v="1"/>
    <n v="14"/>
    <s v="Rayneil Reas"/>
    <m/>
  </r>
  <r>
    <x v="451"/>
    <x v="0"/>
    <x v="2"/>
    <s v="CSCALA_1759$C227"/>
    <s v="H000003613"/>
    <s v="H000003613"/>
    <s v="Non-LFF"/>
    <s v=""/>
    <m/>
    <b v="1"/>
    <x v="1"/>
    <x v="0"/>
    <d v="2025-12-01T00:00:00"/>
    <m/>
    <m/>
    <x v="1"/>
    <n v="14"/>
    <s v="Rayneil Reas"/>
    <m/>
  </r>
  <r>
    <x v="451"/>
    <x v="0"/>
    <x v="2"/>
    <s v="CSCALA_1759$C228"/>
    <s v="H000003613"/>
    <s v="H000003613"/>
    <s v="Non-LFF"/>
    <s v=""/>
    <m/>
    <b v="1"/>
    <x v="1"/>
    <x v="0"/>
    <d v="2025-12-01T00:00:00"/>
    <m/>
    <m/>
    <x v="1"/>
    <n v="14"/>
    <s v="Rayneil Reas"/>
    <m/>
  </r>
  <r>
    <x v="451"/>
    <x v="0"/>
    <x v="2"/>
    <s v="CSCALA_1759$C231"/>
    <s v="H000003613"/>
    <s v="H000003613"/>
    <s v="Non-LFF"/>
    <s v=""/>
    <m/>
    <b v="1"/>
    <x v="1"/>
    <x v="0"/>
    <d v="2025-12-01T00:00:00"/>
    <m/>
    <m/>
    <x v="1"/>
    <n v="14"/>
    <s v="Rayneil Reas"/>
    <m/>
  </r>
  <r>
    <x v="451"/>
    <x v="0"/>
    <x v="2"/>
    <s v="CSCALA_1759$G233"/>
    <s v="H000003613"/>
    <s v="H000003613"/>
    <s v="Non-LFF"/>
    <s v=""/>
    <m/>
    <b v="1"/>
    <x v="1"/>
    <x v="0"/>
    <d v="2025-12-01T00:00:00"/>
    <m/>
    <m/>
    <x v="1"/>
    <n v="14"/>
    <s v="Rayneil Reas"/>
    <m/>
  </r>
  <r>
    <x v="452"/>
    <x v="0"/>
    <x v="2"/>
    <s v="CSCALA_1022$ITR"/>
    <s v="G000001238"/>
    <s v="G000001238"/>
    <s v="Non-LFF"/>
    <s v=""/>
    <m/>
    <b v="1"/>
    <x v="0"/>
    <x v="0"/>
    <d v="2025-12-02T00:00:00"/>
    <m/>
    <m/>
    <x v="1"/>
    <n v="13"/>
    <s v="Jay-R Lizardo"/>
    <m/>
  </r>
  <r>
    <x v="452"/>
    <x v="0"/>
    <x v="2"/>
    <s v="CLFF_1000$$$CN90GM4004"/>
    <s v="G000001457"/>
    <s v="G000001457"/>
    <s v="LFF (MDG-F)"/>
    <s v="CN90GM4004"/>
    <s v="G000001457"/>
    <b v="1"/>
    <x v="0"/>
    <x v="0"/>
    <d v="2025-12-02T00:00:00"/>
    <m/>
    <m/>
    <x v="1"/>
    <n v="13"/>
    <s v="Jay-R Lizardo"/>
    <m/>
  </r>
  <r>
    <x v="452"/>
    <x v="0"/>
    <x v="2"/>
    <s v="CTEMPEU_1000PL80GFO045"/>
    <s v="G000001458"/>
    <s v="G000001458"/>
    <s v="Non-LFF"/>
    <s v=""/>
    <s v="G000001458"/>
    <b v="1"/>
    <x v="0"/>
    <x v="0"/>
    <d v="2025-12-02T00:00:00"/>
    <m/>
    <m/>
    <x v="1"/>
    <n v="13"/>
    <s v="Jay-R Lizardo"/>
    <m/>
  </r>
  <r>
    <x v="452"/>
    <x v="0"/>
    <x v="2"/>
    <s v="CTEMPEU_1000PL80GMS040"/>
    <s v="G000001459"/>
    <s v="G000001459"/>
    <s v="Non-LFF"/>
    <s v=""/>
    <s v="G000001459"/>
    <b v="1"/>
    <x v="0"/>
    <x v="0"/>
    <d v="2025-12-02T00:00:00"/>
    <m/>
    <m/>
    <x v="1"/>
    <n v="13"/>
    <s v="Jay-R Lizardo"/>
    <m/>
  </r>
  <r>
    <x v="452"/>
    <x v="0"/>
    <x v="2"/>
    <s v="CTEMPNA_1000PH80GFO026"/>
    <s v="G000001460"/>
    <s v="G000001460"/>
    <s v="Non-LFF"/>
    <s v=""/>
    <s v="G000001460"/>
    <b v="1"/>
    <x v="0"/>
    <x v="0"/>
    <d v="2025-12-02T00:00:00"/>
    <m/>
    <m/>
    <x v="1"/>
    <n v="13"/>
    <s v="Jay-R Lizardo"/>
    <m/>
  </r>
  <r>
    <x v="452"/>
    <x v="0"/>
    <x v="2"/>
    <s v="CTEMPNA_1000PH80GFO120"/>
    <s v="G000001457"/>
    <s v="G000001457"/>
    <s v="Non-LFF"/>
    <s v=""/>
    <s v="G000001457"/>
    <b v="1"/>
    <x v="0"/>
    <x v="0"/>
    <d v="2025-12-02T00:00:00"/>
    <m/>
    <m/>
    <x v="1"/>
    <n v="13"/>
    <s v="Jay-R Lizardo"/>
    <m/>
  </r>
  <r>
    <x v="452"/>
    <x v="0"/>
    <x v="2"/>
    <s v="CLFF_1000$$$DE10GMS041"/>
    <s v="G000001459"/>
    <s v="G000001459"/>
    <s v="LFF (MDG-F)"/>
    <s v="DE10GMS041"/>
    <s v="G000001459"/>
    <b v="1"/>
    <x v="0"/>
    <x v="0"/>
    <d v="2025-12-02T00:00:00"/>
    <m/>
    <m/>
    <x v="1"/>
    <n v="13"/>
    <s v="Jay-R Lizardo"/>
    <m/>
  </r>
  <r>
    <x v="452"/>
    <x v="0"/>
    <x v="2"/>
    <s v="CLFF_1000$$$DE10GMS070"/>
    <s v="G000001460"/>
    <s v="G000001460"/>
    <s v="LFF (MDG-F)"/>
    <s v="DE10GMS070"/>
    <s v="G000001460"/>
    <b v="1"/>
    <x v="0"/>
    <x v="0"/>
    <d v="2025-12-02T00:00:00"/>
    <m/>
    <m/>
    <x v="1"/>
    <n v="13"/>
    <s v="Jay-R Lizardo"/>
    <m/>
  </r>
  <r>
    <x v="452"/>
    <x v="0"/>
    <x v="2"/>
    <s v="CLFF_1000$$$DE10669632"/>
    <s v="G000001459"/>
    <s v="G000001459"/>
    <s v="LFF (MDG-F)"/>
    <s v="DE10669632"/>
    <s v="G000001459"/>
    <b v="1"/>
    <x v="0"/>
    <x v="0"/>
    <d v="2025-12-02T00:00:00"/>
    <m/>
    <m/>
    <x v="1"/>
    <n v="13"/>
    <s v="Jay-R Lizardo"/>
    <m/>
  </r>
  <r>
    <x v="452"/>
    <x v="0"/>
    <x v="2"/>
    <s v="CTEMPLA_1000UY10100040"/>
    <s v="G000001457"/>
    <s v="G000001457"/>
    <s v="Non-LFF"/>
    <s v=""/>
    <s v="G000001457"/>
    <b v="1"/>
    <x v="0"/>
    <x v="0"/>
    <d v="2025-12-02T00:00:00"/>
    <m/>
    <m/>
    <x v="1"/>
    <n v="13"/>
    <s v="Jay-R Lizardo"/>
    <m/>
  </r>
  <r>
    <x v="452"/>
    <x v="0"/>
    <x v="2"/>
    <s v="CNOW_7210$$$0000021361"/>
    <s v="G000000736"/>
    <s v="G000000736"/>
    <s v="Non-LFF"/>
    <s v=""/>
    <s v="G000000736"/>
    <b v="1"/>
    <x v="0"/>
    <x v="0"/>
    <d v="2025-12-02T00:00:00"/>
    <m/>
    <m/>
    <x v="1"/>
    <n v="13"/>
    <s v="Jay-R Lizardo"/>
    <m/>
  </r>
  <r>
    <x v="453"/>
    <x v="0"/>
    <x v="2"/>
    <s v="CSCALA_1248$VR00_L36"/>
    <s v="H000004401"/>
    <s v="H000004401"/>
    <s v="Non-LFF"/>
    <s v=""/>
    <m/>
    <b v="1"/>
    <x v="1"/>
    <x v="0"/>
    <d v="2025-12-03T00:00:00"/>
    <m/>
    <m/>
    <x v="1"/>
    <n v="12"/>
    <s v="Erjo Miguel Tagle"/>
    <m/>
  </r>
  <r>
    <x v="453"/>
    <x v="0"/>
    <x v="2"/>
    <s v="CSCALA_1248$VR00_L37"/>
    <s v="H000004401"/>
    <s v="H000004401"/>
    <s v="Non-LFF"/>
    <s v=""/>
    <m/>
    <b v="1"/>
    <x v="1"/>
    <x v="0"/>
    <d v="2025-12-03T00:00:00"/>
    <m/>
    <m/>
    <x v="1"/>
    <n v="12"/>
    <s v="Erjo Miguel Tagle"/>
    <m/>
  </r>
  <r>
    <x v="453"/>
    <x v="0"/>
    <x v="2"/>
    <s v="CSCALA_1248$VR00_L38"/>
    <s v="H000004401"/>
    <s v="H000004401"/>
    <s v="Non-LFF"/>
    <s v=""/>
    <m/>
    <b v="1"/>
    <x v="1"/>
    <x v="0"/>
    <d v="2025-12-03T00:00:00"/>
    <m/>
    <m/>
    <x v="1"/>
    <n v="12"/>
    <s v="Erjo Miguel Tagle"/>
    <m/>
  </r>
  <r>
    <x v="454"/>
    <x v="0"/>
    <x v="2"/>
    <s v="CSCALA_1248$A350_L40"/>
    <s v="H000004401"/>
    <s v="H000004401"/>
    <s v="Non-LFF"/>
    <s v=""/>
    <m/>
    <b v="1"/>
    <x v="1"/>
    <x v="0"/>
    <d v="2025-12-03T00:00:00"/>
    <m/>
    <m/>
    <x v="1"/>
    <n v="12"/>
    <s v="Erjo Miguel Tagle"/>
    <m/>
  </r>
  <r>
    <x v="454"/>
    <x v="0"/>
    <x v="2"/>
    <s v="CSCALA_1248$A350"/>
    <s v="H000004401"/>
    <s v="H000004401"/>
    <s v="Non-LFF"/>
    <s v=""/>
    <m/>
    <b v="1"/>
    <x v="1"/>
    <x v="0"/>
    <d v="2025-12-03T00:00:00"/>
    <m/>
    <m/>
    <x v="1"/>
    <n v="12"/>
    <s v="Erjo Miguel Tagle"/>
    <m/>
  </r>
  <r>
    <x v="454"/>
    <x v="0"/>
    <x v="2"/>
    <s v="CSCALA_1248$A350_L05"/>
    <s v="H000004401"/>
    <s v="H000004401"/>
    <s v="Non-LFF"/>
    <s v=""/>
    <m/>
    <b v="1"/>
    <x v="1"/>
    <x v="0"/>
    <d v="2025-12-03T00:00:00"/>
    <m/>
    <m/>
    <x v="1"/>
    <n v="12"/>
    <s v="Erjo Miguel Tagle"/>
    <m/>
  </r>
  <r>
    <x v="454"/>
    <x v="0"/>
    <x v="2"/>
    <s v="CSCALA_1248$A350_L09"/>
    <s v="H000004401"/>
    <s v="H000004401"/>
    <s v="Non-LFF"/>
    <s v=""/>
    <m/>
    <b v="1"/>
    <x v="1"/>
    <x v="0"/>
    <d v="2025-12-03T00:00:00"/>
    <m/>
    <m/>
    <x v="1"/>
    <n v="12"/>
    <s v="Erjo Miguel Tagle"/>
    <m/>
  </r>
  <r>
    <x v="454"/>
    <x v="0"/>
    <x v="2"/>
    <s v="CSCALA_1248$A350_L11"/>
    <s v="H000004401"/>
    <s v="H000004401"/>
    <s v="Non-LFF"/>
    <s v=""/>
    <m/>
    <b v="1"/>
    <x v="1"/>
    <x v="0"/>
    <d v="2025-12-03T00:00:00"/>
    <m/>
    <m/>
    <x v="1"/>
    <n v="12"/>
    <s v="Erjo Miguel Tagle"/>
    <m/>
  </r>
  <r>
    <x v="454"/>
    <x v="0"/>
    <x v="2"/>
    <s v="CSCALA_1248$A350_L33"/>
    <s v="H000004401"/>
    <s v="H000004401"/>
    <s v="Non-LFF"/>
    <s v=""/>
    <m/>
    <b v="1"/>
    <x v="1"/>
    <x v="0"/>
    <d v="2025-12-03T00:00:00"/>
    <m/>
    <m/>
    <x v="1"/>
    <n v="12"/>
    <s v="Erjo Miguel Tagle"/>
    <m/>
  </r>
  <r>
    <x v="455"/>
    <x v="0"/>
    <x v="4"/>
    <s v="PEMERAL_6403H2018040201__1001 SI_Project Chronos/H.20180402.01.1001"/>
    <s v="RDC0000993 Others"/>
    <s v="DFLTPGCOH_000000"/>
    <s v="Non-LFF"/>
    <s v=""/>
    <m/>
    <b v="0"/>
    <x v="1"/>
    <x v="0"/>
    <d v="2025-12-03T00:00:00"/>
    <m/>
    <m/>
    <x v="1"/>
    <n v="12"/>
    <s v="Erjo Miguel Tagle"/>
    <m/>
  </r>
  <r>
    <x v="455"/>
    <x v="0"/>
    <x v="2"/>
    <s v="CSCALA_1022$RDG_L39"/>
    <s v="H000001088"/>
    <s v="H000001088"/>
    <s v="Non-LFF"/>
    <s v=""/>
    <m/>
    <b v="1"/>
    <x v="1"/>
    <x v="0"/>
    <d v="2025-12-03T00:00:00"/>
    <m/>
    <m/>
    <x v="1"/>
    <n v="12"/>
    <s v="Erjo Miguel Tagle"/>
    <m/>
  </r>
  <r>
    <x v="455"/>
    <x v="0"/>
    <x v="2"/>
    <s v="CSCALA_1022$RDG_L38"/>
    <s v="H000001088"/>
    <s v="H000001088"/>
    <s v="Non-LFF"/>
    <s v=""/>
    <m/>
    <b v="1"/>
    <x v="1"/>
    <x v="0"/>
    <d v="2025-12-03T00:00:00"/>
    <m/>
    <m/>
    <x v="1"/>
    <n v="12"/>
    <s v="Erjo Miguel Tagle"/>
    <m/>
  </r>
  <r>
    <x v="455"/>
    <x v="0"/>
    <x v="2"/>
    <s v="CSCALA_1022$RDG_L35"/>
    <s v="H000001088"/>
    <s v="H000001088"/>
    <s v="Non-LFF"/>
    <s v=""/>
    <m/>
    <b v="1"/>
    <x v="1"/>
    <x v="0"/>
    <d v="2025-12-03T00:00:00"/>
    <m/>
    <m/>
    <x v="1"/>
    <n v="12"/>
    <s v="Erjo Miguel Tagle"/>
    <m/>
  </r>
  <r>
    <x v="455"/>
    <x v="0"/>
    <x v="2"/>
    <s v="CSCALA_1022$RDG_L36"/>
    <s v="H000001088"/>
    <s v="H000001088"/>
    <s v="Non-LFF"/>
    <s v=""/>
    <m/>
    <b v="1"/>
    <x v="1"/>
    <x v="0"/>
    <d v="2025-12-03T00:00:00"/>
    <m/>
    <m/>
    <x v="1"/>
    <n v="12"/>
    <s v="Erjo Miguel Tagle"/>
    <m/>
  </r>
  <r>
    <x v="455"/>
    <x v="0"/>
    <x v="2"/>
    <s v="CSCALA_1022$RDG_L37"/>
    <s v="H000001088"/>
    <s v="H000001088"/>
    <s v="Non-LFF"/>
    <s v=""/>
    <m/>
    <b v="1"/>
    <x v="1"/>
    <x v="0"/>
    <d v="2025-12-03T00:00:00"/>
    <m/>
    <m/>
    <x v="1"/>
    <n v="12"/>
    <s v="Erjo Miguel Tagle"/>
    <m/>
  </r>
  <r>
    <x v="455"/>
    <x v="0"/>
    <x v="2"/>
    <s v="CSCALA_1022$PVS_L40"/>
    <s v="H000001086"/>
    <s v="H000001086"/>
    <s v="Non-LFF"/>
    <s v=""/>
    <m/>
    <b v="1"/>
    <x v="1"/>
    <x v="0"/>
    <d v="2025-12-03T00:00:00"/>
    <m/>
    <m/>
    <x v="1"/>
    <n v="12"/>
    <s v="Erjo Miguel Tagle"/>
    <m/>
  </r>
  <r>
    <x v="455"/>
    <x v="0"/>
    <x v="2"/>
    <s v="CSCALA_1248$6528_L40"/>
    <s v="H000000923"/>
    <s v="H000000923"/>
    <s v="Non-LFF"/>
    <s v=""/>
    <m/>
    <b v="1"/>
    <x v="1"/>
    <x v="0"/>
    <d v="2025-12-03T00:00:00"/>
    <m/>
    <m/>
    <x v="1"/>
    <n v="12"/>
    <s v="Erjo Miguel Tagle"/>
    <m/>
  </r>
  <r>
    <x v="455"/>
    <x v="0"/>
    <x v="2"/>
    <s v="CSCALA_1248$6528_L39"/>
    <s v="H000000923"/>
    <s v="H000000923"/>
    <s v="Non-LFF"/>
    <s v=""/>
    <m/>
    <b v="1"/>
    <x v="1"/>
    <x v="0"/>
    <d v="2025-12-03T00:00:00"/>
    <m/>
    <m/>
    <x v="1"/>
    <n v="12"/>
    <s v="Erjo Miguel Tagle"/>
    <m/>
  </r>
  <r>
    <x v="455"/>
    <x v="0"/>
    <x v="2"/>
    <s v="CSCALA_1248$VR00_V03"/>
    <s v="H000004401"/>
    <s v="H000004401"/>
    <s v="Non-LFF"/>
    <s v=""/>
    <m/>
    <b v="1"/>
    <x v="1"/>
    <x v="0"/>
    <d v="2025-12-03T00:00:00"/>
    <m/>
    <m/>
    <x v="1"/>
    <n v="12"/>
    <s v="Erjo Miguel Tagle"/>
    <m/>
  </r>
  <r>
    <x v="455"/>
    <x v="0"/>
    <x v="2"/>
    <s v="CSCALA_1248$A350_L40"/>
    <s v="H000000729"/>
    <s v="H000000729"/>
    <s v="Non-LFF"/>
    <s v=""/>
    <m/>
    <b v="1"/>
    <x v="1"/>
    <x v="0"/>
    <d v="2025-12-03T00:00:00"/>
    <m/>
    <m/>
    <x v="1"/>
    <n v="12"/>
    <s v="Erjo Miguel Tagle"/>
    <m/>
  </r>
  <r>
    <x v="455"/>
    <x v="0"/>
    <x v="2"/>
    <s v="CSCALA_1872$195_GCQ"/>
    <s v="H000000907"/>
    <s v="H000000907"/>
    <s v="Non-LFF"/>
    <s v=""/>
    <m/>
    <b v="1"/>
    <x v="1"/>
    <x v="0"/>
    <d v="2025-12-03T00:00:00"/>
    <m/>
    <m/>
    <x v="1"/>
    <n v="12"/>
    <s v="Erjo Miguel Tagle"/>
    <m/>
  </r>
  <r>
    <x v="456"/>
    <x v="0"/>
    <x v="2"/>
    <s v="CSCALA_1248$A351"/>
    <s v="H000004401"/>
    <s v="H000004401"/>
    <s v="Non-LFF"/>
    <s v=""/>
    <m/>
    <b v="1"/>
    <x v="1"/>
    <x v="0"/>
    <d v="2025-12-03T00:00:00"/>
    <m/>
    <m/>
    <x v="1"/>
    <n v="12"/>
    <s v="Erjo Miguel Tagle"/>
    <m/>
  </r>
  <r>
    <x v="456"/>
    <x v="0"/>
    <x v="2"/>
    <s v="CSCALA_1248$A351_L05"/>
    <s v="H000004401"/>
    <s v="H000004401"/>
    <s v="Non-LFF"/>
    <s v=""/>
    <m/>
    <b v="1"/>
    <x v="1"/>
    <x v="0"/>
    <d v="2025-12-03T00:00:00"/>
    <m/>
    <m/>
    <x v="1"/>
    <n v="12"/>
    <s v="Erjo Miguel Tagle"/>
    <m/>
  </r>
  <r>
    <x v="456"/>
    <x v="0"/>
    <x v="2"/>
    <s v="CSCALA_1248$A351_L12"/>
    <s v="H000004401"/>
    <s v="H000004401"/>
    <s v="Non-LFF"/>
    <s v=""/>
    <m/>
    <b v="1"/>
    <x v="1"/>
    <x v="0"/>
    <d v="2025-12-03T00:00:00"/>
    <m/>
    <m/>
    <x v="1"/>
    <n v="12"/>
    <s v="Erjo Miguel Tagle"/>
    <m/>
  </r>
  <r>
    <x v="456"/>
    <x v="0"/>
    <x v="2"/>
    <s v="CSCALA_1248$A351_L33"/>
    <s v="H000004401"/>
    <s v="H000004401"/>
    <s v="Non-LFF"/>
    <s v=""/>
    <m/>
    <b v="1"/>
    <x v="1"/>
    <x v="0"/>
    <d v="2025-12-03T00:00:00"/>
    <m/>
    <m/>
    <x v="1"/>
    <n v="12"/>
    <s v="Erjo Miguel Tagle"/>
    <m/>
  </r>
  <r>
    <x v="456"/>
    <x v="0"/>
    <x v="2"/>
    <s v="CSCALA_1248$A351_L34"/>
    <s v="H000004401"/>
    <s v="H000004401"/>
    <s v="Non-LFF"/>
    <s v=""/>
    <m/>
    <b v="1"/>
    <x v="1"/>
    <x v="0"/>
    <d v="2025-12-03T00:00:00"/>
    <m/>
    <m/>
    <x v="1"/>
    <n v="12"/>
    <s v="Erjo Miguel Tagle"/>
    <m/>
  </r>
  <r>
    <x v="457"/>
    <x v="0"/>
    <x v="2"/>
    <s v="CFLTFLE_10548-151-RA REGULATORY AFFAIRS"/>
    <s v="H000000719"/>
    <s v="H000000719"/>
    <s v="Non-LFF"/>
    <s v=""/>
    <m/>
    <b v="1"/>
    <x v="1"/>
    <x v="0"/>
    <d v="2025-12-04T00:00:00"/>
    <m/>
    <m/>
    <x v="1"/>
    <n v="11"/>
    <s v="Gay Geanuza del Mundo"/>
    <m/>
  </r>
  <r>
    <x v="458"/>
    <x v="0"/>
    <x v="2"/>
    <s v="CSCALA_1022$ITS_T02"/>
    <s v="G000000895"/>
    <s v="G000000895"/>
    <s v="Non-LFF"/>
    <s v=""/>
    <m/>
    <b v="1"/>
    <x v="0"/>
    <x v="0"/>
    <d v="2025-12-04T00:00:00"/>
    <m/>
    <m/>
    <x v="1"/>
    <n v="11"/>
    <s v="Jay-R Lizardo"/>
    <m/>
  </r>
  <r>
    <x v="459"/>
    <x v="0"/>
    <x v="2"/>
    <s v="CSCALA_1820$Q319_AQ2"/>
    <s v="H000004399"/>
    <s v="H000004399"/>
    <s v="Non-LFF"/>
    <s v=""/>
    <m/>
    <b v="1"/>
    <x v="1"/>
    <x v="0"/>
    <d v="2025-12-05T00:00:00"/>
    <m/>
    <m/>
    <x v="1"/>
    <n v="10"/>
    <s v="Erjo Miguel Tagle"/>
    <m/>
  </r>
  <r>
    <x v="459"/>
    <x v="0"/>
    <x v="2"/>
    <s v="CSCALA_1025$25DS_B01"/>
    <s v="H000001085"/>
    <s v="H000001085"/>
    <s v="Non-LFF"/>
    <s v=""/>
    <m/>
    <b v="1"/>
    <x v="1"/>
    <x v="0"/>
    <d v="2025-12-05T00:00:00"/>
    <m/>
    <m/>
    <x v="1"/>
    <n v="10"/>
    <s v="Erjo Miguel Tagle"/>
    <m/>
  </r>
  <r>
    <x v="459"/>
    <x v="0"/>
    <x v="2"/>
    <s v="CSCALA_1025$25RA_B05"/>
    <s v="H000001074"/>
    <s v="H000001074"/>
    <s v="Non-LFF"/>
    <s v=""/>
    <m/>
    <b v="1"/>
    <x v="1"/>
    <x v="0"/>
    <d v="2025-12-05T00:00:00"/>
    <m/>
    <m/>
    <x v="1"/>
    <n v="10"/>
    <s v="Erjo Miguel Tagle"/>
    <m/>
  </r>
  <r>
    <x v="459"/>
    <x v="0"/>
    <x v="2"/>
    <s v="CSCALA_1042$MSRG_P19"/>
    <s v="H000000723"/>
    <s v="H000000723"/>
    <s v="Non-LFF"/>
    <s v=""/>
    <m/>
    <b v="1"/>
    <x v="1"/>
    <x v="0"/>
    <d v="2025-12-05T00:00:00"/>
    <m/>
    <m/>
    <x v="1"/>
    <n v="10"/>
    <s v="Erjo Miguel Tagle"/>
    <m/>
  </r>
  <r>
    <x v="459"/>
    <x v="0"/>
    <x v="2"/>
    <s v="CSCALA_1042$MSRG_P48"/>
    <s v="H000000723"/>
    <s v="H000000723"/>
    <s v="Non-LFF"/>
    <s v=""/>
    <m/>
    <b v="1"/>
    <x v="1"/>
    <x v="0"/>
    <d v="2025-12-05T00:00:00"/>
    <m/>
    <m/>
    <x v="1"/>
    <n v="10"/>
    <s v="Erjo Miguel Tagle"/>
    <m/>
  </r>
  <r>
    <x v="459"/>
    <x v="0"/>
    <x v="2"/>
    <s v="CSCALA_1248$A353_L33"/>
    <s v="H000000802"/>
    <s v="H000000802"/>
    <s v="Non-LFF"/>
    <s v=""/>
    <m/>
    <b v="1"/>
    <x v="1"/>
    <x v="0"/>
    <d v="2025-12-05T00:00:00"/>
    <m/>
    <m/>
    <x v="1"/>
    <n v="10"/>
    <s v="Erjo Miguel Tagle"/>
    <m/>
  </r>
  <r>
    <x v="459"/>
    <x v="0"/>
    <x v="2"/>
    <s v="CSCALA_1248$A353_L12"/>
    <s v="H000000802"/>
    <s v="H000000802"/>
    <s v="Non-LFF"/>
    <s v=""/>
    <m/>
    <b v="1"/>
    <x v="1"/>
    <x v="0"/>
    <d v="2025-12-05T00:00:00"/>
    <m/>
    <m/>
    <x v="1"/>
    <n v="10"/>
    <s v="Erjo Miguel Tagle"/>
    <m/>
  </r>
  <r>
    <x v="459"/>
    <x v="0"/>
    <x v="2"/>
    <s v="CSCALA_1248$A353_L05"/>
    <s v="H000000802"/>
    <s v="H000000802"/>
    <s v="Non-LFF"/>
    <s v=""/>
    <m/>
    <b v="1"/>
    <x v="1"/>
    <x v="0"/>
    <d v="2025-12-05T00:00:00"/>
    <m/>
    <m/>
    <x v="1"/>
    <n v="10"/>
    <s v="Erjo Miguel Tagle"/>
    <m/>
  </r>
  <r>
    <x v="459"/>
    <x v="0"/>
    <x v="2"/>
    <s v="CSCALA_1248$A353_L34"/>
    <s v="H000000802"/>
    <s v="H000000802"/>
    <s v="Non-LFF"/>
    <s v=""/>
    <m/>
    <b v="1"/>
    <x v="1"/>
    <x v="0"/>
    <d v="2025-12-05T00:00:00"/>
    <m/>
    <m/>
    <x v="1"/>
    <n v="10"/>
    <s v="Erjo Miguel Tagle"/>
    <m/>
  </r>
  <r>
    <x v="459"/>
    <x v="0"/>
    <x v="2"/>
    <s v="CSCALA_1248$A353 LPSO GPS"/>
    <s v="H000000802"/>
    <s v="H000000802"/>
    <s v="Non-LFF"/>
    <s v=""/>
    <m/>
    <b v="1"/>
    <x v="1"/>
    <x v="0"/>
    <d v="2025-12-05T00:00:00"/>
    <m/>
    <m/>
    <x v="1"/>
    <n v="10"/>
    <s v="Erjo Miguel Tagle"/>
    <m/>
  </r>
  <r>
    <x v="460"/>
    <x v="0"/>
    <x v="2"/>
    <s v="CSCALA_1248$A350"/>
    <s v="H000000726"/>
    <s v="H000000726"/>
    <s v="Non-LFF"/>
    <s v=""/>
    <m/>
    <b v="1"/>
    <x v="1"/>
    <x v="0"/>
    <d v="2025-12-05T00:00:00"/>
    <m/>
    <m/>
    <x v="1"/>
    <n v="10"/>
    <s v="Erjo Miguel Tagle"/>
    <m/>
  </r>
  <r>
    <x v="460"/>
    <x v="0"/>
    <x v="2"/>
    <s v="CSCALA_1248$A350_L05"/>
    <s v="H000000726"/>
    <s v="H000000726"/>
    <s v="Non-LFF"/>
    <s v=""/>
    <m/>
    <b v="1"/>
    <x v="1"/>
    <x v="0"/>
    <d v="2025-12-05T00:00:00"/>
    <m/>
    <m/>
    <x v="1"/>
    <n v="10"/>
    <s v="Erjo Miguel Tagle"/>
    <m/>
  </r>
  <r>
    <x v="460"/>
    <x v="0"/>
    <x v="2"/>
    <s v="CSCALA_1248$A350_L09"/>
    <s v="H000000726"/>
    <s v="H000000726"/>
    <s v="Non-LFF"/>
    <s v=""/>
    <m/>
    <b v="1"/>
    <x v="1"/>
    <x v="0"/>
    <d v="2025-12-05T00:00:00"/>
    <m/>
    <m/>
    <x v="1"/>
    <n v="10"/>
    <s v="Erjo Miguel Tagle"/>
    <m/>
  </r>
  <r>
    <x v="460"/>
    <x v="0"/>
    <x v="2"/>
    <s v="CSCALA_1248$A350_L11"/>
    <s v="H000000726"/>
    <s v="H000000726"/>
    <s v="Non-LFF"/>
    <s v=""/>
    <m/>
    <b v="1"/>
    <x v="1"/>
    <x v="0"/>
    <d v="2025-12-05T00:00:00"/>
    <m/>
    <m/>
    <x v="1"/>
    <n v="10"/>
    <s v="Erjo Miguel Tagle"/>
    <m/>
  </r>
  <r>
    <x v="460"/>
    <x v="0"/>
    <x v="2"/>
    <s v="CSCALA_1248$A350_L33"/>
    <s v="H000000726"/>
    <s v="H000000726"/>
    <s v="Non-LFF"/>
    <s v=""/>
    <m/>
    <b v="1"/>
    <x v="1"/>
    <x v="0"/>
    <d v="2025-12-05T00:00:00"/>
    <m/>
    <m/>
    <x v="1"/>
    <n v="10"/>
    <s v="Erjo Miguel Tagle"/>
    <m/>
  </r>
  <r>
    <x v="460"/>
    <x v="0"/>
    <x v="2"/>
    <s v="CSCALA_1248$A351"/>
    <s v="H000000802"/>
    <s v="H000000802"/>
    <s v="Non-LFF"/>
    <s v=""/>
    <m/>
    <b v="1"/>
    <x v="1"/>
    <x v="0"/>
    <d v="2025-12-05T00:00:00"/>
    <m/>
    <m/>
    <x v="1"/>
    <n v="10"/>
    <s v="Erjo Miguel Tagle"/>
    <m/>
  </r>
  <r>
    <x v="460"/>
    <x v="0"/>
    <x v="2"/>
    <s v="CSCALA_1248$A351_L05"/>
    <s v="H000000802"/>
    <s v="H000000802"/>
    <s v="Non-LFF"/>
    <s v=""/>
    <m/>
    <b v="1"/>
    <x v="1"/>
    <x v="0"/>
    <d v="2025-12-05T00:00:00"/>
    <m/>
    <m/>
    <x v="1"/>
    <n v="10"/>
    <s v="Erjo Miguel Tagle"/>
    <m/>
  </r>
  <r>
    <x v="460"/>
    <x v="0"/>
    <x v="2"/>
    <s v="CSCALA_1248$A351_L12"/>
    <s v="H000000802"/>
    <s v="H000000802"/>
    <s v="Non-LFF"/>
    <s v=""/>
    <m/>
    <b v="1"/>
    <x v="1"/>
    <x v="0"/>
    <d v="2025-12-05T00:00:00"/>
    <m/>
    <m/>
    <x v="1"/>
    <n v="10"/>
    <s v="Erjo Miguel Tagle"/>
    <m/>
  </r>
  <r>
    <x v="460"/>
    <x v="0"/>
    <x v="2"/>
    <s v="CSCALA_1248$A351_L33"/>
    <s v="H000000802"/>
    <s v="H000000802"/>
    <s v="Non-LFF"/>
    <s v=""/>
    <m/>
    <b v="1"/>
    <x v="1"/>
    <x v="0"/>
    <d v="2025-12-05T00:00:00"/>
    <m/>
    <m/>
    <x v="1"/>
    <n v="10"/>
    <s v="Erjo Miguel Tagle"/>
    <m/>
  </r>
  <r>
    <x v="460"/>
    <x v="0"/>
    <x v="2"/>
    <s v="CSCALA_1248$A351_L34"/>
    <s v="H000000802"/>
    <s v="H000000802"/>
    <s v="Non-LFF"/>
    <s v=""/>
    <m/>
    <b v="1"/>
    <x v="1"/>
    <x v="0"/>
    <d v="2025-12-05T00:00:00"/>
    <m/>
    <m/>
    <x v="1"/>
    <n v="10"/>
    <s v="Erjo Miguel Tagle"/>
    <m/>
  </r>
  <r>
    <x v="461"/>
    <x v="0"/>
    <x v="2"/>
    <s v="CSCALA_1042$MSRG_P19"/>
    <s v="H000000725"/>
    <s v="H000000725"/>
    <s v="Non-LFF"/>
    <s v=""/>
    <m/>
    <b v="1"/>
    <x v="1"/>
    <x v="0"/>
    <d v="2025-12-08T00:00:00"/>
    <m/>
    <m/>
    <x v="1"/>
    <n v="9"/>
    <s v="Erjo Miguel Tagle"/>
    <m/>
  </r>
  <r>
    <x v="461"/>
    <x v="0"/>
    <x v="2"/>
    <s v="CSCALA_1042$MSRG_P48"/>
    <s v="H000000725"/>
    <s v="H000000725"/>
    <s v="Non-LFF"/>
    <s v=""/>
    <m/>
    <b v="1"/>
    <x v="1"/>
    <x v="0"/>
    <d v="2025-12-08T00:00:00"/>
    <m/>
    <m/>
    <x v="1"/>
    <n v="9"/>
    <s v="Erjo Miguel Tagle"/>
    <m/>
  </r>
  <r>
    <x v="462"/>
    <x v="0"/>
    <x v="2"/>
    <s v="CPHOENX_01010000648924 "/>
    <s v="L000013461"/>
    <s v="L000013461"/>
    <s v="Non-LFF"/>
    <s v=""/>
    <m/>
    <b v="1"/>
    <x v="2"/>
    <x v="0"/>
    <d v="2025-12-08T00:00:00"/>
    <m/>
    <m/>
    <x v="1"/>
    <n v="9"/>
    <s v="Ruby Grace Garcia"/>
    <m/>
  </r>
  <r>
    <x v="462"/>
    <x v="0"/>
    <x v="2"/>
    <s v="CNOW_7210$$$0000008099"/>
    <s v="L000009635"/>
    <s v="L000009635"/>
    <s v="Non-LFF"/>
    <s v=""/>
    <m/>
    <b v="1"/>
    <x v="2"/>
    <x v="0"/>
    <d v="2025-12-08T00:00:00"/>
    <m/>
    <m/>
    <x v="1"/>
    <n v="9"/>
    <s v="Ruby Grace Garcia"/>
    <m/>
  </r>
  <r>
    <x v="462"/>
    <x v="0"/>
    <x v="2"/>
    <s v="CNOW_7210$$$0000010313"/>
    <s v="L000013359"/>
    <s v="L000013359"/>
    <s v="Non-LFF"/>
    <s v=""/>
    <m/>
    <b v="1"/>
    <x v="2"/>
    <x v="0"/>
    <d v="2025-12-08T00:00:00"/>
    <m/>
    <m/>
    <x v="1"/>
    <n v="9"/>
    <s v="Ruby Grace Garcia"/>
    <m/>
  </r>
  <r>
    <x v="462"/>
    <x v="0"/>
    <x v="2"/>
    <s v="CNOW_7210$$$0000015417"/>
    <s v="L000010020"/>
    <s v="L000010020"/>
    <s v="Non-LFF"/>
    <s v=""/>
    <m/>
    <b v="1"/>
    <x v="2"/>
    <x v="0"/>
    <d v="2025-12-08T00:00:00"/>
    <m/>
    <m/>
    <x v="1"/>
    <n v="9"/>
    <s v="Ruby Grace Garcia"/>
    <m/>
  </r>
  <r>
    <x v="462"/>
    <x v="0"/>
    <x v="2"/>
    <s v="CNOW_7210$$$0000057267"/>
    <s v="L000010037"/>
    <s v="L000010037"/>
    <s v="Non-LFF"/>
    <s v=""/>
    <m/>
    <b v="1"/>
    <x v="2"/>
    <x v="0"/>
    <d v="2025-12-08T00:00:00"/>
    <m/>
    <m/>
    <x v="1"/>
    <n v="9"/>
    <s v="Ruby Grace Garcia"/>
    <m/>
  </r>
  <r>
    <x v="462"/>
    <x v="0"/>
    <x v="2"/>
    <s v="CNOW_7210$$$0000020734"/>
    <s v="L000005341"/>
    <s v="L000005341"/>
    <s v="Non-LFF"/>
    <s v=""/>
    <m/>
    <b v="1"/>
    <x v="2"/>
    <x v="0"/>
    <d v="2025-12-08T00:00:00"/>
    <m/>
    <m/>
    <x v="1"/>
    <n v="9"/>
    <s v="Ruby Grace Garcia"/>
    <m/>
  </r>
  <r>
    <x v="462"/>
    <x v="0"/>
    <x v="2"/>
    <s v="CNOW_7210$$$0000020735"/>
    <s v="L000007080"/>
    <s v="L000007080"/>
    <s v="Non-LFF"/>
    <s v=""/>
    <m/>
    <b v="1"/>
    <x v="2"/>
    <x v="0"/>
    <d v="2025-12-08T00:00:00"/>
    <m/>
    <m/>
    <x v="1"/>
    <n v="9"/>
    <s v="Ruby Grace Garcia"/>
    <m/>
  </r>
  <r>
    <x v="462"/>
    <x v="0"/>
    <x v="2"/>
    <s v="CNOW_7210$$$0000040066"/>
    <s v="L000013317"/>
    <s v="L000013317"/>
    <s v="Non-LFF"/>
    <s v=""/>
    <m/>
    <b v="1"/>
    <x v="2"/>
    <x v="0"/>
    <d v="2025-12-08T00:00:00"/>
    <m/>
    <m/>
    <x v="1"/>
    <n v="9"/>
    <s v="Ruby Grace Garcia"/>
    <m/>
  </r>
  <r>
    <x v="462"/>
    <x v="0"/>
    <x v="2"/>
    <s v="CNOW_7210$$$0000020741"/>
    <s v="L000013227"/>
    <s v="L000013227"/>
    <s v="Non-LFF"/>
    <s v=""/>
    <m/>
    <b v="1"/>
    <x v="2"/>
    <x v="0"/>
    <d v="2025-12-08T00:00:00"/>
    <m/>
    <m/>
    <x v="1"/>
    <n v="9"/>
    <s v="Ruby Grace Garcia"/>
    <m/>
  </r>
  <r>
    <x v="462"/>
    <x v="0"/>
    <x v="2"/>
    <s v="CNOW_7210$$$0000020736"/>
    <s v="L000011186"/>
    <s v="L000011186"/>
    <s v="Non-LFF"/>
    <s v=""/>
    <m/>
    <b v="1"/>
    <x v="2"/>
    <x v="0"/>
    <d v="2025-12-08T00:00:00"/>
    <m/>
    <m/>
    <x v="1"/>
    <n v="9"/>
    <s v="Ruby Grace Garcia"/>
    <m/>
  </r>
  <r>
    <x v="462"/>
    <x v="0"/>
    <x v="2"/>
    <s v="CNOW_7210$$$0000020737"/>
    <s v="L000011186"/>
    <s v="L000011186"/>
    <s v="Non-LFF"/>
    <s v=""/>
    <m/>
    <b v="1"/>
    <x v="2"/>
    <x v="0"/>
    <d v="2025-12-08T00:00:00"/>
    <m/>
    <m/>
    <x v="1"/>
    <n v="9"/>
    <s v="Ruby Grace Garcia"/>
    <m/>
  </r>
  <r>
    <x v="462"/>
    <x v="0"/>
    <x v="2"/>
    <s v="CNOW_7210$$$0000020738"/>
    <s v="L000011185"/>
    <s v="L000011185"/>
    <s v="Non-LFF"/>
    <s v=""/>
    <m/>
    <b v="1"/>
    <x v="2"/>
    <x v="0"/>
    <d v="2025-12-08T00:00:00"/>
    <m/>
    <m/>
    <x v="1"/>
    <n v="9"/>
    <s v="Ruby Grace Garcia"/>
    <m/>
  </r>
  <r>
    <x v="462"/>
    <x v="0"/>
    <x v="2"/>
    <s v="CNOW_7210$$$0000020739"/>
    <s v="L000011185"/>
    <s v="L000011185"/>
    <s v="Non-LFF"/>
    <s v=""/>
    <m/>
    <b v="1"/>
    <x v="2"/>
    <x v="0"/>
    <d v="2025-12-08T00:00:00"/>
    <m/>
    <m/>
    <x v="1"/>
    <n v="9"/>
    <s v="Ruby Grace Garcia"/>
    <m/>
  </r>
  <r>
    <x v="462"/>
    <x v="0"/>
    <x v="2"/>
    <s v="CNOW_7210$$$0000025508"/>
    <s v="L000013915"/>
    <s v="L000013915"/>
    <s v="Non-LFF"/>
    <s v=""/>
    <m/>
    <b v="1"/>
    <x v="2"/>
    <x v="0"/>
    <d v="2025-12-08T00:00:00"/>
    <m/>
    <m/>
    <x v="1"/>
    <n v="9"/>
    <s v="Ruby Grace Garcia"/>
    <m/>
  </r>
  <r>
    <x v="462"/>
    <x v="0"/>
    <x v="2"/>
    <s v="CNOW_7210$$$0000057566"/>
    <s v="L000009119"/>
    <s v="L000009119"/>
    <s v="Non-LFF"/>
    <s v=""/>
    <m/>
    <b v="1"/>
    <x v="2"/>
    <x v="0"/>
    <d v="2025-12-08T00:00:00"/>
    <m/>
    <m/>
    <x v="1"/>
    <n v="9"/>
    <s v="Ruby Grace Garcia"/>
    <m/>
  </r>
  <r>
    <x v="462"/>
    <x v="0"/>
    <x v="2"/>
    <s v="CNOW_7210$$$0000269903"/>
    <s v="L000009119"/>
    <s v="L000009119"/>
    <s v="Non-LFF"/>
    <s v=""/>
    <m/>
    <b v="1"/>
    <x v="2"/>
    <x v="0"/>
    <d v="2025-12-08T00:00:00"/>
    <m/>
    <m/>
    <x v="1"/>
    <n v="9"/>
    <s v="Ruby Grace Garcia"/>
    <m/>
  </r>
  <r>
    <x v="462"/>
    <x v="0"/>
    <x v="2"/>
    <s v="CNOW_7210$$$0000009003"/>
    <s v="L000009119"/>
    <s v="L000009119"/>
    <s v="Non-LFF"/>
    <s v=""/>
    <m/>
    <b v="1"/>
    <x v="2"/>
    <x v="0"/>
    <d v="2025-12-08T00:00:00"/>
    <m/>
    <m/>
    <x v="1"/>
    <n v="9"/>
    <s v="Ruby Grace Garcia"/>
    <m/>
  </r>
  <r>
    <x v="462"/>
    <x v="0"/>
    <x v="2"/>
    <s v="CNOW_7210$$$0000025537"/>
    <s v="L000009119"/>
    <s v="L000009119"/>
    <s v="Non-LFF"/>
    <s v=""/>
    <m/>
    <b v="1"/>
    <x v="2"/>
    <x v="0"/>
    <d v="2025-12-08T00:00:00"/>
    <m/>
    <m/>
    <x v="1"/>
    <n v="9"/>
    <s v="Ruby Grace Garcia"/>
    <m/>
  </r>
  <r>
    <x v="462"/>
    <x v="0"/>
    <x v="2"/>
    <s v="CNOW_7210$$$0000020428"/>
    <s v="L000009119"/>
    <s v="L000009119"/>
    <s v="Non-LFF"/>
    <s v=""/>
    <m/>
    <b v="1"/>
    <x v="2"/>
    <x v="0"/>
    <d v="2025-12-08T00:00:00"/>
    <m/>
    <m/>
    <x v="1"/>
    <n v="9"/>
    <s v="Ruby Grace Garcia"/>
    <m/>
  </r>
  <r>
    <x v="462"/>
    <x v="0"/>
    <x v="2"/>
    <s v="CNOW_7210$$$0000020429"/>
    <s v="L000009119"/>
    <s v="L000009119"/>
    <s v="Non-LFF"/>
    <s v=""/>
    <m/>
    <b v="1"/>
    <x v="2"/>
    <x v="0"/>
    <d v="2025-12-08T00:00:00"/>
    <m/>
    <m/>
    <x v="1"/>
    <n v="9"/>
    <s v="Ruby Grace Garcia"/>
    <m/>
  </r>
  <r>
    <x v="462"/>
    <x v="0"/>
    <x v="2"/>
    <s v="CNOW_7210$$$0000040593"/>
    <s v="L000009119"/>
    <s v="L000009119"/>
    <s v="Non-LFF"/>
    <s v=""/>
    <m/>
    <b v="1"/>
    <x v="2"/>
    <x v="0"/>
    <d v="2025-12-08T00:00:00"/>
    <m/>
    <m/>
    <x v="1"/>
    <n v="9"/>
    <s v="Ruby Grace Garcia"/>
    <m/>
  </r>
  <r>
    <x v="462"/>
    <x v="0"/>
    <x v="2"/>
    <s v="CNOW_7210$$$0000020750"/>
    <s v="L000009119"/>
    <s v="L000009119"/>
    <s v="Non-LFF"/>
    <s v=""/>
    <m/>
    <b v="1"/>
    <x v="2"/>
    <x v="0"/>
    <d v="2025-12-08T00:00:00"/>
    <m/>
    <m/>
    <x v="1"/>
    <n v="9"/>
    <s v="Ruby Grace Garcia"/>
    <m/>
  </r>
  <r>
    <x v="462"/>
    <x v="0"/>
    <x v="2"/>
    <s v="CNOW_7210$$$0000497199"/>
    <s v="L000005269"/>
    <s v="L000005269"/>
    <s v="Non-LFF"/>
    <s v=""/>
    <m/>
    <b v="1"/>
    <x v="2"/>
    <x v="0"/>
    <d v="2025-12-08T00:00:00"/>
    <m/>
    <m/>
    <x v="1"/>
    <n v="9"/>
    <s v="Ruby Grace Garcia"/>
    <m/>
  </r>
  <r>
    <x v="462"/>
    <x v="0"/>
    <x v="2"/>
    <s v="CNOW_7210$$$0000008063"/>
    <s v="L000011184"/>
    <s v="L000011184"/>
    <s v="Non-LFF"/>
    <s v=""/>
    <m/>
    <b v="1"/>
    <x v="2"/>
    <x v="0"/>
    <d v="2025-12-08T00:00:00"/>
    <m/>
    <m/>
    <x v="1"/>
    <n v="9"/>
    <s v="Ruby Grace Garcia"/>
    <m/>
  </r>
  <r>
    <x v="462"/>
    <x v="0"/>
    <x v="2"/>
    <s v="CNOW_7210$$$0000008064"/>
    <s v="L000011188"/>
    <s v="L000011188"/>
    <s v="Non-LFF"/>
    <s v=""/>
    <m/>
    <b v="1"/>
    <x v="2"/>
    <x v="0"/>
    <d v="2025-12-08T00:00:00"/>
    <m/>
    <m/>
    <x v="1"/>
    <n v="9"/>
    <s v="Ruby Grace Garcia"/>
    <m/>
  </r>
  <r>
    <x v="462"/>
    <x v="0"/>
    <x v="2"/>
    <s v="D30012000000000 "/>
    <s v="L000011451"/>
    <s v="L000011451"/>
    <s v="Non-LFF"/>
    <s v=""/>
    <m/>
    <b v="1"/>
    <x v="2"/>
    <x v="0"/>
    <d v="2025-12-08T00:00:00"/>
    <m/>
    <m/>
    <x v="1"/>
    <n v="9"/>
    <s v="Ruby Grace Garcia"/>
    <m/>
  </r>
  <r>
    <x v="463"/>
    <x v="1"/>
    <x v="8"/>
    <s v="RDC0000095"/>
    <s v="H000004396"/>
    <s v="DFLTPGCOH_MISSING_NODES"/>
    <s v="Non-LFF"/>
    <s v=""/>
    <m/>
    <b v="0"/>
    <x v="1"/>
    <x v="0"/>
    <d v="2025-12-08T00:00:00"/>
    <m/>
    <m/>
    <x v="1"/>
    <n v="9"/>
    <s v="Erjo Miguel Tagle"/>
    <m/>
  </r>
  <r>
    <x v="464"/>
    <x v="0"/>
    <x v="2"/>
    <s v="CEMERAL_70006101LSCORE LS China Core and Capabilities"/>
    <s v="L000013903"/>
    <s v="L000013903"/>
    <s v="Non-LFF"/>
    <s v=""/>
    <m/>
    <b v="1"/>
    <x v="2"/>
    <x v="0"/>
    <d v="2025-12-08T00:00:00"/>
    <m/>
    <m/>
    <x v="1"/>
    <n v="9"/>
    <s v="Ruby Grace Garcia"/>
    <m/>
  </r>
  <r>
    <x v="464"/>
    <x v="0"/>
    <x v="2"/>
    <s v="CLFF_1000$$$DE10Z0319A LS Project Eagle"/>
    <s v="L000013905"/>
    <s v="L000013905"/>
    <s v="LFF (MDG-F)"/>
    <s v="DE10Z0319A"/>
    <m/>
    <b v="1"/>
    <x v="2"/>
    <x v="0"/>
    <d v="2025-12-08T00:00:00"/>
    <m/>
    <m/>
    <x v="1"/>
    <n v="9"/>
    <s v="Ruby Grace Garcia"/>
    <m/>
  </r>
  <r>
    <x v="464"/>
    <x v="0"/>
    <x v="2"/>
    <s v="CORAERP_MMOR1975.9114 LS Project Eagle"/>
    <s v="L000013905"/>
    <s v="L000013905"/>
    <s v="Non-LFF"/>
    <s v=""/>
    <m/>
    <b v="1"/>
    <x v="2"/>
    <x v="0"/>
    <d v="2025-12-08T00:00:00"/>
    <m/>
    <m/>
    <x v="1"/>
    <n v="9"/>
    <s v="Ruby Grace Garcia"/>
    <m/>
  </r>
  <r>
    <x v="464"/>
    <x v="0"/>
    <x v="2"/>
    <s v="CPHOENX_01010000697001 Project Eagle"/>
    <s v="L000013905"/>
    <s v="L000013905"/>
    <s v="Non-LFF"/>
    <s v=""/>
    <m/>
    <b v="1"/>
    <x v="2"/>
    <x v="0"/>
    <d v="2025-12-08T00:00:00"/>
    <m/>
    <m/>
    <x v="1"/>
    <n v="9"/>
    <s v="Ruby Grace Garcia"/>
    <m/>
  </r>
  <r>
    <x v="464"/>
    <x v="0"/>
    <x v="2"/>
    <s v="CNOW_7210$$$0000021307 Applied Solutions Mgmt"/>
    <s v="L000005321"/>
    <s v="L000005321"/>
    <s v="Non-LFF"/>
    <s v=""/>
    <m/>
    <b v="1"/>
    <x v="2"/>
    <x v="0"/>
    <d v="2025-12-08T00:00:00"/>
    <m/>
    <m/>
    <x v="1"/>
    <n v="9"/>
    <s v="Ruby Grace Garcia"/>
    <m/>
  </r>
  <r>
    <x v="465"/>
    <x v="0"/>
    <x v="2"/>
    <s v="D00134300000000 EUV Rinse G5 – Samsung SF1.4"/>
    <s v="P000001013"/>
    <s v="P000001013"/>
    <s v="Non-LFF"/>
    <s v=""/>
    <m/>
    <b v="1"/>
    <x v="3"/>
    <x v="0"/>
    <d v="2025-12-10T00:00:00"/>
    <m/>
    <m/>
    <x v="1"/>
    <n v="7"/>
    <s v="John Rowie Del Rosario"/>
    <m/>
  </r>
  <r>
    <x v="465"/>
    <x v="0"/>
    <x v="2"/>
    <s v="D00134400000000 EUV Rinse G5 – Intel A14"/>
    <s v="P000001013"/>
    <s v="P000001013"/>
    <s v="Non-LFF"/>
    <s v=""/>
    <m/>
    <b v="1"/>
    <x v="3"/>
    <x v="0"/>
    <d v="2025-12-10T00:00:00"/>
    <m/>
    <m/>
    <x v="1"/>
    <n v="7"/>
    <s v="John Rowie Del Rosario"/>
    <m/>
  </r>
  <r>
    <x v="465"/>
    <x v="0"/>
    <x v="2"/>
    <s v="D00134000000000 PFAS-free KrF Resist"/>
    <s v="P000001013"/>
    <s v="P000001013"/>
    <s v="Non-LFF"/>
    <m/>
    <m/>
    <b v="1"/>
    <x v="3"/>
    <x v="0"/>
    <d v="2025-12-10T00:00:00"/>
    <m/>
    <m/>
    <x v="1"/>
    <n v="7"/>
    <s v="John Rowie Del Rosario"/>
    <m/>
  </r>
  <r>
    <x v="465"/>
    <x v="0"/>
    <x v="2"/>
    <s v="D00134100000000 EUV Rinse G5 – Micron 180s"/>
    <s v="P000001013"/>
    <s v="P000001013"/>
    <s v="Non-LFF"/>
    <s v=""/>
    <m/>
    <b v="1"/>
    <x v="3"/>
    <x v="0"/>
    <d v="2025-12-10T00:00:00"/>
    <m/>
    <m/>
    <x v="1"/>
    <n v="7"/>
    <s v="John Rowie Del Rosario"/>
    <m/>
  </r>
  <r>
    <x v="465"/>
    <x v="0"/>
    <x v="2"/>
    <s v="D00133900000000 PFAS-free i-line Resists"/>
    <s v="P000001013"/>
    <s v="P000001013"/>
    <s v="Non-LFF"/>
    <s v=""/>
    <m/>
    <b v="1"/>
    <x v="3"/>
    <x v="0"/>
    <d v="2025-12-10T00:00:00"/>
    <m/>
    <m/>
    <x v="1"/>
    <n v="7"/>
    <s v="John Rowie Del Rosario"/>
    <m/>
  </r>
  <r>
    <x v="465"/>
    <x v="0"/>
    <x v="2"/>
    <s v="D00134700000000 FZero Sensitizer tBuDHN"/>
    <s v="P000001013"/>
    <s v="P000001013"/>
    <s v="Non-LFF"/>
    <s v=""/>
    <m/>
    <b v="1"/>
    <x v="3"/>
    <x v="0"/>
    <d v="2025-12-10T00:00:00"/>
    <m/>
    <m/>
    <x v="1"/>
    <n v="7"/>
    <s v="John Rowie Del Rosario"/>
    <m/>
  </r>
  <r>
    <x v="465"/>
    <x v="0"/>
    <x v="2"/>
    <s v="D00134200000000 EUV Rinse G5 – SK Hynix D1d"/>
    <s v="P000001013"/>
    <s v="P000001013"/>
    <s v="Non-LFF"/>
    <s v=""/>
    <m/>
    <b v="1"/>
    <x v="3"/>
    <x v="0"/>
    <d v="2025-12-10T00:00:00"/>
    <m/>
    <m/>
    <x v="1"/>
    <n v="7"/>
    <s v="John Rowie Del Rosario"/>
    <m/>
  </r>
  <r>
    <x v="465"/>
    <x v="0"/>
    <x v="2"/>
    <s v="DP000009000000 HPD8701/8720 for Intel Adv. Packaging"/>
    <s v="P000001013"/>
    <s v="P000001013"/>
    <s v="Non-LFF"/>
    <s v=""/>
    <m/>
    <b v="1"/>
    <x v="3"/>
    <x v="0"/>
    <d v="2025-12-10T00:00:00"/>
    <m/>
    <m/>
    <x v="1"/>
    <n v="7"/>
    <s v="John Rowie Del Rosario"/>
    <m/>
  </r>
  <r>
    <x v="466"/>
    <x v="1"/>
    <x v="2"/>
    <s v="CFLTFLE_2152IMIPEVOL01"/>
    <s v="P000000411"/>
    <s v="P000000411"/>
    <s v="Non-LFF"/>
    <s v=""/>
    <m/>
    <b v="1"/>
    <x v="3"/>
    <x v="0"/>
    <d v="2025-12-12T00:00:00"/>
    <m/>
    <m/>
    <x v="0"/>
    <n v="5"/>
    <s v="Roselle Delos Angeles"/>
    <m/>
  </r>
  <r>
    <x v="466"/>
    <x v="1"/>
    <x v="8"/>
    <s v="CFLTFLE_2152IMIPPCRD01"/>
    <s v="P000000540"/>
    <s v="DFLTPGCOH_002152"/>
    <s v="Non-LFF"/>
    <s v=""/>
    <m/>
    <b v="0"/>
    <x v="3"/>
    <x v="0"/>
    <d v="2025-12-12T00:00:00"/>
    <m/>
    <m/>
    <x v="0"/>
    <n v="5"/>
    <s v="Roselle Delos Angeles"/>
    <m/>
  </r>
  <r>
    <x v="466"/>
    <x v="1"/>
    <x v="2"/>
    <s v="CLFF_1000$$$DE04OF1000 R&amp;D Europe GoGlobal Trainee"/>
    <s v="P000001336"/>
    <s v="P000001336"/>
    <s v="LFF (MDG-F)"/>
    <s v="DE04OF1000"/>
    <m/>
    <b v="1"/>
    <x v="3"/>
    <x v="0"/>
    <d v="2025-12-12T00:00:00"/>
    <m/>
    <m/>
    <x v="0"/>
    <n v="5"/>
    <s v="Roselle Delos Angeles"/>
    <m/>
  </r>
  <r>
    <x v="466"/>
    <x v="1"/>
    <x v="2"/>
    <s v="CLFF_1000$$$DE01OF0304 PM-OES Supply Chain 4.0"/>
    <s v="P000000575"/>
    <s v="P000000575"/>
    <s v="LFF (MDG-F)"/>
    <s v="DE01OF0304"/>
    <m/>
    <b v="1"/>
    <x v="3"/>
    <x v="0"/>
    <d v="2025-12-12T00:00:00"/>
    <m/>
    <m/>
    <x v="0"/>
    <n v="5"/>
    <s v="Roselle Delos Angeles"/>
    <m/>
  </r>
  <r>
    <x v="466"/>
    <x v="1"/>
    <x v="2"/>
    <s v="CLFF_1000$$$TW02TPTA14 PM-OES Supply Chain 4.0"/>
    <s v="P000000575"/>
    <s v="P000000575"/>
    <s v="LFF (MDG-F)"/>
    <s v="TW02TPTA14"/>
    <m/>
    <b v="1"/>
    <x v="3"/>
    <x v="0"/>
    <d v="2025-12-12T00:00:00"/>
    <m/>
    <m/>
    <x v="0"/>
    <n v="5"/>
    <s v="Roselle Delos Angeles"/>
    <m/>
  </r>
  <r>
    <x v="467"/>
    <x v="1"/>
    <x v="2"/>
    <s v="CORAERP_MMOR1975.6201 GENM - CELL THERAPY BIOP. R&amp;D"/>
    <s v="L000013511"/>
    <s v="L000013511"/>
    <s v="Non-LFF"/>
    <s v=""/>
    <m/>
    <b v="1"/>
    <x v="2"/>
    <x v="0"/>
    <d v="2025-12-15T00:00:00"/>
    <m/>
    <m/>
    <x v="0"/>
    <n v="4"/>
    <s v="Ruby Grace Garcia"/>
    <m/>
  </r>
  <r>
    <x v="467"/>
    <x v="1"/>
    <x v="2"/>
    <s v="CORAERP_MMOR1945.5124 BioP Process &amp; Governance"/>
    <s v="L000013915"/>
    <s v="L000013915"/>
    <s v="Non-LFF"/>
    <s v=""/>
    <m/>
    <b v="1"/>
    <x v="2"/>
    <x v="0"/>
    <d v="2025-12-15T00:00:00"/>
    <m/>
    <m/>
    <x v="0"/>
    <n v="4"/>
    <s v="Ruby Grace Garcia"/>
    <m/>
  </r>
  <r>
    <x v="467"/>
    <x v="1"/>
    <x v="2"/>
    <s v="CNOW_7210$$$0000025463 Marketing Ops (Upstream &amp; Systems)"/>
    <s v="L000013915"/>
    <s v="L000013915"/>
    <s v="Non-LFF"/>
    <s v=""/>
    <m/>
    <b v="1"/>
    <x v="2"/>
    <x v="0"/>
    <d v="2025-12-15T00:00:00"/>
    <m/>
    <m/>
    <x v="0"/>
    <n v="4"/>
    <s v="Ruby Grace Garcia"/>
    <m/>
  </r>
  <r>
    <x v="467"/>
    <x v="1"/>
    <x v="2"/>
    <s v="CTEMPLA_1000BR10000003 Downstream Marketing Brazil"/>
    <s v="L000013912"/>
    <s v="L000013912"/>
    <s v="Non-LFF"/>
    <s v=""/>
    <m/>
    <b v="1"/>
    <x v="2"/>
    <x v="0"/>
    <d v="2025-12-15T00:00:00"/>
    <m/>
    <m/>
    <x v="0"/>
    <n v="4"/>
    <s v="Ruby Grace Garcia"/>
    <m/>
  </r>
  <r>
    <x v="467"/>
    <x v="1"/>
    <x v="2"/>
    <s v="CTEMPEU_1000AT40MS0012 PS Downstream Aseptic for personell cost"/>
    <s v="L000013914"/>
    <s v="L000013914"/>
    <s v="Non-LFF"/>
    <s v=""/>
    <m/>
    <b v="1"/>
    <x v="2"/>
    <x v="0"/>
    <d v="2025-12-15T00:00:00"/>
    <m/>
    <m/>
    <x v="0"/>
    <n v="4"/>
    <s v="Ruby Grace Garcia"/>
    <m/>
  </r>
  <r>
    <x v="467"/>
    <x v="1"/>
    <x v="6"/>
    <s v="CLFF_7210$$$1756C00005 BioC Innovation Mgmt Mkt UK"/>
    <s v="L000013913"/>
    <s v="L000013555"/>
    <s v="LFF (MDG-F)"/>
    <s v="1756C00005"/>
    <m/>
    <b v="0"/>
    <x v="2"/>
    <x v="0"/>
    <d v="2025-12-15T00:00:00"/>
    <m/>
    <m/>
    <x v="0"/>
    <n v="4"/>
    <s v="Ruby Grace Garcia"/>
    <m/>
  </r>
  <r>
    <x v="468"/>
    <x v="1"/>
    <x v="7"/>
    <s v="CNOW_7210$$$0000021322 SM-AL8 Biomolecular ARD US"/>
    <s v="L000006661"/>
    <s v="G000000864"/>
    <s v="Non-LFF"/>
    <s v=""/>
    <s v="TO BE DONE IN 2026"/>
    <b v="0"/>
    <x v="0"/>
    <x v="0"/>
    <d v="2025-12-15T00:00:00"/>
    <m/>
    <m/>
    <x v="0"/>
    <n v="4"/>
    <s v="Manuel Walther"/>
    <m/>
  </r>
  <r>
    <x v="469"/>
    <x v="1"/>
    <x v="2"/>
    <s v="CNOW_AUS0$$$0000092002"/>
    <s v="L000006137"/>
    <s v="L000006137"/>
    <s v="Non-LFF"/>
    <s v=""/>
    <m/>
    <b v="1"/>
    <x v="0"/>
    <x v="0"/>
    <d v="2025-12-18T00:00:00"/>
    <m/>
    <m/>
    <x v="0"/>
    <n v="1"/>
    <s v="Nadine Anic"/>
    <m/>
  </r>
  <r>
    <x v="469"/>
    <x v="1"/>
    <x v="2"/>
    <s v="CFLTFLE_10548-141-ECOM"/>
    <s v="L000008508"/>
    <s v="L000008508"/>
    <s v="Non-LFF"/>
    <s v=""/>
    <m/>
    <b v="1"/>
    <x v="0"/>
    <x v="0"/>
    <d v="2025-12-18T00:00:00"/>
    <m/>
    <m/>
    <x v="0"/>
    <n v="1"/>
    <s v="Nadine Anic"/>
    <m/>
  </r>
  <r>
    <x v="469"/>
    <x v="1"/>
    <x v="6"/>
    <s v="CLFF_1000$$$DE20529800"/>
    <s v="G000000482"/>
    <m/>
    <s v="LFF (MDG-F)"/>
    <s v="DE20529800"/>
    <m/>
    <b v="0"/>
    <x v="0"/>
    <x v="0"/>
    <d v="2025-12-18T00:00:00"/>
    <m/>
    <m/>
    <x v="0"/>
    <n v="1"/>
    <s v="Nadine Anic"/>
    <m/>
  </r>
  <r>
    <x v="469"/>
    <x v="1"/>
    <x v="6"/>
    <s v="CLFF_1000$$$DE20529900"/>
    <s v="G000000482"/>
    <m/>
    <s v="LFF (MDG-F)"/>
    <s v="DE20529900"/>
    <m/>
    <b v="0"/>
    <x v="0"/>
    <x v="0"/>
    <d v="2025-12-18T00:00:00"/>
    <m/>
    <m/>
    <x v="0"/>
    <n v="1"/>
    <s v="Nadine Anic"/>
    <m/>
  </r>
  <r>
    <x v="470"/>
    <x v="1"/>
    <x v="5"/>
    <s v="CORAERP_MMOR1975.6635 6635 "/>
    <s v="L000007087"/>
    <m/>
    <s v="Non-LFF"/>
    <s v=""/>
    <m/>
    <b v="0"/>
    <x v="2"/>
    <x v="0"/>
    <d v="2025-12-18T00:00:00"/>
    <m/>
    <m/>
    <x v="0"/>
    <n v="1"/>
    <s v="Ruby Grace Garcia"/>
    <m/>
  </r>
  <r>
    <x v="470"/>
    <x v="1"/>
    <x v="2"/>
    <s v="PNEXT_D300120210201000000 "/>
    <s v="L000011451"/>
    <s v="L000011451"/>
    <s v="Non-LFF"/>
    <s v=""/>
    <m/>
    <b v="1"/>
    <x v="2"/>
    <x v="0"/>
    <d v="2025-12-18T00:00:00"/>
    <m/>
    <m/>
    <x v="0"/>
    <n v="1"/>
    <s v="Ruby Grace Garcia"/>
    <m/>
  </r>
  <r>
    <x v="470"/>
    <x v="1"/>
    <x v="5"/>
    <s v="IEMERAL_000009101287 "/>
    <s v="L000008442"/>
    <m/>
    <s v="Non-LFF"/>
    <s v=""/>
    <m/>
    <b v="0"/>
    <x v="2"/>
    <x v="0"/>
    <d v="2025-12-18T00:00:00"/>
    <m/>
    <m/>
    <x v="0"/>
    <n v="1"/>
    <s v="Ruby Grace Garcia"/>
    <m/>
  </r>
  <r>
    <x v="470"/>
    <x v="1"/>
    <x v="5"/>
    <s v="CSCALA_1248$BMGR "/>
    <s v="L000005798"/>
    <m/>
    <s v="Non-LFF"/>
    <s v=""/>
    <m/>
    <b v="0"/>
    <x v="2"/>
    <x v="0"/>
    <d v="2025-12-18T00:00:00"/>
    <m/>
    <m/>
    <x v="0"/>
    <n v="1"/>
    <s v="Ruby Grace Garcia"/>
    <m/>
  </r>
  <r>
    <x v="470"/>
    <x v="1"/>
    <x v="5"/>
    <s v="T00054100000 "/>
    <s v="L000011451"/>
    <m/>
    <s v="Non-LFF"/>
    <s v=""/>
    <m/>
    <b v="0"/>
    <x v="2"/>
    <x v="0"/>
    <d v="2025-12-18T00:00:00"/>
    <m/>
    <m/>
    <x v="0"/>
    <n v="1"/>
    <s v="Ruby Grace Garcia"/>
    <m/>
  </r>
  <r>
    <x v="470"/>
    <x v="1"/>
    <x v="5"/>
    <s v="CORAERP_MMOR1945.5595 "/>
    <s v="L000007997"/>
    <m/>
    <s v="Non-LFF"/>
    <s v=""/>
    <m/>
    <b v="0"/>
    <x v="2"/>
    <x v="0"/>
    <d v="2025-12-18T00:00:00"/>
    <m/>
    <m/>
    <x v="0"/>
    <n v="1"/>
    <s v="Ruby Grace Garcia"/>
    <m/>
  </r>
  <r>
    <x v="470"/>
    <x v="1"/>
    <x v="5"/>
    <s v="CORAERP_MMOR1945.5898 "/>
    <s v="L000012324"/>
    <m/>
    <s v="Non-LFF"/>
    <s v=""/>
    <m/>
    <b v="0"/>
    <x v="2"/>
    <x v="0"/>
    <d v="2025-12-18T00:00:00"/>
    <m/>
    <m/>
    <x v="0"/>
    <n v="1"/>
    <s v="Ruby Grace Garcia"/>
    <m/>
  </r>
  <r>
    <x v="471"/>
    <x v="1"/>
    <x v="2"/>
    <s v="CNOW_AUS0$$$0000092002"/>
    <s v="L000006137"/>
    <s v="L000006137"/>
    <s v="Non-LFF"/>
    <s v=""/>
    <m/>
    <b v="1"/>
    <x v="0"/>
    <x v="0"/>
    <d v="2025-12-18T00:00:00"/>
    <m/>
    <m/>
    <x v="0"/>
    <n v="1"/>
    <s v="Nadine Anic"/>
    <m/>
  </r>
  <r>
    <x v="471"/>
    <x v="1"/>
    <x v="2"/>
    <s v="CFLTFLE_10548-141-ECOM"/>
    <s v="L000008508"/>
    <s v="L000008508"/>
    <s v="Non-LFF"/>
    <s v=""/>
    <m/>
    <b v="1"/>
    <x v="0"/>
    <x v="0"/>
    <d v="2025-12-18T00:00:00"/>
    <m/>
    <m/>
    <x v="0"/>
    <n v="1"/>
    <s v="Nadine Anic"/>
    <m/>
  </r>
  <r>
    <x v="471"/>
    <x v="1"/>
    <x v="6"/>
    <s v="CLFF_1000$$$DE10538620"/>
    <s v="L000010128"/>
    <m/>
    <s v="LFF (MDG-F)"/>
    <s v="DE10538620"/>
    <m/>
    <b v="0"/>
    <x v="0"/>
    <x v="0"/>
    <d v="2025-12-18T00:00:00"/>
    <m/>
    <m/>
    <x v="0"/>
    <n v="1"/>
    <s v="Nadine Anic"/>
    <m/>
  </r>
  <r>
    <x v="471"/>
    <x v="1"/>
    <x v="6"/>
    <s v="CLFF_1000$$$DE20538620"/>
    <s v="L000010128"/>
    <m/>
    <s v="LFF (MDG-F)"/>
    <s v="DE20538620"/>
    <m/>
    <b v="0"/>
    <x v="0"/>
    <x v="0"/>
    <d v="2025-12-18T00:00:00"/>
    <m/>
    <m/>
    <x v="0"/>
    <n v="1"/>
    <s v="Nadine Anic"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6368155F-8FF7-496C-A863-6980923EB4AC}" name="PivotTable2" cacheId="17" applyNumberFormats="0" applyBorderFormats="0" applyFontFormats="0" applyPatternFormats="0" applyAlignmentFormats="0" applyWidthHeightFormats="1" dataCaption="Values" updatedVersion="7" minRefreshableVersion="3" useAutoFormatting="1" itemPrintTitles="1" createdVersion="7" indent="0" outline="1" outlineData="1" multipleFieldFilters="0">
  <location ref="A3:B30" firstHeaderRow="1" firstDataRow="1" firstDataCol="1" rowPageCount="1" colPageCount="1"/>
  <pivotFields count="19">
    <pivotField showAll="0"/>
    <pivotField showAll="0"/>
    <pivotField axis="axisRow" showAll="0">
      <items count="17">
        <item x="2"/>
        <item x="3"/>
        <item m="1" x="10"/>
        <item x="5"/>
        <item m="1" x="12"/>
        <item x="1"/>
        <item m="1" x="11"/>
        <item x="0"/>
        <item m="1" x="9"/>
        <item m="1" x="15"/>
        <item x="4"/>
        <item x="6"/>
        <item x="7"/>
        <item x="8"/>
        <item m="1" x="14"/>
        <item m="1" x="13"/>
        <item t="default"/>
      </items>
    </pivotField>
    <pivotField dataField="1" showAll="0"/>
    <pivotField showAll="0"/>
    <pivotField showAll="0"/>
    <pivotField showAll="0"/>
    <pivotField showAll="0"/>
    <pivotField showAll="0"/>
    <pivotField showAll="0"/>
    <pivotField axis="axisRow" showAll="0">
      <items count="12">
        <item sd="0" m="1" x="6"/>
        <item sd="0" m="1" x="7"/>
        <item sd="0" m="1" x="10"/>
        <item x="0"/>
        <item m="1" x="9"/>
        <item sd="0" m="1" x="8"/>
        <item x="2"/>
        <item x="1"/>
        <item x="3"/>
        <item x="4"/>
        <item x="5"/>
        <item t="default" sd="0"/>
      </items>
    </pivotField>
    <pivotField axis="axisPage" multipleItemSelectionAllowed="1" showAll="0">
      <items count="6">
        <item x="0"/>
        <item h="1" x="1"/>
        <item m="1" x="4"/>
        <item h="1" x="2"/>
        <item h="1" x="3"/>
        <item t="default"/>
      </items>
    </pivotField>
    <pivotField numFmtId="14" showAll="0"/>
    <pivotField showAll="0"/>
    <pivotField showAll="0"/>
    <pivotField showAll="0"/>
    <pivotField numFmtId="2" showAll="0"/>
    <pivotField showAll="0"/>
    <pivotField showAll="0"/>
  </pivotFields>
  <rowFields count="2">
    <field x="10"/>
    <field x="2"/>
  </rowFields>
  <rowItems count="27">
    <i>
      <x v="3"/>
    </i>
    <i r="1">
      <x/>
    </i>
    <i r="1">
      <x v="1"/>
    </i>
    <i r="1">
      <x v="3"/>
    </i>
    <i r="1">
      <x v="5"/>
    </i>
    <i r="1">
      <x v="7"/>
    </i>
    <i r="1">
      <x v="10"/>
    </i>
    <i r="1">
      <x v="11"/>
    </i>
    <i r="1">
      <x v="12"/>
    </i>
    <i r="1">
      <x v="13"/>
    </i>
    <i>
      <x v="6"/>
    </i>
    <i r="1">
      <x/>
    </i>
    <i r="1">
      <x v="3"/>
    </i>
    <i r="1">
      <x v="11"/>
    </i>
    <i>
      <x v="7"/>
    </i>
    <i r="1">
      <x/>
    </i>
    <i r="1">
      <x v="10"/>
    </i>
    <i r="1">
      <x v="13"/>
    </i>
    <i>
      <x v="8"/>
    </i>
    <i r="1">
      <x/>
    </i>
    <i r="1">
      <x v="10"/>
    </i>
    <i r="1">
      <x v="13"/>
    </i>
    <i>
      <x v="9"/>
    </i>
    <i r="1">
      <x/>
    </i>
    <i>
      <x v="10"/>
    </i>
    <i r="1">
      <x/>
    </i>
    <i t="grand">
      <x/>
    </i>
  </rowItems>
  <colItems count="1">
    <i/>
  </colItems>
  <pageFields count="1">
    <pageField fld="11" hier="-1"/>
  </pageFields>
  <dataFields count="1">
    <dataField name="Count of Obj" fld="3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B800446F-E8C0-4429-82AF-B0712B64CD0D}" name="PivotTable1" cacheId="17" applyNumberFormats="0" applyBorderFormats="0" applyFontFormats="0" applyPatternFormats="0" applyAlignmentFormats="0" applyWidthHeightFormats="1" dataCaption="Values" updatedVersion="7" minRefreshableVersion="3" useAutoFormatting="1" itemPrintTitles="1" createdVersion="7" indent="0" outline="1" outlineData="1" multipleFieldFilters="0">
  <location ref="A4:B28" firstHeaderRow="1" firstDataRow="1" firstDataCol="1" rowPageCount="1" colPageCount="1"/>
  <pivotFields count="19">
    <pivotField axis="axisRow" showAll="0" sortType="ascending">
      <items count="1654">
        <item m="1" x="1038"/>
        <item x="0"/>
        <item m="1" x="1108"/>
        <item m="1" x="1529"/>
        <item m="1" x="691"/>
        <item m="1" x="1546"/>
        <item m="1" x="1068"/>
        <item m="1" x="1158"/>
        <item m="1" x="1579"/>
        <item m="1" x="1373"/>
        <item m="1" x="1061"/>
        <item m="1" x="1645"/>
        <item m="1" x="1391"/>
        <item m="1" x="1635"/>
        <item m="1" x="1009"/>
        <item m="1" x="910"/>
        <item m="1" x="614"/>
        <item m="1" x="875"/>
        <item m="1" x="1599"/>
        <item m="1" x="667"/>
        <item m="1" x="975"/>
        <item m="1" x="1343"/>
        <item m="1" x="1058"/>
        <item m="1" x="1151"/>
        <item m="1" x="1447"/>
        <item m="1" x="1632"/>
        <item m="1" x="1093"/>
        <item m="1" x="1115"/>
        <item m="1" x="880"/>
        <item m="1" x="1281"/>
        <item m="1" x="1040"/>
        <item m="1" x="1586"/>
        <item m="1" x="1243"/>
        <item m="1" x="676"/>
        <item m="1" x="784"/>
        <item m="1" x="1571"/>
        <item m="1" x="1335"/>
        <item m="1" x="589"/>
        <item m="1" x="1421"/>
        <item m="1" x="1087"/>
        <item m="1" x="1382"/>
        <item m="1" x="968"/>
        <item m="1" x="1320"/>
        <item m="1" x="579"/>
        <item m="1" x="609"/>
        <item m="1" x="1648"/>
        <item m="1" x="1327"/>
        <item m="1" x="1395"/>
        <item m="1" x="1502"/>
        <item m="1" x="1271"/>
        <item m="1" x="1369"/>
        <item m="1" x="1208"/>
        <item m="1" x="663"/>
        <item m="1" x="854"/>
        <item m="1" x="1630"/>
        <item m="1" x="1198"/>
        <item m="1" x="1338"/>
        <item m="1" x="866"/>
        <item m="1" x="827"/>
        <item m="1" x="1119"/>
        <item m="1" x="1011"/>
        <item m="1" x="1044"/>
        <item m="1" x="603"/>
        <item m="1" x="742"/>
        <item m="1" x="1404"/>
        <item m="1" x="1621"/>
        <item m="1" x="807"/>
        <item m="1" x="1212"/>
        <item m="1" x="1222"/>
        <item m="1" x="1399"/>
        <item m="1" x="1509"/>
        <item m="1" x="1387"/>
        <item m="1" x="682"/>
        <item m="1" x="1530"/>
        <item m="1" x="1260"/>
        <item m="1" x="1247"/>
        <item m="1" x="782"/>
        <item m="1" x="1135"/>
        <item m="1" x="1482"/>
        <item m="1" x="600"/>
        <item m="1" x="1179"/>
        <item m="1" x="1532"/>
        <item m="1" x="1370"/>
        <item m="1" x="1105"/>
        <item m="1" x="1147"/>
        <item m="1" x="1028"/>
        <item m="1" x="1263"/>
        <item m="1" x="1075"/>
        <item m="1" x="1307"/>
        <item m="1" x="791"/>
        <item m="1" x="1620"/>
        <item m="1" x="1145"/>
        <item m="1" x="1431"/>
        <item m="1" x="508"/>
        <item m="1" x="1636"/>
        <item m="1" x="1172"/>
        <item m="1" x="1461"/>
        <item m="1" x="1374"/>
        <item m="1" x="1152"/>
        <item m="1" x="662"/>
        <item m="1" x="669"/>
        <item m="1" x="709"/>
        <item m="1" x="891"/>
        <item m="1" x="1315"/>
        <item m="1" x="1076"/>
        <item m="1" x="1192"/>
        <item m="1" x="1255"/>
        <item m="1" x="1402"/>
        <item m="1" x="1485"/>
        <item m="1" x="1047"/>
        <item m="1" x="768"/>
        <item m="1" x="611"/>
        <item m="1" x="754"/>
        <item m="1" x="1629"/>
        <item m="1" x="786"/>
        <item m="1" x="1467"/>
        <item m="1" x="1396"/>
        <item m="1" x="1014"/>
        <item m="1" x="1086"/>
        <item m="1" x="952"/>
        <item m="1" x="1209"/>
        <item m="1" x="1584"/>
        <item m="1" x="760"/>
        <item m="1" x="708"/>
        <item m="1" x="643"/>
        <item m="1" x="1309"/>
        <item m="1" x="1569"/>
        <item m="1" x="1497"/>
        <item m="1" x="1154"/>
        <item m="1" x="678"/>
        <item m="1" x="1403"/>
        <item m="1" x="855"/>
        <item m="1" x="1109"/>
        <item m="1" x="1284"/>
        <item m="1" x="1392"/>
        <item m="1" x="512"/>
        <item m="1" x="1341"/>
        <item m="1" x="1304"/>
        <item m="1" x="745"/>
        <item m="1" x="1193"/>
        <item m="1" x="1081"/>
        <item m="1" x="1034"/>
        <item m="1" x="767"/>
        <item m="1" x="703"/>
        <item m="1" x="943"/>
        <item m="1" x="1130"/>
        <item m="1" x="537"/>
        <item m="1" x="876"/>
        <item m="1" x="735"/>
        <item m="1" x="477"/>
        <item m="1" x="987"/>
        <item m="1" x="1188"/>
        <item m="1" x="1070"/>
        <item m="1" x="1116"/>
        <item m="1" x="1435"/>
        <item m="1" x="1017"/>
        <item m="1" x="1543"/>
        <item m="1" x="1267"/>
        <item m="1" x="1206"/>
        <item m="1" x="720"/>
        <item m="1" x="1353"/>
        <item m="1" x="1631"/>
        <item m="1" x="1319"/>
        <item m="1" x="1303"/>
        <item m="1" x="590"/>
        <item m="1" x="638"/>
        <item m="1" x="1173"/>
        <item m="1" x="679"/>
        <item m="1" x="1616"/>
        <item m="1" x="1282"/>
        <item m="1" x="1207"/>
        <item m="1" x="1159"/>
        <item m="1" x="960"/>
        <item m="1" x="588"/>
        <item m="1" x="688"/>
        <item m="1" x="794"/>
        <item m="1" x="1527"/>
        <item m="1" x="1559"/>
        <item m="1" x="1258"/>
        <item m="1" x="985"/>
        <item m="1" x="1073"/>
        <item m="1" x="583"/>
        <item m="1" x="623"/>
        <item m="1" x="962"/>
        <item m="1" x="1187"/>
        <item m="1" x="1100"/>
        <item m="1" x="758"/>
        <item m="1" x="991"/>
        <item m="1" x="705"/>
        <item m="1" x="900"/>
        <item m="1" x="822"/>
        <item m="1" x="657"/>
        <item m="1" x="793"/>
        <item m="1" x="1163"/>
        <item m="1" x="573"/>
        <item m="1" x="812"/>
        <item m="1" x="604"/>
        <item m="1" x="1297"/>
        <item m="1" x="1486"/>
        <item m="1" x="1096"/>
        <item m="1" x="740"/>
        <item m="1" x="1390"/>
        <item m="1" x="1235"/>
        <item m="1" x="752"/>
        <item m="1" x="753"/>
        <item m="1" x="938"/>
        <item m="1" x="628"/>
        <item m="1" x="817"/>
        <item m="1" x="612"/>
        <item m="1" x="798"/>
        <item m="1" x="1366"/>
        <item m="1" x="877"/>
        <item m="1" x="1244"/>
        <item m="1" x="1294"/>
        <item m="1" x="1428"/>
        <item m="1" x="1432"/>
        <item m="1" x="1149"/>
        <item m="1" x="990"/>
        <item m="1" x="1029"/>
        <item m="1" x="1596"/>
        <item m="1" x="889"/>
        <item m="1" x="701"/>
        <item m="1" x="1079"/>
        <item m="1" x="536"/>
        <item m="1" x="1600"/>
        <item m="1" x="1063"/>
        <item m="1" x="497"/>
        <item m="1" x="1518"/>
        <item m="1" x="1561"/>
        <item m="1" x="1398"/>
        <item m="1" x="775"/>
        <item m="1" x="514"/>
        <item m="1" x="1448"/>
        <item m="1" x="839"/>
        <item m="1" x="475"/>
        <item m="1" x="1619"/>
        <item m="1" x="863"/>
        <item m="1" x="1018"/>
        <item m="1" x="1463"/>
        <item m="1" x="550"/>
        <item m="1" x="1375"/>
        <item m="1" x="1183"/>
        <item m="1" x="1048"/>
        <item m="1" x="918"/>
        <item m="1" x="665"/>
        <item m="1" x="1166"/>
        <item m="1" x="868"/>
        <item m="1" x="1406"/>
        <item m="1" x="728"/>
        <item m="1" x="1476"/>
        <item m="1" x="1483"/>
        <item m="1" x="1167"/>
        <item m="1" x="1357"/>
        <item m="1" x="774"/>
        <item m="1" x="1071"/>
        <item m="1" x="1360"/>
        <item m="1" x="944"/>
        <item m="1" x="1234"/>
        <item m="1" x="873"/>
        <item m="1" x="658"/>
        <item m="1" x="862"/>
        <item m="1" x="1628"/>
        <item m="1" x="1570"/>
        <item m="1" x="715"/>
        <item m="1" x="1516"/>
        <item m="1" x="522"/>
        <item m="1" x="1538"/>
        <item m="1" x="557"/>
        <item m="1" x="859"/>
        <item m="1" x="957"/>
        <item m="1" x="904"/>
        <item m="1" x="1511"/>
        <item m="1" x="1414"/>
        <item m="1" x="655"/>
        <item m="1" x="1225"/>
        <item m="1" x="1433"/>
        <item m="1" x="1567"/>
        <item m="1" x="1474"/>
        <item m="1" x="560"/>
        <item m="1" x="1640"/>
        <item m="1" x="711"/>
        <item m="1" x="992"/>
        <item m="1" x="1436"/>
        <item m="1" x="559"/>
        <item m="1" x="1495"/>
        <item m="1" x="724"/>
        <item m="1" x="1368"/>
        <item m="1" x="1232"/>
        <item m="1" x="1210"/>
        <item m="1" x="789"/>
        <item m="1" x="751"/>
        <item m="1" x="1563"/>
        <item m="1" x="504"/>
        <item m="1" x="686"/>
        <item m="1" x="1345"/>
        <item m="1" x="1456"/>
        <item m="1" x="1383"/>
        <item m="1" x="1587"/>
        <item m="1" x="1091"/>
        <item m="1" x="718"/>
        <item m="1" x="838"/>
        <item m="1" x="1157"/>
        <item m="1" x="899"/>
        <item m="1" x="1227"/>
        <item m="1" x="840"/>
        <item m="1" x="642"/>
        <item m="1" x="1295"/>
        <item m="1" x="697"/>
        <item m="1" x="577"/>
        <item m="1" x="1429"/>
        <item m="1" x="1576"/>
        <item m="1" x="1277"/>
        <item m="1" x="542"/>
        <item m="1" x="1468"/>
        <item m="1" x="1266"/>
        <item m="1" x="1376"/>
        <item m="1" x="1515"/>
        <item m="1" x="743"/>
        <item m="1" x="935"/>
        <item m="1" x="773"/>
        <item m="1" x="1041"/>
        <item m="1" x="965"/>
        <item m="1" x="995"/>
        <item m="1" x="1531"/>
        <item m="1" x="977"/>
        <item m="1" x="1180"/>
        <item m="1" x="712"/>
        <item m="1" x="911"/>
        <item m="1" x="885"/>
        <item m="1" x="1228"/>
        <item m="1" x="1131"/>
        <item m="1" x="1359"/>
        <item m="1" x="881"/>
        <item m="1" x="1517"/>
        <item m="1" x="719"/>
        <item m="1" x="645"/>
        <item m="1" x="901"/>
        <item m="1" x="1442"/>
        <item m="1" x="552"/>
        <item m="1" x="553"/>
        <item m="1" x="849"/>
        <item m="1" x="1522"/>
        <item m="1" x="916"/>
        <item m="1" x="561"/>
        <item m="1" x="721"/>
        <item m="1" x="963"/>
        <item m="1" x="1274"/>
        <item m="1" x="1246"/>
        <item m="1" x="917"/>
        <item m="1" x="498"/>
        <item m="1" x="636"/>
        <item m="1" x="848"/>
        <item m="1" x="736"/>
        <item m="1" x="493"/>
        <item m="1" x="1446"/>
        <item m="1" x="1575"/>
        <item m="1" x="1045"/>
        <item m="1" x="1475"/>
        <item m="1" x="1535"/>
        <item m="1" x="558"/>
        <item m="1" x="1573"/>
        <item m="1" x="1311"/>
        <item m="1" x="734"/>
        <item m="1" x="920"/>
        <item m="1" x="824"/>
        <item m="1" x="1186"/>
        <item m="1" x="757"/>
        <item m="1" x="973"/>
        <item m="1" x="1268"/>
        <item m="1" x="1393"/>
        <item m="1" x="896"/>
        <item m="1" x="1024"/>
        <item m="1" x="836"/>
        <item m="1" x="762"/>
        <item m="1" x="1273"/>
        <item m="1" x="1388"/>
        <item m="1" x="1550"/>
        <item m="1" x="592"/>
        <item m="1" x="796"/>
        <item m="1" x="1236"/>
        <item m="1" x="637"/>
        <item m="1" x="924"/>
        <item m="1" x="1305"/>
        <item m="1" x="570"/>
        <item m="1" x="780"/>
        <item m="1" x="890"/>
        <item m="1" x="1496"/>
        <item m="1" x="729"/>
        <item m="1" x="999"/>
        <item m="1" x="1552"/>
        <item m="1" x="680"/>
        <item m="1" x="869"/>
        <item m="1" x="1057"/>
        <item m="1" x="1394"/>
        <item m="1" x="692"/>
        <item m="1" x="948"/>
        <item m="1" x="790"/>
        <item m="1" x="1286"/>
        <item m="1" x="1472"/>
        <item m="1" x="598"/>
        <item m="1" x="818"/>
        <item m="1" x="1554"/>
        <item m="1" x="1519"/>
        <item m="1" x="619"/>
        <item m="1" x="936"/>
        <item m="1" x="1460"/>
        <item m="1" x="1591"/>
        <item m="1" x="1462"/>
        <item m="1" x="1437"/>
        <item m="1" x="568"/>
        <item m="1" x="744"/>
        <item m="1" x="826"/>
        <item m="1" x="815"/>
        <item m="1" x="1042"/>
        <item m="1" x="530"/>
        <item m="1" x="1229"/>
        <item m="1" x="1300"/>
        <item m="1" x="482"/>
        <item m="1" x="1560"/>
        <item m="1" x="1422"/>
        <item m="1" x="1551"/>
        <item m="1" x="1581"/>
        <item m="1" x="1617"/>
        <item m="1" x="1555"/>
        <item m="1" x="919"/>
        <item m="1" x="1279"/>
        <item m="1" x="886"/>
        <item m="1" x="1292"/>
        <item m="1" x="1257"/>
        <item m="1" x="695"/>
        <item m="1" x="733"/>
        <item m="1" x="871"/>
        <item m="1" x="1336"/>
        <item m="1" x="856"/>
        <item m="1" x="602"/>
        <item m="1" x="1601"/>
        <item m="1" x="1351"/>
        <item m="1" x="1184"/>
        <item m="1" x="1216"/>
        <item m="1" x="1265"/>
        <item m="1" x="690"/>
        <item m="1" x="1032"/>
        <item m="1" x="1377"/>
        <item m="1" x="528"/>
        <item m="1" x="771"/>
        <item m="1" x="671"/>
        <item m="1" x="668"/>
        <item m="1" x="672"/>
        <item m="1" x="473"/>
        <item m="1" x="694"/>
        <item m="1" x="1491"/>
        <item m="1" x="495"/>
        <item m="1" x="1141"/>
        <item m="1" x="1578"/>
        <item m="1" x="1389"/>
        <item m="1" x="649"/>
        <item m="1" x="1649"/>
        <item m="1" x="578"/>
        <item m="1" x="945"/>
        <item m="1" x="1168"/>
        <item m="1" x="624"/>
        <item m="1" x="1077"/>
        <item m="1" x="1237"/>
        <item m="1" x="1505"/>
        <item m="1" x="1407"/>
        <item m="1" x="486"/>
        <item m="1" x="1169"/>
        <item m="1" x="569"/>
        <item m="1" x="805"/>
        <item m="1" x="777"/>
        <item m="1" x="539"/>
        <item m="1" x="1132"/>
        <item m="1" x="1139"/>
        <item m="1" x="1239"/>
        <item m="1" x="988"/>
        <item m="1" x="1488"/>
        <item m="1" x="897"/>
        <item m="1" x="1607"/>
        <item m="1" x="1242"/>
        <item m="1" x="1133"/>
        <item m="1" x="797"/>
        <item m="1" x="1205"/>
        <item m="1" x="1503"/>
        <item m="1" x="1568"/>
        <item m="1" x="1547"/>
        <item m="1" x="1477"/>
        <item m="1" x="1226"/>
        <item m="1" x="1339"/>
        <item m="1" x="852"/>
        <item m="1" x="1301"/>
        <item m="1" x="1126"/>
        <item m="1" x="1085"/>
        <item m="1" x="1083"/>
        <item m="1" x="1084"/>
        <item m="1" x="781"/>
        <item m="1" x="825"/>
        <item m="1" x="1438"/>
        <item m="1" x="1003"/>
        <item m="1" x="845"/>
        <item m="1" x="887"/>
        <item m="1" x="933"/>
        <item m="1" x="1185"/>
        <item m="1" x="1523"/>
        <item m="1" x="1612"/>
        <item m="1" x="730"/>
        <item m="1" x="681"/>
        <item m="1" x="518"/>
        <item m="1" x="540"/>
        <item m="1" x="837"/>
        <item m="1" x="625"/>
        <item m="1" x="953"/>
        <item m="1" x="1489"/>
        <item m="1" x="830"/>
        <item m="1" x="622"/>
        <item m="1" x="1381"/>
        <item m="1" x="499"/>
        <item m="1" x="1507"/>
        <item m="1" x="1582"/>
        <item m="1" x="1646"/>
        <item m="1" x="1521"/>
        <item m="1" x="764"/>
        <item m="1" x="541"/>
        <item m="1" x="1005"/>
        <item m="1" x="1089"/>
        <item m="1" x="1285"/>
        <item m="1" x="1253"/>
        <item m="1" x="1289"/>
        <item m="1" x="1066"/>
        <item m="1" x="1104"/>
        <item m="1" x="1545"/>
        <item m="1" x="1308"/>
        <item m="1" x="1278"/>
        <item m="1" x="1217"/>
        <item m="1" x="1290"/>
        <item m="1" x="491"/>
        <item m="1" x="496"/>
        <item m="1" x="1099"/>
        <item m="1" x="1484"/>
        <item m="1" x="1054"/>
        <item m="1" x="1624"/>
        <item m="1" x="1023"/>
        <item m="1" x="1199"/>
        <item m="1" x="1270"/>
        <item m="1" x="884"/>
        <item m="1" x="716"/>
        <item m="1" x="1092"/>
        <item m="1" x="778"/>
        <item m="1" x="1633"/>
        <item m="1" x="1548"/>
        <item m="1" x="1361"/>
        <item m="1" x="618"/>
        <item m="1" x="545"/>
        <item m="1" x="1118"/>
        <item m="1" x="1362"/>
        <item m="1" x="1651"/>
        <item m="1" x="997"/>
        <item m="1" x="1598"/>
        <item m="1" x="532"/>
        <item m="1" x="646"/>
        <item m="1" x="958"/>
        <item m="1" x="1049"/>
        <item m="1" x="1478"/>
        <item m="1" x="802"/>
        <item m="1" x="1481"/>
        <item m="1" x="898"/>
        <item m="1" x="1470"/>
        <item m="1" x="1634"/>
        <item m="1" x="562"/>
        <item m="1" x="1618"/>
        <item m="1" x="509"/>
        <item m="1" x="1371"/>
        <item m="1" x="989"/>
        <item m="1" x="820"/>
        <item m="1" x="783"/>
        <item m="1" x="927"/>
        <item m="1" x="526"/>
        <item m="1" x="1611"/>
        <item m="1" x="610"/>
        <item m="1" x="631"/>
        <item m="1" x="1504"/>
        <item m="1" x="1583"/>
        <item m="1" x="1097"/>
        <item m="1" x="1238"/>
        <item m="1" x="939"/>
        <item m="1" x="1052"/>
        <item m="1" x="1201"/>
        <item m="1" x="1318"/>
        <item m="1" x="905"/>
        <item m="1" x="1181"/>
        <item m="1" x="1000"/>
        <item m="1" x="1637"/>
        <item m="1" x="490"/>
        <item m="1" x="929"/>
        <item m="1" x="870"/>
        <item m="1" x="831"/>
        <item m="1" x="1625"/>
        <item m="1" x="1443"/>
        <item m="1" x="1574"/>
        <item m="1" x="587"/>
        <item m="1" x="1585"/>
        <item m="1" x="1572"/>
        <item m="1" x="1449"/>
        <item m="1" x="684"/>
        <item m="1" x="1053"/>
        <item m="1" x="1146"/>
        <item m="1" x="892"/>
        <item m="1" x="1490"/>
        <item m="1" x="1276"/>
        <item m="1" x="1296"/>
        <item m="1" x="1190"/>
        <item m="1" x="533"/>
        <item m="1" x="1363"/>
        <item m="1" x="1525"/>
        <item m="1" x="930"/>
        <item m="1" x="1644"/>
        <item m="1" x="1138"/>
        <item m="1" x="725"/>
        <item m="1" x="858"/>
        <item m="1" x="894"/>
        <item m="1" x="1553"/>
        <item m="1" x="1537"/>
        <item m="1" x="597"/>
        <item m="1" x="599"/>
        <item m="1" x="513"/>
        <item m="1" x="1473"/>
        <item m="1" x="515"/>
        <item m="1" x="932"/>
        <item m="1" x="832"/>
        <item m="1" x="1288"/>
        <item m="1" x="1231"/>
        <item m="1" x="1580"/>
        <item m="1" x="1512"/>
        <item m="1" x="1004"/>
        <item m="1" x="1218"/>
        <item m="1" x="1453"/>
        <item m="1" x="566"/>
        <item m="1" x="998"/>
        <item m="1" x="928"/>
        <item m="1" x="1622"/>
        <item m="1" x="1589"/>
        <item m="1" x="1020"/>
        <item m="1" x="626"/>
        <item m="1" x="921"/>
        <item m="1" x="1094"/>
        <item m="1" x="548"/>
        <item m="1" x="1384"/>
        <item m="1" x="978"/>
        <item m="1" x="788"/>
        <item m="1" x="882"/>
        <item m="1" x="1328"/>
        <item m="1" x="1627"/>
        <item m="1" x="706"/>
        <item m="1" x="1479"/>
        <item m="1" x="700"/>
        <item m="1" x="1264"/>
        <item m="1" x="1036"/>
        <item m="1" x="967"/>
        <item m="1" x="689"/>
        <item m="1" x="756"/>
        <item m="1" x="544"/>
        <item m="1" x="1344"/>
        <item m="1" x="857"/>
        <item m="1" x="581"/>
        <item m="1" x="1195"/>
        <item m="1" x="1510"/>
        <item m="1" x="1050"/>
        <item m="1" x="1008"/>
        <item m="1" x="479"/>
        <item m="1" x="1615"/>
        <item m="1" x="865"/>
        <item m="1" x="925"/>
        <item m="1" x="1332"/>
        <item m="1" x="1609"/>
        <item m="1" x="1534"/>
        <item m="1" x="1385"/>
        <item m="1" x="1500"/>
        <item m="1" x="661"/>
        <item m="1" x="860"/>
        <item m="1" x="693"/>
        <item m="1" x="485"/>
        <item m="1" x="1098"/>
        <item m="1" x="547"/>
        <item m="1" x="769"/>
        <item m="1" x="713"/>
        <item m="1" x="659"/>
        <item m="1" x="1614"/>
        <item m="1" x="710"/>
        <item m="1" x="1312"/>
        <item m="1" x="1524"/>
        <item m="1" x="650"/>
        <item m="1" x="554"/>
        <item m="1" x="1347"/>
        <item m="1" x="1323"/>
        <item m="1" x="1364"/>
        <item m="1" x="1283"/>
        <item m="1" x="627"/>
        <item m="1" x="983"/>
        <item m="1" x="1251"/>
        <item m="1" x="1501"/>
        <item m="1" x="1095"/>
        <item m="1" x="1213"/>
        <item m="1" x="1557"/>
        <item m="1" x="969"/>
        <item m="1" x="813"/>
        <item m="1" x="1046"/>
        <item m="1" x="993"/>
        <item m="1" x="923"/>
        <item m="1" x="1440"/>
        <item m="1" x="1127"/>
        <item m="1" x="1223"/>
        <item m="1" x="474"/>
        <item m="1" x="1019"/>
        <item m="1" x="621"/>
        <item m="1" x="888"/>
        <item m="1" x="1026"/>
        <item m="1" x="556"/>
        <item m="1" x="673"/>
        <item m="1" x="1128"/>
        <item m="1" x="1325"/>
        <item m="1" x="1595"/>
        <item m="1" x="1638"/>
        <item m="1" x="1248"/>
        <item m="1" x="596"/>
        <item m="1" x="524"/>
        <item m="1" x="1110"/>
        <item m="1" x="732"/>
        <item m="1" x="1006"/>
        <item m="1" x="634"/>
        <item m="1" x="737"/>
        <item m="1" x="1164"/>
        <item m="1" x="1520"/>
        <item m="1" x="1451"/>
        <item m="1" x="867"/>
        <item m="1" x="902"/>
        <item m="1" x="1178"/>
        <item m="1" x="1608"/>
        <item m="1" x="1334"/>
        <item m="1" x="500"/>
        <item m="1" x="1562"/>
        <item m="1" x="608"/>
        <item m="1" x="1254"/>
        <item m="1" x="1299"/>
        <item m="1" x="1302"/>
        <item m="1" x="1642"/>
        <item m="1" x="535"/>
        <item m="1" x="1313"/>
        <item m="1" x="1410"/>
        <item m="1" x="1182"/>
        <item m="1" x="1352"/>
        <item m="1" x="594"/>
        <item m="1" x="986"/>
        <item m="1" x="833"/>
        <item m="1" x="1445"/>
        <item m="1" x="1540"/>
        <item m="1" x="1069"/>
        <item m="1" x="1508"/>
        <item m="1" x="1556"/>
        <item m="1" x="909"/>
        <item m="1" x="1412"/>
        <item m="1" x="1275"/>
        <item m="1" x="1558"/>
        <item m="1" x="1602"/>
        <item m="1" x="1340"/>
        <item m="1" x="950"/>
        <item m="1" x="755"/>
        <item m="1" x="1590"/>
        <item m="1" x="1137"/>
        <item m="1" x="1111"/>
        <item m="1" x="1120"/>
        <item m="1" x="1641"/>
        <item m="1" x="1365"/>
        <item m="1" x="1060"/>
        <item m="1" x="1329"/>
        <item m="1" x="1306"/>
        <item m="1" x="922"/>
        <item m="1" x="823"/>
        <item m="1" x="1322"/>
        <item m="1" x="717"/>
        <item m="1" x="674"/>
        <item m="1" x="616"/>
        <item m="1" x="1603"/>
        <item m="1" x="1219"/>
        <item m="1" x="954"/>
        <item m="1" x="1035"/>
        <item m="1" x="516"/>
        <item m="1" x="1592"/>
        <item m="1" x="1143"/>
        <item m="1" x="1291"/>
        <item m="1" x="739"/>
        <item m="1" x="1423"/>
        <item m="1" x="926"/>
        <item m="1" x="819"/>
        <item m="1" x="1647"/>
        <item m="1" x="949"/>
        <item m="1" x="1588"/>
        <item m="1" x="1174"/>
        <item m="1" x="850"/>
        <item m="1" x="641"/>
        <item m="1" x="584"/>
        <item m="1" x="878"/>
        <item m="1" x="575"/>
        <item m="1" x="546"/>
        <item m="1" x="563"/>
        <item m="1" x="842"/>
        <item m="1" x="687"/>
        <item m="1" x="994"/>
        <item m="1" x="1051"/>
        <item m="1" x="1150"/>
        <item m="1" x="1021"/>
        <item m="1" x="1354"/>
        <item m="1" x="1418"/>
        <item m="1" x="630"/>
        <item m="1" x="640"/>
        <item m="1" x="829"/>
        <item m="1" x="971"/>
        <item m="1" x="761"/>
        <item m="1" x="1314"/>
        <item m="1" x="1064"/>
        <item m="1" x="981"/>
        <item m="1" x="1114"/>
        <item m="1" x="1420"/>
        <item m="1" x="1358"/>
        <item m="1" x="1444"/>
        <item m="1" x="1200"/>
        <item m="1" x="620"/>
        <item m="1" x="1626"/>
        <item m="1" x="1039"/>
        <item m="1" x="654"/>
        <item m="1" x="478"/>
        <item m="1" x="1623"/>
        <item m="1" x="1107"/>
        <item m="1" x="1074"/>
        <item m="1" x="846"/>
        <item m="1" x="726"/>
        <item m="1" x="810"/>
        <item m="1" x="964"/>
        <item m="1" x="1539"/>
        <item m="1" x="1458"/>
        <item m="1" x="834"/>
        <item m="1" x="907"/>
        <item m="1" x="914"/>
        <item m="1" x="1452"/>
        <item m="1" x="1055"/>
        <item m="1" x="527"/>
        <item m="1" x="1088"/>
        <item m="1" x="1367"/>
        <item m="1" x="1493"/>
        <item m="1" x="1386"/>
        <item m="1" x="1194"/>
        <item m="1" x="1492"/>
        <item m="1" x="506"/>
        <item m="1" x="1409"/>
        <item m="1" x="488"/>
        <item m="1" x="828"/>
        <item m="1" x="492"/>
        <item m="1" x="651"/>
        <item m="1" x="741"/>
        <item m="1" x="747"/>
        <item m="1" x="1165"/>
        <item m="1" x="1419"/>
        <item m="1" x="946"/>
        <item m="1" x="517"/>
        <item m="1" x="723"/>
        <item m="1" x="511"/>
        <item m="1" x="1506"/>
        <item m="1" x="731"/>
        <item m="1" x="1067"/>
        <item m="1" x="1526"/>
        <item m="1" x="853"/>
        <item m="1" x="795"/>
        <item m="1" x="1191"/>
        <item m="1" x="748"/>
        <item m="1" x="1056"/>
        <item m="1" x="1350"/>
        <item m="1" x="489"/>
        <item m="1" x="1002"/>
        <item m="1" x="1121"/>
        <item m="1" x="613"/>
        <item m="1" x="955"/>
        <item m="1" x="1090"/>
        <item m="1" x="841"/>
        <item m="1" x="879"/>
        <item m="1" x="606"/>
        <item m="1" x="1012"/>
        <item m="1" x="476"/>
        <item m="1" x="1148"/>
        <item m="1" x="1541"/>
        <item m="1" x="1262"/>
        <item m="1" x="1256"/>
        <item m="1" x="1155"/>
        <item m="1" x="481"/>
        <item m="1" x="1287"/>
        <item m="1" x="1330"/>
        <item m="1" x="1136"/>
        <item m="1" x="480"/>
        <item m="1" x="1487"/>
        <item m="1" x="1454"/>
        <item m="1" x="484"/>
        <item m="1" x="763"/>
        <item m="1" x="1153"/>
        <item m="1" x="1408"/>
        <item m="1" x="605"/>
        <item m="1" x="501"/>
        <item m="1" x="660"/>
        <item m="1" x="551"/>
        <item m="1" x="959"/>
        <item m="1" x="772"/>
        <item m="1" x="770"/>
        <item m="1" x="941"/>
        <item m="1" x="1043"/>
        <item m="1" x="947"/>
        <item m="1" x="1144"/>
        <item m="1" x="996"/>
        <item m="1" x="861"/>
        <item m="1" x="976"/>
        <item m="1" x="1469"/>
        <item m="1" x="1564"/>
        <item m="1" x="821"/>
        <item m="1" x="1544"/>
        <item m="1" x="586"/>
        <item m="1" x="1533"/>
        <item m="1" x="1230"/>
        <item m="1" x="1401"/>
        <item m="1" x="1480"/>
        <item m="1" x="1160"/>
        <item m="1" x="1372"/>
        <item m="1" x="664"/>
        <item m="1" x="647"/>
        <item m="1" x="1269"/>
        <item m="1" x="1241"/>
        <item m="1" x="803"/>
        <item m="1" x="1639"/>
        <item m="1" x="1211"/>
        <item m="1" x="951"/>
        <item m="1" x="1025"/>
        <item m="1" x="984"/>
        <item m="1" x="1494"/>
        <item m="1" x="1498"/>
        <item m="1" x="494"/>
        <item m="1" x="1378"/>
        <item m="1" x="1424"/>
        <item m="1" x="543"/>
        <item m="1" x="915"/>
        <item m="1" x="906"/>
        <item m="1" x="1413"/>
        <item m="1" x="1112"/>
        <item m="1" x="1316"/>
        <item m="1" x="982"/>
        <item m="1" x="1333"/>
        <item m="1" x="521"/>
        <item m="1" x="644"/>
        <item m="1" x="1613"/>
        <item m="1" x="1233"/>
        <item m="1" x="1605"/>
        <item m="1" x="525"/>
        <item m="1" x="785"/>
        <item m="1" x="601"/>
        <item m="1" x="534"/>
        <item m="1" x="549"/>
        <item m="1" x="1101"/>
        <item m="1" x="1134"/>
        <item m="1" x="806"/>
        <item m="1" x="1224"/>
        <item m="1" x="1542"/>
        <item m="1" x="893"/>
        <item m="1" x="972"/>
        <item m="1" x="1122"/>
        <item m="1" x="1610"/>
        <item m="1" x="787"/>
        <item m="1" x="799"/>
        <item m="1" x="809"/>
        <item m="1" x="1430"/>
        <item m="1" x="1566"/>
        <item m="1" x="483"/>
        <item m="1" x="1310"/>
        <item m="1" x="1606"/>
        <item m="1" x="707"/>
        <item m="1" x="1022"/>
        <item m="1" x="1643"/>
        <item m="1" x="1549"/>
        <item m="1" x="696"/>
        <item m="1" x="808"/>
        <item m="1" x="895"/>
        <item m="1" x="1220"/>
        <item m="1" x="1417"/>
        <item m="1" x="652"/>
        <item m="1" x="1123"/>
        <item m="1" x="648"/>
        <item m="1" x="617"/>
        <item m="1" x="565"/>
        <item m="1" x="1536"/>
        <item m="1" x="1129"/>
        <item m="1" x="1577"/>
        <item m="1" x="970"/>
        <item m="1" x="1594"/>
        <item m="1" x="1346"/>
        <item m="1" x="635"/>
        <item m="1" x="1450"/>
        <item m="1" x="1464"/>
        <item m="1" x="1124"/>
        <item m="1" x="1499"/>
        <item m="1" x="1337"/>
        <item m="1" x="1202"/>
        <item m="1" x="519"/>
        <item m="1" x="1348"/>
        <item m="1" x="1080"/>
        <item m="1" x="1013"/>
        <item m="1" x="1356"/>
        <item m="1" x="940"/>
        <item m="1" x="574"/>
        <item m="1" x="746"/>
        <item m="1" x="523"/>
        <item m="1" x="872"/>
        <item m="1" x="1250"/>
        <item m="1" x="835"/>
        <item m="1" x="698"/>
        <item m="1" x="913"/>
        <item m="1" x="591"/>
        <item m="1" x="843"/>
        <item m="1" x="714"/>
        <item m="1" x="1065"/>
        <item m="1" x="1652"/>
        <item m="1" x="1106"/>
        <item m="1" x="702"/>
        <item m="1" x="979"/>
        <item m="1" x="685"/>
        <item m="1" x="738"/>
        <item m="1" x="1030"/>
        <item m="1" x="1298"/>
        <item m="1" x="1015"/>
        <item m="1" x="1465"/>
        <item m="1" x="1027"/>
        <item m="1" x="1261"/>
        <item m="1" x="576"/>
        <item m="1" x="1059"/>
        <item m="1" x="699"/>
        <item m="1" x="629"/>
        <item m="1" x="1355"/>
        <item m="1" x="670"/>
        <item m="1" x="1379"/>
        <item m="1" x="571"/>
        <item m="1" x="1196"/>
        <item m="1" x="1203"/>
        <item m="1" x="607"/>
        <item m="1" x="1125"/>
        <item m="1" x="503"/>
        <item m="1" x="1326"/>
        <item m="1" x="1031"/>
        <item m="1" x="1252"/>
        <item m="1" x="1221"/>
        <item m="1" x="1441"/>
        <item m="1" x="1214"/>
        <item m="1" x="792"/>
        <item m="1" x="1293"/>
        <item m="1" x="1427"/>
        <item m="1" x="1117"/>
        <item m="1" x="1249"/>
        <item m="1" x="582"/>
        <item m="1" x="1415"/>
        <item m="1" x="1072"/>
        <item m="1" x="937"/>
        <item m="1" x="1321"/>
        <item m="1" x="847"/>
        <item m="1" x="1170"/>
        <item m="1" x="704"/>
        <item m="1" x="800"/>
        <item m="1" x="1197"/>
        <item m="1" x="966"/>
        <item m="1" x="510"/>
        <item m="1" x="844"/>
        <item m="1" x="1324"/>
        <item m="1" x="1426"/>
        <item m="1" x="529"/>
        <item m="1" x="814"/>
        <item m="1" x="749"/>
        <item m="1" x="1082"/>
        <item m="1" x="1175"/>
        <item m="1" x="615"/>
        <item m="1" x="1597"/>
        <item m="1" x="580"/>
        <item m="1" x="653"/>
        <item m="1" x="1434"/>
        <item m="1" x="942"/>
        <item m="1" x="956"/>
        <item m="1" x="1010"/>
        <item m="1" x="585"/>
        <item m="1" x="864"/>
        <item m="1" x="1259"/>
        <item m="1" x="1171"/>
        <item m="1" x="961"/>
        <item m="1" x="908"/>
        <item m="1" x="538"/>
        <item m="1" x="776"/>
        <item m="1" x="1240"/>
        <item m="1" x="874"/>
        <item m="1" x="1037"/>
        <item m="1" x="974"/>
        <item m="1" x="1156"/>
        <item m="1" x="520"/>
        <item m="1" x="1001"/>
        <item m="1" x="675"/>
        <item m="1" x="1078"/>
        <item m="1" x="1204"/>
        <item m="1" x="1280"/>
        <item m="1" x="1215"/>
        <item m="1" x="1176"/>
        <item m="1" x="1102"/>
        <item m="1" x="1513"/>
        <item m="1" x="1405"/>
        <item m="1" x="656"/>
        <item m="1" x="1397"/>
        <item m="1" x="851"/>
        <item m="1" x="1161"/>
        <item m="1" x="567"/>
        <item m="1" x="1140"/>
        <item m="1" x="1007"/>
        <item m="1" x="1439"/>
        <item m="1" x="593"/>
        <item m="1" x="1650"/>
        <item m="1" x="632"/>
        <item m="1" x="572"/>
        <item m="1" x="1142"/>
        <item m="1" x="1342"/>
        <item m="1" x="1245"/>
        <item m="1" x="531"/>
        <item m="1" x="683"/>
        <item m="1" x="1471"/>
        <item m="1" x="1411"/>
        <item m="1" x="666"/>
        <item m="1" x="639"/>
        <item m="1" x="934"/>
        <item m="1" x="555"/>
        <item m="1" x="1162"/>
        <item m="1" x="595"/>
        <item m="1" x="765"/>
        <item m="1" x="1062"/>
        <item m="1" x="1593"/>
        <item m="1" x="633"/>
        <item m="1" x="903"/>
        <item m="1" x="750"/>
        <item m="1" x="912"/>
        <item m="1" x="1466"/>
        <item m="1" x="1349"/>
        <item m="1" x="811"/>
        <item m="1" x="564"/>
        <item m="1" x="1514"/>
        <item m="1" x="677"/>
        <item m="1" x="1459"/>
        <item m="1" x="1016"/>
        <item m="1" x="1400"/>
        <item m="1" x="759"/>
        <item m="1" x="931"/>
        <item m="1" x="1416"/>
        <item m="1" x="1604"/>
        <item m="1" x="1380"/>
        <item m="1" x="779"/>
        <item m="1" x="722"/>
        <item m="1" x="1425"/>
        <item m="1" x="1189"/>
        <item m="1" x="1033"/>
        <item m="1" x="1457"/>
        <item m="1" x="505"/>
        <item m="1" x="502"/>
        <item m="1" x="1177"/>
        <item m="1" x="1317"/>
        <item m="1" x="1272"/>
        <item m="1" x="1455"/>
        <item m="1" x="980"/>
        <item m="1" x="727"/>
        <item m="1" x="801"/>
        <item m="1" x="1331"/>
        <item m="1" x="883"/>
        <item m="1" x="1113"/>
        <item m="1" x="1528"/>
        <item m="1" x="766"/>
        <item m="1" x="1103"/>
        <item m="1" x="487"/>
        <item m="1" x="816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9"/>
        <item x="168"/>
        <item x="167"/>
        <item x="175"/>
        <item x="174"/>
        <item x="173"/>
        <item x="172"/>
        <item x="171"/>
        <item x="170"/>
        <item x="176"/>
        <item x="177"/>
        <item x="179"/>
        <item x="178"/>
        <item x="183"/>
        <item x="182"/>
        <item x="181"/>
        <item x="180"/>
        <item x="184"/>
        <item x="185"/>
        <item x="186"/>
        <item x="187"/>
        <item x="189"/>
        <item x="188"/>
        <item x="190"/>
        <item x="191"/>
        <item x="192"/>
        <item x="193"/>
        <item x="194"/>
        <item x="195"/>
        <item x="198"/>
        <item x="197"/>
        <item x="196"/>
        <item x="220"/>
        <item x="200"/>
        <item x="199"/>
        <item x="206"/>
        <item x="201"/>
        <item x="202"/>
        <item x="203"/>
        <item x="204"/>
        <item x="205"/>
        <item x="208"/>
        <item x="207"/>
        <item x="210"/>
        <item x="209"/>
        <item x="211"/>
        <item x="212"/>
        <item x="213"/>
        <item x="214"/>
        <item x="215"/>
        <item x="216"/>
        <item x="219"/>
        <item x="221"/>
        <item x="222"/>
        <item x="217"/>
        <item x="218"/>
        <item x="223"/>
        <item x="224"/>
        <item x="226"/>
        <item x="227"/>
        <item x="225"/>
        <item x="228"/>
        <item x="229"/>
        <item x="230"/>
        <item x="231"/>
        <item x="232"/>
        <item x="233"/>
        <item x="234"/>
        <item x="239"/>
        <item x="235"/>
        <item x="236"/>
        <item x="240"/>
        <item x="237"/>
        <item x="238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x="269"/>
        <item x="268"/>
        <item x="271"/>
        <item x="280"/>
        <item x="270"/>
        <item x="272"/>
        <item x="273"/>
        <item x="275"/>
        <item x="274"/>
        <item x="276"/>
        <item x="277"/>
        <item x="278"/>
        <item x="279"/>
        <item x="281"/>
        <item x="282"/>
        <item x="283"/>
        <item x="284"/>
        <item x="285"/>
        <item x="286"/>
        <item x="287"/>
        <item x="288"/>
        <item x="289"/>
        <item x="290"/>
        <item x="291"/>
        <item x="292"/>
        <item x="293"/>
        <item x="294"/>
        <item x="295"/>
        <item x="296"/>
        <item x="297"/>
        <item x="298"/>
        <item x="299"/>
        <item x="300"/>
        <item x="301"/>
        <item x="302"/>
        <item x="303"/>
        <item x="304"/>
        <item x="305"/>
        <item x="306"/>
        <item x="307"/>
        <item x="308"/>
        <item x="309"/>
        <item x="310"/>
        <item x="311"/>
        <item x="312"/>
        <item x="313"/>
        <item x="314"/>
        <item x="315"/>
        <item x="316"/>
        <item x="317"/>
        <item x="319"/>
        <item x="318"/>
        <item x="320"/>
        <item x="321"/>
        <item x="322"/>
        <item x="323"/>
        <item x="324"/>
        <item x="325"/>
        <item x="326"/>
        <item x="327"/>
        <item x="328"/>
        <item x="329"/>
        <item x="330"/>
        <item x="331"/>
        <item x="332"/>
        <item x="333"/>
        <item x="334"/>
        <item x="335"/>
        <item x="336"/>
        <item x="337"/>
        <item x="338"/>
        <item x="339"/>
        <item x="340"/>
        <item x="342"/>
        <item x="341"/>
        <item x="343"/>
        <item x="344"/>
        <item x="345"/>
        <item x="346"/>
        <item x="347"/>
        <item x="348"/>
        <item x="349"/>
        <item x="350"/>
        <item x="351"/>
        <item x="352"/>
        <item x="353"/>
        <item x="354"/>
        <item x="355"/>
        <item x="356"/>
        <item x="357"/>
        <item x="358"/>
        <item x="359"/>
        <item x="360"/>
        <item x="361"/>
        <item x="362"/>
        <item x="363"/>
        <item x="364"/>
        <item x="365"/>
        <item x="366"/>
        <item x="367"/>
        <item x="368"/>
        <item x="369"/>
        <item x="370"/>
        <item x="371"/>
        <item x="372"/>
        <item x="373"/>
        <item x="374"/>
        <item x="375"/>
        <item x="376"/>
        <item x="377"/>
        <item x="378"/>
        <item x="379"/>
        <item x="380"/>
        <item x="381"/>
        <item x="382"/>
        <item x="383"/>
        <item x="384"/>
        <item x="385"/>
        <item x="386"/>
        <item x="387"/>
        <item x="388"/>
        <item x="389"/>
        <item x="390"/>
        <item x="392"/>
        <item x="391"/>
        <item x="394"/>
        <item x="393"/>
        <item x="395"/>
        <item x="399"/>
        <item x="398"/>
        <item x="397"/>
        <item x="396"/>
        <item x="400"/>
        <item x="401"/>
        <item x="402"/>
        <item x="408"/>
        <item x="403"/>
        <item x="404"/>
        <item x="405"/>
        <item x="406"/>
        <item x="407"/>
        <item x="411"/>
        <item x="410"/>
        <item x="409"/>
        <item x="413"/>
        <item x="412"/>
        <item x="414"/>
        <item x="415"/>
        <item x="416"/>
        <item x="417"/>
        <item x="419"/>
        <item x="418"/>
        <item x="420"/>
        <item x="421"/>
        <item x="422"/>
        <item x="423"/>
        <item x="424"/>
        <item x="425"/>
        <item x="426"/>
        <item x="427"/>
        <item x="428"/>
        <item x="429"/>
        <item x="430"/>
        <item x="431"/>
        <item x="432"/>
        <item x="433"/>
        <item x="434"/>
        <item x="435"/>
        <item x="436"/>
        <item x="437"/>
        <item x="438"/>
        <item x="439"/>
        <item x="441"/>
        <item x="440"/>
        <item x="442"/>
        <item x="443"/>
        <item x="444"/>
        <item x="446"/>
        <item x="445"/>
        <item x="447"/>
        <item x="448"/>
        <item x="449"/>
        <item x="450"/>
        <item x="451"/>
        <item x="452"/>
        <item x="455"/>
        <item x="463"/>
        <item x="454"/>
        <item x="453"/>
        <item x="456"/>
        <item x="457"/>
        <item x="458"/>
        <item x="460"/>
        <item x="459"/>
        <item x="461"/>
        <item x="462"/>
        <item x="464"/>
        <item x="465"/>
        <item x="466"/>
        <item x="468"/>
        <item x="467"/>
        <item x="471"/>
        <item x="470"/>
        <item x="469"/>
        <item m="1" x="804"/>
        <item m="1" x="1565"/>
        <item m="1" x="507"/>
        <item m="1" x="472"/>
        <item t="default"/>
      </items>
    </pivotField>
    <pivotField axis="axisPage" showAll="0">
      <items count="4">
        <item x="0"/>
        <item m="1" x="2"/>
        <item x="1"/>
        <item t="default"/>
      </items>
    </pivotField>
    <pivotField axis="axisRow" showAll="0">
      <items count="17">
        <item x="0"/>
        <item m="1" x="15"/>
        <item x="1"/>
        <item x="2"/>
        <item x="3"/>
        <item m="1" x="11"/>
        <item m="1" x="12"/>
        <item m="1" x="10"/>
        <item x="5"/>
        <item m="1" x="9"/>
        <item x="4"/>
        <item x="6"/>
        <item x="7"/>
        <item x="8"/>
        <item m="1" x="14"/>
        <item m="1" x="13"/>
        <item t="default"/>
      </items>
    </pivotField>
    <pivotField dataField="1"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axis="axisRow" showAll="0">
      <items count="5">
        <item x="0"/>
        <item x="1"/>
        <item m="1" x="2"/>
        <item m="1" x="3"/>
        <item t="default"/>
      </items>
    </pivotField>
    <pivotField numFmtId="2" showAll="0"/>
    <pivotField showAll="0"/>
    <pivotField showAll="0"/>
  </pivotFields>
  <rowFields count="3">
    <field x="15"/>
    <field x="0"/>
    <field x="2"/>
  </rowFields>
  <rowItems count="24">
    <i>
      <x/>
    </i>
    <i r="1">
      <x v="1643"/>
    </i>
    <i r="2">
      <x v="3"/>
    </i>
    <i r="2">
      <x v="13"/>
    </i>
    <i r="1">
      <x v="1644"/>
    </i>
    <i r="2">
      <x v="12"/>
    </i>
    <i r="1">
      <x v="1645"/>
    </i>
    <i r="2">
      <x v="3"/>
    </i>
    <i r="2">
      <x v="11"/>
    </i>
    <i r="1">
      <x v="1646"/>
    </i>
    <i r="2">
      <x v="3"/>
    </i>
    <i r="2">
      <x v="11"/>
    </i>
    <i r="1">
      <x v="1647"/>
    </i>
    <i r="2">
      <x v="3"/>
    </i>
    <i r="2">
      <x v="8"/>
    </i>
    <i r="1">
      <x v="1648"/>
    </i>
    <i r="2">
      <x v="3"/>
    </i>
    <i r="2">
      <x v="11"/>
    </i>
    <i>
      <x v="1"/>
    </i>
    <i r="1">
      <x v="1580"/>
    </i>
    <i r="2">
      <x v="13"/>
    </i>
    <i r="1">
      <x v="1631"/>
    </i>
    <i r="2">
      <x v="13"/>
    </i>
    <i t="grand">
      <x/>
    </i>
  </rowItems>
  <colItems count="1">
    <i/>
  </colItems>
  <pageFields count="1">
    <pageField fld="1" item="2" hier="-1"/>
  </pageFields>
  <dataFields count="1">
    <dataField name="Count of Obj" fld="3" subtotal="count" baseField="0" baseItem="0"/>
  </dataFields>
  <formats count="4">
    <format dxfId="38">
      <pivotArea collapsedLevelsAreSubtotals="1" fieldPosition="0">
        <references count="2">
          <reference field="0" count="1">
            <x v="842"/>
          </reference>
          <reference field="15" count="1" selected="0">
            <x v="0"/>
          </reference>
        </references>
      </pivotArea>
    </format>
    <format dxfId="37">
      <pivotArea dataOnly="0" labelOnly="1" fieldPosition="0">
        <references count="2">
          <reference field="0" count="1">
            <x v="842"/>
          </reference>
          <reference field="15" count="1" selected="0">
            <x v="0"/>
          </reference>
        </references>
      </pivotArea>
    </format>
    <format dxfId="36">
      <pivotArea collapsedLevelsAreSubtotals="1" fieldPosition="0">
        <references count="2">
          <reference field="0" count="1">
            <x v="842"/>
          </reference>
          <reference field="15" count="1" selected="0">
            <x v="1"/>
          </reference>
        </references>
      </pivotArea>
    </format>
    <format dxfId="35">
      <pivotArea dataOnly="0" labelOnly="1" fieldPosition="0">
        <references count="2">
          <reference field="0" count="1">
            <x v="842"/>
          </reference>
          <reference field="15" count="1" selected="0">
            <x v="1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43456A03-EFD4-416A-B021-C441A7C21E4E}" name="Table2" displayName="Table2" ref="A1:C1390" totalsRowShown="0" totalsRowDxfId="34">
  <autoFilter ref="A1:C1390" xr:uid="{43456A03-EFD4-416A-B021-C441A7C21E4E}"/>
  <tableColumns count="3">
    <tableColumn id="1" xr3:uid="{96F9219D-1D74-4611-A7AA-8AB4E044352A}" name="Ticket" totalsRowDxfId="33"/>
    <tableColumn id="2" xr3:uid="{D6F02EDE-42BA-4EF9-A278-EA070340E315}" name="Number" totalsRowDxfId="32"/>
    <tableColumn id="3" xr3:uid="{F6A90E5F-0E5C-41D7-A40C-1CC9A86DC194}" name="Status" totalsRowDxfId="31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678037D6-A574-4B81-B392-ED766472D9FE}" name="Proc" displayName="Proc" ref="A1:S5130" totalsRowShown="0">
  <autoFilter ref="A1:S5130" xr:uid="{678037D6-A574-4B81-B392-ED766472D9FE}">
    <filterColumn colId="0">
      <filters>
        <filter val="FR8060405"/>
      </filters>
    </filterColumn>
    <filterColumn colId="1">
      <filters>
        <filter val="open"/>
      </filters>
    </filterColumn>
    <filterColumn colId="12">
      <filters>
        <dateGroupItem year="2025" month="10" dateTimeGrouping="month"/>
        <dateGroupItem year="2025" month="12" day="8" dateTimeGrouping="day"/>
        <dateGroupItem year="2025" month="12" day="12" dateTimeGrouping="day"/>
        <dateGroupItem year="2025" month="12" day="15" dateTimeGrouping="day"/>
      </filters>
    </filterColumn>
  </autoFilter>
  <tableColumns count="19">
    <tableColumn id="1" xr3:uid="{5BF112CC-BAD1-48FD-B930-E0EF8CA67570}" name="App"/>
    <tableColumn id="2" xr3:uid="{F44F7455-95E4-448C-84F7-0BD5E8515FF2}" name="Filter" dataDxfId="30">
      <calculatedColumnFormula>IFERROR(VLOOKUP(Proc[[#This Row],[App]],Table2[],3,0),"open")</calculatedColumnFormula>
    </tableColumn>
    <tableColumn id="3" xr3:uid="{5F4F076A-2403-4720-A29D-FC0FB8EA120F}" name="Status"/>
    <tableColumn id="4" xr3:uid="{394D0319-2A38-45A3-AB7A-456D5C3C825D}" name="Obj"/>
    <tableColumn id="5" xr3:uid="{85258F80-F70E-46C9-B73A-0E7A23F5BAA8}" name="Requested"/>
    <tableColumn id="6" xr3:uid="{136D6DA2-77DB-4BF7-9073-FBF6D323E39D}" name="CurrentParent" dataDxfId="29"/>
    <tableColumn id="7" xr3:uid="{D69C8A00-2CB4-4F31-920A-C1D332375D40}" name="type"/>
    <tableColumn id="9" xr3:uid="{3D246B09-CC89-411A-9E7E-B79496797F29}" name="LFF_ID" dataDxfId="28">
      <calculatedColumnFormula>IF(Proc[[#This Row],[type]]="LFF (MDG-F)",MID(Proc[[#This Row],[Obj]],13,10),"")</calculatedColumnFormula>
    </tableColumn>
    <tableColumn id="10" xr3:uid="{0F3D2251-8320-43C5-9772-41A1D1B49BAD}" name="Analysis"/>
    <tableColumn id="11" xr3:uid="{D9BF87CD-B2A1-4ABE-AAB8-595DDF492F11}" name="Check" dataDxfId="27">
      <calculatedColumnFormula>Proc[[#This Row],[Requested]]=Proc[[#This Row],[CurrentParent]]</calculatedColumnFormula>
    </tableColumn>
    <tableColumn id="24" xr3:uid="{9DAA192A-7AAB-4460-A9EA-787D5AF7E069}" name="Sector" dataDxfId="26">
      <calculatedColumnFormula>IF(Proc[[#This Row],[Author]]="Marcela Urrego",VLOOKUP(LEFT(Proc[[#This Row],[Requested]],1),Table3[#All],2,0),VLOOKUP(Proc[[#This Row],[Author]],Table4[],2,0))</calculatedColumnFormula>
    </tableColumn>
    <tableColumn id="13" xr3:uid="{EFBC6B71-E109-48FC-AE50-5015496DB0CA}" name="Forecast" dataDxfId="25"/>
    <tableColumn id="15" xr3:uid="{F0BFEDC5-AB85-4752-8DBE-1E2D2A86C38C}" name="DateOpened" dataDxfId="24"/>
    <tableColumn id="17" xr3:uid="{78B7D816-31FE-4F8F-8018-91CE8D5DE9A2}" name="DateMapped" dataDxfId="23"/>
    <tableColumn id="16" xr3:uid="{37F76675-DAA7-497A-B0C3-D5ADC87396FC}" name="DateClosed" dataDxfId="22"/>
    <tableColumn id="23" xr3:uid="{77371810-6F86-4EEF-85D0-5FCFC20B88DC}" name="Delayed?" dataDxfId="21">
      <calculatedColumnFormula>IF(Proc[[#This Row],[DaysAgeing]]&gt;5,"yep","on track")</calculatedColumnFormula>
    </tableColumn>
    <tableColumn id="18" xr3:uid="{6AC4A96E-CE6C-49CA-A4F1-794160BB5940}" name="DaysAgeing" dataDxfId="20">
      <calculatedColumnFormula>IF(Proc[[#This Row],[DateClosed]]="",ABS(NETWORKDAYS(Proc[[#This Row],[DateOpened]],TODAY()))-1,ABS(NETWORKDAYS(Proc[[#This Row],[DateOpened]],Proc[[#This Row],[DateClosed]]))-1)</calculatedColumnFormula>
    </tableColumn>
    <tableColumn id="19" xr3:uid="{7CC86552-2F6D-4DFA-8F17-7AFF536FE9EE}" name="Author" dataDxfId="19"/>
    <tableColumn id="22" xr3:uid="{87389AE1-9ECE-4C7F-80F9-48A35BE78A62}" name="Prognosis" dataDxfId="18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2618A58-C4E3-4E95-B0AA-9A83DBB6280E}" name="Table4" displayName="Table4" ref="A1:B145" totalsRowShown="0">
  <autoFilter ref="A1:B145" xr:uid="{92618A58-C4E3-4E95-B0AA-9A83DBB6280E}"/>
  <tableColumns count="2">
    <tableColumn id="1" xr3:uid="{3B75FB62-4A54-4090-931B-B52201DF1C2A}" name="Person"/>
    <tableColumn id="2" xr3:uid="{0921F6D6-E98A-4F94-9591-4AA0953348CA}" name="sd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567104AD-3240-49E6-945E-A9C0F8AEE9FD}" name="Table6" displayName="Table6" ref="A1:A11" totalsRowShown="0">
  <autoFilter ref="A1:A11" xr:uid="{567104AD-3240-49E6-945E-A9C0F8AEE9FD}"/>
  <tableColumns count="1">
    <tableColumn id="1" xr3:uid="{94627EDD-B748-47FE-AFCB-0DEFCE3316EE}" name="Status"/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D15F2208-05D5-4564-9A81-B69686F2E225}" name="Table8" displayName="Table8" ref="A14:A16" totalsRowShown="0">
  <autoFilter ref="A14:A16" xr:uid="{D15F2208-05D5-4564-9A81-B69686F2E225}"/>
  <tableColumns count="1">
    <tableColumn id="1" xr3:uid="{731D3B3A-A115-466A-91C3-ACBA0DE686A4}" name="object"/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757D7072-A860-4DF6-81B1-FB32411098C9}" name="Table3" displayName="Table3" ref="A1:B6" totalsRowShown="0">
  <autoFilter ref="A1:B6" xr:uid="{757D7072-A860-4DF6-81B1-FB32411098C9}"/>
  <tableColumns count="2">
    <tableColumn id="1" xr3:uid="{EF3456B5-A241-4AB0-9D44-E583F5A28D5D}" name="Objects"/>
    <tableColumn id="2" xr3:uid="{24DB8561-6678-4D6D-B81E-FA7791D3C03C}" name="Sector"/>
  </tableColumns>
  <tableStyleInfo name="TableStyleMedium2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" xr:uid="{3F8396D3-971A-405D-9996-529D23A1D423}" name="YelTable" displayName="YelTable" ref="A1:F5" totalsRowShown="0">
  <autoFilter ref="A1:F5" xr:uid="{3F8396D3-971A-405D-9996-529D23A1D423}"/>
  <tableColumns count="6">
    <tableColumn id="3" xr3:uid="{1E05904C-33DE-48E5-8213-D72B8227C597}" name="Sector" dataDxfId="17"/>
    <tableColumn id="6" xr3:uid="{73647D57-303F-4AF5-983C-1CCB32EBD08D}" name="Forecast Period" dataDxfId="16"/>
    <tableColumn id="4" xr3:uid="{FA11B267-B5E3-452C-A4E3-1668B4A12A28}" name="Number of Tickets Raised" dataDxfId="15"/>
    <tableColumn id="1" xr3:uid="{441BC59C-A1EA-4CA8-B944-D602CD57D89D}" name="Delayed Tickets"/>
    <tableColumn id="5" xr3:uid="{29680677-3B0F-4EC4-81FF-46A6FDD4C5F7}" name="Number of Total Objects" dataDxfId="14"/>
    <tableColumn id="2" xr3:uid="{3D96D299-AEA2-4D9C-9BE6-F98ADF0CDB84}" name="Commentary for delayed tickets" dataDxfId="13"/>
  </tableColumns>
  <tableStyleInfo name="TableStyleMedium7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ustomProperty" Target="../customProperty1.bin"/><Relationship Id="rId1" Type="http://schemas.openxmlformats.org/officeDocument/2006/relationships/pivotTable" Target="../pivotTables/pivotTable1.xml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ustomProperty" Target="../customProperty2.bin"/><Relationship Id="rId2" Type="http://schemas.openxmlformats.org/officeDocument/2006/relationships/printerSettings" Target="../printerSettings/printerSettings1.bin"/><Relationship Id="rId1" Type="http://schemas.openxmlformats.org/officeDocument/2006/relationships/pivotTable" Target="../pivotTables/pivotTable2.xml"/><Relationship Id="rId4" Type="http://schemas.openxmlformats.org/officeDocument/2006/relationships/customProperty" Target="../customProperty3.bin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customProperty" Target="../customProperty4.bin"/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customProperty" Target="../customProperty6.bin"/><Relationship Id="rId1" Type="http://schemas.openxmlformats.org/officeDocument/2006/relationships/customProperty" Target="../customProperty5.bin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table" Target="../tables/table2.xml"/><Relationship Id="rId2" Type="http://schemas.openxmlformats.org/officeDocument/2006/relationships/customProperty" Target="../customProperty7.bin"/><Relationship Id="rId1" Type="http://schemas.openxmlformats.org/officeDocument/2006/relationships/printerSettings" Target="../printerSettings/printerSettings3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customProperty" Target="../customProperty8.bin"/></Relationships>
</file>

<file path=xl/worksheets/_rels/sheet1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3.xml"/><Relationship Id="rId2" Type="http://schemas.openxmlformats.org/officeDocument/2006/relationships/customProperty" Target="../customProperty9.bin"/><Relationship Id="rId1" Type="http://schemas.openxmlformats.org/officeDocument/2006/relationships/printerSettings" Target="../printerSettings/printerSettings4.bin"/></Relationships>
</file>

<file path=xl/worksheets/_rels/sheet12.xml.rels><?xml version="1.0" encoding="UTF-8" standalone="yes"?>
<Relationships xmlns="http://schemas.openxmlformats.org/package/2006/relationships"><Relationship Id="rId3" Type="http://schemas.openxmlformats.org/officeDocument/2006/relationships/table" Target="../tables/table5.xml"/><Relationship Id="rId2" Type="http://schemas.openxmlformats.org/officeDocument/2006/relationships/table" Target="../tables/table4.xml"/><Relationship Id="rId1" Type="http://schemas.openxmlformats.org/officeDocument/2006/relationships/customProperty" Target="../customProperty10.bin"/></Relationships>
</file>

<file path=xl/worksheets/_rels/sheet1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6.xml"/><Relationship Id="rId1" Type="http://schemas.openxmlformats.org/officeDocument/2006/relationships/customProperty" Target="../customProperty11.bin"/></Relationships>
</file>

<file path=xl/worksheets/_rels/sheet14.xml.rels><?xml version="1.0" encoding="UTF-8" standalone="yes"?>
<Relationships xmlns="http://schemas.openxmlformats.org/package/2006/relationships"><Relationship Id="rId2" Type="http://schemas.openxmlformats.org/officeDocument/2006/relationships/table" Target="../tables/table7.xml"/><Relationship Id="rId1" Type="http://schemas.openxmlformats.org/officeDocument/2006/relationships/customProperty" Target="../customProperty1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BA190F-5488-4632-AF91-93A699854F94}">
  <sheetPr codeName="Sheet3"/>
  <dimension ref="A1:C30"/>
  <sheetViews>
    <sheetView workbookViewId="0">
      <selection activeCell="A16" sqref="A16"/>
    </sheetView>
  </sheetViews>
  <sheetFormatPr defaultColWidth="0" defaultRowHeight="15"/>
  <cols>
    <col min="1" max="1" width="37.7109375" bestFit="1" customWidth="1"/>
    <col min="2" max="2" width="12.140625" bestFit="1" customWidth="1"/>
    <col min="3" max="3" width="9.140625" customWidth="1"/>
    <col min="4" max="16384" width="9.140625" hidden="1"/>
  </cols>
  <sheetData>
    <row r="1" spans="1:2">
      <c r="A1" s="66" t="s">
        <v>390</v>
      </c>
      <c r="B1" s="149" t="s">
        <v>401</v>
      </c>
    </row>
    <row r="3" spans="1:2">
      <c r="A3" s="66" t="s">
        <v>366</v>
      </c>
      <c r="B3" t="s">
        <v>698</v>
      </c>
    </row>
    <row r="4" spans="1:2">
      <c r="A4" s="17" t="s">
        <v>567</v>
      </c>
      <c r="B4" s="150">
        <v>262</v>
      </c>
    </row>
    <row r="5" spans="1:2">
      <c r="A5" s="111" t="s">
        <v>369</v>
      </c>
      <c r="B5" s="150">
        <v>255</v>
      </c>
    </row>
    <row r="6" spans="1:2">
      <c r="A6" s="111" t="s">
        <v>404</v>
      </c>
      <c r="B6" s="150"/>
    </row>
    <row r="7" spans="1:2">
      <c r="A7" s="111" t="s">
        <v>370</v>
      </c>
      <c r="B7" s="150"/>
    </row>
    <row r="8" spans="1:2">
      <c r="A8" s="111" t="s">
        <v>403</v>
      </c>
      <c r="B8" s="150"/>
    </row>
    <row r="9" spans="1:2">
      <c r="A9" s="111" t="s">
        <v>398</v>
      </c>
      <c r="B9" s="150"/>
    </row>
    <row r="10" spans="1:2">
      <c r="A10" s="111" t="s">
        <v>377</v>
      </c>
      <c r="B10" s="150">
        <v>1</v>
      </c>
    </row>
    <row r="11" spans="1:2">
      <c r="A11" s="111" t="s">
        <v>375</v>
      </c>
      <c r="B11" s="150">
        <v>4</v>
      </c>
    </row>
    <row r="12" spans="1:2">
      <c r="A12" s="111" t="s">
        <v>405</v>
      </c>
      <c r="B12" s="150">
        <v>1</v>
      </c>
    </row>
    <row r="13" spans="1:2">
      <c r="A13" s="111" t="s">
        <v>692</v>
      </c>
      <c r="B13" s="150">
        <v>1</v>
      </c>
    </row>
    <row r="14" spans="1:2">
      <c r="A14" s="17" t="s">
        <v>568</v>
      </c>
      <c r="B14" s="150">
        <v>227</v>
      </c>
    </row>
    <row r="15" spans="1:2">
      <c r="A15" s="111" t="s">
        <v>369</v>
      </c>
      <c r="B15" s="150">
        <v>220</v>
      </c>
    </row>
    <row r="16" spans="1:2">
      <c r="A16" s="111" t="s">
        <v>370</v>
      </c>
      <c r="B16" s="150">
        <v>6</v>
      </c>
    </row>
    <row r="17" spans="1:2">
      <c r="A17" s="111" t="s">
        <v>375</v>
      </c>
      <c r="B17" s="150">
        <v>1</v>
      </c>
    </row>
    <row r="18" spans="1:2">
      <c r="A18" s="17" t="s">
        <v>569</v>
      </c>
      <c r="B18" s="150">
        <v>221</v>
      </c>
    </row>
    <row r="19" spans="1:2">
      <c r="A19" s="111" t="s">
        <v>369</v>
      </c>
      <c r="B19" s="150">
        <v>216</v>
      </c>
    </row>
    <row r="20" spans="1:2">
      <c r="A20" s="111" t="s">
        <v>377</v>
      </c>
      <c r="B20" s="150">
        <v>2</v>
      </c>
    </row>
    <row r="21" spans="1:2">
      <c r="A21" s="111" t="s">
        <v>692</v>
      </c>
      <c r="B21" s="150">
        <v>3</v>
      </c>
    </row>
    <row r="22" spans="1:2">
      <c r="A22" s="17" t="s">
        <v>570</v>
      </c>
      <c r="B22" s="150">
        <v>307</v>
      </c>
    </row>
    <row r="23" spans="1:2">
      <c r="A23" s="111" t="s">
        <v>369</v>
      </c>
      <c r="B23" s="150">
        <v>297</v>
      </c>
    </row>
    <row r="24" spans="1:2">
      <c r="A24" s="111" t="s">
        <v>377</v>
      </c>
      <c r="B24" s="150">
        <v>9</v>
      </c>
    </row>
    <row r="25" spans="1:2">
      <c r="A25" s="111" t="s">
        <v>692</v>
      </c>
      <c r="B25" s="150">
        <v>1</v>
      </c>
    </row>
    <row r="26" spans="1:2">
      <c r="A26" s="17" t="s">
        <v>6998</v>
      </c>
      <c r="B26" s="150">
        <v>4</v>
      </c>
    </row>
    <row r="27" spans="1:2">
      <c r="A27" s="111" t="s">
        <v>369</v>
      </c>
      <c r="B27" s="150">
        <v>4</v>
      </c>
    </row>
    <row r="28" spans="1:2">
      <c r="A28" s="17" t="s">
        <v>7194</v>
      </c>
      <c r="B28" s="150">
        <v>5</v>
      </c>
    </row>
    <row r="29" spans="1:2">
      <c r="A29" s="111" t="s">
        <v>369</v>
      </c>
      <c r="B29" s="150">
        <v>5</v>
      </c>
    </row>
    <row r="30" spans="1:2">
      <c r="A30" s="17" t="s">
        <v>381</v>
      </c>
      <c r="B30" s="150">
        <v>1026</v>
      </c>
    </row>
  </sheetData>
  <pageMargins left="0.7" right="0.7" top="0.75" bottom="0.75" header="0.3" footer="0.3"/>
  <customProperties>
    <customPr name="_pios_id" r:id="rId2"/>
  </customPropertie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27B7123-EEA1-4BA6-8CFC-B80BB9988DCB}">
  <sheetPr codeName="Sheet2"/>
  <dimension ref="A2:K35"/>
  <sheetViews>
    <sheetView tabSelected="1" zoomScale="115" zoomScaleNormal="115" workbookViewId="0">
      <selection activeCell="E22" sqref="E22"/>
    </sheetView>
  </sheetViews>
  <sheetFormatPr defaultColWidth="0" defaultRowHeight="15"/>
  <cols>
    <col min="1" max="1" width="39.5703125" bestFit="1" customWidth="1"/>
    <col min="2" max="2" width="12.140625" bestFit="1" customWidth="1"/>
    <col min="3" max="3" width="8.28515625" style="46" bestFit="1" customWidth="1"/>
    <col min="4" max="4" width="11.28515625" style="46" bestFit="1" customWidth="1"/>
    <col min="5" max="5" width="11.28515625" style="22" bestFit="1" customWidth="1"/>
    <col min="6" max="6" width="20.140625" customWidth="1"/>
    <col min="7" max="10" width="9.140625" hidden="1" customWidth="1"/>
    <col min="11" max="11" width="26" hidden="1" customWidth="1"/>
    <col min="12" max="16384" width="9.140625" hidden="1"/>
  </cols>
  <sheetData>
    <row r="2" spans="1:6">
      <c r="A2" s="66" t="s">
        <v>365</v>
      </c>
      <c r="B2" s="149" t="s">
        <v>925</v>
      </c>
    </row>
    <row r="3" spans="1:6">
      <c r="F3" t="s">
        <v>699</v>
      </c>
    </row>
    <row r="4" spans="1:6">
      <c r="A4" s="66" t="s">
        <v>366</v>
      </c>
      <c r="B4" t="s">
        <v>698</v>
      </c>
      <c r="C4"/>
      <c r="D4"/>
      <c r="E4" t="s">
        <v>367</v>
      </c>
      <c r="F4" t="s">
        <v>367</v>
      </c>
    </row>
    <row r="5" spans="1:6">
      <c r="A5" s="17" t="s">
        <v>6532</v>
      </c>
      <c r="B5" s="150">
        <v>27</v>
      </c>
      <c r="C5"/>
      <c r="D5"/>
      <c r="E5"/>
    </row>
    <row r="6" spans="1:6">
      <c r="A6" s="111" t="s">
        <v>7364</v>
      </c>
      <c r="B6" s="150">
        <v>5</v>
      </c>
      <c r="C6" s="126"/>
      <c r="D6" s="124"/>
      <c r="E6" s="124"/>
    </row>
    <row r="7" spans="1:6">
      <c r="A7" s="112" t="s">
        <v>369</v>
      </c>
      <c r="B7" s="150">
        <v>4</v>
      </c>
      <c r="C7"/>
      <c r="D7"/>
      <c r="E7"/>
    </row>
    <row r="8" spans="1:6">
      <c r="A8" s="112" t="s">
        <v>692</v>
      </c>
      <c r="B8" s="150">
        <v>1</v>
      </c>
      <c r="C8" s="56"/>
      <c r="D8" s="124"/>
      <c r="E8" s="124"/>
    </row>
    <row r="9" spans="1:6">
      <c r="A9" s="111" t="s">
        <v>7376</v>
      </c>
      <c r="B9" s="150">
        <v>1</v>
      </c>
      <c r="C9"/>
      <c r="D9"/>
    </row>
    <row r="10" spans="1:6">
      <c r="A10" s="112" t="s">
        <v>405</v>
      </c>
      <c r="B10" s="150">
        <v>1</v>
      </c>
      <c r="C10" s="53"/>
      <c r="D10" s="124"/>
      <c r="E10" s="124"/>
    </row>
    <row r="11" spans="1:6">
      <c r="A11" s="111" t="s">
        <v>7371</v>
      </c>
      <c r="B11" s="150">
        <v>6</v>
      </c>
      <c r="C11"/>
      <c r="D11"/>
    </row>
    <row r="12" spans="1:6">
      <c r="A12" s="112" t="s">
        <v>369</v>
      </c>
      <c r="B12" s="150">
        <v>5</v>
      </c>
      <c r="C12" s="126"/>
      <c r="D12"/>
    </row>
    <row r="13" spans="1:6">
      <c r="A13" s="112" t="s">
        <v>375</v>
      </c>
      <c r="B13" s="150">
        <v>1</v>
      </c>
      <c r="C13"/>
      <c r="D13"/>
    </row>
    <row r="14" spans="1:6">
      <c r="A14" s="111" t="s">
        <v>7403</v>
      </c>
      <c r="B14" s="150">
        <v>4</v>
      </c>
      <c r="C14" s="126"/>
      <c r="D14"/>
    </row>
    <row r="15" spans="1:6">
      <c r="A15" s="112" t="s">
        <v>369</v>
      </c>
      <c r="B15" s="150">
        <v>2</v>
      </c>
      <c r="C15"/>
      <c r="D15" s="124"/>
      <c r="E15" s="124"/>
    </row>
    <row r="16" spans="1:6">
      <c r="A16" s="112" t="s">
        <v>375</v>
      </c>
      <c r="B16" s="150">
        <v>2</v>
      </c>
      <c r="C16"/>
      <c r="D16"/>
    </row>
    <row r="17" spans="1:5">
      <c r="A17" s="111" t="s">
        <v>7386</v>
      </c>
      <c r="B17" s="150">
        <v>7</v>
      </c>
      <c r="C17"/>
      <c r="D17" s="124"/>
      <c r="E17" s="124"/>
    </row>
    <row r="18" spans="1:5">
      <c r="A18" s="112" t="s">
        <v>369</v>
      </c>
      <c r="B18" s="150">
        <v>1</v>
      </c>
      <c r="C18" s="126"/>
      <c r="D18"/>
    </row>
    <row r="19" spans="1:5">
      <c r="A19" s="112" t="s">
        <v>370</v>
      </c>
      <c r="B19" s="150">
        <v>6</v>
      </c>
      <c r="C19" s="47"/>
      <c r="D19"/>
    </row>
    <row r="20" spans="1:5">
      <c r="A20" s="111" t="s">
        <v>7383</v>
      </c>
      <c r="B20" s="150">
        <v>4</v>
      </c>
      <c r="C20" s="126"/>
    </row>
    <row r="21" spans="1:5" ht="17.25" customHeight="1">
      <c r="A21" s="112" t="s">
        <v>369</v>
      </c>
      <c r="B21" s="150">
        <v>2</v>
      </c>
    </row>
    <row r="22" spans="1:5">
      <c r="A22" s="112" t="s">
        <v>375</v>
      </c>
      <c r="B22" s="150">
        <v>2</v>
      </c>
    </row>
    <row r="23" spans="1:5">
      <c r="A23" s="17" t="s">
        <v>4326</v>
      </c>
      <c r="B23" s="150">
        <v>3</v>
      </c>
    </row>
    <row r="24" spans="1:5">
      <c r="A24" s="111" t="s">
        <v>6639</v>
      </c>
      <c r="B24" s="150">
        <v>2</v>
      </c>
    </row>
    <row r="25" spans="1:5">
      <c r="A25" s="112" t="s">
        <v>692</v>
      </c>
      <c r="B25" s="150">
        <v>2</v>
      </c>
      <c r="D25" s="124"/>
      <c r="E25" s="124"/>
    </row>
    <row r="26" spans="1:5">
      <c r="A26" s="111" t="s">
        <v>7343</v>
      </c>
      <c r="B26" s="150">
        <v>1</v>
      </c>
      <c r="C26" s="126"/>
    </row>
    <row r="27" spans="1:5">
      <c r="A27" s="112" t="s">
        <v>692</v>
      </c>
      <c r="B27" s="150">
        <v>1</v>
      </c>
    </row>
    <row r="28" spans="1:5">
      <c r="A28" s="17" t="s">
        <v>381</v>
      </c>
      <c r="B28" s="150">
        <v>30</v>
      </c>
    </row>
    <row r="31" spans="1:5">
      <c r="C31" s="30"/>
    </row>
    <row r="32" spans="1:5">
      <c r="C32" s="30"/>
    </row>
    <row r="33" spans="3:3">
      <c r="C33" s="30"/>
    </row>
    <row r="34" spans="3:3">
      <c r="C34" s="30"/>
    </row>
    <row r="35" spans="3:3">
      <c r="C35" s="30"/>
    </row>
  </sheetData>
  <autoFilter ref="A2:F1353" xr:uid="{B27B7123-EEA1-4BA6-8CFC-B80BB9988DCB}"/>
  <conditionalFormatting sqref="E19">
    <cfRule type="dataBar" priority="2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{8DC174B4-8DA6-4D3D-B634-B115D792467F}</x14:id>
        </ext>
      </extLst>
    </cfRule>
  </conditionalFormatting>
  <conditionalFormatting sqref="E25">
    <cfRule type="dataBar" priority="1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{BCC257EB-386A-49BD-BCA5-966FEA8F3F16}</x14:id>
        </ext>
      </extLst>
    </cfRule>
  </conditionalFormatting>
  <pageMargins left="0.7" right="0.7" top="0.75" bottom="0.75" header="0.3" footer="0.3"/>
  <pageSetup orientation="portrait" r:id="rId2"/>
  <customProperties>
    <customPr name="_pios_id" r:id="rId3"/>
    <customPr name="IbpWorksheetKeyString_GUID" r:id="rId4"/>
  </customProperties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8DC174B4-8DA6-4D3D-B634-B115D792467F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E19</xm:sqref>
        </x14:conditionalFormatting>
        <x14:conditionalFormatting xmlns:xm="http://schemas.microsoft.com/office/excel/2006/main">
          <x14:cfRule type="dataBar" id="{BCC257EB-386A-49BD-BCA5-966FEA8F3F16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E25</xm:sqref>
        </x14:conditionalFormatting>
      </x14:conditionalFormattings>
    </ext>
  </extLst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EF6F094-6CC7-43A2-BBFE-8797416561A7}">
  <sheetPr codeName="Sheet1"/>
  <dimension ref="A1:D1390"/>
  <sheetViews>
    <sheetView topLeftCell="A1341" workbookViewId="0">
      <selection activeCell="C1390" sqref="C1390"/>
    </sheetView>
  </sheetViews>
  <sheetFormatPr defaultRowHeight="15"/>
  <cols>
    <col min="1" max="1" width="24.5703125" bestFit="1" customWidth="1"/>
    <col min="2" max="2" width="10.5703125" bestFit="1" customWidth="1"/>
    <col min="3" max="3" width="4.42578125" bestFit="1" customWidth="1"/>
  </cols>
  <sheetData>
    <row r="1" spans="1:3">
      <c r="A1" t="s">
        <v>0</v>
      </c>
      <c r="B1" t="s">
        <v>1</v>
      </c>
      <c r="C1" t="s">
        <v>2</v>
      </c>
    </row>
    <row r="2" spans="1:3">
      <c r="A2" t="s">
        <v>3</v>
      </c>
      <c r="C2" t="str">
        <f>IF(ISBLANK(A2),"","ok")</f>
        <v>ok</v>
      </c>
    </row>
    <row r="3" spans="1:3">
      <c r="A3" t="s">
        <v>5</v>
      </c>
      <c r="B3">
        <v>2</v>
      </c>
      <c r="C3" t="s">
        <v>4</v>
      </c>
    </row>
    <row r="4" spans="1:3">
      <c r="A4" t="s">
        <v>6</v>
      </c>
      <c r="B4">
        <v>2</v>
      </c>
      <c r="C4" t="s">
        <v>4</v>
      </c>
    </row>
    <row r="5" spans="1:3">
      <c r="A5" t="s">
        <v>7</v>
      </c>
      <c r="B5">
        <v>1</v>
      </c>
      <c r="C5" t="s">
        <v>4</v>
      </c>
    </row>
    <row r="6" spans="1:3">
      <c r="A6" t="s">
        <v>8</v>
      </c>
      <c r="B6">
        <v>1</v>
      </c>
      <c r="C6" t="s">
        <v>4</v>
      </c>
    </row>
    <row r="7" spans="1:3">
      <c r="A7" t="s">
        <v>9</v>
      </c>
      <c r="B7">
        <v>1</v>
      </c>
      <c r="C7" t="s">
        <v>4</v>
      </c>
    </row>
    <row r="8" spans="1:3">
      <c r="A8" t="s">
        <v>10</v>
      </c>
      <c r="B8">
        <v>1</v>
      </c>
      <c r="C8" t="s">
        <v>4</v>
      </c>
    </row>
    <row r="9" spans="1:3">
      <c r="A9" t="s">
        <v>11</v>
      </c>
      <c r="B9">
        <v>1725</v>
      </c>
      <c r="C9" t="s">
        <v>4</v>
      </c>
    </row>
    <row r="10" spans="1:3">
      <c r="A10" t="s">
        <v>12</v>
      </c>
      <c r="B10">
        <v>3</v>
      </c>
      <c r="C10" t="s">
        <v>4</v>
      </c>
    </row>
    <row r="11" spans="1:3">
      <c r="A11" s="2" t="s">
        <v>13</v>
      </c>
      <c r="B11">
        <v>29</v>
      </c>
      <c r="C11" t="s">
        <v>4</v>
      </c>
    </row>
    <row r="12" spans="1:3">
      <c r="A12" s="2" t="s">
        <v>14</v>
      </c>
      <c r="B12">
        <v>7</v>
      </c>
      <c r="C12" t="s">
        <v>4</v>
      </c>
    </row>
    <row r="13" spans="1:3">
      <c r="A13" s="2" t="s">
        <v>15</v>
      </c>
      <c r="B13">
        <v>38</v>
      </c>
      <c r="C13" t="s">
        <v>4</v>
      </c>
    </row>
    <row r="14" spans="1:3">
      <c r="A14" s="2" t="s">
        <v>16</v>
      </c>
      <c r="B14">
        <v>11</v>
      </c>
      <c r="C14" t="s">
        <v>4</v>
      </c>
    </row>
    <row r="15" spans="1:3">
      <c r="A15" s="2" t="s">
        <v>17</v>
      </c>
      <c r="B15">
        <v>24</v>
      </c>
      <c r="C15" t="s">
        <v>4</v>
      </c>
    </row>
    <row r="16" spans="1:3">
      <c r="A16" t="s">
        <v>18</v>
      </c>
      <c r="B16">
        <v>50</v>
      </c>
      <c r="C16" t="s">
        <v>4</v>
      </c>
    </row>
    <row r="17" spans="1:3">
      <c r="A17" t="s">
        <v>19</v>
      </c>
      <c r="B17">
        <v>11</v>
      </c>
      <c r="C17" t="s">
        <v>4</v>
      </c>
    </row>
    <row r="18" spans="1:3">
      <c r="A18" t="s">
        <v>20</v>
      </c>
      <c r="B18">
        <v>4</v>
      </c>
      <c r="C18" t="s">
        <v>4</v>
      </c>
    </row>
    <row r="19" spans="1:3">
      <c r="A19" t="s">
        <v>21</v>
      </c>
      <c r="B19">
        <v>62</v>
      </c>
      <c r="C19" t="s">
        <v>4</v>
      </c>
    </row>
    <row r="20" spans="1:3">
      <c r="A20" t="s">
        <v>22</v>
      </c>
      <c r="B20">
        <v>23</v>
      </c>
      <c r="C20" t="s">
        <v>4</v>
      </c>
    </row>
    <row r="21" spans="1:3">
      <c r="A21" t="s">
        <v>23</v>
      </c>
      <c r="B21">
        <v>2</v>
      </c>
      <c r="C21" t="s">
        <v>4</v>
      </c>
    </row>
    <row r="22" spans="1:3">
      <c r="A22" t="s">
        <v>24</v>
      </c>
      <c r="B22">
        <v>8</v>
      </c>
      <c r="C22" t="s">
        <v>4</v>
      </c>
    </row>
    <row r="23" spans="1:3">
      <c r="A23" s="2" t="s">
        <v>25</v>
      </c>
      <c r="B23">
        <v>1</v>
      </c>
      <c r="C23" t="s">
        <v>4</v>
      </c>
    </row>
    <row r="24" spans="1:3">
      <c r="A24" t="s">
        <v>26</v>
      </c>
      <c r="B24">
        <v>5</v>
      </c>
      <c r="C24" t="s">
        <v>4</v>
      </c>
    </row>
    <row r="25" spans="1:3">
      <c r="A25" t="s">
        <v>27</v>
      </c>
      <c r="B25">
        <v>12</v>
      </c>
      <c r="C25" t="s">
        <v>4</v>
      </c>
    </row>
    <row r="26" spans="1:3">
      <c r="A26" t="s">
        <v>28</v>
      </c>
      <c r="B26">
        <v>1</v>
      </c>
      <c r="C26" t="s">
        <v>4</v>
      </c>
    </row>
    <row r="27" spans="1:3">
      <c r="A27" t="s">
        <v>29</v>
      </c>
      <c r="B27">
        <v>5</v>
      </c>
      <c r="C27" t="s">
        <v>4</v>
      </c>
    </row>
    <row r="28" spans="1:3">
      <c r="A28" t="s">
        <v>30</v>
      </c>
      <c r="C28" t="s">
        <v>4</v>
      </c>
    </row>
    <row r="29" spans="1:3">
      <c r="A29" t="s">
        <v>31</v>
      </c>
      <c r="B29">
        <v>6</v>
      </c>
      <c r="C29" t="s">
        <v>4</v>
      </c>
    </row>
    <row r="30" spans="1:3">
      <c r="A30" s="2" t="s">
        <v>32</v>
      </c>
      <c r="B30">
        <v>1</v>
      </c>
      <c r="C30" t="s">
        <v>4</v>
      </c>
    </row>
    <row r="31" spans="1:3">
      <c r="A31" s="2" t="s">
        <v>33</v>
      </c>
      <c r="B31">
        <v>3</v>
      </c>
      <c r="C31" t="s">
        <v>4</v>
      </c>
    </row>
    <row r="32" spans="1:3">
      <c r="A32" s="2" t="s">
        <v>34</v>
      </c>
      <c r="B32">
        <v>1</v>
      </c>
      <c r="C32" t="s">
        <v>4</v>
      </c>
    </row>
    <row r="33" spans="1:3">
      <c r="A33" s="2" t="s">
        <v>35</v>
      </c>
      <c r="B33">
        <v>13</v>
      </c>
      <c r="C33" t="s">
        <v>4</v>
      </c>
    </row>
    <row r="34" spans="1:3">
      <c r="A34" t="s">
        <v>36</v>
      </c>
      <c r="B34">
        <v>1</v>
      </c>
      <c r="C34" t="s">
        <v>4</v>
      </c>
    </row>
    <row r="35" spans="1:3">
      <c r="A35" t="s">
        <v>37</v>
      </c>
      <c r="B35">
        <v>21</v>
      </c>
      <c r="C35" t="s">
        <v>4</v>
      </c>
    </row>
    <row r="36" spans="1:3">
      <c r="A36" t="s">
        <v>38</v>
      </c>
      <c r="B36">
        <v>6</v>
      </c>
      <c r="C36" t="s">
        <v>4</v>
      </c>
    </row>
    <row r="37" spans="1:3">
      <c r="A37" t="s">
        <v>39</v>
      </c>
      <c r="B37">
        <v>4</v>
      </c>
      <c r="C37" t="s">
        <v>4</v>
      </c>
    </row>
    <row r="38" spans="1:3">
      <c r="A38" t="s">
        <v>40</v>
      </c>
      <c r="B38">
        <v>2</v>
      </c>
      <c r="C38" t="s">
        <v>4</v>
      </c>
    </row>
    <row r="39" spans="1:3">
      <c r="A39" t="s">
        <v>41</v>
      </c>
      <c r="B39">
        <v>11</v>
      </c>
      <c r="C39" t="s">
        <v>4</v>
      </c>
    </row>
    <row r="40" spans="1:3">
      <c r="A40" t="s">
        <v>42</v>
      </c>
      <c r="B40">
        <v>63</v>
      </c>
      <c r="C40" t="s">
        <v>4</v>
      </c>
    </row>
    <row r="41" spans="1:3">
      <c r="A41" t="s">
        <v>43</v>
      </c>
      <c r="B41">
        <v>148</v>
      </c>
      <c r="C41" t="s">
        <v>4</v>
      </c>
    </row>
    <row r="42" spans="1:3">
      <c r="A42" t="s">
        <v>44</v>
      </c>
      <c r="B42">
        <v>2</v>
      </c>
      <c r="C42" t="s">
        <v>4</v>
      </c>
    </row>
    <row r="43" spans="1:3">
      <c r="A43" s="7" t="s">
        <v>45</v>
      </c>
      <c r="B43" s="8">
        <v>6</v>
      </c>
      <c r="C43" t="s">
        <v>4</v>
      </c>
    </row>
    <row r="44" spans="1:3">
      <c r="A44" t="s">
        <v>46</v>
      </c>
      <c r="B44">
        <v>8</v>
      </c>
      <c r="C44" t="s">
        <v>4</v>
      </c>
    </row>
    <row r="45" spans="1:3">
      <c r="A45" t="s">
        <v>47</v>
      </c>
      <c r="B45">
        <v>10</v>
      </c>
      <c r="C45" t="s">
        <v>4</v>
      </c>
    </row>
    <row r="46" spans="1:3">
      <c r="A46" t="s">
        <v>48</v>
      </c>
      <c r="B46">
        <v>1</v>
      </c>
      <c r="C46" t="s">
        <v>4</v>
      </c>
    </row>
    <row r="47" spans="1:3">
      <c r="A47" t="s">
        <v>49</v>
      </c>
      <c r="B47">
        <v>3</v>
      </c>
      <c r="C47" t="s">
        <v>4</v>
      </c>
    </row>
    <row r="48" spans="1:3">
      <c r="A48" s="2" t="s">
        <v>50</v>
      </c>
      <c r="B48">
        <v>43</v>
      </c>
      <c r="C48" t="s">
        <v>4</v>
      </c>
    </row>
    <row r="49" spans="1:3">
      <c r="A49" t="s">
        <v>51</v>
      </c>
      <c r="B49">
        <v>1</v>
      </c>
      <c r="C49" t="s">
        <v>4</v>
      </c>
    </row>
    <row r="50" spans="1:3">
      <c r="A50" t="s">
        <v>52</v>
      </c>
      <c r="B50">
        <v>1</v>
      </c>
      <c r="C50" t="s">
        <v>4</v>
      </c>
    </row>
    <row r="51" spans="1:3">
      <c r="A51" t="s">
        <v>53</v>
      </c>
      <c r="B51">
        <v>3</v>
      </c>
      <c r="C51" t="s">
        <v>4</v>
      </c>
    </row>
    <row r="52" spans="1:3">
      <c r="A52" s="2" t="s">
        <v>54</v>
      </c>
      <c r="B52">
        <v>7</v>
      </c>
      <c r="C52" t="s">
        <v>4</v>
      </c>
    </row>
    <row r="53" spans="1:3">
      <c r="A53" t="s">
        <v>55</v>
      </c>
      <c r="B53">
        <v>2</v>
      </c>
      <c r="C53" t="s">
        <v>4</v>
      </c>
    </row>
    <row r="54" spans="1:3">
      <c r="A54" t="s">
        <v>56</v>
      </c>
      <c r="B54">
        <v>1</v>
      </c>
      <c r="C54" t="s">
        <v>4</v>
      </c>
    </row>
    <row r="55" spans="1:3">
      <c r="A55" s="7" t="s">
        <v>57</v>
      </c>
      <c r="B55">
        <v>12</v>
      </c>
      <c r="C55" t="s">
        <v>4</v>
      </c>
    </row>
    <row r="56" spans="1:3">
      <c r="A56" t="s">
        <v>58</v>
      </c>
      <c r="B56">
        <v>1</v>
      </c>
      <c r="C56" t="s">
        <v>4</v>
      </c>
    </row>
    <row r="57" spans="1:3">
      <c r="A57" t="s">
        <v>59</v>
      </c>
      <c r="B57">
        <v>9</v>
      </c>
      <c r="C57" t="s">
        <v>4</v>
      </c>
    </row>
    <row r="58" spans="1:3">
      <c r="A58" t="s">
        <v>60</v>
      </c>
      <c r="B58">
        <v>157</v>
      </c>
      <c r="C58" t="s">
        <v>4</v>
      </c>
    </row>
    <row r="59" spans="1:3">
      <c r="A59" t="s">
        <v>61</v>
      </c>
      <c r="B59">
        <v>34</v>
      </c>
      <c r="C59" t="s">
        <v>4</v>
      </c>
    </row>
    <row r="60" spans="1:3">
      <c r="A60" t="s">
        <v>62</v>
      </c>
      <c r="B60">
        <v>1</v>
      </c>
      <c r="C60" t="s">
        <v>4</v>
      </c>
    </row>
    <row r="61" spans="1:3">
      <c r="A61" t="s">
        <v>63</v>
      </c>
      <c r="B61">
        <v>1</v>
      </c>
      <c r="C61" t="s">
        <v>4</v>
      </c>
    </row>
    <row r="62" spans="1:3">
      <c r="A62" t="s">
        <v>64</v>
      </c>
      <c r="B62">
        <v>43</v>
      </c>
      <c r="C62" t="s">
        <v>4</v>
      </c>
    </row>
    <row r="63" spans="1:3">
      <c r="A63" t="s">
        <v>65</v>
      </c>
      <c r="B63">
        <v>1</v>
      </c>
      <c r="C63" t="s">
        <v>4</v>
      </c>
    </row>
    <row r="64" spans="1:3">
      <c r="A64" t="s">
        <v>66</v>
      </c>
      <c r="B64">
        <v>7</v>
      </c>
      <c r="C64" t="s">
        <v>4</v>
      </c>
    </row>
    <row r="65" spans="1:3">
      <c r="A65" t="s">
        <v>67</v>
      </c>
      <c r="B65">
        <v>3</v>
      </c>
      <c r="C65" t="s">
        <v>4</v>
      </c>
    </row>
    <row r="66" spans="1:3">
      <c r="A66" t="s">
        <v>68</v>
      </c>
      <c r="B66">
        <v>4</v>
      </c>
      <c r="C66" t="s">
        <v>4</v>
      </c>
    </row>
    <row r="67" spans="1:3">
      <c r="A67" s="2" t="s">
        <v>69</v>
      </c>
      <c r="B67">
        <v>1</v>
      </c>
      <c r="C67" t="s">
        <v>4</v>
      </c>
    </row>
    <row r="68" spans="1:3">
      <c r="A68" s="2" t="s">
        <v>70</v>
      </c>
      <c r="B68">
        <v>20</v>
      </c>
      <c r="C68" t="s">
        <v>4</v>
      </c>
    </row>
    <row r="69" spans="1:3">
      <c r="A69" t="s">
        <v>71</v>
      </c>
      <c r="B69">
        <v>2902</v>
      </c>
      <c r="C69" t="s">
        <v>4</v>
      </c>
    </row>
    <row r="70" spans="1:3">
      <c r="A70" s="2" t="s">
        <v>72</v>
      </c>
      <c r="B70">
        <v>14</v>
      </c>
      <c r="C70" t="s">
        <v>4</v>
      </c>
    </row>
    <row r="71" spans="1:3">
      <c r="A71" s="2" t="s">
        <v>73</v>
      </c>
      <c r="B71">
        <v>5</v>
      </c>
      <c r="C71" t="s">
        <v>4</v>
      </c>
    </row>
    <row r="72" spans="1:3">
      <c r="A72" s="2" t="s">
        <v>74</v>
      </c>
      <c r="B72">
        <v>20</v>
      </c>
      <c r="C72" t="s">
        <v>4</v>
      </c>
    </row>
    <row r="73" spans="1:3">
      <c r="A73" s="2" t="s">
        <v>75</v>
      </c>
      <c r="B73">
        <v>2</v>
      </c>
      <c r="C73" t="s">
        <v>4</v>
      </c>
    </row>
    <row r="74" spans="1:3">
      <c r="A74" s="2" t="s">
        <v>76</v>
      </c>
      <c r="B74">
        <v>17</v>
      </c>
      <c r="C74" t="s">
        <v>4</v>
      </c>
    </row>
    <row r="75" spans="1:3">
      <c r="A75" s="2" t="s">
        <v>77</v>
      </c>
      <c r="B75">
        <v>202</v>
      </c>
      <c r="C75" t="s">
        <v>4</v>
      </c>
    </row>
    <row r="76" spans="1:3">
      <c r="A76" s="7" t="s">
        <v>78</v>
      </c>
      <c r="B76">
        <v>3</v>
      </c>
      <c r="C76" t="s">
        <v>4</v>
      </c>
    </row>
    <row r="77" spans="1:3">
      <c r="A77" t="s">
        <v>79</v>
      </c>
      <c r="B77">
        <v>8</v>
      </c>
      <c r="C77" t="s">
        <v>4</v>
      </c>
    </row>
    <row r="78" spans="1:3">
      <c r="A78" t="s">
        <v>80</v>
      </c>
      <c r="B78">
        <v>1</v>
      </c>
      <c r="C78" t="s">
        <v>4</v>
      </c>
    </row>
    <row r="79" spans="1:3">
      <c r="A79" t="s">
        <v>81</v>
      </c>
      <c r="B79">
        <v>1</v>
      </c>
      <c r="C79" t="s">
        <v>4</v>
      </c>
    </row>
    <row r="80" spans="1:3">
      <c r="A80" t="s">
        <v>82</v>
      </c>
      <c r="B80">
        <v>1</v>
      </c>
      <c r="C80" t="s">
        <v>4</v>
      </c>
    </row>
    <row r="81" spans="1:3">
      <c r="A81" t="s">
        <v>83</v>
      </c>
      <c r="B81">
        <v>3</v>
      </c>
      <c r="C81" t="s">
        <v>4</v>
      </c>
    </row>
    <row r="82" spans="1:3">
      <c r="A82" t="s">
        <v>84</v>
      </c>
      <c r="B82">
        <v>12</v>
      </c>
      <c r="C82" t="s">
        <v>4</v>
      </c>
    </row>
    <row r="83" spans="1:3">
      <c r="A83" t="s">
        <v>85</v>
      </c>
      <c r="B83">
        <v>16</v>
      </c>
      <c r="C83" t="s">
        <v>4</v>
      </c>
    </row>
    <row r="84" spans="1:3">
      <c r="A84" t="s">
        <v>86</v>
      </c>
      <c r="B84">
        <v>1</v>
      </c>
      <c r="C84" t="s">
        <v>4</v>
      </c>
    </row>
    <row r="85" spans="1:3">
      <c r="A85" t="s">
        <v>87</v>
      </c>
      <c r="B85">
        <v>2</v>
      </c>
      <c r="C85" t="s">
        <v>4</v>
      </c>
    </row>
    <row r="86" spans="1:3">
      <c r="A86" t="s">
        <v>88</v>
      </c>
      <c r="B86">
        <v>2</v>
      </c>
      <c r="C86" t="s">
        <v>4</v>
      </c>
    </row>
    <row r="87" spans="1:3">
      <c r="A87" t="s">
        <v>89</v>
      </c>
      <c r="B87">
        <v>50</v>
      </c>
      <c r="C87" t="s">
        <v>4</v>
      </c>
    </row>
    <row r="88" spans="1:3">
      <c r="A88" t="s">
        <v>90</v>
      </c>
      <c r="B88">
        <v>1</v>
      </c>
      <c r="C88" t="s">
        <v>4</v>
      </c>
    </row>
    <row r="89" spans="1:3">
      <c r="A89" t="s">
        <v>91</v>
      </c>
      <c r="B89">
        <v>6</v>
      </c>
      <c r="C89" t="s">
        <v>4</v>
      </c>
    </row>
    <row r="90" spans="1:3">
      <c r="A90" t="s">
        <v>92</v>
      </c>
      <c r="B90">
        <v>2</v>
      </c>
      <c r="C90" t="s">
        <v>4</v>
      </c>
    </row>
    <row r="91" spans="1:3">
      <c r="A91" t="s">
        <v>93</v>
      </c>
      <c r="B91">
        <v>11</v>
      </c>
      <c r="C91" t="s">
        <v>4</v>
      </c>
    </row>
    <row r="92" spans="1:3">
      <c r="A92" t="s">
        <v>94</v>
      </c>
      <c r="B92">
        <v>15</v>
      </c>
      <c r="C92" t="s">
        <v>4</v>
      </c>
    </row>
    <row r="93" spans="1:3">
      <c r="A93" t="s">
        <v>95</v>
      </c>
      <c r="B93">
        <v>2</v>
      </c>
      <c r="C93" t="s">
        <v>4</v>
      </c>
    </row>
    <row r="94" spans="1:3">
      <c r="A94" t="s">
        <v>96</v>
      </c>
      <c r="B94">
        <v>4</v>
      </c>
      <c r="C94" t="s">
        <v>4</v>
      </c>
    </row>
    <row r="95" spans="1:3">
      <c r="A95" t="s">
        <v>97</v>
      </c>
      <c r="B95">
        <v>1</v>
      </c>
      <c r="C95" t="s">
        <v>4</v>
      </c>
    </row>
    <row r="96" spans="1:3">
      <c r="A96" t="s">
        <v>98</v>
      </c>
      <c r="B96">
        <v>1</v>
      </c>
      <c r="C96" t="s">
        <v>4</v>
      </c>
    </row>
    <row r="97" spans="1:3">
      <c r="A97" t="s">
        <v>99</v>
      </c>
      <c r="B97">
        <v>1</v>
      </c>
      <c r="C97" t="s">
        <v>4</v>
      </c>
    </row>
    <row r="98" spans="1:3">
      <c r="A98" s="2" t="s">
        <v>100</v>
      </c>
      <c r="B98">
        <v>1</v>
      </c>
      <c r="C98" t="s">
        <v>4</v>
      </c>
    </row>
    <row r="99" spans="1:3">
      <c r="A99" s="2" t="s">
        <v>101</v>
      </c>
      <c r="B99">
        <v>18</v>
      </c>
      <c r="C99" t="s">
        <v>4</v>
      </c>
    </row>
    <row r="100" spans="1:3">
      <c r="A100" s="2" t="s">
        <v>102</v>
      </c>
      <c r="B100">
        <v>30</v>
      </c>
      <c r="C100" t="s">
        <v>4</v>
      </c>
    </row>
    <row r="101" spans="1:3">
      <c r="A101" s="2" t="s">
        <v>103</v>
      </c>
      <c r="B101">
        <v>4</v>
      </c>
      <c r="C101" t="s">
        <v>4</v>
      </c>
    </row>
    <row r="102" spans="1:3">
      <c r="A102" s="2" t="s">
        <v>104</v>
      </c>
      <c r="B102">
        <v>9</v>
      </c>
      <c r="C102" t="s">
        <v>4</v>
      </c>
    </row>
    <row r="103" spans="1:3">
      <c r="A103" s="2" t="s">
        <v>105</v>
      </c>
      <c r="B103">
        <v>14</v>
      </c>
      <c r="C103" t="s">
        <v>4</v>
      </c>
    </row>
    <row r="104" spans="1:3">
      <c r="A104" t="s">
        <v>106</v>
      </c>
      <c r="B104">
        <v>111</v>
      </c>
      <c r="C104" t="s">
        <v>4</v>
      </c>
    </row>
    <row r="105" spans="1:3">
      <c r="A105" t="s">
        <v>107</v>
      </c>
      <c r="B105">
        <v>3</v>
      </c>
      <c r="C105" t="s">
        <v>4</v>
      </c>
    </row>
    <row r="106" spans="1:3">
      <c r="A106" t="s">
        <v>108</v>
      </c>
      <c r="B106">
        <v>3</v>
      </c>
      <c r="C106" t="s">
        <v>4</v>
      </c>
    </row>
    <row r="107" spans="1:3">
      <c r="A107" t="s">
        <v>109</v>
      </c>
      <c r="B107">
        <v>2</v>
      </c>
      <c r="C107" t="s">
        <v>4</v>
      </c>
    </row>
    <row r="108" spans="1:3">
      <c r="A108" t="s">
        <v>110</v>
      </c>
      <c r="B108">
        <v>1</v>
      </c>
      <c r="C108" t="s">
        <v>4</v>
      </c>
    </row>
    <row r="109" spans="1:3">
      <c r="A109" t="s">
        <v>111</v>
      </c>
      <c r="B109">
        <v>31</v>
      </c>
      <c r="C109" t="s">
        <v>4</v>
      </c>
    </row>
    <row r="110" spans="1:3">
      <c r="A110" t="s">
        <v>112</v>
      </c>
      <c r="B110">
        <v>4</v>
      </c>
      <c r="C110" t="s">
        <v>4</v>
      </c>
    </row>
    <row r="111" spans="1:3">
      <c r="A111" s="2" t="s">
        <v>113</v>
      </c>
      <c r="B111">
        <v>9</v>
      </c>
      <c r="C111" t="s">
        <v>4</v>
      </c>
    </row>
    <row r="112" spans="1:3">
      <c r="A112" s="2" t="s">
        <v>114</v>
      </c>
      <c r="B112">
        <v>1</v>
      </c>
      <c r="C112" t="s">
        <v>4</v>
      </c>
    </row>
    <row r="113" spans="1:3">
      <c r="A113" s="2" t="s">
        <v>115</v>
      </c>
      <c r="B113">
        <v>2</v>
      </c>
      <c r="C113" t="s">
        <v>4</v>
      </c>
    </row>
    <row r="114" spans="1:3">
      <c r="A114" s="2" t="s">
        <v>116</v>
      </c>
      <c r="B114">
        <v>4</v>
      </c>
      <c r="C114" t="s">
        <v>4</v>
      </c>
    </row>
    <row r="115" spans="1:3">
      <c r="A115" s="2" t="s">
        <v>117</v>
      </c>
      <c r="B115">
        <v>4</v>
      </c>
      <c r="C115" t="s">
        <v>4</v>
      </c>
    </row>
    <row r="116" spans="1:3">
      <c r="A116" s="2" t="s">
        <v>118</v>
      </c>
      <c r="B116">
        <v>43</v>
      </c>
      <c r="C116" t="s">
        <v>4</v>
      </c>
    </row>
    <row r="117" spans="1:3">
      <c r="A117" s="2" t="s">
        <v>119</v>
      </c>
      <c r="B117">
        <v>541</v>
      </c>
      <c r="C117" t="s">
        <v>4</v>
      </c>
    </row>
    <row r="118" spans="1:3">
      <c r="A118" s="2" t="s">
        <v>120</v>
      </c>
      <c r="B118">
        <v>1</v>
      </c>
      <c r="C118" t="s">
        <v>4</v>
      </c>
    </row>
    <row r="119" spans="1:3">
      <c r="A119" t="s">
        <v>121</v>
      </c>
      <c r="B119">
        <v>3</v>
      </c>
      <c r="C119" t="s">
        <v>4</v>
      </c>
    </row>
    <row r="120" spans="1:3">
      <c r="A120" t="s">
        <v>122</v>
      </c>
      <c r="B120">
        <v>2</v>
      </c>
      <c r="C120" t="s">
        <v>4</v>
      </c>
    </row>
    <row r="121" spans="1:3">
      <c r="A121" t="s">
        <v>123</v>
      </c>
      <c r="B121">
        <v>2</v>
      </c>
      <c r="C121" t="s">
        <v>4</v>
      </c>
    </row>
    <row r="122" spans="1:3">
      <c r="A122" t="s">
        <v>124</v>
      </c>
      <c r="B122">
        <v>2</v>
      </c>
      <c r="C122" t="s">
        <v>4</v>
      </c>
    </row>
    <row r="123" spans="1:3">
      <c r="A123" t="s">
        <v>125</v>
      </c>
      <c r="B123">
        <v>11</v>
      </c>
      <c r="C123" t="s">
        <v>4</v>
      </c>
    </row>
    <row r="124" spans="1:3">
      <c r="A124" t="s">
        <v>126</v>
      </c>
      <c r="B124">
        <v>17</v>
      </c>
      <c r="C124" t="s">
        <v>4</v>
      </c>
    </row>
    <row r="125" spans="1:3">
      <c r="A125" t="s">
        <v>127</v>
      </c>
      <c r="B125">
        <v>24</v>
      </c>
      <c r="C125" t="s">
        <v>4</v>
      </c>
    </row>
    <row r="126" spans="1:3">
      <c r="A126" t="s">
        <v>128</v>
      </c>
      <c r="B126">
        <v>4</v>
      </c>
      <c r="C126" t="s">
        <v>4</v>
      </c>
    </row>
    <row r="127" spans="1:3">
      <c r="A127" t="s">
        <v>129</v>
      </c>
      <c r="B127">
        <v>8</v>
      </c>
      <c r="C127" t="s">
        <v>4</v>
      </c>
    </row>
    <row r="128" spans="1:3">
      <c r="A128" t="s">
        <v>130</v>
      </c>
      <c r="B128">
        <v>11</v>
      </c>
      <c r="C128" t="s">
        <v>4</v>
      </c>
    </row>
    <row r="129" spans="1:3">
      <c r="A129" t="s">
        <v>131</v>
      </c>
      <c r="B129">
        <v>1</v>
      </c>
      <c r="C129" t="s">
        <v>4</v>
      </c>
    </row>
    <row r="130" spans="1:3">
      <c r="A130" t="s">
        <v>132</v>
      </c>
      <c r="B130">
        <v>113</v>
      </c>
      <c r="C130" t="s">
        <v>4</v>
      </c>
    </row>
    <row r="131" spans="1:3">
      <c r="A131" t="s">
        <v>133</v>
      </c>
      <c r="B131">
        <v>2</v>
      </c>
      <c r="C131" t="s">
        <v>4</v>
      </c>
    </row>
    <row r="132" spans="1:3">
      <c r="A132" t="s">
        <v>134</v>
      </c>
      <c r="B132">
        <v>14</v>
      </c>
      <c r="C132" t="s">
        <v>4</v>
      </c>
    </row>
    <row r="133" spans="1:3">
      <c r="A133" t="s">
        <v>135</v>
      </c>
      <c r="B133">
        <v>1</v>
      </c>
      <c r="C133" t="s">
        <v>4</v>
      </c>
    </row>
    <row r="134" spans="1:3">
      <c r="A134" t="s">
        <v>136</v>
      </c>
      <c r="B134">
        <v>6</v>
      </c>
      <c r="C134" t="s">
        <v>4</v>
      </c>
    </row>
    <row r="135" spans="1:3">
      <c r="A135" s="2" t="s">
        <v>137</v>
      </c>
      <c r="B135">
        <v>3</v>
      </c>
      <c r="C135" t="s">
        <v>4</v>
      </c>
    </row>
    <row r="136" spans="1:3">
      <c r="A136" t="s">
        <v>138</v>
      </c>
      <c r="B136">
        <v>1</v>
      </c>
      <c r="C136" t="s">
        <v>4</v>
      </c>
    </row>
    <row r="137" spans="1:3">
      <c r="A137" t="s">
        <v>139</v>
      </c>
      <c r="B137">
        <v>4</v>
      </c>
      <c r="C137" t="s">
        <v>4</v>
      </c>
    </row>
    <row r="138" spans="1:3">
      <c r="A138" t="s">
        <v>140</v>
      </c>
      <c r="B138">
        <v>35</v>
      </c>
      <c r="C138" t="s">
        <v>4</v>
      </c>
    </row>
    <row r="139" spans="1:3">
      <c r="A139" t="s">
        <v>141</v>
      </c>
      <c r="B139">
        <v>1</v>
      </c>
      <c r="C139" t="s">
        <v>4</v>
      </c>
    </row>
    <row r="140" spans="1:3">
      <c r="A140" t="s">
        <v>142</v>
      </c>
      <c r="B140">
        <v>3</v>
      </c>
      <c r="C140" t="s">
        <v>4</v>
      </c>
    </row>
    <row r="141" spans="1:3">
      <c r="A141" t="s">
        <v>143</v>
      </c>
      <c r="B141">
        <v>146</v>
      </c>
      <c r="C141" t="s">
        <v>4</v>
      </c>
    </row>
    <row r="142" spans="1:3">
      <c r="A142" t="s">
        <v>144</v>
      </c>
      <c r="B142">
        <v>287</v>
      </c>
      <c r="C142" t="s">
        <v>4</v>
      </c>
    </row>
    <row r="143" spans="1:3">
      <c r="A143" t="s">
        <v>145</v>
      </c>
      <c r="B143">
        <v>10</v>
      </c>
      <c r="C143" t="s">
        <v>4</v>
      </c>
    </row>
    <row r="144" spans="1:3">
      <c r="A144" t="s">
        <v>146</v>
      </c>
      <c r="B144">
        <v>2</v>
      </c>
      <c r="C144" t="s">
        <v>4</v>
      </c>
    </row>
    <row r="145" spans="1:3">
      <c r="A145" t="s">
        <v>147</v>
      </c>
      <c r="B145">
        <v>2</v>
      </c>
      <c r="C145" t="s">
        <v>4</v>
      </c>
    </row>
    <row r="146" spans="1:3">
      <c r="A146" t="s">
        <v>148</v>
      </c>
      <c r="B146">
        <v>1</v>
      </c>
      <c r="C146" t="s">
        <v>4</v>
      </c>
    </row>
    <row r="147" spans="1:3">
      <c r="A147" t="s">
        <v>149</v>
      </c>
      <c r="B147">
        <v>2</v>
      </c>
      <c r="C147" t="s">
        <v>4</v>
      </c>
    </row>
    <row r="148" spans="1:3">
      <c r="A148" t="s">
        <v>150</v>
      </c>
      <c r="B148">
        <v>6</v>
      </c>
      <c r="C148" t="s">
        <v>4</v>
      </c>
    </row>
    <row r="149" spans="1:3">
      <c r="A149" t="s">
        <v>151</v>
      </c>
      <c r="B149">
        <v>184</v>
      </c>
      <c r="C149" t="s">
        <v>4</v>
      </c>
    </row>
    <row r="150" spans="1:3">
      <c r="A150" t="s">
        <v>152</v>
      </c>
      <c r="B150">
        <v>10</v>
      </c>
      <c r="C150" t="s">
        <v>4</v>
      </c>
    </row>
    <row r="151" spans="1:3">
      <c r="A151" t="s">
        <v>153</v>
      </c>
      <c r="B151">
        <v>7</v>
      </c>
      <c r="C151" t="s">
        <v>4</v>
      </c>
    </row>
    <row r="152" spans="1:3">
      <c r="A152" t="s">
        <v>154</v>
      </c>
      <c r="B152">
        <v>22</v>
      </c>
      <c r="C152" t="s">
        <v>4</v>
      </c>
    </row>
    <row r="153" spans="1:3">
      <c r="A153" t="s">
        <v>155</v>
      </c>
      <c r="B153">
        <v>3</v>
      </c>
      <c r="C153" t="s">
        <v>4</v>
      </c>
    </row>
    <row r="154" spans="1:3">
      <c r="A154" s="2" t="s">
        <v>156</v>
      </c>
      <c r="B154">
        <v>1</v>
      </c>
      <c r="C154" t="s">
        <v>4</v>
      </c>
    </row>
    <row r="155" spans="1:3">
      <c r="A155" t="s">
        <v>157</v>
      </c>
      <c r="B155">
        <v>9</v>
      </c>
      <c r="C155" t="s">
        <v>4</v>
      </c>
    </row>
    <row r="156" spans="1:3">
      <c r="A156" t="s">
        <v>158</v>
      </c>
      <c r="B156">
        <v>1</v>
      </c>
      <c r="C156" t="s">
        <v>4</v>
      </c>
    </row>
    <row r="157" spans="1:3">
      <c r="A157" t="s">
        <v>159</v>
      </c>
      <c r="B157">
        <v>1</v>
      </c>
      <c r="C157" t="s">
        <v>4</v>
      </c>
    </row>
    <row r="158" spans="1:3">
      <c r="A158" t="s">
        <v>160</v>
      </c>
      <c r="B158">
        <v>1</v>
      </c>
      <c r="C158" t="s">
        <v>4</v>
      </c>
    </row>
    <row r="159" spans="1:3">
      <c r="A159" t="s">
        <v>161</v>
      </c>
      <c r="B159">
        <v>1</v>
      </c>
      <c r="C159" t="s">
        <v>4</v>
      </c>
    </row>
    <row r="160" spans="1:3">
      <c r="A160" t="s">
        <v>162</v>
      </c>
      <c r="B160">
        <v>1</v>
      </c>
      <c r="C160" t="s">
        <v>4</v>
      </c>
    </row>
    <row r="161" spans="1:3">
      <c r="A161" t="s">
        <v>163</v>
      </c>
      <c r="B161">
        <v>38</v>
      </c>
      <c r="C161" t="s">
        <v>4</v>
      </c>
    </row>
    <row r="162" spans="1:3">
      <c r="A162" t="s">
        <v>164</v>
      </c>
      <c r="B162">
        <v>115</v>
      </c>
      <c r="C162" t="s">
        <v>4</v>
      </c>
    </row>
    <row r="163" spans="1:3">
      <c r="A163" t="s">
        <v>165</v>
      </c>
      <c r="B163">
        <v>14</v>
      </c>
      <c r="C163" t="s">
        <v>4</v>
      </c>
    </row>
    <row r="164" spans="1:3">
      <c r="A164" t="s">
        <v>166</v>
      </c>
      <c r="B164">
        <v>5</v>
      </c>
      <c r="C164" t="s">
        <v>4</v>
      </c>
    </row>
    <row r="165" spans="1:3">
      <c r="A165" t="s">
        <v>167</v>
      </c>
      <c r="B165">
        <v>715</v>
      </c>
      <c r="C165" t="s">
        <v>4</v>
      </c>
    </row>
    <row r="166" spans="1:3">
      <c r="A166" t="s">
        <v>168</v>
      </c>
      <c r="B166">
        <v>35</v>
      </c>
      <c r="C166" t="s">
        <v>4</v>
      </c>
    </row>
    <row r="167" spans="1:3">
      <c r="A167" t="s">
        <v>169</v>
      </c>
      <c r="B167">
        <v>5</v>
      </c>
      <c r="C167" t="s">
        <v>4</v>
      </c>
    </row>
    <row r="168" spans="1:3">
      <c r="A168" t="s">
        <v>170</v>
      </c>
      <c r="B168">
        <v>5</v>
      </c>
      <c r="C168" t="s">
        <v>4</v>
      </c>
    </row>
    <row r="169" spans="1:3">
      <c r="A169" t="s">
        <v>171</v>
      </c>
      <c r="B169">
        <v>5</v>
      </c>
      <c r="C169" t="s">
        <v>4</v>
      </c>
    </row>
    <row r="170" spans="1:3">
      <c r="A170" t="s">
        <v>172</v>
      </c>
      <c r="B170">
        <v>5</v>
      </c>
      <c r="C170" t="s">
        <v>4</v>
      </c>
    </row>
    <row r="171" spans="1:3">
      <c r="A171" t="s">
        <v>173</v>
      </c>
      <c r="B171">
        <v>5</v>
      </c>
      <c r="C171" t="s">
        <v>4</v>
      </c>
    </row>
    <row r="172" spans="1:3">
      <c r="A172" t="s">
        <v>174</v>
      </c>
      <c r="B172">
        <v>3</v>
      </c>
      <c r="C172" t="s">
        <v>4</v>
      </c>
    </row>
    <row r="173" spans="1:3">
      <c r="A173" t="s">
        <v>175</v>
      </c>
      <c r="B173">
        <v>8</v>
      </c>
      <c r="C173" t="s">
        <v>4</v>
      </c>
    </row>
    <row r="174" spans="1:3">
      <c r="A174" t="s">
        <v>176</v>
      </c>
      <c r="B174">
        <v>1</v>
      </c>
      <c r="C174" t="s">
        <v>4</v>
      </c>
    </row>
    <row r="175" spans="1:3">
      <c r="A175" t="s">
        <v>177</v>
      </c>
      <c r="B175">
        <v>18</v>
      </c>
      <c r="C175" t="s">
        <v>4</v>
      </c>
    </row>
    <row r="176" spans="1:3">
      <c r="A176" t="s">
        <v>178</v>
      </c>
      <c r="B176">
        <v>12</v>
      </c>
      <c r="C176" t="s">
        <v>4</v>
      </c>
    </row>
    <row r="177" spans="1:3">
      <c r="A177" t="s">
        <v>179</v>
      </c>
      <c r="B177">
        <v>2</v>
      </c>
      <c r="C177" t="s">
        <v>4</v>
      </c>
    </row>
    <row r="178" spans="1:3">
      <c r="A178" t="s">
        <v>180</v>
      </c>
      <c r="B178">
        <v>10</v>
      </c>
      <c r="C178" t="s">
        <v>4</v>
      </c>
    </row>
    <row r="179" spans="1:3">
      <c r="A179" t="s">
        <v>181</v>
      </c>
      <c r="B179">
        <v>9</v>
      </c>
      <c r="C179" t="s">
        <v>4</v>
      </c>
    </row>
    <row r="180" spans="1:3">
      <c r="A180" t="s">
        <v>182</v>
      </c>
      <c r="B180">
        <v>17</v>
      </c>
      <c r="C180" t="s">
        <v>4</v>
      </c>
    </row>
    <row r="181" spans="1:3">
      <c r="A181" t="s">
        <v>183</v>
      </c>
      <c r="B181">
        <v>3</v>
      </c>
      <c r="C181" t="s">
        <v>4</v>
      </c>
    </row>
    <row r="182" spans="1:3">
      <c r="A182" t="s">
        <v>184</v>
      </c>
      <c r="B182">
        <v>42</v>
      </c>
      <c r="C182" t="s">
        <v>4</v>
      </c>
    </row>
    <row r="183" spans="1:3">
      <c r="A183" t="s">
        <v>185</v>
      </c>
      <c r="B183">
        <v>4</v>
      </c>
      <c r="C183" t="s">
        <v>4</v>
      </c>
    </row>
    <row r="184" spans="1:3">
      <c r="A184" t="s">
        <v>186</v>
      </c>
      <c r="B184">
        <v>3</v>
      </c>
      <c r="C184" t="s">
        <v>4</v>
      </c>
    </row>
    <row r="185" spans="1:3">
      <c r="A185" t="s">
        <v>187</v>
      </c>
      <c r="B185">
        <v>1</v>
      </c>
      <c r="C185" t="s">
        <v>4</v>
      </c>
    </row>
    <row r="186" spans="1:3">
      <c r="A186" t="s">
        <v>188</v>
      </c>
      <c r="B186">
        <v>4</v>
      </c>
      <c r="C186" t="s">
        <v>4</v>
      </c>
    </row>
    <row r="187" spans="1:3">
      <c r="A187" t="s">
        <v>189</v>
      </c>
      <c r="B187">
        <v>7</v>
      </c>
      <c r="C187" t="s">
        <v>4</v>
      </c>
    </row>
    <row r="188" spans="1:3">
      <c r="A188" t="s">
        <v>190</v>
      </c>
      <c r="B188">
        <v>7</v>
      </c>
      <c r="C188" t="s">
        <v>4</v>
      </c>
    </row>
    <row r="189" spans="1:3">
      <c r="A189" t="s">
        <v>191</v>
      </c>
      <c r="B189">
        <v>2</v>
      </c>
      <c r="C189" t="s">
        <v>4</v>
      </c>
    </row>
    <row r="190" spans="1:3">
      <c r="A190" t="s">
        <v>192</v>
      </c>
      <c r="B190">
        <v>4</v>
      </c>
      <c r="C190" t="s">
        <v>4</v>
      </c>
    </row>
    <row r="191" spans="1:3">
      <c r="A191" t="s">
        <v>193</v>
      </c>
      <c r="B191">
        <v>51</v>
      </c>
      <c r="C191" t="s">
        <v>4</v>
      </c>
    </row>
    <row r="192" spans="1:3">
      <c r="A192" t="s">
        <v>194</v>
      </c>
      <c r="B192">
        <v>28</v>
      </c>
      <c r="C192" t="s">
        <v>4</v>
      </c>
    </row>
    <row r="193" spans="1:3">
      <c r="A193" t="s">
        <v>195</v>
      </c>
      <c r="B193">
        <v>34</v>
      </c>
      <c r="C193" t="s">
        <v>4</v>
      </c>
    </row>
    <row r="194" spans="1:3">
      <c r="A194" t="s">
        <v>196</v>
      </c>
      <c r="B194">
        <v>7</v>
      </c>
      <c r="C194" t="s">
        <v>4</v>
      </c>
    </row>
    <row r="195" spans="1:3">
      <c r="A195" t="s">
        <v>197</v>
      </c>
      <c r="B195">
        <v>1</v>
      </c>
      <c r="C195" t="s">
        <v>4</v>
      </c>
    </row>
    <row r="196" spans="1:3">
      <c r="A196" t="s">
        <v>198</v>
      </c>
      <c r="B196">
        <v>1</v>
      </c>
      <c r="C196" t="s">
        <v>4</v>
      </c>
    </row>
    <row r="197" spans="1:3">
      <c r="A197" t="s">
        <v>199</v>
      </c>
      <c r="B197">
        <v>1</v>
      </c>
      <c r="C197" t="s">
        <v>4</v>
      </c>
    </row>
    <row r="198" spans="1:3">
      <c r="A198" t="s">
        <v>200</v>
      </c>
      <c r="B198">
        <v>2</v>
      </c>
      <c r="C198" t="s">
        <v>4</v>
      </c>
    </row>
    <row r="199" spans="1:3">
      <c r="A199" t="s">
        <v>201</v>
      </c>
      <c r="B199">
        <v>15</v>
      </c>
      <c r="C199" t="s">
        <v>4</v>
      </c>
    </row>
    <row r="200" spans="1:3">
      <c r="A200" t="s">
        <v>202</v>
      </c>
      <c r="B200">
        <v>5</v>
      </c>
      <c r="C200" t="s">
        <v>4</v>
      </c>
    </row>
    <row r="201" spans="1:3">
      <c r="A201" t="s">
        <v>203</v>
      </c>
      <c r="B201">
        <v>7</v>
      </c>
      <c r="C201" t="s">
        <v>4</v>
      </c>
    </row>
    <row r="202" spans="1:3">
      <c r="A202" t="s">
        <v>204</v>
      </c>
      <c r="B202">
        <v>1</v>
      </c>
      <c r="C202" t="s">
        <v>4</v>
      </c>
    </row>
    <row r="203" spans="1:3">
      <c r="A203" t="s">
        <v>205</v>
      </c>
      <c r="B203">
        <v>1</v>
      </c>
      <c r="C203" t="s">
        <v>4</v>
      </c>
    </row>
    <row r="204" spans="1:3">
      <c r="A204" t="s">
        <v>206</v>
      </c>
      <c r="B204">
        <v>1</v>
      </c>
      <c r="C204" t="s">
        <v>4</v>
      </c>
    </row>
    <row r="205" spans="1:3">
      <c r="A205" t="s">
        <v>207</v>
      </c>
      <c r="B205">
        <v>1</v>
      </c>
      <c r="C205" t="s">
        <v>4</v>
      </c>
    </row>
    <row r="206" spans="1:3">
      <c r="A206" t="s">
        <v>208</v>
      </c>
      <c r="B206">
        <v>1</v>
      </c>
      <c r="C206" t="s">
        <v>4</v>
      </c>
    </row>
    <row r="207" spans="1:3">
      <c r="A207" t="s">
        <v>209</v>
      </c>
      <c r="B207">
        <v>2</v>
      </c>
      <c r="C207" t="s">
        <v>4</v>
      </c>
    </row>
    <row r="208" spans="1:3">
      <c r="A208" t="s">
        <v>210</v>
      </c>
      <c r="B208">
        <v>7</v>
      </c>
      <c r="C208" t="s">
        <v>4</v>
      </c>
    </row>
    <row r="209" spans="1:3">
      <c r="A209" t="s">
        <v>211</v>
      </c>
      <c r="B209">
        <v>3</v>
      </c>
      <c r="C209" t="s">
        <v>4</v>
      </c>
    </row>
    <row r="210" spans="1:3">
      <c r="A210" t="s">
        <v>212</v>
      </c>
      <c r="B210">
        <v>15</v>
      </c>
      <c r="C210" t="s">
        <v>4</v>
      </c>
    </row>
    <row r="211" spans="1:3">
      <c r="A211" t="s">
        <v>213</v>
      </c>
      <c r="B211">
        <v>1</v>
      </c>
      <c r="C211" t="s">
        <v>4</v>
      </c>
    </row>
    <row r="212" spans="1:3">
      <c r="A212" t="s">
        <v>214</v>
      </c>
      <c r="B212">
        <v>1</v>
      </c>
      <c r="C212" t="s">
        <v>4</v>
      </c>
    </row>
    <row r="213" spans="1:3">
      <c r="A213" t="s">
        <v>215</v>
      </c>
      <c r="B213">
        <v>1</v>
      </c>
      <c r="C213" t="s">
        <v>4</v>
      </c>
    </row>
    <row r="214" spans="1:3">
      <c r="A214" t="s">
        <v>216</v>
      </c>
      <c r="B214">
        <v>1</v>
      </c>
      <c r="C214" t="s">
        <v>4</v>
      </c>
    </row>
    <row r="215" spans="1:3">
      <c r="A215" t="s">
        <v>217</v>
      </c>
      <c r="B215">
        <v>38</v>
      </c>
      <c r="C215" t="s">
        <v>4</v>
      </c>
    </row>
    <row r="216" spans="1:3">
      <c r="A216" t="s">
        <v>218</v>
      </c>
      <c r="B216">
        <v>2</v>
      </c>
      <c r="C216" t="s">
        <v>4</v>
      </c>
    </row>
    <row r="217" spans="1:3">
      <c r="A217" t="s">
        <v>219</v>
      </c>
      <c r="B217">
        <v>307</v>
      </c>
      <c r="C217" t="s">
        <v>4</v>
      </c>
    </row>
    <row r="218" spans="1:3">
      <c r="A218" t="s">
        <v>220</v>
      </c>
      <c r="B218">
        <v>8</v>
      </c>
      <c r="C218" t="s">
        <v>4</v>
      </c>
    </row>
    <row r="219" spans="1:3">
      <c r="A219" t="s">
        <v>221</v>
      </c>
      <c r="B219">
        <v>10</v>
      </c>
      <c r="C219" t="s">
        <v>4</v>
      </c>
    </row>
    <row r="220" spans="1:3">
      <c r="A220" t="s">
        <v>222</v>
      </c>
      <c r="B220">
        <v>1</v>
      </c>
      <c r="C220" t="s">
        <v>4</v>
      </c>
    </row>
    <row r="221" spans="1:3">
      <c r="A221" s="2" t="s">
        <v>223</v>
      </c>
      <c r="B221">
        <v>58</v>
      </c>
      <c r="C221" t="s">
        <v>4</v>
      </c>
    </row>
    <row r="222" spans="1:3">
      <c r="A222" s="2" t="s">
        <v>224</v>
      </c>
      <c r="B222">
        <v>1</v>
      </c>
      <c r="C222" t="s">
        <v>4</v>
      </c>
    </row>
    <row r="223" spans="1:3">
      <c r="A223" s="2" t="s">
        <v>225</v>
      </c>
      <c r="B223">
        <v>14</v>
      </c>
      <c r="C223" t="s">
        <v>4</v>
      </c>
    </row>
    <row r="224" spans="1:3">
      <c r="A224" s="2" t="s">
        <v>226</v>
      </c>
      <c r="B224">
        <v>7</v>
      </c>
      <c r="C224" t="s">
        <v>4</v>
      </c>
    </row>
    <row r="225" spans="1:3">
      <c r="A225" s="2" t="s">
        <v>227</v>
      </c>
      <c r="B225">
        <v>1</v>
      </c>
      <c r="C225" t="s">
        <v>4</v>
      </c>
    </row>
    <row r="226" spans="1:3">
      <c r="A226" s="2" t="s">
        <v>228</v>
      </c>
      <c r="B226">
        <v>63</v>
      </c>
      <c r="C226" t="s">
        <v>4</v>
      </c>
    </row>
    <row r="227" spans="1:3">
      <c r="A227" s="2" t="s">
        <v>229</v>
      </c>
      <c r="B227">
        <v>22</v>
      </c>
      <c r="C227" t="s">
        <v>4</v>
      </c>
    </row>
    <row r="228" spans="1:3">
      <c r="A228" s="2" t="s">
        <v>230</v>
      </c>
      <c r="B228">
        <v>4</v>
      </c>
      <c r="C228" t="s">
        <v>4</v>
      </c>
    </row>
    <row r="229" spans="1:3">
      <c r="A229" s="2" t="s">
        <v>231</v>
      </c>
      <c r="B229">
        <v>9</v>
      </c>
      <c r="C229" t="s">
        <v>4</v>
      </c>
    </row>
    <row r="230" spans="1:3">
      <c r="A230" s="2" t="s">
        <v>232</v>
      </c>
      <c r="B230">
        <v>88</v>
      </c>
      <c r="C230" t="s">
        <v>4</v>
      </c>
    </row>
    <row r="231" spans="1:3">
      <c r="A231" t="s">
        <v>233</v>
      </c>
      <c r="B231">
        <v>70</v>
      </c>
      <c r="C231" t="s">
        <v>4</v>
      </c>
    </row>
    <row r="232" spans="1:3">
      <c r="A232" t="s">
        <v>234</v>
      </c>
      <c r="B232">
        <v>1</v>
      </c>
      <c r="C232" t="s">
        <v>4</v>
      </c>
    </row>
    <row r="233" spans="1:3">
      <c r="A233" t="s">
        <v>235</v>
      </c>
      <c r="B233">
        <v>3</v>
      </c>
      <c r="C233" t="s">
        <v>4</v>
      </c>
    </row>
    <row r="234" spans="1:3">
      <c r="A234" t="s">
        <v>236</v>
      </c>
      <c r="B234">
        <v>1</v>
      </c>
      <c r="C234" t="s">
        <v>4</v>
      </c>
    </row>
    <row r="235" spans="1:3">
      <c r="A235" t="s">
        <v>237</v>
      </c>
      <c r="B235">
        <v>8</v>
      </c>
      <c r="C235" t="s">
        <v>4</v>
      </c>
    </row>
    <row r="236" spans="1:3">
      <c r="A236" t="s">
        <v>238</v>
      </c>
      <c r="B236">
        <v>11</v>
      </c>
      <c r="C236" t="s">
        <v>4</v>
      </c>
    </row>
    <row r="237" spans="1:3">
      <c r="A237" t="s">
        <v>239</v>
      </c>
      <c r="B237">
        <v>4</v>
      </c>
      <c r="C237" t="s">
        <v>4</v>
      </c>
    </row>
    <row r="238" spans="1:3">
      <c r="A238" t="s">
        <v>240</v>
      </c>
      <c r="B238">
        <v>1</v>
      </c>
      <c r="C238" t="s">
        <v>4</v>
      </c>
    </row>
    <row r="239" spans="1:3">
      <c r="A239" t="s">
        <v>241</v>
      </c>
      <c r="B239">
        <v>7</v>
      </c>
      <c r="C239" t="s">
        <v>4</v>
      </c>
    </row>
    <row r="240" spans="1:3">
      <c r="A240" t="s">
        <v>242</v>
      </c>
      <c r="B240">
        <v>1</v>
      </c>
      <c r="C240" t="s">
        <v>4</v>
      </c>
    </row>
    <row r="241" spans="1:3">
      <c r="A241" t="s">
        <v>243</v>
      </c>
      <c r="B241">
        <v>3</v>
      </c>
      <c r="C241" t="s">
        <v>4</v>
      </c>
    </row>
    <row r="242" spans="1:3">
      <c r="A242" t="s">
        <v>244</v>
      </c>
      <c r="B242">
        <v>2</v>
      </c>
      <c r="C242" t="s">
        <v>4</v>
      </c>
    </row>
    <row r="243" spans="1:3">
      <c r="A243" t="s">
        <v>245</v>
      </c>
      <c r="B243">
        <v>1</v>
      </c>
      <c r="C243" t="s">
        <v>4</v>
      </c>
    </row>
    <row r="244" spans="1:3">
      <c r="A244" s="2" t="s">
        <v>246</v>
      </c>
      <c r="B244">
        <v>1</v>
      </c>
      <c r="C244" t="s">
        <v>4</v>
      </c>
    </row>
    <row r="245" spans="1:3">
      <c r="A245" t="s">
        <v>247</v>
      </c>
      <c r="B245">
        <v>2</v>
      </c>
      <c r="C245" t="s">
        <v>4</v>
      </c>
    </row>
    <row r="246" spans="1:3">
      <c r="A246" t="s">
        <v>248</v>
      </c>
      <c r="B246">
        <v>2</v>
      </c>
      <c r="C246" t="s">
        <v>4</v>
      </c>
    </row>
    <row r="247" spans="1:3">
      <c r="A247" t="s">
        <v>249</v>
      </c>
      <c r="B247">
        <v>60</v>
      </c>
      <c r="C247" t="s">
        <v>4</v>
      </c>
    </row>
    <row r="248" spans="1:3">
      <c r="A248" t="s">
        <v>250</v>
      </c>
      <c r="B248">
        <v>1</v>
      </c>
      <c r="C248" t="s">
        <v>4</v>
      </c>
    </row>
    <row r="249" spans="1:3">
      <c r="A249" t="s">
        <v>251</v>
      </c>
      <c r="B249">
        <v>1</v>
      </c>
      <c r="C249" t="s">
        <v>4</v>
      </c>
    </row>
    <row r="250" spans="1:3">
      <c r="A250" t="s">
        <v>252</v>
      </c>
      <c r="B250">
        <v>14</v>
      </c>
      <c r="C250" t="s">
        <v>4</v>
      </c>
    </row>
    <row r="251" spans="1:3">
      <c r="A251" t="s">
        <v>253</v>
      </c>
      <c r="B251">
        <v>15</v>
      </c>
      <c r="C251" t="s">
        <v>4</v>
      </c>
    </row>
    <row r="252" spans="1:3">
      <c r="A252" t="s">
        <v>254</v>
      </c>
      <c r="B252">
        <v>2</v>
      </c>
      <c r="C252" t="s">
        <v>4</v>
      </c>
    </row>
    <row r="253" spans="1:3">
      <c r="A253" t="s">
        <v>255</v>
      </c>
      <c r="B253">
        <v>3</v>
      </c>
      <c r="C253" t="s">
        <v>4</v>
      </c>
    </row>
    <row r="254" spans="1:3">
      <c r="A254" t="s">
        <v>256</v>
      </c>
      <c r="B254">
        <v>16</v>
      </c>
      <c r="C254" t="s">
        <v>4</v>
      </c>
    </row>
    <row r="255" spans="1:3">
      <c r="A255" t="s">
        <v>257</v>
      </c>
      <c r="B255">
        <v>2</v>
      </c>
      <c r="C255" t="s">
        <v>4</v>
      </c>
    </row>
    <row r="256" spans="1:3">
      <c r="A256" t="s">
        <v>258</v>
      </c>
      <c r="B256">
        <v>4</v>
      </c>
      <c r="C256" t="s">
        <v>4</v>
      </c>
    </row>
    <row r="257" spans="1:3">
      <c r="A257" s="2" t="s">
        <v>259</v>
      </c>
      <c r="B257">
        <v>1</v>
      </c>
      <c r="C257" t="s">
        <v>4</v>
      </c>
    </row>
    <row r="258" spans="1:3">
      <c r="A258" s="2" t="s">
        <v>260</v>
      </c>
      <c r="B258">
        <v>21</v>
      </c>
      <c r="C258" t="s">
        <v>4</v>
      </c>
    </row>
    <row r="259" spans="1:3">
      <c r="A259" s="7" t="s">
        <v>261</v>
      </c>
      <c r="B259" s="8">
        <v>2</v>
      </c>
      <c r="C259" t="s">
        <v>4</v>
      </c>
    </row>
    <row r="260" spans="1:3">
      <c r="A260" s="7" t="s">
        <v>262</v>
      </c>
      <c r="B260" s="8">
        <v>7</v>
      </c>
      <c r="C260" t="s">
        <v>4</v>
      </c>
    </row>
    <row r="261" spans="1:3">
      <c r="A261" s="7" t="s">
        <v>263</v>
      </c>
      <c r="B261" s="8">
        <v>5</v>
      </c>
      <c r="C261" t="s">
        <v>4</v>
      </c>
    </row>
    <row r="262" spans="1:3">
      <c r="A262" s="7" t="s">
        <v>264</v>
      </c>
      <c r="B262" s="8">
        <v>4</v>
      </c>
      <c r="C262" t="s">
        <v>4</v>
      </c>
    </row>
    <row r="263" spans="1:3">
      <c r="A263" s="7" t="s">
        <v>265</v>
      </c>
      <c r="B263" s="8">
        <v>3</v>
      </c>
      <c r="C263" t="s">
        <v>4</v>
      </c>
    </row>
    <row r="264" spans="1:3">
      <c r="A264" s="7" t="s">
        <v>266</v>
      </c>
      <c r="B264" s="8">
        <v>13</v>
      </c>
      <c r="C264" t="s">
        <v>4</v>
      </c>
    </row>
    <row r="265" spans="1:3">
      <c r="A265" s="7" t="s">
        <v>267</v>
      </c>
      <c r="B265" s="8">
        <v>5</v>
      </c>
      <c r="C265" t="s">
        <v>4</v>
      </c>
    </row>
    <row r="266" spans="1:3">
      <c r="A266" s="7" t="s">
        <v>268</v>
      </c>
      <c r="B266" s="8">
        <v>1</v>
      </c>
      <c r="C266" t="s">
        <v>4</v>
      </c>
    </row>
    <row r="267" spans="1:3">
      <c r="A267" s="7" t="s">
        <v>269</v>
      </c>
      <c r="B267" s="8">
        <v>3</v>
      </c>
      <c r="C267" t="s">
        <v>4</v>
      </c>
    </row>
    <row r="268" spans="1:3">
      <c r="A268" s="7" t="s">
        <v>270</v>
      </c>
      <c r="B268" s="8">
        <v>1</v>
      </c>
      <c r="C268" t="s">
        <v>4</v>
      </c>
    </row>
    <row r="269" spans="1:3">
      <c r="A269" t="s">
        <v>271</v>
      </c>
      <c r="B269">
        <v>10</v>
      </c>
      <c r="C269" t="s">
        <v>4</v>
      </c>
    </row>
    <row r="270" spans="1:3">
      <c r="A270" t="s">
        <v>272</v>
      </c>
      <c r="B270">
        <v>2</v>
      </c>
      <c r="C270" t="s">
        <v>4</v>
      </c>
    </row>
    <row r="271" spans="1:3">
      <c r="A271" t="s">
        <v>273</v>
      </c>
      <c r="B271">
        <v>2</v>
      </c>
      <c r="C271" t="s">
        <v>4</v>
      </c>
    </row>
    <row r="272" spans="1:3">
      <c r="A272" t="s">
        <v>274</v>
      </c>
      <c r="B272">
        <v>12</v>
      </c>
      <c r="C272" t="s">
        <v>4</v>
      </c>
    </row>
    <row r="273" spans="1:3">
      <c r="A273" t="s">
        <v>275</v>
      </c>
      <c r="B273">
        <v>1</v>
      </c>
      <c r="C273" t="s">
        <v>4</v>
      </c>
    </row>
    <row r="274" spans="1:3">
      <c r="A274" t="s">
        <v>276</v>
      </c>
      <c r="B274">
        <v>120</v>
      </c>
      <c r="C274" t="s">
        <v>4</v>
      </c>
    </row>
    <row r="275" spans="1:3">
      <c r="A275" t="s">
        <v>277</v>
      </c>
      <c r="B275">
        <v>3</v>
      </c>
      <c r="C275" t="s">
        <v>4</v>
      </c>
    </row>
    <row r="276" spans="1:3">
      <c r="A276" t="s">
        <v>278</v>
      </c>
      <c r="B276">
        <v>21</v>
      </c>
      <c r="C276" t="s">
        <v>4</v>
      </c>
    </row>
    <row r="277" spans="1:3">
      <c r="A277" t="s">
        <v>279</v>
      </c>
      <c r="B277">
        <v>25</v>
      </c>
      <c r="C277" t="s">
        <v>4</v>
      </c>
    </row>
    <row r="278" spans="1:3">
      <c r="A278" t="s">
        <v>280</v>
      </c>
      <c r="B278">
        <v>16</v>
      </c>
      <c r="C278" t="s">
        <v>4</v>
      </c>
    </row>
    <row r="279" spans="1:3">
      <c r="A279" t="s">
        <v>281</v>
      </c>
      <c r="B279">
        <v>1</v>
      </c>
      <c r="C279" t="s">
        <v>4</v>
      </c>
    </row>
    <row r="280" spans="1:3">
      <c r="A280" t="s">
        <v>282</v>
      </c>
      <c r="B280">
        <v>15</v>
      </c>
      <c r="C280" t="s">
        <v>4</v>
      </c>
    </row>
    <row r="281" spans="1:3">
      <c r="A281" t="s">
        <v>283</v>
      </c>
      <c r="B281">
        <v>1</v>
      </c>
      <c r="C281" t="s">
        <v>4</v>
      </c>
    </row>
    <row r="282" spans="1:3">
      <c r="A282" t="s">
        <v>284</v>
      </c>
      <c r="B282">
        <v>3</v>
      </c>
      <c r="C282" t="s">
        <v>4</v>
      </c>
    </row>
    <row r="283" spans="1:3">
      <c r="A283" t="s">
        <v>285</v>
      </c>
      <c r="B283">
        <v>5</v>
      </c>
      <c r="C283" t="s">
        <v>4</v>
      </c>
    </row>
    <row r="284" spans="1:3">
      <c r="A284" t="s">
        <v>286</v>
      </c>
      <c r="B284">
        <v>2</v>
      </c>
      <c r="C284" t="s">
        <v>4</v>
      </c>
    </row>
    <row r="285" spans="1:3">
      <c r="A285" t="s">
        <v>287</v>
      </c>
      <c r="B285">
        <v>2</v>
      </c>
      <c r="C285" t="s">
        <v>4</v>
      </c>
    </row>
    <row r="286" spans="1:3">
      <c r="A286" t="s">
        <v>288</v>
      </c>
      <c r="B286">
        <v>121</v>
      </c>
      <c r="C286" t="s">
        <v>4</v>
      </c>
    </row>
    <row r="287" spans="1:3">
      <c r="A287" t="s">
        <v>289</v>
      </c>
      <c r="B287">
        <v>6</v>
      </c>
      <c r="C287" t="s">
        <v>4</v>
      </c>
    </row>
    <row r="288" spans="1:3">
      <c r="A288" t="s">
        <v>290</v>
      </c>
      <c r="B288">
        <v>4</v>
      </c>
      <c r="C288" t="s">
        <v>4</v>
      </c>
    </row>
    <row r="289" spans="1:3">
      <c r="A289" t="s">
        <v>291</v>
      </c>
      <c r="B289">
        <v>1</v>
      </c>
      <c r="C289" t="s">
        <v>4</v>
      </c>
    </row>
    <row r="290" spans="1:3">
      <c r="A290" t="s">
        <v>292</v>
      </c>
      <c r="B290">
        <v>19</v>
      </c>
      <c r="C290" t="s">
        <v>4</v>
      </c>
    </row>
    <row r="291" spans="1:3">
      <c r="A291" t="s">
        <v>293</v>
      </c>
      <c r="B291">
        <v>5</v>
      </c>
      <c r="C291" t="s">
        <v>4</v>
      </c>
    </row>
    <row r="292" spans="1:3">
      <c r="A292" t="s">
        <v>294</v>
      </c>
      <c r="B292">
        <v>2</v>
      </c>
      <c r="C292" t="s">
        <v>4</v>
      </c>
    </row>
    <row r="293" spans="1:3">
      <c r="A293" t="s">
        <v>295</v>
      </c>
      <c r="B293">
        <v>6</v>
      </c>
      <c r="C293" t="s">
        <v>4</v>
      </c>
    </row>
    <row r="294" spans="1:3">
      <c r="A294" t="s">
        <v>296</v>
      </c>
      <c r="B294">
        <v>3</v>
      </c>
      <c r="C294" t="s">
        <v>4</v>
      </c>
    </row>
    <row r="295" spans="1:3">
      <c r="A295" t="s">
        <v>297</v>
      </c>
      <c r="B295">
        <v>2</v>
      </c>
      <c r="C295" t="s">
        <v>4</v>
      </c>
    </row>
    <row r="296" spans="1:3">
      <c r="A296" t="s">
        <v>298</v>
      </c>
      <c r="B296">
        <v>1</v>
      </c>
      <c r="C296" t="s">
        <v>4</v>
      </c>
    </row>
    <row r="297" spans="1:3">
      <c r="A297" t="s">
        <v>299</v>
      </c>
      <c r="B297">
        <v>2</v>
      </c>
      <c r="C297" t="s">
        <v>4</v>
      </c>
    </row>
    <row r="298" spans="1:3">
      <c r="A298" t="s">
        <v>300</v>
      </c>
      <c r="B298">
        <v>121</v>
      </c>
      <c r="C298" t="s">
        <v>4</v>
      </c>
    </row>
    <row r="299" spans="1:3">
      <c r="A299" s="7" t="s">
        <v>301</v>
      </c>
      <c r="B299" s="8">
        <v>103</v>
      </c>
      <c r="C299" t="s">
        <v>4</v>
      </c>
    </row>
    <row r="300" spans="1:3">
      <c r="A300" s="2" t="s">
        <v>302</v>
      </c>
      <c r="B300">
        <v>22</v>
      </c>
      <c r="C300" t="s">
        <v>4</v>
      </c>
    </row>
    <row r="301" spans="1:3">
      <c r="A301" s="2" t="s">
        <v>303</v>
      </c>
      <c r="B301">
        <v>5</v>
      </c>
      <c r="C301" t="s">
        <v>4</v>
      </c>
    </row>
    <row r="302" spans="1:3">
      <c r="A302" t="s">
        <v>304</v>
      </c>
      <c r="B302">
        <v>200</v>
      </c>
      <c r="C302" t="s">
        <v>4</v>
      </c>
    </row>
    <row r="303" spans="1:3">
      <c r="A303" s="2" t="s">
        <v>305</v>
      </c>
      <c r="B303">
        <v>4</v>
      </c>
      <c r="C303" t="s">
        <v>4</v>
      </c>
    </row>
    <row r="304" spans="1:3">
      <c r="A304" t="s">
        <v>306</v>
      </c>
      <c r="B304">
        <v>2</v>
      </c>
      <c r="C304" t="s">
        <v>4</v>
      </c>
    </row>
    <row r="305" spans="1:3">
      <c r="A305" t="s">
        <v>307</v>
      </c>
      <c r="B305">
        <v>398</v>
      </c>
      <c r="C305" t="s">
        <v>4</v>
      </c>
    </row>
    <row r="306" spans="1:3">
      <c r="A306" s="2" t="s">
        <v>308</v>
      </c>
      <c r="B306">
        <v>70</v>
      </c>
      <c r="C306" t="s">
        <v>4</v>
      </c>
    </row>
    <row r="307" spans="1:3">
      <c r="A307" s="2" t="s">
        <v>309</v>
      </c>
      <c r="B307">
        <v>1</v>
      </c>
      <c r="C307" t="s">
        <v>4</v>
      </c>
    </row>
    <row r="308" spans="1:3">
      <c r="A308" t="s">
        <v>310</v>
      </c>
      <c r="B308">
        <v>1</v>
      </c>
      <c r="C308" t="s">
        <v>4</v>
      </c>
    </row>
    <row r="309" spans="1:3">
      <c r="A309" t="s">
        <v>311</v>
      </c>
      <c r="B309">
        <v>8</v>
      </c>
      <c r="C309" t="s">
        <v>4</v>
      </c>
    </row>
    <row r="310" spans="1:3">
      <c r="A310" s="2" t="s">
        <v>312</v>
      </c>
      <c r="B310">
        <v>53</v>
      </c>
      <c r="C310" t="s">
        <v>4</v>
      </c>
    </row>
    <row r="311" spans="1:3">
      <c r="A311" t="s">
        <v>313</v>
      </c>
      <c r="B311">
        <v>131</v>
      </c>
      <c r="C311" t="s">
        <v>4</v>
      </c>
    </row>
    <row r="312" spans="1:3">
      <c r="A312" t="s">
        <v>314</v>
      </c>
      <c r="B312">
        <v>6</v>
      </c>
      <c r="C312" t="s">
        <v>4</v>
      </c>
    </row>
    <row r="313" spans="1:3">
      <c r="A313" t="s">
        <v>315</v>
      </c>
      <c r="B313">
        <v>2</v>
      </c>
      <c r="C313" t="s">
        <v>4</v>
      </c>
    </row>
    <row r="314" spans="1:3">
      <c r="A314" t="s">
        <v>316</v>
      </c>
      <c r="B314">
        <v>14</v>
      </c>
      <c r="C314" t="s">
        <v>4</v>
      </c>
    </row>
    <row r="315" spans="1:3">
      <c r="A315" t="s">
        <v>317</v>
      </c>
      <c r="B315">
        <v>1</v>
      </c>
      <c r="C315" t="s">
        <v>4</v>
      </c>
    </row>
    <row r="316" spans="1:3">
      <c r="A316" t="s">
        <v>318</v>
      </c>
      <c r="B316">
        <v>1</v>
      </c>
      <c r="C316" t="s">
        <v>4</v>
      </c>
    </row>
    <row r="317" spans="1:3">
      <c r="A317" t="s">
        <v>319</v>
      </c>
      <c r="B317">
        <v>4</v>
      </c>
      <c r="C317" t="s">
        <v>4</v>
      </c>
    </row>
    <row r="318" spans="1:3">
      <c r="A318" t="s">
        <v>320</v>
      </c>
      <c r="B318">
        <v>1</v>
      </c>
      <c r="C318" t="s">
        <v>4</v>
      </c>
    </row>
    <row r="319" spans="1:3">
      <c r="A319" t="s">
        <v>321</v>
      </c>
      <c r="B319">
        <v>4</v>
      </c>
      <c r="C319" t="s">
        <v>4</v>
      </c>
    </row>
    <row r="320" spans="1:3">
      <c r="A320" s="2" t="s">
        <v>322</v>
      </c>
      <c r="B320">
        <v>12</v>
      </c>
      <c r="C320" t="s">
        <v>4</v>
      </c>
    </row>
    <row r="321" spans="1:3">
      <c r="A321" t="s">
        <v>323</v>
      </c>
      <c r="B321">
        <v>3</v>
      </c>
      <c r="C321" t="s">
        <v>4</v>
      </c>
    </row>
    <row r="322" spans="1:3">
      <c r="A322" t="s">
        <v>324</v>
      </c>
      <c r="B322">
        <v>6</v>
      </c>
      <c r="C322" t="s">
        <v>4</v>
      </c>
    </row>
    <row r="323" spans="1:3">
      <c r="A323" t="s">
        <v>325</v>
      </c>
      <c r="B323">
        <v>667</v>
      </c>
      <c r="C323" t="s">
        <v>4</v>
      </c>
    </row>
    <row r="324" spans="1:3">
      <c r="A324" t="s">
        <v>326</v>
      </c>
      <c r="B324">
        <v>4</v>
      </c>
      <c r="C324" t="s">
        <v>4</v>
      </c>
    </row>
    <row r="325" spans="1:3">
      <c r="A325" t="s">
        <v>327</v>
      </c>
      <c r="B325">
        <v>4</v>
      </c>
      <c r="C325" t="s">
        <v>4</v>
      </c>
    </row>
    <row r="326" spans="1:3">
      <c r="A326" s="2" t="s">
        <v>328</v>
      </c>
      <c r="B326">
        <v>6</v>
      </c>
      <c r="C326" t="s">
        <v>4</v>
      </c>
    </row>
    <row r="327" spans="1:3">
      <c r="A327" s="2" t="s">
        <v>329</v>
      </c>
      <c r="B327">
        <v>1</v>
      </c>
      <c r="C327" t="s">
        <v>4</v>
      </c>
    </row>
    <row r="328" spans="1:3">
      <c r="A328" s="2" t="s">
        <v>330</v>
      </c>
      <c r="B328">
        <v>1</v>
      </c>
      <c r="C328" t="s">
        <v>4</v>
      </c>
    </row>
    <row r="329" spans="1:3">
      <c r="A329" s="2" t="s">
        <v>331</v>
      </c>
      <c r="B329">
        <v>33</v>
      </c>
      <c r="C329" t="s">
        <v>4</v>
      </c>
    </row>
    <row r="330" spans="1:3">
      <c r="A330" s="2" t="s">
        <v>332</v>
      </c>
      <c r="B330">
        <v>1</v>
      </c>
      <c r="C330" t="s">
        <v>4</v>
      </c>
    </row>
    <row r="331" spans="1:3">
      <c r="A331" s="2" t="s">
        <v>333</v>
      </c>
      <c r="B331">
        <v>20</v>
      </c>
      <c r="C331" t="s">
        <v>4</v>
      </c>
    </row>
    <row r="332" spans="1:3">
      <c r="A332" t="s">
        <v>334</v>
      </c>
      <c r="B332">
        <v>3</v>
      </c>
      <c r="C332" t="s">
        <v>4</v>
      </c>
    </row>
    <row r="333" spans="1:3">
      <c r="A333" t="s">
        <v>335</v>
      </c>
      <c r="B333">
        <v>16</v>
      </c>
      <c r="C333" t="s">
        <v>4</v>
      </c>
    </row>
    <row r="334" spans="1:3">
      <c r="A334" t="s">
        <v>336</v>
      </c>
      <c r="B334">
        <v>3</v>
      </c>
      <c r="C334" t="s">
        <v>4</v>
      </c>
    </row>
    <row r="335" spans="1:3">
      <c r="A335" t="s">
        <v>337</v>
      </c>
      <c r="B335">
        <v>2811</v>
      </c>
      <c r="C335" t="s">
        <v>4</v>
      </c>
    </row>
    <row r="336" spans="1:3">
      <c r="A336" t="s">
        <v>338</v>
      </c>
      <c r="B336">
        <v>1</v>
      </c>
      <c r="C336" t="s">
        <v>4</v>
      </c>
    </row>
    <row r="337" spans="1:3">
      <c r="A337" t="s">
        <v>339</v>
      </c>
      <c r="B337">
        <v>2</v>
      </c>
      <c r="C337" t="s">
        <v>4</v>
      </c>
    </row>
    <row r="338" spans="1:3">
      <c r="A338" t="s">
        <v>340</v>
      </c>
      <c r="B338">
        <v>1</v>
      </c>
      <c r="C338" t="s">
        <v>4</v>
      </c>
    </row>
    <row r="339" spans="1:3">
      <c r="A339" t="s">
        <v>341</v>
      </c>
      <c r="B339">
        <v>2</v>
      </c>
      <c r="C339" t="s">
        <v>4</v>
      </c>
    </row>
    <row r="340" spans="1:3">
      <c r="A340" t="s">
        <v>342</v>
      </c>
      <c r="B340">
        <v>1</v>
      </c>
      <c r="C340" t="s">
        <v>4</v>
      </c>
    </row>
    <row r="341" spans="1:3">
      <c r="A341" t="s">
        <v>343</v>
      </c>
      <c r="B341">
        <v>1</v>
      </c>
      <c r="C341" t="s">
        <v>4</v>
      </c>
    </row>
    <row r="342" spans="1:3">
      <c r="A342" t="s">
        <v>344</v>
      </c>
      <c r="B342">
        <v>4</v>
      </c>
      <c r="C342" t="s">
        <v>4</v>
      </c>
    </row>
    <row r="343" spans="1:3">
      <c r="A343" t="s">
        <v>345</v>
      </c>
      <c r="B343">
        <v>56</v>
      </c>
      <c r="C343" t="s">
        <v>4</v>
      </c>
    </row>
    <row r="344" spans="1:3">
      <c r="A344" t="s">
        <v>346</v>
      </c>
      <c r="B344">
        <v>5</v>
      </c>
      <c r="C344" t="s">
        <v>4</v>
      </c>
    </row>
    <row r="345" spans="1:3">
      <c r="A345" t="s">
        <v>347</v>
      </c>
      <c r="B345">
        <v>1</v>
      </c>
      <c r="C345" t="s">
        <v>4</v>
      </c>
    </row>
    <row r="346" spans="1:3">
      <c r="A346" t="s">
        <v>348</v>
      </c>
      <c r="B346">
        <v>2</v>
      </c>
      <c r="C346" t="s">
        <v>4</v>
      </c>
    </row>
    <row r="347" spans="1:3">
      <c r="A347" t="s">
        <v>349</v>
      </c>
      <c r="B347">
        <v>180</v>
      </c>
      <c r="C347" t="s">
        <v>4</v>
      </c>
    </row>
    <row r="348" spans="1:3">
      <c r="A348" t="s">
        <v>350</v>
      </c>
      <c r="B348">
        <v>3</v>
      </c>
      <c r="C348" t="s">
        <v>4</v>
      </c>
    </row>
    <row r="349" spans="1:3">
      <c r="A349" t="s">
        <v>351</v>
      </c>
      <c r="B349">
        <v>3</v>
      </c>
      <c r="C349" t="s">
        <v>4</v>
      </c>
    </row>
    <row r="350" spans="1:3">
      <c r="A350" t="s">
        <v>352</v>
      </c>
      <c r="B350">
        <v>40</v>
      </c>
      <c r="C350" t="s">
        <v>4</v>
      </c>
    </row>
    <row r="351" spans="1:3">
      <c r="A351" t="s">
        <v>353</v>
      </c>
      <c r="B351">
        <v>9</v>
      </c>
      <c r="C351" t="s">
        <v>4</v>
      </c>
    </row>
    <row r="352" spans="1:3">
      <c r="A352" t="s">
        <v>354</v>
      </c>
      <c r="B352">
        <v>9</v>
      </c>
      <c r="C352" t="s">
        <v>4</v>
      </c>
    </row>
    <row r="353" spans="1:3">
      <c r="A353" t="s">
        <v>355</v>
      </c>
      <c r="B353">
        <v>6</v>
      </c>
      <c r="C353" t="s">
        <v>4</v>
      </c>
    </row>
    <row r="354" spans="1:3">
      <c r="A354" t="s">
        <v>356</v>
      </c>
      <c r="B354">
        <v>2</v>
      </c>
      <c r="C354" t="s">
        <v>4</v>
      </c>
    </row>
    <row r="355" spans="1:3">
      <c r="A355" t="s">
        <v>357</v>
      </c>
      <c r="B355">
        <v>1</v>
      </c>
      <c r="C355" t="s">
        <v>4</v>
      </c>
    </row>
    <row r="356" spans="1:3">
      <c r="A356" t="s">
        <v>358</v>
      </c>
      <c r="B356">
        <v>19</v>
      </c>
      <c r="C356" t="s">
        <v>4</v>
      </c>
    </row>
    <row r="357" spans="1:3">
      <c r="A357" t="s">
        <v>359</v>
      </c>
      <c r="B357">
        <v>7</v>
      </c>
      <c r="C357" t="s">
        <v>4</v>
      </c>
    </row>
    <row r="358" spans="1:3">
      <c r="A358" t="s">
        <v>360</v>
      </c>
      <c r="B358">
        <v>1</v>
      </c>
      <c r="C358" t="s">
        <v>4</v>
      </c>
    </row>
    <row r="359" spans="1:3">
      <c r="A359" t="s">
        <v>361</v>
      </c>
      <c r="B359">
        <v>149</v>
      </c>
      <c r="C359" t="s">
        <v>4</v>
      </c>
    </row>
    <row r="360" spans="1:3">
      <c r="A360" t="s">
        <v>362</v>
      </c>
      <c r="B360">
        <v>54</v>
      </c>
      <c r="C360" t="s">
        <v>4</v>
      </c>
    </row>
    <row r="361" spans="1:3">
      <c r="A361" t="s">
        <v>363</v>
      </c>
      <c r="B361">
        <v>3</v>
      </c>
      <c r="C361" t="s">
        <v>4</v>
      </c>
    </row>
    <row r="362" spans="1:3">
      <c r="A362" t="s">
        <v>364</v>
      </c>
      <c r="B362">
        <v>1</v>
      </c>
      <c r="C362" t="s">
        <v>4</v>
      </c>
    </row>
    <row r="363" spans="1:3">
      <c r="A363" t="s">
        <v>368</v>
      </c>
      <c r="B363">
        <v>71</v>
      </c>
      <c r="C363" t="s">
        <v>4</v>
      </c>
    </row>
    <row r="364" spans="1:3">
      <c r="A364" t="s">
        <v>371</v>
      </c>
      <c r="B364">
        <v>71</v>
      </c>
      <c r="C364" t="s">
        <v>4</v>
      </c>
    </row>
    <row r="365" spans="1:3">
      <c r="A365" t="s">
        <v>372</v>
      </c>
      <c r="B365">
        <v>8</v>
      </c>
      <c r="C365" t="s">
        <v>4</v>
      </c>
    </row>
    <row r="366" spans="1:3">
      <c r="A366" t="s">
        <v>373</v>
      </c>
      <c r="B366">
        <v>1</v>
      </c>
      <c r="C366" t="s">
        <v>4</v>
      </c>
    </row>
    <row r="367" spans="1:3">
      <c r="A367" t="s">
        <v>374</v>
      </c>
      <c r="B367">
        <v>1</v>
      </c>
      <c r="C367" t="s">
        <v>4</v>
      </c>
    </row>
    <row r="368" spans="1:3">
      <c r="A368" t="s">
        <v>376</v>
      </c>
      <c r="B368">
        <v>76</v>
      </c>
      <c r="C368" t="s">
        <v>4</v>
      </c>
    </row>
    <row r="369" spans="1:3">
      <c r="A369" t="s">
        <v>378</v>
      </c>
      <c r="B369">
        <v>1</v>
      </c>
      <c r="C369" t="s">
        <v>4</v>
      </c>
    </row>
    <row r="370" spans="1:3">
      <c r="A370" t="s">
        <v>379</v>
      </c>
      <c r="B370">
        <v>9</v>
      </c>
      <c r="C370" t="s">
        <v>4</v>
      </c>
    </row>
    <row r="371" spans="1:3">
      <c r="A371" t="s">
        <v>380</v>
      </c>
      <c r="B371">
        <v>2</v>
      </c>
      <c r="C371" t="s">
        <v>4</v>
      </c>
    </row>
    <row r="372" spans="1:3">
      <c r="A372" t="s">
        <v>624</v>
      </c>
      <c r="B372">
        <v>9</v>
      </c>
      <c r="C372" t="s">
        <v>4</v>
      </c>
    </row>
    <row r="373" spans="1:3">
      <c r="A373" s="17" t="s">
        <v>629</v>
      </c>
      <c r="B373" s="15">
        <v>1</v>
      </c>
      <c r="C373" s="16" t="s">
        <v>4</v>
      </c>
    </row>
    <row r="374" spans="1:3">
      <c r="A374" s="17" t="s">
        <v>627</v>
      </c>
      <c r="B374" s="15">
        <v>224</v>
      </c>
      <c r="C374" s="16" t="s">
        <v>4</v>
      </c>
    </row>
    <row r="375" spans="1:3">
      <c r="A375" t="s">
        <v>616</v>
      </c>
      <c r="B375">
        <v>1</v>
      </c>
      <c r="C375" t="s">
        <v>4</v>
      </c>
    </row>
    <row r="376" spans="1:3">
      <c r="A376" s="17" t="s">
        <v>623</v>
      </c>
      <c r="B376" s="19">
        <v>1</v>
      </c>
      <c r="C376" s="18" t="s">
        <v>4</v>
      </c>
    </row>
    <row r="377" spans="1:3">
      <c r="A377" s="17" t="s">
        <v>621</v>
      </c>
      <c r="B377" s="19">
        <v>25</v>
      </c>
      <c r="C377" s="18" t="s">
        <v>4</v>
      </c>
    </row>
    <row r="378" spans="1:3">
      <c r="A378" s="17" t="s">
        <v>633</v>
      </c>
      <c r="B378" s="19">
        <v>5</v>
      </c>
      <c r="C378" s="18" t="s">
        <v>4</v>
      </c>
    </row>
    <row r="379" spans="1:3">
      <c r="A379" t="s">
        <v>635</v>
      </c>
      <c r="B379">
        <v>8</v>
      </c>
      <c r="C379" t="s">
        <v>4</v>
      </c>
    </row>
    <row r="380" spans="1:3">
      <c r="A380" t="s">
        <v>639</v>
      </c>
      <c r="B380">
        <v>7</v>
      </c>
      <c r="C380" t="s">
        <v>4</v>
      </c>
    </row>
    <row r="381" spans="1:3">
      <c r="A381" s="17" t="s">
        <v>618</v>
      </c>
      <c r="B381" s="19">
        <v>22</v>
      </c>
      <c r="C381" s="18" t="s">
        <v>4</v>
      </c>
    </row>
    <row r="382" spans="1:3">
      <c r="A382" s="17" t="s">
        <v>628</v>
      </c>
      <c r="B382" s="19">
        <v>1</v>
      </c>
      <c r="C382" s="18" t="s">
        <v>4</v>
      </c>
    </row>
    <row r="383" spans="1:3">
      <c r="A383" s="17" t="s">
        <v>619</v>
      </c>
      <c r="B383" s="19">
        <v>3</v>
      </c>
      <c r="C383" s="18" t="s">
        <v>4</v>
      </c>
    </row>
    <row r="384" spans="1:3">
      <c r="A384" s="17" t="s">
        <v>620</v>
      </c>
      <c r="B384" s="19">
        <v>5</v>
      </c>
      <c r="C384" s="18" t="s">
        <v>4</v>
      </c>
    </row>
    <row r="385" spans="1:3">
      <c r="A385" s="17" t="s">
        <v>630</v>
      </c>
      <c r="B385" s="19">
        <v>238</v>
      </c>
      <c r="C385" s="18" t="s">
        <v>4</v>
      </c>
    </row>
    <row r="386" spans="1:3">
      <c r="A386" s="17" t="s">
        <v>632</v>
      </c>
      <c r="B386" s="19">
        <v>9</v>
      </c>
      <c r="C386" s="18" t="s">
        <v>4</v>
      </c>
    </row>
    <row r="387" spans="1:3">
      <c r="A387" s="17" t="s">
        <v>636</v>
      </c>
      <c r="B387" s="19">
        <v>15</v>
      </c>
      <c r="C387" s="18" t="s">
        <v>4</v>
      </c>
    </row>
    <row r="388" spans="1:3">
      <c r="A388" s="17" t="s">
        <v>637</v>
      </c>
      <c r="B388" s="19">
        <v>1</v>
      </c>
      <c r="C388" s="18" t="s">
        <v>4</v>
      </c>
    </row>
    <row r="389" spans="1:3">
      <c r="A389" s="17" t="s">
        <v>634</v>
      </c>
      <c r="B389" s="19">
        <v>32</v>
      </c>
      <c r="C389" s="18" t="s">
        <v>4</v>
      </c>
    </row>
    <row r="390" spans="1:3">
      <c r="A390" t="s">
        <v>640</v>
      </c>
      <c r="B390">
        <v>6</v>
      </c>
      <c r="C390" t="s">
        <v>4</v>
      </c>
    </row>
    <row r="391" spans="1:3">
      <c r="A391" t="s">
        <v>641</v>
      </c>
      <c r="B391">
        <v>7</v>
      </c>
      <c r="C391" t="s">
        <v>4</v>
      </c>
    </row>
    <row r="392" spans="1:3">
      <c r="A392" t="s">
        <v>642</v>
      </c>
      <c r="B392">
        <v>2</v>
      </c>
      <c r="C392" t="s">
        <v>4</v>
      </c>
    </row>
    <row r="393" spans="1:3">
      <c r="A393" t="s">
        <v>644</v>
      </c>
      <c r="B393">
        <v>14</v>
      </c>
      <c r="C393" t="s">
        <v>4</v>
      </c>
    </row>
    <row r="394" spans="1:3">
      <c r="A394" t="s">
        <v>645</v>
      </c>
      <c r="B394">
        <v>2</v>
      </c>
      <c r="C394" t="s">
        <v>4</v>
      </c>
    </row>
    <row r="395" spans="1:3">
      <c r="A395" t="s">
        <v>647</v>
      </c>
      <c r="B395">
        <v>3</v>
      </c>
      <c r="C395" t="s">
        <v>4</v>
      </c>
    </row>
    <row r="396" spans="1:3">
      <c r="A396" t="s">
        <v>648</v>
      </c>
      <c r="B396">
        <v>5</v>
      </c>
      <c r="C396" t="s">
        <v>4</v>
      </c>
    </row>
    <row r="397" spans="1:3">
      <c r="A397" t="s">
        <v>649</v>
      </c>
      <c r="B397">
        <v>4</v>
      </c>
      <c r="C397" t="s">
        <v>4</v>
      </c>
    </row>
    <row r="398" spans="1:3">
      <c r="A398" t="s">
        <v>643</v>
      </c>
      <c r="B398">
        <v>5</v>
      </c>
      <c r="C398" t="s">
        <v>4</v>
      </c>
    </row>
    <row r="399" spans="1:3">
      <c r="A399" t="s">
        <v>650</v>
      </c>
      <c r="B399">
        <v>2</v>
      </c>
      <c r="C399" t="s">
        <v>4</v>
      </c>
    </row>
    <row r="400" spans="1:3">
      <c r="A400" t="s">
        <v>651</v>
      </c>
      <c r="B400">
        <v>1</v>
      </c>
      <c r="C400" t="s">
        <v>4</v>
      </c>
    </row>
    <row r="401" spans="1:3">
      <c r="A401" t="s">
        <v>653</v>
      </c>
      <c r="B401">
        <v>208</v>
      </c>
      <c r="C401" t="s">
        <v>4</v>
      </c>
    </row>
    <row r="402" spans="1:3">
      <c r="A402" t="s">
        <v>654</v>
      </c>
      <c r="B402">
        <v>1</v>
      </c>
      <c r="C402" t="s">
        <v>4</v>
      </c>
    </row>
    <row r="403" spans="1:3">
      <c r="A403" t="s">
        <v>657</v>
      </c>
      <c r="B403">
        <v>1</v>
      </c>
      <c r="C403" t="s">
        <v>4</v>
      </c>
    </row>
    <row r="404" spans="1:3">
      <c r="A404" t="s">
        <v>658</v>
      </c>
      <c r="B404">
        <v>1</v>
      </c>
      <c r="C404" t="s">
        <v>4</v>
      </c>
    </row>
    <row r="405" spans="1:3">
      <c r="A405" t="s">
        <v>663</v>
      </c>
      <c r="B405">
        <v>11</v>
      </c>
      <c r="C405" t="s">
        <v>4</v>
      </c>
    </row>
    <row r="406" spans="1:3">
      <c r="A406" t="s">
        <v>666</v>
      </c>
      <c r="B406">
        <v>9</v>
      </c>
      <c r="C406" t="s">
        <v>4</v>
      </c>
    </row>
    <row r="407" spans="1:3">
      <c r="A407" t="s">
        <v>667</v>
      </c>
      <c r="B407">
        <v>226</v>
      </c>
      <c r="C407" t="s">
        <v>4</v>
      </c>
    </row>
    <row r="408" spans="1:3">
      <c r="A408" t="s">
        <v>668</v>
      </c>
      <c r="B408">
        <v>5</v>
      </c>
      <c r="C408" t="s">
        <v>4</v>
      </c>
    </row>
    <row r="409" spans="1:3">
      <c r="A409" t="s">
        <v>669</v>
      </c>
      <c r="B409">
        <v>3</v>
      </c>
      <c r="C409" t="s">
        <v>4</v>
      </c>
    </row>
    <row r="410" spans="1:3">
      <c r="A410" t="s">
        <v>670</v>
      </c>
      <c r="B410">
        <v>7</v>
      </c>
      <c r="C410" t="s">
        <v>4</v>
      </c>
    </row>
    <row r="411" spans="1:3">
      <c r="A411" t="s">
        <v>672</v>
      </c>
      <c r="B411">
        <v>1</v>
      </c>
      <c r="C411" t="s">
        <v>4</v>
      </c>
    </row>
    <row r="412" spans="1:3">
      <c r="A412" t="s">
        <v>674</v>
      </c>
      <c r="B412">
        <v>1</v>
      </c>
      <c r="C412" t="s">
        <v>4</v>
      </c>
    </row>
    <row r="413" spans="1:3">
      <c r="A413" t="s">
        <v>671</v>
      </c>
      <c r="B413">
        <v>2</v>
      </c>
      <c r="C413" t="s">
        <v>4</v>
      </c>
    </row>
    <row r="414" spans="1:3">
      <c r="A414" t="s">
        <v>678</v>
      </c>
      <c r="B414">
        <v>1</v>
      </c>
      <c r="C414" t="s">
        <v>4</v>
      </c>
    </row>
    <row r="415" spans="1:3">
      <c r="A415" t="s">
        <v>679</v>
      </c>
      <c r="B415">
        <v>1</v>
      </c>
      <c r="C415" t="s">
        <v>4</v>
      </c>
    </row>
    <row r="416" spans="1:3">
      <c r="A416" s="24" t="s">
        <v>659</v>
      </c>
      <c r="B416" s="25">
        <v>147</v>
      </c>
      <c r="C416" s="22" t="s">
        <v>4</v>
      </c>
    </row>
    <row r="417" spans="1:3">
      <c r="A417" s="17" t="s">
        <v>656</v>
      </c>
      <c r="B417" s="23">
        <v>12</v>
      </c>
      <c r="C417" s="22" t="s">
        <v>4</v>
      </c>
    </row>
    <row r="418" spans="1:3">
      <c r="A418" t="s">
        <v>664</v>
      </c>
      <c r="B418">
        <v>16</v>
      </c>
      <c r="C418" t="s">
        <v>4</v>
      </c>
    </row>
    <row r="419" spans="1:3">
      <c r="A419" t="s">
        <v>680</v>
      </c>
      <c r="B419">
        <v>2</v>
      </c>
      <c r="C419" t="s">
        <v>4</v>
      </c>
    </row>
    <row r="420" spans="1:3">
      <c r="A420" t="s">
        <v>681</v>
      </c>
      <c r="B420">
        <v>13</v>
      </c>
      <c r="C420" t="s">
        <v>4</v>
      </c>
    </row>
    <row r="421" spans="1:3">
      <c r="A421" s="24" t="s">
        <v>673</v>
      </c>
      <c r="B421" s="25">
        <v>43</v>
      </c>
      <c r="C421" s="22" t="s">
        <v>4</v>
      </c>
    </row>
    <row r="422" spans="1:3">
      <c r="A422" s="24" t="s">
        <v>682</v>
      </c>
      <c r="B422" s="25">
        <v>8</v>
      </c>
      <c r="C422" s="22" t="s">
        <v>4</v>
      </c>
    </row>
    <row r="423" spans="1:3">
      <c r="A423" s="17" t="s">
        <v>665</v>
      </c>
      <c r="B423" s="23">
        <v>17</v>
      </c>
      <c r="C423" s="22" t="s">
        <v>4</v>
      </c>
    </row>
    <row r="424" spans="1:3">
      <c r="A424" t="s">
        <v>689</v>
      </c>
      <c r="B424">
        <v>1</v>
      </c>
      <c r="C424" t="s">
        <v>4</v>
      </c>
    </row>
    <row r="425" spans="1:3">
      <c r="A425" t="s">
        <v>688</v>
      </c>
      <c r="B425">
        <v>8</v>
      </c>
      <c r="C425" t="s">
        <v>4</v>
      </c>
    </row>
    <row r="426" spans="1:3">
      <c r="A426" t="s">
        <v>687</v>
      </c>
      <c r="B426">
        <v>2</v>
      </c>
      <c r="C426" t="s">
        <v>4</v>
      </c>
    </row>
    <row r="427" spans="1:3">
      <c r="A427" t="s">
        <v>683</v>
      </c>
      <c r="B427">
        <v>9</v>
      </c>
      <c r="C427" t="s">
        <v>4</v>
      </c>
    </row>
    <row r="428" spans="1:3">
      <c r="A428" t="s">
        <v>677</v>
      </c>
      <c r="B428">
        <v>3</v>
      </c>
      <c r="C428" t="s">
        <v>4</v>
      </c>
    </row>
    <row r="429" spans="1:3">
      <c r="A429" t="s">
        <v>685</v>
      </c>
      <c r="B429">
        <v>2</v>
      </c>
      <c r="C429" t="s">
        <v>4</v>
      </c>
    </row>
    <row r="430" spans="1:3">
      <c r="A430" t="s">
        <v>690</v>
      </c>
      <c r="B430">
        <v>15</v>
      </c>
      <c r="C430" t="s">
        <v>4</v>
      </c>
    </row>
    <row r="431" spans="1:3">
      <c r="A431" t="s">
        <v>691</v>
      </c>
      <c r="B431">
        <v>1</v>
      </c>
      <c r="C431" t="s">
        <v>4</v>
      </c>
    </row>
    <row r="432" spans="1:3">
      <c r="A432" t="s">
        <v>675</v>
      </c>
      <c r="B432">
        <v>19</v>
      </c>
      <c r="C432" t="s">
        <v>4</v>
      </c>
    </row>
    <row r="433" spans="1:3">
      <c r="A433" t="s">
        <v>684</v>
      </c>
      <c r="B433">
        <v>3</v>
      </c>
      <c r="C433" t="s">
        <v>4</v>
      </c>
    </row>
    <row r="434" spans="1:3">
      <c r="A434" t="s">
        <v>694</v>
      </c>
      <c r="B434">
        <v>1</v>
      </c>
      <c r="C434" s="22" t="s">
        <v>4</v>
      </c>
    </row>
    <row r="435" spans="1:3">
      <c r="A435" t="s">
        <v>696</v>
      </c>
      <c r="B435">
        <v>3</v>
      </c>
      <c r="C435" s="22" t="s">
        <v>4</v>
      </c>
    </row>
    <row r="436" spans="1:3">
      <c r="A436" s="28" t="s">
        <v>700</v>
      </c>
      <c r="B436" s="23">
        <v>50</v>
      </c>
      <c r="C436" s="28" t="s">
        <v>4</v>
      </c>
    </row>
    <row r="437" spans="1:3">
      <c r="A437" t="s">
        <v>702</v>
      </c>
      <c r="B437">
        <v>2</v>
      </c>
      <c r="C437" t="s">
        <v>4</v>
      </c>
    </row>
    <row r="438" spans="1:3">
      <c r="A438" t="s">
        <v>703</v>
      </c>
      <c r="B438">
        <v>1</v>
      </c>
      <c r="C438" t="s">
        <v>4</v>
      </c>
    </row>
    <row r="439" spans="1:3">
      <c r="A439" t="s">
        <v>707</v>
      </c>
      <c r="B439">
        <v>20</v>
      </c>
      <c r="C439" t="s">
        <v>4</v>
      </c>
    </row>
    <row r="440" spans="1:3">
      <c r="A440" t="s">
        <v>708</v>
      </c>
      <c r="B440">
        <v>2</v>
      </c>
      <c r="C440" t="s">
        <v>4</v>
      </c>
    </row>
    <row r="441" spans="1:3">
      <c r="A441" t="s">
        <v>709</v>
      </c>
      <c r="B441">
        <v>1</v>
      </c>
      <c r="C441" t="s">
        <v>4</v>
      </c>
    </row>
    <row r="442" spans="1:3">
      <c r="A442" t="s">
        <v>710</v>
      </c>
      <c r="B442">
        <v>19</v>
      </c>
      <c r="C442" t="s">
        <v>4</v>
      </c>
    </row>
    <row r="443" spans="1:3">
      <c r="A443" t="s">
        <v>711</v>
      </c>
      <c r="B443">
        <v>2</v>
      </c>
      <c r="C443" t="s">
        <v>4</v>
      </c>
    </row>
    <row r="444" spans="1:3">
      <c r="A444" t="s">
        <v>712</v>
      </c>
      <c r="B444">
        <v>1</v>
      </c>
      <c r="C444" t="s">
        <v>4</v>
      </c>
    </row>
    <row r="445" spans="1:3">
      <c r="A445" t="s">
        <v>704</v>
      </c>
      <c r="B445">
        <v>1</v>
      </c>
      <c r="C445" t="s">
        <v>4</v>
      </c>
    </row>
    <row r="446" spans="1:3">
      <c r="A446" t="s">
        <v>705</v>
      </c>
      <c r="B446">
        <v>2</v>
      </c>
      <c r="C446" t="s">
        <v>4</v>
      </c>
    </row>
    <row r="447" spans="1:3">
      <c r="A447" t="s">
        <v>713</v>
      </c>
      <c r="B447">
        <v>1</v>
      </c>
      <c r="C447" t="s">
        <v>4</v>
      </c>
    </row>
    <row r="448" spans="1:3">
      <c r="A448" t="s">
        <v>715</v>
      </c>
      <c r="B448">
        <v>1</v>
      </c>
      <c r="C448" t="s">
        <v>4</v>
      </c>
    </row>
    <row r="449" spans="1:3">
      <c r="A449" t="s">
        <v>714</v>
      </c>
      <c r="B449">
        <v>5</v>
      </c>
      <c r="C449" t="s">
        <v>4</v>
      </c>
    </row>
    <row r="450" spans="1:3">
      <c r="A450" t="s">
        <v>716</v>
      </c>
      <c r="B450">
        <v>1</v>
      </c>
      <c r="C450" t="s">
        <v>4</v>
      </c>
    </row>
    <row r="451" spans="1:3">
      <c r="A451" t="s">
        <v>717</v>
      </c>
      <c r="B451">
        <v>5</v>
      </c>
      <c r="C451" t="s">
        <v>4</v>
      </c>
    </row>
    <row r="452" spans="1:3">
      <c r="A452" t="s">
        <v>718</v>
      </c>
      <c r="B452">
        <v>1</v>
      </c>
      <c r="C452" t="s">
        <v>4</v>
      </c>
    </row>
    <row r="453" spans="1:3">
      <c r="A453" t="s">
        <v>719</v>
      </c>
      <c r="B453">
        <v>1</v>
      </c>
      <c r="C453" t="s">
        <v>4</v>
      </c>
    </row>
    <row r="454" spans="1:3">
      <c r="A454" t="s">
        <v>721</v>
      </c>
      <c r="B454">
        <v>16</v>
      </c>
      <c r="C454" t="s">
        <v>4</v>
      </c>
    </row>
    <row r="455" spans="1:3">
      <c r="A455" t="s">
        <v>722</v>
      </c>
      <c r="B455">
        <v>4</v>
      </c>
      <c r="C455" t="s">
        <v>4</v>
      </c>
    </row>
    <row r="456" spans="1:3">
      <c r="A456" t="s">
        <v>723</v>
      </c>
      <c r="B456">
        <v>22</v>
      </c>
      <c r="C456" t="s">
        <v>4</v>
      </c>
    </row>
    <row r="457" spans="1:3">
      <c r="A457" t="s">
        <v>724</v>
      </c>
      <c r="B457">
        <v>2</v>
      </c>
      <c r="C457" t="s">
        <v>4</v>
      </c>
    </row>
    <row r="458" spans="1:3">
      <c r="A458" t="s">
        <v>725</v>
      </c>
      <c r="B458">
        <v>2</v>
      </c>
      <c r="C458" t="s">
        <v>4</v>
      </c>
    </row>
    <row r="459" spans="1:3">
      <c r="A459" t="s">
        <v>728</v>
      </c>
      <c r="B459">
        <v>6</v>
      </c>
      <c r="C459" t="s">
        <v>4</v>
      </c>
    </row>
    <row r="460" spans="1:3">
      <c r="A460" s="28" t="s">
        <v>720</v>
      </c>
      <c r="B460">
        <v>1</v>
      </c>
      <c r="C460" s="28" t="s">
        <v>4</v>
      </c>
    </row>
    <row r="461" spans="1:3">
      <c r="A461" s="28" t="s">
        <v>732</v>
      </c>
      <c r="B461" s="23">
        <v>2</v>
      </c>
      <c r="C461" s="28" t="s">
        <v>4</v>
      </c>
    </row>
    <row r="462" spans="1:3">
      <c r="A462" t="s">
        <v>729</v>
      </c>
      <c r="B462">
        <v>86</v>
      </c>
      <c r="C462" t="s">
        <v>4</v>
      </c>
    </row>
    <row r="463" spans="1:3">
      <c r="A463" t="s">
        <v>726</v>
      </c>
      <c r="B463">
        <v>232</v>
      </c>
      <c r="C463" t="s">
        <v>4</v>
      </c>
    </row>
    <row r="464" spans="1:3">
      <c r="A464" t="s">
        <v>747</v>
      </c>
      <c r="B464">
        <v>16</v>
      </c>
      <c r="C464" t="s">
        <v>4</v>
      </c>
    </row>
    <row r="465" spans="1:3">
      <c r="A465" t="s">
        <v>727</v>
      </c>
      <c r="B465">
        <v>2</v>
      </c>
      <c r="C465" t="s">
        <v>4</v>
      </c>
    </row>
    <row r="466" spans="1:3">
      <c r="A466" s="28" t="s">
        <v>730</v>
      </c>
      <c r="B466" s="30">
        <v>1</v>
      </c>
      <c r="C466" s="28" t="s">
        <v>4</v>
      </c>
    </row>
    <row r="467" spans="1:3">
      <c r="A467" t="s">
        <v>733</v>
      </c>
      <c r="B467">
        <v>6</v>
      </c>
      <c r="C467" t="s">
        <v>4</v>
      </c>
    </row>
    <row r="468" spans="1:3">
      <c r="A468" t="s">
        <v>736</v>
      </c>
      <c r="B468">
        <v>45</v>
      </c>
      <c r="C468" s="28" t="s">
        <v>4</v>
      </c>
    </row>
    <row r="469" spans="1:3">
      <c r="A469" t="s">
        <v>734</v>
      </c>
      <c r="B469">
        <v>114</v>
      </c>
      <c r="C469" s="28" t="s">
        <v>4</v>
      </c>
    </row>
    <row r="470" spans="1:3">
      <c r="A470" t="s">
        <v>744</v>
      </c>
      <c r="B470">
        <v>1</v>
      </c>
      <c r="C470" t="s">
        <v>4</v>
      </c>
    </row>
    <row r="471" spans="1:3">
      <c r="A471" t="s">
        <v>743</v>
      </c>
      <c r="B471">
        <v>3</v>
      </c>
      <c r="C471" t="s">
        <v>4</v>
      </c>
    </row>
    <row r="472" spans="1:3">
      <c r="A472" t="s">
        <v>742</v>
      </c>
      <c r="B472">
        <v>6</v>
      </c>
      <c r="C472" t="s">
        <v>4</v>
      </c>
    </row>
    <row r="473" spans="1:3">
      <c r="A473" t="s">
        <v>741</v>
      </c>
      <c r="B473">
        <v>3</v>
      </c>
      <c r="C473" t="s">
        <v>4</v>
      </c>
    </row>
    <row r="474" spans="1:3">
      <c r="A474" t="s">
        <v>740</v>
      </c>
      <c r="B474">
        <v>1</v>
      </c>
      <c r="C474" t="s">
        <v>4</v>
      </c>
    </row>
    <row r="475" spans="1:3">
      <c r="A475" t="s">
        <v>739</v>
      </c>
      <c r="B475">
        <v>6</v>
      </c>
      <c r="C475" t="s">
        <v>4</v>
      </c>
    </row>
    <row r="476" spans="1:3">
      <c r="A476" t="s">
        <v>737</v>
      </c>
      <c r="B476">
        <v>1</v>
      </c>
      <c r="C476" t="s">
        <v>4</v>
      </c>
    </row>
    <row r="477" spans="1:3">
      <c r="A477" t="s">
        <v>745</v>
      </c>
      <c r="B477">
        <v>2</v>
      </c>
      <c r="C477" t="s">
        <v>4</v>
      </c>
    </row>
    <row r="478" spans="1:3">
      <c r="A478" t="s">
        <v>749</v>
      </c>
      <c r="B478">
        <v>2</v>
      </c>
      <c r="C478" t="s">
        <v>4</v>
      </c>
    </row>
    <row r="479" spans="1:3">
      <c r="A479" t="s">
        <v>760</v>
      </c>
      <c r="B479">
        <v>3</v>
      </c>
      <c r="C479" t="s">
        <v>4</v>
      </c>
    </row>
    <row r="480" spans="1:3">
      <c r="A480" s="31" t="s">
        <v>731</v>
      </c>
      <c r="B480" s="32">
        <v>1</v>
      </c>
      <c r="C480" s="28" t="s">
        <v>4</v>
      </c>
    </row>
    <row r="481" spans="1:3">
      <c r="A481" s="33" t="s">
        <v>761</v>
      </c>
      <c r="B481" s="34">
        <v>5</v>
      </c>
      <c r="C481" t="s">
        <v>4</v>
      </c>
    </row>
    <row r="482" spans="1:3">
      <c r="A482" s="33" t="s">
        <v>748</v>
      </c>
      <c r="B482" s="32">
        <v>11</v>
      </c>
      <c r="C482" t="s">
        <v>4</v>
      </c>
    </row>
    <row r="483" spans="1:3">
      <c r="A483" s="33" t="s">
        <v>750</v>
      </c>
      <c r="B483" s="35">
        <v>10</v>
      </c>
      <c r="C483" t="s">
        <v>4</v>
      </c>
    </row>
    <row r="484" spans="1:3">
      <c r="A484" s="33" t="s">
        <v>757</v>
      </c>
      <c r="B484" s="30">
        <v>362</v>
      </c>
      <c r="C484" s="28" t="s">
        <v>4</v>
      </c>
    </row>
    <row r="485" spans="1:3">
      <c r="A485" s="33" t="s">
        <v>758</v>
      </c>
      <c r="B485" s="30">
        <v>74</v>
      </c>
      <c r="C485" s="28" t="s">
        <v>4</v>
      </c>
    </row>
    <row r="486" spans="1:3">
      <c r="A486" s="33" t="s">
        <v>765</v>
      </c>
      <c r="B486">
        <v>3</v>
      </c>
      <c r="C486" t="s">
        <v>4</v>
      </c>
    </row>
    <row r="487" spans="1:3">
      <c r="A487" s="33" t="s">
        <v>766</v>
      </c>
      <c r="B487">
        <v>1</v>
      </c>
      <c r="C487" t="s">
        <v>4</v>
      </c>
    </row>
    <row r="488" spans="1:3">
      <c r="A488" s="33" t="s">
        <v>768</v>
      </c>
      <c r="B488">
        <v>7</v>
      </c>
      <c r="C488" t="s">
        <v>4</v>
      </c>
    </row>
    <row r="489" spans="1:3">
      <c r="A489" s="33" t="s">
        <v>769</v>
      </c>
      <c r="B489">
        <v>5</v>
      </c>
      <c r="C489" t="s">
        <v>4</v>
      </c>
    </row>
    <row r="490" spans="1:3">
      <c r="A490" s="33" t="s">
        <v>770</v>
      </c>
      <c r="B490">
        <v>1</v>
      </c>
      <c r="C490" t="s">
        <v>4</v>
      </c>
    </row>
    <row r="491" spans="1:3">
      <c r="A491" s="33" t="s">
        <v>771</v>
      </c>
      <c r="B491">
        <v>1</v>
      </c>
      <c r="C491" t="s">
        <v>4</v>
      </c>
    </row>
    <row r="492" spans="1:3">
      <c r="A492" s="33" t="s">
        <v>775</v>
      </c>
      <c r="B492">
        <v>1</v>
      </c>
      <c r="C492" t="s">
        <v>4</v>
      </c>
    </row>
    <row r="493" spans="1:3">
      <c r="A493" t="s">
        <v>776</v>
      </c>
      <c r="B493">
        <v>1</v>
      </c>
      <c r="C493" t="s">
        <v>4</v>
      </c>
    </row>
    <row r="494" spans="1:3">
      <c r="A494" t="s">
        <v>777</v>
      </c>
      <c r="B494">
        <v>1</v>
      </c>
      <c r="C494" s="28" t="s">
        <v>4</v>
      </c>
    </row>
    <row r="495" spans="1:3">
      <c r="A495" t="s">
        <v>778</v>
      </c>
      <c r="B495">
        <v>2</v>
      </c>
      <c r="C495" s="28" t="s">
        <v>4</v>
      </c>
    </row>
    <row r="496" spans="1:3">
      <c r="A496" t="s">
        <v>762</v>
      </c>
      <c r="B496">
        <v>3</v>
      </c>
      <c r="C496" s="28" t="s">
        <v>4</v>
      </c>
    </row>
    <row r="497" spans="1:3">
      <c r="A497" t="s">
        <v>781</v>
      </c>
      <c r="B497">
        <v>1</v>
      </c>
      <c r="C497" s="28" t="s">
        <v>4</v>
      </c>
    </row>
    <row r="498" spans="1:3">
      <c r="A498" s="28" t="s">
        <v>767</v>
      </c>
      <c r="B498" s="30">
        <v>76</v>
      </c>
      <c r="C498" s="28" t="s">
        <v>4</v>
      </c>
    </row>
    <row r="499" spans="1:3">
      <c r="A499" t="s">
        <v>772</v>
      </c>
      <c r="B499">
        <v>51</v>
      </c>
      <c r="C499" t="s">
        <v>4</v>
      </c>
    </row>
    <row r="500" spans="1:3">
      <c r="A500" t="s">
        <v>779</v>
      </c>
      <c r="B500">
        <v>4</v>
      </c>
      <c r="C500" t="s">
        <v>4</v>
      </c>
    </row>
    <row r="501" spans="1:3">
      <c r="A501" t="s">
        <v>782</v>
      </c>
      <c r="B501">
        <v>4</v>
      </c>
      <c r="C501" t="s">
        <v>4</v>
      </c>
    </row>
    <row r="502" spans="1:3">
      <c r="A502" t="s">
        <v>783</v>
      </c>
      <c r="B502">
        <v>9</v>
      </c>
      <c r="C502" t="s">
        <v>4</v>
      </c>
    </row>
    <row r="503" spans="1:3">
      <c r="A503" t="s">
        <v>763</v>
      </c>
      <c r="B503">
        <v>13</v>
      </c>
      <c r="C503" s="28" t="s">
        <v>4</v>
      </c>
    </row>
    <row r="504" spans="1:3">
      <c r="A504" t="s">
        <v>786</v>
      </c>
      <c r="B504">
        <v>12</v>
      </c>
      <c r="C504" s="28" t="s">
        <v>4</v>
      </c>
    </row>
    <row r="505" spans="1:3">
      <c r="A505" t="s">
        <v>785</v>
      </c>
      <c r="B505">
        <v>243</v>
      </c>
      <c r="C505" s="28" t="s">
        <v>4</v>
      </c>
    </row>
    <row r="506" spans="1:3">
      <c r="A506" s="28" t="s">
        <v>787</v>
      </c>
      <c r="B506" s="30">
        <v>8</v>
      </c>
      <c r="C506" s="28" t="s">
        <v>4</v>
      </c>
    </row>
    <row r="507" spans="1:3">
      <c r="A507" s="31" t="s">
        <v>790</v>
      </c>
      <c r="B507" s="30">
        <v>1</v>
      </c>
      <c r="C507" s="28" t="s">
        <v>4</v>
      </c>
    </row>
    <row r="508" spans="1:3">
      <c r="A508" s="31" t="s">
        <v>789</v>
      </c>
      <c r="B508" s="32">
        <v>1</v>
      </c>
      <c r="C508" s="28" t="s">
        <v>4</v>
      </c>
    </row>
    <row r="509" spans="1:3">
      <c r="A509" s="31" t="s">
        <v>788</v>
      </c>
      <c r="B509" s="30">
        <v>1</v>
      </c>
      <c r="C509" s="28" t="s">
        <v>4</v>
      </c>
    </row>
    <row r="510" spans="1:3">
      <c r="A510" t="s">
        <v>791</v>
      </c>
      <c r="B510">
        <v>6</v>
      </c>
      <c r="C510" s="28" t="s">
        <v>4</v>
      </c>
    </row>
    <row r="511" spans="1:3">
      <c r="A511" s="31" t="s">
        <v>794</v>
      </c>
      <c r="B511" s="35">
        <v>1</v>
      </c>
      <c r="C511" s="28" t="s">
        <v>4</v>
      </c>
    </row>
    <row r="512" spans="1:3">
      <c r="A512" t="s">
        <v>795</v>
      </c>
      <c r="B512">
        <v>8</v>
      </c>
      <c r="C512" s="28" t="s">
        <v>4</v>
      </c>
    </row>
    <row r="513" spans="1:3">
      <c r="A513" s="31" t="s">
        <v>798</v>
      </c>
      <c r="B513" s="35">
        <v>1</v>
      </c>
      <c r="C513" s="28" t="s">
        <v>4</v>
      </c>
    </row>
    <row r="514" spans="1:3">
      <c r="A514" s="31" t="s">
        <v>797</v>
      </c>
      <c r="B514" s="35">
        <v>1</v>
      </c>
      <c r="C514" s="28" t="s">
        <v>4</v>
      </c>
    </row>
    <row r="515" spans="1:3">
      <c r="A515" t="s">
        <v>792</v>
      </c>
      <c r="B515">
        <v>44</v>
      </c>
      <c r="C515" t="s">
        <v>4</v>
      </c>
    </row>
    <row r="516" spans="1:3">
      <c r="A516" t="s">
        <v>796</v>
      </c>
      <c r="B516">
        <v>9</v>
      </c>
      <c r="C516" t="s">
        <v>4</v>
      </c>
    </row>
    <row r="517" spans="1:3">
      <c r="A517" t="s">
        <v>803</v>
      </c>
      <c r="B517">
        <v>3</v>
      </c>
      <c r="C517" t="s">
        <v>4</v>
      </c>
    </row>
    <row r="518" spans="1:3">
      <c r="A518" t="s">
        <v>802</v>
      </c>
      <c r="B518">
        <v>29</v>
      </c>
      <c r="C518" t="s">
        <v>4</v>
      </c>
    </row>
    <row r="519" spans="1:3">
      <c r="A519" t="s">
        <v>801</v>
      </c>
      <c r="B519">
        <v>129</v>
      </c>
      <c r="C519" t="s">
        <v>4</v>
      </c>
    </row>
    <row r="520" spans="1:3">
      <c r="A520" t="s">
        <v>800</v>
      </c>
      <c r="B520">
        <v>6</v>
      </c>
      <c r="C520" t="s">
        <v>4</v>
      </c>
    </row>
    <row r="521" spans="1:3">
      <c r="A521" t="s">
        <v>805</v>
      </c>
      <c r="B521">
        <v>35</v>
      </c>
      <c r="C521" t="s">
        <v>4</v>
      </c>
    </row>
    <row r="522" spans="1:3">
      <c r="A522" t="s">
        <v>804</v>
      </c>
      <c r="B522">
        <v>14</v>
      </c>
      <c r="C522" t="s">
        <v>4</v>
      </c>
    </row>
    <row r="523" spans="1:3">
      <c r="A523" s="31" t="s">
        <v>809</v>
      </c>
      <c r="B523">
        <v>1</v>
      </c>
      <c r="C523" t="s">
        <v>4</v>
      </c>
    </row>
    <row r="524" spans="1:3">
      <c r="A524" s="31" t="s">
        <v>813</v>
      </c>
      <c r="B524" s="35">
        <v>2</v>
      </c>
      <c r="C524" t="s">
        <v>4</v>
      </c>
    </row>
    <row r="525" spans="1:3">
      <c r="A525" s="31" t="s">
        <v>814</v>
      </c>
      <c r="B525" s="35">
        <v>34</v>
      </c>
      <c r="C525" t="s">
        <v>4</v>
      </c>
    </row>
    <row r="526" spans="1:3">
      <c r="A526" t="s">
        <v>799</v>
      </c>
      <c r="B526">
        <v>1</v>
      </c>
      <c r="C526" t="s">
        <v>4</v>
      </c>
    </row>
    <row r="527" spans="1:3">
      <c r="A527" t="s">
        <v>808</v>
      </c>
      <c r="B527">
        <v>28</v>
      </c>
      <c r="C527" t="s">
        <v>4</v>
      </c>
    </row>
    <row r="528" spans="1:3">
      <c r="A528" s="31" t="s">
        <v>815</v>
      </c>
      <c r="B528" s="35">
        <v>3</v>
      </c>
      <c r="C528" s="38" t="s">
        <v>4</v>
      </c>
    </row>
    <row r="529" spans="1:3">
      <c r="A529" s="31" t="s">
        <v>816</v>
      </c>
      <c r="B529" s="35">
        <v>223</v>
      </c>
      <c r="C529" t="s">
        <v>4</v>
      </c>
    </row>
    <row r="530" spans="1:3">
      <c r="A530" s="31" t="s">
        <v>823</v>
      </c>
      <c r="B530" s="35">
        <v>30</v>
      </c>
      <c r="C530" s="38" t="s">
        <v>4</v>
      </c>
    </row>
    <row r="531" spans="1:3">
      <c r="A531" s="31" t="s">
        <v>824</v>
      </c>
      <c r="B531" s="35">
        <v>2</v>
      </c>
      <c r="C531" s="38" t="s">
        <v>4</v>
      </c>
    </row>
    <row r="532" spans="1:3">
      <c r="A532" t="s">
        <v>818</v>
      </c>
      <c r="B532">
        <v>1</v>
      </c>
      <c r="C532" s="38" t="s">
        <v>4</v>
      </c>
    </row>
    <row r="533" spans="1:3">
      <c r="A533" t="s">
        <v>827</v>
      </c>
      <c r="B533">
        <v>11</v>
      </c>
      <c r="C533" s="38" t="s">
        <v>4</v>
      </c>
    </row>
    <row r="534" spans="1:3">
      <c r="A534" s="38" t="s">
        <v>810</v>
      </c>
      <c r="B534" s="38">
        <v>136</v>
      </c>
      <c r="C534" s="38" t="s">
        <v>4</v>
      </c>
    </row>
    <row r="535" spans="1:3">
      <c r="A535" s="31" t="s">
        <v>821</v>
      </c>
      <c r="B535" s="35">
        <v>21</v>
      </c>
      <c r="C535" s="38" t="s">
        <v>4</v>
      </c>
    </row>
    <row r="536" spans="1:3">
      <c r="A536" s="31" t="s">
        <v>817</v>
      </c>
      <c r="B536" s="35">
        <v>16</v>
      </c>
      <c r="C536" s="38" t="s">
        <v>4</v>
      </c>
    </row>
    <row r="537" spans="1:3">
      <c r="A537" t="s">
        <v>820</v>
      </c>
      <c r="B537">
        <v>15</v>
      </c>
      <c r="C537" s="38" t="s">
        <v>4</v>
      </c>
    </row>
    <row r="538" spans="1:3">
      <c r="A538" t="s">
        <v>829</v>
      </c>
      <c r="B538">
        <v>2</v>
      </c>
      <c r="C538" t="s">
        <v>4</v>
      </c>
    </row>
    <row r="539" spans="1:3">
      <c r="A539" t="s">
        <v>828</v>
      </c>
      <c r="B539">
        <v>10</v>
      </c>
      <c r="C539" s="38" t="s">
        <v>4</v>
      </c>
    </row>
    <row r="540" spans="1:3">
      <c r="A540" t="s">
        <v>831</v>
      </c>
      <c r="B540">
        <v>2</v>
      </c>
      <c r="C540" s="38" t="s">
        <v>4</v>
      </c>
    </row>
    <row r="541" spans="1:3">
      <c r="A541" t="s">
        <v>832</v>
      </c>
      <c r="B541">
        <v>2</v>
      </c>
      <c r="C541" s="38" t="s">
        <v>4</v>
      </c>
    </row>
    <row r="542" spans="1:3">
      <c r="A542" t="s">
        <v>833</v>
      </c>
      <c r="B542">
        <v>35</v>
      </c>
      <c r="C542" s="38" t="s">
        <v>4</v>
      </c>
    </row>
    <row r="543" spans="1:3">
      <c r="A543" t="s">
        <v>834</v>
      </c>
      <c r="B543">
        <v>2</v>
      </c>
      <c r="C543" s="38" t="s">
        <v>4</v>
      </c>
    </row>
    <row r="544" spans="1:3">
      <c r="A544" t="s">
        <v>839</v>
      </c>
      <c r="B544">
        <v>1</v>
      </c>
      <c r="C544" s="38" t="s">
        <v>4</v>
      </c>
    </row>
    <row r="545" spans="1:4">
      <c r="A545" s="29" t="s">
        <v>843</v>
      </c>
      <c r="B545" s="29">
        <v>17</v>
      </c>
      <c r="C545" s="29" t="s">
        <v>4</v>
      </c>
    </row>
    <row r="546" spans="1:4">
      <c r="A546" s="38" t="s">
        <v>840</v>
      </c>
      <c r="B546" s="29">
        <v>15</v>
      </c>
      <c r="C546" s="29" t="s">
        <v>4</v>
      </c>
      <c r="D546" s="38"/>
    </row>
    <row r="547" spans="1:4">
      <c r="A547" s="38" t="s">
        <v>853</v>
      </c>
      <c r="B547" s="29">
        <v>14</v>
      </c>
      <c r="C547" s="29" t="s">
        <v>4</v>
      </c>
    </row>
    <row r="548" spans="1:4">
      <c r="A548" s="31" t="s">
        <v>847</v>
      </c>
      <c r="B548" s="39">
        <v>5</v>
      </c>
      <c r="C548" s="38" t="str">
        <f t="shared" ref="C548:C564" si="0">IF(ISBLANK(A548),"","ok")</f>
        <v>ok</v>
      </c>
    </row>
    <row r="549" spans="1:4">
      <c r="A549" t="s">
        <v>849</v>
      </c>
      <c r="B549">
        <v>34</v>
      </c>
      <c r="C549" s="38" t="str">
        <f t="shared" si="0"/>
        <v>ok</v>
      </c>
    </row>
    <row r="550" spans="1:4">
      <c r="A550" s="40" t="s">
        <v>841</v>
      </c>
      <c r="B550" s="39">
        <v>4</v>
      </c>
      <c r="C550" s="38" t="str">
        <f t="shared" si="0"/>
        <v>ok</v>
      </c>
    </row>
    <row r="551" spans="1:4">
      <c r="A551" t="s">
        <v>846</v>
      </c>
      <c r="B551">
        <v>3</v>
      </c>
      <c r="C551" s="38" t="str">
        <f t="shared" si="0"/>
        <v>ok</v>
      </c>
    </row>
    <row r="552" spans="1:4">
      <c r="A552" t="s">
        <v>842</v>
      </c>
      <c r="B552">
        <v>6</v>
      </c>
      <c r="C552" s="38" t="str">
        <f t="shared" si="0"/>
        <v>ok</v>
      </c>
    </row>
    <row r="553" spans="1:4">
      <c r="A553" t="s">
        <v>838</v>
      </c>
      <c r="B553">
        <v>15</v>
      </c>
      <c r="C553" s="38" t="str">
        <f t="shared" si="0"/>
        <v>ok</v>
      </c>
    </row>
    <row r="554" spans="1:4">
      <c r="A554" t="s">
        <v>825</v>
      </c>
      <c r="B554">
        <v>2</v>
      </c>
      <c r="C554" s="38" t="str">
        <f t="shared" si="0"/>
        <v>ok</v>
      </c>
    </row>
    <row r="555" spans="1:4">
      <c r="A555" t="s">
        <v>837</v>
      </c>
      <c r="B555">
        <v>30</v>
      </c>
      <c r="C555" s="38" t="str">
        <f t="shared" si="0"/>
        <v>ok</v>
      </c>
    </row>
    <row r="556" spans="1:4">
      <c r="A556" t="s">
        <v>806</v>
      </c>
      <c r="B556">
        <v>1</v>
      </c>
      <c r="C556" s="38" t="str">
        <f t="shared" si="0"/>
        <v>ok</v>
      </c>
    </row>
    <row r="557" spans="1:4">
      <c r="A557" t="s">
        <v>851</v>
      </c>
      <c r="B557">
        <v>2</v>
      </c>
      <c r="C557" s="38" t="str">
        <f t="shared" si="0"/>
        <v>ok</v>
      </c>
    </row>
    <row r="558" spans="1:4">
      <c r="A558" t="s">
        <v>835</v>
      </c>
      <c r="B558">
        <v>8</v>
      </c>
      <c r="C558" s="38" t="str">
        <f t="shared" si="0"/>
        <v>ok</v>
      </c>
    </row>
    <row r="559" spans="1:4">
      <c r="A559" t="s">
        <v>852</v>
      </c>
      <c r="B559">
        <v>16</v>
      </c>
      <c r="C559" s="38" t="str">
        <f t="shared" si="0"/>
        <v>ok</v>
      </c>
    </row>
    <row r="560" spans="1:4">
      <c r="A560" t="s">
        <v>845</v>
      </c>
      <c r="B560">
        <v>94</v>
      </c>
      <c r="C560" s="38" t="str">
        <f t="shared" si="0"/>
        <v>ok</v>
      </c>
    </row>
    <row r="561" spans="1:3">
      <c r="A561" s="42" t="s">
        <v>844</v>
      </c>
      <c r="B561" s="43">
        <v>74</v>
      </c>
      <c r="C561" s="38" t="str">
        <f t="shared" si="0"/>
        <v>ok</v>
      </c>
    </row>
    <row r="562" spans="1:3">
      <c r="A562" s="42" t="s">
        <v>857</v>
      </c>
      <c r="B562" s="39">
        <v>14</v>
      </c>
      <c r="C562" s="38" t="str">
        <f t="shared" si="0"/>
        <v>ok</v>
      </c>
    </row>
    <row r="563" spans="1:3">
      <c r="A563" t="s">
        <v>855</v>
      </c>
      <c r="B563">
        <v>3</v>
      </c>
      <c r="C563" s="38" t="str">
        <f t="shared" si="0"/>
        <v>ok</v>
      </c>
    </row>
    <row r="564" spans="1:3">
      <c r="A564" t="s">
        <v>858</v>
      </c>
      <c r="B564">
        <v>6</v>
      </c>
      <c r="C564" s="38" t="str">
        <f t="shared" si="0"/>
        <v>ok</v>
      </c>
    </row>
    <row r="565" spans="1:3">
      <c r="A565" t="s">
        <v>860</v>
      </c>
      <c r="B565">
        <v>1</v>
      </c>
      <c r="C565" s="38" t="s">
        <v>4</v>
      </c>
    </row>
    <row r="566" spans="1:3">
      <c r="A566" t="s">
        <v>863</v>
      </c>
      <c r="B566">
        <v>10</v>
      </c>
      <c r="C566" s="38" t="s">
        <v>4</v>
      </c>
    </row>
    <row r="567" spans="1:3">
      <c r="A567" t="s">
        <v>862</v>
      </c>
      <c r="B567">
        <v>166</v>
      </c>
      <c r="C567" s="38" t="s">
        <v>4</v>
      </c>
    </row>
    <row r="568" spans="1:3">
      <c r="A568" t="s">
        <v>861</v>
      </c>
      <c r="B568">
        <v>1</v>
      </c>
      <c r="C568" s="38" t="s">
        <v>4</v>
      </c>
    </row>
    <row r="569" spans="1:3">
      <c r="A569" s="38" t="s">
        <v>836</v>
      </c>
      <c r="B569">
        <v>2</v>
      </c>
      <c r="C569" t="s">
        <v>4</v>
      </c>
    </row>
    <row r="570" spans="1:3">
      <c r="A570" t="s">
        <v>867</v>
      </c>
      <c r="B570">
        <v>32</v>
      </c>
      <c r="C570" s="38" t="s">
        <v>4</v>
      </c>
    </row>
    <row r="571" spans="1:3">
      <c r="A571" t="s">
        <v>869</v>
      </c>
      <c r="B571">
        <v>11</v>
      </c>
      <c r="C571" s="38" t="s">
        <v>4</v>
      </c>
    </row>
    <row r="572" spans="1:3">
      <c r="A572" t="s">
        <v>871</v>
      </c>
      <c r="B572">
        <v>6</v>
      </c>
      <c r="C572" s="38" t="s">
        <v>4</v>
      </c>
    </row>
    <row r="573" spans="1:3">
      <c r="A573" t="s">
        <v>864</v>
      </c>
      <c r="B573">
        <v>11</v>
      </c>
      <c r="C573" s="38" t="s">
        <v>4</v>
      </c>
    </row>
    <row r="574" spans="1:3">
      <c r="A574" t="s">
        <v>865</v>
      </c>
      <c r="B574">
        <v>1</v>
      </c>
      <c r="C574" s="38" t="s">
        <v>4</v>
      </c>
    </row>
    <row r="575" spans="1:3">
      <c r="A575" t="s">
        <v>868</v>
      </c>
      <c r="B575">
        <v>16</v>
      </c>
      <c r="C575" s="38" t="s">
        <v>4</v>
      </c>
    </row>
    <row r="576" spans="1:3">
      <c r="A576" t="s">
        <v>870</v>
      </c>
      <c r="B576">
        <v>44</v>
      </c>
      <c r="C576" s="38" t="s">
        <v>4</v>
      </c>
    </row>
    <row r="577" spans="1:3">
      <c r="A577" t="s">
        <v>866</v>
      </c>
      <c r="B577">
        <v>4</v>
      </c>
      <c r="C577" s="38" t="s">
        <v>4</v>
      </c>
    </row>
    <row r="578" spans="1:3">
      <c r="A578" t="s">
        <v>873</v>
      </c>
      <c r="B578">
        <v>4</v>
      </c>
      <c r="C578" s="38" t="s">
        <v>4</v>
      </c>
    </row>
    <row r="579" spans="1:3">
      <c r="A579" t="s">
        <v>874</v>
      </c>
      <c r="B579">
        <v>1</v>
      </c>
      <c r="C579" s="38" t="s">
        <v>4</v>
      </c>
    </row>
    <row r="580" spans="1:3">
      <c r="A580" t="s">
        <v>876</v>
      </c>
      <c r="B580">
        <v>1</v>
      </c>
      <c r="C580" s="38" t="s">
        <v>4</v>
      </c>
    </row>
    <row r="581" spans="1:3">
      <c r="A581" t="s">
        <v>878</v>
      </c>
      <c r="B581">
        <v>1</v>
      </c>
      <c r="C581" s="38" t="s">
        <v>4</v>
      </c>
    </row>
    <row r="582" spans="1:3">
      <c r="A582" t="s">
        <v>879</v>
      </c>
      <c r="B582">
        <v>1</v>
      </c>
      <c r="C582" s="38" t="s">
        <v>4</v>
      </c>
    </row>
    <row r="583" spans="1:3">
      <c r="A583" t="s">
        <v>880</v>
      </c>
      <c r="B583">
        <v>1</v>
      </c>
      <c r="C583" s="38" t="s">
        <v>4</v>
      </c>
    </row>
    <row r="584" spans="1:3">
      <c r="A584" t="s">
        <v>881</v>
      </c>
      <c r="B584">
        <v>3</v>
      </c>
      <c r="C584" s="38" t="s">
        <v>4</v>
      </c>
    </row>
    <row r="585" spans="1:3">
      <c r="A585" t="s">
        <v>872</v>
      </c>
      <c r="B585">
        <v>8</v>
      </c>
      <c r="C585" t="s">
        <v>4</v>
      </c>
    </row>
    <row r="586" spans="1:3">
      <c r="A586" t="s">
        <v>875</v>
      </c>
      <c r="B586">
        <v>4</v>
      </c>
      <c r="C586" s="38" t="s">
        <v>4</v>
      </c>
    </row>
    <row r="587" spans="1:3">
      <c r="A587" t="s">
        <v>883</v>
      </c>
      <c r="B587">
        <v>1</v>
      </c>
      <c r="C587" t="s">
        <v>4</v>
      </c>
    </row>
    <row r="588" spans="1:3">
      <c r="A588" t="s">
        <v>882</v>
      </c>
      <c r="B588">
        <v>19</v>
      </c>
      <c r="C588" t="s">
        <v>4</v>
      </c>
    </row>
    <row r="589" spans="1:3">
      <c r="A589" t="s">
        <v>884</v>
      </c>
      <c r="B589">
        <v>6</v>
      </c>
      <c r="C589" t="s">
        <v>4</v>
      </c>
    </row>
    <row r="590" spans="1:3">
      <c r="A590" t="s">
        <v>886</v>
      </c>
      <c r="B590">
        <v>5</v>
      </c>
      <c r="C590" t="s">
        <v>4</v>
      </c>
    </row>
    <row r="591" spans="1:3">
      <c r="A591" t="s">
        <v>889</v>
      </c>
      <c r="B591">
        <v>1</v>
      </c>
      <c r="C591" t="s">
        <v>4</v>
      </c>
    </row>
    <row r="592" spans="1:3">
      <c r="A592" t="s">
        <v>888</v>
      </c>
      <c r="B592">
        <v>8</v>
      </c>
      <c r="C592" t="s">
        <v>4</v>
      </c>
    </row>
    <row r="593" spans="1:3">
      <c r="A593" t="s">
        <v>891</v>
      </c>
      <c r="B593">
        <v>1</v>
      </c>
      <c r="C593" s="38" t="s">
        <v>4</v>
      </c>
    </row>
    <row r="594" spans="1:3">
      <c r="A594" t="s">
        <v>893</v>
      </c>
      <c r="B594">
        <v>14</v>
      </c>
      <c r="C594" t="s">
        <v>4</v>
      </c>
    </row>
    <row r="595" spans="1:3">
      <c r="A595" t="s">
        <v>887</v>
      </c>
      <c r="B595">
        <v>13</v>
      </c>
      <c r="C595" t="s">
        <v>4</v>
      </c>
    </row>
    <row r="596" spans="1:3">
      <c r="A596" t="s">
        <v>890</v>
      </c>
      <c r="B596">
        <v>1</v>
      </c>
      <c r="C596" t="s">
        <v>4</v>
      </c>
    </row>
    <row r="597" spans="1:3">
      <c r="A597" t="s">
        <v>892</v>
      </c>
      <c r="B597">
        <v>3</v>
      </c>
      <c r="C597" t="s">
        <v>4</v>
      </c>
    </row>
    <row r="598" spans="1:3">
      <c r="A598" t="s">
        <v>895</v>
      </c>
      <c r="B598">
        <v>1</v>
      </c>
      <c r="C598" s="38" t="s">
        <v>4</v>
      </c>
    </row>
    <row r="599" spans="1:3">
      <c r="A599" t="s">
        <v>894</v>
      </c>
      <c r="B599">
        <v>1</v>
      </c>
      <c r="C599" s="38" t="s">
        <v>4</v>
      </c>
    </row>
    <row r="600" spans="1:3">
      <c r="A600" s="31" t="s">
        <v>896</v>
      </c>
      <c r="B600" s="35">
        <v>14</v>
      </c>
      <c r="C600" s="38" t="s">
        <v>4</v>
      </c>
    </row>
    <row r="601" spans="1:3">
      <c r="A601" t="s">
        <v>897</v>
      </c>
      <c r="B601">
        <v>11</v>
      </c>
      <c r="C601" s="38" t="s">
        <v>4</v>
      </c>
    </row>
    <row r="602" spans="1:3">
      <c r="A602" t="s">
        <v>900</v>
      </c>
      <c r="B602">
        <v>2</v>
      </c>
      <c r="C602" s="38" t="s">
        <v>4</v>
      </c>
    </row>
    <row r="603" spans="1:3">
      <c r="A603" t="s">
        <v>898</v>
      </c>
      <c r="B603">
        <v>20</v>
      </c>
      <c r="C603" s="38" t="s">
        <v>4</v>
      </c>
    </row>
    <row r="604" spans="1:3">
      <c r="A604" t="s">
        <v>899</v>
      </c>
      <c r="B604">
        <v>3</v>
      </c>
      <c r="C604" s="38" t="s">
        <v>4</v>
      </c>
    </row>
    <row r="605" spans="1:3">
      <c r="A605" t="s">
        <v>885</v>
      </c>
      <c r="B605">
        <v>5</v>
      </c>
      <c r="C605" t="s">
        <v>4</v>
      </c>
    </row>
    <row r="606" spans="1:3">
      <c r="A606" t="s">
        <v>906</v>
      </c>
      <c r="B606">
        <v>1</v>
      </c>
      <c r="C606" t="s">
        <v>4</v>
      </c>
    </row>
    <row r="607" spans="1:3">
      <c r="A607" t="s">
        <v>907</v>
      </c>
      <c r="B607">
        <v>13</v>
      </c>
      <c r="C607" t="s">
        <v>4</v>
      </c>
    </row>
    <row r="608" spans="1:3">
      <c r="A608" t="s">
        <v>908</v>
      </c>
      <c r="B608">
        <v>1</v>
      </c>
      <c r="C608" s="47" t="s">
        <v>4</v>
      </c>
    </row>
    <row r="609" spans="1:3">
      <c r="A609" t="s">
        <v>903</v>
      </c>
      <c r="B609">
        <v>1</v>
      </c>
      <c r="C609" s="47" t="s">
        <v>4</v>
      </c>
    </row>
    <row r="610" spans="1:3">
      <c r="A610" t="s">
        <v>904</v>
      </c>
      <c r="B610">
        <v>1</v>
      </c>
      <c r="C610" s="47" t="s">
        <v>4</v>
      </c>
    </row>
    <row r="611" spans="1:3">
      <c r="A611" t="s">
        <v>905</v>
      </c>
      <c r="B611">
        <v>23</v>
      </c>
      <c r="C611" s="47" t="s">
        <v>4</v>
      </c>
    </row>
    <row r="612" spans="1:3">
      <c r="A612" t="s">
        <v>902</v>
      </c>
      <c r="B612">
        <v>1</v>
      </c>
      <c r="C612" s="47" t="s">
        <v>4</v>
      </c>
    </row>
    <row r="613" spans="1:3">
      <c r="A613" t="s">
        <v>911</v>
      </c>
      <c r="B613">
        <v>14</v>
      </c>
      <c r="C613" s="47" t="s">
        <v>4</v>
      </c>
    </row>
    <row r="614" spans="1:3">
      <c r="A614" t="s">
        <v>912</v>
      </c>
      <c r="B614">
        <v>2</v>
      </c>
      <c r="C614" s="47" t="s">
        <v>4</v>
      </c>
    </row>
    <row r="615" spans="1:3">
      <c r="A615" t="s">
        <v>913</v>
      </c>
      <c r="B615">
        <v>146</v>
      </c>
      <c r="C615" s="47" t="s">
        <v>4</v>
      </c>
    </row>
    <row r="616" spans="1:3">
      <c r="A616" t="s">
        <v>910</v>
      </c>
      <c r="B616">
        <v>1</v>
      </c>
      <c r="C616" t="s">
        <v>4</v>
      </c>
    </row>
    <row r="617" spans="1:3">
      <c r="A617" t="s">
        <v>914</v>
      </c>
      <c r="B617">
        <v>1</v>
      </c>
      <c r="C617" t="s">
        <v>4</v>
      </c>
    </row>
    <row r="618" spans="1:3">
      <c r="A618" t="s">
        <v>915</v>
      </c>
      <c r="B618">
        <v>2</v>
      </c>
      <c r="C618" t="s">
        <v>4</v>
      </c>
    </row>
    <row r="619" spans="1:3">
      <c r="A619" t="s">
        <v>916</v>
      </c>
      <c r="B619">
        <v>1</v>
      </c>
      <c r="C619" t="s">
        <v>4</v>
      </c>
    </row>
    <row r="620" spans="1:3">
      <c r="A620" t="s">
        <v>918</v>
      </c>
      <c r="B620">
        <v>7</v>
      </c>
      <c r="C620" s="47" t="s">
        <v>4</v>
      </c>
    </row>
    <row r="621" spans="1:3">
      <c r="A621" t="s">
        <v>917</v>
      </c>
      <c r="B621">
        <v>1</v>
      </c>
      <c r="C621" s="47" t="s">
        <v>4</v>
      </c>
    </row>
    <row r="622" spans="1:3">
      <c r="A622" t="s">
        <v>919</v>
      </c>
      <c r="B622">
        <v>17</v>
      </c>
      <c r="C622" s="47" t="s">
        <v>4</v>
      </c>
    </row>
    <row r="623" spans="1:3">
      <c r="A623" t="s">
        <v>922</v>
      </c>
      <c r="B623">
        <v>5</v>
      </c>
      <c r="C623" s="47" t="s">
        <v>4</v>
      </c>
    </row>
    <row r="624" spans="1:3">
      <c r="A624" t="s">
        <v>924</v>
      </c>
      <c r="B624">
        <v>6</v>
      </c>
      <c r="C624" s="47" t="s">
        <v>4</v>
      </c>
    </row>
    <row r="625" spans="1:3">
      <c r="A625" t="s">
        <v>923</v>
      </c>
      <c r="B625">
        <v>2</v>
      </c>
      <c r="C625" s="47" t="s">
        <v>4</v>
      </c>
    </row>
    <row r="626" spans="1:3">
      <c r="A626" t="s">
        <v>920</v>
      </c>
      <c r="B626">
        <v>15</v>
      </c>
      <c r="C626" s="47" t="s">
        <v>4</v>
      </c>
    </row>
    <row r="627" spans="1:3">
      <c r="A627" t="s">
        <v>928</v>
      </c>
      <c r="B627">
        <v>30</v>
      </c>
      <c r="C627" s="47" t="s">
        <v>4</v>
      </c>
    </row>
    <row r="628" spans="1:3">
      <c r="A628" t="s">
        <v>929</v>
      </c>
      <c r="B628">
        <v>10</v>
      </c>
      <c r="C628" s="47" t="s">
        <v>4</v>
      </c>
    </row>
    <row r="629" spans="1:3">
      <c r="A629" t="s">
        <v>930</v>
      </c>
      <c r="B629">
        <v>2</v>
      </c>
      <c r="C629" s="47" t="s">
        <v>4</v>
      </c>
    </row>
    <row r="630" spans="1:3">
      <c r="A630" t="s">
        <v>926</v>
      </c>
      <c r="B630">
        <v>1</v>
      </c>
      <c r="C630" s="47" t="s">
        <v>4</v>
      </c>
    </row>
    <row r="631" spans="1:3">
      <c r="A631" t="s">
        <v>931</v>
      </c>
      <c r="B631">
        <v>7</v>
      </c>
      <c r="C631" s="47" t="s">
        <v>4</v>
      </c>
    </row>
    <row r="632" spans="1:3">
      <c r="A632" t="s">
        <v>933</v>
      </c>
      <c r="B632">
        <v>1</v>
      </c>
      <c r="C632" s="47" t="s">
        <v>4</v>
      </c>
    </row>
    <row r="633" spans="1:3">
      <c r="A633" t="s">
        <v>934</v>
      </c>
      <c r="B633">
        <v>4</v>
      </c>
      <c r="C633" s="47" t="s">
        <v>4</v>
      </c>
    </row>
    <row r="634" spans="1:3">
      <c r="A634" t="s">
        <v>932</v>
      </c>
      <c r="B634">
        <v>2</v>
      </c>
      <c r="C634" s="47" t="s">
        <v>4</v>
      </c>
    </row>
    <row r="635" spans="1:3">
      <c r="A635" s="31" t="s">
        <v>921</v>
      </c>
      <c r="B635" s="35">
        <v>9</v>
      </c>
      <c r="C635" s="47" t="s">
        <v>4</v>
      </c>
    </row>
    <row r="636" spans="1:3">
      <c r="A636" t="s">
        <v>935</v>
      </c>
      <c r="B636">
        <v>5</v>
      </c>
      <c r="C636" t="s">
        <v>4</v>
      </c>
    </row>
    <row r="637" spans="1:3">
      <c r="A637" t="s">
        <v>938</v>
      </c>
      <c r="B637">
        <v>1</v>
      </c>
      <c r="C637" s="49" t="s">
        <v>4</v>
      </c>
    </row>
    <row r="638" spans="1:3">
      <c r="A638" t="s">
        <v>937</v>
      </c>
      <c r="B638">
        <v>12</v>
      </c>
      <c r="C638" s="49" t="s">
        <v>4</v>
      </c>
    </row>
    <row r="639" spans="1:3">
      <c r="A639" s="49" t="s">
        <v>936</v>
      </c>
      <c r="B639">
        <v>14</v>
      </c>
      <c r="C639" s="49" t="s">
        <v>4</v>
      </c>
    </row>
    <row r="640" spans="1:3">
      <c r="A640" t="s">
        <v>939</v>
      </c>
      <c r="B640">
        <v>29</v>
      </c>
      <c r="C640" s="49" t="s">
        <v>4</v>
      </c>
    </row>
    <row r="641" spans="1:3">
      <c r="A641" t="s">
        <v>940</v>
      </c>
      <c r="B641">
        <v>24</v>
      </c>
      <c r="C641" s="49" t="s">
        <v>4</v>
      </c>
    </row>
    <row r="642" spans="1:3">
      <c r="A642" t="s">
        <v>942</v>
      </c>
      <c r="B642">
        <v>1</v>
      </c>
      <c r="C642" s="49" t="s">
        <v>4</v>
      </c>
    </row>
    <row r="643" spans="1:3">
      <c r="A643" t="s">
        <v>943</v>
      </c>
      <c r="B643">
        <v>1</v>
      </c>
      <c r="C643" s="49" t="s">
        <v>4</v>
      </c>
    </row>
    <row r="644" spans="1:3">
      <c r="A644" t="s">
        <v>950</v>
      </c>
      <c r="B644">
        <v>7</v>
      </c>
      <c r="C644" s="49" t="s">
        <v>4</v>
      </c>
    </row>
    <row r="645" spans="1:3">
      <c r="A645" t="s">
        <v>941</v>
      </c>
      <c r="B645">
        <v>4</v>
      </c>
      <c r="C645" s="49" t="s">
        <v>4</v>
      </c>
    </row>
    <row r="646" spans="1:3">
      <c r="A646" t="s">
        <v>944</v>
      </c>
      <c r="B646">
        <v>11</v>
      </c>
      <c r="C646" t="s">
        <v>4</v>
      </c>
    </row>
    <row r="647" spans="1:3">
      <c r="A647" t="s">
        <v>945</v>
      </c>
      <c r="B647">
        <v>11</v>
      </c>
      <c r="C647" t="s">
        <v>4</v>
      </c>
    </row>
    <row r="648" spans="1:3">
      <c r="A648" t="s">
        <v>947</v>
      </c>
      <c r="B648">
        <v>19</v>
      </c>
      <c r="C648" t="s">
        <v>4</v>
      </c>
    </row>
    <row r="649" spans="1:3">
      <c r="A649" t="s">
        <v>949</v>
      </c>
      <c r="B649">
        <v>2</v>
      </c>
      <c r="C649" t="s">
        <v>4</v>
      </c>
    </row>
    <row r="650" spans="1:3">
      <c r="A650" t="s">
        <v>948</v>
      </c>
      <c r="B650">
        <v>1</v>
      </c>
      <c r="C650" t="s">
        <v>4</v>
      </c>
    </row>
    <row r="651" spans="1:3">
      <c r="A651" t="s">
        <v>951</v>
      </c>
      <c r="B651">
        <v>1</v>
      </c>
      <c r="C651" s="49" t="s">
        <v>4</v>
      </c>
    </row>
    <row r="652" spans="1:3">
      <c r="A652" t="s">
        <v>952</v>
      </c>
      <c r="B652">
        <v>11</v>
      </c>
      <c r="C652" s="49" t="s">
        <v>4</v>
      </c>
    </row>
    <row r="653" spans="1:3">
      <c r="A653" t="s">
        <v>954</v>
      </c>
      <c r="B653">
        <v>3</v>
      </c>
      <c r="C653" s="49" t="s">
        <v>4</v>
      </c>
    </row>
    <row r="654" spans="1:3">
      <c r="A654" t="s">
        <v>959</v>
      </c>
      <c r="B654">
        <v>4</v>
      </c>
      <c r="C654" s="49" t="s">
        <v>4</v>
      </c>
    </row>
    <row r="655" spans="1:3">
      <c r="A655" t="s">
        <v>960</v>
      </c>
      <c r="B655">
        <v>46</v>
      </c>
      <c r="C655" s="49" t="s">
        <v>4</v>
      </c>
    </row>
    <row r="656" spans="1:3">
      <c r="A656" t="s">
        <v>957</v>
      </c>
      <c r="B656">
        <v>3</v>
      </c>
      <c r="C656" s="49" t="s">
        <v>4</v>
      </c>
    </row>
    <row r="657" spans="1:3">
      <c r="A657" t="s">
        <v>958</v>
      </c>
      <c r="B657">
        <v>1</v>
      </c>
      <c r="C657" s="49" t="s">
        <v>4</v>
      </c>
    </row>
    <row r="658" spans="1:3">
      <c r="A658" t="s">
        <v>961</v>
      </c>
      <c r="B658">
        <v>1</v>
      </c>
      <c r="C658" s="49" t="s">
        <v>4</v>
      </c>
    </row>
    <row r="659" spans="1:3">
      <c r="A659" t="s">
        <v>962</v>
      </c>
      <c r="B659">
        <v>53</v>
      </c>
      <c r="C659" s="49" t="s">
        <v>4</v>
      </c>
    </row>
    <row r="660" spans="1:3">
      <c r="A660" t="s">
        <v>956</v>
      </c>
      <c r="B660">
        <v>9</v>
      </c>
      <c r="C660" s="49" t="s">
        <v>4</v>
      </c>
    </row>
    <row r="661" spans="1:3">
      <c r="A661" t="s">
        <v>963</v>
      </c>
      <c r="B661">
        <v>9</v>
      </c>
      <c r="C661" s="49" t="s">
        <v>4</v>
      </c>
    </row>
    <row r="662" spans="1:3">
      <c r="A662" t="s">
        <v>953</v>
      </c>
      <c r="B662">
        <v>64</v>
      </c>
      <c r="C662" s="49" t="s">
        <v>4</v>
      </c>
    </row>
    <row r="663" spans="1:3">
      <c r="A663" t="s">
        <v>964</v>
      </c>
      <c r="B663">
        <v>7</v>
      </c>
      <c r="C663" s="49" t="s">
        <v>4</v>
      </c>
    </row>
    <row r="664" spans="1:3">
      <c r="A664" t="s">
        <v>971</v>
      </c>
      <c r="B664">
        <v>6</v>
      </c>
      <c r="C664" s="50" t="s">
        <v>4</v>
      </c>
    </row>
    <row r="665" spans="1:3">
      <c r="A665" t="s">
        <v>973</v>
      </c>
      <c r="B665">
        <v>5</v>
      </c>
      <c r="C665" s="50" t="s">
        <v>4</v>
      </c>
    </row>
    <row r="666" spans="1:3">
      <c r="A666" t="s">
        <v>974</v>
      </c>
      <c r="B666">
        <v>1</v>
      </c>
      <c r="C666" s="50" t="s">
        <v>4</v>
      </c>
    </row>
    <row r="667" spans="1:3">
      <c r="A667" t="s">
        <v>969</v>
      </c>
      <c r="B667">
        <v>3</v>
      </c>
      <c r="C667" s="50" t="s">
        <v>4</v>
      </c>
    </row>
    <row r="668" spans="1:3">
      <c r="A668" t="s">
        <v>970</v>
      </c>
      <c r="B668">
        <v>1</v>
      </c>
      <c r="C668" s="50" t="s">
        <v>4</v>
      </c>
    </row>
    <row r="669" spans="1:3">
      <c r="A669" t="s">
        <v>976</v>
      </c>
      <c r="B669">
        <v>1</v>
      </c>
      <c r="C669" s="50" t="s">
        <v>4</v>
      </c>
    </row>
    <row r="670" spans="1:3">
      <c r="A670" t="s">
        <v>978</v>
      </c>
      <c r="B670">
        <v>16</v>
      </c>
      <c r="C670" s="50" t="s">
        <v>4</v>
      </c>
    </row>
    <row r="671" spans="1:3">
      <c r="A671" t="s">
        <v>967</v>
      </c>
      <c r="B671">
        <v>5</v>
      </c>
      <c r="C671" s="50" t="s">
        <v>4</v>
      </c>
    </row>
    <row r="672" spans="1:3">
      <c r="A672" t="s">
        <v>968</v>
      </c>
      <c r="B672">
        <v>64</v>
      </c>
      <c r="C672" s="50" t="s">
        <v>4</v>
      </c>
    </row>
    <row r="673" spans="1:3">
      <c r="A673" t="s">
        <v>975</v>
      </c>
      <c r="B673">
        <v>4</v>
      </c>
      <c r="C673" s="50" t="s">
        <v>4</v>
      </c>
    </row>
    <row r="674" spans="1:3">
      <c r="A674" t="s">
        <v>979</v>
      </c>
      <c r="B674">
        <v>5</v>
      </c>
      <c r="C674" s="50" t="s">
        <v>4</v>
      </c>
    </row>
    <row r="675" spans="1:3">
      <c r="A675" t="s">
        <v>980</v>
      </c>
      <c r="B675">
        <v>56</v>
      </c>
      <c r="C675" s="51" t="s">
        <v>4</v>
      </c>
    </row>
    <row r="676" spans="1:3">
      <c r="A676" t="s">
        <v>983</v>
      </c>
      <c r="B676">
        <v>17</v>
      </c>
      <c r="C676" s="51" t="s">
        <v>4</v>
      </c>
    </row>
    <row r="677" spans="1:3">
      <c r="A677" t="s">
        <v>984</v>
      </c>
      <c r="B677">
        <v>457</v>
      </c>
      <c r="C677" s="51" t="s">
        <v>4</v>
      </c>
    </row>
    <row r="678" spans="1:3">
      <c r="A678" t="s">
        <v>988</v>
      </c>
      <c r="B678">
        <v>3</v>
      </c>
      <c r="C678" s="51" t="s">
        <v>4</v>
      </c>
    </row>
    <row r="679" spans="1:3">
      <c r="A679" t="s">
        <v>989</v>
      </c>
      <c r="B679">
        <v>1</v>
      </c>
      <c r="C679" s="51" t="s">
        <v>4</v>
      </c>
    </row>
    <row r="680" spans="1:3">
      <c r="A680" t="s">
        <v>990</v>
      </c>
      <c r="B680">
        <v>1</v>
      </c>
      <c r="C680" s="51" t="s">
        <v>4</v>
      </c>
    </row>
    <row r="681" spans="1:3">
      <c r="A681" t="s">
        <v>965</v>
      </c>
      <c r="B681">
        <v>66</v>
      </c>
      <c r="C681" s="51" t="s">
        <v>4</v>
      </c>
    </row>
    <row r="682" spans="1:3">
      <c r="A682" s="31" t="s">
        <v>987</v>
      </c>
      <c r="B682" s="35">
        <v>64</v>
      </c>
      <c r="C682" s="51" t="s">
        <v>4</v>
      </c>
    </row>
    <row r="683" spans="1:3">
      <c r="A683" t="s">
        <v>981</v>
      </c>
      <c r="B683">
        <v>4</v>
      </c>
      <c r="C683" s="51" t="s">
        <v>4</v>
      </c>
    </row>
    <row r="684" spans="1:3">
      <c r="A684" t="s">
        <v>982</v>
      </c>
      <c r="B684">
        <v>3</v>
      </c>
      <c r="C684" s="51" t="s">
        <v>4</v>
      </c>
    </row>
    <row r="685" spans="1:3">
      <c r="A685" t="s">
        <v>986</v>
      </c>
      <c r="B685">
        <v>6</v>
      </c>
      <c r="C685" s="51" t="s">
        <v>4</v>
      </c>
    </row>
    <row r="686" spans="1:3">
      <c r="A686" t="s">
        <v>985</v>
      </c>
      <c r="B686">
        <v>4</v>
      </c>
      <c r="C686" s="51" t="s">
        <v>4</v>
      </c>
    </row>
    <row r="687" spans="1:3">
      <c r="A687" t="s">
        <v>995</v>
      </c>
      <c r="B687">
        <v>13</v>
      </c>
      <c r="C687" s="51" t="s">
        <v>4</v>
      </c>
    </row>
    <row r="688" spans="1:3">
      <c r="A688" t="s">
        <v>996</v>
      </c>
      <c r="B688">
        <v>24</v>
      </c>
      <c r="C688" s="51" t="s">
        <v>4</v>
      </c>
    </row>
    <row r="689" spans="1:3">
      <c r="A689" t="s">
        <v>997</v>
      </c>
      <c r="B689">
        <v>1</v>
      </c>
      <c r="C689" s="51" t="s">
        <v>4</v>
      </c>
    </row>
    <row r="690" spans="1:3">
      <c r="A690" t="s">
        <v>992</v>
      </c>
      <c r="B690">
        <v>3</v>
      </c>
      <c r="C690" s="52" t="s">
        <v>4</v>
      </c>
    </row>
    <row r="691" spans="1:3">
      <c r="A691" t="s">
        <v>993</v>
      </c>
      <c r="B691">
        <v>1</v>
      </c>
      <c r="C691" s="52" t="s">
        <v>4</v>
      </c>
    </row>
    <row r="692" spans="1:3">
      <c r="A692" t="s">
        <v>994</v>
      </c>
      <c r="B692">
        <v>13</v>
      </c>
      <c r="C692" s="52" t="s">
        <v>4</v>
      </c>
    </row>
    <row r="693" spans="1:3">
      <c r="A693" t="s">
        <v>998</v>
      </c>
      <c r="B693">
        <v>264</v>
      </c>
      <c r="C693" s="52" t="s">
        <v>4</v>
      </c>
    </row>
    <row r="694" spans="1:3">
      <c r="A694" t="s">
        <v>999</v>
      </c>
      <c r="B694">
        <v>8</v>
      </c>
      <c r="C694" s="52" t="s">
        <v>4</v>
      </c>
    </row>
    <row r="695" spans="1:3">
      <c r="A695" t="s">
        <v>1000</v>
      </c>
      <c r="B695">
        <v>5</v>
      </c>
      <c r="C695" s="52" t="s">
        <v>4</v>
      </c>
    </row>
    <row r="696" spans="1:3">
      <c r="A696" t="s">
        <v>1006</v>
      </c>
      <c r="B696">
        <v>9</v>
      </c>
      <c r="C696" t="s">
        <v>4</v>
      </c>
    </row>
    <row r="697" spans="1:3">
      <c r="A697" t="s">
        <v>1007</v>
      </c>
      <c r="B697">
        <v>8</v>
      </c>
      <c r="C697" t="s">
        <v>4</v>
      </c>
    </row>
    <row r="698" spans="1:3">
      <c r="A698" t="s">
        <v>1008</v>
      </c>
      <c r="B698">
        <v>1</v>
      </c>
      <c r="C698" t="s">
        <v>4</v>
      </c>
    </row>
    <row r="699" spans="1:3">
      <c r="A699" t="s">
        <v>1005</v>
      </c>
      <c r="B699">
        <v>6</v>
      </c>
      <c r="C699" t="s">
        <v>4</v>
      </c>
    </row>
    <row r="700" spans="1:3">
      <c r="A700" t="s">
        <v>1009</v>
      </c>
      <c r="B700">
        <v>1</v>
      </c>
      <c r="C700" t="s">
        <v>4</v>
      </c>
    </row>
    <row r="701" spans="1:3">
      <c r="A701" t="s">
        <v>1010</v>
      </c>
      <c r="B701">
        <v>1</v>
      </c>
      <c r="C701" t="s">
        <v>4</v>
      </c>
    </row>
    <row r="702" spans="1:3">
      <c r="A702" t="s">
        <v>1011</v>
      </c>
      <c r="B702">
        <v>32</v>
      </c>
      <c r="C702" t="s">
        <v>4</v>
      </c>
    </row>
    <row r="703" spans="1:3">
      <c r="A703" t="s">
        <v>1014</v>
      </c>
      <c r="B703">
        <v>46</v>
      </c>
      <c r="C703" t="s">
        <v>4</v>
      </c>
    </row>
    <row r="704" spans="1:3">
      <c r="A704" t="s">
        <v>1003</v>
      </c>
      <c r="B704">
        <v>3</v>
      </c>
      <c r="C704" s="53" t="s">
        <v>4</v>
      </c>
    </row>
    <row r="705" spans="1:3">
      <c r="A705" t="s">
        <v>1004</v>
      </c>
      <c r="B705">
        <v>17</v>
      </c>
      <c r="C705" s="53" t="s">
        <v>4</v>
      </c>
    </row>
    <row r="706" spans="1:3">
      <c r="A706" t="s">
        <v>1015</v>
      </c>
      <c r="B706">
        <v>396</v>
      </c>
      <c r="C706" s="53" t="s">
        <v>4</v>
      </c>
    </row>
    <row r="707" spans="1:3">
      <c r="A707" t="s">
        <v>1017</v>
      </c>
      <c r="B707">
        <v>2</v>
      </c>
      <c r="C707" s="53" t="s">
        <v>4</v>
      </c>
    </row>
    <row r="708" spans="1:3">
      <c r="A708" t="s">
        <v>1025</v>
      </c>
      <c r="B708">
        <v>223</v>
      </c>
      <c r="C708" s="53" t="s">
        <v>4</v>
      </c>
    </row>
    <row r="709" spans="1:3">
      <c r="A709" t="s">
        <v>1030</v>
      </c>
      <c r="B709">
        <v>2</v>
      </c>
      <c r="C709" s="53" t="s">
        <v>4</v>
      </c>
    </row>
    <row r="710" spans="1:3">
      <c r="A710" t="s">
        <v>1002</v>
      </c>
      <c r="B710">
        <v>1</v>
      </c>
      <c r="C710" s="53" t="s">
        <v>4</v>
      </c>
    </row>
    <row r="711" spans="1:3">
      <c r="A711" t="s">
        <v>1029</v>
      </c>
      <c r="B711">
        <v>5</v>
      </c>
      <c r="C711" s="53" t="s">
        <v>4</v>
      </c>
    </row>
    <row r="712" spans="1:3">
      <c r="A712" t="s">
        <v>1032</v>
      </c>
      <c r="B712">
        <v>9</v>
      </c>
      <c r="C712" s="53" t="s">
        <v>4</v>
      </c>
    </row>
    <row r="713" spans="1:3">
      <c r="A713" t="s">
        <v>1033</v>
      </c>
      <c r="B713">
        <v>14</v>
      </c>
      <c r="C713" s="53" t="s">
        <v>4</v>
      </c>
    </row>
    <row r="714" spans="1:3">
      <c r="A714" t="s">
        <v>1026</v>
      </c>
      <c r="B714">
        <v>1</v>
      </c>
      <c r="C714" s="53" t="s">
        <v>4</v>
      </c>
    </row>
    <row r="715" spans="1:3">
      <c r="A715" t="s">
        <v>1027</v>
      </c>
      <c r="B715">
        <v>1</v>
      </c>
      <c r="C715" s="53" t="s">
        <v>4</v>
      </c>
    </row>
    <row r="716" spans="1:3">
      <c r="A716" t="s">
        <v>1035</v>
      </c>
      <c r="B716">
        <v>6</v>
      </c>
      <c r="C716" s="53" t="s">
        <v>4</v>
      </c>
    </row>
    <row r="717" spans="1:3">
      <c r="A717" t="s">
        <v>1043</v>
      </c>
      <c r="B717">
        <v>1</v>
      </c>
      <c r="C717" t="s">
        <v>4</v>
      </c>
    </row>
    <row r="718" spans="1:3">
      <c r="A718" t="s">
        <v>1037</v>
      </c>
      <c r="B718">
        <v>1</v>
      </c>
      <c r="C718" t="s">
        <v>4</v>
      </c>
    </row>
    <row r="719" spans="1:3">
      <c r="A719" t="s">
        <v>1039</v>
      </c>
      <c r="B719">
        <v>20</v>
      </c>
      <c r="C719" t="s">
        <v>4</v>
      </c>
    </row>
    <row r="720" spans="1:3">
      <c r="A720" t="s">
        <v>1038</v>
      </c>
      <c r="B720">
        <v>13</v>
      </c>
      <c r="C720" t="s">
        <v>4</v>
      </c>
    </row>
    <row r="721" spans="1:3">
      <c r="A721" t="s">
        <v>1036</v>
      </c>
      <c r="B721">
        <v>7</v>
      </c>
      <c r="C721" t="s">
        <v>4</v>
      </c>
    </row>
    <row r="722" spans="1:3">
      <c r="A722" t="s">
        <v>1045</v>
      </c>
      <c r="B722">
        <v>1</v>
      </c>
      <c r="C722" s="53" t="s">
        <v>4</v>
      </c>
    </row>
    <row r="723" spans="1:3">
      <c r="A723" t="s">
        <v>1046</v>
      </c>
      <c r="B723">
        <v>1</v>
      </c>
      <c r="C723" s="53" t="s">
        <v>4</v>
      </c>
    </row>
    <row r="724" spans="1:3">
      <c r="A724" t="s">
        <v>1047</v>
      </c>
      <c r="B724">
        <v>5</v>
      </c>
      <c r="C724" s="53" t="s">
        <v>4</v>
      </c>
    </row>
    <row r="725" spans="1:3">
      <c r="A725" t="s">
        <v>1048</v>
      </c>
      <c r="B725">
        <v>1</v>
      </c>
      <c r="C725" s="53" t="s">
        <v>4</v>
      </c>
    </row>
    <row r="726" spans="1:3">
      <c r="A726" t="s">
        <v>1049</v>
      </c>
      <c r="B726">
        <v>4</v>
      </c>
      <c r="C726" s="53" t="s">
        <v>4</v>
      </c>
    </row>
    <row r="727" spans="1:3">
      <c r="A727" t="s">
        <v>1050</v>
      </c>
      <c r="B727">
        <v>2</v>
      </c>
      <c r="C727" s="53" t="s">
        <v>4</v>
      </c>
    </row>
    <row r="728" spans="1:3">
      <c r="A728" t="s">
        <v>1054</v>
      </c>
      <c r="B728">
        <v>7</v>
      </c>
      <c r="C728" s="53" t="s">
        <v>4</v>
      </c>
    </row>
    <row r="729" spans="1:3">
      <c r="A729" t="s">
        <v>1053</v>
      </c>
      <c r="B729">
        <v>1</v>
      </c>
      <c r="C729" s="53" t="s">
        <v>4</v>
      </c>
    </row>
    <row r="730" spans="1:3">
      <c r="A730" t="s">
        <v>1055</v>
      </c>
      <c r="B730">
        <v>1</v>
      </c>
      <c r="C730" s="53" t="s">
        <v>4</v>
      </c>
    </row>
    <row r="731" spans="1:3">
      <c r="A731" t="s">
        <v>1056</v>
      </c>
      <c r="B731">
        <v>6</v>
      </c>
      <c r="C731" s="53" t="s">
        <v>4</v>
      </c>
    </row>
    <row r="732" spans="1:3">
      <c r="A732" t="s">
        <v>1016</v>
      </c>
      <c r="B732">
        <v>88</v>
      </c>
      <c r="C732" t="s">
        <v>4</v>
      </c>
    </row>
    <row r="733" spans="1:3">
      <c r="A733" t="s">
        <v>1042</v>
      </c>
      <c r="B733">
        <v>1</v>
      </c>
      <c r="C733" s="53" t="s">
        <v>4</v>
      </c>
    </row>
    <row r="734" spans="1:3">
      <c r="A734" t="s">
        <v>1057</v>
      </c>
      <c r="B734">
        <v>1</v>
      </c>
      <c r="C734" s="53" t="s">
        <v>4</v>
      </c>
    </row>
    <row r="735" spans="1:3">
      <c r="A735" t="s">
        <v>1058</v>
      </c>
      <c r="B735">
        <v>19</v>
      </c>
      <c r="C735" s="53" t="s">
        <v>4</v>
      </c>
    </row>
    <row r="736" spans="1:3">
      <c r="A736" t="s">
        <v>1060</v>
      </c>
      <c r="B736">
        <v>9</v>
      </c>
      <c r="C736" s="53" t="s">
        <v>4</v>
      </c>
    </row>
    <row r="737" spans="1:3">
      <c r="A737" t="s">
        <v>1064</v>
      </c>
      <c r="B737">
        <v>1</v>
      </c>
      <c r="C737" s="53" t="s">
        <v>4</v>
      </c>
    </row>
    <row r="738" spans="1:3">
      <c r="A738" t="s">
        <v>1063</v>
      </c>
      <c r="B738">
        <v>35</v>
      </c>
      <c r="C738" s="53" t="s">
        <v>4</v>
      </c>
    </row>
    <row r="739" spans="1:3">
      <c r="A739" t="s">
        <v>1040</v>
      </c>
      <c r="B739">
        <v>6</v>
      </c>
      <c r="C739" s="53" t="s">
        <v>4</v>
      </c>
    </row>
    <row r="740" spans="1:3">
      <c r="A740" t="s">
        <v>1041</v>
      </c>
      <c r="B740">
        <v>16</v>
      </c>
      <c r="C740" s="53" t="s">
        <v>4</v>
      </c>
    </row>
    <row r="741" spans="1:3">
      <c r="A741" t="s">
        <v>1059</v>
      </c>
      <c r="B741">
        <v>2</v>
      </c>
      <c r="C741" s="53" t="s">
        <v>4</v>
      </c>
    </row>
    <row r="742" spans="1:3">
      <c r="A742" t="s">
        <v>1061</v>
      </c>
      <c r="B742">
        <v>4</v>
      </c>
      <c r="C742" s="53" t="s">
        <v>4</v>
      </c>
    </row>
    <row r="743" spans="1:3">
      <c r="A743" t="s">
        <v>1066</v>
      </c>
      <c r="B743">
        <v>1</v>
      </c>
      <c r="C743" s="53" t="s">
        <v>4</v>
      </c>
    </row>
    <row r="744" spans="1:3">
      <c r="A744" t="s">
        <v>1067</v>
      </c>
      <c r="B744">
        <v>82</v>
      </c>
      <c r="C744" s="53" t="s">
        <v>4</v>
      </c>
    </row>
    <row r="745" spans="1:3">
      <c r="A745" t="s">
        <v>1062</v>
      </c>
      <c r="B745">
        <v>3</v>
      </c>
      <c r="C745" s="53" t="s">
        <v>4</v>
      </c>
    </row>
    <row r="746" spans="1:3">
      <c r="A746" t="s">
        <v>1069</v>
      </c>
      <c r="B746">
        <v>4</v>
      </c>
      <c r="C746" s="53" t="s">
        <v>4</v>
      </c>
    </row>
    <row r="747" spans="1:3">
      <c r="A747" t="s">
        <v>1068</v>
      </c>
      <c r="B747">
        <v>1</v>
      </c>
      <c r="C747" s="53" t="s">
        <v>4</v>
      </c>
    </row>
    <row r="748" spans="1:3">
      <c r="A748" t="s">
        <v>1070</v>
      </c>
      <c r="B748">
        <v>1</v>
      </c>
      <c r="C748" s="53" t="s">
        <v>4</v>
      </c>
    </row>
    <row r="749" spans="1:3">
      <c r="A749" t="s">
        <v>1073</v>
      </c>
      <c r="B749">
        <v>5</v>
      </c>
      <c r="C749" s="53" t="s">
        <v>4</v>
      </c>
    </row>
    <row r="750" spans="1:3">
      <c r="A750" t="s">
        <v>1072</v>
      </c>
      <c r="B750">
        <v>1</v>
      </c>
      <c r="C750" s="53" t="s">
        <v>4</v>
      </c>
    </row>
    <row r="751" spans="1:3">
      <c r="A751" t="s">
        <v>1071</v>
      </c>
      <c r="B751">
        <v>4</v>
      </c>
      <c r="C751" s="53" t="s">
        <v>4</v>
      </c>
    </row>
    <row r="752" spans="1:3">
      <c r="A752" t="s">
        <v>1074</v>
      </c>
      <c r="B752">
        <v>1</v>
      </c>
      <c r="C752" s="53" t="s">
        <v>4</v>
      </c>
    </row>
    <row r="753" spans="1:3">
      <c r="A753" t="s">
        <v>1079</v>
      </c>
      <c r="B753">
        <v>35</v>
      </c>
      <c r="C753" s="53" t="s">
        <v>4</v>
      </c>
    </row>
    <row r="754" spans="1:3">
      <c r="A754" t="s">
        <v>1065</v>
      </c>
      <c r="B754">
        <v>4</v>
      </c>
      <c r="C754" s="53" t="s">
        <v>4</v>
      </c>
    </row>
    <row r="755" spans="1:3">
      <c r="A755" t="s">
        <v>1077</v>
      </c>
      <c r="B755">
        <v>6</v>
      </c>
      <c r="C755" s="53" t="s">
        <v>4</v>
      </c>
    </row>
    <row r="756" spans="1:3">
      <c r="A756" t="s">
        <v>1078</v>
      </c>
      <c r="B756">
        <v>1</v>
      </c>
      <c r="C756" s="53" t="s">
        <v>4</v>
      </c>
    </row>
    <row r="757" spans="1:3">
      <c r="A757" t="s">
        <v>1080</v>
      </c>
      <c r="B757">
        <v>4</v>
      </c>
      <c r="C757" s="53" t="s">
        <v>4</v>
      </c>
    </row>
    <row r="758" spans="1:3">
      <c r="A758" t="s">
        <v>1081</v>
      </c>
      <c r="B758">
        <v>2</v>
      </c>
      <c r="C758" s="53" t="s">
        <v>4</v>
      </c>
    </row>
    <row r="759" spans="1:3">
      <c r="A759" t="s">
        <v>1082</v>
      </c>
      <c r="B759">
        <v>1</v>
      </c>
      <c r="C759" s="53" t="s">
        <v>4</v>
      </c>
    </row>
    <row r="760" spans="1:3">
      <c r="A760" t="s">
        <v>1083</v>
      </c>
      <c r="B760">
        <v>1</v>
      </c>
      <c r="C760" s="53" t="s">
        <v>4</v>
      </c>
    </row>
    <row r="761" spans="1:3">
      <c r="A761" t="s">
        <v>1075</v>
      </c>
      <c r="B761">
        <v>7</v>
      </c>
      <c r="C761" t="s">
        <v>4</v>
      </c>
    </row>
    <row r="762" spans="1:3">
      <c r="A762" t="s">
        <v>1084</v>
      </c>
      <c r="B762">
        <v>2</v>
      </c>
      <c r="C762" t="s">
        <v>4</v>
      </c>
    </row>
    <row r="763" spans="1:3">
      <c r="A763" t="s">
        <v>1085</v>
      </c>
      <c r="B763">
        <v>1</v>
      </c>
      <c r="C763" t="s">
        <v>4</v>
      </c>
    </row>
    <row r="764" spans="1:3">
      <c r="A764" t="s">
        <v>1086</v>
      </c>
      <c r="B764">
        <v>8</v>
      </c>
      <c r="C764" s="53" t="s">
        <v>4</v>
      </c>
    </row>
    <row r="765" spans="1:3">
      <c r="A765" t="s">
        <v>1088</v>
      </c>
      <c r="B765">
        <v>1</v>
      </c>
      <c r="C765" s="53" t="s">
        <v>4</v>
      </c>
    </row>
    <row r="766" spans="1:3">
      <c r="A766" t="s">
        <v>1089</v>
      </c>
      <c r="B766">
        <v>4</v>
      </c>
      <c r="C766" s="53" t="s">
        <v>4</v>
      </c>
    </row>
    <row r="767" spans="1:3">
      <c r="A767" t="s">
        <v>1091</v>
      </c>
      <c r="B767">
        <v>9</v>
      </c>
      <c r="C767" s="53" t="s">
        <v>4</v>
      </c>
    </row>
    <row r="768" spans="1:3">
      <c r="A768" t="s">
        <v>1092</v>
      </c>
      <c r="B768">
        <v>2</v>
      </c>
      <c r="C768" s="53" t="s">
        <v>4</v>
      </c>
    </row>
    <row r="769" spans="1:3">
      <c r="A769" t="s">
        <v>1093</v>
      </c>
      <c r="B769">
        <v>18</v>
      </c>
      <c r="C769" s="53" t="s">
        <v>4</v>
      </c>
    </row>
    <row r="770" spans="1:3">
      <c r="A770" t="s">
        <v>1094</v>
      </c>
      <c r="B770">
        <v>1</v>
      </c>
      <c r="C770" s="53" t="s">
        <v>4</v>
      </c>
    </row>
    <row r="771" spans="1:3">
      <c r="A771" t="s">
        <v>1095</v>
      </c>
      <c r="B771">
        <v>2</v>
      </c>
      <c r="C771" s="53" t="s">
        <v>4</v>
      </c>
    </row>
    <row r="772" spans="1:3">
      <c r="A772" t="s">
        <v>1096</v>
      </c>
      <c r="B772">
        <v>7</v>
      </c>
      <c r="C772" s="53" t="s">
        <v>4</v>
      </c>
    </row>
    <row r="773" spans="1:3">
      <c r="A773" t="s">
        <v>1097</v>
      </c>
      <c r="B773">
        <v>6</v>
      </c>
      <c r="C773" s="53" t="s">
        <v>4</v>
      </c>
    </row>
    <row r="774" spans="1:3">
      <c r="A774" t="s">
        <v>1098</v>
      </c>
      <c r="B774">
        <v>2</v>
      </c>
      <c r="C774" s="53" t="s">
        <v>4</v>
      </c>
    </row>
    <row r="775" spans="1:3">
      <c r="A775" t="s">
        <v>1099</v>
      </c>
      <c r="B775">
        <v>3</v>
      </c>
      <c r="C775" s="55" t="s">
        <v>4</v>
      </c>
    </row>
    <row r="776" spans="1:3">
      <c r="A776" t="s">
        <v>1104</v>
      </c>
      <c r="B776">
        <v>2</v>
      </c>
      <c r="C776" s="55" t="s">
        <v>4</v>
      </c>
    </row>
    <row r="777" spans="1:3">
      <c r="A777" t="s">
        <v>1101</v>
      </c>
      <c r="B777">
        <v>25</v>
      </c>
      <c r="C777" s="55" t="s">
        <v>4</v>
      </c>
    </row>
    <row r="778" spans="1:3">
      <c r="A778" t="s">
        <v>1102</v>
      </c>
      <c r="B778">
        <v>1</v>
      </c>
      <c r="C778" s="55" t="s">
        <v>4</v>
      </c>
    </row>
    <row r="779" spans="1:3">
      <c r="A779" t="s">
        <v>1103</v>
      </c>
      <c r="B779">
        <v>1</v>
      </c>
      <c r="C779" s="55" t="s">
        <v>4</v>
      </c>
    </row>
    <row r="780" spans="1:3">
      <c r="A780" t="s">
        <v>1107</v>
      </c>
      <c r="B780">
        <v>10</v>
      </c>
      <c r="C780" s="55" t="s">
        <v>4</v>
      </c>
    </row>
    <row r="781" spans="1:3">
      <c r="A781" t="s">
        <v>1106</v>
      </c>
      <c r="B781">
        <v>27</v>
      </c>
      <c r="C781" s="55" t="s">
        <v>4</v>
      </c>
    </row>
    <row r="782" spans="1:3">
      <c r="A782" t="s">
        <v>1109</v>
      </c>
      <c r="B782">
        <v>1</v>
      </c>
      <c r="C782" s="55" t="s">
        <v>4</v>
      </c>
    </row>
    <row r="783" spans="1:3">
      <c r="A783" t="s">
        <v>1087</v>
      </c>
      <c r="B783">
        <v>4</v>
      </c>
      <c r="C783" s="55" t="s">
        <v>4</v>
      </c>
    </row>
    <row r="784" spans="1:3">
      <c r="A784" t="s">
        <v>1110</v>
      </c>
      <c r="B784">
        <v>2</v>
      </c>
      <c r="C784" s="55" t="s">
        <v>4</v>
      </c>
    </row>
    <row r="785" spans="1:3">
      <c r="A785" t="s">
        <v>1113</v>
      </c>
      <c r="B785">
        <v>3</v>
      </c>
      <c r="C785" s="55" t="s">
        <v>4</v>
      </c>
    </row>
    <row r="786" spans="1:3">
      <c r="A786" t="s">
        <v>1108</v>
      </c>
      <c r="B786">
        <v>3</v>
      </c>
      <c r="C786" s="55" t="s">
        <v>4</v>
      </c>
    </row>
    <row r="787" spans="1:3">
      <c r="A787" t="s">
        <v>1112</v>
      </c>
      <c r="B787">
        <v>4</v>
      </c>
      <c r="C787" s="55" t="s">
        <v>4</v>
      </c>
    </row>
    <row r="788" spans="1:3">
      <c r="A788" t="s">
        <v>1114</v>
      </c>
      <c r="B788">
        <v>33</v>
      </c>
      <c r="C788" s="55" t="s">
        <v>4</v>
      </c>
    </row>
    <row r="789" spans="1:3">
      <c r="A789" t="s">
        <v>1115</v>
      </c>
      <c r="B789">
        <v>30</v>
      </c>
      <c r="C789" s="55" t="s">
        <v>4</v>
      </c>
    </row>
    <row r="790" spans="1:3">
      <c r="A790" t="s">
        <v>1116</v>
      </c>
      <c r="B790">
        <v>2</v>
      </c>
      <c r="C790" s="55" t="s">
        <v>4</v>
      </c>
    </row>
    <row r="791" spans="1:3">
      <c r="A791" t="s">
        <v>1117</v>
      </c>
      <c r="B791">
        <v>36</v>
      </c>
      <c r="C791" s="55" t="s">
        <v>4</v>
      </c>
    </row>
    <row r="792" spans="1:3">
      <c r="A792" t="s">
        <v>1118</v>
      </c>
      <c r="B792">
        <v>7</v>
      </c>
      <c r="C792" s="55" t="s">
        <v>4</v>
      </c>
    </row>
    <row r="793" spans="1:3">
      <c r="A793" t="s">
        <v>1123</v>
      </c>
      <c r="B793">
        <v>1</v>
      </c>
      <c r="C793" s="55" t="s">
        <v>4</v>
      </c>
    </row>
    <row r="794" spans="1:3">
      <c r="A794" t="s">
        <v>1119</v>
      </c>
      <c r="B794">
        <v>3</v>
      </c>
      <c r="C794" s="55" t="s">
        <v>4</v>
      </c>
    </row>
    <row r="795" spans="1:3">
      <c r="A795" t="s">
        <v>1111</v>
      </c>
      <c r="B795">
        <v>21</v>
      </c>
      <c r="C795" s="55" t="s">
        <v>4</v>
      </c>
    </row>
    <row r="796" spans="1:3">
      <c r="A796" t="s">
        <v>1120</v>
      </c>
      <c r="B796">
        <v>17</v>
      </c>
      <c r="C796" s="55" t="s">
        <v>4</v>
      </c>
    </row>
    <row r="797" spans="1:3">
      <c r="A797" t="s">
        <v>1121</v>
      </c>
      <c r="B797">
        <v>7</v>
      </c>
      <c r="C797" s="55" t="s">
        <v>4</v>
      </c>
    </row>
    <row r="798" spans="1:3">
      <c r="A798" t="s">
        <v>1122</v>
      </c>
      <c r="B798">
        <v>1</v>
      </c>
      <c r="C798" s="55" t="s">
        <v>4</v>
      </c>
    </row>
    <row r="799" spans="1:3">
      <c r="A799" t="s">
        <v>1124</v>
      </c>
      <c r="B799">
        <v>21</v>
      </c>
      <c r="C799" s="55" t="s">
        <v>4</v>
      </c>
    </row>
    <row r="800" spans="1:3">
      <c r="A800" t="s">
        <v>1125</v>
      </c>
      <c r="B800">
        <v>7</v>
      </c>
      <c r="C800" s="55" t="s">
        <v>4</v>
      </c>
    </row>
    <row r="801" spans="1:3">
      <c r="A801" t="s">
        <v>1126</v>
      </c>
      <c r="B801">
        <v>1</v>
      </c>
      <c r="C801" s="55" t="s">
        <v>4</v>
      </c>
    </row>
    <row r="802" spans="1:3">
      <c r="A802" t="s">
        <v>1128</v>
      </c>
      <c r="B802">
        <v>1</v>
      </c>
      <c r="C802" s="55" t="s">
        <v>4</v>
      </c>
    </row>
    <row r="803" spans="1:3">
      <c r="A803" t="s">
        <v>1129</v>
      </c>
      <c r="B803">
        <v>27</v>
      </c>
      <c r="C803" s="55" t="s">
        <v>4</v>
      </c>
    </row>
    <row r="804" spans="1:3">
      <c r="A804" t="s">
        <v>1127</v>
      </c>
      <c r="B804">
        <v>1</v>
      </c>
      <c r="C804" s="55" t="s">
        <v>4</v>
      </c>
    </row>
    <row r="805" spans="1:3">
      <c r="A805" t="s">
        <v>1130</v>
      </c>
      <c r="B805">
        <v>26</v>
      </c>
      <c r="C805" s="55" t="s">
        <v>4</v>
      </c>
    </row>
    <row r="806" spans="1:3">
      <c r="A806" t="s">
        <v>1134</v>
      </c>
      <c r="B806">
        <v>13</v>
      </c>
      <c r="C806" s="55" t="s">
        <v>4</v>
      </c>
    </row>
    <row r="807" spans="1:3">
      <c r="A807" t="s">
        <v>1131</v>
      </c>
      <c r="B807">
        <v>2</v>
      </c>
      <c r="C807" s="56" t="s">
        <v>4</v>
      </c>
    </row>
    <row r="808" spans="1:3">
      <c r="A808" t="s">
        <v>1133</v>
      </c>
      <c r="B808">
        <v>6</v>
      </c>
      <c r="C808" s="56" t="s">
        <v>4</v>
      </c>
    </row>
    <row r="809" spans="1:3">
      <c r="A809" t="s">
        <v>1136</v>
      </c>
      <c r="B809">
        <v>6</v>
      </c>
      <c r="C809" s="56" t="s">
        <v>4</v>
      </c>
    </row>
    <row r="810" spans="1:3">
      <c r="A810" t="s">
        <v>1139</v>
      </c>
      <c r="B810">
        <v>1</v>
      </c>
      <c r="C810" s="56" t="s">
        <v>4</v>
      </c>
    </row>
    <row r="811" spans="1:3">
      <c r="A811" s="56" t="s">
        <v>1135</v>
      </c>
      <c r="B811">
        <v>4</v>
      </c>
      <c r="C811" s="56" t="s">
        <v>4</v>
      </c>
    </row>
    <row r="812" spans="1:3">
      <c r="A812" s="56" t="s">
        <v>1137</v>
      </c>
      <c r="B812">
        <v>17</v>
      </c>
      <c r="C812" s="56" t="s">
        <v>4</v>
      </c>
    </row>
    <row r="813" spans="1:3">
      <c r="A813" s="56" t="s">
        <v>1140</v>
      </c>
      <c r="B813">
        <v>11</v>
      </c>
      <c r="C813" s="56" t="s">
        <v>4</v>
      </c>
    </row>
    <row r="814" spans="1:3">
      <c r="A814" t="s">
        <v>1141</v>
      </c>
      <c r="B814">
        <v>3</v>
      </c>
      <c r="C814" t="s">
        <v>4</v>
      </c>
    </row>
    <row r="815" spans="1:3">
      <c r="A815" t="s">
        <v>1142</v>
      </c>
      <c r="B815">
        <v>3</v>
      </c>
      <c r="C815" t="s">
        <v>4</v>
      </c>
    </row>
    <row r="816" spans="1:3">
      <c r="A816" t="s">
        <v>1146</v>
      </c>
      <c r="B816">
        <v>30</v>
      </c>
      <c r="C816" s="56" t="s">
        <v>4</v>
      </c>
    </row>
    <row r="817" spans="1:3">
      <c r="A817" t="s">
        <v>1148</v>
      </c>
      <c r="B817">
        <v>23</v>
      </c>
      <c r="C817" s="56" t="s">
        <v>4</v>
      </c>
    </row>
    <row r="818" spans="1:3">
      <c r="A818" t="s">
        <v>1149</v>
      </c>
      <c r="B818">
        <v>12</v>
      </c>
      <c r="C818" s="56" t="s">
        <v>4</v>
      </c>
    </row>
    <row r="819" spans="1:3">
      <c r="A819" t="s">
        <v>1150</v>
      </c>
      <c r="B819">
        <v>3</v>
      </c>
      <c r="C819" s="57" t="s">
        <v>4</v>
      </c>
    </row>
    <row r="820" spans="1:3">
      <c r="A820" t="s">
        <v>1153</v>
      </c>
      <c r="B820">
        <v>1</v>
      </c>
      <c r="C820" s="57" t="s">
        <v>4</v>
      </c>
    </row>
    <row r="821" spans="1:3">
      <c r="A821" t="s">
        <v>1152</v>
      </c>
      <c r="B821">
        <v>50</v>
      </c>
      <c r="C821" s="57" t="s">
        <v>4</v>
      </c>
    </row>
    <row r="822" spans="1:3">
      <c r="A822" t="s">
        <v>1151</v>
      </c>
      <c r="B822">
        <v>13</v>
      </c>
      <c r="C822" s="57" t="s">
        <v>4</v>
      </c>
    </row>
    <row r="823" spans="1:3">
      <c r="A823" t="s">
        <v>1147</v>
      </c>
      <c r="B823">
        <v>14</v>
      </c>
      <c r="C823" s="58" t="s">
        <v>4</v>
      </c>
    </row>
    <row r="824" spans="1:3">
      <c r="A824" t="s">
        <v>1155</v>
      </c>
      <c r="B824">
        <v>1</v>
      </c>
      <c r="C824" s="58" t="s">
        <v>4</v>
      </c>
    </row>
    <row r="825" spans="1:3">
      <c r="A825" t="s">
        <v>1154</v>
      </c>
      <c r="B825">
        <v>1</v>
      </c>
      <c r="C825" s="58" t="s">
        <v>4</v>
      </c>
    </row>
    <row r="826" spans="1:3">
      <c r="A826" t="s">
        <v>1157</v>
      </c>
      <c r="B826">
        <v>3</v>
      </c>
      <c r="C826" s="59" t="s">
        <v>4</v>
      </c>
    </row>
    <row r="827" spans="1:3">
      <c r="A827" t="s">
        <v>1159</v>
      </c>
      <c r="B827">
        <v>1</v>
      </c>
      <c r="C827" s="59" t="s">
        <v>4</v>
      </c>
    </row>
    <row r="828" spans="1:3">
      <c r="A828" t="s">
        <v>1160</v>
      </c>
      <c r="B828">
        <v>4</v>
      </c>
      <c r="C828" s="59" t="s">
        <v>4</v>
      </c>
    </row>
    <row r="829" spans="1:3">
      <c r="A829" t="s">
        <v>1161</v>
      </c>
      <c r="B829">
        <v>11</v>
      </c>
      <c r="C829" s="59" t="s">
        <v>4</v>
      </c>
    </row>
    <row r="830" spans="1:3">
      <c r="A830" t="s">
        <v>1163</v>
      </c>
      <c r="B830">
        <v>3</v>
      </c>
      <c r="C830" s="59" t="s">
        <v>4</v>
      </c>
    </row>
    <row r="831" spans="1:3">
      <c r="A831" t="s">
        <v>1162</v>
      </c>
      <c r="B831">
        <v>1</v>
      </c>
      <c r="C831" s="61" t="s">
        <v>4</v>
      </c>
    </row>
    <row r="832" spans="1:3">
      <c r="A832" t="s">
        <v>1164</v>
      </c>
      <c r="B832">
        <v>1</v>
      </c>
      <c r="C832" s="61" t="s">
        <v>4</v>
      </c>
    </row>
    <row r="833" spans="1:3">
      <c r="A833" t="s">
        <v>1165</v>
      </c>
      <c r="B833">
        <v>1</v>
      </c>
      <c r="C833" s="61" t="s">
        <v>4</v>
      </c>
    </row>
    <row r="834" spans="1:3">
      <c r="A834" t="s">
        <v>1169</v>
      </c>
      <c r="B834">
        <v>6</v>
      </c>
      <c r="C834" s="61" t="s">
        <v>4</v>
      </c>
    </row>
    <row r="835" spans="1:3">
      <c r="A835" t="s">
        <v>1168</v>
      </c>
      <c r="B835">
        <v>14</v>
      </c>
      <c r="C835" s="61" t="s">
        <v>4</v>
      </c>
    </row>
    <row r="836" spans="1:3">
      <c r="A836" t="s">
        <v>1170</v>
      </c>
      <c r="B836">
        <v>2</v>
      </c>
      <c r="C836" s="61" t="s">
        <v>4</v>
      </c>
    </row>
    <row r="837" spans="1:3">
      <c r="A837" t="s">
        <v>1171</v>
      </c>
      <c r="B837">
        <v>1</v>
      </c>
      <c r="C837" s="61" t="s">
        <v>4</v>
      </c>
    </row>
    <row r="838" spans="1:3">
      <c r="A838" t="s">
        <v>1172</v>
      </c>
      <c r="B838">
        <v>3</v>
      </c>
      <c r="C838" s="61" t="s">
        <v>4</v>
      </c>
    </row>
    <row r="839" spans="1:3">
      <c r="A839" t="s">
        <v>1173</v>
      </c>
      <c r="B839">
        <v>7</v>
      </c>
      <c r="C839" s="61" t="s">
        <v>4</v>
      </c>
    </row>
    <row r="840" spans="1:3">
      <c r="A840" t="s">
        <v>1174</v>
      </c>
      <c r="B840">
        <v>10</v>
      </c>
      <c r="C840" s="61" t="s">
        <v>4</v>
      </c>
    </row>
    <row r="841" spans="1:3">
      <c r="A841" t="s">
        <v>1175</v>
      </c>
      <c r="B841">
        <v>6</v>
      </c>
      <c r="C841" s="61" t="s">
        <v>4</v>
      </c>
    </row>
    <row r="842" spans="1:3">
      <c r="A842" t="s">
        <v>1177</v>
      </c>
      <c r="B842">
        <v>1</v>
      </c>
      <c r="C842" s="61" t="s">
        <v>4</v>
      </c>
    </row>
    <row r="843" spans="1:3">
      <c r="A843" t="s">
        <v>1180</v>
      </c>
      <c r="B843">
        <v>19</v>
      </c>
      <c r="C843" s="61" t="s">
        <v>4</v>
      </c>
    </row>
    <row r="844" spans="1:3">
      <c r="A844" t="s">
        <v>1176</v>
      </c>
      <c r="B844">
        <v>3</v>
      </c>
      <c r="C844" s="61" t="s">
        <v>4</v>
      </c>
    </row>
    <row r="845" spans="1:3">
      <c r="A845" t="s">
        <v>1181</v>
      </c>
      <c r="B845">
        <v>5</v>
      </c>
      <c r="C845" s="61" t="s">
        <v>4</v>
      </c>
    </row>
    <row r="846" spans="1:3">
      <c r="A846" t="s">
        <v>1178</v>
      </c>
      <c r="B846">
        <v>11</v>
      </c>
      <c r="C846" s="61" t="s">
        <v>4</v>
      </c>
    </row>
    <row r="847" spans="1:3">
      <c r="A847" t="s">
        <v>1182</v>
      </c>
      <c r="B847">
        <v>10</v>
      </c>
      <c r="C847" s="61" t="s">
        <v>4</v>
      </c>
    </row>
    <row r="848" spans="1:3">
      <c r="A848" t="s">
        <v>1183</v>
      </c>
      <c r="B848">
        <v>6</v>
      </c>
      <c r="C848" s="61" t="s">
        <v>4</v>
      </c>
    </row>
    <row r="849" spans="1:3">
      <c r="A849" t="s">
        <v>1184</v>
      </c>
      <c r="B849">
        <v>6</v>
      </c>
      <c r="C849" s="61" t="s">
        <v>4</v>
      </c>
    </row>
    <row r="850" spans="1:3">
      <c r="A850" t="s">
        <v>1186</v>
      </c>
      <c r="B850">
        <v>13</v>
      </c>
      <c r="C850" s="61" t="s">
        <v>4</v>
      </c>
    </row>
    <row r="851" spans="1:3">
      <c r="A851" t="s">
        <v>1185</v>
      </c>
      <c r="B851">
        <v>1</v>
      </c>
      <c r="C851" s="61" t="s">
        <v>4</v>
      </c>
    </row>
    <row r="852" spans="1:3">
      <c r="A852" t="s">
        <v>1187</v>
      </c>
      <c r="B852">
        <v>6</v>
      </c>
      <c r="C852" s="61" t="s">
        <v>4</v>
      </c>
    </row>
    <row r="853" spans="1:3">
      <c r="A853" t="s">
        <v>1188</v>
      </c>
      <c r="B853">
        <v>1</v>
      </c>
      <c r="C853" s="61" t="s">
        <v>4</v>
      </c>
    </row>
    <row r="854" spans="1:3">
      <c r="A854" t="s">
        <v>1189</v>
      </c>
      <c r="B854">
        <v>37</v>
      </c>
      <c r="C854" s="61" t="s">
        <v>4</v>
      </c>
    </row>
    <row r="855" spans="1:3">
      <c r="A855" t="s">
        <v>1191</v>
      </c>
      <c r="B855">
        <v>17</v>
      </c>
      <c r="C855" s="61" t="s">
        <v>4</v>
      </c>
    </row>
    <row r="856" spans="1:3">
      <c r="A856" t="s">
        <v>1190</v>
      </c>
      <c r="B856">
        <v>42</v>
      </c>
      <c r="C856" s="61" t="s">
        <v>4</v>
      </c>
    </row>
    <row r="857" spans="1:3">
      <c r="A857" t="s">
        <v>1192</v>
      </c>
      <c r="B857">
        <v>3</v>
      </c>
      <c r="C857" s="61" t="s">
        <v>4</v>
      </c>
    </row>
    <row r="858" spans="1:3">
      <c r="A858" t="s">
        <v>1193</v>
      </c>
      <c r="B858">
        <v>1</v>
      </c>
      <c r="C858" s="61" t="s">
        <v>4</v>
      </c>
    </row>
    <row r="859" spans="1:3">
      <c r="A859" t="s">
        <v>1194</v>
      </c>
      <c r="B859">
        <v>5</v>
      </c>
      <c r="C859" s="61" t="s">
        <v>4</v>
      </c>
    </row>
    <row r="860" spans="1:3">
      <c r="A860" t="s">
        <v>1195</v>
      </c>
      <c r="B860">
        <v>2</v>
      </c>
      <c r="C860" s="61" t="s">
        <v>4</v>
      </c>
    </row>
    <row r="861" spans="1:3">
      <c r="A861" t="s">
        <v>1196</v>
      </c>
      <c r="B861">
        <v>1</v>
      </c>
      <c r="C861" s="61" t="s">
        <v>4</v>
      </c>
    </row>
    <row r="862" spans="1:3">
      <c r="A862" t="s">
        <v>1199</v>
      </c>
      <c r="B862">
        <v>99</v>
      </c>
      <c r="C862" s="61" t="s">
        <v>4</v>
      </c>
    </row>
    <row r="863" spans="1:3">
      <c r="A863" t="s">
        <v>1197</v>
      </c>
      <c r="B863">
        <v>1</v>
      </c>
      <c r="C863" s="61" t="s">
        <v>4</v>
      </c>
    </row>
    <row r="864" spans="1:3">
      <c r="A864" t="s">
        <v>1200</v>
      </c>
      <c r="B864">
        <v>16</v>
      </c>
      <c r="C864" s="61" t="s">
        <v>4</v>
      </c>
    </row>
    <row r="865" spans="1:3">
      <c r="A865" t="s">
        <v>1206</v>
      </c>
      <c r="B865">
        <v>1</v>
      </c>
      <c r="C865" s="61" t="s">
        <v>4</v>
      </c>
    </row>
    <row r="866" spans="1:3">
      <c r="A866" t="s">
        <v>1202</v>
      </c>
      <c r="B866">
        <v>1</v>
      </c>
      <c r="C866" s="61" t="s">
        <v>4</v>
      </c>
    </row>
    <row r="867" spans="1:3">
      <c r="A867" t="s">
        <v>1204</v>
      </c>
      <c r="B867">
        <v>2</v>
      </c>
      <c r="C867" s="61" t="s">
        <v>4</v>
      </c>
    </row>
    <row r="868" spans="1:3">
      <c r="A868" t="s">
        <v>1203</v>
      </c>
      <c r="B868">
        <v>12</v>
      </c>
      <c r="C868" s="61" t="s">
        <v>4</v>
      </c>
    </row>
    <row r="869" spans="1:3">
      <c r="A869" t="s">
        <v>1207</v>
      </c>
      <c r="B869">
        <v>1</v>
      </c>
      <c r="C869" s="61" t="s">
        <v>4</v>
      </c>
    </row>
    <row r="870" spans="1:3">
      <c r="A870" t="s">
        <v>1205</v>
      </c>
      <c r="B870">
        <v>1</v>
      </c>
      <c r="C870" s="61" t="s">
        <v>4</v>
      </c>
    </row>
    <row r="871" spans="1:3">
      <c r="A871" t="s">
        <v>1208</v>
      </c>
      <c r="B871">
        <v>7</v>
      </c>
      <c r="C871" s="61" t="s">
        <v>4</v>
      </c>
    </row>
    <row r="872" spans="1:3">
      <c r="A872" t="s">
        <v>1209</v>
      </c>
      <c r="B872">
        <v>6</v>
      </c>
      <c r="C872" s="61" t="s">
        <v>4</v>
      </c>
    </row>
    <row r="873" spans="1:3">
      <c r="A873" t="s">
        <v>1217</v>
      </c>
      <c r="B873">
        <v>2</v>
      </c>
      <c r="C873" s="61" t="s">
        <v>4</v>
      </c>
    </row>
    <row r="874" spans="1:3">
      <c r="A874" t="s">
        <v>1215</v>
      </c>
      <c r="B874">
        <v>157</v>
      </c>
      <c r="C874" s="61" t="s">
        <v>4</v>
      </c>
    </row>
    <row r="875" spans="1:3">
      <c r="A875" t="s">
        <v>1216</v>
      </c>
      <c r="B875">
        <v>1</v>
      </c>
      <c r="C875" s="61" t="s">
        <v>4</v>
      </c>
    </row>
    <row r="876" spans="1:3">
      <c r="A876" t="s">
        <v>1218</v>
      </c>
      <c r="B876">
        <v>1</v>
      </c>
      <c r="C876" s="61" t="s">
        <v>4</v>
      </c>
    </row>
    <row r="877" spans="1:3">
      <c r="A877" t="s">
        <v>1220</v>
      </c>
      <c r="B877">
        <v>1</v>
      </c>
      <c r="C877" s="62" t="s">
        <v>4</v>
      </c>
    </row>
    <row r="878" spans="1:3">
      <c r="A878" t="s">
        <v>1223</v>
      </c>
      <c r="B878">
        <v>19</v>
      </c>
      <c r="C878" s="62" t="s">
        <v>4</v>
      </c>
    </row>
    <row r="879" spans="1:3">
      <c r="A879" t="s">
        <v>1222</v>
      </c>
      <c r="B879">
        <v>1</v>
      </c>
      <c r="C879" s="62" t="s">
        <v>4</v>
      </c>
    </row>
    <row r="880" spans="1:3">
      <c r="A880" t="s">
        <v>1219</v>
      </c>
      <c r="B880">
        <v>10</v>
      </c>
      <c r="C880" s="62" t="s">
        <v>4</v>
      </c>
    </row>
    <row r="881" spans="1:3">
      <c r="A881" t="s">
        <v>1224</v>
      </c>
      <c r="B881">
        <v>69</v>
      </c>
      <c r="C881" s="62" t="s">
        <v>4</v>
      </c>
    </row>
    <row r="882" spans="1:3">
      <c r="A882" t="s">
        <v>1225</v>
      </c>
      <c r="B882">
        <v>1</v>
      </c>
      <c r="C882" s="62" t="s">
        <v>4</v>
      </c>
    </row>
    <row r="883" spans="1:3">
      <c r="A883" t="s">
        <v>1226</v>
      </c>
      <c r="B883">
        <v>5</v>
      </c>
      <c r="C883" s="62" t="s">
        <v>4</v>
      </c>
    </row>
    <row r="884" spans="1:3">
      <c r="A884" t="s">
        <v>1227</v>
      </c>
      <c r="B884">
        <v>20</v>
      </c>
      <c r="C884" s="62" t="s">
        <v>4</v>
      </c>
    </row>
    <row r="885" spans="1:3">
      <c r="A885" t="s">
        <v>1229</v>
      </c>
      <c r="B885">
        <v>1</v>
      </c>
      <c r="C885" s="62" t="s">
        <v>4</v>
      </c>
    </row>
    <row r="886" spans="1:3">
      <c r="A886" t="s">
        <v>1230</v>
      </c>
      <c r="B886">
        <v>1</v>
      </c>
      <c r="C886" s="62" t="s">
        <v>4</v>
      </c>
    </row>
    <row r="887" spans="1:3">
      <c r="A887" t="s">
        <v>1231</v>
      </c>
      <c r="B887">
        <v>6</v>
      </c>
      <c r="C887" s="62" t="s">
        <v>4</v>
      </c>
    </row>
    <row r="888" spans="1:3">
      <c r="A888" t="s">
        <v>1238</v>
      </c>
      <c r="B888">
        <v>106</v>
      </c>
      <c r="C888" s="62" t="s">
        <v>4</v>
      </c>
    </row>
    <row r="889" spans="1:3">
      <c r="A889" t="s">
        <v>1240</v>
      </c>
      <c r="B889">
        <v>156</v>
      </c>
      <c r="C889" s="62" t="s">
        <v>4</v>
      </c>
    </row>
    <row r="890" spans="1:3">
      <c r="A890" t="s">
        <v>1239</v>
      </c>
      <c r="B890">
        <v>1</v>
      </c>
      <c r="C890" s="62" t="s">
        <v>4</v>
      </c>
    </row>
    <row r="891" spans="1:3">
      <c r="A891" t="s">
        <v>1241</v>
      </c>
      <c r="B891">
        <v>17</v>
      </c>
      <c r="C891" s="62" t="s">
        <v>4</v>
      </c>
    </row>
    <row r="892" spans="1:3">
      <c r="A892" t="s">
        <v>1242</v>
      </c>
      <c r="B892">
        <v>4</v>
      </c>
      <c r="C892" s="62" t="s">
        <v>4</v>
      </c>
    </row>
    <row r="893" spans="1:3">
      <c r="A893" t="s">
        <v>1243</v>
      </c>
      <c r="B893">
        <v>2</v>
      </c>
      <c r="C893" s="62" t="s">
        <v>4</v>
      </c>
    </row>
    <row r="894" spans="1:3">
      <c r="A894" t="s">
        <v>1244</v>
      </c>
      <c r="B894">
        <v>3</v>
      </c>
      <c r="C894" s="62" t="s">
        <v>4</v>
      </c>
    </row>
    <row r="895" spans="1:3">
      <c r="A895" t="s">
        <v>1246</v>
      </c>
      <c r="B895">
        <v>43</v>
      </c>
      <c r="C895" s="62" t="s">
        <v>4</v>
      </c>
    </row>
    <row r="896" spans="1:3">
      <c r="A896" t="s">
        <v>1247</v>
      </c>
      <c r="B896">
        <v>1</v>
      </c>
      <c r="C896" s="62" t="s">
        <v>4</v>
      </c>
    </row>
    <row r="897" spans="1:3">
      <c r="A897" t="s">
        <v>1245</v>
      </c>
      <c r="B897">
        <v>3</v>
      </c>
      <c r="C897" s="62" t="s">
        <v>4</v>
      </c>
    </row>
    <row r="898" spans="1:3">
      <c r="A898" t="s">
        <v>1252</v>
      </c>
      <c r="B898">
        <v>24</v>
      </c>
      <c r="C898" t="s">
        <v>4</v>
      </c>
    </row>
    <row r="899" spans="1:3">
      <c r="A899" t="s">
        <v>1253</v>
      </c>
      <c r="B899">
        <v>1</v>
      </c>
      <c r="C899" t="s">
        <v>4</v>
      </c>
    </row>
    <row r="900" spans="1:3">
      <c r="A900" t="s">
        <v>1256</v>
      </c>
      <c r="B900">
        <v>2</v>
      </c>
      <c r="C900" s="62" t="s">
        <v>4</v>
      </c>
    </row>
    <row r="901" spans="1:3">
      <c r="A901" t="s">
        <v>1255</v>
      </c>
      <c r="B901">
        <v>1</v>
      </c>
      <c r="C901" s="62" t="s">
        <v>4</v>
      </c>
    </row>
    <row r="902" spans="1:3">
      <c r="A902" t="s">
        <v>1257</v>
      </c>
      <c r="B902">
        <v>24</v>
      </c>
      <c r="C902" s="62" t="s">
        <v>4</v>
      </c>
    </row>
    <row r="903" spans="1:3">
      <c r="A903" t="s">
        <v>1259</v>
      </c>
      <c r="B903">
        <v>4</v>
      </c>
      <c r="C903" s="62" t="s">
        <v>4</v>
      </c>
    </row>
    <row r="904" spans="1:3">
      <c r="A904" t="s">
        <v>1263</v>
      </c>
      <c r="B904">
        <v>1</v>
      </c>
      <c r="C904" s="62" t="s">
        <v>4</v>
      </c>
    </row>
    <row r="905" spans="1:3">
      <c r="A905" t="s">
        <v>1254</v>
      </c>
      <c r="B905">
        <v>5</v>
      </c>
      <c r="C905" s="62" t="s">
        <v>4</v>
      </c>
    </row>
    <row r="906" spans="1:3">
      <c r="A906" t="s">
        <v>1258</v>
      </c>
      <c r="B906">
        <v>4</v>
      </c>
      <c r="C906" s="62" t="s">
        <v>4</v>
      </c>
    </row>
    <row r="907" spans="1:3">
      <c r="A907" t="s">
        <v>1260</v>
      </c>
      <c r="B907">
        <v>1</v>
      </c>
      <c r="C907" s="62" t="s">
        <v>4</v>
      </c>
    </row>
    <row r="908" spans="1:3">
      <c r="A908" t="s">
        <v>1228</v>
      </c>
      <c r="B908">
        <v>24</v>
      </c>
      <c r="C908" s="62" t="s">
        <v>4</v>
      </c>
    </row>
    <row r="909" spans="1:3">
      <c r="A909" t="s">
        <v>1261</v>
      </c>
      <c r="B909">
        <v>28</v>
      </c>
      <c r="C909" s="62" t="s">
        <v>4</v>
      </c>
    </row>
    <row r="910" spans="1:3">
      <c r="A910" t="s">
        <v>1264</v>
      </c>
      <c r="B910">
        <v>1</v>
      </c>
      <c r="C910" s="62" t="s">
        <v>4</v>
      </c>
    </row>
    <row r="911" spans="1:3">
      <c r="A911" t="s">
        <v>1265</v>
      </c>
      <c r="B911">
        <v>1</v>
      </c>
      <c r="C911" s="62" t="s">
        <v>4</v>
      </c>
    </row>
    <row r="912" spans="1:3">
      <c r="A912" t="s">
        <v>1266</v>
      </c>
      <c r="B912">
        <v>1</v>
      </c>
      <c r="C912" s="62" t="s">
        <v>4</v>
      </c>
    </row>
    <row r="913" spans="1:3">
      <c r="A913" t="s">
        <v>1267</v>
      </c>
      <c r="B913">
        <v>4</v>
      </c>
      <c r="C913" s="62" t="s">
        <v>4</v>
      </c>
    </row>
    <row r="914" spans="1:3">
      <c r="A914" t="s">
        <v>1270</v>
      </c>
      <c r="B914">
        <v>1</v>
      </c>
      <c r="C914" s="62" t="s">
        <v>4</v>
      </c>
    </row>
    <row r="915" spans="1:3">
      <c r="A915" t="s">
        <v>1268</v>
      </c>
      <c r="B915">
        <v>1</v>
      </c>
      <c r="C915" s="62" t="s">
        <v>4</v>
      </c>
    </row>
    <row r="916" spans="1:3">
      <c r="A916" t="s">
        <v>1269</v>
      </c>
      <c r="B916">
        <v>2</v>
      </c>
      <c r="C916" s="62" t="s">
        <v>4</v>
      </c>
    </row>
    <row r="917" spans="1:3">
      <c r="A917" t="s">
        <v>1272</v>
      </c>
      <c r="B917">
        <v>1</v>
      </c>
      <c r="C917" s="62" t="s">
        <v>4</v>
      </c>
    </row>
    <row r="918" spans="1:3">
      <c r="A918" t="s">
        <v>1274</v>
      </c>
      <c r="B918">
        <v>1</v>
      </c>
      <c r="C918" s="62" t="s">
        <v>4</v>
      </c>
    </row>
    <row r="919" spans="1:3">
      <c r="A919" s="62" t="s">
        <v>1275</v>
      </c>
      <c r="B919" s="30">
        <v>7</v>
      </c>
      <c r="C919" s="62" t="s">
        <v>4</v>
      </c>
    </row>
    <row r="920" spans="1:3">
      <c r="A920" s="62" t="s">
        <v>1276</v>
      </c>
      <c r="B920" s="30">
        <v>3</v>
      </c>
      <c r="C920" s="62" t="s">
        <v>4</v>
      </c>
    </row>
    <row r="921" spans="1:3">
      <c r="A921" t="s">
        <v>1277</v>
      </c>
      <c r="B921">
        <v>12</v>
      </c>
      <c r="C921" s="62" t="s">
        <v>4</v>
      </c>
    </row>
    <row r="922" spans="1:3">
      <c r="A922" t="s">
        <v>1278</v>
      </c>
      <c r="B922">
        <v>7</v>
      </c>
      <c r="C922" s="62" t="s">
        <v>4</v>
      </c>
    </row>
    <row r="923" spans="1:3">
      <c r="A923" t="s">
        <v>1279</v>
      </c>
      <c r="B923">
        <v>1</v>
      </c>
      <c r="C923" s="62" t="s">
        <v>4</v>
      </c>
    </row>
    <row r="924" spans="1:3">
      <c r="A924" t="s">
        <v>1280</v>
      </c>
      <c r="B924">
        <v>1</v>
      </c>
      <c r="C924" s="62" t="s">
        <v>4</v>
      </c>
    </row>
    <row r="925" spans="1:3">
      <c r="A925" t="s">
        <v>1281</v>
      </c>
      <c r="B925">
        <v>1</v>
      </c>
      <c r="C925" s="62" t="s">
        <v>4</v>
      </c>
    </row>
    <row r="926" spans="1:3">
      <c r="A926" t="s">
        <v>1289</v>
      </c>
      <c r="B926">
        <v>1</v>
      </c>
      <c r="C926" s="62" t="s">
        <v>4</v>
      </c>
    </row>
    <row r="927" spans="1:3">
      <c r="A927" t="s">
        <v>1287</v>
      </c>
      <c r="B927">
        <v>5</v>
      </c>
      <c r="C927" s="62" t="s">
        <v>4</v>
      </c>
    </row>
    <row r="928" spans="1:3">
      <c r="A928" t="s">
        <v>1298</v>
      </c>
      <c r="B928">
        <v>4</v>
      </c>
      <c r="C928" s="62" t="s">
        <v>4</v>
      </c>
    </row>
    <row r="929" spans="1:3">
      <c r="A929" t="s">
        <v>1290</v>
      </c>
      <c r="B929">
        <v>3</v>
      </c>
      <c r="C929" s="62" t="s">
        <v>4</v>
      </c>
    </row>
    <row r="930" spans="1:3">
      <c r="A930" t="s">
        <v>1365</v>
      </c>
      <c r="B930">
        <v>62</v>
      </c>
      <c r="C930" s="62" t="s">
        <v>4</v>
      </c>
    </row>
    <row r="931" spans="1:3">
      <c r="A931" t="s">
        <v>1389</v>
      </c>
      <c r="B931">
        <v>3</v>
      </c>
      <c r="C931" s="62" t="s">
        <v>4</v>
      </c>
    </row>
    <row r="932" spans="1:3">
      <c r="A932" t="s">
        <v>1366</v>
      </c>
      <c r="B932">
        <v>20</v>
      </c>
      <c r="C932" s="62" t="s">
        <v>4</v>
      </c>
    </row>
    <row r="933" spans="1:3">
      <c r="A933" t="s">
        <v>1416</v>
      </c>
      <c r="B933">
        <v>21</v>
      </c>
      <c r="C933" s="62" t="s">
        <v>4</v>
      </c>
    </row>
    <row r="934" spans="1:3">
      <c r="A934" t="s">
        <v>1419</v>
      </c>
      <c r="B934">
        <v>2</v>
      </c>
      <c r="C934" s="62" t="s">
        <v>4</v>
      </c>
    </row>
    <row r="935" spans="1:3">
      <c r="A935" t="s">
        <v>1451</v>
      </c>
      <c r="B935">
        <v>25</v>
      </c>
      <c r="C935" s="62" t="s">
        <v>4</v>
      </c>
    </row>
    <row r="936" spans="1:3">
      <c r="A936" t="s">
        <v>1488</v>
      </c>
      <c r="B936">
        <v>1</v>
      </c>
      <c r="C936" s="62" t="s">
        <v>4</v>
      </c>
    </row>
    <row r="937" spans="1:3">
      <c r="A937" t="s">
        <v>1486</v>
      </c>
      <c r="B937">
        <v>2</v>
      </c>
      <c r="C937" s="62" t="s">
        <v>4</v>
      </c>
    </row>
    <row r="938" spans="1:3">
      <c r="A938" t="s">
        <v>1511</v>
      </c>
      <c r="B938">
        <v>1</v>
      </c>
      <c r="C938" s="62" t="s">
        <v>4</v>
      </c>
    </row>
    <row r="939" spans="1:3">
      <c r="A939" t="s">
        <v>1500</v>
      </c>
      <c r="B939">
        <v>4</v>
      </c>
      <c r="C939" s="62" t="s">
        <v>4</v>
      </c>
    </row>
    <row r="940" spans="1:3">
      <c r="A940" t="s">
        <v>1484</v>
      </c>
      <c r="B940">
        <v>20</v>
      </c>
      <c r="C940" s="62" t="s">
        <v>4</v>
      </c>
    </row>
    <row r="941" spans="1:3">
      <c r="A941" t="s">
        <v>1492</v>
      </c>
      <c r="B941">
        <v>3</v>
      </c>
      <c r="C941" s="62" t="s">
        <v>4</v>
      </c>
    </row>
    <row r="942" spans="1:3">
      <c r="A942" t="s">
        <v>1509</v>
      </c>
      <c r="B942">
        <v>1</v>
      </c>
      <c r="C942" s="62" t="s">
        <v>4</v>
      </c>
    </row>
    <row r="943" spans="1:3">
      <c r="A943" t="s">
        <v>1508</v>
      </c>
      <c r="B943">
        <v>5</v>
      </c>
      <c r="C943" s="62" t="s">
        <v>4</v>
      </c>
    </row>
    <row r="944" spans="1:3">
      <c r="A944" t="s">
        <v>1512</v>
      </c>
      <c r="B944">
        <v>1</v>
      </c>
      <c r="C944" s="62" t="s">
        <v>4</v>
      </c>
    </row>
    <row r="945" spans="1:3">
      <c r="A945" t="s">
        <v>1517</v>
      </c>
      <c r="B945">
        <v>2</v>
      </c>
      <c r="C945" s="62" t="s">
        <v>4</v>
      </c>
    </row>
    <row r="946" spans="1:3">
      <c r="A946" t="s">
        <v>1523</v>
      </c>
      <c r="B946">
        <v>2</v>
      </c>
      <c r="C946" s="62" t="s">
        <v>4</v>
      </c>
    </row>
    <row r="947" spans="1:3">
      <c r="A947" t="s">
        <v>1454</v>
      </c>
      <c r="B947">
        <v>2</v>
      </c>
      <c r="C947" s="62" t="s">
        <v>4</v>
      </c>
    </row>
    <row r="948" spans="1:3">
      <c r="A948" t="s">
        <v>1455</v>
      </c>
      <c r="B948">
        <v>1</v>
      </c>
      <c r="C948" s="62" t="s">
        <v>4</v>
      </c>
    </row>
    <row r="949" spans="1:3">
      <c r="A949" t="s">
        <v>1460</v>
      </c>
      <c r="B949">
        <v>2</v>
      </c>
      <c r="C949" s="62" t="s">
        <v>4</v>
      </c>
    </row>
    <row r="950" spans="1:3">
      <c r="A950" t="s">
        <v>1461</v>
      </c>
      <c r="B950">
        <v>2</v>
      </c>
      <c r="C950" s="62" t="s">
        <v>4</v>
      </c>
    </row>
    <row r="951" spans="1:3">
      <c r="A951" t="s">
        <v>1563</v>
      </c>
      <c r="B951">
        <v>4</v>
      </c>
      <c r="C951" s="62" t="s">
        <v>4</v>
      </c>
    </row>
    <row r="952" spans="1:3">
      <c r="A952" t="s">
        <v>1566</v>
      </c>
      <c r="B952">
        <v>6</v>
      </c>
      <c r="C952" s="62" t="s">
        <v>4</v>
      </c>
    </row>
    <row r="953" spans="1:3">
      <c r="A953" t="s">
        <v>1583</v>
      </c>
      <c r="B953">
        <v>7</v>
      </c>
      <c r="C953" s="62" t="s">
        <v>4</v>
      </c>
    </row>
    <row r="954" spans="1:3">
      <c r="A954" t="s">
        <v>1606</v>
      </c>
      <c r="B954">
        <v>4</v>
      </c>
      <c r="C954" s="62" t="s">
        <v>4</v>
      </c>
    </row>
    <row r="955" spans="1:3">
      <c r="A955" t="s">
        <v>1591</v>
      </c>
      <c r="B955">
        <v>12</v>
      </c>
      <c r="C955" s="62" t="s">
        <v>4</v>
      </c>
    </row>
    <row r="956" spans="1:3">
      <c r="A956" t="s">
        <v>1614</v>
      </c>
      <c r="B956">
        <v>4</v>
      </c>
      <c r="C956" s="62" t="s">
        <v>4</v>
      </c>
    </row>
    <row r="957" spans="1:3">
      <c r="A957" t="s">
        <v>1615</v>
      </c>
      <c r="B957">
        <v>1</v>
      </c>
      <c r="C957" s="62" t="s">
        <v>4</v>
      </c>
    </row>
    <row r="958" spans="1:3">
      <c r="A958" t="s">
        <v>1502</v>
      </c>
      <c r="B958">
        <v>2</v>
      </c>
      <c r="C958" s="62" t="s">
        <v>4</v>
      </c>
    </row>
    <row r="959" spans="1:3">
      <c r="A959" t="s">
        <v>1626</v>
      </c>
      <c r="B959">
        <v>9</v>
      </c>
      <c r="C959" s="62" t="s">
        <v>4</v>
      </c>
    </row>
    <row r="960" spans="1:3">
      <c r="A960" t="s">
        <v>1641</v>
      </c>
      <c r="B960">
        <v>1</v>
      </c>
      <c r="C960" s="62" t="s">
        <v>4</v>
      </c>
    </row>
    <row r="961" spans="1:3">
      <c r="A961" t="s">
        <v>1644</v>
      </c>
      <c r="B961">
        <v>6</v>
      </c>
      <c r="C961" s="62" t="s">
        <v>4</v>
      </c>
    </row>
    <row r="962" spans="1:3">
      <c r="A962" t="s">
        <v>1654</v>
      </c>
      <c r="B962">
        <v>1</v>
      </c>
      <c r="C962" s="62" t="s">
        <v>4</v>
      </c>
    </row>
    <row r="963" spans="1:3">
      <c r="A963" t="s">
        <v>1547</v>
      </c>
      <c r="B963">
        <v>27</v>
      </c>
      <c r="C963" s="62" t="s">
        <v>4</v>
      </c>
    </row>
    <row r="964" spans="1:3">
      <c r="A964" t="s">
        <v>1558</v>
      </c>
      <c r="B964">
        <v>10</v>
      </c>
      <c r="C964" s="62" t="s">
        <v>4</v>
      </c>
    </row>
    <row r="965" spans="1:3">
      <c r="A965" t="s">
        <v>1565</v>
      </c>
      <c r="B965">
        <v>1</v>
      </c>
      <c r="C965" s="62" t="s">
        <v>4</v>
      </c>
    </row>
    <row r="966" spans="1:3">
      <c r="A966" t="s">
        <v>1587</v>
      </c>
      <c r="B966">
        <v>3</v>
      </c>
      <c r="C966" s="62" t="s">
        <v>4</v>
      </c>
    </row>
    <row r="967" spans="1:3">
      <c r="A967" t="s">
        <v>1657</v>
      </c>
      <c r="B967">
        <v>6</v>
      </c>
      <c r="C967" s="62" t="s">
        <v>4</v>
      </c>
    </row>
    <row r="968" spans="1:3">
      <c r="A968" t="s">
        <v>1655</v>
      </c>
      <c r="B968">
        <v>1</v>
      </c>
      <c r="C968" s="62" t="s">
        <v>4</v>
      </c>
    </row>
    <row r="969" spans="1:3">
      <c r="A969" t="s">
        <v>1686</v>
      </c>
      <c r="B969">
        <v>18</v>
      </c>
      <c r="C969" s="62" t="s">
        <v>4</v>
      </c>
    </row>
    <row r="970" spans="1:3">
      <c r="A970" t="s">
        <v>1708</v>
      </c>
      <c r="B970">
        <v>6</v>
      </c>
      <c r="C970" s="62" t="s">
        <v>4</v>
      </c>
    </row>
    <row r="971" spans="1:3">
      <c r="A971" t="s">
        <v>1707</v>
      </c>
      <c r="B971">
        <v>13</v>
      </c>
      <c r="C971" s="62" t="s">
        <v>4</v>
      </c>
    </row>
    <row r="972" spans="1:3">
      <c r="A972" t="s">
        <v>1689</v>
      </c>
      <c r="B972">
        <v>4</v>
      </c>
      <c r="C972" s="62" t="s">
        <v>4</v>
      </c>
    </row>
    <row r="973" spans="1:3">
      <c r="A973" t="s">
        <v>1687</v>
      </c>
      <c r="B973">
        <v>1</v>
      </c>
      <c r="C973" s="62" t="s">
        <v>4</v>
      </c>
    </row>
    <row r="974" spans="1:3">
      <c r="A974" t="s">
        <v>1720</v>
      </c>
      <c r="B974">
        <v>1</v>
      </c>
      <c r="C974" s="62" t="s">
        <v>4</v>
      </c>
    </row>
    <row r="975" spans="1:3">
      <c r="A975" t="s">
        <v>1746</v>
      </c>
      <c r="B975">
        <v>4</v>
      </c>
      <c r="C975" s="62" t="s">
        <v>4</v>
      </c>
    </row>
    <row r="976" spans="1:3">
      <c r="A976" t="s">
        <v>1744</v>
      </c>
      <c r="B976">
        <v>1</v>
      </c>
      <c r="C976" s="62" t="s">
        <v>4</v>
      </c>
    </row>
    <row r="977" spans="1:3">
      <c r="A977" t="s">
        <v>1743</v>
      </c>
      <c r="B977">
        <v>41</v>
      </c>
      <c r="C977" s="62" t="s">
        <v>4</v>
      </c>
    </row>
    <row r="978" spans="1:3">
      <c r="A978" t="s">
        <v>1809</v>
      </c>
      <c r="B978">
        <v>3</v>
      </c>
      <c r="C978" s="62" t="s">
        <v>4</v>
      </c>
    </row>
    <row r="979" spans="1:3">
      <c r="A979" t="s">
        <v>1751</v>
      </c>
      <c r="B979">
        <v>56</v>
      </c>
      <c r="C979" s="62" t="s">
        <v>4</v>
      </c>
    </row>
    <row r="980" spans="1:3">
      <c r="A980" t="s">
        <v>1818</v>
      </c>
      <c r="B980">
        <v>5</v>
      </c>
      <c r="C980" s="62" t="s">
        <v>4</v>
      </c>
    </row>
    <row r="981" spans="1:3">
      <c r="A981" s="31" t="s">
        <v>1627</v>
      </c>
      <c r="B981" s="30">
        <v>11</v>
      </c>
      <c r="C981" s="68" t="s">
        <v>4</v>
      </c>
    </row>
    <row r="982" spans="1:3">
      <c r="A982" t="s">
        <v>1822</v>
      </c>
      <c r="B982">
        <v>1</v>
      </c>
      <c r="C982" s="68" t="s">
        <v>4</v>
      </c>
    </row>
    <row r="983" spans="1:3">
      <c r="A983" t="s">
        <v>1819</v>
      </c>
      <c r="B983">
        <v>2</v>
      </c>
      <c r="C983" s="68" t="s">
        <v>4</v>
      </c>
    </row>
    <row r="984" spans="1:3">
      <c r="A984" t="s">
        <v>1824</v>
      </c>
      <c r="B984">
        <v>2</v>
      </c>
      <c r="C984" s="68" t="s">
        <v>4</v>
      </c>
    </row>
    <row r="985" spans="1:3">
      <c r="A985" t="s">
        <v>1826</v>
      </c>
      <c r="B985">
        <v>1</v>
      </c>
      <c r="C985" s="68" t="s">
        <v>4</v>
      </c>
    </row>
    <row r="986" spans="1:3">
      <c r="A986" t="s">
        <v>1665</v>
      </c>
      <c r="B986">
        <v>1</v>
      </c>
      <c r="C986" s="68" t="s">
        <v>4</v>
      </c>
    </row>
    <row r="987" spans="1:3">
      <c r="A987" t="s">
        <v>1839</v>
      </c>
      <c r="B987">
        <v>4</v>
      </c>
      <c r="C987" s="68" t="s">
        <v>4</v>
      </c>
    </row>
    <row r="988" spans="1:3">
      <c r="A988" t="s">
        <v>1841</v>
      </c>
      <c r="B988">
        <v>1</v>
      </c>
      <c r="C988" s="68" t="s">
        <v>4</v>
      </c>
    </row>
    <row r="989" spans="1:3">
      <c r="A989" t="s">
        <v>1832</v>
      </c>
      <c r="B989">
        <v>9</v>
      </c>
      <c r="C989" s="68" t="s">
        <v>4</v>
      </c>
    </row>
    <row r="990" spans="1:3">
      <c r="A990" t="s">
        <v>2025</v>
      </c>
      <c r="B990">
        <v>2</v>
      </c>
      <c r="C990" s="68" t="s">
        <v>4</v>
      </c>
    </row>
    <row r="991" spans="1:3">
      <c r="A991" t="s">
        <v>1998</v>
      </c>
      <c r="B991">
        <v>11</v>
      </c>
      <c r="C991" s="68" t="s">
        <v>4</v>
      </c>
    </row>
    <row r="992" spans="1:3">
      <c r="A992" t="s">
        <v>2009</v>
      </c>
      <c r="B992">
        <v>10</v>
      </c>
      <c r="C992" s="68" t="s">
        <v>4</v>
      </c>
    </row>
    <row r="993" spans="1:3">
      <c r="A993" t="s">
        <v>2003</v>
      </c>
      <c r="B993">
        <v>5</v>
      </c>
      <c r="C993" s="68" t="s">
        <v>4</v>
      </c>
    </row>
    <row r="994" spans="1:3">
      <c r="A994" t="s">
        <v>2026</v>
      </c>
      <c r="B994">
        <v>2</v>
      </c>
      <c r="C994" s="68" t="s">
        <v>4</v>
      </c>
    </row>
    <row r="995" spans="1:3">
      <c r="A995" t="s">
        <v>2031</v>
      </c>
      <c r="B995">
        <v>1</v>
      </c>
      <c r="C995" s="68" t="s">
        <v>4</v>
      </c>
    </row>
    <row r="996" spans="1:3">
      <c r="A996" t="s">
        <v>2048</v>
      </c>
      <c r="B996">
        <v>1</v>
      </c>
      <c r="C996" s="68" t="s">
        <v>4</v>
      </c>
    </row>
    <row r="997" spans="1:3">
      <c r="A997" t="s">
        <v>2045</v>
      </c>
      <c r="B997">
        <v>7</v>
      </c>
      <c r="C997" s="68" t="s">
        <v>4</v>
      </c>
    </row>
    <row r="998" spans="1:3">
      <c r="A998" t="s">
        <v>1717</v>
      </c>
      <c r="B998">
        <v>17</v>
      </c>
      <c r="C998" s="68" t="s">
        <v>4</v>
      </c>
    </row>
    <row r="999" spans="1:3">
      <c r="A999" t="s">
        <v>1831</v>
      </c>
      <c r="B999">
        <v>1</v>
      </c>
      <c r="C999" s="68" t="s">
        <v>4</v>
      </c>
    </row>
    <row r="1000" spans="1:3">
      <c r="A1000" t="s">
        <v>1843</v>
      </c>
      <c r="B1000">
        <v>98</v>
      </c>
      <c r="C1000" s="68" t="s">
        <v>4</v>
      </c>
    </row>
    <row r="1001" spans="1:3">
      <c r="A1001" t="s">
        <v>2034</v>
      </c>
      <c r="B1001">
        <v>1</v>
      </c>
      <c r="C1001" s="68" t="s">
        <v>4</v>
      </c>
    </row>
    <row r="1002" spans="1:3">
      <c r="A1002" t="s">
        <v>2051</v>
      </c>
      <c r="B1002">
        <v>1</v>
      </c>
      <c r="C1002" s="68" t="s">
        <v>4</v>
      </c>
    </row>
    <row r="1003" spans="1:3">
      <c r="A1003" t="s">
        <v>2062</v>
      </c>
      <c r="B1003">
        <v>9</v>
      </c>
      <c r="C1003" s="68" t="s">
        <v>4</v>
      </c>
    </row>
    <row r="1004" spans="1:3">
      <c r="A1004" t="s">
        <v>2080</v>
      </c>
      <c r="B1004">
        <v>4</v>
      </c>
      <c r="C1004" s="68" t="s">
        <v>4</v>
      </c>
    </row>
    <row r="1005" spans="1:3">
      <c r="A1005" t="s">
        <v>2088</v>
      </c>
      <c r="B1005">
        <v>3</v>
      </c>
      <c r="C1005" s="68" t="s">
        <v>4</v>
      </c>
    </row>
    <row r="1006" spans="1:3">
      <c r="A1006" t="s">
        <v>2176</v>
      </c>
      <c r="B1006">
        <v>14</v>
      </c>
      <c r="C1006" s="68" t="s">
        <v>4</v>
      </c>
    </row>
    <row r="1007" spans="1:3">
      <c r="A1007" t="s">
        <v>2096</v>
      </c>
      <c r="B1007">
        <v>46</v>
      </c>
      <c r="C1007" s="68" t="s">
        <v>4</v>
      </c>
    </row>
    <row r="1008" spans="1:3">
      <c r="A1008" t="s">
        <v>2197</v>
      </c>
      <c r="B1008">
        <v>15</v>
      </c>
      <c r="C1008" s="68" t="s">
        <v>4</v>
      </c>
    </row>
    <row r="1009" spans="1:3">
      <c r="A1009" t="s">
        <v>2064</v>
      </c>
      <c r="B1009">
        <v>1</v>
      </c>
      <c r="C1009" s="68" t="s">
        <v>4</v>
      </c>
    </row>
    <row r="1010" spans="1:3">
      <c r="A1010" t="s">
        <v>2198</v>
      </c>
      <c r="B1010">
        <v>1</v>
      </c>
      <c r="C1010" s="68" t="s">
        <v>4</v>
      </c>
    </row>
    <row r="1011" spans="1:3">
      <c r="A1011" t="s">
        <v>2201</v>
      </c>
      <c r="B1011">
        <v>4</v>
      </c>
      <c r="C1011" s="68" t="s">
        <v>4</v>
      </c>
    </row>
    <row r="1012" spans="1:3">
      <c r="A1012" t="s">
        <v>2209</v>
      </c>
      <c r="B1012">
        <v>1</v>
      </c>
      <c r="C1012" s="68" t="s">
        <v>4</v>
      </c>
    </row>
    <row r="1013" spans="1:3">
      <c r="A1013" t="s">
        <v>2210</v>
      </c>
      <c r="B1013">
        <v>1</v>
      </c>
      <c r="C1013" s="68" t="s">
        <v>4</v>
      </c>
    </row>
    <row r="1014" spans="1:3">
      <c r="A1014" t="s">
        <v>2216</v>
      </c>
      <c r="B1014">
        <v>2</v>
      </c>
      <c r="C1014" s="68" t="s">
        <v>4</v>
      </c>
    </row>
    <row r="1015" spans="1:3">
      <c r="A1015" t="s">
        <v>2217</v>
      </c>
      <c r="B1015">
        <v>1</v>
      </c>
      <c r="C1015" s="68" t="s">
        <v>4</v>
      </c>
    </row>
    <row r="1016" spans="1:3">
      <c r="A1016" t="s">
        <v>2279</v>
      </c>
      <c r="B1016">
        <v>8</v>
      </c>
      <c r="C1016" s="68" t="s">
        <v>4</v>
      </c>
    </row>
    <row r="1017" spans="1:3">
      <c r="A1017" t="s">
        <v>2266</v>
      </c>
      <c r="B1017">
        <v>2</v>
      </c>
      <c r="C1017" s="68" t="s">
        <v>4</v>
      </c>
    </row>
    <row r="1018" spans="1:3">
      <c r="A1018" t="s">
        <v>2264</v>
      </c>
      <c r="B1018">
        <v>1</v>
      </c>
      <c r="C1018" s="68" t="s">
        <v>4</v>
      </c>
    </row>
    <row r="1019" spans="1:3">
      <c r="A1019" t="s">
        <v>2261</v>
      </c>
      <c r="B1019">
        <v>11</v>
      </c>
      <c r="C1019" s="68" t="s">
        <v>4</v>
      </c>
    </row>
    <row r="1020" spans="1:3">
      <c r="A1020" t="s">
        <v>2244</v>
      </c>
      <c r="B1020">
        <v>22</v>
      </c>
      <c r="C1020" s="68" t="s">
        <v>4</v>
      </c>
    </row>
    <row r="1021" spans="1:3">
      <c r="A1021" t="s">
        <v>2305</v>
      </c>
      <c r="B1021">
        <v>5</v>
      </c>
      <c r="C1021" s="68" t="s">
        <v>4</v>
      </c>
    </row>
    <row r="1022" spans="1:3">
      <c r="A1022" t="s">
        <v>2311</v>
      </c>
      <c r="B1022">
        <v>1</v>
      </c>
      <c r="C1022" s="68" t="s">
        <v>4</v>
      </c>
    </row>
    <row r="1023" spans="1:3">
      <c r="A1023" t="s">
        <v>2281</v>
      </c>
      <c r="B1023">
        <v>18</v>
      </c>
      <c r="C1023" s="68" t="s">
        <v>4</v>
      </c>
    </row>
    <row r="1024" spans="1:3">
      <c r="A1024" t="s">
        <v>2378</v>
      </c>
      <c r="B1024">
        <v>18</v>
      </c>
      <c r="C1024" s="68" t="s">
        <v>4</v>
      </c>
    </row>
    <row r="1025" spans="1:3">
      <c r="A1025" t="s">
        <v>2344</v>
      </c>
      <c r="B1025">
        <v>6</v>
      </c>
      <c r="C1025" s="68" t="s">
        <v>4</v>
      </c>
    </row>
    <row r="1026" spans="1:3">
      <c r="A1026" t="s">
        <v>2348</v>
      </c>
      <c r="B1026">
        <v>3</v>
      </c>
      <c r="C1026" s="68" t="s">
        <v>4</v>
      </c>
    </row>
    <row r="1027" spans="1:3">
      <c r="A1027" t="s">
        <v>2313</v>
      </c>
      <c r="B1027">
        <v>1</v>
      </c>
      <c r="C1027" s="68" t="s">
        <v>4</v>
      </c>
    </row>
    <row r="1028" spans="1:3">
      <c r="A1028" t="s">
        <v>2379</v>
      </c>
      <c r="B1028">
        <v>2</v>
      </c>
      <c r="C1028" s="68" t="s">
        <v>4</v>
      </c>
    </row>
    <row r="1029" spans="1:3">
      <c r="A1029" t="s">
        <v>2384</v>
      </c>
      <c r="B1029">
        <v>2</v>
      </c>
      <c r="C1029" s="68" t="s">
        <v>4</v>
      </c>
    </row>
    <row r="1030" spans="1:3">
      <c r="A1030" t="s">
        <v>2389</v>
      </c>
      <c r="B1030">
        <v>1</v>
      </c>
      <c r="C1030" s="68" t="s">
        <v>4</v>
      </c>
    </row>
    <row r="1031" spans="1:3">
      <c r="A1031" t="s">
        <v>2388</v>
      </c>
      <c r="B1031">
        <v>1</v>
      </c>
      <c r="C1031" s="68" t="s">
        <v>4</v>
      </c>
    </row>
    <row r="1032" spans="1:3">
      <c r="A1032" t="s">
        <v>2414</v>
      </c>
      <c r="B1032">
        <v>4</v>
      </c>
      <c r="C1032" s="68" t="s">
        <v>4</v>
      </c>
    </row>
    <row r="1033" spans="1:3">
      <c r="A1033" t="s">
        <v>2403</v>
      </c>
      <c r="B1033">
        <v>1</v>
      </c>
      <c r="C1033" s="68" t="s">
        <v>4</v>
      </c>
    </row>
    <row r="1034" spans="1:3">
      <c r="A1034" t="s">
        <v>2401</v>
      </c>
      <c r="B1034">
        <v>1</v>
      </c>
      <c r="C1034" s="68" t="s">
        <v>4</v>
      </c>
    </row>
    <row r="1035" spans="1:3">
      <c r="A1035" t="s">
        <v>2420</v>
      </c>
      <c r="B1035">
        <v>9</v>
      </c>
      <c r="C1035" s="68" t="s">
        <v>4</v>
      </c>
    </row>
    <row r="1036" spans="1:3">
      <c r="A1036" t="s">
        <v>2435</v>
      </c>
      <c r="B1036">
        <v>1</v>
      </c>
      <c r="C1036" s="68" t="s">
        <v>4</v>
      </c>
    </row>
    <row r="1037" spans="1:3">
      <c r="A1037" s="72" t="s">
        <v>2446</v>
      </c>
      <c r="B1037" s="72">
        <v>1</v>
      </c>
      <c r="C1037" s="72" t="s">
        <v>4</v>
      </c>
    </row>
    <row r="1038" spans="1:3">
      <c r="A1038" t="s">
        <v>2439</v>
      </c>
      <c r="B1038">
        <v>1</v>
      </c>
      <c r="C1038" s="72" t="s">
        <v>4</v>
      </c>
    </row>
    <row r="1039" spans="1:3">
      <c r="A1039" t="s">
        <v>2396</v>
      </c>
      <c r="B1039">
        <v>4</v>
      </c>
      <c r="C1039" s="72" t="s">
        <v>4</v>
      </c>
    </row>
    <row r="1040" spans="1:3">
      <c r="A1040" t="s">
        <v>2464</v>
      </c>
      <c r="B1040">
        <v>1</v>
      </c>
      <c r="C1040" s="72" t="s">
        <v>4</v>
      </c>
    </row>
    <row r="1041" spans="1:3">
      <c r="A1041" t="s">
        <v>2465</v>
      </c>
      <c r="B1041">
        <v>1</v>
      </c>
      <c r="C1041" s="72" t="s">
        <v>4</v>
      </c>
    </row>
    <row r="1042" spans="1:3">
      <c r="A1042" t="s">
        <v>2469</v>
      </c>
      <c r="B1042">
        <v>1</v>
      </c>
      <c r="C1042" s="72" t="s">
        <v>4</v>
      </c>
    </row>
    <row r="1043" spans="1:3">
      <c r="A1043" t="s">
        <v>2471</v>
      </c>
      <c r="B1043">
        <v>1</v>
      </c>
      <c r="C1043" s="72" t="s">
        <v>4</v>
      </c>
    </row>
    <row r="1044" spans="1:3">
      <c r="A1044" t="s">
        <v>2307</v>
      </c>
      <c r="B1044">
        <v>1</v>
      </c>
      <c r="C1044" s="72" t="s">
        <v>4</v>
      </c>
    </row>
    <row r="1045" spans="1:3">
      <c r="A1045" t="s">
        <v>2459</v>
      </c>
      <c r="B1045">
        <v>11</v>
      </c>
      <c r="C1045" s="72" t="s">
        <v>4</v>
      </c>
    </row>
    <row r="1046" spans="1:3">
      <c r="A1046" t="s">
        <v>2460</v>
      </c>
      <c r="B1046">
        <v>2</v>
      </c>
      <c r="C1046" s="72" t="s">
        <v>4</v>
      </c>
    </row>
    <row r="1047" spans="1:3">
      <c r="A1047" t="s">
        <v>2475</v>
      </c>
      <c r="B1047">
        <v>1</v>
      </c>
      <c r="C1047" s="72" t="s">
        <v>4</v>
      </c>
    </row>
    <row r="1048" spans="1:3">
      <c r="A1048" t="s">
        <v>2441</v>
      </c>
      <c r="B1048">
        <v>1</v>
      </c>
      <c r="C1048" s="72" t="s">
        <v>4</v>
      </c>
    </row>
    <row r="1049" spans="1:3">
      <c r="A1049" t="s">
        <v>2488</v>
      </c>
      <c r="B1049">
        <v>3</v>
      </c>
      <c r="C1049" s="72" t="s">
        <v>4</v>
      </c>
    </row>
    <row r="1050" spans="1:3">
      <c r="A1050" t="s">
        <v>2478</v>
      </c>
      <c r="B1050">
        <v>4</v>
      </c>
      <c r="C1050" s="72" t="s">
        <v>4</v>
      </c>
    </row>
    <row r="1051" spans="1:3">
      <c r="A1051" t="s">
        <v>2497</v>
      </c>
      <c r="B1051">
        <v>4</v>
      </c>
      <c r="C1051" s="72" t="s">
        <v>4</v>
      </c>
    </row>
    <row r="1052" spans="1:3">
      <c r="A1052" t="s">
        <v>2525</v>
      </c>
      <c r="B1052">
        <v>10</v>
      </c>
      <c r="C1052" s="72" t="s">
        <v>4</v>
      </c>
    </row>
    <row r="1053" spans="1:3">
      <c r="A1053" t="s">
        <v>2523</v>
      </c>
      <c r="B1053">
        <v>8</v>
      </c>
      <c r="C1053" s="72" t="s">
        <v>4</v>
      </c>
    </row>
    <row r="1054" spans="1:3">
      <c r="A1054" t="s">
        <v>2510</v>
      </c>
      <c r="B1054">
        <v>2</v>
      </c>
      <c r="C1054" s="72" t="s">
        <v>4</v>
      </c>
    </row>
    <row r="1055" spans="1:3">
      <c r="A1055" t="s">
        <v>2507</v>
      </c>
      <c r="B1055">
        <v>1</v>
      </c>
      <c r="C1055" s="72" t="s">
        <v>4</v>
      </c>
    </row>
    <row r="1056" spans="1:3">
      <c r="A1056" t="s">
        <v>2498</v>
      </c>
      <c r="B1056">
        <v>6</v>
      </c>
      <c r="C1056" s="72" t="s">
        <v>4</v>
      </c>
    </row>
    <row r="1057" spans="1:3">
      <c r="A1057" t="s">
        <v>2556</v>
      </c>
      <c r="B1057">
        <v>2</v>
      </c>
      <c r="C1057" s="72" t="s">
        <v>4</v>
      </c>
    </row>
    <row r="1058" spans="1:3">
      <c r="A1058" t="s">
        <v>2554</v>
      </c>
      <c r="B1058">
        <v>1</v>
      </c>
      <c r="C1058" s="72" t="s">
        <v>4</v>
      </c>
    </row>
    <row r="1059" spans="1:3">
      <c r="A1059" t="s">
        <v>2553</v>
      </c>
      <c r="B1059">
        <v>1</v>
      </c>
      <c r="C1059" s="72" t="s">
        <v>4</v>
      </c>
    </row>
    <row r="1060" spans="1:3">
      <c r="A1060" t="s">
        <v>2550</v>
      </c>
      <c r="B1060">
        <v>1</v>
      </c>
      <c r="C1060" s="72" t="s">
        <v>4</v>
      </c>
    </row>
    <row r="1061" spans="1:3">
      <c r="A1061" t="s">
        <v>2547</v>
      </c>
      <c r="B1061">
        <v>1</v>
      </c>
      <c r="C1061" s="72" t="s">
        <v>4</v>
      </c>
    </row>
    <row r="1062" spans="1:3">
      <c r="A1062" t="s">
        <v>2544</v>
      </c>
      <c r="B1062">
        <v>1</v>
      </c>
      <c r="C1062" s="72" t="s">
        <v>4</v>
      </c>
    </row>
    <row r="1063" spans="1:3">
      <c r="A1063" t="s">
        <v>2541</v>
      </c>
      <c r="B1063">
        <v>1</v>
      </c>
      <c r="C1063" s="72" t="s">
        <v>4</v>
      </c>
    </row>
    <row r="1064" spans="1:3">
      <c r="A1064" t="s">
        <v>2562</v>
      </c>
      <c r="B1064">
        <v>1</v>
      </c>
      <c r="C1064" s="72" t="s">
        <v>4</v>
      </c>
    </row>
    <row r="1065" spans="1:3">
      <c r="A1065" t="s">
        <v>2333</v>
      </c>
      <c r="B1065">
        <v>19</v>
      </c>
      <c r="C1065" s="72" t="s">
        <v>4</v>
      </c>
    </row>
    <row r="1066" spans="1:3">
      <c r="A1066" t="s">
        <v>2602</v>
      </c>
      <c r="B1066">
        <v>1</v>
      </c>
      <c r="C1066" s="72" t="s">
        <v>4</v>
      </c>
    </row>
    <row r="1067" spans="1:3">
      <c r="A1067" t="s">
        <v>2573</v>
      </c>
      <c r="B1067">
        <v>1</v>
      </c>
      <c r="C1067" s="72" t="s">
        <v>4</v>
      </c>
    </row>
    <row r="1068" spans="1:3">
      <c r="A1068" t="s">
        <v>2568</v>
      </c>
      <c r="B1068">
        <v>1</v>
      </c>
      <c r="C1068" s="72" t="s">
        <v>4</v>
      </c>
    </row>
    <row r="1069" spans="1:3">
      <c r="A1069" t="s">
        <v>2566</v>
      </c>
      <c r="B1069">
        <v>1</v>
      </c>
      <c r="C1069" s="72" t="s">
        <v>4</v>
      </c>
    </row>
    <row r="1070" spans="1:3">
      <c r="A1070" t="s">
        <v>2564</v>
      </c>
      <c r="B1070">
        <v>1</v>
      </c>
      <c r="C1070" s="72" t="s">
        <v>4</v>
      </c>
    </row>
    <row r="1071" spans="1:3">
      <c r="A1071" t="s">
        <v>2571</v>
      </c>
      <c r="B1071">
        <v>8</v>
      </c>
      <c r="C1071" s="72" t="s">
        <v>4</v>
      </c>
    </row>
    <row r="1072" spans="1:3">
      <c r="A1072" t="s">
        <v>2594</v>
      </c>
      <c r="B1072">
        <v>3</v>
      </c>
      <c r="C1072" s="72" t="s">
        <v>4</v>
      </c>
    </row>
    <row r="1073" spans="1:3">
      <c r="A1073" t="s">
        <v>2584</v>
      </c>
      <c r="B1073">
        <v>4</v>
      </c>
      <c r="C1073" s="72" t="s">
        <v>4</v>
      </c>
    </row>
    <row r="1074" spans="1:3">
      <c r="A1074" t="s">
        <v>2583</v>
      </c>
      <c r="B1074">
        <v>4</v>
      </c>
      <c r="C1074" s="72" t="s">
        <v>4</v>
      </c>
    </row>
    <row r="1075" spans="1:3">
      <c r="A1075" t="s">
        <v>2577</v>
      </c>
      <c r="B1075">
        <v>1</v>
      </c>
      <c r="C1075" s="72" t="s">
        <v>4</v>
      </c>
    </row>
    <row r="1076" spans="1:3">
      <c r="A1076" t="s">
        <v>2595</v>
      </c>
      <c r="B1076">
        <v>1</v>
      </c>
      <c r="C1076" s="72" t="s">
        <v>4</v>
      </c>
    </row>
    <row r="1077" spans="1:3">
      <c r="A1077" t="s">
        <v>2608</v>
      </c>
      <c r="B1077">
        <v>5</v>
      </c>
      <c r="C1077" s="72" t="s">
        <v>4</v>
      </c>
    </row>
    <row r="1078" spans="1:3">
      <c r="A1078" t="s">
        <v>2604</v>
      </c>
      <c r="B1078">
        <v>2</v>
      </c>
      <c r="C1078" s="72" t="s">
        <v>4</v>
      </c>
    </row>
    <row r="1079" spans="1:3">
      <c r="A1079" t="s">
        <v>2619</v>
      </c>
      <c r="B1079">
        <v>1</v>
      </c>
      <c r="C1079" s="72" t="s">
        <v>4</v>
      </c>
    </row>
    <row r="1080" spans="1:3">
      <c r="A1080" t="s">
        <v>2621</v>
      </c>
      <c r="B1080">
        <v>2</v>
      </c>
      <c r="C1080" s="72" t="s">
        <v>4</v>
      </c>
    </row>
    <row r="1081" spans="1:3">
      <c r="A1081" t="s">
        <v>2633</v>
      </c>
      <c r="B1081">
        <v>29</v>
      </c>
      <c r="C1081" s="72" t="s">
        <v>4</v>
      </c>
    </row>
    <row r="1082" spans="1:3">
      <c r="A1082" t="s">
        <v>2626</v>
      </c>
      <c r="B1082">
        <v>2</v>
      </c>
      <c r="C1082" s="72" t="s">
        <v>4</v>
      </c>
    </row>
    <row r="1083" spans="1:3">
      <c r="A1083" s="72" t="s">
        <v>2673</v>
      </c>
      <c r="B1083" s="69">
        <v>3</v>
      </c>
      <c r="C1083" s="72" t="s">
        <v>4</v>
      </c>
    </row>
    <row r="1084" spans="1:3">
      <c r="A1084" t="s">
        <v>2622</v>
      </c>
      <c r="B1084">
        <v>2</v>
      </c>
      <c r="C1084" s="72" t="s">
        <v>4</v>
      </c>
    </row>
    <row r="1085" spans="1:3">
      <c r="A1085" t="s">
        <v>2670</v>
      </c>
      <c r="B1085">
        <v>1</v>
      </c>
      <c r="C1085" s="72" t="s">
        <v>4</v>
      </c>
    </row>
    <row r="1086" spans="1:3">
      <c r="A1086" t="s">
        <v>2674</v>
      </c>
      <c r="B1086">
        <v>1</v>
      </c>
      <c r="C1086" s="72" t="s">
        <v>4</v>
      </c>
    </row>
    <row r="1087" spans="1:3">
      <c r="A1087" t="s">
        <v>2667</v>
      </c>
      <c r="B1087">
        <v>1</v>
      </c>
      <c r="C1087" s="72" t="s">
        <v>4</v>
      </c>
    </row>
    <row r="1088" spans="1:3">
      <c r="A1088" t="s">
        <v>2663</v>
      </c>
      <c r="B1088">
        <v>2</v>
      </c>
      <c r="C1088" s="72" t="s">
        <v>4</v>
      </c>
    </row>
    <row r="1089" spans="1:3">
      <c r="A1089" t="s">
        <v>2675</v>
      </c>
      <c r="B1089">
        <v>1</v>
      </c>
      <c r="C1089" s="72" t="s">
        <v>4</v>
      </c>
    </row>
    <row r="1090" spans="1:3">
      <c r="A1090" t="s">
        <v>2661</v>
      </c>
      <c r="B1090">
        <v>1</v>
      </c>
      <c r="C1090" s="72" t="s">
        <v>4</v>
      </c>
    </row>
    <row r="1091" spans="1:3">
      <c r="A1091" t="s">
        <v>2676</v>
      </c>
      <c r="B1091">
        <v>1</v>
      </c>
      <c r="C1091" s="72" t="s">
        <v>4</v>
      </c>
    </row>
    <row r="1092" spans="1:3">
      <c r="A1092" t="s">
        <v>2692</v>
      </c>
      <c r="B1092">
        <v>2</v>
      </c>
      <c r="C1092" s="72" t="s">
        <v>4</v>
      </c>
    </row>
    <row r="1093" spans="1:3">
      <c r="A1093" t="s">
        <v>2688</v>
      </c>
      <c r="B1093">
        <v>1</v>
      </c>
      <c r="C1093" s="72" t="s">
        <v>4</v>
      </c>
    </row>
    <row r="1094" spans="1:3">
      <c r="A1094" t="s">
        <v>2711</v>
      </c>
      <c r="B1094">
        <v>15</v>
      </c>
      <c r="C1094" s="72" t="s">
        <v>4</v>
      </c>
    </row>
    <row r="1095" spans="1:3">
      <c r="A1095" t="s">
        <v>2715</v>
      </c>
      <c r="B1095">
        <v>52</v>
      </c>
      <c r="C1095" s="72" t="s">
        <v>4</v>
      </c>
    </row>
    <row r="1096" spans="1:3">
      <c r="A1096" t="s">
        <v>2795</v>
      </c>
      <c r="B1096">
        <v>2</v>
      </c>
      <c r="C1096" s="72" t="s">
        <v>4</v>
      </c>
    </row>
    <row r="1097" spans="1:3">
      <c r="A1097" t="s">
        <v>2789</v>
      </c>
      <c r="B1097">
        <v>1</v>
      </c>
      <c r="C1097" s="72" t="s">
        <v>4</v>
      </c>
    </row>
    <row r="1098" spans="1:3">
      <c r="A1098" t="s">
        <v>2780</v>
      </c>
      <c r="B1098">
        <v>8</v>
      </c>
      <c r="C1098" s="72" t="s">
        <v>4</v>
      </c>
    </row>
    <row r="1099" spans="1:3">
      <c r="A1099" t="s">
        <v>2801</v>
      </c>
      <c r="B1099">
        <v>10</v>
      </c>
      <c r="C1099" s="72" t="s">
        <v>4</v>
      </c>
    </row>
    <row r="1100" spans="1:3">
      <c r="A1100" t="s">
        <v>2819</v>
      </c>
      <c r="B1100">
        <v>1</v>
      </c>
      <c r="C1100" s="72" t="s">
        <v>4</v>
      </c>
    </row>
    <row r="1101" spans="1:3">
      <c r="A1101" t="s">
        <v>2800</v>
      </c>
      <c r="B1101">
        <v>1</v>
      </c>
      <c r="C1101" s="72" t="s">
        <v>4</v>
      </c>
    </row>
    <row r="1102" spans="1:3">
      <c r="A1102" t="s">
        <v>2796</v>
      </c>
      <c r="B1102">
        <v>1</v>
      </c>
      <c r="C1102" s="72" t="s">
        <v>4</v>
      </c>
    </row>
    <row r="1103" spans="1:3">
      <c r="A1103" t="s">
        <v>2829</v>
      </c>
      <c r="B1103">
        <v>3</v>
      </c>
      <c r="C1103" s="72" t="s">
        <v>4</v>
      </c>
    </row>
    <row r="1104" spans="1:3">
      <c r="A1104" t="s">
        <v>2826</v>
      </c>
      <c r="B1104">
        <v>4</v>
      </c>
      <c r="C1104" s="72" t="s">
        <v>4</v>
      </c>
    </row>
    <row r="1105" spans="1:3">
      <c r="A1105" t="s">
        <v>2851</v>
      </c>
      <c r="B1105">
        <v>1</v>
      </c>
      <c r="C1105" s="72" t="s">
        <v>4</v>
      </c>
    </row>
    <row r="1106" spans="1:3">
      <c r="A1106" t="s">
        <v>2843</v>
      </c>
      <c r="B1106">
        <v>1</v>
      </c>
      <c r="C1106" s="72" t="s">
        <v>4</v>
      </c>
    </row>
    <row r="1107" spans="1:3">
      <c r="A1107" t="s">
        <v>2831</v>
      </c>
      <c r="B1107">
        <v>7</v>
      </c>
      <c r="C1107" s="72" t="s">
        <v>4</v>
      </c>
    </row>
    <row r="1108" spans="1:3">
      <c r="A1108" t="s">
        <v>2846</v>
      </c>
      <c r="B1108">
        <v>4</v>
      </c>
      <c r="C1108" s="72" t="s">
        <v>4</v>
      </c>
    </row>
    <row r="1109" spans="1:3">
      <c r="A1109" t="s">
        <v>2855</v>
      </c>
      <c r="B1109">
        <v>1</v>
      </c>
      <c r="C1109" t="s">
        <v>4</v>
      </c>
    </row>
    <row r="1110" spans="1:3">
      <c r="A1110" t="s">
        <v>2857</v>
      </c>
      <c r="B1110">
        <v>5</v>
      </c>
      <c r="C1110" s="72" t="s">
        <v>4</v>
      </c>
    </row>
    <row r="1111" spans="1:3">
      <c r="A1111" t="s">
        <v>2866</v>
      </c>
      <c r="B1111">
        <v>1</v>
      </c>
      <c r="C1111" s="72" t="s">
        <v>4</v>
      </c>
    </row>
    <row r="1112" spans="1:3">
      <c r="A1112" t="s">
        <v>2868</v>
      </c>
      <c r="B1112">
        <v>1</v>
      </c>
      <c r="C1112" s="72" t="s">
        <v>4</v>
      </c>
    </row>
    <row r="1113" spans="1:3">
      <c r="A1113" t="s">
        <v>2884</v>
      </c>
      <c r="B1113">
        <v>8</v>
      </c>
      <c r="C1113" s="72" t="s">
        <v>4</v>
      </c>
    </row>
    <row r="1114" spans="1:3">
      <c r="A1114" t="s">
        <v>2871</v>
      </c>
      <c r="B1114">
        <v>1</v>
      </c>
      <c r="C1114" s="72" t="s">
        <v>4</v>
      </c>
    </row>
    <row r="1115" spans="1:3">
      <c r="A1115" t="s">
        <v>3013</v>
      </c>
      <c r="B1115">
        <v>1</v>
      </c>
      <c r="C1115" s="72" t="s">
        <v>4</v>
      </c>
    </row>
    <row r="1116" spans="1:3">
      <c r="A1116" t="s">
        <v>3021</v>
      </c>
      <c r="B1116">
        <v>1</v>
      </c>
      <c r="C1116" s="72" t="s">
        <v>4</v>
      </c>
    </row>
    <row r="1117" spans="1:3">
      <c r="A1117" t="s">
        <v>3018</v>
      </c>
      <c r="B1117">
        <v>1</v>
      </c>
      <c r="C1117" s="72" t="s">
        <v>4</v>
      </c>
    </row>
    <row r="1118" spans="1:3">
      <c r="A1118" t="s">
        <v>3015</v>
      </c>
      <c r="B1118">
        <v>2</v>
      </c>
      <c r="C1118" s="72" t="s">
        <v>4</v>
      </c>
    </row>
    <row r="1119" spans="1:3">
      <c r="A1119" t="s">
        <v>2887</v>
      </c>
      <c r="B1119">
        <v>1</v>
      </c>
      <c r="C1119" s="72" t="s">
        <v>4</v>
      </c>
    </row>
    <row r="1120" spans="1:3">
      <c r="A1120" t="s">
        <v>2895</v>
      </c>
      <c r="B1120">
        <v>4</v>
      </c>
      <c r="C1120" s="72" t="s">
        <v>4</v>
      </c>
    </row>
    <row r="1121" spans="1:3">
      <c r="A1121" t="s">
        <v>2896</v>
      </c>
      <c r="B1121">
        <v>2</v>
      </c>
      <c r="C1121" s="72" t="s">
        <v>4</v>
      </c>
    </row>
    <row r="1122" spans="1:3">
      <c r="A1122" t="s">
        <v>2898</v>
      </c>
      <c r="B1122">
        <v>1</v>
      </c>
      <c r="C1122" s="72" t="s">
        <v>4</v>
      </c>
    </row>
    <row r="1123" spans="1:3">
      <c r="A1123" t="s">
        <v>2900</v>
      </c>
      <c r="B1123">
        <v>101</v>
      </c>
      <c r="C1123" s="72" t="s">
        <v>4</v>
      </c>
    </row>
    <row r="1124" spans="1:3">
      <c r="A1124" t="s">
        <v>3083</v>
      </c>
      <c r="B1124">
        <v>17</v>
      </c>
      <c r="C1124" s="72" t="s">
        <v>4</v>
      </c>
    </row>
    <row r="1125" spans="1:3">
      <c r="A1125" t="s">
        <v>3084</v>
      </c>
      <c r="B1125">
        <v>1</v>
      </c>
      <c r="C1125" s="72" t="s">
        <v>4</v>
      </c>
    </row>
    <row r="1126" spans="1:3">
      <c r="A1126" t="s">
        <v>3065</v>
      </c>
      <c r="B1126">
        <v>36</v>
      </c>
      <c r="C1126" s="84" t="s">
        <v>4</v>
      </c>
    </row>
    <row r="1127" spans="1:3">
      <c r="A1127" t="s">
        <v>3085</v>
      </c>
      <c r="B1127">
        <v>78</v>
      </c>
      <c r="C1127" s="84" t="s">
        <v>4</v>
      </c>
    </row>
    <row r="1128" spans="1:3">
      <c r="A1128" t="s">
        <v>3182</v>
      </c>
      <c r="B1128">
        <v>2</v>
      </c>
      <c r="C1128" s="84" t="s">
        <v>4</v>
      </c>
    </row>
    <row r="1129" spans="1:3">
      <c r="A1129" t="s">
        <v>3188</v>
      </c>
      <c r="B1129">
        <v>1</v>
      </c>
      <c r="C1129" s="84" t="s">
        <v>4</v>
      </c>
    </row>
    <row r="1130" spans="1:3">
      <c r="A1130" t="s">
        <v>3191</v>
      </c>
      <c r="B1130">
        <v>20</v>
      </c>
      <c r="C1130" s="84" t="s">
        <v>4</v>
      </c>
    </row>
    <row r="1131" spans="1:3">
      <c r="A1131" t="s">
        <v>3255</v>
      </c>
      <c r="B1131">
        <v>2</v>
      </c>
      <c r="C1131" s="84" t="s">
        <v>4</v>
      </c>
    </row>
    <row r="1132" spans="1:3">
      <c r="A1132" t="s">
        <v>3228</v>
      </c>
      <c r="B1132">
        <v>19</v>
      </c>
      <c r="C1132" s="84" t="s">
        <v>4</v>
      </c>
    </row>
    <row r="1133" spans="1:3">
      <c r="A1133" t="s">
        <v>3201</v>
      </c>
      <c r="B1133">
        <v>23</v>
      </c>
      <c r="C1133" s="84" t="s">
        <v>4</v>
      </c>
    </row>
    <row r="1134" spans="1:3">
      <c r="A1134" t="s">
        <v>3267</v>
      </c>
      <c r="B1134">
        <v>11</v>
      </c>
      <c r="C1134" s="84" t="s">
        <v>4</v>
      </c>
    </row>
    <row r="1135" spans="1:3">
      <c r="A1135" t="s">
        <v>3260</v>
      </c>
      <c r="B1135">
        <v>3</v>
      </c>
      <c r="C1135" s="84" t="s">
        <v>4</v>
      </c>
    </row>
    <row r="1136" spans="1:3">
      <c r="A1136" t="s">
        <v>3289</v>
      </c>
      <c r="B1136">
        <v>1</v>
      </c>
      <c r="C1136" s="84" t="s">
        <v>4</v>
      </c>
    </row>
    <row r="1137" spans="1:3">
      <c r="A1137" t="s">
        <v>3292</v>
      </c>
      <c r="B1137">
        <v>1</v>
      </c>
      <c r="C1137" s="84" t="s">
        <v>4</v>
      </c>
    </row>
    <row r="1138" spans="1:3">
      <c r="A1138" t="s">
        <v>3326</v>
      </c>
      <c r="B1138">
        <v>28</v>
      </c>
      <c r="C1138" s="84" t="s">
        <v>4</v>
      </c>
    </row>
    <row r="1139" spans="1:3">
      <c r="A1139" t="s">
        <v>3327</v>
      </c>
      <c r="B1139">
        <v>1</v>
      </c>
      <c r="C1139" s="84" t="s">
        <v>4</v>
      </c>
    </row>
    <row r="1140" spans="1:3">
      <c r="A1140" t="s">
        <v>3297</v>
      </c>
      <c r="B1140">
        <v>1</v>
      </c>
      <c r="C1140" s="89" t="s">
        <v>4</v>
      </c>
    </row>
    <row r="1141" spans="1:3">
      <c r="A1141" t="s">
        <v>3345</v>
      </c>
      <c r="B1141">
        <v>3</v>
      </c>
      <c r="C1141" s="89" t="s">
        <v>4</v>
      </c>
    </row>
    <row r="1142" spans="1:3">
      <c r="A1142" t="s">
        <v>3355</v>
      </c>
      <c r="B1142">
        <v>1</v>
      </c>
      <c r="C1142" s="89" t="s">
        <v>4</v>
      </c>
    </row>
    <row r="1143" spans="1:3">
      <c r="A1143" t="s">
        <v>3357</v>
      </c>
      <c r="B1143">
        <v>4</v>
      </c>
      <c r="C1143" s="89" t="s">
        <v>4</v>
      </c>
    </row>
    <row r="1144" spans="1:3">
      <c r="A1144" t="s">
        <v>3331</v>
      </c>
      <c r="B1144">
        <v>1</v>
      </c>
      <c r="C1144" s="89" t="s">
        <v>4</v>
      </c>
    </row>
    <row r="1145" spans="1:3">
      <c r="A1145" t="s">
        <v>3332</v>
      </c>
      <c r="B1145">
        <v>10</v>
      </c>
      <c r="C1145" s="89" t="s">
        <v>4</v>
      </c>
    </row>
    <row r="1146" spans="1:3">
      <c r="A1146" t="s">
        <v>3368</v>
      </c>
      <c r="B1146">
        <v>2</v>
      </c>
      <c r="C1146" s="89" t="s">
        <v>4</v>
      </c>
    </row>
    <row r="1147" spans="1:3">
      <c r="A1147" t="s">
        <v>3374</v>
      </c>
      <c r="B1147">
        <v>1</v>
      </c>
      <c r="C1147" s="89" t="s">
        <v>4</v>
      </c>
    </row>
    <row r="1148" spans="1:3">
      <c r="A1148" t="s">
        <v>3384</v>
      </c>
      <c r="B1148">
        <v>9</v>
      </c>
      <c r="C1148" s="89" t="s">
        <v>4</v>
      </c>
    </row>
    <row r="1149" spans="1:3">
      <c r="A1149" t="s">
        <v>3395</v>
      </c>
      <c r="B1149">
        <v>55</v>
      </c>
      <c r="C1149" s="89" t="s">
        <v>4</v>
      </c>
    </row>
    <row r="1150" spans="1:3">
      <c r="A1150" t="s">
        <v>3403</v>
      </c>
      <c r="B1150">
        <v>1</v>
      </c>
      <c r="C1150" s="89" t="s">
        <v>4</v>
      </c>
    </row>
    <row r="1151" spans="1:3">
      <c r="A1151" t="s">
        <v>3380</v>
      </c>
      <c r="B1151">
        <v>2</v>
      </c>
      <c r="C1151" s="89" t="s">
        <v>4</v>
      </c>
    </row>
    <row r="1152" spans="1:3">
      <c r="A1152" t="s">
        <v>3375</v>
      </c>
      <c r="B1152">
        <v>1</v>
      </c>
      <c r="C1152" s="89" t="s">
        <v>4</v>
      </c>
    </row>
    <row r="1153" spans="1:3">
      <c r="A1153" t="s">
        <v>3404</v>
      </c>
      <c r="B1153">
        <v>112</v>
      </c>
      <c r="C1153" s="89" t="s">
        <v>4</v>
      </c>
    </row>
    <row r="1154" spans="1:3">
      <c r="A1154" t="s">
        <v>3547</v>
      </c>
      <c r="B1154">
        <v>7</v>
      </c>
      <c r="C1154" s="89" t="s">
        <v>4</v>
      </c>
    </row>
    <row r="1155" spans="1:3">
      <c r="A1155" t="s">
        <v>3559</v>
      </c>
      <c r="B1155">
        <v>8</v>
      </c>
      <c r="C1155" s="89" t="s">
        <v>4</v>
      </c>
    </row>
    <row r="1156" spans="1:3">
      <c r="A1156" t="s">
        <v>3568</v>
      </c>
      <c r="B1156">
        <v>5</v>
      </c>
      <c r="C1156" s="89" t="s">
        <v>4</v>
      </c>
    </row>
    <row r="1157" spans="1:3">
      <c r="A1157" t="s">
        <v>3575</v>
      </c>
      <c r="B1157">
        <v>14</v>
      </c>
      <c r="C1157" s="89" t="s">
        <v>4</v>
      </c>
    </row>
    <row r="1158" spans="1:3">
      <c r="A1158" t="s">
        <v>3599</v>
      </c>
      <c r="B1158">
        <v>3</v>
      </c>
      <c r="C1158" s="89" t="s">
        <v>4</v>
      </c>
    </row>
    <row r="1159" spans="1:3">
      <c r="A1159" t="s">
        <v>3347</v>
      </c>
      <c r="B1159">
        <v>6</v>
      </c>
      <c r="C1159" s="89" t="s">
        <v>4</v>
      </c>
    </row>
    <row r="1160" spans="1:3">
      <c r="A1160" t="s">
        <v>3620</v>
      </c>
      <c r="B1160">
        <v>1</v>
      </c>
      <c r="C1160" s="93" t="s">
        <v>4</v>
      </c>
    </row>
    <row r="1161" spans="1:3">
      <c r="A1161" t="s">
        <v>3600</v>
      </c>
      <c r="B1161">
        <v>6</v>
      </c>
      <c r="C1161" s="93" t="s">
        <v>4</v>
      </c>
    </row>
    <row r="1162" spans="1:3">
      <c r="A1162" t="s">
        <v>3624</v>
      </c>
      <c r="B1162">
        <v>2</v>
      </c>
      <c r="C1162" s="93" t="s">
        <v>4</v>
      </c>
    </row>
    <row r="1163" spans="1:3">
      <c r="A1163" t="s">
        <v>3608</v>
      </c>
      <c r="B1163">
        <v>5</v>
      </c>
      <c r="C1163" s="93" t="s">
        <v>4</v>
      </c>
    </row>
    <row r="1164" spans="1:3">
      <c r="A1164" t="s">
        <v>3619</v>
      </c>
      <c r="B1164">
        <v>1</v>
      </c>
      <c r="C1164" s="93" t="s">
        <v>4</v>
      </c>
    </row>
    <row r="1165" spans="1:3">
      <c r="A1165" t="s">
        <v>3627</v>
      </c>
      <c r="B1165">
        <v>6</v>
      </c>
      <c r="C1165" s="93" t="s">
        <v>4</v>
      </c>
    </row>
    <row r="1166" spans="1:3">
      <c r="A1166" t="s">
        <v>3638</v>
      </c>
      <c r="B1166">
        <v>1</v>
      </c>
      <c r="C1166" s="93" t="s">
        <v>4</v>
      </c>
    </row>
    <row r="1167" spans="1:3">
      <c r="A1167" t="s">
        <v>3640</v>
      </c>
      <c r="B1167">
        <v>98</v>
      </c>
      <c r="C1167" s="93" t="s">
        <v>4</v>
      </c>
    </row>
    <row r="1168" spans="1:3">
      <c r="A1168" t="s">
        <v>3747</v>
      </c>
      <c r="B1168">
        <v>319</v>
      </c>
      <c r="C1168" s="93" t="s">
        <v>4</v>
      </c>
    </row>
    <row r="1169" spans="1:3">
      <c r="A1169" t="s">
        <v>4074</v>
      </c>
      <c r="B1169">
        <v>1</v>
      </c>
      <c r="C1169" s="93" t="s">
        <v>4</v>
      </c>
    </row>
    <row r="1170" spans="1:3">
      <c r="A1170" t="s">
        <v>4076</v>
      </c>
      <c r="B1170">
        <v>5</v>
      </c>
      <c r="C1170" s="93" t="s">
        <v>4</v>
      </c>
    </row>
    <row r="1171" spans="1:3">
      <c r="A1171" t="s">
        <v>4083</v>
      </c>
      <c r="B1171">
        <v>7</v>
      </c>
      <c r="C1171" s="93" t="s">
        <v>4</v>
      </c>
    </row>
    <row r="1172" spans="1:3">
      <c r="A1172" t="s">
        <v>4092</v>
      </c>
      <c r="B1172">
        <v>1</v>
      </c>
      <c r="C1172" s="97" t="s">
        <v>4</v>
      </c>
    </row>
    <row r="1173" spans="1:3">
      <c r="A1173" t="s">
        <v>4097</v>
      </c>
      <c r="B1173">
        <v>1</v>
      </c>
      <c r="C1173" s="97" t="s">
        <v>4</v>
      </c>
    </row>
    <row r="1174" spans="1:3">
      <c r="A1174" t="s">
        <v>4115</v>
      </c>
      <c r="B1174">
        <v>8</v>
      </c>
      <c r="C1174" s="103" t="s">
        <v>4</v>
      </c>
    </row>
    <row r="1175" spans="1:3">
      <c r="A1175" t="s">
        <v>4118</v>
      </c>
      <c r="B1175">
        <v>1</v>
      </c>
      <c r="C1175" s="103" t="s">
        <v>4</v>
      </c>
    </row>
    <row r="1176" spans="1:3">
      <c r="A1176" t="s">
        <v>4123</v>
      </c>
      <c r="B1176">
        <v>1</v>
      </c>
      <c r="C1176" s="103" t="s">
        <v>4</v>
      </c>
    </row>
    <row r="1177" spans="1:3">
      <c r="A1177" t="s">
        <v>4098</v>
      </c>
      <c r="B1177">
        <v>1</v>
      </c>
      <c r="C1177" s="103" t="s">
        <v>4</v>
      </c>
    </row>
    <row r="1178" spans="1:3">
      <c r="A1178" t="s">
        <v>4103</v>
      </c>
      <c r="B1178">
        <v>2</v>
      </c>
      <c r="C1178" s="103" t="s">
        <v>4</v>
      </c>
    </row>
    <row r="1179" spans="1:3">
      <c r="A1179" t="s">
        <v>4119</v>
      </c>
      <c r="B1179">
        <v>2</v>
      </c>
      <c r="C1179" s="103" t="s">
        <v>4</v>
      </c>
    </row>
    <row r="1180" spans="1:3">
      <c r="A1180" t="s">
        <v>4133</v>
      </c>
      <c r="B1180">
        <v>7</v>
      </c>
      <c r="C1180" s="103" t="s">
        <v>4</v>
      </c>
    </row>
    <row r="1181" spans="1:3">
      <c r="A1181" t="s">
        <v>3291</v>
      </c>
      <c r="B1181">
        <v>4</v>
      </c>
      <c r="C1181" s="103" t="s">
        <v>4</v>
      </c>
    </row>
    <row r="1182" spans="1:3">
      <c r="A1182" t="s">
        <v>4139</v>
      </c>
      <c r="B1182">
        <v>35</v>
      </c>
      <c r="C1182" s="103" t="s">
        <v>4</v>
      </c>
    </row>
    <row r="1183" spans="1:3">
      <c r="A1183" t="s">
        <v>4180</v>
      </c>
      <c r="B1183">
        <v>1</v>
      </c>
      <c r="C1183" s="103" t="s">
        <v>4</v>
      </c>
    </row>
    <row r="1184" spans="1:3">
      <c r="A1184" t="s">
        <v>4187</v>
      </c>
      <c r="B1184">
        <v>5</v>
      </c>
      <c r="C1184" s="103" t="s">
        <v>4</v>
      </c>
    </row>
    <row r="1185" spans="1:3">
      <c r="A1185" t="s">
        <v>4188</v>
      </c>
      <c r="B1185">
        <v>82</v>
      </c>
      <c r="C1185" s="103" t="s">
        <v>4</v>
      </c>
    </row>
    <row r="1186" spans="1:3">
      <c r="A1186" t="s">
        <v>4287</v>
      </c>
      <c r="B1186">
        <v>14</v>
      </c>
      <c r="C1186" s="103" t="s">
        <v>4</v>
      </c>
    </row>
    <row r="1187" spans="1:3">
      <c r="A1187" t="s">
        <v>4290</v>
      </c>
      <c r="B1187">
        <v>1</v>
      </c>
      <c r="C1187" s="103" t="s">
        <v>4</v>
      </c>
    </row>
    <row r="1188" spans="1:3">
      <c r="A1188" t="s">
        <v>4293</v>
      </c>
      <c r="B1188">
        <v>1</v>
      </c>
      <c r="C1188" s="103" t="s">
        <v>4</v>
      </c>
    </row>
    <row r="1189" spans="1:3">
      <c r="A1189" t="s">
        <v>4294</v>
      </c>
      <c r="B1189">
        <v>1</v>
      </c>
      <c r="C1189" s="103" t="s">
        <v>4</v>
      </c>
    </row>
    <row r="1190" spans="1:3">
      <c r="A1190" t="s">
        <v>4304</v>
      </c>
      <c r="B1190">
        <v>2</v>
      </c>
      <c r="C1190" s="103" t="s">
        <v>4</v>
      </c>
    </row>
    <row r="1191" spans="1:3">
      <c r="A1191" t="s">
        <v>4328</v>
      </c>
      <c r="B1191">
        <v>2</v>
      </c>
      <c r="C1191" s="103" t="s">
        <v>4</v>
      </c>
    </row>
    <row r="1192" spans="1:3">
      <c r="A1192" t="s">
        <v>4312</v>
      </c>
      <c r="B1192">
        <v>9</v>
      </c>
      <c r="C1192" s="103" t="s">
        <v>4</v>
      </c>
    </row>
    <row r="1193" spans="1:3">
      <c r="A1193" t="s">
        <v>4335</v>
      </c>
      <c r="B1193">
        <v>58</v>
      </c>
      <c r="C1193" s="103" t="s">
        <v>4</v>
      </c>
    </row>
    <row r="1194" spans="1:3">
      <c r="A1194" t="s">
        <v>4334</v>
      </c>
      <c r="B1194">
        <v>1</v>
      </c>
      <c r="C1194" s="103" t="s">
        <v>4</v>
      </c>
    </row>
    <row r="1195" spans="1:3">
      <c r="A1195" t="s">
        <v>4415</v>
      </c>
      <c r="B1195">
        <v>1</v>
      </c>
      <c r="C1195" s="103" t="s">
        <v>4</v>
      </c>
    </row>
    <row r="1196" spans="1:3">
      <c r="A1196" t="s">
        <v>4301</v>
      </c>
      <c r="B1196">
        <v>4</v>
      </c>
      <c r="C1196" s="117" t="s">
        <v>4</v>
      </c>
    </row>
    <row r="1197" spans="1:3">
      <c r="A1197" t="s">
        <v>4782</v>
      </c>
      <c r="B1197">
        <v>2</v>
      </c>
      <c r="C1197" s="117" t="s">
        <v>4</v>
      </c>
    </row>
    <row r="1198" spans="1:3">
      <c r="A1198" t="s">
        <v>4765</v>
      </c>
      <c r="B1198">
        <v>12</v>
      </c>
      <c r="C1198" s="117" t="s">
        <v>4</v>
      </c>
    </row>
    <row r="1199" spans="1:3">
      <c r="A1199" t="s">
        <v>4755</v>
      </c>
      <c r="B1199">
        <v>8</v>
      </c>
      <c r="C1199" s="117" t="s">
        <v>4</v>
      </c>
    </row>
    <row r="1200" spans="1:3">
      <c r="A1200" t="s">
        <v>4420</v>
      </c>
      <c r="B1200">
        <v>1</v>
      </c>
      <c r="C1200" s="117" t="s">
        <v>4</v>
      </c>
    </row>
    <row r="1201" spans="1:3">
      <c r="A1201" t="s">
        <v>4422</v>
      </c>
      <c r="B1201">
        <v>311</v>
      </c>
      <c r="C1201" s="117" t="s">
        <v>4</v>
      </c>
    </row>
    <row r="1202" spans="1:3">
      <c r="A1202" t="s">
        <v>4418</v>
      </c>
      <c r="B1202">
        <v>1</v>
      </c>
      <c r="C1202" s="117" t="s">
        <v>4</v>
      </c>
    </row>
    <row r="1203" spans="1:3">
      <c r="A1203" t="s">
        <v>4786</v>
      </c>
      <c r="B1203">
        <v>1</v>
      </c>
      <c r="C1203" s="117" t="s">
        <v>4</v>
      </c>
    </row>
    <row r="1204" spans="1:3">
      <c r="A1204" t="s">
        <v>4788</v>
      </c>
      <c r="B1204">
        <v>7</v>
      </c>
      <c r="C1204" s="117" t="s">
        <v>4</v>
      </c>
    </row>
    <row r="1205" spans="1:3">
      <c r="A1205" t="s">
        <v>4796</v>
      </c>
      <c r="B1205">
        <v>1</v>
      </c>
      <c r="C1205" s="117" t="s">
        <v>4</v>
      </c>
    </row>
    <row r="1206" spans="1:3">
      <c r="A1206" t="s">
        <v>4799</v>
      </c>
      <c r="B1206">
        <v>1</v>
      </c>
      <c r="C1206" s="117" t="s">
        <v>4</v>
      </c>
    </row>
    <row r="1207" spans="1:3">
      <c r="A1207" t="s">
        <v>4808</v>
      </c>
      <c r="B1207">
        <v>3</v>
      </c>
      <c r="C1207" s="117" t="s">
        <v>4</v>
      </c>
    </row>
    <row r="1208" spans="1:3">
      <c r="A1208" t="s">
        <v>4812</v>
      </c>
      <c r="B1208">
        <v>1</v>
      </c>
      <c r="C1208" s="117" t="s">
        <v>4</v>
      </c>
    </row>
    <row r="1209" spans="1:3">
      <c r="A1209" t="s">
        <v>4814</v>
      </c>
      <c r="B1209">
        <v>3</v>
      </c>
      <c r="C1209" s="117" t="s">
        <v>4</v>
      </c>
    </row>
    <row r="1210" spans="1:3">
      <c r="A1210" t="s">
        <v>4816</v>
      </c>
      <c r="B1210">
        <v>2</v>
      </c>
      <c r="C1210" s="117" t="s">
        <v>4</v>
      </c>
    </row>
    <row r="1211" spans="1:3">
      <c r="A1211" t="s">
        <v>4308</v>
      </c>
      <c r="B1211">
        <v>2</v>
      </c>
      <c r="C1211" s="117" t="s">
        <v>4</v>
      </c>
    </row>
    <row r="1212" spans="1:3">
      <c r="A1212" t="s">
        <v>4823</v>
      </c>
      <c r="B1212">
        <v>1</v>
      </c>
      <c r="C1212" s="117" t="s">
        <v>4</v>
      </c>
    </row>
    <row r="1213" spans="1:3">
      <c r="A1213" t="s">
        <v>4825</v>
      </c>
      <c r="B1213">
        <v>1</v>
      </c>
      <c r="C1213" s="117" t="s">
        <v>4</v>
      </c>
    </row>
    <row r="1214" spans="1:3">
      <c r="A1214" t="s">
        <v>4830</v>
      </c>
      <c r="B1214">
        <v>1</v>
      </c>
      <c r="C1214" s="121" t="s">
        <v>4</v>
      </c>
    </row>
    <row r="1215" spans="1:3">
      <c r="A1215" t="s">
        <v>4834</v>
      </c>
      <c r="B1215">
        <v>1</v>
      </c>
      <c r="C1215" s="121" t="s">
        <v>4</v>
      </c>
    </row>
    <row r="1216" spans="1:3">
      <c r="A1216" t="s">
        <v>4838</v>
      </c>
      <c r="B1216">
        <v>2</v>
      </c>
      <c r="C1216" s="121" t="s">
        <v>4</v>
      </c>
    </row>
    <row r="1217" spans="1:3">
      <c r="A1217" t="s">
        <v>4842</v>
      </c>
      <c r="B1217">
        <v>1</v>
      </c>
      <c r="C1217" s="124" t="s">
        <v>4</v>
      </c>
    </row>
    <row r="1218" spans="1:3">
      <c r="A1218" t="s">
        <v>4844</v>
      </c>
      <c r="B1218">
        <v>1</v>
      </c>
      <c r="C1218" s="124" t="s">
        <v>4</v>
      </c>
    </row>
    <row r="1219" spans="1:3">
      <c r="A1219" t="s">
        <v>4846</v>
      </c>
      <c r="B1219">
        <v>1</v>
      </c>
      <c r="C1219" s="124" t="s">
        <v>4</v>
      </c>
    </row>
    <row r="1220" spans="1:3">
      <c r="A1220" t="s">
        <v>4854</v>
      </c>
      <c r="B1220">
        <v>1</v>
      </c>
      <c r="C1220" s="124" t="s">
        <v>4</v>
      </c>
    </row>
    <row r="1221" spans="1:3">
      <c r="A1221" t="s">
        <v>4857</v>
      </c>
      <c r="B1221">
        <v>1</v>
      </c>
      <c r="C1221" s="124" t="s">
        <v>4</v>
      </c>
    </row>
    <row r="1222" spans="1:3">
      <c r="A1222" t="s">
        <v>4858</v>
      </c>
      <c r="B1222">
        <v>1</v>
      </c>
      <c r="C1222" s="124" t="s">
        <v>4</v>
      </c>
    </row>
    <row r="1223" spans="1:3">
      <c r="A1223" t="s">
        <v>4848</v>
      </c>
      <c r="B1223">
        <v>1</v>
      </c>
      <c r="C1223" s="124" t="s">
        <v>4</v>
      </c>
    </row>
    <row r="1224" spans="1:3">
      <c r="A1224" t="s">
        <v>4853</v>
      </c>
      <c r="B1224">
        <v>4</v>
      </c>
      <c r="C1224" s="124" t="s">
        <v>4</v>
      </c>
    </row>
    <row r="1225" spans="1:3">
      <c r="A1225" t="s">
        <v>4862</v>
      </c>
      <c r="B1225">
        <v>1</v>
      </c>
      <c r="C1225" s="124" t="s">
        <v>4</v>
      </c>
    </row>
    <row r="1226" spans="1:3">
      <c r="A1226" t="s">
        <v>4866</v>
      </c>
      <c r="B1226">
        <v>18</v>
      </c>
      <c r="C1226" s="124" t="s">
        <v>4</v>
      </c>
    </row>
    <row r="1227" spans="1:3">
      <c r="A1227" t="s">
        <v>4892</v>
      </c>
      <c r="B1227">
        <v>7</v>
      </c>
      <c r="C1227" s="124" t="s">
        <v>4</v>
      </c>
    </row>
    <row r="1228" spans="1:3">
      <c r="A1228" t="s">
        <v>4895</v>
      </c>
      <c r="B1228">
        <v>3</v>
      </c>
      <c r="C1228" s="124" t="s">
        <v>4</v>
      </c>
    </row>
    <row r="1229" spans="1:3">
      <c r="A1229" t="s">
        <v>4902</v>
      </c>
      <c r="B1229">
        <v>2</v>
      </c>
      <c r="C1229" s="124" t="s">
        <v>4</v>
      </c>
    </row>
    <row r="1230" spans="1:3">
      <c r="A1230" t="s">
        <v>4903</v>
      </c>
      <c r="B1230">
        <v>3</v>
      </c>
      <c r="C1230" s="124" t="s">
        <v>4</v>
      </c>
    </row>
    <row r="1231" spans="1:3">
      <c r="A1231" t="s">
        <v>4906</v>
      </c>
      <c r="B1231">
        <v>2</v>
      </c>
      <c r="C1231" s="124" t="s">
        <v>4</v>
      </c>
    </row>
    <row r="1232" spans="1:3">
      <c r="A1232" t="s">
        <v>4907</v>
      </c>
      <c r="B1232">
        <v>1</v>
      </c>
      <c r="C1232" s="124" t="s">
        <v>4</v>
      </c>
    </row>
    <row r="1233" spans="1:3">
      <c r="A1233" s="126" t="s">
        <v>4917</v>
      </c>
      <c r="B1233" s="30">
        <v>3</v>
      </c>
      <c r="C1233" s="124" t="s">
        <v>4</v>
      </c>
    </row>
    <row r="1234" spans="1:3">
      <c r="A1234" s="126" t="s">
        <v>4919</v>
      </c>
      <c r="B1234" s="30">
        <v>1</v>
      </c>
      <c r="C1234" s="124" t="s">
        <v>4</v>
      </c>
    </row>
    <row r="1235" spans="1:3">
      <c r="A1235" s="126" t="s">
        <v>4933</v>
      </c>
      <c r="B1235" s="30">
        <v>7</v>
      </c>
      <c r="C1235" s="124" t="s">
        <v>4</v>
      </c>
    </row>
    <row r="1236" spans="1:3">
      <c r="A1236" s="126" t="s">
        <v>4934</v>
      </c>
      <c r="B1236" s="30">
        <v>18</v>
      </c>
      <c r="C1236" s="124" t="s">
        <v>4</v>
      </c>
    </row>
    <row r="1237" spans="1:3">
      <c r="A1237" s="126" t="s">
        <v>5258</v>
      </c>
      <c r="B1237" s="30">
        <v>295</v>
      </c>
      <c r="C1237" s="124" t="s">
        <v>4</v>
      </c>
    </row>
    <row r="1238" spans="1:3">
      <c r="A1238" t="s">
        <v>5271</v>
      </c>
      <c r="B1238">
        <v>11</v>
      </c>
      <c r="C1238" s="124" t="s">
        <v>4</v>
      </c>
    </row>
    <row r="1239" spans="1:3">
      <c r="A1239" t="s">
        <v>5493</v>
      </c>
      <c r="B1239">
        <v>13</v>
      </c>
      <c r="C1239" s="124" t="s">
        <v>4</v>
      </c>
    </row>
    <row r="1240" spans="1:3">
      <c r="A1240" t="s">
        <v>5499</v>
      </c>
      <c r="B1240">
        <v>2</v>
      </c>
      <c r="C1240" s="124" t="s">
        <v>4</v>
      </c>
    </row>
    <row r="1241" spans="1:3">
      <c r="A1241" t="s">
        <v>5502</v>
      </c>
      <c r="B1241">
        <v>19</v>
      </c>
      <c r="C1241" s="124" t="s">
        <v>4</v>
      </c>
    </row>
    <row r="1242" spans="1:3">
      <c r="A1242" t="s">
        <v>5524</v>
      </c>
      <c r="B1242">
        <v>2</v>
      </c>
      <c r="C1242" s="124" t="s">
        <v>4</v>
      </c>
    </row>
    <row r="1243" spans="1:3">
      <c r="A1243" t="s">
        <v>5533</v>
      </c>
      <c r="B1243">
        <v>10</v>
      </c>
      <c r="C1243" s="124" t="s">
        <v>4</v>
      </c>
    </row>
    <row r="1244" spans="1:3">
      <c r="A1244" t="s">
        <v>5522</v>
      </c>
      <c r="B1244">
        <v>1</v>
      </c>
      <c r="C1244" s="124" t="s">
        <v>4</v>
      </c>
    </row>
    <row r="1245" spans="1:3">
      <c r="A1245" t="s">
        <v>5529</v>
      </c>
      <c r="B1245">
        <v>1</v>
      </c>
      <c r="C1245" s="124" t="s">
        <v>4</v>
      </c>
    </row>
    <row r="1246" spans="1:3">
      <c r="A1246" t="s">
        <v>5530</v>
      </c>
      <c r="B1246">
        <v>8</v>
      </c>
      <c r="C1246" s="124" t="s">
        <v>4</v>
      </c>
    </row>
    <row r="1247" spans="1:3">
      <c r="A1247" t="s">
        <v>5546</v>
      </c>
      <c r="B1247">
        <v>1</v>
      </c>
      <c r="C1247" s="124" t="s">
        <v>4</v>
      </c>
    </row>
    <row r="1248" spans="1:3">
      <c r="A1248" t="s">
        <v>5549</v>
      </c>
      <c r="B1248">
        <v>1</v>
      </c>
      <c r="C1248" s="124" t="s">
        <v>4</v>
      </c>
    </row>
    <row r="1249" spans="1:3">
      <c r="A1249" t="s">
        <v>5554</v>
      </c>
      <c r="B1249">
        <v>7</v>
      </c>
      <c r="C1249" s="128" t="s">
        <v>4</v>
      </c>
    </row>
    <row r="1250" spans="1:3">
      <c r="A1250" t="s">
        <v>5571</v>
      </c>
      <c r="B1250">
        <v>1</v>
      </c>
      <c r="C1250" s="128" t="s">
        <v>4</v>
      </c>
    </row>
    <row r="1251" spans="1:3">
      <c r="A1251" t="s">
        <v>5574</v>
      </c>
      <c r="B1251">
        <v>2</v>
      </c>
      <c r="C1251" s="135" t="s">
        <v>4</v>
      </c>
    </row>
    <row r="1252" spans="1:3">
      <c r="A1252" t="s">
        <v>5669</v>
      </c>
      <c r="B1252">
        <v>93</v>
      </c>
      <c r="C1252" s="135" t="s">
        <v>4</v>
      </c>
    </row>
    <row r="1253" spans="1:3">
      <c r="A1253" t="s">
        <v>5670</v>
      </c>
      <c r="B1253">
        <v>1</v>
      </c>
      <c r="C1253" s="135" t="s">
        <v>4</v>
      </c>
    </row>
    <row r="1254" spans="1:3">
      <c r="A1254" t="s">
        <v>5672</v>
      </c>
      <c r="B1254">
        <v>6</v>
      </c>
      <c r="C1254" s="135" t="s">
        <v>4</v>
      </c>
    </row>
    <row r="1255" spans="1:3">
      <c r="A1255" t="s">
        <v>5683</v>
      </c>
      <c r="B1255">
        <v>12</v>
      </c>
      <c r="C1255" s="135" t="s">
        <v>4</v>
      </c>
    </row>
    <row r="1256" spans="1:3">
      <c r="A1256" t="s">
        <v>5696</v>
      </c>
      <c r="B1256">
        <v>1</v>
      </c>
      <c r="C1256" s="135" t="s">
        <v>4</v>
      </c>
    </row>
    <row r="1257" spans="1:3">
      <c r="A1257" t="s">
        <v>5700</v>
      </c>
      <c r="B1257">
        <v>5</v>
      </c>
      <c r="C1257" s="135" t="s">
        <v>4</v>
      </c>
    </row>
    <row r="1258" spans="1:3">
      <c r="A1258" t="s">
        <v>5710</v>
      </c>
      <c r="B1258">
        <v>12</v>
      </c>
      <c r="C1258" s="135" t="s">
        <v>4</v>
      </c>
    </row>
    <row r="1259" spans="1:3">
      <c r="A1259" t="s">
        <v>5721</v>
      </c>
      <c r="B1259">
        <v>8</v>
      </c>
      <c r="C1259" s="135" t="s">
        <v>4</v>
      </c>
    </row>
    <row r="1260" spans="1:3">
      <c r="A1260" t="s">
        <v>5731</v>
      </c>
      <c r="B1260">
        <v>2</v>
      </c>
      <c r="C1260" s="135" t="s">
        <v>4</v>
      </c>
    </row>
    <row r="1261" spans="1:3">
      <c r="A1261" t="s">
        <v>5708</v>
      </c>
      <c r="B1261">
        <v>1</v>
      </c>
      <c r="C1261" s="135" t="s">
        <v>4</v>
      </c>
    </row>
    <row r="1262" spans="1:3">
      <c r="A1262" t="s">
        <v>5734</v>
      </c>
      <c r="B1262">
        <v>1</v>
      </c>
      <c r="C1262" s="135" t="s">
        <v>4</v>
      </c>
    </row>
    <row r="1263" spans="1:3">
      <c r="A1263" t="s">
        <v>5737</v>
      </c>
      <c r="B1263">
        <v>1</v>
      </c>
      <c r="C1263" s="135" t="s">
        <v>4</v>
      </c>
    </row>
    <row r="1264" spans="1:3">
      <c r="A1264" t="s">
        <v>5741</v>
      </c>
      <c r="B1264">
        <v>18</v>
      </c>
      <c r="C1264" s="135" t="s">
        <v>4</v>
      </c>
    </row>
    <row r="1265" spans="1:3">
      <c r="A1265" t="s">
        <v>5855</v>
      </c>
      <c r="B1265">
        <v>2</v>
      </c>
      <c r="C1265" s="135" t="s">
        <v>4</v>
      </c>
    </row>
    <row r="1266" spans="1:3">
      <c r="A1266" t="s">
        <v>5774</v>
      </c>
      <c r="B1266">
        <v>35</v>
      </c>
      <c r="C1266" s="138" t="s">
        <v>4</v>
      </c>
    </row>
    <row r="1267" spans="1:3">
      <c r="A1267" t="s">
        <v>5815</v>
      </c>
      <c r="B1267">
        <v>36</v>
      </c>
      <c r="C1267" s="138" t="s">
        <v>4</v>
      </c>
    </row>
    <row r="1268" spans="1:3">
      <c r="A1268" t="s">
        <v>5856</v>
      </c>
      <c r="B1268">
        <v>60</v>
      </c>
      <c r="C1268" s="138" t="s">
        <v>4</v>
      </c>
    </row>
    <row r="1269" spans="1:3">
      <c r="A1269" t="s">
        <v>5918</v>
      </c>
      <c r="B1269">
        <v>5</v>
      </c>
      <c r="C1269" s="138" t="s">
        <v>4</v>
      </c>
    </row>
    <row r="1270" spans="1:3">
      <c r="A1270" t="s">
        <v>5920</v>
      </c>
      <c r="B1270">
        <v>19</v>
      </c>
      <c r="C1270" s="138" t="s">
        <v>4</v>
      </c>
    </row>
    <row r="1271" spans="1:3">
      <c r="A1271" t="s">
        <v>6089</v>
      </c>
      <c r="B1271">
        <v>5</v>
      </c>
      <c r="C1271" s="138" t="s">
        <v>4</v>
      </c>
    </row>
    <row r="1272" spans="1:3">
      <c r="A1272" t="s">
        <v>6098</v>
      </c>
      <c r="B1272">
        <v>7</v>
      </c>
      <c r="C1272" s="138" t="s">
        <v>4</v>
      </c>
    </row>
    <row r="1273" spans="1:3">
      <c r="A1273" s="138" t="s">
        <v>5815</v>
      </c>
      <c r="B1273" s="30">
        <v>35</v>
      </c>
      <c r="C1273" s="138" t="s">
        <v>4</v>
      </c>
    </row>
    <row r="1274" spans="1:3">
      <c r="A1274" t="s">
        <v>6106</v>
      </c>
      <c r="B1274">
        <v>39</v>
      </c>
      <c r="C1274" s="139" t="s">
        <v>4</v>
      </c>
    </row>
    <row r="1275" spans="1:3">
      <c r="A1275" t="s">
        <v>6147</v>
      </c>
      <c r="B1275">
        <v>1</v>
      </c>
      <c r="C1275" s="144" t="s">
        <v>4</v>
      </c>
    </row>
    <row r="1276" spans="1:3">
      <c r="A1276" t="s">
        <v>6161</v>
      </c>
      <c r="B1276">
        <v>1</v>
      </c>
      <c r="C1276" s="144" t="s">
        <v>4</v>
      </c>
    </row>
    <row r="1277" spans="1:3">
      <c r="A1277" t="s">
        <v>6099</v>
      </c>
      <c r="B1277">
        <v>3</v>
      </c>
      <c r="C1277" s="144" t="s">
        <v>4</v>
      </c>
    </row>
    <row r="1278" spans="1:3">
      <c r="A1278" t="s">
        <v>6217</v>
      </c>
      <c r="B1278">
        <v>1</v>
      </c>
      <c r="C1278" s="149" t="s">
        <v>4</v>
      </c>
    </row>
    <row r="1279" spans="1:3">
      <c r="A1279" t="s">
        <v>6236</v>
      </c>
      <c r="B1279">
        <v>17</v>
      </c>
      <c r="C1279" s="149" t="s">
        <v>4</v>
      </c>
    </row>
    <row r="1280" spans="1:3">
      <c r="A1280" t="s">
        <v>6239</v>
      </c>
      <c r="B1280">
        <v>1</v>
      </c>
      <c r="C1280" s="149" t="s">
        <v>4</v>
      </c>
    </row>
    <row r="1281" spans="1:3">
      <c r="A1281" t="s">
        <v>6241</v>
      </c>
      <c r="B1281">
        <v>4</v>
      </c>
      <c r="C1281" s="149" t="s">
        <v>4</v>
      </c>
    </row>
    <row r="1282" spans="1:3">
      <c r="A1282" t="s">
        <v>6246</v>
      </c>
      <c r="B1282">
        <v>5</v>
      </c>
      <c r="C1282" s="149" t="s">
        <v>4</v>
      </c>
    </row>
    <row r="1283" spans="1:3">
      <c r="A1283" t="s">
        <v>6250</v>
      </c>
      <c r="B1283">
        <v>3</v>
      </c>
      <c r="C1283" s="149" t="s">
        <v>4</v>
      </c>
    </row>
    <row r="1284" spans="1:3">
      <c r="A1284" s="149" t="s">
        <v>6246</v>
      </c>
      <c r="B1284" s="30">
        <v>3</v>
      </c>
      <c r="C1284" s="149" t="s">
        <v>4</v>
      </c>
    </row>
    <row r="1285" spans="1:3">
      <c r="A1285" s="149" t="s">
        <v>6202</v>
      </c>
      <c r="B1285">
        <v>1</v>
      </c>
      <c r="C1285" s="149" t="s">
        <v>4</v>
      </c>
    </row>
    <row r="1286" spans="1:3">
      <c r="A1286" t="s">
        <v>6270</v>
      </c>
      <c r="B1286">
        <v>9</v>
      </c>
      <c r="C1286" s="149" t="s">
        <v>4</v>
      </c>
    </row>
    <row r="1287" spans="1:3">
      <c r="A1287" t="s">
        <v>6274</v>
      </c>
      <c r="B1287">
        <v>1</v>
      </c>
      <c r="C1287" s="149" t="s">
        <v>4</v>
      </c>
    </row>
    <row r="1288" spans="1:3">
      <c r="A1288" t="s">
        <v>6086</v>
      </c>
      <c r="B1288">
        <v>114</v>
      </c>
      <c r="C1288" s="149" t="s">
        <v>4</v>
      </c>
    </row>
    <row r="1289" spans="1:3">
      <c r="A1289" t="s">
        <v>6105</v>
      </c>
      <c r="B1289">
        <v>1</v>
      </c>
      <c r="C1289" s="149" t="s">
        <v>4</v>
      </c>
    </row>
    <row r="1290" spans="1:3">
      <c r="A1290" t="s">
        <v>6201</v>
      </c>
      <c r="B1290">
        <v>113</v>
      </c>
      <c r="C1290" s="149" t="s">
        <v>4</v>
      </c>
    </row>
    <row r="1291" spans="1:3">
      <c r="A1291" t="s">
        <v>6216</v>
      </c>
      <c r="B1291">
        <v>11</v>
      </c>
      <c r="C1291" s="149" t="s">
        <v>4</v>
      </c>
    </row>
    <row r="1292" spans="1:3">
      <c r="A1292" s="149" t="s">
        <v>6287</v>
      </c>
      <c r="B1292" s="30">
        <v>6</v>
      </c>
      <c r="C1292" s="149" t="s">
        <v>4</v>
      </c>
    </row>
    <row r="1293" spans="1:3">
      <c r="A1293" t="s">
        <v>6303</v>
      </c>
      <c r="B1293">
        <v>17</v>
      </c>
      <c r="C1293" s="149" t="s">
        <v>4</v>
      </c>
    </row>
    <row r="1294" spans="1:3">
      <c r="A1294" t="s">
        <v>6304</v>
      </c>
      <c r="B1294">
        <v>3</v>
      </c>
      <c r="C1294" s="149" t="s">
        <v>4</v>
      </c>
    </row>
    <row r="1295" spans="1:3">
      <c r="A1295" t="s">
        <v>6344</v>
      </c>
      <c r="B1295">
        <v>12</v>
      </c>
      <c r="C1295" s="149" t="s">
        <v>4</v>
      </c>
    </row>
    <row r="1296" spans="1:3">
      <c r="A1296" t="s">
        <v>6352</v>
      </c>
      <c r="B1296">
        <v>1</v>
      </c>
      <c r="C1296" s="149" t="s">
        <v>4</v>
      </c>
    </row>
    <row r="1297" spans="1:3">
      <c r="A1297" t="s">
        <v>6356</v>
      </c>
      <c r="B1297">
        <v>1</v>
      </c>
      <c r="C1297" s="149" t="s">
        <v>4</v>
      </c>
    </row>
    <row r="1298" spans="1:3">
      <c r="A1298" t="s">
        <v>6409</v>
      </c>
      <c r="B1298">
        <v>2</v>
      </c>
      <c r="C1298" s="149" t="s">
        <v>4</v>
      </c>
    </row>
    <row r="1299" spans="1:3">
      <c r="A1299" t="s">
        <v>6426</v>
      </c>
      <c r="B1299">
        <v>14</v>
      </c>
      <c r="C1299" s="149" t="s">
        <v>4</v>
      </c>
    </row>
    <row r="1300" spans="1:3">
      <c r="A1300" t="s">
        <v>6427</v>
      </c>
      <c r="B1300">
        <v>1</v>
      </c>
      <c r="C1300" s="149" t="s">
        <v>4</v>
      </c>
    </row>
    <row r="1301" spans="1:3">
      <c r="A1301" t="s">
        <v>6430</v>
      </c>
      <c r="B1301">
        <v>4</v>
      </c>
      <c r="C1301" s="149" t="s">
        <v>4</v>
      </c>
    </row>
    <row r="1302" spans="1:3">
      <c r="A1302" t="s">
        <v>6434</v>
      </c>
      <c r="B1302">
        <v>2</v>
      </c>
      <c r="C1302" s="149" t="s">
        <v>4</v>
      </c>
    </row>
    <row r="1303" spans="1:3">
      <c r="A1303" t="s">
        <v>6451</v>
      </c>
      <c r="B1303">
        <v>22</v>
      </c>
      <c r="C1303" s="149" t="s">
        <v>4</v>
      </c>
    </row>
    <row r="1304" spans="1:3">
      <c r="A1304" t="s">
        <v>6474</v>
      </c>
      <c r="B1304">
        <v>2</v>
      </c>
      <c r="C1304" s="149" t="s">
        <v>4</v>
      </c>
    </row>
    <row r="1305" spans="1:3">
      <c r="A1305" t="s">
        <v>6479</v>
      </c>
      <c r="B1305">
        <v>2</v>
      </c>
      <c r="C1305" s="149" t="s">
        <v>4</v>
      </c>
    </row>
    <row r="1306" spans="1:3">
      <c r="A1306" t="s">
        <v>6484</v>
      </c>
      <c r="B1306">
        <v>2</v>
      </c>
      <c r="C1306" s="149" t="s">
        <v>4</v>
      </c>
    </row>
    <row r="1307" spans="1:3">
      <c r="A1307" t="s">
        <v>6485</v>
      </c>
      <c r="B1307">
        <v>12</v>
      </c>
      <c r="C1307" s="149" t="s">
        <v>4</v>
      </c>
    </row>
    <row r="1308" spans="1:3">
      <c r="A1308" t="s">
        <v>6311</v>
      </c>
      <c r="B1308">
        <v>12</v>
      </c>
      <c r="C1308" s="149" t="s">
        <v>4</v>
      </c>
    </row>
    <row r="1309" spans="1:3">
      <c r="A1309" t="s">
        <v>6402</v>
      </c>
      <c r="B1309">
        <v>48</v>
      </c>
      <c r="C1309" s="149" t="s">
        <v>4</v>
      </c>
    </row>
    <row r="1310" spans="1:3">
      <c r="A1310" t="s">
        <v>5772</v>
      </c>
      <c r="B1310">
        <v>11</v>
      </c>
      <c r="C1310" s="149" t="s">
        <v>4</v>
      </c>
    </row>
    <row r="1311" spans="1:3">
      <c r="A1311" t="s">
        <v>6504</v>
      </c>
      <c r="B1311">
        <v>4</v>
      </c>
      <c r="C1311" s="149" t="s">
        <v>4</v>
      </c>
    </row>
    <row r="1312" spans="1:3">
      <c r="A1312" t="s">
        <v>6240</v>
      </c>
      <c r="B1312">
        <v>1</v>
      </c>
      <c r="C1312" s="149" t="s">
        <v>4</v>
      </c>
    </row>
    <row r="1313" spans="1:3">
      <c r="A1313" t="s">
        <v>6481</v>
      </c>
      <c r="B1313">
        <v>2</v>
      </c>
      <c r="C1313" s="149" t="s">
        <v>4</v>
      </c>
    </row>
    <row r="1314" spans="1:3">
      <c r="A1314" t="s">
        <v>6513</v>
      </c>
      <c r="B1314">
        <v>2</v>
      </c>
      <c r="C1314" s="149" t="s">
        <v>4</v>
      </c>
    </row>
    <row r="1315" spans="1:3">
      <c r="A1315" t="s">
        <v>6509</v>
      </c>
      <c r="B1315">
        <v>1</v>
      </c>
      <c r="C1315" s="149" t="s">
        <v>4</v>
      </c>
    </row>
    <row r="1316" spans="1:3">
      <c r="A1316" t="s">
        <v>6516</v>
      </c>
      <c r="B1316">
        <v>1</v>
      </c>
      <c r="C1316" s="149" t="s">
        <v>4</v>
      </c>
    </row>
    <row r="1317" spans="1:3">
      <c r="A1317" t="s">
        <v>6514</v>
      </c>
      <c r="B1317">
        <v>1</v>
      </c>
      <c r="C1317" s="149" t="s">
        <v>4</v>
      </c>
    </row>
    <row r="1318" spans="1:3">
      <c r="A1318" t="s">
        <v>6530</v>
      </c>
      <c r="B1318">
        <v>12</v>
      </c>
      <c r="C1318" s="149" t="s">
        <v>4</v>
      </c>
    </row>
    <row r="1319" spans="1:3">
      <c r="A1319" t="s">
        <v>6564</v>
      </c>
      <c r="B1319">
        <v>3</v>
      </c>
      <c r="C1319" s="149" t="s">
        <v>4</v>
      </c>
    </row>
    <row r="1320" spans="1:3">
      <c r="A1320" t="s">
        <v>6541</v>
      </c>
      <c r="B1320">
        <v>20</v>
      </c>
      <c r="C1320" s="149" t="s">
        <v>4</v>
      </c>
    </row>
    <row r="1321" spans="1:3">
      <c r="A1321" t="s">
        <v>6539</v>
      </c>
      <c r="B1321">
        <v>2</v>
      </c>
      <c r="C1321" s="149" t="s">
        <v>4</v>
      </c>
    </row>
    <row r="1322" spans="1:3">
      <c r="A1322" t="s">
        <v>6533</v>
      </c>
      <c r="B1322">
        <v>4</v>
      </c>
      <c r="C1322" s="149" t="s">
        <v>4</v>
      </c>
    </row>
    <row r="1323" spans="1:3">
      <c r="A1323" t="s">
        <v>6572</v>
      </c>
      <c r="B1323">
        <v>1</v>
      </c>
      <c r="C1323" s="149" t="s">
        <v>4</v>
      </c>
    </row>
    <row r="1324" spans="1:3">
      <c r="A1324" t="s">
        <v>6599</v>
      </c>
      <c r="B1324">
        <v>24</v>
      </c>
      <c r="C1324" s="149" t="s">
        <v>4</v>
      </c>
    </row>
    <row r="1325" spans="1:3">
      <c r="A1325" t="s">
        <v>6574</v>
      </c>
      <c r="B1325">
        <v>1</v>
      </c>
      <c r="C1325" s="149" t="s">
        <v>4</v>
      </c>
    </row>
    <row r="1326" spans="1:3">
      <c r="A1326" t="s">
        <v>6606</v>
      </c>
      <c r="B1326">
        <v>1</v>
      </c>
      <c r="C1326" s="149" t="s">
        <v>4</v>
      </c>
    </row>
    <row r="1327" spans="1:3">
      <c r="A1327" t="s">
        <v>6608</v>
      </c>
      <c r="B1327">
        <v>2</v>
      </c>
      <c r="C1327" s="149" t="s">
        <v>4</v>
      </c>
    </row>
    <row r="1328" spans="1:3">
      <c r="A1328" t="s">
        <v>6629</v>
      </c>
      <c r="B1328">
        <v>4</v>
      </c>
      <c r="C1328" s="149" t="s">
        <v>4</v>
      </c>
    </row>
    <row r="1329" spans="1:3">
      <c r="A1329" s="149" t="s">
        <v>6666</v>
      </c>
      <c r="B1329">
        <v>46</v>
      </c>
      <c r="C1329" s="149" t="s">
        <v>4</v>
      </c>
    </row>
    <row r="1330" spans="1:3">
      <c r="A1330" s="149" t="s">
        <v>6636</v>
      </c>
      <c r="B1330" s="149">
        <v>1</v>
      </c>
      <c r="C1330" s="149" t="s">
        <v>4</v>
      </c>
    </row>
    <row r="1331" spans="1:3">
      <c r="A1331" s="149" t="s">
        <v>6715</v>
      </c>
      <c r="B1331" s="149">
        <v>26</v>
      </c>
      <c r="C1331" s="149" t="s">
        <v>4</v>
      </c>
    </row>
    <row r="1332" spans="1:3">
      <c r="A1332" s="149" t="s">
        <v>6642</v>
      </c>
      <c r="B1332" s="149">
        <v>21</v>
      </c>
      <c r="C1332" s="149" t="s">
        <v>4</v>
      </c>
    </row>
    <row r="1333" spans="1:3">
      <c r="A1333" t="s">
        <v>4412</v>
      </c>
      <c r="B1333">
        <v>11</v>
      </c>
      <c r="C1333" s="149" t="s">
        <v>4</v>
      </c>
    </row>
    <row r="1334" spans="1:3">
      <c r="A1334" t="s">
        <v>5478</v>
      </c>
      <c r="B1334">
        <v>178</v>
      </c>
      <c r="C1334" s="149" t="s">
        <v>4</v>
      </c>
    </row>
    <row r="1335" spans="1:3">
      <c r="A1335" t="s">
        <v>6160</v>
      </c>
      <c r="B1335">
        <v>17</v>
      </c>
      <c r="C1335" s="149" t="s">
        <v>4</v>
      </c>
    </row>
    <row r="1336" spans="1:3">
      <c r="A1336" t="s">
        <v>6436</v>
      </c>
      <c r="B1336">
        <v>21</v>
      </c>
      <c r="C1336" s="149" t="s">
        <v>4</v>
      </c>
    </row>
    <row r="1337" spans="1:3">
      <c r="A1337" t="s">
        <v>6750</v>
      </c>
      <c r="B1337">
        <v>25</v>
      </c>
      <c r="C1337" s="149" t="s">
        <v>4</v>
      </c>
    </row>
    <row r="1338" spans="1:3">
      <c r="A1338" t="s">
        <v>6628</v>
      </c>
      <c r="B1338">
        <v>35</v>
      </c>
      <c r="C1338" s="149" t="s">
        <v>4</v>
      </c>
    </row>
    <row r="1339" spans="1:3">
      <c r="A1339" t="s">
        <v>6854</v>
      </c>
      <c r="B1339">
        <v>7</v>
      </c>
      <c r="C1339" s="149" t="s">
        <v>4</v>
      </c>
    </row>
    <row r="1340" spans="1:3">
      <c r="A1340" t="s">
        <v>6864</v>
      </c>
      <c r="B1340">
        <v>1</v>
      </c>
      <c r="C1340" s="149" t="s">
        <v>4</v>
      </c>
    </row>
    <row r="1341" spans="1:3">
      <c r="A1341" t="s">
        <v>6866</v>
      </c>
      <c r="B1341">
        <v>1</v>
      </c>
      <c r="C1341" s="149" t="s">
        <v>4</v>
      </c>
    </row>
    <row r="1342" spans="1:3">
      <c r="A1342" t="s">
        <v>6868</v>
      </c>
      <c r="B1342">
        <v>2</v>
      </c>
      <c r="C1342" s="149" t="s">
        <v>4</v>
      </c>
    </row>
    <row r="1343" spans="1:3">
      <c r="A1343" t="s">
        <v>6870</v>
      </c>
      <c r="B1343">
        <v>1</v>
      </c>
      <c r="C1343" s="149" t="s">
        <v>4</v>
      </c>
    </row>
    <row r="1344" spans="1:3">
      <c r="A1344" t="s">
        <v>6884</v>
      </c>
      <c r="B1344">
        <v>12</v>
      </c>
      <c r="C1344" s="149" t="s">
        <v>4</v>
      </c>
    </row>
    <row r="1345" spans="1:3">
      <c r="A1345" t="s">
        <v>6885</v>
      </c>
      <c r="B1345">
        <v>1</v>
      </c>
      <c r="C1345" s="149" t="s">
        <v>4</v>
      </c>
    </row>
    <row r="1346" spans="1:3">
      <c r="A1346" t="s">
        <v>6888</v>
      </c>
      <c r="B1346">
        <v>2</v>
      </c>
      <c r="C1346" s="149" t="s">
        <v>4</v>
      </c>
    </row>
    <row r="1347" spans="1:3">
      <c r="A1347" t="s">
        <v>6892</v>
      </c>
      <c r="B1347">
        <v>1</v>
      </c>
      <c r="C1347" s="149" t="s">
        <v>4</v>
      </c>
    </row>
    <row r="1348" spans="1:3">
      <c r="A1348" t="s">
        <v>6893</v>
      </c>
      <c r="B1348">
        <v>1</v>
      </c>
      <c r="C1348" s="149" t="s">
        <v>4</v>
      </c>
    </row>
    <row r="1349" spans="1:3">
      <c r="A1349" t="s">
        <v>6896</v>
      </c>
      <c r="B1349">
        <v>1</v>
      </c>
      <c r="C1349" s="149" t="s">
        <v>4</v>
      </c>
    </row>
    <row r="1350" spans="1:3">
      <c r="A1350" t="s">
        <v>6898</v>
      </c>
      <c r="B1350">
        <v>1</v>
      </c>
      <c r="C1350" s="149" t="s">
        <v>4</v>
      </c>
    </row>
    <row r="1351" spans="1:3">
      <c r="A1351" t="s">
        <v>6899</v>
      </c>
      <c r="B1351">
        <v>1</v>
      </c>
      <c r="C1351" s="149" t="s">
        <v>4</v>
      </c>
    </row>
    <row r="1352" spans="1:3">
      <c r="A1352" t="s">
        <v>6902</v>
      </c>
      <c r="B1352">
        <v>1</v>
      </c>
      <c r="C1352" s="149" t="s">
        <v>4</v>
      </c>
    </row>
    <row r="1353" spans="1:3">
      <c r="A1353" t="s">
        <v>6904</v>
      </c>
      <c r="B1353">
        <v>1</v>
      </c>
      <c r="C1353" s="149" t="s">
        <v>4</v>
      </c>
    </row>
    <row r="1354" spans="1:3">
      <c r="A1354" t="s">
        <v>6905</v>
      </c>
      <c r="B1354">
        <v>1</v>
      </c>
      <c r="C1354" s="149" t="s">
        <v>4</v>
      </c>
    </row>
    <row r="1355" spans="1:3">
      <c r="A1355" t="s">
        <v>6908</v>
      </c>
      <c r="B1355">
        <v>1</v>
      </c>
      <c r="C1355" s="149" t="s">
        <v>4</v>
      </c>
    </row>
    <row r="1356" spans="1:3">
      <c r="A1356" t="s">
        <v>6910</v>
      </c>
      <c r="B1356">
        <v>1</v>
      </c>
      <c r="C1356" s="149" t="s">
        <v>4</v>
      </c>
    </row>
    <row r="1357" spans="1:3">
      <c r="A1357" t="s">
        <v>6912</v>
      </c>
      <c r="B1357">
        <v>1</v>
      </c>
      <c r="C1357" s="149" t="s">
        <v>4</v>
      </c>
    </row>
    <row r="1358" spans="1:3">
      <c r="A1358" t="s">
        <v>6777</v>
      </c>
      <c r="B1358">
        <v>1</v>
      </c>
      <c r="C1358" s="149" t="s">
        <v>4</v>
      </c>
    </row>
    <row r="1359" spans="1:3">
      <c r="A1359" t="s">
        <v>6781</v>
      </c>
      <c r="B1359">
        <v>1</v>
      </c>
      <c r="C1359" s="149" t="s">
        <v>4</v>
      </c>
    </row>
    <row r="1360" spans="1:3">
      <c r="A1360" t="s">
        <v>6785</v>
      </c>
      <c r="B1360">
        <v>1</v>
      </c>
      <c r="C1360" s="149" t="s">
        <v>4</v>
      </c>
    </row>
    <row r="1361" spans="1:3">
      <c r="A1361" t="s">
        <v>6853</v>
      </c>
      <c r="B1361">
        <v>21</v>
      </c>
      <c r="C1361" s="149" t="s">
        <v>4</v>
      </c>
    </row>
    <row r="1362" spans="1:3">
      <c r="A1362" t="s">
        <v>6788</v>
      </c>
      <c r="B1362">
        <v>38</v>
      </c>
      <c r="C1362" s="149" t="s">
        <v>4</v>
      </c>
    </row>
    <row r="1363" spans="1:3">
      <c r="A1363" t="s">
        <v>6928</v>
      </c>
      <c r="B1363">
        <v>7</v>
      </c>
      <c r="C1363" s="149" t="s">
        <v>4</v>
      </c>
    </row>
    <row r="1364" spans="1:3">
      <c r="A1364" t="s">
        <v>6748</v>
      </c>
      <c r="B1364">
        <v>4</v>
      </c>
      <c r="C1364" s="149" t="s">
        <v>4</v>
      </c>
    </row>
    <row r="1365" spans="1:3">
      <c r="A1365" t="s">
        <v>6929</v>
      </c>
      <c r="B1365">
        <v>6</v>
      </c>
      <c r="C1365" s="149" t="s">
        <v>4</v>
      </c>
    </row>
    <row r="1366" spans="1:3">
      <c r="A1366" t="s">
        <v>6934</v>
      </c>
      <c r="B1366">
        <v>24</v>
      </c>
      <c r="C1366" s="149" t="s">
        <v>4</v>
      </c>
    </row>
    <row r="1367" spans="1:3">
      <c r="A1367" t="s">
        <v>6968</v>
      </c>
      <c r="B1367">
        <v>3</v>
      </c>
      <c r="C1367" s="149" t="s">
        <v>4</v>
      </c>
    </row>
    <row r="1368" spans="1:3">
      <c r="A1368" t="s">
        <v>6975</v>
      </c>
      <c r="B1368">
        <v>6</v>
      </c>
      <c r="C1368" s="149" t="s">
        <v>4</v>
      </c>
    </row>
    <row r="1369" spans="1:3">
      <c r="A1369" t="s">
        <v>6991</v>
      </c>
      <c r="B1369">
        <v>5</v>
      </c>
      <c r="C1369" s="149" t="s">
        <v>4</v>
      </c>
    </row>
    <row r="1370" spans="1:3">
      <c r="A1370" t="s">
        <v>7192</v>
      </c>
      <c r="B1370">
        <v>5</v>
      </c>
      <c r="C1370" s="149" t="s">
        <v>4</v>
      </c>
    </row>
    <row r="1371" spans="1:3">
      <c r="A1371" t="s">
        <v>6784</v>
      </c>
      <c r="B1371">
        <v>1</v>
      </c>
      <c r="C1371" s="149" t="s">
        <v>4</v>
      </c>
    </row>
    <row r="1372" spans="1:3">
      <c r="A1372" t="s">
        <v>6974</v>
      </c>
      <c r="B1372">
        <v>25</v>
      </c>
      <c r="C1372" s="149" t="s">
        <v>4</v>
      </c>
    </row>
    <row r="1373" spans="1:3">
      <c r="A1373" t="s">
        <v>6984</v>
      </c>
      <c r="B1373">
        <v>4</v>
      </c>
      <c r="C1373" s="149" t="s">
        <v>4</v>
      </c>
    </row>
    <row r="1374" spans="1:3">
      <c r="A1374" t="s">
        <v>6999</v>
      </c>
      <c r="B1374">
        <v>1</v>
      </c>
      <c r="C1374" s="149" t="s">
        <v>4</v>
      </c>
    </row>
    <row r="1375" spans="1:3">
      <c r="A1375" t="s">
        <v>7195</v>
      </c>
      <c r="B1375">
        <v>23</v>
      </c>
      <c r="C1375" s="149" t="s">
        <v>4</v>
      </c>
    </row>
    <row r="1376" spans="1:3">
      <c r="A1376" t="s">
        <v>7247</v>
      </c>
      <c r="B1376">
        <v>3</v>
      </c>
      <c r="C1376" s="149" t="s">
        <v>4</v>
      </c>
    </row>
    <row r="1377" spans="1:3">
      <c r="A1377" t="s">
        <v>7279</v>
      </c>
      <c r="B1377">
        <v>1</v>
      </c>
      <c r="C1377" s="149" t="s">
        <v>4</v>
      </c>
    </row>
    <row r="1378" spans="1:3">
      <c r="A1378" t="s">
        <v>7301</v>
      </c>
      <c r="B1378">
        <v>10</v>
      </c>
      <c r="C1378" s="149" t="s">
        <v>4</v>
      </c>
    </row>
    <row r="1379" spans="1:3">
      <c r="A1379" t="s">
        <v>7285</v>
      </c>
      <c r="B1379">
        <v>10</v>
      </c>
      <c r="C1379" s="149" t="s">
        <v>4</v>
      </c>
    </row>
    <row r="1380" spans="1:3">
      <c r="A1380" t="s">
        <v>7001</v>
      </c>
      <c r="B1380">
        <v>34</v>
      </c>
      <c r="C1380" s="149" t="s">
        <v>4</v>
      </c>
    </row>
    <row r="1381" spans="1:3">
      <c r="A1381" t="s">
        <v>7039</v>
      </c>
      <c r="B1381">
        <v>145</v>
      </c>
      <c r="C1381" s="149" t="s">
        <v>4</v>
      </c>
    </row>
    <row r="1382" spans="1:3">
      <c r="A1382" t="s">
        <v>7221</v>
      </c>
      <c r="B1382">
        <v>11</v>
      </c>
      <c r="C1382" s="149" t="s">
        <v>4</v>
      </c>
    </row>
    <row r="1383" spans="1:3">
      <c r="A1383" t="s">
        <v>7258</v>
      </c>
      <c r="B1383">
        <v>12</v>
      </c>
      <c r="C1383" s="149" t="s">
        <v>4</v>
      </c>
    </row>
    <row r="1384" spans="1:3">
      <c r="A1384" t="s">
        <v>7252</v>
      </c>
      <c r="B1384">
        <v>6</v>
      </c>
      <c r="C1384" s="149" t="s">
        <v>4</v>
      </c>
    </row>
    <row r="1385" spans="1:3">
      <c r="A1385" t="s">
        <v>7273</v>
      </c>
      <c r="B1385">
        <v>5</v>
      </c>
      <c r="C1385" s="149" t="s">
        <v>4</v>
      </c>
    </row>
    <row r="1386" spans="1:3">
      <c r="A1386" t="s">
        <v>7303</v>
      </c>
      <c r="B1386">
        <v>2</v>
      </c>
      <c r="C1386" s="149" t="s">
        <v>4</v>
      </c>
    </row>
    <row r="1387" spans="1:3">
      <c r="A1387" t="s">
        <v>7304</v>
      </c>
      <c r="B1387">
        <v>26</v>
      </c>
      <c r="C1387" s="149" t="s">
        <v>4</v>
      </c>
    </row>
    <row r="1388" spans="1:3">
      <c r="A1388" t="s">
        <v>7283</v>
      </c>
      <c r="B1388">
        <v>1</v>
      </c>
      <c r="C1388" s="149" t="s">
        <v>4</v>
      </c>
    </row>
    <row r="1389" spans="1:3">
      <c r="A1389" t="s">
        <v>7352</v>
      </c>
      <c r="B1389">
        <v>5</v>
      </c>
      <c r="C1389" s="149" t="s">
        <v>4</v>
      </c>
    </row>
    <row r="1390" spans="1:3">
      <c r="A1390" t="s">
        <v>7353</v>
      </c>
      <c r="B1390">
        <v>8</v>
      </c>
      <c r="C1390" s="149" t="s">
        <v>4</v>
      </c>
    </row>
  </sheetData>
  <conditionalFormatting sqref="A2:A545 A548:A568 A570:A1036 A1038:A1232 A1238:A1272 A1274:A1283 A1286:A1291 A1293:A1048576">
    <cfRule type="duplicateValues" dxfId="12" priority="4"/>
  </conditionalFormatting>
  <conditionalFormatting sqref="A1284">
    <cfRule type="duplicateValues" dxfId="11" priority="2"/>
  </conditionalFormatting>
  <conditionalFormatting sqref="A1292">
    <cfRule type="duplicateValues" dxfId="10" priority="1"/>
  </conditionalFormatting>
  <pageMargins left="0.7" right="0.7" top="0.75" bottom="0.75" header="0.3" footer="0.3"/>
  <pageSetup orientation="portrait" r:id="rId1"/>
  <customProperties>
    <customPr name="_pios_id" r:id="rId2"/>
  </customProperties>
  <tableParts count="1">
    <tablePart r:id="rId3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B739752-7EB0-480E-98F2-2FB543F6F339}">
  <sheetPr codeName="Sheet10"/>
  <dimension ref="A1"/>
  <sheetViews>
    <sheetView workbookViewId="0"/>
  </sheetViews>
  <sheetFormatPr defaultRowHeight="15"/>
  <sheetData/>
  <pageMargins left="0.7" right="0.7" top="0.75" bottom="0.75" header="0.3" footer="0.3"/>
  <customProperties>
    <customPr name="_pios_id" r:id="rId1"/>
    <customPr name="CafeStyleVersion" r:id="rId2"/>
  </customPropertie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F36F6EB-8AC5-4AC7-9C5A-FF7A5ACB8647}">
  <sheetPr codeName="Sheet4"/>
  <dimension ref="A1:S5130"/>
  <sheetViews>
    <sheetView zoomScale="105" zoomScaleNormal="105" workbookViewId="0">
      <selection activeCell="F5144" sqref="F5144"/>
    </sheetView>
  </sheetViews>
  <sheetFormatPr defaultRowHeight="15" outlineLevelCol="1"/>
  <cols>
    <col min="1" max="1" width="10.85546875" bestFit="1" customWidth="1"/>
    <col min="2" max="2" width="8.5703125" customWidth="1"/>
    <col min="3" max="3" width="35.140625" bestFit="1" customWidth="1"/>
    <col min="4" max="4" width="59.28515625" customWidth="1"/>
    <col min="5" max="5" width="46.85546875" bestFit="1" customWidth="1"/>
    <col min="6" max="6" width="37.42578125" customWidth="1"/>
    <col min="7" max="7" width="14.85546875" customWidth="1"/>
    <col min="8" max="8" width="12.42578125" customWidth="1" outlineLevel="1"/>
    <col min="9" max="9" width="65.7109375" customWidth="1" outlineLevel="1"/>
    <col min="10" max="10" width="12.140625" customWidth="1" outlineLevel="1"/>
    <col min="11" max="11" width="11.42578125" customWidth="1" outlineLevel="1"/>
    <col min="12" max="12" width="10.7109375" customWidth="1" outlineLevel="1"/>
    <col min="13" max="13" width="20" style="71" customWidth="1" outlineLevel="1"/>
    <col min="14" max="14" width="14.85546875" style="71" customWidth="1" outlineLevel="1"/>
    <col min="15" max="15" width="13.42578125" style="71" customWidth="1" outlineLevel="1"/>
    <col min="16" max="16" width="9.140625" customWidth="1" outlineLevel="1"/>
    <col min="17" max="17" width="11.140625" style="3" customWidth="1" outlineLevel="1"/>
    <col min="18" max="18" width="21.28515625" customWidth="1"/>
    <col min="19" max="19" width="101.140625" customWidth="1"/>
    <col min="20" max="20" width="10.7109375" bestFit="1" customWidth="1"/>
  </cols>
  <sheetData>
    <row r="1" spans="1:19">
      <c r="A1" t="s">
        <v>382</v>
      </c>
      <c r="B1" t="s">
        <v>365</v>
      </c>
      <c r="C1" t="s">
        <v>2</v>
      </c>
      <c r="D1" t="s">
        <v>697</v>
      </c>
      <c r="E1" t="s">
        <v>383</v>
      </c>
      <c r="F1" t="s">
        <v>384</v>
      </c>
      <c r="G1" t="s">
        <v>385</v>
      </c>
      <c r="H1" t="s">
        <v>386</v>
      </c>
      <c r="I1" t="s">
        <v>387</v>
      </c>
      <c r="J1" t="s">
        <v>388</v>
      </c>
      <c r="K1" t="s">
        <v>389</v>
      </c>
      <c r="L1" t="s">
        <v>390</v>
      </c>
      <c r="M1" s="71" t="s">
        <v>391</v>
      </c>
      <c r="N1" s="71" t="s">
        <v>392</v>
      </c>
      <c r="O1" s="71" t="s">
        <v>393</v>
      </c>
      <c r="P1" t="s">
        <v>394</v>
      </c>
      <c r="Q1" s="3" t="s">
        <v>395</v>
      </c>
      <c r="R1" t="s">
        <v>396</v>
      </c>
      <c r="S1" t="s">
        <v>397</v>
      </c>
    </row>
    <row r="2" spans="1:19" hidden="1">
      <c r="A2" t="s">
        <v>3</v>
      </c>
      <c r="B2" t="str">
        <f>IFERROR(VLOOKUP(Proc[[#This Row],[App]],Table2[],3,0),"open")</f>
        <v>ok</v>
      </c>
      <c r="C2" t="s">
        <v>398</v>
      </c>
      <c r="E2" t="s">
        <v>399</v>
      </c>
      <c r="F2" t="s">
        <v>399</v>
      </c>
      <c r="G2" t="s">
        <v>400</v>
      </c>
      <c r="H2" t="str">
        <f>IF(Proc[[#This Row],[type]]="LFF (MDG-F)",MID(Proc[[#This Row],[Obj]],13,10),"")</f>
        <v/>
      </c>
      <c r="J2" t="b">
        <f>Proc[[#This Row],[Requested]]=Proc[[#This Row],[CurrentParent]]</f>
        <v>1</v>
      </c>
      <c r="K2" t="str">
        <f>IF(Proc[[#This Row],[Author]]="Marcela Urrego",VLOOKUP(LEFT(Proc[[#This Row],[Requested]],1),Table3[#All],2,0),VLOOKUP(Proc[[#This Row],[Author]],Table4[],2,0))</f>
        <v>MGF</v>
      </c>
      <c r="L2" t="s">
        <v>401</v>
      </c>
      <c r="M2" s="71">
        <v>45170</v>
      </c>
      <c r="N2" s="71">
        <v>45170</v>
      </c>
      <c r="O2" s="71">
        <v>45175</v>
      </c>
      <c r="P2" s="1" t="str">
        <f ca="1">IF(Proc[[#This Row],[DaysAgeing]]&gt;5,"yep","on track")</f>
        <v>on track</v>
      </c>
      <c r="Q2" s="3">
        <f ca="1">IF(Proc[[#This Row],[DateClosed]]="",ABS(NETWORKDAYS(Proc[[#This Row],[DateOpened]],TODAY()))-1,ABS(NETWORKDAYS(Proc[[#This Row],[DateOpened]],Proc[[#This Row],[DateClosed]]))-1)</f>
        <v>3</v>
      </c>
      <c r="R2" s="1" t="s">
        <v>402</v>
      </c>
    </row>
    <row r="3" spans="1:19" hidden="1">
      <c r="A3" t="s">
        <v>3</v>
      </c>
      <c r="B3" s="149" t="str">
        <f>IFERROR(VLOOKUP(Proc[[#This Row],[App]],Table2[],3,0),"open")</f>
        <v>ok</v>
      </c>
      <c r="C3" t="s">
        <v>403</v>
      </c>
      <c r="E3" t="s">
        <v>399</v>
      </c>
      <c r="F3" s="103" t="s">
        <v>399</v>
      </c>
      <c r="G3" t="s">
        <v>400</v>
      </c>
      <c r="H3" t="str">
        <f>IF(Proc[[#This Row],[type]]="LFF (MDG-F)",MID(Proc[[#This Row],[Obj]],13,10),"")</f>
        <v/>
      </c>
      <c r="J3" t="b">
        <f>Proc[[#This Row],[Requested]]=Proc[[#This Row],[CurrentParent]]</f>
        <v>1</v>
      </c>
      <c r="K3" s="144" t="str">
        <f>IF(Proc[[#This Row],[Author]]="Marcela Urrego",VLOOKUP(LEFT(Proc[[#This Row],[Requested]],1),Table3[#All],2,0),VLOOKUP(Proc[[#This Row],[Author]],Table4[],2,0))</f>
        <v>MGF</v>
      </c>
      <c r="L3" t="s">
        <v>401</v>
      </c>
      <c r="M3" s="71">
        <v>45170</v>
      </c>
      <c r="N3" s="71">
        <v>45170</v>
      </c>
      <c r="O3" s="71">
        <v>45175</v>
      </c>
      <c r="P3" s="37" t="str">
        <f ca="1">IF(Proc[[#This Row],[DaysAgeing]]&gt;5,"yep","on track")</f>
        <v>on track</v>
      </c>
      <c r="Q3" s="3">
        <f ca="1">IF(Proc[[#This Row],[DateClosed]]="",ABS(NETWORKDAYS(Proc[[#This Row],[DateOpened]],TODAY()))-1,ABS(NETWORKDAYS(Proc[[#This Row],[DateOpened]],Proc[[#This Row],[DateClosed]]))-1)</f>
        <v>3</v>
      </c>
      <c r="R3" s="1" t="s">
        <v>402</v>
      </c>
    </row>
    <row r="4" spans="1:19" hidden="1">
      <c r="A4" t="s">
        <v>3</v>
      </c>
      <c r="B4" s="149" t="str">
        <f>IFERROR(VLOOKUP(Proc[[#This Row],[App]],Table2[],3,0),"open")</f>
        <v>ok</v>
      </c>
      <c r="C4" t="s">
        <v>369</v>
      </c>
      <c r="E4" t="s">
        <v>399</v>
      </c>
      <c r="F4" t="s">
        <v>399</v>
      </c>
      <c r="G4" t="s">
        <v>400</v>
      </c>
      <c r="H4" t="str">
        <f>IF(Proc[[#This Row],[type]]="LFF (MDG-F)",MID(Proc[[#This Row],[Obj]],13,10),"")</f>
        <v/>
      </c>
      <c r="J4" t="b">
        <f>Proc[[#This Row],[Requested]]=Proc[[#This Row],[CurrentParent]]</f>
        <v>1</v>
      </c>
      <c r="K4" s="144" t="str">
        <f>IF(Proc[[#This Row],[Author]]="Marcela Urrego",VLOOKUP(LEFT(Proc[[#This Row],[Requested]],1),Table3[#All],2,0),VLOOKUP(Proc[[#This Row],[Author]],Table4[],2,0))</f>
        <v>MGF</v>
      </c>
      <c r="L4" t="s">
        <v>401</v>
      </c>
      <c r="M4" s="71">
        <v>45170</v>
      </c>
      <c r="N4" s="71">
        <v>45170</v>
      </c>
      <c r="O4" s="71">
        <v>45175</v>
      </c>
      <c r="P4" s="37" t="str">
        <f ca="1">IF(Proc[[#This Row],[DaysAgeing]]&gt;5,"yep","on track")</f>
        <v>on track</v>
      </c>
      <c r="Q4" s="3">
        <f ca="1">IF(Proc[[#This Row],[DateClosed]]="",ABS(NETWORKDAYS(Proc[[#This Row],[DateOpened]],TODAY()))-1,ABS(NETWORKDAYS(Proc[[#This Row],[DateOpened]],Proc[[#This Row],[DateClosed]]))-1)</f>
        <v>3</v>
      </c>
      <c r="R4" s="1" t="s">
        <v>402</v>
      </c>
    </row>
    <row r="5" spans="1:19" hidden="1">
      <c r="A5" t="s">
        <v>3</v>
      </c>
      <c r="B5" s="149" t="str">
        <f>IFERROR(VLOOKUP(Proc[[#This Row],[App]],Table2[],3,0),"open")</f>
        <v>ok</v>
      </c>
      <c r="C5" t="s">
        <v>404</v>
      </c>
      <c r="E5" t="s">
        <v>399</v>
      </c>
      <c r="F5" s="103" t="s">
        <v>399</v>
      </c>
      <c r="G5" t="s">
        <v>400</v>
      </c>
      <c r="H5" t="str">
        <f>IF(Proc[[#This Row],[type]]="LFF (MDG-F)",MID(Proc[[#This Row],[Obj]],13,10),"")</f>
        <v/>
      </c>
      <c r="J5" t="b">
        <f>Proc[[#This Row],[Requested]]=Proc[[#This Row],[CurrentParent]]</f>
        <v>1</v>
      </c>
      <c r="K5" s="144" t="str">
        <f>IF(Proc[[#This Row],[Author]]="Marcela Urrego",VLOOKUP(LEFT(Proc[[#This Row],[Requested]],1),Table3[#All],2,0),VLOOKUP(Proc[[#This Row],[Author]],Table4[],2,0))</f>
        <v>MGF</v>
      </c>
      <c r="L5" t="s">
        <v>401</v>
      </c>
      <c r="M5" s="71">
        <v>45170</v>
      </c>
      <c r="N5" s="71">
        <v>45170</v>
      </c>
      <c r="O5" s="71">
        <v>45175</v>
      </c>
      <c r="P5" s="37" t="str">
        <f ca="1">IF(Proc[[#This Row],[DaysAgeing]]&gt;5,"yep","on track")</f>
        <v>on track</v>
      </c>
      <c r="Q5" s="3">
        <f ca="1">IF(Proc[[#This Row],[DateClosed]]="",ABS(NETWORKDAYS(Proc[[#This Row],[DateOpened]],TODAY()))-1,ABS(NETWORKDAYS(Proc[[#This Row],[DateOpened]],Proc[[#This Row],[DateClosed]]))-1)</f>
        <v>3</v>
      </c>
      <c r="R5" s="1" t="s">
        <v>402</v>
      </c>
    </row>
    <row r="6" spans="1:19" hidden="1">
      <c r="A6" t="s">
        <v>3</v>
      </c>
      <c r="B6" s="149" t="str">
        <f>IFERROR(VLOOKUP(Proc[[#This Row],[App]],Table2[],3,0),"open")</f>
        <v>ok</v>
      </c>
      <c r="C6" t="s">
        <v>377</v>
      </c>
      <c r="E6" t="s">
        <v>399</v>
      </c>
      <c r="F6" s="103" t="s">
        <v>399</v>
      </c>
      <c r="G6" t="s">
        <v>400</v>
      </c>
      <c r="H6" t="str">
        <f>IF(Proc[[#This Row],[type]]="LFF (MDG-F)",MID(Proc[[#This Row],[Obj]],13,10),"")</f>
        <v/>
      </c>
      <c r="J6" t="b">
        <f>Proc[[#This Row],[Requested]]=Proc[[#This Row],[CurrentParent]]</f>
        <v>1</v>
      </c>
      <c r="K6" s="144" t="str">
        <f>IF(Proc[[#This Row],[Author]]="Marcela Urrego",VLOOKUP(LEFT(Proc[[#This Row],[Requested]],1),Table3[#All],2,0),VLOOKUP(Proc[[#This Row],[Author]],Table4[],2,0))</f>
        <v>MGF</v>
      </c>
      <c r="L6" t="s">
        <v>401</v>
      </c>
      <c r="M6" s="71">
        <v>45170</v>
      </c>
      <c r="N6" s="71">
        <v>45170</v>
      </c>
      <c r="O6" s="71">
        <v>45175</v>
      </c>
      <c r="P6" s="37" t="str">
        <f ca="1">IF(Proc[[#This Row],[DaysAgeing]]&gt;5,"yep","on track")</f>
        <v>on track</v>
      </c>
      <c r="Q6" s="3">
        <f ca="1">IF(Proc[[#This Row],[DateClosed]]="",ABS(NETWORKDAYS(Proc[[#This Row],[DateOpened]],TODAY()))-1,ABS(NETWORKDAYS(Proc[[#This Row],[DateOpened]],Proc[[#This Row],[DateClosed]]))-1)</f>
        <v>3</v>
      </c>
      <c r="R6" s="1" t="s">
        <v>402</v>
      </c>
    </row>
    <row r="7" spans="1:19" hidden="1">
      <c r="A7" t="s">
        <v>3</v>
      </c>
      <c r="B7" s="149" t="str">
        <f>IFERROR(VLOOKUP(Proc[[#This Row],[App]],Table2[],3,0),"open")</f>
        <v>ok</v>
      </c>
      <c r="C7" t="s">
        <v>370</v>
      </c>
      <c r="E7" t="s">
        <v>399</v>
      </c>
      <c r="F7" s="103" t="s">
        <v>399</v>
      </c>
      <c r="G7" t="s">
        <v>400</v>
      </c>
      <c r="H7" t="str">
        <f>IF(Proc[[#This Row],[type]]="LFF (MDG-F)",MID(Proc[[#This Row],[Obj]],13,10),"")</f>
        <v/>
      </c>
      <c r="J7" t="b">
        <f>Proc[[#This Row],[Requested]]=Proc[[#This Row],[CurrentParent]]</f>
        <v>1</v>
      </c>
      <c r="K7" s="144" t="str">
        <f>IF(Proc[[#This Row],[Author]]="Marcela Urrego",VLOOKUP(LEFT(Proc[[#This Row],[Requested]],1),Table3[#All],2,0),VLOOKUP(Proc[[#This Row],[Author]],Table4[],2,0))</f>
        <v>MGF</v>
      </c>
      <c r="L7" t="s">
        <v>401</v>
      </c>
      <c r="M7" s="71">
        <v>45170</v>
      </c>
      <c r="N7" s="71">
        <v>45170</v>
      </c>
      <c r="O7" s="71">
        <v>45175</v>
      </c>
      <c r="P7" s="37" t="str">
        <f ca="1">IF(Proc[[#This Row],[DaysAgeing]]&gt;5,"yep","on track")</f>
        <v>on track</v>
      </c>
      <c r="Q7" s="3">
        <f ca="1">IF(Proc[[#This Row],[DateClosed]]="",ABS(NETWORKDAYS(Proc[[#This Row],[DateOpened]],TODAY()))-1,ABS(NETWORKDAYS(Proc[[#This Row],[DateOpened]],Proc[[#This Row],[DateClosed]]))-1)</f>
        <v>3</v>
      </c>
      <c r="R7" s="1" t="s">
        <v>402</v>
      </c>
    </row>
    <row r="8" spans="1:19" hidden="1">
      <c r="A8" t="s">
        <v>3</v>
      </c>
      <c r="B8" s="149" t="str">
        <f>IFERROR(VLOOKUP(Proc[[#This Row],[App]],Table2[],3,0),"open")</f>
        <v>ok</v>
      </c>
      <c r="C8" t="s">
        <v>375</v>
      </c>
      <c r="E8" t="s">
        <v>399</v>
      </c>
      <c r="F8" s="103" t="s">
        <v>399</v>
      </c>
      <c r="G8" t="s">
        <v>400</v>
      </c>
      <c r="H8" t="str">
        <f>IF(Proc[[#This Row],[type]]="LFF (MDG-F)",MID(Proc[[#This Row],[Obj]],13,10),"")</f>
        <v/>
      </c>
      <c r="J8" t="b">
        <f>Proc[[#This Row],[Requested]]=Proc[[#This Row],[CurrentParent]]</f>
        <v>1</v>
      </c>
      <c r="K8" s="144" t="str">
        <f>IF(Proc[[#This Row],[Author]]="Marcela Urrego",VLOOKUP(LEFT(Proc[[#This Row],[Requested]],1),Table3[#All],2,0),VLOOKUP(Proc[[#This Row],[Author]],Table4[],2,0))</f>
        <v>MGF</v>
      </c>
      <c r="L8" t="s">
        <v>401</v>
      </c>
      <c r="M8" s="71">
        <v>45170</v>
      </c>
      <c r="N8" s="71">
        <v>45170</v>
      </c>
      <c r="O8" s="71">
        <v>45175</v>
      </c>
      <c r="P8" s="37" t="str">
        <f ca="1">IF(Proc[[#This Row],[DaysAgeing]]&gt;5,"yep","on track")</f>
        <v>on track</v>
      </c>
      <c r="Q8" s="3">
        <f ca="1">IF(Proc[[#This Row],[DateClosed]]="",ABS(NETWORKDAYS(Proc[[#This Row],[DateOpened]],TODAY()))-1,ABS(NETWORKDAYS(Proc[[#This Row],[DateOpened]],Proc[[#This Row],[DateClosed]]))-1)</f>
        <v>3</v>
      </c>
      <c r="R8" s="1" t="s">
        <v>402</v>
      </c>
    </row>
    <row r="9" spans="1:19" hidden="1">
      <c r="A9" t="s">
        <v>3</v>
      </c>
      <c r="B9" s="149" t="str">
        <f>IFERROR(VLOOKUP(Proc[[#This Row],[App]],Table2[],3,0),"open")</f>
        <v>ok</v>
      </c>
      <c r="C9" t="s">
        <v>405</v>
      </c>
      <c r="E9" t="s">
        <v>399</v>
      </c>
      <c r="F9" s="103" t="s">
        <v>399</v>
      </c>
      <c r="G9" t="s">
        <v>400</v>
      </c>
      <c r="H9" t="str">
        <f>IF(Proc[[#This Row],[type]]="LFF (MDG-F)",MID(Proc[[#This Row],[Obj]],13,10),"")</f>
        <v/>
      </c>
      <c r="J9" t="b">
        <f>Proc[[#This Row],[Requested]]=Proc[[#This Row],[CurrentParent]]</f>
        <v>1</v>
      </c>
      <c r="K9" s="144" t="str">
        <f>IF(Proc[[#This Row],[Author]]="Marcela Urrego",VLOOKUP(LEFT(Proc[[#This Row],[Requested]],1),Table3[#All],2,0),VLOOKUP(Proc[[#This Row],[Author]],Table4[],2,0))</f>
        <v>MGF</v>
      </c>
      <c r="L9" t="s">
        <v>401</v>
      </c>
      <c r="M9" s="71">
        <v>45170</v>
      </c>
      <c r="N9" s="71">
        <v>45170</v>
      </c>
      <c r="O9" s="71">
        <v>45175</v>
      </c>
      <c r="P9" s="37" t="str">
        <f ca="1">IF(Proc[[#This Row],[DaysAgeing]]&gt;5,"yep","on track")</f>
        <v>on track</v>
      </c>
      <c r="Q9" s="3">
        <f ca="1">IF(Proc[[#This Row],[DateClosed]]="",ABS(NETWORKDAYS(Proc[[#This Row],[DateOpened]],TODAY()))-1,ABS(NETWORKDAYS(Proc[[#This Row],[DateOpened]],Proc[[#This Row],[DateClosed]]))-1)</f>
        <v>3</v>
      </c>
      <c r="R9" s="1" t="s">
        <v>402</v>
      </c>
    </row>
    <row r="10" spans="1:19" s="22" customFormat="1" hidden="1">
      <c r="A10" s="22" t="s">
        <v>3</v>
      </c>
      <c r="B10" s="149" t="str">
        <f>IFERROR(VLOOKUP(Proc[[#This Row],[App]],Table2[],3,0),"open")</f>
        <v>ok</v>
      </c>
      <c r="C10" s="22" t="s">
        <v>692</v>
      </c>
      <c r="E10" s="22" t="s">
        <v>399</v>
      </c>
      <c r="F10" s="103" t="s">
        <v>399</v>
      </c>
      <c r="G10" s="22" t="s">
        <v>400</v>
      </c>
      <c r="H10" s="22" t="str">
        <f>IF(Proc[[#This Row],[type]]="LFF (MDG-F)",MID(Proc[[#This Row],[Obj]],13,10),"")</f>
        <v/>
      </c>
      <c r="J10" s="22" t="b">
        <f>Proc[[#This Row],[Requested]]=Proc[[#This Row],[CurrentParent]]</f>
        <v>1</v>
      </c>
      <c r="K10" s="144" t="str">
        <f>IF(Proc[[#This Row],[Author]]="Marcela Urrego",VLOOKUP(LEFT(Proc[[#This Row],[Requested]],1),Table3[#All],2,0),VLOOKUP(Proc[[#This Row],[Author]],Table4[],2,0))</f>
        <v>MGF</v>
      </c>
      <c r="L10" s="22" t="s">
        <v>401</v>
      </c>
      <c r="M10" s="71">
        <v>45170</v>
      </c>
      <c r="N10" s="71">
        <v>45170</v>
      </c>
      <c r="O10" s="71">
        <v>45175</v>
      </c>
      <c r="P10" s="37" t="str">
        <f ca="1">IF(Proc[[#This Row],[DaysAgeing]]&gt;5,"yep","on track")</f>
        <v>on track</v>
      </c>
      <c r="Q10" s="3">
        <f ca="1">IF(Proc[[#This Row],[DateClosed]]="",ABS(NETWORKDAYS(Proc[[#This Row],[DateOpened]],TODAY()))-1,ABS(NETWORKDAYS(Proc[[#This Row],[DateOpened]],Proc[[#This Row],[DateClosed]]))-1)</f>
        <v>3</v>
      </c>
      <c r="R10" s="26" t="s">
        <v>402</v>
      </c>
    </row>
    <row r="11" spans="1:19" hidden="1">
      <c r="A11" t="s">
        <v>1289</v>
      </c>
      <c r="B11" s="149" t="str">
        <f>IFERROR(VLOOKUP(Proc[[#This Row],[App]],Table2[],3,0),"open")</f>
        <v>ok</v>
      </c>
      <c r="C11" s="62" t="s">
        <v>369</v>
      </c>
      <c r="D11" t="s">
        <v>1288</v>
      </c>
      <c r="E11" t="s">
        <v>1249</v>
      </c>
      <c r="F11" s="117" t="s">
        <v>1249</v>
      </c>
      <c r="G11" t="s">
        <v>406</v>
      </c>
      <c r="H11" s="60" t="str">
        <f>IF(Proc[[#This Row],[type]]="LFF (MDG-F)",MID(Proc[[#This Row],[Obj]],13,10),"")</f>
        <v>DE10N01513</v>
      </c>
      <c r="J11" s="60" t="b">
        <f>Proc[[#This Row],[Requested]]=Proc[[#This Row],[CurrentParent]]</f>
        <v>1</v>
      </c>
      <c r="K11" s="144" t="str">
        <f>IF(Proc[[#This Row],[Author]]="Marcela Urrego",VLOOKUP(LEFT(Proc[[#This Row],[Requested]],1),Table3[#All],2,0),VLOOKUP(Proc[[#This Row],[Author]],Table4[],2,0))</f>
        <v>MGF</v>
      </c>
      <c r="L11" s="60" t="s">
        <v>401</v>
      </c>
      <c r="M11" s="71">
        <v>45644.604386574072</v>
      </c>
      <c r="N11" s="71">
        <v>45646</v>
      </c>
      <c r="O11" s="71">
        <v>45646</v>
      </c>
      <c r="P11" s="64" t="str">
        <f ca="1">IF(Proc[[#This Row],[DaysAgeing]]&gt;5,"yep","on track")</f>
        <v>on track</v>
      </c>
      <c r="Q11" s="3">
        <f ca="1">IF(Proc[[#This Row],[DateClosed]]="",ABS(NETWORKDAYS(Proc[[#This Row],[DateOpened]],TODAY()))-1,ABS(NETWORKDAYS(Proc[[#This Row],[DateOpened]],Proc[[#This Row],[DateClosed]]))-1)</f>
        <v>2</v>
      </c>
      <c r="R11" s="64" t="s">
        <v>549</v>
      </c>
      <c r="S11" s="60"/>
    </row>
    <row r="12" spans="1:19" hidden="1">
      <c r="A12" s="62" t="s">
        <v>1287</v>
      </c>
      <c r="B12" s="149" t="str">
        <f>IFERROR(VLOOKUP(Proc[[#This Row],[App]],Table2[],3,0),"open")</f>
        <v>ok</v>
      </c>
      <c r="C12" s="62" t="s">
        <v>369</v>
      </c>
      <c r="D12" t="s">
        <v>1282</v>
      </c>
      <c r="E12" t="s">
        <v>2416</v>
      </c>
      <c r="F12" s="117" t="s">
        <v>2416</v>
      </c>
      <c r="G12" s="62" t="s">
        <v>400</v>
      </c>
      <c r="H12" s="60" t="str">
        <f>IF(Proc[[#This Row],[type]]="LFF (MDG-F)",MID(Proc[[#This Row],[Obj]],13,10),"")</f>
        <v/>
      </c>
      <c r="J12" s="60" t="b">
        <f>Proc[[#This Row],[Requested]]=Proc[[#This Row],[CurrentParent]]</f>
        <v>1</v>
      </c>
      <c r="K12" s="144" t="str">
        <f>IF(Proc[[#This Row],[Author]]="Marcela Urrego",VLOOKUP(LEFT(Proc[[#This Row],[Requested]],1),Table3[#All],2,0),VLOOKUP(Proc[[#This Row],[Author]],Table4[],2,0))</f>
        <v>MGF</v>
      </c>
      <c r="L12" s="60" t="s">
        <v>401</v>
      </c>
      <c r="M12" s="71">
        <v>45645.37572916667</v>
      </c>
      <c r="N12" s="71">
        <v>45646</v>
      </c>
      <c r="O12" s="71">
        <v>45646</v>
      </c>
      <c r="P12" s="64" t="str">
        <f ca="1">IF(Proc[[#This Row],[DaysAgeing]]&gt;5,"yep","on track")</f>
        <v>on track</v>
      </c>
      <c r="Q12" s="3">
        <f ca="1">IF(Proc[[#This Row],[DateClosed]]="",ABS(NETWORKDAYS(Proc[[#This Row],[DateOpened]],TODAY()))-1,ABS(NETWORKDAYS(Proc[[#This Row],[DateOpened]],Proc[[#This Row],[DateClosed]]))-1)</f>
        <v>1</v>
      </c>
      <c r="R12" s="64" t="s">
        <v>515</v>
      </c>
      <c r="S12" s="60"/>
    </row>
    <row r="13" spans="1:19" hidden="1">
      <c r="A13" s="62" t="s">
        <v>1287</v>
      </c>
      <c r="B13" s="149" t="str">
        <f>IFERROR(VLOOKUP(Proc[[#This Row],[App]],Table2[],3,0),"open")</f>
        <v>ok</v>
      </c>
      <c r="C13" s="62" t="s">
        <v>369</v>
      </c>
      <c r="D13" t="s">
        <v>1283</v>
      </c>
      <c r="E13" t="s">
        <v>784</v>
      </c>
      <c r="F13" s="117" t="s">
        <v>784</v>
      </c>
      <c r="G13" s="62" t="s">
        <v>400</v>
      </c>
      <c r="H13" s="60" t="str">
        <f>IF(Proc[[#This Row],[type]]="LFF (MDG-F)",MID(Proc[[#This Row],[Obj]],13,10),"")</f>
        <v/>
      </c>
      <c r="J13" s="60" t="b">
        <f>Proc[[#This Row],[Requested]]=Proc[[#This Row],[CurrentParent]]</f>
        <v>1</v>
      </c>
      <c r="K13" s="144" t="str">
        <f>IF(Proc[[#This Row],[Author]]="Marcela Urrego",VLOOKUP(LEFT(Proc[[#This Row],[Requested]],1),Table3[#All],2,0),VLOOKUP(Proc[[#This Row],[Author]],Table4[],2,0))</f>
        <v>MGF</v>
      </c>
      <c r="L13" s="60" t="s">
        <v>401</v>
      </c>
      <c r="M13" s="71">
        <v>45645.37572916667</v>
      </c>
      <c r="N13" s="71">
        <v>45646</v>
      </c>
      <c r="O13" s="71">
        <v>45646</v>
      </c>
      <c r="P13" s="64" t="str">
        <f ca="1">IF(Proc[[#This Row],[DaysAgeing]]&gt;5,"yep","on track")</f>
        <v>on track</v>
      </c>
      <c r="Q13" s="3">
        <f ca="1">IF(Proc[[#This Row],[DateClosed]]="",ABS(NETWORKDAYS(Proc[[#This Row],[DateOpened]],TODAY()))-1,ABS(NETWORKDAYS(Proc[[#This Row],[DateOpened]],Proc[[#This Row],[DateClosed]]))-1)</f>
        <v>1</v>
      </c>
      <c r="R13" s="64" t="s">
        <v>515</v>
      </c>
      <c r="S13" s="60"/>
    </row>
    <row r="14" spans="1:19" hidden="1">
      <c r="A14" s="62" t="s">
        <v>1287</v>
      </c>
      <c r="B14" s="149" t="str">
        <f>IFERROR(VLOOKUP(Proc[[#This Row],[App]],Table2[],3,0),"open")</f>
        <v>ok</v>
      </c>
      <c r="C14" s="62" t="s">
        <v>369</v>
      </c>
      <c r="D14" t="s">
        <v>1284</v>
      </c>
      <c r="E14" t="s">
        <v>413</v>
      </c>
      <c r="F14" s="117" t="s">
        <v>413</v>
      </c>
      <c r="G14" s="62" t="s">
        <v>400</v>
      </c>
      <c r="H14" s="60" t="str">
        <f>IF(Proc[[#This Row],[type]]="LFF (MDG-F)",MID(Proc[[#This Row],[Obj]],13,10),"")</f>
        <v/>
      </c>
      <c r="J14" s="60" t="b">
        <f>Proc[[#This Row],[Requested]]=Proc[[#This Row],[CurrentParent]]</f>
        <v>1</v>
      </c>
      <c r="K14" s="144" t="str">
        <f>IF(Proc[[#This Row],[Author]]="Marcela Urrego",VLOOKUP(LEFT(Proc[[#This Row],[Requested]],1),Table3[#All],2,0),VLOOKUP(Proc[[#This Row],[Author]],Table4[],2,0))</f>
        <v>MGF</v>
      </c>
      <c r="L14" s="60" t="s">
        <v>401</v>
      </c>
      <c r="M14" s="71">
        <v>45645.37572916667</v>
      </c>
      <c r="N14" s="71">
        <v>45646</v>
      </c>
      <c r="O14" s="71">
        <v>45646</v>
      </c>
      <c r="P14" s="64" t="str">
        <f ca="1">IF(Proc[[#This Row],[DaysAgeing]]&gt;5,"yep","on track")</f>
        <v>on track</v>
      </c>
      <c r="Q14" s="3">
        <f ca="1">IF(Proc[[#This Row],[DateClosed]]="",ABS(NETWORKDAYS(Proc[[#This Row],[DateOpened]],TODAY()))-1,ABS(NETWORKDAYS(Proc[[#This Row],[DateOpened]],Proc[[#This Row],[DateClosed]]))-1)</f>
        <v>1</v>
      </c>
      <c r="R14" s="64" t="s">
        <v>515</v>
      </c>
      <c r="S14" s="60"/>
    </row>
    <row r="15" spans="1:19" hidden="1">
      <c r="A15" s="62" t="s">
        <v>1287</v>
      </c>
      <c r="B15" s="149" t="str">
        <f>IFERROR(VLOOKUP(Proc[[#This Row],[App]],Table2[],3,0),"open")</f>
        <v>ok</v>
      </c>
      <c r="C15" s="62" t="s">
        <v>369</v>
      </c>
      <c r="D15" t="s">
        <v>1285</v>
      </c>
      <c r="E15" t="s">
        <v>413</v>
      </c>
      <c r="F15" s="117" t="s">
        <v>413</v>
      </c>
      <c r="G15" s="62" t="s">
        <v>400</v>
      </c>
      <c r="H15" s="60" t="str">
        <f>IF(Proc[[#This Row],[type]]="LFF (MDG-F)",MID(Proc[[#This Row],[Obj]],13,10),"")</f>
        <v/>
      </c>
      <c r="J15" s="60" t="b">
        <f>Proc[[#This Row],[Requested]]=Proc[[#This Row],[CurrentParent]]</f>
        <v>1</v>
      </c>
      <c r="K15" s="144" t="str">
        <f>IF(Proc[[#This Row],[Author]]="Marcela Urrego",VLOOKUP(LEFT(Proc[[#This Row],[Requested]],1),Table3[#All],2,0),VLOOKUP(Proc[[#This Row],[Author]],Table4[],2,0))</f>
        <v>MGF</v>
      </c>
      <c r="L15" s="60" t="s">
        <v>401</v>
      </c>
      <c r="M15" s="71">
        <v>45645.37572916667</v>
      </c>
      <c r="N15" s="71">
        <v>45646</v>
      </c>
      <c r="O15" s="71">
        <v>45646</v>
      </c>
      <c r="P15" s="64" t="str">
        <f ca="1">IF(Proc[[#This Row],[DaysAgeing]]&gt;5,"yep","on track")</f>
        <v>on track</v>
      </c>
      <c r="Q15" s="3">
        <f ca="1">IF(Proc[[#This Row],[DateClosed]]="",ABS(NETWORKDAYS(Proc[[#This Row],[DateOpened]],TODAY()))-1,ABS(NETWORKDAYS(Proc[[#This Row],[DateOpened]],Proc[[#This Row],[DateClosed]]))-1)</f>
        <v>1</v>
      </c>
      <c r="R15" s="64" t="s">
        <v>515</v>
      </c>
      <c r="S15" s="60"/>
    </row>
    <row r="16" spans="1:19" hidden="1">
      <c r="A16" t="s">
        <v>1287</v>
      </c>
      <c r="B16" s="149" t="str">
        <f>IFERROR(VLOOKUP(Proc[[#This Row],[App]],Table2[],3,0),"open")</f>
        <v>ok</v>
      </c>
      <c r="C16" s="62" t="s">
        <v>369</v>
      </c>
      <c r="D16" t="s">
        <v>1286</v>
      </c>
      <c r="E16" s="62" t="s">
        <v>413</v>
      </c>
      <c r="F16" s="117" t="s">
        <v>413</v>
      </c>
      <c r="G16" t="s">
        <v>400</v>
      </c>
      <c r="H16" s="60" t="str">
        <f>IF(Proc[[#This Row],[type]]="LFF (MDG-F)",MID(Proc[[#This Row],[Obj]],13,10),"")</f>
        <v/>
      </c>
      <c r="J16" s="60" t="b">
        <f>Proc[[#This Row],[Requested]]=Proc[[#This Row],[CurrentParent]]</f>
        <v>1</v>
      </c>
      <c r="K16" s="144" t="str">
        <f>IF(Proc[[#This Row],[Author]]="Marcela Urrego",VLOOKUP(LEFT(Proc[[#This Row],[Requested]],1),Table3[#All],2,0),VLOOKUP(Proc[[#This Row],[Author]],Table4[],2,0))</f>
        <v>MGF</v>
      </c>
      <c r="L16" s="60" t="s">
        <v>401</v>
      </c>
      <c r="M16" s="71">
        <v>45645.37572916667</v>
      </c>
      <c r="N16" s="71">
        <v>45646</v>
      </c>
      <c r="O16" s="71">
        <v>45646</v>
      </c>
      <c r="P16" s="64" t="str">
        <f ca="1">IF(Proc[[#This Row],[DaysAgeing]]&gt;5,"yep","on track")</f>
        <v>on track</v>
      </c>
      <c r="Q16" s="3">
        <f ca="1">IF(Proc[[#This Row],[DateClosed]]="",ABS(NETWORKDAYS(Proc[[#This Row],[DateOpened]],TODAY()))-1,ABS(NETWORKDAYS(Proc[[#This Row],[DateOpened]],Proc[[#This Row],[DateClosed]]))-1)</f>
        <v>1</v>
      </c>
      <c r="R16" s="64" t="s">
        <v>515</v>
      </c>
      <c r="S16" s="60"/>
    </row>
    <row r="17" spans="1:19" hidden="1">
      <c r="A17" s="62" t="s">
        <v>1298</v>
      </c>
      <c r="B17" s="149" t="str">
        <f>IFERROR(VLOOKUP(Proc[[#This Row],[App]],Table2[],3,0),"open")</f>
        <v>ok</v>
      </c>
      <c r="C17" s="62" t="s">
        <v>369</v>
      </c>
      <c r="D17" t="s">
        <v>1294</v>
      </c>
      <c r="E17" t="s">
        <v>504</v>
      </c>
      <c r="F17" s="117" t="s">
        <v>504</v>
      </c>
      <c r="G17" s="62" t="s">
        <v>406</v>
      </c>
      <c r="H17" s="60" t="str">
        <f>IF(Proc[[#This Row],[type]]="LFF (MDG-F)",MID(Proc[[#This Row],[Obj]],13,10),"")</f>
        <v>CH65GMF012</v>
      </c>
      <c r="J17" s="60" t="b">
        <f>Proc[[#This Row],[Requested]]=Proc[[#This Row],[CurrentParent]]</f>
        <v>1</v>
      </c>
      <c r="K17" s="144" t="str">
        <f>IF(Proc[[#This Row],[Author]]="Marcela Urrego",VLOOKUP(LEFT(Proc[[#This Row],[Requested]],1),Table3[#All],2,0),VLOOKUP(Proc[[#This Row],[Author]],Table4[],2,0))</f>
        <v>HC</v>
      </c>
      <c r="L17" s="60" t="s">
        <v>401</v>
      </c>
      <c r="M17" s="71">
        <v>45645.662499999999</v>
      </c>
      <c r="N17" s="71">
        <v>45649</v>
      </c>
      <c r="O17" s="71">
        <v>45649</v>
      </c>
      <c r="P17" s="64" t="str">
        <f ca="1">IF(Proc[[#This Row],[DaysAgeing]]&gt;5,"yep","on track")</f>
        <v>on track</v>
      </c>
      <c r="Q17" s="3">
        <f ca="1">IF(Proc[[#This Row],[DateClosed]]="",ABS(NETWORKDAYS(Proc[[#This Row],[DateOpened]],TODAY()))-1,ABS(NETWORKDAYS(Proc[[#This Row],[DateOpened]],Proc[[#This Row],[DateClosed]]))-1)</f>
        <v>2</v>
      </c>
      <c r="R17" s="64" t="s">
        <v>1013</v>
      </c>
      <c r="S17" s="60"/>
    </row>
    <row r="18" spans="1:19" hidden="1">
      <c r="A18" s="62" t="s">
        <v>1298</v>
      </c>
      <c r="B18" s="149" t="str">
        <f>IFERROR(VLOOKUP(Proc[[#This Row],[App]],Table2[],3,0),"open")</f>
        <v>ok</v>
      </c>
      <c r="C18" s="62" t="s">
        <v>369</v>
      </c>
      <c r="D18" t="s">
        <v>1295</v>
      </c>
      <c r="E18" t="s">
        <v>504</v>
      </c>
      <c r="F18" s="117" t="s">
        <v>504</v>
      </c>
      <c r="G18" s="62" t="s">
        <v>406</v>
      </c>
      <c r="H18" s="60" t="str">
        <f>IF(Proc[[#This Row],[type]]="LFF (MDG-F)",MID(Proc[[#This Row],[Obj]],13,10),"")</f>
        <v>CH65GMF011</v>
      </c>
      <c r="J18" s="60" t="b">
        <f>Proc[[#This Row],[Requested]]=Proc[[#This Row],[CurrentParent]]</f>
        <v>1</v>
      </c>
      <c r="K18" s="144" t="str">
        <f>IF(Proc[[#This Row],[Author]]="Marcela Urrego",VLOOKUP(LEFT(Proc[[#This Row],[Requested]],1),Table3[#All],2,0),VLOOKUP(Proc[[#This Row],[Author]],Table4[],2,0))</f>
        <v>HC</v>
      </c>
      <c r="L18" s="60" t="s">
        <v>401</v>
      </c>
      <c r="M18" s="71">
        <v>45645.662499999999</v>
      </c>
      <c r="N18" s="71">
        <v>45649</v>
      </c>
      <c r="O18" s="71">
        <v>45649</v>
      </c>
      <c r="P18" s="64" t="str">
        <f ca="1">IF(Proc[[#This Row],[DaysAgeing]]&gt;5,"yep","on track")</f>
        <v>on track</v>
      </c>
      <c r="Q18" s="3">
        <f ca="1">IF(Proc[[#This Row],[DateClosed]]="",ABS(NETWORKDAYS(Proc[[#This Row],[DateOpened]],TODAY()))-1,ABS(NETWORKDAYS(Proc[[#This Row],[DateOpened]],Proc[[#This Row],[DateClosed]]))-1)</f>
        <v>2</v>
      </c>
      <c r="R18" s="64" t="s">
        <v>1013</v>
      </c>
      <c r="S18" s="60"/>
    </row>
    <row r="19" spans="1:19" s="62" customFormat="1" hidden="1">
      <c r="A19" s="62" t="s">
        <v>1298</v>
      </c>
      <c r="B19" s="149" t="str">
        <f>IFERROR(VLOOKUP(Proc[[#This Row],[App]],Table2[],3,0),"open")</f>
        <v>ok</v>
      </c>
      <c r="C19" s="62" t="s">
        <v>369</v>
      </c>
      <c r="D19" s="62" t="s">
        <v>1296</v>
      </c>
      <c r="E19" s="62" t="s">
        <v>504</v>
      </c>
      <c r="F19" s="117" t="s">
        <v>504</v>
      </c>
      <c r="G19" s="62" t="s">
        <v>406</v>
      </c>
      <c r="H19" s="60" t="str">
        <f>IF(Proc[[#This Row],[type]]="LFF (MDG-F)",MID(Proc[[#This Row],[Obj]],13,10),"")</f>
        <v>CH65C00056</v>
      </c>
      <c r="J19" s="60" t="b">
        <f>Proc[[#This Row],[Requested]]=Proc[[#This Row],[CurrentParent]]</f>
        <v>1</v>
      </c>
      <c r="K19" s="144" t="str">
        <f>IF(Proc[[#This Row],[Author]]="Marcela Urrego",VLOOKUP(LEFT(Proc[[#This Row],[Requested]],1),Table3[#All],2,0),VLOOKUP(Proc[[#This Row],[Author]],Table4[],2,0))</f>
        <v>HC</v>
      </c>
      <c r="L19" s="60" t="s">
        <v>401</v>
      </c>
      <c r="M19" s="71">
        <v>45645.662499999999</v>
      </c>
      <c r="N19" s="71">
        <v>45649</v>
      </c>
      <c r="O19" s="71">
        <v>45649</v>
      </c>
      <c r="P19" s="64" t="str">
        <f ca="1">IF(Proc[[#This Row],[DaysAgeing]]&gt;5,"yep","on track")</f>
        <v>on track</v>
      </c>
      <c r="Q19" s="3">
        <f ca="1">IF(Proc[[#This Row],[DateClosed]]="",ABS(NETWORKDAYS(Proc[[#This Row],[DateOpened]],TODAY()))-1,ABS(NETWORKDAYS(Proc[[#This Row],[DateOpened]],Proc[[#This Row],[DateClosed]]))-1)</f>
        <v>2</v>
      </c>
      <c r="R19" s="64" t="s">
        <v>1013</v>
      </c>
      <c r="S19" s="60"/>
    </row>
    <row r="20" spans="1:19" hidden="1">
      <c r="A20" t="s">
        <v>1298</v>
      </c>
      <c r="B20" s="149" t="str">
        <f>IFERROR(VLOOKUP(Proc[[#This Row],[App]],Table2[],3,0),"open")</f>
        <v>ok</v>
      </c>
      <c r="C20" s="62" t="s">
        <v>369</v>
      </c>
      <c r="D20" t="s">
        <v>1297</v>
      </c>
      <c r="E20" t="s">
        <v>504</v>
      </c>
      <c r="F20" s="117" t="s">
        <v>504</v>
      </c>
      <c r="G20" s="62" t="s">
        <v>406</v>
      </c>
      <c r="H20" s="60" t="str">
        <f>IF(Proc[[#This Row],[type]]="LFF (MDG-F)",MID(Proc[[#This Row],[Obj]],13,10),"")</f>
        <v>CH65C00057</v>
      </c>
      <c r="J20" s="60" t="b">
        <f>Proc[[#This Row],[Requested]]=Proc[[#This Row],[CurrentParent]]</f>
        <v>1</v>
      </c>
      <c r="K20" s="144" t="str">
        <f>IF(Proc[[#This Row],[Author]]="Marcela Urrego",VLOOKUP(LEFT(Proc[[#This Row],[Requested]],1),Table3[#All],2,0),VLOOKUP(Proc[[#This Row],[Author]],Table4[],2,0))</f>
        <v>HC</v>
      </c>
      <c r="L20" s="60" t="s">
        <v>401</v>
      </c>
      <c r="M20" s="71">
        <v>45645.662499999999</v>
      </c>
      <c r="N20" s="71">
        <v>45649</v>
      </c>
      <c r="O20" s="71">
        <v>45649</v>
      </c>
      <c r="P20" s="64" t="str">
        <f ca="1">IF(Proc[[#This Row],[DaysAgeing]]&gt;5,"yep","on track")</f>
        <v>on track</v>
      </c>
      <c r="Q20" s="3">
        <f ca="1">IF(Proc[[#This Row],[DateClosed]]="",ABS(NETWORKDAYS(Proc[[#This Row],[DateOpened]],TODAY()))-1,ABS(NETWORKDAYS(Proc[[#This Row],[DateOpened]],Proc[[#This Row],[DateClosed]]))-1)</f>
        <v>2</v>
      </c>
      <c r="R20" s="64" t="s">
        <v>1013</v>
      </c>
      <c r="S20" s="60"/>
    </row>
    <row r="21" spans="1:19" hidden="1">
      <c r="A21" s="62" t="s">
        <v>1290</v>
      </c>
      <c r="B21" s="149" t="str">
        <f>IFERROR(VLOOKUP(Proc[[#This Row],[App]],Table2[],3,0),"open")</f>
        <v>ok</v>
      </c>
      <c r="C21" s="62" t="s">
        <v>369</v>
      </c>
      <c r="D21" t="s">
        <v>1291</v>
      </c>
      <c r="E21" t="s">
        <v>2416</v>
      </c>
      <c r="F21" s="117" t="s">
        <v>2416</v>
      </c>
      <c r="G21" s="62" t="s">
        <v>400</v>
      </c>
      <c r="H21" s="60" t="str">
        <f>IF(Proc[[#This Row],[type]]="LFF (MDG-F)",MID(Proc[[#This Row],[Obj]],13,10),"")</f>
        <v/>
      </c>
      <c r="J21" s="60" t="b">
        <f>Proc[[#This Row],[Requested]]=Proc[[#This Row],[CurrentParent]]</f>
        <v>1</v>
      </c>
      <c r="K21" s="144" t="str">
        <f>IF(Proc[[#This Row],[Author]]="Marcela Urrego",VLOOKUP(LEFT(Proc[[#This Row],[Requested]],1),Table3[#All],2,0),VLOOKUP(Proc[[#This Row],[Author]],Table4[],2,0))</f>
        <v>MGF</v>
      </c>
      <c r="L21" s="60" t="s">
        <v>401</v>
      </c>
      <c r="M21" s="71">
        <v>45645.671296296299</v>
      </c>
      <c r="N21" s="71">
        <v>45649</v>
      </c>
      <c r="O21" s="71">
        <v>45649</v>
      </c>
      <c r="P21" s="64" t="str">
        <f ca="1">IF(Proc[[#This Row],[DaysAgeing]]&gt;5,"yep","on track")</f>
        <v>on track</v>
      </c>
      <c r="Q21" s="3">
        <f ca="1">IF(Proc[[#This Row],[DateClosed]]="",ABS(NETWORKDAYS(Proc[[#This Row],[DateOpened]],TODAY()))-1,ABS(NETWORKDAYS(Proc[[#This Row],[DateOpened]],Proc[[#This Row],[DateClosed]]))-1)</f>
        <v>2</v>
      </c>
      <c r="R21" s="64" t="s">
        <v>515</v>
      </c>
      <c r="S21" s="60"/>
    </row>
    <row r="22" spans="1:19" hidden="1">
      <c r="A22" s="62" t="s">
        <v>1290</v>
      </c>
      <c r="B22" s="149" t="str">
        <f>IFERROR(VLOOKUP(Proc[[#This Row],[App]],Table2[],3,0),"open")</f>
        <v>ok</v>
      </c>
      <c r="C22" s="62" t="s">
        <v>369</v>
      </c>
      <c r="D22" t="s">
        <v>1292</v>
      </c>
      <c r="E22" t="s">
        <v>476</v>
      </c>
      <c r="F22" s="117" t="s">
        <v>476</v>
      </c>
      <c r="G22" s="62" t="s">
        <v>400</v>
      </c>
      <c r="H22" s="60" t="str">
        <f>IF(Proc[[#This Row],[type]]="LFF (MDG-F)",MID(Proc[[#This Row],[Obj]],13,10),"")</f>
        <v/>
      </c>
      <c r="J22" s="60" t="b">
        <f>Proc[[#This Row],[Requested]]=Proc[[#This Row],[CurrentParent]]</f>
        <v>1</v>
      </c>
      <c r="K22" s="144" t="str">
        <f>IF(Proc[[#This Row],[Author]]="Marcela Urrego",VLOOKUP(LEFT(Proc[[#This Row],[Requested]],1),Table3[#All],2,0),VLOOKUP(Proc[[#This Row],[Author]],Table4[],2,0))</f>
        <v>MGF</v>
      </c>
      <c r="L22" s="60" t="s">
        <v>401</v>
      </c>
      <c r="M22" s="71">
        <v>45645.671296296299</v>
      </c>
      <c r="N22" s="71">
        <v>45649</v>
      </c>
      <c r="O22" s="71">
        <v>45649</v>
      </c>
      <c r="P22" s="64" t="str">
        <f ca="1">IF(Proc[[#This Row],[DaysAgeing]]&gt;5,"yep","on track")</f>
        <v>on track</v>
      </c>
      <c r="Q22" s="3">
        <f ca="1">IF(Proc[[#This Row],[DateClosed]]="",ABS(NETWORKDAYS(Proc[[#This Row],[DateOpened]],TODAY()))-1,ABS(NETWORKDAYS(Proc[[#This Row],[DateOpened]],Proc[[#This Row],[DateClosed]]))-1)</f>
        <v>2</v>
      </c>
      <c r="R22" s="64" t="s">
        <v>515</v>
      </c>
      <c r="S22" s="60"/>
    </row>
    <row r="23" spans="1:19" hidden="1">
      <c r="A23" s="62" t="s">
        <v>1290</v>
      </c>
      <c r="B23" s="149" t="str">
        <f>IFERROR(VLOOKUP(Proc[[#This Row],[App]],Table2[],3,0),"open")</f>
        <v>ok</v>
      </c>
      <c r="C23" s="62" t="s">
        <v>369</v>
      </c>
      <c r="D23" t="s">
        <v>1293</v>
      </c>
      <c r="E23" t="s">
        <v>1221</v>
      </c>
      <c r="F23" s="117" t="s">
        <v>1221</v>
      </c>
      <c r="G23" s="62" t="s">
        <v>400</v>
      </c>
      <c r="H23" s="60" t="str">
        <f>IF(Proc[[#This Row],[type]]="LFF (MDG-F)",MID(Proc[[#This Row],[Obj]],13,10),"")</f>
        <v/>
      </c>
      <c r="J23" s="60" t="b">
        <f>Proc[[#This Row],[Requested]]=Proc[[#This Row],[CurrentParent]]</f>
        <v>1</v>
      </c>
      <c r="K23" s="144" t="str">
        <f>IF(Proc[[#This Row],[Author]]="Marcela Urrego",VLOOKUP(LEFT(Proc[[#This Row],[Requested]],1),Table3[#All],2,0),VLOOKUP(Proc[[#This Row],[Author]],Table4[],2,0))</f>
        <v>MGF</v>
      </c>
      <c r="L23" s="60" t="s">
        <v>401</v>
      </c>
      <c r="M23" s="71">
        <v>45645.671296296299</v>
      </c>
      <c r="N23" s="71">
        <v>45649</v>
      </c>
      <c r="O23" s="71">
        <v>45649</v>
      </c>
      <c r="P23" s="64" t="str">
        <f ca="1">IF(Proc[[#This Row],[DaysAgeing]]&gt;5,"yep","on track")</f>
        <v>on track</v>
      </c>
      <c r="Q23" s="3">
        <f ca="1">IF(Proc[[#This Row],[DateClosed]]="",ABS(NETWORKDAYS(Proc[[#This Row],[DateOpened]],TODAY()))-1,ABS(NETWORKDAYS(Proc[[#This Row],[DateOpened]],Proc[[#This Row],[DateClosed]]))-1)</f>
        <v>2</v>
      </c>
      <c r="R23" s="64" t="s">
        <v>515</v>
      </c>
      <c r="S23" s="60"/>
    </row>
    <row r="24" spans="1:19" hidden="1">
      <c r="A24" t="s">
        <v>1365</v>
      </c>
      <c r="B24" s="149" t="str">
        <f>IFERROR(VLOOKUP(Proc[[#This Row],[App]],Table2[],3,0),"open")</f>
        <v>ok</v>
      </c>
      <c r="C24" s="62" t="s">
        <v>369</v>
      </c>
      <c r="D24" t="s">
        <v>1299</v>
      </c>
      <c r="E24" t="s">
        <v>1358</v>
      </c>
      <c r="F24" s="117" t="s">
        <v>1358</v>
      </c>
      <c r="G24" s="62" t="s">
        <v>406</v>
      </c>
      <c r="H24" s="60" t="str">
        <f>IF(Proc[[#This Row],[type]]="LFF (MDG-F)",MID(Proc[[#This Row],[Obj]],13,10),"")</f>
        <v>DE10501102</v>
      </c>
      <c r="J24" s="60" t="b">
        <f>Proc[[#This Row],[Requested]]=Proc[[#This Row],[CurrentParent]]</f>
        <v>1</v>
      </c>
      <c r="K24" s="144" t="str">
        <f>IF(Proc[[#This Row],[Author]]="Marcela Urrego",VLOOKUP(LEFT(Proc[[#This Row],[Requested]],1),Table3[#All],2,0),VLOOKUP(Proc[[#This Row],[Author]],Table4[],2,0))</f>
        <v>MGF</v>
      </c>
      <c r="L24" s="60" t="s">
        <v>401</v>
      </c>
      <c r="M24" s="71">
        <v>45646.435798611114</v>
      </c>
      <c r="N24" s="71">
        <v>45652</v>
      </c>
      <c r="O24" s="71">
        <v>45652</v>
      </c>
      <c r="P24" s="64" t="str">
        <f ca="1">IF(Proc[[#This Row],[DaysAgeing]]&gt;5,"yep","on track")</f>
        <v>on track</v>
      </c>
      <c r="Q24" s="3">
        <f ca="1">IF(Proc[[#This Row],[DateClosed]]="",ABS(NETWORKDAYS(Proc[[#This Row],[DateOpened]],TODAY()))-1,ABS(NETWORKDAYS(Proc[[#This Row],[DateOpened]],Proc[[#This Row],[DateClosed]]))-1)</f>
        <v>4</v>
      </c>
      <c r="R24" s="64" t="s">
        <v>481</v>
      </c>
      <c r="S24" s="60"/>
    </row>
    <row r="25" spans="1:19" hidden="1">
      <c r="A25" s="62" t="s">
        <v>1365</v>
      </c>
      <c r="B25" s="149" t="str">
        <f>IFERROR(VLOOKUP(Proc[[#This Row],[App]],Table2[],3,0),"open")</f>
        <v>ok</v>
      </c>
      <c r="C25" s="62" t="s">
        <v>369</v>
      </c>
      <c r="D25" t="s">
        <v>451</v>
      </c>
      <c r="E25" t="s">
        <v>1359</v>
      </c>
      <c r="F25" s="117" t="s">
        <v>1359</v>
      </c>
      <c r="G25" s="62" t="s">
        <v>406</v>
      </c>
      <c r="H25" s="60" t="str">
        <f>IF(Proc[[#This Row],[type]]="LFF (MDG-F)",MID(Proc[[#This Row],[Obj]],13,10),"")</f>
        <v>DE10501111</v>
      </c>
      <c r="J25" s="60" t="b">
        <f>Proc[[#This Row],[Requested]]=Proc[[#This Row],[CurrentParent]]</f>
        <v>1</v>
      </c>
      <c r="K25" s="144" t="str">
        <f>IF(Proc[[#This Row],[Author]]="Marcela Urrego",VLOOKUP(LEFT(Proc[[#This Row],[Requested]],1),Table3[#All],2,0),VLOOKUP(Proc[[#This Row],[Author]],Table4[],2,0))</f>
        <v>MGF</v>
      </c>
      <c r="L25" s="60" t="s">
        <v>401</v>
      </c>
      <c r="M25" s="71">
        <v>45646.435798611114</v>
      </c>
      <c r="N25" s="71">
        <v>45652</v>
      </c>
      <c r="O25" s="71">
        <v>45652</v>
      </c>
      <c r="P25" s="64" t="str">
        <f ca="1">IF(Proc[[#This Row],[DaysAgeing]]&gt;5,"yep","on track")</f>
        <v>on track</v>
      </c>
      <c r="Q25" s="3">
        <f ca="1">IF(Proc[[#This Row],[DateClosed]]="",ABS(NETWORKDAYS(Proc[[#This Row],[DateOpened]],TODAY()))-1,ABS(NETWORKDAYS(Proc[[#This Row],[DateOpened]],Proc[[#This Row],[DateClosed]]))-1)</f>
        <v>4</v>
      </c>
      <c r="R25" s="64" t="s">
        <v>481</v>
      </c>
      <c r="S25" s="60"/>
    </row>
    <row r="26" spans="1:19" hidden="1">
      <c r="A26" s="62" t="s">
        <v>1365</v>
      </c>
      <c r="B26" s="149" t="str">
        <f>IFERROR(VLOOKUP(Proc[[#This Row],[App]],Table2[],3,0),"open")</f>
        <v>ok</v>
      </c>
      <c r="C26" s="62" t="s">
        <v>369</v>
      </c>
      <c r="D26" t="s">
        <v>1300</v>
      </c>
      <c r="E26" t="s">
        <v>1360</v>
      </c>
      <c r="F26" s="117" t="s">
        <v>1360</v>
      </c>
      <c r="G26" s="62" t="s">
        <v>406</v>
      </c>
      <c r="H26" s="60" t="str">
        <f>IF(Proc[[#This Row],[type]]="LFF (MDG-F)",MID(Proc[[#This Row],[Obj]],13,10),"")</f>
        <v>DE10502401</v>
      </c>
      <c r="J26" s="60" t="b">
        <f>Proc[[#This Row],[Requested]]=Proc[[#This Row],[CurrentParent]]</f>
        <v>1</v>
      </c>
      <c r="K26" s="144" t="str">
        <f>IF(Proc[[#This Row],[Author]]="Marcela Urrego",VLOOKUP(LEFT(Proc[[#This Row],[Requested]],1),Table3[#All],2,0),VLOOKUP(Proc[[#This Row],[Author]],Table4[],2,0))</f>
        <v>MGF</v>
      </c>
      <c r="L26" s="60" t="s">
        <v>401</v>
      </c>
      <c r="M26" s="71">
        <v>45646.435798611114</v>
      </c>
      <c r="N26" s="71">
        <v>45652</v>
      </c>
      <c r="O26" s="71">
        <v>45652</v>
      </c>
      <c r="P26" s="64" t="str">
        <f ca="1">IF(Proc[[#This Row],[DaysAgeing]]&gt;5,"yep","on track")</f>
        <v>on track</v>
      </c>
      <c r="Q26" s="3">
        <f ca="1">IF(Proc[[#This Row],[DateClosed]]="",ABS(NETWORKDAYS(Proc[[#This Row],[DateOpened]],TODAY()))-1,ABS(NETWORKDAYS(Proc[[#This Row],[DateOpened]],Proc[[#This Row],[DateClosed]]))-1)</f>
        <v>4</v>
      </c>
      <c r="R26" s="64" t="s">
        <v>481</v>
      </c>
      <c r="S26" s="60"/>
    </row>
    <row r="27" spans="1:19" hidden="1">
      <c r="A27" s="62" t="s">
        <v>1365</v>
      </c>
      <c r="B27" s="149" t="str">
        <f>IFERROR(VLOOKUP(Proc[[#This Row],[App]],Table2[],3,0),"open")</f>
        <v>ok</v>
      </c>
      <c r="C27" s="62" t="s">
        <v>369</v>
      </c>
      <c r="D27" t="s">
        <v>1301</v>
      </c>
      <c r="E27" t="s">
        <v>1360</v>
      </c>
      <c r="F27" s="117" t="s">
        <v>1360</v>
      </c>
      <c r="G27" s="62" t="s">
        <v>406</v>
      </c>
      <c r="H27" s="60" t="str">
        <f>IF(Proc[[#This Row],[type]]="LFF (MDG-F)",MID(Proc[[#This Row],[Obj]],13,10),"")</f>
        <v>DE10502404</v>
      </c>
      <c r="J27" s="60" t="b">
        <f>Proc[[#This Row],[Requested]]=Proc[[#This Row],[CurrentParent]]</f>
        <v>1</v>
      </c>
      <c r="K27" s="144" t="str">
        <f>IF(Proc[[#This Row],[Author]]="Marcela Urrego",VLOOKUP(LEFT(Proc[[#This Row],[Requested]],1),Table3[#All],2,0),VLOOKUP(Proc[[#This Row],[Author]],Table4[],2,0))</f>
        <v>MGF</v>
      </c>
      <c r="L27" s="60" t="s">
        <v>401</v>
      </c>
      <c r="M27" s="71">
        <v>45646.435798611114</v>
      </c>
      <c r="N27" s="71">
        <v>45652</v>
      </c>
      <c r="O27" s="71">
        <v>45652</v>
      </c>
      <c r="P27" s="64" t="str">
        <f ca="1">IF(Proc[[#This Row],[DaysAgeing]]&gt;5,"yep","on track")</f>
        <v>on track</v>
      </c>
      <c r="Q27" s="3">
        <f ca="1">IF(Proc[[#This Row],[DateClosed]]="",ABS(NETWORKDAYS(Proc[[#This Row],[DateOpened]],TODAY()))-1,ABS(NETWORKDAYS(Proc[[#This Row],[DateOpened]],Proc[[#This Row],[DateClosed]]))-1)</f>
        <v>4</v>
      </c>
      <c r="R27" s="64" t="s">
        <v>481</v>
      </c>
      <c r="S27" s="60"/>
    </row>
    <row r="28" spans="1:19" hidden="1">
      <c r="A28" s="62" t="s">
        <v>1365</v>
      </c>
      <c r="B28" s="149" t="str">
        <f>IFERROR(VLOOKUP(Proc[[#This Row],[App]],Table2[],3,0),"open")</f>
        <v>ok</v>
      </c>
      <c r="C28" s="62" t="s">
        <v>369</v>
      </c>
      <c r="D28" t="s">
        <v>1302</v>
      </c>
      <c r="E28" t="s">
        <v>1360</v>
      </c>
      <c r="F28" s="117" t="s">
        <v>1360</v>
      </c>
      <c r="G28" s="62" t="s">
        <v>406</v>
      </c>
      <c r="H28" s="60" t="str">
        <f>IF(Proc[[#This Row],[type]]="LFF (MDG-F)",MID(Proc[[#This Row],[Obj]],13,10),"")</f>
        <v>DE10502405</v>
      </c>
      <c r="J28" s="60" t="b">
        <f>Proc[[#This Row],[Requested]]=Proc[[#This Row],[CurrentParent]]</f>
        <v>1</v>
      </c>
      <c r="K28" s="144" t="str">
        <f>IF(Proc[[#This Row],[Author]]="Marcela Urrego",VLOOKUP(LEFT(Proc[[#This Row],[Requested]],1),Table3[#All],2,0),VLOOKUP(Proc[[#This Row],[Author]],Table4[],2,0))</f>
        <v>MGF</v>
      </c>
      <c r="L28" s="60" t="s">
        <v>401</v>
      </c>
      <c r="M28" s="71">
        <v>45646.435798611114</v>
      </c>
      <c r="N28" s="71">
        <v>45652</v>
      </c>
      <c r="O28" s="71">
        <v>45652</v>
      </c>
      <c r="P28" s="64" t="str">
        <f ca="1">IF(Proc[[#This Row],[DaysAgeing]]&gt;5,"yep","on track")</f>
        <v>on track</v>
      </c>
      <c r="Q28" s="3">
        <f ca="1">IF(Proc[[#This Row],[DateClosed]]="",ABS(NETWORKDAYS(Proc[[#This Row],[DateOpened]],TODAY()))-1,ABS(NETWORKDAYS(Proc[[#This Row],[DateOpened]],Proc[[#This Row],[DateClosed]]))-1)</f>
        <v>4</v>
      </c>
      <c r="R28" s="64" t="s">
        <v>481</v>
      </c>
      <c r="S28" s="60"/>
    </row>
    <row r="29" spans="1:19" hidden="1">
      <c r="A29" s="62" t="s">
        <v>1365</v>
      </c>
      <c r="B29" s="149" t="str">
        <f>IFERROR(VLOOKUP(Proc[[#This Row],[App]],Table2[],3,0),"open")</f>
        <v>ok</v>
      </c>
      <c r="C29" s="62" t="s">
        <v>369</v>
      </c>
      <c r="D29" t="s">
        <v>1303</v>
      </c>
      <c r="E29" t="s">
        <v>1360</v>
      </c>
      <c r="F29" s="117" t="s">
        <v>1360</v>
      </c>
      <c r="G29" s="62" t="s">
        <v>406</v>
      </c>
      <c r="H29" s="60" t="str">
        <f>IF(Proc[[#This Row],[type]]="LFF (MDG-F)",MID(Proc[[#This Row],[Obj]],13,10),"")</f>
        <v>DE10502407</v>
      </c>
      <c r="J29" s="60" t="b">
        <f>Proc[[#This Row],[Requested]]=Proc[[#This Row],[CurrentParent]]</f>
        <v>1</v>
      </c>
      <c r="K29" s="144" t="str">
        <f>IF(Proc[[#This Row],[Author]]="Marcela Urrego",VLOOKUP(LEFT(Proc[[#This Row],[Requested]],1),Table3[#All],2,0),VLOOKUP(Proc[[#This Row],[Author]],Table4[],2,0))</f>
        <v>MGF</v>
      </c>
      <c r="L29" s="60" t="s">
        <v>401</v>
      </c>
      <c r="M29" s="71">
        <v>45646.435798611114</v>
      </c>
      <c r="N29" s="71">
        <v>45652</v>
      </c>
      <c r="O29" s="71">
        <v>45652</v>
      </c>
      <c r="P29" s="64" t="str">
        <f ca="1">IF(Proc[[#This Row],[DaysAgeing]]&gt;5,"yep","on track")</f>
        <v>on track</v>
      </c>
      <c r="Q29" s="3">
        <f ca="1">IF(Proc[[#This Row],[DateClosed]]="",ABS(NETWORKDAYS(Proc[[#This Row],[DateOpened]],TODAY()))-1,ABS(NETWORKDAYS(Proc[[#This Row],[DateOpened]],Proc[[#This Row],[DateClosed]]))-1)</f>
        <v>4</v>
      </c>
      <c r="R29" s="64" t="s">
        <v>481</v>
      </c>
      <c r="S29" s="60"/>
    </row>
    <row r="30" spans="1:19" hidden="1">
      <c r="A30" s="62" t="s">
        <v>1365</v>
      </c>
      <c r="B30" s="149" t="str">
        <f>IFERROR(VLOOKUP(Proc[[#This Row],[App]],Table2[],3,0),"open")</f>
        <v>ok</v>
      </c>
      <c r="C30" s="62" t="s">
        <v>369</v>
      </c>
      <c r="D30" t="s">
        <v>453</v>
      </c>
      <c r="E30" t="s">
        <v>1360</v>
      </c>
      <c r="F30" s="117" t="s">
        <v>1360</v>
      </c>
      <c r="G30" s="62" t="s">
        <v>406</v>
      </c>
      <c r="H30" s="60" t="str">
        <f>IF(Proc[[#This Row],[type]]="LFF (MDG-F)",MID(Proc[[#This Row],[Obj]],13,10),"")</f>
        <v>DE10502408</v>
      </c>
      <c r="J30" s="60" t="b">
        <f>Proc[[#This Row],[Requested]]=Proc[[#This Row],[CurrentParent]]</f>
        <v>1</v>
      </c>
      <c r="K30" s="144" t="str">
        <f>IF(Proc[[#This Row],[Author]]="Marcela Urrego",VLOOKUP(LEFT(Proc[[#This Row],[Requested]],1),Table3[#All],2,0),VLOOKUP(Proc[[#This Row],[Author]],Table4[],2,0))</f>
        <v>MGF</v>
      </c>
      <c r="L30" s="60" t="s">
        <v>401</v>
      </c>
      <c r="M30" s="71">
        <v>45646.435798611114</v>
      </c>
      <c r="N30" s="71">
        <v>45652</v>
      </c>
      <c r="O30" s="71">
        <v>45652</v>
      </c>
      <c r="P30" s="64" t="str">
        <f ca="1">IF(Proc[[#This Row],[DaysAgeing]]&gt;5,"yep","on track")</f>
        <v>on track</v>
      </c>
      <c r="Q30" s="3">
        <f ca="1">IF(Proc[[#This Row],[DateClosed]]="",ABS(NETWORKDAYS(Proc[[#This Row],[DateOpened]],TODAY()))-1,ABS(NETWORKDAYS(Proc[[#This Row],[DateOpened]],Proc[[#This Row],[DateClosed]]))-1)</f>
        <v>4</v>
      </c>
      <c r="R30" s="64" t="s">
        <v>481</v>
      </c>
      <c r="S30" s="60"/>
    </row>
    <row r="31" spans="1:19" hidden="1">
      <c r="A31" s="62" t="s">
        <v>1365</v>
      </c>
      <c r="B31" s="149" t="str">
        <f>IFERROR(VLOOKUP(Proc[[#This Row],[App]],Table2[],3,0),"open")</f>
        <v>ok</v>
      </c>
      <c r="C31" s="62" t="s">
        <v>369</v>
      </c>
      <c r="D31" t="s">
        <v>1304</v>
      </c>
      <c r="E31" t="s">
        <v>1360</v>
      </c>
      <c r="F31" s="117" t="s">
        <v>1360</v>
      </c>
      <c r="G31" s="62" t="s">
        <v>406</v>
      </c>
      <c r="H31" s="60" t="str">
        <f>IF(Proc[[#This Row],[type]]="LFF (MDG-F)",MID(Proc[[#This Row],[Obj]],13,10),"")</f>
        <v>DE10502409</v>
      </c>
      <c r="J31" s="60" t="b">
        <f>Proc[[#This Row],[Requested]]=Proc[[#This Row],[CurrentParent]]</f>
        <v>1</v>
      </c>
      <c r="K31" s="144" t="str">
        <f>IF(Proc[[#This Row],[Author]]="Marcela Urrego",VLOOKUP(LEFT(Proc[[#This Row],[Requested]],1),Table3[#All],2,0),VLOOKUP(Proc[[#This Row],[Author]],Table4[],2,0))</f>
        <v>MGF</v>
      </c>
      <c r="L31" s="60" t="s">
        <v>401</v>
      </c>
      <c r="M31" s="71">
        <v>45646.435798611114</v>
      </c>
      <c r="N31" s="71">
        <v>45652</v>
      </c>
      <c r="O31" s="71">
        <v>45652</v>
      </c>
      <c r="P31" s="64" t="str">
        <f ca="1">IF(Proc[[#This Row],[DaysAgeing]]&gt;5,"yep","on track")</f>
        <v>on track</v>
      </c>
      <c r="Q31" s="3">
        <f ca="1">IF(Proc[[#This Row],[DateClosed]]="",ABS(NETWORKDAYS(Proc[[#This Row],[DateOpened]],TODAY()))-1,ABS(NETWORKDAYS(Proc[[#This Row],[DateOpened]],Proc[[#This Row],[DateClosed]]))-1)</f>
        <v>4</v>
      </c>
      <c r="R31" s="64" t="s">
        <v>481</v>
      </c>
      <c r="S31" s="60"/>
    </row>
    <row r="32" spans="1:19" hidden="1">
      <c r="A32" s="62" t="s">
        <v>1365</v>
      </c>
      <c r="B32" s="149" t="str">
        <f>IFERROR(VLOOKUP(Proc[[#This Row],[App]],Table2[],3,0),"open")</f>
        <v>ok</v>
      </c>
      <c r="C32" s="62" t="s">
        <v>369</v>
      </c>
      <c r="D32" t="s">
        <v>1305</v>
      </c>
      <c r="E32" t="s">
        <v>1360</v>
      </c>
      <c r="F32" s="117" t="s">
        <v>1360</v>
      </c>
      <c r="G32" s="62" t="s">
        <v>406</v>
      </c>
      <c r="H32" s="60" t="str">
        <f>IF(Proc[[#This Row],[type]]="LFF (MDG-F)",MID(Proc[[#This Row],[Obj]],13,10),"")</f>
        <v>DE10502410</v>
      </c>
      <c r="J32" s="60" t="b">
        <f>Proc[[#This Row],[Requested]]=Proc[[#This Row],[CurrentParent]]</f>
        <v>1</v>
      </c>
      <c r="K32" s="144" t="str">
        <f>IF(Proc[[#This Row],[Author]]="Marcela Urrego",VLOOKUP(LEFT(Proc[[#This Row],[Requested]],1),Table3[#All],2,0),VLOOKUP(Proc[[#This Row],[Author]],Table4[],2,0))</f>
        <v>MGF</v>
      </c>
      <c r="L32" s="60" t="s">
        <v>401</v>
      </c>
      <c r="M32" s="71">
        <v>45646.435798611114</v>
      </c>
      <c r="N32" s="71">
        <v>45652</v>
      </c>
      <c r="O32" s="71">
        <v>45652</v>
      </c>
      <c r="P32" s="64" t="str">
        <f ca="1">IF(Proc[[#This Row],[DaysAgeing]]&gt;5,"yep","on track")</f>
        <v>on track</v>
      </c>
      <c r="Q32" s="3">
        <f ca="1">IF(Proc[[#This Row],[DateClosed]]="",ABS(NETWORKDAYS(Proc[[#This Row],[DateOpened]],TODAY()))-1,ABS(NETWORKDAYS(Proc[[#This Row],[DateOpened]],Proc[[#This Row],[DateClosed]]))-1)</f>
        <v>4</v>
      </c>
      <c r="R32" s="64" t="s">
        <v>481</v>
      </c>
      <c r="S32" s="60"/>
    </row>
    <row r="33" spans="1:19" hidden="1">
      <c r="A33" s="62" t="s">
        <v>1365</v>
      </c>
      <c r="B33" s="149" t="str">
        <f>IFERROR(VLOOKUP(Proc[[#This Row],[App]],Table2[],3,0),"open")</f>
        <v>ok</v>
      </c>
      <c r="C33" s="62" t="s">
        <v>369</v>
      </c>
      <c r="D33" t="s">
        <v>1306</v>
      </c>
      <c r="E33" t="s">
        <v>1360</v>
      </c>
      <c r="F33" s="117" t="s">
        <v>1360</v>
      </c>
      <c r="G33" s="62" t="s">
        <v>406</v>
      </c>
      <c r="H33" s="60" t="str">
        <f>IF(Proc[[#This Row],[type]]="LFF (MDG-F)",MID(Proc[[#This Row],[Obj]],13,10),"")</f>
        <v>DE10502411</v>
      </c>
      <c r="J33" s="60" t="b">
        <f>Proc[[#This Row],[Requested]]=Proc[[#This Row],[CurrentParent]]</f>
        <v>1</v>
      </c>
      <c r="K33" s="144" t="str">
        <f>IF(Proc[[#This Row],[Author]]="Marcela Urrego",VLOOKUP(LEFT(Proc[[#This Row],[Requested]],1),Table3[#All],2,0),VLOOKUP(Proc[[#This Row],[Author]],Table4[],2,0))</f>
        <v>MGF</v>
      </c>
      <c r="L33" s="60" t="s">
        <v>401</v>
      </c>
      <c r="M33" s="71">
        <v>45646.435798611114</v>
      </c>
      <c r="N33" s="71">
        <v>45652</v>
      </c>
      <c r="O33" s="71">
        <v>45652</v>
      </c>
      <c r="P33" s="64" t="str">
        <f ca="1">IF(Proc[[#This Row],[DaysAgeing]]&gt;5,"yep","on track")</f>
        <v>on track</v>
      </c>
      <c r="Q33" s="3">
        <f ca="1">IF(Proc[[#This Row],[DateClosed]]="",ABS(NETWORKDAYS(Proc[[#This Row],[DateOpened]],TODAY()))-1,ABS(NETWORKDAYS(Proc[[#This Row],[DateOpened]],Proc[[#This Row],[DateClosed]]))-1)</f>
        <v>4</v>
      </c>
      <c r="R33" s="64" t="s">
        <v>481</v>
      </c>
      <c r="S33" s="60"/>
    </row>
    <row r="34" spans="1:19" hidden="1">
      <c r="A34" s="62" t="s">
        <v>1365</v>
      </c>
      <c r="B34" s="149" t="str">
        <f>IFERROR(VLOOKUP(Proc[[#This Row],[App]],Table2[],3,0),"open")</f>
        <v>ok</v>
      </c>
      <c r="C34" s="62" t="s">
        <v>369</v>
      </c>
      <c r="D34" t="s">
        <v>1307</v>
      </c>
      <c r="E34" t="s">
        <v>1360</v>
      </c>
      <c r="F34" s="117" t="s">
        <v>1360</v>
      </c>
      <c r="G34" s="62" t="s">
        <v>406</v>
      </c>
      <c r="H34" s="60" t="str">
        <f>IF(Proc[[#This Row],[type]]="LFF (MDG-F)",MID(Proc[[#This Row],[Obj]],13,10),"")</f>
        <v>DE10502412</v>
      </c>
      <c r="J34" s="60" t="b">
        <f>Proc[[#This Row],[Requested]]=Proc[[#This Row],[CurrentParent]]</f>
        <v>1</v>
      </c>
      <c r="K34" s="144" t="str">
        <f>IF(Proc[[#This Row],[Author]]="Marcela Urrego",VLOOKUP(LEFT(Proc[[#This Row],[Requested]],1),Table3[#All],2,0),VLOOKUP(Proc[[#This Row],[Author]],Table4[],2,0))</f>
        <v>MGF</v>
      </c>
      <c r="L34" s="60" t="s">
        <v>401</v>
      </c>
      <c r="M34" s="71">
        <v>45646.435798611114</v>
      </c>
      <c r="N34" s="71">
        <v>45652</v>
      </c>
      <c r="O34" s="71">
        <v>45652</v>
      </c>
      <c r="P34" s="64" t="str">
        <f ca="1">IF(Proc[[#This Row],[DaysAgeing]]&gt;5,"yep","on track")</f>
        <v>on track</v>
      </c>
      <c r="Q34" s="3">
        <f ca="1">IF(Proc[[#This Row],[DateClosed]]="",ABS(NETWORKDAYS(Proc[[#This Row],[DateOpened]],TODAY()))-1,ABS(NETWORKDAYS(Proc[[#This Row],[DateOpened]],Proc[[#This Row],[DateClosed]]))-1)</f>
        <v>4</v>
      </c>
      <c r="R34" s="64" t="s">
        <v>481</v>
      </c>
      <c r="S34" s="60"/>
    </row>
    <row r="35" spans="1:19" hidden="1">
      <c r="A35" s="62" t="s">
        <v>1365</v>
      </c>
      <c r="B35" s="149" t="str">
        <f>IFERROR(VLOOKUP(Proc[[#This Row],[App]],Table2[],3,0),"open")</f>
        <v>ok</v>
      </c>
      <c r="C35" s="62" t="s">
        <v>369</v>
      </c>
      <c r="D35" t="s">
        <v>1308</v>
      </c>
      <c r="E35" t="s">
        <v>1360</v>
      </c>
      <c r="F35" s="117" t="s">
        <v>1360</v>
      </c>
      <c r="G35" s="62" t="s">
        <v>406</v>
      </c>
      <c r="H35" s="60" t="str">
        <f>IF(Proc[[#This Row],[type]]="LFF (MDG-F)",MID(Proc[[#This Row],[Obj]],13,10),"")</f>
        <v>DE10502415</v>
      </c>
      <c r="J35" s="60" t="b">
        <f>Proc[[#This Row],[Requested]]=Proc[[#This Row],[CurrentParent]]</f>
        <v>1</v>
      </c>
      <c r="K35" s="144" t="str">
        <f>IF(Proc[[#This Row],[Author]]="Marcela Urrego",VLOOKUP(LEFT(Proc[[#This Row],[Requested]],1),Table3[#All],2,0),VLOOKUP(Proc[[#This Row],[Author]],Table4[],2,0))</f>
        <v>MGF</v>
      </c>
      <c r="L35" s="60" t="s">
        <v>401</v>
      </c>
      <c r="M35" s="71">
        <v>45646.435798611114</v>
      </c>
      <c r="N35" s="71">
        <v>45652</v>
      </c>
      <c r="O35" s="71">
        <v>45652</v>
      </c>
      <c r="P35" s="64" t="str">
        <f ca="1">IF(Proc[[#This Row],[DaysAgeing]]&gt;5,"yep","on track")</f>
        <v>on track</v>
      </c>
      <c r="Q35" s="3">
        <f ca="1">IF(Proc[[#This Row],[DateClosed]]="",ABS(NETWORKDAYS(Proc[[#This Row],[DateOpened]],TODAY()))-1,ABS(NETWORKDAYS(Proc[[#This Row],[DateOpened]],Proc[[#This Row],[DateClosed]]))-1)</f>
        <v>4</v>
      </c>
      <c r="R35" s="64" t="s">
        <v>481</v>
      </c>
      <c r="S35" s="60"/>
    </row>
    <row r="36" spans="1:19" hidden="1">
      <c r="A36" s="62" t="s">
        <v>1365</v>
      </c>
      <c r="B36" s="149" t="str">
        <f>IFERROR(VLOOKUP(Proc[[#This Row],[App]],Table2[],3,0),"open")</f>
        <v>ok</v>
      </c>
      <c r="C36" s="62" t="s">
        <v>369</v>
      </c>
      <c r="D36" t="s">
        <v>1309</v>
      </c>
      <c r="E36" t="s">
        <v>1360</v>
      </c>
      <c r="F36" s="117" t="s">
        <v>1360</v>
      </c>
      <c r="G36" s="62" t="s">
        <v>406</v>
      </c>
      <c r="H36" s="60" t="str">
        <f>IF(Proc[[#This Row],[type]]="LFF (MDG-F)",MID(Proc[[#This Row],[Obj]],13,10),"")</f>
        <v>DE10502417</v>
      </c>
      <c r="J36" s="60" t="b">
        <f>Proc[[#This Row],[Requested]]=Proc[[#This Row],[CurrentParent]]</f>
        <v>1</v>
      </c>
      <c r="K36" s="144" t="str">
        <f>IF(Proc[[#This Row],[Author]]="Marcela Urrego",VLOOKUP(LEFT(Proc[[#This Row],[Requested]],1),Table3[#All],2,0),VLOOKUP(Proc[[#This Row],[Author]],Table4[],2,0))</f>
        <v>MGF</v>
      </c>
      <c r="L36" s="60" t="s">
        <v>401</v>
      </c>
      <c r="M36" s="71">
        <v>45646.435798611114</v>
      </c>
      <c r="N36" s="71">
        <v>45652</v>
      </c>
      <c r="O36" s="71">
        <v>45652</v>
      </c>
      <c r="P36" s="64" t="str">
        <f ca="1">IF(Proc[[#This Row],[DaysAgeing]]&gt;5,"yep","on track")</f>
        <v>on track</v>
      </c>
      <c r="Q36" s="3">
        <f ca="1">IF(Proc[[#This Row],[DateClosed]]="",ABS(NETWORKDAYS(Proc[[#This Row],[DateOpened]],TODAY()))-1,ABS(NETWORKDAYS(Proc[[#This Row],[DateOpened]],Proc[[#This Row],[DateClosed]]))-1)</f>
        <v>4</v>
      </c>
      <c r="R36" s="64" t="s">
        <v>481</v>
      </c>
      <c r="S36" s="60"/>
    </row>
    <row r="37" spans="1:19" hidden="1">
      <c r="A37" s="62" t="s">
        <v>1365</v>
      </c>
      <c r="B37" s="149" t="str">
        <f>IFERROR(VLOOKUP(Proc[[#This Row],[App]],Table2[],3,0),"open")</f>
        <v>ok</v>
      </c>
      <c r="C37" s="62" t="s">
        <v>369</v>
      </c>
      <c r="D37" t="s">
        <v>1310</v>
      </c>
      <c r="E37" t="s">
        <v>1361</v>
      </c>
      <c r="F37" s="117" t="s">
        <v>1361</v>
      </c>
      <c r="G37" s="62" t="s">
        <v>406</v>
      </c>
      <c r="H37" s="60" t="str">
        <f>IF(Proc[[#This Row],[type]]="LFF (MDG-F)",MID(Proc[[#This Row],[Obj]],13,10),"")</f>
        <v>DE10502702</v>
      </c>
      <c r="J37" s="60" t="b">
        <f>Proc[[#This Row],[Requested]]=Proc[[#This Row],[CurrentParent]]</f>
        <v>1</v>
      </c>
      <c r="K37" s="144" t="str">
        <f>IF(Proc[[#This Row],[Author]]="Marcela Urrego",VLOOKUP(LEFT(Proc[[#This Row],[Requested]],1),Table3[#All],2,0),VLOOKUP(Proc[[#This Row],[Author]],Table4[],2,0))</f>
        <v>MGF</v>
      </c>
      <c r="L37" s="60" t="s">
        <v>401</v>
      </c>
      <c r="M37" s="71">
        <v>45646.435798611114</v>
      </c>
      <c r="N37" s="71">
        <v>45652</v>
      </c>
      <c r="O37" s="71">
        <v>45652</v>
      </c>
      <c r="P37" s="64" t="str">
        <f ca="1">IF(Proc[[#This Row],[DaysAgeing]]&gt;5,"yep","on track")</f>
        <v>on track</v>
      </c>
      <c r="Q37" s="3">
        <f ca="1">IF(Proc[[#This Row],[DateClosed]]="",ABS(NETWORKDAYS(Proc[[#This Row],[DateOpened]],TODAY()))-1,ABS(NETWORKDAYS(Proc[[#This Row],[DateOpened]],Proc[[#This Row],[DateClosed]]))-1)</f>
        <v>4</v>
      </c>
      <c r="R37" s="64" t="s">
        <v>481</v>
      </c>
      <c r="S37" s="60"/>
    </row>
    <row r="38" spans="1:19" hidden="1">
      <c r="A38" s="62" t="s">
        <v>1365</v>
      </c>
      <c r="B38" s="149" t="str">
        <f>IFERROR(VLOOKUP(Proc[[#This Row],[App]],Table2[],3,0),"open")</f>
        <v>ok</v>
      </c>
      <c r="C38" s="62" t="s">
        <v>369</v>
      </c>
      <c r="D38" t="s">
        <v>1311</v>
      </c>
      <c r="E38" t="s">
        <v>1361</v>
      </c>
      <c r="F38" s="117" t="s">
        <v>1361</v>
      </c>
      <c r="G38" s="62" t="s">
        <v>406</v>
      </c>
      <c r="H38" s="60" t="str">
        <f>IF(Proc[[#This Row],[type]]="LFF (MDG-F)",MID(Proc[[#This Row],[Obj]],13,10),"")</f>
        <v>DE10502703</v>
      </c>
      <c r="J38" s="60" t="b">
        <f>Proc[[#This Row],[Requested]]=Proc[[#This Row],[CurrentParent]]</f>
        <v>1</v>
      </c>
      <c r="K38" s="144" t="str">
        <f>IF(Proc[[#This Row],[Author]]="Marcela Urrego",VLOOKUP(LEFT(Proc[[#This Row],[Requested]],1),Table3[#All],2,0),VLOOKUP(Proc[[#This Row],[Author]],Table4[],2,0))</f>
        <v>MGF</v>
      </c>
      <c r="L38" s="60" t="s">
        <v>401</v>
      </c>
      <c r="M38" s="71">
        <v>45646.435798611114</v>
      </c>
      <c r="N38" s="71">
        <v>45652</v>
      </c>
      <c r="O38" s="71">
        <v>45652</v>
      </c>
      <c r="P38" s="64" t="str">
        <f ca="1">IF(Proc[[#This Row],[DaysAgeing]]&gt;5,"yep","on track")</f>
        <v>on track</v>
      </c>
      <c r="Q38" s="3">
        <f ca="1">IF(Proc[[#This Row],[DateClosed]]="",ABS(NETWORKDAYS(Proc[[#This Row],[DateOpened]],TODAY()))-1,ABS(NETWORKDAYS(Proc[[#This Row],[DateOpened]],Proc[[#This Row],[DateClosed]]))-1)</f>
        <v>4</v>
      </c>
      <c r="R38" s="64" t="s">
        <v>481</v>
      </c>
      <c r="S38" s="60"/>
    </row>
    <row r="39" spans="1:19" hidden="1">
      <c r="A39" s="62" t="s">
        <v>1365</v>
      </c>
      <c r="B39" s="149" t="str">
        <f>IFERROR(VLOOKUP(Proc[[#This Row],[App]],Table2[],3,0),"open")</f>
        <v>ok</v>
      </c>
      <c r="C39" s="62" t="s">
        <v>369</v>
      </c>
      <c r="D39" t="s">
        <v>1312</v>
      </c>
      <c r="E39" t="s">
        <v>1361</v>
      </c>
      <c r="F39" s="117" t="s">
        <v>1361</v>
      </c>
      <c r="G39" s="62" t="s">
        <v>406</v>
      </c>
      <c r="H39" s="60" t="str">
        <f>IF(Proc[[#This Row],[type]]="LFF (MDG-F)",MID(Proc[[#This Row],[Obj]],13,10),"")</f>
        <v>DE10502704</v>
      </c>
      <c r="J39" s="60" t="b">
        <f>Proc[[#This Row],[Requested]]=Proc[[#This Row],[CurrentParent]]</f>
        <v>1</v>
      </c>
      <c r="K39" s="144" t="str">
        <f>IF(Proc[[#This Row],[Author]]="Marcela Urrego",VLOOKUP(LEFT(Proc[[#This Row],[Requested]],1),Table3[#All],2,0),VLOOKUP(Proc[[#This Row],[Author]],Table4[],2,0))</f>
        <v>MGF</v>
      </c>
      <c r="L39" s="60" t="s">
        <v>401</v>
      </c>
      <c r="M39" s="71">
        <v>45646.435798611114</v>
      </c>
      <c r="N39" s="71">
        <v>45652</v>
      </c>
      <c r="O39" s="71">
        <v>45652</v>
      </c>
      <c r="P39" s="64" t="str">
        <f ca="1">IF(Proc[[#This Row],[DaysAgeing]]&gt;5,"yep","on track")</f>
        <v>on track</v>
      </c>
      <c r="Q39" s="3">
        <f ca="1">IF(Proc[[#This Row],[DateClosed]]="",ABS(NETWORKDAYS(Proc[[#This Row],[DateOpened]],TODAY()))-1,ABS(NETWORKDAYS(Proc[[#This Row],[DateOpened]],Proc[[#This Row],[DateClosed]]))-1)</f>
        <v>4</v>
      </c>
      <c r="R39" s="64" t="s">
        <v>481</v>
      </c>
      <c r="S39" s="60"/>
    </row>
    <row r="40" spans="1:19" hidden="1">
      <c r="A40" s="62" t="s">
        <v>1365</v>
      </c>
      <c r="B40" s="149" t="str">
        <f>IFERROR(VLOOKUP(Proc[[#This Row],[App]],Table2[],3,0),"open")</f>
        <v>ok</v>
      </c>
      <c r="C40" s="62" t="s">
        <v>369</v>
      </c>
      <c r="D40" t="s">
        <v>1313</v>
      </c>
      <c r="E40" t="s">
        <v>1361</v>
      </c>
      <c r="F40" s="117" t="s">
        <v>1361</v>
      </c>
      <c r="G40" s="62" t="s">
        <v>406</v>
      </c>
      <c r="H40" s="60" t="str">
        <f>IF(Proc[[#This Row],[type]]="LFF (MDG-F)",MID(Proc[[#This Row],[Obj]],13,10),"")</f>
        <v>DE10502705</v>
      </c>
      <c r="J40" s="60" t="b">
        <f>Proc[[#This Row],[Requested]]=Proc[[#This Row],[CurrentParent]]</f>
        <v>1</v>
      </c>
      <c r="K40" s="144" t="str">
        <f>IF(Proc[[#This Row],[Author]]="Marcela Urrego",VLOOKUP(LEFT(Proc[[#This Row],[Requested]],1),Table3[#All],2,0),VLOOKUP(Proc[[#This Row],[Author]],Table4[],2,0))</f>
        <v>MGF</v>
      </c>
      <c r="L40" s="60" t="s">
        <v>401</v>
      </c>
      <c r="M40" s="71">
        <v>45646.435798611114</v>
      </c>
      <c r="N40" s="71">
        <v>45652</v>
      </c>
      <c r="O40" s="71">
        <v>45652</v>
      </c>
      <c r="P40" s="64" t="str">
        <f ca="1">IF(Proc[[#This Row],[DaysAgeing]]&gt;5,"yep","on track")</f>
        <v>on track</v>
      </c>
      <c r="Q40" s="3">
        <f ca="1">IF(Proc[[#This Row],[DateClosed]]="",ABS(NETWORKDAYS(Proc[[#This Row],[DateOpened]],TODAY()))-1,ABS(NETWORKDAYS(Proc[[#This Row],[DateOpened]],Proc[[#This Row],[DateClosed]]))-1)</f>
        <v>4</v>
      </c>
      <c r="R40" s="64" t="s">
        <v>481</v>
      </c>
      <c r="S40" s="60"/>
    </row>
    <row r="41" spans="1:19" hidden="1">
      <c r="A41" s="62" t="s">
        <v>1365</v>
      </c>
      <c r="B41" s="149" t="str">
        <f>IFERROR(VLOOKUP(Proc[[#This Row],[App]],Table2[],3,0),"open")</f>
        <v>ok</v>
      </c>
      <c r="C41" s="62" t="s">
        <v>369</v>
      </c>
      <c r="D41" t="s">
        <v>1314</v>
      </c>
      <c r="E41" t="s">
        <v>1361</v>
      </c>
      <c r="F41" s="117" t="s">
        <v>1361</v>
      </c>
      <c r="G41" s="62" t="s">
        <v>406</v>
      </c>
      <c r="H41" s="60" t="str">
        <f>IF(Proc[[#This Row],[type]]="LFF (MDG-F)",MID(Proc[[#This Row],[Obj]],13,10),"")</f>
        <v>DE10502706</v>
      </c>
      <c r="J41" s="60" t="b">
        <f>Proc[[#This Row],[Requested]]=Proc[[#This Row],[CurrentParent]]</f>
        <v>1</v>
      </c>
      <c r="K41" s="144" t="str">
        <f>IF(Proc[[#This Row],[Author]]="Marcela Urrego",VLOOKUP(LEFT(Proc[[#This Row],[Requested]],1),Table3[#All],2,0),VLOOKUP(Proc[[#This Row],[Author]],Table4[],2,0))</f>
        <v>MGF</v>
      </c>
      <c r="L41" s="60" t="s">
        <v>401</v>
      </c>
      <c r="M41" s="71">
        <v>45646.435798611114</v>
      </c>
      <c r="N41" s="71">
        <v>45652</v>
      </c>
      <c r="O41" s="71">
        <v>45652</v>
      </c>
      <c r="P41" s="64" t="str">
        <f ca="1">IF(Proc[[#This Row],[DaysAgeing]]&gt;5,"yep","on track")</f>
        <v>on track</v>
      </c>
      <c r="Q41" s="3">
        <f ca="1">IF(Proc[[#This Row],[DateClosed]]="",ABS(NETWORKDAYS(Proc[[#This Row],[DateOpened]],TODAY()))-1,ABS(NETWORKDAYS(Proc[[#This Row],[DateOpened]],Proc[[#This Row],[DateClosed]]))-1)</f>
        <v>4</v>
      </c>
      <c r="R41" s="64" t="s">
        <v>481</v>
      </c>
      <c r="S41" s="60"/>
    </row>
    <row r="42" spans="1:19" hidden="1">
      <c r="A42" s="62" t="s">
        <v>1365</v>
      </c>
      <c r="B42" s="149" t="str">
        <f>IFERROR(VLOOKUP(Proc[[#This Row],[App]],Table2[],3,0),"open")</f>
        <v>ok</v>
      </c>
      <c r="C42" s="62" t="s">
        <v>369</v>
      </c>
      <c r="D42" t="s">
        <v>1315</v>
      </c>
      <c r="E42" t="s">
        <v>1361</v>
      </c>
      <c r="F42" s="117" t="s">
        <v>1361</v>
      </c>
      <c r="G42" s="62" t="s">
        <v>406</v>
      </c>
      <c r="H42" s="60" t="str">
        <f>IF(Proc[[#This Row],[type]]="LFF (MDG-F)",MID(Proc[[#This Row],[Obj]],13,10),"")</f>
        <v>DE10502707</v>
      </c>
      <c r="J42" s="60" t="b">
        <f>Proc[[#This Row],[Requested]]=Proc[[#This Row],[CurrentParent]]</f>
        <v>1</v>
      </c>
      <c r="K42" s="144" t="str">
        <f>IF(Proc[[#This Row],[Author]]="Marcela Urrego",VLOOKUP(LEFT(Proc[[#This Row],[Requested]],1),Table3[#All],2,0),VLOOKUP(Proc[[#This Row],[Author]],Table4[],2,0))</f>
        <v>MGF</v>
      </c>
      <c r="L42" s="60" t="s">
        <v>401</v>
      </c>
      <c r="M42" s="71">
        <v>45646.435798611114</v>
      </c>
      <c r="N42" s="71">
        <v>45652</v>
      </c>
      <c r="O42" s="71">
        <v>45652</v>
      </c>
      <c r="P42" s="64" t="str">
        <f ca="1">IF(Proc[[#This Row],[DaysAgeing]]&gt;5,"yep","on track")</f>
        <v>on track</v>
      </c>
      <c r="Q42" s="3">
        <f ca="1">IF(Proc[[#This Row],[DateClosed]]="",ABS(NETWORKDAYS(Proc[[#This Row],[DateOpened]],TODAY()))-1,ABS(NETWORKDAYS(Proc[[#This Row],[DateOpened]],Proc[[#This Row],[DateClosed]]))-1)</f>
        <v>4</v>
      </c>
      <c r="R42" s="64" t="s">
        <v>481</v>
      </c>
      <c r="S42" s="60"/>
    </row>
    <row r="43" spans="1:19" hidden="1">
      <c r="A43" s="62" t="s">
        <v>1365</v>
      </c>
      <c r="B43" s="149" t="str">
        <f>IFERROR(VLOOKUP(Proc[[#This Row],[App]],Table2[],3,0),"open")</f>
        <v>ok</v>
      </c>
      <c r="C43" s="62" t="s">
        <v>369</v>
      </c>
      <c r="D43" t="s">
        <v>1316</v>
      </c>
      <c r="E43" t="s">
        <v>1361</v>
      </c>
      <c r="F43" s="117" t="s">
        <v>1361</v>
      </c>
      <c r="G43" s="62" t="s">
        <v>406</v>
      </c>
      <c r="H43" s="60" t="str">
        <f>IF(Proc[[#This Row],[type]]="LFF (MDG-F)",MID(Proc[[#This Row],[Obj]],13,10),"")</f>
        <v>DE10502708</v>
      </c>
      <c r="J43" s="60" t="b">
        <f>Proc[[#This Row],[Requested]]=Proc[[#This Row],[CurrentParent]]</f>
        <v>1</v>
      </c>
      <c r="K43" s="144" t="str">
        <f>IF(Proc[[#This Row],[Author]]="Marcela Urrego",VLOOKUP(LEFT(Proc[[#This Row],[Requested]],1),Table3[#All],2,0),VLOOKUP(Proc[[#This Row],[Author]],Table4[],2,0))</f>
        <v>MGF</v>
      </c>
      <c r="L43" s="60" t="s">
        <v>401</v>
      </c>
      <c r="M43" s="71">
        <v>45646.435798611114</v>
      </c>
      <c r="N43" s="71">
        <v>45652</v>
      </c>
      <c r="O43" s="71">
        <v>45652</v>
      </c>
      <c r="P43" s="64" t="str">
        <f ca="1">IF(Proc[[#This Row],[DaysAgeing]]&gt;5,"yep","on track")</f>
        <v>on track</v>
      </c>
      <c r="Q43" s="3">
        <f ca="1">IF(Proc[[#This Row],[DateClosed]]="",ABS(NETWORKDAYS(Proc[[#This Row],[DateOpened]],TODAY()))-1,ABS(NETWORKDAYS(Proc[[#This Row],[DateOpened]],Proc[[#This Row],[DateClosed]]))-1)</f>
        <v>4</v>
      </c>
      <c r="R43" s="64" t="s">
        <v>481</v>
      </c>
      <c r="S43" s="60"/>
    </row>
    <row r="44" spans="1:19" hidden="1">
      <c r="A44" s="62" t="s">
        <v>1365</v>
      </c>
      <c r="B44" s="149" t="str">
        <f>IFERROR(VLOOKUP(Proc[[#This Row],[App]],Table2[],3,0),"open")</f>
        <v>ok</v>
      </c>
      <c r="C44" s="62" t="s">
        <v>369</v>
      </c>
      <c r="D44" t="s">
        <v>1317</v>
      </c>
      <c r="E44" t="s">
        <v>1361</v>
      </c>
      <c r="F44" s="117" t="s">
        <v>1361</v>
      </c>
      <c r="G44" s="62" t="s">
        <v>406</v>
      </c>
      <c r="H44" s="60" t="str">
        <f>IF(Proc[[#This Row],[type]]="LFF (MDG-F)",MID(Proc[[#This Row],[Obj]],13,10),"")</f>
        <v>DE10502709</v>
      </c>
      <c r="J44" s="60" t="b">
        <f>Proc[[#This Row],[Requested]]=Proc[[#This Row],[CurrentParent]]</f>
        <v>1</v>
      </c>
      <c r="K44" s="144" t="str">
        <f>IF(Proc[[#This Row],[Author]]="Marcela Urrego",VLOOKUP(LEFT(Proc[[#This Row],[Requested]],1),Table3[#All],2,0),VLOOKUP(Proc[[#This Row],[Author]],Table4[],2,0))</f>
        <v>MGF</v>
      </c>
      <c r="L44" s="60" t="s">
        <v>401</v>
      </c>
      <c r="M44" s="71">
        <v>45646.435798611114</v>
      </c>
      <c r="N44" s="71">
        <v>45652</v>
      </c>
      <c r="O44" s="71">
        <v>45652</v>
      </c>
      <c r="P44" s="64" t="str">
        <f ca="1">IF(Proc[[#This Row],[DaysAgeing]]&gt;5,"yep","on track")</f>
        <v>on track</v>
      </c>
      <c r="Q44" s="3">
        <f ca="1">IF(Proc[[#This Row],[DateClosed]]="",ABS(NETWORKDAYS(Proc[[#This Row],[DateOpened]],TODAY()))-1,ABS(NETWORKDAYS(Proc[[#This Row],[DateOpened]],Proc[[#This Row],[DateClosed]]))-1)</f>
        <v>4</v>
      </c>
      <c r="R44" s="64" t="s">
        <v>481</v>
      </c>
      <c r="S44" s="60"/>
    </row>
    <row r="45" spans="1:19" hidden="1">
      <c r="A45" s="62" t="s">
        <v>1365</v>
      </c>
      <c r="B45" s="149" t="str">
        <f>IFERROR(VLOOKUP(Proc[[#This Row],[App]],Table2[],3,0),"open")</f>
        <v>ok</v>
      </c>
      <c r="C45" s="62" t="s">
        <v>369</v>
      </c>
      <c r="D45" t="s">
        <v>1318</v>
      </c>
      <c r="E45" t="s">
        <v>1362</v>
      </c>
      <c r="F45" s="117" t="s">
        <v>1362</v>
      </c>
      <c r="G45" s="62" t="s">
        <v>406</v>
      </c>
      <c r="H45" s="60" t="str">
        <f>IF(Proc[[#This Row],[type]]="LFF (MDG-F)",MID(Proc[[#This Row],[Obj]],13,10),"")</f>
        <v>DE10503603</v>
      </c>
      <c r="J45" s="60" t="b">
        <f>Proc[[#This Row],[Requested]]=Proc[[#This Row],[CurrentParent]]</f>
        <v>1</v>
      </c>
      <c r="K45" s="144" t="str">
        <f>IF(Proc[[#This Row],[Author]]="Marcela Urrego",VLOOKUP(LEFT(Proc[[#This Row],[Requested]],1),Table3[#All],2,0),VLOOKUP(Proc[[#This Row],[Author]],Table4[],2,0))</f>
        <v>MGF</v>
      </c>
      <c r="L45" s="60" t="s">
        <v>401</v>
      </c>
      <c r="M45" s="71">
        <v>45646.435798611114</v>
      </c>
      <c r="N45" s="71">
        <v>45652</v>
      </c>
      <c r="O45" s="71">
        <v>45652</v>
      </c>
      <c r="P45" s="64" t="str">
        <f ca="1">IF(Proc[[#This Row],[DaysAgeing]]&gt;5,"yep","on track")</f>
        <v>on track</v>
      </c>
      <c r="Q45" s="3">
        <f ca="1">IF(Proc[[#This Row],[DateClosed]]="",ABS(NETWORKDAYS(Proc[[#This Row],[DateOpened]],TODAY()))-1,ABS(NETWORKDAYS(Proc[[#This Row],[DateOpened]],Proc[[#This Row],[DateClosed]]))-1)</f>
        <v>4</v>
      </c>
      <c r="R45" s="64" t="s">
        <v>481</v>
      </c>
      <c r="S45" s="60"/>
    </row>
    <row r="46" spans="1:19" hidden="1">
      <c r="A46" s="62" t="s">
        <v>1365</v>
      </c>
      <c r="B46" s="149" t="str">
        <f>IFERROR(VLOOKUP(Proc[[#This Row],[App]],Table2[],3,0),"open")</f>
        <v>ok</v>
      </c>
      <c r="C46" s="62" t="s">
        <v>369</v>
      </c>
      <c r="D46" t="s">
        <v>1319</v>
      </c>
      <c r="E46" t="s">
        <v>1362</v>
      </c>
      <c r="F46" s="117" t="s">
        <v>1362</v>
      </c>
      <c r="G46" s="62" t="s">
        <v>406</v>
      </c>
      <c r="H46" s="60" t="str">
        <f>IF(Proc[[#This Row],[type]]="LFF (MDG-F)",MID(Proc[[#This Row],[Obj]],13,10),"")</f>
        <v>DE10503604</v>
      </c>
      <c r="J46" s="60" t="b">
        <f>Proc[[#This Row],[Requested]]=Proc[[#This Row],[CurrentParent]]</f>
        <v>1</v>
      </c>
      <c r="K46" s="144" t="str">
        <f>IF(Proc[[#This Row],[Author]]="Marcela Urrego",VLOOKUP(LEFT(Proc[[#This Row],[Requested]],1),Table3[#All],2,0),VLOOKUP(Proc[[#This Row],[Author]],Table4[],2,0))</f>
        <v>MGF</v>
      </c>
      <c r="L46" s="60" t="s">
        <v>401</v>
      </c>
      <c r="M46" s="71">
        <v>45646.435798611114</v>
      </c>
      <c r="N46" s="71">
        <v>45652</v>
      </c>
      <c r="O46" s="71">
        <v>45652</v>
      </c>
      <c r="P46" s="64" t="str">
        <f ca="1">IF(Proc[[#This Row],[DaysAgeing]]&gt;5,"yep","on track")</f>
        <v>on track</v>
      </c>
      <c r="Q46" s="3">
        <f ca="1">IF(Proc[[#This Row],[DateClosed]]="",ABS(NETWORKDAYS(Proc[[#This Row],[DateOpened]],TODAY()))-1,ABS(NETWORKDAYS(Proc[[#This Row],[DateOpened]],Proc[[#This Row],[DateClosed]]))-1)</f>
        <v>4</v>
      </c>
      <c r="R46" s="64" t="s">
        <v>481</v>
      </c>
      <c r="S46" s="60"/>
    </row>
    <row r="47" spans="1:19" hidden="1">
      <c r="A47" s="62" t="s">
        <v>1365</v>
      </c>
      <c r="B47" s="149" t="str">
        <f>IFERROR(VLOOKUP(Proc[[#This Row],[App]],Table2[],3,0),"open")</f>
        <v>ok</v>
      </c>
      <c r="C47" s="62" t="s">
        <v>369</v>
      </c>
      <c r="D47" t="s">
        <v>1320</v>
      </c>
      <c r="E47" t="s">
        <v>1362</v>
      </c>
      <c r="F47" s="117" t="s">
        <v>1362</v>
      </c>
      <c r="G47" s="62" t="s">
        <v>406</v>
      </c>
      <c r="H47" s="60" t="str">
        <f>IF(Proc[[#This Row],[type]]="LFF (MDG-F)",MID(Proc[[#This Row],[Obj]],13,10),"")</f>
        <v>DE10503605</v>
      </c>
      <c r="J47" s="60" t="b">
        <f>Proc[[#This Row],[Requested]]=Proc[[#This Row],[CurrentParent]]</f>
        <v>1</v>
      </c>
      <c r="K47" s="144" t="str">
        <f>IF(Proc[[#This Row],[Author]]="Marcela Urrego",VLOOKUP(LEFT(Proc[[#This Row],[Requested]],1),Table3[#All],2,0),VLOOKUP(Proc[[#This Row],[Author]],Table4[],2,0))</f>
        <v>MGF</v>
      </c>
      <c r="L47" s="60" t="s">
        <v>401</v>
      </c>
      <c r="M47" s="71">
        <v>45646.435798611114</v>
      </c>
      <c r="N47" s="71">
        <v>45652</v>
      </c>
      <c r="O47" s="71">
        <v>45652</v>
      </c>
      <c r="P47" s="64" t="str">
        <f ca="1">IF(Proc[[#This Row],[DaysAgeing]]&gt;5,"yep","on track")</f>
        <v>on track</v>
      </c>
      <c r="Q47" s="3">
        <f ca="1">IF(Proc[[#This Row],[DateClosed]]="",ABS(NETWORKDAYS(Proc[[#This Row],[DateOpened]],TODAY()))-1,ABS(NETWORKDAYS(Proc[[#This Row],[DateOpened]],Proc[[#This Row],[DateClosed]]))-1)</f>
        <v>4</v>
      </c>
      <c r="R47" s="64" t="s">
        <v>481</v>
      </c>
      <c r="S47" s="60"/>
    </row>
    <row r="48" spans="1:19" hidden="1">
      <c r="A48" s="62" t="s">
        <v>1365</v>
      </c>
      <c r="B48" s="149" t="str">
        <f>IFERROR(VLOOKUP(Proc[[#This Row],[App]],Table2[],3,0),"open")</f>
        <v>ok</v>
      </c>
      <c r="C48" s="62" t="s">
        <v>369</v>
      </c>
      <c r="D48" t="s">
        <v>1321</v>
      </c>
      <c r="E48" t="s">
        <v>1362</v>
      </c>
      <c r="F48" s="117" t="s">
        <v>1362</v>
      </c>
      <c r="G48" s="62" t="s">
        <v>406</v>
      </c>
      <c r="H48" s="60" t="str">
        <f>IF(Proc[[#This Row],[type]]="LFF (MDG-F)",MID(Proc[[#This Row],[Obj]],13,10),"")</f>
        <v>DE10503606</v>
      </c>
      <c r="J48" s="60" t="b">
        <f>Proc[[#This Row],[Requested]]=Proc[[#This Row],[CurrentParent]]</f>
        <v>1</v>
      </c>
      <c r="K48" s="144" t="str">
        <f>IF(Proc[[#This Row],[Author]]="Marcela Urrego",VLOOKUP(LEFT(Proc[[#This Row],[Requested]],1),Table3[#All],2,0),VLOOKUP(Proc[[#This Row],[Author]],Table4[],2,0))</f>
        <v>MGF</v>
      </c>
      <c r="L48" s="60" t="s">
        <v>401</v>
      </c>
      <c r="M48" s="71">
        <v>45646.435798611114</v>
      </c>
      <c r="N48" s="71">
        <v>45652</v>
      </c>
      <c r="O48" s="71">
        <v>45652</v>
      </c>
      <c r="P48" s="64" t="str">
        <f ca="1">IF(Proc[[#This Row],[DaysAgeing]]&gt;5,"yep","on track")</f>
        <v>on track</v>
      </c>
      <c r="Q48" s="3">
        <f ca="1">IF(Proc[[#This Row],[DateClosed]]="",ABS(NETWORKDAYS(Proc[[#This Row],[DateOpened]],TODAY()))-1,ABS(NETWORKDAYS(Proc[[#This Row],[DateOpened]],Proc[[#This Row],[DateClosed]]))-1)</f>
        <v>4</v>
      </c>
      <c r="R48" s="64" t="s">
        <v>481</v>
      </c>
      <c r="S48" s="60"/>
    </row>
    <row r="49" spans="1:19" hidden="1">
      <c r="A49" s="62" t="s">
        <v>1365</v>
      </c>
      <c r="B49" s="149" t="str">
        <f>IFERROR(VLOOKUP(Proc[[#This Row],[App]],Table2[],3,0),"open")</f>
        <v>ok</v>
      </c>
      <c r="C49" s="62" t="s">
        <v>369</v>
      </c>
      <c r="D49" t="s">
        <v>1322</v>
      </c>
      <c r="E49" t="s">
        <v>1363</v>
      </c>
      <c r="F49" s="117" t="s">
        <v>1363</v>
      </c>
      <c r="G49" s="62" t="s">
        <v>406</v>
      </c>
      <c r="H49" s="60" t="str">
        <f>IF(Proc[[#This Row],[type]]="LFF (MDG-F)",MID(Proc[[#This Row],[Obj]],13,10),"")</f>
        <v>DE10538105</v>
      </c>
      <c r="J49" s="60" t="b">
        <f>Proc[[#This Row],[Requested]]=Proc[[#This Row],[CurrentParent]]</f>
        <v>1</v>
      </c>
      <c r="K49" s="144" t="str">
        <f>IF(Proc[[#This Row],[Author]]="Marcela Urrego",VLOOKUP(LEFT(Proc[[#This Row],[Requested]],1),Table3[#All],2,0),VLOOKUP(Proc[[#This Row],[Author]],Table4[],2,0))</f>
        <v>MGF</v>
      </c>
      <c r="L49" s="60" t="s">
        <v>401</v>
      </c>
      <c r="M49" s="71">
        <v>45646.435798611114</v>
      </c>
      <c r="N49" s="71">
        <v>45652</v>
      </c>
      <c r="O49" s="71">
        <v>45652</v>
      </c>
      <c r="P49" s="64" t="str">
        <f ca="1">IF(Proc[[#This Row],[DaysAgeing]]&gt;5,"yep","on track")</f>
        <v>on track</v>
      </c>
      <c r="Q49" s="3">
        <f ca="1">IF(Proc[[#This Row],[DateClosed]]="",ABS(NETWORKDAYS(Proc[[#This Row],[DateOpened]],TODAY()))-1,ABS(NETWORKDAYS(Proc[[#This Row],[DateOpened]],Proc[[#This Row],[DateClosed]]))-1)</f>
        <v>4</v>
      </c>
      <c r="R49" s="64" t="s">
        <v>481</v>
      </c>
      <c r="S49" s="60"/>
    </row>
    <row r="50" spans="1:19" hidden="1">
      <c r="A50" s="62" t="s">
        <v>1365</v>
      </c>
      <c r="B50" s="149" t="str">
        <f>IFERROR(VLOOKUP(Proc[[#This Row],[App]],Table2[],3,0),"open")</f>
        <v>ok</v>
      </c>
      <c r="C50" s="62" t="s">
        <v>369</v>
      </c>
      <c r="D50" t="s">
        <v>1323</v>
      </c>
      <c r="E50" t="s">
        <v>1363</v>
      </c>
      <c r="F50" s="117" t="s">
        <v>1363</v>
      </c>
      <c r="G50" s="62" t="s">
        <v>406</v>
      </c>
      <c r="H50" s="60" t="str">
        <f>IF(Proc[[#This Row],[type]]="LFF (MDG-F)",MID(Proc[[#This Row],[Obj]],13,10),"")</f>
        <v>DE10538155</v>
      </c>
      <c r="J50" s="60" t="b">
        <f>Proc[[#This Row],[Requested]]=Proc[[#This Row],[CurrentParent]]</f>
        <v>1</v>
      </c>
      <c r="K50" s="144" t="str">
        <f>IF(Proc[[#This Row],[Author]]="Marcela Urrego",VLOOKUP(LEFT(Proc[[#This Row],[Requested]],1),Table3[#All],2,0),VLOOKUP(Proc[[#This Row],[Author]],Table4[],2,0))</f>
        <v>MGF</v>
      </c>
      <c r="L50" s="60" t="s">
        <v>401</v>
      </c>
      <c r="M50" s="71">
        <v>45646.435798611114</v>
      </c>
      <c r="N50" s="71">
        <v>45652</v>
      </c>
      <c r="O50" s="71">
        <v>45652</v>
      </c>
      <c r="P50" s="64" t="str">
        <f ca="1">IF(Proc[[#This Row],[DaysAgeing]]&gt;5,"yep","on track")</f>
        <v>on track</v>
      </c>
      <c r="Q50" s="3">
        <f ca="1">IF(Proc[[#This Row],[DateClosed]]="",ABS(NETWORKDAYS(Proc[[#This Row],[DateOpened]],TODAY()))-1,ABS(NETWORKDAYS(Proc[[#This Row],[DateOpened]],Proc[[#This Row],[DateClosed]]))-1)</f>
        <v>4</v>
      </c>
      <c r="R50" s="64" t="s">
        <v>481</v>
      </c>
      <c r="S50" s="60"/>
    </row>
    <row r="51" spans="1:19" hidden="1">
      <c r="A51" s="62" t="s">
        <v>1365</v>
      </c>
      <c r="B51" s="149" t="str">
        <f>IFERROR(VLOOKUP(Proc[[#This Row],[App]],Table2[],3,0),"open")</f>
        <v>ok</v>
      </c>
      <c r="C51" s="62" t="s">
        <v>369</v>
      </c>
      <c r="D51" t="s">
        <v>1324</v>
      </c>
      <c r="E51" t="s">
        <v>1360</v>
      </c>
      <c r="F51" s="117" t="s">
        <v>1360</v>
      </c>
      <c r="G51" s="62" t="s">
        <v>406</v>
      </c>
      <c r="H51" s="60" t="str">
        <f>IF(Proc[[#This Row],[type]]="LFF (MDG-F)",MID(Proc[[#This Row],[Obj]],13,10),"")</f>
        <v>DE10538336</v>
      </c>
      <c r="J51" s="60" t="b">
        <f>Proc[[#This Row],[Requested]]=Proc[[#This Row],[CurrentParent]]</f>
        <v>1</v>
      </c>
      <c r="K51" s="144" t="str">
        <f>IF(Proc[[#This Row],[Author]]="Marcela Urrego",VLOOKUP(LEFT(Proc[[#This Row],[Requested]],1),Table3[#All],2,0),VLOOKUP(Proc[[#This Row],[Author]],Table4[],2,0))</f>
        <v>MGF</v>
      </c>
      <c r="L51" s="60" t="s">
        <v>401</v>
      </c>
      <c r="M51" s="71">
        <v>45646.435798611114</v>
      </c>
      <c r="N51" s="71">
        <v>45652</v>
      </c>
      <c r="O51" s="71">
        <v>45652</v>
      </c>
      <c r="P51" s="64" t="str">
        <f ca="1">IF(Proc[[#This Row],[DaysAgeing]]&gt;5,"yep","on track")</f>
        <v>on track</v>
      </c>
      <c r="Q51" s="3">
        <f ca="1">IF(Proc[[#This Row],[DateClosed]]="",ABS(NETWORKDAYS(Proc[[#This Row],[DateOpened]],TODAY()))-1,ABS(NETWORKDAYS(Proc[[#This Row],[DateOpened]],Proc[[#This Row],[DateClosed]]))-1)</f>
        <v>4</v>
      </c>
      <c r="R51" s="64" t="s">
        <v>481</v>
      </c>
      <c r="S51" s="60"/>
    </row>
    <row r="52" spans="1:19" hidden="1">
      <c r="A52" s="62" t="s">
        <v>1365</v>
      </c>
      <c r="B52" s="149" t="str">
        <f>IFERROR(VLOOKUP(Proc[[#This Row],[App]],Table2[],3,0),"open")</f>
        <v>ok</v>
      </c>
      <c r="C52" s="62" t="s">
        <v>369</v>
      </c>
      <c r="D52" t="s">
        <v>1325</v>
      </c>
      <c r="E52" t="s">
        <v>1363</v>
      </c>
      <c r="F52" s="117" t="s">
        <v>1363</v>
      </c>
      <c r="G52" s="62" t="s">
        <v>406</v>
      </c>
      <c r="H52" s="60" t="str">
        <f>IF(Proc[[#This Row],[type]]="LFF (MDG-F)",MID(Proc[[#This Row],[Obj]],13,10),"")</f>
        <v>DE10538520</v>
      </c>
      <c r="J52" s="60" t="b">
        <f>Proc[[#This Row],[Requested]]=Proc[[#This Row],[CurrentParent]]</f>
        <v>1</v>
      </c>
      <c r="K52" s="144" t="str">
        <f>IF(Proc[[#This Row],[Author]]="Marcela Urrego",VLOOKUP(LEFT(Proc[[#This Row],[Requested]],1),Table3[#All],2,0),VLOOKUP(Proc[[#This Row],[Author]],Table4[],2,0))</f>
        <v>MGF</v>
      </c>
      <c r="L52" s="60" t="s">
        <v>401</v>
      </c>
      <c r="M52" s="71">
        <v>45646.435798611114</v>
      </c>
      <c r="N52" s="71">
        <v>45652</v>
      </c>
      <c r="O52" s="71">
        <v>45652</v>
      </c>
      <c r="P52" s="64" t="str">
        <f ca="1">IF(Proc[[#This Row],[DaysAgeing]]&gt;5,"yep","on track")</f>
        <v>on track</v>
      </c>
      <c r="Q52" s="3">
        <f ca="1">IF(Proc[[#This Row],[DateClosed]]="",ABS(NETWORKDAYS(Proc[[#This Row],[DateOpened]],TODAY()))-1,ABS(NETWORKDAYS(Proc[[#This Row],[DateOpened]],Proc[[#This Row],[DateClosed]]))-1)</f>
        <v>4</v>
      </c>
      <c r="R52" s="64" t="s">
        <v>481</v>
      </c>
      <c r="S52" s="60"/>
    </row>
    <row r="53" spans="1:19" hidden="1">
      <c r="A53" s="62" t="s">
        <v>1365</v>
      </c>
      <c r="B53" s="149" t="str">
        <f>IFERROR(VLOOKUP(Proc[[#This Row],[App]],Table2[],3,0),"open")</f>
        <v>ok</v>
      </c>
      <c r="C53" s="62" t="s">
        <v>369</v>
      </c>
      <c r="D53" t="s">
        <v>1326</v>
      </c>
      <c r="E53" t="s">
        <v>1363</v>
      </c>
      <c r="F53" s="117" t="s">
        <v>1363</v>
      </c>
      <c r="G53" s="62" t="s">
        <v>406</v>
      </c>
      <c r="H53" s="60" t="str">
        <f>IF(Proc[[#This Row],[type]]="LFF (MDG-F)",MID(Proc[[#This Row],[Obj]],13,10),"")</f>
        <v>DE10538527</v>
      </c>
      <c r="J53" s="60" t="b">
        <f>Proc[[#This Row],[Requested]]=Proc[[#This Row],[CurrentParent]]</f>
        <v>1</v>
      </c>
      <c r="K53" s="144" t="str">
        <f>IF(Proc[[#This Row],[Author]]="Marcela Urrego",VLOOKUP(LEFT(Proc[[#This Row],[Requested]],1),Table3[#All],2,0),VLOOKUP(Proc[[#This Row],[Author]],Table4[],2,0))</f>
        <v>MGF</v>
      </c>
      <c r="L53" s="60" t="s">
        <v>401</v>
      </c>
      <c r="M53" s="71">
        <v>45646.435798611114</v>
      </c>
      <c r="N53" s="71">
        <v>45652</v>
      </c>
      <c r="O53" s="71">
        <v>45652</v>
      </c>
      <c r="P53" s="64" t="str">
        <f ca="1">IF(Proc[[#This Row],[DaysAgeing]]&gt;5,"yep","on track")</f>
        <v>on track</v>
      </c>
      <c r="Q53" s="3">
        <f ca="1">IF(Proc[[#This Row],[DateClosed]]="",ABS(NETWORKDAYS(Proc[[#This Row],[DateOpened]],TODAY()))-1,ABS(NETWORKDAYS(Proc[[#This Row],[DateOpened]],Proc[[#This Row],[DateClosed]]))-1)</f>
        <v>4</v>
      </c>
      <c r="R53" s="64" t="s">
        <v>481</v>
      </c>
      <c r="S53" s="60"/>
    </row>
    <row r="54" spans="1:19" hidden="1">
      <c r="A54" s="62" t="s">
        <v>1365</v>
      </c>
      <c r="B54" s="149" t="str">
        <f>IFERROR(VLOOKUP(Proc[[#This Row],[App]],Table2[],3,0),"open")</f>
        <v>ok</v>
      </c>
      <c r="C54" s="62" t="s">
        <v>369</v>
      </c>
      <c r="D54" t="s">
        <v>1327</v>
      </c>
      <c r="E54" t="s">
        <v>1364</v>
      </c>
      <c r="F54" s="117" t="s">
        <v>1364</v>
      </c>
      <c r="G54" s="62" t="s">
        <v>406</v>
      </c>
      <c r="H54" s="60" t="str">
        <f>IF(Proc[[#This Row],[type]]="LFF (MDG-F)",MID(Proc[[#This Row],[Obj]],13,10),"")</f>
        <v>DE10588102</v>
      </c>
      <c r="J54" s="60" t="b">
        <f>Proc[[#This Row],[Requested]]=Proc[[#This Row],[CurrentParent]]</f>
        <v>1</v>
      </c>
      <c r="K54" s="144" t="str">
        <f>IF(Proc[[#This Row],[Author]]="Marcela Urrego",VLOOKUP(LEFT(Proc[[#This Row],[Requested]],1),Table3[#All],2,0),VLOOKUP(Proc[[#This Row],[Author]],Table4[],2,0))</f>
        <v>MGF</v>
      </c>
      <c r="L54" s="60" t="s">
        <v>401</v>
      </c>
      <c r="M54" s="71">
        <v>45646.435798611114</v>
      </c>
      <c r="N54" s="71">
        <v>45652</v>
      </c>
      <c r="O54" s="71">
        <v>45652</v>
      </c>
      <c r="P54" s="64" t="str">
        <f ca="1">IF(Proc[[#This Row],[DaysAgeing]]&gt;5,"yep","on track")</f>
        <v>on track</v>
      </c>
      <c r="Q54" s="3">
        <f ca="1">IF(Proc[[#This Row],[DateClosed]]="",ABS(NETWORKDAYS(Proc[[#This Row],[DateOpened]],TODAY()))-1,ABS(NETWORKDAYS(Proc[[#This Row],[DateOpened]],Proc[[#This Row],[DateClosed]]))-1)</f>
        <v>4</v>
      </c>
      <c r="R54" s="64" t="s">
        <v>481</v>
      </c>
      <c r="S54" s="60"/>
    </row>
    <row r="55" spans="1:19" hidden="1">
      <c r="A55" s="62" t="s">
        <v>1365</v>
      </c>
      <c r="B55" s="149" t="str">
        <f>IFERROR(VLOOKUP(Proc[[#This Row],[App]],Table2[],3,0),"open")</f>
        <v>ok</v>
      </c>
      <c r="C55" s="62" t="s">
        <v>369</v>
      </c>
      <c r="D55" t="s">
        <v>1328</v>
      </c>
      <c r="E55" t="s">
        <v>1358</v>
      </c>
      <c r="F55" s="117" t="s">
        <v>1358</v>
      </c>
      <c r="G55" s="62" t="s">
        <v>406</v>
      </c>
      <c r="H55" s="60" t="str">
        <f>IF(Proc[[#This Row],[type]]="LFF (MDG-F)",MID(Proc[[#This Row],[Obj]],13,10),"")</f>
        <v>DE20501102</v>
      </c>
      <c r="J55" s="60" t="b">
        <f>Proc[[#This Row],[Requested]]=Proc[[#This Row],[CurrentParent]]</f>
        <v>1</v>
      </c>
      <c r="K55" s="144" t="str">
        <f>IF(Proc[[#This Row],[Author]]="Marcela Urrego",VLOOKUP(LEFT(Proc[[#This Row],[Requested]],1),Table3[#All],2,0),VLOOKUP(Proc[[#This Row],[Author]],Table4[],2,0))</f>
        <v>MGF</v>
      </c>
      <c r="L55" s="60" t="s">
        <v>401</v>
      </c>
      <c r="M55" s="71">
        <v>45646.435798611114</v>
      </c>
      <c r="N55" s="71">
        <v>45652</v>
      </c>
      <c r="O55" s="71">
        <v>45652</v>
      </c>
      <c r="P55" s="64" t="str">
        <f ca="1">IF(Proc[[#This Row],[DaysAgeing]]&gt;5,"yep","on track")</f>
        <v>on track</v>
      </c>
      <c r="Q55" s="3">
        <f ca="1">IF(Proc[[#This Row],[DateClosed]]="",ABS(NETWORKDAYS(Proc[[#This Row],[DateOpened]],TODAY()))-1,ABS(NETWORKDAYS(Proc[[#This Row],[DateOpened]],Proc[[#This Row],[DateClosed]]))-1)</f>
        <v>4</v>
      </c>
      <c r="R55" s="64" t="s">
        <v>481</v>
      </c>
      <c r="S55" s="60"/>
    </row>
    <row r="56" spans="1:19" hidden="1">
      <c r="A56" s="62" t="s">
        <v>1365</v>
      </c>
      <c r="B56" s="149" t="str">
        <f>IFERROR(VLOOKUP(Proc[[#This Row],[App]],Table2[],3,0),"open")</f>
        <v>ok</v>
      </c>
      <c r="C56" s="62" t="s">
        <v>369</v>
      </c>
      <c r="D56" t="s">
        <v>1329</v>
      </c>
      <c r="E56" t="s">
        <v>1359</v>
      </c>
      <c r="F56" s="117" t="s">
        <v>1359</v>
      </c>
      <c r="G56" s="62" t="s">
        <v>406</v>
      </c>
      <c r="H56" s="60" t="str">
        <f>IF(Proc[[#This Row],[type]]="LFF (MDG-F)",MID(Proc[[#This Row],[Obj]],13,10),"")</f>
        <v>DE20501100</v>
      </c>
      <c r="J56" s="60" t="b">
        <f>Proc[[#This Row],[Requested]]=Proc[[#This Row],[CurrentParent]]</f>
        <v>1</v>
      </c>
      <c r="K56" s="144" t="str">
        <f>IF(Proc[[#This Row],[Author]]="Marcela Urrego",VLOOKUP(LEFT(Proc[[#This Row],[Requested]],1),Table3[#All],2,0),VLOOKUP(Proc[[#This Row],[Author]],Table4[],2,0))</f>
        <v>MGF</v>
      </c>
      <c r="L56" s="60" t="s">
        <v>401</v>
      </c>
      <c r="M56" s="71">
        <v>45646.435798611114</v>
      </c>
      <c r="N56" s="71">
        <v>45652</v>
      </c>
      <c r="O56" s="71">
        <v>45652</v>
      </c>
      <c r="P56" s="64" t="str">
        <f ca="1">IF(Proc[[#This Row],[DaysAgeing]]&gt;5,"yep","on track")</f>
        <v>on track</v>
      </c>
      <c r="Q56" s="3">
        <f ca="1">IF(Proc[[#This Row],[DateClosed]]="",ABS(NETWORKDAYS(Proc[[#This Row],[DateOpened]],TODAY()))-1,ABS(NETWORKDAYS(Proc[[#This Row],[DateOpened]],Proc[[#This Row],[DateClosed]]))-1)</f>
        <v>4</v>
      </c>
      <c r="R56" s="64" t="s">
        <v>481</v>
      </c>
      <c r="S56" s="60"/>
    </row>
    <row r="57" spans="1:19" hidden="1">
      <c r="A57" s="62" t="s">
        <v>1365</v>
      </c>
      <c r="B57" s="149" t="str">
        <f>IFERROR(VLOOKUP(Proc[[#This Row],[App]],Table2[],3,0),"open")</f>
        <v>ok</v>
      </c>
      <c r="C57" s="62" t="s">
        <v>369</v>
      </c>
      <c r="D57" t="s">
        <v>1330</v>
      </c>
      <c r="E57" t="s">
        <v>1360</v>
      </c>
      <c r="F57" s="117" t="s">
        <v>1360</v>
      </c>
      <c r="G57" s="62" t="s">
        <v>406</v>
      </c>
      <c r="H57" s="60" t="str">
        <f>IF(Proc[[#This Row],[type]]="LFF (MDG-F)",MID(Proc[[#This Row],[Obj]],13,10),"")</f>
        <v>DE20502401</v>
      </c>
      <c r="J57" s="60" t="b">
        <f>Proc[[#This Row],[Requested]]=Proc[[#This Row],[CurrentParent]]</f>
        <v>1</v>
      </c>
      <c r="K57" s="144" t="str">
        <f>IF(Proc[[#This Row],[Author]]="Marcela Urrego",VLOOKUP(LEFT(Proc[[#This Row],[Requested]],1),Table3[#All],2,0),VLOOKUP(Proc[[#This Row],[Author]],Table4[],2,0))</f>
        <v>MGF</v>
      </c>
      <c r="L57" s="60" t="s">
        <v>401</v>
      </c>
      <c r="M57" s="71">
        <v>45646.435798611114</v>
      </c>
      <c r="N57" s="71">
        <v>45652</v>
      </c>
      <c r="O57" s="71">
        <v>45652</v>
      </c>
      <c r="P57" s="64" t="str">
        <f ca="1">IF(Proc[[#This Row],[DaysAgeing]]&gt;5,"yep","on track")</f>
        <v>on track</v>
      </c>
      <c r="Q57" s="3">
        <f ca="1">IF(Proc[[#This Row],[DateClosed]]="",ABS(NETWORKDAYS(Proc[[#This Row],[DateOpened]],TODAY()))-1,ABS(NETWORKDAYS(Proc[[#This Row],[DateOpened]],Proc[[#This Row],[DateClosed]]))-1)</f>
        <v>4</v>
      </c>
      <c r="R57" s="64" t="s">
        <v>481</v>
      </c>
      <c r="S57" s="60"/>
    </row>
    <row r="58" spans="1:19" hidden="1">
      <c r="A58" s="62" t="s">
        <v>1365</v>
      </c>
      <c r="B58" s="149" t="str">
        <f>IFERROR(VLOOKUP(Proc[[#This Row],[App]],Table2[],3,0),"open")</f>
        <v>ok</v>
      </c>
      <c r="C58" s="62" t="s">
        <v>369</v>
      </c>
      <c r="D58" t="s">
        <v>1331</v>
      </c>
      <c r="E58" t="s">
        <v>1360</v>
      </c>
      <c r="F58" s="117" t="s">
        <v>1360</v>
      </c>
      <c r="G58" s="62" t="s">
        <v>406</v>
      </c>
      <c r="H58" s="60" t="str">
        <f>IF(Proc[[#This Row],[type]]="LFF (MDG-F)",MID(Proc[[#This Row],[Obj]],13,10),"")</f>
        <v>DE20502404</v>
      </c>
      <c r="J58" s="60" t="b">
        <f>Proc[[#This Row],[Requested]]=Proc[[#This Row],[CurrentParent]]</f>
        <v>1</v>
      </c>
      <c r="K58" s="144" t="str">
        <f>IF(Proc[[#This Row],[Author]]="Marcela Urrego",VLOOKUP(LEFT(Proc[[#This Row],[Requested]],1),Table3[#All],2,0),VLOOKUP(Proc[[#This Row],[Author]],Table4[],2,0))</f>
        <v>MGF</v>
      </c>
      <c r="L58" s="60" t="s">
        <v>401</v>
      </c>
      <c r="M58" s="71">
        <v>45646.435798611114</v>
      </c>
      <c r="N58" s="71">
        <v>45652</v>
      </c>
      <c r="O58" s="71">
        <v>45652</v>
      </c>
      <c r="P58" s="64" t="str">
        <f ca="1">IF(Proc[[#This Row],[DaysAgeing]]&gt;5,"yep","on track")</f>
        <v>on track</v>
      </c>
      <c r="Q58" s="3">
        <f ca="1">IF(Proc[[#This Row],[DateClosed]]="",ABS(NETWORKDAYS(Proc[[#This Row],[DateOpened]],TODAY()))-1,ABS(NETWORKDAYS(Proc[[#This Row],[DateOpened]],Proc[[#This Row],[DateClosed]]))-1)</f>
        <v>4</v>
      </c>
      <c r="R58" s="64" t="s">
        <v>481</v>
      </c>
      <c r="S58" s="60"/>
    </row>
    <row r="59" spans="1:19" hidden="1">
      <c r="A59" s="62" t="s">
        <v>1365</v>
      </c>
      <c r="B59" s="149" t="str">
        <f>IFERROR(VLOOKUP(Proc[[#This Row],[App]],Table2[],3,0),"open")</f>
        <v>ok</v>
      </c>
      <c r="C59" s="62" t="s">
        <v>369</v>
      </c>
      <c r="D59" t="s">
        <v>1332</v>
      </c>
      <c r="E59" t="s">
        <v>1360</v>
      </c>
      <c r="F59" s="117" t="s">
        <v>1360</v>
      </c>
      <c r="G59" s="62" t="s">
        <v>406</v>
      </c>
      <c r="H59" s="60" t="str">
        <f>IF(Proc[[#This Row],[type]]="LFF (MDG-F)",MID(Proc[[#This Row],[Obj]],13,10),"")</f>
        <v>DE20502405</v>
      </c>
      <c r="J59" s="60" t="b">
        <f>Proc[[#This Row],[Requested]]=Proc[[#This Row],[CurrentParent]]</f>
        <v>1</v>
      </c>
      <c r="K59" s="144" t="str">
        <f>IF(Proc[[#This Row],[Author]]="Marcela Urrego",VLOOKUP(LEFT(Proc[[#This Row],[Requested]],1),Table3[#All],2,0),VLOOKUP(Proc[[#This Row],[Author]],Table4[],2,0))</f>
        <v>MGF</v>
      </c>
      <c r="L59" s="60" t="s">
        <v>401</v>
      </c>
      <c r="M59" s="71">
        <v>45646.435798611114</v>
      </c>
      <c r="N59" s="71">
        <v>45652</v>
      </c>
      <c r="O59" s="71">
        <v>45652</v>
      </c>
      <c r="P59" s="64" t="str">
        <f ca="1">IF(Proc[[#This Row],[DaysAgeing]]&gt;5,"yep","on track")</f>
        <v>on track</v>
      </c>
      <c r="Q59" s="3">
        <f ca="1">IF(Proc[[#This Row],[DateClosed]]="",ABS(NETWORKDAYS(Proc[[#This Row],[DateOpened]],TODAY()))-1,ABS(NETWORKDAYS(Proc[[#This Row],[DateOpened]],Proc[[#This Row],[DateClosed]]))-1)</f>
        <v>4</v>
      </c>
      <c r="R59" s="64" t="s">
        <v>481</v>
      </c>
      <c r="S59" s="60"/>
    </row>
    <row r="60" spans="1:19" hidden="1">
      <c r="A60" s="62" t="s">
        <v>1365</v>
      </c>
      <c r="B60" s="149" t="str">
        <f>IFERROR(VLOOKUP(Proc[[#This Row],[App]],Table2[],3,0),"open")</f>
        <v>ok</v>
      </c>
      <c r="C60" s="62" t="s">
        <v>369</v>
      </c>
      <c r="D60" t="s">
        <v>1333</v>
      </c>
      <c r="E60" t="s">
        <v>1360</v>
      </c>
      <c r="F60" s="117" t="s">
        <v>1360</v>
      </c>
      <c r="G60" s="62" t="s">
        <v>406</v>
      </c>
      <c r="H60" s="60" t="str">
        <f>IF(Proc[[#This Row],[type]]="LFF (MDG-F)",MID(Proc[[#This Row],[Obj]],13,10),"")</f>
        <v>DE20502407</v>
      </c>
      <c r="J60" s="60" t="b">
        <f>Proc[[#This Row],[Requested]]=Proc[[#This Row],[CurrentParent]]</f>
        <v>1</v>
      </c>
      <c r="K60" s="144" t="str">
        <f>IF(Proc[[#This Row],[Author]]="Marcela Urrego",VLOOKUP(LEFT(Proc[[#This Row],[Requested]],1),Table3[#All],2,0),VLOOKUP(Proc[[#This Row],[Author]],Table4[],2,0))</f>
        <v>MGF</v>
      </c>
      <c r="L60" s="60" t="s">
        <v>401</v>
      </c>
      <c r="M60" s="71">
        <v>45646.435798611114</v>
      </c>
      <c r="N60" s="71">
        <v>45652</v>
      </c>
      <c r="O60" s="71">
        <v>45652</v>
      </c>
      <c r="P60" s="64" t="str">
        <f ca="1">IF(Proc[[#This Row],[DaysAgeing]]&gt;5,"yep","on track")</f>
        <v>on track</v>
      </c>
      <c r="Q60" s="3">
        <f ca="1">IF(Proc[[#This Row],[DateClosed]]="",ABS(NETWORKDAYS(Proc[[#This Row],[DateOpened]],TODAY()))-1,ABS(NETWORKDAYS(Proc[[#This Row],[DateOpened]],Proc[[#This Row],[DateClosed]]))-1)</f>
        <v>4</v>
      </c>
      <c r="R60" s="64" t="s">
        <v>481</v>
      </c>
      <c r="S60" s="60"/>
    </row>
    <row r="61" spans="1:19" hidden="1">
      <c r="A61" s="62" t="s">
        <v>1365</v>
      </c>
      <c r="B61" s="149" t="str">
        <f>IFERROR(VLOOKUP(Proc[[#This Row],[App]],Table2[],3,0),"open")</f>
        <v>ok</v>
      </c>
      <c r="C61" s="62" t="s">
        <v>369</v>
      </c>
      <c r="D61" t="s">
        <v>1334</v>
      </c>
      <c r="E61" t="s">
        <v>1360</v>
      </c>
      <c r="F61" s="117" t="s">
        <v>1360</v>
      </c>
      <c r="G61" s="62" t="s">
        <v>406</v>
      </c>
      <c r="H61" s="60" t="str">
        <f>IF(Proc[[#This Row],[type]]="LFF (MDG-F)",MID(Proc[[#This Row],[Obj]],13,10),"")</f>
        <v>DE20502408</v>
      </c>
      <c r="J61" s="60" t="b">
        <f>Proc[[#This Row],[Requested]]=Proc[[#This Row],[CurrentParent]]</f>
        <v>1</v>
      </c>
      <c r="K61" s="144" t="str">
        <f>IF(Proc[[#This Row],[Author]]="Marcela Urrego",VLOOKUP(LEFT(Proc[[#This Row],[Requested]],1),Table3[#All],2,0),VLOOKUP(Proc[[#This Row],[Author]],Table4[],2,0))</f>
        <v>MGF</v>
      </c>
      <c r="L61" s="60" t="s">
        <v>401</v>
      </c>
      <c r="M61" s="71">
        <v>45646.435798611114</v>
      </c>
      <c r="N61" s="71">
        <v>45652</v>
      </c>
      <c r="O61" s="71">
        <v>45652</v>
      </c>
      <c r="P61" s="64" t="str">
        <f ca="1">IF(Proc[[#This Row],[DaysAgeing]]&gt;5,"yep","on track")</f>
        <v>on track</v>
      </c>
      <c r="Q61" s="3">
        <f ca="1">IF(Proc[[#This Row],[DateClosed]]="",ABS(NETWORKDAYS(Proc[[#This Row],[DateOpened]],TODAY()))-1,ABS(NETWORKDAYS(Proc[[#This Row],[DateOpened]],Proc[[#This Row],[DateClosed]]))-1)</f>
        <v>4</v>
      </c>
      <c r="R61" s="64" t="s">
        <v>481</v>
      </c>
      <c r="S61" s="60"/>
    </row>
    <row r="62" spans="1:19" hidden="1">
      <c r="A62" s="62" t="s">
        <v>1365</v>
      </c>
      <c r="B62" s="149" t="str">
        <f>IFERROR(VLOOKUP(Proc[[#This Row],[App]],Table2[],3,0),"open")</f>
        <v>ok</v>
      </c>
      <c r="C62" s="62" t="s">
        <v>369</v>
      </c>
      <c r="D62" t="s">
        <v>1335</v>
      </c>
      <c r="E62" t="s">
        <v>1360</v>
      </c>
      <c r="F62" s="117" t="s">
        <v>1360</v>
      </c>
      <c r="G62" s="62" t="s">
        <v>406</v>
      </c>
      <c r="H62" s="60" t="str">
        <f>IF(Proc[[#This Row],[type]]="LFF (MDG-F)",MID(Proc[[#This Row],[Obj]],13,10),"")</f>
        <v>DE20502409</v>
      </c>
      <c r="I62" t="s">
        <v>1421</v>
      </c>
      <c r="J62" s="60" t="b">
        <f>Proc[[#This Row],[Requested]]=Proc[[#This Row],[CurrentParent]]</f>
        <v>1</v>
      </c>
      <c r="K62" s="144" t="str">
        <f>IF(Proc[[#This Row],[Author]]="Marcela Urrego",VLOOKUP(LEFT(Proc[[#This Row],[Requested]],1),Table3[#All],2,0),VLOOKUP(Proc[[#This Row],[Author]],Table4[],2,0))</f>
        <v>MGF</v>
      </c>
      <c r="L62" s="60" t="s">
        <v>401</v>
      </c>
      <c r="M62" s="71">
        <v>45646.435798611114</v>
      </c>
      <c r="N62" s="71">
        <v>45652</v>
      </c>
      <c r="O62" s="71">
        <v>45652</v>
      </c>
      <c r="P62" s="64" t="str">
        <f ca="1">IF(Proc[[#This Row],[DaysAgeing]]&gt;5,"yep","on track")</f>
        <v>on track</v>
      </c>
      <c r="Q62" s="3">
        <f ca="1">IF(Proc[[#This Row],[DateClosed]]="",ABS(NETWORKDAYS(Proc[[#This Row],[DateOpened]],TODAY()))-1,ABS(NETWORKDAYS(Proc[[#This Row],[DateOpened]],Proc[[#This Row],[DateClosed]]))-1)</f>
        <v>4</v>
      </c>
      <c r="R62" s="64" t="s">
        <v>481</v>
      </c>
      <c r="S62" s="60"/>
    </row>
    <row r="63" spans="1:19" hidden="1">
      <c r="A63" s="62" t="s">
        <v>1365</v>
      </c>
      <c r="B63" s="149" t="str">
        <f>IFERROR(VLOOKUP(Proc[[#This Row],[App]],Table2[],3,0),"open")</f>
        <v>ok</v>
      </c>
      <c r="C63" s="62" t="s">
        <v>369</v>
      </c>
      <c r="D63" t="s">
        <v>1336</v>
      </c>
      <c r="E63" t="s">
        <v>1360</v>
      </c>
      <c r="F63" s="117" t="s">
        <v>1360</v>
      </c>
      <c r="G63" s="62" t="s">
        <v>406</v>
      </c>
      <c r="H63" s="60" t="str">
        <f>IF(Proc[[#This Row],[type]]="LFF (MDG-F)",MID(Proc[[#This Row],[Obj]],13,10),"")</f>
        <v>DE20502410</v>
      </c>
      <c r="J63" s="60" t="b">
        <f>Proc[[#This Row],[Requested]]=Proc[[#This Row],[CurrentParent]]</f>
        <v>1</v>
      </c>
      <c r="K63" s="144" t="str">
        <f>IF(Proc[[#This Row],[Author]]="Marcela Urrego",VLOOKUP(LEFT(Proc[[#This Row],[Requested]],1),Table3[#All],2,0),VLOOKUP(Proc[[#This Row],[Author]],Table4[],2,0))</f>
        <v>MGF</v>
      </c>
      <c r="L63" s="60" t="s">
        <v>401</v>
      </c>
      <c r="M63" s="71">
        <v>45646.435798611114</v>
      </c>
      <c r="N63" s="71">
        <v>45652</v>
      </c>
      <c r="O63" s="71">
        <v>45652</v>
      </c>
      <c r="P63" s="64" t="str">
        <f ca="1">IF(Proc[[#This Row],[DaysAgeing]]&gt;5,"yep","on track")</f>
        <v>on track</v>
      </c>
      <c r="Q63" s="3">
        <f ca="1">IF(Proc[[#This Row],[DateClosed]]="",ABS(NETWORKDAYS(Proc[[#This Row],[DateOpened]],TODAY()))-1,ABS(NETWORKDAYS(Proc[[#This Row],[DateOpened]],Proc[[#This Row],[DateClosed]]))-1)</f>
        <v>4</v>
      </c>
      <c r="R63" s="64" t="s">
        <v>481</v>
      </c>
      <c r="S63" s="60"/>
    </row>
    <row r="64" spans="1:19" hidden="1">
      <c r="A64" s="62" t="s">
        <v>1365</v>
      </c>
      <c r="B64" s="149" t="str">
        <f>IFERROR(VLOOKUP(Proc[[#This Row],[App]],Table2[],3,0),"open")</f>
        <v>ok</v>
      </c>
      <c r="C64" s="62" t="s">
        <v>369</v>
      </c>
      <c r="D64" t="s">
        <v>1337</v>
      </c>
      <c r="E64" t="s">
        <v>1360</v>
      </c>
      <c r="F64" s="117" t="s">
        <v>1360</v>
      </c>
      <c r="G64" s="62" t="s">
        <v>406</v>
      </c>
      <c r="H64" s="60" t="str">
        <f>IF(Proc[[#This Row],[type]]="LFF (MDG-F)",MID(Proc[[#This Row],[Obj]],13,10),"")</f>
        <v>DE20502411</v>
      </c>
      <c r="J64" s="60" t="b">
        <f>Proc[[#This Row],[Requested]]=Proc[[#This Row],[CurrentParent]]</f>
        <v>1</v>
      </c>
      <c r="K64" s="144" t="str">
        <f>IF(Proc[[#This Row],[Author]]="Marcela Urrego",VLOOKUP(LEFT(Proc[[#This Row],[Requested]],1),Table3[#All],2,0),VLOOKUP(Proc[[#This Row],[Author]],Table4[],2,0))</f>
        <v>MGF</v>
      </c>
      <c r="L64" s="60" t="s">
        <v>401</v>
      </c>
      <c r="M64" s="71">
        <v>45646.435798611114</v>
      </c>
      <c r="N64" s="71">
        <v>45652</v>
      </c>
      <c r="O64" s="71">
        <v>45652</v>
      </c>
      <c r="P64" s="64" t="str">
        <f ca="1">IF(Proc[[#This Row],[DaysAgeing]]&gt;5,"yep","on track")</f>
        <v>on track</v>
      </c>
      <c r="Q64" s="3">
        <f ca="1">IF(Proc[[#This Row],[DateClosed]]="",ABS(NETWORKDAYS(Proc[[#This Row],[DateOpened]],TODAY()))-1,ABS(NETWORKDAYS(Proc[[#This Row],[DateOpened]],Proc[[#This Row],[DateClosed]]))-1)</f>
        <v>4</v>
      </c>
      <c r="R64" s="64" t="s">
        <v>481</v>
      </c>
      <c r="S64" s="60"/>
    </row>
    <row r="65" spans="1:19" hidden="1">
      <c r="A65" s="62" t="s">
        <v>1365</v>
      </c>
      <c r="B65" s="149" t="str">
        <f>IFERROR(VLOOKUP(Proc[[#This Row],[App]],Table2[],3,0),"open")</f>
        <v>ok</v>
      </c>
      <c r="C65" s="62" t="s">
        <v>369</v>
      </c>
      <c r="D65" t="s">
        <v>1338</v>
      </c>
      <c r="E65" t="s">
        <v>1360</v>
      </c>
      <c r="F65" s="117" t="s">
        <v>1360</v>
      </c>
      <c r="G65" s="62" t="s">
        <v>406</v>
      </c>
      <c r="H65" s="60" t="str">
        <f>IF(Proc[[#This Row],[type]]="LFF (MDG-F)",MID(Proc[[#This Row],[Obj]],13,10),"")</f>
        <v>DE20502412</v>
      </c>
      <c r="J65" s="60" t="b">
        <f>Proc[[#This Row],[Requested]]=Proc[[#This Row],[CurrentParent]]</f>
        <v>1</v>
      </c>
      <c r="K65" s="144" t="str">
        <f>IF(Proc[[#This Row],[Author]]="Marcela Urrego",VLOOKUP(LEFT(Proc[[#This Row],[Requested]],1),Table3[#All],2,0),VLOOKUP(Proc[[#This Row],[Author]],Table4[],2,0))</f>
        <v>MGF</v>
      </c>
      <c r="L65" s="60" t="s">
        <v>401</v>
      </c>
      <c r="M65" s="71">
        <v>45646.435798611114</v>
      </c>
      <c r="N65" s="71">
        <v>45652</v>
      </c>
      <c r="O65" s="71">
        <v>45652</v>
      </c>
      <c r="P65" s="64" t="str">
        <f ca="1">IF(Proc[[#This Row],[DaysAgeing]]&gt;5,"yep","on track")</f>
        <v>on track</v>
      </c>
      <c r="Q65" s="3">
        <f ca="1">IF(Proc[[#This Row],[DateClosed]]="",ABS(NETWORKDAYS(Proc[[#This Row],[DateOpened]],TODAY()))-1,ABS(NETWORKDAYS(Proc[[#This Row],[DateOpened]],Proc[[#This Row],[DateClosed]]))-1)</f>
        <v>4</v>
      </c>
      <c r="R65" s="64" t="s">
        <v>481</v>
      </c>
      <c r="S65" s="60"/>
    </row>
    <row r="66" spans="1:19" hidden="1">
      <c r="A66" s="62" t="s">
        <v>1365</v>
      </c>
      <c r="B66" s="149" t="str">
        <f>IFERROR(VLOOKUP(Proc[[#This Row],[App]],Table2[],3,0),"open")</f>
        <v>ok</v>
      </c>
      <c r="C66" s="62" t="s">
        <v>369</v>
      </c>
      <c r="D66" t="s">
        <v>1339</v>
      </c>
      <c r="E66" t="s">
        <v>1360</v>
      </c>
      <c r="F66" s="117" t="s">
        <v>1360</v>
      </c>
      <c r="G66" s="62" t="s">
        <v>406</v>
      </c>
      <c r="H66" s="60" t="str">
        <f>IF(Proc[[#This Row],[type]]="LFF (MDG-F)",MID(Proc[[#This Row],[Obj]],13,10),"")</f>
        <v>DE20502415</v>
      </c>
      <c r="J66" s="60" t="b">
        <f>Proc[[#This Row],[Requested]]=Proc[[#This Row],[CurrentParent]]</f>
        <v>1</v>
      </c>
      <c r="K66" s="144" t="str">
        <f>IF(Proc[[#This Row],[Author]]="Marcela Urrego",VLOOKUP(LEFT(Proc[[#This Row],[Requested]],1),Table3[#All],2,0),VLOOKUP(Proc[[#This Row],[Author]],Table4[],2,0))</f>
        <v>MGF</v>
      </c>
      <c r="L66" s="60" t="s">
        <v>401</v>
      </c>
      <c r="M66" s="71">
        <v>45646.435798611114</v>
      </c>
      <c r="N66" s="71">
        <v>45652</v>
      </c>
      <c r="O66" s="71">
        <v>45652</v>
      </c>
      <c r="P66" s="64" t="str">
        <f ca="1">IF(Proc[[#This Row],[DaysAgeing]]&gt;5,"yep","on track")</f>
        <v>on track</v>
      </c>
      <c r="Q66" s="3">
        <f ca="1">IF(Proc[[#This Row],[DateClosed]]="",ABS(NETWORKDAYS(Proc[[#This Row],[DateOpened]],TODAY()))-1,ABS(NETWORKDAYS(Proc[[#This Row],[DateOpened]],Proc[[#This Row],[DateClosed]]))-1)</f>
        <v>4</v>
      </c>
      <c r="R66" s="64" t="s">
        <v>481</v>
      </c>
      <c r="S66" s="60"/>
    </row>
    <row r="67" spans="1:19" hidden="1">
      <c r="A67" s="62" t="s">
        <v>1365</v>
      </c>
      <c r="B67" s="149" t="str">
        <f>IFERROR(VLOOKUP(Proc[[#This Row],[App]],Table2[],3,0),"open")</f>
        <v>ok</v>
      </c>
      <c r="C67" s="62" t="s">
        <v>369</v>
      </c>
      <c r="D67" t="s">
        <v>1340</v>
      </c>
      <c r="E67" t="s">
        <v>1360</v>
      </c>
      <c r="F67" s="117" t="s">
        <v>1360</v>
      </c>
      <c r="G67" s="62" t="s">
        <v>406</v>
      </c>
      <c r="H67" s="60" t="str">
        <f>IF(Proc[[#This Row],[type]]="LFF (MDG-F)",MID(Proc[[#This Row],[Obj]],13,10),"")</f>
        <v>DE20502417</v>
      </c>
      <c r="J67" s="60" t="b">
        <f>Proc[[#This Row],[Requested]]=Proc[[#This Row],[CurrentParent]]</f>
        <v>1</v>
      </c>
      <c r="K67" s="144" t="str">
        <f>IF(Proc[[#This Row],[Author]]="Marcela Urrego",VLOOKUP(LEFT(Proc[[#This Row],[Requested]],1),Table3[#All],2,0),VLOOKUP(Proc[[#This Row],[Author]],Table4[],2,0))</f>
        <v>MGF</v>
      </c>
      <c r="L67" s="60" t="s">
        <v>401</v>
      </c>
      <c r="M67" s="71">
        <v>45646.435798611114</v>
      </c>
      <c r="N67" s="71">
        <v>45652</v>
      </c>
      <c r="O67" s="71">
        <v>45652</v>
      </c>
      <c r="P67" s="64" t="str">
        <f ca="1">IF(Proc[[#This Row],[DaysAgeing]]&gt;5,"yep","on track")</f>
        <v>on track</v>
      </c>
      <c r="Q67" s="3">
        <f ca="1">IF(Proc[[#This Row],[DateClosed]]="",ABS(NETWORKDAYS(Proc[[#This Row],[DateOpened]],TODAY()))-1,ABS(NETWORKDAYS(Proc[[#This Row],[DateOpened]],Proc[[#This Row],[DateClosed]]))-1)</f>
        <v>4</v>
      </c>
      <c r="R67" s="64" t="s">
        <v>481</v>
      </c>
      <c r="S67" s="60"/>
    </row>
    <row r="68" spans="1:19" hidden="1">
      <c r="A68" s="62" t="s">
        <v>1365</v>
      </c>
      <c r="B68" s="149" t="str">
        <f>IFERROR(VLOOKUP(Proc[[#This Row],[App]],Table2[],3,0),"open")</f>
        <v>ok</v>
      </c>
      <c r="C68" s="62" t="s">
        <v>369</v>
      </c>
      <c r="D68" t="s">
        <v>1341</v>
      </c>
      <c r="E68" t="s">
        <v>1361</v>
      </c>
      <c r="F68" s="117" t="s">
        <v>1361</v>
      </c>
      <c r="G68" s="62" t="s">
        <v>406</v>
      </c>
      <c r="H68" s="60" t="str">
        <f>IF(Proc[[#This Row],[type]]="LFF (MDG-F)",MID(Proc[[#This Row],[Obj]],13,10),"")</f>
        <v>DE20502702</v>
      </c>
      <c r="J68" s="60" t="b">
        <f>Proc[[#This Row],[Requested]]=Proc[[#This Row],[CurrentParent]]</f>
        <v>1</v>
      </c>
      <c r="K68" s="144" t="str">
        <f>IF(Proc[[#This Row],[Author]]="Marcela Urrego",VLOOKUP(LEFT(Proc[[#This Row],[Requested]],1),Table3[#All],2,0),VLOOKUP(Proc[[#This Row],[Author]],Table4[],2,0))</f>
        <v>MGF</v>
      </c>
      <c r="L68" s="60" t="s">
        <v>401</v>
      </c>
      <c r="M68" s="71">
        <v>45646.435798611114</v>
      </c>
      <c r="N68" s="71">
        <v>45652</v>
      </c>
      <c r="O68" s="71">
        <v>45652</v>
      </c>
      <c r="P68" s="64" t="str">
        <f ca="1">IF(Proc[[#This Row],[DaysAgeing]]&gt;5,"yep","on track")</f>
        <v>on track</v>
      </c>
      <c r="Q68" s="3">
        <f ca="1">IF(Proc[[#This Row],[DateClosed]]="",ABS(NETWORKDAYS(Proc[[#This Row],[DateOpened]],TODAY()))-1,ABS(NETWORKDAYS(Proc[[#This Row],[DateOpened]],Proc[[#This Row],[DateClosed]]))-1)</f>
        <v>4</v>
      </c>
      <c r="R68" s="64" t="s">
        <v>481</v>
      </c>
      <c r="S68" s="60"/>
    </row>
    <row r="69" spans="1:19" hidden="1">
      <c r="A69" s="62" t="s">
        <v>1365</v>
      </c>
      <c r="B69" s="149" t="str">
        <f>IFERROR(VLOOKUP(Proc[[#This Row],[App]],Table2[],3,0),"open")</f>
        <v>ok</v>
      </c>
      <c r="C69" s="62" t="s">
        <v>369</v>
      </c>
      <c r="D69" t="s">
        <v>1342</v>
      </c>
      <c r="E69" t="s">
        <v>1361</v>
      </c>
      <c r="F69" s="117" t="s">
        <v>1361</v>
      </c>
      <c r="G69" s="62" t="s">
        <v>406</v>
      </c>
      <c r="H69" s="60" t="str">
        <f>IF(Proc[[#This Row],[type]]="LFF (MDG-F)",MID(Proc[[#This Row],[Obj]],13,10),"")</f>
        <v>DE20502703</v>
      </c>
      <c r="J69" s="60" t="b">
        <f>Proc[[#This Row],[Requested]]=Proc[[#This Row],[CurrentParent]]</f>
        <v>1</v>
      </c>
      <c r="K69" s="144" t="str">
        <f>IF(Proc[[#This Row],[Author]]="Marcela Urrego",VLOOKUP(LEFT(Proc[[#This Row],[Requested]],1),Table3[#All],2,0),VLOOKUP(Proc[[#This Row],[Author]],Table4[],2,0))</f>
        <v>MGF</v>
      </c>
      <c r="L69" s="60" t="s">
        <v>401</v>
      </c>
      <c r="M69" s="71">
        <v>45646.435798611114</v>
      </c>
      <c r="N69" s="71">
        <v>45652</v>
      </c>
      <c r="O69" s="71">
        <v>45652</v>
      </c>
      <c r="P69" s="64" t="str">
        <f ca="1">IF(Proc[[#This Row],[DaysAgeing]]&gt;5,"yep","on track")</f>
        <v>on track</v>
      </c>
      <c r="Q69" s="3">
        <f ca="1">IF(Proc[[#This Row],[DateClosed]]="",ABS(NETWORKDAYS(Proc[[#This Row],[DateOpened]],TODAY()))-1,ABS(NETWORKDAYS(Proc[[#This Row],[DateOpened]],Proc[[#This Row],[DateClosed]]))-1)</f>
        <v>4</v>
      </c>
      <c r="R69" s="64" t="s">
        <v>481</v>
      </c>
      <c r="S69" s="60"/>
    </row>
    <row r="70" spans="1:19" hidden="1">
      <c r="A70" s="62" t="s">
        <v>1365</v>
      </c>
      <c r="B70" s="149" t="str">
        <f>IFERROR(VLOOKUP(Proc[[#This Row],[App]],Table2[],3,0),"open")</f>
        <v>ok</v>
      </c>
      <c r="C70" s="62" t="s">
        <v>369</v>
      </c>
      <c r="D70" t="s">
        <v>1343</v>
      </c>
      <c r="E70" t="s">
        <v>1361</v>
      </c>
      <c r="F70" s="117" t="s">
        <v>1361</v>
      </c>
      <c r="G70" s="62" t="s">
        <v>406</v>
      </c>
      <c r="H70" s="60" t="str">
        <f>IF(Proc[[#This Row],[type]]="LFF (MDG-F)",MID(Proc[[#This Row],[Obj]],13,10),"")</f>
        <v>DE20502704</v>
      </c>
      <c r="J70" s="60" t="b">
        <f>Proc[[#This Row],[Requested]]=Proc[[#This Row],[CurrentParent]]</f>
        <v>1</v>
      </c>
      <c r="K70" s="144" t="str">
        <f>IF(Proc[[#This Row],[Author]]="Marcela Urrego",VLOOKUP(LEFT(Proc[[#This Row],[Requested]],1),Table3[#All],2,0),VLOOKUP(Proc[[#This Row],[Author]],Table4[],2,0))</f>
        <v>MGF</v>
      </c>
      <c r="L70" s="60" t="s">
        <v>401</v>
      </c>
      <c r="M70" s="71">
        <v>45646.435798611114</v>
      </c>
      <c r="N70" s="71">
        <v>45652</v>
      </c>
      <c r="O70" s="71">
        <v>45652</v>
      </c>
      <c r="P70" s="64" t="str">
        <f ca="1">IF(Proc[[#This Row],[DaysAgeing]]&gt;5,"yep","on track")</f>
        <v>on track</v>
      </c>
      <c r="Q70" s="3">
        <f ca="1">IF(Proc[[#This Row],[DateClosed]]="",ABS(NETWORKDAYS(Proc[[#This Row],[DateOpened]],TODAY()))-1,ABS(NETWORKDAYS(Proc[[#This Row],[DateOpened]],Proc[[#This Row],[DateClosed]]))-1)</f>
        <v>4</v>
      </c>
      <c r="R70" s="64" t="s">
        <v>481</v>
      </c>
      <c r="S70" s="60"/>
    </row>
    <row r="71" spans="1:19" hidden="1">
      <c r="A71" s="62" t="s">
        <v>1365</v>
      </c>
      <c r="B71" s="149" t="str">
        <f>IFERROR(VLOOKUP(Proc[[#This Row],[App]],Table2[],3,0),"open")</f>
        <v>ok</v>
      </c>
      <c r="C71" s="62" t="s">
        <v>369</v>
      </c>
      <c r="D71" t="s">
        <v>1344</v>
      </c>
      <c r="E71" t="s">
        <v>1361</v>
      </c>
      <c r="F71" s="117" t="s">
        <v>1361</v>
      </c>
      <c r="G71" s="62" t="s">
        <v>406</v>
      </c>
      <c r="H71" s="60" t="str">
        <f>IF(Proc[[#This Row],[type]]="LFF (MDG-F)",MID(Proc[[#This Row],[Obj]],13,10),"")</f>
        <v>DE20502705</v>
      </c>
      <c r="J71" s="60" t="b">
        <f>Proc[[#This Row],[Requested]]=Proc[[#This Row],[CurrentParent]]</f>
        <v>1</v>
      </c>
      <c r="K71" s="144" t="str">
        <f>IF(Proc[[#This Row],[Author]]="Marcela Urrego",VLOOKUP(LEFT(Proc[[#This Row],[Requested]],1),Table3[#All],2,0),VLOOKUP(Proc[[#This Row],[Author]],Table4[],2,0))</f>
        <v>MGF</v>
      </c>
      <c r="L71" s="60" t="s">
        <v>401</v>
      </c>
      <c r="M71" s="71">
        <v>45646.435798611114</v>
      </c>
      <c r="N71" s="71">
        <v>45652</v>
      </c>
      <c r="O71" s="71">
        <v>45652</v>
      </c>
      <c r="P71" s="64" t="str">
        <f ca="1">IF(Proc[[#This Row],[DaysAgeing]]&gt;5,"yep","on track")</f>
        <v>on track</v>
      </c>
      <c r="Q71" s="3">
        <f ca="1">IF(Proc[[#This Row],[DateClosed]]="",ABS(NETWORKDAYS(Proc[[#This Row],[DateOpened]],TODAY()))-1,ABS(NETWORKDAYS(Proc[[#This Row],[DateOpened]],Proc[[#This Row],[DateClosed]]))-1)</f>
        <v>4</v>
      </c>
      <c r="R71" s="64" t="s">
        <v>481</v>
      </c>
      <c r="S71" s="60"/>
    </row>
    <row r="72" spans="1:19" hidden="1">
      <c r="A72" s="62" t="s">
        <v>1365</v>
      </c>
      <c r="B72" s="149" t="str">
        <f>IFERROR(VLOOKUP(Proc[[#This Row],[App]],Table2[],3,0),"open")</f>
        <v>ok</v>
      </c>
      <c r="C72" s="62" t="s">
        <v>369</v>
      </c>
      <c r="D72" t="s">
        <v>1345</v>
      </c>
      <c r="E72" t="s">
        <v>1361</v>
      </c>
      <c r="F72" s="117" t="s">
        <v>1361</v>
      </c>
      <c r="G72" s="62" t="s">
        <v>406</v>
      </c>
      <c r="H72" s="60" t="str">
        <f>IF(Proc[[#This Row],[type]]="LFF (MDG-F)",MID(Proc[[#This Row],[Obj]],13,10),"")</f>
        <v>DE20502706</v>
      </c>
      <c r="J72" s="60" t="b">
        <f>Proc[[#This Row],[Requested]]=Proc[[#This Row],[CurrentParent]]</f>
        <v>1</v>
      </c>
      <c r="K72" s="144" t="str">
        <f>IF(Proc[[#This Row],[Author]]="Marcela Urrego",VLOOKUP(LEFT(Proc[[#This Row],[Requested]],1),Table3[#All],2,0),VLOOKUP(Proc[[#This Row],[Author]],Table4[],2,0))</f>
        <v>MGF</v>
      </c>
      <c r="L72" s="60" t="s">
        <v>401</v>
      </c>
      <c r="M72" s="71">
        <v>45646.435798611114</v>
      </c>
      <c r="N72" s="71">
        <v>45652</v>
      </c>
      <c r="O72" s="71">
        <v>45652</v>
      </c>
      <c r="P72" s="64" t="str">
        <f ca="1">IF(Proc[[#This Row],[DaysAgeing]]&gt;5,"yep","on track")</f>
        <v>on track</v>
      </c>
      <c r="Q72" s="3">
        <f ca="1">IF(Proc[[#This Row],[DateClosed]]="",ABS(NETWORKDAYS(Proc[[#This Row],[DateOpened]],TODAY()))-1,ABS(NETWORKDAYS(Proc[[#This Row],[DateOpened]],Proc[[#This Row],[DateClosed]]))-1)</f>
        <v>4</v>
      </c>
      <c r="R72" s="64" t="s">
        <v>481</v>
      </c>
      <c r="S72" s="60"/>
    </row>
    <row r="73" spans="1:19" hidden="1">
      <c r="A73" s="62" t="s">
        <v>1365</v>
      </c>
      <c r="B73" s="149" t="str">
        <f>IFERROR(VLOOKUP(Proc[[#This Row],[App]],Table2[],3,0),"open")</f>
        <v>ok</v>
      </c>
      <c r="C73" s="62" t="s">
        <v>369</v>
      </c>
      <c r="D73" t="s">
        <v>1346</v>
      </c>
      <c r="E73" t="s">
        <v>1361</v>
      </c>
      <c r="F73" s="117" t="s">
        <v>1361</v>
      </c>
      <c r="G73" s="62" t="s">
        <v>406</v>
      </c>
      <c r="H73" s="60" t="str">
        <f>IF(Proc[[#This Row],[type]]="LFF (MDG-F)",MID(Proc[[#This Row],[Obj]],13,10),"")</f>
        <v>DE20502707</v>
      </c>
      <c r="J73" s="60" t="b">
        <f>Proc[[#This Row],[Requested]]=Proc[[#This Row],[CurrentParent]]</f>
        <v>1</v>
      </c>
      <c r="K73" s="144" t="str">
        <f>IF(Proc[[#This Row],[Author]]="Marcela Urrego",VLOOKUP(LEFT(Proc[[#This Row],[Requested]],1),Table3[#All],2,0),VLOOKUP(Proc[[#This Row],[Author]],Table4[],2,0))</f>
        <v>MGF</v>
      </c>
      <c r="L73" s="60" t="s">
        <v>401</v>
      </c>
      <c r="M73" s="71">
        <v>45646.435798611114</v>
      </c>
      <c r="N73" s="71">
        <v>45652</v>
      </c>
      <c r="O73" s="71">
        <v>45652</v>
      </c>
      <c r="P73" s="64" t="str">
        <f ca="1">IF(Proc[[#This Row],[DaysAgeing]]&gt;5,"yep","on track")</f>
        <v>on track</v>
      </c>
      <c r="Q73" s="3">
        <f ca="1">IF(Proc[[#This Row],[DateClosed]]="",ABS(NETWORKDAYS(Proc[[#This Row],[DateOpened]],TODAY()))-1,ABS(NETWORKDAYS(Proc[[#This Row],[DateOpened]],Proc[[#This Row],[DateClosed]]))-1)</f>
        <v>4</v>
      </c>
      <c r="R73" s="64" t="s">
        <v>481</v>
      </c>
      <c r="S73" s="60"/>
    </row>
    <row r="74" spans="1:19" hidden="1">
      <c r="A74" s="62" t="s">
        <v>1365</v>
      </c>
      <c r="B74" s="149" t="str">
        <f>IFERROR(VLOOKUP(Proc[[#This Row],[App]],Table2[],3,0),"open")</f>
        <v>ok</v>
      </c>
      <c r="C74" s="62" t="s">
        <v>369</v>
      </c>
      <c r="D74" t="s">
        <v>1347</v>
      </c>
      <c r="E74" t="s">
        <v>1361</v>
      </c>
      <c r="F74" s="117" t="s">
        <v>1361</v>
      </c>
      <c r="G74" s="62" t="s">
        <v>406</v>
      </c>
      <c r="H74" s="60" t="str">
        <f>IF(Proc[[#This Row],[type]]="LFF (MDG-F)",MID(Proc[[#This Row],[Obj]],13,10),"")</f>
        <v>DE20502708</v>
      </c>
      <c r="J74" s="60" t="b">
        <f>Proc[[#This Row],[Requested]]=Proc[[#This Row],[CurrentParent]]</f>
        <v>1</v>
      </c>
      <c r="K74" s="144" t="str">
        <f>IF(Proc[[#This Row],[Author]]="Marcela Urrego",VLOOKUP(LEFT(Proc[[#This Row],[Requested]],1),Table3[#All],2,0),VLOOKUP(Proc[[#This Row],[Author]],Table4[],2,0))</f>
        <v>MGF</v>
      </c>
      <c r="L74" s="60" t="s">
        <v>401</v>
      </c>
      <c r="M74" s="71">
        <v>45646.435798611114</v>
      </c>
      <c r="N74" s="71">
        <v>45652</v>
      </c>
      <c r="O74" s="71">
        <v>45652</v>
      </c>
      <c r="P74" s="64" t="str">
        <f ca="1">IF(Proc[[#This Row],[DaysAgeing]]&gt;5,"yep","on track")</f>
        <v>on track</v>
      </c>
      <c r="Q74" s="3">
        <f ca="1">IF(Proc[[#This Row],[DateClosed]]="",ABS(NETWORKDAYS(Proc[[#This Row],[DateOpened]],TODAY()))-1,ABS(NETWORKDAYS(Proc[[#This Row],[DateOpened]],Proc[[#This Row],[DateClosed]]))-1)</f>
        <v>4</v>
      </c>
      <c r="R74" s="64" t="s">
        <v>481</v>
      </c>
      <c r="S74" s="60"/>
    </row>
    <row r="75" spans="1:19" hidden="1">
      <c r="A75" s="62" t="s">
        <v>1365</v>
      </c>
      <c r="B75" s="149" t="str">
        <f>IFERROR(VLOOKUP(Proc[[#This Row],[App]],Table2[],3,0),"open")</f>
        <v>ok</v>
      </c>
      <c r="C75" s="62" t="s">
        <v>369</v>
      </c>
      <c r="D75" t="s">
        <v>1348</v>
      </c>
      <c r="E75" t="s">
        <v>1361</v>
      </c>
      <c r="F75" s="117" t="s">
        <v>1361</v>
      </c>
      <c r="G75" s="62" t="s">
        <v>406</v>
      </c>
      <c r="H75" s="60" t="str">
        <f>IF(Proc[[#This Row],[type]]="LFF (MDG-F)",MID(Proc[[#This Row],[Obj]],13,10),"")</f>
        <v>DE20502709</v>
      </c>
      <c r="J75" s="60" t="b">
        <f>Proc[[#This Row],[Requested]]=Proc[[#This Row],[CurrentParent]]</f>
        <v>1</v>
      </c>
      <c r="K75" s="144" t="str">
        <f>IF(Proc[[#This Row],[Author]]="Marcela Urrego",VLOOKUP(LEFT(Proc[[#This Row],[Requested]],1),Table3[#All],2,0),VLOOKUP(Proc[[#This Row],[Author]],Table4[],2,0))</f>
        <v>MGF</v>
      </c>
      <c r="L75" s="60" t="s">
        <v>401</v>
      </c>
      <c r="M75" s="71">
        <v>45646.435798611114</v>
      </c>
      <c r="N75" s="71">
        <v>45652</v>
      </c>
      <c r="O75" s="71">
        <v>45652</v>
      </c>
      <c r="P75" s="64" t="str">
        <f ca="1">IF(Proc[[#This Row],[DaysAgeing]]&gt;5,"yep","on track")</f>
        <v>on track</v>
      </c>
      <c r="Q75" s="3">
        <f ca="1">IF(Proc[[#This Row],[DateClosed]]="",ABS(NETWORKDAYS(Proc[[#This Row],[DateOpened]],TODAY()))-1,ABS(NETWORKDAYS(Proc[[#This Row],[DateOpened]],Proc[[#This Row],[DateClosed]]))-1)</f>
        <v>4</v>
      </c>
      <c r="R75" s="64" t="s">
        <v>481</v>
      </c>
      <c r="S75" s="60"/>
    </row>
    <row r="76" spans="1:19" hidden="1">
      <c r="A76" s="62" t="s">
        <v>1365</v>
      </c>
      <c r="B76" s="149" t="str">
        <f>IFERROR(VLOOKUP(Proc[[#This Row],[App]],Table2[],3,0),"open")</f>
        <v>ok</v>
      </c>
      <c r="C76" s="62" t="s">
        <v>369</v>
      </c>
      <c r="D76" t="s">
        <v>1349</v>
      </c>
      <c r="E76" t="s">
        <v>1362</v>
      </c>
      <c r="F76" s="117" t="s">
        <v>1362</v>
      </c>
      <c r="G76" s="62" t="s">
        <v>406</v>
      </c>
      <c r="H76" s="60" t="str">
        <f>IF(Proc[[#This Row],[type]]="LFF (MDG-F)",MID(Proc[[#This Row],[Obj]],13,10),"")</f>
        <v>DE20503603</v>
      </c>
      <c r="J76" s="60" t="b">
        <f>Proc[[#This Row],[Requested]]=Proc[[#This Row],[CurrentParent]]</f>
        <v>1</v>
      </c>
      <c r="K76" s="144" t="str">
        <f>IF(Proc[[#This Row],[Author]]="Marcela Urrego",VLOOKUP(LEFT(Proc[[#This Row],[Requested]],1),Table3[#All],2,0),VLOOKUP(Proc[[#This Row],[Author]],Table4[],2,0))</f>
        <v>MGF</v>
      </c>
      <c r="L76" s="60" t="s">
        <v>401</v>
      </c>
      <c r="M76" s="71">
        <v>45646.435798611114</v>
      </c>
      <c r="N76" s="71">
        <v>45652</v>
      </c>
      <c r="O76" s="71">
        <v>45652</v>
      </c>
      <c r="P76" s="64" t="str">
        <f ca="1">IF(Proc[[#This Row],[DaysAgeing]]&gt;5,"yep","on track")</f>
        <v>on track</v>
      </c>
      <c r="Q76" s="3">
        <f ca="1">IF(Proc[[#This Row],[DateClosed]]="",ABS(NETWORKDAYS(Proc[[#This Row],[DateOpened]],TODAY()))-1,ABS(NETWORKDAYS(Proc[[#This Row],[DateOpened]],Proc[[#This Row],[DateClosed]]))-1)</f>
        <v>4</v>
      </c>
      <c r="R76" s="64" t="s">
        <v>481</v>
      </c>
      <c r="S76" s="60"/>
    </row>
    <row r="77" spans="1:19" hidden="1">
      <c r="A77" s="62" t="s">
        <v>1365</v>
      </c>
      <c r="B77" s="149" t="str">
        <f>IFERROR(VLOOKUP(Proc[[#This Row],[App]],Table2[],3,0),"open")</f>
        <v>ok</v>
      </c>
      <c r="C77" s="62" t="s">
        <v>369</v>
      </c>
      <c r="D77" t="s">
        <v>1350</v>
      </c>
      <c r="E77" t="s">
        <v>1362</v>
      </c>
      <c r="F77" s="117" t="s">
        <v>1362</v>
      </c>
      <c r="G77" s="62" t="s">
        <v>406</v>
      </c>
      <c r="H77" s="60" t="str">
        <f>IF(Proc[[#This Row],[type]]="LFF (MDG-F)",MID(Proc[[#This Row],[Obj]],13,10),"")</f>
        <v>DE20503604</v>
      </c>
      <c r="J77" s="60" t="b">
        <f>Proc[[#This Row],[Requested]]=Proc[[#This Row],[CurrentParent]]</f>
        <v>1</v>
      </c>
      <c r="K77" s="144" t="str">
        <f>IF(Proc[[#This Row],[Author]]="Marcela Urrego",VLOOKUP(LEFT(Proc[[#This Row],[Requested]],1),Table3[#All],2,0),VLOOKUP(Proc[[#This Row],[Author]],Table4[],2,0))</f>
        <v>MGF</v>
      </c>
      <c r="L77" s="60" t="s">
        <v>401</v>
      </c>
      <c r="M77" s="71">
        <v>45646.435798611114</v>
      </c>
      <c r="N77" s="71">
        <v>45652</v>
      </c>
      <c r="O77" s="71">
        <v>45652</v>
      </c>
      <c r="P77" s="64" t="str">
        <f ca="1">IF(Proc[[#This Row],[DaysAgeing]]&gt;5,"yep","on track")</f>
        <v>on track</v>
      </c>
      <c r="Q77" s="3">
        <f ca="1">IF(Proc[[#This Row],[DateClosed]]="",ABS(NETWORKDAYS(Proc[[#This Row],[DateOpened]],TODAY()))-1,ABS(NETWORKDAYS(Proc[[#This Row],[DateOpened]],Proc[[#This Row],[DateClosed]]))-1)</f>
        <v>4</v>
      </c>
      <c r="R77" s="64" t="s">
        <v>481</v>
      </c>
      <c r="S77" s="60"/>
    </row>
    <row r="78" spans="1:19" hidden="1">
      <c r="A78" s="62" t="s">
        <v>1365</v>
      </c>
      <c r="B78" s="149" t="str">
        <f>IFERROR(VLOOKUP(Proc[[#This Row],[App]],Table2[],3,0),"open")</f>
        <v>ok</v>
      </c>
      <c r="C78" s="62" t="s">
        <v>369</v>
      </c>
      <c r="D78" t="s">
        <v>1351</v>
      </c>
      <c r="E78" t="s">
        <v>1362</v>
      </c>
      <c r="F78" s="117" t="s">
        <v>1362</v>
      </c>
      <c r="G78" s="62" t="s">
        <v>406</v>
      </c>
      <c r="H78" s="60" t="str">
        <f>IF(Proc[[#This Row],[type]]="LFF (MDG-F)",MID(Proc[[#This Row],[Obj]],13,10),"")</f>
        <v>DE20503605</v>
      </c>
      <c r="J78" s="60" t="b">
        <f>Proc[[#This Row],[Requested]]=Proc[[#This Row],[CurrentParent]]</f>
        <v>1</v>
      </c>
      <c r="K78" s="144" t="str">
        <f>IF(Proc[[#This Row],[Author]]="Marcela Urrego",VLOOKUP(LEFT(Proc[[#This Row],[Requested]],1),Table3[#All],2,0),VLOOKUP(Proc[[#This Row],[Author]],Table4[],2,0))</f>
        <v>MGF</v>
      </c>
      <c r="L78" s="60" t="s">
        <v>401</v>
      </c>
      <c r="M78" s="71">
        <v>45646.435798611114</v>
      </c>
      <c r="N78" s="71">
        <v>45652</v>
      </c>
      <c r="O78" s="71">
        <v>45652</v>
      </c>
      <c r="P78" s="64" t="str">
        <f ca="1">IF(Proc[[#This Row],[DaysAgeing]]&gt;5,"yep","on track")</f>
        <v>on track</v>
      </c>
      <c r="Q78" s="3">
        <f ca="1">IF(Proc[[#This Row],[DateClosed]]="",ABS(NETWORKDAYS(Proc[[#This Row],[DateOpened]],TODAY()))-1,ABS(NETWORKDAYS(Proc[[#This Row],[DateOpened]],Proc[[#This Row],[DateClosed]]))-1)</f>
        <v>4</v>
      </c>
      <c r="R78" s="64" t="s">
        <v>481</v>
      </c>
      <c r="S78" s="60"/>
    </row>
    <row r="79" spans="1:19" hidden="1">
      <c r="A79" s="62" t="s">
        <v>1365</v>
      </c>
      <c r="B79" s="149" t="str">
        <f>IFERROR(VLOOKUP(Proc[[#This Row],[App]],Table2[],3,0),"open")</f>
        <v>ok</v>
      </c>
      <c r="C79" s="62" t="s">
        <v>369</v>
      </c>
      <c r="D79" t="s">
        <v>1352</v>
      </c>
      <c r="E79" t="s">
        <v>1362</v>
      </c>
      <c r="F79" s="117" t="s">
        <v>1362</v>
      </c>
      <c r="G79" s="62" t="s">
        <v>406</v>
      </c>
      <c r="H79" s="60" t="str">
        <f>IF(Proc[[#This Row],[type]]="LFF (MDG-F)",MID(Proc[[#This Row],[Obj]],13,10),"")</f>
        <v>DE20503606</v>
      </c>
      <c r="J79" s="60" t="b">
        <f>Proc[[#This Row],[Requested]]=Proc[[#This Row],[CurrentParent]]</f>
        <v>1</v>
      </c>
      <c r="K79" s="144" t="str">
        <f>IF(Proc[[#This Row],[Author]]="Marcela Urrego",VLOOKUP(LEFT(Proc[[#This Row],[Requested]],1),Table3[#All],2,0),VLOOKUP(Proc[[#This Row],[Author]],Table4[],2,0))</f>
        <v>MGF</v>
      </c>
      <c r="L79" s="60" t="s">
        <v>401</v>
      </c>
      <c r="M79" s="71">
        <v>45646.435798611114</v>
      </c>
      <c r="N79" s="71">
        <v>45652</v>
      </c>
      <c r="O79" s="71">
        <v>45652</v>
      </c>
      <c r="P79" s="64" t="str">
        <f ca="1">IF(Proc[[#This Row],[DaysAgeing]]&gt;5,"yep","on track")</f>
        <v>on track</v>
      </c>
      <c r="Q79" s="3">
        <f ca="1">IF(Proc[[#This Row],[DateClosed]]="",ABS(NETWORKDAYS(Proc[[#This Row],[DateOpened]],TODAY()))-1,ABS(NETWORKDAYS(Proc[[#This Row],[DateOpened]],Proc[[#This Row],[DateClosed]]))-1)</f>
        <v>4</v>
      </c>
      <c r="R79" s="64" t="s">
        <v>481</v>
      </c>
      <c r="S79" s="60"/>
    </row>
    <row r="80" spans="1:19" hidden="1">
      <c r="A80" s="62" t="s">
        <v>1365</v>
      </c>
      <c r="B80" s="149" t="str">
        <f>IFERROR(VLOOKUP(Proc[[#This Row],[App]],Table2[],3,0),"open")</f>
        <v>ok</v>
      </c>
      <c r="C80" s="62" t="s">
        <v>369</v>
      </c>
      <c r="D80" t="s">
        <v>1353</v>
      </c>
      <c r="E80" t="s">
        <v>1363</v>
      </c>
      <c r="F80" s="117" t="s">
        <v>1363</v>
      </c>
      <c r="G80" s="62" t="s">
        <v>406</v>
      </c>
      <c r="H80" s="60" t="str">
        <f>IF(Proc[[#This Row],[type]]="LFF (MDG-F)",MID(Proc[[#This Row],[Obj]],13,10),"")</f>
        <v>DE20538105</v>
      </c>
      <c r="J80" s="60" t="b">
        <f>Proc[[#This Row],[Requested]]=Proc[[#This Row],[CurrentParent]]</f>
        <v>1</v>
      </c>
      <c r="K80" s="144" t="str">
        <f>IF(Proc[[#This Row],[Author]]="Marcela Urrego",VLOOKUP(LEFT(Proc[[#This Row],[Requested]],1),Table3[#All],2,0),VLOOKUP(Proc[[#This Row],[Author]],Table4[],2,0))</f>
        <v>MGF</v>
      </c>
      <c r="L80" s="60" t="s">
        <v>401</v>
      </c>
      <c r="M80" s="71">
        <v>45646.435798611114</v>
      </c>
      <c r="N80" s="71">
        <v>45652</v>
      </c>
      <c r="O80" s="71">
        <v>45652</v>
      </c>
      <c r="P80" s="64" t="str">
        <f ca="1">IF(Proc[[#This Row],[DaysAgeing]]&gt;5,"yep","on track")</f>
        <v>on track</v>
      </c>
      <c r="Q80" s="3">
        <f ca="1">IF(Proc[[#This Row],[DateClosed]]="",ABS(NETWORKDAYS(Proc[[#This Row],[DateOpened]],TODAY()))-1,ABS(NETWORKDAYS(Proc[[#This Row],[DateOpened]],Proc[[#This Row],[DateClosed]]))-1)</f>
        <v>4</v>
      </c>
      <c r="R80" s="64" t="s">
        <v>481</v>
      </c>
      <c r="S80" s="60"/>
    </row>
    <row r="81" spans="1:19" hidden="1">
      <c r="A81" s="62" t="s">
        <v>1365</v>
      </c>
      <c r="B81" s="149" t="str">
        <f>IFERROR(VLOOKUP(Proc[[#This Row],[App]],Table2[],3,0),"open")</f>
        <v>ok</v>
      </c>
      <c r="C81" s="62" t="s">
        <v>369</v>
      </c>
      <c r="D81" t="s">
        <v>1354</v>
      </c>
      <c r="E81" t="s">
        <v>1363</v>
      </c>
      <c r="F81" s="117" t="s">
        <v>1363</v>
      </c>
      <c r="G81" s="62" t="s">
        <v>406</v>
      </c>
      <c r="H81" s="60" t="str">
        <f>IF(Proc[[#This Row],[type]]="LFF (MDG-F)",MID(Proc[[#This Row],[Obj]],13,10),"")</f>
        <v>DE20538155</v>
      </c>
      <c r="J81" s="60" t="b">
        <f>Proc[[#This Row],[Requested]]=Proc[[#This Row],[CurrentParent]]</f>
        <v>1</v>
      </c>
      <c r="K81" s="144" t="str">
        <f>IF(Proc[[#This Row],[Author]]="Marcela Urrego",VLOOKUP(LEFT(Proc[[#This Row],[Requested]],1),Table3[#All],2,0),VLOOKUP(Proc[[#This Row],[Author]],Table4[],2,0))</f>
        <v>MGF</v>
      </c>
      <c r="L81" s="60" t="s">
        <v>401</v>
      </c>
      <c r="M81" s="71">
        <v>45646.435798611114</v>
      </c>
      <c r="N81" s="71">
        <v>45652</v>
      </c>
      <c r="O81" s="71">
        <v>45652</v>
      </c>
      <c r="P81" s="64" t="str">
        <f ca="1">IF(Proc[[#This Row],[DaysAgeing]]&gt;5,"yep","on track")</f>
        <v>on track</v>
      </c>
      <c r="Q81" s="3">
        <f ca="1">IF(Proc[[#This Row],[DateClosed]]="",ABS(NETWORKDAYS(Proc[[#This Row],[DateOpened]],TODAY()))-1,ABS(NETWORKDAYS(Proc[[#This Row],[DateOpened]],Proc[[#This Row],[DateClosed]]))-1)</f>
        <v>4</v>
      </c>
      <c r="R81" s="64" t="s">
        <v>481</v>
      </c>
      <c r="S81" s="60"/>
    </row>
    <row r="82" spans="1:19" hidden="1">
      <c r="A82" s="62" t="s">
        <v>1365</v>
      </c>
      <c r="B82" s="149" t="str">
        <f>IFERROR(VLOOKUP(Proc[[#This Row],[App]],Table2[],3,0),"open")</f>
        <v>ok</v>
      </c>
      <c r="C82" s="62" t="s">
        <v>369</v>
      </c>
      <c r="D82" t="s">
        <v>1355</v>
      </c>
      <c r="E82" t="s">
        <v>1360</v>
      </c>
      <c r="F82" s="117" t="s">
        <v>1360</v>
      </c>
      <c r="G82" s="62" t="s">
        <v>406</v>
      </c>
      <c r="H82" s="60" t="str">
        <f>IF(Proc[[#This Row],[type]]="LFF (MDG-F)",MID(Proc[[#This Row],[Obj]],13,10),"")</f>
        <v>DE20538336</v>
      </c>
      <c r="J82" s="60" t="b">
        <f>Proc[[#This Row],[Requested]]=Proc[[#This Row],[CurrentParent]]</f>
        <v>1</v>
      </c>
      <c r="K82" s="144" t="str">
        <f>IF(Proc[[#This Row],[Author]]="Marcela Urrego",VLOOKUP(LEFT(Proc[[#This Row],[Requested]],1),Table3[#All],2,0),VLOOKUP(Proc[[#This Row],[Author]],Table4[],2,0))</f>
        <v>MGF</v>
      </c>
      <c r="L82" s="60" t="s">
        <v>401</v>
      </c>
      <c r="M82" s="71">
        <v>45646.435798611114</v>
      </c>
      <c r="N82" s="71">
        <v>45652</v>
      </c>
      <c r="O82" s="71">
        <v>45652</v>
      </c>
      <c r="P82" s="64" t="str">
        <f ca="1">IF(Proc[[#This Row],[DaysAgeing]]&gt;5,"yep","on track")</f>
        <v>on track</v>
      </c>
      <c r="Q82" s="3">
        <f ca="1">IF(Proc[[#This Row],[DateClosed]]="",ABS(NETWORKDAYS(Proc[[#This Row],[DateOpened]],TODAY()))-1,ABS(NETWORKDAYS(Proc[[#This Row],[DateOpened]],Proc[[#This Row],[DateClosed]]))-1)</f>
        <v>4</v>
      </c>
      <c r="R82" s="64" t="s">
        <v>481</v>
      </c>
      <c r="S82" s="60"/>
    </row>
    <row r="83" spans="1:19" hidden="1">
      <c r="A83" s="62" t="s">
        <v>1365</v>
      </c>
      <c r="B83" s="149" t="str">
        <f>IFERROR(VLOOKUP(Proc[[#This Row],[App]],Table2[],3,0),"open")</f>
        <v>ok</v>
      </c>
      <c r="C83" s="62" t="s">
        <v>369</v>
      </c>
      <c r="D83" t="s">
        <v>1356</v>
      </c>
      <c r="E83" t="s">
        <v>1363</v>
      </c>
      <c r="F83" s="117" t="s">
        <v>1363</v>
      </c>
      <c r="G83" s="62" t="s">
        <v>406</v>
      </c>
      <c r="H83" s="60" t="str">
        <f>IF(Proc[[#This Row],[type]]="LFF (MDG-F)",MID(Proc[[#This Row],[Obj]],13,10),"")</f>
        <v>DE20538520</v>
      </c>
      <c r="J83" s="60" t="b">
        <f>Proc[[#This Row],[Requested]]=Proc[[#This Row],[CurrentParent]]</f>
        <v>1</v>
      </c>
      <c r="K83" s="144" t="str">
        <f>IF(Proc[[#This Row],[Author]]="Marcela Urrego",VLOOKUP(LEFT(Proc[[#This Row],[Requested]],1),Table3[#All],2,0),VLOOKUP(Proc[[#This Row],[Author]],Table4[],2,0))</f>
        <v>MGF</v>
      </c>
      <c r="L83" s="60" t="s">
        <v>401</v>
      </c>
      <c r="M83" s="71">
        <v>45646.435798611114</v>
      </c>
      <c r="N83" s="71">
        <v>45652</v>
      </c>
      <c r="O83" s="71">
        <v>45652</v>
      </c>
      <c r="P83" s="64" t="str">
        <f ca="1">IF(Proc[[#This Row],[DaysAgeing]]&gt;5,"yep","on track")</f>
        <v>on track</v>
      </c>
      <c r="Q83" s="3">
        <f ca="1">IF(Proc[[#This Row],[DateClosed]]="",ABS(NETWORKDAYS(Proc[[#This Row],[DateOpened]],TODAY()))-1,ABS(NETWORKDAYS(Proc[[#This Row],[DateOpened]],Proc[[#This Row],[DateClosed]]))-1)</f>
        <v>4</v>
      </c>
      <c r="R83" s="64" t="s">
        <v>481</v>
      </c>
      <c r="S83" s="60"/>
    </row>
    <row r="84" spans="1:19" hidden="1">
      <c r="A84" s="62" t="s">
        <v>1365</v>
      </c>
      <c r="B84" s="149" t="str">
        <f>IFERROR(VLOOKUP(Proc[[#This Row],[App]],Table2[],3,0),"open")</f>
        <v>ok</v>
      </c>
      <c r="C84" s="62" t="s">
        <v>369</v>
      </c>
      <c r="D84" t="s">
        <v>1357</v>
      </c>
      <c r="E84" t="s">
        <v>1363</v>
      </c>
      <c r="F84" s="117" t="s">
        <v>1363</v>
      </c>
      <c r="G84" s="62" t="s">
        <v>406</v>
      </c>
      <c r="H84" s="60" t="str">
        <f>IF(Proc[[#This Row],[type]]="LFF (MDG-F)",MID(Proc[[#This Row],[Obj]],13,10),"")</f>
        <v>DE20538527</v>
      </c>
      <c r="J84" s="60" t="b">
        <f>Proc[[#This Row],[Requested]]=Proc[[#This Row],[CurrentParent]]</f>
        <v>1</v>
      </c>
      <c r="K84" s="144" t="str">
        <f>IF(Proc[[#This Row],[Author]]="Marcela Urrego",VLOOKUP(LEFT(Proc[[#This Row],[Requested]],1),Table3[#All],2,0),VLOOKUP(Proc[[#This Row],[Author]],Table4[],2,0))</f>
        <v>MGF</v>
      </c>
      <c r="L84" s="60" t="s">
        <v>401</v>
      </c>
      <c r="M84" s="71">
        <v>45646.435798611114</v>
      </c>
      <c r="N84" s="71">
        <v>45652</v>
      </c>
      <c r="O84" s="71">
        <v>45652</v>
      </c>
      <c r="P84" s="64" t="str">
        <f ca="1">IF(Proc[[#This Row],[DaysAgeing]]&gt;5,"yep","on track")</f>
        <v>on track</v>
      </c>
      <c r="Q84" s="3">
        <f ca="1">IF(Proc[[#This Row],[DateClosed]]="",ABS(NETWORKDAYS(Proc[[#This Row],[DateOpened]],TODAY()))-1,ABS(NETWORKDAYS(Proc[[#This Row],[DateOpened]],Proc[[#This Row],[DateClosed]]))-1)</f>
        <v>4</v>
      </c>
      <c r="R84" s="64" t="s">
        <v>481</v>
      </c>
      <c r="S84" s="60"/>
    </row>
    <row r="85" spans="1:19" hidden="1">
      <c r="A85" s="62" t="s">
        <v>1365</v>
      </c>
      <c r="B85" s="149" t="str">
        <f>IFERROR(VLOOKUP(Proc[[#This Row],[App]],Table2[],3,0),"open")</f>
        <v>ok</v>
      </c>
      <c r="C85" s="62" t="s">
        <v>369</v>
      </c>
      <c r="D85" t="s">
        <v>514</v>
      </c>
      <c r="E85" t="s">
        <v>1364</v>
      </c>
      <c r="F85" s="117" t="s">
        <v>1364</v>
      </c>
      <c r="G85" s="62" t="s">
        <v>406</v>
      </c>
      <c r="H85" s="60" t="str">
        <f>IF(Proc[[#This Row],[type]]="LFF (MDG-F)",MID(Proc[[#This Row],[Obj]],13,10),"")</f>
        <v>DE20588102</v>
      </c>
      <c r="J85" s="60" t="b">
        <f>Proc[[#This Row],[Requested]]=Proc[[#This Row],[CurrentParent]]</f>
        <v>1</v>
      </c>
      <c r="K85" s="144" t="str">
        <f>IF(Proc[[#This Row],[Author]]="Marcela Urrego",VLOOKUP(LEFT(Proc[[#This Row],[Requested]],1),Table3[#All],2,0),VLOOKUP(Proc[[#This Row],[Author]],Table4[],2,0))</f>
        <v>MGF</v>
      </c>
      <c r="L85" s="60" t="s">
        <v>401</v>
      </c>
      <c r="M85" s="71">
        <v>45646.435798611114</v>
      </c>
      <c r="N85" s="71">
        <v>45652</v>
      </c>
      <c r="O85" s="71">
        <v>45652</v>
      </c>
      <c r="P85" s="64" t="str">
        <f ca="1">IF(Proc[[#This Row],[DaysAgeing]]&gt;5,"yep","on track")</f>
        <v>on track</v>
      </c>
      <c r="Q85" s="3">
        <f ca="1">IF(Proc[[#This Row],[DateClosed]]="",ABS(NETWORKDAYS(Proc[[#This Row],[DateOpened]],TODAY()))-1,ABS(NETWORKDAYS(Proc[[#This Row],[DateOpened]],Proc[[#This Row],[DateClosed]]))-1)</f>
        <v>4</v>
      </c>
      <c r="R85" s="64" t="s">
        <v>481</v>
      </c>
      <c r="S85" s="60"/>
    </row>
    <row r="86" spans="1:19" hidden="1">
      <c r="A86" t="s">
        <v>1389</v>
      </c>
      <c r="B86" s="149" t="str">
        <f>IFERROR(VLOOKUP(Proc[[#This Row],[App]],Table2[],3,0),"open")</f>
        <v>ok</v>
      </c>
      <c r="C86" t="s">
        <v>369</v>
      </c>
      <c r="D86" t="s">
        <v>1387</v>
      </c>
      <c r="E86" t="s">
        <v>1250</v>
      </c>
      <c r="F86" s="117" t="s">
        <v>1250</v>
      </c>
      <c r="G86" t="s">
        <v>400</v>
      </c>
      <c r="H86" s="60" t="str">
        <f>IF(Proc[[#This Row],[type]]="LFF (MDG-F)",MID(Proc[[#This Row],[Obj]],13,10),"")</f>
        <v/>
      </c>
      <c r="I86" t="s">
        <v>1420</v>
      </c>
      <c r="J86" s="60" t="b">
        <f>Proc[[#This Row],[Requested]]=Proc[[#This Row],[CurrentParent]]</f>
        <v>1</v>
      </c>
      <c r="K86" s="144" t="str">
        <f>IF(Proc[[#This Row],[Author]]="Marcela Urrego",VLOOKUP(LEFT(Proc[[#This Row],[Requested]],1),Table3[#All],2,0),VLOOKUP(Proc[[#This Row],[Author]],Table4[],2,0))</f>
        <v>MGF</v>
      </c>
      <c r="L86" s="60" t="s">
        <v>401</v>
      </c>
      <c r="M86" s="71">
        <v>45646.551979166667</v>
      </c>
      <c r="N86" s="71">
        <v>45652</v>
      </c>
      <c r="O86" s="71">
        <v>45652</v>
      </c>
      <c r="P86" s="64" t="str">
        <f ca="1">IF(Proc[[#This Row],[DaysAgeing]]&gt;5,"yep","on track")</f>
        <v>on track</v>
      </c>
      <c r="Q86" s="3">
        <f ca="1">IF(Proc[[#This Row],[DateClosed]]="",ABS(NETWORKDAYS(Proc[[#This Row],[DateOpened]],TODAY()))-1,ABS(NETWORKDAYS(Proc[[#This Row],[DateOpened]],Proc[[#This Row],[DateClosed]]))-1)</f>
        <v>4</v>
      </c>
      <c r="R86" s="64" t="s">
        <v>1076</v>
      </c>
      <c r="S86" s="60"/>
    </row>
    <row r="87" spans="1:19" hidden="1">
      <c r="A87" s="62" t="s">
        <v>1389</v>
      </c>
      <c r="B87" s="149" t="str">
        <f>IFERROR(VLOOKUP(Proc[[#This Row],[App]],Table2[],3,0),"open")</f>
        <v>ok</v>
      </c>
      <c r="C87" s="62" t="s">
        <v>369</v>
      </c>
      <c r="D87" t="s">
        <v>1388</v>
      </c>
      <c r="E87" t="s">
        <v>1251</v>
      </c>
      <c r="F87" s="117" t="s">
        <v>1251</v>
      </c>
      <c r="G87" s="62" t="s">
        <v>400</v>
      </c>
      <c r="H87" s="60" t="str">
        <f>IF(Proc[[#This Row],[type]]="LFF (MDG-F)",MID(Proc[[#This Row],[Obj]],13,10),"")</f>
        <v/>
      </c>
      <c r="I87" t="s">
        <v>1198</v>
      </c>
      <c r="J87" s="60" t="b">
        <f>Proc[[#This Row],[Requested]]=Proc[[#This Row],[CurrentParent]]</f>
        <v>1</v>
      </c>
      <c r="K87" s="144" t="str">
        <f>IF(Proc[[#This Row],[Author]]="Marcela Urrego",VLOOKUP(LEFT(Proc[[#This Row],[Requested]],1),Table3[#All],2,0),VLOOKUP(Proc[[#This Row],[Author]],Table4[],2,0))</f>
        <v>MGF</v>
      </c>
      <c r="L87" s="60" t="s">
        <v>401</v>
      </c>
      <c r="M87" s="71">
        <v>45646.551979166667</v>
      </c>
      <c r="P87" s="64" t="str">
        <f ca="1">IF(Proc[[#This Row],[DaysAgeing]]&gt;5,"yep","on track")</f>
        <v>yep</v>
      </c>
      <c r="Q87" s="3">
        <f ca="1">IF(Proc[[#This Row],[DateClosed]]="",ABS(NETWORKDAYS(Proc[[#This Row],[DateOpened]],TODAY()))-1,ABS(NETWORKDAYS(Proc[[#This Row],[DateOpened]],Proc[[#This Row],[DateClosed]]))-1)</f>
        <v>260</v>
      </c>
      <c r="R87" s="64" t="s">
        <v>1076</v>
      </c>
      <c r="S87" s="60"/>
    </row>
    <row r="88" spans="1:19" hidden="1">
      <c r="A88" s="62" t="s">
        <v>1389</v>
      </c>
      <c r="B88" s="149" t="str">
        <f>IFERROR(VLOOKUP(Proc[[#This Row],[App]],Table2[],3,0),"open")</f>
        <v>ok</v>
      </c>
      <c r="C88" s="62" t="s">
        <v>369</v>
      </c>
      <c r="D88" t="s">
        <v>1387</v>
      </c>
      <c r="E88" t="s">
        <v>850</v>
      </c>
      <c r="F88" s="117" t="s">
        <v>850</v>
      </c>
      <c r="G88" s="62" t="s">
        <v>400</v>
      </c>
      <c r="H88" s="60" t="str">
        <f>IF(Proc[[#This Row],[type]]="LFF (MDG-F)",MID(Proc[[#This Row],[Obj]],13,10),"")</f>
        <v/>
      </c>
      <c r="I88" t="s">
        <v>1420</v>
      </c>
      <c r="J88" s="60" t="b">
        <f>Proc[[#This Row],[Requested]]=Proc[[#This Row],[CurrentParent]]</f>
        <v>1</v>
      </c>
      <c r="K88" s="144" t="str">
        <f>IF(Proc[[#This Row],[Author]]="Marcela Urrego",VLOOKUP(LEFT(Proc[[#This Row],[Requested]],1),Table3[#All],2,0),VLOOKUP(Proc[[#This Row],[Author]],Table4[],2,0))</f>
        <v>MGF</v>
      </c>
      <c r="L88" s="60" t="s">
        <v>401</v>
      </c>
      <c r="M88" s="71">
        <v>45646.551979166667</v>
      </c>
      <c r="N88" s="71">
        <v>45652</v>
      </c>
      <c r="O88" s="71">
        <v>45652</v>
      </c>
      <c r="P88" s="64" t="str">
        <f ca="1">IF(Proc[[#This Row],[DaysAgeing]]&gt;5,"yep","on track")</f>
        <v>on track</v>
      </c>
      <c r="Q88" s="3">
        <f ca="1">IF(Proc[[#This Row],[DateClosed]]="",ABS(NETWORKDAYS(Proc[[#This Row],[DateOpened]],TODAY()))-1,ABS(NETWORKDAYS(Proc[[#This Row],[DateOpened]],Proc[[#This Row],[DateClosed]]))-1)</f>
        <v>4</v>
      </c>
      <c r="R88" s="64" t="s">
        <v>1076</v>
      </c>
      <c r="S88" s="60"/>
    </row>
    <row r="89" spans="1:19" hidden="1">
      <c r="A89" s="62" t="s">
        <v>1366</v>
      </c>
      <c r="B89" s="149" t="str">
        <f>IFERROR(VLOOKUP(Proc[[#This Row],[App]],Table2[],3,0),"open")</f>
        <v>ok</v>
      </c>
      <c r="C89" s="62" t="s">
        <v>369</v>
      </c>
      <c r="D89" t="s">
        <v>1367</v>
      </c>
      <c r="E89" t="s">
        <v>565</v>
      </c>
      <c r="F89" s="117" t="s">
        <v>565</v>
      </c>
      <c r="G89" s="62" t="s">
        <v>400</v>
      </c>
      <c r="H89" s="60" t="str">
        <f>IF(Proc[[#This Row],[type]]="LFF (MDG-F)",MID(Proc[[#This Row],[Obj]],13,10),"")</f>
        <v/>
      </c>
      <c r="J89" s="60" t="b">
        <f>Proc[[#This Row],[Requested]]=Proc[[#This Row],[CurrentParent]]</f>
        <v>1</v>
      </c>
      <c r="K89" s="144" t="str">
        <f>IF(Proc[[#This Row],[Author]]="Marcela Urrego",VLOOKUP(LEFT(Proc[[#This Row],[Requested]],1),Table3[#All],2,0),VLOOKUP(Proc[[#This Row],[Author]],Table4[],2,0))</f>
        <v>LS</v>
      </c>
      <c r="L89" s="60" t="s">
        <v>401</v>
      </c>
      <c r="M89" s="71">
        <v>45647.538819444446</v>
      </c>
      <c r="N89" s="71">
        <v>45652</v>
      </c>
      <c r="O89" s="71">
        <v>45652</v>
      </c>
      <c r="P89" s="64" t="str">
        <f ca="1">IF(Proc[[#This Row],[DaysAgeing]]&gt;5,"yep","on track")</f>
        <v>on track</v>
      </c>
      <c r="Q89" s="3">
        <f ca="1">IF(Proc[[#This Row],[DateClosed]]="",ABS(NETWORKDAYS(Proc[[#This Row],[DateOpened]],TODAY()))-1,ABS(NETWORKDAYS(Proc[[#This Row],[DateOpened]],Proc[[#This Row],[DateClosed]]))-1)</f>
        <v>3</v>
      </c>
      <c r="R89" s="64" t="s">
        <v>489</v>
      </c>
      <c r="S89" s="60"/>
    </row>
    <row r="90" spans="1:19" hidden="1">
      <c r="A90" s="62" t="s">
        <v>1366</v>
      </c>
      <c r="B90" s="149" t="str">
        <f>IFERROR(VLOOKUP(Proc[[#This Row],[App]],Table2[],3,0),"open")</f>
        <v>ok</v>
      </c>
      <c r="C90" s="62" t="s">
        <v>369</v>
      </c>
      <c r="D90" t="s">
        <v>1368</v>
      </c>
      <c r="E90" t="s">
        <v>1044</v>
      </c>
      <c r="F90" s="117" t="s">
        <v>1044</v>
      </c>
      <c r="G90" s="62" t="s">
        <v>400</v>
      </c>
      <c r="H90" s="60" t="str">
        <f>IF(Proc[[#This Row],[type]]="LFF (MDG-F)",MID(Proc[[#This Row],[Obj]],13,10),"")</f>
        <v/>
      </c>
      <c r="J90" s="60" t="b">
        <f>Proc[[#This Row],[Requested]]=Proc[[#This Row],[CurrentParent]]</f>
        <v>1</v>
      </c>
      <c r="K90" s="144" t="str">
        <f>IF(Proc[[#This Row],[Author]]="Marcela Urrego",VLOOKUP(LEFT(Proc[[#This Row],[Requested]],1),Table3[#All],2,0),VLOOKUP(Proc[[#This Row],[Author]],Table4[],2,0))</f>
        <v>LS</v>
      </c>
      <c r="L90" s="60" t="s">
        <v>401</v>
      </c>
      <c r="M90" s="71">
        <v>45647.538819444446</v>
      </c>
      <c r="N90" s="71">
        <v>45652</v>
      </c>
      <c r="O90" s="71">
        <v>45652</v>
      </c>
      <c r="P90" s="64" t="str">
        <f ca="1">IF(Proc[[#This Row],[DaysAgeing]]&gt;5,"yep","on track")</f>
        <v>on track</v>
      </c>
      <c r="Q90" s="3">
        <f ca="1">IF(Proc[[#This Row],[DateClosed]]="",ABS(NETWORKDAYS(Proc[[#This Row],[DateOpened]],TODAY()))-1,ABS(NETWORKDAYS(Proc[[#This Row],[DateOpened]],Proc[[#This Row],[DateClosed]]))-1)</f>
        <v>3</v>
      </c>
      <c r="R90" s="64" t="s">
        <v>489</v>
      </c>
      <c r="S90" s="60"/>
    </row>
    <row r="91" spans="1:19" hidden="1">
      <c r="A91" s="62" t="s">
        <v>1366</v>
      </c>
      <c r="B91" s="149" t="str">
        <f>IFERROR(VLOOKUP(Proc[[#This Row],[App]],Table2[],3,0),"open")</f>
        <v>ok</v>
      </c>
      <c r="C91" s="62" t="s">
        <v>369</v>
      </c>
      <c r="D91" t="s">
        <v>1369</v>
      </c>
      <c r="E91" t="s">
        <v>1044</v>
      </c>
      <c r="F91" s="117" t="s">
        <v>1044</v>
      </c>
      <c r="G91" s="62" t="s">
        <v>400</v>
      </c>
      <c r="H91" s="60" t="str">
        <f>IF(Proc[[#This Row],[type]]="LFF (MDG-F)",MID(Proc[[#This Row],[Obj]],13,10),"")</f>
        <v/>
      </c>
      <c r="J91" s="60" t="b">
        <f>Proc[[#This Row],[Requested]]=Proc[[#This Row],[CurrentParent]]</f>
        <v>1</v>
      </c>
      <c r="K91" s="144" t="str">
        <f>IF(Proc[[#This Row],[Author]]="Marcela Urrego",VLOOKUP(LEFT(Proc[[#This Row],[Requested]],1),Table3[#All],2,0),VLOOKUP(Proc[[#This Row],[Author]],Table4[],2,0))</f>
        <v>LS</v>
      </c>
      <c r="L91" s="60" t="s">
        <v>401</v>
      </c>
      <c r="M91" s="71">
        <v>45647.538819444446</v>
      </c>
      <c r="N91" s="71">
        <v>45652</v>
      </c>
      <c r="O91" s="71">
        <v>45652</v>
      </c>
      <c r="P91" s="64" t="str">
        <f ca="1">IF(Proc[[#This Row],[DaysAgeing]]&gt;5,"yep","on track")</f>
        <v>on track</v>
      </c>
      <c r="Q91" s="3">
        <f ca="1">IF(Proc[[#This Row],[DateClosed]]="",ABS(NETWORKDAYS(Proc[[#This Row],[DateOpened]],TODAY()))-1,ABS(NETWORKDAYS(Proc[[#This Row],[DateOpened]],Proc[[#This Row],[DateClosed]]))-1)</f>
        <v>3</v>
      </c>
      <c r="R91" s="64" t="s">
        <v>489</v>
      </c>
      <c r="S91" s="60"/>
    </row>
    <row r="92" spans="1:19" hidden="1">
      <c r="A92" s="62" t="s">
        <v>1366</v>
      </c>
      <c r="B92" s="149" t="str">
        <f>IFERROR(VLOOKUP(Proc[[#This Row],[App]],Table2[],3,0),"open")</f>
        <v>ok</v>
      </c>
      <c r="C92" s="62" t="s">
        <v>369</v>
      </c>
      <c r="D92" t="s">
        <v>1370</v>
      </c>
      <c r="E92" t="s">
        <v>1044</v>
      </c>
      <c r="F92" s="117" t="s">
        <v>1044</v>
      </c>
      <c r="G92" s="62" t="s">
        <v>400</v>
      </c>
      <c r="H92" s="60" t="str">
        <f>IF(Proc[[#This Row],[type]]="LFF (MDG-F)",MID(Proc[[#This Row],[Obj]],13,10),"")</f>
        <v/>
      </c>
      <c r="J92" s="60" t="b">
        <f>Proc[[#This Row],[Requested]]=Proc[[#This Row],[CurrentParent]]</f>
        <v>1</v>
      </c>
      <c r="K92" s="144" t="str">
        <f>IF(Proc[[#This Row],[Author]]="Marcela Urrego",VLOOKUP(LEFT(Proc[[#This Row],[Requested]],1),Table3[#All],2,0),VLOOKUP(Proc[[#This Row],[Author]],Table4[],2,0))</f>
        <v>LS</v>
      </c>
      <c r="L92" s="60" t="s">
        <v>401</v>
      </c>
      <c r="M92" s="71">
        <v>45647.538819444446</v>
      </c>
      <c r="N92" s="71">
        <v>45652</v>
      </c>
      <c r="O92" s="71">
        <v>45652</v>
      </c>
      <c r="P92" s="64" t="str">
        <f ca="1">IF(Proc[[#This Row],[DaysAgeing]]&gt;5,"yep","on track")</f>
        <v>on track</v>
      </c>
      <c r="Q92" s="3">
        <f ca="1">IF(Proc[[#This Row],[DateClosed]]="",ABS(NETWORKDAYS(Proc[[#This Row],[DateOpened]],TODAY()))-1,ABS(NETWORKDAYS(Proc[[#This Row],[DateOpened]],Proc[[#This Row],[DateClosed]]))-1)</f>
        <v>3</v>
      </c>
      <c r="R92" s="64" t="s">
        <v>489</v>
      </c>
      <c r="S92" s="60"/>
    </row>
    <row r="93" spans="1:19" hidden="1">
      <c r="A93" s="62" t="s">
        <v>1366</v>
      </c>
      <c r="B93" s="149" t="str">
        <f>IFERROR(VLOOKUP(Proc[[#This Row],[App]],Table2[],3,0),"open")</f>
        <v>ok</v>
      </c>
      <c r="C93" s="62" t="s">
        <v>369</v>
      </c>
      <c r="D93" t="s">
        <v>1371</v>
      </c>
      <c r="E93" t="s">
        <v>1044</v>
      </c>
      <c r="F93" s="117" t="s">
        <v>1044</v>
      </c>
      <c r="G93" s="62" t="s">
        <v>400</v>
      </c>
      <c r="H93" s="60" t="str">
        <f>IF(Proc[[#This Row],[type]]="LFF (MDG-F)",MID(Proc[[#This Row],[Obj]],13,10),"")</f>
        <v/>
      </c>
      <c r="J93" s="60" t="b">
        <f>Proc[[#This Row],[Requested]]=Proc[[#This Row],[CurrentParent]]</f>
        <v>1</v>
      </c>
      <c r="K93" s="144" t="str">
        <f>IF(Proc[[#This Row],[Author]]="Marcela Urrego",VLOOKUP(LEFT(Proc[[#This Row],[Requested]],1),Table3[#All],2,0),VLOOKUP(Proc[[#This Row],[Author]],Table4[],2,0))</f>
        <v>LS</v>
      </c>
      <c r="L93" s="60" t="s">
        <v>401</v>
      </c>
      <c r="M93" s="71">
        <v>45647.538819444446</v>
      </c>
      <c r="N93" s="71">
        <v>45652</v>
      </c>
      <c r="O93" s="71">
        <v>45652</v>
      </c>
      <c r="P93" s="64" t="str">
        <f ca="1">IF(Proc[[#This Row],[DaysAgeing]]&gt;5,"yep","on track")</f>
        <v>on track</v>
      </c>
      <c r="Q93" s="3">
        <f ca="1">IF(Proc[[#This Row],[DateClosed]]="",ABS(NETWORKDAYS(Proc[[#This Row],[DateOpened]],TODAY()))-1,ABS(NETWORKDAYS(Proc[[#This Row],[DateOpened]],Proc[[#This Row],[DateClosed]]))-1)</f>
        <v>3</v>
      </c>
      <c r="R93" s="64" t="s">
        <v>489</v>
      </c>
      <c r="S93" s="60"/>
    </row>
    <row r="94" spans="1:19" hidden="1">
      <c r="A94" s="62" t="s">
        <v>1366</v>
      </c>
      <c r="B94" s="149" t="str">
        <f>IFERROR(VLOOKUP(Proc[[#This Row],[App]],Table2[],3,0),"open")</f>
        <v>ok</v>
      </c>
      <c r="C94" s="62" t="s">
        <v>369</v>
      </c>
      <c r="D94" t="s">
        <v>1372</v>
      </c>
      <c r="E94" t="s">
        <v>1044</v>
      </c>
      <c r="F94" s="117" t="s">
        <v>1044</v>
      </c>
      <c r="G94" s="62" t="s">
        <v>400</v>
      </c>
      <c r="H94" s="60" t="str">
        <f>IF(Proc[[#This Row],[type]]="LFF (MDG-F)",MID(Proc[[#This Row],[Obj]],13,10),"")</f>
        <v/>
      </c>
      <c r="J94" s="60" t="b">
        <f>Proc[[#This Row],[Requested]]=Proc[[#This Row],[CurrentParent]]</f>
        <v>1</v>
      </c>
      <c r="K94" s="144" t="str">
        <f>IF(Proc[[#This Row],[Author]]="Marcela Urrego",VLOOKUP(LEFT(Proc[[#This Row],[Requested]],1),Table3[#All],2,0),VLOOKUP(Proc[[#This Row],[Author]],Table4[],2,0))</f>
        <v>LS</v>
      </c>
      <c r="L94" s="60" t="s">
        <v>401</v>
      </c>
      <c r="M94" s="71">
        <v>45647.538819444446</v>
      </c>
      <c r="N94" s="71">
        <v>45652</v>
      </c>
      <c r="O94" s="71">
        <v>45652</v>
      </c>
      <c r="P94" s="64" t="str">
        <f ca="1">IF(Proc[[#This Row],[DaysAgeing]]&gt;5,"yep","on track")</f>
        <v>on track</v>
      </c>
      <c r="Q94" s="3">
        <f ca="1">IF(Proc[[#This Row],[DateClosed]]="",ABS(NETWORKDAYS(Proc[[#This Row],[DateOpened]],TODAY()))-1,ABS(NETWORKDAYS(Proc[[#This Row],[DateOpened]],Proc[[#This Row],[DateClosed]]))-1)</f>
        <v>3</v>
      </c>
      <c r="R94" s="64" t="s">
        <v>489</v>
      </c>
      <c r="S94" s="60"/>
    </row>
    <row r="95" spans="1:19" hidden="1">
      <c r="A95" s="62" t="s">
        <v>1366</v>
      </c>
      <c r="B95" s="149" t="str">
        <f>IFERROR(VLOOKUP(Proc[[#This Row],[App]],Table2[],3,0),"open")</f>
        <v>ok</v>
      </c>
      <c r="C95" s="62" t="s">
        <v>369</v>
      </c>
      <c r="D95" t="s">
        <v>1373</v>
      </c>
      <c r="E95" t="s">
        <v>1044</v>
      </c>
      <c r="F95" s="117" t="s">
        <v>1044</v>
      </c>
      <c r="G95" s="62" t="s">
        <v>400</v>
      </c>
      <c r="H95" s="60" t="str">
        <f>IF(Proc[[#This Row],[type]]="LFF (MDG-F)",MID(Proc[[#This Row],[Obj]],13,10),"")</f>
        <v/>
      </c>
      <c r="J95" s="60" t="b">
        <f>Proc[[#This Row],[Requested]]=Proc[[#This Row],[CurrentParent]]</f>
        <v>1</v>
      </c>
      <c r="K95" s="144" t="str">
        <f>IF(Proc[[#This Row],[Author]]="Marcela Urrego",VLOOKUP(LEFT(Proc[[#This Row],[Requested]],1),Table3[#All],2,0),VLOOKUP(Proc[[#This Row],[Author]],Table4[],2,0))</f>
        <v>LS</v>
      </c>
      <c r="L95" s="60" t="s">
        <v>401</v>
      </c>
      <c r="M95" s="71">
        <v>45647.538819444446</v>
      </c>
      <c r="N95" s="71">
        <v>45652</v>
      </c>
      <c r="O95" s="71">
        <v>45652</v>
      </c>
      <c r="P95" s="64" t="str">
        <f ca="1">IF(Proc[[#This Row],[DaysAgeing]]&gt;5,"yep","on track")</f>
        <v>on track</v>
      </c>
      <c r="Q95" s="3">
        <f ca="1">IF(Proc[[#This Row],[DateClosed]]="",ABS(NETWORKDAYS(Proc[[#This Row],[DateOpened]],TODAY()))-1,ABS(NETWORKDAYS(Proc[[#This Row],[DateOpened]],Proc[[#This Row],[DateClosed]]))-1)</f>
        <v>3</v>
      </c>
      <c r="R95" s="64" t="s">
        <v>489</v>
      </c>
      <c r="S95" s="60"/>
    </row>
    <row r="96" spans="1:19" hidden="1">
      <c r="A96" s="62" t="s">
        <v>1366</v>
      </c>
      <c r="B96" s="149" t="str">
        <f>IFERROR(VLOOKUP(Proc[[#This Row],[App]],Table2[],3,0),"open")</f>
        <v>ok</v>
      </c>
      <c r="C96" s="62" t="s">
        <v>369</v>
      </c>
      <c r="D96" t="s">
        <v>1374</v>
      </c>
      <c r="E96" t="s">
        <v>1044</v>
      </c>
      <c r="F96" s="117" t="s">
        <v>1044</v>
      </c>
      <c r="G96" s="62" t="s">
        <v>400</v>
      </c>
      <c r="H96" s="60" t="str">
        <f>IF(Proc[[#This Row],[type]]="LFF (MDG-F)",MID(Proc[[#This Row],[Obj]],13,10),"")</f>
        <v/>
      </c>
      <c r="J96" s="60" t="b">
        <f>Proc[[#This Row],[Requested]]=Proc[[#This Row],[CurrentParent]]</f>
        <v>1</v>
      </c>
      <c r="K96" s="144" t="str">
        <f>IF(Proc[[#This Row],[Author]]="Marcela Urrego",VLOOKUP(LEFT(Proc[[#This Row],[Requested]],1),Table3[#All],2,0),VLOOKUP(Proc[[#This Row],[Author]],Table4[],2,0))</f>
        <v>LS</v>
      </c>
      <c r="L96" s="60" t="s">
        <v>401</v>
      </c>
      <c r="M96" s="71">
        <v>45647.538819444446</v>
      </c>
      <c r="N96" s="71">
        <v>45652</v>
      </c>
      <c r="O96" s="71">
        <v>45652</v>
      </c>
      <c r="P96" s="64" t="str">
        <f ca="1">IF(Proc[[#This Row],[DaysAgeing]]&gt;5,"yep","on track")</f>
        <v>on track</v>
      </c>
      <c r="Q96" s="3">
        <f ca="1">IF(Proc[[#This Row],[DateClosed]]="",ABS(NETWORKDAYS(Proc[[#This Row],[DateOpened]],TODAY()))-1,ABS(NETWORKDAYS(Proc[[#This Row],[DateOpened]],Proc[[#This Row],[DateClosed]]))-1)</f>
        <v>3</v>
      </c>
      <c r="R96" s="64" t="s">
        <v>489</v>
      </c>
      <c r="S96" s="60"/>
    </row>
    <row r="97" spans="1:19" hidden="1">
      <c r="A97" s="62" t="s">
        <v>1366</v>
      </c>
      <c r="B97" s="149" t="str">
        <f>IFERROR(VLOOKUP(Proc[[#This Row],[App]],Table2[],3,0),"open")</f>
        <v>ok</v>
      </c>
      <c r="C97" s="62" t="s">
        <v>369</v>
      </c>
      <c r="D97" t="s">
        <v>1375</v>
      </c>
      <c r="E97" t="s">
        <v>1044</v>
      </c>
      <c r="F97" s="117" t="s">
        <v>1044</v>
      </c>
      <c r="G97" s="62" t="s">
        <v>400</v>
      </c>
      <c r="H97" s="60" t="str">
        <f>IF(Proc[[#This Row],[type]]="LFF (MDG-F)",MID(Proc[[#This Row],[Obj]],13,10),"")</f>
        <v/>
      </c>
      <c r="J97" s="60" t="b">
        <f>Proc[[#This Row],[Requested]]=Proc[[#This Row],[CurrentParent]]</f>
        <v>1</v>
      </c>
      <c r="K97" s="144" t="str">
        <f>IF(Proc[[#This Row],[Author]]="Marcela Urrego",VLOOKUP(LEFT(Proc[[#This Row],[Requested]],1),Table3[#All],2,0),VLOOKUP(Proc[[#This Row],[Author]],Table4[],2,0))</f>
        <v>LS</v>
      </c>
      <c r="L97" s="60" t="s">
        <v>401</v>
      </c>
      <c r="M97" s="71">
        <v>45647.538819444446</v>
      </c>
      <c r="N97" s="71">
        <v>45652</v>
      </c>
      <c r="O97" s="71">
        <v>45652</v>
      </c>
      <c r="P97" s="64" t="str">
        <f ca="1">IF(Proc[[#This Row],[DaysAgeing]]&gt;5,"yep","on track")</f>
        <v>on track</v>
      </c>
      <c r="Q97" s="3">
        <f ca="1">IF(Proc[[#This Row],[DateClosed]]="",ABS(NETWORKDAYS(Proc[[#This Row],[DateOpened]],TODAY()))-1,ABS(NETWORKDAYS(Proc[[#This Row],[DateOpened]],Proc[[#This Row],[DateClosed]]))-1)</f>
        <v>3</v>
      </c>
      <c r="R97" s="64" t="s">
        <v>489</v>
      </c>
      <c r="S97" s="60"/>
    </row>
    <row r="98" spans="1:19" hidden="1">
      <c r="A98" s="62" t="s">
        <v>1366</v>
      </c>
      <c r="B98" s="149" t="str">
        <f>IFERROR(VLOOKUP(Proc[[#This Row],[App]],Table2[],3,0),"open")</f>
        <v>ok</v>
      </c>
      <c r="C98" s="62" t="s">
        <v>369</v>
      </c>
      <c r="D98" t="s">
        <v>1376</v>
      </c>
      <c r="E98" t="s">
        <v>1044</v>
      </c>
      <c r="F98" s="117" t="s">
        <v>1044</v>
      </c>
      <c r="G98" s="62" t="s">
        <v>400</v>
      </c>
      <c r="H98" s="60" t="str">
        <f>IF(Proc[[#This Row],[type]]="LFF (MDG-F)",MID(Proc[[#This Row],[Obj]],13,10),"")</f>
        <v/>
      </c>
      <c r="J98" s="60" t="b">
        <f>Proc[[#This Row],[Requested]]=Proc[[#This Row],[CurrentParent]]</f>
        <v>1</v>
      </c>
      <c r="K98" s="144" t="str">
        <f>IF(Proc[[#This Row],[Author]]="Marcela Urrego",VLOOKUP(LEFT(Proc[[#This Row],[Requested]],1),Table3[#All],2,0),VLOOKUP(Proc[[#This Row],[Author]],Table4[],2,0))</f>
        <v>LS</v>
      </c>
      <c r="L98" s="60" t="s">
        <v>401</v>
      </c>
      <c r="M98" s="71">
        <v>45647.538819444446</v>
      </c>
      <c r="N98" s="71">
        <v>45652</v>
      </c>
      <c r="O98" s="71">
        <v>45652</v>
      </c>
      <c r="P98" s="64" t="str">
        <f ca="1">IF(Proc[[#This Row],[DaysAgeing]]&gt;5,"yep","on track")</f>
        <v>on track</v>
      </c>
      <c r="Q98" s="3">
        <f ca="1">IF(Proc[[#This Row],[DateClosed]]="",ABS(NETWORKDAYS(Proc[[#This Row],[DateOpened]],TODAY()))-1,ABS(NETWORKDAYS(Proc[[#This Row],[DateOpened]],Proc[[#This Row],[DateClosed]]))-1)</f>
        <v>3</v>
      </c>
      <c r="R98" s="64" t="s">
        <v>489</v>
      </c>
      <c r="S98" s="60"/>
    </row>
    <row r="99" spans="1:19" hidden="1">
      <c r="A99" s="62" t="s">
        <v>1366</v>
      </c>
      <c r="B99" s="149" t="str">
        <f>IFERROR(VLOOKUP(Proc[[#This Row],[App]],Table2[],3,0),"open")</f>
        <v>ok</v>
      </c>
      <c r="C99" s="62" t="s">
        <v>369</v>
      </c>
      <c r="D99" t="s">
        <v>1377</v>
      </c>
      <c r="E99" t="s">
        <v>1044</v>
      </c>
      <c r="F99" s="117" t="s">
        <v>1044</v>
      </c>
      <c r="G99" s="62" t="s">
        <v>400</v>
      </c>
      <c r="H99" s="60" t="str">
        <f>IF(Proc[[#This Row],[type]]="LFF (MDG-F)",MID(Proc[[#This Row],[Obj]],13,10),"")</f>
        <v/>
      </c>
      <c r="J99" s="60" t="b">
        <f>Proc[[#This Row],[Requested]]=Proc[[#This Row],[CurrentParent]]</f>
        <v>1</v>
      </c>
      <c r="K99" s="144" t="str">
        <f>IF(Proc[[#This Row],[Author]]="Marcela Urrego",VLOOKUP(LEFT(Proc[[#This Row],[Requested]],1),Table3[#All],2,0),VLOOKUP(Proc[[#This Row],[Author]],Table4[],2,0))</f>
        <v>LS</v>
      </c>
      <c r="L99" s="60" t="s">
        <v>401</v>
      </c>
      <c r="M99" s="71">
        <v>45647.538819444446</v>
      </c>
      <c r="N99" s="71">
        <v>45652</v>
      </c>
      <c r="O99" s="71">
        <v>45652</v>
      </c>
      <c r="P99" s="64" t="str">
        <f ca="1">IF(Proc[[#This Row],[DaysAgeing]]&gt;5,"yep","on track")</f>
        <v>on track</v>
      </c>
      <c r="Q99" s="3">
        <f ca="1">IF(Proc[[#This Row],[DateClosed]]="",ABS(NETWORKDAYS(Proc[[#This Row],[DateOpened]],TODAY()))-1,ABS(NETWORKDAYS(Proc[[#This Row],[DateOpened]],Proc[[#This Row],[DateClosed]]))-1)</f>
        <v>3</v>
      </c>
      <c r="R99" s="64" t="s">
        <v>489</v>
      </c>
      <c r="S99" s="60"/>
    </row>
    <row r="100" spans="1:19" hidden="1">
      <c r="A100" s="62" t="s">
        <v>1366</v>
      </c>
      <c r="B100" s="149" t="str">
        <f>IFERROR(VLOOKUP(Proc[[#This Row],[App]],Table2[],3,0),"open")</f>
        <v>ok</v>
      </c>
      <c r="C100" s="62" t="s">
        <v>369</v>
      </c>
      <c r="D100" t="s">
        <v>1378</v>
      </c>
      <c r="E100" t="s">
        <v>1044</v>
      </c>
      <c r="F100" s="117" t="s">
        <v>1044</v>
      </c>
      <c r="G100" s="62" t="s">
        <v>400</v>
      </c>
      <c r="H100" s="60" t="str">
        <f>IF(Proc[[#This Row],[type]]="LFF (MDG-F)",MID(Proc[[#This Row],[Obj]],13,10),"")</f>
        <v/>
      </c>
      <c r="J100" s="60" t="b">
        <f>Proc[[#This Row],[Requested]]=Proc[[#This Row],[CurrentParent]]</f>
        <v>1</v>
      </c>
      <c r="K100" s="144" t="str">
        <f>IF(Proc[[#This Row],[Author]]="Marcela Urrego",VLOOKUP(LEFT(Proc[[#This Row],[Requested]],1),Table3[#All],2,0),VLOOKUP(Proc[[#This Row],[Author]],Table4[],2,0))</f>
        <v>LS</v>
      </c>
      <c r="L100" s="60" t="s">
        <v>401</v>
      </c>
      <c r="M100" s="71">
        <v>45647.538819444446</v>
      </c>
      <c r="N100" s="71">
        <v>45652</v>
      </c>
      <c r="O100" s="71">
        <v>45652</v>
      </c>
      <c r="P100" s="64" t="str">
        <f ca="1">IF(Proc[[#This Row],[DaysAgeing]]&gt;5,"yep","on track")</f>
        <v>on track</v>
      </c>
      <c r="Q100" s="3">
        <f ca="1">IF(Proc[[#This Row],[DateClosed]]="",ABS(NETWORKDAYS(Proc[[#This Row],[DateOpened]],TODAY()))-1,ABS(NETWORKDAYS(Proc[[#This Row],[DateOpened]],Proc[[#This Row],[DateClosed]]))-1)</f>
        <v>3</v>
      </c>
      <c r="R100" s="64" t="s">
        <v>489</v>
      </c>
      <c r="S100" s="60"/>
    </row>
    <row r="101" spans="1:19" hidden="1">
      <c r="A101" s="62" t="s">
        <v>1366</v>
      </c>
      <c r="B101" s="149" t="str">
        <f>IFERROR(VLOOKUP(Proc[[#This Row],[App]],Table2[],3,0),"open")</f>
        <v>ok</v>
      </c>
      <c r="C101" s="62" t="s">
        <v>369</v>
      </c>
      <c r="D101" t="s">
        <v>1379</v>
      </c>
      <c r="E101" t="s">
        <v>1044</v>
      </c>
      <c r="F101" s="117" t="s">
        <v>1044</v>
      </c>
      <c r="G101" s="62" t="s">
        <v>400</v>
      </c>
      <c r="H101" s="60" t="str">
        <f>IF(Proc[[#This Row],[type]]="LFF (MDG-F)",MID(Proc[[#This Row],[Obj]],13,10),"")</f>
        <v/>
      </c>
      <c r="J101" s="60" t="b">
        <f>Proc[[#This Row],[Requested]]=Proc[[#This Row],[CurrentParent]]</f>
        <v>1</v>
      </c>
      <c r="K101" s="144" t="str">
        <f>IF(Proc[[#This Row],[Author]]="Marcela Urrego",VLOOKUP(LEFT(Proc[[#This Row],[Requested]],1),Table3[#All],2,0),VLOOKUP(Proc[[#This Row],[Author]],Table4[],2,0))</f>
        <v>LS</v>
      </c>
      <c r="L101" s="60" t="s">
        <v>401</v>
      </c>
      <c r="M101" s="71">
        <v>45647.538819444446</v>
      </c>
      <c r="N101" s="71">
        <v>45652</v>
      </c>
      <c r="O101" s="71">
        <v>45652</v>
      </c>
      <c r="P101" s="64" t="str">
        <f ca="1">IF(Proc[[#This Row],[DaysAgeing]]&gt;5,"yep","on track")</f>
        <v>on track</v>
      </c>
      <c r="Q101" s="3">
        <f ca="1">IF(Proc[[#This Row],[DateClosed]]="",ABS(NETWORKDAYS(Proc[[#This Row],[DateOpened]],TODAY()))-1,ABS(NETWORKDAYS(Proc[[#This Row],[DateOpened]],Proc[[#This Row],[DateClosed]]))-1)</f>
        <v>3</v>
      </c>
      <c r="R101" s="64" t="s">
        <v>489</v>
      </c>
      <c r="S101" s="60"/>
    </row>
    <row r="102" spans="1:19" hidden="1">
      <c r="A102" s="62" t="s">
        <v>1366</v>
      </c>
      <c r="B102" s="149" t="str">
        <f>IFERROR(VLOOKUP(Proc[[#This Row],[App]],Table2[],3,0),"open")</f>
        <v>ok</v>
      </c>
      <c r="C102" s="62" t="s">
        <v>369</v>
      </c>
      <c r="D102" t="s">
        <v>1380</v>
      </c>
      <c r="E102" t="s">
        <v>1044</v>
      </c>
      <c r="F102" s="117" t="s">
        <v>1044</v>
      </c>
      <c r="G102" s="62" t="s">
        <v>400</v>
      </c>
      <c r="H102" s="60" t="str">
        <f>IF(Proc[[#This Row],[type]]="LFF (MDG-F)",MID(Proc[[#This Row],[Obj]],13,10),"")</f>
        <v/>
      </c>
      <c r="J102" s="60" t="b">
        <f>Proc[[#This Row],[Requested]]=Proc[[#This Row],[CurrentParent]]</f>
        <v>1</v>
      </c>
      <c r="K102" s="144" t="str">
        <f>IF(Proc[[#This Row],[Author]]="Marcela Urrego",VLOOKUP(LEFT(Proc[[#This Row],[Requested]],1),Table3[#All],2,0),VLOOKUP(Proc[[#This Row],[Author]],Table4[],2,0))</f>
        <v>LS</v>
      </c>
      <c r="L102" s="60" t="s">
        <v>401</v>
      </c>
      <c r="M102" s="71">
        <v>45647.538819444446</v>
      </c>
      <c r="N102" s="71">
        <v>45652</v>
      </c>
      <c r="O102" s="71">
        <v>45652</v>
      </c>
      <c r="P102" s="64" t="str">
        <f ca="1">IF(Proc[[#This Row],[DaysAgeing]]&gt;5,"yep","on track")</f>
        <v>on track</v>
      </c>
      <c r="Q102" s="3">
        <f ca="1">IF(Proc[[#This Row],[DateClosed]]="",ABS(NETWORKDAYS(Proc[[#This Row],[DateOpened]],TODAY()))-1,ABS(NETWORKDAYS(Proc[[#This Row],[DateOpened]],Proc[[#This Row],[DateClosed]]))-1)</f>
        <v>3</v>
      </c>
      <c r="R102" s="64" t="s">
        <v>489</v>
      </c>
      <c r="S102" s="60"/>
    </row>
    <row r="103" spans="1:19" hidden="1">
      <c r="A103" s="62" t="s">
        <v>1366</v>
      </c>
      <c r="B103" s="149" t="str">
        <f>IFERROR(VLOOKUP(Proc[[#This Row],[App]],Table2[],3,0),"open")</f>
        <v>ok</v>
      </c>
      <c r="C103" s="62" t="s">
        <v>369</v>
      </c>
      <c r="D103" t="s">
        <v>1381</v>
      </c>
      <c r="E103" t="s">
        <v>1044</v>
      </c>
      <c r="F103" s="117" t="s">
        <v>1044</v>
      </c>
      <c r="G103" s="62" t="s">
        <v>400</v>
      </c>
      <c r="H103" s="60" t="str">
        <f>IF(Proc[[#This Row],[type]]="LFF (MDG-F)",MID(Proc[[#This Row],[Obj]],13,10),"")</f>
        <v/>
      </c>
      <c r="J103" s="60" t="b">
        <f>Proc[[#This Row],[Requested]]=Proc[[#This Row],[CurrentParent]]</f>
        <v>1</v>
      </c>
      <c r="K103" s="144" t="str">
        <f>IF(Proc[[#This Row],[Author]]="Marcela Urrego",VLOOKUP(LEFT(Proc[[#This Row],[Requested]],1),Table3[#All],2,0),VLOOKUP(Proc[[#This Row],[Author]],Table4[],2,0))</f>
        <v>LS</v>
      </c>
      <c r="L103" s="60" t="s">
        <v>401</v>
      </c>
      <c r="M103" s="71">
        <v>45647.538819444446</v>
      </c>
      <c r="N103" s="71">
        <v>45652</v>
      </c>
      <c r="O103" s="71">
        <v>45652</v>
      </c>
      <c r="P103" s="64" t="str">
        <f ca="1">IF(Proc[[#This Row],[DaysAgeing]]&gt;5,"yep","on track")</f>
        <v>on track</v>
      </c>
      <c r="Q103" s="3">
        <f ca="1">IF(Proc[[#This Row],[DateClosed]]="",ABS(NETWORKDAYS(Proc[[#This Row],[DateOpened]],TODAY()))-1,ABS(NETWORKDAYS(Proc[[#This Row],[DateOpened]],Proc[[#This Row],[DateClosed]]))-1)</f>
        <v>3</v>
      </c>
      <c r="R103" s="64" t="s">
        <v>489</v>
      </c>
      <c r="S103" s="60"/>
    </row>
    <row r="104" spans="1:19" hidden="1">
      <c r="A104" s="62" t="s">
        <v>1366</v>
      </c>
      <c r="B104" s="149" t="str">
        <f>IFERROR(VLOOKUP(Proc[[#This Row],[App]],Table2[],3,0),"open")</f>
        <v>ok</v>
      </c>
      <c r="C104" s="62" t="s">
        <v>369</v>
      </c>
      <c r="D104" t="s">
        <v>1382</v>
      </c>
      <c r="E104" t="s">
        <v>1044</v>
      </c>
      <c r="F104" s="117" t="s">
        <v>1044</v>
      </c>
      <c r="G104" s="62" t="s">
        <v>400</v>
      </c>
      <c r="H104" s="60" t="str">
        <f>IF(Proc[[#This Row],[type]]="LFF (MDG-F)",MID(Proc[[#This Row],[Obj]],13,10),"")</f>
        <v/>
      </c>
      <c r="J104" s="60" t="b">
        <f>Proc[[#This Row],[Requested]]=Proc[[#This Row],[CurrentParent]]</f>
        <v>1</v>
      </c>
      <c r="K104" s="144" t="str">
        <f>IF(Proc[[#This Row],[Author]]="Marcela Urrego",VLOOKUP(LEFT(Proc[[#This Row],[Requested]],1),Table3[#All],2,0),VLOOKUP(Proc[[#This Row],[Author]],Table4[],2,0))</f>
        <v>LS</v>
      </c>
      <c r="L104" s="60" t="s">
        <v>401</v>
      </c>
      <c r="M104" s="71">
        <v>45647.538819444446</v>
      </c>
      <c r="N104" s="71">
        <v>45652</v>
      </c>
      <c r="O104" s="71">
        <v>45652</v>
      </c>
      <c r="P104" s="64" t="str">
        <f ca="1">IF(Proc[[#This Row],[DaysAgeing]]&gt;5,"yep","on track")</f>
        <v>on track</v>
      </c>
      <c r="Q104" s="3">
        <f ca="1">IF(Proc[[#This Row],[DateClosed]]="",ABS(NETWORKDAYS(Proc[[#This Row],[DateOpened]],TODAY()))-1,ABS(NETWORKDAYS(Proc[[#This Row],[DateOpened]],Proc[[#This Row],[DateClosed]]))-1)</f>
        <v>3</v>
      </c>
      <c r="R104" s="64" t="s">
        <v>489</v>
      </c>
      <c r="S104" s="60"/>
    </row>
    <row r="105" spans="1:19" hidden="1">
      <c r="A105" s="62" t="s">
        <v>1366</v>
      </c>
      <c r="B105" s="149" t="str">
        <f>IFERROR(VLOOKUP(Proc[[#This Row],[App]],Table2[],3,0),"open")</f>
        <v>ok</v>
      </c>
      <c r="C105" s="62" t="s">
        <v>369</v>
      </c>
      <c r="D105" t="s">
        <v>1383</v>
      </c>
      <c r="E105" t="s">
        <v>1044</v>
      </c>
      <c r="F105" s="117" t="s">
        <v>1044</v>
      </c>
      <c r="G105" s="62" t="s">
        <v>400</v>
      </c>
      <c r="H105" s="60" t="str">
        <f>IF(Proc[[#This Row],[type]]="LFF (MDG-F)",MID(Proc[[#This Row],[Obj]],13,10),"")</f>
        <v/>
      </c>
      <c r="J105" s="60" t="b">
        <f>Proc[[#This Row],[Requested]]=Proc[[#This Row],[CurrentParent]]</f>
        <v>1</v>
      </c>
      <c r="K105" s="144" t="str">
        <f>IF(Proc[[#This Row],[Author]]="Marcela Urrego",VLOOKUP(LEFT(Proc[[#This Row],[Requested]],1),Table3[#All],2,0),VLOOKUP(Proc[[#This Row],[Author]],Table4[],2,0))</f>
        <v>LS</v>
      </c>
      <c r="L105" s="60" t="s">
        <v>401</v>
      </c>
      <c r="M105" s="71">
        <v>45647.538819444446</v>
      </c>
      <c r="N105" s="71">
        <v>45652</v>
      </c>
      <c r="O105" s="71">
        <v>45652</v>
      </c>
      <c r="P105" s="64" t="str">
        <f ca="1">IF(Proc[[#This Row],[DaysAgeing]]&gt;5,"yep","on track")</f>
        <v>on track</v>
      </c>
      <c r="Q105" s="3">
        <f ca="1">IF(Proc[[#This Row],[DateClosed]]="",ABS(NETWORKDAYS(Proc[[#This Row],[DateOpened]],TODAY()))-1,ABS(NETWORKDAYS(Proc[[#This Row],[DateOpened]],Proc[[#This Row],[DateClosed]]))-1)</f>
        <v>3</v>
      </c>
      <c r="R105" s="64" t="s">
        <v>489</v>
      </c>
      <c r="S105" s="60"/>
    </row>
    <row r="106" spans="1:19" hidden="1">
      <c r="A106" t="s">
        <v>1366</v>
      </c>
      <c r="B106" s="149" t="str">
        <f>IFERROR(VLOOKUP(Proc[[#This Row],[App]],Table2[],3,0),"open")</f>
        <v>ok</v>
      </c>
      <c r="C106" s="62" t="s">
        <v>369</v>
      </c>
      <c r="D106" t="s">
        <v>1384</v>
      </c>
      <c r="E106" t="s">
        <v>1044</v>
      </c>
      <c r="F106" s="117" t="s">
        <v>1044</v>
      </c>
      <c r="G106" s="62" t="s">
        <v>400</v>
      </c>
      <c r="H106" s="60" t="str">
        <f>IF(Proc[[#This Row],[type]]="LFF (MDG-F)",MID(Proc[[#This Row],[Obj]],13,10),"")</f>
        <v/>
      </c>
      <c r="I106" s="62"/>
      <c r="J106" s="60" t="b">
        <f>Proc[[#This Row],[Requested]]=Proc[[#This Row],[CurrentParent]]</f>
        <v>1</v>
      </c>
      <c r="K106" s="144" t="str">
        <f>IF(Proc[[#This Row],[Author]]="Marcela Urrego",VLOOKUP(LEFT(Proc[[#This Row],[Requested]],1),Table3[#All],2,0),VLOOKUP(Proc[[#This Row],[Author]],Table4[],2,0))</f>
        <v>LS</v>
      </c>
      <c r="L106" s="60" t="s">
        <v>401</v>
      </c>
      <c r="M106" s="71">
        <v>45647.538819444446</v>
      </c>
      <c r="N106" s="71">
        <v>45652</v>
      </c>
      <c r="O106" s="71">
        <v>45652</v>
      </c>
      <c r="P106" s="64" t="str">
        <f ca="1">IF(Proc[[#This Row],[DaysAgeing]]&gt;5,"yep","on track")</f>
        <v>on track</v>
      </c>
      <c r="Q106" s="3">
        <f ca="1">IF(Proc[[#This Row],[DateClosed]]="",ABS(NETWORKDAYS(Proc[[#This Row],[DateOpened]],TODAY()))-1,ABS(NETWORKDAYS(Proc[[#This Row],[DateOpened]],Proc[[#This Row],[DateClosed]]))-1)</f>
        <v>3</v>
      </c>
      <c r="R106" s="64" t="s">
        <v>489</v>
      </c>
      <c r="S106" s="60"/>
    </row>
    <row r="107" spans="1:19" hidden="1">
      <c r="A107" s="62" t="s">
        <v>1366</v>
      </c>
      <c r="B107" s="149" t="str">
        <f>IFERROR(VLOOKUP(Proc[[#This Row],[App]],Table2[],3,0),"open")</f>
        <v>ok</v>
      </c>
      <c r="C107" s="62" t="s">
        <v>369</v>
      </c>
      <c r="D107" t="s">
        <v>1385</v>
      </c>
      <c r="E107" t="s">
        <v>1044</v>
      </c>
      <c r="F107" s="117" t="s">
        <v>1044</v>
      </c>
      <c r="G107" s="62" t="s">
        <v>400</v>
      </c>
      <c r="H107" s="60" t="str">
        <f>IF(Proc[[#This Row],[type]]="LFF (MDG-F)",MID(Proc[[#This Row],[Obj]],13,10),"")</f>
        <v/>
      </c>
      <c r="J107" s="60" t="b">
        <f>Proc[[#This Row],[Requested]]=Proc[[#This Row],[CurrentParent]]</f>
        <v>1</v>
      </c>
      <c r="K107" s="144" t="str">
        <f>IF(Proc[[#This Row],[Author]]="Marcela Urrego",VLOOKUP(LEFT(Proc[[#This Row],[Requested]],1),Table3[#All],2,0),VLOOKUP(Proc[[#This Row],[Author]],Table4[],2,0))</f>
        <v>LS</v>
      </c>
      <c r="L107" s="60" t="s">
        <v>401</v>
      </c>
      <c r="M107" s="71">
        <v>45647.538819444446</v>
      </c>
      <c r="N107" s="71">
        <v>45652</v>
      </c>
      <c r="O107" s="71">
        <v>45652</v>
      </c>
      <c r="P107" s="64" t="str">
        <f ca="1">IF(Proc[[#This Row],[DaysAgeing]]&gt;5,"yep","on track")</f>
        <v>on track</v>
      </c>
      <c r="Q107" s="3">
        <f ca="1">IF(Proc[[#This Row],[DateClosed]]="",ABS(NETWORKDAYS(Proc[[#This Row],[DateOpened]],TODAY()))-1,ABS(NETWORKDAYS(Proc[[#This Row],[DateOpened]],Proc[[#This Row],[DateClosed]]))-1)</f>
        <v>3</v>
      </c>
      <c r="R107" s="64" t="s">
        <v>489</v>
      </c>
      <c r="S107" s="60"/>
    </row>
    <row r="108" spans="1:19" hidden="1">
      <c r="A108" s="62" t="s">
        <v>1366</v>
      </c>
      <c r="B108" s="149" t="str">
        <f>IFERROR(VLOOKUP(Proc[[#This Row],[App]],Table2[],3,0),"open")</f>
        <v>ok</v>
      </c>
      <c r="C108" s="62" t="s">
        <v>369</v>
      </c>
      <c r="D108" t="s">
        <v>1386</v>
      </c>
      <c r="E108" t="s">
        <v>1044</v>
      </c>
      <c r="F108" s="117" t="s">
        <v>1044</v>
      </c>
      <c r="G108" s="62" t="s">
        <v>400</v>
      </c>
      <c r="H108" s="60" t="str">
        <f>IF(Proc[[#This Row],[type]]="LFF (MDG-F)",MID(Proc[[#This Row],[Obj]],13,10),"")</f>
        <v/>
      </c>
      <c r="I108" s="62"/>
      <c r="J108" s="60" t="b">
        <f>Proc[[#This Row],[Requested]]=Proc[[#This Row],[CurrentParent]]</f>
        <v>1</v>
      </c>
      <c r="K108" s="144" t="str">
        <f>IF(Proc[[#This Row],[Author]]="Marcela Urrego",VLOOKUP(LEFT(Proc[[#This Row],[Requested]],1),Table3[#All],2,0),VLOOKUP(Proc[[#This Row],[Author]],Table4[],2,0))</f>
        <v>LS</v>
      </c>
      <c r="L108" s="60" t="s">
        <v>401</v>
      </c>
      <c r="M108" s="71">
        <v>45647.538819444446</v>
      </c>
      <c r="N108" s="71">
        <v>45652</v>
      </c>
      <c r="O108" s="71">
        <v>45652</v>
      </c>
      <c r="P108" s="64" t="str">
        <f ca="1">IF(Proc[[#This Row],[DaysAgeing]]&gt;5,"yep","on track")</f>
        <v>on track</v>
      </c>
      <c r="Q108" s="3">
        <f ca="1">IF(Proc[[#This Row],[DateClosed]]="",ABS(NETWORKDAYS(Proc[[#This Row],[DateOpened]],TODAY()))-1,ABS(NETWORKDAYS(Proc[[#This Row],[DateOpened]],Proc[[#This Row],[DateClosed]]))-1)</f>
        <v>3</v>
      </c>
      <c r="R108" s="64" t="s">
        <v>489</v>
      </c>
      <c r="S108" s="60"/>
    </row>
    <row r="109" spans="1:19" hidden="1">
      <c r="A109" t="s">
        <v>1416</v>
      </c>
      <c r="B109" s="149" t="str">
        <f>IFERROR(VLOOKUP(Proc[[#This Row],[App]],Table2[],3,0),"open")</f>
        <v>ok</v>
      </c>
      <c r="C109" s="62" t="s">
        <v>369</v>
      </c>
      <c r="D109" t="s">
        <v>1390</v>
      </c>
      <c r="E109" t="s">
        <v>1391</v>
      </c>
      <c r="F109" s="117" t="s">
        <v>1391</v>
      </c>
      <c r="G109" s="62" t="s">
        <v>400</v>
      </c>
      <c r="H109" s="60" t="str">
        <f>IF(Proc[[#This Row],[type]]="LFF (MDG-F)",MID(Proc[[#This Row],[Obj]],13,10),"")</f>
        <v/>
      </c>
      <c r="J109" s="60" t="b">
        <f>Proc[[#This Row],[Requested]]=Proc[[#This Row],[CurrentParent]]</f>
        <v>1</v>
      </c>
      <c r="K109" s="144" t="str">
        <f>IF(Proc[[#This Row],[Author]]="Marcela Urrego",VLOOKUP(LEFT(Proc[[#This Row],[Requested]],1),Table3[#All],2,0),VLOOKUP(Proc[[#This Row],[Author]],Table4[],2,0))</f>
        <v>LS</v>
      </c>
      <c r="L109" s="60" t="s">
        <v>401</v>
      </c>
      <c r="M109" s="71">
        <v>45649.394259259258</v>
      </c>
      <c r="N109" s="71">
        <v>45652</v>
      </c>
      <c r="O109" s="71">
        <v>45652</v>
      </c>
      <c r="P109" s="64" t="str">
        <f ca="1">IF(Proc[[#This Row],[DaysAgeing]]&gt;5,"yep","on track")</f>
        <v>on track</v>
      </c>
      <c r="Q109" s="3">
        <f ca="1">IF(Proc[[#This Row],[DateClosed]]="",ABS(NETWORKDAYS(Proc[[#This Row],[DateOpened]],TODAY()))-1,ABS(NETWORKDAYS(Proc[[#This Row],[DateOpened]],Proc[[#This Row],[DateClosed]]))-1)</f>
        <v>3</v>
      </c>
      <c r="R109" s="64" t="s">
        <v>830</v>
      </c>
      <c r="S109" s="60"/>
    </row>
    <row r="110" spans="1:19" hidden="1">
      <c r="A110" s="62" t="s">
        <v>1416</v>
      </c>
      <c r="B110" s="149" t="str">
        <f>IFERROR(VLOOKUP(Proc[[#This Row],[App]],Table2[],3,0),"open")</f>
        <v>ok</v>
      </c>
      <c r="C110" s="62" t="s">
        <v>369</v>
      </c>
      <c r="D110" t="s">
        <v>1392</v>
      </c>
      <c r="E110" t="s">
        <v>1391</v>
      </c>
      <c r="F110" s="117" t="s">
        <v>1391</v>
      </c>
      <c r="G110" s="62" t="s">
        <v>400</v>
      </c>
      <c r="H110" s="60" t="str">
        <f>IF(Proc[[#This Row],[type]]="LFF (MDG-F)",MID(Proc[[#This Row],[Obj]],13,10),"")</f>
        <v/>
      </c>
      <c r="J110" s="60" t="b">
        <f>Proc[[#This Row],[Requested]]=Proc[[#This Row],[CurrentParent]]</f>
        <v>1</v>
      </c>
      <c r="K110" s="144" t="str">
        <f>IF(Proc[[#This Row],[Author]]="Marcela Urrego",VLOOKUP(LEFT(Proc[[#This Row],[Requested]],1),Table3[#All],2,0),VLOOKUP(Proc[[#This Row],[Author]],Table4[],2,0))</f>
        <v>LS</v>
      </c>
      <c r="L110" s="60" t="s">
        <v>401</v>
      </c>
      <c r="M110" s="71">
        <v>45649.394259259258</v>
      </c>
      <c r="N110" s="71">
        <v>45652</v>
      </c>
      <c r="O110" s="71">
        <v>45652</v>
      </c>
      <c r="P110" s="64" t="str">
        <f ca="1">IF(Proc[[#This Row],[DaysAgeing]]&gt;5,"yep","on track")</f>
        <v>on track</v>
      </c>
      <c r="Q110" s="3">
        <f ca="1">IF(Proc[[#This Row],[DateClosed]]="",ABS(NETWORKDAYS(Proc[[#This Row],[DateOpened]],TODAY()))-1,ABS(NETWORKDAYS(Proc[[#This Row],[DateOpened]],Proc[[#This Row],[DateClosed]]))-1)</f>
        <v>3</v>
      </c>
      <c r="R110" s="64" t="s">
        <v>830</v>
      </c>
      <c r="S110" s="60"/>
    </row>
    <row r="111" spans="1:19" hidden="1">
      <c r="A111" s="62" t="s">
        <v>1416</v>
      </c>
      <c r="B111" s="149" t="str">
        <f>IFERROR(VLOOKUP(Proc[[#This Row],[App]],Table2[],3,0),"open")</f>
        <v>ok</v>
      </c>
      <c r="C111" s="62" t="s">
        <v>369</v>
      </c>
      <c r="D111" t="s">
        <v>1393</v>
      </c>
      <c r="E111" t="s">
        <v>1391</v>
      </c>
      <c r="F111" s="117" t="s">
        <v>1391</v>
      </c>
      <c r="G111" s="62" t="s">
        <v>400</v>
      </c>
      <c r="H111" s="60" t="str">
        <f>IF(Proc[[#This Row],[type]]="LFF (MDG-F)",MID(Proc[[#This Row],[Obj]],13,10),"")</f>
        <v/>
      </c>
      <c r="J111" s="60" t="b">
        <f>Proc[[#This Row],[Requested]]=Proc[[#This Row],[CurrentParent]]</f>
        <v>1</v>
      </c>
      <c r="K111" s="144" t="str">
        <f>IF(Proc[[#This Row],[Author]]="Marcela Urrego",VLOOKUP(LEFT(Proc[[#This Row],[Requested]],1),Table3[#All],2,0),VLOOKUP(Proc[[#This Row],[Author]],Table4[],2,0))</f>
        <v>LS</v>
      </c>
      <c r="L111" s="60" t="s">
        <v>401</v>
      </c>
      <c r="M111" s="71">
        <v>45649.394259259258</v>
      </c>
      <c r="N111" s="71">
        <v>45652</v>
      </c>
      <c r="O111" s="71">
        <v>45652</v>
      </c>
      <c r="P111" s="64" t="str">
        <f ca="1">IF(Proc[[#This Row],[DaysAgeing]]&gt;5,"yep","on track")</f>
        <v>on track</v>
      </c>
      <c r="Q111" s="3">
        <f ca="1">IF(Proc[[#This Row],[DateClosed]]="",ABS(NETWORKDAYS(Proc[[#This Row],[DateOpened]],TODAY()))-1,ABS(NETWORKDAYS(Proc[[#This Row],[DateOpened]],Proc[[#This Row],[DateClosed]]))-1)</f>
        <v>3</v>
      </c>
      <c r="R111" s="64" t="s">
        <v>830</v>
      </c>
      <c r="S111" s="60"/>
    </row>
    <row r="112" spans="1:19" hidden="1">
      <c r="A112" s="62" t="s">
        <v>1416</v>
      </c>
      <c r="B112" s="149" t="str">
        <f>IFERROR(VLOOKUP(Proc[[#This Row],[App]],Table2[],3,0),"open")</f>
        <v>ok</v>
      </c>
      <c r="C112" s="62" t="s">
        <v>369</v>
      </c>
      <c r="D112" t="s">
        <v>1394</v>
      </c>
      <c r="E112" t="s">
        <v>1391</v>
      </c>
      <c r="F112" s="117" t="s">
        <v>1391</v>
      </c>
      <c r="G112" s="62" t="s">
        <v>400</v>
      </c>
      <c r="H112" s="60" t="str">
        <f>IF(Proc[[#This Row],[type]]="LFF (MDG-F)",MID(Proc[[#This Row],[Obj]],13,10),"")</f>
        <v/>
      </c>
      <c r="J112" s="60" t="b">
        <f>Proc[[#This Row],[Requested]]=Proc[[#This Row],[CurrentParent]]</f>
        <v>1</v>
      </c>
      <c r="K112" s="144" t="str">
        <f>IF(Proc[[#This Row],[Author]]="Marcela Urrego",VLOOKUP(LEFT(Proc[[#This Row],[Requested]],1),Table3[#All],2,0),VLOOKUP(Proc[[#This Row],[Author]],Table4[],2,0))</f>
        <v>LS</v>
      </c>
      <c r="L112" s="60" t="s">
        <v>401</v>
      </c>
      <c r="M112" s="71">
        <v>45649.394259259258</v>
      </c>
      <c r="N112" s="71">
        <v>45652</v>
      </c>
      <c r="O112" s="71">
        <v>45652</v>
      </c>
      <c r="P112" s="64" t="str">
        <f ca="1">IF(Proc[[#This Row],[DaysAgeing]]&gt;5,"yep","on track")</f>
        <v>on track</v>
      </c>
      <c r="Q112" s="3">
        <f ca="1">IF(Proc[[#This Row],[DateClosed]]="",ABS(NETWORKDAYS(Proc[[#This Row],[DateOpened]],TODAY()))-1,ABS(NETWORKDAYS(Proc[[#This Row],[DateOpened]],Proc[[#This Row],[DateClosed]]))-1)</f>
        <v>3</v>
      </c>
      <c r="R112" s="64" t="s">
        <v>830</v>
      </c>
      <c r="S112" s="60"/>
    </row>
    <row r="113" spans="1:19" hidden="1">
      <c r="A113" s="62" t="s">
        <v>1416</v>
      </c>
      <c r="B113" s="149" t="str">
        <f>IFERROR(VLOOKUP(Proc[[#This Row],[App]],Table2[],3,0),"open")</f>
        <v>ok</v>
      </c>
      <c r="C113" s="62" t="s">
        <v>369</v>
      </c>
      <c r="D113" t="s">
        <v>1395</v>
      </c>
      <c r="E113" t="s">
        <v>1391</v>
      </c>
      <c r="F113" s="117" t="s">
        <v>1391</v>
      </c>
      <c r="G113" s="62" t="s">
        <v>400</v>
      </c>
      <c r="H113" s="60" t="str">
        <f>IF(Proc[[#This Row],[type]]="LFF (MDG-F)",MID(Proc[[#This Row],[Obj]],13,10),"")</f>
        <v/>
      </c>
      <c r="J113" s="60" t="b">
        <f>Proc[[#This Row],[Requested]]=Proc[[#This Row],[CurrentParent]]</f>
        <v>1</v>
      </c>
      <c r="K113" s="144" t="str">
        <f>IF(Proc[[#This Row],[Author]]="Marcela Urrego",VLOOKUP(LEFT(Proc[[#This Row],[Requested]],1),Table3[#All],2,0),VLOOKUP(Proc[[#This Row],[Author]],Table4[],2,0))</f>
        <v>LS</v>
      </c>
      <c r="L113" s="60" t="s">
        <v>401</v>
      </c>
      <c r="M113" s="71">
        <v>45649.394259259258</v>
      </c>
      <c r="N113" s="71">
        <v>45652</v>
      </c>
      <c r="O113" s="71">
        <v>45652</v>
      </c>
      <c r="P113" s="64" t="str">
        <f ca="1">IF(Proc[[#This Row],[DaysAgeing]]&gt;5,"yep","on track")</f>
        <v>on track</v>
      </c>
      <c r="Q113" s="3">
        <f ca="1">IF(Proc[[#This Row],[DateClosed]]="",ABS(NETWORKDAYS(Proc[[#This Row],[DateOpened]],TODAY()))-1,ABS(NETWORKDAYS(Proc[[#This Row],[DateOpened]],Proc[[#This Row],[DateClosed]]))-1)</f>
        <v>3</v>
      </c>
      <c r="R113" s="64" t="s">
        <v>830</v>
      </c>
      <c r="S113" s="60"/>
    </row>
    <row r="114" spans="1:19" hidden="1">
      <c r="A114" s="62" t="s">
        <v>1416</v>
      </c>
      <c r="B114" s="149" t="str">
        <f>IFERROR(VLOOKUP(Proc[[#This Row],[App]],Table2[],3,0),"open")</f>
        <v>ok</v>
      </c>
      <c r="C114" s="62" t="s">
        <v>369</v>
      </c>
      <c r="D114" t="s">
        <v>1396</v>
      </c>
      <c r="E114" t="s">
        <v>1391</v>
      </c>
      <c r="F114" s="117" t="s">
        <v>1391</v>
      </c>
      <c r="G114" s="62" t="s">
        <v>400</v>
      </c>
      <c r="H114" s="60" t="str">
        <f>IF(Proc[[#This Row],[type]]="LFF (MDG-F)",MID(Proc[[#This Row],[Obj]],13,10),"")</f>
        <v/>
      </c>
      <c r="J114" s="60" t="b">
        <f>Proc[[#This Row],[Requested]]=Proc[[#This Row],[CurrentParent]]</f>
        <v>1</v>
      </c>
      <c r="K114" s="144" t="str">
        <f>IF(Proc[[#This Row],[Author]]="Marcela Urrego",VLOOKUP(LEFT(Proc[[#This Row],[Requested]],1),Table3[#All],2,0),VLOOKUP(Proc[[#This Row],[Author]],Table4[],2,0))</f>
        <v>LS</v>
      </c>
      <c r="L114" s="60" t="s">
        <v>401</v>
      </c>
      <c r="M114" s="71">
        <v>45649.394259259258</v>
      </c>
      <c r="N114" s="71">
        <v>45652</v>
      </c>
      <c r="O114" s="71">
        <v>45652</v>
      </c>
      <c r="P114" s="64" t="str">
        <f ca="1">IF(Proc[[#This Row],[DaysAgeing]]&gt;5,"yep","on track")</f>
        <v>on track</v>
      </c>
      <c r="Q114" s="3">
        <f ca="1">IF(Proc[[#This Row],[DateClosed]]="",ABS(NETWORKDAYS(Proc[[#This Row],[DateOpened]],TODAY()))-1,ABS(NETWORKDAYS(Proc[[#This Row],[DateOpened]],Proc[[#This Row],[DateClosed]]))-1)</f>
        <v>3</v>
      </c>
      <c r="R114" s="64" t="s">
        <v>830</v>
      </c>
      <c r="S114" s="60"/>
    </row>
    <row r="115" spans="1:19" hidden="1">
      <c r="A115" s="62" t="s">
        <v>1416</v>
      </c>
      <c r="B115" s="149" t="str">
        <f>IFERROR(VLOOKUP(Proc[[#This Row],[App]],Table2[],3,0),"open")</f>
        <v>ok</v>
      </c>
      <c r="C115" s="62" t="s">
        <v>369</v>
      </c>
      <c r="D115" t="s">
        <v>1397</v>
      </c>
      <c r="E115" t="s">
        <v>1391</v>
      </c>
      <c r="F115" s="117" t="s">
        <v>1391</v>
      </c>
      <c r="G115" s="62" t="s">
        <v>400</v>
      </c>
      <c r="H115" s="60" t="str">
        <f>IF(Proc[[#This Row],[type]]="LFF (MDG-F)",MID(Proc[[#This Row],[Obj]],13,10),"")</f>
        <v/>
      </c>
      <c r="J115" s="60" t="b">
        <f>Proc[[#This Row],[Requested]]=Proc[[#This Row],[CurrentParent]]</f>
        <v>1</v>
      </c>
      <c r="K115" s="144" t="str">
        <f>IF(Proc[[#This Row],[Author]]="Marcela Urrego",VLOOKUP(LEFT(Proc[[#This Row],[Requested]],1),Table3[#All],2,0),VLOOKUP(Proc[[#This Row],[Author]],Table4[],2,0))</f>
        <v>LS</v>
      </c>
      <c r="L115" s="60" t="s">
        <v>401</v>
      </c>
      <c r="M115" s="71">
        <v>45649.394259259258</v>
      </c>
      <c r="N115" s="71">
        <v>45652</v>
      </c>
      <c r="O115" s="71">
        <v>45652</v>
      </c>
      <c r="P115" s="64" t="str">
        <f ca="1">IF(Proc[[#This Row],[DaysAgeing]]&gt;5,"yep","on track")</f>
        <v>on track</v>
      </c>
      <c r="Q115" s="3">
        <f ca="1">IF(Proc[[#This Row],[DateClosed]]="",ABS(NETWORKDAYS(Proc[[#This Row],[DateOpened]],TODAY()))-1,ABS(NETWORKDAYS(Proc[[#This Row],[DateOpened]],Proc[[#This Row],[DateClosed]]))-1)</f>
        <v>3</v>
      </c>
      <c r="R115" s="64" t="s">
        <v>830</v>
      </c>
      <c r="S115" s="60"/>
    </row>
    <row r="116" spans="1:19" hidden="1">
      <c r="A116" s="62" t="s">
        <v>1416</v>
      </c>
      <c r="B116" s="149" t="str">
        <f>IFERROR(VLOOKUP(Proc[[#This Row],[App]],Table2[],3,0),"open")</f>
        <v>ok</v>
      </c>
      <c r="C116" s="62" t="s">
        <v>369</v>
      </c>
      <c r="D116" t="s">
        <v>1398</v>
      </c>
      <c r="E116" t="s">
        <v>1391</v>
      </c>
      <c r="F116" s="117" t="s">
        <v>1391</v>
      </c>
      <c r="G116" s="62" t="s">
        <v>400</v>
      </c>
      <c r="H116" s="60" t="str">
        <f>IF(Proc[[#This Row],[type]]="LFF (MDG-F)",MID(Proc[[#This Row],[Obj]],13,10),"")</f>
        <v/>
      </c>
      <c r="J116" s="60" t="b">
        <f>Proc[[#This Row],[Requested]]=Proc[[#This Row],[CurrentParent]]</f>
        <v>1</v>
      </c>
      <c r="K116" s="144" t="str">
        <f>IF(Proc[[#This Row],[Author]]="Marcela Urrego",VLOOKUP(LEFT(Proc[[#This Row],[Requested]],1),Table3[#All],2,0),VLOOKUP(Proc[[#This Row],[Author]],Table4[],2,0))</f>
        <v>LS</v>
      </c>
      <c r="L116" s="60" t="s">
        <v>401</v>
      </c>
      <c r="M116" s="71">
        <v>45649.394259259258</v>
      </c>
      <c r="N116" s="71">
        <v>45652</v>
      </c>
      <c r="O116" s="71">
        <v>45652</v>
      </c>
      <c r="P116" s="64" t="str">
        <f ca="1">IF(Proc[[#This Row],[DaysAgeing]]&gt;5,"yep","on track")</f>
        <v>on track</v>
      </c>
      <c r="Q116" s="3">
        <f ca="1">IF(Proc[[#This Row],[DateClosed]]="",ABS(NETWORKDAYS(Proc[[#This Row],[DateOpened]],TODAY()))-1,ABS(NETWORKDAYS(Proc[[#This Row],[DateOpened]],Proc[[#This Row],[DateClosed]]))-1)</f>
        <v>3</v>
      </c>
      <c r="R116" s="64" t="s">
        <v>830</v>
      </c>
      <c r="S116" s="60"/>
    </row>
    <row r="117" spans="1:19" hidden="1">
      <c r="A117" s="62" t="s">
        <v>1416</v>
      </c>
      <c r="B117" s="149" t="str">
        <f>IFERROR(VLOOKUP(Proc[[#This Row],[App]],Table2[],3,0),"open")</f>
        <v>ok</v>
      </c>
      <c r="C117" s="62" t="s">
        <v>369</v>
      </c>
      <c r="D117" t="s">
        <v>1399</v>
      </c>
      <c r="E117" t="s">
        <v>1391</v>
      </c>
      <c r="F117" s="117" t="s">
        <v>1391</v>
      </c>
      <c r="G117" s="62" t="s">
        <v>400</v>
      </c>
      <c r="H117" s="60" t="str">
        <f>IF(Proc[[#This Row],[type]]="LFF (MDG-F)",MID(Proc[[#This Row],[Obj]],13,10),"")</f>
        <v/>
      </c>
      <c r="J117" s="60" t="b">
        <f>Proc[[#This Row],[Requested]]=Proc[[#This Row],[CurrentParent]]</f>
        <v>1</v>
      </c>
      <c r="K117" s="144" t="str">
        <f>IF(Proc[[#This Row],[Author]]="Marcela Urrego",VLOOKUP(LEFT(Proc[[#This Row],[Requested]],1),Table3[#All],2,0),VLOOKUP(Proc[[#This Row],[Author]],Table4[],2,0))</f>
        <v>LS</v>
      </c>
      <c r="L117" s="60" t="s">
        <v>401</v>
      </c>
      <c r="M117" s="71">
        <v>45649.394259259258</v>
      </c>
      <c r="N117" s="71">
        <v>45652</v>
      </c>
      <c r="O117" s="71">
        <v>45652</v>
      </c>
      <c r="P117" s="64" t="str">
        <f ca="1">IF(Proc[[#This Row],[DaysAgeing]]&gt;5,"yep","on track")</f>
        <v>on track</v>
      </c>
      <c r="Q117" s="3">
        <f ca="1">IF(Proc[[#This Row],[DateClosed]]="",ABS(NETWORKDAYS(Proc[[#This Row],[DateOpened]],TODAY()))-1,ABS(NETWORKDAYS(Proc[[#This Row],[DateOpened]],Proc[[#This Row],[DateClosed]]))-1)</f>
        <v>3</v>
      </c>
      <c r="R117" s="64" t="s">
        <v>830</v>
      </c>
      <c r="S117" s="60"/>
    </row>
    <row r="118" spans="1:19" hidden="1">
      <c r="A118" s="62" t="s">
        <v>1416</v>
      </c>
      <c r="B118" s="149" t="str">
        <f>IFERROR(VLOOKUP(Proc[[#This Row],[App]],Table2[],3,0),"open")</f>
        <v>ok</v>
      </c>
      <c r="C118" s="62" t="s">
        <v>369</v>
      </c>
      <c r="D118" t="s">
        <v>1400</v>
      </c>
      <c r="E118" t="s">
        <v>1391</v>
      </c>
      <c r="F118" s="117" t="s">
        <v>1391</v>
      </c>
      <c r="G118" s="62" t="s">
        <v>400</v>
      </c>
      <c r="H118" s="60" t="str">
        <f>IF(Proc[[#This Row],[type]]="LFF (MDG-F)",MID(Proc[[#This Row],[Obj]],13,10),"")</f>
        <v/>
      </c>
      <c r="J118" s="60" t="b">
        <f>Proc[[#This Row],[Requested]]=Proc[[#This Row],[CurrentParent]]</f>
        <v>1</v>
      </c>
      <c r="K118" s="144" t="str">
        <f>IF(Proc[[#This Row],[Author]]="Marcela Urrego",VLOOKUP(LEFT(Proc[[#This Row],[Requested]],1),Table3[#All],2,0),VLOOKUP(Proc[[#This Row],[Author]],Table4[],2,0))</f>
        <v>LS</v>
      </c>
      <c r="L118" s="60" t="s">
        <v>401</v>
      </c>
      <c r="M118" s="71">
        <v>45649.394259259258</v>
      </c>
      <c r="N118" s="71">
        <v>45652</v>
      </c>
      <c r="O118" s="71">
        <v>45652</v>
      </c>
      <c r="P118" s="64" t="str">
        <f ca="1">IF(Proc[[#This Row],[DaysAgeing]]&gt;5,"yep","on track")</f>
        <v>on track</v>
      </c>
      <c r="Q118" s="3">
        <f ca="1">IF(Proc[[#This Row],[DateClosed]]="",ABS(NETWORKDAYS(Proc[[#This Row],[DateOpened]],TODAY()))-1,ABS(NETWORKDAYS(Proc[[#This Row],[DateOpened]],Proc[[#This Row],[DateClosed]]))-1)</f>
        <v>3</v>
      </c>
      <c r="R118" s="64" t="s">
        <v>830</v>
      </c>
      <c r="S118" s="60"/>
    </row>
    <row r="119" spans="1:19" hidden="1">
      <c r="A119" s="62" t="s">
        <v>1416</v>
      </c>
      <c r="B119" s="149" t="str">
        <f>IFERROR(VLOOKUP(Proc[[#This Row],[App]],Table2[],3,0),"open")</f>
        <v>ok</v>
      </c>
      <c r="C119" s="62" t="s">
        <v>369</v>
      </c>
      <c r="D119" t="s">
        <v>1401</v>
      </c>
      <c r="E119" t="s">
        <v>1391</v>
      </c>
      <c r="F119" s="117" t="s">
        <v>1391</v>
      </c>
      <c r="G119" s="62" t="s">
        <v>400</v>
      </c>
      <c r="H119" s="60" t="str">
        <f>IF(Proc[[#This Row],[type]]="LFF (MDG-F)",MID(Proc[[#This Row],[Obj]],13,10),"")</f>
        <v/>
      </c>
      <c r="J119" s="60" t="b">
        <f>Proc[[#This Row],[Requested]]=Proc[[#This Row],[CurrentParent]]</f>
        <v>1</v>
      </c>
      <c r="K119" s="144" t="str">
        <f>IF(Proc[[#This Row],[Author]]="Marcela Urrego",VLOOKUP(LEFT(Proc[[#This Row],[Requested]],1),Table3[#All],2,0),VLOOKUP(Proc[[#This Row],[Author]],Table4[],2,0))</f>
        <v>LS</v>
      </c>
      <c r="L119" s="60" t="s">
        <v>401</v>
      </c>
      <c r="M119" s="71">
        <v>45649.394259259258</v>
      </c>
      <c r="N119" s="71">
        <v>45652</v>
      </c>
      <c r="O119" s="71">
        <v>45652</v>
      </c>
      <c r="P119" s="64" t="str">
        <f ca="1">IF(Proc[[#This Row],[DaysAgeing]]&gt;5,"yep","on track")</f>
        <v>on track</v>
      </c>
      <c r="Q119" s="3">
        <f ca="1">IF(Proc[[#This Row],[DateClosed]]="",ABS(NETWORKDAYS(Proc[[#This Row],[DateOpened]],TODAY()))-1,ABS(NETWORKDAYS(Proc[[#This Row],[DateOpened]],Proc[[#This Row],[DateClosed]]))-1)</f>
        <v>3</v>
      </c>
      <c r="R119" s="64" t="s">
        <v>830</v>
      </c>
      <c r="S119" s="60"/>
    </row>
    <row r="120" spans="1:19" hidden="1">
      <c r="A120" s="62" t="s">
        <v>1416</v>
      </c>
      <c r="B120" s="149" t="str">
        <f>IFERROR(VLOOKUP(Proc[[#This Row],[App]],Table2[],3,0),"open")</f>
        <v>ok</v>
      </c>
      <c r="C120" s="62" t="s">
        <v>369</v>
      </c>
      <c r="D120" t="s">
        <v>1402</v>
      </c>
      <c r="E120" t="s">
        <v>416</v>
      </c>
      <c r="F120" s="117" t="s">
        <v>416</v>
      </c>
      <c r="G120" s="62" t="s">
        <v>400</v>
      </c>
      <c r="H120" s="60" t="str">
        <f>IF(Proc[[#This Row],[type]]="LFF (MDG-F)",MID(Proc[[#This Row],[Obj]],13,10),"")</f>
        <v/>
      </c>
      <c r="J120" s="60" t="b">
        <f>Proc[[#This Row],[Requested]]=Proc[[#This Row],[CurrentParent]]</f>
        <v>1</v>
      </c>
      <c r="K120" s="144" t="str">
        <f>IF(Proc[[#This Row],[Author]]="Marcela Urrego",VLOOKUP(LEFT(Proc[[#This Row],[Requested]],1),Table3[#All],2,0),VLOOKUP(Proc[[#This Row],[Author]],Table4[],2,0))</f>
        <v>LS</v>
      </c>
      <c r="L120" s="60" t="s">
        <v>401</v>
      </c>
      <c r="M120" s="71">
        <v>45649.394259259258</v>
      </c>
      <c r="N120" s="71">
        <v>45652</v>
      </c>
      <c r="O120" s="71">
        <v>45652</v>
      </c>
      <c r="P120" s="64" t="str">
        <f ca="1">IF(Proc[[#This Row],[DaysAgeing]]&gt;5,"yep","on track")</f>
        <v>on track</v>
      </c>
      <c r="Q120" s="3">
        <f ca="1">IF(Proc[[#This Row],[DateClosed]]="",ABS(NETWORKDAYS(Proc[[#This Row],[DateOpened]],TODAY()))-1,ABS(NETWORKDAYS(Proc[[#This Row],[DateOpened]],Proc[[#This Row],[DateClosed]]))-1)</f>
        <v>3</v>
      </c>
      <c r="R120" s="64" t="s">
        <v>830</v>
      </c>
      <c r="S120" s="60"/>
    </row>
    <row r="121" spans="1:19" hidden="1">
      <c r="A121" s="62" t="s">
        <v>1416</v>
      </c>
      <c r="B121" s="149" t="str">
        <f>IFERROR(VLOOKUP(Proc[[#This Row],[App]],Table2[],3,0),"open")</f>
        <v>ok</v>
      </c>
      <c r="C121" s="62" t="s">
        <v>369</v>
      </c>
      <c r="D121" t="s">
        <v>1403</v>
      </c>
      <c r="E121" t="s">
        <v>1404</v>
      </c>
      <c r="F121" s="117" t="s">
        <v>1404</v>
      </c>
      <c r="G121" s="62" t="s">
        <v>400</v>
      </c>
      <c r="H121" s="60" t="str">
        <f>IF(Proc[[#This Row],[type]]="LFF (MDG-F)",MID(Proc[[#This Row],[Obj]],13,10),"")</f>
        <v/>
      </c>
      <c r="J121" s="60" t="b">
        <f>Proc[[#This Row],[Requested]]=Proc[[#This Row],[CurrentParent]]</f>
        <v>1</v>
      </c>
      <c r="K121" s="144" t="str">
        <f>IF(Proc[[#This Row],[Author]]="Marcela Urrego",VLOOKUP(LEFT(Proc[[#This Row],[Requested]],1),Table3[#All],2,0),VLOOKUP(Proc[[#This Row],[Author]],Table4[],2,0))</f>
        <v>LS</v>
      </c>
      <c r="L121" s="60" t="s">
        <v>401</v>
      </c>
      <c r="M121" s="71">
        <v>45649.394259259258</v>
      </c>
      <c r="N121" s="71">
        <v>45652</v>
      </c>
      <c r="O121" s="71">
        <v>45652</v>
      </c>
      <c r="P121" s="64" t="str">
        <f ca="1">IF(Proc[[#This Row],[DaysAgeing]]&gt;5,"yep","on track")</f>
        <v>on track</v>
      </c>
      <c r="Q121" s="3">
        <f ca="1">IF(Proc[[#This Row],[DateClosed]]="",ABS(NETWORKDAYS(Proc[[#This Row],[DateOpened]],TODAY()))-1,ABS(NETWORKDAYS(Proc[[#This Row],[DateOpened]],Proc[[#This Row],[DateClosed]]))-1)</f>
        <v>3</v>
      </c>
      <c r="R121" s="64" t="s">
        <v>830</v>
      </c>
      <c r="S121" s="60"/>
    </row>
    <row r="122" spans="1:19" hidden="1">
      <c r="A122" s="62" t="s">
        <v>1416</v>
      </c>
      <c r="B122" s="149" t="str">
        <f>IFERROR(VLOOKUP(Proc[[#This Row],[App]],Table2[],3,0),"open")</f>
        <v>ok</v>
      </c>
      <c r="C122" s="62" t="s">
        <v>369</v>
      </c>
      <c r="D122" t="s">
        <v>1405</v>
      </c>
      <c r="E122" t="s">
        <v>1404</v>
      </c>
      <c r="F122" s="117" t="s">
        <v>1404</v>
      </c>
      <c r="G122" s="62" t="s">
        <v>400</v>
      </c>
      <c r="H122" s="60" t="str">
        <f>IF(Proc[[#This Row],[type]]="LFF (MDG-F)",MID(Proc[[#This Row],[Obj]],13,10),"")</f>
        <v/>
      </c>
      <c r="J122" s="60" t="b">
        <f>Proc[[#This Row],[Requested]]=Proc[[#This Row],[CurrentParent]]</f>
        <v>1</v>
      </c>
      <c r="K122" s="144" t="str">
        <f>IF(Proc[[#This Row],[Author]]="Marcela Urrego",VLOOKUP(LEFT(Proc[[#This Row],[Requested]],1),Table3[#All],2,0),VLOOKUP(Proc[[#This Row],[Author]],Table4[],2,0))</f>
        <v>LS</v>
      </c>
      <c r="L122" s="60" t="s">
        <v>401</v>
      </c>
      <c r="M122" s="71">
        <v>45649.394259259258</v>
      </c>
      <c r="N122" s="71">
        <v>45652</v>
      </c>
      <c r="O122" s="71">
        <v>45652</v>
      </c>
      <c r="P122" s="64" t="str">
        <f ca="1">IF(Proc[[#This Row],[DaysAgeing]]&gt;5,"yep","on track")</f>
        <v>on track</v>
      </c>
      <c r="Q122" s="3">
        <f ca="1">IF(Proc[[#This Row],[DateClosed]]="",ABS(NETWORKDAYS(Proc[[#This Row],[DateOpened]],TODAY()))-1,ABS(NETWORKDAYS(Proc[[#This Row],[DateOpened]],Proc[[#This Row],[DateClosed]]))-1)</f>
        <v>3</v>
      </c>
      <c r="R122" s="64" t="s">
        <v>830</v>
      </c>
      <c r="S122" s="60"/>
    </row>
    <row r="123" spans="1:19" hidden="1">
      <c r="A123" s="62" t="s">
        <v>1416</v>
      </c>
      <c r="B123" s="149" t="str">
        <f>IFERROR(VLOOKUP(Proc[[#This Row],[App]],Table2[],3,0),"open")</f>
        <v>ok</v>
      </c>
      <c r="C123" s="62" t="s">
        <v>369</v>
      </c>
      <c r="D123" t="s">
        <v>1406</v>
      </c>
      <c r="E123" t="s">
        <v>1404</v>
      </c>
      <c r="F123" s="117" t="s">
        <v>1404</v>
      </c>
      <c r="G123" s="62" t="s">
        <v>400</v>
      </c>
      <c r="H123" s="60" t="str">
        <f>IF(Proc[[#This Row],[type]]="LFF (MDG-F)",MID(Proc[[#This Row],[Obj]],13,10),"")</f>
        <v/>
      </c>
      <c r="J123" s="60" t="b">
        <f>Proc[[#This Row],[Requested]]=Proc[[#This Row],[CurrentParent]]</f>
        <v>1</v>
      </c>
      <c r="K123" s="144" t="str">
        <f>IF(Proc[[#This Row],[Author]]="Marcela Urrego",VLOOKUP(LEFT(Proc[[#This Row],[Requested]],1),Table3[#All],2,0),VLOOKUP(Proc[[#This Row],[Author]],Table4[],2,0))</f>
        <v>LS</v>
      </c>
      <c r="L123" s="60" t="s">
        <v>401</v>
      </c>
      <c r="M123" s="71">
        <v>45649.394259259258</v>
      </c>
      <c r="N123" s="71">
        <v>45652</v>
      </c>
      <c r="O123" s="71">
        <v>45652</v>
      </c>
      <c r="P123" s="64" t="str">
        <f ca="1">IF(Proc[[#This Row],[DaysAgeing]]&gt;5,"yep","on track")</f>
        <v>on track</v>
      </c>
      <c r="Q123" s="3">
        <f ca="1">IF(Proc[[#This Row],[DateClosed]]="",ABS(NETWORKDAYS(Proc[[#This Row],[DateOpened]],TODAY()))-1,ABS(NETWORKDAYS(Proc[[#This Row],[DateOpened]],Proc[[#This Row],[DateClosed]]))-1)</f>
        <v>3</v>
      </c>
      <c r="R123" s="64" t="s">
        <v>830</v>
      </c>
      <c r="S123" s="60"/>
    </row>
    <row r="124" spans="1:19" hidden="1">
      <c r="A124" s="62" t="s">
        <v>1416</v>
      </c>
      <c r="B124" s="149" t="str">
        <f>IFERROR(VLOOKUP(Proc[[#This Row],[App]],Table2[],3,0),"open")</f>
        <v>ok</v>
      </c>
      <c r="C124" s="62" t="s">
        <v>369</v>
      </c>
      <c r="D124" t="s">
        <v>1407</v>
      </c>
      <c r="E124" t="s">
        <v>1404</v>
      </c>
      <c r="F124" s="117" t="s">
        <v>1404</v>
      </c>
      <c r="G124" s="62" t="s">
        <v>400</v>
      </c>
      <c r="H124" s="60" t="str">
        <f>IF(Proc[[#This Row],[type]]="LFF (MDG-F)",MID(Proc[[#This Row],[Obj]],13,10),"")</f>
        <v/>
      </c>
      <c r="J124" s="60" t="b">
        <f>Proc[[#This Row],[Requested]]=Proc[[#This Row],[CurrentParent]]</f>
        <v>1</v>
      </c>
      <c r="K124" s="144" t="str">
        <f>IF(Proc[[#This Row],[Author]]="Marcela Urrego",VLOOKUP(LEFT(Proc[[#This Row],[Requested]],1),Table3[#All],2,0),VLOOKUP(Proc[[#This Row],[Author]],Table4[],2,0))</f>
        <v>LS</v>
      </c>
      <c r="L124" s="60" t="s">
        <v>401</v>
      </c>
      <c r="M124" s="71">
        <v>45649.394259259258</v>
      </c>
      <c r="N124" s="71">
        <v>45652</v>
      </c>
      <c r="O124" s="71">
        <v>45652</v>
      </c>
      <c r="P124" s="64" t="str">
        <f ca="1">IF(Proc[[#This Row],[DaysAgeing]]&gt;5,"yep","on track")</f>
        <v>on track</v>
      </c>
      <c r="Q124" s="3">
        <f ca="1">IF(Proc[[#This Row],[DateClosed]]="",ABS(NETWORKDAYS(Proc[[#This Row],[DateOpened]],TODAY()))-1,ABS(NETWORKDAYS(Proc[[#This Row],[DateOpened]],Proc[[#This Row],[DateClosed]]))-1)</f>
        <v>3</v>
      </c>
      <c r="R124" s="64" t="s">
        <v>830</v>
      </c>
      <c r="S124" s="60"/>
    </row>
    <row r="125" spans="1:19" hidden="1">
      <c r="A125" s="62" t="s">
        <v>1416</v>
      </c>
      <c r="B125" s="149" t="str">
        <f>IFERROR(VLOOKUP(Proc[[#This Row],[App]],Table2[],3,0),"open")</f>
        <v>ok</v>
      </c>
      <c r="C125" s="62" t="s">
        <v>369</v>
      </c>
      <c r="D125" t="s">
        <v>1408</v>
      </c>
      <c r="E125" t="s">
        <v>1409</v>
      </c>
      <c r="F125" s="117" t="s">
        <v>1409</v>
      </c>
      <c r="G125" s="62" t="s">
        <v>400</v>
      </c>
      <c r="H125" s="60" t="str">
        <f>IF(Proc[[#This Row],[type]]="LFF (MDG-F)",MID(Proc[[#This Row],[Obj]],13,10),"")</f>
        <v/>
      </c>
      <c r="J125" s="60" t="b">
        <f>Proc[[#This Row],[Requested]]=Proc[[#This Row],[CurrentParent]]</f>
        <v>1</v>
      </c>
      <c r="K125" s="144" t="str">
        <f>IF(Proc[[#This Row],[Author]]="Marcela Urrego",VLOOKUP(LEFT(Proc[[#This Row],[Requested]],1),Table3[#All],2,0),VLOOKUP(Proc[[#This Row],[Author]],Table4[],2,0))</f>
        <v>LS</v>
      </c>
      <c r="L125" s="60" t="s">
        <v>401</v>
      </c>
      <c r="M125" s="71">
        <v>45649.394259259258</v>
      </c>
      <c r="N125" s="71">
        <v>45652</v>
      </c>
      <c r="O125" s="71">
        <v>45652</v>
      </c>
      <c r="P125" s="64" t="str">
        <f ca="1">IF(Proc[[#This Row],[DaysAgeing]]&gt;5,"yep","on track")</f>
        <v>on track</v>
      </c>
      <c r="Q125" s="3">
        <f ca="1">IF(Proc[[#This Row],[DateClosed]]="",ABS(NETWORKDAYS(Proc[[#This Row],[DateOpened]],TODAY()))-1,ABS(NETWORKDAYS(Proc[[#This Row],[DateOpened]],Proc[[#This Row],[DateClosed]]))-1)</f>
        <v>3</v>
      </c>
      <c r="R125" s="64" t="s">
        <v>830</v>
      </c>
      <c r="S125" s="60"/>
    </row>
    <row r="126" spans="1:19" hidden="1">
      <c r="A126" s="62" t="s">
        <v>1416</v>
      </c>
      <c r="B126" s="149" t="str">
        <f>IFERROR(VLOOKUP(Proc[[#This Row],[App]],Table2[],3,0),"open")</f>
        <v>ok</v>
      </c>
      <c r="C126" s="62" t="s">
        <v>369</v>
      </c>
      <c r="D126" t="s">
        <v>1410</v>
      </c>
      <c r="E126" t="s">
        <v>1411</v>
      </c>
      <c r="F126" s="117" t="s">
        <v>1411</v>
      </c>
      <c r="G126" s="62" t="s">
        <v>400</v>
      </c>
      <c r="H126" s="60" t="str">
        <f>IF(Proc[[#This Row],[type]]="LFF (MDG-F)",MID(Proc[[#This Row],[Obj]],13,10),"")</f>
        <v/>
      </c>
      <c r="J126" s="60" t="b">
        <f>Proc[[#This Row],[Requested]]=Proc[[#This Row],[CurrentParent]]</f>
        <v>1</v>
      </c>
      <c r="K126" s="144" t="str">
        <f>IF(Proc[[#This Row],[Author]]="Marcela Urrego",VLOOKUP(LEFT(Proc[[#This Row],[Requested]],1),Table3[#All],2,0),VLOOKUP(Proc[[#This Row],[Author]],Table4[],2,0))</f>
        <v>LS</v>
      </c>
      <c r="L126" s="60" t="s">
        <v>401</v>
      </c>
      <c r="M126" s="71">
        <v>45649.394259259258</v>
      </c>
      <c r="N126" s="71">
        <v>45652</v>
      </c>
      <c r="O126" s="71">
        <v>45652</v>
      </c>
      <c r="P126" s="64" t="str">
        <f ca="1">IF(Proc[[#This Row],[DaysAgeing]]&gt;5,"yep","on track")</f>
        <v>on track</v>
      </c>
      <c r="Q126" s="3">
        <f ca="1">IF(Proc[[#This Row],[DateClosed]]="",ABS(NETWORKDAYS(Proc[[#This Row],[DateOpened]],TODAY()))-1,ABS(NETWORKDAYS(Proc[[#This Row],[DateOpened]],Proc[[#This Row],[DateClosed]]))-1)</f>
        <v>3</v>
      </c>
      <c r="R126" s="64" t="s">
        <v>830</v>
      </c>
      <c r="S126" s="60"/>
    </row>
    <row r="127" spans="1:19" hidden="1">
      <c r="A127" s="62" t="s">
        <v>1416</v>
      </c>
      <c r="B127" s="149" t="str">
        <f>IFERROR(VLOOKUP(Proc[[#This Row],[App]],Table2[],3,0),"open")</f>
        <v>ok</v>
      </c>
      <c r="C127" s="62" t="s">
        <v>369</v>
      </c>
      <c r="D127" t="s">
        <v>1412</v>
      </c>
      <c r="E127" t="s">
        <v>1411</v>
      </c>
      <c r="F127" s="117" t="s">
        <v>1411</v>
      </c>
      <c r="G127" s="62" t="s">
        <v>400</v>
      </c>
      <c r="H127" s="60" t="str">
        <f>IF(Proc[[#This Row],[type]]="LFF (MDG-F)",MID(Proc[[#This Row],[Obj]],13,10),"")</f>
        <v/>
      </c>
      <c r="J127" s="60" t="b">
        <f>Proc[[#This Row],[Requested]]=Proc[[#This Row],[CurrentParent]]</f>
        <v>1</v>
      </c>
      <c r="K127" s="144" t="str">
        <f>IF(Proc[[#This Row],[Author]]="Marcela Urrego",VLOOKUP(LEFT(Proc[[#This Row],[Requested]],1),Table3[#All],2,0),VLOOKUP(Proc[[#This Row],[Author]],Table4[],2,0))</f>
        <v>LS</v>
      </c>
      <c r="L127" s="60" t="s">
        <v>401</v>
      </c>
      <c r="M127" s="71">
        <v>45649.394259259258</v>
      </c>
      <c r="N127" s="71">
        <v>45652</v>
      </c>
      <c r="O127" s="71">
        <v>45652</v>
      </c>
      <c r="P127" s="64" t="str">
        <f ca="1">IF(Proc[[#This Row],[DaysAgeing]]&gt;5,"yep","on track")</f>
        <v>on track</v>
      </c>
      <c r="Q127" s="3">
        <f ca="1">IF(Proc[[#This Row],[DateClosed]]="",ABS(NETWORKDAYS(Proc[[#This Row],[DateOpened]],TODAY()))-1,ABS(NETWORKDAYS(Proc[[#This Row],[DateOpened]],Proc[[#This Row],[DateClosed]]))-1)</f>
        <v>3</v>
      </c>
      <c r="R127" s="64" t="s">
        <v>830</v>
      </c>
      <c r="S127" s="60"/>
    </row>
    <row r="128" spans="1:19" hidden="1">
      <c r="A128" s="62" t="s">
        <v>1416</v>
      </c>
      <c r="B128" s="149" t="str">
        <f>IFERROR(VLOOKUP(Proc[[#This Row],[App]],Table2[],3,0),"open")</f>
        <v>ok</v>
      </c>
      <c r="C128" s="62" t="s">
        <v>369</v>
      </c>
      <c r="D128" t="s">
        <v>1413</v>
      </c>
      <c r="E128" t="s">
        <v>1237</v>
      </c>
      <c r="F128" s="117" t="s">
        <v>1237</v>
      </c>
      <c r="G128" t="s">
        <v>400</v>
      </c>
      <c r="H128" s="60" t="str">
        <f>IF(Proc[[#This Row],[type]]="LFF (MDG-F)",MID(Proc[[#This Row],[Obj]],13,10),"")</f>
        <v/>
      </c>
      <c r="J128" s="60" t="b">
        <f>Proc[[#This Row],[Requested]]=Proc[[#This Row],[CurrentParent]]</f>
        <v>1</v>
      </c>
      <c r="K128" s="144" t="str">
        <f>IF(Proc[[#This Row],[Author]]="Marcela Urrego",VLOOKUP(LEFT(Proc[[#This Row],[Requested]],1),Table3[#All],2,0),VLOOKUP(Proc[[#This Row],[Author]],Table4[],2,0))</f>
        <v>LS</v>
      </c>
      <c r="L128" s="60" t="s">
        <v>401</v>
      </c>
      <c r="M128" s="71">
        <v>45649.394259259258</v>
      </c>
      <c r="N128" s="71">
        <v>45652</v>
      </c>
      <c r="O128" s="71">
        <v>45652</v>
      </c>
      <c r="P128" s="64" t="str">
        <f ca="1">IF(Proc[[#This Row],[DaysAgeing]]&gt;5,"yep","on track")</f>
        <v>on track</v>
      </c>
      <c r="Q128" s="3">
        <f ca="1">IF(Proc[[#This Row],[DateClosed]]="",ABS(NETWORKDAYS(Proc[[#This Row],[DateOpened]],TODAY()))-1,ABS(NETWORKDAYS(Proc[[#This Row],[DateOpened]],Proc[[#This Row],[DateClosed]]))-1)</f>
        <v>3</v>
      </c>
      <c r="R128" s="64" t="s">
        <v>830</v>
      </c>
      <c r="S128" s="60"/>
    </row>
    <row r="129" spans="1:19" hidden="1">
      <c r="A129" s="62" t="s">
        <v>1416</v>
      </c>
      <c r="B129" s="149" t="str">
        <f>IFERROR(VLOOKUP(Proc[[#This Row],[App]],Table2[],3,0),"open")</f>
        <v>ok</v>
      </c>
      <c r="C129" s="62" t="s">
        <v>369</v>
      </c>
      <c r="D129" t="s">
        <v>1414</v>
      </c>
      <c r="E129" t="s">
        <v>1415</v>
      </c>
      <c r="F129" s="117" t="s">
        <v>1415</v>
      </c>
      <c r="G129" t="s">
        <v>406</v>
      </c>
      <c r="H129" s="60" t="str">
        <f>IF(Proc[[#This Row],[type]]="LFF (MDG-F)",MID(Proc[[#This Row],[Obj]],13,10),"")</f>
        <v>2053L44109</v>
      </c>
      <c r="J129" s="60" t="b">
        <f>Proc[[#This Row],[Requested]]=Proc[[#This Row],[CurrentParent]]</f>
        <v>1</v>
      </c>
      <c r="K129" s="144" t="str">
        <f>IF(Proc[[#This Row],[Author]]="Marcela Urrego",VLOOKUP(LEFT(Proc[[#This Row],[Requested]],1),Table3[#All],2,0),VLOOKUP(Proc[[#This Row],[Author]],Table4[],2,0))</f>
        <v>LS</v>
      </c>
      <c r="L129" s="60" t="s">
        <v>401</v>
      </c>
      <c r="M129" s="71">
        <v>45649.394259259258</v>
      </c>
      <c r="N129" s="71">
        <v>45652</v>
      </c>
      <c r="O129" s="71">
        <v>45652</v>
      </c>
      <c r="P129" s="64" t="str">
        <f ca="1">IF(Proc[[#This Row],[DaysAgeing]]&gt;5,"yep","on track")</f>
        <v>on track</v>
      </c>
      <c r="Q129" s="3">
        <f ca="1">IF(Proc[[#This Row],[DateClosed]]="",ABS(NETWORKDAYS(Proc[[#This Row],[DateOpened]],TODAY()))-1,ABS(NETWORKDAYS(Proc[[#This Row],[DateOpened]],Proc[[#This Row],[DateClosed]]))-1)</f>
        <v>3</v>
      </c>
      <c r="R129" s="64" t="s">
        <v>830</v>
      </c>
      <c r="S129" s="60"/>
    </row>
    <row r="130" spans="1:19" hidden="1">
      <c r="A130" t="s">
        <v>1419</v>
      </c>
      <c r="B130" s="149" t="str">
        <f>IFERROR(VLOOKUP(Proc[[#This Row],[App]],Table2[],3,0),"open")</f>
        <v>ok</v>
      </c>
      <c r="C130" s="62" t="s">
        <v>369</v>
      </c>
      <c r="D130" t="s">
        <v>1417</v>
      </c>
      <c r="E130" t="s">
        <v>735</v>
      </c>
      <c r="F130" s="117" t="s">
        <v>735</v>
      </c>
      <c r="G130" s="62" t="s">
        <v>406</v>
      </c>
      <c r="H130" s="60" t="str">
        <f>IF(Proc[[#This Row],[type]]="LFF (MDG-F)",MID(Proc[[#This Row],[Obj]],13,10),"")</f>
        <v>CH01Z01000</v>
      </c>
      <c r="J130" s="60" t="b">
        <f>Proc[[#This Row],[Requested]]=Proc[[#This Row],[CurrentParent]]</f>
        <v>1</v>
      </c>
      <c r="K130" s="144" t="str">
        <f>IF(Proc[[#This Row],[Author]]="Marcela Urrego",VLOOKUP(LEFT(Proc[[#This Row],[Requested]],1),Table3[#All],2,0),VLOOKUP(Proc[[#This Row],[Author]],Table4[],2,0))</f>
        <v>MGF</v>
      </c>
      <c r="L130" s="60" t="s">
        <v>401</v>
      </c>
      <c r="M130" s="71">
        <v>45649.402777777781</v>
      </c>
      <c r="N130" s="71">
        <v>45652</v>
      </c>
      <c r="O130" s="71">
        <v>45652</v>
      </c>
      <c r="P130" s="64" t="str">
        <f ca="1">IF(Proc[[#This Row],[DaysAgeing]]&gt;5,"yep","on track")</f>
        <v>on track</v>
      </c>
      <c r="Q130" s="3">
        <f ca="1">IF(Proc[[#This Row],[DateClosed]]="",ABS(NETWORKDAYS(Proc[[#This Row],[DateOpened]],TODAY()))-1,ABS(NETWORKDAYS(Proc[[#This Row],[DateOpened]],Proc[[#This Row],[DateClosed]]))-1)</f>
        <v>3</v>
      </c>
      <c r="R130" s="64" t="s">
        <v>1076</v>
      </c>
      <c r="S130" s="60"/>
    </row>
    <row r="131" spans="1:19" hidden="1">
      <c r="A131" t="s">
        <v>1419</v>
      </c>
      <c r="B131" s="149" t="str">
        <f>IFERROR(VLOOKUP(Proc[[#This Row],[App]],Table2[],3,0),"open")</f>
        <v>ok</v>
      </c>
      <c r="C131" s="62" t="s">
        <v>369</v>
      </c>
      <c r="D131" t="s">
        <v>1418</v>
      </c>
      <c r="E131" t="s">
        <v>735</v>
      </c>
      <c r="F131" s="117" t="s">
        <v>735</v>
      </c>
      <c r="G131" s="62" t="s">
        <v>406</v>
      </c>
      <c r="H131" s="60" t="str">
        <f>IF(Proc[[#This Row],[type]]="LFF (MDG-F)",MID(Proc[[#This Row],[Obj]],13,10),"")</f>
        <v>DE01Z01000</v>
      </c>
      <c r="J131" s="60" t="b">
        <f>Proc[[#This Row],[Requested]]=Proc[[#This Row],[CurrentParent]]</f>
        <v>1</v>
      </c>
      <c r="K131" s="144" t="str">
        <f>IF(Proc[[#This Row],[Author]]="Marcela Urrego",VLOOKUP(LEFT(Proc[[#This Row],[Requested]],1),Table3[#All],2,0),VLOOKUP(Proc[[#This Row],[Author]],Table4[],2,0))</f>
        <v>MGF</v>
      </c>
      <c r="L131" s="60" t="s">
        <v>401</v>
      </c>
      <c r="M131" s="71">
        <v>45649.402777777781</v>
      </c>
      <c r="N131" s="71">
        <v>45652</v>
      </c>
      <c r="O131" s="71">
        <v>45652</v>
      </c>
      <c r="P131" s="64" t="str">
        <f ca="1">IF(Proc[[#This Row],[DaysAgeing]]&gt;5,"yep","on track")</f>
        <v>on track</v>
      </c>
      <c r="Q131" s="3">
        <f ca="1">IF(Proc[[#This Row],[DateClosed]]="",ABS(NETWORKDAYS(Proc[[#This Row],[DateOpened]],TODAY()))-1,ABS(NETWORKDAYS(Proc[[#This Row],[DateOpened]],Proc[[#This Row],[DateClosed]]))-1)</f>
        <v>3</v>
      </c>
      <c r="R131" s="64" t="s">
        <v>1076</v>
      </c>
      <c r="S131" s="60"/>
    </row>
    <row r="132" spans="1:19" hidden="1">
      <c r="A132" t="s">
        <v>1451</v>
      </c>
      <c r="B132" s="149" t="str">
        <f>IFERROR(VLOOKUP(Proc[[#This Row],[App]],Table2[],3,0),"open")</f>
        <v>ok</v>
      </c>
      <c r="C132" t="s">
        <v>369</v>
      </c>
      <c r="D132" s="45" t="s">
        <v>1422</v>
      </c>
      <c r="E132" s="45" t="s">
        <v>774</v>
      </c>
      <c r="F132" s="117" t="s">
        <v>774</v>
      </c>
      <c r="G132" s="62" t="s">
        <v>400</v>
      </c>
      <c r="H132" s="60" t="str">
        <f>IF(Proc[[#This Row],[type]]="LFF (MDG-F)",MID(Proc[[#This Row],[Obj]],13,10),"")</f>
        <v/>
      </c>
      <c r="J132" s="60" t="b">
        <f>Proc[[#This Row],[Requested]]=Proc[[#This Row],[CurrentParent]]</f>
        <v>1</v>
      </c>
      <c r="K132" s="144" t="str">
        <f>IF(Proc[[#This Row],[Author]]="Marcela Urrego",VLOOKUP(LEFT(Proc[[#This Row],[Requested]],1),Table3[#All],2,0),VLOOKUP(Proc[[#This Row],[Author]],Table4[],2,0))</f>
        <v>LS</v>
      </c>
      <c r="L132" s="60" t="s">
        <v>401</v>
      </c>
      <c r="M132" s="71">
        <v>45652.450636574074</v>
      </c>
      <c r="N132" s="71">
        <v>45659</v>
      </c>
      <c r="O132" s="71">
        <v>45659</v>
      </c>
      <c r="P132" s="64" t="str">
        <f ca="1">IF(Proc[[#This Row],[DaysAgeing]]&gt;5,"yep","on track")</f>
        <v>on track</v>
      </c>
      <c r="Q132" s="3">
        <f ca="1">IF(Proc[[#This Row],[DateClosed]]="",ABS(NETWORKDAYS(Proc[[#This Row],[DateOpened]],TODAY()))-1,ABS(NETWORKDAYS(Proc[[#This Row],[DateOpened]],Proc[[#This Row],[DateClosed]]))-1)</f>
        <v>5</v>
      </c>
      <c r="R132" s="64" t="s">
        <v>489</v>
      </c>
      <c r="S132" s="60"/>
    </row>
    <row r="133" spans="1:19" hidden="1">
      <c r="A133" s="62" t="s">
        <v>1451</v>
      </c>
      <c r="B133" s="149" t="str">
        <f>IFERROR(VLOOKUP(Proc[[#This Row],[App]],Table2[],3,0),"open")</f>
        <v>ok</v>
      </c>
      <c r="C133" s="62" t="s">
        <v>369</v>
      </c>
      <c r="D133" s="45" t="s">
        <v>1423</v>
      </c>
      <c r="E133" s="45" t="s">
        <v>774</v>
      </c>
      <c r="F133" s="117" t="s">
        <v>774</v>
      </c>
      <c r="G133" s="62" t="s">
        <v>400</v>
      </c>
      <c r="H133" s="60" t="str">
        <f>IF(Proc[[#This Row],[type]]="LFF (MDG-F)",MID(Proc[[#This Row],[Obj]],13,10),"")</f>
        <v/>
      </c>
      <c r="J133" s="60" t="b">
        <f>Proc[[#This Row],[Requested]]=Proc[[#This Row],[CurrentParent]]</f>
        <v>1</v>
      </c>
      <c r="K133" s="144" t="str">
        <f>IF(Proc[[#This Row],[Author]]="Marcela Urrego",VLOOKUP(LEFT(Proc[[#This Row],[Requested]],1),Table3[#All],2,0),VLOOKUP(Proc[[#This Row],[Author]],Table4[],2,0))</f>
        <v>LS</v>
      </c>
      <c r="L133" s="60" t="s">
        <v>401</v>
      </c>
      <c r="M133" s="71">
        <v>45652.450636574074</v>
      </c>
      <c r="N133" s="71">
        <v>45659</v>
      </c>
      <c r="O133" s="71">
        <v>45659</v>
      </c>
      <c r="P133" s="64" t="str">
        <f ca="1">IF(Proc[[#This Row],[DaysAgeing]]&gt;5,"yep","on track")</f>
        <v>on track</v>
      </c>
      <c r="Q133" s="3">
        <f ca="1">IF(Proc[[#This Row],[DateClosed]]="",ABS(NETWORKDAYS(Proc[[#This Row],[DateOpened]],TODAY()))-1,ABS(NETWORKDAYS(Proc[[#This Row],[DateOpened]],Proc[[#This Row],[DateClosed]]))-1)</f>
        <v>5</v>
      </c>
      <c r="R133" s="64" t="s">
        <v>489</v>
      </c>
      <c r="S133" s="60"/>
    </row>
    <row r="134" spans="1:19" hidden="1">
      <c r="A134" s="62" t="s">
        <v>1451</v>
      </c>
      <c r="B134" s="149" t="str">
        <f>IFERROR(VLOOKUP(Proc[[#This Row],[App]],Table2[],3,0),"open")</f>
        <v>ok</v>
      </c>
      <c r="C134" s="62" t="s">
        <v>369</v>
      </c>
      <c r="D134" s="45" t="s">
        <v>1424</v>
      </c>
      <c r="E134" s="45" t="s">
        <v>524</v>
      </c>
      <c r="F134" s="117" t="s">
        <v>524</v>
      </c>
      <c r="G134" s="62" t="s">
        <v>400</v>
      </c>
      <c r="H134" s="60" t="str">
        <f>IF(Proc[[#This Row],[type]]="LFF (MDG-F)",MID(Proc[[#This Row],[Obj]],13,10),"")</f>
        <v/>
      </c>
      <c r="J134" s="60" t="b">
        <f>Proc[[#This Row],[Requested]]=Proc[[#This Row],[CurrentParent]]</f>
        <v>1</v>
      </c>
      <c r="K134" s="144" t="str">
        <f>IF(Proc[[#This Row],[Author]]="Marcela Urrego",VLOOKUP(LEFT(Proc[[#This Row],[Requested]],1),Table3[#All],2,0),VLOOKUP(Proc[[#This Row],[Author]],Table4[],2,0))</f>
        <v>LS</v>
      </c>
      <c r="L134" s="60" t="s">
        <v>401</v>
      </c>
      <c r="M134" s="71">
        <v>45652.450636574074</v>
      </c>
      <c r="N134" s="71">
        <v>45659</v>
      </c>
      <c r="O134" s="71">
        <v>45659</v>
      </c>
      <c r="P134" s="64" t="str">
        <f ca="1">IF(Proc[[#This Row],[DaysAgeing]]&gt;5,"yep","on track")</f>
        <v>on track</v>
      </c>
      <c r="Q134" s="3">
        <f ca="1">IF(Proc[[#This Row],[DateClosed]]="",ABS(NETWORKDAYS(Proc[[#This Row],[DateOpened]],TODAY()))-1,ABS(NETWORKDAYS(Proc[[#This Row],[DateOpened]],Proc[[#This Row],[DateClosed]]))-1)</f>
        <v>5</v>
      </c>
      <c r="R134" s="64" t="s">
        <v>489</v>
      </c>
      <c r="S134" s="60"/>
    </row>
    <row r="135" spans="1:19" hidden="1">
      <c r="A135" s="62" t="s">
        <v>1451</v>
      </c>
      <c r="B135" s="149" t="str">
        <f>IFERROR(VLOOKUP(Proc[[#This Row],[App]],Table2[],3,0),"open")</f>
        <v>ok</v>
      </c>
      <c r="C135" s="62" t="s">
        <v>369</v>
      </c>
      <c r="D135" s="45" t="s">
        <v>1425</v>
      </c>
      <c r="E135" s="45" t="s">
        <v>547</v>
      </c>
      <c r="F135" s="117" t="s">
        <v>547</v>
      </c>
      <c r="G135" s="62" t="s">
        <v>400</v>
      </c>
      <c r="H135" s="60" t="str">
        <f>IF(Proc[[#This Row],[type]]="LFF (MDG-F)",MID(Proc[[#This Row],[Obj]],13,10),"")</f>
        <v/>
      </c>
      <c r="J135" s="60" t="b">
        <f>Proc[[#This Row],[Requested]]=Proc[[#This Row],[CurrentParent]]</f>
        <v>1</v>
      </c>
      <c r="K135" s="144" t="str">
        <f>IF(Proc[[#This Row],[Author]]="Marcela Urrego",VLOOKUP(LEFT(Proc[[#This Row],[Requested]],1),Table3[#All],2,0),VLOOKUP(Proc[[#This Row],[Author]],Table4[],2,0))</f>
        <v>LS</v>
      </c>
      <c r="L135" s="60" t="s">
        <v>401</v>
      </c>
      <c r="M135" s="71">
        <v>45652.450636574074</v>
      </c>
      <c r="N135" s="71">
        <v>45659</v>
      </c>
      <c r="O135" s="71">
        <v>45659</v>
      </c>
      <c r="P135" s="64" t="str">
        <f ca="1">IF(Proc[[#This Row],[DaysAgeing]]&gt;5,"yep","on track")</f>
        <v>on track</v>
      </c>
      <c r="Q135" s="3">
        <f ca="1">IF(Proc[[#This Row],[DateClosed]]="",ABS(NETWORKDAYS(Proc[[#This Row],[DateOpened]],TODAY()))-1,ABS(NETWORKDAYS(Proc[[#This Row],[DateOpened]],Proc[[#This Row],[DateClosed]]))-1)</f>
        <v>5</v>
      </c>
      <c r="R135" s="64" t="s">
        <v>489</v>
      </c>
      <c r="S135" s="60"/>
    </row>
    <row r="136" spans="1:19" hidden="1">
      <c r="A136" s="62" t="s">
        <v>1451</v>
      </c>
      <c r="B136" s="149" t="str">
        <f>IFERROR(VLOOKUP(Proc[[#This Row],[App]],Table2[],3,0),"open")</f>
        <v>ok</v>
      </c>
      <c r="C136" s="62" t="s">
        <v>369</v>
      </c>
      <c r="D136" s="45" t="s">
        <v>1426</v>
      </c>
      <c r="E136" s="45" t="s">
        <v>547</v>
      </c>
      <c r="F136" s="117" t="s">
        <v>547</v>
      </c>
      <c r="G136" s="62" t="s">
        <v>400</v>
      </c>
      <c r="H136" s="60" t="str">
        <f>IF(Proc[[#This Row],[type]]="LFF (MDG-F)",MID(Proc[[#This Row],[Obj]],13,10),"")</f>
        <v/>
      </c>
      <c r="J136" s="60" t="b">
        <f>Proc[[#This Row],[Requested]]=Proc[[#This Row],[CurrentParent]]</f>
        <v>1</v>
      </c>
      <c r="K136" s="144" t="str">
        <f>IF(Proc[[#This Row],[Author]]="Marcela Urrego",VLOOKUP(LEFT(Proc[[#This Row],[Requested]],1),Table3[#All],2,0),VLOOKUP(Proc[[#This Row],[Author]],Table4[],2,0))</f>
        <v>LS</v>
      </c>
      <c r="L136" s="60" t="s">
        <v>401</v>
      </c>
      <c r="M136" s="71">
        <v>45652.450636574074</v>
      </c>
      <c r="N136" s="71">
        <v>45659</v>
      </c>
      <c r="O136" s="71">
        <v>45659</v>
      </c>
      <c r="P136" s="64" t="str">
        <f ca="1">IF(Proc[[#This Row],[DaysAgeing]]&gt;5,"yep","on track")</f>
        <v>on track</v>
      </c>
      <c r="Q136" s="3">
        <f ca="1">IF(Proc[[#This Row],[DateClosed]]="",ABS(NETWORKDAYS(Proc[[#This Row],[DateOpened]],TODAY()))-1,ABS(NETWORKDAYS(Proc[[#This Row],[DateOpened]],Proc[[#This Row],[DateClosed]]))-1)</f>
        <v>5</v>
      </c>
      <c r="R136" s="64" t="s">
        <v>489</v>
      </c>
      <c r="S136" s="60"/>
    </row>
    <row r="137" spans="1:19" hidden="1">
      <c r="A137" s="62" t="s">
        <v>1451</v>
      </c>
      <c r="B137" s="149" t="str">
        <f>IFERROR(VLOOKUP(Proc[[#This Row],[App]],Table2[],3,0),"open")</f>
        <v>ok</v>
      </c>
      <c r="C137" s="62" t="s">
        <v>369</v>
      </c>
      <c r="D137" s="45" t="s">
        <v>1427</v>
      </c>
      <c r="E137" s="45" t="s">
        <v>1428</v>
      </c>
      <c r="F137" s="117" t="s">
        <v>1428</v>
      </c>
      <c r="G137" s="62" t="s">
        <v>400</v>
      </c>
      <c r="H137" s="60" t="str">
        <f>IF(Proc[[#This Row],[type]]="LFF (MDG-F)",MID(Proc[[#This Row],[Obj]],13,10),"")</f>
        <v/>
      </c>
      <c r="J137" s="60" t="b">
        <f>Proc[[#This Row],[Requested]]=Proc[[#This Row],[CurrentParent]]</f>
        <v>1</v>
      </c>
      <c r="K137" s="144" t="str">
        <f>IF(Proc[[#This Row],[Author]]="Marcela Urrego",VLOOKUP(LEFT(Proc[[#This Row],[Requested]],1),Table3[#All],2,0),VLOOKUP(Proc[[#This Row],[Author]],Table4[],2,0))</f>
        <v>LS</v>
      </c>
      <c r="L137" s="60" t="s">
        <v>401</v>
      </c>
      <c r="M137" s="71">
        <v>45652.450636574074</v>
      </c>
      <c r="N137" s="71">
        <v>45659</v>
      </c>
      <c r="O137" s="71">
        <v>45659</v>
      </c>
      <c r="P137" s="64" t="str">
        <f ca="1">IF(Proc[[#This Row],[DaysAgeing]]&gt;5,"yep","on track")</f>
        <v>on track</v>
      </c>
      <c r="Q137" s="3">
        <f ca="1">IF(Proc[[#This Row],[DateClosed]]="",ABS(NETWORKDAYS(Proc[[#This Row],[DateOpened]],TODAY()))-1,ABS(NETWORKDAYS(Proc[[#This Row],[DateOpened]],Proc[[#This Row],[DateClosed]]))-1)</f>
        <v>5</v>
      </c>
      <c r="R137" s="64" t="s">
        <v>489</v>
      </c>
      <c r="S137" s="60"/>
    </row>
    <row r="138" spans="1:19" hidden="1">
      <c r="A138" s="62" t="s">
        <v>1451</v>
      </c>
      <c r="B138" s="149" t="str">
        <f>IFERROR(VLOOKUP(Proc[[#This Row],[App]],Table2[],3,0),"open")</f>
        <v>ok</v>
      </c>
      <c r="C138" s="62" t="s">
        <v>369</v>
      </c>
      <c r="D138" s="45" t="s">
        <v>1429</v>
      </c>
      <c r="E138" s="45" t="s">
        <v>1090</v>
      </c>
      <c r="F138" s="117" t="s">
        <v>1090</v>
      </c>
      <c r="G138" s="62" t="s">
        <v>400</v>
      </c>
      <c r="H138" s="60" t="str">
        <f>IF(Proc[[#This Row],[type]]="LFF (MDG-F)",MID(Proc[[#This Row],[Obj]],13,10),"")</f>
        <v/>
      </c>
      <c r="J138" s="60" t="b">
        <f>Proc[[#This Row],[Requested]]=Proc[[#This Row],[CurrentParent]]</f>
        <v>1</v>
      </c>
      <c r="K138" s="144" t="str">
        <f>IF(Proc[[#This Row],[Author]]="Marcela Urrego",VLOOKUP(LEFT(Proc[[#This Row],[Requested]],1),Table3[#All],2,0),VLOOKUP(Proc[[#This Row],[Author]],Table4[],2,0))</f>
        <v>LS</v>
      </c>
      <c r="L138" s="60" t="s">
        <v>401</v>
      </c>
      <c r="M138" s="71">
        <v>45652.450636574074</v>
      </c>
      <c r="N138" s="71">
        <v>45659</v>
      </c>
      <c r="O138" s="71">
        <v>45659</v>
      </c>
      <c r="P138" s="64" t="str">
        <f ca="1">IF(Proc[[#This Row],[DaysAgeing]]&gt;5,"yep","on track")</f>
        <v>on track</v>
      </c>
      <c r="Q138" s="3">
        <f ca="1">IF(Proc[[#This Row],[DateClosed]]="",ABS(NETWORKDAYS(Proc[[#This Row],[DateOpened]],TODAY()))-1,ABS(NETWORKDAYS(Proc[[#This Row],[DateOpened]],Proc[[#This Row],[DateClosed]]))-1)</f>
        <v>5</v>
      </c>
      <c r="R138" s="64" t="s">
        <v>489</v>
      </c>
      <c r="S138" s="60"/>
    </row>
    <row r="139" spans="1:19" hidden="1">
      <c r="A139" s="62" t="s">
        <v>1451</v>
      </c>
      <c r="B139" s="149" t="str">
        <f>IFERROR(VLOOKUP(Proc[[#This Row],[App]],Table2[],3,0),"open")</f>
        <v>ok</v>
      </c>
      <c r="C139" s="62" t="s">
        <v>369</v>
      </c>
      <c r="D139" s="45" t="s">
        <v>1430</v>
      </c>
      <c r="E139" s="45" t="s">
        <v>1431</v>
      </c>
      <c r="F139" s="117" t="s">
        <v>1431</v>
      </c>
      <c r="G139" s="62" t="s">
        <v>400</v>
      </c>
      <c r="H139" s="60" t="str">
        <f>IF(Proc[[#This Row],[type]]="LFF (MDG-F)",MID(Proc[[#This Row],[Obj]],13,10),"")</f>
        <v/>
      </c>
      <c r="J139" s="60" t="b">
        <f>Proc[[#This Row],[Requested]]=Proc[[#This Row],[CurrentParent]]</f>
        <v>1</v>
      </c>
      <c r="K139" s="144" t="str">
        <f>IF(Proc[[#This Row],[Author]]="Marcela Urrego",VLOOKUP(LEFT(Proc[[#This Row],[Requested]],1),Table3[#All],2,0),VLOOKUP(Proc[[#This Row],[Author]],Table4[],2,0))</f>
        <v>LS</v>
      </c>
      <c r="L139" s="60" t="s">
        <v>401</v>
      </c>
      <c r="M139" s="71">
        <v>45652.450636574074</v>
      </c>
      <c r="N139" s="71">
        <v>45659</v>
      </c>
      <c r="O139" s="71">
        <v>45659</v>
      </c>
      <c r="P139" s="64" t="str">
        <f ca="1">IF(Proc[[#This Row],[DaysAgeing]]&gt;5,"yep","on track")</f>
        <v>on track</v>
      </c>
      <c r="Q139" s="3">
        <f ca="1">IF(Proc[[#This Row],[DateClosed]]="",ABS(NETWORKDAYS(Proc[[#This Row],[DateOpened]],TODAY()))-1,ABS(NETWORKDAYS(Proc[[#This Row],[DateOpened]],Proc[[#This Row],[DateClosed]]))-1)</f>
        <v>5</v>
      </c>
      <c r="R139" s="64" t="s">
        <v>489</v>
      </c>
      <c r="S139" s="60"/>
    </row>
    <row r="140" spans="1:19" hidden="1">
      <c r="A140" s="62" t="s">
        <v>1451</v>
      </c>
      <c r="B140" s="149" t="str">
        <f>IFERROR(VLOOKUP(Proc[[#This Row],[App]],Table2[],3,0),"open")</f>
        <v>ok</v>
      </c>
      <c r="C140" s="62" t="s">
        <v>369</v>
      </c>
      <c r="D140" s="45" t="s">
        <v>1432</v>
      </c>
      <c r="E140" s="45" t="s">
        <v>1433</v>
      </c>
      <c r="F140" s="117" t="s">
        <v>1433</v>
      </c>
      <c r="G140" s="62" t="s">
        <v>400</v>
      </c>
      <c r="H140" s="60" t="str">
        <f>IF(Proc[[#This Row],[type]]="LFF (MDG-F)",MID(Proc[[#This Row],[Obj]],13,10),"")</f>
        <v/>
      </c>
      <c r="J140" s="60" t="b">
        <f>Proc[[#This Row],[Requested]]=Proc[[#This Row],[CurrentParent]]</f>
        <v>1</v>
      </c>
      <c r="K140" s="144" t="str">
        <f>IF(Proc[[#This Row],[Author]]="Marcela Urrego",VLOOKUP(LEFT(Proc[[#This Row],[Requested]],1),Table3[#All],2,0),VLOOKUP(Proc[[#This Row],[Author]],Table4[],2,0))</f>
        <v>LS</v>
      </c>
      <c r="L140" s="60" t="s">
        <v>401</v>
      </c>
      <c r="M140" s="71">
        <v>45652.450636574074</v>
      </c>
      <c r="N140" s="71">
        <v>45659</v>
      </c>
      <c r="O140" s="71">
        <v>45659</v>
      </c>
      <c r="P140" s="64" t="str">
        <f ca="1">IF(Proc[[#This Row],[DaysAgeing]]&gt;5,"yep","on track")</f>
        <v>on track</v>
      </c>
      <c r="Q140" s="3">
        <f ca="1">IF(Proc[[#This Row],[DateClosed]]="",ABS(NETWORKDAYS(Proc[[#This Row],[DateOpened]],TODAY()))-1,ABS(NETWORKDAYS(Proc[[#This Row],[DateOpened]],Proc[[#This Row],[DateClosed]]))-1)</f>
        <v>5</v>
      </c>
      <c r="R140" s="64" t="s">
        <v>489</v>
      </c>
      <c r="S140" s="60"/>
    </row>
    <row r="141" spans="1:19" hidden="1">
      <c r="A141" s="62" t="s">
        <v>1451</v>
      </c>
      <c r="B141" s="149" t="str">
        <f>IFERROR(VLOOKUP(Proc[[#This Row],[App]],Table2[],3,0),"open")</f>
        <v>ok</v>
      </c>
      <c r="C141" s="62" t="s">
        <v>369</v>
      </c>
      <c r="D141" s="45" t="s">
        <v>1434</v>
      </c>
      <c r="E141" s="45" t="s">
        <v>1433</v>
      </c>
      <c r="F141" s="117" t="s">
        <v>1433</v>
      </c>
      <c r="G141" s="62" t="s">
        <v>400</v>
      </c>
      <c r="H141" s="60" t="str">
        <f>IF(Proc[[#This Row],[type]]="LFF (MDG-F)",MID(Proc[[#This Row],[Obj]],13,10),"")</f>
        <v/>
      </c>
      <c r="J141" s="60" t="b">
        <f>Proc[[#This Row],[Requested]]=Proc[[#This Row],[CurrentParent]]</f>
        <v>1</v>
      </c>
      <c r="K141" s="144" t="str">
        <f>IF(Proc[[#This Row],[Author]]="Marcela Urrego",VLOOKUP(LEFT(Proc[[#This Row],[Requested]],1),Table3[#All],2,0),VLOOKUP(Proc[[#This Row],[Author]],Table4[],2,0))</f>
        <v>LS</v>
      </c>
      <c r="L141" s="60" t="s">
        <v>401</v>
      </c>
      <c r="M141" s="71">
        <v>45652.450636574074</v>
      </c>
      <c r="N141" s="71">
        <v>45659</v>
      </c>
      <c r="O141" s="71">
        <v>45659</v>
      </c>
      <c r="P141" s="64" t="str">
        <f ca="1">IF(Proc[[#This Row],[DaysAgeing]]&gt;5,"yep","on track")</f>
        <v>on track</v>
      </c>
      <c r="Q141" s="3">
        <f ca="1">IF(Proc[[#This Row],[DateClosed]]="",ABS(NETWORKDAYS(Proc[[#This Row],[DateOpened]],TODAY()))-1,ABS(NETWORKDAYS(Proc[[#This Row],[DateOpened]],Proc[[#This Row],[DateClosed]]))-1)</f>
        <v>5</v>
      </c>
      <c r="R141" s="64" t="s">
        <v>489</v>
      </c>
      <c r="S141" s="60"/>
    </row>
    <row r="142" spans="1:19" hidden="1">
      <c r="A142" s="62" t="s">
        <v>1451</v>
      </c>
      <c r="B142" s="149" t="str">
        <f>IFERROR(VLOOKUP(Proc[[#This Row],[App]],Table2[],3,0),"open")</f>
        <v>ok</v>
      </c>
      <c r="C142" s="62" t="s">
        <v>369</v>
      </c>
      <c r="D142" s="45" t="s">
        <v>1435</v>
      </c>
      <c r="E142" s="45" t="s">
        <v>524</v>
      </c>
      <c r="F142" s="117" t="s">
        <v>524</v>
      </c>
      <c r="G142" s="62" t="s">
        <v>400</v>
      </c>
      <c r="H142" s="60" t="str">
        <f>IF(Proc[[#This Row],[type]]="LFF (MDG-F)",MID(Proc[[#This Row],[Obj]],13,10),"")</f>
        <v/>
      </c>
      <c r="J142" s="60" t="b">
        <f>Proc[[#This Row],[Requested]]=Proc[[#This Row],[CurrentParent]]</f>
        <v>1</v>
      </c>
      <c r="K142" s="144" t="str">
        <f>IF(Proc[[#This Row],[Author]]="Marcela Urrego",VLOOKUP(LEFT(Proc[[#This Row],[Requested]],1),Table3[#All],2,0),VLOOKUP(Proc[[#This Row],[Author]],Table4[],2,0))</f>
        <v>LS</v>
      </c>
      <c r="L142" s="60" t="s">
        <v>401</v>
      </c>
      <c r="M142" s="71">
        <v>45652.450636574074</v>
      </c>
      <c r="N142" s="71">
        <v>45659</v>
      </c>
      <c r="O142" s="71">
        <v>45659</v>
      </c>
      <c r="P142" s="64" t="str">
        <f ca="1">IF(Proc[[#This Row],[DaysAgeing]]&gt;5,"yep","on track")</f>
        <v>on track</v>
      </c>
      <c r="Q142" s="3">
        <f ca="1">IF(Proc[[#This Row],[DateClosed]]="",ABS(NETWORKDAYS(Proc[[#This Row],[DateOpened]],TODAY()))-1,ABS(NETWORKDAYS(Proc[[#This Row],[DateOpened]],Proc[[#This Row],[DateClosed]]))-1)</f>
        <v>5</v>
      </c>
      <c r="R142" s="64" t="s">
        <v>489</v>
      </c>
      <c r="S142" s="60"/>
    </row>
    <row r="143" spans="1:19" hidden="1">
      <c r="A143" s="62" t="s">
        <v>1451</v>
      </c>
      <c r="B143" s="149" t="str">
        <f>IFERROR(VLOOKUP(Proc[[#This Row],[App]],Table2[],3,0),"open")</f>
        <v>ok</v>
      </c>
      <c r="C143" s="62" t="s">
        <v>369</v>
      </c>
      <c r="D143" s="45" t="s">
        <v>1436</v>
      </c>
      <c r="E143" s="45" t="s">
        <v>546</v>
      </c>
      <c r="F143" s="117" t="s">
        <v>546</v>
      </c>
      <c r="G143" s="62" t="s">
        <v>400</v>
      </c>
      <c r="H143" s="60" t="str">
        <f>IF(Proc[[#This Row],[type]]="LFF (MDG-F)",MID(Proc[[#This Row],[Obj]],13,10),"")</f>
        <v/>
      </c>
      <c r="J143" s="60" t="b">
        <f>Proc[[#This Row],[Requested]]=Proc[[#This Row],[CurrentParent]]</f>
        <v>1</v>
      </c>
      <c r="K143" s="144" t="str">
        <f>IF(Proc[[#This Row],[Author]]="Marcela Urrego",VLOOKUP(LEFT(Proc[[#This Row],[Requested]],1),Table3[#All],2,0),VLOOKUP(Proc[[#This Row],[Author]],Table4[],2,0))</f>
        <v>LS</v>
      </c>
      <c r="L143" s="60" t="s">
        <v>401</v>
      </c>
      <c r="M143" s="71">
        <v>45652.450636574074</v>
      </c>
      <c r="N143" s="71">
        <v>45659</v>
      </c>
      <c r="O143" s="71">
        <v>45659</v>
      </c>
      <c r="P143" s="64" t="str">
        <f ca="1">IF(Proc[[#This Row],[DaysAgeing]]&gt;5,"yep","on track")</f>
        <v>on track</v>
      </c>
      <c r="Q143" s="3">
        <f ca="1">IF(Proc[[#This Row],[DateClosed]]="",ABS(NETWORKDAYS(Proc[[#This Row],[DateOpened]],TODAY()))-1,ABS(NETWORKDAYS(Proc[[#This Row],[DateOpened]],Proc[[#This Row],[DateClosed]]))-1)</f>
        <v>5</v>
      </c>
      <c r="R143" s="64" t="s">
        <v>489</v>
      </c>
      <c r="S143" s="60"/>
    </row>
    <row r="144" spans="1:19" hidden="1">
      <c r="A144" s="62" t="s">
        <v>1451</v>
      </c>
      <c r="B144" s="149" t="str">
        <f>IFERROR(VLOOKUP(Proc[[#This Row],[App]],Table2[],3,0),"open")</f>
        <v>ok</v>
      </c>
      <c r="C144" s="62" t="s">
        <v>369</v>
      </c>
      <c r="D144" s="45" t="s">
        <v>1437</v>
      </c>
      <c r="E144" s="45" t="s">
        <v>524</v>
      </c>
      <c r="F144" s="117" t="s">
        <v>524</v>
      </c>
      <c r="G144" s="62" t="s">
        <v>400</v>
      </c>
      <c r="H144" s="60" t="str">
        <f>IF(Proc[[#This Row],[type]]="LFF (MDG-F)",MID(Proc[[#This Row],[Obj]],13,10),"")</f>
        <v/>
      </c>
      <c r="J144" s="60" t="b">
        <f>Proc[[#This Row],[Requested]]=Proc[[#This Row],[CurrentParent]]</f>
        <v>1</v>
      </c>
      <c r="K144" s="144" t="str">
        <f>IF(Proc[[#This Row],[Author]]="Marcela Urrego",VLOOKUP(LEFT(Proc[[#This Row],[Requested]],1),Table3[#All],2,0),VLOOKUP(Proc[[#This Row],[Author]],Table4[],2,0))</f>
        <v>LS</v>
      </c>
      <c r="L144" s="60" t="s">
        <v>401</v>
      </c>
      <c r="M144" s="71">
        <v>45652.450636574074</v>
      </c>
      <c r="N144" s="71">
        <v>45659</v>
      </c>
      <c r="O144" s="71">
        <v>45659</v>
      </c>
      <c r="P144" s="64" t="str">
        <f ca="1">IF(Proc[[#This Row],[DaysAgeing]]&gt;5,"yep","on track")</f>
        <v>on track</v>
      </c>
      <c r="Q144" s="3">
        <f ca="1">IF(Proc[[#This Row],[DateClosed]]="",ABS(NETWORKDAYS(Proc[[#This Row],[DateOpened]],TODAY()))-1,ABS(NETWORKDAYS(Proc[[#This Row],[DateOpened]],Proc[[#This Row],[DateClosed]]))-1)</f>
        <v>5</v>
      </c>
      <c r="R144" s="64" t="s">
        <v>489</v>
      </c>
      <c r="S144" s="60"/>
    </row>
    <row r="145" spans="1:19" hidden="1">
      <c r="A145" s="62" t="s">
        <v>1451</v>
      </c>
      <c r="B145" s="149" t="str">
        <f>IFERROR(VLOOKUP(Proc[[#This Row],[App]],Table2[],3,0),"open")</f>
        <v>ok</v>
      </c>
      <c r="C145" s="62" t="s">
        <v>369</v>
      </c>
      <c r="D145" s="45" t="s">
        <v>1438</v>
      </c>
      <c r="E145" s="45" t="s">
        <v>524</v>
      </c>
      <c r="F145" s="117" t="s">
        <v>524</v>
      </c>
      <c r="G145" s="62" t="s">
        <v>400</v>
      </c>
      <c r="H145" s="60" t="str">
        <f>IF(Proc[[#This Row],[type]]="LFF (MDG-F)",MID(Proc[[#This Row],[Obj]],13,10),"")</f>
        <v/>
      </c>
      <c r="J145" s="60" t="b">
        <f>Proc[[#This Row],[Requested]]=Proc[[#This Row],[CurrentParent]]</f>
        <v>1</v>
      </c>
      <c r="K145" s="144" t="str">
        <f>IF(Proc[[#This Row],[Author]]="Marcela Urrego",VLOOKUP(LEFT(Proc[[#This Row],[Requested]],1),Table3[#All],2,0),VLOOKUP(Proc[[#This Row],[Author]],Table4[],2,0))</f>
        <v>LS</v>
      </c>
      <c r="L145" s="60" t="s">
        <v>401</v>
      </c>
      <c r="M145" s="71">
        <v>45652.450636574074</v>
      </c>
      <c r="N145" s="71">
        <v>45659</v>
      </c>
      <c r="O145" s="71">
        <v>45659</v>
      </c>
      <c r="P145" s="64" t="str">
        <f ca="1">IF(Proc[[#This Row],[DaysAgeing]]&gt;5,"yep","on track")</f>
        <v>on track</v>
      </c>
      <c r="Q145" s="3">
        <f ca="1">IF(Proc[[#This Row],[DateClosed]]="",ABS(NETWORKDAYS(Proc[[#This Row],[DateOpened]],TODAY()))-1,ABS(NETWORKDAYS(Proc[[#This Row],[DateOpened]],Proc[[#This Row],[DateClosed]]))-1)</f>
        <v>5</v>
      </c>
      <c r="R145" s="64" t="s">
        <v>489</v>
      </c>
      <c r="S145" s="60"/>
    </row>
    <row r="146" spans="1:19" hidden="1">
      <c r="A146" s="62" t="s">
        <v>1451</v>
      </c>
      <c r="B146" s="149" t="str">
        <f>IFERROR(VLOOKUP(Proc[[#This Row],[App]],Table2[],3,0),"open")</f>
        <v>ok</v>
      </c>
      <c r="C146" s="62" t="s">
        <v>369</v>
      </c>
      <c r="D146" s="45" t="s">
        <v>1439</v>
      </c>
      <c r="E146" s="45" t="s">
        <v>524</v>
      </c>
      <c r="F146" s="117" t="s">
        <v>524</v>
      </c>
      <c r="G146" s="62" t="s">
        <v>400</v>
      </c>
      <c r="H146" s="60" t="str">
        <f>IF(Proc[[#This Row],[type]]="LFF (MDG-F)",MID(Proc[[#This Row],[Obj]],13,10),"")</f>
        <v/>
      </c>
      <c r="J146" s="60" t="b">
        <f>Proc[[#This Row],[Requested]]=Proc[[#This Row],[CurrentParent]]</f>
        <v>1</v>
      </c>
      <c r="K146" s="144" t="str">
        <f>IF(Proc[[#This Row],[Author]]="Marcela Urrego",VLOOKUP(LEFT(Proc[[#This Row],[Requested]],1),Table3[#All],2,0),VLOOKUP(Proc[[#This Row],[Author]],Table4[],2,0))</f>
        <v>LS</v>
      </c>
      <c r="L146" s="60" t="s">
        <v>401</v>
      </c>
      <c r="M146" s="71">
        <v>45652.450636574074</v>
      </c>
      <c r="N146" s="71">
        <v>45659</v>
      </c>
      <c r="O146" s="71">
        <v>45659</v>
      </c>
      <c r="P146" s="64" t="str">
        <f ca="1">IF(Proc[[#This Row],[DaysAgeing]]&gt;5,"yep","on track")</f>
        <v>on track</v>
      </c>
      <c r="Q146" s="3">
        <f ca="1">IF(Proc[[#This Row],[DateClosed]]="",ABS(NETWORKDAYS(Proc[[#This Row],[DateOpened]],TODAY()))-1,ABS(NETWORKDAYS(Proc[[#This Row],[DateOpened]],Proc[[#This Row],[DateClosed]]))-1)</f>
        <v>5</v>
      </c>
      <c r="R146" s="64" t="s">
        <v>489</v>
      </c>
      <c r="S146" s="60"/>
    </row>
    <row r="147" spans="1:19" hidden="1">
      <c r="A147" s="62" t="s">
        <v>1451</v>
      </c>
      <c r="B147" s="149" t="str">
        <f>IFERROR(VLOOKUP(Proc[[#This Row],[App]],Table2[],3,0),"open")</f>
        <v>ok</v>
      </c>
      <c r="C147" s="62" t="s">
        <v>369</v>
      </c>
      <c r="D147" s="45" t="s">
        <v>1440</v>
      </c>
      <c r="E147" s="45" t="s">
        <v>565</v>
      </c>
      <c r="F147" s="117" t="s">
        <v>565</v>
      </c>
      <c r="G147" s="62" t="s">
        <v>400</v>
      </c>
      <c r="H147" s="60" t="str">
        <f>IF(Proc[[#This Row],[type]]="LFF (MDG-F)",MID(Proc[[#This Row],[Obj]],13,10),"")</f>
        <v/>
      </c>
      <c r="J147" s="60" t="b">
        <f>Proc[[#This Row],[Requested]]=Proc[[#This Row],[CurrentParent]]</f>
        <v>1</v>
      </c>
      <c r="K147" s="144" t="str">
        <f>IF(Proc[[#This Row],[Author]]="Marcela Urrego",VLOOKUP(LEFT(Proc[[#This Row],[Requested]],1),Table3[#All],2,0),VLOOKUP(Proc[[#This Row],[Author]],Table4[],2,0))</f>
        <v>LS</v>
      </c>
      <c r="L147" s="60" t="s">
        <v>401</v>
      </c>
      <c r="M147" s="71">
        <v>45652.450636574074</v>
      </c>
      <c r="N147" s="71">
        <v>45659</v>
      </c>
      <c r="O147" s="71">
        <v>45659</v>
      </c>
      <c r="P147" s="64" t="str">
        <f ca="1">IF(Proc[[#This Row],[DaysAgeing]]&gt;5,"yep","on track")</f>
        <v>on track</v>
      </c>
      <c r="Q147" s="3">
        <f ca="1">IF(Proc[[#This Row],[DateClosed]]="",ABS(NETWORKDAYS(Proc[[#This Row],[DateOpened]],TODAY()))-1,ABS(NETWORKDAYS(Proc[[#This Row],[DateOpened]],Proc[[#This Row],[DateClosed]]))-1)</f>
        <v>5</v>
      </c>
      <c r="R147" s="64" t="s">
        <v>489</v>
      </c>
      <c r="S147" s="60"/>
    </row>
    <row r="148" spans="1:19" hidden="1">
      <c r="A148" s="62" t="s">
        <v>1451</v>
      </c>
      <c r="B148" s="149" t="str">
        <f>IFERROR(VLOOKUP(Proc[[#This Row],[App]],Table2[],3,0),"open")</f>
        <v>ok</v>
      </c>
      <c r="C148" s="62" t="s">
        <v>369</v>
      </c>
      <c r="D148" s="45" t="s">
        <v>1441</v>
      </c>
      <c r="E148" s="45" t="s">
        <v>524</v>
      </c>
      <c r="F148" s="117" t="s">
        <v>524</v>
      </c>
      <c r="G148" s="62" t="s">
        <v>400</v>
      </c>
      <c r="H148" s="60" t="str">
        <f>IF(Proc[[#This Row],[type]]="LFF (MDG-F)",MID(Proc[[#This Row],[Obj]],13,10),"")</f>
        <v/>
      </c>
      <c r="J148" s="60" t="b">
        <f>Proc[[#This Row],[Requested]]=Proc[[#This Row],[CurrentParent]]</f>
        <v>1</v>
      </c>
      <c r="K148" s="144" t="str">
        <f>IF(Proc[[#This Row],[Author]]="Marcela Urrego",VLOOKUP(LEFT(Proc[[#This Row],[Requested]],1),Table3[#All],2,0),VLOOKUP(Proc[[#This Row],[Author]],Table4[],2,0))</f>
        <v>LS</v>
      </c>
      <c r="L148" s="60" t="s">
        <v>401</v>
      </c>
      <c r="M148" s="71">
        <v>45652.450636574074</v>
      </c>
      <c r="N148" s="71">
        <v>45659</v>
      </c>
      <c r="O148" s="71">
        <v>45659</v>
      </c>
      <c r="P148" s="64" t="str">
        <f ca="1">IF(Proc[[#This Row],[DaysAgeing]]&gt;5,"yep","on track")</f>
        <v>on track</v>
      </c>
      <c r="Q148" s="3">
        <f ca="1">IF(Proc[[#This Row],[DateClosed]]="",ABS(NETWORKDAYS(Proc[[#This Row],[DateOpened]],TODAY()))-1,ABS(NETWORKDAYS(Proc[[#This Row],[DateOpened]],Proc[[#This Row],[DateClosed]]))-1)</f>
        <v>5</v>
      </c>
      <c r="R148" s="64" t="s">
        <v>489</v>
      </c>
      <c r="S148" s="60"/>
    </row>
    <row r="149" spans="1:19" hidden="1">
      <c r="A149" s="62" t="s">
        <v>1451</v>
      </c>
      <c r="B149" s="149" t="str">
        <f>IFERROR(VLOOKUP(Proc[[#This Row],[App]],Table2[],3,0),"open")</f>
        <v>ok</v>
      </c>
      <c r="C149" s="62" t="s">
        <v>369</v>
      </c>
      <c r="D149" s="62" t="s">
        <v>1442</v>
      </c>
      <c r="E149" s="62" t="s">
        <v>524</v>
      </c>
      <c r="F149" s="117" t="s">
        <v>524</v>
      </c>
      <c r="G149" s="62" t="s">
        <v>400</v>
      </c>
      <c r="H149" s="60" t="str">
        <f>IF(Proc[[#This Row],[type]]="LFF (MDG-F)",MID(Proc[[#This Row],[Obj]],13,10),"")</f>
        <v/>
      </c>
      <c r="J149" s="60" t="b">
        <f>Proc[[#This Row],[Requested]]=Proc[[#This Row],[CurrentParent]]</f>
        <v>1</v>
      </c>
      <c r="K149" s="144" t="str">
        <f>IF(Proc[[#This Row],[Author]]="Marcela Urrego",VLOOKUP(LEFT(Proc[[#This Row],[Requested]],1),Table3[#All],2,0),VLOOKUP(Proc[[#This Row],[Author]],Table4[],2,0))</f>
        <v>LS</v>
      </c>
      <c r="L149" s="60" t="s">
        <v>401</v>
      </c>
      <c r="M149" s="71">
        <v>45652.450636574074</v>
      </c>
      <c r="N149" s="71">
        <v>45659</v>
      </c>
      <c r="O149" s="71">
        <v>45659</v>
      </c>
      <c r="P149" s="64" t="str">
        <f ca="1">IF(Proc[[#This Row],[DaysAgeing]]&gt;5,"yep","on track")</f>
        <v>on track</v>
      </c>
      <c r="Q149" s="3">
        <f ca="1">IF(Proc[[#This Row],[DateClosed]]="",ABS(NETWORKDAYS(Proc[[#This Row],[DateOpened]],TODAY()))-1,ABS(NETWORKDAYS(Proc[[#This Row],[DateOpened]],Proc[[#This Row],[DateClosed]]))-1)</f>
        <v>5</v>
      </c>
      <c r="R149" s="64" t="s">
        <v>489</v>
      </c>
      <c r="S149" s="60"/>
    </row>
    <row r="150" spans="1:19" hidden="1">
      <c r="A150" s="62" t="s">
        <v>1451</v>
      </c>
      <c r="B150" s="149" t="str">
        <f>IFERROR(VLOOKUP(Proc[[#This Row],[App]],Table2[],3,0),"open")</f>
        <v>ok</v>
      </c>
      <c r="C150" s="62" t="s">
        <v>369</v>
      </c>
      <c r="D150" s="62" t="s">
        <v>1443</v>
      </c>
      <c r="E150" s="62" t="s">
        <v>524</v>
      </c>
      <c r="F150" s="117" t="s">
        <v>524</v>
      </c>
      <c r="G150" s="62" t="s">
        <v>400</v>
      </c>
      <c r="H150" s="60" t="str">
        <f>IF(Proc[[#This Row],[type]]="LFF (MDG-F)",MID(Proc[[#This Row],[Obj]],13,10),"")</f>
        <v/>
      </c>
      <c r="J150" s="60" t="b">
        <f>Proc[[#This Row],[Requested]]=Proc[[#This Row],[CurrentParent]]</f>
        <v>1</v>
      </c>
      <c r="K150" s="144" t="str">
        <f>IF(Proc[[#This Row],[Author]]="Marcela Urrego",VLOOKUP(LEFT(Proc[[#This Row],[Requested]],1),Table3[#All],2,0),VLOOKUP(Proc[[#This Row],[Author]],Table4[],2,0))</f>
        <v>LS</v>
      </c>
      <c r="L150" s="60" t="s">
        <v>401</v>
      </c>
      <c r="M150" s="71">
        <v>45652.450636574074</v>
      </c>
      <c r="N150" s="71">
        <v>45659</v>
      </c>
      <c r="O150" s="71">
        <v>45659</v>
      </c>
      <c r="P150" s="64" t="str">
        <f ca="1">IF(Proc[[#This Row],[DaysAgeing]]&gt;5,"yep","on track")</f>
        <v>on track</v>
      </c>
      <c r="Q150" s="3">
        <f ca="1">IF(Proc[[#This Row],[DateClosed]]="",ABS(NETWORKDAYS(Proc[[#This Row],[DateOpened]],TODAY()))-1,ABS(NETWORKDAYS(Proc[[#This Row],[DateOpened]],Proc[[#This Row],[DateClosed]]))-1)</f>
        <v>5</v>
      </c>
      <c r="R150" s="64" t="s">
        <v>489</v>
      </c>
      <c r="S150" s="60"/>
    </row>
    <row r="151" spans="1:19" hidden="1">
      <c r="A151" s="62" t="s">
        <v>1451</v>
      </c>
      <c r="B151" s="149" t="str">
        <f>IFERROR(VLOOKUP(Proc[[#This Row],[App]],Table2[],3,0),"open")</f>
        <v>ok</v>
      </c>
      <c r="C151" s="62" t="s">
        <v>369</v>
      </c>
      <c r="D151" s="62" t="s">
        <v>1444</v>
      </c>
      <c r="E151" s="62" t="s">
        <v>524</v>
      </c>
      <c r="F151" s="117" t="s">
        <v>524</v>
      </c>
      <c r="G151" s="62" t="s">
        <v>400</v>
      </c>
      <c r="H151" s="60" t="str">
        <f>IF(Proc[[#This Row],[type]]="LFF (MDG-F)",MID(Proc[[#This Row],[Obj]],13,10),"")</f>
        <v/>
      </c>
      <c r="J151" s="60" t="b">
        <f>Proc[[#This Row],[Requested]]=Proc[[#This Row],[CurrentParent]]</f>
        <v>1</v>
      </c>
      <c r="K151" s="144" t="str">
        <f>IF(Proc[[#This Row],[Author]]="Marcela Urrego",VLOOKUP(LEFT(Proc[[#This Row],[Requested]],1),Table3[#All],2,0),VLOOKUP(Proc[[#This Row],[Author]],Table4[],2,0))</f>
        <v>LS</v>
      </c>
      <c r="L151" s="60" t="s">
        <v>401</v>
      </c>
      <c r="M151" s="71">
        <v>45652.450636574074</v>
      </c>
      <c r="N151" s="71">
        <v>45659</v>
      </c>
      <c r="O151" s="71">
        <v>45659</v>
      </c>
      <c r="P151" s="64" t="str">
        <f ca="1">IF(Proc[[#This Row],[DaysAgeing]]&gt;5,"yep","on track")</f>
        <v>on track</v>
      </c>
      <c r="Q151" s="3">
        <f ca="1">IF(Proc[[#This Row],[DateClosed]]="",ABS(NETWORKDAYS(Proc[[#This Row],[DateOpened]],TODAY()))-1,ABS(NETWORKDAYS(Proc[[#This Row],[DateOpened]],Proc[[#This Row],[DateClosed]]))-1)</f>
        <v>5</v>
      </c>
      <c r="R151" s="64" t="s">
        <v>489</v>
      </c>
      <c r="S151" s="60"/>
    </row>
    <row r="152" spans="1:19" hidden="1">
      <c r="A152" s="62" t="s">
        <v>1451</v>
      </c>
      <c r="B152" s="149" t="str">
        <f>IFERROR(VLOOKUP(Proc[[#This Row],[App]],Table2[],3,0),"open")</f>
        <v>ok</v>
      </c>
      <c r="C152" s="62" t="s">
        <v>369</v>
      </c>
      <c r="D152" s="62" t="s">
        <v>1445</v>
      </c>
      <c r="E152" s="62" t="s">
        <v>524</v>
      </c>
      <c r="F152" s="117" t="s">
        <v>524</v>
      </c>
      <c r="G152" s="62" t="s">
        <v>400</v>
      </c>
      <c r="H152" s="60" t="str">
        <f>IF(Proc[[#This Row],[type]]="LFF (MDG-F)",MID(Proc[[#This Row],[Obj]],13,10),"")</f>
        <v/>
      </c>
      <c r="J152" s="60" t="b">
        <f>Proc[[#This Row],[Requested]]=Proc[[#This Row],[CurrentParent]]</f>
        <v>1</v>
      </c>
      <c r="K152" s="144" t="str">
        <f>IF(Proc[[#This Row],[Author]]="Marcela Urrego",VLOOKUP(LEFT(Proc[[#This Row],[Requested]],1),Table3[#All],2,0),VLOOKUP(Proc[[#This Row],[Author]],Table4[],2,0))</f>
        <v>LS</v>
      </c>
      <c r="L152" s="60" t="s">
        <v>401</v>
      </c>
      <c r="M152" s="71">
        <v>45652.450636574074</v>
      </c>
      <c r="N152" s="71">
        <v>45659</v>
      </c>
      <c r="O152" s="71">
        <v>45659</v>
      </c>
      <c r="P152" s="64" t="str">
        <f ca="1">IF(Proc[[#This Row],[DaysAgeing]]&gt;5,"yep","on track")</f>
        <v>on track</v>
      </c>
      <c r="Q152" s="3">
        <f ca="1">IF(Proc[[#This Row],[DateClosed]]="",ABS(NETWORKDAYS(Proc[[#This Row],[DateOpened]],TODAY()))-1,ABS(NETWORKDAYS(Proc[[#This Row],[DateOpened]],Proc[[#This Row],[DateClosed]]))-1)</f>
        <v>5</v>
      </c>
      <c r="R152" s="64" t="s">
        <v>489</v>
      </c>
      <c r="S152" s="60"/>
    </row>
    <row r="153" spans="1:19" hidden="1">
      <c r="A153" s="62" t="s">
        <v>1451</v>
      </c>
      <c r="B153" s="149" t="str">
        <f>IFERROR(VLOOKUP(Proc[[#This Row],[App]],Table2[],3,0),"open")</f>
        <v>ok</v>
      </c>
      <c r="C153" s="62" t="s">
        <v>369</v>
      </c>
      <c r="D153" s="62" t="s">
        <v>1446</v>
      </c>
      <c r="E153" s="62" t="s">
        <v>1447</v>
      </c>
      <c r="F153" s="117" t="s">
        <v>1447</v>
      </c>
      <c r="G153" s="62" t="s">
        <v>400</v>
      </c>
      <c r="H153" s="60" t="str">
        <f>IF(Proc[[#This Row],[type]]="LFF (MDG-F)",MID(Proc[[#This Row],[Obj]],13,10),"")</f>
        <v/>
      </c>
      <c r="J153" s="60" t="b">
        <f>Proc[[#This Row],[Requested]]=Proc[[#This Row],[CurrentParent]]</f>
        <v>1</v>
      </c>
      <c r="K153" s="144" t="str">
        <f>IF(Proc[[#This Row],[Author]]="Marcela Urrego",VLOOKUP(LEFT(Proc[[#This Row],[Requested]],1),Table3[#All],2,0),VLOOKUP(Proc[[#This Row],[Author]],Table4[],2,0))</f>
        <v>LS</v>
      </c>
      <c r="L153" s="60" t="s">
        <v>401</v>
      </c>
      <c r="M153" s="71">
        <v>45652.450636574074</v>
      </c>
      <c r="N153" s="71">
        <v>45659</v>
      </c>
      <c r="O153" s="71">
        <v>45659</v>
      </c>
      <c r="P153" s="64" t="str">
        <f ca="1">IF(Proc[[#This Row],[DaysAgeing]]&gt;5,"yep","on track")</f>
        <v>on track</v>
      </c>
      <c r="Q153" s="3">
        <f ca="1">IF(Proc[[#This Row],[DateClosed]]="",ABS(NETWORKDAYS(Proc[[#This Row],[DateOpened]],TODAY()))-1,ABS(NETWORKDAYS(Proc[[#This Row],[DateOpened]],Proc[[#This Row],[DateClosed]]))-1)</f>
        <v>5</v>
      </c>
      <c r="R153" s="64" t="s">
        <v>489</v>
      </c>
      <c r="S153" s="60"/>
    </row>
    <row r="154" spans="1:19" hidden="1">
      <c r="A154" s="62" t="s">
        <v>1451</v>
      </c>
      <c r="B154" s="149" t="str">
        <f>IFERROR(VLOOKUP(Proc[[#This Row],[App]],Table2[],3,0),"open")</f>
        <v>ok</v>
      </c>
      <c r="C154" s="62" t="s">
        <v>369</v>
      </c>
      <c r="D154" s="62" t="s">
        <v>1448</v>
      </c>
      <c r="E154" s="62" t="s">
        <v>524</v>
      </c>
      <c r="F154" s="117" t="s">
        <v>524</v>
      </c>
      <c r="G154" s="62" t="s">
        <v>400</v>
      </c>
      <c r="H154" s="60" t="str">
        <f>IF(Proc[[#This Row],[type]]="LFF (MDG-F)",MID(Proc[[#This Row],[Obj]],13,10),"")</f>
        <v/>
      </c>
      <c r="J154" s="60" t="b">
        <f>Proc[[#This Row],[Requested]]=Proc[[#This Row],[CurrentParent]]</f>
        <v>1</v>
      </c>
      <c r="K154" s="144" t="str">
        <f>IF(Proc[[#This Row],[Author]]="Marcela Urrego",VLOOKUP(LEFT(Proc[[#This Row],[Requested]],1),Table3[#All],2,0),VLOOKUP(Proc[[#This Row],[Author]],Table4[],2,0))</f>
        <v>LS</v>
      </c>
      <c r="L154" s="60" t="s">
        <v>401</v>
      </c>
      <c r="M154" s="71">
        <v>45652.450636574074</v>
      </c>
      <c r="N154" s="71">
        <v>45659</v>
      </c>
      <c r="O154" s="71">
        <v>45659</v>
      </c>
      <c r="P154" s="64" t="str">
        <f ca="1">IF(Proc[[#This Row],[DaysAgeing]]&gt;5,"yep","on track")</f>
        <v>on track</v>
      </c>
      <c r="Q154" s="3">
        <f ca="1">IF(Proc[[#This Row],[DateClosed]]="",ABS(NETWORKDAYS(Proc[[#This Row],[DateOpened]],TODAY()))-1,ABS(NETWORKDAYS(Proc[[#This Row],[DateOpened]],Proc[[#This Row],[DateClosed]]))-1)</f>
        <v>5</v>
      </c>
      <c r="R154" s="64" t="s">
        <v>489</v>
      </c>
      <c r="S154" s="60"/>
    </row>
    <row r="155" spans="1:19" hidden="1">
      <c r="A155" s="62" t="s">
        <v>1451</v>
      </c>
      <c r="B155" s="149" t="str">
        <f>IFERROR(VLOOKUP(Proc[[#This Row],[App]],Table2[],3,0),"open")</f>
        <v>ok</v>
      </c>
      <c r="C155" s="62" t="s">
        <v>369</v>
      </c>
      <c r="D155" s="62" t="s">
        <v>1449</v>
      </c>
      <c r="E155" s="62" t="s">
        <v>524</v>
      </c>
      <c r="F155" s="117" t="s">
        <v>524</v>
      </c>
      <c r="G155" s="62" t="s">
        <v>400</v>
      </c>
      <c r="H155" s="60" t="str">
        <f>IF(Proc[[#This Row],[type]]="LFF (MDG-F)",MID(Proc[[#This Row],[Obj]],13,10),"")</f>
        <v/>
      </c>
      <c r="J155" s="60" t="b">
        <f>Proc[[#This Row],[Requested]]=Proc[[#This Row],[CurrentParent]]</f>
        <v>1</v>
      </c>
      <c r="K155" s="144" t="str">
        <f>IF(Proc[[#This Row],[Author]]="Marcela Urrego",VLOOKUP(LEFT(Proc[[#This Row],[Requested]],1),Table3[#All],2,0),VLOOKUP(Proc[[#This Row],[Author]],Table4[],2,0))</f>
        <v>LS</v>
      </c>
      <c r="L155" s="60" t="s">
        <v>401</v>
      </c>
      <c r="M155" s="71">
        <v>45652.450636574074</v>
      </c>
      <c r="N155" s="71">
        <v>45659</v>
      </c>
      <c r="O155" s="71">
        <v>45659</v>
      </c>
      <c r="P155" s="64" t="str">
        <f ca="1">IF(Proc[[#This Row],[DaysAgeing]]&gt;5,"yep","on track")</f>
        <v>on track</v>
      </c>
      <c r="Q155" s="3">
        <f ca="1">IF(Proc[[#This Row],[DateClosed]]="",ABS(NETWORKDAYS(Proc[[#This Row],[DateOpened]],TODAY()))-1,ABS(NETWORKDAYS(Proc[[#This Row],[DateOpened]],Proc[[#This Row],[DateClosed]]))-1)</f>
        <v>5</v>
      </c>
      <c r="R155" s="64" t="s">
        <v>489</v>
      </c>
      <c r="S155" s="60"/>
    </row>
    <row r="156" spans="1:19" hidden="1">
      <c r="A156" s="62" t="s">
        <v>1451</v>
      </c>
      <c r="B156" s="149" t="str">
        <f>IFERROR(VLOOKUP(Proc[[#This Row],[App]],Table2[],3,0),"open")</f>
        <v>ok</v>
      </c>
      <c r="C156" s="62" t="s">
        <v>369</v>
      </c>
      <c r="D156" s="62" t="s">
        <v>1450</v>
      </c>
      <c r="E156" s="62" t="s">
        <v>524</v>
      </c>
      <c r="F156" s="117" t="s">
        <v>524</v>
      </c>
      <c r="G156" s="62" t="s">
        <v>400</v>
      </c>
      <c r="H156" s="60" t="str">
        <f>IF(Proc[[#This Row],[type]]="LFF (MDG-F)",MID(Proc[[#This Row],[Obj]],13,10),"")</f>
        <v/>
      </c>
      <c r="J156" s="60" t="b">
        <f>Proc[[#This Row],[Requested]]=Proc[[#This Row],[CurrentParent]]</f>
        <v>1</v>
      </c>
      <c r="K156" s="144" t="str">
        <f>IF(Proc[[#This Row],[Author]]="Marcela Urrego",VLOOKUP(LEFT(Proc[[#This Row],[Requested]],1),Table3[#All],2,0),VLOOKUP(Proc[[#This Row],[Author]],Table4[],2,0))</f>
        <v>LS</v>
      </c>
      <c r="L156" s="60" t="s">
        <v>401</v>
      </c>
      <c r="M156" s="71">
        <v>45652.450636574074</v>
      </c>
      <c r="N156" s="71">
        <v>45659</v>
      </c>
      <c r="O156" s="71">
        <v>45659</v>
      </c>
      <c r="P156" s="64" t="str">
        <f ca="1">IF(Proc[[#This Row],[DaysAgeing]]&gt;5,"yep","on track")</f>
        <v>on track</v>
      </c>
      <c r="Q156" s="3">
        <f ca="1">IF(Proc[[#This Row],[DateClosed]]="",ABS(NETWORKDAYS(Proc[[#This Row],[DateOpened]],TODAY()))-1,ABS(NETWORKDAYS(Proc[[#This Row],[DateOpened]],Proc[[#This Row],[DateClosed]]))-1)</f>
        <v>5</v>
      </c>
      <c r="R156" s="64" t="s">
        <v>489</v>
      </c>
      <c r="S156" s="60"/>
    </row>
    <row r="157" spans="1:19" hidden="1">
      <c r="A157" s="62" t="s">
        <v>1454</v>
      </c>
      <c r="B157" s="149" t="str">
        <f>IFERROR(VLOOKUP(Proc[[#This Row],[App]],Table2[],3,0),"open")</f>
        <v>ok</v>
      </c>
      <c r="C157" s="62" t="s">
        <v>369</v>
      </c>
      <c r="D157" t="s">
        <v>1452</v>
      </c>
      <c r="E157" t="s">
        <v>531</v>
      </c>
      <c r="F157" s="117" t="s">
        <v>531</v>
      </c>
      <c r="G157" t="s">
        <v>400</v>
      </c>
      <c r="H157" s="60" t="str">
        <f>IF(Proc[[#This Row],[type]]="LFF (MDG-F)",MID(Proc[[#This Row],[Obj]],13,10),"")</f>
        <v/>
      </c>
      <c r="I157" t="s">
        <v>1493</v>
      </c>
      <c r="J157" s="60" t="b">
        <f>Proc[[#This Row],[Requested]]=Proc[[#This Row],[CurrentParent]]</f>
        <v>1</v>
      </c>
      <c r="K157" s="144" t="str">
        <f>IF(Proc[[#This Row],[Author]]="Marcela Urrego",VLOOKUP(LEFT(Proc[[#This Row],[Requested]],1),Table3[#All],2,0),VLOOKUP(Proc[[#This Row],[Author]],Table4[],2,0))</f>
        <v>MGF</v>
      </c>
      <c r="L157" s="60" t="s">
        <v>401</v>
      </c>
      <c r="M157" s="71">
        <v>45659.374143518522</v>
      </c>
      <c r="N157" s="71">
        <v>45671</v>
      </c>
      <c r="O157" s="71">
        <v>45671</v>
      </c>
      <c r="P157" s="64" t="str">
        <f ca="1">IF(Proc[[#This Row],[DaysAgeing]]&gt;5,"yep","on track")</f>
        <v>yep</v>
      </c>
      <c r="Q157" s="3">
        <f ca="1">IF(Proc[[#This Row],[DateClosed]]="",ABS(NETWORKDAYS(Proc[[#This Row],[DateOpened]],TODAY()))-1,ABS(NETWORKDAYS(Proc[[#This Row],[DateOpened]],Proc[[#This Row],[DateClosed]]))-1)</f>
        <v>8</v>
      </c>
      <c r="R157" s="64" t="s">
        <v>515</v>
      </c>
      <c r="S157" s="60"/>
    </row>
    <row r="158" spans="1:19" hidden="1">
      <c r="A158" s="62" t="s">
        <v>1454</v>
      </c>
      <c r="B158" s="149" t="str">
        <f>IFERROR(VLOOKUP(Proc[[#This Row],[App]],Table2[],3,0),"open")</f>
        <v>ok</v>
      </c>
      <c r="C158" s="62" t="s">
        <v>369</v>
      </c>
      <c r="D158" t="s">
        <v>1453</v>
      </c>
      <c r="E158" t="s">
        <v>531</v>
      </c>
      <c r="F158" s="117" t="s">
        <v>531</v>
      </c>
      <c r="G158" s="62" t="s">
        <v>400</v>
      </c>
      <c r="H158" s="60" t="str">
        <f>IF(Proc[[#This Row],[type]]="LFF (MDG-F)",MID(Proc[[#This Row],[Obj]],13,10),"")</f>
        <v/>
      </c>
      <c r="I158" s="62" t="s">
        <v>1493</v>
      </c>
      <c r="J158" s="60" t="b">
        <f>Proc[[#This Row],[Requested]]=Proc[[#This Row],[CurrentParent]]</f>
        <v>1</v>
      </c>
      <c r="K158" s="144" t="str">
        <f>IF(Proc[[#This Row],[Author]]="Marcela Urrego",VLOOKUP(LEFT(Proc[[#This Row],[Requested]],1),Table3[#All],2,0),VLOOKUP(Proc[[#This Row],[Author]],Table4[],2,0))</f>
        <v>MGF</v>
      </c>
      <c r="L158" s="60" t="s">
        <v>401</v>
      </c>
      <c r="M158" s="71">
        <v>45659.374143518522</v>
      </c>
      <c r="N158" s="71">
        <v>45671</v>
      </c>
      <c r="O158" s="71">
        <v>45671</v>
      </c>
      <c r="P158" s="64" t="str">
        <f ca="1">IF(Proc[[#This Row],[DaysAgeing]]&gt;5,"yep","on track")</f>
        <v>yep</v>
      </c>
      <c r="Q158" s="3">
        <f ca="1">IF(Proc[[#This Row],[DateClosed]]="",ABS(NETWORKDAYS(Proc[[#This Row],[DateOpened]],TODAY()))-1,ABS(NETWORKDAYS(Proc[[#This Row],[DateOpened]],Proc[[#This Row],[DateClosed]]))-1)</f>
        <v>8</v>
      </c>
      <c r="R158" s="64" t="s">
        <v>515</v>
      </c>
      <c r="S158" s="60"/>
    </row>
    <row r="159" spans="1:19" hidden="1">
      <c r="A159" t="s">
        <v>1455</v>
      </c>
      <c r="B159" s="149" t="str">
        <f>IFERROR(VLOOKUP(Proc[[#This Row],[App]],Table2[],3,0),"open")</f>
        <v>ok</v>
      </c>
      <c r="C159" s="62" t="s">
        <v>369</v>
      </c>
      <c r="D159" t="s">
        <v>1387</v>
      </c>
      <c r="E159" t="s">
        <v>850</v>
      </c>
      <c r="F159" s="117" t="s">
        <v>850</v>
      </c>
      <c r="G159" s="62" t="s">
        <v>400</v>
      </c>
      <c r="H159" s="60" t="str">
        <f>IF(Proc[[#This Row],[type]]="LFF (MDG-F)",MID(Proc[[#This Row],[Obj]],13,10),"")</f>
        <v/>
      </c>
      <c r="I159" s="62" t="s">
        <v>1493</v>
      </c>
      <c r="J159" s="60" t="b">
        <f>Proc[[#This Row],[Requested]]=Proc[[#This Row],[CurrentParent]]</f>
        <v>1</v>
      </c>
      <c r="K159" s="144" t="str">
        <f>IF(Proc[[#This Row],[Author]]="Marcela Urrego",VLOOKUP(LEFT(Proc[[#This Row],[Requested]],1),Table3[#All],2,0),VLOOKUP(Proc[[#This Row],[Author]],Table4[],2,0))</f>
        <v>MGF</v>
      </c>
      <c r="L159" s="60" t="s">
        <v>401</v>
      </c>
      <c r="M159" s="71">
        <v>45660.525243055556</v>
      </c>
      <c r="N159" s="71">
        <v>45671</v>
      </c>
      <c r="O159" s="71">
        <v>45671</v>
      </c>
      <c r="P159" s="64" t="str">
        <f ca="1">IF(Proc[[#This Row],[DaysAgeing]]&gt;5,"yep","on track")</f>
        <v>yep</v>
      </c>
      <c r="Q159" s="3">
        <f ca="1">IF(Proc[[#This Row],[DateClosed]]="",ABS(NETWORKDAYS(Proc[[#This Row],[DateOpened]],TODAY()))-1,ABS(NETWORKDAYS(Proc[[#This Row],[DateOpened]],Proc[[#This Row],[DateClosed]]))-1)</f>
        <v>7</v>
      </c>
      <c r="R159" s="64" t="s">
        <v>1076</v>
      </c>
      <c r="S159" s="60"/>
    </row>
    <row r="160" spans="1:19" hidden="1">
      <c r="A160" t="s">
        <v>1460</v>
      </c>
      <c r="B160" s="149" t="str">
        <f>IFERROR(VLOOKUP(Proc[[#This Row],[App]],Table2[],3,0),"open")</f>
        <v>ok</v>
      </c>
      <c r="C160" s="62" t="s">
        <v>369</v>
      </c>
      <c r="D160" t="s">
        <v>1456</v>
      </c>
      <c r="E160" t="s">
        <v>1458</v>
      </c>
      <c r="F160" s="117" t="s">
        <v>1458</v>
      </c>
      <c r="G160" s="62" t="s">
        <v>400</v>
      </c>
      <c r="H160" s="60" t="str">
        <f>IF(Proc[[#This Row],[type]]="LFF (MDG-F)",MID(Proc[[#This Row],[Obj]],13,10),"")</f>
        <v/>
      </c>
      <c r="I160" s="62" t="s">
        <v>1493</v>
      </c>
      <c r="J160" s="60" t="b">
        <f>Proc[[#This Row],[Requested]]=Proc[[#This Row],[CurrentParent]]</f>
        <v>1</v>
      </c>
      <c r="K160" s="144" t="str">
        <f>IF(Proc[[#This Row],[Author]]="Marcela Urrego",VLOOKUP(LEFT(Proc[[#This Row],[Requested]],1),Table3[#All],2,0),VLOOKUP(Proc[[#This Row],[Author]],Table4[],2,0))</f>
        <v>MGF</v>
      </c>
      <c r="L160" s="60" t="s">
        <v>401</v>
      </c>
      <c r="M160" s="71">
        <v>45663.631412037037</v>
      </c>
      <c r="N160" s="71">
        <v>45671</v>
      </c>
      <c r="O160" s="71">
        <v>45671</v>
      </c>
      <c r="P160" s="64" t="str">
        <f ca="1">IF(Proc[[#This Row],[DaysAgeing]]&gt;5,"yep","on track")</f>
        <v>yep</v>
      </c>
      <c r="Q160" s="3">
        <f ca="1">IF(Proc[[#This Row],[DateClosed]]="",ABS(NETWORKDAYS(Proc[[#This Row],[DateOpened]],TODAY()))-1,ABS(NETWORKDAYS(Proc[[#This Row],[DateOpened]],Proc[[#This Row],[DateClosed]]))-1)</f>
        <v>6</v>
      </c>
      <c r="R160" s="64" t="s">
        <v>1459</v>
      </c>
      <c r="S160" s="60"/>
    </row>
    <row r="161" spans="1:19" hidden="1">
      <c r="A161" s="62" t="s">
        <v>1460</v>
      </c>
      <c r="B161" s="149" t="str">
        <f>IFERROR(VLOOKUP(Proc[[#This Row],[App]],Table2[],3,0),"open")</f>
        <v>ok</v>
      </c>
      <c r="C161" s="62" t="s">
        <v>369</v>
      </c>
      <c r="D161" t="s">
        <v>1457</v>
      </c>
      <c r="E161" t="s">
        <v>859</v>
      </c>
      <c r="F161" s="117" t="s">
        <v>859</v>
      </c>
      <c r="G161" t="s">
        <v>406</v>
      </c>
      <c r="H161" s="60" t="str">
        <f>IF(Proc[[#This Row],[type]]="LFF (MDG-F)",MID(Proc[[#This Row],[Obj]],13,10),"")</f>
        <v>DE10GIT05A</v>
      </c>
      <c r="J161" s="60" t="b">
        <f>Proc[[#This Row],[Requested]]=Proc[[#This Row],[CurrentParent]]</f>
        <v>1</v>
      </c>
      <c r="K161" s="144" t="str">
        <f>IF(Proc[[#This Row],[Author]]="Marcela Urrego",VLOOKUP(LEFT(Proc[[#This Row],[Requested]],1),Table3[#All],2,0),VLOOKUP(Proc[[#This Row],[Author]],Table4[],2,0))</f>
        <v>MGF</v>
      </c>
      <c r="L161" s="60" t="s">
        <v>401</v>
      </c>
      <c r="M161" s="71">
        <v>45663.631412037037</v>
      </c>
      <c r="N161" s="71">
        <v>45671</v>
      </c>
      <c r="O161" s="71">
        <v>45671</v>
      </c>
      <c r="P161" s="64" t="str">
        <f ca="1">IF(Proc[[#This Row],[DaysAgeing]]&gt;5,"yep","on track")</f>
        <v>yep</v>
      </c>
      <c r="Q161" s="3">
        <f ca="1">IF(Proc[[#This Row],[DateClosed]]="",ABS(NETWORKDAYS(Proc[[#This Row],[DateOpened]],TODAY()))-1,ABS(NETWORKDAYS(Proc[[#This Row],[DateOpened]],Proc[[#This Row],[DateClosed]]))-1)</f>
        <v>6</v>
      </c>
      <c r="R161" s="64" t="s">
        <v>1459</v>
      </c>
      <c r="S161" s="60"/>
    </row>
    <row r="162" spans="1:19" hidden="1">
      <c r="A162" t="s">
        <v>1461</v>
      </c>
      <c r="B162" s="149" t="str">
        <f>IFERROR(VLOOKUP(Proc[[#This Row],[App]],Table2[],3,0),"open")</f>
        <v>ok</v>
      </c>
      <c r="C162" s="62" t="s">
        <v>369</v>
      </c>
      <c r="D162" t="s">
        <v>1462</v>
      </c>
      <c r="E162" t="s">
        <v>427</v>
      </c>
      <c r="F162" s="117" t="s">
        <v>427</v>
      </c>
      <c r="G162" s="62" t="s">
        <v>400</v>
      </c>
      <c r="H162" s="60" t="str">
        <f>IF(Proc[[#This Row],[type]]="LFF (MDG-F)",MID(Proc[[#This Row],[Obj]],13,10),"")</f>
        <v/>
      </c>
      <c r="I162" t="s">
        <v>1493</v>
      </c>
      <c r="J162" s="60" t="b">
        <f>Proc[[#This Row],[Requested]]=Proc[[#This Row],[CurrentParent]]</f>
        <v>1</v>
      </c>
      <c r="K162" s="144" t="str">
        <f>IF(Proc[[#This Row],[Author]]="Marcela Urrego",VLOOKUP(LEFT(Proc[[#This Row],[Requested]],1),Table3[#All],2,0),VLOOKUP(Proc[[#This Row],[Author]],Table4[],2,0))</f>
        <v>MGF</v>
      </c>
      <c r="L162" s="60" t="s">
        <v>401</v>
      </c>
      <c r="M162" s="71">
        <v>45663.702314814815</v>
      </c>
      <c r="N162" s="71">
        <v>45671</v>
      </c>
      <c r="O162" s="71">
        <v>45671</v>
      </c>
      <c r="P162" s="64" t="str">
        <f ca="1">IF(Proc[[#This Row],[DaysAgeing]]&gt;5,"yep","on track")</f>
        <v>yep</v>
      </c>
      <c r="Q162" s="3">
        <f ca="1">IF(Proc[[#This Row],[DateClosed]]="",ABS(NETWORKDAYS(Proc[[#This Row],[DateOpened]],TODAY()))-1,ABS(NETWORKDAYS(Proc[[#This Row],[DateOpened]],Proc[[#This Row],[DateClosed]]))-1)</f>
        <v>6</v>
      </c>
      <c r="R162" s="64" t="s">
        <v>1459</v>
      </c>
      <c r="S162" s="60"/>
    </row>
    <row r="163" spans="1:19" hidden="1">
      <c r="A163" s="62" t="s">
        <v>1461</v>
      </c>
      <c r="B163" s="149" t="str">
        <f>IFERROR(VLOOKUP(Proc[[#This Row],[App]],Table2[],3,0),"open")</f>
        <v>ok</v>
      </c>
      <c r="C163" s="62" t="s">
        <v>369</v>
      </c>
      <c r="D163" t="s">
        <v>1463</v>
      </c>
      <c r="E163" t="s">
        <v>425</v>
      </c>
      <c r="F163" s="117" t="s">
        <v>425</v>
      </c>
      <c r="G163" s="62" t="s">
        <v>400</v>
      </c>
      <c r="H163" s="60" t="str">
        <f>IF(Proc[[#This Row],[type]]="LFF (MDG-F)",MID(Proc[[#This Row],[Obj]],13,10),"")</f>
        <v/>
      </c>
      <c r="I163" t="s">
        <v>1493</v>
      </c>
      <c r="J163" s="60" t="b">
        <f>Proc[[#This Row],[Requested]]=Proc[[#This Row],[CurrentParent]]</f>
        <v>1</v>
      </c>
      <c r="K163" s="144" t="str">
        <f>IF(Proc[[#This Row],[Author]]="Marcela Urrego",VLOOKUP(LEFT(Proc[[#This Row],[Requested]],1),Table3[#All],2,0),VLOOKUP(Proc[[#This Row],[Author]],Table4[],2,0))</f>
        <v>MGF</v>
      </c>
      <c r="L163" s="60" t="s">
        <v>401</v>
      </c>
      <c r="M163" s="71">
        <v>45663.702314814815</v>
      </c>
      <c r="N163" s="71">
        <v>45671</v>
      </c>
      <c r="O163" s="71">
        <v>45671</v>
      </c>
      <c r="P163" s="64" t="str">
        <f ca="1">IF(Proc[[#This Row],[DaysAgeing]]&gt;5,"yep","on track")</f>
        <v>yep</v>
      </c>
      <c r="Q163" s="3">
        <f ca="1">IF(Proc[[#This Row],[DateClosed]]="",ABS(NETWORKDAYS(Proc[[#This Row],[DateOpened]],TODAY()))-1,ABS(NETWORKDAYS(Proc[[#This Row],[DateOpened]],Proc[[#This Row],[DateClosed]]))-1)</f>
        <v>6</v>
      </c>
      <c r="R163" s="64" t="s">
        <v>1459</v>
      </c>
      <c r="S163" s="60"/>
    </row>
    <row r="164" spans="1:19" hidden="1">
      <c r="A164" t="s">
        <v>1488</v>
      </c>
      <c r="B164" s="149" t="str">
        <f>IFERROR(VLOOKUP(Proc[[#This Row],[App]],Table2[],3,0),"open")</f>
        <v>ok</v>
      </c>
      <c r="C164" s="62" t="s">
        <v>369</v>
      </c>
      <c r="D164" s="65" t="s">
        <v>1487</v>
      </c>
      <c r="E164" s="65" t="s">
        <v>626</v>
      </c>
      <c r="F164" s="117" t="s">
        <v>626</v>
      </c>
      <c r="G164" s="62" t="s">
        <v>406</v>
      </c>
      <c r="H164" s="60" t="str">
        <f>IF(Proc[[#This Row],[type]]="LFF (MDG-F)",MID(Proc[[#This Row],[Obj]],13,10),"")</f>
        <v>DE10300076</v>
      </c>
      <c r="J164" s="60" t="b">
        <f>Proc[[#This Row],[Requested]]=Proc[[#This Row],[CurrentParent]]</f>
        <v>1</v>
      </c>
      <c r="K164" s="144" t="str">
        <f>IF(Proc[[#This Row],[Author]]="Marcela Urrego",VLOOKUP(LEFT(Proc[[#This Row],[Requested]],1),Table3[#All],2,0),VLOOKUP(Proc[[#This Row],[Author]],Table4[],2,0))</f>
        <v>MGF</v>
      </c>
      <c r="L164" s="60" t="s">
        <v>401</v>
      </c>
      <c r="M164" s="71">
        <v>45664.385011574072</v>
      </c>
      <c r="N164" s="71">
        <v>45666</v>
      </c>
      <c r="O164" s="71">
        <v>45666</v>
      </c>
      <c r="P164" s="64" t="str">
        <f ca="1">IF(Proc[[#This Row],[DaysAgeing]]&gt;5,"yep","on track")</f>
        <v>on track</v>
      </c>
      <c r="Q164" s="3">
        <f ca="1">IF(Proc[[#This Row],[DateClosed]]="",ABS(NETWORKDAYS(Proc[[#This Row],[DateOpened]],TODAY()))-1,ABS(NETWORKDAYS(Proc[[#This Row],[DateOpened]],Proc[[#This Row],[DateClosed]]))-1)</f>
        <v>2</v>
      </c>
      <c r="R164" s="64" t="s">
        <v>549</v>
      </c>
      <c r="S164" s="60"/>
    </row>
    <row r="165" spans="1:19" hidden="1">
      <c r="A165" s="62" t="s">
        <v>1486</v>
      </c>
      <c r="B165" s="149" t="str">
        <f>IFERROR(VLOOKUP(Proc[[#This Row],[App]],Table2[],3,0),"open")</f>
        <v>ok</v>
      </c>
      <c r="C165" s="62" t="s">
        <v>369</v>
      </c>
      <c r="D165" t="s">
        <v>1485</v>
      </c>
      <c r="E165" t="s">
        <v>631</v>
      </c>
      <c r="F165" s="117" t="s">
        <v>631</v>
      </c>
      <c r="G165" s="62" t="s">
        <v>406</v>
      </c>
      <c r="H165" s="60" t="str">
        <f>IF(Proc[[#This Row],[type]]="LFF (MDG-F)",MID(Proc[[#This Row],[Obj]],13,10),"")</f>
        <v>DE10200023</v>
      </c>
      <c r="J165" s="60" t="b">
        <f>Proc[[#This Row],[Requested]]=Proc[[#This Row],[CurrentParent]]</f>
        <v>1</v>
      </c>
      <c r="K165" s="144" t="str">
        <f>IF(Proc[[#This Row],[Author]]="Marcela Urrego",VLOOKUP(LEFT(Proc[[#This Row],[Requested]],1),Table3[#All],2,0),VLOOKUP(Proc[[#This Row],[Author]],Table4[],2,0))</f>
        <v>MGF</v>
      </c>
      <c r="L165" s="60" t="s">
        <v>401</v>
      </c>
      <c r="M165" s="71">
        <v>45664.390173611115</v>
      </c>
      <c r="N165" s="71">
        <v>45666</v>
      </c>
      <c r="O165" s="71">
        <v>45666</v>
      </c>
      <c r="P165" s="64" t="str">
        <f ca="1">IF(Proc[[#This Row],[DaysAgeing]]&gt;5,"yep","on track")</f>
        <v>on track</v>
      </c>
      <c r="Q165" s="3">
        <f ca="1">IF(Proc[[#This Row],[DateClosed]]="",ABS(NETWORKDAYS(Proc[[#This Row],[DateOpened]],TODAY()))-1,ABS(NETWORKDAYS(Proc[[#This Row],[DateOpened]],Proc[[#This Row],[DateClosed]]))-1)</f>
        <v>2</v>
      </c>
      <c r="R165" s="64" t="s">
        <v>549</v>
      </c>
      <c r="S165" s="60"/>
    </row>
    <row r="166" spans="1:19" hidden="1">
      <c r="A166" s="62" t="s">
        <v>1486</v>
      </c>
      <c r="B166" s="149" t="str">
        <f>IFERROR(VLOOKUP(Proc[[#This Row],[App]],Table2[],3,0),"open")</f>
        <v>ok</v>
      </c>
      <c r="C166" s="62" t="s">
        <v>369</v>
      </c>
      <c r="D166" t="s">
        <v>625</v>
      </c>
      <c r="E166" t="s">
        <v>631</v>
      </c>
      <c r="F166" s="117" t="s">
        <v>631</v>
      </c>
      <c r="G166" s="62" t="s">
        <v>406</v>
      </c>
      <c r="H166" s="60" t="str">
        <f>IF(Proc[[#This Row],[type]]="LFF (MDG-F)",MID(Proc[[#This Row],[Obj]],13,10),"")</f>
        <v>DE10200050</v>
      </c>
      <c r="J166" s="60" t="b">
        <f>Proc[[#This Row],[Requested]]=Proc[[#This Row],[CurrentParent]]</f>
        <v>1</v>
      </c>
      <c r="K166" s="144" t="str">
        <f>IF(Proc[[#This Row],[Author]]="Marcela Urrego",VLOOKUP(LEFT(Proc[[#This Row],[Requested]],1),Table3[#All],2,0),VLOOKUP(Proc[[#This Row],[Author]],Table4[],2,0))</f>
        <v>MGF</v>
      </c>
      <c r="L166" s="60" t="s">
        <v>401</v>
      </c>
      <c r="M166" s="71">
        <v>45664.390173611115</v>
      </c>
      <c r="N166" s="71">
        <v>45666</v>
      </c>
      <c r="O166" s="71">
        <v>45666</v>
      </c>
      <c r="P166" s="64" t="str">
        <f ca="1">IF(Proc[[#This Row],[DaysAgeing]]&gt;5,"yep","on track")</f>
        <v>on track</v>
      </c>
      <c r="Q166" s="3">
        <f ca="1">IF(Proc[[#This Row],[DateClosed]]="",ABS(NETWORKDAYS(Proc[[#This Row],[DateOpened]],TODAY()))-1,ABS(NETWORKDAYS(Proc[[#This Row],[DateOpened]],Proc[[#This Row],[DateClosed]]))-1)</f>
        <v>2</v>
      </c>
      <c r="R166" s="64" t="s">
        <v>549</v>
      </c>
      <c r="S166" s="60"/>
    </row>
    <row r="167" spans="1:19" hidden="1">
      <c r="A167" s="62" t="s">
        <v>1484</v>
      </c>
      <c r="B167" s="149" t="str">
        <f>IFERROR(VLOOKUP(Proc[[#This Row],[App]],Table2[],3,0),"open")</f>
        <v>ok</v>
      </c>
      <c r="C167" s="62" t="s">
        <v>369</v>
      </c>
      <c r="D167" t="s">
        <v>1464</v>
      </c>
      <c r="E167" t="s">
        <v>1020</v>
      </c>
      <c r="F167" s="117" t="s">
        <v>1020</v>
      </c>
      <c r="G167" s="62" t="s">
        <v>400</v>
      </c>
      <c r="H167" s="60" t="str">
        <f>IF(Proc[[#This Row],[type]]="LFF (MDG-F)",MID(Proc[[#This Row],[Obj]],13,10),"")</f>
        <v/>
      </c>
      <c r="I167" t="s">
        <v>1493</v>
      </c>
      <c r="J167" s="60" t="b">
        <f>Proc[[#This Row],[Requested]]=Proc[[#This Row],[CurrentParent]]</f>
        <v>1</v>
      </c>
      <c r="K167" s="144" t="str">
        <f>IF(Proc[[#This Row],[Author]]="Marcela Urrego",VLOOKUP(LEFT(Proc[[#This Row],[Requested]],1),Table3[#All],2,0),VLOOKUP(Proc[[#This Row],[Author]],Table4[],2,0))</f>
        <v>HC</v>
      </c>
      <c r="L167" s="60" t="s">
        <v>401</v>
      </c>
      <c r="M167" s="71">
        <v>45664.540486111109</v>
      </c>
      <c r="N167" s="71">
        <v>45671</v>
      </c>
      <c r="O167" s="71">
        <v>45671</v>
      </c>
      <c r="P167" s="64" t="str">
        <f ca="1">IF(Proc[[#This Row],[DaysAgeing]]&gt;5,"yep","on track")</f>
        <v>on track</v>
      </c>
      <c r="Q167" s="3">
        <f ca="1">IF(Proc[[#This Row],[DateClosed]]="",ABS(NETWORKDAYS(Proc[[#This Row],[DateOpened]],TODAY()))-1,ABS(NETWORKDAYS(Proc[[#This Row],[DateOpened]],Proc[[#This Row],[DateClosed]]))-1)</f>
        <v>5</v>
      </c>
      <c r="R167" s="64" t="s">
        <v>494</v>
      </c>
      <c r="S167" s="60"/>
    </row>
    <row r="168" spans="1:19" hidden="1">
      <c r="A168" s="62" t="s">
        <v>1484</v>
      </c>
      <c r="B168" s="149" t="str">
        <f>IFERROR(VLOOKUP(Proc[[#This Row],[App]],Table2[],3,0),"open")</f>
        <v>ok</v>
      </c>
      <c r="C168" s="62" t="s">
        <v>369</v>
      </c>
      <c r="D168" t="s">
        <v>1465</v>
      </c>
      <c r="E168" t="s">
        <v>1021</v>
      </c>
      <c r="F168" s="117" t="s">
        <v>1021</v>
      </c>
      <c r="G168" s="62" t="s">
        <v>400</v>
      </c>
      <c r="H168" s="60" t="str">
        <f>IF(Proc[[#This Row],[type]]="LFF (MDG-F)",MID(Proc[[#This Row],[Obj]],13,10),"")</f>
        <v/>
      </c>
      <c r="I168" t="s">
        <v>1493</v>
      </c>
      <c r="J168" s="60" t="b">
        <f>Proc[[#This Row],[Requested]]=Proc[[#This Row],[CurrentParent]]</f>
        <v>1</v>
      </c>
      <c r="K168" s="144" t="str">
        <f>IF(Proc[[#This Row],[Author]]="Marcela Urrego",VLOOKUP(LEFT(Proc[[#This Row],[Requested]],1),Table3[#All],2,0),VLOOKUP(Proc[[#This Row],[Author]],Table4[],2,0))</f>
        <v>HC</v>
      </c>
      <c r="L168" s="60" t="s">
        <v>401</v>
      </c>
      <c r="M168" s="71">
        <v>45664.540486111109</v>
      </c>
      <c r="N168" s="71">
        <v>45671</v>
      </c>
      <c r="O168" s="71">
        <v>45671</v>
      </c>
      <c r="P168" s="64" t="str">
        <f ca="1">IF(Proc[[#This Row],[DaysAgeing]]&gt;5,"yep","on track")</f>
        <v>on track</v>
      </c>
      <c r="Q168" s="3">
        <f ca="1">IF(Proc[[#This Row],[DateClosed]]="",ABS(NETWORKDAYS(Proc[[#This Row],[DateOpened]],TODAY()))-1,ABS(NETWORKDAYS(Proc[[#This Row],[DateOpened]],Proc[[#This Row],[DateClosed]]))-1)</f>
        <v>5</v>
      </c>
      <c r="R168" s="64" t="s">
        <v>494</v>
      </c>
      <c r="S168" s="60"/>
    </row>
    <row r="169" spans="1:19" hidden="1">
      <c r="A169" s="62" t="s">
        <v>1484</v>
      </c>
      <c r="B169" s="149" t="str">
        <f>IFERROR(VLOOKUP(Proc[[#This Row],[App]],Table2[],3,0),"open")</f>
        <v>ok</v>
      </c>
      <c r="C169" s="62" t="s">
        <v>369</v>
      </c>
      <c r="D169" t="s">
        <v>1466</v>
      </c>
      <c r="E169" t="s">
        <v>1022</v>
      </c>
      <c r="F169" s="117" t="s">
        <v>1022</v>
      </c>
      <c r="G169" s="62" t="s">
        <v>400</v>
      </c>
      <c r="H169" s="60" t="str">
        <f>IF(Proc[[#This Row],[type]]="LFF (MDG-F)",MID(Proc[[#This Row],[Obj]],13,10),"")</f>
        <v/>
      </c>
      <c r="I169" t="s">
        <v>1493</v>
      </c>
      <c r="J169" s="60" t="b">
        <f>Proc[[#This Row],[Requested]]=Proc[[#This Row],[CurrentParent]]</f>
        <v>1</v>
      </c>
      <c r="K169" s="144" t="str">
        <f>IF(Proc[[#This Row],[Author]]="Marcela Urrego",VLOOKUP(LEFT(Proc[[#This Row],[Requested]],1),Table3[#All],2,0),VLOOKUP(Proc[[#This Row],[Author]],Table4[],2,0))</f>
        <v>HC</v>
      </c>
      <c r="L169" s="60" t="s">
        <v>401</v>
      </c>
      <c r="M169" s="71">
        <v>45664.540486111109</v>
      </c>
      <c r="N169" s="71">
        <v>45671</v>
      </c>
      <c r="O169" s="71">
        <v>45671</v>
      </c>
      <c r="P169" s="64" t="str">
        <f ca="1">IF(Proc[[#This Row],[DaysAgeing]]&gt;5,"yep","on track")</f>
        <v>on track</v>
      </c>
      <c r="Q169" s="3">
        <f ca="1">IF(Proc[[#This Row],[DateClosed]]="",ABS(NETWORKDAYS(Proc[[#This Row],[DateOpened]],TODAY()))-1,ABS(NETWORKDAYS(Proc[[#This Row],[DateOpened]],Proc[[#This Row],[DateClosed]]))-1)</f>
        <v>5</v>
      </c>
      <c r="R169" s="64" t="s">
        <v>494</v>
      </c>
      <c r="S169" s="60"/>
    </row>
    <row r="170" spans="1:19" hidden="1">
      <c r="A170" s="62" t="s">
        <v>1484</v>
      </c>
      <c r="B170" s="149" t="str">
        <f>IFERROR(VLOOKUP(Proc[[#This Row],[App]],Table2[],3,0),"open")</f>
        <v>ok</v>
      </c>
      <c r="C170" s="62" t="s">
        <v>369</v>
      </c>
      <c r="D170" t="s">
        <v>1467</v>
      </c>
      <c r="E170" t="s">
        <v>508</v>
      </c>
      <c r="F170" s="117" t="s">
        <v>508</v>
      </c>
      <c r="G170" s="62" t="s">
        <v>400</v>
      </c>
      <c r="H170" s="60" t="str">
        <f>IF(Proc[[#This Row],[type]]="LFF (MDG-F)",MID(Proc[[#This Row],[Obj]],13,10),"")</f>
        <v/>
      </c>
      <c r="I170" t="s">
        <v>1493</v>
      </c>
      <c r="J170" s="60" t="b">
        <f>Proc[[#This Row],[Requested]]=Proc[[#This Row],[CurrentParent]]</f>
        <v>1</v>
      </c>
      <c r="K170" s="144" t="str">
        <f>IF(Proc[[#This Row],[Author]]="Marcela Urrego",VLOOKUP(LEFT(Proc[[#This Row],[Requested]],1),Table3[#All],2,0),VLOOKUP(Proc[[#This Row],[Author]],Table4[],2,0))</f>
        <v>HC</v>
      </c>
      <c r="L170" s="60" t="s">
        <v>401</v>
      </c>
      <c r="M170" s="71">
        <v>45664.540486111109</v>
      </c>
      <c r="N170" s="71">
        <v>45671</v>
      </c>
      <c r="O170" s="71">
        <v>45671</v>
      </c>
      <c r="P170" s="64" t="str">
        <f ca="1">IF(Proc[[#This Row],[DaysAgeing]]&gt;5,"yep","on track")</f>
        <v>on track</v>
      </c>
      <c r="Q170" s="3">
        <f ca="1">IF(Proc[[#This Row],[DateClosed]]="",ABS(NETWORKDAYS(Proc[[#This Row],[DateOpened]],TODAY()))-1,ABS(NETWORKDAYS(Proc[[#This Row],[DateOpened]],Proc[[#This Row],[DateClosed]]))-1)</f>
        <v>5</v>
      </c>
      <c r="R170" s="64" t="s">
        <v>494</v>
      </c>
      <c r="S170" s="60"/>
    </row>
    <row r="171" spans="1:19" hidden="1">
      <c r="A171" s="62" t="s">
        <v>1484</v>
      </c>
      <c r="B171" s="149" t="str">
        <f>IFERROR(VLOOKUP(Proc[[#This Row],[App]],Table2[],3,0),"open")</f>
        <v>ok</v>
      </c>
      <c r="C171" s="62" t="s">
        <v>369</v>
      </c>
      <c r="D171" t="s">
        <v>1468</v>
      </c>
      <c r="E171" t="s">
        <v>495</v>
      </c>
      <c r="F171" s="117" t="s">
        <v>495</v>
      </c>
      <c r="G171" s="62" t="s">
        <v>400</v>
      </c>
      <c r="H171" s="60" t="str">
        <f>IF(Proc[[#This Row],[type]]="LFF (MDG-F)",MID(Proc[[#This Row],[Obj]],13,10),"")</f>
        <v/>
      </c>
      <c r="I171" t="s">
        <v>1493</v>
      </c>
      <c r="J171" s="60" t="b">
        <f>Proc[[#This Row],[Requested]]=Proc[[#This Row],[CurrentParent]]</f>
        <v>1</v>
      </c>
      <c r="K171" s="144" t="str">
        <f>IF(Proc[[#This Row],[Author]]="Marcela Urrego",VLOOKUP(LEFT(Proc[[#This Row],[Requested]],1),Table3[#All],2,0),VLOOKUP(Proc[[#This Row],[Author]],Table4[],2,0))</f>
        <v>HC</v>
      </c>
      <c r="L171" s="60" t="s">
        <v>401</v>
      </c>
      <c r="M171" s="71">
        <v>45664.540486111109</v>
      </c>
      <c r="N171" s="71">
        <v>45671</v>
      </c>
      <c r="O171" s="71">
        <v>45671</v>
      </c>
      <c r="P171" s="64" t="str">
        <f ca="1">IF(Proc[[#This Row],[DaysAgeing]]&gt;5,"yep","on track")</f>
        <v>on track</v>
      </c>
      <c r="Q171" s="3">
        <f ca="1">IF(Proc[[#This Row],[DateClosed]]="",ABS(NETWORKDAYS(Proc[[#This Row],[DateOpened]],TODAY()))-1,ABS(NETWORKDAYS(Proc[[#This Row],[DateOpened]],Proc[[#This Row],[DateClosed]]))-1)</f>
        <v>5</v>
      </c>
      <c r="R171" s="64" t="s">
        <v>494</v>
      </c>
      <c r="S171" s="60"/>
    </row>
    <row r="172" spans="1:19" hidden="1">
      <c r="A172" s="62" t="s">
        <v>1484</v>
      </c>
      <c r="B172" s="149" t="str">
        <f>IFERROR(VLOOKUP(Proc[[#This Row],[App]],Table2[],3,0),"open")</f>
        <v>ok</v>
      </c>
      <c r="C172" s="62" t="s">
        <v>369</v>
      </c>
      <c r="D172" t="s">
        <v>1469</v>
      </c>
      <c r="E172" t="s">
        <v>1023</v>
      </c>
      <c r="F172" s="117" t="s">
        <v>1023</v>
      </c>
      <c r="G172" s="62" t="s">
        <v>400</v>
      </c>
      <c r="H172" s="60" t="str">
        <f>IF(Proc[[#This Row],[type]]="LFF (MDG-F)",MID(Proc[[#This Row],[Obj]],13,10),"")</f>
        <v/>
      </c>
      <c r="I172" t="s">
        <v>1493</v>
      </c>
      <c r="J172" s="60" t="b">
        <f>Proc[[#This Row],[Requested]]=Proc[[#This Row],[CurrentParent]]</f>
        <v>1</v>
      </c>
      <c r="K172" s="144" t="str">
        <f>IF(Proc[[#This Row],[Author]]="Marcela Urrego",VLOOKUP(LEFT(Proc[[#This Row],[Requested]],1),Table3[#All],2,0),VLOOKUP(Proc[[#This Row],[Author]],Table4[],2,0))</f>
        <v>HC</v>
      </c>
      <c r="L172" s="60" t="s">
        <v>401</v>
      </c>
      <c r="M172" s="71">
        <v>45664.540486111109</v>
      </c>
      <c r="N172" s="71">
        <v>45671</v>
      </c>
      <c r="O172" s="71">
        <v>45671</v>
      </c>
      <c r="P172" s="64" t="str">
        <f ca="1">IF(Proc[[#This Row],[DaysAgeing]]&gt;5,"yep","on track")</f>
        <v>on track</v>
      </c>
      <c r="Q172" s="3">
        <f ca="1">IF(Proc[[#This Row],[DateClosed]]="",ABS(NETWORKDAYS(Proc[[#This Row],[DateOpened]],TODAY()))-1,ABS(NETWORKDAYS(Proc[[#This Row],[DateOpened]],Proc[[#This Row],[DateClosed]]))-1)</f>
        <v>5</v>
      </c>
      <c r="R172" s="64" t="s">
        <v>494</v>
      </c>
      <c r="S172" s="60"/>
    </row>
    <row r="173" spans="1:19" hidden="1">
      <c r="A173" s="62" t="s">
        <v>1484</v>
      </c>
      <c r="B173" s="149" t="str">
        <f>IFERROR(VLOOKUP(Proc[[#This Row],[App]],Table2[],3,0),"open")</f>
        <v>ok</v>
      </c>
      <c r="C173" s="62" t="s">
        <v>369</v>
      </c>
      <c r="D173" t="s">
        <v>1470</v>
      </c>
      <c r="E173" t="s">
        <v>538</v>
      </c>
      <c r="F173" s="117" t="s">
        <v>538</v>
      </c>
      <c r="G173" s="62" t="s">
        <v>400</v>
      </c>
      <c r="H173" s="60" t="str">
        <f>IF(Proc[[#This Row],[type]]="LFF (MDG-F)",MID(Proc[[#This Row],[Obj]],13,10),"")</f>
        <v/>
      </c>
      <c r="I173" t="s">
        <v>1493</v>
      </c>
      <c r="J173" s="60" t="b">
        <f>Proc[[#This Row],[Requested]]=Proc[[#This Row],[CurrentParent]]</f>
        <v>1</v>
      </c>
      <c r="K173" s="144" t="str">
        <f>IF(Proc[[#This Row],[Author]]="Marcela Urrego",VLOOKUP(LEFT(Proc[[#This Row],[Requested]],1),Table3[#All],2,0),VLOOKUP(Proc[[#This Row],[Author]],Table4[],2,0))</f>
        <v>HC</v>
      </c>
      <c r="L173" s="60" t="s">
        <v>401</v>
      </c>
      <c r="M173" s="71">
        <v>45664.540486111109</v>
      </c>
      <c r="N173" s="71">
        <v>45671</v>
      </c>
      <c r="O173" s="71">
        <v>45671</v>
      </c>
      <c r="P173" s="64" t="str">
        <f ca="1">IF(Proc[[#This Row],[DaysAgeing]]&gt;5,"yep","on track")</f>
        <v>on track</v>
      </c>
      <c r="Q173" s="3">
        <f ca="1">IF(Proc[[#This Row],[DateClosed]]="",ABS(NETWORKDAYS(Proc[[#This Row],[DateOpened]],TODAY()))-1,ABS(NETWORKDAYS(Proc[[#This Row],[DateOpened]],Proc[[#This Row],[DateClosed]]))-1)</f>
        <v>5</v>
      </c>
      <c r="R173" s="64" t="s">
        <v>494</v>
      </c>
      <c r="S173" s="60"/>
    </row>
    <row r="174" spans="1:19" hidden="1">
      <c r="A174" s="62" t="s">
        <v>1484</v>
      </c>
      <c r="B174" s="149" t="str">
        <f>IFERROR(VLOOKUP(Proc[[#This Row],[App]],Table2[],3,0),"open")</f>
        <v>ok</v>
      </c>
      <c r="C174" s="62" t="s">
        <v>369</v>
      </c>
      <c r="D174" t="s">
        <v>1471</v>
      </c>
      <c r="E174" t="s">
        <v>1024</v>
      </c>
      <c r="F174" s="117" t="s">
        <v>1024</v>
      </c>
      <c r="G174" s="62" t="s">
        <v>400</v>
      </c>
      <c r="H174" s="60" t="str">
        <f>IF(Proc[[#This Row],[type]]="LFF (MDG-F)",MID(Proc[[#This Row],[Obj]],13,10),"")</f>
        <v/>
      </c>
      <c r="I174" t="s">
        <v>1493</v>
      </c>
      <c r="J174" s="60" t="b">
        <f>Proc[[#This Row],[Requested]]=Proc[[#This Row],[CurrentParent]]</f>
        <v>1</v>
      </c>
      <c r="K174" s="144" t="str">
        <f>IF(Proc[[#This Row],[Author]]="Marcela Urrego",VLOOKUP(LEFT(Proc[[#This Row],[Requested]],1),Table3[#All],2,0),VLOOKUP(Proc[[#This Row],[Author]],Table4[],2,0))</f>
        <v>HC</v>
      </c>
      <c r="L174" s="60" t="s">
        <v>401</v>
      </c>
      <c r="M174" s="71">
        <v>45664.540486111109</v>
      </c>
      <c r="N174" s="71">
        <v>45671</v>
      </c>
      <c r="O174" s="71">
        <v>45671</v>
      </c>
      <c r="P174" s="64" t="str">
        <f ca="1">IF(Proc[[#This Row],[DaysAgeing]]&gt;5,"yep","on track")</f>
        <v>on track</v>
      </c>
      <c r="Q174" s="3">
        <f ca="1">IF(Proc[[#This Row],[DateClosed]]="",ABS(NETWORKDAYS(Proc[[#This Row],[DateOpened]],TODAY()))-1,ABS(NETWORKDAYS(Proc[[#This Row],[DateOpened]],Proc[[#This Row],[DateClosed]]))-1)</f>
        <v>5</v>
      </c>
      <c r="R174" s="64" t="s">
        <v>494</v>
      </c>
      <c r="S174" s="60"/>
    </row>
    <row r="175" spans="1:19" hidden="1">
      <c r="A175" s="62" t="s">
        <v>1484</v>
      </c>
      <c r="B175" s="149" t="str">
        <f>IFERROR(VLOOKUP(Proc[[#This Row],[App]],Table2[],3,0),"open")</f>
        <v>ok</v>
      </c>
      <c r="C175" s="62" t="s">
        <v>369</v>
      </c>
      <c r="D175" t="s">
        <v>1472</v>
      </c>
      <c r="E175" t="s">
        <v>537</v>
      </c>
      <c r="F175" s="117" t="s">
        <v>537</v>
      </c>
      <c r="G175" s="62" t="s">
        <v>400</v>
      </c>
      <c r="H175" s="60" t="str">
        <f>IF(Proc[[#This Row],[type]]="LFF (MDG-F)",MID(Proc[[#This Row],[Obj]],13,10),"")</f>
        <v/>
      </c>
      <c r="I175" t="s">
        <v>1493</v>
      </c>
      <c r="J175" s="60" t="b">
        <f>Proc[[#This Row],[Requested]]=Proc[[#This Row],[CurrentParent]]</f>
        <v>1</v>
      </c>
      <c r="K175" s="144" t="str">
        <f>IF(Proc[[#This Row],[Author]]="Marcela Urrego",VLOOKUP(LEFT(Proc[[#This Row],[Requested]],1),Table3[#All],2,0),VLOOKUP(Proc[[#This Row],[Author]],Table4[],2,0))</f>
        <v>HC</v>
      </c>
      <c r="L175" s="60" t="s">
        <v>401</v>
      </c>
      <c r="M175" s="71">
        <v>45664.540486111109</v>
      </c>
      <c r="N175" s="71">
        <v>45671</v>
      </c>
      <c r="O175" s="71">
        <v>45671</v>
      </c>
      <c r="P175" s="64" t="str">
        <f ca="1">IF(Proc[[#This Row],[DaysAgeing]]&gt;5,"yep","on track")</f>
        <v>on track</v>
      </c>
      <c r="Q175" s="3">
        <f ca="1">IF(Proc[[#This Row],[DateClosed]]="",ABS(NETWORKDAYS(Proc[[#This Row],[DateOpened]],TODAY()))-1,ABS(NETWORKDAYS(Proc[[#This Row],[DateOpened]],Proc[[#This Row],[DateClosed]]))-1)</f>
        <v>5</v>
      </c>
      <c r="R175" s="64" t="s">
        <v>494</v>
      </c>
      <c r="S175" s="60"/>
    </row>
    <row r="176" spans="1:19" hidden="1">
      <c r="A176" s="62" t="s">
        <v>1484</v>
      </c>
      <c r="B176" s="149" t="str">
        <f>IFERROR(VLOOKUP(Proc[[#This Row],[App]],Table2[],3,0),"open")</f>
        <v>ok</v>
      </c>
      <c r="C176" s="62" t="s">
        <v>369</v>
      </c>
      <c r="D176" t="s">
        <v>1473</v>
      </c>
      <c r="E176" t="s">
        <v>537</v>
      </c>
      <c r="F176" s="117" t="s">
        <v>537</v>
      </c>
      <c r="G176" s="62" t="s">
        <v>400</v>
      </c>
      <c r="H176" s="60" t="str">
        <f>IF(Proc[[#This Row],[type]]="LFF (MDG-F)",MID(Proc[[#This Row],[Obj]],13,10),"")</f>
        <v/>
      </c>
      <c r="I176" t="s">
        <v>1493</v>
      </c>
      <c r="J176" s="60" t="b">
        <f>Proc[[#This Row],[Requested]]=Proc[[#This Row],[CurrentParent]]</f>
        <v>1</v>
      </c>
      <c r="K176" s="144" t="str">
        <f>IF(Proc[[#This Row],[Author]]="Marcela Urrego",VLOOKUP(LEFT(Proc[[#This Row],[Requested]],1),Table3[#All],2,0),VLOOKUP(Proc[[#This Row],[Author]],Table4[],2,0))</f>
        <v>HC</v>
      </c>
      <c r="L176" s="60" t="s">
        <v>401</v>
      </c>
      <c r="M176" s="71">
        <v>45664.540486111109</v>
      </c>
      <c r="N176" s="71">
        <v>45671</v>
      </c>
      <c r="O176" s="71">
        <v>45671</v>
      </c>
      <c r="P176" s="64" t="str">
        <f ca="1">IF(Proc[[#This Row],[DaysAgeing]]&gt;5,"yep","on track")</f>
        <v>on track</v>
      </c>
      <c r="Q176" s="3">
        <f ca="1">IF(Proc[[#This Row],[DateClosed]]="",ABS(NETWORKDAYS(Proc[[#This Row],[DateOpened]],TODAY()))-1,ABS(NETWORKDAYS(Proc[[#This Row],[DateOpened]],Proc[[#This Row],[DateClosed]]))-1)</f>
        <v>5</v>
      </c>
      <c r="R176" s="64" t="s">
        <v>494</v>
      </c>
      <c r="S176" s="60"/>
    </row>
    <row r="177" spans="1:19" hidden="1">
      <c r="A177" s="62" t="s">
        <v>1484</v>
      </c>
      <c r="B177" s="149" t="str">
        <f>IFERROR(VLOOKUP(Proc[[#This Row],[App]],Table2[],3,0),"open")</f>
        <v>ok</v>
      </c>
      <c r="C177" s="62" t="s">
        <v>369</v>
      </c>
      <c r="D177" t="s">
        <v>1474</v>
      </c>
      <c r="E177" t="s">
        <v>537</v>
      </c>
      <c r="F177" s="117" t="s">
        <v>537</v>
      </c>
      <c r="G177" s="62" t="s">
        <v>400</v>
      </c>
      <c r="H177" s="60" t="str">
        <f>IF(Proc[[#This Row],[type]]="LFF (MDG-F)",MID(Proc[[#This Row],[Obj]],13,10),"")</f>
        <v/>
      </c>
      <c r="I177" t="s">
        <v>1493</v>
      </c>
      <c r="J177" s="60" t="b">
        <f>Proc[[#This Row],[Requested]]=Proc[[#This Row],[CurrentParent]]</f>
        <v>1</v>
      </c>
      <c r="K177" s="144" t="str">
        <f>IF(Proc[[#This Row],[Author]]="Marcela Urrego",VLOOKUP(LEFT(Proc[[#This Row],[Requested]],1),Table3[#All],2,0),VLOOKUP(Proc[[#This Row],[Author]],Table4[],2,0))</f>
        <v>HC</v>
      </c>
      <c r="L177" s="60" t="s">
        <v>401</v>
      </c>
      <c r="M177" s="71">
        <v>45664.540486111109</v>
      </c>
      <c r="N177" s="71">
        <v>45671</v>
      </c>
      <c r="O177" s="71">
        <v>45671</v>
      </c>
      <c r="P177" s="64" t="str">
        <f ca="1">IF(Proc[[#This Row],[DaysAgeing]]&gt;5,"yep","on track")</f>
        <v>on track</v>
      </c>
      <c r="Q177" s="3">
        <f ca="1">IF(Proc[[#This Row],[DateClosed]]="",ABS(NETWORKDAYS(Proc[[#This Row],[DateOpened]],TODAY()))-1,ABS(NETWORKDAYS(Proc[[#This Row],[DateOpened]],Proc[[#This Row],[DateClosed]]))-1)</f>
        <v>5</v>
      </c>
      <c r="R177" s="64" t="s">
        <v>494</v>
      </c>
      <c r="S177" s="60"/>
    </row>
    <row r="178" spans="1:19" hidden="1">
      <c r="A178" s="62" t="s">
        <v>1484</v>
      </c>
      <c r="B178" s="149" t="str">
        <f>IFERROR(VLOOKUP(Proc[[#This Row],[App]],Table2[],3,0),"open")</f>
        <v>ok</v>
      </c>
      <c r="C178" s="62" t="s">
        <v>369</v>
      </c>
      <c r="D178" t="s">
        <v>1475</v>
      </c>
      <c r="E178" t="s">
        <v>537</v>
      </c>
      <c r="F178" s="117" t="s">
        <v>537</v>
      </c>
      <c r="G178" s="62" t="s">
        <v>400</v>
      </c>
      <c r="H178" s="60" t="str">
        <f>IF(Proc[[#This Row],[type]]="LFF (MDG-F)",MID(Proc[[#This Row],[Obj]],13,10),"")</f>
        <v/>
      </c>
      <c r="I178" t="s">
        <v>1493</v>
      </c>
      <c r="J178" s="60" t="b">
        <f>Proc[[#This Row],[Requested]]=Proc[[#This Row],[CurrentParent]]</f>
        <v>1</v>
      </c>
      <c r="K178" s="144" t="str">
        <f>IF(Proc[[#This Row],[Author]]="Marcela Urrego",VLOOKUP(LEFT(Proc[[#This Row],[Requested]],1),Table3[#All],2,0),VLOOKUP(Proc[[#This Row],[Author]],Table4[],2,0))</f>
        <v>HC</v>
      </c>
      <c r="L178" s="60" t="s">
        <v>401</v>
      </c>
      <c r="M178" s="71">
        <v>45664.540486111109</v>
      </c>
      <c r="N178" s="71">
        <v>45671</v>
      </c>
      <c r="O178" s="71">
        <v>45671</v>
      </c>
      <c r="P178" s="64" t="str">
        <f ca="1">IF(Proc[[#This Row],[DaysAgeing]]&gt;5,"yep","on track")</f>
        <v>on track</v>
      </c>
      <c r="Q178" s="3">
        <f ca="1">IF(Proc[[#This Row],[DateClosed]]="",ABS(NETWORKDAYS(Proc[[#This Row],[DateOpened]],TODAY()))-1,ABS(NETWORKDAYS(Proc[[#This Row],[DateOpened]],Proc[[#This Row],[DateClosed]]))-1)</f>
        <v>5</v>
      </c>
      <c r="R178" s="64" t="s">
        <v>494</v>
      </c>
      <c r="S178" s="60"/>
    </row>
    <row r="179" spans="1:19" hidden="1">
      <c r="A179" s="62" t="s">
        <v>1484</v>
      </c>
      <c r="B179" s="149" t="str">
        <f>IFERROR(VLOOKUP(Proc[[#This Row],[App]],Table2[],3,0),"open")</f>
        <v>ok</v>
      </c>
      <c r="C179" s="62" t="s">
        <v>369</v>
      </c>
      <c r="D179" t="s">
        <v>1476</v>
      </c>
      <c r="E179" t="s">
        <v>537</v>
      </c>
      <c r="F179" s="117" t="s">
        <v>537</v>
      </c>
      <c r="G179" s="62" t="s">
        <v>400</v>
      </c>
      <c r="H179" s="60" t="str">
        <f>IF(Proc[[#This Row],[type]]="LFF (MDG-F)",MID(Proc[[#This Row],[Obj]],13,10),"")</f>
        <v/>
      </c>
      <c r="I179" t="s">
        <v>1493</v>
      </c>
      <c r="J179" s="60" t="b">
        <f>Proc[[#This Row],[Requested]]=Proc[[#This Row],[CurrentParent]]</f>
        <v>1</v>
      </c>
      <c r="K179" s="144" t="str">
        <f>IF(Proc[[#This Row],[Author]]="Marcela Urrego",VLOOKUP(LEFT(Proc[[#This Row],[Requested]],1),Table3[#All],2,0),VLOOKUP(Proc[[#This Row],[Author]],Table4[],2,0))</f>
        <v>HC</v>
      </c>
      <c r="L179" s="60" t="s">
        <v>401</v>
      </c>
      <c r="M179" s="71">
        <v>45664.540486111109</v>
      </c>
      <c r="N179" s="71">
        <v>45671</v>
      </c>
      <c r="O179" s="71">
        <v>45671</v>
      </c>
      <c r="P179" s="64" t="str">
        <f ca="1">IF(Proc[[#This Row],[DaysAgeing]]&gt;5,"yep","on track")</f>
        <v>on track</v>
      </c>
      <c r="Q179" s="3">
        <f ca="1">IF(Proc[[#This Row],[DateClosed]]="",ABS(NETWORKDAYS(Proc[[#This Row],[DateOpened]],TODAY()))-1,ABS(NETWORKDAYS(Proc[[#This Row],[DateOpened]],Proc[[#This Row],[DateClosed]]))-1)</f>
        <v>5</v>
      </c>
      <c r="R179" s="64" t="s">
        <v>494</v>
      </c>
      <c r="S179" s="60"/>
    </row>
    <row r="180" spans="1:19" hidden="1">
      <c r="A180" s="62" t="s">
        <v>1484</v>
      </c>
      <c r="B180" s="149" t="str">
        <f>IFERROR(VLOOKUP(Proc[[#This Row],[App]],Table2[],3,0),"open")</f>
        <v>ok</v>
      </c>
      <c r="C180" s="62" t="s">
        <v>369</v>
      </c>
      <c r="D180" t="s">
        <v>1477</v>
      </c>
      <c r="E180" t="s">
        <v>1019</v>
      </c>
      <c r="F180" s="117" t="s">
        <v>1019</v>
      </c>
      <c r="G180" s="62" t="s">
        <v>400</v>
      </c>
      <c r="H180" s="60" t="str">
        <f>IF(Proc[[#This Row],[type]]="LFF (MDG-F)",MID(Proc[[#This Row],[Obj]],13,10),"")</f>
        <v/>
      </c>
      <c r="I180" t="s">
        <v>1493</v>
      </c>
      <c r="J180" s="60" t="b">
        <f>Proc[[#This Row],[Requested]]=Proc[[#This Row],[CurrentParent]]</f>
        <v>1</v>
      </c>
      <c r="K180" s="144" t="str">
        <f>IF(Proc[[#This Row],[Author]]="Marcela Urrego",VLOOKUP(LEFT(Proc[[#This Row],[Requested]],1),Table3[#All],2,0),VLOOKUP(Proc[[#This Row],[Author]],Table4[],2,0))</f>
        <v>HC</v>
      </c>
      <c r="L180" s="60" t="s">
        <v>401</v>
      </c>
      <c r="M180" s="71">
        <v>45664.540486111109</v>
      </c>
      <c r="N180" s="71">
        <v>45671</v>
      </c>
      <c r="O180" s="71">
        <v>45671</v>
      </c>
      <c r="P180" s="64" t="str">
        <f ca="1">IF(Proc[[#This Row],[DaysAgeing]]&gt;5,"yep","on track")</f>
        <v>on track</v>
      </c>
      <c r="Q180" s="3">
        <f ca="1">IF(Proc[[#This Row],[DateClosed]]="",ABS(NETWORKDAYS(Proc[[#This Row],[DateOpened]],TODAY()))-1,ABS(NETWORKDAYS(Proc[[#This Row],[DateOpened]],Proc[[#This Row],[DateClosed]]))-1)</f>
        <v>5</v>
      </c>
      <c r="R180" s="64" t="s">
        <v>494</v>
      </c>
      <c r="S180" s="60"/>
    </row>
    <row r="181" spans="1:19" hidden="1">
      <c r="A181" s="62" t="s">
        <v>1484</v>
      </c>
      <c r="B181" s="149" t="str">
        <f>IFERROR(VLOOKUP(Proc[[#This Row],[App]],Table2[],3,0),"open")</f>
        <v>ok</v>
      </c>
      <c r="C181" s="62" t="s">
        <v>369</v>
      </c>
      <c r="D181" t="s">
        <v>1478</v>
      </c>
      <c r="E181" t="s">
        <v>1019</v>
      </c>
      <c r="F181" s="117" t="s">
        <v>1019</v>
      </c>
      <c r="G181" s="62" t="s">
        <v>400</v>
      </c>
      <c r="H181" s="60" t="str">
        <f>IF(Proc[[#This Row],[type]]="LFF (MDG-F)",MID(Proc[[#This Row],[Obj]],13,10),"")</f>
        <v/>
      </c>
      <c r="I181" t="s">
        <v>1493</v>
      </c>
      <c r="J181" s="60" t="b">
        <f>Proc[[#This Row],[Requested]]=Proc[[#This Row],[CurrentParent]]</f>
        <v>1</v>
      </c>
      <c r="K181" s="144" t="str">
        <f>IF(Proc[[#This Row],[Author]]="Marcela Urrego",VLOOKUP(LEFT(Proc[[#This Row],[Requested]],1),Table3[#All],2,0),VLOOKUP(Proc[[#This Row],[Author]],Table4[],2,0))</f>
        <v>HC</v>
      </c>
      <c r="L181" s="60" t="s">
        <v>401</v>
      </c>
      <c r="M181" s="71">
        <v>45664.540486111109</v>
      </c>
      <c r="N181" s="71">
        <v>45671</v>
      </c>
      <c r="O181" s="71">
        <v>45671</v>
      </c>
      <c r="P181" s="64" t="str">
        <f ca="1">IF(Proc[[#This Row],[DaysAgeing]]&gt;5,"yep","on track")</f>
        <v>on track</v>
      </c>
      <c r="Q181" s="3">
        <f ca="1">IF(Proc[[#This Row],[DateClosed]]="",ABS(NETWORKDAYS(Proc[[#This Row],[DateOpened]],TODAY()))-1,ABS(NETWORKDAYS(Proc[[#This Row],[DateOpened]],Proc[[#This Row],[DateClosed]]))-1)</f>
        <v>5</v>
      </c>
      <c r="R181" s="64" t="s">
        <v>494</v>
      </c>
      <c r="S181" s="60"/>
    </row>
    <row r="182" spans="1:19" hidden="1">
      <c r="A182" s="62" t="s">
        <v>1484</v>
      </c>
      <c r="B182" s="149" t="str">
        <f>IFERROR(VLOOKUP(Proc[[#This Row],[App]],Table2[],3,0),"open")</f>
        <v>ok</v>
      </c>
      <c r="C182" s="62" t="s">
        <v>369</v>
      </c>
      <c r="D182" t="s">
        <v>1479</v>
      </c>
      <c r="E182" t="s">
        <v>1019</v>
      </c>
      <c r="F182" s="117" t="s">
        <v>1019</v>
      </c>
      <c r="G182" s="62" t="s">
        <v>400</v>
      </c>
      <c r="H182" s="60" t="str">
        <f>IF(Proc[[#This Row],[type]]="LFF (MDG-F)",MID(Proc[[#This Row],[Obj]],13,10),"")</f>
        <v/>
      </c>
      <c r="I182" t="s">
        <v>1493</v>
      </c>
      <c r="J182" s="60" t="b">
        <f>Proc[[#This Row],[Requested]]=Proc[[#This Row],[CurrentParent]]</f>
        <v>1</v>
      </c>
      <c r="K182" s="144" t="str">
        <f>IF(Proc[[#This Row],[Author]]="Marcela Urrego",VLOOKUP(LEFT(Proc[[#This Row],[Requested]],1),Table3[#All],2,0),VLOOKUP(Proc[[#This Row],[Author]],Table4[],2,0))</f>
        <v>HC</v>
      </c>
      <c r="L182" s="60" t="s">
        <v>401</v>
      </c>
      <c r="M182" s="71">
        <v>45664.540486111109</v>
      </c>
      <c r="N182" s="71">
        <v>45671</v>
      </c>
      <c r="O182" s="71">
        <v>45671</v>
      </c>
      <c r="P182" s="64" t="str">
        <f ca="1">IF(Proc[[#This Row],[DaysAgeing]]&gt;5,"yep","on track")</f>
        <v>on track</v>
      </c>
      <c r="Q182" s="3">
        <f ca="1">IF(Proc[[#This Row],[DateClosed]]="",ABS(NETWORKDAYS(Proc[[#This Row],[DateOpened]],TODAY()))-1,ABS(NETWORKDAYS(Proc[[#This Row],[DateOpened]],Proc[[#This Row],[DateClosed]]))-1)</f>
        <v>5</v>
      </c>
      <c r="R182" s="64" t="s">
        <v>494</v>
      </c>
      <c r="S182" s="60"/>
    </row>
    <row r="183" spans="1:19" hidden="1">
      <c r="A183" s="62" t="s">
        <v>1484</v>
      </c>
      <c r="B183" s="149" t="str">
        <f>IFERROR(VLOOKUP(Proc[[#This Row],[App]],Table2[],3,0),"open")</f>
        <v>ok</v>
      </c>
      <c r="C183" s="62" t="s">
        <v>369</v>
      </c>
      <c r="D183" t="s">
        <v>1480</v>
      </c>
      <c r="E183" t="s">
        <v>1019</v>
      </c>
      <c r="F183" s="117" t="s">
        <v>1019</v>
      </c>
      <c r="G183" s="62" t="s">
        <v>400</v>
      </c>
      <c r="H183" s="60" t="str">
        <f>IF(Proc[[#This Row],[type]]="LFF (MDG-F)",MID(Proc[[#This Row],[Obj]],13,10),"")</f>
        <v/>
      </c>
      <c r="I183" t="s">
        <v>1493</v>
      </c>
      <c r="J183" s="60" t="b">
        <f>Proc[[#This Row],[Requested]]=Proc[[#This Row],[CurrentParent]]</f>
        <v>1</v>
      </c>
      <c r="K183" s="144" t="str">
        <f>IF(Proc[[#This Row],[Author]]="Marcela Urrego",VLOOKUP(LEFT(Proc[[#This Row],[Requested]],1),Table3[#All],2,0),VLOOKUP(Proc[[#This Row],[Author]],Table4[],2,0))</f>
        <v>HC</v>
      </c>
      <c r="L183" s="60" t="s">
        <v>401</v>
      </c>
      <c r="M183" s="71">
        <v>45664.540486111109</v>
      </c>
      <c r="N183" s="71">
        <v>45671</v>
      </c>
      <c r="O183" s="71">
        <v>45671</v>
      </c>
      <c r="P183" s="64" t="str">
        <f ca="1">IF(Proc[[#This Row],[DaysAgeing]]&gt;5,"yep","on track")</f>
        <v>on track</v>
      </c>
      <c r="Q183" s="3">
        <f ca="1">IF(Proc[[#This Row],[DateClosed]]="",ABS(NETWORKDAYS(Proc[[#This Row],[DateOpened]],TODAY()))-1,ABS(NETWORKDAYS(Proc[[#This Row],[DateOpened]],Proc[[#This Row],[DateClosed]]))-1)</f>
        <v>5</v>
      </c>
      <c r="R183" s="64" t="s">
        <v>494</v>
      </c>
      <c r="S183" s="60"/>
    </row>
    <row r="184" spans="1:19" hidden="1">
      <c r="A184" t="s">
        <v>1484</v>
      </c>
      <c r="B184" s="149" t="str">
        <f>IFERROR(VLOOKUP(Proc[[#This Row],[App]],Table2[],3,0),"open")</f>
        <v>ok</v>
      </c>
      <c r="C184" s="62" t="s">
        <v>369</v>
      </c>
      <c r="D184" t="s">
        <v>1481</v>
      </c>
      <c r="E184" t="s">
        <v>1019</v>
      </c>
      <c r="F184" s="117" t="s">
        <v>1019</v>
      </c>
      <c r="G184" s="62" t="s">
        <v>400</v>
      </c>
      <c r="H184" s="60" t="str">
        <f>IF(Proc[[#This Row],[type]]="LFF (MDG-F)",MID(Proc[[#This Row],[Obj]],13,10),"")</f>
        <v/>
      </c>
      <c r="I184" t="s">
        <v>1493</v>
      </c>
      <c r="J184" s="60" t="b">
        <f>Proc[[#This Row],[Requested]]=Proc[[#This Row],[CurrentParent]]</f>
        <v>1</v>
      </c>
      <c r="K184" s="144" t="str">
        <f>IF(Proc[[#This Row],[Author]]="Marcela Urrego",VLOOKUP(LEFT(Proc[[#This Row],[Requested]],1),Table3[#All],2,0),VLOOKUP(Proc[[#This Row],[Author]],Table4[],2,0))</f>
        <v>HC</v>
      </c>
      <c r="L184" s="60" t="s">
        <v>401</v>
      </c>
      <c r="M184" s="71">
        <v>45664.540486111109</v>
      </c>
      <c r="N184" s="71">
        <v>45671</v>
      </c>
      <c r="O184" s="71">
        <v>45671</v>
      </c>
      <c r="P184" s="64" t="str">
        <f ca="1">IF(Proc[[#This Row],[DaysAgeing]]&gt;5,"yep","on track")</f>
        <v>on track</v>
      </c>
      <c r="Q184" s="3">
        <f ca="1">IF(Proc[[#This Row],[DateClosed]]="",ABS(NETWORKDAYS(Proc[[#This Row],[DateOpened]],TODAY()))-1,ABS(NETWORKDAYS(Proc[[#This Row],[DateOpened]],Proc[[#This Row],[DateClosed]]))-1)</f>
        <v>5</v>
      </c>
      <c r="R184" s="64" t="s">
        <v>494</v>
      </c>
      <c r="S184" s="60"/>
    </row>
    <row r="185" spans="1:19" hidden="1">
      <c r="A185" s="62" t="s">
        <v>1484</v>
      </c>
      <c r="B185" s="149" t="str">
        <f>IFERROR(VLOOKUP(Proc[[#This Row],[App]],Table2[],3,0),"open")</f>
        <v>ok</v>
      </c>
      <c r="C185" s="62" t="s">
        <v>369</v>
      </c>
      <c r="D185" t="s">
        <v>1482</v>
      </c>
      <c r="E185" t="s">
        <v>1019</v>
      </c>
      <c r="F185" s="117" t="s">
        <v>1019</v>
      </c>
      <c r="G185" s="62" t="s">
        <v>400</v>
      </c>
      <c r="H185" s="60" t="str">
        <f>IF(Proc[[#This Row],[type]]="LFF (MDG-F)",MID(Proc[[#This Row],[Obj]],13,10),"")</f>
        <v/>
      </c>
      <c r="I185" t="s">
        <v>1493</v>
      </c>
      <c r="J185" s="60" t="b">
        <f>Proc[[#This Row],[Requested]]=Proc[[#This Row],[CurrentParent]]</f>
        <v>1</v>
      </c>
      <c r="K185" s="144" t="str">
        <f>IF(Proc[[#This Row],[Author]]="Marcela Urrego",VLOOKUP(LEFT(Proc[[#This Row],[Requested]],1),Table3[#All],2,0),VLOOKUP(Proc[[#This Row],[Author]],Table4[],2,0))</f>
        <v>HC</v>
      </c>
      <c r="L185" s="60" t="s">
        <v>401</v>
      </c>
      <c r="M185" s="71">
        <v>45664.540486111109</v>
      </c>
      <c r="N185" s="71">
        <v>45671</v>
      </c>
      <c r="O185" s="71">
        <v>45671</v>
      </c>
      <c r="P185" s="64" t="str">
        <f ca="1">IF(Proc[[#This Row],[DaysAgeing]]&gt;5,"yep","on track")</f>
        <v>on track</v>
      </c>
      <c r="Q185" s="3">
        <f ca="1">IF(Proc[[#This Row],[DateClosed]]="",ABS(NETWORKDAYS(Proc[[#This Row],[DateOpened]],TODAY()))-1,ABS(NETWORKDAYS(Proc[[#This Row],[DateOpened]],Proc[[#This Row],[DateClosed]]))-1)</f>
        <v>5</v>
      </c>
      <c r="R185" s="64" t="s">
        <v>494</v>
      </c>
      <c r="S185" s="60"/>
    </row>
    <row r="186" spans="1:19" hidden="1">
      <c r="A186" t="s">
        <v>1484</v>
      </c>
      <c r="B186" s="149" t="str">
        <f>IFERROR(VLOOKUP(Proc[[#This Row],[App]],Table2[],3,0),"open")</f>
        <v>ok</v>
      </c>
      <c r="C186" s="62" t="s">
        <v>369</v>
      </c>
      <c r="D186" s="72" t="s">
        <v>1483</v>
      </c>
      <c r="E186" s="72" t="s">
        <v>1019</v>
      </c>
      <c r="F186" s="117" t="s">
        <v>1019</v>
      </c>
      <c r="G186" s="62" t="s">
        <v>400</v>
      </c>
      <c r="H186" s="60" t="str">
        <f>IF(Proc[[#This Row],[type]]="LFF (MDG-F)",MID(Proc[[#This Row],[Obj]],13,10),"")</f>
        <v/>
      </c>
      <c r="I186" t="s">
        <v>1493</v>
      </c>
      <c r="J186" s="60" t="b">
        <f>Proc[[#This Row],[Requested]]=Proc[[#This Row],[CurrentParent]]</f>
        <v>1</v>
      </c>
      <c r="K186" s="144" t="str">
        <f>IF(Proc[[#This Row],[Author]]="Marcela Urrego",VLOOKUP(LEFT(Proc[[#This Row],[Requested]],1),Table3[#All],2,0),VLOOKUP(Proc[[#This Row],[Author]],Table4[],2,0))</f>
        <v>HC</v>
      </c>
      <c r="L186" s="60" t="s">
        <v>401</v>
      </c>
      <c r="M186" s="71">
        <v>45664.540486111109</v>
      </c>
      <c r="N186" s="71">
        <v>45671</v>
      </c>
      <c r="O186" s="71">
        <v>45671</v>
      </c>
      <c r="P186" s="64" t="str">
        <f ca="1">IF(Proc[[#This Row],[DaysAgeing]]&gt;5,"yep","on track")</f>
        <v>on track</v>
      </c>
      <c r="Q186" s="3">
        <f ca="1">IF(Proc[[#This Row],[DateClosed]]="",ABS(NETWORKDAYS(Proc[[#This Row],[DateOpened]],TODAY()))-1,ABS(NETWORKDAYS(Proc[[#This Row],[DateOpened]],Proc[[#This Row],[DateClosed]]))-1)</f>
        <v>5</v>
      </c>
      <c r="R186" s="64" t="s">
        <v>494</v>
      </c>
      <c r="S186" s="60"/>
    </row>
    <row r="187" spans="1:19" hidden="1">
      <c r="A187" t="s">
        <v>1492</v>
      </c>
      <c r="B187" s="149" t="str">
        <f>IFERROR(VLOOKUP(Proc[[#This Row],[App]],Table2[],3,0),"open")</f>
        <v>ok</v>
      </c>
      <c r="C187" s="62" t="s">
        <v>369</v>
      </c>
      <c r="D187" s="62" t="s">
        <v>1489</v>
      </c>
      <c r="E187" t="s">
        <v>1447</v>
      </c>
      <c r="F187" s="117" t="s">
        <v>1447</v>
      </c>
      <c r="G187" s="62" t="s">
        <v>400</v>
      </c>
      <c r="H187" s="60" t="str">
        <f>IF(Proc[[#This Row],[type]]="LFF (MDG-F)",MID(Proc[[#This Row],[Obj]],13,10),"")</f>
        <v/>
      </c>
      <c r="I187" t="s">
        <v>1493</v>
      </c>
      <c r="J187" s="60" t="b">
        <f>Proc[[#This Row],[Requested]]=Proc[[#This Row],[CurrentParent]]</f>
        <v>1</v>
      </c>
      <c r="K187" s="144" t="str">
        <f>IF(Proc[[#This Row],[Author]]="Marcela Urrego",VLOOKUP(LEFT(Proc[[#This Row],[Requested]],1),Table3[#All],2,0),VLOOKUP(Proc[[#This Row],[Author]],Table4[],2,0))</f>
        <v>LS</v>
      </c>
      <c r="L187" s="60" t="s">
        <v>401</v>
      </c>
      <c r="M187" s="71">
        <v>45664.6015162037</v>
      </c>
      <c r="N187" s="71">
        <v>45671</v>
      </c>
      <c r="O187" s="71">
        <v>45671</v>
      </c>
      <c r="P187" s="64" t="str">
        <f ca="1">IF(Proc[[#This Row],[DaysAgeing]]&gt;5,"yep","on track")</f>
        <v>on track</v>
      </c>
      <c r="Q187" s="3">
        <f ca="1">IF(Proc[[#This Row],[DateClosed]]="",ABS(NETWORKDAYS(Proc[[#This Row],[DateOpened]],TODAY()))-1,ABS(NETWORKDAYS(Proc[[#This Row],[DateOpened]],Proc[[#This Row],[DateClosed]]))-1)</f>
        <v>5</v>
      </c>
      <c r="R187" s="64" t="s">
        <v>972</v>
      </c>
      <c r="S187" s="60"/>
    </row>
    <row r="188" spans="1:19" hidden="1">
      <c r="A188" s="62" t="s">
        <v>1492</v>
      </c>
      <c r="B188" s="149" t="str">
        <f>IFERROR(VLOOKUP(Proc[[#This Row],[App]],Table2[],3,0),"open")</f>
        <v>ok</v>
      </c>
      <c r="C188" s="62" t="s">
        <v>369</v>
      </c>
      <c r="D188" t="s">
        <v>1490</v>
      </c>
      <c r="E188" t="s">
        <v>1044</v>
      </c>
      <c r="F188" s="117" t="s">
        <v>1044</v>
      </c>
      <c r="G188" s="62" t="s">
        <v>400</v>
      </c>
      <c r="H188" s="60" t="str">
        <f>IF(Proc[[#This Row],[type]]="LFF (MDG-F)",MID(Proc[[#This Row],[Obj]],13,10),"")</f>
        <v/>
      </c>
      <c r="I188" t="s">
        <v>1493</v>
      </c>
      <c r="J188" s="60" t="b">
        <f>Proc[[#This Row],[Requested]]=Proc[[#This Row],[CurrentParent]]</f>
        <v>1</v>
      </c>
      <c r="K188" s="144" t="str">
        <f>IF(Proc[[#This Row],[Author]]="Marcela Urrego",VLOOKUP(LEFT(Proc[[#This Row],[Requested]],1),Table3[#All],2,0),VLOOKUP(Proc[[#This Row],[Author]],Table4[],2,0))</f>
        <v>LS</v>
      </c>
      <c r="L188" s="60" t="s">
        <v>401</v>
      </c>
      <c r="M188" s="71">
        <v>45664.6015162037</v>
      </c>
      <c r="N188" s="71">
        <v>45671</v>
      </c>
      <c r="O188" s="71">
        <v>45671</v>
      </c>
      <c r="P188" s="64" t="str">
        <f ca="1">IF(Proc[[#This Row],[DaysAgeing]]&gt;5,"yep","on track")</f>
        <v>on track</v>
      </c>
      <c r="Q188" s="3">
        <f ca="1">IF(Proc[[#This Row],[DateClosed]]="",ABS(NETWORKDAYS(Proc[[#This Row],[DateOpened]],TODAY()))-1,ABS(NETWORKDAYS(Proc[[#This Row],[DateOpened]],Proc[[#This Row],[DateClosed]]))-1)</f>
        <v>5</v>
      </c>
      <c r="R188" s="64" t="s">
        <v>972</v>
      </c>
      <c r="S188" s="60"/>
    </row>
    <row r="189" spans="1:19" hidden="1">
      <c r="A189" s="62" t="s">
        <v>1492</v>
      </c>
      <c r="B189" s="149" t="str">
        <f>IFERROR(VLOOKUP(Proc[[#This Row],[App]],Table2[],3,0),"open")</f>
        <v>ok</v>
      </c>
      <c r="C189" s="62" t="s">
        <v>369</v>
      </c>
      <c r="D189" t="s">
        <v>1491</v>
      </c>
      <c r="E189" t="s">
        <v>652</v>
      </c>
      <c r="F189" s="117" t="s">
        <v>652</v>
      </c>
      <c r="G189" s="62" t="s">
        <v>400</v>
      </c>
      <c r="H189" s="60" t="str">
        <f>IF(Proc[[#This Row],[type]]="LFF (MDG-F)",MID(Proc[[#This Row],[Obj]],13,10),"")</f>
        <v/>
      </c>
      <c r="I189" t="s">
        <v>1493</v>
      </c>
      <c r="J189" s="60" t="b">
        <f>Proc[[#This Row],[Requested]]=Proc[[#This Row],[CurrentParent]]</f>
        <v>1</v>
      </c>
      <c r="K189" s="144" t="str">
        <f>IF(Proc[[#This Row],[Author]]="Marcela Urrego",VLOOKUP(LEFT(Proc[[#This Row],[Requested]],1),Table3[#All],2,0),VLOOKUP(Proc[[#This Row],[Author]],Table4[],2,0))</f>
        <v>LS</v>
      </c>
      <c r="L189" s="60" t="s">
        <v>401</v>
      </c>
      <c r="M189" s="71">
        <v>45664.6015162037</v>
      </c>
      <c r="N189" s="71">
        <v>45671</v>
      </c>
      <c r="O189" s="71">
        <v>45671</v>
      </c>
      <c r="P189" s="64" t="str">
        <f ca="1">IF(Proc[[#This Row],[DaysAgeing]]&gt;5,"yep","on track")</f>
        <v>on track</v>
      </c>
      <c r="Q189" s="3">
        <f ca="1">IF(Proc[[#This Row],[DateClosed]]="",ABS(NETWORKDAYS(Proc[[#This Row],[DateOpened]],TODAY()))-1,ABS(NETWORKDAYS(Proc[[#This Row],[DateOpened]],Proc[[#This Row],[DateClosed]]))-1)</f>
        <v>5</v>
      </c>
      <c r="R189" s="64" t="s">
        <v>972</v>
      </c>
      <c r="S189" s="60"/>
    </row>
    <row r="190" spans="1:19" hidden="1">
      <c r="A190" t="s">
        <v>1511</v>
      </c>
      <c r="B190" s="149" t="str">
        <f>IFERROR(VLOOKUP(Proc[[#This Row],[App]],Table2[],3,0),"open")</f>
        <v>ok</v>
      </c>
      <c r="C190" t="s">
        <v>369</v>
      </c>
      <c r="D190" t="s">
        <v>1510</v>
      </c>
      <c r="E190" t="s">
        <v>417</v>
      </c>
      <c r="F190" s="117" t="s">
        <v>417</v>
      </c>
      <c r="G190" s="62" t="s">
        <v>400</v>
      </c>
      <c r="H190" s="60" t="str">
        <f>IF(Proc[[#This Row],[type]]="LFF (MDG-F)",MID(Proc[[#This Row],[Obj]],13,10),"")</f>
        <v/>
      </c>
      <c r="J190" s="60" t="b">
        <f>Proc[[#This Row],[Requested]]=Proc[[#This Row],[CurrentParent]]</f>
        <v>1</v>
      </c>
      <c r="K190" s="144" t="str">
        <f>IF(Proc[[#This Row],[Author]]="Marcela Urrego",VLOOKUP(LEFT(Proc[[#This Row],[Requested]],1),Table3[#All],2,0),VLOOKUP(Proc[[#This Row],[Author]],Table4[],2,0))</f>
        <v>LS</v>
      </c>
      <c r="L190" s="60" t="s">
        <v>401</v>
      </c>
      <c r="M190" s="71">
        <v>45665.392372685186</v>
      </c>
      <c r="N190" s="71">
        <v>45667</v>
      </c>
      <c r="O190" s="71">
        <v>45667</v>
      </c>
      <c r="P190" s="64" t="str">
        <f ca="1">IF(Proc[[#This Row],[DaysAgeing]]&gt;5,"yep","on track")</f>
        <v>on track</v>
      </c>
      <c r="Q190" s="3">
        <f ca="1">IF(Proc[[#This Row],[DateClosed]]="",ABS(NETWORKDAYS(Proc[[#This Row],[DateOpened]],TODAY()))-1,ABS(NETWORKDAYS(Proc[[#This Row],[DateOpened]],Proc[[#This Row],[DateClosed]]))-1)</f>
        <v>2</v>
      </c>
      <c r="R190" s="64" t="s">
        <v>972</v>
      </c>
      <c r="S190" s="60"/>
    </row>
    <row r="191" spans="1:19" hidden="1">
      <c r="A191" s="62" t="s">
        <v>1509</v>
      </c>
      <c r="B191" s="149" t="str">
        <f>IFERROR(VLOOKUP(Proc[[#This Row],[App]],Table2[],3,0),"open")</f>
        <v>ok</v>
      </c>
      <c r="C191" s="62" t="s">
        <v>369</v>
      </c>
      <c r="D191" t="s">
        <v>459</v>
      </c>
      <c r="E191" t="s">
        <v>631</v>
      </c>
      <c r="F191" s="117" t="s">
        <v>631</v>
      </c>
      <c r="G191" s="62" t="s">
        <v>406</v>
      </c>
      <c r="H191" s="60" t="str">
        <f>IF(Proc[[#This Row],[type]]="LFF (MDG-F)",MID(Proc[[#This Row],[Obj]],13,10),"")</f>
        <v>DE10604910</v>
      </c>
      <c r="J191" s="60" t="b">
        <f>Proc[[#This Row],[Requested]]=Proc[[#This Row],[CurrentParent]]</f>
        <v>1</v>
      </c>
      <c r="K191" s="144" t="str">
        <f>IF(Proc[[#This Row],[Author]]="Marcela Urrego",VLOOKUP(LEFT(Proc[[#This Row],[Requested]],1),Table3[#All],2,0),VLOOKUP(Proc[[#This Row],[Author]],Table4[],2,0))</f>
        <v>MGF</v>
      </c>
      <c r="L191" s="60" t="s">
        <v>401</v>
      </c>
      <c r="M191" s="71">
        <v>45665.41238425926</v>
      </c>
      <c r="N191" s="71">
        <v>45671</v>
      </c>
      <c r="O191" s="71">
        <v>45671</v>
      </c>
      <c r="P191" s="64" t="str">
        <f ca="1">IF(Proc[[#This Row],[DaysAgeing]]&gt;5,"yep","on track")</f>
        <v>on track</v>
      </c>
      <c r="Q191" s="3">
        <f ca="1">IF(Proc[[#This Row],[DateClosed]]="",ABS(NETWORKDAYS(Proc[[#This Row],[DateOpened]],TODAY()))-1,ABS(NETWORKDAYS(Proc[[#This Row],[DateOpened]],Proc[[#This Row],[DateClosed]]))-1)</f>
        <v>4</v>
      </c>
      <c r="R191" s="64" t="s">
        <v>549</v>
      </c>
      <c r="S191" s="60"/>
    </row>
    <row r="192" spans="1:19" hidden="1">
      <c r="A192" s="62" t="s">
        <v>1508</v>
      </c>
      <c r="B192" s="149" t="str">
        <f>IFERROR(VLOOKUP(Proc[[#This Row],[App]],Table2[],3,0),"open")</f>
        <v>ok</v>
      </c>
      <c r="C192" s="62" t="s">
        <v>369</v>
      </c>
      <c r="D192" t="s">
        <v>1503</v>
      </c>
      <c r="E192" t="s">
        <v>626</v>
      </c>
      <c r="F192" s="117" t="s">
        <v>626</v>
      </c>
      <c r="G192" s="62" t="s">
        <v>406</v>
      </c>
      <c r="H192" s="60" t="str">
        <f>IF(Proc[[#This Row],[type]]="LFF (MDG-F)",MID(Proc[[#This Row],[Obj]],13,10),"")</f>
        <v>DE10200058</v>
      </c>
      <c r="J192" s="60" t="b">
        <f>Proc[[#This Row],[Requested]]=Proc[[#This Row],[CurrentParent]]</f>
        <v>1</v>
      </c>
      <c r="K192" s="144" t="str">
        <f>IF(Proc[[#This Row],[Author]]="Marcela Urrego",VLOOKUP(LEFT(Proc[[#This Row],[Requested]],1),Table3[#All],2,0),VLOOKUP(Proc[[#This Row],[Author]],Table4[],2,0))</f>
        <v>MGF</v>
      </c>
      <c r="L192" s="60" t="s">
        <v>401</v>
      </c>
      <c r="M192" s="71">
        <v>45665.425729166665</v>
      </c>
      <c r="N192" s="71">
        <v>45671</v>
      </c>
      <c r="O192" s="71">
        <v>45671</v>
      </c>
      <c r="P192" s="64" t="str">
        <f ca="1">IF(Proc[[#This Row],[DaysAgeing]]&gt;5,"yep","on track")</f>
        <v>on track</v>
      </c>
      <c r="Q192" s="3">
        <f ca="1">IF(Proc[[#This Row],[DateClosed]]="",ABS(NETWORKDAYS(Proc[[#This Row],[DateOpened]],TODAY()))-1,ABS(NETWORKDAYS(Proc[[#This Row],[DateOpened]],Proc[[#This Row],[DateClosed]]))-1)</f>
        <v>4</v>
      </c>
      <c r="R192" s="64" t="s">
        <v>549</v>
      </c>
      <c r="S192" s="60"/>
    </row>
    <row r="193" spans="1:19" hidden="1">
      <c r="A193" s="62" t="s">
        <v>1508</v>
      </c>
      <c r="B193" s="149" t="str">
        <f>IFERROR(VLOOKUP(Proc[[#This Row],[App]],Table2[],3,0),"open")</f>
        <v>ok</v>
      </c>
      <c r="C193" s="62" t="s">
        <v>369</v>
      </c>
      <c r="D193" t="s">
        <v>1504</v>
      </c>
      <c r="E193" t="s">
        <v>626</v>
      </c>
      <c r="F193" s="117" t="s">
        <v>626</v>
      </c>
      <c r="G193" s="62" t="s">
        <v>406</v>
      </c>
      <c r="H193" s="60" t="str">
        <f>IF(Proc[[#This Row],[type]]="LFF (MDG-F)",MID(Proc[[#This Row],[Obj]],13,10),"")</f>
        <v>DE10200059</v>
      </c>
      <c r="J193" s="60" t="b">
        <f>Proc[[#This Row],[Requested]]=Proc[[#This Row],[CurrentParent]]</f>
        <v>1</v>
      </c>
      <c r="K193" s="144" t="str">
        <f>IF(Proc[[#This Row],[Author]]="Marcela Urrego",VLOOKUP(LEFT(Proc[[#This Row],[Requested]],1),Table3[#All],2,0),VLOOKUP(Proc[[#This Row],[Author]],Table4[],2,0))</f>
        <v>MGF</v>
      </c>
      <c r="L193" s="60" t="s">
        <v>401</v>
      </c>
      <c r="M193" s="71">
        <v>45665.425729166665</v>
      </c>
      <c r="N193" s="71">
        <v>45671</v>
      </c>
      <c r="O193" s="71">
        <v>45671</v>
      </c>
      <c r="P193" s="64" t="str">
        <f ca="1">IF(Proc[[#This Row],[DaysAgeing]]&gt;5,"yep","on track")</f>
        <v>on track</v>
      </c>
      <c r="Q193" s="3">
        <f ca="1">IF(Proc[[#This Row],[DateClosed]]="",ABS(NETWORKDAYS(Proc[[#This Row],[DateOpened]],TODAY()))-1,ABS(NETWORKDAYS(Proc[[#This Row],[DateOpened]],Proc[[#This Row],[DateClosed]]))-1)</f>
        <v>4</v>
      </c>
      <c r="R193" s="64" t="s">
        <v>549</v>
      </c>
      <c r="S193" s="60"/>
    </row>
    <row r="194" spans="1:19" hidden="1">
      <c r="A194" t="s">
        <v>1508</v>
      </c>
      <c r="B194" s="149" t="str">
        <f>IFERROR(VLOOKUP(Proc[[#This Row],[App]],Table2[],3,0),"open")</f>
        <v>ok</v>
      </c>
      <c r="C194" s="62" t="s">
        <v>369</v>
      </c>
      <c r="D194" t="s">
        <v>1505</v>
      </c>
      <c r="E194" t="s">
        <v>626</v>
      </c>
      <c r="F194" s="117" t="s">
        <v>626</v>
      </c>
      <c r="G194" s="62" t="s">
        <v>406</v>
      </c>
      <c r="H194" s="60" t="str">
        <f>IF(Proc[[#This Row],[type]]="LFF (MDG-F)",MID(Proc[[#This Row],[Obj]],13,10),"")</f>
        <v>DE10200060</v>
      </c>
      <c r="J194" s="60" t="b">
        <f>Proc[[#This Row],[Requested]]=Proc[[#This Row],[CurrentParent]]</f>
        <v>1</v>
      </c>
      <c r="K194" s="144" t="str">
        <f>IF(Proc[[#This Row],[Author]]="Marcela Urrego",VLOOKUP(LEFT(Proc[[#This Row],[Requested]],1),Table3[#All],2,0),VLOOKUP(Proc[[#This Row],[Author]],Table4[],2,0))</f>
        <v>MGF</v>
      </c>
      <c r="L194" s="60" t="s">
        <v>401</v>
      </c>
      <c r="M194" s="71">
        <v>45665.425729166665</v>
      </c>
      <c r="N194" s="71">
        <v>45671</v>
      </c>
      <c r="O194" s="71">
        <v>45671</v>
      </c>
      <c r="P194" s="64" t="str">
        <f ca="1">IF(Proc[[#This Row],[DaysAgeing]]&gt;5,"yep","on track")</f>
        <v>on track</v>
      </c>
      <c r="Q194" s="3">
        <f ca="1">IF(Proc[[#This Row],[DateClosed]]="",ABS(NETWORKDAYS(Proc[[#This Row],[DateOpened]],TODAY()))-1,ABS(NETWORKDAYS(Proc[[#This Row],[DateOpened]],Proc[[#This Row],[DateClosed]]))-1)</f>
        <v>4</v>
      </c>
      <c r="R194" s="64" t="s">
        <v>549</v>
      </c>
      <c r="S194" s="60"/>
    </row>
    <row r="195" spans="1:19" hidden="1">
      <c r="A195" s="62" t="s">
        <v>1508</v>
      </c>
      <c r="B195" s="149" t="str">
        <f>IFERROR(VLOOKUP(Proc[[#This Row],[App]],Table2[],3,0),"open")</f>
        <v>ok</v>
      </c>
      <c r="C195" s="62" t="s">
        <v>369</v>
      </c>
      <c r="D195" t="s">
        <v>1506</v>
      </c>
      <c r="E195" t="s">
        <v>626</v>
      </c>
      <c r="F195" s="117" t="s">
        <v>626</v>
      </c>
      <c r="G195" t="s">
        <v>406</v>
      </c>
      <c r="H195" s="60" t="str">
        <f>IF(Proc[[#This Row],[type]]="LFF (MDG-F)",MID(Proc[[#This Row],[Obj]],13,10),"")</f>
        <v>DE10200061</v>
      </c>
      <c r="J195" s="60" t="b">
        <f>Proc[[#This Row],[Requested]]=Proc[[#This Row],[CurrentParent]]</f>
        <v>1</v>
      </c>
      <c r="K195" s="144" t="str">
        <f>IF(Proc[[#This Row],[Author]]="Marcela Urrego",VLOOKUP(LEFT(Proc[[#This Row],[Requested]],1),Table3[#All],2,0),VLOOKUP(Proc[[#This Row],[Author]],Table4[],2,0))</f>
        <v>MGF</v>
      </c>
      <c r="L195" s="60" t="s">
        <v>401</v>
      </c>
      <c r="M195" s="71">
        <v>45665.425729166665</v>
      </c>
      <c r="N195" s="71">
        <v>45671</v>
      </c>
      <c r="O195" s="71">
        <v>45671</v>
      </c>
      <c r="P195" s="64" t="str">
        <f ca="1">IF(Proc[[#This Row],[DaysAgeing]]&gt;5,"yep","on track")</f>
        <v>on track</v>
      </c>
      <c r="Q195" s="3">
        <f ca="1">IF(Proc[[#This Row],[DateClosed]]="",ABS(NETWORKDAYS(Proc[[#This Row],[DateOpened]],TODAY()))-1,ABS(NETWORKDAYS(Proc[[#This Row],[DateOpened]],Proc[[#This Row],[DateClosed]]))-1)</f>
        <v>4</v>
      </c>
      <c r="R195" s="64" t="s">
        <v>549</v>
      </c>
      <c r="S195" s="60"/>
    </row>
    <row r="196" spans="1:19" hidden="1">
      <c r="A196" t="s">
        <v>1508</v>
      </c>
      <c r="B196" s="149" t="str">
        <f>IFERROR(VLOOKUP(Proc[[#This Row],[App]],Table2[],3,0),"open")</f>
        <v>ok</v>
      </c>
      <c r="C196" s="62" t="s">
        <v>369</v>
      </c>
      <c r="D196" t="s">
        <v>1507</v>
      </c>
      <c r="E196" t="s">
        <v>626</v>
      </c>
      <c r="F196" s="117" t="s">
        <v>626</v>
      </c>
      <c r="G196" s="62" t="s">
        <v>406</v>
      </c>
      <c r="H196" s="60" t="str">
        <f>IF(Proc[[#This Row],[type]]="LFF (MDG-F)",MID(Proc[[#This Row],[Obj]],13,10),"")</f>
        <v>DE10200062</v>
      </c>
      <c r="J196" s="60" t="b">
        <f>Proc[[#This Row],[Requested]]=Proc[[#This Row],[CurrentParent]]</f>
        <v>1</v>
      </c>
      <c r="K196" s="144" t="str">
        <f>IF(Proc[[#This Row],[Author]]="Marcela Urrego",VLOOKUP(LEFT(Proc[[#This Row],[Requested]],1),Table3[#All],2,0),VLOOKUP(Proc[[#This Row],[Author]],Table4[],2,0))</f>
        <v>MGF</v>
      </c>
      <c r="L196" s="60" t="s">
        <v>401</v>
      </c>
      <c r="M196" s="71">
        <v>45665.425729166665</v>
      </c>
      <c r="N196" s="71">
        <v>45671</v>
      </c>
      <c r="O196" s="71">
        <v>45671</v>
      </c>
      <c r="P196" s="64" t="str">
        <f ca="1">IF(Proc[[#This Row],[DaysAgeing]]&gt;5,"yep","on track")</f>
        <v>on track</v>
      </c>
      <c r="Q196" s="3">
        <f ca="1">IF(Proc[[#This Row],[DateClosed]]="",ABS(NETWORKDAYS(Proc[[#This Row],[DateOpened]],TODAY()))-1,ABS(NETWORKDAYS(Proc[[#This Row],[DateOpened]],Proc[[#This Row],[DateClosed]]))-1)</f>
        <v>4</v>
      </c>
      <c r="R196" s="64" t="s">
        <v>549</v>
      </c>
      <c r="S196" s="60"/>
    </row>
    <row r="197" spans="1:19" hidden="1">
      <c r="A197" s="62" t="s">
        <v>1500</v>
      </c>
      <c r="B197" s="149" t="str">
        <f>IFERROR(VLOOKUP(Proc[[#This Row],[App]],Table2[],3,0),"open")</f>
        <v>ok</v>
      </c>
      <c r="C197" s="62" t="s">
        <v>369</v>
      </c>
      <c r="D197" t="s">
        <v>1494</v>
      </c>
      <c r="E197" t="s">
        <v>1498</v>
      </c>
      <c r="F197" s="117" t="s">
        <v>1498</v>
      </c>
      <c r="G197" s="62" t="s">
        <v>400</v>
      </c>
      <c r="H197" s="60" t="str">
        <f>IF(Proc[[#This Row],[type]]="LFF (MDG-F)",MID(Proc[[#This Row],[Obj]],13,10),"")</f>
        <v/>
      </c>
      <c r="J197" s="60" t="b">
        <f>Proc[[#This Row],[Requested]]=Proc[[#This Row],[CurrentParent]]</f>
        <v>1</v>
      </c>
      <c r="K197" s="144" t="str">
        <f>IF(Proc[[#This Row],[Author]]="Marcela Urrego",VLOOKUP(LEFT(Proc[[#This Row],[Requested]],1),Table3[#All],2,0),VLOOKUP(Proc[[#This Row],[Author]],Table4[],2,0))</f>
        <v>LS</v>
      </c>
      <c r="L197" s="60" t="s">
        <v>401</v>
      </c>
      <c r="M197" s="71">
        <v>45665.54210648148</v>
      </c>
      <c r="N197" s="71">
        <v>45667</v>
      </c>
      <c r="O197" s="71">
        <v>45667</v>
      </c>
      <c r="P197" s="64" t="str">
        <f ca="1">IF(Proc[[#This Row],[DaysAgeing]]&gt;5,"yep","on track")</f>
        <v>on track</v>
      </c>
      <c r="Q197" s="3">
        <f ca="1">IF(Proc[[#This Row],[DateClosed]]="",ABS(NETWORKDAYS(Proc[[#This Row],[DateOpened]],TODAY()))-1,ABS(NETWORKDAYS(Proc[[#This Row],[DateOpened]],Proc[[#This Row],[DateClosed]]))-1)</f>
        <v>2</v>
      </c>
      <c r="R197" s="64" t="s">
        <v>972</v>
      </c>
      <c r="S197" s="60"/>
    </row>
    <row r="198" spans="1:19" hidden="1">
      <c r="A198" s="62" t="s">
        <v>1500</v>
      </c>
      <c r="B198" s="149" t="str">
        <f>IFERROR(VLOOKUP(Proc[[#This Row],[App]],Table2[],3,0),"open")</f>
        <v>ok</v>
      </c>
      <c r="C198" s="62" t="s">
        <v>369</v>
      </c>
      <c r="D198" t="s">
        <v>1495</v>
      </c>
      <c r="E198" t="s">
        <v>468</v>
      </c>
      <c r="F198" s="117" t="s">
        <v>468</v>
      </c>
      <c r="G198" s="62" t="s">
        <v>400</v>
      </c>
      <c r="H198" s="60" t="str">
        <f>IF(Proc[[#This Row],[type]]="LFF (MDG-F)",MID(Proc[[#This Row],[Obj]],13,10),"")</f>
        <v/>
      </c>
      <c r="J198" s="60" t="b">
        <f>Proc[[#This Row],[Requested]]=Proc[[#This Row],[CurrentParent]]</f>
        <v>1</v>
      </c>
      <c r="K198" s="144" t="str">
        <f>IF(Proc[[#This Row],[Author]]="Marcela Urrego",VLOOKUP(LEFT(Proc[[#This Row],[Requested]],1),Table3[#All],2,0),VLOOKUP(Proc[[#This Row],[Author]],Table4[],2,0))</f>
        <v>LS</v>
      </c>
      <c r="L198" s="60" t="s">
        <v>401</v>
      </c>
      <c r="M198" s="71">
        <v>45665.54210648148</v>
      </c>
      <c r="N198" s="71">
        <v>45667</v>
      </c>
      <c r="O198" s="71">
        <v>45667</v>
      </c>
      <c r="P198" s="64" t="str">
        <f ca="1">IF(Proc[[#This Row],[DaysAgeing]]&gt;5,"yep","on track")</f>
        <v>on track</v>
      </c>
      <c r="Q198" s="3">
        <f ca="1">IF(Proc[[#This Row],[DateClosed]]="",ABS(NETWORKDAYS(Proc[[#This Row],[DateOpened]],TODAY()))-1,ABS(NETWORKDAYS(Proc[[#This Row],[DateOpened]],Proc[[#This Row],[DateClosed]]))-1)</f>
        <v>2</v>
      </c>
      <c r="R198" s="64" t="s">
        <v>972</v>
      </c>
      <c r="S198" s="60"/>
    </row>
    <row r="199" spans="1:19" hidden="1">
      <c r="A199" s="62" t="s">
        <v>1500</v>
      </c>
      <c r="B199" s="149" t="str">
        <f>IFERROR(VLOOKUP(Proc[[#This Row],[App]],Table2[],3,0),"open")</f>
        <v>ok</v>
      </c>
      <c r="C199" s="62" t="s">
        <v>369</v>
      </c>
      <c r="D199" t="s">
        <v>1496</v>
      </c>
      <c r="E199" t="s">
        <v>1499</v>
      </c>
      <c r="F199" s="117" t="s">
        <v>1499</v>
      </c>
      <c r="G199" s="62" t="s">
        <v>400</v>
      </c>
      <c r="H199" s="60" t="str">
        <f>IF(Proc[[#This Row],[type]]="LFF (MDG-F)",MID(Proc[[#This Row],[Obj]],13,10),"")</f>
        <v/>
      </c>
      <c r="J199" s="60" t="b">
        <f>Proc[[#This Row],[Requested]]=Proc[[#This Row],[CurrentParent]]</f>
        <v>1</v>
      </c>
      <c r="K199" s="144" t="str">
        <f>IF(Proc[[#This Row],[Author]]="Marcela Urrego",VLOOKUP(LEFT(Proc[[#This Row],[Requested]],1),Table3[#All],2,0),VLOOKUP(Proc[[#This Row],[Author]],Table4[],2,0))</f>
        <v>LS</v>
      </c>
      <c r="L199" s="60" t="s">
        <v>401</v>
      </c>
      <c r="M199" s="71">
        <v>45665.54210648148</v>
      </c>
      <c r="N199" s="71">
        <v>45667</v>
      </c>
      <c r="O199" s="71">
        <v>45667</v>
      </c>
      <c r="P199" s="64" t="str">
        <f ca="1">IF(Proc[[#This Row],[DaysAgeing]]&gt;5,"yep","on track")</f>
        <v>on track</v>
      </c>
      <c r="Q199" s="3">
        <f ca="1">IF(Proc[[#This Row],[DateClosed]]="",ABS(NETWORKDAYS(Proc[[#This Row],[DateOpened]],TODAY()))-1,ABS(NETWORKDAYS(Proc[[#This Row],[DateOpened]],Proc[[#This Row],[DateClosed]]))-1)</f>
        <v>2</v>
      </c>
      <c r="R199" s="64" t="s">
        <v>972</v>
      </c>
      <c r="S199" s="60"/>
    </row>
    <row r="200" spans="1:19" hidden="1">
      <c r="A200" s="62" t="s">
        <v>1500</v>
      </c>
      <c r="B200" s="149" t="str">
        <f>IFERROR(VLOOKUP(Proc[[#This Row],[App]],Table2[],3,0),"open")</f>
        <v>ok</v>
      </c>
      <c r="C200" s="62" t="s">
        <v>369</v>
      </c>
      <c r="D200" t="s">
        <v>1497</v>
      </c>
      <c r="E200" t="s">
        <v>501</v>
      </c>
      <c r="F200" s="117" t="s">
        <v>501</v>
      </c>
      <c r="G200" s="62" t="s">
        <v>400</v>
      </c>
      <c r="H200" s="60" t="str">
        <f>IF(Proc[[#This Row],[type]]="LFF (MDG-F)",MID(Proc[[#This Row],[Obj]],13,10),"")</f>
        <v/>
      </c>
      <c r="J200" s="60" t="b">
        <f>Proc[[#This Row],[Requested]]=Proc[[#This Row],[CurrentParent]]</f>
        <v>1</v>
      </c>
      <c r="K200" s="144" t="str">
        <f>IF(Proc[[#This Row],[Author]]="Marcela Urrego",VLOOKUP(LEFT(Proc[[#This Row],[Requested]],1),Table3[#All],2,0),VLOOKUP(Proc[[#This Row],[Author]],Table4[],2,0))</f>
        <v>LS</v>
      </c>
      <c r="L200" s="60" t="s">
        <v>401</v>
      </c>
      <c r="M200" s="71">
        <v>45665.54210648148</v>
      </c>
      <c r="N200" s="71">
        <v>45667</v>
      </c>
      <c r="O200" s="71">
        <v>45667</v>
      </c>
      <c r="P200" s="64" t="str">
        <f ca="1">IF(Proc[[#This Row],[DaysAgeing]]&gt;5,"yep","on track")</f>
        <v>on track</v>
      </c>
      <c r="Q200" s="3">
        <f ca="1">IF(Proc[[#This Row],[DateClosed]]="",ABS(NETWORKDAYS(Proc[[#This Row],[DateOpened]],TODAY()))-1,ABS(NETWORKDAYS(Proc[[#This Row],[DateOpened]],Proc[[#This Row],[DateClosed]]))-1)</f>
        <v>2</v>
      </c>
      <c r="R200" s="64" t="s">
        <v>972</v>
      </c>
      <c r="S200" s="60"/>
    </row>
    <row r="201" spans="1:19" hidden="1">
      <c r="A201" t="s">
        <v>1502</v>
      </c>
      <c r="B201" s="149" t="str">
        <f>IFERROR(VLOOKUP(Proc[[#This Row],[App]],Table2[],3,0),"open")</f>
        <v>ok</v>
      </c>
      <c r="C201" s="62" t="s">
        <v>369</v>
      </c>
      <c r="D201" t="s">
        <v>1516</v>
      </c>
      <c r="E201" t="s">
        <v>419</v>
      </c>
      <c r="F201" s="117" t="s">
        <v>419</v>
      </c>
      <c r="G201" s="62" t="s">
        <v>400</v>
      </c>
      <c r="H201" s="60" t="str">
        <f>IF(Proc[[#This Row],[type]]="LFF (MDG-F)",MID(Proc[[#This Row],[Obj]],13,10),"")</f>
        <v/>
      </c>
      <c r="I201" t="s">
        <v>1639</v>
      </c>
      <c r="J201" s="60" t="b">
        <f>Proc[[#This Row],[Requested]]=Proc[[#This Row],[CurrentParent]]</f>
        <v>1</v>
      </c>
      <c r="K201" s="144" t="str">
        <f>IF(Proc[[#This Row],[Author]]="Marcela Urrego",VLOOKUP(LEFT(Proc[[#This Row],[Requested]],1),Table3[#All],2,0),VLOOKUP(Proc[[#This Row],[Author]],Table4[],2,0))</f>
        <v>MGF</v>
      </c>
      <c r="L201" s="60" t="s">
        <v>401</v>
      </c>
      <c r="M201" s="71">
        <v>45665.586886574078</v>
      </c>
      <c r="N201" s="71">
        <v>45687</v>
      </c>
      <c r="O201" s="71">
        <v>45687</v>
      </c>
      <c r="P201" s="64" t="str">
        <f ca="1">IF(Proc[[#This Row],[DaysAgeing]]&gt;5,"yep","on track")</f>
        <v>yep</v>
      </c>
      <c r="Q201" s="3">
        <f ca="1">IF(Proc[[#This Row],[DateClosed]]="",ABS(NETWORKDAYS(Proc[[#This Row],[DateOpened]],TODAY()))-1,ABS(NETWORKDAYS(Proc[[#This Row],[DateOpened]],Proc[[#This Row],[DateClosed]]))-1)</f>
        <v>16</v>
      </c>
      <c r="R201" s="64" t="s">
        <v>1076</v>
      </c>
      <c r="S201" s="60"/>
    </row>
    <row r="202" spans="1:19" hidden="1">
      <c r="A202" t="s">
        <v>1502</v>
      </c>
      <c r="B202" s="149" t="str">
        <f>IFERROR(VLOOKUP(Proc[[#This Row],[App]],Table2[],3,0),"open")</f>
        <v>ok</v>
      </c>
      <c r="C202" s="62" t="s">
        <v>369</v>
      </c>
      <c r="D202" t="s">
        <v>1501</v>
      </c>
      <c r="E202" t="s">
        <v>411</v>
      </c>
      <c r="F202" s="117" t="s">
        <v>411</v>
      </c>
      <c r="G202" t="s">
        <v>406</v>
      </c>
      <c r="H202" s="60" t="str">
        <f>IF(Proc[[#This Row],[type]]="LFF (MDG-F)",MID(Proc[[#This Row],[Obj]],13,10),"")</f>
        <v>TW91C02001</v>
      </c>
      <c r="I202" t="s">
        <v>1640</v>
      </c>
      <c r="J202" s="60" t="b">
        <f>Proc[[#This Row],[Requested]]=Proc[[#This Row],[CurrentParent]]</f>
        <v>1</v>
      </c>
      <c r="K202" s="144" t="str">
        <f>IF(Proc[[#This Row],[Author]]="Marcela Urrego",VLOOKUP(LEFT(Proc[[#This Row],[Requested]],1),Table3[#All],2,0),VLOOKUP(Proc[[#This Row],[Author]],Table4[],2,0))</f>
        <v>MGF</v>
      </c>
      <c r="L202" s="60" t="s">
        <v>401</v>
      </c>
      <c r="M202" s="71">
        <v>45665.586886574078</v>
      </c>
      <c r="N202" s="71">
        <v>45687</v>
      </c>
      <c r="O202" s="71">
        <v>45687</v>
      </c>
      <c r="P202" s="64" t="str">
        <f ca="1">IF(Proc[[#This Row],[DaysAgeing]]&gt;5,"yep","on track")</f>
        <v>yep</v>
      </c>
      <c r="Q202" s="3">
        <f ca="1">IF(Proc[[#This Row],[DateClosed]]="",ABS(NETWORKDAYS(Proc[[#This Row],[DateOpened]],TODAY()))-1,ABS(NETWORKDAYS(Proc[[#This Row],[DateOpened]],Proc[[#This Row],[DateClosed]]))-1)</f>
        <v>16</v>
      </c>
      <c r="R202" s="64" t="s">
        <v>1076</v>
      </c>
      <c r="S202" s="60"/>
    </row>
    <row r="203" spans="1:19" hidden="1">
      <c r="A203" t="s">
        <v>1512</v>
      </c>
      <c r="B203" s="149" t="str">
        <f>IFERROR(VLOOKUP(Proc[[#This Row],[App]],Table2[],3,0),"open")</f>
        <v>ok</v>
      </c>
      <c r="C203" s="62" t="s">
        <v>369</v>
      </c>
      <c r="D203" t="s">
        <v>1513</v>
      </c>
      <c r="E203" t="s">
        <v>1514</v>
      </c>
      <c r="F203" s="117" t="s">
        <v>1514</v>
      </c>
      <c r="G203" s="62" t="s">
        <v>406</v>
      </c>
      <c r="H203" s="60" t="str">
        <f>IF(Proc[[#This Row],[type]]="LFF (MDG-F)",MID(Proc[[#This Row],[Obj]],13,10),"")</f>
        <v>NG50C1CSLS</v>
      </c>
      <c r="J203" s="60" t="b">
        <f>Proc[[#This Row],[Requested]]=Proc[[#This Row],[CurrentParent]]</f>
        <v>1</v>
      </c>
      <c r="K203" s="144" t="str">
        <f>IF(Proc[[#This Row],[Author]]="Marcela Urrego",VLOOKUP(LEFT(Proc[[#This Row],[Requested]],1),Table3[#All],2,0),VLOOKUP(Proc[[#This Row],[Author]],Table4[],2,0))</f>
        <v>LS</v>
      </c>
      <c r="L203" s="60" t="s">
        <v>401</v>
      </c>
      <c r="M203" s="71">
        <v>45666.329097222224</v>
      </c>
      <c r="N203" s="71">
        <v>45671</v>
      </c>
      <c r="O203" s="71">
        <v>45671</v>
      </c>
      <c r="P203" s="64" t="str">
        <f ca="1">IF(Proc[[#This Row],[DaysAgeing]]&gt;5,"yep","on track")</f>
        <v>on track</v>
      </c>
      <c r="Q203" s="3">
        <f ca="1">IF(Proc[[#This Row],[DateClosed]]="",ABS(NETWORKDAYS(Proc[[#This Row],[DateOpened]],TODAY()))-1,ABS(NETWORKDAYS(Proc[[#This Row],[DateOpened]],Proc[[#This Row],[DateClosed]]))-1)</f>
        <v>3</v>
      </c>
      <c r="R203" s="64" t="s">
        <v>1515</v>
      </c>
      <c r="S203" s="60"/>
    </row>
    <row r="204" spans="1:19" hidden="1">
      <c r="A204" t="s">
        <v>1517</v>
      </c>
      <c r="B204" s="149" t="str">
        <f>IFERROR(VLOOKUP(Proc[[#This Row],[App]],Table2[],3,0),"open")</f>
        <v>ok</v>
      </c>
      <c r="C204" s="62" t="s">
        <v>369</v>
      </c>
      <c r="D204" t="s">
        <v>1518</v>
      </c>
      <c r="E204" t="s">
        <v>424</v>
      </c>
      <c r="F204" s="117" t="s">
        <v>424</v>
      </c>
      <c r="G204" s="62" t="s">
        <v>400</v>
      </c>
      <c r="H204" s="60" t="str">
        <f>IF(Proc[[#This Row],[type]]="LFF (MDG-F)",MID(Proc[[#This Row],[Obj]],13,10),"")</f>
        <v/>
      </c>
      <c r="J204" s="60" t="b">
        <f>Proc[[#This Row],[Requested]]=Proc[[#This Row],[CurrentParent]]</f>
        <v>1</v>
      </c>
      <c r="K204" s="144" t="str">
        <f>IF(Proc[[#This Row],[Author]]="Marcela Urrego",VLOOKUP(LEFT(Proc[[#This Row],[Requested]],1),Table3[#All],2,0),VLOOKUP(Proc[[#This Row],[Author]],Table4[],2,0))</f>
        <v>MGF</v>
      </c>
      <c r="L204" s="60" t="s">
        <v>401</v>
      </c>
      <c r="M204" s="71">
        <v>45666.638773148145</v>
      </c>
      <c r="N204" s="71">
        <v>45671</v>
      </c>
      <c r="O204" s="71">
        <v>45671</v>
      </c>
      <c r="P204" s="64" t="str">
        <f ca="1">IF(Proc[[#This Row],[DaysAgeing]]&gt;5,"yep","on track")</f>
        <v>on track</v>
      </c>
      <c r="Q204" s="3">
        <f ca="1">IF(Proc[[#This Row],[DateClosed]]="",ABS(NETWORKDAYS(Proc[[#This Row],[DateOpened]],TODAY()))-1,ABS(NETWORKDAYS(Proc[[#This Row],[DateOpened]],Proc[[#This Row],[DateClosed]]))-1)</f>
        <v>3</v>
      </c>
      <c r="R204" s="64" t="s">
        <v>1459</v>
      </c>
      <c r="S204" s="60"/>
    </row>
    <row r="205" spans="1:19" hidden="1">
      <c r="A205" s="62" t="s">
        <v>1517</v>
      </c>
      <c r="B205" s="149" t="str">
        <f>IFERROR(VLOOKUP(Proc[[#This Row],[App]],Table2[],3,0),"open")</f>
        <v>ok</v>
      </c>
      <c r="C205" s="62" t="s">
        <v>369</v>
      </c>
      <c r="D205" t="s">
        <v>1519</v>
      </c>
      <c r="E205" t="s">
        <v>425</v>
      </c>
      <c r="F205" s="117" t="s">
        <v>425</v>
      </c>
      <c r="G205" s="62" t="s">
        <v>400</v>
      </c>
      <c r="H205" s="60" t="str">
        <f>IF(Proc[[#This Row],[type]]="LFF (MDG-F)",MID(Proc[[#This Row],[Obj]],13,10),"")</f>
        <v/>
      </c>
      <c r="J205" s="60" t="b">
        <f>Proc[[#This Row],[Requested]]=Proc[[#This Row],[CurrentParent]]</f>
        <v>1</v>
      </c>
      <c r="K205" s="144" t="str">
        <f>IF(Proc[[#This Row],[Author]]="Marcela Urrego",VLOOKUP(LEFT(Proc[[#This Row],[Requested]],1),Table3[#All],2,0),VLOOKUP(Proc[[#This Row],[Author]],Table4[],2,0))</f>
        <v>MGF</v>
      </c>
      <c r="L205" s="60" t="s">
        <v>401</v>
      </c>
      <c r="M205" s="71">
        <v>45666.638773148145</v>
      </c>
      <c r="N205" s="71">
        <v>45671</v>
      </c>
      <c r="O205" s="71">
        <v>45671</v>
      </c>
      <c r="P205" s="64" t="str">
        <f ca="1">IF(Proc[[#This Row],[DaysAgeing]]&gt;5,"yep","on track")</f>
        <v>on track</v>
      </c>
      <c r="Q205" s="3">
        <f ca="1">IF(Proc[[#This Row],[DateClosed]]="",ABS(NETWORKDAYS(Proc[[#This Row],[DateOpened]],TODAY()))-1,ABS(NETWORKDAYS(Proc[[#This Row],[DateOpened]],Proc[[#This Row],[DateClosed]]))-1)</f>
        <v>3</v>
      </c>
      <c r="R205" s="64" t="s">
        <v>1459</v>
      </c>
      <c r="S205" s="60"/>
    </row>
    <row r="206" spans="1:19" hidden="1">
      <c r="A206" s="62" t="s">
        <v>1523</v>
      </c>
      <c r="B206" s="149" t="str">
        <f>IFERROR(VLOOKUP(Proc[[#This Row],[App]],Table2[],3,0),"open")</f>
        <v>ok</v>
      </c>
      <c r="C206" s="62" t="s">
        <v>369</v>
      </c>
      <c r="D206" t="s">
        <v>1520</v>
      </c>
      <c r="E206" t="s">
        <v>496</v>
      </c>
      <c r="F206" s="117" t="s">
        <v>496</v>
      </c>
      <c r="G206" s="62" t="s">
        <v>400</v>
      </c>
      <c r="H206" s="60" t="str">
        <f>IF(Proc[[#This Row],[type]]="LFF (MDG-F)",MID(Proc[[#This Row],[Obj]],13,10),"")</f>
        <v/>
      </c>
      <c r="I206" s="62" t="s">
        <v>1493</v>
      </c>
      <c r="J206" s="60" t="b">
        <f>Proc[[#This Row],[Requested]]=Proc[[#This Row],[CurrentParent]]</f>
        <v>1</v>
      </c>
      <c r="K206" s="144" t="str">
        <f>IF(Proc[[#This Row],[Author]]="Marcela Urrego",VLOOKUP(LEFT(Proc[[#This Row],[Requested]],1),Table3[#All],2,0),VLOOKUP(Proc[[#This Row],[Author]],Table4[],2,0))</f>
        <v>LS</v>
      </c>
      <c r="L206" s="60" t="s">
        <v>401</v>
      </c>
      <c r="M206" s="71">
        <v>45667.399548611109</v>
      </c>
      <c r="N206" s="71">
        <v>45671</v>
      </c>
      <c r="O206" s="71">
        <v>45671</v>
      </c>
      <c r="P206" s="64" t="str">
        <f ca="1">IF(Proc[[#This Row],[DaysAgeing]]&gt;5,"yep","on track")</f>
        <v>on track</v>
      </c>
      <c r="Q206" s="3">
        <f ca="1">IF(Proc[[#This Row],[DateClosed]]="",ABS(NETWORKDAYS(Proc[[#This Row],[DateOpened]],TODAY()))-1,ABS(NETWORKDAYS(Proc[[#This Row],[DateOpened]],Proc[[#This Row],[DateClosed]]))-1)</f>
        <v>2</v>
      </c>
      <c r="R206" s="64" t="s">
        <v>972</v>
      </c>
      <c r="S206" s="60"/>
    </row>
    <row r="207" spans="1:19" hidden="1">
      <c r="A207" s="62" t="s">
        <v>1523</v>
      </c>
      <c r="B207" s="149" t="str">
        <f>IFERROR(VLOOKUP(Proc[[#This Row],[App]],Table2[],3,0),"open")</f>
        <v>ok</v>
      </c>
      <c r="C207" s="62" t="s">
        <v>369</v>
      </c>
      <c r="D207" t="s">
        <v>1521</v>
      </c>
      <c r="E207" t="s">
        <v>1522</v>
      </c>
      <c r="F207" s="117" t="s">
        <v>1522</v>
      </c>
      <c r="G207" s="62" t="s">
        <v>400</v>
      </c>
      <c r="H207" s="60" t="str">
        <f>IF(Proc[[#This Row],[type]]="LFF (MDG-F)",MID(Proc[[#This Row],[Obj]],13,10),"")</f>
        <v/>
      </c>
      <c r="I207" s="62" t="s">
        <v>1493</v>
      </c>
      <c r="J207" s="60" t="b">
        <f>Proc[[#This Row],[Requested]]=Proc[[#This Row],[CurrentParent]]</f>
        <v>1</v>
      </c>
      <c r="K207" s="144" t="str">
        <f>IF(Proc[[#This Row],[Author]]="Marcela Urrego",VLOOKUP(LEFT(Proc[[#This Row],[Requested]],1),Table3[#All],2,0),VLOOKUP(Proc[[#This Row],[Author]],Table4[],2,0))</f>
        <v>LS</v>
      </c>
      <c r="L207" s="60" t="s">
        <v>401</v>
      </c>
      <c r="M207" s="71">
        <v>45667.399548611109</v>
      </c>
      <c r="N207" s="71">
        <v>45671</v>
      </c>
      <c r="O207" s="71">
        <v>45671</v>
      </c>
      <c r="P207" s="64" t="str">
        <f ca="1">IF(Proc[[#This Row],[DaysAgeing]]&gt;5,"yep","on track")</f>
        <v>on track</v>
      </c>
      <c r="Q207" s="3">
        <f ca="1">IF(Proc[[#This Row],[DateClosed]]="",ABS(NETWORKDAYS(Proc[[#This Row],[DateOpened]],TODAY()))-1,ABS(NETWORKDAYS(Proc[[#This Row],[DateOpened]],Proc[[#This Row],[DateClosed]]))-1)</f>
        <v>2</v>
      </c>
      <c r="R207" s="64" t="s">
        <v>972</v>
      </c>
      <c r="S207" s="60"/>
    </row>
    <row r="208" spans="1:19" hidden="1">
      <c r="A208" t="s">
        <v>1547</v>
      </c>
      <c r="B208" s="149" t="str">
        <f>IFERROR(VLOOKUP(Proc[[#This Row],[App]],Table2[],3,0),"open")</f>
        <v>ok</v>
      </c>
      <c r="C208" t="s">
        <v>369</v>
      </c>
      <c r="D208" t="s">
        <v>1524</v>
      </c>
      <c r="E208" t="s">
        <v>631</v>
      </c>
      <c r="F208" s="117" t="s">
        <v>631</v>
      </c>
      <c r="G208" s="62" t="s">
        <v>406</v>
      </c>
      <c r="H208" s="60" t="str">
        <f>IF(Proc[[#This Row],[type]]="LFF (MDG-F)",MID(Proc[[#This Row],[Obj]],13,10),"")</f>
        <v>DE20533101</v>
      </c>
      <c r="I208" s="62" t="s">
        <v>1640</v>
      </c>
      <c r="J208" s="60" t="b">
        <f>Proc[[#This Row],[Requested]]=Proc[[#This Row],[CurrentParent]]</f>
        <v>1</v>
      </c>
      <c r="K208" s="144" t="str">
        <f>IF(Proc[[#This Row],[Author]]="Marcela Urrego",VLOOKUP(LEFT(Proc[[#This Row],[Requested]],1),Table3[#All],2,0),VLOOKUP(Proc[[#This Row],[Author]],Table4[],2,0))</f>
        <v>MGF</v>
      </c>
      <c r="L208" s="60" t="s">
        <v>509</v>
      </c>
      <c r="M208" s="71">
        <v>45671.398553240739</v>
      </c>
      <c r="N208" s="71">
        <v>45688</v>
      </c>
      <c r="O208" s="71">
        <v>45688</v>
      </c>
      <c r="P208" s="64" t="str">
        <f ca="1">IF(Proc[[#This Row],[DaysAgeing]]&gt;5,"yep","on track")</f>
        <v>yep</v>
      </c>
      <c r="Q208" s="3">
        <f ca="1">IF(Proc[[#This Row],[DateClosed]]="",ABS(NETWORKDAYS(Proc[[#This Row],[DateOpened]],TODAY()))-1,ABS(NETWORKDAYS(Proc[[#This Row],[DateOpened]],Proc[[#This Row],[DateClosed]]))-1)</f>
        <v>13</v>
      </c>
      <c r="R208" s="64" t="s">
        <v>549</v>
      </c>
      <c r="S208" s="60"/>
    </row>
    <row r="209" spans="1:19" hidden="1">
      <c r="A209" s="62" t="s">
        <v>1547</v>
      </c>
      <c r="B209" s="149" t="str">
        <f>IFERROR(VLOOKUP(Proc[[#This Row],[App]],Table2[],3,0),"open")</f>
        <v>ok</v>
      </c>
      <c r="C209" s="62" t="s">
        <v>369</v>
      </c>
      <c r="D209" t="s">
        <v>1525</v>
      </c>
      <c r="E209" t="s">
        <v>631</v>
      </c>
      <c r="F209" s="117" t="s">
        <v>631</v>
      </c>
      <c r="G209" s="62" t="s">
        <v>406</v>
      </c>
      <c r="H209" s="60" t="str">
        <f>IF(Proc[[#This Row],[type]]="LFF (MDG-F)",MID(Proc[[#This Row],[Obj]],13,10),"")</f>
        <v>DE20533102</v>
      </c>
      <c r="I209" s="62" t="s">
        <v>1640</v>
      </c>
      <c r="J209" s="60" t="b">
        <f>Proc[[#This Row],[Requested]]=Proc[[#This Row],[CurrentParent]]</f>
        <v>1</v>
      </c>
      <c r="K209" s="144" t="str">
        <f>IF(Proc[[#This Row],[Author]]="Marcela Urrego",VLOOKUP(LEFT(Proc[[#This Row],[Requested]],1),Table3[#All],2,0),VLOOKUP(Proc[[#This Row],[Author]],Table4[],2,0))</f>
        <v>MGF</v>
      </c>
      <c r="L209" s="60" t="s">
        <v>509</v>
      </c>
      <c r="M209" s="71">
        <v>45671.398553240739</v>
      </c>
      <c r="N209" s="71">
        <v>45688</v>
      </c>
      <c r="O209" s="71">
        <v>45688</v>
      </c>
      <c r="P209" s="64" t="str">
        <f ca="1">IF(Proc[[#This Row],[DaysAgeing]]&gt;5,"yep","on track")</f>
        <v>yep</v>
      </c>
      <c r="Q209" s="3">
        <f ca="1">IF(Proc[[#This Row],[DateClosed]]="",ABS(NETWORKDAYS(Proc[[#This Row],[DateOpened]],TODAY()))-1,ABS(NETWORKDAYS(Proc[[#This Row],[DateOpened]],Proc[[#This Row],[DateClosed]]))-1)</f>
        <v>13</v>
      </c>
      <c r="R209" s="64" t="s">
        <v>549</v>
      </c>
      <c r="S209" s="60"/>
    </row>
    <row r="210" spans="1:19" hidden="1">
      <c r="A210" s="62" t="s">
        <v>1547</v>
      </c>
      <c r="B210" s="149" t="str">
        <f>IFERROR(VLOOKUP(Proc[[#This Row],[App]],Table2[],3,0),"open")</f>
        <v>ok</v>
      </c>
      <c r="C210" s="62" t="s">
        <v>369</v>
      </c>
      <c r="D210" t="s">
        <v>1526</v>
      </c>
      <c r="E210" t="s">
        <v>631</v>
      </c>
      <c r="F210" s="117" t="s">
        <v>631</v>
      </c>
      <c r="G210" s="62" t="s">
        <v>406</v>
      </c>
      <c r="H210" s="60" t="str">
        <f>IF(Proc[[#This Row],[type]]="LFF (MDG-F)",MID(Proc[[#This Row],[Obj]],13,10),"")</f>
        <v>DE20533103</v>
      </c>
      <c r="I210" s="62" t="s">
        <v>1640</v>
      </c>
      <c r="J210" s="60" t="b">
        <f>Proc[[#This Row],[Requested]]=Proc[[#This Row],[CurrentParent]]</f>
        <v>1</v>
      </c>
      <c r="K210" s="144" t="str">
        <f>IF(Proc[[#This Row],[Author]]="Marcela Urrego",VLOOKUP(LEFT(Proc[[#This Row],[Requested]],1),Table3[#All],2,0),VLOOKUP(Proc[[#This Row],[Author]],Table4[],2,0))</f>
        <v>MGF</v>
      </c>
      <c r="L210" s="60" t="s">
        <v>509</v>
      </c>
      <c r="M210" s="71">
        <v>45671.398553240739</v>
      </c>
      <c r="N210" s="71">
        <v>45688</v>
      </c>
      <c r="O210" s="71">
        <v>45688</v>
      </c>
      <c r="P210" s="64" t="str">
        <f ca="1">IF(Proc[[#This Row],[DaysAgeing]]&gt;5,"yep","on track")</f>
        <v>yep</v>
      </c>
      <c r="Q210" s="3">
        <f ca="1">IF(Proc[[#This Row],[DateClosed]]="",ABS(NETWORKDAYS(Proc[[#This Row],[DateOpened]],TODAY()))-1,ABS(NETWORKDAYS(Proc[[#This Row],[DateOpened]],Proc[[#This Row],[DateClosed]]))-1)</f>
        <v>13</v>
      </c>
      <c r="R210" s="64" t="s">
        <v>549</v>
      </c>
      <c r="S210" s="60"/>
    </row>
    <row r="211" spans="1:19" hidden="1">
      <c r="A211" s="62" t="s">
        <v>1547</v>
      </c>
      <c r="B211" s="149" t="str">
        <f>IFERROR(VLOOKUP(Proc[[#This Row],[App]],Table2[],3,0),"open")</f>
        <v>ok</v>
      </c>
      <c r="C211" s="62" t="s">
        <v>369</v>
      </c>
      <c r="D211" t="s">
        <v>1527</v>
      </c>
      <c r="E211" t="s">
        <v>631</v>
      </c>
      <c r="F211" s="117" t="s">
        <v>631</v>
      </c>
      <c r="G211" s="62" t="s">
        <v>406</v>
      </c>
      <c r="H211" s="60" t="str">
        <f>IF(Proc[[#This Row],[type]]="LFF (MDG-F)",MID(Proc[[#This Row],[Obj]],13,10),"")</f>
        <v>DE20533104</v>
      </c>
      <c r="I211" s="62" t="s">
        <v>1640</v>
      </c>
      <c r="J211" s="60" t="b">
        <f>Proc[[#This Row],[Requested]]=Proc[[#This Row],[CurrentParent]]</f>
        <v>1</v>
      </c>
      <c r="K211" s="144" t="str">
        <f>IF(Proc[[#This Row],[Author]]="Marcela Urrego",VLOOKUP(LEFT(Proc[[#This Row],[Requested]],1),Table3[#All],2,0),VLOOKUP(Proc[[#This Row],[Author]],Table4[],2,0))</f>
        <v>MGF</v>
      </c>
      <c r="L211" s="60" t="s">
        <v>509</v>
      </c>
      <c r="M211" s="71">
        <v>45671.398553240739</v>
      </c>
      <c r="N211" s="71">
        <v>45688</v>
      </c>
      <c r="O211" s="71">
        <v>45688</v>
      </c>
      <c r="P211" s="64" t="str">
        <f ca="1">IF(Proc[[#This Row],[DaysAgeing]]&gt;5,"yep","on track")</f>
        <v>yep</v>
      </c>
      <c r="Q211" s="3">
        <f ca="1">IF(Proc[[#This Row],[DateClosed]]="",ABS(NETWORKDAYS(Proc[[#This Row],[DateOpened]],TODAY()))-1,ABS(NETWORKDAYS(Proc[[#This Row],[DateOpened]],Proc[[#This Row],[DateClosed]]))-1)</f>
        <v>13</v>
      </c>
      <c r="R211" s="64" t="s">
        <v>549</v>
      </c>
      <c r="S211" s="60"/>
    </row>
    <row r="212" spans="1:19" hidden="1">
      <c r="A212" s="62" t="s">
        <v>1547</v>
      </c>
      <c r="B212" s="149" t="str">
        <f>IFERROR(VLOOKUP(Proc[[#This Row],[App]],Table2[],3,0),"open")</f>
        <v>ok</v>
      </c>
      <c r="C212" s="62" t="s">
        <v>369</v>
      </c>
      <c r="D212" t="s">
        <v>1528</v>
      </c>
      <c r="E212" t="s">
        <v>631</v>
      </c>
      <c r="F212" s="117" t="s">
        <v>631</v>
      </c>
      <c r="G212" s="62" t="s">
        <v>406</v>
      </c>
      <c r="H212" s="60" t="str">
        <f>IF(Proc[[#This Row],[type]]="LFF (MDG-F)",MID(Proc[[#This Row],[Obj]],13,10),"")</f>
        <v>DE20533105</v>
      </c>
      <c r="I212" s="62" t="s">
        <v>1640</v>
      </c>
      <c r="J212" s="60" t="b">
        <f>Proc[[#This Row],[Requested]]=Proc[[#This Row],[CurrentParent]]</f>
        <v>1</v>
      </c>
      <c r="K212" s="144" t="str">
        <f>IF(Proc[[#This Row],[Author]]="Marcela Urrego",VLOOKUP(LEFT(Proc[[#This Row],[Requested]],1),Table3[#All],2,0),VLOOKUP(Proc[[#This Row],[Author]],Table4[],2,0))</f>
        <v>MGF</v>
      </c>
      <c r="L212" s="60" t="s">
        <v>509</v>
      </c>
      <c r="M212" s="71">
        <v>45671.398553240739</v>
      </c>
      <c r="N212" s="71">
        <v>45688</v>
      </c>
      <c r="O212" s="71">
        <v>45688</v>
      </c>
      <c r="P212" s="64" t="str">
        <f ca="1">IF(Proc[[#This Row],[DaysAgeing]]&gt;5,"yep","on track")</f>
        <v>yep</v>
      </c>
      <c r="Q212" s="3">
        <f ca="1">IF(Proc[[#This Row],[DateClosed]]="",ABS(NETWORKDAYS(Proc[[#This Row],[DateOpened]],TODAY()))-1,ABS(NETWORKDAYS(Proc[[#This Row],[DateOpened]],Proc[[#This Row],[DateClosed]]))-1)</f>
        <v>13</v>
      </c>
      <c r="R212" s="64" t="s">
        <v>549</v>
      </c>
      <c r="S212" s="60"/>
    </row>
    <row r="213" spans="1:19" hidden="1">
      <c r="A213" s="62" t="s">
        <v>1547</v>
      </c>
      <c r="B213" s="149" t="str">
        <f>IFERROR(VLOOKUP(Proc[[#This Row],[App]],Table2[],3,0),"open")</f>
        <v>ok</v>
      </c>
      <c r="C213" s="62" t="s">
        <v>369</v>
      </c>
      <c r="D213" t="s">
        <v>1529</v>
      </c>
      <c r="E213" t="s">
        <v>631</v>
      </c>
      <c r="F213" s="117" t="s">
        <v>631</v>
      </c>
      <c r="G213" s="62" t="s">
        <v>406</v>
      </c>
      <c r="H213" s="60" t="str">
        <f>IF(Proc[[#This Row],[type]]="LFF (MDG-F)",MID(Proc[[#This Row],[Obj]],13,10),"")</f>
        <v>DE20533106</v>
      </c>
      <c r="I213" s="62" t="s">
        <v>1640</v>
      </c>
      <c r="J213" s="60" t="b">
        <f>Proc[[#This Row],[Requested]]=Proc[[#This Row],[CurrentParent]]</f>
        <v>1</v>
      </c>
      <c r="K213" s="144" t="str">
        <f>IF(Proc[[#This Row],[Author]]="Marcela Urrego",VLOOKUP(LEFT(Proc[[#This Row],[Requested]],1),Table3[#All],2,0),VLOOKUP(Proc[[#This Row],[Author]],Table4[],2,0))</f>
        <v>MGF</v>
      </c>
      <c r="L213" s="60" t="s">
        <v>509</v>
      </c>
      <c r="M213" s="71">
        <v>45671.398553240739</v>
      </c>
      <c r="N213" s="71">
        <v>45688</v>
      </c>
      <c r="O213" s="71">
        <v>45688</v>
      </c>
      <c r="P213" s="64" t="str">
        <f ca="1">IF(Proc[[#This Row],[DaysAgeing]]&gt;5,"yep","on track")</f>
        <v>yep</v>
      </c>
      <c r="Q213" s="3">
        <f ca="1">IF(Proc[[#This Row],[DateClosed]]="",ABS(NETWORKDAYS(Proc[[#This Row],[DateOpened]],TODAY()))-1,ABS(NETWORKDAYS(Proc[[#This Row],[DateOpened]],Proc[[#This Row],[DateClosed]]))-1)</f>
        <v>13</v>
      </c>
      <c r="R213" s="64" t="s">
        <v>549</v>
      </c>
      <c r="S213" s="60"/>
    </row>
    <row r="214" spans="1:19" hidden="1">
      <c r="A214" s="62" t="s">
        <v>1547</v>
      </c>
      <c r="B214" s="149" t="str">
        <f>IFERROR(VLOOKUP(Proc[[#This Row],[App]],Table2[],3,0),"open")</f>
        <v>ok</v>
      </c>
      <c r="C214" s="62" t="s">
        <v>377</v>
      </c>
      <c r="D214" t="s">
        <v>512</v>
      </c>
      <c r="E214" t="s">
        <v>631</v>
      </c>
      <c r="F214" s="103" t="s">
        <v>631</v>
      </c>
      <c r="G214" s="62" t="s">
        <v>406</v>
      </c>
      <c r="H214" s="60" t="str">
        <f>IF(Proc[[#This Row],[type]]="LFF (MDG-F)",MID(Proc[[#This Row],[Obj]],13,10),"")</f>
        <v>DE20533107</v>
      </c>
      <c r="I214" s="62" t="s">
        <v>446</v>
      </c>
      <c r="J214" s="60" t="b">
        <f>Proc[[#This Row],[Requested]]=Proc[[#This Row],[CurrentParent]]</f>
        <v>1</v>
      </c>
      <c r="K214" s="144" t="str">
        <f>IF(Proc[[#This Row],[Author]]="Marcela Urrego",VLOOKUP(LEFT(Proc[[#This Row],[Requested]],1),Table3[#All],2,0),VLOOKUP(Proc[[#This Row],[Author]],Table4[],2,0))</f>
        <v>MGF</v>
      </c>
      <c r="L214" s="60" t="s">
        <v>509</v>
      </c>
      <c r="M214" s="71">
        <v>45671.398553240739</v>
      </c>
      <c r="O214" s="71">
        <v>45688</v>
      </c>
      <c r="P214" s="64" t="str">
        <f ca="1">IF(Proc[[#This Row],[DaysAgeing]]&gt;5,"yep","on track")</f>
        <v>yep</v>
      </c>
      <c r="Q214" s="3">
        <f ca="1">IF(Proc[[#This Row],[DateClosed]]="",ABS(NETWORKDAYS(Proc[[#This Row],[DateOpened]],TODAY()))-1,ABS(NETWORKDAYS(Proc[[#This Row],[DateOpened]],Proc[[#This Row],[DateClosed]]))-1)</f>
        <v>13</v>
      </c>
      <c r="R214" s="64" t="s">
        <v>549</v>
      </c>
      <c r="S214" s="60" t="e">
        <f>VLOOKUP(Proc[[#This Row],[Obj]],#REF!,2,0)</f>
        <v>#REF!</v>
      </c>
    </row>
    <row r="215" spans="1:19" hidden="1">
      <c r="A215" s="62" t="s">
        <v>1547</v>
      </c>
      <c r="B215" s="149" t="str">
        <f>IFERROR(VLOOKUP(Proc[[#This Row],[App]],Table2[],3,0),"open")</f>
        <v>ok</v>
      </c>
      <c r="C215" s="62" t="s">
        <v>369</v>
      </c>
      <c r="D215" t="s">
        <v>1530</v>
      </c>
      <c r="E215" t="s">
        <v>631</v>
      </c>
      <c r="F215" s="117" t="s">
        <v>631</v>
      </c>
      <c r="G215" s="62" t="s">
        <v>406</v>
      </c>
      <c r="H215" s="60" t="str">
        <f>IF(Proc[[#This Row],[type]]="LFF (MDG-F)",MID(Proc[[#This Row],[Obj]],13,10),"")</f>
        <v>DE20533108</v>
      </c>
      <c r="I215" s="62" t="s">
        <v>1640</v>
      </c>
      <c r="J215" s="60" t="b">
        <f>Proc[[#This Row],[Requested]]=Proc[[#This Row],[CurrentParent]]</f>
        <v>1</v>
      </c>
      <c r="K215" s="144" t="str">
        <f>IF(Proc[[#This Row],[Author]]="Marcela Urrego",VLOOKUP(LEFT(Proc[[#This Row],[Requested]],1),Table3[#All],2,0),VLOOKUP(Proc[[#This Row],[Author]],Table4[],2,0))</f>
        <v>MGF</v>
      </c>
      <c r="L215" s="60" t="s">
        <v>509</v>
      </c>
      <c r="M215" s="71">
        <v>45671.398553240739</v>
      </c>
      <c r="N215" s="71">
        <v>45688</v>
      </c>
      <c r="O215" s="71">
        <v>45688</v>
      </c>
      <c r="P215" s="64" t="str">
        <f ca="1">IF(Proc[[#This Row],[DaysAgeing]]&gt;5,"yep","on track")</f>
        <v>yep</v>
      </c>
      <c r="Q215" s="3">
        <f ca="1">IF(Proc[[#This Row],[DateClosed]]="",ABS(NETWORKDAYS(Proc[[#This Row],[DateOpened]],TODAY()))-1,ABS(NETWORKDAYS(Proc[[#This Row],[DateOpened]],Proc[[#This Row],[DateClosed]]))-1)</f>
        <v>13</v>
      </c>
      <c r="R215" s="64" t="s">
        <v>549</v>
      </c>
      <c r="S215" s="60"/>
    </row>
    <row r="216" spans="1:19" hidden="1">
      <c r="A216" s="62" t="s">
        <v>1547</v>
      </c>
      <c r="B216" s="149" t="str">
        <f>IFERROR(VLOOKUP(Proc[[#This Row],[App]],Table2[],3,0),"open")</f>
        <v>ok</v>
      </c>
      <c r="C216" s="62" t="s">
        <v>377</v>
      </c>
      <c r="D216" t="s">
        <v>513</v>
      </c>
      <c r="E216" t="s">
        <v>631</v>
      </c>
      <c r="F216" s="103" t="s">
        <v>631</v>
      </c>
      <c r="G216" s="62" t="s">
        <v>406</v>
      </c>
      <c r="H216" s="60" t="str">
        <f>IF(Proc[[#This Row],[type]]="LFF (MDG-F)",MID(Proc[[#This Row],[Obj]],13,10),"")</f>
        <v>DE20533109</v>
      </c>
      <c r="I216" s="62" t="s">
        <v>446</v>
      </c>
      <c r="J216" s="60" t="b">
        <f>Proc[[#This Row],[Requested]]=Proc[[#This Row],[CurrentParent]]</f>
        <v>1</v>
      </c>
      <c r="K216" s="144" t="str">
        <f>IF(Proc[[#This Row],[Author]]="Marcela Urrego",VLOOKUP(LEFT(Proc[[#This Row],[Requested]],1),Table3[#All],2,0),VLOOKUP(Proc[[#This Row],[Author]],Table4[],2,0))</f>
        <v>MGF</v>
      </c>
      <c r="L216" s="60" t="s">
        <v>509</v>
      </c>
      <c r="M216" s="71">
        <v>45671.398553240739</v>
      </c>
      <c r="O216" s="71">
        <v>45688</v>
      </c>
      <c r="P216" s="64" t="str">
        <f ca="1">IF(Proc[[#This Row],[DaysAgeing]]&gt;5,"yep","on track")</f>
        <v>yep</v>
      </c>
      <c r="Q216" s="3">
        <f ca="1">IF(Proc[[#This Row],[DateClosed]]="",ABS(NETWORKDAYS(Proc[[#This Row],[DateOpened]],TODAY()))-1,ABS(NETWORKDAYS(Proc[[#This Row],[DateOpened]],Proc[[#This Row],[DateClosed]]))-1)</f>
        <v>13</v>
      </c>
      <c r="R216" s="64" t="s">
        <v>549</v>
      </c>
      <c r="S216" s="94" t="e">
        <f>VLOOKUP(Proc[[#This Row],[Obj]],#REF!,2,0)</f>
        <v>#REF!</v>
      </c>
    </row>
    <row r="217" spans="1:19" hidden="1">
      <c r="A217" s="62" t="s">
        <v>1547</v>
      </c>
      <c r="B217" s="149" t="str">
        <f>IFERROR(VLOOKUP(Proc[[#This Row],[App]],Table2[],3,0),"open")</f>
        <v>ok</v>
      </c>
      <c r="C217" s="62" t="s">
        <v>369</v>
      </c>
      <c r="D217" t="s">
        <v>1531</v>
      </c>
      <c r="E217" t="s">
        <v>631</v>
      </c>
      <c r="F217" s="117" t="s">
        <v>631</v>
      </c>
      <c r="G217" s="62" t="s">
        <v>406</v>
      </c>
      <c r="H217" s="60" t="str">
        <f>IF(Proc[[#This Row],[type]]="LFF (MDG-F)",MID(Proc[[#This Row],[Obj]],13,10),"")</f>
        <v>DE20533110</v>
      </c>
      <c r="I217" s="62" t="s">
        <v>1640</v>
      </c>
      <c r="J217" s="60" t="b">
        <f>Proc[[#This Row],[Requested]]=Proc[[#This Row],[CurrentParent]]</f>
        <v>1</v>
      </c>
      <c r="K217" s="144" t="str">
        <f>IF(Proc[[#This Row],[Author]]="Marcela Urrego",VLOOKUP(LEFT(Proc[[#This Row],[Requested]],1),Table3[#All],2,0),VLOOKUP(Proc[[#This Row],[Author]],Table4[],2,0))</f>
        <v>MGF</v>
      </c>
      <c r="L217" s="60" t="s">
        <v>509</v>
      </c>
      <c r="M217" s="71">
        <v>45671.398553240739</v>
      </c>
      <c r="N217" s="71">
        <v>45688</v>
      </c>
      <c r="O217" s="71">
        <v>45688</v>
      </c>
      <c r="P217" s="64" t="str">
        <f ca="1">IF(Proc[[#This Row],[DaysAgeing]]&gt;5,"yep","on track")</f>
        <v>yep</v>
      </c>
      <c r="Q217" s="3">
        <f ca="1">IF(Proc[[#This Row],[DateClosed]]="",ABS(NETWORKDAYS(Proc[[#This Row],[DateOpened]],TODAY()))-1,ABS(NETWORKDAYS(Proc[[#This Row],[DateOpened]],Proc[[#This Row],[DateClosed]]))-1)</f>
        <v>13</v>
      </c>
      <c r="R217" s="64" t="s">
        <v>549</v>
      </c>
      <c r="S217" s="60"/>
    </row>
    <row r="218" spans="1:19" hidden="1">
      <c r="A218" s="62" t="s">
        <v>1547</v>
      </c>
      <c r="B218" s="149" t="str">
        <f>IFERROR(VLOOKUP(Proc[[#This Row],[App]],Table2[],3,0),"open")</f>
        <v>ok</v>
      </c>
      <c r="C218" s="62" t="s">
        <v>369</v>
      </c>
      <c r="D218" t="s">
        <v>1532</v>
      </c>
      <c r="E218" t="s">
        <v>631</v>
      </c>
      <c r="F218" s="117" t="s">
        <v>631</v>
      </c>
      <c r="G218" s="62" t="s">
        <v>406</v>
      </c>
      <c r="H218" s="60" t="str">
        <f>IF(Proc[[#This Row],[type]]="LFF (MDG-F)",MID(Proc[[#This Row],[Obj]],13,10),"")</f>
        <v>DE20533111</v>
      </c>
      <c r="I218" s="62" t="s">
        <v>1640</v>
      </c>
      <c r="J218" s="60" t="b">
        <f>Proc[[#This Row],[Requested]]=Proc[[#This Row],[CurrentParent]]</f>
        <v>1</v>
      </c>
      <c r="K218" s="144" t="str">
        <f>IF(Proc[[#This Row],[Author]]="Marcela Urrego",VLOOKUP(LEFT(Proc[[#This Row],[Requested]],1),Table3[#All],2,0),VLOOKUP(Proc[[#This Row],[Author]],Table4[],2,0))</f>
        <v>MGF</v>
      </c>
      <c r="L218" s="60" t="s">
        <v>509</v>
      </c>
      <c r="M218" s="71">
        <v>45671.398553240739</v>
      </c>
      <c r="N218" s="71">
        <v>45688</v>
      </c>
      <c r="O218" s="71">
        <v>45688</v>
      </c>
      <c r="P218" s="64" t="str">
        <f ca="1">IF(Proc[[#This Row],[DaysAgeing]]&gt;5,"yep","on track")</f>
        <v>yep</v>
      </c>
      <c r="Q218" s="3">
        <f ca="1">IF(Proc[[#This Row],[DateClosed]]="",ABS(NETWORKDAYS(Proc[[#This Row],[DateOpened]],TODAY()))-1,ABS(NETWORKDAYS(Proc[[#This Row],[DateOpened]],Proc[[#This Row],[DateClosed]]))-1)</f>
        <v>13</v>
      </c>
      <c r="R218" s="64" t="s">
        <v>549</v>
      </c>
      <c r="S218" s="60"/>
    </row>
    <row r="219" spans="1:19" hidden="1">
      <c r="A219" s="62" t="s">
        <v>1547</v>
      </c>
      <c r="B219" s="149" t="str">
        <f>IFERROR(VLOOKUP(Proc[[#This Row],[App]],Table2[],3,0),"open")</f>
        <v>ok</v>
      </c>
      <c r="C219" s="62" t="s">
        <v>369</v>
      </c>
      <c r="D219" t="s">
        <v>1533</v>
      </c>
      <c r="E219" t="s">
        <v>631</v>
      </c>
      <c r="F219" s="117" t="s">
        <v>631</v>
      </c>
      <c r="G219" s="62" t="s">
        <v>406</v>
      </c>
      <c r="H219" s="60" t="str">
        <f>IF(Proc[[#This Row],[type]]="LFF (MDG-F)",MID(Proc[[#This Row],[Obj]],13,10),"")</f>
        <v>DE20533112</v>
      </c>
      <c r="I219" s="62" t="s">
        <v>1640</v>
      </c>
      <c r="J219" s="60" t="b">
        <f>Proc[[#This Row],[Requested]]=Proc[[#This Row],[CurrentParent]]</f>
        <v>1</v>
      </c>
      <c r="K219" s="144" t="str">
        <f>IF(Proc[[#This Row],[Author]]="Marcela Urrego",VLOOKUP(LEFT(Proc[[#This Row],[Requested]],1),Table3[#All],2,0),VLOOKUP(Proc[[#This Row],[Author]],Table4[],2,0))</f>
        <v>MGF</v>
      </c>
      <c r="L219" s="60" t="s">
        <v>509</v>
      </c>
      <c r="M219" s="71">
        <v>45671.398553240739</v>
      </c>
      <c r="N219" s="71">
        <v>45688</v>
      </c>
      <c r="O219" s="71">
        <v>45688</v>
      </c>
      <c r="P219" s="64" t="str">
        <f ca="1">IF(Proc[[#This Row],[DaysAgeing]]&gt;5,"yep","on track")</f>
        <v>yep</v>
      </c>
      <c r="Q219" s="3">
        <f ca="1">IF(Proc[[#This Row],[DateClosed]]="",ABS(NETWORKDAYS(Proc[[#This Row],[DateOpened]],TODAY()))-1,ABS(NETWORKDAYS(Proc[[#This Row],[DateOpened]],Proc[[#This Row],[DateClosed]]))-1)</f>
        <v>13</v>
      </c>
      <c r="R219" s="64" t="s">
        <v>549</v>
      </c>
      <c r="S219" s="60"/>
    </row>
    <row r="220" spans="1:19" hidden="1">
      <c r="A220" s="62" t="s">
        <v>1547</v>
      </c>
      <c r="B220" s="149" t="str">
        <f>IFERROR(VLOOKUP(Proc[[#This Row],[App]],Table2[],3,0),"open")</f>
        <v>ok</v>
      </c>
      <c r="C220" s="62" t="s">
        <v>377</v>
      </c>
      <c r="D220" t="s">
        <v>1534</v>
      </c>
      <c r="E220" t="s">
        <v>631</v>
      </c>
      <c r="F220" s="103" t="s">
        <v>631</v>
      </c>
      <c r="G220" s="62" t="s">
        <v>406</v>
      </c>
      <c r="H220" s="60" t="str">
        <f>IF(Proc[[#This Row],[type]]="LFF (MDG-F)",MID(Proc[[#This Row],[Obj]],13,10),"")</f>
        <v>DE20533113</v>
      </c>
      <c r="I220" s="62" t="s">
        <v>446</v>
      </c>
      <c r="J220" s="60" t="b">
        <f>Proc[[#This Row],[Requested]]=Proc[[#This Row],[CurrentParent]]</f>
        <v>1</v>
      </c>
      <c r="K220" s="144" t="str">
        <f>IF(Proc[[#This Row],[Author]]="Marcela Urrego",VLOOKUP(LEFT(Proc[[#This Row],[Requested]],1),Table3[#All],2,0),VLOOKUP(Proc[[#This Row],[Author]],Table4[],2,0))</f>
        <v>MGF</v>
      </c>
      <c r="L220" s="60" t="s">
        <v>509</v>
      </c>
      <c r="M220" s="71">
        <v>45671.398553240739</v>
      </c>
      <c r="O220" s="71">
        <v>45688</v>
      </c>
      <c r="P220" s="64" t="str">
        <f ca="1">IF(Proc[[#This Row],[DaysAgeing]]&gt;5,"yep","on track")</f>
        <v>yep</v>
      </c>
      <c r="Q220" s="3">
        <f ca="1">IF(Proc[[#This Row],[DateClosed]]="",ABS(NETWORKDAYS(Proc[[#This Row],[DateOpened]],TODAY()))-1,ABS(NETWORKDAYS(Proc[[#This Row],[DateOpened]],Proc[[#This Row],[DateClosed]]))-1)</f>
        <v>13</v>
      </c>
      <c r="R220" s="64" t="s">
        <v>549</v>
      </c>
      <c r="S220" s="94" t="e">
        <f>VLOOKUP(Proc[[#This Row],[Obj]],#REF!,2,0)</f>
        <v>#REF!</v>
      </c>
    </row>
    <row r="221" spans="1:19" hidden="1">
      <c r="A221" s="62" t="s">
        <v>1547</v>
      </c>
      <c r="B221" s="149" t="str">
        <f>IFERROR(VLOOKUP(Proc[[#This Row],[App]],Table2[],3,0),"open")</f>
        <v>ok</v>
      </c>
      <c r="C221" s="62" t="s">
        <v>369</v>
      </c>
      <c r="D221" t="s">
        <v>1535</v>
      </c>
      <c r="E221" t="s">
        <v>631</v>
      </c>
      <c r="F221" s="117" t="s">
        <v>631</v>
      </c>
      <c r="G221" s="62" t="s">
        <v>406</v>
      </c>
      <c r="H221" s="60" t="str">
        <f>IF(Proc[[#This Row],[type]]="LFF (MDG-F)",MID(Proc[[#This Row],[Obj]],13,10),"")</f>
        <v>DE20533198</v>
      </c>
      <c r="I221" s="62" t="s">
        <v>1640</v>
      </c>
      <c r="J221" s="60" t="b">
        <f>Proc[[#This Row],[Requested]]=Proc[[#This Row],[CurrentParent]]</f>
        <v>1</v>
      </c>
      <c r="K221" s="144" t="str">
        <f>IF(Proc[[#This Row],[Author]]="Marcela Urrego",VLOOKUP(LEFT(Proc[[#This Row],[Requested]],1),Table3[#All],2,0),VLOOKUP(Proc[[#This Row],[Author]],Table4[],2,0))</f>
        <v>MGF</v>
      </c>
      <c r="L221" s="60" t="s">
        <v>509</v>
      </c>
      <c r="M221" s="71">
        <v>45671.398553240739</v>
      </c>
      <c r="N221" s="71">
        <v>45688</v>
      </c>
      <c r="O221" s="71">
        <v>45688</v>
      </c>
      <c r="P221" s="64" t="str">
        <f ca="1">IF(Proc[[#This Row],[DaysAgeing]]&gt;5,"yep","on track")</f>
        <v>yep</v>
      </c>
      <c r="Q221" s="3">
        <f ca="1">IF(Proc[[#This Row],[DateClosed]]="",ABS(NETWORKDAYS(Proc[[#This Row],[DateOpened]],TODAY()))-1,ABS(NETWORKDAYS(Proc[[#This Row],[DateOpened]],Proc[[#This Row],[DateClosed]]))-1)</f>
        <v>13</v>
      </c>
      <c r="R221" s="64" t="s">
        <v>549</v>
      </c>
      <c r="S221" s="60"/>
    </row>
    <row r="222" spans="1:19" hidden="1">
      <c r="A222" s="62" t="s">
        <v>1547</v>
      </c>
      <c r="B222" s="149" t="str">
        <f>IFERROR(VLOOKUP(Proc[[#This Row],[App]],Table2[],3,0),"open")</f>
        <v>ok</v>
      </c>
      <c r="C222" s="62" t="s">
        <v>369</v>
      </c>
      <c r="D222" t="s">
        <v>1536</v>
      </c>
      <c r="E222" t="s">
        <v>631</v>
      </c>
      <c r="F222" s="117" t="s">
        <v>631</v>
      </c>
      <c r="G222" s="62" t="s">
        <v>406</v>
      </c>
      <c r="H222" s="60" t="str">
        <f>IF(Proc[[#This Row],[type]]="LFF (MDG-F)",MID(Proc[[#This Row],[Obj]],13,10),"")</f>
        <v>DE10533101</v>
      </c>
      <c r="I222" s="62" t="s">
        <v>1640</v>
      </c>
      <c r="J222" s="60" t="b">
        <f>Proc[[#This Row],[Requested]]=Proc[[#This Row],[CurrentParent]]</f>
        <v>1</v>
      </c>
      <c r="K222" s="144" t="str">
        <f>IF(Proc[[#This Row],[Author]]="Marcela Urrego",VLOOKUP(LEFT(Proc[[#This Row],[Requested]],1),Table3[#All],2,0),VLOOKUP(Proc[[#This Row],[Author]],Table4[],2,0))</f>
        <v>MGF</v>
      </c>
      <c r="L222" s="60" t="s">
        <v>509</v>
      </c>
      <c r="M222" s="71">
        <v>45671.398553240739</v>
      </c>
      <c r="N222" s="71">
        <v>45688</v>
      </c>
      <c r="O222" s="71">
        <v>45688</v>
      </c>
      <c r="P222" s="64" t="str">
        <f ca="1">IF(Proc[[#This Row],[DaysAgeing]]&gt;5,"yep","on track")</f>
        <v>yep</v>
      </c>
      <c r="Q222" s="3">
        <f ca="1">IF(Proc[[#This Row],[DateClosed]]="",ABS(NETWORKDAYS(Proc[[#This Row],[DateOpened]],TODAY()))-1,ABS(NETWORKDAYS(Proc[[#This Row],[DateOpened]],Proc[[#This Row],[DateClosed]]))-1)</f>
        <v>13</v>
      </c>
      <c r="R222" s="64" t="s">
        <v>549</v>
      </c>
      <c r="S222" s="60"/>
    </row>
    <row r="223" spans="1:19" hidden="1">
      <c r="A223" s="62" t="s">
        <v>1547</v>
      </c>
      <c r="B223" s="149" t="str">
        <f>IFERROR(VLOOKUP(Proc[[#This Row],[App]],Table2[],3,0),"open")</f>
        <v>ok</v>
      </c>
      <c r="C223" s="62" t="s">
        <v>369</v>
      </c>
      <c r="D223" t="s">
        <v>1537</v>
      </c>
      <c r="E223" t="s">
        <v>631</v>
      </c>
      <c r="F223" s="117" t="s">
        <v>631</v>
      </c>
      <c r="G223" s="62" t="s">
        <v>406</v>
      </c>
      <c r="H223" s="60" t="str">
        <f>IF(Proc[[#This Row],[type]]="LFF (MDG-F)",MID(Proc[[#This Row],[Obj]],13,10),"")</f>
        <v>DE10533102</v>
      </c>
      <c r="I223" s="62" t="s">
        <v>1640</v>
      </c>
      <c r="J223" s="60" t="b">
        <f>Proc[[#This Row],[Requested]]=Proc[[#This Row],[CurrentParent]]</f>
        <v>1</v>
      </c>
      <c r="K223" s="144" t="str">
        <f>IF(Proc[[#This Row],[Author]]="Marcela Urrego",VLOOKUP(LEFT(Proc[[#This Row],[Requested]],1),Table3[#All],2,0),VLOOKUP(Proc[[#This Row],[Author]],Table4[],2,0))</f>
        <v>MGF</v>
      </c>
      <c r="L223" s="60" t="s">
        <v>509</v>
      </c>
      <c r="M223" s="71">
        <v>45671.398553240739</v>
      </c>
      <c r="N223" s="71">
        <v>45688</v>
      </c>
      <c r="O223" s="71">
        <v>45688</v>
      </c>
      <c r="P223" s="64" t="str">
        <f ca="1">IF(Proc[[#This Row],[DaysAgeing]]&gt;5,"yep","on track")</f>
        <v>yep</v>
      </c>
      <c r="Q223" s="3">
        <f ca="1">IF(Proc[[#This Row],[DateClosed]]="",ABS(NETWORKDAYS(Proc[[#This Row],[DateOpened]],TODAY()))-1,ABS(NETWORKDAYS(Proc[[#This Row],[DateOpened]],Proc[[#This Row],[DateClosed]]))-1)</f>
        <v>13</v>
      </c>
      <c r="R223" s="64" t="s">
        <v>549</v>
      </c>
      <c r="S223" s="60"/>
    </row>
    <row r="224" spans="1:19" hidden="1">
      <c r="A224" s="62" t="s">
        <v>1547</v>
      </c>
      <c r="B224" s="149" t="str">
        <f>IFERROR(VLOOKUP(Proc[[#This Row],[App]],Table2[],3,0),"open")</f>
        <v>ok</v>
      </c>
      <c r="C224" s="62" t="s">
        <v>369</v>
      </c>
      <c r="D224" t="s">
        <v>1538</v>
      </c>
      <c r="E224" t="s">
        <v>631</v>
      </c>
      <c r="F224" s="117" t="s">
        <v>631</v>
      </c>
      <c r="G224" s="62" t="s">
        <v>406</v>
      </c>
      <c r="H224" s="60" t="str">
        <f>IF(Proc[[#This Row],[type]]="LFF (MDG-F)",MID(Proc[[#This Row],[Obj]],13,10),"")</f>
        <v>DE10533103</v>
      </c>
      <c r="I224" s="62" t="s">
        <v>1640</v>
      </c>
      <c r="J224" s="60" t="b">
        <f>Proc[[#This Row],[Requested]]=Proc[[#This Row],[CurrentParent]]</f>
        <v>1</v>
      </c>
      <c r="K224" s="144" t="str">
        <f>IF(Proc[[#This Row],[Author]]="Marcela Urrego",VLOOKUP(LEFT(Proc[[#This Row],[Requested]],1),Table3[#All],2,0),VLOOKUP(Proc[[#This Row],[Author]],Table4[],2,0))</f>
        <v>MGF</v>
      </c>
      <c r="L224" s="60" t="s">
        <v>509</v>
      </c>
      <c r="M224" s="71">
        <v>45671.398553240739</v>
      </c>
      <c r="N224" s="71">
        <v>45688</v>
      </c>
      <c r="O224" s="71">
        <v>45688</v>
      </c>
      <c r="P224" s="64" t="str">
        <f ca="1">IF(Proc[[#This Row],[DaysAgeing]]&gt;5,"yep","on track")</f>
        <v>yep</v>
      </c>
      <c r="Q224" s="3">
        <f ca="1">IF(Proc[[#This Row],[DateClosed]]="",ABS(NETWORKDAYS(Proc[[#This Row],[DateOpened]],TODAY()))-1,ABS(NETWORKDAYS(Proc[[#This Row],[DateOpened]],Proc[[#This Row],[DateClosed]]))-1)</f>
        <v>13</v>
      </c>
      <c r="R224" s="64" t="s">
        <v>549</v>
      </c>
      <c r="S224" s="60"/>
    </row>
    <row r="225" spans="1:19" hidden="1">
      <c r="A225" s="62" t="s">
        <v>1547</v>
      </c>
      <c r="B225" s="149" t="str">
        <f>IFERROR(VLOOKUP(Proc[[#This Row],[App]],Table2[],3,0),"open")</f>
        <v>ok</v>
      </c>
      <c r="C225" s="62" t="s">
        <v>369</v>
      </c>
      <c r="D225" t="s">
        <v>1539</v>
      </c>
      <c r="E225" t="s">
        <v>631</v>
      </c>
      <c r="F225" s="117" t="s">
        <v>631</v>
      </c>
      <c r="G225" s="62" t="s">
        <v>406</v>
      </c>
      <c r="H225" s="60" t="str">
        <f>IF(Proc[[#This Row],[type]]="LFF (MDG-F)",MID(Proc[[#This Row],[Obj]],13,10),"")</f>
        <v>DE10533104</v>
      </c>
      <c r="I225" s="62" t="s">
        <v>1640</v>
      </c>
      <c r="J225" s="60" t="b">
        <f>Proc[[#This Row],[Requested]]=Proc[[#This Row],[CurrentParent]]</f>
        <v>1</v>
      </c>
      <c r="K225" s="144" t="str">
        <f>IF(Proc[[#This Row],[Author]]="Marcela Urrego",VLOOKUP(LEFT(Proc[[#This Row],[Requested]],1),Table3[#All],2,0),VLOOKUP(Proc[[#This Row],[Author]],Table4[],2,0))</f>
        <v>MGF</v>
      </c>
      <c r="L225" s="60" t="s">
        <v>509</v>
      </c>
      <c r="M225" s="71">
        <v>45671.398553240739</v>
      </c>
      <c r="N225" s="71">
        <v>45688</v>
      </c>
      <c r="O225" s="71">
        <v>45688</v>
      </c>
      <c r="P225" s="64" t="str">
        <f ca="1">IF(Proc[[#This Row],[DaysAgeing]]&gt;5,"yep","on track")</f>
        <v>yep</v>
      </c>
      <c r="Q225" s="3">
        <f ca="1">IF(Proc[[#This Row],[DateClosed]]="",ABS(NETWORKDAYS(Proc[[#This Row],[DateOpened]],TODAY()))-1,ABS(NETWORKDAYS(Proc[[#This Row],[DateOpened]],Proc[[#This Row],[DateClosed]]))-1)</f>
        <v>13</v>
      </c>
      <c r="R225" s="64" t="s">
        <v>549</v>
      </c>
      <c r="S225" s="60"/>
    </row>
    <row r="226" spans="1:19" hidden="1">
      <c r="A226" s="62" t="s">
        <v>1547</v>
      </c>
      <c r="B226" s="149" t="str">
        <f>IFERROR(VLOOKUP(Proc[[#This Row],[App]],Table2[],3,0),"open")</f>
        <v>ok</v>
      </c>
      <c r="C226" s="62" t="s">
        <v>369</v>
      </c>
      <c r="D226" t="s">
        <v>1540</v>
      </c>
      <c r="E226" t="s">
        <v>631</v>
      </c>
      <c r="F226" s="117" t="s">
        <v>631</v>
      </c>
      <c r="G226" s="62" t="s">
        <v>406</v>
      </c>
      <c r="H226" s="60" t="str">
        <f>IF(Proc[[#This Row],[type]]="LFF (MDG-F)",MID(Proc[[#This Row],[Obj]],13,10),"")</f>
        <v>DE10533105</v>
      </c>
      <c r="I226" s="62" t="s">
        <v>1640</v>
      </c>
      <c r="J226" s="60" t="b">
        <f>Proc[[#This Row],[Requested]]=Proc[[#This Row],[CurrentParent]]</f>
        <v>1</v>
      </c>
      <c r="K226" s="144" t="str">
        <f>IF(Proc[[#This Row],[Author]]="Marcela Urrego",VLOOKUP(LEFT(Proc[[#This Row],[Requested]],1),Table3[#All],2,0),VLOOKUP(Proc[[#This Row],[Author]],Table4[],2,0))</f>
        <v>MGF</v>
      </c>
      <c r="L226" s="60" t="s">
        <v>509</v>
      </c>
      <c r="M226" s="71">
        <v>45671.398553240739</v>
      </c>
      <c r="N226" s="71">
        <v>45688</v>
      </c>
      <c r="O226" s="71">
        <v>45688</v>
      </c>
      <c r="P226" s="64" t="str">
        <f ca="1">IF(Proc[[#This Row],[DaysAgeing]]&gt;5,"yep","on track")</f>
        <v>yep</v>
      </c>
      <c r="Q226" s="3">
        <f ca="1">IF(Proc[[#This Row],[DateClosed]]="",ABS(NETWORKDAYS(Proc[[#This Row],[DateOpened]],TODAY()))-1,ABS(NETWORKDAYS(Proc[[#This Row],[DateOpened]],Proc[[#This Row],[DateClosed]]))-1)</f>
        <v>13</v>
      </c>
      <c r="R226" s="64" t="s">
        <v>549</v>
      </c>
      <c r="S226" s="60"/>
    </row>
    <row r="227" spans="1:19" hidden="1">
      <c r="A227" s="62" t="s">
        <v>1547</v>
      </c>
      <c r="B227" s="149" t="str">
        <f>IFERROR(VLOOKUP(Proc[[#This Row],[App]],Table2[],3,0),"open")</f>
        <v>ok</v>
      </c>
      <c r="C227" s="62" t="s">
        <v>369</v>
      </c>
      <c r="D227" t="s">
        <v>1541</v>
      </c>
      <c r="E227" t="s">
        <v>631</v>
      </c>
      <c r="F227" s="117" t="s">
        <v>631</v>
      </c>
      <c r="G227" s="62" t="s">
        <v>406</v>
      </c>
      <c r="H227" s="60" t="str">
        <f>IF(Proc[[#This Row],[type]]="LFF (MDG-F)",MID(Proc[[#This Row],[Obj]],13,10),"")</f>
        <v>DE10533106</v>
      </c>
      <c r="I227" s="62" t="s">
        <v>1640</v>
      </c>
      <c r="J227" s="60" t="b">
        <f>Proc[[#This Row],[Requested]]=Proc[[#This Row],[CurrentParent]]</f>
        <v>1</v>
      </c>
      <c r="K227" s="144" t="str">
        <f>IF(Proc[[#This Row],[Author]]="Marcela Urrego",VLOOKUP(LEFT(Proc[[#This Row],[Requested]],1),Table3[#All],2,0),VLOOKUP(Proc[[#This Row],[Author]],Table4[],2,0))</f>
        <v>MGF</v>
      </c>
      <c r="L227" s="60" t="s">
        <v>509</v>
      </c>
      <c r="M227" s="71">
        <v>45671.398553240739</v>
      </c>
      <c r="N227" s="71">
        <v>45688</v>
      </c>
      <c r="O227" s="71">
        <v>45688</v>
      </c>
      <c r="P227" s="64" t="str">
        <f ca="1">IF(Proc[[#This Row],[DaysAgeing]]&gt;5,"yep","on track")</f>
        <v>yep</v>
      </c>
      <c r="Q227" s="3">
        <f ca="1">IF(Proc[[#This Row],[DateClosed]]="",ABS(NETWORKDAYS(Proc[[#This Row],[DateOpened]],TODAY()))-1,ABS(NETWORKDAYS(Proc[[#This Row],[DateOpened]],Proc[[#This Row],[DateClosed]]))-1)</f>
        <v>13</v>
      </c>
      <c r="R227" s="64" t="s">
        <v>549</v>
      </c>
      <c r="S227" s="60"/>
    </row>
    <row r="228" spans="1:19" hidden="1">
      <c r="A228" s="62" t="s">
        <v>1547</v>
      </c>
      <c r="B228" s="149" t="str">
        <f>IFERROR(VLOOKUP(Proc[[#This Row],[App]],Table2[],3,0),"open")</f>
        <v>ok</v>
      </c>
      <c r="C228" s="62" t="s">
        <v>377</v>
      </c>
      <c r="D228" t="s">
        <v>455</v>
      </c>
      <c r="E228" t="s">
        <v>631</v>
      </c>
      <c r="F228" s="103" t="s">
        <v>631</v>
      </c>
      <c r="G228" s="62" t="s">
        <v>406</v>
      </c>
      <c r="H228" s="60" t="str">
        <f>IF(Proc[[#This Row],[type]]="LFF (MDG-F)",MID(Proc[[#This Row],[Obj]],13,10),"")</f>
        <v>DE10533107</v>
      </c>
      <c r="I228" s="62" t="s">
        <v>446</v>
      </c>
      <c r="J228" s="60" t="b">
        <f>Proc[[#This Row],[Requested]]=Proc[[#This Row],[CurrentParent]]</f>
        <v>1</v>
      </c>
      <c r="K228" s="144" t="str">
        <f>IF(Proc[[#This Row],[Author]]="Marcela Urrego",VLOOKUP(LEFT(Proc[[#This Row],[Requested]],1),Table3[#All],2,0),VLOOKUP(Proc[[#This Row],[Author]],Table4[],2,0))</f>
        <v>MGF</v>
      </c>
      <c r="L228" s="60" t="s">
        <v>509</v>
      </c>
      <c r="M228" s="71">
        <v>45671.398553240739</v>
      </c>
      <c r="O228" s="71">
        <v>45688</v>
      </c>
      <c r="P228" s="64" t="str">
        <f ca="1">IF(Proc[[#This Row],[DaysAgeing]]&gt;5,"yep","on track")</f>
        <v>yep</v>
      </c>
      <c r="Q228" s="3">
        <f ca="1">IF(Proc[[#This Row],[DateClosed]]="",ABS(NETWORKDAYS(Proc[[#This Row],[DateOpened]],TODAY()))-1,ABS(NETWORKDAYS(Proc[[#This Row],[DateOpened]],Proc[[#This Row],[DateClosed]]))-1)</f>
        <v>13</v>
      </c>
      <c r="R228" s="64" t="s">
        <v>549</v>
      </c>
      <c r="S228" s="94" t="e">
        <f>VLOOKUP(Proc[[#This Row],[Obj]],#REF!,2,0)</f>
        <v>#REF!</v>
      </c>
    </row>
    <row r="229" spans="1:19" hidden="1">
      <c r="A229" s="62" t="s">
        <v>1547</v>
      </c>
      <c r="B229" s="149" t="str">
        <f>IFERROR(VLOOKUP(Proc[[#This Row],[App]],Table2[],3,0),"open")</f>
        <v>ok</v>
      </c>
      <c r="C229" s="62" t="s">
        <v>369</v>
      </c>
      <c r="D229" t="s">
        <v>1542</v>
      </c>
      <c r="E229" t="s">
        <v>631</v>
      </c>
      <c r="F229" s="117" t="s">
        <v>631</v>
      </c>
      <c r="G229" s="62" t="s">
        <v>406</v>
      </c>
      <c r="H229" s="60" t="str">
        <f>IF(Proc[[#This Row],[type]]="LFF (MDG-F)",MID(Proc[[#This Row],[Obj]],13,10),"")</f>
        <v>DE10533108</v>
      </c>
      <c r="I229" s="62" t="s">
        <v>1640</v>
      </c>
      <c r="J229" s="60" t="b">
        <f>Proc[[#This Row],[Requested]]=Proc[[#This Row],[CurrentParent]]</f>
        <v>1</v>
      </c>
      <c r="K229" s="144" t="str">
        <f>IF(Proc[[#This Row],[Author]]="Marcela Urrego",VLOOKUP(LEFT(Proc[[#This Row],[Requested]],1),Table3[#All],2,0),VLOOKUP(Proc[[#This Row],[Author]],Table4[],2,0))</f>
        <v>MGF</v>
      </c>
      <c r="L229" s="60" t="s">
        <v>509</v>
      </c>
      <c r="M229" s="71">
        <v>45671.398553240739</v>
      </c>
      <c r="N229" s="71">
        <v>45688</v>
      </c>
      <c r="O229" s="71">
        <v>45688</v>
      </c>
      <c r="P229" s="64" t="str">
        <f ca="1">IF(Proc[[#This Row],[DaysAgeing]]&gt;5,"yep","on track")</f>
        <v>yep</v>
      </c>
      <c r="Q229" s="3">
        <f ca="1">IF(Proc[[#This Row],[DateClosed]]="",ABS(NETWORKDAYS(Proc[[#This Row],[DateOpened]],TODAY()))-1,ABS(NETWORKDAYS(Proc[[#This Row],[DateOpened]],Proc[[#This Row],[DateClosed]]))-1)</f>
        <v>13</v>
      </c>
      <c r="R229" s="64" t="s">
        <v>549</v>
      </c>
      <c r="S229" s="60"/>
    </row>
    <row r="230" spans="1:19" hidden="1">
      <c r="A230" s="62" t="s">
        <v>1547</v>
      </c>
      <c r="B230" s="149" t="str">
        <f>IFERROR(VLOOKUP(Proc[[#This Row],[App]],Table2[],3,0),"open")</f>
        <v>ok</v>
      </c>
      <c r="C230" s="62" t="s">
        <v>377</v>
      </c>
      <c r="D230" t="s">
        <v>456</v>
      </c>
      <c r="E230" t="s">
        <v>631</v>
      </c>
      <c r="F230" s="103" t="s">
        <v>631</v>
      </c>
      <c r="G230" s="62" t="s">
        <v>406</v>
      </c>
      <c r="H230" s="60" t="str">
        <f>IF(Proc[[#This Row],[type]]="LFF (MDG-F)",MID(Proc[[#This Row],[Obj]],13,10),"")</f>
        <v>DE10533109</v>
      </c>
      <c r="I230" s="62" t="s">
        <v>446</v>
      </c>
      <c r="J230" s="60" t="b">
        <f>Proc[[#This Row],[Requested]]=Proc[[#This Row],[CurrentParent]]</f>
        <v>1</v>
      </c>
      <c r="K230" s="144" t="str">
        <f>IF(Proc[[#This Row],[Author]]="Marcela Urrego",VLOOKUP(LEFT(Proc[[#This Row],[Requested]],1),Table3[#All],2,0),VLOOKUP(Proc[[#This Row],[Author]],Table4[],2,0))</f>
        <v>MGF</v>
      </c>
      <c r="L230" s="60" t="s">
        <v>509</v>
      </c>
      <c r="M230" s="71">
        <v>45671.398553240739</v>
      </c>
      <c r="O230" s="71">
        <v>45688</v>
      </c>
      <c r="P230" s="64" t="str">
        <f ca="1">IF(Proc[[#This Row],[DaysAgeing]]&gt;5,"yep","on track")</f>
        <v>yep</v>
      </c>
      <c r="Q230" s="3">
        <f ca="1">IF(Proc[[#This Row],[DateClosed]]="",ABS(NETWORKDAYS(Proc[[#This Row],[DateOpened]],TODAY()))-1,ABS(NETWORKDAYS(Proc[[#This Row],[DateOpened]],Proc[[#This Row],[DateClosed]]))-1)</f>
        <v>13</v>
      </c>
      <c r="R230" s="64" t="s">
        <v>549</v>
      </c>
      <c r="S230" s="94" t="e">
        <f>VLOOKUP(Proc[[#This Row],[Obj]],#REF!,2,0)</f>
        <v>#REF!</v>
      </c>
    </row>
    <row r="231" spans="1:19" hidden="1">
      <c r="A231" s="62" t="s">
        <v>1547</v>
      </c>
      <c r="B231" s="149" t="str">
        <f>IFERROR(VLOOKUP(Proc[[#This Row],[App]],Table2[],3,0),"open")</f>
        <v>ok</v>
      </c>
      <c r="C231" s="62" t="s">
        <v>369</v>
      </c>
      <c r="D231" t="s">
        <v>1543</v>
      </c>
      <c r="E231" t="s">
        <v>631</v>
      </c>
      <c r="F231" s="117" t="s">
        <v>631</v>
      </c>
      <c r="G231" s="62" t="s">
        <v>406</v>
      </c>
      <c r="H231" s="60" t="str">
        <f>IF(Proc[[#This Row],[type]]="LFF (MDG-F)",MID(Proc[[#This Row],[Obj]],13,10),"")</f>
        <v>DE10533110</v>
      </c>
      <c r="I231" s="62" t="s">
        <v>1640</v>
      </c>
      <c r="J231" s="60" t="b">
        <f>Proc[[#This Row],[Requested]]=Proc[[#This Row],[CurrentParent]]</f>
        <v>1</v>
      </c>
      <c r="K231" s="144" t="str">
        <f>IF(Proc[[#This Row],[Author]]="Marcela Urrego",VLOOKUP(LEFT(Proc[[#This Row],[Requested]],1),Table3[#All],2,0),VLOOKUP(Proc[[#This Row],[Author]],Table4[],2,0))</f>
        <v>MGF</v>
      </c>
      <c r="L231" s="60" t="s">
        <v>509</v>
      </c>
      <c r="M231" s="71">
        <v>45671.398553240739</v>
      </c>
      <c r="N231" s="71">
        <v>45688</v>
      </c>
      <c r="O231" s="71">
        <v>45688</v>
      </c>
      <c r="P231" s="64" t="str">
        <f ca="1">IF(Proc[[#This Row],[DaysAgeing]]&gt;5,"yep","on track")</f>
        <v>yep</v>
      </c>
      <c r="Q231" s="3">
        <f ca="1">IF(Proc[[#This Row],[DateClosed]]="",ABS(NETWORKDAYS(Proc[[#This Row],[DateOpened]],TODAY()))-1,ABS(NETWORKDAYS(Proc[[#This Row],[DateOpened]],Proc[[#This Row],[DateClosed]]))-1)</f>
        <v>13</v>
      </c>
      <c r="R231" s="64" t="s">
        <v>549</v>
      </c>
      <c r="S231" s="60"/>
    </row>
    <row r="232" spans="1:19" hidden="1">
      <c r="A232" s="62" t="s">
        <v>1547</v>
      </c>
      <c r="B232" s="149" t="str">
        <f>IFERROR(VLOOKUP(Proc[[#This Row],[App]],Table2[],3,0),"open")</f>
        <v>ok</v>
      </c>
      <c r="C232" s="62" t="s">
        <v>369</v>
      </c>
      <c r="D232" t="s">
        <v>1544</v>
      </c>
      <c r="E232" t="s">
        <v>631</v>
      </c>
      <c r="F232" s="117" t="s">
        <v>631</v>
      </c>
      <c r="G232" s="62" t="s">
        <v>406</v>
      </c>
      <c r="H232" s="60" t="str">
        <f>IF(Proc[[#This Row],[type]]="LFF (MDG-F)",MID(Proc[[#This Row],[Obj]],13,10),"")</f>
        <v>DE10533111</v>
      </c>
      <c r="I232" s="62" t="s">
        <v>1640</v>
      </c>
      <c r="J232" s="60" t="b">
        <f>Proc[[#This Row],[Requested]]=Proc[[#This Row],[CurrentParent]]</f>
        <v>1</v>
      </c>
      <c r="K232" s="144" t="str">
        <f>IF(Proc[[#This Row],[Author]]="Marcela Urrego",VLOOKUP(LEFT(Proc[[#This Row],[Requested]],1),Table3[#All],2,0),VLOOKUP(Proc[[#This Row],[Author]],Table4[],2,0))</f>
        <v>MGF</v>
      </c>
      <c r="L232" s="60" t="s">
        <v>509</v>
      </c>
      <c r="M232" s="71">
        <v>45671.398553240739</v>
      </c>
      <c r="N232" s="71">
        <v>45688</v>
      </c>
      <c r="O232" s="71">
        <v>45688</v>
      </c>
      <c r="P232" s="64" t="str">
        <f ca="1">IF(Proc[[#This Row],[DaysAgeing]]&gt;5,"yep","on track")</f>
        <v>yep</v>
      </c>
      <c r="Q232" s="3">
        <f ca="1">IF(Proc[[#This Row],[DateClosed]]="",ABS(NETWORKDAYS(Proc[[#This Row],[DateOpened]],TODAY()))-1,ABS(NETWORKDAYS(Proc[[#This Row],[DateOpened]],Proc[[#This Row],[DateClosed]]))-1)</f>
        <v>13</v>
      </c>
      <c r="R232" s="64" t="s">
        <v>549</v>
      </c>
      <c r="S232" s="60"/>
    </row>
    <row r="233" spans="1:19" hidden="1">
      <c r="A233" s="62" t="s">
        <v>1547</v>
      </c>
      <c r="B233" s="149" t="str">
        <f>IFERROR(VLOOKUP(Proc[[#This Row],[App]],Table2[],3,0),"open")</f>
        <v>ok</v>
      </c>
      <c r="C233" s="62" t="s">
        <v>369</v>
      </c>
      <c r="D233" t="s">
        <v>1545</v>
      </c>
      <c r="E233" t="s">
        <v>631</v>
      </c>
      <c r="F233" s="117" t="s">
        <v>631</v>
      </c>
      <c r="G233" s="62" t="s">
        <v>406</v>
      </c>
      <c r="H233" s="60" t="str">
        <f>IF(Proc[[#This Row],[type]]="LFF (MDG-F)",MID(Proc[[#This Row],[Obj]],13,10),"")</f>
        <v>DE10533112</v>
      </c>
      <c r="I233" s="62" t="s">
        <v>1640</v>
      </c>
      <c r="J233" s="60" t="b">
        <f>Proc[[#This Row],[Requested]]=Proc[[#This Row],[CurrentParent]]</f>
        <v>1</v>
      </c>
      <c r="K233" s="144" t="str">
        <f>IF(Proc[[#This Row],[Author]]="Marcela Urrego",VLOOKUP(LEFT(Proc[[#This Row],[Requested]],1),Table3[#All],2,0),VLOOKUP(Proc[[#This Row],[Author]],Table4[],2,0))</f>
        <v>MGF</v>
      </c>
      <c r="L233" s="60" t="s">
        <v>509</v>
      </c>
      <c r="M233" s="71">
        <v>45671.398553240739</v>
      </c>
      <c r="N233" s="71">
        <v>45688</v>
      </c>
      <c r="O233" s="71">
        <v>45688</v>
      </c>
      <c r="P233" s="64" t="str">
        <f ca="1">IF(Proc[[#This Row],[DaysAgeing]]&gt;5,"yep","on track")</f>
        <v>yep</v>
      </c>
      <c r="Q233" s="3">
        <f ca="1">IF(Proc[[#This Row],[DateClosed]]="",ABS(NETWORKDAYS(Proc[[#This Row],[DateOpened]],TODAY()))-1,ABS(NETWORKDAYS(Proc[[#This Row],[DateOpened]],Proc[[#This Row],[DateClosed]]))-1)</f>
        <v>13</v>
      </c>
      <c r="R233" s="64" t="s">
        <v>549</v>
      </c>
      <c r="S233" s="60"/>
    </row>
    <row r="234" spans="1:19" hidden="1">
      <c r="A234" s="62" t="s">
        <v>1547</v>
      </c>
      <c r="B234" s="149" t="str">
        <f>IFERROR(VLOOKUP(Proc[[#This Row],[App]],Table2[],3,0),"open")</f>
        <v>ok</v>
      </c>
      <c r="C234" s="62" t="s">
        <v>377</v>
      </c>
      <c r="D234" t="s">
        <v>1546</v>
      </c>
      <c r="E234" t="s">
        <v>631</v>
      </c>
      <c r="F234" s="103" t="s">
        <v>631</v>
      </c>
      <c r="G234" s="62" t="s">
        <v>406</v>
      </c>
      <c r="H234" s="60" t="str">
        <f>IF(Proc[[#This Row],[type]]="LFF (MDG-F)",MID(Proc[[#This Row],[Obj]],13,10),"")</f>
        <v>DE10533113</v>
      </c>
      <c r="I234" s="62" t="s">
        <v>446</v>
      </c>
      <c r="J234" s="60" t="b">
        <f>Proc[[#This Row],[Requested]]=Proc[[#This Row],[CurrentParent]]</f>
        <v>1</v>
      </c>
      <c r="K234" s="144" t="str">
        <f>IF(Proc[[#This Row],[Author]]="Marcela Urrego",VLOOKUP(LEFT(Proc[[#This Row],[Requested]],1),Table3[#All],2,0),VLOOKUP(Proc[[#This Row],[Author]],Table4[],2,0))</f>
        <v>MGF</v>
      </c>
      <c r="L234" s="60" t="s">
        <v>509</v>
      </c>
      <c r="M234" s="71">
        <v>45671.398553240739</v>
      </c>
      <c r="O234" s="71">
        <v>45688</v>
      </c>
      <c r="P234" s="64" t="str">
        <f ca="1">IF(Proc[[#This Row],[DaysAgeing]]&gt;5,"yep","on track")</f>
        <v>yep</v>
      </c>
      <c r="Q234" s="3">
        <f ca="1">IF(Proc[[#This Row],[DateClosed]]="",ABS(NETWORKDAYS(Proc[[#This Row],[DateOpened]],TODAY()))-1,ABS(NETWORKDAYS(Proc[[#This Row],[DateOpened]],Proc[[#This Row],[DateClosed]]))-1)</f>
        <v>13</v>
      </c>
      <c r="R234" s="64" t="s">
        <v>549</v>
      </c>
      <c r="S234" s="94" t="e">
        <f>VLOOKUP(Proc[[#This Row],[Obj]],#REF!,2,0)</f>
        <v>#REF!</v>
      </c>
    </row>
    <row r="235" spans="1:19" hidden="1">
      <c r="A235" t="s">
        <v>1558</v>
      </c>
      <c r="B235" s="149" t="str">
        <f>IFERROR(VLOOKUP(Proc[[#This Row],[App]],Table2[],3,0),"open")</f>
        <v>ok</v>
      </c>
      <c r="C235" t="s">
        <v>369</v>
      </c>
      <c r="D235" t="s">
        <v>1548</v>
      </c>
      <c r="E235" t="s">
        <v>419</v>
      </c>
      <c r="F235" s="117" t="s">
        <v>419</v>
      </c>
      <c r="G235" t="s">
        <v>400</v>
      </c>
      <c r="H235" s="60" t="str">
        <f>IF(Proc[[#This Row],[type]]="LFF (MDG-F)",MID(Proc[[#This Row],[Obj]],13,10),"")</f>
        <v/>
      </c>
      <c r="I235" s="62" t="s">
        <v>1639</v>
      </c>
      <c r="J235" s="60" t="b">
        <f>Proc[[#This Row],[Requested]]=Proc[[#This Row],[CurrentParent]]</f>
        <v>1</v>
      </c>
      <c r="K235" s="144" t="str">
        <f>IF(Proc[[#This Row],[Author]]="Marcela Urrego",VLOOKUP(LEFT(Proc[[#This Row],[Requested]],1),Table3[#All],2,0),VLOOKUP(Proc[[#This Row],[Author]],Table4[],2,0))</f>
        <v>MGF</v>
      </c>
      <c r="L235" s="60" t="s">
        <v>509</v>
      </c>
      <c r="M235" s="71">
        <v>45672.564884259256</v>
      </c>
      <c r="N235" s="71">
        <v>45688</v>
      </c>
      <c r="O235" s="71">
        <v>45688</v>
      </c>
      <c r="P235" s="64" t="str">
        <f ca="1">IF(Proc[[#This Row],[DaysAgeing]]&gt;5,"yep","on track")</f>
        <v>yep</v>
      </c>
      <c r="Q235" s="3">
        <f ca="1">IF(Proc[[#This Row],[DateClosed]]="",ABS(NETWORKDAYS(Proc[[#This Row],[DateOpened]],TODAY()))-1,ABS(NETWORKDAYS(Proc[[#This Row],[DateOpened]],Proc[[#This Row],[DateClosed]]))-1)</f>
        <v>12</v>
      </c>
      <c r="R235" s="64" t="s">
        <v>1076</v>
      </c>
      <c r="S235" s="60"/>
    </row>
    <row r="236" spans="1:19" hidden="1">
      <c r="A236" s="62" t="s">
        <v>1558</v>
      </c>
      <c r="B236" s="149" t="str">
        <f>IFERROR(VLOOKUP(Proc[[#This Row],[App]],Table2[],3,0),"open")</f>
        <v>ok</v>
      </c>
      <c r="C236" s="62" t="s">
        <v>369</v>
      </c>
      <c r="D236" t="s">
        <v>1549</v>
      </c>
      <c r="E236" t="s">
        <v>419</v>
      </c>
      <c r="F236" s="117" t="s">
        <v>419</v>
      </c>
      <c r="G236" s="62" t="s">
        <v>400</v>
      </c>
      <c r="H236" s="60" t="str">
        <f>IF(Proc[[#This Row],[type]]="LFF (MDG-F)",MID(Proc[[#This Row],[Obj]],13,10),"")</f>
        <v/>
      </c>
      <c r="I236" s="62" t="s">
        <v>1639</v>
      </c>
      <c r="J236" s="60" t="b">
        <f>Proc[[#This Row],[Requested]]=Proc[[#This Row],[CurrentParent]]</f>
        <v>1</v>
      </c>
      <c r="K236" s="144" t="str">
        <f>IF(Proc[[#This Row],[Author]]="Marcela Urrego",VLOOKUP(LEFT(Proc[[#This Row],[Requested]],1),Table3[#All],2,0),VLOOKUP(Proc[[#This Row],[Author]],Table4[],2,0))</f>
        <v>MGF</v>
      </c>
      <c r="L236" s="60" t="s">
        <v>509</v>
      </c>
      <c r="M236" s="71">
        <v>45672.564884259256</v>
      </c>
      <c r="N236" s="71">
        <v>45688</v>
      </c>
      <c r="O236" s="71">
        <v>45688</v>
      </c>
      <c r="P236" s="64" t="str">
        <f ca="1">IF(Proc[[#This Row],[DaysAgeing]]&gt;5,"yep","on track")</f>
        <v>yep</v>
      </c>
      <c r="Q236" s="3">
        <f ca="1">IF(Proc[[#This Row],[DateClosed]]="",ABS(NETWORKDAYS(Proc[[#This Row],[DateOpened]],TODAY()))-1,ABS(NETWORKDAYS(Proc[[#This Row],[DateOpened]],Proc[[#This Row],[DateClosed]]))-1)</f>
        <v>12</v>
      </c>
      <c r="R236" s="64" t="s">
        <v>1076</v>
      </c>
      <c r="S236" s="60"/>
    </row>
    <row r="237" spans="1:19" hidden="1">
      <c r="A237" s="62" t="s">
        <v>1558</v>
      </c>
      <c r="B237" s="149" t="str">
        <f>IFERROR(VLOOKUP(Proc[[#This Row],[App]],Table2[],3,0),"open")</f>
        <v>ok</v>
      </c>
      <c r="C237" s="62" t="s">
        <v>369</v>
      </c>
      <c r="D237" t="s">
        <v>1550</v>
      </c>
      <c r="E237" t="s">
        <v>418</v>
      </c>
      <c r="F237" s="117" t="s">
        <v>418</v>
      </c>
      <c r="G237" s="62" t="s">
        <v>400</v>
      </c>
      <c r="H237" s="60" t="str">
        <f>IF(Proc[[#This Row],[type]]="LFF (MDG-F)",MID(Proc[[#This Row],[Obj]],13,10),"")</f>
        <v/>
      </c>
      <c r="I237" s="62" t="s">
        <v>1639</v>
      </c>
      <c r="J237" s="60" t="b">
        <f>Proc[[#This Row],[Requested]]=Proc[[#This Row],[CurrentParent]]</f>
        <v>1</v>
      </c>
      <c r="K237" s="144" t="str">
        <f>IF(Proc[[#This Row],[Author]]="Marcela Urrego",VLOOKUP(LEFT(Proc[[#This Row],[Requested]],1),Table3[#All],2,0),VLOOKUP(Proc[[#This Row],[Author]],Table4[],2,0))</f>
        <v>MGF</v>
      </c>
      <c r="L237" s="60" t="s">
        <v>509</v>
      </c>
      <c r="M237" s="71">
        <v>45672.564884259256</v>
      </c>
      <c r="N237" s="71">
        <v>45688</v>
      </c>
      <c r="O237" s="71">
        <v>45688</v>
      </c>
      <c r="P237" s="64" t="str">
        <f ca="1">IF(Proc[[#This Row],[DaysAgeing]]&gt;5,"yep","on track")</f>
        <v>yep</v>
      </c>
      <c r="Q237" s="3">
        <f ca="1">IF(Proc[[#This Row],[DateClosed]]="",ABS(NETWORKDAYS(Proc[[#This Row],[DateOpened]],TODAY()))-1,ABS(NETWORKDAYS(Proc[[#This Row],[DateOpened]],Proc[[#This Row],[DateClosed]]))-1)</f>
        <v>12</v>
      </c>
      <c r="R237" s="64" t="s">
        <v>1076</v>
      </c>
      <c r="S237" s="60"/>
    </row>
    <row r="238" spans="1:19" hidden="1">
      <c r="A238" s="62" t="s">
        <v>1558</v>
      </c>
      <c r="B238" s="149" t="str">
        <f>IFERROR(VLOOKUP(Proc[[#This Row],[App]],Table2[],3,0),"open")</f>
        <v>ok</v>
      </c>
      <c r="C238" s="62" t="s">
        <v>369</v>
      </c>
      <c r="D238" t="s">
        <v>1551</v>
      </c>
      <c r="E238" t="s">
        <v>756</v>
      </c>
      <c r="F238" s="117" t="s">
        <v>756</v>
      </c>
      <c r="G238" s="62" t="s">
        <v>400</v>
      </c>
      <c r="H238" s="60" t="str">
        <f>IF(Proc[[#This Row],[type]]="LFF (MDG-F)",MID(Proc[[#This Row],[Obj]],13,10),"")</f>
        <v/>
      </c>
      <c r="I238" s="62" t="s">
        <v>1639</v>
      </c>
      <c r="J238" s="60" t="b">
        <f>Proc[[#This Row],[Requested]]=Proc[[#This Row],[CurrentParent]]</f>
        <v>1</v>
      </c>
      <c r="K238" s="144" t="str">
        <f>IF(Proc[[#This Row],[Author]]="Marcela Urrego",VLOOKUP(LEFT(Proc[[#This Row],[Requested]],1),Table3[#All],2,0),VLOOKUP(Proc[[#This Row],[Author]],Table4[],2,0))</f>
        <v>MGF</v>
      </c>
      <c r="L238" s="60" t="s">
        <v>509</v>
      </c>
      <c r="M238" s="71">
        <v>45672.564884259256</v>
      </c>
      <c r="N238" s="71">
        <v>45688</v>
      </c>
      <c r="O238" s="71">
        <v>45688</v>
      </c>
      <c r="P238" s="64" t="str">
        <f ca="1">IF(Proc[[#This Row],[DaysAgeing]]&gt;5,"yep","on track")</f>
        <v>yep</v>
      </c>
      <c r="Q238" s="3">
        <f ca="1">IF(Proc[[#This Row],[DateClosed]]="",ABS(NETWORKDAYS(Proc[[#This Row],[DateOpened]],TODAY()))-1,ABS(NETWORKDAYS(Proc[[#This Row],[DateOpened]],Proc[[#This Row],[DateClosed]]))-1)</f>
        <v>12</v>
      </c>
      <c r="R238" s="64" t="s">
        <v>1076</v>
      </c>
      <c r="S238" s="60"/>
    </row>
    <row r="239" spans="1:19" hidden="1">
      <c r="A239" s="62" t="s">
        <v>1558</v>
      </c>
      <c r="B239" s="149" t="str">
        <f>IFERROR(VLOOKUP(Proc[[#This Row],[App]],Table2[],3,0),"open")</f>
        <v>ok</v>
      </c>
      <c r="C239" s="62" t="s">
        <v>369</v>
      </c>
      <c r="D239" t="s">
        <v>1552</v>
      </c>
      <c r="E239" t="s">
        <v>419</v>
      </c>
      <c r="F239" s="117" t="s">
        <v>419</v>
      </c>
      <c r="G239" s="62" t="s">
        <v>400</v>
      </c>
      <c r="H239" s="60" t="str">
        <f>IF(Proc[[#This Row],[type]]="LFF (MDG-F)",MID(Proc[[#This Row],[Obj]],13,10),"")</f>
        <v/>
      </c>
      <c r="I239" t="s">
        <v>1638</v>
      </c>
      <c r="J239" s="60" t="b">
        <f>Proc[[#This Row],[Requested]]=Proc[[#This Row],[CurrentParent]]</f>
        <v>1</v>
      </c>
      <c r="K239" s="144" t="str">
        <f>IF(Proc[[#This Row],[Author]]="Marcela Urrego",VLOOKUP(LEFT(Proc[[#This Row],[Requested]],1),Table3[#All],2,0),VLOOKUP(Proc[[#This Row],[Author]],Table4[],2,0))</f>
        <v>MGF</v>
      </c>
      <c r="L239" s="60" t="s">
        <v>509</v>
      </c>
      <c r="M239" s="71">
        <v>45672.564884259256</v>
      </c>
      <c r="N239" s="71">
        <v>45688</v>
      </c>
      <c r="O239" s="71">
        <v>45688</v>
      </c>
      <c r="P239" s="64" t="str">
        <f ca="1">IF(Proc[[#This Row],[DaysAgeing]]&gt;5,"yep","on track")</f>
        <v>yep</v>
      </c>
      <c r="Q239" s="3">
        <f ca="1">IF(Proc[[#This Row],[DateClosed]]="",ABS(NETWORKDAYS(Proc[[#This Row],[DateOpened]],TODAY()))-1,ABS(NETWORKDAYS(Proc[[#This Row],[DateOpened]],Proc[[#This Row],[DateClosed]]))-1)</f>
        <v>12</v>
      </c>
      <c r="R239" s="64" t="s">
        <v>1076</v>
      </c>
      <c r="S239" s="60"/>
    </row>
    <row r="240" spans="1:19" hidden="1">
      <c r="A240" s="62" t="s">
        <v>1558</v>
      </c>
      <c r="B240" s="149" t="str">
        <f>IFERROR(VLOOKUP(Proc[[#This Row],[App]],Table2[],3,0),"open")</f>
        <v>ok</v>
      </c>
      <c r="C240" s="62" t="s">
        <v>369</v>
      </c>
      <c r="D240" t="s">
        <v>1553</v>
      </c>
      <c r="E240" t="s">
        <v>419</v>
      </c>
      <c r="F240" s="117" t="s">
        <v>419</v>
      </c>
      <c r="G240" s="62" t="s">
        <v>400</v>
      </c>
      <c r="H240" s="60" t="str">
        <f>IF(Proc[[#This Row],[type]]="LFF (MDG-F)",MID(Proc[[#This Row],[Obj]],13,10),"")</f>
        <v/>
      </c>
      <c r="I240" s="62" t="s">
        <v>1638</v>
      </c>
      <c r="J240" s="60" t="b">
        <f>Proc[[#This Row],[Requested]]=Proc[[#This Row],[CurrentParent]]</f>
        <v>1</v>
      </c>
      <c r="K240" s="144" t="str">
        <f>IF(Proc[[#This Row],[Author]]="Marcela Urrego",VLOOKUP(LEFT(Proc[[#This Row],[Requested]],1),Table3[#All],2,0),VLOOKUP(Proc[[#This Row],[Author]],Table4[],2,0))</f>
        <v>MGF</v>
      </c>
      <c r="L240" s="60" t="s">
        <v>509</v>
      </c>
      <c r="M240" s="71">
        <v>45672.564884259256</v>
      </c>
      <c r="N240" s="71">
        <v>45688</v>
      </c>
      <c r="O240" s="71">
        <v>45688</v>
      </c>
      <c r="P240" s="64" t="str">
        <f ca="1">IF(Proc[[#This Row],[DaysAgeing]]&gt;5,"yep","on track")</f>
        <v>yep</v>
      </c>
      <c r="Q240" s="3">
        <f ca="1">IF(Proc[[#This Row],[DateClosed]]="",ABS(NETWORKDAYS(Proc[[#This Row],[DateOpened]],TODAY()))-1,ABS(NETWORKDAYS(Proc[[#This Row],[DateOpened]],Proc[[#This Row],[DateClosed]]))-1)</f>
        <v>12</v>
      </c>
      <c r="R240" s="64" t="s">
        <v>1076</v>
      </c>
      <c r="S240" s="60"/>
    </row>
    <row r="241" spans="1:19" hidden="1">
      <c r="A241" s="62" t="s">
        <v>1558</v>
      </c>
      <c r="B241" s="149" t="str">
        <f>IFERROR(VLOOKUP(Proc[[#This Row],[App]],Table2[],3,0),"open")</f>
        <v>ok</v>
      </c>
      <c r="C241" s="62" t="s">
        <v>369</v>
      </c>
      <c r="D241" t="s">
        <v>1554</v>
      </c>
      <c r="E241" t="s">
        <v>418</v>
      </c>
      <c r="F241" s="117" t="s">
        <v>418</v>
      </c>
      <c r="G241" s="62" t="s">
        <v>400</v>
      </c>
      <c r="H241" s="60" t="str">
        <f>IF(Proc[[#This Row],[type]]="LFF (MDG-F)",MID(Proc[[#This Row],[Obj]],13,10),"")</f>
        <v/>
      </c>
      <c r="I241" s="62" t="s">
        <v>1638</v>
      </c>
      <c r="J241" s="60" t="b">
        <f>Proc[[#This Row],[Requested]]=Proc[[#This Row],[CurrentParent]]</f>
        <v>1</v>
      </c>
      <c r="K241" s="144" t="str">
        <f>IF(Proc[[#This Row],[Author]]="Marcela Urrego",VLOOKUP(LEFT(Proc[[#This Row],[Requested]],1),Table3[#All],2,0),VLOOKUP(Proc[[#This Row],[Author]],Table4[],2,0))</f>
        <v>MGF</v>
      </c>
      <c r="L241" s="60" t="s">
        <v>509</v>
      </c>
      <c r="M241" s="71">
        <v>45672.564884259256</v>
      </c>
      <c r="N241" s="71">
        <v>45688</v>
      </c>
      <c r="O241" s="71">
        <v>45688</v>
      </c>
      <c r="P241" s="64" t="str">
        <f ca="1">IF(Proc[[#This Row],[DaysAgeing]]&gt;5,"yep","on track")</f>
        <v>yep</v>
      </c>
      <c r="Q241" s="3">
        <f ca="1">IF(Proc[[#This Row],[DateClosed]]="",ABS(NETWORKDAYS(Proc[[#This Row],[DateOpened]],TODAY()))-1,ABS(NETWORKDAYS(Proc[[#This Row],[DateOpened]],Proc[[#This Row],[DateClosed]]))-1)</f>
        <v>12</v>
      </c>
      <c r="R241" s="64" t="s">
        <v>1076</v>
      </c>
      <c r="S241" s="60"/>
    </row>
    <row r="242" spans="1:19" hidden="1">
      <c r="A242" s="62" t="s">
        <v>1558</v>
      </c>
      <c r="B242" s="149" t="str">
        <f>IFERROR(VLOOKUP(Proc[[#This Row],[App]],Table2[],3,0),"open")</f>
        <v>ok</v>
      </c>
      <c r="C242" s="62" t="s">
        <v>369</v>
      </c>
      <c r="D242" t="s">
        <v>1555</v>
      </c>
      <c r="E242" t="s">
        <v>418</v>
      </c>
      <c r="F242" s="117" t="s">
        <v>418</v>
      </c>
      <c r="G242" s="62" t="s">
        <v>400</v>
      </c>
      <c r="H242" s="60" t="str">
        <f>IF(Proc[[#This Row],[type]]="LFF (MDG-F)",MID(Proc[[#This Row],[Obj]],13,10),"")</f>
        <v/>
      </c>
      <c r="I242" s="62" t="s">
        <v>1638</v>
      </c>
      <c r="J242" s="60" t="b">
        <f>Proc[[#This Row],[Requested]]=Proc[[#This Row],[CurrentParent]]</f>
        <v>1</v>
      </c>
      <c r="K242" s="144" t="str">
        <f>IF(Proc[[#This Row],[Author]]="Marcela Urrego",VLOOKUP(LEFT(Proc[[#This Row],[Requested]],1),Table3[#All],2,0),VLOOKUP(Proc[[#This Row],[Author]],Table4[],2,0))</f>
        <v>MGF</v>
      </c>
      <c r="L242" s="60" t="s">
        <v>509</v>
      </c>
      <c r="M242" s="71">
        <v>45672.564884259256</v>
      </c>
      <c r="N242" s="71">
        <v>45688</v>
      </c>
      <c r="O242" s="71">
        <v>45688</v>
      </c>
      <c r="P242" s="64" t="str">
        <f ca="1">IF(Proc[[#This Row],[DaysAgeing]]&gt;5,"yep","on track")</f>
        <v>yep</v>
      </c>
      <c r="Q242" s="3">
        <f ca="1">IF(Proc[[#This Row],[DateClosed]]="",ABS(NETWORKDAYS(Proc[[#This Row],[DateOpened]],TODAY()))-1,ABS(NETWORKDAYS(Proc[[#This Row],[DateOpened]],Proc[[#This Row],[DateClosed]]))-1)</f>
        <v>12</v>
      </c>
      <c r="R242" s="64" t="s">
        <v>1076</v>
      </c>
      <c r="S242" s="60"/>
    </row>
    <row r="243" spans="1:19" hidden="1">
      <c r="A243" s="62" t="s">
        <v>1558</v>
      </c>
      <c r="B243" s="149" t="str">
        <f>IFERROR(VLOOKUP(Proc[[#This Row],[App]],Table2[],3,0),"open")</f>
        <v>ok</v>
      </c>
      <c r="C243" s="62" t="s">
        <v>369</v>
      </c>
      <c r="D243" t="s">
        <v>1556</v>
      </c>
      <c r="E243" t="s">
        <v>418</v>
      </c>
      <c r="F243" s="117" t="s">
        <v>418</v>
      </c>
      <c r="G243" s="62" t="s">
        <v>400</v>
      </c>
      <c r="H243" s="60" t="str">
        <f>IF(Proc[[#This Row],[type]]="LFF (MDG-F)",MID(Proc[[#This Row],[Obj]],13,10),"")</f>
        <v/>
      </c>
      <c r="I243" s="62" t="s">
        <v>1639</v>
      </c>
      <c r="J243" s="60" t="b">
        <f>Proc[[#This Row],[Requested]]=Proc[[#This Row],[CurrentParent]]</f>
        <v>1</v>
      </c>
      <c r="K243" s="144" t="str">
        <f>IF(Proc[[#This Row],[Author]]="Marcela Urrego",VLOOKUP(LEFT(Proc[[#This Row],[Requested]],1),Table3[#All],2,0),VLOOKUP(Proc[[#This Row],[Author]],Table4[],2,0))</f>
        <v>MGF</v>
      </c>
      <c r="L243" s="60" t="s">
        <v>509</v>
      </c>
      <c r="M243" s="71">
        <v>45672.564884259256</v>
      </c>
      <c r="N243" s="71">
        <v>45688</v>
      </c>
      <c r="O243" s="71">
        <v>45688</v>
      </c>
      <c r="P243" s="64" t="str">
        <f ca="1">IF(Proc[[#This Row],[DaysAgeing]]&gt;5,"yep","on track")</f>
        <v>yep</v>
      </c>
      <c r="Q243" s="3">
        <f ca="1">IF(Proc[[#This Row],[DateClosed]]="",ABS(NETWORKDAYS(Proc[[#This Row],[DateOpened]],TODAY()))-1,ABS(NETWORKDAYS(Proc[[#This Row],[DateOpened]],Proc[[#This Row],[DateClosed]]))-1)</f>
        <v>12</v>
      </c>
      <c r="R243" s="64" t="s">
        <v>1076</v>
      </c>
      <c r="S243" s="60"/>
    </row>
    <row r="244" spans="1:19" hidden="1">
      <c r="A244" s="62" t="s">
        <v>1558</v>
      </c>
      <c r="B244" s="149" t="str">
        <f>IFERROR(VLOOKUP(Proc[[#This Row],[App]],Table2[],3,0),"open")</f>
        <v>ok</v>
      </c>
      <c r="C244" s="62" t="s">
        <v>369</v>
      </c>
      <c r="D244" t="s">
        <v>1557</v>
      </c>
      <c r="E244" t="s">
        <v>1018</v>
      </c>
      <c r="F244" s="117" t="s">
        <v>1018</v>
      </c>
      <c r="G244" s="62" t="s">
        <v>406</v>
      </c>
      <c r="H244" s="60" t="str">
        <f>IF(Proc[[#This Row],[type]]="LFF (MDG-F)",MID(Proc[[#This Row],[Obj]],13,10),"")</f>
        <v>TW03TNKA06</v>
      </c>
      <c r="I244" t="s">
        <v>1637</v>
      </c>
      <c r="J244" s="60" t="b">
        <f>Proc[[#This Row],[Requested]]=Proc[[#This Row],[CurrentParent]]</f>
        <v>1</v>
      </c>
      <c r="K244" s="144" t="str">
        <f>IF(Proc[[#This Row],[Author]]="Marcela Urrego",VLOOKUP(LEFT(Proc[[#This Row],[Requested]],1),Table3[#All],2,0),VLOOKUP(Proc[[#This Row],[Author]],Table4[],2,0))</f>
        <v>MGF</v>
      </c>
      <c r="L244" s="60" t="s">
        <v>509</v>
      </c>
      <c r="M244" s="71">
        <v>45672.564884259256</v>
      </c>
      <c r="N244" s="71">
        <v>45688</v>
      </c>
      <c r="O244" s="71">
        <v>45688</v>
      </c>
      <c r="P244" s="64" t="str">
        <f ca="1">IF(Proc[[#This Row],[DaysAgeing]]&gt;5,"yep","on track")</f>
        <v>yep</v>
      </c>
      <c r="Q244" s="3">
        <f ca="1">IF(Proc[[#This Row],[DateClosed]]="",ABS(NETWORKDAYS(Proc[[#This Row],[DateOpened]],TODAY()))-1,ABS(NETWORKDAYS(Proc[[#This Row],[DateOpened]],Proc[[#This Row],[DateClosed]]))-1)</f>
        <v>12</v>
      </c>
      <c r="R244" s="64" t="s">
        <v>1076</v>
      </c>
      <c r="S244" s="60"/>
    </row>
    <row r="245" spans="1:19" hidden="1">
      <c r="A245" t="s">
        <v>1563</v>
      </c>
      <c r="B245" s="149" t="str">
        <f>IFERROR(VLOOKUP(Proc[[#This Row],[App]],Table2[],3,0),"open")</f>
        <v>ok</v>
      </c>
      <c r="C245" s="62" t="s">
        <v>369</v>
      </c>
      <c r="D245" t="s">
        <v>1559</v>
      </c>
      <c r="E245" t="s">
        <v>565</v>
      </c>
      <c r="F245" s="117" t="s">
        <v>565</v>
      </c>
      <c r="G245" s="62" t="s">
        <v>400</v>
      </c>
      <c r="H245" s="60" t="str">
        <f>IF(Proc[[#This Row],[type]]="LFF (MDG-F)",MID(Proc[[#This Row],[Obj]],13,10),"")</f>
        <v/>
      </c>
      <c r="J245" s="60" t="b">
        <f>Proc[[#This Row],[Requested]]=Proc[[#This Row],[CurrentParent]]</f>
        <v>1</v>
      </c>
      <c r="K245" s="144" t="str">
        <f>IF(Proc[[#This Row],[Author]]="Marcela Urrego",VLOOKUP(LEFT(Proc[[#This Row],[Requested]],1),Table3[#All],2,0),VLOOKUP(Proc[[#This Row],[Author]],Table4[],2,0))</f>
        <v>LS</v>
      </c>
      <c r="L245" s="60" t="s">
        <v>509</v>
      </c>
      <c r="M245" s="71">
        <v>45672.662546296298</v>
      </c>
      <c r="N245" s="71">
        <v>45674</v>
      </c>
      <c r="O245" s="71">
        <v>45674</v>
      </c>
      <c r="P245" s="64" t="str">
        <f ca="1">IF(Proc[[#This Row],[DaysAgeing]]&gt;5,"yep","on track")</f>
        <v>on track</v>
      </c>
      <c r="Q245" s="3">
        <f ca="1">IF(Proc[[#This Row],[DateClosed]]="",ABS(NETWORKDAYS(Proc[[#This Row],[DateOpened]],TODAY()))-1,ABS(NETWORKDAYS(Proc[[#This Row],[DateOpened]],Proc[[#This Row],[DateClosed]]))-1)</f>
        <v>2</v>
      </c>
      <c r="R245" s="64" t="s">
        <v>972</v>
      </c>
      <c r="S245" s="60"/>
    </row>
    <row r="246" spans="1:19" hidden="1">
      <c r="A246" s="62" t="s">
        <v>1563</v>
      </c>
      <c r="B246" s="149" t="str">
        <f>IFERROR(VLOOKUP(Proc[[#This Row],[App]],Table2[],3,0),"open")</f>
        <v>ok</v>
      </c>
      <c r="C246" s="62" t="s">
        <v>369</v>
      </c>
      <c r="D246" t="s">
        <v>1560</v>
      </c>
      <c r="E246" t="s">
        <v>503</v>
      </c>
      <c r="F246" s="117" t="s">
        <v>503</v>
      </c>
      <c r="G246" s="62" t="s">
        <v>400</v>
      </c>
      <c r="H246" s="60" t="str">
        <f>IF(Proc[[#This Row],[type]]="LFF (MDG-F)",MID(Proc[[#This Row],[Obj]],13,10),"")</f>
        <v/>
      </c>
      <c r="J246" s="60" t="b">
        <f>Proc[[#This Row],[Requested]]=Proc[[#This Row],[CurrentParent]]</f>
        <v>1</v>
      </c>
      <c r="K246" s="144" t="str">
        <f>IF(Proc[[#This Row],[Author]]="Marcela Urrego",VLOOKUP(LEFT(Proc[[#This Row],[Requested]],1),Table3[#All],2,0),VLOOKUP(Proc[[#This Row],[Author]],Table4[],2,0))</f>
        <v>LS</v>
      </c>
      <c r="L246" s="60" t="s">
        <v>509</v>
      </c>
      <c r="M246" s="71">
        <v>45672.662546296298</v>
      </c>
      <c r="N246" s="71">
        <v>45674</v>
      </c>
      <c r="O246" s="71">
        <v>45674</v>
      </c>
      <c r="P246" s="64" t="str">
        <f ca="1">IF(Proc[[#This Row],[DaysAgeing]]&gt;5,"yep","on track")</f>
        <v>on track</v>
      </c>
      <c r="Q246" s="3">
        <f ca="1">IF(Proc[[#This Row],[DateClosed]]="",ABS(NETWORKDAYS(Proc[[#This Row],[DateOpened]],TODAY()))-1,ABS(NETWORKDAYS(Proc[[#This Row],[DateOpened]],Proc[[#This Row],[DateClosed]]))-1)</f>
        <v>2</v>
      </c>
      <c r="R246" s="64" t="s">
        <v>972</v>
      </c>
      <c r="S246" s="60"/>
    </row>
    <row r="247" spans="1:19" hidden="1">
      <c r="A247" s="62" t="s">
        <v>1563</v>
      </c>
      <c r="B247" s="149" t="str">
        <f>IFERROR(VLOOKUP(Proc[[#This Row],[App]],Table2[],3,0),"open")</f>
        <v>ok</v>
      </c>
      <c r="C247" s="62" t="s">
        <v>369</v>
      </c>
      <c r="D247" t="s">
        <v>1561</v>
      </c>
      <c r="E247" t="s">
        <v>503</v>
      </c>
      <c r="F247" s="117" t="s">
        <v>503</v>
      </c>
      <c r="G247" s="62" t="s">
        <v>400</v>
      </c>
      <c r="H247" s="60" t="str">
        <f>IF(Proc[[#This Row],[type]]="LFF (MDG-F)",MID(Proc[[#This Row],[Obj]],13,10),"")</f>
        <v/>
      </c>
      <c r="J247" s="60" t="b">
        <f>Proc[[#This Row],[Requested]]=Proc[[#This Row],[CurrentParent]]</f>
        <v>1</v>
      </c>
      <c r="K247" s="144" t="str">
        <f>IF(Proc[[#This Row],[Author]]="Marcela Urrego",VLOOKUP(LEFT(Proc[[#This Row],[Requested]],1),Table3[#All],2,0),VLOOKUP(Proc[[#This Row],[Author]],Table4[],2,0))</f>
        <v>LS</v>
      </c>
      <c r="L247" s="60" t="s">
        <v>509</v>
      </c>
      <c r="M247" s="71">
        <v>45672.662546296298</v>
      </c>
      <c r="N247" s="71">
        <v>45674</v>
      </c>
      <c r="O247" s="71">
        <v>45674</v>
      </c>
      <c r="P247" s="64" t="str">
        <f ca="1">IF(Proc[[#This Row],[DaysAgeing]]&gt;5,"yep","on track")</f>
        <v>on track</v>
      </c>
      <c r="Q247" s="3">
        <f ca="1">IF(Proc[[#This Row],[DateClosed]]="",ABS(NETWORKDAYS(Proc[[#This Row],[DateOpened]],TODAY()))-1,ABS(NETWORKDAYS(Proc[[#This Row],[DateOpened]],Proc[[#This Row],[DateClosed]]))-1)</f>
        <v>2</v>
      </c>
      <c r="R247" s="64" t="s">
        <v>972</v>
      </c>
      <c r="S247" s="60"/>
    </row>
    <row r="248" spans="1:19" hidden="1">
      <c r="A248" s="62" t="s">
        <v>1563</v>
      </c>
      <c r="B248" s="149" t="str">
        <f>IFERROR(VLOOKUP(Proc[[#This Row],[App]],Table2[],3,0),"open")</f>
        <v>ok</v>
      </c>
      <c r="C248" s="62" t="s">
        <v>369</v>
      </c>
      <c r="D248" t="s">
        <v>1562</v>
      </c>
      <c r="E248" t="s">
        <v>1044</v>
      </c>
      <c r="F248" s="117" t="s">
        <v>1044</v>
      </c>
      <c r="G248" s="62" t="s">
        <v>400</v>
      </c>
      <c r="H248" s="60" t="str">
        <f>IF(Proc[[#This Row],[type]]="LFF (MDG-F)",MID(Proc[[#This Row],[Obj]],13,10),"")</f>
        <v/>
      </c>
      <c r="J248" s="60" t="b">
        <f>Proc[[#This Row],[Requested]]=Proc[[#This Row],[CurrentParent]]</f>
        <v>1</v>
      </c>
      <c r="K248" s="144" t="str">
        <f>IF(Proc[[#This Row],[Author]]="Marcela Urrego",VLOOKUP(LEFT(Proc[[#This Row],[Requested]],1),Table3[#All],2,0),VLOOKUP(Proc[[#This Row],[Author]],Table4[],2,0))</f>
        <v>LS</v>
      </c>
      <c r="L248" s="60" t="s">
        <v>509</v>
      </c>
      <c r="M248" s="71">
        <v>45672.662546296298</v>
      </c>
      <c r="N248" s="71">
        <v>45674</v>
      </c>
      <c r="O248" s="71">
        <v>45674</v>
      </c>
      <c r="P248" s="64" t="str">
        <f ca="1">IF(Proc[[#This Row],[DaysAgeing]]&gt;5,"yep","on track")</f>
        <v>on track</v>
      </c>
      <c r="Q248" s="3">
        <f ca="1">IF(Proc[[#This Row],[DateClosed]]="",ABS(NETWORKDAYS(Proc[[#This Row],[DateOpened]],TODAY()))-1,ABS(NETWORKDAYS(Proc[[#This Row],[DateOpened]],Proc[[#This Row],[DateClosed]]))-1)</f>
        <v>2</v>
      </c>
      <c r="R248" s="64" t="s">
        <v>972</v>
      </c>
      <c r="S248" s="60"/>
    </row>
    <row r="249" spans="1:19" hidden="1">
      <c r="A249" t="s">
        <v>1565</v>
      </c>
      <c r="B249" s="149" t="str">
        <f>IFERROR(VLOOKUP(Proc[[#This Row],[App]],Table2[],3,0),"open")</f>
        <v>ok</v>
      </c>
      <c r="C249" s="62" t="s">
        <v>369</v>
      </c>
      <c r="D249" t="s">
        <v>1564</v>
      </c>
      <c r="E249" t="s">
        <v>426</v>
      </c>
      <c r="F249" s="117" t="s">
        <v>426</v>
      </c>
      <c r="G249" s="62" t="s">
        <v>406</v>
      </c>
      <c r="H249" s="60" t="str">
        <f>IF(Proc[[#This Row],[type]]="LFF (MDG-F)",MID(Proc[[#This Row],[Obj]],13,10),"")</f>
        <v>GB10C00701</v>
      </c>
      <c r="I249" t="s">
        <v>1637</v>
      </c>
      <c r="J249" s="60" t="b">
        <f>Proc[[#This Row],[Requested]]=Proc[[#This Row],[CurrentParent]]</f>
        <v>1</v>
      </c>
      <c r="K249" s="144" t="str">
        <f>IF(Proc[[#This Row],[Author]]="Marcela Urrego",VLOOKUP(LEFT(Proc[[#This Row],[Requested]],1),Table3[#All],2,0),VLOOKUP(Proc[[#This Row],[Author]],Table4[],2,0))</f>
        <v>MGF</v>
      </c>
      <c r="L249" s="60" t="s">
        <v>509</v>
      </c>
      <c r="M249" s="71">
        <v>45674.472696759258</v>
      </c>
      <c r="N249" s="71">
        <v>45688</v>
      </c>
      <c r="O249" s="71">
        <v>45688</v>
      </c>
      <c r="P249" s="64" t="str">
        <f ca="1">IF(Proc[[#This Row],[DaysAgeing]]&gt;5,"yep","on track")</f>
        <v>yep</v>
      </c>
      <c r="Q249" s="3">
        <f ca="1">IF(Proc[[#This Row],[DateClosed]]="",ABS(NETWORKDAYS(Proc[[#This Row],[DateOpened]],TODAY()))-1,ABS(NETWORKDAYS(Proc[[#This Row],[DateOpened]],Proc[[#This Row],[DateClosed]]))-1)</f>
        <v>10</v>
      </c>
      <c r="R249" s="64" t="s">
        <v>1076</v>
      </c>
      <c r="S249" s="60"/>
    </row>
    <row r="250" spans="1:19" hidden="1">
      <c r="A250" t="s">
        <v>1566</v>
      </c>
      <c r="B250" s="149" t="str">
        <f>IFERROR(VLOOKUP(Proc[[#This Row],[App]],Table2[],3,0),"open")</f>
        <v>ok</v>
      </c>
      <c r="C250" s="62" t="s">
        <v>369</v>
      </c>
      <c r="D250" t="s">
        <v>1567</v>
      </c>
      <c r="E250" t="s">
        <v>1573</v>
      </c>
      <c r="F250" s="117" t="s">
        <v>1573</v>
      </c>
      <c r="G250" s="62" t="s">
        <v>400</v>
      </c>
      <c r="H250" s="60" t="str">
        <f>IF(Proc[[#This Row],[type]]="LFF (MDG-F)",MID(Proc[[#This Row],[Obj]],13,10),"")</f>
        <v/>
      </c>
      <c r="J250" s="60" t="b">
        <f>Proc[[#This Row],[Requested]]=Proc[[#This Row],[CurrentParent]]</f>
        <v>1</v>
      </c>
      <c r="K250" s="144" t="str">
        <f>IF(Proc[[#This Row],[Author]]="Marcela Urrego",VLOOKUP(LEFT(Proc[[#This Row],[Requested]],1),Table3[#All],2,0),VLOOKUP(Proc[[#This Row],[Author]],Table4[],2,0))</f>
        <v>LS</v>
      </c>
      <c r="L250" s="60" t="s">
        <v>509</v>
      </c>
      <c r="M250" s="71">
        <v>45674.56994212963</v>
      </c>
      <c r="N250" s="71">
        <v>45678</v>
      </c>
      <c r="O250" s="71">
        <v>45678</v>
      </c>
      <c r="P250" s="64" t="str">
        <f ca="1">IF(Proc[[#This Row],[DaysAgeing]]&gt;5,"yep","on track")</f>
        <v>on track</v>
      </c>
      <c r="Q250" s="3">
        <f ca="1">IF(Proc[[#This Row],[DateClosed]]="",ABS(NETWORKDAYS(Proc[[#This Row],[DateOpened]],TODAY()))-1,ABS(NETWORKDAYS(Proc[[#This Row],[DateOpened]],Proc[[#This Row],[DateClosed]]))-1)</f>
        <v>2</v>
      </c>
      <c r="R250" s="64" t="s">
        <v>972</v>
      </c>
      <c r="S250" s="60"/>
    </row>
    <row r="251" spans="1:19" hidden="1">
      <c r="A251" s="62" t="s">
        <v>1566</v>
      </c>
      <c r="B251" s="149" t="str">
        <f>IFERROR(VLOOKUP(Proc[[#This Row],[App]],Table2[],3,0),"open")</f>
        <v>ok</v>
      </c>
      <c r="C251" s="62" t="s">
        <v>369</v>
      </c>
      <c r="D251" t="s">
        <v>1568</v>
      </c>
      <c r="E251" t="s">
        <v>1573</v>
      </c>
      <c r="F251" s="117" t="s">
        <v>1573</v>
      </c>
      <c r="G251" s="62" t="s">
        <v>400</v>
      </c>
      <c r="H251" s="60" t="str">
        <f>IF(Proc[[#This Row],[type]]="LFF (MDG-F)",MID(Proc[[#This Row],[Obj]],13,10),"")</f>
        <v/>
      </c>
      <c r="J251" s="60" t="b">
        <f>Proc[[#This Row],[Requested]]=Proc[[#This Row],[CurrentParent]]</f>
        <v>1</v>
      </c>
      <c r="K251" s="144" t="str">
        <f>IF(Proc[[#This Row],[Author]]="Marcela Urrego",VLOOKUP(LEFT(Proc[[#This Row],[Requested]],1),Table3[#All],2,0),VLOOKUP(Proc[[#This Row],[Author]],Table4[],2,0))</f>
        <v>LS</v>
      </c>
      <c r="L251" s="60" t="s">
        <v>509</v>
      </c>
      <c r="M251" s="71">
        <v>45674.56994212963</v>
      </c>
      <c r="N251" s="71">
        <v>45678</v>
      </c>
      <c r="O251" s="71">
        <v>45678</v>
      </c>
      <c r="P251" s="64" t="str">
        <f ca="1">IF(Proc[[#This Row],[DaysAgeing]]&gt;5,"yep","on track")</f>
        <v>on track</v>
      </c>
      <c r="Q251" s="3">
        <f ca="1">IF(Proc[[#This Row],[DateClosed]]="",ABS(NETWORKDAYS(Proc[[#This Row],[DateOpened]],TODAY()))-1,ABS(NETWORKDAYS(Proc[[#This Row],[DateOpened]],Proc[[#This Row],[DateClosed]]))-1)</f>
        <v>2</v>
      </c>
      <c r="R251" s="64" t="s">
        <v>972</v>
      </c>
      <c r="S251" s="60"/>
    </row>
    <row r="252" spans="1:19" hidden="1">
      <c r="A252" s="62" t="s">
        <v>1566</v>
      </c>
      <c r="B252" s="149" t="str">
        <f>IFERROR(VLOOKUP(Proc[[#This Row],[App]],Table2[],3,0),"open")</f>
        <v>ok</v>
      </c>
      <c r="C252" s="62" t="s">
        <v>369</v>
      </c>
      <c r="D252" t="s">
        <v>1569</v>
      </c>
      <c r="E252" t="s">
        <v>1573</v>
      </c>
      <c r="F252" s="117" t="s">
        <v>1573</v>
      </c>
      <c r="G252" s="62" t="s">
        <v>400</v>
      </c>
      <c r="H252" s="60" t="str">
        <f>IF(Proc[[#This Row],[type]]="LFF (MDG-F)",MID(Proc[[#This Row],[Obj]],13,10),"")</f>
        <v/>
      </c>
      <c r="J252" s="60" t="b">
        <f>Proc[[#This Row],[Requested]]=Proc[[#This Row],[CurrentParent]]</f>
        <v>1</v>
      </c>
      <c r="K252" s="144" t="str">
        <f>IF(Proc[[#This Row],[Author]]="Marcela Urrego",VLOOKUP(LEFT(Proc[[#This Row],[Requested]],1),Table3[#All],2,0),VLOOKUP(Proc[[#This Row],[Author]],Table4[],2,0))</f>
        <v>LS</v>
      </c>
      <c r="L252" s="60" t="s">
        <v>509</v>
      </c>
      <c r="M252" s="71">
        <v>45674.56994212963</v>
      </c>
      <c r="N252" s="71">
        <v>45678</v>
      </c>
      <c r="O252" s="71">
        <v>45678</v>
      </c>
      <c r="P252" s="64" t="str">
        <f ca="1">IF(Proc[[#This Row],[DaysAgeing]]&gt;5,"yep","on track")</f>
        <v>on track</v>
      </c>
      <c r="Q252" s="3">
        <f ca="1">IF(Proc[[#This Row],[DateClosed]]="",ABS(NETWORKDAYS(Proc[[#This Row],[DateOpened]],TODAY()))-1,ABS(NETWORKDAYS(Proc[[#This Row],[DateOpened]],Proc[[#This Row],[DateClosed]]))-1)</f>
        <v>2</v>
      </c>
      <c r="R252" s="64" t="s">
        <v>972</v>
      </c>
      <c r="S252" s="60"/>
    </row>
    <row r="253" spans="1:19" hidden="1">
      <c r="A253" s="62" t="s">
        <v>1566</v>
      </c>
      <c r="B253" s="149" t="str">
        <f>IFERROR(VLOOKUP(Proc[[#This Row],[App]],Table2[],3,0),"open")</f>
        <v>ok</v>
      </c>
      <c r="C253" s="62" t="s">
        <v>369</v>
      </c>
      <c r="D253" t="s">
        <v>1570</v>
      </c>
      <c r="E253" t="s">
        <v>1574</v>
      </c>
      <c r="F253" s="117" t="s">
        <v>1574</v>
      </c>
      <c r="G253" s="62" t="s">
        <v>400</v>
      </c>
      <c r="H253" s="60" t="str">
        <f>IF(Proc[[#This Row],[type]]="LFF (MDG-F)",MID(Proc[[#This Row],[Obj]],13,10),"")</f>
        <v/>
      </c>
      <c r="J253" s="60" t="b">
        <f>Proc[[#This Row],[Requested]]=Proc[[#This Row],[CurrentParent]]</f>
        <v>1</v>
      </c>
      <c r="K253" s="144" t="str">
        <f>IF(Proc[[#This Row],[Author]]="Marcela Urrego",VLOOKUP(LEFT(Proc[[#This Row],[Requested]],1),Table3[#All],2,0),VLOOKUP(Proc[[#This Row],[Author]],Table4[],2,0))</f>
        <v>LS</v>
      </c>
      <c r="L253" s="60" t="s">
        <v>509</v>
      </c>
      <c r="M253" s="71">
        <v>45674.56994212963</v>
      </c>
      <c r="N253" s="71">
        <v>45678</v>
      </c>
      <c r="O253" s="71">
        <v>45678</v>
      </c>
      <c r="P253" s="64" t="str">
        <f ca="1">IF(Proc[[#This Row],[DaysAgeing]]&gt;5,"yep","on track")</f>
        <v>on track</v>
      </c>
      <c r="Q253" s="3">
        <f ca="1">IF(Proc[[#This Row],[DateClosed]]="",ABS(NETWORKDAYS(Proc[[#This Row],[DateOpened]],TODAY()))-1,ABS(NETWORKDAYS(Proc[[#This Row],[DateOpened]],Proc[[#This Row],[DateClosed]]))-1)</f>
        <v>2</v>
      </c>
      <c r="R253" s="64" t="s">
        <v>972</v>
      </c>
      <c r="S253" s="60"/>
    </row>
    <row r="254" spans="1:19" hidden="1">
      <c r="A254" s="62" t="s">
        <v>1566</v>
      </c>
      <c r="B254" s="149" t="str">
        <f>IFERROR(VLOOKUP(Proc[[#This Row],[App]],Table2[],3,0),"open")</f>
        <v>ok</v>
      </c>
      <c r="C254" s="62" t="s">
        <v>369</v>
      </c>
      <c r="D254" t="s">
        <v>1571</v>
      </c>
      <c r="E254" t="s">
        <v>1575</v>
      </c>
      <c r="F254" s="117" t="s">
        <v>1575</v>
      </c>
      <c r="G254" s="62" t="s">
        <v>400</v>
      </c>
      <c r="H254" s="60" t="str">
        <f>IF(Proc[[#This Row],[type]]="LFF (MDG-F)",MID(Proc[[#This Row],[Obj]],13,10),"")</f>
        <v/>
      </c>
      <c r="J254" s="60" t="b">
        <f>Proc[[#This Row],[Requested]]=Proc[[#This Row],[CurrentParent]]</f>
        <v>1</v>
      </c>
      <c r="K254" s="144" t="str">
        <f>IF(Proc[[#This Row],[Author]]="Marcela Urrego",VLOOKUP(LEFT(Proc[[#This Row],[Requested]],1),Table3[#All],2,0),VLOOKUP(Proc[[#This Row],[Author]],Table4[],2,0))</f>
        <v>LS</v>
      </c>
      <c r="L254" s="60" t="s">
        <v>509</v>
      </c>
      <c r="M254" s="71">
        <v>45674.56994212963</v>
      </c>
      <c r="N254" s="71">
        <v>45678</v>
      </c>
      <c r="O254" s="71">
        <v>45678</v>
      </c>
      <c r="P254" s="64" t="str">
        <f ca="1">IF(Proc[[#This Row],[DaysAgeing]]&gt;5,"yep","on track")</f>
        <v>on track</v>
      </c>
      <c r="Q254" s="3">
        <f ca="1">IF(Proc[[#This Row],[DateClosed]]="",ABS(NETWORKDAYS(Proc[[#This Row],[DateOpened]],TODAY()))-1,ABS(NETWORKDAYS(Proc[[#This Row],[DateOpened]],Proc[[#This Row],[DateClosed]]))-1)</f>
        <v>2</v>
      </c>
      <c r="R254" s="64" t="s">
        <v>972</v>
      </c>
      <c r="S254" s="60"/>
    </row>
    <row r="255" spans="1:19" hidden="1">
      <c r="A255" s="62" t="s">
        <v>1566</v>
      </c>
      <c r="B255" s="149" t="str">
        <f>IFERROR(VLOOKUP(Proc[[#This Row],[App]],Table2[],3,0),"open")</f>
        <v>ok</v>
      </c>
      <c r="C255" s="62" t="s">
        <v>369</v>
      </c>
      <c r="D255" t="s">
        <v>1572</v>
      </c>
      <c r="E255" t="s">
        <v>479</v>
      </c>
      <c r="F255" s="117" t="s">
        <v>479</v>
      </c>
      <c r="G255" s="62" t="s">
        <v>400</v>
      </c>
      <c r="H255" s="60" t="str">
        <f>IF(Proc[[#This Row],[type]]="LFF (MDG-F)",MID(Proc[[#This Row],[Obj]],13,10),"")</f>
        <v/>
      </c>
      <c r="J255" s="60" t="b">
        <f>Proc[[#This Row],[Requested]]=Proc[[#This Row],[CurrentParent]]</f>
        <v>1</v>
      </c>
      <c r="K255" s="144" t="str">
        <f>IF(Proc[[#This Row],[Author]]="Marcela Urrego",VLOOKUP(LEFT(Proc[[#This Row],[Requested]],1),Table3[#All],2,0),VLOOKUP(Proc[[#This Row],[Author]],Table4[],2,0))</f>
        <v>LS</v>
      </c>
      <c r="L255" s="60" t="s">
        <v>509</v>
      </c>
      <c r="M255" s="71">
        <v>45674.56994212963</v>
      </c>
      <c r="N255" s="71">
        <v>45678</v>
      </c>
      <c r="O255" s="71">
        <v>45678</v>
      </c>
      <c r="P255" s="64" t="str">
        <f ca="1">IF(Proc[[#This Row],[DaysAgeing]]&gt;5,"yep","on track")</f>
        <v>on track</v>
      </c>
      <c r="Q255" s="3">
        <f ca="1">IF(Proc[[#This Row],[DateClosed]]="",ABS(NETWORKDAYS(Proc[[#This Row],[DateOpened]],TODAY()))-1,ABS(NETWORKDAYS(Proc[[#This Row],[DateOpened]],Proc[[#This Row],[DateClosed]]))-1)</f>
        <v>2</v>
      </c>
      <c r="R255" s="64" t="s">
        <v>972</v>
      </c>
      <c r="S255" s="60"/>
    </row>
    <row r="256" spans="1:19" hidden="1">
      <c r="A256" t="s">
        <v>1583</v>
      </c>
      <c r="B256" s="149" t="str">
        <f>IFERROR(VLOOKUP(Proc[[#This Row],[App]],Table2[],3,0),"open")</f>
        <v>ok</v>
      </c>
      <c r="C256" t="s">
        <v>369</v>
      </c>
      <c r="D256" t="s">
        <v>1576</v>
      </c>
      <c r="E256" t="s">
        <v>1179</v>
      </c>
      <c r="F256" s="117" t="s">
        <v>1179</v>
      </c>
      <c r="G256" t="s">
        <v>406</v>
      </c>
      <c r="H256" s="60" t="str">
        <f>IF(Proc[[#This Row],[type]]="LFF (MDG-F)",MID(Proc[[#This Row],[Obj]],13,10),"")</f>
        <v>2102TCBZ30</v>
      </c>
      <c r="J256" s="60" t="b">
        <f>Proc[[#This Row],[Requested]]=Proc[[#This Row],[CurrentParent]]</f>
        <v>1</v>
      </c>
      <c r="K256" s="144" t="str">
        <f>IF(Proc[[#This Row],[Author]]="Marcela Urrego",VLOOKUP(LEFT(Proc[[#This Row],[Requested]],1),Table3[#All],2,0),VLOOKUP(Proc[[#This Row],[Author]],Table4[],2,0))</f>
        <v>LS</v>
      </c>
      <c r="L256" s="60" t="s">
        <v>509</v>
      </c>
      <c r="M256" s="71">
        <v>45677.44258101852</v>
      </c>
      <c r="N256" s="71">
        <v>45680</v>
      </c>
      <c r="O256" s="71">
        <v>45680</v>
      </c>
      <c r="P256" s="64" t="str">
        <f ca="1">IF(Proc[[#This Row],[DaysAgeing]]&gt;5,"yep","on track")</f>
        <v>on track</v>
      </c>
      <c r="Q256" s="3">
        <f ca="1">IF(Proc[[#This Row],[DateClosed]]="",ABS(NETWORKDAYS(Proc[[#This Row],[DateOpened]],TODAY()))-1,ABS(NETWORKDAYS(Proc[[#This Row],[DateOpened]],Proc[[#This Row],[DateClosed]]))-1)</f>
        <v>3</v>
      </c>
      <c r="R256" s="64" t="s">
        <v>830</v>
      </c>
      <c r="S256" s="60"/>
    </row>
    <row r="257" spans="1:19" hidden="1">
      <c r="A257" s="62" t="s">
        <v>1583</v>
      </c>
      <c r="B257" s="149" t="str">
        <f>IFERROR(VLOOKUP(Proc[[#This Row],[App]],Table2[],3,0),"open")</f>
        <v>ok</v>
      </c>
      <c r="C257" s="62" t="s">
        <v>369</v>
      </c>
      <c r="D257" t="s">
        <v>1577</v>
      </c>
      <c r="E257" t="s">
        <v>1179</v>
      </c>
      <c r="F257" s="117" t="s">
        <v>1179</v>
      </c>
      <c r="G257" s="62" t="s">
        <v>400</v>
      </c>
      <c r="H257" s="60" t="str">
        <f>IF(Proc[[#This Row],[type]]="LFF (MDG-F)",MID(Proc[[#This Row],[Obj]],13,10),"")</f>
        <v/>
      </c>
      <c r="J257" s="60" t="b">
        <f>Proc[[#This Row],[Requested]]=Proc[[#This Row],[CurrentParent]]</f>
        <v>1</v>
      </c>
      <c r="K257" s="144" t="str">
        <f>IF(Proc[[#This Row],[Author]]="Marcela Urrego",VLOOKUP(LEFT(Proc[[#This Row],[Requested]],1),Table3[#All],2,0),VLOOKUP(Proc[[#This Row],[Author]],Table4[],2,0))</f>
        <v>LS</v>
      </c>
      <c r="L257" s="60" t="s">
        <v>509</v>
      </c>
      <c r="M257" s="71">
        <v>45677.44258101852</v>
      </c>
      <c r="N257" s="71">
        <v>45680</v>
      </c>
      <c r="O257" s="71">
        <v>45680</v>
      </c>
      <c r="P257" s="64" t="str">
        <f ca="1">IF(Proc[[#This Row],[DaysAgeing]]&gt;5,"yep","on track")</f>
        <v>on track</v>
      </c>
      <c r="Q257" s="3">
        <f ca="1">IF(Proc[[#This Row],[DateClosed]]="",ABS(NETWORKDAYS(Proc[[#This Row],[DateOpened]],TODAY()))-1,ABS(NETWORKDAYS(Proc[[#This Row],[DateOpened]],Proc[[#This Row],[DateClosed]]))-1)</f>
        <v>3</v>
      </c>
      <c r="R257" s="64" t="s">
        <v>830</v>
      </c>
      <c r="S257" s="60"/>
    </row>
    <row r="258" spans="1:19" hidden="1">
      <c r="A258" s="62" t="s">
        <v>1583</v>
      </c>
      <c r="B258" s="149" t="str">
        <f>IFERROR(VLOOKUP(Proc[[#This Row],[App]],Table2[],3,0),"open")</f>
        <v>ok</v>
      </c>
      <c r="C258" s="62" t="s">
        <v>369</v>
      </c>
      <c r="D258" t="s">
        <v>1578</v>
      </c>
      <c r="E258" t="s">
        <v>854</v>
      </c>
      <c r="F258" s="117" t="s">
        <v>854</v>
      </c>
      <c r="G258" s="62" t="s">
        <v>400</v>
      </c>
      <c r="H258" s="60" t="str">
        <f>IF(Proc[[#This Row],[type]]="LFF (MDG-F)",MID(Proc[[#This Row],[Obj]],13,10),"")</f>
        <v/>
      </c>
      <c r="J258" s="60" t="b">
        <f>Proc[[#This Row],[Requested]]=Proc[[#This Row],[CurrentParent]]</f>
        <v>1</v>
      </c>
      <c r="K258" s="144" t="str">
        <f>IF(Proc[[#This Row],[Author]]="Marcela Urrego",VLOOKUP(LEFT(Proc[[#This Row],[Requested]],1),Table3[#All],2,0),VLOOKUP(Proc[[#This Row],[Author]],Table4[],2,0))</f>
        <v>LS</v>
      </c>
      <c r="L258" s="60" t="s">
        <v>509</v>
      </c>
      <c r="M258" s="71">
        <v>45677.44258101852</v>
      </c>
      <c r="N258" s="71">
        <v>45680</v>
      </c>
      <c r="O258" s="71">
        <v>45680</v>
      </c>
      <c r="P258" s="64" t="str">
        <f ca="1">IF(Proc[[#This Row],[DaysAgeing]]&gt;5,"yep","on track")</f>
        <v>on track</v>
      </c>
      <c r="Q258" s="3">
        <f ca="1">IF(Proc[[#This Row],[DateClosed]]="",ABS(NETWORKDAYS(Proc[[#This Row],[DateOpened]],TODAY()))-1,ABS(NETWORKDAYS(Proc[[#This Row],[DateOpened]],Proc[[#This Row],[DateClosed]]))-1)</f>
        <v>3</v>
      </c>
      <c r="R258" s="64" t="s">
        <v>830</v>
      </c>
      <c r="S258" s="60"/>
    </row>
    <row r="259" spans="1:19" hidden="1">
      <c r="A259" s="62" t="s">
        <v>1583</v>
      </c>
      <c r="B259" s="149" t="str">
        <f>IFERROR(VLOOKUP(Proc[[#This Row],[App]],Table2[],3,0),"open")</f>
        <v>ok</v>
      </c>
      <c r="C259" s="62" t="s">
        <v>369</v>
      </c>
      <c r="D259" t="s">
        <v>1579</v>
      </c>
      <c r="E259" t="s">
        <v>526</v>
      </c>
      <c r="F259" s="117" t="s">
        <v>526</v>
      </c>
      <c r="G259" s="62" t="s">
        <v>400</v>
      </c>
      <c r="H259" s="60" t="str">
        <f>IF(Proc[[#This Row],[type]]="LFF (MDG-F)",MID(Proc[[#This Row],[Obj]],13,10),"")</f>
        <v/>
      </c>
      <c r="J259" s="60" t="b">
        <f>Proc[[#This Row],[Requested]]=Proc[[#This Row],[CurrentParent]]</f>
        <v>1</v>
      </c>
      <c r="K259" s="144" t="str">
        <f>IF(Proc[[#This Row],[Author]]="Marcela Urrego",VLOOKUP(LEFT(Proc[[#This Row],[Requested]],1),Table3[#All],2,0),VLOOKUP(Proc[[#This Row],[Author]],Table4[],2,0))</f>
        <v>LS</v>
      </c>
      <c r="L259" s="60" t="s">
        <v>509</v>
      </c>
      <c r="M259" s="71">
        <v>45677.44258101852</v>
      </c>
      <c r="N259" s="71">
        <v>45680</v>
      </c>
      <c r="O259" s="71">
        <v>45680</v>
      </c>
      <c r="P259" s="64" t="str">
        <f ca="1">IF(Proc[[#This Row],[DaysAgeing]]&gt;5,"yep","on track")</f>
        <v>on track</v>
      </c>
      <c r="Q259" s="3">
        <f ca="1">IF(Proc[[#This Row],[DateClosed]]="",ABS(NETWORKDAYS(Proc[[#This Row],[DateOpened]],TODAY()))-1,ABS(NETWORKDAYS(Proc[[#This Row],[DateOpened]],Proc[[#This Row],[DateClosed]]))-1)</f>
        <v>3</v>
      </c>
      <c r="R259" s="64" t="s">
        <v>830</v>
      </c>
      <c r="S259" s="60"/>
    </row>
    <row r="260" spans="1:19" hidden="1">
      <c r="A260" s="62" t="s">
        <v>1583</v>
      </c>
      <c r="B260" s="149" t="str">
        <f>IFERROR(VLOOKUP(Proc[[#This Row],[App]],Table2[],3,0),"open")</f>
        <v>ok</v>
      </c>
      <c r="C260" s="62" t="s">
        <v>369</v>
      </c>
      <c r="D260" t="s">
        <v>1580</v>
      </c>
      <c r="E260" t="s">
        <v>546</v>
      </c>
      <c r="F260" s="117" t="s">
        <v>546</v>
      </c>
      <c r="G260" s="62" t="s">
        <v>400</v>
      </c>
      <c r="H260" s="60" t="str">
        <f>IF(Proc[[#This Row],[type]]="LFF (MDG-F)",MID(Proc[[#This Row],[Obj]],13,10),"")</f>
        <v/>
      </c>
      <c r="J260" s="60" t="b">
        <f>Proc[[#This Row],[Requested]]=Proc[[#This Row],[CurrentParent]]</f>
        <v>1</v>
      </c>
      <c r="K260" s="144" t="str">
        <f>IF(Proc[[#This Row],[Author]]="Marcela Urrego",VLOOKUP(LEFT(Proc[[#This Row],[Requested]],1),Table3[#All],2,0),VLOOKUP(Proc[[#This Row],[Author]],Table4[],2,0))</f>
        <v>LS</v>
      </c>
      <c r="L260" s="60" t="s">
        <v>509</v>
      </c>
      <c r="M260" s="71">
        <v>45677.44258101852</v>
      </c>
      <c r="N260" s="71">
        <v>45680</v>
      </c>
      <c r="O260" s="71">
        <v>45680</v>
      </c>
      <c r="P260" s="64" t="str">
        <f ca="1">IF(Proc[[#This Row],[DaysAgeing]]&gt;5,"yep","on track")</f>
        <v>on track</v>
      </c>
      <c r="Q260" s="3">
        <f ca="1">IF(Proc[[#This Row],[DateClosed]]="",ABS(NETWORKDAYS(Proc[[#This Row],[DateOpened]],TODAY()))-1,ABS(NETWORKDAYS(Proc[[#This Row],[DateOpened]],Proc[[#This Row],[DateClosed]]))-1)</f>
        <v>3</v>
      </c>
      <c r="R260" s="64" t="s">
        <v>830</v>
      </c>
      <c r="S260" s="60"/>
    </row>
    <row r="261" spans="1:19" hidden="1">
      <c r="A261" s="62" t="s">
        <v>1583</v>
      </c>
      <c r="B261" s="149" t="str">
        <f>IFERROR(VLOOKUP(Proc[[#This Row],[App]],Table2[],3,0),"open")</f>
        <v>ok</v>
      </c>
      <c r="C261" s="62" t="s">
        <v>369</v>
      </c>
      <c r="D261" t="s">
        <v>1581</v>
      </c>
      <c r="E261" t="s">
        <v>977</v>
      </c>
      <c r="F261" s="117" t="s">
        <v>977</v>
      </c>
      <c r="G261" s="62" t="s">
        <v>400</v>
      </c>
      <c r="H261" s="60" t="str">
        <f>IF(Proc[[#This Row],[type]]="LFF (MDG-F)",MID(Proc[[#This Row],[Obj]],13,10),"")</f>
        <v/>
      </c>
      <c r="J261" s="60" t="b">
        <f>Proc[[#This Row],[Requested]]=Proc[[#This Row],[CurrentParent]]</f>
        <v>1</v>
      </c>
      <c r="K261" s="144" t="str">
        <f>IF(Proc[[#This Row],[Author]]="Marcela Urrego",VLOOKUP(LEFT(Proc[[#This Row],[Requested]],1),Table3[#All],2,0),VLOOKUP(Proc[[#This Row],[Author]],Table4[],2,0))</f>
        <v>LS</v>
      </c>
      <c r="L261" s="60" t="s">
        <v>509</v>
      </c>
      <c r="M261" s="71">
        <v>45677.44258101852</v>
      </c>
      <c r="N261" s="71">
        <v>45680</v>
      </c>
      <c r="O261" s="71">
        <v>45680</v>
      </c>
      <c r="P261" s="64" t="str">
        <f ca="1">IF(Proc[[#This Row],[DaysAgeing]]&gt;5,"yep","on track")</f>
        <v>on track</v>
      </c>
      <c r="Q261" s="3">
        <f ca="1">IF(Proc[[#This Row],[DateClosed]]="",ABS(NETWORKDAYS(Proc[[#This Row],[DateOpened]],TODAY()))-1,ABS(NETWORKDAYS(Proc[[#This Row],[DateOpened]],Proc[[#This Row],[DateClosed]]))-1)</f>
        <v>3</v>
      </c>
      <c r="R261" s="64" t="s">
        <v>830</v>
      </c>
      <c r="S261" s="60"/>
    </row>
    <row r="262" spans="1:19" hidden="1">
      <c r="A262" s="62" t="s">
        <v>1583</v>
      </c>
      <c r="B262" s="149" t="str">
        <f>IFERROR(VLOOKUP(Proc[[#This Row],[App]],Table2[],3,0),"open")</f>
        <v>ok</v>
      </c>
      <c r="C262" s="62" t="s">
        <v>369</v>
      </c>
      <c r="D262" t="s">
        <v>1582</v>
      </c>
      <c r="E262" t="s">
        <v>546</v>
      </c>
      <c r="F262" s="117" t="s">
        <v>546</v>
      </c>
      <c r="G262" s="62" t="s">
        <v>400</v>
      </c>
      <c r="H262" s="60" t="str">
        <f>IF(Proc[[#This Row],[type]]="LFF (MDG-F)",MID(Proc[[#This Row],[Obj]],13,10),"")</f>
        <v/>
      </c>
      <c r="J262" s="60" t="b">
        <f>Proc[[#This Row],[Requested]]=Proc[[#This Row],[CurrentParent]]</f>
        <v>1</v>
      </c>
      <c r="K262" s="144" t="str">
        <f>IF(Proc[[#This Row],[Author]]="Marcela Urrego",VLOOKUP(LEFT(Proc[[#This Row],[Requested]],1),Table3[#All],2,0),VLOOKUP(Proc[[#This Row],[Author]],Table4[],2,0))</f>
        <v>LS</v>
      </c>
      <c r="L262" s="60" t="s">
        <v>509</v>
      </c>
      <c r="M262" s="71">
        <v>45677.44258101852</v>
      </c>
      <c r="N262" s="71">
        <v>45680</v>
      </c>
      <c r="O262" s="71">
        <v>45680</v>
      </c>
      <c r="P262" s="64" t="str">
        <f ca="1">IF(Proc[[#This Row],[DaysAgeing]]&gt;5,"yep","on track")</f>
        <v>on track</v>
      </c>
      <c r="Q262" s="3">
        <f ca="1">IF(Proc[[#This Row],[DateClosed]]="",ABS(NETWORKDAYS(Proc[[#This Row],[DateOpened]],TODAY()))-1,ABS(NETWORKDAYS(Proc[[#This Row],[DateOpened]],Proc[[#This Row],[DateClosed]]))-1)</f>
        <v>3</v>
      </c>
      <c r="R262" s="64" t="s">
        <v>830</v>
      </c>
      <c r="S262" s="60"/>
    </row>
    <row r="263" spans="1:19" hidden="1">
      <c r="A263" t="s">
        <v>1587</v>
      </c>
      <c r="B263" s="149" t="str">
        <f>IFERROR(VLOOKUP(Proc[[#This Row],[App]],Table2[],3,0),"open")</f>
        <v>ok</v>
      </c>
      <c r="C263" t="s">
        <v>369</v>
      </c>
      <c r="D263" t="s">
        <v>1584</v>
      </c>
      <c r="E263" t="s">
        <v>1588</v>
      </c>
      <c r="F263" s="117" t="s">
        <v>1588</v>
      </c>
      <c r="G263" s="62" t="s">
        <v>406</v>
      </c>
      <c r="H263" s="60" t="str">
        <f>IF(Proc[[#This Row],[type]]="LFF (MDG-F)",MID(Proc[[#This Row],[Obj]],13,10),"")</f>
        <v>DE10558300</v>
      </c>
      <c r="I263" t="s">
        <v>1637</v>
      </c>
      <c r="J263" s="60" t="b">
        <f>Proc[[#This Row],[Requested]]=Proc[[#This Row],[CurrentParent]]</f>
        <v>1</v>
      </c>
      <c r="K263" s="144" t="str">
        <f>IF(Proc[[#This Row],[Author]]="Marcela Urrego",VLOOKUP(LEFT(Proc[[#This Row],[Requested]],1),Table3[#All],2,0),VLOOKUP(Proc[[#This Row],[Author]],Table4[],2,0))</f>
        <v>MGF</v>
      </c>
      <c r="L263" s="60" t="s">
        <v>509</v>
      </c>
      <c r="M263" s="71">
        <v>45677.556840277779</v>
      </c>
      <c r="N263" s="71">
        <v>45688</v>
      </c>
      <c r="O263" s="71">
        <v>45688</v>
      </c>
      <c r="P263" s="64" t="str">
        <f ca="1">IF(Proc[[#This Row],[DaysAgeing]]&gt;5,"yep","on track")</f>
        <v>yep</v>
      </c>
      <c r="Q263" s="3">
        <f ca="1">IF(Proc[[#This Row],[DateClosed]]="",ABS(NETWORKDAYS(Proc[[#This Row],[DateOpened]],TODAY()))-1,ABS(NETWORKDAYS(Proc[[#This Row],[DateOpened]],Proc[[#This Row],[DateClosed]]))-1)</f>
        <v>9</v>
      </c>
      <c r="R263" s="64" t="s">
        <v>452</v>
      </c>
      <c r="S263" s="60"/>
    </row>
    <row r="264" spans="1:19" hidden="1">
      <c r="A264" s="62" t="s">
        <v>1587</v>
      </c>
      <c r="B264" s="149" t="str">
        <f>IFERROR(VLOOKUP(Proc[[#This Row],[App]],Table2[],3,0),"open")</f>
        <v>ok</v>
      </c>
      <c r="C264" s="62" t="s">
        <v>369</v>
      </c>
      <c r="D264" t="s">
        <v>1585</v>
      </c>
      <c r="E264" t="s">
        <v>1589</v>
      </c>
      <c r="F264" s="117" t="s">
        <v>1589</v>
      </c>
      <c r="G264" s="62" t="s">
        <v>406</v>
      </c>
      <c r="H264" s="60" t="str">
        <f>IF(Proc[[#This Row],[type]]="LFF (MDG-F)",MID(Proc[[#This Row],[Obj]],13,10),"")</f>
        <v>DE10622200</v>
      </c>
      <c r="I264" t="s">
        <v>1637</v>
      </c>
      <c r="J264" s="60" t="b">
        <f>Proc[[#This Row],[Requested]]=Proc[[#This Row],[CurrentParent]]</f>
        <v>1</v>
      </c>
      <c r="K264" s="144" t="str">
        <f>IF(Proc[[#This Row],[Author]]="Marcela Urrego",VLOOKUP(LEFT(Proc[[#This Row],[Requested]],1),Table3[#All],2,0),VLOOKUP(Proc[[#This Row],[Author]],Table4[],2,0))</f>
        <v>MGF</v>
      </c>
      <c r="L264" s="60" t="s">
        <v>509</v>
      </c>
      <c r="M264" s="71">
        <v>45677.556840277779</v>
      </c>
      <c r="N264" s="71">
        <v>45688</v>
      </c>
      <c r="O264" s="71">
        <v>45688</v>
      </c>
      <c r="P264" s="64" t="str">
        <f ca="1">IF(Proc[[#This Row],[DaysAgeing]]&gt;5,"yep","on track")</f>
        <v>yep</v>
      </c>
      <c r="Q264" s="3">
        <f ca="1">IF(Proc[[#This Row],[DateClosed]]="",ABS(NETWORKDAYS(Proc[[#This Row],[DateOpened]],TODAY()))-1,ABS(NETWORKDAYS(Proc[[#This Row],[DateOpened]],Proc[[#This Row],[DateClosed]]))-1)</f>
        <v>9</v>
      </c>
      <c r="R264" s="64" t="s">
        <v>452</v>
      </c>
      <c r="S264" s="60"/>
    </row>
    <row r="265" spans="1:19" hidden="1">
      <c r="A265" s="62" t="s">
        <v>1587</v>
      </c>
      <c r="B265" s="149" t="str">
        <f>IFERROR(VLOOKUP(Proc[[#This Row],[App]],Table2[],3,0),"open")</f>
        <v>ok</v>
      </c>
      <c r="C265" s="62" t="s">
        <v>369</v>
      </c>
      <c r="D265" t="s">
        <v>1586</v>
      </c>
      <c r="E265" t="s">
        <v>1590</v>
      </c>
      <c r="F265" s="117" t="s">
        <v>1590</v>
      </c>
      <c r="G265" s="62" t="s">
        <v>406</v>
      </c>
      <c r="H265" s="60" t="str">
        <f>IF(Proc[[#This Row],[type]]="LFF (MDG-F)",MID(Proc[[#This Row],[Obj]],13,10),"")</f>
        <v>DE10623000</v>
      </c>
      <c r="I265" t="s">
        <v>1637</v>
      </c>
      <c r="J265" s="60" t="b">
        <f>Proc[[#This Row],[Requested]]=Proc[[#This Row],[CurrentParent]]</f>
        <v>1</v>
      </c>
      <c r="K265" s="144" t="str">
        <f>IF(Proc[[#This Row],[Author]]="Marcela Urrego",VLOOKUP(LEFT(Proc[[#This Row],[Requested]],1),Table3[#All],2,0),VLOOKUP(Proc[[#This Row],[Author]],Table4[],2,0))</f>
        <v>MGF</v>
      </c>
      <c r="L265" s="60" t="s">
        <v>509</v>
      </c>
      <c r="M265" s="71">
        <v>45677.556840277779</v>
      </c>
      <c r="N265" s="71">
        <v>45688</v>
      </c>
      <c r="O265" s="71">
        <v>45688</v>
      </c>
      <c r="P265" s="64" t="str">
        <f ca="1">IF(Proc[[#This Row],[DaysAgeing]]&gt;5,"yep","on track")</f>
        <v>yep</v>
      </c>
      <c r="Q265" s="3">
        <f ca="1">IF(Proc[[#This Row],[DateClosed]]="",ABS(NETWORKDAYS(Proc[[#This Row],[DateOpened]],TODAY()))-1,ABS(NETWORKDAYS(Proc[[#This Row],[DateOpened]],Proc[[#This Row],[DateClosed]]))-1)</f>
        <v>9</v>
      </c>
      <c r="R265" s="64" t="s">
        <v>452</v>
      </c>
      <c r="S265" s="60"/>
    </row>
    <row r="266" spans="1:19" hidden="1">
      <c r="A266" t="s">
        <v>1606</v>
      </c>
      <c r="B266" s="149" t="str">
        <f>IFERROR(VLOOKUP(Proc[[#This Row],[App]],Table2[],3,0),"open")</f>
        <v>ok</v>
      </c>
      <c r="C266" s="62" t="s">
        <v>369</v>
      </c>
      <c r="D266" t="s">
        <v>1607</v>
      </c>
      <c r="E266" t="s">
        <v>1144</v>
      </c>
      <c r="F266" s="117" t="s">
        <v>1144</v>
      </c>
      <c r="G266" s="62" t="s">
        <v>400</v>
      </c>
      <c r="H266" s="60" t="str">
        <f>IF(Proc[[#This Row],[type]]="LFF (MDG-F)",MID(Proc[[#This Row],[Obj]],13,10),"")</f>
        <v/>
      </c>
      <c r="J266" s="60" t="b">
        <f>Proc[[#This Row],[Requested]]=Proc[[#This Row],[CurrentParent]]</f>
        <v>1</v>
      </c>
      <c r="K266" s="144" t="str">
        <f>IF(Proc[[#This Row],[Author]]="Marcela Urrego",VLOOKUP(LEFT(Proc[[#This Row],[Requested]],1),Table3[#All],2,0),VLOOKUP(Proc[[#This Row],[Author]],Table4[],2,0))</f>
        <v>LS</v>
      </c>
      <c r="L266" s="60" t="s">
        <v>509</v>
      </c>
      <c r="M266" s="71">
        <v>45678.433263888888</v>
      </c>
      <c r="N266" s="71">
        <v>45681</v>
      </c>
      <c r="O266" s="71">
        <v>45681</v>
      </c>
      <c r="P266" s="64" t="str">
        <f ca="1">IF(Proc[[#This Row],[DaysAgeing]]&gt;5,"yep","on track")</f>
        <v>on track</v>
      </c>
      <c r="Q266" s="3">
        <f ca="1">IF(Proc[[#This Row],[DateClosed]]="",ABS(NETWORKDAYS(Proc[[#This Row],[DateOpened]],TODAY()))-1,ABS(NETWORKDAYS(Proc[[#This Row],[DateOpened]],Proc[[#This Row],[DateClosed]]))-1)</f>
        <v>3</v>
      </c>
      <c r="R266" s="64" t="s">
        <v>972</v>
      </c>
      <c r="S266" s="60"/>
    </row>
    <row r="267" spans="1:19" hidden="1">
      <c r="A267" s="62" t="s">
        <v>1606</v>
      </c>
      <c r="B267" s="149" t="str">
        <f>IFERROR(VLOOKUP(Proc[[#This Row],[App]],Table2[],3,0),"open")</f>
        <v>ok</v>
      </c>
      <c r="C267" s="62" t="s">
        <v>369</v>
      </c>
      <c r="D267" t="s">
        <v>1608</v>
      </c>
      <c r="E267" t="s">
        <v>1143</v>
      </c>
      <c r="F267" s="117" t="s">
        <v>1143</v>
      </c>
      <c r="G267" s="62" t="s">
        <v>400</v>
      </c>
      <c r="H267" s="60" t="str">
        <f>IF(Proc[[#This Row],[type]]="LFF (MDG-F)",MID(Proc[[#This Row],[Obj]],13,10),"")</f>
        <v/>
      </c>
      <c r="J267" s="60" t="b">
        <f>Proc[[#This Row],[Requested]]=Proc[[#This Row],[CurrentParent]]</f>
        <v>1</v>
      </c>
      <c r="K267" s="144" t="str">
        <f>IF(Proc[[#This Row],[Author]]="Marcela Urrego",VLOOKUP(LEFT(Proc[[#This Row],[Requested]],1),Table3[#All],2,0),VLOOKUP(Proc[[#This Row],[Author]],Table4[],2,0))</f>
        <v>LS</v>
      </c>
      <c r="L267" s="60" t="s">
        <v>509</v>
      </c>
      <c r="M267" s="71">
        <v>45678.433263888888</v>
      </c>
      <c r="N267" s="71">
        <v>45681</v>
      </c>
      <c r="O267" s="71">
        <v>45681</v>
      </c>
      <c r="P267" s="64" t="str">
        <f ca="1">IF(Proc[[#This Row],[DaysAgeing]]&gt;5,"yep","on track")</f>
        <v>on track</v>
      </c>
      <c r="Q267" s="3">
        <f ca="1">IF(Proc[[#This Row],[DateClosed]]="",ABS(NETWORKDAYS(Proc[[#This Row],[DateOpened]],TODAY()))-1,ABS(NETWORKDAYS(Proc[[#This Row],[DateOpened]],Proc[[#This Row],[DateClosed]]))-1)</f>
        <v>3</v>
      </c>
      <c r="R267" s="64" t="s">
        <v>972</v>
      </c>
      <c r="S267" s="60"/>
    </row>
    <row r="268" spans="1:19" hidden="1">
      <c r="A268" s="62" t="s">
        <v>1606</v>
      </c>
      <c r="B268" s="149" t="str">
        <f>IFERROR(VLOOKUP(Proc[[#This Row],[App]],Table2[],3,0),"open")</f>
        <v>ok</v>
      </c>
      <c r="C268" s="62" t="s">
        <v>369</v>
      </c>
      <c r="D268" t="s">
        <v>1609</v>
      </c>
      <c r="E268" t="s">
        <v>480</v>
      </c>
      <c r="F268" s="117" t="s">
        <v>480</v>
      </c>
      <c r="G268" s="62" t="s">
        <v>400</v>
      </c>
      <c r="H268" s="60" t="str">
        <f>IF(Proc[[#This Row],[type]]="LFF (MDG-F)",MID(Proc[[#This Row],[Obj]],13,10),"")</f>
        <v/>
      </c>
      <c r="J268" s="60" t="b">
        <f>Proc[[#This Row],[Requested]]=Proc[[#This Row],[CurrentParent]]</f>
        <v>1</v>
      </c>
      <c r="K268" s="144" t="str">
        <f>IF(Proc[[#This Row],[Author]]="Marcela Urrego",VLOOKUP(LEFT(Proc[[#This Row],[Requested]],1),Table3[#All],2,0),VLOOKUP(Proc[[#This Row],[Author]],Table4[],2,0))</f>
        <v>LS</v>
      </c>
      <c r="L268" s="60" t="s">
        <v>509</v>
      </c>
      <c r="M268" s="71">
        <v>45678.433263888888</v>
      </c>
      <c r="N268" s="71">
        <v>45681</v>
      </c>
      <c r="O268" s="71">
        <v>45681</v>
      </c>
      <c r="P268" s="64" t="str">
        <f ca="1">IF(Proc[[#This Row],[DaysAgeing]]&gt;5,"yep","on track")</f>
        <v>on track</v>
      </c>
      <c r="Q268" s="3">
        <f ca="1">IF(Proc[[#This Row],[DateClosed]]="",ABS(NETWORKDAYS(Proc[[#This Row],[DateOpened]],TODAY()))-1,ABS(NETWORKDAYS(Proc[[#This Row],[DateOpened]],Proc[[#This Row],[DateClosed]]))-1)</f>
        <v>3</v>
      </c>
      <c r="R268" s="64" t="s">
        <v>972</v>
      </c>
      <c r="S268" s="60"/>
    </row>
    <row r="269" spans="1:19" hidden="1">
      <c r="A269" s="62" t="s">
        <v>1606</v>
      </c>
      <c r="B269" s="149" t="str">
        <f>IFERROR(VLOOKUP(Proc[[#This Row],[App]],Table2[],3,0),"open")</f>
        <v>ok</v>
      </c>
      <c r="C269" s="62" t="s">
        <v>369</v>
      </c>
      <c r="D269" t="s">
        <v>1610</v>
      </c>
      <c r="E269" t="s">
        <v>622</v>
      </c>
      <c r="F269" s="117" t="s">
        <v>622</v>
      </c>
      <c r="G269" s="62" t="s">
        <v>400</v>
      </c>
      <c r="H269" s="60" t="str">
        <f>IF(Proc[[#This Row],[type]]="LFF (MDG-F)",MID(Proc[[#This Row],[Obj]],13,10),"")</f>
        <v/>
      </c>
      <c r="J269" s="60" t="b">
        <f>Proc[[#This Row],[Requested]]=Proc[[#This Row],[CurrentParent]]</f>
        <v>1</v>
      </c>
      <c r="K269" s="144" t="str">
        <f>IF(Proc[[#This Row],[Author]]="Marcela Urrego",VLOOKUP(LEFT(Proc[[#This Row],[Requested]],1),Table3[#All],2,0),VLOOKUP(Proc[[#This Row],[Author]],Table4[],2,0))</f>
        <v>LS</v>
      </c>
      <c r="L269" s="60" t="s">
        <v>509</v>
      </c>
      <c r="M269" s="71">
        <v>45678.433263888888</v>
      </c>
      <c r="N269" s="71">
        <v>45681</v>
      </c>
      <c r="O269" s="71">
        <v>45681</v>
      </c>
      <c r="P269" s="64" t="str">
        <f ca="1">IF(Proc[[#This Row],[DaysAgeing]]&gt;5,"yep","on track")</f>
        <v>on track</v>
      </c>
      <c r="Q269" s="3">
        <f ca="1">IF(Proc[[#This Row],[DateClosed]]="",ABS(NETWORKDAYS(Proc[[#This Row],[DateOpened]],TODAY()))-1,ABS(NETWORKDAYS(Proc[[#This Row],[DateOpened]],Proc[[#This Row],[DateClosed]]))-1)</f>
        <v>3</v>
      </c>
      <c r="R269" s="64" t="s">
        <v>972</v>
      </c>
      <c r="S269" s="60"/>
    </row>
    <row r="270" spans="1:19" hidden="1">
      <c r="A270" s="62" t="s">
        <v>1591</v>
      </c>
      <c r="B270" s="149" t="str">
        <f>IFERROR(VLOOKUP(Proc[[#This Row],[App]],Table2[],3,0),"open")</f>
        <v>ok</v>
      </c>
      <c r="C270" s="62" t="s">
        <v>369</v>
      </c>
      <c r="D270" t="s">
        <v>1592</v>
      </c>
      <c r="E270" t="s">
        <v>1604</v>
      </c>
      <c r="F270" s="117" t="s">
        <v>1604</v>
      </c>
      <c r="G270" s="62" t="s">
        <v>400</v>
      </c>
      <c r="H270" s="60" t="str">
        <f>IF(Proc[[#This Row],[type]]="LFF (MDG-F)",MID(Proc[[#This Row],[Obj]],13,10),"")</f>
        <v/>
      </c>
      <c r="J270" s="60" t="b">
        <f>Proc[[#This Row],[Requested]]=Proc[[#This Row],[CurrentParent]]</f>
        <v>1</v>
      </c>
      <c r="K270" s="144" t="str">
        <f>IF(Proc[[#This Row],[Author]]="Marcela Urrego",VLOOKUP(LEFT(Proc[[#This Row],[Requested]],1),Table3[#All],2,0),VLOOKUP(Proc[[#This Row],[Author]],Table4[],2,0))</f>
        <v>EL</v>
      </c>
      <c r="L270" s="60" t="s">
        <v>509</v>
      </c>
      <c r="M270" s="71">
        <v>45679.497245370374</v>
      </c>
      <c r="N270" s="71">
        <v>45681</v>
      </c>
      <c r="O270" s="71">
        <v>45681</v>
      </c>
      <c r="P270" s="64" t="str">
        <f ca="1">IF(Proc[[#This Row],[DaysAgeing]]&gt;5,"yep","on track")</f>
        <v>on track</v>
      </c>
      <c r="Q270" s="3">
        <f ca="1">IF(Proc[[#This Row],[DateClosed]]="",ABS(NETWORKDAYS(Proc[[#This Row],[DateOpened]],TODAY()))-1,ABS(NETWORKDAYS(Proc[[#This Row],[DateOpened]],Proc[[#This Row],[DateClosed]]))-1)</f>
        <v>2</v>
      </c>
      <c r="R270" s="64" t="s">
        <v>1001</v>
      </c>
      <c r="S270" s="60"/>
    </row>
    <row r="271" spans="1:19" hidden="1">
      <c r="A271" s="62" t="s">
        <v>1591</v>
      </c>
      <c r="B271" s="149" t="str">
        <f>IFERROR(VLOOKUP(Proc[[#This Row],[App]],Table2[],3,0),"open")</f>
        <v>ok</v>
      </c>
      <c r="C271" s="62" t="s">
        <v>369</v>
      </c>
      <c r="D271" t="s">
        <v>1593</v>
      </c>
      <c r="E271" t="s">
        <v>1605</v>
      </c>
      <c r="F271" s="117" t="s">
        <v>1605</v>
      </c>
      <c r="G271" s="62" t="s">
        <v>400</v>
      </c>
      <c r="H271" s="60" t="str">
        <f>IF(Proc[[#This Row],[type]]="LFF (MDG-F)",MID(Proc[[#This Row],[Obj]],13,10),"")</f>
        <v/>
      </c>
      <c r="J271" s="60" t="b">
        <f>Proc[[#This Row],[Requested]]=Proc[[#This Row],[CurrentParent]]</f>
        <v>1</v>
      </c>
      <c r="K271" s="144" t="str">
        <f>IF(Proc[[#This Row],[Author]]="Marcela Urrego",VLOOKUP(LEFT(Proc[[#This Row],[Requested]],1),Table3[#All],2,0),VLOOKUP(Proc[[#This Row],[Author]],Table4[],2,0))</f>
        <v>EL</v>
      </c>
      <c r="L271" s="60" t="s">
        <v>509</v>
      </c>
      <c r="M271" s="71">
        <v>45679.497245370374</v>
      </c>
      <c r="N271" s="71">
        <v>45681</v>
      </c>
      <c r="O271" s="71">
        <v>45681</v>
      </c>
      <c r="P271" s="64" t="str">
        <f ca="1">IF(Proc[[#This Row],[DaysAgeing]]&gt;5,"yep","on track")</f>
        <v>on track</v>
      </c>
      <c r="Q271" s="3">
        <f ca="1">IF(Proc[[#This Row],[DateClosed]]="",ABS(NETWORKDAYS(Proc[[#This Row],[DateOpened]],TODAY()))-1,ABS(NETWORKDAYS(Proc[[#This Row],[DateOpened]],Proc[[#This Row],[DateClosed]]))-1)</f>
        <v>2</v>
      </c>
      <c r="R271" s="64" t="s">
        <v>1001</v>
      </c>
      <c r="S271" s="60"/>
    </row>
    <row r="272" spans="1:19" hidden="1">
      <c r="A272" s="62" t="s">
        <v>1591</v>
      </c>
      <c r="B272" s="149" t="str">
        <f>IFERROR(VLOOKUP(Proc[[#This Row],[App]],Table2[],3,0),"open")</f>
        <v>ok</v>
      </c>
      <c r="C272" s="62" t="s">
        <v>369</v>
      </c>
      <c r="D272" t="s">
        <v>1594</v>
      </c>
      <c r="E272" t="s">
        <v>1213</v>
      </c>
      <c r="F272" s="117" t="s">
        <v>1213</v>
      </c>
      <c r="G272" s="62" t="s">
        <v>400</v>
      </c>
      <c r="H272" s="60" t="str">
        <f>IF(Proc[[#This Row],[type]]="LFF (MDG-F)",MID(Proc[[#This Row],[Obj]],13,10),"")</f>
        <v/>
      </c>
      <c r="J272" s="60" t="b">
        <f>Proc[[#This Row],[Requested]]=Proc[[#This Row],[CurrentParent]]</f>
        <v>1</v>
      </c>
      <c r="K272" s="144" t="str">
        <f>IF(Proc[[#This Row],[Author]]="Marcela Urrego",VLOOKUP(LEFT(Proc[[#This Row],[Requested]],1),Table3[#All],2,0),VLOOKUP(Proc[[#This Row],[Author]],Table4[],2,0))</f>
        <v>EL</v>
      </c>
      <c r="L272" s="60" t="s">
        <v>509</v>
      </c>
      <c r="M272" s="71">
        <v>45679.497245370374</v>
      </c>
      <c r="N272" s="71">
        <v>45681</v>
      </c>
      <c r="O272" s="71">
        <v>45681</v>
      </c>
      <c r="P272" s="64" t="str">
        <f ca="1">IF(Proc[[#This Row],[DaysAgeing]]&gt;5,"yep","on track")</f>
        <v>on track</v>
      </c>
      <c r="Q272" s="3">
        <f ca="1">IF(Proc[[#This Row],[DateClosed]]="",ABS(NETWORKDAYS(Proc[[#This Row],[DateOpened]],TODAY()))-1,ABS(NETWORKDAYS(Proc[[#This Row],[DateOpened]],Proc[[#This Row],[DateClosed]]))-1)</f>
        <v>2</v>
      </c>
      <c r="R272" s="64" t="s">
        <v>1001</v>
      </c>
      <c r="S272" s="60"/>
    </row>
    <row r="273" spans="1:19" hidden="1">
      <c r="A273" s="62" t="s">
        <v>1591</v>
      </c>
      <c r="B273" s="149" t="str">
        <f>IFERROR(VLOOKUP(Proc[[#This Row],[App]],Table2[],3,0),"open")</f>
        <v>ok</v>
      </c>
      <c r="C273" s="62" t="s">
        <v>369</v>
      </c>
      <c r="D273" t="s">
        <v>1595</v>
      </c>
      <c r="E273" t="s">
        <v>1211</v>
      </c>
      <c r="F273" s="117" t="s">
        <v>1211</v>
      </c>
      <c r="G273" s="62" t="s">
        <v>400</v>
      </c>
      <c r="H273" s="60" t="str">
        <f>IF(Proc[[#This Row],[type]]="LFF (MDG-F)",MID(Proc[[#This Row],[Obj]],13,10),"")</f>
        <v/>
      </c>
      <c r="J273" s="60" t="b">
        <f>Proc[[#This Row],[Requested]]=Proc[[#This Row],[CurrentParent]]</f>
        <v>1</v>
      </c>
      <c r="K273" s="144" t="str">
        <f>IF(Proc[[#This Row],[Author]]="Marcela Urrego",VLOOKUP(LEFT(Proc[[#This Row],[Requested]],1),Table3[#All],2,0),VLOOKUP(Proc[[#This Row],[Author]],Table4[],2,0))</f>
        <v>EL</v>
      </c>
      <c r="L273" s="60" t="s">
        <v>509</v>
      </c>
      <c r="M273" s="71">
        <v>45679.497245370374</v>
      </c>
      <c r="N273" s="71">
        <v>45681</v>
      </c>
      <c r="O273" s="71">
        <v>45681</v>
      </c>
      <c r="P273" s="64" t="str">
        <f ca="1">IF(Proc[[#This Row],[DaysAgeing]]&gt;5,"yep","on track")</f>
        <v>on track</v>
      </c>
      <c r="Q273" s="3">
        <f ca="1">IF(Proc[[#This Row],[DateClosed]]="",ABS(NETWORKDAYS(Proc[[#This Row],[DateOpened]],TODAY()))-1,ABS(NETWORKDAYS(Proc[[#This Row],[DateOpened]],Proc[[#This Row],[DateClosed]]))-1)</f>
        <v>2</v>
      </c>
      <c r="R273" s="64" t="s">
        <v>1001</v>
      </c>
      <c r="S273" s="60"/>
    </row>
    <row r="274" spans="1:19" hidden="1">
      <c r="A274" s="62" t="s">
        <v>1591</v>
      </c>
      <c r="B274" s="149" t="str">
        <f>IFERROR(VLOOKUP(Proc[[#This Row],[App]],Table2[],3,0),"open")</f>
        <v>ok</v>
      </c>
      <c r="C274" s="62" t="s">
        <v>369</v>
      </c>
      <c r="D274" t="s">
        <v>1596</v>
      </c>
      <c r="E274" t="s">
        <v>1212</v>
      </c>
      <c r="F274" s="117" t="s">
        <v>1212</v>
      </c>
      <c r="G274" s="62" t="s">
        <v>400</v>
      </c>
      <c r="H274" s="60" t="str">
        <f>IF(Proc[[#This Row],[type]]="LFF (MDG-F)",MID(Proc[[#This Row],[Obj]],13,10),"")</f>
        <v/>
      </c>
      <c r="J274" s="60" t="b">
        <f>Proc[[#This Row],[Requested]]=Proc[[#This Row],[CurrentParent]]</f>
        <v>1</v>
      </c>
      <c r="K274" s="144" t="str">
        <f>IF(Proc[[#This Row],[Author]]="Marcela Urrego",VLOOKUP(LEFT(Proc[[#This Row],[Requested]],1),Table3[#All],2,0),VLOOKUP(Proc[[#This Row],[Author]],Table4[],2,0))</f>
        <v>EL</v>
      </c>
      <c r="L274" s="60" t="s">
        <v>509</v>
      </c>
      <c r="M274" s="71">
        <v>45679.497245370374</v>
      </c>
      <c r="N274" s="71">
        <v>45681</v>
      </c>
      <c r="O274" s="71">
        <v>45681</v>
      </c>
      <c r="P274" s="64" t="str">
        <f ca="1">IF(Proc[[#This Row],[DaysAgeing]]&gt;5,"yep","on track")</f>
        <v>on track</v>
      </c>
      <c r="Q274" s="3">
        <f ca="1">IF(Proc[[#This Row],[DateClosed]]="",ABS(NETWORKDAYS(Proc[[#This Row],[DateOpened]],TODAY()))-1,ABS(NETWORKDAYS(Proc[[#This Row],[DateOpened]],Proc[[#This Row],[DateClosed]]))-1)</f>
        <v>2</v>
      </c>
      <c r="R274" s="64" t="s">
        <v>1001</v>
      </c>
      <c r="S274" s="60"/>
    </row>
    <row r="275" spans="1:19" hidden="1">
      <c r="A275" s="62" t="s">
        <v>1591</v>
      </c>
      <c r="B275" s="149" t="str">
        <f>IFERROR(VLOOKUP(Proc[[#This Row],[App]],Table2[],3,0),"open")</f>
        <v>ok</v>
      </c>
      <c r="C275" s="62" t="s">
        <v>369</v>
      </c>
      <c r="D275" t="s">
        <v>1597</v>
      </c>
      <c r="E275" t="s">
        <v>1210</v>
      </c>
      <c r="F275" s="117" t="s">
        <v>1210</v>
      </c>
      <c r="G275" s="62" t="s">
        <v>400</v>
      </c>
      <c r="H275" s="60" t="str">
        <f>IF(Proc[[#This Row],[type]]="LFF (MDG-F)",MID(Proc[[#This Row],[Obj]],13,10),"")</f>
        <v/>
      </c>
      <c r="J275" s="60" t="b">
        <f>Proc[[#This Row],[Requested]]=Proc[[#This Row],[CurrentParent]]</f>
        <v>1</v>
      </c>
      <c r="K275" s="144" t="str">
        <f>IF(Proc[[#This Row],[Author]]="Marcela Urrego",VLOOKUP(LEFT(Proc[[#This Row],[Requested]],1),Table3[#All],2,0),VLOOKUP(Proc[[#This Row],[Author]],Table4[],2,0))</f>
        <v>EL</v>
      </c>
      <c r="L275" s="60" t="s">
        <v>509</v>
      </c>
      <c r="M275" s="71">
        <v>45679.497245370374</v>
      </c>
      <c r="N275" s="71">
        <v>45681</v>
      </c>
      <c r="O275" s="71">
        <v>45681</v>
      </c>
      <c r="P275" s="64" t="str">
        <f ca="1">IF(Proc[[#This Row],[DaysAgeing]]&gt;5,"yep","on track")</f>
        <v>on track</v>
      </c>
      <c r="Q275" s="3">
        <f ca="1">IF(Proc[[#This Row],[DateClosed]]="",ABS(NETWORKDAYS(Proc[[#This Row],[DateOpened]],TODAY()))-1,ABS(NETWORKDAYS(Proc[[#This Row],[DateOpened]],Proc[[#This Row],[DateClosed]]))-1)</f>
        <v>2</v>
      </c>
      <c r="R275" s="64" t="s">
        <v>1001</v>
      </c>
      <c r="S275" s="60"/>
    </row>
    <row r="276" spans="1:19" hidden="1">
      <c r="A276" s="62" t="s">
        <v>1591</v>
      </c>
      <c r="B276" s="149" t="str">
        <f>IFERROR(VLOOKUP(Proc[[#This Row],[App]],Table2[],3,0),"open")</f>
        <v>ok</v>
      </c>
      <c r="C276" s="62" t="s">
        <v>369</v>
      </c>
      <c r="D276" t="s">
        <v>1598</v>
      </c>
      <c r="E276" t="s">
        <v>1604</v>
      </c>
      <c r="F276" s="117" t="s">
        <v>1604</v>
      </c>
      <c r="G276" s="62" t="s">
        <v>400</v>
      </c>
      <c r="H276" s="60" t="str">
        <f>IF(Proc[[#This Row],[type]]="LFF (MDG-F)",MID(Proc[[#This Row],[Obj]],13,10),"")</f>
        <v/>
      </c>
      <c r="J276" s="60" t="b">
        <f>Proc[[#This Row],[Requested]]=Proc[[#This Row],[CurrentParent]]</f>
        <v>1</v>
      </c>
      <c r="K276" s="144" t="str">
        <f>IF(Proc[[#This Row],[Author]]="Marcela Urrego",VLOOKUP(LEFT(Proc[[#This Row],[Requested]],1),Table3[#All],2,0),VLOOKUP(Proc[[#This Row],[Author]],Table4[],2,0))</f>
        <v>EL</v>
      </c>
      <c r="L276" s="60" t="s">
        <v>509</v>
      </c>
      <c r="M276" s="71">
        <v>45679.497245370374</v>
      </c>
      <c r="N276" s="71">
        <v>45681</v>
      </c>
      <c r="O276" s="71">
        <v>45681</v>
      </c>
      <c r="P276" s="64" t="str">
        <f ca="1">IF(Proc[[#This Row],[DaysAgeing]]&gt;5,"yep","on track")</f>
        <v>on track</v>
      </c>
      <c r="Q276" s="3">
        <f ca="1">IF(Proc[[#This Row],[DateClosed]]="",ABS(NETWORKDAYS(Proc[[#This Row],[DateOpened]],TODAY()))-1,ABS(NETWORKDAYS(Proc[[#This Row],[DateOpened]],Proc[[#This Row],[DateClosed]]))-1)</f>
        <v>2</v>
      </c>
      <c r="R276" s="64" t="s">
        <v>1001</v>
      </c>
      <c r="S276" s="60"/>
    </row>
    <row r="277" spans="1:19" hidden="1">
      <c r="A277" s="62" t="s">
        <v>1591</v>
      </c>
      <c r="B277" s="149" t="str">
        <f>IFERROR(VLOOKUP(Proc[[#This Row],[App]],Table2[],3,0),"open")</f>
        <v>ok</v>
      </c>
      <c r="C277" s="62" t="s">
        <v>369</v>
      </c>
      <c r="D277" t="s">
        <v>1599</v>
      </c>
      <c r="E277" t="s">
        <v>1605</v>
      </c>
      <c r="F277" s="117" t="s">
        <v>1605</v>
      </c>
      <c r="G277" s="62" t="s">
        <v>400</v>
      </c>
      <c r="H277" s="60" t="str">
        <f>IF(Proc[[#This Row],[type]]="LFF (MDG-F)",MID(Proc[[#This Row],[Obj]],13,10),"")</f>
        <v/>
      </c>
      <c r="J277" s="60" t="b">
        <f>Proc[[#This Row],[Requested]]=Proc[[#This Row],[CurrentParent]]</f>
        <v>1</v>
      </c>
      <c r="K277" s="144" t="str">
        <f>IF(Proc[[#This Row],[Author]]="Marcela Urrego",VLOOKUP(LEFT(Proc[[#This Row],[Requested]],1),Table3[#All],2,0),VLOOKUP(Proc[[#This Row],[Author]],Table4[],2,0))</f>
        <v>EL</v>
      </c>
      <c r="L277" s="60" t="s">
        <v>509</v>
      </c>
      <c r="M277" s="71">
        <v>45679.497245370374</v>
      </c>
      <c r="N277" s="71">
        <v>45681</v>
      </c>
      <c r="O277" s="71">
        <v>45681</v>
      </c>
      <c r="P277" s="64" t="str">
        <f ca="1">IF(Proc[[#This Row],[DaysAgeing]]&gt;5,"yep","on track")</f>
        <v>on track</v>
      </c>
      <c r="Q277" s="3">
        <f ca="1">IF(Proc[[#This Row],[DateClosed]]="",ABS(NETWORKDAYS(Proc[[#This Row],[DateOpened]],TODAY()))-1,ABS(NETWORKDAYS(Proc[[#This Row],[DateOpened]],Proc[[#This Row],[DateClosed]]))-1)</f>
        <v>2</v>
      </c>
      <c r="R277" s="64" t="s">
        <v>1001</v>
      </c>
      <c r="S277" s="60"/>
    </row>
    <row r="278" spans="1:19" hidden="1">
      <c r="A278" t="s">
        <v>1591</v>
      </c>
      <c r="B278" s="149" t="str">
        <f>IFERROR(VLOOKUP(Proc[[#This Row],[App]],Table2[],3,0),"open")</f>
        <v>ok</v>
      </c>
      <c r="C278" s="62" t="s">
        <v>369</v>
      </c>
      <c r="D278" t="s">
        <v>1600</v>
      </c>
      <c r="E278" t="s">
        <v>1214</v>
      </c>
      <c r="F278" s="117" t="s">
        <v>1214</v>
      </c>
      <c r="G278" s="62" t="s">
        <v>400</v>
      </c>
      <c r="H278" s="60" t="str">
        <f>IF(Proc[[#This Row],[type]]="LFF (MDG-F)",MID(Proc[[#This Row],[Obj]],13,10),"")</f>
        <v/>
      </c>
      <c r="J278" s="60" t="b">
        <f>Proc[[#This Row],[Requested]]=Proc[[#This Row],[CurrentParent]]</f>
        <v>1</v>
      </c>
      <c r="K278" s="144" t="str">
        <f>IF(Proc[[#This Row],[Author]]="Marcela Urrego",VLOOKUP(LEFT(Proc[[#This Row],[Requested]],1),Table3[#All],2,0),VLOOKUP(Proc[[#This Row],[Author]],Table4[],2,0))</f>
        <v>EL</v>
      </c>
      <c r="L278" s="60" t="s">
        <v>509</v>
      </c>
      <c r="M278" s="71">
        <v>45679.497245370374</v>
      </c>
      <c r="N278" s="71">
        <v>45681</v>
      </c>
      <c r="O278" s="71">
        <v>45681</v>
      </c>
      <c r="P278" s="64" t="str">
        <f ca="1">IF(Proc[[#This Row],[DaysAgeing]]&gt;5,"yep","on track")</f>
        <v>on track</v>
      </c>
      <c r="Q278" s="3">
        <f ca="1">IF(Proc[[#This Row],[DateClosed]]="",ABS(NETWORKDAYS(Proc[[#This Row],[DateOpened]],TODAY()))-1,ABS(NETWORKDAYS(Proc[[#This Row],[DateOpened]],Proc[[#This Row],[DateClosed]]))-1)</f>
        <v>2</v>
      </c>
      <c r="R278" s="64" t="s">
        <v>1001</v>
      </c>
      <c r="S278" s="60"/>
    </row>
    <row r="279" spans="1:19" hidden="1">
      <c r="A279" s="62" t="s">
        <v>1591</v>
      </c>
      <c r="B279" s="149" t="str">
        <f>IFERROR(VLOOKUP(Proc[[#This Row],[App]],Table2[],3,0),"open")</f>
        <v>ok</v>
      </c>
      <c r="C279" s="62" t="s">
        <v>369</v>
      </c>
      <c r="D279" t="s">
        <v>1601</v>
      </c>
      <c r="E279" t="s">
        <v>1214</v>
      </c>
      <c r="F279" s="117" t="s">
        <v>1214</v>
      </c>
      <c r="G279" s="62" t="s">
        <v>400</v>
      </c>
      <c r="H279" s="60" t="str">
        <f>IF(Proc[[#This Row],[type]]="LFF (MDG-F)",MID(Proc[[#This Row],[Obj]],13,10),"")</f>
        <v/>
      </c>
      <c r="J279" s="60" t="b">
        <f>Proc[[#This Row],[Requested]]=Proc[[#This Row],[CurrentParent]]</f>
        <v>1</v>
      </c>
      <c r="K279" s="144" t="str">
        <f>IF(Proc[[#This Row],[Author]]="Marcela Urrego",VLOOKUP(LEFT(Proc[[#This Row],[Requested]],1),Table3[#All],2,0),VLOOKUP(Proc[[#This Row],[Author]],Table4[],2,0))</f>
        <v>EL</v>
      </c>
      <c r="L279" s="60" t="s">
        <v>509</v>
      </c>
      <c r="M279" s="71">
        <v>45679.497245370374</v>
      </c>
      <c r="N279" s="71">
        <v>45681</v>
      </c>
      <c r="O279" s="71">
        <v>45681</v>
      </c>
      <c r="P279" s="64" t="str">
        <f ca="1">IF(Proc[[#This Row],[DaysAgeing]]&gt;5,"yep","on track")</f>
        <v>on track</v>
      </c>
      <c r="Q279" s="3">
        <f ca="1">IF(Proc[[#This Row],[DateClosed]]="",ABS(NETWORKDAYS(Proc[[#This Row],[DateOpened]],TODAY()))-1,ABS(NETWORKDAYS(Proc[[#This Row],[DateOpened]],Proc[[#This Row],[DateClosed]]))-1)</f>
        <v>2</v>
      </c>
      <c r="R279" s="64" t="s">
        <v>1001</v>
      </c>
      <c r="S279" s="60"/>
    </row>
    <row r="280" spans="1:19" hidden="1">
      <c r="A280" s="62" t="s">
        <v>1591</v>
      </c>
      <c r="B280" s="149" t="str">
        <f>IFERROR(VLOOKUP(Proc[[#This Row],[App]],Table2[],3,0),"open")</f>
        <v>ok</v>
      </c>
      <c r="C280" s="62" t="s">
        <v>369</v>
      </c>
      <c r="D280" t="s">
        <v>1602</v>
      </c>
      <c r="E280" t="s">
        <v>1214</v>
      </c>
      <c r="F280" s="117" t="s">
        <v>1214</v>
      </c>
      <c r="G280" s="62" t="s">
        <v>400</v>
      </c>
      <c r="H280" s="60" t="str">
        <f>IF(Proc[[#This Row],[type]]="LFF (MDG-F)",MID(Proc[[#This Row],[Obj]],13,10),"")</f>
        <v/>
      </c>
      <c r="J280" s="60" t="b">
        <f>Proc[[#This Row],[Requested]]=Proc[[#This Row],[CurrentParent]]</f>
        <v>1</v>
      </c>
      <c r="K280" s="144" t="str">
        <f>IF(Proc[[#This Row],[Author]]="Marcela Urrego",VLOOKUP(LEFT(Proc[[#This Row],[Requested]],1),Table3[#All],2,0),VLOOKUP(Proc[[#This Row],[Author]],Table4[],2,0))</f>
        <v>EL</v>
      </c>
      <c r="L280" s="60" t="s">
        <v>509</v>
      </c>
      <c r="M280" s="71">
        <v>45679.497245370374</v>
      </c>
      <c r="N280" s="71">
        <v>45681</v>
      </c>
      <c r="O280" s="71">
        <v>45681</v>
      </c>
      <c r="P280" s="64" t="str">
        <f ca="1">IF(Proc[[#This Row],[DaysAgeing]]&gt;5,"yep","on track")</f>
        <v>on track</v>
      </c>
      <c r="Q280" s="3">
        <f ca="1">IF(Proc[[#This Row],[DateClosed]]="",ABS(NETWORKDAYS(Proc[[#This Row],[DateOpened]],TODAY()))-1,ABS(NETWORKDAYS(Proc[[#This Row],[DateOpened]],Proc[[#This Row],[DateClosed]]))-1)</f>
        <v>2</v>
      </c>
      <c r="R280" s="64" t="s">
        <v>1001</v>
      </c>
      <c r="S280" s="60"/>
    </row>
    <row r="281" spans="1:19" hidden="1">
      <c r="A281" s="62" t="s">
        <v>1591</v>
      </c>
      <c r="B281" s="149" t="str">
        <f>IFERROR(VLOOKUP(Proc[[#This Row],[App]],Table2[],3,0),"open")</f>
        <v>ok</v>
      </c>
      <c r="C281" s="62" t="s">
        <v>369</v>
      </c>
      <c r="D281" t="s">
        <v>1603</v>
      </c>
      <c r="E281" t="s">
        <v>1214</v>
      </c>
      <c r="F281" s="117" t="s">
        <v>1214</v>
      </c>
      <c r="G281" s="62" t="s">
        <v>400</v>
      </c>
      <c r="H281" s="60" t="str">
        <f>IF(Proc[[#This Row],[type]]="LFF (MDG-F)",MID(Proc[[#This Row],[Obj]],13,10),"")</f>
        <v/>
      </c>
      <c r="J281" s="60" t="b">
        <f>Proc[[#This Row],[Requested]]=Proc[[#This Row],[CurrentParent]]</f>
        <v>1</v>
      </c>
      <c r="K281" s="144" t="str">
        <f>IF(Proc[[#This Row],[Author]]="Marcela Urrego",VLOOKUP(LEFT(Proc[[#This Row],[Requested]],1),Table3[#All],2,0),VLOOKUP(Proc[[#This Row],[Author]],Table4[],2,0))</f>
        <v>EL</v>
      </c>
      <c r="L281" s="60" t="s">
        <v>509</v>
      </c>
      <c r="M281" s="71">
        <v>45679.497245370374</v>
      </c>
      <c r="N281" s="71">
        <v>45681</v>
      </c>
      <c r="O281" s="71">
        <v>45681</v>
      </c>
      <c r="P281" s="64" t="str">
        <f ca="1">IF(Proc[[#This Row],[DaysAgeing]]&gt;5,"yep","on track")</f>
        <v>on track</v>
      </c>
      <c r="Q281" s="3">
        <f ca="1">IF(Proc[[#This Row],[DateClosed]]="",ABS(NETWORKDAYS(Proc[[#This Row],[DateOpened]],TODAY()))-1,ABS(NETWORKDAYS(Proc[[#This Row],[DateOpened]],Proc[[#This Row],[DateClosed]]))-1)</f>
        <v>2</v>
      </c>
      <c r="R281" s="64" t="s">
        <v>1001</v>
      </c>
      <c r="S281" s="60"/>
    </row>
    <row r="282" spans="1:19" hidden="1">
      <c r="A282" t="s">
        <v>1614</v>
      </c>
      <c r="B282" s="149" t="str">
        <f>IFERROR(VLOOKUP(Proc[[#This Row],[App]],Table2[],3,0),"open")</f>
        <v>ok</v>
      </c>
      <c r="C282" t="s">
        <v>369</v>
      </c>
      <c r="D282" t="s">
        <v>1611</v>
      </c>
      <c r="E282" t="s">
        <v>1052</v>
      </c>
      <c r="F282" s="117" t="s">
        <v>1052</v>
      </c>
      <c r="G282" s="62" t="s">
        <v>400</v>
      </c>
      <c r="H282" s="60" t="str">
        <f>IF(Proc[[#This Row],[type]]="LFF (MDG-F)",MID(Proc[[#This Row],[Obj]],13,10),"")</f>
        <v/>
      </c>
      <c r="J282" s="60" t="b">
        <f>Proc[[#This Row],[Requested]]=Proc[[#This Row],[CurrentParent]]</f>
        <v>1</v>
      </c>
      <c r="K282" s="144" t="str">
        <f>IF(Proc[[#This Row],[Author]]="Marcela Urrego",VLOOKUP(LEFT(Proc[[#This Row],[Requested]],1),Table3[#All],2,0),VLOOKUP(Proc[[#This Row],[Author]],Table4[],2,0))</f>
        <v>HC</v>
      </c>
      <c r="L282" s="60" t="s">
        <v>509</v>
      </c>
      <c r="M282" s="71">
        <v>45680.579351851855</v>
      </c>
      <c r="N282" s="71">
        <v>45681</v>
      </c>
      <c r="O282" s="71">
        <v>45681</v>
      </c>
      <c r="P282" s="64" t="str">
        <f ca="1">IF(Proc[[#This Row],[DaysAgeing]]&gt;5,"yep","on track")</f>
        <v>on track</v>
      </c>
      <c r="Q282" s="3">
        <f ca="1">IF(Proc[[#This Row],[DateClosed]]="",ABS(NETWORKDAYS(Proc[[#This Row],[DateOpened]],TODAY()))-1,ABS(NETWORKDAYS(Proc[[#This Row],[DateOpened]],Proc[[#This Row],[DateClosed]]))-1)</f>
        <v>1</v>
      </c>
      <c r="R282" s="64" t="s">
        <v>410</v>
      </c>
      <c r="S282" s="60"/>
    </row>
    <row r="283" spans="1:19" hidden="1">
      <c r="A283" s="62" t="s">
        <v>1614</v>
      </c>
      <c r="B283" s="149" t="str">
        <f>IFERROR(VLOOKUP(Proc[[#This Row],[App]],Table2[],3,0),"open")</f>
        <v>ok</v>
      </c>
      <c r="C283" s="62" t="s">
        <v>369</v>
      </c>
      <c r="D283" t="s">
        <v>1612</v>
      </c>
      <c r="E283" t="s">
        <v>1052</v>
      </c>
      <c r="F283" s="117" t="s">
        <v>1052</v>
      </c>
      <c r="G283" s="62" t="s">
        <v>400</v>
      </c>
      <c r="H283" s="60" t="str">
        <f>IF(Proc[[#This Row],[type]]="LFF (MDG-F)",MID(Proc[[#This Row],[Obj]],13,10),"")</f>
        <v/>
      </c>
      <c r="J283" s="60" t="b">
        <f>Proc[[#This Row],[Requested]]=Proc[[#This Row],[CurrentParent]]</f>
        <v>1</v>
      </c>
      <c r="K283" s="144" t="str">
        <f>IF(Proc[[#This Row],[Author]]="Marcela Urrego",VLOOKUP(LEFT(Proc[[#This Row],[Requested]],1),Table3[#All],2,0),VLOOKUP(Proc[[#This Row],[Author]],Table4[],2,0))</f>
        <v>HC</v>
      </c>
      <c r="L283" s="60" t="s">
        <v>509</v>
      </c>
      <c r="M283" s="71">
        <v>45680.579351851855</v>
      </c>
      <c r="N283" s="71">
        <v>45681</v>
      </c>
      <c r="O283" s="71">
        <v>45681</v>
      </c>
      <c r="P283" s="64" t="str">
        <f ca="1">IF(Proc[[#This Row],[DaysAgeing]]&gt;5,"yep","on track")</f>
        <v>on track</v>
      </c>
      <c r="Q283" s="3">
        <f ca="1">IF(Proc[[#This Row],[DateClosed]]="",ABS(NETWORKDAYS(Proc[[#This Row],[DateOpened]],TODAY()))-1,ABS(NETWORKDAYS(Proc[[#This Row],[DateOpened]],Proc[[#This Row],[DateClosed]]))-1)</f>
        <v>1</v>
      </c>
      <c r="R283" s="64" t="s">
        <v>410</v>
      </c>
      <c r="S283" s="60"/>
    </row>
    <row r="284" spans="1:19" hidden="1">
      <c r="A284" s="62" t="s">
        <v>1614</v>
      </c>
      <c r="B284" s="149" t="str">
        <f>IFERROR(VLOOKUP(Proc[[#This Row],[App]],Table2[],3,0),"open")</f>
        <v>ok</v>
      </c>
      <c r="C284" s="62" t="s">
        <v>377</v>
      </c>
      <c r="D284" t="s">
        <v>1051</v>
      </c>
      <c r="E284" t="s">
        <v>1052</v>
      </c>
      <c r="F284" s="103" t="s">
        <v>1052</v>
      </c>
      <c r="G284" t="s">
        <v>406</v>
      </c>
      <c r="H284" s="60" t="str">
        <f>IF(Proc[[#This Row],[type]]="LFF (MDG-F)",MID(Proc[[#This Row],[Obj]],13,10),"")</f>
        <v>EG50C01152</v>
      </c>
      <c r="I284" t="s">
        <v>822</v>
      </c>
      <c r="J284" s="60" t="b">
        <f>Proc[[#This Row],[Requested]]=Proc[[#This Row],[CurrentParent]]</f>
        <v>1</v>
      </c>
      <c r="K284" s="144" t="str">
        <f>IF(Proc[[#This Row],[Author]]="Marcela Urrego",VLOOKUP(LEFT(Proc[[#This Row],[Requested]],1),Table3[#All],2,0),VLOOKUP(Proc[[#This Row],[Author]],Table4[],2,0))</f>
        <v>HC</v>
      </c>
      <c r="L284" s="60" t="s">
        <v>509</v>
      </c>
      <c r="M284" s="71">
        <v>45680.579351851855</v>
      </c>
      <c r="O284" s="71">
        <v>45681</v>
      </c>
      <c r="P284" s="64" t="str">
        <f ca="1">IF(Proc[[#This Row],[DaysAgeing]]&gt;5,"yep","on track")</f>
        <v>on track</v>
      </c>
      <c r="Q284" s="3">
        <f ca="1">IF(Proc[[#This Row],[DateClosed]]="",ABS(NETWORKDAYS(Proc[[#This Row],[DateOpened]],TODAY()))-1,ABS(NETWORKDAYS(Proc[[#This Row],[DateOpened]],Proc[[#This Row],[DateClosed]]))-1)</f>
        <v>1</v>
      </c>
      <c r="R284" s="64" t="s">
        <v>410</v>
      </c>
      <c r="S284" s="94" t="e">
        <f>VLOOKUP(Proc[[#This Row],[Obj]],#REF!,2,0)</f>
        <v>#REF!</v>
      </c>
    </row>
    <row r="285" spans="1:19" hidden="1">
      <c r="A285" s="62" t="s">
        <v>1614</v>
      </c>
      <c r="B285" s="149" t="str">
        <f>IFERROR(VLOOKUP(Proc[[#This Row],[App]],Table2[],3,0),"open")</f>
        <v>ok</v>
      </c>
      <c r="C285" s="62" t="s">
        <v>369</v>
      </c>
      <c r="D285" t="s">
        <v>1613</v>
      </c>
      <c r="E285" t="s">
        <v>1052</v>
      </c>
      <c r="F285" s="117" t="s">
        <v>1052</v>
      </c>
      <c r="G285" s="62" t="s">
        <v>400</v>
      </c>
      <c r="H285" s="60" t="str">
        <f>IF(Proc[[#This Row],[type]]="LFF (MDG-F)",MID(Proc[[#This Row],[Obj]],13,10),"")</f>
        <v/>
      </c>
      <c r="J285" s="60" t="b">
        <f>Proc[[#This Row],[Requested]]=Proc[[#This Row],[CurrentParent]]</f>
        <v>1</v>
      </c>
      <c r="K285" s="144" t="str">
        <f>IF(Proc[[#This Row],[Author]]="Marcela Urrego",VLOOKUP(LEFT(Proc[[#This Row],[Requested]],1),Table3[#All],2,0),VLOOKUP(Proc[[#This Row],[Author]],Table4[],2,0))</f>
        <v>HC</v>
      </c>
      <c r="L285" s="60" t="s">
        <v>509</v>
      </c>
      <c r="M285" s="71">
        <v>45680.579351851855</v>
      </c>
      <c r="N285" s="71">
        <v>45681</v>
      </c>
      <c r="O285" s="71">
        <v>45681</v>
      </c>
      <c r="P285" s="64" t="str">
        <f ca="1">IF(Proc[[#This Row],[DaysAgeing]]&gt;5,"yep","on track")</f>
        <v>on track</v>
      </c>
      <c r="Q285" s="3">
        <f ca="1">IF(Proc[[#This Row],[DateClosed]]="",ABS(NETWORKDAYS(Proc[[#This Row],[DateOpened]],TODAY()))-1,ABS(NETWORKDAYS(Proc[[#This Row],[DateOpened]],Proc[[#This Row],[DateClosed]]))-1)</f>
        <v>1</v>
      </c>
      <c r="R285" s="64" t="s">
        <v>410</v>
      </c>
      <c r="S285" s="60"/>
    </row>
    <row r="286" spans="1:19" hidden="1">
      <c r="A286" t="s">
        <v>1615</v>
      </c>
      <c r="B286" s="149" t="str">
        <f>IFERROR(VLOOKUP(Proc[[#This Row],[App]],Table2[],3,0),"open")</f>
        <v>ok</v>
      </c>
      <c r="C286" s="62" t="s">
        <v>369</v>
      </c>
      <c r="D286" t="s">
        <v>1616</v>
      </c>
      <c r="E286" t="s">
        <v>1617</v>
      </c>
      <c r="F286" s="117" t="s">
        <v>1617</v>
      </c>
      <c r="G286" t="s">
        <v>400</v>
      </c>
      <c r="H286" s="60" t="str">
        <f>IF(Proc[[#This Row],[type]]="LFF (MDG-F)",MID(Proc[[#This Row],[Obj]],13,10),"")</f>
        <v/>
      </c>
      <c r="J286" s="60" t="b">
        <f>Proc[[#This Row],[Requested]]=Proc[[#This Row],[CurrentParent]]</f>
        <v>1</v>
      </c>
      <c r="K286" s="144" t="str">
        <f>IF(Proc[[#This Row],[Author]]="Marcela Urrego",VLOOKUP(LEFT(Proc[[#This Row],[Requested]],1),Table3[#All],2,0),VLOOKUP(Proc[[#This Row],[Author]],Table4[],2,0))</f>
        <v>HC</v>
      </c>
      <c r="L286" s="60" t="s">
        <v>509</v>
      </c>
      <c r="M286" s="71">
        <v>45680.579351851855</v>
      </c>
      <c r="N286" s="71">
        <v>45681</v>
      </c>
      <c r="O286" s="71">
        <v>45681</v>
      </c>
      <c r="P286" s="64" t="str">
        <f ca="1">IF(Proc[[#This Row],[DaysAgeing]]&gt;5,"yep","on track")</f>
        <v>on track</v>
      </c>
      <c r="Q286" s="3">
        <f ca="1">IF(Proc[[#This Row],[DateClosed]]="",ABS(NETWORKDAYS(Proc[[#This Row],[DateOpened]],TODAY()))-1,ABS(NETWORKDAYS(Proc[[#This Row],[DateOpened]],Proc[[#This Row],[DateClosed]]))-1)</f>
        <v>1</v>
      </c>
      <c r="R286" s="64" t="s">
        <v>410</v>
      </c>
      <c r="S286" s="60"/>
    </row>
    <row r="287" spans="1:19" hidden="1">
      <c r="A287" t="s">
        <v>1626</v>
      </c>
      <c r="B287" s="149" t="str">
        <f>IFERROR(VLOOKUP(Proc[[#This Row],[App]],Table2[],3,0),"open")</f>
        <v>ok</v>
      </c>
      <c r="C287" t="s">
        <v>369</v>
      </c>
      <c r="D287" t="s">
        <v>1618</v>
      </c>
      <c r="E287" t="s">
        <v>473</v>
      </c>
      <c r="F287" s="117" t="s">
        <v>473</v>
      </c>
      <c r="G287" t="s">
        <v>400</v>
      </c>
      <c r="H287" s="60" t="str">
        <f>IF(Proc[[#This Row],[type]]="LFF (MDG-F)",MID(Proc[[#This Row],[Obj]],13,10),"")</f>
        <v/>
      </c>
      <c r="I287" t="s">
        <v>1637</v>
      </c>
      <c r="J287" s="60" t="b">
        <f>Proc[[#This Row],[Requested]]=Proc[[#This Row],[CurrentParent]]</f>
        <v>1</v>
      </c>
      <c r="K287" s="144" t="str">
        <f>IF(Proc[[#This Row],[Author]]="Marcela Urrego",VLOOKUP(LEFT(Proc[[#This Row],[Requested]],1),Table3[#All],2,0),VLOOKUP(Proc[[#This Row],[Author]],Table4[],2,0))</f>
        <v>MGF</v>
      </c>
      <c r="L287" s="60" t="s">
        <v>509</v>
      </c>
      <c r="M287" s="71">
        <v>45681.36482638889</v>
      </c>
      <c r="N287" s="71">
        <v>45688</v>
      </c>
      <c r="O287" s="71">
        <v>45688</v>
      </c>
      <c r="P287" s="64" t="str">
        <f ca="1">IF(Proc[[#This Row],[DaysAgeing]]&gt;5,"yep","on track")</f>
        <v>on track</v>
      </c>
      <c r="Q287" s="3">
        <f ca="1">IF(Proc[[#This Row],[DateClosed]]="",ABS(NETWORKDAYS(Proc[[#This Row],[DateOpened]],TODAY()))-1,ABS(NETWORKDAYS(Proc[[#This Row],[DateOpened]],Proc[[#This Row],[DateClosed]]))-1)</f>
        <v>5</v>
      </c>
      <c r="R287" s="64" t="s">
        <v>515</v>
      </c>
      <c r="S287" s="60"/>
    </row>
    <row r="288" spans="1:19" hidden="1">
      <c r="A288" s="62" t="s">
        <v>1626</v>
      </c>
      <c r="B288" s="149" t="str">
        <f>IFERROR(VLOOKUP(Proc[[#This Row],[App]],Table2[],3,0),"open")</f>
        <v>ok</v>
      </c>
      <c r="C288" s="62" t="s">
        <v>369</v>
      </c>
      <c r="D288" t="s">
        <v>475</v>
      </c>
      <c r="E288" t="s">
        <v>474</v>
      </c>
      <c r="F288" s="117" t="s">
        <v>474</v>
      </c>
      <c r="G288" s="62" t="s">
        <v>400</v>
      </c>
      <c r="H288" s="60" t="str">
        <f>IF(Proc[[#This Row],[type]]="LFF (MDG-F)",MID(Proc[[#This Row],[Obj]],13,10),"")</f>
        <v/>
      </c>
      <c r="I288" s="62" t="s">
        <v>1637</v>
      </c>
      <c r="J288" s="60" t="b">
        <f>Proc[[#This Row],[Requested]]=Proc[[#This Row],[CurrentParent]]</f>
        <v>1</v>
      </c>
      <c r="K288" s="144" t="str">
        <f>IF(Proc[[#This Row],[Author]]="Marcela Urrego",VLOOKUP(LEFT(Proc[[#This Row],[Requested]],1),Table3[#All],2,0),VLOOKUP(Proc[[#This Row],[Author]],Table4[],2,0))</f>
        <v>MGF</v>
      </c>
      <c r="L288" s="60" t="s">
        <v>509</v>
      </c>
      <c r="M288" s="71">
        <v>45681.36482638889</v>
      </c>
      <c r="N288" s="71">
        <v>45688</v>
      </c>
      <c r="O288" s="71">
        <v>45688</v>
      </c>
      <c r="P288" s="64" t="str">
        <f ca="1">IF(Proc[[#This Row],[DaysAgeing]]&gt;5,"yep","on track")</f>
        <v>on track</v>
      </c>
      <c r="Q288" s="3">
        <f ca="1">IF(Proc[[#This Row],[DateClosed]]="",ABS(NETWORKDAYS(Proc[[#This Row],[DateOpened]],TODAY()))-1,ABS(NETWORKDAYS(Proc[[#This Row],[DateOpened]],Proc[[#This Row],[DateClosed]]))-1)</f>
        <v>5</v>
      </c>
      <c r="R288" s="64" t="s">
        <v>515</v>
      </c>
      <c r="S288" s="60"/>
    </row>
    <row r="289" spans="1:19" hidden="1">
      <c r="A289" s="62" t="s">
        <v>1626</v>
      </c>
      <c r="B289" s="149" t="str">
        <f>IFERROR(VLOOKUP(Proc[[#This Row],[App]],Table2[],3,0),"open")</f>
        <v>ok</v>
      </c>
      <c r="C289" s="62" t="s">
        <v>369</v>
      </c>
      <c r="D289" t="s">
        <v>1619</v>
      </c>
      <c r="E289" t="s">
        <v>1221</v>
      </c>
      <c r="F289" s="117" t="s">
        <v>1221</v>
      </c>
      <c r="G289" s="62" t="s">
        <v>400</v>
      </c>
      <c r="H289" s="60" t="str">
        <f>IF(Proc[[#This Row],[type]]="LFF (MDG-F)",MID(Proc[[#This Row],[Obj]],13,10),"")</f>
        <v/>
      </c>
      <c r="I289" s="62" t="s">
        <v>1637</v>
      </c>
      <c r="J289" s="60" t="b">
        <f>Proc[[#This Row],[Requested]]=Proc[[#This Row],[CurrentParent]]</f>
        <v>1</v>
      </c>
      <c r="K289" s="144" t="str">
        <f>IF(Proc[[#This Row],[Author]]="Marcela Urrego",VLOOKUP(LEFT(Proc[[#This Row],[Requested]],1),Table3[#All],2,0),VLOOKUP(Proc[[#This Row],[Author]],Table4[],2,0))</f>
        <v>MGF</v>
      </c>
      <c r="L289" s="60" t="s">
        <v>509</v>
      </c>
      <c r="M289" s="71">
        <v>45681.36482638889</v>
      </c>
      <c r="N289" s="71">
        <v>45688</v>
      </c>
      <c r="O289" s="71">
        <v>45688</v>
      </c>
      <c r="P289" s="64" t="str">
        <f ca="1">IF(Proc[[#This Row],[DaysAgeing]]&gt;5,"yep","on track")</f>
        <v>on track</v>
      </c>
      <c r="Q289" s="3">
        <f ca="1">IF(Proc[[#This Row],[DateClosed]]="",ABS(NETWORKDAYS(Proc[[#This Row],[DateOpened]],TODAY()))-1,ABS(NETWORKDAYS(Proc[[#This Row],[DateOpened]],Proc[[#This Row],[DateClosed]]))-1)</f>
        <v>5</v>
      </c>
      <c r="R289" s="64" t="s">
        <v>515</v>
      </c>
      <c r="S289" s="60"/>
    </row>
    <row r="290" spans="1:19" hidden="1">
      <c r="A290" s="62" t="s">
        <v>1626</v>
      </c>
      <c r="B290" s="149" t="str">
        <f>IFERROR(VLOOKUP(Proc[[#This Row],[App]],Table2[],3,0),"open")</f>
        <v>ok</v>
      </c>
      <c r="C290" s="62" t="s">
        <v>369</v>
      </c>
      <c r="D290" t="s">
        <v>1620</v>
      </c>
      <c r="E290" t="s">
        <v>1221</v>
      </c>
      <c r="F290" s="117" t="s">
        <v>1221</v>
      </c>
      <c r="G290" s="62" t="s">
        <v>400</v>
      </c>
      <c r="H290" s="60" t="str">
        <f>IF(Proc[[#This Row],[type]]="LFF (MDG-F)",MID(Proc[[#This Row],[Obj]],13,10),"")</f>
        <v/>
      </c>
      <c r="I290" s="62" t="s">
        <v>1637</v>
      </c>
      <c r="J290" s="60" t="b">
        <f>Proc[[#This Row],[Requested]]=Proc[[#This Row],[CurrentParent]]</f>
        <v>1</v>
      </c>
      <c r="K290" s="144" t="str">
        <f>IF(Proc[[#This Row],[Author]]="Marcela Urrego",VLOOKUP(LEFT(Proc[[#This Row],[Requested]],1),Table3[#All],2,0),VLOOKUP(Proc[[#This Row],[Author]],Table4[],2,0))</f>
        <v>MGF</v>
      </c>
      <c r="L290" s="60" t="s">
        <v>509</v>
      </c>
      <c r="M290" s="71">
        <v>45681.36482638889</v>
      </c>
      <c r="N290" s="71">
        <v>45688</v>
      </c>
      <c r="O290" s="71">
        <v>45688</v>
      </c>
      <c r="P290" s="64" t="str">
        <f ca="1">IF(Proc[[#This Row],[DaysAgeing]]&gt;5,"yep","on track")</f>
        <v>on track</v>
      </c>
      <c r="Q290" s="3">
        <f ca="1">IF(Proc[[#This Row],[DateClosed]]="",ABS(NETWORKDAYS(Proc[[#This Row],[DateOpened]],TODAY()))-1,ABS(NETWORKDAYS(Proc[[#This Row],[DateOpened]],Proc[[#This Row],[DateClosed]]))-1)</f>
        <v>5</v>
      </c>
      <c r="R290" s="64" t="s">
        <v>515</v>
      </c>
      <c r="S290" s="60"/>
    </row>
    <row r="291" spans="1:19" hidden="1">
      <c r="A291" s="62" t="s">
        <v>1626</v>
      </c>
      <c r="B291" s="149" t="str">
        <f>IFERROR(VLOOKUP(Proc[[#This Row],[App]],Table2[],3,0),"open")</f>
        <v>ok</v>
      </c>
      <c r="C291" s="62" t="s">
        <v>369</v>
      </c>
      <c r="D291" t="s">
        <v>1621</v>
      </c>
      <c r="E291" t="s">
        <v>1221</v>
      </c>
      <c r="F291" s="117" t="s">
        <v>1221</v>
      </c>
      <c r="G291" s="62" t="s">
        <v>400</v>
      </c>
      <c r="H291" s="60" t="str">
        <f>IF(Proc[[#This Row],[type]]="LFF (MDG-F)",MID(Proc[[#This Row],[Obj]],13,10),"")</f>
        <v/>
      </c>
      <c r="I291" s="62" t="s">
        <v>1637</v>
      </c>
      <c r="J291" s="60" t="b">
        <f>Proc[[#This Row],[Requested]]=Proc[[#This Row],[CurrentParent]]</f>
        <v>1</v>
      </c>
      <c r="K291" s="144" t="str">
        <f>IF(Proc[[#This Row],[Author]]="Marcela Urrego",VLOOKUP(LEFT(Proc[[#This Row],[Requested]],1),Table3[#All],2,0),VLOOKUP(Proc[[#This Row],[Author]],Table4[],2,0))</f>
        <v>MGF</v>
      </c>
      <c r="L291" s="60" t="s">
        <v>509</v>
      </c>
      <c r="M291" s="71">
        <v>45681.36482638889</v>
      </c>
      <c r="N291" s="71">
        <v>45688</v>
      </c>
      <c r="O291" s="71">
        <v>45688</v>
      </c>
      <c r="P291" s="64" t="str">
        <f ca="1">IF(Proc[[#This Row],[DaysAgeing]]&gt;5,"yep","on track")</f>
        <v>on track</v>
      </c>
      <c r="Q291" s="3">
        <f ca="1">IF(Proc[[#This Row],[DateClosed]]="",ABS(NETWORKDAYS(Proc[[#This Row],[DateOpened]],TODAY()))-1,ABS(NETWORKDAYS(Proc[[#This Row],[DateOpened]],Proc[[#This Row],[DateClosed]]))-1)</f>
        <v>5</v>
      </c>
      <c r="R291" s="64" t="s">
        <v>515</v>
      </c>
      <c r="S291" s="60"/>
    </row>
    <row r="292" spans="1:19" hidden="1">
      <c r="A292" s="62" t="s">
        <v>1626</v>
      </c>
      <c r="B292" s="149" t="str">
        <f>IFERROR(VLOOKUP(Proc[[#This Row],[App]],Table2[],3,0),"open")</f>
        <v>ok</v>
      </c>
      <c r="C292" s="62" t="s">
        <v>369</v>
      </c>
      <c r="D292" t="s">
        <v>1622</v>
      </c>
      <c r="E292" t="s">
        <v>1221</v>
      </c>
      <c r="F292" s="117" t="s">
        <v>1221</v>
      </c>
      <c r="G292" s="62" t="s">
        <v>400</v>
      </c>
      <c r="H292" s="60" t="str">
        <f>IF(Proc[[#This Row],[type]]="LFF (MDG-F)",MID(Proc[[#This Row],[Obj]],13,10),"")</f>
        <v/>
      </c>
      <c r="I292" s="62" t="s">
        <v>1637</v>
      </c>
      <c r="J292" s="60" t="b">
        <f>Proc[[#This Row],[Requested]]=Proc[[#This Row],[CurrentParent]]</f>
        <v>1</v>
      </c>
      <c r="K292" s="144" t="str">
        <f>IF(Proc[[#This Row],[Author]]="Marcela Urrego",VLOOKUP(LEFT(Proc[[#This Row],[Requested]],1),Table3[#All],2,0),VLOOKUP(Proc[[#This Row],[Author]],Table4[],2,0))</f>
        <v>MGF</v>
      </c>
      <c r="L292" s="60" t="s">
        <v>509</v>
      </c>
      <c r="M292" s="71">
        <v>45681.36482638889</v>
      </c>
      <c r="N292" s="71">
        <v>45688</v>
      </c>
      <c r="O292" s="71">
        <v>45688</v>
      </c>
      <c r="P292" s="64" t="str">
        <f ca="1">IF(Proc[[#This Row],[DaysAgeing]]&gt;5,"yep","on track")</f>
        <v>on track</v>
      </c>
      <c r="Q292" s="3">
        <f ca="1">IF(Proc[[#This Row],[DateClosed]]="",ABS(NETWORKDAYS(Proc[[#This Row],[DateOpened]],TODAY()))-1,ABS(NETWORKDAYS(Proc[[#This Row],[DateOpened]],Proc[[#This Row],[DateClosed]]))-1)</f>
        <v>5</v>
      </c>
      <c r="R292" s="64" t="s">
        <v>515</v>
      </c>
      <c r="S292" s="60"/>
    </row>
    <row r="293" spans="1:19" hidden="1">
      <c r="A293" s="62" t="s">
        <v>1626</v>
      </c>
      <c r="B293" s="149" t="str">
        <f>IFERROR(VLOOKUP(Proc[[#This Row],[App]],Table2[],3,0),"open")</f>
        <v>ok</v>
      </c>
      <c r="C293" s="62" t="s">
        <v>369</v>
      </c>
      <c r="D293" t="s">
        <v>1623</v>
      </c>
      <c r="E293" t="s">
        <v>1221</v>
      </c>
      <c r="F293" s="117" t="s">
        <v>1221</v>
      </c>
      <c r="G293" s="62" t="s">
        <v>400</v>
      </c>
      <c r="H293" s="60" t="str">
        <f>IF(Proc[[#This Row],[type]]="LFF (MDG-F)",MID(Proc[[#This Row],[Obj]],13,10),"")</f>
        <v/>
      </c>
      <c r="I293" s="62" t="s">
        <v>1637</v>
      </c>
      <c r="J293" s="60" t="b">
        <f>Proc[[#This Row],[Requested]]=Proc[[#This Row],[CurrentParent]]</f>
        <v>1</v>
      </c>
      <c r="K293" s="144" t="str">
        <f>IF(Proc[[#This Row],[Author]]="Marcela Urrego",VLOOKUP(LEFT(Proc[[#This Row],[Requested]],1),Table3[#All],2,0),VLOOKUP(Proc[[#This Row],[Author]],Table4[],2,0))</f>
        <v>MGF</v>
      </c>
      <c r="L293" s="60" t="s">
        <v>509</v>
      </c>
      <c r="M293" s="71">
        <v>45681.36482638889</v>
      </c>
      <c r="N293" s="71">
        <v>45688</v>
      </c>
      <c r="O293" s="71">
        <v>45688</v>
      </c>
      <c r="P293" s="64" t="str">
        <f ca="1">IF(Proc[[#This Row],[DaysAgeing]]&gt;5,"yep","on track")</f>
        <v>on track</v>
      </c>
      <c r="Q293" s="3">
        <f ca="1">IF(Proc[[#This Row],[DateClosed]]="",ABS(NETWORKDAYS(Proc[[#This Row],[DateOpened]],TODAY()))-1,ABS(NETWORKDAYS(Proc[[#This Row],[DateOpened]],Proc[[#This Row],[DateClosed]]))-1)</f>
        <v>5</v>
      </c>
      <c r="R293" s="64" t="s">
        <v>515</v>
      </c>
      <c r="S293" s="60"/>
    </row>
    <row r="294" spans="1:19" hidden="1">
      <c r="A294" s="62" t="s">
        <v>1626</v>
      </c>
      <c r="B294" s="149" t="str">
        <f>IFERROR(VLOOKUP(Proc[[#This Row],[App]],Table2[],3,0),"open")</f>
        <v>ok</v>
      </c>
      <c r="C294" s="62" t="s">
        <v>369</v>
      </c>
      <c r="D294" t="s">
        <v>1624</v>
      </c>
      <c r="E294" t="s">
        <v>2417</v>
      </c>
      <c r="F294" s="117" t="s">
        <v>2417</v>
      </c>
      <c r="G294" s="62" t="s">
        <v>400</v>
      </c>
      <c r="H294" s="60" t="str">
        <f>IF(Proc[[#This Row],[type]]="LFF (MDG-F)",MID(Proc[[#This Row],[Obj]],13,10),"")</f>
        <v/>
      </c>
      <c r="I294" s="62" t="s">
        <v>1637</v>
      </c>
      <c r="J294" s="60" t="b">
        <f>Proc[[#This Row],[Requested]]=Proc[[#This Row],[CurrentParent]]</f>
        <v>1</v>
      </c>
      <c r="K294" s="144" t="str">
        <f>IF(Proc[[#This Row],[Author]]="Marcela Urrego",VLOOKUP(LEFT(Proc[[#This Row],[Requested]],1),Table3[#All],2,0),VLOOKUP(Proc[[#This Row],[Author]],Table4[],2,0))</f>
        <v>MGF</v>
      </c>
      <c r="L294" s="60" t="s">
        <v>509</v>
      </c>
      <c r="M294" s="71">
        <v>45681.36482638889</v>
      </c>
      <c r="N294" s="71">
        <v>45688</v>
      </c>
      <c r="O294" s="71">
        <v>45688</v>
      </c>
      <c r="P294" s="64" t="str">
        <f ca="1">IF(Proc[[#This Row],[DaysAgeing]]&gt;5,"yep","on track")</f>
        <v>on track</v>
      </c>
      <c r="Q294" s="3">
        <f ca="1">IF(Proc[[#This Row],[DateClosed]]="",ABS(NETWORKDAYS(Proc[[#This Row],[DateOpened]],TODAY()))-1,ABS(NETWORKDAYS(Proc[[#This Row],[DateOpened]],Proc[[#This Row],[DateClosed]]))-1)</f>
        <v>5</v>
      </c>
      <c r="R294" s="64" t="s">
        <v>515</v>
      </c>
      <c r="S294" s="60"/>
    </row>
    <row r="295" spans="1:19" hidden="1">
      <c r="A295" s="62" t="s">
        <v>1626</v>
      </c>
      <c r="B295" s="149" t="str">
        <f>IFERROR(VLOOKUP(Proc[[#This Row],[App]],Table2[],3,0),"open")</f>
        <v>ok</v>
      </c>
      <c r="C295" s="62" t="s">
        <v>369</v>
      </c>
      <c r="D295" t="s">
        <v>1625</v>
      </c>
      <c r="E295" t="s">
        <v>2046</v>
      </c>
      <c r="F295" s="117" t="s">
        <v>2046</v>
      </c>
      <c r="G295" s="62" t="s">
        <v>400</v>
      </c>
      <c r="H295" s="60" t="str">
        <f>IF(Proc[[#This Row],[type]]="LFF (MDG-F)",MID(Proc[[#This Row],[Obj]],13,10),"")</f>
        <v/>
      </c>
      <c r="I295" s="62" t="s">
        <v>1637</v>
      </c>
      <c r="J295" s="60" t="b">
        <f>Proc[[#This Row],[Requested]]=Proc[[#This Row],[CurrentParent]]</f>
        <v>1</v>
      </c>
      <c r="K295" s="144" t="str">
        <f>IF(Proc[[#This Row],[Author]]="Marcela Urrego",VLOOKUP(LEFT(Proc[[#This Row],[Requested]],1),Table3[#All],2,0),VLOOKUP(Proc[[#This Row],[Author]],Table4[],2,0))</f>
        <v>MGF</v>
      </c>
      <c r="L295" s="60" t="s">
        <v>509</v>
      </c>
      <c r="M295" s="71">
        <v>45681.36482638889</v>
      </c>
      <c r="N295" s="71">
        <v>45688</v>
      </c>
      <c r="O295" s="71">
        <v>45688</v>
      </c>
      <c r="P295" s="64" t="str">
        <f ca="1">IF(Proc[[#This Row],[DaysAgeing]]&gt;5,"yep","on track")</f>
        <v>on track</v>
      </c>
      <c r="Q295" s="3">
        <f ca="1">IF(Proc[[#This Row],[DateClosed]]="",ABS(NETWORKDAYS(Proc[[#This Row],[DateOpened]],TODAY()))-1,ABS(NETWORKDAYS(Proc[[#This Row],[DateOpened]],Proc[[#This Row],[DateClosed]]))-1)</f>
        <v>5</v>
      </c>
      <c r="R295" s="64" t="s">
        <v>515</v>
      </c>
      <c r="S295" s="60"/>
    </row>
    <row r="296" spans="1:19" hidden="1">
      <c r="A296" t="s">
        <v>1627</v>
      </c>
      <c r="B296" s="149" t="str">
        <f>IFERROR(VLOOKUP(Proc[[#This Row],[App]],Table2[],3,0),"open")</f>
        <v>ok</v>
      </c>
      <c r="C296" s="63" t="s">
        <v>369</v>
      </c>
      <c r="D296" t="s">
        <v>1628</v>
      </c>
      <c r="E296" t="s">
        <v>1634</v>
      </c>
      <c r="F296" s="117" t="s">
        <v>1634</v>
      </c>
      <c r="G296" s="62" t="s">
        <v>406</v>
      </c>
      <c r="H296" s="60" t="str">
        <f>IF(Proc[[#This Row],[type]]="LFF (MDG-F)",MID(Proc[[#This Row],[Obj]],13,10),"")</f>
        <v>KR07DB3307</v>
      </c>
      <c r="I296" s="62" t="s">
        <v>1637</v>
      </c>
      <c r="J296" s="60" t="b">
        <f>Proc[[#This Row],[Requested]]=Proc[[#This Row],[CurrentParent]]</f>
        <v>1</v>
      </c>
      <c r="K296" s="144" t="str">
        <f>IF(Proc[[#This Row],[Author]]="Marcela Urrego",VLOOKUP(LEFT(Proc[[#This Row],[Requested]],1),Table3[#All],2,0),VLOOKUP(Proc[[#This Row],[Author]],Table4[],2,0))</f>
        <v>MGF</v>
      </c>
      <c r="L296" s="60" t="s">
        <v>509</v>
      </c>
      <c r="M296" s="71">
        <v>45681.527141203704</v>
      </c>
      <c r="P296" s="64" t="str">
        <f ca="1">IF(Proc[[#This Row],[DaysAgeing]]&gt;5,"yep","on track")</f>
        <v>yep</v>
      </c>
      <c r="Q296" s="3">
        <f ca="1">IF(Proc[[#This Row],[DateClosed]]="",ABS(NETWORKDAYS(Proc[[#This Row],[DateOpened]],TODAY()))-1,ABS(NETWORKDAYS(Proc[[#This Row],[DateOpened]],Proc[[#This Row],[DateClosed]]))-1)</f>
        <v>235</v>
      </c>
      <c r="R296" s="64" t="s">
        <v>1076</v>
      </c>
      <c r="S296" s="60"/>
    </row>
    <row r="297" spans="1:19" hidden="1">
      <c r="A297" s="62" t="s">
        <v>1627</v>
      </c>
      <c r="B297" s="149" t="str">
        <f>IFERROR(VLOOKUP(Proc[[#This Row],[App]],Table2[],3,0),"open")</f>
        <v>ok</v>
      </c>
      <c r="C297" s="63" t="s">
        <v>369</v>
      </c>
      <c r="D297" t="s">
        <v>1629</v>
      </c>
      <c r="E297" t="s">
        <v>946</v>
      </c>
      <c r="F297" s="117" t="s">
        <v>946</v>
      </c>
      <c r="G297" s="62" t="s">
        <v>406</v>
      </c>
      <c r="H297" s="60" t="str">
        <f>IF(Proc[[#This Row],[type]]="LFF (MDG-F)",MID(Proc[[#This Row],[Obj]],13,10),"")</f>
        <v>KR07DB3305</v>
      </c>
      <c r="I297" s="62" t="s">
        <v>1637</v>
      </c>
      <c r="J297" s="60" t="b">
        <f>Proc[[#This Row],[Requested]]=Proc[[#This Row],[CurrentParent]]</f>
        <v>1</v>
      </c>
      <c r="K297" s="144" t="str">
        <f>IF(Proc[[#This Row],[Author]]="Marcela Urrego",VLOOKUP(LEFT(Proc[[#This Row],[Requested]],1),Table3[#All],2,0),VLOOKUP(Proc[[#This Row],[Author]],Table4[],2,0))</f>
        <v>MGF</v>
      </c>
      <c r="L297" s="60" t="s">
        <v>509</v>
      </c>
      <c r="M297" s="71">
        <v>45681.527141203704</v>
      </c>
      <c r="P297" s="64" t="str">
        <f ca="1">IF(Proc[[#This Row],[DaysAgeing]]&gt;5,"yep","on track")</f>
        <v>yep</v>
      </c>
      <c r="Q297" s="3">
        <f ca="1">IF(Proc[[#This Row],[DateClosed]]="",ABS(NETWORKDAYS(Proc[[#This Row],[DateOpened]],TODAY()))-1,ABS(NETWORKDAYS(Proc[[#This Row],[DateOpened]],Proc[[#This Row],[DateClosed]]))-1)</f>
        <v>235</v>
      </c>
      <c r="R297" s="64" t="s">
        <v>1076</v>
      </c>
      <c r="S297" s="60"/>
    </row>
    <row r="298" spans="1:19" hidden="1">
      <c r="A298" s="62" t="s">
        <v>1627</v>
      </c>
      <c r="B298" s="149" t="str">
        <f>IFERROR(VLOOKUP(Proc[[#This Row],[App]],Table2[],3,0),"open")</f>
        <v>ok</v>
      </c>
      <c r="C298" s="63" t="s">
        <v>369</v>
      </c>
      <c r="D298" t="s">
        <v>1630</v>
      </c>
      <c r="E298" t="s">
        <v>1167</v>
      </c>
      <c r="F298" s="117" t="s">
        <v>1167</v>
      </c>
      <c r="G298" s="62" t="s">
        <v>406</v>
      </c>
      <c r="H298" s="60" t="str">
        <f>IF(Proc[[#This Row],[type]]="LFF (MDG-F)",MID(Proc[[#This Row],[Obj]],13,10),"")</f>
        <v>US10DB3015</v>
      </c>
      <c r="I298" s="62" t="s">
        <v>1637</v>
      </c>
      <c r="J298" s="60" t="b">
        <f>Proc[[#This Row],[Requested]]=Proc[[#This Row],[CurrentParent]]</f>
        <v>1</v>
      </c>
      <c r="K298" s="144" t="str">
        <f>IF(Proc[[#This Row],[Author]]="Marcela Urrego",VLOOKUP(LEFT(Proc[[#This Row],[Requested]],1),Table3[#All],2,0),VLOOKUP(Proc[[#This Row],[Author]],Table4[],2,0))</f>
        <v>MGF</v>
      </c>
      <c r="L298" s="60" t="s">
        <v>509</v>
      </c>
      <c r="M298" s="71">
        <v>45681.527141203704</v>
      </c>
      <c r="P298" s="64" t="str">
        <f ca="1">IF(Proc[[#This Row],[DaysAgeing]]&gt;5,"yep","on track")</f>
        <v>yep</v>
      </c>
      <c r="Q298" s="3">
        <f ca="1">IF(Proc[[#This Row],[DateClosed]]="",ABS(NETWORKDAYS(Proc[[#This Row],[DateOpened]],TODAY()))-1,ABS(NETWORKDAYS(Proc[[#This Row],[DateOpened]],Proc[[#This Row],[DateClosed]]))-1)</f>
        <v>235</v>
      </c>
      <c r="R298" s="64" t="s">
        <v>1076</v>
      </c>
      <c r="S298" s="60"/>
    </row>
    <row r="299" spans="1:19" hidden="1">
      <c r="A299" s="62" t="s">
        <v>1627</v>
      </c>
      <c r="B299" s="149" t="str">
        <f>IFERROR(VLOOKUP(Proc[[#This Row],[App]],Table2[],3,0),"open")</f>
        <v>ok</v>
      </c>
      <c r="C299" s="63" t="s">
        <v>369</v>
      </c>
      <c r="D299" t="s">
        <v>1631</v>
      </c>
      <c r="E299" t="s">
        <v>1167</v>
      </c>
      <c r="F299" s="117" t="s">
        <v>1167</v>
      </c>
      <c r="G299" s="62" t="s">
        <v>406</v>
      </c>
      <c r="H299" s="60" t="str">
        <f>IF(Proc[[#This Row],[type]]="LFF (MDG-F)",MID(Proc[[#This Row],[Obj]],13,10),"")</f>
        <v>US10DB3018</v>
      </c>
      <c r="I299" s="62" t="s">
        <v>1637</v>
      </c>
      <c r="J299" s="60" t="b">
        <f>Proc[[#This Row],[Requested]]=Proc[[#This Row],[CurrentParent]]</f>
        <v>1</v>
      </c>
      <c r="K299" s="144" t="str">
        <f>IF(Proc[[#This Row],[Author]]="Marcela Urrego",VLOOKUP(LEFT(Proc[[#This Row],[Requested]],1),Table3[#All],2,0),VLOOKUP(Proc[[#This Row],[Author]],Table4[],2,0))</f>
        <v>MGF</v>
      </c>
      <c r="L299" s="60" t="s">
        <v>509</v>
      </c>
      <c r="M299" s="71">
        <v>45681.527141203704</v>
      </c>
      <c r="P299" s="64" t="str">
        <f ca="1">IF(Proc[[#This Row],[DaysAgeing]]&gt;5,"yep","on track")</f>
        <v>yep</v>
      </c>
      <c r="Q299" s="3">
        <f ca="1">IF(Proc[[#This Row],[DateClosed]]="",ABS(NETWORKDAYS(Proc[[#This Row],[DateOpened]],TODAY()))-1,ABS(NETWORKDAYS(Proc[[#This Row],[DateOpened]],Proc[[#This Row],[DateClosed]]))-1)</f>
        <v>235</v>
      </c>
      <c r="R299" s="64" t="s">
        <v>1076</v>
      </c>
      <c r="S299" s="60"/>
    </row>
    <row r="300" spans="1:19" hidden="1">
      <c r="A300" s="62" t="s">
        <v>1627</v>
      </c>
      <c r="B300" s="149" t="str">
        <f>IFERROR(VLOOKUP(Proc[[#This Row],[App]],Table2[],3,0),"open")</f>
        <v>ok</v>
      </c>
      <c r="C300" s="63" t="s">
        <v>369</v>
      </c>
      <c r="D300" t="s">
        <v>1632</v>
      </c>
      <c r="E300" t="s">
        <v>1167</v>
      </c>
      <c r="F300" s="117" t="s">
        <v>1167</v>
      </c>
      <c r="G300" s="62" t="s">
        <v>406</v>
      </c>
      <c r="H300" s="60" t="str">
        <f>IF(Proc[[#This Row],[type]]="LFF (MDG-F)",MID(Proc[[#This Row],[Obj]],13,10),"")</f>
        <v>US10DB3019</v>
      </c>
      <c r="I300" s="62" t="s">
        <v>1637</v>
      </c>
      <c r="J300" s="60" t="b">
        <f>Proc[[#This Row],[Requested]]=Proc[[#This Row],[CurrentParent]]</f>
        <v>1</v>
      </c>
      <c r="K300" s="144" t="str">
        <f>IF(Proc[[#This Row],[Author]]="Marcela Urrego",VLOOKUP(LEFT(Proc[[#This Row],[Requested]],1),Table3[#All],2,0),VLOOKUP(Proc[[#This Row],[Author]],Table4[],2,0))</f>
        <v>MGF</v>
      </c>
      <c r="L300" s="60" t="s">
        <v>509</v>
      </c>
      <c r="M300" s="71">
        <v>45681.527141203704</v>
      </c>
      <c r="P300" s="64" t="str">
        <f ca="1">IF(Proc[[#This Row],[DaysAgeing]]&gt;5,"yep","on track")</f>
        <v>yep</v>
      </c>
      <c r="Q300" s="3">
        <f ca="1">IF(Proc[[#This Row],[DateClosed]]="",ABS(NETWORKDAYS(Proc[[#This Row],[DateOpened]],TODAY()))-1,ABS(NETWORKDAYS(Proc[[#This Row],[DateOpened]],Proc[[#This Row],[DateClosed]]))-1)</f>
        <v>235</v>
      </c>
      <c r="R300" s="64" t="s">
        <v>1076</v>
      </c>
      <c r="S300" s="60"/>
    </row>
    <row r="301" spans="1:19" hidden="1">
      <c r="A301" s="62" t="s">
        <v>1627</v>
      </c>
      <c r="B301" s="149" t="str">
        <f>IFERROR(VLOOKUP(Proc[[#This Row],[App]],Table2[],3,0),"open")</f>
        <v>ok</v>
      </c>
      <c r="C301" s="63" t="s">
        <v>369</v>
      </c>
      <c r="D301" t="s">
        <v>1633</v>
      </c>
      <c r="E301" t="s">
        <v>1635</v>
      </c>
      <c r="F301" s="117" t="s">
        <v>1635</v>
      </c>
      <c r="G301" s="62" t="s">
        <v>406</v>
      </c>
      <c r="H301" s="60" t="str">
        <f>IF(Proc[[#This Row],[type]]="LFF (MDG-F)",MID(Proc[[#This Row],[Obj]],13,10),"")</f>
        <v>US10DB3010</v>
      </c>
      <c r="I301" s="62" t="s">
        <v>1637</v>
      </c>
      <c r="J301" s="60" t="b">
        <f>Proc[[#This Row],[Requested]]=Proc[[#This Row],[CurrentParent]]</f>
        <v>1</v>
      </c>
      <c r="K301" s="144" t="str">
        <f>IF(Proc[[#This Row],[Author]]="Marcela Urrego",VLOOKUP(LEFT(Proc[[#This Row],[Requested]],1),Table3[#All],2,0),VLOOKUP(Proc[[#This Row],[Author]],Table4[],2,0))</f>
        <v>MGF</v>
      </c>
      <c r="L301" s="60" t="s">
        <v>509</v>
      </c>
      <c r="M301" s="71">
        <v>45681.527141203704</v>
      </c>
      <c r="P301" s="64" t="str">
        <f ca="1">IF(Proc[[#This Row],[DaysAgeing]]&gt;5,"yep","on track")</f>
        <v>yep</v>
      </c>
      <c r="Q301" s="3">
        <f ca="1">IF(Proc[[#This Row],[DateClosed]]="",ABS(NETWORKDAYS(Proc[[#This Row],[DateOpened]],TODAY()))-1,ABS(NETWORKDAYS(Proc[[#This Row],[DateOpened]],Proc[[#This Row],[DateClosed]]))-1)</f>
        <v>235</v>
      </c>
      <c r="R301" s="64" t="s">
        <v>1076</v>
      </c>
      <c r="S301" s="60"/>
    </row>
    <row r="302" spans="1:19" hidden="1">
      <c r="A302" s="62" t="s">
        <v>1627</v>
      </c>
      <c r="B302" s="149" t="str">
        <f>IFERROR(VLOOKUP(Proc[[#This Row],[App]],Table2[],3,0),"open")</f>
        <v>ok</v>
      </c>
      <c r="C302" s="63" t="s">
        <v>369</v>
      </c>
      <c r="D302" t="s">
        <v>754</v>
      </c>
      <c r="E302" t="s">
        <v>552</v>
      </c>
      <c r="F302" s="117" t="s">
        <v>552</v>
      </c>
      <c r="G302" s="62" t="s">
        <v>406</v>
      </c>
      <c r="H302" s="60" t="str">
        <f>IF(Proc[[#This Row],[type]]="LFF (MDG-F)",MID(Proc[[#This Row],[Obj]],13,10),"")</f>
        <v>KR16DB3301</v>
      </c>
      <c r="I302" s="62" t="s">
        <v>1637</v>
      </c>
      <c r="J302" s="60" t="b">
        <f>Proc[[#This Row],[Requested]]=Proc[[#This Row],[CurrentParent]]</f>
        <v>1</v>
      </c>
      <c r="K302" s="144" t="str">
        <f>IF(Proc[[#This Row],[Author]]="Marcela Urrego",VLOOKUP(LEFT(Proc[[#This Row],[Requested]],1),Table3[#All],2,0),VLOOKUP(Proc[[#This Row],[Author]],Table4[],2,0))</f>
        <v>MGF</v>
      </c>
      <c r="L302" s="60" t="s">
        <v>509</v>
      </c>
      <c r="M302" s="71">
        <v>45681.527141203704</v>
      </c>
      <c r="P302" s="64" t="str">
        <f ca="1">IF(Proc[[#This Row],[DaysAgeing]]&gt;5,"yep","on track")</f>
        <v>yep</v>
      </c>
      <c r="Q302" s="3">
        <f ca="1">IF(Proc[[#This Row],[DateClosed]]="",ABS(NETWORKDAYS(Proc[[#This Row],[DateOpened]],TODAY()))-1,ABS(NETWORKDAYS(Proc[[#This Row],[DateOpened]],Proc[[#This Row],[DateClosed]]))-1)</f>
        <v>235</v>
      </c>
      <c r="R302" s="64" t="s">
        <v>1076</v>
      </c>
      <c r="S302" s="60"/>
    </row>
    <row r="303" spans="1:19" hidden="1">
      <c r="A303" s="62" t="s">
        <v>1627</v>
      </c>
      <c r="B303" s="149" t="str">
        <f>IFERROR(VLOOKUP(Proc[[#This Row],[App]],Table2[],3,0),"open")</f>
        <v>ok</v>
      </c>
      <c r="C303" s="63" t="s">
        <v>369</v>
      </c>
      <c r="D303" t="s">
        <v>751</v>
      </c>
      <c r="E303" t="s">
        <v>1636</v>
      </c>
      <c r="F303" s="117" t="s">
        <v>1636</v>
      </c>
      <c r="G303" s="62" t="s">
        <v>406</v>
      </c>
      <c r="H303" s="60" t="str">
        <f>IF(Proc[[#This Row],[type]]="LFF (MDG-F)",MID(Proc[[#This Row],[Obj]],13,10),"")</f>
        <v>KR15DB3300</v>
      </c>
      <c r="I303" s="62" t="s">
        <v>1637</v>
      </c>
      <c r="J303" s="60" t="b">
        <f>Proc[[#This Row],[Requested]]=Proc[[#This Row],[CurrentParent]]</f>
        <v>1</v>
      </c>
      <c r="K303" s="144" t="str">
        <f>IF(Proc[[#This Row],[Author]]="Marcela Urrego",VLOOKUP(LEFT(Proc[[#This Row],[Requested]],1),Table3[#All],2,0),VLOOKUP(Proc[[#This Row],[Author]],Table4[],2,0))</f>
        <v>MGF</v>
      </c>
      <c r="L303" s="60" t="s">
        <v>509</v>
      </c>
      <c r="M303" s="71">
        <v>45681.527141203704</v>
      </c>
      <c r="P303" s="64" t="str">
        <f ca="1">IF(Proc[[#This Row],[DaysAgeing]]&gt;5,"yep","on track")</f>
        <v>yep</v>
      </c>
      <c r="Q303" s="3">
        <f ca="1">IF(Proc[[#This Row],[DateClosed]]="",ABS(NETWORKDAYS(Proc[[#This Row],[DateOpened]],TODAY()))-1,ABS(NETWORKDAYS(Proc[[#This Row],[DateOpened]],Proc[[#This Row],[DateClosed]]))-1)</f>
        <v>235</v>
      </c>
      <c r="R303" s="64" t="s">
        <v>1076</v>
      </c>
      <c r="S303" s="60"/>
    </row>
    <row r="304" spans="1:19" hidden="1">
      <c r="A304" s="62" t="s">
        <v>1627</v>
      </c>
      <c r="B304" s="149" t="str">
        <f>IFERROR(VLOOKUP(Proc[[#This Row],[App]],Table2[],3,0),"open")</f>
        <v>ok</v>
      </c>
      <c r="C304" s="63" t="s">
        <v>369</v>
      </c>
      <c r="D304" t="s">
        <v>752</v>
      </c>
      <c r="E304" t="s">
        <v>1636</v>
      </c>
      <c r="F304" s="117" t="s">
        <v>1636</v>
      </c>
      <c r="G304" s="62" t="s">
        <v>406</v>
      </c>
      <c r="H304" s="60" t="str">
        <f>IF(Proc[[#This Row],[type]]="LFF (MDG-F)",MID(Proc[[#This Row],[Obj]],13,10),"")</f>
        <v>KR15DB3302</v>
      </c>
      <c r="I304" s="62" t="s">
        <v>1637</v>
      </c>
      <c r="J304" s="60" t="b">
        <f>Proc[[#This Row],[Requested]]=Proc[[#This Row],[CurrentParent]]</f>
        <v>1</v>
      </c>
      <c r="K304" s="144" t="str">
        <f>IF(Proc[[#This Row],[Author]]="Marcela Urrego",VLOOKUP(LEFT(Proc[[#This Row],[Requested]],1),Table3[#All],2,0),VLOOKUP(Proc[[#This Row],[Author]],Table4[],2,0))</f>
        <v>MGF</v>
      </c>
      <c r="L304" s="60" t="s">
        <v>509</v>
      </c>
      <c r="M304" s="71">
        <v>45681.527141203704</v>
      </c>
      <c r="P304" s="64" t="str">
        <f ca="1">IF(Proc[[#This Row],[DaysAgeing]]&gt;5,"yep","on track")</f>
        <v>yep</v>
      </c>
      <c r="Q304" s="3">
        <f ca="1">IF(Proc[[#This Row],[DateClosed]]="",ABS(NETWORKDAYS(Proc[[#This Row],[DateOpened]],TODAY()))-1,ABS(NETWORKDAYS(Proc[[#This Row],[DateOpened]],Proc[[#This Row],[DateClosed]]))-1)</f>
        <v>235</v>
      </c>
      <c r="R304" s="64" t="s">
        <v>1076</v>
      </c>
      <c r="S304" s="60"/>
    </row>
    <row r="305" spans="1:19" hidden="1">
      <c r="A305" s="62" t="s">
        <v>1627</v>
      </c>
      <c r="B305" s="149" t="str">
        <f>IFERROR(VLOOKUP(Proc[[#This Row],[App]],Table2[],3,0),"open")</f>
        <v>ok</v>
      </c>
      <c r="C305" s="63" t="s">
        <v>369</v>
      </c>
      <c r="D305" t="s">
        <v>753</v>
      </c>
      <c r="E305" t="s">
        <v>1634</v>
      </c>
      <c r="F305" s="117" t="s">
        <v>1634</v>
      </c>
      <c r="G305" s="62" t="s">
        <v>406</v>
      </c>
      <c r="H305" s="60" t="str">
        <f>IF(Proc[[#This Row],[type]]="LFF (MDG-F)",MID(Proc[[#This Row],[Obj]],13,10),"")</f>
        <v>KR15DB3307</v>
      </c>
      <c r="I305" s="62" t="s">
        <v>1637</v>
      </c>
      <c r="J305" s="60" t="b">
        <f>Proc[[#This Row],[Requested]]=Proc[[#This Row],[CurrentParent]]</f>
        <v>1</v>
      </c>
      <c r="K305" s="144" t="str">
        <f>IF(Proc[[#This Row],[Author]]="Marcela Urrego",VLOOKUP(LEFT(Proc[[#This Row],[Requested]],1),Table3[#All],2,0),VLOOKUP(Proc[[#This Row],[Author]],Table4[],2,0))</f>
        <v>MGF</v>
      </c>
      <c r="L305" s="60" t="s">
        <v>509</v>
      </c>
      <c r="M305" s="71">
        <v>45681.527141203704</v>
      </c>
      <c r="P305" s="64" t="str">
        <f ca="1">IF(Proc[[#This Row],[DaysAgeing]]&gt;5,"yep","on track")</f>
        <v>yep</v>
      </c>
      <c r="Q305" s="3">
        <f ca="1">IF(Proc[[#This Row],[DateClosed]]="",ABS(NETWORKDAYS(Proc[[#This Row],[DateOpened]],TODAY()))-1,ABS(NETWORKDAYS(Proc[[#This Row],[DateOpened]],Proc[[#This Row],[DateClosed]]))-1)</f>
        <v>235</v>
      </c>
      <c r="R305" s="64" t="s">
        <v>1076</v>
      </c>
      <c r="S305" s="60"/>
    </row>
    <row r="306" spans="1:19" hidden="1">
      <c r="A306" s="62" t="s">
        <v>1627</v>
      </c>
      <c r="B306" s="149" t="str">
        <f>IFERROR(VLOOKUP(Proc[[#This Row],[App]],Table2[],3,0),"open")</f>
        <v>ok</v>
      </c>
      <c r="C306" s="63" t="s">
        <v>369</v>
      </c>
      <c r="D306" t="s">
        <v>755</v>
      </c>
      <c r="E306" t="s">
        <v>1166</v>
      </c>
      <c r="F306" s="117" t="s">
        <v>1166</v>
      </c>
      <c r="G306" s="62" t="s">
        <v>406</v>
      </c>
      <c r="H306" s="60" t="str">
        <f>IF(Proc[[#This Row],[type]]="LFF (MDG-F)",MID(Proc[[#This Row],[Obj]],13,10),"")</f>
        <v>TW10DB3302</v>
      </c>
      <c r="I306" s="62" t="s">
        <v>1637</v>
      </c>
      <c r="J306" s="60" t="b">
        <f>Proc[[#This Row],[Requested]]=Proc[[#This Row],[CurrentParent]]</f>
        <v>1</v>
      </c>
      <c r="K306" s="144" t="str">
        <f>IF(Proc[[#This Row],[Author]]="Marcela Urrego",VLOOKUP(LEFT(Proc[[#This Row],[Requested]],1),Table3[#All],2,0),VLOOKUP(Proc[[#This Row],[Author]],Table4[],2,0))</f>
        <v>MGF</v>
      </c>
      <c r="L306" s="60" t="s">
        <v>509</v>
      </c>
      <c r="M306" s="71">
        <v>45681.527141203704</v>
      </c>
      <c r="P306" s="64" t="str">
        <f ca="1">IF(Proc[[#This Row],[DaysAgeing]]&gt;5,"yep","on track")</f>
        <v>yep</v>
      </c>
      <c r="Q306" s="3">
        <f ca="1">IF(Proc[[#This Row],[DateClosed]]="",ABS(NETWORKDAYS(Proc[[#This Row],[DateOpened]],TODAY()))-1,ABS(NETWORKDAYS(Proc[[#This Row],[DateOpened]],Proc[[#This Row],[DateClosed]]))-1)</f>
        <v>235</v>
      </c>
      <c r="R306" s="64" t="s">
        <v>1076</v>
      </c>
      <c r="S306" s="60"/>
    </row>
    <row r="307" spans="1:19" hidden="1">
      <c r="A307" t="s">
        <v>1641</v>
      </c>
      <c r="B307" s="149" t="str">
        <f>IFERROR(VLOOKUP(Proc[[#This Row],[App]],Table2[],3,0),"open")</f>
        <v>ok</v>
      </c>
      <c r="C307" t="s">
        <v>369</v>
      </c>
      <c r="D307" t="s">
        <v>1642</v>
      </c>
      <c r="E307" t="s">
        <v>1643</v>
      </c>
      <c r="F307" s="117" t="s">
        <v>1643</v>
      </c>
      <c r="G307" t="s">
        <v>400</v>
      </c>
      <c r="H307" s="60" t="str">
        <f>IF(Proc[[#This Row],[type]]="LFF (MDG-F)",MID(Proc[[#This Row],[Obj]],13,10),"")</f>
        <v/>
      </c>
      <c r="J307" s="60" t="b">
        <f>Proc[[#This Row],[Requested]]=Proc[[#This Row],[CurrentParent]]</f>
        <v>1</v>
      </c>
      <c r="K307" s="144" t="str">
        <f>IF(Proc[[#This Row],[Author]]="Marcela Urrego",VLOOKUP(LEFT(Proc[[#This Row],[Requested]],1),Table3[#All],2,0),VLOOKUP(Proc[[#This Row],[Author]],Table4[],2,0))</f>
        <v>LS</v>
      </c>
      <c r="L307" s="60" t="s">
        <v>509</v>
      </c>
      <c r="M307" s="71">
        <v>45681.610185185185</v>
      </c>
      <c r="N307" s="71">
        <v>45688</v>
      </c>
      <c r="O307" s="71">
        <v>45688</v>
      </c>
      <c r="P307" s="67" t="str">
        <f ca="1">IF(Proc[[#This Row],[DaysAgeing]]&gt;5,"yep","on track")</f>
        <v>on track</v>
      </c>
      <c r="Q307" s="3">
        <f ca="1">IF(Proc[[#This Row],[DateClosed]]="",ABS(NETWORKDAYS(Proc[[#This Row],[DateOpened]],TODAY()))-1,ABS(NETWORKDAYS(Proc[[#This Row],[DateOpened]],Proc[[#This Row],[DateClosed]]))-1)</f>
        <v>5</v>
      </c>
      <c r="R307" s="67" t="s">
        <v>1262</v>
      </c>
      <c r="S307" s="60"/>
    </row>
    <row r="308" spans="1:19" hidden="1">
      <c r="A308" t="s">
        <v>1644</v>
      </c>
      <c r="B308" s="149" t="str">
        <f>IFERROR(VLOOKUP(Proc[[#This Row],[App]],Table2[],3,0),"open")</f>
        <v>ok</v>
      </c>
      <c r="C308" s="62" t="s">
        <v>369</v>
      </c>
      <c r="D308" t="s">
        <v>1645</v>
      </c>
      <c r="E308" t="s">
        <v>1234</v>
      </c>
      <c r="F308" s="117" t="s">
        <v>1234</v>
      </c>
      <c r="G308" s="62" t="s">
        <v>400</v>
      </c>
      <c r="H308" s="60" t="str">
        <f>IF(Proc[[#This Row],[type]]="LFF (MDG-F)",MID(Proc[[#This Row],[Obj]],13,10),"")</f>
        <v/>
      </c>
      <c r="J308" s="60" t="b">
        <f>Proc[[#This Row],[Requested]]=Proc[[#This Row],[CurrentParent]]</f>
        <v>1</v>
      </c>
      <c r="K308" s="144" t="str">
        <f>IF(Proc[[#This Row],[Author]]="Marcela Urrego",VLOOKUP(LEFT(Proc[[#This Row],[Requested]],1),Table3[#All],2,0),VLOOKUP(Proc[[#This Row],[Author]],Table4[],2,0))</f>
        <v>LS</v>
      </c>
      <c r="L308" s="60" t="s">
        <v>509</v>
      </c>
      <c r="M308" s="71">
        <v>45685.33834490741</v>
      </c>
      <c r="N308" s="71">
        <v>45688</v>
      </c>
      <c r="O308" s="71">
        <v>45688</v>
      </c>
      <c r="P308" s="67" t="str">
        <f ca="1">IF(Proc[[#This Row],[DaysAgeing]]&gt;5,"yep","on track")</f>
        <v>on track</v>
      </c>
      <c r="Q308" s="3">
        <f ca="1">IF(Proc[[#This Row],[DateClosed]]="",ABS(NETWORKDAYS(Proc[[#This Row],[DateOpened]],TODAY()))-1,ABS(NETWORKDAYS(Proc[[#This Row],[DateOpened]],Proc[[#This Row],[DateClosed]]))-1)</f>
        <v>3</v>
      </c>
      <c r="R308" s="67" t="s">
        <v>972</v>
      </c>
      <c r="S308" s="60"/>
    </row>
    <row r="309" spans="1:19" hidden="1">
      <c r="A309" s="62" t="s">
        <v>1644</v>
      </c>
      <c r="B309" s="149" t="str">
        <f>IFERROR(VLOOKUP(Proc[[#This Row],[App]],Table2[],3,0),"open")</f>
        <v>ok</v>
      </c>
      <c r="C309" s="62" t="s">
        <v>369</v>
      </c>
      <c r="D309" t="s">
        <v>1646</v>
      </c>
      <c r="E309" t="s">
        <v>1233</v>
      </c>
      <c r="F309" s="117" t="s">
        <v>1233</v>
      </c>
      <c r="G309" s="62" t="s">
        <v>400</v>
      </c>
      <c r="H309" s="60" t="str">
        <f>IF(Proc[[#This Row],[type]]="LFF (MDG-F)",MID(Proc[[#This Row],[Obj]],13,10),"")</f>
        <v/>
      </c>
      <c r="J309" s="60" t="b">
        <f>Proc[[#This Row],[Requested]]=Proc[[#This Row],[CurrentParent]]</f>
        <v>1</v>
      </c>
      <c r="K309" s="144" t="str">
        <f>IF(Proc[[#This Row],[Author]]="Marcela Urrego",VLOOKUP(LEFT(Proc[[#This Row],[Requested]],1),Table3[#All],2,0),VLOOKUP(Proc[[#This Row],[Author]],Table4[],2,0))</f>
        <v>LS</v>
      </c>
      <c r="L309" s="60" t="s">
        <v>509</v>
      </c>
      <c r="M309" s="71">
        <v>45685.33834490741</v>
      </c>
      <c r="N309" s="71">
        <v>45688</v>
      </c>
      <c r="O309" s="71">
        <v>45688</v>
      </c>
      <c r="P309" s="67" t="str">
        <f ca="1">IF(Proc[[#This Row],[DaysAgeing]]&gt;5,"yep","on track")</f>
        <v>on track</v>
      </c>
      <c r="Q309" s="3">
        <f ca="1">IF(Proc[[#This Row],[DateClosed]]="",ABS(NETWORKDAYS(Proc[[#This Row],[DateOpened]],TODAY()))-1,ABS(NETWORKDAYS(Proc[[#This Row],[DateOpened]],Proc[[#This Row],[DateClosed]]))-1)</f>
        <v>3</v>
      </c>
      <c r="R309" s="67" t="s">
        <v>972</v>
      </c>
      <c r="S309" s="60"/>
    </row>
    <row r="310" spans="1:19" hidden="1">
      <c r="A310" s="62" t="s">
        <v>1644</v>
      </c>
      <c r="B310" s="149" t="str">
        <f>IFERROR(VLOOKUP(Proc[[#This Row],[App]],Table2[],3,0),"open")</f>
        <v>ok</v>
      </c>
      <c r="C310" s="62" t="s">
        <v>369</v>
      </c>
      <c r="D310" t="s">
        <v>1647</v>
      </c>
      <c r="E310" t="s">
        <v>1650</v>
      </c>
      <c r="F310" s="117" t="s">
        <v>1650</v>
      </c>
      <c r="G310" s="62" t="s">
        <v>400</v>
      </c>
      <c r="H310" s="60" t="str">
        <f>IF(Proc[[#This Row],[type]]="LFF (MDG-F)",MID(Proc[[#This Row],[Obj]],13,10),"")</f>
        <v/>
      </c>
      <c r="J310" s="60" t="b">
        <f>Proc[[#This Row],[Requested]]=Proc[[#This Row],[CurrentParent]]</f>
        <v>1</v>
      </c>
      <c r="K310" s="144" t="str">
        <f>IF(Proc[[#This Row],[Author]]="Marcela Urrego",VLOOKUP(LEFT(Proc[[#This Row],[Requested]],1),Table3[#All],2,0),VLOOKUP(Proc[[#This Row],[Author]],Table4[],2,0))</f>
        <v>LS</v>
      </c>
      <c r="L310" s="60" t="s">
        <v>509</v>
      </c>
      <c r="M310" s="71">
        <v>45685.33834490741</v>
      </c>
      <c r="N310" s="71">
        <v>45688</v>
      </c>
      <c r="O310" s="71">
        <v>45688</v>
      </c>
      <c r="P310" s="67" t="str">
        <f ca="1">IF(Proc[[#This Row],[DaysAgeing]]&gt;5,"yep","on track")</f>
        <v>on track</v>
      </c>
      <c r="Q310" s="3">
        <f ca="1">IF(Proc[[#This Row],[DateClosed]]="",ABS(NETWORKDAYS(Proc[[#This Row],[DateOpened]],TODAY()))-1,ABS(NETWORKDAYS(Proc[[#This Row],[DateOpened]],Proc[[#This Row],[DateClosed]]))-1)</f>
        <v>3</v>
      </c>
      <c r="R310" s="67" t="s">
        <v>972</v>
      </c>
      <c r="S310" s="60"/>
    </row>
    <row r="311" spans="1:19" hidden="1">
      <c r="A311" s="62" t="s">
        <v>1644</v>
      </c>
      <c r="B311" s="149" t="str">
        <f>IFERROR(VLOOKUP(Proc[[#This Row],[App]],Table2[],3,0),"open")</f>
        <v>ok</v>
      </c>
      <c r="C311" s="62" t="s">
        <v>369</v>
      </c>
      <c r="D311" t="s">
        <v>1652</v>
      </c>
      <c r="E311" t="s">
        <v>499</v>
      </c>
      <c r="F311" s="117" t="s">
        <v>499</v>
      </c>
      <c r="G311" s="62" t="s">
        <v>400</v>
      </c>
      <c r="H311" s="60" t="str">
        <f>IF(Proc[[#This Row],[type]]="LFF (MDG-F)",MID(Proc[[#This Row],[Obj]],13,10),"")</f>
        <v/>
      </c>
      <c r="J311" s="60" t="b">
        <f>Proc[[#This Row],[Requested]]=Proc[[#This Row],[CurrentParent]]</f>
        <v>1</v>
      </c>
      <c r="K311" s="144" t="str">
        <f>IF(Proc[[#This Row],[Author]]="Marcela Urrego",VLOOKUP(LEFT(Proc[[#This Row],[Requested]],1),Table3[#All],2,0),VLOOKUP(Proc[[#This Row],[Author]],Table4[],2,0))</f>
        <v>LS</v>
      </c>
      <c r="L311" s="60" t="s">
        <v>509</v>
      </c>
      <c r="M311" s="71">
        <v>45685.33834490741</v>
      </c>
      <c r="N311" s="71">
        <v>45688</v>
      </c>
      <c r="O311" s="71">
        <v>45688</v>
      </c>
      <c r="P311" s="67" t="str">
        <f ca="1">IF(Proc[[#This Row],[DaysAgeing]]&gt;5,"yep","on track")</f>
        <v>on track</v>
      </c>
      <c r="Q311" s="3">
        <f ca="1">IF(Proc[[#This Row],[DateClosed]]="",ABS(NETWORKDAYS(Proc[[#This Row],[DateOpened]],TODAY()))-1,ABS(NETWORKDAYS(Proc[[#This Row],[DateOpened]],Proc[[#This Row],[DateClosed]]))-1)</f>
        <v>3</v>
      </c>
      <c r="R311" s="67" t="s">
        <v>972</v>
      </c>
      <c r="S311" s="60"/>
    </row>
    <row r="312" spans="1:19" hidden="1">
      <c r="A312" s="62" t="s">
        <v>1644</v>
      </c>
      <c r="B312" s="149" t="str">
        <f>IFERROR(VLOOKUP(Proc[[#This Row],[App]],Table2[],3,0),"open")</f>
        <v>ok</v>
      </c>
      <c r="C312" s="62" t="s">
        <v>369</v>
      </c>
      <c r="D312" t="s">
        <v>1648</v>
      </c>
      <c r="E312" t="s">
        <v>429</v>
      </c>
      <c r="F312" s="117" t="s">
        <v>429</v>
      </c>
      <c r="G312" s="62" t="s">
        <v>400</v>
      </c>
      <c r="H312" s="60" t="str">
        <f>IF(Proc[[#This Row],[type]]="LFF (MDG-F)",MID(Proc[[#This Row],[Obj]],13,10),"")</f>
        <v/>
      </c>
      <c r="J312" s="60" t="b">
        <f>Proc[[#This Row],[Requested]]=Proc[[#This Row],[CurrentParent]]</f>
        <v>1</v>
      </c>
      <c r="K312" s="144" t="str">
        <f>IF(Proc[[#This Row],[Author]]="Marcela Urrego",VLOOKUP(LEFT(Proc[[#This Row],[Requested]],1),Table3[#All],2,0),VLOOKUP(Proc[[#This Row],[Author]],Table4[],2,0))</f>
        <v>LS</v>
      </c>
      <c r="L312" s="60" t="s">
        <v>509</v>
      </c>
      <c r="M312" s="71">
        <v>45685.33834490741</v>
      </c>
      <c r="N312" s="71">
        <v>45688</v>
      </c>
      <c r="O312" s="71">
        <v>45688</v>
      </c>
      <c r="P312" s="67" t="str">
        <f ca="1">IF(Proc[[#This Row],[DaysAgeing]]&gt;5,"yep","on track")</f>
        <v>on track</v>
      </c>
      <c r="Q312" s="3">
        <f ca="1">IF(Proc[[#This Row],[DateClosed]]="",ABS(NETWORKDAYS(Proc[[#This Row],[DateOpened]],TODAY()))-1,ABS(NETWORKDAYS(Proc[[#This Row],[DateOpened]],Proc[[#This Row],[DateClosed]]))-1)</f>
        <v>3</v>
      </c>
      <c r="R312" s="67" t="s">
        <v>972</v>
      </c>
      <c r="S312" s="60"/>
    </row>
    <row r="313" spans="1:19" hidden="1">
      <c r="A313" s="62" t="s">
        <v>1644</v>
      </c>
      <c r="B313" s="149" t="str">
        <f>IFERROR(VLOOKUP(Proc[[#This Row],[App]],Table2[],3,0),"open")</f>
        <v>ok</v>
      </c>
      <c r="C313" s="62" t="s">
        <v>369</v>
      </c>
      <c r="D313" t="s">
        <v>1649</v>
      </c>
      <c r="E313" t="s">
        <v>1651</v>
      </c>
      <c r="F313" s="117" t="s">
        <v>1651</v>
      </c>
      <c r="G313" s="62" t="s">
        <v>400</v>
      </c>
      <c r="H313" s="60" t="str">
        <f>IF(Proc[[#This Row],[type]]="LFF (MDG-F)",MID(Proc[[#This Row],[Obj]],13,10),"")</f>
        <v/>
      </c>
      <c r="J313" s="60" t="b">
        <f>Proc[[#This Row],[Requested]]=Proc[[#This Row],[CurrentParent]]</f>
        <v>1</v>
      </c>
      <c r="K313" s="144" t="str">
        <f>IF(Proc[[#This Row],[Author]]="Marcela Urrego",VLOOKUP(LEFT(Proc[[#This Row],[Requested]],1),Table3[#All],2,0),VLOOKUP(Proc[[#This Row],[Author]],Table4[],2,0))</f>
        <v>LS</v>
      </c>
      <c r="L313" s="60" t="s">
        <v>509</v>
      </c>
      <c r="M313" s="71">
        <v>45685.33834490741</v>
      </c>
      <c r="N313" s="71">
        <v>45688</v>
      </c>
      <c r="O313" s="71">
        <v>45688</v>
      </c>
      <c r="P313" s="67" t="str">
        <f ca="1">IF(Proc[[#This Row],[DaysAgeing]]&gt;5,"yep","on track")</f>
        <v>on track</v>
      </c>
      <c r="Q313" s="3">
        <f ca="1">IF(Proc[[#This Row],[DateClosed]]="",ABS(NETWORKDAYS(Proc[[#This Row],[DateOpened]],TODAY()))-1,ABS(NETWORKDAYS(Proc[[#This Row],[DateOpened]],Proc[[#This Row],[DateClosed]]))-1)</f>
        <v>3</v>
      </c>
      <c r="R313" s="67" t="s">
        <v>972</v>
      </c>
      <c r="S313" s="60"/>
    </row>
    <row r="314" spans="1:19" hidden="1">
      <c r="A314" t="s">
        <v>1654</v>
      </c>
      <c r="B314" s="149" t="str">
        <f>IFERROR(VLOOKUP(Proc[[#This Row],[App]],Table2[],3,0),"open")</f>
        <v>ok</v>
      </c>
      <c r="C314" s="62" t="s">
        <v>369</v>
      </c>
      <c r="D314" t="s">
        <v>1653</v>
      </c>
      <c r="E314" t="s">
        <v>1034</v>
      </c>
      <c r="F314" s="117" t="s">
        <v>1034</v>
      </c>
      <c r="G314" s="62" t="s">
        <v>400</v>
      </c>
      <c r="H314" s="60" t="str">
        <f>IF(Proc[[#This Row],[type]]="LFF (MDG-F)",MID(Proc[[#This Row],[Obj]],13,10),"")</f>
        <v/>
      </c>
      <c r="J314" s="60" t="b">
        <f>Proc[[#This Row],[Requested]]=Proc[[#This Row],[CurrentParent]]</f>
        <v>1</v>
      </c>
      <c r="K314" s="144" t="str">
        <f>IF(Proc[[#This Row],[Author]]="Marcela Urrego",VLOOKUP(LEFT(Proc[[#This Row],[Requested]],1),Table3[#All],2,0),VLOOKUP(Proc[[#This Row],[Author]],Table4[],2,0))</f>
        <v>HC</v>
      </c>
      <c r="L314" s="60" t="s">
        <v>509</v>
      </c>
      <c r="M314" s="71">
        <v>45685.502604166664</v>
      </c>
      <c r="N314" s="71">
        <v>45688</v>
      </c>
      <c r="O314" s="71">
        <v>45688</v>
      </c>
      <c r="P314" s="67" t="str">
        <f ca="1">IF(Proc[[#This Row],[DaysAgeing]]&gt;5,"yep","on track")</f>
        <v>on track</v>
      </c>
      <c r="Q314" s="3">
        <f ca="1">IF(Proc[[#This Row],[DateClosed]]="",ABS(NETWORKDAYS(Proc[[#This Row],[DateOpened]],TODAY()))-1,ABS(NETWORKDAYS(Proc[[#This Row],[DateOpened]],Proc[[#This Row],[DateClosed]]))-1)</f>
        <v>3</v>
      </c>
      <c r="R314" s="67" t="s">
        <v>484</v>
      </c>
      <c r="S314" s="60"/>
    </row>
    <row r="315" spans="1:19" hidden="1">
      <c r="A315" t="s">
        <v>1665</v>
      </c>
      <c r="B315" s="149" t="str">
        <f>IFERROR(VLOOKUP(Proc[[#This Row],[App]],Table2[],3,0),"open")</f>
        <v>ok</v>
      </c>
      <c r="C315" s="63" t="s">
        <v>369</v>
      </c>
      <c r="D315" t="s">
        <v>1664</v>
      </c>
      <c r="E315" t="s">
        <v>1667</v>
      </c>
      <c r="F315" s="117" t="s">
        <v>1667</v>
      </c>
      <c r="G315" t="s">
        <v>406</v>
      </c>
      <c r="H315" s="60" t="str">
        <f>IF(Proc[[#This Row],[type]]="LFF (MDG-F)",MID(Proc[[#This Row],[Obj]],13,10),"")</f>
        <v>DE50TODA13</v>
      </c>
      <c r="J315" s="60" t="b">
        <f>Proc[[#This Row],[Requested]]=Proc[[#This Row],[CurrentParent]]</f>
        <v>1</v>
      </c>
      <c r="K315" s="144" t="str">
        <f>IF(Proc[[#This Row],[Author]]="Marcela Urrego",VLOOKUP(LEFT(Proc[[#This Row],[Requested]],1),Table3[#All],2,0),VLOOKUP(Proc[[#This Row],[Author]],Table4[],2,0))</f>
        <v>HC</v>
      </c>
      <c r="L315" s="60" t="s">
        <v>509</v>
      </c>
      <c r="M315" s="71">
        <v>45687.53292824074</v>
      </c>
      <c r="P315" s="67" t="str">
        <f ca="1">IF(Proc[[#This Row],[DaysAgeing]]&gt;5,"yep","on track")</f>
        <v>yep</v>
      </c>
      <c r="Q315" s="3">
        <f ca="1">IF(Proc[[#This Row],[DateClosed]]="",ABS(NETWORKDAYS(Proc[[#This Row],[DateOpened]],TODAY()))-1,ABS(NETWORKDAYS(Proc[[#This Row],[DateOpened]],Proc[[#This Row],[DateClosed]]))-1)</f>
        <v>231</v>
      </c>
      <c r="R315" s="64" t="s">
        <v>1666</v>
      </c>
      <c r="S315" s="60"/>
    </row>
    <row r="316" spans="1:19" hidden="1">
      <c r="A316" t="s">
        <v>1657</v>
      </c>
      <c r="B316" s="149" t="str">
        <f>IFERROR(VLOOKUP(Proc[[#This Row],[App]],Table2[],3,0),"open")</f>
        <v>ok</v>
      </c>
      <c r="C316" s="63" t="s">
        <v>369</v>
      </c>
      <c r="D316" t="s">
        <v>1663</v>
      </c>
      <c r="E316" t="s">
        <v>417</v>
      </c>
      <c r="F316" s="117" t="s">
        <v>417</v>
      </c>
      <c r="G316" s="62" t="s">
        <v>400</v>
      </c>
      <c r="H316" s="60" t="str">
        <f>IF(Proc[[#This Row],[type]]="LFF (MDG-F)",MID(Proc[[#This Row],[Obj]],13,10),"")</f>
        <v/>
      </c>
      <c r="J316" s="60" t="b">
        <f>Proc[[#This Row],[Requested]]=Proc[[#This Row],[CurrentParent]]</f>
        <v>1</v>
      </c>
      <c r="K316" s="144" t="str">
        <f>IF(Proc[[#This Row],[Author]]="Marcela Urrego",VLOOKUP(LEFT(Proc[[#This Row],[Requested]],1),Table3[#All],2,0),VLOOKUP(Proc[[#This Row],[Author]],Table4[],2,0))</f>
        <v>LS</v>
      </c>
      <c r="L316" s="60" t="s">
        <v>509</v>
      </c>
      <c r="M316" s="71">
        <v>45687.600775462961</v>
      </c>
      <c r="N316" s="71">
        <v>45691</v>
      </c>
      <c r="O316" s="71">
        <v>45691</v>
      </c>
      <c r="P316" s="67" t="str">
        <f ca="1">IF(Proc[[#This Row],[DaysAgeing]]&gt;5,"yep","on track")</f>
        <v>on track</v>
      </c>
      <c r="Q316" s="3">
        <f ca="1">IF(Proc[[#This Row],[DateClosed]]="",ABS(NETWORKDAYS(Proc[[#This Row],[DateOpened]],TODAY()))-1,ABS(NETWORKDAYS(Proc[[#This Row],[DateOpened]],Proc[[#This Row],[DateClosed]]))-1)</f>
        <v>2</v>
      </c>
      <c r="R316" s="67" t="s">
        <v>972</v>
      </c>
      <c r="S316" s="60"/>
    </row>
    <row r="317" spans="1:19" hidden="1">
      <c r="A317" s="62" t="s">
        <v>1657</v>
      </c>
      <c r="B317" s="149" t="str">
        <f>IFERROR(VLOOKUP(Proc[[#This Row],[App]],Table2[],3,0),"open")</f>
        <v>ok</v>
      </c>
      <c r="C317" s="63" t="s">
        <v>369</v>
      </c>
      <c r="D317" t="s">
        <v>1658</v>
      </c>
      <c r="E317" t="s">
        <v>1145</v>
      </c>
      <c r="F317" s="117" t="s">
        <v>1145</v>
      </c>
      <c r="G317" s="62" t="s">
        <v>400</v>
      </c>
      <c r="H317" s="60" t="str">
        <f>IF(Proc[[#This Row],[type]]="LFF (MDG-F)",MID(Proc[[#This Row],[Obj]],13,10),"")</f>
        <v/>
      </c>
      <c r="J317" s="60" t="b">
        <f>Proc[[#This Row],[Requested]]=Proc[[#This Row],[CurrentParent]]</f>
        <v>1</v>
      </c>
      <c r="K317" s="144" t="str">
        <f>IF(Proc[[#This Row],[Author]]="Marcela Urrego",VLOOKUP(LEFT(Proc[[#This Row],[Requested]],1),Table3[#All],2,0),VLOOKUP(Proc[[#This Row],[Author]],Table4[],2,0))</f>
        <v>LS</v>
      </c>
      <c r="L317" s="60" t="s">
        <v>509</v>
      </c>
      <c r="M317" s="71">
        <v>45687.600775462961</v>
      </c>
      <c r="N317" s="71">
        <v>45691</v>
      </c>
      <c r="O317" s="71">
        <v>45691</v>
      </c>
      <c r="P317" s="67" t="str">
        <f ca="1">IF(Proc[[#This Row],[DaysAgeing]]&gt;5,"yep","on track")</f>
        <v>on track</v>
      </c>
      <c r="Q317" s="3">
        <f ca="1">IF(Proc[[#This Row],[DateClosed]]="",ABS(NETWORKDAYS(Proc[[#This Row],[DateOpened]],TODAY()))-1,ABS(NETWORKDAYS(Proc[[#This Row],[DateOpened]],Proc[[#This Row],[DateClosed]]))-1)</f>
        <v>2</v>
      </c>
      <c r="R317" s="67" t="s">
        <v>972</v>
      </c>
      <c r="S317" s="60"/>
    </row>
    <row r="318" spans="1:19" hidden="1">
      <c r="A318" s="62" t="s">
        <v>1657</v>
      </c>
      <c r="B318" s="149" t="str">
        <f>IFERROR(VLOOKUP(Proc[[#This Row],[App]],Table2[],3,0),"open")</f>
        <v>ok</v>
      </c>
      <c r="C318" s="63" t="s">
        <v>369</v>
      </c>
      <c r="D318" t="s">
        <v>1659</v>
      </c>
      <c r="E318" t="s">
        <v>1145</v>
      </c>
      <c r="F318" s="117" t="s">
        <v>1145</v>
      </c>
      <c r="G318" s="62" t="s">
        <v>400</v>
      </c>
      <c r="H318" s="60" t="str">
        <f>IF(Proc[[#This Row],[type]]="LFF (MDG-F)",MID(Proc[[#This Row],[Obj]],13,10),"")</f>
        <v/>
      </c>
      <c r="J318" s="60" t="b">
        <f>Proc[[#This Row],[Requested]]=Proc[[#This Row],[CurrentParent]]</f>
        <v>1</v>
      </c>
      <c r="K318" s="144" t="str">
        <f>IF(Proc[[#This Row],[Author]]="Marcela Urrego",VLOOKUP(LEFT(Proc[[#This Row],[Requested]],1),Table3[#All],2,0),VLOOKUP(Proc[[#This Row],[Author]],Table4[],2,0))</f>
        <v>LS</v>
      </c>
      <c r="L318" s="60" t="s">
        <v>509</v>
      </c>
      <c r="M318" s="71">
        <v>45687.600775462961</v>
      </c>
      <c r="N318" s="71">
        <v>45691</v>
      </c>
      <c r="O318" s="71">
        <v>45691</v>
      </c>
      <c r="P318" s="67" t="str">
        <f ca="1">IF(Proc[[#This Row],[DaysAgeing]]&gt;5,"yep","on track")</f>
        <v>on track</v>
      </c>
      <c r="Q318" s="3">
        <f ca="1">IF(Proc[[#This Row],[DateClosed]]="",ABS(NETWORKDAYS(Proc[[#This Row],[DateOpened]],TODAY()))-1,ABS(NETWORKDAYS(Proc[[#This Row],[DateOpened]],Proc[[#This Row],[DateClosed]]))-1)</f>
        <v>2</v>
      </c>
      <c r="R318" s="67" t="s">
        <v>972</v>
      </c>
      <c r="S318" s="60"/>
    </row>
    <row r="319" spans="1:19" hidden="1">
      <c r="A319" s="62" t="s">
        <v>1657</v>
      </c>
      <c r="B319" s="149" t="str">
        <f>IFERROR(VLOOKUP(Proc[[#This Row],[App]],Table2[],3,0),"open")</f>
        <v>ok</v>
      </c>
      <c r="C319" s="63" t="s">
        <v>369</v>
      </c>
      <c r="D319" t="s">
        <v>1660</v>
      </c>
      <c r="E319" t="s">
        <v>1145</v>
      </c>
      <c r="F319" s="117" t="s">
        <v>1145</v>
      </c>
      <c r="G319" s="62" t="s">
        <v>400</v>
      </c>
      <c r="H319" s="60" t="str">
        <f>IF(Proc[[#This Row],[type]]="LFF (MDG-F)",MID(Proc[[#This Row],[Obj]],13,10),"")</f>
        <v/>
      </c>
      <c r="J319" s="60" t="b">
        <f>Proc[[#This Row],[Requested]]=Proc[[#This Row],[CurrentParent]]</f>
        <v>1</v>
      </c>
      <c r="K319" s="144" t="str">
        <f>IF(Proc[[#This Row],[Author]]="Marcela Urrego",VLOOKUP(LEFT(Proc[[#This Row],[Requested]],1),Table3[#All],2,0),VLOOKUP(Proc[[#This Row],[Author]],Table4[],2,0))</f>
        <v>LS</v>
      </c>
      <c r="L319" s="60" t="s">
        <v>509</v>
      </c>
      <c r="M319" s="71">
        <v>45687.600775462961</v>
      </c>
      <c r="N319" s="71">
        <v>45691</v>
      </c>
      <c r="O319" s="71">
        <v>45691</v>
      </c>
      <c r="P319" s="67" t="str">
        <f ca="1">IF(Proc[[#This Row],[DaysAgeing]]&gt;5,"yep","on track")</f>
        <v>on track</v>
      </c>
      <c r="Q319" s="3">
        <f ca="1">IF(Proc[[#This Row],[DateClosed]]="",ABS(NETWORKDAYS(Proc[[#This Row],[DateOpened]],TODAY()))-1,ABS(NETWORKDAYS(Proc[[#This Row],[DateOpened]],Proc[[#This Row],[DateClosed]]))-1)</f>
        <v>2</v>
      </c>
      <c r="R319" s="67" t="s">
        <v>972</v>
      </c>
      <c r="S319" s="60"/>
    </row>
    <row r="320" spans="1:19" hidden="1">
      <c r="A320" s="62" t="s">
        <v>1657</v>
      </c>
      <c r="B320" s="149" t="str">
        <f>IFERROR(VLOOKUP(Proc[[#This Row],[App]],Table2[],3,0),"open")</f>
        <v>ok</v>
      </c>
      <c r="C320" s="63" t="s">
        <v>369</v>
      </c>
      <c r="D320" t="s">
        <v>1661</v>
      </c>
      <c r="E320" t="s">
        <v>1145</v>
      </c>
      <c r="F320" s="117" t="s">
        <v>1145</v>
      </c>
      <c r="G320" s="62" t="s">
        <v>400</v>
      </c>
      <c r="H320" s="60" t="str">
        <f>IF(Proc[[#This Row],[type]]="LFF (MDG-F)",MID(Proc[[#This Row],[Obj]],13,10),"")</f>
        <v/>
      </c>
      <c r="J320" s="60" t="b">
        <f>Proc[[#This Row],[Requested]]=Proc[[#This Row],[CurrentParent]]</f>
        <v>1</v>
      </c>
      <c r="K320" s="144" t="str">
        <f>IF(Proc[[#This Row],[Author]]="Marcela Urrego",VLOOKUP(LEFT(Proc[[#This Row],[Requested]],1),Table3[#All],2,0),VLOOKUP(Proc[[#This Row],[Author]],Table4[],2,0))</f>
        <v>LS</v>
      </c>
      <c r="L320" s="60" t="s">
        <v>509</v>
      </c>
      <c r="M320" s="71">
        <v>45687.600775462961</v>
      </c>
      <c r="N320" s="71">
        <v>45691</v>
      </c>
      <c r="O320" s="71">
        <v>45691</v>
      </c>
      <c r="P320" s="67" t="str">
        <f ca="1">IF(Proc[[#This Row],[DaysAgeing]]&gt;5,"yep","on track")</f>
        <v>on track</v>
      </c>
      <c r="Q320" s="3">
        <f ca="1">IF(Proc[[#This Row],[DateClosed]]="",ABS(NETWORKDAYS(Proc[[#This Row],[DateOpened]],TODAY()))-1,ABS(NETWORKDAYS(Proc[[#This Row],[DateOpened]],Proc[[#This Row],[DateClosed]]))-1)</f>
        <v>2</v>
      </c>
      <c r="R320" s="67" t="s">
        <v>972</v>
      </c>
      <c r="S320" s="60"/>
    </row>
    <row r="321" spans="1:19" hidden="1">
      <c r="A321" s="62" t="s">
        <v>1657</v>
      </c>
      <c r="B321" s="149" t="str">
        <f>IFERROR(VLOOKUP(Proc[[#This Row],[App]],Table2[],3,0),"open")</f>
        <v>ok</v>
      </c>
      <c r="C321" s="63" t="s">
        <v>369</v>
      </c>
      <c r="D321" t="s">
        <v>1662</v>
      </c>
      <c r="E321" t="s">
        <v>1145</v>
      </c>
      <c r="F321" s="117" t="s">
        <v>1145</v>
      </c>
      <c r="G321" s="62" t="s">
        <v>400</v>
      </c>
      <c r="H321" s="60" t="str">
        <f>IF(Proc[[#This Row],[type]]="LFF (MDG-F)",MID(Proc[[#This Row],[Obj]],13,10),"")</f>
        <v/>
      </c>
      <c r="J321" s="60" t="b">
        <f>Proc[[#This Row],[Requested]]=Proc[[#This Row],[CurrentParent]]</f>
        <v>1</v>
      </c>
      <c r="K321" s="144" t="str">
        <f>IF(Proc[[#This Row],[Author]]="Marcela Urrego",VLOOKUP(LEFT(Proc[[#This Row],[Requested]],1),Table3[#All],2,0),VLOOKUP(Proc[[#This Row],[Author]],Table4[],2,0))</f>
        <v>LS</v>
      </c>
      <c r="L321" s="60" t="s">
        <v>509</v>
      </c>
      <c r="M321" s="71">
        <v>45687.600775462961</v>
      </c>
      <c r="N321" s="71">
        <v>45691</v>
      </c>
      <c r="O321" s="71">
        <v>45691</v>
      </c>
      <c r="P321" s="67" t="str">
        <f ca="1">IF(Proc[[#This Row],[DaysAgeing]]&gt;5,"yep","on track")</f>
        <v>on track</v>
      </c>
      <c r="Q321" s="3">
        <f ca="1">IF(Proc[[#This Row],[DateClosed]]="",ABS(NETWORKDAYS(Proc[[#This Row],[DateOpened]],TODAY()))-1,ABS(NETWORKDAYS(Proc[[#This Row],[DateOpened]],Proc[[#This Row],[DateClosed]]))-1)</f>
        <v>2</v>
      </c>
      <c r="R321" s="67" t="s">
        <v>972</v>
      </c>
      <c r="S321" s="60"/>
    </row>
    <row r="322" spans="1:19" hidden="1">
      <c r="A322" t="s">
        <v>1655</v>
      </c>
      <c r="B322" s="149" t="str">
        <f>IFERROR(VLOOKUP(Proc[[#This Row],[App]],Table2[],3,0),"open")</f>
        <v>ok</v>
      </c>
      <c r="C322" s="63" t="s">
        <v>369</v>
      </c>
      <c r="D322" t="s">
        <v>1656</v>
      </c>
      <c r="E322" t="s">
        <v>418</v>
      </c>
      <c r="F322" s="117" t="s">
        <v>418</v>
      </c>
      <c r="G322" t="s">
        <v>400</v>
      </c>
      <c r="H322" s="60" t="str">
        <f>IF(Proc[[#This Row],[type]]="LFF (MDG-F)",MID(Proc[[#This Row],[Obj]],13,10),"")</f>
        <v/>
      </c>
      <c r="J322" s="60" t="b">
        <f>Proc[[#This Row],[Requested]]=Proc[[#This Row],[CurrentParent]]</f>
        <v>1</v>
      </c>
      <c r="K322" s="144" t="str">
        <f>IF(Proc[[#This Row],[Author]]="Marcela Urrego",VLOOKUP(LEFT(Proc[[#This Row],[Requested]],1),Table3[#All],2,0),VLOOKUP(Proc[[#This Row],[Author]],Table4[],2,0))</f>
        <v>MGF</v>
      </c>
      <c r="L322" s="60" t="s">
        <v>509</v>
      </c>
      <c r="M322" s="71">
        <v>45687.614363425928</v>
      </c>
      <c r="N322" s="71">
        <v>45691</v>
      </c>
      <c r="O322" s="71">
        <v>45691</v>
      </c>
      <c r="P322" s="67" t="str">
        <f ca="1">IF(Proc[[#This Row],[DaysAgeing]]&gt;5,"yep","on track")</f>
        <v>on track</v>
      </c>
      <c r="Q322" s="3">
        <f ca="1">IF(Proc[[#This Row],[DateClosed]]="",ABS(NETWORKDAYS(Proc[[#This Row],[DateOpened]],TODAY()))-1,ABS(NETWORKDAYS(Proc[[#This Row],[DateOpened]],Proc[[#This Row],[DateClosed]]))-1)</f>
        <v>2</v>
      </c>
      <c r="R322" s="67" t="s">
        <v>1076</v>
      </c>
      <c r="S322" s="60"/>
    </row>
    <row r="323" spans="1:19" hidden="1">
      <c r="A323" t="s">
        <v>1686</v>
      </c>
      <c r="B323" s="149" t="str">
        <f>IFERROR(VLOOKUP(Proc[[#This Row],[App]],Table2[],3,0),"open")</f>
        <v>ok</v>
      </c>
      <c r="C323" s="63" t="s">
        <v>369</v>
      </c>
      <c r="D323" t="s">
        <v>1668</v>
      </c>
      <c r="E323" t="s">
        <v>812</v>
      </c>
      <c r="F323" s="117" t="s">
        <v>812</v>
      </c>
      <c r="G323" s="62" t="s">
        <v>400</v>
      </c>
      <c r="H323" s="60" t="str">
        <f>IF(Proc[[#This Row],[type]]="LFF (MDG-F)",MID(Proc[[#This Row],[Obj]],13,10),"")</f>
        <v/>
      </c>
      <c r="J323" s="60" t="b">
        <f>Proc[[#This Row],[Requested]]=Proc[[#This Row],[CurrentParent]]</f>
        <v>1</v>
      </c>
      <c r="K323" s="144" t="str">
        <f>IF(Proc[[#This Row],[Author]]="Marcela Urrego",VLOOKUP(LEFT(Proc[[#This Row],[Requested]],1),Table3[#All],2,0),VLOOKUP(Proc[[#This Row],[Author]],Table4[],2,0))</f>
        <v>HC</v>
      </c>
      <c r="L323" s="60" t="s">
        <v>509</v>
      </c>
      <c r="M323" s="71">
        <v>45688.524016203701</v>
      </c>
      <c r="N323" s="71">
        <v>45691</v>
      </c>
      <c r="O323" s="71">
        <v>45691</v>
      </c>
      <c r="P323" s="67" t="str">
        <f ca="1">IF(Proc[[#This Row],[DaysAgeing]]&gt;5,"yep","on track")</f>
        <v>on track</v>
      </c>
      <c r="Q323" s="3">
        <f ca="1">IF(Proc[[#This Row],[DateClosed]]="",ABS(NETWORKDAYS(Proc[[#This Row],[DateOpened]],TODAY()))-1,ABS(NETWORKDAYS(Proc[[#This Row],[DateOpened]],Proc[[#This Row],[DateClosed]]))-1)</f>
        <v>1</v>
      </c>
      <c r="R323" s="67" t="s">
        <v>1013</v>
      </c>
      <c r="S323" s="60"/>
    </row>
    <row r="324" spans="1:19" hidden="1">
      <c r="A324" s="62" t="s">
        <v>1686</v>
      </c>
      <c r="B324" s="149" t="str">
        <f>IFERROR(VLOOKUP(Proc[[#This Row],[App]],Table2[],3,0),"open")</f>
        <v>ok</v>
      </c>
      <c r="C324" s="63" t="s">
        <v>369</v>
      </c>
      <c r="D324" t="s">
        <v>1669</v>
      </c>
      <c r="E324" t="s">
        <v>811</v>
      </c>
      <c r="F324" s="117" t="s">
        <v>811</v>
      </c>
      <c r="G324" s="62" t="s">
        <v>400</v>
      </c>
      <c r="H324" s="60" t="str">
        <f>IF(Proc[[#This Row],[type]]="LFF (MDG-F)",MID(Proc[[#This Row],[Obj]],13,10),"")</f>
        <v/>
      </c>
      <c r="J324" s="60" t="b">
        <f>Proc[[#This Row],[Requested]]=Proc[[#This Row],[CurrentParent]]</f>
        <v>1</v>
      </c>
      <c r="K324" s="144" t="str">
        <f>IF(Proc[[#This Row],[Author]]="Marcela Urrego",VLOOKUP(LEFT(Proc[[#This Row],[Requested]],1),Table3[#All],2,0),VLOOKUP(Proc[[#This Row],[Author]],Table4[],2,0))</f>
        <v>HC</v>
      </c>
      <c r="L324" s="60" t="s">
        <v>509</v>
      </c>
      <c r="M324" s="71">
        <v>45688.524016203701</v>
      </c>
      <c r="N324" s="71">
        <v>45691</v>
      </c>
      <c r="O324" s="71">
        <v>45691</v>
      </c>
      <c r="P324" s="67" t="str">
        <f ca="1">IF(Proc[[#This Row],[DaysAgeing]]&gt;5,"yep","on track")</f>
        <v>on track</v>
      </c>
      <c r="Q324" s="3">
        <f ca="1">IF(Proc[[#This Row],[DateClosed]]="",ABS(NETWORKDAYS(Proc[[#This Row],[DateOpened]],TODAY()))-1,ABS(NETWORKDAYS(Proc[[#This Row],[DateOpened]],Proc[[#This Row],[DateClosed]]))-1)</f>
        <v>1</v>
      </c>
      <c r="R324" s="67" t="s">
        <v>1013</v>
      </c>
      <c r="S324" s="60"/>
    </row>
    <row r="325" spans="1:19" hidden="1">
      <c r="A325" s="62" t="s">
        <v>1686</v>
      </c>
      <c r="B325" s="149" t="str">
        <f>IFERROR(VLOOKUP(Proc[[#This Row],[App]],Table2[],3,0),"open")</f>
        <v>ok</v>
      </c>
      <c r="C325" s="63" t="s">
        <v>369</v>
      </c>
      <c r="D325" t="s">
        <v>1670</v>
      </c>
      <c r="E325" t="s">
        <v>555</v>
      </c>
      <c r="F325" s="117" t="s">
        <v>555</v>
      </c>
      <c r="G325" s="62" t="s">
        <v>400</v>
      </c>
      <c r="H325" s="60" t="str">
        <f>IF(Proc[[#This Row],[type]]="LFF (MDG-F)",MID(Proc[[#This Row],[Obj]],13,10),"")</f>
        <v/>
      </c>
      <c r="J325" s="60" t="b">
        <f>Proc[[#This Row],[Requested]]=Proc[[#This Row],[CurrentParent]]</f>
        <v>1</v>
      </c>
      <c r="K325" s="144" t="str">
        <f>IF(Proc[[#This Row],[Author]]="Marcela Urrego",VLOOKUP(LEFT(Proc[[#This Row],[Requested]],1),Table3[#All],2,0),VLOOKUP(Proc[[#This Row],[Author]],Table4[],2,0))</f>
        <v>HC</v>
      </c>
      <c r="L325" s="60" t="s">
        <v>509</v>
      </c>
      <c r="M325" s="71">
        <v>45688.524016203701</v>
      </c>
      <c r="N325" s="71">
        <v>45691</v>
      </c>
      <c r="O325" s="71">
        <v>45691</v>
      </c>
      <c r="P325" s="67" t="str">
        <f ca="1">IF(Proc[[#This Row],[DaysAgeing]]&gt;5,"yep","on track")</f>
        <v>on track</v>
      </c>
      <c r="Q325" s="3">
        <f ca="1">IF(Proc[[#This Row],[DateClosed]]="",ABS(NETWORKDAYS(Proc[[#This Row],[DateOpened]],TODAY()))-1,ABS(NETWORKDAYS(Proc[[#This Row],[DateOpened]],Proc[[#This Row],[DateClosed]]))-1)</f>
        <v>1</v>
      </c>
      <c r="R325" s="67" t="s">
        <v>1013</v>
      </c>
      <c r="S325" s="60"/>
    </row>
    <row r="326" spans="1:19" hidden="1">
      <c r="A326" s="62" t="s">
        <v>1686</v>
      </c>
      <c r="B326" s="149" t="str">
        <f>IFERROR(VLOOKUP(Proc[[#This Row],[App]],Table2[],3,0),"open")</f>
        <v>ok</v>
      </c>
      <c r="C326" s="63" t="s">
        <v>369</v>
      </c>
      <c r="D326" t="s">
        <v>1671</v>
      </c>
      <c r="E326" t="s">
        <v>556</v>
      </c>
      <c r="F326" s="117" t="s">
        <v>556</v>
      </c>
      <c r="G326" s="62" t="s">
        <v>400</v>
      </c>
      <c r="H326" s="60" t="str">
        <f>IF(Proc[[#This Row],[type]]="LFF (MDG-F)",MID(Proc[[#This Row],[Obj]],13,10),"")</f>
        <v/>
      </c>
      <c r="J326" s="60" t="b">
        <f>Proc[[#This Row],[Requested]]=Proc[[#This Row],[CurrentParent]]</f>
        <v>1</v>
      </c>
      <c r="K326" s="144" t="str">
        <f>IF(Proc[[#This Row],[Author]]="Marcela Urrego",VLOOKUP(LEFT(Proc[[#This Row],[Requested]],1),Table3[#All],2,0),VLOOKUP(Proc[[#This Row],[Author]],Table4[],2,0))</f>
        <v>HC</v>
      </c>
      <c r="L326" s="60" t="s">
        <v>509</v>
      </c>
      <c r="M326" s="71">
        <v>45688.524016203701</v>
      </c>
      <c r="N326" s="71">
        <v>45691</v>
      </c>
      <c r="O326" s="71">
        <v>45691</v>
      </c>
      <c r="P326" s="67" t="str">
        <f ca="1">IF(Proc[[#This Row],[DaysAgeing]]&gt;5,"yep","on track")</f>
        <v>on track</v>
      </c>
      <c r="Q326" s="3">
        <f ca="1">IF(Proc[[#This Row],[DateClosed]]="",ABS(NETWORKDAYS(Proc[[#This Row],[DateOpened]],TODAY()))-1,ABS(NETWORKDAYS(Proc[[#This Row],[DateOpened]],Proc[[#This Row],[DateClosed]]))-1)</f>
        <v>1</v>
      </c>
      <c r="R326" s="67" t="s">
        <v>1013</v>
      </c>
      <c r="S326" s="60"/>
    </row>
    <row r="327" spans="1:19" hidden="1">
      <c r="A327" s="62" t="s">
        <v>1686</v>
      </c>
      <c r="B327" s="149" t="str">
        <f>IFERROR(VLOOKUP(Proc[[#This Row],[App]],Table2[],3,0),"open")</f>
        <v>ok</v>
      </c>
      <c r="C327" s="63" t="s">
        <v>369</v>
      </c>
      <c r="D327" t="s">
        <v>1672</v>
      </c>
      <c r="E327" t="s">
        <v>556</v>
      </c>
      <c r="F327" s="117" t="s">
        <v>556</v>
      </c>
      <c r="G327" s="62" t="s">
        <v>400</v>
      </c>
      <c r="H327" s="60" t="str">
        <f>IF(Proc[[#This Row],[type]]="LFF (MDG-F)",MID(Proc[[#This Row],[Obj]],13,10),"")</f>
        <v/>
      </c>
      <c r="J327" s="60" t="b">
        <f>Proc[[#This Row],[Requested]]=Proc[[#This Row],[CurrentParent]]</f>
        <v>1</v>
      </c>
      <c r="K327" s="144" t="str">
        <f>IF(Proc[[#This Row],[Author]]="Marcela Urrego",VLOOKUP(LEFT(Proc[[#This Row],[Requested]],1),Table3[#All],2,0),VLOOKUP(Proc[[#This Row],[Author]],Table4[],2,0))</f>
        <v>HC</v>
      </c>
      <c r="L327" s="60" t="s">
        <v>509</v>
      </c>
      <c r="M327" s="71">
        <v>45688.524016203701</v>
      </c>
      <c r="N327" s="71">
        <v>45691</v>
      </c>
      <c r="O327" s="71">
        <v>45691</v>
      </c>
      <c r="P327" s="67" t="str">
        <f ca="1">IF(Proc[[#This Row],[DaysAgeing]]&gt;5,"yep","on track")</f>
        <v>on track</v>
      </c>
      <c r="Q327" s="3">
        <f ca="1">IF(Proc[[#This Row],[DateClosed]]="",ABS(NETWORKDAYS(Proc[[#This Row],[DateOpened]],TODAY()))-1,ABS(NETWORKDAYS(Proc[[#This Row],[DateOpened]],Proc[[#This Row],[DateClosed]]))-1)</f>
        <v>1</v>
      </c>
      <c r="R327" s="67" t="s">
        <v>1013</v>
      </c>
      <c r="S327" s="60"/>
    </row>
    <row r="328" spans="1:19" hidden="1">
      <c r="A328" s="62" t="s">
        <v>1686</v>
      </c>
      <c r="B328" s="149" t="str">
        <f>IFERROR(VLOOKUP(Proc[[#This Row],[App]],Table2[],3,0),"open")</f>
        <v>ok</v>
      </c>
      <c r="C328" s="63" t="s">
        <v>369</v>
      </c>
      <c r="D328" t="s">
        <v>1673</v>
      </c>
      <c r="E328" t="s">
        <v>991</v>
      </c>
      <c r="F328" s="117" t="s">
        <v>991</v>
      </c>
      <c r="G328" s="62" t="s">
        <v>400</v>
      </c>
      <c r="H328" s="60" t="str">
        <f>IF(Proc[[#This Row],[type]]="LFF (MDG-F)",MID(Proc[[#This Row],[Obj]],13,10),"")</f>
        <v/>
      </c>
      <c r="J328" s="60" t="b">
        <f>Proc[[#This Row],[Requested]]=Proc[[#This Row],[CurrentParent]]</f>
        <v>1</v>
      </c>
      <c r="K328" s="144" t="str">
        <f>IF(Proc[[#This Row],[Author]]="Marcela Urrego",VLOOKUP(LEFT(Proc[[#This Row],[Requested]],1),Table3[#All],2,0),VLOOKUP(Proc[[#This Row],[Author]],Table4[],2,0))</f>
        <v>HC</v>
      </c>
      <c r="L328" s="60" t="s">
        <v>509</v>
      </c>
      <c r="M328" s="71">
        <v>45688.524016203701</v>
      </c>
      <c r="N328" s="71">
        <v>45691</v>
      </c>
      <c r="O328" s="71">
        <v>45691</v>
      </c>
      <c r="P328" s="67" t="str">
        <f ca="1">IF(Proc[[#This Row],[DaysAgeing]]&gt;5,"yep","on track")</f>
        <v>on track</v>
      </c>
      <c r="Q328" s="3">
        <f ca="1">IF(Proc[[#This Row],[DateClosed]]="",ABS(NETWORKDAYS(Proc[[#This Row],[DateOpened]],TODAY()))-1,ABS(NETWORKDAYS(Proc[[#This Row],[DateOpened]],Proc[[#This Row],[DateClosed]]))-1)</f>
        <v>1</v>
      </c>
      <c r="R328" s="67" t="s">
        <v>1013</v>
      </c>
      <c r="S328" s="60"/>
    </row>
    <row r="329" spans="1:19" hidden="1">
      <c r="A329" s="62" t="s">
        <v>1686</v>
      </c>
      <c r="B329" s="149" t="str">
        <f>IFERROR(VLOOKUP(Proc[[#This Row],[App]],Table2[],3,0),"open")</f>
        <v>ok</v>
      </c>
      <c r="C329" s="63" t="s">
        <v>369</v>
      </c>
      <c r="D329" t="s">
        <v>1674</v>
      </c>
      <c r="E329" t="s">
        <v>1012</v>
      </c>
      <c r="F329" s="117" t="s">
        <v>1012</v>
      </c>
      <c r="G329" s="62" t="s">
        <v>400</v>
      </c>
      <c r="H329" s="60" t="str">
        <f>IF(Proc[[#This Row],[type]]="LFF (MDG-F)",MID(Proc[[#This Row],[Obj]],13,10),"")</f>
        <v/>
      </c>
      <c r="J329" s="60" t="b">
        <f>Proc[[#This Row],[Requested]]=Proc[[#This Row],[CurrentParent]]</f>
        <v>1</v>
      </c>
      <c r="K329" s="144" t="str">
        <f>IF(Proc[[#This Row],[Author]]="Marcela Urrego",VLOOKUP(LEFT(Proc[[#This Row],[Requested]],1),Table3[#All],2,0),VLOOKUP(Proc[[#This Row],[Author]],Table4[],2,0))</f>
        <v>HC</v>
      </c>
      <c r="L329" s="60" t="s">
        <v>509</v>
      </c>
      <c r="M329" s="71">
        <v>45688.524016203701</v>
      </c>
      <c r="N329" s="71">
        <v>45691</v>
      </c>
      <c r="O329" s="71">
        <v>45691</v>
      </c>
      <c r="P329" s="67" t="str">
        <f ca="1">IF(Proc[[#This Row],[DaysAgeing]]&gt;5,"yep","on track")</f>
        <v>on track</v>
      </c>
      <c r="Q329" s="3">
        <f ca="1">IF(Proc[[#This Row],[DateClosed]]="",ABS(NETWORKDAYS(Proc[[#This Row],[DateOpened]],TODAY()))-1,ABS(NETWORKDAYS(Proc[[#This Row],[DateOpened]],Proc[[#This Row],[DateClosed]]))-1)</f>
        <v>1</v>
      </c>
      <c r="R329" s="67" t="s">
        <v>1013</v>
      </c>
      <c r="S329" s="60"/>
    </row>
    <row r="330" spans="1:19" hidden="1">
      <c r="A330" s="62" t="s">
        <v>1686</v>
      </c>
      <c r="B330" s="149" t="str">
        <f>IFERROR(VLOOKUP(Proc[[#This Row],[App]],Table2[],3,0),"open")</f>
        <v>ok</v>
      </c>
      <c r="C330" s="63" t="s">
        <v>369</v>
      </c>
      <c r="D330" t="s">
        <v>1675</v>
      </c>
      <c r="E330" t="s">
        <v>555</v>
      </c>
      <c r="F330" s="117" t="s">
        <v>555</v>
      </c>
      <c r="G330" s="62" t="s">
        <v>400</v>
      </c>
      <c r="H330" s="60" t="str">
        <f>IF(Proc[[#This Row],[type]]="LFF (MDG-F)",MID(Proc[[#This Row],[Obj]],13,10),"")</f>
        <v/>
      </c>
      <c r="J330" s="60" t="b">
        <f>Proc[[#This Row],[Requested]]=Proc[[#This Row],[CurrentParent]]</f>
        <v>1</v>
      </c>
      <c r="K330" s="144" t="str">
        <f>IF(Proc[[#This Row],[Author]]="Marcela Urrego",VLOOKUP(LEFT(Proc[[#This Row],[Requested]],1),Table3[#All],2,0),VLOOKUP(Proc[[#This Row],[Author]],Table4[],2,0))</f>
        <v>HC</v>
      </c>
      <c r="L330" s="60" t="s">
        <v>509</v>
      </c>
      <c r="M330" s="71">
        <v>45688.524016203701</v>
      </c>
      <c r="N330" s="71">
        <v>45691</v>
      </c>
      <c r="O330" s="71">
        <v>45691</v>
      </c>
      <c r="P330" s="67" t="str">
        <f ca="1">IF(Proc[[#This Row],[DaysAgeing]]&gt;5,"yep","on track")</f>
        <v>on track</v>
      </c>
      <c r="Q330" s="3">
        <f ca="1">IF(Proc[[#This Row],[DateClosed]]="",ABS(NETWORKDAYS(Proc[[#This Row],[DateOpened]],TODAY()))-1,ABS(NETWORKDAYS(Proc[[#This Row],[DateOpened]],Proc[[#This Row],[DateClosed]]))-1)</f>
        <v>1</v>
      </c>
      <c r="R330" s="67" t="s">
        <v>1013</v>
      </c>
      <c r="S330" s="60"/>
    </row>
    <row r="331" spans="1:19" hidden="1">
      <c r="A331" s="62" t="s">
        <v>1686</v>
      </c>
      <c r="B331" s="149" t="str">
        <f>IFERROR(VLOOKUP(Proc[[#This Row],[App]],Table2[],3,0),"open")</f>
        <v>ok</v>
      </c>
      <c r="C331" s="63" t="s">
        <v>369</v>
      </c>
      <c r="D331" t="s">
        <v>1676</v>
      </c>
      <c r="E331" t="s">
        <v>554</v>
      </c>
      <c r="F331" s="117" t="s">
        <v>554</v>
      </c>
      <c r="G331" s="62" t="s">
        <v>400</v>
      </c>
      <c r="H331" s="60" t="str">
        <f>IF(Proc[[#This Row],[type]]="LFF (MDG-F)",MID(Proc[[#This Row],[Obj]],13,10),"")</f>
        <v/>
      </c>
      <c r="J331" s="60" t="b">
        <f>Proc[[#This Row],[Requested]]=Proc[[#This Row],[CurrentParent]]</f>
        <v>1</v>
      </c>
      <c r="K331" s="144" t="str">
        <f>IF(Proc[[#This Row],[Author]]="Marcela Urrego",VLOOKUP(LEFT(Proc[[#This Row],[Requested]],1),Table3[#All],2,0),VLOOKUP(Proc[[#This Row],[Author]],Table4[],2,0))</f>
        <v>HC</v>
      </c>
      <c r="L331" s="60" t="s">
        <v>509</v>
      </c>
      <c r="M331" s="71">
        <v>45688.524016203701</v>
      </c>
      <c r="N331" s="71">
        <v>45691</v>
      </c>
      <c r="O331" s="71">
        <v>45691</v>
      </c>
      <c r="P331" s="67" t="str">
        <f ca="1">IF(Proc[[#This Row],[DaysAgeing]]&gt;5,"yep","on track")</f>
        <v>on track</v>
      </c>
      <c r="Q331" s="3">
        <f ca="1">IF(Proc[[#This Row],[DateClosed]]="",ABS(NETWORKDAYS(Proc[[#This Row],[DateOpened]],TODAY()))-1,ABS(NETWORKDAYS(Proc[[#This Row],[DateOpened]],Proc[[#This Row],[DateClosed]]))-1)</f>
        <v>1</v>
      </c>
      <c r="R331" s="67" t="s">
        <v>1013</v>
      </c>
      <c r="S331" s="60"/>
    </row>
    <row r="332" spans="1:19" hidden="1">
      <c r="A332" s="62" t="s">
        <v>1686</v>
      </c>
      <c r="B332" s="149" t="str">
        <f>IFERROR(VLOOKUP(Proc[[#This Row],[App]],Table2[],3,0),"open")</f>
        <v>ok</v>
      </c>
      <c r="C332" s="63" t="s">
        <v>369</v>
      </c>
      <c r="D332" t="s">
        <v>1677</v>
      </c>
      <c r="E332" t="s">
        <v>554</v>
      </c>
      <c r="F332" s="117" t="s">
        <v>554</v>
      </c>
      <c r="G332" s="62" t="s">
        <v>400</v>
      </c>
      <c r="H332" s="60" t="str">
        <f>IF(Proc[[#This Row],[type]]="LFF (MDG-F)",MID(Proc[[#This Row],[Obj]],13,10),"")</f>
        <v/>
      </c>
      <c r="J332" s="60" t="b">
        <f>Proc[[#This Row],[Requested]]=Proc[[#This Row],[CurrentParent]]</f>
        <v>1</v>
      </c>
      <c r="K332" s="144" t="str">
        <f>IF(Proc[[#This Row],[Author]]="Marcela Urrego",VLOOKUP(LEFT(Proc[[#This Row],[Requested]],1),Table3[#All],2,0),VLOOKUP(Proc[[#This Row],[Author]],Table4[],2,0))</f>
        <v>HC</v>
      </c>
      <c r="L332" s="60" t="s">
        <v>509</v>
      </c>
      <c r="M332" s="71">
        <v>45688.524016203701</v>
      </c>
      <c r="N332" s="71">
        <v>45691</v>
      </c>
      <c r="O332" s="71">
        <v>45691</v>
      </c>
      <c r="P332" s="67" t="str">
        <f ca="1">IF(Proc[[#This Row],[DaysAgeing]]&gt;5,"yep","on track")</f>
        <v>on track</v>
      </c>
      <c r="Q332" s="3">
        <f ca="1">IF(Proc[[#This Row],[DateClosed]]="",ABS(NETWORKDAYS(Proc[[#This Row],[DateOpened]],TODAY()))-1,ABS(NETWORKDAYS(Proc[[#This Row],[DateOpened]],Proc[[#This Row],[DateClosed]]))-1)</f>
        <v>1</v>
      </c>
      <c r="R332" s="67" t="s">
        <v>1013</v>
      </c>
      <c r="S332" s="60"/>
    </row>
    <row r="333" spans="1:19" hidden="1">
      <c r="A333" s="62" t="s">
        <v>1686</v>
      </c>
      <c r="B333" s="149" t="str">
        <f>IFERROR(VLOOKUP(Proc[[#This Row],[App]],Table2[],3,0),"open")</f>
        <v>ok</v>
      </c>
      <c r="C333" s="63" t="s">
        <v>369</v>
      </c>
      <c r="D333" t="s">
        <v>1678</v>
      </c>
      <c r="E333" t="s">
        <v>557</v>
      </c>
      <c r="F333" s="117" t="s">
        <v>557</v>
      </c>
      <c r="G333" s="62" t="s">
        <v>400</v>
      </c>
      <c r="H333" s="60" t="str">
        <f>IF(Proc[[#This Row],[type]]="LFF (MDG-F)",MID(Proc[[#This Row],[Obj]],13,10),"")</f>
        <v/>
      </c>
      <c r="J333" s="60" t="b">
        <f>Proc[[#This Row],[Requested]]=Proc[[#This Row],[CurrentParent]]</f>
        <v>1</v>
      </c>
      <c r="K333" s="144" t="str">
        <f>IF(Proc[[#This Row],[Author]]="Marcela Urrego",VLOOKUP(LEFT(Proc[[#This Row],[Requested]],1),Table3[#All],2,0),VLOOKUP(Proc[[#This Row],[Author]],Table4[],2,0))</f>
        <v>HC</v>
      </c>
      <c r="L333" s="60" t="s">
        <v>509</v>
      </c>
      <c r="M333" s="71">
        <v>45688.524016203701</v>
      </c>
      <c r="N333" s="71">
        <v>45691</v>
      </c>
      <c r="O333" s="71">
        <v>45691</v>
      </c>
      <c r="P333" s="67" t="str">
        <f ca="1">IF(Proc[[#This Row],[DaysAgeing]]&gt;5,"yep","on track")</f>
        <v>on track</v>
      </c>
      <c r="Q333" s="3">
        <f ca="1">IF(Proc[[#This Row],[DateClosed]]="",ABS(NETWORKDAYS(Proc[[#This Row],[DateOpened]],TODAY()))-1,ABS(NETWORKDAYS(Proc[[#This Row],[DateOpened]],Proc[[#This Row],[DateClosed]]))-1)</f>
        <v>1</v>
      </c>
      <c r="R333" s="67" t="s">
        <v>1013</v>
      </c>
      <c r="S333" s="60"/>
    </row>
    <row r="334" spans="1:19" hidden="1">
      <c r="A334" s="62" t="s">
        <v>1686</v>
      </c>
      <c r="B334" s="149" t="str">
        <f>IFERROR(VLOOKUP(Proc[[#This Row],[App]],Table2[],3,0),"open")</f>
        <v>ok</v>
      </c>
      <c r="C334" s="63" t="s">
        <v>369</v>
      </c>
      <c r="D334" t="s">
        <v>1679</v>
      </c>
      <c r="E334" t="s">
        <v>991</v>
      </c>
      <c r="F334" s="117" t="s">
        <v>991</v>
      </c>
      <c r="G334" s="62" t="s">
        <v>400</v>
      </c>
      <c r="H334" s="60" t="str">
        <f>IF(Proc[[#This Row],[type]]="LFF (MDG-F)",MID(Proc[[#This Row],[Obj]],13,10),"")</f>
        <v/>
      </c>
      <c r="J334" s="60" t="b">
        <f>Proc[[#This Row],[Requested]]=Proc[[#This Row],[CurrentParent]]</f>
        <v>1</v>
      </c>
      <c r="K334" s="144" t="str">
        <f>IF(Proc[[#This Row],[Author]]="Marcela Urrego",VLOOKUP(LEFT(Proc[[#This Row],[Requested]],1),Table3[#All],2,0),VLOOKUP(Proc[[#This Row],[Author]],Table4[],2,0))</f>
        <v>HC</v>
      </c>
      <c r="L334" s="60" t="s">
        <v>509</v>
      </c>
      <c r="M334" s="71">
        <v>45688.524016203701</v>
      </c>
      <c r="N334" s="71">
        <v>45691</v>
      </c>
      <c r="O334" s="71">
        <v>45691</v>
      </c>
      <c r="P334" s="67" t="str">
        <f ca="1">IF(Proc[[#This Row],[DaysAgeing]]&gt;5,"yep","on track")</f>
        <v>on track</v>
      </c>
      <c r="Q334" s="3">
        <f ca="1">IF(Proc[[#This Row],[DateClosed]]="",ABS(NETWORKDAYS(Proc[[#This Row],[DateOpened]],TODAY()))-1,ABS(NETWORKDAYS(Proc[[#This Row],[DateOpened]],Proc[[#This Row],[DateClosed]]))-1)</f>
        <v>1</v>
      </c>
      <c r="R334" s="67" t="s">
        <v>1013</v>
      </c>
      <c r="S334" s="60"/>
    </row>
    <row r="335" spans="1:19" hidden="1">
      <c r="A335" s="62" t="s">
        <v>1686</v>
      </c>
      <c r="B335" s="149" t="str">
        <f>IFERROR(VLOOKUP(Proc[[#This Row],[App]],Table2[],3,0),"open")</f>
        <v>ok</v>
      </c>
      <c r="C335" s="63" t="s">
        <v>369</v>
      </c>
      <c r="D335" t="s">
        <v>1680</v>
      </c>
      <c r="E335" t="s">
        <v>483</v>
      </c>
      <c r="F335" s="117" t="s">
        <v>483</v>
      </c>
      <c r="G335" s="62" t="s">
        <v>400</v>
      </c>
      <c r="H335" s="60" t="str">
        <f>IF(Proc[[#This Row],[type]]="LFF (MDG-F)",MID(Proc[[#This Row],[Obj]],13,10),"")</f>
        <v/>
      </c>
      <c r="J335" s="60" t="b">
        <f>Proc[[#This Row],[Requested]]=Proc[[#This Row],[CurrentParent]]</f>
        <v>1</v>
      </c>
      <c r="K335" s="144" t="str">
        <f>IF(Proc[[#This Row],[Author]]="Marcela Urrego",VLOOKUP(LEFT(Proc[[#This Row],[Requested]],1),Table3[#All],2,0),VLOOKUP(Proc[[#This Row],[Author]],Table4[],2,0))</f>
        <v>HC</v>
      </c>
      <c r="L335" s="60" t="s">
        <v>509</v>
      </c>
      <c r="M335" s="71">
        <v>45688.524016203701</v>
      </c>
      <c r="N335" s="71">
        <v>45691</v>
      </c>
      <c r="O335" s="71">
        <v>45691</v>
      </c>
      <c r="P335" s="67" t="str">
        <f ca="1">IF(Proc[[#This Row],[DaysAgeing]]&gt;5,"yep","on track")</f>
        <v>on track</v>
      </c>
      <c r="Q335" s="3">
        <f ca="1">IF(Proc[[#This Row],[DateClosed]]="",ABS(NETWORKDAYS(Proc[[#This Row],[DateOpened]],TODAY()))-1,ABS(NETWORKDAYS(Proc[[#This Row],[DateOpened]],Proc[[#This Row],[DateClosed]]))-1)</f>
        <v>1</v>
      </c>
      <c r="R335" s="67" t="s">
        <v>1013</v>
      </c>
      <c r="S335" s="60"/>
    </row>
    <row r="336" spans="1:19" hidden="1">
      <c r="A336" s="62" t="s">
        <v>1686</v>
      </c>
      <c r="B336" s="149" t="str">
        <f>IFERROR(VLOOKUP(Proc[[#This Row],[App]],Table2[],3,0),"open")</f>
        <v>ok</v>
      </c>
      <c r="C336" s="63" t="s">
        <v>369</v>
      </c>
      <c r="D336" t="s">
        <v>1681</v>
      </c>
      <c r="E336" t="s">
        <v>543</v>
      </c>
      <c r="F336" s="117" t="s">
        <v>543</v>
      </c>
      <c r="G336" s="62" t="s">
        <v>400</v>
      </c>
      <c r="H336" s="60" t="str">
        <f>IF(Proc[[#This Row],[type]]="LFF (MDG-F)",MID(Proc[[#This Row],[Obj]],13,10),"")</f>
        <v/>
      </c>
      <c r="J336" s="60" t="b">
        <f>Proc[[#This Row],[Requested]]=Proc[[#This Row],[CurrentParent]]</f>
        <v>1</v>
      </c>
      <c r="K336" s="144" t="str">
        <f>IF(Proc[[#This Row],[Author]]="Marcela Urrego",VLOOKUP(LEFT(Proc[[#This Row],[Requested]],1),Table3[#All],2,0),VLOOKUP(Proc[[#This Row],[Author]],Table4[],2,0))</f>
        <v>HC</v>
      </c>
      <c r="L336" s="60" t="s">
        <v>509</v>
      </c>
      <c r="M336" s="71">
        <v>45688.524016203701</v>
      </c>
      <c r="N336" s="71">
        <v>45691</v>
      </c>
      <c r="O336" s="71">
        <v>45691</v>
      </c>
      <c r="P336" s="67" t="str">
        <f ca="1">IF(Proc[[#This Row],[DaysAgeing]]&gt;5,"yep","on track")</f>
        <v>on track</v>
      </c>
      <c r="Q336" s="3">
        <f ca="1">IF(Proc[[#This Row],[DateClosed]]="",ABS(NETWORKDAYS(Proc[[#This Row],[DateOpened]],TODAY()))-1,ABS(NETWORKDAYS(Proc[[#This Row],[DateOpened]],Proc[[#This Row],[DateClosed]]))-1)</f>
        <v>1</v>
      </c>
      <c r="R336" s="67" t="s">
        <v>1013</v>
      </c>
      <c r="S336" s="60"/>
    </row>
    <row r="337" spans="1:19" hidden="1">
      <c r="A337" s="62" t="s">
        <v>1686</v>
      </c>
      <c r="B337" s="149" t="str">
        <f>IFERROR(VLOOKUP(Proc[[#This Row],[App]],Table2[],3,0),"open")</f>
        <v>ok</v>
      </c>
      <c r="C337" s="63" t="s">
        <v>369</v>
      </c>
      <c r="D337" t="s">
        <v>1682</v>
      </c>
      <c r="E337" t="s">
        <v>1012</v>
      </c>
      <c r="F337" s="117" t="s">
        <v>1012</v>
      </c>
      <c r="G337" s="62" t="s">
        <v>400</v>
      </c>
      <c r="H337" s="60" t="str">
        <f>IF(Proc[[#This Row],[type]]="LFF (MDG-F)",MID(Proc[[#This Row],[Obj]],13,10),"")</f>
        <v/>
      </c>
      <c r="J337" s="60" t="b">
        <f>Proc[[#This Row],[Requested]]=Proc[[#This Row],[CurrentParent]]</f>
        <v>1</v>
      </c>
      <c r="K337" s="144" t="str">
        <f>IF(Proc[[#This Row],[Author]]="Marcela Urrego",VLOOKUP(LEFT(Proc[[#This Row],[Requested]],1),Table3[#All],2,0),VLOOKUP(Proc[[#This Row],[Author]],Table4[],2,0))</f>
        <v>HC</v>
      </c>
      <c r="L337" s="60" t="s">
        <v>509</v>
      </c>
      <c r="M337" s="71">
        <v>45688.524016203701</v>
      </c>
      <c r="N337" s="71">
        <v>45691</v>
      </c>
      <c r="O337" s="71">
        <v>45691</v>
      </c>
      <c r="P337" s="67" t="str">
        <f ca="1">IF(Proc[[#This Row],[DaysAgeing]]&gt;5,"yep","on track")</f>
        <v>on track</v>
      </c>
      <c r="Q337" s="3">
        <f ca="1">IF(Proc[[#This Row],[DateClosed]]="",ABS(NETWORKDAYS(Proc[[#This Row],[DateOpened]],TODAY()))-1,ABS(NETWORKDAYS(Proc[[#This Row],[DateOpened]],Proc[[#This Row],[DateClosed]]))-1)</f>
        <v>1</v>
      </c>
      <c r="R337" s="67" t="s">
        <v>1013</v>
      </c>
      <c r="S337" s="60"/>
    </row>
    <row r="338" spans="1:19" hidden="1">
      <c r="A338" s="62" t="s">
        <v>1686</v>
      </c>
      <c r="B338" s="149" t="str">
        <f>IFERROR(VLOOKUP(Proc[[#This Row],[App]],Table2[],3,0),"open")</f>
        <v>ok</v>
      </c>
      <c r="C338" s="63" t="s">
        <v>369</v>
      </c>
      <c r="D338" t="s">
        <v>1683</v>
      </c>
      <c r="E338" t="s">
        <v>554</v>
      </c>
      <c r="F338" s="117" t="s">
        <v>554</v>
      </c>
      <c r="G338" s="62" t="s">
        <v>400</v>
      </c>
      <c r="H338" s="60" t="str">
        <f>IF(Proc[[#This Row],[type]]="LFF (MDG-F)",MID(Proc[[#This Row],[Obj]],13,10),"")</f>
        <v/>
      </c>
      <c r="J338" s="60" t="b">
        <f>Proc[[#This Row],[Requested]]=Proc[[#This Row],[CurrentParent]]</f>
        <v>1</v>
      </c>
      <c r="K338" s="144" t="str">
        <f>IF(Proc[[#This Row],[Author]]="Marcela Urrego",VLOOKUP(LEFT(Proc[[#This Row],[Requested]],1),Table3[#All],2,0),VLOOKUP(Proc[[#This Row],[Author]],Table4[],2,0))</f>
        <v>HC</v>
      </c>
      <c r="L338" s="60" t="s">
        <v>509</v>
      </c>
      <c r="M338" s="71">
        <v>45688.524016203701</v>
      </c>
      <c r="N338" s="71">
        <v>45691</v>
      </c>
      <c r="O338" s="71">
        <v>45691</v>
      </c>
      <c r="P338" s="67" t="str">
        <f ca="1">IF(Proc[[#This Row],[DaysAgeing]]&gt;5,"yep","on track")</f>
        <v>on track</v>
      </c>
      <c r="Q338" s="3">
        <f ca="1">IF(Proc[[#This Row],[DateClosed]]="",ABS(NETWORKDAYS(Proc[[#This Row],[DateOpened]],TODAY()))-1,ABS(NETWORKDAYS(Proc[[#This Row],[DateOpened]],Proc[[#This Row],[DateClosed]]))-1)</f>
        <v>1</v>
      </c>
      <c r="R338" s="67" t="s">
        <v>1013</v>
      </c>
      <c r="S338" s="60"/>
    </row>
    <row r="339" spans="1:19" hidden="1">
      <c r="A339" s="62" t="s">
        <v>1686</v>
      </c>
      <c r="B339" s="149" t="str">
        <f>IFERROR(VLOOKUP(Proc[[#This Row],[App]],Table2[],3,0),"open")</f>
        <v>ok</v>
      </c>
      <c r="C339" s="63" t="s">
        <v>369</v>
      </c>
      <c r="D339" t="s">
        <v>1684</v>
      </c>
      <c r="E339" t="s">
        <v>555</v>
      </c>
      <c r="F339" s="117" t="s">
        <v>555</v>
      </c>
      <c r="G339" s="62" t="s">
        <v>400</v>
      </c>
      <c r="H339" s="60" t="str">
        <f>IF(Proc[[#This Row],[type]]="LFF (MDG-F)",MID(Proc[[#This Row],[Obj]],13,10),"")</f>
        <v/>
      </c>
      <c r="J339" s="60" t="b">
        <f>Proc[[#This Row],[Requested]]=Proc[[#This Row],[CurrentParent]]</f>
        <v>1</v>
      </c>
      <c r="K339" s="144" t="str">
        <f>IF(Proc[[#This Row],[Author]]="Marcela Urrego",VLOOKUP(LEFT(Proc[[#This Row],[Requested]],1),Table3[#All],2,0),VLOOKUP(Proc[[#This Row],[Author]],Table4[],2,0))</f>
        <v>HC</v>
      </c>
      <c r="L339" s="60" t="s">
        <v>509</v>
      </c>
      <c r="M339" s="71">
        <v>45688.524016203701</v>
      </c>
      <c r="N339" s="71">
        <v>45691</v>
      </c>
      <c r="O339" s="71">
        <v>45691</v>
      </c>
      <c r="P339" s="67" t="str">
        <f ca="1">IF(Proc[[#This Row],[DaysAgeing]]&gt;5,"yep","on track")</f>
        <v>on track</v>
      </c>
      <c r="Q339" s="3">
        <f ca="1">IF(Proc[[#This Row],[DateClosed]]="",ABS(NETWORKDAYS(Proc[[#This Row],[DateOpened]],TODAY()))-1,ABS(NETWORKDAYS(Proc[[#This Row],[DateOpened]],Proc[[#This Row],[DateClosed]]))-1)</f>
        <v>1</v>
      </c>
      <c r="R339" s="67" t="s">
        <v>1013</v>
      </c>
      <c r="S339" s="60"/>
    </row>
    <row r="340" spans="1:19" hidden="1">
      <c r="A340" s="62" t="s">
        <v>1686</v>
      </c>
      <c r="B340" s="149" t="str">
        <f>IFERROR(VLOOKUP(Proc[[#This Row],[App]],Table2[],3,0),"open")</f>
        <v>ok</v>
      </c>
      <c r="C340" s="63" t="s">
        <v>369</v>
      </c>
      <c r="D340" t="s">
        <v>1685</v>
      </c>
      <c r="E340" t="s">
        <v>554</v>
      </c>
      <c r="F340" s="117" t="s">
        <v>554</v>
      </c>
      <c r="G340" s="62" t="s">
        <v>400</v>
      </c>
      <c r="H340" s="60" t="str">
        <f>IF(Proc[[#This Row],[type]]="LFF (MDG-F)",MID(Proc[[#This Row],[Obj]],13,10),"")</f>
        <v/>
      </c>
      <c r="J340" s="60" t="b">
        <f>Proc[[#This Row],[Requested]]=Proc[[#This Row],[CurrentParent]]</f>
        <v>1</v>
      </c>
      <c r="K340" s="144" t="str">
        <f>IF(Proc[[#This Row],[Author]]="Marcela Urrego",VLOOKUP(LEFT(Proc[[#This Row],[Requested]],1),Table3[#All],2,0),VLOOKUP(Proc[[#This Row],[Author]],Table4[],2,0))</f>
        <v>HC</v>
      </c>
      <c r="L340" s="60" t="s">
        <v>509</v>
      </c>
      <c r="M340" s="71">
        <v>45688.524016203701</v>
      </c>
      <c r="N340" s="71">
        <v>45691</v>
      </c>
      <c r="O340" s="71">
        <v>45691</v>
      </c>
      <c r="P340" s="67" t="str">
        <f ca="1">IF(Proc[[#This Row],[DaysAgeing]]&gt;5,"yep","on track")</f>
        <v>on track</v>
      </c>
      <c r="Q340" s="3">
        <f ca="1">IF(Proc[[#This Row],[DateClosed]]="",ABS(NETWORKDAYS(Proc[[#This Row],[DateOpened]],TODAY()))-1,ABS(NETWORKDAYS(Proc[[#This Row],[DateOpened]],Proc[[#This Row],[DateClosed]]))-1)</f>
        <v>1</v>
      </c>
      <c r="R340" s="67" t="s">
        <v>1013</v>
      </c>
      <c r="S340" s="60"/>
    </row>
    <row r="341" spans="1:19" hidden="1">
      <c r="A341" t="s">
        <v>1708</v>
      </c>
      <c r="B341" s="149" t="str">
        <f>IFERROR(VLOOKUP(Proc[[#This Row],[App]],Table2[],3,0),"open")</f>
        <v>ok</v>
      </c>
      <c r="C341" t="s">
        <v>369</v>
      </c>
      <c r="D341" t="s">
        <v>1709</v>
      </c>
      <c r="E341" t="s">
        <v>1715</v>
      </c>
      <c r="F341" s="117" t="s">
        <v>1715</v>
      </c>
      <c r="G341" s="62" t="s">
        <v>400</v>
      </c>
      <c r="H341" s="60" t="str">
        <f>IF(Proc[[#This Row],[type]]="LFF (MDG-F)",MID(Proc[[#This Row],[Obj]],13,10),"")</f>
        <v/>
      </c>
      <c r="J341" s="60" t="b">
        <f>Proc[[#This Row],[Requested]]=Proc[[#This Row],[CurrentParent]]</f>
        <v>1</v>
      </c>
      <c r="K341" s="144" t="str">
        <f>IF(Proc[[#This Row],[Author]]="Marcela Urrego",VLOOKUP(LEFT(Proc[[#This Row],[Requested]],1),Table3[#All],2,0),VLOOKUP(Proc[[#This Row],[Author]],Table4[],2,0))</f>
        <v>LS</v>
      </c>
      <c r="L341" s="60" t="s">
        <v>509</v>
      </c>
      <c r="M341" s="71">
        <v>45688.632743055554</v>
      </c>
      <c r="N341" s="71">
        <v>45692</v>
      </c>
      <c r="O341" s="71">
        <v>45692</v>
      </c>
      <c r="P341" s="67" t="str">
        <f ca="1">IF(Proc[[#This Row],[DaysAgeing]]&gt;5,"yep","on track")</f>
        <v>on track</v>
      </c>
      <c r="Q341" s="3">
        <f ca="1">IF(Proc[[#This Row],[DateClosed]]="",ABS(NETWORKDAYS(Proc[[#This Row],[DateOpened]],TODAY()))-1,ABS(NETWORKDAYS(Proc[[#This Row],[DateOpened]],Proc[[#This Row],[DateClosed]]))-1)</f>
        <v>2</v>
      </c>
      <c r="R341" s="67" t="s">
        <v>972</v>
      </c>
      <c r="S341" s="60"/>
    </row>
    <row r="342" spans="1:19" hidden="1">
      <c r="A342" t="s">
        <v>1708</v>
      </c>
      <c r="B342" s="149" t="str">
        <f>IFERROR(VLOOKUP(Proc[[#This Row],[App]],Table2[],3,0),"open")</f>
        <v>ok</v>
      </c>
      <c r="C342" s="62" t="s">
        <v>369</v>
      </c>
      <c r="D342" t="s">
        <v>1710</v>
      </c>
      <c r="E342" t="s">
        <v>1716</v>
      </c>
      <c r="F342" s="117" t="s">
        <v>1716</v>
      </c>
      <c r="G342" t="s">
        <v>400</v>
      </c>
      <c r="H342" s="60" t="str">
        <f>IF(Proc[[#This Row],[type]]="LFF (MDG-F)",MID(Proc[[#This Row],[Obj]],13,10),"")</f>
        <v/>
      </c>
      <c r="J342" s="60" t="b">
        <f>Proc[[#This Row],[Requested]]=Proc[[#This Row],[CurrentParent]]</f>
        <v>1</v>
      </c>
      <c r="K342" s="144" t="str">
        <f>IF(Proc[[#This Row],[Author]]="Marcela Urrego",VLOOKUP(LEFT(Proc[[#This Row],[Requested]],1),Table3[#All],2,0),VLOOKUP(Proc[[#This Row],[Author]],Table4[],2,0))</f>
        <v>LS</v>
      </c>
      <c r="L342" s="60" t="s">
        <v>509</v>
      </c>
      <c r="M342" s="71">
        <v>45688.632743055554</v>
      </c>
      <c r="N342" s="71">
        <v>45692</v>
      </c>
      <c r="O342" s="71">
        <v>45692</v>
      </c>
      <c r="P342" s="67" t="str">
        <f ca="1">IF(Proc[[#This Row],[DaysAgeing]]&gt;5,"yep","on track")</f>
        <v>on track</v>
      </c>
      <c r="Q342" s="3">
        <f ca="1">IF(Proc[[#This Row],[DateClosed]]="",ABS(NETWORKDAYS(Proc[[#This Row],[DateOpened]],TODAY()))-1,ABS(NETWORKDAYS(Proc[[#This Row],[DateOpened]],Proc[[#This Row],[DateClosed]]))-1)</f>
        <v>2</v>
      </c>
      <c r="R342" s="67" t="s">
        <v>972</v>
      </c>
      <c r="S342" s="60"/>
    </row>
    <row r="343" spans="1:19" hidden="1">
      <c r="A343" s="62" t="s">
        <v>1708</v>
      </c>
      <c r="B343" s="149" t="str">
        <f>IFERROR(VLOOKUP(Proc[[#This Row],[App]],Table2[],3,0),"open")</f>
        <v>ok</v>
      </c>
      <c r="C343" s="62" t="s">
        <v>369</v>
      </c>
      <c r="D343" t="s">
        <v>1711</v>
      </c>
      <c r="E343" t="s">
        <v>1236</v>
      </c>
      <c r="F343" s="117" t="s">
        <v>1236</v>
      </c>
      <c r="G343" s="62" t="s">
        <v>400</v>
      </c>
      <c r="H343" s="60" t="str">
        <f>IF(Proc[[#This Row],[type]]="LFF (MDG-F)",MID(Proc[[#This Row],[Obj]],13,10),"")</f>
        <v/>
      </c>
      <c r="J343" s="60" t="b">
        <f>Proc[[#This Row],[Requested]]=Proc[[#This Row],[CurrentParent]]</f>
        <v>1</v>
      </c>
      <c r="K343" s="144" t="str">
        <f>IF(Proc[[#This Row],[Author]]="Marcela Urrego",VLOOKUP(LEFT(Proc[[#This Row],[Requested]],1),Table3[#All],2,0),VLOOKUP(Proc[[#This Row],[Author]],Table4[],2,0))</f>
        <v>LS</v>
      </c>
      <c r="L343" s="60" t="s">
        <v>509</v>
      </c>
      <c r="M343" s="71">
        <v>45688.632743055554</v>
      </c>
      <c r="N343" s="71">
        <v>45692</v>
      </c>
      <c r="O343" s="71">
        <v>45692</v>
      </c>
      <c r="P343" s="67" t="str">
        <f ca="1">IF(Proc[[#This Row],[DaysAgeing]]&gt;5,"yep","on track")</f>
        <v>on track</v>
      </c>
      <c r="Q343" s="3">
        <f ca="1">IF(Proc[[#This Row],[DateClosed]]="",ABS(NETWORKDAYS(Proc[[#This Row],[DateOpened]],TODAY()))-1,ABS(NETWORKDAYS(Proc[[#This Row],[DateOpened]],Proc[[#This Row],[DateClosed]]))-1)</f>
        <v>2</v>
      </c>
      <c r="R343" s="67" t="s">
        <v>972</v>
      </c>
      <c r="S343" s="60"/>
    </row>
    <row r="344" spans="1:19" hidden="1">
      <c r="A344" s="62" t="s">
        <v>1708</v>
      </c>
      <c r="B344" s="149" t="str">
        <f>IFERROR(VLOOKUP(Proc[[#This Row],[App]],Table2[],3,0),"open")</f>
        <v>ok</v>
      </c>
      <c r="C344" s="62" t="s">
        <v>369</v>
      </c>
      <c r="D344" t="s">
        <v>1712</v>
      </c>
      <c r="E344" t="s">
        <v>525</v>
      </c>
      <c r="F344" s="117" t="s">
        <v>525</v>
      </c>
      <c r="G344" s="62" t="s">
        <v>400</v>
      </c>
      <c r="H344" s="60" t="str">
        <f>IF(Proc[[#This Row],[type]]="LFF (MDG-F)",MID(Proc[[#This Row],[Obj]],13,10),"")</f>
        <v/>
      </c>
      <c r="J344" s="60" t="b">
        <f>Proc[[#This Row],[Requested]]=Proc[[#This Row],[CurrentParent]]</f>
        <v>1</v>
      </c>
      <c r="K344" s="144" t="str">
        <f>IF(Proc[[#This Row],[Author]]="Marcela Urrego",VLOOKUP(LEFT(Proc[[#This Row],[Requested]],1),Table3[#All],2,0),VLOOKUP(Proc[[#This Row],[Author]],Table4[],2,0))</f>
        <v>LS</v>
      </c>
      <c r="L344" s="60" t="s">
        <v>509</v>
      </c>
      <c r="M344" s="71">
        <v>45688.632743055554</v>
      </c>
      <c r="N344" s="71">
        <v>45692</v>
      </c>
      <c r="O344" s="71">
        <v>45692</v>
      </c>
      <c r="P344" s="67" t="str">
        <f ca="1">IF(Proc[[#This Row],[DaysAgeing]]&gt;5,"yep","on track")</f>
        <v>on track</v>
      </c>
      <c r="Q344" s="3">
        <f ca="1">IF(Proc[[#This Row],[DateClosed]]="",ABS(NETWORKDAYS(Proc[[#This Row],[DateOpened]],TODAY()))-1,ABS(NETWORKDAYS(Proc[[#This Row],[DateOpened]],Proc[[#This Row],[DateClosed]]))-1)</f>
        <v>2</v>
      </c>
      <c r="R344" s="67" t="s">
        <v>972</v>
      </c>
      <c r="S344" s="60"/>
    </row>
    <row r="345" spans="1:19" hidden="1">
      <c r="A345" s="62" t="s">
        <v>1708</v>
      </c>
      <c r="B345" s="149" t="str">
        <f>IFERROR(VLOOKUP(Proc[[#This Row],[App]],Table2[],3,0),"open")</f>
        <v>ok</v>
      </c>
      <c r="C345" s="62" t="s">
        <v>369</v>
      </c>
      <c r="D345" t="s">
        <v>1713</v>
      </c>
      <c r="E345" t="s">
        <v>525</v>
      </c>
      <c r="F345" s="117" t="s">
        <v>525</v>
      </c>
      <c r="G345" s="62" t="s">
        <v>400</v>
      </c>
      <c r="H345" s="60" t="str">
        <f>IF(Proc[[#This Row],[type]]="LFF (MDG-F)",MID(Proc[[#This Row],[Obj]],13,10),"")</f>
        <v/>
      </c>
      <c r="J345" s="60" t="b">
        <f>Proc[[#This Row],[Requested]]=Proc[[#This Row],[CurrentParent]]</f>
        <v>1</v>
      </c>
      <c r="K345" s="144" t="str">
        <f>IF(Proc[[#This Row],[Author]]="Marcela Urrego",VLOOKUP(LEFT(Proc[[#This Row],[Requested]],1),Table3[#All],2,0),VLOOKUP(Proc[[#This Row],[Author]],Table4[],2,0))</f>
        <v>LS</v>
      </c>
      <c r="L345" s="60" t="s">
        <v>509</v>
      </c>
      <c r="M345" s="71">
        <v>45688.632743055554</v>
      </c>
      <c r="N345" s="71">
        <v>45692</v>
      </c>
      <c r="O345" s="71">
        <v>45692</v>
      </c>
      <c r="P345" s="67" t="str">
        <f ca="1">IF(Proc[[#This Row],[DaysAgeing]]&gt;5,"yep","on track")</f>
        <v>on track</v>
      </c>
      <c r="Q345" s="3">
        <f ca="1">IF(Proc[[#This Row],[DateClosed]]="",ABS(NETWORKDAYS(Proc[[#This Row],[DateOpened]],TODAY()))-1,ABS(NETWORKDAYS(Proc[[#This Row],[DateOpened]],Proc[[#This Row],[DateClosed]]))-1)</f>
        <v>2</v>
      </c>
      <c r="R345" s="67" t="s">
        <v>972</v>
      </c>
      <c r="S345" s="60"/>
    </row>
    <row r="346" spans="1:19" hidden="1">
      <c r="A346" t="s">
        <v>1708</v>
      </c>
      <c r="B346" s="149" t="str">
        <f>IFERROR(VLOOKUP(Proc[[#This Row],[App]],Table2[],3,0),"open")</f>
        <v>ok</v>
      </c>
      <c r="C346" s="62" t="s">
        <v>369</v>
      </c>
      <c r="D346" t="s">
        <v>1714</v>
      </c>
      <c r="E346" t="s">
        <v>773</v>
      </c>
      <c r="F346" s="117" t="s">
        <v>773</v>
      </c>
      <c r="G346" t="s">
        <v>400</v>
      </c>
      <c r="H346" s="60" t="str">
        <f>IF(Proc[[#This Row],[type]]="LFF (MDG-F)",MID(Proc[[#This Row],[Obj]],13,10),"")</f>
        <v/>
      </c>
      <c r="J346" s="60" t="b">
        <f>Proc[[#This Row],[Requested]]=Proc[[#This Row],[CurrentParent]]</f>
        <v>1</v>
      </c>
      <c r="K346" s="144" t="str">
        <f>IF(Proc[[#This Row],[Author]]="Marcela Urrego",VLOOKUP(LEFT(Proc[[#This Row],[Requested]],1),Table3[#All],2,0),VLOOKUP(Proc[[#This Row],[Author]],Table4[],2,0))</f>
        <v>LS</v>
      </c>
      <c r="L346" s="60" t="s">
        <v>509</v>
      </c>
      <c r="M346" s="71">
        <v>45688.632743055554</v>
      </c>
      <c r="N346" s="71">
        <v>45692</v>
      </c>
      <c r="O346" s="71">
        <v>45692</v>
      </c>
      <c r="P346" s="67" t="str">
        <f ca="1">IF(Proc[[#This Row],[DaysAgeing]]&gt;5,"yep","on track")</f>
        <v>on track</v>
      </c>
      <c r="Q346" s="3">
        <f ca="1">IF(Proc[[#This Row],[DateClosed]]="",ABS(NETWORKDAYS(Proc[[#This Row],[DateOpened]],TODAY()))-1,ABS(NETWORKDAYS(Proc[[#This Row],[DateOpened]],Proc[[#This Row],[DateClosed]]))-1)</f>
        <v>2</v>
      </c>
      <c r="R346" s="67" t="s">
        <v>972</v>
      </c>
      <c r="S346" s="60"/>
    </row>
    <row r="347" spans="1:19" hidden="1">
      <c r="A347" s="62" t="s">
        <v>1707</v>
      </c>
      <c r="B347" s="149" t="str">
        <f>IFERROR(VLOOKUP(Proc[[#This Row],[App]],Table2[],3,0),"open")</f>
        <v>ok</v>
      </c>
      <c r="C347" s="62" t="s">
        <v>369</v>
      </c>
      <c r="D347" t="s">
        <v>1694</v>
      </c>
      <c r="E347" t="s">
        <v>631</v>
      </c>
      <c r="F347" s="117" t="s">
        <v>631</v>
      </c>
      <c r="G347" s="62" t="s">
        <v>406</v>
      </c>
      <c r="H347" s="60" t="str">
        <f>IF(Proc[[#This Row],[type]]="LFF (MDG-F)",MID(Proc[[#This Row],[Obj]],13,10),"")</f>
        <v>DE10523702</v>
      </c>
      <c r="J347" s="60" t="b">
        <f>Proc[[#This Row],[Requested]]=Proc[[#This Row],[CurrentParent]]</f>
        <v>1</v>
      </c>
      <c r="K347" s="144" t="str">
        <f>IF(Proc[[#This Row],[Author]]="Marcela Urrego",VLOOKUP(LEFT(Proc[[#This Row],[Requested]],1),Table3[#All],2,0),VLOOKUP(Proc[[#This Row],[Author]],Table4[],2,0))</f>
        <v>MGF</v>
      </c>
      <c r="L347" s="60" t="s">
        <v>509</v>
      </c>
      <c r="M347" s="71">
        <v>45690.78837962963</v>
      </c>
      <c r="N347" s="71">
        <v>45692</v>
      </c>
      <c r="O347" s="71">
        <v>45692</v>
      </c>
      <c r="P347" s="67" t="str">
        <f ca="1">IF(Proc[[#This Row],[DaysAgeing]]&gt;5,"yep","on track")</f>
        <v>on track</v>
      </c>
      <c r="Q347" s="3">
        <f ca="1">IF(Proc[[#This Row],[DateClosed]]="",ABS(NETWORKDAYS(Proc[[#This Row],[DateOpened]],TODAY()))-1,ABS(NETWORKDAYS(Proc[[#This Row],[DateOpened]],Proc[[#This Row],[DateClosed]]))-1)</f>
        <v>1</v>
      </c>
      <c r="R347" s="67" t="s">
        <v>549</v>
      </c>
      <c r="S347" s="60"/>
    </row>
    <row r="348" spans="1:19" hidden="1">
      <c r="A348" s="62" t="s">
        <v>1707</v>
      </c>
      <c r="B348" s="149" t="str">
        <f>IFERROR(VLOOKUP(Proc[[#This Row],[App]],Table2[],3,0),"open")</f>
        <v>ok</v>
      </c>
      <c r="C348" s="62" t="s">
        <v>369</v>
      </c>
      <c r="D348" t="s">
        <v>1695</v>
      </c>
      <c r="E348" t="s">
        <v>631</v>
      </c>
      <c r="F348" s="117" t="s">
        <v>631</v>
      </c>
      <c r="G348" s="62" t="s">
        <v>406</v>
      </c>
      <c r="H348" s="60" t="str">
        <f>IF(Proc[[#This Row],[type]]="LFF (MDG-F)",MID(Proc[[#This Row],[Obj]],13,10),"")</f>
        <v>DE10575000</v>
      </c>
      <c r="J348" s="60" t="b">
        <f>Proc[[#This Row],[Requested]]=Proc[[#This Row],[CurrentParent]]</f>
        <v>1</v>
      </c>
      <c r="K348" s="144" t="str">
        <f>IF(Proc[[#This Row],[Author]]="Marcela Urrego",VLOOKUP(LEFT(Proc[[#This Row],[Requested]],1),Table3[#All],2,0),VLOOKUP(Proc[[#This Row],[Author]],Table4[],2,0))</f>
        <v>MGF</v>
      </c>
      <c r="L348" s="60" t="s">
        <v>509</v>
      </c>
      <c r="M348" s="71">
        <v>45690.78837962963</v>
      </c>
      <c r="N348" s="71">
        <v>45692</v>
      </c>
      <c r="O348" s="71">
        <v>45692</v>
      </c>
      <c r="P348" s="67" t="str">
        <f ca="1">IF(Proc[[#This Row],[DaysAgeing]]&gt;5,"yep","on track")</f>
        <v>on track</v>
      </c>
      <c r="Q348" s="3">
        <f ca="1">IF(Proc[[#This Row],[DateClosed]]="",ABS(NETWORKDAYS(Proc[[#This Row],[DateOpened]],TODAY()))-1,ABS(NETWORKDAYS(Proc[[#This Row],[DateOpened]],Proc[[#This Row],[DateClosed]]))-1)</f>
        <v>1</v>
      </c>
      <c r="R348" s="67" t="s">
        <v>549</v>
      </c>
      <c r="S348" s="60"/>
    </row>
    <row r="349" spans="1:19" hidden="1">
      <c r="A349" s="62" t="s">
        <v>1707</v>
      </c>
      <c r="B349" s="149" t="str">
        <f>IFERROR(VLOOKUP(Proc[[#This Row],[App]],Table2[],3,0),"open")</f>
        <v>ok</v>
      </c>
      <c r="C349" s="62" t="s">
        <v>369</v>
      </c>
      <c r="D349" t="s">
        <v>1696</v>
      </c>
      <c r="E349" t="s">
        <v>631</v>
      </c>
      <c r="F349" s="117" t="s">
        <v>631</v>
      </c>
      <c r="G349" s="62" t="s">
        <v>406</v>
      </c>
      <c r="H349" s="60" t="str">
        <f>IF(Proc[[#This Row],[type]]="LFF (MDG-F)",MID(Proc[[#This Row],[Obj]],13,10),"")</f>
        <v>DE10575700</v>
      </c>
      <c r="J349" s="60" t="b">
        <f>Proc[[#This Row],[Requested]]=Proc[[#This Row],[CurrentParent]]</f>
        <v>1</v>
      </c>
      <c r="K349" s="144" t="str">
        <f>IF(Proc[[#This Row],[Author]]="Marcela Urrego",VLOOKUP(LEFT(Proc[[#This Row],[Requested]],1),Table3[#All],2,0),VLOOKUP(Proc[[#This Row],[Author]],Table4[],2,0))</f>
        <v>MGF</v>
      </c>
      <c r="L349" s="60" t="s">
        <v>509</v>
      </c>
      <c r="M349" s="71">
        <v>45690.78837962963</v>
      </c>
      <c r="N349" s="71">
        <v>45692</v>
      </c>
      <c r="O349" s="71">
        <v>45692</v>
      </c>
      <c r="P349" s="67" t="str">
        <f ca="1">IF(Proc[[#This Row],[DaysAgeing]]&gt;5,"yep","on track")</f>
        <v>on track</v>
      </c>
      <c r="Q349" s="3">
        <f ca="1">IF(Proc[[#This Row],[DateClosed]]="",ABS(NETWORKDAYS(Proc[[#This Row],[DateOpened]],TODAY()))-1,ABS(NETWORKDAYS(Proc[[#This Row],[DateOpened]],Proc[[#This Row],[DateClosed]]))-1)</f>
        <v>1</v>
      </c>
      <c r="R349" s="67" t="s">
        <v>549</v>
      </c>
      <c r="S349" s="60"/>
    </row>
    <row r="350" spans="1:19" hidden="1">
      <c r="A350" s="62" t="s">
        <v>1707</v>
      </c>
      <c r="B350" s="149" t="str">
        <f>IFERROR(VLOOKUP(Proc[[#This Row],[App]],Table2[],3,0),"open")</f>
        <v>ok</v>
      </c>
      <c r="C350" s="62" t="s">
        <v>369</v>
      </c>
      <c r="D350" t="s">
        <v>1697</v>
      </c>
      <c r="E350" t="s">
        <v>631</v>
      </c>
      <c r="F350" s="117" t="s">
        <v>631</v>
      </c>
      <c r="G350" s="62" t="s">
        <v>406</v>
      </c>
      <c r="H350" s="60" t="str">
        <f>IF(Proc[[#This Row],[type]]="LFF (MDG-F)",MID(Proc[[#This Row],[Obj]],13,10),"")</f>
        <v>DE10577000</v>
      </c>
      <c r="J350" s="60" t="b">
        <f>Proc[[#This Row],[Requested]]=Proc[[#This Row],[CurrentParent]]</f>
        <v>1</v>
      </c>
      <c r="K350" s="144" t="str">
        <f>IF(Proc[[#This Row],[Author]]="Marcela Urrego",VLOOKUP(LEFT(Proc[[#This Row],[Requested]],1),Table3[#All],2,0),VLOOKUP(Proc[[#This Row],[Author]],Table4[],2,0))</f>
        <v>MGF</v>
      </c>
      <c r="L350" s="60" t="s">
        <v>509</v>
      </c>
      <c r="M350" s="71">
        <v>45690.78837962963</v>
      </c>
      <c r="N350" s="71">
        <v>45692</v>
      </c>
      <c r="O350" s="71">
        <v>45692</v>
      </c>
      <c r="P350" s="67" t="str">
        <f ca="1">IF(Proc[[#This Row],[DaysAgeing]]&gt;5,"yep","on track")</f>
        <v>on track</v>
      </c>
      <c r="Q350" s="3">
        <f ca="1">IF(Proc[[#This Row],[DateClosed]]="",ABS(NETWORKDAYS(Proc[[#This Row],[DateOpened]],TODAY()))-1,ABS(NETWORKDAYS(Proc[[#This Row],[DateOpened]],Proc[[#This Row],[DateClosed]]))-1)</f>
        <v>1</v>
      </c>
      <c r="R350" s="67" t="s">
        <v>549</v>
      </c>
      <c r="S350" s="60"/>
    </row>
    <row r="351" spans="1:19" hidden="1">
      <c r="A351" s="62" t="s">
        <v>1707</v>
      </c>
      <c r="B351" s="149" t="str">
        <f>IFERROR(VLOOKUP(Proc[[#This Row],[App]],Table2[],3,0),"open")</f>
        <v>ok</v>
      </c>
      <c r="C351" s="62" t="s">
        <v>369</v>
      </c>
      <c r="D351" t="s">
        <v>1698</v>
      </c>
      <c r="E351" t="s">
        <v>631</v>
      </c>
      <c r="F351" s="117" t="s">
        <v>631</v>
      </c>
      <c r="G351" s="62" t="s">
        <v>406</v>
      </c>
      <c r="H351" s="60" t="str">
        <f>IF(Proc[[#This Row],[type]]="LFF (MDG-F)",MID(Proc[[#This Row],[Obj]],13,10),"")</f>
        <v>DE10671000</v>
      </c>
      <c r="J351" s="60" t="b">
        <f>Proc[[#This Row],[Requested]]=Proc[[#This Row],[CurrentParent]]</f>
        <v>1</v>
      </c>
      <c r="K351" s="144" t="str">
        <f>IF(Proc[[#This Row],[Author]]="Marcela Urrego",VLOOKUP(LEFT(Proc[[#This Row],[Requested]],1),Table3[#All],2,0),VLOOKUP(Proc[[#This Row],[Author]],Table4[],2,0))</f>
        <v>MGF</v>
      </c>
      <c r="L351" s="60" t="s">
        <v>509</v>
      </c>
      <c r="M351" s="71">
        <v>45690.78837962963</v>
      </c>
      <c r="N351" s="71">
        <v>45692</v>
      </c>
      <c r="O351" s="71">
        <v>45692</v>
      </c>
      <c r="P351" s="67" t="str">
        <f ca="1">IF(Proc[[#This Row],[DaysAgeing]]&gt;5,"yep","on track")</f>
        <v>on track</v>
      </c>
      <c r="Q351" s="3">
        <f ca="1">IF(Proc[[#This Row],[DateClosed]]="",ABS(NETWORKDAYS(Proc[[#This Row],[DateOpened]],TODAY()))-1,ABS(NETWORKDAYS(Proc[[#This Row],[DateOpened]],Proc[[#This Row],[DateClosed]]))-1)</f>
        <v>1</v>
      </c>
      <c r="R351" s="67" t="s">
        <v>549</v>
      </c>
      <c r="S351" s="60"/>
    </row>
    <row r="352" spans="1:19" hidden="1">
      <c r="A352" s="62" t="s">
        <v>1707</v>
      </c>
      <c r="B352" s="149" t="str">
        <f>IFERROR(VLOOKUP(Proc[[#This Row],[App]],Table2[],3,0),"open")</f>
        <v>ok</v>
      </c>
      <c r="C352" s="62" t="s">
        <v>369</v>
      </c>
      <c r="D352" t="s">
        <v>1699</v>
      </c>
      <c r="E352" t="s">
        <v>631</v>
      </c>
      <c r="F352" s="117" t="s">
        <v>631</v>
      </c>
      <c r="G352" s="62" t="s">
        <v>406</v>
      </c>
      <c r="H352" s="60" t="str">
        <f>IF(Proc[[#This Row],[type]]="LFF (MDG-F)",MID(Proc[[#This Row],[Obj]],13,10),"")</f>
        <v>DE10575119</v>
      </c>
      <c r="J352" s="60" t="b">
        <f>Proc[[#This Row],[Requested]]=Proc[[#This Row],[CurrentParent]]</f>
        <v>1</v>
      </c>
      <c r="K352" s="144" t="str">
        <f>IF(Proc[[#This Row],[Author]]="Marcela Urrego",VLOOKUP(LEFT(Proc[[#This Row],[Requested]],1),Table3[#All],2,0),VLOOKUP(Proc[[#This Row],[Author]],Table4[],2,0))</f>
        <v>MGF</v>
      </c>
      <c r="L352" s="60" t="s">
        <v>509</v>
      </c>
      <c r="M352" s="71">
        <v>45690.78837962963</v>
      </c>
      <c r="N352" s="71">
        <v>45692</v>
      </c>
      <c r="O352" s="71">
        <v>45692</v>
      </c>
      <c r="P352" s="67" t="str">
        <f ca="1">IF(Proc[[#This Row],[DaysAgeing]]&gt;5,"yep","on track")</f>
        <v>on track</v>
      </c>
      <c r="Q352" s="3">
        <f ca="1">IF(Proc[[#This Row],[DateClosed]]="",ABS(NETWORKDAYS(Proc[[#This Row],[DateOpened]],TODAY()))-1,ABS(NETWORKDAYS(Proc[[#This Row],[DateOpened]],Proc[[#This Row],[DateClosed]]))-1)</f>
        <v>1</v>
      </c>
      <c r="R352" s="67" t="s">
        <v>549</v>
      </c>
      <c r="S352" s="60"/>
    </row>
    <row r="353" spans="1:19" hidden="1">
      <c r="A353" s="62" t="s">
        <v>1707</v>
      </c>
      <c r="B353" s="149" t="str">
        <f>IFERROR(VLOOKUP(Proc[[#This Row],[App]],Table2[],3,0),"open")</f>
        <v>ok</v>
      </c>
      <c r="C353" s="62" t="s">
        <v>369</v>
      </c>
      <c r="D353" t="s">
        <v>1700</v>
      </c>
      <c r="E353" t="s">
        <v>631</v>
      </c>
      <c r="F353" s="117" t="s">
        <v>631</v>
      </c>
      <c r="G353" s="62" t="s">
        <v>406</v>
      </c>
      <c r="H353" s="60" t="str">
        <f>IF(Proc[[#This Row],[type]]="LFF (MDG-F)",MID(Proc[[#This Row],[Obj]],13,10),"")</f>
        <v>DE10575310</v>
      </c>
      <c r="J353" s="60" t="b">
        <f>Proc[[#This Row],[Requested]]=Proc[[#This Row],[CurrentParent]]</f>
        <v>1</v>
      </c>
      <c r="K353" s="144" t="str">
        <f>IF(Proc[[#This Row],[Author]]="Marcela Urrego",VLOOKUP(LEFT(Proc[[#This Row],[Requested]],1),Table3[#All],2,0),VLOOKUP(Proc[[#This Row],[Author]],Table4[],2,0))</f>
        <v>MGF</v>
      </c>
      <c r="L353" s="60" t="s">
        <v>509</v>
      </c>
      <c r="M353" s="71">
        <v>45690.78837962963</v>
      </c>
      <c r="N353" s="71">
        <v>45692</v>
      </c>
      <c r="O353" s="71">
        <v>45692</v>
      </c>
      <c r="P353" s="67" t="str">
        <f ca="1">IF(Proc[[#This Row],[DaysAgeing]]&gt;5,"yep","on track")</f>
        <v>on track</v>
      </c>
      <c r="Q353" s="3">
        <f ca="1">IF(Proc[[#This Row],[DateClosed]]="",ABS(NETWORKDAYS(Proc[[#This Row],[DateOpened]],TODAY()))-1,ABS(NETWORKDAYS(Proc[[#This Row],[DateOpened]],Proc[[#This Row],[DateClosed]]))-1)</f>
        <v>1</v>
      </c>
      <c r="R353" s="67" t="s">
        <v>549</v>
      </c>
      <c r="S353" s="60"/>
    </row>
    <row r="354" spans="1:19" hidden="1">
      <c r="A354" s="62" t="s">
        <v>1707</v>
      </c>
      <c r="B354" s="149" t="str">
        <f>IFERROR(VLOOKUP(Proc[[#This Row],[App]],Table2[],3,0),"open")</f>
        <v>ok</v>
      </c>
      <c r="C354" s="62" t="s">
        <v>369</v>
      </c>
      <c r="D354" t="s">
        <v>1701</v>
      </c>
      <c r="E354" t="s">
        <v>631</v>
      </c>
      <c r="F354" s="117" t="s">
        <v>631</v>
      </c>
      <c r="G354" s="62" t="s">
        <v>406</v>
      </c>
      <c r="H354" s="60" t="str">
        <f>IF(Proc[[#This Row],[type]]="LFF (MDG-F)",MID(Proc[[#This Row],[Obj]],13,10),"")</f>
        <v>DE10675100</v>
      </c>
      <c r="J354" s="60" t="b">
        <f>Proc[[#This Row],[Requested]]=Proc[[#This Row],[CurrentParent]]</f>
        <v>1</v>
      </c>
      <c r="K354" s="144" t="str">
        <f>IF(Proc[[#This Row],[Author]]="Marcela Urrego",VLOOKUP(LEFT(Proc[[#This Row],[Requested]],1),Table3[#All],2,0),VLOOKUP(Proc[[#This Row],[Author]],Table4[],2,0))</f>
        <v>MGF</v>
      </c>
      <c r="L354" s="60" t="s">
        <v>509</v>
      </c>
      <c r="M354" s="71">
        <v>45690.78837962963</v>
      </c>
      <c r="N354" s="71">
        <v>45692</v>
      </c>
      <c r="O354" s="71">
        <v>45692</v>
      </c>
      <c r="P354" s="67" t="str">
        <f ca="1">IF(Proc[[#This Row],[DaysAgeing]]&gt;5,"yep","on track")</f>
        <v>on track</v>
      </c>
      <c r="Q354" s="3">
        <f ca="1">IF(Proc[[#This Row],[DateClosed]]="",ABS(NETWORKDAYS(Proc[[#This Row],[DateOpened]],TODAY()))-1,ABS(NETWORKDAYS(Proc[[#This Row],[DateOpened]],Proc[[#This Row],[DateClosed]]))-1)</f>
        <v>1</v>
      </c>
      <c r="R354" s="67" t="s">
        <v>549</v>
      </c>
      <c r="S354" s="60"/>
    </row>
    <row r="355" spans="1:19" hidden="1">
      <c r="A355" s="62" t="s">
        <v>1707</v>
      </c>
      <c r="B355" s="149" t="str">
        <f>IFERROR(VLOOKUP(Proc[[#This Row],[App]],Table2[],3,0),"open")</f>
        <v>ok</v>
      </c>
      <c r="C355" s="62" t="s">
        <v>369</v>
      </c>
      <c r="D355" t="s">
        <v>1702</v>
      </c>
      <c r="E355" t="s">
        <v>631</v>
      </c>
      <c r="F355" s="117" t="s">
        <v>631</v>
      </c>
      <c r="G355" s="62" t="s">
        <v>406</v>
      </c>
      <c r="H355" s="60" t="str">
        <f>IF(Proc[[#This Row],[type]]="LFF (MDG-F)",MID(Proc[[#This Row],[Obj]],13,10),"")</f>
        <v>DE10598500</v>
      </c>
      <c r="J355" s="60" t="b">
        <f>Proc[[#This Row],[Requested]]=Proc[[#This Row],[CurrentParent]]</f>
        <v>1</v>
      </c>
      <c r="K355" s="144" t="str">
        <f>IF(Proc[[#This Row],[Author]]="Marcela Urrego",VLOOKUP(LEFT(Proc[[#This Row],[Requested]],1),Table3[#All],2,0),VLOOKUP(Proc[[#This Row],[Author]],Table4[],2,0))</f>
        <v>MGF</v>
      </c>
      <c r="L355" s="60" t="s">
        <v>509</v>
      </c>
      <c r="M355" s="71">
        <v>45690.78837962963</v>
      </c>
      <c r="N355" s="71">
        <v>45692</v>
      </c>
      <c r="O355" s="71">
        <v>45692</v>
      </c>
      <c r="P355" s="67" t="str">
        <f ca="1">IF(Proc[[#This Row],[DaysAgeing]]&gt;5,"yep","on track")</f>
        <v>on track</v>
      </c>
      <c r="Q355" s="3">
        <f ca="1">IF(Proc[[#This Row],[DateClosed]]="",ABS(NETWORKDAYS(Proc[[#This Row],[DateOpened]],TODAY()))-1,ABS(NETWORKDAYS(Proc[[#This Row],[DateOpened]],Proc[[#This Row],[DateClosed]]))-1)</f>
        <v>1</v>
      </c>
      <c r="R355" s="67" t="s">
        <v>549</v>
      </c>
      <c r="S355" s="60"/>
    </row>
    <row r="356" spans="1:19" hidden="1">
      <c r="A356" s="62" t="s">
        <v>1707</v>
      </c>
      <c r="B356" s="149" t="str">
        <f>IFERROR(VLOOKUP(Proc[[#This Row],[App]],Table2[],3,0),"open")</f>
        <v>ok</v>
      </c>
      <c r="C356" t="s">
        <v>369</v>
      </c>
      <c r="D356" t="s">
        <v>1703</v>
      </c>
      <c r="E356" t="s">
        <v>631</v>
      </c>
      <c r="F356" s="117" t="s">
        <v>631</v>
      </c>
      <c r="G356" s="62" t="s">
        <v>406</v>
      </c>
      <c r="H356" s="60" t="str">
        <f>IF(Proc[[#This Row],[type]]="LFF (MDG-F)",MID(Proc[[#This Row],[Obj]],13,10),"")</f>
        <v>DE10598600</v>
      </c>
      <c r="J356" s="60" t="b">
        <f>Proc[[#This Row],[Requested]]=Proc[[#This Row],[CurrentParent]]</f>
        <v>1</v>
      </c>
      <c r="K356" s="144" t="str">
        <f>IF(Proc[[#This Row],[Author]]="Marcela Urrego",VLOOKUP(LEFT(Proc[[#This Row],[Requested]],1),Table3[#All],2,0),VLOOKUP(Proc[[#This Row],[Author]],Table4[],2,0))</f>
        <v>MGF</v>
      </c>
      <c r="L356" s="60" t="s">
        <v>509</v>
      </c>
      <c r="M356" s="71">
        <v>45690.78837962963</v>
      </c>
      <c r="N356" s="71">
        <v>45692</v>
      </c>
      <c r="O356" s="71">
        <v>45692</v>
      </c>
      <c r="P356" s="67" t="str">
        <f ca="1">IF(Proc[[#This Row],[DaysAgeing]]&gt;5,"yep","on track")</f>
        <v>on track</v>
      </c>
      <c r="Q356" s="3">
        <f ca="1">IF(Proc[[#This Row],[DateClosed]]="",ABS(NETWORKDAYS(Proc[[#This Row],[DateOpened]],TODAY()))-1,ABS(NETWORKDAYS(Proc[[#This Row],[DateOpened]],Proc[[#This Row],[DateClosed]]))-1)</f>
        <v>1</v>
      </c>
      <c r="R356" s="67" t="s">
        <v>549</v>
      </c>
      <c r="S356" s="60"/>
    </row>
    <row r="357" spans="1:19" hidden="1">
      <c r="A357" s="62" t="s">
        <v>1707</v>
      </c>
      <c r="B357" s="149" t="str">
        <f>IFERROR(VLOOKUP(Proc[[#This Row],[App]],Table2[],3,0),"open")</f>
        <v>ok</v>
      </c>
      <c r="C357" t="s">
        <v>377</v>
      </c>
      <c r="D357" t="s">
        <v>1704</v>
      </c>
      <c r="E357" t="s">
        <v>631</v>
      </c>
      <c r="F357" s="103" t="s">
        <v>631</v>
      </c>
      <c r="G357" s="62" t="s">
        <v>406</v>
      </c>
      <c r="H357" s="60" t="str">
        <f>IF(Proc[[#This Row],[type]]="LFF (MDG-F)",MID(Proc[[#This Row],[Obj]],13,10),"")</f>
        <v>DE10698500</v>
      </c>
      <c r="J357" s="60" t="b">
        <f>Proc[[#This Row],[Requested]]=Proc[[#This Row],[CurrentParent]]</f>
        <v>1</v>
      </c>
      <c r="K357" s="144" t="str">
        <f>IF(Proc[[#This Row],[Author]]="Marcela Urrego",VLOOKUP(LEFT(Proc[[#This Row],[Requested]],1),Table3[#All],2,0),VLOOKUP(Proc[[#This Row],[Author]],Table4[],2,0))</f>
        <v>MGF</v>
      </c>
      <c r="L357" s="60" t="s">
        <v>509</v>
      </c>
      <c r="M357" s="71">
        <v>45690.78837962963</v>
      </c>
      <c r="N357" s="71">
        <v>45692</v>
      </c>
      <c r="O357" s="71">
        <v>45692</v>
      </c>
      <c r="P357" s="67" t="str">
        <f ca="1">IF(Proc[[#This Row],[DaysAgeing]]&gt;5,"yep","on track")</f>
        <v>on track</v>
      </c>
      <c r="Q357" s="3">
        <f ca="1">IF(Proc[[#This Row],[DateClosed]]="",ABS(NETWORKDAYS(Proc[[#This Row],[DateOpened]],TODAY()))-1,ABS(NETWORKDAYS(Proc[[#This Row],[DateOpened]],Proc[[#This Row],[DateClosed]]))-1)</f>
        <v>1</v>
      </c>
      <c r="R357" s="67" t="s">
        <v>549</v>
      </c>
      <c r="S357" s="94" t="e">
        <f>VLOOKUP(Proc[[#This Row],[Obj]],#REF!,2,0)</f>
        <v>#REF!</v>
      </c>
    </row>
    <row r="358" spans="1:19" hidden="1">
      <c r="A358" s="62" t="s">
        <v>1707</v>
      </c>
      <c r="B358" s="149" t="str">
        <f>IFERROR(VLOOKUP(Proc[[#This Row],[App]],Table2[],3,0),"open")</f>
        <v>ok</v>
      </c>
      <c r="C358" s="62" t="s">
        <v>369</v>
      </c>
      <c r="D358" t="s">
        <v>1705</v>
      </c>
      <c r="E358" t="s">
        <v>631</v>
      </c>
      <c r="F358" s="117" t="s">
        <v>631</v>
      </c>
      <c r="G358" s="62" t="s">
        <v>406</v>
      </c>
      <c r="H358" s="60" t="str">
        <f>IF(Proc[[#This Row],[type]]="LFF (MDG-F)",MID(Proc[[#This Row],[Obj]],13,10),"")</f>
        <v>DE10575300</v>
      </c>
      <c r="J358" s="60" t="b">
        <f>Proc[[#This Row],[Requested]]=Proc[[#This Row],[CurrentParent]]</f>
        <v>1</v>
      </c>
      <c r="K358" s="144" t="str">
        <f>IF(Proc[[#This Row],[Author]]="Marcela Urrego",VLOOKUP(LEFT(Proc[[#This Row],[Requested]],1),Table3[#All],2,0),VLOOKUP(Proc[[#This Row],[Author]],Table4[],2,0))</f>
        <v>MGF</v>
      </c>
      <c r="L358" s="60" t="s">
        <v>509</v>
      </c>
      <c r="M358" s="71">
        <v>45690.78837962963</v>
      </c>
      <c r="N358" s="71">
        <v>45692</v>
      </c>
      <c r="O358" s="71">
        <v>45692</v>
      </c>
      <c r="P358" s="67" t="str">
        <f ca="1">IF(Proc[[#This Row],[DaysAgeing]]&gt;5,"yep","on track")</f>
        <v>on track</v>
      </c>
      <c r="Q358" s="3">
        <f ca="1">IF(Proc[[#This Row],[DateClosed]]="",ABS(NETWORKDAYS(Proc[[#This Row],[DateOpened]],TODAY()))-1,ABS(NETWORKDAYS(Proc[[#This Row],[DateOpened]],Proc[[#This Row],[DateClosed]]))-1)</f>
        <v>1</v>
      </c>
      <c r="R358" s="67" t="s">
        <v>549</v>
      </c>
      <c r="S358" s="60"/>
    </row>
    <row r="359" spans="1:19" hidden="1">
      <c r="A359" t="s">
        <v>1707</v>
      </c>
      <c r="B359" s="149" t="str">
        <f>IFERROR(VLOOKUP(Proc[[#This Row],[App]],Table2[],3,0),"open")</f>
        <v>ok</v>
      </c>
      <c r="C359" s="62" t="s">
        <v>369</v>
      </c>
      <c r="D359" t="s">
        <v>1706</v>
      </c>
      <c r="E359" t="s">
        <v>631</v>
      </c>
      <c r="F359" s="117" t="s">
        <v>631</v>
      </c>
      <c r="G359" t="s">
        <v>406</v>
      </c>
      <c r="H359" s="60" t="str">
        <f>IF(Proc[[#This Row],[type]]="LFF (MDG-F)",MID(Proc[[#This Row],[Obj]],13,10),"")</f>
        <v>DE10672000</v>
      </c>
      <c r="J359" s="60" t="b">
        <f>Proc[[#This Row],[Requested]]=Proc[[#This Row],[CurrentParent]]</f>
        <v>1</v>
      </c>
      <c r="K359" s="144" t="str">
        <f>IF(Proc[[#This Row],[Author]]="Marcela Urrego",VLOOKUP(LEFT(Proc[[#This Row],[Requested]],1),Table3[#All],2,0),VLOOKUP(Proc[[#This Row],[Author]],Table4[],2,0))</f>
        <v>MGF</v>
      </c>
      <c r="L359" s="60" t="s">
        <v>509</v>
      </c>
      <c r="M359" s="71">
        <v>45690.78837962963</v>
      </c>
      <c r="N359" s="71">
        <v>45692</v>
      </c>
      <c r="O359" s="71">
        <v>45692</v>
      </c>
      <c r="P359" s="67" t="str">
        <f ca="1">IF(Proc[[#This Row],[DaysAgeing]]&gt;5,"yep","on track")</f>
        <v>on track</v>
      </c>
      <c r="Q359" s="3">
        <f ca="1">IF(Proc[[#This Row],[DateClosed]]="",ABS(NETWORKDAYS(Proc[[#This Row],[DateOpened]],TODAY()))-1,ABS(NETWORKDAYS(Proc[[#This Row],[DateOpened]],Proc[[#This Row],[DateClosed]]))-1)</f>
        <v>1</v>
      </c>
      <c r="R359" s="67" t="s">
        <v>549</v>
      </c>
      <c r="S359" s="60"/>
    </row>
    <row r="360" spans="1:19" hidden="1">
      <c r="A360" s="62" t="s">
        <v>1689</v>
      </c>
      <c r="B360" s="149" t="str">
        <f>IFERROR(VLOOKUP(Proc[[#This Row],[App]],Table2[],3,0),"open")</f>
        <v>ok</v>
      </c>
      <c r="C360" s="62" t="s">
        <v>369</v>
      </c>
      <c r="D360" t="s">
        <v>1690</v>
      </c>
      <c r="E360" t="s">
        <v>1233</v>
      </c>
      <c r="F360" s="117" t="s">
        <v>1233</v>
      </c>
      <c r="G360" s="62" t="s">
        <v>400</v>
      </c>
      <c r="H360" s="60" t="str">
        <f>IF(Proc[[#This Row],[type]]="LFF (MDG-F)",MID(Proc[[#This Row],[Obj]],13,10),"")</f>
        <v/>
      </c>
      <c r="J360" s="60" t="b">
        <f>Proc[[#This Row],[Requested]]=Proc[[#This Row],[CurrentParent]]</f>
        <v>1</v>
      </c>
      <c r="K360" s="144" t="str">
        <f>IF(Proc[[#This Row],[Author]]="Marcela Urrego",VLOOKUP(LEFT(Proc[[#This Row],[Requested]],1),Table3[#All],2,0),VLOOKUP(Proc[[#This Row],[Author]],Table4[],2,0))</f>
        <v>LS</v>
      </c>
      <c r="L360" s="60" t="s">
        <v>509</v>
      </c>
      <c r="M360" s="71">
        <v>45691.34474537037</v>
      </c>
      <c r="N360" s="71">
        <v>45692</v>
      </c>
      <c r="O360" s="71">
        <v>45692</v>
      </c>
      <c r="P360" s="67" t="str">
        <f ca="1">IF(Proc[[#This Row],[DaysAgeing]]&gt;5,"yep","on track")</f>
        <v>on track</v>
      </c>
      <c r="Q360" s="3">
        <f ca="1">IF(Proc[[#This Row],[DateClosed]]="",ABS(NETWORKDAYS(Proc[[#This Row],[DateOpened]],TODAY()))-1,ABS(NETWORKDAYS(Proc[[#This Row],[DateOpened]],Proc[[#This Row],[DateClosed]]))-1)</f>
        <v>1</v>
      </c>
      <c r="R360" s="67" t="s">
        <v>972</v>
      </c>
      <c r="S360" s="60"/>
    </row>
    <row r="361" spans="1:19" hidden="1">
      <c r="A361" s="62" t="s">
        <v>1689</v>
      </c>
      <c r="B361" s="149" t="str">
        <f>IFERROR(VLOOKUP(Proc[[#This Row],[App]],Table2[],3,0),"open")</f>
        <v>ok</v>
      </c>
      <c r="C361" s="62" t="s">
        <v>369</v>
      </c>
      <c r="D361" t="s">
        <v>1691</v>
      </c>
      <c r="E361" t="s">
        <v>1234</v>
      </c>
      <c r="F361" s="117" t="s">
        <v>1234</v>
      </c>
      <c r="G361" s="62" t="s">
        <v>400</v>
      </c>
      <c r="H361" s="60" t="str">
        <f>IF(Proc[[#This Row],[type]]="LFF (MDG-F)",MID(Proc[[#This Row],[Obj]],13,10),"")</f>
        <v/>
      </c>
      <c r="J361" s="60" t="b">
        <f>Proc[[#This Row],[Requested]]=Proc[[#This Row],[CurrentParent]]</f>
        <v>1</v>
      </c>
      <c r="K361" s="144" t="str">
        <f>IF(Proc[[#This Row],[Author]]="Marcela Urrego",VLOOKUP(LEFT(Proc[[#This Row],[Requested]],1),Table3[#All],2,0),VLOOKUP(Proc[[#This Row],[Author]],Table4[],2,0))</f>
        <v>LS</v>
      </c>
      <c r="L361" s="60" t="s">
        <v>509</v>
      </c>
      <c r="M361" s="71">
        <v>45691.34474537037</v>
      </c>
      <c r="N361" s="71">
        <v>45692</v>
      </c>
      <c r="O361" s="71">
        <v>45692</v>
      </c>
      <c r="P361" s="67" t="str">
        <f ca="1">IF(Proc[[#This Row],[DaysAgeing]]&gt;5,"yep","on track")</f>
        <v>on track</v>
      </c>
      <c r="Q361" s="3">
        <f ca="1">IF(Proc[[#This Row],[DateClosed]]="",ABS(NETWORKDAYS(Proc[[#This Row],[DateOpened]],TODAY()))-1,ABS(NETWORKDAYS(Proc[[#This Row],[DateOpened]],Proc[[#This Row],[DateClosed]]))-1)</f>
        <v>1</v>
      </c>
      <c r="R361" s="67" t="s">
        <v>972</v>
      </c>
      <c r="S361" s="60"/>
    </row>
    <row r="362" spans="1:19" hidden="1">
      <c r="A362" s="62" t="s">
        <v>1689</v>
      </c>
      <c r="B362" s="149" t="str">
        <f>IFERROR(VLOOKUP(Proc[[#This Row],[App]],Table2[],3,0),"open")</f>
        <v>ok</v>
      </c>
      <c r="C362" s="62" t="s">
        <v>369</v>
      </c>
      <c r="D362" t="s">
        <v>1692</v>
      </c>
      <c r="E362" t="s">
        <v>1235</v>
      </c>
      <c r="F362" s="117" t="s">
        <v>1235</v>
      </c>
      <c r="G362" s="62" t="s">
        <v>400</v>
      </c>
      <c r="H362" s="60" t="str">
        <f>IF(Proc[[#This Row],[type]]="LFF (MDG-F)",MID(Proc[[#This Row],[Obj]],13,10),"")</f>
        <v/>
      </c>
      <c r="J362" s="60" t="b">
        <f>Proc[[#This Row],[Requested]]=Proc[[#This Row],[CurrentParent]]</f>
        <v>1</v>
      </c>
      <c r="K362" s="144" t="str">
        <f>IF(Proc[[#This Row],[Author]]="Marcela Urrego",VLOOKUP(LEFT(Proc[[#This Row],[Requested]],1),Table3[#All],2,0),VLOOKUP(Proc[[#This Row],[Author]],Table4[],2,0))</f>
        <v>LS</v>
      </c>
      <c r="L362" s="60" t="s">
        <v>509</v>
      </c>
      <c r="M362" s="71">
        <v>45691.34474537037</v>
      </c>
      <c r="N362" s="71">
        <v>45692</v>
      </c>
      <c r="O362" s="71">
        <v>45692</v>
      </c>
      <c r="P362" s="67" t="str">
        <f ca="1">IF(Proc[[#This Row],[DaysAgeing]]&gt;5,"yep","on track")</f>
        <v>on track</v>
      </c>
      <c r="Q362" s="3">
        <f ca="1">IF(Proc[[#This Row],[DateClosed]]="",ABS(NETWORKDAYS(Proc[[#This Row],[DateOpened]],TODAY()))-1,ABS(NETWORKDAYS(Proc[[#This Row],[DateOpened]],Proc[[#This Row],[DateClosed]]))-1)</f>
        <v>1</v>
      </c>
      <c r="R362" s="67" t="s">
        <v>972</v>
      </c>
      <c r="S362" s="60"/>
    </row>
    <row r="363" spans="1:19" hidden="1">
      <c r="A363" s="62" t="s">
        <v>1689</v>
      </c>
      <c r="B363" s="149" t="str">
        <f>IFERROR(VLOOKUP(Proc[[#This Row],[App]],Table2[],3,0),"open")</f>
        <v>ok</v>
      </c>
      <c r="C363" s="62" t="s">
        <v>369</v>
      </c>
      <c r="D363" t="s">
        <v>1693</v>
      </c>
      <c r="E363" t="s">
        <v>1235</v>
      </c>
      <c r="F363" s="117" t="s">
        <v>1235</v>
      </c>
      <c r="G363" s="62" t="s">
        <v>400</v>
      </c>
      <c r="H363" s="60" t="str">
        <f>IF(Proc[[#This Row],[type]]="LFF (MDG-F)",MID(Proc[[#This Row],[Obj]],13,10),"")</f>
        <v/>
      </c>
      <c r="J363" s="60" t="b">
        <f>Proc[[#This Row],[Requested]]=Proc[[#This Row],[CurrentParent]]</f>
        <v>1</v>
      </c>
      <c r="K363" s="144" t="str">
        <f>IF(Proc[[#This Row],[Author]]="Marcela Urrego",VLOOKUP(LEFT(Proc[[#This Row],[Requested]],1),Table3[#All],2,0),VLOOKUP(Proc[[#This Row],[Author]],Table4[],2,0))</f>
        <v>LS</v>
      </c>
      <c r="L363" s="60" t="s">
        <v>509</v>
      </c>
      <c r="M363" s="71">
        <v>45691.34474537037</v>
      </c>
      <c r="N363" s="71">
        <v>45692</v>
      </c>
      <c r="O363" s="71">
        <v>45692</v>
      </c>
      <c r="P363" s="67" t="str">
        <f ca="1">IF(Proc[[#This Row],[DaysAgeing]]&gt;5,"yep","on track")</f>
        <v>on track</v>
      </c>
      <c r="Q363" s="3">
        <f ca="1">IF(Proc[[#This Row],[DateClosed]]="",ABS(NETWORKDAYS(Proc[[#This Row],[DateOpened]],TODAY()))-1,ABS(NETWORKDAYS(Proc[[#This Row],[DateOpened]],Proc[[#This Row],[DateClosed]]))-1)</f>
        <v>1</v>
      </c>
      <c r="R363" s="67" t="s">
        <v>972</v>
      </c>
      <c r="S363" s="60"/>
    </row>
    <row r="364" spans="1:19" hidden="1">
      <c r="A364" s="62" t="s">
        <v>1687</v>
      </c>
      <c r="B364" s="149" t="str">
        <f>IFERROR(VLOOKUP(Proc[[#This Row],[App]],Table2[],3,0),"open")</f>
        <v>ok</v>
      </c>
      <c r="C364" s="62" t="s">
        <v>369</v>
      </c>
      <c r="D364" t="s">
        <v>1688</v>
      </c>
      <c r="E364" t="s">
        <v>631</v>
      </c>
      <c r="F364" s="117" t="s">
        <v>631</v>
      </c>
      <c r="G364" s="62" t="s">
        <v>406</v>
      </c>
      <c r="H364" s="60" t="str">
        <f>IF(Proc[[#This Row],[type]]="LFF (MDG-F)",MID(Proc[[#This Row],[Obj]],13,10),"")</f>
        <v>DE20675100</v>
      </c>
      <c r="J364" s="60" t="b">
        <f>Proc[[#This Row],[Requested]]=Proc[[#This Row],[CurrentParent]]</f>
        <v>1</v>
      </c>
      <c r="K364" s="144" t="str">
        <f>IF(Proc[[#This Row],[Author]]="Marcela Urrego",VLOOKUP(LEFT(Proc[[#This Row],[Requested]],1),Table3[#All],2,0),VLOOKUP(Proc[[#This Row],[Author]],Table4[],2,0))</f>
        <v>MGF</v>
      </c>
      <c r="L364" s="60" t="s">
        <v>509</v>
      </c>
      <c r="M364" s="71">
        <v>45691.389618055553</v>
      </c>
      <c r="N364" s="71">
        <v>45692</v>
      </c>
      <c r="O364" s="71">
        <v>45692</v>
      </c>
      <c r="P364" s="67" t="str">
        <f ca="1">IF(Proc[[#This Row],[DaysAgeing]]&gt;5,"yep","on track")</f>
        <v>on track</v>
      </c>
      <c r="Q364" s="3">
        <f ca="1">IF(Proc[[#This Row],[DateClosed]]="",ABS(NETWORKDAYS(Proc[[#This Row],[DateOpened]],TODAY()))-1,ABS(NETWORKDAYS(Proc[[#This Row],[DateOpened]],Proc[[#This Row],[DateClosed]]))-1)</f>
        <v>1</v>
      </c>
      <c r="R364" s="67" t="s">
        <v>549</v>
      </c>
      <c r="S364" s="60"/>
    </row>
    <row r="365" spans="1:19" hidden="1">
      <c r="A365" t="s">
        <v>1720</v>
      </c>
      <c r="B365" s="149" t="str">
        <f>IFERROR(VLOOKUP(Proc[[#This Row],[App]],Table2[],3,0),"open")</f>
        <v>ok</v>
      </c>
      <c r="C365" t="s">
        <v>369</v>
      </c>
      <c r="D365" t="s">
        <v>1719</v>
      </c>
      <c r="E365" t="s">
        <v>476</v>
      </c>
      <c r="F365" s="117" t="s">
        <v>476</v>
      </c>
      <c r="G365" t="s">
        <v>406</v>
      </c>
      <c r="H365" s="60" t="str">
        <f>IF(Proc[[#This Row],[type]]="LFF (MDG-F)",MID(Proc[[#This Row],[Obj]],13,10),"")</f>
        <v>CH50L98016</v>
      </c>
      <c r="J365" s="60" t="b">
        <f>Proc[[#This Row],[Requested]]=Proc[[#This Row],[CurrentParent]]</f>
        <v>1</v>
      </c>
      <c r="K365" s="144" t="str">
        <f>IF(Proc[[#This Row],[Author]]="Marcela Urrego",VLOOKUP(LEFT(Proc[[#This Row],[Requested]],1),Table3[#All],2,0),VLOOKUP(Proc[[#This Row],[Author]],Table4[],2,0))</f>
        <v>MGF</v>
      </c>
      <c r="L365" s="60" t="s">
        <v>509</v>
      </c>
      <c r="M365" s="71">
        <v>45691.550567129627</v>
      </c>
      <c r="N365" s="71">
        <v>45693</v>
      </c>
      <c r="O365" s="71">
        <v>45693</v>
      </c>
      <c r="P365" s="67" t="str">
        <f ca="1">IF(Proc[[#This Row],[DaysAgeing]]&gt;5,"yep","on track")</f>
        <v>on track</v>
      </c>
      <c r="Q365" s="3">
        <f ca="1">IF(Proc[[#This Row],[DateClosed]]="",ABS(NETWORKDAYS(Proc[[#This Row],[DateOpened]],TODAY()))-1,ABS(NETWORKDAYS(Proc[[#This Row],[DateOpened]],Proc[[#This Row],[DateClosed]]))-1)</f>
        <v>2</v>
      </c>
      <c r="R365" s="67" t="s">
        <v>515</v>
      </c>
      <c r="S365" s="60"/>
    </row>
    <row r="366" spans="1:19" hidden="1">
      <c r="A366" s="62" t="s">
        <v>1717</v>
      </c>
      <c r="B366" s="149" t="str">
        <f>IFERROR(VLOOKUP(Proc[[#This Row],[App]],Table2[],3,0),"open")</f>
        <v>ok</v>
      </c>
      <c r="C366" s="62" t="s">
        <v>369</v>
      </c>
      <c r="D366" t="s">
        <v>445</v>
      </c>
      <c r="E366" t="s">
        <v>1232</v>
      </c>
      <c r="F366" s="117" t="s">
        <v>1232</v>
      </c>
      <c r="G366" t="s">
        <v>400</v>
      </c>
      <c r="H366" s="60" t="str">
        <f>IF(Proc[[#This Row],[type]]="LFF (MDG-F)",MID(Proc[[#This Row],[Obj]],13,10),"")</f>
        <v/>
      </c>
      <c r="J366" s="60" t="b">
        <f>Proc[[#This Row],[Requested]]=Proc[[#This Row],[CurrentParent]]</f>
        <v>1</v>
      </c>
      <c r="K366" s="144" t="str">
        <f>IF(Proc[[#This Row],[Author]]="Marcela Urrego",VLOOKUP(LEFT(Proc[[#This Row],[Requested]],1),Table3[#All],2,0),VLOOKUP(Proc[[#This Row],[Author]],Table4[],2,0))</f>
        <v>MGF</v>
      </c>
      <c r="L366" s="60" t="s">
        <v>509</v>
      </c>
      <c r="M366" s="71">
        <v>45691.694965277777</v>
      </c>
      <c r="N366" s="71">
        <v>45712</v>
      </c>
      <c r="O366" s="71">
        <v>45712</v>
      </c>
      <c r="P366" s="67" t="str">
        <f ca="1">IF(Proc[[#This Row],[DaysAgeing]]&gt;5,"yep","on track")</f>
        <v>yep</v>
      </c>
      <c r="Q366" s="3">
        <f ca="1">IF(Proc[[#This Row],[DateClosed]]="",ABS(NETWORKDAYS(Proc[[#This Row],[DateOpened]],TODAY()))-1,ABS(NETWORKDAYS(Proc[[#This Row],[DateOpened]],Proc[[#This Row],[DateClosed]]))-1)</f>
        <v>15</v>
      </c>
      <c r="R366" s="67" t="s">
        <v>1459</v>
      </c>
      <c r="S366" s="60"/>
    </row>
    <row r="367" spans="1:19" hidden="1">
      <c r="A367" s="62" t="s">
        <v>1717</v>
      </c>
      <c r="B367" s="149" t="str">
        <f>IFERROR(VLOOKUP(Proc[[#This Row],[App]],Table2[],3,0),"open")</f>
        <v>ok</v>
      </c>
      <c r="C367" s="62" t="s">
        <v>369</v>
      </c>
      <c r="D367" t="s">
        <v>660</v>
      </c>
      <c r="E367" t="s">
        <v>759</v>
      </c>
      <c r="F367" s="117" t="s">
        <v>759</v>
      </c>
      <c r="G367" s="62" t="s">
        <v>406</v>
      </c>
      <c r="H367" s="60" t="str">
        <f>IF(Proc[[#This Row],[type]]="LFF (MDG-F)",MID(Proc[[#This Row],[Obj]],13,10),"")</f>
        <v>DE10515400</v>
      </c>
      <c r="J367" s="60" t="b">
        <f>Proc[[#This Row],[Requested]]=Proc[[#This Row],[CurrentParent]]</f>
        <v>1</v>
      </c>
      <c r="K367" s="144" t="str">
        <f>IF(Proc[[#This Row],[Author]]="Marcela Urrego",VLOOKUP(LEFT(Proc[[#This Row],[Requested]],1),Table3[#All],2,0),VLOOKUP(Proc[[#This Row],[Author]],Table4[],2,0))</f>
        <v>MGF</v>
      </c>
      <c r="L367" s="60" t="s">
        <v>509</v>
      </c>
      <c r="M367" s="71">
        <v>45691.694965277777</v>
      </c>
      <c r="N367" s="71">
        <v>45712</v>
      </c>
      <c r="O367" s="71">
        <v>45712</v>
      </c>
      <c r="P367" s="67" t="str">
        <f ca="1">IF(Proc[[#This Row],[DaysAgeing]]&gt;5,"yep","on track")</f>
        <v>yep</v>
      </c>
      <c r="Q367" s="3">
        <f ca="1">IF(Proc[[#This Row],[DateClosed]]="",ABS(NETWORKDAYS(Proc[[#This Row],[DateOpened]],TODAY()))-1,ABS(NETWORKDAYS(Proc[[#This Row],[DateOpened]],Proc[[#This Row],[DateClosed]]))-1)</f>
        <v>15</v>
      </c>
      <c r="R367" s="67" t="s">
        <v>1459</v>
      </c>
      <c r="S367" s="60"/>
    </row>
    <row r="368" spans="1:19" hidden="1">
      <c r="A368" s="62" t="s">
        <v>1717</v>
      </c>
      <c r="B368" s="149" t="str">
        <f>IFERROR(VLOOKUP(Proc[[#This Row],[App]],Table2[],3,0),"open")</f>
        <v>ok</v>
      </c>
      <c r="C368" s="62" t="s">
        <v>369</v>
      </c>
      <c r="D368" t="s">
        <v>432</v>
      </c>
      <c r="E368" t="s">
        <v>1232</v>
      </c>
      <c r="F368" s="117" t="s">
        <v>1232</v>
      </c>
      <c r="G368" s="62" t="s">
        <v>406</v>
      </c>
      <c r="H368" s="60" t="str">
        <f>IF(Proc[[#This Row],[type]]="LFF (MDG-F)",MID(Proc[[#This Row],[Obj]],13,10),"")</f>
        <v>DE10533731</v>
      </c>
      <c r="J368" s="60" t="b">
        <f>Proc[[#This Row],[Requested]]=Proc[[#This Row],[CurrentParent]]</f>
        <v>1</v>
      </c>
      <c r="K368" s="144" t="str">
        <f>IF(Proc[[#This Row],[Author]]="Marcela Urrego",VLOOKUP(LEFT(Proc[[#This Row],[Requested]],1),Table3[#All],2,0),VLOOKUP(Proc[[#This Row],[Author]],Table4[],2,0))</f>
        <v>MGF</v>
      </c>
      <c r="L368" s="60" t="s">
        <v>509</v>
      </c>
      <c r="M368" s="71">
        <v>45691.694965277777</v>
      </c>
      <c r="N368" s="71">
        <v>45712</v>
      </c>
      <c r="O368" s="71">
        <v>45712</v>
      </c>
      <c r="P368" s="67" t="str">
        <f ca="1">IF(Proc[[#This Row],[DaysAgeing]]&gt;5,"yep","on track")</f>
        <v>yep</v>
      </c>
      <c r="Q368" s="3">
        <f ca="1">IF(Proc[[#This Row],[DateClosed]]="",ABS(NETWORKDAYS(Proc[[#This Row],[DateOpened]],TODAY()))-1,ABS(NETWORKDAYS(Proc[[#This Row],[DateOpened]],Proc[[#This Row],[DateClosed]]))-1)</f>
        <v>15</v>
      </c>
      <c r="R368" s="67" t="s">
        <v>1459</v>
      </c>
      <c r="S368" s="60"/>
    </row>
    <row r="369" spans="1:19" hidden="1">
      <c r="A369" s="62" t="s">
        <v>1717</v>
      </c>
      <c r="B369" s="149" t="str">
        <f>IFERROR(VLOOKUP(Proc[[#This Row],[App]],Table2[],3,0),"open")</f>
        <v>ok</v>
      </c>
      <c r="C369" s="62" t="s">
        <v>369</v>
      </c>
      <c r="D369" t="s">
        <v>431</v>
      </c>
      <c r="E369" t="s">
        <v>1232</v>
      </c>
      <c r="F369" s="117" t="s">
        <v>1232</v>
      </c>
      <c r="G369" s="62" t="s">
        <v>406</v>
      </c>
      <c r="H369" s="60" t="str">
        <f>IF(Proc[[#This Row],[type]]="LFF (MDG-F)",MID(Proc[[#This Row],[Obj]],13,10),"")</f>
        <v>DE10533730</v>
      </c>
      <c r="J369" s="60" t="b">
        <f>Proc[[#This Row],[Requested]]=Proc[[#This Row],[CurrentParent]]</f>
        <v>1</v>
      </c>
      <c r="K369" s="144" t="str">
        <f>IF(Proc[[#This Row],[Author]]="Marcela Urrego",VLOOKUP(LEFT(Proc[[#This Row],[Requested]],1),Table3[#All],2,0),VLOOKUP(Proc[[#This Row],[Author]],Table4[],2,0))</f>
        <v>MGF</v>
      </c>
      <c r="L369" s="60" t="s">
        <v>509</v>
      </c>
      <c r="M369" s="71">
        <v>45691.694965277777</v>
      </c>
      <c r="N369" s="71">
        <v>45712</v>
      </c>
      <c r="O369" s="71">
        <v>45712</v>
      </c>
      <c r="P369" s="67" t="str">
        <f ca="1">IF(Proc[[#This Row],[DaysAgeing]]&gt;5,"yep","on track")</f>
        <v>yep</v>
      </c>
      <c r="Q369" s="3">
        <f ca="1">IF(Proc[[#This Row],[DateClosed]]="",ABS(NETWORKDAYS(Proc[[#This Row],[DateOpened]],TODAY()))-1,ABS(NETWORKDAYS(Proc[[#This Row],[DateOpened]],Proc[[#This Row],[DateClosed]]))-1)</f>
        <v>15</v>
      </c>
      <c r="R369" s="67" t="s">
        <v>1459</v>
      </c>
      <c r="S369" s="60"/>
    </row>
    <row r="370" spans="1:19" hidden="1">
      <c r="A370" s="62" t="s">
        <v>1717</v>
      </c>
      <c r="B370" s="149" t="str">
        <f>IFERROR(VLOOKUP(Proc[[#This Row],[App]],Table2[],3,0),"open")</f>
        <v>ok</v>
      </c>
      <c r="C370" s="62" t="s">
        <v>369</v>
      </c>
      <c r="D370" t="s">
        <v>428</v>
      </c>
      <c r="E370" t="s">
        <v>1232</v>
      </c>
      <c r="F370" s="117" t="s">
        <v>1232</v>
      </c>
      <c r="G370" s="62" t="s">
        <v>400</v>
      </c>
      <c r="H370" s="60" t="str">
        <f>IF(Proc[[#This Row],[type]]="LFF (MDG-F)",MID(Proc[[#This Row],[Obj]],13,10),"")</f>
        <v/>
      </c>
      <c r="J370" s="60" t="b">
        <f>Proc[[#This Row],[Requested]]=Proc[[#This Row],[CurrentParent]]</f>
        <v>1</v>
      </c>
      <c r="K370" s="144" t="str">
        <f>IF(Proc[[#This Row],[Author]]="Marcela Urrego",VLOOKUP(LEFT(Proc[[#This Row],[Requested]],1),Table3[#All],2,0),VLOOKUP(Proc[[#This Row],[Author]],Table4[],2,0))</f>
        <v>MGF</v>
      </c>
      <c r="L370" s="60" t="s">
        <v>509</v>
      </c>
      <c r="M370" s="71">
        <v>45691.694965277777</v>
      </c>
      <c r="N370" s="71">
        <v>45712</v>
      </c>
      <c r="O370" s="71">
        <v>45712</v>
      </c>
      <c r="P370" s="67" t="str">
        <f ca="1">IF(Proc[[#This Row],[DaysAgeing]]&gt;5,"yep","on track")</f>
        <v>yep</v>
      </c>
      <c r="Q370" s="3">
        <f ca="1">IF(Proc[[#This Row],[DateClosed]]="",ABS(NETWORKDAYS(Proc[[#This Row],[DateOpened]],TODAY()))-1,ABS(NETWORKDAYS(Proc[[#This Row],[DateOpened]],Proc[[#This Row],[DateClosed]]))-1)</f>
        <v>15</v>
      </c>
      <c r="R370" s="67" t="s">
        <v>1459</v>
      </c>
      <c r="S370" s="60"/>
    </row>
    <row r="371" spans="1:19" hidden="1">
      <c r="A371" s="62" t="s">
        <v>1717</v>
      </c>
      <c r="B371" s="149" t="str">
        <f>IFERROR(VLOOKUP(Proc[[#This Row],[App]],Table2[],3,0),"open")</f>
        <v>ok</v>
      </c>
      <c r="C371" s="62" t="s">
        <v>369</v>
      </c>
      <c r="D371" t="s">
        <v>444</v>
      </c>
      <c r="E371" t="s">
        <v>1232</v>
      </c>
      <c r="F371" s="117" t="s">
        <v>1232</v>
      </c>
      <c r="G371" s="62" t="s">
        <v>400</v>
      </c>
      <c r="H371" s="60" t="str">
        <f>IF(Proc[[#This Row],[type]]="LFF (MDG-F)",MID(Proc[[#This Row],[Obj]],13,10),"")</f>
        <v/>
      </c>
      <c r="J371" s="60" t="b">
        <f>Proc[[#This Row],[Requested]]=Proc[[#This Row],[CurrentParent]]</f>
        <v>1</v>
      </c>
      <c r="K371" s="144" t="str">
        <f>IF(Proc[[#This Row],[Author]]="Marcela Urrego",VLOOKUP(LEFT(Proc[[#This Row],[Requested]],1),Table3[#All],2,0),VLOOKUP(Proc[[#This Row],[Author]],Table4[],2,0))</f>
        <v>MGF</v>
      </c>
      <c r="L371" s="60" t="s">
        <v>509</v>
      </c>
      <c r="M371" s="71">
        <v>45691.694965277777</v>
      </c>
      <c r="N371" s="71">
        <v>45712</v>
      </c>
      <c r="O371" s="71">
        <v>45712</v>
      </c>
      <c r="P371" s="67" t="str">
        <f ca="1">IF(Proc[[#This Row],[DaysAgeing]]&gt;5,"yep","on track")</f>
        <v>yep</v>
      </c>
      <c r="Q371" s="3">
        <f ca="1">IF(Proc[[#This Row],[DateClosed]]="",ABS(NETWORKDAYS(Proc[[#This Row],[DateOpened]],TODAY()))-1,ABS(NETWORKDAYS(Proc[[#This Row],[DateOpened]],Proc[[#This Row],[DateClosed]]))-1)</f>
        <v>15</v>
      </c>
      <c r="R371" s="67" t="s">
        <v>1459</v>
      </c>
      <c r="S371" s="60"/>
    </row>
    <row r="372" spans="1:19" hidden="1">
      <c r="A372" s="62" t="s">
        <v>1717</v>
      </c>
      <c r="B372" s="149" t="str">
        <f>IFERROR(VLOOKUP(Proc[[#This Row],[App]],Table2[],3,0),"open")</f>
        <v>ok</v>
      </c>
      <c r="C372" s="62" t="s">
        <v>369</v>
      </c>
      <c r="D372" t="s">
        <v>440</v>
      </c>
      <c r="E372" t="s">
        <v>1232</v>
      </c>
      <c r="F372" s="117" t="s">
        <v>1232</v>
      </c>
      <c r="G372" s="62" t="s">
        <v>400</v>
      </c>
      <c r="H372" s="60" t="str">
        <f>IF(Proc[[#This Row],[type]]="LFF (MDG-F)",MID(Proc[[#This Row],[Obj]],13,10),"")</f>
        <v/>
      </c>
      <c r="J372" s="60" t="b">
        <f>Proc[[#This Row],[Requested]]=Proc[[#This Row],[CurrentParent]]</f>
        <v>1</v>
      </c>
      <c r="K372" s="144" t="str">
        <f>IF(Proc[[#This Row],[Author]]="Marcela Urrego",VLOOKUP(LEFT(Proc[[#This Row],[Requested]],1),Table3[#All],2,0),VLOOKUP(Proc[[#This Row],[Author]],Table4[],2,0))</f>
        <v>MGF</v>
      </c>
      <c r="L372" s="60" t="s">
        <v>509</v>
      </c>
      <c r="M372" s="71">
        <v>45691.694965277777</v>
      </c>
      <c r="N372" s="71">
        <v>45712</v>
      </c>
      <c r="O372" s="71">
        <v>45712</v>
      </c>
      <c r="P372" s="67" t="str">
        <f ca="1">IF(Proc[[#This Row],[DaysAgeing]]&gt;5,"yep","on track")</f>
        <v>yep</v>
      </c>
      <c r="Q372" s="3">
        <f ca="1">IF(Proc[[#This Row],[DateClosed]]="",ABS(NETWORKDAYS(Proc[[#This Row],[DateOpened]],TODAY()))-1,ABS(NETWORKDAYS(Proc[[#This Row],[DateOpened]],Proc[[#This Row],[DateClosed]]))-1)</f>
        <v>15</v>
      </c>
      <c r="R372" s="67" t="s">
        <v>1459</v>
      </c>
      <c r="S372" s="60"/>
    </row>
    <row r="373" spans="1:19" hidden="1">
      <c r="A373" s="62" t="s">
        <v>1717</v>
      </c>
      <c r="B373" s="149" t="str">
        <f>IFERROR(VLOOKUP(Proc[[#This Row],[App]],Table2[],3,0),"open")</f>
        <v>ok</v>
      </c>
      <c r="C373" s="62" t="s">
        <v>369</v>
      </c>
      <c r="D373" t="s">
        <v>442</v>
      </c>
      <c r="E373" t="s">
        <v>1232</v>
      </c>
      <c r="F373" s="117" t="s">
        <v>1232</v>
      </c>
      <c r="G373" s="62" t="s">
        <v>400</v>
      </c>
      <c r="H373" s="60" t="str">
        <f>IF(Proc[[#This Row],[type]]="LFF (MDG-F)",MID(Proc[[#This Row],[Obj]],13,10),"")</f>
        <v/>
      </c>
      <c r="J373" s="60" t="b">
        <f>Proc[[#This Row],[Requested]]=Proc[[#This Row],[CurrentParent]]</f>
        <v>1</v>
      </c>
      <c r="K373" s="144" t="str">
        <f>IF(Proc[[#This Row],[Author]]="Marcela Urrego",VLOOKUP(LEFT(Proc[[#This Row],[Requested]],1),Table3[#All],2,0),VLOOKUP(Proc[[#This Row],[Author]],Table4[],2,0))</f>
        <v>MGF</v>
      </c>
      <c r="L373" s="60" t="s">
        <v>509</v>
      </c>
      <c r="M373" s="71">
        <v>45691.694965277777</v>
      </c>
      <c r="N373" s="71">
        <v>45712</v>
      </c>
      <c r="O373" s="71">
        <v>45712</v>
      </c>
      <c r="P373" s="67" t="str">
        <f ca="1">IF(Proc[[#This Row],[DaysAgeing]]&gt;5,"yep","on track")</f>
        <v>yep</v>
      </c>
      <c r="Q373" s="3">
        <f ca="1">IF(Proc[[#This Row],[DateClosed]]="",ABS(NETWORKDAYS(Proc[[#This Row],[DateOpened]],TODAY()))-1,ABS(NETWORKDAYS(Proc[[#This Row],[DateOpened]],Proc[[#This Row],[DateClosed]]))-1)</f>
        <v>15</v>
      </c>
      <c r="R373" s="67" t="s">
        <v>1459</v>
      </c>
      <c r="S373" s="60"/>
    </row>
    <row r="374" spans="1:19" hidden="1">
      <c r="A374" s="62" t="s">
        <v>1717</v>
      </c>
      <c r="B374" s="149" t="str">
        <f>IFERROR(VLOOKUP(Proc[[#This Row],[App]],Table2[],3,0),"open")</f>
        <v>ok</v>
      </c>
      <c r="C374" s="62" t="s">
        <v>369</v>
      </c>
      <c r="D374" t="s">
        <v>441</v>
      </c>
      <c r="E374" t="s">
        <v>1232</v>
      </c>
      <c r="F374" s="117" t="s">
        <v>1232</v>
      </c>
      <c r="G374" s="62" t="s">
        <v>400</v>
      </c>
      <c r="H374" s="60" t="str">
        <f>IF(Proc[[#This Row],[type]]="LFF (MDG-F)",MID(Proc[[#This Row],[Obj]],13,10),"")</f>
        <v/>
      </c>
      <c r="J374" s="60" t="b">
        <f>Proc[[#This Row],[Requested]]=Proc[[#This Row],[CurrentParent]]</f>
        <v>1</v>
      </c>
      <c r="K374" s="144" t="str">
        <f>IF(Proc[[#This Row],[Author]]="Marcela Urrego",VLOOKUP(LEFT(Proc[[#This Row],[Requested]],1),Table3[#All],2,0),VLOOKUP(Proc[[#This Row],[Author]],Table4[],2,0))</f>
        <v>MGF</v>
      </c>
      <c r="L374" s="60" t="s">
        <v>509</v>
      </c>
      <c r="M374" s="71">
        <v>45691.694965277777</v>
      </c>
      <c r="N374" s="71">
        <v>45712</v>
      </c>
      <c r="O374" s="71">
        <v>45712</v>
      </c>
      <c r="P374" s="67" t="str">
        <f ca="1">IF(Proc[[#This Row],[DaysAgeing]]&gt;5,"yep","on track")</f>
        <v>yep</v>
      </c>
      <c r="Q374" s="3">
        <f ca="1">IF(Proc[[#This Row],[DateClosed]]="",ABS(NETWORKDAYS(Proc[[#This Row],[DateOpened]],TODAY()))-1,ABS(NETWORKDAYS(Proc[[#This Row],[DateOpened]],Proc[[#This Row],[DateClosed]]))-1)</f>
        <v>15</v>
      </c>
      <c r="R374" s="67" t="s">
        <v>1459</v>
      </c>
      <c r="S374" s="60"/>
    </row>
    <row r="375" spans="1:19" hidden="1">
      <c r="A375" s="62" t="s">
        <v>1717</v>
      </c>
      <c r="B375" s="149" t="str">
        <f>IFERROR(VLOOKUP(Proc[[#This Row],[App]],Table2[],3,0),"open")</f>
        <v>ok</v>
      </c>
      <c r="C375" s="62" t="s">
        <v>369</v>
      </c>
      <c r="D375" t="s">
        <v>437</v>
      </c>
      <c r="E375" t="s">
        <v>1232</v>
      </c>
      <c r="F375" s="117" t="s">
        <v>1232</v>
      </c>
      <c r="G375" s="62" t="s">
        <v>400</v>
      </c>
      <c r="H375" s="60" t="str">
        <f>IF(Proc[[#This Row],[type]]="LFF (MDG-F)",MID(Proc[[#This Row],[Obj]],13,10),"")</f>
        <v/>
      </c>
      <c r="J375" s="60" t="b">
        <f>Proc[[#This Row],[Requested]]=Proc[[#This Row],[CurrentParent]]</f>
        <v>1</v>
      </c>
      <c r="K375" s="144" t="str">
        <f>IF(Proc[[#This Row],[Author]]="Marcela Urrego",VLOOKUP(LEFT(Proc[[#This Row],[Requested]],1),Table3[#All],2,0),VLOOKUP(Proc[[#This Row],[Author]],Table4[],2,0))</f>
        <v>MGF</v>
      </c>
      <c r="L375" s="60" t="s">
        <v>509</v>
      </c>
      <c r="M375" s="71">
        <v>45691.694965277777</v>
      </c>
      <c r="N375" s="71">
        <v>45712</v>
      </c>
      <c r="O375" s="71">
        <v>45712</v>
      </c>
      <c r="P375" s="67" t="str">
        <f ca="1">IF(Proc[[#This Row],[DaysAgeing]]&gt;5,"yep","on track")</f>
        <v>yep</v>
      </c>
      <c r="Q375" s="3">
        <f ca="1">IF(Proc[[#This Row],[DateClosed]]="",ABS(NETWORKDAYS(Proc[[#This Row],[DateOpened]],TODAY()))-1,ABS(NETWORKDAYS(Proc[[#This Row],[DateOpened]],Proc[[#This Row],[DateClosed]]))-1)</f>
        <v>15</v>
      </c>
      <c r="R375" s="67" t="s">
        <v>1459</v>
      </c>
      <c r="S375" s="60"/>
    </row>
    <row r="376" spans="1:19" hidden="1">
      <c r="A376" s="62" t="s">
        <v>1717</v>
      </c>
      <c r="B376" s="149" t="str">
        <f>IFERROR(VLOOKUP(Proc[[#This Row],[App]],Table2[],3,0),"open")</f>
        <v>ok</v>
      </c>
      <c r="C376" s="62" t="s">
        <v>369</v>
      </c>
      <c r="D376" t="s">
        <v>439</v>
      </c>
      <c r="E376" t="s">
        <v>1232</v>
      </c>
      <c r="F376" s="117" t="s">
        <v>1232</v>
      </c>
      <c r="G376" s="62" t="s">
        <v>400</v>
      </c>
      <c r="H376" s="60" t="str">
        <f>IF(Proc[[#This Row],[type]]="LFF (MDG-F)",MID(Proc[[#This Row],[Obj]],13,10),"")</f>
        <v/>
      </c>
      <c r="J376" s="60" t="b">
        <f>Proc[[#This Row],[Requested]]=Proc[[#This Row],[CurrentParent]]</f>
        <v>1</v>
      </c>
      <c r="K376" s="144" t="str">
        <f>IF(Proc[[#This Row],[Author]]="Marcela Urrego",VLOOKUP(LEFT(Proc[[#This Row],[Requested]],1),Table3[#All],2,0),VLOOKUP(Proc[[#This Row],[Author]],Table4[],2,0))</f>
        <v>MGF</v>
      </c>
      <c r="L376" s="60" t="s">
        <v>509</v>
      </c>
      <c r="M376" s="71">
        <v>45691.694965277777</v>
      </c>
      <c r="N376" s="71">
        <v>45712</v>
      </c>
      <c r="O376" s="71">
        <v>45712</v>
      </c>
      <c r="P376" s="67" t="str">
        <f ca="1">IF(Proc[[#This Row],[DaysAgeing]]&gt;5,"yep","on track")</f>
        <v>yep</v>
      </c>
      <c r="Q376" s="3">
        <f ca="1">IF(Proc[[#This Row],[DateClosed]]="",ABS(NETWORKDAYS(Proc[[#This Row],[DateOpened]],TODAY()))-1,ABS(NETWORKDAYS(Proc[[#This Row],[DateOpened]],Proc[[#This Row],[DateClosed]]))-1)</f>
        <v>15</v>
      </c>
      <c r="R376" s="67" t="s">
        <v>1459</v>
      </c>
      <c r="S376" s="60"/>
    </row>
    <row r="377" spans="1:19" hidden="1">
      <c r="A377" s="62" t="s">
        <v>1717</v>
      </c>
      <c r="B377" s="149" t="str">
        <f>IFERROR(VLOOKUP(Proc[[#This Row],[App]],Table2[],3,0),"open")</f>
        <v>ok</v>
      </c>
      <c r="C377" s="62" t="s">
        <v>369</v>
      </c>
      <c r="D377" t="s">
        <v>1718</v>
      </c>
      <c r="E377" t="s">
        <v>1232</v>
      </c>
      <c r="F377" s="117" t="s">
        <v>1232</v>
      </c>
      <c r="G377" s="62" t="s">
        <v>406</v>
      </c>
      <c r="H377" s="60" t="str">
        <f>IF(Proc[[#This Row],[type]]="LFF (MDG-F)",MID(Proc[[#This Row],[Obj]],13,10),"")</f>
        <v>2029GIT00M</v>
      </c>
      <c r="J377" s="60" t="b">
        <f>Proc[[#This Row],[Requested]]=Proc[[#This Row],[CurrentParent]]</f>
        <v>1</v>
      </c>
      <c r="K377" s="144" t="str">
        <f>IF(Proc[[#This Row],[Author]]="Marcela Urrego",VLOOKUP(LEFT(Proc[[#This Row],[Requested]],1),Table3[#All],2,0),VLOOKUP(Proc[[#This Row],[Author]],Table4[],2,0))</f>
        <v>MGF</v>
      </c>
      <c r="L377" s="60" t="s">
        <v>509</v>
      </c>
      <c r="M377" s="71">
        <v>45691.694965277777</v>
      </c>
      <c r="N377" s="71">
        <v>45712</v>
      </c>
      <c r="O377" s="71">
        <v>45712</v>
      </c>
      <c r="P377" s="67" t="str">
        <f ca="1">IF(Proc[[#This Row],[DaysAgeing]]&gt;5,"yep","on track")</f>
        <v>yep</v>
      </c>
      <c r="Q377" s="3">
        <f ca="1">IF(Proc[[#This Row],[DateClosed]]="",ABS(NETWORKDAYS(Proc[[#This Row],[DateOpened]],TODAY()))-1,ABS(NETWORKDAYS(Proc[[#This Row],[DateOpened]],Proc[[#This Row],[DateClosed]]))-1)</f>
        <v>15</v>
      </c>
      <c r="R377" s="67" t="s">
        <v>1459</v>
      </c>
      <c r="S377" s="60"/>
    </row>
    <row r="378" spans="1:19" hidden="1">
      <c r="A378" s="62" t="s">
        <v>1717</v>
      </c>
      <c r="B378" s="149" t="str">
        <f>IFERROR(VLOOKUP(Proc[[#This Row],[App]],Table2[],3,0),"open")</f>
        <v>ok</v>
      </c>
      <c r="C378" s="62" t="s">
        <v>369</v>
      </c>
      <c r="D378" t="s">
        <v>438</v>
      </c>
      <c r="E378" t="s">
        <v>1232</v>
      </c>
      <c r="F378" s="117" t="s">
        <v>1232</v>
      </c>
      <c r="G378" s="62" t="s">
        <v>400</v>
      </c>
      <c r="H378" s="60" t="str">
        <f>IF(Proc[[#This Row],[type]]="LFF (MDG-F)",MID(Proc[[#This Row],[Obj]],13,10),"")</f>
        <v/>
      </c>
      <c r="J378" s="60" t="b">
        <f>Proc[[#This Row],[Requested]]=Proc[[#This Row],[CurrentParent]]</f>
        <v>1</v>
      </c>
      <c r="K378" s="144" t="str">
        <f>IF(Proc[[#This Row],[Author]]="Marcela Urrego",VLOOKUP(LEFT(Proc[[#This Row],[Requested]],1),Table3[#All],2,0),VLOOKUP(Proc[[#This Row],[Author]],Table4[],2,0))</f>
        <v>MGF</v>
      </c>
      <c r="L378" s="60" t="s">
        <v>509</v>
      </c>
      <c r="M378" s="71">
        <v>45691.694965277777</v>
      </c>
      <c r="N378" s="71">
        <v>45712</v>
      </c>
      <c r="O378" s="71">
        <v>45712</v>
      </c>
      <c r="P378" s="67" t="str">
        <f ca="1">IF(Proc[[#This Row],[DaysAgeing]]&gt;5,"yep","on track")</f>
        <v>yep</v>
      </c>
      <c r="Q378" s="3">
        <f ca="1">IF(Proc[[#This Row],[DateClosed]]="",ABS(NETWORKDAYS(Proc[[#This Row],[DateOpened]],TODAY()))-1,ABS(NETWORKDAYS(Proc[[#This Row],[DateOpened]],Proc[[#This Row],[DateClosed]]))-1)</f>
        <v>15</v>
      </c>
      <c r="R378" s="67" t="s">
        <v>1459</v>
      </c>
      <c r="S378" s="60"/>
    </row>
    <row r="379" spans="1:19" hidden="1">
      <c r="A379" s="62" t="s">
        <v>1717</v>
      </c>
      <c r="B379" s="149" t="str">
        <f>IFERROR(VLOOKUP(Proc[[#This Row],[App]],Table2[],3,0),"open")</f>
        <v>ok</v>
      </c>
      <c r="C379" s="62" t="s">
        <v>369</v>
      </c>
      <c r="D379" t="s">
        <v>434</v>
      </c>
      <c r="E379" t="s">
        <v>1232</v>
      </c>
      <c r="F379" s="117" t="s">
        <v>1232</v>
      </c>
      <c r="G379" s="62" t="s">
        <v>400</v>
      </c>
      <c r="H379" s="60" t="str">
        <f>IF(Proc[[#This Row],[type]]="LFF (MDG-F)",MID(Proc[[#This Row],[Obj]],13,10),"")</f>
        <v/>
      </c>
      <c r="J379" s="60" t="b">
        <f>Proc[[#This Row],[Requested]]=Proc[[#This Row],[CurrentParent]]</f>
        <v>1</v>
      </c>
      <c r="K379" s="144" t="str">
        <f>IF(Proc[[#This Row],[Author]]="Marcela Urrego",VLOOKUP(LEFT(Proc[[#This Row],[Requested]],1),Table3[#All],2,0),VLOOKUP(Proc[[#This Row],[Author]],Table4[],2,0))</f>
        <v>MGF</v>
      </c>
      <c r="L379" s="60" t="s">
        <v>509</v>
      </c>
      <c r="M379" s="71">
        <v>45691.694965277777</v>
      </c>
      <c r="N379" s="71">
        <v>45712</v>
      </c>
      <c r="O379" s="71">
        <v>45712</v>
      </c>
      <c r="P379" s="67" t="str">
        <f ca="1">IF(Proc[[#This Row],[DaysAgeing]]&gt;5,"yep","on track")</f>
        <v>yep</v>
      </c>
      <c r="Q379" s="3">
        <f ca="1">IF(Proc[[#This Row],[DateClosed]]="",ABS(NETWORKDAYS(Proc[[#This Row],[DateOpened]],TODAY()))-1,ABS(NETWORKDAYS(Proc[[#This Row],[DateOpened]],Proc[[#This Row],[DateClosed]]))-1)</f>
        <v>15</v>
      </c>
      <c r="R379" s="67" t="s">
        <v>1459</v>
      </c>
      <c r="S379" s="60"/>
    </row>
    <row r="380" spans="1:19" hidden="1">
      <c r="A380" s="62" t="s">
        <v>1717</v>
      </c>
      <c r="B380" s="149" t="str">
        <f>IFERROR(VLOOKUP(Proc[[#This Row],[App]],Table2[],3,0),"open")</f>
        <v>ok</v>
      </c>
      <c r="C380" s="62" t="s">
        <v>369</v>
      </c>
      <c r="D380" t="s">
        <v>435</v>
      </c>
      <c r="E380" t="s">
        <v>1232</v>
      </c>
      <c r="F380" s="117" t="s">
        <v>1232</v>
      </c>
      <c r="G380" s="62" t="s">
        <v>400</v>
      </c>
      <c r="H380" s="60" t="str">
        <f>IF(Proc[[#This Row],[type]]="LFF (MDG-F)",MID(Proc[[#This Row],[Obj]],13,10),"")</f>
        <v/>
      </c>
      <c r="J380" s="60" t="b">
        <f>Proc[[#This Row],[Requested]]=Proc[[#This Row],[CurrentParent]]</f>
        <v>1</v>
      </c>
      <c r="K380" s="144" t="str">
        <f>IF(Proc[[#This Row],[Author]]="Marcela Urrego",VLOOKUP(LEFT(Proc[[#This Row],[Requested]],1),Table3[#All],2,0),VLOOKUP(Proc[[#This Row],[Author]],Table4[],2,0))</f>
        <v>MGF</v>
      </c>
      <c r="L380" s="60" t="s">
        <v>509</v>
      </c>
      <c r="M380" s="71">
        <v>45691.694965277777</v>
      </c>
      <c r="N380" s="71">
        <v>45712</v>
      </c>
      <c r="O380" s="71">
        <v>45712</v>
      </c>
      <c r="P380" s="67" t="str">
        <f ca="1">IF(Proc[[#This Row],[DaysAgeing]]&gt;5,"yep","on track")</f>
        <v>yep</v>
      </c>
      <c r="Q380" s="3">
        <f ca="1">IF(Proc[[#This Row],[DateClosed]]="",ABS(NETWORKDAYS(Proc[[#This Row],[DateOpened]],TODAY()))-1,ABS(NETWORKDAYS(Proc[[#This Row],[DateOpened]],Proc[[#This Row],[DateClosed]]))-1)</f>
        <v>15</v>
      </c>
      <c r="R380" s="67" t="s">
        <v>1459</v>
      </c>
      <c r="S380" s="60"/>
    </row>
    <row r="381" spans="1:19" hidden="1">
      <c r="A381" s="62" t="s">
        <v>1717</v>
      </c>
      <c r="B381" s="149" t="str">
        <f>IFERROR(VLOOKUP(Proc[[#This Row],[App]],Table2[],3,0),"open")</f>
        <v>ok</v>
      </c>
      <c r="C381" s="62" t="s">
        <v>369</v>
      </c>
      <c r="D381" t="s">
        <v>436</v>
      </c>
      <c r="E381" t="s">
        <v>1232</v>
      </c>
      <c r="F381" s="117" t="s">
        <v>1232</v>
      </c>
      <c r="G381" s="62" t="s">
        <v>400</v>
      </c>
      <c r="H381" s="60" t="str">
        <f>IF(Proc[[#This Row],[type]]="LFF (MDG-F)",MID(Proc[[#This Row],[Obj]],13,10),"")</f>
        <v/>
      </c>
      <c r="J381" s="60" t="b">
        <f>Proc[[#This Row],[Requested]]=Proc[[#This Row],[CurrentParent]]</f>
        <v>1</v>
      </c>
      <c r="K381" s="144" t="str">
        <f>IF(Proc[[#This Row],[Author]]="Marcela Urrego",VLOOKUP(LEFT(Proc[[#This Row],[Requested]],1),Table3[#All],2,0),VLOOKUP(Proc[[#This Row],[Author]],Table4[],2,0))</f>
        <v>MGF</v>
      </c>
      <c r="L381" s="60" t="s">
        <v>509</v>
      </c>
      <c r="M381" s="71">
        <v>45691.694965277777</v>
      </c>
      <c r="N381" s="71">
        <v>45712</v>
      </c>
      <c r="O381" s="71">
        <v>45712</v>
      </c>
      <c r="P381" s="67" t="str">
        <f ca="1">IF(Proc[[#This Row],[DaysAgeing]]&gt;5,"yep","on track")</f>
        <v>yep</v>
      </c>
      <c r="Q381" s="3">
        <f ca="1">IF(Proc[[#This Row],[DateClosed]]="",ABS(NETWORKDAYS(Proc[[#This Row],[DateOpened]],TODAY()))-1,ABS(NETWORKDAYS(Proc[[#This Row],[DateOpened]],Proc[[#This Row],[DateClosed]]))-1)</f>
        <v>15</v>
      </c>
      <c r="R381" s="67" t="s">
        <v>1459</v>
      </c>
      <c r="S381" s="60"/>
    </row>
    <row r="382" spans="1:19" hidden="1">
      <c r="A382" t="s">
        <v>1717</v>
      </c>
      <c r="B382" s="149" t="str">
        <f>IFERROR(VLOOKUP(Proc[[#This Row],[App]],Table2[],3,0),"open")</f>
        <v>ok</v>
      </c>
      <c r="C382" s="62" t="s">
        <v>369</v>
      </c>
      <c r="D382" t="s">
        <v>433</v>
      </c>
      <c r="E382" t="s">
        <v>1232</v>
      </c>
      <c r="F382" s="117" t="s">
        <v>1232</v>
      </c>
      <c r="G382" s="62" t="s">
        <v>406</v>
      </c>
      <c r="H382" s="60" t="str">
        <f>IF(Proc[[#This Row],[type]]="LFF (MDG-F)",MID(Proc[[#This Row],[Obj]],13,10),"")</f>
        <v>2123GIT094</v>
      </c>
      <c r="J382" s="60" t="b">
        <f>Proc[[#This Row],[Requested]]=Proc[[#This Row],[CurrentParent]]</f>
        <v>1</v>
      </c>
      <c r="K382" s="144" t="str">
        <f>IF(Proc[[#This Row],[Author]]="Marcela Urrego",VLOOKUP(LEFT(Proc[[#This Row],[Requested]],1),Table3[#All],2,0),VLOOKUP(Proc[[#This Row],[Author]],Table4[],2,0))</f>
        <v>MGF</v>
      </c>
      <c r="L382" s="60" t="s">
        <v>509</v>
      </c>
      <c r="M382" s="71">
        <v>45691.694965277777</v>
      </c>
      <c r="N382" s="71">
        <v>45712</v>
      </c>
      <c r="O382" s="71">
        <v>45712</v>
      </c>
      <c r="P382" s="67" t="str">
        <f ca="1">IF(Proc[[#This Row],[DaysAgeing]]&gt;5,"yep","on track")</f>
        <v>yep</v>
      </c>
      <c r="Q382" s="3">
        <f ca="1">IF(Proc[[#This Row],[DateClosed]]="",ABS(NETWORKDAYS(Proc[[#This Row],[DateOpened]],TODAY()))-1,ABS(NETWORKDAYS(Proc[[#This Row],[DateOpened]],Proc[[#This Row],[DateClosed]]))-1)</f>
        <v>15</v>
      </c>
      <c r="R382" s="67" t="s">
        <v>1459</v>
      </c>
      <c r="S382" s="60"/>
    </row>
    <row r="383" spans="1:19" hidden="1">
      <c r="A383" t="s">
        <v>1746</v>
      </c>
      <c r="B383" s="149" t="str">
        <f>IFERROR(VLOOKUP(Proc[[#This Row],[App]],Table2[],3,0),"open")</f>
        <v>ok</v>
      </c>
      <c r="C383" t="s">
        <v>377</v>
      </c>
      <c r="D383" t="s">
        <v>1747</v>
      </c>
      <c r="E383" t="s">
        <v>497</v>
      </c>
      <c r="F383" s="103" t="s">
        <v>497</v>
      </c>
      <c r="G383" s="62" t="s">
        <v>406</v>
      </c>
      <c r="H383" s="60" t="str">
        <f>IF(Proc[[#This Row],[type]]="LFF (MDG-F)",MID(Proc[[#This Row],[Obj]],13,10),"")</f>
        <v>DE10GT8764</v>
      </c>
      <c r="I383" t="s">
        <v>822</v>
      </c>
      <c r="J383" s="60" t="b">
        <f>Proc[[#This Row],[Requested]]=Proc[[#This Row],[CurrentParent]]</f>
        <v>1</v>
      </c>
      <c r="K383" s="144" t="str">
        <f>IF(Proc[[#This Row],[Author]]="Marcela Urrego",VLOOKUP(LEFT(Proc[[#This Row],[Requested]],1),Table3[#All],2,0),VLOOKUP(Proc[[#This Row],[Author]],Table4[],2,0))</f>
        <v>LS</v>
      </c>
      <c r="L383" s="60" t="s">
        <v>509</v>
      </c>
      <c r="M383" s="71">
        <v>45692.314629629633</v>
      </c>
      <c r="O383" s="71">
        <v>45693</v>
      </c>
      <c r="P383" s="67" t="str">
        <f ca="1">IF(Proc[[#This Row],[DaysAgeing]]&gt;5,"yep","on track")</f>
        <v>on track</v>
      </c>
      <c r="Q383" s="3">
        <f ca="1">IF(Proc[[#This Row],[DateClosed]]="",ABS(NETWORKDAYS(Proc[[#This Row],[DateOpened]],TODAY()))-1,ABS(NETWORKDAYS(Proc[[#This Row],[DateOpened]],Proc[[#This Row],[DateClosed]]))-1)</f>
        <v>1</v>
      </c>
      <c r="R383" s="67" t="s">
        <v>972</v>
      </c>
      <c r="S383" s="94" t="e">
        <f>VLOOKUP(Proc[[#This Row],[Obj]],#REF!,2,0)</f>
        <v>#REF!</v>
      </c>
    </row>
    <row r="384" spans="1:19" hidden="1">
      <c r="A384" s="62" t="s">
        <v>1746</v>
      </c>
      <c r="B384" s="149" t="str">
        <f>IFERROR(VLOOKUP(Proc[[#This Row],[App]],Table2[],3,0),"open")</f>
        <v>ok</v>
      </c>
      <c r="C384" s="62" t="s">
        <v>369</v>
      </c>
      <c r="D384" t="s">
        <v>1748</v>
      </c>
      <c r="E384" t="s">
        <v>497</v>
      </c>
      <c r="F384" s="117" t="s">
        <v>497</v>
      </c>
      <c r="G384" s="62" t="s">
        <v>400</v>
      </c>
      <c r="H384" s="60" t="str">
        <f>IF(Proc[[#This Row],[type]]="LFF (MDG-F)",MID(Proc[[#This Row],[Obj]],13,10),"")</f>
        <v/>
      </c>
      <c r="J384" s="60" t="b">
        <f>Proc[[#This Row],[Requested]]=Proc[[#This Row],[CurrentParent]]</f>
        <v>1</v>
      </c>
      <c r="K384" s="144" t="str">
        <f>IF(Proc[[#This Row],[Author]]="Marcela Urrego",VLOOKUP(LEFT(Proc[[#This Row],[Requested]],1),Table3[#All],2,0),VLOOKUP(Proc[[#This Row],[Author]],Table4[],2,0))</f>
        <v>LS</v>
      </c>
      <c r="L384" s="60" t="s">
        <v>509</v>
      </c>
      <c r="M384" s="71">
        <v>45692.314629629633</v>
      </c>
      <c r="N384" s="71">
        <v>45693</v>
      </c>
      <c r="O384" s="71">
        <v>45693</v>
      </c>
      <c r="P384" s="67" t="str">
        <f ca="1">IF(Proc[[#This Row],[DaysAgeing]]&gt;5,"yep","on track")</f>
        <v>on track</v>
      </c>
      <c r="Q384" s="3">
        <f ca="1">IF(Proc[[#This Row],[DateClosed]]="",ABS(NETWORKDAYS(Proc[[#This Row],[DateOpened]],TODAY()))-1,ABS(NETWORKDAYS(Proc[[#This Row],[DateOpened]],Proc[[#This Row],[DateClosed]]))-1)</f>
        <v>1</v>
      </c>
      <c r="R384" s="67" t="s">
        <v>972</v>
      </c>
      <c r="S384" s="60"/>
    </row>
    <row r="385" spans="1:19" hidden="1">
      <c r="A385" s="62" t="s">
        <v>1746</v>
      </c>
      <c r="B385" s="149" t="str">
        <f>IFERROR(VLOOKUP(Proc[[#This Row],[App]],Table2[],3,0),"open")</f>
        <v>ok</v>
      </c>
      <c r="C385" s="62" t="s">
        <v>369</v>
      </c>
      <c r="D385" t="s">
        <v>1749</v>
      </c>
      <c r="E385" t="s">
        <v>447</v>
      </c>
      <c r="F385" s="117" t="s">
        <v>447</v>
      </c>
      <c r="G385" s="62" t="s">
        <v>400</v>
      </c>
      <c r="H385" s="60" t="str">
        <f>IF(Proc[[#This Row],[type]]="LFF (MDG-F)",MID(Proc[[#This Row],[Obj]],13,10),"")</f>
        <v/>
      </c>
      <c r="J385" s="60" t="b">
        <f>Proc[[#This Row],[Requested]]=Proc[[#This Row],[CurrentParent]]</f>
        <v>1</v>
      </c>
      <c r="K385" s="144" t="str">
        <f>IF(Proc[[#This Row],[Author]]="Marcela Urrego",VLOOKUP(LEFT(Proc[[#This Row],[Requested]],1),Table3[#All],2,0),VLOOKUP(Proc[[#This Row],[Author]],Table4[],2,0))</f>
        <v>LS</v>
      </c>
      <c r="L385" s="60" t="s">
        <v>509</v>
      </c>
      <c r="M385" s="71">
        <v>45692.314629629633</v>
      </c>
      <c r="N385" s="71">
        <v>45693</v>
      </c>
      <c r="O385" s="71">
        <v>45693</v>
      </c>
      <c r="P385" s="67" t="str">
        <f ca="1">IF(Proc[[#This Row],[DaysAgeing]]&gt;5,"yep","on track")</f>
        <v>on track</v>
      </c>
      <c r="Q385" s="3">
        <f ca="1">IF(Proc[[#This Row],[DateClosed]]="",ABS(NETWORKDAYS(Proc[[#This Row],[DateOpened]],TODAY()))-1,ABS(NETWORKDAYS(Proc[[#This Row],[DateOpened]],Proc[[#This Row],[DateClosed]]))-1)</f>
        <v>1</v>
      </c>
      <c r="R385" s="67" t="s">
        <v>972</v>
      </c>
      <c r="S385" s="60"/>
    </row>
    <row r="386" spans="1:19" hidden="1">
      <c r="A386" s="62" t="s">
        <v>1746</v>
      </c>
      <c r="B386" s="149" t="str">
        <f>IFERROR(VLOOKUP(Proc[[#This Row],[App]],Table2[],3,0),"open")</f>
        <v>ok</v>
      </c>
      <c r="C386" s="62" t="s">
        <v>369</v>
      </c>
      <c r="D386" t="s">
        <v>1750</v>
      </c>
      <c r="E386" t="s">
        <v>524</v>
      </c>
      <c r="F386" s="117" t="s">
        <v>524</v>
      </c>
      <c r="G386" s="62" t="s">
        <v>400</v>
      </c>
      <c r="H386" s="60" t="str">
        <f>IF(Proc[[#This Row],[type]]="LFF (MDG-F)",MID(Proc[[#This Row],[Obj]],13,10),"")</f>
        <v/>
      </c>
      <c r="J386" s="60" t="b">
        <f>Proc[[#This Row],[Requested]]=Proc[[#This Row],[CurrentParent]]</f>
        <v>1</v>
      </c>
      <c r="K386" s="144" t="str">
        <f>IF(Proc[[#This Row],[Author]]="Marcela Urrego",VLOOKUP(LEFT(Proc[[#This Row],[Requested]],1),Table3[#All],2,0),VLOOKUP(Proc[[#This Row],[Author]],Table4[],2,0))</f>
        <v>LS</v>
      </c>
      <c r="L386" s="60" t="s">
        <v>509</v>
      </c>
      <c r="M386" s="71">
        <v>45692.314629629633</v>
      </c>
      <c r="N386" s="71">
        <v>45693</v>
      </c>
      <c r="O386" s="71">
        <v>45693</v>
      </c>
      <c r="P386" s="67" t="str">
        <f ca="1">IF(Proc[[#This Row],[DaysAgeing]]&gt;5,"yep","on track")</f>
        <v>on track</v>
      </c>
      <c r="Q386" s="3">
        <f ca="1">IF(Proc[[#This Row],[DateClosed]]="",ABS(NETWORKDAYS(Proc[[#This Row],[DateOpened]],TODAY()))-1,ABS(NETWORKDAYS(Proc[[#This Row],[DateOpened]],Proc[[#This Row],[DateClosed]]))-1)</f>
        <v>1</v>
      </c>
      <c r="R386" s="67" t="s">
        <v>972</v>
      </c>
      <c r="S386" s="60"/>
    </row>
    <row r="387" spans="1:19" hidden="1">
      <c r="A387" s="62" t="s">
        <v>1744</v>
      </c>
      <c r="B387" s="149" t="str">
        <f>IFERROR(VLOOKUP(Proc[[#This Row],[App]],Table2[],3,0),"open")</f>
        <v>ok</v>
      </c>
      <c r="C387" s="62" t="s">
        <v>369</v>
      </c>
      <c r="D387" t="s">
        <v>1745</v>
      </c>
      <c r="E387" t="s">
        <v>493</v>
      </c>
      <c r="F387" s="117" t="s">
        <v>493</v>
      </c>
      <c r="G387" s="62" t="s">
        <v>400</v>
      </c>
      <c r="H387" s="60" t="str">
        <f>IF(Proc[[#This Row],[type]]="LFF (MDG-F)",MID(Proc[[#This Row],[Obj]],13,10),"")</f>
        <v/>
      </c>
      <c r="J387" s="60" t="b">
        <f>Proc[[#This Row],[Requested]]=Proc[[#This Row],[CurrentParent]]</f>
        <v>1</v>
      </c>
      <c r="K387" s="144" t="str">
        <f>IF(Proc[[#This Row],[Author]]="Marcela Urrego",VLOOKUP(LEFT(Proc[[#This Row],[Requested]],1),Table3[#All],2,0),VLOOKUP(Proc[[#This Row],[Author]],Table4[],2,0))</f>
        <v>HC</v>
      </c>
      <c r="L387" s="60" t="s">
        <v>509</v>
      </c>
      <c r="M387" s="71">
        <v>45692.351273148146</v>
      </c>
      <c r="N387" s="71">
        <v>45693</v>
      </c>
      <c r="O387" s="71">
        <v>45693</v>
      </c>
      <c r="P387" s="67" t="str">
        <f ca="1">IF(Proc[[#This Row],[DaysAgeing]]&gt;5,"yep","on track")</f>
        <v>on track</v>
      </c>
      <c r="Q387" s="3">
        <f ca="1">IF(Proc[[#This Row],[DateClosed]]="",ABS(NETWORKDAYS(Proc[[#This Row],[DateOpened]],TODAY()))-1,ABS(NETWORKDAYS(Proc[[#This Row],[DateOpened]],Proc[[#This Row],[DateClosed]]))-1)</f>
        <v>1</v>
      </c>
      <c r="R387" s="67" t="s">
        <v>410</v>
      </c>
      <c r="S387" s="60"/>
    </row>
    <row r="388" spans="1:19" hidden="1">
      <c r="A388" s="62" t="s">
        <v>1743</v>
      </c>
      <c r="B388" s="149" t="str">
        <f>IFERROR(VLOOKUP(Proc[[#This Row],[App]],Table2[],3,0),"open")</f>
        <v>ok</v>
      </c>
      <c r="C388" s="62" t="s">
        <v>377</v>
      </c>
      <c r="D388" t="s">
        <v>1721</v>
      </c>
      <c r="E388" t="s">
        <v>631</v>
      </c>
      <c r="F388" s="103" t="s">
        <v>631</v>
      </c>
      <c r="G388" s="62" t="s">
        <v>406</v>
      </c>
      <c r="H388" s="60" t="str">
        <f>IF(Proc[[#This Row],[type]]="LFF (MDG-F)",MID(Proc[[#This Row],[Obj]],13,10),"")</f>
        <v>DE20538290</v>
      </c>
      <c r="I388" t="s">
        <v>446</v>
      </c>
      <c r="J388" s="60" t="b">
        <f>Proc[[#This Row],[Requested]]=Proc[[#This Row],[CurrentParent]]</f>
        <v>1</v>
      </c>
      <c r="K388" s="144" t="str">
        <f>IF(Proc[[#This Row],[Author]]="Marcela Urrego",VLOOKUP(LEFT(Proc[[#This Row],[Requested]],1),Table3[#All],2,0),VLOOKUP(Proc[[#This Row],[Author]],Table4[],2,0))</f>
        <v>MGF</v>
      </c>
      <c r="L388" s="60" t="s">
        <v>509</v>
      </c>
      <c r="M388" s="71">
        <v>45692.46533564815</v>
      </c>
      <c r="P388" s="67" t="str">
        <f ca="1">IF(Proc[[#This Row],[DaysAgeing]]&gt;5,"yep","on track")</f>
        <v>yep</v>
      </c>
      <c r="Q388" s="3">
        <f ca="1">IF(Proc[[#This Row],[DateClosed]]="",ABS(NETWORKDAYS(Proc[[#This Row],[DateOpened]],TODAY()))-1,ABS(NETWORKDAYS(Proc[[#This Row],[DateOpened]],Proc[[#This Row],[DateClosed]]))-1)</f>
        <v>228</v>
      </c>
      <c r="R388" s="67" t="s">
        <v>549</v>
      </c>
      <c r="S388" s="94" t="e">
        <f>VLOOKUP(Proc[[#This Row],[Obj]],#REF!,2,0)</f>
        <v>#REF!</v>
      </c>
    </row>
    <row r="389" spans="1:19" hidden="1">
      <c r="A389" s="62" t="s">
        <v>1743</v>
      </c>
      <c r="B389" s="149" t="str">
        <f>IFERROR(VLOOKUP(Proc[[#This Row],[App]],Table2[],3,0),"open")</f>
        <v>ok</v>
      </c>
      <c r="C389" s="62" t="s">
        <v>369</v>
      </c>
      <c r="D389" t="s">
        <v>559</v>
      </c>
      <c r="E389" t="s">
        <v>631</v>
      </c>
      <c r="F389" s="117" t="s">
        <v>631</v>
      </c>
      <c r="G389" s="62" t="s">
        <v>406</v>
      </c>
      <c r="H389" s="60" t="str">
        <f>IF(Proc[[#This Row],[type]]="LFF (MDG-F)",MID(Proc[[#This Row],[Obj]],13,10),"")</f>
        <v>DE10598000</v>
      </c>
      <c r="J389" s="60" t="b">
        <f>Proc[[#This Row],[Requested]]=Proc[[#This Row],[CurrentParent]]</f>
        <v>1</v>
      </c>
      <c r="K389" s="144" t="str">
        <f>IF(Proc[[#This Row],[Author]]="Marcela Urrego",VLOOKUP(LEFT(Proc[[#This Row],[Requested]],1),Table3[#All],2,0),VLOOKUP(Proc[[#This Row],[Author]],Table4[],2,0))</f>
        <v>MGF</v>
      </c>
      <c r="L389" s="60" t="s">
        <v>509</v>
      </c>
      <c r="M389" s="71">
        <v>45692.46533564815</v>
      </c>
      <c r="P389" s="67" t="str">
        <f ca="1">IF(Proc[[#This Row],[DaysAgeing]]&gt;5,"yep","on track")</f>
        <v>yep</v>
      </c>
      <c r="Q389" s="3">
        <f ca="1">IF(Proc[[#This Row],[DateClosed]]="",ABS(NETWORKDAYS(Proc[[#This Row],[DateOpened]],TODAY()))-1,ABS(NETWORKDAYS(Proc[[#This Row],[DateOpened]],Proc[[#This Row],[DateClosed]]))-1)</f>
        <v>228</v>
      </c>
      <c r="R389" s="67" t="s">
        <v>549</v>
      </c>
      <c r="S389" s="60"/>
    </row>
    <row r="390" spans="1:19" hidden="1">
      <c r="A390" s="62" t="s">
        <v>1743</v>
      </c>
      <c r="B390" s="149" t="str">
        <f>IFERROR(VLOOKUP(Proc[[#This Row],[App]],Table2[],3,0),"open")</f>
        <v>ok</v>
      </c>
      <c r="C390" s="62" t="s">
        <v>369</v>
      </c>
      <c r="D390" t="s">
        <v>560</v>
      </c>
      <c r="E390" t="s">
        <v>631</v>
      </c>
      <c r="F390" s="117" t="s">
        <v>631</v>
      </c>
      <c r="G390" s="62" t="s">
        <v>406</v>
      </c>
      <c r="H390" s="60" t="str">
        <f>IF(Proc[[#This Row],[type]]="LFF (MDG-F)",MID(Proc[[#This Row],[Obj]],13,10),"")</f>
        <v>DE10598100</v>
      </c>
      <c r="J390" s="60" t="b">
        <f>Proc[[#This Row],[Requested]]=Proc[[#This Row],[CurrentParent]]</f>
        <v>1</v>
      </c>
      <c r="K390" s="144" t="str">
        <f>IF(Proc[[#This Row],[Author]]="Marcela Urrego",VLOOKUP(LEFT(Proc[[#This Row],[Requested]],1),Table3[#All],2,0),VLOOKUP(Proc[[#This Row],[Author]],Table4[],2,0))</f>
        <v>MGF</v>
      </c>
      <c r="L390" s="60" t="s">
        <v>509</v>
      </c>
      <c r="M390" s="71">
        <v>45692.46533564815</v>
      </c>
      <c r="P390" s="67" t="str">
        <f ca="1">IF(Proc[[#This Row],[DaysAgeing]]&gt;5,"yep","on track")</f>
        <v>yep</v>
      </c>
      <c r="Q390" s="3">
        <f ca="1">IF(Proc[[#This Row],[DateClosed]]="",ABS(NETWORKDAYS(Proc[[#This Row],[DateOpened]],TODAY()))-1,ABS(NETWORKDAYS(Proc[[#This Row],[DateOpened]],Proc[[#This Row],[DateClosed]]))-1)</f>
        <v>228</v>
      </c>
      <c r="R390" s="67" t="s">
        <v>549</v>
      </c>
      <c r="S390" s="60"/>
    </row>
    <row r="391" spans="1:19" hidden="1">
      <c r="A391" s="62" t="s">
        <v>1743</v>
      </c>
      <c r="B391" s="149" t="str">
        <f>IFERROR(VLOOKUP(Proc[[#This Row],[App]],Table2[],3,0),"open")</f>
        <v>ok</v>
      </c>
      <c r="C391" s="62" t="s">
        <v>369</v>
      </c>
      <c r="D391" t="s">
        <v>561</v>
      </c>
      <c r="E391" t="s">
        <v>631</v>
      </c>
      <c r="F391" s="117" t="s">
        <v>631</v>
      </c>
      <c r="G391" s="62" t="s">
        <v>406</v>
      </c>
      <c r="H391" s="60" t="str">
        <f>IF(Proc[[#This Row],[type]]="LFF (MDG-F)",MID(Proc[[#This Row],[Obj]],13,10),"")</f>
        <v>DE10598200</v>
      </c>
      <c r="J391" s="60" t="b">
        <f>Proc[[#This Row],[Requested]]=Proc[[#This Row],[CurrentParent]]</f>
        <v>1</v>
      </c>
      <c r="K391" s="144" t="str">
        <f>IF(Proc[[#This Row],[Author]]="Marcela Urrego",VLOOKUP(LEFT(Proc[[#This Row],[Requested]],1),Table3[#All],2,0),VLOOKUP(Proc[[#This Row],[Author]],Table4[],2,0))</f>
        <v>MGF</v>
      </c>
      <c r="L391" s="60" t="s">
        <v>509</v>
      </c>
      <c r="M391" s="71">
        <v>45692.46533564815</v>
      </c>
      <c r="P391" s="67" t="str">
        <f ca="1">IF(Proc[[#This Row],[DaysAgeing]]&gt;5,"yep","on track")</f>
        <v>yep</v>
      </c>
      <c r="Q391" s="3">
        <f ca="1">IF(Proc[[#This Row],[DateClosed]]="",ABS(NETWORKDAYS(Proc[[#This Row],[DateOpened]],TODAY()))-1,ABS(NETWORKDAYS(Proc[[#This Row],[DateOpened]],Proc[[#This Row],[DateClosed]]))-1)</f>
        <v>228</v>
      </c>
      <c r="R391" s="67" t="s">
        <v>549</v>
      </c>
      <c r="S391" s="60"/>
    </row>
    <row r="392" spans="1:19" hidden="1">
      <c r="A392" s="62" t="s">
        <v>1743</v>
      </c>
      <c r="B392" s="149" t="str">
        <f>IFERROR(VLOOKUP(Proc[[#This Row],[App]],Table2[],3,0),"open")</f>
        <v>ok</v>
      </c>
      <c r="C392" s="62" t="s">
        <v>369</v>
      </c>
      <c r="D392" t="s">
        <v>562</v>
      </c>
      <c r="E392" t="s">
        <v>631</v>
      </c>
      <c r="F392" s="117" t="s">
        <v>631</v>
      </c>
      <c r="G392" s="62" t="s">
        <v>406</v>
      </c>
      <c r="H392" s="60" t="str">
        <f>IF(Proc[[#This Row],[type]]="LFF (MDG-F)",MID(Proc[[#This Row],[Obj]],13,10),"")</f>
        <v>DE10598300</v>
      </c>
      <c r="J392" s="60" t="b">
        <f>Proc[[#This Row],[Requested]]=Proc[[#This Row],[CurrentParent]]</f>
        <v>1</v>
      </c>
      <c r="K392" s="144" t="str">
        <f>IF(Proc[[#This Row],[Author]]="Marcela Urrego",VLOOKUP(LEFT(Proc[[#This Row],[Requested]],1),Table3[#All],2,0),VLOOKUP(Proc[[#This Row],[Author]],Table4[],2,0))</f>
        <v>MGF</v>
      </c>
      <c r="L392" s="60" t="s">
        <v>509</v>
      </c>
      <c r="M392" s="71">
        <v>45692.46533564815</v>
      </c>
      <c r="P392" s="67" t="str">
        <f ca="1">IF(Proc[[#This Row],[DaysAgeing]]&gt;5,"yep","on track")</f>
        <v>yep</v>
      </c>
      <c r="Q392" s="3">
        <f ca="1">IF(Proc[[#This Row],[DateClosed]]="",ABS(NETWORKDAYS(Proc[[#This Row],[DateOpened]],TODAY()))-1,ABS(NETWORKDAYS(Proc[[#This Row],[DateOpened]],Proc[[#This Row],[DateClosed]]))-1)</f>
        <v>228</v>
      </c>
      <c r="R392" s="67" t="s">
        <v>549</v>
      </c>
      <c r="S392" s="60"/>
    </row>
    <row r="393" spans="1:19" hidden="1">
      <c r="A393" s="62" t="s">
        <v>1743</v>
      </c>
      <c r="B393" s="149" t="str">
        <f>IFERROR(VLOOKUP(Proc[[#This Row],[App]],Table2[],3,0),"open")</f>
        <v>ok</v>
      </c>
      <c r="C393" s="62" t="s">
        <v>369</v>
      </c>
      <c r="D393" t="s">
        <v>563</v>
      </c>
      <c r="E393" t="s">
        <v>631</v>
      </c>
      <c r="F393" s="117" t="s">
        <v>631</v>
      </c>
      <c r="G393" s="62" t="s">
        <v>406</v>
      </c>
      <c r="H393" s="60" t="str">
        <f>IF(Proc[[#This Row],[type]]="LFF (MDG-F)",MID(Proc[[#This Row],[Obj]],13,10),"")</f>
        <v>DE10598400</v>
      </c>
      <c r="J393" s="60" t="b">
        <f>Proc[[#This Row],[Requested]]=Proc[[#This Row],[CurrentParent]]</f>
        <v>1</v>
      </c>
      <c r="K393" s="144" t="str">
        <f>IF(Proc[[#This Row],[Author]]="Marcela Urrego",VLOOKUP(LEFT(Proc[[#This Row],[Requested]],1),Table3[#All],2,0),VLOOKUP(Proc[[#This Row],[Author]],Table4[],2,0))</f>
        <v>MGF</v>
      </c>
      <c r="L393" s="60" t="s">
        <v>509</v>
      </c>
      <c r="M393" s="71">
        <v>45692.46533564815</v>
      </c>
      <c r="P393" s="67" t="str">
        <f ca="1">IF(Proc[[#This Row],[DaysAgeing]]&gt;5,"yep","on track")</f>
        <v>yep</v>
      </c>
      <c r="Q393" s="3">
        <f ca="1">IF(Proc[[#This Row],[DateClosed]]="",ABS(NETWORKDAYS(Proc[[#This Row],[DateOpened]],TODAY()))-1,ABS(NETWORKDAYS(Proc[[#This Row],[DateOpened]],Proc[[#This Row],[DateClosed]]))-1)</f>
        <v>228</v>
      </c>
      <c r="R393" s="67" t="s">
        <v>549</v>
      </c>
      <c r="S393" s="60"/>
    </row>
    <row r="394" spans="1:19" hidden="1">
      <c r="A394" s="62" t="s">
        <v>1743</v>
      </c>
      <c r="B394" s="149" t="str">
        <f>IFERROR(VLOOKUP(Proc[[#This Row],[App]],Table2[],3,0),"open")</f>
        <v>ok</v>
      </c>
      <c r="C394" s="62" t="s">
        <v>369</v>
      </c>
      <c r="D394" t="s">
        <v>564</v>
      </c>
      <c r="E394" t="s">
        <v>631</v>
      </c>
      <c r="F394" s="117" t="s">
        <v>631</v>
      </c>
      <c r="G394" s="62" t="s">
        <v>406</v>
      </c>
      <c r="H394" s="60" t="str">
        <f>IF(Proc[[#This Row],[type]]="LFF (MDG-F)",MID(Proc[[#This Row],[Obj]],13,10),"")</f>
        <v>DE10598700</v>
      </c>
      <c r="J394" s="60" t="b">
        <f>Proc[[#This Row],[Requested]]=Proc[[#This Row],[CurrentParent]]</f>
        <v>1</v>
      </c>
      <c r="K394" s="144" t="str">
        <f>IF(Proc[[#This Row],[Author]]="Marcela Urrego",VLOOKUP(LEFT(Proc[[#This Row],[Requested]],1),Table3[#All],2,0),VLOOKUP(Proc[[#This Row],[Author]],Table4[],2,0))</f>
        <v>MGF</v>
      </c>
      <c r="L394" s="60" t="s">
        <v>509</v>
      </c>
      <c r="M394" s="71">
        <v>45692.46533564815</v>
      </c>
      <c r="P394" s="67" t="str">
        <f ca="1">IF(Proc[[#This Row],[DaysAgeing]]&gt;5,"yep","on track")</f>
        <v>yep</v>
      </c>
      <c r="Q394" s="3">
        <f ca="1">IF(Proc[[#This Row],[DateClosed]]="",ABS(NETWORKDAYS(Proc[[#This Row],[DateOpened]],TODAY()))-1,ABS(NETWORKDAYS(Proc[[#This Row],[DateOpened]],Proc[[#This Row],[DateClosed]]))-1)</f>
        <v>228</v>
      </c>
      <c r="R394" s="67" t="s">
        <v>549</v>
      </c>
      <c r="S394" s="60"/>
    </row>
    <row r="395" spans="1:19" hidden="1">
      <c r="A395" s="62" t="s">
        <v>1743</v>
      </c>
      <c r="B395" s="149" t="str">
        <f>IFERROR(VLOOKUP(Proc[[#This Row],[App]],Table2[],3,0),"open")</f>
        <v>ok</v>
      </c>
      <c r="C395" s="62" t="s">
        <v>369</v>
      </c>
      <c r="D395" t="s">
        <v>462</v>
      </c>
      <c r="E395" t="s">
        <v>631</v>
      </c>
      <c r="F395" s="117" t="s">
        <v>631</v>
      </c>
      <c r="G395" s="62" t="s">
        <v>406</v>
      </c>
      <c r="H395" s="60" t="str">
        <f>IF(Proc[[#This Row],[type]]="LFF (MDG-F)",MID(Proc[[#This Row],[Obj]],13,10),"")</f>
        <v>DE20538280</v>
      </c>
      <c r="J395" s="60" t="b">
        <f>Proc[[#This Row],[Requested]]=Proc[[#This Row],[CurrentParent]]</f>
        <v>1</v>
      </c>
      <c r="K395" s="144" t="str">
        <f>IF(Proc[[#This Row],[Author]]="Marcela Urrego",VLOOKUP(LEFT(Proc[[#This Row],[Requested]],1),Table3[#All],2,0),VLOOKUP(Proc[[#This Row],[Author]],Table4[],2,0))</f>
        <v>MGF</v>
      </c>
      <c r="L395" s="60" t="s">
        <v>509</v>
      </c>
      <c r="M395" s="71">
        <v>45692.46533564815</v>
      </c>
      <c r="P395" s="67" t="str">
        <f ca="1">IF(Proc[[#This Row],[DaysAgeing]]&gt;5,"yep","on track")</f>
        <v>yep</v>
      </c>
      <c r="Q395" s="3">
        <f ca="1">IF(Proc[[#This Row],[DateClosed]]="",ABS(NETWORKDAYS(Proc[[#This Row],[DateOpened]],TODAY()))-1,ABS(NETWORKDAYS(Proc[[#This Row],[DateOpened]],Proc[[#This Row],[DateClosed]]))-1)</f>
        <v>228</v>
      </c>
      <c r="R395" s="67" t="s">
        <v>549</v>
      </c>
      <c r="S395" s="60"/>
    </row>
    <row r="396" spans="1:19" hidden="1">
      <c r="A396" s="62" t="s">
        <v>1743</v>
      </c>
      <c r="B396" s="149" t="str">
        <f>IFERROR(VLOOKUP(Proc[[#This Row],[App]],Table2[],3,0),"open")</f>
        <v>ok</v>
      </c>
      <c r="C396" s="62" t="s">
        <v>369</v>
      </c>
      <c r="D396" t="s">
        <v>463</v>
      </c>
      <c r="E396" t="s">
        <v>631</v>
      </c>
      <c r="F396" s="117" t="s">
        <v>631</v>
      </c>
      <c r="G396" s="62" t="s">
        <v>406</v>
      </c>
      <c r="H396" s="60" t="str">
        <f>IF(Proc[[#This Row],[type]]="LFF (MDG-F)",MID(Proc[[#This Row],[Obj]],13,10),"")</f>
        <v>DE20568200</v>
      </c>
      <c r="J396" s="60" t="b">
        <f>Proc[[#This Row],[Requested]]=Proc[[#This Row],[CurrentParent]]</f>
        <v>1</v>
      </c>
      <c r="K396" s="144" t="str">
        <f>IF(Proc[[#This Row],[Author]]="Marcela Urrego",VLOOKUP(LEFT(Proc[[#This Row],[Requested]],1),Table3[#All],2,0),VLOOKUP(Proc[[#This Row],[Author]],Table4[],2,0))</f>
        <v>MGF</v>
      </c>
      <c r="L396" s="60" t="s">
        <v>509</v>
      </c>
      <c r="M396" s="71">
        <v>45692.46533564815</v>
      </c>
      <c r="P396" s="67" t="str">
        <f ca="1">IF(Proc[[#This Row],[DaysAgeing]]&gt;5,"yep","on track")</f>
        <v>yep</v>
      </c>
      <c r="Q396" s="3">
        <f ca="1">IF(Proc[[#This Row],[DateClosed]]="",ABS(NETWORKDAYS(Proc[[#This Row],[DateOpened]],TODAY()))-1,ABS(NETWORKDAYS(Proc[[#This Row],[DateOpened]],Proc[[#This Row],[DateClosed]]))-1)</f>
        <v>228</v>
      </c>
      <c r="R396" s="67" t="s">
        <v>549</v>
      </c>
      <c r="S396" s="60"/>
    </row>
    <row r="397" spans="1:19" hidden="1">
      <c r="A397" s="62" t="s">
        <v>1743</v>
      </c>
      <c r="B397" s="149" t="str">
        <f>IFERROR(VLOOKUP(Proc[[#This Row],[App]],Table2[],3,0),"open")</f>
        <v>ok</v>
      </c>
      <c r="C397" s="62" t="s">
        <v>369</v>
      </c>
      <c r="D397" t="s">
        <v>1722</v>
      </c>
      <c r="E397" t="s">
        <v>631</v>
      </c>
      <c r="F397" s="117" t="s">
        <v>631</v>
      </c>
      <c r="G397" s="62" t="s">
        <v>406</v>
      </c>
      <c r="H397" s="60" t="str">
        <f>IF(Proc[[#This Row],[type]]="LFF (MDG-F)",MID(Proc[[#This Row],[Obj]],13,10),"")</f>
        <v>DE20529600</v>
      </c>
      <c r="J397" s="60" t="b">
        <f>Proc[[#This Row],[Requested]]=Proc[[#This Row],[CurrentParent]]</f>
        <v>1</v>
      </c>
      <c r="K397" s="144" t="str">
        <f>IF(Proc[[#This Row],[Author]]="Marcela Urrego",VLOOKUP(LEFT(Proc[[#This Row],[Requested]],1),Table3[#All],2,0),VLOOKUP(Proc[[#This Row],[Author]],Table4[],2,0))</f>
        <v>MGF</v>
      </c>
      <c r="L397" s="60" t="s">
        <v>509</v>
      </c>
      <c r="M397" s="71">
        <v>45692.46533564815</v>
      </c>
      <c r="P397" s="67" t="str">
        <f ca="1">IF(Proc[[#This Row],[DaysAgeing]]&gt;5,"yep","on track")</f>
        <v>yep</v>
      </c>
      <c r="Q397" s="3">
        <f ca="1">IF(Proc[[#This Row],[DateClosed]]="",ABS(NETWORKDAYS(Proc[[#This Row],[DateOpened]],TODAY()))-1,ABS(NETWORKDAYS(Proc[[#This Row],[DateOpened]],Proc[[#This Row],[DateClosed]]))-1)</f>
        <v>228</v>
      </c>
      <c r="R397" s="67" t="s">
        <v>549</v>
      </c>
      <c r="S397" s="60"/>
    </row>
    <row r="398" spans="1:19" hidden="1">
      <c r="A398" s="62" t="s">
        <v>1743</v>
      </c>
      <c r="B398" s="149" t="str">
        <f>IFERROR(VLOOKUP(Proc[[#This Row],[App]],Table2[],3,0),"open")</f>
        <v>ok</v>
      </c>
      <c r="C398" s="62" t="s">
        <v>369</v>
      </c>
      <c r="D398" t="s">
        <v>1723</v>
      </c>
      <c r="E398" t="s">
        <v>631</v>
      </c>
      <c r="F398" s="117" t="s">
        <v>631</v>
      </c>
      <c r="G398" s="62" t="s">
        <v>406</v>
      </c>
      <c r="H398" s="60" t="str">
        <f>IF(Proc[[#This Row],[type]]="LFF (MDG-F)",MID(Proc[[#This Row],[Obj]],13,10),"")</f>
        <v>DE20847200</v>
      </c>
      <c r="J398" s="60" t="b">
        <f>Proc[[#This Row],[Requested]]=Proc[[#This Row],[CurrentParent]]</f>
        <v>1</v>
      </c>
      <c r="K398" s="144" t="str">
        <f>IF(Proc[[#This Row],[Author]]="Marcela Urrego",VLOOKUP(LEFT(Proc[[#This Row],[Requested]],1),Table3[#All],2,0),VLOOKUP(Proc[[#This Row],[Author]],Table4[],2,0))</f>
        <v>MGF</v>
      </c>
      <c r="L398" s="60" t="s">
        <v>509</v>
      </c>
      <c r="M398" s="71">
        <v>45692.46533564815</v>
      </c>
      <c r="P398" s="67" t="str">
        <f ca="1">IF(Proc[[#This Row],[DaysAgeing]]&gt;5,"yep","on track")</f>
        <v>yep</v>
      </c>
      <c r="Q398" s="3">
        <f ca="1">IF(Proc[[#This Row],[DateClosed]]="",ABS(NETWORKDAYS(Proc[[#This Row],[DateOpened]],TODAY()))-1,ABS(NETWORKDAYS(Proc[[#This Row],[DateOpened]],Proc[[#This Row],[DateClosed]]))-1)</f>
        <v>228</v>
      </c>
      <c r="R398" s="67" t="s">
        <v>549</v>
      </c>
      <c r="S398" s="60"/>
    </row>
    <row r="399" spans="1:19" hidden="1">
      <c r="A399" s="62" t="s">
        <v>1743</v>
      </c>
      <c r="B399" s="149" t="str">
        <f>IFERROR(VLOOKUP(Proc[[#This Row],[App]],Table2[],3,0),"open")</f>
        <v>ok</v>
      </c>
      <c r="C399" s="62" t="s">
        <v>377</v>
      </c>
      <c r="D399" t="s">
        <v>1724</v>
      </c>
      <c r="E399" t="s">
        <v>631</v>
      </c>
      <c r="F399" s="103" t="s">
        <v>631</v>
      </c>
      <c r="G399" s="62" t="s">
        <v>406</v>
      </c>
      <c r="H399" s="60" t="str">
        <f>IF(Proc[[#This Row],[type]]="LFF (MDG-F)",MID(Proc[[#This Row],[Obj]],13,10),"")</f>
        <v>DE20538257</v>
      </c>
      <c r="J399" s="60" t="b">
        <f>Proc[[#This Row],[Requested]]=Proc[[#This Row],[CurrentParent]]</f>
        <v>1</v>
      </c>
      <c r="K399" s="144" t="str">
        <f>IF(Proc[[#This Row],[Author]]="Marcela Urrego",VLOOKUP(LEFT(Proc[[#This Row],[Requested]],1),Table3[#All],2,0),VLOOKUP(Proc[[#This Row],[Author]],Table4[],2,0))</f>
        <v>MGF</v>
      </c>
      <c r="L399" s="60" t="s">
        <v>509</v>
      </c>
      <c r="M399" s="71">
        <v>45692.46533564815</v>
      </c>
      <c r="P399" s="67" t="str">
        <f ca="1">IF(Proc[[#This Row],[DaysAgeing]]&gt;5,"yep","on track")</f>
        <v>yep</v>
      </c>
      <c r="Q399" s="3">
        <f ca="1">IF(Proc[[#This Row],[DateClosed]]="",ABS(NETWORKDAYS(Proc[[#This Row],[DateOpened]],TODAY()))-1,ABS(NETWORKDAYS(Proc[[#This Row],[DateOpened]],Proc[[#This Row],[DateClosed]]))-1)</f>
        <v>228</v>
      </c>
      <c r="R399" s="67" t="s">
        <v>549</v>
      </c>
      <c r="S399" s="94" t="e">
        <f>VLOOKUP(Proc[[#This Row],[Obj]],#REF!,2,0)</f>
        <v>#REF!</v>
      </c>
    </row>
    <row r="400" spans="1:19" hidden="1">
      <c r="A400" s="62" t="s">
        <v>1743</v>
      </c>
      <c r="B400" s="149" t="str">
        <f>IFERROR(VLOOKUP(Proc[[#This Row],[App]],Table2[],3,0),"open")</f>
        <v>ok</v>
      </c>
      <c r="C400" s="62" t="s">
        <v>369</v>
      </c>
      <c r="D400" t="s">
        <v>1725</v>
      </c>
      <c r="E400" t="s">
        <v>631</v>
      </c>
      <c r="F400" s="117" t="s">
        <v>631</v>
      </c>
      <c r="G400" s="62" t="s">
        <v>406</v>
      </c>
      <c r="H400" s="60" t="str">
        <f>IF(Proc[[#This Row],[type]]="LFF (MDG-F)",MID(Proc[[#This Row],[Obj]],13,10),"")</f>
        <v>DE10538257</v>
      </c>
      <c r="J400" s="60" t="b">
        <f>Proc[[#This Row],[Requested]]=Proc[[#This Row],[CurrentParent]]</f>
        <v>1</v>
      </c>
      <c r="K400" s="144" t="str">
        <f>IF(Proc[[#This Row],[Author]]="Marcela Urrego",VLOOKUP(LEFT(Proc[[#This Row],[Requested]],1),Table3[#All],2,0),VLOOKUP(Proc[[#This Row],[Author]],Table4[],2,0))</f>
        <v>MGF</v>
      </c>
      <c r="L400" s="60" t="s">
        <v>509</v>
      </c>
      <c r="M400" s="71">
        <v>45692.46533564815</v>
      </c>
      <c r="P400" s="67" t="str">
        <f ca="1">IF(Proc[[#This Row],[DaysAgeing]]&gt;5,"yep","on track")</f>
        <v>yep</v>
      </c>
      <c r="Q400" s="3">
        <f ca="1">IF(Proc[[#This Row],[DateClosed]]="",ABS(NETWORKDAYS(Proc[[#This Row],[DateOpened]],TODAY()))-1,ABS(NETWORKDAYS(Proc[[#This Row],[DateOpened]],Proc[[#This Row],[DateClosed]]))-1)</f>
        <v>228</v>
      </c>
      <c r="R400" s="67" t="s">
        <v>549</v>
      </c>
      <c r="S400" s="60"/>
    </row>
    <row r="401" spans="1:19" hidden="1">
      <c r="A401" s="62" t="s">
        <v>1743</v>
      </c>
      <c r="B401" s="149" t="str">
        <f>IFERROR(VLOOKUP(Proc[[#This Row],[App]],Table2[],3,0),"open")</f>
        <v>ok</v>
      </c>
      <c r="C401" s="62" t="s">
        <v>369</v>
      </c>
      <c r="D401" t="s">
        <v>1726</v>
      </c>
      <c r="E401" t="s">
        <v>631</v>
      </c>
      <c r="F401" s="117" t="s">
        <v>631</v>
      </c>
      <c r="G401" s="62" t="s">
        <v>406</v>
      </c>
      <c r="H401" s="60" t="str">
        <f>IF(Proc[[#This Row],[type]]="LFF (MDG-F)",MID(Proc[[#This Row],[Obj]],13,10),"")</f>
        <v>DE20538295</v>
      </c>
      <c r="J401" s="60" t="b">
        <f>Proc[[#This Row],[Requested]]=Proc[[#This Row],[CurrentParent]]</f>
        <v>1</v>
      </c>
      <c r="K401" s="144" t="str">
        <f>IF(Proc[[#This Row],[Author]]="Marcela Urrego",VLOOKUP(LEFT(Proc[[#This Row],[Requested]],1),Table3[#All],2,0),VLOOKUP(Proc[[#This Row],[Author]],Table4[],2,0))</f>
        <v>MGF</v>
      </c>
      <c r="L401" s="60" t="s">
        <v>509</v>
      </c>
      <c r="M401" s="71">
        <v>45692.46533564815</v>
      </c>
      <c r="P401" s="67" t="str">
        <f ca="1">IF(Proc[[#This Row],[DaysAgeing]]&gt;5,"yep","on track")</f>
        <v>yep</v>
      </c>
      <c r="Q401" s="3">
        <f ca="1">IF(Proc[[#This Row],[DateClosed]]="",ABS(NETWORKDAYS(Proc[[#This Row],[DateOpened]],TODAY()))-1,ABS(NETWORKDAYS(Proc[[#This Row],[DateOpened]],Proc[[#This Row],[DateClosed]]))-1)</f>
        <v>228</v>
      </c>
      <c r="R401" s="67" t="s">
        <v>549</v>
      </c>
      <c r="S401" s="60"/>
    </row>
    <row r="402" spans="1:19" hidden="1">
      <c r="A402" s="62" t="s">
        <v>1743</v>
      </c>
      <c r="B402" s="149" t="str">
        <f>IFERROR(VLOOKUP(Proc[[#This Row],[App]],Table2[],3,0),"open")</f>
        <v>ok</v>
      </c>
      <c r="C402" s="62" t="s">
        <v>369</v>
      </c>
      <c r="D402" t="s">
        <v>1727</v>
      </c>
      <c r="E402" t="s">
        <v>631</v>
      </c>
      <c r="F402" s="117" t="s">
        <v>631</v>
      </c>
      <c r="G402" s="62" t="s">
        <v>406</v>
      </c>
      <c r="H402" s="60" t="str">
        <f>IF(Proc[[#This Row],[type]]="LFF (MDG-F)",MID(Proc[[#This Row],[Obj]],13,10),"")</f>
        <v>DE10538295</v>
      </c>
      <c r="J402" s="60" t="b">
        <f>Proc[[#This Row],[Requested]]=Proc[[#This Row],[CurrentParent]]</f>
        <v>1</v>
      </c>
      <c r="K402" s="144" t="str">
        <f>IF(Proc[[#This Row],[Author]]="Marcela Urrego",VLOOKUP(LEFT(Proc[[#This Row],[Requested]],1),Table3[#All],2,0),VLOOKUP(Proc[[#This Row],[Author]],Table4[],2,0))</f>
        <v>MGF</v>
      </c>
      <c r="L402" s="60" t="s">
        <v>509</v>
      </c>
      <c r="M402" s="71">
        <v>45692.46533564815</v>
      </c>
      <c r="P402" s="67" t="str">
        <f ca="1">IF(Proc[[#This Row],[DaysAgeing]]&gt;5,"yep","on track")</f>
        <v>yep</v>
      </c>
      <c r="Q402" s="3">
        <f ca="1">IF(Proc[[#This Row],[DateClosed]]="",ABS(NETWORKDAYS(Proc[[#This Row],[DateOpened]],TODAY()))-1,ABS(NETWORKDAYS(Proc[[#This Row],[DateOpened]],Proc[[#This Row],[DateClosed]]))-1)</f>
        <v>228</v>
      </c>
      <c r="R402" s="67" t="s">
        <v>549</v>
      </c>
      <c r="S402" s="60"/>
    </row>
    <row r="403" spans="1:19" hidden="1">
      <c r="A403" s="62" t="s">
        <v>1743</v>
      </c>
      <c r="B403" s="149" t="str">
        <f>IFERROR(VLOOKUP(Proc[[#This Row],[App]],Table2[],3,0),"open")</f>
        <v>ok</v>
      </c>
      <c r="C403" s="62" t="s">
        <v>369</v>
      </c>
      <c r="D403" t="s">
        <v>1728</v>
      </c>
      <c r="E403" t="s">
        <v>631</v>
      </c>
      <c r="F403" s="117" t="s">
        <v>631</v>
      </c>
      <c r="G403" s="62" t="s">
        <v>406</v>
      </c>
      <c r="H403" s="60" t="str">
        <f>IF(Proc[[#This Row],[type]]="LFF (MDG-F)",MID(Proc[[#This Row],[Obj]],13,10),"")</f>
        <v>DE20538456</v>
      </c>
      <c r="J403" s="60" t="b">
        <f>Proc[[#This Row],[Requested]]=Proc[[#This Row],[CurrentParent]]</f>
        <v>1</v>
      </c>
      <c r="K403" s="144" t="str">
        <f>IF(Proc[[#This Row],[Author]]="Marcela Urrego",VLOOKUP(LEFT(Proc[[#This Row],[Requested]],1),Table3[#All],2,0),VLOOKUP(Proc[[#This Row],[Author]],Table4[],2,0))</f>
        <v>MGF</v>
      </c>
      <c r="L403" s="60" t="s">
        <v>509</v>
      </c>
      <c r="M403" s="71">
        <v>45692.46533564815</v>
      </c>
      <c r="P403" s="67" t="str">
        <f ca="1">IF(Proc[[#This Row],[DaysAgeing]]&gt;5,"yep","on track")</f>
        <v>yep</v>
      </c>
      <c r="Q403" s="3">
        <f ca="1">IF(Proc[[#This Row],[DateClosed]]="",ABS(NETWORKDAYS(Proc[[#This Row],[DateOpened]],TODAY()))-1,ABS(NETWORKDAYS(Proc[[#This Row],[DateOpened]],Proc[[#This Row],[DateClosed]]))-1)</f>
        <v>228</v>
      </c>
      <c r="R403" s="67" t="s">
        <v>549</v>
      </c>
      <c r="S403" s="60"/>
    </row>
    <row r="404" spans="1:19" hidden="1">
      <c r="A404" s="62" t="s">
        <v>1743</v>
      </c>
      <c r="B404" s="149" t="str">
        <f>IFERROR(VLOOKUP(Proc[[#This Row],[App]],Table2[],3,0),"open")</f>
        <v>ok</v>
      </c>
      <c r="C404" s="62" t="s">
        <v>369</v>
      </c>
      <c r="D404" t="s">
        <v>1729</v>
      </c>
      <c r="E404" t="s">
        <v>631</v>
      </c>
      <c r="F404" s="117" t="s">
        <v>631</v>
      </c>
      <c r="G404" s="62" t="s">
        <v>406</v>
      </c>
      <c r="H404" s="60" t="str">
        <f>IF(Proc[[#This Row],[type]]="LFF (MDG-F)",MID(Proc[[#This Row],[Obj]],13,10),"")</f>
        <v>DE10538456</v>
      </c>
      <c r="J404" s="60" t="b">
        <f>Proc[[#This Row],[Requested]]=Proc[[#This Row],[CurrentParent]]</f>
        <v>1</v>
      </c>
      <c r="K404" s="144" t="str">
        <f>IF(Proc[[#This Row],[Author]]="Marcela Urrego",VLOOKUP(LEFT(Proc[[#This Row],[Requested]],1),Table3[#All],2,0),VLOOKUP(Proc[[#This Row],[Author]],Table4[],2,0))</f>
        <v>MGF</v>
      </c>
      <c r="L404" s="60" t="s">
        <v>509</v>
      </c>
      <c r="M404" s="71">
        <v>45692.46533564815</v>
      </c>
      <c r="P404" s="67" t="str">
        <f ca="1">IF(Proc[[#This Row],[DaysAgeing]]&gt;5,"yep","on track")</f>
        <v>yep</v>
      </c>
      <c r="Q404" s="3">
        <f ca="1">IF(Proc[[#This Row],[DateClosed]]="",ABS(NETWORKDAYS(Proc[[#This Row],[DateOpened]],TODAY()))-1,ABS(NETWORKDAYS(Proc[[#This Row],[DateOpened]],Proc[[#This Row],[DateClosed]]))-1)</f>
        <v>228</v>
      </c>
      <c r="R404" s="67" t="s">
        <v>549</v>
      </c>
      <c r="S404" s="60"/>
    </row>
    <row r="405" spans="1:19" hidden="1">
      <c r="A405" s="62" t="s">
        <v>1743</v>
      </c>
      <c r="B405" s="149" t="str">
        <f>IFERROR(VLOOKUP(Proc[[#This Row],[App]],Table2[],3,0),"open")</f>
        <v>ok</v>
      </c>
      <c r="C405" s="62" t="s">
        <v>377</v>
      </c>
      <c r="D405" t="s">
        <v>460</v>
      </c>
      <c r="E405" t="s">
        <v>631</v>
      </c>
      <c r="F405" s="103" t="s">
        <v>631</v>
      </c>
      <c r="G405" s="62" t="s">
        <v>406</v>
      </c>
      <c r="H405" s="60" t="str">
        <f>IF(Proc[[#This Row],[type]]="LFF (MDG-F)",MID(Proc[[#This Row],[Obj]],13,10),"")</f>
        <v>DE10623200</v>
      </c>
      <c r="J405" s="60" t="b">
        <f>Proc[[#This Row],[Requested]]=Proc[[#This Row],[CurrentParent]]</f>
        <v>1</v>
      </c>
      <c r="K405" s="144" t="str">
        <f>IF(Proc[[#This Row],[Author]]="Marcela Urrego",VLOOKUP(LEFT(Proc[[#This Row],[Requested]],1),Table3[#All],2,0),VLOOKUP(Proc[[#This Row],[Author]],Table4[],2,0))</f>
        <v>MGF</v>
      </c>
      <c r="L405" s="60" t="s">
        <v>509</v>
      </c>
      <c r="M405" s="71">
        <v>45692.46533564815</v>
      </c>
      <c r="P405" s="67" t="str">
        <f ca="1">IF(Proc[[#This Row],[DaysAgeing]]&gt;5,"yep","on track")</f>
        <v>yep</v>
      </c>
      <c r="Q405" s="3">
        <f ca="1">IF(Proc[[#This Row],[DateClosed]]="",ABS(NETWORKDAYS(Proc[[#This Row],[DateOpened]],TODAY()))-1,ABS(NETWORKDAYS(Proc[[#This Row],[DateOpened]],Proc[[#This Row],[DateClosed]]))-1)</f>
        <v>228</v>
      </c>
      <c r="R405" s="67" t="s">
        <v>549</v>
      </c>
      <c r="S405" s="94" t="e">
        <f>VLOOKUP(Proc[[#This Row],[Obj]],#REF!,2,0)</f>
        <v>#REF!</v>
      </c>
    </row>
    <row r="406" spans="1:19" hidden="1">
      <c r="A406" s="62" t="s">
        <v>1743</v>
      </c>
      <c r="B406" s="149" t="str">
        <f>IFERROR(VLOOKUP(Proc[[#This Row],[App]],Table2[],3,0),"open")</f>
        <v>ok</v>
      </c>
      <c r="C406" s="62" t="s">
        <v>369</v>
      </c>
      <c r="D406" t="s">
        <v>500</v>
      </c>
      <c r="E406" t="s">
        <v>631</v>
      </c>
      <c r="F406" s="117" t="s">
        <v>631</v>
      </c>
      <c r="G406" s="62" t="s">
        <v>406</v>
      </c>
      <c r="H406" s="60" t="str">
        <f>IF(Proc[[#This Row],[type]]="LFF (MDG-F)",MID(Proc[[#This Row],[Obj]],13,10),"")</f>
        <v>DE10523100</v>
      </c>
      <c r="J406" s="60" t="b">
        <f>Proc[[#This Row],[Requested]]=Proc[[#This Row],[CurrentParent]]</f>
        <v>1</v>
      </c>
      <c r="K406" s="144" t="str">
        <f>IF(Proc[[#This Row],[Author]]="Marcela Urrego",VLOOKUP(LEFT(Proc[[#This Row],[Requested]],1),Table3[#All],2,0),VLOOKUP(Proc[[#This Row],[Author]],Table4[],2,0))</f>
        <v>MGF</v>
      </c>
      <c r="L406" s="60" t="s">
        <v>509</v>
      </c>
      <c r="M406" s="71">
        <v>45692.46533564815</v>
      </c>
      <c r="P406" s="67" t="str">
        <f ca="1">IF(Proc[[#This Row],[DaysAgeing]]&gt;5,"yep","on track")</f>
        <v>yep</v>
      </c>
      <c r="Q406" s="3">
        <f ca="1">IF(Proc[[#This Row],[DateClosed]]="",ABS(NETWORKDAYS(Proc[[#This Row],[DateOpened]],TODAY()))-1,ABS(NETWORKDAYS(Proc[[#This Row],[DateOpened]],Proc[[#This Row],[DateClosed]]))-1)</f>
        <v>228</v>
      </c>
      <c r="R406" s="67" t="s">
        <v>549</v>
      </c>
      <c r="S406" s="60"/>
    </row>
    <row r="407" spans="1:19" hidden="1">
      <c r="A407" s="62" t="s">
        <v>1743</v>
      </c>
      <c r="B407" s="149" t="str">
        <f>IFERROR(VLOOKUP(Proc[[#This Row],[App]],Table2[],3,0),"open")</f>
        <v>ok</v>
      </c>
      <c r="C407" s="62" t="s">
        <v>369</v>
      </c>
      <c r="D407" t="s">
        <v>1730</v>
      </c>
      <c r="E407" t="s">
        <v>631</v>
      </c>
      <c r="F407" s="117" t="s">
        <v>631</v>
      </c>
      <c r="G407" s="62" t="s">
        <v>406</v>
      </c>
      <c r="H407" s="60" t="str">
        <f>IF(Proc[[#This Row],[type]]="LFF (MDG-F)",MID(Proc[[#This Row],[Obj]],13,10),"")</f>
        <v>DE20538554</v>
      </c>
      <c r="J407" s="60" t="b">
        <f>Proc[[#This Row],[Requested]]=Proc[[#This Row],[CurrentParent]]</f>
        <v>1</v>
      </c>
      <c r="K407" s="144" t="str">
        <f>IF(Proc[[#This Row],[Author]]="Marcela Urrego",VLOOKUP(LEFT(Proc[[#This Row],[Requested]],1),Table3[#All],2,0),VLOOKUP(Proc[[#This Row],[Author]],Table4[],2,0))</f>
        <v>MGF</v>
      </c>
      <c r="L407" s="60" t="s">
        <v>509</v>
      </c>
      <c r="M407" s="71">
        <v>45692.46533564815</v>
      </c>
      <c r="P407" s="67" t="str">
        <f ca="1">IF(Proc[[#This Row],[DaysAgeing]]&gt;5,"yep","on track")</f>
        <v>yep</v>
      </c>
      <c r="Q407" s="3">
        <f ca="1">IF(Proc[[#This Row],[DateClosed]]="",ABS(NETWORKDAYS(Proc[[#This Row],[DateOpened]],TODAY()))-1,ABS(NETWORKDAYS(Proc[[#This Row],[DateOpened]],Proc[[#This Row],[DateClosed]]))-1)</f>
        <v>228</v>
      </c>
      <c r="R407" s="67" t="s">
        <v>549</v>
      </c>
      <c r="S407" s="60"/>
    </row>
    <row r="408" spans="1:19" hidden="1">
      <c r="A408" s="62" t="s">
        <v>1743</v>
      </c>
      <c r="B408" s="149" t="str">
        <f>IFERROR(VLOOKUP(Proc[[#This Row],[App]],Table2[],3,0),"open")</f>
        <v>ok</v>
      </c>
      <c r="C408" s="62" t="s">
        <v>369</v>
      </c>
      <c r="D408" t="s">
        <v>1731</v>
      </c>
      <c r="E408" t="s">
        <v>631</v>
      </c>
      <c r="F408" s="117" t="s">
        <v>631</v>
      </c>
      <c r="G408" s="62" t="s">
        <v>406</v>
      </c>
      <c r="H408" s="60" t="str">
        <f>IF(Proc[[#This Row],[type]]="LFF (MDG-F)",MID(Proc[[#This Row],[Obj]],13,10),"")</f>
        <v>DE10538554</v>
      </c>
      <c r="J408" s="60" t="b">
        <f>Proc[[#This Row],[Requested]]=Proc[[#This Row],[CurrentParent]]</f>
        <v>1</v>
      </c>
      <c r="K408" s="144" t="str">
        <f>IF(Proc[[#This Row],[Author]]="Marcela Urrego",VLOOKUP(LEFT(Proc[[#This Row],[Requested]],1),Table3[#All],2,0),VLOOKUP(Proc[[#This Row],[Author]],Table4[],2,0))</f>
        <v>MGF</v>
      </c>
      <c r="L408" s="60" t="s">
        <v>509</v>
      </c>
      <c r="M408" s="71">
        <v>45692.46533564815</v>
      </c>
      <c r="P408" s="67" t="str">
        <f ca="1">IF(Proc[[#This Row],[DaysAgeing]]&gt;5,"yep","on track")</f>
        <v>yep</v>
      </c>
      <c r="Q408" s="3">
        <f ca="1">IF(Proc[[#This Row],[DateClosed]]="",ABS(NETWORKDAYS(Proc[[#This Row],[DateOpened]],TODAY()))-1,ABS(NETWORKDAYS(Proc[[#This Row],[DateOpened]],Proc[[#This Row],[DateClosed]]))-1)</f>
        <v>228</v>
      </c>
      <c r="R408" s="67" t="s">
        <v>549</v>
      </c>
      <c r="S408" s="60"/>
    </row>
    <row r="409" spans="1:19" hidden="1">
      <c r="A409" s="62" t="s">
        <v>1743</v>
      </c>
      <c r="B409" s="149" t="str">
        <f>IFERROR(VLOOKUP(Proc[[#This Row],[App]],Table2[],3,0),"open")</f>
        <v>ok</v>
      </c>
      <c r="C409" s="62" t="s">
        <v>369</v>
      </c>
      <c r="D409" t="s">
        <v>461</v>
      </c>
      <c r="E409" t="s">
        <v>631</v>
      </c>
      <c r="F409" s="117" t="s">
        <v>631</v>
      </c>
      <c r="G409" s="62" t="s">
        <v>406</v>
      </c>
      <c r="H409" s="60" t="str">
        <f>IF(Proc[[#This Row],[type]]="LFF (MDG-F)",MID(Proc[[#This Row],[Obj]],13,10),"")</f>
        <v>DE10840200</v>
      </c>
      <c r="J409" s="60" t="b">
        <f>Proc[[#This Row],[Requested]]=Proc[[#This Row],[CurrentParent]]</f>
        <v>1</v>
      </c>
      <c r="K409" s="144" t="str">
        <f>IF(Proc[[#This Row],[Author]]="Marcela Urrego",VLOOKUP(LEFT(Proc[[#This Row],[Requested]],1),Table3[#All],2,0),VLOOKUP(Proc[[#This Row],[Author]],Table4[],2,0))</f>
        <v>MGF</v>
      </c>
      <c r="L409" s="60" t="s">
        <v>509</v>
      </c>
      <c r="M409" s="71">
        <v>45692.46533564815</v>
      </c>
      <c r="P409" s="67" t="str">
        <f ca="1">IF(Proc[[#This Row],[DaysAgeing]]&gt;5,"yep","on track")</f>
        <v>yep</v>
      </c>
      <c r="Q409" s="3">
        <f ca="1">IF(Proc[[#This Row],[DateClosed]]="",ABS(NETWORKDAYS(Proc[[#This Row],[DateOpened]],TODAY()))-1,ABS(NETWORKDAYS(Proc[[#This Row],[DateOpened]],Proc[[#This Row],[DateClosed]]))-1)</f>
        <v>228</v>
      </c>
      <c r="R409" s="67" t="s">
        <v>549</v>
      </c>
      <c r="S409" s="60"/>
    </row>
    <row r="410" spans="1:19" hidden="1">
      <c r="A410" s="62" t="s">
        <v>1743</v>
      </c>
      <c r="B410" s="149" t="str">
        <f>IFERROR(VLOOKUP(Proc[[#This Row],[App]],Table2[],3,0),"open")</f>
        <v>ok</v>
      </c>
      <c r="C410" s="62" t="s">
        <v>369</v>
      </c>
      <c r="D410" t="s">
        <v>1732</v>
      </c>
      <c r="E410" t="s">
        <v>631</v>
      </c>
      <c r="F410" s="117" t="s">
        <v>631</v>
      </c>
      <c r="G410" s="62" t="s">
        <v>406</v>
      </c>
      <c r="H410" s="60" t="str">
        <f>IF(Proc[[#This Row],[type]]="LFF (MDG-F)",MID(Proc[[#This Row],[Obj]],13,10),"")</f>
        <v>DE10537810</v>
      </c>
      <c r="J410" s="60" t="b">
        <f>Proc[[#This Row],[Requested]]=Proc[[#This Row],[CurrentParent]]</f>
        <v>1</v>
      </c>
      <c r="K410" s="144" t="str">
        <f>IF(Proc[[#This Row],[Author]]="Marcela Urrego",VLOOKUP(LEFT(Proc[[#This Row],[Requested]],1),Table3[#All],2,0),VLOOKUP(Proc[[#This Row],[Author]],Table4[],2,0))</f>
        <v>MGF</v>
      </c>
      <c r="L410" s="60" t="s">
        <v>509</v>
      </c>
      <c r="M410" s="71">
        <v>45692.46533564815</v>
      </c>
      <c r="P410" s="67" t="str">
        <f ca="1">IF(Proc[[#This Row],[DaysAgeing]]&gt;5,"yep","on track")</f>
        <v>yep</v>
      </c>
      <c r="Q410" s="3">
        <f ca="1">IF(Proc[[#This Row],[DateClosed]]="",ABS(NETWORKDAYS(Proc[[#This Row],[DateOpened]],TODAY()))-1,ABS(NETWORKDAYS(Proc[[#This Row],[DateOpened]],Proc[[#This Row],[DateClosed]]))-1)</f>
        <v>228</v>
      </c>
      <c r="R410" s="67" t="s">
        <v>549</v>
      </c>
      <c r="S410" s="60"/>
    </row>
    <row r="411" spans="1:19" hidden="1">
      <c r="A411" s="62" t="s">
        <v>1743</v>
      </c>
      <c r="B411" s="149" t="str">
        <f>IFERROR(VLOOKUP(Proc[[#This Row],[App]],Table2[],3,0),"open")</f>
        <v>ok</v>
      </c>
      <c r="C411" s="62" t="s">
        <v>369</v>
      </c>
      <c r="D411" t="s">
        <v>1733</v>
      </c>
      <c r="E411" t="s">
        <v>631</v>
      </c>
      <c r="F411" s="117" t="s">
        <v>631</v>
      </c>
      <c r="G411" s="62" t="s">
        <v>406</v>
      </c>
      <c r="H411" s="60" t="str">
        <f>IF(Proc[[#This Row],[type]]="LFF (MDG-F)",MID(Proc[[#This Row],[Obj]],13,10),"")</f>
        <v>DE20538242</v>
      </c>
      <c r="J411" s="60" t="b">
        <f>Proc[[#This Row],[Requested]]=Proc[[#This Row],[CurrentParent]]</f>
        <v>1</v>
      </c>
      <c r="K411" s="144" t="str">
        <f>IF(Proc[[#This Row],[Author]]="Marcela Urrego",VLOOKUP(LEFT(Proc[[#This Row],[Requested]],1),Table3[#All],2,0),VLOOKUP(Proc[[#This Row],[Author]],Table4[],2,0))</f>
        <v>MGF</v>
      </c>
      <c r="L411" s="60" t="s">
        <v>509</v>
      </c>
      <c r="M411" s="71">
        <v>45692.46533564815</v>
      </c>
      <c r="P411" s="67" t="str">
        <f ca="1">IF(Proc[[#This Row],[DaysAgeing]]&gt;5,"yep","on track")</f>
        <v>yep</v>
      </c>
      <c r="Q411" s="3">
        <f ca="1">IF(Proc[[#This Row],[DateClosed]]="",ABS(NETWORKDAYS(Proc[[#This Row],[DateOpened]],TODAY()))-1,ABS(NETWORKDAYS(Proc[[#This Row],[DateOpened]],Proc[[#This Row],[DateClosed]]))-1)</f>
        <v>228</v>
      </c>
      <c r="R411" s="67" t="s">
        <v>549</v>
      </c>
      <c r="S411" s="60"/>
    </row>
    <row r="412" spans="1:19" hidden="1">
      <c r="A412" s="62" t="s">
        <v>1743</v>
      </c>
      <c r="B412" s="149" t="str">
        <f>IFERROR(VLOOKUP(Proc[[#This Row],[App]],Table2[],3,0),"open")</f>
        <v>ok</v>
      </c>
      <c r="C412" s="62" t="s">
        <v>369</v>
      </c>
      <c r="D412" t="s">
        <v>1734</v>
      </c>
      <c r="E412" t="s">
        <v>631</v>
      </c>
      <c r="F412" s="117" t="s">
        <v>631</v>
      </c>
      <c r="G412" s="62" t="s">
        <v>406</v>
      </c>
      <c r="H412" s="60" t="str">
        <f>IF(Proc[[#This Row],[type]]="LFF (MDG-F)",MID(Proc[[#This Row],[Obj]],13,10),"")</f>
        <v>DE10538242</v>
      </c>
      <c r="J412" s="60" t="b">
        <f>Proc[[#This Row],[Requested]]=Proc[[#This Row],[CurrentParent]]</f>
        <v>1</v>
      </c>
      <c r="K412" s="144" t="str">
        <f>IF(Proc[[#This Row],[Author]]="Marcela Urrego",VLOOKUP(LEFT(Proc[[#This Row],[Requested]],1),Table3[#All],2,0),VLOOKUP(Proc[[#This Row],[Author]],Table4[],2,0))</f>
        <v>MGF</v>
      </c>
      <c r="L412" s="60" t="s">
        <v>509</v>
      </c>
      <c r="M412" s="71">
        <v>45692.46533564815</v>
      </c>
      <c r="P412" s="67" t="str">
        <f ca="1">IF(Proc[[#This Row],[DaysAgeing]]&gt;5,"yep","on track")</f>
        <v>yep</v>
      </c>
      <c r="Q412" s="3">
        <f ca="1">IF(Proc[[#This Row],[DateClosed]]="",ABS(NETWORKDAYS(Proc[[#This Row],[DateOpened]],TODAY()))-1,ABS(NETWORKDAYS(Proc[[#This Row],[DateOpened]],Proc[[#This Row],[DateClosed]]))-1)</f>
        <v>228</v>
      </c>
      <c r="R412" s="67" t="s">
        <v>549</v>
      </c>
      <c r="S412" s="60"/>
    </row>
    <row r="413" spans="1:19" hidden="1">
      <c r="A413" s="62" t="s">
        <v>1743</v>
      </c>
      <c r="B413" s="149" t="str">
        <f>IFERROR(VLOOKUP(Proc[[#This Row],[App]],Table2[],3,0),"open")</f>
        <v>ok</v>
      </c>
      <c r="C413" s="62" t="s">
        <v>377</v>
      </c>
      <c r="D413" t="s">
        <v>1735</v>
      </c>
      <c r="E413" t="s">
        <v>631</v>
      </c>
      <c r="F413" s="103" t="s">
        <v>631</v>
      </c>
      <c r="G413" s="62" t="s">
        <v>406</v>
      </c>
      <c r="H413" s="60" t="str">
        <f>IF(Proc[[#This Row],[type]]="LFF (MDG-F)",MID(Proc[[#This Row],[Obj]],13,10),"")</f>
        <v>DE20568016</v>
      </c>
      <c r="J413" s="60" t="b">
        <f>Proc[[#This Row],[Requested]]=Proc[[#This Row],[CurrentParent]]</f>
        <v>1</v>
      </c>
      <c r="K413" s="144" t="str">
        <f>IF(Proc[[#This Row],[Author]]="Marcela Urrego",VLOOKUP(LEFT(Proc[[#This Row],[Requested]],1),Table3[#All],2,0),VLOOKUP(Proc[[#This Row],[Author]],Table4[],2,0))</f>
        <v>MGF</v>
      </c>
      <c r="L413" s="60" t="s">
        <v>509</v>
      </c>
      <c r="M413" s="71">
        <v>45692.46533564815</v>
      </c>
      <c r="P413" s="67" t="str">
        <f ca="1">IF(Proc[[#This Row],[DaysAgeing]]&gt;5,"yep","on track")</f>
        <v>yep</v>
      </c>
      <c r="Q413" s="3">
        <f ca="1">IF(Proc[[#This Row],[DateClosed]]="",ABS(NETWORKDAYS(Proc[[#This Row],[DateOpened]],TODAY()))-1,ABS(NETWORKDAYS(Proc[[#This Row],[DateOpened]],Proc[[#This Row],[DateClosed]]))-1)</f>
        <v>228</v>
      </c>
      <c r="R413" s="67" t="s">
        <v>549</v>
      </c>
      <c r="S413" s="94" t="e">
        <f>VLOOKUP(Proc[[#This Row],[Obj]],#REF!,2,0)</f>
        <v>#REF!</v>
      </c>
    </row>
    <row r="414" spans="1:19" hidden="1">
      <c r="A414" s="62" t="s">
        <v>1743</v>
      </c>
      <c r="B414" s="149" t="str">
        <f>IFERROR(VLOOKUP(Proc[[#This Row],[App]],Table2[],3,0),"open")</f>
        <v>ok</v>
      </c>
      <c r="C414" s="62" t="s">
        <v>377</v>
      </c>
      <c r="D414" t="s">
        <v>458</v>
      </c>
      <c r="E414" t="s">
        <v>631</v>
      </c>
      <c r="F414" s="103" t="s">
        <v>631</v>
      </c>
      <c r="G414" s="62" t="s">
        <v>406</v>
      </c>
      <c r="H414" s="60" t="str">
        <f>IF(Proc[[#This Row],[type]]="LFF (MDG-F)",MID(Proc[[#This Row],[Obj]],13,10),"")</f>
        <v>DE10568016</v>
      </c>
      <c r="J414" s="60" t="b">
        <f>Proc[[#This Row],[Requested]]=Proc[[#This Row],[CurrentParent]]</f>
        <v>1</v>
      </c>
      <c r="K414" s="144" t="str">
        <f>IF(Proc[[#This Row],[Author]]="Marcela Urrego",VLOOKUP(LEFT(Proc[[#This Row],[Requested]],1),Table3[#All],2,0),VLOOKUP(Proc[[#This Row],[Author]],Table4[],2,0))</f>
        <v>MGF</v>
      </c>
      <c r="L414" s="60" t="s">
        <v>509</v>
      </c>
      <c r="M414" s="71">
        <v>45692.46533564815</v>
      </c>
      <c r="P414" s="67" t="str">
        <f ca="1">IF(Proc[[#This Row],[DaysAgeing]]&gt;5,"yep","on track")</f>
        <v>yep</v>
      </c>
      <c r="Q414" s="3">
        <f ca="1">IF(Proc[[#This Row],[DateClosed]]="",ABS(NETWORKDAYS(Proc[[#This Row],[DateOpened]],TODAY()))-1,ABS(NETWORKDAYS(Proc[[#This Row],[DateOpened]],Proc[[#This Row],[DateClosed]]))-1)</f>
        <v>228</v>
      </c>
      <c r="R414" s="67" t="s">
        <v>549</v>
      </c>
      <c r="S414" s="94" t="e">
        <f>VLOOKUP(Proc[[#This Row],[Obj]],#REF!,2,0)</f>
        <v>#REF!</v>
      </c>
    </row>
    <row r="415" spans="1:19" hidden="1">
      <c r="A415" s="62" t="s">
        <v>1743</v>
      </c>
      <c r="B415" s="149" t="str">
        <f>IFERROR(VLOOKUP(Proc[[#This Row],[App]],Table2[],3,0),"open")</f>
        <v>ok</v>
      </c>
      <c r="C415" s="62" t="s">
        <v>369</v>
      </c>
      <c r="D415" t="s">
        <v>1736</v>
      </c>
      <c r="E415" t="s">
        <v>631</v>
      </c>
      <c r="F415" s="117" t="s">
        <v>631</v>
      </c>
      <c r="G415" s="62" t="s">
        <v>406</v>
      </c>
      <c r="H415" s="60" t="str">
        <f>IF(Proc[[#This Row],[type]]="LFF (MDG-F)",MID(Proc[[#This Row],[Obj]],13,10),"")</f>
        <v>DE20538431</v>
      </c>
      <c r="J415" s="60" t="b">
        <f>Proc[[#This Row],[Requested]]=Proc[[#This Row],[CurrentParent]]</f>
        <v>1</v>
      </c>
      <c r="K415" s="144" t="str">
        <f>IF(Proc[[#This Row],[Author]]="Marcela Urrego",VLOOKUP(LEFT(Proc[[#This Row],[Requested]],1),Table3[#All],2,0),VLOOKUP(Proc[[#This Row],[Author]],Table4[],2,0))</f>
        <v>MGF</v>
      </c>
      <c r="L415" s="60" t="s">
        <v>509</v>
      </c>
      <c r="M415" s="71">
        <v>45692.46533564815</v>
      </c>
      <c r="P415" s="67" t="str">
        <f ca="1">IF(Proc[[#This Row],[DaysAgeing]]&gt;5,"yep","on track")</f>
        <v>yep</v>
      </c>
      <c r="Q415" s="3">
        <f ca="1">IF(Proc[[#This Row],[DateClosed]]="",ABS(NETWORKDAYS(Proc[[#This Row],[DateOpened]],TODAY()))-1,ABS(NETWORKDAYS(Proc[[#This Row],[DateOpened]],Proc[[#This Row],[DateClosed]]))-1)</f>
        <v>228</v>
      </c>
      <c r="R415" s="67" t="s">
        <v>549</v>
      </c>
      <c r="S415" s="60"/>
    </row>
    <row r="416" spans="1:19" hidden="1">
      <c r="A416" s="62" t="s">
        <v>1743</v>
      </c>
      <c r="B416" s="149" t="str">
        <f>IFERROR(VLOOKUP(Proc[[#This Row],[App]],Table2[],3,0),"open")</f>
        <v>ok</v>
      </c>
      <c r="C416" s="62" t="s">
        <v>369</v>
      </c>
      <c r="D416" t="s">
        <v>1737</v>
      </c>
      <c r="E416" t="s">
        <v>631</v>
      </c>
      <c r="F416" s="117" t="s">
        <v>631</v>
      </c>
      <c r="G416" s="62" t="s">
        <v>406</v>
      </c>
      <c r="H416" s="60" t="str">
        <f>IF(Proc[[#This Row],[type]]="LFF (MDG-F)",MID(Proc[[#This Row],[Obj]],13,10),"")</f>
        <v>DE20567105</v>
      </c>
      <c r="J416" s="60" t="b">
        <f>Proc[[#This Row],[Requested]]=Proc[[#This Row],[CurrentParent]]</f>
        <v>1</v>
      </c>
      <c r="K416" s="144" t="str">
        <f>IF(Proc[[#This Row],[Author]]="Marcela Urrego",VLOOKUP(LEFT(Proc[[#This Row],[Requested]],1),Table3[#All],2,0),VLOOKUP(Proc[[#This Row],[Author]],Table4[],2,0))</f>
        <v>MGF</v>
      </c>
      <c r="L416" s="60" t="s">
        <v>509</v>
      </c>
      <c r="M416" s="71">
        <v>45692.46533564815</v>
      </c>
      <c r="P416" s="67" t="str">
        <f ca="1">IF(Proc[[#This Row],[DaysAgeing]]&gt;5,"yep","on track")</f>
        <v>yep</v>
      </c>
      <c r="Q416" s="3">
        <f ca="1">IF(Proc[[#This Row],[DateClosed]]="",ABS(NETWORKDAYS(Proc[[#This Row],[DateOpened]],TODAY()))-1,ABS(NETWORKDAYS(Proc[[#This Row],[DateOpened]],Proc[[#This Row],[DateClosed]]))-1)</f>
        <v>228</v>
      </c>
      <c r="R416" s="67" t="s">
        <v>549</v>
      </c>
      <c r="S416" s="60"/>
    </row>
    <row r="417" spans="1:19" hidden="1">
      <c r="A417" s="62" t="s">
        <v>1743</v>
      </c>
      <c r="B417" s="149" t="str">
        <f>IFERROR(VLOOKUP(Proc[[#This Row],[App]],Table2[],3,0),"open")</f>
        <v>ok</v>
      </c>
      <c r="C417" s="62" t="s">
        <v>369</v>
      </c>
      <c r="D417" t="s">
        <v>1738</v>
      </c>
      <c r="E417" t="s">
        <v>631</v>
      </c>
      <c r="F417" s="117" t="s">
        <v>631</v>
      </c>
      <c r="G417" s="62" t="s">
        <v>406</v>
      </c>
      <c r="H417" s="60" t="str">
        <f>IF(Proc[[#This Row],[type]]="LFF (MDG-F)",MID(Proc[[#This Row],[Obj]],13,10),"")</f>
        <v>DE10538431</v>
      </c>
      <c r="J417" s="60" t="b">
        <f>Proc[[#This Row],[Requested]]=Proc[[#This Row],[CurrentParent]]</f>
        <v>1</v>
      </c>
      <c r="K417" s="144" t="str">
        <f>IF(Proc[[#This Row],[Author]]="Marcela Urrego",VLOOKUP(LEFT(Proc[[#This Row],[Requested]],1),Table3[#All],2,0),VLOOKUP(Proc[[#This Row],[Author]],Table4[],2,0))</f>
        <v>MGF</v>
      </c>
      <c r="L417" s="60" t="s">
        <v>509</v>
      </c>
      <c r="M417" s="71">
        <v>45692.46533564815</v>
      </c>
      <c r="P417" s="67" t="str">
        <f ca="1">IF(Proc[[#This Row],[DaysAgeing]]&gt;5,"yep","on track")</f>
        <v>yep</v>
      </c>
      <c r="Q417" s="3">
        <f ca="1">IF(Proc[[#This Row],[DateClosed]]="",ABS(NETWORKDAYS(Proc[[#This Row],[DateOpened]],TODAY()))-1,ABS(NETWORKDAYS(Proc[[#This Row],[DateOpened]],Proc[[#This Row],[DateClosed]]))-1)</f>
        <v>228</v>
      </c>
      <c r="R417" s="67" t="s">
        <v>549</v>
      </c>
      <c r="S417" s="60"/>
    </row>
    <row r="418" spans="1:19" hidden="1">
      <c r="A418" s="62" t="s">
        <v>1743</v>
      </c>
      <c r="B418" s="149" t="str">
        <f>IFERROR(VLOOKUP(Proc[[#This Row],[App]],Table2[],3,0),"open")</f>
        <v>ok</v>
      </c>
      <c r="C418" s="62" t="s">
        <v>369</v>
      </c>
      <c r="D418" t="s">
        <v>457</v>
      </c>
      <c r="E418" t="s">
        <v>631</v>
      </c>
      <c r="F418" s="117" t="s">
        <v>631</v>
      </c>
      <c r="G418" s="62" t="s">
        <v>406</v>
      </c>
      <c r="H418" s="60" t="str">
        <f>IF(Proc[[#This Row],[type]]="LFF (MDG-F)",MID(Proc[[#This Row],[Obj]],13,10),"")</f>
        <v>DE10567105</v>
      </c>
      <c r="J418" s="60" t="b">
        <f>Proc[[#This Row],[Requested]]=Proc[[#This Row],[CurrentParent]]</f>
        <v>1</v>
      </c>
      <c r="K418" s="144" t="str">
        <f>IF(Proc[[#This Row],[Author]]="Marcela Urrego",VLOOKUP(LEFT(Proc[[#This Row],[Requested]],1),Table3[#All],2,0),VLOOKUP(Proc[[#This Row],[Author]],Table4[],2,0))</f>
        <v>MGF</v>
      </c>
      <c r="L418" s="60" t="s">
        <v>509</v>
      </c>
      <c r="M418" s="71">
        <v>45692.46533564815</v>
      </c>
      <c r="P418" s="67" t="str">
        <f ca="1">IF(Proc[[#This Row],[DaysAgeing]]&gt;5,"yep","on track")</f>
        <v>yep</v>
      </c>
      <c r="Q418" s="3">
        <f ca="1">IF(Proc[[#This Row],[DateClosed]]="",ABS(NETWORKDAYS(Proc[[#This Row],[DateOpened]],TODAY()))-1,ABS(NETWORKDAYS(Proc[[#This Row],[DateOpened]],Proc[[#This Row],[DateClosed]]))-1)</f>
        <v>228</v>
      </c>
      <c r="R418" s="67" t="s">
        <v>549</v>
      </c>
      <c r="S418" s="60"/>
    </row>
    <row r="419" spans="1:19" hidden="1">
      <c r="A419" s="62" t="s">
        <v>1743</v>
      </c>
      <c r="B419" s="149" t="str">
        <f>IFERROR(VLOOKUP(Proc[[#This Row],[App]],Table2[],3,0),"open")</f>
        <v>ok</v>
      </c>
      <c r="C419" s="62" t="s">
        <v>369</v>
      </c>
      <c r="D419" t="s">
        <v>486</v>
      </c>
      <c r="E419" t="s">
        <v>631</v>
      </c>
      <c r="F419" s="117" t="s">
        <v>631</v>
      </c>
      <c r="G419" s="62" t="s">
        <v>406</v>
      </c>
      <c r="H419" s="60" t="str">
        <f>IF(Proc[[#This Row],[type]]="LFF (MDG-F)",MID(Proc[[#This Row],[Obj]],13,10),"")</f>
        <v>DE10566400</v>
      </c>
      <c r="J419" s="60" t="b">
        <f>Proc[[#This Row],[Requested]]=Proc[[#This Row],[CurrentParent]]</f>
        <v>1</v>
      </c>
      <c r="K419" s="144" t="str">
        <f>IF(Proc[[#This Row],[Author]]="Marcela Urrego",VLOOKUP(LEFT(Proc[[#This Row],[Requested]],1),Table3[#All],2,0),VLOOKUP(Proc[[#This Row],[Author]],Table4[],2,0))</f>
        <v>MGF</v>
      </c>
      <c r="L419" s="60" t="s">
        <v>509</v>
      </c>
      <c r="M419" s="71">
        <v>45692.46533564815</v>
      </c>
      <c r="P419" s="67" t="str">
        <f ca="1">IF(Proc[[#This Row],[DaysAgeing]]&gt;5,"yep","on track")</f>
        <v>yep</v>
      </c>
      <c r="Q419" s="3">
        <f ca="1">IF(Proc[[#This Row],[DateClosed]]="",ABS(NETWORKDAYS(Proc[[#This Row],[DateOpened]],TODAY()))-1,ABS(NETWORKDAYS(Proc[[#This Row],[DateOpened]],Proc[[#This Row],[DateClosed]]))-1)</f>
        <v>228</v>
      </c>
      <c r="R419" s="67" t="s">
        <v>549</v>
      </c>
      <c r="S419" s="60"/>
    </row>
    <row r="420" spans="1:19" hidden="1">
      <c r="A420" s="62" t="s">
        <v>1743</v>
      </c>
      <c r="B420" s="149" t="str">
        <f>IFERROR(VLOOKUP(Proc[[#This Row],[App]],Table2[],3,0),"open")</f>
        <v>ok</v>
      </c>
      <c r="C420" s="62" t="s">
        <v>369</v>
      </c>
      <c r="D420" t="s">
        <v>966</v>
      </c>
      <c r="E420" t="s">
        <v>631</v>
      </c>
      <c r="F420" s="117" t="s">
        <v>631</v>
      </c>
      <c r="G420" s="62" t="s">
        <v>406</v>
      </c>
      <c r="H420" s="60" t="str">
        <f>IF(Proc[[#This Row],[type]]="LFF (MDG-F)",MID(Proc[[#This Row],[Obj]],13,10),"")</f>
        <v>DE10505600</v>
      </c>
      <c r="J420" s="60" t="b">
        <f>Proc[[#This Row],[Requested]]=Proc[[#This Row],[CurrentParent]]</f>
        <v>1</v>
      </c>
      <c r="K420" s="144" t="str">
        <f>IF(Proc[[#This Row],[Author]]="Marcela Urrego",VLOOKUP(LEFT(Proc[[#This Row],[Requested]],1),Table3[#All],2,0),VLOOKUP(Proc[[#This Row],[Author]],Table4[],2,0))</f>
        <v>MGF</v>
      </c>
      <c r="L420" s="60" t="s">
        <v>509</v>
      </c>
      <c r="M420" s="71">
        <v>45692.46533564815</v>
      </c>
      <c r="P420" s="67" t="str">
        <f ca="1">IF(Proc[[#This Row],[DaysAgeing]]&gt;5,"yep","on track")</f>
        <v>yep</v>
      </c>
      <c r="Q420" s="3">
        <f ca="1">IF(Proc[[#This Row],[DateClosed]]="",ABS(NETWORKDAYS(Proc[[#This Row],[DateOpened]],TODAY()))-1,ABS(NETWORKDAYS(Proc[[#This Row],[DateOpened]],Proc[[#This Row],[DateClosed]]))-1)</f>
        <v>228</v>
      </c>
      <c r="R420" s="67" t="s">
        <v>549</v>
      </c>
      <c r="S420" s="60"/>
    </row>
    <row r="421" spans="1:19" hidden="1">
      <c r="A421" s="62" t="s">
        <v>1743</v>
      </c>
      <c r="B421" s="149" t="str">
        <f>IFERROR(VLOOKUP(Proc[[#This Row],[App]],Table2[],3,0),"open")</f>
        <v>ok</v>
      </c>
      <c r="C421" s="62" t="s">
        <v>377</v>
      </c>
      <c r="D421" t="s">
        <v>1100</v>
      </c>
      <c r="E421" t="s">
        <v>631</v>
      </c>
      <c r="F421" s="103" t="s">
        <v>631</v>
      </c>
      <c r="G421" s="62" t="s">
        <v>406</v>
      </c>
      <c r="H421" s="60" t="str">
        <f>IF(Proc[[#This Row],[type]]="LFF (MDG-F)",MID(Proc[[#This Row],[Obj]],13,10),"")</f>
        <v>DE20566500</v>
      </c>
      <c r="J421" s="60" t="b">
        <f>Proc[[#This Row],[Requested]]=Proc[[#This Row],[CurrentParent]]</f>
        <v>1</v>
      </c>
      <c r="K421" s="144" t="str">
        <f>IF(Proc[[#This Row],[Author]]="Marcela Urrego",VLOOKUP(LEFT(Proc[[#This Row],[Requested]],1),Table3[#All],2,0),VLOOKUP(Proc[[#This Row],[Author]],Table4[],2,0))</f>
        <v>MGF</v>
      </c>
      <c r="L421" s="60" t="s">
        <v>509</v>
      </c>
      <c r="M421" s="71">
        <v>45692.46533564815</v>
      </c>
      <c r="P421" s="67" t="str">
        <f ca="1">IF(Proc[[#This Row],[DaysAgeing]]&gt;5,"yep","on track")</f>
        <v>yep</v>
      </c>
      <c r="Q421" s="3">
        <f ca="1">IF(Proc[[#This Row],[DateClosed]]="",ABS(NETWORKDAYS(Proc[[#This Row],[DateOpened]],TODAY()))-1,ABS(NETWORKDAYS(Proc[[#This Row],[DateOpened]],Proc[[#This Row],[DateClosed]]))-1)</f>
        <v>228</v>
      </c>
      <c r="R421" s="67" t="s">
        <v>549</v>
      </c>
      <c r="S421" s="94" t="e">
        <f>VLOOKUP(Proc[[#This Row],[Obj]],#REF!,2,0)</f>
        <v>#REF!</v>
      </c>
    </row>
    <row r="422" spans="1:19" hidden="1">
      <c r="A422" s="62" t="s">
        <v>1743</v>
      </c>
      <c r="B422" s="149" t="str">
        <f>IFERROR(VLOOKUP(Proc[[#This Row],[App]],Table2[],3,0),"open")</f>
        <v>ok</v>
      </c>
      <c r="C422" s="62" t="s">
        <v>369</v>
      </c>
      <c r="D422" t="s">
        <v>487</v>
      </c>
      <c r="E422" t="s">
        <v>631</v>
      </c>
      <c r="F422" s="117" t="s">
        <v>631</v>
      </c>
      <c r="G422" s="62" t="s">
        <v>406</v>
      </c>
      <c r="H422" s="60" t="str">
        <f>IF(Proc[[#This Row],[type]]="LFF (MDG-F)",MID(Proc[[#This Row],[Obj]],13,10),"")</f>
        <v>DE20625300</v>
      </c>
      <c r="J422" s="60" t="b">
        <f>Proc[[#This Row],[Requested]]=Proc[[#This Row],[CurrentParent]]</f>
        <v>1</v>
      </c>
      <c r="K422" s="144" t="str">
        <f>IF(Proc[[#This Row],[Author]]="Marcela Urrego",VLOOKUP(LEFT(Proc[[#This Row],[Requested]],1),Table3[#All],2,0),VLOOKUP(Proc[[#This Row],[Author]],Table4[],2,0))</f>
        <v>MGF</v>
      </c>
      <c r="L422" s="60" t="s">
        <v>509</v>
      </c>
      <c r="M422" s="71">
        <v>45692.46533564815</v>
      </c>
      <c r="P422" s="67" t="str">
        <f ca="1">IF(Proc[[#This Row],[DaysAgeing]]&gt;5,"yep","on track")</f>
        <v>yep</v>
      </c>
      <c r="Q422" s="3">
        <f ca="1">IF(Proc[[#This Row],[DateClosed]]="",ABS(NETWORKDAYS(Proc[[#This Row],[DateOpened]],TODAY()))-1,ABS(NETWORKDAYS(Proc[[#This Row],[DateOpened]],Proc[[#This Row],[DateClosed]]))-1)</f>
        <v>228</v>
      </c>
      <c r="R422" s="67" t="s">
        <v>549</v>
      </c>
      <c r="S422" s="60"/>
    </row>
    <row r="423" spans="1:19" hidden="1">
      <c r="A423" s="62" t="s">
        <v>1743</v>
      </c>
      <c r="B423" s="149" t="str">
        <f>IFERROR(VLOOKUP(Proc[[#This Row],[App]],Table2[],3,0),"open")</f>
        <v>ok</v>
      </c>
      <c r="C423" s="62" t="s">
        <v>369</v>
      </c>
      <c r="D423" t="s">
        <v>464</v>
      </c>
      <c r="E423" t="s">
        <v>631</v>
      </c>
      <c r="F423" s="117" t="s">
        <v>631</v>
      </c>
      <c r="G423" s="62" t="s">
        <v>406</v>
      </c>
      <c r="H423" s="60" t="str">
        <f>IF(Proc[[#This Row],[type]]="LFF (MDG-F)",MID(Proc[[#This Row],[Obj]],13,10),"")</f>
        <v>DE20585300</v>
      </c>
      <c r="J423" s="60" t="b">
        <f>Proc[[#This Row],[Requested]]=Proc[[#This Row],[CurrentParent]]</f>
        <v>1</v>
      </c>
      <c r="K423" s="144" t="str">
        <f>IF(Proc[[#This Row],[Author]]="Marcela Urrego",VLOOKUP(LEFT(Proc[[#This Row],[Requested]],1),Table3[#All],2,0),VLOOKUP(Proc[[#This Row],[Author]],Table4[],2,0))</f>
        <v>MGF</v>
      </c>
      <c r="L423" s="60" t="s">
        <v>509</v>
      </c>
      <c r="M423" s="71">
        <v>45692.46533564815</v>
      </c>
      <c r="P423" s="67" t="str">
        <f ca="1">IF(Proc[[#This Row],[DaysAgeing]]&gt;5,"yep","on track")</f>
        <v>yep</v>
      </c>
      <c r="Q423" s="3">
        <f ca="1">IF(Proc[[#This Row],[DateClosed]]="",ABS(NETWORKDAYS(Proc[[#This Row],[DateOpened]],TODAY()))-1,ABS(NETWORKDAYS(Proc[[#This Row],[DateOpened]],Proc[[#This Row],[DateClosed]]))-1)</f>
        <v>228</v>
      </c>
      <c r="R423" s="67" t="s">
        <v>549</v>
      </c>
      <c r="S423" s="60"/>
    </row>
    <row r="424" spans="1:19" hidden="1">
      <c r="A424" t="s">
        <v>1743</v>
      </c>
      <c r="B424" s="149" t="str">
        <f>IFERROR(VLOOKUP(Proc[[#This Row],[App]],Table2[],3,0),"open")</f>
        <v>ok</v>
      </c>
      <c r="C424" s="62" t="s">
        <v>369</v>
      </c>
      <c r="D424" t="s">
        <v>1739</v>
      </c>
      <c r="E424" t="s">
        <v>631</v>
      </c>
      <c r="F424" s="117" t="s">
        <v>631</v>
      </c>
      <c r="G424" t="s">
        <v>406</v>
      </c>
      <c r="H424" s="60" t="str">
        <f>IF(Proc[[#This Row],[type]]="LFF (MDG-F)",MID(Proc[[#This Row],[Obj]],13,10),"")</f>
        <v>DE10649700</v>
      </c>
      <c r="J424" s="60" t="b">
        <f>Proc[[#This Row],[Requested]]=Proc[[#This Row],[CurrentParent]]</f>
        <v>1</v>
      </c>
      <c r="K424" s="144" t="str">
        <f>IF(Proc[[#This Row],[Author]]="Marcela Urrego",VLOOKUP(LEFT(Proc[[#This Row],[Requested]],1),Table3[#All],2,0),VLOOKUP(Proc[[#This Row],[Author]],Table4[],2,0))</f>
        <v>MGF</v>
      </c>
      <c r="L424" s="60" t="s">
        <v>509</v>
      </c>
      <c r="M424" s="71">
        <v>45692.46533564815</v>
      </c>
      <c r="P424" s="67" t="str">
        <f ca="1">IF(Proc[[#This Row],[DaysAgeing]]&gt;5,"yep","on track")</f>
        <v>yep</v>
      </c>
      <c r="Q424" s="3">
        <f ca="1">IF(Proc[[#This Row],[DateClosed]]="",ABS(NETWORKDAYS(Proc[[#This Row],[DateOpened]],TODAY()))-1,ABS(NETWORKDAYS(Proc[[#This Row],[DateOpened]],Proc[[#This Row],[DateClosed]]))-1)</f>
        <v>228</v>
      </c>
      <c r="R424" s="67" t="s">
        <v>549</v>
      </c>
      <c r="S424" s="60"/>
    </row>
    <row r="425" spans="1:19" hidden="1">
      <c r="A425" t="s">
        <v>1743</v>
      </c>
      <c r="B425" s="149" t="str">
        <f>IFERROR(VLOOKUP(Proc[[#This Row],[App]],Table2[],3,0),"open")</f>
        <v>ok</v>
      </c>
      <c r="C425" t="s">
        <v>369</v>
      </c>
      <c r="D425" t="s">
        <v>1740</v>
      </c>
      <c r="E425" t="s">
        <v>631</v>
      </c>
      <c r="F425" s="117" t="s">
        <v>631</v>
      </c>
      <c r="G425" t="s">
        <v>406</v>
      </c>
      <c r="H425" s="60" t="str">
        <f>IF(Proc[[#This Row],[type]]="LFF (MDG-F)",MID(Proc[[#This Row],[Obj]],13,10),"")</f>
        <v>DE10607900</v>
      </c>
      <c r="J425" s="60" t="b">
        <f>Proc[[#This Row],[Requested]]=Proc[[#This Row],[CurrentParent]]</f>
        <v>1</v>
      </c>
      <c r="K425" s="144" t="str">
        <f>IF(Proc[[#This Row],[Author]]="Marcela Urrego",VLOOKUP(LEFT(Proc[[#This Row],[Requested]],1),Table3[#All],2,0),VLOOKUP(Proc[[#This Row],[Author]],Table4[],2,0))</f>
        <v>MGF</v>
      </c>
      <c r="L425" s="60" t="s">
        <v>509</v>
      </c>
      <c r="M425" s="71">
        <v>45692.46533564815</v>
      </c>
      <c r="P425" s="67" t="str">
        <f ca="1">IF(Proc[[#This Row],[DaysAgeing]]&gt;5,"yep","on track")</f>
        <v>yep</v>
      </c>
      <c r="Q425" s="3">
        <f ca="1">IF(Proc[[#This Row],[DateClosed]]="",ABS(NETWORKDAYS(Proc[[#This Row],[DateOpened]],TODAY()))-1,ABS(NETWORKDAYS(Proc[[#This Row],[DateOpened]],Proc[[#This Row],[DateClosed]]))-1)</f>
        <v>228</v>
      </c>
      <c r="R425" s="67" t="s">
        <v>549</v>
      </c>
      <c r="S425" s="60"/>
    </row>
    <row r="426" spans="1:19" hidden="1">
      <c r="A426" s="62" t="s">
        <v>1743</v>
      </c>
      <c r="B426" s="149" t="str">
        <f>IFERROR(VLOOKUP(Proc[[#This Row],[App]],Table2[],3,0),"open")</f>
        <v>ok</v>
      </c>
      <c r="C426" s="62" t="s">
        <v>369</v>
      </c>
      <c r="D426" t="s">
        <v>454</v>
      </c>
      <c r="E426" t="s">
        <v>631</v>
      </c>
      <c r="F426" s="117" t="s">
        <v>631</v>
      </c>
      <c r="G426" s="62" t="s">
        <v>406</v>
      </c>
      <c r="H426" s="60" t="str">
        <f>IF(Proc[[#This Row],[type]]="LFF (MDG-F)",MID(Proc[[#This Row],[Obj]],13,10),"")</f>
        <v>DE10517300</v>
      </c>
      <c r="J426" s="60" t="b">
        <f>Proc[[#This Row],[Requested]]=Proc[[#This Row],[CurrentParent]]</f>
        <v>1</v>
      </c>
      <c r="K426" s="144" t="str">
        <f>IF(Proc[[#This Row],[Author]]="Marcela Urrego",VLOOKUP(LEFT(Proc[[#This Row],[Requested]],1),Table3[#All],2,0),VLOOKUP(Proc[[#This Row],[Author]],Table4[],2,0))</f>
        <v>MGF</v>
      </c>
      <c r="L426" s="60" t="s">
        <v>509</v>
      </c>
      <c r="M426" s="71">
        <v>45692.46533564815</v>
      </c>
      <c r="P426" s="67" t="str">
        <f ca="1">IF(Proc[[#This Row],[DaysAgeing]]&gt;5,"yep","on track")</f>
        <v>yep</v>
      </c>
      <c r="Q426" s="3">
        <f ca="1">IF(Proc[[#This Row],[DateClosed]]="",ABS(NETWORKDAYS(Proc[[#This Row],[DateOpened]],TODAY()))-1,ABS(NETWORKDAYS(Proc[[#This Row],[DateOpened]],Proc[[#This Row],[DateClosed]]))-1)</f>
        <v>228</v>
      </c>
      <c r="R426" s="67" t="s">
        <v>549</v>
      </c>
      <c r="S426" s="60"/>
    </row>
    <row r="427" spans="1:19" hidden="1">
      <c r="A427" s="62" t="s">
        <v>1743</v>
      </c>
      <c r="B427" s="149" t="str">
        <f>IFERROR(VLOOKUP(Proc[[#This Row],[App]],Table2[],3,0),"open")</f>
        <v>ok</v>
      </c>
      <c r="C427" s="62" t="s">
        <v>369</v>
      </c>
      <c r="D427" t="s">
        <v>1741</v>
      </c>
      <c r="E427" t="s">
        <v>631</v>
      </c>
      <c r="F427" s="117" t="s">
        <v>631</v>
      </c>
      <c r="G427" s="62" t="s">
        <v>406</v>
      </c>
      <c r="H427" s="60" t="str">
        <f>IF(Proc[[#This Row],[type]]="LFF (MDG-F)",MID(Proc[[#This Row],[Obj]],13,10),"")</f>
        <v>DE20569511</v>
      </c>
      <c r="J427" s="60" t="b">
        <f>Proc[[#This Row],[Requested]]=Proc[[#This Row],[CurrentParent]]</f>
        <v>1</v>
      </c>
      <c r="K427" s="144" t="str">
        <f>IF(Proc[[#This Row],[Author]]="Marcela Urrego",VLOOKUP(LEFT(Proc[[#This Row],[Requested]],1),Table3[#All],2,0),VLOOKUP(Proc[[#This Row],[Author]],Table4[],2,0))</f>
        <v>MGF</v>
      </c>
      <c r="L427" s="60" t="s">
        <v>509</v>
      </c>
      <c r="M427" s="71">
        <v>45692.46533564815</v>
      </c>
      <c r="P427" s="67" t="str">
        <f ca="1">IF(Proc[[#This Row],[DaysAgeing]]&gt;5,"yep","on track")</f>
        <v>yep</v>
      </c>
      <c r="Q427" s="3">
        <f ca="1">IF(Proc[[#This Row],[DateClosed]]="",ABS(NETWORKDAYS(Proc[[#This Row],[DateOpened]],TODAY()))-1,ABS(NETWORKDAYS(Proc[[#This Row],[DateOpened]],Proc[[#This Row],[DateClosed]]))-1)</f>
        <v>228</v>
      </c>
      <c r="R427" s="67" t="s">
        <v>549</v>
      </c>
      <c r="S427" s="60"/>
    </row>
    <row r="428" spans="1:19" hidden="1">
      <c r="A428" s="62" t="s">
        <v>1743</v>
      </c>
      <c r="B428" s="149" t="str">
        <f>IFERROR(VLOOKUP(Proc[[#This Row],[App]],Table2[],3,0),"open")</f>
        <v>ok</v>
      </c>
      <c r="C428" s="62" t="s">
        <v>369</v>
      </c>
      <c r="D428" t="s">
        <v>1742</v>
      </c>
      <c r="E428" t="s">
        <v>631</v>
      </c>
      <c r="F428" s="117" t="s">
        <v>631</v>
      </c>
      <c r="G428" s="62" t="s">
        <v>406</v>
      </c>
      <c r="H428" s="60" t="str">
        <f>IF(Proc[[#This Row],[type]]="LFF (MDG-F)",MID(Proc[[#This Row],[Obj]],13,10),"")</f>
        <v>DE20675101</v>
      </c>
      <c r="J428" s="60" t="b">
        <f>Proc[[#This Row],[Requested]]=Proc[[#This Row],[CurrentParent]]</f>
        <v>1</v>
      </c>
      <c r="K428" s="144" t="str">
        <f>IF(Proc[[#This Row],[Author]]="Marcela Urrego",VLOOKUP(LEFT(Proc[[#This Row],[Requested]],1),Table3[#All],2,0),VLOOKUP(Proc[[#This Row],[Author]],Table4[],2,0))</f>
        <v>MGF</v>
      </c>
      <c r="L428" s="60" t="s">
        <v>509</v>
      </c>
      <c r="M428" s="71">
        <v>45692.46533564815</v>
      </c>
      <c r="P428" s="67" t="str">
        <f ca="1">IF(Proc[[#This Row],[DaysAgeing]]&gt;5,"yep","on track")</f>
        <v>yep</v>
      </c>
      <c r="Q428" s="3">
        <f ca="1">IF(Proc[[#This Row],[DateClosed]]="",ABS(NETWORKDAYS(Proc[[#This Row],[DateOpened]],TODAY()))-1,ABS(NETWORKDAYS(Proc[[#This Row],[DateOpened]],Proc[[#This Row],[DateClosed]]))-1)</f>
        <v>228</v>
      </c>
      <c r="R428" s="67" t="s">
        <v>549</v>
      </c>
      <c r="S428" s="60"/>
    </row>
    <row r="429" spans="1:19" hidden="1">
      <c r="A429" t="s">
        <v>1809</v>
      </c>
      <c r="B429" s="149" t="str">
        <f>IFERROR(VLOOKUP(Proc[[#This Row],[App]],Table2[],3,0),"open")</f>
        <v>ok</v>
      </c>
      <c r="C429" s="62" t="s">
        <v>369</v>
      </c>
      <c r="D429" t="s">
        <v>1810</v>
      </c>
      <c r="E429" t="s">
        <v>476</v>
      </c>
      <c r="F429" s="117" t="s">
        <v>476</v>
      </c>
      <c r="G429" t="s">
        <v>400</v>
      </c>
      <c r="H429" s="60" t="str">
        <f>IF(Proc[[#This Row],[type]]="LFF (MDG-F)",MID(Proc[[#This Row],[Obj]],13,10),"")</f>
        <v/>
      </c>
      <c r="J429" s="60" t="b">
        <f>Proc[[#This Row],[Requested]]=Proc[[#This Row],[CurrentParent]]</f>
        <v>1</v>
      </c>
      <c r="K429" s="144" t="str">
        <f>IF(Proc[[#This Row],[Author]]="Marcela Urrego",VLOOKUP(LEFT(Proc[[#This Row],[Requested]],1),Table3[#All],2,0),VLOOKUP(Proc[[#This Row],[Author]],Table4[],2,0))</f>
        <v>MGF</v>
      </c>
      <c r="L429" s="60" t="s">
        <v>509</v>
      </c>
      <c r="M429" s="71">
        <v>45693.602835648147</v>
      </c>
      <c r="P429" s="67" t="str">
        <f ca="1">IF(Proc[[#This Row],[DaysAgeing]]&gt;5,"yep","on track")</f>
        <v>yep</v>
      </c>
      <c r="Q429" s="3">
        <f ca="1">IF(Proc[[#This Row],[DateClosed]]="",ABS(NETWORKDAYS(Proc[[#This Row],[DateOpened]],TODAY()))-1,ABS(NETWORKDAYS(Proc[[#This Row],[DateOpened]],Proc[[#This Row],[DateClosed]]))-1)</f>
        <v>227</v>
      </c>
      <c r="R429" s="67" t="s">
        <v>515</v>
      </c>
      <c r="S429" s="60"/>
    </row>
    <row r="430" spans="1:19" hidden="1">
      <c r="A430" s="62" t="s">
        <v>1809</v>
      </c>
      <c r="B430" s="149" t="str">
        <f>IFERROR(VLOOKUP(Proc[[#This Row],[App]],Table2[],3,0),"open")</f>
        <v>ok</v>
      </c>
      <c r="C430" s="62" t="s">
        <v>369</v>
      </c>
      <c r="D430" t="s">
        <v>1811</v>
      </c>
      <c r="E430" t="s">
        <v>476</v>
      </c>
      <c r="F430" s="117" t="s">
        <v>476</v>
      </c>
      <c r="G430" s="62" t="s">
        <v>400</v>
      </c>
      <c r="H430" s="60" t="str">
        <f>IF(Proc[[#This Row],[type]]="LFF (MDG-F)",MID(Proc[[#This Row],[Obj]],13,10),"")</f>
        <v/>
      </c>
      <c r="J430" s="60" t="b">
        <f>Proc[[#This Row],[Requested]]=Proc[[#This Row],[CurrentParent]]</f>
        <v>1</v>
      </c>
      <c r="K430" s="144" t="str">
        <f>IF(Proc[[#This Row],[Author]]="Marcela Urrego",VLOOKUP(LEFT(Proc[[#This Row],[Requested]],1),Table3[#All],2,0),VLOOKUP(Proc[[#This Row],[Author]],Table4[],2,0))</f>
        <v>MGF</v>
      </c>
      <c r="L430" s="60" t="s">
        <v>509</v>
      </c>
      <c r="M430" s="71">
        <v>45693.602835648147</v>
      </c>
      <c r="P430" s="67" t="str">
        <f ca="1">IF(Proc[[#This Row],[DaysAgeing]]&gt;5,"yep","on track")</f>
        <v>yep</v>
      </c>
      <c r="Q430" s="3">
        <f ca="1">IF(Proc[[#This Row],[DateClosed]]="",ABS(NETWORKDAYS(Proc[[#This Row],[DateOpened]],TODAY()))-1,ABS(NETWORKDAYS(Proc[[#This Row],[DateOpened]],Proc[[#This Row],[DateClosed]]))-1)</f>
        <v>227</v>
      </c>
      <c r="R430" s="67" t="s">
        <v>515</v>
      </c>
      <c r="S430" s="60"/>
    </row>
    <row r="431" spans="1:19" hidden="1">
      <c r="A431" s="62" t="s">
        <v>1809</v>
      </c>
      <c r="B431" s="149" t="str">
        <f>IFERROR(VLOOKUP(Proc[[#This Row],[App]],Table2[],3,0),"open")</f>
        <v>ok</v>
      </c>
      <c r="C431" s="62" t="s">
        <v>369</v>
      </c>
      <c r="D431" t="s">
        <v>1812</v>
      </c>
      <c r="E431" t="s">
        <v>541</v>
      </c>
      <c r="F431" s="117" t="s">
        <v>541</v>
      </c>
      <c r="G431" s="62" t="s">
        <v>400</v>
      </c>
      <c r="H431" s="60" t="str">
        <f>IF(Proc[[#This Row],[type]]="LFF (MDG-F)",MID(Proc[[#This Row],[Obj]],13,10),"")</f>
        <v/>
      </c>
      <c r="J431" s="60" t="b">
        <f>Proc[[#This Row],[Requested]]=Proc[[#This Row],[CurrentParent]]</f>
        <v>1</v>
      </c>
      <c r="K431" s="144" t="str">
        <f>IF(Proc[[#This Row],[Author]]="Marcela Urrego",VLOOKUP(LEFT(Proc[[#This Row],[Requested]],1),Table3[#All],2,0),VLOOKUP(Proc[[#This Row],[Author]],Table4[],2,0))</f>
        <v>MGF</v>
      </c>
      <c r="L431" s="60" t="s">
        <v>509</v>
      </c>
      <c r="M431" s="71">
        <v>45693.602835648147</v>
      </c>
      <c r="P431" s="67" t="str">
        <f ca="1">IF(Proc[[#This Row],[DaysAgeing]]&gt;5,"yep","on track")</f>
        <v>yep</v>
      </c>
      <c r="Q431" s="3">
        <f ca="1">IF(Proc[[#This Row],[DateClosed]]="",ABS(NETWORKDAYS(Proc[[#This Row],[DateOpened]],TODAY()))-1,ABS(NETWORKDAYS(Proc[[#This Row],[DateOpened]],Proc[[#This Row],[DateClosed]]))-1)</f>
        <v>227</v>
      </c>
      <c r="R431" s="67" t="s">
        <v>515</v>
      </c>
      <c r="S431" s="60"/>
    </row>
    <row r="432" spans="1:19" hidden="1">
      <c r="A432" s="62" t="s">
        <v>1751</v>
      </c>
      <c r="B432" s="149" t="str">
        <f>IFERROR(VLOOKUP(Proc[[#This Row],[App]],Table2[],3,0),"open")</f>
        <v>ok</v>
      </c>
      <c r="C432" s="62" t="s">
        <v>369</v>
      </c>
      <c r="D432" t="s">
        <v>1752</v>
      </c>
      <c r="E432" t="s">
        <v>1808</v>
      </c>
      <c r="F432" s="117" t="s">
        <v>1808</v>
      </c>
      <c r="G432" s="62" t="s">
        <v>400</v>
      </c>
      <c r="H432" s="60" t="str">
        <f>IF(Proc[[#This Row],[type]]="LFF (MDG-F)",MID(Proc[[#This Row],[Obj]],13,10),"")</f>
        <v/>
      </c>
      <c r="J432" s="60" t="b">
        <f>Proc[[#This Row],[Requested]]=Proc[[#This Row],[CurrentParent]]</f>
        <v>1</v>
      </c>
      <c r="K432" s="144" t="str">
        <f>IF(Proc[[#This Row],[Author]]="Marcela Urrego",VLOOKUP(LEFT(Proc[[#This Row],[Requested]],1),Table3[#All],2,0),VLOOKUP(Proc[[#This Row],[Author]],Table4[],2,0))</f>
        <v>LS</v>
      </c>
      <c r="L432" s="60" t="s">
        <v>509</v>
      </c>
      <c r="M432" s="71">
        <v>45693.65792824074</v>
      </c>
      <c r="P432" s="67" t="str">
        <f ca="1">IF(Proc[[#This Row],[DaysAgeing]]&gt;5,"yep","on track")</f>
        <v>yep</v>
      </c>
      <c r="Q432" s="3">
        <f ca="1">IF(Proc[[#This Row],[DateClosed]]="",ABS(NETWORKDAYS(Proc[[#This Row],[DateOpened]],TODAY()))-1,ABS(NETWORKDAYS(Proc[[#This Row],[DateOpened]],Proc[[#This Row],[DateClosed]]))-1)</f>
        <v>227</v>
      </c>
      <c r="R432" s="67" t="s">
        <v>830</v>
      </c>
      <c r="S432" s="60"/>
    </row>
    <row r="433" spans="1:19" hidden="1">
      <c r="A433" s="62" t="s">
        <v>1751</v>
      </c>
      <c r="B433" s="149" t="str">
        <f>IFERROR(VLOOKUP(Proc[[#This Row],[App]],Table2[],3,0),"open")</f>
        <v>ok</v>
      </c>
      <c r="C433" s="62" t="s">
        <v>369</v>
      </c>
      <c r="D433" t="s">
        <v>1753</v>
      </c>
      <c r="E433" t="s">
        <v>1808</v>
      </c>
      <c r="F433" s="117" t="s">
        <v>1808</v>
      </c>
      <c r="G433" s="62" t="s">
        <v>400</v>
      </c>
      <c r="H433" s="60" t="str">
        <f>IF(Proc[[#This Row],[type]]="LFF (MDG-F)",MID(Proc[[#This Row],[Obj]],13,10),"")</f>
        <v/>
      </c>
      <c r="J433" s="60" t="b">
        <f>Proc[[#This Row],[Requested]]=Proc[[#This Row],[CurrentParent]]</f>
        <v>1</v>
      </c>
      <c r="K433" s="144" t="str">
        <f>IF(Proc[[#This Row],[Author]]="Marcela Urrego",VLOOKUP(LEFT(Proc[[#This Row],[Requested]],1),Table3[#All],2,0),VLOOKUP(Proc[[#This Row],[Author]],Table4[],2,0))</f>
        <v>LS</v>
      </c>
      <c r="L433" s="60" t="s">
        <v>509</v>
      </c>
      <c r="M433" s="71">
        <v>45693.65792824074</v>
      </c>
      <c r="P433" s="67" t="str">
        <f ca="1">IF(Proc[[#This Row],[DaysAgeing]]&gt;5,"yep","on track")</f>
        <v>yep</v>
      </c>
      <c r="Q433" s="3">
        <f ca="1">IF(Proc[[#This Row],[DateClosed]]="",ABS(NETWORKDAYS(Proc[[#This Row],[DateOpened]],TODAY()))-1,ABS(NETWORKDAYS(Proc[[#This Row],[DateOpened]],Proc[[#This Row],[DateClosed]]))-1)</f>
        <v>227</v>
      </c>
      <c r="R433" s="67" t="s">
        <v>830</v>
      </c>
      <c r="S433" s="60"/>
    </row>
    <row r="434" spans="1:19" hidden="1">
      <c r="A434" s="62" t="s">
        <v>1751</v>
      </c>
      <c r="B434" s="149" t="str">
        <f>IFERROR(VLOOKUP(Proc[[#This Row],[App]],Table2[],3,0),"open")</f>
        <v>ok</v>
      </c>
      <c r="C434" s="62" t="s">
        <v>369</v>
      </c>
      <c r="D434" t="s">
        <v>1754</v>
      </c>
      <c r="E434" t="s">
        <v>1808</v>
      </c>
      <c r="F434" s="117" t="s">
        <v>1808</v>
      </c>
      <c r="G434" s="62" t="s">
        <v>400</v>
      </c>
      <c r="H434" s="60" t="str">
        <f>IF(Proc[[#This Row],[type]]="LFF (MDG-F)",MID(Proc[[#This Row],[Obj]],13,10),"")</f>
        <v/>
      </c>
      <c r="J434" s="60" t="b">
        <f>Proc[[#This Row],[Requested]]=Proc[[#This Row],[CurrentParent]]</f>
        <v>1</v>
      </c>
      <c r="K434" s="144" t="str">
        <f>IF(Proc[[#This Row],[Author]]="Marcela Urrego",VLOOKUP(LEFT(Proc[[#This Row],[Requested]],1),Table3[#All],2,0),VLOOKUP(Proc[[#This Row],[Author]],Table4[],2,0))</f>
        <v>LS</v>
      </c>
      <c r="L434" s="60" t="s">
        <v>509</v>
      </c>
      <c r="M434" s="71">
        <v>45693.65792824074</v>
      </c>
      <c r="P434" s="67" t="str">
        <f ca="1">IF(Proc[[#This Row],[DaysAgeing]]&gt;5,"yep","on track")</f>
        <v>yep</v>
      </c>
      <c r="Q434" s="3">
        <f ca="1">IF(Proc[[#This Row],[DateClosed]]="",ABS(NETWORKDAYS(Proc[[#This Row],[DateOpened]],TODAY()))-1,ABS(NETWORKDAYS(Proc[[#This Row],[DateOpened]],Proc[[#This Row],[DateClosed]]))-1)</f>
        <v>227</v>
      </c>
      <c r="R434" s="67" t="s">
        <v>830</v>
      </c>
      <c r="S434" s="60"/>
    </row>
    <row r="435" spans="1:19" hidden="1">
      <c r="A435" s="62" t="s">
        <v>1751</v>
      </c>
      <c r="B435" s="149" t="str">
        <f>IFERROR(VLOOKUP(Proc[[#This Row],[App]],Table2[],3,0),"open")</f>
        <v>ok</v>
      </c>
      <c r="C435" s="62" t="s">
        <v>369</v>
      </c>
      <c r="D435" t="s">
        <v>1755</v>
      </c>
      <c r="E435" t="s">
        <v>1808</v>
      </c>
      <c r="F435" s="117" t="s">
        <v>1808</v>
      </c>
      <c r="G435" s="62" t="s">
        <v>400</v>
      </c>
      <c r="H435" s="60" t="str">
        <f>IF(Proc[[#This Row],[type]]="LFF (MDG-F)",MID(Proc[[#This Row],[Obj]],13,10),"")</f>
        <v/>
      </c>
      <c r="J435" s="60" t="b">
        <f>Proc[[#This Row],[Requested]]=Proc[[#This Row],[CurrentParent]]</f>
        <v>1</v>
      </c>
      <c r="K435" s="144" t="str">
        <f>IF(Proc[[#This Row],[Author]]="Marcela Urrego",VLOOKUP(LEFT(Proc[[#This Row],[Requested]],1),Table3[#All],2,0),VLOOKUP(Proc[[#This Row],[Author]],Table4[],2,0))</f>
        <v>LS</v>
      </c>
      <c r="L435" s="60" t="s">
        <v>509</v>
      </c>
      <c r="M435" s="71">
        <v>45693.65792824074</v>
      </c>
      <c r="P435" s="67" t="str">
        <f ca="1">IF(Proc[[#This Row],[DaysAgeing]]&gt;5,"yep","on track")</f>
        <v>yep</v>
      </c>
      <c r="Q435" s="3">
        <f ca="1">IF(Proc[[#This Row],[DateClosed]]="",ABS(NETWORKDAYS(Proc[[#This Row],[DateOpened]],TODAY()))-1,ABS(NETWORKDAYS(Proc[[#This Row],[DateOpened]],Proc[[#This Row],[DateClosed]]))-1)</f>
        <v>227</v>
      </c>
      <c r="R435" s="67" t="s">
        <v>830</v>
      </c>
      <c r="S435" s="60"/>
    </row>
    <row r="436" spans="1:19" hidden="1">
      <c r="A436" s="62" t="s">
        <v>1751</v>
      </c>
      <c r="B436" s="149" t="str">
        <f>IFERROR(VLOOKUP(Proc[[#This Row],[App]],Table2[],3,0),"open")</f>
        <v>ok</v>
      </c>
      <c r="C436" s="62" t="s">
        <v>369</v>
      </c>
      <c r="D436" t="s">
        <v>1756</v>
      </c>
      <c r="E436" t="s">
        <v>1808</v>
      </c>
      <c r="F436" s="117" t="s">
        <v>1808</v>
      </c>
      <c r="G436" s="62" t="s">
        <v>400</v>
      </c>
      <c r="H436" s="60" t="str">
        <f>IF(Proc[[#This Row],[type]]="LFF (MDG-F)",MID(Proc[[#This Row],[Obj]],13,10),"")</f>
        <v/>
      </c>
      <c r="J436" s="60" t="b">
        <f>Proc[[#This Row],[Requested]]=Proc[[#This Row],[CurrentParent]]</f>
        <v>1</v>
      </c>
      <c r="K436" s="144" t="str">
        <f>IF(Proc[[#This Row],[Author]]="Marcela Urrego",VLOOKUP(LEFT(Proc[[#This Row],[Requested]],1),Table3[#All],2,0),VLOOKUP(Proc[[#This Row],[Author]],Table4[],2,0))</f>
        <v>LS</v>
      </c>
      <c r="L436" s="60" t="s">
        <v>509</v>
      </c>
      <c r="M436" s="71">
        <v>45693.65792824074</v>
      </c>
      <c r="P436" s="67" t="str">
        <f ca="1">IF(Proc[[#This Row],[DaysAgeing]]&gt;5,"yep","on track")</f>
        <v>yep</v>
      </c>
      <c r="Q436" s="3">
        <f ca="1">IF(Proc[[#This Row],[DateClosed]]="",ABS(NETWORKDAYS(Proc[[#This Row],[DateOpened]],TODAY()))-1,ABS(NETWORKDAYS(Proc[[#This Row],[DateOpened]],Proc[[#This Row],[DateClosed]]))-1)</f>
        <v>227</v>
      </c>
      <c r="R436" s="67" t="s">
        <v>830</v>
      </c>
      <c r="S436" s="60"/>
    </row>
    <row r="437" spans="1:19" hidden="1">
      <c r="A437" s="62" t="s">
        <v>1751</v>
      </c>
      <c r="B437" s="149" t="str">
        <f>IFERROR(VLOOKUP(Proc[[#This Row],[App]],Table2[],3,0),"open")</f>
        <v>ok</v>
      </c>
      <c r="C437" s="62" t="s">
        <v>369</v>
      </c>
      <c r="D437" t="s">
        <v>1757</v>
      </c>
      <c r="E437" t="s">
        <v>1808</v>
      </c>
      <c r="F437" s="117" t="s">
        <v>1808</v>
      </c>
      <c r="G437" s="62" t="s">
        <v>400</v>
      </c>
      <c r="H437" s="60" t="str">
        <f>IF(Proc[[#This Row],[type]]="LFF (MDG-F)",MID(Proc[[#This Row],[Obj]],13,10),"")</f>
        <v/>
      </c>
      <c r="J437" s="60" t="b">
        <f>Proc[[#This Row],[Requested]]=Proc[[#This Row],[CurrentParent]]</f>
        <v>1</v>
      </c>
      <c r="K437" s="144" t="str">
        <f>IF(Proc[[#This Row],[Author]]="Marcela Urrego",VLOOKUP(LEFT(Proc[[#This Row],[Requested]],1),Table3[#All],2,0),VLOOKUP(Proc[[#This Row],[Author]],Table4[],2,0))</f>
        <v>LS</v>
      </c>
      <c r="L437" s="60" t="s">
        <v>509</v>
      </c>
      <c r="M437" s="71">
        <v>45693.65792824074</v>
      </c>
      <c r="P437" s="67" t="str">
        <f ca="1">IF(Proc[[#This Row],[DaysAgeing]]&gt;5,"yep","on track")</f>
        <v>yep</v>
      </c>
      <c r="Q437" s="3">
        <f ca="1">IF(Proc[[#This Row],[DateClosed]]="",ABS(NETWORKDAYS(Proc[[#This Row],[DateOpened]],TODAY()))-1,ABS(NETWORKDAYS(Proc[[#This Row],[DateOpened]],Proc[[#This Row],[DateClosed]]))-1)</f>
        <v>227</v>
      </c>
      <c r="R437" s="67" t="s">
        <v>830</v>
      </c>
      <c r="S437" s="60"/>
    </row>
    <row r="438" spans="1:19" hidden="1">
      <c r="A438" s="62" t="s">
        <v>1751</v>
      </c>
      <c r="B438" s="149" t="str">
        <f>IFERROR(VLOOKUP(Proc[[#This Row],[App]],Table2[],3,0),"open")</f>
        <v>ok</v>
      </c>
      <c r="C438" s="62" t="s">
        <v>369</v>
      </c>
      <c r="D438" t="s">
        <v>1758</v>
      </c>
      <c r="E438" t="s">
        <v>1808</v>
      </c>
      <c r="F438" s="117" t="s">
        <v>1808</v>
      </c>
      <c r="G438" s="62" t="s">
        <v>400</v>
      </c>
      <c r="H438" s="60" t="str">
        <f>IF(Proc[[#This Row],[type]]="LFF (MDG-F)",MID(Proc[[#This Row],[Obj]],13,10),"")</f>
        <v/>
      </c>
      <c r="J438" s="60" t="b">
        <f>Proc[[#This Row],[Requested]]=Proc[[#This Row],[CurrentParent]]</f>
        <v>1</v>
      </c>
      <c r="K438" s="144" t="str">
        <f>IF(Proc[[#This Row],[Author]]="Marcela Urrego",VLOOKUP(LEFT(Proc[[#This Row],[Requested]],1),Table3[#All],2,0),VLOOKUP(Proc[[#This Row],[Author]],Table4[],2,0))</f>
        <v>LS</v>
      </c>
      <c r="L438" s="60" t="s">
        <v>509</v>
      </c>
      <c r="M438" s="71">
        <v>45693.65792824074</v>
      </c>
      <c r="P438" s="67" t="str">
        <f ca="1">IF(Proc[[#This Row],[DaysAgeing]]&gt;5,"yep","on track")</f>
        <v>yep</v>
      </c>
      <c r="Q438" s="3">
        <f ca="1">IF(Proc[[#This Row],[DateClosed]]="",ABS(NETWORKDAYS(Proc[[#This Row],[DateOpened]],TODAY()))-1,ABS(NETWORKDAYS(Proc[[#This Row],[DateOpened]],Proc[[#This Row],[DateClosed]]))-1)</f>
        <v>227</v>
      </c>
      <c r="R438" s="67" t="s">
        <v>830</v>
      </c>
      <c r="S438" s="60"/>
    </row>
    <row r="439" spans="1:19" hidden="1">
      <c r="A439" s="62" t="s">
        <v>1751</v>
      </c>
      <c r="B439" s="149" t="str">
        <f>IFERROR(VLOOKUP(Proc[[#This Row],[App]],Table2[],3,0),"open")</f>
        <v>ok</v>
      </c>
      <c r="C439" s="62" t="s">
        <v>369</v>
      </c>
      <c r="D439" t="s">
        <v>1759</v>
      </c>
      <c r="E439" t="s">
        <v>1808</v>
      </c>
      <c r="F439" s="117" t="s">
        <v>1808</v>
      </c>
      <c r="G439" s="62" t="s">
        <v>400</v>
      </c>
      <c r="H439" s="60" t="str">
        <f>IF(Proc[[#This Row],[type]]="LFF (MDG-F)",MID(Proc[[#This Row],[Obj]],13,10),"")</f>
        <v/>
      </c>
      <c r="J439" s="60" t="b">
        <f>Proc[[#This Row],[Requested]]=Proc[[#This Row],[CurrentParent]]</f>
        <v>1</v>
      </c>
      <c r="K439" s="144" t="str">
        <f>IF(Proc[[#This Row],[Author]]="Marcela Urrego",VLOOKUP(LEFT(Proc[[#This Row],[Requested]],1),Table3[#All],2,0),VLOOKUP(Proc[[#This Row],[Author]],Table4[],2,0))</f>
        <v>LS</v>
      </c>
      <c r="L439" s="60" t="s">
        <v>509</v>
      </c>
      <c r="M439" s="71">
        <v>45693.65792824074</v>
      </c>
      <c r="P439" s="67" t="str">
        <f ca="1">IF(Proc[[#This Row],[DaysAgeing]]&gt;5,"yep","on track")</f>
        <v>yep</v>
      </c>
      <c r="Q439" s="3">
        <f ca="1">IF(Proc[[#This Row],[DateClosed]]="",ABS(NETWORKDAYS(Proc[[#This Row],[DateOpened]],TODAY()))-1,ABS(NETWORKDAYS(Proc[[#This Row],[DateOpened]],Proc[[#This Row],[DateClosed]]))-1)</f>
        <v>227</v>
      </c>
      <c r="R439" s="67" t="s">
        <v>830</v>
      </c>
      <c r="S439" s="60"/>
    </row>
    <row r="440" spans="1:19" hidden="1">
      <c r="A440" s="62" t="s">
        <v>1751</v>
      </c>
      <c r="B440" s="149" t="str">
        <f>IFERROR(VLOOKUP(Proc[[#This Row],[App]],Table2[],3,0),"open")</f>
        <v>ok</v>
      </c>
      <c r="C440" s="62" t="s">
        <v>369</v>
      </c>
      <c r="D440" t="s">
        <v>1760</v>
      </c>
      <c r="E440" t="s">
        <v>1808</v>
      </c>
      <c r="F440" s="117" t="s">
        <v>1808</v>
      </c>
      <c r="G440" s="62" t="s">
        <v>400</v>
      </c>
      <c r="H440" s="60" t="str">
        <f>IF(Proc[[#This Row],[type]]="LFF (MDG-F)",MID(Proc[[#This Row],[Obj]],13,10),"")</f>
        <v/>
      </c>
      <c r="J440" s="60" t="b">
        <f>Proc[[#This Row],[Requested]]=Proc[[#This Row],[CurrentParent]]</f>
        <v>1</v>
      </c>
      <c r="K440" s="144" t="str">
        <f>IF(Proc[[#This Row],[Author]]="Marcela Urrego",VLOOKUP(LEFT(Proc[[#This Row],[Requested]],1),Table3[#All],2,0),VLOOKUP(Proc[[#This Row],[Author]],Table4[],2,0))</f>
        <v>LS</v>
      </c>
      <c r="L440" s="60" t="s">
        <v>509</v>
      </c>
      <c r="M440" s="71">
        <v>45693.65792824074</v>
      </c>
      <c r="P440" s="67" t="str">
        <f ca="1">IF(Proc[[#This Row],[DaysAgeing]]&gt;5,"yep","on track")</f>
        <v>yep</v>
      </c>
      <c r="Q440" s="3">
        <f ca="1">IF(Proc[[#This Row],[DateClosed]]="",ABS(NETWORKDAYS(Proc[[#This Row],[DateOpened]],TODAY()))-1,ABS(NETWORKDAYS(Proc[[#This Row],[DateOpened]],Proc[[#This Row],[DateClosed]]))-1)</f>
        <v>227</v>
      </c>
      <c r="R440" s="67" t="s">
        <v>830</v>
      </c>
      <c r="S440" s="60"/>
    </row>
    <row r="441" spans="1:19" hidden="1">
      <c r="A441" s="62" t="s">
        <v>1751</v>
      </c>
      <c r="B441" s="149" t="str">
        <f>IFERROR(VLOOKUP(Proc[[#This Row],[App]],Table2[],3,0),"open")</f>
        <v>ok</v>
      </c>
      <c r="C441" s="62" t="s">
        <v>369</v>
      </c>
      <c r="D441" t="s">
        <v>1761</v>
      </c>
      <c r="E441" t="s">
        <v>1808</v>
      </c>
      <c r="F441" s="117" t="s">
        <v>1808</v>
      </c>
      <c r="G441" s="62" t="s">
        <v>400</v>
      </c>
      <c r="H441" s="60" t="str">
        <f>IF(Proc[[#This Row],[type]]="LFF (MDG-F)",MID(Proc[[#This Row],[Obj]],13,10),"")</f>
        <v/>
      </c>
      <c r="J441" s="60" t="b">
        <f>Proc[[#This Row],[Requested]]=Proc[[#This Row],[CurrentParent]]</f>
        <v>1</v>
      </c>
      <c r="K441" s="144" t="str">
        <f>IF(Proc[[#This Row],[Author]]="Marcela Urrego",VLOOKUP(LEFT(Proc[[#This Row],[Requested]],1),Table3[#All],2,0),VLOOKUP(Proc[[#This Row],[Author]],Table4[],2,0))</f>
        <v>LS</v>
      </c>
      <c r="L441" s="60" t="s">
        <v>509</v>
      </c>
      <c r="M441" s="71">
        <v>45693.65792824074</v>
      </c>
      <c r="P441" s="67" t="str">
        <f ca="1">IF(Proc[[#This Row],[DaysAgeing]]&gt;5,"yep","on track")</f>
        <v>yep</v>
      </c>
      <c r="Q441" s="3">
        <f ca="1">IF(Proc[[#This Row],[DateClosed]]="",ABS(NETWORKDAYS(Proc[[#This Row],[DateOpened]],TODAY()))-1,ABS(NETWORKDAYS(Proc[[#This Row],[DateOpened]],Proc[[#This Row],[DateClosed]]))-1)</f>
        <v>227</v>
      </c>
      <c r="R441" s="67" t="s">
        <v>830</v>
      </c>
      <c r="S441" s="60"/>
    </row>
    <row r="442" spans="1:19" hidden="1">
      <c r="A442" s="62" t="s">
        <v>1751</v>
      </c>
      <c r="B442" s="149" t="str">
        <f>IFERROR(VLOOKUP(Proc[[#This Row],[App]],Table2[],3,0),"open")</f>
        <v>ok</v>
      </c>
      <c r="C442" s="62" t="s">
        <v>369</v>
      </c>
      <c r="D442" t="s">
        <v>1762</v>
      </c>
      <c r="E442" t="s">
        <v>1808</v>
      </c>
      <c r="F442" s="117" t="s">
        <v>1808</v>
      </c>
      <c r="G442" s="62" t="s">
        <v>400</v>
      </c>
      <c r="H442" s="60" t="str">
        <f>IF(Proc[[#This Row],[type]]="LFF (MDG-F)",MID(Proc[[#This Row],[Obj]],13,10),"")</f>
        <v/>
      </c>
      <c r="J442" s="60" t="b">
        <f>Proc[[#This Row],[Requested]]=Proc[[#This Row],[CurrentParent]]</f>
        <v>1</v>
      </c>
      <c r="K442" s="144" t="str">
        <f>IF(Proc[[#This Row],[Author]]="Marcela Urrego",VLOOKUP(LEFT(Proc[[#This Row],[Requested]],1),Table3[#All],2,0),VLOOKUP(Proc[[#This Row],[Author]],Table4[],2,0))</f>
        <v>LS</v>
      </c>
      <c r="L442" s="60" t="s">
        <v>509</v>
      </c>
      <c r="M442" s="71">
        <v>45693.65792824074</v>
      </c>
      <c r="P442" s="67" t="str">
        <f ca="1">IF(Proc[[#This Row],[DaysAgeing]]&gt;5,"yep","on track")</f>
        <v>yep</v>
      </c>
      <c r="Q442" s="3">
        <f ca="1">IF(Proc[[#This Row],[DateClosed]]="",ABS(NETWORKDAYS(Proc[[#This Row],[DateOpened]],TODAY()))-1,ABS(NETWORKDAYS(Proc[[#This Row],[DateOpened]],Proc[[#This Row],[DateClosed]]))-1)</f>
        <v>227</v>
      </c>
      <c r="R442" s="67" t="s">
        <v>830</v>
      </c>
      <c r="S442" s="60"/>
    </row>
    <row r="443" spans="1:19" hidden="1">
      <c r="A443" s="62" t="s">
        <v>1751</v>
      </c>
      <c r="B443" s="149" t="str">
        <f>IFERROR(VLOOKUP(Proc[[#This Row],[App]],Table2[],3,0),"open")</f>
        <v>ok</v>
      </c>
      <c r="C443" s="62" t="s">
        <v>369</v>
      </c>
      <c r="D443" t="s">
        <v>1763</v>
      </c>
      <c r="E443" t="s">
        <v>1808</v>
      </c>
      <c r="F443" s="117" t="s">
        <v>1808</v>
      </c>
      <c r="G443" s="62" t="s">
        <v>400</v>
      </c>
      <c r="H443" s="60" t="str">
        <f>IF(Proc[[#This Row],[type]]="LFF (MDG-F)",MID(Proc[[#This Row],[Obj]],13,10),"")</f>
        <v/>
      </c>
      <c r="J443" s="60" t="b">
        <f>Proc[[#This Row],[Requested]]=Proc[[#This Row],[CurrentParent]]</f>
        <v>1</v>
      </c>
      <c r="K443" s="144" t="str">
        <f>IF(Proc[[#This Row],[Author]]="Marcela Urrego",VLOOKUP(LEFT(Proc[[#This Row],[Requested]],1),Table3[#All],2,0),VLOOKUP(Proc[[#This Row],[Author]],Table4[],2,0))</f>
        <v>LS</v>
      </c>
      <c r="L443" s="60" t="s">
        <v>509</v>
      </c>
      <c r="M443" s="71">
        <v>45693.65792824074</v>
      </c>
      <c r="P443" s="67" t="str">
        <f ca="1">IF(Proc[[#This Row],[DaysAgeing]]&gt;5,"yep","on track")</f>
        <v>yep</v>
      </c>
      <c r="Q443" s="3">
        <f ca="1">IF(Proc[[#This Row],[DateClosed]]="",ABS(NETWORKDAYS(Proc[[#This Row],[DateOpened]],TODAY()))-1,ABS(NETWORKDAYS(Proc[[#This Row],[DateOpened]],Proc[[#This Row],[DateClosed]]))-1)</f>
        <v>227</v>
      </c>
      <c r="R443" s="67" t="s">
        <v>830</v>
      </c>
      <c r="S443" s="60"/>
    </row>
    <row r="444" spans="1:19" hidden="1">
      <c r="A444" s="62" t="s">
        <v>1751</v>
      </c>
      <c r="B444" s="149" t="str">
        <f>IFERROR(VLOOKUP(Proc[[#This Row],[App]],Table2[],3,0),"open")</f>
        <v>ok</v>
      </c>
      <c r="C444" s="62" t="s">
        <v>369</v>
      </c>
      <c r="D444" t="s">
        <v>1764</v>
      </c>
      <c r="E444" t="s">
        <v>1808</v>
      </c>
      <c r="F444" s="117" t="s">
        <v>1808</v>
      </c>
      <c r="G444" s="62" t="s">
        <v>400</v>
      </c>
      <c r="H444" s="60" t="str">
        <f>IF(Proc[[#This Row],[type]]="LFF (MDG-F)",MID(Proc[[#This Row],[Obj]],13,10),"")</f>
        <v/>
      </c>
      <c r="J444" s="60" t="b">
        <f>Proc[[#This Row],[Requested]]=Proc[[#This Row],[CurrentParent]]</f>
        <v>1</v>
      </c>
      <c r="K444" s="144" t="str">
        <f>IF(Proc[[#This Row],[Author]]="Marcela Urrego",VLOOKUP(LEFT(Proc[[#This Row],[Requested]],1),Table3[#All],2,0),VLOOKUP(Proc[[#This Row],[Author]],Table4[],2,0))</f>
        <v>LS</v>
      </c>
      <c r="L444" s="60" t="s">
        <v>509</v>
      </c>
      <c r="M444" s="71">
        <v>45693.65792824074</v>
      </c>
      <c r="P444" s="67" t="str">
        <f ca="1">IF(Proc[[#This Row],[DaysAgeing]]&gt;5,"yep","on track")</f>
        <v>yep</v>
      </c>
      <c r="Q444" s="3">
        <f ca="1">IF(Proc[[#This Row],[DateClosed]]="",ABS(NETWORKDAYS(Proc[[#This Row],[DateOpened]],TODAY()))-1,ABS(NETWORKDAYS(Proc[[#This Row],[DateOpened]],Proc[[#This Row],[DateClosed]]))-1)</f>
        <v>227</v>
      </c>
      <c r="R444" s="67" t="s">
        <v>830</v>
      </c>
      <c r="S444" s="60"/>
    </row>
    <row r="445" spans="1:19" hidden="1">
      <c r="A445" s="62" t="s">
        <v>1751</v>
      </c>
      <c r="B445" s="149" t="str">
        <f>IFERROR(VLOOKUP(Proc[[#This Row],[App]],Table2[],3,0),"open")</f>
        <v>ok</v>
      </c>
      <c r="C445" s="62" t="s">
        <v>369</v>
      </c>
      <c r="D445" t="s">
        <v>1765</v>
      </c>
      <c r="E445" t="s">
        <v>1808</v>
      </c>
      <c r="F445" s="117" t="s">
        <v>1808</v>
      </c>
      <c r="G445" s="62" t="s">
        <v>400</v>
      </c>
      <c r="H445" s="60" t="str">
        <f>IF(Proc[[#This Row],[type]]="LFF (MDG-F)",MID(Proc[[#This Row],[Obj]],13,10),"")</f>
        <v/>
      </c>
      <c r="J445" s="60" t="b">
        <f>Proc[[#This Row],[Requested]]=Proc[[#This Row],[CurrentParent]]</f>
        <v>1</v>
      </c>
      <c r="K445" s="144" t="str">
        <f>IF(Proc[[#This Row],[Author]]="Marcela Urrego",VLOOKUP(LEFT(Proc[[#This Row],[Requested]],1),Table3[#All],2,0),VLOOKUP(Proc[[#This Row],[Author]],Table4[],2,0))</f>
        <v>LS</v>
      </c>
      <c r="L445" s="60" t="s">
        <v>509</v>
      </c>
      <c r="M445" s="71">
        <v>45693.65792824074</v>
      </c>
      <c r="P445" s="67" t="str">
        <f ca="1">IF(Proc[[#This Row],[DaysAgeing]]&gt;5,"yep","on track")</f>
        <v>yep</v>
      </c>
      <c r="Q445" s="3">
        <f ca="1">IF(Proc[[#This Row],[DateClosed]]="",ABS(NETWORKDAYS(Proc[[#This Row],[DateOpened]],TODAY()))-1,ABS(NETWORKDAYS(Proc[[#This Row],[DateOpened]],Proc[[#This Row],[DateClosed]]))-1)</f>
        <v>227</v>
      </c>
      <c r="R445" s="67" t="s">
        <v>830</v>
      </c>
      <c r="S445" s="60"/>
    </row>
    <row r="446" spans="1:19" hidden="1">
      <c r="A446" s="62" t="s">
        <v>1751</v>
      </c>
      <c r="B446" s="149" t="str">
        <f>IFERROR(VLOOKUP(Proc[[#This Row],[App]],Table2[],3,0),"open")</f>
        <v>ok</v>
      </c>
      <c r="C446" s="62" t="s">
        <v>369</v>
      </c>
      <c r="D446" t="s">
        <v>1766</v>
      </c>
      <c r="E446" t="s">
        <v>1808</v>
      </c>
      <c r="F446" s="117" t="s">
        <v>1808</v>
      </c>
      <c r="G446" s="62" t="s">
        <v>400</v>
      </c>
      <c r="H446" s="60" t="str">
        <f>IF(Proc[[#This Row],[type]]="LFF (MDG-F)",MID(Proc[[#This Row],[Obj]],13,10),"")</f>
        <v/>
      </c>
      <c r="J446" s="60" t="b">
        <f>Proc[[#This Row],[Requested]]=Proc[[#This Row],[CurrentParent]]</f>
        <v>1</v>
      </c>
      <c r="K446" s="144" t="str">
        <f>IF(Proc[[#This Row],[Author]]="Marcela Urrego",VLOOKUP(LEFT(Proc[[#This Row],[Requested]],1),Table3[#All],2,0),VLOOKUP(Proc[[#This Row],[Author]],Table4[],2,0))</f>
        <v>LS</v>
      </c>
      <c r="L446" s="60" t="s">
        <v>509</v>
      </c>
      <c r="M446" s="71">
        <v>45693.65792824074</v>
      </c>
      <c r="P446" s="67" t="str">
        <f ca="1">IF(Proc[[#This Row],[DaysAgeing]]&gt;5,"yep","on track")</f>
        <v>yep</v>
      </c>
      <c r="Q446" s="3">
        <f ca="1">IF(Proc[[#This Row],[DateClosed]]="",ABS(NETWORKDAYS(Proc[[#This Row],[DateOpened]],TODAY()))-1,ABS(NETWORKDAYS(Proc[[#This Row],[DateOpened]],Proc[[#This Row],[DateClosed]]))-1)</f>
        <v>227</v>
      </c>
      <c r="R446" s="67" t="s">
        <v>830</v>
      </c>
      <c r="S446" s="60"/>
    </row>
    <row r="447" spans="1:19" hidden="1">
      <c r="A447" s="62" t="s">
        <v>1751</v>
      </c>
      <c r="B447" s="149" t="str">
        <f>IFERROR(VLOOKUP(Proc[[#This Row],[App]],Table2[],3,0),"open")</f>
        <v>ok</v>
      </c>
      <c r="C447" s="62" t="s">
        <v>369</v>
      </c>
      <c r="D447" t="s">
        <v>1767</v>
      </c>
      <c r="E447" t="s">
        <v>1808</v>
      </c>
      <c r="F447" s="117" t="s">
        <v>1808</v>
      </c>
      <c r="G447" s="62" t="s">
        <v>400</v>
      </c>
      <c r="H447" s="60" t="str">
        <f>IF(Proc[[#This Row],[type]]="LFF (MDG-F)",MID(Proc[[#This Row],[Obj]],13,10),"")</f>
        <v/>
      </c>
      <c r="J447" s="60" t="b">
        <f>Proc[[#This Row],[Requested]]=Proc[[#This Row],[CurrentParent]]</f>
        <v>1</v>
      </c>
      <c r="K447" s="144" t="str">
        <f>IF(Proc[[#This Row],[Author]]="Marcela Urrego",VLOOKUP(LEFT(Proc[[#This Row],[Requested]],1),Table3[#All],2,0),VLOOKUP(Proc[[#This Row],[Author]],Table4[],2,0))</f>
        <v>LS</v>
      </c>
      <c r="L447" s="60" t="s">
        <v>509</v>
      </c>
      <c r="M447" s="71">
        <v>45693.65792824074</v>
      </c>
      <c r="P447" s="67" t="str">
        <f ca="1">IF(Proc[[#This Row],[DaysAgeing]]&gt;5,"yep","on track")</f>
        <v>yep</v>
      </c>
      <c r="Q447" s="3">
        <f ca="1">IF(Proc[[#This Row],[DateClosed]]="",ABS(NETWORKDAYS(Proc[[#This Row],[DateOpened]],TODAY()))-1,ABS(NETWORKDAYS(Proc[[#This Row],[DateOpened]],Proc[[#This Row],[DateClosed]]))-1)</f>
        <v>227</v>
      </c>
      <c r="R447" s="67" t="s">
        <v>830</v>
      </c>
      <c r="S447" s="60"/>
    </row>
    <row r="448" spans="1:19" hidden="1">
      <c r="A448" s="62" t="s">
        <v>1751</v>
      </c>
      <c r="B448" s="149" t="str">
        <f>IFERROR(VLOOKUP(Proc[[#This Row],[App]],Table2[],3,0),"open")</f>
        <v>ok</v>
      </c>
      <c r="C448" s="62" t="s">
        <v>369</v>
      </c>
      <c r="D448" t="s">
        <v>1768</v>
      </c>
      <c r="E448" t="s">
        <v>1808</v>
      </c>
      <c r="F448" s="117" t="s">
        <v>1808</v>
      </c>
      <c r="G448" s="62" t="s">
        <v>400</v>
      </c>
      <c r="H448" s="60" t="str">
        <f>IF(Proc[[#This Row],[type]]="LFF (MDG-F)",MID(Proc[[#This Row],[Obj]],13,10),"")</f>
        <v/>
      </c>
      <c r="J448" s="60" t="b">
        <f>Proc[[#This Row],[Requested]]=Proc[[#This Row],[CurrentParent]]</f>
        <v>1</v>
      </c>
      <c r="K448" s="144" t="str">
        <f>IF(Proc[[#This Row],[Author]]="Marcela Urrego",VLOOKUP(LEFT(Proc[[#This Row],[Requested]],1),Table3[#All],2,0),VLOOKUP(Proc[[#This Row],[Author]],Table4[],2,0))</f>
        <v>LS</v>
      </c>
      <c r="L448" s="60" t="s">
        <v>509</v>
      </c>
      <c r="M448" s="71">
        <v>45693.65792824074</v>
      </c>
      <c r="P448" s="67" t="str">
        <f ca="1">IF(Proc[[#This Row],[DaysAgeing]]&gt;5,"yep","on track")</f>
        <v>yep</v>
      </c>
      <c r="Q448" s="3">
        <f ca="1">IF(Proc[[#This Row],[DateClosed]]="",ABS(NETWORKDAYS(Proc[[#This Row],[DateOpened]],TODAY()))-1,ABS(NETWORKDAYS(Proc[[#This Row],[DateOpened]],Proc[[#This Row],[DateClosed]]))-1)</f>
        <v>227</v>
      </c>
      <c r="R448" s="67" t="s">
        <v>830</v>
      </c>
      <c r="S448" s="60"/>
    </row>
    <row r="449" spans="1:19" hidden="1">
      <c r="A449" s="62" t="s">
        <v>1751</v>
      </c>
      <c r="B449" s="149" t="str">
        <f>IFERROR(VLOOKUP(Proc[[#This Row],[App]],Table2[],3,0),"open")</f>
        <v>ok</v>
      </c>
      <c r="C449" s="62" t="s">
        <v>369</v>
      </c>
      <c r="D449" t="s">
        <v>1769</v>
      </c>
      <c r="E449" t="s">
        <v>1808</v>
      </c>
      <c r="F449" s="117" t="s">
        <v>1808</v>
      </c>
      <c r="G449" s="62" t="s">
        <v>400</v>
      </c>
      <c r="H449" s="60" t="str">
        <f>IF(Proc[[#This Row],[type]]="LFF (MDG-F)",MID(Proc[[#This Row],[Obj]],13,10),"")</f>
        <v/>
      </c>
      <c r="J449" s="60" t="b">
        <f>Proc[[#This Row],[Requested]]=Proc[[#This Row],[CurrentParent]]</f>
        <v>1</v>
      </c>
      <c r="K449" s="144" t="str">
        <f>IF(Proc[[#This Row],[Author]]="Marcela Urrego",VLOOKUP(LEFT(Proc[[#This Row],[Requested]],1),Table3[#All],2,0),VLOOKUP(Proc[[#This Row],[Author]],Table4[],2,0))</f>
        <v>LS</v>
      </c>
      <c r="L449" s="60" t="s">
        <v>509</v>
      </c>
      <c r="M449" s="71">
        <v>45693.65792824074</v>
      </c>
      <c r="P449" s="67" t="str">
        <f ca="1">IF(Proc[[#This Row],[DaysAgeing]]&gt;5,"yep","on track")</f>
        <v>yep</v>
      </c>
      <c r="Q449" s="3">
        <f ca="1">IF(Proc[[#This Row],[DateClosed]]="",ABS(NETWORKDAYS(Proc[[#This Row],[DateOpened]],TODAY()))-1,ABS(NETWORKDAYS(Proc[[#This Row],[DateOpened]],Proc[[#This Row],[DateClosed]]))-1)</f>
        <v>227</v>
      </c>
      <c r="R449" s="67" t="s">
        <v>830</v>
      </c>
      <c r="S449" s="60"/>
    </row>
    <row r="450" spans="1:19" hidden="1">
      <c r="A450" s="62" t="s">
        <v>1751</v>
      </c>
      <c r="B450" s="149" t="str">
        <f>IFERROR(VLOOKUP(Proc[[#This Row],[App]],Table2[],3,0),"open")</f>
        <v>ok</v>
      </c>
      <c r="C450" s="62" t="s">
        <v>369</v>
      </c>
      <c r="D450" t="s">
        <v>1770</v>
      </c>
      <c r="E450" t="s">
        <v>1808</v>
      </c>
      <c r="F450" s="117" t="s">
        <v>1808</v>
      </c>
      <c r="G450" s="62" t="s">
        <v>400</v>
      </c>
      <c r="H450" s="60" t="str">
        <f>IF(Proc[[#This Row],[type]]="LFF (MDG-F)",MID(Proc[[#This Row],[Obj]],13,10),"")</f>
        <v/>
      </c>
      <c r="J450" s="60" t="b">
        <f>Proc[[#This Row],[Requested]]=Proc[[#This Row],[CurrentParent]]</f>
        <v>1</v>
      </c>
      <c r="K450" s="144" t="str">
        <f>IF(Proc[[#This Row],[Author]]="Marcela Urrego",VLOOKUP(LEFT(Proc[[#This Row],[Requested]],1),Table3[#All],2,0),VLOOKUP(Proc[[#This Row],[Author]],Table4[],2,0))</f>
        <v>LS</v>
      </c>
      <c r="L450" s="60" t="s">
        <v>509</v>
      </c>
      <c r="M450" s="71">
        <v>45693.65792824074</v>
      </c>
      <c r="P450" s="67" t="str">
        <f ca="1">IF(Proc[[#This Row],[DaysAgeing]]&gt;5,"yep","on track")</f>
        <v>yep</v>
      </c>
      <c r="Q450" s="3">
        <f ca="1">IF(Proc[[#This Row],[DateClosed]]="",ABS(NETWORKDAYS(Proc[[#This Row],[DateOpened]],TODAY()))-1,ABS(NETWORKDAYS(Proc[[#This Row],[DateOpened]],Proc[[#This Row],[DateClosed]]))-1)</f>
        <v>227</v>
      </c>
      <c r="R450" s="67" t="s">
        <v>830</v>
      </c>
      <c r="S450" s="60"/>
    </row>
    <row r="451" spans="1:19" hidden="1">
      <c r="A451" s="62" t="s">
        <v>1751</v>
      </c>
      <c r="B451" s="149" t="str">
        <f>IFERROR(VLOOKUP(Proc[[#This Row],[App]],Table2[],3,0),"open")</f>
        <v>ok</v>
      </c>
      <c r="C451" s="62" t="s">
        <v>369</v>
      </c>
      <c r="D451" t="s">
        <v>1771</v>
      </c>
      <c r="E451" t="s">
        <v>1808</v>
      </c>
      <c r="F451" s="117" t="s">
        <v>1808</v>
      </c>
      <c r="G451" s="62" t="s">
        <v>400</v>
      </c>
      <c r="H451" s="60" t="str">
        <f>IF(Proc[[#This Row],[type]]="LFF (MDG-F)",MID(Proc[[#This Row],[Obj]],13,10),"")</f>
        <v/>
      </c>
      <c r="J451" s="60" t="b">
        <f>Proc[[#This Row],[Requested]]=Proc[[#This Row],[CurrentParent]]</f>
        <v>1</v>
      </c>
      <c r="K451" s="144" t="str">
        <f>IF(Proc[[#This Row],[Author]]="Marcela Urrego",VLOOKUP(LEFT(Proc[[#This Row],[Requested]],1),Table3[#All],2,0),VLOOKUP(Proc[[#This Row],[Author]],Table4[],2,0))</f>
        <v>LS</v>
      </c>
      <c r="L451" s="60" t="s">
        <v>509</v>
      </c>
      <c r="M451" s="71">
        <v>45693.65792824074</v>
      </c>
      <c r="P451" s="67" t="str">
        <f ca="1">IF(Proc[[#This Row],[DaysAgeing]]&gt;5,"yep","on track")</f>
        <v>yep</v>
      </c>
      <c r="Q451" s="3">
        <f ca="1">IF(Proc[[#This Row],[DateClosed]]="",ABS(NETWORKDAYS(Proc[[#This Row],[DateOpened]],TODAY()))-1,ABS(NETWORKDAYS(Proc[[#This Row],[DateOpened]],Proc[[#This Row],[DateClosed]]))-1)</f>
        <v>227</v>
      </c>
      <c r="R451" s="67" t="s">
        <v>830</v>
      </c>
      <c r="S451" s="60"/>
    </row>
    <row r="452" spans="1:19" hidden="1">
      <c r="A452" s="62" t="s">
        <v>1751</v>
      </c>
      <c r="B452" s="149" t="str">
        <f>IFERROR(VLOOKUP(Proc[[#This Row],[App]],Table2[],3,0),"open")</f>
        <v>ok</v>
      </c>
      <c r="C452" s="62" t="s">
        <v>369</v>
      </c>
      <c r="D452" t="s">
        <v>1772</v>
      </c>
      <c r="E452" t="s">
        <v>1808</v>
      </c>
      <c r="F452" s="117" t="s">
        <v>1808</v>
      </c>
      <c r="G452" s="62" t="s">
        <v>400</v>
      </c>
      <c r="H452" s="60" t="str">
        <f>IF(Proc[[#This Row],[type]]="LFF (MDG-F)",MID(Proc[[#This Row],[Obj]],13,10),"")</f>
        <v/>
      </c>
      <c r="J452" s="60" t="b">
        <f>Proc[[#This Row],[Requested]]=Proc[[#This Row],[CurrentParent]]</f>
        <v>1</v>
      </c>
      <c r="K452" s="144" t="str">
        <f>IF(Proc[[#This Row],[Author]]="Marcela Urrego",VLOOKUP(LEFT(Proc[[#This Row],[Requested]],1),Table3[#All],2,0),VLOOKUP(Proc[[#This Row],[Author]],Table4[],2,0))</f>
        <v>LS</v>
      </c>
      <c r="L452" s="60" t="s">
        <v>509</v>
      </c>
      <c r="M452" s="71">
        <v>45693.65792824074</v>
      </c>
      <c r="P452" s="67" t="str">
        <f ca="1">IF(Proc[[#This Row],[DaysAgeing]]&gt;5,"yep","on track")</f>
        <v>yep</v>
      </c>
      <c r="Q452" s="3">
        <f ca="1">IF(Proc[[#This Row],[DateClosed]]="",ABS(NETWORKDAYS(Proc[[#This Row],[DateOpened]],TODAY()))-1,ABS(NETWORKDAYS(Proc[[#This Row],[DateOpened]],Proc[[#This Row],[DateClosed]]))-1)</f>
        <v>227</v>
      </c>
      <c r="R452" s="67" t="s">
        <v>830</v>
      </c>
      <c r="S452" s="60"/>
    </row>
    <row r="453" spans="1:19" hidden="1">
      <c r="A453" s="62" t="s">
        <v>1751</v>
      </c>
      <c r="B453" s="149" t="str">
        <f>IFERROR(VLOOKUP(Proc[[#This Row],[App]],Table2[],3,0),"open")</f>
        <v>ok</v>
      </c>
      <c r="C453" s="62" t="s">
        <v>369</v>
      </c>
      <c r="D453" t="s">
        <v>1773</v>
      </c>
      <c r="E453" t="s">
        <v>1808</v>
      </c>
      <c r="F453" s="117" t="s">
        <v>1808</v>
      </c>
      <c r="G453" s="62" t="s">
        <v>400</v>
      </c>
      <c r="H453" s="60" t="str">
        <f>IF(Proc[[#This Row],[type]]="LFF (MDG-F)",MID(Proc[[#This Row],[Obj]],13,10),"")</f>
        <v/>
      </c>
      <c r="J453" s="60" t="b">
        <f>Proc[[#This Row],[Requested]]=Proc[[#This Row],[CurrentParent]]</f>
        <v>1</v>
      </c>
      <c r="K453" s="144" t="str">
        <f>IF(Proc[[#This Row],[Author]]="Marcela Urrego",VLOOKUP(LEFT(Proc[[#This Row],[Requested]],1),Table3[#All],2,0),VLOOKUP(Proc[[#This Row],[Author]],Table4[],2,0))</f>
        <v>LS</v>
      </c>
      <c r="L453" s="60" t="s">
        <v>509</v>
      </c>
      <c r="M453" s="71">
        <v>45693.65792824074</v>
      </c>
      <c r="P453" s="67" t="str">
        <f ca="1">IF(Proc[[#This Row],[DaysAgeing]]&gt;5,"yep","on track")</f>
        <v>yep</v>
      </c>
      <c r="Q453" s="3">
        <f ca="1">IF(Proc[[#This Row],[DateClosed]]="",ABS(NETWORKDAYS(Proc[[#This Row],[DateOpened]],TODAY()))-1,ABS(NETWORKDAYS(Proc[[#This Row],[DateOpened]],Proc[[#This Row],[DateClosed]]))-1)</f>
        <v>227</v>
      </c>
      <c r="R453" s="67" t="s">
        <v>830</v>
      </c>
      <c r="S453" s="60"/>
    </row>
    <row r="454" spans="1:19" hidden="1">
      <c r="A454" s="62" t="s">
        <v>1751</v>
      </c>
      <c r="B454" s="149" t="str">
        <f>IFERROR(VLOOKUP(Proc[[#This Row],[App]],Table2[],3,0),"open")</f>
        <v>ok</v>
      </c>
      <c r="C454" s="62" t="s">
        <v>369</v>
      </c>
      <c r="D454" t="s">
        <v>1774</v>
      </c>
      <c r="E454" t="s">
        <v>1808</v>
      </c>
      <c r="F454" s="117" t="s">
        <v>1808</v>
      </c>
      <c r="G454" s="62" t="s">
        <v>400</v>
      </c>
      <c r="H454" s="60" t="str">
        <f>IF(Proc[[#This Row],[type]]="LFF (MDG-F)",MID(Proc[[#This Row],[Obj]],13,10),"")</f>
        <v/>
      </c>
      <c r="J454" s="60" t="b">
        <f>Proc[[#This Row],[Requested]]=Proc[[#This Row],[CurrentParent]]</f>
        <v>1</v>
      </c>
      <c r="K454" s="144" t="str">
        <f>IF(Proc[[#This Row],[Author]]="Marcela Urrego",VLOOKUP(LEFT(Proc[[#This Row],[Requested]],1),Table3[#All],2,0),VLOOKUP(Proc[[#This Row],[Author]],Table4[],2,0))</f>
        <v>LS</v>
      </c>
      <c r="L454" s="60" t="s">
        <v>509</v>
      </c>
      <c r="M454" s="71">
        <v>45693.65792824074</v>
      </c>
      <c r="P454" s="67" t="str">
        <f ca="1">IF(Proc[[#This Row],[DaysAgeing]]&gt;5,"yep","on track")</f>
        <v>yep</v>
      </c>
      <c r="Q454" s="3">
        <f ca="1">IF(Proc[[#This Row],[DateClosed]]="",ABS(NETWORKDAYS(Proc[[#This Row],[DateOpened]],TODAY()))-1,ABS(NETWORKDAYS(Proc[[#This Row],[DateOpened]],Proc[[#This Row],[DateClosed]]))-1)</f>
        <v>227</v>
      </c>
      <c r="R454" s="67" t="s">
        <v>830</v>
      </c>
      <c r="S454" s="60"/>
    </row>
    <row r="455" spans="1:19" hidden="1">
      <c r="A455" s="62" t="s">
        <v>1751</v>
      </c>
      <c r="B455" s="149" t="str">
        <f>IFERROR(VLOOKUP(Proc[[#This Row],[App]],Table2[],3,0),"open")</f>
        <v>ok</v>
      </c>
      <c r="C455" s="62" t="s">
        <v>369</v>
      </c>
      <c r="D455" t="s">
        <v>1775</v>
      </c>
      <c r="E455" t="s">
        <v>1808</v>
      </c>
      <c r="F455" s="117" t="s">
        <v>1808</v>
      </c>
      <c r="G455" s="62" t="s">
        <v>400</v>
      </c>
      <c r="H455" s="60" t="str">
        <f>IF(Proc[[#This Row],[type]]="LFF (MDG-F)",MID(Proc[[#This Row],[Obj]],13,10),"")</f>
        <v/>
      </c>
      <c r="J455" s="60" t="b">
        <f>Proc[[#This Row],[Requested]]=Proc[[#This Row],[CurrentParent]]</f>
        <v>1</v>
      </c>
      <c r="K455" s="144" t="str">
        <f>IF(Proc[[#This Row],[Author]]="Marcela Urrego",VLOOKUP(LEFT(Proc[[#This Row],[Requested]],1),Table3[#All],2,0),VLOOKUP(Proc[[#This Row],[Author]],Table4[],2,0))</f>
        <v>LS</v>
      </c>
      <c r="L455" s="60" t="s">
        <v>509</v>
      </c>
      <c r="M455" s="71">
        <v>45693.65792824074</v>
      </c>
      <c r="P455" s="67" t="str">
        <f ca="1">IF(Proc[[#This Row],[DaysAgeing]]&gt;5,"yep","on track")</f>
        <v>yep</v>
      </c>
      <c r="Q455" s="3">
        <f ca="1">IF(Proc[[#This Row],[DateClosed]]="",ABS(NETWORKDAYS(Proc[[#This Row],[DateOpened]],TODAY()))-1,ABS(NETWORKDAYS(Proc[[#This Row],[DateOpened]],Proc[[#This Row],[DateClosed]]))-1)</f>
        <v>227</v>
      </c>
      <c r="R455" s="67" t="s">
        <v>830</v>
      </c>
      <c r="S455" s="60"/>
    </row>
    <row r="456" spans="1:19" hidden="1">
      <c r="A456" s="62" t="s">
        <v>1751</v>
      </c>
      <c r="B456" s="149" t="str">
        <f>IFERROR(VLOOKUP(Proc[[#This Row],[App]],Table2[],3,0),"open")</f>
        <v>ok</v>
      </c>
      <c r="C456" s="62" t="s">
        <v>369</v>
      </c>
      <c r="D456" t="s">
        <v>1776</v>
      </c>
      <c r="E456" t="s">
        <v>1808</v>
      </c>
      <c r="F456" s="117" t="s">
        <v>1808</v>
      </c>
      <c r="G456" s="62" t="s">
        <v>400</v>
      </c>
      <c r="H456" s="60" t="str">
        <f>IF(Proc[[#This Row],[type]]="LFF (MDG-F)",MID(Proc[[#This Row],[Obj]],13,10),"")</f>
        <v/>
      </c>
      <c r="J456" s="60" t="b">
        <f>Proc[[#This Row],[Requested]]=Proc[[#This Row],[CurrentParent]]</f>
        <v>1</v>
      </c>
      <c r="K456" s="144" t="str">
        <f>IF(Proc[[#This Row],[Author]]="Marcela Urrego",VLOOKUP(LEFT(Proc[[#This Row],[Requested]],1),Table3[#All],2,0),VLOOKUP(Proc[[#This Row],[Author]],Table4[],2,0))</f>
        <v>LS</v>
      </c>
      <c r="L456" s="60" t="s">
        <v>509</v>
      </c>
      <c r="M456" s="71">
        <v>45693.65792824074</v>
      </c>
      <c r="P456" s="67" t="str">
        <f ca="1">IF(Proc[[#This Row],[DaysAgeing]]&gt;5,"yep","on track")</f>
        <v>yep</v>
      </c>
      <c r="Q456" s="3">
        <f ca="1">IF(Proc[[#This Row],[DateClosed]]="",ABS(NETWORKDAYS(Proc[[#This Row],[DateOpened]],TODAY()))-1,ABS(NETWORKDAYS(Proc[[#This Row],[DateOpened]],Proc[[#This Row],[DateClosed]]))-1)</f>
        <v>227</v>
      </c>
      <c r="R456" s="67" t="s">
        <v>830</v>
      </c>
      <c r="S456" s="60"/>
    </row>
    <row r="457" spans="1:19" hidden="1">
      <c r="A457" s="62" t="s">
        <v>1751</v>
      </c>
      <c r="B457" s="149" t="str">
        <f>IFERROR(VLOOKUP(Proc[[#This Row],[App]],Table2[],3,0),"open")</f>
        <v>ok</v>
      </c>
      <c r="C457" s="62" t="s">
        <v>369</v>
      </c>
      <c r="D457" t="s">
        <v>1777</v>
      </c>
      <c r="E457" t="s">
        <v>1808</v>
      </c>
      <c r="F457" s="117" t="s">
        <v>1808</v>
      </c>
      <c r="G457" s="62" t="s">
        <v>400</v>
      </c>
      <c r="H457" s="60" t="str">
        <f>IF(Proc[[#This Row],[type]]="LFF (MDG-F)",MID(Proc[[#This Row],[Obj]],13,10),"")</f>
        <v/>
      </c>
      <c r="J457" s="60" t="b">
        <f>Proc[[#This Row],[Requested]]=Proc[[#This Row],[CurrentParent]]</f>
        <v>1</v>
      </c>
      <c r="K457" s="144" t="str">
        <f>IF(Proc[[#This Row],[Author]]="Marcela Urrego",VLOOKUP(LEFT(Proc[[#This Row],[Requested]],1),Table3[#All],2,0),VLOOKUP(Proc[[#This Row],[Author]],Table4[],2,0))</f>
        <v>LS</v>
      </c>
      <c r="L457" s="60" t="s">
        <v>509</v>
      </c>
      <c r="M457" s="71">
        <v>45693.65792824074</v>
      </c>
      <c r="P457" s="67" t="str">
        <f ca="1">IF(Proc[[#This Row],[DaysAgeing]]&gt;5,"yep","on track")</f>
        <v>yep</v>
      </c>
      <c r="Q457" s="3">
        <f ca="1">IF(Proc[[#This Row],[DateClosed]]="",ABS(NETWORKDAYS(Proc[[#This Row],[DateOpened]],TODAY()))-1,ABS(NETWORKDAYS(Proc[[#This Row],[DateOpened]],Proc[[#This Row],[DateClosed]]))-1)</f>
        <v>227</v>
      </c>
      <c r="R457" s="67" t="s">
        <v>830</v>
      </c>
      <c r="S457" s="60"/>
    </row>
    <row r="458" spans="1:19" hidden="1">
      <c r="A458" s="62" t="s">
        <v>1751</v>
      </c>
      <c r="B458" s="149" t="str">
        <f>IFERROR(VLOOKUP(Proc[[#This Row],[App]],Table2[],3,0),"open")</f>
        <v>ok</v>
      </c>
      <c r="C458" s="62" t="s">
        <v>369</v>
      </c>
      <c r="D458" t="s">
        <v>1778</v>
      </c>
      <c r="E458" t="s">
        <v>1808</v>
      </c>
      <c r="F458" s="117" t="s">
        <v>1808</v>
      </c>
      <c r="G458" s="62" t="s">
        <v>400</v>
      </c>
      <c r="H458" s="60" t="str">
        <f>IF(Proc[[#This Row],[type]]="LFF (MDG-F)",MID(Proc[[#This Row],[Obj]],13,10),"")</f>
        <v/>
      </c>
      <c r="J458" s="60" t="b">
        <f>Proc[[#This Row],[Requested]]=Proc[[#This Row],[CurrentParent]]</f>
        <v>1</v>
      </c>
      <c r="K458" s="144" t="str">
        <f>IF(Proc[[#This Row],[Author]]="Marcela Urrego",VLOOKUP(LEFT(Proc[[#This Row],[Requested]],1),Table3[#All],2,0),VLOOKUP(Proc[[#This Row],[Author]],Table4[],2,0))</f>
        <v>LS</v>
      </c>
      <c r="L458" s="60" t="s">
        <v>509</v>
      </c>
      <c r="M458" s="71">
        <v>45693.65792824074</v>
      </c>
      <c r="P458" s="67" t="str">
        <f ca="1">IF(Proc[[#This Row],[DaysAgeing]]&gt;5,"yep","on track")</f>
        <v>yep</v>
      </c>
      <c r="Q458" s="3">
        <f ca="1">IF(Proc[[#This Row],[DateClosed]]="",ABS(NETWORKDAYS(Proc[[#This Row],[DateOpened]],TODAY()))-1,ABS(NETWORKDAYS(Proc[[#This Row],[DateOpened]],Proc[[#This Row],[DateClosed]]))-1)</f>
        <v>227</v>
      </c>
      <c r="R458" s="67" t="s">
        <v>830</v>
      </c>
      <c r="S458" s="60"/>
    </row>
    <row r="459" spans="1:19" hidden="1">
      <c r="A459" s="62" t="s">
        <v>1751</v>
      </c>
      <c r="B459" s="149" t="str">
        <f>IFERROR(VLOOKUP(Proc[[#This Row],[App]],Table2[],3,0),"open")</f>
        <v>ok</v>
      </c>
      <c r="C459" s="62" t="s">
        <v>369</v>
      </c>
      <c r="D459" t="s">
        <v>1779</v>
      </c>
      <c r="E459" t="s">
        <v>1808</v>
      </c>
      <c r="F459" s="117" t="s">
        <v>1808</v>
      </c>
      <c r="G459" s="62" t="s">
        <v>400</v>
      </c>
      <c r="H459" s="60" t="str">
        <f>IF(Proc[[#This Row],[type]]="LFF (MDG-F)",MID(Proc[[#This Row],[Obj]],13,10),"")</f>
        <v/>
      </c>
      <c r="J459" s="60" t="b">
        <f>Proc[[#This Row],[Requested]]=Proc[[#This Row],[CurrentParent]]</f>
        <v>1</v>
      </c>
      <c r="K459" s="144" t="str">
        <f>IF(Proc[[#This Row],[Author]]="Marcela Urrego",VLOOKUP(LEFT(Proc[[#This Row],[Requested]],1),Table3[#All],2,0),VLOOKUP(Proc[[#This Row],[Author]],Table4[],2,0))</f>
        <v>LS</v>
      </c>
      <c r="L459" s="60" t="s">
        <v>509</v>
      </c>
      <c r="M459" s="71">
        <v>45693.65792824074</v>
      </c>
      <c r="P459" s="67" t="str">
        <f ca="1">IF(Proc[[#This Row],[DaysAgeing]]&gt;5,"yep","on track")</f>
        <v>yep</v>
      </c>
      <c r="Q459" s="3">
        <f ca="1">IF(Proc[[#This Row],[DateClosed]]="",ABS(NETWORKDAYS(Proc[[#This Row],[DateOpened]],TODAY()))-1,ABS(NETWORKDAYS(Proc[[#This Row],[DateOpened]],Proc[[#This Row],[DateClosed]]))-1)</f>
        <v>227</v>
      </c>
      <c r="R459" s="67" t="s">
        <v>830</v>
      </c>
      <c r="S459" s="60"/>
    </row>
    <row r="460" spans="1:19" hidden="1">
      <c r="A460" s="62" t="s">
        <v>1751</v>
      </c>
      <c r="B460" s="149" t="str">
        <f>IFERROR(VLOOKUP(Proc[[#This Row],[App]],Table2[],3,0),"open")</f>
        <v>ok</v>
      </c>
      <c r="C460" s="62" t="s">
        <v>369</v>
      </c>
      <c r="D460" t="s">
        <v>1780</v>
      </c>
      <c r="E460" t="s">
        <v>1808</v>
      </c>
      <c r="F460" s="117" t="s">
        <v>1808</v>
      </c>
      <c r="G460" s="62" t="s">
        <v>400</v>
      </c>
      <c r="H460" s="60" t="str">
        <f>IF(Proc[[#This Row],[type]]="LFF (MDG-F)",MID(Proc[[#This Row],[Obj]],13,10),"")</f>
        <v/>
      </c>
      <c r="J460" s="60" t="b">
        <f>Proc[[#This Row],[Requested]]=Proc[[#This Row],[CurrentParent]]</f>
        <v>1</v>
      </c>
      <c r="K460" s="144" t="str">
        <f>IF(Proc[[#This Row],[Author]]="Marcela Urrego",VLOOKUP(LEFT(Proc[[#This Row],[Requested]],1),Table3[#All],2,0),VLOOKUP(Proc[[#This Row],[Author]],Table4[],2,0))</f>
        <v>LS</v>
      </c>
      <c r="L460" s="60" t="s">
        <v>509</v>
      </c>
      <c r="M460" s="71">
        <v>45693.65792824074</v>
      </c>
      <c r="P460" s="67" t="str">
        <f ca="1">IF(Proc[[#This Row],[DaysAgeing]]&gt;5,"yep","on track")</f>
        <v>yep</v>
      </c>
      <c r="Q460" s="3">
        <f ca="1">IF(Proc[[#This Row],[DateClosed]]="",ABS(NETWORKDAYS(Proc[[#This Row],[DateOpened]],TODAY()))-1,ABS(NETWORKDAYS(Proc[[#This Row],[DateOpened]],Proc[[#This Row],[DateClosed]]))-1)</f>
        <v>227</v>
      </c>
      <c r="R460" s="67" t="s">
        <v>830</v>
      </c>
      <c r="S460" s="60"/>
    </row>
    <row r="461" spans="1:19" hidden="1">
      <c r="A461" s="62" t="s">
        <v>1751</v>
      </c>
      <c r="B461" s="149" t="str">
        <f>IFERROR(VLOOKUP(Proc[[#This Row],[App]],Table2[],3,0),"open")</f>
        <v>ok</v>
      </c>
      <c r="C461" s="62" t="s">
        <v>369</v>
      </c>
      <c r="D461" t="s">
        <v>1781</v>
      </c>
      <c r="E461" t="s">
        <v>1808</v>
      </c>
      <c r="F461" s="117" t="s">
        <v>1808</v>
      </c>
      <c r="G461" s="62" t="s">
        <v>400</v>
      </c>
      <c r="H461" s="60" t="str">
        <f>IF(Proc[[#This Row],[type]]="LFF (MDG-F)",MID(Proc[[#This Row],[Obj]],13,10),"")</f>
        <v/>
      </c>
      <c r="J461" s="60" t="b">
        <f>Proc[[#This Row],[Requested]]=Proc[[#This Row],[CurrentParent]]</f>
        <v>1</v>
      </c>
      <c r="K461" s="144" t="str">
        <f>IF(Proc[[#This Row],[Author]]="Marcela Urrego",VLOOKUP(LEFT(Proc[[#This Row],[Requested]],1),Table3[#All],2,0),VLOOKUP(Proc[[#This Row],[Author]],Table4[],2,0))</f>
        <v>LS</v>
      </c>
      <c r="L461" s="60" t="s">
        <v>509</v>
      </c>
      <c r="M461" s="71">
        <v>45693.65792824074</v>
      </c>
      <c r="P461" s="67" t="str">
        <f ca="1">IF(Proc[[#This Row],[DaysAgeing]]&gt;5,"yep","on track")</f>
        <v>yep</v>
      </c>
      <c r="Q461" s="3">
        <f ca="1">IF(Proc[[#This Row],[DateClosed]]="",ABS(NETWORKDAYS(Proc[[#This Row],[DateOpened]],TODAY()))-1,ABS(NETWORKDAYS(Proc[[#This Row],[DateOpened]],Proc[[#This Row],[DateClosed]]))-1)</f>
        <v>227</v>
      </c>
      <c r="R461" s="67" t="s">
        <v>830</v>
      </c>
      <c r="S461" s="60"/>
    </row>
    <row r="462" spans="1:19" hidden="1">
      <c r="A462" s="62" t="s">
        <v>1751</v>
      </c>
      <c r="B462" s="149" t="str">
        <f>IFERROR(VLOOKUP(Proc[[#This Row],[App]],Table2[],3,0),"open")</f>
        <v>ok</v>
      </c>
      <c r="C462" s="62" t="s">
        <v>369</v>
      </c>
      <c r="D462" t="s">
        <v>1782</v>
      </c>
      <c r="E462" t="s">
        <v>1808</v>
      </c>
      <c r="F462" s="117" t="s">
        <v>1808</v>
      </c>
      <c r="G462" s="62" t="s">
        <v>400</v>
      </c>
      <c r="H462" s="60" t="str">
        <f>IF(Proc[[#This Row],[type]]="LFF (MDG-F)",MID(Proc[[#This Row],[Obj]],13,10),"")</f>
        <v/>
      </c>
      <c r="J462" s="60" t="b">
        <f>Proc[[#This Row],[Requested]]=Proc[[#This Row],[CurrentParent]]</f>
        <v>1</v>
      </c>
      <c r="K462" s="144" t="str">
        <f>IF(Proc[[#This Row],[Author]]="Marcela Urrego",VLOOKUP(LEFT(Proc[[#This Row],[Requested]],1),Table3[#All],2,0),VLOOKUP(Proc[[#This Row],[Author]],Table4[],2,0))</f>
        <v>LS</v>
      </c>
      <c r="L462" s="60" t="s">
        <v>509</v>
      </c>
      <c r="M462" s="71">
        <v>45693.65792824074</v>
      </c>
      <c r="P462" s="67" t="str">
        <f ca="1">IF(Proc[[#This Row],[DaysAgeing]]&gt;5,"yep","on track")</f>
        <v>yep</v>
      </c>
      <c r="Q462" s="3">
        <f ca="1">IF(Proc[[#This Row],[DateClosed]]="",ABS(NETWORKDAYS(Proc[[#This Row],[DateOpened]],TODAY()))-1,ABS(NETWORKDAYS(Proc[[#This Row],[DateOpened]],Proc[[#This Row],[DateClosed]]))-1)</f>
        <v>227</v>
      </c>
      <c r="R462" s="67" t="s">
        <v>830</v>
      </c>
      <c r="S462" s="60"/>
    </row>
    <row r="463" spans="1:19" hidden="1">
      <c r="A463" s="62" t="s">
        <v>1751</v>
      </c>
      <c r="B463" s="149" t="str">
        <f>IFERROR(VLOOKUP(Proc[[#This Row],[App]],Table2[],3,0),"open")</f>
        <v>ok</v>
      </c>
      <c r="C463" s="62" t="s">
        <v>369</v>
      </c>
      <c r="D463" t="s">
        <v>1783</v>
      </c>
      <c r="E463" t="s">
        <v>1808</v>
      </c>
      <c r="F463" s="117" t="s">
        <v>1808</v>
      </c>
      <c r="G463" s="62" t="s">
        <v>400</v>
      </c>
      <c r="H463" s="60" t="str">
        <f>IF(Proc[[#This Row],[type]]="LFF (MDG-F)",MID(Proc[[#This Row],[Obj]],13,10),"")</f>
        <v/>
      </c>
      <c r="J463" s="60" t="b">
        <f>Proc[[#This Row],[Requested]]=Proc[[#This Row],[CurrentParent]]</f>
        <v>1</v>
      </c>
      <c r="K463" s="144" t="str">
        <f>IF(Proc[[#This Row],[Author]]="Marcela Urrego",VLOOKUP(LEFT(Proc[[#This Row],[Requested]],1),Table3[#All],2,0),VLOOKUP(Proc[[#This Row],[Author]],Table4[],2,0))</f>
        <v>LS</v>
      </c>
      <c r="L463" s="60" t="s">
        <v>509</v>
      </c>
      <c r="M463" s="71">
        <v>45693.65792824074</v>
      </c>
      <c r="P463" s="67" t="str">
        <f ca="1">IF(Proc[[#This Row],[DaysAgeing]]&gt;5,"yep","on track")</f>
        <v>yep</v>
      </c>
      <c r="Q463" s="3">
        <f ca="1">IF(Proc[[#This Row],[DateClosed]]="",ABS(NETWORKDAYS(Proc[[#This Row],[DateOpened]],TODAY()))-1,ABS(NETWORKDAYS(Proc[[#This Row],[DateOpened]],Proc[[#This Row],[DateClosed]]))-1)</f>
        <v>227</v>
      </c>
      <c r="R463" s="67" t="s">
        <v>830</v>
      </c>
      <c r="S463" s="60"/>
    </row>
    <row r="464" spans="1:19" hidden="1">
      <c r="A464" s="62" t="s">
        <v>1751</v>
      </c>
      <c r="B464" s="149" t="str">
        <f>IFERROR(VLOOKUP(Proc[[#This Row],[App]],Table2[],3,0),"open")</f>
        <v>ok</v>
      </c>
      <c r="C464" s="62" t="s">
        <v>369</v>
      </c>
      <c r="D464" t="s">
        <v>1784</v>
      </c>
      <c r="E464" t="s">
        <v>1808</v>
      </c>
      <c r="F464" s="117" t="s">
        <v>1808</v>
      </c>
      <c r="G464" s="62" t="s">
        <v>400</v>
      </c>
      <c r="H464" s="60" t="str">
        <f>IF(Proc[[#This Row],[type]]="LFF (MDG-F)",MID(Proc[[#This Row],[Obj]],13,10),"")</f>
        <v/>
      </c>
      <c r="J464" s="60" t="b">
        <f>Proc[[#This Row],[Requested]]=Proc[[#This Row],[CurrentParent]]</f>
        <v>1</v>
      </c>
      <c r="K464" s="144" t="str">
        <f>IF(Proc[[#This Row],[Author]]="Marcela Urrego",VLOOKUP(LEFT(Proc[[#This Row],[Requested]],1),Table3[#All],2,0),VLOOKUP(Proc[[#This Row],[Author]],Table4[],2,0))</f>
        <v>LS</v>
      </c>
      <c r="L464" s="60" t="s">
        <v>509</v>
      </c>
      <c r="M464" s="71">
        <v>45693.65792824074</v>
      </c>
      <c r="P464" s="67" t="str">
        <f ca="1">IF(Proc[[#This Row],[DaysAgeing]]&gt;5,"yep","on track")</f>
        <v>yep</v>
      </c>
      <c r="Q464" s="3">
        <f ca="1">IF(Proc[[#This Row],[DateClosed]]="",ABS(NETWORKDAYS(Proc[[#This Row],[DateOpened]],TODAY()))-1,ABS(NETWORKDAYS(Proc[[#This Row],[DateOpened]],Proc[[#This Row],[DateClosed]]))-1)</f>
        <v>227</v>
      </c>
      <c r="R464" s="67" t="s">
        <v>830</v>
      </c>
      <c r="S464" s="60"/>
    </row>
    <row r="465" spans="1:19" hidden="1">
      <c r="A465" s="62" t="s">
        <v>1751</v>
      </c>
      <c r="B465" s="149" t="str">
        <f>IFERROR(VLOOKUP(Proc[[#This Row],[App]],Table2[],3,0),"open")</f>
        <v>ok</v>
      </c>
      <c r="C465" s="62" t="s">
        <v>369</v>
      </c>
      <c r="D465" t="s">
        <v>1785</v>
      </c>
      <c r="E465" t="s">
        <v>1808</v>
      </c>
      <c r="F465" s="117" t="s">
        <v>1808</v>
      </c>
      <c r="G465" s="62" t="s">
        <v>400</v>
      </c>
      <c r="H465" s="60" t="str">
        <f>IF(Proc[[#This Row],[type]]="LFF (MDG-F)",MID(Proc[[#This Row],[Obj]],13,10),"")</f>
        <v/>
      </c>
      <c r="J465" s="60" t="b">
        <f>Proc[[#This Row],[Requested]]=Proc[[#This Row],[CurrentParent]]</f>
        <v>1</v>
      </c>
      <c r="K465" s="144" t="str">
        <f>IF(Proc[[#This Row],[Author]]="Marcela Urrego",VLOOKUP(LEFT(Proc[[#This Row],[Requested]],1),Table3[#All],2,0),VLOOKUP(Proc[[#This Row],[Author]],Table4[],2,0))</f>
        <v>LS</v>
      </c>
      <c r="L465" s="60" t="s">
        <v>509</v>
      </c>
      <c r="M465" s="71">
        <v>45693.65792824074</v>
      </c>
      <c r="P465" s="67" t="str">
        <f ca="1">IF(Proc[[#This Row],[DaysAgeing]]&gt;5,"yep","on track")</f>
        <v>yep</v>
      </c>
      <c r="Q465" s="3">
        <f ca="1">IF(Proc[[#This Row],[DateClosed]]="",ABS(NETWORKDAYS(Proc[[#This Row],[DateOpened]],TODAY()))-1,ABS(NETWORKDAYS(Proc[[#This Row],[DateOpened]],Proc[[#This Row],[DateClosed]]))-1)</f>
        <v>227</v>
      </c>
      <c r="R465" s="67" t="s">
        <v>830</v>
      </c>
      <c r="S465" s="60"/>
    </row>
    <row r="466" spans="1:19" hidden="1">
      <c r="A466" s="62" t="s">
        <v>1751</v>
      </c>
      <c r="B466" s="149" t="str">
        <f>IFERROR(VLOOKUP(Proc[[#This Row],[App]],Table2[],3,0),"open")</f>
        <v>ok</v>
      </c>
      <c r="C466" s="62" t="s">
        <v>369</v>
      </c>
      <c r="D466" t="s">
        <v>1786</v>
      </c>
      <c r="E466" t="s">
        <v>1808</v>
      </c>
      <c r="F466" s="117" t="s">
        <v>1808</v>
      </c>
      <c r="G466" s="62" t="s">
        <v>400</v>
      </c>
      <c r="H466" s="60" t="str">
        <f>IF(Proc[[#This Row],[type]]="LFF (MDG-F)",MID(Proc[[#This Row],[Obj]],13,10),"")</f>
        <v/>
      </c>
      <c r="J466" s="60" t="b">
        <f>Proc[[#This Row],[Requested]]=Proc[[#This Row],[CurrentParent]]</f>
        <v>1</v>
      </c>
      <c r="K466" s="144" t="str">
        <f>IF(Proc[[#This Row],[Author]]="Marcela Urrego",VLOOKUP(LEFT(Proc[[#This Row],[Requested]],1),Table3[#All],2,0),VLOOKUP(Proc[[#This Row],[Author]],Table4[],2,0))</f>
        <v>LS</v>
      </c>
      <c r="L466" s="60" t="s">
        <v>509</v>
      </c>
      <c r="M466" s="71">
        <v>45693.65792824074</v>
      </c>
      <c r="P466" s="67" t="str">
        <f ca="1">IF(Proc[[#This Row],[DaysAgeing]]&gt;5,"yep","on track")</f>
        <v>yep</v>
      </c>
      <c r="Q466" s="3">
        <f ca="1">IF(Proc[[#This Row],[DateClosed]]="",ABS(NETWORKDAYS(Proc[[#This Row],[DateOpened]],TODAY()))-1,ABS(NETWORKDAYS(Proc[[#This Row],[DateOpened]],Proc[[#This Row],[DateClosed]]))-1)</f>
        <v>227</v>
      </c>
      <c r="R466" s="67" t="s">
        <v>830</v>
      </c>
      <c r="S466" s="60"/>
    </row>
    <row r="467" spans="1:19" hidden="1">
      <c r="A467" s="62" t="s">
        <v>1751</v>
      </c>
      <c r="B467" s="149" t="str">
        <f>IFERROR(VLOOKUP(Proc[[#This Row],[App]],Table2[],3,0),"open")</f>
        <v>ok</v>
      </c>
      <c r="C467" s="62" t="s">
        <v>369</v>
      </c>
      <c r="D467" t="s">
        <v>1787</v>
      </c>
      <c r="E467" t="s">
        <v>1808</v>
      </c>
      <c r="F467" s="117" t="s">
        <v>1808</v>
      </c>
      <c r="G467" s="62" t="s">
        <v>400</v>
      </c>
      <c r="H467" s="60" t="str">
        <f>IF(Proc[[#This Row],[type]]="LFF (MDG-F)",MID(Proc[[#This Row],[Obj]],13,10),"")</f>
        <v/>
      </c>
      <c r="J467" s="60" t="b">
        <f>Proc[[#This Row],[Requested]]=Proc[[#This Row],[CurrentParent]]</f>
        <v>1</v>
      </c>
      <c r="K467" s="144" t="str">
        <f>IF(Proc[[#This Row],[Author]]="Marcela Urrego",VLOOKUP(LEFT(Proc[[#This Row],[Requested]],1),Table3[#All],2,0),VLOOKUP(Proc[[#This Row],[Author]],Table4[],2,0))</f>
        <v>LS</v>
      </c>
      <c r="L467" s="60" t="s">
        <v>509</v>
      </c>
      <c r="M467" s="71">
        <v>45693.65792824074</v>
      </c>
      <c r="P467" s="67" t="str">
        <f ca="1">IF(Proc[[#This Row],[DaysAgeing]]&gt;5,"yep","on track")</f>
        <v>yep</v>
      </c>
      <c r="Q467" s="3">
        <f ca="1">IF(Proc[[#This Row],[DateClosed]]="",ABS(NETWORKDAYS(Proc[[#This Row],[DateOpened]],TODAY()))-1,ABS(NETWORKDAYS(Proc[[#This Row],[DateOpened]],Proc[[#This Row],[DateClosed]]))-1)</f>
        <v>227</v>
      </c>
      <c r="R467" s="67" t="s">
        <v>830</v>
      </c>
      <c r="S467" s="60"/>
    </row>
    <row r="468" spans="1:19" hidden="1">
      <c r="A468" s="62" t="s">
        <v>1751</v>
      </c>
      <c r="B468" s="149" t="str">
        <f>IFERROR(VLOOKUP(Proc[[#This Row],[App]],Table2[],3,0),"open")</f>
        <v>ok</v>
      </c>
      <c r="C468" s="62" t="s">
        <v>369</v>
      </c>
      <c r="D468" t="s">
        <v>1788</v>
      </c>
      <c r="E468" t="s">
        <v>1808</v>
      </c>
      <c r="F468" s="117" t="s">
        <v>1808</v>
      </c>
      <c r="G468" s="62" t="s">
        <v>400</v>
      </c>
      <c r="H468" s="60" t="str">
        <f>IF(Proc[[#This Row],[type]]="LFF (MDG-F)",MID(Proc[[#This Row],[Obj]],13,10),"")</f>
        <v/>
      </c>
      <c r="J468" s="60" t="b">
        <f>Proc[[#This Row],[Requested]]=Proc[[#This Row],[CurrentParent]]</f>
        <v>1</v>
      </c>
      <c r="K468" s="144" t="str">
        <f>IF(Proc[[#This Row],[Author]]="Marcela Urrego",VLOOKUP(LEFT(Proc[[#This Row],[Requested]],1),Table3[#All],2,0),VLOOKUP(Proc[[#This Row],[Author]],Table4[],2,0))</f>
        <v>LS</v>
      </c>
      <c r="L468" s="60" t="s">
        <v>509</v>
      </c>
      <c r="M468" s="71">
        <v>45693.65792824074</v>
      </c>
      <c r="P468" s="67" t="str">
        <f ca="1">IF(Proc[[#This Row],[DaysAgeing]]&gt;5,"yep","on track")</f>
        <v>yep</v>
      </c>
      <c r="Q468" s="3">
        <f ca="1">IF(Proc[[#This Row],[DateClosed]]="",ABS(NETWORKDAYS(Proc[[#This Row],[DateOpened]],TODAY()))-1,ABS(NETWORKDAYS(Proc[[#This Row],[DateOpened]],Proc[[#This Row],[DateClosed]]))-1)</f>
        <v>227</v>
      </c>
      <c r="R468" s="67" t="s">
        <v>830</v>
      </c>
      <c r="S468" s="60"/>
    </row>
    <row r="469" spans="1:19" hidden="1">
      <c r="A469" s="62" t="s">
        <v>1751</v>
      </c>
      <c r="B469" s="149" t="str">
        <f>IFERROR(VLOOKUP(Proc[[#This Row],[App]],Table2[],3,0),"open")</f>
        <v>ok</v>
      </c>
      <c r="C469" s="62" t="s">
        <v>369</v>
      </c>
      <c r="D469" t="s">
        <v>1789</v>
      </c>
      <c r="E469" t="s">
        <v>1808</v>
      </c>
      <c r="F469" s="117" t="s">
        <v>1808</v>
      </c>
      <c r="G469" s="62" t="s">
        <v>400</v>
      </c>
      <c r="H469" s="60" t="str">
        <f>IF(Proc[[#This Row],[type]]="LFF (MDG-F)",MID(Proc[[#This Row],[Obj]],13,10),"")</f>
        <v/>
      </c>
      <c r="J469" s="60" t="b">
        <f>Proc[[#This Row],[Requested]]=Proc[[#This Row],[CurrentParent]]</f>
        <v>1</v>
      </c>
      <c r="K469" s="144" t="str">
        <f>IF(Proc[[#This Row],[Author]]="Marcela Urrego",VLOOKUP(LEFT(Proc[[#This Row],[Requested]],1),Table3[#All],2,0),VLOOKUP(Proc[[#This Row],[Author]],Table4[],2,0))</f>
        <v>LS</v>
      </c>
      <c r="L469" s="60" t="s">
        <v>509</v>
      </c>
      <c r="M469" s="71">
        <v>45693.65792824074</v>
      </c>
      <c r="P469" s="67" t="str">
        <f ca="1">IF(Proc[[#This Row],[DaysAgeing]]&gt;5,"yep","on track")</f>
        <v>yep</v>
      </c>
      <c r="Q469" s="3">
        <f ca="1">IF(Proc[[#This Row],[DateClosed]]="",ABS(NETWORKDAYS(Proc[[#This Row],[DateOpened]],TODAY()))-1,ABS(NETWORKDAYS(Proc[[#This Row],[DateOpened]],Proc[[#This Row],[DateClosed]]))-1)</f>
        <v>227</v>
      </c>
      <c r="R469" s="67" t="s">
        <v>830</v>
      </c>
      <c r="S469" s="60"/>
    </row>
    <row r="470" spans="1:19" hidden="1">
      <c r="A470" s="62" t="s">
        <v>1751</v>
      </c>
      <c r="B470" s="149" t="str">
        <f>IFERROR(VLOOKUP(Proc[[#This Row],[App]],Table2[],3,0),"open")</f>
        <v>ok</v>
      </c>
      <c r="C470" s="62" t="s">
        <v>369</v>
      </c>
      <c r="D470" t="s">
        <v>1790</v>
      </c>
      <c r="E470" t="s">
        <v>1808</v>
      </c>
      <c r="F470" s="117" t="s">
        <v>1808</v>
      </c>
      <c r="G470" s="62" t="s">
        <v>400</v>
      </c>
      <c r="H470" s="60" t="str">
        <f>IF(Proc[[#This Row],[type]]="LFF (MDG-F)",MID(Proc[[#This Row],[Obj]],13,10),"")</f>
        <v/>
      </c>
      <c r="J470" s="60" t="b">
        <f>Proc[[#This Row],[Requested]]=Proc[[#This Row],[CurrentParent]]</f>
        <v>1</v>
      </c>
      <c r="K470" s="144" t="str">
        <f>IF(Proc[[#This Row],[Author]]="Marcela Urrego",VLOOKUP(LEFT(Proc[[#This Row],[Requested]],1),Table3[#All],2,0),VLOOKUP(Proc[[#This Row],[Author]],Table4[],2,0))</f>
        <v>LS</v>
      </c>
      <c r="L470" s="60" t="s">
        <v>509</v>
      </c>
      <c r="M470" s="71">
        <v>45693.65792824074</v>
      </c>
      <c r="P470" s="67" t="str">
        <f ca="1">IF(Proc[[#This Row],[DaysAgeing]]&gt;5,"yep","on track")</f>
        <v>yep</v>
      </c>
      <c r="Q470" s="3">
        <f ca="1">IF(Proc[[#This Row],[DateClosed]]="",ABS(NETWORKDAYS(Proc[[#This Row],[DateOpened]],TODAY()))-1,ABS(NETWORKDAYS(Proc[[#This Row],[DateOpened]],Proc[[#This Row],[DateClosed]]))-1)</f>
        <v>227</v>
      </c>
      <c r="R470" s="67" t="s">
        <v>830</v>
      </c>
      <c r="S470" s="60"/>
    </row>
    <row r="471" spans="1:19" hidden="1">
      <c r="A471" s="62" t="s">
        <v>1751</v>
      </c>
      <c r="B471" s="149" t="str">
        <f>IFERROR(VLOOKUP(Proc[[#This Row],[App]],Table2[],3,0),"open")</f>
        <v>ok</v>
      </c>
      <c r="C471" s="62" t="s">
        <v>369</v>
      </c>
      <c r="D471" t="s">
        <v>1791</v>
      </c>
      <c r="E471" t="s">
        <v>1808</v>
      </c>
      <c r="F471" s="117" t="s">
        <v>1808</v>
      </c>
      <c r="G471" s="62" t="s">
        <v>400</v>
      </c>
      <c r="H471" s="60" t="str">
        <f>IF(Proc[[#This Row],[type]]="LFF (MDG-F)",MID(Proc[[#This Row],[Obj]],13,10),"")</f>
        <v/>
      </c>
      <c r="J471" s="60" t="b">
        <f>Proc[[#This Row],[Requested]]=Proc[[#This Row],[CurrentParent]]</f>
        <v>1</v>
      </c>
      <c r="K471" s="144" t="str">
        <f>IF(Proc[[#This Row],[Author]]="Marcela Urrego",VLOOKUP(LEFT(Proc[[#This Row],[Requested]],1),Table3[#All],2,0),VLOOKUP(Proc[[#This Row],[Author]],Table4[],2,0))</f>
        <v>LS</v>
      </c>
      <c r="L471" s="60" t="s">
        <v>509</v>
      </c>
      <c r="M471" s="71">
        <v>45693.65792824074</v>
      </c>
      <c r="P471" s="67" t="str">
        <f ca="1">IF(Proc[[#This Row],[DaysAgeing]]&gt;5,"yep","on track")</f>
        <v>yep</v>
      </c>
      <c r="Q471" s="3">
        <f ca="1">IF(Proc[[#This Row],[DateClosed]]="",ABS(NETWORKDAYS(Proc[[#This Row],[DateOpened]],TODAY()))-1,ABS(NETWORKDAYS(Proc[[#This Row],[DateOpened]],Proc[[#This Row],[DateClosed]]))-1)</f>
        <v>227</v>
      </c>
      <c r="R471" s="67" t="s">
        <v>830</v>
      </c>
      <c r="S471" s="60"/>
    </row>
    <row r="472" spans="1:19" hidden="1">
      <c r="A472" s="62" t="s">
        <v>1751</v>
      </c>
      <c r="B472" s="149" t="str">
        <f>IFERROR(VLOOKUP(Proc[[#This Row],[App]],Table2[],3,0),"open")</f>
        <v>ok</v>
      </c>
      <c r="C472" s="62" t="s">
        <v>369</v>
      </c>
      <c r="D472" t="s">
        <v>1792</v>
      </c>
      <c r="E472" t="s">
        <v>1808</v>
      </c>
      <c r="F472" s="117" t="s">
        <v>1808</v>
      </c>
      <c r="G472" s="62" t="s">
        <v>400</v>
      </c>
      <c r="H472" s="60" t="str">
        <f>IF(Proc[[#This Row],[type]]="LFF (MDG-F)",MID(Proc[[#This Row],[Obj]],13,10),"")</f>
        <v/>
      </c>
      <c r="J472" s="60" t="b">
        <f>Proc[[#This Row],[Requested]]=Proc[[#This Row],[CurrentParent]]</f>
        <v>1</v>
      </c>
      <c r="K472" s="144" t="str">
        <f>IF(Proc[[#This Row],[Author]]="Marcela Urrego",VLOOKUP(LEFT(Proc[[#This Row],[Requested]],1),Table3[#All],2,0),VLOOKUP(Proc[[#This Row],[Author]],Table4[],2,0))</f>
        <v>LS</v>
      </c>
      <c r="L472" s="60" t="s">
        <v>509</v>
      </c>
      <c r="M472" s="71">
        <v>45693.65792824074</v>
      </c>
      <c r="P472" s="67" t="str">
        <f ca="1">IF(Proc[[#This Row],[DaysAgeing]]&gt;5,"yep","on track")</f>
        <v>yep</v>
      </c>
      <c r="Q472" s="3">
        <f ca="1">IF(Proc[[#This Row],[DateClosed]]="",ABS(NETWORKDAYS(Proc[[#This Row],[DateOpened]],TODAY()))-1,ABS(NETWORKDAYS(Proc[[#This Row],[DateOpened]],Proc[[#This Row],[DateClosed]]))-1)</f>
        <v>227</v>
      </c>
      <c r="R472" s="67" t="s">
        <v>830</v>
      </c>
      <c r="S472" s="60"/>
    </row>
    <row r="473" spans="1:19" hidden="1">
      <c r="A473" s="62" t="s">
        <v>1751</v>
      </c>
      <c r="B473" s="149" t="str">
        <f>IFERROR(VLOOKUP(Proc[[#This Row],[App]],Table2[],3,0),"open")</f>
        <v>ok</v>
      </c>
      <c r="C473" s="62" t="s">
        <v>369</v>
      </c>
      <c r="D473" t="s">
        <v>1793</v>
      </c>
      <c r="E473" t="s">
        <v>1808</v>
      </c>
      <c r="F473" s="117" t="s">
        <v>1808</v>
      </c>
      <c r="G473" s="62" t="s">
        <v>400</v>
      </c>
      <c r="H473" s="60" t="str">
        <f>IF(Proc[[#This Row],[type]]="LFF (MDG-F)",MID(Proc[[#This Row],[Obj]],13,10),"")</f>
        <v/>
      </c>
      <c r="J473" s="60" t="b">
        <f>Proc[[#This Row],[Requested]]=Proc[[#This Row],[CurrentParent]]</f>
        <v>1</v>
      </c>
      <c r="K473" s="144" t="str">
        <f>IF(Proc[[#This Row],[Author]]="Marcela Urrego",VLOOKUP(LEFT(Proc[[#This Row],[Requested]],1),Table3[#All],2,0),VLOOKUP(Proc[[#This Row],[Author]],Table4[],2,0))</f>
        <v>LS</v>
      </c>
      <c r="L473" s="60" t="s">
        <v>509</v>
      </c>
      <c r="M473" s="71">
        <v>45693.65792824074</v>
      </c>
      <c r="P473" s="67" t="str">
        <f ca="1">IF(Proc[[#This Row],[DaysAgeing]]&gt;5,"yep","on track")</f>
        <v>yep</v>
      </c>
      <c r="Q473" s="3">
        <f ca="1">IF(Proc[[#This Row],[DateClosed]]="",ABS(NETWORKDAYS(Proc[[#This Row],[DateOpened]],TODAY()))-1,ABS(NETWORKDAYS(Proc[[#This Row],[DateOpened]],Proc[[#This Row],[DateClosed]]))-1)</f>
        <v>227</v>
      </c>
      <c r="R473" s="67" t="s">
        <v>830</v>
      </c>
      <c r="S473" s="60"/>
    </row>
    <row r="474" spans="1:19" hidden="1">
      <c r="A474" s="62" t="s">
        <v>1751</v>
      </c>
      <c r="B474" s="149" t="str">
        <f>IFERROR(VLOOKUP(Proc[[#This Row],[App]],Table2[],3,0),"open")</f>
        <v>ok</v>
      </c>
      <c r="C474" s="62" t="s">
        <v>369</v>
      </c>
      <c r="D474" t="s">
        <v>1794</v>
      </c>
      <c r="E474" t="s">
        <v>1808</v>
      </c>
      <c r="F474" s="117" t="s">
        <v>1808</v>
      </c>
      <c r="G474" s="62" t="s">
        <v>400</v>
      </c>
      <c r="H474" s="60" t="str">
        <f>IF(Proc[[#This Row],[type]]="LFF (MDG-F)",MID(Proc[[#This Row],[Obj]],13,10),"")</f>
        <v/>
      </c>
      <c r="J474" s="60" t="b">
        <f>Proc[[#This Row],[Requested]]=Proc[[#This Row],[CurrentParent]]</f>
        <v>1</v>
      </c>
      <c r="K474" s="144" t="str">
        <f>IF(Proc[[#This Row],[Author]]="Marcela Urrego",VLOOKUP(LEFT(Proc[[#This Row],[Requested]],1),Table3[#All],2,0),VLOOKUP(Proc[[#This Row],[Author]],Table4[],2,0))</f>
        <v>LS</v>
      </c>
      <c r="L474" s="60" t="s">
        <v>509</v>
      </c>
      <c r="M474" s="71">
        <v>45693.65792824074</v>
      </c>
      <c r="P474" s="67" t="str">
        <f ca="1">IF(Proc[[#This Row],[DaysAgeing]]&gt;5,"yep","on track")</f>
        <v>yep</v>
      </c>
      <c r="Q474" s="3">
        <f ca="1">IF(Proc[[#This Row],[DateClosed]]="",ABS(NETWORKDAYS(Proc[[#This Row],[DateOpened]],TODAY()))-1,ABS(NETWORKDAYS(Proc[[#This Row],[DateOpened]],Proc[[#This Row],[DateClosed]]))-1)</f>
        <v>227</v>
      </c>
      <c r="R474" s="67" t="s">
        <v>830</v>
      </c>
      <c r="S474" s="60"/>
    </row>
    <row r="475" spans="1:19" hidden="1">
      <c r="A475" s="62" t="s">
        <v>1751</v>
      </c>
      <c r="B475" s="149" t="str">
        <f>IFERROR(VLOOKUP(Proc[[#This Row],[App]],Table2[],3,0),"open")</f>
        <v>ok</v>
      </c>
      <c r="C475" s="62" t="s">
        <v>369</v>
      </c>
      <c r="D475" t="s">
        <v>1795</v>
      </c>
      <c r="E475" t="s">
        <v>1808</v>
      </c>
      <c r="F475" s="117" t="s">
        <v>1808</v>
      </c>
      <c r="G475" s="62" t="s">
        <v>400</v>
      </c>
      <c r="H475" s="60" t="str">
        <f>IF(Proc[[#This Row],[type]]="LFF (MDG-F)",MID(Proc[[#This Row],[Obj]],13,10),"")</f>
        <v/>
      </c>
      <c r="J475" s="60" t="b">
        <f>Proc[[#This Row],[Requested]]=Proc[[#This Row],[CurrentParent]]</f>
        <v>1</v>
      </c>
      <c r="K475" s="144" t="str">
        <f>IF(Proc[[#This Row],[Author]]="Marcela Urrego",VLOOKUP(LEFT(Proc[[#This Row],[Requested]],1),Table3[#All],2,0),VLOOKUP(Proc[[#This Row],[Author]],Table4[],2,0))</f>
        <v>LS</v>
      </c>
      <c r="L475" s="60" t="s">
        <v>509</v>
      </c>
      <c r="M475" s="71">
        <v>45693.65792824074</v>
      </c>
      <c r="P475" s="67" t="str">
        <f ca="1">IF(Proc[[#This Row],[DaysAgeing]]&gt;5,"yep","on track")</f>
        <v>yep</v>
      </c>
      <c r="Q475" s="3">
        <f ca="1">IF(Proc[[#This Row],[DateClosed]]="",ABS(NETWORKDAYS(Proc[[#This Row],[DateOpened]],TODAY()))-1,ABS(NETWORKDAYS(Proc[[#This Row],[DateOpened]],Proc[[#This Row],[DateClosed]]))-1)</f>
        <v>227</v>
      </c>
      <c r="R475" s="67" t="s">
        <v>830</v>
      </c>
      <c r="S475" s="60"/>
    </row>
    <row r="476" spans="1:19" hidden="1">
      <c r="A476" s="62" t="s">
        <v>1751</v>
      </c>
      <c r="B476" s="149" t="str">
        <f>IFERROR(VLOOKUP(Proc[[#This Row],[App]],Table2[],3,0),"open")</f>
        <v>ok</v>
      </c>
      <c r="C476" s="62" t="s">
        <v>369</v>
      </c>
      <c r="D476" t="s">
        <v>1796</v>
      </c>
      <c r="E476" t="s">
        <v>1808</v>
      </c>
      <c r="F476" s="117" t="s">
        <v>1808</v>
      </c>
      <c r="G476" s="62" t="s">
        <v>400</v>
      </c>
      <c r="H476" s="60" t="str">
        <f>IF(Proc[[#This Row],[type]]="LFF (MDG-F)",MID(Proc[[#This Row],[Obj]],13,10),"")</f>
        <v/>
      </c>
      <c r="J476" s="60" t="b">
        <f>Proc[[#This Row],[Requested]]=Proc[[#This Row],[CurrentParent]]</f>
        <v>1</v>
      </c>
      <c r="K476" s="144" t="str">
        <f>IF(Proc[[#This Row],[Author]]="Marcela Urrego",VLOOKUP(LEFT(Proc[[#This Row],[Requested]],1),Table3[#All],2,0),VLOOKUP(Proc[[#This Row],[Author]],Table4[],2,0))</f>
        <v>LS</v>
      </c>
      <c r="L476" s="60" t="s">
        <v>509</v>
      </c>
      <c r="M476" s="71">
        <v>45693.65792824074</v>
      </c>
      <c r="P476" s="67" t="str">
        <f ca="1">IF(Proc[[#This Row],[DaysAgeing]]&gt;5,"yep","on track")</f>
        <v>yep</v>
      </c>
      <c r="Q476" s="3">
        <f ca="1">IF(Proc[[#This Row],[DateClosed]]="",ABS(NETWORKDAYS(Proc[[#This Row],[DateOpened]],TODAY()))-1,ABS(NETWORKDAYS(Proc[[#This Row],[DateOpened]],Proc[[#This Row],[DateClosed]]))-1)</f>
        <v>227</v>
      </c>
      <c r="R476" s="67" t="s">
        <v>830</v>
      </c>
      <c r="S476" s="60"/>
    </row>
    <row r="477" spans="1:19" hidden="1">
      <c r="A477" s="62" t="s">
        <v>1751</v>
      </c>
      <c r="B477" s="149" t="str">
        <f>IFERROR(VLOOKUP(Proc[[#This Row],[App]],Table2[],3,0),"open")</f>
        <v>ok</v>
      </c>
      <c r="C477" s="62" t="s">
        <v>369</v>
      </c>
      <c r="D477" t="s">
        <v>1797</v>
      </c>
      <c r="E477" t="s">
        <v>1808</v>
      </c>
      <c r="F477" s="117" t="s">
        <v>1808</v>
      </c>
      <c r="G477" s="62" t="s">
        <v>400</v>
      </c>
      <c r="H477" s="60" t="str">
        <f>IF(Proc[[#This Row],[type]]="LFF (MDG-F)",MID(Proc[[#This Row],[Obj]],13,10),"")</f>
        <v/>
      </c>
      <c r="J477" s="60" t="b">
        <f>Proc[[#This Row],[Requested]]=Proc[[#This Row],[CurrentParent]]</f>
        <v>1</v>
      </c>
      <c r="K477" s="144" t="str">
        <f>IF(Proc[[#This Row],[Author]]="Marcela Urrego",VLOOKUP(LEFT(Proc[[#This Row],[Requested]],1),Table3[#All],2,0),VLOOKUP(Proc[[#This Row],[Author]],Table4[],2,0))</f>
        <v>LS</v>
      </c>
      <c r="L477" s="60" t="s">
        <v>509</v>
      </c>
      <c r="M477" s="71">
        <v>45693.65792824074</v>
      </c>
      <c r="P477" s="67" t="str">
        <f ca="1">IF(Proc[[#This Row],[DaysAgeing]]&gt;5,"yep","on track")</f>
        <v>yep</v>
      </c>
      <c r="Q477" s="3">
        <f ca="1">IF(Proc[[#This Row],[DateClosed]]="",ABS(NETWORKDAYS(Proc[[#This Row],[DateOpened]],TODAY()))-1,ABS(NETWORKDAYS(Proc[[#This Row],[DateOpened]],Proc[[#This Row],[DateClosed]]))-1)</f>
        <v>227</v>
      </c>
      <c r="R477" s="67" t="s">
        <v>830</v>
      </c>
      <c r="S477" s="60"/>
    </row>
    <row r="478" spans="1:19" hidden="1">
      <c r="A478" s="62" t="s">
        <v>1751</v>
      </c>
      <c r="B478" s="149" t="str">
        <f>IFERROR(VLOOKUP(Proc[[#This Row],[App]],Table2[],3,0),"open")</f>
        <v>ok</v>
      </c>
      <c r="C478" s="62" t="s">
        <v>369</v>
      </c>
      <c r="D478" t="s">
        <v>1798</v>
      </c>
      <c r="E478" t="s">
        <v>1808</v>
      </c>
      <c r="F478" s="117" t="s">
        <v>1808</v>
      </c>
      <c r="G478" s="62" t="s">
        <v>400</v>
      </c>
      <c r="H478" s="60" t="str">
        <f>IF(Proc[[#This Row],[type]]="LFF (MDG-F)",MID(Proc[[#This Row],[Obj]],13,10),"")</f>
        <v/>
      </c>
      <c r="J478" s="60" t="b">
        <f>Proc[[#This Row],[Requested]]=Proc[[#This Row],[CurrentParent]]</f>
        <v>1</v>
      </c>
      <c r="K478" s="144" t="str">
        <f>IF(Proc[[#This Row],[Author]]="Marcela Urrego",VLOOKUP(LEFT(Proc[[#This Row],[Requested]],1),Table3[#All],2,0),VLOOKUP(Proc[[#This Row],[Author]],Table4[],2,0))</f>
        <v>LS</v>
      </c>
      <c r="L478" s="60" t="s">
        <v>509</v>
      </c>
      <c r="M478" s="71">
        <v>45693.65792824074</v>
      </c>
      <c r="P478" s="67" t="str">
        <f ca="1">IF(Proc[[#This Row],[DaysAgeing]]&gt;5,"yep","on track")</f>
        <v>yep</v>
      </c>
      <c r="Q478" s="3">
        <f ca="1">IF(Proc[[#This Row],[DateClosed]]="",ABS(NETWORKDAYS(Proc[[#This Row],[DateOpened]],TODAY()))-1,ABS(NETWORKDAYS(Proc[[#This Row],[DateOpened]],Proc[[#This Row],[DateClosed]]))-1)</f>
        <v>227</v>
      </c>
      <c r="R478" s="67" t="s">
        <v>830</v>
      </c>
      <c r="S478" s="60"/>
    </row>
    <row r="479" spans="1:19" hidden="1">
      <c r="A479" s="62" t="s">
        <v>1751</v>
      </c>
      <c r="B479" s="149" t="str">
        <f>IFERROR(VLOOKUP(Proc[[#This Row],[App]],Table2[],3,0),"open")</f>
        <v>ok</v>
      </c>
      <c r="C479" s="62" t="s">
        <v>369</v>
      </c>
      <c r="D479" t="s">
        <v>1799</v>
      </c>
      <c r="E479" t="s">
        <v>1808</v>
      </c>
      <c r="F479" s="117" t="s">
        <v>1808</v>
      </c>
      <c r="G479" s="62" t="s">
        <v>400</v>
      </c>
      <c r="H479" s="60" t="str">
        <f>IF(Proc[[#This Row],[type]]="LFF (MDG-F)",MID(Proc[[#This Row],[Obj]],13,10),"")</f>
        <v/>
      </c>
      <c r="J479" s="60" t="b">
        <f>Proc[[#This Row],[Requested]]=Proc[[#This Row],[CurrentParent]]</f>
        <v>1</v>
      </c>
      <c r="K479" s="144" t="str">
        <f>IF(Proc[[#This Row],[Author]]="Marcela Urrego",VLOOKUP(LEFT(Proc[[#This Row],[Requested]],1),Table3[#All],2,0),VLOOKUP(Proc[[#This Row],[Author]],Table4[],2,0))</f>
        <v>LS</v>
      </c>
      <c r="L479" s="60" t="s">
        <v>509</v>
      </c>
      <c r="M479" s="71">
        <v>45693.65792824074</v>
      </c>
      <c r="P479" s="67" t="str">
        <f ca="1">IF(Proc[[#This Row],[DaysAgeing]]&gt;5,"yep","on track")</f>
        <v>yep</v>
      </c>
      <c r="Q479" s="3">
        <f ca="1">IF(Proc[[#This Row],[DateClosed]]="",ABS(NETWORKDAYS(Proc[[#This Row],[DateOpened]],TODAY()))-1,ABS(NETWORKDAYS(Proc[[#This Row],[DateOpened]],Proc[[#This Row],[DateClosed]]))-1)</f>
        <v>227</v>
      </c>
      <c r="R479" s="67" t="s">
        <v>830</v>
      </c>
      <c r="S479" s="60"/>
    </row>
    <row r="480" spans="1:19" hidden="1">
      <c r="A480" s="62" t="s">
        <v>1751</v>
      </c>
      <c r="B480" s="149" t="str">
        <f>IFERROR(VLOOKUP(Proc[[#This Row],[App]],Table2[],3,0),"open")</f>
        <v>ok</v>
      </c>
      <c r="C480" s="62" t="s">
        <v>369</v>
      </c>
      <c r="D480" t="s">
        <v>1800</v>
      </c>
      <c r="E480" t="s">
        <v>1808</v>
      </c>
      <c r="F480" s="117" t="s">
        <v>1808</v>
      </c>
      <c r="G480" s="62" t="s">
        <v>400</v>
      </c>
      <c r="H480" s="60" t="str">
        <f>IF(Proc[[#This Row],[type]]="LFF (MDG-F)",MID(Proc[[#This Row],[Obj]],13,10),"")</f>
        <v/>
      </c>
      <c r="J480" s="60" t="b">
        <f>Proc[[#This Row],[Requested]]=Proc[[#This Row],[CurrentParent]]</f>
        <v>1</v>
      </c>
      <c r="K480" s="144" t="str">
        <f>IF(Proc[[#This Row],[Author]]="Marcela Urrego",VLOOKUP(LEFT(Proc[[#This Row],[Requested]],1),Table3[#All],2,0),VLOOKUP(Proc[[#This Row],[Author]],Table4[],2,0))</f>
        <v>LS</v>
      </c>
      <c r="L480" s="60" t="s">
        <v>509</v>
      </c>
      <c r="M480" s="71">
        <v>45693.65792824074</v>
      </c>
      <c r="P480" s="67" t="str">
        <f ca="1">IF(Proc[[#This Row],[DaysAgeing]]&gt;5,"yep","on track")</f>
        <v>yep</v>
      </c>
      <c r="Q480" s="3">
        <f ca="1">IF(Proc[[#This Row],[DateClosed]]="",ABS(NETWORKDAYS(Proc[[#This Row],[DateOpened]],TODAY()))-1,ABS(NETWORKDAYS(Proc[[#This Row],[DateOpened]],Proc[[#This Row],[DateClosed]]))-1)</f>
        <v>227</v>
      </c>
      <c r="R480" s="67" t="s">
        <v>830</v>
      </c>
      <c r="S480" s="60"/>
    </row>
    <row r="481" spans="1:19" hidden="1">
      <c r="A481" s="62" t="s">
        <v>1751</v>
      </c>
      <c r="B481" s="149" t="str">
        <f>IFERROR(VLOOKUP(Proc[[#This Row],[App]],Table2[],3,0),"open")</f>
        <v>ok</v>
      </c>
      <c r="C481" s="62" t="s">
        <v>369</v>
      </c>
      <c r="D481" t="s">
        <v>1801</v>
      </c>
      <c r="E481" t="s">
        <v>1808</v>
      </c>
      <c r="F481" s="117" t="s">
        <v>1808</v>
      </c>
      <c r="G481" s="62" t="s">
        <v>400</v>
      </c>
      <c r="H481" s="60" t="str">
        <f>IF(Proc[[#This Row],[type]]="LFF (MDG-F)",MID(Proc[[#This Row],[Obj]],13,10),"")</f>
        <v/>
      </c>
      <c r="J481" s="60" t="b">
        <f>Proc[[#This Row],[Requested]]=Proc[[#This Row],[CurrentParent]]</f>
        <v>1</v>
      </c>
      <c r="K481" s="144" t="str">
        <f>IF(Proc[[#This Row],[Author]]="Marcela Urrego",VLOOKUP(LEFT(Proc[[#This Row],[Requested]],1),Table3[#All],2,0),VLOOKUP(Proc[[#This Row],[Author]],Table4[],2,0))</f>
        <v>LS</v>
      </c>
      <c r="L481" s="60" t="s">
        <v>509</v>
      </c>
      <c r="M481" s="71">
        <v>45693.65792824074</v>
      </c>
      <c r="P481" s="67" t="str">
        <f ca="1">IF(Proc[[#This Row],[DaysAgeing]]&gt;5,"yep","on track")</f>
        <v>yep</v>
      </c>
      <c r="Q481" s="3">
        <f ca="1">IF(Proc[[#This Row],[DateClosed]]="",ABS(NETWORKDAYS(Proc[[#This Row],[DateOpened]],TODAY()))-1,ABS(NETWORKDAYS(Proc[[#This Row],[DateOpened]],Proc[[#This Row],[DateClosed]]))-1)</f>
        <v>227</v>
      </c>
      <c r="R481" s="67" t="s">
        <v>830</v>
      </c>
      <c r="S481" s="60"/>
    </row>
    <row r="482" spans="1:19" hidden="1">
      <c r="A482" s="62" t="s">
        <v>1751</v>
      </c>
      <c r="B482" s="149" t="str">
        <f>IFERROR(VLOOKUP(Proc[[#This Row],[App]],Table2[],3,0),"open")</f>
        <v>ok</v>
      </c>
      <c r="C482" s="62" t="s">
        <v>369</v>
      </c>
      <c r="D482" t="s">
        <v>1802</v>
      </c>
      <c r="E482" t="s">
        <v>1808</v>
      </c>
      <c r="F482" s="117" t="s">
        <v>1808</v>
      </c>
      <c r="G482" s="62" t="s">
        <v>400</v>
      </c>
      <c r="H482" s="60" t="str">
        <f>IF(Proc[[#This Row],[type]]="LFF (MDG-F)",MID(Proc[[#This Row],[Obj]],13,10),"")</f>
        <v/>
      </c>
      <c r="J482" s="60" t="b">
        <f>Proc[[#This Row],[Requested]]=Proc[[#This Row],[CurrentParent]]</f>
        <v>1</v>
      </c>
      <c r="K482" s="144" t="str">
        <f>IF(Proc[[#This Row],[Author]]="Marcela Urrego",VLOOKUP(LEFT(Proc[[#This Row],[Requested]],1),Table3[#All],2,0),VLOOKUP(Proc[[#This Row],[Author]],Table4[],2,0))</f>
        <v>LS</v>
      </c>
      <c r="L482" s="60" t="s">
        <v>509</v>
      </c>
      <c r="M482" s="71">
        <v>45693.65792824074</v>
      </c>
      <c r="P482" s="67" t="str">
        <f ca="1">IF(Proc[[#This Row],[DaysAgeing]]&gt;5,"yep","on track")</f>
        <v>yep</v>
      </c>
      <c r="Q482" s="3">
        <f ca="1">IF(Proc[[#This Row],[DateClosed]]="",ABS(NETWORKDAYS(Proc[[#This Row],[DateOpened]],TODAY()))-1,ABS(NETWORKDAYS(Proc[[#This Row],[DateOpened]],Proc[[#This Row],[DateClosed]]))-1)</f>
        <v>227</v>
      </c>
      <c r="R482" s="67" t="s">
        <v>830</v>
      </c>
      <c r="S482" s="60"/>
    </row>
    <row r="483" spans="1:19" hidden="1">
      <c r="A483" s="62" t="s">
        <v>1751</v>
      </c>
      <c r="B483" s="149" t="str">
        <f>IFERROR(VLOOKUP(Proc[[#This Row],[App]],Table2[],3,0),"open")</f>
        <v>ok</v>
      </c>
      <c r="C483" s="62" t="s">
        <v>369</v>
      </c>
      <c r="D483" t="s">
        <v>1803</v>
      </c>
      <c r="E483" t="s">
        <v>1808</v>
      </c>
      <c r="F483" s="117" t="s">
        <v>1808</v>
      </c>
      <c r="G483" s="62" t="s">
        <v>400</v>
      </c>
      <c r="H483" s="60" t="str">
        <f>IF(Proc[[#This Row],[type]]="LFF (MDG-F)",MID(Proc[[#This Row],[Obj]],13,10),"")</f>
        <v/>
      </c>
      <c r="J483" s="60" t="b">
        <f>Proc[[#This Row],[Requested]]=Proc[[#This Row],[CurrentParent]]</f>
        <v>1</v>
      </c>
      <c r="K483" s="144" t="str">
        <f>IF(Proc[[#This Row],[Author]]="Marcela Urrego",VLOOKUP(LEFT(Proc[[#This Row],[Requested]],1),Table3[#All],2,0),VLOOKUP(Proc[[#This Row],[Author]],Table4[],2,0))</f>
        <v>LS</v>
      </c>
      <c r="L483" s="60" t="s">
        <v>509</v>
      </c>
      <c r="M483" s="71">
        <v>45693.65792824074</v>
      </c>
      <c r="P483" s="67" t="str">
        <f ca="1">IF(Proc[[#This Row],[DaysAgeing]]&gt;5,"yep","on track")</f>
        <v>yep</v>
      </c>
      <c r="Q483" s="3">
        <f ca="1">IF(Proc[[#This Row],[DateClosed]]="",ABS(NETWORKDAYS(Proc[[#This Row],[DateOpened]],TODAY()))-1,ABS(NETWORKDAYS(Proc[[#This Row],[DateOpened]],Proc[[#This Row],[DateClosed]]))-1)</f>
        <v>227</v>
      </c>
      <c r="R483" s="67" t="s">
        <v>830</v>
      </c>
      <c r="S483" s="60"/>
    </row>
    <row r="484" spans="1:19" hidden="1">
      <c r="A484" s="62" t="s">
        <v>1751</v>
      </c>
      <c r="B484" s="149" t="str">
        <f>IFERROR(VLOOKUP(Proc[[#This Row],[App]],Table2[],3,0),"open")</f>
        <v>ok</v>
      </c>
      <c r="C484" s="62" t="s">
        <v>369</v>
      </c>
      <c r="D484" t="s">
        <v>1804</v>
      </c>
      <c r="E484" t="s">
        <v>1808</v>
      </c>
      <c r="F484" s="117" t="s">
        <v>1808</v>
      </c>
      <c r="G484" s="62" t="s">
        <v>400</v>
      </c>
      <c r="H484" s="60" t="str">
        <f>IF(Proc[[#This Row],[type]]="LFF (MDG-F)",MID(Proc[[#This Row],[Obj]],13,10),"")</f>
        <v/>
      </c>
      <c r="J484" s="60" t="b">
        <f>Proc[[#This Row],[Requested]]=Proc[[#This Row],[CurrentParent]]</f>
        <v>1</v>
      </c>
      <c r="K484" s="144" t="str">
        <f>IF(Proc[[#This Row],[Author]]="Marcela Urrego",VLOOKUP(LEFT(Proc[[#This Row],[Requested]],1),Table3[#All],2,0),VLOOKUP(Proc[[#This Row],[Author]],Table4[],2,0))</f>
        <v>LS</v>
      </c>
      <c r="L484" s="60" t="s">
        <v>509</v>
      </c>
      <c r="M484" s="71">
        <v>45693.65792824074</v>
      </c>
      <c r="P484" s="67" t="str">
        <f ca="1">IF(Proc[[#This Row],[DaysAgeing]]&gt;5,"yep","on track")</f>
        <v>yep</v>
      </c>
      <c r="Q484" s="3">
        <f ca="1">IF(Proc[[#This Row],[DateClosed]]="",ABS(NETWORKDAYS(Proc[[#This Row],[DateOpened]],TODAY()))-1,ABS(NETWORKDAYS(Proc[[#This Row],[DateOpened]],Proc[[#This Row],[DateClosed]]))-1)</f>
        <v>227</v>
      </c>
      <c r="R484" s="67" t="s">
        <v>830</v>
      </c>
      <c r="S484" s="60"/>
    </row>
    <row r="485" spans="1:19" hidden="1">
      <c r="A485" t="s">
        <v>1751</v>
      </c>
      <c r="B485" s="149" t="str">
        <f>IFERROR(VLOOKUP(Proc[[#This Row],[App]],Table2[],3,0),"open")</f>
        <v>ok</v>
      </c>
      <c r="C485" s="62" t="s">
        <v>369</v>
      </c>
      <c r="D485" t="s">
        <v>1805</v>
      </c>
      <c r="E485" t="s">
        <v>1808</v>
      </c>
      <c r="F485" s="117" t="s">
        <v>1808</v>
      </c>
      <c r="G485" s="62" t="s">
        <v>400</v>
      </c>
      <c r="H485" s="60" t="str">
        <f>IF(Proc[[#This Row],[type]]="LFF (MDG-F)",MID(Proc[[#This Row],[Obj]],13,10),"")</f>
        <v/>
      </c>
      <c r="J485" s="60" t="b">
        <f>Proc[[#This Row],[Requested]]=Proc[[#This Row],[CurrentParent]]</f>
        <v>1</v>
      </c>
      <c r="K485" s="144" t="str">
        <f>IF(Proc[[#This Row],[Author]]="Marcela Urrego",VLOOKUP(LEFT(Proc[[#This Row],[Requested]],1),Table3[#All],2,0),VLOOKUP(Proc[[#This Row],[Author]],Table4[],2,0))</f>
        <v>LS</v>
      </c>
      <c r="L485" s="60" t="s">
        <v>509</v>
      </c>
      <c r="M485" s="71">
        <v>45693.65792824074</v>
      </c>
      <c r="P485" s="67" t="str">
        <f ca="1">IF(Proc[[#This Row],[DaysAgeing]]&gt;5,"yep","on track")</f>
        <v>yep</v>
      </c>
      <c r="Q485" s="3">
        <f ca="1">IF(Proc[[#This Row],[DateClosed]]="",ABS(NETWORKDAYS(Proc[[#This Row],[DateOpened]],TODAY()))-1,ABS(NETWORKDAYS(Proc[[#This Row],[DateOpened]],Proc[[#This Row],[DateClosed]]))-1)</f>
        <v>227</v>
      </c>
      <c r="R485" s="67" t="s">
        <v>830</v>
      </c>
      <c r="S485" s="60"/>
    </row>
    <row r="486" spans="1:19" hidden="1">
      <c r="A486" s="62" t="s">
        <v>1751</v>
      </c>
      <c r="B486" s="149" t="str">
        <f>IFERROR(VLOOKUP(Proc[[#This Row],[App]],Table2[],3,0),"open")</f>
        <v>ok</v>
      </c>
      <c r="C486" s="62" t="s">
        <v>369</v>
      </c>
      <c r="D486" t="s">
        <v>1806</v>
      </c>
      <c r="E486" t="s">
        <v>1808</v>
      </c>
      <c r="F486" s="117" t="s">
        <v>1808</v>
      </c>
      <c r="G486" s="62" t="s">
        <v>400</v>
      </c>
      <c r="H486" s="60" t="str">
        <f>IF(Proc[[#This Row],[type]]="LFF (MDG-F)",MID(Proc[[#This Row],[Obj]],13,10),"")</f>
        <v/>
      </c>
      <c r="J486" s="60" t="b">
        <f>Proc[[#This Row],[Requested]]=Proc[[#This Row],[CurrentParent]]</f>
        <v>1</v>
      </c>
      <c r="K486" s="144" t="str">
        <f>IF(Proc[[#This Row],[Author]]="Marcela Urrego",VLOOKUP(LEFT(Proc[[#This Row],[Requested]],1),Table3[#All],2,0),VLOOKUP(Proc[[#This Row],[Author]],Table4[],2,0))</f>
        <v>LS</v>
      </c>
      <c r="L486" s="60" t="s">
        <v>509</v>
      </c>
      <c r="M486" s="71">
        <v>45693.65792824074</v>
      </c>
      <c r="P486" s="67" t="str">
        <f ca="1">IF(Proc[[#This Row],[DaysAgeing]]&gt;5,"yep","on track")</f>
        <v>yep</v>
      </c>
      <c r="Q486" s="3">
        <f ca="1">IF(Proc[[#This Row],[DateClosed]]="",ABS(NETWORKDAYS(Proc[[#This Row],[DateOpened]],TODAY()))-1,ABS(NETWORKDAYS(Proc[[#This Row],[DateOpened]],Proc[[#This Row],[DateClosed]]))-1)</f>
        <v>227</v>
      </c>
      <c r="R486" s="67" t="s">
        <v>830</v>
      </c>
      <c r="S486" s="60"/>
    </row>
    <row r="487" spans="1:19" hidden="1">
      <c r="A487" s="62" t="s">
        <v>1751</v>
      </c>
      <c r="B487" s="149" t="str">
        <f>IFERROR(VLOOKUP(Proc[[#This Row],[App]],Table2[],3,0),"open")</f>
        <v>ok</v>
      </c>
      <c r="C487" s="62" t="s">
        <v>369</v>
      </c>
      <c r="D487" t="s">
        <v>1807</v>
      </c>
      <c r="E487" t="s">
        <v>1808</v>
      </c>
      <c r="F487" s="117" t="s">
        <v>1808</v>
      </c>
      <c r="G487" s="62" t="s">
        <v>400</v>
      </c>
      <c r="H487" s="60" t="str">
        <f>IF(Proc[[#This Row],[type]]="LFF (MDG-F)",MID(Proc[[#This Row],[Obj]],13,10),"")</f>
        <v/>
      </c>
      <c r="J487" s="60" t="b">
        <f>Proc[[#This Row],[Requested]]=Proc[[#This Row],[CurrentParent]]</f>
        <v>1</v>
      </c>
      <c r="K487" s="144" t="str">
        <f>IF(Proc[[#This Row],[Author]]="Marcela Urrego",VLOOKUP(LEFT(Proc[[#This Row],[Requested]],1),Table3[#All],2,0),VLOOKUP(Proc[[#This Row],[Author]],Table4[],2,0))</f>
        <v>LS</v>
      </c>
      <c r="L487" s="60" t="s">
        <v>509</v>
      </c>
      <c r="M487" s="71">
        <v>45693.65792824074</v>
      </c>
      <c r="P487" s="67" t="str">
        <f ca="1">IF(Proc[[#This Row],[DaysAgeing]]&gt;5,"yep","on track")</f>
        <v>yep</v>
      </c>
      <c r="Q487" s="3">
        <f ca="1">IF(Proc[[#This Row],[DateClosed]]="",ABS(NETWORKDAYS(Proc[[#This Row],[DateOpened]],TODAY()))-1,ABS(NETWORKDAYS(Proc[[#This Row],[DateOpened]],Proc[[#This Row],[DateClosed]]))-1)</f>
        <v>227</v>
      </c>
      <c r="R487" s="67" t="s">
        <v>830</v>
      </c>
      <c r="S487" s="60"/>
    </row>
    <row r="488" spans="1:19" hidden="1">
      <c r="A488" t="s">
        <v>1818</v>
      </c>
      <c r="B488" s="149" t="str">
        <f>IFERROR(VLOOKUP(Proc[[#This Row],[App]],Table2[],3,0),"open")</f>
        <v>ok</v>
      </c>
      <c r="C488" t="s">
        <v>369</v>
      </c>
      <c r="D488" t="s">
        <v>1813</v>
      </c>
      <c r="E488" t="s">
        <v>662</v>
      </c>
      <c r="F488" s="117" t="s">
        <v>662</v>
      </c>
      <c r="G488" s="62" t="s">
        <v>406</v>
      </c>
      <c r="H488" s="60" t="str">
        <f>IF(Proc[[#This Row],[type]]="LFF (MDG-F)",MID(Proc[[#This Row],[Obj]],13,10),"")</f>
        <v>ZA50GIT10C</v>
      </c>
      <c r="J488" s="60" t="b">
        <f>Proc[[#This Row],[Requested]]=Proc[[#This Row],[CurrentParent]]</f>
        <v>1</v>
      </c>
      <c r="K488" s="144" t="str">
        <f>IF(Proc[[#This Row],[Author]]="Marcela Urrego",VLOOKUP(LEFT(Proc[[#This Row],[Requested]],1),Table3[#All],2,0),VLOOKUP(Proc[[#This Row],[Author]],Table4[],2,0))</f>
        <v>MGF</v>
      </c>
      <c r="L488" s="60" t="s">
        <v>509</v>
      </c>
      <c r="M488" s="71">
        <v>45694.6015162037</v>
      </c>
      <c r="P488" s="67" t="str">
        <f ca="1">IF(Proc[[#This Row],[DaysAgeing]]&gt;5,"yep","on track")</f>
        <v>yep</v>
      </c>
      <c r="Q488" s="3">
        <f ca="1">IF(Proc[[#This Row],[DateClosed]]="",ABS(NETWORKDAYS(Proc[[#This Row],[DateOpened]],TODAY()))-1,ABS(NETWORKDAYS(Proc[[#This Row],[DateOpened]],Proc[[#This Row],[DateClosed]]))-1)</f>
        <v>226</v>
      </c>
      <c r="R488" s="67" t="s">
        <v>1459</v>
      </c>
      <c r="S488" s="60"/>
    </row>
    <row r="489" spans="1:19" hidden="1">
      <c r="A489" s="62" t="s">
        <v>1818</v>
      </c>
      <c r="B489" s="149" t="str">
        <f>IFERROR(VLOOKUP(Proc[[#This Row],[App]],Table2[],3,0),"open")</f>
        <v>ok</v>
      </c>
      <c r="C489" s="62" t="s">
        <v>369</v>
      </c>
      <c r="D489" t="s">
        <v>1814</v>
      </c>
      <c r="E489" t="s">
        <v>443</v>
      </c>
      <c r="F489" s="117" t="s">
        <v>443</v>
      </c>
      <c r="G489" s="62" t="s">
        <v>406</v>
      </c>
      <c r="H489" s="60" t="str">
        <f>IF(Proc[[#This Row],[type]]="LFF (MDG-F)",MID(Proc[[#This Row],[Obj]],13,10),"")</f>
        <v>EE50GIT00C</v>
      </c>
      <c r="J489" s="60" t="b">
        <f>Proc[[#This Row],[Requested]]=Proc[[#This Row],[CurrentParent]]</f>
        <v>1</v>
      </c>
      <c r="K489" s="144" t="str">
        <f>IF(Proc[[#This Row],[Author]]="Marcela Urrego",VLOOKUP(LEFT(Proc[[#This Row],[Requested]],1),Table3[#All],2,0),VLOOKUP(Proc[[#This Row],[Author]],Table4[],2,0))</f>
        <v>MGF</v>
      </c>
      <c r="L489" s="60" t="s">
        <v>509</v>
      </c>
      <c r="M489" s="71">
        <v>45694.6015162037</v>
      </c>
      <c r="P489" s="67" t="str">
        <f ca="1">IF(Proc[[#This Row],[DaysAgeing]]&gt;5,"yep","on track")</f>
        <v>yep</v>
      </c>
      <c r="Q489" s="3">
        <f ca="1">IF(Proc[[#This Row],[DateClosed]]="",ABS(NETWORKDAYS(Proc[[#This Row],[DateOpened]],TODAY()))-1,ABS(NETWORKDAYS(Proc[[#This Row],[DateOpened]],Proc[[#This Row],[DateClosed]]))-1)</f>
        <v>226</v>
      </c>
      <c r="R489" s="67" t="s">
        <v>1459</v>
      </c>
      <c r="S489" s="60"/>
    </row>
    <row r="490" spans="1:19" hidden="1">
      <c r="A490" s="62" t="s">
        <v>1818</v>
      </c>
      <c r="B490" s="149" t="str">
        <f>IFERROR(VLOOKUP(Proc[[#This Row],[App]],Table2[],3,0),"open")</f>
        <v>ok</v>
      </c>
      <c r="C490" s="62" t="s">
        <v>369</v>
      </c>
      <c r="D490" t="s">
        <v>1815</v>
      </c>
      <c r="E490" t="s">
        <v>427</v>
      </c>
      <c r="F490" s="117" t="s">
        <v>427</v>
      </c>
      <c r="G490" s="62" t="s">
        <v>406</v>
      </c>
      <c r="H490" s="60" t="str">
        <f>IF(Proc[[#This Row],[type]]="LFF (MDG-F)",MID(Proc[[#This Row],[Obj]],13,10),"")</f>
        <v>KE50GIT10B</v>
      </c>
      <c r="J490" s="60" t="b">
        <f>Proc[[#This Row],[Requested]]=Proc[[#This Row],[CurrentParent]]</f>
        <v>1</v>
      </c>
      <c r="K490" s="144" t="str">
        <f>IF(Proc[[#This Row],[Author]]="Marcela Urrego",VLOOKUP(LEFT(Proc[[#This Row],[Requested]],1),Table3[#All],2,0),VLOOKUP(Proc[[#This Row],[Author]],Table4[],2,0))</f>
        <v>MGF</v>
      </c>
      <c r="L490" s="60" t="s">
        <v>509</v>
      </c>
      <c r="M490" s="71">
        <v>45694.6015162037</v>
      </c>
      <c r="P490" s="67" t="str">
        <f ca="1">IF(Proc[[#This Row],[DaysAgeing]]&gt;5,"yep","on track")</f>
        <v>yep</v>
      </c>
      <c r="Q490" s="3">
        <f ca="1">IF(Proc[[#This Row],[DateClosed]]="",ABS(NETWORKDAYS(Proc[[#This Row],[DateOpened]],TODAY()))-1,ABS(NETWORKDAYS(Proc[[#This Row],[DateOpened]],Proc[[#This Row],[DateClosed]]))-1)</f>
        <v>226</v>
      </c>
      <c r="R490" s="67" t="s">
        <v>1459</v>
      </c>
      <c r="S490" s="60"/>
    </row>
    <row r="491" spans="1:19" hidden="1">
      <c r="A491" s="62" t="s">
        <v>1818</v>
      </c>
      <c r="B491" s="149" t="str">
        <f>IFERROR(VLOOKUP(Proc[[#This Row],[App]],Table2[],3,0),"open")</f>
        <v>ok</v>
      </c>
      <c r="C491" s="62" t="s">
        <v>369</v>
      </c>
      <c r="D491" t="s">
        <v>1816</v>
      </c>
      <c r="E491" t="s">
        <v>443</v>
      </c>
      <c r="F491" s="117" t="s">
        <v>443</v>
      </c>
      <c r="G491" s="62" t="s">
        <v>406</v>
      </c>
      <c r="H491" s="60" t="str">
        <f>IF(Proc[[#This Row],[type]]="LFF (MDG-F)",MID(Proc[[#This Row],[Obj]],13,10),"")</f>
        <v>KE50GIT10C</v>
      </c>
      <c r="J491" s="60" t="b">
        <f>Proc[[#This Row],[Requested]]=Proc[[#This Row],[CurrentParent]]</f>
        <v>1</v>
      </c>
      <c r="K491" s="144" t="str">
        <f>IF(Proc[[#This Row],[Author]]="Marcela Urrego",VLOOKUP(LEFT(Proc[[#This Row],[Requested]],1),Table3[#All],2,0),VLOOKUP(Proc[[#This Row],[Author]],Table4[],2,0))</f>
        <v>MGF</v>
      </c>
      <c r="L491" s="60" t="s">
        <v>509</v>
      </c>
      <c r="M491" s="71">
        <v>45694.6015162037</v>
      </c>
      <c r="P491" s="67" t="str">
        <f ca="1">IF(Proc[[#This Row],[DaysAgeing]]&gt;5,"yep","on track")</f>
        <v>yep</v>
      </c>
      <c r="Q491" s="3">
        <f ca="1">IF(Proc[[#This Row],[DateClosed]]="",ABS(NETWORKDAYS(Proc[[#This Row],[DateOpened]],TODAY()))-1,ABS(NETWORKDAYS(Proc[[#This Row],[DateOpened]],Proc[[#This Row],[DateClosed]]))-1)</f>
        <v>226</v>
      </c>
      <c r="R491" s="67" t="s">
        <v>1459</v>
      </c>
      <c r="S491" s="60"/>
    </row>
    <row r="492" spans="1:19" hidden="1">
      <c r="A492" s="62" t="s">
        <v>1818</v>
      </c>
      <c r="B492" s="149" t="str">
        <f>IFERROR(VLOOKUP(Proc[[#This Row],[App]],Table2[],3,0),"open")</f>
        <v>ok</v>
      </c>
      <c r="C492" s="62" t="s">
        <v>369</v>
      </c>
      <c r="D492" t="s">
        <v>1817</v>
      </c>
      <c r="E492" t="s">
        <v>1232</v>
      </c>
      <c r="F492" s="117" t="s">
        <v>1232</v>
      </c>
      <c r="G492" s="62" t="s">
        <v>400</v>
      </c>
      <c r="H492" s="60" t="str">
        <f>IF(Proc[[#This Row],[type]]="LFF (MDG-F)",MID(Proc[[#This Row],[Obj]],13,10),"")</f>
        <v/>
      </c>
      <c r="J492" s="60" t="b">
        <f>Proc[[#This Row],[Requested]]=Proc[[#This Row],[CurrentParent]]</f>
        <v>1</v>
      </c>
      <c r="K492" s="144" t="str">
        <f>IF(Proc[[#This Row],[Author]]="Marcela Urrego",VLOOKUP(LEFT(Proc[[#This Row],[Requested]],1),Table3[#All],2,0),VLOOKUP(Proc[[#This Row],[Author]],Table4[],2,0))</f>
        <v>MGF</v>
      </c>
      <c r="L492" s="60" t="s">
        <v>509</v>
      </c>
      <c r="M492" s="71">
        <v>45694.6015162037</v>
      </c>
      <c r="P492" s="67" t="str">
        <f ca="1">IF(Proc[[#This Row],[DaysAgeing]]&gt;5,"yep","on track")</f>
        <v>yep</v>
      </c>
      <c r="Q492" s="3">
        <f ca="1">IF(Proc[[#This Row],[DateClosed]]="",ABS(NETWORKDAYS(Proc[[#This Row],[DateOpened]],TODAY()))-1,ABS(NETWORKDAYS(Proc[[#This Row],[DateOpened]],Proc[[#This Row],[DateClosed]]))-1)</f>
        <v>226</v>
      </c>
      <c r="R492" s="67" t="s">
        <v>1459</v>
      </c>
      <c r="S492" s="60"/>
    </row>
    <row r="493" spans="1:19" hidden="1">
      <c r="A493" t="s">
        <v>1819</v>
      </c>
      <c r="B493" s="149" t="str">
        <f>IFERROR(VLOOKUP(Proc[[#This Row],[App]],Table2[],3,0),"open")</f>
        <v>ok</v>
      </c>
      <c r="C493" t="s">
        <v>369</v>
      </c>
      <c r="D493" t="s">
        <v>1132</v>
      </c>
      <c r="E493" t="s">
        <v>2046</v>
      </c>
      <c r="F493" s="117" t="s">
        <v>2046</v>
      </c>
      <c r="G493" t="s">
        <v>400</v>
      </c>
      <c r="H493" s="60" t="str">
        <f>IF(Proc[[#This Row],[type]]="LFF (MDG-F)",MID(Proc[[#This Row],[Obj]],13,10),"")</f>
        <v/>
      </c>
      <c r="J493" s="60" t="b">
        <f>Proc[[#This Row],[Requested]]=Proc[[#This Row],[CurrentParent]]</f>
        <v>1</v>
      </c>
      <c r="K493" s="144" t="str">
        <f>IF(Proc[[#This Row],[Author]]="Marcela Urrego",VLOOKUP(LEFT(Proc[[#This Row],[Requested]],1),Table3[#All],2,0),VLOOKUP(Proc[[#This Row],[Author]],Table4[],2,0))</f>
        <v>MGF</v>
      </c>
      <c r="L493" s="60" t="s">
        <v>509</v>
      </c>
      <c r="M493" s="71">
        <v>45695.560960648145</v>
      </c>
      <c r="P493" s="67" t="str">
        <f ca="1">IF(Proc[[#This Row],[DaysAgeing]]&gt;5,"yep","on track")</f>
        <v>yep</v>
      </c>
      <c r="Q493" s="3">
        <f ca="1">IF(Proc[[#This Row],[DateClosed]]="",ABS(NETWORKDAYS(Proc[[#This Row],[DateOpened]],TODAY()))-1,ABS(NETWORKDAYS(Proc[[#This Row],[DateOpened]],Proc[[#This Row],[DateClosed]]))-1)</f>
        <v>225</v>
      </c>
      <c r="R493" s="67" t="s">
        <v>515</v>
      </c>
      <c r="S493" s="60"/>
    </row>
    <row r="494" spans="1:19" hidden="1">
      <c r="A494" s="62" t="s">
        <v>1819</v>
      </c>
      <c r="B494" s="149" t="str">
        <f>IFERROR(VLOOKUP(Proc[[#This Row],[App]],Table2[],3,0),"open")</f>
        <v>ok</v>
      </c>
      <c r="C494" s="68" t="s">
        <v>377</v>
      </c>
      <c r="D494" t="s">
        <v>1820</v>
      </c>
      <c r="E494" t="s">
        <v>2046</v>
      </c>
      <c r="F494" s="103" t="s">
        <v>2046</v>
      </c>
      <c r="G494" t="s">
        <v>406</v>
      </c>
      <c r="H494" s="60" t="str">
        <f>IF(Proc[[#This Row],[type]]="LFF (MDG-F)",MID(Proc[[#This Row],[Obj]],13,10),"")</f>
        <v>DE10G69660</v>
      </c>
      <c r="J494" s="60" t="b">
        <f>Proc[[#This Row],[Requested]]=Proc[[#This Row],[CurrentParent]]</f>
        <v>1</v>
      </c>
      <c r="K494" s="144" t="str">
        <f>IF(Proc[[#This Row],[Author]]="Marcela Urrego",VLOOKUP(LEFT(Proc[[#This Row],[Requested]],1),Table3[#All],2,0),VLOOKUP(Proc[[#This Row],[Author]],Table4[],2,0))</f>
        <v>MGF</v>
      </c>
      <c r="L494" s="60" t="s">
        <v>509</v>
      </c>
      <c r="M494" s="71">
        <v>45695.560960648145</v>
      </c>
      <c r="P494" s="67" t="str">
        <f ca="1">IF(Proc[[#This Row],[DaysAgeing]]&gt;5,"yep","on track")</f>
        <v>yep</v>
      </c>
      <c r="Q494" s="3">
        <f ca="1">IF(Proc[[#This Row],[DateClosed]]="",ABS(NETWORKDAYS(Proc[[#This Row],[DateOpened]],TODAY()))-1,ABS(NETWORKDAYS(Proc[[#This Row],[DateOpened]],Proc[[#This Row],[DateClosed]]))-1)</f>
        <v>225</v>
      </c>
      <c r="R494" s="67" t="s">
        <v>515</v>
      </c>
      <c r="S494" s="94" t="e">
        <f>VLOOKUP(Proc[[#This Row],[Obj]],#REF!,2,0)</f>
        <v>#REF!</v>
      </c>
    </row>
    <row r="495" spans="1:19" hidden="1">
      <c r="A495" t="s">
        <v>1822</v>
      </c>
      <c r="B495" s="149" t="str">
        <f>IFERROR(VLOOKUP(Proc[[#This Row],[App]],Table2[],3,0),"open")</f>
        <v>ok</v>
      </c>
      <c r="C495" t="s">
        <v>369</v>
      </c>
      <c r="D495" t="s">
        <v>1821</v>
      </c>
      <c r="E495" s="62" t="s">
        <v>1823</v>
      </c>
      <c r="F495" s="117" t="s">
        <v>1823</v>
      </c>
      <c r="G495" s="62" t="s">
        <v>406</v>
      </c>
      <c r="H495" s="60" t="str">
        <f>IF(Proc[[#This Row],[type]]="LFF (MDG-F)",MID(Proc[[#This Row],[Obj]],13,10),"")</f>
        <v>DE20506400</v>
      </c>
      <c r="J495" s="60" t="b">
        <f>Proc[[#This Row],[Requested]]=Proc[[#This Row],[CurrentParent]]</f>
        <v>1</v>
      </c>
      <c r="K495" s="144" t="str">
        <f>IF(Proc[[#This Row],[Author]]="Marcela Urrego",VLOOKUP(LEFT(Proc[[#This Row],[Requested]],1),Table3[#All],2,0),VLOOKUP(Proc[[#This Row],[Author]],Table4[],2,0))</f>
        <v>MGF</v>
      </c>
      <c r="L495" s="60" t="s">
        <v>509</v>
      </c>
      <c r="M495" s="71">
        <v>45698.416030092594</v>
      </c>
      <c r="N495" s="71">
        <v>45701</v>
      </c>
      <c r="O495" s="71">
        <v>45701</v>
      </c>
      <c r="P495" s="67" t="str">
        <f ca="1">IF(Proc[[#This Row],[DaysAgeing]]&gt;5,"yep","on track")</f>
        <v>on track</v>
      </c>
      <c r="Q495" s="3">
        <f ca="1">IF(Proc[[#This Row],[DateClosed]]="",ABS(NETWORKDAYS(Proc[[#This Row],[DateOpened]],TODAY()))-1,ABS(NETWORKDAYS(Proc[[#This Row],[DateOpened]],Proc[[#This Row],[DateClosed]]))-1)</f>
        <v>3</v>
      </c>
      <c r="R495" s="67" t="s">
        <v>549</v>
      </c>
      <c r="S495" s="60"/>
    </row>
    <row r="496" spans="1:19" hidden="1">
      <c r="A496" t="s">
        <v>1824</v>
      </c>
      <c r="B496" s="149" t="str">
        <f>IFERROR(VLOOKUP(Proc[[#This Row],[App]],Table2[],3,0),"open")</f>
        <v>ok</v>
      </c>
      <c r="C496" s="62" t="s">
        <v>369</v>
      </c>
      <c r="D496" t="s">
        <v>527</v>
      </c>
      <c r="E496" t="s">
        <v>466</v>
      </c>
      <c r="F496" s="117" t="s">
        <v>466</v>
      </c>
      <c r="G496" s="62" t="s">
        <v>406</v>
      </c>
      <c r="H496" s="60" t="str">
        <f>IF(Proc[[#This Row],[type]]="LFF (MDG-F)",MID(Proc[[#This Row],[Obj]],13,10),"")</f>
        <v>DE10624905</v>
      </c>
      <c r="I496" t="s">
        <v>1825</v>
      </c>
      <c r="J496" s="60" t="b">
        <f>Proc[[#This Row],[Requested]]=Proc[[#This Row],[CurrentParent]]</f>
        <v>1</v>
      </c>
      <c r="K496" s="144" t="str">
        <f>IF(Proc[[#This Row],[Author]]="Marcela Urrego",VLOOKUP(LEFT(Proc[[#This Row],[Requested]],1),Table3[#All],2,0),VLOOKUP(Proc[[#This Row],[Author]],Table4[],2,0))</f>
        <v>MGF</v>
      </c>
      <c r="L496" s="60" t="s">
        <v>509</v>
      </c>
      <c r="M496" s="71">
        <v>45699.166770833333</v>
      </c>
      <c r="P496" s="67" t="str">
        <f ca="1">IF(Proc[[#This Row],[DaysAgeing]]&gt;5,"yep","on track")</f>
        <v>yep</v>
      </c>
      <c r="Q496" s="3">
        <f ca="1">IF(Proc[[#This Row],[DateClosed]]="",ABS(NETWORKDAYS(Proc[[#This Row],[DateOpened]],TODAY()))-1,ABS(NETWORKDAYS(Proc[[#This Row],[DateOpened]],Proc[[#This Row],[DateClosed]]))-1)</f>
        <v>223</v>
      </c>
      <c r="R496" s="67" t="s">
        <v>515</v>
      </c>
      <c r="S496" s="60"/>
    </row>
    <row r="497" spans="1:19" hidden="1">
      <c r="A497" s="62" t="s">
        <v>1824</v>
      </c>
      <c r="B497" s="149" t="str">
        <f>IFERROR(VLOOKUP(Proc[[#This Row],[App]],Table2[],3,0),"open")</f>
        <v>ok</v>
      </c>
      <c r="C497" s="68" t="s">
        <v>369</v>
      </c>
      <c r="D497" t="s">
        <v>528</v>
      </c>
      <c r="E497" t="s">
        <v>466</v>
      </c>
      <c r="F497" s="117" t="s">
        <v>466</v>
      </c>
      <c r="G497" s="62" t="s">
        <v>406</v>
      </c>
      <c r="H497" s="60" t="str">
        <f>IF(Proc[[#This Row],[type]]="LFF (MDG-F)",MID(Proc[[#This Row],[Obj]],13,10),"")</f>
        <v>DE10624906</v>
      </c>
      <c r="I497" s="62"/>
      <c r="J497" s="60" t="b">
        <f>Proc[[#This Row],[Requested]]=Proc[[#This Row],[CurrentParent]]</f>
        <v>1</v>
      </c>
      <c r="K497" s="144" t="str">
        <f>IF(Proc[[#This Row],[Author]]="Marcela Urrego",VLOOKUP(LEFT(Proc[[#This Row],[Requested]],1),Table3[#All],2,0),VLOOKUP(Proc[[#This Row],[Author]],Table4[],2,0))</f>
        <v>MGF</v>
      </c>
      <c r="L497" s="60" t="s">
        <v>509</v>
      </c>
      <c r="M497" s="71">
        <v>45699.166770833333</v>
      </c>
      <c r="P497" s="67" t="str">
        <f ca="1">IF(Proc[[#This Row],[DaysAgeing]]&gt;5,"yep","on track")</f>
        <v>yep</v>
      </c>
      <c r="Q497" s="3">
        <f ca="1">IF(Proc[[#This Row],[DateClosed]]="",ABS(NETWORKDAYS(Proc[[#This Row],[DateOpened]],TODAY()))-1,ABS(NETWORKDAYS(Proc[[#This Row],[DateOpened]],Proc[[#This Row],[DateClosed]]))-1)</f>
        <v>223</v>
      </c>
      <c r="R497" s="67" t="s">
        <v>515</v>
      </c>
      <c r="S497" s="60"/>
    </row>
    <row r="498" spans="1:19" hidden="1">
      <c r="A498" t="s">
        <v>1826</v>
      </c>
      <c r="B498" s="149" t="str">
        <f>IFERROR(VLOOKUP(Proc[[#This Row],[App]],Table2[],3,0),"open")</f>
        <v>ok</v>
      </c>
      <c r="C498" s="68" t="s">
        <v>369</v>
      </c>
      <c r="D498" t="s">
        <v>1827</v>
      </c>
      <c r="E498" s="68" t="s">
        <v>1828</v>
      </c>
      <c r="F498" s="117" t="s">
        <v>1828</v>
      </c>
      <c r="G498" s="68" t="s">
        <v>406</v>
      </c>
      <c r="H498" s="69" t="str">
        <f>IF(Proc[[#This Row],[type]]="LFF (MDG-F)",MID(Proc[[#This Row],[Obj]],13,10),"")</f>
        <v>DE10GIT04K</v>
      </c>
      <c r="J498" s="60" t="b">
        <f>Proc[[#This Row],[Requested]]=Proc[[#This Row],[CurrentParent]]</f>
        <v>1</v>
      </c>
      <c r="K498" s="144" t="str">
        <f>IF(Proc[[#This Row],[Author]]="Marcela Urrego",VLOOKUP(LEFT(Proc[[#This Row],[Requested]],1),Table3[#All],2,0),VLOOKUP(Proc[[#This Row],[Author]],Table4[],2,0))</f>
        <v>MGF</v>
      </c>
      <c r="L498" s="69" t="s">
        <v>509</v>
      </c>
      <c r="M498" s="71">
        <v>45700.166770833333</v>
      </c>
      <c r="P498" s="67" t="str">
        <f ca="1">IF(Proc[[#This Row],[DaysAgeing]]&gt;5,"yep","on track")</f>
        <v>yep</v>
      </c>
      <c r="Q498" s="3">
        <f ca="1">IF(Proc[[#This Row],[DateClosed]]="",ABS(NETWORKDAYS(Proc[[#This Row],[DateOpened]],TODAY()))-1,ABS(NETWORKDAYS(Proc[[#This Row],[DateOpened]],Proc[[#This Row],[DateClosed]]))-1)</f>
        <v>222</v>
      </c>
      <c r="R498" s="67" t="s">
        <v>1459</v>
      </c>
      <c r="S498" s="60"/>
    </row>
    <row r="499" spans="1:19" hidden="1">
      <c r="A499" t="s">
        <v>1831</v>
      </c>
      <c r="B499" s="149" t="str">
        <f>IFERROR(VLOOKUP(Proc[[#This Row],[App]],Table2[],3,0),"open")</f>
        <v>ok</v>
      </c>
      <c r="C499" s="68" t="s">
        <v>369</v>
      </c>
      <c r="D499" t="s">
        <v>1829</v>
      </c>
      <c r="E499" t="s">
        <v>1830</v>
      </c>
      <c r="F499" s="117" t="s">
        <v>1830</v>
      </c>
      <c r="G499" s="68" t="s">
        <v>406</v>
      </c>
      <c r="H499" s="69" t="str">
        <f>IF(Proc[[#This Row],[type]]="LFF (MDG-F)",MID(Proc[[#This Row],[Obj]],13,10),"")</f>
        <v>2034C00019</v>
      </c>
      <c r="J499" s="69" t="b">
        <f>Proc[[#This Row],[Requested]]=Proc[[#This Row],[CurrentParent]]</f>
        <v>1</v>
      </c>
      <c r="K499" s="144" t="str">
        <f>IF(Proc[[#This Row],[Author]]="Marcela Urrego",VLOOKUP(LEFT(Proc[[#This Row],[Requested]],1),Table3[#All],2,0),VLOOKUP(Proc[[#This Row],[Author]],Table4[],2,0))</f>
        <v>LS</v>
      </c>
      <c r="L499" s="69" t="s">
        <v>509</v>
      </c>
      <c r="M499" s="71">
        <v>45701.389467592591</v>
      </c>
      <c r="N499" s="71">
        <v>45712</v>
      </c>
      <c r="O499" s="71">
        <v>45712</v>
      </c>
      <c r="P499" s="70" t="str">
        <f ca="1">IF(Proc[[#This Row],[DaysAgeing]]&gt;5,"yep","on track")</f>
        <v>yep</v>
      </c>
      <c r="Q499" s="3">
        <f ca="1">IF(Proc[[#This Row],[DateClosed]]="",ABS(NETWORKDAYS(Proc[[#This Row],[DateOpened]],TODAY()))-1,ABS(NETWORKDAYS(Proc[[#This Row],[DateOpened]],Proc[[#This Row],[DateClosed]]))-1)</f>
        <v>7</v>
      </c>
      <c r="R499" s="70" t="s">
        <v>830</v>
      </c>
      <c r="S499" s="69"/>
    </row>
    <row r="500" spans="1:19" hidden="1">
      <c r="A500" t="s">
        <v>1832</v>
      </c>
      <c r="B500" s="149" t="str">
        <f>IFERROR(VLOOKUP(Proc[[#This Row],[App]],Table2[],3,0),"open")</f>
        <v>ok</v>
      </c>
      <c r="C500" s="68" t="s">
        <v>369</v>
      </c>
      <c r="D500" t="s">
        <v>1976</v>
      </c>
      <c r="E500" t="s">
        <v>1985</v>
      </c>
      <c r="F500" s="117" t="s">
        <v>1985</v>
      </c>
      <c r="G500" t="s">
        <v>400</v>
      </c>
      <c r="H500" s="69" t="str">
        <f>IF(Proc[[#This Row],[type]]="LFF (MDG-F)",MID(Proc[[#This Row],[Obj]],13,10),"")</f>
        <v/>
      </c>
      <c r="I500" t="s">
        <v>1834</v>
      </c>
      <c r="J500" s="69" t="b">
        <f>Proc[[#This Row],[Requested]]=Proc[[#This Row],[CurrentParent]]</f>
        <v>1</v>
      </c>
      <c r="K500" s="144" t="str">
        <f>IF(Proc[[#This Row],[Author]]="Marcela Urrego",VLOOKUP(LEFT(Proc[[#This Row],[Requested]],1),Table3[#All],2,0),VLOOKUP(Proc[[#This Row],[Author]],Table4[],2,0))</f>
        <v>LS</v>
      </c>
      <c r="L500" s="69" t="s">
        <v>509</v>
      </c>
      <c r="M500" s="71">
        <v>45701.611967592595</v>
      </c>
      <c r="N500" s="71">
        <v>45706</v>
      </c>
      <c r="O500" s="71">
        <v>45706</v>
      </c>
      <c r="P500" s="70" t="str">
        <f ca="1">IF(Proc[[#This Row],[DaysAgeing]]&gt;5,"yep","on track")</f>
        <v>on track</v>
      </c>
      <c r="Q500" s="3">
        <f ca="1">IF(Proc[[#This Row],[DateClosed]]="",ABS(NETWORKDAYS(Proc[[#This Row],[DateOpened]],TODAY()))-1,ABS(NETWORKDAYS(Proc[[#This Row],[DateOpened]],Proc[[#This Row],[DateClosed]]))-1)</f>
        <v>3</v>
      </c>
      <c r="R500" s="70" t="s">
        <v>1833</v>
      </c>
      <c r="S500" s="69"/>
    </row>
    <row r="501" spans="1:19" hidden="1">
      <c r="A501" s="68" t="s">
        <v>1832</v>
      </c>
      <c r="B501" s="149" t="str">
        <f>IFERROR(VLOOKUP(Proc[[#This Row],[App]],Table2[],3,0),"open")</f>
        <v>ok</v>
      </c>
      <c r="C501" s="68" t="s">
        <v>369</v>
      </c>
      <c r="D501" t="s">
        <v>1977</v>
      </c>
      <c r="E501" s="68" t="s">
        <v>1985</v>
      </c>
      <c r="F501" s="117" t="s">
        <v>1985</v>
      </c>
      <c r="G501" s="68" t="s">
        <v>400</v>
      </c>
      <c r="H501" s="69" t="str">
        <f>IF(Proc[[#This Row],[type]]="LFF (MDG-F)",MID(Proc[[#This Row],[Obj]],13,10),"")</f>
        <v/>
      </c>
      <c r="I501" s="68" t="s">
        <v>1834</v>
      </c>
      <c r="J501" s="69" t="b">
        <f>Proc[[#This Row],[Requested]]=Proc[[#This Row],[CurrentParent]]</f>
        <v>1</v>
      </c>
      <c r="K501" s="144" t="str">
        <f>IF(Proc[[#This Row],[Author]]="Marcela Urrego",VLOOKUP(LEFT(Proc[[#This Row],[Requested]],1),Table3[#All],2,0),VLOOKUP(Proc[[#This Row],[Author]],Table4[],2,0))</f>
        <v>LS</v>
      </c>
      <c r="L501" s="69" t="s">
        <v>509</v>
      </c>
      <c r="M501" s="71">
        <v>45701.611967592595</v>
      </c>
      <c r="N501" s="71">
        <v>45706</v>
      </c>
      <c r="O501" s="71">
        <v>45706</v>
      </c>
      <c r="P501" s="70" t="str">
        <f ca="1">IF(Proc[[#This Row],[DaysAgeing]]&gt;5,"yep","on track")</f>
        <v>on track</v>
      </c>
      <c r="Q501" s="3">
        <f ca="1">IF(Proc[[#This Row],[DateClosed]]="",ABS(NETWORKDAYS(Proc[[#This Row],[DateOpened]],TODAY()))-1,ABS(NETWORKDAYS(Proc[[#This Row],[DateOpened]],Proc[[#This Row],[DateClosed]]))-1)</f>
        <v>3</v>
      </c>
      <c r="R501" s="70" t="s">
        <v>1833</v>
      </c>
      <c r="S501" s="69"/>
    </row>
    <row r="502" spans="1:19" hidden="1">
      <c r="A502" s="68" t="s">
        <v>1832</v>
      </c>
      <c r="B502" s="149" t="str">
        <f>IFERROR(VLOOKUP(Proc[[#This Row],[App]],Table2[],3,0),"open")</f>
        <v>ok</v>
      </c>
      <c r="C502" s="68" t="s">
        <v>369</v>
      </c>
      <c r="D502" t="s">
        <v>1978</v>
      </c>
      <c r="E502" s="68" t="s">
        <v>1985</v>
      </c>
      <c r="F502" s="117" t="s">
        <v>1985</v>
      </c>
      <c r="G502" s="68" t="s">
        <v>400</v>
      </c>
      <c r="H502" s="69" t="str">
        <f>IF(Proc[[#This Row],[type]]="LFF (MDG-F)",MID(Proc[[#This Row],[Obj]],13,10),"")</f>
        <v/>
      </c>
      <c r="I502" s="68" t="s">
        <v>1834</v>
      </c>
      <c r="J502" s="69" t="b">
        <f>Proc[[#This Row],[Requested]]=Proc[[#This Row],[CurrentParent]]</f>
        <v>1</v>
      </c>
      <c r="K502" s="144" t="str">
        <f>IF(Proc[[#This Row],[Author]]="Marcela Urrego",VLOOKUP(LEFT(Proc[[#This Row],[Requested]],1),Table3[#All],2,0),VLOOKUP(Proc[[#This Row],[Author]],Table4[],2,0))</f>
        <v>LS</v>
      </c>
      <c r="L502" s="69" t="s">
        <v>509</v>
      </c>
      <c r="M502" s="71">
        <v>45701.611967592595</v>
      </c>
      <c r="N502" s="71">
        <v>45706</v>
      </c>
      <c r="O502" s="71">
        <v>45706</v>
      </c>
      <c r="P502" s="70" t="str">
        <f ca="1">IF(Proc[[#This Row],[DaysAgeing]]&gt;5,"yep","on track")</f>
        <v>on track</v>
      </c>
      <c r="Q502" s="3">
        <f ca="1">IF(Proc[[#This Row],[DateClosed]]="",ABS(NETWORKDAYS(Proc[[#This Row],[DateOpened]],TODAY()))-1,ABS(NETWORKDAYS(Proc[[#This Row],[DateOpened]],Proc[[#This Row],[DateClosed]]))-1)</f>
        <v>3</v>
      </c>
      <c r="R502" s="70" t="s">
        <v>1833</v>
      </c>
      <c r="S502" s="69"/>
    </row>
    <row r="503" spans="1:19" hidden="1">
      <c r="A503" s="68" t="s">
        <v>1832</v>
      </c>
      <c r="B503" s="149" t="str">
        <f>IFERROR(VLOOKUP(Proc[[#This Row],[App]],Table2[],3,0),"open")</f>
        <v>ok</v>
      </c>
      <c r="C503" s="68" t="s">
        <v>369</v>
      </c>
      <c r="D503" t="s">
        <v>1979</v>
      </c>
      <c r="E503" t="s">
        <v>1986</v>
      </c>
      <c r="F503" s="117" t="s">
        <v>1986</v>
      </c>
      <c r="G503" s="68" t="s">
        <v>400</v>
      </c>
      <c r="H503" s="69" t="str">
        <f>IF(Proc[[#This Row],[type]]="LFF (MDG-F)",MID(Proc[[#This Row],[Obj]],13,10),"")</f>
        <v/>
      </c>
      <c r="I503" s="68" t="s">
        <v>1834</v>
      </c>
      <c r="J503" s="69" t="b">
        <f>Proc[[#This Row],[Requested]]=Proc[[#This Row],[CurrentParent]]</f>
        <v>1</v>
      </c>
      <c r="K503" s="144" t="str">
        <f>IF(Proc[[#This Row],[Author]]="Marcela Urrego",VLOOKUP(LEFT(Proc[[#This Row],[Requested]],1),Table3[#All],2,0),VLOOKUP(Proc[[#This Row],[Author]],Table4[],2,0))</f>
        <v>LS</v>
      </c>
      <c r="L503" s="69" t="s">
        <v>509</v>
      </c>
      <c r="M503" s="71">
        <v>45701.611967592595</v>
      </c>
      <c r="N503" s="71">
        <v>45706</v>
      </c>
      <c r="O503" s="71">
        <v>45706</v>
      </c>
      <c r="P503" s="70" t="str">
        <f ca="1">IF(Proc[[#This Row],[DaysAgeing]]&gt;5,"yep","on track")</f>
        <v>on track</v>
      </c>
      <c r="Q503" s="3">
        <f ca="1">IF(Proc[[#This Row],[DateClosed]]="",ABS(NETWORKDAYS(Proc[[#This Row],[DateOpened]],TODAY()))-1,ABS(NETWORKDAYS(Proc[[#This Row],[DateOpened]],Proc[[#This Row],[DateClosed]]))-1)</f>
        <v>3</v>
      </c>
      <c r="R503" s="70" t="s">
        <v>1833</v>
      </c>
      <c r="S503" s="69"/>
    </row>
    <row r="504" spans="1:19" hidden="1">
      <c r="A504" s="68" t="s">
        <v>1832</v>
      </c>
      <c r="B504" s="149" t="str">
        <f>IFERROR(VLOOKUP(Proc[[#This Row],[App]],Table2[],3,0),"open")</f>
        <v>ok</v>
      </c>
      <c r="C504" s="68" t="s">
        <v>369</v>
      </c>
      <c r="D504" t="s">
        <v>1981</v>
      </c>
      <c r="E504" s="68" t="s">
        <v>1986</v>
      </c>
      <c r="F504" s="117" t="s">
        <v>1986</v>
      </c>
      <c r="G504" s="68" t="s">
        <v>400</v>
      </c>
      <c r="H504" s="69" t="str">
        <f>IF(Proc[[#This Row],[type]]="LFF (MDG-F)",MID(Proc[[#This Row],[Obj]],13,10),"")</f>
        <v/>
      </c>
      <c r="I504" s="68" t="s">
        <v>1834</v>
      </c>
      <c r="J504" s="69" t="b">
        <f>Proc[[#This Row],[Requested]]=Proc[[#This Row],[CurrentParent]]</f>
        <v>1</v>
      </c>
      <c r="K504" s="144" t="str">
        <f>IF(Proc[[#This Row],[Author]]="Marcela Urrego",VLOOKUP(LEFT(Proc[[#This Row],[Requested]],1),Table3[#All],2,0),VLOOKUP(Proc[[#This Row],[Author]],Table4[],2,0))</f>
        <v>LS</v>
      </c>
      <c r="L504" s="69" t="s">
        <v>509</v>
      </c>
      <c r="M504" s="71">
        <v>45701.611967592595</v>
      </c>
      <c r="N504" s="71">
        <v>45706</v>
      </c>
      <c r="O504" s="71">
        <v>45706</v>
      </c>
      <c r="P504" s="70" t="str">
        <f ca="1">IF(Proc[[#This Row],[DaysAgeing]]&gt;5,"yep","on track")</f>
        <v>on track</v>
      </c>
      <c r="Q504" s="3">
        <f ca="1">IF(Proc[[#This Row],[DateClosed]]="",ABS(NETWORKDAYS(Proc[[#This Row],[DateOpened]],TODAY()))-1,ABS(NETWORKDAYS(Proc[[#This Row],[DateOpened]],Proc[[#This Row],[DateClosed]]))-1)</f>
        <v>3</v>
      </c>
      <c r="R504" s="70" t="s">
        <v>1833</v>
      </c>
      <c r="S504" s="69"/>
    </row>
    <row r="505" spans="1:19" hidden="1">
      <c r="A505" s="68" t="s">
        <v>1832</v>
      </c>
      <c r="B505" s="149" t="str">
        <f>IFERROR(VLOOKUP(Proc[[#This Row],[App]],Table2[],3,0),"open")</f>
        <v>ok</v>
      </c>
      <c r="C505" s="68" t="s">
        <v>369</v>
      </c>
      <c r="D505" t="s">
        <v>1980</v>
      </c>
      <c r="E505" s="68" t="s">
        <v>1986</v>
      </c>
      <c r="F505" s="117" t="s">
        <v>1986</v>
      </c>
      <c r="G505" s="68" t="s">
        <v>400</v>
      </c>
      <c r="H505" s="69" t="str">
        <f>IF(Proc[[#This Row],[type]]="LFF (MDG-F)",MID(Proc[[#This Row],[Obj]],13,10),"")</f>
        <v/>
      </c>
      <c r="I505" s="68" t="s">
        <v>1834</v>
      </c>
      <c r="J505" s="69" t="b">
        <f>Proc[[#This Row],[Requested]]=Proc[[#This Row],[CurrentParent]]</f>
        <v>1</v>
      </c>
      <c r="K505" s="144" t="str">
        <f>IF(Proc[[#This Row],[Author]]="Marcela Urrego",VLOOKUP(LEFT(Proc[[#This Row],[Requested]],1),Table3[#All],2,0),VLOOKUP(Proc[[#This Row],[Author]],Table4[],2,0))</f>
        <v>LS</v>
      </c>
      <c r="L505" s="69" t="s">
        <v>509</v>
      </c>
      <c r="M505" s="71">
        <v>45701.611967592595</v>
      </c>
      <c r="N505" s="71">
        <v>45706</v>
      </c>
      <c r="O505" s="71">
        <v>45706</v>
      </c>
      <c r="P505" s="70" t="str">
        <f ca="1">IF(Proc[[#This Row],[DaysAgeing]]&gt;5,"yep","on track")</f>
        <v>on track</v>
      </c>
      <c r="Q505" s="3">
        <f ca="1">IF(Proc[[#This Row],[DateClosed]]="",ABS(NETWORKDAYS(Proc[[#This Row],[DateOpened]],TODAY()))-1,ABS(NETWORKDAYS(Proc[[#This Row],[DateOpened]],Proc[[#This Row],[DateClosed]]))-1)</f>
        <v>3</v>
      </c>
      <c r="R505" s="70" t="s">
        <v>1833</v>
      </c>
      <c r="S505" s="69"/>
    </row>
    <row r="506" spans="1:19" hidden="1">
      <c r="A506" s="68" t="s">
        <v>1832</v>
      </c>
      <c r="B506" s="149" t="str">
        <f>IFERROR(VLOOKUP(Proc[[#This Row],[App]],Table2[],3,0),"open")</f>
        <v>ok</v>
      </c>
      <c r="C506" s="68" t="s">
        <v>369</v>
      </c>
      <c r="D506" t="s">
        <v>1982</v>
      </c>
      <c r="E506" s="68" t="s">
        <v>1986</v>
      </c>
      <c r="F506" s="117" t="s">
        <v>1986</v>
      </c>
      <c r="G506" s="68" t="s">
        <v>400</v>
      </c>
      <c r="H506" s="69" t="str">
        <f>IF(Proc[[#This Row],[type]]="LFF (MDG-F)",MID(Proc[[#This Row],[Obj]],13,10),"")</f>
        <v/>
      </c>
      <c r="I506" s="68" t="s">
        <v>1834</v>
      </c>
      <c r="J506" s="69" t="b">
        <f>Proc[[#This Row],[Requested]]=Proc[[#This Row],[CurrentParent]]</f>
        <v>1</v>
      </c>
      <c r="K506" s="144" t="str">
        <f>IF(Proc[[#This Row],[Author]]="Marcela Urrego",VLOOKUP(LEFT(Proc[[#This Row],[Requested]],1),Table3[#All],2,0),VLOOKUP(Proc[[#This Row],[Author]],Table4[],2,0))</f>
        <v>LS</v>
      </c>
      <c r="L506" s="69" t="s">
        <v>509</v>
      </c>
      <c r="M506" s="71">
        <v>45701.611967592595</v>
      </c>
      <c r="N506" s="71">
        <v>45706</v>
      </c>
      <c r="O506" s="71">
        <v>45706</v>
      </c>
      <c r="P506" s="70" t="str">
        <f ca="1">IF(Proc[[#This Row],[DaysAgeing]]&gt;5,"yep","on track")</f>
        <v>on track</v>
      </c>
      <c r="Q506" s="3">
        <f ca="1">IF(Proc[[#This Row],[DateClosed]]="",ABS(NETWORKDAYS(Proc[[#This Row],[DateOpened]],TODAY()))-1,ABS(NETWORKDAYS(Proc[[#This Row],[DateOpened]],Proc[[#This Row],[DateClosed]]))-1)</f>
        <v>3</v>
      </c>
      <c r="R506" s="70" t="s">
        <v>1833</v>
      </c>
      <c r="S506" s="69"/>
    </row>
    <row r="507" spans="1:19" hidden="1">
      <c r="A507" s="68" t="s">
        <v>1832</v>
      </c>
      <c r="B507" s="149" t="str">
        <f>IFERROR(VLOOKUP(Proc[[#This Row],[App]],Table2[],3,0),"open")</f>
        <v>ok</v>
      </c>
      <c r="C507" s="68" t="s">
        <v>369</v>
      </c>
      <c r="D507" t="s">
        <v>1983</v>
      </c>
      <c r="E507" s="68" t="s">
        <v>1986</v>
      </c>
      <c r="F507" s="117" t="s">
        <v>1986</v>
      </c>
      <c r="G507" s="68" t="s">
        <v>400</v>
      </c>
      <c r="H507" s="69" t="str">
        <f>IF(Proc[[#This Row],[type]]="LFF (MDG-F)",MID(Proc[[#This Row],[Obj]],13,10),"")</f>
        <v/>
      </c>
      <c r="I507" s="68" t="s">
        <v>1834</v>
      </c>
      <c r="J507" s="69" t="b">
        <f>Proc[[#This Row],[Requested]]=Proc[[#This Row],[CurrentParent]]</f>
        <v>1</v>
      </c>
      <c r="K507" s="144" t="str">
        <f>IF(Proc[[#This Row],[Author]]="Marcela Urrego",VLOOKUP(LEFT(Proc[[#This Row],[Requested]],1),Table3[#All],2,0),VLOOKUP(Proc[[#This Row],[Author]],Table4[],2,0))</f>
        <v>LS</v>
      </c>
      <c r="L507" s="69" t="s">
        <v>509</v>
      </c>
      <c r="M507" s="71">
        <v>45701.611967592595</v>
      </c>
      <c r="N507" s="71">
        <v>45706</v>
      </c>
      <c r="O507" s="71">
        <v>45706</v>
      </c>
      <c r="P507" s="70" t="str">
        <f ca="1">IF(Proc[[#This Row],[DaysAgeing]]&gt;5,"yep","on track")</f>
        <v>on track</v>
      </c>
      <c r="Q507" s="3">
        <f ca="1">IF(Proc[[#This Row],[DateClosed]]="",ABS(NETWORKDAYS(Proc[[#This Row],[DateOpened]],TODAY()))-1,ABS(NETWORKDAYS(Proc[[#This Row],[DateOpened]],Proc[[#This Row],[DateClosed]]))-1)</f>
        <v>3</v>
      </c>
      <c r="R507" s="70" t="s">
        <v>1833</v>
      </c>
      <c r="S507" s="69"/>
    </row>
    <row r="508" spans="1:19" hidden="1">
      <c r="A508" s="68" t="s">
        <v>1832</v>
      </c>
      <c r="B508" s="149" t="str">
        <f>IFERROR(VLOOKUP(Proc[[#This Row],[App]],Table2[],3,0),"open")</f>
        <v>ok</v>
      </c>
      <c r="C508" s="68" t="s">
        <v>369</v>
      </c>
      <c r="D508" t="s">
        <v>1984</v>
      </c>
      <c r="E508" s="68" t="s">
        <v>1986</v>
      </c>
      <c r="F508" s="117" t="s">
        <v>1986</v>
      </c>
      <c r="G508" s="68" t="s">
        <v>400</v>
      </c>
      <c r="H508" s="69" t="str">
        <f>IF(Proc[[#This Row],[type]]="LFF (MDG-F)",MID(Proc[[#This Row],[Obj]],13,10),"")</f>
        <v/>
      </c>
      <c r="I508" s="68" t="s">
        <v>1834</v>
      </c>
      <c r="J508" s="69" t="b">
        <f>Proc[[#This Row],[Requested]]=Proc[[#This Row],[CurrentParent]]</f>
        <v>1</v>
      </c>
      <c r="K508" s="144" t="str">
        <f>IF(Proc[[#This Row],[Author]]="Marcela Urrego",VLOOKUP(LEFT(Proc[[#This Row],[Requested]],1),Table3[#All],2,0),VLOOKUP(Proc[[#This Row],[Author]],Table4[],2,0))</f>
        <v>LS</v>
      </c>
      <c r="L508" s="69" t="s">
        <v>509</v>
      </c>
      <c r="M508" s="71">
        <v>45701.611967592595</v>
      </c>
      <c r="N508" s="71">
        <v>45706</v>
      </c>
      <c r="O508" s="71">
        <v>45706</v>
      </c>
      <c r="P508" s="70" t="str">
        <f ca="1">IF(Proc[[#This Row],[DaysAgeing]]&gt;5,"yep","on track")</f>
        <v>on track</v>
      </c>
      <c r="Q508" s="3">
        <f ca="1">IF(Proc[[#This Row],[DateClosed]]="",ABS(NETWORKDAYS(Proc[[#This Row],[DateOpened]],TODAY()))-1,ABS(NETWORKDAYS(Proc[[#This Row],[DateOpened]],Proc[[#This Row],[DateClosed]]))-1)</f>
        <v>3</v>
      </c>
      <c r="R508" s="70" t="s">
        <v>1833</v>
      </c>
      <c r="S508" s="69"/>
    </row>
    <row r="509" spans="1:19" hidden="1">
      <c r="A509" t="s">
        <v>1839</v>
      </c>
      <c r="B509" s="149" t="str">
        <f>IFERROR(VLOOKUP(Proc[[#This Row],[App]],Table2[],3,0),"open")</f>
        <v>ok</v>
      </c>
      <c r="C509" s="68" t="s">
        <v>369</v>
      </c>
      <c r="D509" t="s">
        <v>1835</v>
      </c>
      <c r="E509" t="s">
        <v>429</v>
      </c>
      <c r="F509" s="117" t="s">
        <v>429</v>
      </c>
      <c r="G509" s="68" t="s">
        <v>400</v>
      </c>
      <c r="H509" s="69" t="str">
        <f>IF(Proc[[#This Row],[type]]="LFF (MDG-F)",MID(Proc[[#This Row],[Obj]],13,10),"")</f>
        <v/>
      </c>
      <c r="J509" s="69" t="b">
        <f>Proc[[#This Row],[Requested]]=Proc[[#This Row],[CurrentParent]]</f>
        <v>1</v>
      </c>
      <c r="K509" s="144" t="str">
        <f>IF(Proc[[#This Row],[Author]]="Marcela Urrego",VLOOKUP(LEFT(Proc[[#This Row],[Requested]],1),Table3[#All],2,0),VLOOKUP(Proc[[#This Row],[Author]],Table4[],2,0))</f>
        <v>MGF</v>
      </c>
      <c r="L509" s="69" t="s">
        <v>509</v>
      </c>
      <c r="M509" s="71">
        <v>45702.505925925929</v>
      </c>
      <c r="N509" s="71">
        <v>45705</v>
      </c>
      <c r="O509" s="71">
        <v>45705</v>
      </c>
      <c r="P509" s="70" t="str">
        <f ca="1">IF(Proc[[#This Row],[DaysAgeing]]&gt;5,"yep","on track")</f>
        <v>on track</v>
      </c>
      <c r="Q509" s="3">
        <f ca="1">IF(Proc[[#This Row],[DateClosed]]="",ABS(NETWORKDAYS(Proc[[#This Row],[DateOpened]],TODAY()))-1,ABS(NETWORKDAYS(Proc[[#This Row],[DateOpened]],Proc[[#This Row],[DateClosed]]))-1)</f>
        <v>1</v>
      </c>
      <c r="R509" s="67" t="s">
        <v>1459</v>
      </c>
      <c r="S509" s="69"/>
    </row>
    <row r="510" spans="1:19" hidden="1">
      <c r="A510" s="68" t="s">
        <v>1839</v>
      </c>
      <c r="B510" s="149" t="str">
        <f>IFERROR(VLOOKUP(Proc[[#This Row],[App]],Table2[],3,0),"open")</f>
        <v>ok</v>
      </c>
      <c r="C510" s="68" t="s">
        <v>369</v>
      </c>
      <c r="D510" t="s">
        <v>1836</v>
      </c>
      <c r="E510" t="s">
        <v>1232</v>
      </c>
      <c r="F510" s="117" t="s">
        <v>1232</v>
      </c>
      <c r="G510" s="68" t="s">
        <v>400</v>
      </c>
      <c r="H510" s="69" t="str">
        <f>IF(Proc[[#This Row],[type]]="LFF (MDG-F)",MID(Proc[[#This Row],[Obj]],13,10),"")</f>
        <v/>
      </c>
      <c r="J510" s="69" t="b">
        <f>Proc[[#This Row],[Requested]]=Proc[[#This Row],[CurrentParent]]</f>
        <v>1</v>
      </c>
      <c r="K510" s="144" t="str">
        <f>IF(Proc[[#This Row],[Author]]="Marcela Urrego",VLOOKUP(LEFT(Proc[[#This Row],[Requested]],1),Table3[#All],2,0),VLOOKUP(Proc[[#This Row],[Author]],Table4[],2,0))</f>
        <v>MGF</v>
      </c>
      <c r="L510" s="69" t="s">
        <v>509</v>
      </c>
      <c r="M510" s="71">
        <v>45702.505925925929</v>
      </c>
      <c r="N510" s="71">
        <v>45705</v>
      </c>
      <c r="O510" s="71">
        <v>45705</v>
      </c>
      <c r="P510" s="70" t="str">
        <f ca="1">IF(Proc[[#This Row],[DaysAgeing]]&gt;5,"yep","on track")</f>
        <v>on track</v>
      </c>
      <c r="Q510" s="3">
        <f ca="1">IF(Proc[[#This Row],[DateClosed]]="",ABS(NETWORKDAYS(Proc[[#This Row],[DateOpened]],TODAY()))-1,ABS(NETWORKDAYS(Proc[[#This Row],[DateOpened]],Proc[[#This Row],[DateClosed]]))-1)</f>
        <v>1</v>
      </c>
      <c r="R510" s="67" t="s">
        <v>1459</v>
      </c>
      <c r="S510" s="69"/>
    </row>
    <row r="511" spans="1:19" hidden="1">
      <c r="A511" s="68" t="s">
        <v>1839</v>
      </c>
      <c r="B511" s="149" t="str">
        <f>IFERROR(VLOOKUP(Proc[[#This Row],[App]],Table2[],3,0),"open")</f>
        <v>ok</v>
      </c>
      <c r="C511" s="68" t="s">
        <v>369</v>
      </c>
      <c r="D511" t="s">
        <v>1837</v>
      </c>
      <c r="E511" t="s">
        <v>1232</v>
      </c>
      <c r="F511" s="117" t="s">
        <v>1232</v>
      </c>
      <c r="G511" s="68" t="s">
        <v>400</v>
      </c>
      <c r="H511" s="69" t="str">
        <f>IF(Proc[[#This Row],[type]]="LFF (MDG-F)",MID(Proc[[#This Row],[Obj]],13,10),"")</f>
        <v/>
      </c>
      <c r="J511" s="69" t="b">
        <f>Proc[[#This Row],[Requested]]=Proc[[#This Row],[CurrentParent]]</f>
        <v>1</v>
      </c>
      <c r="K511" s="144" t="str">
        <f>IF(Proc[[#This Row],[Author]]="Marcela Urrego",VLOOKUP(LEFT(Proc[[#This Row],[Requested]],1),Table3[#All],2,0),VLOOKUP(Proc[[#This Row],[Author]],Table4[],2,0))</f>
        <v>MGF</v>
      </c>
      <c r="L511" s="69" t="s">
        <v>509</v>
      </c>
      <c r="M511" s="71">
        <v>45702.505925925929</v>
      </c>
      <c r="N511" s="71">
        <v>45705</v>
      </c>
      <c r="O511" s="71">
        <v>45705</v>
      </c>
      <c r="P511" s="70" t="str">
        <f ca="1">IF(Proc[[#This Row],[DaysAgeing]]&gt;5,"yep","on track")</f>
        <v>on track</v>
      </c>
      <c r="Q511" s="3">
        <f ca="1">IF(Proc[[#This Row],[DateClosed]]="",ABS(NETWORKDAYS(Proc[[#This Row],[DateOpened]],TODAY()))-1,ABS(NETWORKDAYS(Proc[[#This Row],[DateOpened]],Proc[[#This Row],[DateClosed]]))-1)</f>
        <v>1</v>
      </c>
      <c r="R511" s="67" t="s">
        <v>1459</v>
      </c>
      <c r="S511" s="69"/>
    </row>
    <row r="512" spans="1:19" hidden="1">
      <c r="A512" s="68" t="s">
        <v>1839</v>
      </c>
      <c r="B512" s="149" t="str">
        <f>IFERROR(VLOOKUP(Proc[[#This Row],[App]],Table2[],3,0),"open")</f>
        <v>ok</v>
      </c>
      <c r="C512" s="68" t="s">
        <v>369</v>
      </c>
      <c r="D512" t="s">
        <v>1838</v>
      </c>
      <c r="E512" t="s">
        <v>1232</v>
      </c>
      <c r="F512" s="117" t="s">
        <v>1232</v>
      </c>
      <c r="G512" s="68" t="s">
        <v>400</v>
      </c>
      <c r="H512" s="69" t="str">
        <f>IF(Proc[[#This Row],[type]]="LFF (MDG-F)",MID(Proc[[#This Row],[Obj]],13,10),"")</f>
        <v/>
      </c>
      <c r="J512" s="69" t="b">
        <f>Proc[[#This Row],[Requested]]=Proc[[#This Row],[CurrentParent]]</f>
        <v>1</v>
      </c>
      <c r="K512" s="144" t="str">
        <f>IF(Proc[[#This Row],[Author]]="Marcela Urrego",VLOOKUP(LEFT(Proc[[#This Row],[Requested]],1),Table3[#All],2,0),VLOOKUP(Proc[[#This Row],[Author]],Table4[],2,0))</f>
        <v>MGF</v>
      </c>
      <c r="L512" s="69" t="s">
        <v>509</v>
      </c>
      <c r="M512" s="71">
        <v>45702.505925925929</v>
      </c>
      <c r="N512" s="71">
        <v>45705</v>
      </c>
      <c r="O512" s="71">
        <v>45705</v>
      </c>
      <c r="P512" s="70" t="str">
        <f ca="1">IF(Proc[[#This Row],[DaysAgeing]]&gt;5,"yep","on track")</f>
        <v>on track</v>
      </c>
      <c r="Q512" s="3">
        <f ca="1">IF(Proc[[#This Row],[DateClosed]]="",ABS(NETWORKDAYS(Proc[[#This Row],[DateOpened]],TODAY()))-1,ABS(NETWORKDAYS(Proc[[#This Row],[DateOpened]],Proc[[#This Row],[DateClosed]]))-1)</f>
        <v>1</v>
      </c>
      <c r="R512" s="67" t="s">
        <v>1459</v>
      </c>
      <c r="S512" s="69"/>
    </row>
    <row r="513" spans="1:19" hidden="1">
      <c r="A513" t="s">
        <v>1841</v>
      </c>
      <c r="B513" s="149" t="str">
        <f>IFERROR(VLOOKUP(Proc[[#This Row],[App]],Table2[],3,0),"open")</f>
        <v>ok</v>
      </c>
      <c r="C513" s="68" t="s">
        <v>369</v>
      </c>
      <c r="D513" t="s">
        <v>1840</v>
      </c>
      <c r="E513" t="s">
        <v>1842</v>
      </c>
      <c r="F513" s="117" t="s">
        <v>1842</v>
      </c>
      <c r="G513" s="68" t="s">
        <v>400</v>
      </c>
      <c r="H513" s="69" t="str">
        <f>IF(Proc[[#This Row],[type]]="LFF (MDG-F)",MID(Proc[[#This Row],[Obj]],13,10),"")</f>
        <v/>
      </c>
      <c r="J513" s="69" t="b">
        <f>Proc[[#This Row],[Requested]]=Proc[[#This Row],[CurrentParent]]</f>
        <v>1</v>
      </c>
      <c r="K513" s="144" t="str">
        <f>IF(Proc[[#This Row],[Author]]="Marcela Urrego",VLOOKUP(LEFT(Proc[[#This Row],[Requested]],1),Table3[#All],2,0),VLOOKUP(Proc[[#This Row],[Author]],Table4[],2,0))</f>
        <v>MGF</v>
      </c>
      <c r="L513" s="69" t="s">
        <v>509</v>
      </c>
      <c r="M513" s="71">
        <v>45702.571388888886</v>
      </c>
      <c r="N513" s="71">
        <v>45705</v>
      </c>
      <c r="O513" s="71">
        <v>45705</v>
      </c>
      <c r="P513" s="70" t="str">
        <f ca="1">IF(Proc[[#This Row],[DaysAgeing]]&gt;5,"yep","on track")</f>
        <v>on track</v>
      </c>
      <c r="Q513" s="3">
        <f ca="1">IF(Proc[[#This Row],[DateClosed]]="",ABS(NETWORKDAYS(Proc[[#This Row],[DateOpened]],TODAY()))-1,ABS(NETWORKDAYS(Proc[[#This Row],[DateOpened]],Proc[[#This Row],[DateClosed]]))-1)</f>
        <v>1</v>
      </c>
      <c r="R513" s="67" t="s">
        <v>1459</v>
      </c>
      <c r="S513" s="69"/>
    </row>
    <row r="514" spans="1:19" hidden="1">
      <c r="A514" t="s">
        <v>1843</v>
      </c>
      <c r="B514" s="149" t="str">
        <f>IFERROR(VLOOKUP(Proc[[#This Row],[App]],Table2[],3,0),"open")</f>
        <v>ok</v>
      </c>
      <c r="C514" t="s">
        <v>369</v>
      </c>
      <c r="D514" t="s">
        <v>1844</v>
      </c>
      <c r="E514" t="s">
        <v>1942</v>
      </c>
      <c r="F514" s="117" t="s">
        <v>1942</v>
      </c>
      <c r="G514" t="s">
        <v>406</v>
      </c>
      <c r="H514" s="69" t="str">
        <f>IF(Proc[[#This Row],[type]]="LFF (MDG-F)",MID(Proc[[#This Row],[Obj]],13,10),"")</f>
        <v>2123L28514</v>
      </c>
      <c r="J514" s="69" t="b">
        <f>Proc[[#This Row],[Requested]]=Proc[[#This Row],[CurrentParent]]</f>
        <v>1</v>
      </c>
      <c r="K514" s="144" t="str">
        <f>IF(Proc[[#This Row],[Author]]="Marcela Urrego",VLOOKUP(LEFT(Proc[[#This Row],[Requested]],1),Table3[#All],2,0),VLOOKUP(Proc[[#This Row],[Author]],Table4[],2,0))</f>
        <v>MGF</v>
      </c>
      <c r="L514" s="69" t="s">
        <v>509</v>
      </c>
      <c r="M514" s="71">
        <v>45702.63349537037</v>
      </c>
      <c r="N514" s="71">
        <v>45712</v>
      </c>
      <c r="O514" s="71">
        <v>45712</v>
      </c>
      <c r="P514" s="70" t="str">
        <f ca="1">IF(Proc[[#This Row],[DaysAgeing]]&gt;5,"yep","on track")</f>
        <v>yep</v>
      </c>
      <c r="Q514" s="3">
        <f ca="1">IF(Proc[[#This Row],[DateClosed]]="",ABS(NETWORKDAYS(Proc[[#This Row],[DateOpened]],TODAY()))-1,ABS(NETWORKDAYS(Proc[[#This Row],[DateOpened]],Proc[[#This Row],[DateClosed]]))-1)</f>
        <v>6</v>
      </c>
      <c r="R514" s="70" t="s">
        <v>515</v>
      </c>
      <c r="S514" s="69"/>
    </row>
    <row r="515" spans="1:19" hidden="1">
      <c r="A515" s="68" t="s">
        <v>1843</v>
      </c>
      <c r="B515" s="149" t="str">
        <f>IFERROR(VLOOKUP(Proc[[#This Row],[App]],Table2[],3,0),"open")</f>
        <v>ok</v>
      </c>
      <c r="C515" s="68" t="s">
        <v>369</v>
      </c>
      <c r="D515" t="s">
        <v>1845</v>
      </c>
      <c r="E515" t="s">
        <v>1943</v>
      </c>
      <c r="F515" s="117" t="s">
        <v>1943</v>
      </c>
      <c r="G515" s="68" t="s">
        <v>406</v>
      </c>
      <c r="H515" s="69" t="str">
        <f>IF(Proc[[#This Row],[type]]="LFF (MDG-F)",MID(Proc[[#This Row],[Obj]],13,10),"")</f>
        <v>2123OF0002</v>
      </c>
      <c r="J515" s="69" t="b">
        <f>Proc[[#This Row],[Requested]]=Proc[[#This Row],[CurrentParent]]</f>
        <v>1</v>
      </c>
      <c r="K515" s="144" t="str">
        <f>IF(Proc[[#This Row],[Author]]="Marcela Urrego",VLOOKUP(LEFT(Proc[[#This Row],[Requested]],1),Table3[#All],2,0),VLOOKUP(Proc[[#This Row],[Author]],Table4[],2,0))</f>
        <v>MGF</v>
      </c>
      <c r="L515" s="69" t="s">
        <v>509</v>
      </c>
      <c r="M515" s="71">
        <v>45702.63349537037</v>
      </c>
      <c r="N515" s="71">
        <v>45712</v>
      </c>
      <c r="O515" s="71">
        <v>45712</v>
      </c>
      <c r="P515" s="70" t="str">
        <f ca="1">IF(Proc[[#This Row],[DaysAgeing]]&gt;5,"yep","on track")</f>
        <v>yep</v>
      </c>
      <c r="Q515" s="3">
        <f ca="1">IF(Proc[[#This Row],[DateClosed]]="",ABS(NETWORKDAYS(Proc[[#This Row],[DateOpened]],TODAY()))-1,ABS(NETWORKDAYS(Proc[[#This Row],[DateOpened]],Proc[[#This Row],[DateClosed]]))-1)</f>
        <v>6</v>
      </c>
      <c r="R515" s="70" t="s">
        <v>515</v>
      </c>
      <c r="S515" s="69"/>
    </row>
    <row r="516" spans="1:19" hidden="1">
      <c r="A516" s="68" t="s">
        <v>1843</v>
      </c>
      <c r="B516" s="149" t="str">
        <f>IFERROR(VLOOKUP(Proc[[#This Row],[App]],Table2[],3,0),"open")</f>
        <v>ok</v>
      </c>
      <c r="C516" s="68" t="s">
        <v>369</v>
      </c>
      <c r="D516" t="s">
        <v>1846</v>
      </c>
      <c r="E516" t="s">
        <v>1943</v>
      </c>
      <c r="F516" s="117" t="s">
        <v>1943</v>
      </c>
      <c r="G516" s="68" t="s">
        <v>406</v>
      </c>
      <c r="H516" s="69" t="str">
        <f>IF(Proc[[#This Row],[type]]="LFF (MDG-F)",MID(Proc[[#This Row],[Obj]],13,10),"")</f>
        <v>2123OF0004</v>
      </c>
      <c r="J516" s="69" t="b">
        <f>Proc[[#This Row],[Requested]]=Proc[[#This Row],[CurrentParent]]</f>
        <v>1</v>
      </c>
      <c r="K516" s="144" t="str">
        <f>IF(Proc[[#This Row],[Author]]="Marcela Urrego",VLOOKUP(LEFT(Proc[[#This Row],[Requested]],1),Table3[#All],2,0),VLOOKUP(Proc[[#This Row],[Author]],Table4[],2,0))</f>
        <v>MGF</v>
      </c>
      <c r="L516" s="69" t="s">
        <v>509</v>
      </c>
      <c r="M516" s="71">
        <v>45702.63349537037</v>
      </c>
      <c r="N516" s="71">
        <v>45712</v>
      </c>
      <c r="O516" s="71">
        <v>45712</v>
      </c>
      <c r="P516" s="70" t="str">
        <f ca="1">IF(Proc[[#This Row],[DaysAgeing]]&gt;5,"yep","on track")</f>
        <v>yep</v>
      </c>
      <c r="Q516" s="3">
        <f ca="1">IF(Proc[[#This Row],[DateClosed]]="",ABS(NETWORKDAYS(Proc[[#This Row],[DateOpened]],TODAY()))-1,ABS(NETWORKDAYS(Proc[[#This Row],[DateOpened]],Proc[[#This Row],[DateClosed]]))-1)</f>
        <v>6</v>
      </c>
      <c r="R516" s="70" t="s">
        <v>515</v>
      </c>
      <c r="S516" s="69"/>
    </row>
    <row r="517" spans="1:19" hidden="1">
      <c r="A517" s="68" t="s">
        <v>1843</v>
      </c>
      <c r="B517" s="149" t="str">
        <f>IFERROR(VLOOKUP(Proc[[#This Row],[App]],Table2[],3,0),"open")</f>
        <v>ok</v>
      </c>
      <c r="C517" s="68" t="s">
        <v>369</v>
      </c>
      <c r="D517" t="s">
        <v>1847</v>
      </c>
      <c r="E517" t="s">
        <v>1944</v>
      </c>
      <c r="F517" s="117" t="s">
        <v>1944</v>
      </c>
      <c r="G517" t="s">
        <v>400</v>
      </c>
      <c r="H517" s="69" t="str">
        <f>IF(Proc[[#This Row],[type]]="LFF (MDG-F)",MID(Proc[[#This Row],[Obj]],13,10),"")</f>
        <v/>
      </c>
      <c r="J517" s="69" t="b">
        <f>Proc[[#This Row],[Requested]]=Proc[[#This Row],[CurrentParent]]</f>
        <v>1</v>
      </c>
      <c r="K517" s="144" t="str">
        <f>IF(Proc[[#This Row],[Author]]="Marcela Urrego",VLOOKUP(LEFT(Proc[[#This Row],[Requested]],1),Table3[#All],2,0),VLOOKUP(Proc[[#This Row],[Author]],Table4[],2,0))</f>
        <v>MGF</v>
      </c>
      <c r="L517" s="69" t="s">
        <v>509</v>
      </c>
      <c r="M517" s="71">
        <v>45702.63349537037</v>
      </c>
      <c r="N517" s="71">
        <v>45712</v>
      </c>
      <c r="O517" s="71">
        <v>45712</v>
      </c>
      <c r="P517" s="70" t="str">
        <f ca="1">IF(Proc[[#This Row],[DaysAgeing]]&gt;5,"yep","on track")</f>
        <v>yep</v>
      </c>
      <c r="Q517" s="3">
        <f ca="1">IF(Proc[[#This Row],[DateClosed]]="",ABS(NETWORKDAYS(Proc[[#This Row],[DateOpened]],TODAY()))-1,ABS(NETWORKDAYS(Proc[[#This Row],[DateOpened]],Proc[[#This Row],[DateClosed]]))-1)</f>
        <v>6</v>
      </c>
      <c r="R517" s="70" t="s">
        <v>515</v>
      </c>
      <c r="S517" s="69"/>
    </row>
    <row r="518" spans="1:19" hidden="1">
      <c r="A518" s="68" t="s">
        <v>1843</v>
      </c>
      <c r="B518" s="149" t="str">
        <f>IFERROR(VLOOKUP(Proc[[#This Row],[App]],Table2[],3,0),"open")</f>
        <v>ok</v>
      </c>
      <c r="C518" s="68" t="s">
        <v>369</v>
      </c>
      <c r="D518" t="s">
        <v>1848</v>
      </c>
      <c r="E518" t="s">
        <v>1944</v>
      </c>
      <c r="F518" s="117" t="s">
        <v>1944</v>
      </c>
      <c r="G518" s="68" t="s">
        <v>406</v>
      </c>
      <c r="H518" s="69" t="str">
        <f>IF(Proc[[#This Row],[type]]="LFF (MDG-F)",MID(Proc[[#This Row],[Obj]],13,10),"")</f>
        <v>2123L70001</v>
      </c>
      <c r="J518" s="69" t="b">
        <f>Proc[[#This Row],[Requested]]=Proc[[#This Row],[CurrentParent]]</f>
        <v>1</v>
      </c>
      <c r="K518" s="144" t="str">
        <f>IF(Proc[[#This Row],[Author]]="Marcela Urrego",VLOOKUP(LEFT(Proc[[#This Row],[Requested]],1),Table3[#All],2,0),VLOOKUP(Proc[[#This Row],[Author]],Table4[],2,0))</f>
        <v>MGF</v>
      </c>
      <c r="L518" s="69" t="s">
        <v>509</v>
      </c>
      <c r="M518" s="71">
        <v>45702.63349537037</v>
      </c>
      <c r="N518" s="71">
        <v>45712</v>
      </c>
      <c r="O518" s="71">
        <v>45712</v>
      </c>
      <c r="P518" s="70" t="str">
        <f ca="1">IF(Proc[[#This Row],[DaysAgeing]]&gt;5,"yep","on track")</f>
        <v>yep</v>
      </c>
      <c r="Q518" s="3">
        <f ca="1">IF(Proc[[#This Row],[DateClosed]]="",ABS(NETWORKDAYS(Proc[[#This Row],[DateOpened]],TODAY()))-1,ABS(NETWORKDAYS(Proc[[#This Row],[DateOpened]],Proc[[#This Row],[DateClosed]]))-1)</f>
        <v>6</v>
      </c>
      <c r="R518" s="70" t="s">
        <v>515</v>
      </c>
      <c r="S518" s="69"/>
    </row>
    <row r="519" spans="1:19" hidden="1">
      <c r="A519" s="68" t="s">
        <v>1843</v>
      </c>
      <c r="B519" s="149" t="str">
        <f>IFERROR(VLOOKUP(Proc[[#This Row],[App]],Table2[],3,0),"open")</f>
        <v>ok</v>
      </c>
      <c r="C519" s="68" t="s">
        <v>369</v>
      </c>
      <c r="D519" t="s">
        <v>1849</v>
      </c>
      <c r="E519" t="s">
        <v>1945</v>
      </c>
      <c r="F519" s="117" t="s">
        <v>1945</v>
      </c>
      <c r="G519" s="68" t="s">
        <v>406</v>
      </c>
      <c r="H519" s="69" t="str">
        <f>IF(Proc[[#This Row],[type]]="LFF (MDG-F)",MID(Proc[[#This Row],[Obj]],13,10),"")</f>
        <v>2123C00113</v>
      </c>
      <c r="J519" s="69" t="b">
        <f>Proc[[#This Row],[Requested]]=Proc[[#This Row],[CurrentParent]]</f>
        <v>1</v>
      </c>
      <c r="K519" s="144" t="str">
        <f>IF(Proc[[#This Row],[Author]]="Marcela Urrego",VLOOKUP(LEFT(Proc[[#This Row],[Requested]],1),Table3[#All],2,0),VLOOKUP(Proc[[#This Row],[Author]],Table4[],2,0))</f>
        <v>MGF</v>
      </c>
      <c r="L519" s="69" t="s">
        <v>509</v>
      </c>
      <c r="M519" s="71">
        <v>45702.63349537037</v>
      </c>
      <c r="N519" s="71">
        <v>45712</v>
      </c>
      <c r="O519" s="71">
        <v>45712</v>
      </c>
      <c r="P519" s="70" t="str">
        <f ca="1">IF(Proc[[#This Row],[DaysAgeing]]&gt;5,"yep","on track")</f>
        <v>yep</v>
      </c>
      <c r="Q519" s="3">
        <f ca="1">IF(Proc[[#This Row],[DateClosed]]="",ABS(NETWORKDAYS(Proc[[#This Row],[DateOpened]],TODAY()))-1,ABS(NETWORKDAYS(Proc[[#This Row],[DateOpened]],Proc[[#This Row],[DateClosed]]))-1)</f>
        <v>6</v>
      </c>
      <c r="R519" s="70" t="s">
        <v>515</v>
      </c>
      <c r="S519" s="69"/>
    </row>
    <row r="520" spans="1:19" hidden="1">
      <c r="A520" s="68" t="s">
        <v>1843</v>
      </c>
      <c r="B520" s="149" t="str">
        <f>IFERROR(VLOOKUP(Proc[[#This Row],[App]],Table2[],3,0),"open")</f>
        <v>ok</v>
      </c>
      <c r="C520" s="68" t="s">
        <v>369</v>
      </c>
      <c r="D520" t="s">
        <v>1850</v>
      </c>
      <c r="E520" t="s">
        <v>1946</v>
      </c>
      <c r="F520" s="117" t="s">
        <v>1946</v>
      </c>
      <c r="G520" s="68" t="s">
        <v>406</v>
      </c>
      <c r="H520" s="69" t="str">
        <f>IF(Proc[[#This Row],[type]]="LFF (MDG-F)",MID(Proc[[#This Row],[Obj]],13,10),"")</f>
        <v>2123C00108</v>
      </c>
      <c r="J520" s="69" t="b">
        <f>Proc[[#This Row],[Requested]]=Proc[[#This Row],[CurrentParent]]</f>
        <v>1</v>
      </c>
      <c r="K520" s="144" t="str">
        <f>IF(Proc[[#This Row],[Author]]="Marcela Urrego",VLOOKUP(LEFT(Proc[[#This Row],[Requested]],1),Table3[#All],2,0),VLOOKUP(Proc[[#This Row],[Author]],Table4[],2,0))</f>
        <v>MGF</v>
      </c>
      <c r="L520" s="69" t="s">
        <v>509</v>
      </c>
      <c r="M520" s="71">
        <v>45702.63349537037</v>
      </c>
      <c r="N520" s="71">
        <v>45712</v>
      </c>
      <c r="O520" s="71">
        <v>45712</v>
      </c>
      <c r="P520" s="70" t="str">
        <f ca="1">IF(Proc[[#This Row],[DaysAgeing]]&gt;5,"yep","on track")</f>
        <v>yep</v>
      </c>
      <c r="Q520" s="3">
        <f ca="1">IF(Proc[[#This Row],[DateClosed]]="",ABS(NETWORKDAYS(Proc[[#This Row],[DateOpened]],TODAY()))-1,ABS(NETWORKDAYS(Proc[[#This Row],[DateOpened]],Proc[[#This Row],[DateClosed]]))-1)</f>
        <v>6</v>
      </c>
      <c r="R520" s="70" t="s">
        <v>515</v>
      </c>
      <c r="S520" s="69"/>
    </row>
    <row r="521" spans="1:19" hidden="1">
      <c r="A521" s="68" t="s">
        <v>1843</v>
      </c>
      <c r="B521" s="149" t="str">
        <f>IFERROR(VLOOKUP(Proc[[#This Row],[App]],Table2[],3,0),"open")</f>
        <v>ok</v>
      </c>
      <c r="C521" s="68" t="s">
        <v>369</v>
      </c>
      <c r="D521" t="s">
        <v>1851</v>
      </c>
      <c r="E521" t="s">
        <v>1946</v>
      </c>
      <c r="F521" s="117" t="s">
        <v>1946</v>
      </c>
      <c r="G521" s="68" t="s">
        <v>406</v>
      </c>
      <c r="H521" s="69" t="str">
        <f>IF(Proc[[#This Row],[type]]="LFF (MDG-F)",MID(Proc[[#This Row],[Obj]],13,10),"")</f>
        <v>2123C00070</v>
      </c>
      <c r="J521" s="69" t="b">
        <f>Proc[[#This Row],[Requested]]=Proc[[#This Row],[CurrentParent]]</f>
        <v>1</v>
      </c>
      <c r="K521" s="144" t="str">
        <f>IF(Proc[[#This Row],[Author]]="Marcela Urrego",VLOOKUP(LEFT(Proc[[#This Row],[Requested]],1),Table3[#All],2,0),VLOOKUP(Proc[[#This Row],[Author]],Table4[],2,0))</f>
        <v>MGF</v>
      </c>
      <c r="L521" s="69" t="s">
        <v>509</v>
      </c>
      <c r="M521" s="71">
        <v>45702.63349537037</v>
      </c>
      <c r="N521" s="71">
        <v>45712</v>
      </c>
      <c r="O521" s="71">
        <v>45712</v>
      </c>
      <c r="P521" s="70" t="str">
        <f ca="1">IF(Proc[[#This Row],[DaysAgeing]]&gt;5,"yep","on track")</f>
        <v>yep</v>
      </c>
      <c r="Q521" s="3">
        <f ca="1">IF(Proc[[#This Row],[DateClosed]]="",ABS(NETWORKDAYS(Proc[[#This Row],[DateOpened]],TODAY()))-1,ABS(NETWORKDAYS(Proc[[#This Row],[DateOpened]],Proc[[#This Row],[DateClosed]]))-1)</f>
        <v>6</v>
      </c>
      <c r="R521" s="70" t="s">
        <v>515</v>
      </c>
      <c r="S521" s="69"/>
    </row>
    <row r="522" spans="1:19" hidden="1">
      <c r="A522" s="68" t="s">
        <v>1843</v>
      </c>
      <c r="B522" s="149" t="str">
        <f>IFERROR(VLOOKUP(Proc[[#This Row],[App]],Table2[],3,0),"open")</f>
        <v>ok</v>
      </c>
      <c r="C522" s="68" t="s">
        <v>369</v>
      </c>
      <c r="D522" t="s">
        <v>1852</v>
      </c>
      <c r="E522" t="s">
        <v>1947</v>
      </c>
      <c r="F522" s="117" t="s">
        <v>1947</v>
      </c>
      <c r="G522" s="68" t="s">
        <v>406</v>
      </c>
      <c r="H522" s="69" t="str">
        <f>IF(Proc[[#This Row],[type]]="LFF (MDG-F)",MID(Proc[[#This Row],[Obj]],13,10),"")</f>
        <v>2123C00028</v>
      </c>
      <c r="J522" s="69" t="b">
        <f>Proc[[#This Row],[Requested]]=Proc[[#This Row],[CurrentParent]]</f>
        <v>1</v>
      </c>
      <c r="K522" s="144" t="str">
        <f>IF(Proc[[#This Row],[Author]]="Marcela Urrego",VLOOKUP(LEFT(Proc[[#This Row],[Requested]],1),Table3[#All],2,0),VLOOKUP(Proc[[#This Row],[Author]],Table4[],2,0))</f>
        <v>MGF</v>
      </c>
      <c r="L522" s="69" t="s">
        <v>509</v>
      </c>
      <c r="M522" s="71">
        <v>45702.63349537037</v>
      </c>
      <c r="N522" s="71">
        <v>45712</v>
      </c>
      <c r="O522" s="71">
        <v>45712</v>
      </c>
      <c r="P522" s="70" t="str">
        <f ca="1">IF(Proc[[#This Row],[DaysAgeing]]&gt;5,"yep","on track")</f>
        <v>yep</v>
      </c>
      <c r="Q522" s="3">
        <f ca="1">IF(Proc[[#This Row],[DateClosed]]="",ABS(NETWORKDAYS(Proc[[#This Row],[DateOpened]],TODAY()))-1,ABS(NETWORKDAYS(Proc[[#This Row],[DateOpened]],Proc[[#This Row],[DateClosed]]))-1)</f>
        <v>6</v>
      </c>
      <c r="R522" s="70" t="s">
        <v>515</v>
      </c>
      <c r="S522" s="69"/>
    </row>
    <row r="523" spans="1:19" hidden="1">
      <c r="A523" s="68" t="s">
        <v>1843</v>
      </c>
      <c r="B523" s="149" t="str">
        <f>IFERROR(VLOOKUP(Proc[[#This Row],[App]],Table2[],3,0),"open")</f>
        <v>ok</v>
      </c>
      <c r="C523" s="68" t="s">
        <v>369</v>
      </c>
      <c r="D523" t="s">
        <v>1853</v>
      </c>
      <c r="E523" t="s">
        <v>1946</v>
      </c>
      <c r="F523" s="117" t="s">
        <v>1946</v>
      </c>
      <c r="G523" s="68" t="s">
        <v>406</v>
      </c>
      <c r="H523" s="69" t="str">
        <f>IF(Proc[[#This Row],[type]]="LFF (MDG-F)",MID(Proc[[#This Row],[Obj]],13,10),"")</f>
        <v>2123C00053</v>
      </c>
      <c r="J523" s="69" t="b">
        <f>Proc[[#This Row],[Requested]]=Proc[[#This Row],[CurrentParent]]</f>
        <v>1</v>
      </c>
      <c r="K523" s="144" t="str">
        <f>IF(Proc[[#This Row],[Author]]="Marcela Urrego",VLOOKUP(LEFT(Proc[[#This Row],[Requested]],1),Table3[#All],2,0),VLOOKUP(Proc[[#This Row],[Author]],Table4[],2,0))</f>
        <v>MGF</v>
      </c>
      <c r="L523" s="69" t="s">
        <v>509</v>
      </c>
      <c r="M523" s="71">
        <v>45702.63349537037</v>
      </c>
      <c r="N523" s="71">
        <v>45712</v>
      </c>
      <c r="O523" s="71">
        <v>45712</v>
      </c>
      <c r="P523" s="70" t="str">
        <f ca="1">IF(Proc[[#This Row],[DaysAgeing]]&gt;5,"yep","on track")</f>
        <v>yep</v>
      </c>
      <c r="Q523" s="3">
        <f ca="1">IF(Proc[[#This Row],[DateClosed]]="",ABS(NETWORKDAYS(Proc[[#This Row],[DateOpened]],TODAY()))-1,ABS(NETWORKDAYS(Proc[[#This Row],[DateOpened]],Proc[[#This Row],[DateClosed]]))-1)</f>
        <v>6</v>
      </c>
      <c r="R523" s="70" t="s">
        <v>515</v>
      </c>
      <c r="S523" s="69"/>
    </row>
    <row r="524" spans="1:19" hidden="1">
      <c r="A524" s="68" t="s">
        <v>1843</v>
      </c>
      <c r="B524" s="149" t="str">
        <f>IFERROR(VLOOKUP(Proc[[#This Row],[App]],Table2[],3,0),"open")</f>
        <v>ok</v>
      </c>
      <c r="C524" s="68" t="s">
        <v>369</v>
      </c>
      <c r="D524" t="s">
        <v>1854</v>
      </c>
      <c r="E524" t="s">
        <v>1946</v>
      </c>
      <c r="F524" s="117" t="s">
        <v>1946</v>
      </c>
      <c r="G524" s="68" t="s">
        <v>406</v>
      </c>
      <c r="H524" s="69" t="str">
        <f>IF(Proc[[#This Row],[type]]="LFF (MDG-F)",MID(Proc[[#This Row],[Obj]],13,10),"")</f>
        <v>2123C00056</v>
      </c>
      <c r="J524" s="69" t="b">
        <f>Proc[[#This Row],[Requested]]=Proc[[#This Row],[CurrentParent]]</f>
        <v>1</v>
      </c>
      <c r="K524" s="144" t="str">
        <f>IF(Proc[[#This Row],[Author]]="Marcela Urrego",VLOOKUP(LEFT(Proc[[#This Row],[Requested]],1),Table3[#All],2,0),VLOOKUP(Proc[[#This Row],[Author]],Table4[],2,0))</f>
        <v>MGF</v>
      </c>
      <c r="L524" s="69" t="s">
        <v>509</v>
      </c>
      <c r="M524" s="71">
        <v>45702.63349537037</v>
      </c>
      <c r="N524" s="71">
        <v>45712</v>
      </c>
      <c r="O524" s="71">
        <v>45712</v>
      </c>
      <c r="P524" s="70" t="str">
        <f ca="1">IF(Proc[[#This Row],[DaysAgeing]]&gt;5,"yep","on track")</f>
        <v>yep</v>
      </c>
      <c r="Q524" s="3">
        <f ca="1">IF(Proc[[#This Row],[DateClosed]]="",ABS(NETWORKDAYS(Proc[[#This Row],[DateOpened]],TODAY()))-1,ABS(NETWORKDAYS(Proc[[#This Row],[DateOpened]],Proc[[#This Row],[DateClosed]]))-1)</f>
        <v>6</v>
      </c>
      <c r="R524" s="70" t="s">
        <v>515</v>
      </c>
      <c r="S524" s="69"/>
    </row>
    <row r="525" spans="1:19" hidden="1">
      <c r="A525" s="68" t="s">
        <v>1843</v>
      </c>
      <c r="B525" s="149" t="str">
        <f>IFERROR(VLOOKUP(Proc[[#This Row],[App]],Table2[],3,0),"open")</f>
        <v>ok</v>
      </c>
      <c r="C525" s="68" t="s">
        <v>369</v>
      </c>
      <c r="D525" t="s">
        <v>1855</v>
      </c>
      <c r="E525" t="s">
        <v>1946</v>
      </c>
      <c r="F525" s="117" t="s">
        <v>1946</v>
      </c>
      <c r="G525" s="68" t="s">
        <v>406</v>
      </c>
      <c r="H525" s="69" t="str">
        <f>IF(Proc[[#This Row],[type]]="LFF (MDG-F)",MID(Proc[[#This Row],[Obj]],13,10),"")</f>
        <v>2123OF0011</v>
      </c>
      <c r="J525" s="69" t="b">
        <f>Proc[[#This Row],[Requested]]=Proc[[#This Row],[CurrentParent]]</f>
        <v>1</v>
      </c>
      <c r="K525" s="144" t="str">
        <f>IF(Proc[[#This Row],[Author]]="Marcela Urrego",VLOOKUP(LEFT(Proc[[#This Row],[Requested]],1),Table3[#All],2,0),VLOOKUP(Proc[[#This Row],[Author]],Table4[],2,0))</f>
        <v>MGF</v>
      </c>
      <c r="L525" s="69" t="s">
        <v>509</v>
      </c>
      <c r="M525" s="71">
        <v>45702.63349537037</v>
      </c>
      <c r="N525" s="71">
        <v>45712</v>
      </c>
      <c r="O525" s="71">
        <v>45712</v>
      </c>
      <c r="P525" s="70" t="str">
        <f ca="1">IF(Proc[[#This Row],[DaysAgeing]]&gt;5,"yep","on track")</f>
        <v>yep</v>
      </c>
      <c r="Q525" s="3">
        <f ca="1">IF(Proc[[#This Row],[DateClosed]]="",ABS(NETWORKDAYS(Proc[[#This Row],[DateOpened]],TODAY()))-1,ABS(NETWORKDAYS(Proc[[#This Row],[DateOpened]],Proc[[#This Row],[DateClosed]]))-1)</f>
        <v>6</v>
      </c>
      <c r="R525" s="70" t="s">
        <v>515</v>
      </c>
      <c r="S525" s="69"/>
    </row>
    <row r="526" spans="1:19" hidden="1">
      <c r="A526" s="68" t="s">
        <v>1843</v>
      </c>
      <c r="B526" s="149" t="str">
        <f>IFERROR(VLOOKUP(Proc[[#This Row],[App]],Table2[],3,0),"open")</f>
        <v>ok</v>
      </c>
      <c r="C526" s="68" t="s">
        <v>369</v>
      </c>
      <c r="D526" t="s">
        <v>1856</v>
      </c>
      <c r="E526" t="s">
        <v>1948</v>
      </c>
      <c r="F526" s="117" t="s">
        <v>1948</v>
      </c>
      <c r="G526" s="68" t="s">
        <v>406</v>
      </c>
      <c r="H526" s="69" t="str">
        <f>IF(Proc[[#This Row],[type]]="LFF (MDG-F)",MID(Proc[[#This Row],[Obj]],13,10),"")</f>
        <v>2123C00071</v>
      </c>
      <c r="J526" s="69" t="b">
        <f>Proc[[#This Row],[Requested]]=Proc[[#This Row],[CurrentParent]]</f>
        <v>1</v>
      </c>
      <c r="K526" s="144" t="str">
        <f>IF(Proc[[#This Row],[Author]]="Marcela Urrego",VLOOKUP(LEFT(Proc[[#This Row],[Requested]],1),Table3[#All],2,0),VLOOKUP(Proc[[#This Row],[Author]],Table4[],2,0))</f>
        <v>MGF</v>
      </c>
      <c r="L526" s="69" t="s">
        <v>509</v>
      </c>
      <c r="M526" s="71">
        <v>45702.63349537037</v>
      </c>
      <c r="N526" s="71">
        <v>45712</v>
      </c>
      <c r="O526" s="71">
        <v>45712</v>
      </c>
      <c r="P526" s="70" t="str">
        <f ca="1">IF(Proc[[#This Row],[DaysAgeing]]&gt;5,"yep","on track")</f>
        <v>yep</v>
      </c>
      <c r="Q526" s="3">
        <f ca="1">IF(Proc[[#This Row],[DateClosed]]="",ABS(NETWORKDAYS(Proc[[#This Row],[DateOpened]],TODAY()))-1,ABS(NETWORKDAYS(Proc[[#This Row],[DateOpened]],Proc[[#This Row],[DateClosed]]))-1)</f>
        <v>6</v>
      </c>
      <c r="R526" s="70" t="s">
        <v>515</v>
      </c>
      <c r="S526" s="69"/>
    </row>
    <row r="527" spans="1:19" hidden="1">
      <c r="A527" s="68" t="s">
        <v>1843</v>
      </c>
      <c r="B527" s="149" t="str">
        <f>IFERROR(VLOOKUP(Proc[[#This Row],[App]],Table2[],3,0),"open")</f>
        <v>ok</v>
      </c>
      <c r="C527" s="68" t="s">
        <v>369</v>
      </c>
      <c r="D527" t="s">
        <v>1857</v>
      </c>
      <c r="E527" t="s">
        <v>1948</v>
      </c>
      <c r="F527" s="117" t="s">
        <v>1948</v>
      </c>
      <c r="G527" s="68" t="s">
        <v>406</v>
      </c>
      <c r="H527" s="69" t="str">
        <f>IF(Proc[[#This Row],[type]]="LFF (MDG-F)",MID(Proc[[#This Row],[Obj]],13,10),"")</f>
        <v>2123C00080</v>
      </c>
      <c r="J527" s="69" t="b">
        <f>Proc[[#This Row],[Requested]]=Proc[[#This Row],[CurrentParent]]</f>
        <v>1</v>
      </c>
      <c r="K527" s="144" t="str">
        <f>IF(Proc[[#This Row],[Author]]="Marcela Urrego",VLOOKUP(LEFT(Proc[[#This Row],[Requested]],1),Table3[#All],2,0),VLOOKUP(Proc[[#This Row],[Author]],Table4[],2,0))</f>
        <v>MGF</v>
      </c>
      <c r="L527" s="69" t="s">
        <v>509</v>
      </c>
      <c r="M527" s="71">
        <v>45702.63349537037</v>
      </c>
      <c r="N527" s="71">
        <v>45712</v>
      </c>
      <c r="O527" s="71">
        <v>45712</v>
      </c>
      <c r="P527" s="70" t="str">
        <f ca="1">IF(Proc[[#This Row],[DaysAgeing]]&gt;5,"yep","on track")</f>
        <v>yep</v>
      </c>
      <c r="Q527" s="3">
        <f ca="1">IF(Proc[[#This Row],[DateClosed]]="",ABS(NETWORKDAYS(Proc[[#This Row],[DateOpened]],TODAY()))-1,ABS(NETWORKDAYS(Proc[[#This Row],[DateOpened]],Proc[[#This Row],[DateClosed]]))-1)</f>
        <v>6</v>
      </c>
      <c r="R527" s="70" t="s">
        <v>515</v>
      </c>
      <c r="S527" s="69"/>
    </row>
    <row r="528" spans="1:19" hidden="1">
      <c r="A528" s="68" t="s">
        <v>1843</v>
      </c>
      <c r="B528" s="149" t="str">
        <f>IFERROR(VLOOKUP(Proc[[#This Row],[App]],Table2[],3,0),"open")</f>
        <v>ok</v>
      </c>
      <c r="C528" s="68" t="s">
        <v>369</v>
      </c>
      <c r="D528" t="s">
        <v>1858</v>
      </c>
      <c r="E528" t="s">
        <v>1949</v>
      </c>
      <c r="F528" s="117" t="s">
        <v>1949</v>
      </c>
      <c r="G528" s="68" t="s">
        <v>406</v>
      </c>
      <c r="H528" s="69" t="str">
        <f>IF(Proc[[#This Row],[type]]="LFF (MDG-F)",MID(Proc[[#This Row],[Obj]],13,10),"")</f>
        <v>2123C00079</v>
      </c>
      <c r="J528" s="69" t="b">
        <f>Proc[[#This Row],[Requested]]=Proc[[#This Row],[CurrentParent]]</f>
        <v>1</v>
      </c>
      <c r="K528" s="144" t="str">
        <f>IF(Proc[[#This Row],[Author]]="Marcela Urrego",VLOOKUP(LEFT(Proc[[#This Row],[Requested]],1),Table3[#All],2,0),VLOOKUP(Proc[[#This Row],[Author]],Table4[],2,0))</f>
        <v>MGF</v>
      </c>
      <c r="L528" s="69" t="s">
        <v>509</v>
      </c>
      <c r="M528" s="71">
        <v>45702.63349537037</v>
      </c>
      <c r="N528" s="71">
        <v>45712</v>
      </c>
      <c r="O528" s="71">
        <v>45712</v>
      </c>
      <c r="P528" s="70" t="str">
        <f ca="1">IF(Proc[[#This Row],[DaysAgeing]]&gt;5,"yep","on track")</f>
        <v>yep</v>
      </c>
      <c r="Q528" s="3">
        <f ca="1">IF(Proc[[#This Row],[DateClosed]]="",ABS(NETWORKDAYS(Proc[[#This Row],[DateOpened]],TODAY()))-1,ABS(NETWORKDAYS(Proc[[#This Row],[DateOpened]],Proc[[#This Row],[DateClosed]]))-1)</f>
        <v>6</v>
      </c>
      <c r="R528" s="70" t="s">
        <v>515</v>
      </c>
      <c r="S528" s="69"/>
    </row>
    <row r="529" spans="1:19" hidden="1">
      <c r="A529" s="68" t="s">
        <v>1843</v>
      </c>
      <c r="B529" s="149" t="str">
        <f>IFERROR(VLOOKUP(Proc[[#This Row],[App]],Table2[],3,0),"open")</f>
        <v>ok</v>
      </c>
      <c r="C529" s="68" t="s">
        <v>369</v>
      </c>
      <c r="D529" t="s">
        <v>1859</v>
      </c>
      <c r="E529" t="s">
        <v>1948</v>
      </c>
      <c r="F529" s="117" t="s">
        <v>1948</v>
      </c>
      <c r="G529" s="68" t="s">
        <v>406</v>
      </c>
      <c r="H529" s="69" t="str">
        <f>IF(Proc[[#This Row],[type]]="LFF (MDG-F)",MID(Proc[[#This Row],[Obj]],13,10),"")</f>
        <v>2123C00075</v>
      </c>
      <c r="J529" s="69" t="b">
        <f>Proc[[#This Row],[Requested]]=Proc[[#This Row],[CurrentParent]]</f>
        <v>1</v>
      </c>
      <c r="K529" s="144" t="str">
        <f>IF(Proc[[#This Row],[Author]]="Marcela Urrego",VLOOKUP(LEFT(Proc[[#This Row],[Requested]],1),Table3[#All],2,0),VLOOKUP(Proc[[#This Row],[Author]],Table4[],2,0))</f>
        <v>MGF</v>
      </c>
      <c r="L529" s="69" t="s">
        <v>509</v>
      </c>
      <c r="M529" s="71">
        <v>45702.63349537037</v>
      </c>
      <c r="N529" s="71">
        <v>45712</v>
      </c>
      <c r="O529" s="71">
        <v>45712</v>
      </c>
      <c r="P529" s="70" t="str">
        <f ca="1">IF(Proc[[#This Row],[DaysAgeing]]&gt;5,"yep","on track")</f>
        <v>yep</v>
      </c>
      <c r="Q529" s="3">
        <f ca="1">IF(Proc[[#This Row],[DateClosed]]="",ABS(NETWORKDAYS(Proc[[#This Row],[DateOpened]],TODAY()))-1,ABS(NETWORKDAYS(Proc[[#This Row],[DateOpened]],Proc[[#This Row],[DateClosed]]))-1)</f>
        <v>6</v>
      </c>
      <c r="R529" s="70" t="s">
        <v>515</v>
      </c>
      <c r="S529" s="69"/>
    </row>
    <row r="530" spans="1:19" hidden="1">
      <c r="A530" s="68" t="s">
        <v>1843</v>
      </c>
      <c r="B530" s="149" t="str">
        <f>IFERROR(VLOOKUP(Proc[[#This Row],[App]],Table2[],3,0),"open")</f>
        <v>ok</v>
      </c>
      <c r="C530" s="68" t="s">
        <v>369</v>
      </c>
      <c r="D530" t="s">
        <v>1860</v>
      </c>
      <c r="E530" t="s">
        <v>1950</v>
      </c>
      <c r="F530" s="117" t="s">
        <v>1950</v>
      </c>
      <c r="G530" s="68" t="s">
        <v>406</v>
      </c>
      <c r="H530" s="69" t="str">
        <f>IF(Proc[[#This Row],[type]]="LFF (MDG-F)",MID(Proc[[#This Row],[Obj]],13,10),"")</f>
        <v>2123C00094</v>
      </c>
      <c r="J530" s="69" t="b">
        <f>Proc[[#This Row],[Requested]]=Proc[[#This Row],[CurrentParent]]</f>
        <v>1</v>
      </c>
      <c r="K530" s="144" t="str">
        <f>IF(Proc[[#This Row],[Author]]="Marcela Urrego",VLOOKUP(LEFT(Proc[[#This Row],[Requested]],1),Table3[#All],2,0),VLOOKUP(Proc[[#This Row],[Author]],Table4[],2,0))</f>
        <v>MGF</v>
      </c>
      <c r="L530" s="69" t="s">
        <v>509</v>
      </c>
      <c r="M530" s="71">
        <v>45702.63349537037</v>
      </c>
      <c r="N530" s="71">
        <v>45712</v>
      </c>
      <c r="O530" s="71">
        <v>45712</v>
      </c>
      <c r="P530" s="70" t="str">
        <f ca="1">IF(Proc[[#This Row],[DaysAgeing]]&gt;5,"yep","on track")</f>
        <v>yep</v>
      </c>
      <c r="Q530" s="3">
        <f ca="1">IF(Proc[[#This Row],[DateClosed]]="",ABS(NETWORKDAYS(Proc[[#This Row],[DateOpened]],TODAY()))-1,ABS(NETWORKDAYS(Proc[[#This Row],[DateOpened]],Proc[[#This Row],[DateClosed]]))-1)</f>
        <v>6</v>
      </c>
      <c r="R530" s="70" t="s">
        <v>515</v>
      </c>
      <c r="S530" s="69"/>
    </row>
    <row r="531" spans="1:19" hidden="1">
      <c r="A531" s="68" t="s">
        <v>1843</v>
      </c>
      <c r="B531" s="149" t="str">
        <f>IFERROR(VLOOKUP(Proc[[#This Row],[App]],Table2[],3,0),"open")</f>
        <v>ok</v>
      </c>
      <c r="C531" s="68" t="s">
        <v>369</v>
      </c>
      <c r="D531" t="s">
        <v>1861</v>
      </c>
      <c r="E531" t="s">
        <v>1951</v>
      </c>
      <c r="F531" s="117" t="s">
        <v>1951</v>
      </c>
      <c r="G531" s="68" t="s">
        <v>406</v>
      </c>
      <c r="H531" s="69" t="str">
        <f>IF(Proc[[#This Row],[type]]="LFF (MDG-F)",MID(Proc[[#This Row],[Obj]],13,10),"")</f>
        <v>2123C00067</v>
      </c>
      <c r="J531" s="69" t="b">
        <f>Proc[[#This Row],[Requested]]=Proc[[#This Row],[CurrentParent]]</f>
        <v>1</v>
      </c>
      <c r="K531" s="144" t="str">
        <f>IF(Proc[[#This Row],[Author]]="Marcela Urrego",VLOOKUP(LEFT(Proc[[#This Row],[Requested]],1),Table3[#All],2,0),VLOOKUP(Proc[[#This Row],[Author]],Table4[],2,0))</f>
        <v>MGF</v>
      </c>
      <c r="L531" s="69" t="s">
        <v>509</v>
      </c>
      <c r="M531" s="71">
        <v>45702.63349537037</v>
      </c>
      <c r="N531" s="71">
        <v>45712</v>
      </c>
      <c r="O531" s="71">
        <v>45712</v>
      </c>
      <c r="P531" s="70" t="str">
        <f ca="1">IF(Proc[[#This Row],[DaysAgeing]]&gt;5,"yep","on track")</f>
        <v>yep</v>
      </c>
      <c r="Q531" s="3">
        <f ca="1">IF(Proc[[#This Row],[DateClosed]]="",ABS(NETWORKDAYS(Proc[[#This Row],[DateOpened]],TODAY()))-1,ABS(NETWORKDAYS(Proc[[#This Row],[DateOpened]],Proc[[#This Row],[DateClosed]]))-1)</f>
        <v>6</v>
      </c>
      <c r="R531" s="70" t="s">
        <v>515</v>
      </c>
      <c r="S531" s="69"/>
    </row>
    <row r="532" spans="1:19" hidden="1">
      <c r="A532" s="68" t="s">
        <v>1843</v>
      </c>
      <c r="B532" s="149" t="str">
        <f>IFERROR(VLOOKUP(Proc[[#This Row],[App]],Table2[],3,0),"open")</f>
        <v>ok</v>
      </c>
      <c r="C532" s="68" t="s">
        <v>369</v>
      </c>
      <c r="D532" t="s">
        <v>1862</v>
      </c>
      <c r="E532" t="s">
        <v>1951</v>
      </c>
      <c r="F532" s="117" t="s">
        <v>1951</v>
      </c>
      <c r="G532" s="68" t="s">
        <v>406</v>
      </c>
      <c r="H532" s="69" t="str">
        <f>IF(Proc[[#This Row],[type]]="LFF (MDG-F)",MID(Proc[[#This Row],[Obj]],13,10),"")</f>
        <v>2123CS0001</v>
      </c>
      <c r="J532" s="69" t="b">
        <f>Proc[[#This Row],[Requested]]=Proc[[#This Row],[CurrentParent]]</f>
        <v>1</v>
      </c>
      <c r="K532" s="144" t="str">
        <f>IF(Proc[[#This Row],[Author]]="Marcela Urrego",VLOOKUP(LEFT(Proc[[#This Row],[Requested]],1),Table3[#All],2,0),VLOOKUP(Proc[[#This Row],[Author]],Table4[],2,0))</f>
        <v>MGF</v>
      </c>
      <c r="L532" s="69" t="s">
        <v>509</v>
      </c>
      <c r="M532" s="71">
        <v>45702.63349537037</v>
      </c>
      <c r="N532" s="71">
        <v>45712</v>
      </c>
      <c r="O532" s="71">
        <v>45712</v>
      </c>
      <c r="P532" s="70" t="str">
        <f ca="1">IF(Proc[[#This Row],[DaysAgeing]]&gt;5,"yep","on track")</f>
        <v>yep</v>
      </c>
      <c r="Q532" s="3">
        <f ca="1">IF(Proc[[#This Row],[DateClosed]]="",ABS(NETWORKDAYS(Proc[[#This Row],[DateOpened]],TODAY()))-1,ABS(NETWORKDAYS(Proc[[#This Row],[DateOpened]],Proc[[#This Row],[DateClosed]]))-1)</f>
        <v>6</v>
      </c>
      <c r="R532" s="70" t="s">
        <v>515</v>
      </c>
      <c r="S532" s="69"/>
    </row>
    <row r="533" spans="1:19" hidden="1">
      <c r="A533" s="68" t="s">
        <v>1843</v>
      </c>
      <c r="B533" s="149" t="str">
        <f>IFERROR(VLOOKUP(Proc[[#This Row],[App]],Table2[],3,0),"open")</f>
        <v>ok</v>
      </c>
      <c r="C533" s="68" t="s">
        <v>369</v>
      </c>
      <c r="D533" t="s">
        <v>1863</v>
      </c>
      <c r="E533" t="s">
        <v>1951</v>
      </c>
      <c r="F533" s="117" t="s">
        <v>1951</v>
      </c>
      <c r="G533" s="68" t="s">
        <v>406</v>
      </c>
      <c r="H533" s="69" t="str">
        <f>IF(Proc[[#This Row],[type]]="LFF (MDG-F)",MID(Proc[[#This Row],[Obj]],13,10),"")</f>
        <v>2123CS0003</v>
      </c>
      <c r="J533" s="69" t="b">
        <f>Proc[[#This Row],[Requested]]=Proc[[#This Row],[CurrentParent]]</f>
        <v>1</v>
      </c>
      <c r="K533" s="144" t="str">
        <f>IF(Proc[[#This Row],[Author]]="Marcela Urrego",VLOOKUP(LEFT(Proc[[#This Row],[Requested]],1),Table3[#All],2,0),VLOOKUP(Proc[[#This Row],[Author]],Table4[],2,0))</f>
        <v>MGF</v>
      </c>
      <c r="L533" s="69" t="s">
        <v>509</v>
      </c>
      <c r="M533" s="71">
        <v>45702.63349537037</v>
      </c>
      <c r="N533" s="71">
        <v>45712</v>
      </c>
      <c r="O533" s="71">
        <v>45712</v>
      </c>
      <c r="P533" s="70" t="str">
        <f ca="1">IF(Proc[[#This Row],[DaysAgeing]]&gt;5,"yep","on track")</f>
        <v>yep</v>
      </c>
      <c r="Q533" s="3">
        <f ca="1">IF(Proc[[#This Row],[DateClosed]]="",ABS(NETWORKDAYS(Proc[[#This Row],[DateOpened]],TODAY()))-1,ABS(NETWORKDAYS(Proc[[#This Row],[DateOpened]],Proc[[#This Row],[DateClosed]]))-1)</f>
        <v>6</v>
      </c>
      <c r="R533" s="70" t="s">
        <v>515</v>
      </c>
      <c r="S533" s="69"/>
    </row>
    <row r="534" spans="1:19" hidden="1">
      <c r="A534" s="68" t="s">
        <v>1843</v>
      </c>
      <c r="B534" s="149" t="str">
        <f>IFERROR(VLOOKUP(Proc[[#This Row],[App]],Table2[],3,0),"open")</f>
        <v>ok</v>
      </c>
      <c r="C534" s="68" t="s">
        <v>369</v>
      </c>
      <c r="D534" t="s">
        <v>1864</v>
      </c>
      <c r="E534" t="s">
        <v>1951</v>
      </c>
      <c r="F534" s="117" t="s">
        <v>1951</v>
      </c>
      <c r="G534" s="68" t="s">
        <v>406</v>
      </c>
      <c r="H534" s="69" t="str">
        <f>IF(Proc[[#This Row],[type]]="LFF (MDG-F)",MID(Proc[[#This Row],[Obj]],13,10),"")</f>
        <v>2123CS0057</v>
      </c>
      <c r="J534" s="69" t="b">
        <f>Proc[[#This Row],[Requested]]=Proc[[#This Row],[CurrentParent]]</f>
        <v>1</v>
      </c>
      <c r="K534" s="144" t="str">
        <f>IF(Proc[[#This Row],[Author]]="Marcela Urrego",VLOOKUP(LEFT(Proc[[#This Row],[Requested]],1),Table3[#All],2,0),VLOOKUP(Proc[[#This Row],[Author]],Table4[],2,0))</f>
        <v>MGF</v>
      </c>
      <c r="L534" s="69" t="s">
        <v>509</v>
      </c>
      <c r="M534" s="71">
        <v>45702.63349537037</v>
      </c>
      <c r="N534" s="71">
        <v>45712</v>
      </c>
      <c r="O534" s="71">
        <v>45712</v>
      </c>
      <c r="P534" s="70" t="str">
        <f ca="1">IF(Proc[[#This Row],[DaysAgeing]]&gt;5,"yep","on track")</f>
        <v>yep</v>
      </c>
      <c r="Q534" s="3">
        <f ca="1">IF(Proc[[#This Row],[DateClosed]]="",ABS(NETWORKDAYS(Proc[[#This Row],[DateOpened]],TODAY()))-1,ABS(NETWORKDAYS(Proc[[#This Row],[DateOpened]],Proc[[#This Row],[DateClosed]]))-1)</f>
        <v>6</v>
      </c>
      <c r="R534" s="70" t="s">
        <v>515</v>
      </c>
      <c r="S534" s="69"/>
    </row>
    <row r="535" spans="1:19" hidden="1">
      <c r="A535" s="68" t="s">
        <v>1843</v>
      </c>
      <c r="B535" s="149" t="str">
        <f>IFERROR(VLOOKUP(Proc[[#This Row],[App]],Table2[],3,0),"open")</f>
        <v>ok</v>
      </c>
      <c r="C535" s="68" t="s">
        <v>369</v>
      </c>
      <c r="D535" t="s">
        <v>1865</v>
      </c>
      <c r="E535" t="s">
        <v>1951</v>
      </c>
      <c r="F535" s="117" t="s">
        <v>1951</v>
      </c>
      <c r="G535" s="68" t="s">
        <v>406</v>
      </c>
      <c r="H535" s="69" t="str">
        <f>IF(Proc[[#This Row],[type]]="LFF (MDG-F)",MID(Proc[[#This Row],[Obj]],13,10),"")</f>
        <v>2123R00007</v>
      </c>
      <c r="J535" s="69" t="b">
        <f>Proc[[#This Row],[Requested]]=Proc[[#This Row],[CurrentParent]]</f>
        <v>1</v>
      </c>
      <c r="K535" s="144" t="str">
        <f>IF(Proc[[#This Row],[Author]]="Marcela Urrego",VLOOKUP(LEFT(Proc[[#This Row],[Requested]],1),Table3[#All],2,0),VLOOKUP(Proc[[#This Row],[Author]],Table4[],2,0))</f>
        <v>MGF</v>
      </c>
      <c r="L535" s="69" t="s">
        <v>509</v>
      </c>
      <c r="M535" s="71">
        <v>45702.63349537037</v>
      </c>
      <c r="N535" s="71">
        <v>45712</v>
      </c>
      <c r="O535" s="71">
        <v>45712</v>
      </c>
      <c r="P535" s="70" t="str">
        <f ca="1">IF(Proc[[#This Row],[DaysAgeing]]&gt;5,"yep","on track")</f>
        <v>yep</v>
      </c>
      <c r="Q535" s="3">
        <f ca="1">IF(Proc[[#This Row],[DateClosed]]="",ABS(NETWORKDAYS(Proc[[#This Row],[DateOpened]],TODAY()))-1,ABS(NETWORKDAYS(Proc[[#This Row],[DateOpened]],Proc[[#This Row],[DateClosed]]))-1)</f>
        <v>6</v>
      </c>
      <c r="R535" s="70" t="s">
        <v>515</v>
      </c>
      <c r="S535" s="69"/>
    </row>
    <row r="536" spans="1:19" hidden="1">
      <c r="A536" s="68" t="s">
        <v>1843</v>
      </c>
      <c r="B536" s="149" t="str">
        <f>IFERROR(VLOOKUP(Proc[[#This Row],[App]],Table2[],3,0),"open")</f>
        <v>ok</v>
      </c>
      <c r="C536" s="68" t="s">
        <v>369</v>
      </c>
      <c r="D536" t="s">
        <v>1866</v>
      </c>
      <c r="E536" t="s">
        <v>1952</v>
      </c>
      <c r="F536" s="117" t="s">
        <v>1952</v>
      </c>
      <c r="G536" s="68" t="s">
        <v>406</v>
      </c>
      <c r="H536" s="69" t="str">
        <f>IF(Proc[[#This Row],[type]]="LFF (MDG-F)",MID(Proc[[#This Row],[Obj]],13,10),"")</f>
        <v>2123C00023</v>
      </c>
      <c r="J536" s="69" t="b">
        <f>Proc[[#This Row],[Requested]]=Proc[[#This Row],[CurrentParent]]</f>
        <v>1</v>
      </c>
      <c r="K536" s="144" t="str">
        <f>IF(Proc[[#This Row],[Author]]="Marcela Urrego",VLOOKUP(LEFT(Proc[[#This Row],[Requested]],1),Table3[#All],2,0),VLOOKUP(Proc[[#This Row],[Author]],Table4[],2,0))</f>
        <v>MGF</v>
      </c>
      <c r="L536" s="69" t="s">
        <v>509</v>
      </c>
      <c r="M536" s="71">
        <v>45702.63349537037</v>
      </c>
      <c r="N536" s="71">
        <v>45712</v>
      </c>
      <c r="O536" s="71">
        <v>45712</v>
      </c>
      <c r="P536" s="70" t="str">
        <f ca="1">IF(Proc[[#This Row],[DaysAgeing]]&gt;5,"yep","on track")</f>
        <v>yep</v>
      </c>
      <c r="Q536" s="3">
        <f ca="1">IF(Proc[[#This Row],[DateClosed]]="",ABS(NETWORKDAYS(Proc[[#This Row],[DateOpened]],TODAY()))-1,ABS(NETWORKDAYS(Proc[[#This Row],[DateOpened]],Proc[[#This Row],[DateClosed]]))-1)</f>
        <v>6</v>
      </c>
      <c r="R536" s="70" t="s">
        <v>515</v>
      </c>
      <c r="S536" s="69"/>
    </row>
    <row r="537" spans="1:19" hidden="1">
      <c r="A537" s="68" t="s">
        <v>1843</v>
      </c>
      <c r="B537" s="149" t="str">
        <f>IFERROR(VLOOKUP(Proc[[#This Row],[App]],Table2[],3,0),"open")</f>
        <v>ok</v>
      </c>
      <c r="C537" s="68" t="s">
        <v>369</v>
      </c>
      <c r="D537" t="s">
        <v>1867</v>
      </c>
      <c r="E537" t="s">
        <v>1952</v>
      </c>
      <c r="F537" s="117" t="s">
        <v>1952</v>
      </c>
      <c r="G537" s="68" t="s">
        <v>406</v>
      </c>
      <c r="H537" s="69" t="str">
        <f>IF(Proc[[#This Row],[type]]="LFF (MDG-F)",MID(Proc[[#This Row],[Obj]],13,10),"")</f>
        <v>2123C00029</v>
      </c>
      <c r="J537" s="69" t="b">
        <f>Proc[[#This Row],[Requested]]=Proc[[#This Row],[CurrentParent]]</f>
        <v>1</v>
      </c>
      <c r="K537" s="144" t="str">
        <f>IF(Proc[[#This Row],[Author]]="Marcela Urrego",VLOOKUP(LEFT(Proc[[#This Row],[Requested]],1),Table3[#All],2,0),VLOOKUP(Proc[[#This Row],[Author]],Table4[],2,0))</f>
        <v>MGF</v>
      </c>
      <c r="L537" s="69" t="s">
        <v>509</v>
      </c>
      <c r="M537" s="71">
        <v>45702.63349537037</v>
      </c>
      <c r="N537" s="71">
        <v>45712</v>
      </c>
      <c r="O537" s="71">
        <v>45712</v>
      </c>
      <c r="P537" s="70" t="str">
        <f ca="1">IF(Proc[[#This Row],[DaysAgeing]]&gt;5,"yep","on track")</f>
        <v>yep</v>
      </c>
      <c r="Q537" s="3">
        <f ca="1">IF(Proc[[#This Row],[DateClosed]]="",ABS(NETWORKDAYS(Proc[[#This Row],[DateOpened]],TODAY()))-1,ABS(NETWORKDAYS(Proc[[#This Row],[DateOpened]],Proc[[#This Row],[DateClosed]]))-1)</f>
        <v>6</v>
      </c>
      <c r="R537" s="70" t="s">
        <v>515</v>
      </c>
      <c r="S537" s="69"/>
    </row>
    <row r="538" spans="1:19" hidden="1">
      <c r="A538" s="68" t="s">
        <v>1843</v>
      </c>
      <c r="B538" s="149" t="str">
        <f>IFERROR(VLOOKUP(Proc[[#This Row],[App]],Table2[],3,0),"open")</f>
        <v>ok</v>
      </c>
      <c r="C538" s="68" t="s">
        <v>369</v>
      </c>
      <c r="D538" t="s">
        <v>1868</v>
      </c>
      <c r="E538" t="s">
        <v>1952</v>
      </c>
      <c r="F538" s="117" t="s">
        <v>1952</v>
      </c>
      <c r="G538" s="68" t="s">
        <v>406</v>
      </c>
      <c r="H538" s="69" t="str">
        <f>IF(Proc[[#This Row],[type]]="LFF (MDG-F)",MID(Proc[[#This Row],[Obj]],13,10),"")</f>
        <v>2123C08497</v>
      </c>
      <c r="J538" s="69" t="b">
        <f>Proc[[#This Row],[Requested]]=Proc[[#This Row],[CurrentParent]]</f>
        <v>1</v>
      </c>
      <c r="K538" s="144" t="str">
        <f>IF(Proc[[#This Row],[Author]]="Marcela Urrego",VLOOKUP(LEFT(Proc[[#This Row],[Requested]],1),Table3[#All],2,0),VLOOKUP(Proc[[#This Row],[Author]],Table4[],2,0))</f>
        <v>MGF</v>
      </c>
      <c r="L538" s="69" t="s">
        <v>509</v>
      </c>
      <c r="M538" s="71">
        <v>45702.63349537037</v>
      </c>
      <c r="N538" s="71">
        <v>45712</v>
      </c>
      <c r="O538" s="71">
        <v>45712</v>
      </c>
      <c r="P538" s="70" t="str">
        <f ca="1">IF(Proc[[#This Row],[DaysAgeing]]&gt;5,"yep","on track")</f>
        <v>yep</v>
      </c>
      <c r="Q538" s="3">
        <f ca="1">IF(Proc[[#This Row],[DateClosed]]="",ABS(NETWORKDAYS(Proc[[#This Row],[DateOpened]],TODAY()))-1,ABS(NETWORKDAYS(Proc[[#This Row],[DateOpened]],Proc[[#This Row],[DateClosed]]))-1)</f>
        <v>6</v>
      </c>
      <c r="R538" s="70" t="s">
        <v>515</v>
      </c>
      <c r="S538" s="69"/>
    </row>
    <row r="539" spans="1:19" hidden="1">
      <c r="A539" s="68" t="s">
        <v>1843</v>
      </c>
      <c r="B539" s="149" t="str">
        <f>IFERROR(VLOOKUP(Proc[[#This Row],[App]],Table2[],3,0),"open")</f>
        <v>ok</v>
      </c>
      <c r="C539" s="68" t="s">
        <v>369</v>
      </c>
      <c r="D539" t="s">
        <v>1869</v>
      </c>
      <c r="E539" t="s">
        <v>1952</v>
      </c>
      <c r="F539" s="117" t="s">
        <v>1952</v>
      </c>
      <c r="G539" s="68" t="s">
        <v>406</v>
      </c>
      <c r="H539" s="69" t="str">
        <f>IF(Proc[[#This Row],[type]]="LFF (MDG-F)",MID(Proc[[#This Row],[Obj]],13,10),"")</f>
        <v>2123C08528</v>
      </c>
      <c r="J539" s="69" t="b">
        <f>Proc[[#This Row],[Requested]]=Proc[[#This Row],[CurrentParent]]</f>
        <v>1</v>
      </c>
      <c r="K539" s="144" t="str">
        <f>IF(Proc[[#This Row],[Author]]="Marcela Urrego",VLOOKUP(LEFT(Proc[[#This Row],[Requested]],1),Table3[#All],2,0),VLOOKUP(Proc[[#This Row],[Author]],Table4[],2,0))</f>
        <v>MGF</v>
      </c>
      <c r="L539" s="69" t="s">
        <v>509</v>
      </c>
      <c r="M539" s="71">
        <v>45702.63349537037</v>
      </c>
      <c r="N539" s="71">
        <v>45712</v>
      </c>
      <c r="O539" s="71">
        <v>45712</v>
      </c>
      <c r="P539" s="70" t="str">
        <f ca="1">IF(Proc[[#This Row],[DaysAgeing]]&gt;5,"yep","on track")</f>
        <v>yep</v>
      </c>
      <c r="Q539" s="3">
        <f ca="1">IF(Proc[[#This Row],[DateClosed]]="",ABS(NETWORKDAYS(Proc[[#This Row],[DateOpened]],TODAY()))-1,ABS(NETWORKDAYS(Proc[[#This Row],[DateOpened]],Proc[[#This Row],[DateClosed]]))-1)</f>
        <v>6</v>
      </c>
      <c r="R539" s="70" t="s">
        <v>515</v>
      </c>
      <c r="S539" s="69"/>
    </row>
    <row r="540" spans="1:19" hidden="1">
      <c r="A540" s="68" t="s">
        <v>1843</v>
      </c>
      <c r="B540" s="149" t="str">
        <f>IFERROR(VLOOKUP(Proc[[#This Row],[App]],Table2[],3,0),"open")</f>
        <v>ok</v>
      </c>
      <c r="C540" s="68" t="s">
        <v>377</v>
      </c>
      <c r="D540" t="s">
        <v>1870</v>
      </c>
      <c r="E540" t="s">
        <v>1952</v>
      </c>
      <c r="F540" s="103" t="s">
        <v>1952</v>
      </c>
      <c r="G540" t="s">
        <v>400</v>
      </c>
      <c r="H540" s="69" t="str">
        <f>IF(Proc[[#This Row],[type]]="LFF (MDG-F)",MID(Proc[[#This Row],[Obj]],13,10),"")</f>
        <v/>
      </c>
      <c r="I540" t="s">
        <v>1975</v>
      </c>
      <c r="J540" s="69" t="b">
        <f>Proc[[#This Row],[Requested]]=Proc[[#This Row],[CurrentParent]]</f>
        <v>1</v>
      </c>
      <c r="K540" s="144" t="str">
        <f>IF(Proc[[#This Row],[Author]]="Marcela Urrego",VLOOKUP(LEFT(Proc[[#This Row],[Requested]],1),Table3[#All],2,0),VLOOKUP(Proc[[#This Row],[Author]],Table4[],2,0))</f>
        <v>MGF</v>
      </c>
      <c r="L540" s="69" t="s">
        <v>509</v>
      </c>
      <c r="M540" s="71">
        <v>45702.63349537037</v>
      </c>
      <c r="N540" s="71">
        <v>45712</v>
      </c>
      <c r="O540" s="71">
        <v>45712</v>
      </c>
      <c r="P540" s="70" t="str">
        <f ca="1">IF(Proc[[#This Row],[DaysAgeing]]&gt;5,"yep","on track")</f>
        <v>yep</v>
      </c>
      <c r="Q540" s="3">
        <f ca="1">IF(Proc[[#This Row],[DateClosed]]="",ABS(NETWORKDAYS(Proc[[#This Row],[DateOpened]],TODAY()))-1,ABS(NETWORKDAYS(Proc[[#This Row],[DateOpened]],Proc[[#This Row],[DateClosed]]))-1)</f>
        <v>6</v>
      </c>
      <c r="R540" s="70" t="s">
        <v>515</v>
      </c>
      <c r="S540" s="94" t="e">
        <f>VLOOKUP(Proc[[#This Row],[Obj]],#REF!,2,0)</f>
        <v>#REF!</v>
      </c>
    </row>
    <row r="541" spans="1:19" hidden="1">
      <c r="A541" s="68" t="s">
        <v>1843</v>
      </c>
      <c r="B541" s="149" t="str">
        <f>IFERROR(VLOOKUP(Proc[[#This Row],[App]],Table2[],3,0),"open")</f>
        <v>ok</v>
      </c>
      <c r="C541" s="68" t="s">
        <v>369</v>
      </c>
      <c r="D541" t="s">
        <v>1871</v>
      </c>
      <c r="E541" t="s">
        <v>1952</v>
      </c>
      <c r="F541" s="117" t="s">
        <v>1952</v>
      </c>
      <c r="G541" s="68" t="s">
        <v>400</v>
      </c>
      <c r="H541" s="69" t="str">
        <f>IF(Proc[[#This Row],[type]]="LFF (MDG-F)",MID(Proc[[#This Row],[Obj]],13,10),"")</f>
        <v/>
      </c>
      <c r="J541" s="69" t="b">
        <f>Proc[[#This Row],[Requested]]=Proc[[#This Row],[CurrentParent]]</f>
        <v>1</v>
      </c>
      <c r="K541" s="144" t="str">
        <f>IF(Proc[[#This Row],[Author]]="Marcela Urrego",VLOOKUP(LEFT(Proc[[#This Row],[Requested]],1),Table3[#All],2,0),VLOOKUP(Proc[[#This Row],[Author]],Table4[],2,0))</f>
        <v>MGF</v>
      </c>
      <c r="L541" s="69" t="s">
        <v>509</v>
      </c>
      <c r="M541" s="71">
        <v>45702.63349537037</v>
      </c>
      <c r="N541" s="71">
        <v>45712</v>
      </c>
      <c r="O541" s="71">
        <v>45712</v>
      </c>
      <c r="P541" s="70" t="str">
        <f ca="1">IF(Proc[[#This Row],[DaysAgeing]]&gt;5,"yep","on track")</f>
        <v>yep</v>
      </c>
      <c r="Q541" s="3">
        <f ca="1">IF(Proc[[#This Row],[DateClosed]]="",ABS(NETWORKDAYS(Proc[[#This Row],[DateOpened]],TODAY()))-1,ABS(NETWORKDAYS(Proc[[#This Row],[DateOpened]],Proc[[#This Row],[DateClosed]]))-1)</f>
        <v>6</v>
      </c>
      <c r="R541" s="70" t="s">
        <v>515</v>
      </c>
      <c r="S541" s="69"/>
    </row>
    <row r="542" spans="1:19" hidden="1">
      <c r="A542" s="68" t="s">
        <v>1843</v>
      </c>
      <c r="B542" s="149" t="str">
        <f>IFERROR(VLOOKUP(Proc[[#This Row],[App]],Table2[],3,0),"open")</f>
        <v>ok</v>
      </c>
      <c r="C542" s="68" t="s">
        <v>369</v>
      </c>
      <c r="D542" t="s">
        <v>1872</v>
      </c>
      <c r="E542" t="s">
        <v>1953</v>
      </c>
      <c r="F542" s="117" t="s">
        <v>1953</v>
      </c>
      <c r="G542" s="68" t="s">
        <v>406</v>
      </c>
      <c r="H542" s="69" t="str">
        <f>IF(Proc[[#This Row],[type]]="LFF (MDG-F)",MID(Proc[[#This Row],[Obj]],13,10),"")</f>
        <v>2123C00031</v>
      </c>
      <c r="J542" s="69" t="b">
        <f>Proc[[#This Row],[Requested]]=Proc[[#This Row],[CurrentParent]]</f>
        <v>1</v>
      </c>
      <c r="K542" s="144" t="str">
        <f>IF(Proc[[#This Row],[Author]]="Marcela Urrego",VLOOKUP(LEFT(Proc[[#This Row],[Requested]],1),Table3[#All],2,0),VLOOKUP(Proc[[#This Row],[Author]],Table4[],2,0))</f>
        <v>MGF</v>
      </c>
      <c r="L542" s="69" t="s">
        <v>509</v>
      </c>
      <c r="M542" s="71">
        <v>45702.63349537037</v>
      </c>
      <c r="N542" s="71">
        <v>45712</v>
      </c>
      <c r="O542" s="71">
        <v>45712</v>
      </c>
      <c r="P542" s="70" t="str">
        <f ca="1">IF(Proc[[#This Row],[DaysAgeing]]&gt;5,"yep","on track")</f>
        <v>yep</v>
      </c>
      <c r="Q542" s="3">
        <f ca="1">IF(Proc[[#This Row],[DateClosed]]="",ABS(NETWORKDAYS(Proc[[#This Row],[DateOpened]],TODAY()))-1,ABS(NETWORKDAYS(Proc[[#This Row],[DateOpened]],Proc[[#This Row],[DateClosed]]))-1)</f>
        <v>6</v>
      </c>
      <c r="R542" s="70" t="s">
        <v>515</v>
      </c>
      <c r="S542" s="69"/>
    </row>
    <row r="543" spans="1:19" hidden="1">
      <c r="A543" s="68" t="s">
        <v>1843</v>
      </c>
      <c r="B543" s="149" t="str">
        <f>IFERROR(VLOOKUP(Proc[[#This Row],[App]],Table2[],3,0),"open")</f>
        <v>ok</v>
      </c>
      <c r="C543" s="68" t="s">
        <v>369</v>
      </c>
      <c r="D543" t="s">
        <v>1873</v>
      </c>
      <c r="E543" t="s">
        <v>1953</v>
      </c>
      <c r="F543" s="117" t="s">
        <v>1953</v>
      </c>
      <c r="G543" s="68" t="s">
        <v>406</v>
      </c>
      <c r="H543" s="69" t="str">
        <f>IF(Proc[[#This Row],[type]]="LFF (MDG-F)",MID(Proc[[#This Row],[Obj]],13,10),"")</f>
        <v>2123C00033</v>
      </c>
      <c r="J543" s="69" t="b">
        <f>Proc[[#This Row],[Requested]]=Proc[[#This Row],[CurrentParent]]</f>
        <v>1</v>
      </c>
      <c r="K543" s="144" t="str">
        <f>IF(Proc[[#This Row],[Author]]="Marcela Urrego",VLOOKUP(LEFT(Proc[[#This Row],[Requested]],1),Table3[#All],2,0),VLOOKUP(Proc[[#This Row],[Author]],Table4[],2,0))</f>
        <v>MGF</v>
      </c>
      <c r="L543" s="69" t="s">
        <v>509</v>
      </c>
      <c r="M543" s="71">
        <v>45702.63349537037</v>
      </c>
      <c r="N543" s="71">
        <v>45712</v>
      </c>
      <c r="O543" s="71">
        <v>45712</v>
      </c>
      <c r="P543" s="70" t="str">
        <f ca="1">IF(Proc[[#This Row],[DaysAgeing]]&gt;5,"yep","on track")</f>
        <v>yep</v>
      </c>
      <c r="Q543" s="3">
        <f ca="1">IF(Proc[[#This Row],[DateClosed]]="",ABS(NETWORKDAYS(Proc[[#This Row],[DateOpened]],TODAY()))-1,ABS(NETWORKDAYS(Proc[[#This Row],[DateOpened]],Proc[[#This Row],[DateClosed]]))-1)</f>
        <v>6</v>
      </c>
      <c r="R543" s="70" t="s">
        <v>515</v>
      </c>
      <c r="S543" s="69"/>
    </row>
    <row r="544" spans="1:19" hidden="1">
      <c r="A544" s="68" t="s">
        <v>1843</v>
      </c>
      <c r="B544" s="149" t="str">
        <f>IFERROR(VLOOKUP(Proc[[#This Row],[App]],Table2[],3,0),"open")</f>
        <v>ok</v>
      </c>
      <c r="C544" s="68" t="s">
        <v>369</v>
      </c>
      <c r="D544" t="s">
        <v>1874</v>
      </c>
      <c r="E544" t="s">
        <v>1953</v>
      </c>
      <c r="F544" s="117" t="s">
        <v>1953</v>
      </c>
      <c r="G544" s="68" t="s">
        <v>406</v>
      </c>
      <c r="H544" s="69" t="str">
        <f>IF(Proc[[#This Row],[type]]="LFF (MDG-F)",MID(Proc[[#This Row],[Obj]],13,10),"")</f>
        <v>2123C00034</v>
      </c>
      <c r="J544" s="69" t="b">
        <f>Proc[[#This Row],[Requested]]=Proc[[#This Row],[CurrentParent]]</f>
        <v>1</v>
      </c>
      <c r="K544" s="144" t="str">
        <f>IF(Proc[[#This Row],[Author]]="Marcela Urrego",VLOOKUP(LEFT(Proc[[#This Row],[Requested]],1),Table3[#All],2,0),VLOOKUP(Proc[[#This Row],[Author]],Table4[],2,0))</f>
        <v>MGF</v>
      </c>
      <c r="L544" s="69" t="s">
        <v>509</v>
      </c>
      <c r="M544" s="71">
        <v>45702.63349537037</v>
      </c>
      <c r="N544" s="71">
        <v>45712</v>
      </c>
      <c r="O544" s="71">
        <v>45712</v>
      </c>
      <c r="P544" s="70" t="str">
        <f ca="1">IF(Proc[[#This Row],[DaysAgeing]]&gt;5,"yep","on track")</f>
        <v>yep</v>
      </c>
      <c r="Q544" s="3">
        <f ca="1">IF(Proc[[#This Row],[DateClosed]]="",ABS(NETWORKDAYS(Proc[[#This Row],[DateOpened]],TODAY()))-1,ABS(NETWORKDAYS(Proc[[#This Row],[DateOpened]],Proc[[#This Row],[DateClosed]]))-1)</f>
        <v>6</v>
      </c>
      <c r="R544" s="70" t="s">
        <v>515</v>
      </c>
      <c r="S544" s="69"/>
    </row>
    <row r="545" spans="1:19" hidden="1">
      <c r="A545" s="68" t="s">
        <v>1843</v>
      </c>
      <c r="B545" s="149" t="str">
        <f>IFERROR(VLOOKUP(Proc[[#This Row],[App]],Table2[],3,0),"open")</f>
        <v>ok</v>
      </c>
      <c r="C545" s="68" t="s">
        <v>369</v>
      </c>
      <c r="D545" t="s">
        <v>1875</v>
      </c>
      <c r="E545" t="s">
        <v>1953</v>
      </c>
      <c r="F545" s="117" t="s">
        <v>1953</v>
      </c>
      <c r="G545" s="68" t="s">
        <v>406</v>
      </c>
      <c r="H545" s="69" t="str">
        <f>IF(Proc[[#This Row],[type]]="LFF (MDG-F)",MID(Proc[[#This Row],[Obj]],13,10),"")</f>
        <v>2123C00062</v>
      </c>
      <c r="J545" s="69" t="b">
        <f>Proc[[#This Row],[Requested]]=Proc[[#This Row],[CurrentParent]]</f>
        <v>1</v>
      </c>
      <c r="K545" s="144" t="str">
        <f>IF(Proc[[#This Row],[Author]]="Marcela Urrego",VLOOKUP(LEFT(Proc[[#This Row],[Requested]],1),Table3[#All],2,0),VLOOKUP(Proc[[#This Row],[Author]],Table4[],2,0))</f>
        <v>MGF</v>
      </c>
      <c r="L545" s="69" t="s">
        <v>509</v>
      </c>
      <c r="M545" s="71">
        <v>45702.63349537037</v>
      </c>
      <c r="N545" s="71">
        <v>45712</v>
      </c>
      <c r="O545" s="71">
        <v>45712</v>
      </c>
      <c r="P545" s="70" t="str">
        <f ca="1">IF(Proc[[#This Row],[DaysAgeing]]&gt;5,"yep","on track")</f>
        <v>yep</v>
      </c>
      <c r="Q545" s="3">
        <f ca="1">IF(Proc[[#This Row],[DateClosed]]="",ABS(NETWORKDAYS(Proc[[#This Row],[DateOpened]],TODAY()))-1,ABS(NETWORKDAYS(Proc[[#This Row],[DateOpened]],Proc[[#This Row],[DateClosed]]))-1)</f>
        <v>6</v>
      </c>
      <c r="R545" s="70" t="s">
        <v>515</v>
      </c>
      <c r="S545" s="69"/>
    </row>
    <row r="546" spans="1:19" hidden="1">
      <c r="A546" s="68" t="s">
        <v>1843</v>
      </c>
      <c r="B546" s="149" t="str">
        <f>IFERROR(VLOOKUP(Proc[[#This Row],[App]],Table2[],3,0),"open")</f>
        <v>ok</v>
      </c>
      <c r="C546" s="68" t="s">
        <v>369</v>
      </c>
      <c r="D546" t="s">
        <v>1876</v>
      </c>
      <c r="E546" t="s">
        <v>1953</v>
      </c>
      <c r="F546" s="117" t="s">
        <v>1953</v>
      </c>
      <c r="G546" s="68" t="s">
        <v>406</v>
      </c>
      <c r="H546" s="69" t="str">
        <f>IF(Proc[[#This Row],[type]]="LFF (MDG-F)",MID(Proc[[#This Row],[Obj]],13,10),"")</f>
        <v>2123C00072</v>
      </c>
      <c r="J546" s="69" t="b">
        <f>Proc[[#This Row],[Requested]]=Proc[[#This Row],[CurrentParent]]</f>
        <v>1</v>
      </c>
      <c r="K546" s="144" t="str">
        <f>IF(Proc[[#This Row],[Author]]="Marcela Urrego",VLOOKUP(LEFT(Proc[[#This Row],[Requested]],1),Table3[#All],2,0),VLOOKUP(Proc[[#This Row],[Author]],Table4[],2,0))</f>
        <v>MGF</v>
      </c>
      <c r="L546" s="69" t="s">
        <v>509</v>
      </c>
      <c r="M546" s="71">
        <v>45702.63349537037</v>
      </c>
      <c r="N546" s="71">
        <v>45712</v>
      </c>
      <c r="O546" s="71">
        <v>45712</v>
      </c>
      <c r="P546" s="70" t="str">
        <f ca="1">IF(Proc[[#This Row],[DaysAgeing]]&gt;5,"yep","on track")</f>
        <v>yep</v>
      </c>
      <c r="Q546" s="3">
        <f ca="1">IF(Proc[[#This Row],[DateClosed]]="",ABS(NETWORKDAYS(Proc[[#This Row],[DateOpened]],TODAY()))-1,ABS(NETWORKDAYS(Proc[[#This Row],[DateOpened]],Proc[[#This Row],[DateClosed]]))-1)</f>
        <v>6</v>
      </c>
      <c r="R546" s="70" t="s">
        <v>515</v>
      </c>
      <c r="S546" s="69"/>
    </row>
    <row r="547" spans="1:19" hidden="1">
      <c r="A547" s="68" t="s">
        <v>1843</v>
      </c>
      <c r="B547" s="149" t="str">
        <f>IFERROR(VLOOKUP(Proc[[#This Row],[App]],Table2[],3,0),"open")</f>
        <v>ok</v>
      </c>
      <c r="C547" s="68" t="s">
        <v>369</v>
      </c>
      <c r="D547" t="s">
        <v>1877</v>
      </c>
      <c r="E547" t="s">
        <v>1953</v>
      </c>
      <c r="F547" s="117" t="s">
        <v>1953</v>
      </c>
      <c r="G547" s="68" t="s">
        <v>406</v>
      </c>
      <c r="H547" s="69" t="str">
        <f>IF(Proc[[#This Row],[type]]="LFF (MDG-F)",MID(Proc[[#This Row],[Obj]],13,10),"")</f>
        <v>2123C00142</v>
      </c>
      <c r="J547" s="69" t="b">
        <f>Proc[[#This Row],[Requested]]=Proc[[#This Row],[CurrentParent]]</f>
        <v>1</v>
      </c>
      <c r="K547" s="144" t="str">
        <f>IF(Proc[[#This Row],[Author]]="Marcela Urrego",VLOOKUP(LEFT(Proc[[#This Row],[Requested]],1),Table3[#All],2,0),VLOOKUP(Proc[[#This Row],[Author]],Table4[],2,0))</f>
        <v>MGF</v>
      </c>
      <c r="L547" s="69" t="s">
        <v>509</v>
      </c>
      <c r="M547" s="71">
        <v>45702.63349537037</v>
      </c>
      <c r="N547" s="71">
        <v>45712</v>
      </c>
      <c r="O547" s="71">
        <v>45712</v>
      </c>
      <c r="P547" s="70" t="str">
        <f ca="1">IF(Proc[[#This Row],[DaysAgeing]]&gt;5,"yep","on track")</f>
        <v>yep</v>
      </c>
      <c r="Q547" s="3">
        <f ca="1">IF(Proc[[#This Row],[DateClosed]]="",ABS(NETWORKDAYS(Proc[[#This Row],[DateOpened]],TODAY()))-1,ABS(NETWORKDAYS(Proc[[#This Row],[DateOpened]],Proc[[#This Row],[DateClosed]]))-1)</f>
        <v>6</v>
      </c>
      <c r="R547" s="70" t="s">
        <v>515</v>
      </c>
      <c r="S547" s="69"/>
    </row>
    <row r="548" spans="1:19" hidden="1">
      <c r="A548" s="68" t="s">
        <v>1843</v>
      </c>
      <c r="B548" s="149" t="str">
        <f>IFERROR(VLOOKUP(Proc[[#This Row],[App]],Table2[],3,0),"open")</f>
        <v>ok</v>
      </c>
      <c r="C548" s="68" t="s">
        <v>369</v>
      </c>
      <c r="D548" t="s">
        <v>1878</v>
      </c>
      <c r="E548" t="s">
        <v>1953</v>
      </c>
      <c r="F548" s="117" t="s">
        <v>1953</v>
      </c>
      <c r="G548" s="68" t="s">
        <v>406</v>
      </c>
      <c r="H548" s="69" t="str">
        <f>IF(Proc[[#This Row],[type]]="LFF (MDG-F)",MID(Proc[[#This Row],[Obj]],13,10),"")</f>
        <v>2123C08515</v>
      </c>
      <c r="J548" s="69" t="b">
        <f>Proc[[#This Row],[Requested]]=Proc[[#This Row],[CurrentParent]]</f>
        <v>1</v>
      </c>
      <c r="K548" s="144" t="str">
        <f>IF(Proc[[#This Row],[Author]]="Marcela Urrego",VLOOKUP(LEFT(Proc[[#This Row],[Requested]],1),Table3[#All],2,0),VLOOKUP(Proc[[#This Row],[Author]],Table4[],2,0))</f>
        <v>MGF</v>
      </c>
      <c r="L548" s="69" t="s">
        <v>509</v>
      </c>
      <c r="M548" s="71">
        <v>45702.63349537037</v>
      </c>
      <c r="N548" s="71">
        <v>45712</v>
      </c>
      <c r="O548" s="71">
        <v>45712</v>
      </c>
      <c r="P548" s="70" t="str">
        <f ca="1">IF(Proc[[#This Row],[DaysAgeing]]&gt;5,"yep","on track")</f>
        <v>yep</v>
      </c>
      <c r="Q548" s="3">
        <f ca="1">IF(Proc[[#This Row],[DateClosed]]="",ABS(NETWORKDAYS(Proc[[#This Row],[DateOpened]],TODAY()))-1,ABS(NETWORKDAYS(Proc[[#This Row],[DateOpened]],Proc[[#This Row],[DateClosed]]))-1)</f>
        <v>6</v>
      </c>
      <c r="R548" s="70" t="s">
        <v>515</v>
      </c>
      <c r="S548" s="69"/>
    </row>
    <row r="549" spans="1:19" hidden="1">
      <c r="A549" s="68" t="s">
        <v>1843</v>
      </c>
      <c r="B549" s="149" t="str">
        <f>IFERROR(VLOOKUP(Proc[[#This Row],[App]],Table2[],3,0),"open")</f>
        <v>ok</v>
      </c>
      <c r="C549" s="68" t="s">
        <v>369</v>
      </c>
      <c r="D549" t="s">
        <v>1879</v>
      </c>
      <c r="E549" t="s">
        <v>1954</v>
      </c>
      <c r="F549" s="117" t="s">
        <v>1954</v>
      </c>
      <c r="G549" s="68" t="s">
        <v>406</v>
      </c>
      <c r="H549" s="69" t="str">
        <f>IF(Proc[[#This Row],[type]]="LFF (MDG-F)",MID(Proc[[#This Row],[Obj]],13,10),"")</f>
        <v>2123C00002</v>
      </c>
      <c r="J549" s="69" t="b">
        <f>Proc[[#This Row],[Requested]]=Proc[[#This Row],[CurrentParent]]</f>
        <v>1</v>
      </c>
      <c r="K549" s="144" t="str">
        <f>IF(Proc[[#This Row],[Author]]="Marcela Urrego",VLOOKUP(LEFT(Proc[[#This Row],[Requested]],1),Table3[#All],2,0),VLOOKUP(Proc[[#This Row],[Author]],Table4[],2,0))</f>
        <v>MGF</v>
      </c>
      <c r="L549" s="69" t="s">
        <v>509</v>
      </c>
      <c r="M549" s="71">
        <v>45702.63349537037</v>
      </c>
      <c r="N549" s="71">
        <v>45712</v>
      </c>
      <c r="O549" s="71">
        <v>45712</v>
      </c>
      <c r="P549" s="70" t="str">
        <f ca="1">IF(Proc[[#This Row],[DaysAgeing]]&gt;5,"yep","on track")</f>
        <v>yep</v>
      </c>
      <c r="Q549" s="3">
        <f ca="1">IF(Proc[[#This Row],[DateClosed]]="",ABS(NETWORKDAYS(Proc[[#This Row],[DateOpened]],TODAY()))-1,ABS(NETWORKDAYS(Proc[[#This Row],[DateOpened]],Proc[[#This Row],[DateClosed]]))-1)</f>
        <v>6</v>
      </c>
      <c r="R549" s="70" t="s">
        <v>515</v>
      </c>
      <c r="S549" s="69"/>
    </row>
    <row r="550" spans="1:19" hidden="1">
      <c r="A550" s="68" t="s">
        <v>1843</v>
      </c>
      <c r="B550" s="149" t="str">
        <f>IFERROR(VLOOKUP(Proc[[#This Row],[App]],Table2[],3,0),"open")</f>
        <v>ok</v>
      </c>
      <c r="C550" s="68" t="s">
        <v>369</v>
      </c>
      <c r="D550" t="s">
        <v>1880</v>
      </c>
      <c r="E550" t="s">
        <v>1954</v>
      </c>
      <c r="F550" s="117" t="s">
        <v>1954</v>
      </c>
      <c r="G550" s="68" t="s">
        <v>406</v>
      </c>
      <c r="H550" s="69" t="str">
        <f>IF(Proc[[#This Row],[type]]="LFF (MDG-F)",MID(Proc[[#This Row],[Obj]],13,10),"")</f>
        <v>2123C00003</v>
      </c>
      <c r="J550" s="69" t="b">
        <f>Proc[[#This Row],[Requested]]=Proc[[#This Row],[CurrentParent]]</f>
        <v>1</v>
      </c>
      <c r="K550" s="144" t="str">
        <f>IF(Proc[[#This Row],[Author]]="Marcela Urrego",VLOOKUP(LEFT(Proc[[#This Row],[Requested]],1),Table3[#All],2,0),VLOOKUP(Proc[[#This Row],[Author]],Table4[],2,0))</f>
        <v>MGF</v>
      </c>
      <c r="L550" s="69" t="s">
        <v>509</v>
      </c>
      <c r="M550" s="71">
        <v>45702.63349537037</v>
      </c>
      <c r="N550" s="71">
        <v>45712</v>
      </c>
      <c r="O550" s="71">
        <v>45712</v>
      </c>
      <c r="P550" s="70" t="str">
        <f ca="1">IF(Proc[[#This Row],[DaysAgeing]]&gt;5,"yep","on track")</f>
        <v>yep</v>
      </c>
      <c r="Q550" s="3">
        <f ca="1">IF(Proc[[#This Row],[DateClosed]]="",ABS(NETWORKDAYS(Proc[[#This Row],[DateOpened]],TODAY()))-1,ABS(NETWORKDAYS(Proc[[#This Row],[DateOpened]],Proc[[#This Row],[DateClosed]]))-1)</f>
        <v>6</v>
      </c>
      <c r="R550" s="70" t="s">
        <v>515</v>
      </c>
      <c r="S550" s="69"/>
    </row>
    <row r="551" spans="1:19" hidden="1">
      <c r="A551" s="68" t="s">
        <v>1843</v>
      </c>
      <c r="B551" s="149" t="str">
        <f>IFERROR(VLOOKUP(Proc[[#This Row],[App]],Table2[],3,0),"open")</f>
        <v>ok</v>
      </c>
      <c r="C551" s="68" t="s">
        <v>369</v>
      </c>
      <c r="D551" t="s">
        <v>1881</v>
      </c>
      <c r="E551" t="s">
        <v>1954</v>
      </c>
      <c r="F551" s="117" t="s">
        <v>1954</v>
      </c>
      <c r="G551" s="68" t="s">
        <v>406</v>
      </c>
      <c r="H551" s="69" t="str">
        <f>IF(Proc[[#This Row],[type]]="LFF (MDG-F)",MID(Proc[[#This Row],[Obj]],13,10),"")</f>
        <v>2123C00005</v>
      </c>
      <c r="J551" s="69" t="b">
        <f>Proc[[#This Row],[Requested]]=Proc[[#This Row],[CurrentParent]]</f>
        <v>1</v>
      </c>
      <c r="K551" s="144" t="str">
        <f>IF(Proc[[#This Row],[Author]]="Marcela Urrego",VLOOKUP(LEFT(Proc[[#This Row],[Requested]],1),Table3[#All],2,0),VLOOKUP(Proc[[#This Row],[Author]],Table4[],2,0))</f>
        <v>MGF</v>
      </c>
      <c r="L551" s="69" t="s">
        <v>509</v>
      </c>
      <c r="M551" s="71">
        <v>45702.63349537037</v>
      </c>
      <c r="N551" s="71">
        <v>45712</v>
      </c>
      <c r="O551" s="71">
        <v>45712</v>
      </c>
      <c r="P551" s="70" t="str">
        <f ca="1">IF(Proc[[#This Row],[DaysAgeing]]&gt;5,"yep","on track")</f>
        <v>yep</v>
      </c>
      <c r="Q551" s="3">
        <f ca="1">IF(Proc[[#This Row],[DateClosed]]="",ABS(NETWORKDAYS(Proc[[#This Row],[DateOpened]],TODAY()))-1,ABS(NETWORKDAYS(Proc[[#This Row],[DateOpened]],Proc[[#This Row],[DateClosed]]))-1)</f>
        <v>6</v>
      </c>
      <c r="R551" s="70" t="s">
        <v>515</v>
      </c>
      <c r="S551" s="69"/>
    </row>
    <row r="552" spans="1:19" hidden="1">
      <c r="A552" s="68" t="s">
        <v>1843</v>
      </c>
      <c r="B552" s="149" t="str">
        <f>IFERROR(VLOOKUP(Proc[[#This Row],[App]],Table2[],3,0),"open")</f>
        <v>ok</v>
      </c>
      <c r="C552" s="68" t="s">
        <v>369</v>
      </c>
      <c r="D552" t="s">
        <v>1882</v>
      </c>
      <c r="E552" t="s">
        <v>1954</v>
      </c>
      <c r="F552" s="117" t="s">
        <v>1954</v>
      </c>
      <c r="G552" s="68" t="s">
        <v>406</v>
      </c>
      <c r="H552" s="69" t="str">
        <f>IF(Proc[[#This Row],[type]]="LFF (MDG-F)",MID(Proc[[#This Row],[Obj]],13,10),"")</f>
        <v>2123C00058</v>
      </c>
      <c r="J552" s="69" t="b">
        <f>Proc[[#This Row],[Requested]]=Proc[[#This Row],[CurrentParent]]</f>
        <v>1</v>
      </c>
      <c r="K552" s="144" t="str">
        <f>IF(Proc[[#This Row],[Author]]="Marcela Urrego",VLOOKUP(LEFT(Proc[[#This Row],[Requested]],1),Table3[#All],2,0),VLOOKUP(Proc[[#This Row],[Author]],Table4[],2,0))</f>
        <v>MGF</v>
      </c>
      <c r="L552" s="69" t="s">
        <v>509</v>
      </c>
      <c r="M552" s="71">
        <v>45702.63349537037</v>
      </c>
      <c r="N552" s="71">
        <v>45712</v>
      </c>
      <c r="O552" s="71">
        <v>45712</v>
      </c>
      <c r="P552" s="70" t="str">
        <f ca="1">IF(Proc[[#This Row],[DaysAgeing]]&gt;5,"yep","on track")</f>
        <v>yep</v>
      </c>
      <c r="Q552" s="3">
        <f ca="1">IF(Proc[[#This Row],[DateClosed]]="",ABS(NETWORKDAYS(Proc[[#This Row],[DateOpened]],TODAY()))-1,ABS(NETWORKDAYS(Proc[[#This Row],[DateOpened]],Proc[[#This Row],[DateClosed]]))-1)</f>
        <v>6</v>
      </c>
      <c r="R552" s="70" t="s">
        <v>515</v>
      </c>
      <c r="S552" s="69"/>
    </row>
    <row r="553" spans="1:19" hidden="1">
      <c r="A553" s="68" t="s">
        <v>1843</v>
      </c>
      <c r="B553" s="149" t="str">
        <f>IFERROR(VLOOKUP(Proc[[#This Row],[App]],Table2[],3,0),"open")</f>
        <v>ok</v>
      </c>
      <c r="C553" s="68" t="s">
        <v>369</v>
      </c>
      <c r="D553" t="s">
        <v>1883</v>
      </c>
      <c r="E553" t="s">
        <v>1954</v>
      </c>
      <c r="F553" s="117" t="s">
        <v>1954</v>
      </c>
      <c r="G553" s="68" t="s">
        <v>406</v>
      </c>
      <c r="H553" s="69" t="str">
        <f>IF(Proc[[#This Row],[type]]="LFF (MDG-F)",MID(Proc[[#This Row],[Obj]],13,10),"")</f>
        <v>2123C00063</v>
      </c>
      <c r="J553" s="69" t="b">
        <f>Proc[[#This Row],[Requested]]=Proc[[#This Row],[CurrentParent]]</f>
        <v>1</v>
      </c>
      <c r="K553" s="144" t="str">
        <f>IF(Proc[[#This Row],[Author]]="Marcela Urrego",VLOOKUP(LEFT(Proc[[#This Row],[Requested]],1),Table3[#All],2,0),VLOOKUP(Proc[[#This Row],[Author]],Table4[],2,0))</f>
        <v>MGF</v>
      </c>
      <c r="L553" s="69" t="s">
        <v>509</v>
      </c>
      <c r="M553" s="71">
        <v>45702.63349537037</v>
      </c>
      <c r="N553" s="71">
        <v>45712</v>
      </c>
      <c r="O553" s="71">
        <v>45712</v>
      </c>
      <c r="P553" s="70" t="str">
        <f ca="1">IF(Proc[[#This Row],[DaysAgeing]]&gt;5,"yep","on track")</f>
        <v>yep</v>
      </c>
      <c r="Q553" s="3">
        <f ca="1">IF(Proc[[#This Row],[DateClosed]]="",ABS(NETWORKDAYS(Proc[[#This Row],[DateOpened]],TODAY()))-1,ABS(NETWORKDAYS(Proc[[#This Row],[DateOpened]],Proc[[#This Row],[DateClosed]]))-1)</f>
        <v>6</v>
      </c>
      <c r="R553" s="70" t="s">
        <v>515</v>
      </c>
      <c r="S553" s="69"/>
    </row>
    <row r="554" spans="1:19" hidden="1">
      <c r="A554" s="68" t="s">
        <v>1843</v>
      </c>
      <c r="B554" s="149" t="str">
        <f>IFERROR(VLOOKUP(Proc[[#This Row],[App]],Table2[],3,0),"open")</f>
        <v>ok</v>
      </c>
      <c r="C554" s="68" t="s">
        <v>369</v>
      </c>
      <c r="D554" t="s">
        <v>1884</v>
      </c>
      <c r="E554" t="s">
        <v>1954</v>
      </c>
      <c r="F554" s="117" t="s">
        <v>1954</v>
      </c>
      <c r="G554" s="68" t="s">
        <v>406</v>
      </c>
      <c r="H554" s="69" t="str">
        <f>IF(Proc[[#This Row],[type]]="LFF (MDG-F)",MID(Proc[[#This Row],[Obj]],13,10),"")</f>
        <v>2123C00066</v>
      </c>
      <c r="J554" s="69" t="b">
        <f>Proc[[#This Row],[Requested]]=Proc[[#This Row],[CurrentParent]]</f>
        <v>1</v>
      </c>
      <c r="K554" s="144" t="str">
        <f>IF(Proc[[#This Row],[Author]]="Marcela Urrego",VLOOKUP(LEFT(Proc[[#This Row],[Requested]],1),Table3[#All],2,0),VLOOKUP(Proc[[#This Row],[Author]],Table4[],2,0))</f>
        <v>MGF</v>
      </c>
      <c r="L554" s="69" t="s">
        <v>509</v>
      </c>
      <c r="M554" s="71">
        <v>45702.63349537037</v>
      </c>
      <c r="N554" s="71">
        <v>45712</v>
      </c>
      <c r="O554" s="71">
        <v>45712</v>
      </c>
      <c r="P554" s="70" t="str">
        <f ca="1">IF(Proc[[#This Row],[DaysAgeing]]&gt;5,"yep","on track")</f>
        <v>yep</v>
      </c>
      <c r="Q554" s="3">
        <f ca="1">IF(Proc[[#This Row],[DateClosed]]="",ABS(NETWORKDAYS(Proc[[#This Row],[DateOpened]],TODAY()))-1,ABS(NETWORKDAYS(Proc[[#This Row],[DateOpened]],Proc[[#This Row],[DateClosed]]))-1)</f>
        <v>6</v>
      </c>
      <c r="R554" s="70" t="s">
        <v>515</v>
      </c>
      <c r="S554" s="69"/>
    </row>
    <row r="555" spans="1:19" hidden="1">
      <c r="A555" s="68" t="s">
        <v>1843</v>
      </c>
      <c r="B555" s="149" t="str">
        <f>IFERROR(VLOOKUP(Proc[[#This Row],[App]],Table2[],3,0),"open")</f>
        <v>ok</v>
      </c>
      <c r="C555" s="68" t="s">
        <v>369</v>
      </c>
      <c r="D555" t="s">
        <v>1885</v>
      </c>
      <c r="E555" t="s">
        <v>1954</v>
      </c>
      <c r="F555" s="117" t="s">
        <v>1954</v>
      </c>
      <c r="G555" s="68" t="s">
        <v>406</v>
      </c>
      <c r="H555" s="69" t="str">
        <f>IF(Proc[[#This Row],[type]]="LFF (MDG-F)",MID(Proc[[#This Row],[Obj]],13,10),"")</f>
        <v>2123C08471</v>
      </c>
      <c r="J555" s="69" t="b">
        <f>Proc[[#This Row],[Requested]]=Proc[[#This Row],[CurrentParent]]</f>
        <v>1</v>
      </c>
      <c r="K555" s="144" t="str">
        <f>IF(Proc[[#This Row],[Author]]="Marcela Urrego",VLOOKUP(LEFT(Proc[[#This Row],[Requested]],1),Table3[#All],2,0),VLOOKUP(Proc[[#This Row],[Author]],Table4[],2,0))</f>
        <v>MGF</v>
      </c>
      <c r="L555" s="69" t="s">
        <v>509</v>
      </c>
      <c r="M555" s="71">
        <v>45702.63349537037</v>
      </c>
      <c r="N555" s="71">
        <v>45712</v>
      </c>
      <c r="O555" s="71">
        <v>45712</v>
      </c>
      <c r="P555" s="70" t="str">
        <f ca="1">IF(Proc[[#This Row],[DaysAgeing]]&gt;5,"yep","on track")</f>
        <v>yep</v>
      </c>
      <c r="Q555" s="3">
        <f ca="1">IF(Proc[[#This Row],[DateClosed]]="",ABS(NETWORKDAYS(Proc[[#This Row],[DateOpened]],TODAY()))-1,ABS(NETWORKDAYS(Proc[[#This Row],[DateOpened]],Proc[[#This Row],[DateClosed]]))-1)</f>
        <v>6</v>
      </c>
      <c r="R555" s="70" t="s">
        <v>515</v>
      </c>
      <c r="S555" s="69"/>
    </row>
    <row r="556" spans="1:19" hidden="1">
      <c r="A556" s="68" t="s">
        <v>1843</v>
      </c>
      <c r="B556" s="149" t="str">
        <f>IFERROR(VLOOKUP(Proc[[#This Row],[App]],Table2[],3,0),"open")</f>
        <v>ok</v>
      </c>
      <c r="C556" s="68" t="s">
        <v>369</v>
      </c>
      <c r="D556" t="s">
        <v>1886</v>
      </c>
      <c r="E556" t="s">
        <v>1954</v>
      </c>
      <c r="F556" s="117" t="s">
        <v>1954</v>
      </c>
      <c r="G556" s="68" t="s">
        <v>406</v>
      </c>
      <c r="H556" s="69" t="str">
        <f>IF(Proc[[#This Row],[type]]="LFF (MDG-F)",MID(Proc[[#This Row],[Obj]],13,10),"")</f>
        <v>2123C0BS03</v>
      </c>
      <c r="J556" s="69" t="b">
        <f>Proc[[#This Row],[Requested]]=Proc[[#This Row],[CurrentParent]]</f>
        <v>1</v>
      </c>
      <c r="K556" s="144" t="str">
        <f>IF(Proc[[#This Row],[Author]]="Marcela Urrego",VLOOKUP(LEFT(Proc[[#This Row],[Requested]],1),Table3[#All],2,0),VLOOKUP(Proc[[#This Row],[Author]],Table4[],2,0))</f>
        <v>MGF</v>
      </c>
      <c r="L556" s="69" t="s">
        <v>509</v>
      </c>
      <c r="M556" s="71">
        <v>45702.63349537037</v>
      </c>
      <c r="N556" s="71">
        <v>45712</v>
      </c>
      <c r="O556" s="71">
        <v>45712</v>
      </c>
      <c r="P556" s="70" t="str">
        <f ca="1">IF(Proc[[#This Row],[DaysAgeing]]&gt;5,"yep","on track")</f>
        <v>yep</v>
      </c>
      <c r="Q556" s="3">
        <f ca="1">IF(Proc[[#This Row],[DateClosed]]="",ABS(NETWORKDAYS(Proc[[#This Row],[DateOpened]],TODAY()))-1,ABS(NETWORKDAYS(Proc[[#This Row],[DateOpened]],Proc[[#This Row],[DateClosed]]))-1)</f>
        <v>6</v>
      </c>
      <c r="R556" s="70" t="s">
        <v>515</v>
      </c>
      <c r="S556" s="69"/>
    </row>
    <row r="557" spans="1:19" hidden="1">
      <c r="A557" s="68" t="s">
        <v>1843</v>
      </c>
      <c r="B557" s="149" t="str">
        <f>IFERROR(VLOOKUP(Proc[[#This Row],[App]],Table2[],3,0),"open")</f>
        <v>ok</v>
      </c>
      <c r="C557" s="68" t="s">
        <v>369</v>
      </c>
      <c r="D557" t="s">
        <v>1887</v>
      </c>
      <c r="E557" t="s">
        <v>1954</v>
      </c>
      <c r="F557" s="117" t="s">
        <v>1954</v>
      </c>
      <c r="G557" s="68" t="s">
        <v>406</v>
      </c>
      <c r="H557" s="69" t="str">
        <f>IF(Proc[[#This Row],[type]]="LFF (MDG-F)",MID(Proc[[#This Row],[Obj]],13,10),"")</f>
        <v>2123C0BS04</v>
      </c>
      <c r="J557" s="69" t="b">
        <f>Proc[[#This Row],[Requested]]=Proc[[#This Row],[CurrentParent]]</f>
        <v>1</v>
      </c>
      <c r="K557" s="144" t="str">
        <f>IF(Proc[[#This Row],[Author]]="Marcela Urrego",VLOOKUP(LEFT(Proc[[#This Row],[Requested]],1),Table3[#All],2,0),VLOOKUP(Proc[[#This Row],[Author]],Table4[],2,0))</f>
        <v>MGF</v>
      </c>
      <c r="L557" s="69" t="s">
        <v>509</v>
      </c>
      <c r="M557" s="71">
        <v>45702.63349537037</v>
      </c>
      <c r="N557" s="71">
        <v>45712</v>
      </c>
      <c r="O557" s="71">
        <v>45712</v>
      </c>
      <c r="P557" s="70" t="str">
        <f ca="1">IF(Proc[[#This Row],[DaysAgeing]]&gt;5,"yep","on track")</f>
        <v>yep</v>
      </c>
      <c r="Q557" s="3">
        <f ca="1">IF(Proc[[#This Row],[DateClosed]]="",ABS(NETWORKDAYS(Proc[[#This Row],[DateOpened]],TODAY()))-1,ABS(NETWORKDAYS(Proc[[#This Row],[DateOpened]],Proc[[#This Row],[DateClosed]]))-1)</f>
        <v>6</v>
      </c>
      <c r="R557" s="70" t="s">
        <v>515</v>
      </c>
      <c r="S557" s="69"/>
    </row>
    <row r="558" spans="1:19" hidden="1">
      <c r="A558" s="68" t="s">
        <v>1843</v>
      </c>
      <c r="B558" s="149" t="str">
        <f>IFERROR(VLOOKUP(Proc[[#This Row],[App]],Table2[],3,0),"open")</f>
        <v>ok</v>
      </c>
      <c r="C558" s="68" t="s">
        <v>369</v>
      </c>
      <c r="D558" t="s">
        <v>1888</v>
      </c>
      <c r="E558" t="s">
        <v>1954</v>
      </c>
      <c r="F558" s="117" t="s">
        <v>1954</v>
      </c>
      <c r="G558" s="68" t="s">
        <v>406</v>
      </c>
      <c r="H558" s="69" t="str">
        <f>IF(Proc[[#This Row],[type]]="LFF (MDG-F)",MID(Proc[[#This Row],[Obj]],13,10),"")</f>
        <v>2123C0BS08</v>
      </c>
      <c r="J558" s="69" t="b">
        <f>Proc[[#This Row],[Requested]]=Proc[[#This Row],[CurrentParent]]</f>
        <v>1</v>
      </c>
      <c r="K558" s="144" t="str">
        <f>IF(Proc[[#This Row],[Author]]="Marcela Urrego",VLOOKUP(LEFT(Proc[[#This Row],[Requested]],1),Table3[#All],2,0),VLOOKUP(Proc[[#This Row],[Author]],Table4[],2,0))</f>
        <v>MGF</v>
      </c>
      <c r="L558" s="69" t="s">
        <v>509</v>
      </c>
      <c r="M558" s="71">
        <v>45702.63349537037</v>
      </c>
      <c r="N558" s="71">
        <v>45712</v>
      </c>
      <c r="O558" s="71">
        <v>45712</v>
      </c>
      <c r="P558" s="70" t="str">
        <f ca="1">IF(Proc[[#This Row],[DaysAgeing]]&gt;5,"yep","on track")</f>
        <v>yep</v>
      </c>
      <c r="Q558" s="3">
        <f ca="1">IF(Proc[[#This Row],[DateClosed]]="",ABS(NETWORKDAYS(Proc[[#This Row],[DateOpened]],TODAY()))-1,ABS(NETWORKDAYS(Proc[[#This Row],[DateOpened]],Proc[[#This Row],[DateClosed]]))-1)</f>
        <v>6</v>
      </c>
      <c r="R558" s="70" t="s">
        <v>515</v>
      </c>
      <c r="S558" s="69"/>
    </row>
    <row r="559" spans="1:19" hidden="1">
      <c r="A559" s="68" t="s">
        <v>1843</v>
      </c>
      <c r="B559" s="149" t="str">
        <f>IFERROR(VLOOKUP(Proc[[#This Row],[App]],Table2[],3,0),"open")</f>
        <v>ok</v>
      </c>
      <c r="C559" s="68" t="s">
        <v>369</v>
      </c>
      <c r="D559" t="s">
        <v>1889</v>
      </c>
      <c r="E559" t="s">
        <v>1954</v>
      </c>
      <c r="F559" s="117" t="s">
        <v>1954</v>
      </c>
      <c r="G559" s="68" t="s">
        <v>406</v>
      </c>
      <c r="H559" s="69" t="str">
        <f>IF(Proc[[#This Row],[type]]="LFF (MDG-F)",MID(Proc[[#This Row],[Obj]],13,10),"")</f>
        <v>2123C0BS09</v>
      </c>
      <c r="J559" s="69" t="b">
        <f>Proc[[#This Row],[Requested]]=Proc[[#This Row],[CurrentParent]]</f>
        <v>1</v>
      </c>
      <c r="K559" s="144" t="str">
        <f>IF(Proc[[#This Row],[Author]]="Marcela Urrego",VLOOKUP(LEFT(Proc[[#This Row],[Requested]],1),Table3[#All],2,0),VLOOKUP(Proc[[#This Row],[Author]],Table4[],2,0))</f>
        <v>MGF</v>
      </c>
      <c r="L559" s="69" t="s">
        <v>509</v>
      </c>
      <c r="M559" s="71">
        <v>45702.63349537037</v>
      </c>
      <c r="N559" s="71">
        <v>45712</v>
      </c>
      <c r="O559" s="71">
        <v>45712</v>
      </c>
      <c r="P559" s="70" t="str">
        <f ca="1">IF(Proc[[#This Row],[DaysAgeing]]&gt;5,"yep","on track")</f>
        <v>yep</v>
      </c>
      <c r="Q559" s="3">
        <f ca="1">IF(Proc[[#This Row],[DateClosed]]="",ABS(NETWORKDAYS(Proc[[#This Row],[DateOpened]],TODAY()))-1,ABS(NETWORKDAYS(Proc[[#This Row],[DateOpened]],Proc[[#This Row],[DateClosed]]))-1)</f>
        <v>6</v>
      </c>
      <c r="R559" s="70" t="s">
        <v>515</v>
      </c>
      <c r="S559" s="69"/>
    </row>
    <row r="560" spans="1:19" hidden="1">
      <c r="A560" s="68" t="s">
        <v>1843</v>
      </c>
      <c r="B560" s="149" t="str">
        <f>IFERROR(VLOOKUP(Proc[[#This Row],[App]],Table2[],3,0),"open")</f>
        <v>ok</v>
      </c>
      <c r="C560" s="68" t="s">
        <v>369</v>
      </c>
      <c r="D560" t="s">
        <v>1890</v>
      </c>
      <c r="E560" t="s">
        <v>1955</v>
      </c>
      <c r="F560" s="117" t="s">
        <v>1955</v>
      </c>
      <c r="G560" s="68" t="s">
        <v>406</v>
      </c>
      <c r="H560" s="69" t="str">
        <f>IF(Proc[[#This Row],[type]]="LFF (MDG-F)",MID(Proc[[#This Row],[Obj]],13,10),"")</f>
        <v>2123C00042</v>
      </c>
      <c r="J560" s="69" t="b">
        <f>Proc[[#This Row],[Requested]]=Proc[[#This Row],[CurrentParent]]</f>
        <v>1</v>
      </c>
      <c r="K560" s="144" t="str">
        <f>IF(Proc[[#This Row],[Author]]="Marcela Urrego",VLOOKUP(LEFT(Proc[[#This Row],[Requested]],1),Table3[#All],2,0),VLOOKUP(Proc[[#This Row],[Author]],Table4[],2,0))</f>
        <v>MGF</v>
      </c>
      <c r="L560" s="69" t="s">
        <v>509</v>
      </c>
      <c r="M560" s="71">
        <v>45702.63349537037</v>
      </c>
      <c r="N560" s="71">
        <v>45712</v>
      </c>
      <c r="O560" s="71">
        <v>45712</v>
      </c>
      <c r="P560" s="70" t="str">
        <f ca="1">IF(Proc[[#This Row],[DaysAgeing]]&gt;5,"yep","on track")</f>
        <v>yep</v>
      </c>
      <c r="Q560" s="3">
        <f ca="1">IF(Proc[[#This Row],[DateClosed]]="",ABS(NETWORKDAYS(Proc[[#This Row],[DateOpened]],TODAY()))-1,ABS(NETWORKDAYS(Proc[[#This Row],[DateOpened]],Proc[[#This Row],[DateClosed]]))-1)</f>
        <v>6</v>
      </c>
      <c r="R560" s="70" t="s">
        <v>515</v>
      </c>
      <c r="S560" s="69"/>
    </row>
    <row r="561" spans="1:19" hidden="1">
      <c r="A561" s="68" t="s">
        <v>1843</v>
      </c>
      <c r="B561" s="149" t="str">
        <f>IFERROR(VLOOKUP(Proc[[#This Row],[App]],Table2[],3,0),"open")</f>
        <v>ok</v>
      </c>
      <c r="C561" s="68" t="s">
        <v>369</v>
      </c>
      <c r="D561" t="s">
        <v>1891</v>
      </c>
      <c r="E561" t="s">
        <v>1955</v>
      </c>
      <c r="F561" s="117" t="s">
        <v>1955</v>
      </c>
      <c r="G561" s="68" t="s">
        <v>406</v>
      </c>
      <c r="H561" s="69" t="str">
        <f>IF(Proc[[#This Row],[type]]="LFF (MDG-F)",MID(Proc[[#This Row],[Obj]],13,10),"")</f>
        <v>2123C00050</v>
      </c>
      <c r="J561" s="69" t="b">
        <f>Proc[[#This Row],[Requested]]=Proc[[#This Row],[CurrentParent]]</f>
        <v>1</v>
      </c>
      <c r="K561" s="144" t="str">
        <f>IF(Proc[[#This Row],[Author]]="Marcela Urrego",VLOOKUP(LEFT(Proc[[#This Row],[Requested]],1),Table3[#All],2,0),VLOOKUP(Proc[[#This Row],[Author]],Table4[],2,0))</f>
        <v>MGF</v>
      </c>
      <c r="L561" s="69" t="s">
        <v>509</v>
      </c>
      <c r="M561" s="71">
        <v>45702.63349537037</v>
      </c>
      <c r="N561" s="71">
        <v>45712</v>
      </c>
      <c r="O561" s="71">
        <v>45712</v>
      </c>
      <c r="P561" s="70" t="str">
        <f ca="1">IF(Proc[[#This Row],[DaysAgeing]]&gt;5,"yep","on track")</f>
        <v>yep</v>
      </c>
      <c r="Q561" s="3">
        <f ca="1">IF(Proc[[#This Row],[DateClosed]]="",ABS(NETWORKDAYS(Proc[[#This Row],[DateOpened]],TODAY()))-1,ABS(NETWORKDAYS(Proc[[#This Row],[DateOpened]],Proc[[#This Row],[DateClosed]]))-1)</f>
        <v>6</v>
      </c>
      <c r="R561" s="70" t="s">
        <v>515</v>
      </c>
      <c r="S561" s="69"/>
    </row>
    <row r="562" spans="1:19" hidden="1">
      <c r="A562" s="68" t="s">
        <v>1843</v>
      </c>
      <c r="B562" s="149" t="str">
        <f>IFERROR(VLOOKUP(Proc[[#This Row],[App]],Table2[],3,0),"open")</f>
        <v>ok</v>
      </c>
      <c r="C562" s="68" t="s">
        <v>369</v>
      </c>
      <c r="D562" t="s">
        <v>1892</v>
      </c>
      <c r="E562" t="s">
        <v>1955</v>
      </c>
      <c r="F562" s="117" t="s">
        <v>1955</v>
      </c>
      <c r="G562" s="68" t="s">
        <v>406</v>
      </c>
      <c r="H562" s="69" t="str">
        <f>IF(Proc[[#This Row],[type]]="LFF (MDG-F)",MID(Proc[[#This Row],[Obj]],13,10),"")</f>
        <v>2123C00061</v>
      </c>
      <c r="J562" s="69" t="b">
        <f>Proc[[#This Row],[Requested]]=Proc[[#This Row],[CurrentParent]]</f>
        <v>1</v>
      </c>
      <c r="K562" s="144" t="str">
        <f>IF(Proc[[#This Row],[Author]]="Marcela Urrego",VLOOKUP(LEFT(Proc[[#This Row],[Requested]],1),Table3[#All],2,0),VLOOKUP(Proc[[#This Row],[Author]],Table4[],2,0))</f>
        <v>MGF</v>
      </c>
      <c r="L562" s="69" t="s">
        <v>509</v>
      </c>
      <c r="M562" s="71">
        <v>45702.63349537037</v>
      </c>
      <c r="N562" s="71">
        <v>45712</v>
      </c>
      <c r="O562" s="71">
        <v>45712</v>
      </c>
      <c r="P562" s="70" t="str">
        <f ca="1">IF(Proc[[#This Row],[DaysAgeing]]&gt;5,"yep","on track")</f>
        <v>yep</v>
      </c>
      <c r="Q562" s="3">
        <f ca="1">IF(Proc[[#This Row],[DateClosed]]="",ABS(NETWORKDAYS(Proc[[#This Row],[DateOpened]],TODAY()))-1,ABS(NETWORKDAYS(Proc[[#This Row],[DateOpened]],Proc[[#This Row],[DateClosed]]))-1)</f>
        <v>6</v>
      </c>
      <c r="R562" s="70" t="s">
        <v>515</v>
      </c>
      <c r="S562" s="69"/>
    </row>
    <row r="563" spans="1:19" hidden="1">
      <c r="A563" s="68" t="s">
        <v>1843</v>
      </c>
      <c r="B563" s="149" t="str">
        <f>IFERROR(VLOOKUP(Proc[[#This Row],[App]],Table2[],3,0),"open")</f>
        <v>ok</v>
      </c>
      <c r="C563" s="68" t="s">
        <v>369</v>
      </c>
      <c r="D563" t="s">
        <v>1893</v>
      </c>
      <c r="E563" t="s">
        <v>1955</v>
      </c>
      <c r="F563" s="117" t="s">
        <v>1955</v>
      </c>
      <c r="G563" s="68" t="s">
        <v>406</v>
      </c>
      <c r="H563" s="69" t="str">
        <f>IF(Proc[[#This Row],[type]]="LFF (MDG-F)",MID(Proc[[#This Row],[Obj]],13,10),"")</f>
        <v>2123C00068</v>
      </c>
      <c r="J563" s="69" t="b">
        <f>Proc[[#This Row],[Requested]]=Proc[[#This Row],[CurrentParent]]</f>
        <v>1</v>
      </c>
      <c r="K563" s="144" t="str">
        <f>IF(Proc[[#This Row],[Author]]="Marcela Urrego",VLOOKUP(LEFT(Proc[[#This Row],[Requested]],1),Table3[#All],2,0),VLOOKUP(Proc[[#This Row],[Author]],Table4[],2,0))</f>
        <v>MGF</v>
      </c>
      <c r="L563" s="69" t="s">
        <v>509</v>
      </c>
      <c r="M563" s="71">
        <v>45702.63349537037</v>
      </c>
      <c r="N563" s="71">
        <v>45712</v>
      </c>
      <c r="O563" s="71">
        <v>45712</v>
      </c>
      <c r="P563" s="70" t="str">
        <f ca="1">IF(Proc[[#This Row],[DaysAgeing]]&gt;5,"yep","on track")</f>
        <v>yep</v>
      </c>
      <c r="Q563" s="3">
        <f ca="1">IF(Proc[[#This Row],[DateClosed]]="",ABS(NETWORKDAYS(Proc[[#This Row],[DateOpened]],TODAY()))-1,ABS(NETWORKDAYS(Proc[[#This Row],[DateOpened]],Proc[[#This Row],[DateClosed]]))-1)</f>
        <v>6</v>
      </c>
      <c r="R563" s="70" t="s">
        <v>515</v>
      </c>
      <c r="S563" s="69"/>
    </row>
    <row r="564" spans="1:19" hidden="1">
      <c r="A564" s="68" t="s">
        <v>1843</v>
      </c>
      <c r="B564" s="149" t="str">
        <f>IFERROR(VLOOKUP(Proc[[#This Row],[App]],Table2[],3,0),"open")</f>
        <v>ok</v>
      </c>
      <c r="C564" s="68" t="s">
        <v>369</v>
      </c>
      <c r="D564" t="s">
        <v>1894</v>
      </c>
      <c r="E564" t="s">
        <v>1955</v>
      </c>
      <c r="F564" s="117" t="s">
        <v>1955</v>
      </c>
      <c r="G564" s="68" t="s">
        <v>406</v>
      </c>
      <c r="H564" s="69" t="str">
        <f>IF(Proc[[#This Row],[type]]="LFF (MDG-F)",MID(Proc[[#This Row],[Obj]],13,10),"")</f>
        <v>2123C00082</v>
      </c>
      <c r="J564" s="69" t="b">
        <f>Proc[[#This Row],[Requested]]=Proc[[#This Row],[CurrentParent]]</f>
        <v>1</v>
      </c>
      <c r="K564" s="144" t="str">
        <f>IF(Proc[[#This Row],[Author]]="Marcela Urrego",VLOOKUP(LEFT(Proc[[#This Row],[Requested]],1),Table3[#All],2,0),VLOOKUP(Proc[[#This Row],[Author]],Table4[],2,0))</f>
        <v>MGF</v>
      </c>
      <c r="L564" s="69" t="s">
        <v>509</v>
      </c>
      <c r="M564" s="71">
        <v>45702.63349537037</v>
      </c>
      <c r="N564" s="71">
        <v>45712</v>
      </c>
      <c r="O564" s="71">
        <v>45712</v>
      </c>
      <c r="P564" s="70" t="str">
        <f ca="1">IF(Proc[[#This Row],[DaysAgeing]]&gt;5,"yep","on track")</f>
        <v>yep</v>
      </c>
      <c r="Q564" s="3">
        <f ca="1">IF(Proc[[#This Row],[DateClosed]]="",ABS(NETWORKDAYS(Proc[[#This Row],[DateOpened]],TODAY()))-1,ABS(NETWORKDAYS(Proc[[#This Row],[DateOpened]],Proc[[#This Row],[DateClosed]]))-1)</f>
        <v>6</v>
      </c>
      <c r="R564" s="70" t="s">
        <v>515</v>
      </c>
      <c r="S564" s="69"/>
    </row>
    <row r="565" spans="1:19" hidden="1">
      <c r="A565" s="68" t="s">
        <v>1843</v>
      </c>
      <c r="B565" s="149" t="str">
        <f>IFERROR(VLOOKUP(Proc[[#This Row],[App]],Table2[],3,0),"open")</f>
        <v>ok</v>
      </c>
      <c r="C565" s="68" t="s">
        <v>369</v>
      </c>
      <c r="D565" t="s">
        <v>1895</v>
      </c>
      <c r="E565" t="s">
        <v>1956</v>
      </c>
      <c r="F565" s="117" t="s">
        <v>1956</v>
      </c>
      <c r="G565" s="68" t="s">
        <v>406</v>
      </c>
      <c r="H565" s="69" t="str">
        <f>IF(Proc[[#This Row],[type]]="LFF (MDG-F)",MID(Proc[[#This Row],[Obj]],13,10),"")</f>
        <v>2123C00004</v>
      </c>
      <c r="J565" s="69" t="b">
        <f>Proc[[#This Row],[Requested]]=Proc[[#This Row],[CurrentParent]]</f>
        <v>1</v>
      </c>
      <c r="K565" s="144" t="str">
        <f>IF(Proc[[#This Row],[Author]]="Marcela Urrego",VLOOKUP(LEFT(Proc[[#This Row],[Requested]],1),Table3[#All],2,0),VLOOKUP(Proc[[#This Row],[Author]],Table4[],2,0))</f>
        <v>MGF</v>
      </c>
      <c r="L565" s="69" t="s">
        <v>509</v>
      </c>
      <c r="M565" s="71">
        <v>45702.63349537037</v>
      </c>
      <c r="N565" s="71">
        <v>45712</v>
      </c>
      <c r="O565" s="71">
        <v>45712</v>
      </c>
      <c r="P565" s="70" t="str">
        <f ca="1">IF(Proc[[#This Row],[DaysAgeing]]&gt;5,"yep","on track")</f>
        <v>yep</v>
      </c>
      <c r="Q565" s="3">
        <f ca="1">IF(Proc[[#This Row],[DateClosed]]="",ABS(NETWORKDAYS(Proc[[#This Row],[DateOpened]],TODAY()))-1,ABS(NETWORKDAYS(Proc[[#This Row],[DateOpened]],Proc[[#This Row],[DateClosed]]))-1)</f>
        <v>6</v>
      </c>
      <c r="R565" s="70" t="s">
        <v>515</v>
      </c>
      <c r="S565" s="69"/>
    </row>
    <row r="566" spans="1:19" hidden="1">
      <c r="A566" s="68" t="s">
        <v>1843</v>
      </c>
      <c r="B566" s="149" t="str">
        <f>IFERROR(VLOOKUP(Proc[[#This Row],[App]],Table2[],3,0),"open")</f>
        <v>ok</v>
      </c>
      <c r="C566" s="68" t="s">
        <v>369</v>
      </c>
      <c r="D566" t="s">
        <v>1896</v>
      </c>
      <c r="E566" t="s">
        <v>1956</v>
      </c>
      <c r="F566" s="117" t="s">
        <v>1956</v>
      </c>
      <c r="G566" s="68" t="s">
        <v>406</v>
      </c>
      <c r="H566" s="69" t="str">
        <f>IF(Proc[[#This Row],[type]]="LFF (MDG-F)",MID(Proc[[#This Row],[Obj]],13,10),"")</f>
        <v>2123C00007</v>
      </c>
      <c r="J566" s="69" t="b">
        <f>Proc[[#This Row],[Requested]]=Proc[[#This Row],[CurrentParent]]</f>
        <v>1</v>
      </c>
      <c r="K566" s="144" t="str">
        <f>IF(Proc[[#This Row],[Author]]="Marcela Urrego",VLOOKUP(LEFT(Proc[[#This Row],[Requested]],1),Table3[#All],2,0),VLOOKUP(Proc[[#This Row],[Author]],Table4[],2,0))</f>
        <v>MGF</v>
      </c>
      <c r="L566" s="69" t="s">
        <v>509</v>
      </c>
      <c r="M566" s="71">
        <v>45702.63349537037</v>
      </c>
      <c r="N566" s="71">
        <v>45712</v>
      </c>
      <c r="O566" s="71">
        <v>45712</v>
      </c>
      <c r="P566" s="70" t="str">
        <f ca="1">IF(Proc[[#This Row],[DaysAgeing]]&gt;5,"yep","on track")</f>
        <v>yep</v>
      </c>
      <c r="Q566" s="3">
        <f ca="1">IF(Proc[[#This Row],[DateClosed]]="",ABS(NETWORKDAYS(Proc[[#This Row],[DateOpened]],TODAY()))-1,ABS(NETWORKDAYS(Proc[[#This Row],[DateOpened]],Proc[[#This Row],[DateClosed]]))-1)</f>
        <v>6</v>
      </c>
      <c r="R566" s="70" t="s">
        <v>515</v>
      </c>
      <c r="S566" s="69"/>
    </row>
    <row r="567" spans="1:19" hidden="1">
      <c r="A567" s="68" t="s">
        <v>1843</v>
      </c>
      <c r="B567" s="149" t="str">
        <f>IFERROR(VLOOKUP(Proc[[#This Row],[App]],Table2[],3,0),"open")</f>
        <v>ok</v>
      </c>
      <c r="C567" s="68" t="s">
        <v>369</v>
      </c>
      <c r="D567" t="s">
        <v>1897</v>
      </c>
      <c r="E567" t="s">
        <v>1956</v>
      </c>
      <c r="F567" s="117" t="s">
        <v>1956</v>
      </c>
      <c r="G567" s="68" t="s">
        <v>406</v>
      </c>
      <c r="H567" s="69" t="str">
        <f>IF(Proc[[#This Row],[type]]="LFF (MDG-F)",MID(Proc[[#This Row],[Obj]],13,10),"")</f>
        <v>2123C00043</v>
      </c>
      <c r="J567" s="69" t="b">
        <f>Proc[[#This Row],[Requested]]=Proc[[#This Row],[CurrentParent]]</f>
        <v>1</v>
      </c>
      <c r="K567" s="144" t="str">
        <f>IF(Proc[[#This Row],[Author]]="Marcela Urrego",VLOOKUP(LEFT(Proc[[#This Row],[Requested]],1),Table3[#All],2,0),VLOOKUP(Proc[[#This Row],[Author]],Table4[],2,0))</f>
        <v>MGF</v>
      </c>
      <c r="L567" s="69" t="s">
        <v>509</v>
      </c>
      <c r="M567" s="71">
        <v>45702.63349537037</v>
      </c>
      <c r="N567" s="71">
        <v>45712</v>
      </c>
      <c r="O567" s="71">
        <v>45712</v>
      </c>
      <c r="P567" s="70" t="str">
        <f ca="1">IF(Proc[[#This Row],[DaysAgeing]]&gt;5,"yep","on track")</f>
        <v>yep</v>
      </c>
      <c r="Q567" s="3">
        <f ca="1">IF(Proc[[#This Row],[DateClosed]]="",ABS(NETWORKDAYS(Proc[[#This Row],[DateOpened]],TODAY()))-1,ABS(NETWORKDAYS(Proc[[#This Row],[DateOpened]],Proc[[#This Row],[DateClosed]]))-1)</f>
        <v>6</v>
      </c>
      <c r="R567" s="70" t="s">
        <v>515</v>
      </c>
      <c r="S567" s="69"/>
    </row>
    <row r="568" spans="1:19" hidden="1">
      <c r="A568" s="68" t="s">
        <v>1843</v>
      </c>
      <c r="B568" s="149" t="str">
        <f>IFERROR(VLOOKUP(Proc[[#This Row],[App]],Table2[],3,0),"open")</f>
        <v>ok</v>
      </c>
      <c r="C568" s="68" t="s">
        <v>369</v>
      </c>
      <c r="D568" t="s">
        <v>1898</v>
      </c>
      <c r="E568" t="s">
        <v>1956</v>
      </c>
      <c r="F568" s="117" t="s">
        <v>1956</v>
      </c>
      <c r="G568" s="68" t="s">
        <v>406</v>
      </c>
      <c r="H568" s="69" t="str">
        <f>IF(Proc[[#This Row],[type]]="LFF (MDG-F)",MID(Proc[[#This Row],[Obj]],13,10),"")</f>
        <v>2123C00044</v>
      </c>
      <c r="J568" s="69" t="b">
        <f>Proc[[#This Row],[Requested]]=Proc[[#This Row],[CurrentParent]]</f>
        <v>1</v>
      </c>
      <c r="K568" s="144" t="str">
        <f>IF(Proc[[#This Row],[Author]]="Marcela Urrego",VLOOKUP(LEFT(Proc[[#This Row],[Requested]],1),Table3[#All],2,0),VLOOKUP(Proc[[#This Row],[Author]],Table4[],2,0))</f>
        <v>MGF</v>
      </c>
      <c r="L568" s="69" t="s">
        <v>509</v>
      </c>
      <c r="M568" s="71">
        <v>45702.63349537037</v>
      </c>
      <c r="N568" s="71">
        <v>45712</v>
      </c>
      <c r="O568" s="71">
        <v>45712</v>
      </c>
      <c r="P568" s="70" t="str">
        <f ca="1">IF(Proc[[#This Row],[DaysAgeing]]&gt;5,"yep","on track")</f>
        <v>yep</v>
      </c>
      <c r="Q568" s="3">
        <f ca="1">IF(Proc[[#This Row],[DateClosed]]="",ABS(NETWORKDAYS(Proc[[#This Row],[DateOpened]],TODAY()))-1,ABS(NETWORKDAYS(Proc[[#This Row],[DateOpened]],Proc[[#This Row],[DateClosed]]))-1)</f>
        <v>6</v>
      </c>
      <c r="R568" s="70" t="s">
        <v>515</v>
      </c>
      <c r="S568" s="69"/>
    </row>
    <row r="569" spans="1:19" hidden="1">
      <c r="A569" s="68" t="s">
        <v>1843</v>
      </c>
      <c r="B569" s="149" t="str">
        <f>IFERROR(VLOOKUP(Proc[[#This Row],[App]],Table2[],3,0),"open")</f>
        <v>ok</v>
      </c>
      <c r="C569" s="68" t="s">
        <v>369</v>
      </c>
      <c r="D569" t="s">
        <v>1899</v>
      </c>
      <c r="E569" t="s">
        <v>1956</v>
      </c>
      <c r="F569" s="117" t="s">
        <v>1956</v>
      </c>
      <c r="G569" s="68" t="s">
        <v>406</v>
      </c>
      <c r="H569" s="69" t="str">
        <f>IF(Proc[[#This Row],[type]]="LFF (MDG-F)",MID(Proc[[#This Row],[Obj]],13,10),"")</f>
        <v>2123C00045</v>
      </c>
      <c r="J569" s="69" t="b">
        <f>Proc[[#This Row],[Requested]]=Proc[[#This Row],[CurrentParent]]</f>
        <v>1</v>
      </c>
      <c r="K569" s="144" t="str">
        <f>IF(Proc[[#This Row],[Author]]="Marcela Urrego",VLOOKUP(LEFT(Proc[[#This Row],[Requested]],1),Table3[#All],2,0),VLOOKUP(Proc[[#This Row],[Author]],Table4[],2,0))</f>
        <v>MGF</v>
      </c>
      <c r="L569" s="69" t="s">
        <v>509</v>
      </c>
      <c r="M569" s="71">
        <v>45702.63349537037</v>
      </c>
      <c r="N569" s="71">
        <v>45712</v>
      </c>
      <c r="O569" s="71">
        <v>45712</v>
      </c>
      <c r="P569" s="70" t="str">
        <f ca="1">IF(Proc[[#This Row],[DaysAgeing]]&gt;5,"yep","on track")</f>
        <v>yep</v>
      </c>
      <c r="Q569" s="3">
        <f ca="1">IF(Proc[[#This Row],[DateClosed]]="",ABS(NETWORKDAYS(Proc[[#This Row],[DateOpened]],TODAY()))-1,ABS(NETWORKDAYS(Proc[[#This Row],[DateOpened]],Proc[[#This Row],[DateClosed]]))-1)</f>
        <v>6</v>
      </c>
      <c r="R569" s="70" t="s">
        <v>515</v>
      </c>
      <c r="S569" s="69"/>
    </row>
    <row r="570" spans="1:19" hidden="1">
      <c r="A570" s="68" t="s">
        <v>1843</v>
      </c>
      <c r="B570" s="149" t="str">
        <f>IFERROR(VLOOKUP(Proc[[#This Row],[App]],Table2[],3,0),"open")</f>
        <v>ok</v>
      </c>
      <c r="C570" s="68" t="s">
        <v>369</v>
      </c>
      <c r="D570" t="s">
        <v>1900</v>
      </c>
      <c r="E570" t="s">
        <v>1956</v>
      </c>
      <c r="F570" s="117" t="s">
        <v>1956</v>
      </c>
      <c r="G570" s="68" t="s">
        <v>406</v>
      </c>
      <c r="H570" s="69" t="str">
        <f>IF(Proc[[#This Row],[type]]="LFF (MDG-F)",MID(Proc[[#This Row],[Obj]],13,10),"")</f>
        <v>2123C00074</v>
      </c>
      <c r="J570" s="69" t="b">
        <f>Proc[[#This Row],[Requested]]=Proc[[#This Row],[CurrentParent]]</f>
        <v>1</v>
      </c>
      <c r="K570" s="144" t="str">
        <f>IF(Proc[[#This Row],[Author]]="Marcela Urrego",VLOOKUP(LEFT(Proc[[#This Row],[Requested]],1),Table3[#All],2,0),VLOOKUP(Proc[[#This Row],[Author]],Table4[],2,0))</f>
        <v>MGF</v>
      </c>
      <c r="L570" s="69" t="s">
        <v>509</v>
      </c>
      <c r="M570" s="71">
        <v>45702.63349537037</v>
      </c>
      <c r="N570" s="71">
        <v>45712</v>
      </c>
      <c r="O570" s="71">
        <v>45712</v>
      </c>
      <c r="P570" s="70" t="str">
        <f ca="1">IF(Proc[[#This Row],[DaysAgeing]]&gt;5,"yep","on track")</f>
        <v>yep</v>
      </c>
      <c r="Q570" s="3">
        <f ca="1">IF(Proc[[#This Row],[DateClosed]]="",ABS(NETWORKDAYS(Proc[[#This Row],[DateOpened]],TODAY()))-1,ABS(NETWORKDAYS(Proc[[#This Row],[DateOpened]],Proc[[#This Row],[DateClosed]]))-1)</f>
        <v>6</v>
      </c>
      <c r="R570" s="70" t="s">
        <v>515</v>
      </c>
      <c r="S570" s="69"/>
    </row>
    <row r="571" spans="1:19" hidden="1">
      <c r="A571" s="68" t="s">
        <v>1843</v>
      </c>
      <c r="B571" s="149" t="str">
        <f>IFERROR(VLOOKUP(Proc[[#This Row],[App]],Table2[],3,0),"open")</f>
        <v>ok</v>
      </c>
      <c r="C571" s="68" t="s">
        <v>369</v>
      </c>
      <c r="D571" t="s">
        <v>1901</v>
      </c>
      <c r="E571" t="s">
        <v>1956</v>
      </c>
      <c r="F571" s="117" t="s">
        <v>1956</v>
      </c>
      <c r="G571" s="68" t="s">
        <v>406</v>
      </c>
      <c r="H571" s="69" t="str">
        <f>IF(Proc[[#This Row],[type]]="LFF (MDG-F)",MID(Proc[[#This Row],[Obj]],13,10),"")</f>
        <v>2123C00085</v>
      </c>
      <c r="J571" s="69" t="b">
        <f>Proc[[#This Row],[Requested]]=Proc[[#This Row],[CurrentParent]]</f>
        <v>1</v>
      </c>
      <c r="K571" s="144" t="str">
        <f>IF(Proc[[#This Row],[Author]]="Marcela Urrego",VLOOKUP(LEFT(Proc[[#This Row],[Requested]],1),Table3[#All],2,0),VLOOKUP(Proc[[#This Row],[Author]],Table4[],2,0))</f>
        <v>MGF</v>
      </c>
      <c r="L571" s="69" t="s">
        <v>509</v>
      </c>
      <c r="M571" s="71">
        <v>45702.63349537037</v>
      </c>
      <c r="N571" s="71">
        <v>45712</v>
      </c>
      <c r="O571" s="71">
        <v>45712</v>
      </c>
      <c r="P571" s="70" t="str">
        <f ca="1">IF(Proc[[#This Row],[DaysAgeing]]&gt;5,"yep","on track")</f>
        <v>yep</v>
      </c>
      <c r="Q571" s="3">
        <f ca="1">IF(Proc[[#This Row],[DateClosed]]="",ABS(NETWORKDAYS(Proc[[#This Row],[DateOpened]],TODAY()))-1,ABS(NETWORKDAYS(Proc[[#This Row],[DateOpened]],Proc[[#This Row],[DateClosed]]))-1)</f>
        <v>6</v>
      </c>
      <c r="R571" s="70" t="s">
        <v>515</v>
      </c>
      <c r="S571" s="69"/>
    </row>
    <row r="572" spans="1:19" hidden="1">
      <c r="A572" s="68" t="s">
        <v>1843</v>
      </c>
      <c r="B572" s="149" t="str">
        <f>IFERROR(VLOOKUP(Proc[[#This Row],[App]],Table2[],3,0),"open")</f>
        <v>ok</v>
      </c>
      <c r="C572" s="68" t="s">
        <v>369</v>
      </c>
      <c r="D572" t="s">
        <v>1902</v>
      </c>
      <c r="E572" t="s">
        <v>1956</v>
      </c>
      <c r="F572" s="117" t="s">
        <v>1956</v>
      </c>
      <c r="G572" s="68" t="s">
        <v>406</v>
      </c>
      <c r="H572" s="69" t="str">
        <f>IF(Proc[[#This Row],[type]]="LFF (MDG-F)",MID(Proc[[#This Row],[Obj]],13,10),"")</f>
        <v>2123C00091</v>
      </c>
      <c r="J572" s="69" t="b">
        <f>Proc[[#This Row],[Requested]]=Proc[[#This Row],[CurrentParent]]</f>
        <v>1</v>
      </c>
      <c r="K572" s="144" t="str">
        <f>IF(Proc[[#This Row],[Author]]="Marcela Urrego",VLOOKUP(LEFT(Proc[[#This Row],[Requested]],1),Table3[#All],2,0),VLOOKUP(Proc[[#This Row],[Author]],Table4[],2,0))</f>
        <v>MGF</v>
      </c>
      <c r="L572" s="69" t="s">
        <v>509</v>
      </c>
      <c r="M572" s="71">
        <v>45702.63349537037</v>
      </c>
      <c r="N572" s="71">
        <v>45712</v>
      </c>
      <c r="O572" s="71">
        <v>45712</v>
      </c>
      <c r="P572" s="70" t="str">
        <f ca="1">IF(Proc[[#This Row],[DaysAgeing]]&gt;5,"yep","on track")</f>
        <v>yep</v>
      </c>
      <c r="Q572" s="3">
        <f ca="1">IF(Proc[[#This Row],[DateClosed]]="",ABS(NETWORKDAYS(Proc[[#This Row],[DateOpened]],TODAY()))-1,ABS(NETWORKDAYS(Proc[[#This Row],[DateOpened]],Proc[[#This Row],[DateClosed]]))-1)</f>
        <v>6</v>
      </c>
      <c r="R572" s="70" t="s">
        <v>515</v>
      </c>
      <c r="S572" s="69"/>
    </row>
    <row r="573" spans="1:19" hidden="1">
      <c r="A573" s="68" t="s">
        <v>1843</v>
      </c>
      <c r="B573" s="149" t="str">
        <f>IFERROR(VLOOKUP(Proc[[#This Row],[App]],Table2[],3,0),"open")</f>
        <v>ok</v>
      </c>
      <c r="C573" s="68" t="s">
        <v>369</v>
      </c>
      <c r="D573" t="s">
        <v>1903</v>
      </c>
      <c r="E573" t="s">
        <v>1956</v>
      </c>
      <c r="F573" s="117" t="s">
        <v>1956</v>
      </c>
      <c r="G573" s="68" t="s">
        <v>406</v>
      </c>
      <c r="H573" s="69" t="str">
        <f>IF(Proc[[#This Row],[type]]="LFF (MDG-F)",MID(Proc[[#This Row],[Obj]],13,10),"")</f>
        <v>2123C08478</v>
      </c>
      <c r="J573" s="69" t="b">
        <f>Proc[[#This Row],[Requested]]=Proc[[#This Row],[CurrentParent]]</f>
        <v>1</v>
      </c>
      <c r="K573" s="144" t="str">
        <f>IF(Proc[[#This Row],[Author]]="Marcela Urrego",VLOOKUP(LEFT(Proc[[#This Row],[Requested]],1),Table3[#All],2,0),VLOOKUP(Proc[[#This Row],[Author]],Table4[],2,0))</f>
        <v>MGF</v>
      </c>
      <c r="L573" s="69" t="s">
        <v>509</v>
      </c>
      <c r="M573" s="71">
        <v>45702.63349537037</v>
      </c>
      <c r="N573" s="71">
        <v>45712</v>
      </c>
      <c r="O573" s="71">
        <v>45712</v>
      </c>
      <c r="P573" s="70" t="str">
        <f ca="1">IF(Proc[[#This Row],[DaysAgeing]]&gt;5,"yep","on track")</f>
        <v>yep</v>
      </c>
      <c r="Q573" s="3">
        <f ca="1">IF(Proc[[#This Row],[DateClosed]]="",ABS(NETWORKDAYS(Proc[[#This Row],[DateOpened]],TODAY()))-1,ABS(NETWORKDAYS(Proc[[#This Row],[DateOpened]],Proc[[#This Row],[DateClosed]]))-1)</f>
        <v>6</v>
      </c>
      <c r="R573" s="70" t="s">
        <v>515</v>
      </c>
      <c r="S573" s="69"/>
    </row>
    <row r="574" spans="1:19" hidden="1">
      <c r="A574" s="68" t="s">
        <v>1843</v>
      </c>
      <c r="B574" s="149" t="str">
        <f>IFERROR(VLOOKUP(Proc[[#This Row],[App]],Table2[],3,0),"open")</f>
        <v>ok</v>
      </c>
      <c r="C574" s="68" t="s">
        <v>369</v>
      </c>
      <c r="D574" t="s">
        <v>1904</v>
      </c>
      <c r="E574" t="s">
        <v>1956</v>
      </c>
      <c r="F574" s="117" t="s">
        <v>1956</v>
      </c>
      <c r="G574" s="68" t="s">
        <v>406</v>
      </c>
      <c r="H574" s="69" t="str">
        <f>IF(Proc[[#This Row],[type]]="LFF (MDG-F)",MID(Proc[[#This Row],[Obj]],13,10),"")</f>
        <v>2123C08504</v>
      </c>
      <c r="J574" s="69" t="b">
        <f>Proc[[#This Row],[Requested]]=Proc[[#This Row],[CurrentParent]]</f>
        <v>1</v>
      </c>
      <c r="K574" s="144" t="str">
        <f>IF(Proc[[#This Row],[Author]]="Marcela Urrego",VLOOKUP(LEFT(Proc[[#This Row],[Requested]],1),Table3[#All],2,0),VLOOKUP(Proc[[#This Row],[Author]],Table4[],2,0))</f>
        <v>MGF</v>
      </c>
      <c r="L574" s="69" t="s">
        <v>509</v>
      </c>
      <c r="M574" s="71">
        <v>45702.63349537037</v>
      </c>
      <c r="N574" s="71">
        <v>45712</v>
      </c>
      <c r="O574" s="71">
        <v>45712</v>
      </c>
      <c r="P574" s="70" t="str">
        <f ca="1">IF(Proc[[#This Row],[DaysAgeing]]&gt;5,"yep","on track")</f>
        <v>yep</v>
      </c>
      <c r="Q574" s="3">
        <f ca="1">IF(Proc[[#This Row],[DateClosed]]="",ABS(NETWORKDAYS(Proc[[#This Row],[DateOpened]],TODAY()))-1,ABS(NETWORKDAYS(Proc[[#This Row],[DateOpened]],Proc[[#This Row],[DateClosed]]))-1)</f>
        <v>6</v>
      </c>
      <c r="R574" s="70" t="s">
        <v>515</v>
      </c>
      <c r="S574" s="69"/>
    </row>
    <row r="575" spans="1:19" hidden="1">
      <c r="A575" s="68" t="s">
        <v>1843</v>
      </c>
      <c r="B575" s="149" t="str">
        <f>IFERROR(VLOOKUP(Proc[[#This Row],[App]],Table2[],3,0),"open")</f>
        <v>ok</v>
      </c>
      <c r="C575" s="68" t="s">
        <v>369</v>
      </c>
      <c r="D575" t="s">
        <v>1905</v>
      </c>
      <c r="E575" t="s">
        <v>1956</v>
      </c>
      <c r="F575" s="117" t="s">
        <v>1956</v>
      </c>
      <c r="G575" s="68" t="s">
        <v>406</v>
      </c>
      <c r="H575" s="69" t="str">
        <f>IF(Proc[[#This Row],[type]]="LFF (MDG-F)",MID(Proc[[#This Row],[Obj]],13,10),"")</f>
        <v>2123C0BS05</v>
      </c>
      <c r="J575" s="69" t="b">
        <f>Proc[[#This Row],[Requested]]=Proc[[#This Row],[CurrentParent]]</f>
        <v>1</v>
      </c>
      <c r="K575" s="144" t="str">
        <f>IF(Proc[[#This Row],[Author]]="Marcela Urrego",VLOOKUP(LEFT(Proc[[#This Row],[Requested]],1),Table3[#All],2,0),VLOOKUP(Proc[[#This Row],[Author]],Table4[],2,0))</f>
        <v>MGF</v>
      </c>
      <c r="L575" s="69" t="s">
        <v>509</v>
      </c>
      <c r="M575" s="71">
        <v>45702.63349537037</v>
      </c>
      <c r="N575" s="71">
        <v>45712</v>
      </c>
      <c r="O575" s="71">
        <v>45712</v>
      </c>
      <c r="P575" s="70" t="str">
        <f ca="1">IF(Proc[[#This Row],[DaysAgeing]]&gt;5,"yep","on track")</f>
        <v>yep</v>
      </c>
      <c r="Q575" s="3">
        <f ca="1">IF(Proc[[#This Row],[DateClosed]]="",ABS(NETWORKDAYS(Proc[[#This Row],[DateOpened]],TODAY()))-1,ABS(NETWORKDAYS(Proc[[#This Row],[DateOpened]],Proc[[#This Row],[DateClosed]]))-1)</f>
        <v>6</v>
      </c>
      <c r="R575" s="70" t="s">
        <v>515</v>
      </c>
      <c r="S575" s="69"/>
    </row>
    <row r="576" spans="1:19" hidden="1">
      <c r="A576" s="68" t="s">
        <v>1843</v>
      </c>
      <c r="B576" s="149" t="str">
        <f>IFERROR(VLOOKUP(Proc[[#This Row],[App]],Table2[],3,0),"open")</f>
        <v>ok</v>
      </c>
      <c r="C576" s="68" t="s">
        <v>369</v>
      </c>
      <c r="D576" t="s">
        <v>1906</v>
      </c>
      <c r="E576" t="s">
        <v>1956</v>
      </c>
      <c r="F576" s="117" t="s">
        <v>1956</v>
      </c>
      <c r="G576" s="68" t="s">
        <v>406</v>
      </c>
      <c r="H576" s="69" t="str">
        <f>IF(Proc[[#This Row],[type]]="LFF (MDG-F)",MID(Proc[[#This Row],[Obj]],13,10),"")</f>
        <v>2123C0BS06</v>
      </c>
      <c r="J576" s="69" t="b">
        <f>Proc[[#This Row],[Requested]]=Proc[[#This Row],[CurrentParent]]</f>
        <v>1</v>
      </c>
      <c r="K576" s="144" t="str">
        <f>IF(Proc[[#This Row],[Author]]="Marcela Urrego",VLOOKUP(LEFT(Proc[[#This Row],[Requested]],1),Table3[#All],2,0),VLOOKUP(Proc[[#This Row],[Author]],Table4[],2,0))</f>
        <v>MGF</v>
      </c>
      <c r="L576" s="69" t="s">
        <v>509</v>
      </c>
      <c r="M576" s="71">
        <v>45702.63349537037</v>
      </c>
      <c r="N576" s="71">
        <v>45712</v>
      </c>
      <c r="O576" s="71">
        <v>45712</v>
      </c>
      <c r="P576" s="70" t="str">
        <f ca="1">IF(Proc[[#This Row],[DaysAgeing]]&gt;5,"yep","on track")</f>
        <v>yep</v>
      </c>
      <c r="Q576" s="3">
        <f ca="1">IF(Proc[[#This Row],[DateClosed]]="",ABS(NETWORKDAYS(Proc[[#This Row],[DateOpened]],TODAY()))-1,ABS(NETWORKDAYS(Proc[[#This Row],[DateOpened]],Proc[[#This Row],[DateClosed]]))-1)</f>
        <v>6</v>
      </c>
      <c r="R576" s="70" t="s">
        <v>515</v>
      </c>
      <c r="S576" s="69"/>
    </row>
    <row r="577" spans="1:19" hidden="1">
      <c r="A577" s="68" t="s">
        <v>1843</v>
      </c>
      <c r="B577" s="149" t="str">
        <f>IFERROR(VLOOKUP(Proc[[#This Row],[App]],Table2[],3,0),"open")</f>
        <v>ok</v>
      </c>
      <c r="C577" s="68" t="s">
        <v>369</v>
      </c>
      <c r="D577" t="s">
        <v>1907</v>
      </c>
      <c r="E577" t="s">
        <v>1956</v>
      </c>
      <c r="F577" s="117" t="s">
        <v>1956</v>
      </c>
      <c r="G577" s="68" t="s">
        <v>406</v>
      </c>
      <c r="H577" s="69" t="str">
        <f>IF(Proc[[#This Row],[type]]="LFF (MDG-F)",MID(Proc[[#This Row],[Obj]],13,10),"")</f>
        <v>2123C0BS07</v>
      </c>
      <c r="J577" s="69" t="b">
        <f>Proc[[#This Row],[Requested]]=Proc[[#This Row],[CurrentParent]]</f>
        <v>1</v>
      </c>
      <c r="K577" s="144" t="str">
        <f>IF(Proc[[#This Row],[Author]]="Marcela Urrego",VLOOKUP(LEFT(Proc[[#This Row],[Requested]],1),Table3[#All],2,0),VLOOKUP(Proc[[#This Row],[Author]],Table4[],2,0))</f>
        <v>MGF</v>
      </c>
      <c r="L577" s="69" t="s">
        <v>509</v>
      </c>
      <c r="M577" s="71">
        <v>45702.63349537037</v>
      </c>
      <c r="N577" s="71">
        <v>45712</v>
      </c>
      <c r="O577" s="71">
        <v>45712</v>
      </c>
      <c r="P577" s="70" t="str">
        <f ca="1">IF(Proc[[#This Row],[DaysAgeing]]&gt;5,"yep","on track")</f>
        <v>yep</v>
      </c>
      <c r="Q577" s="3">
        <f ca="1">IF(Proc[[#This Row],[DateClosed]]="",ABS(NETWORKDAYS(Proc[[#This Row],[DateOpened]],TODAY()))-1,ABS(NETWORKDAYS(Proc[[#This Row],[DateOpened]],Proc[[#This Row],[DateClosed]]))-1)</f>
        <v>6</v>
      </c>
      <c r="R577" s="70" t="s">
        <v>515</v>
      </c>
      <c r="S577" s="69"/>
    </row>
    <row r="578" spans="1:19" hidden="1">
      <c r="A578" s="68" t="s">
        <v>1843</v>
      </c>
      <c r="B578" s="149" t="str">
        <f>IFERROR(VLOOKUP(Proc[[#This Row],[App]],Table2[],3,0),"open")</f>
        <v>ok</v>
      </c>
      <c r="C578" s="68" t="s">
        <v>377</v>
      </c>
      <c r="D578" t="s">
        <v>1908</v>
      </c>
      <c r="E578" t="s">
        <v>1956</v>
      </c>
      <c r="F578" s="103" t="s">
        <v>1956</v>
      </c>
      <c r="G578" t="s">
        <v>400</v>
      </c>
      <c r="H578" s="69" t="str">
        <f>IF(Proc[[#This Row],[type]]="LFF (MDG-F)",MID(Proc[[#This Row],[Obj]],13,10),"")</f>
        <v/>
      </c>
      <c r="I578" s="68" t="s">
        <v>1975</v>
      </c>
      <c r="J578" s="69" t="b">
        <f>Proc[[#This Row],[Requested]]=Proc[[#This Row],[CurrentParent]]</f>
        <v>1</v>
      </c>
      <c r="K578" s="144" t="str">
        <f>IF(Proc[[#This Row],[Author]]="Marcela Urrego",VLOOKUP(LEFT(Proc[[#This Row],[Requested]],1),Table3[#All],2,0),VLOOKUP(Proc[[#This Row],[Author]],Table4[],2,0))</f>
        <v>MGF</v>
      </c>
      <c r="L578" s="69" t="s">
        <v>509</v>
      </c>
      <c r="M578" s="71">
        <v>45702.63349537037</v>
      </c>
      <c r="N578" s="71">
        <v>45712</v>
      </c>
      <c r="O578" s="71">
        <v>45712</v>
      </c>
      <c r="P578" s="70" t="str">
        <f ca="1">IF(Proc[[#This Row],[DaysAgeing]]&gt;5,"yep","on track")</f>
        <v>yep</v>
      </c>
      <c r="Q578" s="3">
        <f ca="1">IF(Proc[[#This Row],[DateClosed]]="",ABS(NETWORKDAYS(Proc[[#This Row],[DateOpened]],TODAY()))-1,ABS(NETWORKDAYS(Proc[[#This Row],[DateOpened]],Proc[[#This Row],[DateClosed]]))-1)</f>
        <v>6</v>
      </c>
      <c r="R578" s="70" t="s">
        <v>515</v>
      </c>
      <c r="S578" s="94" t="e">
        <f>VLOOKUP(Proc[[#This Row],[Obj]],#REF!,2,0)</f>
        <v>#REF!</v>
      </c>
    </row>
    <row r="579" spans="1:19" hidden="1">
      <c r="A579" s="68" t="s">
        <v>1843</v>
      </c>
      <c r="B579" s="149" t="str">
        <f>IFERROR(VLOOKUP(Proc[[#This Row],[App]],Table2[],3,0),"open")</f>
        <v>ok</v>
      </c>
      <c r="C579" s="68" t="s">
        <v>369</v>
      </c>
      <c r="D579" t="s">
        <v>1909</v>
      </c>
      <c r="E579" t="s">
        <v>1956</v>
      </c>
      <c r="F579" s="117" t="s">
        <v>1956</v>
      </c>
      <c r="G579" s="68" t="s">
        <v>400</v>
      </c>
      <c r="H579" s="69" t="str">
        <f>IF(Proc[[#This Row],[type]]="LFF (MDG-F)",MID(Proc[[#This Row],[Obj]],13,10),"")</f>
        <v/>
      </c>
      <c r="J579" s="69" t="b">
        <f>Proc[[#This Row],[Requested]]=Proc[[#This Row],[CurrentParent]]</f>
        <v>1</v>
      </c>
      <c r="K579" s="144" t="str">
        <f>IF(Proc[[#This Row],[Author]]="Marcela Urrego",VLOOKUP(LEFT(Proc[[#This Row],[Requested]],1),Table3[#All],2,0),VLOOKUP(Proc[[#This Row],[Author]],Table4[],2,0))</f>
        <v>MGF</v>
      </c>
      <c r="L579" s="69" t="s">
        <v>509</v>
      </c>
      <c r="M579" s="71">
        <v>45702.63349537037</v>
      </c>
      <c r="N579" s="71">
        <v>45712</v>
      </c>
      <c r="O579" s="71">
        <v>45712</v>
      </c>
      <c r="P579" s="70" t="str">
        <f ca="1">IF(Proc[[#This Row],[DaysAgeing]]&gt;5,"yep","on track")</f>
        <v>yep</v>
      </c>
      <c r="Q579" s="3">
        <f ca="1">IF(Proc[[#This Row],[DateClosed]]="",ABS(NETWORKDAYS(Proc[[#This Row],[DateOpened]],TODAY()))-1,ABS(NETWORKDAYS(Proc[[#This Row],[DateOpened]],Proc[[#This Row],[DateClosed]]))-1)</f>
        <v>6</v>
      </c>
      <c r="R579" s="70" t="s">
        <v>515</v>
      </c>
      <c r="S579" s="69"/>
    </row>
    <row r="580" spans="1:19" hidden="1">
      <c r="A580" s="68" t="s">
        <v>1843</v>
      </c>
      <c r="B580" s="149" t="str">
        <f>IFERROR(VLOOKUP(Proc[[#This Row],[App]],Table2[],3,0),"open")</f>
        <v>ok</v>
      </c>
      <c r="C580" s="68" t="s">
        <v>369</v>
      </c>
      <c r="D580" t="s">
        <v>1910</v>
      </c>
      <c r="E580" t="s">
        <v>1957</v>
      </c>
      <c r="F580" s="117" t="s">
        <v>1957</v>
      </c>
      <c r="G580" s="68" t="s">
        <v>406</v>
      </c>
      <c r="H580" s="69" t="str">
        <f>IF(Proc[[#This Row],[type]]="LFF (MDG-F)",MID(Proc[[#This Row],[Obj]],13,10),"")</f>
        <v>2123C00011</v>
      </c>
      <c r="J580" s="69" t="b">
        <f>Proc[[#This Row],[Requested]]=Proc[[#This Row],[CurrentParent]]</f>
        <v>1</v>
      </c>
      <c r="K580" s="144" t="str">
        <f>IF(Proc[[#This Row],[Author]]="Marcela Urrego",VLOOKUP(LEFT(Proc[[#This Row],[Requested]],1),Table3[#All],2,0),VLOOKUP(Proc[[#This Row],[Author]],Table4[],2,0))</f>
        <v>MGF</v>
      </c>
      <c r="L580" s="69" t="s">
        <v>509</v>
      </c>
      <c r="M580" s="71">
        <v>45702.63349537037</v>
      </c>
      <c r="N580" s="71">
        <v>45712</v>
      </c>
      <c r="O580" s="71">
        <v>45712</v>
      </c>
      <c r="P580" s="70" t="str">
        <f ca="1">IF(Proc[[#This Row],[DaysAgeing]]&gt;5,"yep","on track")</f>
        <v>yep</v>
      </c>
      <c r="Q580" s="3">
        <f ca="1">IF(Proc[[#This Row],[DateClosed]]="",ABS(NETWORKDAYS(Proc[[#This Row],[DateOpened]],TODAY()))-1,ABS(NETWORKDAYS(Proc[[#This Row],[DateOpened]],Proc[[#This Row],[DateClosed]]))-1)</f>
        <v>6</v>
      </c>
      <c r="R580" s="70" t="s">
        <v>515</v>
      </c>
      <c r="S580" s="69"/>
    </row>
    <row r="581" spans="1:19" hidden="1">
      <c r="A581" s="68" t="s">
        <v>1843</v>
      </c>
      <c r="B581" s="149" t="str">
        <f>IFERROR(VLOOKUP(Proc[[#This Row],[App]],Table2[],3,0),"open")</f>
        <v>ok</v>
      </c>
      <c r="C581" s="68" t="s">
        <v>369</v>
      </c>
      <c r="D581" t="s">
        <v>1911</v>
      </c>
      <c r="E581" t="s">
        <v>1957</v>
      </c>
      <c r="F581" s="117" t="s">
        <v>1957</v>
      </c>
      <c r="G581" s="68" t="s">
        <v>406</v>
      </c>
      <c r="H581" s="69" t="str">
        <f>IF(Proc[[#This Row],[type]]="LFF (MDG-F)",MID(Proc[[#This Row],[Obj]],13,10),"")</f>
        <v>2123C00078</v>
      </c>
      <c r="J581" s="69" t="b">
        <f>Proc[[#This Row],[Requested]]=Proc[[#This Row],[CurrentParent]]</f>
        <v>1</v>
      </c>
      <c r="K581" s="144" t="str">
        <f>IF(Proc[[#This Row],[Author]]="Marcela Urrego",VLOOKUP(LEFT(Proc[[#This Row],[Requested]],1),Table3[#All],2,0),VLOOKUP(Proc[[#This Row],[Author]],Table4[],2,0))</f>
        <v>MGF</v>
      </c>
      <c r="L581" s="69" t="s">
        <v>509</v>
      </c>
      <c r="M581" s="71">
        <v>45702.63349537037</v>
      </c>
      <c r="N581" s="71">
        <v>45712</v>
      </c>
      <c r="O581" s="71">
        <v>45712</v>
      </c>
      <c r="P581" s="70" t="str">
        <f ca="1">IF(Proc[[#This Row],[DaysAgeing]]&gt;5,"yep","on track")</f>
        <v>yep</v>
      </c>
      <c r="Q581" s="3">
        <f ca="1">IF(Proc[[#This Row],[DateClosed]]="",ABS(NETWORKDAYS(Proc[[#This Row],[DateOpened]],TODAY()))-1,ABS(NETWORKDAYS(Proc[[#This Row],[DateOpened]],Proc[[#This Row],[DateClosed]]))-1)</f>
        <v>6</v>
      </c>
      <c r="R581" s="70" t="s">
        <v>515</v>
      </c>
      <c r="S581" s="69"/>
    </row>
    <row r="582" spans="1:19" hidden="1">
      <c r="A582" s="68" t="s">
        <v>1843</v>
      </c>
      <c r="B582" s="149" t="str">
        <f>IFERROR(VLOOKUP(Proc[[#This Row],[App]],Table2[],3,0),"open")</f>
        <v>ok</v>
      </c>
      <c r="C582" s="68" t="s">
        <v>369</v>
      </c>
      <c r="D582" t="s">
        <v>1912</v>
      </c>
      <c r="E582" t="s">
        <v>1957</v>
      </c>
      <c r="F582" s="117" t="s">
        <v>1957</v>
      </c>
      <c r="G582" s="68" t="s">
        <v>406</v>
      </c>
      <c r="H582" s="69" t="str">
        <f>IF(Proc[[#This Row],[type]]="LFF (MDG-F)",MID(Proc[[#This Row],[Obj]],13,10),"")</f>
        <v>2123C08519</v>
      </c>
      <c r="J582" s="69" t="b">
        <f>Proc[[#This Row],[Requested]]=Proc[[#This Row],[CurrentParent]]</f>
        <v>1</v>
      </c>
      <c r="K582" s="144" t="str">
        <f>IF(Proc[[#This Row],[Author]]="Marcela Urrego",VLOOKUP(LEFT(Proc[[#This Row],[Requested]],1),Table3[#All],2,0),VLOOKUP(Proc[[#This Row],[Author]],Table4[],2,0))</f>
        <v>MGF</v>
      </c>
      <c r="L582" s="69" t="s">
        <v>509</v>
      </c>
      <c r="M582" s="71">
        <v>45702.63349537037</v>
      </c>
      <c r="N582" s="71">
        <v>45712</v>
      </c>
      <c r="O582" s="71">
        <v>45712</v>
      </c>
      <c r="P582" s="70" t="str">
        <f ca="1">IF(Proc[[#This Row],[DaysAgeing]]&gt;5,"yep","on track")</f>
        <v>yep</v>
      </c>
      <c r="Q582" s="3">
        <f ca="1">IF(Proc[[#This Row],[DateClosed]]="",ABS(NETWORKDAYS(Proc[[#This Row],[DateOpened]],TODAY()))-1,ABS(NETWORKDAYS(Proc[[#This Row],[DateOpened]],Proc[[#This Row],[DateClosed]]))-1)</f>
        <v>6</v>
      </c>
      <c r="R582" s="70" t="s">
        <v>515</v>
      </c>
      <c r="S582" s="69"/>
    </row>
    <row r="583" spans="1:19" hidden="1">
      <c r="A583" s="68" t="s">
        <v>1843</v>
      </c>
      <c r="B583" s="149" t="str">
        <f>IFERROR(VLOOKUP(Proc[[#This Row],[App]],Table2[],3,0),"open")</f>
        <v>ok</v>
      </c>
      <c r="C583" s="68" t="s">
        <v>369</v>
      </c>
      <c r="D583" t="s">
        <v>1913</v>
      </c>
      <c r="E583" t="s">
        <v>1958</v>
      </c>
      <c r="F583" s="117" t="s">
        <v>1958</v>
      </c>
      <c r="G583" s="68" t="s">
        <v>406</v>
      </c>
      <c r="H583" s="69" t="str">
        <f>IF(Proc[[#This Row],[type]]="LFF (MDG-F)",MID(Proc[[#This Row],[Obj]],13,10),"")</f>
        <v>2123OF0010</v>
      </c>
      <c r="J583" s="69" t="b">
        <f>Proc[[#This Row],[Requested]]=Proc[[#This Row],[CurrentParent]]</f>
        <v>1</v>
      </c>
      <c r="K583" s="144" t="str">
        <f>IF(Proc[[#This Row],[Author]]="Marcela Urrego",VLOOKUP(LEFT(Proc[[#This Row],[Requested]],1),Table3[#All],2,0),VLOOKUP(Proc[[#This Row],[Author]],Table4[],2,0))</f>
        <v>MGF</v>
      </c>
      <c r="L583" s="69" t="s">
        <v>509</v>
      </c>
      <c r="M583" s="71">
        <v>45702.63349537037</v>
      </c>
      <c r="N583" s="71">
        <v>45712</v>
      </c>
      <c r="O583" s="71">
        <v>45712</v>
      </c>
      <c r="P583" s="70" t="str">
        <f ca="1">IF(Proc[[#This Row],[DaysAgeing]]&gt;5,"yep","on track")</f>
        <v>yep</v>
      </c>
      <c r="Q583" s="3">
        <f ca="1">IF(Proc[[#This Row],[DateClosed]]="",ABS(NETWORKDAYS(Proc[[#This Row],[DateOpened]],TODAY()))-1,ABS(NETWORKDAYS(Proc[[#This Row],[DateOpened]],Proc[[#This Row],[DateClosed]]))-1)</f>
        <v>6</v>
      </c>
      <c r="R583" s="70" t="s">
        <v>515</v>
      </c>
      <c r="S583" s="69"/>
    </row>
    <row r="584" spans="1:19" hidden="1">
      <c r="A584" s="68" t="s">
        <v>1843</v>
      </c>
      <c r="B584" s="149" t="str">
        <f>IFERROR(VLOOKUP(Proc[[#This Row],[App]],Table2[],3,0),"open")</f>
        <v>ok</v>
      </c>
      <c r="C584" s="68" t="s">
        <v>369</v>
      </c>
      <c r="D584" t="s">
        <v>1914</v>
      </c>
      <c r="E584" t="s">
        <v>1959</v>
      </c>
      <c r="F584" s="117" t="s">
        <v>1959</v>
      </c>
      <c r="G584" s="68" t="s">
        <v>406</v>
      </c>
      <c r="H584" s="69" t="str">
        <f>IF(Proc[[#This Row],[type]]="LFF (MDG-F)",MID(Proc[[#This Row],[Obj]],13,10),"")</f>
        <v>2123OF0018</v>
      </c>
      <c r="J584" s="69" t="b">
        <f>Proc[[#This Row],[Requested]]=Proc[[#This Row],[CurrentParent]]</f>
        <v>1</v>
      </c>
      <c r="K584" s="144" t="str">
        <f>IF(Proc[[#This Row],[Author]]="Marcela Urrego",VLOOKUP(LEFT(Proc[[#This Row],[Requested]],1),Table3[#All],2,0),VLOOKUP(Proc[[#This Row],[Author]],Table4[],2,0))</f>
        <v>MGF</v>
      </c>
      <c r="L584" s="69" t="s">
        <v>509</v>
      </c>
      <c r="M584" s="71">
        <v>45702.63349537037</v>
      </c>
      <c r="N584" s="71">
        <v>45712</v>
      </c>
      <c r="O584" s="71">
        <v>45712</v>
      </c>
      <c r="P584" s="70" t="str">
        <f ca="1">IF(Proc[[#This Row],[DaysAgeing]]&gt;5,"yep","on track")</f>
        <v>yep</v>
      </c>
      <c r="Q584" s="3">
        <f ca="1">IF(Proc[[#This Row],[DateClosed]]="",ABS(NETWORKDAYS(Proc[[#This Row],[DateOpened]],TODAY()))-1,ABS(NETWORKDAYS(Proc[[#This Row],[DateOpened]],Proc[[#This Row],[DateClosed]]))-1)</f>
        <v>6</v>
      </c>
      <c r="R584" s="70" t="s">
        <v>515</v>
      </c>
      <c r="S584" s="69"/>
    </row>
    <row r="585" spans="1:19" hidden="1">
      <c r="A585" s="68" t="s">
        <v>1843</v>
      </c>
      <c r="B585" s="149" t="str">
        <f>IFERROR(VLOOKUP(Proc[[#This Row],[App]],Table2[],3,0),"open")</f>
        <v>ok</v>
      </c>
      <c r="C585" s="68" t="s">
        <v>369</v>
      </c>
      <c r="D585" t="s">
        <v>1915</v>
      </c>
      <c r="E585" t="s">
        <v>1960</v>
      </c>
      <c r="F585" s="117" t="s">
        <v>1960</v>
      </c>
      <c r="G585" s="68" t="s">
        <v>406</v>
      </c>
      <c r="H585" s="69" t="str">
        <f>IF(Proc[[#This Row],[type]]="LFF (MDG-F)",MID(Proc[[#This Row],[Obj]],13,10),"")</f>
        <v>2123C00009</v>
      </c>
      <c r="J585" s="69" t="b">
        <f>Proc[[#This Row],[Requested]]=Proc[[#This Row],[CurrentParent]]</f>
        <v>1</v>
      </c>
      <c r="K585" s="144" t="str">
        <f>IF(Proc[[#This Row],[Author]]="Marcela Urrego",VLOOKUP(LEFT(Proc[[#This Row],[Requested]],1),Table3[#All],2,0),VLOOKUP(Proc[[#This Row],[Author]],Table4[],2,0))</f>
        <v>MGF</v>
      </c>
      <c r="L585" s="69" t="s">
        <v>509</v>
      </c>
      <c r="M585" s="71">
        <v>45702.63349537037</v>
      </c>
      <c r="N585" s="71">
        <v>45712</v>
      </c>
      <c r="O585" s="71">
        <v>45712</v>
      </c>
      <c r="P585" s="70" t="str">
        <f ca="1">IF(Proc[[#This Row],[DaysAgeing]]&gt;5,"yep","on track")</f>
        <v>yep</v>
      </c>
      <c r="Q585" s="3">
        <f ca="1">IF(Proc[[#This Row],[DateClosed]]="",ABS(NETWORKDAYS(Proc[[#This Row],[DateOpened]],TODAY()))-1,ABS(NETWORKDAYS(Proc[[#This Row],[DateOpened]],Proc[[#This Row],[DateClosed]]))-1)</f>
        <v>6</v>
      </c>
      <c r="R585" s="70" t="s">
        <v>515</v>
      </c>
      <c r="S585" s="69"/>
    </row>
    <row r="586" spans="1:19" hidden="1">
      <c r="A586" s="68" t="s">
        <v>1843</v>
      </c>
      <c r="B586" s="149" t="str">
        <f>IFERROR(VLOOKUP(Proc[[#This Row],[App]],Table2[],3,0),"open")</f>
        <v>ok</v>
      </c>
      <c r="C586" s="68" t="s">
        <v>369</v>
      </c>
      <c r="D586" t="s">
        <v>1916</v>
      </c>
      <c r="E586" t="s">
        <v>1961</v>
      </c>
      <c r="F586" s="117" t="s">
        <v>1961</v>
      </c>
      <c r="G586" s="68" t="s">
        <v>406</v>
      </c>
      <c r="H586" s="69" t="str">
        <f>IF(Proc[[#This Row],[type]]="LFF (MDG-F)",MID(Proc[[#This Row],[Obj]],13,10),"")</f>
        <v>2123C00022</v>
      </c>
      <c r="J586" s="69" t="b">
        <f>Proc[[#This Row],[Requested]]=Proc[[#This Row],[CurrentParent]]</f>
        <v>1</v>
      </c>
      <c r="K586" s="144" t="str">
        <f>IF(Proc[[#This Row],[Author]]="Marcela Urrego",VLOOKUP(LEFT(Proc[[#This Row],[Requested]],1),Table3[#All],2,0),VLOOKUP(Proc[[#This Row],[Author]],Table4[],2,0))</f>
        <v>MGF</v>
      </c>
      <c r="L586" s="69" t="s">
        <v>509</v>
      </c>
      <c r="M586" s="71">
        <v>45702.63349537037</v>
      </c>
      <c r="N586" s="71">
        <v>45712</v>
      </c>
      <c r="O586" s="71">
        <v>45712</v>
      </c>
      <c r="P586" s="70" t="str">
        <f ca="1">IF(Proc[[#This Row],[DaysAgeing]]&gt;5,"yep","on track")</f>
        <v>yep</v>
      </c>
      <c r="Q586" s="3">
        <f ca="1">IF(Proc[[#This Row],[DateClosed]]="",ABS(NETWORKDAYS(Proc[[#This Row],[DateOpened]],TODAY()))-1,ABS(NETWORKDAYS(Proc[[#This Row],[DateOpened]],Proc[[#This Row],[DateClosed]]))-1)</f>
        <v>6</v>
      </c>
      <c r="R586" s="70" t="s">
        <v>515</v>
      </c>
      <c r="S586" s="69"/>
    </row>
    <row r="587" spans="1:19" hidden="1">
      <c r="A587" s="68" t="s">
        <v>1843</v>
      </c>
      <c r="B587" s="149" t="str">
        <f>IFERROR(VLOOKUP(Proc[[#This Row],[App]],Table2[],3,0),"open")</f>
        <v>ok</v>
      </c>
      <c r="C587" s="68" t="s">
        <v>369</v>
      </c>
      <c r="D587" t="s">
        <v>1917</v>
      </c>
      <c r="E587" t="s">
        <v>1961</v>
      </c>
      <c r="F587" s="117" t="s">
        <v>1961</v>
      </c>
      <c r="G587" s="68" t="s">
        <v>406</v>
      </c>
      <c r="H587" s="69" t="str">
        <f>IF(Proc[[#This Row],[type]]="LFF (MDG-F)",MID(Proc[[#This Row],[Obj]],13,10),"")</f>
        <v>2123C00098</v>
      </c>
      <c r="J587" s="69" t="b">
        <f>Proc[[#This Row],[Requested]]=Proc[[#This Row],[CurrentParent]]</f>
        <v>1</v>
      </c>
      <c r="K587" s="144" t="str">
        <f>IF(Proc[[#This Row],[Author]]="Marcela Urrego",VLOOKUP(LEFT(Proc[[#This Row],[Requested]],1),Table3[#All],2,0),VLOOKUP(Proc[[#This Row],[Author]],Table4[],2,0))</f>
        <v>MGF</v>
      </c>
      <c r="L587" s="69" t="s">
        <v>509</v>
      </c>
      <c r="M587" s="71">
        <v>45702.63349537037</v>
      </c>
      <c r="N587" s="71">
        <v>45712</v>
      </c>
      <c r="O587" s="71">
        <v>45712</v>
      </c>
      <c r="P587" s="70" t="str">
        <f ca="1">IF(Proc[[#This Row],[DaysAgeing]]&gt;5,"yep","on track")</f>
        <v>yep</v>
      </c>
      <c r="Q587" s="3">
        <f ca="1">IF(Proc[[#This Row],[DateClosed]]="",ABS(NETWORKDAYS(Proc[[#This Row],[DateOpened]],TODAY()))-1,ABS(NETWORKDAYS(Proc[[#This Row],[DateOpened]],Proc[[#This Row],[DateClosed]]))-1)</f>
        <v>6</v>
      </c>
      <c r="R587" s="70" t="s">
        <v>515</v>
      </c>
      <c r="S587" s="69"/>
    </row>
    <row r="588" spans="1:19" hidden="1">
      <c r="A588" s="68" t="s">
        <v>1843</v>
      </c>
      <c r="B588" s="149" t="str">
        <f>IFERROR(VLOOKUP(Proc[[#This Row],[App]],Table2[],3,0),"open")</f>
        <v>ok</v>
      </c>
      <c r="C588" s="68" t="s">
        <v>369</v>
      </c>
      <c r="D588" t="s">
        <v>1918</v>
      </c>
      <c r="E588" t="s">
        <v>1960</v>
      </c>
      <c r="F588" s="117" t="s">
        <v>1960</v>
      </c>
      <c r="G588" s="68" t="s">
        <v>406</v>
      </c>
      <c r="H588" s="69" t="str">
        <f>IF(Proc[[#This Row],[type]]="LFF (MDG-F)",MID(Proc[[#This Row],[Obj]],13,10),"")</f>
        <v>2123C00103</v>
      </c>
      <c r="J588" s="69" t="b">
        <f>Proc[[#This Row],[Requested]]=Proc[[#This Row],[CurrentParent]]</f>
        <v>1</v>
      </c>
      <c r="K588" s="144" t="str">
        <f>IF(Proc[[#This Row],[Author]]="Marcela Urrego",VLOOKUP(LEFT(Proc[[#This Row],[Requested]],1),Table3[#All],2,0),VLOOKUP(Proc[[#This Row],[Author]],Table4[],2,0))</f>
        <v>MGF</v>
      </c>
      <c r="L588" s="69" t="s">
        <v>509</v>
      </c>
      <c r="M588" s="71">
        <v>45702.63349537037</v>
      </c>
      <c r="N588" s="71">
        <v>45712</v>
      </c>
      <c r="O588" s="71">
        <v>45712</v>
      </c>
      <c r="P588" s="70" t="str">
        <f ca="1">IF(Proc[[#This Row],[DaysAgeing]]&gt;5,"yep","on track")</f>
        <v>yep</v>
      </c>
      <c r="Q588" s="3">
        <f ca="1">IF(Proc[[#This Row],[DateClosed]]="",ABS(NETWORKDAYS(Proc[[#This Row],[DateOpened]],TODAY()))-1,ABS(NETWORKDAYS(Proc[[#This Row],[DateOpened]],Proc[[#This Row],[DateClosed]]))-1)</f>
        <v>6</v>
      </c>
      <c r="R588" s="70" t="s">
        <v>515</v>
      </c>
      <c r="S588" s="69"/>
    </row>
    <row r="589" spans="1:19" hidden="1">
      <c r="A589" s="68" t="s">
        <v>1843</v>
      </c>
      <c r="B589" s="149" t="str">
        <f>IFERROR(VLOOKUP(Proc[[#This Row],[App]],Table2[],3,0),"open")</f>
        <v>ok</v>
      </c>
      <c r="C589" s="68" t="s">
        <v>369</v>
      </c>
      <c r="D589" t="s">
        <v>1919</v>
      </c>
      <c r="E589" t="s">
        <v>1945</v>
      </c>
      <c r="F589" s="117" t="s">
        <v>1945</v>
      </c>
      <c r="G589" s="68" t="s">
        <v>406</v>
      </c>
      <c r="H589" s="69" t="str">
        <f>IF(Proc[[#This Row],[type]]="LFF (MDG-F)",MID(Proc[[#This Row],[Obj]],13,10),"")</f>
        <v>2123C00102</v>
      </c>
      <c r="J589" s="69" t="b">
        <f>Proc[[#This Row],[Requested]]=Proc[[#This Row],[CurrentParent]]</f>
        <v>1</v>
      </c>
      <c r="K589" s="144" t="str">
        <f>IF(Proc[[#This Row],[Author]]="Marcela Urrego",VLOOKUP(LEFT(Proc[[#This Row],[Requested]],1),Table3[#All],2,0),VLOOKUP(Proc[[#This Row],[Author]],Table4[],2,0))</f>
        <v>MGF</v>
      </c>
      <c r="L589" s="69" t="s">
        <v>509</v>
      </c>
      <c r="M589" s="71">
        <v>45702.63349537037</v>
      </c>
      <c r="N589" s="71">
        <v>45712</v>
      </c>
      <c r="O589" s="71">
        <v>45712</v>
      </c>
      <c r="P589" s="70" t="str">
        <f ca="1">IF(Proc[[#This Row],[DaysAgeing]]&gt;5,"yep","on track")</f>
        <v>yep</v>
      </c>
      <c r="Q589" s="3">
        <f ca="1">IF(Proc[[#This Row],[DateClosed]]="",ABS(NETWORKDAYS(Proc[[#This Row],[DateOpened]],TODAY()))-1,ABS(NETWORKDAYS(Proc[[#This Row],[DateOpened]],Proc[[#This Row],[DateClosed]]))-1)</f>
        <v>6</v>
      </c>
      <c r="R589" s="70" t="s">
        <v>515</v>
      </c>
      <c r="S589" s="69"/>
    </row>
    <row r="590" spans="1:19" hidden="1">
      <c r="A590" s="68" t="s">
        <v>1843</v>
      </c>
      <c r="B590" s="149" t="str">
        <f>IFERROR(VLOOKUP(Proc[[#This Row],[App]],Table2[],3,0),"open")</f>
        <v>ok</v>
      </c>
      <c r="C590" s="68" t="s">
        <v>369</v>
      </c>
      <c r="D590" t="s">
        <v>1920</v>
      </c>
      <c r="E590" t="s">
        <v>1945</v>
      </c>
      <c r="F590" s="117" t="s">
        <v>1945</v>
      </c>
      <c r="G590" s="68" t="s">
        <v>406</v>
      </c>
      <c r="H590" s="69" t="str">
        <f>IF(Proc[[#This Row],[type]]="LFF (MDG-F)",MID(Proc[[#This Row],[Obj]],13,10),"")</f>
        <v>2123OF0009</v>
      </c>
      <c r="J590" s="69" t="b">
        <f>Proc[[#This Row],[Requested]]=Proc[[#This Row],[CurrentParent]]</f>
        <v>1</v>
      </c>
      <c r="K590" s="144" t="str">
        <f>IF(Proc[[#This Row],[Author]]="Marcela Urrego",VLOOKUP(LEFT(Proc[[#This Row],[Requested]],1),Table3[#All],2,0),VLOOKUP(Proc[[#This Row],[Author]],Table4[],2,0))</f>
        <v>MGF</v>
      </c>
      <c r="L590" s="69" t="s">
        <v>509</v>
      </c>
      <c r="M590" s="71">
        <v>45702.63349537037</v>
      </c>
      <c r="N590" s="71">
        <v>45712</v>
      </c>
      <c r="O590" s="71">
        <v>45712</v>
      </c>
      <c r="P590" s="70" t="str">
        <f ca="1">IF(Proc[[#This Row],[DaysAgeing]]&gt;5,"yep","on track")</f>
        <v>yep</v>
      </c>
      <c r="Q590" s="3">
        <f ca="1">IF(Proc[[#This Row],[DateClosed]]="",ABS(NETWORKDAYS(Proc[[#This Row],[DateOpened]],TODAY()))-1,ABS(NETWORKDAYS(Proc[[#This Row],[DateOpened]],Proc[[#This Row],[DateClosed]]))-1)</f>
        <v>6</v>
      </c>
      <c r="R590" s="70" t="s">
        <v>515</v>
      </c>
      <c r="S590" s="69"/>
    </row>
    <row r="591" spans="1:19" hidden="1">
      <c r="A591" s="68" t="s">
        <v>1843</v>
      </c>
      <c r="B591" s="149" t="str">
        <f>IFERROR(VLOOKUP(Proc[[#This Row],[App]],Table2[],3,0),"open")</f>
        <v>ok</v>
      </c>
      <c r="C591" s="68" t="s">
        <v>369</v>
      </c>
      <c r="D591" t="s">
        <v>1921</v>
      </c>
      <c r="E591" t="s">
        <v>1962</v>
      </c>
      <c r="F591" s="117" t="s">
        <v>1962</v>
      </c>
      <c r="G591" s="68" t="s">
        <v>406</v>
      </c>
      <c r="H591" s="69" t="str">
        <f>IF(Proc[[#This Row],[type]]="LFF (MDG-F)",MID(Proc[[#This Row],[Obj]],13,10),"")</f>
        <v>2123TPSZ91</v>
      </c>
      <c r="J591" s="69" t="b">
        <f>Proc[[#This Row],[Requested]]=Proc[[#This Row],[CurrentParent]]</f>
        <v>1</v>
      </c>
      <c r="K591" s="144" t="str">
        <f>IF(Proc[[#This Row],[Author]]="Marcela Urrego",VLOOKUP(LEFT(Proc[[#This Row],[Requested]],1),Table3[#All],2,0),VLOOKUP(Proc[[#This Row],[Author]],Table4[],2,0))</f>
        <v>MGF</v>
      </c>
      <c r="L591" s="69" t="s">
        <v>509</v>
      </c>
      <c r="M591" s="71">
        <v>45702.63349537037</v>
      </c>
      <c r="N591" s="71">
        <v>45712</v>
      </c>
      <c r="O591" s="71">
        <v>45712</v>
      </c>
      <c r="P591" s="70" t="str">
        <f ca="1">IF(Proc[[#This Row],[DaysAgeing]]&gt;5,"yep","on track")</f>
        <v>yep</v>
      </c>
      <c r="Q591" s="3">
        <f ca="1">IF(Proc[[#This Row],[DateClosed]]="",ABS(NETWORKDAYS(Proc[[#This Row],[DateOpened]],TODAY()))-1,ABS(NETWORKDAYS(Proc[[#This Row],[DateOpened]],Proc[[#This Row],[DateClosed]]))-1)</f>
        <v>6</v>
      </c>
      <c r="R591" s="70" t="s">
        <v>515</v>
      </c>
      <c r="S591" s="69"/>
    </row>
    <row r="592" spans="1:19" hidden="1">
      <c r="A592" s="68" t="s">
        <v>1843</v>
      </c>
      <c r="B592" s="149" t="str">
        <f>IFERROR(VLOOKUP(Proc[[#This Row],[App]],Table2[],3,0),"open")</f>
        <v>ok</v>
      </c>
      <c r="C592" s="68" t="s">
        <v>369</v>
      </c>
      <c r="D592" t="s">
        <v>1922</v>
      </c>
      <c r="E592" t="s">
        <v>1963</v>
      </c>
      <c r="F592" s="117" t="s">
        <v>1963</v>
      </c>
      <c r="G592" s="68" t="s">
        <v>406</v>
      </c>
      <c r="H592" s="69" t="str">
        <f>IF(Proc[[#This Row],[type]]="LFF (MDG-F)",MID(Proc[[#This Row],[Obj]],13,10),"")</f>
        <v>2123TPSZ93</v>
      </c>
      <c r="J592" s="69" t="b">
        <f>Proc[[#This Row],[Requested]]=Proc[[#This Row],[CurrentParent]]</f>
        <v>1</v>
      </c>
      <c r="K592" s="144" t="str">
        <f>IF(Proc[[#This Row],[Author]]="Marcela Urrego",VLOOKUP(LEFT(Proc[[#This Row],[Requested]],1),Table3[#All],2,0),VLOOKUP(Proc[[#This Row],[Author]],Table4[],2,0))</f>
        <v>MGF</v>
      </c>
      <c r="L592" s="69" t="s">
        <v>509</v>
      </c>
      <c r="M592" s="71">
        <v>45702.63349537037</v>
      </c>
      <c r="N592" s="71">
        <v>45712</v>
      </c>
      <c r="O592" s="71">
        <v>45712</v>
      </c>
      <c r="P592" s="70" t="str">
        <f ca="1">IF(Proc[[#This Row],[DaysAgeing]]&gt;5,"yep","on track")</f>
        <v>yep</v>
      </c>
      <c r="Q592" s="3">
        <f ca="1">IF(Proc[[#This Row],[DateClosed]]="",ABS(NETWORKDAYS(Proc[[#This Row],[DateOpened]],TODAY()))-1,ABS(NETWORKDAYS(Proc[[#This Row],[DateOpened]],Proc[[#This Row],[DateClosed]]))-1)</f>
        <v>6</v>
      </c>
      <c r="R592" s="70" t="s">
        <v>515</v>
      </c>
      <c r="S592" s="69"/>
    </row>
    <row r="593" spans="1:19" hidden="1">
      <c r="A593" s="68" t="s">
        <v>1843</v>
      </c>
      <c r="B593" s="149" t="str">
        <f>IFERROR(VLOOKUP(Proc[[#This Row],[App]],Table2[],3,0),"open")</f>
        <v>ok</v>
      </c>
      <c r="C593" s="68" t="s">
        <v>369</v>
      </c>
      <c r="D593" t="s">
        <v>1923</v>
      </c>
      <c r="E593" t="s">
        <v>1964</v>
      </c>
      <c r="F593" s="117" t="s">
        <v>1964</v>
      </c>
      <c r="G593" s="68" t="s">
        <v>406</v>
      </c>
      <c r="H593" s="69" t="str">
        <f>IF(Proc[[#This Row],[type]]="LFF (MDG-F)",MID(Proc[[#This Row],[Obj]],13,10),"")</f>
        <v>2123L80001</v>
      </c>
      <c r="J593" s="69" t="b">
        <f>Proc[[#This Row],[Requested]]=Proc[[#This Row],[CurrentParent]]</f>
        <v>1</v>
      </c>
      <c r="K593" s="144" t="str">
        <f>IF(Proc[[#This Row],[Author]]="Marcela Urrego",VLOOKUP(LEFT(Proc[[#This Row],[Requested]],1),Table3[#All],2,0),VLOOKUP(Proc[[#This Row],[Author]],Table4[],2,0))</f>
        <v>MGF</v>
      </c>
      <c r="L593" s="69" t="s">
        <v>509</v>
      </c>
      <c r="M593" s="71">
        <v>45702.63349537037</v>
      </c>
      <c r="N593" s="71">
        <v>45712</v>
      </c>
      <c r="O593" s="71">
        <v>45712</v>
      </c>
      <c r="P593" s="70" t="str">
        <f ca="1">IF(Proc[[#This Row],[DaysAgeing]]&gt;5,"yep","on track")</f>
        <v>yep</v>
      </c>
      <c r="Q593" s="3">
        <f ca="1">IF(Proc[[#This Row],[DateClosed]]="",ABS(NETWORKDAYS(Proc[[#This Row],[DateOpened]],TODAY()))-1,ABS(NETWORKDAYS(Proc[[#This Row],[DateOpened]],Proc[[#This Row],[DateClosed]]))-1)</f>
        <v>6</v>
      </c>
      <c r="R593" s="70" t="s">
        <v>515</v>
      </c>
      <c r="S593" s="69"/>
    </row>
    <row r="594" spans="1:19" hidden="1">
      <c r="A594" s="68" t="s">
        <v>1843</v>
      </c>
      <c r="B594" s="149" t="str">
        <f>IFERROR(VLOOKUP(Proc[[#This Row],[App]],Table2[],3,0),"open")</f>
        <v>ok</v>
      </c>
      <c r="C594" s="68" t="s">
        <v>369</v>
      </c>
      <c r="D594" t="s">
        <v>1924</v>
      </c>
      <c r="E594" t="s">
        <v>1964</v>
      </c>
      <c r="F594" s="117" t="s">
        <v>1964</v>
      </c>
      <c r="G594" s="68" t="s">
        <v>406</v>
      </c>
      <c r="H594" s="69" t="str">
        <f>IF(Proc[[#This Row],[type]]="LFF (MDG-F)",MID(Proc[[#This Row],[Obj]],13,10),"")</f>
        <v>2123TPSZ90</v>
      </c>
      <c r="J594" s="69" t="b">
        <f>Proc[[#This Row],[Requested]]=Proc[[#This Row],[CurrentParent]]</f>
        <v>1</v>
      </c>
      <c r="K594" s="144" t="str">
        <f>IF(Proc[[#This Row],[Author]]="Marcela Urrego",VLOOKUP(LEFT(Proc[[#This Row],[Requested]],1),Table3[#All],2,0),VLOOKUP(Proc[[#This Row],[Author]],Table4[],2,0))</f>
        <v>MGF</v>
      </c>
      <c r="L594" s="69" t="s">
        <v>509</v>
      </c>
      <c r="M594" s="71">
        <v>45702.63349537037</v>
      </c>
      <c r="N594" s="71">
        <v>45712</v>
      </c>
      <c r="O594" s="71">
        <v>45712</v>
      </c>
      <c r="P594" s="70" t="str">
        <f ca="1">IF(Proc[[#This Row],[DaysAgeing]]&gt;5,"yep","on track")</f>
        <v>yep</v>
      </c>
      <c r="Q594" s="3">
        <f ca="1">IF(Proc[[#This Row],[DateClosed]]="",ABS(NETWORKDAYS(Proc[[#This Row],[DateOpened]],TODAY()))-1,ABS(NETWORKDAYS(Proc[[#This Row],[DateOpened]],Proc[[#This Row],[DateClosed]]))-1)</f>
        <v>6</v>
      </c>
      <c r="R594" s="70" t="s">
        <v>515</v>
      </c>
      <c r="S594" s="69"/>
    </row>
    <row r="595" spans="1:19" hidden="1">
      <c r="A595" s="68" t="s">
        <v>1843</v>
      </c>
      <c r="B595" s="149" t="str">
        <f>IFERROR(VLOOKUP(Proc[[#This Row],[App]],Table2[],3,0),"open")</f>
        <v>ok</v>
      </c>
      <c r="C595" s="68" t="s">
        <v>369</v>
      </c>
      <c r="D595" t="s">
        <v>1925</v>
      </c>
      <c r="E595" t="s">
        <v>1965</v>
      </c>
      <c r="F595" s="117" t="s">
        <v>1965</v>
      </c>
      <c r="G595" s="68" t="s">
        <v>406</v>
      </c>
      <c r="H595" s="69" t="str">
        <f>IF(Proc[[#This Row],[type]]="LFF (MDG-F)",MID(Proc[[#This Row],[Obj]],13,10),"")</f>
        <v>2123TQJZ94</v>
      </c>
      <c r="J595" s="69" t="b">
        <f>Proc[[#This Row],[Requested]]=Proc[[#This Row],[CurrentParent]]</f>
        <v>1</v>
      </c>
      <c r="K595" s="144" t="str">
        <f>IF(Proc[[#This Row],[Author]]="Marcela Urrego",VLOOKUP(LEFT(Proc[[#This Row],[Requested]],1),Table3[#All],2,0),VLOOKUP(Proc[[#This Row],[Author]],Table4[],2,0))</f>
        <v>MGF</v>
      </c>
      <c r="L595" s="69" t="s">
        <v>509</v>
      </c>
      <c r="M595" s="71">
        <v>45702.63349537037</v>
      </c>
      <c r="N595" s="71">
        <v>45712</v>
      </c>
      <c r="O595" s="71">
        <v>45712</v>
      </c>
      <c r="P595" s="70" t="str">
        <f ca="1">IF(Proc[[#This Row],[DaysAgeing]]&gt;5,"yep","on track")</f>
        <v>yep</v>
      </c>
      <c r="Q595" s="3">
        <f ca="1">IF(Proc[[#This Row],[DateClosed]]="",ABS(NETWORKDAYS(Proc[[#This Row],[DateOpened]],TODAY()))-1,ABS(NETWORKDAYS(Proc[[#This Row],[DateOpened]],Proc[[#This Row],[DateClosed]]))-1)</f>
        <v>6</v>
      </c>
      <c r="R595" s="70" t="s">
        <v>515</v>
      </c>
      <c r="S595" s="69"/>
    </row>
    <row r="596" spans="1:19" hidden="1">
      <c r="A596" s="68" t="s">
        <v>1843</v>
      </c>
      <c r="B596" s="149" t="str">
        <f>IFERROR(VLOOKUP(Proc[[#This Row],[App]],Table2[],3,0),"open")</f>
        <v>ok</v>
      </c>
      <c r="C596" s="68" t="s">
        <v>369</v>
      </c>
      <c r="D596" t="s">
        <v>1926</v>
      </c>
      <c r="E596" t="s">
        <v>1966</v>
      </c>
      <c r="F596" s="117" t="s">
        <v>1966</v>
      </c>
      <c r="G596" s="68" t="s">
        <v>406</v>
      </c>
      <c r="H596" s="69" t="str">
        <f>IF(Proc[[#This Row],[type]]="LFF (MDG-F)",MID(Proc[[#This Row],[Obj]],13,10),"")</f>
        <v>2123OF0015</v>
      </c>
      <c r="J596" s="69" t="b">
        <f>Proc[[#This Row],[Requested]]=Proc[[#This Row],[CurrentParent]]</f>
        <v>1</v>
      </c>
      <c r="K596" s="144" t="str">
        <f>IF(Proc[[#This Row],[Author]]="Marcela Urrego",VLOOKUP(LEFT(Proc[[#This Row],[Requested]],1),Table3[#All],2,0),VLOOKUP(Proc[[#This Row],[Author]],Table4[],2,0))</f>
        <v>MGF</v>
      </c>
      <c r="L596" s="69" t="s">
        <v>509</v>
      </c>
      <c r="M596" s="71">
        <v>45702.63349537037</v>
      </c>
      <c r="N596" s="71">
        <v>45712</v>
      </c>
      <c r="O596" s="71">
        <v>45712</v>
      </c>
      <c r="P596" s="70" t="str">
        <f ca="1">IF(Proc[[#This Row],[DaysAgeing]]&gt;5,"yep","on track")</f>
        <v>yep</v>
      </c>
      <c r="Q596" s="3">
        <f ca="1">IF(Proc[[#This Row],[DateClosed]]="",ABS(NETWORKDAYS(Proc[[#This Row],[DateOpened]],TODAY()))-1,ABS(NETWORKDAYS(Proc[[#This Row],[DateOpened]],Proc[[#This Row],[DateClosed]]))-1)</f>
        <v>6</v>
      </c>
      <c r="R596" s="70" t="s">
        <v>515</v>
      </c>
      <c r="S596" s="69"/>
    </row>
    <row r="597" spans="1:19" hidden="1">
      <c r="A597" s="68" t="s">
        <v>1843</v>
      </c>
      <c r="B597" s="149" t="str">
        <f>IFERROR(VLOOKUP(Proc[[#This Row],[App]],Table2[],3,0),"open")</f>
        <v>ok</v>
      </c>
      <c r="C597" s="68" t="s">
        <v>369</v>
      </c>
      <c r="D597" t="s">
        <v>1927</v>
      </c>
      <c r="E597" t="s">
        <v>1967</v>
      </c>
      <c r="F597" s="117" t="s">
        <v>1967</v>
      </c>
      <c r="G597" s="68" t="s">
        <v>406</v>
      </c>
      <c r="H597" s="69" t="str">
        <f>IF(Proc[[#This Row],[type]]="LFF (MDG-F)",MID(Proc[[#This Row],[Obj]],13,10),"")</f>
        <v>2123L50024</v>
      </c>
      <c r="J597" s="69" t="b">
        <f>Proc[[#This Row],[Requested]]=Proc[[#This Row],[CurrentParent]]</f>
        <v>1</v>
      </c>
      <c r="K597" s="144" t="str">
        <f>IF(Proc[[#This Row],[Author]]="Marcela Urrego",VLOOKUP(LEFT(Proc[[#This Row],[Requested]],1),Table3[#All],2,0),VLOOKUP(Proc[[#This Row],[Author]],Table4[],2,0))</f>
        <v>MGF</v>
      </c>
      <c r="L597" s="69" t="s">
        <v>509</v>
      </c>
      <c r="M597" s="71">
        <v>45702.63349537037</v>
      </c>
      <c r="N597" s="71">
        <v>45712</v>
      </c>
      <c r="O597" s="71">
        <v>45712</v>
      </c>
      <c r="P597" s="70" t="str">
        <f ca="1">IF(Proc[[#This Row],[DaysAgeing]]&gt;5,"yep","on track")</f>
        <v>yep</v>
      </c>
      <c r="Q597" s="3">
        <f ca="1">IF(Proc[[#This Row],[DateClosed]]="",ABS(NETWORKDAYS(Proc[[#This Row],[DateOpened]],TODAY()))-1,ABS(NETWORKDAYS(Proc[[#This Row],[DateOpened]],Proc[[#This Row],[DateClosed]]))-1)</f>
        <v>6</v>
      </c>
      <c r="R597" s="70" t="s">
        <v>515</v>
      </c>
      <c r="S597" s="69"/>
    </row>
    <row r="598" spans="1:19" hidden="1">
      <c r="A598" s="68" t="s">
        <v>1843</v>
      </c>
      <c r="B598" s="149" t="str">
        <f>IFERROR(VLOOKUP(Proc[[#This Row],[App]],Table2[],3,0),"open")</f>
        <v>ok</v>
      </c>
      <c r="C598" s="68" t="s">
        <v>369</v>
      </c>
      <c r="D598" t="s">
        <v>1928</v>
      </c>
      <c r="E598" t="s">
        <v>1967</v>
      </c>
      <c r="F598" s="117" t="s">
        <v>1967</v>
      </c>
      <c r="G598" s="68" t="s">
        <v>406</v>
      </c>
      <c r="H598" s="69" t="str">
        <f>IF(Proc[[#This Row],[type]]="LFF (MDG-F)",MID(Proc[[#This Row],[Obj]],13,10),"")</f>
        <v>2123L58472</v>
      </c>
      <c r="J598" s="69" t="b">
        <f>Proc[[#This Row],[Requested]]=Proc[[#This Row],[CurrentParent]]</f>
        <v>1</v>
      </c>
      <c r="K598" s="144" t="str">
        <f>IF(Proc[[#This Row],[Author]]="Marcela Urrego",VLOOKUP(LEFT(Proc[[#This Row],[Requested]],1),Table3[#All],2,0),VLOOKUP(Proc[[#This Row],[Author]],Table4[],2,0))</f>
        <v>MGF</v>
      </c>
      <c r="L598" s="69" t="s">
        <v>509</v>
      </c>
      <c r="M598" s="71">
        <v>45702.63349537037</v>
      </c>
      <c r="N598" s="71">
        <v>45712</v>
      </c>
      <c r="O598" s="71">
        <v>45712</v>
      </c>
      <c r="P598" s="70" t="str">
        <f ca="1">IF(Proc[[#This Row],[DaysAgeing]]&gt;5,"yep","on track")</f>
        <v>yep</v>
      </c>
      <c r="Q598" s="3">
        <f ca="1">IF(Proc[[#This Row],[DateClosed]]="",ABS(NETWORKDAYS(Proc[[#This Row],[DateOpened]],TODAY()))-1,ABS(NETWORKDAYS(Proc[[#This Row],[DateOpened]],Proc[[#This Row],[DateClosed]]))-1)</f>
        <v>6</v>
      </c>
      <c r="R598" s="70" t="s">
        <v>515</v>
      </c>
      <c r="S598" s="69"/>
    </row>
    <row r="599" spans="1:19" hidden="1">
      <c r="A599" s="68" t="s">
        <v>1843</v>
      </c>
      <c r="B599" s="149" t="str">
        <f>IFERROR(VLOOKUP(Proc[[#This Row],[App]],Table2[],3,0),"open")</f>
        <v>ok</v>
      </c>
      <c r="C599" s="68" t="s">
        <v>369</v>
      </c>
      <c r="D599" t="s">
        <v>1929</v>
      </c>
      <c r="E599" t="s">
        <v>1967</v>
      </c>
      <c r="F599" s="117" t="s">
        <v>1967</v>
      </c>
      <c r="G599" s="68" t="s">
        <v>406</v>
      </c>
      <c r="H599" s="69" t="str">
        <f>IF(Proc[[#This Row],[type]]="LFF (MDG-F)",MID(Proc[[#This Row],[Obj]],13,10),"")</f>
        <v>2123L50006</v>
      </c>
      <c r="J599" s="69" t="b">
        <f>Proc[[#This Row],[Requested]]=Proc[[#This Row],[CurrentParent]]</f>
        <v>1</v>
      </c>
      <c r="K599" s="144" t="str">
        <f>IF(Proc[[#This Row],[Author]]="Marcela Urrego",VLOOKUP(LEFT(Proc[[#This Row],[Requested]],1),Table3[#All],2,0),VLOOKUP(Proc[[#This Row],[Author]],Table4[],2,0))</f>
        <v>MGF</v>
      </c>
      <c r="L599" s="69" t="s">
        <v>509</v>
      </c>
      <c r="M599" s="71">
        <v>45702.63349537037</v>
      </c>
      <c r="N599" s="71">
        <v>45712</v>
      </c>
      <c r="O599" s="71">
        <v>45712</v>
      </c>
      <c r="P599" s="70" t="str">
        <f ca="1">IF(Proc[[#This Row],[DaysAgeing]]&gt;5,"yep","on track")</f>
        <v>yep</v>
      </c>
      <c r="Q599" s="3">
        <f ca="1">IF(Proc[[#This Row],[DateClosed]]="",ABS(NETWORKDAYS(Proc[[#This Row],[DateOpened]],TODAY()))-1,ABS(NETWORKDAYS(Proc[[#This Row],[DateOpened]],Proc[[#This Row],[DateClosed]]))-1)</f>
        <v>6</v>
      </c>
      <c r="R599" s="70" t="s">
        <v>515</v>
      </c>
      <c r="S599" s="69"/>
    </row>
    <row r="600" spans="1:19" hidden="1">
      <c r="A600" s="68" t="s">
        <v>1843</v>
      </c>
      <c r="B600" s="149" t="str">
        <f>IFERROR(VLOOKUP(Proc[[#This Row],[App]],Table2[],3,0),"open")</f>
        <v>ok</v>
      </c>
      <c r="C600" s="68" t="s">
        <v>369</v>
      </c>
      <c r="D600" t="s">
        <v>1930</v>
      </c>
      <c r="E600" t="s">
        <v>1968</v>
      </c>
      <c r="F600" s="117" t="s">
        <v>1968</v>
      </c>
      <c r="G600" s="68" t="s">
        <v>406</v>
      </c>
      <c r="H600" s="69" t="str">
        <f>IF(Proc[[#This Row],[type]]="LFF (MDG-F)",MID(Proc[[#This Row],[Obj]],13,10),"")</f>
        <v>2123L50005</v>
      </c>
      <c r="J600" s="69" t="b">
        <f>Proc[[#This Row],[Requested]]=Proc[[#This Row],[CurrentParent]]</f>
        <v>1</v>
      </c>
      <c r="K600" s="144" t="str">
        <f>IF(Proc[[#This Row],[Author]]="Marcela Urrego",VLOOKUP(LEFT(Proc[[#This Row],[Requested]],1),Table3[#All],2,0),VLOOKUP(Proc[[#This Row],[Author]],Table4[],2,0))</f>
        <v>MGF</v>
      </c>
      <c r="L600" s="69" t="s">
        <v>509</v>
      </c>
      <c r="M600" s="71">
        <v>45702.63349537037</v>
      </c>
      <c r="N600" s="71">
        <v>45712</v>
      </c>
      <c r="O600" s="71">
        <v>45712</v>
      </c>
      <c r="P600" s="70" t="str">
        <f ca="1">IF(Proc[[#This Row],[DaysAgeing]]&gt;5,"yep","on track")</f>
        <v>yep</v>
      </c>
      <c r="Q600" s="3">
        <f ca="1">IF(Proc[[#This Row],[DateClosed]]="",ABS(NETWORKDAYS(Proc[[#This Row],[DateOpened]],TODAY()))-1,ABS(NETWORKDAYS(Proc[[#This Row],[DateOpened]],Proc[[#This Row],[DateClosed]]))-1)</f>
        <v>6</v>
      </c>
      <c r="R600" s="70" t="s">
        <v>515</v>
      </c>
      <c r="S600" s="69"/>
    </row>
    <row r="601" spans="1:19" hidden="1">
      <c r="A601" s="68" t="s">
        <v>1843</v>
      </c>
      <c r="B601" s="149" t="str">
        <f>IFERROR(VLOOKUP(Proc[[#This Row],[App]],Table2[],3,0),"open")</f>
        <v>ok</v>
      </c>
      <c r="C601" s="68" t="s">
        <v>369</v>
      </c>
      <c r="D601" t="s">
        <v>1931</v>
      </c>
      <c r="E601" t="s">
        <v>1967</v>
      </c>
      <c r="F601" s="117" t="s">
        <v>1967</v>
      </c>
      <c r="G601" s="68" t="s">
        <v>406</v>
      </c>
      <c r="H601" s="69" t="str">
        <f>IF(Proc[[#This Row],[type]]="LFF (MDG-F)",MID(Proc[[#This Row],[Obj]],13,10),"")</f>
        <v>2123L50003</v>
      </c>
      <c r="J601" s="69" t="b">
        <f>Proc[[#This Row],[Requested]]=Proc[[#This Row],[CurrentParent]]</f>
        <v>1</v>
      </c>
      <c r="K601" s="144" t="str">
        <f>IF(Proc[[#This Row],[Author]]="Marcela Urrego",VLOOKUP(LEFT(Proc[[#This Row],[Requested]],1),Table3[#All],2,0),VLOOKUP(Proc[[#This Row],[Author]],Table4[],2,0))</f>
        <v>MGF</v>
      </c>
      <c r="L601" s="69" t="s">
        <v>509</v>
      </c>
      <c r="M601" s="71">
        <v>45702.63349537037</v>
      </c>
      <c r="N601" s="71">
        <v>45712</v>
      </c>
      <c r="O601" s="71">
        <v>45712</v>
      </c>
      <c r="P601" s="70" t="str">
        <f ca="1">IF(Proc[[#This Row],[DaysAgeing]]&gt;5,"yep","on track")</f>
        <v>yep</v>
      </c>
      <c r="Q601" s="3">
        <f ca="1">IF(Proc[[#This Row],[DateClosed]]="",ABS(NETWORKDAYS(Proc[[#This Row],[DateOpened]],TODAY()))-1,ABS(NETWORKDAYS(Proc[[#This Row],[DateOpened]],Proc[[#This Row],[DateClosed]]))-1)</f>
        <v>6</v>
      </c>
      <c r="R601" s="70" t="s">
        <v>515</v>
      </c>
      <c r="S601" s="69"/>
    </row>
    <row r="602" spans="1:19" hidden="1">
      <c r="A602" s="68" t="s">
        <v>1843</v>
      </c>
      <c r="B602" s="149" t="str">
        <f>IFERROR(VLOOKUP(Proc[[#This Row],[App]],Table2[],3,0),"open")</f>
        <v>ok</v>
      </c>
      <c r="C602" s="68" t="s">
        <v>369</v>
      </c>
      <c r="D602" t="s">
        <v>1932</v>
      </c>
      <c r="E602" t="s">
        <v>1967</v>
      </c>
      <c r="F602" s="117" t="s">
        <v>1967</v>
      </c>
      <c r="G602" s="68" t="s">
        <v>406</v>
      </c>
      <c r="H602" s="69" t="str">
        <f>IF(Proc[[#This Row],[type]]="LFF (MDG-F)",MID(Proc[[#This Row],[Obj]],13,10),"")</f>
        <v>2123L50004</v>
      </c>
      <c r="J602" s="69" t="b">
        <f>Proc[[#This Row],[Requested]]=Proc[[#This Row],[CurrentParent]]</f>
        <v>1</v>
      </c>
      <c r="K602" s="144" t="str">
        <f>IF(Proc[[#This Row],[Author]]="Marcela Urrego",VLOOKUP(LEFT(Proc[[#This Row],[Requested]],1),Table3[#All],2,0),VLOOKUP(Proc[[#This Row],[Author]],Table4[],2,0))</f>
        <v>MGF</v>
      </c>
      <c r="L602" s="69" t="s">
        <v>509</v>
      </c>
      <c r="M602" s="71">
        <v>45702.63349537037</v>
      </c>
      <c r="N602" s="71">
        <v>45712</v>
      </c>
      <c r="O602" s="71">
        <v>45712</v>
      </c>
      <c r="P602" s="70" t="str">
        <f ca="1">IF(Proc[[#This Row],[DaysAgeing]]&gt;5,"yep","on track")</f>
        <v>yep</v>
      </c>
      <c r="Q602" s="3">
        <f ca="1">IF(Proc[[#This Row],[DateClosed]]="",ABS(NETWORKDAYS(Proc[[#This Row],[DateOpened]],TODAY()))-1,ABS(NETWORKDAYS(Proc[[#This Row],[DateOpened]],Proc[[#This Row],[DateClosed]]))-1)</f>
        <v>6</v>
      </c>
      <c r="R602" s="70" t="s">
        <v>515</v>
      </c>
      <c r="S602" s="69"/>
    </row>
    <row r="603" spans="1:19" hidden="1">
      <c r="A603" s="68" t="s">
        <v>1843</v>
      </c>
      <c r="B603" s="149" t="str">
        <f>IFERROR(VLOOKUP(Proc[[#This Row],[App]],Table2[],3,0),"open")</f>
        <v>ok</v>
      </c>
      <c r="C603" s="68" t="s">
        <v>369</v>
      </c>
      <c r="D603" t="s">
        <v>1933</v>
      </c>
      <c r="E603" t="s">
        <v>1969</v>
      </c>
      <c r="F603" s="117" t="s">
        <v>1969</v>
      </c>
      <c r="G603" s="68" t="s">
        <v>406</v>
      </c>
      <c r="H603" s="69" t="str">
        <f>IF(Proc[[#This Row],[type]]="LFF (MDG-F)",MID(Proc[[#This Row],[Obj]],13,10),"")</f>
        <v>2123C00112</v>
      </c>
      <c r="J603" s="69" t="b">
        <f>Proc[[#This Row],[Requested]]=Proc[[#This Row],[CurrentParent]]</f>
        <v>1</v>
      </c>
      <c r="K603" s="144" t="str">
        <f>IF(Proc[[#This Row],[Author]]="Marcela Urrego",VLOOKUP(LEFT(Proc[[#This Row],[Requested]],1),Table3[#All],2,0),VLOOKUP(Proc[[#This Row],[Author]],Table4[],2,0))</f>
        <v>MGF</v>
      </c>
      <c r="L603" s="69" t="s">
        <v>509</v>
      </c>
      <c r="M603" s="71">
        <v>45702.63349537037</v>
      </c>
      <c r="N603" s="71">
        <v>45712</v>
      </c>
      <c r="O603" s="71">
        <v>45712</v>
      </c>
      <c r="P603" s="70" t="str">
        <f ca="1">IF(Proc[[#This Row],[DaysAgeing]]&gt;5,"yep","on track")</f>
        <v>yep</v>
      </c>
      <c r="Q603" s="3">
        <f ca="1">IF(Proc[[#This Row],[DateClosed]]="",ABS(NETWORKDAYS(Proc[[#This Row],[DateOpened]],TODAY()))-1,ABS(NETWORKDAYS(Proc[[#This Row],[DateOpened]],Proc[[#This Row],[DateClosed]]))-1)</f>
        <v>6</v>
      </c>
      <c r="R603" s="70" t="s">
        <v>515</v>
      </c>
      <c r="S603" s="69"/>
    </row>
    <row r="604" spans="1:19" hidden="1">
      <c r="A604" s="68" t="s">
        <v>1843</v>
      </c>
      <c r="B604" s="149" t="str">
        <f>IFERROR(VLOOKUP(Proc[[#This Row],[App]],Table2[],3,0),"open")</f>
        <v>ok</v>
      </c>
      <c r="C604" s="68" t="s">
        <v>369</v>
      </c>
      <c r="D604" t="s">
        <v>1934</v>
      </c>
      <c r="E604" t="s">
        <v>1970</v>
      </c>
      <c r="F604" s="117" t="s">
        <v>1970</v>
      </c>
      <c r="G604" s="68" t="s">
        <v>406</v>
      </c>
      <c r="H604" s="69" t="str">
        <f>IF(Proc[[#This Row],[type]]="LFF (MDG-F)",MID(Proc[[#This Row],[Obj]],13,10),"")</f>
        <v>2123OF0025</v>
      </c>
      <c r="J604" s="69" t="b">
        <f>Proc[[#This Row],[Requested]]=Proc[[#This Row],[CurrentParent]]</f>
        <v>1</v>
      </c>
      <c r="K604" s="144" t="str">
        <f>IF(Proc[[#This Row],[Author]]="Marcela Urrego",VLOOKUP(LEFT(Proc[[#This Row],[Requested]],1),Table3[#All],2,0),VLOOKUP(Proc[[#This Row],[Author]],Table4[],2,0))</f>
        <v>MGF</v>
      </c>
      <c r="L604" s="69" t="s">
        <v>509</v>
      </c>
      <c r="M604" s="71">
        <v>45702.63349537037</v>
      </c>
      <c r="N604" s="71">
        <v>45712</v>
      </c>
      <c r="O604" s="71">
        <v>45712</v>
      </c>
      <c r="P604" s="70" t="str">
        <f ca="1">IF(Proc[[#This Row],[DaysAgeing]]&gt;5,"yep","on track")</f>
        <v>yep</v>
      </c>
      <c r="Q604" s="3">
        <f ca="1">IF(Proc[[#This Row],[DateClosed]]="",ABS(NETWORKDAYS(Proc[[#This Row],[DateOpened]],TODAY()))-1,ABS(NETWORKDAYS(Proc[[#This Row],[DateOpened]],Proc[[#This Row],[DateClosed]]))-1)</f>
        <v>6</v>
      </c>
      <c r="R604" s="70" t="s">
        <v>515</v>
      </c>
      <c r="S604" s="69"/>
    </row>
    <row r="605" spans="1:19" hidden="1">
      <c r="A605" s="68" t="s">
        <v>1843</v>
      </c>
      <c r="B605" s="149" t="str">
        <f>IFERROR(VLOOKUP(Proc[[#This Row],[App]],Table2[],3,0),"open")</f>
        <v>ok</v>
      </c>
      <c r="C605" s="68" t="s">
        <v>369</v>
      </c>
      <c r="D605" t="s">
        <v>1935</v>
      </c>
      <c r="E605" t="s">
        <v>1971</v>
      </c>
      <c r="F605" s="117" t="s">
        <v>1971</v>
      </c>
      <c r="G605" s="68" t="s">
        <v>406</v>
      </c>
      <c r="H605" s="69" t="str">
        <f>IF(Proc[[#This Row],[type]]="LFF (MDG-F)",MID(Proc[[#This Row],[Obj]],13,10),"")</f>
        <v>2123OF0024</v>
      </c>
      <c r="J605" s="69" t="b">
        <f>Proc[[#This Row],[Requested]]=Proc[[#This Row],[CurrentParent]]</f>
        <v>1</v>
      </c>
      <c r="K605" s="144" t="str">
        <f>IF(Proc[[#This Row],[Author]]="Marcela Urrego",VLOOKUP(LEFT(Proc[[#This Row],[Requested]],1),Table3[#All],2,0),VLOOKUP(Proc[[#This Row],[Author]],Table4[],2,0))</f>
        <v>MGF</v>
      </c>
      <c r="L605" s="69" t="s">
        <v>509</v>
      </c>
      <c r="M605" s="71">
        <v>45702.63349537037</v>
      </c>
      <c r="N605" s="71">
        <v>45712</v>
      </c>
      <c r="O605" s="71">
        <v>45712</v>
      </c>
      <c r="P605" s="70" t="str">
        <f ca="1">IF(Proc[[#This Row],[DaysAgeing]]&gt;5,"yep","on track")</f>
        <v>yep</v>
      </c>
      <c r="Q605" s="3">
        <f ca="1">IF(Proc[[#This Row],[DateClosed]]="",ABS(NETWORKDAYS(Proc[[#This Row],[DateOpened]],TODAY()))-1,ABS(NETWORKDAYS(Proc[[#This Row],[DateOpened]],Proc[[#This Row],[DateClosed]]))-1)</f>
        <v>6</v>
      </c>
      <c r="R605" s="70" t="s">
        <v>515</v>
      </c>
      <c r="S605" s="69"/>
    </row>
    <row r="606" spans="1:19" hidden="1">
      <c r="A606" s="68" t="s">
        <v>1843</v>
      </c>
      <c r="B606" s="149" t="str">
        <f>IFERROR(VLOOKUP(Proc[[#This Row],[App]],Table2[],3,0),"open")</f>
        <v>ok</v>
      </c>
      <c r="C606" s="68" t="s">
        <v>369</v>
      </c>
      <c r="D606" t="s">
        <v>1936</v>
      </c>
      <c r="E606" t="s">
        <v>1972</v>
      </c>
      <c r="F606" s="117" t="s">
        <v>1972</v>
      </c>
      <c r="G606" s="68" t="s">
        <v>406</v>
      </c>
      <c r="H606" s="69" t="str">
        <f>IF(Proc[[#This Row],[type]]="LFF (MDG-F)",MID(Proc[[#This Row],[Obj]],13,10),"")</f>
        <v>2123OF0021</v>
      </c>
      <c r="J606" s="69" t="b">
        <f>Proc[[#This Row],[Requested]]=Proc[[#This Row],[CurrentParent]]</f>
        <v>1</v>
      </c>
      <c r="K606" s="144" t="str">
        <f>IF(Proc[[#This Row],[Author]]="Marcela Urrego",VLOOKUP(LEFT(Proc[[#This Row],[Requested]],1),Table3[#All],2,0),VLOOKUP(Proc[[#This Row],[Author]],Table4[],2,0))</f>
        <v>MGF</v>
      </c>
      <c r="L606" s="69" t="s">
        <v>509</v>
      </c>
      <c r="M606" s="71">
        <v>45702.63349537037</v>
      </c>
      <c r="N606" s="71">
        <v>45712</v>
      </c>
      <c r="O606" s="71">
        <v>45712</v>
      </c>
      <c r="P606" s="70" t="str">
        <f ca="1">IF(Proc[[#This Row],[DaysAgeing]]&gt;5,"yep","on track")</f>
        <v>yep</v>
      </c>
      <c r="Q606" s="3">
        <f ca="1">IF(Proc[[#This Row],[DateClosed]]="",ABS(NETWORKDAYS(Proc[[#This Row],[DateOpened]],TODAY()))-1,ABS(NETWORKDAYS(Proc[[#This Row],[DateOpened]],Proc[[#This Row],[DateClosed]]))-1)</f>
        <v>6</v>
      </c>
      <c r="R606" s="70" t="s">
        <v>515</v>
      </c>
      <c r="S606" s="69"/>
    </row>
    <row r="607" spans="1:19" hidden="1">
      <c r="A607" s="68" t="s">
        <v>1843</v>
      </c>
      <c r="B607" s="149" t="str">
        <f>IFERROR(VLOOKUP(Proc[[#This Row],[App]],Table2[],3,0),"open")</f>
        <v>ok</v>
      </c>
      <c r="C607" s="68" t="s">
        <v>369</v>
      </c>
      <c r="D607" t="s">
        <v>1937</v>
      </c>
      <c r="E607" t="s">
        <v>1973</v>
      </c>
      <c r="F607" s="117" t="s">
        <v>1973</v>
      </c>
      <c r="G607" s="68" t="s">
        <v>400</v>
      </c>
      <c r="H607" s="69" t="str">
        <f>IF(Proc[[#This Row],[type]]="LFF (MDG-F)",MID(Proc[[#This Row],[Obj]],13,10),"")</f>
        <v/>
      </c>
      <c r="J607" s="69" t="b">
        <f>Proc[[#This Row],[Requested]]=Proc[[#This Row],[CurrentParent]]</f>
        <v>1</v>
      </c>
      <c r="K607" s="144" t="str">
        <f>IF(Proc[[#This Row],[Author]]="Marcela Urrego",VLOOKUP(LEFT(Proc[[#This Row],[Requested]],1),Table3[#All],2,0),VLOOKUP(Proc[[#This Row],[Author]],Table4[],2,0))</f>
        <v>MGF</v>
      </c>
      <c r="L607" s="69" t="s">
        <v>509</v>
      </c>
      <c r="M607" s="71">
        <v>45702.63349537037</v>
      </c>
      <c r="N607" s="71">
        <v>45712</v>
      </c>
      <c r="O607" s="71">
        <v>45712</v>
      </c>
      <c r="P607" s="70" t="str">
        <f ca="1">IF(Proc[[#This Row],[DaysAgeing]]&gt;5,"yep","on track")</f>
        <v>yep</v>
      </c>
      <c r="Q607" s="3">
        <f ca="1">IF(Proc[[#This Row],[DateClosed]]="",ABS(NETWORKDAYS(Proc[[#This Row],[DateOpened]],TODAY()))-1,ABS(NETWORKDAYS(Proc[[#This Row],[DateOpened]],Proc[[#This Row],[DateClosed]]))-1)</f>
        <v>6</v>
      </c>
      <c r="R607" s="70" t="s">
        <v>515</v>
      </c>
      <c r="S607" s="69"/>
    </row>
    <row r="608" spans="1:19" hidden="1">
      <c r="A608" s="68" t="s">
        <v>1843</v>
      </c>
      <c r="B608" s="149" t="str">
        <f>IFERROR(VLOOKUP(Proc[[#This Row],[App]],Table2[],3,0),"open")</f>
        <v>ok</v>
      </c>
      <c r="C608" s="68" t="s">
        <v>369</v>
      </c>
      <c r="D608" t="s">
        <v>1938</v>
      </c>
      <c r="E608" t="s">
        <v>1973</v>
      </c>
      <c r="F608" s="117" t="s">
        <v>1973</v>
      </c>
      <c r="G608" s="68" t="s">
        <v>400</v>
      </c>
      <c r="H608" s="69" t="str">
        <f>IF(Proc[[#This Row],[type]]="LFF (MDG-F)",MID(Proc[[#This Row],[Obj]],13,10),"")</f>
        <v/>
      </c>
      <c r="J608" s="69" t="b">
        <f>Proc[[#This Row],[Requested]]=Proc[[#This Row],[CurrentParent]]</f>
        <v>1</v>
      </c>
      <c r="K608" s="144" t="str">
        <f>IF(Proc[[#This Row],[Author]]="Marcela Urrego",VLOOKUP(LEFT(Proc[[#This Row],[Requested]],1),Table3[#All],2,0),VLOOKUP(Proc[[#This Row],[Author]],Table4[],2,0))</f>
        <v>MGF</v>
      </c>
      <c r="L608" s="69" t="s">
        <v>509</v>
      </c>
      <c r="M608" s="71">
        <v>45702.63349537037</v>
      </c>
      <c r="N608" s="71">
        <v>45712</v>
      </c>
      <c r="O608" s="71">
        <v>45712</v>
      </c>
      <c r="P608" s="70" t="str">
        <f ca="1">IF(Proc[[#This Row],[DaysAgeing]]&gt;5,"yep","on track")</f>
        <v>yep</v>
      </c>
      <c r="Q608" s="3">
        <f ca="1">IF(Proc[[#This Row],[DateClosed]]="",ABS(NETWORKDAYS(Proc[[#This Row],[DateOpened]],TODAY()))-1,ABS(NETWORKDAYS(Proc[[#This Row],[DateOpened]],Proc[[#This Row],[DateClosed]]))-1)</f>
        <v>6</v>
      </c>
      <c r="R608" s="70" t="s">
        <v>515</v>
      </c>
      <c r="S608" s="69"/>
    </row>
    <row r="609" spans="1:19" hidden="1">
      <c r="A609" s="68" t="s">
        <v>1843</v>
      </c>
      <c r="B609" s="149" t="str">
        <f>IFERROR(VLOOKUP(Proc[[#This Row],[App]],Table2[],3,0),"open")</f>
        <v>ok</v>
      </c>
      <c r="C609" s="68" t="s">
        <v>369</v>
      </c>
      <c r="D609" t="s">
        <v>1939</v>
      </c>
      <c r="E609" t="s">
        <v>1973</v>
      </c>
      <c r="F609" s="117" t="s">
        <v>1973</v>
      </c>
      <c r="G609" s="68" t="s">
        <v>400</v>
      </c>
      <c r="H609" s="69" t="str">
        <f>IF(Proc[[#This Row],[type]]="LFF (MDG-F)",MID(Proc[[#This Row],[Obj]],13,10),"")</f>
        <v/>
      </c>
      <c r="J609" s="69" t="b">
        <f>Proc[[#This Row],[Requested]]=Proc[[#This Row],[CurrentParent]]</f>
        <v>1</v>
      </c>
      <c r="K609" s="144" t="str">
        <f>IF(Proc[[#This Row],[Author]]="Marcela Urrego",VLOOKUP(LEFT(Proc[[#This Row],[Requested]],1),Table3[#All],2,0),VLOOKUP(Proc[[#This Row],[Author]],Table4[],2,0))</f>
        <v>MGF</v>
      </c>
      <c r="L609" s="69" t="s">
        <v>509</v>
      </c>
      <c r="M609" s="71">
        <v>45702.63349537037</v>
      </c>
      <c r="N609" s="71">
        <v>45712</v>
      </c>
      <c r="O609" s="71">
        <v>45712</v>
      </c>
      <c r="P609" s="70" t="str">
        <f ca="1">IF(Proc[[#This Row],[DaysAgeing]]&gt;5,"yep","on track")</f>
        <v>yep</v>
      </c>
      <c r="Q609" s="3">
        <f ca="1">IF(Proc[[#This Row],[DateClosed]]="",ABS(NETWORKDAYS(Proc[[#This Row],[DateOpened]],TODAY()))-1,ABS(NETWORKDAYS(Proc[[#This Row],[DateOpened]],Proc[[#This Row],[DateClosed]]))-1)</f>
        <v>6</v>
      </c>
      <c r="R609" s="70" t="s">
        <v>515</v>
      </c>
      <c r="S609" s="69"/>
    </row>
    <row r="610" spans="1:19" hidden="1">
      <c r="A610" s="68" t="s">
        <v>1843</v>
      </c>
      <c r="B610" s="149" t="str">
        <f>IFERROR(VLOOKUP(Proc[[#This Row],[App]],Table2[],3,0),"open")</f>
        <v>ok</v>
      </c>
      <c r="C610" s="68" t="s">
        <v>369</v>
      </c>
      <c r="D610" t="s">
        <v>1940</v>
      </c>
      <c r="E610" t="s">
        <v>1973</v>
      </c>
      <c r="F610" s="117" t="s">
        <v>1973</v>
      </c>
      <c r="G610" s="68" t="s">
        <v>400</v>
      </c>
      <c r="H610" s="69" t="str">
        <f>IF(Proc[[#This Row],[type]]="LFF (MDG-F)",MID(Proc[[#This Row],[Obj]],13,10),"")</f>
        <v/>
      </c>
      <c r="J610" s="69" t="b">
        <f>Proc[[#This Row],[Requested]]=Proc[[#This Row],[CurrentParent]]</f>
        <v>1</v>
      </c>
      <c r="K610" s="144" t="str">
        <f>IF(Proc[[#This Row],[Author]]="Marcela Urrego",VLOOKUP(LEFT(Proc[[#This Row],[Requested]],1),Table3[#All],2,0),VLOOKUP(Proc[[#This Row],[Author]],Table4[],2,0))</f>
        <v>MGF</v>
      </c>
      <c r="L610" s="69" t="s">
        <v>509</v>
      </c>
      <c r="M610" s="71">
        <v>45702.63349537037</v>
      </c>
      <c r="N610" s="71">
        <v>45712</v>
      </c>
      <c r="O610" s="71">
        <v>45712</v>
      </c>
      <c r="P610" s="70" t="str">
        <f ca="1">IF(Proc[[#This Row],[DaysAgeing]]&gt;5,"yep","on track")</f>
        <v>yep</v>
      </c>
      <c r="Q610" s="3">
        <f ca="1">IF(Proc[[#This Row],[DateClosed]]="",ABS(NETWORKDAYS(Proc[[#This Row],[DateOpened]],TODAY()))-1,ABS(NETWORKDAYS(Proc[[#This Row],[DateOpened]],Proc[[#This Row],[DateClosed]]))-1)</f>
        <v>6</v>
      </c>
      <c r="R610" s="70" t="s">
        <v>515</v>
      </c>
      <c r="S610" s="69"/>
    </row>
    <row r="611" spans="1:19" hidden="1">
      <c r="A611" s="68" t="s">
        <v>1843</v>
      </c>
      <c r="B611" s="149" t="str">
        <f>IFERROR(VLOOKUP(Proc[[#This Row],[App]],Table2[],3,0),"open")</f>
        <v>ok</v>
      </c>
      <c r="C611" s="68" t="s">
        <v>369</v>
      </c>
      <c r="D611" t="s">
        <v>1941</v>
      </c>
      <c r="E611" t="s">
        <v>1973</v>
      </c>
      <c r="F611" s="117" t="s">
        <v>1973</v>
      </c>
      <c r="G611" s="68" t="s">
        <v>400</v>
      </c>
      <c r="H611" s="69" t="str">
        <f>IF(Proc[[#This Row],[type]]="LFF (MDG-F)",MID(Proc[[#This Row],[Obj]],13,10),"")</f>
        <v/>
      </c>
      <c r="J611" s="69" t="b">
        <f>Proc[[#This Row],[Requested]]=Proc[[#This Row],[CurrentParent]]</f>
        <v>1</v>
      </c>
      <c r="K611" s="144" t="str">
        <f>IF(Proc[[#This Row],[Author]]="Marcela Urrego",VLOOKUP(LEFT(Proc[[#This Row],[Requested]],1),Table3[#All],2,0),VLOOKUP(Proc[[#This Row],[Author]],Table4[],2,0))</f>
        <v>MGF</v>
      </c>
      <c r="L611" s="69" t="s">
        <v>509</v>
      </c>
      <c r="M611" s="71">
        <v>45702.63349537037</v>
      </c>
      <c r="N611" s="71">
        <v>45712</v>
      </c>
      <c r="O611" s="71">
        <v>45712</v>
      </c>
      <c r="P611" s="70" t="str">
        <f ca="1">IF(Proc[[#This Row],[DaysAgeing]]&gt;5,"yep","on track")</f>
        <v>yep</v>
      </c>
      <c r="Q611" s="3">
        <f ca="1">IF(Proc[[#This Row],[DateClosed]]="",ABS(NETWORKDAYS(Proc[[#This Row],[DateOpened]],TODAY()))-1,ABS(NETWORKDAYS(Proc[[#This Row],[DateOpened]],Proc[[#This Row],[DateClosed]]))-1)</f>
        <v>6</v>
      </c>
      <c r="R611" s="70" t="s">
        <v>515</v>
      </c>
      <c r="S611" s="69"/>
    </row>
    <row r="612" spans="1:19" hidden="1">
      <c r="A612" t="s">
        <v>1998</v>
      </c>
      <c r="B612" s="149" t="str">
        <f>IFERROR(VLOOKUP(Proc[[#This Row],[App]],Table2[],3,0),"open")</f>
        <v>ok</v>
      </c>
      <c r="C612" s="68" t="s">
        <v>377</v>
      </c>
      <c r="D612" t="s">
        <v>1987</v>
      </c>
      <c r="E612" t="s">
        <v>735</v>
      </c>
      <c r="F612" s="103" t="s">
        <v>735</v>
      </c>
      <c r="G612" t="s">
        <v>406</v>
      </c>
      <c r="H612" s="69" t="str">
        <f>IF(Proc[[#This Row],[type]]="LFF (MDG-F)",MID(Proc[[#This Row],[Obj]],13,10),"")</f>
        <v>US20Z01000</v>
      </c>
      <c r="I612" t="s">
        <v>822</v>
      </c>
      <c r="J612" s="69" t="b">
        <f>Proc[[#This Row],[Requested]]=Proc[[#This Row],[CurrentParent]]</f>
        <v>1</v>
      </c>
      <c r="K612" s="144" t="str">
        <f>IF(Proc[[#This Row],[Author]]="Marcela Urrego",VLOOKUP(LEFT(Proc[[#This Row],[Requested]],1),Table3[#All],2,0),VLOOKUP(Proc[[#This Row],[Author]],Table4[],2,0))</f>
        <v>MGF</v>
      </c>
      <c r="L612" s="69" t="s">
        <v>509</v>
      </c>
      <c r="M612" s="71">
        <v>45705.641203703701</v>
      </c>
      <c r="P612" s="70" t="str">
        <f ca="1">IF(Proc[[#This Row],[DaysAgeing]]&gt;5,"yep","on track")</f>
        <v>yep</v>
      </c>
      <c r="Q612" s="3">
        <f ca="1">IF(Proc[[#This Row],[DateClosed]]="",ABS(NETWORKDAYS(Proc[[#This Row],[DateOpened]],TODAY()))-1,ABS(NETWORKDAYS(Proc[[#This Row],[DateOpened]],Proc[[#This Row],[DateClosed]]))-1)</f>
        <v>219</v>
      </c>
      <c r="R612" s="70" t="s">
        <v>1076</v>
      </c>
      <c r="S612" s="94" t="e">
        <f>VLOOKUP(Proc[[#This Row],[Obj]],#REF!,2,0)</f>
        <v>#REF!</v>
      </c>
    </row>
    <row r="613" spans="1:19" hidden="1">
      <c r="A613" s="68" t="s">
        <v>1998</v>
      </c>
      <c r="B613" s="149" t="str">
        <f>IFERROR(VLOOKUP(Proc[[#This Row],[App]],Table2[],3,0),"open")</f>
        <v>ok</v>
      </c>
      <c r="C613" s="68" t="s">
        <v>377</v>
      </c>
      <c r="D613" t="s">
        <v>1988</v>
      </c>
      <c r="E613" t="s">
        <v>735</v>
      </c>
      <c r="F613" s="103" t="s">
        <v>735</v>
      </c>
      <c r="G613" s="68" t="s">
        <v>406</v>
      </c>
      <c r="H613" s="69" t="str">
        <f>IF(Proc[[#This Row],[type]]="LFF (MDG-F)",MID(Proc[[#This Row],[Obj]],13,10),"")</f>
        <v>US16Z01000</v>
      </c>
      <c r="I613" s="68" t="s">
        <v>822</v>
      </c>
      <c r="J613" s="69" t="b">
        <f>Proc[[#This Row],[Requested]]=Proc[[#This Row],[CurrentParent]]</f>
        <v>1</v>
      </c>
      <c r="K613" s="144" t="str">
        <f>IF(Proc[[#This Row],[Author]]="Marcela Urrego",VLOOKUP(LEFT(Proc[[#This Row],[Requested]],1),Table3[#All],2,0),VLOOKUP(Proc[[#This Row],[Author]],Table4[],2,0))</f>
        <v>MGF</v>
      </c>
      <c r="L613" s="69" t="s">
        <v>509</v>
      </c>
      <c r="M613" s="71">
        <v>45705.641203703701</v>
      </c>
      <c r="P613" s="70" t="str">
        <f ca="1">IF(Proc[[#This Row],[DaysAgeing]]&gt;5,"yep","on track")</f>
        <v>yep</v>
      </c>
      <c r="Q613" s="3">
        <f ca="1">IF(Proc[[#This Row],[DateClosed]]="",ABS(NETWORKDAYS(Proc[[#This Row],[DateOpened]],TODAY()))-1,ABS(NETWORKDAYS(Proc[[#This Row],[DateOpened]],Proc[[#This Row],[DateClosed]]))-1)</f>
        <v>219</v>
      </c>
      <c r="R613" s="70" t="s">
        <v>1076</v>
      </c>
      <c r="S613" s="94" t="e">
        <f>VLOOKUP(Proc[[#This Row],[Obj]],#REF!,2,0)</f>
        <v>#REF!</v>
      </c>
    </row>
    <row r="614" spans="1:19" hidden="1">
      <c r="A614" s="68" t="s">
        <v>1998</v>
      </c>
      <c r="B614" s="149" t="str">
        <f>IFERROR(VLOOKUP(Proc[[#This Row],[App]],Table2[],3,0),"open")</f>
        <v>ok</v>
      </c>
      <c r="C614" s="68" t="s">
        <v>377</v>
      </c>
      <c r="D614" t="s">
        <v>1989</v>
      </c>
      <c r="E614" t="s">
        <v>735</v>
      </c>
      <c r="F614" s="103" t="s">
        <v>735</v>
      </c>
      <c r="G614" s="68" t="s">
        <v>406</v>
      </c>
      <c r="H614" s="69" t="str">
        <f>IF(Proc[[#This Row],[type]]="LFF (MDG-F)",MID(Proc[[#This Row],[Obj]],13,10),"")</f>
        <v>US14Z01000</v>
      </c>
      <c r="I614" s="68" t="s">
        <v>822</v>
      </c>
      <c r="J614" s="69" t="b">
        <f>Proc[[#This Row],[Requested]]=Proc[[#This Row],[CurrentParent]]</f>
        <v>1</v>
      </c>
      <c r="K614" s="144" t="str">
        <f>IF(Proc[[#This Row],[Author]]="Marcela Urrego",VLOOKUP(LEFT(Proc[[#This Row],[Requested]],1),Table3[#All],2,0),VLOOKUP(Proc[[#This Row],[Author]],Table4[],2,0))</f>
        <v>MGF</v>
      </c>
      <c r="L614" s="69" t="s">
        <v>509</v>
      </c>
      <c r="M614" s="71">
        <v>45705.641203703701</v>
      </c>
      <c r="P614" s="70" t="str">
        <f ca="1">IF(Proc[[#This Row],[DaysAgeing]]&gt;5,"yep","on track")</f>
        <v>yep</v>
      </c>
      <c r="Q614" s="3">
        <f ca="1">IF(Proc[[#This Row],[DateClosed]]="",ABS(NETWORKDAYS(Proc[[#This Row],[DateOpened]],TODAY()))-1,ABS(NETWORKDAYS(Proc[[#This Row],[DateOpened]],Proc[[#This Row],[DateClosed]]))-1)</f>
        <v>219</v>
      </c>
      <c r="R614" s="70" t="s">
        <v>1076</v>
      </c>
      <c r="S614" s="94" t="e">
        <f>VLOOKUP(Proc[[#This Row],[Obj]],#REF!,2,0)</f>
        <v>#REF!</v>
      </c>
    </row>
    <row r="615" spans="1:19" hidden="1">
      <c r="A615" s="68" t="s">
        <v>1998</v>
      </c>
      <c r="B615" s="149" t="str">
        <f>IFERROR(VLOOKUP(Proc[[#This Row],[App]],Table2[],3,0),"open")</f>
        <v>ok</v>
      </c>
      <c r="C615" s="68" t="s">
        <v>377</v>
      </c>
      <c r="D615" t="s">
        <v>1990</v>
      </c>
      <c r="E615" t="s">
        <v>735</v>
      </c>
      <c r="F615" s="103" t="s">
        <v>735</v>
      </c>
      <c r="G615" s="68" t="s">
        <v>406</v>
      </c>
      <c r="H615" s="69" t="str">
        <f>IF(Proc[[#This Row],[type]]="LFF (MDG-F)",MID(Proc[[#This Row],[Obj]],13,10),"")</f>
        <v>US15Z01000</v>
      </c>
      <c r="I615" s="68" t="s">
        <v>822</v>
      </c>
      <c r="J615" s="69" t="b">
        <f>Proc[[#This Row],[Requested]]=Proc[[#This Row],[CurrentParent]]</f>
        <v>1</v>
      </c>
      <c r="K615" s="144" t="str">
        <f>IF(Proc[[#This Row],[Author]]="Marcela Urrego",VLOOKUP(LEFT(Proc[[#This Row],[Requested]],1),Table3[#All],2,0),VLOOKUP(Proc[[#This Row],[Author]],Table4[],2,0))</f>
        <v>MGF</v>
      </c>
      <c r="L615" s="69" t="s">
        <v>509</v>
      </c>
      <c r="M615" s="71">
        <v>45705.641203703701</v>
      </c>
      <c r="P615" s="70" t="str">
        <f ca="1">IF(Proc[[#This Row],[DaysAgeing]]&gt;5,"yep","on track")</f>
        <v>yep</v>
      </c>
      <c r="Q615" s="3">
        <f ca="1">IF(Proc[[#This Row],[DateClosed]]="",ABS(NETWORKDAYS(Proc[[#This Row],[DateOpened]],TODAY()))-1,ABS(NETWORKDAYS(Proc[[#This Row],[DateOpened]],Proc[[#This Row],[DateClosed]]))-1)</f>
        <v>219</v>
      </c>
      <c r="R615" s="70" t="s">
        <v>1076</v>
      </c>
      <c r="S615" s="94" t="e">
        <f>VLOOKUP(Proc[[#This Row],[Obj]],#REF!,2,0)</f>
        <v>#REF!</v>
      </c>
    </row>
    <row r="616" spans="1:19" hidden="1">
      <c r="A616" s="68" t="s">
        <v>1998</v>
      </c>
      <c r="B616" s="149" t="str">
        <f>IFERROR(VLOOKUP(Proc[[#This Row],[App]],Table2[],3,0),"open")</f>
        <v>ok</v>
      </c>
      <c r="C616" s="68" t="s">
        <v>377</v>
      </c>
      <c r="D616" t="s">
        <v>1991</v>
      </c>
      <c r="E616" t="s">
        <v>1999</v>
      </c>
      <c r="F616" s="103" t="s">
        <v>1999</v>
      </c>
      <c r="G616" s="68" t="s">
        <v>406</v>
      </c>
      <c r="H616" s="69" t="str">
        <f>IF(Proc[[#This Row],[type]]="LFF (MDG-F)",MID(Proc[[#This Row],[Obj]],13,10),"")</f>
        <v>US01TNHZ06</v>
      </c>
      <c r="I616" s="68" t="s">
        <v>2220</v>
      </c>
      <c r="J616" s="69" t="b">
        <f>Proc[[#This Row],[Requested]]=Proc[[#This Row],[CurrentParent]]</f>
        <v>1</v>
      </c>
      <c r="K616" s="144" t="str">
        <f>IF(Proc[[#This Row],[Author]]="Marcela Urrego",VLOOKUP(LEFT(Proc[[#This Row],[Requested]],1),Table3[#All],2,0),VLOOKUP(Proc[[#This Row],[Author]],Table4[],2,0))</f>
        <v>MGF</v>
      </c>
      <c r="L616" s="69" t="s">
        <v>509</v>
      </c>
      <c r="M616" s="71">
        <v>45705.641203703701</v>
      </c>
      <c r="P616" s="70" t="str">
        <f ca="1">IF(Proc[[#This Row],[DaysAgeing]]&gt;5,"yep","on track")</f>
        <v>yep</v>
      </c>
      <c r="Q616" s="3">
        <f ca="1">IF(Proc[[#This Row],[DateClosed]]="",ABS(NETWORKDAYS(Proc[[#This Row],[DateOpened]],TODAY()))-1,ABS(NETWORKDAYS(Proc[[#This Row],[DateOpened]],Proc[[#This Row],[DateClosed]]))-1)</f>
        <v>219</v>
      </c>
      <c r="R616" s="70" t="s">
        <v>1076</v>
      </c>
      <c r="S616" s="94" t="e">
        <f>VLOOKUP(Proc[[#This Row],[Obj]],#REF!,2,0)</f>
        <v>#REF!</v>
      </c>
    </row>
    <row r="617" spans="1:19" hidden="1">
      <c r="A617" s="68" t="s">
        <v>1998</v>
      </c>
      <c r="B617" s="149" t="str">
        <f>IFERROR(VLOOKUP(Proc[[#This Row],[App]],Table2[],3,0),"open")</f>
        <v>ok</v>
      </c>
      <c r="C617" s="68" t="s">
        <v>377</v>
      </c>
      <c r="D617" t="s">
        <v>1992</v>
      </c>
      <c r="E617" t="s">
        <v>1999</v>
      </c>
      <c r="F617" s="103" t="s">
        <v>1999</v>
      </c>
      <c r="G617" s="68" t="s">
        <v>406</v>
      </c>
      <c r="H617" s="69" t="str">
        <f>IF(Proc[[#This Row],[type]]="LFF (MDG-F)",MID(Proc[[#This Row],[Obj]],13,10),"")</f>
        <v>TW03TOKA00</v>
      </c>
      <c r="I617" s="68" t="s">
        <v>2220</v>
      </c>
      <c r="J617" s="69" t="b">
        <f>Proc[[#This Row],[Requested]]=Proc[[#This Row],[CurrentParent]]</f>
        <v>1</v>
      </c>
      <c r="K617" s="144" t="str">
        <f>IF(Proc[[#This Row],[Author]]="Marcela Urrego",VLOOKUP(LEFT(Proc[[#This Row],[Requested]],1),Table3[#All],2,0),VLOOKUP(Proc[[#This Row],[Author]],Table4[],2,0))</f>
        <v>MGF</v>
      </c>
      <c r="L617" s="69" t="s">
        <v>509</v>
      </c>
      <c r="M617" s="71">
        <v>45705.641203703701</v>
      </c>
      <c r="P617" s="70" t="str">
        <f ca="1">IF(Proc[[#This Row],[DaysAgeing]]&gt;5,"yep","on track")</f>
        <v>yep</v>
      </c>
      <c r="Q617" s="3">
        <f ca="1">IF(Proc[[#This Row],[DateClosed]]="",ABS(NETWORKDAYS(Proc[[#This Row],[DateOpened]],TODAY()))-1,ABS(NETWORKDAYS(Proc[[#This Row],[DateOpened]],Proc[[#This Row],[DateClosed]]))-1)</f>
        <v>219</v>
      </c>
      <c r="R617" s="70" t="s">
        <v>1076</v>
      </c>
      <c r="S617" s="94" t="e">
        <f>VLOOKUP(Proc[[#This Row],[Obj]],#REF!,2,0)</f>
        <v>#REF!</v>
      </c>
    </row>
    <row r="618" spans="1:19" hidden="1">
      <c r="A618" s="68" t="s">
        <v>1998</v>
      </c>
      <c r="B618" s="149" t="str">
        <f>IFERROR(VLOOKUP(Proc[[#This Row],[App]],Table2[],3,0),"open")</f>
        <v>ok</v>
      </c>
      <c r="C618" s="68" t="s">
        <v>377</v>
      </c>
      <c r="D618" t="s">
        <v>1993</v>
      </c>
      <c r="E618" t="s">
        <v>1018</v>
      </c>
      <c r="F618" s="103" t="s">
        <v>1018</v>
      </c>
      <c r="G618" s="68" t="s">
        <v>406</v>
      </c>
      <c r="H618" s="69" t="str">
        <f>IF(Proc[[#This Row],[type]]="LFF (MDG-F)",MID(Proc[[#This Row],[Obj]],13,10),"")</f>
        <v>US01TNHZ05</v>
      </c>
      <c r="I618" s="68" t="s">
        <v>2220</v>
      </c>
      <c r="J618" s="69" t="b">
        <f>Proc[[#This Row],[Requested]]=Proc[[#This Row],[CurrentParent]]</f>
        <v>1</v>
      </c>
      <c r="K618" s="144" t="str">
        <f>IF(Proc[[#This Row],[Author]]="Marcela Urrego",VLOOKUP(LEFT(Proc[[#This Row],[Requested]],1),Table3[#All],2,0),VLOOKUP(Proc[[#This Row],[Author]],Table4[],2,0))</f>
        <v>MGF</v>
      </c>
      <c r="L618" s="69" t="s">
        <v>509</v>
      </c>
      <c r="M618" s="71">
        <v>45705.641203703701</v>
      </c>
      <c r="P618" s="70" t="str">
        <f ca="1">IF(Proc[[#This Row],[DaysAgeing]]&gt;5,"yep","on track")</f>
        <v>yep</v>
      </c>
      <c r="Q618" s="3">
        <f ca="1">IF(Proc[[#This Row],[DateClosed]]="",ABS(NETWORKDAYS(Proc[[#This Row],[DateOpened]],TODAY()))-1,ABS(NETWORKDAYS(Proc[[#This Row],[DateOpened]],Proc[[#This Row],[DateClosed]]))-1)</f>
        <v>219</v>
      </c>
      <c r="R618" s="70" t="s">
        <v>1076</v>
      </c>
      <c r="S618" s="94" t="e">
        <f>VLOOKUP(Proc[[#This Row],[Obj]],#REF!,2,0)</f>
        <v>#REF!</v>
      </c>
    </row>
    <row r="619" spans="1:19" hidden="1">
      <c r="A619" s="68" t="s">
        <v>1998</v>
      </c>
      <c r="B619" s="149" t="str">
        <f>IFERROR(VLOOKUP(Proc[[#This Row],[App]],Table2[],3,0),"open")</f>
        <v>ok</v>
      </c>
      <c r="C619" s="68" t="s">
        <v>369</v>
      </c>
      <c r="D619" t="s">
        <v>1994</v>
      </c>
      <c r="E619" t="s">
        <v>2000</v>
      </c>
      <c r="F619" s="117" t="s">
        <v>2000</v>
      </c>
      <c r="G619" s="68" t="s">
        <v>406</v>
      </c>
      <c r="H619" s="69" t="str">
        <f>IF(Proc[[#This Row],[type]]="LFF (MDG-F)",MID(Proc[[#This Row],[Obj]],13,10),"")</f>
        <v>US01TN0001</v>
      </c>
      <c r="J619" s="69" t="b">
        <f>Proc[[#This Row],[Requested]]=Proc[[#This Row],[CurrentParent]]</f>
        <v>1</v>
      </c>
      <c r="K619" s="144" t="str">
        <f>IF(Proc[[#This Row],[Author]]="Marcela Urrego",VLOOKUP(LEFT(Proc[[#This Row],[Requested]],1),Table3[#All],2,0),VLOOKUP(Proc[[#This Row],[Author]],Table4[],2,0))</f>
        <v>MGF</v>
      </c>
      <c r="L619" s="69" t="s">
        <v>509</v>
      </c>
      <c r="M619" s="71">
        <v>45705.641203703701</v>
      </c>
      <c r="P619" s="70" t="str">
        <f ca="1">IF(Proc[[#This Row],[DaysAgeing]]&gt;5,"yep","on track")</f>
        <v>yep</v>
      </c>
      <c r="Q619" s="3">
        <f ca="1">IF(Proc[[#This Row],[DateClosed]]="",ABS(NETWORKDAYS(Proc[[#This Row],[DateOpened]],TODAY()))-1,ABS(NETWORKDAYS(Proc[[#This Row],[DateOpened]],Proc[[#This Row],[DateClosed]]))-1)</f>
        <v>219</v>
      </c>
      <c r="R619" s="70" t="s">
        <v>1076</v>
      </c>
      <c r="S619" s="69"/>
    </row>
    <row r="620" spans="1:19" hidden="1">
      <c r="A620" s="68" t="s">
        <v>1998</v>
      </c>
      <c r="B620" s="149" t="str">
        <f>IFERROR(VLOOKUP(Proc[[#This Row],[App]],Table2[],3,0),"open")</f>
        <v>ok</v>
      </c>
      <c r="C620" s="68" t="s">
        <v>369</v>
      </c>
      <c r="D620" t="s">
        <v>1995</v>
      </c>
      <c r="E620" t="s">
        <v>2000</v>
      </c>
      <c r="F620" s="117" t="s">
        <v>2000</v>
      </c>
      <c r="G620" s="68" t="s">
        <v>406</v>
      </c>
      <c r="H620" s="69" t="str">
        <f>IF(Proc[[#This Row],[type]]="LFF (MDG-F)",MID(Proc[[#This Row],[Obj]],13,10),"")</f>
        <v>US10TN2100</v>
      </c>
      <c r="J620" s="69" t="b">
        <f>Proc[[#This Row],[Requested]]=Proc[[#This Row],[CurrentParent]]</f>
        <v>1</v>
      </c>
      <c r="K620" s="144" t="str">
        <f>IF(Proc[[#This Row],[Author]]="Marcela Urrego",VLOOKUP(LEFT(Proc[[#This Row],[Requested]],1),Table3[#All],2,0),VLOOKUP(Proc[[#This Row],[Author]],Table4[],2,0))</f>
        <v>MGF</v>
      </c>
      <c r="L620" s="69" t="s">
        <v>509</v>
      </c>
      <c r="M620" s="71">
        <v>45705.641203703701</v>
      </c>
      <c r="P620" s="70" t="str">
        <f ca="1">IF(Proc[[#This Row],[DaysAgeing]]&gt;5,"yep","on track")</f>
        <v>yep</v>
      </c>
      <c r="Q620" s="3">
        <f ca="1">IF(Proc[[#This Row],[DateClosed]]="",ABS(NETWORKDAYS(Proc[[#This Row],[DateOpened]],TODAY()))-1,ABS(NETWORKDAYS(Proc[[#This Row],[DateOpened]],Proc[[#This Row],[DateClosed]]))-1)</f>
        <v>219</v>
      </c>
      <c r="R620" s="70" t="s">
        <v>1076</v>
      </c>
      <c r="S620" s="69"/>
    </row>
    <row r="621" spans="1:19" hidden="1">
      <c r="A621" s="68" t="s">
        <v>1998</v>
      </c>
      <c r="B621" s="149" t="str">
        <f>IFERROR(VLOOKUP(Proc[[#This Row],[App]],Table2[],3,0),"open")</f>
        <v>ok</v>
      </c>
      <c r="C621" s="68" t="s">
        <v>369</v>
      </c>
      <c r="D621" t="s">
        <v>1996</v>
      </c>
      <c r="E621" t="s">
        <v>2001</v>
      </c>
      <c r="F621" s="117" t="s">
        <v>2001</v>
      </c>
      <c r="G621" s="68" t="s">
        <v>406</v>
      </c>
      <c r="H621" s="69" t="str">
        <f>IF(Proc[[#This Row],[type]]="LFF (MDG-F)",MID(Proc[[#This Row],[Obj]],13,10),"")</f>
        <v>CN10C01004</v>
      </c>
      <c r="J621" s="69" t="b">
        <f>Proc[[#This Row],[Requested]]=Proc[[#This Row],[CurrentParent]]</f>
        <v>1</v>
      </c>
      <c r="K621" s="144" t="str">
        <f>IF(Proc[[#This Row],[Author]]="Marcela Urrego",VLOOKUP(LEFT(Proc[[#This Row],[Requested]],1),Table3[#All],2,0),VLOOKUP(Proc[[#This Row],[Author]],Table4[],2,0))</f>
        <v>MGF</v>
      </c>
      <c r="L621" s="69" t="s">
        <v>509</v>
      </c>
      <c r="M621" s="71">
        <v>45705.641203703701</v>
      </c>
      <c r="P621" s="70" t="str">
        <f ca="1">IF(Proc[[#This Row],[DaysAgeing]]&gt;5,"yep","on track")</f>
        <v>yep</v>
      </c>
      <c r="Q621" s="3">
        <f ca="1">IF(Proc[[#This Row],[DateClosed]]="",ABS(NETWORKDAYS(Proc[[#This Row],[DateOpened]],TODAY()))-1,ABS(NETWORKDAYS(Proc[[#This Row],[DateOpened]],Proc[[#This Row],[DateClosed]]))-1)</f>
        <v>219</v>
      </c>
      <c r="R621" s="70" t="s">
        <v>1076</v>
      </c>
      <c r="S621" s="69"/>
    </row>
    <row r="622" spans="1:19" hidden="1">
      <c r="A622" s="68" t="s">
        <v>1998</v>
      </c>
      <c r="B622" s="149" t="str">
        <f>IFERROR(VLOOKUP(Proc[[#This Row],[App]],Table2[],3,0),"open")</f>
        <v>ok</v>
      </c>
      <c r="C622" s="68" t="s">
        <v>369</v>
      </c>
      <c r="D622" t="s">
        <v>1997</v>
      </c>
      <c r="E622" t="s">
        <v>2002</v>
      </c>
      <c r="F622" s="117" t="s">
        <v>2002</v>
      </c>
      <c r="G622" s="68" t="s">
        <v>400</v>
      </c>
      <c r="H622" s="69" t="str">
        <f>IF(Proc[[#This Row],[type]]="LFF (MDG-F)",MID(Proc[[#This Row],[Obj]],13,10),"")</f>
        <v/>
      </c>
      <c r="J622" s="69" t="b">
        <f>Proc[[#This Row],[Requested]]=Proc[[#This Row],[CurrentParent]]</f>
        <v>1</v>
      </c>
      <c r="K622" s="144" t="str">
        <f>IF(Proc[[#This Row],[Author]]="Marcela Urrego",VLOOKUP(LEFT(Proc[[#This Row],[Requested]],1),Table3[#All],2,0),VLOOKUP(Proc[[#This Row],[Author]],Table4[],2,0))</f>
        <v>MGF</v>
      </c>
      <c r="L622" s="69" t="s">
        <v>509</v>
      </c>
      <c r="M622" s="71">
        <v>45705.641203703701</v>
      </c>
      <c r="P622" s="70" t="str">
        <f ca="1">IF(Proc[[#This Row],[DaysAgeing]]&gt;5,"yep","on track")</f>
        <v>yep</v>
      </c>
      <c r="Q622" s="3">
        <f ca="1">IF(Proc[[#This Row],[DateClosed]]="",ABS(NETWORKDAYS(Proc[[#This Row],[DateOpened]],TODAY()))-1,ABS(NETWORKDAYS(Proc[[#This Row],[DateOpened]],Proc[[#This Row],[DateClosed]]))-1)</f>
        <v>219</v>
      </c>
      <c r="R622" s="70" t="s">
        <v>1076</v>
      </c>
      <c r="S622" s="69"/>
    </row>
    <row r="623" spans="1:19" hidden="1">
      <c r="A623" t="s">
        <v>2009</v>
      </c>
      <c r="B623" s="149" t="str">
        <f>IFERROR(VLOOKUP(Proc[[#This Row],[App]],Table2[],3,0),"open")</f>
        <v>ok</v>
      </c>
      <c r="C623" s="68" t="s">
        <v>369</v>
      </c>
      <c r="D623" t="s">
        <v>2010</v>
      </c>
      <c r="E623" t="s">
        <v>2016</v>
      </c>
      <c r="F623" s="117" t="s">
        <v>2016</v>
      </c>
      <c r="G623" s="68" t="s">
        <v>400</v>
      </c>
      <c r="H623" s="69" t="str">
        <f>IF(Proc[[#This Row],[type]]="LFF (MDG-F)",MID(Proc[[#This Row],[Obj]],13,10),"")</f>
        <v/>
      </c>
      <c r="J623" s="69" t="b">
        <f>Proc[[#This Row],[Requested]]=Proc[[#This Row],[CurrentParent]]</f>
        <v>1</v>
      </c>
      <c r="K623" s="144" t="str">
        <f>IF(Proc[[#This Row],[Author]]="Marcela Urrego",VLOOKUP(LEFT(Proc[[#This Row],[Requested]],1),Table3[#All],2,0),VLOOKUP(Proc[[#This Row],[Author]],Table4[],2,0))</f>
        <v>EL</v>
      </c>
      <c r="L623" s="69" t="s">
        <v>509</v>
      </c>
      <c r="M623" s="71">
        <v>45705.645752314813</v>
      </c>
      <c r="P623" s="70" t="str">
        <f ca="1">IF(Proc[[#This Row],[DaysAgeing]]&gt;5,"yep","on track")</f>
        <v>yep</v>
      </c>
      <c r="Q623" s="3">
        <f ca="1">IF(Proc[[#This Row],[DateClosed]]="",ABS(NETWORKDAYS(Proc[[#This Row],[DateOpened]],TODAY()))-1,ABS(NETWORKDAYS(Proc[[#This Row],[DateOpened]],Proc[[#This Row],[DateClosed]]))-1)</f>
        <v>219</v>
      </c>
      <c r="R623" s="70" t="s">
        <v>1001</v>
      </c>
      <c r="S623" s="69"/>
    </row>
    <row r="624" spans="1:19" hidden="1">
      <c r="A624" s="68" t="s">
        <v>2009</v>
      </c>
      <c r="B624" s="149" t="str">
        <f>IFERROR(VLOOKUP(Proc[[#This Row],[App]],Table2[],3,0),"open")</f>
        <v>ok</v>
      </c>
      <c r="C624" s="68" t="s">
        <v>369</v>
      </c>
      <c r="D624" t="s">
        <v>2011</v>
      </c>
      <c r="E624" t="s">
        <v>1604</v>
      </c>
      <c r="F624" s="117" t="s">
        <v>1604</v>
      </c>
      <c r="G624" s="68" t="s">
        <v>400</v>
      </c>
      <c r="H624" s="69" t="str">
        <f>IF(Proc[[#This Row],[type]]="LFF (MDG-F)",MID(Proc[[#This Row],[Obj]],13,10),"")</f>
        <v/>
      </c>
      <c r="J624" s="69" t="b">
        <f>Proc[[#This Row],[Requested]]=Proc[[#This Row],[CurrentParent]]</f>
        <v>1</v>
      </c>
      <c r="K624" s="144" t="str">
        <f>IF(Proc[[#This Row],[Author]]="Marcela Urrego",VLOOKUP(LEFT(Proc[[#This Row],[Requested]],1),Table3[#All],2,0),VLOOKUP(Proc[[#This Row],[Author]],Table4[],2,0))</f>
        <v>EL</v>
      </c>
      <c r="L624" s="69" t="s">
        <v>509</v>
      </c>
      <c r="M624" s="71">
        <v>45705.645752314813</v>
      </c>
      <c r="P624" s="70" t="str">
        <f ca="1">IF(Proc[[#This Row],[DaysAgeing]]&gt;5,"yep","on track")</f>
        <v>yep</v>
      </c>
      <c r="Q624" s="3">
        <f ca="1">IF(Proc[[#This Row],[DateClosed]]="",ABS(NETWORKDAYS(Proc[[#This Row],[DateOpened]],TODAY()))-1,ABS(NETWORKDAYS(Proc[[#This Row],[DateOpened]],Proc[[#This Row],[DateClosed]]))-1)</f>
        <v>219</v>
      </c>
      <c r="R624" s="70" t="s">
        <v>1001</v>
      </c>
      <c r="S624" s="69"/>
    </row>
    <row r="625" spans="1:19" hidden="1">
      <c r="A625" s="68" t="s">
        <v>2009</v>
      </c>
      <c r="B625" s="149" t="str">
        <f>IFERROR(VLOOKUP(Proc[[#This Row],[App]],Table2[],3,0),"open")</f>
        <v>ok</v>
      </c>
      <c r="C625" s="68" t="s">
        <v>369</v>
      </c>
      <c r="D625" t="s">
        <v>2012</v>
      </c>
      <c r="E625" t="s">
        <v>2017</v>
      </c>
      <c r="F625" s="117" t="s">
        <v>2017</v>
      </c>
      <c r="G625" s="68" t="s">
        <v>400</v>
      </c>
      <c r="H625" s="69" t="str">
        <f>IF(Proc[[#This Row],[type]]="LFF (MDG-F)",MID(Proc[[#This Row],[Obj]],13,10),"")</f>
        <v/>
      </c>
      <c r="J625" s="69" t="b">
        <f>Proc[[#This Row],[Requested]]=Proc[[#This Row],[CurrentParent]]</f>
        <v>1</v>
      </c>
      <c r="K625" s="144" t="str">
        <f>IF(Proc[[#This Row],[Author]]="Marcela Urrego",VLOOKUP(LEFT(Proc[[#This Row],[Requested]],1),Table3[#All],2,0),VLOOKUP(Proc[[#This Row],[Author]],Table4[],2,0))</f>
        <v>EL</v>
      </c>
      <c r="L625" s="69" t="s">
        <v>509</v>
      </c>
      <c r="M625" s="71">
        <v>45705.645752314813</v>
      </c>
      <c r="P625" s="70" t="str">
        <f ca="1">IF(Proc[[#This Row],[DaysAgeing]]&gt;5,"yep","on track")</f>
        <v>yep</v>
      </c>
      <c r="Q625" s="3">
        <f ca="1">IF(Proc[[#This Row],[DateClosed]]="",ABS(NETWORKDAYS(Proc[[#This Row],[DateOpened]],TODAY()))-1,ABS(NETWORKDAYS(Proc[[#This Row],[DateOpened]],Proc[[#This Row],[DateClosed]]))-1)</f>
        <v>219</v>
      </c>
      <c r="R625" s="70" t="s">
        <v>1001</v>
      </c>
      <c r="S625" s="69"/>
    </row>
    <row r="626" spans="1:19" hidden="1">
      <c r="A626" s="68" t="s">
        <v>2009</v>
      </c>
      <c r="B626" s="149" t="str">
        <f>IFERROR(VLOOKUP(Proc[[#This Row],[App]],Table2[],3,0),"open")</f>
        <v>ok</v>
      </c>
      <c r="C626" s="68" t="s">
        <v>369</v>
      </c>
      <c r="D626" t="s">
        <v>2013</v>
      </c>
      <c r="E626" t="s">
        <v>2018</v>
      </c>
      <c r="F626" s="117" t="s">
        <v>2018</v>
      </c>
      <c r="G626" s="68" t="s">
        <v>400</v>
      </c>
      <c r="H626" s="69" t="str">
        <f>IF(Proc[[#This Row],[type]]="LFF (MDG-F)",MID(Proc[[#This Row],[Obj]],13,10),"")</f>
        <v/>
      </c>
      <c r="J626" s="69" t="b">
        <f>Proc[[#This Row],[Requested]]=Proc[[#This Row],[CurrentParent]]</f>
        <v>1</v>
      </c>
      <c r="K626" s="144" t="str">
        <f>IF(Proc[[#This Row],[Author]]="Marcela Urrego",VLOOKUP(LEFT(Proc[[#This Row],[Requested]],1),Table3[#All],2,0),VLOOKUP(Proc[[#This Row],[Author]],Table4[],2,0))</f>
        <v>EL</v>
      </c>
      <c r="L626" s="69" t="s">
        <v>509</v>
      </c>
      <c r="M626" s="71">
        <v>45705.645752314813</v>
      </c>
      <c r="P626" s="70" t="str">
        <f ca="1">IF(Proc[[#This Row],[DaysAgeing]]&gt;5,"yep","on track")</f>
        <v>yep</v>
      </c>
      <c r="Q626" s="3">
        <f ca="1">IF(Proc[[#This Row],[DateClosed]]="",ABS(NETWORKDAYS(Proc[[#This Row],[DateOpened]],TODAY()))-1,ABS(NETWORKDAYS(Proc[[#This Row],[DateOpened]],Proc[[#This Row],[DateClosed]]))-1)</f>
        <v>219</v>
      </c>
      <c r="R626" s="70" t="s">
        <v>1001</v>
      </c>
      <c r="S626" s="69"/>
    </row>
    <row r="627" spans="1:19" hidden="1">
      <c r="A627" s="68" t="s">
        <v>2009</v>
      </c>
      <c r="B627" s="149" t="str">
        <f>IFERROR(VLOOKUP(Proc[[#This Row],[App]],Table2[],3,0),"open")</f>
        <v>ok</v>
      </c>
      <c r="C627" s="68" t="s">
        <v>369</v>
      </c>
      <c r="D627" t="s">
        <v>2014</v>
      </c>
      <c r="E627" t="s">
        <v>2018</v>
      </c>
      <c r="F627" s="117" t="s">
        <v>2018</v>
      </c>
      <c r="G627" s="68" t="s">
        <v>400</v>
      </c>
      <c r="H627" s="69" t="str">
        <f>IF(Proc[[#This Row],[type]]="LFF (MDG-F)",MID(Proc[[#This Row],[Obj]],13,10),"")</f>
        <v/>
      </c>
      <c r="J627" s="69" t="b">
        <f>Proc[[#This Row],[Requested]]=Proc[[#This Row],[CurrentParent]]</f>
        <v>1</v>
      </c>
      <c r="K627" s="144" t="str">
        <f>IF(Proc[[#This Row],[Author]]="Marcela Urrego",VLOOKUP(LEFT(Proc[[#This Row],[Requested]],1),Table3[#All],2,0),VLOOKUP(Proc[[#This Row],[Author]],Table4[],2,0))</f>
        <v>EL</v>
      </c>
      <c r="L627" s="69" t="s">
        <v>509</v>
      </c>
      <c r="M627" s="71">
        <v>45705.645752314813</v>
      </c>
      <c r="P627" s="70" t="str">
        <f ca="1">IF(Proc[[#This Row],[DaysAgeing]]&gt;5,"yep","on track")</f>
        <v>yep</v>
      </c>
      <c r="Q627" s="3">
        <f ca="1">IF(Proc[[#This Row],[DateClosed]]="",ABS(NETWORKDAYS(Proc[[#This Row],[DateOpened]],TODAY()))-1,ABS(NETWORKDAYS(Proc[[#This Row],[DateOpened]],Proc[[#This Row],[DateClosed]]))-1)</f>
        <v>219</v>
      </c>
      <c r="R627" s="70" t="s">
        <v>1001</v>
      </c>
      <c r="S627" s="69"/>
    </row>
    <row r="628" spans="1:19" hidden="1">
      <c r="A628" t="s">
        <v>2009</v>
      </c>
      <c r="B628" s="149" t="str">
        <f>IFERROR(VLOOKUP(Proc[[#This Row],[App]],Table2[],3,0),"open")</f>
        <v>ok</v>
      </c>
      <c r="C628" s="68" t="s">
        <v>369</v>
      </c>
      <c r="D628" t="s">
        <v>2015</v>
      </c>
      <c r="E628" t="s">
        <v>2018</v>
      </c>
      <c r="F628" s="117" t="s">
        <v>2018</v>
      </c>
      <c r="G628" s="68" t="s">
        <v>400</v>
      </c>
      <c r="H628" s="69" t="str">
        <f>IF(Proc[[#This Row],[type]]="LFF (MDG-F)",MID(Proc[[#This Row],[Obj]],13,10),"")</f>
        <v/>
      </c>
      <c r="J628" s="69" t="b">
        <f>Proc[[#This Row],[Requested]]=Proc[[#This Row],[CurrentParent]]</f>
        <v>1</v>
      </c>
      <c r="K628" s="144" t="str">
        <f>IF(Proc[[#This Row],[Author]]="Marcela Urrego",VLOOKUP(LEFT(Proc[[#This Row],[Requested]],1),Table3[#All],2,0),VLOOKUP(Proc[[#This Row],[Author]],Table4[],2,0))</f>
        <v>EL</v>
      </c>
      <c r="L628" s="69" t="s">
        <v>509</v>
      </c>
      <c r="M628" s="71">
        <v>45705.645752314813</v>
      </c>
      <c r="P628" s="70" t="str">
        <f ca="1">IF(Proc[[#This Row],[DaysAgeing]]&gt;5,"yep","on track")</f>
        <v>yep</v>
      </c>
      <c r="Q628" s="3">
        <f ca="1">IF(Proc[[#This Row],[DateClosed]]="",ABS(NETWORKDAYS(Proc[[#This Row],[DateOpened]],TODAY()))-1,ABS(NETWORKDAYS(Proc[[#This Row],[DateOpened]],Proc[[#This Row],[DateClosed]]))-1)</f>
        <v>219</v>
      </c>
      <c r="R628" s="70" t="s">
        <v>1001</v>
      </c>
      <c r="S628" s="69"/>
    </row>
    <row r="629" spans="1:19" hidden="1">
      <c r="A629" s="68" t="s">
        <v>2009</v>
      </c>
      <c r="B629" s="149" t="str">
        <f>IFERROR(VLOOKUP(Proc[[#This Row],[App]],Table2[],3,0),"open")</f>
        <v>ok</v>
      </c>
      <c r="C629" s="68" t="s">
        <v>369</v>
      </c>
      <c r="D629" t="s">
        <v>1592</v>
      </c>
      <c r="E629" t="s">
        <v>2019</v>
      </c>
      <c r="F629" s="117" t="s">
        <v>2019</v>
      </c>
      <c r="G629" s="68" t="s">
        <v>400</v>
      </c>
      <c r="H629" s="69" t="str">
        <f>IF(Proc[[#This Row],[type]]="LFF (MDG-F)",MID(Proc[[#This Row],[Obj]],13,10),"")</f>
        <v/>
      </c>
      <c r="J629" s="69" t="b">
        <f>Proc[[#This Row],[Requested]]=Proc[[#This Row],[CurrentParent]]</f>
        <v>1</v>
      </c>
      <c r="K629" s="144" t="str">
        <f>IF(Proc[[#This Row],[Author]]="Marcela Urrego",VLOOKUP(LEFT(Proc[[#This Row],[Requested]],1),Table3[#All],2,0),VLOOKUP(Proc[[#This Row],[Author]],Table4[],2,0))</f>
        <v>EL</v>
      </c>
      <c r="L629" s="69" t="s">
        <v>509</v>
      </c>
      <c r="M629" s="71">
        <v>45705.645752314813</v>
      </c>
      <c r="P629" s="70" t="str">
        <f ca="1">IF(Proc[[#This Row],[DaysAgeing]]&gt;5,"yep","on track")</f>
        <v>yep</v>
      </c>
      <c r="Q629" s="3">
        <f ca="1">IF(Proc[[#This Row],[DateClosed]]="",ABS(NETWORKDAYS(Proc[[#This Row],[DateOpened]],TODAY()))-1,ABS(NETWORKDAYS(Proc[[#This Row],[DateOpened]],Proc[[#This Row],[DateClosed]]))-1)</f>
        <v>219</v>
      </c>
      <c r="R629" s="70" t="s">
        <v>1001</v>
      </c>
      <c r="S629" s="69"/>
    </row>
    <row r="630" spans="1:19" hidden="1">
      <c r="A630" s="68" t="s">
        <v>2009</v>
      </c>
      <c r="B630" s="149" t="str">
        <f>IFERROR(VLOOKUP(Proc[[#This Row],[App]],Table2[],3,0),"open")</f>
        <v>ok</v>
      </c>
      <c r="C630" s="68" t="s">
        <v>369</v>
      </c>
      <c r="D630" t="s">
        <v>1598</v>
      </c>
      <c r="E630" t="s">
        <v>2019</v>
      </c>
      <c r="F630" s="117" t="s">
        <v>2019</v>
      </c>
      <c r="G630" s="68" t="s">
        <v>400</v>
      </c>
      <c r="H630" s="69" t="str">
        <f>IF(Proc[[#This Row],[type]]="LFF (MDG-F)",MID(Proc[[#This Row],[Obj]],13,10),"")</f>
        <v/>
      </c>
      <c r="J630" s="69" t="b">
        <f>Proc[[#This Row],[Requested]]=Proc[[#This Row],[CurrentParent]]</f>
        <v>1</v>
      </c>
      <c r="K630" s="144" t="str">
        <f>IF(Proc[[#This Row],[Author]]="Marcela Urrego",VLOOKUP(LEFT(Proc[[#This Row],[Requested]],1),Table3[#All],2,0),VLOOKUP(Proc[[#This Row],[Author]],Table4[],2,0))</f>
        <v>EL</v>
      </c>
      <c r="L630" s="69" t="s">
        <v>509</v>
      </c>
      <c r="M630" s="71">
        <v>45705.645752314813</v>
      </c>
      <c r="P630" s="70" t="str">
        <f ca="1">IF(Proc[[#This Row],[DaysAgeing]]&gt;5,"yep","on track")</f>
        <v>yep</v>
      </c>
      <c r="Q630" s="3">
        <f ca="1">IF(Proc[[#This Row],[DateClosed]]="",ABS(NETWORKDAYS(Proc[[#This Row],[DateOpened]],TODAY()))-1,ABS(NETWORKDAYS(Proc[[#This Row],[DateOpened]],Proc[[#This Row],[DateClosed]]))-1)</f>
        <v>219</v>
      </c>
      <c r="R630" s="70" t="s">
        <v>1001</v>
      </c>
      <c r="S630" s="69"/>
    </row>
    <row r="631" spans="1:19" hidden="1">
      <c r="A631" s="68" t="s">
        <v>2009</v>
      </c>
      <c r="B631" s="149" t="str">
        <f>IFERROR(VLOOKUP(Proc[[#This Row],[App]],Table2[],3,0),"open")</f>
        <v>ok</v>
      </c>
      <c r="C631" s="68" t="s">
        <v>369</v>
      </c>
      <c r="D631" t="s">
        <v>1593</v>
      </c>
      <c r="E631" t="s">
        <v>2020</v>
      </c>
      <c r="F631" s="117" t="s">
        <v>2020</v>
      </c>
      <c r="G631" s="68" t="s">
        <v>400</v>
      </c>
      <c r="H631" s="69" t="str">
        <f>IF(Proc[[#This Row],[type]]="LFF (MDG-F)",MID(Proc[[#This Row],[Obj]],13,10),"")</f>
        <v/>
      </c>
      <c r="J631" s="69" t="b">
        <f>Proc[[#This Row],[Requested]]=Proc[[#This Row],[CurrentParent]]</f>
        <v>1</v>
      </c>
      <c r="K631" s="144" t="str">
        <f>IF(Proc[[#This Row],[Author]]="Marcela Urrego",VLOOKUP(LEFT(Proc[[#This Row],[Requested]],1),Table3[#All],2,0),VLOOKUP(Proc[[#This Row],[Author]],Table4[],2,0))</f>
        <v>EL</v>
      </c>
      <c r="L631" s="69" t="s">
        <v>509</v>
      </c>
      <c r="M631" s="71">
        <v>45705.645752314813</v>
      </c>
      <c r="P631" s="70" t="str">
        <f ca="1">IF(Proc[[#This Row],[DaysAgeing]]&gt;5,"yep","on track")</f>
        <v>yep</v>
      </c>
      <c r="Q631" s="3">
        <f ca="1">IF(Proc[[#This Row],[DateClosed]]="",ABS(NETWORKDAYS(Proc[[#This Row],[DateOpened]],TODAY()))-1,ABS(NETWORKDAYS(Proc[[#This Row],[DateOpened]],Proc[[#This Row],[DateClosed]]))-1)</f>
        <v>219</v>
      </c>
      <c r="R631" s="70" t="s">
        <v>1001</v>
      </c>
      <c r="S631" s="69"/>
    </row>
    <row r="632" spans="1:19" hidden="1">
      <c r="A632" s="68" t="s">
        <v>2009</v>
      </c>
      <c r="B632" s="149" t="str">
        <f>IFERROR(VLOOKUP(Proc[[#This Row],[App]],Table2[],3,0),"open")</f>
        <v>ok</v>
      </c>
      <c r="C632" s="68" t="s">
        <v>369</v>
      </c>
      <c r="D632" t="s">
        <v>1599</v>
      </c>
      <c r="E632" t="s">
        <v>2020</v>
      </c>
      <c r="F632" s="117" t="s">
        <v>2020</v>
      </c>
      <c r="G632" s="68" t="s">
        <v>400</v>
      </c>
      <c r="H632" s="69" t="str">
        <f>IF(Proc[[#This Row],[type]]="LFF (MDG-F)",MID(Proc[[#This Row],[Obj]],13,10),"")</f>
        <v/>
      </c>
      <c r="J632" s="69" t="b">
        <f>Proc[[#This Row],[Requested]]=Proc[[#This Row],[CurrentParent]]</f>
        <v>1</v>
      </c>
      <c r="K632" s="144" t="str">
        <f>IF(Proc[[#This Row],[Author]]="Marcela Urrego",VLOOKUP(LEFT(Proc[[#This Row],[Requested]],1),Table3[#All],2,0),VLOOKUP(Proc[[#This Row],[Author]],Table4[],2,0))</f>
        <v>EL</v>
      </c>
      <c r="L632" s="69" t="s">
        <v>509</v>
      </c>
      <c r="M632" s="71">
        <v>45705.645752314813</v>
      </c>
      <c r="P632" s="70" t="str">
        <f ca="1">IF(Proc[[#This Row],[DaysAgeing]]&gt;5,"yep","on track")</f>
        <v>yep</v>
      </c>
      <c r="Q632" s="3">
        <f ca="1">IF(Proc[[#This Row],[DateClosed]]="",ABS(NETWORKDAYS(Proc[[#This Row],[DateOpened]],TODAY()))-1,ABS(NETWORKDAYS(Proc[[#This Row],[DateOpened]],Proc[[#This Row],[DateClosed]]))-1)</f>
        <v>219</v>
      </c>
      <c r="R632" s="70" t="s">
        <v>1001</v>
      </c>
      <c r="S632" s="69"/>
    </row>
    <row r="633" spans="1:19" hidden="1">
      <c r="A633" s="68" t="s">
        <v>2025</v>
      </c>
      <c r="B633" s="149" t="str">
        <f>IFERROR(VLOOKUP(Proc[[#This Row],[App]],Table2[],3,0),"open")</f>
        <v>ok</v>
      </c>
      <c r="C633" s="68" t="s">
        <v>369</v>
      </c>
      <c r="D633" t="s">
        <v>2021</v>
      </c>
      <c r="E633" t="s">
        <v>2023</v>
      </c>
      <c r="F633" s="117" t="s">
        <v>2023</v>
      </c>
      <c r="G633" s="68" t="s">
        <v>400</v>
      </c>
      <c r="H633" s="69" t="str">
        <f>IF(Proc[[#This Row],[type]]="LFF (MDG-F)",MID(Proc[[#This Row],[Obj]],13,10),"")</f>
        <v/>
      </c>
      <c r="J633" s="69" t="b">
        <f>Proc[[#This Row],[Requested]]=Proc[[#This Row],[CurrentParent]]</f>
        <v>1</v>
      </c>
      <c r="K633" s="144" t="str">
        <f>IF(Proc[[#This Row],[Author]]="Marcela Urrego",VLOOKUP(LEFT(Proc[[#This Row],[Requested]],1),Table3[#All],2,0),VLOOKUP(Proc[[#This Row],[Author]],Table4[],2,0))</f>
        <v>MGF</v>
      </c>
      <c r="L633" s="69" t="s">
        <v>509</v>
      </c>
      <c r="M633" s="71">
        <v>45705.71533564815</v>
      </c>
      <c r="N633" s="71">
        <v>45706</v>
      </c>
      <c r="O633" s="71">
        <v>45706</v>
      </c>
      <c r="P633" s="70" t="str">
        <f ca="1">IF(Proc[[#This Row],[DaysAgeing]]&gt;5,"yep","on track")</f>
        <v>on track</v>
      </c>
      <c r="Q633" s="3">
        <f ca="1">IF(Proc[[#This Row],[DateClosed]]="",ABS(NETWORKDAYS(Proc[[#This Row],[DateOpened]],TODAY()))-1,ABS(NETWORKDAYS(Proc[[#This Row],[DateOpened]],Proc[[#This Row],[DateClosed]]))-1)</f>
        <v>1</v>
      </c>
      <c r="R633" s="70" t="s">
        <v>515</v>
      </c>
      <c r="S633" s="69"/>
    </row>
    <row r="634" spans="1:19" hidden="1">
      <c r="A634" s="68" t="s">
        <v>2025</v>
      </c>
      <c r="B634" s="149" t="str">
        <f>IFERROR(VLOOKUP(Proc[[#This Row],[App]],Table2[],3,0),"open")</f>
        <v>ok</v>
      </c>
      <c r="C634" s="68" t="s">
        <v>369</v>
      </c>
      <c r="D634" t="s">
        <v>2022</v>
      </c>
      <c r="E634" t="s">
        <v>2024</v>
      </c>
      <c r="F634" s="117" t="s">
        <v>2024</v>
      </c>
      <c r="G634" s="68" t="s">
        <v>400</v>
      </c>
      <c r="H634" s="69" t="str">
        <f>IF(Proc[[#This Row],[type]]="LFF (MDG-F)",MID(Proc[[#This Row],[Obj]],13,10),"")</f>
        <v/>
      </c>
      <c r="J634" s="69" t="b">
        <f>Proc[[#This Row],[Requested]]=Proc[[#This Row],[CurrentParent]]</f>
        <v>1</v>
      </c>
      <c r="K634" s="144" t="str">
        <f>IF(Proc[[#This Row],[Author]]="Marcela Urrego",VLOOKUP(LEFT(Proc[[#This Row],[Requested]],1),Table3[#All],2,0),VLOOKUP(Proc[[#This Row],[Author]],Table4[],2,0))</f>
        <v>MGF</v>
      </c>
      <c r="L634" s="69" t="s">
        <v>509</v>
      </c>
      <c r="M634" s="71">
        <v>45705.71533564815</v>
      </c>
      <c r="N634" s="71">
        <v>45706</v>
      </c>
      <c r="O634" s="71">
        <v>45706</v>
      </c>
      <c r="P634" s="70" t="str">
        <f ca="1">IF(Proc[[#This Row],[DaysAgeing]]&gt;5,"yep","on track")</f>
        <v>on track</v>
      </c>
      <c r="Q634" s="3">
        <f ca="1">IF(Proc[[#This Row],[DateClosed]]="",ABS(NETWORKDAYS(Proc[[#This Row],[DateOpened]],TODAY()))-1,ABS(NETWORKDAYS(Proc[[#This Row],[DateOpened]],Proc[[#This Row],[DateClosed]]))-1)</f>
        <v>1</v>
      </c>
      <c r="R634" s="70" t="s">
        <v>515</v>
      </c>
      <c r="S634" s="69"/>
    </row>
    <row r="635" spans="1:19" hidden="1">
      <c r="A635" s="68" t="s">
        <v>2003</v>
      </c>
      <c r="B635" s="149" t="str">
        <f>IFERROR(VLOOKUP(Proc[[#This Row],[App]],Table2[],3,0),"open")</f>
        <v>ok</v>
      </c>
      <c r="C635" s="68" t="s">
        <v>369</v>
      </c>
      <c r="D635" t="s">
        <v>2004</v>
      </c>
      <c r="E635" t="s">
        <v>1522</v>
      </c>
      <c r="F635" s="117" t="s">
        <v>1522</v>
      </c>
      <c r="G635" s="68" t="s">
        <v>400</v>
      </c>
      <c r="H635" s="69" t="str">
        <f>IF(Proc[[#This Row],[type]]="LFF (MDG-F)",MID(Proc[[#This Row],[Obj]],13,10),"")</f>
        <v/>
      </c>
      <c r="J635" s="69" t="b">
        <f>Proc[[#This Row],[Requested]]=Proc[[#This Row],[CurrentParent]]</f>
        <v>1</v>
      </c>
      <c r="K635" s="144" t="str">
        <f>IF(Proc[[#This Row],[Author]]="Marcela Urrego",VLOOKUP(LEFT(Proc[[#This Row],[Requested]],1),Table3[#All],2,0),VLOOKUP(Proc[[#This Row],[Author]],Table4[],2,0))</f>
        <v>LS</v>
      </c>
      <c r="L635" s="69" t="s">
        <v>509</v>
      </c>
      <c r="M635" s="71">
        <v>45706.262858796297</v>
      </c>
      <c r="P635" s="70" t="str">
        <f ca="1">IF(Proc[[#This Row],[DaysAgeing]]&gt;5,"yep","on track")</f>
        <v>yep</v>
      </c>
      <c r="Q635" s="3">
        <f ca="1">IF(Proc[[#This Row],[DateClosed]]="",ABS(NETWORKDAYS(Proc[[#This Row],[DateOpened]],TODAY()))-1,ABS(NETWORKDAYS(Proc[[#This Row],[DateOpened]],Proc[[#This Row],[DateClosed]]))-1)</f>
        <v>218</v>
      </c>
      <c r="R635" s="70" t="s">
        <v>830</v>
      </c>
      <c r="S635" s="69"/>
    </row>
    <row r="636" spans="1:19" hidden="1">
      <c r="A636" s="68" t="s">
        <v>2003</v>
      </c>
      <c r="B636" s="149" t="str">
        <f>IFERROR(VLOOKUP(Proc[[#This Row],[App]],Table2[],3,0),"open")</f>
        <v>ok</v>
      </c>
      <c r="C636" s="68" t="s">
        <v>369</v>
      </c>
      <c r="D636" t="s">
        <v>2005</v>
      </c>
      <c r="E636" t="s">
        <v>1522</v>
      </c>
      <c r="F636" s="117" t="s">
        <v>1522</v>
      </c>
      <c r="G636" s="68" t="s">
        <v>400</v>
      </c>
      <c r="H636" s="69" t="str">
        <f>IF(Proc[[#This Row],[type]]="LFF (MDG-F)",MID(Proc[[#This Row],[Obj]],13,10),"")</f>
        <v/>
      </c>
      <c r="J636" s="69" t="b">
        <f>Proc[[#This Row],[Requested]]=Proc[[#This Row],[CurrentParent]]</f>
        <v>1</v>
      </c>
      <c r="K636" s="144" t="str">
        <f>IF(Proc[[#This Row],[Author]]="Marcela Urrego",VLOOKUP(LEFT(Proc[[#This Row],[Requested]],1),Table3[#All],2,0),VLOOKUP(Proc[[#This Row],[Author]],Table4[],2,0))</f>
        <v>LS</v>
      </c>
      <c r="L636" s="69" t="s">
        <v>509</v>
      </c>
      <c r="M636" s="71">
        <v>45706.262858796297</v>
      </c>
      <c r="P636" s="70" t="str">
        <f ca="1">IF(Proc[[#This Row],[DaysAgeing]]&gt;5,"yep","on track")</f>
        <v>yep</v>
      </c>
      <c r="Q636" s="3">
        <f ca="1">IF(Proc[[#This Row],[DateClosed]]="",ABS(NETWORKDAYS(Proc[[#This Row],[DateOpened]],TODAY()))-1,ABS(NETWORKDAYS(Proc[[#This Row],[DateOpened]],Proc[[#This Row],[DateClosed]]))-1)</f>
        <v>218</v>
      </c>
      <c r="R636" s="70" t="s">
        <v>830</v>
      </c>
      <c r="S636" s="69"/>
    </row>
    <row r="637" spans="1:19" hidden="1">
      <c r="A637" s="68" t="s">
        <v>2003</v>
      </c>
      <c r="B637" s="149" t="str">
        <f>IFERROR(VLOOKUP(Proc[[#This Row],[App]],Table2[],3,0),"open")</f>
        <v>ok</v>
      </c>
      <c r="C637" s="68" t="s">
        <v>369</v>
      </c>
      <c r="D637" t="s">
        <v>2006</v>
      </c>
      <c r="E637" t="s">
        <v>1522</v>
      </c>
      <c r="F637" s="117" t="s">
        <v>1522</v>
      </c>
      <c r="G637" s="68" t="s">
        <v>400</v>
      </c>
      <c r="H637" s="69" t="str">
        <f>IF(Proc[[#This Row],[type]]="LFF (MDG-F)",MID(Proc[[#This Row],[Obj]],13,10),"")</f>
        <v/>
      </c>
      <c r="J637" s="69" t="b">
        <f>Proc[[#This Row],[Requested]]=Proc[[#This Row],[CurrentParent]]</f>
        <v>1</v>
      </c>
      <c r="K637" s="144" t="str">
        <f>IF(Proc[[#This Row],[Author]]="Marcela Urrego",VLOOKUP(LEFT(Proc[[#This Row],[Requested]],1),Table3[#All],2,0),VLOOKUP(Proc[[#This Row],[Author]],Table4[],2,0))</f>
        <v>LS</v>
      </c>
      <c r="L637" s="69" t="s">
        <v>509</v>
      </c>
      <c r="M637" s="71">
        <v>45706.262858796297</v>
      </c>
      <c r="P637" s="70" t="str">
        <f ca="1">IF(Proc[[#This Row],[DaysAgeing]]&gt;5,"yep","on track")</f>
        <v>yep</v>
      </c>
      <c r="Q637" s="3">
        <f ca="1">IF(Proc[[#This Row],[DateClosed]]="",ABS(NETWORKDAYS(Proc[[#This Row],[DateOpened]],TODAY()))-1,ABS(NETWORKDAYS(Proc[[#This Row],[DateOpened]],Proc[[#This Row],[DateClosed]]))-1)</f>
        <v>218</v>
      </c>
      <c r="R637" s="70" t="s">
        <v>830</v>
      </c>
      <c r="S637" s="69"/>
    </row>
    <row r="638" spans="1:19" hidden="1">
      <c r="A638" t="s">
        <v>2003</v>
      </c>
      <c r="B638" s="149" t="str">
        <f>IFERROR(VLOOKUP(Proc[[#This Row],[App]],Table2[],3,0),"open")</f>
        <v>ok</v>
      </c>
      <c r="C638" s="68" t="s">
        <v>369</v>
      </c>
      <c r="D638" t="s">
        <v>2007</v>
      </c>
      <c r="E638" t="s">
        <v>1522</v>
      </c>
      <c r="F638" s="117" t="s">
        <v>1522</v>
      </c>
      <c r="G638" s="68" t="s">
        <v>400</v>
      </c>
      <c r="H638" s="69" t="str">
        <f>IF(Proc[[#This Row],[type]]="LFF (MDG-F)",MID(Proc[[#This Row],[Obj]],13,10),"")</f>
        <v/>
      </c>
      <c r="J638" s="69" t="b">
        <f>Proc[[#This Row],[Requested]]=Proc[[#This Row],[CurrentParent]]</f>
        <v>1</v>
      </c>
      <c r="K638" s="144" t="str">
        <f>IF(Proc[[#This Row],[Author]]="Marcela Urrego",VLOOKUP(LEFT(Proc[[#This Row],[Requested]],1),Table3[#All],2,0),VLOOKUP(Proc[[#This Row],[Author]],Table4[],2,0))</f>
        <v>LS</v>
      </c>
      <c r="L638" s="69" t="s">
        <v>509</v>
      </c>
      <c r="M638" s="71">
        <v>45706.262858796297</v>
      </c>
      <c r="P638" s="70" t="str">
        <f ca="1">IF(Proc[[#This Row],[DaysAgeing]]&gt;5,"yep","on track")</f>
        <v>yep</v>
      </c>
      <c r="Q638" s="3">
        <f ca="1">IF(Proc[[#This Row],[DateClosed]]="",ABS(NETWORKDAYS(Proc[[#This Row],[DateOpened]],TODAY()))-1,ABS(NETWORKDAYS(Proc[[#This Row],[DateOpened]],Proc[[#This Row],[DateClosed]]))-1)</f>
        <v>218</v>
      </c>
      <c r="R638" s="70" t="s">
        <v>830</v>
      </c>
      <c r="S638" s="69"/>
    </row>
    <row r="639" spans="1:19" hidden="1">
      <c r="A639" t="s">
        <v>2003</v>
      </c>
      <c r="B639" s="149" t="str">
        <f>IFERROR(VLOOKUP(Proc[[#This Row],[App]],Table2[],3,0),"open")</f>
        <v>ok</v>
      </c>
      <c r="C639" s="68" t="s">
        <v>369</v>
      </c>
      <c r="D639" t="s">
        <v>2008</v>
      </c>
      <c r="E639" t="s">
        <v>1522</v>
      </c>
      <c r="F639" s="117" t="s">
        <v>1522</v>
      </c>
      <c r="G639" s="68" t="s">
        <v>400</v>
      </c>
      <c r="H639" s="69" t="str">
        <f>IF(Proc[[#This Row],[type]]="LFF (MDG-F)",MID(Proc[[#This Row],[Obj]],13,10),"")</f>
        <v/>
      </c>
      <c r="J639" s="69" t="b">
        <f>Proc[[#This Row],[Requested]]=Proc[[#This Row],[CurrentParent]]</f>
        <v>1</v>
      </c>
      <c r="K639" s="144" t="str">
        <f>IF(Proc[[#This Row],[Author]]="Marcela Urrego",VLOOKUP(LEFT(Proc[[#This Row],[Requested]],1),Table3[#All],2,0),VLOOKUP(Proc[[#This Row],[Author]],Table4[],2,0))</f>
        <v>LS</v>
      </c>
      <c r="L639" s="69" t="s">
        <v>509</v>
      </c>
      <c r="M639" s="71">
        <v>45706.262858796297</v>
      </c>
      <c r="P639" s="70" t="str">
        <f ca="1">IF(Proc[[#This Row],[DaysAgeing]]&gt;5,"yep","on track")</f>
        <v>yep</v>
      </c>
      <c r="Q639" s="3">
        <f ca="1">IF(Proc[[#This Row],[DateClosed]]="",ABS(NETWORKDAYS(Proc[[#This Row],[DateOpened]],TODAY()))-1,ABS(NETWORKDAYS(Proc[[#This Row],[DateOpened]],Proc[[#This Row],[DateClosed]]))-1)</f>
        <v>218</v>
      </c>
      <c r="R639" s="70" t="s">
        <v>830</v>
      </c>
      <c r="S639" s="69"/>
    </row>
    <row r="640" spans="1:19" hidden="1">
      <c r="A640" t="s">
        <v>2026</v>
      </c>
      <c r="B640" s="149" t="str">
        <f>IFERROR(VLOOKUP(Proc[[#This Row],[App]],Table2[],3,0),"open")</f>
        <v>ok</v>
      </c>
      <c r="C640" t="s">
        <v>369</v>
      </c>
      <c r="D640" t="s">
        <v>2027</v>
      </c>
      <c r="E640" t="s">
        <v>2029</v>
      </c>
      <c r="F640" s="117" t="s">
        <v>2029</v>
      </c>
      <c r="G640" t="s">
        <v>406</v>
      </c>
      <c r="H640" s="69" t="str">
        <f>IF(Proc[[#This Row],[type]]="LFF (MDG-F)",MID(Proc[[#This Row],[Obj]],13,10),"")</f>
        <v>DE20538341</v>
      </c>
      <c r="J640" s="69" t="b">
        <f>Proc[[#This Row],[Requested]]=Proc[[#This Row],[CurrentParent]]</f>
        <v>1</v>
      </c>
      <c r="K640" s="144" t="str">
        <f>IF(Proc[[#This Row],[Author]]="Marcela Urrego",VLOOKUP(LEFT(Proc[[#This Row],[Requested]],1),Table3[#All],2,0),VLOOKUP(Proc[[#This Row],[Author]],Table4[],2,0))</f>
        <v>MGF</v>
      </c>
      <c r="L640" s="69" t="s">
        <v>509</v>
      </c>
      <c r="M640" s="71">
        <v>45706.507418981484</v>
      </c>
      <c r="N640" s="71">
        <v>45709</v>
      </c>
      <c r="O640" s="71">
        <v>45709</v>
      </c>
      <c r="P640" s="70" t="str">
        <f ca="1">IF(Proc[[#This Row],[DaysAgeing]]&gt;5,"yep","on track")</f>
        <v>on track</v>
      </c>
      <c r="Q640" s="3">
        <f ca="1">IF(Proc[[#This Row],[DateClosed]]="",ABS(NETWORKDAYS(Proc[[#This Row],[DateOpened]],TODAY()))-1,ABS(NETWORKDAYS(Proc[[#This Row],[DateOpened]],Proc[[#This Row],[DateClosed]]))-1)</f>
        <v>3</v>
      </c>
      <c r="R640" s="70" t="s">
        <v>549</v>
      </c>
      <c r="S640" s="69"/>
    </row>
    <row r="641" spans="1:19" hidden="1">
      <c r="A641" s="68" t="s">
        <v>2026</v>
      </c>
      <c r="B641" s="149" t="str">
        <f>IFERROR(VLOOKUP(Proc[[#This Row],[App]],Table2[],3,0),"open")</f>
        <v>ok</v>
      </c>
      <c r="C641" s="68" t="s">
        <v>369</v>
      </c>
      <c r="D641" t="s">
        <v>2028</v>
      </c>
      <c r="E641" t="s">
        <v>2030</v>
      </c>
      <c r="F641" s="117" t="s">
        <v>2030</v>
      </c>
      <c r="G641" s="68" t="s">
        <v>406</v>
      </c>
      <c r="H641" s="69" t="str">
        <f>IF(Proc[[#This Row],[type]]="LFF (MDG-F)",MID(Proc[[#This Row],[Obj]],13,10),"")</f>
        <v>DE10538341</v>
      </c>
      <c r="J641" s="69" t="b">
        <f>Proc[[#This Row],[Requested]]=Proc[[#This Row],[CurrentParent]]</f>
        <v>1</v>
      </c>
      <c r="K641" s="144" t="str">
        <f>IF(Proc[[#This Row],[Author]]="Marcela Urrego",VLOOKUP(LEFT(Proc[[#This Row],[Requested]],1),Table3[#All],2,0),VLOOKUP(Proc[[#This Row],[Author]],Table4[],2,0))</f>
        <v>MGF</v>
      </c>
      <c r="L641" s="69" t="s">
        <v>509</v>
      </c>
      <c r="M641" s="71">
        <v>45706.507418981484</v>
      </c>
      <c r="N641" s="71">
        <v>45709</v>
      </c>
      <c r="O641" s="71">
        <v>45709</v>
      </c>
      <c r="P641" s="70" t="str">
        <f ca="1">IF(Proc[[#This Row],[DaysAgeing]]&gt;5,"yep","on track")</f>
        <v>on track</v>
      </c>
      <c r="Q641" s="3">
        <f ca="1">IF(Proc[[#This Row],[DateClosed]]="",ABS(NETWORKDAYS(Proc[[#This Row],[DateOpened]],TODAY()))-1,ABS(NETWORKDAYS(Proc[[#This Row],[DateOpened]],Proc[[#This Row],[DateClosed]]))-1)</f>
        <v>3</v>
      </c>
      <c r="R641" s="70" t="s">
        <v>549</v>
      </c>
      <c r="S641" s="69"/>
    </row>
    <row r="642" spans="1:19" hidden="1">
      <c r="A642" t="s">
        <v>2031</v>
      </c>
      <c r="B642" s="149" t="str">
        <f>IFERROR(VLOOKUP(Proc[[#This Row],[App]],Table2[],3,0),"open")</f>
        <v>ok</v>
      </c>
      <c r="C642" t="s">
        <v>369</v>
      </c>
      <c r="D642" s="68" t="s">
        <v>1820</v>
      </c>
      <c r="E642" s="68" t="s">
        <v>2046</v>
      </c>
      <c r="F642" s="117" t="s">
        <v>2046</v>
      </c>
      <c r="G642" t="s">
        <v>406</v>
      </c>
      <c r="H642" s="69" t="str">
        <f>IF(Proc[[#This Row],[type]]="LFF (MDG-F)",MID(Proc[[#This Row],[Obj]],13,10),"")</f>
        <v>DE10G69660</v>
      </c>
      <c r="J642" s="69" t="b">
        <f>Proc[[#This Row],[Requested]]=Proc[[#This Row],[CurrentParent]]</f>
        <v>1</v>
      </c>
      <c r="K642" s="144" t="str">
        <f>IF(Proc[[#This Row],[Author]]="Marcela Urrego",VLOOKUP(LEFT(Proc[[#This Row],[Requested]],1),Table3[#All],2,0),VLOOKUP(Proc[[#This Row],[Author]],Table4[],2,0))</f>
        <v>MGF</v>
      </c>
      <c r="L642" s="69" t="s">
        <v>509</v>
      </c>
      <c r="M642" s="71">
        <v>45707.167048611111</v>
      </c>
      <c r="N642" s="71">
        <v>45709</v>
      </c>
      <c r="O642" s="71">
        <v>45709</v>
      </c>
      <c r="P642" s="70" t="str">
        <f ca="1">IF(Proc[[#This Row],[DaysAgeing]]&gt;5,"yep","on track")</f>
        <v>on track</v>
      </c>
      <c r="Q642" s="3">
        <f ca="1">IF(Proc[[#This Row],[DateClosed]]="",ABS(NETWORKDAYS(Proc[[#This Row],[DateOpened]],TODAY()))-1,ABS(NETWORKDAYS(Proc[[#This Row],[DateOpened]],Proc[[#This Row],[DateClosed]]))-1)</f>
        <v>2</v>
      </c>
      <c r="R642" s="70" t="s">
        <v>515</v>
      </c>
      <c r="S642" s="69"/>
    </row>
    <row r="643" spans="1:19" hidden="1">
      <c r="A643" t="s">
        <v>2048</v>
      </c>
      <c r="B643" s="149" t="str">
        <f>IFERROR(VLOOKUP(Proc[[#This Row],[App]],Table2[],3,0),"open")</f>
        <v>ok</v>
      </c>
      <c r="C643" t="s">
        <v>369</v>
      </c>
      <c r="D643" t="s">
        <v>2047</v>
      </c>
      <c r="E643" t="s">
        <v>2049</v>
      </c>
      <c r="F643" s="117" t="s">
        <v>2049</v>
      </c>
      <c r="G643" t="s">
        <v>406</v>
      </c>
      <c r="H643" s="69" t="str">
        <f>IF(Proc[[#This Row],[type]]="LFF (MDG-F)",MID(Proc[[#This Row],[Obj]],13,10),"")</f>
        <v>ZA50GM2260</v>
      </c>
      <c r="J643" s="69" t="b">
        <f>Proc[[#This Row],[Requested]]=Proc[[#This Row],[CurrentParent]]</f>
        <v>1</v>
      </c>
      <c r="K643" s="144" t="str">
        <f>IF(Proc[[#This Row],[Author]]="Marcela Urrego",VLOOKUP(LEFT(Proc[[#This Row],[Requested]],1),Table3[#All],2,0),VLOOKUP(Proc[[#This Row],[Author]],Table4[],2,0))</f>
        <v>MGF</v>
      </c>
      <c r="L643" s="69" t="s">
        <v>509</v>
      </c>
      <c r="M643" s="71">
        <v>45708.455127314817</v>
      </c>
      <c r="N643" s="71">
        <v>45712</v>
      </c>
      <c r="O643" s="71">
        <v>45712</v>
      </c>
      <c r="P643" s="70" t="str">
        <f ca="1">IF(Proc[[#This Row],[DaysAgeing]]&gt;5,"yep","on track")</f>
        <v>on track</v>
      </c>
      <c r="Q643" s="3">
        <f ca="1">IF(Proc[[#This Row],[DateClosed]]="",ABS(NETWORKDAYS(Proc[[#This Row],[DateOpened]],TODAY()))-1,ABS(NETWORKDAYS(Proc[[#This Row],[DateOpened]],Proc[[#This Row],[DateClosed]]))-1)</f>
        <v>2</v>
      </c>
      <c r="R643" s="70" t="s">
        <v>515</v>
      </c>
      <c r="S643" s="69"/>
    </row>
    <row r="644" spans="1:19" hidden="1">
      <c r="A644" t="s">
        <v>2045</v>
      </c>
      <c r="B644" s="149" t="str">
        <f>IFERROR(VLOOKUP(Proc[[#This Row],[App]],Table2[],3,0),"open")</f>
        <v>ok</v>
      </c>
      <c r="C644" s="68" t="s">
        <v>369</v>
      </c>
      <c r="D644" t="s">
        <v>2035</v>
      </c>
      <c r="E644" t="s">
        <v>2041</v>
      </c>
      <c r="F644" s="117" t="s">
        <v>2041</v>
      </c>
      <c r="G644" s="68" t="s">
        <v>400</v>
      </c>
      <c r="H644" s="69" t="str">
        <f>IF(Proc[[#This Row],[type]]="LFF (MDG-F)",MID(Proc[[#This Row],[Obj]],13,10),"")</f>
        <v/>
      </c>
      <c r="J644" s="69" t="b">
        <f>Proc[[#This Row],[Requested]]=Proc[[#This Row],[CurrentParent]]</f>
        <v>1</v>
      </c>
      <c r="K644" s="144" t="str">
        <f>IF(Proc[[#This Row],[Author]]="Marcela Urrego",VLOOKUP(LEFT(Proc[[#This Row],[Requested]],1),Table3[#All],2,0),VLOOKUP(Proc[[#This Row],[Author]],Table4[],2,0))</f>
        <v>MGF</v>
      </c>
      <c r="L644" s="69" t="s">
        <v>509</v>
      </c>
      <c r="M644" s="71">
        <v>45708.624907407408</v>
      </c>
      <c r="N644" s="71">
        <v>45712</v>
      </c>
      <c r="O644" s="71">
        <v>45712</v>
      </c>
      <c r="P644" s="70" t="str">
        <f ca="1">IF(Proc[[#This Row],[DaysAgeing]]&gt;5,"yep","on track")</f>
        <v>on track</v>
      </c>
      <c r="Q644" s="3">
        <f ca="1">IF(Proc[[#This Row],[DateClosed]]="",ABS(NETWORKDAYS(Proc[[#This Row],[DateOpened]],TODAY()))-1,ABS(NETWORKDAYS(Proc[[#This Row],[DateOpened]],Proc[[#This Row],[DateClosed]]))-1)</f>
        <v>2</v>
      </c>
      <c r="R644" s="70" t="s">
        <v>1076</v>
      </c>
      <c r="S644" s="69"/>
    </row>
    <row r="645" spans="1:19" hidden="1">
      <c r="A645" s="68" t="s">
        <v>2045</v>
      </c>
      <c r="B645" s="149" t="str">
        <f>IFERROR(VLOOKUP(Proc[[#This Row],[App]],Table2[],3,0),"open")</f>
        <v>ok</v>
      </c>
      <c r="C645" s="68" t="s">
        <v>369</v>
      </c>
      <c r="D645" t="s">
        <v>1550</v>
      </c>
      <c r="E645" t="s">
        <v>418</v>
      </c>
      <c r="F645" s="117" t="s">
        <v>418</v>
      </c>
      <c r="G645" s="68" t="s">
        <v>400</v>
      </c>
      <c r="H645" s="69" t="str">
        <f>IF(Proc[[#This Row],[type]]="LFF (MDG-F)",MID(Proc[[#This Row],[Obj]],13,10),"")</f>
        <v/>
      </c>
      <c r="I645" t="s">
        <v>2050</v>
      </c>
      <c r="J645" s="69" t="b">
        <f>Proc[[#This Row],[Requested]]=Proc[[#This Row],[CurrentParent]]</f>
        <v>1</v>
      </c>
      <c r="K645" s="144" t="str">
        <f>IF(Proc[[#This Row],[Author]]="Marcela Urrego",VLOOKUP(LEFT(Proc[[#This Row],[Requested]],1),Table3[#All],2,0),VLOOKUP(Proc[[#This Row],[Author]],Table4[],2,0))</f>
        <v>MGF</v>
      </c>
      <c r="L645" s="69" t="s">
        <v>509</v>
      </c>
      <c r="M645" s="71">
        <v>45708.624907407408</v>
      </c>
      <c r="N645" s="71">
        <v>45712</v>
      </c>
      <c r="O645" s="71">
        <v>45712</v>
      </c>
      <c r="P645" s="70" t="str">
        <f ca="1">IF(Proc[[#This Row],[DaysAgeing]]&gt;5,"yep","on track")</f>
        <v>on track</v>
      </c>
      <c r="Q645" s="3">
        <f ca="1">IF(Proc[[#This Row],[DateClosed]]="",ABS(NETWORKDAYS(Proc[[#This Row],[DateOpened]],TODAY()))-1,ABS(NETWORKDAYS(Proc[[#This Row],[DateOpened]],Proc[[#This Row],[DateClosed]]))-1)</f>
        <v>2</v>
      </c>
      <c r="R645" s="70" t="s">
        <v>1076</v>
      </c>
      <c r="S645" s="69"/>
    </row>
    <row r="646" spans="1:19" hidden="1">
      <c r="A646" s="68" t="s">
        <v>2045</v>
      </c>
      <c r="B646" s="149" t="str">
        <f>IFERROR(VLOOKUP(Proc[[#This Row],[App]],Table2[],3,0),"open")</f>
        <v>ok</v>
      </c>
      <c r="C646" s="68" t="s">
        <v>369</v>
      </c>
      <c r="D646" t="s">
        <v>2036</v>
      </c>
      <c r="E646" t="s">
        <v>2042</v>
      </c>
      <c r="F646" s="117" t="s">
        <v>2042</v>
      </c>
      <c r="G646" t="s">
        <v>406</v>
      </c>
      <c r="H646" s="69" t="str">
        <f>IF(Proc[[#This Row],[type]]="LFF (MDG-F)",MID(Proc[[#This Row],[Obj]],13,10),"")</f>
        <v>KR03C00402</v>
      </c>
      <c r="J646" s="69" t="b">
        <f>Proc[[#This Row],[Requested]]=Proc[[#This Row],[CurrentParent]]</f>
        <v>1</v>
      </c>
      <c r="K646" s="144" t="str">
        <f>IF(Proc[[#This Row],[Author]]="Marcela Urrego",VLOOKUP(LEFT(Proc[[#This Row],[Requested]],1),Table3[#All],2,0),VLOOKUP(Proc[[#This Row],[Author]],Table4[],2,0))</f>
        <v>MGF</v>
      </c>
      <c r="L646" s="69" t="s">
        <v>509</v>
      </c>
      <c r="M646" s="71">
        <v>45708.624907407408</v>
      </c>
      <c r="N646" s="71">
        <v>45712</v>
      </c>
      <c r="O646" s="71">
        <v>45712</v>
      </c>
      <c r="P646" s="70" t="str">
        <f ca="1">IF(Proc[[#This Row],[DaysAgeing]]&gt;5,"yep","on track")</f>
        <v>on track</v>
      </c>
      <c r="Q646" s="3">
        <f ca="1">IF(Proc[[#This Row],[DateClosed]]="",ABS(NETWORKDAYS(Proc[[#This Row],[DateOpened]],TODAY()))-1,ABS(NETWORKDAYS(Proc[[#This Row],[DateOpened]],Proc[[#This Row],[DateClosed]]))-1)</f>
        <v>2</v>
      </c>
      <c r="R646" s="70" t="s">
        <v>1076</v>
      </c>
      <c r="S646" s="69"/>
    </row>
    <row r="647" spans="1:19" hidden="1">
      <c r="A647" s="68" t="s">
        <v>2045</v>
      </c>
      <c r="B647" s="149" t="str">
        <f>IFERROR(VLOOKUP(Proc[[#This Row],[App]],Table2[],3,0),"open")</f>
        <v>ok</v>
      </c>
      <c r="C647" s="68" t="s">
        <v>369</v>
      </c>
      <c r="D647" t="s">
        <v>2037</v>
      </c>
      <c r="E647" t="s">
        <v>2042</v>
      </c>
      <c r="F647" s="117" t="s">
        <v>2042</v>
      </c>
      <c r="G647" s="68" t="s">
        <v>406</v>
      </c>
      <c r="H647" s="69" t="str">
        <f>IF(Proc[[#This Row],[type]]="LFF (MDG-F)",MID(Proc[[#This Row],[Obj]],13,10),"")</f>
        <v>US01C01107</v>
      </c>
      <c r="J647" s="69" t="b">
        <f>Proc[[#This Row],[Requested]]=Proc[[#This Row],[CurrentParent]]</f>
        <v>1</v>
      </c>
      <c r="K647" s="144" t="str">
        <f>IF(Proc[[#This Row],[Author]]="Marcela Urrego",VLOOKUP(LEFT(Proc[[#This Row],[Requested]],1),Table3[#All],2,0),VLOOKUP(Proc[[#This Row],[Author]],Table4[],2,0))</f>
        <v>MGF</v>
      </c>
      <c r="L647" s="69" t="s">
        <v>509</v>
      </c>
      <c r="M647" s="71">
        <v>45708.624907407408</v>
      </c>
      <c r="N647" s="71">
        <v>45712</v>
      </c>
      <c r="O647" s="71">
        <v>45712</v>
      </c>
      <c r="P647" s="70" t="str">
        <f ca="1">IF(Proc[[#This Row],[DaysAgeing]]&gt;5,"yep","on track")</f>
        <v>on track</v>
      </c>
      <c r="Q647" s="3">
        <f ca="1">IF(Proc[[#This Row],[DateClosed]]="",ABS(NETWORKDAYS(Proc[[#This Row],[DateOpened]],TODAY()))-1,ABS(NETWORKDAYS(Proc[[#This Row],[DateOpened]],Proc[[#This Row],[DateClosed]]))-1)</f>
        <v>2</v>
      </c>
      <c r="R647" s="70" t="s">
        <v>1076</v>
      </c>
      <c r="S647" s="69"/>
    </row>
    <row r="648" spans="1:19" hidden="1">
      <c r="A648" s="68" t="s">
        <v>2045</v>
      </c>
      <c r="B648" s="149" t="str">
        <f>IFERROR(VLOOKUP(Proc[[#This Row],[App]],Table2[],3,0),"open")</f>
        <v>ok</v>
      </c>
      <c r="C648" s="68" t="s">
        <v>369</v>
      </c>
      <c r="D648" t="s">
        <v>2038</v>
      </c>
      <c r="E648" t="s">
        <v>2043</v>
      </c>
      <c r="F648" s="117" t="s">
        <v>2043</v>
      </c>
      <c r="G648" s="68" t="s">
        <v>400</v>
      </c>
      <c r="H648" s="69" t="str">
        <f>IF(Proc[[#This Row],[type]]="LFF (MDG-F)",MID(Proc[[#This Row],[Obj]],13,10),"")</f>
        <v/>
      </c>
      <c r="J648" s="69" t="b">
        <f>Proc[[#This Row],[Requested]]=Proc[[#This Row],[CurrentParent]]</f>
        <v>1</v>
      </c>
      <c r="K648" s="144" t="str">
        <f>IF(Proc[[#This Row],[Author]]="Marcela Urrego",VLOOKUP(LEFT(Proc[[#This Row],[Requested]],1),Table3[#All],2,0),VLOOKUP(Proc[[#This Row],[Author]],Table4[],2,0))</f>
        <v>MGF</v>
      </c>
      <c r="L648" s="69" t="s">
        <v>509</v>
      </c>
      <c r="M648" s="71">
        <v>45708.624907407408</v>
      </c>
      <c r="N648" s="71">
        <v>45712</v>
      </c>
      <c r="O648" s="71">
        <v>45712</v>
      </c>
      <c r="P648" s="70" t="str">
        <f ca="1">IF(Proc[[#This Row],[DaysAgeing]]&gt;5,"yep","on track")</f>
        <v>on track</v>
      </c>
      <c r="Q648" s="3">
        <f ca="1">IF(Proc[[#This Row],[DateClosed]]="",ABS(NETWORKDAYS(Proc[[#This Row],[DateOpened]],TODAY()))-1,ABS(NETWORKDAYS(Proc[[#This Row],[DateOpened]],Proc[[#This Row],[DateClosed]]))-1)</f>
        <v>2</v>
      </c>
      <c r="R648" s="70" t="s">
        <v>1076</v>
      </c>
      <c r="S648" s="69"/>
    </row>
    <row r="649" spans="1:19" hidden="1">
      <c r="A649" s="68" t="s">
        <v>2045</v>
      </c>
      <c r="B649" s="149" t="str">
        <f>IFERROR(VLOOKUP(Proc[[#This Row],[App]],Table2[],3,0),"open")</f>
        <v>ok</v>
      </c>
      <c r="C649" s="68" t="s">
        <v>369</v>
      </c>
      <c r="D649" t="s">
        <v>2039</v>
      </c>
      <c r="E649" t="s">
        <v>2043</v>
      </c>
      <c r="F649" s="117" t="s">
        <v>2043</v>
      </c>
      <c r="G649" s="68" t="s">
        <v>400</v>
      </c>
      <c r="H649" s="69" t="str">
        <f>IF(Proc[[#This Row],[type]]="LFF (MDG-F)",MID(Proc[[#This Row],[Obj]],13,10),"")</f>
        <v/>
      </c>
      <c r="J649" s="69" t="b">
        <f>Proc[[#This Row],[Requested]]=Proc[[#This Row],[CurrentParent]]</f>
        <v>1</v>
      </c>
      <c r="K649" s="144" t="str">
        <f>IF(Proc[[#This Row],[Author]]="Marcela Urrego",VLOOKUP(LEFT(Proc[[#This Row],[Requested]],1),Table3[#All],2,0),VLOOKUP(Proc[[#This Row],[Author]],Table4[],2,0))</f>
        <v>MGF</v>
      </c>
      <c r="L649" s="69" t="s">
        <v>509</v>
      </c>
      <c r="M649" s="71">
        <v>45708.624907407408</v>
      </c>
      <c r="N649" s="71">
        <v>45712</v>
      </c>
      <c r="O649" s="71">
        <v>45712</v>
      </c>
      <c r="P649" s="70" t="str">
        <f ca="1">IF(Proc[[#This Row],[DaysAgeing]]&gt;5,"yep","on track")</f>
        <v>on track</v>
      </c>
      <c r="Q649" s="3">
        <f ca="1">IF(Proc[[#This Row],[DateClosed]]="",ABS(NETWORKDAYS(Proc[[#This Row],[DateOpened]],TODAY()))-1,ABS(NETWORKDAYS(Proc[[#This Row],[DateOpened]],Proc[[#This Row],[DateClosed]]))-1)</f>
        <v>2</v>
      </c>
      <c r="R649" s="70" t="s">
        <v>1076</v>
      </c>
      <c r="S649" s="69"/>
    </row>
    <row r="650" spans="1:19" hidden="1">
      <c r="A650" s="68" t="s">
        <v>2045</v>
      </c>
      <c r="B650" s="149" t="str">
        <f>IFERROR(VLOOKUP(Proc[[#This Row],[App]],Table2[],3,0),"open")</f>
        <v>ok</v>
      </c>
      <c r="C650" s="68" t="s">
        <v>369</v>
      </c>
      <c r="D650" t="s">
        <v>2040</v>
      </c>
      <c r="E650" t="s">
        <v>2044</v>
      </c>
      <c r="F650" s="117" t="s">
        <v>2044</v>
      </c>
      <c r="G650" s="68" t="s">
        <v>400</v>
      </c>
      <c r="H650" s="69" t="str">
        <f>IF(Proc[[#This Row],[type]]="LFF (MDG-F)",MID(Proc[[#This Row],[Obj]],13,10),"")</f>
        <v/>
      </c>
      <c r="J650" s="69" t="b">
        <f>Proc[[#This Row],[Requested]]=Proc[[#This Row],[CurrentParent]]</f>
        <v>1</v>
      </c>
      <c r="K650" s="144" t="str">
        <f>IF(Proc[[#This Row],[Author]]="Marcela Urrego",VLOOKUP(LEFT(Proc[[#This Row],[Requested]],1),Table3[#All],2,0),VLOOKUP(Proc[[#This Row],[Author]],Table4[],2,0))</f>
        <v>MGF</v>
      </c>
      <c r="L650" s="69" t="s">
        <v>509</v>
      </c>
      <c r="M650" s="71">
        <v>45708.624907407408</v>
      </c>
      <c r="N650" s="71">
        <v>45712</v>
      </c>
      <c r="O650" s="71">
        <v>45712</v>
      </c>
      <c r="P650" s="70" t="str">
        <f ca="1">IF(Proc[[#This Row],[DaysAgeing]]&gt;5,"yep","on track")</f>
        <v>on track</v>
      </c>
      <c r="Q650" s="3">
        <f ca="1">IF(Proc[[#This Row],[DateClosed]]="",ABS(NETWORKDAYS(Proc[[#This Row],[DateOpened]],TODAY()))-1,ABS(NETWORKDAYS(Proc[[#This Row],[DateOpened]],Proc[[#This Row],[DateClosed]]))-1)</f>
        <v>2</v>
      </c>
      <c r="R650" s="70" t="s">
        <v>1076</v>
      </c>
      <c r="S650" s="69"/>
    </row>
    <row r="651" spans="1:19" hidden="1">
      <c r="A651" t="s">
        <v>2034</v>
      </c>
      <c r="B651" s="149" t="str">
        <f>IFERROR(VLOOKUP(Proc[[#This Row],[App]],Table2[],3,0),"open")</f>
        <v>ok</v>
      </c>
      <c r="C651" s="68" t="s">
        <v>369</v>
      </c>
      <c r="D651" t="s">
        <v>2032</v>
      </c>
      <c r="E651" t="s">
        <v>2033</v>
      </c>
      <c r="F651" s="117" t="s">
        <v>2033</v>
      </c>
      <c r="G651" t="s">
        <v>400</v>
      </c>
      <c r="H651" s="69" t="str">
        <f>IF(Proc[[#This Row],[type]]="LFF (MDG-F)",MID(Proc[[#This Row],[Obj]],13,10),"")</f>
        <v/>
      </c>
      <c r="J651" s="69" t="b">
        <f>Proc[[#This Row],[Requested]]=Proc[[#This Row],[CurrentParent]]</f>
        <v>1</v>
      </c>
      <c r="K651" s="144" t="str">
        <f>IF(Proc[[#This Row],[Author]]="Marcela Urrego",VLOOKUP(LEFT(Proc[[#This Row],[Requested]],1),Table3[#All],2,0),VLOOKUP(Proc[[#This Row],[Author]],Table4[],2,0))</f>
        <v>LS</v>
      </c>
      <c r="L651" s="69" t="s">
        <v>509</v>
      </c>
      <c r="M651" s="71">
        <v>45708.640300925923</v>
      </c>
      <c r="N651" s="71">
        <v>45712</v>
      </c>
      <c r="O651" s="71">
        <v>45712</v>
      </c>
      <c r="P651" s="70" t="str">
        <f ca="1">IF(Proc[[#This Row],[DaysAgeing]]&gt;5,"yep","on track")</f>
        <v>on track</v>
      </c>
      <c r="Q651" s="3">
        <f ca="1">IF(Proc[[#This Row],[DateClosed]]="",ABS(NETWORKDAYS(Proc[[#This Row],[DateOpened]],TODAY()))-1,ABS(NETWORKDAYS(Proc[[#This Row],[DateOpened]],Proc[[#This Row],[DateClosed]]))-1)</f>
        <v>2</v>
      </c>
      <c r="R651" s="70" t="s">
        <v>1833</v>
      </c>
      <c r="S651" s="69"/>
    </row>
    <row r="652" spans="1:19" hidden="1">
      <c r="A652" t="s">
        <v>2051</v>
      </c>
      <c r="B652" s="149" t="str">
        <f>IFERROR(VLOOKUP(Proc[[#This Row],[App]],Table2[],3,0),"open")</f>
        <v>ok</v>
      </c>
      <c r="C652" t="s">
        <v>369</v>
      </c>
      <c r="D652" t="s">
        <v>2052</v>
      </c>
      <c r="E652" t="s">
        <v>466</v>
      </c>
      <c r="F652" s="117" t="s">
        <v>466</v>
      </c>
      <c r="G652" t="s">
        <v>406</v>
      </c>
      <c r="H652" s="69" t="str">
        <f>IF(Proc[[#This Row],[type]]="LFF (MDG-F)",MID(Proc[[#This Row],[Obj]],13,10),"")</f>
        <v>AE50GCO220</v>
      </c>
      <c r="J652" s="69" t="b">
        <f>Proc[[#This Row],[Requested]]=Proc[[#This Row],[CurrentParent]]</f>
        <v>1</v>
      </c>
      <c r="K652" s="144" t="str">
        <f>IF(Proc[[#This Row],[Author]]="Marcela Urrego",VLOOKUP(LEFT(Proc[[#This Row],[Requested]],1),Table3[#All],2,0),VLOOKUP(Proc[[#This Row],[Author]],Table4[],2,0))</f>
        <v>HC</v>
      </c>
      <c r="L652" s="69" t="s">
        <v>509</v>
      </c>
      <c r="M652" s="71">
        <v>45709.554386574076</v>
      </c>
      <c r="N652" s="71">
        <v>45713</v>
      </c>
      <c r="O652" s="71">
        <v>45713</v>
      </c>
      <c r="P652" s="70" t="str">
        <f ca="1">IF(Proc[[#This Row],[DaysAgeing]]&gt;5,"yep","on track")</f>
        <v>on track</v>
      </c>
      <c r="Q652" s="3">
        <f ca="1">IF(Proc[[#This Row],[DateClosed]]="",ABS(NETWORKDAYS(Proc[[#This Row],[DateOpened]],TODAY()))-1,ABS(NETWORKDAYS(Proc[[#This Row],[DateOpened]],Proc[[#This Row],[DateClosed]]))-1)</f>
        <v>2</v>
      </c>
      <c r="R652" s="70" t="s">
        <v>410</v>
      </c>
      <c r="S652" s="69"/>
    </row>
    <row r="653" spans="1:19" hidden="1">
      <c r="A653" t="s">
        <v>2062</v>
      </c>
      <c r="B653" s="149" t="str">
        <f>IFERROR(VLOOKUP(Proc[[#This Row],[App]],Table2[],3,0),"open")</f>
        <v>ok</v>
      </c>
      <c r="C653" s="68" t="s">
        <v>369</v>
      </c>
      <c r="D653" t="s">
        <v>2053</v>
      </c>
      <c r="E653" t="s">
        <v>2418</v>
      </c>
      <c r="F653" s="117" t="s">
        <v>2418</v>
      </c>
      <c r="G653" t="s">
        <v>400</v>
      </c>
      <c r="H653" s="69" t="str">
        <f>IF(Proc[[#This Row],[type]]="LFF (MDG-F)",MID(Proc[[#This Row],[Obj]],13,10),"")</f>
        <v/>
      </c>
      <c r="J653" s="69" t="b">
        <f>Proc[[#This Row],[Requested]]=Proc[[#This Row],[CurrentParent]]</f>
        <v>1</v>
      </c>
      <c r="K653" s="144" t="str">
        <f>IF(Proc[[#This Row],[Author]]="Marcela Urrego",VLOOKUP(LEFT(Proc[[#This Row],[Requested]],1),Table3[#All],2,0),VLOOKUP(Proc[[#This Row],[Author]],Table4[],2,0))</f>
        <v>LS</v>
      </c>
      <c r="L653" s="32" t="s">
        <v>509</v>
      </c>
      <c r="M653" s="71">
        <v>45712.326793981483</v>
      </c>
      <c r="N653" s="71">
        <v>45713</v>
      </c>
      <c r="O653" s="71">
        <v>45713</v>
      </c>
      <c r="P653" s="70" t="str">
        <f ca="1">IF(Proc[[#This Row],[DaysAgeing]]&gt;5,"yep","on track")</f>
        <v>on track</v>
      </c>
      <c r="Q653" s="3">
        <f ca="1">IF(Proc[[#This Row],[DateClosed]]="",ABS(NETWORKDAYS(Proc[[#This Row],[DateOpened]],TODAY()))-1,ABS(NETWORKDAYS(Proc[[#This Row],[DateOpened]],Proc[[#This Row],[DateClosed]]))-1)</f>
        <v>1</v>
      </c>
      <c r="R653" s="70" t="s">
        <v>830</v>
      </c>
      <c r="S653" s="69"/>
    </row>
    <row r="654" spans="1:19" hidden="1">
      <c r="A654" s="68" t="s">
        <v>2062</v>
      </c>
      <c r="B654" s="149" t="str">
        <f>IFERROR(VLOOKUP(Proc[[#This Row],[App]],Table2[],3,0),"open")</f>
        <v>ok</v>
      </c>
      <c r="C654" s="68" t="s">
        <v>369</v>
      </c>
      <c r="D654" t="s">
        <v>2054</v>
      </c>
      <c r="E654" t="s">
        <v>2418</v>
      </c>
      <c r="F654" s="117" t="s">
        <v>2418</v>
      </c>
      <c r="G654" s="68" t="s">
        <v>400</v>
      </c>
      <c r="H654" s="69" t="str">
        <f>IF(Proc[[#This Row],[type]]="LFF (MDG-F)",MID(Proc[[#This Row],[Obj]],13,10),"")</f>
        <v/>
      </c>
      <c r="J654" s="69" t="b">
        <f>Proc[[#This Row],[Requested]]=Proc[[#This Row],[CurrentParent]]</f>
        <v>1</v>
      </c>
      <c r="K654" s="144" t="str">
        <f>IF(Proc[[#This Row],[Author]]="Marcela Urrego",VLOOKUP(LEFT(Proc[[#This Row],[Requested]],1),Table3[#All],2,0),VLOOKUP(Proc[[#This Row],[Author]],Table4[],2,0))</f>
        <v>LS</v>
      </c>
      <c r="L654" s="32" t="s">
        <v>509</v>
      </c>
      <c r="M654" s="71">
        <v>45712.326793981483</v>
      </c>
      <c r="N654" s="71">
        <v>45713</v>
      </c>
      <c r="O654" s="71">
        <v>45713</v>
      </c>
      <c r="P654" s="70" t="str">
        <f ca="1">IF(Proc[[#This Row],[DaysAgeing]]&gt;5,"yep","on track")</f>
        <v>on track</v>
      </c>
      <c r="Q654" s="3">
        <f ca="1">IF(Proc[[#This Row],[DateClosed]]="",ABS(NETWORKDAYS(Proc[[#This Row],[DateOpened]],TODAY()))-1,ABS(NETWORKDAYS(Proc[[#This Row],[DateOpened]],Proc[[#This Row],[DateClosed]]))-1)</f>
        <v>1</v>
      </c>
      <c r="R654" s="70" t="s">
        <v>830</v>
      </c>
      <c r="S654" s="69"/>
    </row>
    <row r="655" spans="1:19" hidden="1">
      <c r="A655" s="68" t="s">
        <v>2062</v>
      </c>
      <c r="B655" s="149" t="str">
        <f>IFERROR(VLOOKUP(Proc[[#This Row],[App]],Table2[],3,0),"open")</f>
        <v>ok</v>
      </c>
      <c r="C655" s="68" t="s">
        <v>369</v>
      </c>
      <c r="D655" t="s">
        <v>2055</v>
      </c>
      <c r="E655" t="s">
        <v>1233</v>
      </c>
      <c r="F655" s="117" t="s">
        <v>1233</v>
      </c>
      <c r="G655" s="68" t="s">
        <v>400</v>
      </c>
      <c r="H655" s="69" t="str">
        <f>IF(Proc[[#This Row],[type]]="LFF (MDG-F)",MID(Proc[[#This Row],[Obj]],13,10),"")</f>
        <v/>
      </c>
      <c r="J655" s="69" t="b">
        <f>Proc[[#This Row],[Requested]]=Proc[[#This Row],[CurrentParent]]</f>
        <v>1</v>
      </c>
      <c r="K655" s="144" t="str">
        <f>IF(Proc[[#This Row],[Author]]="Marcela Urrego",VLOOKUP(LEFT(Proc[[#This Row],[Requested]],1),Table3[#All],2,0),VLOOKUP(Proc[[#This Row],[Author]],Table4[],2,0))</f>
        <v>LS</v>
      </c>
      <c r="L655" s="32" t="s">
        <v>509</v>
      </c>
      <c r="M655" s="71">
        <v>45712.326793981483</v>
      </c>
      <c r="N655" s="71">
        <v>45713</v>
      </c>
      <c r="O655" s="71">
        <v>45713</v>
      </c>
      <c r="P655" s="70" t="str">
        <f ca="1">IF(Proc[[#This Row],[DaysAgeing]]&gt;5,"yep","on track")</f>
        <v>on track</v>
      </c>
      <c r="Q655" s="3">
        <f ca="1">IF(Proc[[#This Row],[DateClosed]]="",ABS(NETWORKDAYS(Proc[[#This Row],[DateOpened]],TODAY()))-1,ABS(NETWORKDAYS(Proc[[#This Row],[DateOpened]],Proc[[#This Row],[DateClosed]]))-1)</f>
        <v>1</v>
      </c>
      <c r="R655" s="70" t="s">
        <v>830</v>
      </c>
      <c r="S655" s="69"/>
    </row>
    <row r="656" spans="1:19" hidden="1">
      <c r="A656" s="68" t="s">
        <v>2062</v>
      </c>
      <c r="B656" s="149" t="str">
        <f>IFERROR(VLOOKUP(Proc[[#This Row],[App]],Table2[],3,0),"open")</f>
        <v>ok</v>
      </c>
      <c r="C656" s="68" t="s">
        <v>369</v>
      </c>
      <c r="D656" t="s">
        <v>2056</v>
      </c>
      <c r="E656" t="s">
        <v>2063</v>
      </c>
      <c r="F656" s="117" t="s">
        <v>2063</v>
      </c>
      <c r="G656" t="s">
        <v>406</v>
      </c>
      <c r="H656" s="69" t="str">
        <f>IF(Proc[[#This Row],[type]]="LFF (MDG-F)",MID(Proc[[#This Row],[Obj]],13,10),"")</f>
        <v>DE10OF0005</v>
      </c>
      <c r="J656" s="69" t="b">
        <f>Proc[[#This Row],[Requested]]=Proc[[#This Row],[CurrentParent]]</f>
        <v>1</v>
      </c>
      <c r="K656" s="144" t="str">
        <f>IF(Proc[[#This Row],[Author]]="Marcela Urrego",VLOOKUP(LEFT(Proc[[#This Row],[Requested]],1),Table3[#All],2,0),VLOOKUP(Proc[[#This Row],[Author]],Table4[],2,0))</f>
        <v>LS</v>
      </c>
      <c r="L656" s="32" t="s">
        <v>509</v>
      </c>
      <c r="M656" s="71">
        <v>45712.326793981483</v>
      </c>
      <c r="N656" s="71">
        <v>45713</v>
      </c>
      <c r="O656" s="71">
        <v>45713</v>
      </c>
      <c r="P656" s="70" t="str">
        <f ca="1">IF(Proc[[#This Row],[DaysAgeing]]&gt;5,"yep","on track")</f>
        <v>on track</v>
      </c>
      <c r="Q656" s="3">
        <f ca="1">IF(Proc[[#This Row],[DateClosed]]="",ABS(NETWORKDAYS(Proc[[#This Row],[DateOpened]],TODAY()))-1,ABS(NETWORKDAYS(Proc[[#This Row],[DateOpened]],Proc[[#This Row],[DateClosed]]))-1)</f>
        <v>1</v>
      </c>
      <c r="R656" s="70" t="s">
        <v>830</v>
      </c>
      <c r="S656" s="69"/>
    </row>
    <row r="657" spans="1:19" hidden="1">
      <c r="A657" s="68" t="s">
        <v>2062</v>
      </c>
      <c r="B657" s="149" t="str">
        <f>IFERROR(VLOOKUP(Proc[[#This Row],[App]],Table2[],3,0),"open")</f>
        <v>ok</v>
      </c>
      <c r="C657" s="68" t="s">
        <v>369</v>
      </c>
      <c r="D657" t="s">
        <v>2057</v>
      </c>
      <c r="E657" t="s">
        <v>2063</v>
      </c>
      <c r="F657" s="117" t="s">
        <v>2063</v>
      </c>
      <c r="G657" s="68" t="s">
        <v>406</v>
      </c>
      <c r="H657" s="69" t="str">
        <f>IF(Proc[[#This Row],[type]]="LFF (MDG-F)",MID(Proc[[#This Row],[Obj]],13,10),"")</f>
        <v>2123OF0029</v>
      </c>
      <c r="J657" s="69" t="b">
        <f>Proc[[#This Row],[Requested]]=Proc[[#This Row],[CurrentParent]]</f>
        <v>1</v>
      </c>
      <c r="K657" s="144" t="str">
        <f>IF(Proc[[#This Row],[Author]]="Marcela Urrego",VLOOKUP(LEFT(Proc[[#This Row],[Requested]],1),Table3[#All],2,0),VLOOKUP(Proc[[#This Row],[Author]],Table4[],2,0))</f>
        <v>LS</v>
      </c>
      <c r="L657" s="32" t="s">
        <v>509</v>
      </c>
      <c r="M657" s="71">
        <v>45712.326793981483</v>
      </c>
      <c r="N657" s="71">
        <v>45713</v>
      </c>
      <c r="O657" s="71">
        <v>45713</v>
      </c>
      <c r="P657" s="70" t="str">
        <f ca="1">IF(Proc[[#This Row],[DaysAgeing]]&gt;5,"yep","on track")</f>
        <v>on track</v>
      </c>
      <c r="Q657" s="3">
        <f ca="1">IF(Proc[[#This Row],[DateClosed]]="",ABS(NETWORKDAYS(Proc[[#This Row],[DateOpened]],TODAY()))-1,ABS(NETWORKDAYS(Proc[[#This Row],[DateOpened]],Proc[[#This Row],[DateClosed]]))-1)</f>
        <v>1</v>
      </c>
      <c r="R657" s="70" t="s">
        <v>830</v>
      </c>
      <c r="S657" s="69"/>
    </row>
    <row r="658" spans="1:19" hidden="1">
      <c r="A658" s="68" t="s">
        <v>2062</v>
      </c>
      <c r="B658" s="149" t="str">
        <f>IFERROR(VLOOKUP(Proc[[#This Row],[App]],Table2[],3,0),"open")</f>
        <v>ok</v>
      </c>
      <c r="C658" s="68" t="s">
        <v>369</v>
      </c>
      <c r="D658" t="s">
        <v>2058</v>
      </c>
      <c r="E658" t="s">
        <v>2063</v>
      </c>
      <c r="F658" s="117" t="s">
        <v>2063</v>
      </c>
      <c r="G658" s="68" t="s">
        <v>400</v>
      </c>
      <c r="H658" s="69" t="str">
        <f>IF(Proc[[#This Row],[type]]="LFF (MDG-F)",MID(Proc[[#This Row],[Obj]],13,10),"")</f>
        <v/>
      </c>
      <c r="J658" s="69" t="b">
        <f>Proc[[#This Row],[Requested]]=Proc[[#This Row],[CurrentParent]]</f>
        <v>1</v>
      </c>
      <c r="K658" s="144" t="str">
        <f>IF(Proc[[#This Row],[Author]]="Marcela Urrego",VLOOKUP(LEFT(Proc[[#This Row],[Requested]],1),Table3[#All],2,0),VLOOKUP(Proc[[#This Row],[Author]],Table4[],2,0))</f>
        <v>LS</v>
      </c>
      <c r="L658" s="32" t="s">
        <v>509</v>
      </c>
      <c r="M658" s="71">
        <v>45712.326793981483</v>
      </c>
      <c r="N658" s="71">
        <v>45713</v>
      </c>
      <c r="O658" s="71">
        <v>45713</v>
      </c>
      <c r="P658" s="70" t="str">
        <f ca="1">IF(Proc[[#This Row],[DaysAgeing]]&gt;5,"yep","on track")</f>
        <v>on track</v>
      </c>
      <c r="Q658" s="3">
        <f ca="1">IF(Proc[[#This Row],[DateClosed]]="",ABS(NETWORKDAYS(Proc[[#This Row],[DateOpened]],TODAY()))-1,ABS(NETWORKDAYS(Proc[[#This Row],[DateOpened]],Proc[[#This Row],[DateClosed]]))-1)</f>
        <v>1</v>
      </c>
      <c r="R658" s="70" t="s">
        <v>830</v>
      </c>
      <c r="S658" s="69"/>
    </row>
    <row r="659" spans="1:19" hidden="1">
      <c r="A659" s="68" t="s">
        <v>2062</v>
      </c>
      <c r="B659" s="149" t="str">
        <f>IFERROR(VLOOKUP(Proc[[#This Row],[App]],Table2[],3,0),"open")</f>
        <v>ok</v>
      </c>
      <c r="C659" s="68" t="s">
        <v>369</v>
      </c>
      <c r="D659" t="s">
        <v>2059</v>
      </c>
      <c r="E659" t="s">
        <v>2063</v>
      </c>
      <c r="F659" s="117" t="s">
        <v>2063</v>
      </c>
      <c r="G659" s="68" t="s">
        <v>400</v>
      </c>
      <c r="H659" s="69" t="str">
        <f>IF(Proc[[#This Row],[type]]="LFF (MDG-F)",MID(Proc[[#This Row],[Obj]],13,10),"")</f>
        <v/>
      </c>
      <c r="J659" s="69" t="b">
        <f>Proc[[#This Row],[Requested]]=Proc[[#This Row],[CurrentParent]]</f>
        <v>1</v>
      </c>
      <c r="K659" s="144" t="str">
        <f>IF(Proc[[#This Row],[Author]]="Marcela Urrego",VLOOKUP(LEFT(Proc[[#This Row],[Requested]],1),Table3[#All],2,0),VLOOKUP(Proc[[#This Row],[Author]],Table4[],2,0))</f>
        <v>LS</v>
      </c>
      <c r="L659" s="32" t="s">
        <v>509</v>
      </c>
      <c r="M659" s="71">
        <v>45712.326793981483</v>
      </c>
      <c r="N659" s="71">
        <v>45713</v>
      </c>
      <c r="O659" s="71">
        <v>45713</v>
      </c>
      <c r="P659" s="70" t="str">
        <f ca="1">IF(Proc[[#This Row],[DaysAgeing]]&gt;5,"yep","on track")</f>
        <v>on track</v>
      </c>
      <c r="Q659" s="3">
        <f ca="1">IF(Proc[[#This Row],[DateClosed]]="",ABS(NETWORKDAYS(Proc[[#This Row],[DateOpened]],TODAY()))-1,ABS(NETWORKDAYS(Proc[[#This Row],[DateOpened]],Proc[[#This Row],[DateClosed]]))-1)</f>
        <v>1</v>
      </c>
      <c r="R659" s="70" t="s">
        <v>830</v>
      </c>
      <c r="S659" s="69"/>
    </row>
    <row r="660" spans="1:19" hidden="1">
      <c r="A660" s="68" t="s">
        <v>2062</v>
      </c>
      <c r="B660" s="149" t="str">
        <f>IFERROR(VLOOKUP(Proc[[#This Row],[App]],Table2[],3,0),"open")</f>
        <v>ok</v>
      </c>
      <c r="C660" s="68" t="s">
        <v>369</v>
      </c>
      <c r="D660" t="s">
        <v>2060</v>
      </c>
      <c r="E660" t="s">
        <v>2063</v>
      </c>
      <c r="F660" s="117" t="s">
        <v>2063</v>
      </c>
      <c r="G660" s="68" t="s">
        <v>400</v>
      </c>
      <c r="H660" s="69" t="str">
        <f>IF(Proc[[#This Row],[type]]="LFF (MDG-F)",MID(Proc[[#This Row],[Obj]],13,10),"")</f>
        <v/>
      </c>
      <c r="J660" s="69" t="b">
        <f>Proc[[#This Row],[Requested]]=Proc[[#This Row],[CurrentParent]]</f>
        <v>1</v>
      </c>
      <c r="K660" s="144" t="str">
        <f>IF(Proc[[#This Row],[Author]]="Marcela Urrego",VLOOKUP(LEFT(Proc[[#This Row],[Requested]],1),Table3[#All],2,0),VLOOKUP(Proc[[#This Row],[Author]],Table4[],2,0))</f>
        <v>LS</v>
      </c>
      <c r="L660" s="32" t="s">
        <v>509</v>
      </c>
      <c r="M660" s="71">
        <v>45712.326793981483</v>
      </c>
      <c r="N660" s="71">
        <v>45713</v>
      </c>
      <c r="O660" s="71">
        <v>45713</v>
      </c>
      <c r="P660" s="70" t="str">
        <f ca="1">IF(Proc[[#This Row],[DaysAgeing]]&gt;5,"yep","on track")</f>
        <v>on track</v>
      </c>
      <c r="Q660" s="3">
        <f ca="1">IF(Proc[[#This Row],[DateClosed]]="",ABS(NETWORKDAYS(Proc[[#This Row],[DateOpened]],TODAY()))-1,ABS(NETWORKDAYS(Proc[[#This Row],[DateOpened]],Proc[[#This Row],[DateClosed]]))-1)</f>
        <v>1</v>
      </c>
      <c r="R660" s="70" t="s">
        <v>830</v>
      </c>
      <c r="S660" s="69"/>
    </row>
    <row r="661" spans="1:19" hidden="1">
      <c r="A661" s="68" t="s">
        <v>2062</v>
      </c>
      <c r="B661" s="149" t="str">
        <f>IFERROR(VLOOKUP(Proc[[#This Row],[App]],Table2[],3,0),"open")</f>
        <v>ok</v>
      </c>
      <c r="C661" s="68" t="s">
        <v>369</v>
      </c>
      <c r="D661" t="s">
        <v>2061</v>
      </c>
      <c r="E661" t="s">
        <v>2063</v>
      </c>
      <c r="F661" s="117" t="s">
        <v>2063</v>
      </c>
      <c r="G661" s="68" t="s">
        <v>400</v>
      </c>
      <c r="H661" s="69" t="str">
        <f>IF(Proc[[#This Row],[type]]="LFF (MDG-F)",MID(Proc[[#This Row],[Obj]],13,10),"")</f>
        <v/>
      </c>
      <c r="J661" s="69" t="b">
        <f>Proc[[#This Row],[Requested]]=Proc[[#This Row],[CurrentParent]]</f>
        <v>1</v>
      </c>
      <c r="K661" s="144" t="str">
        <f>IF(Proc[[#This Row],[Author]]="Marcela Urrego",VLOOKUP(LEFT(Proc[[#This Row],[Requested]],1),Table3[#All],2,0),VLOOKUP(Proc[[#This Row],[Author]],Table4[],2,0))</f>
        <v>LS</v>
      </c>
      <c r="L661" s="32" t="s">
        <v>509</v>
      </c>
      <c r="M661" s="71">
        <v>45712.326793981483</v>
      </c>
      <c r="N661" s="71">
        <v>45713</v>
      </c>
      <c r="O661" s="71">
        <v>45713</v>
      </c>
      <c r="P661" s="70" t="str">
        <f ca="1">IF(Proc[[#This Row],[DaysAgeing]]&gt;5,"yep","on track")</f>
        <v>on track</v>
      </c>
      <c r="Q661" s="3">
        <f ca="1">IF(Proc[[#This Row],[DateClosed]]="",ABS(NETWORKDAYS(Proc[[#This Row],[DateOpened]],TODAY()))-1,ABS(NETWORKDAYS(Proc[[#This Row],[DateOpened]],Proc[[#This Row],[DateClosed]]))-1)</f>
        <v>1</v>
      </c>
      <c r="R661" s="70" t="s">
        <v>830</v>
      </c>
      <c r="S661" s="69"/>
    </row>
    <row r="662" spans="1:19" hidden="1">
      <c r="A662" t="s">
        <v>2080</v>
      </c>
      <c r="B662" s="149" t="str">
        <f>IFERROR(VLOOKUP(Proc[[#This Row],[App]],Table2[],3,0),"open")</f>
        <v>ok</v>
      </c>
      <c r="C662" s="68" t="s">
        <v>369</v>
      </c>
      <c r="D662" t="s">
        <v>2081</v>
      </c>
      <c r="E662" t="s">
        <v>2085</v>
      </c>
      <c r="F662" s="117" t="s">
        <v>2085</v>
      </c>
      <c r="G662" t="s">
        <v>400</v>
      </c>
      <c r="H662" s="69" t="str">
        <f>IF(Proc[[#This Row],[type]]="LFF (MDG-F)",MID(Proc[[#This Row],[Obj]],13,10),"")</f>
        <v/>
      </c>
      <c r="J662" s="69" t="b">
        <f>Proc[[#This Row],[Requested]]=Proc[[#This Row],[CurrentParent]]</f>
        <v>1</v>
      </c>
      <c r="K662" s="144" t="str">
        <f>IF(Proc[[#This Row],[Author]]="Marcela Urrego",VLOOKUP(LEFT(Proc[[#This Row],[Requested]],1),Table3[#All],2,0),VLOOKUP(Proc[[#This Row],[Author]],Table4[],2,0))</f>
        <v>HC</v>
      </c>
      <c r="L662" s="32" t="s">
        <v>509</v>
      </c>
      <c r="M662" s="71">
        <v>45712.395381944443</v>
      </c>
      <c r="N662" s="71">
        <v>45713</v>
      </c>
      <c r="O662" s="71">
        <v>45713</v>
      </c>
      <c r="P662" s="70" t="str">
        <f ca="1">IF(Proc[[#This Row],[DaysAgeing]]&gt;5,"yep","on track")</f>
        <v>on track</v>
      </c>
      <c r="Q662" s="3">
        <f ca="1">IF(Proc[[#This Row],[DateClosed]]="",ABS(NETWORKDAYS(Proc[[#This Row],[DateOpened]],TODAY()))-1,ABS(NETWORKDAYS(Proc[[#This Row],[DateOpened]],Proc[[#This Row],[DateClosed]]))-1)</f>
        <v>1</v>
      </c>
      <c r="R662" s="70" t="s">
        <v>494</v>
      </c>
      <c r="S662" s="69"/>
    </row>
    <row r="663" spans="1:19" hidden="1">
      <c r="A663" s="68" t="s">
        <v>2080</v>
      </c>
      <c r="B663" s="149" t="str">
        <f>IFERROR(VLOOKUP(Proc[[#This Row],[App]],Table2[],3,0),"open")</f>
        <v>ok</v>
      </c>
      <c r="C663" s="68" t="s">
        <v>369</v>
      </c>
      <c r="D663" t="s">
        <v>2082</v>
      </c>
      <c r="E663" t="s">
        <v>2086</v>
      </c>
      <c r="F663" s="117" t="s">
        <v>2086</v>
      </c>
      <c r="G663" s="68" t="s">
        <v>400</v>
      </c>
      <c r="H663" s="69" t="str">
        <f>IF(Proc[[#This Row],[type]]="LFF (MDG-F)",MID(Proc[[#This Row],[Obj]],13,10),"")</f>
        <v/>
      </c>
      <c r="J663" s="69" t="b">
        <f>Proc[[#This Row],[Requested]]=Proc[[#This Row],[CurrentParent]]</f>
        <v>1</v>
      </c>
      <c r="K663" s="144" t="str">
        <f>IF(Proc[[#This Row],[Author]]="Marcela Urrego",VLOOKUP(LEFT(Proc[[#This Row],[Requested]],1),Table3[#All],2,0),VLOOKUP(Proc[[#This Row],[Author]],Table4[],2,0))</f>
        <v>HC</v>
      </c>
      <c r="L663" s="32" t="s">
        <v>509</v>
      </c>
      <c r="M663" s="71">
        <v>45712.395381944443</v>
      </c>
      <c r="N663" s="71">
        <v>45713</v>
      </c>
      <c r="O663" s="71">
        <v>45713</v>
      </c>
      <c r="P663" s="70" t="str">
        <f ca="1">IF(Proc[[#This Row],[DaysAgeing]]&gt;5,"yep","on track")</f>
        <v>on track</v>
      </c>
      <c r="Q663" s="3">
        <f ca="1">IF(Proc[[#This Row],[DateClosed]]="",ABS(NETWORKDAYS(Proc[[#This Row],[DateOpened]],TODAY()))-1,ABS(NETWORKDAYS(Proc[[#This Row],[DateOpened]],Proc[[#This Row],[DateClosed]]))-1)</f>
        <v>1</v>
      </c>
      <c r="R663" s="70" t="s">
        <v>494</v>
      </c>
      <c r="S663" s="69"/>
    </row>
    <row r="664" spans="1:19" hidden="1">
      <c r="A664" s="68" t="s">
        <v>2080</v>
      </c>
      <c r="B664" s="149" t="str">
        <f>IFERROR(VLOOKUP(Proc[[#This Row],[App]],Table2[],3,0),"open")</f>
        <v>ok</v>
      </c>
      <c r="C664" s="68" t="s">
        <v>369</v>
      </c>
      <c r="D664" t="s">
        <v>2083</v>
      </c>
      <c r="E664" t="s">
        <v>2086</v>
      </c>
      <c r="F664" s="117" t="s">
        <v>2086</v>
      </c>
      <c r="G664" s="68" t="s">
        <v>400</v>
      </c>
      <c r="H664" s="69" t="str">
        <f>IF(Proc[[#This Row],[type]]="LFF (MDG-F)",MID(Proc[[#This Row],[Obj]],13,10),"")</f>
        <v/>
      </c>
      <c r="J664" s="69" t="b">
        <f>Proc[[#This Row],[Requested]]=Proc[[#This Row],[CurrentParent]]</f>
        <v>1</v>
      </c>
      <c r="K664" s="144" t="str">
        <f>IF(Proc[[#This Row],[Author]]="Marcela Urrego",VLOOKUP(LEFT(Proc[[#This Row],[Requested]],1),Table3[#All],2,0),VLOOKUP(Proc[[#This Row],[Author]],Table4[],2,0))</f>
        <v>HC</v>
      </c>
      <c r="L664" s="32" t="s">
        <v>509</v>
      </c>
      <c r="M664" s="71">
        <v>45712.395381944443</v>
      </c>
      <c r="N664" s="71">
        <v>45713</v>
      </c>
      <c r="O664" s="71">
        <v>45713</v>
      </c>
      <c r="P664" s="70" t="str">
        <f ca="1">IF(Proc[[#This Row],[DaysAgeing]]&gt;5,"yep","on track")</f>
        <v>on track</v>
      </c>
      <c r="Q664" s="3">
        <f ca="1">IF(Proc[[#This Row],[DateClosed]]="",ABS(NETWORKDAYS(Proc[[#This Row],[DateOpened]],TODAY()))-1,ABS(NETWORKDAYS(Proc[[#This Row],[DateOpened]],Proc[[#This Row],[DateClosed]]))-1)</f>
        <v>1</v>
      </c>
      <c r="R664" s="70" t="s">
        <v>494</v>
      </c>
      <c r="S664" s="69"/>
    </row>
    <row r="665" spans="1:19" hidden="1">
      <c r="A665" s="68" t="s">
        <v>2080</v>
      </c>
      <c r="B665" s="149" t="str">
        <f>IFERROR(VLOOKUP(Proc[[#This Row],[App]],Table2[],3,0),"open")</f>
        <v>ok</v>
      </c>
      <c r="C665" s="68" t="s">
        <v>369</v>
      </c>
      <c r="D665" t="s">
        <v>2084</v>
      </c>
      <c r="E665" t="s">
        <v>2086</v>
      </c>
      <c r="F665" s="117" t="s">
        <v>2086</v>
      </c>
      <c r="G665" s="68" t="s">
        <v>400</v>
      </c>
      <c r="H665" s="69" t="str">
        <f>IF(Proc[[#This Row],[type]]="LFF (MDG-F)",MID(Proc[[#This Row],[Obj]],13,10),"")</f>
        <v/>
      </c>
      <c r="J665" s="69" t="b">
        <f>Proc[[#This Row],[Requested]]=Proc[[#This Row],[CurrentParent]]</f>
        <v>1</v>
      </c>
      <c r="K665" s="144" t="str">
        <f>IF(Proc[[#This Row],[Author]]="Marcela Urrego",VLOOKUP(LEFT(Proc[[#This Row],[Requested]],1),Table3[#All],2,0),VLOOKUP(Proc[[#This Row],[Author]],Table4[],2,0))</f>
        <v>HC</v>
      </c>
      <c r="L665" s="32" t="s">
        <v>509</v>
      </c>
      <c r="M665" s="71">
        <v>45712.395381944443</v>
      </c>
      <c r="N665" s="71">
        <v>45713</v>
      </c>
      <c r="O665" s="71">
        <v>45713</v>
      </c>
      <c r="P665" s="70" t="str">
        <f ca="1">IF(Proc[[#This Row],[DaysAgeing]]&gt;5,"yep","on track")</f>
        <v>on track</v>
      </c>
      <c r="Q665" s="3">
        <f ca="1">IF(Proc[[#This Row],[DateClosed]]="",ABS(NETWORKDAYS(Proc[[#This Row],[DateOpened]],TODAY()))-1,ABS(NETWORKDAYS(Proc[[#This Row],[DateOpened]],Proc[[#This Row],[DateClosed]]))-1)</f>
        <v>1</v>
      </c>
      <c r="R665" s="70" t="s">
        <v>494</v>
      </c>
      <c r="S665" s="69"/>
    </row>
    <row r="666" spans="1:19" hidden="1">
      <c r="A666" s="68" t="s">
        <v>2064</v>
      </c>
      <c r="B666" s="149" t="str">
        <f>IFERROR(VLOOKUP(Proc[[#This Row],[App]],Table2[],3,0),"open")</f>
        <v>ok</v>
      </c>
      <c r="C666" s="68" t="s">
        <v>369</v>
      </c>
      <c r="D666" t="s">
        <v>2065</v>
      </c>
      <c r="E666" t="s">
        <v>2075</v>
      </c>
      <c r="F666" s="117" t="s">
        <v>2075</v>
      </c>
      <c r="G666" s="68" t="s">
        <v>406</v>
      </c>
      <c r="H666" s="69" t="str">
        <f>IF(Proc[[#This Row],[type]]="LFF (MDG-F)",MID(Proc[[#This Row],[Obj]],13,10),"")</f>
        <v>DE10GIN006</v>
      </c>
      <c r="I666" t="s">
        <v>2076</v>
      </c>
      <c r="J666" s="69" t="b">
        <f>Proc[[#This Row],[Requested]]=Proc[[#This Row],[CurrentParent]]</f>
        <v>1</v>
      </c>
      <c r="K666" s="144" t="str">
        <f>IF(Proc[[#This Row],[Author]]="Marcela Urrego",VLOOKUP(LEFT(Proc[[#This Row],[Requested]],1),Table3[#All],2,0),VLOOKUP(Proc[[#This Row],[Author]],Table4[],2,0))</f>
        <v>MGF</v>
      </c>
      <c r="L666" s="32" t="s">
        <v>509</v>
      </c>
      <c r="M666" s="71">
        <v>45712.411909722221</v>
      </c>
      <c r="N666" s="71">
        <v>45715</v>
      </c>
      <c r="O666" s="71">
        <v>45716</v>
      </c>
      <c r="P666" s="70" t="str">
        <f ca="1">IF(Proc[[#This Row],[DaysAgeing]]&gt;5,"yep","on track")</f>
        <v>on track</v>
      </c>
      <c r="Q666" s="3">
        <f ca="1">IF(Proc[[#This Row],[DateClosed]]="",ABS(NETWORKDAYS(Proc[[#This Row],[DateOpened]],TODAY()))-1,ABS(NETWORKDAYS(Proc[[#This Row],[DateOpened]],Proc[[#This Row],[DateClosed]]))-1)</f>
        <v>4</v>
      </c>
      <c r="R666" s="70" t="s">
        <v>515</v>
      </c>
      <c r="S666" s="69"/>
    </row>
    <row r="667" spans="1:19" hidden="1">
      <c r="A667" s="68" t="s">
        <v>2064</v>
      </c>
      <c r="B667" s="149" t="str">
        <f>IFERROR(VLOOKUP(Proc[[#This Row],[App]],Table2[],3,0),"open")</f>
        <v>ok</v>
      </c>
      <c r="C667" s="68" t="s">
        <v>369</v>
      </c>
      <c r="D667" t="s">
        <v>2066</v>
      </c>
      <c r="E667" t="s">
        <v>2075</v>
      </c>
      <c r="F667" s="117" t="s">
        <v>2075</v>
      </c>
      <c r="G667" s="68" t="s">
        <v>406</v>
      </c>
      <c r="H667" s="69" t="str">
        <f>IF(Proc[[#This Row],[type]]="LFF (MDG-F)",MID(Proc[[#This Row],[Obj]],13,10),"")</f>
        <v>DE10GM1008</v>
      </c>
      <c r="I667" t="s">
        <v>2077</v>
      </c>
      <c r="J667" s="69" t="b">
        <f>Proc[[#This Row],[Requested]]=Proc[[#This Row],[CurrentParent]]</f>
        <v>1</v>
      </c>
      <c r="K667" s="144" t="str">
        <f>IF(Proc[[#This Row],[Author]]="Marcela Urrego",VLOOKUP(LEFT(Proc[[#This Row],[Requested]],1),Table3[#All],2,0),VLOOKUP(Proc[[#This Row],[Author]],Table4[],2,0))</f>
        <v>MGF</v>
      </c>
      <c r="L667" s="32" t="s">
        <v>509</v>
      </c>
      <c r="M667" s="71">
        <v>45712.411909722221</v>
      </c>
      <c r="N667" s="71">
        <v>45715</v>
      </c>
      <c r="O667" s="71">
        <v>45716</v>
      </c>
      <c r="P667" s="70" t="str">
        <f ca="1">IF(Proc[[#This Row],[DaysAgeing]]&gt;5,"yep","on track")</f>
        <v>on track</v>
      </c>
      <c r="Q667" s="3">
        <f ca="1">IF(Proc[[#This Row],[DateClosed]]="",ABS(NETWORKDAYS(Proc[[#This Row],[DateOpened]],TODAY()))-1,ABS(NETWORKDAYS(Proc[[#This Row],[DateOpened]],Proc[[#This Row],[DateClosed]]))-1)</f>
        <v>4</v>
      </c>
      <c r="R667" s="70" t="s">
        <v>515</v>
      </c>
      <c r="S667" s="69"/>
    </row>
    <row r="668" spans="1:19" hidden="1">
      <c r="A668" s="68" t="s">
        <v>2064</v>
      </c>
      <c r="B668" s="149" t="str">
        <f>IFERROR(VLOOKUP(Proc[[#This Row],[App]],Table2[],3,0),"open")</f>
        <v>ok</v>
      </c>
      <c r="C668" s="68" t="s">
        <v>369</v>
      </c>
      <c r="D668" t="s">
        <v>2067</v>
      </c>
      <c r="E668" t="s">
        <v>2075</v>
      </c>
      <c r="F668" s="117" t="s">
        <v>2075</v>
      </c>
      <c r="G668" s="68" t="s">
        <v>406</v>
      </c>
      <c r="H668" s="69" t="str">
        <f>IF(Proc[[#This Row],[type]]="LFF (MDG-F)",MID(Proc[[#This Row],[Obj]],13,10),"")</f>
        <v>DE10GM2000</v>
      </c>
      <c r="I668" t="s">
        <v>2087</v>
      </c>
      <c r="J668" s="69" t="b">
        <f>Proc[[#This Row],[Requested]]=Proc[[#This Row],[CurrentParent]]</f>
        <v>1</v>
      </c>
      <c r="K668" s="144" t="str">
        <f>IF(Proc[[#This Row],[Author]]="Marcela Urrego",VLOOKUP(LEFT(Proc[[#This Row],[Requested]],1),Table3[#All],2,0),VLOOKUP(Proc[[#This Row],[Author]],Table4[],2,0))</f>
        <v>MGF</v>
      </c>
      <c r="L668" s="32" t="s">
        <v>509</v>
      </c>
      <c r="M668" s="71">
        <v>45712.411909722221</v>
      </c>
      <c r="N668" s="71">
        <v>45716</v>
      </c>
      <c r="O668" s="71">
        <v>45716</v>
      </c>
      <c r="P668" s="70" t="str">
        <f ca="1">IF(Proc[[#This Row],[DaysAgeing]]&gt;5,"yep","on track")</f>
        <v>on track</v>
      </c>
      <c r="Q668" s="3">
        <f ca="1">IF(Proc[[#This Row],[DateClosed]]="",ABS(NETWORKDAYS(Proc[[#This Row],[DateOpened]],TODAY()))-1,ABS(NETWORKDAYS(Proc[[#This Row],[DateOpened]],Proc[[#This Row],[DateClosed]]))-1)</f>
        <v>4</v>
      </c>
      <c r="R668" s="70" t="s">
        <v>515</v>
      </c>
      <c r="S668" s="69"/>
    </row>
    <row r="669" spans="1:19" hidden="1">
      <c r="A669" s="68" t="s">
        <v>2064</v>
      </c>
      <c r="B669" s="149" t="str">
        <f>IFERROR(VLOOKUP(Proc[[#This Row],[App]],Table2[],3,0),"open")</f>
        <v>ok</v>
      </c>
      <c r="C669" s="68" t="s">
        <v>369</v>
      </c>
      <c r="D669" t="s">
        <v>2068</v>
      </c>
      <c r="E669" t="s">
        <v>2075</v>
      </c>
      <c r="F669" s="117" t="s">
        <v>2075</v>
      </c>
      <c r="G669" s="68" t="s">
        <v>406</v>
      </c>
      <c r="H669" s="69" t="str">
        <f>IF(Proc[[#This Row],[type]]="LFF (MDG-F)",MID(Proc[[#This Row],[Obj]],13,10),"")</f>
        <v>DE10GM4009</v>
      </c>
      <c r="I669" t="s">
        <v>2078</v>
      </c>
      <c r="J669" s="69" t="b">
        <f>Proc[[#This Row],[Requested]]=Proc[[#This Row],[CurrentParent]]</f>
        <v>1</v>
      </c>
      <c r="K669" s="144" t="str">
        <f>IF(Proc[[#This Row],[Author]]="Marcela Urrego",VLOOKUP(LEFT(Proc[[#This Row],[Requested]],1),Table3[#All],2,0),VLOOKUP(Proc[[#This Row],[Author]],Table4[],2,0))</f>
        <v>MGF</v>
      </c>
      <c r="L669" s="32" t="s">
        <v>509</v>
      </c>
      <c r="M669" s="71">
        <v>45712.411909722221</v>
      </c>
      <c r="N669" s="71">
        <v>45715</v>
      </c>
      <c r="O669" s="71">
        <v>45716</v>
      </c>
      <c r="P669" s="70" t="str">
        <f ca="1">IF(Proc[[#This Row],[DaysAgeing]]&gt;5,"yep","on track")</f>
        <v>on track</v>
      </c>
      <c r="Q669" s="3">
        <f ca="1">IF(Proc[[#This Row],[DateClosed]]="",ABS(NETWORKDAYS(Proc[[#This Row],[DateOpened]],TODAY()))-1,ABS(NETWORKDAYS(Proc[[#This Row],[DateOpened]],Proc[[#This Row],[DateClosed]]))-1)</f>
        <v>4</v>
      </c>
      <c r="R669" s="70" t="s">
        <v>515</v>
      </c>
      <c r="S669" s="69"/>
    </row>
    <row r="670" spans="1:19" hidden="1">
      <c r="A670" s="68" t="s">
        <v>2064</v>
      </c>
      <c r="B670" s="149" t="str">
        <f>IFERROR(VLOOKUP(Proc[[#This Row],[App]],Table2[],3,0),"open")</f>
        <v>ok</v>
      </c>
      <c r="C670" s="68" t="s">
        <v>369</v>
      </c>
      <c r="D670" t="s">
        <v>2069</v>
      </c>
      <c r="E670" t="s">
        <v>2075</v>
      </c>
      <c r="F670" s="117" t="s">
        <v>2075</v>
      </c>
      <c r="G670" s="68" t="s">
        <v>406</v>
      </c>
      <c r="H670" s="69" t="str">
        <f>IF(Proc[[#This Row],[type]]="LFF (MDG-F)",MID(Proc[[#This Row],[Obj]],13,10),"")</f>
        <v>DE10GM8003</v>
      </c>
      <c r="I670" t="s">
        <v>2079</v>
      </c>
      <c r="J670" s="69" t="b">
        <f>Proc[[#This Row],[Requested]]=Proc[[#This Row],[CurrentParent]]</f>
        <v>1</v>
      </c>
      <c r="K670" s="144" t="str">
        <f>IF(Proc[[#This Row],[Author]]="Marcela Urrego",VLOOKUP(LEFT(Proc[[#This Row],[Requested]],1),Table3[#All],2,0),VLOOKUP(Proc[[#This Row],[Author]],Table4[],2,0))</f>
        <v>MGF</v>
      </c>
      <c r="L670" s="32" t="s">
        <v>509</v>
      </c>
      <c r="M670" s="71">
        <v>45712.411909722221</v>
      </c>
      <c r="N670" s="71">
        <v>45715</v>
      </c>
      <c r="O670" s="71">
        <v>45716</v>
      </c>
      <c r="P670" s="70" t="str">
        <f ca="1">IF(Proc[[#This Row],[DaysAgeing]]&gt;5,"yep","on track")</f>
        <v>on track</v>
      </c>
      <c r="Q670" s="3">
        <f ca="1">IF(Proc[[#This Row],[DateClosed]]="",ABS(NETWORKDAYS(Proc[[#This Row],[DateOpened]],TODAY()))-1,ABS(NETWORKDAYS(Proc[[#This Row],[DateOpened]],Proc[[#This Row],[DateClosed]]))-1)</f>
        <v>4</v>
      </c>
      <c r="R670" s="70" t="s">
        <v>515</v>
      </c>
      <c r="S670" s="69"/>
    </row>
    <row r="671" spans="1:19" hidden="1">
      <c r="A671" s="68" t="s">
        <v>2064</v>
      </c>
      <c r="B671" s="149" t="str">
        <f>IFERROR(VLOOKUP(Proc[[#This Row],[App]],Table2[],3,0),"open")</f>
        <v>ok</v>
      </c>
      <c r="C671" s="68" t="s">
        <v>369</v>
      </c>
      <c r="D671" t="s">
        <v>2070</v>
      </c>
      <c r="E671" t="s">
        <v>2075</v>
      </c>
      <c r="F671" s="117" t="s">
        <v>2075</v>
      </c>
      <c r="G671" s="68" t="s">
        <v>406</v>
      </c>
      <c r="H671" s="69" t="str">
        <f>IF(Proc[[#This Row],[type]]="LFF (MDG-F)",MID(Proc[[#This Row],[Obj]],13,10),"")</f>
        <v>KR08GLE009</v>
      </c>
      <c r="J671" s="69" t="b">
        <f>Proc[[#This Row],[Requested]]=Proc[[#This Row],[CurrentParent]]</f>
        <v>1</v>
      </c>
      <c r="K671" s="144" t="str">
        <f>IF(Proc[[#This Row],[Author]]="Marcela Urrego",VLOOKUP(LEFT(Proc[[#This Row],[Requested]],1),Table3[#All],2,0),VLOOKUP(Proc[[#This Row],[Author]],Table4[],2,0))</f>
        <v>MGF</v>
      </c>
      <c r="L671" s="32" t="s">
        <v>509</v>
      </c>
      <c r="M671" s="71">
        <v>45712.411909722221</v>
      </c>
      <c r="N671" s="71">
        <v>45715</v>
      </c>
      <c r="O671" s="71">
        <v>45716</v>
      </c>
      <c r="P671" s="70" t="str">
        <f ca="1">IF(Proc[[#This Row],[DaysAgeing]]&gt;5,"yep","on track")</f>
        <v>on track</v>
      </c>
      <c r="Q671" s="3">
        <f ca="1">IF(Proc[[#This Row],[DateClosed]]="",ABS(NETWORKDAYS(Proc[[#This Row],[DateOpened]],TODAY()))-1,ABS(NETWORKDAYS(Proc[[#This Row],[DateOpened]],Proc[[#This Row],[DateClosed]]))-1)</f>
        <v>4</v>
      </c>
      <c r="R671" s="70" t="s">
        <v>515</v>
      </c>
      <c r="S671" s="69"/>
    </row>
    <row r="672" spans="1:19" hidden="1">
      <c r="A672" s="68" t="s">
        <v>2064</v>
      </c>
      <c r="B672" s="149" t="str">
        <f>IFERROR(VLOOKUP(Proc[[#This Row],[App]],Table2[],3,0),"open")</f>
        <v>ok</v>
      </c>
      <c r="C672" s="68" t="s">
        <v>369</v>
      </c>
      <c r="D672" t="s">
        <v>2071</v>
      </c>
      <c r="E672" t="s">
        <v>2075</v>
      </c>
      <c r="F672" s="117" t="s">
        <v>2075</v>
      </c>
      <c r="G672" s="68" t="s">
        <v>406</v>
      </c>
      <c r="H672" s="69" t="str">
        <f>IF(Proc[[#This Row],[type]]="LFF (MDG-F)",MID(Proc[[#This Row],[Obj]],13,10),"")</f>
        <v>KR11GLE006</v>
      </c>
      <c r="J672" s="69" t="b">
        <f>Proc[[#This Row],[Requested]]=Proc[[#This Row],[CurrentParent]]</f>
        <v>1</v>
      </c>
      <c r="K672" s="144" t="str">
        <f>IF(Proc[[#This Row],[Author]]="Marcela Urrego",VLOOKUP(LEFT(Proc[[#This Row],[Requested]],1),Table3[#All],2,0),VLOOKUP(Proc[[#This Row],[Author]],Table4[],2,0))</f>
        <v>MGF</v>
      </c>
      <c r="L672" s="32" t="s">
        <v>509</v>
      </c>
      <c r="M672" s="71">
        <v>45712.411909722221</v>
      </c>
      <c r="N672" s="71">
        <v>45715</v>
      </c>
      <c r="O672" s="71">
        <v>45716</v>
      </c>
      <c r="P672" s="70" t="str">
        <f ca="1">IF(Proc[[#This Row],[DaysAgeing]]&gt;5,"yep","on track")</f>
        <v>on track</v>
      </c>
      <c r="Q672" s="3">
        <f ca="1">IF(Proc[[#This Row],[DateClosed]]="",ABS(NETWORKDAYS(Proc[[#This Row],[DateOpened]],TODAY()))-1,ABS(NETWORKDAYS(Proc[[#This Row],[DateOpened]],Proc[[#This Row],[DateClosed]]))-1)</f>
        <v>4</v>
      </c>
      <c r="R672" s="70" t="s">
        <v>515</v>
      </c>
      <c r="S672" s="69"/>
    </row>
    <row r="673" spans="1:19" hidden="1">
      <c r="A673" s="68" t="s">
        <v>2064</v>
      </c>
      <c r="B673" s="149" t="str">
        <f>IFERROR(VLOOKUP(Proc[[#This Row],[App]],Table2[],3,0),"open")</f>
        <v>ok</v>
      </c>
      <c r="C673" s="68" t="s">
        <v>369</v>
      </c>
      <c r="D673" t="s">
        <v>2072</v>
      </c>
      <c r="E673" t="s">
        <v>2075</v>
      </c>
      <c r="F673" s="117" t="s">
        <v>2075</v>
      </c>
      <c r="G673" s="68" t="s">
        <v>406</v>
      </c>
      <c r="H673" s="69" t="str">
        <f>IF(Proc[[#This Row],[type]]="LFF (MDG-F)",MID(Proc[[#This Row],[Obj]],13,10),"")</f>
        <v>KR15GLE006</v>
      </c>
      <c r="J673" s="69" t="b">
        <f>Proc[[#This Row],[Requested]]=Proc[[#This Row],[CurrentParent]]</f>
        <v>1</v>
      </c>
      <c r="K673" s="144" t="str">
        <f>IF(Proc[[#This Row],[Author]]="Marcela Urrego",VLOOKUP(LEFT(Proc[[#This Row],[Requested]],1),Table3[#All],2,0),VLOOKUP(Proc[[#This Row],[Author]],Table4[],2,0))</f>
        <v>MGF</v>
      </c>
      <c r="L673" s="32" t="s">
        <v>509</v>
      </c>
      <c r="M673" s="71">
        <v>45712.411909722221</v>
      </c>
      <c r="N673" s="71">
        <v>45715</v>
      </c>
      <c r="O673" s="71">
        <v>45716</v>
      </c>
      <c r="P673" s="70" t="str">
        <f ca="1">IF(Proc[[#This Row],[DaysAgeing]]&gt;5,"yep","on track")</f>
        <v>on track</v>
      </c>
      <c r="Q673" s="3">
        <f ca="1">IF(Proc[[#This Row],[DateClosed]]="",ABS(NETWORKDAYS(Proc[[#This Row],[DateOpened]],TODAY()))-1,ABS(NETWORKDAYS(Proc[[#This Row],[DateOpened]],Proc[[#This Row],[DateClosed]]))-1)</f>
        <v>4</v>
      </c>
      <c r="R673" s="70" t="s">
        <v>515</v>
      </c>
      <c r="S673" s="69"/>
    </row>
    <row r="674" spans="1:19" hidden="1">
      <c r="A674" t="s">
        <v>2064</v>
      </c>
      <c r="B674" s="149" t="str">
        <f>IFERROR(VLOOKUP(Proc[[#This Row],[App]],Table2[],3,0),"open")</f>
        <v>ok</v>
      </c>
      <c r="C674" s="68" t="s">
        <v>369</v>
      </c>
      <c r="D674" t="s">
        <v>2073</v>
      </c>
      <c r="E674" t="s">
        <v>2075</v>
      </c>
      <c r="F674" s="117" t="s">
        <v>2075</v>
      </c>
      <c r="G674" s="68" t="s">
        <v>406</v>
      </c>
      <c r="H674" s="69" t="str">
        <f>IF(Proc[[#This Row],[type]]="LFF (MDG-F)",MID(Proc[[#This Row],[Obj]],13,10),"")</f>
        <v>KR16GLE006</v>
      </c>
      <c r="J674" s="69" t="b">
        <f>Proc[[#This Row],[Requested]]=Proc[[#This Row],[CurrentParent]]</f>
        <v>1</v>
      </c>
      <c r="K674" s="144" t="str">
        <f>IF(Proc[[#This Row],[Author]]="Marcela Urrego",VLOOKUP(LEFT(Proc[[#This Row],[Requested]],1),Table3[#All],2,0),VLOOKUP(Proc[[#This Row],[Author]],Table4[],2,0))</f>
        <v>MGF</v>
      </c>
      <c r="L674" s="32" t="s">
        <v>509</v>
      </c>
      <c r="M674" s="71">
        <v>45712.411909722221</v>
      </c>
      <c r="N674" s="71">
        <v>45715</v>
      </c>
      <c r="O674" s="71">
        <v>45716</v>
      </c>
      <c r="P674" s="70" t="str">
        <f ca="1">IF(Proc[[#This Row],[DaysAgeing]]&gt;5,"yep","on track")</f>
        <v>on track</v>
      </c>
      <c r="Q674" s="3">
        <f ca="1">IF(Proc[[#This Row],[DateClosed]]="",ABS(NETWORKDAYS(Proc[[#This Row],[DateOpened]],TODAY()))-1,ABS(NETWORKDAYS(Proc[[#This Row],[DateOpened]],Proc[[#This Row],[DateClosed]]))-1)</f>
        <v>4</v>
      </c>
      <c r="R674" s="70" t="s">
        <v>515</v>
      </c>
      <c r="S674" s="69"/>
    </row>
    <row r="675" spans="1:19" hidden="1">
      <c r="A675" s="68" t="s">
        <v>2064</v>
      </c>
      <c r="B675" s="149" t="str">
        <f>IFERROR(VLOOKUP(Proc[[#This Row],[App]],Table2[],3,0),"open")</f>
        <v>ok</v>
      </c>
      <c r="C675" s="68" t="s">
        <v>369</v>
      </c>
      <c r="D675" t="s">
        <v>2074</v>
      </c>
      <c r="E675" t="s">
        <v>2075</v>
      </c>
      <c r="F675" s="117" t="s">
        <v>2075</v>
      </c>
      <c r="G675" s="68" t="s">
        <v>406</v>
      </c>
      <c r="H675" s="69" t="str">
        <f>IF(Proc[[#This Row],[type]]="LFF (MDG-F)",MID(Proc[[#This Row],[Obj]],13,10),"")</f>
        <v>SG10GM2004</v>
      </c>
      <c r="J675" s="69" t="b">
        <f>Proc[[#This Row],[Requested]]=Proc[[#This Row],[CurrentParent]]</f>
        <v>1</v>
      </c>
      <c r="K675" s="144" t="str">
        <f>IF(Proc[[#This Row],[Author]]="Marcela Urrego",VLOOKUP(LEFT(Proc[[#This Row],[Requested]],1),Table3[#All],2,0),VLOOKUP(Proc[[#This Row],[Author]],Table4[],2,0))</f>
        <v>MGF</v>
      </c>
      <c r="L675" s="32" t="s">
        <v>509</v>
      </c>
      <c r="M675" s="71">
        <v>45712.411909722221</v>
      </c>
      <c r="N675" s="71">
        <v>45715</v>
      </c>
      <c r="O675" s="71">
        <v>45716</v>
      </c>
      <c r="P675" s="70" t="str">
        <f ca="1">IF(Proc[[#This Row],[DaysAgeing]]&gt;5,"yep","on track")</f>
        <v>on track</v>
      </c>
      <c r="Q675" s="3">
        <f ca="1">IF(Proc[[#This Row],[DateClosed]]="",ABS(NETWORKDAYS(Proc[[#This Row],[DateOpened]],TODAY()))-1,ABS(NETWORKDAYS(Proc[[#This Row],[DateOpened]],Proc[[#This Row],[DateClosed]]))-1)</f>
        <v>4</v>
      </c>
      <c r="R675" s="70" t="s">
        <v>515</v>
      </c>
      <c r="S675" s="69"/>
    </row>
    <row r="676" spans="1:19" hidden="1">
      <c r="A676" t="s">
        <v>2176</v>
      </c>
      <c r="B676" s="149" t="str">
        <f>IFERROR(VLOOKUP(Proc[[#This Row],[App]],Table2[],3,0),"open")</f>
        <v>ok</v>
      </c>
      <c r="C676" t="s">
        <v>369</v>
      </c>
      <c r="D676" t="s">
        <v>2160</v>
      </c>
      <c r="E676" t="s">
        <v>2161</v>
      </c>
      <c r="F676" s="117" t="s">
        <v>2161</v>
      </c>
      <c r="G676" t="s">
        <v>400</v>
      </c>
      <c r="H676" s="69" t="str">
        <f>IF(Proc[[#This Row],[type]]="LFF (MDG-F)",MID(Proc[[#This Row],[Obj]],13,10),"")</f>
        <v/>
      </c>
      <c r="J676" s="69" t="b">
        <f>Proc[[#This Row],[Requested]]=Proc[[#This Row],[CurrentParent]]</f>
        <v>1</v>
      </c>
      <c r="K676" s="144" t="str">
        <f>IF(Proc[[#This Row],[Author]]="Marcela Urrego",VLOOKUP(LEFT(Proc[[#This Row],[Requested]],1),Table3[#All],2,0),VLOOKUP(Proc[[#This Row],[Author]],Table4[],2,0))</f>
        <v>HC</v>
      </c>
      <c r="L676" s="32" t="s">
        <v>509</v>
      </c>
      <c r="M676" s="71">
        <v>45713.21603009259</v>
      </c>
      <c r="N676" s="71">
        <v>45715</v>
      </c>
      <c r="O676" s="71">
        <v>45715</v>
      </c>
      <c r="P676" s="70" t="str">
        <f ca="1">IF(Proc[[#This Row],[DaysAgeing]]&gt;5,"yep","on track")</f>
        <v>on track</v>
      </c>
      <c r="Q676" s="3">
        <f ca="1">IF(Proc[[#This Row],[DateClosed]]="",ABS(NETWORKDAYS(Proc[[#This Row],[DateOpened]],TODAY()))-1,ABS(NETWORKDAYS(Proc[[#This Row],[DateOpened]],Proc[[#This Row],[DateClosed]]))-1)</f>
        <v>2</v>
      </c>
      <c r="R676" s="70" t="s">
        <v>478</v>
      </c>
      <c r="S676" s="69"/>
    </row>
    <row r="677" spans="1:19" hidden="1">
      <c r="A677" s="68" t="s">
        <v>2176</v>
      </c>
      <c r="B677" s="149" t="str">
        <f>IFERROR(VLOOKUP(Proc[[#This Row],[App]],Table2[],3,0),"open")</f>
        <v>ok</v>
      </c>
      <c r="C677" s="68" t="s">
        <v>369</v>
      </c>
      <c r="D677" t="s">
        <v>2162</v>
      </c>
      <c r="E677" t="s">
        <v>2161</v>
      </c>
      <c r="F677" s="117" t="s">
        <v>2161</v>
      </c>
      <c r="G677" s="68" t="s">
        <v>400</v>
      </c>
      <c r="H677" s="69" t="str">
        <f>IF(Proc[[#This Row],[type]]="LFF (MDG-F)",MID(Proc[[#This Row],[Obj]],13,10),"")</f>
        <v/>
      </c>
      <c r="I677" s="68"/>
      <c r="J677" s="69" t="b">
        <f>Proc[[#This Row],[Requested]]=Proc[[#This Row],[CurrentParent]]</f>
        <v>1</v>
      </c>
      <c r="K677" s="144" t="str">
        <f>IF(Proc[[#This Row],[Author]]="Marcela Urrego",VLOOKUP(LEFT(Proc[[#This Row],[Requested]],1),Table3[#All],2,0),VLOOKUP(Proc[[#This Row],[Author]],Table4[],2,0))</f>
        <v>HC</v>
      </c>
      <c r="L677" s="32" t="s">
        <v>509</v>
      </c>
      <c r="M677" s="71">
        <v>45713.21603009259</v>
      </c>
      <c r="N677" s="71">
        <v>45715</v>
      </c>
      <c r="O677" s="71">
        <v>45715</v>
      </c>
      <c r="P677" s="70" t="str">
        <f ca="1">IF(Proc[[#This Row],[DaysAgeing]]&gt;5,"yep","on track")</f>
        <v>on track</v>
      </c>
      <c r="Q677" s="3">
        <f ca="1">IF(Proc[[#This Row],[DateClosed]]="",ABS(NETWORKDAYS(Proc[[#This Row],[DateOpened]],TODAY()))-1,ABS(NETWORKDAYS(Proc[[#This Row],[DateOpened]],Proc[[#This Row],[DateClosed]]))-1)</f>
        <v>2</v>
      </c>
      <c r="R677" s="70" t="s">
        <v>478</v>
      </c>
      <c r="S677" s="69"/>
    </row>
    <row r="678" spans="1:19" hidden="1">
      <c r="A678" s="68" t="s">
        <v>2176</v>
      </c>
      <c r="B678" s="149" t="str">
        <f>IFERROR(VLOOKUP(Proc[[#This Row],[App]],Table2[],3,0),"open")</f>
        <v>ok</v>
      </c>
      <c r="C678" s="68" t="s">
        <v>369</v>
      </c>
      <c r="D678" t="s">
        <v>2163</v>
      </c>
      <c r="E678" t="s">
        <v>2161</v>
      </c>
      <c r="F678" s="117" t="s">
        <v>2161</v>
      </c>
      <c r="G678" s="68" t="s">
        <v>400</v>
      </c>
      <c r="H678" s="69" t="str">
        <f>IF(Proc[[#This Row],[type]]="LFF (MDG-F)",MID(Proc[[#This Row],[Obj]],13,10),"")</f>
        <v/>
      </c>
      <c r="I678" s="68"/>
      <c r="J678" s="69" t="b">
        <f>Proc[[#This Row],[Requested]]=Proc[[#This Row],[CurrentParent]]</f>
        <v>1</v>
      </c>
      <c r="K678" s="144" t="str">
        <f>IF(Proc[[#This Row],[Author]]="Marcela Urrego",VLOOKUP(LEFT(Proc[[#This Row],[Requested]],1),Table3[#All],2,0),VLOOKUP(Proc[[#This Row],[Author]],Table4[],2,0))</f>
        <v>HC</v>
      </c>
      <c r="L678" s="32" t="s">
        <v>509</v>
      </c>
      <c r="M678" s="71">
        <v>45713.21603009259</v>
      </c>
      <c r="N678" s="71">
        <v>45715</v>
      </c>
      <c r="O678" s="71">
        <v>45715</v>
      </c>
      <c r="P678" s="70" t="str">
        <f ca="1">IF(Proc[[#This Row],[DaysAgeing]]&gt;5,"yep","on track")</f>
        <v>on track</v>
      </c>
      <c r="Q678" s="3">
        <f ca="1">IF(Proc[[#This Row],[DateClosed]]="",ABS(NETWORKDAYS(Proc[[#This Row],[DateOpened]],TODAY()))-1,ABS(NETWORKDAYS(Proc[[#This Row],[DateOpened]],Proc[[#This Row],[DateClosed]]))-1)</f>
        <v>2</v>
      </c>
      <c r="R678" s="70" t="s">
        <v>478</v>
      </c>
      <c r="S678" s="69"/>
    </row>
    <row r="679" spans="1:19" hidden="1">
      <c r="A679" t="s">
        <v>2176</v>
      </c>
      <c r="B679" s="149" t="str">
        <f>IFERROR(VLOOKUP(Proc[[#This Row],[App]],Table2[],3,0),"open")</f>
        <v>ok</v>
      </c>
      <c r="C679" t="s">
        <v>369</v>
      </c>
      <c r="D679" t="s">
        <v>2164</v>
      </c>
      <c r="E679" t="s">
        <v>2161</v>
      </c>
      <c r="F679" s="117" t="s">
        <v>2161</v>
      </c>
      <c r="G679" s="68" t="s">
        <v>400</v>
      </c>
      <c r="H679" s="69" t="str">
        <f>IF(Proc[[#This Row],[type]]="LFF (MDG-F)",MID(Proc[[#This Row],[Obj]],13,10),"")</f>
        <v/>
      </c>
      <c r="J679" s="69" t="b">
        <f>Proc[[#This Row],[Requested]]=Proc[[#This Row],[CurrentParent]]</f>
        <v>1</v>
      </c>
      <c r="K679" s="144" t="str">
        <f>IF(Proc[[#This Row],[Author]]="Marcela Urrego",VLOOKUP(LEFT(Proc[[#This Row],[Requested]],1),Table3[#All],2,0),VLOOKUP(Proc[[#This Row],[Author]],Table4[],2,0))</f>
        <v>HC</v>
      </c>
      <c r="L679" s="32" t="s">
        <v>509</v>
      </c>
      <c r="M679" s="71">
        <v>45713.21603009259</v>
      </c>
      <c r="N679" s="71">
        <v>45715</v>
      </c>
      <c r="O679" s="71">
        <v>45715</v>
      </c>
      <c r="P679" s="70" t="str">
        <f ca="1">IF(Proc[[#This Row],[DaysAgeing]]&gt;5,"yep","on track")</f>
        <v>on track</v>
      </c>
      <c r="Q679" s="3">
        <f ca="1">IF(Proc[[#This Row],[DateClosed]]="",ABS(NETWORKDAYS(Proc[[#This Row],[DateOpened]],TODAY()))-1,ABS(NETWORKDAYS(Proc[[#This Row],[DateOpened]],Proc[[#This Row],[DateClosed]]))-1)</f>
        <v>2</v>
      </c>
      <c r="R679" s="70" t="s">
        <v>478</v>
      </c>
      <c r="S679" s="69"/>
    </row>
    <row r="680" spans="1:19" hidden="1">
      <c r="A680" s="68" t="s">
        <v>2176</v>
      </c>
      <c r="B680" s="149" t="str">
        <f>IFERROR(VLOOKUP(Proc[[#This Row],[App]],Table2[],3,0),"open")</f>
        <v>ok</v>
      </c>
      <c r="C680" s="68" t="s">
        <v>369</v>
      </c>
      <c r="D680" t="s">
        <v>2165</v>
      </c>
      <c r="E680" t="s">
        <v>2161</v>
      </c>
      <c r="F680" s="117" t="s">
        <v>2161</v>
      </c>
      <c r="G680" s="68" t="s">
        <v>400</v>
      </c>
      <c r="H680" s="69" t="str">
        <f>IF(Proc[[#This Row],[type]]="LFF (MDG-F)",MID(Proc[[#This Row],[Obj]],13,10),"")</f>
        <v/>
      </c>
      <c r="J680" s="69" t="b">
        <f>Proc[[#This Row],[Requested]]=Proc[[#This Row],[CurrentParent]]</f>
        <v>1</v>
      </c>
      <c r="K680" s="144" t="str">
        <f>IF(Proc[[#This Row],[Author]]="Marcela Urrego",VLOOKUP(LEFT(Proc[[#This Row],[Requested]],1),Table3[#All],2,0),VLOOKUP(Proc[[#This Row],[Author]],Table4[],2,0))</f>
        <v>HC</v>
      </c>
      <c r="L680" s="32" t="s">
        <v>509</v>
      </c>
      <c r="M680" s="71">
        <v>45713.21603009259</v>
      </c>
      <c r="N680" s="71">
        <v>45715</v>
      </c>
      <c r="O680" s="71">
        <v>45715</v>
      </c>
      <c r="P680" s="70" t="str">
        <f ca="1">IF(Proc[[#This Row],[DaysAgeing]]&gt;5,"yep","on track")</f>
        <v>on track</v>
      </c>
      <c r="Q680" s="3">
        <f ca="1">IF(Proc[[#This Row],[DateClosed]]="",ABS(NETWORKDAYS(Proc[[#This Row],[DateOpened]],TODAY()))-1,ABS(NETWORKDAYS(Proc[[#This Row],[DateOpened]],Proc[[#This Row],[DateClosed]]))-1)</f>
        <v>2</v>
      </c>
      <c r="R680" s="70" t="s">
        <v>478</v>
      </c>
      <c r="S680" s="69"/>
    </row>
    <row r="681" spans="1:19" hidden="1">
      <c r="A681" s="68" t="s">
        <v>2176</v>
      </c>
      <c r="B681" s="149" t="str">
        <f>IFERROR(VLOOKUP(Proc[[#This Row],[App]],Table2[],3,0),"open")</f>
        <v>ok</v>
      </c>
      <c r="C681" s="68" t="s">
        <v>369</v>
      </c>
      <c r="D681" t="s">
        <v>2166</v>
      </c>
      <c r="E681" t="s">
        <v>2161</v>
      </c>
      <c r="F681" s="117" t="s">
        <v>2161</v>
      </c>
      <c r="G681" s="68" t="s">
        <v>400</v>
      </c>
      <c r="H681" s="69" t="str">
        <f>IF(Proc[[#This Row],[type]]="LFF (MDG-F)",MID(Proc[[#This Row],[Obj]],13,10),"")</f>
        <v/>
      </c>
      <c r="J681" s="69" t="b">
        <f>Proc[[#This Row],[Requested]]=Proc[[#This Row],[CurrentParent]]</f>
        <v>1</v>
      </c>
      <c r="K681" s="144" t="str">
        <f>IF(Proc[[#This Row],[Author]]="Marcela Urrego",VLOOKUP(LEFT(Proc[[#This Row],[Requested]],1),Table3[#All],2,0),VLOOKUP(Proc[[#This Row],[Author]],Table4[],2,0))</f>
        <v>HC</v>
      </c>
      <c r="L681" s="32" t="s">
        <v>509</v>
      </c>
      <c r="M681" s="71">
        <v>45713.21603009259</v>
      </c>
      <c r="N681" s="71">
        <v>45715</v>
      </c>
      <c r="O681" s="71">
        <v>45715</v>
      </c>
      <c r="P681" s="70" t="str">
        <f ca="1">IF(Proc[[#This Row],[DaysAgeing]]&gt;5,"yep","on track")</f>
        <v>on track</v>
      </c>
      <c r="Q681" s="3">
        <f ca="1">IF(Proc[[#This Row],[DateClosed]]="",ABS(NETWORKDAYS(Proc[[#This Row],[DateOpened]],TODAY()))-1,ABS(NETWORKDAYS(Proc[[#This Row],[DateOpened]],Proc[[#This Row],[DateClosed]]))-1)</f>
        <v>2</v>
      </c>
      <c r="R681" s="70" t="s">
        <v>478</v>
      </c>
      <c r="S681" s="69"/>
    </row>
    <row r="682" spans="1:19" hidden="1">
      <c r="A682" s="68" t="s">
        <v>2176</v>
      </c>
      <c r="B682" s="149" t="str">
        <f>IFERROR(VLOOKUP(Proc[[#This Row],[App]],Table2[],3,0),"open")</f>
        <v>ok</v>
      </c>
      <c r="C682" s="68" t="s">
        <v>369</v>
      </c>
      <c r="D682" t="s">
        <v>2167</v>
      </c>
      <c r="E682" t="s">
        <v>2161</v>
      </c>
      <c r="F682" s="117" t="s">
        <v>2161</v>
      </c>
      <c r="G682" s="68" t="s">
        <v>400</v>
      </c>
      <c r="H682" s="69" t="str">
        <f>IF(Proc[[#This Row],[type]]="LFF (MDG-F)",MID(Proc[[#This Row],[Obj]],13,10),"")</f>
        <v/>
      </c>
      <c r="J682" s="69" t="b">
        <f>Proc[[#This Row],[Requested]]=Proc[[#This Row],[CurrentParent]]</f>
        <v>1</v>
      </c>
      <c r="K682" s="144" t="str">
        <f>IF(Proc[[#This Row],[Author]]="Marcela Urrego",VLOOKUP(LEFT(Proc[[#This Row],[Requested]],1),Table3[#All],2,0),VLOOKUP(Proc[[#This Row],[Author]],Table4[],2,0))</f>
        <v>HC</v>
      </c>
      <c r="L682" s="32" t="s">
        <v>509</v>
      </c>
      <c r="M682" s="71">
        <v>45713.21603009259</v>
      </c>
      <c r="N682" s="71">
        <v>45715</v>
      </c>
      <c r="O682" s="71">
        <v>45715</v>
      </c>
      <c r="P682" s="70" t="str">
        <f ca="1">IF(Proc[[#This Row],[DaysAgeing]]&gt;5,"yep","on track")</f>
        <v>on track</v>
      </c>
      <c r="Q682" s="3">
        <f ca="1">IF(Proc[[#This Row],[DateClosed]]="",ABS(NETWORKDAYS(Proc[[#This Row],[DateOpened]],TODAY()))-1,ABS(NETWORKDAYS(Proc[[#This Row],[DateOpened]],Proc[[#This Row],[DateClosed]]))-1)</f>
        <v>2</v>
      </c>
      <c r="R682" s="70" t="s">
        <v>478</v>
      </c>
      <c r="S682" s="69"/>
    </row>
    <row r="683" spans="1:19" hidden="1">
      <c r="A683" s="68" t="s">
        <v>2176</v>
      </c>
      <c r="B683" s="149" t="str">
        <f>IFERROR(VLOOKUP(Proc[[#This Row],[App]],Table2[],3,0),"open")</f>
        <v>ok</v>
      </c>
      <c r="C683" s="68" t="s">
        <v>369</v>
      </c>
      <c r="D683" t="s">
        <v>2168</v>
      </c>
      <c r="E683" t="s">
        <v>2161</v>
      </c>
      <c r="F683" s="117" t="s">
        <v>2161</v>
      </c>
      <c r="G683" s="68" t="s">
        <v>400</v>
      </c>
      <c r="H683" s="69" t="str">
        <f>IF(Proc[[#This Row],[type]]="LFF (MDG-F)",MID(Proc[[#This Row],[Obj]],13,10),"")</f>
        <v/>
      </c>
      <c r="J683" s="69" t="b">
        <f>Proc[[#This Row],[Requested]]=Proc[[#This Row],[CurrentParent]]</f>
        <v>1</v>
      </c>
      <c r="K683" s="144" t="str">
        <f>IF(Proc[[#This Row],[Author]]="Marcela Urrego",VLOOKUP(LEFT(Proc[[#This Row],[Requested]],1),Table3[#All],2,0),VLOOKUP(Proc[[#This Row],[Author]],Table4[],2,0))</f>
        <v>HC</v>
      </c>
      <c r="L683" s="32" t="s">
        <v>509</v>
      </c>
      <c r="M683" s="71">
        <v>45713.21603009259</v>
      </c>
      <c r="N683" s="71">
        <v>45715</v>
      </c>
      <c r="O683" s="71">
        <v>45715</v>
      </c>
      <c r="P683" s="70" t="str">
        <f ca="1">IF(Proc[[#This Row],[DaysAgeing]]&gt;5,"yep","on track")</f>
        <v>on track</v>
      </c>
      <c r="Q683" s="3">
        <f ca="1">IF(Proc[[#This Row],[DateClosed]]="",ABS(NETWORKDAYS(Proc[[#This Row],[DateOpened]],TODAY()))-1,ABS(NETWORKDAYS(Proc[[#This Row],[DateOpened]],Proc[[#This Row],[DateClosed]]))-1)</f>
        <v>2</v>
      </c>
      <c r="R683" s="70" t="s">
        <v>478</v>
      </c>
      <c r="S683" s="69"/>
    </row>
    <row r="684" spans="1:19" hidden="1">
      <c r="A684" s="68" t="s">
        <v>2176</v>
      </c>
      <c r="B684" s="149" t="str">
        <f>IFERROR(VLOOKUP(Proc[[#This Row],[App]],Table2[],3,0),"open")</f>
        <v>ok</v>
      </c>
      <c r="C684" s="68" t="s">
        <v>369</v>
      </c>
      <c r="D684" t="s">
        <v>2169</v>
      </c>
      <c r="E684" t="s">
        <v>2161</v>
      </c>
      <c r="F684" s="117" t="s">
        <v>2161</v>
      </c>
      <c r="G684" s="68" t="s">
        <v>400</v>
      </c>
      <c r="H684" s="69" t="str">
        <f>IF(Proc[[#This Row],[type]]="LFF (MDG-F)",MID(Proc[[#This Row],[Obj]],13,10),"")</f>
        <v/>
      </c>
      <c r="J684" s="69" t="b">
        <f>Proc[[#This Row],[Requested]]=Proc[[#This Row],[CurrentParent]]</f>
        <v>1</v>
      </c>
      <c r="K684" s="144" t="str">
        <f>IF(Proc[[#This Row],[Author]]="Marcela Urrego",VLOOKUP(LEFT(Proc[[#This Row],[Requested]],1),Table3[#All],2,0),VLOOKUP(Proc[[#This Row],[Author]],Table4[],2,0))</f>
        <v>HC</v>
      </c>
      <c r="L684" s="32" t="s">
        <v>509</v>
      </c>
      <c r="M684" s="71">
        <v>45713.21603009259</v>
      </c>
      <c r="N684" s="71">
        <v>45715</v>
      </c>
      <c r="O684" s="71">
        <v>45715</v>
      </c>
      <c r="P684" s="70" t="str">
        <f ca="1">IF(Proc[[#This Row],[DaysAgeing]]&gt;5,"yep","on track")</f>
        <v>on track</v>
      </c>
      <c r="Q684" s="3">
        <f ca="1">IF(Proc[[#This Row],[DateClosed]]="",ABS(NETWORKDAYS(Proc[[#This Row],[DateOpened]],TODAY()))-1,ABS(NETWORKDAYS(Proc[[#This Row],[DateOpened]],Proc[[#This Row],[DateClosed]]))-1)</f>
        <v>2</v>
      </c>
      <c r="R684" s="70" t="s">
        <v>478</v>
      </c>
      <c r="S684" s="69"/>
    </row>
    <row r="685" spans="1:19" hidden="1">
      <c r="A685" s="68" t="s">
        <v>2176</v>
      </c>
      <c r="B685" s="149" t="str">
        <f>IFERROR(VLOOKUP(Proc[[#This Row],[App]],Table2[],3,0),"open")</f>
        <v>ok</v>
      </c>
      <c r="C685" s="68" t="s">
        <v>369</v>
      </c>
      <c r="D685" t="s">
        <v>2170</v>
      </c>
      <c r="E685" t="s">
        <v>2161</v>
      </c>
      <c r="F685" s="117" t="s">
        <v>2161</v>
      </c>
      <c r="G685" s="68" t="s">
        <v>400</v>
      </c>
      <c r="H685" s="69" t="str">
        <f>IF(Proc[[#This Row],[type]]="LFF (MDG-F)",MID(Proc[[#This Row],[Obj]],13,10),"")</f>
        <v/>
      </c>
      <c r="J685" s="69" t="b">
        <f>Proc[[#This Row],[Requested]]=Proc[[#This Row],[CurrentParent]]</f>
        <v>1</v>
      </c>
      <c r="K685" s="144" t="str">
        <f>IF(Proc[[#This Row],[Author]]="Marcela Urrego",VLOOKUP(LEFT(Proc[[#This Row],[Requested]],1),Table3[#All],2,0),VLOOKUP(Proc[[#This Row],[Author]],Table4[],2,0))</f>
        <v>HC</v>
      </c>
      <c r="L685" s="32" t="s">
        <v>509</v>
      </c>
      <c r="M685" s="71">
        <v>45713.21603009259</v>
      </c>
      <c r="N685" s="71">
        <v>45715</v>
      </c>
      <c r="O685" s="71">
        <v>45715</v>
      </c>
      <c r="P685" s="70" t="str">
        <f ca="1">IF(Proc[[#This Row],[DaysAgeing]]&gt;5,"yep","on track")</f>
        <v>on track</v>
      </c>
      <c r="Q685" s="3">
        <f ca="1">IF(Proc[[#This Row],[DateClosed]]="",ABS(NETWORKDAYS(Proc[[#This Row],[DateOpened]],TODAY()))-1,ABS(NETWORKDAYS(Proc[[#This Row],[DateOpened]],Proc[[#This Row],[DateClosed]]))-1)</f>
        <v>2</v>
      </c>
      <c r="R685" s="70" t="s">
        <v>478</v>
      </c>
      <c r="S685" s="69"/>
    </row>
    <row r="686" spans="1:19" hidden="1">
      <c r="A686" s="68" t="s">
        <v>2176</v>
      </c>
      <c r="B686" s="149" t="str">
        <f>IFERROR(VLOOKUP(Proc[[#This Row],[App]],Table2[],3,0),"open")</f>
        <v>ok</v>
      </c>
      <c r="C686" s="68" t="s">
        <v>369</v>
      </c>
      <c r="D686" t="s">
        <v>2171</v>
      </c>
      <c r="E686" t="s">
        <v>2161</v>
      </c>
      <c r="F686" s="117" t="s">
        <v>2161</v>
      </c>
      <c r="G686" s="68" t="s">
        <v>400</v>
      </c>
      <c r="H686" s="69" t="str">
        <f>IF(Proc[[#This Row],[type]]="LFF (MDG-F)",MID(Proc[[#This Row],[Obj]],13,10),"")</f>
        <v/>
      </c>
      <c r="J686" s="69" t="b">
        <f>Proc[[#This Row],[Requested]]=Proc[[#This Row],[CurrentParent]]</f>
        <v>1</v>
      </c>
      <c r="K686" s="144" t="str">
        <f>IF(Proc[[#This Row],[Author]]="Marcela Urrego",VLOOKUP(LEFT(Proc[[#This Row],[Requested]],1),Table3[#All],2,0),VLOOKUP(Proc[[#This Row],[Author]],Table4[],2,0))</f>
        <v>HC</v>
      </c>
      <c r="L686" s="32" t="s">
        <v>509</v>
      </c>
      <c r="M686" s="71">
        <v>45713.21603009259</v>
      </c>
      <c r="N686" s="71">
        <v>45715</v>
      </c>
      <c r="O686" s="71">
        <v>45715</v>
      </c>
      <c r="P686" s="70" t="str">
        <f ca="1">IF(Proc[[#This Row],[DaysAgeing]]&gt;5,"yep","on track")</f>
        <v>on track</v>
      </c>
      <c r="Q686" s="3">
        <f ca="1">IF(Proc[[#This Row],[DateClosed]]="",ABS(NETWORKDAYS(Proc[[#This Row],[DateOpened]],TODAY()))-1,ABS(NETWORKDAYS(Proc[[#This Row],[DateOpened]],Proc[[#This Row],[DateClosed]]))-1)</f>
        <v>2</v>
      </c>
      <c r="R686" s="70" t="s">
        <v>478</v>
      </c>
      <c r="S686" s="69"/>
    </row>
    <row r="687" spans="1:19" hidden="1">
      <c r="A687" s="68" t="s">
        <v>2176</v>
      </c>
      <c r="B687" s="149" t="str">
        <f>IFERROR(VLOOKUP(Proc[[#This Row],[App]],Table2[],3,0),"open")</f>
        <v>ok</v>
      </c>
      <c r="C687" s="68" t="s">
        <v>369</v>
      </c>
      <c r="D687" t="s">
        <v>2172</v>
      </c>
      <c r="E687" t="s">
        <v>2161</v>
      </c>
      <c r="F687" s="117" t="s">
        <v>2161</v>
      </c>
      <c r="G687" s="68" t="s">
        <v>400</v>
      </c>
      <c r="H687" s="69" t="str">
        <f>IF(Proc[[#This Row],[type]]="LFF (MDG-F)",MID(Proc[[#This Row],[Obj]],13,10),"")</f>
        <v/>
      </c>
      <c r="J687" s="69" t="b">
        <f>Proc[[#This Row],[Requested]]=Proc[[#This Row],[CurrentParent]]</f>
        <v>1</v>
      </c>
      <c r="K687" s="144" t="str">
        <f>IF(Proc[[#This Row],[Author]]="Marcela Urrego",VLOOKUP(LEFT(Proc[[#This Row],[Requested]],1),Table3[#All],2,0),VLOOKUP(Proc[[#This Row],[Author]],Table4[],2,0))</f>
        <v>HC</v>
      </c>
      <c r="L687" s="32" t="s">
        <v>509</v>
      </c>
      <c r="M687" s="71">
        <v>45713.21603009259</v>
      </c>
      <c r="N687" s="71">
        <v>45715</v>
      </c>
      <c r="O687" s="71">
        <v>45715</v>
      </c>
      <c r="P687" s="70" t="str">
        <f ca="1">IF(Proc[[#This Row],[DaysAgeing]]&gt;5,"yep","on track")</f>
        <v>on track</v>
      </c>
      <c r="Q687" s="3">
        <f ca="1">IF(Proc[[#This Row],[DateClosed]]="",ABS(NETWORKDAYS(Proc[[#This Row],[DateOpened]],TODAY()))-1,ABS(NETWORKDAYS(Proc[[#This Row],[DateOpened]],Proc[[#This Row],[DateClosed]]))-1)</f>
        <v>2</v>
      </c>
      <c r="R687" s="70" t="s">
        <v>478</v>
      </c>
      <c r="S687" s="69"/>
    </row>
    <row r="688" spans="1:19" hidden="1">
      <c r="A688" s="68" t="s">
        <v>2176</v>
      </c>
      <c r="B688" s="149" t="str">
        <f>IFERROR(VLOOKUP(Proc[[#This Row],[App]],Table2[],3,0),"open")</f>
        <v>ok</v>
      </c>
      <c r="C688" s="68" t="s">
        <v>369</v>
      </c>
      <c r="D688" t="s">
        <v>2173</v>
      </c>
      <c r="E688" t="s">
        <v>2174</v>
      </c>
      <c r="F688" s="117" t="s">
        <v>2174</v>
      </c>
      <c r="G688" s="68" t="s">
        <v>400</v>
      </c>
      <c r="H688" s="69" t="str">
        <f>IF(Proc[[#This Row],[type]]="LFF (MDG-F)",MID(Proc[[#This Row],[Obj]],13,10),"")</f>
        <v/>
      </c>
      <c r="J688" s="69" t="b">
        <f>Proc[[#This Row],[Requested]]=Proc[[#This Row],[CurrentParent]]</f>
        <v>1</v>
      </c>
      <c r="K688" s="144" t="str">
        <f>IF(Proc[[#This Row],[Author]]="Marcela Urrego",VLOOKUP(LEFT(Proc[[#This Row],[Requested]],1),Table3[#All],2,0),VLOOKUP(Proc[[#This Row],[Author]],Table4[],2,0))</f>
        <v>HC</v>
      </c>
      <c r="L688" s="32" t="s">
        <v>509</v>
      </c>
      <c r="M688" s="71">
        <v>45713.21603009259</v>
      </c>
      <c r="N688" s="71">
        <v>45715</v>
      </c>
      <c r="O688" s="71">
        <v>45715</v>
      </c>
      <c r="P688" s="70" t="str">
        <f ca="1">IF(Proc[[#This Row],[DaysAgeing]]&gt;5,"yep","on track")</f>
        <v>on track</v>
      </c>
      <c r="Q688" s="3">
        <f ca="1">IF(Proc[[#This Row],[DateClosed]]="",ABS(NETWORKDAYS(Proc[[#This Row],[DateOpened]],TODAY()))-1,ABS(NETWORKDAYS(Proc[[#This Row],[DateOpened]],Proc[[#This Row],[DateClosed]]))-1)</f>
        <v>2</v>
      </c>
      <c r="R688" s="70" t="s">
        <v>478</v>
      </c>
      <c r="S688" s="69"/>
    </row>
    <row r="689" spans="1:19" hidden="1">
      <c r="A689" s="68" t="s">
        <v>2176</v>
      </c>
      <c r="B689" s="149" t="str">
        <f>IFERROR(VLOOKUP(Proc[[#This Row],[App]],Table2[],3,0),"open")</f>
        <v>ok</v>
      </c>
      <c r="C689" s="68" t="s">
        <v>369</v>
      </c>
      <c r="D689" t="s">
        <v>2175</v>
      </c>
      <c r="E689" t="s">
        <v>2174</v>
      </c>
      <c r="F689" s="117" t="s">
        <v>2174</v>
      </c>
      <c r="G689" s="68" t="s">
        <v>400</v>
      </c>
      <c r="H689" s="69" t="str">
        <f>IF(Proc[[#This Row],[type]]="LFF (MDG-F)",MID(Proc[[#This Row],[Obj]],13,10),"")</f>
        <v/>
      </c>
      <c r="J689" s="69" t="b">
        <f>Proc[[#This Row],[Requested]]=Proc[[#This Row],[CurrentParent]]</f>
        <v>1</v>
      </c>
      <c r="K689" s="144" t="str">
        <f>IF(Proc[[#This Row],[Author]]="Marcela Urrego",VLOOKUP(LEFT(Proc[[#This Row],[Requested]],1),Table3[#All],2,0),VLOOKUP(Proc[[#This Row],[Author]],Table4[],2,0))</f>
        <v>HC</v>
      </c>
      <c r="L689" s="32" t="s">
        <v>509</v>
      </c>
      <c r="M689" s="71">
        <v>45713.21603009259</v>
      </c>
      <c r="N689" s="71">
        <v>45715</v>
      </c>
      <c r="O689" s="71">
        <v>45715</v>
      </c>
      <c r="P689" s="70" t="str">
        <f ca="1">IF(Proc[[#This Row],[DaysAgeing]]&gt;5,"yep","on track")</f>
        <v>on track</v>
      </c>
      <c r="Q689" s="3">
        <f ca="1">IF(Proc[[#This Row],[DateClosed]]="",ABS(NETWORKDAYS(Proc[[#This Row],[DateOpened]],TODAY()))-1,ABS(NETWORKDAYS(Proc[[#This Row],[DateOpened]],Proc[[#This Row],[DateClosed]]))-1)</f>
        <v>2</v>
      </c>
      <c r="R689" s="70" t="s">
        <v>478</v>
      </c>
      <c r="S689" s="69"/>
    </row>
    <row r="690" spans="1:19" hidden="1">
      <c r="A690" s="68" t="s">
        <v>2096</v>
      </c>
      <c r="B690" s="149" t="str">
        <f>IFERROR(VLOOKUP(Proc[[#This Row],[App]],Table2[],3,0),"open")</f>
        <v>ok</v>
      </c>
      <c r="C690" s="68" t="s">
        <v>369</v>
      </c>
      <c r="D690" t="s">
        <v>2097</v>
      </c>
      <c r="E690" t="s">
        <v>2098</v>
      </c>
      <c r="F690" s="117" t="s">
        <v>2098</v>
      </c>
      <c r="G690" s="68" t="s">
        <v>406</v>
      </c>
      <c r="H690" s="69" t="str">
        <f>IF(Proc[[#This Row],[type]]="LFF (MDG-F)",MID(Proc[[#This Row],[Obj]],13,10),"")</f>
        <v>CN50C01602</v>
      </c>
      <c r="J690" s="69" t="b">
        <f>Proc[[#This Row],[Requested]]=Proc[[#This Row],[CurrentParent]]</f>
        <v>1</v>
      </c>
      <c r="K690" s="144" t="str">
        <f>IF(Proc[[#This Row],[Author]]="Marcela Urrego",VLOOKUP(LEFT(Proc[[#This Row],[Requested]],1),Table3[#All],2,0),VLOOKUP(Proc[[#This Row],[Author]],Table4[],2,0))</f>
        <v>HC</v>
      </c>
      <c r="L690" s="32" t="s">
        <v>509</v>
      </c>
      <c r="M690" s="71">
        <v>45713.229062500002</v>
      </c>
      <c r="N690" s="71">
        <v>45715</v>
      </c>
      <c r="O690" s="71">
        <v>45715</v>
      </c>
      <c r="P690" s="70" t="str">
        <f ca="1">IF(Proc[[#This Row],[DaysAgeing]]&gt;5,"yep","on track")</f>
        <v>on track</v>
      </c>
      <c r="Q690" s="3">
        <f ca="1">IF(Proc[[#This Row],[DateClosed]]="",ABS(NETWORKDAYS(Proc[[#This Row],[DateOpened]],TODAY()))-1,ABS(NETWORKDAYS(Proc[[#This Row],[DateOpened]],Proc[[#This Row],[DateClosed]]))-1)</f>
        <v>2</v>
      </c>
      <c r="R690" s="70" t="s">
        <v>478</v>
      </c>
      <c r="S690" s="69"/>
    </row>
    <row r="691" spans="1:19" hidden="1">
      <c r="A691" s="68" t="s">
        <v>2096</v>
      </c>
      <c r="B691" s="149" t="str">
        <f>IFERROR(VLOOKUP(Proc[[#This Row],[App]],Table2[],3,0),"open")</f>
        <v>ok</v>
      </c>
      <c r="C691" s="68" t="s">
        <v>369</v>
      </c>
      <c r="D691" t="s">
        <v>2099</v>
      </c>
      <c r="E691" t="s">
        <v>2100</v>
      </c>
      <c r="F691" s="117" t="s">
        <v>2100</v>
      </c>
      <c r="G691" s="68" t="s">
        <v>406</v>
      </c>
      <c r="H691" s="69" t="str">
        <f>IF(Proc[[#This Row],[type]]="LFF (MDG-F)",MID(Proc[[#This Row],[Obj]],13,10),"")</f>
        <v>CN90L50000</v>
      </c>
      <c r="J691" s="69" t="b">
        <f>Proc[[#This Row],[Requested]]=Proc[[#This Row],[CurrentParent]]</f>
        <v>1</v>
      </c>
      <c r="K691" s="144" t="str">
        <f>IF(Proc[[#This Row],[Author]]="Marcela Urrego",VLOOKUP(LEFT(Proc[[#This Row],[Requested]],1),Table3[#All],2,0),VLOOKUP(Proc[[#This Row],[Author]],Table4[],2,0))</f>
        <v>HC</v>
      </c>
      <c r="L691" s="32" t="s">
        <v>509</v>
      </c>
      <c r="M691" s="71">
        <v>45713.229062500002</v>
      </c>
      <c r="N691" s="71">
        <v>45715</v>
      </c>
      <c r="O691" s="71">
        <v>45715</v>
      </c>
      <c r="P691" s="70" t="str">
        <f ca="1">IF(Proc[[#This Row],[DaysAgeing]]&gt;5,"yep","on track")</f>
        <v>on track</v>
      </c>
      <c r="Q691" s="3">
        <f ca="1">IF(Proc[[#This Row],[DateClosed]]="",ABS(NETWORKDAYS(Proc[[#This Row],[DateOpened]],TODAY()))-1,ABS(NETWORKDAYS(Proc[[#This Row],[DateOpened]],Proc[[#This Row],[DateClosed]]))-1)</f>
        <v>2</v>
      </c>
      <c r="R691" s="70" t="s">
        <v>478</v>
      </c>
      <c r="S691" s="69"/>
    </row>
    <row r="692" spans="1:19" hidden="1">
      <c r="A692" s="68" t="s">
        <v>2096</v>
      </c>
      <c r="B692" s="149" t="str">
        <f>IFERROR(VLOOKUP(Proc[[#This Row],[App]],Table2[],3,0),"open")</f>
        <v>ok</v>
      </c>
      <c r="C692" s="68" t="s">
        <v>369</v>
      </c>
      <c r="D692" t="s">
        <v>2101</v>
      </c>
      <c r="E692" t="s">
        <v>2100</v>
      </c>
      <c r="F692" s="117" t="s">
        <v>2100</v>
      </c>
      <c r="G692" s="68" t="s">
        <v>406</v>
      </c>
      <c r="H692" s="69" t="str">
        <f>IF(Proc[[#This Row],[type]]="LFF (MDG-F)",MID(Proc[[#This Row],[Obj]],13,10),"")</f>
        <v>CN90L80001</v>
      </c>
      <c r="J692" s="69" t="b">
        <f>Proc[[#This Row],[Requested]]=Proc[[#This Row],[CurrentParent]]</f>
        <v>1</v>
      </c>
      <c r="K692" s="144" t="str">
        <f>IF(Proc[[#This Row],[Author]]="Marcela Urrego",VLOOKUP(LEFT(Proc[[#This Row],[Requested]],1),Table3[#All],2,0),VLOOKUP(Proc[[#This Row],[Author]],Table4[],2,0))</f>
        <v>HC</v>
      </c>
      <c r="L692" s="32" t="s">
        <v>509</v>
      </c>
      <c r="M692" s="71">
        <v>45713.229062500002</v>
      </c>
      <c r="N692" s="71">
        <v>45715</v>
      </c>
      <c r="O692" s="71">
        <v>45715</v>
      </c>
      <c r="P692" s="70" t="str">
        <f ca="1">IF(Proc[[#This Row],[DaysAgeing]]&gt;5,"yep","on track")</f>
        <v>on track</v>
      </c>
      <c r="Q692" s="3">
        <f ca="1">IF(Proc[[#This Row],[DateClosed]]="",ABS(NETWORKDAYS(Proc[[#This Row],[DateOpened]],TODAY()))-1,ABS(NETWORKDAYS(Proc[[#This Row],[DateOpened]],Proc[[#This Row],[DateClosed]]))-1)</f>
        <v>2</v>
      </c>
      <c r="R692" s="70" t="s">
        <v>478</v>
      </c>
      <c r="S692" s="69"/>
    </row>
    <row r="693" spans="1:19" hidden="1">
      <c r="A693" s="68" t="s">
        <v>2096</v>
      </c>
      <c r="B693" s="149" t="str">
        <f>IFERROR(VLOOKUP(Proc[[#This Row],[App]],Table2[],3,0),"open")</f>
        <v>ok</v>
      </c>
      <c r="C693" s="68" t="s">
        <v>369</v>
      </c>
      <c r="D693" t="s">
        <v>2102</v>
      </c>
      <c r="E693" t="s">
        <v>2103</v>
      </c>
      <c r="F693" s="117" t="s">
        <v>2103</v>
      </c>
      <c r="G693" s="68" t="s">
        <v>400</v>
      </c>
      <c r="H693" s="69" t="str">
        <f>IF(Proc[[#This Row],[type]]="LFF (MDG-F)",MID(Proc[[#This Row],[Obj]],13,10),"")</f>
        <v/>
      </c>
      <c r="J693" s="69" t="b">
        <f>Proc[[#This Row],[Requested]]=Proc[[#This Row],[CurrentParent]]</f>
        <v>1</v>
      </c>
      <c r="K693" s="144" t="str">
        <f>IF(Proc[[#This Row],[Author]]="Marcela Urrego",VLOOKUP(LEFT(Proc[[#This Row],[Requested]],1),Table3[#All],2,0),VLOOKUP(Proc[[#This Row],[Author]],Table4[],2,0))</f>
        <v>HC</v>
      </c>
      <c r="L693" s="32" t="s">
        <v>509</v>
      </c>
      <c r="M693" s="71">
        <v>45713.229062500002</v>
      </c>
      <c r="N693" s="71">
        <v>45715</v>
      </c>
      <c r="O693" s="71">
        <v>45715</v>
      </c>
      <c r="P693" s="70" t="str">
        <f ca="1">IF(Proc[[#This Row],[DaysAgeing]]&gt;5,"yep","on track")</f>
        <v>on track</v>
      </c>
      <c r="Q693" s="3">
        <f ca="1">IF(Proc[[#This Row],[DateClosed]]="",ABS(NETWORKDAYS(Proc[[#This Row],[DateOpened]],TODAY()))-1,ABS(NETWORKDAYS(Proc[[#This Row],[DateOpened]],Proc[[#This Row],[DateClosed]]))-1)</f>
        <v>2</v>
      </c>
      <c r="R693" s="70" t="s">
        <v>478</v>
      </c>
      <c r="S693" s="69"/>
    </row>
    <row r="694" spans="1:19" hidden="1">
      <c r="A694" s="68" t="s">
        <v>2096</v>
      </c>
      <c r="B694" s="149" t="str">
        <f>IFERROR(VLOOKUP(Proc[[#This Row],[App]],Table2[],3,0),"open")</f>
        <v>ok</v>
      </c>
      <c r="C694" s="68" t="s">
        <v>369</v>
      </c>
      <c r="D694" t="s">
        <v>2104</v>
      </c>
      <c r="E694" t="s">
        <v>2105</v>
      </c>
      <c r="F694" s="117" t="s">
        <v>2105</v>
      </c>
      <c r="G694" s="68" t="s">
        <v>400</v>
      </c>
      <c r="H694" s="69" t="str">
        <f>IF(Proc[[#This Row],[type]]="LFF (MDG-F)",MID(Proc[[#This Row],[Obj]],13,10),"")</f>
        <v/>
      </c>
      <c r="J694" s="69" t="b">
        <f>Proc[[#This Row],[Requested]]=Proc[[#This Row],[CurrentParent]]</f>
        <v>1</v>
      </c>
      <c r="K694" s="144" t="str">
        <f>IF(Proc[[#This Row],[Author]]="Marcela Urrego",VLOOKUP(LEFT(Proc[[#This Row],[Requested]],1),Table3[#All],2,0),VLOOKUP(Proc[[#This Row],[Author]],Table4[],2,0))</f>
        <v>HC</v>
      </c>
      <c r="L694" s="32" t="s">
        <v>509</v>
      </c>
      <c r="M694" s="71">
        <v>45713.229062500002</v>
      </c>
      <c r="N694" s="71">
        <v>45715</v>
      </c>
      <c r="O694" s="71">
        <v>45715</v>
      </c>
      <c r="P694" s="70" t="str">
        <f ca="1">IF(Proc[[#This Row],[DaysAgeing]]&gt;5,"yep","on track")</f>
        <v>on track</v>
      </c>
      <c r="Q694" s="3">
        <f ca="1">IF(Proc[[#This Row],[DateClosed]]="",ABS(NETWORKDAYS(Proc[[#This Row],[DateOpened]],TODAY()))-1,ABS(NETWORKDAYS(Proc[[#This Row],[DateOpened]],Proc[[#This Row],[DateClosed]]))-1)</f>
        <v>2</v>
      </c>
      <c r="R694" s="70" t="s">
        <v>478</v>
      </c>
      <c r="S694" s="69"/>
    </row>
    <row r="695" spans="1:19" hidden="1">
      <c r="A695" s="68" t="s">
        <v>2096</v>
      </c>
      <c r="B695" s="149" t="str">
        <f>IFERROR(VLOOKUP(Proc[[#This Row],[App]],Table2[],3,0),"open")</f>
        <v>ok</v>
      </c>
      <c r="C695" s="68" t="s">
        <v>369</v>
      </c>
      <c r="D695" t="s">
        <v>2106</v>
      </c>
      <c r="E695" t="s">
        <v>2105</v>
      </c>
      <c r="F695" s="117" t="s">
        <v>2105</v>
      </c>
      <c r="G695" s="68" t="s">
        <v>400</v>
      </c>
      <c r="H695" s="69" t="str">
        <f>IF(Proc[[#This Row],[type]]="LFF (MDG-F)",MID(Proc[[#This Row],[Obj]],13,10),"")</f>
        <v/>
      </c>
      <c r="J695" s="69" t="b">
        <f>Proc[[#This Row],[Requested]]=Proc[[#This Row],[CurrentParent]]</f>
        <v>1</v>
      </c>
      <c r="K695" s="144" t="str">
        <f>IF(Proc[[#This Row],[Author]]="Marcela Urrego",VLOOKUP(LEFT(Proc[[#This Row],[Requested]],1),Table3[#All],2,0),VLOOKUP(Proc[[#This Row],[Author]],Table4[],2,0))</f>
        <v>HC</v>
      </c>
      <c r="L695" s="32" t="s">
        <v>509</v>
      </c>
      <c r="M695" s="71">
        <v>45713.229062500002</v>
      </c>
      <c r="N695" s="71">
        <v>45715</v>
      </c>
      <c r="O695" s="71">
        <v>45715</v>
      </c>
      <c r="P695" s="70" t="str">
        <f ca="1">IF(Proc[[#This Row],[DaysAgeing]]&gt;5,"yep","on track")</f>
        <v>on track</v>
      </c>
      <c r="Q695" s="3">
        <f ca="1">IF(Proc[[#This Row],[DateClosed]]="",ABS(NETWORKDAYS(Proc[[#This Row],[DateOpened]],TODAY()))-1,ABS(NETWORKDAYS(Proc[[#This Row],[DateOpened]],Proc[[#This Row],[DateClosed]]))-1)</f>
        <v>2</v>
      </c>
      <c r="R695" s="70" t="s">
        <v>478</v>
      </c>
      <c r="S695" s="69"/>
    </row>
    <row r="696" spans="1:19" hidden="1">
      <c r="A696" s="68" t="s">
        <v>2096</v>
      </c>
      <c r="B696" s="149" t="str">
        <f>IFERROR(VLOOKUP(Proc[[#This Row],[App]],Table2[],3,0),"open")</f>
        <v>ok</v>
      </c>
      <c r="C696" s="68" t="s">
        <v>369</v>
      </c>
      <c r="D696" t="s">
        <v>2107</v>
      </c>
      <c r="E696" t="s">
        <v>2103</v>
      </c>
      <c r="F696" s="117" t="s">
        <v>2103</v>
      </c>
      <c r="G696" s="68" t="s">
        <v>400</v>
      </c>
      <c r="H696" s="69" t="str">
        <f>IF(Proc[[#This Row],[type]]="LFF (MDG-F)",MID(Proc[[#This Row],[Obj]],13,10),"")</f>
        <v/>
      </c>
      <c r="J696" s="69" t="b">
        <f>Proc[[#This Row],[Requested]]=Proc[[#This Row],[CurrentParent]]</f>
        <v>1</v>
      </c>
      <c r="K696" s="144" t="str">
        <f>IF(Proc[[#This Row],[Author]]="Marcela Urrego",VLOOKUP(LEFT(Proc[[#This Row],[Requested]],1),Table3[#All],2,0),VLOOKUP(Proc[[#This Row],[Author]],Table4[],2,0))</f>
        <v>HC</v>
      </c>
      <c r="L696" s="32" t="s">
        <v>509</v>
      </c>
      <c r="M696" s="71">
        <v>45713.229062500002</v>
      </c>
      <c r="N696" s="71">
        <v>45715</v>
      </c>
      <c r="O696" s="71">
        <v>45715</v>
      </c>
      <c r="P696" s="70" t="str">
        <f ca="1">IF(Proc[[#This Row],[DaysAgeing]]&gt;5,"yep","on track")</f>
        <v>on track</v>
      </c>
      <c r="Q696" s="3">
        <f ca="1">IF(Proc[[#This Row],[DateClosed]]="",ABS(NETWORKDAYS(Proc[[#This Row],[DateOpened]],TODAY()))-1,ABS(NETWORKDAYS(Proc[[#This Row],[DateOpened]],Proc[[#This Row],[DateClosed]]))-1)</f>
        <v>2</v>
      </c>
      <c r="R696" s="70" t="s">
        <v>478</v>
      </c>
      <c r="S696" s="69"/>
    </row>
    <row r="697" spans="1:19" hidden="1">
      <c r="A697" s="68" t="s">
        <v>2096</v>
      </c>
      <c r="B697" s="149" t="str">
        <f>IFERROR(VLOOKUP(Proc[[#This Row],[App]],Table2[],3,0),"open")</f>
        <v>ok</v>
      </c>
      <c r="C697" s="68" t="s">
        <v>369</v>
      </c>
      <c r="D697" t="s">
        <v>2108</v>
      </c>
      <c r="E697" t="s">
        <v>2109</v>
      </c>
      <c r="F697" s="117" t="s">
        <v>2109</v>
      </c>
      <c r="G697" s="68" t="s">
        <v>400</v>
      </c>
      <c r="H697" s="69" t="str">
        <f>IF(Proc[[#This Row],[type]]="LFF (MDG-F)",MID(Proc[[#This Row],[Obj]],13,10),"")</f>
        <v/>
      </c>
      <c r="J697" s="69" t="b">
        <f>Proc[[#This Row],[Requested]]=Proc[[#This Row],[CurrentParent]]</f>
        <v>1</v>
      </c>
      <c r="K697" s="144" t="str">
        <f>IF(Proc[[#This Row],[Author]]="Marcela Urrego",VLOOKUP(LEFT(Proc[[#This Row],[Requested]],1),Table3[#All],2,0),VLOOKUP(Proc[[#This Row],[Author]],Table4[],2,0))</f>
        <v>HC</v>
      </c>
      <c r="L697" s="32" t="s">
        <v>509</v>
      </c>
      <c r="M697" s="71">
        <v>45713.229062500002</v>
      </c>
      <c r="N697" s="71">
        <v>45715</v>
      </c>
      <c r="O697" s="71">
        <v>45715</v>
      </c>
      <c r="P697" s="70" t="str">
        <f ca="1">IF(Proc[[#This Row],[DaysAgeing]]&gt;5,"yep","on track")</f>
        <v>on track</v>
      </c>
      <c r="Q697" s="3">
        <f ca="1">IF(Proc[[#This Row],[DateClosed]]="",ABS(NETWORKDAYS(Proc[[#This Row],[DateOpened]],TODAY()))-1,ABS(NETWORKDAYS(Proc[[#This Row],[DateOpened]],Proc[[#This Row],[DateClosed]]))-1)</f>
        <v>2</v>
      </c>
      <c r="R697" s="70" t="s">
        <v>478</v>
      </c>
      <c r="S697" s="69"/>
    </row>
    <row r="698" spans="1:19" hidden="1">
      <c r="A698" s="68" t="s">
        <v>2096</v>
      </c>
      <c r="B698" s="149" t="str">
        <f>IFERROR(VLOOKUP(Proc[[#This Row],[App]],Table2[],3,0),"open")</f>
        <v>ok</v>
      </c>
      <c r="C698" s="68" t="s">
        <v>369</v>
      </c>
      <c r="D698" t="s">
        <v>2110</v>
      </c>
      <c r="E698" t="s">
        <v>2109</v>
      </c>
      <c r="F698" s="117" t="s">
        <v>2109</v>
      </c>
      <c r="G698" s="68" t="s">
        <v>400</v>
      </c>
      <c r="H698" s="69" t="str">
        <f>IF(Proc[[#This Row],[type]]="LFF (MDG-F)",MID(Proc[[#This Row],[Obj]],13,10),"")</f>
        <v/>
      </c>
      <c r="J698" s="69" t="b">
        <f>Proc[[#This Row],[Requested]]=Proc[[#This Row],[CurrentParent]]</f>
        <v>1</v>
      </c>
      <c r="K698" s="144" t="str">
        <f>IF(Proc[[#This Row],[Author]]="Marcela Urrego",VLOOKUP(LEFT(Proc[[#This Row],[Requested]],1),Table3[#All],2,0),VLOOKUP(Proc[[#This Row],[Author]],Table4[],2,0))</f>
        <v>HC</v>
      </c>
      <c r="L698" s="32" t="s">
        <v>509</v>
      </c>
      <c r="M698" s="71">
        <v>45713.229062500002</v>
      </c>
      <c r="N698" s="71">
        <v>45715</v>
      </c>
      <c r="O698" s="71">
        <v>45715</v>
      </c>
      <c r="P698" s="70" t="str">
        <f ca="1">IF(Proc[[#This Row],[DaysAgeing]]&gt;5,"yep","on track")</f>
        <v>on track</v>
      </c>
      <c r="Q698" s="3">
        <f ca="1">IF(Proc[[#This Row],[DateClosed]]="",ABS(NETWORKDAYS(Proc[[#This Row],[DateOpened]],TODAY()))-1,ABS(NETWORKDAYS(Proc[[#This Row],[DateOpened]],Proc[[#This Row],[DateClosed]]))-1)</f>
        <v>2</v>
      </c>
      <c r="R698" s="70" t="s">
        <v>478</v>
      </c>
      <c r="S698" s="69"/>
    </row>
    <row r="699" spans="1:19" hidden="1">
      <c r="A699" s="68" t="s">
        <v>2096</v>
      </c>
      <c r="B699" s="149" t="str">
        <f>IFERROR(VLOOKUP(Proc[[#This Row],[App]],Table2[],3,0),"open")</f>
        <v>ok</v>
      </c>
      <c r="C699" s="68" t="s">
        <v>369</v>
      </c>
      <c r="D699" t="s">
        <v>2111</v>
      </c>
      <c r="E699" t="s">
        <v>2109</v>
      </c>
      <c r="F699" s="117" t="s">
        <v>2109</v>
      </c>
      <c r="G699" s="68" t="s">
        <v>400</v>
      </c>
      <c r="H699" s="69" t="str">
        <f>IF(Proc[[#This Row],[type]]="LFF (MDG-F)",MID(Proc[[#This Row],[Obj]],13,10),"")</f>
        <v/>
      </c>
      <c r="J699" s="69" t="b">
        <f>Proc[[#This Row],[Requested]]=Proc[[#This Row],[CurrentParent]]</f>
        <v>1</v>
      </c>
      <c r="K699" s="144" t="str">
        <f>IF(Proc[[#This Row],[Author]]="Marcela Urrego",VLOOKUP(LEFT(Proc[[#This Row],[Requested]],1),Table3[#All],2,0),VLOOKUP(Proc[[#This Row],[Author]],Table4[],2,0))</f>
        <v>HC</v>
      </c>
      <c r="L699" s="32" t="s">
        <v>509</v>
      </c>
      <c r="M699" s="71">
        <v>45713.229062500002</v>
      </c>
      <c r="N699" s="71">
        <v>45715</v>
      </c>
      <c r="O699" s="71">
        <v>45715</v>
      </c>
      <c r="P699" s="70" t="str">
        <f ca="1">IF(Proc[[#This Row],[DaysAgeing]]&gt;5,"yep","on track")</f>
        <v>on track</v>
      </c>
      <c r="Q699" s="3">
        <f ca="1">IF(Proc[[#This Row],[DateClosed]]="",ABS(NETWORKDAYS(Proc[[#This Row],[DateOpened]],TODAY()))-1,ABS(NETWORKDAYS(Proc[[#This Row],[DateOpened]],Proc[[#This Row],[DateClosed]]))-1)</f>
        <v>2</v>
      </c>
      <c r="R699" s="70" t="s">
        <v>478</v>
      </c>
      <c r="S699" s="69"/>
    </row>
    <row r="700" spans="1:19" hidden="1">
      <c r="A700" s="68" t="s">
        <v>2096</v>
      </c>
      <c r="B700" s="149" t="str">
        <f>IFERROR(VLOOKUP(Proc[[#This Row],[App]],Table2[],3,0),"open")</f>
        <v>ok</v>
      </c>
      <c r="C700" s="68" t="s">
        <v>369</v>
      </c>
      <c r="D700" t="s">
        <v>2112</v>
      </c>
      <c r="E700" t="s">
        <v>2109</v>
      </c>
      <c r="F700" s="117" t="s">
        <v>2109</v>
      </c>
      <c r="G700" s="68" t="s">
        <v>400</v>
      </c>
      <c r="H700" s="69" t="str">
        <f>IF(Proc[[#This Row],[type]]="LFF (MDG-F)",MID(Proc[[#This Row],[Obj]],13,10),"")</f>
        <v/>
      </c>
      <c r="J700" s="69" t="b">
        <f>Proc[[#This Row],[Requested]]=Proc[[#This Row],[CurrentParent]]</f>
        <v>1</v>
      </c>
      <c r="K700" s="144" t="str">
        <f>IF(Proc[[#This Row],[Author]]="Marcela Urrego",VLOOKUP(LEFT(Proc[[#This Row],[Requested]],1),Table3[#All],2,0),VLOOKUP(Proc[[#This Row],[Author]],Table4[],2,0))</f>
        <v>HC</v>
      </c>
      <c r="L700" s="32" t="s">
        <v>509</v>
      </c>
      <c r="M700" s="71">
        <v>45713.229062500002</v>
      </c>
      <c r="N700" s="71">
        <v>45715</v>
      </c>
      <c r="O700" s="71">
        <v>45715</v>
      </c>
      <c r="P700" s="70" t="str">
        <f ca="1">IF(Proc[[#This Row],[DaysAgeing]]&gt;5,"yep","on track")</f>
        <v>on track</v>
      </c>
      <c r="Q700" s="3">
        <f ca="1">IF(Proc[[#This Row],[DateClosed]]="",ABS(NETWORKDAYS(Proc[[#This Row],[DateOpened]],TODAY()))-1,ABS(NETWORKDAYS(Proc[[#This Row],[DateOpened]],Proc[[#This Row],[DateClosed]]))-1)</f>
        <v>2</v>
      </c>
      <c r="R700" s="70" t="s">
        <v>478</v>
      </c>
      <c r="S700" s="69"/>
    </row>
    <row r="701" spans="1:19" hidden="1">
      <c r="A701" s="68" t="s">
        <v>2096</v>
      </c>
      <c r="B701" s="149" t="str">
        <f>IFERROR(VLOOKUP(Proc[[#This Row],[App]],Table2[],3,0),"open")</f>
        <v>ok</v>
      </c>
      <c r="C701" s="68" t="s">
        <v>369</v>
      </c>
      <c r="D701" t="s">
        <v>2113</v>
      </c>
      <c r="E701" t="s">
        <v>2109</v>
      </c>
      <c r="F701" s="117" t="s">
        <v>2109</v>
      </c>
      <c r="G701" s="68" t="s">
        <v>400</v>
      </c>
      <c r="H701" s="69" t="str">
        <f>IF(Proc[[#This Row],[type]]="LFF (MDG-F)",MID(Proc[[#This Row],[Obj]],13,10),"")</f>
        <v/>
      </c>
      <c r="J701" s="69" t="b">
        <f>Proc[[#This Row],[Requested]]=Proc[[#This Row],[CurrentParent]]</f>
        <v>1</v>
      </c>
      <c r="K701" s="144" t="str">
        <f>IF(Proc[[#This Row],[Author]]="Marcela Urrego",VLOOKUP(LEFT(Proc[[#This Row],[Requested]],1),Table3[#All],2,0),VLOOKUP(Proc[[#This Row],[Author]],Table4[],2,0))</f>
        <v>HC</v>
      </c>
      <c r="L701" s="32" t="s">
        <v>509</v>
      </c>
      <c r="M701" s="71">
        <v>45713.229062500002</v>
      </c>
      <c r="N701" s="71">
        <v>45715</v>
      </c>
      <c r="O701" s="71">
        <v>45715</v>
      </c>
      <c r="P701" s="70" t="str">
        <f ca="1">IF(Proc[[#This Row],[DaysAgeing]]&gt;5,"yep","on track")</f>
        <v>on track</v>
      </c>
      <c r="Q701" s="3">
        <f ca="1">IF(Proc[[#This Row],[DateClosed]]="",ABS(NETWORKDAYS(Proc[[#This Row],[DateOpened]],TODAY()))-1,ABS(NETWORKDAYS(Proc[[#This Row],[DateOpened]],Proc[[#This Row],[DateClosed]]))-1)</f>
        <v>2</v>
      </c>
      <c r="R701" s="70" t="s">
        <v>478</v>
      </c>
      <c r="S701" s="69"/>
    </row>
    <row r="702" spans="1:19" hidden="1">
      <c r="A702" s="68" t="s">
        <v>2096</v>
      </c>
      <c r="B702" s="149" t="str">
        <f>IFERROR(VLOOKUP(Proc[[#This Row],[App]],Table2[],3,0),"open")</f>
        <v>ok</v>
      </c>
      <c r="C702" s="68" t="s">
        <v>369</v>
      </c>
      <c r="D702" t="s">
        <v>2114</v>
      </c>
      <c r="E702" t="s">
        <v>2109</v>
      </c>
      <c r="F702" s="117" t="s">
        <v>2109</v>
      </c>
      <c r="G702" s="68" t="s">
        <v>400</v>
      </c>
      <c r="H702" s="69" t="str">
        <f>IF(Proc[[#This Row],[type]]="LFF (MDG-F)",MID(Proc[[#This Row],[Obj]],13,10),"")</f>
        <v/>
      </c>
      <c r="J702" s="69" t="b">
        <f>Proc[[#This Row],[Requested]]=Proc[[#This Row],[CurrentParent]]</f>
        <v>1</v>
      </c>
      <c r="K702" s="144" t="str">
        <f>IF(Proc[[#This Row],[Author]]="Marcela Urrego",VLOOKUP(LEFT(Proc[[#This Row],[Requested]],1),Table3[#All],2,0),VLOOKUP(Proc[[#This Row],[Author]],Table4[],2,0))</f>
        <v>HC</v>
      </c>
      <c r="L702" s="32" t="s">
        <v>509</v>
      </c>
      <c r="M702" s="71">
        <v>45713.229062500002</v>
      </c>
      <c r="N702" s="71">
        <v>45715</v>
      </c>
      <c r="O702" s="71">
        <v>45715</v>
      </c>
      <c r="P702" s="70" t="str">
        <f ca="1">IF(Proc[[#This Row],[DaysAgeing]]&gt;5,"yep","on track")</f>
        <v>on track</v>
      </c>
      <c r="Q702" s="3">
        <f ca="1">IF(Proc[[#This Row],[DateClosed]]="",ABS(NETWORKDAYS(Proc[[#This Row],[DateOpened]],TODAY()))-1,ABS(NETWORKDAYS(Proc[[#This Row],[DateOpened]],Proc[[#This Row],[DateClosed]]))-1)</f>
        <v>2</v>
      </c>
      <c r="R702" s="70" t="s">
        <v>478</v>
      </c>
      <c r="S702" s="69"/>
    </row>
    <row r="703" spans="1:19" hidden="1">
      <c r="A703" s="68" t="s">
        <v>2096</v>
      </c>
      <c r="B703" s="149" t="str">
        <f>IFERROR(VLOOKUP(Proc[[#This Row],[App]],Table2[],3,0),"open")</f>
        <v>ok</v>
      </c>
      <c r="C703" s="68" t="s">
        <v>369</v>
      </c>
      <c r="D703" t="s">
        <v>2115</v>
      </c>
      <c r="E703" t="s">
        <v>2109</v>
      </c>
      <c r="F703" s="117" t="s">
        <v>2109</v>
      </c>
      <c r="G703" s="68" t="s">
        <v>400</v>
      </c>
      <c r="H703" s="69" t="str">
        <f>IF(Proc[[#This Row],[type]]="LFF (MDG-F)",MID(Proc[[#This Row],[Obj]],13,10),"")</f>
        <v/>
      </c>
      <c r="J703" s="69" t="b">
        <f>Proc[[#This Row],[Requested]]=Proc[[#This Row],[CurrentParent]]</f>
        <v>1</v>
      </c>
      <c r="K703" s="144" t="str">
        <f>IF(Proc[[#This Row],[Author]]="Marcela Urrego",VLOOKUP(LEFT(Proc[[#This Row],[Requested]],1),Table3[#All],2,0),VLOOKUP(Proc[[#This Row],[Author]],Table4[],2,0))</f>
        <v>HC</v>
      </c>
      <c r="L703" s="32" t="s">
        <v>509</v>
      </c>
      <c r="M703" s="71">
        <v>45713.229062500002</v>
      </c>
      <c r="N703" s="71">
        <v>45715</v>
      </c>
      <c r="O703" s="71">
        <v>45715</v>
      </c>
      <c r="P703" s="70" t="str">
        <f ca="1">IF(Proc[[#This Row],[DaysAgeing]]&gt;5,"yep","on track")</f>
        <v>on track</v>
      </c>
      <c r="Q703" s="3">
        <f ca="1">IF(Proc[[#This Row],[DateClosed]]="",ABS(NETWORKDAYS(Proc[[#This Row],[DateOpened]],TODAY()))-1,ABS(NETWORKDAYS(Proc[[#This Row],[DateOpened]],Proc[[#This Row],[DateClosed]]))-1)</f>
        <v>2</v>
      </c>
      <c r="R703" s="70" t="s">
        <v>478</v>
      </c>
      <c r="S703" s="69"/>
    </row>
    <row r="704" spans="1:19" hidden="1">
      <c r="A704" s="68" t="s">
        <v>2096</v>
      </c>
      <c r="B704" s="149" t="str">
        <f>IFERROR(VLOOKUP(Proc[[#This Row],[App]],Table2[],3,0),"open")</f>
        <v>ok</v>
      </c>
      <c r="C704" s="68" t="s">
        <v>369</v>
      </c>
      <c r="D704" t="s">
        <v>2116</v>
      </c>
      <c r="E704" t="s">
        <v>2117</v>
      </c>
      <c r="F704" s="117" t="s">
        <v>2117</v>
      </c>
      <c r="G704" s="68" t="s">
        <v>400</v>
      </c>
      <c r="H704" s="69" t="str">
        <f>IF(Proc[[#This Row],[type]]="LFF (MDG-F)",MID(Proc[[#This Row],[Obj]],13,10),"")</f>
        <v/>
      </c>
      <c r="J704" s="69" t="b">
        <f>Proc[[#This Row],[Requested]]=Proc[[#This Row],[CurrentParent]]</f>
        <v>1</v>
      </c>
      <c r="K704" s="144" t="str">
        <f>IF(Proc[[#This Row],[Author]]="Marcela Urrego",VLOOKUP(LEFT(Proc[[#This Row],[Requested]],1),Table3[#All],2,0),VLOOKUP(Proc[[#This Row],[Author]],Table4[],2,0))</f>
        <v>HC</v>
      </c>
      <c r="L704" s="32" t="s">
        <v>509</v>
      </c>
      <c r="M704" s="71">
        <v>45713.229062500002</v>
      </c>
      <c r="N704" s="71">
        <v>45715</v>
      </c>
      <c r="O704" s="71">
        <v>45715</v>
      </c>
      <c r="P704" s="70" t="str">
        <f ca="1">IF(Proc[[#This Row],[DaysAgeing]]&gt;5,"yep","on track")</f>
        <v>on track</v>
      </c>
      <c r="Q704" s="3">
        <f ca="1">IF(Proc[[#This Row],[DateClosed]]="",ABS(NETWORKDAYS(Proc[[#This Row],[DateOpened]],TODAY()))-1,ABS(NETWORKDAYS(Proc[[#This Row],[DateOpened]],Proc[[#This Row],[DateClosed]]))-1)</f>
        <v>2</v>
      </c>
      <c r="R704" s="70" t="s">
        <v>478</v>
      </c>
      <c r="S704" s="69"/>
    </row>
    <row r="705" spans="1:19" hidden="1">
      <c r="A705" s="68" t="s">
        <v>2096</v>
      </c>
      <c r="B705" s="149" t="str">
        <f>IFERROR(VLOOKUP(Proc[[#This Row],[App]],Table2[],3,0),"open")</f>
        <v>ok</v>
      </c>
      <c r="C705" s="68" t="s">
        <v>369</v>
      </c>
      <c r="D705" t="s">
        <v>2118</v>
      </c>
      <c r="E705" t="s">
        <v>2119</v>
      </c>
      <c r="F705" s="117" t="s">
        <v>2119</v>
      </c>
      <c r="G705" s="68" t="s">
        <v>400</v>
      </c>
      <c r="H705" s="69" t="str">
        <f>IF(Proc[[#This Row],[type]]="LFF (MDG-F)",MID(Proc[[#This Row],[Obj]],13,10),"")</f>
        <v/>
      </c>
      <c r="J705" s="69" t="b">
        <f>Proc[[#This Row],[Requested]]=Proc[[#This Row],[CurrentParent]]</f>
        <v>1</v>
      </c>
      <c r="K705" s="144" t="str">
        <f>IF(Proc[[#This Row],[Author]]="Marcela Urrego",VLOOKUP(LEFT(Proc[[#This Row],[Requested]],1),Table3[#All],2,0),VLOOKUP(Proc[[#This Row],[Author]],Table4[],2,0))</f>
        <v>HC</v>
      </c>
      <c r="L705" s="32" t="s">
        <v>509</v>
      </c>
      <c r="M705" s="71">
        <v>45713.229062500002</v>
      </c>
      <c r="N705" s="71">
        <v>45715</v>
      </c>
      <c r="O705" s="71">
        <v>45715</v>
      </c>
      <c r="P705" s="70" t="str">
        <f ca="1">IF(Proc[[#This Row],[DaysAgeing]]&gt;5,"yep","on track")</f>
        <v>on track</v>
      </c>
      <c r="Q705" s="3">
        <f ca="1">IF(Proc[[#This Row],[DateClosed]]="",ABS(NETWORKDAYS(Proc[[#This Row],[DateOpened]],TODAY()))-1,ABS(NETWORKDAYS(Proc[[#This Row],[DateOpened]],Proc[[#This Row],[DateClosed]]))-1)</f>
        <v>2</v>
      </c>
      <c r="R705" s="70" t="s">
        <v>478</v>
      </c>
      <c r="S705" s="69"/>
    </row>
    <row r="706" spans="1:19" hidden="1">
      <c r="A706" s="68" t="s">
        <v>2096</v>
      </c>
      <c r="B706" s="149" t="str">
        <f>IFERROR(VLOOKUP(Proc[[#This Row],[App]],Table2[],3,0),"open")</f>
        <v>ok</v>
      </c>
      <c r="C706" s="68" t="s">
        <v>369</v>
      </c>
      <c r="D706" t="s">
        <v>2120</v>
      </c>
      <c r="E706" t="s">
        <v>2121</v>
      </c>
      <c r="F706" s="117" t="s">
        <v>2121</v>
      </c>
      <c r="G706" s="68" t="s">
        <v>400</v>
      </c>
      <c r="H706" s="69" t="str">
        <f>IF(Proc[[#This Row],[type]]="LFF (MDG-F)",MID(Proc[[#This Row],[Obj]],13,10),"")</f>
        <v/>
      </c>
      <c r="J706" s="69" t="b">
        <f>Proc[[#This Row],[Requested]]=Proc[[#This Row],[CurrentParent]]</f>
        <v>1</v>
      </c>
      <c r="K706" s="144" t="str">
        <f>IF(Proc[[#This Row],[Author]]="Marcela Urrego",VLOOKUP(LEFT(Proc[[#This Row],[Requested]],1),Table3[#All],2,0),VLOOKUP(Proc[[#This Row],[Author]],Table4[],2,0))</f>
        <v>HC</v>
      </c>
      <c r="L706" s="32" t="s">
        <v>509</v>
      </c>
      <c r="M706" s="71">
        <v>45713.229062500002</v>
      </c>
      <c r="N706" s="71">
        <v>45715</v>
      </c>
      <c r="O706" s="71">
        <v>45715</v>
      </c>
      <c r="P706" s="70" t="str">
        <f ca="1">IF(Proc[[#This Row],[DaysAgeing]]&gt;5,"yep","on track")</f>
        <v>on track</v>
      </c>
      <c r="Q706" s="3">
        <f ca="1">IF(Proc[[#This Row],[DateClosed]]="",ABS(NETWORKDAYS(Proc[[#This Row],[DateOpened]],TODAY()))-1,ABS(NETWORKDAYS(Proc[[#This Row],[DateOpened]],Proc[[#This Row],[DateClosed]]))-1)</f>
        <v>2</v>
      </c>
      <c r="R706" s="70" t="s">
        <v>478</v>
      </c>
      <c r="S706" s="69"/>
    </row>
    <row r="707" spans="1:19" hidden="1">
      <c r="A707" s="68" t="s">
        <v>2096</v>
      </c>
      <c r="B707" s="149" t="str">
        <f>IFERROR(VLOOKUP(Proc[[#This Row],[App]],Table2[],3,0),"open")</f>
        <v>ok</v>
      </c>
      <c r="C707" s="68" t="s">
        <v>369</v>
      </c>
      <c r="D707" t="s">
        <v>2122</v>
      </c>
      <c r="E707" t="s">
        <v>2123</v>
      </c>
      <c r="F707" s="117" t="s">
        <v>2123</v>
      </c>
      <c r="G707" s="68" t="s">
        <v>400</v>
      </c>
      <c r="H707" s="69" t="str">
        <f>IF(Proc[[#This Row],[type]]="LFF (MDG-F)",MID(Proc[[#This Row],[Obj]],13,10),"")</f>
        <v/>
      </c>
      <c r="J707" s="69" t="b">
        <f>Proc[[#This Row],[Requested]]=Proc[[#This Row],[CurrentParent]]</f>
        <v>1</v>
      </c>
      <c r="K707" s="144" t="str">
        <f>IF(Proc[[#This Row],[Author]]="Marcela Urrego",VLOOKUP(LEFT(Proc[[#This Row],[Requested]],1),Table3[#All],2,0),VLOOKUP(Proc[[#This Row],[Author]],Table4[],2,0))</f>
        <v>HC</v>
      </c>
      <c r="L707" s="32" t="s">
        <v>509</v>
      </c>
      <c r="M707" s="71">
        <v>45713.229062500002</v>
      </c>
      <c r="N707" s="71">
        <v>45715</v>
      </c>
      <c r="O707" s="71">
        <v>45715</v>
      </c>
      <c r="P707" s="70" t="str">
        <f ca="1">IF(Proc[[#This Row],[DaysAgeing]]&gt;5,"yep","on track")</f>
        <v>on track</v>
      </c>
      <c r="Q707" s="3">
        <f ca="1">IF(Proc[[#This Row],[DateClosed]]="",ABS(NETWORKDAYS(Proc[[#This Row],[DateOpened]],TODAY()))-1,ABS(NETWORKDAYS(Proc[[#This Row],[DateOpened]],Proc[[#This Row],[DateClosed]]))-1)</f>
        <v>2</v>
      </c>
      <c r="R707" s="70" t="s">
        <v>478</v>
      </c>
      <c r="S707" s="69"/>
    </row>
    <row r="708" spans="1:19" hidden="1">
      <c r="A708" s="68" t="s">
        <v>2096</v>
      </c>
      <c r="B708" s="149" t="str">
        <f>IFERROR(VLOOKUP(Proc[[#This Row],[App]],Table2[],3,0),"open")</f>
        <v>ok</v>
      </c>
      <c r="C708" s="68" t="s">
        <v>369</v>
      </c>
      <c r="D708" t="s">
        <v>2124</v>
      </c>
      <c r="E708" t="s">
        <v>2123</v>
      </c>
      <c r="F708" s="117" t="s">
        <v>2123</v>
      </c>
      <c r="G708" s="68" t="s">
        <v>400</v>
      </c>
      <c r="H708" s="69" t="str">
        <f>IF(Proc[[#This Row],[type]]="LFF (MDG-F)",MID(Proc[[#This Row],[Obj]],13,10),"")</f>
        <v/>
      </c>
      <c r="J708" s="69" t="b">
        <f>Proc[[#This Row],[Requested]]=Proc[[#This Row],[CurrentParent]]</f>
        <v>1</v>
      </c>
      <c r="K708" s="144" t="str">
        <f>IF(Proc[[#This Row],[Author]]="Marcela Urrego",VLOOKUP(LEFT(Proc[[#This Row],[Requested]],1),Table3[#All],2,0),VLOOKUP(Proc[[#This Row],[Author]],Table4[],2,0))</f>
        <v>HC</v>
      </c>
      <c r="L708" s="32" t="s">
        <v>509</v>
      </c>
      <c r="M708" s="71">
        <v>45713.229062500002</v>
      </c>
      <c r="N708" s="71">
        <v>45715</v>
      </c>
      <c r="O708" s="71">
        <v>45715</v>
      </c>
      <c r="P708" s="70" t="str">
        <f ca="1">IF(Proc[[#This Row],[DaysAgeing]]&gt;5,"yep","on track")</f>
        <v>on track</v>
      </c>
      <c r="Q708" s="3">
        <f ca="1">IF(Proc[[#This Row],[DateClosed]]="",ABS(NETWORKDAYS(Proc[[#This Row],[DateOpened]],TODAY()))-1,ABS(NETWORKDAYS(Proc[[#This Row],[DateOpened]],Proc[[#This Row],[DateClosed]]))-1)</f>
        <v>2</v>
      </c>
      <c r="R708" s="70" t="s">
        <v>478</v>
      </c>
      <c r="S708" s="69"/>
    </row>
    <row r="709" spans="1:19" hidden="1">
      <c r="A709" s="68" t="s">
        <v>2096</v>
      </c>
      <c r="B709" s="149" t="str">
        <f>IFERROR(VLOOKUP(Proc[[#This Row],[App]],Table2[],3,0),"open")</f>
        <v>ok</v>
      </c>
      <c r="C709" s="68" t="s">
        <v>369</v>
      </c>
      <c r="D709" t="s">
        <v>2125</v>
      </c>
      <c r="E709" t="s">
        <v>2119</v>
      </c>
      <c r="F709" s="117" t="s">
        <v>2119</v>
      </c>
      <c r="G709" s="68" t="s">
        <v>400</v>
      </c>
      <c r="H709" s="69" t="str">
        <f>IF(Proc[[#This Row],[type]]="LFF (MDG-F)",MID(Proc[[#This Row],[Obj]],13,10),"")</f>
        <v/>
      </c>
      <c r="J709" s="69" t="b">
        <f>Proc[[#This Row],[Requested]]=Proc[[#This Row],[CurrentParent]]</f>
        <v>1</v>
      </c>
      <c r="K709" s="144" t="str">
        <f>IF(Proc[[#This Row],[Author]]="Marcela Urrego",VLOOKUP(LEFT(Proc[[#This Row],[Requested]],1),Table3[#All],2,0),VLOOKUP(Proc[[#This Row],[Author]],Table4[],2,0))</f>
        <v>HC</v>
      </c>
      <c r="L709" s="32" t="s">
        <v>509</v>
      </c>
      <c r="M709" s="71">
        <v>45713.229062500002</v>
      </c>
      <c r="N709" s="71">
        <v>45715</v>
      </c>
      <c r="O709" s="71">
        <v>45715</v>
      </c>
      <c r="P709" s="70" t="str">
        <f ca="1">IF(Proc[[#This Row],[DaysAgeing]]&gt;5,"yep","on track")</f>
        <v>on track</v>
      </c>
      <c r="Q709" s="3">
        <f ca="1">IF(Proc[[#This Row],[DateClosed]]="",ABS(NETWORKDAYS(Proc[[#This Row],[DateOpened]],TODAY()))-1,ABS(NETWORKDAYS(Proc[[#This Row],[DateOpened]],Proc[[#This Row],[DateClosed]]))-1)</f>
        <v>2</v>
      </c>
      <c r="R709" s="70" t="s">
        <v>478</v>
      </c>
      <c r="S709" s="69"/>
    </row>
    <row r="710" spans="1:19" hidden="1">
      <c r="A710" s="68" t="s">
        <v>2096</v>
      </c>
      <c r="B710" s="149" t="str">
        <f>IFERROR(VLOOKUP(Proc[[#This Row],[App]],Table2[],3,0),"open")</f>
        <v>ok</v>
      </c>
      <c r="C710" s="68" t="s">
        <v>369</v>
      </c>
      <c r="D710" t="s">
        <v>2126</v>
      </c>
      <c r="E710" t="s">
        <v>2119</v>
      </c>
      <c r="F710" s="117" t="s">
        <v>2119</v>
      </c>
      <c r="G710" s="68" t="s">
        <v>400</v>
      </c>
      <c r="H710" s="69" t="str">
        <f>IF(Proc[[#This Row],[type]]="LFF (MDG-F)",MID(Proc[[#This Row],[Obj]],13,10),"")</f>
        <v/>
      </c>
      <c r="J710" s="69" t="b">
        <f>Proc[[#This Row],[Requested]]=Proc[[#This Row],[CurrentParent]]</f>
        <v>1</v>
      </c>
      <c r="K710" s="144" t="str">
        <f>IF(Proc[[#This Row],[Author]]="Marcela Urrego",VLOOKUP(LEFT(Proc[[#This Row],[Requested]],1),Table3[#All],2,0),VLOOKUP(Proc[[#This Row],[Author]],Table4[],2,0))</f>
        <v>HC</v>
      </c>
      <c r="L710" s="32" t="s">
        <v>509</v>
      </c>
      <c r="M710" s="71">
        <v>45713.229062500002</v>
      </c>
      <c r="N710" s="71">
        <v>45715</v>
      </c>
      <c r="O710" s="71">
        <v>45715</v>
      </c>
      <c r="P710" s="70" t="str">
        <f ca="1">IF(Proc[[#This Row],[DaysAgeing]]&gt;5,"yep","on track")</f>
        <v>on track</v>
      </c>
      <c r="Q710" s="3">
        <f ca="1">IF(Proc[[#This Row],[DateClosed]]="",ABS(NETWORKDAYS(Proc[[#This Row],[DateOpened]],TODAY()))-1,ABS(NETWORKDAYS(Proc[[#This Row],[DateOpened]],Proc[[#This Row],[DateClosed]]))-1)</f>
        <v>2</v>
      </c>
      <c r="R710" s="70" t="s">
        <v>478</v>
      </c>
      <c r="S710" s="69"/>
    </row>
    <row r="711" spans="1:19" hidden="1">
      <c r="A711" s="68" t="s">
        <v>2096</v>
      </c>
      <c r="B711" s="149" t="str">
        <f>IFERROR(VLOOKUP(Proc[[#This Row],[App]],Table2[],3,0),"open")</f>
        <v>ok</v>
      </c>
      <c r="C711" s="68" t="s">
        <v>369</v>
      </c>
      <c r="D711" t="s">
        <v>2127</v>
      </c>
      <c r="E711" t="s">
        <v>2119</v>
      </c>
      <c r="F711" s="117" t="s">
        <v>2119</v>
      </c>
      <c r="G711" s="68" t="s">
        <v>400</v>
      </c>
      <c r="H711" s="69" t="str">
        <f>IF(Proc[[#This Row],[type]]="LFF (MDG-F)",MID(Proc[[#This Row],[Obj]],13,10),"")</f>
        <v/>
      </c>
      <c r="J711" s="69" t="b">
        <f>Proc[[#This Row],[Requested]]=Proc[[#This Row],[CurrentParent]]</f>
        <v>1</v>
      </c>
      <c r="K711" s="144" t="str">
        <f>IF(Proc[[#This Row],[Author]]="Marcela Urrego",VLOOKUP(LEFT(Proc[[#This Row],[Requested]],1),Table3[#All],2,0),VLOOKUP(Proc[[#This Row],[Author]],Table4[],2,0))</f>
        <v>HC</v>
      </c>
      <c r="L711" s="32" t="s">
        <v>509</v>
      </c>
      <c r="M711" s="71">
        <v>45713.229062500002</v>
      </c>
      <c r="N711" s="71">
        <v>45715</v>
      </c>
      <c r="O711" s="71">
        <v>45715</v>
      </c>
      <c r="P711" s="70" t="str">
        <f ca="1">IF(Proc[[#This Row],[DaysAgeing]]&gt;5,"yep","on track")</f>
        <v>on track</v>
      </c>
      <c r="Q711" s="3">
        <f ca="1">IF(Proc[[#This Row],[DateClosed]]="",ABS(NETWORKDAYS(Proc[[#This Row],[DateOpened]],TODAY()))-1,ABS(NETWORKDAYS(Proc[[#This Row],[DateOpened]],Proc[[#This Row],[DateClosed]]))-1)</f>
        <v>2</v>
      </c>
      <c r="R711" s="70" t="s">
        <v>478</v>
      </c>
      <c r="S711" s="69"/>
    </row>
    <row r="712" spans="1:19" hidden="1">
      <c r="A712" s="68" t="s">
        <v>2096</v>
      </c>
      <c r="B712" s="149" t="str">
        <f>IFERROR(VLOOKUP(Proc[[#This Row],[App]],Table2[],3,0),"open")</f>
        <v>ok</v>
      </c>
      <c r="C712" s="68" t="s">
        <v>369</v>
      </c>
      <c r="D712" t="s">
        <v>2128</v>
      </c>
      <c r="E712" t="s">
        <v>2103</v>
      </c>
      <c r="F712" s="117" t="s">
        <v>2103</v>
      </c>
      <c r="G712" s="68" t="s">
        <v>400</v>
      </c>
      <c r="H712" s="69" t="str">
        <f>IF(Proc[[#This Row],[type]]="LFF (MDG-F)",MID(Proc[[#This Row],[Obj]],13,10),"")</f>
        <v/>
      </c>
      <c r="J712" s="69" t="b">
        <f>Proc[[#This Row],[Requested]]=Proc[[#This Row],[CurrentParent]]</f>
        <v>1</v>
      </c>
      <c r="K712" s="144" t="str">
        <f>IF(Proc[[#This Row],[Author]]="Marcela Urrego",VLOOKUP(LEFT(Proc[[#This Row],[Requested]],1),Table3[#All],2,0),VLOOKUP(Proc[[#This Row],[Author]],Table4[],2,0))</f>
        <v>HC</v>
      </c>
      <c r="L712" s="32" t="s">
        <v>509</v>
      </c>
      <c r="M712" s="71">
        <v>45713.229062500002</v>
      </c>
      <c r="N712" s="71">
        <v>45715</v>
      </c>
      <c r="O712" s="71">
        <v>45715</v>
      </c>
      <c r="P712" s="70" t="str">
        <f ca="1">IF(Proc[[#This Row],[DaysAgeing]]&gt;5,"yep","on track")</f>
        <v>on track</v>
      </c>
      <c r="Q712" s="3">
        <f ca="1">IF(Proc[[#This Row],[DateClosed]]="",ABS(NETWORKDAYS(Proc[[#This Row],[DateOpened]],TODAY()))-1,ABS(NETWORKDAYS(Proc[[#This Row],[DateOpened]],Proc[[#This Row],[DateClosed]]))-1)</f>
        <v>2</v>
      </c>
      <c r="R712" s="70" t="s">
        <v>478</v>
      </c>
      <c r="S712" s="69"/>
    </row>
    <row r="713" spans="1:19" hidden="1">
      <c r="A713" s="68" t="s">
        <v>2096</v>
      </c>
      <c r="B713" s="149" t="str">
        <f>IFERROR(VLOOKUP(Proc[[#This Row],[App]],Table2[],3,0),"open")</f>
        <v>ok</v>
      </c>
      <c r="C713" s="68" t="s">
        <v>369</v>
      </c>
      <c r="D713" t="s">
        <v>2129</v>
      </c>
      <c r="E713" t="s">
        <v>2130</v>
      </c>
      <c r="F713" s="117" t="s">
        <v>2130</v>
      </c>
      <c r="G713" s="68" t="s">
        <v>400</v>
      </c>
      <c r="H713" s="69" t="str">
        <f>IF(Proc[[#This Row],[type]]="LFF (MDG-F)",MID(Proc[[#This Row],[Obj]],13,10),"")</f>
        <v/>
      </c>
      <c r="J713" s="69" t="b">
        <f>Proc[[#This Row],[Requested]]=Proc[[#This Row],[CurrentParent]]</f>
        <v>1</v>
      </c>
      <c r="K713" s="144" t="str">
        <f>IF(Proc[[#This Row],[Author]]="Marcela Urrego",VLOOKUP(LEFT(Proc[[#This Row],[Requested]],1),Table3[#All],2,0),VLOOKUP(Proc[[#This Row],[Author]],Table4[],2,0))</f>
        <v>HC</v>
      </c>
      <c r="L713" s="32" t="s">
        <v>509</v>
      </c>
      <c r="M713" s="71">
        <v>45713.229062500002</v>
      </c>
      <c r="N713" s="71">
        <v>45715</v>
      </c>
      <c r="O713" s="71">
        <v>45715</v>
      </c>
      <c r="P713" s="70" t="str">
        <f ca="1">IF(Proc[[#This Row],[DaysAgeing]]&gt;5,"yep","on track")</f>
        <v>on track</v>
      </c>
      <c r="Q713" s="3">
        <f ca="1">IF(Proc[[#This Row],[DateClosed]]="",ABS(NETWORKDAYS(Proc[[#This Row],[DateOpened]],TODAY()))-1,ABS(NETWORKDAYS(Proc[[#This Row],[DateOpened]],Proc[[#This Row],[DateClosed]]))-1)</f>
        <v>2</v>
      </c>
      <c r="R713" s="70" t="s">
        <v>478</v>
      </c>
      <c r="S713" s="69"/>
    </row>
    <row r="714" spans="1:19" hidden="1">
      <c r="A714" s="68" t="s">
        <v>2096</v>
      </c>
      <c r="B714" s="149" t="str">
        <f>IFERROR(VLOOKUP(Proc[[#This Row],[App]],Table2[],3,0),"open")</f>
        <v>ok</v>
      </c>
      <c r="C714" s="68" t="s">
        <v>369</v>
      </c>
      <c r="D714" t="s">
        <v>2131</v>
      </c>
      <c r="E714" t="s">
        <v>2132</v>
      </c>
      <c r="F714" s="117" t="s">
        <v>2132</v>
      </c>
      <c r="G714" s="68" t="s">
        <v>400</v>
      </c>
      <c r="H714" s="69" t="str">
        <f>IF(Proc[[#This Row],[type]]="LFF (MDG-F)",MID(Proc[[#This Row],[Obj]],13,10),"")</f>
        <v/>
      </c>
      <c r="J714" s="69" t="b">
        <f>Proc[[#This Row],[Requested]]=Proc[[#This Row],[CurrentParent]]</f>
        <v>1</v>
      </c>
      <c r="K714" s="144" t="str">
        <f>IF(Proc[[#This Row],[Author]]="Marcela Urrego",VLOOKUP(LEFT(Proc[[#This Row],[Requested]],1),Table3[#All],2,0),VLOOKUP(Proc[[#This Row],[Author]],Table4[],2,0))</f>
        <v>HC</v>
      </c>
      <c r="L714" s="32" t="s">
        <v>509</v>
      </c>
      <c r="M714" s="71">
        <v>45713.229062500002</v>
      </c>
      <c r="N714" s="71">
        <v>45715</v>
      </c>
      <c r="O714" s="71">
        <v>45715</v>
      </c>
      <c r="P714" s="70" t="str">
        <f ca="1">IF(Proc[[#This Row],[DaysAgeing]]&gt;5,"yep","on track")</f>
        <v>on track</v>
      </c>
      <c r="Q714" s="3">
        <f ca="1">IF(Proc[[#This Row],[DateClosed]]="",ABS(NETWORKDAYS(Proc[[#This Row],[DateOpened]],TODAY()))-1,ABS(NETWORKDAYS(Proc[[#This Row],[DateOpened]],Proc[[#This Row],[DateClosed]]))-1)</f>
        <v>2</v>
      </c>
      <c r="R714" s="70" t="s">
        <v>478</v>
      </c>
      <c r="S714" s="69"/>
    </row>
    <row r="715" spans="1:19" hidden="1">
      <c r="A715" s="68" t="s">
        <v>2096</v>
      </c>
      <c r="B715" s="149" t="str">
        <f>IFERROR(VLOOKUP(Proc[[#This Row],[App]],Table2[],3,0),"open")</f>
        <v>ok</v>
      </c>
      <c r="C715" s="68" t="s">
        <v>369</v>
      </c>
      <c r="D715" t="s">
        <v>2133</v>
      </c>
      <c r="E715" t="s">
        <v>2132</v>
      </c>
      <c r="F715" s="117" t="s">
        <v>2132</v>
      </c>
      <c r="G715" s="68" t="s">
        <v>400</v>
      </c>
      <c r="H715" s="69" t="str">
        <f>IF(Proc[[#This Row],[type]]="LFF (MDG-F)",MID(Proc[[#This Row],[Obj]],13,10),"")</f>
        <v/>
      </c>
      <c r="J715" s="69" t="b">
        <f>Proc[[#This Row],[Requested]]=Proc[[#This Row],[CurrentParent]]</f>
        <v>1</v>
      </c>
      <c r="K715" s="144" t="str">
        <f>IF(Proc[[#This Row],[Author]]="Marcela Urrego",VLOOKUP(LEFT(Proc[[#This Row],[Requested]],1),Table3[#All],2,0),VLOOKUP(Proc[[#This Row],[Author]],Table4[],2,0))</f>
        <v>HC</v>
      </c>
      <c r="L715" s="32" t="s">
        <v>509</v>
      </c>
      <c r="M715" s="71">
        <v>45713.229062500002</v>
      </c>
      <c r="N715" s="71">
        <v>45715</v>
      </c>
      <c r="O715" s="71">
        <v>45715</v>
      </c>
      <c r="P715" s="70" t="str">
        <f ca="1">IF(Proc[[#This Row],[DaysAgeing]]&gt;5,"yep","on track")</f>
        <v>on track</v>
      </c>
      <c r="Q715" s="3">
        <f ca="1">IF(Proc[[#This Row],[DateClosed]]="",ABS(NETWORKDAYS(Proc[[#This Row],[DateOpened]],TODAY()))-1,ABS(NETWORKDAYS(Proc[[#This Row],[DateOpened]],Proc[[#This Row],[DateClosed]]))-1)</f>
        <v>2</v>
      </c>
      <c r="R715" s="70" t="s">
        <v>478</v>
      </c>
      <c r="S715" s="69"/>
    </row>
    <row r="716" spans="1:19" hidden="1">
      <c r="A716" s="68" t="s">
        <v>2096</v>
      </c>
      <c r="B716" s="149" t="str">
        <f>IFERROR(VLOOKUP(Proc[[#This Row],[App]],Table2[],3,0),"open")</f>
        <v>ok</v>
      </c>
      <c r="C716" s="68" t="s">
        <v>369</v>
      </c>
      <c r="D716" t="s">
        <v>2134</v>
      </c>
      <c r="E716" t="s">
        <v>2132</v>
      </c>
      <c r="F716" s="117" t="s">
        <v>2132</v>
      </c>
      <c r="G716" s="68" t="s">
        <v>400</v>
      </c>
      <c r="H716" s="69" t="str">
        <f>IF(Proc[[#This Row],[type]]="LFF (MDG-F)",MID(Proc[[#This Row],[Obj]],13,10),"")</f>
        <v/>
      </c>
      <c r="J716" s="69" t="b">
        <f>Proc[[#This Row],[Requested]]=Proc[[#This Row],[CurrentParent]]</f>
        <v>1</v>
      </c>
      <c r="K716" s="144" t="str">
        <f>IF(Proc[[#This Row],[Author]]="Marcela Urrego",VLOOKUP(LEFT(Proc[[#This Row],[Requested]],1),Table3[#All],2,0),VLOOKUP(Proc[[#This Row],[Author]],Table4[],2,0))</f>
        <v>HC</v>
      </c>
      <c r="L716" s="32" t="s">
        <v>509</v>
      </c>
      <c r="M716" s="71">
        <v>45713.229062500002</v>
      </c>
      <c r="N716" s="71">
        <v>45715</v>
      </c>
      <c r="O716" s="71">
        <v>45715</v>
      </c>
      <c r="P716" s="70" t="str">
        <f ca="1">IF(Proc[[#This Row],[DaysAgeing]]&gt;5,"yep","on track")</f>
        <v>on track</v>
      </c>
      <c r="Q716" s="3">
        <f ca="1">IF(Proc[[#This Row],[DateClosed]]="",ABS(NETWORKDAYS(Proc[[#This Row],[DateOpened]],TODAY()))-1,ABS(NETWORKDAYS(Proc[[#This Row],[DateOpened]],Proc[[#This Row],[DateClosed]]))-1)</f>
        <v>2</v>
      </c>
      <c r="R716" s="70" t="s">
        <v>478</v>
      </c>
      <c r="S716" s="69"/>
    </row>
    <row r="717" spans="1:19" hidden="1">
      <c r="A717" s="68" t="s">
        <v>2096</v>
      </c>
      <c r="B717" s="149" t="str">
        <f>IFERROR(VLOOKUP(Proc[[#This Row],[App]],Table2[],3,0),"open")</f>
        <v>ok</v>
      </c>
      <c r="C717" s="68" t="s">
        <v>369</v>
      </c>
      <c r="D717" t="s">
        <v>2135</v>
      </c>
      <c r="E717" t="s">
        <v>2132</v>
      </c>
      <c r="F717" s="117" t="s">
        <v>2132</v>
      </c>
      <c r="G717" s="68" t="s">
        <v>400</v>
      </c>
      <c r="H717" s="69" t="str">
        <f>IF(Proc[[#This Row],[type]]="LFF (MDG-F)",MID(Proc[[#This Row],[Obj]],13,10),"")</f>
        <v/>
      </c>
      <c r="J717" s="69" t="b">
        <f>Proc[[#This Row],[Requested]]=Proc[[#This Row],[CurrentParent]]</f>
        <v>1</v>
      </c>
      <c r="K717" s="144" t="str">
        <f>IF(Proc[[#This Row],[Author]]="Marcela Urrego",VLOOKUP(LEFT(Proc[[#This Row],[Requested]],1),Table3[#All],2,0),VLOOKUP(Proc[[#This Row],[Author]],Table4[],2,0))</f>
        <v>HC</v>
      </c>
      <c r="L717" s="32" t="s">
        <v>509</v>
      </c>
      <c r="M717" s="71">
        <v>45713.229062500002</v>
      </c>
      <c r="N717" s="71">
        <v>45715</v>
      </c>
      <c r="O717" s="71">
        <v>45715</v>
      </c>
      <c r="P717" s="70" t="str">
        <f ca="1">IF(Proc[[#This Row],[DaysAgeing]]&gt;5,"yep","on track")</f>
        <v>on track</v>
      </c>
      <c r="Q717" s="3">
        <f ca="1">IF(Proc[[#This Row],[DateClosed]]="",ABS(NETWORKDAYS(Proc[[#This Row],[DateOpened]],TODAY()))-1,ABS(NETWORKDAYS(Proc[[#This Row],[DateOpened]],Proc[[#This Row],[DateClosed]]))-1)</f>
        <v>2</v>
      </c>
      <c r="R717" s="70" t="s">
        <v>478</v>
      </c>
      <c r="S717" s="69"/>
    </row>
    <row r="718" spans="1:19" hidden="1">
      <c r="A718" s="68" t="s">
        <v>2096</v>
      </c>
      <c r="B718" s="149" t="str">
        <f>IFERROR(VLOOKUP(Proc[[#This Row],[App]],Table2[],3,0),"open")</f>
        <v>ok</v>
      </c>
      <c r="C718" s="68" t="s">
        <v>369</v>
      </c>
      <c r="D718" t="s">
        <v>2136</v>
      </c>
      <c r="E718" t="s">
        <v>2132</v>
      </c>
      <c r="F718" s="117" t="s">
        <v>2132</v>
      </c>
      <c r="G718" s="68" t="s">
        <v>400</v>
      </c>
      <c r="H718" s="69" t="str">
        <f>IF(Proc[[#This Row],[type]]="LFF (MDG-F)",MID(Proc[[#This Row],[Obj]],13,10),"")</f>
        <v/>
      </c>
      <c r="J718" s="69" t="b">
        <f>Proc[[#This Row],[Requested]]=Proc[[#This Row],[CurrentParent]]</f>
        <v>1</v>
      </c>
      <c r="K718" s="144" t="str">
        <f>IF(Proc[[#This Row],[Author]]="Marcela Urrego",VLOOKUP(LEFT(Proc[[#This Row],[Requested]],1),Table3[#All],2,0),VLOOKUP(Proc[[#This Row],[Author]],Table4[],2,0))</f>
        <v>HC</v>
      </c>
      <c r="L718" s="32" t="s">
        <v>509</v>
      </c>
      <c r="M718" s="71">
        <v>45713.229062500002</v>
      </c>
      <c r="N718" s="71">
        <v>45715</v>
      </c>
      <c r="O718" s="71">
        <v>45715</v>
      </c>
      <c r="P718" s="70" t="str">
        <f ca="1">IF(Proc[[#This Row],[DaysAgeing]]&gt;5,"yep","on track")</f>
        <v>on track</v>
      </c>
      <c r="Q718" s="3">
        <f ca="1">IF(Proc[[#This Row],[DateClosed]]="",ABS(NETWORKDAYS(Proc[[#This Row],[DateOpened]],TODAY()))-1,ABS(NETWORKDAYS(Proc[[#This Row],[DateOpened]],Proc[[#This Row],[DateClosed]]))-1)</f>
        <v>2</v>
      </c>
      <c r="R718" s="70" t="s">
        <v>478</v>
      </c>
      <c r="S718" s="69"/>
    </row>
    <row r="719" spans="1:19" hidden="1">
      <c r="A719" s="68" t="s">
        <v>2096</v>
      </c>
      <c r="B719" s="149" t="str">
        <f>IFERROR(VLOOKUP(Proc[[#This Row],[App]],Table2[],3,0),"open")</f>
        <v>ok</v>
      </c>
      <c r="C719" s="68" t="s">
        <v>369</v>
      </c>
      <c r="D719" t="s">
        <v>2137</v>
      </c>
      <c r="E719" t="s">
        <v>2132</v>
      </c>
      <c r="F719" s="117" t="s">
        <v>2132</v>
      </c>
      <c r="G719" s="68" t="s">
        <v>400</v>
      </c>
      <c r="H719" s="69" t="str">
        <f>IF(Proc[[#This Row],[type]]="LFF (MDG-F)",MID(Proc[[#This Row],[Obj]],13,10),"")</f>
        <v/>
      </c>
      <c r="J719" s="69" t="b">
        <f>Proc[[#This Row],[Requested]]=Proc[[#This Row],[CurrentParent]]</f>
        <v>1</v>
      </c>
      <c r="K719" s="144" t="str">
        <f>IF(Proc[[#This Row],[Author]]="Marcela Urrego",VLOOKUP(LEFT(Proc[[#This Row],[Requested]],1),Table3[#All],2,0),VLOOKUP(Proc[[#This Row],[Author]],Table4[],2,0))</f>
        <v>HC</v>
      </c>
      <c r="L719" s="32" t="s">
        <v>509</v>
      </c>
      <c r="M719" s="71">
        <v>45713.229062500002</v>
      </c>
      <c r="N719" s="71">
        <v>45715</v>
      </c>
      <c r="O719" s="71">
        <v>45715</v>
      </c>
      <c r="P719" s="70" t="str">
        <f ca="1">IF(Proc[[#This Row],[DaysAgeing]]&gt;5,"yep","on track")</f>
        <v>on track</v>
      </c>
      <c r="Q719" s="3">
        <f ca="1">IF(Proc[[#This Row],[DateClosed]]="",ABS(NETWORKDAYS(Proc[[#This Row],[DateOpened]],TODAY()))-1,ABS(NETWORKDAYS(Proc[[#This Row],[DateOpened]],Proc[[#This Row],[DateClosed]]))-1)</f>
        <v>2</v>
      </c>
      <c r="R719" s="70" t="s">
        <v>478</v>
      </c>
      <c r="S719" s="69"/>
    </row>
    <row r="720" spans="1:19" hidden="1">
      <c r="A720" s="68" t="s">
        <v>2096</v>
      </c>
      <c r="B720" s="149" t="str">
        <f>IFERROR(VLOOKUP(Proc[[#This Row],[App]],Table2[],3,0),"open")</f>
        <v>ok</v>
      </c>
      <c r="C720" s="68" t="s">
        <v>369</v>
      </c>
      <c r="D720" t="s">
        <v>2138</v>
      </c>
      <c r="E720" t="s">
        <v>2139</v>
      </c>
      <c r="F720" s="117" t="s">
        <v>2139</v>
      </c>
      <c r="G720" s="68" t="s">
        <v>400</v>
      </c>
      <c r="H720" s="69" t="str">
        <f>IF(Proc[[#This Row],[type]]="LFF (MDG-F)",MID(Proc[[#This Row],[Obj]],13,10),"")</f>
        <v/>
      </c>
      <c r="J720" s="69" t="b">
        <f>Proc[[#This Row],[Requested]]=Proc[[#This Row],[CurrentParent]]</f>
        <v>1</v>
      </c>
      <c r="K720" s="144" t="str">
        <f>IF(Proc[[#This Row],[Author]]="Marcela Urrego",VLOOKUP(LEFT(Proc[[#This Row],[Requested]],1),Table3[#All],2,0),VLOOKUP(Proc[[#This Row],[Author]],Table4[],2,0))</f>
        <v>HC</v>
      </c>
      <c r="L720" s="32" t="s">
        <v>509</v>
      </c>
      <c r="M720" s="71">
        <v>45713.229062500002</v>
      </c>
      <c r="N720" s="71">
        <v>45715</v>
      </c>
      <c r="O720" s="71">
        <v>45715</v>
      </c>
      <c r="P720" s="70" t="str">
        <f ca="1">IF(Proc[[#This Row],[DaysAgeing]]&gt;5,"yep","on track")</f>
        <v>on track</v>
      </c>
      <c r="Q720" s="3">
        <f ca="1">IF(Proc[[#This Row],[DateClosed]]="",ABS(NETWORKDAYS(Proc[[#This Row],[DateOpened]],TODAY()))-1,ABS(NETWORKDAYS(Proc[[#This Row],[DateOpened]],Proc[[#This Row],[DateClosed]]))-1)</f>
        <v>2</v>
      </c>
      <c r="R720" s="70" t="s">
        <v>478</v>
      </c>
      <c r="S720" s="69"/>
    </row>
    <row r="721" spans="1:19" hidden="1">
      <c r="A721" s="68" t="s">
        <v>2096</v>
      </c>
      <c r="B721" s="149" t="str">
        <f>IFERROR(VLOOKUP(Proc[[#This Row],[App]],Table2[],3,0),"open")</f>
        <v>ok</v>
      </c>
      <c r="C721" s="68" t="s">
        <v>369</v>
      </c>
      <c r="D721" t="s">
        <v>2140</v>
      </c>
      <c r="E721" t="s">
        <v>2139</v>
      </c>
      <c r="F721" s="117" t="s">
        <v>2139</v>
      </c>
      <c r="G721" s="68" t="s">
        <v>400</v>
      </c>
      <c r="H721" s="69" t="str">
        <f>IF(Proc[[#This Row],[type]]="LFF (MDG-F)",MID(Proc[[#This Row],[Obj]],13,10),"")</f>
        <v/>
      </c>
      <c r="J721" s="69" t="b">
        <f>Proc[[#This Row],[Requested]]=Proc[[#This Row],[CurrentParent]]</f>
        <v>1</v>
      </c>
      <c r="K721" s="144" t="str">
        <f>IF(Proc[[#This Row],[Author]]="Marcela Urrego",VLOOKUP(LEFT(Proc[[#This Row],[Requested]],1),Table3[#All],2,0),VLOOKUP(Proc[[#This Row],[Author]],Table4[],2,0))</f>
        <v>HC</v>
      </c>
      <c r="L721" s="32" t="s">
        <v>509</v>
      </c>
      <c r="M721" s="71">
        <v>45713.229062500002</v>
      </c>
      <c r="N721" s="71">
        <v>45715</v>
      </c>
      <c r="O721" s="71">
        <v>45715</v>
      </c>
      <c r="P721" s="70" t="str">
        <f ca="1">IF(Proc[[#This Row],[DaysAgeing]]&gt;5,"yep","on track")</f>
        <v>on track</v>
      </c>
      <c r="Q721" s="3">
        <f ca="1">IF(Proc[[#This Row],[DateClosed]]="",ABS(NETWORKDAYS(Proc[[#This Row],[DateOpened]],TODAY()))-1,ABS(NETWORKDAYS(Proc[[#This Row],[DateOpened]],Proc[[#This Row],[DateClosed]]))-1)</f>
        <v>2</v>
      </c>
      <c r="R721" s="70" t="s">
        <v>478</v>
      </c>
      <c r="S721" s="69"/>
    </row>
    <row r="722" spans="1:19" hidden="1">
      <c r="A722" s="68" t="s">
        <v>2096</v>
      </c>
      <c r="B722" s="149" t="str">
        <f>IFERROR(VLOOKUP(Proc[[#This Row],[App]],Table2[],3,0),"open")</f>
        <v>ok</v>
      </c>
      <c r="C722" s="68" t="s">
        <v>369</v>
      </c>
      <c r="D722" t="s">
        <v>2141</v>
      </c>
      <c r="E722" t="s">
        <v>2142</v>
      </c>
      <c r="F722" s="117" t="s">
        <v>2142</v>
      </c>
      <c r="G722" s="68" t="s">
        <v>400</v>
      </c>
      <c r="H722" s="69" t="str">
        <f>IF(Proc[[#This Row],[type]]="LFF (MDG-F)",MID(Proc[[#This Row],[Obj]],13,10),"")</f>
        <v/>
      </c>
      <c r="J722" s="69" t="b">
        <f>Proc[[#This Row],[Requested]]=Proc[[#This Row],[CurrentParent]]</f>
        <v>1</v>
      </c>
      <c r="K722" s="144" t="str">
        <f>IF(Proc[[#This Row],[Author]]="Marcela Urrego",VLOOKUP(LEFT(Proc[[#This Row],[Requested]],1),Table3[#All],2,0),VLOOKUP(Proc[[#This Row],[Author]],Table4[],2,0))</f>
        <v>HC</v>
      </c>
      <c r="L722" s="32" t="s">
        <v>509</v>
      </c>
      <c r="M722" s="71">
        <v>45713.229062500002</v>
      </c>
      <c r="N722" s="71">
        <v>45715</v>
      </c>
      <c r="O722" s="71">
        <v>45715</v>
      </c>
      <c r="P722" s="70" t="str">
        <f ca="1">IF(Proc[[#This Row],[DaysAgeing]]&gt;5,"yep","on track")</f>
        <v>on track</v>
      </c>
      <c r="Q722" s="3">
        <f ca="1">IF(Proc[[#This Row],[DateClosed]]="",ABS(NETWORKDAYS(Proc[[#This Row],[DateOpened]],TODAY()))-1,ABS(NETWORKDAYS(Proc[[#This Row],[DateOpened]],Proc[[#This Row],[DateClosed]]))-1)</f>
        <v>2</v>
      </c>
      <c r="R722" s="70" t="s">
        <v>478</v>
      </c>
      <c r="S722" s="69"/>
    </row>
    <row r="723" spans="1:19" hidden="1">
      <c r="A723" s="68" t="s">
        <v>2096</v>
      </c>
      <c r="B723" s="149" t="str">
        <f>IFERROR(VLOOKUP(Proc[[#This Row],[App]],Table2[],3,0),"open")</f>
        <v>ok</v>
      </c>
      <c r="C723" s="68" t="s">
        <v>369</v>
      </c>
      <c r="D723" t="s">
        <v>2143</v>
      </c>
      <c r="E723" t="s">
        <v>2144</v>
      </c>
      <c r="F723" s="117" t="s">
        <v>2144</v>
      </c>
      <c r="G723" s="68" t="s">
        <v>400</v>
      </c>
      <c r="H723" s="69" t="str">
        <f>IF(Proc[[#This Row],[type]]="LFF (MDG-F)",MID(Proc[[#This Row],[Obj]],13,10),"")</f>
        <v/>
      </c>
      <c r="J723" s="69" t="b">
        <f>Proc[[#This Row],[Requested]]=Proc[[#This Row],[CurrentParent]]</f>
        <v>1</v>
      </c>
      <c r="K723" s="144" t="str">
        <f>IF(Proc[[#This Row],[Author]]="Marcela Urrego",VLOOKUP(LEFT(Proc[[#This Row],[Requested]],1),Table3[#All],2,0),VLOOKUP(Proc[[#This Row],[Author]],Table4[],2,0))</f>
        <v>HC</v>
      </c>
      <c r="L723" s="32" t="s">
        <v>509</v>
      </c>
      <c r="M723" s="71">
        <v>45713.229062500002</v>
      </c>
      <c r="N723" s="71">
        <v>45715</v>
      </c>
      <c r="O723" s="71">
        <v>45715</v>
      </c>
      <c r="P723" s="70" t="str">
        <f ca="1">IF(Proc[[#This Row],[DaysAgeing]]&gt;5,"yep","on track")</f>
        <v>on track</v>
      </c>
      <c r="Q723" s="3">
        <f ca="1">IF(Proc[[#This Row],[DateClosed]]="",ABS(NETWORKDAYS(Proc[[#This Row],[DateOpened]],TODAY()))-1,ABS(NETWORKDAYS(Proc[[#This Row],[DateOpened]],Proc[[#This Row],[DateClosed]]))-1)</f>
        <v>2</v>
      </c>
      <c r="R723" s="70" t="s">
        <v>478</v>
      </c>
      <c r="S723" s="69"/>
    </row>
    <row r="724" spans="1:19" hidden="1">
      <c r="A724" s="68" t="s">
        <v>2096</v>
      </c>
      <c r="B724" s="149" t="str">
        <f>IFERROR(VLOOKUP(Proc[[#This Row],[App]],Table2[],3,0),"open")</f>
        <v>ok</v>
      </c>
      <c r="C724" s="68" t="s">
        <v>369</v>
      </c>
      <c r="D724" t="s">
        <v>2145</v>
      </c>
      <c r="E724" t="s">
        <v>2144</v>
      </c>
      <c r="F724" s="117" t="s">
        <v>2144</v>
      </c>
      <c r="G724" s="68" t="s">
        <v>400</v>
      </c>
      <c r="H724" s="69" t="str">
        <f>IF(Proc[[#This Row],[type]]="LFF (MDG-F)",MID(Proc[[#This Row],[Obj]],13,10),"")</f>
        <v/>
      </c>
      <c r="J724" s="69" t="b">
        <f>Proc[[#This Row],[Requested]]=Proc[[#This Row],[CurrentParent]]</f>
        <v>1</v>
      </c>
      <c r="K724" s="144" t="str">
        <f>IF(Proc[[#This Row],[Author]]="Marcela Urrego",VLOOKUP(LEFT(Proc[[#This Row],[Requested]],1),Table3[#All],2,0),VLOOKUP(Proc[[#This Row],[Author]],Table4[],2,0))</f>
        <v>HC</v>
      </c>
      <c r="L724" s="32" t="s">
        <v>509</v>
      </c>
      <c r="M724" s="71">
        <v>45713.229062500002</v>
      </c>
      <c r="N724" s="71">
        <v>45715</v>
      </c>
      <c r="O724" s="71">
        <v>45715</v>
      </c>
      <c r="P724" s="70" t="str">
        <f ca="1">IF(Proc[[#This Row],[DaysAgeing]]&gt;5,"yep","on track")</f>
        <v>on track</v>
      </c>
      <c r="Q724" s="3">
        <f ca="1">IF(Proc[[#This Row],[DateClosed]]="",ABS(NETWORKDAYS(Proc[[#This Row],[DateOpened]],TODAY()))-1,ABS(NETWORKDAYS(Proc[[#This Row],[DateOpened]],Proc[[#This Row],[DateClosed]]))-1)</f>
        <v>2</v>
      </c>
      <c r="R724" s="70" t="s">
        <v>478</v>
      </c>
      <c r="S724" s="69"/>
    </row>
    <row r="725" spans="1:19" hidden="1">
      <c r="A725" t="s">
        <v>2096</v>
      </c>
      <c r="B725" s="149" t="str">
        <f>IFERROR(VLOOKUP(Proc[[#This Row],[App]],Table2[],3,0),"open")</f>
        <v>ok</v>
      </c>
      <c r="C725" s="68" t="s">
        <v>369</v>
      </c>
      <c r="D725" t="s">
        <v>2146</v>
      </c>
      <c r="E725" t="s">
        <v>2144</v>
      </c>
      <c r="F725" s="117" t="s">
        <v>2144</v>
      </c>
      <c r="G725" s="68" t="s">
        <v>400</v>
      </c>
      <c r="H725" s="69" t="str">
        <f>IF(Proc[[#This Row],[type]]="LFF (MDG-F)",MID(Proc[[#This Row],[Obj]],13,10),"")</f>
        <v/>
      </c>
      <c r="J725" s="69" t="b">
        <f>Proc[[#This Row],[Requested]]=Proc[[#This Row],[CurrentParent]]</f>
        <v>1</v>
      </c>
      <c r="K725" s="144" t="str">
        <f>IF(Proc[[#This Row],[Author]]="Marcela Urrego",VLOOKUP(LEFT(Proc[[#This Row],[Requested]],1),Table3[#All],2,0),VLOOKUP(Proc[[#This Row],[Author]],Table4[],2,0))</f>
        <v>HC</v>
      </c>
      <c r="L725" s="32" t="s">
        <v>509</v>
      </c>
      <c r="M725" s="71">
        <v>45713.229062500002</v>
      </c>
      <c r="N725" s="71">
        <v>45715</v>
      </c>
      <c r="O725" s="71">
        <v>45715</v>
      </c>
      <c r="P725" s="70" t="str">
        <f ca="1">IF(Proc[[#This Row],[DaysAgeing]]&gt;5,"yep","on track")</f>
        <v>on track</v>
      </c>
      <c r="Q725" s="3">
        <f ca="1">IF(Proc[[#This Row],[DateClosed]]="",ABS(NETWORKDAYS(Proc[[#This Row],[DateOpened]],TODAY()))-1,ABS(NETWORKDAYS(Proc[[#This Row],[DateOpened]],Proc[[#This Row],[DateClosed]]))-1)</f>
        <v>2</v>
      </c>
      <c r="R725" s="70" t="s">
        <v>478</v>
      </c>
      <c r="S725" s="69"/>
    </row>
    <row r="726" spans="1:19" hidden="1">
      <c r="A726" s="68" t="s">
        <v>2096</v>
      </c>
      <c r="B726" s="149" t="str">
        <f>IFERROR(VLOOKUP(Proc[[#This Row],[App]],Table2[],3,0),"open")</f>
        <v>ok</v>
      </c>
      <c r="C726" s="68" t="s">
        <v>369</v>
      </c>
      <c r="D726" t="s">
        <v>2147</v>
      </c>
      <c r="E726" t="s">
        <v>2144</v>
      </c>
      <c r="F726" s="117" t="s">
        <v>2144</v>
      </c>
      <c r="G726" s="68" t="s">
        <v>400</v>
      </c>
      <c r="H726" s="69" t="str">
        <f>IF(Proc[[#This Row],[type]]="LFF (MDG-F)",MID(Proc[[#This Row],[Obj]],13,10),"")</f>
        <v/>
      </c>
      <c r="J726" s="69" t="b">
        <f>Proc[[#This Row],[Requested]]=Proc[[#This Row],[CurrentParent]]</f>
        <v>1</v>
      </c>
      <c r="K726" s="144" t="str">
        <f>IF(Proc[[#This Row],[Author]]="Marcela Urrego",VLOOKUP(LEFT(Proc[[#This Row],[Requested]],1),Table3[#All],2,0),VLOOKUP(Proc[[#This Row],[Author]],Table4[],2,0))</f>
        <v>HC</v>
      </c>
      <c r="L726" s="32" t="s">
        <v>509</v>
      </c>
      <c r="M726" s="71">
        <v>45713.229062500002</v>
      </c>
      <c r="N726" s="71">
        <v>45715</v>
      </c>
      <c r="O726" s="71">
        <v>45715</v>
      </c>
      <c r="P726" s="70" t="str">
        <f ca="1">IF(Proc[[#This Row],[DaysAgeing]]&gt;5,"yep","on track")</f>
        <v>on track</v>
      </c>
      <c r="Q726" s="3">
        <f ca="1">IF(Proc[[#This Row],[DateClosed]]="",ABS(NETWORKDAYS(Proc[[#This Row],[DateOpened]],TODAY()))-1,ABS(NETWORKDAYS(Proc[[#This Row],[DateOpened]],Proc[[#This Row],[DateClosed]]))-1)</f>
        <v>2</v>
      </c>
      <c r="R726" s="70" t="s">
        <v>478</v>
      </c>
      <c r="S726" s="69"/>
    </row>
    <row r="727" spans="1:19" hidden="1">
      <c r="A727" s="68" t="s">
        <v>2096</v>
      </c>
      <c r="B727" s="149" t="str">
        <f>IFERROR(VLOOKUP(Proc[[#This Row],[App]],Table2[],3,0),"open")</f>
        <v>ok</v>
      </c>
      <c r="C727" s="68" t="s">
        <v>369</v>
      </c>
      <c r="D727" t="s">
        <v>2148</v>
      </c>
      <c r="E727" t="s">
        <v>2149</v>
      </c>
      <c r="F727" s="117" t="s">
        <v>2149</v>
      </c>
      <c r="G727" s="68" t="s">
        <v>400</v>
      </c>
      <c r="H727" s="69" t="str">
        <f>IF(Proc[[#This Row],[type]]="LFF (MDG-F)",MID(Proc[[#This Row],[Obj]],13,10),"")</f>
        <v/>
      </c>
      <c r="J727" s="69" t="b">
        <f>Proc[[#This Row],[Requested]]=Proc[[#This Row],[CurrentParent]]</f>
        <v>1</v>
      </c>
      <c r="K727" s="144" t="str">
        <f>IF(Proc[[#This Row],[Author]]="Marcela Urrego",VLOOKUP(LEFT(Proc[[#This Row],[Requested]],1),Table3[#All],2,0),VLOOKUP(Proc[[#This Row],[Author]],Table4[],2,0))</f>
        <v>HC</v>
      </c>
      <c r="L727" s="32" t="s">
        <v>509</v>
      </c>
      <c r="M727" s="71">
        <v>45713.229062500002</v>
      </c>
      <c r="N727" s="71">
        <v>45715</v>
      </c>
      <c r="O727" s="71">
        <v>45715</v>
      </c>
      <c r="P727" s="70" t="str">
        <f ca="1">IF(Proc[[#This Row],[DaysAgeing]]&gt;5,"yep","on track")</f>
        <v>on track</v>
      </c>
      <c r="Q727" s="3">
        <f ca="1">IF(Proc[[#This Row],[DateClosed]]="",ABS(NETWORKDAYS(Proc[[#This Row],[DateOpened]],TODAY()))-1,ABS(NETWORKDAYS(Proc[[#This Row],[DateOpened]],Proc[[#This Row],[DateClosed]]))-1)</f>
        <v>2</v>
      </c>
      <c r="R727" s="70" t="s">
        <v>478</v>
      </c>
      <c r="S727" s="69"/>
    </row>
    <row r="728" spans="1:19" hidden="1">
      <c r="A728" s="68" t="s">
        <v>2096</v>
      </c>
      <c r="B728" s="149" t="str">
        <f>IFERROR(VLOOKUP(Proc[[#This Row],[App]],Table2[],3,0),"open")</f>
        <v>ok</v>
      </c>
      <c r="C728" s="68" t="s">
        <v>369</v>
      </c>
      <c r="D728" t="s">
        <v>2150</v>
      </c>
      <c r="E728" t="s">
        <v>2144</v>
      </c>
      <c r="F728" s="117" t="s">
        <v>2144</v>
      </c>
      <c r="G728" s="68" t="s">
        <v>400</v>
      </c>
      <c r="H728" s="69" t="str">
        <f>IF(Proc[[#This Row],[type]]="LFF (MDG-F)",MID(Proc[[#This Row],[Obj]],13,10),"")</f>
        <v/>
      </c>
      <c r="J728" s="69" t="b">
        <f>Proc[[#This Row],[Requested]]=Proc[[#This Row],[CurrentParent]]</f>
        <v>1</v>
      </c>
      <c r="K728" s="144" t="str">
        <f>IF(Proc[[#This Row],[Author]]="Marcela Urrego",VLOOKUP(LEFT(Proc[[#This Row],[Requested]],1),Table3[#All],2,0),VLOOKUP(Proc[[#This Row],[Author]],Table4[],2,0))</f>
        <v>HC</v>
      </c>
      <c r="L728" s="32" t="s">
        <v>509</v>
      </c>
      <c r="M728" s="71">
        <v>45713.229062500002</v>
      </c>
      <c r="N728" s="71">
        <v>45715</v>
      </c>
      <c r="O728" s="71">
        <v>45715</v>
      </c>
      <c r="P728" s="70" t="str">
        <f ca="1">IF(Proc[[#This Row],[DaysAgeing]]&gt;5,"yep","on track")</f>
        <v>on track</v>
      </c>
      <c r="Q728" s="3">
        <f ca="1">IF(Proc[[#This Row],[DateClosed]]="",ABS(NETWORKDAYS(Proc[[#This Row],[DateOpened]],TODAY()))-1,ABS(NETWORKDAYS(Proc[[#This Row],[DateOpened]],Proc[[#This Row],[DateClosed]]))-1)</f>
        <v>2</v>
      </c>
      <c r="R728" s="70" t="s">
        <v>478</v>
      </c>
      <c r="S728" s="69"/>
    </row>
    <row r="729" spans="1:19" hidden="1">
      <c r="A729" s="68" t="s">
        <v>2096</v>
      </c>
      <c r="B729" s="149" t="str">
        <f>IFERROR(VLOOKUP(Proc[[#This Row],[App]],Table2[],3,0),"open")</f>
        <v>ok</v>
      </c>
      <c r="C729" s="68" t="s">
        <v>369</v>
      </c>
      <c r="D729" t="s">
        <v>2151</v>
      </c>
      <c r="E729" t="s">
        <v>2144</v>
      </c>
      <c r="F729" s="117" t="s">
        <v>2144</v>
      </c>
      <c r="G729" s="68" t="s">
        <v>400</v>
      </c>
      <c r="H729" s="69" t="str">
        <f>IF(Proc[[#This Row],[type]]="LFF (MDG-F)",MID(Proc[[#This Row],[Obj]],13,10),"")</f>
        <v/>
      </c>
      <c r="J729" s="69" t="b">
        <f>Proc[[#This Row],[Requested]]=Proc[[#This Row],[CurrentParent]]</f>
        <v>1</v>
      </c>
      <c r="K729" s="144" t="str">
        <f>IF(Proc[[#This Row],[Author]]="Marcela Urrego",VLOOKUP(LEFT(Proc[[#This Row],[Requested]],1),Table3[#All],2,0),VLOOKUP(Proc[[#This Row],[Author]],Table4[],2,0))</f>
        <v>HC</v>
      </c>
      <c r="L729" s="32" t="s">
        <v>509</v>
      </c>
      <c r="M729" s="71">
        <v>45713.229062500002</v>
      </c>
      <c r="N729" s="71">
        <v>45715</v>
      </c>
      <c r="O729" s="71">
        <v>45715</v>
      </c>
      <c r="P729" s="70" t="str">
        <f ca="1">IF(Proc[[#This Row],[DaysAgeing]]&gt;5,"yep","on track")</f>
        <v>on track</v>
      </c>
      <c r="Q729" s="3">
        <f ca="1">IF(Proc[[#This Row],[DateClosed]]="",ABS(NETWORKDAYS(Proc[[#This Row],[DateOpened]],TODAY()))-1,ABS(NETWORKDAYS(Proc[[#This Row],[DateOpened]],Proc[[#This Row],[DateClosed]]))-1)</f>
        <v>2</v>
      </c>
      <c r="R729" s="70" t="s">
        <v>478</v>
      </c>
      <c r="S729" s="69"/>
    </row>
    <row r="730" spans="1:19" hidden="1">
      <c r="A730" s="68" t="s">
        <v>2096</v>
      </c>
      <c r="B730" s="149" t="str">
        <f>IFERROR(VLOOKUP(Proc[[#This Row],[App]],Table2[],3,0),"open")</f>
        <v>ok</v>
      </c>
      <c r="C730" s="68" t="s">
        <v>369</v>
      </c>
      <c r="D730" t="s">
        <v>2152</v>
      </c>
      <c r="E730" t="s">
        <v>2144</v>
      </c>
      <c r="F730" s="117" t="s">
        <v>2144</v>
      </c>
      <c r="G730" s="68" t="s">
        <v>400</v>
      </c>
      <c r="H730" s="69" t="str">
        <f>IF(Proc[[#This Row],[type]]="LFF (MDG-F)",MID(Proc[[#This Row],[Obj]],13,10),"")</f>
        <v/>
      </c>
      <c r="J730" s="69" t="b">
        <f>Proc[[#This Row],[Requested]]=Proc[[#This Row],[CurrentParent]]</f>
        <v>1</v>
      </c>
      <c r="K730" s="144" t="str">
        <f>IF(Proc[[#This Row],[Author]]="Marcela Urrego",VLOOKUP(LEFT(Proc[[#This Row],[Requested]],1),Table3[#All],2,0),VLOOKUP(Proc[[#This Row],[Author]],Table4[],2,0))</f>
        <v>HC</v>
      </c>
      <c r="L730" s="32" t="s">
        <v>509</v>
      </c>
      <c r="M730" s="71">
        <v>45713.229062500002</v>
      </c>
      <c r="N730" s="71">
        <v>45715</v>
      </c>
      <c r="O730" s="71">
        <v>45715</v>
      </c>
      <c r="P730" s="70" t="str">
        <f ca="1">IF(Proc[[#This Row],[DaysAgeing]]&gt;5,"yep","on track")</f>
        <v>on track</v>
      </c>
      <c r="Q730" s="3">
        <f ca="1">IF(Proc[[#This Row],[DateClosed]]="",ABS(NETWORKDAYS(Proc[[#This Row],[DateOpened]],TODAY()))-1,ABS(NETWORKDAYS(Proc[[#This Row],[DateOpened]],Proc[[#This Row],[DateClosed]]))-1)</f>
        <v>2</v>
      </c>
      <c r="R730" s="70" t="s">
        <v>478</v>
      </c>
      <c r="S730" s="69"/>
    </row>
    <row r="731" spans="1:19" hidden="1">
      <c r="A731" s="68" t="s">
        <v>2096</v>
      </c>
      <c r="B731" s="149" t="str">
        <f>IFERROR(VLOOKUP(Proc[[#This Row],[App]],Table2[],3,0),"open")</f>
        <v>ok</v>
      </c>
      <c r="C731" s="68" t="s">
        <v>369</v>
      </c>
      <c r="D731" t="s">
        <v>2153</v>
      </c>
      <c r="E731" t="s">
        <v>2103</v>
      </c>
      <c r="F731" s="117" t="s">
        <v>2103</v>
      </c>
      <c r="G731" s="68" t="s">
        <v>400</v>
      </c>
      <c r="H731" s="69" t="str">
        <f>IF(Proc[[#This Row],[type]]="LFF (MDG-F)",MID(Proc[[#This Row],[Obj]],13,10),"")</f>
        <v/>
      </c>
      <c r="J731" s="69" t="b">
        <f>Proc[[#This Row],[Requested]]=Proc[[#This Row],[CurrentParent]]</f>
        <v>1</v>
      </c>
      <c r="K731" s="144" t="str">
        <f>IF(Proc[[#This Row],[Author]]="Marcela Urrego",VLOOKUP(LEFT(Proc[[#This Row],[Requested]],1),Table3[#All],2,0),VLOOKUP(Proc[[#This Row],[Author]],Table4[],2,0))</f>
        <v>HC</v>
      </c>
      <c r="L731" s="32" t="s">
        <v>509</v>
      </c>
      <c r="M731" s="71">
        <v>45713.229062500002</v>
      </c>
      <c r="N731" s="71">
        <v>45715</v>
      </c>
      <c r="O731" s="71">
        <v>45715</v>
      </c>
      <c r="P731" s="70" t="str">
        <f ca="1">IF(Proc[[#This Row],[DaysAgeing]]&gt;5,"yep","on track")</f>
        <v>on track</v>
      </c>
      <c r="Q731" s="3">
        <f ca="1">IF(Proc[[#This Row],[DateClosed]]="",ABS(NETWORKDAYS(Proc[[#This Row],[DateOpened]],TODAY()))-1,ABS(NETWORKDAYS(Proc[[#This Row],[DateOpened]],Proc[[#This Row],[DateClosed]]))-1)</f>
        <v>2</v>
      </c>
      <c r="R731" s="70" t="s">
        <v>478</v>
      </c>
      <c r="S731" s="69"/>
    </row>
    <row r="732" spans="1:19" hidden="1">
      <c r="A732" s="68" t="s">
        <v>2096</v>
      </c>
      <c r="B732" s="149" t="str">
        <f>IFERROR(VLOOKUP(Proc[[#This Row],[App]],Table2[],3,0),"open")</f>
        <v>ok</v>
      </c>
      <c r="C732" s="68" t="s">
        <v>369</v>
      </c>
      <c r="D732" t="s">
        <v>2154</v>
      </c>
      <c r="E732" t="s">
        <v>2155</v>
      </c>
      <c r="F732" s="117" t="s">
        <v>2155</v>
      </c>
      <c r="G732" s="68" t="s">
        <v>400</v>
      </c>
      <c r="H732" s="69" t="str">
        <f>IF(Proc[[#This Row],[type]]="LFF (MDG-F)",MID(Proc[[#This Row],[Obj]],13,10),"")</f>
        <v/>
      </c>
      <c r="J732" s="69" t="b">
        <f>Proc[[#This Row],[Requested]]=Proc[[#This Row],[CurrentParent]]</f>
        <v>1</v>
      </c>
      <c r="K732" s="144" t="str">
        <f>IF(Proc[[#This Row],[Author]]="Marcela Urrego",VLOOKUP(LEFT(Proc[[#This Row],[Requested]],1),Table3[#All],2,0),VLOOKUP(Proc[[#This Row],[Author]],Table4[],2,0))</f>
        <v>HC</v>
      </c>
      <c r="L732" s="32" t="s">
        <v>509</v>
      </c>
      <c r="M732" s="71">
        <v>45713.229062500002</v>
      </c>
      <c r="N732" s="71">
        <v>45715</v>
      </c>
      <c r="O732" s="71">
        <v>45715</v>
      </c>
      <c r="P732" s="70" t="str">
        <f ca="1">IF(Proc[[#This Row],[DaysAgeing]]&gt;5,"yep","on track")</f>
        <v>on track</v>
      </c>
      <c r="Q732" s="3">
        <f ca="1">IF(Proc[[#This Row],[DateClosed]]="",ABS(NETWORKDAYS(Proc[[#This Row],[DateOpened]],TODAY()))-1,ABS(NETWORKDAYS(Proc[[#This Row],[DateOpened]],Proc[[#This Row],[DateClosed]]))-1)</f>
        <v>2</v>
      </c>
      <c r="R732" s="70" t="s">
        <v>478</v>
      </c>
      <c r="S732" s="69"/>
    </row>
    <row r="733" spans="1:19" hidden="1">
      <c r="A733" s="68" t="s">
        <v>2096</v>
      </c>
      <c r="B733" s="149" t="str">
        <f>IFERROR(VLOOKUP(Proc[[#This Row],[App]],Table2[],3,0),"open")</f>
        <v>ok</v>
      </c>
      <c r="C733" s="68" t="s">
        <v>369</v>
      </c>
      <c r="D733" t="s">
        <v>2156</v>
      </c>
      <c r="E733" t="s">
        <v>2144</v>
      </c>
      <c r="F733" s="117" t="s">
        <v>2144</v>
      </c>
      <c r="G733" s="68" t="s">
        <v>400</v>
      </c>
      <c r="H733" s="69" t="str">
        <f>IF(Proc[[#This Row],[type]]="LFF (MDG-F)",MID(Proc[[#This Row],[Obj]],13,10),"")</f>
        <v/>
      </c>
      <c r="J733" s="69" t="b">
        <f>Proc[[#This Row],[Requested]]=Proc[[#This Row],[CurrentParent]]</f>
        <v>1</v>
      </c>
      <c r="K733" s="144" t="str">
        <f>IF(Proc[[#This Row],[Author]]="Marcela Urrego",VLOOKUP(LEFT(Proc[[#This Row],[Requested]],1),Table3[#All],2,0),VLOOKUP(Proc[[#This Row],[Author]],Table4[],2,0))</f>
        <v>HC</v>
      </c>
      <c r="L733" s="32" t="s">
        <v>509</v>
      </c>
      <c r="M733" s="71">
        <v>45713.229062500002</v>
      </c>
      <c r="N733" s="71">
        <v>45715</v>
      </c>
      <c r="O733" s="71">
        <v>45715</v>
      </c>
      <c r="P733" s="70" t="str">
        <f ca="1">IF(Proc[[#This Row],[DaysAgeing]]&gt;5,"yep","on track")</f>
        <v>on track</v>
      </c>
      <c r="Q733" s="3">
        <f ca="1">IF(Proc[[#This Row],[DateClosed]]="",ABS(NETWORKDAYS(Proc[[#This Row],[DateOpened]],TODAY()))-1,ABS(NETWORKDAYS(Proc[[#This Row],[DateOpened]],Proc[[#This Row],[DateClosed]]))-1)</f>
        <v>2</v>
      </c>
      <c r="R733" s="70" t="s">
        <v>478</v>
      </c>
      <c r="S733" s="69"/>
    </row>
    <row r="734" spans="1:19" hidden="1">
      <c r="A734" s="68" t="s">
        <v>2096</v>
      </c>
      <c r="B734" s="149" t="str">
        <f>IFERROR(VLOOKUP(Proc[[#This Row],[App]],Table2[],3,0),"open")</f>
        <v>ok</v>
      </c>
      <c r="C734" s="68" t="s">
        <v>369</v>
      </c>
      <c r="D734" t="s">
        <v>2157</v>
      </c>
      <c r="E734" t="s">
        <v>2144</v>
      </c>
      <c r="F734" s="117" t="s">
        <v>2144</v>
      </c>
      <c r="G734" s="68" t="s">
        <v>400</v>
      </c>
      <c r="H734" s="69" t="str">
        <f>IF(Proc[[#This Row],[type]]="LFF (MDG-F)",MID(Proc[[#This Row],[Obj]],13,10),"")</f>
        <v/>
      </c>
      <c r="J734" s="69" t="b">
        <f>Proc[[#This Row],[Requested]]=Proc[[#This Row],[CurrentParent]]</f>
        <v>1</v>
      </c>
      <c r="K734" s="144" t="str">
        <f>IF(Proc[[#This Row],[Author]]="Marcela Urrego",VLOOKUP(LEFT(Proc[[#This Row],[Requested]],1),Table3[#All],2,0),VLOOKUP(Proc[[#This Row],[Author]],Table4[],2,0))</f>
        <v>HC</v>
      </c>
      <c r="L734" s="32" t="s">
        <v>509</v>
      </c>
      <c r="M734" s="71">
        <v>45713.229062500002</v>
      </c>
      <c r="N734" s="71">
        <v>45715</v>
      </c>
      <c r="O734" s="71">
        <v>45715</v>
      </c>
      <c r="P734" s="70" t="str">
        <f ca="1">IF(Proc[[#This Row],[DaysAgeing]]&gt;5,"yep","on track")</f>
        <v>on track</v>
      </c>
      <c r="Q734" s="3">
        <f ca="1">IF(Proc[[#This Row],[DateClosed]]="",ABS(NETWORKDAYS(Proc[[#This Row],[DateOpened]],TODAY()))-1,ABS(NETWORKDAYS(Proc[[#This Row],[DateOpened]],Proc[[#This Row],[DateClosed]]))-1)</f>
        <v>2</v>
      </c>
      <c r="R734" s="70" t="s">
        <v>478</v>
      </c>
      <c r="S734" s="69"/>
    </row>
    <row r="735" spans="1:19" hidden="1">
      <c r="A735" s="68" t="s">
        <v>2096</v>
      </c>
      <c r="B735" s="149" t="str">
        <f>IFERROR(VLOOKUP(Proc[[#This Row],[App]],Table2[],3,0),"open")</f>
        <v>ok</v>
      </c>
      <c r="C735" s="68" t="s">
        <v>369</v>
      </c>
      <c r="D735" t="s">
        <v>2158</v>
      </c>
      <c r="E735" t="s">
        <v>2159</v>
      </c>
      <c r="F735" s="117" t="s">
        <v>2159</v>
      </c>
      <c r="G735" s="68" t="s">
        <v>400</v>
      </c>
      <c r="H735" s="69" t="str">
        <f>IF(Proc[[#This Row],[type]]="LFF (MDG-F)",MID(Proc[[#This Row],[Obj]],13,10),"")</f>
        <v/>
      </c>
      <c r="J735" s="69" t="b">
        <f>Proc[[#This Row],[Requested]]=Proc[[#This Row],[CurrentParent]]</f>
        <v>1</v>
      </c>
      <c r="K735" s="144" t="str">
        <f>IF(Proc[[#This Row],[Author]]="Marcela Urrego",VLOOKUP(LEFT(Proc[[#This Row],[Requested]],1),Table3[#All],2,0),VLOOKUP(Proc[[#This Row],[Author]],Table4[],2,0))</f>
        <v>HC</v>
      </c>
      <c r="L735" s="32" t="s">
        <v>509</v>
      </c>
      <c r="M735" s="71">
        <v>45713.229062500002</v>
      </c>
      <c r="N735" s="71">
        <v>45715</v>
      </c>
      <c r="O735" s="71">
        <v>45715</v>
      </c>
      <c r="P735" s="70" t="str">
        <f ca="1">IF(Proc[[#This Row],[DaysAgeing]]&gt;5,"yep","on track")</f>
        <v>on track</v>
      </c>
      <c r="Q735" s="3">
        <f ca="1">IF(Proc[[#This Row],[DateClosed]]="",ABS(NETWORKDAYS(Proc[[#This Row],[DateOpened]],TODAY()))-1,ABS(NETWORKDAYS(Proc[[#This Row],[DateOpened]],Proc[[#This Row],[DateClosed]]))-1)</f>
        <v>2</v>
      </c>
      <c r="R735" s="70" t="s">
        <v>478</v>
      </c>
      <c r="S735" s="69"/>
    </row>
    <row r="736" spans="1:19" hidden="1">
      <c r="A736" s="68" t="s">
        <v>2088</v>
      </c>
      <c r="B736" s="149" t="str">
        <f>IFERROR(VLOOKUP(Proc[[#This Row],[App]],Table2[],3,0),"open")</f>
        <v>ok</v>
      </c>
      <c r="C736" s="68" t="s">
        <v>369</v>
      </c>
      <c r="D736" t="s">
        <v>2089</v>
      </c>
      <c r="E736" t="s">
        <v>2092</v>
      </c>
      <c r="F736" s="117" t="s">
        <v>2092</v>
      </c>
      <c r="G736" s="68" t="s">
        <v>400</v>
      </c>
      <c r="H736" s="69" t="str">
        <f>IF(Proc[[#This Row],[type]]="LFF (MDG-F)",MID(Proc[[#This Row],[Obj]],13,10),"")</f>
        <v/>
      </c>
      <c r="I736" t="s">
        <v>2095</v>
      </c>
      <c r="J736" s="69" t="b">
        <f>Proc[[#This Row],[Requested]]=Proc[[#This Row],[CurrentParent]]</f>
        <v>1</v>
      </c>
      <c r="K736" s="144" t="str">
        <f>IF(Proc[[#This Row],[Author]]="Marcela Urrego",VLOOKUP(LEFT(Proc[[#This Row],[Requested]],1),Table3[#All],2,0),VLOOKUP(Proc[[#This Row],[Author]],Table4[],2,0))</f>
        <v>HC</v>
      </c>
      <c r="L736" s="32" t="s">
        <v>509</v>
      </c>
      <c r="M736" s="71">
        <v>45713.312280092592</v>
      </c>
      <c r="P736" s="70" t="str">
        <f ca="1">IF(Proc[[#This Row],[DaysAgeing]]&gt;5,"yep","on track")</f>
        <v>yep</v>
      </c>
      <c r="Q736" s="3">
        <f ca="1">IF(Proc[[#This Row],[DateClosed]]="",ABS(NETWORKDAYS(Proc[[#This Row],[DateOpened]],TODAY()))-1,ABS(NETWORKDAYS(Proc[[#This Row],[DateOpened]],Proc[[#This Row],[DateClosed]]))-1)</f>
        <v>213</v>
      </c>
      <c r="R736" s="70" t="s">
        <v>484</v>
      </c>
      <c r="S736" s="69"/>
    </row>
    <row r="737" spans="1:19" hidden="1">
      <c r="A737" s="68" t="s">
        <v>2088</v>
      </c>
      <c r="B737" s="149" t="str">
        <f>IFERROR(VLOOKUP(Proc[[#This Row],[App]],Table2[],3,0),"open")</f>
        <v>ok</v>
      </c>
      <c r="C737" s="68" t="s">
        <v>369</v>
      </c>
      <c r="D737" t="s">
        <v>2090</v>
      </c>
      <c r="E737" t="s">
        <v>2093</v>
      </c>
      <c r="F737" s="117" t="s">
        <v>2093</v>
      </c>
      <c r="G737" s="68" t="s">
        <v>400</v>
      </c>
      <c r="H737" s="69" t="str">
        <f>IF(Proc[[#This Row],[type]]="LFF (MDG-F)",MID(Proc[[#This Row],[Obj]],13,10),"")</f>
        <v/>
      </c>
      <c r="I737" t="s">
        <v>2095</v>
      </c>
      <c r="J737" s="69" t="b">
        <f>Proc[[#This Row],[Requested]]=Proc[[#This Row],[CurrentParent]]</f>
        <v>1</v>
      </c>
      <c r="K737" s="144" t="str">
        <f>IF(Proc[[#This Row],[Author]]="Marcela Urrego",VLOOKUP(LEFT(Proc[[#This Row],[Requested]],1),Table3[#All],2,0),VLOOKUP(Proc[[#This Row],[Author]],Table4[],2,0))</f>
        <v>HC</v>
      </c>
      <c r="L737" s="32" t="s">
        <v>509</v>
      </c>
      <c r="M737" s="71">
        <v>45713.312280092592</v>
      </c>
      <c r="P737" s="70" t="str">
        <f ca="1">IF(Proc[[#This Row],[DaysAgeing]]&gt;5,"yep","on track")</f>
        <v>yep</v>
      </c>
      <c r="Q737" s="3">
        <f ca="1">IF(Proc[[#This Row],[DateClosed]]="",ABS(NETWORKDAYS(Proc[[#This Row],[DateOpened]],TODAY()))-1,ABS(NETWORKDAYS(Proc[[#This Row],[DateOpened]],Proc[[#This Row],[DateClosed]]))-1)</f>
        <v>213</v>
      </c>
      <c r="R737" s="70" t="s">
        <v>484</v>
      </c>
      <c r="S737" s="69"/>
    </row>
    <row r="738" spans="1:19" hidden="1">
      <c r="A738" s="68" t="s">
        <v>2088</v>
      </c>
      <c r="B738" s="149" t="str">
        <f>IFERROR(VLOOKUP(Proc[[#This Row],[App]],Table2[],3,0),"open")</f>
        <v>ok</v>
      </c>
      <c r="C738" s="68" t="s">
        <v>369</v>
      </c>
      <c r="D738" t="s">
        <v>2091</v>
      </c>
      <c r="E738" t="s">
        <v>2094</v>
      </c>
      <c r="F738" s="117" t="s">
        <v>2094</v>
      </c>
      <c r="G738" s="68" t="s">
        <v>400</v>
      </c>
      <c r="H738" s="69" t="str">
        <f>IF(Proc[[#This Row],[type]]="LFF (MDG-F)",MID(Proc[[#This Row],[Obj]],13,10),"")</f>
        <v/>
      </c>
      <c r="I738" t="s">
        <v>2095</v>
      </c>
      <c r="J738" s="69" t="b">
        <f>Proc[[#This Row],[Requested]]=Proc[[#This Row],[CurrentParent]]</f>
        <v>1</v>
      </c>
      <c r="K738" s="144" t="str">
        <f>IF(Proc[[#This Row],[Author]]="Marcela Urrego",VLOOKUP(LEFT(Proc[[#This Row],[Requested]],1),Table3[#All],2,0),VLOOKUP(Proc[[#This Row],[Author]],Table4[],2,0))</f>
        <v>HC</v>
      </c>
      <c r="L738" s="32" t="s">
        <v>509</v>
      </c>
      <c r="M738" s="71">
        <v>45713.312280092592</v>
      </c>
      <c r="P738" s="70" t="str">
        <f ca="1">IF(Proc[[#This Row],[DaysAgeing]]&gt;5,"yep","on track")</f>
        <v>yep</v>
      </c>
      <c r="Q738" s="3">
        <f ca="1">IF(Proc[[#This Row],[DateClosed]]="",ABS(NETWORKDAYS(Proc[[#This Row],[DateOpened]],TODAY()))-1,ABS(NETWORKDAYS(Proc[[#This Row],[DateOpened]],Proc[[#This Row],[DateClosed]]))-1)</f>
        <v>213</v>
      </c>
      <c r="R738" s="70" t="s">
        <v>484</v>
      </c>
      <c r="S738" s="69"/>
    </row>
    <row r="739" spans="1:19" hidden="1">
      <c r="A739" t="s">
        <v>2197</v>
      </c>
      <c r="B739" s="149" t="str">
        <f>IFERROR(VLOOKUP(Proc[[#This Row],[App]],Table2[],3,0),"open")</f>
        <v>ok</v>
      </c>
      <c r="C739" t="s">
        <v>369</v>
      </c>
      <c r="D739" t="s">
        <v>2177</v>
      </c>
      <c r="E739" t="s">
        <v>2178</v>
      </c>
      <c r="F739" s="117" t="s">
        <v>2178</v>
      </c>
      <c r="G739" s="68" t="s">
        <v>400</v>
      </c>
      <c r="H739" s="69" t="str">
        <f>IF(Proc[[#This Row],[type]]="LFF (MDG-F)",MID(Proc[[#This Row],[Obj]],13,10),"")</f>
        <v/>
      </c>
      <c r="J739" s="69" t="b">
        <f>Proc[[#This Row],[Requested]]=Proc[[#This Row],[CurrentParent]]</f>
        <v>1</v>
      </c>
      <c r="K739" s="144" t="str">
        <f>IF(Proc[[#This Row],[Author]]="Marcela Urrego",VLOOKUP(LEFT(Proc[[#This Row],[Requested]],1),Table3[#All],2,0),VLOOKUP(Proc[[#This Row],[Author]],Table4[],2,0))</f>
        <v>LS</v>
      </c>
      <c r="L739" s="32" t="s">
        <v>509</v>
      </c>
      <c r="M739" s="71">
        <v>45713.460798611108</v>
      </c>
      <c r="N739" s="71">
        <v>45715</v>
      </c>
      <c r="O739" s="71">
        <v>45715</v>
      </c>
      <c r="P739" s="70" t="str">
        <f ca="1">IF(Proc[[#This Row],[DaysAgeing]]&gt;5,"yep","on track")</f>
        <v>on track</v>
      </c>
      <c r="Q739" s="3">
        <f ca="1">IF(Proc[[#This Row],[DateClosed]]="",ABS(NETWORKDAYS(Proc[[#This Row],[DateOpened]],TODAY()))-1,ABS(NETWORKDAYS(Proc[[#This Row],[DateOpened]],Proc[[#This Row],[DateClosed]]))-1)</f>
        <v>2</v>
      </c>
      <c r="R739" s="70" t="s">
        <v>972</v>
      </c>
      <c r="S739" s="69"/>
    </row>
    <row r="740" spans="1:19" hidden="1">
      <c r="A740" s="68" t="s">
        <v>2197</v>
      </c>
      <c r="B740" s="149" t="str">
        <f>IFERROR(VLOOKUP(Proc[[#This Row],[App]],Table2[],3,0),"open")</f>
        <v>ok</v>
      </c>
      <c r="C740" s="68" t="s">
        <v>369</v>
      </c>
      <c r="D740" t="s">
        <v>2179</v>
      </c>
      <c r="E740" t="s">
        <v>2178</v>
      </c>
      <c r="F740" s="117" t="s">
        <v>2178</v>
      </c>
      <c r="G740" s="68" t="s">
        <v>400</v>
      </c>
      <c r="H740" s="69" t="str">
        <f>IF(Proc[[#This Row],[type]]="LFF (MDG-F)",MID(Proc[[#This Row],[Obj]],13,10),"")</f>
        <v/>
      </c>
      <c r="J740" s="69" t="b">
        <f>Proc[[#This Row],[Requested]]=Proc[[#This Row],[CurrentParent]]</f>
        <v>1</v>
      </c>
      <c r="K740" s="144" t="str">
        <f>IF(Proc[[#This Row],[Author]]="Marcela Urrego",VLOOKUP(LEFT(Proc[[#This Row],[Requested]],1),Table3[#All],2,0),VLOOKUP(Proc[[#This Row],[Author]],Table4[],2,0))</f>
        <v>LS</v>
      </c>
      <c r="L740" s="32" t="s">
        <v>509</v>
      </c>
      <c r="M740" s="71">
        <v>45713.460798611108</v>
      </c>
      <c r="N740" s="71">
        <v>45715</v>
      </c>
      <c r="O740" s="71">
        <v>45715</v>
      </c>
      <c r="P740" s="70" t="str">
        <f ca="1">IF(Proc[[#This Row],[DaysAgeing]]&gt;5,"yep","on track")</f>
        <v>on track</v>
      </c>
      <c r="Q740" s="3">
        <f ca="1">IF(Proc[[#This Row],[DateClosed]]="",ABS(NETWORKDAYS(Proc[[#This Row],[DateOpened]],TODAY()))-1,ABS(NETWORKDAYS(Proc[[#This Row],[DateOpened]],Proc[[#This Row],[DateClosed]]))-1)</f>
        <v>2</v>
      </c>
      <c r="R740" s="70" t="s">
        <v>972</v>
      </c>
      <c r="S740" s="69"/>
    </row>
    <row r="741" spans="1:19" hidden="1">
      <c r="A741" s="68" t="s">
        <v>2197</v>
      </c>
      <c r="B741" s="149" t="str">
        <f>IFERROR(VLOOKUP(Proc[[#This Row],[App]],Table2[],3,0),"open")</f>
        <v>ok</v>
      </c>
      <c r="C741" s="68" t="s">
        <v>369</v>
      </c>
      <c r="D741" t="s">
        <v>2179</v>
      </c>
      <c r="E741" t="s">
        <v>2178</v>
      </c>
      <c r="F741" s="117" t="s">
        <v>2178</v>
      </c>
      <c r="G741" s="68" t="s">
        <v>400</v>
      </c>
      <c r="H741" s="69" t="str">
        <f>IF(Proc[[#This Row],[type]]="LFF (MDG-F)",MID(Proc[[#This Row],[Obj]],13,10),"")</f>
        <v/>
      </c>
      <c r="J741" s="69" t="b">
        <f>Proc[[#This Row],[Requested]]=Proc[[#This Row],[CurrentParent]]</f>
        <v>1</v>
      </c>
      <c r="K741" s="144" t="str">
        <f>IF(Proc[[#This Row],[Author]]="Marcela Urrego",VLOOKUP(LEFT(Proc[[#This Row],[Requested]],1),Table3[#All],2,0),VLOOKUP(Proc[[#This Row],[Author]],Table4[],2,0))</f>
        <v>LS</v>
      </c>
      <c r="L741" s="32" t="s">
        <v>509</v>
      </c>
      <c r="M741" s="71">
        <v>45713.460798611108</v>
      </c>
      <c r="N741" s="71">
        <v>45715</v>
      </c>
      <c r="O741" s="71">
        <v>45715</v>
      </c>
      <c r="P741" s="70" t="str">
        <f ca="1">IF(Proc[[#This Row],[DaysAgeing]]&gt;5,"yep","on track")</f>
        <v>on track</v>
      </c>
      <c r="Q741" s="3">
        <f ca="1">IF(Proc[[#This Row],[DateClosed]]="",ABS(NETWORKDAYS(Proc[[#This Row],[DateOpened]],TODAY()))-1,ABS(NETWORKDAYS(Proc[[#This Row],[DateOpened]],Proc[[#This Row],[DateClosed]]))-1)</f>
        <v>2</v>
      </c>
      <c r="R741" s="70" t="s">
        <v>972</v>
      </c>
      <c r="S741" s="69"/>
    </row>
    <row r="742" spans="1:19" hidden="1">
      <c r="A742" s="68" t="s">
        <v>2197</v>
      </c>
      <c r="B742" s="149" t="str">
        <f>IFERROR(VLOOKUP(Proc[[#This Row],[App]],Table2[],3,0),"open")</f>
        <v>ok</v>
      </c>
      <c r="C742" t="s">
        <v>369</v>
      </c>
      <c r="D742" t="s">
        <v>2180</v>
      </c>
      <c r="E742" t="s">
        <v>1232</v>
      </c>
      <c r="F742" s="117" t="s">
        <v>1232</v>
      </c>
      <c r="G742" s="68" t="s">
        <v>400</v>
      </c>
      <c r="H742" s="69" t="str">
        <f>IF(Proc[[#This Row],[type]]="LFF (MDG-F)",MID(Proc[[#This Row],[Obj]],13,10),"")</f>
        <v/>
      </c>
      <c r="I742" t="s">
        <v>1198</v>
      </c>
      <c r="J742" s="69" t="b">
        <f>Proc[[#This Row],[Requested]]=Proc[[#This Row],[CurrentParent]]</f>
        <v>1</v>
      </c>
      <c r="K742" s="144" t="str">
        <f>IF(Proc[[#This Row],[Author]]="Marcela Urrego",VLOOKUP(LEFT(Proc[[#This Row],[Requested]],1),Table3[#All],2,0),VLOOKUP(Proc[[#This Row],[Author]],Table4[],2,0))</f>
        <v>LS</v>
      </c>
      <c r="L742" s="32" t="s">
        <v>509</v>
      </c>
      <c r="M742" s="71">
        <v>45713.460798611108</v>
      </c>
      <c r="N742" s="71">
        <v>45715</v>
      </c>
      <c r="O742" s="71">
        <v>45715</v>
      </c>
      <c r="P742" s="70" t="str">
        <f ca="1">IF(Proc[[#This Row],[DaysAgeing]]&gt;5,"yep","on track")</f>
        <v>on track</v>
      </c>
      <c r="Q742" s="3">
        <f ca="1">IF(Proc[[#This Row],[DateClosed]]="",ABS(NETWORKDAYS(Proc[[#This Row],[DateOpened]],TODAY()))-1,ABS(NETWORKDAYS(Proc[[#This Row],[DateOpened]],Proc[[#This Row],[DateClosed]]))-1)</f>
        <v>2</v>
      </c>
      <c r="R742" s="70" t="s">
        <v>972</v>
      </c>
      <c r="S742" s="69"/>
    </row>
    <row r="743" spans="1:19" hidden="1">
      <c r="A743" s="68" t="s">
        <v>2197</v>
      </c>
      <c r="B743" s="149" t="str">
        <f>IFERROR(VLOOKUP(Proc[[#This Row],[App]],Table2[],3,0),"open")</f>
        <v>ok</v>
      </c>
      <c r="C743" s="68" t="s">
        <v>369</v>
      </c>
      <c r="D743" t="s">
        <v>2181</v>
      </c>
      <c r="E743" t="s">
        <v>1232</v>
      </c>
      <c r="F743" s="117" t="s">
        <v>1232</v>
      </c>
      <c r="G743" s="68" t="s">
        <v>400</v>
      </c>
      <c r="H743" s="69" t="str">
        <f>IF(Proc[[#This Row],[type]]="LFF (MDG-F)",MID(Proc[[#This Row],[Obj]],13,10),"")</f>
        <v/>
      </c>
      <c r="I743" s="68" t="s">
        <v>1198</v>
      </c>
      <c r="J743" s="69" t="b">
        <f>Proc[[#This Row],[Requested]]=Proc[[#This Row],[CurrentParent]]</f>
        <v>1</v>
      </c>
      <c r="K743" s="144" t="str">
        <f>IF(Proc[[#This Row],[Author]]="Marcela Urrego",VLOOKUP(LEFT(Proc[[#This Row],[Requested]],1),Table3[#All],2,0),VLOOKUP(Proc[[#This Row],[Author]],Table4[],2,0))</f>
        <v>LS</v>
      </c>
      <c r="L743" s="32" t="s">
        <v>509</v>
      </c>
      <c r="M743" s="71">
        <v>45713.460798611108</v>
      </c>
      <c r="N743" s="71">
        <v>45715</v>
      </c>
      <c r="O743" s="71">
        <v>45715</v>
      </c>
      <c r="P743" s="70" t="str">
        <f ca="1">IF(Proc[[#This Row],[DaysAgeing]]&gt;5,"yep","on track")</f>
        <v>on track</v>
      </c>
      <c r="Q743" s="3">
        <f ca="1">IF(Proc[[#This Row],[DateClosed]]="",ABS(NETWORKDAYS(Proc[[#This Row],[DateOpened]],TODAY()))-1,ABS(NETWORKDAYS(Proc[[#This Row],[DateOpened]],Proc[[#This Row],[DateClosed]]))-1)</f>
        <v>2</v>
      </c>
      <c r="R743" s="70" t="s">
        <v>972</v>
      </c>
      <c r="S743" s="69"/>
    </row>
    <row r="744" spans="1:19" hidden="1">
      <c r="A744" s="68" t="s">
        <v>2197</v>
      </c>
      <c r="B744" s="149" t="str">
        <f>IFERROR(VLOOKUP(Proc[[#This Row],[App]],Table2[],3,0),"open")</f>
        <v>ok</v>
      </c>
      <c r="C744" s="68" t="s">
        <v>369</v>
      </c>
      <c r="D744" t="s">
        <v>2182</v>
      </c>
      <c r="E744" t="s">
        <v>1232</v>
      </c>
      <c r="F744" s="117" t="s">
        <v>1232</v>
      </c>
      <c r="G744" s="68" t="s">
        <v>400</v>
      </c>
      <c r="H744" s="69" t="str">
        <f>IF(Proc[[#This Row],[type]]="LFF (MDG-F)",MID(Proc[[#This Row],[Obj]],13,10),"")</f>
        <v/>
      </c>
      <c r="I744" s="68" t="s">
        <v>1198</v>
      </c>
      <c r="J744" s="69" t="b">
        <f>Proc[[#This Row],[Requested]]=Proc[[#This Row],[CurrentParent]]</f>
        <v>1</v>
      </c>
      <c r="K744" s="144" t="str">
        <f>IF(Proc[[#This Row],[Author]]="Marcela Urrego",VLOOKUP(LEFT(Proc[[#This Row],[Requested]],1),Table3[#All],2,0),VLOOKUP(Proc[[#This Row],[Author]],Table4[],2,0))</f>
        <v>LS</v>
      </c>
      <c r="L744" s="32" t="s">
        <v>509</v>
      </c>
      <c r="M744" s="71">
        <v>45713.460798611108</v>
      </c>
      <c r="N744" s="71">
        <v>45715</v>
      </c>
      <c r="O744" s="71">
        <v>45715</v>
      </c>
      <c r="P744" s="70" t="str">
        <f ca="1">IF(Proc[[#This Row],[DaysAgeing]]&gt;5,"yep","on track")</f>
        <v>on track</v>
      </c>
      <c r="Q744" s="3">
        <f ca="1">IF(Proc[[#This Row],[DateClosed]]="",ABS(NETWORKDAYS(Proc[[#This Row],[DateOpened]],TODAY()))-1,ABS(NETWORKDAYS(Proc[[#This Row],[DateOpened]],Proc[[#This Row],[DateClosed]]))-1)</f>
        <v>2</v>
      </c>
      <c r="R744" s="70" t="s">
        <v>972</v>
      </c>
      <c r="S744" s="69"/>
    </row>
    <row r="745" spans="1:19" hidden="1">
      <c r="A745" s="68" t="s">
        <v>2197</v>
      </c>
      <c r="B745" s="149" t="str">
        <f>IFERROR(VLOOKUP(Proc[[#This Row],[App]],Table2[],3,0),"open")</f>
        <v>ok</v>
      </c>
      <c r="C745" t="s">
        <v>369</v>
      </c>
      <c r="D745" t="s">
        <v>2183</v>
      </c>
      <c r="E745" t="s">
        <v>2184</v>
      </c>
      <c r="F745" s="117" t="s">
        <v>2184</v>
      </c>
      <c r="G745" s="68" t="s">
        <v>400</v>
      </c>
      <c r="H745" s="69" t="str">
        <f>IF(Proc[[#This Row],[type]]="LFF (MDG-F)",MID(Proc[[#This Row],[Obj]],13,10),"")</f>
        <v/>
      </c>
      <c r="J745" s="69" t="b">
        <f>Proc[[#This Row],[Requested]]=Proc[[#This Row],[CurrentParent]]</f>
        <v>1</v>
      </c>
      <c r="K745" s="144" t="str">
        <f>IF(Proc[[#This Row],[Author]]="Marcela Urrego",VLOOKUP(LEFT(Proc[[#This Row],[Requested]],1),Table3[#All],2,0),VLOOKUP(Proc[[#This Row],[Author]],Table4[],2,0))</f>
        <v>LS</v>
      </c>
      <c r="L745" s="32" t="s">
        <v>509</v>
      </c>
      <c r="M745" s="71">
        <v>45713.460798611108</v>
      </c>
      <c r="N745" s="71">
        <v>45715</v>
      </c>
      <c r="O745" s="71">
        <v>45715</v>
      </c>
      <c r="P745" s="70" t="str">
        <f ca="1">IF(Proc[[#This Row],[DaysAgeing]]&gt;5,"yep","on track")</f>
        <v>on track</v>
      </c>
      <c r="Q745" s="3">
        <f ca="1">IF(Proc[[#This Row],[DateClosed]]="",ABS(NETWORKDAYS(Proc[[#This Row],[DateOpened]],TODAY()))-1,ABS(NETWORKDAYS(Proc[[#This Row],[DateOpened]],Proc[[#This Row],[DateClosed]]))-1)</f>
        <v>2</v>
      </c>
      <c r="R745" s="70" t="s">
        <v>972</v>
      </c>
      <c r="S745" s="69"/>
    </row>
    <row r="746" spans="1:19" hidden="1">
      <c r="A746" s="68" t="s">
        <v>2197</v>
      </c>
      <c r="B746" s="149" t="str">
        <f>IFERROR(VLOOKUP(Proc[[#This Row],[App]],Table2[],3,0),"open")</f>
        <v>ok</v>
      </c>
      <c r="C746" s="68" t="s">
        <v>369</v>
      </c>
      <c r="D746" t="s">
        <v>2185</v>
      </c>
      <c r="E746" t="s">
        <v>2186</v>
      </c>
      <c r="F746" s="117" t="s">
        <v>2186</v>
      </c>
      <c r="G746" s="68" t="s">
        <v>400</v>
      </c>
      <c r="H746" s="69" t="str">
        <f>IF(Proc[[#This Row],[type]]="LFF (MDG-F)",MID(Proc[[#This Row],[Obj]],13,10),"")</f>
        <v/>
      </c>
      <c r="J746" s="69" t="b">
        <f>Proc[[#This Row],[Requested]]=Proc[[#This Row],[CurrentParent]]</f>
        <v>1</v>
      </c>
      <c r="K746" s="144" t="str">
        <f>IF(Proc[[#This Row],[Author]]="Marcela Urrego",VLOOKUP(LEFT(Proc[[#This Row],[Requested]],1),Table3[#All],2,0),VLOOKUP(Proc[[#This Row],[Author]],Table4[],2,0))</f>
        <v>LS</v>
      </c>
      <c r="L746" s="32" t="s">
        <v>509</v>
      </c>
      <c r="M746" s="71">
        <v>45713.460798611108</v>
      </c>
      <c r="N746" s="71">
        <v>45715</v>
      </c>
      <c r="O746" s="71">
        <v>45715</v>
      </c>
      <c r="P746" s="70" t="str">
        <f ca="1">IF(Proc[[#This Row],[DaysAgeing]]&gt;5,"yep","on track")</f>
        <v>on track</v>
      </c>
      <c r="Q746" s="3">
        <f ca="1">IF(Proc[[#This Row],[DateClosed]]="",ABS(NETWORKDAYS(Proc[[#This Row],[DateOpened]],TODAY()))-1,ABS(NETWORKDAYS(Proc[[#This Row],[DateOpened]],Proc[[#This Row],[DateClosed]]))-1)</f>
        <v>2</v>
      </c>
      <c r="R746" s="70" t="s">
        <v>972</v>
      </c>
      <c r="S746" s="69"/>
    </row>
    <row r="747" spans="1:19" hidden="1">
      <c r="A747" s="68" t="s">
        <v>2197</v>
      </c>
      <c r="B747" s="149" t="str">
        <f>IFERROR(VLOOKUP(Proc[[#This Row],[App]],Table2[],3,0),"open")</f>
        <v>ok</v>
      </c>
      <c r="C747" s="68" t="s">
        <v>369</v>
      </c>
      <c r="D747" t="s">
        <v>2187</v>
      </c>
      <c r="E747" t="s">
        <v>652</v>
      </c>
      <c r="F747" s="117" t="s">
        <v>652</v>
      </c>
      <c r="G747" s="68" t="s">
        <v>400</v>
      </c>
      <c r="H747" s="69" t="str">
        <f>IF(Proc[[#This Row],[type]]="LFF (MDG-F)",MID(Proc[[#This Row],[Obj]],13,10),"")</f>
        <v/>
      </c>
      <c r="J747" s="69" t="b">
        <f>Proc[[#This Row],[Requested]]=Proc[[#This Row],[CurrentParent]]</f>
        <v>1</v>
      </c>
      <c r="K747" s="144" t="str">
        <f>IF(Proc[[#This Row],[Author]]="Marcela Urrego",VLOOKUP(LEFT(Proc[[#This Row],[Requested]],1),Table3[#All],2,0),VLOOKUP(Proc[[#This Row],[Author]],Table4[],2,0))</f>
        <v>LS</v>
      </c>
      <c r="L747" s="32" t="s">
        <v>509</v>
      </c>
      <c r="M747" s="71">
        <v>45713.460798611108</v>
      </c>
      <c r="N747" s="71">
        <v>45715</v>
      </c>
      <c r="O747" s="71">
        <v>45715</v>
      </c>
      <c r="P747" s="70" t="str">
        <f ca="1">IF(Proc[[#This Row],[DaysAgeing]]&gt;5,"yep","on track")</f>
        <v>on track</v>
      </c>
      <c r="Q747" s="3">
        <f ca="1">IF(Proc[[#This Row],[DateClosed]]="",ABS(NETWORKDAYS(Proc[[#This Row],[DateOpened]],TODAY()))-1,ABS(NETWORKDAYS(Proc[[#This Row],[DateOpened]],Proc[[#This Row],[DateClosed]]))-1)</f>
        <v>2</v>
      </c>
      <c r="R747" s="70" t="s">
        <v>972</v>
      </c>
      <c r="S747" s="69"/>
    </row>
    <row r="748" spans="1:19" hidden="1">
      <c r="A748" s="68" t="s">
        <v>2197</v>
      </c>
      <c r="B748" s="149" t="str">
        <f>IFERROR(VLOOKUP(Proc[[#This Row],[App]],Table2[],3,0),"open")</f>
        <v>ok</v>
      </c>
      <c r="C748" s="68" t="s">
        <v>369</v>
      </c>
      <c r="D748" t="s">
        <v>2188</v>
      </c>
      <c r="E748" t="s">
        <v>652</v>
      </c>
      <c r="F748" s="117" t="s">
        <v>652</v>
      </c>
      <c r="G748" s="68" t="s">
        <v>400</v>
      </c>
      <c r="H748" s="69" t="str">
        <f>IF(Proc[[#This Row],[type]]="LFF (MDG-F)",MID(Proc[[#This Row],[Obj]],13,10),"")</f>
        <v/>
      </c>
      <c r="J748" s="69" t="b">
        <f>Proc[[#This Row],[Requested]]=Proc[[#This Row],[CurrentParent]]</f>
        <v>1</v>
      </c>
      <c r="K748" s="144" t="str">
        <f>IF(Proc[[#This Row],[Author]]="Marcela Urrego",VLOOKUP(LEFT(Proc[[#This Row],[Requested]],1),Table3[#All],2,0),VLOOKUP(Proc[[#This Row],[Author]],Table4[],2,0))</f>
        <v>LS</v>
      </c>
      <c r="L748" s="32" t="s">
        <v>509</v>
      </c>
      <c r="M748" s="71">
        <v>45713.460798611108</v>
      </c>
      <c r="N748" s="71">
        <v>45715</v>
      </c>
      <c r="O748" s="71">
        <v>45715</v>
      </c>
      <c r="P748" s="70" t="str">
        <f ca="1">IF(Proc[[#This Row],[DaysAgeing]]&gt;5,"yep","on track")</f>
        <v>on track</v>
      </c>
      <c r="Q748" s="3">
        <f ca="1">IF(Proc[[#This Row],[DateClosed]]="",ABS(NETWORKDAYS(Proc[[#This Row],[DateOpened]],TODAY()))-1,ABS(NETWORKDAYS(Proc[[#This Row],[DateOpened]],Proc[[#This Row],[DateClosed]]))-1)</f>
        <v>2</v>
      </c>
      <c r="R748" s="70" t="s">
        <v>972</v>
      </c>
      <c r="S748" s="69"/>
    </row>
    <row r="749" spans="1:19" hidden="1">
      <c r="A749" s="68" t="s">
        <v>2197</v>
      </c>
      <c r="B749" s="149" t="str">
        <f>IFERROR(VLOOKUP(Proc[[#This Row],[App]],Table2[],3,0),"open")</f>
        <v>ok</v>
      </c>
      <c r="C749" s="68" t="s">
        <v>369</v>
      </c>
      <c r="D749" t="s">
        <v>2189</v>
      </c>
      <c r="E749" t="s">
        <v>652</v>
      </c>
      <c r="F749" s="117" t="s">
        <v>652</v>
      </c>
      <c r="G749" s="68" t="s">
        <v>400</v>
      </c>
      <c r="H749" s="69" t="str">
        <f>IF(Proc[[#This Row],[type]]="LFF (MDG-F)",MID(Proc[[#This Row],[Obj]],13,10),"")</f>
        <v/>
      </c>
      <c r="J749" s="69" t="b">
        <f>Proc[[#This Row],[Requested]]=Proc[[#This Row],[CurrentParent]]</f>
        <v>1</v>
      </c>
      <c r="K749" s="144" t="str">
        <f>IF(Proc[[#This Row],[Author]]="Marcela Urrego",VLOOKUP(LEFT(Proc[[#This Row],[Requested]],1),Table3[#All],2,0),VLOOKUP(Proc[[#This Row],[Author]],Table4[],2,0))</f>
        <v>LS</v>
      </c>
      <c r="L749" s="32" t="s">
        <v>509</v>
      </c>
      <c r="M749" s="71">
        <v>45713.460798611108</v>
      </c>
      <c r="N749" s="71">
        <v>45715</v>
      </c>
      <c r="O749" s="71">
        <v>45715</v>
      </c>
      <c r="P749" s="70" t="str">
        <f ca="1">IF(Proc[[#This Row],[DaysAgeing]]&gt;5,"yep","on track")</f>
        <v>on track</v>
      </c>
      <c r="Q749" s="3">
        <f ca="1">IF(Proc[[#This Row],[DateClosed]]="",ABS(NETWORKDAYS(Proc[[#This Row],[DateOpened]],TODAY()))-1,ABS(NETWORKDAYS(Proc[[#This Row],[DateOpened]],Proc[[#This Row],[DateClosed]]))-1)</f>
        <v>2</v>
      </c>
      <c r="R749" s="70" t="s">
        <v>972</v>
      </c>
      <c r="S749" s="69"/>
    </row>
    <row r="750" spans="1:19" hidden="1">
      <c r="A750" s="68" t="s">
        <v>2197</v>
      </c>
      <c r="B750" s="149" t="str">
        <f>IFERROR(VLOOKUP(Proc[[#This Row],[App]],Table2[],3,0),"open")</f>
        <v>ok</v>
      </c>
      <c r="C750" s="68" t="s">
        <v>369</v>
      </c>
      <c r="D750" t="s">
        <v>2190</v>
      </c>
      <c r="E750" t="s">
        <v>2191</v>
      </c>
      <c r="F750" s="117" t="s">
        <v>2191</v>
      </c>
      <c r="G750" s="68" t="s">
        <v>400</v>
      </c>
      <c r="H750" s="69" t="str">
        <f>IF(Proc[[#This Row],[type]]="LFF (MDG-F)",MID(Proc[[#This Row],[Obj]],13,10),"")</f>
        <v/>
      </c>
      <c r="J750" s="69" t="b">
        <f>Proc[[#This Row],[Requested]]=Proc[[#This Row],[CurrentParent]]</f>
        <v>1</v>
      </c>
      <c r="K750" s="144" t="str">
        <f>IF(Proc[[#This Row],[Author]]="Marcela Urrego",VLOOKUP(LEFT(Proc[[#This Row],[Requested]],1),Table3[#All],2,0),VLOOKUP(Proc[[#This Row],[Author]],Table4[],2,0))</f>
        <v>LS</v>
      </c>
      <c r="L750" s="32" t="s">
        <v>509</v>
      </c>
      <c r="M750" s="71">
        <v>45713.460798611108</v>
      </c>
      <c r="N750" s="71">
        <v>45715</v>
      </c>
      <c r="O750" s="71">
        <v>45715</v>
      </c>
      <c r="P750" s="70" t="str">
        <f ca="1">IF(Proc[[#This Row],[DaysAgeing]]&gt;5,"yep","on track")</f>
        <v>on track</v>
      </c>
      <c r="Q750" s="3">
        <f ca="1">IF(Proc[[#This Row],[DateClosed]]="",ABS(NETWORKDAYS(Proc[[#This Row],[DateOpened]],TODAY()))-1,ABS(NETWORKDAYS(Proc[[#This Row],[DateOpened]],Proc[[#This Row],[DateClosed]]))-1)</f>
        <v>2</v>
      </c>
      <c r="R750" s="70" t="s">
        <v>972</v>
      </c>
      <c r="S750" s="69"/>
    </row>
    <row r="751" spans="1:19" hidden="1">
      <c r="A751" s="68" t="s">
        <v>2197</v>
      </c>
      <c r="B751" s="149" t="str">
        <f>IFERROR(VLOOKUP(Proc[[#This Row],[App]],Table2[],3,0),"open")</f>
        <v>ok</v>
      </c>
      <c r="C751" s="68" t="s">
        <v>369</v>
      </c>
      <c r="D751" t="s">
        <v>2192</v>
      </c>
      <c r="E751" t="s">
        <v>2193</v>
      </c>
      <c r="F751" s="117" t="s">
        <v>2193</v>
      </c>
      <c r="G751" s="68" t="s">
        <v>400</v>
      </c>
      <c r="H751" s="69" t="str">
        <f>IF(Proc[[#This Row],[type]]="LFF (MDG-F)",MID(Proc[[#This Row],[Obj]],13,10),"")</f>
        <v/>
      </c>
      <c r="J751" s="69" t="b">
        <f>Proc[[#This Row],[Requested]]=Proc[[#This Row],[CurrentParent]]</f>
        <v>1</v>
      </c>
      <c r="K751" s="144" t="str">
        <f>IF(Proc[[#This Row],[Author]]="Marcela Urrego",VLOOKUP(LEFT(Proc[[#This Row],[Requested]],1),Table3[#All],2,0),VLOOKUP(Proc[[#This Row],[Author]],Table4[],2,0))</f>
        <v>LS</v>
      </c>
      <c r="L751" s="32" t="s">
        <v>509</v>
      </c>
      <c r="M751" s="71">
        <v>45713.460798611108</v>
      </c>
      <c r="N751" s="71">
        <v>45715</v>
      </c>
      <c r="O751" s="71">
        <v>45715</v>
      </c>
      <c r="P751" s="70" t="str">
        <f ca="1">IF(Proc[[#This Row],[DaysAgeing]]&gt;5,"yep","on track")</f>
        <v>on track</v>
      </c>
      <c r="Q751" s="3">
        <f ca="1">IF(Proc[[#This Row],[DateClosed]]="",ABS(NETWORKDAYS(Proc[[#This Row],[DateOpened]],TODAY()))-1,ABS(NETWORKDAYS(Proc[[#This Row],[DateOpened]],Proc[[#This Row],[DateClosed]]))-1)</f>
        <v>2</v>
      </c>
      <c r="R751" s="70" t="s">
        <v>972</v>
      </c>
      <c r="S751" s="69"/>
    </row>
    <row r="752" spans="1:19" hidden="1">
      <c r="A752" s="68" t="s">
        <v>2197</v>
      </c>
      <c r="B752" s="149" t="str">
        <f>IFERROR(VLOOKUP(Proc[[#This Row],[App]],Table2[],3,0),"open")</f>
        <v>ok</v>
      </c>
      <c r="C752" s="68" t="s">
        <v>369</v>
      </c>
      <c r="D752" t="s">
        <v>2194</v>
      </c>
      <c r="E752" t="s">
        <v>2193</v>
      </c>
      <c r="F752" s="117" t="s">
        <v>2193</v>
      </c>
      <c r="G752" s="68" t="s">
        <v>400</v>
      </c>
      <c r="H752" s="69" t="str">
        <f>IF(Proc[[#This Row],[type]]="LFF (MDG-F)",MID(Proc[[#This Row],[Obj]],13,10),"")</f>
        <v/>
      </c>
      <c r="J752" s="69" t="b">
        <f>Proc[[#This Row],[Requested]]=Proc[[#This Row],[CurrentParent]]</f>
        <v>1</v>
      </c>
      <c r="K752" s="144" t="str">
        <f>IF(Proc[[#This Row],[Author]]="Marcela Urrego",VLOOKUP(LEFT(Proc[[#This Row],[Requested]],1),Table3[#All],2,0),VLOOKUP(Proc[[#This Row],[Author]],Table4[],2,0))</f>
        <v>LS</v>
      </c>
      <c r="L752" s="32" t="s">
        <v>509</v>
      </c>
      <c r="M752" s="71">
        <v>45713.460798611108</v>
      </c>
      <c r="N752" s="71">
        <v>45715</v>
      </c>
      <c r="O752" s="71">
        <v>45715</v>
      </c>
      <c r="P752" s="70" t="str">
        <f ca="1">IF(Proc[[#This Row],[DaysAgeing]]&gt;5,"yep","on track")</f>
        <v>on track</v>
      </c>
      <c r="Q752" s="3">
        <f ca="1">IF(Proc[[#This Row],[DateClosed]]="",ABS(NETWORKDAYS(Proc[[#This Row],[DateOpened]],TODAY()))-1,ABS(NETWORKDAYS(Proc[[#This Row],[DateOpened]],Proc[[#This Row],[DateClosed]]))-1)</f>
        <v>2</v>
      </c>
      <c r="R752" s="70" t="s">
        <v>972</v>
      </c>
      <c r="S752" s="69"/>
    </row>
    <row r="753" spans="1:19" hidden="1">
      <c r="A753" s="68" t="s">
        <v>2197</v>
      </c>
      <c r="B753" s="149" t="str">
        <f>IFERROR(VLOOKUP(Proc[[#This Row],[App]],Table2[],3,0),"open")</f>
        <v>ok</v>
      </c>
      <c r="C753" s="68" t="s">
        <v>369</v>
      </c>
      <c r="D753" t="s">
        <v>2195</v>
      </c>
      <c r="E753" t="s">
        <v>2196</v>
      </c>
      <c r="F753" s="117" t="s">
        <v>2196</v>
      </c>
      <c r="G753" s="68" t="s">
        <v>400</v>
      </c>
      <c r="H753" s="69" t="str">
        <f>IF(Proc[[#This Row],[type]]="LFF (MDG-F)",MID(Proc[[#This Row],[Obj]],13,10),"")</f>
        <v/>
      </c>
      <c r="J753" s="69" t="b">
        <f>Proc[[#This Row],[Requested]]=Proc[[#This Row],[CurrentParent]]</f>
        <v>1</v>
      </c>
      <c r="K753" s="144" t="str">
        <f>IF(Proc[[#This Row],[Author]]="Marcela Urrego",VLOOKUP(LEFT(Proc[[#This Row],[Requested]],1),Table3[#All],2,0),VLOOKUP(Proc[[#This Row],[Author]],Table4[],2,0))</f>
        <v>LS</v>
      </c>
      <c r="L753" s="32" t="s">
        <v>509</v>
      </c>
      <c r="M753" s="71">
        <v>45713.460798611108</v>
      </c>
      <c r="N753" s="71">
        <v>45715</v>
      </c>
      <c r="O753" s="71">
        <v>45715</v>
      </c>
      <c r="P753" s="70" t="str">
        <f ca="1">IF(Proc[[#This Row],[DaysAgeing]]&gt;5,"yep","on track")</f>
        <v>on track</v>
      </c>
      <c r="Q753" s="3">
        <f ca="1">IF(Proc[[#This Row],[DateClosed]]="",ABS(NETWORKDAYS(Proc[[#This Row],[DateOpened]],TODAY()))-1,ABS(NETWORKDAYS(Proc[[#This Row],[DateOpened]],Proc[[#This Row],[DateClosed]]))-1)</f>
        <v>2</v>
      </c>
      <c r="R753" s="70" t="s">
        <v>972</v>
      </c>
      <c r="S753" s="69"/>
    </row>
    <row r="754" spans="1:19" hidden="1">
      <c r="A754" t="s">
        <v>2209</v>
      </c>
      <c r="B754" s="149" t="str">
        <f>IFERROR(VLOOKUP(Proc[[#This Row],[App]],Table2[],3,0),"open")</f>
        <v>ok</v>
      </c>
      <c r="C754" t="s">
        <v>369</v>
      </c>
      <c r="D754" t="s">
        <v>2207</v>
      </c>
      <c r="E754" t="s">
        <v>2208</v>
      </c>
      <c r="F754" s="117" t="s">
        <v>2208</v>
      </c>
      <c r="G754" t="s">
        <v>400</v>
      </c>
      <c r="H754" s="69" t="str">
        <f>IF(Proc[[#This Row],[type]]="LFF (MDG-F)",MID(Proc[[#This Row],[Obj]],13,10),"")</f>
        <v/>
      </c>
      <c r="J754" s="69" t="b">
        <f>Proc[[#This Row],[Requested]]=Proc[[#This Row],[CurrentParent]]</f>
        <v>1</v>
      </c>
      <c r="K754" s="144" t="str">
        <f>IF(Proc[[#This Row],[Author]]="Marcela Urrego",VLOOKUP(LEFT(Proc[[#This Row],[Requested]],1),Table3[#All],2,0),VLOOKUP(Proc[[#This Row],[Author]],Table4[],2,0))</f>
        <v>LS</v>
      </c>
      <c r="L754" s="32" t="s">
        <v>509</v>
      </c>
      <c r="M754" s="71">
        <v>45714.355810185189</v>
      </c>
      <c r="N754" s="71">
        <v>45716</v>
      </c>
      <c r="O754" s="71">
        <v>45716</v>
      </c>
      <c r="P754" s="70" t="str">
        <f ca="1">IF(Proc[[#This Row],[DaysAgeing]]&gt;5,"yep","on track")</f>
        <v>on track</v>
      </c>
      <c r="Q754" s="3">
        <f ca="1">IF(Proc[[#This Row],[DateClosed]]="",ABS(NETWORKDAYS(Proc[[#This Row],[DateOpened]],TODAY()))-1,ABS(NETWORKDAYS(Proc[[#This Row],[DateOpened]],Proc[[#This Row],[DateClosed]]))-1)</f>
        <v>2</v>
      </c>
      <c r="R754" s="70" t="s">
        <v>830</v>
      </c>
      <c r="S754" s="69"/>
    </row>
    <row r="755" spans="1:19" hidden="1">
      <c r="A755" t="s">
        <v>2210</v>
      </c>
      <c r="B755" s="149" t="str">
        <f>IFERROR(VLOOKUP(Proc[[#This Row],[App]],Table2[],3,0),"open")</f>
        <v>ok</v>
      </c>
      <c r="C755" s="68" t="s">
        <v>369</v>
      </c>
      <c r="D755" t="s">
        <v>2211</v>
      </c>
      <c r="E755" t="s">
        <v>2212</v>
      </c>
      <c r="F755" s="117" t="s">
        <v>2212</v>
      </c>
      <c r="G755" s="68" t="s">
        <v>406</v>
      </c>
      <c r="H755" s="69" t="str">
        <f>IF(Proc[[#This Row],[type]]="LFF (MDG-F)",MID(Proc[[#This Row],[Obj]],13,10),"")</f>
        <v>KR07C06030</v>
      </c>
      <c r="J755" s="69" t="b">
        <f>Proc[[#This Row],[Requested]]=Proc[[#This Row],[CurrentParent]]</f>
        <v>1</v>
      </c>
      <c r="K755" s="144" t="str">
        <f>IF(Proc[[#This Row],[Author]]="Marcela Urrego",VLOOKUP(LEFT(Proc[[#This Row],[Requested]],1),Table3[#All],2,0),VLOOKUP(Proc[[#This Row],[Author]],Table4[],2,0))</f>
        <v>MGF</v>
      </c>
      <c r="L755" s="32" t="s">
        <v>509</v>
      </c>
      <c r="M755" s="71">
        <v>45714.387881944444</v>
      </c>
      <c r="N755" s="71">
        <v>45716</v>
      </c>
      <c r="O755" s="71">
        <v>45716</v>
      </c>
      <c r="P755" s="70" t="str">
        <f ca="1">IF(Proc[[#This Row],[DaysAgeing]]&gt;5,"yep","on track")</f>
        <v>on track</v>
      </c>
      <c r="Q755" s="3">
        <f ca="1">IF(Proc[[#This Row],[DateClosed]]="",ABS(NETWORKDAYS(Proc[[#This Row],[DateOpened]],TODAY()))-1,ABS(NETWORKDAYS(Proc[[#This Row],[DateOpened]],Proc[[#This Row],[DateClosed]]))-1)</f>
        <v>2</v>
      </c>
      <c r="R755" s="70" t="s">
        <v>1076</v>
      </c>
      <c r="S755" s="69"/>
    </row>
    <row r="756" spans="1:19" hidden="1">
      <c r="A756" s="68" t="s">
        <v>2201</v>
      </c>
      <c r="B756" s="149" t="str">
        <f>IFERROR(VLOOKUP(Proc[[#This Row],[App]],Table2[],3,0),"open")</f>
        <v>ok</v>
      </c>
      <c r="C756" s="68" t="s">
        <v>369</v>
      </c>
      <c r="D756" t="s">
        <v>2213</v>
      </c>
      <c r="E756" t="s">
        <v>523</v>
      </c>
      <c r="F756" s="117" t="s">
        <v>523</v>
      </c>
      <c r="G756" s="68" t="s">
        <v>400</v>
      </c>
      <c r="H756" s="69" t="str">
        <f>IF(Proc[[#This Row],[type]]="LFF (MDG-F)",MID(Proc[[#This Row],[Obj]],13,10),"")</f>
        <v/>
      </c>
      <c r="J756" s="69" t="b">
        <f>Proc[[#This Row],[Requested]]=Proc[[#This Row],[CurrentParent]]</f>
        <v>1</v>
      </c>
      <c r="K756" s="144" t="str">
        <f>IF(Proc[[#This Row],[Author]]="Marcela Urrego",VLOOKUP(LEFT(Proc[[#This Row],[Requested]],1),Table3[#All],2,0),VLOOKUP(Proc[[#This Row],[Author]],Table4[],2,0))</f>
        <v>LS</v>
      </c>
      <c r="L756" s="32" t="s">
        <v>509</v>
      </c>
      <c r="M756" s="71">
        <v>45714.490324074075</v>
      </c>
      <c r="N756" s="71">
        <v>45716</v>
      </c>
      <c r="O756" s="71">
        <v>45716</v>
      </c>
      <c r="P756" s="70" t="str">
        <f ca="1">IF(Proc[[#This Row],[DaysAgeing]]&gt;5,"yep","on track")</f>
        <v>on track</v>
      </c>
      <c r="Q756" s="3">
        <f ca="1">IF(Proc[[#This Row],[DateClosed]]="",ABS(NETWORKDAYS(Proc[[#This Row],[DateOpened]],TODAY()))-1,ABS(NETWORKDAYS(Proc[[#This Row],[DateOpened]],Proc[[#This Row],[DateClosed]]))-1)</f>
        <v>2</v>
      </c>
      <c r="R756" s="70" t="s">
        <v>972</v>
      </c>
      <c r="S756" s="69"/>
    </row>
    <row r="757" spans="1:19" hidden="1">
      <c r="A757" s="68" t="s">
        <v>2201</v>
      </c>
      <c r="B757" s="149" t="str">
        <f>IFERROR(VLOOKUP(Proc[[#This Row],[App]],Table2[],3,0),"open")</f>
        <v>ok</v>
      </c>
      <c r="C757" s="68" t="s">
        <v>369</v>
      </c>
      <c r="D757" t="s">
        <v>2203</v>
      </c>
      <c r="E757" t="s">
        <v>2205</v>
      </c>
      <c r="F757" s="117" t="s">
        <v>2205</v>
      </c>
      <c r="G757" s="68" t="s">
        <v>400</v>
      </c>
      <c r="H757" s="69" t="str">
        <f>IF(Proc[[#This Row],[type]]="LFF (MDG-F)",MID(Proc[[#This Row],[Obj]],13,10),"")</f>
        <v/>
      </c>
      <c r="J757" s="69" t="b">
        <f>Proc[[#This Row],[Requested]]=Proc[[#This Row],[CurrentParent]]</f>
        <v>1</v>
      </c>
      <c r="K757" s="144" t="str">
        <f>IF(Proc[[#This Row],[Author]]="Marcela Urrego",VLOOKUP(LEFT(Proc[[#This Row],[Requested]],1),Table3[#All],2,0),VLOOKUP(Proc[[#This Row],[Author]],Table4[],2,0))</f>
        <v>LS</v>
      </c>
      <c r="L757" s="32" t="s">
        <v>509</v>
      </c>
      <c r="M757" s="71">
        <v>45714.490324074075</v>
      </c>
      <c r="N757" s="71">
        <v>45716</v>
      </c>
      <c r="O757" s="71">
        <v>45716</v>
      </c>
      <c r="P757" s="70" t="str">
        <f ca="1">IF(Proc[[#This Row],[DaysAgeing]]&gt;5,"yep","on track")</f>
        <v>on track</v>
      </c>
      <c r="Q757" s="3">
        <f ca="1">IF(Proc[[#This Row],[DateClosed]]="",ABS(NETWORKDAYS(Proc[[#This Row],[DateOpened]],TODAY()))-1,ABS(NETWORKDAYS(Proc[[#This Row],[DateOpened]],Proc[[#This Row],[DateClosed]]))-1)</f>
        <v>2</v>
      </c>
      <c r="R757" s="70" t="s">
        <v>972</v>
      </c>
      <c r="S757" s="69"/>
    </row>
    <row r="758" spans="1:19" hidden="1">
      <c r="A758" s="68" t="s">
        <v>2201</v>
      </c>
      <c r="B758" s="149" t="str">
        <f>IFERROR(VLOOKUP(Proc[[#This Row],[App]],Table2[],3,0),"open")</f>
        <v>ok</v>
      </c>
      <c r="C758" s="68" t="s">
        <v>369</v>
      </c>
      <c r="D758" t="s">
        <v>2204</v>
      </c>
      <c r="E758" t="s">
        <v>2206</v>
      </c>
      <c r="F758" s="117" t="s">
        <v>2206</v>
      </c>
      <c r="G758" s="68" t="s">
        <v>400</v>
      </c>
      <c r="H758" s="69" t="str">
        <f>IF(Proc[[#This Row],[type]]="LFF (MDG-F)",MID(Proc[[#This Row],[Obj]],13,10),"")</f>
        <v/>
      </c>
      <c r="J758" s="69" t="b">
        <f>Proc[[#This Row],[Requested]]=Proc[[#This Row],[CurrentParent]]</f>
        <v>1</v>
      </c>
      <c r="K758" s="144" t="str">
        <f>IF(Proc[[#This Row],[Author]]="Marcela Urrego",VLOOKUP(LEFT(Proc[[#This Row],[Requested]],1),Table3[#All],2,0),VLOOKUP(Proc[[#This Row],[Author]],Table4[],2,0))</f>
        <v>LS</v>
      </c>
      <c r="L758" s="32" t="s">
        <v>509</v>
      </c>
      <c r="M758" s="71">
        <v>45714.490324074075</v>
      </c>
      <c r="N758" s="71">
        <v>45716</v>
      </c>
      <c r="O758" s="71">
        <v>45716</v>
      </c>
      <c r="P758" s="70" t="str">
        <f ca="1">IF(Proc[[#This Row],[DaysAgeing]]&gt;5,"yep","on track")</f>
        <v>on track</v>
      </c>
      <c r="Q758" s="3">
        <f ca="1">IF(Proc[[#This Row],[DateClosed]]="",ABS(NETWORKDAYS(Proc[[#This Row],[DateOpened]],TODAY()))-1,ABS(NETWORKDAYS(Proc[[#This Row],[DateOpened]],Proc[[#This Row],[DateClosed]]))-1)</f>
        <v>2</v>
      </c>
      <c r="R758" s="70" t="s">
        <v>972</v>
      </c>
      <c r="S758" s="69"/>
    </row>
    <row r="759" spans="1:19" hidden="1">
      <c r="A759" t="s">
        <v>2201</v>
      </c>
      <c r="B759" s="149" t="str">
        <f>IFERROR(VLOOKUP(Proc[[#This Row],[App]],Table2[],3,0),"open")</f>
        <v>ok</v>
      </c>
      <c r="C759" s="68" t="s">
        <v>369</v>
      </c>
      <c r="D759" s="68" t="s">
        <v>2202</v>
      </c>
      <c r="E759" t="s">
        <v>2205</v>
      </c>
      <c r="F759" s="117" t="s">
        <v>2205</v>
      </c>
      <c r="G759" s="68" t="s">
        <v>400</v>
      </c>
      <c r="H759" s="69" t="str">
        <f>IF(Proc[[#This Row],[type]]="LFF (MDG-F)",MID(Proc[[#This Row],[Obj]],13,10),"")</f>
        <v/>
      </c>
      <c r="J759" s="69" t="b">
        <f>Proc[[#This Row],[Requested]]=Proc[[#This Row],[CurrentParent]]</f>
        <v>1</v>
      </c>
      <c r="K759" s="144" t="str">
        <f>IF(Proc[[#This Row],[Author]]="Marcela Urrego",VLOOKUP(LEFT(Proc[[#This Row],[Requested]],1),Table3[#All],2,0),VLOOKUP(Proc[[#This Row],[Author]],Table4[],2,0))</f>
        <v>LS</v>
      </c>
      <c r="L759" s="32" t="s">
        <v>509</v>
      </c>
      <c r="M759" s="71">
        <v>45714.490324074075</v>
      </c>
      <c r="N759" s="71">
        <v>45716</v>
      </c>
      <c r="O759" s="71">
        <v>45716</v>
      </c>
      <c r="P759" s="70" t="str">
        <f ca="1">IF(Proc[[#This Row],[DaysAgeing]]&gt;5,"yep","on track")</f>
        <v>on track</v>
      </c>
      <c r="Q759" s="3">
        <f ca="1">IF(Proc[[#This Row],[DateClosed]]="",ABS(NETWORKDAYS(Proc[[#This Row],[DateOpened]],TODAY()))-1,ABS(NETWORKDAYS(Proc[[#This Row],[DateOpened]],Proc[[#This Row],[DateClosed]]))-1)</f>
        <v>2</v>
      </c>
      <c r="R759" s="70" t="s">
        <v>972</v>
      </c>
      <c r="S759" s="69"/>
    </row>
    <row r="760" spans="1:19" hidden="1">
      <c r="A760" t="s">
        <v>2198</v>
      </c>
      <c r="B760" s="149" t="str">
        <f>IFERROR(VLOOKUP(Proc[[#This Row],[App]],Table2[],3,0),"open")</f>
        <v>ok</v>
      </c>
      <c r="C760" s="68" t="s">
        <v>369</v>
      </c>
      <c r="D760" t="s">
        <v>2199</v>
      </c>
      <c r="E760" t="s">
        <v>2200</v>
      </c>
      <c r="F760" s="117" t="s">
        <v>2200</v>
      </c>
      <c r="G760" t="s">
        <v>400</v>
      </c>
      <c r="H760" s="69" t="str">
        <f>IF(Proc[[#This Row],[type]]="LFF (MDG-F)",MID(Proc[[#This Row],[Obj]],13,10),"")</f>
        <v/>
      </c>
      <c r="J760" s="69" t="b">
        <f>Proc[[#This Row],[Requested]]=Proc[[#This Row],[CurrentParent]]</f>
        <v>1</v>
      </c>
      <c r="K760" s="144" t="str">
        <f>IF(Proc[[#This Row],[Author]]="Marcela Urrego",VLOOKUP(LEFT(Proc[[#This Row],[Requested]],1),Table3[#All],2,0),VLOOKUP(Proc[[#This Row],[Author]],Table4[],2,0))</f>
        <v>LS</v>
      </c>
      <c r="L760" s="32" t="s">
        <v>509</v>
      </c>
      <c r="M760" s="71">
        <v>45714.601423611108</v>
      </c>
      <c r="N760" s="71">
        <v>45716</v>
      </c>
      <c r="O760" s="71">
        <v>45716</v>
      </c>
      <c r="P760" s="70" t="str">
        <f ca="1">IF(Proc[[#This Row],[DaysAgeing]]&gt;5,"yep","on track")</f>
        <v>on track</v>
      </c>
      <c r="Q760" s="3">
        <f ca="1">IF(Proc[[#This Row],[DateClosed]]="",ABS(NETWORKDAYS(Proc[[#This Row],[DateOpened]],TODAY()))-1,ABS(NETWORKDAYS(Proc[[#This Row],[DateOpened]],Proc[[#This Row],[DateClosed]]))-1)</f>
        <v>2</v>
      </c>
      <c r="R760" s="70" t="s">
        <v>972</v>
      </c>
      <c r="S760" s="69"/>
    </row>
    <row r="761" spans="1:19" hidden="1">
      <c r="A761" t="s">
        <v>2217</v>
      </c>
      <c r="B761" s="149" t="str">
        <f>IFERROR(VLOOKUP(Proc[[#This Row],[App]],Table2[],3,0),"open")</f>
        <v>ok</v>
      </c>
      <c r="C761" s="68" t="s">
        <v>369</v>
      </c>
      <c r="D761" t="s">
        <v>2218</v>
      </c>
      <c r="E761" t="s">
        <v>2219</v>
      </c>
      <c r="F761" s="117" t="s">
        <v>2219</v>
      </c>
      <c r="G761" t="s">
        <v>406</v>
      </c>
      <c r="H761" s="69" t="str">
        <f>IF(Proc[[#This Row],[type]]="LFF (MDG-F)",MID(Proc[[#This Row],[Obj]],13,10),"")</f>
        <v>KR02TPAZ06</v>
      </c>
      <c r="J761" s="69" t="b">
        <f>Proc[[#This Row],[Requested]]=Proc[[#This Row],[CurrentParent]]</f>
        <v>1</v>
      </c>
      <c r="K761" s="144" t="str">
        <f>IF(Proc[[#This Row],[Author]]="Marcela Urrego",VLOOKUP(LEFT(Proc[[#This Row],[Requested]],1),Table3[#All],2,0),VLOOKUP(Proc[[#This Row],[Author]],Table4[],2,0))</f>
        <v>MGF</v>
      </c>
      <c r="L761" s="32" t="s">
        <v>509</v>
      </c>
      <c r="M761" s="71">
        <v>45715.620972222219</v>
      </c>
      <c r="N761" s="71">
        <v>45719</v>
      </c>
      <c r="O761" s="71">
        <v>45719</v>
      </c>
      <c r="P761" s="70" t="str">
        <f ca="1">IF(Proc[[#This Row],[DaysAgeing]]&gt;5,"yep","on track")</f>
        <v>on track</v>
      </c>
      <c r="Q761" s="3">
        <f ca="1">IF(Proc[[#This Row],[DateClosed]]="",ABS(NETWORKDAYS(Proc[[#This Row],[DateOpened]],TODAY()))-1,ABS(NETWORKDAYS(Proc[[#This Row],[DateOpened]],Proc[[#This Row],[DateClosed]]))-1)</f>
        <v>2</v>
      </c>
      <c r="R761" s="70" t="s">
        <v>1076</v>
      </c>
      <c r="S761" s="69"/>
    </row>
    <row r="762" spans="1:19" hidden="1">
      <c r="A762" t="s">
        <v>2216</v>
      </c>
      <c r="B762" s="149" t="str">
        <f>IFERROR(VLOOKUP(Proc[[#This Row],[App]],Table2[],3,0),"open")</f>
        <v>ok</v>
      </c>
      <c r="C762" s="68" t="s">
        <v>369</v>
      </c>
      <c r="D762" t="s">
        <v>2214</v>
      </c>
      <c r="E762" t="s">
        <v>413</v>
      </c>
      <c r="F762" s="117" t="s">
        <v>413</v>
      </c>
      <c r="G762" t="s">
        <v>400</v>
      </c>
      <c r="H762" s="69" t="str">
        <f>IF(Proc[[#This Row],[type]]="LFF (MDG-F)",MID(Proc[[#This Row],[Obj]],13,10),"")</f>
        <v/>
      </c>
      <c r="J762" s="69" t="b">
        <f>Proc[[#This Row],[Requested]]=Proc[[#This Row],[CurrentParent]]</f>
        <v>1</v>
      </c>
      <c r="K762" s="144" t="str">
        <f>IF(Proc[[#This Row],[Author]]="Marcela Urrego",VLOOKUP(LEFT(Proc[[#This Row],[Requested]],1),Table3[#All],2,0),VLOOKUP(Proc[[#This Row],[Author]],Table4[],2,0))</f>
        <v>MGF</v>
      </c>
      <c r="L762" s="32" t="s">
        <v>509</v>
      </c>
      <c r="M762" s="71">
        <v>45715.634722222225</v>
      </c>
      <c r="N762" s="71">
        <v>45716</v>
      </c>
      <c r="O762" s="71">
        <v>45716</v>
      </c>
      <c r="P762" s="70" t="str">
        <f ca="1">IF(Proc[[#This Row],[DaysAgeing]]&gt;5,"yep","on track")</f>
        <v>on track</v>
      </c>
      <c r="Q762" s="3">
        <f ca="1">IF(Proc[[#This Row],[DateClosed]]="",ABS(NETWORKDAYS(Proc[[#This Row],[DateOpened]],TODAY()))-1,ABS(NETWORKDAYS(Proc[[#This Row],[DateOpened]],Proc[[#This Row],[DateClosed]]))-1)</f>
        <v>1</v>
      </c>
      <c r="R762" s="70" t="s">
        <v>515</v>
      </c>
      <c r="S762" s="69"/>
    </row>
    <row r="763" spans="1:19" hidden="1">
      <c r="A763" t="s">
        <v>2216</v>
      </c>
      <c r="B763" s="149" t="str">
        <f>IFERROR(VLOOKUP(Proc[[#This Row],[App]],Table2[],3,0),"open")</f>
        <v>ok</v>
      </c>
      <c r="C763" t="s">
        <v>369</v>
      </c>
      <c r="D763" t="s">
        <v>2215</v>
      </c>
      <c r="E763" t="s">
        <v>413</v>
      </c>
      <c r="F763" s="117" t="s">
        <v>413</v>
      </c>
      <c r="G763" s="68" t="s">
        <v>400</v>
      </c>
      <c r="H763" s="69" t="str">
        <f>IF(Proc[[#This Row],[type]]="LFF (MDG-F)",MID(Proc[[#This Row],[Obj]],13,10),"")</f>
        <v/>
      </c>
      <c r="J763" s="69" t="b">
        <f>Proc[[#This Row],[Requested]]=Proc[[#This Row],[CurrentParent]]</f>
        <v>1</v>
      </c>
      <c r="K763" s="144" t="str">
        <f>IF(Proc[[#This Row],[Author]]="Marcela Urrego",VLOOKUP(LEFT(Proc[[#This Row],[Requested]],1),Table3[#All],2,0),VLOOKUP(Proc[[#This Row],[Author]],Table4[],2,0))</f>
        <v>MGF</v>
      </c>
      <c r="L763" s="32" t="s">
        <v>509</v>
      </c>
      <c r="M763" s="71">
        <v>45715.634722222225</v>
      </c>
      <c r="N763" s="71">
        <v>45716</v>
      </c>
      <c r="O763" s="71">
        <v>45716</v>
      </c>
      <c r="P763" s="70" t="str">
        <f ca="1">IF(Proc[[#This Row],[DaysAgeing]]&gt;5,"yep","on track")</f>
        <v>on track</v>
      </c>
      <c r="Q763" s="3">
        <f ca="1">IF(Proc[[#This Row],[DateClosed]]="",ABS(NETWORKDAYS(Proc[[#This Row],[DateOpened]],TODAY()))-1,ABS(NETWORKDAYS(Proc[[#This Row],[DateOpened]],Proc[[#This Row],[DateClosed]]))-1)</f>
        <v>1</v>
      </c>
      <c r="R763" s="70" t="s">
        <v>515</v>
      </c>
      <c r="S763" s="69"/>
    </row>
    <row r="764" spans="1:19" hidden="1">
      <c r="A764" t="s">
        <v>2279</v>
      </c>
      <c r="B764" s="149" t="str">
        <f>IFERROR(VLOOKUP(Proc[[#This Row],[App]],Table2[],3,0),"open")</f>
        <v>ok</v>
      </c>
      <c r="C764" t="s">
        <v>369</v>
      </c>
      <c r="D764" t="s">
        <v>2268</v>
      </c>
      <c r="E764" t="s">
        <v>2269</v>
      </c>
      <c r="F764" s="117" t="s">
        <v>2269</v>
      </c>
      <c r="G764" t="s">
        <v>400</v>
      </c>
      <c r="H764" s="69" t="str">
        <f>IF(Proc[[#This Row],[type]]="LFF (MDG-F)",MID(Proc[[#This Row],[Obj]],13,10),"")</f>
        <v/>
      </c>
      <c r="J764" s="69" t="b">
        <f>Proc[[#This Row],[Requested]]=Proc[[#This Row],[CurrentParent]]</f>
        <v>1</v>
      </c>
      <c r="K764" s="144" t="str">
        <f>IF(Proc[[#This Row],[Author]]="Marcela Urrego",VLOOKUP(LEFT(Proc[[#This Row],[Requested]],1),Table3[#All],2,0),VLOOKUP(Proc[[#This Row],[Author]],Table4[],2,0))</f>
        <v>HC</v>
      </c>
      <c r="L764" s="32" t="s">
        <v>509</v>
      </c>
      <c r="M764" s="71">
        <v>45716.405740740738</v>
      </c>
      <c r="N764" s="71">
        <v>45721</v>
      </c>
      <c r="O764" s="71">
        <v>45721</v>
      </c>
      <c r="P764" s="70" t="str">
        <f ca="1">IF(Proc[[#This Row],[DaysAgeing]]&gt;5,"yep","on track")</f>
        <v>on track</v>
      </c>
      <c r="Q764" s="3">
        <f ca="1">IF(Proc[[#This Row],[DateClosed]]="",ABS(NETWORKDAYS(Proc[[#This Row],[DateOpened]],TODAY()))-1,ABS(NETWORKDAYS(Proc[[#This Row],[DateOpened]],Proc[[#This Row],[DateClosed]]))-1)</f>
        <v>3</v>
      </c>
      <c r="R764" s="70" t="s">
        <v>738</v>
      </c>
      <c r="S764" s="69"/>
    </row>
    <row r="765" spans="1:19" hidden="1">
      <c r="A765" s="68" t="s">
        <v>2279</v>
      </c>
      <c r="B765" s="149" t="str">
        <f>IFERROR(VLOOKUP(Proc[[#This Row],[App]],Table2[],3,0),"open")</f>
        <v>ok</v>
      </c>
      <c r="C765" s="68" t="s">
        <v>369</v>
      </c>
      <c r="D765" t="s">
        <v>2270</v>
      </c>
      <c r="E765" t="s">
        <v>2269</v>
      </c>
      <c r="F765" s="117" t="s">
        <v>2269</v>
      </c>
      <c r="G765" s="68" t="s">
        <v>400</v>
      </c>
      <c r="H765" s="69" t="str">
        <f>IF(Proc[[#This Row],[type]]="LFF (MDG-F)",MID(Proc[[#This Row],[Obj]],13,10),"")</f>
        <v/>
      </c>
      <c r="J765" s="69" t="b">
        <f>Proc[[#This Row],[Requested]]=Proc[[#This Row],[CurrentParent]]</f>
        <v>1</v>
      </c>
      <c r="K765" s="144" t="str">
        <f>IF(Proc[[#This Row],[Author]]="Marcela Urrego",VLOOKUP(LEFT(Proc[[#This Row],[Requested]],1),Table3[#All],2,0),VLOOKUP(Proc[[#This Row],[Author]],Table4[],2,0))</f>
        <v>HC</v>
      </c>
      <c r="L765" s="32" t="s">
        <v>509</v>
      </c>
      <c r="M765" s="71">
        <v>45716.405740740738</v>
      </c>
      <c r="N765" s="71">
        <v>45721</v>
      </c>
      <c r="O765" s="71">
        <v>45721</v>
      </c>
      <c r="P765" s="70" t="str">
        <f ca="1">IF(Proc[[#This Row],[DaysAgeing]]&gt;5,"yep","on track")</f>
        <v>on track</v>
      </c>
      <c r="Q765" s="3">
        <f ca="1">IF(Proc[[#This Row],[DateClosed]]="",ABS(NETWORKDAYS(Proc[[#This Row],[DateOpened]],TODAY()))-1,ABS(NETWORKDAYS(Proc[[#This Row],[DateOpened]],Proc[[#This Row],[DateClosed]]))-1)</f>
        <v>3</v>
      </c>
      <c r="R765" s="70" t="s">
        <v>738</v>
      </c>
      <c r="S765" s="69"/>
    </row>
    <row r="766" spans="1:19" hidden="1">
      <c r="A766" s="68" t="s">
        <v>2279</v>
      </c>
      <c r="B766" s="149" t="str">
        <f>IFERROR(VLOOKUP(Proc[[#This Row],[App]],Table2[],3,0),"open")</f>
        <v>ok</v>
      </c>
      <c r="C766" s="68" t="s">
        <v>369</v>
      </c>
      <c r="D766" t="s">
        <v>2271</v>
      </c>
      <c r="E766" t="s">
        <v>2269</v>
      </c>
      <c r="F766" s="117" t="s">
        <v>2269</v>
      </c>
      <c r="G766" s="68" t="s">
        <v>400</v>
      </c>
      <c r="H766" s="69" t="str">
        <f>IF(Proc[[#This Row],[type]]="LFF (MDG-F)",MID(Proc[[#This Row],[Obj]],13,10),"")</f>
        <v/>
      </c>
      <c r="J766" s="69" t="b">
        <f>Proc[[#This Row],[Requested]]=Proc[[#This Row],[CurrentParent]]</f>
        <v>1</v>
      </c>
      <c r="K766" s="144" t="str">
        <f>IF(Proc[[#This Row],[Author]]="Marcela Urrego",VLOOKUP(LEFT(Proc[[#This Row],[Requested]],1),Table3[#All],2,0),VLOOKUP(Proc[[#This Row],[Author]],Table4[],2,0))</f>
        <v>HC</v>
      </c>
      <c r="L766" s="32" t="s">
        <v>509</v>
      </c>
      <c r="M766" s="71">
        <v>45716.405740740738</v>
      </c>
      <c r="N766" s="71">
        <v>45721</v>
      </c>
      <c r="O766" s="71">
        <v>45721</v>
      </c>
      <c r="P766" s="70" t="str">
        <f ca="1">IF(Proc[[#This Row],[DaysAgeing]]&gt;5,"yep","on track")</f>
        <v>on track</v>
      </c>
      <c r="Q766" s="3">
        <f ca="1">IF(Proc[[#This Row],[DateClosed]]="",ABS(NETWORKDAYS(Proc[[#This Row],[DateOpened]],TODAY()))-1,ABS(NETWORKDAYS(Proc[[#This Row],[DateOpened]],Proc[[#This Row],[DateClosed]]))-1)</f>
        <v>3</v>
      </c>
      <c r="R766" s="70" t="s">
        <v>738</v>
      </c>
      <c r="S766" s="69"/>
    </row>
    <row r="767" spans="1:19" hidden="1">
      <c r="A767" s="68" t="s">
        <v>2279</v>
      </c>
      <c r="B767" s="149" t="str">
        <f>IFERROR(VLOOKUP(Proc[[#This Row],[App]],Table2[],3,0),"open")</f>
        <v>ok</v>
      </c>
      <c r="C767" s="68" t="s">
        <v>369</v>
      </c>
      <c r="D767" t="s">
        <v>2272</v>
      </c>
      <c r="E767" t="s">
        <v>2269</v>
      </c>
      <c r="F767" s="117" t="s">
        <v>2269</v>
      </c>
      <c r="G767" s="68" t="s">
        <v>400</v>
      </c>
      <c r="H767" s="69" t="str">
        <f>IF(Proc[[#This Row],[type]]="LFF (MDG-F)",MID(Proc[[#This Row],[Obj]],13,10),"")</f>
        <v/>
      </c>
      <c r="J767" s="69" t="b">
        <f>Proc[[#This Row],[Requested]]=Proc[[#This Row],[CurrentParent]]</f>
        <v>1</v>
      </c>
      <c r="K767" s="144" t="str">
        <f>IF(Proc[[#This Row],[Author]]="Marcela Urrego",VLOOKUP(LEFT(Proc[[#This Row],[Requested]],1),Table3[#All],2,0),VLOOKUP(Proc[[#This Row],[Author]],Table4[],2,0))</f>
        <v>HC</v>
      </c>
      <c r="L767" s="32" t="s">
        <v>509</v>
      </c>
      <c r="M767" s="71">
        <v>45716.405740740738</v>
      </c>
      <c r="N767" s="71">
        <v>45721</v>
      </c>
      <c r="O767" s="71">
        <v>45721</v>
      </c>
      <c r="P767" s="70" t="str">
        <f ca="1">IF(Proc[[#This Row],[DaysAgeing]]&gt;5,"yep","on track")</f>
        <v>on track</v>
      </c>
      <c r="Q767" s="3">
        <f ca="1">IF(Proc[[#This Row],[DateClosed]]="",ABS(NETWORKDAYS(Proc[[#This Row],[DateOpened]],TODAY()))-1,ABS(NETWORKDAYS(Proc[[#This Row],[DateOpened]],Proc[[#This Row],[DateClosed]]))-1)</f>
        <v>3</v>
      </c>
      <c r="R767" s="70" t="s">
        <v>738</v>
      </c>
      <c r="S767" s="69"/>
    </row>
    <row r="768" spans="1:19" hidden="1">
      <c r="A768" s="68" t="s">
        <v>2279</v>
      </c>
      <c r="B768" s="149" t="str">
        <f>IFERROR(VLOOKUP(Proc[[#This Row],[App]],Table2[],3,0),"open")</f>
        <v>ok</v>
      </c>
      <c r="C768" s="68" t="s">
        <v>369</v>
      </c>
      <c r="D768" t="s">
        <v>2273</v>
      </c>
      <c r="E768" t="s">
        <v>2274</v>
      </c>
      <c r="F768" s="117" t="s">
        <v>2274</v>
      </c>
      <c r="G768" s="68" t="s">
        <v>400</v>
      </c>
      <c r="H768" s="69" t="str">
        <f>IF(Proc[[#This Row],[type]]="LFF (MDG-F)",MID(Proc[[#This Row],[Obj]],13,10),"")</f>
        <v/>
      </c>
      <c r="J768" s="69" t="b">
        <f>Proc[[#This Row],[Requested]]=Proc[[#This Row],[CurrentParent]]</f>
        <v>1</v>
      </c>
      <c r="K768" s="144" t="str">
        <f>IF(Proc[[#This Row],[Author]]="Marcela Urrego",VLOOKUP(LEFT(Proc[[#This Row],[Requested]],1),Table3[#All],2,0),VLOOKUP(Proc[[#This Row],[Author]],Table4[],2,0))</f>
        <v>HC</v>
      </c>
      <c r="L768" s="32" t="s">
        <v>509</v>
      </c>
      <c r="M768" s="71">
        <v>45716.405740740738</v>
      </c>
      <c r="N768" s="71">
        <v>45721</v>
      </c>
      <c r="O768" s="71">
        <v>45721</v>
      </c>
      <c r="P768" s="70" t="str">
        <f ca="1">IF(Proc[[#This Row],[DaysAgeing]]&gt;5,"yep","on track")</f>
        <v>on track</v>
      </c>
      <c r="Q768" s="3">
        <f ca="1">IF(Proc[[#This Row],[DateClosed]]="",ABS(NETWORKDAYS(Proc[[#This Row],[DateOpened]],TODAY()))-1,ABS(NETWORKDAYS(Proc[[#This Row],[DateOpened]],Proc[[#This Row],[DateClosed]]))-1)</f>
        <v>3</v>
      </c>
      <c r="R768" s="70" t="s">
        <v>738</v>
      </c>
      <c r="S768" s="69"/>
    </row>
    <row r="769" spans="1:19" hidden="1">
      <c r="A769" s="68" t="s">
        <v>2279</v>
      </c>
      <c r="B769" s="149" t="str">
        <f>IFERROR(VLOOKUP(Proc[[#This Row],[App]],Table2[],3,0),"open")</f>
        <v>ok</v>
      </c>
      <c r="C769" s="68" t="s">
        <v>369</v>
      </c>
      <c r="D769" t="s">
        <v>2275</v>
      </c>
      <c r="E769" t="s">
        <v>2274</v>
      </c>
      <c r="F769" s="117" t="s">
        <v>2274</v>
      </c>
      <c r="G769" s="68" t="s">
        <v>400</v>
      </c>
      <c r="H769" s="69" t="str">
        <f>IF(Proc[[#This Row],[type]]="LFF (MDG-F)",MID(Proc[[#This Row],[Obj]],13,10),"")</f>
        <v/>
      </c>
      <c r="J769" s="69" t="b">
        <f>Proc[[#This Row],[Requested]]=Proc[[#This Row],[CurrentParent]]</f>
        <v>1</v>
      </c>
      <c r="K769" s="144" t="str">
        <f>IF(Proc[[#This Row],[Author]]="Marcela Urrego",VLOOKUP(LEFT(Proc[[#This Row],[Requested]],1),Table3[#All],2,0),VLOOKUP(Proc[[#This Row],[Author]],Table4[],2,0))</f>
        <v>HC</v>
      </c>
      <c r="L769" s="32" t="s">
        <v>509</v>
      </c>
      <c r="M769" s="71">
        <v>45716.405740740738</v>
      </c>
      <c r="N769" s="71">
        <v>45721</v>
      </c>
      <c r="O769" s="71">
        <v>45721</v>
      </c>
      <c r="P769" s="70" t="str">
        <f ca="1">IF(Proc[[#This Row],[DaysAgeing]]&gt;5,"yep","on track")</f>
        <v>on track</v>
      </c>
      <c r="Q769" s="3">
        <f ca="1">IF(Proc[[#This Row],[DateClosed]]="",ABS(NETWORKDAYS(Proc[[#This Row],[DateOpened]],TODAY()))-1,ABS(NETWORKDAYS(Proc[[#This Row],[DateOpened]],Proc[[#This Row],[DateClosed]]))-1)</f>
        <v>3</v>
      </c>
      <c r="R769" s="70" t="s">
        <v>738</v>
      </c>
      <c r="S769" s="69"/>
    </row>
    <row r="770" spans="1:19" hidden="1">
      <c r="A770" s="68" t="s">
        <v>2279</v>
      </c>
      <c r="B770" s="149" t="str">
        <f>IFERROR(VLOOKUP(Proc[[#This Row],[App]],Table2[],3,0),"open")</f>
        <v>ok</v>
      </c>
      <c r="C770" s="68" t="s">
        <v>369</v>
      </c>
      <c r="D770" t="s">
        <v>2276</v>
      </c>
      <c r="E770" t="s">
        <v>2274</v>
      </c>
      <c r="F770" s="117" t="s">
        <v>2274</v>
      </c>
      <c r="G770" s="68" t="s">
        <v>400</v>
      </c>
      <c r="H770" s="69" t="str">
        <f>IF(Proc[[#This Row],[type]]="LFF (MDG-F)",MID(Proc[[#This Row],[Obj]],13,10),"")</f>
        <v/>
      </c>
      <c r="J770" s="69" t="b">
        <f>Proc[[#This Row],[Requested]]=Proc[[#This Row],[CurrentParent]]</f>
        <v>1</v>
      </c>
      <c r="K770" s="144" t="str">
        <f>IF(Proc[[#This Row],[Author]]="Marcela Urrego",VLOOKUP(LEFT(Proc[[#This Row],[Requested]],1),Table3[#All],2,0),VLOOKUP(Proc[[#This Row],[Author]],Table4[],2,0))</f>
        <v>HC</v>
      </c>
      <c r="L770" s="32" t="s">
        <v>509</v>
      </c>
      <c r="M770" s="71">
        <v>45716.405740740738</v>
      </c>
      <c r="N770" s="71">
        <v>45721</v>
      </c>
      <c r="O770" s="71">
        <v>45721</v>
      </c>
      <c r="P770" s="70" t="str">
        <f ca="1">IF(Proc[[#This Row],[DaysAgeing]]&gt;5,"yep","on track")</f>
        <v>on track</v>
      </c>
      <c r="Q770" s="3">
        <f ca="1">IF(Proc[[#This Row],[DateClosed]]="",ABS(NETWORKDAYS(Proc[[#This Row],[DateOpened]],TODAY()))-1,ABS(NETWORKDAYS(Proc[[#This Row],[DateOpened]],Proc[[#This Row],[DateClosed]]))-1)</f>
        <v>3</v>
      </c>
      <c r="R770" s="70" t="s">
        <v>738</v>
      </c>
      <c r="S770" s="69"/>
    </row>
    <row r="771" spans="1:19" hidden="1">
      <c r="A771" s="68" t="s">
        <v>2279</v>
      </c>
      <c r="B771" s="149" t="str">
        <f>IFERROR(VLOOKUP(Proc[[#This Row],[App]],Table2[],3,0),"open")</f>
        <v>ok</v>
      </c>
      <c r="C771" s="68" t="s">
        <v>369</v>
      </c>
      <c r="D771" t="s">
        <v>2277</v>
      </c>
      <c r="E771" t="s">
        <v>2278</v>
      </c>
      <c r="F771" s="117" t="s">
        <v>2278</v>
      </c>
      <c r="G771" s="68" t="s">
        <v>400</v>
      </c>
      <c r="H771" s="69" t="str">
        <f>IF(Proc[[#This Row],[type]]="LFF (MDG-F)",MID(Proc[[#This Row],[Obj]],13,10),"")</f>
        <v/>
      </c>
      <c r="J771" s="69" t="b">
        <f>Proc[[#This Row],[Requested]]=Proc[[#This Row],[CurrentParent]]</f>
        <v>1</v>
      </c>
      <c r="K771" s="144" t="str">
        <f>IF(Proc[[#This Row],[Author]]="Marcela Urrego",VLOOKUP(LEFT(Proc[[#This Row],[Requested]],1),Table3[#All],2,0),VLOOKUP(Proc[[#This Row],[Author]],Table4[],2,0))</f>
        <v>HC</v>
      </c>
      <c r="L771" s="32" t="s">
        <v>509</v>
      </c>
      <c r="M771" s="71">
        <v>45716.405740740738</v>
      </c>
      <c r="N771" s="71">
        <v>45721</v>
      </c>
      <c r="O771" s="71">
        <v>45721</v>
      </c>
      <c r="P771" s="70" t="str">
        <f ca="1">IF(Proc[[#This Row],[DaysAgeing]]&gt;5,"yep","on track")</f>
        <v>on track</v>
      </c>
      <c r="Q771" s="3">
        <f ca="1">IF(Proc[[#This Row],[DateClosed]]="",ABS(NETWORKDAYS(Proc[[#This Row],[DateOpened]],TODAY()))-1,ABS(NETWORKDAYS(Proc[[#This Row],[DateOpened]],Proc[[#This Row],[DateClosed]]))-1)</f>
        <v>3</v>
      </c>
      <c r="R771" s="70" t="s">
        <v>738</v>
      </c>
      <c r="S771" s="69"/>
    </row>
    <row r="772" spans="1:19" hidden="1">
      <c r="A772" s="68" t="s">
        <v>2266</v>
      </c>
      <c r="B772" s="149" t="str">
        <f>IFERROR(VLOOKUP(Proc[[#This Row],[App]],Table2[],3,0),"open")</f>
        <v>ok</v>
      </c>
      <c r="C772" s="68" t="s">
        <v>369</v>
      </c>
      <c r="D772" t="s">
        <v>1745</v>
      </c>
      <c r="E772" t="s">
        <v>493</v>
      </c>
      <c r="F772" s="117" t="s">
        <v>493</v>
      </c>
      <c r="G772" s="68" t="s">
        <v>400</v>
      </c>
      <c r="H772" s="69" t="str">
        <f>IF(Proc[[#This Row],[type]]="LFF (MDG-F)",MID(Proc[[#This Row],[Obj]],13,10),"")</f>
        <v/>
      </c>
      <c r="I772" t="s">
        <v>1198</v>
      </c>
      <c r="J772" s="69" t="b">
        <f>Proc[[#This Row],[Requested]]=Proc[[#This Row],[CurrentParent]]</f>
        <v>1</v>
      </c>
      <c r="K772" s="144" t="str">
        <f>IF(Proc[[#This Row],[Author]]="Marcela Urrego",VLOOKUP(LEFT(Proc[[#This Row],[Requested]],1),Table3[#All],2,0),VLOOKUP(Proc[[#This Row],[Author]],Table4[],2,0))</f>
        <v>HC</v>
      </c>
      <c r="L772" s="32" t="s">
        <v>509</v>
      </c>
      <c r="M772" s="71">
        <v>45716.407511574071</v>
      </c>
      <c r="N772" s="71">
        <v>45721</v>
      </c>
      <c r="O772" s="71">
        <v>45721</v>
      </c>
      <c r="P772" s="70" t="str">
        <f ca="1">IF(Proc[[#This Row],[DaysAgeing]]&gt;5,"yep","on track")</f>
        <v>on track</v>
      </c>
      <c r="Q772" s="3">
        <f ca="1">IF(Proc[[#This Row],[DateClosed]]="",ABS(NETWORKDAYS(Proc[[#This Row],[DateOpened]],TODAY()))-1,ABS(NETWORKDAYS(Proc[[#This Row],[DateOpened]],Proc[[#This Row],[DateClosed]]))-1)</f>
        <v>3</v>
      </c>
      <c r="R772" s="70" t="s">
        <v>478</v>
      </c>
      <c r="S772" s="69"/>
    </row>
    <row r="773" spans="1:19" hidden="1">
      <c r="A773" s="68" t="s">
        <v>2266</v>
      </c>
      <c r="B773" s="149" t="str">
        <f>IFERROR(VLOOKUP(Proc[[#This Row],[App]],Table2[],3,0),"open")</f>
        <v>ok</v>
      </c>
      <c r="C773" s="68" t="s">
        <v>369</v>
      </c>
      <c r="D773" t="s">
        <v>2265</v>
      </c>
      <c r="E773" t="s">
        <v>2267</v>
      </c>
      <c r="F773" s="117" t="s">
        <v>2267</v>
      </c>
      <c r="G773" s="68" t="s">
        <v>400</v>
      </c>
      <c r="H773" s="69" t="str">
        <f>IF(Proc[[#This Row],[type]]="LFF (MDG-F)",MID(Proc[[#This Row],[Obj]],13,10),"")</f>
        <v/>
      </c>
      <c r="J773" s="69" t="b">
        <f>Proc[[#This Row],[Requested]]=Proc[[#This Row],[CurrentParent]]</f>
        <v>1</v>
      </c>
      <c r="K773" s="144" t="str">
        <f>IF(Proc[[#This Row],[Author]]="Marcela Urrego",VLOOKUP(LEFT(Proc[[#This Row],[Requested]],1),Table3[#All],2,0),VLOOKUP(Proc[[#This Row],[Author]],Table4[],2,0))</f>
        <v>HC</v>
      </c>
      <c r="L773" s="32" t="s">
        <v>509</v>
      </c>
      <c r="M773" s="71">
        <v>45716.407511574071</v>
      </c>
      <c r="N773" s="71">
        <v>45721</v>
      </c>
      <c r="O773" s="71">
        <v>45721</v>
      </c>
      <c r="P773" s="70" t="str">
        <f ca="1">IF(Proc[[#This Row],[DaysAgeing]]&gt;5,"yep","on track")</f>
        <v>on track</v>
      </c>
      <c r="Q773" s="3">
        <f ca="1">IF(Proc[[#This Row],[DateClosed]]="",ABS(NETWORKDAYS(Proc[[#This Row],[DateOpened]],TODAY()))-1,ABS(NETWORKDAYS(Proc[[#This Row],[DateOpened]],Proc[[#This Row],[DateClosed]]))-1)</f>
        <v>3</v>
      </c>
      <c r="R773" s="70" t="s">
        <v>478</v>
      </c>
      <c r="S773" s="69"/>
    </row>
    <row r="774" spans="1:19" hidden="1">
      <c r="A774" s="68" t="s">
        <v>2264</v>
      </c>
      <c r="B774" s="149" t="str">
        <f>IFERROR(VLOOKUP(Proc[[#This Row],[App]],Table2[],3,0),"open")</f>
        <v>ok</v>
      </c>
      <c r="C774" s="68" t="s">
        <v>369</v>
      </c>
      <c r="D774" t="s">
        <v>2262</v>
      </c>
      <c r="E774" t="s">
        <v>540</v>
      </c>
      <c r="F774" s="117" t="s">
        <v>540</v>
      </c>
      <c r="G774" s="68" t="s">
        <v>400</v>
      </c>
      <c r="H774" s="69" t="str">
        <f>IF(Proc[[#This Row],[type]]="LFF (MDG-F)",MID(Proc[[#This Row],[Obj]],13,10),"")</f>
        <v/>
      </c>
      <c r="J774" s="69" t="b">
        <f>Proc[[#This Row],[Requested]]=Proc[[#This Row],[CurrentParent]]</f>
        <v>1</v>
      </c>
      <c r="K774" s="144" t="str">
        <f>IF(Proc[[#This Row],[Author]]="Marcela Urrego",VLOOKUP(LEFT(Proc[[#This Row],[Requested]],1),Table3[#All],2,0),VLOOKUP(Proc[[#This Row],[Author]],Table4[],2,0))</f>
        <v>MGF</v>
      </c>
      <c r="L774" s="32" t="s">
        <v>509</v>
      </c>
      <c r="M774" s="71">
        <v>45716.515300925923</v>
      </c>
      <c r="N774" s="71">
        <v>45721</v>
      </c>
      <c r="O774" s="71">
        <v>45721</v>
      </c>
      <c r="P774" s="70" t="str">
        <f ca="1">IF(Proc[[#This Row],[DaysAgeing]]&gt;5,"yep","on track")</f>
        <v>on track</v>
      </c>
      <c r="Q774" s="3">
        <f ca="1">IF(Proc[[#This Row],[DateClosed]]="",ABS(NETWORKDAYS(Proc[[#This Row],[DateOpened]],TODAY()))-1,ABS(NETWORKDAYS(Proc[[#This Row],[DateOpened]],Proc[[#This Row],[DateClosed]]))-1)</f>
        <v>3</v>
      </c>
      <c r="R774" s="70" t="s">
        <v>2263</v>
      </c>
      <c r="S774" s="69"/>
    </row>
    <row r="775" spans="1:19" hidden="1">
      <c r="A775" s="68" t="s">
        <v>2261</v>
      </c>
      <c r="B775" s="149" t="str">
        <f>IFERROR(VLOOKUP(Proc[[#This Row],[App]],Table2[],3,0),"open")</f>
        <v>ok</v>
      </c>
      <c r="C775" s="68" t="s">
        <v>369</v>
      </c>
      <c r="D775" t="s">
        <v>2245</v>
      </c>
      <c r="E775" t="s">
        <v>2246</v>
      </c>
      <c r="F775" s="117" t="s">
        <v>2246</v>
      </c>
      <c r="G775" s="68" t="s">
        <v>400</v>
      </c>
      <c r="H775" s="69" t="str">
        <f>IF(Proc[[#This Row],[type]]="LFF (MDG-F)",MID(Proc[[#This Row],[Obj]],13,10),"")</f>
        <v/>
      </c>
      <c r="J775" s="69" t="b">
        <f>Proc[[#This Row],[Requested]]=Proc[[#This Row],[CurrentParent]]</f>
        <v>1</v>
      </c>
      <c r="K775" s="144" t="str">
        <f>IF(Proc[[#This Row],[Author]]="Marcela Urrego",VLOOKUP(LEFT(Proc[[#This Row],[Requested]],1),Table3[#All],2,0),VLOOKUP(Proc[[#This Row],[Author]],Table4[],2,0))</f>
        <v>HC</v>
      </c>
      <c r="L775" s="32" t="s">
        <v>509</v>
      </c>
      <c r="M775" s="71">
        <v>45716.548854166664</v>
      </c>
      <c r="N775" s="71">
        <v>45721</v>
      </c>
      <c r="O775" s="71">
        <v>45721</v>
      </c>
      <c r="P775" s="70" t="str">
        <f ca="1">IF(Proc[[#This Row],[DaysAgeing]]&gt;5,"yep","on track")</f>
        <v>on track</v>
      </c>
      <c r="Q775" s="3">
        <f ca="1">IF(Proc[[#This Row],[DateClosed]]="",ABS(NETWORKDAYS(Proc[[#This Row],[DateOpened]],TODAY()))-1,ABS(NETWORKDAYS(Proc[[#This Row],[DateOpened]],Proc[[#This Row],[DateClosed]]))-1)</f>
        <v>3</v>
      </c>
      <c r="R775" s="70" t="s">
        <v>1013</v>
      </c>
      <c r="S775" s="69"/>
    </row>
    <row r="776" spans="1:19" hidden="1">
      <c r="A776" s="68" t="s">
        <v>2261</v>
      </c>
      <c r="B776" s="149" t="str">
        <f>IFERROR(VLOOKUP(Proc[[#This Row],[App]],Table2[],3,0),"open")</f>
        <v>ok</v>
      </c>
      <c r="C776" s="68" t="s">
        <v>369</v>
      </c>
      <c r="D776" t="s">
        <v>2247</v>
      </c>
      <c r="E776" t="s">
        <v>2248</v>
      </c>
      <c r="F776" s="117" t="s">
        <v>2248</v>
      </c>
      <c r="G776" s="68" t="s">
        <v>400</v>
      </c>
      <c r="H776" s="69" t="str">
        <f>IF(Proc[[#This Row],[type]]="LFF (MDG-F)",MID(Proc[[#This Row],[Obj]],13,10),"")</f>
        <v/>
      </c>
      <c r="I776" t="s">
        <v>2280</v>
      </c>
      <c r="J776" s="69" t="b">
        <f>Proc[[#This Row],[Requested]]=Proc[[#This Row],[CurrentParent]]</f>
        <v>1</v>
      </c>
      <c r="K776" s="144" t="str">
        <f>IF(Proc[[#This Row],[Author]]="Marcela Urrego",VLOOKUP(LEFT(Proc[[#This Row],[Requested]],1),Table3[#All],2,0),VLOOKUP(Proc[[#This Row],[Author]],Table4[],2,0))</f>
        <v>HC</v>
      </c>
      <c r="L776" s="32" t="s">
        <v>509</v>
      </c>
      <c r="M776" s="71">
        <v>45716.548854166664</v>
      </c>
      <c r="N776" s="71">
        <v>45721</v>
      </c>
      <c r="O776" s="71">
        <v>45721</v>
      </c>
      <c r="P776" s="70" t="str">
        <f ca="1">IF(Proc[[#This Row],[DaysAgeing]]&gt;5,"yep","on track")</f>
        <v>on track</v>
      </c>
      <c r="Q776" s="3">
        <f ca="1">IF(Proc[[#This Row],[DateClosed]]="",ABS(NETWORKDAYS(Proc[[#This Row],[DateOpened]],TODAY()))-1,ABS(NETWORKDAYS(Proc[[#This Row],[DateOpened]],Proc[[#This Row],[DateClosed]]))-1)</f>
        <v>3</v>
      </c>
      <c r="R776" s="70" t="s">
        <v>1013</v>
      </c>
      <c r="S776" s="69"/>
    </row>
    <row r="777" spans="1:19" hidden="1">
      <c r="A777" s="68" t="s">
        <v>2261</v>
      </c>
      <c r="B777" s="149" t="str">
        <f>IFERROR(VLOOKUP(Proc[[#This Row],[App]],Table2[],3,0),"open")</f>
        <v>ok</v>
      </c>
      <c r="C777" s="68" t="s">
        <v>369</v>
      </c>
      <c r="D777" t="s">
        <v>2249</v>
      </c>
      <c r="E777" t="s">
        <v>2250</v>
      </c>
      <c r="F777" s="117" t="s">
        <v>2250</v>
      </c>
      <c r="G777" s="68" t="s">
        <v>400</v>
      </c>
      <c r="H777" s="69" t="str">
        <f>IF(Proc[[#This Row],[type]]="LFF (MDG-F)",MID(Proc[[#This Row],[Obj]],13,10),"")</f>
        <v/>
      </c>
      <c r="J777" s="69" t="b">
        <f>Proc[[#This Row],[Requested]]=Proc[[#This Row],[CurrentParent]]</f>
        <v>1</v>
      </c>
      <c r="K777" s="144" t="str">
        <f>IF(Proc[[#This Row],[Author]]="Marcela Urrego",VLOOKUP(LEFT(Proc[[#This Row],[Requested]],1),Table3[#All],2,0),VLOOKUP(Proc[[#This Row],[Author]],Table4[],2,0))</f>
        <v>HC</v>
      </c>
      <c r="L777" s="32" t="s">
        <v>509</v>
      </c>
      <c r="M777" s="71">
        <v>45716.548854166664</v>
      </c>
      <c r="N777" s="71">
        <v>45721</v>
      </c>
      <c r="O777" s="71">
        <v>45721</v>
      </c>
      <c r="P777" s="70" t="str">
        <f ca="1">IF(Proc[[#This Row],[DaysAgeing]]&gt;5,"yep","on track")</f>
        <v>on track</v>
      </c>
      <c r="Q777" s="3">
        <f ca="1">IF(Proc[[#This Row],[DateClosed]]="",ABS(NETWORKDAYS(Proc[[#This Row],[DateOpened]],TODAY()))-1,ABS(NETWORKDAYS(Proc[[#This Row],[DateOpened]],Proc[[#This Row],[DateClosed]]))-1)</f>
        <v>3</v>
      </c>
      <c r="R777" s="70" t="s">
        <v>1013</v>
      </c>
      <c r="S777" s="69"/>
    </row>
    <row r="778" spans="1:19" hidden="1">
      <c r="A778" s="68" t="s">
        <v>2261</v>
      </c>
      <c r="B778" s="149" t="str">
        <f>IFERROR(VLOOKUP(Proc[[#This Row],[App]],Table2[],3,0),"open")</f>
        <v>ok</v>
      </c>
      <c r="C778" s="68" t="s">
        <v>369</v>
      </c>
      <c r="D778" t="s">
        <v>2251</v>
      </c>
      <c r="E778" t="s">
        <v>2250</v>
      </c>
      <c r="F778" s="117" t="s">
        <v>2250</v>
      </c>
      <c r="G778" s="68" t="s">
        <v>400</v>
      </c>
      <c r="H778" s="69" t="str">
        <f>IF(Proc[[#This Row],[type]]="LFF (MDG-F)",MID(Proc[[#This Row],[Obj]],13,10),"")</f>
        <v/>
      </c>
      <c r="J778" s="69" t="b">
        <f>Proc[[#This Row],[Requested]]=Proc[[#This Row],[CurrentParent]]</f>
        <v>1</v>
      </c>
      <c r="K778" s="144" t="str">
        <f>IF(Proc[[#This Row],[Author]]="Marcela Urrego",VLOOKUP(LEFT(Proc[[#This Row],[Requested]],1),Table3[#All],2,0),VLOOKUP(Proc[[#This Row],[Author]],Table4[],2,0))</f>
        <v>HC</v>
      </c>
      <c r="L778" s="32" t="s">
        <v>509</v>
      </c>
      <c r="M778" s="71">
        <v>45716.548854166664</v>
      </c>
      <c r="N778" s="71">
        <v>45721</v>
      </c>
      <c r="O778" s="71">
        <v>45721</v>
      </c>
      <c r="P778" s="70" t="str">
        <f ca="1">IF(Proc[[#This Row],[DaysAgeing]]&gt;5,"yep","on track")</f>
        <v>on track</v>
      </c>
      <c r="Q778" s="3">
        <f ca="1">IF(Proc[[#This Row],[DateClosed]]="",ABS(NETWORKDAYS(Proc[[#This Row],[DateOpened]],TODAY()))-1,ABS(NETWORKDAYS(Proc[[#This Row],[DateOpened]],Proc[[#This Row],[DateClosed]]))-1)</f>
        <v>3</v>
      </c>
      <c r="R778" s="70" t="s">
        <v>1013</v>
      </c>
      <c r="S778" s="69"/>
    </row>
    <row r="779" spans="1:19" hidden="1">
      <c r="A779" s="68" t="s">
        <v>2261</v>
      </c>
      <c r="B779" s="149" t="str">
        <f>IFERROR(VLOOKUP(Proc[[#This Row],[App]],Table2[],3,0),"open")</f>
        <v>ok</v>
      </c>
      <c r="C779" s="68" t="s">
        <v>369</v>
      </c>
      <c r="D779" t="s">
        <v>2252</v>
      </c>
      <c r="E779" t="s">
        <v>2250</v>
      </c>
      <c r="F779" s="117" t="s">
        <v>2250</v>
      </c>
      <c r="G779" s="68" t="s">
        <v>400</v>
      </c>
      <c r="H779" s="69" t="str">
        <f>IF(Proc[[#This Row],[type]]="LFF (MDG-F)",MID(Proc[[#This Row],[Obj]],13,10),"")</f>
        <v/>
      </c>
      <c r="J779" s="69" t="b">
        <f>Proc[[#This Row],[Requested]]=Proc[[#This Row],[CurrentParent]]</f>
        <v>1</v>
      </c>
      <c r="K779" s="144" t="str">
        <f>IF(Proc[[#This Row],[Author]]="Marcela Urrego",VLOOKUP(LEFT(Proc[[#This Row],[Requested]],1),Table3[#All],2,0),VLOOKUP(Proc[[#This Row],[Author]],Table4[],2,0))</f>
        <v>HC</v>
      </c>
      <c r="L779" s="32" t="s">
        <v>509</v>
      </c>
      <c r="M779" s="71">
        <v>45716.548854166664</v>
      </c>
      <c r="N779" s="71">
        <v>45721</v>
      </c>
      <c r="O779" s="71">
        <v>45721</v>
      </c>
      <c r="P779" s="70" t="str">
        <f ca="1">IF(Proc[[#This Row],[DaysAgeing]]&gt;5,"yep","on track")</f>
        <v>on track</v>
      </c>
      <c r="Q779" s="3">
        <f ca="1">IF(Proc[[#This Row],[DateClosed]]="",ABS(NETWORKDAYS(Proc[[#This Row],[DateOpened]],TODAY()))-1,ABS(NETWORKDAYS(Proc[[#This Row],[DateOpened]],Proc[[#This Row],[DateClosed]]))-1)</f>
        <v>3</v>
      </c>
      <c r="R779" s="70" t="s">
        <v>1013</v>
      </c>
      <c r="S779" s="69"/>
    </row>
    <row r="780" spans="1:19" hidden="1">
      <c r="A780" s="68" t="s">
        <v>2261</v>
      </c>
      <c r="B780" s="149" t="str">
        <f>IFERROR(VLOOKUP(Proc[[#This Row],[App]],Table2[],3,0),"open")</f>
        <v>ok</v>
      </c>
      <c r="C780" s="68" t="s">
        <v>369</v>
      </c>
      <c r="D780" t="s">
        <v>2253</v>
      </c>
      <c r="E780" t="s">
        <v>2250</v>
      </c>
      <c r="F780" s="117" t="s">
        <v>2250</v>
      </c>
      <c r="G780" s="68" t="s">
        <v>400</v>
      </c>
      <c r="H780" s="69" t="str">
        <f>IF(Proc[[#This Row],[type]]="LFF (MDG-F)",MID(Proc[[#This Row],[Obj]],13,10),"")</f>
        <v/>
      </c>
      <c r="J780" s="69" t="b">
        <f>Proc[[#This Row],[Requested]]=Proc[[#This Row],[CurrentParent]]</f>
        <v>1</v>
      </c>
      <c r="K780" s="144" t="str">
        <f>IF(Proc[[#This Row],[Author]]="Marcela Urrego",VLOOKUP(LEFT(Proc[[#This Row],[Requested]],1),Table3[#All],2,0),VLOOKUP(Proc[[#This Row],[Author]],Table4[],2,0))</f>
        <v>HC</v>
      </c>
      <c r="L780" s="32" t="s">
        <v>509</v>
      </c>
      <c r="M780" s="71">
        <v>45716.548854166664</v>
      </c>
      <c r="N780" s="71">
        <v>45721</v>
      </c>
      <c r="O780" s="71">
        <v>45721</v>
      </c>
      <c r="P780" s="70" t="str">
        <f ca="1">IF(Proc[[#This Row],[DaysAgeing]]&gt;5,"yep","on track")</f>
        <v>on track</v>
      </c>
      <c r="Q780" s="3">
        <f ca="1">IF(Proc[[#This Row],[DateClosed]]="",ABS(NETWORKDAYS(Proc[[#This Row],[DateOpened]],TODAY()))-1,ABS(NETWORKDAYS(Proc[[#This Row],[DateOpened]],Proc[[#This Row],[DateClosed]]))-1)</f>
        <v>3</v>
      </c>
      <c r="R780" s="70" t="s">
        <v>1013</v>
      </c>
      <c r="S780" s="69"/>
    </row>
    <row r="781" spans="1:19" hidden="1">
      <c r="A781" s="68" t="s">
        <v>2261</v>
      </c>
      <c r="B781" s="149" t="str">
        <f>IFERROR(VLOOKUP(Proc[[#This Row],[App]],Table2[],3,0),"open")</f>
        <v>ok</v>
      </c>
      <c r="C781" s="68" t="s">
        <v>369</v>
      </c>
      <c r="D781" t="s">
        <v>2254</v>
      </c>
      <c r="E781" t="s">
        <v>2255</v>
      </c>
      <c r="F781" s="117" t="s">
        <v>2255</v>
      </c>
      <c r="G781" s="68" t="s">
        <v>400</v>
      </c>
      <c r="H781" s="69" t="str">
        <f>IF(Proc[[#This Row],[type]]="LFF (MDG-F)",MID(Proc[[#This Row],[Obj]],13,10),"")</f>
        <v/>
      </c>
      <c r="J781" s="69" t="b">
        <f>Proc[[#This Row],[Requested]]=Proc[[#This Row],[CurrentParent]]</f>
        <v>1</v>
      </c>
      <c r="K781" s="144" t="str">
        <f>IF(Proc[[#This Row],[Author]]="Marcela Urrego",VLOOKUP(LEFT(Proc[[#This Row],[Requested]],1),Table3[#All],2,0),VLOOKUP(Proc[[#This Row],[Author]],Table4[],2,0))</f>
        <v>HC</v>
      </c>
      <c r="L781" s="32" t="s">
        <v>509</v>
      </c>
      <c r="M781" s="71">
        <v>45716.548854166664</v>
      </c>
      <c r="N781" s="71">
        <v>45721</v>
      </c>
      <c r="O781" s="71">
        <v>45721</v>
      </c>
      <c r="P781" s="70" t="str">
        <f ca="1">IF(Proc[[#This Row],[DaysAgeing]]&gt;5,"yep","on track")</f>
        <v>on track</v>
      </c>
      <c r="Q781" s="3">
        <f ca="1">IF(Proc[[#This Row],[DateClosed]]="",ABS(NETWORKDAYS(Proc[[#This Row],[DateOpened]],TODAY()))-1,ABS(NETWORKDAYS(Proc[[#This Row],[DateOpened]],Proc[[#This Row],[DateClosed]]))-1)</f>
        <v>3</v>
      </c>
      <c r="R781" s="70" t="s">
        <v>1013</v>
      </c>
      <c r="S781" s="69"/>
    </row>
    <row r="782" spans="1:19" hidden="1">
      <c r="A782" s="68" t="s">
        <v>2261</v>
      </c>
      <c r="B782" s="149" t="str">
        <f>IFERROR(VLOOKUP(Proc[[#This Row],[App]],Table2[],3,0),"open")</f>
        <v>ok</v>
      </c>
      <c r="C782" s="68" t="s">
        <v>369</v>
      </c>
      <c r="D782" t="s">
        <v>2256</v>
      </c>
      <c r="E782" t="s">
        <v>2257</v>
      </c>
      <c r="F782" s="117" t="s">
        <v>2257</v>
      </c>
      <c r="G782" s="68" t="s">
        <v>400</v>
      </c>
      <c r="H782" s="69" t="str">
        <f>IF(Proc[[#This Row],[type]]="LFF (MDG-F)",MID(Proc[[#This Row],[Obj]],13,10),"")</f>
        <v/>
      </c>
      <c r="J782" s="69" t="b">
        <f>Proc[[#This Row],[Requested]]=Proc[[#This Row],[CurrentParent]]</f>
        <v>1</v>
      </c>
      <c r="K782" s="144" t="str">
        <f>IF(Proc[[#This Row],[Author]]="Marcela Urrego",VLOOKUP(LEFT(Proc[[#This Row],[Requested]],1),Table3[#All],2,0),VLOOKUP(Proc[[#This Row],[Author]],Table4[],2,0))</f>
        <v>HC</v>
      </c>
      <c r="L782" s="32" t="s">
        <v>509</v>
      </c>
      <c r="M782" s="71">
        <v>45716.548854166664</v>
      </c>
      <c r="N782" s="71">
        <v>45721</v>
      </c>
      <c r="O782" s="71">
        <v>45721</v>
      </c>
      <c r="P782" s="70" t="str">
        <f ca="1">IF(Proc[[#This Row],[DaysAgeing]]&gt;5,"yep","on track")</f>
        <v>on track</v>
      </c>
      <c r="Q782" s="3">
        <f ca="1">IF(Proc[[#This Row],[DateClosed]]="",ABS(NETWORKDAYS(Proc[[#This Row],[DateOpened]],TODAY()))-1,ABS(NETWORKDAYS(Proc[[#This Row],[DateOpened]],Proc[[#This Row],[DateClosed]]))-1)</f>
        <v>3</v>
      </c>
      <c r="R782" s="70" t="s">
        <v>1013</v>
      </c>
      <c r="S782" s="69"/>
    </row>
    <row r="783" spans="1:19" hidden="1">
      <c r="A783" s="68" t="s">
        <v>2261</v>
      </c>
      <c r="B783" s="149" t="str">
        <f>IFERROR(VLOOKUP(Proc[[#This Row],[App]],Table2[],3,0),"open")</f>
        <v>ok</v>
      </c>
      <c r="C783" s="68" t="s">
        <v>369</v>
      </c>
      <c r="D783" t="s">
        <v>2258</v>
      </c>
      <c r="E783" t="s">
        <v>2248</v>
      </c>
      <c r="F783" s="117" t="s">
        <v>2248</v>
      </c>
      <c r="G783" s="68" t="s">
        <v>400</v>
      </c>
      <c r="H783" s="69" t="str">
        <f>IF(Proc[[#This Row],[type]]="LFF (MDG-F)",MID(Proc[[#This Row],[Obj]],13,10),"")</f>
        <v/>
      </c>
      <c r="I783" t="s">
        <v>2280</v>
      </c>
      <c r="J783" s="69" t="b">
        <f>Proc[[#This Row],[Requested]]=Proc[[#This Row],[CurrentParent]]</f>
        <v>1</v>
      </c>
      <c r="K783" s="144" t="str">
        <f>IF(Proc[[#This Row],[Author]]="Marcela Urrego",VLOOKUP(LEFT(Proc[[#This Row],[Requested]],1),Table3[#All],2,0),VLOOKUP(Proc[[#This Row],[Author]],Table4[],2,0))</f>
        <v>HC</v>
      </c>
      <c r="L783" s="32" t="s">
        <v>509</v>
      </c>
      <c r="M783" s="71">
        <v>45716.548854166664</v>
      </c>
      <c r="N783" s="71">
        <v>45721</v>
      </c>
      <c r="O783" s="71">
        <v>45721</v>
      </c>
      <c r="P783" s="70" t="str">
        <f ca="1">IF(Proc[[#This Row],[DaysAgeing]]&gt;5,"yep","on track")</f>
        <v>on track</v>
      </c>
      <c r="Q783" s="3">
        <f ca="1">IF(Proc[[#This Row],[DateClosed]]="",ABS(NETWORKDAYS(Proc[[#This Row],[DateOpened]],TODAY()))-1,ABS(NETWORKDAYS(Proc[[#This Row],[DateOpened]],Proc[[#This Row],[DateClosed]]))-1)</f>
        <v>3</v>
      </c>
      <c r="R783" s="70" t="s">
        <v>1013</v>
      </c>
      <c r="S783" s="69"/>
    </row>
    <row r="784" spans="1:19" hidden="1">
      <c r="A784" s="68" t="s">
        <v>2261</v>
      </c>
      <c r="B784" s="149" t="str">
        <f>IFERROR(VLOOKUP(Proc[[#This Row],[App]],Table2[],3,0),"open")</f>
        <v>ok</v>
      </c>
      <c r="C784" s="68" t="s">
        <v>369</v>
      </c>
      <c r="D784" t="s">
        <v>2259</v>
      </c>
      <c r="E784" t="s">
        <v>2250</v>
      </c>
      <c r="F784" s="117" t="s">
        <v>2250</v>
      </c>
      <c r="G784" s="68" t="s">
        <v>400</v>
      </c>
      <c r="H784" s="69" t="str">
        <f>IF(Proc[[#This Row],[type]]="LFF (MDG-F)",MID(Proc[[#This Row],[Obj]],13,10),"")</f>
        <v/>
      </c>
      <c r="J784" s="69" t="b">
        <f>Proc[[#This Row],[Requested]]=Proc[[#This Row],[CurrentParent]]</f>
        <v>1</v>
      </c>
      <c r="K784" s="144" t="str">
        <f>IF(Proc[[#This Row],[Author]]="Marcela Urrego",VLOOKUP(LEFT(Proc[[#This Row],[Requested]],1),Table3[#All],2,0),VLOOKUP(Proc[[#This Row],[Author]],Table4[],2,0))</f>
        <v>HC</v>
      </c>
      <c r="L784" s="32" t="s">
        <v>509</v>
      </c>
      <c r="M784" s="71">
        <v>45716.548854166664</v>
      </c>
      <c r="N784" s="71">
        <v>45721</v>
      </c>
      <c r="O784" s="71">
        <v>45721</v>
      </c>
      <c r="P784" s="70" t="str">
        <f ca="1">IF(Proc[[#This Row],[DaysAgeing]]&gt;5,"yep","on track")</f>
        <v>on track</v>
      </c>
      <c r="Q784" s="3">
        <f ca="1">IF(Proc[[#This Row],[DateClosed]]="",ABS(NETWORKDAYS(Proc[[#This Row],[DateOpened]],TODAY()))-1,ABS(NETWORKDAYS(Proc[[#This Row],[DateOpened]],Proc[[#This Row],[DateClosed]]))-1)</f>
        <v>3</v>
      </c>
      <c r="R784" s="70" t="s">
        <v>1013</v>
      </c>
      <c r="S784" s="69"/>
    </row>
    <row r="785" spans="1:19" hidden="1">
      <c r="A785" s="68" t="s">
        <v>2261</v>
      </c>
      <c r="B785" s="149" t="str">
        <f>IFERROR(VLOOKUP(Proc[[#This Row],[App]],Table2[],3,0),"open")</f>
        <v>ok</v>
      </c>
      <c r="C785" s="68" t="s">
        <v>369</v>
      </c>
      <c r="D785" t="s">
        <v>2260</v>
      </c>
      <c r="E785" t="s">
        <v>2250</v>
      </c>
      <c r="F785" s="117" t="s">
        <v>2250</v>
      </c>
      <c r="G785" s="68" t="s">
        <v>400</v>
      </c>
      <c r="H785" s="69" t="str">
        <f>IF(Proc[[#This Row],[type]]="LFF (MDG-F)",MID(Proc[[#This Row],[Obj]],13,10),"")</f>
        <v/>
      </c>
      <c r="J785" s="69" t="b">
        <f>Proc[[#This Row],[Requested]]=Proc[[#This Row],[CurrentParent]]</f>
        <v>1</v>
      </c>
      <c r="K785" s="144" t="str">
        <f>IF(Proc[[#This Row],[Author]]="Marcela Urrego",VLOOKUP(LEFT(Proc[[#This Row],[Requested]],1),Table3[#All],2,0),VLOOKUP(Proc[[#This Row],[Author]],Table4[],2,0))</f>
        <v>HC</v>
      </c>
      <c r="L785" s="32" t="s">
        <v>509</v>
      </c>
      <c r="M785" s="71">
        <v>45716.548854166664</v>
      </c>
      <c r="N785" s="71">
        <v>45721</v>
      </c>
      <c r="O785" s="71">
        <v>45721</v>
      </c>
      <c r="P785" s="70" t="str">
        <f ca="1">IF(Proc[[#This Row],[DaysAgeing]]&gt;5,"yep","on track")</f>
        <v>on track</v>
      </c>
      <c r="Q785" s="3">
        <f ca="1">IF(Proc[[#This Row],[DateClosed]]="",ABS(NETWORKDAYS(Proc[[#This Row],[DateOpened]],TODAY()))-1,ABS(NETWORKDAYS(Proc[[#This Row],[DateOpened]],Proc[[#This Row],[DateClosed]]))-1)</f>
        <v>3</v>
      </c>
      <c r="R785" s="70" t="s">
        <v>1013</v>
      </c>
      <c r="S785" s="69"/>
    </row>
    <row r="786" spans="1:19" hidden="1">
      <c r="A786" t="s">
        <v>2244</v>
      </c>
      <c r="B786" s="149" t="str">
        <f>IFERROR(VLOOKUP(Proc[[#This Row],[App]],Table2[],3,0),"open")</f>
        <v>ok</v>
      </c>
      <c r="C786" s="68" t="s">
        <v>369</v>
      </c>
      <c r="D786" t="s">
        <v>2221</v>
      </c>
      <c r="E786" t="s">
        <v>2222</v>
      </c>
      <c r="F786" s="117" t="s">
        <v>2222</v>
      </c>
      <c r="G786" s="68" t="s">
        <v>400</v>
      </c>
      <c r="H786" s="69" t="str">
        <f>IF(Proc[[#This Row],[type]]="LFF (MDG-F)",MID(Proc[[#This Row],[Obj]],13,10),"")</f>
        <v/>
      </c>
      <c r="J786" s="69" t="b">
        <f>Proc[[#This Row],[Requested]]=Proc[[#This Row],[CurrentParent]]</f>
        <v>1</v>
      </c>
      <c r="K786" s="144" t="str">
        <f>IF(Proc[[#This Row],[Author]]="Marcela Urrego",VLOOKUP(LEFT(Proc[[#This Row],[Requested]],1),Table3[#All],2,0),VLOOKUP(Proc[[#This Row],[Author]],Table4[],2,0))</f>
        <v>HC</v>
      </c>
      <c r="L786" s="32" t="s">
        <v>509</v>
      </c>
      <c r="M786" s="71">
        <v>45716.734988425924</v>
      </c>
      <c r="N786" s="71">
        <v>45721</v>
      </c>
      <c r="O786" s="71">
        <v>45721</v>
      </c>
      <c r="P786" s="70" t="str">
        <f ca="1">IF(Proc[[#This Row],[DaysAgeing]]&gt;5,"yep","on track")</f>
        <v>on track</v>
      </c>
      <c r="Q786" s="3">
        <f ca="1">IF(Proc[[#This Row],[DateClosed]]="",ABS(NETWORKDAYS(Proc[[#This Row],[DateOpened]],TODAY()))-1,ABS(NETWORKDAYS(Proc[[#This Row],[DateOpened]],Proc[[#This Row],[DateClosed]]))-1)</f>
        <v>3</v>
      </c>
      <c r="R786" s="70" t="s">
        <v>1013</v>
      </c>
      <c r="S786" s="69"/>
    </row>
    <row r="787" spans="1:19" hidden="1">
      <c r="A787" s="68" t="s">
        <v>2244</v>
      </c>
      <c r="B787" s="149" t="str">
        <f>IFERROR(VLOOKUP(Proc[[#This Row],[App]],Table2[],3,0),"open")</f>
        <v>ok</v>
      </c>
      <c r="C787" s="68" t="s">
        <v>369</v>
      </c>
      <c r="D787" t="s">
        <v>2223</v>
      </c>
      <c r="E787" t="s">
        <v>2224</v>
      </c>
      <c r="F787" s="117" t="s">
        <v>2224</v>
      </c>
      <c r="G787" s="68" t="s">
        <v>400</v>
      </c>
      <c r="H787" s="69" t="str">
        <f>IF(Proc[[#This Row],[type]]="LFF (MDG-F)",MID(Proc[[#This Row],[Obj]],13,10),"")</f>
        <v/>
      </c>
      <c r="J787" s="69" t="b">
        <f>Proc[[#This Row],[Requested]]=Proc[[#This Row],[CurrentParent]]</f>
        <v>1</v>
      </c>
      <c r="K787" s="144" t="str">
        <f>IF(Proc[[#This Row],[Author]]="Marcela Urrego",VLOOKUP(LEFT(Proc[[#This Row],[Requested]],1),Table3[#All],2,0),VLOOKUP(Proc[[#This Row],[Author]],Table4[],2,0))</f>
        <v>HC</v>
      </c>
      <c r="L787" s="32" t="s">
        <v>509</v>
      </c>
      <c r="M787" s="71">
        <v>45716.734988425924</v>
      </c>
      <c r="N787" s="71">
        <v>45721</v>
      </c>
      <c r="O787" s="71">
        <v>45721</v>
      </c>
      <c r="P787" s="70" t="str">
        <f ca="1">IF(Proc[[#This Row],[DaysAgeing]]&gt;5,"yep","on track")</f>
        <v>on track</v>
      </c>
      <c r="Q787" s="3">
        <f ca="1">IF(Proc[[#This Row],[DateClosed]]="",ABS(NETWORKDAYS(Proc[[#This Row],[DateOpened]],TODAY()))-1,ABS(NETWORKDAYS(Proc[[#This Row],[DateOpened]],Proc[[#This Row],[DateClosed]]))-1)</f>
        <v>3</v>
      </c>
      <c r="R787" s="70" t="s">
        <v>1013</v>
      </c>
      <c r="S787" s="69"/>
    </row>
    <row r="788" spans="1:19" hidden="1">
      <c r="A788" s="68" t="s">
        <v>2244</v>
      </c>
      <c r="B788" s="149" t="str">
        <f>IFERROR(VLOOKUP(Proc[[#This Row],[App]],Table2[],3,0),"open")</f>
        <v>ok</v>
      </c>
      <c r="C788" s="68" t="s">
        <v>369</v>
      </c>
      <c r="D788" t="s">
        <v>2225</v>
      </c>
      <c r="E788" t="s">
        <v>2224</v>
      </c>
      <c r="F788" s="117" t="s">
        <v>2224</v>
      </c>
      <c r="G788" s="68" t="s">
        <v>400</v>
      </c>
      <c r="H788" s="69" t="str">
        <f>IF(Proc[[#This Row],[type]]="LFF (MDG-F)",MID(Proc[[#This Row],[Obj]],13,10),"")</f>
        <v/>
      </c>
      <c r="J788" s="69" t="b">
        <f>Proc[[#This Row],[Requested]]=Proc[[#This Row],[CurrentParent]]</f>
        <v>1</v>
      </c>
      <c r="K788" s="144" t="str">
        <f>IF(Proc[[#This Row],[Author]]="Marcela Urrego",VLOOKUP(LEFT(Proc[[#This Row],[Requested]],1),Table3[#All],2,0),VLOOKUP(Proc[[#This Row],[Author]],Table4[],2,0))</f>
        <v>HC</v>
      </c>
      <c r="L788" s="32" t="s">
        <v>509</v>
      </c>
      <c r="M788" s="71">
        <v>45716.734988425924</v>
      </c>
      <c r="N788" s="71">
        <v>45721</v>
      </c>
      <c r="O788" s="71">
        <v>45721</v>
      </c>
      <c r="P788" s="70" t="str">
        <f ca="1">IF(Proc[[#This Row],[DaysAgeing]]&gt;5,"yep","on track")</f>
        <v>on track</v>
      </c>
      <c r="Q788" s="3">
        <f ca="1">IF(Proc[[#This Row],[DateClosed]]="",ABS(NETWORKDAYS(Proc[[#This Row],[DateOpened]],TODAY()))-1,ABS(NETWORKDAYS(Proc[[#This Row],[DateOpened]],Proc[[#This Row],[DateClosed]]))-1)</f>
        <v>3</v>
      </c>
      <c r="R788" s="70" t="s">
        <v>1013</v>
      </c>
      <c r="S788" s="69"/>
    </row>
    <row r="789" spans="1:19" hidden="1">
      <c r="A789" s="68" t="s">
        <v>2244</v>
      </c>
      <c r="B789" s="149" t="str">
        <f>IFERROR(VLOOKUP(Proc[[#This Row],[App]],Table2[],3,0),"open")</f>
        <v>ok</v>
      </c>
      <c r="C789" s="68" t="s">
        <v>369</v>
      </c>
      <c r="D789" t="s">
        <v>2226</v>
      </c>
      <c r="E789" t="s">
        <v>2224</v>
      </c>
      <c r="F789" s="117" t="s">
        <v>2224</v>
      </c>
      <c r="G789" s="68" t="s">
        <v>400</v>
      </c>
      <c r="H789" s="69" t="str">
        <f>IF(Proc[[#This Row],[type]]="LFF (MDG-F)",MID(Proc[[#This Row],[Obj]],13,10),"")</f>
        <v/>
      </c>
      <c r="J789" s="69" t="b">
        <f>Proc[[#This Row],[Requested]]=Proc[[#This Row],[CurrentParent]]</f>
        <v>1</v>
      </c>
      <c r="K789" s="144" t="str">
        <f>IF(Proc[[#This Row],[Author]]="Marcela Urrego",VLOOKUP(LEFT(Proc[[#This Row],[Requested]],1),Table3[#All],2,0),VLOOKUP(Proc[[#This Row],[Author]],Table4[],2,0))</f>
        <v>HC</v>
      </c>
      <c r="L789" s="32" t="s">
        <v>509</v>
      </c>
      <c r="M789" s="71">
        <v>45716.734988425924</v>
      </c>
      <c r="N789" s="71">
        <v>45721</v>
      </c>
      <c r="O789" s="71">
        <v>45721</v>
      </c>
      <c r="P789" s="70" t="str">
        <f ca="1">IF(Proc[[#This Row],[DaysAgeing]]&gt;5,"yep","on track")</f>
        <v>on track</v>
      </c>
      <c r="Q789" s="3">
        <f ca="1">IF(Proc[[#This Row],[DateClosed]]="",ABS(NETWORKDAYS(Proc[[#This Row],[DateOpened]],TODAY()))-1,ABS(NETWORKDAYS(Proc[[#This Row],[DateOpened]],Proc[[#This Row],[DateClosed]]))-1)</f>
        <v>3</v>
      </c>
      <c r="R789" s="70" t="s">
        <v>1013</v>
      </c>
      <c r="S789" s="69"/>
    </row>
    <row r="790" spans="1:19" hidden="1">
      <c r="A790" s="68" t="s">
        <v>2244</v>
      </c>
      <c r="B790" s="149" t="str">
        <f>IFERROR(VLOOKUP(Proc[[#This Row],[App]],Table2[],3,0),"open")</f>
        <v>ok</v>
      </c>
      <c r="C790" s="68" t="s">
        <v>369</v>
      </c>
      <c r="D790" t="s">
        <v>2227</v>
      </c>
      <c r="E790" t="s">
        <v>2224</v>
      </c>
      <c r="F790" s="117" t="s">
        <v>2224</v>
      </c>
      <c r="G790" s="68" t="s">
        <v>400</v>
      </c>
      <c r="H790" s="69" t="str">
        <f>IF(Proc[[#This Row],[type]]="LFF (MDG-F)",MID(Proc[[#This Row],[Obj]],13,10),"")</f>
        <v/>
      </c>
      <c r="J790" s="69" t="b">
        <f>Proc[[#This Row],[Requested]]=Proc[[#This Row],[CurrentParent]]</f>
        <v>1</v>
      </c>
      <c r="K790" s="144" t="str">
        <f>IF(Proc[[#This Row],[Author]]="Marcela Urrego",VLOOKUP(LEFT(Proc[[#This Row],[Requested]],1),Table3[#All],2,0),VLOOKUP(Proc[[#This Row],[Author]],Table4[],2,0))</f>
        <v>HC</v>
      </c>
      <c r="L790" s="32" t="s">
        <v>509</v>
      </c>
      <c r="M790" s="71">
        <v>45716.734988425924</v>
      </c>
      <c r="N790" s="71">
        <v>45721</v>
      </c>
      <c r="O790" s="71">
        <v>45721</v>
      </c>
      <c r="P790" s="70" t="str">
        <f ca="1">IF(Proc[[#This Row],[DaysAgeing]]&gt;5,"yep","on track")</f>
        <v>on track</v>
      </c>
      <c r="Q790" s="3">
        <f ca="1">IF(Proc[[#This Row],[DateClosed]]="",ABS(NETWORKDAYS(Proc[[#This Row],[DateOpened]],TODAY()))-1,ABS(NETWORKDAYS(Proc[[#This Row],[DateOpened]],Proc[[#This Row],[DateClosed]]))-1)</f>
        <v>3</v>
      </c>
      <c r="R790" s="70" t="s">
        <v>1013</v>
      </c>
      <c r="S790" s="69"/>
    </row>
    <row r="791" spans="1:19" hidden="1">
      <c r="A791" s="68" t="s">
        <v>2244</v>
      </c>
      <c r="B791" s="149" t="str">
        <f>IFERROR(VLOOKUP(Proc[[#This Row],[App]],Table2[],3,0),"open")</f>
        <v>ok</v>
      </c>
      <c r="C791" s="68" t="s">
        <v>369</v>
      </c>
      <c r="D791" t="s">
        <v>2228</v>
      </c>
      <c r="E791" t="s">
        <v>2224</v>
      </c>
      <c r="F791" s="117" t="s">
        <v>2224</v>
      </c>
      <c r="G791" s="68" t="s">
        <v>400</v>
      </c>
      <c r="H791" s="69" t="str">
        <f>IF(Proc[[#This Row],[type]]="LFF (MDG-F)",MID(Proc[[#This Row],[Obj]],13,10),"")</f>
        <v/>
      </c>
      <c r="J791" s="69" t="b">
        <f>Proc[[#This Row],[Requested]]=Proc[[#This Row],[CurrentParent]]</f>
        <v>1</v>
      </c>
      <c r="K791" s="144" t="str">
        <f>IF(Proc[[#This Row],[Author]]="Marcela Urrego",VLOOKUP(LEFT(Proc[[#This Row],[Requested]],1),Table3[#All],2,0),VLOOKUP(Proc[[#This Row],[Author]],Table4[],2,0))</f>
        <v>HC</v>
      </c>
      <c r="L791" s="32" t="s">
        <v>509</v>
      </c>
      <c r="M791" s="71">
        <v>45716.734988425924</v>
      </c>
      <c r="N791" s="71">
        <v>45721</v>
      </c>
      <c r="O791" s="71">
        <v>45721</v>
      </c>
      <c r="P791" s="70" t="str">
        <f ca="1">IF(Proc[[#This Row],[DaysAgeing]]&gt;5,"yep","on track")</f>
        <v>on track</v>
      </c>
      <c r="Q791" s="3">
        <f ca="1">IF(Proc[[#This Row],[DateClosed]]="",ABS(NETWORKDAYS(Proc[[#This Row],[DateOpened]],TODAY()))-1,ABS(NETWORKDAYS(Proc[[#This Row],[DateOpened]],Proc[[#This Row],[DateClosed]]))-1)</f>
        <v>3</v>
      </c>
      <c r="R791" s="70" t="s">
        <v>1013</v>
      </c>
      <c r="S791" s="69"/>
    </row>
    <row r="792" spans="1:19" hidden="1">
      <c r="A792" s="68" t="s">
        <v>2244</v>
      </c>
      <c r="B792" s="149" t="str">
        <f>IFERROR(VLOOKUP(Proc[[#This Row],[App]],Table2[],3,0),"open")</f>
        <v>ok</v>
      </c>
      <c r="C792" s="68" t="s">
        <v>369</v>
      </c>
      <c r="D792" t="s">
        <v>2229</v>
      </c>
      <c r="E792" t="s">
        <v>2224</v>
      </c>
      <c r="F792" s="117" t="s">
        <v>2224</v>
      </c>
      <c r="G792" s="68" t="s">
        <v>400</v>
      </c>
      <c r="H792" s="69" t="str">
        <f>IF(Proc[[#This Row],[type]]="LFF (MDG-F)",MID(Proc[[#This Row],[Obj]],13,10),"")</f>
        <v/>
      </c>
      <c r="J792" s="69" t="b">
        <f>Proc[[#This Row],[Requested]]=Proc[[#This Row],[CurrentParent]]</f>
        <v>1</v>
      </c>
      <c r="K792" s="144" t="str">
        <f>IF(Proc[[#This Row],[Author]]="Marcela Urrego",VLOOKUP(LEFT(Proc[[#This Row],[Requested]],1),Table3[#All],2,0),VLOOKUP(Proc[[#This Row],[Author]],Table4[],2,0))</f>
        <v>HC</v>
      </c>
      <c r="L792" s="32" t="s">
        <v>509</v>
      </c>
      <c r="M792" s="71">
        <v>45716.734988425924</v>
      </c>
      <c r="N792" s="71">
        <v>45721</v>
      </c>
      <c r="O792" s="71">
        <v>45721</v>
      </c>
      <c r="P792" s="70" t="str">
        <f ca="1">IF(Proc[[#This Row],[DaysAgeing]]&gt;5,"yep","on track")</f>
        <v>on track</v>
      </c>
      <c r="Q792" s="3">
        <f ca="1">IF(Proc[[#This Row],[DateClosed]]="",ABS(NETWORKDAYS(Proc[[#This Row],[DateOpened]],TODAY()))-1,ABS(NETWORKDAYS(Proc[[#This Row],[DateOpened]],Proc[[#This Row],[DateClosed]]))-1)</f>
        <v>3</v>
      </c>
      <c r="R792" s="70" t="s">
        <v>1013</v>
      </c>
      <c r="S792" s="69"/>
    </row>
    <row r="793" spans="1:19" hidden="1">
      <c r="A793" s="68" t="s">
        <v>2244</v>
      </c>
      <c r="B793" s="149" t="str">
        <f>IFERROR(VLOOKUP(Proc[[#This Row],[App]],Table2[],3,0),"open")</f>
        <v>ok</v>
      </c>
      <c r="C793" s="68" t="s">
        <v>369</v>
      </c>
      <c r="D793" t="s">
        <v>2230</v>
      </c>
      <c r="E793" t="s">
        <v>2224</v>
      </c>
      <c r="F793" s="117" t="s">
        <v>2224</v>
      </c>
      <c r="G793" s="68" t="s">
        <v>400</v>
      </c>
      <c r="H793" s="69" t="str">
        <f>IF(Proc[[#This Row],[type]]="LFF (MDG-F)",MID(Proc[[#This Row],[Obj]],13,10),"")</f>
        <v/>
      </c>
      <c r="J793" s="69" t="b">
        <f>Proc[[#This Row],[Requested]]=Proc[[#This Row],[CurrentParent]]</f>
        <v>1</v>
      </c>
      <c r="K793" s="144" t="str">
        <f>IF(Proc[[#This Row],[Author]]="Marcela Urrego",VLOOKUP(LEFT(Proc[[#This Row],[Requested]],1),Table3[#All],2,0),VLOOKUP(Proc[[#This Row],[Author]],Table4[],2,0))</f>
        <v>HC</v>
      </c>
      <c r="L793" s="32" t="s">
        <v>509</v>
      </c>
      <c r="M793" s="71">
        <v>45716.734988425924</v>
      </c>
      <c r="N793" s="71">
        <v>45721</v>
      </c>
      <c r="O793" s="71">
        <v>45721</v>
      </c>
      <c r="P793" s="70" t="str">
        <f ca="1">IF(Proc[[#This Row],[DaysAgeing]]&gt;5,"yep","on track")</f>
        <v>on track</v>
      </c>
      <c r="Q793" s="3">
        <f ca="1">IF(Proc[[#This Row],[DateClosed]]="",ABS(NETWORKDAYS(Proc[[#This Row],[DateOpened]],TODAY()))-1,ABS(NETWORKDAYS(Proc[[#This Row],[DateOpened]],Proc[[#This Row],[DateClosed]]))-1)</f>
        <v>3</v>
      </c>
      <c r="R793" s="70" t="s">
        <v>1013</v>
      </c>
      <c r="S793" s="69"/>
    </row>
    <row r="794" spans="1:19" hidden="1">
      <c r="A794" s="68" t="s">
        <v>2244</v>
      </c>
      <c r="B794" s="149" t="str">
        <f>IFERROR(VLOOKUP(Proc[[#This Row],[App]],Table2[],3,0),"open")</f>
        <v>ok</v>
      </c>
      <c r="C794" s="68" t="s">
        <v>369</v>
      </c>
      <c r="D794" t="s">
        <v>2231</v>
      </c>
      <c r="E794" t="s">
        <v>2224</v>
      </c>
      <c r="F794" s="117" t="s">
        <v>2224</v>
      </c>
      <c r="G794" s="68" t="s">
        <v>400</v>
      </c>
      <c r="H794" s="69" t="str">
        <f>IF(Proc[[#This Row],[type]]="LFF (MDG-F)",MID(Proc[[#This Row],[Obj]],13,10),"")</f>
        <v/>
      </c>
      <c r="I794" s="68"/>
      <c r="J794" s="69" t="b">
        <f>Proc[[#This Row],[Requested]]=Proc[[#This Row],[CurrentParent]]</f>
        <v>1</v>
      </c>
      <c r="K794" s="144" t="str">
        <f>IF(Proc[[#This Row],[Author]]="Marcela Urrego",VLOOKUP(LEFT(Proc[[#This Row],[Requested]],1),Table3[#All],2,0),VLOOKUP(Proc[[#This Row],[Author]],Table4[],2,0))</f>
        <v>HC</v>
      </c>
      <c r="L794" s="32" t="s">
        <v>509</v>
      </c>
      <c r="M794" s="71">
        <v>45716.734988425924</v>
      </c>
      <c r="N794" s="71">
        <v>45721</v>
      </c>
      <c r="O794" s="71">
        <v>45721</v>
      </c>
      <c r="P794" s="70" t="str">
        <f ca="1">IF(Proc[[#This Row],[DaysAgeing]]&gt;5,"yep","on track")</f>
        <v>on track</v>
      </c>
      <c r="Q794" s="3">
        <f ca="1">IF(Proc[[#This Row],[DateClosed]]="",ABS(NETWORKDAYS(Proc[[#This Row],[DateOpened]],TODAY()))-1,ABS(NETWORKDAYS(Proc[[#This Row],[DateOpened]],Proc[[#This Row],[DateClosed]]))-1)</f>
        <v>3</v>
      </c>
      <c r="R794" s="70" t="s">
        <v>1013</v>
      </c>
      <c r="S794" s="69"/>
    </row>
    <row r="795" spans="1:19" hidden="1">
      <c r="A795" s="68" t="s">
        <v>2244</v>
      </c>
      <c r="B795" s="149" t="str">
        <f>IFERROR(VLOOKUP(Proc[[#This Row],[App]],Table2[],3,0),"open")</f>
        <v>ok</v>
      </c>
      <c r="C795" s="68" t="s">
        <v>369</v>
      </c>
      <c r="D795" t="s">
        <v>2232</v>
      </c>
      <c r="E795" t="s">
        <v>2224</v>
      </c>
      <c r="F795" s="117" t="s">
        <v>2224</v>
      </c>
      <c r="G795" s="68" t="s">
        <v>400</v>
      </c>
      <c r="H795" s="69" t="str">
        <f>IF(Proc[[#This Row],[type]]="LFF (MDG-F)",MID(Proc[[#This Row],[Obj]],13,10),"")</f>
        <v/>
      </c>
      <c r="J795" s="69" t="b">
        <f>Proc[[#This Row],[Requested]]=Proc[[#This Row],[CurrentParent]]</f>
        <v>1</v>
      </c>
      <c r="K795" s="144" t="str">
        <f>IF(Proc[[#This Row],[Author]]="Marcela Urrego",VLOOKUP(LEFT(Proc[[#This Row],[Requested]],1),Table3[#All],2,0),VLOOKUP(Proc[[#This Row],[Author]],Table4[],2,0))</f>
        <v>HC</v>
      </c>
      <c r="L795" s="32" t="s">
        <v>509</v>
      </c>
      <c r="M795" s="71">
        <v>45716.734988425924</v>
      </c>
      <c r="N795" s="71">
        <v>45721</v>
      </c>
      <c r="O795" s="71">
        <v>45721</v>
      </c>
      <c r="P795" s="70" t="str">
        <f ca="1">IF(Proc[[#This Row],[DaysAgeing]]&gt;5,"yep","on track")</f>
        <v>on track</v>
      </c>
      <c r="Q795" s="3">
        <f ca="1">IF(Proc[[#This Row],[DateClosed]]="",ABS(NETWORKDAYS(Proc[[#This Row],[DateOpened]],TODAY()))-1,ABS(NETWORKDAYS(Proc[[#This Row],[DateOpened]],Proc[[#This Row],[DateClosed]]))-1)</f>
        <v>3</v>
      </c>
      <c r="R795" s="70" t="s">
        <v>1013</v>
      </c>
      <c r="S795" s="69"/>
    </row>
    <row r="796" spans="1:19" hidden="1">
      <c r="A796" s="68" t="s">
        <v>2244</v>
      </c>
      <c r="B796" s="149" t="str">
        <f>IFERROR(VLOOKUP(Proc[[#This Row],[App]],Table2[],3,0),"open")</f>
        <v>ok</v>
      </c>
      <c r="C796" s="68" t="s">
        <v>369</v>
      </c>
      <c r="D796" t="s">
        <v>2233</v>
      </c>
      <c r="E796" t="s">
        <v>2224</v>
      </c>
      <c r="F796" s="117" t="s">
        <v>2224</v>
      </c>
      <c r="G796" s="68" t="s">
        <v>400</v>
      </c>
      <c r="H796" s="69" t="str">
        <f>IF(Proc[[#This Row],[type]]="LFF (MDG-F)",MID(Proc[[#This Row],[Obj]],13,10),"")</f>
        <v/>
      </c>
      <c r="J796" s="69" t="b">
        <f>Proc[[#This Row],[Requested]]=Proc[[#This Row],[CurrentParent]]</f>
        <v>1</v>
      </c>
      <c r="K796" s="144" t="str">
        <f>IF(Proc[[#This Row],[Author]]="Marcela Urrego",VLOOKUP(LEFT(Proc[[#This Row],[Requested]],1),Table3[#All],2,0),VLOOKUP(Proc[[#This Row],[Author]],Table4[],2,0))</f>
        <v>HC</v>
      </c>
      <c r="L796" s="32" t="s">
        <v>509</v>
      </c>
      <c r="M796" s="71">
        <v>45716.734988425924</v>
      </c>
      <c r="N796" s="71">
        <v>45721</v>
      </c>
      <c r="O796" s="71">
        <v>45721</v>
      </c>
      <c r="P796" s="70" t="str">
        <f ca="1">IF(Proc[[#This Row],[DaysAgeing]]&gt;5,"yep","on track")</f>
        <v>on track</v>
      </c>
      <c r="Q796" s="3">
        <f ca="1">IF(Proc[[#This Row],[DateClosed]]="",ABS(NETWORKDAYS(Proc[[#This Row],[DateOpened]],TODAY()))-1,ABS(NETWORKDAYS(Proc[[#This Row],[DateOpened]],Proc[[#This Row],[DateClosed]]))-1)</f>
        <v>3</v>
      </c>
      <c r="R796" s="70" t="s">
        <v>1013</v>
      </c>
      <c r="S796" s="69"/>
    </row>
    <row r="797" spans="1:19" hidden="1">
      <c r="A797" t="s">
        <v>2244</v>
      </c>
      <c r="B797" s="149" t="str">
        <f>IFERROR(VLOOKUP(Proc[[#This Row],[App]],Table2[],3,0),"open")</f>
        <v>ok</v>
      </c>
      <c r="C797" s="68" t="s">
        <v>369</v>
      </c>
      <c r="D797" t="s">
        <v>2234</v>
      </c>
      <c r="E797" t="s">
        <v>2224</v>
      </c>
      <c r="F797" s="117" t="s">
        <v>2224</v>
      </c>
      <c r="G797" s="68" t="s">
        <v>400</v>
      </c>
      <c r="H797" s="69" t="str">
        <f>IF(Proc[[#This Row],[type]]="LFF (MDG-F)",MID(Proc[[#This Row],[Obj]],13,10),"")</f>
        <v/>
      </c>
      <c r="J797" s="69" t="b">
        <f>Proc[[#This Row],[Requested]]=Proc[[#This Row],[CurrentParent]]</f>
        <v>1</v>
      </c>
      <c r="K797" s="144" t="str">
        <f>IF(Proc[[#This Row],[Author]]="Marcela Urrego",VLOOKUP(LEFT(Proc[[#This Row],[Requested]],1),Table3[#All],2,0),VLOOKUP(Proc[[#This Row],[Author]],Table4[],2,0))</f>
        <v>HC</v>
      </c>
      <c r="L797" s="32" t="s">
        <v>509</v>
      </c>
      <c r="M797" s="71">
        <v>45716.734988425924</v>
      </c>
      <c r="N797" s="71">
        <v>45721</v>
      </c>
      <c r="O797" s="71">
        <v>45721</v>
      </c>
      <c r="P797" s="70" t="str">
        <f ca="1">IF(Proc[[#This Row],[DaysAgeing]]&gt;5,"yep","on track")</f>
        <v>on track</v>
      </c>
      <c r="Q797" s="3">
        <f ca="1">IF(Proc[[#This Row],[DateClosed]]="",ABS(NETWORKDAYS(Proc[[#This Row],[DateOpened]],TODAY()))-1,ABS(NETWORKDAYS(Proc[[#This Row],[DateOpened]],Proc[[#This Row],[DateClosed]]))-1)</f>
        <v>3</v>
      </c>
      <c r="R797" s="70" t="s">
        <v>1013</v>
      </c>
      <c r="S797" s="69"/>
    </row>
    <row r="798" spans="1:19" hidden="1">
      <c r="A798" t="s">
        <v>2244</v>
      </c>
      <c r="B798" s="149" t="str">
        <f>IFERROR(VLOOKUP(Proc[[#This Row],[App]],Table2[],3,0),"open")</f>
        <v>ok</v>
      </c>
      <c r="C798" s="68" t="s">
        <v>369</v>
      </c>
      <c r="D798" t="s">
        <v>2235</v>
      </c>
      <c r="E798" t="s">
        <v>2224</v>
      </c>
      <c r="F798" s="117" t="s">
        <v>2224</v>
      </c>
      <c r="G798" s="68" t="s">
        <v>400</v>
      </c>
      <c r="H798" s="69" t="str">
        <f>IF(Proc[[#This Row],[type]]="LFF (MDG-F)",MID(Proc[[#This Row],[Obj]],13,10),"")</f>
        <v/>
      </c>
      <c r="J798" s="69" t="b">
        <f>Proc[[#This Row],[Requested]]=Proc[[#This Row],[CurrentParent]]</f>
        <v>1</v>
      </c>
      <c r="K798" s="144" t="str">
        <f>IF(Proc[[#This Row],[Author]]="Marcela Urrego",VLOOKUP(LEFT(Proc[[#This Row],[Requested]],1),Table3[#All],2,0),VLOOKUP(Proc[[#This Row],[Author]],Table4[],2,0))</f>
        <v>HC</v>
      </c>
      <c r="L798" s="32" t="s">
        <v>509</v>
      </c>
      <c r="M798" s="71">
        <v>45716.734988425924</v>
      </c>
      <c r="N798" s="71">
        <v>45721</v>
      </c>
      <c r="O798" s="71">
        <v>45721</v>
      </c>
      <c r="P798" s="70" t="str">
        <f ca="1">IF(Proc[[#This Row],[DaysAgeing]]&gt;5,"yep","on track")</f>
        <v>on track</v>
      </c>
      <c r="Q798" s="3">
        <f ca="1">IF(Proc[[#This Row],[DateClosed]]="",ABS(NETWORKDAYS(Proc[[#This Row],[DateOpened]],TODAY()))-1,ABS(NETWORKDAYS(Proc[[#This Row],[DateOpened]],Proc[[#This Row],[DateClosed]]))-1)</f>
        <v>3</v>
      </c>
      <c r="R798" s="70" t="s">
        <v>1013</v>
      </c>
      <c r="S798" s="69"/>
    </row>
    <row r="799" spans="1:19" hidden="1">
      <c r="A799" s="68" t="s">
        <v>2244</v>
      </c>
      <c r="B799" s="149" t="str">
        <f>IFERROR(VLOOKUP(Proc[[#This Row],[App]],Table2[],3,0),"open")</f>
        <v>ok</v>
      </c>
      <c r="C799" s="68" t="s">
        <v>369</v>
      </c>
      <c r="D799" t="s">
        <v>2236</v>
      </c>
      <c r="E799" t="s">
        <v>2224</v>
      </c>
      <c r="F799" s="117" t="s">
        <v>2224</v>
      </c>
      <c r="G799" s="68" t="s">
        <v>400</v>
      </c>
      <c r="H799" s="69" t="str">
        <f>IF(Proc[[#This Row],[type]]="LFF (MDG-F)",MID(Proc[[#This Row],[Obj]],13,10),"")</f>
        <v/>
      </c>
      <c r="J799" s="69" t="b">
        <f>Proc[[#This Row],[Requested]]=Proc[[#This Row],[CurrentParent]]</f>
        <v>1</v>
      </c>
      <c r="K799" s="144" t="str">
        <f>IF(Proc[[#This Row],[Author]]="Marcela Urrego",VLOOKUP(LEFT(Proc[[#This Row],[Requested]],1),Table3[#All],2,0),VLOOKUP(Proc[[#This Row],[Author]],Table4[],2,0))</f>
        <v>HC</v>
      </c>
      <c r="L799" s="32" t="s">
        <v>509</v>
      </c>
      <c r="M799" s="71">
        <v>45716.734988425924</v>
      </c>
      <c r="N799" s="71">
        <v>45721</v>
      </c>
      <c r="O799" s="71">
        <v>45721</v>
      </c>
      <c r="P799" s="70" t="str">
        <f ca="1">IF(Proc[[#This Row],[DaysAgeing]]&gt;5,"yep","on track")</f>
        <v>on track</v>
      </c>
      <c r="Q799" s="3">
        <f ca="1">IF(Proc[[#This Row],[DateClosed]]="",ABS(NETWORKDAYS(Proc[[#This Row],[DateOpened]],TODAY()))-1,ABS(NETWORKDAYS(Proc[[#This Row],[DateOpened]],Proc[[#This Row],[DateClosed]]))-1)</f>
        <v>3</v>
      </c>
      <c r="R799" s="70" t="s">
        <v>1013</v>
      </c>
      <c r="S799" s="69"/>
    </row>
    <row r="800" spans="1:19" hidden="1">
      <c r="A800" t="s">
        <v>2244</v>
      </c>
      <c r="B800" s="149" t="str">
        <f>IFERROR(VLOOKUP(Proc[[#This Row],[App]],Table2[],3,0),"open")</f>
        <v>ok</v>
      </c>
      <c r="C800" s="68" t="s">
        <v>369</v>
      </c>
      <c r="D800" t="s">
        <v>2237</v>
      </c>
      <c r="E800" t="s">
        <v>2224</v>
      </c>
      <c r="F800" s="117" t="s">
        <v>2224</v>
      </c>
      <c r="G800" s="68" t="s">
        <v>400</v>
      </c>
      <c r="H800" s="69" t="str">
        <f>IF(Proc[[#This Row],[type]]="LFF (MDG-F)",MID(Proc[[#This Row],[Obj]],13,10),"")</f>
        <v/>
      </c>
      <c r="J800" s="69" t="b">
        <f>Proc[[#This Row],[Requested]]=Proc[[#This Row],[CurrentParent]]</f>
        <v>1</v>
      </c>
      <c r="K800" s="144" t="str">
        <f>IF(Proc[[#This Row],[Author]]="Marcela Urrego",VLOOKUP(LEFT(Proc[[#This Row],[Requested]],1),Table3[#All],2,0),VLOOKUP(Proc[[#This Row],[Author]],Table4[],2,0))</f>
        <v>HC</v>
      </c>
      <c r="L800" s="32" t="s">
        <v>509</v>
      </c>
      <c r="M800" s="71">
        <v>45716.734988425924</v>
      </c>
      <c r="N800" s="71">
        <v>45721</v>
      </c>
      <c r="O800" s="71">
        <v>45721</v>
      </c>
      <c r="P800" s="70" t="str">
        <f ca="1">IF(Proc[[#This Row],[DaysAgeing]]&gt;5,"yep","on track")</f>
        <v>on track</v>
      </c>
      <c r="Q800" s="3">
        <f ca="1">IF(Proc[[#This Row],[DateClosed]]="",ABS(NETWORKDAYS(Proc[[#This Row],[DateOpened]],TODAY()))-1,ABS(NETWORKDAYS(Proc[[#This Row],[DateOpened]],Proc[[#This Row],[DateClosed]]))-1)</f>
        <v>3</v>
      </c>
      <c r="R800" s="70" t="s">
        <v>1013</v>
      </c>
      <c r="S800" s="69"/>
    </row>
    <row r="801" spans="1:19" hidden="1">
      <c r="A801" s="68" t="s">
        <v>2244</v>
      </c>
      <c r="B801" s="149" t="str">
        <f>IFERROR(VLOOKUP(Proc[[#This Row],[App]],Table2[],3,0),"open")</f>
        <v>ok</v>
      </c>
      <c r="C801" s="68" t="s">
        <v>369</v>
      </c>
      <c r="D801" t="s">
        <v>2238</v>
      </c>
      <c r="E801" t="s">
        <v>2224</v>
      </c>
      <c r="F801" s="117" t="s">
        <v>2224</v>
      </c>
      <c r="G801" s="68" t="s">
        <v>400</v>
      </c>
      <c r="H801" s="69" t="str">
        <f>IF(Proc[[#This Row],[type]]="LFF (MDG-F)",MID(Proc[[#This Row],[Obj]],13,10),"")</f>
        <v/>
      </c>
      <c r="J801" s="69" t="b">
        <f>Proc[[#This Row],[Requested]]=Proc[[#This Row],[CurrentParent]]</f>
        <v>1</v>
      </c>
      <c r="K801" s="144" t="str">
        <f>IF(Proc[[#This Row],[Author]]="Marcela Urrego",VLOOKUP(LEFT(Proc[[#This Row],[Requested]],1),Table3[#All],2,0),VLOOKUP(Proc[[#This Row],[Author]],Table4[],2,0))</f>
        <v>HC</v>
      </c>
      <c r="L801" s="32" t="s">
        <v>509</v>
      </c>
      <c r="M801" s="71">
        <v>45716.734988425924</v>
      </c>
      <c r="N801" s="71">
        <v>45721</v>
      </c>
      <c r="O801" s="71">
        <v>45721</v>
      </c>
      <c r="P801" s="70" t="str">
        <f ca="1">IF(Proc[[#This Row],[DaysAgeing]]&gt;5,"yep","on track")</f>
        <v>on track</v>
      </c>
      <c r="Q801" s="3">
        <f ca="1">IF(Proc[[#This Row],[DateClosed]]="",ABS(NETWORKDAYS(Proc[[#This Row],[DateOpened]],TODAY()))-1,ABS(NETWORKDAYS(Proc[[#This Row],[DateOpened]],Proc[[#This Row],[DateClosed]]))-1)</f>
        <v>3</v>
      </c>
      <c r="R801" s="70" t="s">
        <v>1013</v>
      </c>
      <c r="S801" s="69"/>
    </row>
    <row r="802" spans="1:19" hidden="1">
      <c r="A802" s="68" t="s">
        <v>2244</v>
      </c>
      <c r="B802" s="149" t="str">
        <f>IFERROR(VLOOKUP(Proc[[#This Row],[App]],Table2[],3,0),"open")</f>
        <v>ok</v>
      </c>
      <c r="C802" s="68" t="s">
        <v>369</v>
      </c>
      <c r="D802" t="s">
        <v>2239</v>
      </c>
      <c r="E802" t="s">
        <v>2224</v>
      </c>
      <c r="F802" s="117" t="s">
        <v>2224</v>
      </c>
      <c r="G802" s="68" t="s">
        <v>400</v>
      </c>
      <c r="H802" s="69" t="str">
        <f>IF(Proc[[#This Row],[type]]="LFF (MDG-F)",MID(Proc[[#This Row],[Obj]],13,10),"")</f>
        <v/>
      </c>
      <c r="J802" s="69" t="b">
        <f>Proc[[#This Row],[Requested]]=Proc[[#This Row],[CurrentParent]]</f>
        <v>1</v>
      </c>
      <c r="K802" s="144" t="str">
        <f>IF(Proc[[#This Row],[Author]]="Marcela Urrego",VLOOKUP(LEFT(Proc[[#This Row],[Requested]],1),Table3[#All],2,0),VLOOKUP(Proc[[#This Row],[Author]],Table4[],2,0))</f>
        <v>HC</v>
      </c>
      <c r="L802" s="32" t="s">
        <v>509</v>
      </c>
      <c r="M802" s="71">
        <v>45716.734988425924</v>
      </c>
      <c r="N802" s="71">
        <v>45721</v>
      </c>
      <c r="O802" s="71">
        <v>45721</v>
      </c>
      <c r="P802" s="70" t="str">
        <f ca="1">IF(Proc[[#This Row],[DaysAgeing]]&gt;5,"yep","on track")</f>
        <v>on track</v>
      </c>
      <c r="Q802" s="3">
        <f ca="1">IF(Proc[[#This Row],[DateClosed]]="",ABS(NETWORKDAYS(Proc[[#This Row],[DateOpened]],TODAY()))-1,ABS(NETWORKDAYS(Proc[[#This Row],[DateOpened]],Proc[[#This Row],[DateClosed]]))-1)</f>
        <v>3</v>
      </c>
      <c r="R802" s="70" t="s">
        <v>1013</v>
      </c>
      <c r="S802" s="69"/>
    </row>
    <row r="803" spans="1:19" hidden="1">
      <c r="A803" s="68" t="s">
        <v>2244</v>
      </c>
      <c r="B803" s="149" t="str">
        <f>IFERROR(VLOOKUP(Proc[[#This Row],[App]],Table2[],3,0),"open")</f>
        <v>ok</v>
      </c>
      <c r="C803" s="68" t="s">
        <v>369</v>
      </c>
      <c r="D803" t="s">
        <v>2115</v>
      </c>
      <c r="E803" t="s">
        <v>2222</v>
      </c>
      <c r="F803" s="117" t="s">
        <v>2222</v>
      </c>
      <c r="G803" s="68" t="s">
        <v>400</v>
      </c>
      <c r="H803" s="69" t="str">
        <f>IF(Proc[[#This Row],[type]]="LFF (MDG-F)",MID(Proc[[#This Row],[Obj]],13,10),"")</f>
        <v/>
      </c>
      <c r="J803" s="69" t="b">
        <f>Proc[[#This Row],[Requested]]=Proc[[#This Row],[CurrentParent]]</f>
        <v>1</v>
      </c>
      <c r="K803" s="144" t="str">
        <f>IF(Proc[[#This Row],[Author]]="Marcela Urrego",VLOOKUP(LEFT(Proc[[#This Row],[Requested]],1),Table3[#All],2,0),VLOOKUP(Proc[[#This Row],[Author]],Table4[],2,0))</f>
        <v>HC</v>
      </c>
      <c r="L803" s="32" t="s">
        <v>509</v>
      </c>
      <c r="M803" s="71">
        <v>45716.734988425924</v>
      </c>
      <c r="N803" s="71">
        <v>45721</v>
      </c>
      <c r="O803" s="71">
        <v>45721</v>
      </c>
      <c r="P803" s="70" t="str">
        <f ca="1">IF(Proc[[#This Row],[DaysAgeing]]&gt;5,"yep","on track")</f>
        <v>on track</v>
      </c>
      <c r="Q803" s="3">
        <f ca="1">IF(Proc[[#This Row],[DateClosed]]="",ABS(NETWORKDAYS(Proc[[#This Row],[DateOpened]],TODAY()))-1,ABS(NETWORKDAYS(Proc[[#This Row],[DateOpened]],Proc[[#This Row],[DateClosed]]))-1)</f>
        <v>3</v>
      </c>
      <c r="R803" s="70" t="s">
        <v>1013</v>
      </c>
      <c r="S803" s="69"/>
    </row>
    <row r="804" spans="1:19" hidden="1">
      <c r="A804" s="68" t="s">
        <v>2244</v>
      </c>
      <c r="B804" s="149" t="str">
        <f>IFERROR(VLOOKUP(Proc[[#This Row],[App]],Table2[],3,0),"open")</f>
        <v>ok</v>
      </c>
      <c r="C804" s="68" t="s">
        <v>369</v>
      </c>
      <c r="D804" t="s">
        <v>2240</v>
      </c>
      <c r="E804" t="s">
        <v>2224</v>
      </c>
      <c r="F804" s="117" t="s">
        <v>2224</v>
      </c>
      <c r="G804" s="68" t="s">
        <v>400</v>
      </c>
      <c r="H804" s="69" t="str">
        <f>IF(Proc[[#This Row],[type]]="LFF (MDG-F)",MID(Proc[[#This Row],[Obj]],13,10),"")</f>
        <v/>
      </c>
      <c r="J804" s="69" t="b">
        <f>Proc[[#This Row],[Requested]]=Proc[[#This Row],[CurrentParent]]</f>
        <v>1</v>
      </c>
      <c r="K804" s="144" t="str">
        <f>IF(Proc[[#This Row],[Author]]="Marcela Urrego",VLOOKUP(LEFT(Proc[[#This Row],[Requested]],1),Table3[#All],2,0),VLOOKUP(Proc[[#This Row],[Author]],Table4[],2,0))</f>
        <v>HC</v>
      </c>
      <c r="L804" s="32" t="s">
        <v>509</v>
      </c>
      <c r="M804" s="71">
        <v>45716.734988425924</v>
      </c>
      <c r="N804" s="71">
        <v>45721</v>
      </c>
      <c r="O804" s="71">
        <v>45721</v>
      </c>
      <c r="P804" s="70" t="str">
        <f ca="1">IF(Proc[[#This Row],[DaysAgeing]]&gt;5,"yep","on track")</f>
        <v>on track</v>
      </c>
      <c r="Q804" s="3">
        <f ca="1">IF(Proc[[#This Row],[DateClosed]]="",ABS(NETWORKDAYS(Proc[[#This Row],[DateOpened]],TODAY()))-1,ABS(NETWORKDAYS(Proc[[#This Row],[DateOpened]],Proc[[#This Row],[DateClosed]]))-1)</f>
        <v>3</v>
      </c>
      <c r="R804" s="70" t="s">
        <v>1013</v>
      </c>
      <c r="S804" s="69"/>
    </row>
    <row r="805" spans="1:19" hidden="1">
      <c r="A805" s="68" t="s">
        <v>2244</v>
      </c>
      <c r="B805" s="149" t="str">
        <f>IFERROR(VLOOKUP(Proc[[#This Row],[App]],Table2[],3,0),"open")</f>
        <v>ok</v>
      </c>
      <c r="C805" s="68" t="s">
        <v>369</v>
      </c>
      <c r="D805" t="s">
        <v>2241</v>
      </c>
      <c r="E805" t="s">
        <v>2224</v>
      </c>
      <c r="F805" s="117" t="s">
        <v>2224</v>
      </c>
      <c r="G805" s="68" t="s">
        <v>400</v>
      </c>
      <c r="H805" s="69" t="str">
        <f>IF(Proc[[#This Row],[type]]="LFF (MDG-F)",MID(Proc[[#This Row],[Obj]],13,10),"")</f>
        <v/>
      </c>
      <c r="J805" s="69" t="b">
        <f>Proc[[#This Row],[Requested]]=Proc[[#This Row],[CurrentParent]]</f>
        <v>1</v>
      </c>
      <c r="K805" s="144" t="str">
        <f>IF(Proc[[#This Row],[Author]]="Marcela Urrego",VLOOKUP(LEFT(Proc[[#This Row],[Requested]],1),Table3[#All],2,0),VLOOKUP(Proc[[#This Row],[Author]],Table4[],2,0))</f>
        <v>HC</v>
      </c>
      <c r="L805" s="32" t="s">
        <v>509</v>
      </c>
      <c r="M805" s="71">
        <v>45716.734988425924</v>
      </c>
      <c r="N805" s="71">
        <v>45721</v>
      </c>
      <c r="O805" s="71">
        <v>45721</v>
      </c>
      <c r="P805" s="70" t="str">
        <f ca="1">IF(Proc[[#This Row],[DaysAgeing]]&gt;5,"yep","on track")</f>
        <v>on track</v>
      </c>
      <c r="Q805" s="3">
        <f ca="1">IF(Proc[[#This Row],[DateClosed]]="",ABS(NETWORKDAYS(Proc[[#This Row],[DateOpened]],TODAY()))-1,ABS(NETWORKDAYS(Proc[[#This Row],[DateOpened]],Proc[[#This Row],[DateClosed]]))-1)</f>
        <v>3</v>
      </c>
      <c r="R805" s="70" t="s">
        <v>1013</v>
      </c>
      <c r="S805" s="69"/>
    </row>
    <row r="806" spans="1:19" hidden="1">
      <c r="A806" s="68" t="s">
        <v>2244</v>
      </c>
      <c r="B806" s="149" t="str">
        <f>IFERROR(VLOOKUP(Proc[[#This Row],[App]],Table2[],3,0),"open")</f>
        <v>ok</v>
      </c>
      <c r="C806" s="68" t="s">
        <v>369</v>
      </c>
      <c r="D806" t="s">
        <v>2242</v>
      </c>
      <c r="E806" t="s">
        <v>2224</v>
      </c>
      <c r="F806" s="117" t="s">
        <v>2224</v>
      </c>
      <c r="G806" s="68" t="s">
        <v>400</v>
      </c>
      <c r="H806" s="69" t="str">
        <f>IF(Proc[[#This Row],[type]]="LFF (MDG-F)",MID(Proc[[#This Row],[Obj]],13,10),"")</f>
        <v/>
      </c>
      <c r="J806" s="69" t="b">
        <f>Proc[[#This Row],[Requested]]=Proc[[#This Row],[CurrentParent]]</f>
        <v>1</v>
      </c>
      <c r="K806" s="144" t="str">
        <f>IF(Proc[[#This Row],[Author]]="Marcela Urrego",VLOOKUP(LEFT(Proc[[#This Row],[Requested]],1),Table3[#All],2,0),VLOOKUP(Proc[[#This Row],[Author]],Table4[],2,0))</f>
        <v>HC</v>
      </c>
      <c r="L806" s="32" t="s">
        <v>509</v>
      </c>
      <c r="M806" s="71">
        <v>45716.734988425924</v>
      </c>
      <c r="N806" s="71">
        <v>45721</v>
      </c>
      <c r="O806" s="71">
        <v>45721</v>
      </c>
      <c r="P806" s="70" t="str">
        <f ca="1">IF(Proc[[#This Row],[DaysAgeing]]&gt;5,"yep","on track")</f>
        <v>on track</v>
      </c>
      <c r="Q806" s="3">
        <f ca="1">IF(Proc[[#This Row],[DateClosed]]="",ABS(NETWORKDAYS(Proc[[#This Row],[DateOpened]],TODAY()))-1,ABS(NETWORKDAYS(Proc[[#This Row],[DateOpened]],Proc[[#This Row],[DateClosed]]))-1)</f>
        <v>3</v>
      </c>
      <c r="R806" s="70" t="s">
        <v>1013</v>
      </c>
      <c r="S806" s="69"/>
    </row>
    <row r="807" spans="1:19" hidden="1">
      <c r="A807" s="68" t="s">
        <v>2244</v>
      </c>
      <c r="B807" s="149" t="str">
        <f>IFERROR(VLOOKUP(Proc[[#This Row],[App]],Table2[],3,0),"open")</f>
        <v>ok</v>
      </c>
      <c r="C807" s="68" t="s">
        <v>369</v>
      </c>
      <c r="D807" t="s">
        <v>2243</v>
      </c>
      <c r="E807" t="s">
        <v>2224</v>
      </c>
      <c r="F807" s="117" t="s">
        <v>2224</v>
      </c>
      <c r="G807" s="68" t="s">
        <v>400</v>
      </c>
      <c r="H807" s="69" t="str">
        <f>IF(Proc[[#This Row],[type]]="LFF (MDG-F)",MID(Proc[[#This Row],[Obj]],13,10),"")</f>
        <v/>
      </c>
      <c r="J807" s="69" t="b">
        <f>Proc[[#This Row],[Requested]]=Proc[[#This Row],[CurrentParent]]</f>
        <v>1</v>
      </c>
      <c r="K807" s="144" t="str">
        <f>IF(Proc[[#This Row],[Author]]="Marcela Urrego",VLOOKUP(LEFT(Proc[[#This Row],[Requested]],1),Table3[#All],2,0),VLOOKUP(Proc[[#This Row],[Author]],Table4[],2,0))</f>
        <v>HC</v>
      </c>
      <c r="L807" s="32" t="s">
        <v>509</v>
      </c>
      <c r="M807" s="71">
        <v>45716.734988425924</v>
      </c>
      <c r="N807" s="71">
        <v>45721</v>
      </c>
      <c r="O807" s="71">
        <v>45721</v>
      </c>
      <c r="P807" s="70" t="str">
        <f ca="1">IF(Proc[[#This Row],[DaysAgeing]]&gt;5,"yep","on track")</f>
        <v>on track</v>
      </c>
      <c r="Q807" s="3">
        <f ca="1">IF(Proc[[#This Row],[DateClosed]]="",ABS(NETWORKDAYS(Proc[[#This Row],[DateOpened]],TODAY()))-1,ABS(NETWORKDAYS(Proc[[#This Row],[DateOpened]],Proc[[#This Row],[DateClosed]]))-1)</f>
        <v>3</v>
      </c>
      <c r="R807" s="70" t="s">
        <v>1013</v>
      </c>
      <c r="S807" s="69"/>
    </row>
    <row r="808" spans="1:19" hidden="1">
      <c r="A808" t="s">
        <v>2305</v>
      </c>
      <c r="B808" s="149" t="str">
        <f>IFERROR(VLOOKUP(Proc[[#This Row],[App]],Table2[],3,0),"open")</f>
        <v>ok</v>
      </c>
      <c r="C808" t="s">
        <v>369</v>
      </c>
      <c r="D808" t="s">
        <v>2300</v>
      </c>
      <c r="E808" t="s">
        <v>631</v>
      </c>
      <c r="F808" s="117" t="s">
        <v>631</v>
      </c>
      <c r="G808" t="s">
        <v>406</v>
      </c>
      <c r="H808" s="69" t="str">
        <f>IF(Proc[[#This Row],[type]]="LFF (MDG-F)",MID(Proc[[#This Row],[Obj]],13,10),"")</f>
        <v>DE20517200</v>
      </c>
      <c r="J808" s="69" t="b">
        <f>Proc[[#This Row],[Requested]]=Proc[[#This Row],[CurrentParent]]</f>
        <v>1</v>
      </c>
      <c r="K808" s="144" t="str">
        <f>IF(Proc[[#This Row],[Author]]="Marcela Urrego",VLOOKUP(LEFT(Proc[[#This Row],[Requested]],1),Table3[#All],2,0),VLOOKUP(Proc[[#This Row],[Author]],Table4[],2,0))</f>
        <v>MGF</v>
      </c>
      <c r="L808" s="32" t="s">
        <v>509</v>
      </c>
      <c r="M808" s="71">
        <v>45719.3903125</v>
      </c>
      <c r="N808" s="71">
        <v>45721</v>
      </c>
      <c r="O808" s="71">
        <v>45721</v>
      </c>
      <c r="P808" s="70" t="str">
        <f ca="1">IF(Proc[[#This Row],[DaysAgeing]]&gt;5,"yep","on track")</f>
        <v>on track</v>
      </c>
      <c r="Q808" s="3">
        <f ca="1">IF(Proc[[#This Row],[DateClosed]]="",ABS(NETWORKDAYS(Proc[[#This Row],[DateOpened]],TODAY()))-1,ABS(NETWORKDAYS(Proc[[#This Row],[DateOpened]],Proc[[#This Row],[DateClosed]]))-1)</f>
        <v>2</v>
      </c>
      <c r="R808" s="70" t="s">
        <v>549</v>
      </c>
      <c r="S808" s="69"/>
    </row>
    <row r="809" spans="1:19" hidden="1">
      <c r="A809" s="68" t="s">
        <v>2305</v>
      </c>
      <c r="B809" s="149" t="str">
        <f>IFERROR(VLOOKUP(Proc[[#This Row],[App]],Table2[],3,0),"open")</f>
        <v>ok</v>
      </c>
      <c r="C809" s="68" t="s">
        <v>369</v>
      </c>
      <c r="D809" t="s">
        <v>2301</v>
      </c>
      <c r="E809" t="s">
        <v>631</v>
      </c>
      <c r="F809" s="117" t="s">
        <v>631</v>
      </c>
      <c r="G809" s="68" t="s">
        <v>406</v>
      </c>
      <c r="H809" s="69" t="str">
        <f>IF(Proc[[#This Row],[type]]="LFF (MDG-F)",MID(Proc[[#This Row],[Obj]],13,10),"")</f>
        <v>DE20847204</v>
      </c>
      <c r="I809" s="68"/>
      <c r="J809" s="69" t="b">
        <f>Proc[[#This Row],[Requested]]=Proc[[#This Row],[CurrentParent]]</f>
        <v>1</v>
      </c>
      <c r="K809" s="144" t="str">
        <f>IF(Proc[[#This Row],[Author]]="Marcela Urrego",VLOOKUP(LEFT(Proc[[#This Row],[Requested]],1),Table3[#All],2,0),VLOOKUP(Proc[[#This Row],[Author]],Table4[],2,0))</f>
        <v>MGF</v>
      </c>
      <c r="L809" s="32" t="s">
        <v>509</v>
      </c>
      <c r="M809" s="71">
        <v>45719.3903125</v>
      </c>
      <c r="N809" s="71">
        <v>45721</v>
      </c>
      <c r="O809" s="71">
        <v>45721</v>
      </c>
      <c r="P809" s="70" t="str">
        <f ca="1">IF(Proc[[#This Row],[DaysAgeing]]&gt;5,"yep","on track")</f>
        <v>on track</v>
      </c>
      <c r="Q809" s="3">
        <f ca="1">IF(Proc[[#This Row],[DateClosed]]="",ABS(NETWORKDAYS(Proc[[#This Row],[DateOpened]],TODAY()))-1,ABS(NETWORKDAYS(Proc[[#This Row],[DateOpened]],Proc[[#This Row],[DateClosed]]))-1)</f>
        <v>2</v>
      </c>
      <c r="R809" s="70" t="s">
        <v>549</v>
      </c>
      <c r="S809" s="69"/>
    </row>
    <row r="810" spans="1:19" hidden="1">
      <c r="A810" s="68" t="s">
        <v>2305</v>
      </c>
      <c r="B810" s="149" t="str">
        <f>IFERROR(VLOOKUP(Proc[[#This Row],[App]],Table2[],3,0),"open")</f>
        <v>ok</v>
      </c>
      <c r="C810" s="68" t="s">
        <v>369</v>
      </c>
      <c r="D810" t="s">
        <v>2302</v>
      </c>
      <c r="E810" t="s">
        <v>631</v>
      </c>
      <c r="F810" s="117" t="s">
        <v>631</v>
      </c>
      <c r="G810" s="68" t="s">
        <v>406</v>
      </c>
      <c r="H810" s="69" t="str">
        <f>IF(Proc[[#This Row],[type]]="LFF (MDG-F)",MID(Proc[[#This Row],[Obj]],13,10),"")</f>
        <v>DE20847205</v>
      </c>
      <c r="I810" s="68"/>
      <c r="J810" s="69" t="b">
        <f>Proc[[#This Row],[Requested]]=Proc[[#This Row],[CurrentParent]]</f>
        <v>1</v>
      </c>
      <c r="K810" s="144" t="str">
        <f>IF(Proc[[#This Row],[Author]]="Marcela Urrego",VLOOKUP(LEFT(Proc[[#This Row],[Requested]],1),Table3[#All],2,0),VLOOKUP(Proc[[#This Row],[Author]],Table4[],2,0))</f>
        <v>MGF</v>
      </c>
      <c r="L810" s="32" t="s">
        <v>509</v>
      </c>
      <c r="M810" s="71">
        <v>45719.3903125</v>
      </c>
      <c r="N810" s="71">
        <v>45721</v>
      </c>
      <c r="O810" s="71">
        <v>45721</v>
      </c>
      <c r="P810" s="70" t="str">
        <f ca="1">IF(Proc[[#This Row],[DaysAgeing]]&gt;5,"yep","on track")</f>
        <v>on track</v>
      </c>
      <c r="Q810" s="3">
        <f ca="1">IF(Proc[[#This Row],[DateClosed]]="",ABS(NETWORKDAYS(Proc[[#This Row],[DateOpened]],TODAY()))-1,ABS(NETWORKDAYS(Proc[[#This Row],[DateOpened]],Proc[[#This Row],[DateClosed]]))-1)</f>
        <v>2</v>
      </c>
      <c r="R810" s="70" t="s">
        <v>549</v>
      </c>
      <c r="S810" s="69"/>
    </row>
    <row r="811" spans="1:19" hidden="1">
      <c r="A811" s="68" t="s">
        <v>2305</v>
      </c>
      <c r="B811" s="149" t="str">
        <f>IFERROR(VLOOKUP(Proc[[#This Row],[App]],Table2[],3,0),"open")</f>
        <v>ok</v>
      </c>
      <c r="C811" s="68" t="s">
        <v>369</v>
      </c>
      <c r="D811" t="s">
        <v>2303</v>
      </c>
      <c r="E811" t="s">
        <v>631</v>
      </c>
      <c r="F811" s="117" t="s">
        <v>631</v>
      </c>
      <c r="G811" s="68" t="s">
        <v>406</v>
      </c>
      <c r="H811" s="69" t="str">
        <f>IF(Proc[[#This Row],[type]]="LFF (MDG-F)",MID(Proc[[#This Row],[Obj]],13,10),"")</f>
        <v>DE20847206</v>
      </c>
      <c r="I811" s="68"/>
      <c r="J811" s="69" t="b">
        <f>Proc[[#This Row],[Requested]]=Proc[[#This Row],[CurrentParent]]</f>
        <v>1</v>
      </c>
      <c r="K811" s="144" t="str">
        <f>IF(Proc[[#This Row],[Author]]="Marcela Urrego",VLOOKUP(LEFT(Proc[[#This Row],[Requested]],1),Table3[#All],2,0),VLOOKUP(Proc[[#This Row],[Author]],Table4[],2,0))</f>
        <v>MGF</v>
      </c>
      <c r="L811" s="32" t="s">
        <v>509</v>
      </c>
      <c r="M811" s="71">
        <v>45719.3903125</v>
      </c>
      <c r="N811" s="71">
        <v>45721</v>
      </c>
      <c r="O811" s="71">
        <v>45721</v>
      </c>
      <c r="P811" s="70" t="str">
        <f ca="1">IF(Proc[[#This Row],[DaysAgeing]]&gt;5,"yep","on track")</f>
        <v>on track</v>
      </c>
      <c r="Q811" s="3">
        <f ca="1">IF(Proc[[#This Row],[DateClosed]]="",ABS(NETWORKDAYS(Proc[[#This Row],[DateOpened]],TODAY()))-1,ABS(NETWORKDAYS(Proc[[#This Row],[DateOpened]],Proc[[#This Row],[DateClosed]]))-1)</f>
        <v>2</v>
      </c>
      <c r="R811" s="70" t="s">
        <v>549</v>
      </c>
      <c r="S811" s="69"/>
    </row>
    <row r="812" spans="1:19" hidden="1">
      <c r="A812" s="68" t="s">
        <v>2305</v>
      </c>
      <c r="B812" s="149" t="str">
        <f>IFERROR(VLOOKUP(Proc[[#This Row],[App]],Table2[],3,0),"open")</f>
        <v>ok</v>
      </c>
      <c r="C812" s="68" t="s">
        <v>369</v>
      </c>
      <c r="D812" t="s">
        <v>2304</v>
      </c>
      <c r="E812" t="s">
        <v>631</v>
      </c>
      <c r="F812" s="117" t="s">
        <v>631</v>
      </c>
      <c r="G812" s="68" t="s">
        <v>406</v>
      </c>
      <c r="H812" s="69" t="str">
        <f>IF(Proc[[#This Row],[type]]="LFF (MDG-F)",MID(Proc[[#This Row],[Obj]],13,10),"")</f>
        <v>DE20847207</v>
      </c>
      <c r="J812" s="69" t="b">
        <f>Proc[[#This Row],[Requested]]=Proc[[#This Row],[CurrentParent]]</f>
        <v>1</v>
      </c>
      <c r="K812" s="144" t="str">
        <f>IF(Proc[[#This Row],[Author]]="Marcela Urrego",VLOOKUP(LEFT(Proc[[#This Row],[Requested]],1),Table3[#All],2,0),VLOOKUP(Proc[[#This Row],[Author]],Table4[],2,0))</f>
        <v>MGF</v>
      </c>
      <c r="L812" s="32" t="s">
        <v>509</v>
      </c>
      <c r="M812" s="71">
        <v>45719.3903125</v>
      </c>
      <c r="N812" s="71">
        <v>45721</v>
      </c>
      <c r="O812" s="71">
        <v>45721</v>
      </c>
      <c r="P812" s="70" t="str">
        <f ca="1">IF(Proc[[#This Row],[DaysAgeing]]&gt;5,"yep","on track")</f>
        <v>on track</v>
      </c>
      <c r="Q812" s="3">
        <f ca="1">IF(Proc[[#This Row],[DateClosed]]="",ABS(NETWORKDAYS(Proc[[#This Row],[DateOpened]],TODAY()))-1,ABS(NETWORKDAYS(Proc[[#This Row],[DateOpened]],Proc[[#This Row],[DateClosed]]))-1)</f>
        <v>2</v>
      </c>
      <c r="R812" s="70" t="s">
        <v>549</v>
      </c>
      <c r="S812" s="69"/>
    </row>
    <row r="813" spans="1:19" hidden="1">
      <c r="A813" s="68" t="s">
        <v>2281</v>
      </c>
      <c r="B813" s="149" t="str">
        <f>IFERROR(VLOOKUP(Proc[[#This Row],[App]],Table2[],3,0),"open")</f>
        <v>ok</v>
      </c>
      <c r="C813" s="68" t="s">
        <v>369</v>
      </c>
      <c r="D813" t="s">
        <v>2282</v>
      </c>
      <c r="E813" t="s">
        <v>631</v>
      </c>
      <c r="F813" s="117" t="s">
        <v>631</v>
      </c>
      <c r="G813" s="68" t="s">
        <v>406</v>
      </c>
      <c r="H813" s="69" t="str">
        <f>IF(Proc[[#This Row],[type]]="LFF (MDG-F)",MID(Proc[[#This Row],[Obj]],13,10),"")</f>
        <v>DE10505500</v>
      </c>
      <c r="J813" s="69" t="b">
        <f>Proc[[#This Row],[Requested]]=Proc[[#This Row],[CurrentParent]]</f>
        <v>1</v>
      </c>
      <c r="K813" s="144" t="str">
        <f>IF(Proc[[#This Row],[Author]]="Marcela Urrego",VLOOKUP(LEFT(Proc[[#This Row],[Requested]],1),Table3[#All],2,0),VLOOKUP(Proc[[#This Row],[Author]],Table4[],2,0))</f>
        <v>MGF</v>
      </c>
      <c r="L813" s="32" t="s">
        <v>509</v>
      </c>
      <c r="M813" s="71">
        <v>45719.398958333331</v>
      </c>
      <c r="N813" s="71">
        <v>45722</v>
      </c>
      <c r="O813" s="71">
        <v>45722</v>
      </c>
      <c r="P813" s="70" t="str">
        <f ca="1">IF(Proc[[#This Row],[DaysAgeing]]&gt;5,"yep","on track")</f>
        <v>on track</v>
      </c>
      <c r="Q813" s="3">
        <f ca="1">IF(Proc[[#This Row],[DateClosed]]="",ABS(NETWORKDAYS(Proc[[#This Row],[DateOpened]],TODAY()))-1,ABS(NETWORKDAYS(Proc[[#This Row],[DateOpened]],Proc[[#This Row],[DateClosed]]))-1)</f>
        <v>3</v>
      </c>
      <c r="R813" s="70" t="s">
        <v>549</v>
      </c>
      <c r="S813" s="69"/>
    </row>
    <row r="814" spans="1:19" hidden="1">
      <c r="A814" s="68" t="s">
        <v>2281</v>
      </c>
      <c r="B814" s="149" t="str">
        <f>IFERROR(VLOOKUP(Proc[[#This Row],[App]],Table2[],3,0),"open")</f>
        <v>ok</v>
      </c>
      <c r="C814" s="68" t="s">
        <v>377</v>
      </c>
      <c r="D814" t="s">
        <v>2283</v>
      </c>
      <c r="E814" t="s">
        <v>631</v>
      </c>
      <c r="F814" s="103" t="s">
        <v>631</v>
      </c>
      <c r="G814" s="68" t="s">
        <v>406</v>
      </c>
      <c r="H814" s="69" t="str">
        <f>IF(Proc[[#This Row],[type]]="LFF (MDG-F)",MID(Proc[[#This Row],[Obj]],13,10),"")</f>
        <v>DE10550100</v>
      </c>
      <c r="I814" t="s">
        <v>446</v>
      </c>
      <c r="J814" s="69" t="b">
        <f>Proc[[#This Row],[Requested]]=Proc[[#This Row],[CurrentParent]]</f>
        <v>1</v>
      </c>
      <c r="K814" s="144" t="str">
        <f>IF(Proc[[#This Row],[Author]]="Marcela Urrego",VLOOKUP(LEFT(Proc[[#This Row],[Requested]],1),Table3[#All],2,0),VLOOKUP(Proc[[#This Row],[Author]],Table4[],2,0))</f>
        <v>MGF</v>
      </c>
      <c r="L814" s="32" t="s">
        <v>509</v>
      </c>
      <c r="M814" s="71">
        <v>45719.398958333331</v>
      </c>
      <c r="O814" s="71">
        <v>45722</v>
      </c>
      <c r="P814" s="70" t="str">
        <f ca="1">IF(Proc[[#This Row],[DaysAgeing]]&gt;5,"yep","on track")</f>
        <v>on track</v>
      </c>
      <c r="Q814" s="3">
        <f ca="1">IF(Proc[[#This Row],[DateClosed]]="",ABS(NETWORKDAYS(Proc[[#This Row],[DateOpened]],TODAY()))-1,ABS(NETWORKDAYS(Proc[[#This Row],[DateOpened]],Proc[[#This Row],[DateClosed]]))-1)</f>
        <v>3</v>
      </c>
      <c r="R814" s="70" t="s">
        <v>549</v>
      </c>
      <c r="S814" s="94" t="e">
        <f>VLOOKUP(Proc[[#This Row],[Obj]],#REF!,2,0)</f>
        <v>#REF!</v>
      </c>
    </row>
    <row r="815" spans="1:19" hidden="1">
      <c r="A815" s="68" t="s">
        <v>2281</v>
      </c>
      <c r="B815" s="149" t="str">
        <f>IFERROR(VLOOKUP(Proc[[#This Row],[App]],Table2[],3,0),"open")</f>
        <v>ok</v>
      </c>
      <c r="C815" s="68" t="s">
        <v>377</v>
      </c>
      <c r="D815" t="s">
        <v>2284</v>
      </c>
      <c r="E815" t="s">
        <v>631</v>
      </c>
      <c r="F815" s="103" t="s">
        <v>631</v>
      </c>
      <c r="G815" s="68" t="s">
        <v>406</v>
      </c>
      <c r="H815" s="69" t="str">
        <f>IF(Proc[[#This Row],[type]]="LFF (MDG-F)",MID(Proc[[#This Row],[Obj]],13,10),"")</f>
        <v>DE10559100</v>
      </c>
      <c r="I815" t="s">
        <v>446</v>
      </c>
      <c r="J815" s="69" t="b">
        <f>Proc[[#This Row],[Requested]]=Proc[[#This Row],[CurrentParent]]</f>
        <v>1</v>
      </c>
      <c r="K815" s="144" t="str">
        <f>IF(Proc[[#This Row],[Author]]="Marcela Urrego",VLOOKUP(LEFT(Proc[[#This Row],[Requested]],1),Table3[#All],2,0),VLOOKUP(Proc[[#This Row],[Author]],Table4[],2,0))</f>
        <v>MGF</v>
      </c>
      <c r="L815" s="32" t="s">
        <v>509</v>
      </c>
      <c r="M815" s="71">
        <v>45719.398958333331</v>
      </c>
      <c r="O815" s="71">
        <v>45722</v>
      </c>
      <c r="P815" s="70" t="str">
        <f ca="1">IF(Proc[[#This Row],[DaysAgeing]]&gt;5,"yep","on track")</f>
        <v>on track</v>
      </c>
      <c r="Q815" s="3">
        <f ca="1">IF(Proc[[#This Row],[DateClosed]]="",ABS(NETWORKDAYS(Proc[[#This Row],[DateOpened]],TODAY()))-1,ABS(NETWORKDAYS(Proc[[#This Row],[DateOpened]],Proc[[#This Row],[DateClosed]]))-1)</f>
        <v>3</v>
      </c>
      <c r="R815" s="70" t="s">
        <v>549</v>
      </c>
      <c r="S815" s="94" t="e">
        <f>VLOOKUP(Proc[[#This Row],[Obj]],#REF!,2,0)</f>
        <v>#REF!</v>
      </c>
    </row>
    <row r="816" spans="1:19" hidden="1">
      <c r="A816" s="68" t="s">
        <v>2281</v>
      </c>
      <c r="B816" s="149" t="str">
        <f>IFERROR(VLOOKUP(Proc[[#This Row],[App]],Table2[],3,0),"open")</f>
        <v>ok</v>
      </c>
      <c r="C816" s="68" t="s">
        <v>377</v>
      </c>
      <c r="D816" t="s">
        <v>2285</v>
      </c>
      <c r="E816" t="s">
        <v>631</v>
      </c>
      <c r="F816" s="103" t="s">
        <v>631</v>
      </c>
      <c r="G816" s="68" t="s">
        <v>406</v>
      </c>
      <c r="H816" s="69" t="str">
        <f>IF(Proc[[#This Row],[type]]="LFF (MDG-F)",MID(Proc[[#This Row],[Obj]],13,10),"")</f>
        <v>DE10566910</v>
      </c>
      <c r="I816" t="s">
        <v>446</v>
      </c>
      <c r="J816" s="69" t="b">
        <f>Proc[[#This Row],[Requested]]=Proc[[#This Row],[CurrentParent]]</f>
        <v>1</v>
      </c>
      <c r="K816" s="144" t="str">
        <f>IF(Proc[[#This Row],[Author]]="Marcela Urrego",VLOOKUP(LEFT(Proc[[#This Row],[Requested]],1),Table3[#All],2,0),VLOOKUP(Proc[[#This Row],[Author]],Table4[],2,0))</f>
        <v>MGF</v>
      </c>
      <c r="L816" s="32" t="s">
        <v>509</v>
      </c>
      <c r="M816" s="71">
        <v>45719.398958333331</v>
      </c>
      <c r="O816" s="71">
        <v>45722</v>
      </c>
      <c r="P816" s="70" t="str">
        <f ca="1">IF(Proc[[#This Row],[DaysAgeing]]&gt;5,"yep","on track")</f>
        <v>on track</v>
      </c>
      <c r="Q816" s="3">
        <f ca="1">IF(Proc[[#This Row],[DateClosed]]="",ABS(NETWORKDAYS(Proc[[#This Row],[DateOpened]],TODAY()))-1,ABS(NETWORKDAYS(Proc[[#This Row],[DateOpened]],Proc[[#This Row],[DateClosed]]))-1)</f>
        <v>3</v>
      </c>
      <c r="R816" s="70" t="s">
        <v>549</v>
      </c>
      <c r="S816" s="94" t="e">
        <f>VLOOKUP(Proc[[#This Row],[Obj]],#REF!,2,0)</f>
        <v>#REF!</v>
      </c>
    </row>
    <row r="817" spans="1:19" hidden="1">
      <c r="A817" s="68" t="s">
        <v>2281</v>
      </c>
      <c r="B817" s="149" t="str">
        <f>IFERROR(VLOOKUP(Proc[[#This Row],[App]],Table2[],3,0),"open")</f>
        <v>ok</v>
      </c>
      <c r="C817" s="68" t="s">
        <v>369</v>
      </c>
      <c r="D817" t="s">
        <v>2286</v>
      </c>
      <c r="E817" t="s">
        <v>631</v>
      </c>
      <c r="F817" s="117" t="s">
        <v>631</v>
      </c>
      <c r="G817" s="68" t="s">
        <v>406</v>
      </c>
      <c r="H817" s="69" t="str">
        <f>IF(Proc[[#This Row],[type]]="LFF (MDG-F)",MID(Proc[[#This Row],[Obj]],13,10),"")</f>
        <v>DE10580022</v>
      </c>
      <c r="J817" s="69" t="b">
        <f>Proc[[#This Row],[Requested]]=Proc[[#This Row],[CurrentParent]]</f>
        <v>1</v>
      </c>
      <c r="K817" s="144" t="str">
        <f>IF(Proc[[#This Row],[Author]]="Marcela Urrego",VLOOKUP(LEFT(Proc[[#This Row],[Requested]],1),Table3[#All],2,0),VLOOKUP(Proc[[#This Row],[Author]],Table4[],2,0))</f>
        <v>MGF</v>
      </c>
      <c r="L817" s="32" t="s">
        <v>509</v>
      </c>
      <c r="M817" s="71">
        <v>45719.398958333331</v>
      </c>
      <c r="N817" s="71">
        <v>45722</v>
      </c>
      <c r="O817" s="71">
        <v>45722</v>
      </c>
      <c r="P817" s="70" t="str">
        <f ca="1">IF(Proc[[#This Row],[DaysAgeing]]&gt;5,"yep","on track")</f>
        <v>on track</v>
      </c>
      <c r="Q817" s="3">
        <f ca="1">IF(Proc[[#This Row],[DateClosed]]="",ABS(NETWORKDAYS(Proc[[#This Row],[DateOpened]],TODAY()))-1,ABS(NETWORKDAYS(Proc[[#This Row],[DateOpened]],Proc[[#This Row],[DateClosed]]))-1)</f>
        <v>3</v>
      </c>
      <c r="R817" s="70" t="s">
        <v>549</v>
      </c>
      <c r="S817" s="69"/>
    </row>
    <row r="818" spans="1:19" hidden="1">
      <c r="A818" s="68" t="s">
        <v>2281</v>
      </c>
      <c r="B818" s="149" t="str">
        <f>IFERROR(VLOOKUP(Proc[[#This Row],[App]],Table2[],3,0),"open")</f>
        <v>ok</v>
      </c>
      <c r="C818" s="68" t="s">
        <v>369</v>
      </c>
      <c r="D818" t="s">
        <v>2287</v>
      </c>
      <c r="E818" t="s">
        <v>631</v>
      </c>
      <c r="F818" s="117" t="s">
        <v>631</v>
      </c>
      <c r="G818" s="68" t="s">
        <v>406</v>
      </c>
      <c r="H818" s="69" t="str">
        <f>IF(Proc[[#This Row],[type]]="LFF (MDG-F)",MID(Proc[[#This Row],[Obj]],13,10),"")</f>
        <v>DE10580023</v>
      </c>
      <c r="J818" s="69" t="b">
        <f>Proc[[#This Row],[Requested]]=Proc[[#This Row],[CurrentParent]]</f>
        <v>1</v>
      </c>
      <c r="K818" s="144" t="str">
        <f>IF(Proc[[#This Row],[Author]]="Marcela Urrego",VLOOKUP(LEFT(Proc[[#This Row],[Requested]],1),Table3[#All],2,0),VLOOKUP(Proc[[#This Row],[Author]],Table4[],2,0))</f>
        <v>MGF</v>
      </c>
      <c r="L818" s="32" t="s">
        <v>509</v>
      </c>
      <c r="M818" s="71">
        <v>45719.398958333331</v>
      </c>
      <c r="N818" s="71">
        <v>45722</v>
      </c>
      <c r="O818" s="71">
        <v>45722</v>
      </c>
      <c r="P818" s="70" t="str">
        <f ca="1">IF(Proc[[#This Row],[DaysAgeing]]&gt;5,"yep","on track")</f>
        <v>on track</v>
      </c>
      <c r="Q818" s="3">
        <f ca="1">IF(Proc[[#This Row],[DateClosed]]="",ABS(NETWORKDAYS(Proc[[#This Row],[DateOpened]],TODAY()))-1,ABS(NETWORKDAYS(Proc[[#This Row],[DateOpened]],Proc[[#This Row],[DateClosed]]))-1)</f>
        <v>3</v>
      </c>
      <c r="R818" s="70" t="s">
        <v>549</v>
      </c>
      <c r="S818" s="69"/>
    </row>
    <row r="819" spans="1:19" hidden="1">
      <c r="A819" s="68" t="s">
        <v>2281</v>
      </c>
      <c r="B819" s="149" t="str">
        <f>IFERROR(VLOOKUP(Proc[[#This Row],[App]],Table2[],3,0),"open")</f>
        <v>ok</v>
      </c>
      <c r="C819" s="68" t="s">
        <v>369</v>
      </c>
      <c r="D819" t="s">
        <v>2288</v>
      </c>
      <c r="E819" t="s">
        <v>631</v>
      </c>
      <c r="F819" s="117" t="s">
        <v>631</v>
      </c>
      <c r="G819" s="68" t="s">
        <v>406</v>
      </c>
      <c r="H819" s="69" t="str">
        <f>IF(Proc[[#This Row],[type]]="LFF (MDG-F)",MID(Proc[[#This Row],[Obj]],13,10),"")</f>
        <v>DE10580024</v>
      </c>
      <c r="J819" s="69" t="b">
        <f>Proc[[#This Row],[Requested]]=Proc[[#This Row],[CurrentParent]]</f>
        <v>1</v>
      </c>
      <c r="K819" s="144" t="str">
        <f>IF(Proc[[#This Row],[Author]]="Marcela Urrego",VLOOKUP(LEFT(Proc[[#This Row],[Requested]],1),Table3[#All],2,0),VLOOKUP(Proc[[#This Row],[Author]],Table4[],2,0))</f>
        <v>MGF</v>
      </c>
      <c r="L819" s="32" t="s">
        <v>509</v>
      </c>
      <c r="M819" s="71">
        <v>45719.398958333331</v>
      </c>
      <c r="N819" s="71">
        <v>45722</v>
      </c>
      <c r="O819" s="71">
        <v>45722</v>
      </c>
      <c r="P819" s="70" t="str">
        <f ca="1">IF(Proc[[#This Row],[DaysAgeing]]&gt;5,"yep","on track")</f>
        <v>on track</v>
      </c>
      <c r="Q819" s="3">
        <f ca="1">IF(Proc[[#This Row],[DateClosed]]="",ABS(NETWORKDAYS(Proc[[#This Row],[DateOpened]],TODAY()))-1,ABS(NETWORKDAYS(Proc[[#This Row],[DateOpened]],Proc[[#This Row],[DateClosed]]))-1)</f>
        <v>3</v>
      </c>
      <c r="R819" s="70" t="s">
        <v>549</v>
      </c>
      <c r="S819" s="69"/>
    </row>
    <row r="820" spans="1:19" hidden="1">
      <c r="A820" s="68" t="s">
        <v>2281</v>
      </c>
      <c r="B820" s="149" t="str">
        <f>IFERROR(VLOOKUP(Proc[[#This Row],[App]],Table2[],3,0),"open")</f>
        <v>ok</v>
      </c>
      <c r="C820" s="68" t="s">
        <v>369</v>
      </c>
      <c r="D820" t="s">
        <v>2289</v>
      </c>
      <c r="E820" t="s">
        <v>631</v>
      </c>
      <c r="F820" s="117" t="s">
        <v>631</v>
      </c>
      <c r="G820" s="68" t="s">
        <v>406</v>
      </c>
      <c r="H820" s="69" t="str">
        <f>IF(Proc[[#This Row],[type]]="LFF (MDG-F)",MID(Proc[[#This Row],[Obj]],13,10),"")</f>
        <v>DE10580025</v>
      </c>
      <c r="J820" s="69" t="b">
        <f>Proc[[#This Row],[Requested]]=Proc[[#This Row],[CurrentParent]]</f>
        <v>1</v>
      </c>
      <c r="K820" s="144" t="str">
        <f>IF(Proc[[#This Row],[Author]]="Marcela Urrego",VLOOKUP(LEFT(Proc[[#This Row],[Requested]],1),Table3[#All],2,0),VLOOKUP(Proc[[#This Row],[Author]],Table4[],2,0))</f>
        <v>MGF</v>
      </c>
      <c r="L820" s="32" t="s">
        <v>509</v>
      </c>
      <c r="M820" s="71">
        <v>45719.398958333331</v>
      </c>
      <c r="N820" s="71">
        <v>45722</v>
      </c>
      <c r="O820" s="71">
        <v>45722</v>
      </c>
      <c r="P820" s="70" t="str">
        <f ca="1">IF(Proc[[#This Row],[DaysAgeing]]&gt;5,"yep","on track")</f>
        <v>on track</v>
      </c>
      <c r="Q820" s="3">
        <f ca="1">IF(Proc[[#This Row],[DateClosed]]="",ABS(NETWORKDAYS(Proc[[#This Row],[DateOpened]],TODAY()))-1,ABS(NETWORKDAYS(Proc[[#This Row],[DateOpened]],Proc[[#This Row],[DateClosed]]))-1)</f>
        <v>3</v>
      </c>
      <c r="R820" s="70" t="s">
        <v>549</v>
      </c>
      <c r="S820" s="69"/>
    </row>
    <row r="821" spans="1:19" hidden="1">
      <c r="A821" s="68" t="s">
        <v>2281</v>
      </c>
      <c r="B821" s="149" t="str">
        <f>IFERROR(VLOOKUP(Proc[[#This Row],[App]],Table2[],3,0),"open")</f>
        <v>ok</v>
      </c>
      <c r="C821" s="68" t="s">
        <v>369</v>
      </c>
      <c r="D821" t="s">
        <v>2290</v>
      </c>
      <c r="E821" t="s">
        <v>631</v>
      </c>
      <c r="F821" s="117" t="s">
        <v>631</v>
      </c>
      <c r="G821" s="68" t="s">
        <v>406</v>
      </c>
      <c r="H821" s="69" t="str">
        <f>IF(Proc[[#This Row],[type]]="LFF (MDG-F)",MID(Proc[[#This Row],[Obj]],13,10),"")</f>
        <v>DE10580026</v>
      </c>
      <c r="J821" s="69" t="b">
        <f>Proc[[#This Row],[Requested]]=Proc[[#This Row],[CurrentParent]]</f>
        <v>1</v>
      </c>
      <c r="K821" s="144" t="str">
        <f>IF(Proc[[#This Row],[Author]]="Marcela Urrego",VLOOKUP(LEFT(Proc[[#This Row],[Requested]],1),Table3[#All],2,0),VLOOKUP(Proc[[#This Row],[Author]],Table4[],2,0))</f>
        <v>MGF</v>
      </c>
      <c r="L821" s="32" t="s">
        <v>509</v>
      </c>
      <c r="M821" s="71">
        <v>45719.398958333331</v>
      </c>
      <c r="N821" s="71">
        <v>45722</v>
      </c>
      <c r="O821" s="71">
        <v>45722</v>
      </c>
      <c r="P821" s="70" t="str">
        <f ca="1">IF(Proc[[#This Row],[DaysAgeing]]&gt;5,"yep","on track")</f>
        <v>on track</v>
      </c>
      <c r="Q821" s="3">
        <f ca="1">IF(Proc[[#This Row],[DateClosed]]="",ABS(NETWORKDAYS(Proc[[#This Row],[DateOpened]],TODAY()))-1,ABS(NETWORKDAYS(Proc[[#This Row],[DateOpened]],Proc[[#This Row],[DateClosed]]))-1)</f>
        <v>3</v>
      </c>
      <c r="R821" s="70" t="s">
        <v>549</v>
      </c>
      <c r="S821" s="69"/>
    </row>
    <row r="822" spans="1:19" hidden="1">
      <c r="A822" s="68" t="s">
        <v>2281</v>
      </c>
      <c r="B822" s="149" t="str">
        <f>IFERROR(VLOOKUP(Proc[[#This Row],[App]],Table2[],3,0),"open")</f>
        <v>ok</v>
      </c>
      <c r="C822" t="s">
        <v>369</v>
      </c>
      <c r="D822" t="s">
        <v>2291</v>
      </c>
      <c r="E822" t="s">
        <v>631</v>
      </c>
      <c r="F822" s="117" t="s">
        <v>631</v>
      </c>
      <c r="G822" s="68" t="s">
        <v>406</v>
      </c>
      <c r="H822" s="69" t="str">
        <f>IF(Proc[[#This Row],[type]]="LFF (MDG-F)",MID(Proc[[#This Row],[Obj]],13,10),"")</f>
        <v>DE10580027</v>
      </c>
      <c r="I822" s="68"/>
      <c r="J822" s="69" t="b">
        <f>Proc[[#This Row],[Requested]]=Proc[[#This Row],[CurrentParent]]</f>
        <v>1</v>
      </c>
      <c r="K822" s="144" t="str">
        <f>IF(Proc[[#This Row],[Author]]="Marcela Urrego",VLOOKUP(LEFT(Proc[[#This Row],[Requested]],1),Table3[#All],2,0),VLOOKUP(Proc[[#This Row],[Author]],Table4[],2,0))</f>
        <v>MGF</v>
      </c>
      <c r="L822" s="32" t="s">
        <v>509</v>
      </c>
      <c r="M822" s="71">
        <v>45719.398958333331</v>
      </c>
      <c r="N822" s="71">
        <v>45722</v>
      </c>
      <c r="O822" s="71">
        <v>45722</v>
      </c>
      <c r="P822" s="70" t="str">
        <f ca="1">IF(Proc[[#This Row],[DaysAgeing]]&gt;5,"yep","on track")</f>
        <v>on track</v>
      </c>
      <c r="Q822" s="3">
        <f ca="1">IF(Proc[[#This Row],[DateClosed]]="",ABS(NETWORKDAYS(Proc[[#This Row],[DateOpened]],TODAY()))-1,ABS(NETWORKDAYS(Proc[[#This Row],[DateOpened]],Proc[[#This Row],[DateClosed]]))-1)</f>
        <v>3</v>
      </c>
      <c r="R822" s="70" t="s">
        <v>549</v>
      </c>
      <c r="S822" s="69"/>
    </row>
    <row r="823" spans="1:19" hidden="1">
      <c r="A823" s="68" t="s">
        <v>2281</v>
      </c>
      <c r="B823" s="149" t="str">
        <f>IFERROR(VLOOKUP(Proc[[#This Row],[App]],Table2[],3,0),"open")</f>
        <v>ok</v>
      </c>
      <c r="C823" s="68" t="s">
        <v>369</v>
      </c>
      <c r="D823" t="s">
        <v>2292</v>
      </c>
      <c r="E823" t="s">
        <v>631</v>
      </c>
      <c r="F823" s="117" t="s">
        <v>631</v>
      </c>
      <c r="G823" s="68" t="s">
        <v>406</v>
      </c>
      <c r="H823" s="69" t="str">
        <f>IF(Proc[[#This Row],[type]]="LFF (MDG-F)",MID(Proc[[#This Row],[Obj]],13,10),"")</f>
        <v>DE10580040</v>
      </c>
      <c r="J823" s="69" t="b">
        <f>Proc[[#This Row],[Requested]]=Proc[[#This Row],[CurrentParent]]</f>
        <v>1</v>
      </c>
      <c r="K823" s="144" t="str">
        <f>IF(Proc[[#This Row],[Author]]="Marcela Urrego",VLOOKUP(LEFT(Proc[[#This Row],[Requested]],1),Table3[#All],2,0),VLOOKUP(Proc[[#This Row],[Author]],Table4[],2,0))</f>
        <v>MGF</v>
      </c>
      <c r="L823" s="32" t="s">
        <v>509</v>
      </c>
      <c r="M823" s="71">
        <v>45719.398958333331</v>
      </c>
      <c r="N823" s="71">
        <v>45722</v>
      </c>
      <c r="O823" s="71">
        <v>45722</v>
      </c>
      <c r="P823" s="70" t="str">
        <f ca="1">IF(Proc[[#This Row],[DaysAgeing]]&gt;5,"yep","on track")</f>
        <v>on track</v>
      </c>
      <c r="Q823" s="3">
        <f ca="1">IF(Proc[[#This Row],[DateClosed]]="",ABS(NETWORKDAYS(Proc[[#This Row],[DateOpened]],TODAY()))-1,ABS(NETWORKDAYS(Proc[[#This Row],[DateOpened]],Proc[[#This Row],[DateClosed]]))-1)</f>
        <v>3</v>
      </c>
      <c r="R823" s="70" t="s">
        <v>549</v>
      </c>
      <c r="S823" s="69"/>
    </row>
    <row r="824" spans="1:19" hidden="1">
      <c r="A824" s="68" t="s">
        <v>2281</v>
      </c>
      <c r="B824" s="149" t="str">
        <f>IFERROR(VLOOKUP(Proc[[#This Row],[App]],Table2[],3,0),"open")</f>
        <v>ok</v>
      </c>
      <c r="C824" s="68" t="s">
        <v>369</v>
      </c>
      <c r="D824" t="s">
        <v>2293</v>
      </c>
      <c r="E824" t="s">
        <v>631</v>
      </c>
      <c r="F824" s="117" t="s">
        <v>631</v>
      </c>
      <c r="G824" s="68" t="s">
        <v>406</v>
      </c>
      <c r="H824" s="69" t="str">
        <f>IF(Proc[[#This Row],[type]]="LFF (MDG-F)",MID(Proc[[#This Row],[Obj]],13,10),"")</f>
        <v>DE10628300</v>
      </c>
      <c r="I824" s="68"/>
      <c r="J824" s="69" t="b">
        <f>Proc[[#This Row],[Requested]]=Proc[[#This Row],[CurrentParent]]</f>
        <v>1</v>
      </c>
      <c r="K824" s="144" t="str">
        <f>IF(Proc[[#This Row],[Author]]="Marcela Urrego",VLOOKUP(LEFT(Proc[[#This Row],[Requested]],1),Table3[#All],2,0),VLOOKUP(Proc[[#This Row],[Author]],Table4[],2,0))</f>
        <v>MGF</v>
      </c>
      <c r="L824" s="32" t="s">
        <v>509</v>
      </c>
      <c r="M824" s="71">
        <v>45719.398958333331</v>
      </c>
      <c r="N824" s="71">
        <v>45722</v>
      </c>
      <c r="O824" s="71">
        <v>45722</v>
      </c>
      <c r="P824" s="70" t="str">
        <f ca="1">IF(Proc[[#This Row],[DaysAgeing]]&gt;5,"yep","on track")</f>
        <v>on track</v>
      </c>
      <c r="Q824" s="3">
        <f ca="1">IF(Proc[[#This Row],[DateClosed]]="",ABS(NETWORKDAYS(Proc[[#This Row],[DateOpened]],TODAY()))-1,ABS(NETWORKDAYS(Proc[[#This Row],[DateOpened]],Proc[[#This Row],[DateClosed]]))-1)</f>
        <v>3</v>
      </c>
      <c r="R824" s="70" t="s">
        <v>549</v>
      </c>
      <c r="S824" s="69"/>
    </row>
    <row r="825" spans="1:19" hidden="1">
      <c r="A825" s="68" t="s">
        <v>2281</v>
      </c>
      <c r="B825" s="149" t="str">
        <f>IFERROR(VLOOKUP(Proc[[#This Row],[App]],Table2[],3,0),"open")</f>
        <v>ok</v>
      </c>
      <c r="C825" s="68" t="s">
        <v>369</v>
      </c>
      <c r="D825" t="s">
        <v>2294</v>
      </c>
      <c r="E825" t="s">
        <v>631</v>
      </c>
      <c r="F825" s="117" t="s">
        <v>631</v>
      </c>
      <c r="G825" s="68" t="s">
        <v>406</v>
      </c>
      <c r="H825" s="69" t="str">
        <f>IF(Proc[[#This Row],[type]]="LFF (MDG-F)",MID(Proc[[#This Row],[Obj]],13,10),"")</f>
        <v>DE20675105</v>
      </c>
      <c r="I825" s="68"/>
      <c r="J825" s="69" t="b">
        <f>Proc[[#This Row],[Requested]]=Proc[[#This Row],[CurrentParent]]</f>
        <v>1</v>
      </c>
      <c r="K825" s="144" t="str">
        <f>IF(Proc[[#This Row],[Author]]="Marcela Urrego",VLOOKUP(LEFT(Proc[[#This Row],[Requested]],1),Table3[#All],2,0),VLOOKUP(Proc[[#This Row],[Author]],Table4[],2,0))</f>
        <v>MGF</v>
      </c>
      <c r="L825" s="32" t="s">
        <v>509</v>
      </c>
      <c r="M825" s="71">
        <v>45719.398958333331</v>
      </c>
      <c r="N825" s="71">
        <v>45722</v>
      </c>
      <c r="O825" s="71">
        <v>45722</v>
      </c>
      <c r="P825" s="70" t="str">
        <f ca="1">IF(Proc[[#This Row],[DaysAgeing]]&gt;5,"yep","on track")</f>
        <v>on track</v>
      </c>
      <c r="Q825" s="3">
        <f ca="1">IF(Proc[[#This Row],[DateClosed]]="",ABS(NETWORKDAYS(Proc[[#This Row],[DateOpened]],TODAY()))-1,ABS(NETWORKDAYS(Proc[[#This Row],[DateOpened]],Proc[[#This Row],[DateClosed]]))-1)</f>
        <v>3</v>
      </c>
      <c r="R825" s="70" t="s">
        <v>549</v>
      </c>
      <c r="S825" s="69"/>
    </row>
    <row r="826" spans="1:19" hidden="1">
      <c r="A826" t="s">
        <v>2281</v>
      </c>
      <c r="B826" s="149" t="str">
        <f>IFERROR(VLOOKUP(Proc[[#This Row],[App]],Table2[],3,0),"open")</f>
        <v>ok</v>
      </c>
      <c r="C826" s="68" t="s">
        <v>369</v>
      </c>
      <c r="D826" t="s">
        <v>2295</v>
      </c>
      <c r="E826" t="s">
        <v>631</v>
      </c>
      <c r="F826" s="117" t="s">
        <v>631</v>
      </c>
      <c r="G826" s="68" t="s">
        <v>406</v>
      </c>
      <c r="H826" s="69" t="str">
        <f>IF(Proc[[#This Row],[type]]="LFF (MDG-F)",MID(Proc[[#This Row],[Obj]],13,10),"")</f>
        <v>DE20675106</v>
      </c>
      <c r="J826" s="69" t="b">
        <f>Proc[[#This Row],[Requested]]=Proc[[#This Row],[CurrentParent]]</f>
        <v>1</v>
      </c>
      <c r="K826" s="144" t="str">
        <f>IF(Proc[[#This Row],[Author]]="Marcela Urrego",VLOOKUP(LEFT(Proc[[#This Row],[Requested]],1),Table3[#All],2,0),VLOOKUP(Proc[[#This Row],[Author]],Table4[],2,0))</f>
        <v>MGF</v>
      </c>
      <c r="L826" s="32" t="s">
        <v>509</v>
      </c>
      <c r="M826" s="71">
        <v>45719.398958333331</v>
      </c>
      <c r="N826" s="71">
        <v>45722</v>
      </c>
      <c r="O826" s="71">
        <v>45722</v>
      </c>
      <c r="P826" s="70" t="str">
        <f ca="1">IF(Proc[[#This Row],[DaysAgeing]]&gt;5,"yep","on track")</f>
        <v>on track</v>
      </c>
      <c r="Q826" s="3">
        <f ca="1">IF(Proc[[#This Row],[DateClosed]]="",ABS(NETWORKDAYS(Proc[[#This Row],[DateOpened]],TODAY()))-1,ABS(NETWORKDAYS(Proc[[#This Row],[DateOpened]],Proc[[#This Row],[DateClosed]]))-1)</f>
        <v>3</v>
      </c>
      <c r="R826" s="70" t="s">
        <v>549</v>
      </c>
      <c r="S826" s="69"/>
    </row>
    <row r="827" spans="1:19" hidden="1">
      <c r="A827" s="68" t="s">
        <v>2281</v>
      </c>
      <c r="B827" s="149" t="str">
        <f>IFERROR(VLOOKUP(Proc[[#This Row],[App]],Table2[],3,0),"open")</f>
        <v>ok</v>
      </c>
      <c r="C827" s="68" t="s">
        <v>377</v>
      </c>
      <c r="D827" t="s">
        <v>2296</v>
      </c>
      <c r="E827" t="s">
        <v>631</v>
      </c>
      <c r="F827" s="103" t="s">
        <v>631</v>
      </c>
      <c r="G827" s="68" t="s">
        <v>406</v>
      </c>
      <c r="H827" s="69" t="str">
        <f>IF(Proc[[#This Row],[type]]="LFF (MDG-F)",MID(Proc[[#This Row],[Obj]],13,10),"")</f>
        <v>DE20995000</v>
      </c>
      <c r="I827" t="s">
        <v>446</v>
      </c>
      <c r="J827" s="69" t="b">
        <f>Proc[[#This Row],[Requested]]=Proc[[#This Row],[CurrentParent]]</f>
        <v>1</v>
      </c>
      <c r="K827" s="144" t="str">
        <f>IF(Proc[[#This Row],[Author]]="Marcela Urrego",VLOOKUP(LEFT(Proc[[#This Row],[Requested]],1),Table3[#All],2,0),VLOOKUP(Proc[[#This Row],[Author]],Table4[],2,0))</f>
        <v>MGF</v>
      </c>
      <c r="L827" s="32" t="s">
        <v>509</v>
      </c>
      <c r="M827" s="71">
        <v>45719.398958333331</v>
      </c>
      <c r="O827" s="71">
        <v>45722</v>
      </c>
      <c r="P827" s="70" t="str">
        <f ca="1">IF(Proc[[#This Row],[DaysAgeing]]&gt;5,"yep","on track")</f>
        <v>on track</v>
      </c>
      <c r="Q827" s="3">
        <f ca="1">IF(Proc[[#This Row],[DateClosed]]="",ABS(NETWORKDAYS(Proc[[#This Row],[DateOpened]],TODAY()))-1,ABS(NETWORKDAYS(Proc[[#This Row],[DateOpened]],Proc[[#This Row],[DateClosed]]))-1)</f>
        <v>3</v>
      </c>
      <c r="R827" s="70" t="s">
        <v>549</v>
      </c>
      <c r="S827" s="94" t="e">
        <f>VLOOKUP(Proc[[#This Row],[Obj]],#REF!,2,0)</f>
        <v>#REF!</v>
      </c>
    </row>
    <row r="828" spans="1:19" hidden="1">
      <c r="A828" s="68" t="s">
        <v>2281</v>
      </c>
      <c r="B828" s="149" t="str">
        <f>IFERROR(VLOOKUP(Proc[[#This Row],[App]],Table2[],3,0),"open")</f>
        <v>ok</v>
      </c>
      <c r="C828" s="68" t="s">
        <v>377</v>
      </c>
      <c r="D828" t="s">
        <v>2297</v>
      </c>
      <c r="E828" t="s">
        <v>631</v>
      </c>
      <c r="F828" s="103" t="s">
        <v>631</v>
      </c>
      <c r="G828" s="68" t="s">
        <v>406</v>
      </c>
      <c r="H828" s="69" t="str">
        <f>IF(Proc[[#This Row],[type]]="LFF (MDG-F)",MID(Proc[[#This Row],[Obj]],13,10),"")</f>
        <v>DE10889997</v>
      </c>
      <c r="I828" t="s">
        <v>446</v>
      </c>
      <c r="J828" s="69" t="b">
        <f>Proc[[#This Row],[Requested]]=Proc[[#This Row],[CurrentParent]]</f>
        <v>1</v>
      </c>
      <c r="K828" s="144" t="str">
        <f>IF(Proc[[#This Row],[Author]]="Marcela Urrego",VLOOKUP(LEFT(Proc[[#This Row],[Requested]],1),Table3[#All],2,0),VLOOKUP(Proc[[#This Row],[Author]],Table4[],2,0))</f>
        <v>MGF</v>
      </c>
      <c r="L828" s="32" t="s">
        <v>509</v>
      </c>
      <c r="M828" s="71">
        <v>45719.398958333331</v>
      </c>
      <c r="O828" s="71">
        <v>45722</v>
      </c>
      <c r="P828" s="70" t="str">
        <f ca="1">IF(Proc[[#This Row],[DaysAgeing]]&gt;5,"yep","on track")</f>
        <v>on track</v>
      </c>
      <c r="Q828" s="3">
        <f ca="1">IF(Proc[[#This Row],[DateClosed]]="",ABS(NETWORKDAYS(Proc[[#This Row],[DateOpened]],TODAY()))-1,ABS(NETWORKDAYS(Proc[[#This Row],[DateOpened]],Proc[[#This Row],[DateClosed]]))-1)</f>
        <v>3</v>
      </c>
      <c r="R828" s="70" t="s">
        <v>549</v>
      </c>
      <c r="S828" s="94" t="e">
        <f>VLOOKUP(Proc[[#This Row],[Obj]],#REF!,2,0)</f>
        <v>#REF!</v>
      </c>
    </row>
    <row r="829" spans="1:19" hidden="1">
      <c r="A829" s="68" t="s">
        <v>2281</v>
      </c>
      <c r="B829" s="149" t="str">
        <f>IFERROR(VLOOKUP(Proc[[#This Row],[App]],Table2[],3,0),"open")</f>
        <v>ok</v>
      </c>
      <c r="C829" s="68" t="s">
        <v>377</v>
      </c>
      <c r="D829" t="s">
        <v>2298</v>
      </c>
      <c r="E829" t="s">
        <v>631</v>
      </c>
      <c r="F829" s="103" t="s">
        <v>631</v>
      </c>
      <c r="G829" s="68" t="s">
        <v>406</v>
      </c>
      <c r="H829" s="69" t="str">
        <f>IF(Proc[[#This Row],[type]]="LFF (MDG-F)",MID(Proc[[#This Row],[Obj]],13,10),"")</f>
        <v>DE10889998</v>
      </c>
      <c r="I829" t="s">
        <v>446</v>
      </c>
      <c r="J829" s="69" t="b">
        <f>Proc[[#This Row],[Requested]]=Proc[[#This Row],[CurrentParent]]</f>
        <v>1</v>
      </c>
      <c r="K829" s="144" t="str">
        <f>IF(Proc[[#This Row],[Author]]="Marcela Urrego",VLOOKUP(LEFT(Proc[[#This Row],[Requested]],1),Table3[#All],2,0),VLOOKUP(Proc[[#This Row],[Author]],Table4[],2,0))</f>
        <v>MGF</v>
      </c>
      <c r="L829" s="32" t="s">
        <v>509</v>
      </c>
      <c r="M829" s="71">
        <v>45719.398958333331</v>
      </c>
      <c r="O829" s="71">
        <v>45722</v>
      </c>
      <c r="P829" s="70" t="str">
        <f ca="1">IF(Proc[[#This Row],[DaysAgeing]]&gt;5,"yep","on track")</f>
        <v>on track</v>
      </c>
      <c r="Q829" s="3">
        <f ca="1">IF(Proc[[#This Row],[DateClosed]]="",ABS(NETWORKDAYS(Proc[[#This Row],[DateOpened]],TODAY()))-1,ABS(NETWORKDAYS(Proc[[#This Row],[DateOpened]],Proc[[#This Row],[DateClosed]]))-1)</f>
        <v>3</v>
      </c>
      <c r="R829" s="70" t="s">
        <v>549</v>
      </c>
      <c r="S829" s="94" t="e">
        <f>VLOOKUP(Proc[[#This Row],[Obj]],#REF!,2,0)</f>
        <v>#REF!</v>
      </c>
    </row>
    <row r="830" spans="1:19" hidden="1">
      <c r="A830" s="68" t="s">
        <v>2281</v>
      </c>
      <c r="B830" s="149" t="str">
        <f>IFERROR(VLOOKUP(Proc[[#This Row],[App]],Table2[],3,0),"open")</f>
        <v>ok</v>
      </c>
      <c r="C830" s="68" t="s">
        <v>377</v>
      </c>
      <c r="D830" t="s">
        <v>2299</v>
      </c>
      <c r="E830" t="s">
        <v>631</v>
      </c>
      <c r="F830" s="103" t="s">
        <v>631</v>
      </c>
      <c r="G830" s="68" t="s">
        <v>406</v>
      </c>
      <c r="H830" s="69" t="str">
        <f>IF(Proc[[#This Row],[type]]="LFF (MDG-F)",MID(Proc[[#This Row],[Obj]],13,10),"")</f>
        <v>DE10889999</v>
      </c>
      <c r="I830" t="s">
        <v>446</v>
      </c>
      <c r="J830" s="69" t="b">
        <f>Proc[[#This Row],[Requested]]=Proc[[#This Row],[CurrentParent]]</f>
        <v>1</v>
      </c>
      <c r="K830" s="144" t="str">
        <f>IF(Proc[[#This Row],[Author]]="Marcela Urrego",VLOOKUP(LEFT(Proc[[#This Row],[Requested]],1),Table3[#All],2,0),VLOOKUP(Proc[[#This Row],[Author]],Table4[],2,0))</f>
        <v>MGF</v>
      </c>
      <c r="L830" s="32" t="s">
        <v>509</v>
      </c>
      <c r="M830" s="71">
        <v>45719.398958333331</v>
      </c>
      <c r="O830" s="71">
        <v>45722</v>
      </c>
      <c r="P830" s="70" t="str">
        <f ca="1">IF(Proc[[#This Row],[DaysAgeing]]&gt;5,"yep","on track")</f>
        <v>on track</v>
      </c>
      <c r="Q830" s="3">
        <f ca="1">IF(Proc[[#This Row],[DateClosed]]="",ABS(NETWORKDAYS(Proc[[#This Row],[DateOpened]],TODAY()))-1,ABS(NETWORKDAYS(Proc[[#This Row],[DateOpened]],Proc[[#This Row],[DateClosed]]))-1)</f>
        <v>3</v>
      </c>
      <c r="R830" s="70" t="s">
        <v>549</v>
      </c>
      <c r="S830" s="94" t="e">
        <f>VLOOKUP(Proc[[#This Row],[Obj]],#REF!,2,0)</f>
        <v>#REF!</v>
      </c>
    </row>
    <row r="831" spans="1:19" hidden="1">
      <c r="A831" t="s">
        <v>2311</v>
      </c>
      <c r="B831" s="149" t="str">
        <f>IFERROR(VLOOKUP(Proc[[#This Row],[App]],Table2[],3,0),"open")</f>
        <v>ok</v>
      </c>
      <c r="C831" s="68" t="s">
        <v>369</v>
      </c>
      <c r="D831" t="s">
        <v>2309</v>
      </c>
      <c r="E831" t="s">
        <v>2310</v>
      </c>
      <c r="F831" s="117" t="s">
        <v>2310</v>
      </c>
      <c r="G831" s="68" t="s">
        <v>406</v>
      </c>
      <c r="H831" s="69" t="str">
        <f>IF(Proc[[#This Row],[type]]="LFF (MDG-F)",MID(Proc[[#This Row],[Obj]],13,10),"")</f>
        <v>CN09L16005</v>
      </c>
      <c r="J831" s="69" t="b">
        <f>Proc[[#This Row],[Requested]]=Proc[[#This Row],[CurrentParent]]</f>
        <v>1</v>
      </c>
      <c r="K831" s="144" t="str">
        <f>IF(Proc[[#This Row],[Author]]="Marcela Urrego",VLOOKUP(LEFT(Proc[[#This Row],[Requested]],1),Table3[#All],2,0),VLOOKUP(Proc[[#This Row],[Author]],Table4[],2,0))</f>
        <v>MGF</v>
      </c>
      <c r="L831" s="32" t="s">
        <v>509</v>
      </c>
      <c r="M831" s="71">
        <v>45719.579097222224</v>
      </c>
      <c r="N831" s="71">
        <v>45721</v>
      </c>
      <c r="O831" s="71">
        <v>45721</v>
      </c>
      <c r="P831" s="70" t="str">
        <f ca="1">IF(Proc[[#This Row],[DaysAgeing]]&gt;5,"yep","on track")</f>
        <v>on track</v>
      </c>
      <c r="Q831" s="3">
        <f ca="1">IF(Proc[[#This Row],[DateClosed]]="",ABS(NETWORKDAYS(Proc[[#This Row],[DateOpened]],TODAY()))-1,ABS(NETWORKDAYS(Proc[[#This Row],[DateOpened]],Proc[[#This Row],[DateClosed]]))-1)</f>
        <v>2</v>
      </c>
      <c r="R831" s="70" t="s">
        <v>1076</v>
      </c>
      <c r="S831" s="69"/>
    </row>
    <row r="832" spans="1:19" hidden="1">
      <c r="A832" t="s">
        <v>2388</v>
      </c>
      <c r="B832" s="149" t="str">
        <f>IFERROR(VLOOKUP(Proc[[#This Row],[App]],Table2[],3,0),"open")</f>
        <v>ok</v>
      </c>
      <c r="C832" s="68" t="s">
        <v>369</v>
      </c>
      <c r="D832" t="s">
        <v>2386</v>
      </c>
      <c r="E832" t="s">
        <v>2387</v>
      </c>
      <c r="F832" s="117" t="s">
        <v>2387</v>
      </c>
      <c r="G832" s="68" t="s">
        <v>400</v>
      </c>
      <c r="H832" s="69" t="str">
        <f>IF(Proc[[#This Row],[type]]="LFF (MDG-F)",MID(Proc[[#This Row],[Obj]],13,10),"")</f>
        <v/>
      </c>
      <c r="J832" s="69" t="b">
        <f>Proc[[#This Row],[Requested]]=Proc[[#This Row],[CurrentParent]]</f>
        <v>1</v>
      </c>
      <c r="K832" s="144" t="str">
        <f>IF(Proc[[#This Row],[Author]]="Marcela Urrego",VLOOKUP(LEFT(Proc[[#This Row],[Requested]],1),Table3[#All],2,0),VLOOKUP(Proc[[#This Row],[Author]],Table4[],2,0))</f>
        <v>HC</v>
      </c>
      <c r="L832" s="32" t="s">
        <v>509</v>
      </c>
      <c r="M832" s="71">
        <v>45719.608877314815</v>
      </c>
      <c r="N832" s="71">
        <v>45729</v>
      </c>
      <c r="O832" s="71">
        <v>45729</v>
      </c>
      <c r="P832" s="70" t="str">
        <f ca="1">IF(Proc[[#This Row],[DaysAgeing]]&gt;5,"yep","on track")</f>
        <v>yep</v>
      </c>
      <c r="Q832" s="3">
        <f ca="1">IF(Proc[[#This Row],[DateClosed]]="",ABS(NETWORKDAYS(Proc[[#This Row],[DateOpened]],TODAY()))-1,ABS(NETWORKDAYS(Proc[[#This Row],[DateOpened]],Proc[[#This Row],[DateClosed]]))-1)</f>
        <v>8</v>
      </c>
      <c r="R832" s="70" t="s">
        <v>484</v>
      </c>
      <c r="S832" s="69"/>
    </row>
    <row r="833" spans="1:19" hidden="1">
      <c r="A833" t="s">
        <v>2307</v>
      </c>
      <c r="B833" s="149" t="str">
        <f>IFERROR(VLOOKUP(Proc[[#This Row],[App]],Table2[],3,0),"open")</f>
        <v>ok</v>
      </c>
      <c r="C833" t="s">
        <v>369</v>
      </c>
      <c r="D833" t="s">
        <v>2306</v>
      </c>
      <c r="E833" t="s">
        <v>2308</v>
      </c>
      <c r="F833" s="117" t="s">
        <v>2308</v>
      </c>
      <c r="G833" s="68" t="s">
        <v>406</v>
      </c>
      <c r="H833" s="69" t="str">
        <f>IF(Proc[[#This Row],[type]]="LFF (MDG-F)",MID(Proc[[#This Row],[Obj]],13,10),"")</f>
        <v>DE10698316</v>
      </c>
      <c r="J833" s="69" t="b">
        <f>Proc[[#This Row],[Requested]]=Proc[[#This Row],[CurrentParent]]</f>
        <v>1</v>
      </c>
      <c r="K833" s="144" t="str">
        <f>IF(Proc[[#This Row],[Author]]="Marcela Urrego",VLOOKUP(LEFT(Proc[[#This Row],[Requested]],1),Table3[#All],2,0),VLOOKUP(Proc[[#This Row],[Author]],Table4[],2,0))</f>
        <v>MGF</v>
      </c>
      <c r="L833" s="32" t="s">
        <v>509</v>
      </c>
      <c r="M833" s="71">
        <v>45719.855474537035</v>
      </c>
      <c r="N833" s="71">
        <v>45736</v>
      </c>
      <c r="O833" s="71">
        <v>45736</v>
      </c>
      <c r="P833" s="70" t="str">
        <f ca="1">IF(Proc[[#This Row],[DaysAgeing]]&gt;5,"yep","on track")</f>
        <v>yep</v>
      </c>
      <c r="Q833" s="3">
        <f ca="1">IF(Proc[[#This Row],[DateClosed]]="",ABS(NETWORKDAYS(Proc[[#This Row],[DateOpened]],TODAY()))-1,ABS(NETWORKDAYS(Proc[[#This Row],[DateOpened]],Proc[[#This Row],[DateClosed]]))-1)</f>
        <v>13</v>
      </c>
      <c r="R833" s="70" t="s">
        <v>530</v>
      </c>
      <c r="S833" s="69"/>
    </row>
    <row r="834" spans="1:19" hidden="1">
      <c r="A834" t="s">
        <v>2378</v>
      </c>
      <c r="B834" s="149" t="str">
        <f>IFERROR(VLOOKUP(Proc[[#This Row],[App]],Table2[],3,0),"open")</f>
        <v>ok</v>
      </c>
      <c r="C834" t="s">
        <v>369</v>
      </c>
      <c r="D834" t="s">
        <v>2349</v>
      </c>
      <c r="E834" t="s">
        <v>2367</v>
      </c>
      <c r="F834" s="117" t="s">
        <v>2367</v>
      </c>
      <c r="G834" t="s">
        <v>400</v>
      </c>
      <c r="H834" s="69" t="str">
        <f>IF(Proc[[#This Row],[type]]="LFF (MDG-F)",MID(Proc[[#This Row],[Obj]],13,10),"")</f>
        <v/>
      </c>
      <c r="J834" s="69" t="b">
        <f>Proc[[#This Row],[Requested]]=Proc[[#This Row],[CurrentParent]]</f>
        <v>1</v>
      </c>
      <c r="K834" s="144" t="str">
        <f>IF(Proc[[#This Row],[Author]]="Marcela Urrego",VLOOKUP(LEFT(Proc[[#This Row],[Requested]],1),Table3[#All],2,0),VLOOKUP(Proc[[#This Row],[Author]],Table4[],2,0))</f>
        <v>LS</v>
      </c>
      <c r="L834" s="32" t="s">
        <v>509</v>
      </c>
      <c r="M834" s="71">
        <v>45720.368101851855</v>
      </c>
      <c r="N834" s="71">
        <v>45722</v>
      </c>
      <c r="O834" s="71">
        <v>45722</v>
      </c>
      <c r="P834" s="70" t="str">
        <f ca="1">IF(Proc[[#This Row],[DaysAgeing]]&gt;5,"yep","on track")</f>
        <v>on track</v>
      </c>
      <c r="Q834" s="3">
        <f ca="1">IF(Proc[[#This Row],[DateClosed]]="",ABS(NETWORKDAYS(Proc[[#This Row],[DateOpened]],TODAY()))-1,ABS(NETWORKDAYS(Proc[[#This Row],[DateOpened]],Proc[[#This Row],[DateClosed]]))-1)</f>
        <v>2</v>
      </c>
      <c r="R834" s="70" t="s">
        <v>489</v>
      </c>
      <c r="S834" s="69"/>
    </row>
    <row r="835" spans="1:19" hidden="1">
      <c r="A835" t="s">
        <v>2378</v>
      </c>
      <c r="B835" s="149" t="str">
        <f>IFERROR(VLOOKUP(Proc[[#This Row],[App]],Table2[],3,0),"open")</f>
        <v>ok</v>
      </c>
      <c r="C835" s="68" t="s">
        <v>369</v>
      </c>
      <c r="D835" t="s">
        <v>2350</v>
      </c>
      <c r="E835" t="s">
        <v>2368</v>
      </c>
      <c r="F835" s="117" t="s">
        <v>2368</v>
      </c>
      <c r="G835" s="68" t="s">
        <v>400</v>
      </c>
      <c r="H835" s="69" t="str">
        <f>IF(Proc[[#This Row],[type]]="LFF (MDG-F)",MID(Proc[[#This Row],[Obj]],13,10),"")</f>
        <v/>
      </c>
      <c r="J835" s="69" t="b">
        <f>Proc[[#This Row],[Requested]]=Proc[[#This Row],[CurrentParent]]</f>
        <v>1</v>
      </c>
      <c r="K835" s="144" t="str">
        <f>IF(Proc[[#This Row],[Author]]="Marcela Urrego",VLOOKUP(LEFT(Proc[[#This Row],[Requested]],1),Table3[#All],2,0),VLOOKUP(Proc[[#This Row],[Author]],Table4[],2,0))</f>
        <v>LS</v>
      </c>
      <c r="L835" s="32" t="s">
        <v>509</v>
      </c>
      <c r="M835" s="71">
        <v>45720.368101851855</v>
      </c>
      <c r="N835" s="71">
        <v>45722</v>
      </c>
      <c r="O835" s="71">
        <v>45722</v>
      </c>
      <c r="P835" s="70" t="str">
        <f ca="1">IF(Proc[[#This Row],[DaysAgeing]]&gt;5,"yep","on track")</f>
        <v>on track</v>
      </c>
      <c r="Q835" s="3">
        <f ca="1">IF(Proc[[#This Row],[DateClosed]]="",ABS(NETWORKDAYS(Proc[[#This Row],[DateOpened]],TODAY()))-1,ABS(NETWORKDAYS(Proc[[#This Row],[DateOpened]],Proc[[#This Row],[DateClosed]]))-1)</f>
        <v>2</v>
      </c>
      <c r="R835" s="70" t="s">
        <v>489</v>
      </c>
      <c r="S835" s="69"/>
    </row>
    <row r="836" spans="1:19" hidden="1">
      <c r="A836" t="s">
        <v>2378</v>
      </c>
      <c r="B836" s="149" t="str">
        <f>IFERROR(VLOOKUP(Proc[[#This Row],[App]],Table2[],3,0),"open")</f>
        <v>ok</v>
      </c>
      <c r="C836" s="68" t="s">
        <v>369</v>
      </c>
      <c r="D836" t="s">
        <v>2351</v>
      </c>
      <c r="E836" t="s">
        <v>2369</v>
      </c>
      <c r="F836" s="117" t="s">
        <v>2369</v>
      </c>
      <c r="G836" s="68" t="s">
        <v>400</v>
      </c>
      <c r="H836" s="69" t="str">
        <f>IF(Proc[[#This Row],[type]]="LFF (MDG-F)",MID(Proc[[#This Row],[Obj]],13,10),"")</f>
        <v/>
      </c>
      <c r="J836" s="69" t="b">
        <f>Proc[[#This Row],[Requested]]=Proc[[#This Row],[CurrentParent]]</f>
        <v>1</v>
      </c>
      <c r="K836" s="144" t="str">
        <f>IF(Proc[[#This Row],[Author]]="Marcela Urrego",VLOOKUP(LEFT(Proc[[#This Row],[Requested]],1),Table3[#All],2,0),VLOOKUP(Proc[[#This Row],[Author]],Table4[],2,0))</f>
        <v>LS</v>
      </c>
      <c r="L836" s="32" t="s">
        <v>509</v>
      </c>
      <c r="M836" s="71">
        <v>45720.368101851855</v>
      </c>
      <c r="N836" s="71">
        <v>45722</v>
      </c>
      <c r="O836" s="71">
        <v>45722</v>
      </c>
      <c r="P836" s="70" t="str">
        <f ca="1">IF(Proc[[#This Row],[DaysAgeing]]&gt;5,"yep","on track")</f>
        <v>on track</v>
      </c>
      <c r="Q836" s="3">
        <f ca="1">IF(Proc[[#This Row],[DateClosed]]="",ABS(NETWORKDAYS(Proc[[#This Row],[DateOpened]],TODAY()))-1,ABS(NETWORKDAYS(Proc[[#This Row],[DateOpened]],Proc[[#This Row],[DateClosed]]))-1)</f>
        <v>2</v>
      </c>
      <c r="R836" s="70" t="s">
        <v>489</v>
      </c>
      <c r="S836" s="69"/>
    </row>
    <row r="837" spans="1:19" hidden="1">
      <c r="A837" t="s">
        <v>2378</v>
      </c>
      <c r="B837" s="149" t="str">
        <f>IFERROR(VLOOKUP(Proc[[#This Row],[App]],Table2[],3,0),"open")</f>
        <v>ok</v>
      </c>
      <c r="C837" s="68" t="s">
        <v>369</v>
      </c>
      <c r="D837" t="s">
        <v>2352</v>
      </c>
      <c r="E837" t="s">
        <v>2369</v>
      </c>
      <c r="F837" s="117" t="s">
        <v>2369</v>
      </c>
      <c r="G837" s="68" t="s">
        <v>400</v>
      </c>
      <c r="H837" s="69" t="str">
        <f>IF(Proc[[#This Row],[type]]="LFF (MDG-F)",MID(Proc[[#This Row],[Obj]],13,10),"")</f>
        <v/>
      </c>
      <c r="J837" s="69" t="b">
        <f>Proc[[#This Row],[Requested]]=Proc[[#This Row],[CurrentParent]]</f>
        <v>1</v>
      </c>
      <c r="K837" s="144" t="str">
        <f>IF(Proc[[#This Row],[Author]]="Marcela Urrego",VLOOKUP(LEFT(Proc[[#This Row],[Requested]],1),Table3[#All],2,0),VLOOKUP(Proc[[#This Row],[Author]],Table4[],2,0))</f>
        <v>LS</v>
      </c>
      <c r="L837" s="32" t="s">
        <v>509</v>
      </c>
      <c r="M837" s="71">
        <v>45720.368101851855</v>
      </c>
      <c r="N837" s="71">
        <v>45722</v>
      </c>
      <c r="O837" s="71">
        <v>45722</v>
      </c>
      <c r="P837" s="70" t="str">
        <f ca="1">IF(Proc[[#This Row],[DaysAgeing]]&gt;5,"yep","on track")</f>
        <v>on track</v>
      </c>
      <c r="Q837" s="3">
        <f ca="1">IF(Proc[[#This Row],[DateClosed]]="",ABS(NETWORKDAYS(Proc[[#This Row],[DateOpened]],TODAY()))-1,ABS(NETWORKDAYS(Proc[[#This Row],[DateOpened]],Proc[[#This Row],[DateClosed]]))-1)</f>
        <v>2</v>
      </c>
      <c r="R837" s="70" t="s">
        <v>489</v>
      </c>
      <c r="S837" s="69"/>
    </row>
    <row r="838" spans="1:19" hidden="1">
      <c r="A838" t="s">
        <v>2378</v>
      </c>
      <c r="B838" s="149" t="str">
        <f>IFERROR(VLOOKUP(Proc[[#This Row],[App]],Table2[],3,0),"open")</f>
        <v>ok</v>
      </c>
      <c r="C838" s="68" t="s">
        <v>369</v>
      </c>
      <c r="D838" t="s">
        <v>2353</v>
      </c>
      <c r="E838" t="s">
        <v>2370</v>
      </c>
      <c r="F838" s="117" t="s">
        <v>2370</v>
      </c>
      <c r="G838" s="68" t="s">
        <v>400</v>
      </c>
      <c r="H838" s="69" t="str">
        <f>IF(Proc[[#This Row],[type]]="LFF (MDG-F)",MID(Proc[[#This Row],[Obj]],13,10),"")</f>
        <v/>
      </c>
      <c r="J838" s="69" t="b">
        <f>Proc[[#This Row],[Requested]]=Proc[[#This Row],[CurrentParent]]</f>
        <v>1</v>
      </c>
      <c r="K838" s="144" t="str">
        <f>IF(Proc[[#This Row],[Author]]="Marcela Urrego",VLOOKUP(LEFT(Proc[[#This Row],[Requested]],1),Table3[#All],2,0),VLOOKUP(Proc[[#This Row],[Author]],Table4[],2,0))</f>
        <v>LS</v>
      </c>
      <c r="L838" s="32" t="s">
        <v>509</v>
      </c>
      <c r="M838" s="71">
        <v>45720.368101851855</v>
      </c>
      <c r="N838" s="71">
        <v>45722</v>
      </c>
      <c r="O838" s="71">
        <v>45722</v>
      </c>
      <c r="P838" s="70" t="str">
        <f ca="1">IF(Proc[[#This Row],[DaysAgeing]]&gt;5,"yep","on track")</f>
        <v>on track</v>
      </c>
      <c r="Q838" s="3">
        <f ca="1">IF(Proc[[#This Row],[DateClosed]]="",ABS(NETWORKDAYS(Proc[[#This Row],[DateOpened]],TODAY()))-1,ABS(NETWORKDAYS(Proc[[#This Row],[DateOpened]],Proc[[#This Row],[DateClosed]]))-1)</f>
        <v>2</v>
      </c>
      <c r="R838" s="70" t="s">
        <v>489</v>
      </c>
      <c r="S838" s="69"/>
    </row>
    <row r="839" spans="1:19" hidden="1">
      <c r="A839" t="s">
        <v>2378</v>
      </c>
      <c r="B839" s="149" t="str">
        <f>IFERROR(VLOOKUP(Proc[[#This Row],[App]],Table2[],3,0),"open")</f>
        <v>ok</v>
      </c>
      <c r="C839" t="s">
        <v>369</v>
      </c>
      <c r="D839" t="s">
        <v>2354</v>
      </c>
      <c r="E839" t="s">
        <v>2371</v>
      </c>
      <c r="F839" s="117" t="s">
        <v>2371</v>
      </c>
      <c r="G839" s="68" t="s">
        <v>400</v>
      </c>
      <c r="H839" s="69" t="str">
        <f>IF(Proc[[#This Row],[type]]="LFF (MDG-F)",MID(Proc[[#This Row],[Obj]],13,10),"")</f>
        <v/>
      </c>
      <c r="J839" s="69" t="b">
        <f>Proc[[#This Row],[Requested]]=Proc[[#This Row],[CurrentParent]]</f>
        <v>1</v>
      </c>
      <c r="K839" s="144" t="str">
        <f>IF(Proc[[#This Row],[Author]]="Marcela Urrego",VLOOKUP(LEFT(Proc[[#This Row],[Requested]],1),Table3[#All],2,0),VLOOKUP(Proc[[#This Row],[Author]],Table4[],2,0))</f>
        <v>LS</v>
      </c>
      <c r="L839" s="32" t="s">
        <v>509</v>
      </c>
      <c r="M839" s="67">
        <v>45720.368101851855</v>
      </c>
      <c r="N839" s="71">
        <v>45722</v>
      </c>
      <c r="O839" s="71">
        <v>45722</v>
      </c>
      <c r="P839" s="70" t="str">
        <f ca="1">IF(Proc[[#This Row],[DaysAgeing]]&gt;5,"yep","on track")</f>
        <v>on track</v>
      </c>
      <c r="Q839" s="3">
        <f ca="1">IF(Proc[[#This Row],[DateClosed]]="",ABS(NETWORKDAYS(Proc[[#This Row],[DateOpened]],TODAY()))-1,ABS(NETWORKDAYS(Proc[[#This Row],[DateOpened]],Proc[[#This Row],[DateClosed]]))-1)</f>
        <v>2</v>
      </c>
      <c r="R839" s="70" t="s">
        <v>489</v>
      </c>
      <c r="S839" s="69"/>
    </row>
    <row r="840" spans="1:19" hidden="1">
      <c r="A840" t="s">
        <v>2378</v>
      </c>
      <c r="B840" s="149" t="str">
        <f>IFERROR(VLOOKUP(Proc[[#This Row],[App]],Table2[],3,0),"open")</f>
        <v>ok</v>
      </c>
      <c r="C840" s="68" t="s">
        <v>369</v>
      </c>
      <c r="D840" t="s">
        <v>2355</v>
      </c>
      <c r="E840" t="s">
        <v>2372</v>
      </c>
      <c r="F840" s="117" t="s">
        <v>2372</v>
      </c>
      <c r="G840" s="68" t="s">
        <v>400</v>
      </c>
      <c r="H840" s="69" t="str">
        <f>IF(Proc[[#This Row],[type]]="LFF (MDG-F)",MID(Proc[[#This Row],[Obj]],13,10),"")</f>
        <v/>
      </c>
      <c r="J840" s="69" t="b">
        <f>Proc[[#This Row],[Requested]]=Proc[[#This Row],[CurrentParent]]</f>
        <v>1</v>
      </c>
      <c r="K840" s="144" t="str">
        <f>IF(Proc[[#This Row],[Author]]="Marcela Urrego",VLOOKUP(LEFT(Proc[[#This Row],[Requested]],1),Table3[#All],2,0),VLOOKUP(Proc[[#This Row],[Author]],Table4[],2,0))</f>
        <v>LS</v>
      </c>
      <c r="L840" s="32" t="s">
        <v>509</v>
      </c>
      <c r="M840" s="71">
        <v>45720.368101851855</v>
      </c>
      <c r="N840" s="71">
        <v>45722</v>
      </c>
      <c r="O840" s="71">
        <v>45722</v>
      </c>
      <c r="P840" s="70" t="str">
        <f ca="1">IF(Proc[[#This Row],[DaysAgeing]]&gt;5,"yep","on track")</f>
        <v>on track</v>
      </c>
      <c r="Q840" s="3">
        <f ca="1">IF(Proc[[#This Row],[DateClosed]]="",ABS(NETWORKDAYS(Proc[[#This Row],[DateOpened]],TODAY()))-1,ABS(NETWORKDAYS(Proc[[#This Row],[DateOpened]],Proc[[#This Row],[DateClosed]]))-1)</f>
        <v>2</v>
      </c>
      <c r="R840" s="70" t="s">
        <v>489</v>
      </c>
      <c r="S840" s="69"/>
    </row>
    <row r="841" spans="1:19" hidden="1">
      <c r="A841" t="s">
        <v>2378</v>
      </c>
      <c r="B841" s="149" t="str">
        <f>IFERROR(VLOOKUP(Proc[[#This Row],[App]],Table2[],3,0),"open")</f>
        <v>ok</v>
      </c>
      <c r="C841" s="68" t="s">
        <v>369</v>
      </c>
      <c r="D841" t="s">
        <v>2356</v>
      </c>
      <c r="E841" t="s">
        <v>2373</v>
      </c>
      <c r="F841" s="117" t="s">
        <v>2373</v>
      </c>
      <c r="G841" s="68" t="s">
        <v>400</v>
      </c>
      <c r="H841" s="69" t="str">
        <f>IF(Proc[[#This Row],[type]]="LFF (MDG-F)",MID(Proc[[#This Row],[Obj]],13,10),"")</f>
        <v/>
      </c>
      <c r="J841" s="69" t="b">
        <f>Proc[[#This Row],[Requested]]=Proc[[#This Row],[CurrentParent]]</f>
        <v>1</v>
      </c>
      <c r="K841" s="144" t="str">
        <f>IF(Proc[[#This Row],[Author]]="Marcela Urrego",VLOOKUP(LEFT(Proc[[#This Row],[Requested]],1),Table3[#All],2,0),VLOOKUP(Proc[[#This Row],[Author]],Table4[],2,0))</f>
        <v>LS</v>
      </c>
      <c r="L841" s="32" t="s">
        <v>509</v>
      </c>
      <c r="M841" s="71">
        <v>45720.368101851855</v>
      </c>
      <c r="N841" s="71">
        <v>45722</v>
      </c>
      <c r="O841" s="71">
        <v>45722</v>
      </c>
      <c r="P841" s="70" t="str">
        <f ca="1">IF(Proc[[#This Row],[DaysAgeing]]&gt;5,"yep","on track")</f>
        <v>on track</v>
      </c>
      <c r="Q841" s="3">
        <f ca="1">IF(Proc[[#This Row],[DateClosed]]="",ABS(NETWORKDAYS(Proc[[#This Row],[DateOpened]],TODAY()))-1,ABS(NETWORKDAYS(Proc[[#This Row],[DateOpened]],Proc[[#This Row],[DateClosed]]))-1)</f>
        <v>2</v>
      </c>
      <c r="R841" s="70" t="s">
        <v>489</v>
      </c>
      <c r="S841" s="69"/>
    </row>
    <row r="842" spans="1:19" hidden="1">
      <c r="A842" t="s">
        <v>2378</v>
      </c>
      <c r="B842" s="149" t="str">
        <f>IFERROR(VLOOKUP(Proc[[#This Row],[App]],Table2[],3,0),"open")</f>
        <v>ok</v>
      </c>
      <c r="C842" s="68" t="s">
        <v>369</v>
      </c>
      <c r="D842" t="s">
        <v>2357</v>
      </c>
      <c r="E842" t="s">
        <v>2373</v>
      </c>
      <c r="F842" s="117" t="s">
        <v>2373</v>
      </c>
      <c r="G842" s="68" t="s">
        <v>400</v>
      </c>
      <c r="H842" s="69" t="str">
        <f>IF(Proc[[#This Row],[type]]="LFF (MDG-F)",MID(Proc[[#This Row],[Obj]],13,10),"")</f>
        <v/>
      </c>
      <c r="J842" s="69" t="b">
        <f>Proc[[#This Row],[Requested]]=Proc[[#This Row],[CurrentParent]]</f>
        <v>1</v>
      </c>
      <c r="K842" s="144" t="str">
        <f>IF(Proc[[#This Row],[Author]]="Marcela Urrego",VLOOKUP(LEFT(Proc[[#This Row],[Requested]],1),Table3[#All],2,0),VLOOKUP(Proc[[#This Row],[Author]],Table4[],2,0))</f>
        <v>LS</v>
      </c>
      <c r="L842" s="32" t="s">
        <v>509</v>
      </c>
      <c r="M842" s="71">
        <v>45720.368101851855</v>
      </c>
      <c r="N842" s="71">
        <v>45722</v>
      </c>
      <c r="O842" s="71">
        <v>45722</v>
      </c>
      <c r="P842" s="70" t="str">
        <f ca="1">IF(Proc[[#This Row],[DaysAgeing]]&gt;5,"yep","on track")</f>
        <v>on track</v>
      </c>
      <c r="Q842" s="3">
        <f ca="1">IF(Proc[[#This Row],[DateClosed]]="",ABS(NETWORKDAYS(Proc[[#This Row],[DateOpened]],TODAY()))-1,ABS(NETWORKDAYS(Proc[[#This Row],[DateOpened]],Proc[[#This Row],[DateClosed]]))-1)</f>
        <v>2</v>
      </c>
      <c r="R842" s="70" t="s">
        <v>489</v>
      </c>
      <c r="S842" s="69"/>
    </row>
    <row r="843" spans="1:19" hidden="1">
      <c r="A843" t="s">
        <v>2378</v>
      </c>
      <c r="B843" s="149" t="str">
        <f>IFERROR(VLOOKUP(Proc[[#This Row],[App]],Table2[],3,0),"open")</f>
        <v>ok</v>
      </c>
      <c r="C843" s="68" t="s">
        <v>369</v>
      </c>
      <c r="D843" t="s">
        <v>2358</v>
      </c>
      <c r="E843" t="s">
        <v>2373</v>
      </c>
      <c r="F843" s="117" t="s">
        <v>2373</v>
      </c>
      <c r="G843" s="68" t="s">
        <v>400</v>
      </c>
      <c r="H843" s="69" t="str">
        <f>IF(Proc[[#This Row],[type]]="LFF (MDG-F)",MID(Proc[[#This Row],[Obj]],13,10),"")</f>
        <v/>
      </c>
      <c r="J843" s="69" t="b">
        <f>Proc[[#This Row],[Requested]]=Proc[[#This Row],[CurrentParent]]</f>
        <v>1</v>
      </c>
      <c r="K843" s="144" t="str">
        <f>IF(Proc[[#This Row],[Author]]="Marcela Urrego",VLOOKUP(LEFT(Proc[[#This Row],[Requested]],1),Table3[#All],2,0),VLOOKUP(Proc[[#This Row],[Author]],Table4[],2,0))</f>
        <v>LS</v>
      </c>
      <c r="L843" s="32" t="s">
        <v>509</v>
      </c>
      <c r="M843" s="71">
        <v>45720.368101851855</v>
      </c>
      <c r="N843" s="71">
        <v>45722</v>
      </c>
      <c r="O843" s="71">
        <v>45722</v>
      </c>
      <c r="P843" s="70" t="str">
        <f ca="1">IF(Proc[[#This Row],[DaysAgeing]]&gt;5,"yep","on track")</f>
        <v>on track</v>
      </c>
      <c r="Q843" s="3">
        <f ca="1">IF(Proc[[#This Row],[DateClosed]]="",ABS(NETWORKDAYS(Proc[[#This Row],[DateOpened]],TODAY()))-1,ABS(NETWORKDAYS(Proc[[#This Row],[DateOpened]],Proc[[#This Row],[DateClosed]]))-1)</f>
        <v>2</v>
      </c>
      <c r="R843" s="70" t="s">
        <v>489</v>
      </c>
      <c r="S843" s="69"/>
    </row>
    <row r="844" spans="1:19" hidden="1">
      <c r="A844" t="s">
        <v>2378</v>
      </c>
      <c r="B844" s="149" t="str">
        <f>IFERROR(VLOOKUP(Proc[[#This Row],[App]],Table2[],3,0),"open")</f>
        <v>ok</v>
      </c>
      <c r="C844" s="68" t="s">
        <v>369</v>
      </c>
      <c r="D844" t="s">
        <v>2359</v>
      </c>
      <c r="E844" t="s">
        <v>2374</v>
      </c>
      <c r="F844" s="117" t="s">
        <v>2374</v>
      </c>
      <c r="G844" s="68" t="s">
        <v>400</v>
      </c>
      <c r="H844" s="69" t="str">
        <f>IF(Proc[[#This Row],[type]]="LFF (MDG-F)",MID(Proc[[#This Row],[Obj]],13,10),"")</f>
        <v/>
      </c>
      <c r="J844" s="69" t="b">
        <f>Proc[[#This Row],[Requested]]=Proc[[#This Row],[CurrentParent]]</f>
        <v>1</v>
      </c>
      <c r="K844" s="144" t="str">
        <f>IF(Proc[[#This Row],[Author]]="Marcela Urrego",VLOOKUP(LEFT(Proc[[#This Row],[Requested]],1),Table3[#All],2,0),VLOOKUP(Proc[[#This Row],[Author]],Table4[],2,0))</f>
        <v>LS</v>
      </c>
      <c r="L844" s="32" t="s">
        <v>509</v>
      </c>
      <c r="M844" s="71">
        <v>45720.368101851855</v>
      </c>
      <c r="N844" s="71">
        <v>45722</v>
      </c>
      <c r="O844" s="71">
        <v>45722</v>
      </c>
      <c r="P844" s="70" t="str">
        <f ca="1">IF(Proc[[#This Row],[DaysAgeing]]&gt;5,"yep","on track")</f>
        <v>on track</v>
      </c>
      <c r="Q844" s="3">
        <f ca="1">IF(Proc[[#This Row],[DateClosed]]="",ABS(NETWORKDAYS(Proc[[#This Row],[DateOpened]],TODAY()))-1,ABS(NETWORKDAYS(Proc[[#This Row],[DateOpened]],Proc[[#This Row],[DateClosed]]))-1)</f>
        <v>2</v>
      </c>
      <c r="R844" s="70" t="s">
        <v>489</v>
      </c>
      <c r="S844" s="69"/>
    </row>
    <row r="845" spans="1:19" hidden="1">
      <c r="A845" t="s">
        <v>2378</v>
      </c>
      <c r="B845" s="149" t="str">
        <f>IFERROR(VLOOKUP(Proc[[#This Row],[App]],Table2[],3,0),"open")</f>
        <v>ok</v>
      </c>
      <c r="C845" s="68" t="s">
        <v>369</v>
      </c>
      <c r="D845" t="s">
        <v>2360</v>
      </c>
      <c r="E845" t="s">
        <v>2375</v>
      </c>
      <c r="F845" s="117" t="s">
        <v>2375</v>
      </c>
      <c r="G845" s="68" t="s">
        <v>400</v>
      </c>
      <c r="H845" s="69" t="str">
        <f>IF(Proc[[#This Row],[type]]="LFF (MDG-F)",MID(Proc[[#This Row],[Obj]],13,10),"")</f>
        <v/>
      </c>
      <c r="J845" s="69" t="b">
        <f>Proc[[#This Row],[Requested]]=Proc[[#This Row],[CurrentParent]]</f>
        <v>1</v>
      </c>
      <c r="K845" s="144" t="str">
        <f>IF(Proc[[#This Row],[Author]]="Marcela Urrego",VLOOKUP(LEFT(Proc[[#This Row],[Requested]],1),Table3[#All],2,0),VLOOKUP(Proc[[#This Row],[Author]],Table4[],2,0))</f>
        <v>LS</v>
      </c>
      <c r="L845" s="32" t="s">
        <v>509</v>
      </c>
      <c r="M845" s="71">
        <v>45720.368101851855</v>
      </c>
      <c r="N845" s="71">
        <v>45722</v>
      </c>
      <c r="O845" s="71">
        <v>45722</v>
      </c>
      <c r="P845" s="70" t="str">
        <f ca="1">IF(Proc[[#This Row],[DaysAgeing]]&gt;5,"yep","on track")</f>
        <v>on track</v>
      </c>
      <c r="Q845" s="3">
        <f ca="1">IF(Proc[[#This Row],[DateClosed]]="",ABS(NETWORKDAYS(Proc[[#This Row],[DateOpened]],TODAY()))-1,ABS(NETWORKDAYS(Proc[[#This Row],[DateOpened]],Proc[[#This Row],[DateClosed]]))-1)</f>
        <v>2</v>
      </c>
      <c r="R845" s="70" t="s">
        <v>489</v>
      </c>
      <c r="S845" s="69"/>
    </row>
    <row r="846" spans="1:19" hidden="1">
      <c r="A846" t="s">
        <v>2378</v>
      </c>
      <c r="B846" s="149" t="str">
        <f>IFERROR(VLOOKUP(Proc[[#This Row],[App]],Table2[],3,0),"open")</f>
        <v>ok</v>
      </c>
      <c r="C846" s="68" t="s">
        <v>369</v>
      </c>
      <c r="D846" t="s">
        <v>2361</v>
      </c>
      <c r="E846" t="s">
        <v>2375</v>
      </c>
      <c r="F846" s="117" t="s">
        <v>2375</v>
      </c>
      <c r="G846" s="68" t="s">
        <v>400</v>
      </c>
      <c r="H846" s="69" t="str">
        <f>IF(Proc[[#This Row],[type]]="LFF (MDG-F)",MID(Proc[[#This Row],[Obj]],13,10),"")</f>
        <v/>
      </c>
      <c r="J846" s="69" t="b">
        <f>Proc[[#This Row],[Requested]]=Proc[[#This Row],[CurrentParent]]</f>
        <v>1</v>
      </c>
      <c r="K846" s="144" t="str">
        <f>IF(Proc[[#This Row],[Author]]="Marcela Urrego",VLOOKUP(LEFT(Proc[[#This Row],[Requested]],1),Table3[#All],2,0),VLOOKUP(Proc[[#This Row],[Author]],Table4[],2,0))</f>
        <v>LS</v>
      </c>
      <c r="L846" s="32" t="s">
        <v>509</v>
      </c>
      <c r="M846" s="71">
        <v>45720.368101851855</v>
      </c>
      <c r="N846" s="71">
        <v>45722</v>
      </c>
      <c r="O846" s="71">
        <v>45722</v>
      </c>
      <c r="P846" s="70" t="str">
        <f ca="1">IF(Proc[[#This Row],[DaysAgeing]]&gt;5,"yep","on track")</f>
        <v>on track</v>
      </c>
      <c r="Q846" s="3">
        <f ca="1">IF(Proc[[#This Row],[DateClosed]]="",ABS(NETWORKDAYS(Proc[[#This Row],[DateOpened]],TODAY()))-1,ABS(NETWORKDAYS(Proc[[#This Row],[DateOpened]],Proc[[#This Row],[DateClosed]]))-1)</f>
        <v>2</v>
      </c>
      <c r="R846" s="70" t="s">
        <v>489</v>
      </c>
      <c r="S846" s="69"/>
    </row>
    <row r="847" spans="1:19" hidden="1">
      <c r="A847" t="s">
        <v>2378</v>
      </c>
      <c r="B847" s="149" t="str">
        <f>IFERROR(VLOOKUP(Proc[[#This Row],[App]],Table2[],3,0),"open")</f>
        <v>ok</v>
      </c>
      <c r="C847" s="68" t="s">
        <v>369</v>
      </c>
      <c r="D847" t="s">
        <v>2362</v>
      </c>
      <c r="E847" t="s">
        <v>2375</v>
      </c>
      <c r="F847" s="117" t="s">
        <v>2375</v>
      </c>
      <c r="G847" s="68" t="s">
        <v>400</v>
      </c>
      <c r="H847" s="69" t="str">
        <f>IF(Proc[[#This Row],[type]]="LFF (MDG-F)",MID(Proc[[#This Row],[Obj]],13,10),"")</f>
        <v/>
      </c>
      <c r="J847" s="69" t="b">
        <f>Proc[[#This Row],[Requested]]=Proc[[#This Row],[CurrentParent]]</f>
        <v>1</v>
      </c>
      <c r="K847" s="144" t="str">
        <f>IF(Proc[[#This Row],[Author]]="Marcela Urrego",VLOOKUP(LEFT(Proc[[#This Row],[Requested]],1),Table3[#All],2,0),VLOOKUP(Proc[[#This Row],[Author]],Table4[],2,0))</f>
        <v>LS</v>
      </c>
      <c r="L847" s="32" t="s">
        <v>509</v>
      </c>
      <c r="M847" s="71">
        <v>45720.368101851855</v>
      </c>
      <c r="N847" s="71">
        <v>45722</v>
      </c>
      <c r="O847" s="71">
        <v>45722</v>
      </c>
      <c r="P847" s="70" t="str">
        <f ca="1">IF(Proc[[#This Row],[DaysAgeing]]&gt;5,"yep","on track")</f>
        <v>on track</v>
      </c>
      <c r="Q847" s="3">
        <f ca="1">IF(Proc[[#This Row],[DateClosed]]="",ABS(NETWORKDAYS(Proc[[#This Row],[DateOpened]],TODAY()))-1,ABS(NETWORKDAYS(Proc[[#This Row],[DateOpened]],Proc[[#This Row],[DateClosed]]))-1)</f>
        <v>2</v>
      </c>
      <c r="R847" s="70" t="s">
        <v>489</v>
      </c>
      <c r="S847" s="69"/>
    </row>
    <row r="848" spans="1:19" hidden="1">
      <c r="A848" t="s">
        <v>2378</v>
      </c>
      <c r="B848" s="149" t="str">
        <f>IFERROR(VLOOKUP(Proc[[#This Row],[App]],Table2[],3,0),"open")</f>
        <v>ok</v>
      </c>
      <c r="C848" s="68" t="s">
        <v>369</v>
      </c>
      <c r="D848" t="s">
        <v>2363</v>
      </c>
      <c r="E848" t="s">
        <v>2376</v>
      </c>
      <c r="F848" s="117" t="s">
        <v>2376</v>
      </c>
      <c r="G848" s="68" t="s">
        <v>400</v>
      </c>
      <c r="H848" s="69" t="str">
        <f>IF(Proc[[#This Row],[type]]="LFF (MDG-F)",MID(Proc[[#This Row],[Obj]],13,10),"")</f>
        <v/>
      </c>
      <c r="J848" s="69" t="b">
        <f>Proc[[#This Row],[Requested]]=Proc[[#This Row],[CurrentParent]]</f>
        <v>1</v>
      </c>
      <c r="K848" s="144" t="str">
        <f>IF(Proc[[#This Row],[Author]]="Marcela Urrego",VLOOKUP(LEFT(Proc[[#This Row],[Requested]],1),Table3[#All],2,0),VLOOKUP(Proc[[#This Row],[Author]],Table4[],2,0))</f>
        <v>LS</v>
      </c>
      <c r="L848" s="32" t="s">
        <v>509</v>
      </c>
      <c r="M848" s="71">
        <v>45720.368101851855</v>
      </c>
      <c r="N848" s="71">
        <v>45722</v>
      </c>
      <c r="O848" s="71">
        <v>45722</v>
      </c>
      <c r="P848" s="70" t="str">
        <f ca="1">IF(Proc[[#This Row],[DaysAgeing]]&gt;5,"yep","on track")</f>
        <v>on track</v>
      </c>
      <c r="Q848" s="3">
        <f ca="1">IF(Proc[[#This Row],[DateClosed]]="",ABS(NETWORKDAYS(Proc[[#This Row],[DateOpened]],TODAY()))-1,ABS(NETWORKDAYS(Proc[[#This Row],[DateOpened]],Proc[[#This Row],[DateClosed]]))-1)</f>
        <v>2</v>
      </c>
      <c r="R848" s="70" t="s">
        <v>489</v>
      </c>
      <c r="S848" s="69"/>
    </row>
    <row r="849" spans="1:19" hidden="1">
      <c r="A849" t="s">
        <v>2378</v>
      </c>
      <c r="B849" s="149" t="str">
        <f>IFERROR(VLOOKUP(Proc[[#This Row],[App]],Table2[],3,0),"open")</f>
        <v>ok</v>
      </c>
      <c r="C849" s="68" t="s">
        <v>369</v>
      </c>
      <c r="D849" t="s">
        <v>2364</v>
      </c>
      <c r="E849" t="s">
        <v>2376</v>
      </c>
      <c r="F849" s="117" t="s">
        <v>2376</v>
      </c>
      <c r="G849" s="68" t="s">
        <v>400</v>
      </c>
      <c r="H849" s="69" t="str">
        <f>IF(Proc[[#This Row],[type]]="LFF (MDG-F)",MID(Proc[[#This Row],[Obj]],13,10),"")</f>
        <v/>
      </c>
      <c r="J849" s="69" t="b">
        <f>Proc[[#This Row],[Requested]]=Proc[[#This Row],[CurrentParent]]</f>
        <v>1</v>
      </c>
      <c r="K849" s="144" t="str">
        <f>IF(Proc[[#This Row],[Author]]="Marcela Urrego",VLOOKUP(LEFT(Proc[[#This Row],[Requested]],1),Table3[#All],2,0),VLOOKUP(Proc[[#This Row],[Author]],Table4[],2,0))</f>
        <v>LS</v>
      </c>
      <c r="L849" s="32" t="s">
        <v>509</v>
      </c>
      <c r="M849" s="71">
        <v>45720.368101851855</v>
      </c>
      <c r="N849" s="71">
        <v>45722</v>
      </c>
      <c r="O849" s="71">
        <v>45722</v>
      </c>
      <c r="P849" s="70" t="str">
        <f ca="1">IF(Proc[[#This Row],[DaysAgeing]]&gt;5,"yep","on track")</f>
        <v>on track</v>
      </c>
      <c r="Q849" s="3">
        <f ca="1">IF(Proc[[#This Row],[DateClosed]]="",ABS(NETWORKDAYS(Proc[[#This Row],[DateOpened]],TODAY()))-1,ABS(NETWORKDAYS(Proc[[#This Row],[DateOpened]],Proc[[#This Row],[DateClosed]]))-1)</f>
        <v>2</v>
      </c>
      <c r="R849" s="70" t="s">
        <v>489</v>
      </c>
      <c r="S849" s="69"/>
    </row>
    <row r="850" spans="1:19" hidden="1">
      <c r="A850" t="s">
        <v>2378</v>
      </c>
      <c r="B850" s="149" t="str">
        <f>IFERROR(VLOOKUP(Proc[[#This Row],[App]],Table2[],3,0),"open")</f>
        <v>ok</v>
      </c>
      <c r="C850" s="68" t="s">
        <v>369</v>
      </c>
      <c r="D850" t="s">
        <v>2365</v>
      </c>
      <c r="E850" t="s">
        <v>2377</v>
      </c>
      <c r="F850" s="117" t="s">
        <v>2377</v>
      </c>
      <c r="G850" s="68" t="s">
        <v>400</v>
      </c>
      <c r="H850" s="69" t="str">
        <f>IF(Proc[[#This Row],[type]]="LFF (MDG-F)",MID(Proc[[#This Row],[Obj]],13,10),"")</f>
        <v/>
      </c>
      <c r="J850" s="69" t="b">
        <f>Proc[[#This Row],[Requested]]=Proc[[#This Row],[CurrentParent]]</f>
        <v>1</v>
      </c>
      <c r="K850" s="144" t="str">
        <f>IF(Proc[[#This Row],[Author]]="Marcela Urrego",VLOOKUP(LEFT(Proc[[#This Row],[Requested]],1),Table3[#All],2,0),VLOOKUP(Proc[[#This Row],[Author]],Table4[],2,0))</f>
        <v>LS</v>
      </c>
      <c r="L850" s="32" t="s">
        <v>509</v>
      </c>
      <c r="M850" s="71">
        <v>45720.368101851855</v>
      </c>
      <c r="N850" s="71">
        <v>45722</v>
      </c>
      <c r="O850" s="71">
        <v>45722</v>
      </c>
      <c r="P850" s="70" t="str">
        <f ca="1">IF(Proc[[#This Row],[DaysAgeing]]&gt;5,"yep","on track")</f>
        <v>on track</v>
      </c>
      <c r="Q850" s="3">
        <f ca="1">IF(Proc[[#This Row],[DateClosed]]="",ABS(NETWORKDAYS(Proc[[#This Row],[DateOpened]],TODAY()))-1,ABS(NETWORKDAYS(Proc[[#This Row],[DateOpened]],Proc[[#This Row],[DateClosed]]))-1)</f>
        <v>2</v>
      </c>
      <c r="R850" s="70" t="s">
        <v>489</v>
      </c>
      <c r="S850" s="69"/>
    </row>
    <row r="851" spans="1:19" hidden="1">
      <c r="A851" t="s">
        <v>2378</v>
      </c>
      <c r="B851" s="149" t="str">
        <f>IFERROR(VLOOKUP(Proc[[#This Row],[App]],Table2[],3,0),"open")</f>
        <v>ok</v>
      </c>
      <c r="C851" s="68" t="s">
        <v>369</v>
      </c>
      <c r="D851" t="s">
        <v>2366</v>
      </c>
      <c r="E851" t="s">
        <v>2377</v>
      </c>
      <c r="F851" s="117" t="s">
        <v>2377</v>
      </c>
      <c r="G851" s="68" t="s">
        <v>400</v>
      </c>
      <c r="H851" s="69" t="str">
        <f>IF(Proc[[#This Row],[type]]="LFF (MDG-F)",MID(Proc[[#This Row],[Obj]],13,10),"")</f>
        <v/>
      </c>
      <c r="J851" s="69" t="b">
        <f>Proc[[#This Row],[Requested]]=Proc[[#This Row],[CurrentParent]]</f>
        <v>1</v>
      </c>
      <c r="K851" s="144" t="str">
        <f>IF(Proc[[#This Row],[Author]]="Marcela Urrego",VLOOKUP(LEFT(Proc[[#This Row],[Requested]],1),Table3[#All],2,0),VLOOKUP(Proc[[#This Row],[Author]],Table4[],2,0))</f>
        <v>LS</v>
      </c>
      <c r="L851" s="32" t="s">
        <v>509</v>
      </c>
      <c r="M851" s="71">
        <v>45720.368101851855</v>
      </c>
      <c r="N851" s="71">
        <v>45722</v>
      </c>
      <c r="O851" s="71">
        <v>45722</v>
      </c>
      <c r="P851" s="70" t="str">
        <f ca="1">IF(Proc[[#This Row],[DaysAgeing]]&gt;5,"yep","on track")</f>
        <v>on track</v>
      </c>
      <c r="Q851" s="3">
        <f ca="1">IF(Proc[[#This Row],[DateClosed]]="",ABS(NETWORKDAYS(Proc[[#This Row],[DateOpened]],TODAY()))-1,ABS(NETWORKDAYS(Proc[[#This Row],[DateOpened]],Proc[[#This Row],[DateClosed]]))-1)</f>
        <v>2</v>
      </c>
      <c r="R851" s="70" t="s">
        <v>489</v>
      </c>
      <c r="S851" s="69"/>
    </row>
    <row r="852" spans="1:19" hidden="1">
      <c r="A852" t="s">
        <v>2348</v>
      </c>
      <c r="B852" s="149" t="str">
        <f>IFERROR(VLOOKUP(Proc[[#This Row],[App]],Table2[],3,0),"open")</f>
        <v>ok</v>
      </c>
      <c r="C852" s="68" t="s">
        <v>369</v>
      </c>
      <c r="D852" t="s">
        <v>2345</v>
      </c>
      <c r="E852" t="s">
        <v>631</v>
      </c>
      <c r="F852" s="117" t="s">
        <v>631</v>
      </c>
      <c r="G852" s="68" t="s">
        <v>406</v>
      </c>
      <c r="H852" s="69" t="str">
        <f>IF(Proc[[#This Row],[type]]="LFF (MDG-F)",MID(Proc[[#This Row],[Obj]],13,10),"")</f>
        <v>DE10600870</v>
      </c>
      <c r="J852" s="69" t="b">
        <f>Proc[[#This Row],[Requested]]=Proc[[#This Row],[CurrentParent]]</f>
        <v>1</v>
      </c>
      <c r="K852" s="144" t="str">
        <f>IF(Proc[[#This Row],[Author]]="Marcela Urrego",VLOOKUP(LEFT(Proc[[#This Row],[Requested]],1),Table3[#All],2,0),VLOOKUP(Proc[[#This Row],[Author]],Table4[],2,0))</f>
        <v>MGF</v>
      </c>
      <c r="L852" s="32" t="s">
        <v>509</v>
      </c>
      <c r="M852" s="71">
        <v>45720.413402777776</v>
      </c>
      <c r="N852" s="71">
        <v>45723</v>
      </c>
      <c r="O852" s="71">
        <v>45723</v>
      </c>
      <c r="P852" s="70" t="str">
        <f ca="1">IF(Proc[[#This Row],[DaysAgeing]]&gt;5,"yep","on track")</f>
        <v>on track</v>
      </c>
      <c r="Q852" s="3">
        <f ca="1">IF(Proc[[#This Row],[DateClosed]]="",ABS(NETWORKDAYS(Proc[[#This Row],[DateOpened]],TODAY()))-1,ABS(NETWORKDAYS(Proc[[#This Row],[DateOpened]],Proc[[#This Row],[DateClosed]]))-1)</f>
        <v>3</v>
      </c>
      <c r="R852" s="70" t="s">
        <v>549</v>
      </c>
      <c r="S852" s="69"/>
    </row>
    <row r="853" spans="1:19" hidden="1">
      <c r="A853" t="s">
        <v>2348</v>
      </c>
      <c r="B853" s="149" t="str">
        <f>IFERROR(VLOOKUP(Proc[[#This Row],[App]],Table2[],3,0),"open")</f>
        <v>ok</v>
      </c>
      <c r="C853" s="68" t="s">
        <v>377</v>
      </c>
      <c r="D853" t="s">
        <v>2346</v>
      </c>
      <c r="E853" t="s">
        <v>631</v>
      </c>
      <c r="F853" s="103" t="s">
        <v>631</v>
      </c>
      <c r="G853" s="68" t="s">
        <v>406</v>
      </c>
      <c r="H853" s="69" t="str">
        <f>IF(Proc[[#This Row],[type]]="LFF (MDG-F)",MID(Proc[[#This Row],[Obj]],13,10),"")</f>
        <v>DE20553406</v>
      </c>
      <c r="I853" s="69" t="s">
        <v>446</v>
      </c>
      <c r="J853" s="69" t="b">
        <f>Proc[[#This Row],[Requested]]=Proc[[#This Row],[CurrentParent]]</f>
        <v>1</v>
      </c>
      <c r="K853" s="144" t="str">
        <f>IF(Proc[[#This Row],[Author]]="Marcela Urrego",VLOOKUP(LEFT(Proc[[#This Row],[Requested]],1),Table3[#All],2,0),VLOOKUP(Proc[[#This Row],[Author]],Table4[],2,0))</f>
        <v>MGF</v>
      </c>
      <c r="L853" s="32" t="s">
        <v>509</v>
      </c>
      <c r="M853" s="71">
        <v>45720.413402777776</v>
      </c>
      <c r="O853" s="71">
        <v>45723</v>
      </c>
      <c r="P853" s="70" t="str">
        <f ca="1">IF(Proc[[#This Row],[DaysAgeing]]&gt;5,"yep","on track")</f>
        <v>on track</v>
      </c>
      <c r="Q853" s="3">
        <f ca="1">IF(Proc[[#This Row],[DateClosed]]="",ABS(NETWORKDAYS(Proc[[#This Row],[DateOpened]],TODAY()))-1,ABS(NETWORKDAYS(Proc[[#This Row],[DateOpened]],Proc[[#This Row],[DateClosed]]))-1)</f>
        <v>3</v>
      </c>
      <c r="R853" s="78" t="s">
        <v>549</v>
      </c>
      <c r="S853" s="94" t="e">
        <f>VLOOKUP(Proc[[#This Row],[Obj]],#REF!,2,0)</f>
        <v>#REF!</v>
      </c>
    </row>
    <row r="854" spans="1:19" hidden="1">
      <c r="A854" s="68" t="s">
        <v>2348</v>
      </c>
      <c r="B854" s="149" t="str">
        <f>IFERROR(VLOOKUP(Proc[[#This Row],[App]],Table2[],3,0),"open")</f>
        <v>ok</v>
      </c>
      <c r="C854" s="68" t="s">
        <v>377</v>
      </c>
      <c r="D854" t="s">
        <v>2347</v>
      </c>
      <c r="E854" t="s">
        <v>631</v>
      </c>
      <c r="F854" s="103" t="s">
        <v>631</v>
      </c>
      <c r="G854" s="68" t="s">
        <v>406</v>
      </c>
      <c r="H854" s="69" t="str">
        <f>IF(Proc[[#This Row],[type]]="LFF (MDG-F)",MID(Proc[[#This Row],[Obj]],13,10),"")</f>
        <v>DE20553407</v>
      </c>
      <c r="I854" s="69" t="s">
        <v>446</v>
      </c>
      <c r="J854" s="69" t="b">
        <f>Proc[[#This Row],[Requested]]=Proc[[#This Row],[CurrentParent]]</f>
        <v>1</v>
      </c>
      <c r="K854" s="144" t="str">
        <f>IF(Proc[[#This Row],[Author]]="Marcela Urrego",VLOOKUP(LEFT(Proc[[#This Row],[Requested]],1),Table3[#All],2,0),VLOOKUP(Proc[[#This Row],[Author]],Table4[],2,0))</f>
        <v>MGF</v>
      </c>
      <c r="L854" s="32" t="s">
        <v>509</v>
      </c>
      <c r="M854" s="71">
        <v>45720.413402777776</v>
      </c>
      <c r="O854" s="71">
        <v>45723</v>
      </c>
      <c r="P854" s="70" t="str">
        <f ca="1">IF(Proc[[#This Row],[DaysAgeing]]&gt;5,"yep","on track")</f>
        <v>on track</v>
      </c>
      <c r="Q854" s="3">
        <f ca="1">IF(Proc[[#This Row],[DateClosed]]="",ABS(NETWORKDAYS(Proc[[#This Row],[DateOpened]],TODAY()))-1,ABS(NETWORKDAYS(Proc[[#This Row],[DateOpened]],Proc[[#This Row],[DateClosed]]))-1)</f>
        <v>3</v>
      </c>
      <c r="R854" s="78" t="s">
        <v>549</v>
      </c>
      <c r="S854" s="94" t="e">
        <f>VLOOKUP(Proc[[#This Row],[Obj]],#REF!,2,0)</f>
        <v>#REF!</v>
      </c>
    </row>
    <row r="855" spans="1:19" hidden="1">
      <c r="A855" s="68" t="s">
        <v>2344</v>
      </c>
      <c r="B855" s="149" t="str">
        <f>IFERROR(VLOOKUP(Proc[[#This Row],[App]],Table2[],3,0),"open")</f>
        <v>ok</v>
      </c>
      <c r="C855" s="68" t="s">
        <v>377</v>
      </c>
      <c r="D855" t="s">
        <v>2337</v>
      </c>
      <c r="E855" t="s">
        <v>2338</v>
      </c>
      <c r="F855" s="103" t="s">
        <v>2338</v>
      </c>
      <c r="G855" s="68" t="s">
        <v>400</v>
      </c>
      <c r="H855" s="69" t="str">
        <f>IF(Proc[[#This Row],[type]]="LFF (MDG-F)",MID(Proc[[#This Row],[Obj]],13,10),"")</f>
        <v/>
      </c>
      <c r="J855" s="69" t="b">
        <f>Proc[[#This Row],[Requested]]=Proc[[#This Row],[CurrentParent]]</f>
        <v>1</v>
      </c>
      <c r="K855" s="144" t="str">
        <f>IF(Proc[[#This Row],[Author]]="Marcela Urrego",VLOOKUP(LEFT(Proc[[#This Row],[Requested]],1),Table3[#All],2,0),VLOOKUP(Proc[[#This Row],[Author]],Table4[],2,0))</f>
        <v>HC</v>
      </c>
      <c r="L855" s="32" t="s">
        <v>509</v>
      </c>
      <c r="M855" s="71">
        <v>45720.458009259259</v>
      </c>
      <c r="O855" s="71">
        <v>45722</v>
      </c>
      <c r="P855" s="70" t="str">
        <f ca="1">IF(Proc[[#This Row],[DaysAgeing]]&gt;5,"yep","on track")</f>
        <v>on track</v>
      </c>
      <c r="Q855" s="3">
        <f ca="1">IF(Proc[[#This Row],[DateClosed]]="",ABS(NETWORKDAYS(Proc[[#This Row],[DateOpened]],TODAY()))-1,ABS(NETWORKDAYS(Proc[[#This Row],[DateOpened]],Proc[[#This Row],[DateClosed]]))-1)</f>
        <v>2</v>
      </c>
      <c r="R855" s="68" t="s">
        <v>415</v>
      </c>
      <c r="S855" s="94" t="e">
        <f>VLOOKUP(Proc[[#This Row],[Obj]],#REF!,2,0)</f>
        <v>#REF!</v>
      </c>
    </row>
    <row r="856" spans="1:19" hidden="1">
      <c r="A856" s="68" t="s">
        <v>2344</v>
      </c>
      <c r="B856" s="149" t="str">
        <f>IFERROR(VLOOKUP(Proc[[#This Row],[App]],Table2[],3,0),"open")</f>
        <v>ok</v>
      </c>
      <c r="C856" s="68" t="s">
        <v>377</v>
      </c>
      <c r="D856" t="s">
        <v>2339</v>
      </c>
      <c r="E856" t="s">
        <v>2338</v>
      </c>
      <c r="F856" s="103" t="s">
        <v>2338</v>
      </c>
      <c r="G856" s="68" t="s">
        <v>400</v>
      </c>
      <c r="H856" s="69" t="str">
        <f>IF(Proc[[#This Row],[type]]="LFF (MDG-F)",MID(Proc[[#This Row],[Obj]],13,10),"")</f>
        <v/>
      </c>
      <c r="J856" s="69" t="b">
        <f>Proc[[#This Row],[Requested]]=Proc[[#This Row],[CurrentParent]]</f>
        <v>1</v>
      </c>
      <c r="K856" s="144" t="str">
        <f>IF(Proc[[#This Row],[Author]]="Marcela Urrego",VLOOKUP(LEFT(Proc[[#This Row],[Requested]],1),Table3[#All],2,0),VLOOKUP(Proc[[#This Row],[Author]],Table4[],2,0))</f>
        <v>HC</v>
      </c>
      <c r="L856" s="32" t="s">
        <v>509</v>
      </c>
      <c r="M856" s="71">
        <v>45720.458009259259</v>
      </c>
      <c r="O856" s="71">
        <v>45722</v>
      </c>
      <c r="P856" s="70" t="str">
        <f ca="1">IF(Proc[[#This Row],[DaysAgeing]]&gt;5,"yep","on track")</f>
        <v>on track</v>
      </c>
      <c r="Q856" s="3">
        <f ca="1">IF(Proc[[#This Row],[DateClosed]]="",ABS(NETWORKDAYS(Proc[[#This Row],[DateOpened]],TODAY()))-1,ABS(NETWORKDAYS(Proc[[#This Row],[DateOpened]],Proc[[#This Row],[DateClosed]]))-1)</f>
        <v>2</v>
      </c>
      <c r="R856" s="68" t="s">
        <v>415</v>
      </c>
      <c r="S856" s="94" t="e">
        <f>VLOOKUP(Proc[[#This Row],[Obj]],#REF!,2,0)</f>
        <v>#REF!</v>
      </c>
    </row>
    <row r="857" spans="1:19" hidden="1">
      <c r="A857" s="68" t="s">
        <v>2344</v>
      </c>
      <c r="B857" s="149" t="str">
        <f>IFERROR(VLOOKUP(Proc[[#This Row],[App]],Table2[],3,0),"open")</f>
        <v>ok</v>
      </c>
      <c r="C857" s="68" t="s">
        <v>377</v>
      </c>
      <c r="D857" t="s">
        <v>2340</v>
      </c>
      <c r="E857" t="s">
        <v>2338</v>
      </c>
      <c r="F857" s="103" t="s">
        <v>2338</v>
      </c>
      <c r="G857" s="68" t="s">
        <v>400</v>
      </c>
      <c r="H857" s="69" t="str">
        <f>IF(Proc[[#This Row],[type]]="LFF (MDG-F)",MID(Proc[[#This Row],[Obj]],13,10),"")</f>
        <v/>
      </c>
      <c r="J857" s="69" t="b">
        <f>Proc[[#This Row],[Requested]]=Proc[[#This Row],[CurrentParent]]</f>
        <v>1</v>
      </c>
      <c r="K857" s="144" t="str">
        <f>IF(Proc[[#This Row],[Author]]="Marcela Urrego",VLOOKUP(LEFT(Proc[[#This Row],[Requested]],1),Table3[#All],2,0),VLOOKUP(Proc[[#This Row],[Author]],Table4[],2,0))</f>
        <v>HC</v>
      </c>
      <c r="L857" s="32" t="s">
        <v>509</v>
      </c>
      <c r="M857" s="71">
        <v>45720.458009259259</v>
      </c>
      <c r="O857" s="71">
        <v>45722</v>
      </c>
      <c r="P857" s="70" t="str">
        <f ca="1">IF(Proc[[#This Row],[DaysAgeing]]&gt;5,"yep","on track")</f>
        <v>on track</v>
      </c>
      <c r="Q857" s="3">
        <f ca="1">IF(Proc[[#This Row],[DateClosed]]="",ABS(NETWORKDAYS(Proc[[#This Row],[DateOpened]],TODAY()))-1,ABS(NETWORKDAYS(Proc[[#This Row],[DateOpened]],Proc[[#This Row],[DateClosed]]))-1)</f>
        <v>2</v>
      </c>
      <c r="R857" s="68" t="s">
        <v>415</v>
      </c>
      <c r="S857" s="94" t="e">
        <f>VLOOKUP(Proc[[#This Row],[Obj]],#REF!,2,0)</f>
        <v>#REF!</v>
      </c>
    </row>
    <row r="858" spans="1:19" hidden="1">
      <c r="A858" s="68" t="s">
        <v>2344</v>
      </c>
      <c r="B858" s="149" t="str">
        <f>IFERROR(VLOOKUP(Proc[[#This Row],[App]],Table2[],3,0),"open")</f>
        <v>ok</v>
      </c>
      <c r="C858" s="68" t="s">
        <v>369</v>
      </c>
      <c r="D858" t="s">
        <v>2341</v>
      </c>
      <c r="E858" t="s">
        <v>2338</v>
      </c>
      <c r="F858" s="117" t="s">
        <v>2338</v>
      </c>
      <c r="G858" s="68" t="s">
        <v>400</v>
      </c>
      <c r="H858" s="69" t="str">
        <f>IF(Proc[[#This Row],[type]]="LFF (MDG-F)",MID(Proc[[#This Row],[Obj]],13,10),"")</f>
        <v/>
      </c>
      <c r="J858" s="69" t="b">
        <f>Proc[[#This Row],[Requested]]=Proc[[#This Row],[CurrentParent]]</f>
        <v>1</v>
      </c>
      <c r="K858" s="144" t="str">
        <f>IF(Proc[[#This Row],[Author]]="Marcela Urrego",VLOOKUP(LEFT(Proc[[#This Row],[Requested]],1),Table3[#All],2,0),VLOOKUP(Proc[[#This Row],[Author]],Table4[],2,0))</f>
        <v>HC</v>
      </c>
      <c r="L858" s="32" t="s">
        <v>509</v>
      </c>
      <c r="M858" s="71">
        <v>45720.458009259259</v>
      </c>
      <c r="N858" s="71">
        <v>45722</v>
      </c>
      <c r="O858" s="71">
        <v>45722</v>
      </c>
      <c r="P858" s="70" t="str">
        <f ca="1">IF(Proc[[#This Row],[DaysAgeing]]&gt;5,"yep","on track")</f>
        <v>on track</v>
      </c>
      <c r="Q858" s="3">
        <f ca="1">IF(Proc[[#This Row],[DateClosed]]="",ABS(NETWORKDAYS(Proc[[#This Row],[DateOpened]],TODAY()))-1,ABS(NETWORKDAYS(Proc[[#This Row],[DateOpened]],Proc[[#This Row],[DateClosed]]))-1)</f>
        <v>2</v>
      </c>
      <c r="R858" s="68" t="s">
        <v>415</v>
      </c>
      <c r="S858" s="69"/>
    </row>
    <row r="859" spans="1:19" hidden="1">
      <c r="A859" t="s">
        <v>2344</v>
      </c>
      <c r="B859" s="149" t="str">
        <f>IFERROR(VLOOKUP(Proc[[#This Row],[App]],Table2[],3,0),"open")</f>
        <v>ok</v>
      </c>
      <c r="C859" s="68" t="s">
        <v>369</v>
      </c>
      <c r="D859" t="s">
        <v>2342</v>
      </c>
      <c r="E859" t="s">
        <v>2338</v>
      </c>
      <c r="F859" s="117" t="s">
        <v>2338</v>
      </c>
      <c r="G859" t="s">
        <v>400</v>
      </c>
      <c r="H859" s="69" t="str">
        <f>IF(Proc[[#This Row],[type]]="LFF (MDG-F)",MID(Proc[[#This Row],[Obj]],13,10),"")</f>
        <v/>
      </c>
      <c r="J859" s="69" t="b">
        <f>Proc[[#This Row],[Requested]]=Proc[[#This Row],[CurrentParent]]</f>
        <v>1</v>
      </c>
      <c r="K859" s="144" t="str">
        <f>IF(Proc[[#This Row],[Author]]="Marcela Urrego",VLOOKUP(LEFT(Proc[[#This Row],[Requested]],1),Table3[#All],2,0),VLOOKUP(Proc[[#This Row],[Author]],Table4[],2,0))</f>
        <v>HC</v>
      </c>
      <c r="L859" s="32" t="s">
        <v>509</v>
      </c>
      <c r="M859" s="71">
        <v>45720.458009259259</v>
      </c>
      <c r="N859" s="71">
        <v>45722</v>
      </c>
      <c r="O859" s="71">
        <v>45722</v>
      </c>
      <c r="P859" s="70" t="str">
        <f ca="1">IF(Proc[[#This Row],[DaysAgeing]]&gt;5,"yep","on track")</f>
        <v>on track</v>
      </c>
      <c r="Q859" s="3">
        <f ca="1">IF(Proc[[#This Row],[DateClosed]]="",ABS(NETWORKDAYS(Proc[[#This Row],[DateOpened]],TODAY()))-1,ABS(NETWORKDAYS(Proc[[#This Row],[DateOpened]],Proc[[#This Row],[DateClosed]]))-1)</f>
        <v>2</v>
      </c>
      <c r="R859" s="72" t="s">
        <v>415</v>
      </c>
      <c r="S859" s="69"/>
    </row>
    <row r="860" spans="1:19" hidden="1">
      <c r="A860" t="s">
        <v>2344</v>
      </c>
      <c r="B860" s="149" t="str">
        <f>IFERROR(VLOOKUP(Proc[[#This Row],[App]],Table2[],3,0),"open")</f>
        <v>ok</v>
      </c>
      <c r="C860" s="68" t="s">
        <v>369</v>
      </c>
      <c r="D860" t="s">
        <v>2343</v>
      </c>
      <c r="E860" t="s">
        <v>2338</v>
      </c>
      <c r="F860" s="117" t="s">
        <v>2338</v>
      </c>
      <c r="G860" s="68" t="s">
        <v>400</v>
      </c>
      <c r="H860" s="69" t="str">
        <f>IF(Proc[[#This Row],[type]]="LFF (MDG-F)",MID(Proc[[#This Row],[Obj]],13,10),"")</f>
        <v/>
      </c>
      <c r="I860" s="72"/>
      <c r="J860" s="69" t="b">
        <f>Proc[[#This Row],[Requested]]=Proc[[#This Row],[CurrentParent]]</f>
        <v>1</v>
      </c>
      <c r="K860" s="144" t="str">
        <f>IF(Proc[[#This Row],[Author]]="Marcela Urrego",VLOOKUP(LEFT(Proc[[#This Row],[Requested]],1),Table3[#All],2,0),VLOOKUP(Proc[[#This Row],[Author]],Table4[],2,0))</f>
        <v>HC</v>
      </c>
      <c r="L860" s="32" t="s">
        <v>509</v>
      </c>
      <c r="M860" s="71">
        <v>45720.458009259259</v>
      </c>
      <c r="N860" s="71">
        <v>45722</v>
      </c>
      <c r="O860" s="71">
        <v>45722</v>
      </c>
      <c r="P860" s="70" t="str">
        <f ca="1">IF(Proc[[#This Row],[DaysAgeing]]&gt;5,"yep","on track")</f>
        <v>on track</v>
      </c>
      <c r="Q860" s="3">
        <f ca="1">IF(Proc[[#This Row],[DateClosed]]="",ABS(NETWORKDAYS(Proc[[#This Row],[DateOpened]],TODAY()))-1,ABS(NETWORKDAYS(Proc[[#This Row],[DateOpened]],Proc[[#This Row],[DateClosed]]))-1)</f>
        <v>2</v>
      </c>
      <c r="R860" s="72" t="s">
        <v>415</v>
      </c>
      <c r="S860" s="69"/>
    </row>
    <row r="861" spans="1:19" hidden="1">
      <c r="A861" t="s">
        <v>2333</v>
      </c>
      <c r="B861" s="149" t="str">
        <f>IFERROR(VLOOKUP(Proc[[#This Row],[App]],Table2[],3,0),"open")</f>
        <v>ok</v>
      </c>
      <c r="C861" s="68" t="s">
        <v>369</v>
      </c>
      <c r="D861" t="s">
        <v>2314</v>
      </c>
      <c r="E861" t="s">
        <v>662</v>
      </c>
      <c r="F861" s="117" t="s">
        <v>662</v>
      </c>
      <c r="G861" s="68" t="s">
        <v>400</v>
      </c>
      <c r="H861" s="69" t="str">
        <f>IF(Proc[[#This Row],[type]]="LFF (MDG-F)",MID(Proc[[#This Row],[Obj]],13,10),"")</f>
        <v/>
      </c>
      <c r="I861" s="72"/>
      <c r="J861" s="69" t="b">
        <f>Proc[[#This Row],[Requested]]=Proc[[#This Row],[CurrentParent]]</f>
        <v>1</v>
      </c>
      <c r="K861" s="144" t="str">
        <f>IF(Proc[[#This Row],[Author]]="Marcela Urrego",VLOOKUP(LEFT(Proc[[#This Row],[Requested]],1),Table3[#All],2,0),VLOOKUP(Proc[[#This Row],[Author]],Table4[],2,0))</f>
        <v>MGF</v>
      </c>
      <c r="L861" s="32" t="s">
        <v>509</v>
      </c>
      <c r="M861" s="71">
        <v>45720.607928240737</v>
      </c>
      <c r="P861" s="70" t="str">
        <f ca="1">IF(Proc[[#This Row],[DaysAgeing]]&gt;5,"yep","on track")</f>
        <v>yep</v>
      </c>
      <c r="Q861" s="3">
        <f ca="1">IF(Proc[[#This Row],[DateClosed]]="",ABS(NETWORKDAYS(Proc[[#This Row],[DateOpened]],TODAY()))-1,ABS(NETWORKDAYS(Proc[[#This Row],[DateOpened]],Proc[[#This Row],[DateClosed]]))-1)</f>
        <v>208</v>
      </c>
      <c r="R861" s="70" t="s">
        <v>1459</v>
      </c>
      <c r="S861" s="69"/>
    </row>
    <row r="862" spans="1:19" hidden="1">
      <c r="A862" t="s">
        <v>2333</v>
      </c>
      <c r="B862" s="149" t="str">
        <f>IFERROR(VLOOKUP(Proc[[#This Row],[App]],Table2[],3,0),"open")</f>
        <v>ok</v>
      </c>
      <c r="C862" t="s">
        <v>369</v>
      </c>
      <c r="D862" t="s">
        <v>2315</v>
      </c>
      <c r="E862" t="s">
        <v>427</v>
      </c>
      <c r="F862" s="117" t="s">
        <v>427</v>
      </c>
      <c r="G862" s="68" t="s">
        <v>400</v>
      </c>
      <c r="H862" s="69" t="str">
        <f>IF(Proc[[#This Row],[type]]="LFF (MDG-F)",MID(Proc[[#This Row],[Obj]],13,10),"")</f>
        <v/>
      </c>
      <c r="J862" s="69" t="b">
        <f>Proc[[#This Row],[Requested]]=Proc[[#This Row],[CurrentParent]]</f>
        <v>1</v>
      </c>
      <c r="K862" s="144" t="str">
        <f>IF(Proc[[#This Row],[Author]]="Marcela Urrego",VLOOKUP(LEFT(Proc[[#This Row],[Requested]],1),Table3[#All],2,0),VLOOKUP(Proc[[#This Row],[Author]],Table4[],2,0))</f>
        <v>MGF</v>
      </c>
      <c r="L862" s="32" t="s">
        <v>509</v>
      </c>
      <c r="M862" s="71">
        <v>45720.607928240737</v>
      </c>
      <c r="P862" s="70" t="str">
        <f ca="1">IF(Proc[[#This Row],[DaysAgeing]]&gt;5,"yep","on track")</f>
        <v>yep</v>
      </c>
      <c r="Q862" s="3">
        <f ca="1">IF(Proc[[#This Row],[DateClosed]]="",ABS(NETWORKDAYS(Proc[[#This Row],[DateOpened]],TODAY()))-1,ABS(NETWORKDAYS(Proc[[#This Row],[DateOpened]],Proc[[#This Row],[DateClosed]]))-1)</f>
        <v>208</v>
      </c>
      <c r="R862" s="70" t="s">
        <v>1459</v>
      </c>
      <c r="S862" s="69"/>
    </row>
    <row r="863" spans="1:19" hidden="1">
      <c r="A863" s="68" t="s">
        <v>2333</v>
      </c>
      <c r="B863" s="149" t="str">
        <f>IFERROR(VLOOKUP(Proc[[#This Row],[App]],Table2[],3,0),"open")</f>
        <v>ok</v>
      </c>
      <c r="C863" s="68" t="s">
        <v>369</v>
      </c>
      <c r="D863" t="s">
        <v>2316</v>
      </c>
      <c r="E863" t="s">
        <v>662</v>
      </c>
      <c r="F863" s="117" t="s">
        <v>662</v>
      </c>
      <c r="G863" s="68" t="s">
        <v>400</v>
      </c>
      <c r="H863" s="69" t="str">
        <f>IF(Proc[[#This Row],[type]]="LFF (MDG-F)",MID(Proc[[#This Row],[Obj]],13,10),"")</f>
        <v/>
      </c>
      <c r="J863" s="69" t="b">
        <f>Proc[[#This Row],[Requested]]=Proc[[#This Row],[CurrentParent]]</f>
        <v>1</v>
      </c>
      <c r="K863" s="144" t="str">
        <f>IF(Proc[[#This Row],[Author]]="Marcela Urrego",VLOOKUP(LEFT(Proc[[#This Row],[Requested]],1),Table3[#All],2,0),VLOOKUP(Proc[[#This Row],[Author]],Table4[],2,0))</f>
        <v>MGF</v>
      </c>
      <c r="L863" s="32" t="s">
        <v>509</v>
      </c>
      <c r="M863" s="71">
        <v>45720.607928240737</v>
      </c>
      <c r="P863" s="70" t="str">
        <f ca="1">IF(Proc[[#This Row],[DaysAgeing]]&gt;5,"yep","on track")</f>
        <v>yep</v>
      </c>
      <c r="Q863" s="3">
        <f ca="1">IF(Proc[[#This Row],[DateClosed]]="",ABS(NETWORKDAYS(Proc[[#This Row],[DateOpened]],TODAY()))-1,ABS(NETWORKDAYS(Proc[[#This Row],[DateOpened]],Proc[[#This Row],[DateClosed]]))-1)</f>
        <v>208</v>
      </c>
      <c r="R863" s="70" t="s">
        <v>1459</v>
      </c>
      <c r="S863" s="69"/>
    </row>
    <row r="864" spans="1:19" hidden="1">
      <c r="A864" s="68" t="s">
        <v>2333</v>
      </c>
      <c r="B864" s="149" t="str">
        <f>IFERROR(VLOOKUP(Proc[[#This Row],[App]],Table2[],3,0),"open")</f>
        <v>ok</v>
      </c>
      <c r="C864" s="68" t="s">
        <v>369</v>
      </c>
      <c r="D864" t="s">
        <v>2317</v>
      </c>
      <c r="E864" t="s">
        <v>1458</v>
      </c>
      <c r="F864" s="117" t="s">
        <v>1458</v>
      </c>
      <c r="G864" s="68" t="s">
        <v>406</v>
      </c>
      <c r="H864" s="69" t="str">
        <f>IF(Proc[[#This Row],[type]]="LFF (MDG-F)",MID(Proc[[#This Row],[Obj]],13,10),"")</f>
        <v>DE10513301</v>
      </c>
      <c r="J864" s="69" t="b">
        <f>Proc[[#This Row],[Requested]]=Proc[[#This Row],[CurrentParent]]</f>
        <v>1</v>
      </c>
      <c r="K864" s="144" t="str">
        <f>IF(Proc[[#This Row],[Author]]="Marcela Urrego",VLOOKUP(LEFT(Proc[[#This Row],[Requested]],1),Table3[#All],2,0),VLOOKUP(Proc[[#This Row],[Author]],Table4[],2,0))</f>
        <v>MGF</v>
      </c>
      <c r="L864" s="32" t="s">
        <v>509</v>
      </c>
      <c r="M864" s="71">
        <v>45720.607928240737</v>
      </c>
      <c r="P864" s="70" t="str">
        <f ca="1">IF(Proc[[#This Row],[DaysAgeing]]&gt;5,"yep","on track")</f>
        <v>yep</v>
      </c>
      <c r="Q864" s="3">
        <f ca="1">IF(Proc[[#This Row],[DateClosed]]="",ABS(NETWORKDAYS(Proc[[#This Row],[DateOpened]],TODAY()))-1,ABS(NETWORKDAYS(Proc[[#This Row],[DateOpened]],Proc[[#This Row],[DateClosed]]))-1)</f>
        <v>208</v>
      </c>
      <c r="R864" s="70" t="s">
        <v>1459</v>
      </c>
      <c r="S864" s="69"/>
    </row>
    <row r="865" spans="1:19" hidden="1">
      <c r="A865" s="68" t="s">
        <v>2333</v>
      </c>
      <c r="B865" s="149" t="str">
        <f>IFERROR(VLOOKUP(Proc[[#This Row],[App]],Table2[],3,0),"open")</f>
        <v>ok</v>
      </c>
      <c r="C865" s="68" t="s">
        <v>369</v>
      </c>
      <c r="D865" t="s">
        <v>2318</v>
      </c>
      <c r="E865" t="s">
        <v>2334</v>
      </c>
      <c r="F865" s="117" t="s">
        <v>2334</v>
      </c>
      <c r="G865" s="68" t="s">
        <v>406</v>
      </c>
      <c r="H865" s="69" t="str">
        <f>IF(Proc[[#This Row],[type]]="LFF (MDG-F)",MID(Proc[[#This Row],[Obj]],13,10),"")</f>
        <v>DE10533004</v>
      </c>
      <c r="J865" s="69" t="b">
        <f>Proc[[#This Row],[Requested]]=Proc[[#This Row],[CurrentParent]]</f>
        <v>1</v>
      </c>
      <c r="K865" s="144" t="str">
        <f>IF(Proc[[#This Row],[Author]]="Marcela Urrego",VLOOKUP(LEFT(Proc[[#This Row],[Requested]],1),Table3[#All],2,0),VLOOKUP(Proc[[#This Row],[Author]],Table4[],2,0))</f>
        <v>MGF</v>
      </c>
      <c r="L865" s="32" t="s">
        <v>509</v>
      </c>
      <c r="M865" s="71">
        <v>45720.607928240737</v>
      </c>
      <c r="P865" s="70" t="str">
        <f ca="1">IF(Proc[[#This Row],[DaysAgeing]]&gt;5,"yep","on track")</f>
        <v>yep</v>
      </c>
      <c r="Q865" s="3">
        <f ca="1">IF(Proc[[#This Row],[DateClosed]]="",ABS(NETWORKDAYS(Proc[[#This Row],[DateOpened]],TODAY()))-1,ABS(NETWORKDAYS(Proc[[#This Row],[DateOpened]],Proc[[#This Row],[DateClosed]]))-1)</f>
        <v>208</v>
      </c>
      <c r="R865" s="70" t="s">
        <v>1459</v>
      </c>
      <c r="S865" s="69"/>
    </row>
    <row r="866" spans="1:19" hidden="1">
      <c r="A866" s="68" t="s">
        <v>2333</v>
      </c>
      <c r="B866" s="149" t="str">
        <f>IFERROR(VLOOKUP(Proc[[#This Row],[App]],Table2[],3,0),"open")</f>
        <v>ok</v>
      </c>
      <c r="C866" s="68" t="s">
        <v>369</v>
      </c>
      <c r="D866" t="s">
        <v>2319</v>
      </c>
      <c r="E866" t="s">
        <v>430</v>
      </c>
      <c r="F866" s="117" t="s">
        <v>430</v>
      </c>
      <c r="G866" s="68" t="s">
        <v>406</v>
      </c>
      <c r="H866" s="69" t="str">
        <f>IF(Proc[[#This Row],[type]]="LFF (MDG-F)",MID(Proc[[#This Row],[Obj]],13,10),"")</f>
        <v>DE65GIT032</v>
      </c>
      <c r="I866" t="s">
        <v>2575</v>
      </c>
      <c r="J866" s="69" t="b">
        <f>Proc[[#This Row],[Requested]]=Proc[[#This Row],[CurrentParent]]</f>
        <v>1</v>
      </c>
      <c r="K866" s="144" t="str">
        <f>IF(Proc[[#This Row],[Author]]="Marcela Urrego",VLOOKUP(LEFT(Proc[[#This Row],[Requested]],1),Table3[#All],2,0),VLOOKUP(Proc[[#This Row],[Author]],Table4[],2,0))</f>
        <v>MGF</v>
      </c>
      <c r="L866" s="32" t="s">
        <v>509</v>
      </c>
      <c r="M866" s="71">
        <v>45720.607928240737</v>
      </c>
      <c r="O866" s="71">
        <v>45749</v>
      </c>
      <c r="P866" s="70" t="str">
        <f ca="1">IF(Proc[[#This Row],[DaysAgeing]]&gt;5,"yep","on track")</f>
        <v>yep</v>
      </c>
      <c r="Q866" s="3">
        <f ca="1">IF(Proc[[#This Row],[DateClosed]]="",ABS(NETWORKDAYS(Proc[[#This Row],[DateOpened]],TODAY()))-1,ABS(NETWORKDAYS(Proc[[#This Row],[DateOpened]],Proc[[#This Row],[DateClosed]]))-1)</f>
        <v>21</v>
      </c>
      <c r="R866" s="70" t="s">
        <v>1459</v>
      </c>
      <c r="S866" s="69"/>
    </row>
    <row r="867" spans="1:19" hidden="1">
      <c r="A867" s="68" t="s">
        <v>2333</v>
      </c>
      <c r="B867" s="149" t="str">
        <f>IFERROR(VLOOKUP(Proc[[#This Row],[App]],Table2[],3,0),"open")</f>
        <v>ok</v>
      </c>
      <c r="C867" s="68" t="s">
        <v>369</v>
      </c>
      <c r="D867" t="s">
        <v>2320</v>
      </c>
      <c r="E867" t="s">
        <v>2335</v>
      </c>
      <c r="F867" s="117" t="s">
        <v>2335</v>
      </c>
      <c r="G867" s="68" t="s">
        <v>406</v>
      </c>
      <c r="H867" s="69" t="str">
        <f>IF(Proc[[#This Row],[type]]="LFF (MDG-F)",MID(Proc[[#This Row],[Obj]],13,10),"")</f>
        <v>VN50GIT050</v>
      </c>
      <c r="J867" s="69" t="b">
        <f>Proc[[#This Row],[Requested]]=Proc[[#This Row],[CurrentParent]]</f>
        <v>1</v>
      </c>
      <c r="K867" s="144" t="str">
        <f>IF(Proc[[#This Row],[Author]]="Marcela Urrego",VLOOKUP(LEFT(Proc[[#This Row],[Requested]],1),Table3[#All],2,0),VLOOKUP(Proc[[#This Row],[Author]],Table4[],2,0))</f>
        <v>MGF</v>
      </c>
      <c r="L867" s="32" t="s">
        <v>509</v>
      </c>
      <c r="M867" s="71">
        <v>45720.607928240737</v>
      </c>
      <c r="P867" s="70" t="str">
        <f ca="1">IF(Proc[[#This Row],[DaysAgeing]]&gt;5,"yep","on track")</f>
        <v>yep</v>
      </c>
      <c r="Q867" s="3">
        <f ca="1">IF(Proc[[#This Row],[DateClosed]]="",ABS(NETWORKDAYS(Proc[[#This Row],[DateOpened]],TODAY()))-1,ABS(NETWORKDAYS(Proc[[#This Row],[DateOpened]],Proc[[#This Row],[DateClosed]]))-1)</f>
        <v>208</v>
      </c>
      <c r="R867" s="70" t="s">
        <v>1459</v>
      </c>
      <c r="S867" s="69"/>
    </row>
    <row r="868" spans="1:19" hidden="1">
      <c r="A868" s="68" t="s">
        <v>2333</v>
      </c>
      <c r="B868" s="149" t="str">
        <f>IFERROR(VLOOKUP(Proc[[#This Row],[App]],Table2[],3,0),"open")</f>
        <v>ok</v>
      </c>
      <c r="C868" s="68" t="s">
        <v>369</v>
      </c>
      <c r="D868" t="s">
        <v>2321</v>
      </c>
      <c r="E868" t="s">
        <v>427</v>
      </c>
      <c r="F868" s="117" t="s">
        <v>427</v>
      </c>
      <c r="G868" s="68" t="s">
        <v>406</v>
      </c>
      <c r="H868" s="69" t="str">
        <f>IF(Proc[[#This Row],[type]]="LFF (MDG-F)",MID(Proc[[#This Row],[Obj]],13,10),"")</f>
        <v>ZA50GIT11B</v>
      </c>
      <c r="J868" s="69" t="b">
        <f>Proc[[#This Row],[Requested]]=Proc[[#This Row],[CurrentParent]]</f>
        <v>1</v>
      </c>
      <c r="K868" s="144" t="str">
        <f>IF(Proc[[#This Row],[Author]]="Marcela Urrego",VLOOKUP(LEFT(Proc[[#This Row],[Requested]],1),Table3[#All],2,0),VLOOKUP(Proc[[#This Row],[Author]],Table4[],2,0))</f>
        <v>MGF</v>
      </c>
      <c r="L868" s="32" t="s">
        <v>509</v>
      </c>
      <c r="M868" s="71">
        <v>45720.607928240737</v>
      </c>
      <c r="P868" s="70" t="str">
        <f ca="1">IF(Proc[[#This Row],[DaysAgeing]]&gt;5,"yep","on track")</f>
        <v>yep</v>
      </c>
      <c r="Q868" s="3">
        <f ca="1">IF(Proc[[#This Row],[DateClosed]]="",ABS(NETWORKDAYS(Proc[[#This Row],[DateOpened]],TODAY()))-1,ABS(NETWORKDAYS(Proc[[#This Row],[DateOpened]],Proc[[#This Row],[DateClosed]]))-1)</f>
        <v>208</v>
      </c>
      <c r="R868" s="70" t="s">
        <v>1459</v>
      </c>
      <c r="S868" s="69"/>
    </row>
    <row r="869" spans="1:19" hidden="1">
      <c r="A869" s="68" t="s">
        <v>2333</v>
      </c>
      <c r="B869" s="149" t="str">
        <f>IFERROR(VLOOKUP(Proc[[#This Row],[App]],Table2[],3,0),"open")</f>
        <v>ok</v>
      </c>
      <c r="C869" s="68" t="s">
        <v>369</v>
      </c>
      <c r="D869" t="s">
        <v>2322</v>
      </c>
      <c r="E869" t="s">
        <v>1458</v>
      </c>
      <c r="F869" s="117" t="s">
        <v>1458</v>
      </c>
      <c r="G869" s="68" t="s">
        <v>406</v>
      </c>
      <c r="H869" s="69" t="str">
        <f>IF(Proc[[#This Row],[type]]="LFF (MDG-F)",MID(Proc[[#This Row],[Obj]],13,10),"")</f>
        <v>US10GIT044</v>
      </c>
      <c r="J869" s="69" t="b">
        <f>Proc[[#This Row],[Requested]]=Proc[[#This Row],[CurrentParent]]</f>
        <v>1</v>
      </c>
      <c r="K869" s="144" t="str">
        <f>IF(Proc[[#This Row],[Author]]="Marcela Urrego",VLOOKUP(LEFT(Proc[[#This Row],[Requested]],1),Table3[#All],2,0),VLOOKUP(Proc[[#This Row],[Author]],Table4[],2,0))</f>
        <v>MGF</v>
      </c>
      <c r="L869" s="32" t="s">
        <v>509</v>
      </c>
      <c r="M869" s="71">
        <v>45720.607928240737</v>
      </c>
      <c r="P869" s="70" t="str">
        <f ca="1">IF(Proc[[#This Row],[DaysAgeing]]&gt;5,"yep","on track")</f>
        <v>yep</v>
      </c>
      <c r="Q869" s="3">
        <f ca="1">IF(Proc[[#This Row],[DateClosed]]="",ABS(NETWORKDAYS(Proc[[#This Row],[DateOpened]],TODAY()))-1,ABS(NETWORKDAYS(Proc[[#This Row],[DateOpened]],Proc[[#This Row],[DateClosed]]))-1)</f>
        <v>208</v>
      </c>
      <c r="R869" s="70" t="s">
        <v>1459</v>
      </c>
      <c r="S869" s="69"/>
    </row>
    <row r="870" spans="1:19" hidden="1">
      <c r="A870" s="68" t="s">
        <v>2333</v>
      </c>
      <c r="B870" s="149" t="str">
        <f>IFERROR(VLOOKUP(Proc[[#This Row],[App]],Table2[],3,0),"open")</f>
        <v>ok</v>
      </c>
      <c r="C870" s="68" t="s">
        <v>369</v>
      </c>
      <c r="D870" t="s">
        <v>2323</v>
      </c>
      <c r="E870" t="s">
        <v>1458</v>
      </c>
      <c r="F870" s="117" t="s">
        <v>1458</v>
      </c>
      <c r="G870" s="68" t="s">
        <v>400</v>
      </c>
      <c r="H870" s="69"/>
      <c r="J870" s="69" t="b">
        <f>Proc[[#This Row],[Requested]]=Proc[[#This Row],[CurrentParent]]</f>
        <v>1</v>
      </c>
      <c r="K870" s="144" t="str">
        <f>IF(Proc[[#This Row],[Author]]="Marcela Urrego",VLOOKUP(LEFT(Proc[[#This Row],[Requested]],1),Table3[#All],2,0),VLOOKUP(Proc[[#This Row],[Author]],Table4[],2,0))</f>
        <v>MGF</v>
      </c>
      <c r="L870" s="32" t="s">
        <v>509</v>
      </c>
      <c r="M870" s="71">
        <v>45720.607928240737</v>
      </c>
      <c r="P870" s="70" t="str">
        <f ca="1">IF(Proc[[#This Row],[DaysAgeing]]&gt;5,"yep","on track")</f>
        <v>yep</v>
      </c>
      <c r="Q870" s="3">
        <f ca="1">IF(Proc[[#This Row],[DateClosed]]="",ABS(NETWORKDAYS(Proc[[#This Row],[DateOpened]],TODAY()))-1,ABS(NETWORKDAYS(Proc[[#This Row],[DateOpened]],Proc[[#This Row],[DateClosed]]))-1)</f>
        <v>208</v>
      </c>
      <c r="R870" s="70" t="s">
        <v>1459</v>
      </c>
      <c r="S870" s="69"/>
    </row>
    <row r="871" spans="1:19" hidden="1">
      <c r="A871" s="68" t="s">
        <v>2333</v>
      </c>
      <c r="B871" s="149" t="str">
        <f>IFERROR(VLOOKUP(Proc[[#This Row],[App]],Table2[],3,0),"open")</f>
        <v>ok</v>
      </c>
      <c r="C871" s="68" t="s">
        <v>369</v>
      </c>
      <c r="D871" t="s">
        <v>2324</v>
      </c>
      <c r="E871" t="s">
        <v>429</v>
      </c>
      <c r="F871" s="117" t="s">
        <v>429</v>
      </c>
      <c r="G871" s="68" t="s">
        <v>400</v>
      </c>
      <c r="H871" s="69" t="str">
        <f>IF(Proc[[#This Row],[type]]="LFF (MDG-F)",MID(Proc[[#This Row],[Obj]],13,10),"")</f>
        <v/>
      </c>
      <c r="J871" s="69" t="b">
        <f>Proc[[#This Row],[Requested]]=Proc[[#This Row],[CurrentParent]]</f>
        <v>1</v>
      </c>
      <c r="K871" s="144" t="str">
        <f>IF(Proc[[#This Row],[Author]]="Marcela Urrego",VLOOKUP(LEFT(Proc[[#This Row],[Requested]],1),Table3[#All],2,0),VLOOKUP(Proc[[#This Row],[Author]],Table4[],2,0))</f>
        <v>MGF</v>
      </c>
      <c r="L871" s="32" t="s">
        <v>509</v>
      </c>
      <c r="M871" s="71">
        <v>45720.607928240737</v>
      </c>
      <c r="P871" s="70" t="str">
        <f ca="1">IF(Proc[[#This Row],[DaysAgeing]]&gt;5,"yep","on track")</f>
        <v>yep</v>
      </c>
      <c r="Q871" s="3">
        <f ca="1">IF(Proc[[#This Row],[DateClosed]]="",ABS(NETWORKDAYS(Proc[[#This Row],[DateOpened]],TODAY()))-1,ABS(NETWORKDAYS(Proc[[#This Row],[DateOpened]],Proc[[#This Row],[DateClosed]]))-1)</f>
        <v>208</v>
      </c>
      <c r="R871" s="70" t="s">
        <v>1459</v>
      </c>
      <c r="S871" s="69"/>
    </row>
    <row r="872" spans="1:19" hidden="1">
      <c r="A872" s="68" t="s">
        <v>2333</v>
      </c>
      <c r="B872" s="149" t="str">
        <f>IFERROR(VLOOKUP(Proc[[#This Row],[App]],Table2[],3,0),"open")</f>
        <v>ok</v>
      </c>
      <c r="C872" s="68" t="s">
        <v>369</v>
      </c>
      <c r="D872" t="s">
        <v>2325</v>
      </c>
      <c r="E872" t="s">
        <v>1232</v>
      </c>
      <c r="F872" s="117" t="s">
        <v>1232</v>
      </c>
      <c r="G872" s="68" t="s">
        <v>400</v>
      </c>
      <c r="H872" s="69" t="str">
        <f>IF(Proc[[#This Row],[type]]="LFF (MDG-F)",MID(Proc[[#This Row],[Obj]],13,10),"")</f>
        <v/>
      </c>
      <c r="J872" s="69" t="b">
        <f>Proc[[#This Row],[Requested]]=Proc[[#This Row],[CurrentParent]]</f>
        <v>1</v>
      </c>
      <c r="K872" s="144" t="str">
        <f>IF(Proc[[#This Row],[Author]]="Marcela Urrego",VLOOKUP(LEFT(Proc[[#This Row],[Requested]],1),Table3[#All],2,0),VLOOKUP(Proc[[#This Row],[Author]],Table4[],2,0))</f>
        <v>MGF</v>
      </c>
      <c r="L872" s="32" t="s">
        <v>509</v>
      </c>
      <c r="M872" s="71">
        <v>45720.607928240737</v>
      </c>
      <c r="P872" s="70" t="str">
        <f ca="1">IF(Proc[[#This Row],[DaysAgeing]]&gt;5,"yep","on track")</f>
        <v>yep</v>
      </c>
      <c r="Q872" s="3">
        <f ca="1">IF(Proc[[#This Row],[DateClosed]]="",ABS(NETWORKDAYS(Proc[[#This Row],[DateOpened]],TODAY()))-1,ABS(NETWORKDAYS(Proc[[#This Row],[DateOpened]],Proc[[#This Row],[DateClosed]]))-1)</f>
        <v>208</v>
      </c>
      <c r="R872" s="70" t="s">
        <v>1459</v>
      </c>
      <c r="S872" s="69"/>
    </row>
    <row r="873" spans="1:19" hidden="1">
      <c r="A873" s="68" t="s">
        <v>2333</v>
      </c>
      <c r="B873" s="149" t="str">
        <f>IFERROR(VLOOKUP(Proc[[#This Row],[App]],Table2[],3,0),"open")</f>
        <v>ok</v>
      </c>
      <c r="C873" s="68" t="s">
        <v>369</v>
      </c>
      <c r="D873" t="s">
        <v>2326</v>
      </c>
      <c r="E873" t="s">
        <v>1232</v>
      </c>
      <c r="F873" s="117" t="s">
        <v>1232</v>
      </c>
      <c r="G873" s="68" t="s">
        <v>400</v>
      </c>
      <c r="H873" s="69" t="str">
        <f>IF(Proc[[#This Row],[type]]="LFF (MDG-F)",MID(Proc[[#This Row],[Obj]],13,10),"")</f>
        <v/>
      </c>
      <c r="J873" s="69" t="b">
        <f>Proc[[#This Row],[Requested]]=Proc[[#This Row],[CurrentParent]]</f>
        <v>1</v>
      </c>
      <c r="K873" s="144" t="str">
        <f>IF(Proc[[#This Row],[Author]]="Marcela Urrego",VLOOKUP(LEFT(Proc[[#This Row],[Requested]],1),Table3[#All],2,0),VLOOKUP(Proc[[#This Row],[Author]],Table4[],2,0))</f>
        <v>MGF</v>
      </c>
      <c r="L873" s="32" t="s">
        <v>509</v>
      </c>
      <c r="M873" s="71">
        <v>45720.607928240737</v>
      </c>
      <c r="P873" s="70" t="str">
        <f ca="1">IF(Proc[[#This Row],[DaysAgeing]]&gt;5,"yep","on track")</f>
        <v>yep</v>
      </c>
      <c r="Q873" s="3">
        <f ca="1">IF(Proc[[#This Row],[DateClosed]]="",ABS(NETWORKDAYS(Proc[[#This Row],[DateOpened]],TODAY()))-1,ABS(NETWORKDAYS(Proc[[#This Row],[DateOpened]],Proc[[#This Row],[DateClosed]]))-1)</f>
        <v>208</v>
      </c>
      <c r="R873" s="70" t="s">
        <v>1459</v>
      </c>
      <c r="S873" s="69"/>
    </row>
    <row r="874" spans="1:19" hidden="1">
      <c r="A874" s="68" t="s">
        <v>2333</v>
      </c>
      <c r="B874" s="149" t="str">
        <f>IFERROR(VLOOKUP(Proc[[#This Row],[App]],Table2[],3,0),"open")</f>
        <v>ok</v>
      </c>
      <c r="C874" s="68" t="s">
        <v>369</v>
      </c>
      <c r="D874" t="s">
        <v>2327</v>
      </c>
      <c r="E874" t="s">
        <v>429</v>
      </c>
      <c r="F874" s="117" t="s">
        <v>429</v>
      </c>
      <c r="G874" s="68" t="s">
        <v>400</v>
      </c>
      <c r="H874" s="69" t="str">
        <f>IF(Proc[[#This Row],[type]]="LFF (MDG-F)",MID(Proc[[#This Row],[Obj]],13,10),"")</f>
        <v/>
      </c>
      <c r="J874" s="69" t="b">
        <f>Proc[[#This Row],[Requested]]=Proc[[#This Row],[CurrentParent]]</f>
        <v>1</v>
      </c>
      <c r="K874" s="144" t="str">
        <f>IF(Proc[[#This Row],[Author]]="Marcela Urrego",VLOOKUP(LEFT(Proc[[#This Row],[Requested]],1),Table3[#All],2,0),VLOOKUP(Proc[[#This Row],[Author]],Table4[],2,0))</f>
        <v>MGF</v>
      </c>
      <c r="L874" s="32" t="s">
        <v>509</v>
      </c>
      <c r="M874" s="71">
        <v>45720.607928240737</v>
      </c>
      <c r="P874" s="70" t="str">
        <f ca="1">IF(Proc[[#This Row],[DaysAgeing]]&gt;5,"yep","on track")</f>
        <v>yep</v>
      </c>
      <c r="Q874" s="3">
        <f ca="1">IF(Proc[[#This Row],[DateClosed]]="",ABS(NETWORKDAYS(Proc[[#This Row],[DateOpened]],TODAY()))-1,ABS(NETWORKDAYS(Proc[[#This Row],[DateOpened]],Proc[[#This Row],[DateClosed]]))-1)</f>
        <v>208</v>
      </c>
      <c r="R874" s="70" t="s">
        <v>1459</v>
      </c>
      <c r="S874" s="69"/>
    </row>
    <row r="875" spans="1:19" hidden="1">
      <c r="A875" s="68" t="s">
        <v>2333</v>
      </c>
      <c r="B875" s="149" t="str">
        <f>IFERROR(VLOOKUP(Proc[[#This Row],[App]],Table2[],3,0),"open")</f>
        <v>ok</v>
      </c>
      <c r="C875" s="68" t="s">
        <v>369</v>
      </c>
      <c r="D875" t="s">
        <v>2328</v>
      </c>
      <c r="E875" t="s">
        <v>1458</v>
      </c>
      <c r="F875" s="117" t="s">
        <v>1458</v>
      </c>
      <c r="G875" s="68" t="s">
        <v>400</v>
      </c>
      <c r="H875" s="69" t="str">
        <f>IF(Proc[[#This Row],[type]]="LFF (MDG-F)",MID(Proc[[#This Row],[Obj]],13,10),"")</f>
        <v/>
      </c>
      <c r="J875" s="69" t="b">
        <f>Proc[[#This Row],[Requested]]=Proc[[#This Row],[CurrentParent]]</f>
        <v>1</v>
      </c>
      <c r="K875" s="144" t="str">
        <f>IF(Proc[[#This Row],[Author]]="Marcela Urrego",VLOOKUP(LEFT(Proc[[#This Row],[Requested]],1),Table3[#All],2,0),VLOOKUP(Proc[[#This Row],[Author]],Table4[],2,0))</f>
        <v>MGF</v>
      </c>
      <c r="L875" s="32" t="s">
        <v>509</v>
      </c>
      <c r="M875" s="71">
        <v>45720.607928240737</v>
      </c>
      <c r="P875" s="70" t="str">
        <f ca="1">IF(Proc[[#This Row],[DaysAgeing]]&gt;5,"yep","on track")</f>
        <v>yep</v>
      </c>
      <c r="Q875" s="3">
        <f ca="1">IF(Proc[[#This Row],[DateClosed]]="",ABS(NETWORKDAYS(Proc[[#This Row],[DateOpened]],TODAY()))-1,ABS(NETWORKDAYS(Proc[[#This Row],[DateOpened]],Proc[[#This Row],[DateClosed]]))-1)</f>
        <v>208</v>
      </c>
      <c r="R875" s="70" t="s">
        <v>1459</v>
      </c>
      <c r="S875" s="69"/>
    </row>
    <row r="876" spans="1:19" hidden="1">
      <c r="A876" s="68" t="s">
        <v>2333</v>
      </c>
      <c r="B876" s="149" t="str">
        <f>IFERROR(VLOOKUP(Proc[[#This Row],[App]],Table2[],3,0),"open")</f>
        <v>ok</v>
      </c>
      <c r="C876" s="68" t="s">
        <v>369</v>
      </c>
      <c r="D876" t="s">
        <v>2329</v>
      </c>
      <c r="E876" t="s">
        <v>1458</v>
      </c>
      <c r="F876" s="117" t="s">
        <v>1458</v>
      </c>
      <c r="G876" s="68" t="s">
        <v>400</v>
      </c>
      <c r="H876" s="69" t="str">
        <f>IF(Proc[[#This Row],[type]]="LFF (MDG-F)",MID(Proc[[#This Row],[Obj]],13,10),"")</f>
        <v/>
      </c>
      <c r="J876" s="69" t="b">
        <f>Proc[[#This Row],[Requested]]=Proc[[#This Row],[CurrentParent]]</f>
        <v>1</v>
      </c>
      <c r="K876" s="144" t="str">
        <f>IF(Proc[[#This Row],[Author]]="Marcela Urrego",VLOOKUP(LEFT(Proc[[#This Row],[Requested]],1),Table3[#All],2,0),VLOOKUP(Proc[[#This Row],[Author]],Table4[],2,0))</f>
        <v>MGF</v>
      </c>
      <c r="L876" s="32" t="s">
        <v>509</v>
      </c>
      <c r="M876" s="71">
        <v>45720.607928240737</v>
      </c>
      <c r="P876" s="70" t="str">
        <f ca="1">IF(Proc[[#This Row],[DaysAgeing]]&gt;5,"yep","on track")</f>
        <v>yep</v>
      </c>
      <c r="Q876" s="3">
        <f ca="1">IF(Proc[[#This Row],[DateClosed]]="",ABS(NETWORKDAYS(Proc[[#This Row],[DateOpened]],TODAY()))-1,ABS(NETWORKDAYS(Proc[[#This Row],[DateOpened]],Proc[[#This Row],[DateClosed]]))-1)</f>
        <v>208</v>
      </c>
      <c r="R876" s="70" t="s">
        <v>1459</v>
      </c>
      <c r="S876" s="69"/>
    </row>
    <row r="877" spans="1:19" hidden="1">
      <c r="A877" s="68" t="s">
        <v>2333</v>
      </c>
      <c r="B877" s="149" t="str">
        <f>IFERROR(VLOOKUP(Proc[[#This Row],[App]],Table2[],3,0),"open")</f>
        <v>ok</v>
      </c>
      <c r="C877" s="68" t="s">
        <v>369</v>
      </c>
      <c r="D877" t="s">
        <v>2330</v>
      </c>
      <c r="E877" t="s">
        <v>424</v>
      </c>
      <c r="F877" s="117" t="s">
        <v>424</v>
      </c>
      <c r="G877" s="68" t="s">
        <v>400</v>
      </c>
      <c r="H877" s="69" t="str">
        <f>IF(Proc[[#This Row],[type]]="LFF (MDG-F)",MID(Proc[[#This Row],[Obj]],13,10),"")</f>
        <v/>
      </c>
      <c r="J877" s="69" t="b">
        <f>Proc[[#This Row],[Requested]]=Proc[[#This Row],[CurrentParent]]</f>
        <v>1</v>
      </c>
      <c r="K877" s="144" t="str">
        <f>IF(Proc[[#This Row],[Author]]="Marcela Urrego",VLOOKUP(LEFT(Proc[[#This Row],[Requested]],1),Table3[#All],2,0),VLOOKUP(Proc[[#This Row],[Author]],Table4[],2,0))</f>
        <v>MGF</v>
      </c>
      <c r="L877" s="32" t="s">
        <v>509</v>
      </c>
      <c r="M877" s="71">
        <v>45720.607928240737</v>
      </c>
      <c r="P877" s="70" t="str">
        <f ca="1">IF(Proc[[#This Row],[DaysAgeing]]&gt;5,"yep","on track")</f>
        <v>yep</v>
      </c>
      <c r="Q877" s="3">
        <f ca="1">IF(Proc[[#This Row],[DateClosed]]="",ABS(NETWORKDAYS(Proc[[#This Row],[DateOpened]],TODAY()))-1,ABS(NETWORKDAYS(Proc[[#This Row],[DateOpened]],Proc[[#This Row],[DateClosed]]))-1)</f>
        <v>208</v>
      </c>
      <c r="R877" s="70" t="s">
        <v>1459</v>
      </c>
      <c r="S877" s="69"/>
    </row>
    <row r="878" spans="1:19" hidden="1">
      <c r="A878" s="68" t="s">
        <v>2333</v>
      </c>
      <c r="B878" s="149" t="str">
        <f>IFERROR(VLOOKUP(Proc[[#This Row],[App]],Table2[],3,0),"open")</f>
        <v>ok</v>
      </c>
      <c r="C878" s="68" t="s">
        <v>369</v>
      </c>
      <c r="D878" t="s">
        <v>2331</v>
      </c>
      <c r="E878" t="s">
        <v>2336</v>
      </c>
      <c r="F878" s="117" t="s">
        <v>2336</v>
      </c>
      <c r="G878" s="68" t="s">
        <v>400</v>
      </c>
      <c r="H878" s="69" t="str">
        <f>IF(Proc[[#This Row],[type]]="LFF (MDG-F)",MID(Proc[[#This Row],[Obj]],13,10),"")</f>
        <v/>
      </c>
      <c r="J878" s="69" t="b">
        <f>Proc[[#This Row],[Requested]]=Proc[[#This Row],[CurrentParent]]</f>
        <v>1</v>
      </c>
      <c r="K878" s="144" t="str">
        <f>IF(Proc[[#This Row],[Author]]="Marcela Urrego",VLOOKUP(LEFT(Proc[[#This Row],[Requested]],1),Table3[#All],2,0),VLOOKUP(Proc[[#This Row],[Author]],Table4[],2,0))</f>
        <v>MGF</v>
      </c>
      <c r="L878" s="32" t="s">
        <v>509</v>
      </c>
      <c r="M878" s="71">
        <v>45720.607928240737</v>
      </c>
      <c r="P878" s="70" t="str">
        <f ca="1">IF(Proc[[#This Row],[DaysAgeing]]&gt;5,"yep","on track")</f>
        <v>yep</v>
      </c>
      <c r="Q878" s="3">
        <f ca="1">IF(Proc[[#This Row],[DateClosed]]="",ABS(NETWORKDAYS(Proc[[#This Row],[DateOpened]],TODAY()))-1,ABS(NETWORKDAYS(Proc[[#This Row],[DateOpened]],Proc[[#This Row],[DateClosed]]))-1)</f>
        <v>208</v>
      </c>
      <c r="R878" s="70" t="s">
        <v>1459</v>
      </c>
      <c r="S878" s="69"/>
    </row>
    <row r="879" spans="1:19" hidden="1">
      <c r="A879" s="68" t="s">
        <v>2333</v>
      </c>
      <c r="B879" s="149" t="str">
        <f>IFERROR(VLOOKUP(Proc[[#This Row],[App]],Table2[],3,0),"open")</f>
        <v>ok</v>
      </c>
      <c r="C879" s="68" t="s">
        <v>369</v>
      </c>
      <c r="D879" t="s">
        <v>2332</v>
      </c>
      <c r="E879" t="s">
        <v>1458</v>
      </c>
      <c r="F879" s="117" t="s">
        <v>1458</v>
      </c>
      <c r="G879" s="68" t="s">
        <v>400</v>
      </c>
      <c r="H879" s="69" t="str">
        <f>IF(Proc[[#This Row],[type]]="LFF (MDG-F)",MID(Proc[[#This Row],[Obj]],13,10),"")</f>
        <v/>
      </c>
      <c r="J879" s="69" t="b">
        <f>Proc[[#This Row],[Requested]]=Proc[[#This Row],[CurrentParent]]</f>
        <v>1</v>
      </c>
      <c r="K879" s="144" t="str">
        <f>IF(Proc[[#This Row],[Author]]="Marcela Urrego",VLOOKUP(LEFT(Proc[[#This Row],[Requested]],1),Table3[#All],2,0),VLOOKUP(Proc[[#This Row],[Author]],Table4[],2,0))</f>
        <v>MGF</v>
      </c>
      <c r="L879" s="32" t="s">
        <v>509</v>
      </c>
      <c r="M879" s="71">
        <v>45720.607928240737</v>
      </c>
      <c r="P879" s="70" t="str">
        <f ca="1">IF(Proc[[#This Row],[DaysAgeing]]&gt;5,"yep","on track")</f>
        <v>yep</v>
      </c>
      <c r="Q879" s="3">
        <f ca="1">IF(Proc[[#This Row],[DateClosed]]="",ABS(NETWORKDAYS(Proc[[#This Row],[DateOpened]],TODAY()))-1,ABS(NETWORKDAYS(Proc[[#This Row],[DateOpened]],Proc[[#This Row],[DateClosed]]))-1)</f>
        <v>208</v>
      </c>
      <c r="R879" s="70" t="s">
        <v>1459</v>
      </c>
      <c r="S879" s="69"/>
    </row>
    <row r="880" spans="1:19" hidden="1">
      <c r="A880" t="s">
        <v>2313</v>
      </c>
      <c r="B880" s="149" t="str">
        <f>IFERROR(VLOOKUP(Proc[[#This Row],[App]],Table2[],3,0),"open")</f>
        <v>ok</v>
      </c>
      <c r="C880" t="s">
        <v>369</v>
      </c>
      <c r="D880" t="s">
        <v>2312</v>
      </c>
      <c r="E880" t="s">
        <v>1588</v>
      </c>
      <c r="F880" s="117" t="s">
        <v>1588</v>
      </c>
      <c r="G880" s="68" t="s">
        <v>406</v>
      </c>
      <c r="H880" s="69" t="str">
        <f>IF(Proc[[#This Row],[type]]="LFF (MDG-F)",MID(Proc[[#This Row],[Obj]],13,10),"")</f>
        <v>DE10622600</v>
      </c>
      <c r="J880" s="69" t="b">
        <f>Proc[[#This Row],[Requested]]=Proc[[#This Row],[CurrentParent]]</f>
        <v>1</v>
      </c>
      <c r="K880" s="144" t="str">
        <f>IF(Proc[[#This Row],[Author]]="Marcela Urrego",VLOOKUP(LEFT(Proc[[#This Row],[Requested]],1),Table3[#All],2,0),VLOOKUP(Proc[[#This Row],[Author]],Table4[],2,0))</f>
        <v>MGF</v>
      </c>
      <c r="L880" s="32" t="s">
        <v>509</v>
      </c>
      <c r="M880" s="71">
        <v>45721.464016203703</v>
      </c>
      <c r="N880" s="71">
        <v>45723</v>
      </c>
      <c r="O880" s="71">
        <v>45723</v>
      </c>
      <c r="P880" s="70" t="str">
        <f ca="1">IF(Proc[[#This Row],[DaysAgeing]]&gt;5,"yep","on track")</f>
        <v>on track</v>
      </c>
      <c r="Q880" s="3">
        <f ca="1">IF(Proc[[#This Row],[DateClosed]]="",ABS(NETWORKDAYS(Proc[[#This Row],[DateOpened]],TODAY()))-1,ABS(NETWORKDAYS(Proc[[#This Row],[DateOpened]],Proc[[#This Row],[DateClosed]]))-1)</f>
        <v>2</v>
      </c>
      <c r="R880" s="70" t="s">
        <v>549</v>
      </c>
      <c r="S880" s="69"/>
    </row>
    <row r="881" spans="1:19" hidden="1">
      <c r="A881" s="68" t="s">
        <v>2379</v>
      </c>
      <c r="B881" s="149" t="str">
        <f>IFERROR(VLOOKUP(Proc[[#This Row],[App]],Table2[],3,0),"open")</f>
        <v>ok</v>
      </c>
      <c r="C881" s="68" t="s">
        <v>369</v>
      </c>
      <c r="D881" t="s">
        <v>2380</v>
      </c>
      <c r="E881" t="s">
        <v>1458</v>
      </c>
      <c r="F881" s="117" t="s">
        <v>1458</v>
      </c>
      <c r="G881" t="s">
        <v>400</v>
      </c>
      <c r="H881" s="69" t="str">
        <f>IF(Proc[[#This Row],[type]]="LFF (MDG-F)",MID(Proc[[#This Row],[Obj]],13,10),"")</f>
        <v/>
      </c>
      <c r="J881" s="69" t="b">
        <f>Proc[[#This Row],[Requested]]=Proc[[#This Row],[CurrentParent]]</f>
        <v>1</v>
      </c>
      <c r="K881" s="144" t="str">
        <f>IF(Proc[[#This Row],[Author]]="Marcela Urrego",VLOOKUP(LEFT(Proc[[#This Row],[Requested]],1),Table3[#All],2,0),VLOOKUP(Proc[[#This Row],[Author]],Table4[],2,0))</f>
        <v>MGF</v>
      </c>
      <c r="L881" s="32" t="s">
        <v>509</v>
      </c>
      <c r="M881" s="71">
        <v>45721.618263888886</v>
      </c>
      <c r="N881" s="71">
        <v>45726</v>
      </c>
      <c r="O881" s="71">
        <v>45726</v>
      </c>
      <c r="P881" s="70" t="str">
        <f ca="1">IF(Proc[[#This Row],[DaysAgeing]]&gt;5,"yep","on track")</f>
        <v>on track</v>
      </c>
      <c r="Q881" s="3">
        <f ca="1">IF(Proc[[#This Row],[DateClosed]]="",ABS(NETWORKDAYS(Proc[[#This Row],[DateOpened]],TODAY()))-1,ABS(NETWORKDAYS(Proc[[#This Row],[DateOpened]],Proc[[#This Row],[DateClosed]]))-1)</f>
        <v>3</v>
      </c>
      <c r="R881" s="70" t="s">
        <v>1459</v>
      </c>
      <c r="S881" s="69"/>
    </row>
    <row r="882" spans="1:19" hidden="1">
      <c r="A882" t="s">
        <v>2379</v>
      </c>
      <c r="B882" s="149" t="str">
        <f>IFERROR(VLOOKUP(Proc[[#This Row],[App]],Table2[],3,0),"open")</f>
        <v>ok</v>
      </c>
      <c r="C882" t="s">
        <v>369</v>
      </c>
      <c r="D882" t="s">
        <v>2381</v>
      </c>
      <c r="E882" t="s">
        <v>1458</v>
      </c>
      <c r="F882" s="117" t="s">
        <v>1458</v>
      </c>
      <c r="G882" s="68" t="s">
        <v>406</v>
      </c>
      <c r="H882" s="69" t="str">
        <f>IF(Proc[[#This Row],[type]]="LFF (MDG-F)",MID(Proc[[#This Row],[Obj]],13,10),"")</f>
        <v>2123GIT130</v>
      </c>
      <c r="J882" s="69" t="b">
        <f>Proc[[#This Row],[Requested]]=Proc[[#This Row],[CurrentParent]]</f>
        <v>1</v>
      </c>
      <c r="K882" s="144" t="str">
        <f>IF(Proc[[#This Row],[Author]]="Marcela Urrego",VLOOKUP(LEFT(Proc[[#This Row],[Requested]],1),Table3[#All],2,0),VLOOKUP(Proc[[#This Row],[Author]],Table4[],2,0))</f>
        <v>MGF</v>
      </c>
      <c r="L882" s="32" t="s">
        <v>509</v>
      </c>
      <c r="M882" s="71">
        <v>45721.618263888886</v>
      </c>
      <c r="N882" s="71">
        <v>45726</v>
      </c>
      <c r="O882" s="71">
        <v>45726</v>
      </c>
      <c r="P882" s="70" t="str">
        <f ca="1">IF(Proc[[#This Row],[DaysAgeing]]&gt;5,"yep","on track")</f>
        <v>on track</v>
      </c>
      <c r="Q882" s="3">
        <f ca="1">IF(Proc[[#This Row],[DateClosed]]="",ABS(NETWORKDAYS(Proc[[#This Row],[DateOpened]],TODAY()))-1,ABS(NETWORKDAYS(Proc[[#This Row],[DateOpened]],Proc[[#This Row],[DateClosed]]))-1)</f>
        <v>3</v>
      </c>
      <c r="R882" s="70" t="s">
        <v>1459</v>
      </c>
      <c r="S882" s="69"/>
    </row>
    <row r="883" spans="1:19" hidden="1">
      <c r="A883" s="68" t="s">
        <v>2441</v>
      </c>
      <c r="B883" s="149" t="str">
        <f>IFERROR(VLOOKUP(Proc[[#This Row],[App]],Table2[],3,0),"open")</f>
        <v>ok</v>
      </c>
      <c r="C883" s="68" t="s">
        <v>369</v>
      </c>
      <c r="D883" t="s">
        <v>2442</v>
      </c>
      <c r="E883" t="s">
        <v>2443</v>
      </c>
      <c r="F883" s="117" t="s">
        <v>2443</v>
      </c>
      <c r="G883" s="68" t="s">
        <v>406</v>
      </c>
      <c r="H883" s="69" t="str">
        <f>IF(Proc[[#This Row],[type]]="LFF (MDG-F)",MID(Proc[[#This Row],[Obj]],13,10),"")</f>
        <v>NO50GIN000</v>
      </c>
      <c r="J883" s="69" t="b">
        <f>Proc[[#This Row],[Requested]]=Proc[[#This Row],[CurrentParent]]</f>
        <v>1</v>
      </c>
      <c r="K883" s="144" t="str">
        <f>IF(Proc[[#This Row],[Author]]="Marcela Urrego",VLOOKUP(LEFT(Proc[[#This Row],[Requested]],1),Table3[#All],2,0),VLOOKUP(Proc[[#This Row],[Author]],Table4[],2,0))</f>
        <v>MGF</v>
      </c>
      <c r="L883" s="32" t="s">
        <v>509</v>
      </c>
      <c r="M883" s="71">
        <v>45721.760057870371</v>
      </c>
      <c r="N883" s="71">
        <v>45741</v>
      </c>
      <c r="O883" s="71">
        <v>45741</v>
      </c>
      <c r="P883" s="70" t="str">
        <f ca="1">IF(Proc[[#This Row],[DaysAgeing]]&gt;5,"yep","on track")</f>
        <v>yep</v>
      </c>
      <c r="Q883" s="3">
        <f ca="1">IF(Proc[[#This Row],[DateClosed]]="",ABS(NETWORKDAYS(Proc[[#This Row],[DateOpened]],TODAY()))-1,ABS(NETWORKDAYS(Proc[[#This Row],[DateOpened]],Proc[[#This Row],[DateClosed]]))-1)</f>
        <v>14</v>
      </c>
      <c r="R883" s="70" t="s">
        <v>2444</v>
      </c>
      <c r="S883" s="69"/>
    </row>
    <row r="884" spans="1:19" hidden="1">
      <c r="A884" t="s">
        <v>2384</v>
      </c>
      <c r="B884" s="149" t="str">
        <f>IFERROR(VLOOKUP(Proc[[#This Row],[App]],Table2[],3,0),"open")</f>
        <v>ok</v>
      </c>
      <c r="C884" s="68" t="s">
        <v>398</v>
      </c>
      <c r="D884" t="s">
        <v>2382</v>
      </c>
      <c r="E884" t="s">
        <v>2377</v>
      </c>
      <c r="F884" s="103" t="s">
        <v>2377</v>
      </c>
      <c r="G884" s="68" t="s">
        <v>400</v>
      </c>
      <c r="H884" s="69" t="str">
        <f>IF(Proc[[#This Row],[type]]="LFF (MDG-F)",MID(Proc[[#This Row],[Obj]],13,10),"")</f>
        <v/>
      </c>
      <c r="I884" t="s">
        <v>1198</v>
      </c>
      <c r="J884" s="69" t="b">
        <f>Proc[[#This Row],[Requested]]=Proc[[#This Row],[CurrentParent]]</f>
        <v>1</v>
      </c>
      <c r="K884" s="144" t="str">
        <f>IF(Proc[[#This Row],[Author]]="Marcela Urrego",VLOOKUP(LEFT(Proc[[#This Row],[Requested]],1),Table3[#All],2,0),VLOOKUP(Proc[[#This Row],[Author]],Table4[],2,0))</f>
        <v>LS</v>
      </c>
      <c r="L884" s="32" t="s">
        <v>509</v>
      </c>
      <c r="M884" s="71">
        <v>45722.670775462961</v>
      </c>
      <c r="O884" s="71">
        <v>45726</v>
      </c>
      <c r="P884" s="70" t="str">
        <f ca="1">IF(Proc[[#This Row],[DaysAgeing]]&gt;5,"yep","on track")</f>
        <v>on track</v>
      </c>
      <c r="Q884" s="3">
        <f ca="1">IF(Proc[[#This Row],[DateClosed]]="",ABS(NETWORKDAYS(Proc[[#This Row],[DateOpened]],TODAY()))-1,ABS(NETWORKDAYS(Proc[[#This Row],[DateOpened]],Proc[[#This Row],[DateClosed]]))-1)</f>
        <v>2</v>
      </c>
      <c r="R884" s="70" t="s">
        <v>972</v>
      </c>
      <c r="S884" s="94" t="e">
        <f>VLOOKUP(Proc[[#This Row],[Obj]],#REF!,2,0)</f>
        <v>#REF!</v>
      </c>
    </row>
    <row r="885" spans="1:19" hidden="1">
      <c r="A885" t="s">
        <v>2384</v>
      </c>
      <c r="B885" s="149" t="str">
        <f>IFERROR(VLOOKUP(Proc[[#This Row],[App]],Table2[],3,0),"open")</f>
        <v>ok</v>
      </c>
      <c r="C885" s="68" t="s">
        <v>369</v>
      </c>
      <c r="D885" t="s">
        <v>2383</v>
      </c>
      <c r="E885" t="s">
        <v>2385</v>
      </c>
      <c r="F885" s="117" t="s">
        <v>2385</v>
      </c>
      <c r="G885" t="s">
        <v>400</v>
      </c>
      <c r="H885" s="69" t="str">
        <f>IF(Proc[[#This Row],[type]]="LFF (MDG-F)",MID(Proc[[#This Row],[Obj]],13,10),"")</f>
        <v/>
      </c>
      <c r="J885" s="69" t="b">
        <f>Proc[[#This Row],[Requested]]=Proc[[#This Row],[CurrentParent]]</f>
        <v>1</v>
      </c>
      <c r="K885" s="144" t="str">
        <f>IF(Proc[[#This Row],[Author]]="Marcela Urrego",VLOOKUP(LEFT(Proc[[#This Row],[Requested]],1),Table3[#All],2,0),VLOOKUP(Proc[[#This Row],[Author]],Table4[],2,0))</f>
        <v>LS</v>
      </c>
      <c r="L885" s="32" t="s">
        <v>509</v>
      </c>
      <c r="M885" s="71">
        <v>45722.670775462961</v>
      </c>
      <c r="N885" s="71">
        <v>45726</v>
      </c>
      <c r="O885" s="71">
        <v>45726</v>
      </c>
      <c r="P885" s="70" t="str">
        <f ca="1">IF(Proc[[#This Row],[DaysAgeing]]&gt;5,"yep","on track")</f>
        <v>on track</v>
      </c>
      <c r="Q885" s="3">
        <f ca="1">IF(Proc[[#This Row],[DateClosed]]="",ABS(NETWORKDAYS(Proc[[#This Row],[DateOpened]],TODAY()))-1,ABS(NETWORKDAYS(Proc[[#This Row],[DateOpened]],Proc[[#This Row],[DateClosed]]))-1)</f>
        <v>2</v>
      </c>
      <c r="R885" s="70" t="s">
        <v>972</v>
      </c>
      <c r="S885" s="69"/>
    </row>
    <row r="886" spans="1:19" hidden="1">
      <c r="A886" t="s">
        <v>2396</v>
      </c>
      <c r="B886" s="149" t="str">
        <f>IFERROR(VLOOKUP(Proc[[#This Row],[App]],Table2[],3,0),"open")</f>
        <v>ok</v>
      </c>
      <c r="C886" s="68" t="s">
        <v>369</v>
      </c>
      <c r="D886" t="s">
        <v>2392</v>
      </c>
      <c r="E886" t="s">
        <v>2397</v>
      </c>
      <c r="F886" s="117" t="s">
        <v>2397</v>
      </c>
      <c r="G886" s="68" t="s">
        <v>406</v>
      </c>
      <c r="H886" s="69" t="str">
        <f>IF(Proc[[#This Row],[type]]="LFF (MDG-F)",MID(Proc[[#This Row],[Obj]],13,10),"")</f>
        <v>CH65R00044</v>
      </c>
      <c r="J886" s="69" t="b">
        <f>Proc[[#This Row],[Requested]]=Proc[[#This Row],[CurrentParent]]</f>
        <v>1</v>
      </c>
      <c r="K886" s="144" t="str">
        <f>IF(Proc[[#This Row],[Author]]="Marcela Urrego",VLOOKUP(LEFT(Proc[[#This Row],[Requested]],1),Table3[#All],2,0),VLOOKUP(Proc[[#This Row],[Author]],Table4[],2,0))</f>
        <v>HC</v>
      </c>
      <c r="L886" s="32" t="s">
        <v>509</v>
      </c>
      <c r="M886" s="71">
        <v>45726.760057870371</v>
      </c>
      <c r="P886" s="70" t="str">
        <f ca="1">IF(Proc[[#This Row],[DaysAgeing]]&gt;5,"yep","on track")</f>
        <v>yep</v>
      </c>
      <c r="Q886" s="3">
        <f ca="1">IF(Proc[[#This Row],[DateClosed]]="",ABS(NETWORKDAYS(Proc[[#This Row],[DateOpened]],TODAY()))-1,ABS(NETWORKDAYS(Proc[[#This Row],[DateOpened]],Proc[[#This Row],[DateClosed]]))-1)</f>
        <v>204</v>
      </c>
      <c r="R886" s="70" t="s">
        <v>2400</v>
      </c>
      <c r="S886" s="69"/>
    </row>
    <row r="887" spans="1:19" hidden="1">
      <c r="A887" s="68" t="s">
        <v>2396</v>
      </c>
      <c r="B887" s="149" t="str">
        <f>IFERROR(VLOOKUP(Proc[[#This Row],[App]],Table2[],3,0),"open")</f>
        <v>ok</v>
      </c>
      <c r="C887" s="68" t="s">
        <v>369</v>
      </c>
      <c r="D887" t="s">
        <v>2393</v>
      </c>
      <c r="E887" t="s">
        <v>2398</v>
      </c>
      <c r="F887" s="117" t="s">
        <v>2398</v>
      </c>
      <c r="G887" s="68" t="s">
        <v>406</v>
      </c>
      <c r="H887" s="69" t="str">
        <f>IF(Proc[[#This Row],[type]]="LFF (MDG-F)",MID(Proc[[#This Row],[Obj]],13,10),"")</f>
        <v>CH65R00045</v>
      </c>
      <c r="J887" s="69" t="b">
        <f>Proc[[#This Row],[Requested]]=Proc[[#This Row],[CurrentParent]]</f>
        <v>1</v>
      </c>
      <c r="K887" s="144" t="str">
        <f>IF(Proc[[#This Row],[Author]]="Marcela Urrego",VLOOKUP(LEFT(Proc[[#This Row],[Requested]],1),Table3[#All],2,0),VLOOKUP(Proc[[#This Row],[Author]],Table4[],2,0))</f>
        <v>HC</v>
      </c>
      <c r="L887" s="32" t="s">
        <v>509</v>
      </c>
      <c r="M887" s="71">
        <v>45726.760057870371</v>
      </c>
      <c r="P887" s="70" t="str">
        <f ca="1">IF(Proc[[#This Row],[DaysAgeing]]&gt;5,"yep","on track")</f>
        <v>yep</v>
      </c>
      <c r="Q887" s="3">
        <f ca="1">IF(Proc[[#This Row],[DateClosed]]="",ABS(NETWORKDAYS(Proc[[#This Row],[DateOpened]],TODAY()))-1,ABS(NETWORKDAYS(Proc[[#This Row],[DateOpened]],Proc[[#This Row],[DateClosed]]))-1)</f>
        <v>204</v>
      </c>
      <c r="R887" s="70" t="s">
        <v>2400</v>
      </c>
      <c r="S887" s="69"/>
    </row>
    <row r="888" spans="1:19" hidden="1">
      <c r="A888" s="68" t="s">
        <v>2396</v>
      </c>
      <c r="B888" s="149" t="str">
        <f>IFERROR(VLOOKUP(Proc[[#This Row],[App]],Table2[],3,0),"open")</f>
        <v>ok</v>
      </c>
      <c r="C888" s="68" t="s">
        <v>369</v>
      </c>
      <c r="D888" t="s">
        <v>2394</v>
      </c>
      <c r="E888" t="s">
        <v>2399</v>
      </c>
      <c r="F888" s="117" t="s">
        <v>2399</v>
      </c>
      <c r="G888" s="68" t="s">
        <v>406</v>
      </c>
      <c r="H888" s="69" t="str">
        <f>IF(Proc[[#This Row],[type]]="LFF (MDG-F)",MID(Proc[[#This Row],[Obj]],13,10),"")</f>
        <v>CH65R00046</v>
      </c>
      <c r="J888" s="69" t="b">
        <f>Proc[[#This Row],[Requested]]=Proc[[#This Row],[CurrentParent]]</f>
        <v>1</v>
      </c>
      <c r="K888" s="144" t="str">
        <f>IF(Proc[[#This Row],[Author]]="Marcela Urrego",VLOOKUP(LEFT(Proc[[#This Row],[Requested]],1),Table3[#All],2,0),VLOOKUP(Proc[[#This Row],[Author]],Table4[],2,0))</f>
        <v>HC</v>
      </c>
      <c r="L888" s="32" t="s">
        <v>509</v>
      </c>
      <c r="M888" s="71">
        <v>45726.760057870371</v>
      </c>
      <c r="P888" s="70" t="str">
        <f ca="1">IF(Proc[[#This Row],[DaysAgeing]]&gt;5,"yep","on track")</f>
        <v>yep</v>
      </c>
      <c r="Q888" s="3">
        <f ca="1">IF(Proc[[#This Row],[DateClosed]]="",ABS(NETWORKDAYS(Proc[[#This Row],[DateOpened]],TODAY()))-1,ABS(NETWORKDAYS(Proc[[#This Row],[DateOpened]],Proc[[#This Row],[DateClosed]]))-1)</f>
        <v>204</v>
      </c>
      <c r="R888" s="70" t="s">
        <v>2400</v>
      </c>
      <c r="S888" s="69"/>
    </row>
    <row r="889" spans="1:19" hidden="1">
      <c r="A889" s="68" t="s">
        <v>2396</v>
      </c>
      <c r="B889" s="149" t="str">
        <f>IFERROR(VLOOKUP(Proc[[#This Row],[App]],Table2[],3,0),"open")</f>
        <v>ok</v>
      </c>
      <c r="C889" s="68" t="s">
        <v>369</v>
      </c>
      <c r="D889" t="s">
        <v>2395</v>
      </c>
      <c r="E889" t="s">
        <v>2419</v>
      </c>
      <c r="F889" s="117" t="s">
        <v>2419</v>
      </c>
      <c r="G889" s="68" t="s">
        <v>406</v>
      </c>
      <c r="H889" s="69" t="str">
        <f>IF(Proc[[#This Row],[type]]="LFF (MDG-F)",MID(Proc[[#This Row],[Obj]],13,10),"")</f>
        <v>CH65R00054</v>
      </c>
      <c r="J889" s="69" t="b">
        <f>Proc[[#This Row],[Requested]]=Proc[[#This Row],[CurrentParent]]</f>
        <v>1</v>
      </c>
      <c r="K889" s="144" t="str">
        <f>IF(Proc[[#This Row],[Author]]="Marcela Urrego",VLOOKUP(LEFT(Proc[[#This Row],[Requested]],1),Table3[#All],2,0),VLOOKUP(Proc[[#This Row],[Author]],Table4[],2,0))</f>
        <v>HC</v>
      </c>
      <c r="L889" s="32" t="s">
        <v>509</v>
      </c>
      <c r="M889" s="71">
        <v>45726.760057870371</v>
      </c>
      <c r="N889" s="71">
        <v>45735</v>
      </c>
      <c r="O889" s="71">
        <v>45735</v>
      </c>
      <c r="P889" s="70" t="str">
        <f ca="1">IF(Proc[[#This Row],[DaysAgeing]]&gt;5,"yep","on track")</f>
        <v>yep</v>
      </c>
      <c r="Q889" s="3">
        <f ca="1">IF(Proc[[#This Row],[DateClosed]]="",ABS(NETWORKDAYS(Proc[[#This Row],[DateOpened]],TODAY()))-1,ABS(NETWORKDAYS(Proc[[#This Row],[DateOpened]],Proc[[#This Row],[DateClosed]]))-1)</f>
        <v>7</v>
      </c>
      <c r="R889" s="70" t="s">
        <v>2400</v>
      </c>
      <c r="S889" s="69"/>
    </row>
    <row r="890" spans="1:19" hidden="1">
      <c r="A890" t="s">
        <v>2389</v>
      </c>
      <c r="B890" s="149" t="str">
        <f>IFERROR(VLOOKUP(Proc[[#This Row],[App]],Table2[],3,0),"open")</f>
        <v>ok</v>
      </c>
      <c r="C890" t="s">
        <v>369</v>
      </c>
      <c r="D890" t="s">
        <v>2390</v>
      </c>
      <c r="E890" t="s">
        <v>2391</v>
      </c>
      <c r="F890" s="117" t="s">
        <v>2391</v>
      </c>
      <c r="G890" s="68" t="s">
        <v>406</v>
      </c>
      <c r="H890" s="69" t="str">
        <f>IF(Proc[[#This Row],[type]]="LFF (MDG-F)",MID(Proc[[#This Row],[Obj]],13,10),"")</f>
        <v>CH50R01012</v>
      </c>
      <c r="J890" s="69" t="b">
        <f>Proc[[#This Row],[Requested]]=Proc[[#This Row],[CurrentParent]]</f>
        <v>1</v>
      </c>
      <c r="K890" s="144" t="str">
        <f>IF(Proc[[#This Row],[Author]]="Marcela Urrego",VLOOKUP(LEFT(Proc[[#This Row],[Requested]],1),Table3[#All],2,0),VLOOKUP(Proc[[#This Row],[Author]],Table4[],2,0))</f>
        <v>HC</v>
      </c>
      <c r="L890" s="32" t="s">
        <v>509</v>
      </c>
      <c r="M890" s="71">
        <v>45726.768182870372</v>
      </c>
      <c r="N890" s="71">
        <v>45729</v>
      </c>
      <c r="O890" s="71">
        <v>45729</v>
      </c>
      <c r="P890" s="70" t="str">
        <f ca="1">IF(Proc[[#This Row],[DaysAgeing]]&gt;5,"yep","on track")</f>
        <v>on track</v>
      </c>
      <c r="Q890" s="3">
        <f ca="1">IF(Proc[[#This Row],[DateClosed]]="",ABS(NETWORKDAYS(Proc[[#This Row],[DateOpened]],TODAY()))-1,ABS(NETWORKDAYS(Proc[[#This Row],[DateOpened]],Proc[[#This Row],[DateClosed]]))-1)</f>
        <v>3</v>
      </c>
      <c r="R890" s="70" t="s">
        <v>2400</v>
      </c>
      <c r="S890" s="69"/>
    </row>
    <row r="891" spans="1:19" hidden="1">
      <c r="A891" t="s">
        <v>2414</v>
      </c>
      <c r="B891" s="149" t="str">
        <f>IFERROR(VLOOKUP(Proc[[#This Row],[App]],Table2[],3,0),"open")</f>
        <v>ok</v>
      </c>
      <c r="C891" s="68" t="s">
        <v>369</v>
      </c>
      <c r="D891" t="s">
        <v>2406</v>
      </c>
      <c r="E891" t="s">
        <v>2410</v>
      </c>
      <c r="F891" s="117" t="s">
        <v>2410</v>
      </c>
      <c r="G891" s="68" t="s">
        <v>406</v>
      </c>
      <c r="H891" s="69" t="str">
        <f>IF(Proc[[#This Row],[type]]="LFF (MDG-F)",MID(Proc[[#This Row],[Obj]],13,10),"")</f>
        <v>2013OFIBM1</v>
      </c>
      <c r="J891" s="69" t="b">
        <f>Proc[[#This Row],[Requested]]=Proc[[#This Row],[CurrentParent]]</f>
        <v>1</v>
      </c>
      <c r="K891" s="144" t="str">
        <f>IF(Proc[[#This Row],[Author]]="Marcela Urrego",VLOOKUP(LEFT(Proc[[#This Row],[Requested]],1),Table3[#All],2,0),VLOOKUP(Proc[[#This Row],[Author]],Table4[],2,0))</f>
        <v>LS</v>
      </c>
      <c r="L891" s="32" t="s">
        <v>509</v>
      </c>
      <c r="M891" s="71">
        <v>45727.451701388891</v>
      </c>
      <c r="N891" s="71">
        <v>45730</v>
      </c>
      <c r="O891" s="71">
        <v>45730</v>
      </c>
      <c r="P891" s="70" t="str">
        <f ca="1">IF(Proc[[#This Row],[DaysAgeing]]&gt;5,"yep","on track")</f>
        <v>on track</v>
      </c>
      <c r="Q891" s="3">
        <f ca="1">IF(Proc[[#This Row],[DateClosed]]="",ABS(NETWORKDAYS(Proc[[#This Row],[DateOpened]],TODAY()))-1,ABS(NETWORKDAYS(Proc[[#This Row],[DateOpened]],Proc[[#This Row],[DateClosed]]))-1)</f>
        <v>3</v>
      </c>
      <c r="R891" s="70" t="s">
        <v>830</v>
      </c>
      <c r="S891" s="69"/>
    </row>
    <row r="892" spans="1:19" hidden="1">
      <c r="A892" t="s">
        <v>2414</v>
      </c>
      <c r="B892" s="149" t="str">
        <f>IFERROR(VLOOKUP(Proc[[#This Row],[App]],Table2[],3,0),"open")</f>
        <v>ok</v>
      </c>
      <c r="C892" s="68" t="s">
        <v>369</v>
      </c>
      <c r="D892" t="s">
        <v>2407</v>
      </c>
      <c r="E892" t="s">
        <v>2411</v>
      </c>
      <c r="F892" s="117" t="s">
        <v>2411</v>
      </c>
      <c r="G892" s="68" t="s">
        <v>400</v>
      </c>
      <c r="H892" s="69" t="str">
        <f>IF(Proc[[#This Row],[type]]="LFF (MDG-F)",MID(Proc[[#This Row],[Obj]],13,10),"")</f>
        <v/>
      </c>
      <c r="J892" s="69" t="b">
        <f>Proc[[#This Row],[Requested]]=Proc[[#This Row],[CurrentParent]]</f>
        <v>1</v>
      </c>
      <c r="K892" s="144" t="str">
        <f>IF(Proc[[#This Row],[Author]]="Marcela Urrego",VLOOKUP(LEFT(Proc[[#This Row],[Requested]],1),Table3[#All],2,0),VLOOKUP(Proc[[#This Row],[Author]],Table4[],2,0))</f>
        <v>LS</v>
      </c>
      <c r="L892" s="32" t="s">
        <v>509</v>
      </c>
      <c r="M892" s="71">
        <v>45727.451701388891</v>
      </c>
      <c r="N892" s="71">
        <v>45730</v>
      </c>
      <c r="O892" s="71">
        <v>45730</v>
      </c>
      <c r="P892" s="70" t="str">
        <f ca="1">IF(Proc[[#This Row],[DaysAgeing]]&gt;5,"yep","on track")</f>
        <v>on track</v>
      </c>
      <c r="Q892" s="3">
        <f ca="1">IF(Proc[[#This Row],[DateClosed]]="",ABS(NETWORKDAYS(Proc[[#This Row],[DateOpened]],TODAY()))-1,ABS(NETWORKDAYS(Proc[[#This Row],[DateOpened]],Proc[[#This Row],[DateClosed]]))-1)</f>
        <v>3</v>
      </c>
      <c r="R892" s="70" t="s">
        <v>830</v>
      </c>
      <c r="S892" s="69"/>
    </row>
    <row r="893" spans="1:19" hidden="1">
      <c r="A893" s="68" t="s">
        <v>2414</v>
      </c>
      <c r="B893" s="149" t="str">
        <f>IFERROR(VLOOKUP(Proc[[#This Row],[App]],Table2[],3,0),"open")</f>
        <v>ok</v>
      </c>
      <c r="C893" s="68" t="s">
        <v>369</v>
      </c>
      <c r="D893" t="s">
        <v>2408</v>
      </c>
      <c r="E893" t="s">
        <v>2412</v>
      </c>
      <c r="F893" s="117" t="s">
        <v>2412</v>
      </c>
      <c r="G893" t="s">
        <v>406</v>
      </c>
      <c r="H893" s="69" t="str">
        <f>IF(Proc[[#This Row],[type]]="LFF (MDG-F)",MID(Proc[[#This Row],[Obj]],13,10),"")</f>
        <v>2123C00001</v>
      </c>
      <c r="J893" s="69" t="b">
        <f>Proc[[#This Row],[Requested]]=Proc[[#This Row],[CurrentParent]]</f>
        <v>1</v>
      </c>
      <c r="K893" s="144" t="str">
        <f>IF(Proc[[#This Row],[Author]]="Marcela Urrego",VLOOKUP(LEFT(Proc[[#This Row],[Requested]],1),Table3[#All],2,0),VLOOKUP(Proc[[#This Row],[Author]],Table4[],2,0))</f>
        <v>LS</v>
      </c>
      <c r="L893" s="32" t="s">
        <v>509</v>
      </c>
      <c r="M893" s="71">
        <v>45727.451701388891</v>
      </c>
      <c r="N893" s="71">
        <v>45730</v>
      </c>
      <c r="O893" s="71">
        <v>45730</v>
      </c>
      <c r="P893" s="70" t="str">
        <f ca="1">IF(Proc[[#This Row],[DaysAgeing]]&gt;5,"yep","on track")</f>
        <v>on track</v>
      </c>
      <c r="Q893" s="3">
        <f ca="1">IF(Proc[[#This Row],[DateClosed]]="",ABS(NETWORKDAYS(Proc[[#This Row],[DateOpened]],TODAY()))-1,ABS(NETWORKDAYS(Proc[[#This Row],[DateOpened]],Proc[[#This Row],[DateClosed]]))-1)</f>
        <v>3</v>
      </c>
      <c r="R893" s="70" t="s">
        <v>830</v>
      </c>
      <c r="S893" s="69"/>
    </row>
    <row r="894" spans="1:19" hidden="1">
      <c r="A894" s="68" t="s">
        <v>2414</v>
      </c>
      <c r="B894" s="149" t="str">
        <f>IFERROR(VLOOKUP(Proc[[#This Row],[App]],Table2[],3,0),"open")</f>
        <v>ok</v>
      </c>
      <c r="C894" s="68" t="s">
        <v>369</v>
      </c>
      <c r="D894" t="s">
        <v>2409</v>
      </c>
      <c r="E894" t="s">
        <v>2413</v>
      </c>
      <c r="F894" s="117" t="s">
        <v>2413</v>
      </c>
      <c r="G894" t="s">
        <v>406</v>
      </c>
      <c r="H894" s="69" t="str">
        <f>IF(Proc[[#This Row],[type]]="LFF (MDG-F)",MID(Proc[[#This Row],[Obj]],13,10),"")</f>
        <v>2128TMCZ95</v>
      </c>
      <c r="J894" s="69" t="b">
        <f>Proc[[#This Row],[Requested]]=Proc[[#This Row],[CurrentParent]]</f>
        <v>1</v>
      </c>
      <c r="K894" s="144" t="str">
        <f>IF(Proc[[#This Row],[Author]]="Marcela Urrego",VLOOKUP(LEFT(Proc[[#This Row],[Requested]],1),Table3[#All],2,0),VLOOKUP(Proc[[#This Row],[Author]],Table4[],2,0))</f>
        <v>LS</v>
      </c>
      <c r="L894" s="32" t="s">
        <v>509</v>
      </c>
      <c r="M894" s="71">
        <v>45727.451701388891</v>
      </c>
      <c r="N894" s="71">
        <v>45730</v>
      </c>
      <c r="O894" s="71">
        <v>45730</v>
      </c>
      <c r="P894" s="70" t="str">
        <f ca="1">IF(Proc[[#This Row],[DaysAgeing]]&gt;5,"yep","on track")</f>
        <v>on track</v>
      </c>
      <c r="Q894" s="3">
        <f ca="1">IF(Proc[[#This Row],[DateClosed]]="",ABS(NETWORKDAYS(Proc[[#This Row],[DateOpened]],TODAY()))-1,ABS(NETWORKDAYS(Proc[[#This Row],[DateOpened]],Proc[[#This Row],[DateClosed]]))-1)</f>
        <v>3</v>
      </c>
      <c r="R894" s="70" t="s">
        <v>830</v>
      </c>
      <c r="S894" s="69"/>
    </row>
    <row r="895" spans="1:19" hidden="1">
      <c r="A895" s="68" t="s">
        <v>2403</v>
      </c>
      <c r="B895" s="149" t="str">
        <f>IFERROR(VLOOKUP(Proc[[#This Row],[App]],Table2[],3,0),"open")</f>
        <v>ok</v>
      </c>
      <c r="C895" s="68" t="s">
        <v>369</v>
      </c>
      <c r="D895" t="s">
        <v>2404</v>
      </c>
      <c r="E895" t="s">
        <v>413</v>
      </c>
      <c r="F895" s="117" t="s">
        <v>413</v>
      </c>
      <c r="G895" s="68" t="s">
        <v>400</v>
      </c>
      <c r="H895" s="69" t="str">
        <f>IF(Proc[[#This Row],[type]]="LFF (MDG-F)",MID(Proc[[#This Row],[Obj]],13,10),"")</f>
        <v/>
      </c>
      <c r="J895" s="69" t="b">
        <f>Proc[[#This Row],[Requested]]=Proc[[#This Row],[CurrentParent]]</f>
        <v>1</v>
      </c>
      <c r="K895" s="144" t="str">
        <f>IF(Proc[[#This Row],[Author]]="Marcela Urrego",VLOOKUP(LEFT(Proc[[#This Row],[Requested]],1),Table3[#All],2,0),VLOOKUP(Proc[[#This Row],[Author]],Table4[],2,0))</f>
        <v>MGF</v>
      </c>
      <c r="L895" s="32" t="s">
        <v>509</v>
      </c>
      <c r="M895" s="71">
        <v>45727.481932870367</v>
      </c>
      <c r="N895" s="71">
        <v>45730</v>
      </c>
      <c r="O895" s="71">
        <v>45730</v>
      </c>
      <c r="P895" s="70" t="str">
        <f ca="1">IF(Proc[[#This Row],[DaysAgeing]]&gt;5,"yep","on track")</f>
        <v>on track</v>
      </c>
      <c r="Q895" s="3">
        <f ca="1">IF(Proc[[#This Row],[DateClosed]]="",ABS(NETWORKDAYS(Proc[[#This Row],[DateOpened]],TODAY()))-1,ABS(NETWORKDAYS(Proc[[#This Row],[DateOpened]],Proc[[#This Row],[DateClosed]]))-1)</f>
        <v>3</v>
      </c>
      <c r="R895" s="70" t="s">
        <v>515</v>
      </c>
      <c r="S895" s="69"/>
    </row>
    <row r="896" spans="1:19" hidden="1">
      <c r="A896" t="s">
        <v>2401</v>
      </c>
      <c r="B896" s="149" t="str">
        <f>IFERROR(VLOOKUP(Proc[[#This Row],[App]],Table2[],3,0),"open")</f>
        <v>ok</v>
      </c>
      <c r="C896" s="68" t="s">
        <v>369</v>
      </c>
      <c r="D896" t="s">
        <v>2402</v>
      </c>
      <c r="E896" t="s">
        <v>2415</v>
      </c>
      <c r="F896" s="117" t="s">
        <v>2415</v>
      </c>
      <c r="G896" t="s">
        <v>406</v>
      </c>
      <c r="H896" s="69" t="str">
        <f>IF(Proc[[#This Row],[type]]="LFF (MDG-F)",MID(Proc[[#This Row],[Obj]],13,10),"")</f>
        <v>DE10300049</v>
      </c>
      <c r="J896" s="69" t="b">
        <f>Proc[[#This Row],[Requested]]=Proc[[#This Row],[CurrentParent]]</f>
        <v>1</v>
      </c>
      <c r="K896" s="144" t="str">
        <f>IF(Proc[[#This Row],[Author]]="Marcela Urrego",VLOOKUP(LEFT(Proc[[#This Row],[Requested]],1),Table3[#All],2,0),VLOOKUP(Proc[[#This Row],[Author]],Table4[],2,0))</f>
        <v>MGF</v>
      </c>
      <c r="L896" s="32" t="s">
        <v>509</v>
      </c>
      <c r="M896" s="71">
        <v>45728.483611111114</v>
      </c>
      <c r="N896" s="71">
        <v>45730</v>
      </c>
      <c r="O896" s="71">
        <v>45730</v>
      </c>
      <c r="P896" s="70" t="str">
        <f ca="1">IF(Proc[[#This Row],[DaysAgeing]]&gt;5,"yep","on track")</f>
        <v>on track</v>
      </c>
      <c r="Q896" s="3">
        <f ca="1">IF(Proc[[#This Row],[DateClosed]]="",ABS(NETWORKDAYS(Proc[[#This Row],[DateOpened]],TODAY()))-1,ABS(NETWORKDAYS(Proc[[#This Row],[DateOpened]],Proc[[#This Row],[DateClosed]]))-1)</f>
        <v>2</v>
      </c>
      <c r="R896" s="70" t="s">
        <v>515</v>
      </c>
      <c r="S896" s="69"/>
    </row>
    <row r="897" spans="1:19" hidden="1">
      <c r="A897" s="68" t="s">
        <v>2420</v>
      </c>
      <c r="B897" s="149" t="str">
        <f>IFERROR(VLOOKUP(Proc[[#This Row],[App]],Table2[],3,0),"open")</f>
        <v>ok</v>
      </c>
      <c r="C897" s="68" t="s">
        <v>369</v>
      </c>
      <c r="D897" t="s">
        <v>2421</v>
      </c>
      <c r="E897" t="s">
        <v>2430</v>
      </c>
      <c r="F897" s="117" t="s">
        <v>2430</v>
      </c>
      <c r="G897" s="68" t="s">
        <v>400</v>
      </c>
      <c r="H897" s="69" t="str">
        <f>IF(Proc[[#This Row],[type]]="LFF (MDG-F)",MID(Proc[[#This Row],[Obj]],13,10),"")</f>
        <v/>
      </c>
      <c r="J897" s="69" t="b">
        <f>Proc[[#This Row],[Requested]]=Proc[[#This Row],[CurrentParent]]</f>
        <v>1</v>
      </c>
      <c r="K897" s="144" t="str">
        <f>IF(Proc[[#This Row],[Author]]="Marcela Urrego",VLOOKUP(LEFT(Proc[[#This Row],[Requested]],1),Table3[#All],2,0),VLOOKUP(Proc[[#This Row],[Author]],Table4[],2,0))</f>
        <v>MGF</v>
      </c>
      <c r="L897" s="32" t="s">
        <v>509</v>
      </c>
      <c r="M897" s="71">
        <v>45730.419768518521</v>
      </c>
      <c r="N897" s="71">
        <v>45733</v>
      </c>
      <c r="O897" s="71">
        <v>45733</v>
      </c>
      <c r="P897" s="70" t="str">
        <f ca="1">IF(Proc[[#This Row],[DaysAgeing]]&gt;5,"yep","on track")</f>
        <v>on track</v>
      </c>
      <c r="Q897" s="3">
        <f ca="1">IF(Proc[[#This Row],[DateClosed]]="",ABS(NETWORKDAYS(Proc[[#This Row],[DateOpened]],TODAY()))-1,ABS(NETWORKDAYS(Proc[[#This Row],[DateOpened]],Proc[[#This Row],[DateClosed]]))-1)</f>
        <v>1</v>
      </c>
      <c r="R897" s="70" t="s">
        <v>1076</v>
      </c>
      <c r="S897" s="69"/>
    </row>
    <row r="898" spans="1:19" hidden="1">
      <c r="A898" s="68" t="s">
        <v>2420</v>
      </c>
      <c r="B898" s="149" t="str">
        <f>IFERROR(VLOOKUP(Proc[[#This Row],[App]],Table2[],3,0),"open")</f>
        <v>ok</v>
      </c>
      <c r="C898" s="68" t="s">
        <v>369</v>
      </c>
      <c r="D898" t="s">
        <v>2422</v>
      </c>
      <c r="E898" t="s">
        <v>2430</v>
      </c>
      <c r="F898" s="117" t="s">
        <v>2430</v>
      </c>
      <c r="G898" s="68" t="s">
        <v>400</v>
      </c>
      <c r="H898" s="69" t="str">
        <f>IF(Proc[[#This Row],[type]]="LFF (MDG-F)",MID(Proc[[#This Row],[Obj]],13,10),"")</f>
        <v/>
      </c>
      <c r="J898" s="69" t="b">
        <f>Proc[[#This Row],[Requested]]=Proc[[#This Row],[CurrentParent]]</f>
        <v>1</v>
      </c>
      <c r="K898" s="144" t="str">
        <f>IF(Proc[[#This Row],[Author]]="Marcela Urrego",VLOOKUP(LEFT(Proc[[#This Row],[Requested]],1),Table3[#All],2,0),VLOOKUP(Proc[[#This Row],[Author]],Table4[],2,0))</f>
        <v>MGF</v>
      </c>
      <c r="L898" s="32" t="s">
        <v>509</v>
      </c>
      <c r="M898" s="71">
        <v>45730.419768518521</v>
      </c>
      <c r="N898" s="71">
        <v>45733</v>
      </c>
      <c r="O898" s="71">
        <v>45733</v>
      </c>
      <c r="P898" s="70" t="str">
        <f ca="1">IF(Proc[[#This Row],[DaysAgeing]]&gt;5,"yep","on track")</f>
        <v>on track</v>
      </c>
      <c r="Q898" s="3">
        <f ca="1">IF(Proc[[#This Row],[DateClosed]]="",ABS(NETWORKDAYS(Proc[[#This Row],[DateOpened]],TODAY()))-1,ABS(NETWORKDAYS(Proc[[#This Row],[DateOpened]],Proc[[#This Row],[DateClosed]]))-1)</f>
        <v>1</v>
      </c>
      <c r="R898" s="70" t="s">
        <v>1076</v>
      </c>
      <c r="S898" s="69"/>
    </row>
    <row r="899" spans="1:19" hidden="1">
      <c r="A899" s="68" t="s">
        <v>2420</v>
      </c>
      <c r="B899" s="149" t="str">
        <f>IFERROR(VLOOKUP(Proc[[#This Row],[App]],Table2[],3,0),"open")</f>
        <v>ok</v>
      </c>
      <c r="C899" s="68" t="s">
        <v>369</v>
      </c>
      <c r="D899" t="s">
        <v>2423</v>
      </c>
      <c r="E899" t="s">
        <v>418</v>
      </c>
      <c r="F899" s="117" t="s">
        <v>418</v>
      </c>
      <c r="G899" s="68" t="s">
        <v>400</v>
      </c>
      <c r="H899" s="69" t="str">
        <f>IF(Proc[[#This Row],[type]]="LFF (MDG-F)",MID(Proc[[#This Row],[Obj]],13,10),"")</f>
        <v/>
      </c>
      <c r="J899" s="69" t="b">
        <f>Proc[[#This Row],[Requested]]=Proc[[#This Row],[CurrentParent]]</f>
        <v>1</v>
      </c>
      <c r="K899" s="144" t="str">
        <f>IF(Proc[[#This Row],[Author]]="Marcela Urrego",VLOOKUP(LEFT(Proc[[#This Row],[Requested]],1),Table3[#All],2,0),VLOOKUP(Proc[[#This Row],[Author]],Table4[],2,0))</f>
        <v>MGF</v>
      </c>
      <c r="L899" s="32" t="s">
        <v>509</v>
      </c>
      <c r="M899" s="71">
        <v>45730.419768518521</v>
      </c>
      <c r="N899" s="71">
        <v>45733</v>
      </c>
      <c r="O899" s="71">
        <v>45733</v>
      </c>
      <c r="P899" s="70" t="str">
        <f ca="1">IF(Proc[[#This Row],[DaysAgeing]]&gt;5,"yep","on track")</f>
        <v>on track</v>
      </c>
      <c r="Q899" s="3">
        <f ca="1">IF(Proc[[#This Row],[DateClosed]]="",ABS(NETWORKDAYS(Proc[[#This Row],[DateOpened]],TODAY()))-1,ABS(NETWORKDAYS(Proc[[#This Row],[DateOpened]],Proc[[#This Row],[DateClosed]]))-1)</f>
        <v>1</v>
      </c>
      <c r="R899" s="70" t="s">
        <v>1076</v>
      </c>
      <c r="S899" s="69"/>
    </row>
    <row r="900" spans="1:19" hidden="1">
      <c r="A900" s="68" t="s">
        <v>2420</v>
      </c>
      <c r="B900" s="149" t="str">
        <f>IFERROR(VLOOKUP(Proc[[#This Row],[App]],Table2[],3,0),"open")</f>
        <v>ok</v>
      </c>
      <c r="C900" s="68" t="s">
        <v>369</v>
      </c>
      <c r="D900" t="s">
        <v>2424</v>
      </c>
      <c r="E900" t="s">
        <v>418</v>
      </c>
      <c r="F900" s="117" t="s">
        <v>418</v>
      </c>
      <c r="G900" s="68" t="s">
        <v>400</v>
      </c>
      <c r="H900" s="69" t="str">
        <f>IF(Proc[[#This Row],[type]]="LFF (MDG-F)",MID(Proc[[#This Row],[Obj]],13,10),"")</f>
        <v/>
      </c>
      <c r="J900" s="69" t="b">
        <f>Proc[[#This Row],[Requested]]=Proc[[#This Row],[CurrentParent]]</f>
        <v>1</v>
      </c>
      <c r="K900" s="144" t="str">
        <f>IF(Proc[[#This Row],[Author]]="Marcela Urrego",VLOOKUP(LEFT(Proc[[#This Row],[Requested]],1),Table3[#All],2,0),VLOOKUP(Proc[[#This Row],[Author]],Table4[],2,0))</f>
        <v>MGF</v>
      </c>
      <c r="L900" s="32" t="s">
        <v>509</v>
      </c>
      <c r="M900" s="71">
        <v>45730.419768518521</v>
      </c>
      <c r="N900" s="71">
        <v>45733</v>
      </c>
      <c r="O900" s="71">
        <v>45733</v>
      </c>
      <c r="P900" s="70" t="str">
        <f ca="1">IF(Proc[[#This Row],[DaysAgeing]]&gt;5,"yep","on track")</f>
        <v>on track</v>
      </c>
      <c r="Q900" s="3">
        <f ca="1">IF(Proc[[#This Row],[DateClosed]]="",ABS(NETWORKDAYS(Proc[[#This Row],[DateOpened]],TODAY()))-1,ABS(NETWORKDAYS(Proc[[#This Row],[DateOpened]],Proc[[#This Row],[DateClosed]]))-1)</f>
        <v>1</v>
      </c>
      <c r="R900" s="70" t="s">
        <v>1076</v>
      </c>
      <c r="S900" s="69"/>
    </row>
    <row r="901" spans="1:19" hidden="1">
      <c r="A901" s="68" t="s">
        <v>2420</v>
      </c>
      <c r="B901" s="149" t="str">
        <f>IFERROR(VLOOKUP(Proc[[#This Row],[App]],Table2[],3,0),"open")</f>
        <v>ok</v>
      </c>
      <c r="C901" s="68" t="s">
        <v>369</v>
      </c>
      <c r="D901" t="s">
        <v>2425</v>
      </c>
      <c r="E901" t="s">
        <v>2431</v>
      </c>
      <c r="F901" s="117" t="s">
        <v>2431</v>
      </c>
      <c r="G901" s="68" t="s">
        <v>400</v>
      </c>
      <c r="H901" s="69" t="str">
        <f>IF(Proc[[#This Row],[type]]="LFF (MDG-F)",MID(Proc[[#This Row],[Obj]],13,10),"")</f>
        <v/>
      </c>
      <c r="J901" s="69" t="b">
        <f>Proc[[#This Row],[Requested]]=Proc[[#This Row],[CurrentParent]]</f>
        <v>1</v>
      </c>
      <c r="K901" s="144" t="str">
        <f>IF(Proc[[#This Row],[Author]]="Marcela Urrego",VLOOKUP(LEFT(Proc[[#This Row],[Requested]],1),Table3[#All],2,0),VLOOKUP(Proc[[#This Row],[Author]],Table4[],2,0))</f>
        <v>MGF</v>
      </c>
      <c r="L901" s="32" t="s">
        <v>509</v>
      </c>
      <c r="M901" s="71">
        <v>45730.419768518521</v>
      </c>
      <c r="N901" s="71">
        <v>45733</v>
      </c>
      <c r="O901" s="71">
        <v>45733</v>
      </c>
      <c r="P901" s="70" t="str">
        <f ca="1">IF(Proc[[#This Row],[DaysAgeing]]&gt;5,"yep","on track")</f>
        <v>on track</v>
      </c>
      <c r="Q901" s="3">
        <f ca="1">IF(Proc[[#This Row],[DateClosed]]="",ABS(NETWORKDAYS(Proc[[#This Row],[DateOpened]],TODAY()))-1,ABS(NETWORKDAYS(Proc[[#This Row],[DateOpened]],Proc[[#This Row],[DateClosed]]))-1)</f>
        <v>1</v>
      </c>
      <c r="R901" s="70" t="s">
        <v>1076</v>
      </c>
      <c r="S901" s="69"/>
    </row>
    <row r="902" spans="1:19" hidden="1">
      <c r="A902" s="68" t="s">
        <v>2420</v>
      </c>
      <c r="B902" s="149" t="str">
        <f>IFERROR(VLOOKUP(Proc[[#This Row],[App]],Table2[],3,0),"open")</f>
        <v>ok</v>
      </c>
      <c r="C902" s="68" t="s">
        <v>369</v>
      </c>
      <c r="D902" t="s">
        <v>2426</v>
      </c>
      <c r="E902" t="s">
        <v>2432</v>
      </c>
      <c r="F902" s="117" t="s">
        <v>2432</v>
      </c>
      <c r="G902" s="68" t="s">
        <v>400</v>
      </c>
      <c r="H902" s="69" t="str">
        <f>IF(Proc[[#This Row],[type]]="LFF (MDG-F)",MID(Proc[[#This Row],[Obj]],13,10),"")</f>
        <v/>
      </c>
      <c r="J902" s="69" t="b">
        <f>Proc[[#This Row],[Requested]]=Proc[[#This Row],[CurrentParent]]</f>
        <v>1</v>
      </c>
      <c r="K902" s="144" t="str">
        <f>IF(Proc[[#This Row],[Author]]="Marcela Urrego",VLOOKUP(LEFT(Proc[[#This Row],[Requested]],1),Table3[#All],2,0),VLOOKUP(Proc[[#This Row],[Author]],Table4[],2,0))</f>
        <v>MGF</v>
      </c>
      <c r="L902" s="32" t="s">
        <v>509</v>
      </c>
      <c r="M902" s="71">
        <v>45730.419768518521</v>
      </c>
      <c r="N902" s="71">
        <v>45733</v>
      </c>
      <c r="O902" s="71">
        <v>45733</v>
      </c>
      <c r="P902" s="70" t="str">
        <f ca="1">IF(Proc[[#This Row],[DaysAgeing]]&gt;5,"yep","on track")</f>
        <v>on track</v>
      </c>
      <c r="Q902" s="3">
        <f ca="1">IF(Proc[[#This Row],[DateClosed]]="",ABS(NETWORKDAYS(Proc[[#This Row],[DateOpened]],TODAY()))-1,ABS(NETWORKDAYS(Proc[[#This Row],[DateOpened]],Proc[[#This Row],[DateClosed]]))-1)</f>
        <v>1</v>
      </c>
      <c r="R902" s="70" t="s">
        <v>1076</v>
      </c>
      <c r="S902" s="69"/>
    </row>
    <row r="903" spans="1:19" hidden="1">
      <c r="A903" s="68" t="s">
        <v>2420</v>
      </c>
      <c r="B903" s="149" t="str">
        <f>IFERROR(VLOOKUP(Proc[[#This Row],[App]],Table2[],3,0),"open")</f>
        <v>ok</v>
      </c>
      <c r="C903" s="68" t="s">
        <v>369</v>
      </c>
      <c r="D903" t="s">
        <v>2427</v>
      </c>
      <c r="E903" t="s">
        <v>2430</v>
      </c>
      <c r="F903" s="117" t="s">
        <v>2430</v>
      </c>
      <c r="G903" s="68" t="s">
        <v>400</v>
      </c>
      <c r="H903" s="69" t="str">
        <f>IF(Proc[[#This Row],[type]]="LFF (MDG-F)",MID(Proc[[#This Row],[Obj]],13,10),"")</f>
        <v/>
      </c>
      <c r="J903" s="69" t="b">
        <f>Proc[[#This Row],[Requested]]=Proc[[#This Row],[CurrentParent]]</f>
        <v>1</v>
      </c>
      <c r="K903" s="144" t="str">
        <f>IF(Proc[[#This Row],[Author]]="Marcela Urrego",VLOOKUP(LEFT(Proc[[#This Row],[Requested]],1),Table3[#All],2,0),VLOOKUP(Proc[[#This Row],[Author]],Table4[],2,0))</f>
        <v>MGF</v>
      </c>
      <c r="L903" s="32" t="s">
        <v>509</v>
      </c>
      <c r="M903" s="71">
        <v>45730.419768518521</v>
      </c>
      <c r="N903" s="71">
        <v>45733</v>
      </c>
      <c r="O903" s="71">
        <v>45733</v>
      </c>
      <c r="P903" s="70" t="str">
        <f ca="1">IF(Proc[[#This Row],[DaysAgeing]]&gt;5,"yep","on track")</f>
        <v>on track</v>
      </c>
      <c r="Q903" s="3">
        <f ca="1">IF(Proc[[#This Row],[DateClosed]]="",ABS(NETWORKDAYS(Proc[[#This Row],[DateOpened]],TODAY()))-1,ABS(NETWORKDAYS(Proc[[#This Row],[DateOpened]],Proc[[#This Row],[DateClosed]]))-1)</f>
        <v>1</v>
      </c>
      <c r="R903" s="70" t="s">
        <v>1076</v>
      </c>
      <c r="S903" s="69"/>
    </row>
    <row r="904" spans="1:19" hidden="1">
      <c r="A904" s="68" t="s">
        <v>2420</v>
      </c>
      <c r="B904" s="149" t="str">
        <f>IFERROR(VLOOKUP(Proc[[#This Row],[App]],Table2[],3,0),"open")</f>
        <v>ok</v>
      </c>
      <c r="C904" s="68" t="s">
        <v>369</v>
      </c>
      <c r="D904" t="s">
        <v>2428</v>
      </c>
      <c r="E904" t="s">
        <v>2430</v>
      </c>
      <c r="F904" s="117" t="s">
        <v>2430</v>
      </c>
      <c r="G904" s="68" t="s">
        <v>400</v>
      </c>
      <c r="H904" s="69" t="str">
        <f>IF(Proc[[#This Row],[type]]="LFF (MDG-F)",MID(Proc[[#This Row],[Obj]],13,10),"")</f>
        <v/>
      </c>
      <c r="J904" s="69" t="b">
        <f>Proc[[#This Row],[Requested]]=Proc[[#This Row],[CurrentParent]]</f>
        <v>1</v>
      </c>
      <c r="K904" s="144" t="str">
        <f>IF(Proc[[#This Row],[Author]]="Marcela Urrego",VLOOKUP(LEFT(Proc[[#This Row],[Requested]],1),Table3[#All],2,0),VLOOKUP(Proc[[#This Row],[Author]],Table4[],2,0))</f>
        <v>MGF</v>
      </c>
      <c r="L904" s="32" t="s">
        <v>509</v>
      </c>
      <c r="M904" s="71">
        <v>45730.419768518521</v>
      </c>
      <c r="N904" s="71">
        <v>45733</v>
      </c>
      <c r="O904" s="71">
        <v>45733</v>
      </c>
      <c r="P904" s="70" t="str">
        <f ca="1">IF(Proc[[#This Row],[DaysAgeing]]&gt;5,"yep","on track")</f>
        <v>on track</v>
      </c>
      <c r="Q904" s="3">
        <f ca="1">IF(Proc[[#This Row],[DateClosed]]="",ABS(NETWORKDAYS(Proc[[#This Row],[DateOpened]],TODAY()))-1,ABS(NETWORKDAYS(Proc[[#This Row],[DateOpened]],Proc[[#This Row],[DateClosed]]))-1)</f>
        <v>1</v>
      </c>
      <c r="R904" s="70" t="s">
        <v>1076</v>
      </c>
      <c r="S904" s="69"/>
    </row>
    <row r="905" spans="1:19" hidden="1">
      <c r="A905" t="s">
        <v>2420</v>
      </c>
      <c r="B905" s="149" t="str">
        <f>IFERROR(VLOOKUP(Proc[[#This Row],[App]],Table2[],3,0),"open")</f>
        <v>ok</v>
      </c>
      <c r="C905" s="68" t="s">
        <v>369</v>
      </c>
      <c r="D905" t="s">
        <v>2429</v>
      </c>
      <c r="E905" t="s">
        <v>2430</v>
      </c>
      <c r="F905" s="117" t="s">
        <v>2430</v>
      </c>
      <c r="G905" s="68" t="s">
        <v>400</v>
      </c>
      <c r="H905" s="69" t="str">
        <f>IF(Proc[[#This Row],[type]]="LFF (MDG-F)",MID(Proc[[#This Row],[Obj]],13,10),"")</f>
        <v/>
      </c>
      <c r="J905" s="69" t="b">
        <f>Proc[[#This Row],[Requested]]=Proc[[#This Row],[CurrentParent]]</f>
        <v>1</v>
      </c>
      <c r="K905" s="144" t="str">
        <f>IF(Proc[[#This Row],[Author]]="Marcela Urrego",VLOOKUP(LEFT(Proc[[#This Row],[Requested]],1),Table3[#All],2,0),VLOOKUP(Proc[[#This Row],[Author]],Table4[],2,0))</f>
        <v>MGF</v>
      </c>
      <c r="L905" s="32" t="s">
        <v>509</v>
      </c>
      <c r="M905" s="71">
        <v>45730.419768518521</v>
      </c>
      <c r="N905" s="71">
        <v>45733</v>
      </c>
      <c r="O905" s="71">
        <v>45733</v>
      </c>
      <c r="P905" s="70" t="str">
        <f ca="1">IF(Proc[[#This Row],[DaysAgeing]]&gt;5,"yep","on track")</f>
        <v>on track</v>
      </c>
      <c r="Q905" s="3">
        <f ca="1">IF(Proc[[#This Row],[DateClosed]]="",ABS(NETWORKDAYS(Proc[[#This Row],[DateOpened]],TODAY()))-1,ABS(NETWORKDAYS(Proc[[#This Row],[DateOpened]],Proc[[#This Row],[DateClosed]]))-1)</f>
        <v>1</v>
      </c>
      <c r="R905" s="70" t="s">
        <v>1076</v>
      </c>
      <c r="S905" s="69"/>
    </row>
    <row r="906" spans="1:19" hidden="1">
      <c r="A906" t="s">
        <v>2435</v>
      </c>
      <c r="B906" s="149" t="str">
        <f>IFERROR(VLOOKUP(Proc[[#This Row],[App]],Table2[],3,0),"open")</f>
        <v>ok</v>
      </c>
      <c r="C906" s="68" t="s">
        <v>369</v>
      </c>
      <c r="D906" t="s">
        <v>2433</v>
      </c>
      <c r="E906" t="s">
        <v>2434</v>
      </c>
      <c r="F906" s="117" t="s">
        <v>2434</v>
      </c>
      <c r="G906" t="s">
        <v>400</v>
      </c>
      <c r="H906" s="69" t="str">
        <f>IF(Proc[[#This Row],[type]]="LFF (MDG-F)",MID(Proc[[#This Row],[Obj]],13,10),"")</f>
        <v/>
      </c>
      <c r="J906" s="69" t="b">
        <f>Proc[[#This Row],[Requested]]=Proc[[#This Row],[CurrentParent]]</f>
        <v>1</v>
      </c>
      <c r="K906" s="144" t="str">
        <f>IF(Proc[[#This Row],[Author]]="Marcela Urrego",VLOOKUP(LEFT(Proc[[#This Row],[Requested]],1),Table3[#All],2,0),VLOOKUP(Proc[[#This Row],[Author]],Table4[],2,0))</f>
        <v>HC</v>
      </c>
      <c r="L906" s="32" t="s">
        <v>509</v>
      </c>
      <c r="M906" s="71">
        <v>45730.495949074073</v>
      </c>
      <c r="N906" s="71">
        <v>45733</v>
      </c>
      <c r="O906" s="71">
        <v>45733</v>
      </c>
      <c r="P906" s="70" t="str">
        <f ca="1">IF(Proc[[#This Row],[DaysAgeing]]&gt;5,"yep","on track")</f>
        <v>on track</v>
      </c>
      <c r="Q906" s="3">
        <f ca="1">IF(Proc[[#This Row],[DateClosed]]="",ABS(NETWORKDAYS(Proc[[#This Row],[DateOpened]],TODAY()))-1,ABS(NETWORKDAYS(Proc[[#This Row],[DateOpened]],Proc[[#This Row],[DateClosed]]))-1)</f>
        <v>1</v>
      </c>
      <c r="R906" s="70" t="s">
        <v>2436</v>
      </c>
      <c r="S906" s="69"/>
    </row>
    <row r="907" spans="1:19" hidden="1">
      <c r="A907" t="s">
        <v>2446</v>
      </c>
      <c r="B907" s="149" t="str">
        <f>IFERROR(VLOOKUP(Proc[[#This Row],[App]],Table2[],3,0),"open")</f>
        <v>ok</v>
      </c>
      <c r="C907" t="s">
        <v>369</v>
      </c>
      <c r="D907" s="73" t="s">
        <v>2445</v>
      </c>
      <c r="E907" t="s">
        <v>540</v>
      </c>
      <c r="F907" s="117" t="s">
        <v>540</v>
      </c>
      <c r="G907" s="68" t="s">
        <v>400</v>
      </c>
      <c r="H907" s="69" t="str">
        <f>IF(Proc[[#This Row],[type]]="LFF (MDG-F)",MID(Proc[[#This Row],[Obj]],13,10),"")</f>
        <v/>
      </c>
      <c r="J907" s="69" t="b">
        <f>Proc[[#This Row],[Requested]]=Proc[[#This Row],[CurrentParent]]</f>
        <v>1</v>
      </c>
      <c r="K907" s="144" t="str">
        <f>IF(Proc[[#This Row],[Author]]="Marcela Urrego",VLOOKUP(LEFT(Proc[[#This Row],[Requested]],1),Table3[#All],2,0),VLOOKUP(Proc[[#This Row],[Author]],Table4[],2,0))</f>
        <v>MGF</v>
      </c>
      <c r="L907" s="32" t="s">
        <v>509</v>
      </c>
      <c r="M907" s="71">
        <v>45733.760057870371</v>
      </c>
      <c r="P907" s="70" t="str">
        <f ca="1">IF(Proc[[#This Row],[DaysAgeing]]&gt;5,"yep","on track")</f>
        <v>yep</v>
      </c>
      <c r="Q907" s="3">
        <f ca="1">IF(Proc[[#This Row],[DateClosed]]="",ABS(NETWORKDAYS(Proc[[#This Row],[DateOpened]],TODAY()))-1,ABS(NETWORKDAYS(Proc[[#This Row],[DateOpened]],Proc[[#This Row],[DateClosed]]))-1)</f>
        <v>199</v>
      </c>
      <c r="R907" s="70" t="s">
        <v>515</v>
      </c>
      <c r="S907" s="69"/>
    </row>
    <row r="908" spans="1:19" hidden="1">
      <c r="A908" t="s">
        <v>2439</v>
      </c>
      <c r="B908" s="149" t="str">
        <f>IFERROR(VLOOKUP(Proc[[#This Row],[App]],Table2[],3,0),"open")</f>
        <v>ok</v>
      </c>
      <c r="C908" t="s">
        <v>369</v>
      </c>
      <c r="D908" s="72" t="s">
        <v>2437</v>
      </c>
      <c r="E908" t="s">
        <v>2438</v>
      </c>
      <c r="F908" s="117" t="s">
        <v>2438</v>
      </c>
      <c r="G908" t="s">
        <v>400</v>
      </c>
      <c r="H908" s="69" t="str">
        <f>IF(Proc[[#This Row],[type]]="LFF (MDG-F)",MID(Proc[[#This Row],[Obj]],13,10),"")</f>
        <v/>
      </c>
      <c r="J908" s="69" t="b">
        <f>Proc[[#This Row],[Requested]]=Proc[[#This Row],[CurrentParent]]</f>
        <v>1</v>
      </c>
      <c r="K908" s="144" t="str">
        <f>IF(Proc[[#This Row],[Author]]="Marcela Urrego",VLOOKUP(LEFT(Proc[[#This Row],[Requested]],1),Table3[#All],2,0),VLOOKUP(Proc[[#This Row],[Author]],Table4[],2,0))</f>
        <v>LS</v>
      </c>
      <c r="L908" s="32" t="s">
        <v>509</v>
      </c>
      <c r="M908" s="71">
        <v>45734.231157407405</v>
      </c>
      <c r="P908" s="70" t="str">
        <f ca="1">IF(Proc[[#This Row],[DaysAgeing]]&gt;5,"yep","on track")</f>
        <v>yep</v>
      </c>
      <c r="Q908" s="3">
        <f ca="1">IF(Proc[[#This Row],[DateClosed]]="",ABS(NETWORKDAYS(Proc[[#This Row],[DateOpened]],TODAY()))-1,ABS(NETWORKDAYS(Proc[[#This Row],[DateOpened]],Proc[[#This Row],[DateClosed]]))-1)</f>
        <v>198</v>
      </c>
      <c r="R908" s="70" t="s">
        <v>2440</v>
      </c>
      <c r="S908" s="69"/>
    </row>
    <row r="909" spans="1:19" hidden="1">
      <c r="A909" t="s">
        <v>2459</v>
      </c>
      <c r="B909" s="149" t="str">
        <f>IFERROR(VLOOKUP(Proc[[#This Row],[App]],Table2[],3,0),"open")</f>
        <v>ok</v>
      </c>
      <c r="C909" s="72" t="s">
        <v>398</v>
      </c>
      <c r="D909" t="s">
        <v>2447</v>
      </c>
      <c r="E909" t="s">
        <v>2458</v>
      </c>
      <c r="F909" s="103" t="s">
        <v>2458</v>
      </c>
      <c r="G909" t="s">
        <v>406</v>
      </c>
      <c r="H909" s="69" t="str">
        <f>IF(Proc[[#This Row],[type]]="LFF (MDG-F)",MID(Proc[[#This Row],[Obj]],13,10),"")</f>
        <v>2148TASA01</v>
      </c>
      <c r="I909" t="s">
        <v>2474</v>
      </c>
      <c r="J909" s="69" t="b">
        <f>Proc[[#This Row],[Requested]]=Proc[[#This Row],[CurrentParent]]</f>
        <v>1</v>
      </c>
      <c r="K909" s="144" t="str">
        <f>IF(Proc[[#This Row],[Author]]="Marcela Urrego",VLOOKUP(LEFT(Proc[[#This Row],[Requested]],1),Table3[#All],2,0),VLOOKUP(Proc[[#This Row],[Author]],Table4[],2,0))</f>
        <v>LS</v>
      </c>
      <c r="L909" s="32" t="s">
        <v>509</v>
      </c>
      <c r="M909" s="71">
        <v>45734.760057870371</v>
      </c>
      <c r="P909" s="70" t="str">
        <f ca="1">IF(Proc[[#This Row],[DaysAgeing]]&gt;5,"yep","on track")</f>
        <v>yep</v>
      </c>
      <c r="Q909" s="3">
        <f ca="1">IF(Proc[[#This Row],[DateClosed]]="",ABS(NETWORKDAYS(Proc[[#This Row],[DateOpened]],TODAY()))-1,ABS(NETWORKDAYS(Proc[[#This Row],[DateOpened]],Proc[[#This Row],[DateClosed]]))-1)</f>
        <v>198</v>
      </c>
      <c r="R909" s="70" t="s">
        <v>830</v>
      </c>
      <c r="S909" s="94" t="e">
        <f>VLOOKUP(Proc[[#This Row],[Obj]],#REF!,2,0)</f>
        <v>#REF!</v>
      </c>
    </row>
    <row r="910" spans="1:19" hidden="1">
      <c r="A910" s="72" t="s">
        <v>2459</v>
      </c>
      <c r="B910" s="149" t="str">
        <f>IFERROR(VLOOKUP(Proc[[#This Row],[App]],Table2[],3,0),"open")</f>
        <v>ok</v>
      </c>
      <c r="C910" s="72" t="s">
        <v>398</v>
      </c>
      <c r="D910" t="s">
        <v>2448</v>
      </c>
      <c r="E910" t="s">
        <v>2458</v>
      </c>
      <c r="F910" s="103" t="s">
        <v>2458</v>
      </c>
      <c r="G910" s="72" t="s">
        <v>406</v>
      </c>
      <c r="H910" s="69" t="str">
        <f>IF(Proc[[#This Row],[type]]="LFF (MDG-F)",MID(Proc[[#This Row],[Obj]],13,10),"")</f>
        <v>2148TASA99</v>
      </c>
      <c r="I910" s="72" t="s">
        <v>2474</v>
      </c>
      <c r="J910" s="69" t="b">
        <f>Proc[[#This Row],[Requested]]=Proc[[#This Row],[CurrentParent]]</f>
        <v>1</v>
      </c>
      <c r="K910" s="144" t="str">
        <f>IF(Proc[[#This Row],[Author]]="Marcela Urrego",VLOOKUP(LEFT(Proc[[#This Row],[Requested]],1),Table3[#All],2,0),VLOOKUP(Proc[[#This Row],[Author]],Table4[],2,0))</f>
        <v>LS</v>
      </c>
      <c r="L910" s="32" t="s">
        <v>509</v>
      </c>
      <c r="M910" s="71">
        <v>45734.760057870371</v>
      </c>
      <c r="P910" s="70" t="str">
        <f ca="1">IF(Proc[[#This Row],[DaysAgeing]]&gt;5,"yep","on track")</f>
        <v>yep</v>
      </c>
      <c r="Q910" s="3">
        <f ca="1">IF(Proc[[#This Row],[DateClosed]]="",ABS(NETWORKDAYS(Proc[[#This Row],[DateOpened]],TODAY()))-1,ABS(NETWORKDAYS(Proc[[#This Row],[DateOpened]],Proc[[#This Row],[DateClosed]]))-1)</f>
        <v>198</v>
      </c>
      <c r="R910" s="70" t="s">
        <v>830</v>
      </c>
      <c r="S910" s="94" t="e">
        <f>VLOOKUP(Proc[[#This Row],[Obj]],#REF!,2,0)</f>
        <v>#REF!</v>
      </c>
    </row>
    <row r="911" spans="1:19" hidden="1">
      <c r="A911" s="72" t="s">
        <v>2459</v>
      </c>
      <c r="B911" s="149" t="str">
        <f>IFERROR(VLOOKUP(Proc[[#This Row],[App]],Table2[],3,0),"open")</f>
        <v>ok</v>
      </c>
      <c r="C911" s="72" t="s">
        <v>398</v>
      </c>
      <c r="D911" t="s">
        <v>2449</v>
      </c>
      <c r="E911" t="s">
        <v>2458</v>
      </c>
      <c r="F911" s="103" t="s">
        <v>2458</v>
      </c>
      <c r="G911" s="72" t="s">
        <v>406</v>
      </c>
      <c r="H911" s="69" t="str">
        <f>IF(Proc[[#This Row],[type]]="LFF (MDG-F)",MID(Proc[[#This Row],[Obj]],13,10),"")</f>
        <v>2148TASB00</v>
      </c>
      <c r="I911" s="72" t="s">
        <v>2474</v>
      </c>
      <c r="J911" s="69" t="b">
        <f>Proc[[#This Row],[Requested]]=Proc[[#This Row],[CurrentParent]]</f>
        <v>1</v>
      </c>
      <c r="K911" s="144" t="str">
        <f>IF(Proc[[#This Row],[Author]]="Marcela Urrego",VLOOKUP(LEFT(Proc[[#This Row],[Requested]],1),Table3[#All],2,0),VLOOKUP(Proc[[#This Row],[Author]],Table4[],2,0))</f>
        <v>LS</v>
      </c>
      <c r="L911" s="32" t="s">
        <v>509</v>
      </c>
      <c r="M911" s="71">
        <v>45734.760057870371</v>
      </c>
      <c r="P911" s="70" t="str">
        <f ca="1">IF(Proc[[#This Row],[DaysAgeing]]&gt;5,"yep","on track")</f>
        <v>yep</v>
      </c>
      <c r="Q911" s="3">
        <f ca="1">IF(Proc[[#This Row],[DateClosed]]="",ABS(NETWORKDAYS(Proc[[#This Row],[DateOpened]],TODAY()))-1,ABS(NETWORKDAYS(Proc[[#This Row],[DateOpened]],Proc[[#This Row],[DateClosed]]))-1)</f>
        <v>198</v>
      </c>
      <c r="R911" s="70" t="s">
        <v>830</v>
      </c>
      <c r="S911" s="94" t="e">
        <f>VLOOKUP(Proc[[#This Row],[Obj]],#REF!,2,0)</f>
        <v>#REF!</v>
      </c>
    </row>
    <row r="912" spans="1:19" hidden="1">
      <c r="A912" s="72" t="s">
        <v>2459</v>
      </c>
      <c r="B912" s="149" t="str">
        <f>IFERROR(VLOOKUP(Proc[[#This Row],[App]],Table2[],3,0),"open")</f>
        <v>ok</v>
      </c>
      <c r="C912" s="72" t="s">
        <v>398</v>
      </c>
      <c r="D912" t="s">
        <v>2450</v>
      </c>
      <c r="E912" t="s">
        <v>2458</v>
      </c>
      <c r="F912" s="103" t="s">
        <v>2458</v>
      </c>
      <c r="G912" s="72" t="s">
        <v>406</v>
      </c>
      <c r="H912" s="69" t="str">
        <f>IF(Proc[[#This Row],[type]]="LFF (MDG-F)",MID(Proc[[#This Row],[Obj]],13,10),"")</f>
        <v>2148TASB01</v>
      </c>
      <c r="I912" s="72" t="s">
        <v>2474</v>
      </c>
      <c r="J912" s="69" t="b">
        <f>Proc[[#This Row],[Requested]]=Proc[[#This Row],[CurrentParent]]</f>
        <v>1</v>
      </c>
      <c r="K912" s="144" t="str">
        <f>IF(Proc[[#This Row],[Author]]="Marcela Urrego",VLOOKUP(LEFT(Proc[[#This Row],[Requested]],1),Table3[#All],2,0),VLOOKUP(Proc[[#This Row],[Author]],Table4[],2,0))</f>
        <v>LS</v>
      </c>
      <c r="L912" s="32" t="s">
        <v>509</v>
      </c>
      <c r="M912" s="71">
        <v>45734.760057870371</v>
      </c>
      <c r="P912" s="70" t="str">
        <f ca="1">IF(Proc[[#This Row],[DaysAgeing]]&gt;5,"yep","on track")</f>
        <v>yep</v>
      </c>
      <c r="Q912" s="3">
        <f ca="1">IF(Proc[[#This Row],[DateClosed]]="",ABS(NETWORKDAYS(Proc[[#This Row],[DateOpened]],TODAY()))-1,ABS(NETWORKDAYS(Proc[[#This Row],[DateOpened]],Proc[[#This Row],[DateClosed]]))-1)</f>
        <v>198</v>
      </c>
      <c r="R912" s="70" t="s">
        <v>830</v>
      </c>
      <c r="S912" s="94" t="e">
        <f>VLOOKUP(Proc[[#This Row],[Obj]],#REF!,2,0)</f>
        <v>#REF!</v>
      </c>
    </row>
    <row r="913" spans="1:19" hidden="1">
      <c r="A913" s="72" t="s">
        <v>2459</v>
      </c>
      <c r="B913" s="149" t="str">
        <f>IFERROR(VLOOKUP(Proc[[#This Row],[App]],Table2[],3,0),"open")</f>
        <v>ok</v>
      </c>
      <c r="C913" s="72" t="s">
        <v>398</v>
      </c>
      <c r="D913" t="s">
        <v>2451</v>
      </c>
      <c r="E913" t="s">
        <v>2458</v>
      </c>
      <c r="F913" s="103" t="s">
        <v>2458</v>
      </c>
      <c r="G913" s="72" t="s">
        <v>406</v>
      </c>
      <c r="H913" s="69" t="str">
        <f>IF(Proc[[#This Row],[type]]="LFF (MDG-F)",MID(Proc[[#This Row],[Obj]],13,10),"")</f>
        <v>2148TASB99</v>
      </c>
      <c r="I913" s="72" t="s">
        <v>2474</v>
      </c>
      <c r="J913" s="69" t="b">
        <f>Proc[[#This Row],[Requested]]=Proc[[#This Row],[CurrentParent]]</f>
        <v>1</v>
      </c>
      <c r="K913" s="144" t="str">
        <f>IF(Proc[[#This Row],[Author]]="Marcela Urrego",VLOOKUP(LEFT(Proc[[#This Row],[Requested]],1),Table3[#All],2,0),VLOOKUP(Proc[[#This Row],[Author]],Table4[],2,0))</f>
        <v>LS</v>
      </c>
      <c r="L913" s="32" t="s">
        <v>509</v>
      </c>
      <c r="M913" s="71">
        <v>45734.760057870371</v>
      </c>
      <c r="P913" s="70" t="str">
        <f ca="1">IF(Proc[[#This Row],[DaysAgeing]]&gt;5,"yep","on track")</f>
        <v>yep</v>
      </c>
      <c r="Q913" s="3">
        <f ca="1">IF(Proc[[#This Row],[DateClosed]]="",ABS(NETWORKDAYS(Proc[[#This Row],[DateOpened]],TODAY()))-1,ABS(NETWORKDAYS(Proc[[#This Row],[DateOpened]],Proc[[#This Row],[DateClosed]]))-1)</f>
        <v>198</v>
      </c>
      <c r="R913" s="70" t="s">
        <v>830</v>
      </c>
      <c r="S913" s="94" t="e">
        <f>VLOOKUP(Proc[[#This Row],[Obj]],#REF!,2,0)</f>
        <v>#REF!</v>
      </c>
    </row>
    <row r="914" spans="1:19" hidden="1">
      <c r="A914" s="72" t="s">
        <v>2459</v>
      </c>
      <c r="B914" s="149" t="str">
        <f>IFERROR(VLOOKUP(Proc[[#This Row],[App]],Table2[],3,0),"open")</f>
        <v>ok</v>
      </c>
      <c r="C914" s="72" t="s">
        <v>398</v>
      </c>
      <c r="D914" t="s">
        <v>2452</v>
      </c>
      <c r="E914" t="s">
        <v>2458</v>
      </c>
      <c r="F914" s="103" t="s">
        <v>2458</v>
      </c>
      <c r="G914" s="72" t="s">
        <v>406</v>
      </c>
      <c r="H914" s="69" t="str">
        <f>IF(Proc[[#This Row],[type]]="LFF (MDG-F)",MID(Proc[[#This Row],[Obj]],13,10),"")</f>
        <v>2148TBSZ20</v>
      </c>
      <c r="I914" s="72" t="s">
        <v>2474</v>
      </c>
      <c r="J914" s="69" t="b">
        <f>Proc[[#This Row],[Requested]]=Proc[[#This Row],[CurrentParent]]</f>
        <v>1</v>
      </c>
      <c r="K914" s="144" t="str">
        <f>IF(Proc[[#This Row],[Author]]="Marcela Urrego",VLOOKUP(LEFT(Proc[[#This Row],[Requested]],1),Table3[#All],2,0),VLOOKUP(Proc[[#This Row],[Author]],Table4[],2,0))</f>
        <v>LS</v>
      </c>
      <c r="L914" s="32" t="s">
        <v>509</v>
      </c>
      <c r="M914" s="71">
        <v>45734.760057870371</v>
      </c>
      <c r="P914" s="70" t="str">
        <f ca="1">IF(Proc[[#This Row],[DaysAgeing]]&gt;5,"yep","on track")</f>
        <v>yep</v>
      </c>
      <c r="Q914" s="3">
        <f ca="1">IF(Proc[[#This Row],[DateClosed]]="",ABS(NETWORKDAYS(Proc[[#This Row],[DateOpened]],TODAY()))-1,ABS(NETWORKDAYS(Proc[[#This Row],[DateOpened]],Proc[[#This Row],[DateClosed]]))-1)</f>
        <v>198</v>
      </c>
      <c r="R914" s="70" t="s">
        <v>830</v>
      </c>
      <c r="S914" s="94" t="e">
        <f>VLOOKUP(Proc[[#This Row],[Obj]],#REF!,2,0)</f>
        <v>#REF!</v>
      </c>
    </row>
    <row r="915" spans="1:19" hidden="1">
      <c r="A915" s="72" t="s">
        <v>2459</v>
      </c>
      <c r="B915" s="149" t="str">
        <f>IFERROR(VLOOKUP(Proc[[#This Row],[App]],Table2[],3,0),"open")</f>
        <v>ok</v>
      </c>
      <c r="C915" s="72" t="s">
        <v>398</v>
      </c>
      <c r="D915" t="s">
        <v>2453</v>
      </c>
      <c r="E915" t="s">
        <v>2458</v>
      </c>
      <c r="F915" s="103" t="s">
        <v>2458</v>
      </c>
      <c r="G915" s="72" t="s">
        <v>406</v>
      </c>
      <c r="H915" s="69" t="str">
        <f>IF(Proc[[#This Row],[type]]="LFF (MDG-F)",MID(Proc[[#This Row],[Obj]],13,10),"")</f>
        <v>2148TBSZ21</v>
      </c>
      <c r="I915" s="72" t="s">
        <v>2474</v>
      </c>
      <c r="J915" s="69" t="b">
        <f>Proc[[#This Row],[Requested]]=Proc[[#This Row],[CurrentParent]]</f>
        <v>1</v>
      </c>
      <c r="K915" s="144" t="str">
        <f>IF(Proc[[#This Row],[Author]]="Marcela Urrego",VLOOKUP(LEFT(Proc[[#This Row],[Requested]],1),Table3[#All],2,0),VLOOKUP(Proc[[#This Row],[Author]],Table4[],2,0))</f>
        <v>LS</v>
      </c>
      <c r="L915" s="32" t="s">
        <v>509</v>
      </c>
      <c r="M915" s="71">
        <v>45734.760057870371</v>
      </c>
      <c r="P915" s="70" t="str">
        <f ca="1">IF(Proc[[#This Row],[DaysAgeing]]&gt;5,"yep","on track")</f>
        <v>yep</v>
      </c>
      <c r="Q915" s="3">
        <f ca="1">IF(Proc[[#This Row],[DateClosed]]="",ABS(NETWORKDAYS(Proc[[#This Row],[DateOpened]],TODAY()))-1,ABS(NETWORKDAYS(Proc[[#This Row],[DateOpened]],Proc[[#This Row],[DateClosed]]))-1)</f>
        <v>198</v>
      </c>
      <c r="R915" s="70" t="s">
        <v>830</v>
      </c>
      <c r="S915" s="94" t="e">
        <f>VLOOKUP(Proc[[#This Row],[Obj]],#REF!,2,0)</f>
        <v>#REF!</v>
      </c>
    </row>
    <row r="916" spans="1:19" hidden="1">
      <c r="A916" s="72" t="s">
        <v>2459</v>
      </c>
      <c r="B916" s="149" t="str">
        <f>IFERROR(VLOOKUP(Proc[[#This Row],[App]],Table2[],3,0),"open")</f>
        <v>ok</v>
      </c>
      <c r="C916" s="72" t="s">
        <v>398</v>
      </c>
      <c r="D916" t="s">
        <v>2454</v>
      </c>
      <c r="E916" t="s">
        <v>2458</v>
      </c>
      <c r="F916" s="103" t="s">
        <v>2458</v>
      </c>
      <c r="G916" s="72" t="s">
        <v>406</v>
      </c>
      <c r="H916" s="69" t="str">
        <f>IF(Proc[[#This Row],[type]]="LFF (MDG-F)",MID(Proc[[#This Row],[Obj]],13,10),"")</f>
        <v>2148TFSZ64</v>
      </c>
      <c r="I916" s="72" t="s">
        <v>2474</v>
      </c>
      <c r="J916" s="69" t="b">
        <f>Proc[[#This Row],[Requested]]=Proc[[#This Row],[CurrentParent]]</f>
        <v>1</v>
      </c>
      <c r="K916" s="144" t="str">
        <f>IF(Proc[[#This Row],[Author]]="Marcela Urrego",VLOOKUP(LEFT(Proc[[#This Row],[Requested]],1),Table3[#All],2,0),VLOOKUP(Proc[[#This Row],[Author]],Table4[],2,0))</f>
        <v>LS</v>
      </c>
      <c r="L916" s="32" t="s">
        <v>509</v>
      </c>
      <c r="M916" s="71">
        <v>45734.760057870371</v>
      </c>
      <c r="P916" s="70" t="str">
        <f ca="1">IF(Proc[[#This Row],[DaysAgeing]]&gt;5,"yep","on track")</f>
        <v>yep</v>
      </c>
      <c r="Q916" s="3">
        <f ca="1">IF(Proc[[#This Row],[DateClosed]]="",ABS(NETWORKDAYS(Proc[[#This Row],[DateOpened]],TODAY()))-1,ABS(NETWORKDAYS(Proc[[#This Row],[DateOpened]],Proc[[#This Row],[DateClosed]]))-1)</f>
        <v>198</v>
      </c>
      <c r="R916" s="70" t="s">
        <v>830</v>
      </c>
      <c r="S916" s="94" t="e">
        <f>VLOOKUP(Proc[[#This Row],[Obj]],#REF!,2,0)</f>
        <v>#REF!</v>
      </c>
    </row>
    <row r="917" spans="1:19" hidden="1">
      <c r="A917" s="72" t="s">
        <v>2459</v>
      </c>
      <c r="B917" s="149" t="str">
        <f>IFERROR(VLOOKUP(Proc[[#This Row],[App]],Table2[],3,0),"open")</f>
        <v>ok</v>
      </c>
      <c r="C917" s="72" t="s">
        <v>398</v>
      </c>
      <c r="D917" t="s">
        <v>2455</v>
      </c>
      <c r="E917" t="s">
        <v>2458</v>
      </c>
      <c r="F917" s="103" t="s">
        <v>2458</v>
      </c>
      <c r="G917" s="72" t="s">
        <v>406</v>
      </c>
      <c r="H917" s="69" t="str">
        <f>IF(Proc[[#This Row],[type]]="LFF (MDG-F)",MID(Proc[[#This Row],[Obj]],13,10),"")</f>
        <v>2148TKSZ70</v>
      </c>
      <c r="I917" s="72" t="s">
        <v>2474</v>
      </c>
      <c r="J917" s="69" t="b">
        <f>Proc[[#This Row],[Requested]]=Proc[[#This Row],[CurrentParent]]</f>
        <v>1</v>
      </c>
      <c r="K917" s="144" t="str">
        <f>IF(Proc[[#This Row],[Author]]="Marcela Urrego",VLOOKUP(LEFT(Proc[[#This Row],[Requested]],1),Table3[#All],2,0),VLOOKUP(Proc[[#This Row],[Author]],Table4[],2,0))</f>
        <v>LS</v>
      </c>
      <c r="L917" s="32" t="s">
        <v>509</v>
      </c>
      <c r="M917" s="71">
        <v>45734.760057870371</v>
      </c>
      <c r="P917" s="70" t="str">
        <f ca="1">IF(Proc[[#This Row],[DaysAgeing]]&gt;5,"yep","on track")</f>
        <v>yep</v>
      </c>
      <c r="Q917" s="3">
        <f ca="1">IF(Proc[[#This Row],[DateClosed]]="",ABS(NETWORKDAYS(Proc[[#This Row],[DateOpened]],TODAY()))-1,ABS(NETWORKDAYS(Proc[[#This Row],[DateOpened]],Proc[[#This Row],[DateClosed]]))-1)</f>
        <v>198</v>
      </c>
      <c r="R917" s="70" t="s">
        <v>830</v>
      </c>
      <c r="S917" s="94" t="e">
        <f>VLOOKUP(Proc[[#This Row],[Obj]],#REF!,2,0)</f>
        <v>#REF!</v>
      </c>
    </row>
    <row r="918" spans="1:19" hidden="1">
      <c r="A918" s="72" t="s">
        <v>2459</v>
      </c>
      <c r="B918" s="149" t="str">
        <f>IFERROR(VLOOKUP(Proc[[#This Row],[App]],Table2[],3,0),"open")</f>
        <v>ok</v>
      </c>
      <c r="C918" s="72" t="s">
        <v>398</v>
      </c>
      <c r="D918" t="s">
        <v>2456</v>
      </c>
      <c r="E918" t="s">
        <v>2458</v>
      </c>
      <c r="F918" s="103" t="s">
        <v>2458</v>
      </c>
      <c r="G918" s="72" t="s">
        <v>406</v>
      </c>
      <c r="H918" s="69" t="str">
        <f>IF(Proc[[#This Row],[type]]="LFF (MDG-F)",MID(Proc[[#This Row],[Obj]],13,10),"")</f>
        <v>2148TQSZ91</v>
      </c>
      <c r="I918" s="72" t="s">
        <v>2474</v>
      </c>
      <c r="J918" s="69" t="b">
        <f>Proc[[#This Row],[Requested]]=Proc[[#This Row],[CurrentParent]]</f>
        <v>1</v>
      </c>
      <c r="K918" s="144" t="str">
        <f>IF(Proc[[#This Row],[Author]]="Marcela Urrego",VLOOKUP(LEFT(Proc[[#This Row],[Requested]],1),Table3[#All],2,0),VLOOKUP(Proc[[#This Row],[Author]],Table4[],2,0))</f>
        <v>LS</v>
      </c>
      <c r="L918" s="32" t="s">
        <v>509</v>
      </c>
      <c r="M918" s="71">
        <v>45734.760057870371</v>
      </c>
      <c r="P918" s="70" t="str">
        <f ca="1">IF(Proc[[#This Row],[DaysAgeing]]&gt;5,"yep","on track")</f>
        <v>yep</v>
      </c>
      <c r="Q918" s="3">
        <f ca="1">IF(Proc[[#This Row],[DateClosed]]="",ABS(NETWORKDAYS(Proc[[#This Row],[DateOpened]],TODAY()))-1,ABS(NETWORKDAYS(Proc[[#This Row],[DateOpened]],Proc[[#This Row],[DateClosed]]))-1)</f>
        <v>198</v>
      </c>
      <c r="R918" s="70" t="s">
        <v>830</v>
      </c>
      <c r="S918" s="94" t="e">
        <f>VLOOKUP(Proc[[#This Row],[Obj]],#REF!,2,0)</f>
        <v>#REF!</v>
      </c>
    </row>
    <row r="919" spans="1:19" hidden="1">
      <c r="A919" s="72" t="s">
        <v>2459</v>
      </c>
      <c r="B919" s="149" t="str">
        <f>IFERROR(VLOOKUP(Proc[[#This Row],[App]],Table2[],3,0),"open")</f>
        <v>ok</v>
      </c>
      <c r="C919" s="72" t="s">
        <v>398</v>
      </c>
      <c r="D919" t="s">
        <v>2457</v>
      </c>
      <c r="E919" t="s">
        <v>2458</v>
      </c>
      <c r="F919" s="103" t="s">
        <v>2458</v>
      </c>
      <c r="G919" s="72" t="s">
        <v>406</v>
      </c>
      <c r="H919" s="69" t="str">
        <f>IF(Proc[[#This Row],[type]]="LFF (MDG-F)",MID(Proc[[#This Row],[Obj]],13,10),"")</f>
        <v>2148TQSZ92</v>
      </c>
      <c r="I919" s="72" t="s">
        <v>2474</v>
      </c>
      <c r="J919" s="69" t="b">
        <f>Proc[[#This Row],[Requested]]=Proc[[#This Row],[CurrentParent]]</f>
        <v>1</v>
      </c>
      <c r="K919" s="144" t="str">
        <f>IF(Proc[[#This Row],[Author]]="Marcela Urrego",VLOOKUP(LEFT(Proc[[#This Row],[Requested]],1),Table3[#All],2,0),VLOOKUP(Proc[[#This Row],[Author]],Table4[],2,0))</f>
        <v>LS</v>
      </c>
      <c r="L919" s="32" t="s">
        <v>509</v>
      </c>
      <c r="M919" s="71">
        <v>45734.760057870371</v>
      </c>
      <c r="P919" s="70" t="str">
        <f ca="1">IF(Proc[[#This Row],[DaysAgeing]]&gt;5,"yep","on track")</f>
        <v>yep</v>
      </c>
      <c r="Q919" s="3">
        <f ca="1">IF(Proc[[#This Row],[DateClosed]]="",ABS(NETWORKDAYS(Proc[[#This Row],[DateOpened]],TODAY()))-1,ABS(NETWORKDAYS(Proc[[#This Row],[DateOpened]],Proc[[#This Row],[DateClosed]]))-1)</f>
        <v>198</v>
      </c>
      <c r="R919" s="70" t="s">
        <v>830</v>
      </c>
      <c r="S919" s="94" t="e">
        <f>VLOOKUP(Proc[[#This Row],[Obj]],#REF!,2,0)</f>
        <v>#REF!</v>
      </c>
    </row>
    <row r="920" spans="1:19" hidden="1">
      <c r="A920" t="s">
        <v>2460</v>
      </c>
      <c r="B920" s="149" t="str">
        <f>IFERROR(VLOOKUP(Proc[[#This Row],[App]],Table2[],3,0),"open")</f>
        <v>ok</v>
      </c>
      <c r="C920" s="72" t="s">
        <v>369</v>
      </c>
      <c r="D920" t="s">
        <v>2461</v>
      </c>
      <c r="E920" t="s">
        <v>2463</v>
      </c>
      <c r="F920" s="117" t="s">
        <v>2463</v>
      </c>
      <c r="G920" t="s">
        <v>400</v>
      </c>
      <c r="H920" s="69" t="str">
        <f>IF(Proc[[#This Row],[type]]="LFF (MDG-F)",MID(Proc[[#This Row],[Obj]],13,10),"")</f>
        <v/>
      </c>
      <c r="J920" s="69" t="b">
        <f>Proc[[#This Row],[Requested]]=Proc[[#This Row],[CurrentParent]]</f>
        <v>1</v>
      </c>
      <c r="K920" s="144" t="str">
        <f>IF(Proc[[#This Row],[Author]]="Marcela Urrego",VLOOKUP(LEFT(Proc[[#This Row],[Requested]],1),Table3[#All],2,0),VLOOKUP(Proc[[#This Row],[Author]],Table4[],2,0))</f>
        <v>LS</v>
      </c>
      <c r="L920" s="32" t="s">
        <v>509</v>
      </c>
      <c r="M920" s="71">
        <v>45734.760057870371</v>
      </c>
      <c r="N920" s="71">
        <v>45740</v>
      </c>
      <c r="O920" s="71">
        <v>45740</v>
      </c>
      <c r="P920" s="70" t="str">
        <f ca="1">IF(Proc[[#This Row],[DaysAgeing]]&gt;5,"yep","on track")</f>
        <v>on track</v>
      </c>
      <c r="Q920" s="3">
        <f ca="1">IF(Proc[[#This Row],[DateClosed]]="",ABS(NETWORKDAYS(Proc[[#This Row],[DateOpened]],TODAY()))-1,ABS(NETWORKDAYS(Proc[[#This Row],[DateOpened]],Proc[[#This Row],[DateClosed]]))-1)</f>
        <v>4</v>
      </c>
      <c r="R920" s="70" t="s">
        <v>972</v>
      </c>
      <c r="S920" s="69"/>
    </row>
    <row r="921" spans="1:19" hidden="1">
      <c r="A921" s="72" t="s">
        <v>2460</v>
      </c>
      <c r="B921" s="149" t="str">
        <f>IFERROR(VLOOKUP(Proc[[#This Row],[App]],Table2[],3,0),"open")</f>
        <v>ok</v>
      </c>
      <c r="C921" s="72" t="s">
        <v>369</v>
      </c>
      <c r="D921" t="s">
        <v>2462</v>
      </c>
      <c r="E921" t="s">
        <v>977</v>
      </c>
      <c r="F921" s="117" t="s">
        <v>977</v>
      </c>
      <c r="G921" s="72" t="s">
        <v>400</v>
      </c>
      <c r="H921" s="69" t="str">
        <f>IF(Proc[[#This Row],[type]]="LFF (MDG-F)",MID(Proc[[#This Row],[Obj]],13,10),"")</f>
        <v/>
      </c>
      <c r="J921" s="69" t="b">
        <f>Proc[[#This Row],[Requested]]=Proc[[#This Row],[CurrentParent]]</f>
        <v>1</v>
      </c>
      <c r="K921" s="144" t="str">
        <f>IF(Proc[[#This Row],[Author]]="Marcela Urrego",VLOOKUP(LEFT(Proc[[#This Row],[Requested]],1),Table3[#All],2,0),VLOOKUP(Proc[[#This Row],[Author]],Table4[],2,0))</f>
        <v>LS</v>
      </c>
      <c r="L921" s="32" t="s">
        <v>509</v>
      </c>
      <c r="M921" s="71">
        <v>45734.760057870371</v>
      </c>
      <c r="N921" s="71">
        <v>45740</v>
      </c>
      <c r="O921" s="71">
        <v>45740</v>
      </c>
      <c r="P921" s="70" t="str">
        <f ca="1">IF(Proc[[#This Row],[DaysAgeing]]&gt;5,"yep","on track")</f>
        <v>on track</v>
      </c>
      <c r="Q921" s="3">
        <f ca="1">IF(Proc[[#This Row],[DateClosed]]="",ABS(NETWORKDAYS(Proc[[#This Row],[DateOpened]],TODAY()))-1,ABS(NETWORKDAYS(Proc[[#This Row],[DateOpened]],Proc[[#This Row],[DateClosed]]))-1)</f>
        <v>4</v>
      </c>
      <c r="R921" s="70" t="s">
        <v>972</v>
      </c>
      <c r="S921" s="69"/>
    </row>
    <row r="922" spans="1:19" hidden="1">
      <c r="A922" t="s">
        <v>2464</v>
      </c>
      <c r="B922" s="149" t="str">
        <f>IFERROR(VLOOKUP(Proc[[#This Row],[App]],Table2[],3,0),"open")</f>
        <v>ok</v>
      </c>
      <c r="C922" s="72" t="s">
        <v>369</v>
      </c>
      <c r="D922" t="s">
        <v>2306</v>
      </c>
      <c r="E922" s="72" t="s">
        <v>2308</v>
      </c>
      <c r="F922" s="117" t="s">
        <v>2308</v>
      </c>
      <c r="G922" t="s">
        <v>406</v>
      </c>
      <c r="H922" s="69" t="str">
        <f>IF(Proc[[#This Row],[type]]="LFF (MDG-F)",MID(Proc[[#This Row],[Obj]],13,10),"")</f>
        <v>DE10698316</v>
      </c>
      <c r="J922" s="69" t="b">
        <f>Proc[[#This Row],[Requested]]=Proc[[#This Row],[CurrentParent]]</f>
        <v>1</v>
      </c>
      <c r="K922" s="144" t="str">
        <f>IF(Proc[[#This Row],[Author]]="Marcela Urrego",VLOOKUP(LEFT(Proc[[#This Row],[Requested]],1),Table3[#All],2,0),VLOOKUP(Proc[[#This Row],[Author]],Table4[],2,0))</f>
        <v>MGF</v>
      </c>
      <c r="L922" s="32" t="s">
        <v>509</v>
      </c>
      <c r="M922" s="71">
        <v>45734.760057870371</v>
      </c>
      <c r="N922" s="71">
        <v>45736</v>
      </c>
      <c r="O922" s="71">
        <v>45736</v>
      </c>
      <c r="P922" s="70" t="str">
        <f ca="1">IF(Proc[[#This Row],[DaysAgeing]]&gt;5,"yep","on track")</f>
        <v>on track</v>
      </c>
      <c r="Q922" s="3">
        <f ca="1">IF(Proc[[#This Row],[DateClosed]]="",ABS(NETWORKDAYS(Proc[[#This Row],[DateOpened]],TODAY()))-1,ABS(NETWORKDAYS(Proc[[#This Row],[DateOpened]],Proc[[#This Row],[DateClosed]]))-1)</f>
        <v>2</v>
      </c>
      <c r="R922" s="70" t="s">
        <v>515</v>
      </c>
      <c r="S922" s="69"/>
    </row>
    <row r="923" spans="1:19" hidden="1">
      <c r="A923" t="s">
        <v>2465</v>
      </c>
      <c r="B923" s="149" t="str">
        <f>IFERROR(VLOOKUP(Proc[[#This Row],[App]],Table2[],3,0),"open")</f>
        <v>ok</v>
      </c>
      <c r="C923" s="72" t="s">
        <v>369</v>
      </c>
      <c r="D923" t="s">
        <v>2466</v>
      </c>
      <c r="E923" t="s">
        <v>2467</v>
      </c>
      <c r="F923" s="117" t="s">
        <v>2467</v>
      </c>
      <c r="G923" t="s">
        <v>400</v>
      </c>
      <c r="H923" s="69" t="str">
        <f>IF(Proc[[#This Row],[type]]="LFF (MDG-F)",MID(Proc[[#This Row],[Obj]],13,10),"")</f>
        <v/>
      </c>
      <c r="J923" s="69" t="b">
        <f>Proc[[#This Row],[Requested]]=Proc[[#This Row],[CurrentParent]]</f>
        <v>1</v>
      </c>
      <c r="K923" s="144" t="str">
        <f>IF(Proc[[#This Row],[Author]]="Marcela Urrego",VLOOKUP(LEFT(Proc[[#This Row],[Requested]],1),Table3[#All],2,0),VLOOKUP(Proc[[#This Row],[Author]],Table4[],2,0))</f>
        <v>MGF</v>
      </c>
      <c r="L923" s="32" t="s">
        <v>509</v>
      </c>
      <c r="M923" s="71">
        <v>45734.760057870371</v>
      </c>
      <c r="N923" s="71">
        <v>45736</v>
      </c>
      <c r="O923" s="71">
        <v>45736</v>
      </c>
      <c r="P923" s="70" t="str">
        <f ca="1">IF(Proc[[#This Row],[DaysAgeing]]&gt;5,"yep","on track")</f>
        <v>on track</v>
      </c>
      <c r="Q923" s="3">
        <f ca="1">IF(Proc[[#This Row],[DateClosed]]="",ABS(NETWORKDAYS(Proc[[#This Row],[DateOpened]],TODAY()))-1,ABS(NETWORKDAYS(Proc[[#This Row],[DateOpened]],Proc[[#This Row],[DateClosed]]))-1)</f>
        <v>2</v>
      </c>
      <c r="R923" s="70" t="s">
        <v>1076</v>
      </c>
      <c r="S923" s="69"/>
    </row>
    <row r="924" spans="1:19" hidden="1">
      <c r="A924" t="s">
        <v>2469</v>
      </c>
      <c r="B924" s="149" t="str">
        <f>IFERROR(VLOOKUP(Proc[[#This Row],[App]],Table2[],3,0),"open")</f>
        <v>ok</v>
      </c>
      <c r="C924" s="72" t="s">
        <v>369</v>
      </c>
      <c r="D924" t="s">
        <v>2468</v>
      </c>
      <c r="E924" s="72" t="s">
        <v>2470</v>
      </c>
      <c r="F924" s="117" t="s">
        <v>2470</v>
      </c>
      <c r="G924" s="72" t="s">
        <v>400</v>
      </c>
      <c r="H924" s="69" t="str">
        <f>IF(Proc[[#This Row],[type]]="LFF (MDG-F)",MID(Proc[[#This Row],[Obj]],13,10),"")</f>
        <v/>
      </c>
      <c r="J924" s="69" t="b">
        <f>Proc[[#This Row],[Requested]]=Proc[[#This Row],[CurrentParent]]</f>
        <v>1</v>
      </c>
      <c r="K924" s="144" t="str">
        <f>IF(Proc[[#This Row],[Author]]="Marcela Urrego",VLOOKUP(LEFT(Proc[[#This Row],[Requested]],1),Table3[#All],2,0),VLOOKUP(Proc[[#This Row],[Author]],Table4[],2,0))</f>
        <v>MGF</v>
      </c>
      <c r="L924" s="32" t="s">
        <v>509</v>
      </c>
      <c r="M924" s="71">
        <v>45735.357986111114</v>
      </c>
      <c r="N924" s="71">
        <v>45736</v>
      </c>
      <c r="O924" s="71">
        <v>45736</v>
      </c>
      <c r="P924" s="74" t="str">
        <f ca="1">IF(Proc[[#This Row],[DaysAgeing]]&gt;5,"yep","on track")</f>
        <v>on track</v>
      </c>
      <c r="Q924" s="3">
        <f ca="1">IF(Proc[[#This Row],[DateClosed]]="",ABS(NETWORKDAYS(Proc[[#This Row],[DateOpened]],TODAY()))-1,ABS(NETWORKDAYS(Proc[[#This Row],[DateOpened]],Proc[[#This Row],[DateClosed]]))-1)</f>
        <v>1</v>
      </c>
      <c r="R924" s="71" t="s">
        <v>1076</v>
      </c>
      <c r="S924" s="69"/>
    </row>
    <row r="925" spans="1:19" hidden="1">
      <c r="A925" t="s">
        <v>2471</v>
      </c>
      <c r="B925" s="149" t="str">
        <f>IFERROR(VLOOKUP(Proc[[#This Row],[App]],Table2[],3,0),"open")</f>
        <v>ok</v>
      </c>
      <c r="C925" s="72" t="s">
        <v>369</v>
      </c>
      <c r="D925" t="s">
        <v>2472</v>
      </c>
      <c r="E925" t="s">
        <v>2473</v>
      </c>
      <c r="F925" s="117" t="s">
        <v>2473</v>
      </c>
      <c r="G925" s="72" t="s">
        <v>400</v>
      </c>
      <c r="H925" s="69" t="str">
        <f>IF(Proc[[#This Row],[type]]="LFF (MDG-F)",MID(Proc[[#This Row],[Obj]],13,10),"")</f>
        <v/>
      </c>
      <c r="J925" s="69" t="b">
        <f>Proc[[#This Row],[Requested]]=Proc[[#This Row],[CurrentParent]]</f>
        <v>1</v>
      </c>
      <c r="K925" s="144" t="str">
        <f>IF(Proc[[#This Row],[Author]]="Marcela Urrego",VLOOKUP(LEFT(Proc[[#This Row],[Requested]],1),Table3[#All],2,0),VLOOKUP(Proc[[#This Row],[Author]],Table4[],2,0))</f>
        <v>MGF</v>
      </c>
      <c r="L925" s="32" t="s">
        <v>509</v>
      </c>
      <c r="M925" s="71">
        <v>45735.557951388888</v>
      </c>
      <c r="N925" s="71">
        <v>45736</v>
      </c>
      <c r="O925" s="71">
        <v>45736</v>
      </c>
      <c r="P925" s="74" t="str">
        <f ca="1">IF(Proc[[#This Row],[DaysAgeing]]&gt;5,"yep","on track")</f>
        <v>on track</v>
      </c>
      <c r="Q925" s="3">
        <f ca="1">IF(Proc[[#This Row],[DateClosed]]="",ABS(NETWORKDAYS(Proc[[#This Row],[DateOpened]],TODAY()))-1,ABS(NETWORKDAYS(Proc[[#This Row],[DateOpened]],Proc[[#This Row],[DateClosed]]))-1)</f>
        <v>1</v>
      </c>
      <c r="R925" s="71" t="s">
        <v>1076</v>
      </c>
      <c r="S925" s="69"/>
    </row>
    <row r="926" spans="1:19" hidden="1">
      <c r="A926" t="s">
        <v>2478</v>
      </c>
      <c r="B926" s="149" t="str">
        <f>IFERROR(VLOOKUP(Proc[[#This Row],[App]],Table2[],3,0),"open")</f>
        <v>ok</v>
      </c>
      <c r="C926" t="s">
        <v>369</v>
      </c>
      <c r="D926" t="s">
        <v>2479</v>
      </c>
      <c r="E926" t="s">
        <v>2482</v>
      </c>
      <c r="F926" s="117" t="s">
        <v>2482</v>
      </c>
      <c r="G926" s="72" t="s">
        <v>406</v>
      </c>
      <c r="H926" s="69" t="str">
        <f>IF(Proc[[#This Row],[type]]="LFF (MDG-F)",MID(Proc[[#This Row],[Obj]],13,10),"")</f>
        <v>US01OF0102</v>
      </c>
      <c r="I926" t="s">
        <v>2483</v>
      </c>
      <c r="J926" s="69" t="b">
        <f>Proc[[#This Row],[Requested]]=Proc[[#This Row],[CurrentParent]]</f>
        <v>1</v>
      </c>
      <c r="K926" s="144" t="str">
        <f>IF(Proc[[#This Row],[Author]]="Marcela Urrego",VLOOKUP(LEFT(Proc[[#This Row],[Requested]],1),Table3[#All],2,0),VLOOKUP(Proc[[#This Row],[Author]],Table4[],2,0))</f>
        <v>MGF</v>
      </c>
      <c r="L926" s="32" t="s">
        <v>509</v>
      </c>
      <c r="M926" s="71">
        <v>45737.568136574075</v>
      </c>
      <c r="N926" s="71">
        <v>45743</v>
      </c>
      <c r="O926" s="71">
        <v>45743</v>
      </c>
      <c r="P926" s="74" t="str">
        <f ca="1">IF(Proc[[#This Row],[DaysAgeing]]&gt;5,"yep","on track")</f>
        <v>on track</v>
      </c>
      <c r="Q926" s="3">
        <f ca="1">IF(Proc[[#This Row],[DateClosed]]="",ABS(NETWORKDAYS(Proc[[#This Row],[DateOpened]],TODAY()))-1,ABS(NETWORKDAYS(Proc[[#This Row],[DateOpened]],Proc[[#This Row],[DateClosed]]))-1)</f>
        <v>4</v>
      </c>
      <c r="R926" s="74" t="s">
        <v>1076</v>
      </c>
      <c r="S926" s="69"/>
    </row>
    <row r="927" spans="1:19" hidden="1">
      <c r="A927" t="s">
        <v>2478</v>
      </c>
      <c r="B927" s="149" t="str">
        <f>IFERROR(VLOOKUP(Proc[[#This Row],[App]],Table2[],3,0),"open")</f>
        <v>ok</v>
      </c>
      <c r="C927" s="72" t="s">
        <v>369</v>
      </c>
      <c r="D927" t="s">
        <v>2480</v>
      </c>
      <c r="E927" t="s">
        <v>2044</v>
      </c>
      <c r="F927" s="117" t="s">
        <v>2044</v>
      </c>
      <c r="G927" s="72" t="s">
        <v>400</v>
      </c>
      <c r="H927" s="69" t="str">
        <f>IF(Proc[[#This Row],[type]]="LFF (MDG-F)",MID(Proc[[#This Row],[Obj]],13,10),"")</f>
        <v/>
      </c>
      <c r="J927" s="69" t="b">
        <f>Proc[[#This Row],[Requested]]=Proc[[#This Row],[CurrentParent]]</f>
        <v>1</v>
      </c>
      <c r="K927" s="144" t="str">
        <f>IF(Proc[[#This Row],[Author]]="Marcela Urrego",VLOOKUP(LEFT(Proc[[#This Row],[Requested]],1),Table3[#All],2,0),VLOOKUP(Proc[[#This Row],[Author]],Table4[],2,0))</f>
        <v>MGF</v>
      </c>
      <c r="L927" s="32" t="s">
        <v>509</v>
      </c>
      <c r="M927" s="71">
        <v>45737.568136574075</v>
      </c>
      <c r="N927" s="71">
        <v>45743</v>
      </c>
      <c r="O927" s="71">
        <v>45743</v>
      </c>
      <c r="P927" s="74" t="str">
        <f ca="1">IF(Proc[[#This Row],[DaysAgeing]]&gt;5,"yep","on track")</f>
        <v>on track</v>
      </c>
      <c r="Q927" s="3">
        <f ca="1">IF(Proc[[#This Row],[DateClosed]]="",ABS(NETWORKDAYS(Proc[[#This Row],[DateOpened]],TODAY()))-1,ABS(NETWORKDAYS(Proc[[#This Row],[DateOpened]],Proc[[#This Row],[DateClosed]]))-1)</f>
        <v>4</v>
      </c>
      <c r="R927" s="74" t="s">
        <v>1076</v>
      </c>
      <c r="S927" s="69"/>
    </row>
    <row r="928" spans="1:19" hidden="1">
      <c r="A928" s="72" t="s">
        <v>2478</v>
      </c>
      <c r="B928" s="149" t="str">
        <f>IFERROR(VLOOKUP(Proc[[#This Row],[App]],Table2[],3,0),"open")</f>
        <v>ok</v>
      </c>
      <c r="C928" s="72" t="s">
        <v>369</v>
      </c>
      <c r="D928" t="s">
        <v>2040</v>
      </c>
      <c r="E928" t="s">
        <v>1249</v>
      </c>
      <c r="F928" s="117" t="s">
        <v>1249</v>
      </c>
      <c r="G928" t="s">
        <v>400</v>
      </c>
      <c r="H928" s="69" t="str">
        <f>IF(Proc[[#This Row],[type]]="LFF (MDG-F)",MID(Proc[[#This Row],[Obj]],13,10),"")</f>
        <v/>
      </c>
      <c r="J928" s="69" t="b">
        <f>Proc[[#This Row],[Requested]]=Proc[[#This Row],[CurrentParent]]</f>
        <v>1</v>
      </c>
      <c r="K928" s="144" t="str">
        <f>IF(Proc[[#This Row],[Author]]="Marcela Urrego",VLOOKUP(LEFT(Proc[[#This Row],[Requested]],1),Table3[#All],2,0),VLOOKUP(Proc[[#This Row],[Author]],Table4[],2,0))</f>
        <v>MGF</v>
      </c>
      <c r="L928" s="32" t="s">
        <v>509</v>
      </c>
      <c r="M928" s="71">
        <v>45737.568136574075</v>
      </c>
      <c r="N928" s="71">
        <v>45743</v>
      </c>
      <c r="O928" s="71">
        <v>45743</v>
      </c>
      <c r="P928" s="74" t="str">
        <f ca="1">IF(Proc[[#This Row],[DaysAgeing]]&gt;5,"yep","on track")</f>
        <v>on track</v>
      </c>
      <c r="Q928" s="3">
        <f ca="1">IF(Proc[[#This Row],[DateClosed]]="",ABS(NETWORKDAYS(Proc[[#This Row],[DateOpened]],TODAY()))-1,ABS(NETWORKDAYS(Proc[[#This Row],[DateOpened]],Proc[[#This Row],[DateClosed]]))-1)</f>
        <v>4</v>
      </c>
      <c r="R928" s="74" t="s">
        <v>1076</v>
      </c>
      <c r="S928" s="69"/>
    </row>
    <row r="929" spans="1:19" hidden="1">
      <c r="A929" s="72" t="s">
        <v>2478</v>
      </c>
      <c r="B929" s="149" t="str">
        <f>IFERROR(VLOOKUP(Proc[[#This Row],[App]],Table2[],3,0),"open")</f>
        <v>ok</v>
      </c>
      <c r="C929" s="72" t="s">
        <v>369</v>
      </c>
      <c r="D929" t="s">
        <v>2481</v>
      </c>
      <c r="E929" t="s">
        <v>2044</v>
      </c>
      <c r="F929" s="117" t="s">
        <v>2044</v>
      </c>
      <c r="G929" s="72" t="s">
        <v>406</v>
      </c>
      <c r="H929" s="69" t="str">
        <f>IF(Proc[[#This Row],[type]]="LFF (MDG-F)",MID(Proc[[#This Row],[Obj]],13,10),"")</f>
        <v>CN90GM1271</v>
      </c>
      <c r="J929" s="69" t="b">
        <f>Proc[[#This Row],[Requested]]=Proc[[#This Row],[CurrentParent]]</f>
        <v>1</v>
      </c>
      <c r="K929" s="144" t="str">
        <f>IF(Proc[[#This Row],[Author]]="Marcela Urrego",VLOOKUP(LEFT(Proc[[#This Row],[Requested]],1),Table3[#All],2,0),VLOOKUP(Proc[[#This Row],[Author]],Table4[],2,0))</f>
        <v>MGF</v>
      </c>
      <c r="L929" s="32" t="s">
        <v>509</v>
      </c>
      <c r="M929" s="71">
        <v>45737.568136574075</v>
      </c>
      <c r="N929" s="71">
        <v>45743</v>
      </c>
      <c r="O929" s="71">
        <v>45743</v>
      </c>
      <c r="P929" s="74" t="str">
        <f ca="1">IF(Proc[[#This Row],[DaysAgeing]]&gt;5,"yep","on track")</f>
        <v>on track</v>
      </c>
      <c r="Q929" s="3">
        <f ca="1">IF(Proc[[#This Row],[DateClosed]]="",ABS(NETWORKDAYS(Proc[[#This Row],[DateOpened]],TODAY()))-1,ABS(NETWORKDAYS(Proc[[#This Row],[DateOpened]],Proc[[#This Row],[DateClosed]]))-1)</f>
        <v>4</v>
      </c>
      <c r="R929" s="74" t="s">
        <v>1076</v>
      </c>
      <c r="S929" s="69"/>
    </row>
    <row r="930" spans="1:19" hidden="1">
      <c r="A930" s="72" t="s">
        <v>2475</v>
      </c>
      <c r="B930" s="149" t="str">
        <f>IFERROR(VLOOKUP(Proc[[#This Row],[App]],Table2[],3,0),"open")</f>
        <v>ok</v>
      </c>
      <c r="C930" s="72" t="s">
        <v>369</v>
      </c>
      <c r="D930" t="s">
        <v>2476</v>
      </c>
      <c r="E930" t="s">
        <v>2477</v>
      </c>
      <c r="F930" s="117" t="s">
        <v>2477</v>
      </c>
      <c r="G930" s="72" t="s">
        <v>406</v>
      </c>
      <c r="H930" s="69" t="str">
        <f>IF(Proc[[#This Row],[type]]="LFF (MDG-F)",MID(Proc[[#This Row],[Obj]],13,10),"")</f>
        <v>DE10GM2000</v>
      </c>
      <c r="J930" s="69" t="b">
        <f>Proc[[#This Row],[Requested]]=Proc[[#This Row],[CurrentParent]]</f>
        <v>1</v>
      </c>
      <c r="K930" s="144" t="str">
        <f>IF(Proc[[#This Row],[Author]]="Marcela Urrego",VLOOKUP(LEFT(Proc[[#This Row],[Requested]],1),Table3[#All],2,0),VLOOKUP(Proc[[#This Row],[Author]],Table4[],2,0))</f>
        <v>MGF</v>
      </c>
      <c r="L930" s="32" t="s">
        <v>509</v>
      </c>
      <c r="M930" s="71">
        <v>45737.584166666667</v>
      </c>
      <c r="N930" s="71">
        <v>45741</v>
      </c>
      <c r="O930" s="71">
        <v>45741</v>
      </c>
      <c r="P930" s="74" t="str">
        <f ca="1">IF(Proc[[#This Row],[DaysAgeing]]&gt;5,"yep","on track")</f>
        <v>on track</v>
      </c>
      <c r="Q930" s="3">
        <f ca="1">IF(Proc[[#This Row],[DateClosed]]="",ABS(NETWORKDAYS(Proc[[#This Row],[DateOpened]],TODAY()))-1,ABS(NETWORKDAYS(Proc[[#This Row],[DateOpened]],Proc[[#This Row],[DateClosed]]))-1)</f>
        <v>2</v>
      </c>
      <c r="R930" s="74" t="s">
        <v>515</v>
      </c>
      <c r="S930" s="69"/>
    </row>
    <row r="931" spans="1:19" hidden="1">
      <c r="A931" t="s">
        <v>2488</v>
      </c>
      <c r="B931" s="149" t="str">
        <f>IFERROR(VLOOKUP(Proc[[#This Row],[App]],Table2[],3,0),"open")</f>
        <v>ok</v>
      </c>
      <c r="C931" s="72" t="s">
        <v>369</v>
      </c>
      <c r="D931" t="s">
        <v>2484</v>
      </c>
      <c r="E931" t="s">
        <v>2487</v>
      </c>
      <c r="F931" s="117" t="s">
        <v>2487</v>
      </c>
      <c r="H931" s="69" t="str">
        <f>IF(Proc[[#This Row],[type]]="LFF (MDG-F)",MID(Proc[[#This Row],[Obj]],13,10),"")</f>
        <v/>
      </c>
      <c r="J931" s="69" t="b">
        <f>Proc[[#This Row],[Requested]]=Proc[[#This Row],[CurrentParent]]</f>
        <v>1</v>
      </c>
      <c r="K931" s="144" t="str">
        <f>IF(Proc[[#This Row],[Author]]="Marcela Urrego",VLOOKUP(LEFT(Proc[[#This Row],[Requested]],1),Table3[#All],2,0),VLOOKUP(Proc[[#This Row],[Author]],Table4[],2,0))</f>
        <v>LS</v>
      </c>
      <c r="L931" s="32" t="s">
        <v>509</v>
      </c>
      <c r="M931" s="71">
        <v>45741.382430555554</v>
      </c>
      <c r="N931" s="71">
        <v>45742</v>
      </c>
      <c r="O931" s="71">
        <v>45742</v>
      </c>
      <c r="P931" s="74" t="str">
        <f ca="1">IF(Proc[[#This Row],[DaysAgeing]]&gt;5,"yep","on track")</f>
        <v>on track</v>
      </c>
      <c r="Q931" s="3">
        <f ca="1">IF(Proc[[#This Row],[DateClosed]]="",ABS(NETWORKDAYS(Proc[[#This Row],[DateOpened]],TODAY()))-1,ABS(NETWORKDAYS(Proc[[#This Row],[DateOpened]],Proc[[#This Row],[DateClosed]]))-1)</f>
        <v>1</v>
      </c>
      <c r="R931" s="74" t="s">
        <v>972</v>
      </c>
      <c r="S931" s="69"/>
    </row>
    <row r="932" spans="1:19" hidden="1">
      <c r="A932" s="72" t="s">
        <v>2488</v>
      </c>
      <c r="B932" s="149" t="str">
        <f>IFERROR(VLOOKUP(Proc[[#This Row],[App]],Table2[],3,0),"open")</f>
        <v>ok</v>
      </c>
      <c r="C932" s="72" t="s">
        <v>369</v>
      </c>
      <c r="D932" t="s">
        <v>2485</v>
      </c>
      <c r="E932" t="s">
        <v>2377</v>
      </c>
      <c r="F932" s="117" t="s">
        <v>2377</v>
      </c>
      <c r="H932" s="69" t="str">
        <f>IF(Proc[[#This Row],[type]]="LFF (MDG-F)",MID(Proc[[#This Row],[Obj]],13,10),"")</f>
        <v/>
      </c>
      <c r="J932" s="69" t="b">
        <f>Proc[[#This Row],[Requested]]=Proc[[#This Row],[CurrentParent]]</f>
        <v>1</v>
      </c>
      <c r="K932" s="144" t="str">
        <f>IF(Proc[[#This Row],[Author]]="Marcela Urrego",VLOOKUP(LEFT(Proc[[#This Row],[Requested]],1),Table3[#All],2,0),VLOOKUP(Proc[[#This Row],[Author]],Table4[],2,0))</f>
        <v>LS</v>
      </c>
      <c r="L932" s="32" t="s">
        <v>509</v>
      </c>
      <c r="M932" s="71">
        <v>45741.382430555554</v>
      </c>
      <c r="N932" s="71">
        <v>45742</v>
      </c>
      <c r="O932" s="71">
        <v>45742</v>
      </c>
      <c r="P932" s="74" t="str">
        <f ca="1">IF(Proc[[#This Row],[DaysAgeing]]&gt;5,"yep","on track")</f>
        <v>on track</v>
      </c>
      <c r="Q932" s="3">
        <f ca="1">IF(Proc[[#This Row],[DateClosed]]="",ABS(NETWORKDAYS(Proc[[#This Row],[DateOpened]],TODAY()))-1,ABS(NETWORKDAYS(Proc[[#This Row],[DateOpened]],Proc[[#This Row],[DateClosed]]))-1)</f>
        <v>1</v>
      </c>
      <c r="R932" s="74" t="s">
        <v>972</v>
      </c>
      <c r="S932" s="69"/>
    </row>
    <row r="933" spans="1:19" hidden="1">
      <c r="A933" s="72" t="s">
        <v>2488</v>
      </c>
      <c r="B933" s="149" t="str">
        <f>IFERROR(VLOOKUP(Proc[[#This Row],[App]],Table2[],3,0),"open")</f>
        <v>ok</v>
      </c>
      <c r="C933" s="72" t="s">
        <v>369</v>
      </c>
      <c r="D933" t="s">
        <v>2486</v>
      </c>
      <c r="E933" t="s">
        <v>1361</v>
      </c>
      <c r="F933" s="117" t="s">
        <v>1361</v>
      </c>
      <c r="H933" s="69" t="str">
        <f>IF(Proc[[#This Row],[type]]="LFF (MDG-F)",MID(Proc[[#This Row],[Obj]],13,10),"")</f>
        <v/>
      </c>
      <c r="J933" s="69" t="b">
        <f>Proc[[#This Row],[Requested]]=Proc[[#This Row],[CurrentParent]]</f>
        <v>1</v>
      </c>
      <c r="K933" s="144" t="str">
        <f>IF(Proc[[#This Row],[Author]]="Marcela Urrego",VLOOKUP(LEFT(Proc[[#This Row],[Requested]],1),Table3[#All],2,0),VLOOKUP(Proc[[#This Row],[Author]],Table4[],2,0))</f>
        <v>LS</v>
      </c>
      <c r="L933" s="32" t="s">
        <v>509</v>
      </c>
      <c r="M933" s="71">
        <v>45741.382430555554</v>
      </c>
      <c r="N933" s="71">
        <v>45742</v>
      </c>
      <c r="O933" s="71">
        <v>45742</v>
      </c>
      <c r="P933" s="74" t="str">
        <f ca="1">IF(Proc[[#This Row],[DaysAgeing]]&gt;5,"yep","on track")</f>
        <v>on track</v>
      </c>
      <c r="Q933" s="3">
        <f ca="1">IF(Proc[[#This Row],[DateClosed]]="",ABS(NETWORKDAYS(Proc[[#This Row],[DateOpened]],TODAY()))-1,ABS(NETWORKDAYS(Proc[[#This Row],[DateOpened]],Proc[[#This Row],[DateClosed]]))-1)</f>
        <v>1</v>
      </c>
      <c r="R933" s="74" t="s">
        <v>972</v>
      </c>
      <c r="S933" s="69"/>
    </row>
    <row r="934" spans="1:19" hidden="1">
      <c r="A934" t="s">
        <v>2497</v>
      </c>
      <c r="B934" s="149" t="str">
        <f>IFERROR(VLOOKUP(Proc[[#This Row],[App]],Table2[],3,0),"open")</f>
        <v>ok</v>
      </c>
      <c r="C934" s="72" t="s">
        <v>369</v>
      </c>
      <c r="D934" t="s">
        <v>2489</v>
      </c>
      <c r="E934" t="s">
        <v>2493</v>
      </c>
      <c r="F934" s="117" t="s">
        <v>2493</v>
      </c>
      <c r="G934" t="s">
        <v>400</v>
      </c>
      <c r="H934" s="69" t="str">
        <f>IF(Proc[[#This Row],[type]]="LFF (MDG-F)",MID(Proc[[#This Row],[Obj]],13,10),"")</f>
        <v/>
      </c>
      <c r="J934" s="69" t="b">
        <f>Proc[[#This Row],[Requested]]=Proc[[#This Row],[CurrentParent]]</f>
        <v>1</v>
      </c>
      <c r="K934" s="144" t="str">
        <f>IF(Proc[[#This Row],[Author]]="Marcela Urrego",VLOOKUP(LEFT(Proc[[#This Row],[Requested]],1),Table3[#All],2,0),VLOOKUP(Proc[[#This Row],[Author]],Table4[],2,0))</f>
        <v>LS</v>
      </c>
      <c r="L934" s="32" t="s">
        <v>509</v>
      </c>
      <c r="M934" s="71">
        <v>45742.539895833332</v>
      </c>
      <c r="N934" s="71">
        <v>45744</v>
      </c>
      <c r="O934" s="71">
        <v>45744</v>
      </c>
      <c r="P934" s="74" t="str">
        <f ca="1">IF(Proc[[#This Row],[DaysAgeing]]&gt;5,"yep","on track")</f>
        <v>on track</v>
      </c>
      <c r="Q934" s="3">
        <f ca="1">IF(Proc[[#This Row],[DateClosed]]="",ABS(NETWORKDAYS(Proc[[#This Row],[DateOpened]],TODAY()))-1,ABS(NETWORKDAYS(Proc[[#This Row],[DateOpened]],Proc[[#This Row],[DateClosed]]))-1)</f>
        <v>2</v>
      </c>
      <c r="R934" s="74" t="s">
        <v>489</v>
      </c>
      <c r="S934" s="69"/>
    </row>
    <row r="935" spans="1:19" hidden="1">
      <c r="A935" s="72" t="s">
        <v>2497</v>
      </c>
      <c r="B935" s="149" t="str">
        <f>IFERROR(VLOOKUP(Proc[[#This Row],[App]],Table2[],3,0),"open")</f>
        <v>ok</v>
      </c>
      <c r="C935" s="72" t="s">
        <v>369</v>
      </c>
      <c r="D935" t="s">
        <v>2490</v>
      </c>
      <c r="E935" t="s">
        <v>2494</v>
      </c>
      <c r="F935" s="117" t="s">
        <v>2494</v>
      </c>
      <c r="G935" s="72" t="s">
        <v>406</v>
      </c>
      <c r="H935" s="69" t="str">
        <f>IF(Proc[[#This Row],[type]]="LFF (MDG-F)",MID(Proc[[#This Row],[Obj]],13,10),"")</f>
        <v>1919TQSZ93</v>
      </c>
      <c r="J935" s="69" t="b">
        <f>Proc[[#This Row],[Requested]]=Proc[[#This Row],[CurrentParent]]</f>
        <v>1</v>
      </c>
      <c r="K935" s="144" t="str">
        <f>IF(Proc[[#This Row],[Author]]="Marcela Urrego",VLOOKUP(LEFT(Proc[[#This Row],[Requested]],1),Table3[#All],2,0),VLOOKUP(Proc[[#This Row],[Author]],Table4[],2,0))</f>
        <v>LS</v>
      </c>
      <c r="L935" s="32" t="s">
        <v>509</v>
      </c>
      <c r="M935" s="71">
        <v>45742.539895833332</v>
      </c>
      <c r="N935" s="71">
        <v>45744</v>
      </c>
      <c r="O935" s="71">
        <v>45744</v>
      </c>
      <c r="P935" s="74" t="str">
        <f ca="1">IF(Proc[[#This Row],[DaysAgeing]]&gt;5,"yep","on track")</f>
        <v>on track</v>
      </c>
      <c r="Q935" s="3">
        <f ca="1">IF(Proc[[#This Row],[DateClosed]]="",ABS(NETWORKDAYS(Proc[[#This Row],[DateOpened]],TODAY()))-1,ABS(NETWORKDAYS(Proc[[#This Row],[DateOpened]],Proc[[#This Row],[DateClosed]]))-1)</f>
        <v>2</v>
      </c>
      <c r="R935" s="74" t="s">
        <v>489</v>
      </c>
      <c r="S935" s="69"/>
    </row>
    <row r="936" spans="1:19" hidden="1">
      <c r="A936" s="72" t="s">
        <v>2497</v>
      </c>
      <c r="B936" s="149" t="str">
        <f>IFERROR(VLOOKUP(Proc[[#This Row],[App]],Table2[],3,0),"open")</f>
        <v>ok</v>
      </c>
      <c r="C936" s="72" t="s">
        <v>369</v>
      </c>
      <c r="D936" t="s">
        <v>2491</v>
      </c>
      <c r="E936" t="s">
        <v>2495</v>
      </c>
      <c r="F936" s="117" t="s">
        <v>2495</v>
      </c>
      <c r="G936" s="72" t="s">
        <v>400</v>
      </c>
      <c r="H936" s="69" t="str">
        <f>IF(Proc[[#This Row],[type]]="LFF (MDG-F)",MID(Proc[[#This Row],[Obj]],13,10),"")</f>
        <v/>
      </c>
      <c r="J936" s="69" t="b">
        <f>Proc[[#This Row],[Requested]]=Proc[[#This Row],[CurrentParent]]</f>
        <v>1</v>
      </c>
      <c r="K936" s="144" t="str">
        <f>IF(Proc[[#This Row],[Author]]="Marcela Urrego",VLOOKUP(LEFT(Proc[[#This Row],[Requested]],1),Table3[#All],2,0),VLOOKUP(Proc[[#This Row],[Author]],Table4[],2,0))</f>
        <v>LS</v>
      </c>
      <c r="L936" s="32" t="s">
        <v>509</v>
      </c>
      <c r="M936" s="71">
        <v>45742.539895833332</v>
      </c>
      <c r="N936" s="71">
        <v>45744</v>
      </c>
      <c r="O936" s="71">
        <v>45744</v>
      </c>
      <c r="P936" s="74" t="str">
        <f ca="1">IF(Proc[[#This Row],[DaysAgeing]]&gt;5,"yep","on track")</f>
        <v>on track</v>
      </c>
      <c r="Q936" s="3">
        <f ca="1">IF(Proc[[#This Row],[DateClosed]]="",ABS(NETWORKDAYS(Proc[[#This Row],[DateOpened]],TODAY()))-1,ABS(NETWORKDAYS(Proc[[#This Row],[DateOpened]],Proc[[#This Row],[DateClosed]]))-1)</f>
        <v>2</v>
      </c>
      <c r="R936" s="74" t="s">
        <v>489</v>
      </c>
      <c r="S936" s="69"/>
    </row>
    <row r="937" spans="1:19" hidden="1">
      <c r="A937" s="72" t="s">
        <v>2497</v>
      </c>
      <c r="B937" s="149" t="str">
        <f>IFERROR(VLOOKUP(Proc[[#This Row],[App]],Table2[],3,0),"open")</f>
        <v>ok</v>
      </c>
      <c r="C937" s="72" t="s">
        <v>369</v>
      </c>
      <c r="D937" t="s">
        <v>2492</v>
      </c>
      <c r="E937" t="s">
        <v>2496</v>
      </c>
      <c r="F937" s="117" t="s">
        <v>2496</v>
      </c>
      <c r="G937" s="72" t="s">
        <v>400</v>
      </c>
      <c r="H937" s="69" t="str">
        <f>IF(Proc[[#This Row],[type]]="LFF (MDG-F)",MID(Proc[[#This Row],[Obj]],13,10),"")</f>
        <v/>
      </c>
      <c r="J937" s="69" t="b">
        <f>Proc[[#This Row],[Requested]]=Proc[[#This Row],[CurrentParent]]</f>
        <v>1</v>
      </c>
      <c r="K937" s="144" t="str">
        <f>IF(Proc[[#This Row],[Author]]="Marcela Urrego",VLOOKUP(LEFT(Proc[[#This Row],[Requested]],1),Table3[#All],2,0),VLOOKUP(Proc[[#This Row],[Author]],Table4[],2,0))</f>
        <v>LS</v>
      </c>
      <c r="L937" s="32" t="s">
        <v>509</v>
      </c>
      <c r="M937" s="71">
        <v>45742.539895833332</v>
      </c>
      <c r="N937" s="71">
        <v>45744</v>
      </c>
      <c r="O937" s="71">
        <v>45744</v>
      </c>
      <c r="P937" s="74" t="str">
        <f ca="1">IF(Proc[[#This Row],[DaysAgeing]]&gt;5,"yep","on track")</f>
        <v>on track</v>
      </c>
      <c r="Q937" s="3">
        <f ca="1">IF(Proc[[#This Row],[DateClosed]]="",ABS(NETWORKDAYS(Proc[[#This Row],[DateOpened]],TODAY()))-1,ABS(NETWORKDAYS(Proc[[#This Row],[DateOpened]],Proc[[#This Row],[DateClosed]]))-1)</f>
        <v>2</v>
      </c>
      <c r="R937" s="74" t="s">
        <v>489</v>
      </c>
      <c r="S937" s="69"/>
    </row>
    <row r="938" spans="1:19" hidden="1">
      <c r="A938" t="s">
        <v>2523</v>
      </c>
      <c r="B938" s="149" t="str">
        <f>IFERROR(VLOOKUP(Proc[[#This Row],[App]],Table2[],3,0),"open")</f>
        <v>ok</v>
      </c>
      <c r="C938" s="72" t="s">
        <v>369</v>
      </c>
      <c r="D938" t="s">
        <v>2513</v>
      </c>
      <c r="E938" t="s">
        <v>2522</v>
      </c>
      <c r="F938" s="117" t="s">
        <v>2522</v>
      </c>
      <c r="G938" s="72" t="s">
        <v>406</v>
      </c>
      <c r="H938" s="69" t="str">
        <f>IF(Proc[[#This Row],[type]]="LFF (MDG-F)",MID(Proc[[#This Row],[Obj]],13,10),"")</f>
        <v>IT50C02000</v>
      </c>
      <c r="J938" s="69" t="b">
        <f>Proc[[#This Row],[Requested]]=Proc[[#This Row],[CurrentParent]]</f>
        <v>1</v>
      </c>
      <c r="K938" s="144" t="str">
        <f>IF(Proc[[#This Row],[Author]]="Marcela Urrego",VLOOKUP(LEFT(Proc[[#This Row],[Requested]],1),Table3[#All],2,0),VLOOKUP(Proc[[#This Row],[Author]],Table4[],2,0))</f>
        <v>HC</v>
      </c>
      <c r="L938" s="32" t="s">
        <v>509</v>
      </c>
      <c r="M938" s="71">
        <v>45743.430810185186</v>
      </c>
      <c r="N938" s="71">
        <v>45749</v>
      </c>
      <c r="O938" s="71">
        <v>45749</v>
      </c>
      <c r="P938" s="74" t="str">
        <f ca="1">IF(Proc[[#This Row],[DaysAgeing]]&gt;5,"yep","on track")</f>
        <v>on track</v>
      </c>
      <c r="Q938" s="3">
        <f ca="1">IF(Proc[[#This Row],[DateClosed]]="",ABS(NETWORKDAYS(Proc[[#This Row],[DateOpened]],TODAY()))-1,ABS(NETWORKDAYS(Proc[[#This Row],[DateOpened]],Proc[[#This Row],[DateClosed]]))-1)</f>
        <v>4</v>
      </c>
      <c r="R938" s="74" t="s">
        <v>2524</v>
      </c>
      <c r="S938" s="69"/>
    </row>
    <row r="939" spans="1:19" hidden="1">
      <c r="A939" s="72" t="s">
        <v>2523</v>
      </c>
      <c r="B939" s="149" t="str">
        <f>IFERROR(VLOOKUP(Proc[[#This Row],[App]],Table2[],3,0),"open")</f>
        <v>ok</v>
      </c>
      <c r="C939" s="72" t="s">
        <v>369</v>
      </c>
      <c r="D939" t="s">
        <v>2514</v>
      </c>
      <c r="E939" t="s">
        <v>2522</v>
      </c>
      <c r="F939" s="117" t="s">
        <v>2522</v>
      </c>
      <c r="G939" s="72" t="s">
        <v>406</v>
      </c>
      <c r="H939" s="69" t="str">
        <f>IF(Proc[[#This Row],[type]]="LFF (MDG-F)",MID(Proc[[#This Row],[Obj]],13,10),"")</f>
        <v>IT50C02004</v>
      </c>
      <c r="J939" s="69" t="b">
        <f>Proc[[#This Row],[Requested]]=Proc[[#This Row],[CurrentParent]]</f>
        <v>1</v>
      </c>
      <c r="K939" s="144" t="str">
        <f>IF(Proc[[#This Row],[Author]]="Marcela Urrego",VLOOKUP(LEFT(Proc[[#This Row],[Requested]],1),Table3[#All],2,0),VLOOKUP(Proc[[#This Row],[Author]],Table4[],2,0))</f>
        <v>HC</v>
      </c>
      <c r="L939" s="32" t="s">
        <v>509</v>
      </c>
      <c r="M939" s="71">
        <v>45743.430810185186</v>
      </c>
      <c r="N939" s="71">
        <v>45749</v>
      </c>
      <c r="O939" s="71">
        <v>45749</v>
      </c>
      <c r="P939" s="74" t="str">
        <f ca="1">IF(Proc[[#This Row],[DaysAgeing]]&gt;5,"yep","on track")</f>
        <v>on track</v>
      </c>
      <c r="Q939" s="3">
        <f ca="1">IF(Proc[[#This Row],[DateClosed]]="",ABS(NETWORKDAYS(Proc[[#This Row],[DateOpened]],TODAY()))-1,ABS(NETWORKDAYS(Proc[[#This Row],[DateOpened]],Proc[[#This Row],[DateClosed]]))-1)</f>
        <v>4</v>
      </c>
      <c r="R939" s="74" t="s">
        <v>2524</v>
      </c>
      <c r="S939" s="69"/>
    </row>
    <row r="940" spans="1:19" hidden="1">
      <c r="A940" s="72" t="s">
        <v>2523</v>
      </c>
      <c r="B940" s="149" t="str">
        <f>IFERROR(VLOOKUP(Proc[[#This Row],[App]],Table2[],3,0),"open")</f>
        <v>ok</v>
      </c>
      <c r="C940" s="72" t="s">
        <v>369</v>
      </c>
      <c r="D940" t="s">
        <v>2515</v>
      </c>
      <c r="E940" t="s">
        <v>2522</v>
      </c>
      <c r="F940" s="117" t="s">
        <v>2522</v>
      </c>
      <c r="G940" s="72" t="s">
        <v>406</v>
      </c>
      <c r="H940" s="69" t="str">
        <f>IF(Proc[[#This Row],[type]]="LFF (MDG-F)",MID(Proc[[#This Row],[Obj]],13,10),"")</f>
        <v>IT50C03005</v>
      </c>
      <c r="J940" s="69" t="b">
        <f>Proc[[#This Row],[Requested]]=Proc[[#This Row],[CurrentParent]]</f>
        <v>1</v>
      </c>
      <c r="K940" s="144" t="str">
        <f>IF(Proc[[#This Row],[Author]]="Marcela Urrego",VLOOKUP(LEFT(Proc[[#This Row],[Requested]],1),Table3[#All],2,0),VLOOKUP(Proc[[#This Row],[Author]],Table4[],2,0))</f>
        <v>HC</v>
      </c>
      <c r="L940" s="32" t="s">
        <v>509</v>
      </c>
      <c r="M940" s="71">
        <v>45743.430810185186</v>
      </c>
      <c r="N940" s="71">
        <v>45749</v>
      </c>
      <c r="O940" s="71">
        <v>45749</v>
      </c>
      <c r="P940" s="74" t="str">
        <f ca="1">IF(Proc[[#This Row],[DaysAgeing]]&gt;5,"yep","on track")</f>
        <v>on track</v>
      </c>
      <c r="Q940" s="3">
        <f ca="1">IF(Proc[[#This Row],[DateClosed]]="",ABS(NETWORKDAYS(Proc[[#This Row],[DateOpened]],TODAY()))-1,ABS(NETWORKDAYS(Proc[[#This Row],[DateOpened]],Proc[[#This Row],[DateClosed]]))-1)</f>
        <v>4</v>
      </c>
      <c r="R940" s="74" t="s">
        <v>2524</v>
      </c>
      <c r="S940" s="69"/>
    </row>
    <row r="941" spans="1:19" hidden="1">
      <c r="A941" s="72" t="s">
        <v>2523</v>
      </c>
      <c r="B941" s="149" t="str">
        <f>IFERROR(VLOOKUP(Proc[[#This Row],[App]],Table2[],3,0),"open")</f>
        <v>ok</v>
      </c>
      <c r="C941" s="72" t="s">
        <v>369</v>
      </c>
      <c r="D941" t="s">
        <v>2516</v>
      </c>
      <c r="E941" t="s">
        <v>2522</v>
      </c>
      <c r="F941" s="117" t="s">
        <v>2522</v>
      </c>
      <c r="G941" s="72" t="s">
        <v>406</v>
      </c>
      <c r="H941" s="69" t="str">
        <f>IF(Proc[[#This Row],[type]]="LFF (MDG-F)",MID(Proc[[#This Row],[Obj]],13,10),"")</f>
        <v>IT50C03004</v>
      </c>
      <c r="J941" s="69" t="b">
        <f>Proc[[#This Row],[Requested]]=Proc[[#This Row],[CurrentParent]]</f>
        <v>1</v>
      </c>
      <c r="K941" s="144" t="str">
        <f>IF(Proc[[#This Row],[Author]]="Marcela Urrego",VLOOKUP(LEFT(Proc[[#This Row],[Requested]],1),Table3[#All],2,0),VLOOKUP(Proc[[#This Row],[Author]],Table4[],2,0))</f>
        <v>HC</v>
      </c>
      <c r="L941" s="32" t="s">
        <v>509</v>
      </c>
      <c r="M941" s="71">
        <v>45743.430810185186</v>
      </c>
      <c r="N941" s="71">
        <v>45749</v>
      </c>
      <c r="O941" s="71">
        <v>45749</v>
      </c>
      <c r="P941" s="74" t="str">
        <f ca="1">IF(Proc[[#This Row],[DaysAgeing]]&gt;5,"yep","on track")</f>
        <v>on track</v>
      </c>
      <c r="Q941" s="3">
        <f ca="1">IF(Proc[[#This Row],[DateClosed]]="",ABS(NETWORKDAYS(Proc[[#This Row],[DateOpened]],TODAY()))-1,ABS(NETWORKDAYS(Proc[[#This Row],[DateOpened]],Proc[[#This Row],[DateClosed]]))-1)</f>
        <v>4</v>
      </c>
      <c r="R941" s="74" t="s">
        <v>2524</v>
      </c>
      <c r="S941" s="69"/>
    </row>
    <row r="942" spans="1:19" hidden="1">
      <c r="A942" s="72" t="s">
        <v>2523</v>
      </c>
      <c r="B942" s="149" t="str">
        <f>IFERROR(VLOOKUP(Proc[[#This Row],[App]],Table2[],3,0),"open")</f>
        <v>ok</v>
      </c>
      <c r="C942" s="72" t="s">
        <v>369</v>
      </c>
      <c r="D942" t="s">
        <v>2517</v>
      </c>
      <c r="E942" t="s">
        <v>2522</v>
      </c>
      <c r="F942" s="117" t="s">
        <v>2522</v>
      </c>
      <c r="G942" s="72" t="s">
        <v>406</v>
      </c>
      <c r="H942" s="69" t="str">
        <f>IF(Proc[[#This Row],[type]]="LFF (MDG-F)",MID(Proc[[#This Row],[Obj]],13,10),"")</f>
        <v>IT50C02009</v>
      </c>
      <c r="J942" s="69" t="b">
        <f>Proc[[#This Row],[Requested]]=Proc[[#This Row],[CurrentParent]]</f>
        <v>1</v>
      </c>
      <c r="K942" s="144" t="str">
        <f>IF(Proc[[#This Row],[Author]]="Marcela Urrego",VLOOKUP(LEFT(Proc[[#This Row],[Requested]],1),Table3[#All],2,0),VLOOKUP(Proc[[#This Row],[Author]],Table4[],2,0))</f>
        <v>HC</v>
      </c>
      <c r="L942" s="32" t="s">
        <v>509</v>
      </c>
      <c r="M942" s="71">
        <v>45743.430810185186</v>
      </c>
      <c r="N942" s="71">
        <v>45749</v>
      </c>
      <c r="O942" s="71">
        <v>45749</v>
      </c>
      <c r="P942" s="74" t="str">
        <f ca="1">IF(Proc[[#This Row],[DaysAgeing]]&gt;5,"yep","on track")</f>
        <v>on track</v>
      </c>
      <c r="Q942" s="3">
        <f ca="1">IF(Proc[[#This Row],[DateClosed]]="",ABS(NETWORKDAYS(Proc[[#This Row],[DateOpened]],TODAY()))-1,ABS(NETWORKDAYS(Proc[[#This Row],[DateOpened]],Proc[[#This Row],[DateClosed]]))-1)</f>
        <v>4</v>
      </c>
      <c r="R942" s="74" t="s">
        <v>2524</v>
      </c>
      <c r="S942" s="69"/>
    </row>
    <row r="943" spans="1:19" hidden="1">
      <c r="A943" s="72" t="s">
        <v>2523</v>
      </c>
      <c r="B943" s="149" t="str">
        <f>IFERROR(VLOOKUP(Proc[[#This Row],[App]],Table2[],3,0),"open")</f>
        <v>ok</v>
      </c>
      <c r="C943" s="72" t="s">
        <v>369</v>
      </c>
      <c r="D943" t="s">
        <v>2518</v>
      </c>
      <c r="E943" t="s">
        <v>2522</v>
      </c>
      <c r="F943" s="117" t="s">
        <v>2522</v>
      </c>
      <c r="G943" s="72" t="s">
        <v>406</v>
      </c>
      <c r="H943" s="69" t="str">
        <f>IF(Proc[[#This Row],[type]]="LFF (MDG-F)",MID(Proc[[#This Row],[Obj]],13,10),"")</f>
        <v>IT50C02010</v>
      </c>
      <c r="J943" s="69" t="b">
        <f>Proc[[#This Row],[Requested]]=Proc[[#This Row],[CurrentParent]]</f>
        <v>1</v>
      </c>
      <c r="K943" s="144" t="str">
        <f>IF(Proc[[#This Row],[Author]]="Marcela Urrego",VLOOKUP(LEFT(Proc[[#This Row],[Requested]],1),Table3[#All],2,0),VLOOKUP(Proc[[#This Row],[Author]],Table4[],2,0))</f>
        <v>HC</v>
      </c>
      <c r="L943" s="32" t="s">
        <v>509</v>
      </c>
      <c r="M943" s="71">
        <v>45743.430810185186</v>
      </c>
      <c r="N943" s="71">
        <v>45749</v>
      </c>
      <c r="O943" s="71">
        <v>45749</v>
      </c>
      <c r="P943" s="74" t="str">
        <f ca="1">IF(Proc[[#This Row],[DaysAgeing]]&gt;5,"yep","on track")</f>
        <v>on track</v>
      </c>
      <c r="Q943" s="3">
        <f ca="1">IF(Proc[[#This Row],[DateClosed]]="",ABS(NETWORKDAYS(Proc[[#This Row],[DateOpened]],TODAY()))-1,ABS(NETWORKDAYS(Proc[[#This Row],[DateOpened]],Proc[[#This Row],[DateClosed]]))-1)</f>
        <v>4</v>
      </c>
      <c r="R943" s="74" t="s">
        <v>2524</v>
      </c>
      <c r="S943" s="69"/>
    </row>
    <row r="944" spans="1:19" hidden="1">
      <c r="A944" t="s">
        <v>2523</v>
      </c>
      <c r="B944" s="149" t="str">
        <f>IFERROR(VLOOKUP(Proc[[#This Row],[App]],Table2[],3,0),"open")</f>
        <v>ok</v>
      </c>
      <c r="C944" s="72" t="s">
        <v>369</v>
      </c>
      <c r="D944" t="s">
        <v>2519</v>
      </c>
      <c r="E944" t="s">
        <v>2522</v>
      </c>
      <c r="F944" s="117" t="s">
        <v>2522</v>
      </c>
      <c r="G944" s="72" t="s">
        <v>406</v>
      </c>
      <c r="H944" s="69" t="str">
        <f>IF(Proc[[#This Row],[type]]="LFF (MDG-F)",MID(Proc[[#This Row],[Obj]],13,10),"")</f>
        <v>IT50C03007</v>
      </c>
      <c r="J944" s="69" t="b">
        <f>Proc[[#This Row],[Requested]]=Proc[[#This Row],[CurrentParent]]</f>
        <v>1</v>
      </c>
      <c r="K944" s="144" t="str">
        <f>IF(Proc[[#This Row],[Author]]="Marcela Urrego",VLOOKUP(LEFT(Proc[[#This Row],[Requested]],1),Table3[#All],2,0),VLOOKUP(Proc[[#This Row],[Author]],Table4[],2,0))</f>
        <v>HC</v>
      </c>
      <c r="L944" s="32" t="s">
        <v>509</v>
      </c>
      <c r="M944" s="71">
        <v>45743.430810185186</v>
      </c>
      <c r="N944" s="71">
        <v>45749</v>
      </c>
      <c r="O944" s="71">
        <v>45749</v>
      </c>
      <c r="P944" s="74" t="str">
        <f ca="1">IF(Proc[[#This Row],[DaysAgeing]]&gt;5,"yep","on track")</f>
        <v>on track</v>
      </c>
      <c r="Q944" s="3">
        <f ca="1">IF(Proc[[#This Row],[DateClosed]]="",ABS(NETWORKDAYS(Proc[[#This Row],[DateOpened]],TODAY()))-1,ABS(NETWORKDAYS(Proc[[#This Row],[DateOpened]],Proc[[#This Row],[DateClosed]]))-1)</f>
        <v>4</v>
      </c>
      <c r="R944" s="74" t="s">
        <v>2524</v>
      </c>
      <c r="S944" s="69"/>
    </row>
    <row r="945" spans="1:19" hidden="1">
      <c r="A945" t="s">
        <v>2523</v>
      </c>
      <c r="B945" s="149" t="str">
        <f>IFERROR(VLOOKUP(Proc[[#This Row],[App]],Table2[],3,0),"open")</f>
        <v>ok</v>
      </c>
      <c r="C945" s="72" t="s">
        <v>369</v>
      </c>
      <c r="D945" t="s">
        <v>2520</v>
      </c>
      <c r="E945" t="s">
        <v>2522</v>
      </c>
      <c r="F945" s="117" t="s">
        <v>2522</v>
      </c>
      <c r="G945" s="72" t="s">
        <v>406</v>
      </c>
      <c r="H945" s="69" t="str">
        <f>IF(Proc[[#This Row],[type]]="LFF (MDG-F)",MID(Proc[[#This Row],[Obj]],13,10),"")</f>
        <v>IT50C02011</v>
      </c>
      <c r="J945" s="69" t="b">
        <f>Proc[[#This Row],[Requested]]=Proc[[#This Row],[CurrentParent]]</f>
        <v>1</v>
      </c>
      <c r="K945" s="144" t="str">
        <f>IF(Proc[[#This Row],[Author]]="Marcela Urrego",VLOOKUP(LEFT(Proc[[#This Row],[Requested]],1),Table3[#All],2,0),VLOOKUP(Proc[[#This Row],[Author]],Table4[],2,0))</f>
        <v>HC</v>
      </c>
      <c r="L945" s="32" t="s">
        <v>509</v>
      </c>
      <c r="M945" s="71">
        <v>45743.430810185186</v>
      </c>
      <c r="N945" s="71">
        <v>45749</v>
      </c>
      <c r="O945" s="71">
        <v>45749</v>
      </c>
      <c r="P945" s="74" t="str">
        <f ca="1">IF(Proc[[#This Row],[DaysAgeing]]&gt;5,"yep","on track")</f>
        <v>on track</v>
      </c>
      <c r="Q945" s="3">
        <f ca="1">IF(Proc[[#This Row],[DateClosed]]="",ABS(NETWORKDAYS(Proc[[#This Row],[DateOpened]],TODAY()))-1,ABS(NETWORKDAYS(Proc[[#This Row],[DateOpened]],Proc[[#This Row],[DateClosed]]))-1)</f>
        <v>4</v>
      </c>
      <c r="R945" s="74" t="s">
        <v>2524</v>
      </c>
      <c r="S945" s="69"/>
    </row>
    <row r="946" spans="1:19" hidden="1">
      <c r="A946" s="72" t="s">
        <v>2510</v>
      </c>
      <c r="B946" s="149" t="str">
        <f>IFERROR(VLOOKUP(Proc[[#This Row],[App]],Table2[],3,0),"open")</f>
        <v>ok</v>
      </c>
      <c r="C946" s="72" t="s">
        <v>369</v>
      </c>
      <c r="D946" t="s">
        <v>2511</v>
      </c>
      <c r="E946" t="s">
        <v>476</v>
      </c>
      <c r="F946" s="117" t="s">
        <v>476</v>
      </c>
      <c r="G946" s="72" t="s">
        <v>406</v>
      </c>
      <c r="H946" s="69" t="str">
        <f>IF(Proc[[#This Row],[type]]="LFF (MDG-F)",MID(Proc[[#This Row],[Obj]],13,10),"")</f>
        <v>DZ50GM1100</v>
      </c>
      <c r="J946" s="69" t="b">
        <f>Proc[[#This Row],[Requested]]=Proc[[#This Row],[CurrentParent]]</f>
        <v>1</v>
      </c>
      <c r="K946" s="144" t="str">
        <f>IF(Proc[[#This Row],[Author]]="Marcela Urrego",VLOOKUP(LEFT(Proc[[#This Row],[Requested]],1),Table3[#All],2,0),VLOOKUP(Proc[[#This Row],[Author]],Table4[],2,0))</f>
        <v>MGF</v>
      </c>
      <c r="L946" s="32" t="s">
        <v>509</v>
      </c>
      <c r="M946" s="71">
        <v>45743.522430555553</v>
      </c>
      <c r="N946" s="71">
        <v>45749</v>
      </c>
      <c r="O946" s="71">
        <v>45749</v>
      </c>
      <c r="P946" s="74" t="str">
        <f ca="1">IF(Proc[[#This Row],[DaysAgeing]]&gt;5,"yep","on track")</f>
        <v>on track</v>
      </c>
      <c r="Q946" s="3">
        <f ca="1">IF(Proc[[#This Row],[DateClosed]]="",ABS(NETWORKDAYS(Proc[[#This Row],[DateOpened]],TODAY()))-1,ABS(NETWORKDAYS(Proc[[#This Row],[DateOpened]],Proc[[#This Row],[DateClosed]]))-1)</f>
        <v>4</v>
      </c>
      <c r="R946" s="74" t="s">
        <v>515</v>
      </c>
      <c r="S946" s="69"/>
    </row>
    <row r="947" spans="1:19" hidden="1">
      <c r="A947" t="s">
        <v>2510</v>
      </c>
      <c r="B947" s="149" t="str">
        <f>IFERROR(VLOOKUP(Proc[[#This Row],[App]],Table2[],3,0),"open")</f>
        <v>ok</v>
      </c>
      <c r="C947" s="72" t="s">
        <v>369</v>
      </c>
      <c r="D947" t="s">
        <v>2512</v>
      </c>
      <c r="E947" t="s">
        <v>2417</v>
      </c>
      <c r="F947" s="117" t="s">
        <v>2417</v>
      </c>
      <c r="G947" s="72" t="s">
        <v>406</v>
      </c>
      <c r="H947" s="69" t="str">
        <f>IF(Proc[[#This Row],[type]]="LFF (MDG-F)",MID(Proc[[#This Row],[Obj]],13,10),"")</f>
        <v>2053OF0000</v>
      </c>
      <c r="J947" s="69" t="b">
        <f>Proc[[#This Row],[Requested]]=Proc[[#This Row],[CurrentParent]]</f>
        <v>1</v>
      </c>
      <c r="K947" s="144" t="str">
        <f>IF(Proc[[#This Row],[Author]]="Marcela Urrego",VLOOKUP(LEFT(Proc[[#This Row],[Requested]],1),Table3[#All],2,0),VLOOKUP(Proc[[#This Row],[Author]],Table4[],2,0))</f>
        <v>MGF</v>
      </c>
      <c r="L947" s="32" t="s">
        <v>509</v>
      </c>
      <c r="M947" s="71">
        <v>45743.522430555553</v>
      </c>
      <c r="N947" s="71">
        <v>45749</v>
      </c>
      <c r="O947" s="71">
        <v>45749</v>
      </c>
      <c r="P947" s="74" t="str">
        <f ca="1">IF(Proc[[#This Row],[DaysAgeing]]&gt;5,"yep","on track")</f>
        <v>on track</v>
      </c>
      <c r="Q947" s="3">
        <f ca="1">IF(Proc[[#This Row],[DateClosed]]="",ABS(NETWORKDAYS(Proc[[#This Row],[DateOpened]],TODAY()))-1,ABS(NETWORKDAYS(Proc[[#This Row],[DateOpened]],Proc[[#This Row],[DateClosed]]))-1)</f>
        <v>4</v>
      </c>
      <c r="R947" s="74" t="s">
        <v>515</v>
      </c>
      <c r="S947" s="69"/>
    </row>
    <row r="948" spans="1:19" hidden="1">
      <c r="A948" s="72" t="s">
        <v>2507</v>
      </c>
      <c r="B948" s="149" t="str">
        <f>IFERROR(VLOOKUP(Proc[[#This Row],[App]],Table2[],3,0),"open")</f>
        <v>ok</v>
      </c>
      <c r="C948" s="72" t="s">
        <v>369</v>
      </c>
      <c r="D948" t="s">
        <v>2508</v>
      </c>
      <c r="E948" t="s">
        <v>2509</v>
      </c>
      <c r="F948" s="117" t="s">
        <v>2509</v>
      </c>
      <c r="G948" s="72" t="s">
        <v>406</v>
      </c>
      <c r="H948" s="69" t="str">
        <f>IF(Proc[[#This Row],[type]]="LFF (MDG-F)",MID(Proc[[#This Row],[Obj]],13,10),"")</f>
        <v>DE20569502</v>
      </c>
      <c r="J948" s="69" t="b">
        <f>Proc[[#This Row],[Requested]]=Proc[[#This Row],[CurrentParent]]</f>
        <v>1</v>
      </c>
      <c r="K948" s="144" t="str">
        <f>IF(Proc[[#This Row],[Author]]="Marcela Urrego",VLOOKUP(LEFT(Proc[[#This Row],[Requested]],1),Table3[#All],2,0),VLOOKUP(Proc[[#This Row],[Author]],Table4[],2,0))</f>
        <v>MGF</v>
      </c>
      <c r="L948" s="32" t="s">
        <v>509</v>
      </c>
      <c r="M948" s="71">
        <v>45743.525312500002</v>
      </c>
      <c r="N948" s="71">
        <v>45749</v>
      </c>
      <c r="O948" s="71">
        <v>45749</v>
      </c>
      <c r="P948" s="74" t="str">
        <f ca="1">IF(Proc[[#This Row],[DaysAgeing]]&gt;5,"yep","on track")</f>
        <v>on track</v>
      </c>
      <c r="Q948" s="3">
        <f ca="1">IF(Proc[[#This Row],[DateClosed]]="",ABS(NETWORKDAYS(Proc[[#This Row],[DateOpened]],TODAY()))-1,ABS(NETWORKDAYS(Proc[[#This Row],[DateOpened]],Proc[[#This Row],[DateClosed]]))-1)</f>
        <v>4</v>
      </c>
      <c r="R948" s="74" t="s">
        <v>549</v>
      </c>
      <c r="S948" s="69"/>
    </row>
    <row r="949" spans="1:19" hidden="1">
      <c r="A949" s="72" t="s">
        <v>2498</v>
      </c>
      <c r="B949" s="149" t="str">
        <f>IFERROR(VLOOKUP(Proc[[#This Row],[App]],Table2[],3,0),"open")</f>
        <v>ok</v>
      </c>
      <c r="C949" s="72" t="s">
        <v>369</v>
      </c>
      <c r="D949" t="s">
        <v>2499</v>
      </c>
      <c r="E949" t="s">
        <v>2417</v>
      </c>
      <c r="F949" s="117" t="s">
        <v>2417</v>
      </c>
      <c r="G949" s="72" t="s">
        <v>406</v>
      </c>
      <c r="H949" s="69" t="str">
        <f>IF(Proc[[#This Row],[type]]="LFF (MDG-F)",MID(Proc[[#This Row],[Obj]],13,10),"")</f>
        <v>ZA50GM1000</v>
      </c>
      <c r="J949" s="69" t="b">
        <f>Proc[[#This Row],[Requested]]=Proc[[#This Row],[CurrentParent]]</f>
        <v>1</v>
      </c>
      <c r="K949" s="144" t="str">
        <f>IF(Proc[[#This Row],[Author]]="Marcela Urrego",VLOOKUP(LEFT(Proc[[#This Row],[Requested]],1),Table3[#All],2,0),VLOOKUP(Proc[[#This Row],[Author]],Table4[],2,0))</f>
        <v>MGF</v>
      </c>
      <c r="L949" s="32" t="s">
        <v>509</v>
      </c>
      <c r="M949" s="71">
        <v>45743.614340277774</v>
      </c>
      <c r="N949" s="71">
        <v>45749</v>
      </c>
      <c r="O949" s="71">
        <v>45749</v>
      </c>
      <c r="P949" s="74" t="str">
        <f ca="1">IF(Proc[[#This Row],[DaysAgeing]]&gt;5,"yep","on track")</f>
        <v>on track</v>
      </c>
      <c r="Q949" s="3">
        <f ca="1">IF(Proc[[#This Row],[DateClosed]]="",ABS(NETWORKDAYS(Proc[[#This Row],[DateOpened]],TODAY()))-1,ABS(NETWORKDAYS(Proc[[#This Row],[DateOpened]],Proc[[#This Row],[DateClosed]]))-1)</f>
        <v>4</v>
      </c>
      <c r="R949" s="74" t="s">
        <v>515</v>
      </c>
      <c r="S949" s="69"/>
    </row>
    <row r="950" spans="1:19" hidden="1">
      <c r="A950" s="72" t="s">
        <v>2498</v>
      </c>
      <c r="B950" s="149" t="str">
        <f>IFERROR(VLOOKUP(Proc[[#This Row],[App]],Table2[],3,0),"open")</f>
        <v>ok</v>
      </c>
      <c r="C950" s="72" t="s">
        <v>369</v>
      </c>
      <c r="D950" t="s">
        <v>2500</v>
      </c>
      <c r="E950" t="s">
        <v>2417</v>
      </c>
      <c r="F950" s="117" t="s">
        <v>2417</v>
      </c>
      <c r="G950" s="72" t="s">
        <v>406</v>
      </c>
      <c r="H950" s="69" t="str">
        <f>IF(Proc[[#This Row],[type]]="LFF (MDG-F)",MID(Proc[[#This Row],[Obj]],13,10),"")</f>
        <v>ZA50GIT10D</v>
      </c>
      <c r="J950" s="69" t="b">
        <f>Proc[[#This Row],[Requested]]=Proc[[#This Row],[CurrentParent]]</f>
        <v>1</v>
      </c>
      <c r="K950" s="144" t="str">
        <f>IF(Proc[[#This Row],[Author]]="Marcela Urrego",VLOOKUP(LEFT(Proc[[#This Row],[Requested]],1),Table3[#All],2,0),VLOOKUP(Proc[[#This Row],[Author]],Table4[],2,0))</f>
        <v>MGF</v>
      </c>
      <c r="L950" s="32" t="s">
        <v>509</v>
      </c>
      <c r="M950" s="71">
        <v>45743.614340277774</v>
      </c>
      <c r="N950" s="71">
        <v>45749</v>
      </c>
      <c r="O950" s="71">
        <v>45749</v>
      </c>
      <c r="P950" s="74" t="str">
        <f ca="1">IF(Proc[[#This Row],[DaysAgeing]]&gt;5,"yep","on track")</f>
        <v>on track</v>
      </c>
      <c r="Q950" s="3">
        <f ca="1">IF(Proc[[#This Row],[DateClosed]]="",ABS(NETWORKDAYS(Proc[[#This Row],[DateOpened]],TODAY()))-1,ABS(NETWORKDAYS(Proc[[#This Row],[DateOpened]],Proc[[#This Row],[DateClosed]]))-1)</f>
        <v>4</v>
      </c>
      <c r="R950" s="74" t="s">
        <v>515</v>
      </c>
      <c r="S950" s="69"/>
    </row>
    <row r="951" spans="1:19" hidden="1">
      <c r="A951" s="72" t="s">
        <v>2498</v>
      </c>
      <c r="B951" s="149" t="str">
        <f>IFERROR(VLOOKUP(Proc[[#This Row],[App]],Table2[],3,0),"open")</f>
        <v>ok</v>
      </c>
      <c r="C951" s="72" t="s">
        <v>369</v>
      </c>
      <c r="D951" t="s">
        <v>2501</v>
      </c>
      <c r="E951" t="s">
        <v>2417</v>
      </c>
      <c r="F951" s="117" t="s">
        <v>2417</v>
      </c>
      <c r="G951" s="72" t="s">
        <v>406</v>
      </c>
      <c r="H951" s="69" t="str">
        <f>IF(Proc[[#This Row],[type]]="LFF (MDG-F)",MID(Proc[[#This Row],[Obj]],13,10),"")</f>
        <v>ZA50GHR014</v>
      </c>
      <c r="J951" s="69" t="b">
        <f>Proc[[#This Row],[Requested]]=Proc[[#This Row],[CurrentParent]]</f>
        <v>1</v>
      </c>
      <c r="K951" s="144" t="str">
        <f>IF(Proc[[#This Row],[Author]]="Marcela Urrego",VLOOKUP(LEFT(Proc[[#This Row],[Requested]],1),Table3[#All],2,0),VLOOKUP(Proc[[#This Row],[Author]],Table4[],2,0))</f>
        <v>MGF</v>
      </c>
      <c r="L951" s="32" t="s">
        <v>509</v>
      </c>
      <c r="M951" s="71">
        <v>45743.614340277774</v>
      </c>
      <c r="N951" s="71">
        <v>45749</v>
      </c>
      <c r="O951" s="71">
        <v>45749</v>
      </c>
      <c r="P951" s="74" t="str">
        <f ca="1">IF(Proc[[#This Row],[DaysAgeing]]&gt;5,"yep","on track")</f>
        <v>on track</v>
      </c>
      <c r="Q951" s="3">
        <f ca="1">IF(Proc[[#This Row],[DateClosed]]="",ABS(NETWORKDAYS(Proc[[#This Row],[DateOpened]],TODAY()))-1,ABS(NETWORKDAYS(Proc[[#This Row],[DateOpened]],Proc[[#This Row],[DateClosed]]))-1)</f>
        <v>4</v>
      </c>
      <c r="R951" s="74" t="s">
        <v>515</v>
      </c>
      <c r="S951" s="69"/>
    </row>
    <row r="952" spans="1:19" hidden="1">
      <c r="A952" s="72" t="s">
        <v>2498</v>
      </c>
      <c r="B952" s="149" t="str">
        <f>IFERROR(VLOOKUP(Proc[[#This Row],[App]],Table2[],3,0),"open")</f>
        <v>ok</v>
      </c>
      <c r="C952" s="72" t="s">
        <v>369</v>
      </c>
      <c r="D952" t="s">
        <v>2502</v>
      </c>
      <c r="E952" t="s">
        <v>2417</v>
      </c>
      <c r="F952" s="117" t="s">
        <v>2417</v>
      </c>
      <c r="G952" s="72" t="s">
        <v>406</v>
      </c>
      <c r="H952" s="69" t="str">
        <f>IF(Proc[[#This Row],[type]]="LFF (MDG-F)",MID(Proc[[#This Row],[Obj]],13,10),"")</f>
        <v>KE50GM2100</v>
      </c>
      <c r="J952" s="69" t="b">
        <f>Proc[[#This Row],[Requested]]=Proc[[#This Row],[CurrentParent]]</f>
        <v>1</v>
      </c>
      <c r="K952" s="144" t="str">
        <f>IF(Proc[[#This Row],[Author]]="Marcela Urrego",VLOOKUP(LEFT(Proc[[#This Row],[Requested]],1),Table3[#All],2,0),VLOOKUP(Proc[[#This Row],[Author]],Table4[],2,0))</f>
        <v>MGF</v>
      </c>
      <c r="L952" s="32" t="s">
        <v>509</v>
      </c>
      <c r="M952" s="71">
        <v>45743.614340277774</v>
      </c>
      <c r="N952" s="71">
        <v>45749</v>
      </c>
      <c r="O952" s="71">
        <v>45749</v>
      </c>
      <c r="P952" s="74" t="str">
        <f ca="1">IF(Proc[[#This Row],[DaysAgeing]]&gt;5,"yep","on track")</f>
        <v>on track</v>
      </c>
      <c r="Q952" s="3">
        <f ca="1">IF(Proc[[#This Row],[DateClosed]]="",ABS(NETWORKDAYS(Proc[[#This Row],[DateOpened]],TODAY()))-1,ABS(NETWORKDAYS(Proc[[#This Row],[DateOpened]],Proc[[#This Row],[DateClosed]]))-1)</f>
        <v>4</v>
      </c>
      <c r="R952" s="74" t="s">
        <v>515</v>
      </c>
      <c r="S952" s="69"/>
    </row>
    <row r="953" spans="1:19" hidden="1">
      <c r="A953" s="72" t="s">
        <v>2498</v>
      </c>
      <c r="B953" s="149" t="str">
        <f>IFERROR(VLOOKUP(Proc[[#This Row],[App]],Table2[],3,0),"open")</f>
        <v>ok</v>
      </c>
      <c r="C953" s="72" t="s">
        <v>369</v>
      </c>
      <c r="D953" t="s">
        <v>2503</v>
      </c>
      <c r="E953" t="s">
        <v>2417</v>
      </c>
      <c r="F953" s="117" t="s">
        <v>2417</v>
      </c>
      <c r="G953" s="72" t="s">
        <v>406</v>
      </c>
      <c r="H953" s="69" t="str">
        <f>IF(Proc[[#This Row],[type]]="LFF (MDG-F)",MID(Proc[[#This Row],[Obj]],13,10),"")</f>
        <v>CZ50GM2100</v>
      </c>
      <c r="J953" s="69" t="b">
        <f>Proc[[#This Row],[Requested]]=Proc[[#This Row],[CurrentParent]]</f>
        <v>1</v>
      </c>
      <c r="K953" s="144" t="str">
        <f>IF(Proc[[#This Row],[Author]]="Marcela Urrego",VLOOKUP(LEFT(Proc[[#This Row],[Requested]],1),Table3[#All],2,0),VLOOKUP(Proc[[#This Row],[Author]],Table4[],2,0))</f>
        <v>MGF</v>
      </c>
      <c r="L953" s="32" t="s">
        <v>509</v>
      </c>
      <c r="M953" s="71">
        <v>45743.614340277774</v>
      </c>
      <c r="N953" s="71">
        <v>45749</v>
      </c>
      <c r="O953" s="71">
        <v>45749</v>
      </c>
      <c r="P953" s="74" t="str">
        <f ca="1">IF(Proc[[#This Row],[DaysAgeing]]&gt;5,"yep","on track")</f>
        <v>on track</v>
      </c>
      <c r="Q953" s="3">
        <f ca="1">IF(Proc[[#This Row],[DateClosed]]="",ABS(NETWORKDAYS(Proc[[#This Row],[DateOpened]],TODAY()))-1,ABS(NETWORKDAYS(Proc[[#This Row],[DateOpened]],Proc[[#This Row],[DateClosed]]))-1)</f>
        <v>4</v>
      </c>
      <c r="R953" s="74" t="s">
        <v>515</v>
      </c>
      <c r="S953" s="69"/>
    </row>
    <row r="954" spans="1:19" hidden="1">
      <c r="A954" s="72" t="s">
        <v>2498</v>
      </c>
      <c r="B954" s="149" t="str">
        <f>IFERROR(VLOOKUP(Proc[[#This Row],[App]],Table2[],3,0),"open")</f>
        <v>ok</v>
      </c>
      <c r="C954" s="72" t="s">
        <v>369</v>
      </c>
      <c r="D954" t="s">
        <v>2504</v>
      </c>
      <c r="E954" t="s">
        <v>2417</v>
      </c>
      <c r="F954" s="117" t="s">
        <v>2417</v>
      </c>
      <c r="G954" s="72" t="s">
        <v>406</v>
      </c>
      <c r="H954" s="69" t="str">
        <f>IF(Proc[[#This Row],[type]]="LFF (MDG-F)",MID(Proc[[#This Row],[Obj]],13,10),"")</f>
        <v>CZ50GM2101</v>
      </c>
      <c r="J954" s="69" t="b">
        <f>Proc[[#This Row],[Requested]]=Proc[[#This Row],[CurrentParent]]</f>
        <v>1</v>
      </c>
      <c r="K954" s="144" t="str">
        <f>IF(Proc[[#This Row],[Author]]="Marcela Urrego",VLOOKUP(LEFT(Proc[[#This Row],[Requested]],1),Table3[#All],2,0),VLOOKUP(Proc[[#This Row],[Author]],Table4[],2,0))</f>
        <v>MGF</v>
      </c>
      <c r="L954" s="32" t="s">
        <v>509</v>
      </c>
      <c r="M954" s="71">
        <v>45743.614340277774</v>
      </c>
      <c r="N954" s="71">
        <v>45749</v>
      </c>
      <c r="O954" s="71">
        <v>45749</v>
      </c>
      <c r="P954" s="74" t="str">
        <f ca="1">IF(Proc[[#This Row],[DaysAgeing]]&gt;5,"yep","on track")</f>
        <v>on track</v>
      </c>
      <c r="Q954" s="3">
        <f ca="1">IF(Proc[[#This Row],[DateClosed]]="",ABS(NETWORKDAYS(Proc[[#This Row],[DateOpened]],TODAY()))-1,ABS(NETWORKDAYS(Proc[[#This Row],[DateOpened]],Proc[[#This Row],[DateClosed]]))-1)</f>
        <v>4</v>
      </c>
      <c r="R954" s="74" t="s">
        <v>515</v>
      </c>
      <c r="S954" s="69"/>
    </row>
    <row r="955" spans="1:19" hidden="1">
      <c r="A955" t="s">
        <v>2525</v>
      </c>
      <c r="B955" s="149" t="str">
        <f>IFERROR(VLOOKUP(Proc[[#This Row],[App]],Table2[],3,0),"open")</f>
        <v>ok</v>
      </c>
      <c r="C955" s="72" t="s">
        <v>369</v>
      </c>
      <c r="D955" t="s">
        <v>2526</v>
      </c>
      <c r="E955" t="s">
        <v>2536</v>
      </c>
      <c r="F955" s="117" t="s">
        <v>2536</v>
      </c>
      <c r="G955" t="s">
        <v>400</v>
      </c>
      <c r="H955" s="69" t="str">
        <f>IF(Proc[[#This Row],[type]]="LFF (MDG-F)",MID(Proc[[#This Row],[Obj]],13,10),"")</f>
        <v/>
      </c>
      <c r="J955" s="69" t="b">
        <f>Proc[[#This Row],[Requested]]=Proc[[#This Row],[CurrentParent]]</f>
        <v>1</v>
      </c>
      <c r="K955" s="144" t="str">
        <f>IF(Proc[[#This Row],[Author]]="Marcela Urrego",VLOOKUP(LEFT(Proc[[#This Row],[Requested]],1),Table3[#All],2,0),VLOOKUP(Proc[[#This Row],[Author]],Table4[],2,0))</f>
        <v>LS</v>
      </c>
      <c r="L955" s="32" t="s">
        <v>509</v>
      </c>
      <c r="M955" s="71">
        <v>45744.427824074075</v>
      </c>
      <c r="N955" s="71">
        <v>45747</v>
      </c>
      <c r="O955" s="71">
        <v>45747</v>
      </c>
      <c r="P955" s="74" t="str">
        <f ca="1">IF(Proc[[#This Row],[DaysAgeing]]&gt;5,"yep","on track")</f>
        <v>on track</v>
      </c>
      <c r="Q955" s="3">
        <f ca="1">IF(Proc[[#This Row],[DateClosed]]="",ABS(NETWORKDAYS(Proc[[#This Row],[DateOpened]],TODAY()))-1,ABS(NETWORKDAYS(Proc[[#This Row],[DateOpened]],Proc[[#This Row],[DateClosed]]))-1)</f>
        <v>1</v>
      </c>
      <c r="R955" s="74" t="s">
        <v>972</v>
      </c>
      <c r="S955" s="69"/>
    </row>
    <row r="956" spans="1:19" hidden="1">
      <c r="A956" s="72" t="s">
        <v>2525</v>
      </c>
      <c r="B956" s="149" t="str">
        <f>IFERROR(VLOOKUP(Proc[[#This Row],[App]],Table2[],3,0),"open")</f>
        <v>ok</v>
      </c>
      <c r="C956" s="72" t="s">
        <v>369</v>
      </c>
      <c r="D956" t="s">
        <v>2527</v>
      </c>
      <c r="E956" t="s">
        <v>2537</v>
      </c>
      <c r="F956" s="117" t="s">
        <v>2537</v>
      </c>
      <c r="G956" s="72" t="s">
        <v>400</v>
      </c>
      <c r="H956" s="69" t="str">
        <f>IF(Proc[[#This Row],[type]]="LFF (MDG-F)",MID(Proc[[#This Row],[Obj]],13,10),"")</f>
        <v/>
      </c>
      <c r="J956" s="69" t="b">
        <f>Proc[[#This Row],[Requested]]=Proc[[#This Row],[CurrentParent]]</f>
        <v>1</v>
      </c>
      <c r="K956" s="144" t="str">
        <f>IF(Proc[[#This Row],[Author]]="Marcela Urrego",VLOOKUP(LEFT(Proc[[#This Row],[Requested]],1),Table3[#All],2,0),VLOOKUP(Proc[[#This Row],[Author]],Table4[],2,0))</f>
        <v>LS</v>
      </c>
      <c r="L956" s="32" t="s">
        <v>509</v>
      </c>
      <c r="M956" s="71">
        <v>45744.427824074075</v>
      </c>
      <c r="N956" s="71">
        <v>45747</v>
      </c>
      <c r="O956" s="71">
        <v>45747</v>
      </c>
      <c r="P956" s="74" t="str">
        <f ca="1">IF(Proc[[#This Row],[DaysAgeing]]&gt;5,"yep","on track")</f>
        <v>on track</v>
      </c>
      <c r="Q956" s="3">
        <f ca="1">IF(Proc[[#This Row],[DateClosed]]="",ABS(NETWORKDAYS(Proc[[#This Row],[DateOpened]],TODAY()))-1,ABS(NETWORKDAYS(Proc[[#This Row],[DateOpened]],Proc[[#This Row],[DateClosed]]))-1)</f>
        <v>1</v>
      </c>
      <c r="R956" s="74" t="s">
        <v>972</v>
      </c>
      <c r="S956" s="69"/>
    </row>
    <row r="957" spans="1:19" hidden="1">
      <c r="A957" s="72" t="s">
        <v>2525</v>
      </c>
      <c r="B957" s="149" t="str">
        <f>IFERROR(VLOOKUP(Proc[[#This Row],[App]],Table2[],3,0),"open")</f>
        <v>ok</v>
      </c>
      <c r="C957" s="72" t="s">
        <v>369</v>
      </c>
      <c r="D957" t="s">
        <v>2528</v>
      </c>
      <c r="E957" t="s">
        <v>1974</v>
      </c>
      <c r="F957" s="117" t="s">
        <v>1974</v>
      </c>
      <c r="G957" s="72" t="s">
        <v>400</v>
      </c>
      <c r="H957" s="69" t="str">
        <f>IF(Proc[[#This Row],[type]]="LFF (MDG-F)",MID(Proc[[#This Row],[Obj]],13,10),"")</f>
        <v/>
      </c>
      <c r="J957" s="69" t="b">
        <f>Proc[[#This Row],[Requested]]=Proc[[#This Row],[CurrentParent]]</f>
        <v>1</v>
      </c>
      <c r="K957" s="144" t="str">
        <f>IF(Proc[[#This Row],[Author]]="Marcela Urrego",VLOOKUP(LEFT(Proc[[#This Row],[Requested]],1),Table3[#All],2,0),VLOOKUP(Proc[[#This Row],[Author]],Table4[],2,0))</f>
        <v>LS</v>
      </c>
      <c r="L957" s="32" t="s">
        <v>509</v>
      </c>
      <c r="M957" s="71">
        <v>45744.427824074075</v>
      </c>
      <c r="N957" s="71">
        <v>45747</v>
      </c>
      <c r="O957" s="71">
        <v>45747</v>
      </c>
      <c r="P957" s="74" t="str">
        <f ca="1">IF(Proc[[#This Row],[DaysAgeing]]&gt;5,"yep","on track")</f>
        <v>on track</v>
      </c>
      <c r="Q957" s="3">
        <f ca="1">IF(Proc[[#This Row],[DateClosed]]="",ABS(NETWORKDAYS(Proc[[#This Row],[DateOpened]],TODAY()))-1,ABS(NETWORKDAYS(Proc[[#This Row],[DateOpened]],Proc[[#This Row],[DateClosed]]))-1)</f>
        <v>1</v>
      </c>
      <c r="R957" s="74" t="s">
        <v>972</v>
      </c>
      <c r="S957" s="69"/>
    </row>
    <row r="958" spans="1:19" hidden="1">
      <c r="A958" s="72" t="s">
        <v>2525</v>
      </c>
      <c r="B958" s="149" t="str">
        <f>IFERROR(VLOOKUP(Proc[[#This Row],[App]],Table2[],3,0),"open")</f>
        <v>ok</v>
      </c>
      <c r="C958" s="72" t="s">
        <v>369</v>
      </c>
      <c r="D958" t="s">
        <v>2529</v>
      </c>
      <c r="E958" t="s">
        <v>1716</v>
      </c>
      <c r="F958" s="117" t="s">
        <v>1716</v>
      </c>
      <c r="G958" s="72" t="s">
        <v>400</v>
      </c>
      <c r="H958" s="69" t="str">
        <f>IF(Proc[[#This Row],[type]]="LFF (MDG-F)",MID(Proc[[#This Row],[Obj]],13,10),"")</f>
        <v/>
      </c>
      <c r="J958" s="69" t="b">
        <f>Proc[[#This Row],[Requested]]=Proc[[#This Row],[CurrentParent]]</f>
        <v>1</v>
      </c>
      <c r="K958" s="144" t="str">
        <f>IF(Proc[[#This Row],[Author]]="Marcela Urrego",VLOOKUP(LEFT(Proc[[#This Row],[Requested]],1),Table3[#All],2,0),VLOOKUP(Proc[[#This Row],[Author]],Table4[],2,0))</f>
        <v>LS</v>
      </c>
      <c r="L958" s="32" t="s">
        <v>509</v>
      </c>
      <c r="M958" s="71">
        <v>45744.427824074075</v>
      </c>
      <c r="N958" s="71">
        <v>45747</v>
      </c>
      <c r="O958" s="71">
        <v>45747</v>
      </c>
      <c r="P958" s="74" t="str">
        <f ca="1">IF(Proc[[#This Row],[DaysAgeing]]&gt;5,"yep","on track")</f>
        <v>on track</v>
      </c>
      <c r="Q958" s="3">
        <f ca="1">IF(Proc[[#This Row],[DateClosed]]="",ABS(NETWORKDAYS(Proc[[#This Row],[DateOpened]],TODAY()))-1,ABS(NETWORKDAYS(Proc[[#This Row],[DateOpened]],Proc[[#This Row],[DateClosed]]))-1)</f>
        <v>1</v>
      </c>
      <c r="R958" s="74" t="s">
        <v>972</v>
      </c>
      <c r="S958" s="69"/>
    </row>
    <row r="959" spans="1:19" hidden="1">
      <c r="A959" s="72" t="s">
        <v>2525</v>
      </c>
      <c r="B959" s="149" t="str">
        <f>IFERROR(VLOOKUP(Proc[[#This Row],[App]],Table2[],3,0),"open")</f>
        <v>ok</v>
      </c>
      <c r="C959" s="72" t="s">
        <v>369</v>
      </c>
      <c r="D959" t="s">
        <v>2530</v>
      </c>
      <c r="E959" t="s">
        <v>1716</v>
      </c>
      <c r="F959" s="117" t="s">
        <v>1716</v>
      </c>
      <c r="G959" s="72" t="s">
        <v>400</v>
      </c>
      <c r="H959" s="69" t="str">
        <f>IF(Proc[[#This Row],[type]]="LFF (MDG-F)",MID(Proc[[#This Row],[Obj]],13,10),"")</f>
        <v/>
      </c>
      <c r="J959" s="69" t="b">
        <f>Proc[[#This Row],[Requested]]=Proc[[#This Row],[CurrentParent]]</f>
        <v>1</v>
      </c>
      <c r="K959" s="144" t="str">
        <f>IF(Proc[[#This Row],[Author]]="Marcela Urrego",VLOOKUP(LEFT(Proc[[#This Row],[Requested]],1),Table3[#All],2,0),VLOOKUP(Proc[[#This Row],[Author]],Table4[],2,0))</f>
        <v>LS</v>
      </c>
      <c r="L959" s="32" t="s">
        <v>509</v>
      </c>
      <c r="M959" s="71">
        <v>45744.427824074075</v>
      </c>
      <c r="N959" s="71">
        <v>45747</v>
      </c>
      <c r="O959" s="71">
        <v>45747</v>
      </c>
      <c r="P959" s="74" t="str">
        <f ca="1">IF(Proc[[#This Row],[DaysAgeing]]&gt;5,"yep","on track")</f>
        <v>on track</v>
      </c>
      <c r="Q959" s="3">
        <f ca="1">IF(Proc[[#This Row],[DateClosed]]="",ABS(NETWORKDAYS(Proc[[#This Row],[DateOpened]],TODAY()))-1,ABS(NETWORKDAYS(Proc[[#This Row],[DateOpened]],Proc[[#This Row],[DateClosed]]))-1)</f>
        <v>1</v>
      </c>
      <c r="R959" s="74" t="s">
        <v>972</v>
      </c>
      <c r="S959" s="69"/>
    </row>
    <row r="960" spans="1:19" hidden="1">
      <c r="A960" s="72" t="s">
        <v>2525</v>
      </c>
      <c r="B960" s="149" t="str">
        <f>IFERROR(VLOOKUP(Proc[[#This Row],[App]],Table2[],3,0),"open")</f>
        <v>ok</v>
      </c>
      <c r="C960" s="72" t="s">
        <v>369</v>
      </c>
      <c r="D960" t="s">
        <v>2531</v>
      </c>
      <c r="E960" t="s">
        <v>2538</v>
      </c>
      <c r="F960" s="117" t="s">
        <v>2538</v>
      </c>
      <c r="G960" s="72" t="s">
        <v>400</v>
      </c>
      <c r="H960" s="69" t="str">
        <f>IF(Proc[[#This Row],[type]]="LFF (MDG-F)",MID(Proc[[#This Row],[Obj]],13,10),"")</f>
        <v/>
      </c>
      <c r="J960" s="69" t="b">
        <f>Proc[[#This Row],[Requested]]=Proc[[#This Row],[CurrentParent]]</f>
        <v>1</v>
      </c>
      <c r="K960" s="144" t="str">
        <f>IF(Proc[[#This Row],[Author]]="Marcela Urrego",VLOOKUP(LEFT(Proc[[#This Row],[Requested]],1),Table3[#All],2,0),VLOOKUP(Proc[[#This Row],[Author]],Table4[],2,0))</f>
        <v>LS</v>
      </c>
      <c r="L960" s="32" t="s">
        <v>509</v>
      </c>
      <c r="M960" s="71">
        <v>45744.427824074075</v>
      </c>
      <c r="N960" s="71">
        <v>45747</v>
      </c>
      <c r="O960" s="71">
        <v>45747</v>
      </c>
      <c r="P960" s="74" t="str">
        <f ca="1">IF(Proc[[#This Row],[DaysAgeing]]&gt;5,"yep","on track")</f>
        <v>on track</v>
      </c>
      <c r="Q960" s="3">
        <f ca="1">IF(Proc[[#This Row],[DateClosed]]="",ABS(NETWORKDAYS(Proc[[#This Row],[DateOpened]],TODAY()))-1,ABS(NETWORKDAYS(Proc[[#This Row],[DateOpened]],Proc[[#This Row],[DateClosed]]))-1)</f>
        <v>1</v>
      </c>
      <c r="R960" s="74" t="s">
        <v>972</v>
      </c>
      <c r="S960" s="69"/>
    </row>
    <row r="961" spans="1:19" hidden="1">
      <c r="A961" s="72" t="s">
        <v>2525</v>
      </c>
      <c r="B961" s="149" t="str">
        <f>IFERROR(VLOOKUP(Proc[[#This Row],[App]],Table2[],3,0),"open")</f>
        <v>ok</v>
      </c>
      <c r="C961" s="72" t="s">
        <v>369</v>
      </c>
      <c r="D961" t="s">
        <v>2532</v>
      </c>
      <c r="E961" t="s">
        <v>774</v>
      </c>
      <c r="F961" s="117" t="s">
        <v>774</v>
      </c>
      <c r="G961" s="72" t="s">
        <v>400</v>
      </c>
      <c r="H961" s="69" t="str">
        <f>IF(Proc[[#This Row],[type]]="LFF (MDG-F)",MID(Proc[[#This Row],[Obj]],13,10),"")</f>
        <v/>
      </c>
      <c r="J961" s="69" t="b">
        <f>Proc[[#This Row],[Requested]]=Proc[[#This Row],[CurrentParent]]</f>
        <v>1</v>
      </c>
      <c r="K961" s="144" t="str">
        <f>IF(Proc[[#This Row],[Author]]="Marcela Urrego",VLOOKUP(LEFT(Proc[[#This Row],[Requested]],1),Table3[#All],2,0),VLOOKUP(Proc[[#This Row],[Author]],Table4[],2,0))</f>
        <v>LS</v>
      </c>
      <c r="L961" s="32" t="s">
        <v>509</v>
      </c>
      <c r="M961" s="71">
        <v>45744.427824074075</v>
      </c>
      <c r="N961" s="71">
        <v>45747</v>
      </c>
      <c r="O961" s="71">
        <v>45747</v>
      </c>
      <c r="P961" s="74" t="str">
        <f ca="1">IF(Proc[[#This Row],[DaysAgeing]]&gt;5,"yep","on track")</f>
        <v>on track</v>
      </c>
      <c r="Q961" s="3">
        <f ca="1">IF(Proc[[#This Row],[DateClosed]]="",ABS(NETWORKDAYS(Proc[[#This Row],[DateOpened]],TODAY()))-1,ABS(NETWORKDAYS(Proc[[#This Row],[DateOpened]],Proc[[#This Row],[DateClosed]]))-1)</f>
        <v>1</v>
      </c>
      <c r="R961" s="74" t="s">
        <v>972</v>
      </c>
      <c r="S961" s="69"/>
    </row>
    <row r="962" spans="1:19" hidden="1">
      <c r="A962" s="72" t="s">
        <v>2525</v>
      </c>
      <c r="B962" s="149" t="str">
        <f>IFERROR(VLOOKUP(Proc[[#This Row],[App]],Table2[],3,0),"open")</f>
        <v>ok</v>
      </c>
      <c r="C962" s="72" t="s">
        <v>369</v>
      </c>
      <c r="D962" t="s">
        <v>2533</v>
      </c>
      <c r="E962" t="s">
        <v>2539</v>
      </c>
      <c r="F962" s="117" t="s">
        <v>2539</v>
      </c>
      <c r="G962" s="72" t="s">
        <v>400</v>
      </c>
      <c r="H962" s="69" t="str">
        <f>IF(Proc[[#This Row],[type]]="LFF (MDG-F)",MID(Proc[[#This Row],[Obj]],13,10),"")</f>
        <v/>
      </c>
      <c r="J962" s="69" t="b">
        <f>Proc[[#This Row],[Requested]]=Proc[[#This Row],[CurrentParent]]</f>
        <v>1</v>
      </c>
      <c r="K962" s="144" t="str">
        <f>IF(Proc[[#This Row],[Author]]="Marcela Urrego",VLOOKUP(LEFT(Proc[[#This Row],[Requested]],1),Table3[#All],2,0),VLOOKUP(Proc[[#This Row],[Author]],Table4[],2,0))</f>
        <v>LS</v>
      </c>
      <c r="L962" s="32" t="s">
        <v>509</v>
      </c>
      <c r="M962" s="71">
        <v>45744.427824074075</v>
      </c>
      <c r="N962" s="71">
        <v>45747</v>
      </c>
      <c r="O962" s="71">
        <v>45747</v>
      </c>
      <c r="P962" s="74" t="str">
        <f ca="1">IF(Proc[[#This Row],[DaysAgeing]]&gt;5,"yep","on track")</f>
        <v>on track</v>
      </c>
      <c r="Q962" s="3">
        <f ca="1">IF(Proc[[#This Row],[DateClosed]]="",ABS(NETWORKDAYS(Proc[[#This Row],[DateOpened]],TODAY()))-1,ABS(NETWORKDAYS(Proc[[#This Row],[DateOpened]],Proc[[#This Row],[DateClosed]]))-1)</f>
        <v>1</v>
      </c>
      <c r="R962" s="74" t="s">
        <v>972</v>
      </c>
      <c r="S962" s="69"/>
    </row>
    <row r="963" spans="1:19" hidden="1">
      <c r="A963" s="72" t="s">
        <v>2525</v>
      </c>
      <c r="B963" s="149" t="str">
        <f>IFERROR(VLOOKUP(Proc[[#This Row],[App]],Table2[],3,0),"open")</f>
        <v>ok</v>
      </c>
      <c r="C963" s="72" t="s">
        <v>369</v>
      </c>
      <c r="D963" t="s">
        <v>2534</v>
      </c>
      <c r="E963" t="s">
        <v>774</v>
      </c>
      <c r="F963" s="117" t="s">
        <v>774</v>
      </c>
      <c r="G963" s="72" t="s">
        <v>400</v>
      </c>
      <c r="H963" s="69" t="str">
        <f>IF(Proc[[#This Row],[type]]="LFF (MDG-F)",MID(Proc[[#This Row],[Obj]],13,10),"")</f>
        <v/>
      </c>
      <c r="J963" s="69" t="b">
        <f>Proc[[#This Row],[Requested]]=Proc[[#This Row],[CurrentParent]]</f>
        <v>1</v>
      </c>
      <c r="K963" s="144" t="str">
        <f>IF(Proc[[#This Row],[Author]]="Marcela Urrego",VLOOKUP(LEFT(Proc[[#This Row],[Requested]],1),Table3[#All],2,0),VLOOKUP(Proc[[#This Row],[Author]],Table4[],2,0))</f>
        <v>LS</v>
      </c>
      <c r="L963" s="32" t="s">
        <v>509</v>
      </c>
      <c r="M963" s="71">
        <v>45744.427824074075</v>
      </c>
      <c r="N963" s="71">
        <v>45747</v>
      </c>
      <c r="O963" s="71">
        <v>45747</v>
      </c>
      <c r="P963" s="74" t="str">
        <f ca="1">IF(Proc[[#This Row],[DaysAgeing]]&gt;5,"yep","on track")</f>
        <v>on track</v>
      </c>
      <c r="Q963" s="3">
        <f ca="1">IF(Proc[[#This Row],[DateClosed]]="",ABS(NETWORKDAYS(Proc[[#This Row],[DateOpened]],TODAY()))-1,ABS(NETWORKDAYS(Proc[[#This Row],[DateOpened]],Proc[[#This Row],[DateClosed]]))-1)</f>
        <v>1</v>
      </c>
      <c r="R963" s="74" t="s">
        <v>972</v>
      </c>
      <c r="S963" s="69"/>
    </row>
    <row r="964" spans="1:19" hidden="1">
      <c r="A964" s="72" t="s">
        <v>2525</v>
      </c>
      <c r="B964" s="149" t="str">
        <f>IFERROR(VLOOKUP(Proc[[#This Row],[App]],Table2[],3,0),"open")</f>
        <v>ok</v>
      </c>
      <c r="C964" s="72" t="s">
        <v>369</v>
      </c>
      <c r="D964" t="s">
        <v>2535</v>
      </c>
      <c r="E964" t="s">
        <v>2540</v>
      </c>
      <c r="F964" s="117" t="s">
        <v>2540</v>
      </c>
      <c r="G964" s="72" t="s">
        <v>400</v>
      </c>
      <c r="H964" s="69" t="str">
        <f>IF(Proc[[#This Row],[type]]="LFF (MDG-F)",MID(Proc[[#This Row],[Obj]],13,10),"")</f>
        <v/>
      </c>
      <c r="J964" s="69" t="b">
        <f>Proc[[#This Row],[Requested]]=Proc[[#This Row],[CurrentParent]]</f>
        <v>1</v>
      </c>
      <c r="K964" s="144" t="str">
        <f>IF(Proc[[#This Row],[Author]]="Marcela Urrego",VLOOKUP(LEFT(Proc[[#This Row],[Requested]],1),Table3[#All],2,0),VLOOKUP(Proc[[#This Row],[Author]],Table4[],2,0))</f>
        <v>LS</v>
      </c>
      <c r="L964" s="32" t="s">
        <v>509</v>
      </c>
      <c r="M964" s="71">
        <v>45744.427824074075</v>
      </c>
      <c r="N964" s="71">
        <v>45747</v>
      </c>
      <c r="O964" s="71">
        <v>45747</v>
      </c>
      <c r="P964" s="74" t="str">
        <f ca="1">IF(Proc[[#This Row],[DaysAgeing]]&gt;5,"yep","on track")</f>
        <v>on track</v>
      </c>
      <c r="Q964" s="3">
        <f ca="1">IF(Proc[[#This Row],[DateClosed]]="",ABS(NETWORKDAYS(Proc[[#This Row],[DateOpened]],TODAY()))-1,ABS(NETWORKDAYS(Proc[[#This Row],[DateOpened]],Proc[[#This Row],[DateClosed]]))-1)</f>
        <v>1</v>
      </c>
      <c r="R964" s="74" t="s">
        <v>972</v>
      </c>
      <c r="S964" s="69"/>
    </row>
    <row r="965" spans="1:19" hidden="1">
      <c r="A965" t="s">
        <v>2602</v>
      </c>
      <c r="B965" s="149" t="str">
        <f>IFERROR(VLOOKUP(Proc[[#This Row],[App]],Table2[],3,0),"open")</f>
        <v>ok</v>
      </c>
      <c r="C965" s="72" t="s">
        <v>369</v>
      </c>
      <c r="D965" t="s">
        <v>2603</v>
      </c>
      <c r="E965" t="s">
        <v>476</v>
      </c>
      <c r="F965" s="117" t="s">
        <v>476</v>
      </c>
      <c r="G965" t="s">
        <v>406</v>
      </c>
      <c r="H965" s="69" t="str">
        <f>IF(Proc[[#This Row],[type]]="LFF (MDG-F)",MID(Proc[[#This Row],[Obj]],13,10),"")</f>
        <v>GB10GM4002</v>
      </c>
      <c r="J965" s="69" t="b">
        <f>Proc[[#This Row],[Requested]]=Proc[[#This Row],[CurrentParent]]</f>
        <v>1</v>
      </c>
      <c r="K965" s="144" t="str">
        <f>IF(Proc[[#This Row],[Author]]="Marcela Urrego",VLOOKUP(LEFT(Proc[[#This Row],[Requested]],1),Table3[#All],2,0),VLOOKUP(Proc[[#This Row],[Author]],Table4[],2,0))</f>
        <v>MGF</v>
      </c>
      <c r="L965" s="32" t="s">
        <v>2563</v>
      </c>
      <c r="M965" s="71">
        <v>45744.61619212963</v>
      </c>
      <c r="N965" s="71">
        <v>45751</v>
      </c>
      <c r="O965" s="71">
        <v>45751</v>
      </c>
      <c r="P965" s="74" t="str">
        <f ca="1">IF(Proc[[#This Row],[DaysAgeing]]&gt;5,"yep","on track")</f>
        <v>on track</v>
      </c>
      <c r="Q965" s="3">
        <f ca="1">IF(Proc[[#This Row],[DateClosed]]="",ABS(NETWORKDAYS(Proc[[#This Row],[DateOpened]],TODAY()))-1,ABS(NETWORKDAYS(Proc[[#This Row],[DateOpened]],Proc[[#This Row],[DateClosed]]))-1)</f>
        <v>5</v>
      </c>
      <c r="R965" s="74" t="s">
        <v>530</v>
      </c>
      <c r="S965" s="69"/>
    </row>
    <row r="966" spans="1:19" hidden="1">
      <c r="A966" t="s">
        <v>2573</v>
      </c>
      <c r="B966" s="149" t="str">
        <f>IFERROR(VLOOKUP(Proc[[#This Row],[App]],Table2[],3,0),"open")</f>
        <v>ok</v>
      </c>
      <c r="C966" s="72" t="s">
        <v>369</v>
      </c>
      <c r="D966" s="45" t="s">
        <v>2572</v>
      </c>
      <c r="E966" t="s">
        <v>540</v>
      </c>
      <c r="F966" s="117" t="s">
        <v>540</v>
      </c>
      <c r="G966" s="72" t="s">
        <v>406</v>
      </c>
      <c r="H966" s="69" t="str">
        <f>IF(Proc[[#This Row],[type]]="LFF (MDG-F)",MID(Proc[[#This Row],[Obj]],13,10),"")</f>
        <v>US10GM4058</v>
      </c>
      <c r="I966" t="s">
        <v>2574</v>
      </c>
      <c r="J966" s="69" t="b">
        <f>Proc[[#This Row],[Requested]]=Proc[[#This Row],[CurrentParent]]</f>
        <v>1</v>
      </c>
      <c r="K966" s="144" t="str">
        <f>IF(Proc[[#This Row],[Author]]="Marcela Urrego",VLOOKUP(LEFT(Proc[[#This Row],[Requested]],1),Table3[#All],2,0),VLOOKUP(Proc[[#This Row],[Author]],Table4[],2,0))</f>
        <v>MGF</v>
      </c>
      <c r="L966" s="32" t="s">
        <v>2563</v>
      </c>
      <c r="M966" s="71">
        <v>45744.623530092591</v>
      </c>
      <c r="N966" s="71">
        <v>45751</v>
      </c>
      <c r="O966" s="71">
        <v>45751</v>
      </c>
      <c r="P966" s="74" t="str">
        <f ca="1">IF(Proc[[#This Row],[DaysAgeing]]&gt;5,"yep","on track")</f>
        <v>on track</v>
      </c>
      <c r="Q966" s="3">
        <f ca="1">IF(Proc[[#This Row],[DateClosed]]="",ABS(NETWORKDAYS(Proc[[#This Row],[DateOpened]],TODAY()))-1,ABS(NETWORKDAYS(Proc[[#This Row],[DateOpened]],Proc[[#This Row],[DateClosed]]))-1)</f>
        <v>5</v>
      </c>
      <c r="R966" s="74" t="s">
        <v>530</v>
      </c>
      <c r="S966" s="69"/>
    </row>
    <row r="967" spans="1:19" hidden="1">
      <c r="A967" t="s">
        <v>2556</v>
      </c>
      <c r="B967" s="149" t="str">
        <f>IFERROR(VLOOKUP(Proc[[#This Row],[App]],Table2[],3,0),"open")</f>
        <v>ok</v>
      </c>
      <c r="C967" s="72" t="s">
        <v>369</v>
      </c>
      <c r="D967" t="s">
        <v>2557</v>
      </c>
      <c r="E967" t="s">
        <v>2559</v>
      </c>
      <c r="F967" s="117" t="s">
        <v>2559</v>
      </c>
      <c r="G967" s="72" t="s">
        <v>406</v>
      </c>
      <c r="H967" s="69" t="str">
        <f>IF(Proc[[#This Row],[type]]="LFF (MDG-F)",MID(Proc[[#This Row],[Obj]],13,10),"")</f>
        <v>CN95GM4000</v>
      </c>
      <c r="J967" s="69" t="b">
        <f>Proc[[#This Row],[Requested]]=Proc[[#This Row],[CurrentParent]]</f>
        <v>1</v>
      </c>
      <c r="K967" s="144" t="str">
        <f>IF(Proc[[#This Row],[Author]]="Marcela Urrego",VLOOKUP(LEFT(Proc[[#This Row],[Requested]],1),Table3[#All],2,0),VLOOKUP(Proc[[#This Row],[Author]],Table4[],2,0))</f>
        <v>MGF</v>
      </c>
      <c r="L967" s="32" t="s">
        <v>509</v>
      </c>
      <c r="M967" s="71">
        <v>45744.631527777776</v>
      </c>
      <c r="N967" s="71">
        <v>45749</v>
      </c>
      <c r="O967" s="71">
        <v>45749</v>
      </c>
      <c r="P967" s="74" t="str">
        <f ca="1">IF(Proc[[#This Row],[DaysAgeing]]&gt;5,"yep","on track")</f>
        <v>on track</v>
      </c>
      <c r="Q967" s="3">
        <f ca="1">IF(Proc[[#This Row],[DateClosed]]="",ABS(NETWORKDAYS(Proc[[#This Row],[DateOpened]],TODAY()))-1,ABS(NETWORKDAYS(Proc[[#This Row],[DateOpened]],Proc[[#This Row],[DateClosed]]))-1)</f>
        <v>3</v>
      </c>
      <c r="R967" s="74" t="s">
        <v>530</v>
      </c>
      <c r="S967" s="69"/>
    </row>
    <row r="968" spans="1:19" hidden="1">
      <c r="A968" t="s">
        <v>2556</v>
      </c>
      <c r="B968" s="149" t="str">
        <f>IFERROR(VLOOKUP(Proc[[#This Row],[App]],Table2[],3,0),"open")</f>
        <v>ok</v>
      </c>
      <c r="C968" s="72" t="s">
        <v>369</v>
      </c>
      <c r="D968" t="s">
        <v>2558</v>
      </c>
      <c r="E968" t="s">
        <v>2559</v>
      </c>
      <c r="F968" s="117" t="s">
        <v>2559</v>
      </c>
      <c r="G968" s="72" t="s">
        <v>406</v>
      </c>
      <c r="H968" s="69" t="str">
        <f>IF(Proc[[#This Row],[type]]="LFF (MDG-F)",MID(Proc[[#This Row],[Obj]],13,10),"")</f>
        <v>CN96GM4002</v>
      </c>
      <c r="J968" s="69" t="b">
        <f>Proc[[#This Row],[Requested]]=Proc[[#This Row],[CurrentParent]]</f>
        <v>1</v>
      </c>
      <c r="K968" s="144" t="str">
        <f>IF(Proc[[#This Row],[Author]]="Marcela Urrego",VLOOKUP(LEFT(Proc[[#This Row],[Requested]],1),Table3[#All],2,0),VLOOKUP(Proc[[#This Row],[Author]],Table4[],2,0))</f>
        <v>MGF</v>
      </c>
      <c r="L968" s="32" t="s">
        <v>509</v>
      </c>
      <c r="M968" s="71">
        <v>45744.631527777776</v>
      </c>
      <c r="N968" s="71">
        <v>45749</v>
      </c>
      <c r="O968" s="71">
        <v>45749</v>
      </c>
      <c r="P968" s="74" t="str">
        <f ca="1">IF(Proc[[#This Row],[DaysAgeing]]&gt;5,"yep","on track")</f>
        <v>on track</v>
      </c>
      <c r="Q968" s="3">
        <f ca="1">IF(Proc[[#This Row],[DateClosed]]="",ABS(NETWORKDAYS(Proc[[#This Row],[DateOpened]],TODAY()))-1,ABS(NETWORKDAYS(Proc[[#This Row],[DateOpened]],Proc[[#This Row],[DateClosed]]))-1)</f>
        <v>3</v>
      </c>
      <c r="R968" s="74" t="s">
        <v>530</v>
      </c>
      <c r="S968" s="69"/>
    </row>
    <row r="969" spans="1:19" hidden="1">
      <c r="A969" t="s">
        <v>2619</v>
      </c>
      <c r="B969" s="149" t="str">
        <f>IFERROR(VLOOKUP(Proc[[#This Row],[App]],Table2[],3,0),"open")</f>
        <v>ok</v>
      </c>
      <c r="C969" s="72" t="s">
        <v>369</v>
      </c>
      <c r="D969" t="s">
        <v>2618</v>
      </c>
      <c r="E969" t="s">
        <v>2559</v>
      </c>
      <c r="F969" s="117" t="s">
        <v>2559</v>
      </c>
      <c r="G969" s="72" t="s">
        <v>400</v>
      </c>
      <c r="H969" s="69" t="str">
        <f>IF(Proc[[#This Row],[type]]="LFF (MDG-F)",MID(Proc[[#This Row],[Obj]],13,10),"")</f>
        <v/>
      </c>
      <c r="J969" s="69" t="b">
        <f>Proc[[#This Row],[Requested]]=Proc[[#This Row],[CurrentParent]]</f>
        <v>1</v>
      </c>
      <c r="K969" s="144" t="str">
        <f>IF(Proc[[#This Row],[Author]]="Marcela Urrego",VLOOKUP(LEFT(Proc[[#This Row],[Requested]],1),Table3[#All],2,0),VLOOKUP(Proc[[#This Row],[Author]],Table4[],2,0))</f>
        <v>MGF</v>
      </c>
      <c r="L969" s="69" t="s">
        <v>2563</v>
      </c>
      <c r="M969" s="71">
        <v>45744.635370370372</v>
      </c>
      <c r="N969" s="71">
        <v>45754</v>
      </c>
      <c r="O969" s="71">
        <v>45754</v>
      </c>
      <c r="P969" s="74" t="str">
        <f ca="1">IF(Proc[[#This Row],[DaysAgeing]]&gt;5,"yep","on track")</f>
        <v>yep</v>
      </c>
      <c r="Q969" s="3">
        <f ca="1">IF(Proc[[#This Row],[DateClosed]]="",ABS(NETWORKDAYS(Proc[[#This Row],[DateOpened]],TODAY()))-1,ABS(NETWORKDAYS(Proc[[#This Row],[DateOpened]],Proc[[#This Row],[DateClosed]]))-1)</f>
        <v>6</v>
      </c>
      <c r="R969" s="74" t="s">
        <v>530</v>
      </c>
      <c r="S969" s="69"/>
    </row>
    <row r="970" spans="1:19" hidden="1">
      <c r="A970" t="s">
        <v>2554</v>
      </c>
      <c r="B970" s="149" t="str">
        <f>IFERROR(VLOOKUP(Proc[[#This Row],[App]],Table2[],3,0),"open")</f>
        <v>ok</v>
      </c>
      <c r="C970" s="72" t="s">
        <v>369</v>
      </c>
      <c r="D970" s="75" t="s">
        <v>2555</v>
      </c>
      <c r="E970" t="s">
        <v>476</v>
      </c>
      <c r="F970" s="117" t="s">
        <v>476</v>
      </c>
      <c r="G970" s="72" t="s">
        <v>406</v>
      </c>
      <c r="H970" s="69" t="str">
        <f>IF(Proc[[#This Row],[type]]="LFF (MDG-F)",MID(Proc[[#This Row],[Obj]],13,10),"")</f>
        <v>CH50GM4010</v>
      </c>
      <c r="J970" s="69" t="b">
        <f>Proc[[#This Row],[Requested]]=Proc[[#This Row],[CurrentParent]]</f>
        <v>1</v>
      </c>
      <c r="K970" s="144" t="str">
        <f>IF(Proc[[#This Row],[Author]]="Marcela Urrego",VLOOKUP(LEFT(Proc[[#This Row],[Requested]],1),Table3[#All],2,0),VLOOKUP(Proc[[#This Row],[Author]],Table4[],2,0))</f>
        <v>MGF</v>
      </c>
      <c r="L970" s="32" t="s">
        <v>509</v>
      </c>
      <c r="M970" s="71">
        <v>45744.666585648149</v>
      </c>
      <c r="N970" s="71">
        <v>45749</v>
      </c>
      <c r="O970" s="71">
        <v>45749</v>
      </c>
      <c r="P970" s="74" t="str">
        <f ca="1">IF(Proc[[#This Row],[DaysAgeing]]&gt;5,"yep","on track")</f>
        <v>on track</v>
      </c>
      <c r="Q970" s="3">
        <f ca="1">IF(Proc[[#This Row],[DateClosed]]="",ABS(NETWORKDAYS(Proc[[#This Row],[DateOpened]],TODAY()))-1,ABS(NETWORKDAYS(Proc[[#This Row],[DateOpened]],Proc[[#This Row],[DateClosed]]))-1)</f>
        <v>3</v>
      </c>
      <c r="R970" s="74" t="s">
        <v>530</v>
      </c>
      <c r="S970" s="69"/>
    </row>
    <row r="971" spans="1:19" hidden="1">
      <c r="A971" t="s">
        <v>2553</v>
      </c>
      <c r="B971" s="149" t="str">
        <f>IFERROR(VLOOKUP(Proc[[#This Row],[App]],Table2[],3,0),"open")</f>
        <v>ok</v>
      </c>
      <c r="C971" s="72" t="s">
        <v>369</v>
      </c>
      <c r="D971" t="s">
        <v>2551</v>
      </c>
      <c r="E971" t="s">
        <v>476</v>
      </c>
      <c r="F971" s="117" t="s">
        <v>476</v>
      </c>
      <c r="G971" s="72" t="s">
        <v>400</v>
      </c>
      <c r="H971" s="69" t="str">
        <f>IF(Proc[[#This Row],[type]]="LFF (MDG-F)",MID(Proc[[#This Row],[Obj]],13,10),"")</f>
        <v/>
      </c>
      <c r="J971" s="69" t="b">
        <f>Proc[[#This Row],[Requested]]=Proc[[#This Row],[CurrentParent]]</f>
        <v>1</v>
      </c>
      <c r="K971" s="144" t="str">
        <f>IF(Proc[[#This Row],[Author]]="Marcela Urrego",VLOOKUP(LEFT(Proc[[#This Row],[Requested]],1),Table3[#All],2,0),VLOOKUP(Proc[[#This Row],[Author]],Table4[],2,0))</f>
        <v>MGF</v>
      </c>
      <c r="L971" s="32" t="s">
        <v>509</v>
      </c>
      <c r="M971" s="71">
        <v>45744.676550925928</v>
      </c>
      <c r="N971" s="71">
        <v>45749</v>
      </c>
      <c r="O971" s="71">
        <v>45749</v>
      </c>
      <c r="P971" s="74" t="str">
        <f ca="1">IF(Proc[[#This Row],[DaysAgeing]]&gt;5,"yep","on track")</f>
        <v>on track</v>
      </c>
      <c r="Q971" s="3">
        <f ca="1">IF(Proc[[#This Row],[DateClosed]]="",ABS(NETWORKDAYS(Proc[[#This Row],[DateOpened]],TODAY()))-1,ABS(NETWORKDAYS(Proc[[#This Row],[DateOpened]],Proc[[#This Row],[DateClosed]]))-1)</f>
        <v>3</v>
      </c>
      <c r="R971" s="74" t="s">
        <v>530</v>
      </c>
      <c r="S971" s="69"/>
    </row>
    <row r="972" spans="1:19" hidden="1">
      <c r="A972" t="s">
        <v>2550</v>
      </c>
      <c r="B972" s="149" t="str">
        <f>IFERROR(VLOOKUP(Proc[[#This Row],[App]],Table2[],3,0),"open")</f>
        <v>ok</v>
      </c>
      <c r="C972" s="72" t="s">
        <v>369</v>
      </c>
      <c r="D972" t="s">
        <v>2549</v>
      </c>
      <c r="E972" s="72" t="s">
        <v>476</v>
      </c>
      <c r="F972" s="117" t="s">
        <v>476</v>
      </c>
      <c r="G972" s="72" t="s">
        <v>400</v>
      </c>
      <c r="H972" s="69" t="str">
        <f>IF(Proc[[#This Row],[type]]="LFF (MDG-F)",MID(Proc[[#This Row],[Obj]],13,10),"")</f>
        <v/>
      </c>
      <c r="J972" s="69" t="b">
        <f>Proc[[#This Row],[Requested]]=Proc[[#This Row],[CurrentParent]]</f>
        <v>1</v>
      </c>
      <c r="K972" s="144" t="str">
        <f>IF(Proc[[#This Row],[Author]]="Marcela Urrego",VLOOKUP(LEFT(Proc[[#This Row],[Requested]],1),Table3[#All],2,0),VLOOKUP(Proc[[#This Row],[Author]],Table4[],2,0))</f>
        <v>MGF</v>
      </c>
      <c r="L972" s="32" t="s">
        <v>509</v>
      </c>
      <c r="M972" s="71">
        <v>45744.678877314815</v>
      </c>
      <c r="N972" s="71">
        <v>45749</v>
      </c>
      <c r="O972" s="71">
        <v>45749</v>
      </c>
      <c r="P972" s="74" t="str">
        <f ca="1">IF(Proc[[#This Row],[DaysAgeing]]&gt;5,"yep","on track")</f>
        <v>on track</v>
      </c>
      <c r="Q972" s="3">
        <f ca="1">IF(Proc[[#This Row],[DateClosed]]="",ABS(NETWORKDAYS(Proc[[#This Row],[DateOpened]],TODAY()))-1,ABS(NETWORKDAYS(Proc[[#This Row],[DateOpened]],Proc[[#This Row],[DateClosed]]))-1)</f>
        <v>3</v>
      </c>
      <c r="R972" s="74" t="s">
        <v>530</v>
      </c>
      <c r="S972" s="69"/>
    </row>
    <row r="973" spans="1:19" hidden="1">
      <c r="A973" t="s">
        <v>2547</v>
      </c>
      <c r="B973" s="149" t="str">
        <f>IFERROR(VLOOKUP(Proc[[#This Row],[App]],Table2[],3,0),"open")</f>
        <v>ok</v>
      </c>
      <c r="C973" s="72" t="s">
        <v>369</v>
      </c>
      <c r="D973" t="s">
        <v>2548</v>
      </c>
      <c r="E973" t="s">
        <v>476</v>
      </c>
      <c r="F973" s="117" t="s">
        <v>476</v>
      </c>
      <c r="G973" s="72" t="s">
        <v>406</v>
      </c>
      <c r="H973" s="69" t="str">
        <f>IF(Proc[[#This Row],[type]]="LFF (MDG-F)",MID(Proc[[#This Row],[Obj]],13,10),"")</f>
        <v>CH75GM8300</v>
      </c>
      <c r="J973" s="69" t="b">
        <f>Proc[[#This Row],[Requested]]=Proc[[#This Row],[CurrentParent]]</f>
        <v>1</v>
      </c>
      <c r="K973" s="144" t="str">
        <f>IF(Proc[[#This Row],[Author]]="Marcela Urrego",VLOOKUP(LEFT(Proc[[#This Row],[Requested]],1),Table3[#All],2,0),VLOOKUP(Proc[[#This Row],[Author]],Table4[],2,0))</f>
        <v>MGF</v>
      </c>
      <c r="L973" s="32" t="s">
        <v>509</v>
      </c>
      <c r="M973" s="71">
        <v>45744.687928240739</v>
      </c>
      <c r="N973" s="71">
        <v>45749</v>
      </c>
      <c r="O973" s="71">
        <v>45749</v>
      </c>
      <c r="P973" s="74" t="str">
        <f ca="1">IF(Proc[[#This Row],[DaysAgeing]]&gt;5,"yep","on track")</f>
        <v>on track</v>
      </c>
      <c r="Q973" s="3">
        <f ca="1">IF(Proc[[#This Row],[DateClosed]]="",ABS(NETWORKDAYS(Proc[[#This Row],[DateOpened]],TODAY()))-1,ABS(NETWORKDAYS(Proc[[#This Row],[DateOpened]],Proc[[#This Row],[DateClosed]]))-1)</f>
        <v>3</v>
      </c>
      <c r="R973" s="74" t="s">
        <v>530</v>
      </c>
      <c r="S973" s="69"/>
    </row>
    <row r="974" spans="1:19" hidden="1">
      <c r="A974" t="s">
        <v>2544</v>
      </c>
      <c r="B974" s="149" t="str">
        <f>IFERROR(VLOOKUP(Proc[[#This Row],[App]],Table2[],3,0),"open")</f>
        <v>ok</v>
      </c>
      <c r="C974" s="72" t="s">
        <v>369</v>
      </c>
      <c r="D974" t="s">
        <v>2545</v>
      </c>
      <c r="E974" t="s">
        <v>2546</v>
      </c>
      <c r="F974" s="117" t="s">
        <v>2546</v>
      </c>
      <c r="G974" t="s">
        <v>406</v>
      </c>
      <c r="H974" s="69" t="str">
        <f>IF(Proc[[#This Row],[type]]="LFF (MDG-F)",MID(Proc[[#This Row],[Obj]],13,10),"")</f>
        <v>ES50GPO794</v>
      </c>
      <c r="J974" s="69" t="b">
        <f>Proc[[#This Row],[Requested]]=Proc[[#This Row],[CurrentParent]]</f>
        <v>1</v>
      </c>
      <c r="K974" s="144" t="str">
        <f>IF(Proc[[#This Row],[Author]]="Marcela Urrego",VLOOKUP(LEFT(Proc[[#This Row],[Requested]],1),Table3[#All],2,0),VLOOKUP(Proc[[#This Row],[Author]],Table4[],2,0))</f>
        <v>MGF</v>
      </c>
      <c r="L974" s="32" t="s">
        <v>509</v>
      </c>
      <c r="M974" s="71">
        <v>45744.699282407404</v>
      </c>
      <c r="N974" s="71">
        <v>45749</v>
      </c>
      <c r="O974" s="71">
        <v>45749</v>
      </c>
      <c r="P974" s="74" t="str">
        <f ca="1">IF(Proc[[#This Row],[DaysAgeing]]&gt;5,"yep","on track")</f>
        <v>on track</v>
      </c>
      <c r="Q974" s="3">
        <f ca="1">IF(Proc[[#This Row],[DateClosed]]="",ABS(NETWORKDAYS(Proc[[#This Row],[DateOpened]],TODAY()))-1,ABS(NETWORKDAYS(Proc[[#This Row],[DateOpened]],Proc[[#This Row],[DateClosed]]))-1)</f>
        <v>3</v>
      </c>
      <c r="R974" s="74" t="s">
        <v>530</v>
      </c>
      <c r="S974" s="69"/>
    </row>
    <row r="975" spans="1:19" hidden="1">
      <c r="A975" t="s">
        <v>2541</v>
      </c>
      <c r="B975" s="149" t="str">
        <f>IFERROR(VLOOKUP(Proc[[#This Row],[App]],Table2[],3,0),"open")</f>
        <v>ok</v>
      </c>
      <c r="C975" s="72" t="s">
        <v>369</v>
      </c>
      <c r="D975" t="s">
        <v>2542</v>
      </c>
      <c r="E975" t="s">
        <v>2543</v>
      </c>
      <c r="F975" s="117" t="s">
        <v>2543</v>
      </c>
      <c r="G975" s="72" t="s">
        <v>400</v>
      </c>
      <c r="H975" s="69" t="str">
        <f>IF(Proc[[#This Row],[type]]="LFF (MDG-F)",MID(Proc[[#This Row],[Obj]],13,10),"")</f>
        <v/>
      </c>
      <c r="J975" s="69" t="b">
        <f>Proc[[#This Row],[Requested]]=Proc[[#This Row],[CurrentParent]]</f>
        <v>1</v>
      </c>
      <c r="K975" s="144" t="str">
        <f>IF(Proc[[#This Row],[Author]]="Marcela Urrego",VLOOKUP(LEFT(Proc[[#This Row],[Requested]],1),Table3[#All],2,0),VLOOKUP(Proc[[#This Row],[Author]],Table4[],2,0))</f>
        <v>MGF</v>
      </c>
      <c r="L975" s="32" t="s">
        <v>509</v>
      </c>
      <c r="M975" s="71">
        <v>45747.396412037036</v>
      </c>
      <c r="N975" s="71">
        <v>45749</v>
      </c>
      <c r="O975" s="71">
        <v>45749</v>
      </c>
      <c r="P975" s="74" t="str">
        <f ca="1">IF(Proc[[#This Row],[DaysAgeing]]&gt;5,"yep","on track")</f>
        <v>on track</v>
      </c>
      <c r="Q975" s="3">
        <f ca="1">IF(Proc[[#This Row],[DateClosed]]="",ABS(NETWORKDAYS(Proc[[#This Row],[DateOpened]],TODAY()))-1,ABS(NETWORKDAYS(Proc[[#This Row],[DateOpened]],Proc[[#This Row],[DateClosed]]))-1)</f>
        <v>2</v>
      </c>
      <c r="R975" s="74" t="s">
        <v>1076</v>
      </c>
      <c r="S975" s="69"/>
    </row>
    <row r="976" spans="1:19" hidden="1">
      <c r="A976" t="s">
        <v>2562</v>
      </c>
      <c r="B976" s="149" t="str">
        <f>IFERROR(VLOOKUP(Proc[[#This Row],[App]],Table2[],3,0),"open")</f>
        <v>ok</v>
      </c>
      <c r="C976" s="72" t="s">
        <v>369</v>
      </c>
      <c r="D976" t="s">
        <v>2560</v>
      </c>
      <c r="E976" t="s">
        <v>2561</v>
      </c>
      <c r="F976" s="117" t="s">
        <v>2561</v>
      </c>
      <c r="G976" s="72" t="s">
        <v>400</v>
      </c>
      <c r="H976" s="69" t="str">
        <f>IF(Proc[[#This Row],[type]]="LFF (MDG-F)",MID(Proc[[#This Row],[Obj]],13,10),"")</f>
        <v/>
      </c>
      <c r="J976" s="69" t="b">
        <f>Proc[[#This Row],[Requested]]=Proc[[#This Row],[CurrentParent]]</f>
        <v>1</v>
      </c>
      <c r="K976" s="144" t="str">
        <f>IF(Proc[[#This Row],[Author]]="Marcela Urrego",VLOOKUP(LEFT(Proc[[#This Row],[Requested]],1),Table3[#All],2,0),VLOOKUP(Proc[[#This Row],[Author]],Table4[],2,0))</f>
        <v>HC</v>
      </c>
      <c r="L976" s="32" t="s">
        <v>509</v>
      </c>
      <c r="M976" s="71">
        <v>45747.472418981481</v>
      </c>
      <c r="N976" s="71">
        <v>45749</v>
      </c>
      <c r="O976" s="71">
        <v>45749</v>
      </c>
      <c r="P976" s="74" t="str">
        <f ca="1">IF(Proc[[#This Row],[DaysAgeing]]&gt;5,"yep","on track")</f>
        <v>on track</v>
      </c>
      <c r="Q976" s="3">
        <f ca="1">IF(Proc[[#This Row],[DateClosed]]="",ABS(NETWORKDAYS(Proc[[#This Row],[DateOpened]],TODAY()))-1,ABS(NETWORKDAYS(Proc[[#This Row],[DateOpened]],Proc[[#This Row],[DateClosed]]))-1)</f>
        <v>2</v>
      </c>
      <c r="R976" s="74" t="s">
        <v>477</v>
      </c>
      <c r="S976" s="69"/>
    </row>
    <row r="977" spans="1:19" hidden="1">
      <c r="A977" t="s">
        <v>2568</v>
      </c>
      <c r="B977" s="149" t="str">
        <f>IFERROR(VLOOKUP(Proc[[#This Row],[App]],Table2[],3,0),"open")</f>
        <v>ok</v>
      </c>
      <c r="C977" s="72" t="s">
        <v>369</v>
      </c>
      <c r="D977" t="s">
        <v>2569</v>
      </c>
      <c r="E977" t="s">
        <v>2570</v>
      </c>
      <c r="F977" s="117" t="s">
        <v>2570</v>
      </c>
      <c r="G977" s="72" t="s">
        <v>406</v>
      </c>
      <c r="H977" s="69" t="str">
        <f>IF(Proc[[#This Row],[type]]="LFF (MDG-F)",MID(Proc[[#This Row],[Obj]],13,10),"")</f>
        <v>CH50GIT032</v>
      </c>
      <c r="I977" s="72" t="s">
        <v>2574</v>
      </c>
      <c r="J977" s="69" t="b">
        <f>Proc[[#This Row],[Requested]]=Proc[[#This Row],[CurrentParent]]</f>
        <v>1</v>
      </c>
      <c r="K977" s="144" t="str">
        <f>IF(Proc[[#This Row],[Author]]="Marcela Urrego",VLOOKUP(LEFT(Proc[[#This Row],[Requested]],1),Table3[#All],2,0),VLOOKUP(Proc[[#This Row],[Author]],Table4[],2,0))</f>
        <v>MGF</v>
      </c>
      <c r="L977" s="32" t="s">
        <v>2563</v>
      </c>
      <c r="M977" s="71">
        <v>45747.711828703701</v>
      </c>
      <c r="N977" s="71">
        <v>45751</v>
      </c>
      <c r="O977" s="71">
        <v>45751</v>
      </c>
      <c r="P977" s="74" t="str">
        <f ca="1">IF(Proc[[#This Row],[DaysAgeing]]&gt;5,"yep","on track")</f>
        <v>on track</v>
      </c>
      <c r="Q977" s="3">
        <f ca="1">IF(Proc[[#This Row],[DateClosed]]="",ABS(NETWORKDAYS(Proc[[#This Row],[DateOpened]],TODAY()))-1,ABS(NETWORKDAYS(Proc[[#This Row],[DateOpened]],Proc[[#This Row],[DateClosed]]))-1)</f>
        <v>4</v>
      </c>
      <c r="R977" s="74" t="s">
        <v>1459</v>
      </c>
      <c r="S977" s="69"/>
    </row>
    <row r="978" spans="1:19" hidden="1">
      <c r="A978" s="72" t="s">
        <v>2566</v>
      </c>
      <c r="B978" s="149" t="str">
        <f>IFERROR(VLOOKUP(Proc[[#This Row],[App]],Table2[],3,0),"open")</f>
        <v>ok</v>
      </c>
      <c r="C978" s="72" t="s">
        <v>369</v>
      </c>
      <c r="D978" t="s">
        <v>2567</v>
      </c>
      <c r="E978" t="s">
        <v>474</v>
      </c>
      <c r="F978" s="117" t="s">
        <v>474</v>
      </c>
      <c r="G978" s="72" t="s">
        <v>400</v>
      </c>
      <c r="H978" s="69" t="str">
        <f>IF(Proc[[#This Row],[type]]="LFF (MDG-F)",MID(Proc[[#This Row],[Obj]],13,10),"")</f>
        <v/>
      </c>
      <c r="I978" s="72"/>
      <c r="J978" s="69" t="b">
        <f>Proc[[#This Row],[Requested]]=Proc[[#This Row],[CurrentParent]]</f>
        <v>1</v>
      </c>
      <c r="K978" s="144" t="str">
        <f>IF(Proc[[#This Row],[Author]]="Marcela Urrego",VLOOKUP(LEFT(Proc[[#This Row],[Requested]],1),Table3[#All],2,0),VLOOKUP(Proc[[#This Row],[Author]],Table4[],2,0))</f>
        <v>MGF</v>
      </c>
      <c r="L978" s="32" t="s">
        <v>2563</v>
      </c>
      <c r="M978" s="71">
        <v>45748.710694444446</v>
      </c>
      <c r="N978" s="71">
        <v>45751</v>
      </c>
      <c r="O978" s="71">
        <v>45751</v>
      </c>
      <c r="P978" s="74" t="str">
        <f ca="1">IF(Proc[[#This Row],[DaysAgeing]]&gt;5,"yep","on track")</f>
        <v>on track</v>
      </c>
      <c r="Q978" s="3">
        <f ca="1">IF(Proc[[#This Row],[DateClosed]]="",ABS(NETWORKDAYS(Proc[[#This Row],[DateOpened]],TODAY()))-1,ABS(NETWORKDAYS(Proc[[#This Row],[DateOpened]],Proc[[#This Row],[DateClosed]]))-1)</f>
        <v>3</v>
      </c>
      <c r="R978" s="74" t="s">
        <v>530</v>
      </c>
      <c r="S978" s="69"/>
    </row>
    <row r="979" spans="1:19" hidden="1">
      <c r="A979" s="72" t="s">
        <v>2564</v>
      </c>
      <c r="B979" s="149" t="str">
        <f>IFERROR(VLOOKUP(Proc[[#This Row],[App]],Table2[],3,0),"open")</f>
        <v>ok</v>
      </c>
      <c r="C979" s="72" t="s">
        <v>369</v>
      </c>
      <c r="D979" t="s">
        <v>2565</v>
      </c>
      <c r="E979" t="s">
        <v>2552</v>
      </c>
      <c r="F979" s="117" t="s">
        <v>2552</v>
      </c>
      <c r="G979" s="72" t="s">
        <v>400</v>
      </c>
      <c r="H979" s="69" t="str">
        <f>IF(Proc[[#This Row],[type]]="LFF (MDG-F)",MID(Proc[[#This Row],[Obj]],13,10),"")</f>
        <v/>
      </c>
      <c r="I979" s="72"/>
      <c r="J979" s="69" t="b">
        <f>Proc[[#This Row],[Requested]]=Proc[[#This Row],[CurrentParent]]</f>
        <v>1</v>
      </c>
      <c r="K979" s="144" t="str">
        <f>IF(Proc[[#This Row],[Author]]="Marcela Urrego",VLOOKUP(LEFT(Proc[[#This Row],[Requested]],1),Table3[#All],2,0),VLOOKUP(Proc[[#This Row],[Author]],Table4[],2,0))</f>
        <v>MGF</v>
      </c>
      <c r="L979" s="32" t="s">
        <v>2563</v>
      </c>
      <c r="M979" s="71">
        <v>45749.402743055558</v>
      </c>
      <c r="N979" s="71">
        <v>45751</v>
      </c>
      <c r="O979" s="71">
        <v>45751</v>
      </c>
      <c r="P979" s="74" t="str">
        <f ca="1">IF(Proc[[#This Row],[DaysAgeing]]&gt;5,"yep","on track")</f>
        <v>on track</v>
      </c>
      <c r="Q979" s="3">
        <f ca="1">IF(Proc[[#This Row],[DateClosed]]="",ABS(NETWORKDAYS(Proc[[#This Row],[DateOpened]],TODAY()))-1,ABS(NETWORKDAYS(Proc[[#This Row],[DateOpened]],Proc[[#This Row],[DateClosed]]))-1)</f>
        <v>2</v>
      </c>
      <c r="R979" s="74" t="s">
        <v>515</v>
      </c>
      <c r="S979" s="69"/>
    </row>
    <row r="980" spans="1:19" hidden="1">
      <c r="A980" s="72" t="s">
        <v>2571</v>
      </c>
      <c r="B980" s="149" t="str">
        <f>IFERROR(VLOOKUP(Proc[[#This Row],[App]],Table2[],3,0),"open")</f>
        <v>ok</v>
      </c>
      <c r="C980" s="72" t="s">
        <v>369</v>
      </c>
      <c r="D980" t="s">
        <v>2513</v>
      </c>
      <c r="E980" t="s">
        <v>2521</v>
      </c>
      <c r="F980" s="117" t="s">
        <v>2521</v>
      </c>
      <c r="G980" s="72" t="s">
        <v>406</v>
      </c>
      <c r="H980" s="69" t="str">
        <f>IF(Proc[[#This Row],[type]]="LFF (MDG-F)",MID(Proc[[#This Row],[Obj]],13,10),"")</f>
        <v>IT50C02000</v>
      </c>
      <c r="I980" s="72" t="s">
        <v>2574</v>
      </c>
      <c r="J980" s="69" t="b">
        <f>Proc[[#This Row],[Requested]]=Proc[[#This Row],[CurrentParent]]</f>
        <v>1</v>
      </c>
      <c r="K980" s="144" t="str">
        <f>IF(Proc[[#This Row],[Author]]="Marcela Urrego",VLOOKUP(LEFT(Proc[[#This Row],[Requested]],1),Table3[#All],2,0),VLOOKUP(Proc[[#This Row],[Author]],Table4[],2,0))</f>
        <v>HC</v>
      </c>
      <c r="L980" s="32" t="s">
        <v>2563</v>
      </c>
      <c r="M980" s="71">
        <v>45749.440416666665</v>
      </c>
      <c r="N980" s="71">
        <v>45751</v>
      </c>
      <c r="O980" s="71">
        <v>45751</v>
      </c>
      <c r="P980" s="74" t="str">
        <f ca="1">IF(Proc[[#This Row],[DaysAgeing]]&gt;5,"yep","on track")</f>
        <v>on track</v>
      </c>
      <c r="Q980" s="3">
        <f ca="1">IF(Proc[[#This Row],[DateClosed]]="",ABS(NETWORKDAYS(Proc[[#This Row],[DateOpened]],TODAY()))-1,ABS(NETWORKDAYS(Proc[[#This Row],[DateOpened]],Proc[[#This Row],[DateClosed]]))-1)</f>
        <v>2</v>
      </c>
      <c r="R980" s="74" t="s">
        <v>2524</v>
      </c>
      <c r="S980" s="69"/>
    </row>
    <row r="981" spans="1:19" hidden="1">
      <c r="A981" s="72" t="s">
        <v>2571</v>
      </c>
      <c r="B981" s="149" t="str">
        <f>IFERROR(VLOOKUP(Proc[[#This Row],[App]],Table2[],3,0),"open")</f>
        <v>ok</v>
      </c>
      <c r="C981" s="72" t="s">
        <v>369</v>
      </c>
      <c r="D981" t="s">
        <v>2514</v>
      </c>
      <c r="E981" t="s">
        <v>2521</v>
      </c>
      <c r="F981" s="117" t="s">
        <v>2521</v>
      </c>
      <c r="G981" s="72" t="s">
        <v>406</v>
      </c>
      <c r="H981" s="69" t="str">
        <f>IF(Proc[[#This Row],[type]]="LFF (MDG-F)",MID(Proc[[#This Row],[Obj]],13,10),"")</f>
        <v>IT50C02004</v>
      </c>
      <c r="I981" s="72" t="s">
        <v>2574</v>
      </c>
      <c r="J981" s="69" t="b">
        <f>Proc[[#This Row],[Requested]]=Proc[[#This Row],[CurrentParent]]</f>
        <v>1</v>
      </c>
      <c r="K981" s="144" t="str">
        <f>IF(Proc[[#This Row],[Author]]="Marcela Urrego",VLOOKUP(LEFT(Proc[[#This Row],[Requested]],1),Table3[#All],2,0),VLOOKUP(Proc[[#This Row],[Author]],Table4[],2,0))</f>
        <v>HC</v>
      </c>
      <c r="L981" s="32" t="s">
        <v>2563</v>
      </c>
      <c r="M981" s="71">
        <v>45749.440416666665</v>
      </c>
      <c r="N981" s="71">
        <v>45751</v>
      </c>
      <c r="O981" s="71">
        <v>45751</v>
      </c>
      <c r="P981" s="74" t="str">
        <f ca="1">IF(Proc[[#This Row],[DaysAgeing]]&gt;5,"yep","on track")</f>
        <v>on track</v>
      </c>
      <c r="Q981" s="3">
        <f ca="1">IF(Proc[[#This Row],[DateClosed]]="",ABS(NETWORKDAYS(Proc[[#This Row],[DateOpened]],TODAY()))-1,ABS(NETWORKDAYS(Proc[[#This Row],[DateOpened]],Proc[[#This Row],[DateClosed]]))-1)</f>
        <v>2</v>
      </c>
      <c r="R981" s="74" t="s">
        <v>2524</v>
      </c>
      <c r="S981" s="69"/>
    </row>
    <row r="982" spans="1:19" hidden="1">
      <c r="A982" s="72" t="s">
        <v>2571</v>
      </c>
      <c r="B982" s="149" t="str">
        <f>IFERROR(VLOOKUP(Proc[[#This Row],[App]],Table2[],3,0),"open")</f>
        <v>ok</v>
      </c>
      <c r="C982" s="72" t="s">
        <v>369</v>
      </c>
      <c r="D982" t="s">
        <v>2515</v>
      </c>
      <c r="E982" t="s">
        <v>2521</v>
      </c>
      <c r="F982" s="117" t="s">
        <v>2521</v>
      </c>
      <c r="G982" s="72" t="s">
        <v>406</v>
      </c>
      <c r="H982" s="69" t="str">
        <f>IF(Proc[[#This Row],[type]]="LFF (MDG-F)",MID(Proc[[#This Row],[Obj]],13,10),"")</f>
        <v>IT50C03005</v>
      </c>
      <c r="I982" s="72" t="s">
        <v>2574</v>
      </c>
      <c r="J982" s="69" t="b">
        <f>Proc[[#This Row],[Requested]]=Proc[[#This Row],[CurrentParent]]</f>
        <v>1</v>
      </c>
      <c r="K982" s="144" t="str">
        <f>IF(Proc[[#This Row],[Author]]="Marcela Urrego",VLOOKUP(LEFT(Proc[[#This Row],[Requested]],1),Table3[#All],2,0),VLOOKUP(Proc[[#This Row],[Author]],Table4[],2,0))</f>
        <v>HC</v>
      </c>
      <c r="L982" s="32" t="s">
        <v>2563</v>
      </c>
      <c r="M982" s="71">
        <v>45749.440416666665</v>
      </c>
      <c r="N982" s="71">
        <v>45751</v>
      </c>
      <c r="O982" s="71">
        <v>45751</v>
      </c>
      <c r="P982" s="74" t="str">
        <f ca="1">IF(Proc[[#This Row],[DaysAgeing]]&gt;5,"yep","on track")</f>
        <v>on track</v>
      </c>
      <c r="Q982" s="3">
        <f ca="1">IF(Proc[[#This Row],[DateClosed]]="",ABS(NETWORKDAYS(Proc[[#This Row],[DateOpened]],TODAY()))-1,ABS(NETWORKDAYS(Proc[[#This Row],[DateOpened]],Proc[[#This Row],[DateClosed]]))-1)</f>
        <v>2</v>
      </c>
      <c r="R982" s="74" t="s">
        <v>2524</v>
      </c>
      <c r="S982" s="69"/>
    </row>
    <row r="983" spans="1:19" hidden="1">
      <c r="A983" s="72" t="s">
        <v>2571</v>
      </c>
      <c r="B983" s="149" t="str">
        <f>IFERROR(VLOOKUP(Proc[[#This Row],[App]],Table2[],3,0),"open")</f>
        <v>ok</v>
      </c>
      <c r="C983" s="72" t="s">
        <v>369</v>
      </c>
      <c r="D983" t="s">
        <v>2516</v>
      </c>
      <c r="E983" t="s">
        <v>2521</v>
      </c>
      <c r="F983" s="117" t="s">
        <v>2521</v>
      </c>
      <c r="G983" s="72" t="s">
        <v>406</v>
      </c>
      <c r="H983" s="69" t="str">
        <f>IF(Proc[[#This Row],[type]]="LFF (MDG-F)",MID(Proc[[#This Row],[Obj]],13,10),"")</f>
        <v>IT50C03004</v>
      </c>
      <c r="I983" s="72" t="s">
        <v>2574</v>
      </c>
      <c r="J983" s="69" t="b">
        <f>Proc[[#This Row],[Requested]]=Proc[[#This Row],[CurrentParent]]</f>
        <v>1</v>
      </c>
      <c r="K983" s="144" t="str">
        <f>IF(Proc[[#This Row],[Author]]="Marcela Urrego",VLOOKUP(LEFT(Proc[[#This Row],[Requested]],1),Table3[#All],2,0),VLOOKUP(Proc[[#This Row],[Author]],Table4[],2,0))</f>
        <v>HC</v>
      </c>
      <c r="L983" s="32" t="s">
        <v>2563</v>
      </c>
      <c r="M983" s="71">
        <v>45749.440416666665</v>
      </c>
      <c r="N983" s="71">
        <v>45751</v>
      </c>
      <c r="O983" s="71">
        <v>45751</v>
      </c>
      <c r="P983" s="74" t="str">
        <f ca="1">IF(Proc[[#This Row],[DaysAgeing]]&gt;5,"yep","on track")</f>
        <v>on track</v>
      </c>
      <c r="Q983" s="3">
        <f ca="1">IF(Proc[[#This Row],[DateClosed]]="",ABS(NETWORKDAYS(Proc[[#This Row],[DateOpened]],TODAY()))-1,ABS(NETWORKDAYS(Proc[[#This Row],[DateOpened]],Proc[[#This Row],[DateClosed]]))-1)</f>
        <v>2</v>
      </c>
      <c r="R983" s="74" t="s">
        <v>2524</v>
      </c>
      <c r="S983" s="69"/>
    </row>
    <row r="984" spans="1:19" hidden="1">
      <c r="A984" s="72" t="s">
        <v>2571</v>
      </c>
      <c r="B984" s="149" t="str">
        <f>IFERROR(VLOOKUP(Proc[[#This Row],[App]],Table2[],3,0),"open")</f>
        <v>ok</v>
      </c>
      <c r="C984" s="72" t="s">
        <v>369</v>
      </c>
      <c r="D984" t="s">
        <v>2517</v>
      </c>
      <c r="E984" t="s">
        <v>2521</v>
      </c>
      <c r="F984" s="117" t="s">
        <v>2521</v>
      </c>
      <c r="G984" s="72" t="s">
        <v>406</v>
      </c>
      <c r="H984" s="69" t="str">
        <f>IF(Proc[[#This Row],[type]]="LFF (MDG-F)",MID(Proc[[#This Row],[Obj]],13,10),"")</f>
        <v>IT50C02009</v>
      </c>
      <c r="I984" s="72" t="s">
        <v>2574</v>
      </c>
      <c r="J984" s="69" t="b">
        <f>Proc[[#This Row],[Requested]]=Proc[[#This Row],[CurrentParent]]</f>
        <v>1</v>
      </c>
      <c r="K984" s="144" t="str">
        <f>IF(Proc[[#This Row],[Author]]="Marcela Urrego",VLOOKUP(LEFT(Proc[[#This Row],[Requested]],1),Table3[#All],2,0),VLOOKUP(Proc[[#This Row],[Author]],Table4[],2,0))</f>
        <v>HC</v>
      </c>
      <c r="L984" s="32" t="s">
        <v>2563</v>
      </c>
      <c r="M984" s="71">
        <v>45749.440416666665</v>
      </c>
      <c r="N984" s="71">
        <v>45751</v>
      </c>
      <c r="O984" s="71">
        <v>45751</v>
      </c>
      <c r="P984" s="74" t="str">
        <f ca="1">IF(Proc[[#This Row],[DaysAgeing]]&gt;5,"yep","on track")</f>
        <v>on track</v>
      </c>
      <c r="Q984" s="3">
        <f ca="1">IF(Proc[[#This Row],[DateClosed]]="",ABS(NETWORKDAYS(Proc[[#This Row],[DateOpened]],TODAY()))-1,ABS(NETWORKDAYS(Proc[[#This Row],[DateOpened]],Proc[[#This Row],[DateClosed]]))-1)</f>
        <v>2</v>
      </c>
      <c r="R984" s="74" t="s">
        <v>2524</v>
      </c>
      <c r="S984" s="69"/>
    </row>
    <row r="985" spans="1:19" hidden="1">
      <c r="A985" t="s">
        <v>2571</v>
      </c>
      <c r="B985" s="149" t="str">
        <f>IFERROR(VLOOKUP(Proc[[#This Row],[App]],Table2[],3,0),"open")</f>
        <v>ok</v>
      </c>
      <c r="C985" s="72" t="s">
        <v>369</v>
      </c>
      <c r="D985" s="72" t="s">
        <v>2518</v>
      </c>
      <c r="E985" t="s">
        <v>2521</v>
      </c>
      <c r="F985" s="117" t="s">
        <v>2521</v>
      </c>
      <c r="G985" s="72" t="s">
        <v>406</v>
      </c>
      <c r="H985" s="69" t="str">
        <f>IF(Proc[[#This Row],[type]]="LFF (MDG-F)",MID(Proc[[#This Row],[Obj]],13,10),"")</f>
        <v>IT50C02010</v>
      </c>
      <c r="I985" s="72" t="s">
        <v>2574</v>
      </c>
      <c r="J985" s="69" t="b">
        <f>Proc[[#This Row],[Requested]]=Proc[[#This Row],[CurrentParent]]</f>
        <v>1</v>
      </c>
      <c r="K985" s="144" t="str">
        <f>IF(Proc[[#This Row],[Author]]="Marcela Urrego",VLOOKUP(LEFT(Proc[[#This Row],[Requested]],1),Table3[#All],2,0),VLOOKUP(Proc[[#This Row],[Author]],Table4[],2,0))</f>
        <v>HC</v>
      </c>
      <c r="L985" s="32" t="s">
        <v>2563</v>
      </c>
      <c r="M985" s="71">
        <v>45749.440416666665</v>
      </c>
      <c r="N985" s="71">
        <v>45751</v>
      </c>
      <c r="O985" s="71">
        <v>45751</v>
      </c>
      <c r="P985" s="74" t="str">
        <f ca="1">IF(Proc[[#This Row],[DaysAgeing]]&gt;5,"yep","on track")</f>
        <v>on track</v>
      </c>
      <c r="Q985" s="3">
        <f ca="1">IF(Proc[[#This Row],[DateClosed]]="",ABS(NETWORKDAYS(Proc[[#This Row],[DateOpened]],TODAY()))-1,ABS(NETWORKDAYS(Proc[[#This Row],[DateOpened]],Proc[[#This Row],[DateClosed]]))-1)</f>
        <v>2</v>
      </c>
      <c r="R985" s="74" t="s">
        <v>2524</v>
      </c>
      <c r="S985" s="69"/>
    </row>
    <row r="986" spans="1:19" hidden="1">
      <c r="A986" t="s">
        <v>2571</v>
      </c>
      <c r="B986" s="149" t="str">
        <f>IFERROR(VLOOKUP(Proc[[#This Row],[App]],Table2[],3,0),"open")</f>
        <v>ok</v>
      </c>
      <c r="C986" t="s">
        <v>369</v>
      </c>
      <c r="D986" t="s">
        <v>2519</v>
      </c>
      <c r="E986" t="s">
        <v>2521</v>
      </c>
      <c r="F986" s="117" t="s">
        <v>2521</v>
      </c>
      <c r="G986" t="s">
        <v>406</v>
      </c>
      <c r="H986" s="69" t="str">
        <f>IF(Proc[[#This Row],[type]]="LFF (MDG-F)",MID(Proc[[#This Row],[Obj]],13,10),"")</f>
        <v>IT50C03007</v>
      </c>
      <c r="I986" t="s">
        <v>2574</v>
      </c>
      <c r="J986" s="69" t="b">
        <f>Proc[[#This Row],[Requested]]=Proc[[#This Row],[CurrentParent]]</f>
        <v>1</v>
      </c>
      <c r="K986" s="144" t="str">
        <f>IF(Proc[[#This Row],[Author]]="Marcela Urrego",VLOOKUP(LEFT(Proc[[#This Row],[Requested]],1),Table3[#All],2,0),VLOOKUP(Proc[[#This Row],[Author]],Table4[],2,0))</f>
        <v>HC</v>
      </c>
      <c r="L986" s="32" t="s">
        <v>2563</v>
      </c>
      <c r="M986" s="71">
        <v>45749.440416666665</v>
      </c>
      <c r="N986" s="71">
        <v>45751</v>
      </c>
      <c r="O986" s="71">
        <v>45751</v>
      </c>
      <c r="P986" s="74" t="str">
        <f ca="1">IF(Proc[[#This Row],[DaysAgeing]]&gt;5,"yep","on track")</f>
        <v>on track</v>
      </c>
      <c r="Q986" s="3">
        <f ca="1">IF(Proc[[#This Row],[DateClosed]]="",ABS(NETWORKDAYS(Proc[[#This Row],[DateOpened]],TODAY()))-1,ABS(NETWORKDAYS(Proc[[#This Row],[DateOpened]],Proc[[#This Row],[DateClosed]]))-1)</f>
        <v>2</v>
      </c>
      <c r="R986" s="74" t="s">
        <v>2524</v>
      </c>
      <c r="S986" s="69"/>
    </row>
    <row r="987" spans="1:19" hidden="1">
      <c r="A987" t="s">
        <v>2571</v>
      </c>
      <c r="B987" s="149" t="str">
        <f>IFERROR(VLOOKUP(Proc[[#This Row],[App]],Table2[],3,0),"open")</f>
        <v>ok</v>
      </c>
      <c r="C987" s="72" t="s">
        <v>369</v>
      </c>
      <c r="D987" t="s">
        <v>2520</v>
      </c>
      <c r="E987" t="s">
        <v>2521</v>
      </c>
      <c r="F987" s="117" t="s">
        <v>2521</v>
      </c>
      <c r="G987" s="72" t="s">
        <v>406</v>
      </c>
      <c r="H987" s="69" t="str">
        <f>IF(Proc[[#This Row],[type]]="LFF (MDG-F)",MID(Proc[[#This Row],[Obj]],13,10),"")</f>
        <v>IT50C02011</v>
      </c>
      <c r="I987" t="s">
        <v>2574</v>
      </c>
      <c r="J987" s="69" t="b">
        <f>Proc[[#This Row],[Requested]]=Proc[[#This Row],[CurrentParent]]</f>
        <v>1</v>
      </c>
      <c r="K987" s="144" t="str">
        <f>IF(Proc[[#This Row],[Author]]="Marcela Urrego",VLOOKUP(LEFT(Proc[[#This Row],[Requested]],1),Table3[#All],2,0),VLOOKUP(Proc[[#This Row],[Author]],Table4[],2,0))</f>
        <v>HC</v>
      </c>
      <c r="L987" s="32" t="s">
        <v>2563</v>
      </c>
      <c r="M987" s="71">
        <v>45749.440416666665</v>
      </c>
      <c r="N987" s="71">
        <v>45751</v>
      </c>
      <c r="O987" s="71">
        <v>45751</v>
      </c>
      <c r="P987" s="74" t="str">
        <f ca="1">IF(Proc[[#This Row],[DaysAgeing]]&gt;5,"yep","on track")</f>
        <v>on track</v>
      </c>
      <c r="Q987" s="3">
        <f ca="1">IF(Proc[[#This Row],[DateClosed]]="",ABS(NETWORKDAYS(Proc[[#This Row],[DateOpened]],TODAY()))-1,ABS(NETWORKDAYS(Proc[[#This Row],[DateOpened]],Proc[[#This Row],[DateClosed]]))-1)</f>
        <v>2</v>
      </c>
      <c r="R987" s="74" t="s">
        <v>2524</v>
      </c>
      <c r="S987" s="69"/>
    </row>
    <row r="988" spans="1:19" hidden="1">
      <c r="A988" s="72" t="s">
        <v>2594</v>
      </c>
      <c r="B988" s="149" t="str">
        <f>IFERROR(VLOOKUP(Proc[[#This Row],[App]],Table2[],3,0),"open")</f>
        <v>ok</v>
      </c>
      <c r="C988" s="72" t="s">
        <v>369</v>
      </c>
      <c r="D988" t="s">
        <v>2589</v>
      </c>
      <c r="E988" t="s">
        <v>2592</v>
      </c>
      <c r="F988" s="117" t="s">
        <v>2592</v>
      </c>
      <c r="G988" s="72" t="s">
        <v>400</v>
      </c>
      <c r="H988" s="69" t="str">
        <f>IF(Proc[[#This Row],[type]]="LFF (MDG-F)",MID(Proc[[#This Row],[Obj]],13,10),"")</f>
        <v/>
      </c>
      <c r="J988" s="69" t="b">
        <f>Proc[[#This Row],[Requested]]=Proc[[#This Row],[CurrentParent]]</f>
        <v>1</v>
      </c>
      <c r="K988" s="144" t="str">
        <f>IF(Proc[[#This Row],[Author]]="Marcela Urrego",VLOOKUP(LEFT(Proc[[#This Row],[Requested]],1),Table3[#All],2,0),VLOOKUP(Proc[[#This Row],[Author]],Table4[],2,0))</f>
        <v>LS</v>
      </c>
      <c r="L988" s="32" t="s">
        <v>2563</v>
      </c>
      <c r="M988" s="71">
        <v>45749.499050925922</v>
      </c>
      <c r="N988" s="71">
        <v>45751</v>
      </c>
      <c r="O988" s="71">
        <v>45751</v>
      </c>
      <c r="P988" s="74" t="str">
        <f ca="1">IF(Proc[[#This Row],[DaysAgeing]]&gt;5,"yep","on track")</f>
        <v>on track</v>
      </c>
      <c r="Q988" s="3">
        <f ca="1">IF(Proc[[#This Row],[DateClosed]]="",ABS(NETWORKDAYS(Proc[[#This Row],[DateOpened]],TODAY()))-1,ABS(NETWORKDAYS(Proc[[#This Row],[DateOpened]],Proc[[#This Row],[DateClosed]]))-1)</f>
        <v>2</v>
      </c>
      <c r="R988" s="74" t="s">
        <v>972</v>
      </c>
      <c r="S988" s="69"/>
    </row>
    <row r="989" spans="1:19" hidden="1">
      <c r="A989" s="72" t="s">
        <v>2594</v>
      </c>
      <c r="B989" s="149" t="str">
        <f>IFERROR(VLOOKUP(Proc[[#This Row],[App]],Table2[],3,0),"open")</f>
        <v>ok</v>
      </c>
      <c r="C989" s="72" t="s">
        <v>369</v>
      </c>
      <c r="D989" t="s">
        <v>2590</v>
      </c>
      <c r="E989" t="s">
        <v>2593</v>
      </c>
      <c r="F989" s="117" t="s">
        <v>2593</v>
      </c>
      <c r="G989" s="72" t="s">
        <v>400</v>
      </c>
      <c r="H989" s="69" t="str">
        <f>IF(Proc[[#This Row],[type]]="LFF (MDG-F)",MID(Proc[[#This Row],[Obj]],13,10),"")</f>
        <v/>
      </c>
      <c r="J989" s="69" t="b">
        <f>Proc[[#This Row],[Requested]]=Proc[[#This Row],[CurrentParent]]</f>
        <v>1</v>
      </c>
      <c r="K989" s="144" t="str">
        <f>IF(Proc[[#This Row],[Author]]="Marcela Urrego",VLOOKUP(LEFT(Proc[[#This Row],[Requested]],1),Table3[#All],2,0),VLOOKUP(Proc[[#This Row],[Author]],Table4[],2,0))</f>
        <v>LS</v>
      </c>
      <c r="L989" s="32" t="s">
        <v>2563</v>
      </c>
      <c r="M989" s="71">
        <v>45749.499050925922</v>
      </c>
      <c r="N989" s="71">
        <v>45751</v>
      </c>
      <c r="O989" s="71">
        <v>45751</v>
      </c>
      <c r="P989" s="74" t="str">
        <f ca="1">IF(Proc[[#This Row],[DaysAgeing]]&gt;5,"yep","on track")</f>
        <v>on track</v>
      </c>
      <c r="Q989" s="3">
        <f ca="1">IF(Proc[[#This Row],[DateClosed]]="",ABS(NETWORKDAYS(Proc[[#This Row],[DateOpened]],TODAY()))-1,ABS(NETWORKDAYS(Proc[[#This Row],[DateOpened]],Proc[[#This Row],[DateClosed]]))-1)</f>
        <v>2</v>
      </c>
      <c r="R989" s="74" t="s">
        <v>972</v>
      </c>
      <c r="S989" s="69"/>
    </row>
    <row r="990" spans="1:19" hidden="1">
      <c r="A990" s="72" t="s">
        <v>2594</v>
      </c>
      <c r="B990" s="149" t="str">
        <f>IFERROR(VLOOKUP(Proc[[#This Row],[App]],Table2[],3,0),"open")</f>
        <v>ok</v>
      </c>
      <c r="C990" s="72" t="s">
        <v>369</v>
      </c>
      <c r="D990" t="s">
        <v>2591</v>
      </c>
      <c r="E990" t="s">
        <v>652</v>
      </c>
      <c r="F990" s="117" t="s">
        <v>652</v>
      </c>
      <c r="G990" s="72" t="s">
        <v>400</v>
      </c>
      <c r="H990" s="69" t="str">
        <f>IF(Proc[[#This Row],[type]]="LFF (MDG-F)",MID(Proc[[#This Row],[Obj]],13,10),"")</f>
        <v/>
      </c>
      <c r="J990" s="69" t="b">
        <f>Proc[[#This Row],[Requested]]=Proc[[#This Row],[CurrentParent]]</f>
        <v>1</v>
      </c>
      <c r="K990" s="144" t="str">
        <f>IF(Proc[[#This Row],[Author]]="Marcela Urrego",VLOOKUP(LEFT(Proc[[#This Row],[Requested]],1),Table3[#All],2,0),VLOOKUP(Proc[[#This Row],[Author]],Table4[],2,0))</f>
        <v>LS</v>
      </c>
      <c r="L990" s="32" t="s">
        <v>2563</v>
      </c>
      <c r="M990" s="71">
        <v>45749.499050925922</v>
      </c>
      <c r="N990" s="71">
        <v>45751</v>
      </c>
      <c r="O990" s="71">
        <v>45751</v>
      </c>
      <c r="P990" s="74" t="str">
        <f ca="1">IF(Proc[[#This Row],[DaysAgeing]]&gt;5,"yep","on track")</f>
        <v>on track</v>
      </c>
      <c r="Q990" s="3">
        <f ca="1">IF(Proc[[#This Row],[DateClosed]]="",ABS(NETWORKDAYS(Proc[[#This Row],[DateOpened]],TODAY()))-1,ABS(NETWORKDAYS(Proc[[#This Row],[DateOpened]],Proc[[#This Row],[DateClosed]]))-1)</f>
        <v>2</v>
      </c>
      <c r="R990" s="74" t="s">
        <v>972</v>
      </c>
      <c r="S990" s="69"/>
    </row>
    <row r="991" spans="1:19" hidden="1">
      <c r="A991" t="s">
        <v>2584</v>
      </c>
      <c r="B991" s="149" t="str">
        <f>IFERROR(VLOOKUP(Proc[[#This Row],[App]],Table2[],3,0),"open")</f>
        <v>ok</v>
      </c>
      <c r="C991" s="72" t="s">
        <v>369</v>
      </c>
      <c r="D991" t="s">
        <v>2585</v>
      </c>
      <c r="E991" t="s">
        <v>2598</v>
      </c>
      <c r="F991" s="117" t="s">
        <v>2598</v>
      </c>
      <c r="G991" s="72" t="s">
        <v>400</v>
      </c>
      <c r="H991" s="69" t="str">
        <f>IF(Proc[[#This Row],[type]]="LFF (MDG-F)",MID(Proc[[#This Row],[Obj]],13,10),"")</f>
        <v/>
      </c>
      <c r="J991" s="69" t="b">
        <f>Proc[[#This Row],[Requested]]=Proc[[#This Row],[CurrentParent]]</f>
        <v>1</v>
      </c>
      <c r="K991" s="144" t="str">
        <f>IF(Proc[[#This Row],[Author]]="Marcela Urrego",VLOOKUP(LEFT(Proc[[#This Row],[Requested]],1),Table3[#All],2,0),VLOOKUP(Proc[[#This Row],[Author]],Table4[],2,0))</f>
        <v>LS</v>
      </c>
      <c r="L991" s="32" t="s">
        <v>2563</v>
      </c>
      <c r="M991" s="71">
        <v>45749.600416666668</v>
      </c>
      <c r="N991" s="71">
        <v>45751</v>
      </c>
      <c r="O991" s="71">
        <v>45751</v>
      </c>
      <c r="P991" s="74" t="str">
        <f ca="1">IF(Proc[[#This Row],[DaysAgeing]]&gt;5,"yep","on track")</f>
        <v>on track</v>
      </c>
      <c r="Q991" s="3">
        <f ca="1">IF(Proc[[#This Row],[DateClosed]]="",ABS(NETWORKDAYS(Proc[[#This Row],[DateOpened]],TODAY()))-1,ABS(NETWORKDAYS(Proc[[#This Row],[DateOpened]],Proc[[#This Row],[DateClosed]]))-1)</f>
        <v>2</v>
      </c>
      <c r="R991" s="74" t="s">
        <v>489</v>
      </c>
      <c r="S991" s="69"/>
    </row>
    <row r="992" spans="1:19" hidden="1">
      <c r="A992" s="72" t="s">
        <v>2584</v>
      </c>
      <c r="B992" s="149" t="str">
        <f>IFERROR(VLOOKUP(Proc[[#This Row],[App]],Table2[],3,0),"open")</f>
        <v>ok</v>
      </c>
      <c r="C992" s="72" t="s">
        <v>369</v>
      </c>
      <c r="D992" t="s">
        <v>2586</v>
      </c>
      <c r="E992" t="s">
        <v>2599</v>
      </c>
      <c r="F992" s="117" t="s">
        <v>2599</v>
      </c>
      <c r="G992" t="s">
        <v>406</v>
      </c>
      <c r="H992" s="69" t="str">
        <f>IF(Proc[[#This Row],[type]]="LFF (MDG-F)",MID(Proc[[#This Row],[Obj]],13,10),"")</f>
        <v>1937TNCZ90</v>
      </c>
      <c r="J992" s="69" t="b">
        <f>Proc[[#This Row],[Requested]]=Proc[[#This Row],[CurrentParent]]</f>
        <v>1</v>
      </c>
      <c r="K992" s="144" t="str">
        <f>IF(Proc[[#This Row],[Author]]="Marcela Urrego",VLOOKUP(LEFT(Proc[[#This Row],[Requested]],1),Table3[#All],2,0),VLOOKUP(Proc[[#This Row],[Author]],Table4[],2,0))</f>
        <v>LS</v>
      </c>
      <c r="L992" s="32" t="s">
        <v>2563</v>
      </c>
      <c r="M992" s="71">
        <v>45749.600416666668</v>
      </c>
      <c r="N992" s="71">
        <v>45751</v>
      </c>
      <c r="O992" s="71">
        <v>45751</v>
      </c>
      <c r="P992" s="74" t="str">
        <f ca="1">IF(Proc[[#This Row],[DaysAgeing]]&gt;5,"yep","on track")</f>
        <v>on track</v>
      </c>
      <c r="Q992" s="3">
        <f ca="1">IF(Proc[[#This Row],[DateClosed]]="",ABS(NETWORKDAYS(Proc[[#This Row],[DateOpened]],TODAY()))-1,ABS(NETWORKDAYS(Proc[[#This Row],[DateOpened]],Proc[[#This Row],[DateClosed]]))-1)</f>
        <v>2</v>
      </c>
      <c r="R992" s="74" t="s">
        <v>489</v>
      </c>
      <c r="S992" s="69"/>
    </row>
    <row r="993" spans="1:19" hidden="1">
      <c r="A993" s="72" t="s">
        <v>2584</v>
      </c>
      <c r="B993" s="149" t="str">
        <f>IFERROR(VLOOKUP(Proc[[#This Row],[App]],Table2[],3,0),"open")</f>
        <v>ok</v>
      </c>
      <c r="C993" s="72" t="s">
        <v>369</v>
      </c>
      <c r="D993" t="s">
        <v>2587</v>
      </c>
      <c r="E993" t="s">
        <v>2600</v>
      </c>
      <c r="F993" s="117" t="s">
        <v>2600</v>
      </c>
      <c r="G993" t="s">
        <v>400</v>
      </c>
      <c r="H993" s="69" t="str">
        <f>IF(Proc[[#This Row],[type]]="LFF (MDG-F)",MID(Proc[[#This Row],[Obj]],13,10),"")</f>
        <v/>
      </c>
      <c r="J993" s="69" t="b">
        <f>Proc[[#This Row],[Requested]]=Proc[[#This Row],[CurrentParent]]</f>
        <v>1</v>
      </c>
      <c r="K993" s="144" t="str">
        <f>IF(Proc[[#This Row],[Author]]="Marcela Urrego",VLOOKUP(LEFT(Proc[[#This Row],[Requested]],1),Table3[#All],2,0),VLOOKUP(Proc[[#This Row],[Author]],Table4[],2,0))</f>
        <v>LS</v>
      </c>
      <c r="L993" s="32" t="s">
        <v>2563</v>
      </c>
      <c r="M993" s="71">
        <v>45749.600416666668</v>
      </c>
      <c r="N993" s="71">
        <v>45751</v>
      </c>
      <c r="O993" s="71">
        <v>45751</v>
      </c>
      <c r="P993" s="74" t="str">
        <f ca="1">IF(Proc[[#This Row],[DaysAgeing]]&gt;5,"yep","on track")</f>
        <v>on track</v>
      </c>
      <c r="Q993" s="3">
        <f ca="1">IF(Proc[[#This Row],[DateClosed]]="",ABS(NETWORKDAYS(Proc[[#This Row],[DateOpened]],TODAY()))-1,ABS(NETWORKDAYS(Proc[[#This Row],[DateOpened]],Proc[[#This Row],[DateClosed]]))-1)</f>
        <v>2</v>
      </c>
      <c r="R993" s="74" t="s">
        <v>489</v>
      </c>
      <c r="S993" s="69"/>
    </row>
    <row r="994" spans="1:19" hidden="1">
      <c r="A994" s="72" t="s">
        <v>2584</v>
      </c>
      <c r="B994" s="149" t="str">
        <f>IFERROR(VLOOKUP(Proc[[#This Row],[App]],Table2[],3,0),"open")</f>
        <v>ok</v>
      </c>
      <c r="C994" s="72" t="s">
        <v>369</v>
      </c>
      <c r="D994" t="s">
        <v>2588</v>
      </c>
      <c r="E994" t="s">
        <v>2496</v>
      </c>
      <c r="F994" s="117" t="s">
        <v>2496</v>
      </c>
      <c r="G994" s="72" t="s">
        <v>400</v>
      </c>
      <c r="H994" s="69" t="str">
        <f>IF(Proc[[#This Row],[type]]="LFF (MDG-F)",MID(Proc[[#This Row],[Obj]],13,10),"")</f>
        <v/>
      </c>
      <c r="J994" s="69" t="b">
        <f>Proc[[#This Row],[Requested]]=Proc[[#This Row],[CurrentParent]]</f>
        <v>1</v>
      </c>
      <c r="K994" s="144" t="str">
        <f>IF(Proc[[#This Row],[Author]]="Marcela Urrego",VLOOKUP(LEFT(Proc[[#This Row],[Requested]],1),Table3[#All],2,0),VLOOKUP(Proc[[#This Row],[Author]],Table4[],2,0))</f>
        <v>LS</v>
      </c>
      <c r="L994" s="32" t="s">
        <v>2563</v>
      </c>
      <c r="M994" s="71">
        <v>45749.600416666668</v>
      </c>
      <c r="N994" s="71">
        <v>45751</v>
      </c>
      <c r="O994" s="71">
        <v>45751</v>
      </c>
      <c r="P994" s="74" t="str">
        <f ca="1">IF(Proc[[#This Row],[DaysAgeing]]&gt;5,"yep","on track")</f>
        <v>on track</v>
      </c>
      <c r="Q994" s="3">
        <f ca="1">IF(Proc[[#This Row],[DateClosed]]="",ABS(NETWORKDAYS(Proc[[#This Row],[DateOpened]],TODAY()))-1,ABS(NETWORKDAYS(Proc[[#This Row],[DateOpened]],Proc[[#This Row],[DateClosed]]))-1)</f>
        <v>2</v>
      </c>
      <c r="R994" s="74" t="s">
        <v>489</v>
      </c>
      <c r="S994" s="69"/>
    </row>
    <row r="995" spans="1:19" hidden="1">
      <c r="A995" t="s">
        <v>2583</v>
      </c>
      <c r="B995" s="149" t="str">
        <f>IFERROR(VLOOKUP(Proc[[#This Row],[App]],Table2[],3,0),"open")</f>
        <v>ok</v>
      </c>
      <c r="C995" s="72" t="s">
        <v>369</v>
      </c>
      <c r="D995" t="s">
        <v>2578</v>
      </c>
      <c r="E995" t="s">
        <v>2596</v>
      </c>
      <c r="F995" s="117" t="s">
        <v>2596</v>
      </c>
      <c r="G995" s="72" t="s">
        <v>400</v>
      </c>
      <c r="H995" s="69" t="str">
        <f>IF(Proc[[#This Row],[type]]="LFF (MDG-F)",MID(Proc[[#This Row],[Obj]],13,10),"")</f>
        <v/>
      </c>
      <c r="J995" s="69" t="b">
        <f>Proc[[#This Row],[Requested]]=Proc[[#This Row],[CurrentParent]]</f>
        <v>1</v>
      </c>
      <c r="K995" s="144" t="str">
        <f>IF(Proc[[#This Row],[Author]]="Marcela Urrego",VLOOKUP(LEFT(Proc[[#This Row],[Requested]],1),Table3[#All],2,0),VLOOKUP(Proc[[#This Row],[Author]],Table4[],2,0))</f>
        <v>LS</v>
      </c>
      <c r="L995" s="32" t="s">
        <v>2563</v>
      </c>
      <c r="M995" s="71">
        <v>45749.710787037038</v>
      </c>
      <c r="N995" s="71">
        <v>45751</v>
      </c>
      <c r="O995" s="71">
        <v>45751</v>
      </c>
      <c r="P995" s="74" t="str">
        <f ca="1">IF(Proc[[#This Row],[DaysAgeing]]&gt;5,"yep","on track")</f>
        <v>on track</v>
      </c>
      <c r="Q995" s="3">
        <f ca="1">IF(Proc[[#This Row],[DateClosed]]="",ABS(NETWORKDAYS(Proc[[#This Row],[DateOpened]],TODAY()))-1,ABS(NETWORKDAYS(Proc[[#This Row],[DateOpened]],Proc[[#This Row],[DateClosed]]))-1)</f>
        <v>2</v>
      </c>
      <c r="R995" s="74" t="s">
        <v>489</v>
      </c>
      <c r="S995" s="69"/>
    </row>
    <row r="996" spans="1:19" hidden="1">
      <c r="A996" s="72" t="s">
        <v>2583</v>
      </c>
      <c r="B996" s="149" t="str">
        <f>IFERROR(VLOOKUP(Proc[[#This Row],[App]],Table2[],3,0),"open")</f>
        <v>ok</v>
      </c>
      <c r="C996" s="72" t="s">
        <v>369</v>
      </c>
      <c r="D996" t="s">
        <v>2579</v>
      </c>
      <c r="E996" t="s">
        <v>2597</v>
      </c>
      <c r="F996" s="117" t="s">
        <v>2597</v>
      </c>
      <c r="G996" s="72" t="s">
        <v>400</v>
      </c>
      <c r="H996" s="69" t="str">
        <f>IF(Proc[[#This Row],[type]]="LFF (MDG-F)",MID(Proc[[#This Row],[Obj]],13,10),"")</f>
        <v/>
      </c>
      <c r="J996" s="69" t="b">
        <f>Proc[[#This Row],[Requested]]=Proc[[#This Row],[CurrentParent]]</f>
        <v>1</v>
      </c>
      <c r="K996" s="144" t="str">
        <f>IF(Proc[[#This Row],[Author]]="Marcela Urrego",VLOOKUP(LEFT(Proc[[#This Row],[Requested]],1),Table3[#All],2,0),VLOOKUP(Proc[[#This Row],[Author]],Table4[],2,0))</f>
        <v>LS</v>
      </c>
      <c r="L996" s="32" t="s">
        <v>2563</v>
      </c>
      <c r="M996" s="71">
        <v>45749.710787037038</v>
      </c>
      <c r="N996" s="71">
        <v>45751</v>
      </c>
      <c r="O996" s="71">
        <v>45751</v>
      </c>
      <c r="P996" s="74" t="str">
        <f ca="1">IF(Proc[[#This Row],[DaysAgeing]]&gt;5,"yep","on track")</f>
        <v>on track</v>
      </c>
      <c r="Q996" s="3">
        <f ca="1">IF(Proc[[#This Row],[DateClosed]]="",ABS(NETWORKDAYS(Proc[[#This Row],[DateOpened]],TODAY()))-1,ABS(NETWORKDAYS(Proc[[#This Row],[DateOpened]],Proc[[#This Row],[DateClosed]]))-1)</f>
        <v>2</v>
      </c>
      <c r="R996" s="74" t="s">
        <v>489</v>
      </c>
      <c r="S996" s="69"/>
    </row>
    <row r="997" spans="1:19" hidden="1">
      <c r="A997" s="72" t="s">
        <v>2583</v>
      </c>
      <c r="B997" s="149" t="str">
        <f>IFERROR(VLOOKUP(Proc[[#This Row],[App]],Table2[],3,0),"open")</f>
        <v>ok</v>
      </c>
      <c r="C997" s="72" t="s">
        <v>369</v>
      </c>
      <c r="D997" t="s">
        <v>2580</v>
      </c>
      <c r="E997" t="s">
        <v>2597</v>
      </c>
      <c r="F997" s="117" t="s">
        <v>2597</v>
      </c>
      <c r="G997" s="72" t="s">
        <v>400</v>
      </c>
      <c r="H997" s="69" t="str">
        <f>IF(Proc[[#This Row],[type]]="LFF (MDG-F)",MID(Proc[[#This Row],[Obj]],13,10),"")</f>
        <v/>
      </c>
      <c r="J997" s="69" t="b">
        <f>Proc[[#This Row],[Requested]]=Proc[[#This Row],[CurrentParent]]</f>
        <v>1</v>
      </c>
      <c r="K997" s="144" t="str">
        <f>IF(Proc[[#This Row],[Author]]="Marcela Urrego",VLOOKUP(LEFT(Proc[[#This Row],[Requested]],1),Table3[#All],2,0),VLOOKUP(Proc[[#This Row],[Author]],Table4[],2,0))</f>
        <v>LS</v>
      </c>
      <c r="L997" s="32" t="s">
        <v>2563</v>
      </c>
      <c r="M997" s="71">
        <v>45749.710787037038</v>
      </c>
      <c r="N997" s="71">
        <v>45751</v>
      </c>
      <c r="O997" s="71">
        <v>45751</v>
      </c>
      <c r="P997" s="74" t="str">
        <f ca="1">IF(Proc[[#This Row],[DaysAgeing]]&gt;5,"yep","on track")</f>
        <v>on track</v>
      </c>
      <c r="Q997" s="3">
        <f ca="1">IF(Proc[[#This Row],[DateClosed]]="",ABS(NETWORKDAYS(Proc[[#This Row],[DateOpened]],TODAY()))-1,ABS(NETWORKDAYS(Proc[[#This Row],[DateOpened]],Proc[[#This Row],[DateClosed]]))-1)</f>
        <v>2</v>
      </c>
      <c r="R997" s="74" t="s">
        <v>489</v>
      </c>
      <c r="S997" s="69"/>
    </row>
    <row r="998" spans="1:19" hidden="1">
      <c r="A998" t="s">
        <v>2583</v>
      </c>
      <c r="B998" s="149" t="str">
        <f>IFERROR(VLOOKUP(Proc[[#This Row],[App]],Table2[],3,0),"open")</f>
        <v>ok</v>
      </c>
      <c r="C998" s="72" t="s">
        <v>369</v>
      </c>
      <c r="D998" t="s">
        <v>2581</v>
      </c>
      <c r="E998" t="s">
        <v>2582</v>
      </c>
      <c r="F998" s="117" t="s">
        <v>2582</v>
      </c>
      <c r="G998" s="72" t="s">
        <v>400</v>
      </c>
      <c r="H998" s="69" t="str">
        <f>IF(Proc[[#This Row],[type]]="LFF (MDG-F)",MID(Proc[[#This Row],[Obj]],13,10),"")</f>
        <v/>
      </c>
      <c r="J998" s="69" t="b">
        <f>Proc[[#This Row],[Requested]]=Proc[[#This Row],[CurrentParent]]</f>
        <v>1</v>
      </c>
      <c r="K998" s="144" t="str">
        <f>IF(Proc[[#This Row],[Author]]="Marcela Urrego",VLOOKUP(LEFT(Proc[[#This Row],[Requested]],1),Table3[#All],2,0),VLOOKUP(Proc[[#This Row],[Author]],Table4[],2,0))</f>
        <v>LS</v>
      </c>
      <c r="L998" s="32" t="s">
        <v>2563</v>
      </c>
      <c r="M998" s="71">
        <v>45749.710787037038</v>
      </c>
      <c r="N998" s="71">
        <v>45751</v>
      </c>
      <c r="O998" s="71">
        <v>45751</v>
      </c>
      <c r="P998" s="74" t="str">
        <f ca="1">IF(Proc[[#This Row],[DaysAgeing]]&gt;5,"yep","on track")</f>
        <v>on track</v>
      </c>
      <c r="Q998" s="3">
        <f ca="1">IF(Proc[[#This Row],[DateClosed]]="",ABS(NETWORKDAYS(Proc[[#This Row],[DateOpened]],TODAY()))-1,ABS(NETWORKDAYS(Proc[[#This Row],[DateOpened]],Proc[[#This Row],[DateClosed]]))-1)</f>
        <v>2</v>
      </c>
      <c r="R998" s="74" t="s">
        <v>489</v>
      </c>
      <c r="S998" s="69"/>
    </row>
    <row r="999" spans="1:19" hidden="1">
      <c r="A999" t="s">
        <v>2577</v>
      </c>
      <c r="B999" s="149" t="str">
        <f>IFERROR(VLOOKUP(Proc[[#This Row],[App]],Table2[],3,0),"open")</f>
        <v>ok</v>
      </c>
      <c r="C999" t="s">
        <v>369</v>
      </c>
      <c r="D999" t="s">
        <v>2576</v>
      </c>
      <c r="E999" t="s">
        <v>617</v>
      </c>
      <c r="F999" s="117" t="s">
        <v>617</v>
      </c>
      <c r="G999" s="72" t="s">
        <v>400</v>
      </c>
      <c r="H999" s="69" t="str">
        <f>IF(Proc[[#This Row],[type]]="LFF (MDG-F)",MID(Proc[[#This Row],[Obj]],13,10),"")</f>
        <v/>
      </c>
      <c r="J999" s="69" t="b">
        <f>Proc[[#This Row],[Requested]]=Proc[[#This Row],[CurrentParent]]</f>
        <v>1</v>
      </c>
      <c r="K999" s="144" t="str">
        <f>IF(Proc[[#This Row],[Author]]="Marcela Urrego",VLOOKUP(LEFT(Proc[[#This Row],[Requested]],1),Table3[#All],2,0),VLOOKUP(Proc[[#This Row],[Author]],Table4[],2,0))</f>
        <v>MGF</v>
      </c>
      <c r="L999" s="32" t="s">
        <v>2563</v>
      </c>
      <c r="M999" s="71">
        <v>45750.310289351852</v>
      </c>
      <c r="N999" s="71">
        <v>45751</v>
      </c>
      <c r="O999" s="71">
        <v>45751</v>
      </c>
      <c r="P999" s="74" t="str">
        <f ca="1">IF(Proc[[#This Row],[DaysAgeing]]&gt;5,"yep","on track")</f>
        <v>on track</v>
      </c>
      <c r="Q999" s="3">
        <f ca="1">IF(Proc[[#This Row],[DateClosed]]="",ABS(NETWORKDAYS(Proc[[#This Row],[DateOpened]],TODAY()))-1,ABS(NETWORKDAYS(Proc[[#This Row],[DateOpened]],Proc[[#This Row],[DateClosed]]))-1)</f>
        <v>1</v>
      </c>
      <c r="R999" s="74" t="s">
        <v>515</v>
      </c>
      <c r="S999" s="69"/>
    </row>
    <row r="1000" spans="1:19" hidden="1">
      <c r="A1000" t="s">
        <v>2595</v>
      </c>
      <c r="B1000" s="149" t="str">
        <f>IFERROR(VLOOKUP(Proc[[#This Row],[App]],Table2[],3,0),"open")</f>
        <v>ok</v>
      </c>
      <c r="C1000" t="s">
        <v>369</v>
      </c>
      <c r="D1000" t="s">
        <v>2601</v>
      </c>
      <c r="E1000" t="s">
        <v>2405</v>
      </c>
      <c r="F1000" s="117" t="s">
        <v>2405</v>
      </c>
      <c r="G1000" t="s">
        <v>400</v>
      </c>
      <c r="H1000" s="69" t="str">
        <f>IF(Proc[[#This Row],[type]]="LFF (MDG-F)",MID(Proc[[#This Row],[Obj]],13,10),"")</f>
        <v/>
      </c>
      <c r="J1000" s="69" t="b">
        <f>Proc[[#This Row],[Requested]]=Proc[[#This Row],[CurrentParent]]</f>
        <v>1</v>
      </c>
      <c r="K1000" s="144" t="str">
        <f>IF(Proc[[#This Row],[Author]]="Marcela Urrego",VLOOKUP(LEFT(Proc[[#This Row],[Requested]],1),Table3[#All],2,0),VLOOKUP(Proc[[#This Row],[Author]],Table4[],2,0))</f>
        <v>MGF</v>
      </c>
      <c r="L1000" s="32" t="s">
        <v>2563</v>
      </c>
      <c r="M1000" s="71">
        <v>45750.367430555554</v>
      </c>
      <c r="N1000" s="71">
        <v>45751</v>
      </c>
      <c r="O1000" s="71">
        <v>45751</v>
      </c>
      <c r="P1000" s="74" t="str">
        <f ca="1">IF(Proc[[#This Row],[DaysAgeing]]&gt;5,"yep","on track")</f>
        <v>on track</v>
      </c>
      <c r="Q1000" s="3">
        <f ca="1">IF(Proc[[#This Row],[DateClosed]]="",ABS(NETWORKDAYS(Proc[[#This Row],[DateOpened]],TODAY()))-1,ABS(NETWORKDAYS(Proc[[#This Row],[DateOpened]],Proc[[#This Row],[DateClosed]]))-1)</f>
        <v>1</v>
      </c>
      <c r="R1000" s="74" t="s">
        <v>515</v>
      </c>
      <c r="S1000" s="69"/>
    </row>
    <row r="1001" spans="1:19" hidden="1">
      <c r="A1001" s="72" t="s">
        <v>2608</v>
      </c>
      <c r="B1001" s="149" t="str">
        <f>IFERROR(VLOOKUP(Proc[[#This Row],[App]],Table2[],3,0),"open")</f>
        <v>ok</v>
      </c>
      <c r="C1001" s="72" t="s">
        <v>369</v>
      </c>
      <c r="D1001" t="s">
        <v>2609</v>
      </c>
      <c r="E1001" t="s">
        <v>427</v>
      </c>
      <c r="F1001" s="117" t="s">
        <v>427</v>
      </c>
      <c r="G1001" s="72" t="s">
        <v>400</v>
      </c>
      <c r="H1001" s="69" t="str">
        <f>IF(Proc[[#This Row],[type]]="LFF (MDG-F)",MID(Proc[[#This Row],[Obj]],13,10),"")</f>
        <v/>
      </c>
      <c r="J1001" s="69" t="b">
        <f>Proc[[#This Row],[Requested]]=Proc[[#This Row],[CurrentParent]]</f>
        <v>1</v>
      </c>
      <c r="K1001" s="144" t="str">
        <f>IF(Proc[[#This Row],[Author]]="Marcela Urrego",VLOOKUP(LEFT(Proc[[#This Row],[Requested]],1),Table3[#All],2,0),VLOOKUP(Proc[[#This Row],[Author]],Table4[],2,0))</f>
        <v>MGF</v>
      </c>
      <c r="L1001" s="69" t="s">
        <v>2563</v>
      </c>
      <c r="M1001" s="71">
        <v>45750.463703703703</v>
      </c>
      <c r="N1001" s="71">
        <v>45754</v>
      </c>
      <c r="O1001" s="71">
        <v>45754</v>
      </c>
      <c r="P1001" s="74" t="str">
        <f ca="1">IF(Proc[[#This Row],[DaysAgeing]]&gt;5,"yep","on track")</f>
        <v>on track</v>
      </c>
      <c r="Q1001" s="3">
        <f ca="1">IF(Proc[[#This Row],[DateClosed]]="",ABS(NETWORKDAYS(Proc[[#This Row],[DateOpened]],TODAY()))-1,ABS(NETWORKDAYS(Proc[[#This Row],[DateOpened]],Proc[[#This Row],[DateClosed]]))-1)</f>
        <v>2</v>
      </c>
      <c r="R1001" s="74" t="s">
        <v>1459</v>
      </c>
      <c r="S1001" s="69"/>
    </row>
    <row r="1002" spans="1:19" hidden="1">
      <c r="A1002" t="s">
        <v>2608</v>
      </c>
      <c r="B1002" s="149" t="str">
        <f>IFERROR(VLOOKUP(Proc[[#This Row],[App]],Table2[],3,0),"open")</f>
        <v>ok</v>
      </c>
      <c r="C1002" s="72" t="s">
        <v>369</v>
      </c>
      <c r="D1002" t="s">
        <v>2610</v>
      </c>
      <c r="E1002" t="s">
        <v>2614</v>
      </c>
      <c r="F1002" s="117" t="s">
        <v>2614</v>
      </c>
      <c r="G1002" s="72" t="s">
        <v>406</v>
      </c>
      <c r="H1002" s="69" t="str">
        <f>IF(Proc[[#This Row],[type]]="LFF (MDG-F)",MID(Proc[[#This Row],[Obj]],13,10),"")</f>
        <v>DE10600470</v>
      </c>
      <c r="I1002" t="s">
        <v>2617</v>
      </c>
      <c r="J1002" s="69" t="b">
        <f>Proc[[#This Row],[Requested]]=Proc[[#This Row],[CurrentParent]]</f>
        <v>1</v>
      </c>
      <c r="K1002" s="144" t="str">
        <f>IF(Proc[[#This Row],[Author]]="Marcela Urrego",VLOOKUP(LEFT(Proc[[#This Row],[Requested]],1),Table3[#All],2,0),VLOOKUP(Proc[[#This Row],[Author]],Table4[],2,0))</f>
        <v>MGF</v>
      </c>
      <c r="L1002" s="69" t="s">
        <v>2563</v>
      </c>
      <c r="M1002" s="71">
        <v>45750.463703703703</v>
      </c>
      <c r="N1002" s="71">
        <v>45754</v>
      </c>
      <c r="O1002" s="71">
        <v>45754</v>
      </c>
      <c r="P1002" s="74" t="str">
        <f ca="1">IF(Proc[[#This Row],[DaysAgeing]]&gt;5,"yep","on track")</f>
        <v>on track</v>
      </c>
      <c r="Q1002" s="3">
        <f ca="1">IF(Proc[[#This Row],[DateClosed]]="",ABS(NETWORKDAYS(Proc[[#This Row],[DateOpened]],TODAY()))-1,ABS(NETWORKDAYS(Proc[[#This Row],[DateOpened]],Proc[[#This Row],[DateClosed]]))-1)</f>
        <v>2</v>
      </c>
      <c r="R1002" s="74" t="s">
        <v>1459</v>
      </c>
      <c r="S1002" s="69"/>
    </row>
    <row r="1003" spans="1:19" hidden="1">
      <c r="A1003" s="72" t="s">
        <v>2608</v>
      </c>
      <c r="B1003" s="149" t="str">
        <f>IFERROR(VLOOKUP(Proc[[#This Row],[App]],Table2[],3,0),"open")</f>
        <v>ok</v>
      </c>
      <c r="C1003" s="72" t="s">
        <v>369</v>
      </c>
      <c r="D1003" t="s">
        <v>2611</v>
      </c>
      <c r="E1003" t="s">
        <v>2615</v>
      </c>
      <c r="F1003" s="117" t="s">
        <v>2615</v>
      </c>
      <c r="G1003" t="s">
        <v>406</v>
      </c>
      <c r="H1003" s="69" t="str">
        <f>IF(Proc[[#This Row],[type]]="LFF (MDG-F)",MID(Proc[[#This Row],[Obj]],13,10),"")</f>
        <v>DE10GIT705</v>
      </c>
      <c r="I1003" t="s">
        <v>2617</v>
      </c>
      <c r="J1003" s="69" t="b">
        <f>Proc[[#This Row],[Requested]]=Proc[[#This Row],[CurrentParent]]</f>
        <v>1</v>
      </c>
      <c r="K1003" s="144" t="str">
        <f>IF(Proc[[#This Row],[Author]]="Marcela Urrego",VLOOKUP(LEFT(Proc[[#This Row],[Requested]],1),Table3[#All],2,0),VLOOKUP(Proc[[#This Row],[Author]],Table4[],2,0))</f>
        <v>MGF</v>
      </c>
      <c r="L1003" s="69" t="s">
        <v>2563</v>
      </c>
      <c r="M1003" s="71">
        <v>45750.463703703703</v>
      </c>
      <c r="N1003" s="71">
        <v>45754</v>
      </c>
      <c r="O1003" s="71">
        <v>45754</v>
      </c>
      <c r="P1003" s="74" t="str">
        <f ca="1">IF(Proc[[#This Row],[DaysAgeing]]&gt;5,"yep","on track")</f>
        <v>on track</v>
      </c>
      <c r="Q1003" s="3">
        <f ca="1">IF(Proc[[#This Row],[DateClosed]]="",ABS(NETWORKDAYS(Proc[[#This Row],[DateOpened]],TODAY()))-1,ABS(NETWORKDAYS(Proc[[#This Row],[DateOpened]],Proc[[#This Row],[DateClosed]]))-1)</f>
        <v>2</v>
      </c>
      <c r="R1003" s="74" t="s">
        <v>1459</v>
      </c>
      <c r="S1003" s="69"/>
    </row>
    <row r="1004" spans="1:19" hidden="1">
      <c r="A1004" s="72" t="s">
        <v>2608</v>
      </c>
      <c r="B1004" s="149" t="str">
        <f>IFERROR(VLOOKUP(Proc[[#This Row],[App]],Table2[],3,0),"open")</f>
        <v>ok</v>
      </c>
      <c r="C1004" s="72" t="s">
        <v>369</v>
      </c>
      <c r="D1004" t="s">
        <v>2612</v>
      </c>
      <c r="E1004" t="s">
        <v>759</v>
      </c>
      <c r="F1004" s="117" t="s">
        <v>759</v>
      </c>
      <c r="G1004" s="72" t="s">
        <v>400</v>
      </c>
      <c r="H1004" s="69" t="str">
        <f>IF(Proc[[#This Row],[type]]="LFF (MDG-F)",MID(Proc[[#This Row],[Obj]],13,10),"")</f>
        <v/>
      </c>
      <c r="I1004" s="72"/>
      <c r="J1004" s="69" t="b">
        <f>Proc[[#This Row],[Requested]]=Proc[[#This Row],[CurrentParent]]</f>
        <v>1</v>
      </c>
      <c r="K1004" s="144" t="str">
        <f>IF(Proc[[#This Row],[Author]]="Marcela Urrego",VLOOKUP(LEFT(Proc[[#This Row],[Requested]],1),Table3[#All],2,0),VLOOKUP(Proc[[#This Row],[Author]],Table4[],2,0))</f>
        <v>MGF</v>
      </c>
      <c r="L1004" s="69" t="s">
        <v>2563</v>
      </c>
      <c r="M1004" s="71">
        <v>45750.463703703703</v>
      </c>
      <c r="N1004" s="71">
        <v>45754</v>
      </c>
      <c r="O1004" s="71">
        <v>45754</v>
      </c>
      <c r="P1004" s="74" t="str">
        <f ca="1">IF(Proc[[#This Row],[DaysAgeing]]&gt;5,"yep","on track")</f>
        <v>on track</v>
      </c>
      <c r="Q1004" s="3">
        <f ca="1">IF(Proc[[#This Row],[DateClosed]]="",ABS(NETWORKDAYS(Proc[[#This Row],[DateOpened]],TODAY()))-1,ABS(NETWORKDAYS(Proc[[#This Row],[DateOpened]],Proc[[#This Row],[DateClosed]]))-1)</f>
        <v>2</v>
      </c>
      <c r="R1004" s="74" t="s">
        <v>1459</v>
      </c>
      <c r="S1004" s="69"/>
    </row>
    <row r="1005" spans="1:19" hidden="1">
      <c r="A1005" s="72" t="s">
        <v>2608</v>
      </c>
      <c r="B1005" s="149" t="str">
        <f>IFERROR(VLOOKUP(Proc[[#This Row],[App]],Table2[],3,0),"open")</f>
        <v>ok</v>
      </c>
      <c r="C1005" s="72" t="s">
        <v>369</v>
      </c>
      <c r="D1005" t="s">
        <v>2613</v>
      </c>
      <c r="E1005" t="s">
        <v>2615</v>
      </c>
      <c r="F1005" s="117" t="s">
        <v>2615</v>
      </c>
      <c r="G1005" t="s">
        <v>406</v>
      </c>
      <c r="H1005" s="69" t="str">
        <f>IF(Proc[[#This Row],[type]]="LFF (MDG-F)",MID(Proc[[#This Row],[Obj]],13,10),"")</f>
        <v>2123GIT261</v>
      </c>
      <c r="I1005" t="s">
        <v>2617</v>
      </c>
      <c r="J1005" s="69" t="b">
        <f>Proc[[#This Row],[Requested]]=Proc[[#This Row],[CurrentParent]]</f>
        <v>1</v>
      </c>
      <c r="K1005" s="144" t="str">
        <f>IF(Proc[[#This Row],[Author]]="Marcela Urrego",VLOOKUP(LEFT(Proc[[#This Row],[Requested]],1),Table3[#All],2,0),VLOOKUP(Proc[[#This Row],[Author]],Table4[],2,0))</f>
        <v>MGF</v>
      </c>
      <c r="L1005" s="69" t="s">
        <v>2563</v>
      </c>
      <c r="M1005" s="71">
        <v>45750.463703703703</v>
      </c>
      <c r="N1005" s="71">
        <v>45754</v>
      </c>
      <c r="O1005" s="71">
        <v>45754</v>
      </c>
      <c r="P1005" s="74" t="str">
        <f ca="1">IF(Proc[[#This Row],[DaysAgeing]]&gt;5,"yep","on track")</f>
        <v>on track</v>
      </c>
      <c r="Q1005" s="3">
        <f ca="1">IF(Proc[[#This Row],[DateClosed]]="",ABS(NETWORKDAYS(Proc[[#This Row],[DateOpened]],TODAY()))-1,ABS(NETWORKDAYS(Proc[[#This Row],[DateOpened]],Proc[[#This Row],[DateClosed]]))-1)</f>
        <v>2</v>
      </c>
      <c r="R1005" s="74" t="s">
        <v>1459</v>
      </c>
      <c r="S1005" s="69"/>
    </row>
    <row r="1006" spans="1:19" hidden="1">
      <c r="A1006" s="72" t="s">
        <v>2604</v>
      </c>
      <c r="B1006" s="149" t="str">
        <f>IFERROR(VLOOKUP(Proc[[#This Row],[App]],Table2[],3,0),"open")</f>
        <v>ok</v>
      </c>
      <c r="C1006" s="72" t="s">
        <v>369</v>
      </c>
      <c r="D1006" t="s">
        <v>2605</v>
      </c>
      <c r="E1006" t="s">
        <v>2505</v>
      </c>
      <c r="F1006" s="117" t="s">
        <v>2505</v>
      </c>
      <c r="G1006" s="72" t="s">
        <v>400</v>
      </c>
      <c r="H1006" s="69" t="str">
        <f>IF(Proc[[#This Row],[type]]="LFF (MDG-F)",MID(Proc[[#This Row],[Obj]],13,10),"")</f>
        <v/>
      </c>
      <c r="I1006" s="72"/>
      <c r="J1006" s="69" t="b">
        <f>Proc[[#This Row],[Requested]]=Proc[[#This Row],[CurrentParent]]</f>
        <v>1</v>
      </c>
      <c r="K1006" s="144" t="str">
        <f>IF(Proc[[#This Row],[Author]]="Marcela Urrego",VLOOKUP(LEFT(Proc[[#This Row],[Requested]],1),Table3[#All],2,0),VLOOKUP(Proc[[#This Row],[Author]],Table4[],2,0))</f>
        <v>MGF</v>
      </c>
      <c r="L1006" s="69" t="s">
        <v>2563</v>
      </c>
      <c r="M1006" s="71">
        <v>45750.696215277778</v>
      </c>
      <c r="N1006" s="71">
        <v>45754</v>
      </c>
      <c r="O1006" s="71">
        <v>45754</v>
      </c>
      <c r="P1006" s="74" t="str">
        <f ca="1">IF(Proc[[#This Row],[DaysAgeing]]&gt;5,"yep","on track")</f>
        <v>on track</v>
      </c>
      <c r="Q1006" s="3">
        <f ca="1">IF(Proc[[#This Row],[DateClosed]]="",ABS(NETWORKDAYS(Proc[[#This Row],[DateOpened]],TODAY()))-1,ABS(NETWORKDAYS(Proc[[#This Row],[DateOpened]],Proc[[#This Row],[DateClosed]]))-1)</f>
        <v>2</v>
      </c>
      <c r="R1006" s="74" t="s">
        <v>515</v>
      </c>
      <c r="S1006" s="69"/>
    </row>
    <row r="1007" spans="1:19" hidden="1">
      <c r="A1007" t="s">
        <v>2604</v>
      </c>
      <c r="B1007" s="149" t="str">
        <f>IFERROR(VLOOKUP(Proc[[#This Row],[App]],Table2[],3,0),"open")</f>
        <v>ok</v>
      </c>
      <c r="C1007" s="72" t="s">
        <v>369</v>
      </c>
      <c r="D1007" t="s">
        <v>2606</v>
      </c>
      <c r="E1007" t="s">
        <v>2607</v>
      </c>
      <c r="F1007" s="117" t="s">
        <v>2607</v>
      </c>
      <c r="G1007" s="72" t="s">
        <v>400</v>
      </c>
      <c r="H1007" s="69" t="str">
        <f>IF(Proc[[#This Row],[type]]="LFF (MDG-F)",MID(Proc[[#This Row],[Obj]],13,10),"")</f>
        <v/>
      </c>
      <c r="J1007" s="69" t="b">
        <f>Proc[[#This Row],[Requested]]=Proc[[#This Row],[CurrentParent]]</f>
        <v>1</v>
      </c>
      <c r="K1007" s="144" t="str">
        <f>IF(Proc[[#This Row],[Author]]="Marcela Urrego",VLOOKUP(LEFT(Proc[[#This Row],[Requested]],1),Table3[#All],2,0),VLOOKUP(Proc[[#This Row],[Author]],Table4[],2,0))</f>
        <v>MGF</v>
      </c>
      <c r="L1007" s="69" t="s">
        <v>2563</v>
      </c>
      <c r="M1007" s="71">
        <v>45750.696215277778</v>
      </c>
      <c r="N1007" s="71">
        <v>45754</v>
      </c>
      <c r="O1007" s="71">
        <v>45754</v>
      </c>
      <c r="P1007" s="74" t="str">
        <f ca="1">IF(Proc[[#This Row],[DaysAgeing]]&gt;5,"yep","on track")</f>
        <v>on track</v>
      </c>
      <c r="Q1007" s="3">
        <f ca="1">IF(Proc[[#This Row],[DateClosed]]="",ABS(NETWORKDAYS(Proc[[#This Row],[DateOpened]],TODAY()))-1,ABS(NETWORKDAYS(Proc[[#This Row],[DateOpened]],Proc[[#This Row],[DateClosed]]))-1)</f>
        <v>2</v>
      </c>
      <c r="R1007" s="74" t="s">
        <v>515</v>
      </c>
      <c r="S1007" s="69"/>
    </row>
    <row r="1008" spans="1:19" hidden="1">
      <c r="A1008" t="s">
        <v>2626</v>
      </c>
      <c r="B1008" s="149" t="str">
        <f>IFERROR(VLOOKUP(Proc[[#This Row],[App]],Table2[],3,0),"open")</f>
        <v>ok</v>
      </c>
      <c r="C1008" t="s">
        <v>369</v>
      </c>
      <c r="D1008" t="s">
        <v>2627</v>
      </c>
      <c r="E1008" t="s">
        <v>622</v>
      </c>
      <c r="F1008" s="117" t="s">
        <v>622</v>
      </c>
      <c r="G1008" s="72" t="s">
        <v>400</v>
      </c>
      <c r="H1008" s="69" t="str">
        <f>IF(Proc[[#This Row],[type]]="LFF (MDG-F)",MID(Proc[[#This Row],[Obj]],13,10),"")</f>
        <v/>
      </c>
      <c r="J1008" s="69" t="b">
        <f>Proc[[#This Row],[Requested]]=Proc[[#This Row],[CurrentParent]]</f>
        <v>1</v>
      </c>
      <c r="K1008" s="144" t="str">
        <f>IF(Proc[[#This Row],[Author]]="Marcela Urrego",VLOOKUP(LEFT(Proc[[#This Row],[Requested]],1),Table3[#All],2,0),VLOOKUP(Proc[[#This Row],[Author]],Table4[],2,0))</f>
        <v>LS</v>
      </c>
      <c r="L1008" s="69" t="s">
        <v>2563</v>
      </c>
      <c r="M1008" s="71">
        <v>45754.504537037035</v>
      </c>
      <c r="N1008" s="71">
        <v>45757</v>
      </c>
      <c r="O1008" s="77"/>
      <c r="P1008" s="74" t="str">
        <f ca="1">IF(Proc[[#This Row],[DaysAgeing]]&gt;5,"yep","on track")</f>
        <v>yep</v>
      </c>
      <c r="Q1008" s="3">
        <f ca="1">IF(Proc[[#This Row],[DateClosed]]="",ABS(NETWORKDAYS(Proc[[#This Row],[DateOpened]],TODAY()))-1,ABS(NETWORKDAYS(Proc[[#This Row],[DateOpened]],Proc[[#This Row],[DateClosed]]))-1)</f>
        <v>184</v>
      </c>
      <c r="R1008" s="74" t="s">
        <v>972</v>
      </c>
      <c r="S1008" s="69"/>
    </row>
    <row r="1009" spans="1:19" hidden="1">
      <c r="A1009" s="72" t="s">
        <v>2626</v>
      </c>
      <c r="B1009" s="149" t="str">
        <f>IFERROR(VLOOKUP(Proc[[#This Row],[App]],Table2[],3,0),"open")</f>
        <v>ok</v>
      </c>
      <c r="C1009" s="72" t="s">
        <v>369</v>
      </c>
      <c r="D1009" t="s">
        <v>2628</v>
      </c>
      <c r="E1009" t="s">
        <v>468</v>
      </c>
      <c r="F1009" s="117" t="s">
        <v>468</v>
      </c>
      <c r="G1009" s="72" t="s">
        <v>400</v>
      </c>
      <c r="H1009" s="69" t="str">
        <f>IF(Proc[[#This Row],[type]]="LFF (MDG-F)",MID(Proc[[#This Row],[Obj]],13,10),"")</f>
        <v/>
      </c>
      <c r="I1009" s="72"/>
      <c r="J1009" s="69" t="b">
        <f>Proc[[#This Row],[Requested]]=Proc[[#This Row],[CurrentParent]]</f>
        <v>1</v>
      </c>
      <c r="K1009" s="144" t="str">
        <f>IF(Proc[[#This Row],[Author]]="Marcela Urrego",VLOOKUP(LEFT(Proc[[#This Row],[Requested]],1),Table3[#All],2,0),VLOOKUP(Proc[[#This Row],[Author]],Table4[],2,0))</f>
        <v>LS</v>
      </c>
      <c r="L1009" s="69" t="s">
        <v>2563</v>
      </c>
      <c r="M1009" s="71">
        <v>45754.504537037035</v>
      </c>
      <c r="N1009" s="71">
        <v>45757</v>
      </c>
      <c r="O1009" s="77"/>
      <c r="P1009" s="74" t="str">
        <f ca="1">IF(Proc[[#This Row],[DaysAgeing]]&gt;5,"yep","on track")</f>
        <v>yep</v>
      </c>
      <c r="Q1009" s="3">
        <f ca="1">IF(Proc[[#This Row],[DateClosed]]="",ABS(NETWORKDAYS(Proc[[#This Row],[DateOpened]],TODAY()))-1,ABS(NETWORKDAYS(Proc[[#This Row],[DateOpened]],Proc[[#This Row],[DateClosed]]))-1)</f>
        <v>184</v>
      </c>
      <c r="R1009" s="74" t="s">
        <v>972</v>
      </c>
      <c r="S1009" s="69"/>
    </row>
    <row r="1010" spans="1:19" hidden="1">
      <c r="A1010" t="s">
        <v>2622</v>
      </c>
      <c r="B1010" s="149" t="str">
        <f>IFERROR(VLOOKUP(Proc[[#This Row],[App]],Table2[],3,0),"open")</f>
        <v>ok</v>
      </c>
      <c r="C1010" s="72" t="s">
        <v>369</v>
      </c>
      <c r="D1010" t="s">
        <v>2623</v>
      </c>
      <c r="E1010" t="s">
        <v>2625</v>
      </c>
      <c r="F1010" s="117" t="s">
        <v>2625</v>
      </c>
      <c r="G1010" t="s">
        <v>400</v>
      </c>
      <c r="H1010" s="69" t="str">
        <f>IF(Proc[[#This Row],[type]]="LFF (MDG-F)",MID(Proc[[#This Row],[Obj]],13,10),"")</f>
        <v/>
      </c>
      <c r="I1010" t="s">
        <v>2684</v>
      </c>
      <c r="J1010" s="69" t="b">
        <f>Proc[[#This Row],[Requested]]=Proc[[#This Row],[CurrentParent]]</f>
        <v>1</v>
      </c>
      <c r="K1010" s="144" t="str">
        <f>IF(Proc[[#This Row],[Author]]="Marcela Urrego",VLOOKUP(LEFT(Proc[[#This Row],[Requested]],1),Table3[#All],2,0),VLOOKUP(Proc[[#This Row],[Author]],Table4[],2,0))</f>
        <v>MGF</v>
      </c>
      <c r="L1010" s="69" t="s">
        <v>2563</v>
      </c>
      <c r="M1010" s="71">
        <v>45754.739930555559</v>
      </c>
      <c r="N1010" s="79">
        <v>45758</v>
      </c>
      <c r="O1010" s="79">
        <v>45758</v>
      </c>
      <c r="P1010" s="74" t="str">
        <f ca="1">IF(Proc[[#This Row],[DaysAgeing]]&gt;5,"yep","on track")</f>
        <v>on track</v>
      </c>
      <c r="Q1010" s="3">
        <f ca="1">IF(Proc[[#This Row],[DateClosed]]="",ABS(NETWORKDAYS(Proc[[#This Row],[DateOpened]],TODAY()))-1,ABS(NETWORKDAYS(Proc[[#This Row],[DateOpened]],Proc[[#This Row],[DateClosed]]))-1)</f>
        <v>4</v>
      </c>
      <c r="R1010" s="74" t="s">
        <v>1459</v>
      </c>
      <c r="S1010" s="69"/>
    </row>
    <row r="1011" spans="1:19" hidden="1">
      <c r="A1011" s="72" t="s">
        <v>2622</v>
      </c>
      <c r="B1011" s="149" t="str">
        <f>IFERROR(VLOOKUP(Proc[[#This Row],[App]],Table2[],3,0),"open")</f>
        <v>ok</v>
      </c>
      <c r="C1011" s="72" t="s">
        <v>369</v>
      </c>
      <c r="D1011" t="s">
        <v>2624</v>
      </c>
      <c r="E1011" t="s">
        <v>424</v>
      </c>
      <c r="F1011" s="117" t="s">
        <v>424</v>
      </c>
      <c r="G1011" s="72" t="s">
        <v>400</v>
      </c>
      <c r="H1011" s="69" t="str">
        <f>IF(Proc[[#This Row],[type]]="LFF (MDG-F)",MID(Proc[[#This Row],[Obj]],13,10),"")</f>
        <v/>
      </c>
      <c r="J1011" s="69" t="b">
        <f>Proc[[#This Row],[Requested]]=Proc[[#This Row],[CurrentParent]]</f>
        <v>1</v>
      </c>
      <c r="K1011" s="144" t="str">
        <f>IF(Proc[[#This Row],[Author]]="Marcela Urrego",VLOOKUP(LEFT(Proc[[#This Row],[Requested]],1),Table3[#All],2,0),VLOOKUP(Proc[[#This Row],[Author]],Table4[],2,0))</f>
        <v>MGF</v>
      </c>
      <c r="L1011" s="69" t="s">
        <v>2563</v>
      </c>
      <c r="M1011" s="71">
        <v>45754.739930555559</v>
      </c>
      <c r="N1011" s="77">
        <v>45757</v>
      </c>
      <c r="O1011" s="77">
        <v>45758</v>
      </c>
      <c r="P1011" s="74" t="str">
        <f ca="1">IF(Proc[[#This Row],[DaysAgeing]]&gt;5,"yep","on track")</f>
        <v>on track</v>
      </c>
      <c r="Q1011" s="3">
        <f ca="1">IF(Proc[[#This Row],[DateClosed]]="",ABS(NETWORKDAYS(Proc[[#This Row],[DateOpened]],TODAY()))-1,ABS(NETWORKDAYS(Proc[[#This Row],[DateOpened]],Proc[[#This Row],[DateClosed]]))-1)</f>
        <v>4</v>
      </c>
      <c r="R1011" s="74" t="s">
        <v>1459</v>
      </c>
      <c r="S1011" s="69"/>
    </row>
    <row r="1012" spans="1:19" hidden="1">
      <c r="A1012" t="s">
        <v>2621</v>
      </c>
      <c r="B1012" s="149" t="str">
        <f>IFERROR(VLOOKUP(Proc[[#This Row],[App]],Table2[],3,0),"open")</f>
        <v>ok</v>
      </c>
      <c r="C1012" s="72" t="s">
        <v>369</v>
      </c>
      <c r="D1012" t="s">
        <v>486</v>
      </c>
      <c r="E1012" t="s">
        <v>2620</v>
      </c>
      <c r="F1012" s="117" t="s">
        <v>2620</v>
      </c>
      <c r="G1012" s="72" t="s">
        <v>406</v>
      </c>
      <c r="H1012" s="69" t="str">
        <f>IF(Proc[[#This Row],[type]]="LFF (MDG-F)",MID(Proc[[#This Row],[Obj]],13,10),"")</f>
        <v>DE10566400</v>
      </c>
      <c r="I1012" t="s">
        <v>2629</v>
      </c>
      <c r="J1012" s="69" t="b">
        <f>Proc[[#This Row],[Requested]]=Proc[[#This Row],[CurrentParent]]</f>
        <v>1</v>
      </c>
      <c r="K1012" s="144" t="str">
        <f>IF(Proc[[#This Row],[Author]]="Marcela Urrego",VLOOKUP(LEFT(Proc[[#This Row],[Requested]],1),Table3[#All],2,0),VLOOKUP(Proc[[#This Row],[Author]],Table4[],2,0))</f>
        <v>MGF</v>
      </c>
      <c r="L1012" s="69" t="s">
        <v>2563</v>
      </c>
      <c r="M1012" s="71">
        <v>45754.873298611114</v>
      </c>
      <c r="N1012" s="77">
        <v>45757</v>
      </c>
      <c r="O1012" s="77">
        <v>45757</v>
      </c>
      <c r="P1012" s="74" t="str">
        <f ca="1">IF(Proc[[#This Row],[DaysAgeing]]&gt;5,"yep","on track")</f>
        <v>on track</v>
      </c>
      <c r="Q1012" s="3">
        <f ca="1">IF(Proc[[#This Row],[DateClosed]]="",ABS(NETWORKDAYS(Proc[[#This Row],[DateOpened]],TODAY()))-1,ABS(NETWORKDAYS(Proc[[#This Row],[DateOpened]],Proc[[#This Row],[DateClosed]]))-1)</f>
        <v>3</v>
      </c>
      <c r="R1012" s="74" t="s">
        <v>549</v>
      </c>
      <c r="S1012" s="69"/>
    </row>
    <row r="1013" spans="1:19" hidden="1">
      <c r="A1013" t="s">
        <v>2621</v>
      </c>
      <c r="B1013" s="149" t="str">
        <f>IFERROR(VLOOKUP(Proc[[#This Row],[App]],Table2[],3,0),"open")</f>
        <v>ok</v>
      </c>
      <c r="C1013" s="72" t="s">
        <v>369</v>
      </c>
      <c r="D1013" t="s">
        <v>2285</v>
      </c>
      <c r="E1013" t="s">
        <v>2620</v>
      </c>
      <c r="F1013" s="117" t="s">
        <v>2620</v>
      </c>
      <c r="G1013" s="72" t="s">
        <v>406</v>
      </c>
      <c r="H1013" s="69" t="str">
        <f>IF(Proc[[#This Row],[type]]="LFF (MDG-F)",MID(Proc[[#This Row],[Obj]],13,10),"")</f>
        <v>DE10566910</v>
      </c>
      <c r="I1013" t="s">
        <v>2629</v>
      </c>
      <c r="J1013" s="69" t="b">
        <f>Proc[[#This Row],[Requested]]=Proc[[#This Row],[CurrentParent]]</f>
        <v>1</v>
      </c>
      <c r="K1013" s="144" t="str">
        <f>IF(Proc[[#This Row],[Author]]="Marcela Urrego",VLOOKUP(LEFT(Proc[[#This Row],[Requested]],1),Table3[#All],2,0),VLOOKUP(Proc[[#This Row],[Author]],Table4[],2,0))</f>
        <v>MGF</v>
      </c>
      <c r="L1013" s="69" t="s">
        <v>2563</v>
      </c>
      <c r="M1013" s="71">
        <v>45754.873298611114</v>
      </c>
      <c r="N1013" s="77"/>
      <c r="O1013" s="77">
        <v>45757</v>
      </c>
      <c r="P1013" s="74" t="str">
        <f ca="1">IF(Proc[[#This Row],[DaysAgeing]]&gt;5,"yep","on track")</f>
        <v>on track</v>
      </c>
      <c r="Q1013" s="3">
        <f ca="1">IF(Proc[[#This Row],[DateClosed]]="",ABS(NETWORKDAYS(Proc[[#This Row],[DateOpened]],TODAY()))-1,ABS(NETWORKDAYS(Proc[[#This Row],[DateOpened]],Proc[[#This Row],[DateClosed]]))-1)</f>
        <v>3</v>
      </c>
      <c r="R1013" s="74" t="s">
        <v>549</v>
      </c>
      <c r="S1013" s="69"/>
    </row>
    <row r="1014" spans="1:19" hidden="1">
      <c r="A1014" s="72" t="s">
        <v>2670</v>
      </c>
      <c r="B1014" s="149" t="str">
        <f>IFERROR(VLOOKUP(Proc[[#This Row],[App]],Table2[],3,0),"open")</f>
        <v>ok</v>
      </c>
      <c r="C1014" s="72" t="s">
        <v>369</v>
      </c>
      <c r="D1014" s="72" t="s">
        <v>2671</v>
      </c>
      <c r="E1014" s="72" t="s">
        <v>2417</v>
      </c>
      <c r="F1014" s="117" t="s">
        <v>2417</v>
      </c>
      <c r="G1014" t="s">
        <v>400</v>
      </c>
      <c r="H1014" s="69" t="str">
        <f>IF(Proc[[#This Row],[type]]="LFF (MDG-F)",MID(Proc[[#This Row],[Obj]],13,10),"")</f>
        <v/>
      </c>
      <c r="J1014" s="69" t="b">
        <f>Proc[[#This Row],[Requested]]=Proc[[#This Row],[CurrentParent]]</f>
        <v>1</v>
      </c>
      <c r="K1014" s="144" t="str">
        <f>IF(Proc[[#This Row],[Author]]="Marcela Urrego",VLOOKUP(LEFT(Proc[[#This Row],[Requested]],1),Table3[#All],2,0),VLOOKUP(Proc[[#This Row],[Author]],Table4[],2,0))</f>
        <v>MGF</v>
      </c>
      <c r="L1014" s="69" t="s">
        <v>2563</v>
      </c>
      <c r="M1014" s="74">
        <v>45755.527407407404</v>
      </c>
      <c r="N1014" s="79">
        <v>45758</v>
      </c>
      <c r="O1014" s="79">
        <v>45758</v>
      </c>
      <c r="P1014" s="74" t="str">
        <f ca="1">IF(Proc[[#This Row],[DaysAgeing]]&gt;5,"yep","on track")</f>
        <v>on track</v>
      </c>
      <c r="Q1014" s="3">
        <f ca="1">IF(Proc[[#This Row],[DateClosed]]="",ABS(NETWORKDAYS(Proc[[#This Row],[DateOpened]],TODAY()))-1,ABS(NETWORKDAYS(Proc[[#This Row],[DateOpened]],Proc[[#This Row],[DateClosed]]))-1)</f>
        <v>3</v>
      </c>
      <c r="R1014" s="74" t="s">
        <v>515</v>
      </c>
      <c r="S1014" s="69"/>
    </row>
    <row r="1015" spans="1:19" hidden="1">
      <c r="A1015" s="72" t="s">
        <v>2674</v>
      </c>
      <c r="B1015" s="149" t="str">
        <f>IFERROR(VLOOKUP(Proc[[#This Row],[App]],Table2[],3,0),"open")</f>
        <v>ok</v>
      </c>
      <c r="C1015" s="72" t="s">
        <v>398</v>
      </c>
      <c r="D1015" s="72" t="s">
        <v>2677</v>
      </c>
      <c r="E1015" s="72" t="s">
        <v>2678</v>
      </c>
      <c r="F1015" s="103" t="s">
        <v>2678</v>
      </c>
      <c r="G1015" s="72" t="s">
        <v>400</v>
      </c>
      <c r="H1015" s="69" t="str">
        <f>IF(Proc[[#This Row],[type]]="LFF (MDG-F)",MID(Proc[[#This Row],[Obj]],13,10),"")</f>
        <v/>
      </c>
      <c r="I1015" t="s">
        <v>2685</v>
      </c>
      <c r="J1015" s="69" t="b">
        <f>Proc[[#This Row],[Requested]]=Proc[[#This Row],[CurrentParent]]</f>
        <v>1</v>
      </c>
      <c r="K1015" s="144" t="str">
        <f>IF(Proc[[#This Row],[Author]]="Marcela Urrego",VLOOKUP(LEFT(Proc[[#This Row],[Requested]],1),Table3[#All],2,0),VLOOKUP(Proc[[#This Row],[Author]],Table4[],2,0))</f>
        <v>LS</v>
      </c>
      <c r="L1015" s="69" t="s">
        <v>2563</v>
      </c>
      <c r="M1015" s="74">
        <v>45755.527407407404</v>
      </c>
      <c r="N1015" s="79"/>
      <c r="O1015" s="79">
        <v>45758</v>
      </c>
      <c r="P1015" s="74" t="str">
        <f ca="1">IF(Proc[[#This Row],[DaysAgeing]]&gt;5,"yep","on track")</f>
        <v>on track</v>
      </c>
      <c r="Q1015" s="3">
        <f ca="1">IF(Proc[[#This Row],[DateClosed]]="",ABS(NETWORKDAYS(Proc[[#This Row],[DateOpened]],TODAY()))-1,ABS(NETWORKDAYS(Proc[[#This Row],[DateOpened]],Proc[[#This Row],[DateClosed]]))-1)</f>
        <v>3</v>
      </c>
      <c r="R1015" s="74" t="s">
        <v>2679</v>
      </c>
      <c r="S1015" s="94" t="e">
        <f>VLOOKUP(Proc[[#This Row],[Obj]],#REF!,2,0)</f>
        <v>#REF!</v>
      </c>
    </row>
    <row r="1016" spans="1:19" hidden="1">
      <c r="A1016" s="72" t="s">
        <v>2673</v>
      </c>
      <c r="B1016" s="149" t="str">
        <f>IFERROR(VLOOKUP(Proc[[#This Row],[App]],Table2[],3,0),"open")</f>
        <v>ok</v>
      </c>
      <c r="C1016" s="72" t="s">
        <v>369</v>
      </c>
      <c r="D1016" s="72" t="s">
        <v>2630</v>
      </c>
      <c r="E1016" s="72" t="s">
        <v>1830</v>
      </c>
      <c r="F1016" s="117" t="s">
        <v>1830</v>
      </c>
      <c r="G1016" s="72" t="s">
        <v>400</v>
      </c>
      <c r="H1016" s="69" t="str">
        <f>IF(Proc[[#This Row],[type]]="LFF (MDG-F)",MID(Proc[[#This Row],[Obj]],13,10),"")</f>
        <v/>
      </c>
      <c r="J1016" s="69" t="b">
        <f>Proc[[#This Row],[Requested]]=Proc[[#This Row],[CurrentParent]]</f>
        <v>1</v>
      </c>
      <c r="K1016" s="144" t="str">
        <f>IF(Proc[[#This Row],[Author]]="Marcela Urrego",VLOOKUP(LEFT(Proc[[#This Row],[Requested]],1),Table3[#All],2,0),VLOOKUP(Proc[[#This Row],[Author]],Table4[],2,0))</f>
        <v>LS</v>
      </c>
      <c r="L1016" s="69" t="s">
        <v>2563</v>
      </c>
      <c r="M1016" s="74">
        <v>45755.527407407404</v>
      </c>
      <c r="N1016" s="79"/>
      <c r="O1016" s="79"/>
      <c r="P1016" s="74" t="str">
        <f ca="1">IF(Proc[[#This Row],[DaysAgeing]]&gt;5,"yep","on track")</f>
        <v>yep</v>
      </c>
      <c r="Q1016" s="3">
        <f ca="1">IF(Proc[[#This Row],[DateClosed]]="",ABS(NETWORKDAYS(Proc[[#This Row],[DateOpened]],TODAY()))-1,ABS(NETWORKDAYS(Proc[[#This Row],[DateOpened]],Proc[[#This Row],[DateClosed]]))-1)</f>
        <v>183</v>
      </c>
      <c r="R1016" s="74" t="s">
        <v>489</v>
      </c>
      <c r="S1016" s="69"/>
    </row>
    <row r="1017" spans="1:19" hidden="1">
      <c r="A1017" s="72" t="s">
        <v>2673</v>
      </c>
      <c r="B1017" s="149" t="str">
        <f>IFERROR(VLOOKUP(Proc[[#This Row],[App]],Table2[],3,0),"open")</f>
        <v>ok</v>
      </c>
      <c r="C1017" s="72" t="s">
        <v>369</v>
      </c>
      <c r="D1017" s="72" t="s">
        <v>2631</v>
      </c>
      <c r="E1017" s="72" t="s">
        <v>1830</v>
      </c>
      <c r="F1017" s="117" t="s">
        <v>1830</v>
      </c>
      <c r="G1017" s="72" t="s">
        <v>400</v>
      </c>
      <c r="H1017" s="69" t="str">
        <f>IF(Proc[[#This Row],[type]]="LFF (MDG-F)",MID(Proc[[#This Row],[Obj]],13,10),"")</f>
        <v/>
      </c>
      <c r="J1017" s="69" t="b">
        <f>Proc[[#This Row],[Requested]]=Proc[[#This Row],[CurrentParent]]</f>
        <v>1</v>
      </c>
      <c r="K1017" s="144" t="str">
        <f>IF(Proc[[#This Row],[Author]]="Marcela Urrego",VLOOKUP(LEFT(Proc[[#This Row],[Requested]],1),Table3[#All],2,0),VLOOKUP(Proc[[#This Row],[Author]],Table4[],2,0))</f>
        <v>LS</v>
      </c>
      <c r="L1017" s="69" t="s">
        <v>2563</v>
      </c>
      <c r="M1017" s="74">
        <v>45755.527407407404</v>
      </c>
      <c r="N1017" s="79"/>
      <c r="O1017" s="79"/>
      <c r="P1017" s="74" t="str">
        <f ca="1">IF(Proc[[#This Row],[DaysAgeing]]&gt;5,"yep","on track")</f>
        <v>yep</v>
      </c>
      <c r="Q1017" s="3">
        <f ca="1">IF(Proc[[#This Row],[DateClosed]]="",ABS(NETWORKDAYS(Proc[[#This Row],[DateOpened]],TODAY()))-1,ABS(NETWORKDAYS(Proc[[#This Row],[DateOpened]],Proc[[#This Row],[DateClosed]]))-1)</f>
        <v>183</v>
      </c>
      <c r="R1017" s="74" t="s">
        <v>489</v>
      </c>
      <c r="S1017" s="69"/>
    </row>
    <row r="1018" spans="1:19" hidden="1">
      <c r="A1018" s="72" t="s">
        <v>2673</v>
      </c>
      <c r="B1018" s="149" t="str">
        <f>IFERROR(VLOOKUP(Proc[[#This Row],[App]],Table2[],3,0),"open")</f>
        <v>ok</v>
      </c>
      <c r="C1018" s="72" t="s">
        <v>369</v>
      </c>
      <c r="D1018" s="72" t="s">
        <v>2632</v>
      </c>
      <c r="E1018" s="72" t="s">
        <v>1830</v>
      </c>
      <c r="F1018" s="117" t="s">
        <v>1830</v>
      </c>
      <c r="G1018" s="72" t="s">
        <v>400</v>
      </c>
      <c r="H1018" s="69" t="str">
        <f>IF(Proc[[#This Row],[type]]="LFF (MDG-F)",MID(Proc[[#This Row],[Obj]],13,10),"")</f>
        <v/>
      </c>
      <c r="J1018" s="69" t="b">
        <f>Proc[[#This Row],[Requested]]=Proc[[#This Row],[CurrentParent]]</f>
        <v>1</v>
      </c>
      <c r="K1018" s="144" t="str">
        <f>IF(Proc[[#This Row],[Author]]="Marcela Urrego",VLOOKUP(LEFT(Proc[[#This Row],[Requested]],1),Table3[#All],2,0),VLOOKUP(Proc[[#This Row],[Author]],Table4[],2,0))</f>
        <v>LS</v>
      </c>
      <c r="L1018" s="69" t="s">
        <v>2563</v>
      </c>
      <c r="M1018" s="74">
        <v>45755.527407407404</v>
      </c>
      <c r="N1018" s="79"/>
      <c r="O1018" s="79"/>
      <c r="P1018" s="74" t="str">
        <f ca="1">IF(Proc[[#This Row],[DaysAgeing]]&gt;5,"yep","on track")</f>
        <v>yep</v>
      </c>
      <c r="Q1018" s="3">
        <f ca="1">IF(Proc[[#This Row],[DateClosed]]="",ABS(NETWORKDAYS(Proc[[#This Row],[DateOpened]],TODAY()))-1,ABS(NETWORKDAYS(Proc[[#This Row],[DateOpened]],Proc[[#This Row],[DateClosed]]))-1)</f>
        <v>183</v>
      </c>
      <c r="R1018" s="74" t="s">
        <v>489</v>
      </c>
      <c r="S1018" s="69"/>
    </row>
    <row r="1019" spans="1:19" hidden="1">
      <c r="A1019" s="72" t="s">
        <v>2667</v>
      </c>
      <c r="B1019" s="149" t="str">
        <f>IFERROR(VLOOKUP(Proc[[#This Row],[App]],Table2[],3,0),"open")</f>
        <v>ok</v>
      </c>
      <c r="C1019" s="72" t="s">
        <v>369</v>
      </c>
      <c r="D1019" s="72" t="s">
        <v>2668</v>
      </c>
      <c r="E1019" s="72" t="s">
        <v>2669</v>
      </c>
      <c r="F1019" s="117" t="s">
        <v>2669</v>
      </c>
      <c r="G1019" s="72" t="s">
        <v>400</v>
      </c>
      <c r="H1019" s="69" t="str">
        <f>IF(Proc[[#This Row],[type]]="LFF (MDG-F)",MID(Proc[[#This Row],[Obj]],13,10),"")</f>
        <v/>
      </c>
      <c r="J1019" s="69" t="b">
        <f>Proc[[#This Row],[Requested]]=Proc[[#This Row],[CurrentParent]]</f>
        <v>1</v>
      </c>
      <c r="K1019" s="144" t="str">
        <f>IF(Proc[[#This Row],[Author]]="Marcela Urrego",VLOOKUP(LEFT(Proc[[#This Row],[Requested]],1),Table3[#All],2,0),VLOOKUP(Proc[[#This Row],[Author]],Table4[],2,0))</f>
        <v>MGF</v>
      </c>
      <c r="L1019" s="69" t="s">
        <v>2563</v>
      </c>
      <c r="M1019" s="74">
        <v>45756.387754629628</v>
      </c>
      <c r="N1019" s="79">
        <v>45758</v>
      </c>
      <c r="O1019" s="79">
        <v>45758</v>
      </c>
      <c r="P1019" s="74" t="str">
        <f ca="1">IF(Proc[[#This Row],[DaysAgeing]]&gt;5,"yep","on track")</f>
        <v>on track</v>
      </c>
      <c r="Q1019" s="3">
        <f ca="1">IF(Proc[[#This Row],[DateClosed]]="",ABS(NETWORKDAYS(Proc[[#This Row],[DateOpened]],TODAY()))-1,ABS(NETWORKDAYS(Proc[[#This Row],[DateOpened]],Proc[[#This Row],[DateClosed]]))-1)</f>
        <v>2</v>
      </c>
      <c r="R1019" s="74" t="s">
        <v>515</v>
      </c>
      <c r="S1019" s="69"/>
    </row>
    <row r="1020" spans="1:19" hidden="1">
      <c r="A1020" s="72" t="s">
        <v>2663</v>
      </c>
      <c r="B1020" s="149" t="str">
        <f>IFERROR(VLOOKUP(Proc[[#This Row],[App]],Table2[],3,0),"open")</f>
        <v>ok</v>
      </c>
      <c r="C1020" s="72" t="s">
        <v>369</v>
      </c>
      <c r="D1020" s="72" t="s">
        <v>2664</v>
      </c>
      <c r="E1020" s="72" t="s">
        <v>2666</v>
      </c>
      <c r="F1020" s="117" t="s">
        <v>2666</v>
      </c>
      <c r="G1020" s="72" t="s">
        <v>400</v>
      </c>
      <c r="H1020" s="69" t="str">
        <f>IF(Proc[[#This Row],[type]]="LFF (MDG-F)",MID(Proc[[#This Row],[Obj]],13,10),"")</f>
        <v/>
      </c>
      <c r="J1020" s="69" t="b">
        <f>Proc[[#This Row],[Requested]]=Proc[[#This Row],[CurrentParent]]</f>
        <v>1</v>
      </c>
      <c r="K1020" s="144" t="str">
        <f>IF(Proc[[#This Row],[Author]]="Marcela Urrego",VLOOKUP(LEFT(Proc[[#This Row],[Requested]],1),Table3[#All],2,0),VLOOKUP(Proc[[#This Row],[Author]],Table4[],2,0))</f>
        <v>MGF</v>
      </c>
      <c r="L1020" s="69" t="s">
        <v>2563</v>
      </c>
      <c r="M1020" s="74">
        <v>45756.453032407408</v>
      </c>
      <c r="N1020" s="79">
        <v>45758</v>
      </c>
      <c r="O1020" s="79">
        <v>45758</v>
      </c>
      <c r="P1020" s="74" t="str">
        <f ca="1">IF(Proc[[#This Row],[DaysAgeing]]&gt;5,"yep","on track")</f>
        <v>on track</v>
      </c>
      <c r="Q1020" s="3">
        <f ca="1">IF(Proc[[#This Row],[DateClosed]]="",ABS(NETWORKDAYS(Proc[[#This Row],[DateOpened]],TODAY()))-1,ABS(NETWORKDAYS(Proc[[#This Row],[DateOpened]],Proc[[#This Row],[DateClosed]]))-1)</f>
        <v>2</v>
      </c>
      <c r="R1020" s="74" t="s">
        <v>515</v>
      </c>
      <c r="S1020" s="69"/>
    </row>
    <row r="1021" spans="1:19" hidden="1">
      <c r="A1021" s="72" t="s">
        <v>2663</v>
      </c>
      <c r="B1021" s="149" t="str">
        <f>IFERROR(VLOOKUP(Proc[[#This Row],[App]],Table2[],3,0),"open")</f>
        <v>ok</v>
      </c>
      <c r="C1021" s="72" t="s">
        <v>369</v>
      </c>
      <c r="D1021" s="72" t="s">
        <v>2665</v>
      </c>
      <c r="E1021" s="72" t="s">
        <v>2666</v>
      </c>
      <c r="F1021" s="117" t="s">
        <v>2666</v>
      </c>
      <c r="G1021" s="72" t="s">
        <v>400</v>
      </c>
      <c r="H1021" s="69" t="str">
        <f>IF(Proc[[#This Row],[type]]="LFF (MDG-F)",MID(Proc[[#This Row],[Obj]],13,10),"")</f>
        <v/>
      </c>
      <c r="J1021" s="69" t="b">
        <f>Proc[[#This Row],[Requested]]=Proc[[#This Row],[CurrentParent]]</f>
        <v>1</v>
      </c>
      <c r="K1021" s="144" t="str">
        <f>IF(Proc[[#This Row],[Author]]="Marcela Urrego",VLOOKUP(LEFT(Proc[[#This Row],[Requested]],1),Table3[#All],2,0),VLOOKUP(Proc[[#This Row],[Author]],Table4[],2,0))</f>
        <v>MGF</v>
      </c>
      <c r="L1021" s="69" t="s">
        <v>2563</v>
      </c>
      <c r="M1021" s="74">
        <v>45756.453032407408</v>
      </c>
      <c r="N1021" s="79">
        <v>45758</v>
      </c>
      <c r="O1021" s="79">
        <v>45758</v>
      </c>
      <c r="P1021" s="74" t="str">
        <f ca="1">IF(Proc[[#This Row],[DaysAgeing]]&gt;5,"yep","on track")</f>
        <v>on track</v>
      </c>
      <c r="Q1021" s="3">
        <f ca="1">IF(Proc[[#This Row],[DateClosed]]="",ABS(NETWORKDAYS(Proc[[#This Row],[DateOpened]],TODAY()))-1,ABS(NETWORKDAYS(Proc[[#This Row],[DateOpened]],Proc[[#This Row],[DateClosed]]))-1)</f>
        <v>2</v>
      </c>
      <c r="R1021" s="74" t="s">
        <v>515</v>
      </c>
      <c r="S1021" s="69"/>
    </row>
    <row r="1022" spans="1:19" hidden="1">
      <c r="A1022" s="72" t="s">
        <v>2675</v>
      </c>
      <c r="B1022" s="149" t="str">
        <f>IFERROR(VLOOKUP(Proc[[#This Row],[App]],Table2[],3,0),"open")</f>
        <v>ok</v>
      </c>
      <c r="C1022" s="72" t="s">
        <v>369</v>
      </c>
      <c r="D1022" s="72" t="s">
        <v>2680</v>
      </c>
      <c r="E1022" s="72" t="s">
        <v>2669</v>
      </c>
      <c r="F1022" s="117" t="s">
        <v>2669</v>
      </c>
      <c r="G1022" s="72" t="s">
        <v>400</v>
      </c>
      <c r="H1022" s="69" t="str">
        <f>IF(Proc[[#This Row],[type]]="LFF (MDG-F)",MID(Proc[[#This Row],[Obj]],13,10),"")</f>
        <v/>
      </c>
      <c r="J1022" s="69" t="b">
        <f>Proc[[#This Row],[Requested]]=Proc[[#This Row],[CurrentParent]]</f>
        <v>1</v>
      </c>
      <c r="K1022" s="144" t="str">
        <f>IF(Proc[[#This Row],[Author]]="Marcela Urrego",VLOOKUP(LEFT(Proc[[#This Row],[Requested]],1),Table3[#All],2,0),VLOOKUP(Proc[[#This Row],[Author]],Table4[],2,0))</f>
        <v>MGF</v>
      </c>
      <c r="L1022" s="69" t="s">
        <v>2563</v>
      </c>
      <c r="M1022" s="74">
        <v>45756.453032407408</v>
      </c>
      <c r="N1022" s="79">
        <v>45758</v>
      </c>
      <c r="O1022" s="79">
        <v>45758</v>
      </c>
      <c r="P1022" s="74" t="str">
        <f ca="1">IF(Proc[[#This Row],[DaysAgeing]]&gt;5,"yep","on track")</f>
        <v>on track</v>
      </c>
      <c r="Q1022" s="3">
        <f ca="1">IF(Proc[[#This Row],[DateClosed]]="",ABS(NETWORKDAYS(Proc[[#This Row],[DateOpened]],TODAY()))-1,ABS(NETWORKDAYS(Proc[[#This Row],[DateOpened]],Proc[[#This Row],[DateClosed]]))-1)</f>
        <v>2</v>
      </c>
      <c r="R1022" s="74" t="s">
        <v>530</v>
      </c>
      <c r="S1022" s="69"/>
    </row>
    <row r="1023" spans="1:19" hidden="1">
      <c r="A1023" s="72" t="s">
        <v>2676</v>
      </c>
      <c r="B1023" s="149" t="str">
        <f>IFERROR(VLOOKUP(Proc[[#This Row],[App]],Table2[],3,0),"open")</f>
        <v>ok</v>
      </c>
      <c r="C1023" s="72" t="s">
        <v>369</v>
      </c>
      <c r="D1023" s="72" t="s">
        <v>2686</v>
      </c>
      <c r="E1023" s="72" t="s">
        <v>2681</v>
      </c>
      <c r="F1023" s="117" t="s">
        <v>2681</v>
      </c>
      <c r="G1023" s="72" t="s">
        <v>406</v>
      </c>
      <c r="H1023" s="69" t="str">
        <f>IF(Proc[[#This Row],[type]]="LFF (MDG-F)",MID(Proc[[#This Row],[Obj]],13,10),"")</f>
        <v>1919O05003</v>
      </c>
      <c r="J1023" s="69" t="b">
        <f>Proc[[#This Row],[Requested]]=Proc[[#This Row],[CurrentParent]]</f>
        <v>1</v>
      </c>
      <c r="K1023" s="144" t="str">
        <f>IF(Proc[[#This Row],[Author]]="Marcela Urrego",VLOOKUP(LEFT(Proc[[#This Row],[Requested]],1),Table3[#All],2,0),VLOOKUP(Proc[[#This Row],[Author]],Table4[],2,0))</f>
        <v>MGF</v>
      </c>
      <c r="L1023" s="69" t="s">
        <v>2563</v>
      </c>
      <c r="M1023" s="74">
        <v>45756.453032407408</v>
      </c>
      <c r="N1023" s="79">
        <v>45758</v>
      </c>
      <c r="O1023" s="79">
        <v>45758</v>
      </c>
      <c r="P1023" s="74" t="str">
        <f ca="1">IF(Proc[[#This Row],[DaysAgeing]]&gt;5,"yep","on track")</f>
        <v>on track</v>
      </c>
      <c r="Q1023" s="3">
        <f ca="1">IF(Proc[[#This Row],[DateClosed]]="",ABS(NETWORKDAYS(Proc[[#This Row],[DateOpened]],TODAY()))-1,ABS(NETWORKDAYS(Proc[[#This Row],[DateOpened]],Proc[[#This Row],[DateClosed]]))-1)</f>
        <v>2</v>
      </c>
      <c r="R1023" s="74" t="s">
        <v>2682</v>
      </c>
      <c r="S1023" s="69"/>
    </row>
    <row r="1024" spans="1:19" hidden="1">
      <c r="A1024" s="72" t="s">
        <v>2633</v>
      </c>
      <c r="B1024" s="149" t="str">
        <f>IFERROR(VLOOKUP(Proc[[#This Row],[App]],Table2[],3,0),"open")</f>
        <v>ok</v>
      </c>
      <c r="C1024" s="72" t="s">
        <v>369</v>
      </c>
      <c r="D1024" s="76" t="s">
        <v>2630</v>
      </c>
      <c r="E1024" s="72" t="s">
        <v>1830</v>
      </c>
      <c r="F1024" s="117" t="s">
        <v>1830</v>
      </c>
      <c r="G1024" s="72" t="s">
        <v>400</v>
      </c>
      <c r="H1024" s="69" t="str">
        <f>IF(Proc[[#This Row],[type]]="LFF (MDG-F)",MID(Proc[[#This Row],[Obj]],13,10),"")</f>
        <v/>
      </c>
      <c r="J1024" s="69" t="b">
        <f>Proc[[#This Row],[Requested]]=Proc[[#This Row],[CurrentParent]]</f>
        <v>1</v>
      </c>
      <c r="K1024" s="144" t="str">
        <f>IF(Proc[[#This Row],[Author]]="Marcela Urrego",VLOOKUP(LEFT(Proc[[#This Row],[Requested]],1),Table3[#All],2,0),VLOOKUP(Proc[[#This Row],[Author]],Table4[],2,0))</f>
        <v>LS</v>
      </c>
      <c r="L1024" s="69" t="s">
        <v>2563</v>
      </c>
      <c r="M1024" s="74">
        <v>45755.504537037035</v>
      </c>
      <c r="N1024" s="77">
        <v>45757</v>
      </c>
      <c r="O1024" s="77">
        <v>45757</v>
      </c>
      <c r="P1024" s="74" t="str">
        <f ca="1">IF(Proc[[#This Row],[DaysAgeing]]&gt;5,"yep","on track")</f>
        <v>on track</v>
      </c>
      <c r="Q1024" s="3">
        <f ca="1">IF(Proc[[#This Row],[DateClosed]]="",ABS(NETWORKDAYS(Proc[[#This Row],[DateOpened]],TODAY()))-1,ABS(NETWORKDAYS(Proc[[#This Row],[DateOpened]],Proc[[#This Row],[DateClosed]]))-1)</f>
        <v>2</v>
      </c>
      <c r="R1024" s="74" t="s">
        <v>489</v>
      </c>
      <c r="S1024" s="69"/>
    </row>
    <row r="1025" spans="1:19" hidden="1">
      <c r="A1025" s="72" t="s">
        <v>2633</v>
      </c>
      <c r="B1025" s="149" t="str">
        <f>IFERROR(VLOOKUP(Proc[[#This Row],[App]],Table2[],3,0),"open")</f>
        <v>ok</v>
      </c>
      <c r="C1025" s="72" t="s">
        <v>369</v>
      </c>
      <c r="D1025" s="76" t="s">
        <v>2631</v>
      </c>
      <c r="E1025" s="72" t="s">
        <v>1830</v>
      </c>
      <c r="F1025" s="117" t="s">
        <v>1830</v>
      </c>
      <c r="G1025" s="72" t="s">
        <v>400</v>
      </c>
      <c r="H1025" s="69" t="str">
        <f>IF(Proc[[#This Row],[type]]="LFF (MDG-F)",MID(Proc[[#This Row],[Obj]],13,10),"")</f>
        <v/>
      </c>
      <c r="J1025" s="69" t="b">
        <f>Proc[[#This Row],[Requested]]=Proc[[#This Row],[CurrentParent]]</f>
        <v>1</v>
      </c>
      <c r="K1025" s="144" t="str">
        <f>IF(Proc[[#This Row],[Author]]="Marcela Urrego",VLOOKUP(LEFT(Proc[[#This Row],[Requested]],1),Table3[#All],2,0),VLOOKUP(Proc[[#This Row],[Author]],Table4[],2,0))</f>
        <v>LS</v>
      </c>
      <c r="L1025" s="69" t="s">
        <v>2563</v>
      </c>
      <c r="M1025" s="74">
        <v>45755.504537037035</v>
      </c>
      <c r="N1025" s="77">
        <v>45757</v>
      </c>
      <c r="O1025" s="77">
        <v>45757</v>
      </c>
      <c r="P1025" s="74" t="str">
        <f ca="1">IF(Proc[[#This Row],[DaysAgeing]]&gt;5,"yep","on track")</f>
        <v>on track</v>
      </c>
      <c r="Q1025" s="3">
        <f ca="1">IF(Proc[[#This Row],[DateClosed]]="",ABS(NETWORKDAYS(Proc[[#This Row],[DateOpened]],TODAY()))-1,ABS(NETWORKDAYS(Proc[[#This Row],[DateOpened]],Proc[[#This Row],[DateClosed]]))-1)</f>
        <v>2</v>
      </c>
      <c r="R1025" s="74" t="s">
        <v>489</v>
      </c>
      <c r="S1025" s="69"/>
    </row>
    <row r="1026" spans="1:19" hidden="1">
      <c r="A1026" s="72" t="s">
        <v>2633</v>
      </c>
      <c r="B1026" s="149" t="str">
        <f>IFERROR(VLOOKUP(Proc[[#This Row],[App]],Table2[],3,0),"open")</f>
        <v>ok</v>
      </c>
      <c r="C1026" s="72" t="s">
        <v>369</v>
      </c>
      <c r="D1026" s="76" t="s">
        <v>2632</v>
      </c>
      <c r="E1026" s="72" t="s">
        <v>1830</v>
      </c>
      <c r="F1026" s="117" t="s">
        <v>1830</v>
      </c>
      <c r="G1026" s="72" t="s">
        <v>400</v>
      </c>
      <c r="H1026" s="69" t="str">
        <f>IF(Proc[[#This Row],[type]]="LFF (MDG-F)",MID(Proc[[#This Row],[Obj]],13,10),"")</f>
        <v/>
      </c>
      <c r="J1026" s="69" t="b">
        <f>Proc[[#This Row],[Requested]]=Proc[[#This Row],[CurrentParent]]</f>
        <v>1</v>
      </c>
      <c r="K1026" s="144" t="str">
        <f>IF(Proc[[#This Row],[Author]]="Marcela Urrego",VLOOKUP(LEFT(Proc[[#This Row],[Requested]],1),Table3[#All],2,0),VLOOKUP(Proc[[#This Row],[Author]],Table4[],2,0))</f>
        <v>LS</v>
      </c>
      <c r="L1026" s="69" t="s">
        <v>2563</v>
      </c>
      <c r="M1026" s="74">
        <v>45755.504537037035</v>
      </c>
      <c r="N1026" s="77">
        <v>45757</v>
      </c>
      <c r="O1026" s="77">
        <v>45757</v>
      </c>
      <c r="P1026" s="74" t="str">
        <f ca="1">IF(Proc[[#This Row],[DaysAgeing]]&gt;5,"yep","on track")</f>
        <v>on track</v>
      </c>
      <c r="Q1026" s="3">
        <f ca="1">IF(Proc[[#This Row],[DateClosed]]="",ABS(NETWORKDAYS(Proc[[#This Row],[DateOpened]],TODAY()))-1,ABS(NETWORKDAYS(Proc[[#This Row],[DateOpened]],Proc[[#This Row],[DateClosed]]))-1)</f>
        <v>2</v>
      </c>
      <c r="R1026" s="74" t="s">
        <v>489</v>
      </c>
      <c r="S1026" s="69"/>
    </row>
    <row r="1027" spans="1:19" hidden="1">
      <c r="A1027" s="72" t="s">
        <v>2633</v>
      </c>
      <c r="B1027" s="149" t="str">
        <f>IFERROR(VLOOKUP(Proc[[#This Row],[App]],Table2[],3,0),"open")</f>
        <v>ok</v>
      </c>
      <c r="C1027" s="72" t="s">
        <v>369</v>
      </c>
      <c r="D1027" s="76" t="s">
        <v>2634</v>
      </c>
      <c r="E1027" s="72" t="s">
        <v>1830</v>
      </c>
      <c r="F1027" s="117" t="s">
        <v>1830</v>
      </c>
      <c r="G1027" s="72" t="s">
        <v>400</v>
      </c>
      <c r="H1027" s="69" t="str">
        <f>IF(Proc[[#This Row],[type]]="LFF (MDG-F)",MID(Proc[[#This Row],[Obj]],13,10),"")</f>
        <v/>
      </c>
      <c r="J1027" s="69" t="b">
        <f>Proc[[#This Row],[Requested]]=Proc[[#This Row],[CurrentParent]]</f>
        <v>1</v>
      </c>
      <c r="K1027" s="144" t="str">
        <f>IF(Proc[[#This Row],[Author]]="Marcela Urrego",VLOOKUP(LEFT(Proc[[#This Row],[Requested]],1),Table3[#All],2,0),VLOOKUP(Proc[[#This Row],[Author]],Table4[],2,0))</f>
        <v>LS</v>
      </c>
      <c r="L1027" s="69" t="s">
        <v>2563</v>
      </c>
      <c r="M1027" s="74">
        <v>45756.504537037035</v>
      </c>
      <c r="N1027" s="77">
        <v>45757</v>
      </c>
      <c r="O1027" s="77">
        <v>45757</v>
      </c>
      <c r="P1027" s="74" t="str">
        <f ca="1">IF(Proc[[#This Row],[DaysAgeing]]&gt;5,"yep","on track")</f>
        <v>on track</v>
      </c>
      <c r="Q1027" s="3">
        <f ca="1">IF(Proc[[#This Row],[DateClosed]]="",ABS(NETWORKDAYS(Proc[[#This Row],[DateOpened]],TODAY()))-1,ABS(NETWORKDAYS(Proc[[#This Row],[DateOpened]],Proc[[#This Row],[DateClosed]]))-1)</f>
        <v>1</v>
      </c>
      <c r="R1027" s="74" t="s">
        <v>489</v>
      </c>
      <c r="S1027" s="69"/>
    </row>
    <row r="1028" spans="1:19" hidden="1">
      <c r="A1028" s="72" t="s">
        <v>2633</v>
      </c>
      <c r="B1028" s="149" t="str">
        <f>IFERROR(VLOOKUP(Proc[[#This Row],[App]],Table2[],3,0),"open")</f>
        <v>ok</v>
      </c>
      <c r="C1028" s="72" t="s">
        <v>369</v>
      </c>
      <c r="D1028" s="76" t="s">
        <v>2635</v>
      </c>
      <c r="E1028" s="72" t="s">
        <v>1830</v>
      </c>
      <c r="F1028" s="117" t="s">
        <v>1830</v>
      </c>
      <c r="G1028" s="72" t="s">
        <v>400</v>
      </c>
      <c r="H1028" s="69" t="str">
        <f>IF(Proc[[#This Row],[type]]="LFF (MDG-F)",MID(Proc[[#This Row],[Obj]],13,10),"")</f>
        <v/>
      </c>
      <c r="J1028" s="69" t="b">
        <f>Proc[[#This Row],[Requested]]=Proc[[#This Row],[CurrentParent]]</f>
        <v>1</v>
      </c>
      <c r="K1028" s="144" t="str">
        <f>IF(Proc[[#This Row],[Author]]="Marcela Urrego",VLOOKUP(LEFT(Proc[[#This Row],[Requested]],1),Table3[#All],2,0),VLOOKUP(Proc[[#This Row],[Author]],Table4[],2,0))</f>
        <v>LS</v>
      </c>
      <c r="L1028" s="69" t="s">
        <v>2563</v>
      </c>
      <c r="M1028" s="74">
        <v>45756.504537037035</v>
      </c>
      <c r="N1028" s="77">
        <v>45757</v>
      </c>
      <c r="O1028" s="77">
        <v>45757</v>
      </c>
      <c r="P1028" s="74" t="str">
        <f ca="1">IF(Proc[[#This Row],[DaysAgeing]]&gt;5,"yep","on track")</f>
        <v>on track</v>
      </c>
      <c r="Q1028" s="3">
        <f ca="1">IF(Proc[[#This Row],[DateClosed]]="",ABS(NETWORKDAYS(Proc[[#This Row],[DateOpened]],TODAY()))-1,ABS(NETWORKDAYS(Proc[[#This Row],[DateOpened]],Proc[[#This Row],[DateClosed]]))-1)</f>
        <v>1</v>
      </c>
      <c r="R1028" s="74" t="s">
        <v>489</v>
      </c>
      <c r="S1028" s="69"/>
    </row>
    <row r="1029" spans="1:19" hidden="1">
      <c r="A1029" s="72" t="s">
        <v>2633</v>
      </c>
      <c r="B1029" s="149" t="str">
        <f>IFERROR(VLOOKUP(Proc[[#This Row],[App]],Table2[],3,0),"open")</f>
        <v>ok</v>
      </c>
      <c r="C1029" s="72" t="s">
        <v>369</v>
      </c>
      <c r="D1029" s="72" t="s">
        <v>2636</v>
      </c>
      <c r="E1029" s="72" t="s">
        <v>1830</v>
      </c>
      <c r="F1029" s="117" t="s">
        <v>1830</v>
      </c>
      <c r="G1029" s="72" t="s">
        <v>400</v>
      </c>
      <c r="H1029" s="69" t="str">
        <f>IF(Proc[[#This Row],[type]]="LFF (MDG-F)",MID(Proc[[#This Row],[Obj]],13,10),"")</f>
        <v/>
      </c>
      <c r="J1029" s="69" t="b">
        <f>Proc[[#This Row],[Requested]]=Proc[[#This Row],[CurrentParent]]</f>
        <v>1</v>
      </c>
      <c r="K1029" s="144" t="str">
        <f>IF(Proc[[#This Row],[Author]]="Marcela Urrego",VLOOKUP(LEFT(Proc[[#This Row],[Requested]],1),Table3[#All],2,0),VLOOKUP(Proc[[#This Row],[Author]],Table4[],2,0))</f>
        <v>LS</v>
      </c>
      <c r="L1029" s="69" t="s">
        <v>2563</v>
      </c>
      <c r="M1029" s="74">
        <v>45756.504537037035</v>
      </c>
      <c r="N1029" s="77">
        <v>45757</v>
      </c>
      <c r="O1029" s="77">
        <v>45757</v>
      </c>
      <c r="P1029" s="74" t="str">
        <f ca="1">IF(Proc[[#This Row],[DaysAgeing]]&gt;5,"yep","on track")</f>
        <v>on track</v>
      </c>
      <c r="Q1029" s="3">
        <f ca="1">IF(Proc[[#This Row],[DateClosed]]="",ABS(NETWORKDAYS(Proc[[#This Row],[DateOpened]],TODAY()))-1,ABS(NETWORKDAYS(Proc[[#This Row],[DateOpened]],Proc[[#This Row],[DateClosed]]))-1)</f>
        <v>1</v>
      </c>
      <c r="R1029" s="74" t="s">
        <v>489</v>
      </c>
      <c r="S1029" s="69"/>
    </row>
    <row r="1030" spans="1:19" hidden="1">
      <c r="A1030" s="72" t="s">
        <v>2633</v>
      </c>
      <c r="B1030" s="149" t="str">
        <f>IFERROR(VLOOKUP(Proc[[#This Row],[App]],Table2[],3,0),"open")</f>
        <v>ok</v>
      </c>
      <c r="C1030" s="72" t="s">
        <v>369</v>
      </c>
      <c r="D1030" s="72" t="s">
        <v>2637</v>
      </c>
      <c r="E1030" s="72" t="s">
        <v>1830</v>
      </c>
      <c r="F1030" s="117" t="s">
        <v>1830</v>
      </c>
      <c r="G1030" s="72" t="s">
        <v>400</v>
      </c>
      <c r="H1030" s="69" t="str">
        <f>IF(Proc[[#This Row],[type]]="LFF (MDG-F)",MID(Proc[[#This Row],[Obj]],13,10),"")</f>
        <v/>
      </c>
      <c r="J1030" s="69" t="b">
        <f>Proc[[#This Row],[Requested]]=Proc[[#This Row],[CurrentParent]]</f>
        <v>1</v>
      </c>
      <c r="K1030" s="144" t="str">
        <f>IF(Proc[[#This Row],[Author]]="Marcela Urrego",VLOOKUP(LEFT(Proc[[#This Row],[Requested]],1),Table3[#All],2,0),VLOOKUP(Proc[[#This Row],[Author]],Table4[],2,0))</f>
        <v>LS</v>
      </c>
      <c r="L1030" s="69" t="s">
        <v>2563</v>
      </c>
      <c r="M1030" s="74">
        <v>45756.504537037035</v>
      </c>
      <c r="N1030" s="77">
        <v>45757</v>
      </c>
      <c r="O1030" s="77">
        <v>45757</v>
      </c>
      <c r="P1030" s="74" t="str">
        <f ca="1">IF(Proc[[#This Row],[DaysAgeing]]&gt;5,"yep","on track")</f>
        <v>on track</v>
      </c>
      <c r="Q1030" s="3">
        <f ca="1">IF(Proc[[#This Row],[DateClosed]]="",ABS(NETWORKDAYS(Proc[[#This Row],[DateOpened]],TODAY()))-1,ABS(NETWORKDAYS(Proc[[#This Row],[DateOpened]],Proc[[#This Row],[DateClosed]]))-1)</f>
        <v>1</v>
      </c>
      <c r="R1030" s="74" t="s">
        <v>489</v>
      </c>
      <c r="S1030" s="69"/>
    </row>
    <row r="1031" spans="1:19" hidden="1">
      <c r="A1031" s="72" t="s">
        <v>2633</v>
      </c>
      <c r="B1031" s="149" t="str">
        <f>IFERROR(VLOOKUP(Proc[[#This Row],[App]],Table2[],3,0),"open")</f>
        <v>ok</v>
      </c>
      <c r="C1031" s="72" t="s">
        <v>369</v>
      </c>
      <c r="D1031" s="72" t="s">
        <v>2638</v>
      </c>
      <c r="E1031" s="72" t="s">
        <v>1830</v>
      </c>
      <c r="F1031" s="117" t="s">
        <v>1830</v>
      </c>
      <c r="G1031" s="72" t="s">
        <v>400</v>
      </c>
      <c r="H1031" s="69" t="str">
        <f>IF(Proc[[#This Row],[type]]="LFF (MDG-F)",MID(Proc[[#This Row],[Obj]],13,10),"")</f>
        <v/>
      </c>
      <c r="J1031" s="69" t="b">
        <f>Proc[[#This Row],[Requested]]=Proc[[#This Row],[CurrentParent]]</f>
        <v>1</v>
      </c>
      <c r="K1031" s="144" t="str">
        <f>IF(Proc[[#This Row],[Author]]="Marcela Urrego",VLOOKUP(LEFT(Proc[[#This Row],[Requested]],1),Table3[#All],2,0),VLOOKUP(Proc[[#This Row],[Author]],Table4[],2,0))</f>
        <v>LS</v>
      </c>
      <c r="L1031" s="69" t="s">
        <v>2563</v>
      </c>
      <c r="M1031" s="74">
        <v>45756.504537037035</v>
      </c>
      <c r="N1031" s="77">
        <v>45757</v>
      </c>
      <c r="O1031" s="77">
        <v>45757</v>
      </c>
      <c r="P1031" s="74" t="str">
        <f ca="1">IF(Proc[[#This Row],[DaysAgeing]]&gt;5,"yep","on track")</f>
        <v>on track</v>
      </c>
      <c r="Q1031" s="3">
        <f ca="1">IF(Proc[[#This Row],[DateClosed]]="",ABS(NETWORKDAYS(Proc[[#This Row],[DateOpened]],TODAY()))-1,ABS(NETWORKDAYS(Proc[[#This Row],[DateOpened]],Proc[[#This Row],[DateClosed]]))-1)</f>
        <v>1</v>
      </c>
      <c r="R1031" s="74" t="s">
        <v>489</v>
      </c>
      <c r="S1031" s="69"/>
    </row>
    <row r="1032" spans="1:19" hidden="1">
      <c r="A1032" s="72" t="s">
        <v>2633</v>
      </c>
      <c r="B1032" s="149" t="str">
        <f>IFERROR(VLOOKUP(Proc[[#This Row],[App]],Table2[],3,0),"open")</f>
        <v>ok</v>
      </c>
      <c r="C1032" s="72" t="s">
        <v>369</v>
      </c>
      <c r="D1032" s="72" t="s">
        <v>2639</v>
      </c>
      <c r="E1032" s="72" t="s">
        <v>1830</v>
      </c>
      <c r="F1032" s="117" t="s">
        <v>1830</v>
      </c>
      <c r="G1032" s="72" t="s">
        <v>400</v>
      </c>
      <c r="H1032" s="69" t="str">
        <f>IF(Proc[[#This Row],[type]]="LFF (MDG-F)",MID(Proc[[#This Row],[Obj]],13,10),"")</f>
        <v/>
      </c>
      <c r="J1032" s="69" t="b">
        <f>Proc[[#This Row],[Requested]]=Proc[[#This Row],[CurrentParent]]</f>
        <v>1</v>
      </c>
      <c r="K1032" s="144" t="str">
        <f>IF(Proc[[#This Row],[Author]]="Marcela Urrego",VLOOKUP(LEFT(Proc[[#This Row],[Requested]],1),Table3[#All],2,0),VLOOKUP(Proc[[#This Row],[Author]],Table4[],2,0))</f>
        <v>LS</v>
      </c>
      <c r="L1032" s="69" t="s">
        <v>2563</v>
      </c>
      <c r="M1032" s="74">
        <v>45756.504537037035</v>
      </c>
      <c r="N1032" s="77">
        <v>45757</v>
      </c>
      <c r="O1032" s="77">
        <v>45757</v>
      </c>
      <c r="P1032" s="74" t="str">
        <f ca="1">IF(Proc[[#This Row],[DaysAgeing]]&gt;5,"yep","on track")</f>
        <v>on track</v>
      </c>
      <c r="Q1032" s="3">
        <f ca="1">IF(Proc[[#This Row],[DateClosed]]="",ABS(NETWORKDAYS(Proc[[#This Row],[DateOpened]],TODAY()))-1,ABS(NETWORKDAYS(Proc[[#This Row],[DateOpened]],Proc[[#This Row],[DateClosed]]))-1)</f>
        <v>1</v>
      </c>
      <c r="R1032" s="74" t="s">
        <v>489</v>
      </c>
      <c r="S1032" s="69"/>
    </row>
    <row r="1033" spans="1:19" hidden="1">
      <c r="A1033" s="72" t="s">
        <v>2633</v>
      </c>
      <c r="B1033" s="149" t="str">
        <f>IFERROR(VLOOKUP(Proc[[#This Row],[App]],Table2[],3,0),"open")</f>
        <v>ok</v>
      </c>
      <c r="C1033" s="72" t="s">
        <v>369</v>
      </c>
      <c r="D1033" s="72" t="s">
        <v>2640</v>
      </c>
      <c r="E1033" s="72" t="s">
        <v>1830</v>
      </c>
      <c r="F1033" s="117" t="s">
        <v>1830</v>
      </c>
      <c r="G1033" s="72" t="s">
        <v>400</v>
      </c>
      <c r="H1033" s="69" t="str">
        <f>IF(Proc[[#This Row],[type]]="LFF (MDG-F)",MID(Proc[[#This Row],[Obj]],13,10),"")</f>
        <v/>
      </c>
      <c r="J1033" s="69" t="b">
        <f>Proc[[#This Row],[Requested]]=Proc[[#This Row],[CurrentParent]]</f>
        <v>1</v>
      </c>
      <c r="K1033" s="144" t="str">
        <f>IF(Proc[[#This Row],[Author]]="Marcela Urrego",VLOOKUP(LEFT(Proc[[#This Row],[Requested]],1),Table3[#All],2,0),VLOOKUP(Proc[[#This Row],[Author]],Table4[],2,0))</f>
        <v>LS</v>
      </c>
      <c r="L1033" s="69" t="s">
        <v>2563</v>
      </c>
      <c r="M1033" s="74">
        <v>45756.504537037035</v>
      </c>
      <c r="N1033" s="77">
        <v>45757</v>
      </c>
      <c r="O1033" s="77">
        <v>45757</v>
      </c>
      <c r="P1033" s="74" t="str">
        <f ca="1">IF(Proc[[#This Row],[DaysAgeing]]&gt;5,"yep","on track")</f>
        <v>on track</v>
      </c>
      <c r="Q1033" s="3">
        <f ca="1">IF(Proc[[#This Row],[DateClosed]]="",ABS(NETWORKDAYS(Proc[[#This Row],[DateOpened]],TODAY()))-1,ABS(NETWORKDAYS(Proc[[#This Row],[DateOpened]],Proc[[#This Row],[DateClosed]]))-1)</f>
        <v>1</v>
      </c>
      <c r="R1033" s="74" t="s">
        <v>489</v>
      </c>
      <c r="S1033" s="69"/>
    </row>
    <row r="1034" spans="1:19" hidden="1">
      <c r="A1034" s="72" t="s">
        <v>2633</v>
      </c>
      <c r="B1034" s="149" t="str">
        <f>IFERROR(VLOOKUP(Proc[[#This Row],[App]],Table2[],3,0),"open")</f>
        <v>ok</v>
      </c>
      <c r="C1034" s="72" t="s">
        <v>369</v>
      </c>
      <c r="D1034" s="72" t="s">
        <v>2641</v>
      </c>
      <c r="E1034" s="72" t="s">
        <v>1830</v>
      </c>
      <c r="F1034" s="117" t="s">
        <v>1830</v>
      </c>
      <c r="G1034" s="72" t="s">
        <v>400</v>
      </c>
      <c r="H1034" s="69" t="str">
        <f>IF(Proc[[#This Row],[type]]="LFF (MDG-F)",MID(Proc[[#This Row],[Obj]],13,10),"")</f>
        <v/>
      </c>
      <c r="J1034" s="69" t="b">
        <f>Proc[[#This Row],[Requested]]=Proc[[#This Row],[CurrentParent]]</f>
        <v>1</v>
      </c>
      <c r="K1034" s="144" t="str">
        <f>IF(Proc[[#This Row],[Author]]="Marcela Urrego",VLOOKUP(LEFT(Proc[[#This Row],[Requested]],1),Table3[#All],2,0),VLOOKUP(Proc[[#This Row],[Author]],Table4[],2,0))</f>
        <v>LS</v>
      </c>
      <c r="L1034" s="69" t="s">
        <v>2563</v>
      </c>
      <c r="M1034" s="74">
        <v>45756.504537037035</v>
      </c>
      <c r="N1034" s="77">
        <v>45757</v>
      </c>
      <c r="O1034" s="77">
        <v>45757</v>
      </c>
      <c r="P1034" s="74" t="str">
        <f ca="1">IF(Proc[[#This Row],[DaysAgeing]]&gt;5,"yep","on track")</f>
        <v>on track</v>
      </c>
      <c r="Q1034" s="3">
        <f ca="1">IF(Proc[[#This Row],[DateClosed]]="",ABS(NETWORKDAYS(Proc[[#This Row],[DateOpened]],TODAY()))-1,ABS(NETWORKDAYS(Proc[[#This Row],[DateOpened]],Proc[[#This Row],[DateClosed]]))-1)</f>
        <v>1</v>
      </c>
      <c r="R1034" s="74" t="s">
        <v>489</v>
      </c>
      <c r="S1034" s="69"/>
    </row>
    <row r="1035" spans="1:19" hidden="1">
      <c r="A1035" s="72" t="s">
        <v>2633</v>
      </c>
      <c r="B1035" s="149" t="str">
        <f>IFERROR(VLOOKUP(Proc[[#This Row],[App]],Table2[],3,0),"open")</f>
        <v>ok</v>
      </c>
      <c r="C1035" s="72" t="s">
        <v>369</v>
      </c>
      <c r="D1035" s="72" t="s">
        <v>2642</v>
      </c>
      <c r="E1035" s="72" t="s">
        <v>1830</v>
      </c>
      <c r="F1035" s="117" t="s">
        <v>1830</v>
      </c>
      <c r="G1035" s="72" t="s">
        <v>400</v>
      </c>
      <c r="H1035" s="69" t="str">
        <f>IF(Proc[[#This Row],[type]]="LFF (MDG-F)",MID(Proc[[#This Row],[Obj]],13,10),"")</f>
        <v/>
      </c>
      <c r="J1035" s="69" t="b">
        <f>Proc[[#This Row],[Requested]]=Proc[[#This Row],[CurrentParent]]</f>
        <v>1</v>
      </c>
      <c r="K1035" s="144" t="str">
        <f>IF(Proc[[#This Row],[Author]]="Marcela Urrego",VLOOKUP(LEFT(Proc[[#This Row],[Requested]],1),Table3[#All],2,0),VLOOKUP(Proc[[#This Row],[Author]],Table4[],2,0))</f>
        <v>LS</v>
      </c>
      <c r="L1035" s="69" t="s">
        <v>2563</v>
      </c>
      <c r="M1035" s="74">
        <v>45756.504537037035</v>
      </c>
      <c r="N1035" s="77">
        <v>45757</v>
      </c>
      <c r="O1035" s="77">
        <v>45757</v>
      </c>
      <c r="P1035" s="74" t="str">
        <f ca="1">IF(Proc[[#This Row],[DaysAgeing]]&gt;5,"yep","on track")</f>
        <v>on track</v>
      </c>
      <c r="Q1035" s="3">
        <f ca="1">IF(Proc[[#This Row],[DateClosed]]="",ABS(NETWORKDAYS(Proc[[#This Row],[DateOpened]],TODAY()))-1,ABS(NETWORKDAYS(Proc[[#This Row],[DateOpened]],Proc[[#This Row],[DateClosed]]))-1)</f>
        <v>1</v>
      </c>
      <c r="R1035" s="74" t="s">
        <v>489</v>
      </c>
      <c r="S1035" s="69"/>
    </row>
    <row r="1036" spans="1:19" hidden="1">
      <c r="A1036" s="72" t="s">
        <v>2633</v>
      </c>
      <c r="B1036" s="149" t="str">
        <f>IFERROR(VLOOKUP(Proc[[#This Row],[App]],Table2[],3,0),"open")</f>
        <v>ok</v>
      </c>
      <c r="C1036" s="72" t="s">
        <v>369</v>
      </c>
      <c r="D1036" s="72" t="s">
        <v>2643</v>
      </c>
      <c r="E1036" s="72" t="s">
        <v>1830</v>
      </c>
      <c r="F1036" s="117" t="s">
        <v>1830</v>
      </c>
      <c r="G1036" s="72" t="s">
        <v>400</v>
      </c>
      <c r="H1036" s="69" t="str">
        <f>IF(Proc[[#This Row],[type]]="LFF (MDG-F)",MID(Proc[[#This Row],[Obj]],13,10),"")</f>
        <v/>
      </c>
      <c r="J1036" s="69" t="b">
        <f>Proc[[#This Row],[Requested]]=Proc[[#This Row],[CurrentParent]]</f>
        <v>1</v>
      </c>
      <c r="K1036" s="144" t="str">
        <f>IF(Proc[[#This Row],[Author]]="Marcela Urrego",VLOOKUP(LEFT(Proc[[#This Row],[Requested]],1),Table3[#All],2,0),VLOOKUP(Proc[[#This Row],[Author]],Table4[],2,0))</f>
        <v>LS</v>
      </c>
      <c r="L1036" s="69" t="s">
        <v>2563</v>
      </c>
      <c r="M1036" s="74">
        <v>45756.504537037035</v>
      </c>
      <c r="N1036" s="77">
        <v>45757</v>
      </c>
      <c r="O1036" s="77">
        <v>45757</v>
      </c>
      <c r="P1036" s="74" t="str">
        <f ca="1">IF(Proc[[#This Row],[DaysAgeing]]&gt;5,"yep","on track")</f>
        <v>on track</v>
      </c>
      <c r="Q1036" s="3">
        <f ca="1">IF(Proc[[#This Row],[DateClosed]]="",ABS(NETWORKDAYS(Proc[[#This Row],[DateOpened]],TODAY()))-1,ABS(NETWORKDAYS(Proc[[#This Row],[DateOpened]],Proc[[#This Row],[DateClosed]]))-1)</f>
        <v>1</v>
      </c>
      <c r="R1036" s="74" t="s">
        <v>489</v>
      </c>
      <c r="S1036" s="69"/>
    </row>
    <row r="1037" spans="1:19" hidden="1">
      <c r="A1037" s="72" t="s">
        <v>2633</v>
      </c>
      <c r="B1037" s="149" t="str">
        <f>IFERROR(VLOOKUP(Proc[[#This Row],[App]],Table2[],3,0),"open")</f>
        <v>ok</v>
      </c>
      <c r="C1037" s="72" t="s">
        <v>369</v>
      </c>
      <c r="D1037" s="72" t="s">
        <v>2644</v>
      </c>
      <c r="E1037" s="72" t="s">
        <v>1830</v>
      </c>
      <c r="F1037" s="117" t="s">
        <v>1830</v>
      </c>
      <c r="G1037" s="72" t="s">
        <v>400</v>
      </c>
      <c r="H1037" s="69" t="str">
        <f>IF(Proc[[#This Row],[type]]="LFF (MDG-F)",MID(Proc[[#This Row],[Obj]],13,10),"")</f>
        <v/>
      </c>
      <c r="J1037" s="69" t="b">
        <f>Proc[[#This Row],[Requested]]=Proc[[#This Row],[CurrentParent]]</f>
        <v>1</v>
      </c>
      <c r="K1037" s="144" t="str">
        <f>IF(Proc[[#This Row],[Author]]="Marcela Urrego",VLOOKUP(LEFT(Proc[[#This Row],[Requested]],1),Table3[#All],2,0),VLOOKUP(Proc[[#This Row],[Author]],Table4[],2,0))</f>
        <v>LS</v>
      </c>
      <c r="L1037" s="69" t="s">
        <v>2563</v>
      </c>
      <c r="M1037" s="74">
        <v>45756.504537037035</v>
      </c>
      <c r="N1037" s="77">
        <v>45757</v>
      </c>
      <c r="O1037" s="77">
        <v>45757</v>
      </c>
      <c r="P1037" s="74" t="str">
        <f ca="1">IF(Proc[[#This Row],[DaysAgeing]]&gt;5,"yep","on track")</f>
        <v>on track</v>
      </c>
      <c r="Q1037" s="3">
        <f ca="1">IF(Proc[[#This Row],[DateClosed]]="",ABS(NETWORKDAYS(Proc[[#This Row],[DateOpened]],TODAY()))-1,ABS(NETWORKDAYS(Proc[[#This Row],[DateOpened]],Proc[[#This Row],[DateClosed]]))-1)</f>
        <v>1</v>
      </c>
      <c r="R1037" s="74" t="s">
        <v>489</v>
      </c>
      <c r="S1037" s="69"/>
    </row>
    <row r="1038" spans="1:19" hidden="1">
      <c r="A1038" s="72" t="s">
        <v>2633</v>
      </c>
      <c r="B1038" s="149" t="str">
        <f>IFERROR(VLOOKUP(Proc[[#This Row],[App]],Table2[],3,0),"open")</f>
        <v>ok</v>
      </c>
      <c r="C1038" s="72" t="s">
        <v>369</v>
      </c>
      <c r="D1038" s="72" t="s">
        <v>2645</v>
      </c>
      <c r="E1038" s="72" t="s">
        <v>1830</v>
      </c>
      <c r="F1038" s="117" t="s">
        <v>1830</v>
      </c>
      <c r="G1038" s="72" t="s">
        <v>400</v>
      </c>
      <c r="H1038" s="69" t="str">
        <f>IF(Proc[[#This Row],[type]]="LFF (MDG-F)",MID(Proc[[#This Row],[Obj]],13,10),"")</f>
        <v/>
      </c>
      <c r="J1038" s="69" t="b">
        <f>Proc[[#This Row],[Requested]]=Proc[[#This Row],[CurrentParent]]</f>
        <v>1</v>
      </c>
      <c r="K1038" s="144" t="str">
        <f>IF(Proc[[#This Row],[Author]]="Marcela Urrego",VLOOKUP(LEFT(Proc[[#This Row],[Requested]],1),Table3[#All],2,0),VLOOKUP(Proc[[#This Row],[Author]],Table4[],2,0))</f>
        <v>LS</v>
      </c>
      <c r="L1038" s="69" t="s">
        <v>2563</v>
      </c>
      <c r="M1038" s="74">
        <v>45756.504537037035</v>
      </c>
      <c r="N1038" s="77">
        <v>45757</v>
      </c>
      <c r="O1038" s="77">
        <v>45757</v>
      </c>
      <c r="P1038" s="74" t="str">
        <f ca="1">IF(Proc[[#This Row],[DaysAgeing]]&gt;5,"yep","on track")</f>
        <v>on track</v>
      </c>
      <c r="Q1038" s="3">
        <f ca="1">IF(Proc[[#This Row],[DateClosed]]="",ABS(NETWORKDAYS(Proc[[#This Row],[DateOpened]],TODAY()))-1,ABS(NETWORKDAYS(Proc[[#This Row],[DateOpened]],Proc[[#This Row],[DateClosed]]))-1)</f>
        <v>1</v>
      </c>
      <c r="R1038" s="74" t="s">
        <v>489</v>
      </c>
      <c r="S1038" s="69"/>
    </row>
    <row r="1039" spans="1:19" hidden="1">
      <c r="A1039" s="72" t="s">
        <v>2633</v>
      </c>
      <c r="B1039" s="149" t="str">
        <f>IFERROR(VLOOKUP(Proc[[#This Row],[App]],Table2[],3,0),"open")</f>
        <v>ok</v>
      </c>
      <c r="C1039" s="72" t="s">
        <v>369</v>
      </c>
      <c r="D1039" s="72" t="s">
        <v>2646</v>
      </c>
      <c r="E1039" s="72" t="s">
        <v>1830</v>
      </c>
      <c r="F1039" s="117" t="s">
        <v>1830</v>
      </c>
      <c r="G1039" s="72" t="s">
        <v>400</v>
      </c>
      <c r="H1039" s="69" t="str">
        <f>IF(Proc[[#This Row],[type]]="LFF (MDG-F)",MID(Proc[[#This Row],[Obj]],13,10),"")</f>
        <v/>
      </c>
      <c r="J1039" s="69" t="b">
        <f>Proc[[#This Row],[Requested]]=Proc[[#This Row],[CurrentParent]]</f>
        <v>1</v>
      </c>
      <c r="K1039" s="144" t="str">
        <f>IF(Proc[[#This Row],[Author]]="Marcela Urrego",VLOOKUP(LEFT(Proc[[#This Row],[Requested]],1),Table3[#All],2,0),VLOOKUP(Proc[[#This Row],[Author]],Table4[],2,0))</f>
        <v>LS</v>
      </c>
      <c r="L1039" s="69" t="s">
        <v>2563</v>
      </c>
      <c r="M1039" s="74">
        <v>45756.504537037035</v>
      </c>
      <c r="N1039" s="77">
        <v>45757</v>
      </c>
      <c r="O1039" s="77">
        <v>45757</v>
      </c>
      <c r="P1039" s="74" t="str">
        <f ca="1">IF(Proc[[#This Row],[DaysAgeing]]&gt;5,"yep","on track")</f>
        <v>on track</v>
      </c>
      <c r="Q1039" s="3">
        <f ca="1">IF(Proc[[#This Row],[DateClosed]]="",ABS(NETWORKDAYS(Proc[[#This Row],[DateOpened]],TODAY()))-1,ABS(NETWORKDAYS(Proc[[#This Row],[DateOpened]],Proc[[#This Row],[DateClosed]]))-1)</f>
        <v>1</v>
      </c>
      <c r="R1039" s="74" t="s">
        <v>489</v>
      </c>
      <c r="S1039" s="69"/>
    </row>
    <row r="1040" spans="1:19" hidden="1">
      <c r="A1040" s="72" t="s">
        <v>2633</v>
      </c>
      <c r="B1040" s="149" t="str">
        <f>IFERROR(VLOOKUP(Proc[[#This Row],[App]],Table2[],3,0),"open")</f>
        <v>ok</v>
      </c>
      <c r="C1040" s="72" t="s">
        <v>369</v>
      </c>
      <c r="D1040" s="72" t="s">
        <v>2647</v>
      </c>
      <c r="E1040" s="72" t="s">
        <v>1830</v>
      </c>
      <c r="F1040" s="117" t="s">
        <v>1830</v>
      </c>
      <c r="G1040" s="72" t="s">
        <v>400</v>
      </c>
      <c r="H1040" s="69" t="str">
        <f>IF(Proc[[#This Row],[type]]="LFF (MDG-F)",MID(Proc[[#This Row],[Obj]],13,10),"")</f>
        <v/>
      </c>
      <c r="J1040" s="69" t="b">
        <f>Proc[[#This Row],[Requested]]=Proc[[#This Row],[CurrentParent]]</f>
        <v>1</v>
      </c>
      <c r="K1040" s="144" t="str">
        <f>IF(Proc[[#This Row],[Author]]="Marcela Urrego",VLOOKUP(LEFT(Proc[[#This Row],[Requested]],1),Table3[#All],2,0),VLOOKUP(Proc[[#This Row],[Author]],Table4[],2,0))</f>
        <v>LS</v>
      </c>
      <c r="L1040" s="69" t="s">
        <v>2563</v>
      </c>
      <c r="M1040" s="74">
        <v>45756.504537037035</v>
      </c>
      <c r="N1040" s="77">
        <v>45757</v>
      </c>
      <c r="O1040" s="77">
        <v>45757</v>
      </c>
      <c r="P1040" s="74" t="str">
        <f ca="1">IF(Proc[[#This Row],[DaysAgeing]]&gt;5,"yep","on track")</f>
        <v>on track</v>
      </c>
      <c r="Q1040" s="3">
        <f ca="1">IF(Proc[[#This Row],[DateClosed]]="",ABS(NETWORKDAYS(Proc[[#This Row],[DateOpened]],TODAY()))-1,ABS(NETWORKDAYS(Proc[[#This Row],[DateOpened]],Proc[[#This Row],[DateClosed]]))-1)</f>
        <v>1</v>
      </c>
      <c r="R1040" s="74" t="s">
        <v>489</v>
      </c>
      <c r="S1040" s="69"/>
    </row>
    <row r="1041" spans="1:19" hidden="1">
      <c r="A1041" s="72" t="s">
        <v>2633</v>
      </c>
      <c r="B1041" s="149" t="str">
        <f>IFERROR(VLOOKUP(Proc[[#This Row],[App]],Table2[],3,0),"open")</f>
        <v>ok</v>
      </c>
      <c r="C1041" s="72" t="s">
        <v>369</v>
      </c>
      <c r="D1041" s="72" t="s">
        <v>2648</v>
      </c>
      <c r="E1041" s="72" t="s">
        <v>1830</v>
      </c>
      <c r="F1041" s="117" t="s">
        <v>1830</v>
      </c>
      <c r="G1041" s="72" t="s">
        <v>400</v>
      </c>
      <c r="H1041" s="69" t="str">
        <f>IF(Proc[[#This Row],[type]]="LFF (MDG-F)",MID(Proc[[#This Row],[Obj]],13,10),"")</f>
        <v/>
      </c>
      <c r="J1041" s="69" t="b">
        <f>Proc[[#This Row],[Requested]]=Proc[[#This Row],[CurrentParent]]</f>
        <v>1</v>
      </c>
      <c r="K1041" s="144" t="str">
        <f>IF(Proc[[#This Row],[Author]]="Marcela Urrego",VLOOKUP(LEFT(Proc[[#This Row],[Requested]],1),Table3[#All],2,0),VLOOKUP(Proc[[#This Row],[Author]],Table4[],2,0))</f>
        <v>LS</v>
      </c>
      <c r="L1041" s="69" t="s">
        <v>2563</v>
      </c>
      <c r="M1041" s="74">
        <v>45756.504537037035</v>
      </c>
      <c r="N1041" s="77">
        <v>45757</v>
      </c>
      <c r="O1041" s="77">
        <v>45757</v>
      </c>
      <c r="P1041" s="74" t="str">
        <f ca="1">IF(Proc[[#This Row],[DaysAgeing]]&gt;5,"yep","on track")</f>
        <v>on track</v>
      </c>
      <c r="Q1041" s="3">
        <f ca="1">IF(Proc[[#This Row],[DateClosed]]="",ABS(NETWORKDAYS(Proc[[#This Row],[DateOpened]],TODAY()))-1,ABS(NETWORKDAYS(Proc[[#This Row],[DateOpened]],Proc[[#This Row],[DateClosed]]))-1)</f>
        <v>1</v>
      </c>
      <c r="R1041" s="74" t="s">
        <v>489</v>
      </c>
      <c r="S1041" s="69"/>
    </row>
    <row r="1042" spans="1:19" hidden="1">
      <c r="A1042" s="72" t="s">
        <v>2633</v>
      </c>
      <c r="B1042" s="149" t="str">
        <f>IFERROR(VLOOKUP(Proc[[#This Row],[App]],Table2[],3,0),"open")</f>
        <v>ok</v>
      </c>
      <c r="C1042" s="72" t="s">
        <v>369</v>
      </c>
      <c r="D1042" s="72" t="s">
        <v>2649</v>
      </c>
      <c r="E1042" s="72" t="s">
        <v>1830</v>
      </c>
      <c r="F1042" s="117" t="s">
        <v>1830</v>
      </c>
      <c r="G1042" s="72" t="s">
        <v>400</v>
      </c>
      <c r="H1042" s="69" t="str">
        <f>IF(Proc[[#This Row],[type]]="LFF (MDG-F)",MID(Proc[[#This Row],[Obj]],13,10),"")</f>
        <v/>
      </c>
      <c r="J1042" s="69" t="b">
        <f>Proc[[#This Row],[Requested]]=Proc[[#This Row],[CurrentParent]]</f>
        <v>1</v>
      </c>
      <c r="K1042" s="144" t="str">
        <f>IF(Proc[[#This Row],[Author]]="Marcela Urrego",VLOOKUP(LEFT(Proc[[#This Row],[Requested]],1),Table3[#All],2,0),VLOOKUP(Proc[[#This Row],[Author]],Table4[],2,0))</f>
        <v>LS</v>
      </c>
      <c r="L1042" s="69" t="s">
        <v>2563</v>
      </c>
      <c r="M1042" s="74">
        <v>45756.504537037035</v>
      </c>
      <c r="N1042" s="77">
        <v>45757</v>
      </c>
      <c r="O1042" s="77">
        <v>45757</v>
      </c>
      <c r="P1042" s="74" t="str">
        <f ca="1">IF(Proc[[#This Row],[DaysAgeing]]&gt;5,"yep","on track")</f>
        <v>on track</v>
      </c>
      <c r="Q1042" s="3">
        <f ca="1">IF(Proc[[#This Row],[DateClosed]]="",ABS(NETWORKDAYS(Proc[[#This Row],[DateOpened]],TODAY()))-1,ABS(NETWORKDAYS(Proc[[#This Row],[DateOpened]],Proc[[#This Row],[DateClosed]]))-1)</f>
        <v>1</v>
      </c>
      <c r="R1042" s="74" t="s">
        <v>489</v>
      </c>
      <c r="S1042" s="69"/>
    </row>
    <row r="1043" spans="1:19" hidden="1">
      <c r="A1043" t="s">
        <v>2633</v>
      </c>
      <c r="B1043" s="149" t="str">
        <f>IFERROR(VLOOKUP(Proc[[#This Row],[App]],Table2[],3,0),"open")</f>
        <v>ok</v>
      </c>
      <c r="C1043" t="s">
        <v>369</v>
      </c>
      <c r="D1043" t="s">
        <v>2650</v>
      </c>
      <c r="E1043" t="s">
        <v>1830</v>
      </c>
      <c r="F1043" s="117" t="s">
        <v>1830</v>
      </c>
      <c r="G1043" t="s">
        <v>400</v>
      </c>
      <c r="H1043" s="69" t="str">
        <f>IF(Proc[[#This Row],[type]]="LFF (MDG-F)",MID(Proc[[#This Row],[Obj]],13,10),"")</f>
        <v/>
      </c>
      <c r="J1043" s="69" t="b">
        <f>Proc[[#This Row],[Requested]]=Proc[[#This Row],[CurrentParent]]</f>
        <v>1</v>
      </c>
      <c r="K1043" s="144" t="str">
        <f>IF(Proc[[#This Row],[Author]]="Marcela Urrego",VLOOKUP(LEFT(Proc[[#This Row],[Requested]],1),Table3[#All],2,0),VLOOKUP(Proc[[#This Row],[Author]],Table4[],2,0))</f>
        <v>LS</v>
      </c>
      <c r="L1043" s="69" t="s">
        <v>2563</v>
      </c>
      <c r="M1043" s="77">
        <v>45756.504537037035</v>
      </c>
      <c r="N1043" s="77">
        <v>45757</v>
      </c>
      <c r="O1043" s="77">
        <v>45757</v>
      </c>
      <c r="P1043" s="78" t="str">
        <f ca="1">IF(Proc[[#This Row],[DaysAgeing]]&gt;5,"yep","on track")</f>
        <v>on track</v>
      </c>
      <c r="Q1043" s="3">
        <f ca="1">IF(Proc[[#This Row],[DateClosed]]="",ABS(NETWORKDAYS(Proc[[#This Row],[DateOpened]],TODAY()))-1,ABS(NETWORKDAYS(Proc[[#This Row],[DateOpened]],Proc[[#This Row],[DateClosed]]))-1)</f>
        <v>1</v>
      </c>
      <c r="R1043" s="78" t="s">
        <v>489</v>
      </c>
      <c r="S1043" s="69"/>
    </row>
    <row r="1044" spans="1:19" hidden="1">
      <c r="A1044" t="s">
        <v>2633</v>
      </c>
      <c r="B1044" s="149" t="str">
        <f>IFERROR(VLOOKUP(Proc[[#This Row],[App]],Table2[],3,0),"open")</f>
        <v>ok</v>
      </c>
      <c r="C1044" s="72" t="s">
        <v>369</v>
      </c>
      <c r="D1044" t="s">
        <v>2651</v>
      </c>
      <c r="E1044" t="s">
        <v>1830</v>
      </c>
      <c r="F1044" s="117" t="s">
        <v>1830</v>
      </c>
      <c r="G1044" s="72" t="s">
        <v>400</v>
      </c>
      <c r="H1044" s="69" t="str">
        <f>IF(Proc[[#This Row],[type]]="LFF (MDG-F)",MID(Proc[[#This Row],[Obj]],13,10),"")</f>
        <v/>
      </c>
      <c r="J1044" s="69" t="b">
        <f>Proc[[#This Row],[Requested]]=Proc[[#This Row],[CurrentParent]]</f>
        <v>1</v>
      </c>
      <c r="K1044" s="144" t="str">
        <f>IF(Proc[[#This Row],[Author]]="Marcela Urrego",VLOOKUP(LEFT(Proc[[#This Row],[Requested]],1),Table3[#All],2,0),VLOOKUP(Proc[[#This Row],[Author]],Table4[],2,0))</f>
        <v>LS</v>
      </c>
      <c r="L1044" s="69" t="s">
        <v>2563</v>
      </c>
      <c r="M1044" s="77">
        <v>45756.504537037035</v>
      </c>
      <c r="N1044" s="77">
        <v>45757</v>
      </c>
      <c r="O1044" s="77">
        <v>45757</v>
      </c>
      <c r="P1044" s="78" t="str">
        <f ca="1">IF(Proc[[#This Row],[DaysAgeing]]&gt;5,"yep","on track")</f>
        <v>on track</v>
      </c>
      <c r="Q1044" s="3">
        <f ca="1">IF(Proc[[#This Row],[DateClosed]]="",ABS(NETWORKDAYS(Proc[[#This Row],[DateOpened]],TODAY()))-1,ABS(NETWORKDAYS(Proc[[#This Row],[DateOpened]],Proc[[#This Row],[DateClosed]]))-1)</f>
        <v>1</v>
      </c>
      <c r="R1044" s="78" t="s">
        <v>489</v>
      </c>
      <c r="S1044" s="69"/>
    </row>
    <row r="1045" spans="1:19" hidden="1">
      <c r="A1045" s="72" t="s">
        <v>2633</v>
      </c>
      <c r="B1045" s="149" t="str">
        <f>IFERROR(VLOOKUP(Proc[[#This Row],[App]],Table2[],3,0),"open")</f>
        <v>ok</v>
      </c>
      <c r="C1045" s="72" t="s">
        <v>369</v>
      </c>
      <c r="D1045" t="s">
        <v>2652</v>
      </c>
      <c r="E1045" t="s">
        <v>1830</v>
      </c>
      <c r="F1045" s="117" t="s">
        <v>1830</v>
      </c>
      <c r="G1045" s="72" t="s">
        <v>400</v>
      </c>
      <c r="H1045" s="69" t="str">
        <f>IF(Proc[[#This Row],[type]]="LFF (MDG-F)",MID(Proc[[#This Row],[Obj]],13,10),"")</f>
        <v/>
      </c>
      <c r="J1045" s="69" t="b">
        <f>Proc[[#This Row],[Requested]]=Proc[[#This Row],[CurrentParent]]</f>
        <v>1</v>
      </c>
      <c r="K1045" s="144" t="str">
        <f>IF(Proc[[#This Row],[Author]]="Marcela Urrego",VLOOKUP(LEFT(Proc[[#This Row],[Requested]],1),Table3[#All],2,0),VLOOKUP(Proc[[#This Row],[Author]],Table4[],2,0))</f>
        <v>LS</v>
      </c>
      <c r="L1045" s="69" t="s">
        <v>2563</v>
      </c>
      <c r="M1045" s="77">
        <v>45756.504537037035</v>
      </c>
      <c r="N1045" s="77">
        <v>45757</v>
      </c>
      <c r="O1045" s="77">
        <v>45757</v>
      </c>
      <c r="P1045" s="78" t="str">
        <f ca="1">IF(Proc[[#This Row],[DaysAgeing]]&gt;5,"yep","on track")</f>
        <v>on track</v>
      </c>
      <c r="Q1045" s="3">
        <f ca="1">IF(Proc[[#This Row],[DateClosed]]="",ABS(NETWORKDAYS(Proc[[#This Row],[DateOpened]],TODAY()))-1,ABS(NETWORKDAYS(Proc[[#This Row],[DateOpened]],Proc[[#This Row],[DateClosed]]))-1)</f>
        <v>1</v>
      </c>
      <c r="R1045" s="78" t="s">
        <v>489</v>
      </c>
      <c r="S1045" s="69"/>
    </row>
    <row r="1046" spans="1:19" hidden="1">
      <c r="A1046" t="s">
        <v>2633</v>
      </c>
      <c r="B1046" s="149" t="str">
        <f>IFERROR(VLOOKUP(Proc[[#This Row],[App]],Table2[],3,0),"open")</f>
        <v>ok</v>
      </c>
      <c r="C1046" s="72" t="s">
        <v>369</v>
      </c>
      <c r="D1046" t="s">
        <v>2653</v>
      </c>
      <c r="E1046" t="s">
        <v>1830</v>
      </c>
      <c r="F1046" s="117" t="s">
        <v>1830</v>
      </c>
      <c r="G1046" s="72" t="s">
        <v>400</v>
      </c>
      <c r="H1046" s="69" t="str">
        <f>IF(Proc[[#This Row],[type]]="LFF (MDG-F)",MID(Proc[[#This Row],[Obj]],13,10),"")</f>
        <v/>
      </c>
      <c r="J1046" s="69" t="b">
        <f>Proc[[#This Row],[Requested]]=Proc[[#This Row],[CurrentParent]]</f>
        <v>1</v>
      </c>
      <c r="K1046" s="144" t="str">
        <f>IF(Proc[[#This Row],[Author]]="Marcela Urrego",VLOOKUP(LEFT(Proc[[#This Row],[Requested]],1),Table3[#All],2,0),VLOOKUP(Proc[[#This Row],[Author]],Table4[],2,0))</f>
        <v>LS</v>
      </c>
      <c r="L1046" s="69" t="s">
        <v>2563</v>
      </c>
      <c r="M1046" s="77">
        <v>45756.504537037035</v>
      </c>
      <c r="N1046" s="77">
        <v>45757</v>
      </c>
      <c r="O1046" s="77">
        <v>45757</v>
      </c>
      <c r="P1046" s="78" t="str">
        <f ca="1">IF(Proc[[#This Row],[DaysAgeing]]&gt;5,"yep","on track")</f>
        <v>on track</v>
      </c>
      <c r="Q1046" s="3">
        <f ca="1">IF(Proc[[#This Row],[DateClosed]]="",ABS(NETWORKDAYS(Proc[[#This Row],[DateOpened]],TODAY()))-1,ABS(NETWORKDAYS(Proc[[#This Row],[DateOpened]],Proc[[#This Row],[DateClosed]]))-1)</f>
        <v>1</v>
      </c>
      <c r="R1046" s="78" t="s">
        <v>489</v>
      </c>
      <c r="S1046" s="69"/>
    </row>
    <row r="1047" spans="1:19" hidden="1">
      <c r="A1047" t="s">
        <v>2633</v>
      </c>
      <c r="B1047" s="149" t="str">
        <f>IFERROR(VLOOKUP(Proc[[#This Row],[App]],Table2[],3,0),"open")</f>
        <v>ok</v>
      </c>
      <c r="C1047" s="72" t="s">
        <v>369</v>
      </c>
      <c r="D1047" t="s">
        <v>2654</v>
      </c>
      <c r="E1047" t="s">
        <v>1830</v>
      </c>
      <c r="F1047" s="117" t="s">
        <v>1830</v>
      </c>
      <c r="G1047" s="72" t="s">
        <v>400</v>
      </c>
      <c r="H1047" s="69" t="str">
        <f>IF(Proc[[#This Row],[type]]="LFF (MDG-F)",MID(Proc[[#This Row],[Obj]],13,10),"")</f>
        <v/>
      </c>
      <c r="J1047" s="69" t="b">
        <f>Proc[[#This Row],[Requested]]=Proc[[#This Row],[CurrentParent]]</f>
        <v>1</v>
      </c>
      <c r="K1047" s="144" t="str">
        <f>IF(Proc[[#This Row],[Author]]="Marcela Urrego",VLOOKUP(LEFT(Proc[[#This Row],[Requested]],1),Table3[#All],2,0),VLOOKUP(Proc[[#This Row],[Author]],Table4[],2,0))</f>
        <v>LS</v>
      </c>
      <c r="L1047" s="69" t="s">
        <v>2563</v>
      </c>
      <c r="M1047" s="77">
        <v>45756.504537037035</v>
      </c>
      <c r="N1047" s="77">
        <v>45757</v>
      </c>
      <c r="O1047" s="77">
        <v>45757</v>
      </c>
      <c r="P1047" s="78" t="str">
        <f ca="1">IF(Proc[[#This Row],[DaysAgeing]]&gt;5,"yep","on track")</f>
        <v>on track</v>
      </c>
      <c r="Q1047" s="3">
        <f ca="1">IF(Proc[[#This Row],[DateClosed]]="",ABS(NETWORKDAYS(Proc[[#This Row],[DateOpened]],TODAY()))-1,ABS(NETWORKDAYS(Proc[[#This Row],[DateOpened]],Proc[[#This Row],[DateClosed]]))-1)</f>
        <v>1</v>
      </c>
      <c r="R1047" s="78" t="s">
        <v>489</v>
      </c>
      <c r="S1047" s="69"/>
    </row>
    <row r="1048" spans="1:19" hidden="1">
      <c r="A1048" t="s">
        <v>2633</v>
      </c>
      <c r="B1048" s="149" t="str">
        <f>IFERROR(VLOOKUP(Proc[[#This Row],[App]],Table2[],3,0),"open")</f>
        <v>ok</v>
      </c>
      <c r="C1048" s="72" t="s">
        <v>369</v>
      </c>
      <c r="D1048" t="s">
        <v>2655</v>
      </c>
      <c r="E1048" s="72" t="s">
        <v>1830</v>
      </c>
      <c r="F1048" s="117" t="s">
        <v>1830</v>
      </c>
      <c r="G1048" s="72" t="s">
        <v>400</v>
      </c>
      <c r="H1048" s="69" t="str">
        <f>IF(Proc[[#This Row],[type]]="LFF (MDG-F)",MID(Proc[[#This Row],[Obj]],13,10),"")</f>
        <v/>
      </c>
      <c r="J1048" s="69" t="b">
        <f>Proc[[#This Row],[Requested]]=Proc[[#This Row],[CurrentParent]]</f>
        <v>1</v>
      </c>
      <c r="K1048" s="144" t="str">
        <f>IF(Proc[[#This Row],[Author]]="Marcela Urrego",VLOOKUP(LEFT(Proc[[#This Row],[Requested]],1),Table3[#All],2,0),VLOOKUP(Proc[[#This Row],[Author]],Table4[],2,0))</f>
        <v>LS</v>
      </c>
      <c r="L1048" s="69" t="s">
        <v>2563</v>
      </c>
      <c r="M1048" s="78">
        <v>45756.504537037035</v>
      </c>
      <c r="N1048" s="78">
        <v>45757</v>
      </c>
      <c r="O1048" s="78">
        <v>45757</v>
      </c>
      <c r="P1048" s="78" t="str">
        <f ca="1">IF(Proc[[#This Row],[DaysAgeing]]&gt;5,"yep","on track")</f>
        <v>on track</v>
      </c>
      <c r="Q1048" s="3">
        <f ca="1">IF(Proc[[#This Row],[DateClosed]]="",ABS(NETWORKDAYS(Proc[[#This Row],[DateOpened]],TODAY()))-1,ABS(NETWORKDAYS(Proc[[#This Row],[DateOpened]],Proc[[#This Row],[DateClosed]]))-1)</f>
        <v>1</v>
      </c>
      <c r="R1048" s="78" t="s">
        <v>489</v>
      </c>
      <c r="S1048" s="69"/>
    </row>
    <row r="1049" spans="1:19" hidden="1">
      <c r="A1049" s="72" t="s">
        <v>2633</v>
      </c>
      <c r="B1049" s="149" t="str">
        <f>IFERROR(VLOOKUP(Proc[[#This Row],[App]],Table2[],3,0),"open")</f>
        <v>ok</v>
      </c>
      <c r="C1049" s="72" t="s">
        <v>369</v>
      </c>
      <c r="D1049" t="s">
        <v>2656</v>
      </c>
      <c r="E1049" s="72" t="s">
        <v>1830</v>
      </c>
      <c r="F1049" s="117" t="s">
        <v>1830</v>
      </c>
      <c r="G1049" s="72" t="s">
        <v>400</v>
      </c>
      <c r="H1049" s="69" t="str">
        <f>IF(Proc[[#This Row],[type]]="LFF (MDG-F)",MID(Proc[[#This Row],[Obj]],13,10),"")</f>
        <v/>
      </c>
      <c r="J1049" s="69" t="b">
        <f>Proc[[#This Row],[Requested]]=Proc[[#This Row],[CurrentParent]]</f>
        <v>1</v>
      </c>
      <c r="K1049" s="144" t="str">
        <f>IF(Proc[[#This Row],[Author]]="Marcela Urrego",VLOOKUP(LEFT(Proc[[#This Row],[Requested]],1),Table3[#All],2,0),VLOOKUP(Proc[[#This Row],[Author]],Table4[],2,0))</f>
        <v>LS</v>
      </c>
      <c r="L1049" s="69" t="s">
        <v>2563</v>
      </c>
      <c r="M1049" s="78">
        <v>45756.504537037035</v>
      </c>
      <c r="N1049" s="78">
        <v>45757</v>
      </c>
      <c r="O1049" s="78">
        <v>45757</v>
      </c>
      <c r="P1049" s="78" t="str">
        <f ca="1">IF(Proc[[#This Row],[DaysAgeing]]&gt;5,"yep","on track")</f>
        <v>on track</v>
      </c>
      <c r="Q1049" s="3">
        <f ca="1">IF(Proc[[#This Row],[DateClosed]]="",ABS(NETWORKDAYS(Proc[[#This Row],[DateOpened]],TODAY()))-1,ABS(NETWORKDAYS(Proc[[#This Row],[DateOpened]],Proc[[#This Row],[DateClosed]]))-1)</f>
        <v>1</v>
      </c>
      <c r="R1049" s="78" t="s">
        <v>489</v>
      </c>
      <c r="S1049" s="69"/>
    </row>
    <row r="1050" spans="1:19" hidden="1">
      <c r="A1050" s="72" t="s">
        <v>2633</v>
      </c>
      <c r="B1050" s="149" t="str">
        <f>IFERROR(VLOOKUP(Proc[[#This Row],[App]],Table2[],3,0),"open")</f>
        <v>ok</v>
      </c>
      <c r="C1050" s="72" t="s">
        <v>369</v>
      </c>
      <c r="D1050" t="s">
        <v>2657</v>
      </c>
      <c r="E1050" t="s">
        <v>1830</v>
      </c>
      <c r="F1050" s="117" t="s">
        <v>1830</v>
      </c>
      <c r="G1050" s="72" t="s">
        <v>400</v>
      </c>
      <c r="H1050" s="69" t="str">
        <f>IF(Proc[[#This Row],[type]]="LFF (MDG-F)",MID(Proc[[#This Row],[Obj]],13,10),"")</f>
        <v/>
      </c>
      <c r="J1050" s="69" t="b">
        <f>Proc[[#This Row],[Requested]]=Proc[[#This Row],[CurrentParent]]</f>
        <v>1</v>
      </c>
      <c r="K1050" s="144" t="str">
        <f>IF(Proc[[#This Row],[Author]]="Marcela Urrego",VLOOKUP(LEFT(Proc[[#This Row],[Requested]],1),Table3[#All],2,0),VLOOKUP(Proc[[#This Row],[Author]],Table4[],2,0))</f>
        <v>LS</v>
      </c>
      <c r="L1050" s="69" t="s">
        <v>2563</v>
      </c>
      <c r="M1050" s="78">
        <v>45756.504537037035</v>
      </c>
      <c r="N1050" s="78">
        <v>45757</v>
      </c>
      <c r="O1050" s="78">
        <v>45757</v>
      </c>
      <c r="P1050" s="78" t="str">
        <f ca="1">IF(Proc[[#This Row],[DaysAgeing]]&gt;5,"yep","on track")</f>
        <v>on track</v>
      </c>
      <c r="Q1050" s="3">
        <f ca="1">IF(Proc[[#This Row],[DateClosed]]="",ABS(NETWORKDAYS(Proc[[#This Row],[DateOpened]],TODAY()))-1,ABS(NETWORKDAYS(Proc[[#This Row],[DateOpened]],Proc[[#This Row],[DateClosed]]))-1)</f>
        <v>1</v>
      </c>
      <c r="R1050" s="78" t="s">
        <v>489</v>
      </c>
      <c r="S1050" s="69"/>
    </row>
    <row r="1051" spans="1:19" hidden="1">
      <c r="A1051" s="72" t="s">
        <v>2633</v>
      </c>
      <c r="B1051" s="149" t="str">
        <f>IFERROR(VLOOKUP(Proc[[#This Row],[App]],Table2[],3,0),"open")</f>
        <v>ok</v>
      </c>
      <c r="C1051" t="s">
        <v>369</v>
      </c>
      <c r="D1051" t="s">
        <v>2658</v>
      </c>
      <c r="E1051" t="s">
        <v>1830</v>
      </c>
      <c r="F1051" s="117" t="s">
        <v>1830</v>
      </c>
      <c r="G1051" s="72" t="s">
        <v>400</v>
      </c>
      <c r="H1051" s="69" t="str">
        <f>IF(Proc[[#This Row],[type]]="LFF (MDG-F)",MID(Proc[[#This Row],[Obj]],13,10),"")</f>
        <v/>
      </c>
      <c r="J1051" s="69" t="b">
        <f>Proc[[#This Row],[Requested]]=Proc[[#This Row],[CurrentParent]]</f>
        <v>1</v>
      </c>
      <c r="K1051" s="144" t="str">
        <f>IF(Proc[[#This Row],[Author]]="Marcela Urrego",VLOOKUP(LEFT(Proc[[#This Row],[Requested]],1),Table3[#All],2,0),VLOOKUP(Proc[[#This Row],[Author]],Table4[],2,0))</f>
        <v>LS</v>
      </c>
      <c r="L1051" s="69" t="s">
        <v>2563</v>
      </c>
      <c r="M1051" s="78">
        <v>45756.504537037035</v>
      </c>
      <c r="N1051" s="78">
        <v>45757</v>
      </c>
      <c r="O1051" s="78">
        <v>45757</v>
      </c>
      <c r="P1051" s="78" t="str">
        <f ca="1">IF(Proc[[#This Row],[DaysAgeing]]&gt;5,"yep","on track")</f>
        <v>on track</v>
      </c>
      <c r="Q1051" s="3">
        <f ca="1">IF(Proc[[#This Row],[DateClosed]]="",ABS(NETWORKDAYS(Proc[[#This Row],[DateOpened]],TODAY()))-1,ABS(NETWORKDAYS(Proc[[#This Row],[DateOpened]],Proc[[#This Row],[DateClosed]]))-1)</f>
        <v>1</v>
      </c>
      <c r="R1051" s="78" t="s">
        <v>489</v>
      </c>
      <c r="S1051" s="69"/>
    </row>
    <row r="1052" spans="1:19" hidden="1">
      <c r="A1052" t="s">
        <v>2633</v>
      </c>
      <c r="B1052" s="149" t="str">
        <f>IFERROR(VLOOKUP(Proc[[#This Row],[App]],Table2[],3,0),"open")</f>
        <v>ok</v>
      </c>
      <c r="C1052" s="72" t="s">
        <v>369</v>
      </c>
      <c r="D1052" t="s">
        <v>2659</v>
      </c>
      <c r="E1052" t="s">
        <v>1830</v>
      </c>
      <c r="F1052" s="117" t="s">
        <v>1830</v>
      </c>
      <c r="G1052" s="72" t="s">
        <v>400</v>
      </c>
      <c r="H1052" s="69" t="str">
        <f>IF(Proc[[#This Row],[type]]="LFF (MDG-F)",MID(Proc[[#This Row],[Obj]],13,10),"")</f>
        <v/>
      </c>
      <c r="J1052" s="69" t="b">
        <f>Proc[[#This Row],[Requested]]=Proc[[#This Row],[CurrentParent]]</f>
        <v>1</v>
      </c>
      <c r="K1052" s="144" t="str">
        <f>IF(Proc[[#This Row],[Author]]="Marcela Urrego",VLOOKUP(LEFT(Proc[[#This Row],[Requested]],1),Table3[#All],2,0),VLOOKUP(Proc[[#This Row],[Author]],Table4[],2,0))</f>
        <v>LS</v>
      </c>
      <c r="L1052" s="69" t="s">
        <v>2563</v>
      </c>
      <c r="M1052" s="78">
        <v>45756.504537037035</v>
      </c>
      <c r="N1052" s="78">
        <v>45757</v>
      </c>
      <c r="O1052" s="78">
        <v>45757</v>
      </c>
      <c r="P1052" s="78" t="str">
        <f ca="1">IF(Proc[[#This Row],[DaysAgeing]]&gt;5,"yep","on track")</f>
        <v>on track</v>
      </c>
      <c r="Q1052" s="3">
        <f ca="1">IF(Proc[[#This Row],[DateClosed]]="",ABS(NETWORKDAYS(Proc[[#This Row],[DateOpened]],TODAY()))-1,ABS(NETWORKDAYS(Proc[[#This Row],[DateOpened]],Proc[[#This Row],[DateClosed]]))-1)</f>
        <v>1</v>
      </c>
      <c r="R1052" s="78" t="s">
        <v>489</v>
      </c>
      <c r="S1052" s="69"/>
    </row>
    <row r="1053" spans="1:19" hidden="1">
      <c r="A1053" t="s">
        <v>2661</v>
      </c>
      <c r="B1053" s="149" t="str">
        <f>IFERROR(VLOOKUP(Proc[[#This Row],[App]],Table2[],3,0),"open")</f>
        <v>ok</v>
      </c>
      <c r="C1053" s="72" t="s">
        <v>369</v>
      </c>
      <c r="D1053" t="s">
        <v>2683</v>
      </c>
      <c r="E1053" t="s">
        <v>2660</v>
      </c>
      <c r="F1053" s="117" t="s">
        <v>2660</v>
      </c>
      <c r="G1053" s="72" t="s">
        <v>406</v>
      </c>
      <c r="H1053" s="69" t="str">
        <f>IF(Proc[[#This Row],[type]]="LFF (MDG-F)",MID(Proc[[#This Row],[Obj]],13,10),"")</f>
        <v>2029C01022</v>
      </c>
      <c r="I1053" t="s">
        <v>2672</v>
      </c>
      <c r="J1053" s="69" t="b">
        <f>Proc[[#This Row],[Requested]]=Proc[[#This Row],[CurrentParent]]</f>
        <v>1</v>
      </c>
      <c r="K1053" s="144" t="str">
        <f>IF(Proc[[#This Row],[Author]]="Marcela Urrego",VLOOKUP(LEFT(Proc[[#This Row],[Requested]],1),Table3[#All],2,0),VLOOKUP(Proc[[#This Row],[Author]],Table4[],2,0))</f>
        <v>MGF</v>
      </c>
      <c r="L1053" s="69" t="s">
        <v>2563</v>
      </c>
      <c r="M1053" s="78">
        <v>45756.958229166667</v>
      </c>
      <c r="N1053" s="78">
        <v>45758</v>
      </c>
      <c r="O1053" s="78">
        <v>45758</v>
      </c>
      <c r="P1053" s="78" t="str">
        <f ca="1">IF(Proc[[#This Row],[DaysAgeing]]&gt;5,"yep","on track")</f>
        <v>on track</v>
      </c>
      <c r="Q1053" s="3">
        <f ca="1">IF(Proc[[#This Row],[DateClosed]]="",ABS(NETWORKDAYS(Proc[[#This Row],[DateOpened]],TODAY()))-1,ABS(NETWORKDAYS(Proc[[#This Row],[DateOpened]],Proc[[#This Row],[DateClosed]]))-1)</f>
        <v>2</v>
      </c>
      <c r="R1053" s="78" t="s">
        <v>2662</v>
      </c>
      <c r="S1053" s="69"/>
    </row>
    <row r="1054" spans="1:19" hidden="1">
      <c r="A1054" t="s">
        <v>2688</v>
      </c>
      <c r="B1054" s="149" t="str">
        <f>IFERROR(VLOOKUP(Proc[[#This Row],[App]],Table2[],3,0),"open")</f>
        <v>ok</v>
      </c>
      <c r="C1054" t="s">
        <v>369</v>
      </c>
      <c r="D1054" t="s">
        <v>2713</v>
      </c>
      <c r="E1054" t="s">
        <v>2687</v>
      </c>
      <c r="F1054" s="117" t="s">
        <v>2687</v>
      </c>
      <c r="G1054" s="72" t="s">
        <v>400</v>
      </c>
      <c r="H1054" s="69" t="str">
        <f>IF(Proc[[#This Row],[type]]="LFF (MDG-F)",MID(Proc[[#This Row],[Obj]],13,10),"")</f>
        <v/>
      </c>
      <c r="J1054" s="69" t="b">
        <f>Proc[[#This Row],[Requested]]=Proc[[#This Row],[CurrentParent]]</f>
        <v>1</v>
      </c>
      <c r="K1054" s="144" t="str">
        <f>IF(Proc[[#This Row],[Author]]="Marcela Urrego",VLOOKUP(LEFT(Proc[[#This Row],[Requested]],1),Table3[#All],2,0),VLOOKUP(Proc[[#This Row],[Author]],Table4[],2,0))</f>
        <v>HC</v>
      </c>
      <c r="L1054" s="69" t="s">
        <v>2563</v>
      </c>
      <c r="M1054" s="79">
        <v>45758.372824074075</v>
      </c>
      <c r="N1054" s="79">
        <v>45761</v>
      </c>
      <c r="O1054" s="79">
        <v>45761</v>
      </c>
      <c r="P1054" s="80" t="str">
        <f ca="1">IF(Proc[[#This Row],[DaysAgeing]]&gt;5,"yep","on track")</f>
        <v>on track</v>
      </c>
      <c r="Q1054" s="3">
        <f ca="1">IF(Proc[[#This Row],[DateClosed]]="",ABS(NETWORKDAYS(Proc[[#This Row],[DateOpened]],TODAY()))-1,ABS(NETWORKDAYS(Proc[[#This Row],[DateOpened]],Proc[[#This Row],[DateClosed]]))-1)</f>
        <v>1</v>
      </c>
      <c r="R1054" s="80" t="s">
        <v>478</v>
      </c>
      <c r="S1054" s="69"/>
    </row>
    <row r="1055" spans="1:19" hidden="1">
      <c r="A1055" t="s">
        <v>2692</v>
      </c>
      <c r="B1055" s="149" t="str">
        <f>IFERROR(VLOOKUP(Proc[[#This Row],[App]],Table2[],3,0),"open")</f>
        <v>ok</v>
      </c>
      <c r="C1055" s="72" t="s">
        <v>369</v>
      </c>
      <c r="D1055" t="s">
        <v>2689</v>
      </c>
      <c r="E1055" t="s">
        <v>2373</v>
      </c>
      <c r="F1055" s="117" t="s">
        <v>2373</v>
      </c>
      <c r="G1055" s="72" t="s">
        <v>400</v>
      </c>
      <c r="H1055" s="69" t="str">
        <f>IF(Proc[[#This Row],[type]]="LFF (MDG-F)",MID(Proc[[#This Row],[Obj]],13,10),"")</f>
        <v/>
      </c>
      <c r="J1055" s="69" t="b">
        <f>Proc[[#This Row],[Requested]]=Proc[[#This Row],[CurrentParent]]</f>
        <v>1</v>
      </c>
      <c r="K1055" s="144" t="str">
        <f>IF(Proc[[#This Row],[Author]]="Marcela Urrego",VLOOKUP(LEFT(Proc[[#This Row],[Requested]],1),Table3[#All],2,0),VLOOKUP(Proc[[#This Row],[Author]],Table4[],2,0))</f>
        <v>LS</v>
      </c>
      <c r="L1055" s="69" t="s">
        <v>2563</v>
      </c>
      <c r="M1055" s="79">
        <v>45758.358437499999</v>
      </c>
      <c r="N1055" s="79">
        <v>45761</v>
      </c>
      <c r="O1055" s="79">
        <v>45761</v>
      </c>
      <c r="P1055" s="80" t="str">
        <f ca="1">IF(Proc[[#This Row],[DaysAgeing]]&gt;5,"yep","on track")</f>
        <v>on track</v>
      </c>
      <c r="Q1055" s="3">
        <f ca="1">IF(Proc[[#This Row],[DateClosed]]="",ABS(NETWORKDAYS(Proc[[#This Row],[DateOpened]],TODAY()))-1,ABS(NETWORKDAYS(Proc[[#This Row],[DateOpened]],Proc[[#This Row],[DateClosed]]))-1)</f>
        <v>1</v>
      </c>
      <c r="R1055" s="80" t="s">
        <v>830</v>
      </c>
      <c r="S1055" s="69"/>
    </row>
    <row r="1056" spans="1:19" hidden="1">
      <c r="A1056" s="72" t="s">
        <v>2692</v>
      </c>
      <c r="B1056" s="149" t="str">
        <f>IFERROR(VLOOKUP(Proc[[#This Row],[App]],Table2[],3,0),"open")</f>
        <v>ok</v>
      </c>
      <c r="C1056" s="72" t="s">
        <v>369</v>
      </c>
      <c r="D1056" t="s">
        <v>2690</v>
      </c>
      <c r="E1056" t="s">
        <v>2691</v>
      </c>
      <c r="F1056" s="117" t="s">
        <v>2691</v>
      </c>
      <c r="G1056" s="72" t="s">
        <v>400</v>
      </c>
      <c r="H1056" s="69" t="str">
        <f>IF(Proc[[#This Row],[type]]="LFF (MDG-F)",MID(Proc[[#This Row],[Obj]],13,10),"")</f>
        <v/>
      </c>
      <c r="J1056" s="69" t="b">
        <f>Proc[[#This Row],[Requested]]=Proc[[#This Row],[CurrentParent]]</f>
        <v>1</v>
      </c>
      <c r="K1056" s="144" t="str">
        <f>IF(Proc[[#This Row],[Author]]="Marcela Urrego",VLOOKUP(LEFT(Proc[[#This Row],[Requested]],1),Table3[#All],2,0),VLOOKUP(Proc[[#This Row],[Author]],Table4[],2,0))</f>
        <v>LS</v>
      </c>
      <c r="L1056" s="69" t="s">
        <v>2563</v>
      </c>
      <c r="M1056" s="79">
        <v>45758.358437499999</v>
      </c>
      <c r="N1056" s="79">
        <v>45761</v>
      </c>
      <c r="O1056" s="79">
        <v>45761</v>
      </c>
      <c r="P1056" s="80" t="str">
        <f ca="1">IF(Proc[[#This Row],[DaysAgeing]]&gt;5,"yep","on track")</f>
        <v>on track</v>
      </c>
      <c r="Q1056" s="3">
        <f ca="1">IF(Proc[[#This Row],[DateClosed]]="",ABS(NETWORKDAYS(Proc[[#This Row],[DateOpened]],TODAY()))-1,ABS(NETWORKDAYS(Proc[[#This Row],[DateOpened]],Proc[[#This Row],[DateClosed]]))-1)</f>
        <v>1</v>
      </c>
      <c r="R1056" s="80" t="s">
        <v>830</v>
      </c>
      <c r="S1056" s="69"/>
    </row>
    <row r="1057" spans="1:19" hidden="1">
      <c r="A1057" t="s">
        <v>2711</v>
      </c>
      <c r="B1057" s="149" t="str">
        <f>IFERROR(VLOOKUP(Proc[[#This Row],[App]],Table2[],3,0),"open")</f>
        <v>ok</v>
      </c>
      <c r="C1057" s="72" t="s">
        <v>369</v>
      </c>
      <c r="D1057" t="s">
        <v>2693</v>
      </c>
      <c r="E1057" t="s">
        <v>2694</v>
      </c>
      <c r="F1057" s="117" t="s">
        <v>2694</v>
      </c>
      <c r="G1057" t="s">
        <v>406</v>
      </c>
      <c r="H1057" s="69" t="str">
        <f>IF(Proc[[#This Row],[type]]="LFF (MDG-F)",MID(Proc[[#This Row],[Obj]],13,10),"")</f>
        <v>DE10N12380</v>
      </c>
      <c r="I1057" t="s">
        <v>2714</v>
      </c>
      <c r="J1057" s="69" t="b">
        <f>Proc[[#This Row],[Requested]]=Proc[[#This Row],[CurrentParent]]</f>
        <v>1</v>
      </c>
      <c r="K1057" s="144" t="str">
        <f>IF(Proc[[#This Row],[Author]]="Marcela Urrego",VLOOKUP(LEFT(Proc[[#This Row],[Requested]],1),Table3[#All],2,0),VLOOKUP(Proc[[#This Row],[Author]],Table4[],2,0))</f>
        <v>MGF</v>
      </c>
      <c r="L1057" s="69" t="s">
        <v>2563</v>
      </c>
      <c r="M1057" s="79">
        <v>45757.718622685185</v>
      </c>
      <c r="N1057" s="79">
        <v>45768</v>
      </c>
      <c r="O1057" s="79">
        <v>45768</v>
      </c>
      <c r="P1057" s="80" t="str">
        <f ca="1">IF(Proc[[#This Row],[DaysAgeing]]&gt;5,"yep","on track")</f>
        <v>yep</v>
      </c>
      <c r="Q1057" s="3">
        <f ca="1">IF(Proc[[#This Row],[DateClosed]]="",ABS(NETWORKDAYS(Proc[[#This Row],[DateOpened]],TODAY()))-1,ABS(NETWORKDAYS(Proc[[#This Row],[DateOpened]],Proc[[#This Row],[DateClosed]]))-1)</f>
        <v>7</v>
      </c>
      <c r="R1057" s="80" t="s">
        <v>2712</v>
      </c>
      <c r="S1057" s="69"/>
    </row>
    <row r="1058" spans="1:19" hidden="1">
      <c r="A1058" s="72" t="s">
        <v>2711</v>
      </c>
      <c r="B1058" s="149" t="str">
        <f>IFERROR(VLOOKUP(Proc[[#This Row],[App]],Table2[],3,0),"open")</f>
        <v>ok</v>
      </c>
      <c r="C1058" s="72" t="s">
        <v>369</v>
      </c>
      <c r="D1058" t="s">
        <v>2695</v>
      </c>
      <c r="E1058" t="s">
        <v>2694</v>
      </c>
      <c r="F1058" s="117" t="s">
        <v>2694</v>
      </c>
      <c r="G1058" s="72" t="s">
        <v>406</v>
      </c>
      <c r="H1058" s="69" t="str">
        <f>IF(Proc[[#This Row],[type]]="LFF (MDG-F)",MID(Proc[[#This Row],[Obj]],13,10),"")</f>
        <v>DE10N12340</v>
      </c>
      <c r="I1058" s="72" t="s">
        <v>2714</v>
      </c>
      <c r="J1058" s="69" t="b">
        <f>Proc[[#This Row],[Requested]]=Proc[[#This Row],[CurrentParent]]</f>
        <v>1</v>
      </c>
      <c r="K1058" s="144" t="str">
        <f>IF(Proc[[#This Row],[Author]]="Marcela Urrego",VLOOKUP(LEFT(Proc[[#This Row],[Requested]],1),Table3[#All],2,0),VLOOKUP(Proc[[#This Row],[Author]],Table4[],2,0))</f>
        <v>MGF</v>
      </c>
      <c r="L1058" s="69" t="s">
        <v>2563</v>
      </c>
      <c r="M1058" s="79">
        <v>45757.718622685185</v>
      </c>
      <c r="N1058" s="79">
        <v>45768</v>
      </c>
      <c r="O1058" s="79">
        <v>45768</v>
      </c>
      <c r="P1058" s="80" t="str">
        <f ca="1">IF(Proc[[#This Row],[DaysAgeing]]&gt;5,"yep","on track")</f>
        <v>yep</v>
      </c>
      <c r="Q1058" s="3">
        <f ca="1">IF(Proc[[#This Row],[DateClosed]]="",ABS(NETWORKDAYS(Proc[[#This Row],[DateOpened]],TODAY()))-1,ABS(NETWORKDAYS(Proc[[#This Row],[DateOpened]],Proc[[#This Row],[DateClosed]]))-1)</f>
        <v>7</v>
      </c>
      <c r="R1058" s="80" t="s">
        <v>2712</v>
      </c>
      <c r="S1058" s="69"/>
    </row>
    <row r="1059" spans="1:19" hidden="1">
      <c r="A1059" s="72" t="s">
        <v>2711</v>
      </c>
      <c r="B1059" s="149" t="str">
        <f>IFERROR(VLOOKUP(Proc[[#This Row],[App]],Table2[],3,0),"open")</f>
        <v>ok</v>
      </c>
      <c r="C1059" s="72" t="s">
        <v>369</v>
      </c>
      <c r="D1059" t="s">
        <v>2696</v>
      </c>
      <c r="E1059" t="s">
        <v>2697</v>
      </c>
      <c r="F1059" s="117" t="s">
        <v>2697</v>
      </c>
      <c r="G1059" s="72" t="s">
        <v>406</v>
      </c>
      <c r="H1059" s="69" t="str">
        <f>IF(Proc[[#This Row],[type]]="LFF (MDG-F)",MID(Proc[[#This Row],[Obj]],13,10),"")</f>
        <v>DE10N11170</v>
      </c>
      <c r="I1059" s="72" t="s">
        <v>2714</v>
      </c>
      <c r="J1059" s="69" t="b">
        <f>Proc[[#This Row],[Requested]]=Proc[[#This Row],[CurrentParent]]</f>
        <v>1</v>
      </c>
      <c r="K1059" s="144" t="str">
        <f>IF(Proc[[#This Row],[Author]]="Marcela Urrego",VLOOKUP(LEFT(Proc[[#This Row],[Requested]],1),Table3[#All],2,0),VLOOKUP(Proc[[#This Row],[Author]],Table4[],2,0))</f>
        <v>MGF</v>
      </c>
      <c r="L1059" s="69" t="s">
        <v>2563</v>
      </c>
      <c r="M1059" s="79">
        <v>45757.718622685185</v>
      </c>
      <c r="N1059" s="79">
        <v>45768</v>
      </c>
      <c r="O1059" s="79">
        <v>45768</v>
      </c>
      <c r="P1059" s="80" t="str">
        <f ca="1">IF(Proc[[#This Row],[DaysAgeing]]&gt;5,"yep","on track")</f>
        <v>yep</v>
      </c>
      <c r="Q1059" s="3">
        <f ca="1">IF(Proc[[#This Row],[DateClosed]]="",ABS(NETWORKDAYS(Proc[[#This Row],[DateOpened]],TODAY()))-1,ABS(NETWORKDAYS(Proc[[#This Row],[DateOpened]],Proc[[#This Row],[DateClosed]]))-1)</f>
        <v>7</v>
      </c>
      <c r="R1059" s="80" t="s">
        <v>2712</v>
      </c>
      <c r="S1059" s="69"/>
    </row>
    <row r="1060" spans="1:19" hidden="1">
      <c r="A1060" s="72" t="s">
        <v>2711</v>
      </c>
      <c r="B1060" s="149" t="str">
        <f>IFERROR(VLOOKUP(Proc[[#This Row],[App]],Table2[],3,0),"open")</f>
        <v>ok</v>
      </c>
      <c r="C1060" s="72" t="s">
        <v>369</v>
      </c>
      <c r="D1060" t="s">
        <v>2698</v>
      </c>
      <c r="E1060" t="s">
        <v>2697</v>
      </c>
      <c r="F1060" s="117" t="s">
        <v>2697</v>
      </c>
      <c r="G1060" s="72" t="s">
        <v>406</v>
      </c>
      <c r="H1060" s="69" t="str">
        <f>IF(Proc[[#This Row],[type]]="LFF (MDG-F)",MID(Proc[[#This Row],[Obj]],13,10),"")</f>
        <v>DE10N11115</v>
      </c>
      <c r="I1060" s="72" t="s">
        <v>2714</v>
      </c>
      <c r="J1060" s="69" t="b">
        <f>Proc[[#This Row],[Requested]]=Proc[[#This Row],[CurrentParent]]</f>
        <v>1</v>
      </c>
      <c r="K1060" s="144" t="str">
        <f>IF(Proc[[#This Row],[Author]]="Marcela Urrego",VLOOKUP(LEFT(Proc[[#This Row],[Requested]],1),Table3[#All],2,0),VLOOKUP(Proc[[#This Row],[Author]],Table4[],2,0))</f>
        <v>MGF</v>
      </c>
      <c r="L1060" s="69" t="s">
        <v>2563</v>
      </c>
      <c r="M1060" s="79">
        <v>45757.718622685185</v>
      </c>
      <c r="N1060" s="79">
        <v>45768</v>
      </c>
      <c r="O1060" s="79">
        <v>45768</v>
      </c>
      <c r="P1060" s="80" t="str">
        <f ca="1">IF(Proc[[#This Row],[DaysAgeing]]&gt;5,"yep","on track")</f>
        <v>yep</v>
      </c>
      <c r="Q1060" s="3">
        <f ca="1">IF(Proc[[#This Row],[DateClosed]]="",ABS(NETWORKDAYS(Proc[[#This Row],[DateOpened]],TODAY()))-1,ABS(NETWORKDAYS(Proc[[#This Row],[DateOpened]],Proc[[#This Row],[DateClosed]]))-1)</f>
        <v>7</v>
      </c>
      <c r="R1060" s="80" t="s">
        <v>2712</v>
      </c>
      <c r="S1060" s="69"/>
    </row>
    <row r="1061" spans="1:19" hidden="1">
      <c r="A1061" s="72" t="s">
        <v>2711</v>
      </c>
      <c r="B1061" s="149" t="str">
        <f>IFERROR(VLOOKUP(Proc[[#This Row],[App]],Table2[],3,0),"open")</f>
        <v>ok</v>
      </c>
      <c r="C1061" s="72" t="s">
        <v>369</v>
      </c>
      <c r="D1061" t="s">
        <v>2699</v>
      </c>
      <c r="E1061" t="s">
        <v>2697</v>
      </c>
      <c r="F1061" s="117" t="s">
        <v>2697</v>
      </c>
      <c r="G1061" s="72" t="s">
        <v>406</v>
      </c>
      <c r="H1061" s="69" t="str">
        <f>IF(Proc[[#This Row],[type]]="LFF (MDG-F)",MID(Proc[[#This Row],[Obj]],13,10),"")</f>
        <v>DE10N11181</v>
      </c>
      <c r="I1061" s="72" t="s">
        <v>2714</v>
      </c>
      <c r="J1061" s="69" t="b">
        <f>Proc[[#This Row],[Requested]]=Proc[[#This Row],[CurrentParent]]</f>
        <v>1</v>
      </c>
      <c r="K1061" s="144" t="str">
        <f>IF(Proc[[#This Row],[Author]]="Marcela Urrego",VLOOKUP(LEFT(Proc[[#This Row],[Requested]],1),Table3[#All],2,0),VLOOKUP(Proc[[#This Row],[Author]],Table4[],2,0))</f>
        <v>MGF</v>
      </c>
      <c r="L1061" s="69" t="s">
        <v>2563</v>
      </c>
      <c r="M1061" s="79">
        <v>45757.718622685185</v>
      </c>
      <c r="N1061" s="79">
        <v>45768</v>
      </c>
      <c r="O1061" s="79">
        <v>45768</v>
      </c>
      <c r="P1061" s="80" t="str">
        <f ca="1">IF(Proc[[#This Row],[DaysAgeing]]&gt;5,"yep","on track")</f>
        <v>yep</v>
      </c>
      <c r="Q1061" s="3">
        <f ca="1">IF(Proc[[#This Row],[DateClosed]]="",ABS(NETWORKDAYS(Proc[[#This Row],[DateOpened]],TODAY()))-1,ABS(NETWORKDAYS(Proc[[#This Row],[DateOpened]],Proc[[#This Row],[DateClosed]]))-1)</f>
        <v>7</v>
      </c>
      <c r="R1061" s="80" t="s">
        <v>2712</v>
      </c>
      <c r="S1061" s="69"/>
    </row>
    <row r="1062" spans="1:19" hidden="1">
      <c r="A1062" s="72" t="s">
        <v>2711</v>
      </c>
      <c r="B1062" s="149" t="str">
        <f>IFERROR(VLOOKUP(Proc[[#This Row],[App]],Table2[],3,0),"open")</f>
        <v>ok</v>
      </c>
      <c r="C1062" s="72" t="s">
        <v>369</v>
      </c>
      <c r="D1062" t="s">
        <v>2700</v>
      </c>
      <c r="E1062" t="s">
        <v>2697</v>
      </c>
      <c r="F1062" s="117" t="s">
        <v>2697</v>
      </c>
      <c r="G1062" s="72" t="s">
        <v>406</v>
      </c>
      <c r="H1062" s="69" t="str">
        <f>IF(Proc[[#This Row],[type]]="LFF (MDG-F)",MID(Proc[[#This Row],[Obj]],13,10),"")</f>
        <v>DE10N11160</v>
      </c>
      <c r="I1062" s="72" t="s">
        <v>2714</v>
      </c>
      <c r="J1062" s="69" t="b">
        <f>Proc[[#This Row],[Requested]]=Proc[[#This Row],[CurrentParent]]</f>
        <v>1</v>
      </c>
      <c r="K1062" s="144" t="str">
        <f>IF(Proc[[#This Row],[Author]]="Marcela Urrego",VLOOKUP(LEFT(Proc[[#This Row],[Requested]],1),Table3[#All],2,0),VLOOKUP(Proc[[#This Row],[Author]],Table4[],2,0))</f>
        <v>MGF</v>
      </c>
      <c r="L1062" s="69" t="s">
        <v>2563</v>
      </c>
      <c r="M1062" s="79">
        <v>45757.718622685185</v>
      </c>
      <c r="N1062" s="79">
        <v>45768</v>
      </c>
      <c r="O1062" s="79">
        <v>45768</v>
      </c>
      <c r="P1062" s="80" t="str">
        <f ca="1">IF(Proc[[#This Row],[DaysAgeing]]&gt;5,"yep","on track")</f>
        <v>yep</v>
      </c>
      <c r="Q1062" s="3">
        <f ca="1">IF(Proc[[#This Row],[DateClosed]]="",ABS(NETWORKDAYS(Proc[[#This Row],[DateOpened]],TODAY()))-1,ABS(NETWORKDAYS(Proc[[#This Row],[DateOpened]],Proc[[#This Row],[DateClosed]]))-1)</f>
        <v>7</v>
      </c>
      <c r="R1062" s="80" t="s">
        <v>2712</v>
      </c>
      <c r="S1062" s="69"/>
    </row>
    <row r="1063" spans="1:19" hidden="1">
      <c r="A1063" s="72" t="s">
        <v>2711</v>
      </c>
      <c r="B1063" s="149" t="str">
        <f>IFERROR(VLOOKUP(Proc[[#This Row],[App]],Table2[],3,0),"open")</f>
        <v>ok</v>
      </c>
      <c r="C1063" s="72" t="s">
        <v>369</v>
      </c>
      <c r="D1063" t="s">
        <v>2701</v>
      </c>
      <c r="E1063" t="s">
        <v>2697</v>
      </c>
      <c r="F1063" s="117" t="s">
        <v>2697</v>
      </c>
      <c r="G1063" s="72" t="s">
        <v>406</v>
      </c>
      <c r="H1063" s="69" t="str">
        <f>IF(Proc[[#This Row],[type]]="LFF (MDG-F)",MID(Proc[[#This Row],[Obj]],13,10),"")</f>
        <v>DE10N11180</v>
      </c>
      <c r="I1063" s="72" t="s">
        <v>2714</v>
      </c>
      <c r="J1063" s="69" t="b">
        <f>Proc[[#This Row],[Requested]]=Proc[[#This Row],[CurrentParent]]</f>
        <v>1</v>
      </c>
      <c r="K1063" s="144" t="str">
        <f>IF(Proc[[#This Row],[Author]]="Marcela Urrego",VLOOKUP(LEFT(Proc[[#This Row],[Requested]],1),Table3[#All],2,0),VLOOKUP(Proc[[#This Row],[Author]],Table4[],2,0))</f>
        <v>MGF</v>
      </c>
      <c r="L1063" s="69" t="s">
        <v>2563</v>
      </c>
      <c r="M1063" s="79">
        <v>45757.718622685185</v>
      </c>
      <c r="N1063" s="79">
        <v>45768</v>
      </c>
      <c r="O1063" s="79">
        <v>45768</v>
      </c>
      <c r="P1063" s="80" t="str">
        <f ca="1">IF(Proc[[#This Row],[DaysAgeing]]&gt;5,"yep","on track")</f>
        <v>yep</v>
      </c>
      <c r="Q1063" s="3">
        <f ca="1">IF(Proc[[#This Row],[DateClosed]]="",ABS(NETWORKDAYS(Proc[[#This Row],[DateOpened]],TODAY()))-1,ABS(NETWORKDAYS(Proc[[#This Row],[DateOpened]],Proc[[#This Row],[DateClosed]]))-1)</f>
        <v>7</v>
      </c>
      <c r="R1063" s="80" t="s">
        <v>2712</v>
      </c>
      <c r="S1063" s="69"/>
    </row>
    <row r="1064" spans="1:19" hidden="1">
      <c r="A1064" s="72" t="s">
        <v>2711</v>
      </c>
      <c r="B1064" s="149" t="str">
        <f>IFERROR(VLOOKUP(Proc[[#This Row],[App]],Table2[],3,0),"open")</f>
        <v>ok</v>
      </c>
      <c r="C1064" s="72" t="s">
        <v>369</v>
      </c>
      <c r="D1064" t="s">
        <v>2702</v>
      </c>
      <c r="E1064" t="s">
        <v>2697</v>
      </c>
      <c r="F1064" s="117" t="s">
        <v>2697</v>
      </c>
      <c r="G1064" s="72" t="s">
        <v>406</v>
      </c>
      <c r="H1064" s="69" t="str">
        <f>IF(Proc[[#This Row],[type]]="LFF (MDG-F)",MID(Proc[[#This Row],[Obj]],13,10),"")</f>
        <v>DE10N11131</v>
      </c>
      <c r="I1064" s="72" t="s">
        <v>2714</v>
      </c>
      <c r="J1064" s="69" t="b">
        <f>Proc[[#This Row],[Requested]]=Proc[[#This Row],[CurrentParent]]</f>
        <v>1</v>
      </c>
      <c r="K1064" s="144" t="str">
        <f>IF(Proc[[#This Row],[Author]]="Marcela Urrego",VLOOKUP(LEFT(Proc[[#This Row],[Requested]],1),Table3[#All],2,0),VLOOKUP(Proc[[#This Row],[Author]],Table4[],2,0))</f>
        <v>MGF</v>
      </c>
      <c r="L1064" s="69" t="s">
        <v>2563</v>
      </c>
      <c r="M1064" s="79">
        <v>45757.718622685185</v>
      </c>
      <c r="N1064" s="79">
        <v>45768</v>
      </c>
      <c r="O1064" s="79">
        <v>45768</v>
      </c>
      <c r="P1064" s="80" t="str">
        <f ca="1">IF(Proc[[#This Row],[DaysAgeing]]&gt;5,"yep","on track")</f>
        <v>yep</v>
      </c>
      <c r="Q1064" s="3">
        <f ca="1">IF(Proc[[#This Row],[DateClosed]]="",ABS(NETWORKDAYS(Proc[[#This Row],[DateOpened]],TODAY()))-1,ABS(NETWORKDAYS(Proc[[#This Row],[DateOpened]],Proc[[#This Row],[DateClosed]]))-1)</f>
        <v>7</v>
      </c>
      <c r="R1064" s="80" t="s">
        <v>2712</v>
      </c>
      <c r="S1064" s="69"/>
    </row>
    <row r="1065" spans="1:19" hidden="1">
      <c r="A1065" s="72" t="s">
        <v>2711</v>
      </c>
      <c r="B1065" s="149" t="str">
        <f>IFERROR(VLOOKUP(Proc[[#This Row],[App]],Table2[],3,0),"open")</f>
        <v>ok</v>
      </c>
      <c r="C1065" s="72" t="s">
        <v>369</v>
      </c>
      <c r="D1065" t="s">
        <v>2703</v>
      </c>
      <c r="E1065" t="s">
        <v>2697</v>
      </c>
      <c r="F1065" s="117" t="s">
        <v>2697</v>
      </c>
      <c r="G1065" s="72" t="s">
        <v>406</v>
      </c>
      <c r="H1065" s="69" t="str">
        <f>IF(Proc[[#This Row],[type]]="LFF (MDG-F)",MID(Proc[[#This Row],[Obj]],13,10),"")</f>
        <v>DE10N11116</v>
      </c>
      <c r="I1065" s="72" t="s">
        <v>2714</v>
      </c>
      <c r="J1065" s="69" t="b">
        <f>Proc[[#This Row],[Requested]]=Proc[[#This Row],[CurrentParent]]</f>
        <v>1</v>
      </c>
      <c r="K1065" s="144" t="str">
        <f>IF(Proc[[#This Row],[Author]]="Marcela Urrego",VLOOKUP(LEFT(Proc[[#This Row],[Requested]],1),Table3[#All],2,0),VLOOKUP(Proc[[#This Row],[Author]],Table4[],2,0))</f>
        <v>MGF</v>
      </c>
      <c r="L1065" s="69" t="s">
        <v>2563</v>
      </c>
      <c r="M1065" s="79">
        <v>45757.718622685185</v>
      </c>
      <c r="N1065" s="79">
        <v>45768</v>
      </c>
      <c r="O1065" s="79">
        <v>45768</v>
      </c>
      <c r="P1065" s="80" t="str">
        <f ca="1">IF(Proc[[#This Row],[DaysAgeing]]&gt;5,"yep","on track")</f>
        <v>yep</v>
      </c>
      <c r="Q1065" s="3">
        <f ca="1">IF(Proc[[#This Row],[DateClosed]]="",ABS(NETWORKDAYS(Proc[[#This Row],[DateOpened]],TODAY()))-1,ABS(NETWORKDAYS(Proc[[#This Row],[DateOpened]],Proc[[#This Row],[DateClosed]]))-1)</f>
        <v>7</v>
      </c>
      <c r="R1065" s="80" t="s">
        <v>2712</v>
      </c>
      <c r="S1065" s="69"/>
    </row>
    <row r="1066" spans="1:19" hidden="1">
      <c r="A1066" s="72" t="s">
        <v>2711</v>
      </c>
      <c r="B1066" s="149" t="str">
        <f>IFERROR(VLOOKUP(Proc[[#This Row],[App]],Table2[],3,0),"open")</f>
        <v>ok</v>
      </c>
      <c r="C1066" s="72" t="s">
        <v>369</v>
      </c>
      <c r="D1066" t="s">
        <v>2704</v>
      </c>
      <c r="E1066" t="s">
        <v>2697</v>
      </c>
      <c r="F1066" s="117" t="s">
        <v>2697</v>
      </c>
      <c r="G1066" s="72" t="s">
        <v>406</v>
      </c>
      <c r="H1066" s="69" t="str">
        <f>IF(Proc[[#This Row],[type]]="LFF (MDG-F)",MID(Proc[[#This Row],[Obj]],13,10),"")</f>
        <v>DE10N12312</v>
      </c>
      <c r="I1066" s="72" t="s">
        <v>2714</v>
      </c>
      <c r="J1066" s="69" t="b">
        <f>Proc[[#This Row],[Requested]]=Proc[[#This Row],[CurrentParent]]</f>
        <v>1</v>
      </c>
      <c r="K1066" s="144" t="str">
        <f>IF(Proc[[#This Row],[Author]]="Marcela Urrego",VLOOKUP(LEFT(Proc[[#This Row],[Requested]],1),Table3[#All],2,0),VLOOKUP(Proc[[#This Row],[Author]],Table4[],2,0))</f>
        <v>MGF</v>
      </c>
      <c r="L1066" s="69" t="s">
        <v>2563</v>
      </c>
      <c r="M1066" s="79">
        <v>45757.718622685185</v>
      </c>
      <c r="N1066" s="79">
        <v>45768</v>
      </c>
      <c r="O1066" s="79">
        <v>45768</v>
      </c>
      <c r="P1066" s="80" t="str">
        <f ca="1">IF(Proc[[#This Row],[DaysAgeing]]&gt;5,"yep","on track")</f>
        <v>yep</v>
      </c>
      <c r="Q1066" s="3">
        <f ca="1">IF(Proc[[#This Row],[DateClosed]]="",ABS(NETWORKDAYS(Proc[[#This Row],[DateOpened]],TODAY()))-1,ABS(NETWORKDAYS(Proc[[#This Row],[DateOpened]],Proc[[#This Row],[DateClosed]]))-1)</f>
        <v>7</v>
      </c>
      <c r="R1066" s="80" t="s">
        <v>2712</v>
      </c>
      <c r="S1066" s="69"/>
    </row>
    <row r="1067" spans="1:19" hidden="1">
      <c r="A1067" s="72" t="s">
        <v>2711</v>
      </c>
      <c r="B1067" s="149" t="str">
        <f>IFERROR(VLOOKUP(Proc[[#This Row],[App]],Table2[],3,0),"open")</f>
        <v>ok</v>
      </c>
      <c r="C1067" s="72" t="s">
        <v>369</v>
      </c>
      <c r="D1067" t="s">
        <v>2705</v>
      </c>
      <c r="E1067" t="s">
        <v>2697</v>
      </c>
      <c r="F1067" s="117" t="s">
        <v>2697</v>
      </c>
      <c r="G1067" s="72" t="s">
        <v>406</v>
      </c>
      <c r="H1067" s="69" t="str">
        <f>IF(Proc[[#This Row],[type]]="LFF (MDG-F)",MID(Proc[[#This Row],[Obj]],13,10),"")</f>
        <v>DE10N12313</v>
      </c>
      <c r="I1067" s="72" t="s">
        <v>2714</v>
      </c>
      <c r="J1067" s="69" t="b">
        <f>Proc[[#This Row],[Requested]]=Proc[[#This Row],[CurrentParent]]</f>
        <v>1</v>
      </c>
      <c r="K1067" s="144" t="str">
        <f>IF(Proc[[#This Row],[Author]]="Marcela Urrego",VLOOKUP(LEFT(Proc[[#This Row],[Requested]],1),Table3[#All],2,0),VLOOKUP(Proc[[#This Row],[Author]],Table4[],2,0))</f>
        <v>MGF</v>
      </c>
      <c r="L1067" s="69" t="s">
        <v>2563</v>
      </c>
      <c r="M1067" s="79">
        <v>45757.718622685185</v>
      </c>
      <c r="N1067" s="79">
        <v>45768</v>
      </c>
      <c r="O1067" s="79">
        <v>45768</v>
      </c>
      <c r="P1067" s="80" t="str">
        <f ca="1">IF(Proc[[#This Row],[DaysAgeing]]&gt;5,"yep","on track")</f>
        <v>yep</v>
      </c>
      <c r="Q1067" s="3">
        <f ca="1">IF(Proc[[#This Row],[DateClosed]]="",ABS(NETWORKDAYS(Proc[[#This Row],[DateOpened]],TODAY()))-1,ABS(NETWORKDAYS(Proc[[#This Row],[DateOpened]],Proc[[#This Row],[DateClosed]]))-1)</f>
        <v>7</v>
      </c>
      <c r="R1067" s="80" t="s">
        <v>2712</v>
      </c>
      <c r="S1067" s="69"/>
    </row>
    <row r="1068" spans="1:19" hidden="1">
      <c r="A1068" s="72" t="s">
        <v>2711</v>
      </c>
      <c r="B1068" s="149" t="str">
        <f>IFERROR(VLOOKUP(Proc[[#This Row],[App]],Table2[],3,0),"open")</f>
        <v>ok</v>
      </c>
      <c r="C1068" s="72" t="s">
        <v>369</v>
      </c>
      <c r="D1068" t="s">
        <v>2706</v>
      </c>
      <c r="E1068" t="s">
        <v>2707</v>
      </c>
      <c r="F1068" s="117" t="s">
        <v>2707</v>
      </c>
      <c r="G1068" s="72" t="s">
        <v>406</v>
      </c>
      <c r="H1068" s="69" t="str">
        <f>IF(Proc[[#This Row],[type]]="LFF (MDG-F)",MID(Proc[[#This Row],[Obj]],13,10),"")</f>
        <v>DE10N12321</v>
      </c>
      <c r="I1068" s="72" t="s">
        <v>2714</v>
      </c>
      <c r="J1068" s="69" t="b">
        <f>Proc[[#This Row],[Requested]]=Proc[[#This Row],[CurrentParent]]</f>
        <v>1</v>
      </c>
      <c r="K1068" s="144" t="str">
        <f>IF(Proc[[#This Row],[Author]]="Marcela Urrego",VLOOKUP(LEFT(Proc[[#This Row],[Requested]],1),Table3[#All],2,0),VLOOKUP(Proc[[#This Row],[Author]],Table4[],2,0))</f>
        <v>MGF</v>
      </c>
      <c r="L1068" s="69" t="s">
        <v>2563</v>
      </c>
      <c r="M1068" s="79">
        <v>45757.718622685185</v>
      </c>
      <c r="N1068" s="79">
        <v>45768</v>
      </c>
      <c r="O1068" s="79">
        <v>45768</v>
      </c>
      <c r="P1068" s="80" t="str">
        <f ca="1">IF(Proc[[#This Row],[DaysAgeing]]&gt;5,"yep","on track")</f>
        <v>yep</v>
      </c>
      <c r="Q1068" s="3">
        <f ca="1">IF(Proc[[#This Row],[DateClosed]]="",ABS(NETWORKDAYS(Proc[[#This Row],[DateOpened]],TODAY()))-1,ABS(NETWORKDAYS(Proc[[#This Row],[DateOpened]],Proc[[#This Row],[DateClosed]]))-1)</f>
        <v>7</v>
      </c>
      <c r="R1068" s="80" t="s">
        <v>2712</v>
      </c>
      <c r="S1068" s="69"/>
    </row>
    <row r="1069" spans="1:19" hidden="1">
      <c r="A1069" s="72" t="s">
        <v>2711</v>
      </c>
      <c r="B1069" s="149" t="str">
        <f>IFERROR(VLOOKUP(Proc[[#This Row],[App]],Table2[],3,0),"open")</f>
        <v>ok</v>
      </c>
      <c r="C1069" s="72" t="s">
        <v>369</v>
      </c>
      <c r="D1069" t="s">
        <v>2708</v>
      </c>
      <c r="E1069" t="s">
        <v>2707</v>
      </c>
      <c r="F1069" s="117" t="s">
        <v>2707</v>
      </c>
      <c r="G1069" s="72" t="s">
        <v>406</v>
      </c>
      <c r="H1069" s="69" t="str">
        <f>IF(Proc[[#This Row],[type]]="LFF (MDG-F)",MID(Proc[[#This Row],[Obj]],13,10),"")</f>
        <v>DE10N12323</v>
      </c>
      <c r="I1069" s="72" t="s">
        <v>2714</v>
      </c>
      <c r="J1069" s="69" t="b">
        <f>Proc[[#This Row],[Requested]]=Proc[[#This Row],[CurrentParent]]</f>
        <v>1</v>
      </c>
      <c r="K1069" s="144" t="str">
        <f>IF(Proc[[#This Row],[Author]]="Marcela Urrego",VLOOKUP(LEFT(Proc[[#This Row],[Requested]],1),Table3[#All],2,0),VLOOKUP(Proc[[#This Row],[Author]],Table4[],2,0))</f>
        <v>MGF</v>
      </c>
      <c r="L1069" s="69" t="s">
        <v>2563</v>
      </c>
      <c r="M1069" s="79">
        <v>45757.718622685185</v>
      </c>
      <c r="N1069" s="79">
        <v>45768</v>
      </c>
      <c r="O1069" s="79">
        <v>45768</v>
      </c>
      <c r="P1069" s="80" t="str">
        <f ca="1">IF(Proc[[#This Row],[DaysAgeing]]&gt;5,"yep","on track")</f>
        <v>yep</v>
      </c>
      <c r="Q1069" s="3">
        <f ca="1">IF(Proc[[#This Row],[DateClosed]]="",ABS(NETWORKDAYS(Proc[[#This Row],[DateOpened]],TODAY()))-1,ABS(NETWORKDAYS(Proc[[#This Row],[DateOpened]],Proc[[#This Row],[DateClosed]]))-1)</f>
        <v>7</v>
      </c>
      <c r="R1069" s="80" t="s">
        <v>2712</v>
      </c>
      <c r="S1069" s="69"/>
    </row>
    <row r="1070" spans="1:19" hidden="1">
      <c r="A1070" s="72" t="s">
        <v>2711</v>
      </c>
      <c r="B1070" s="149" t="str">
        <f>IFERROR(VLOOKUP(Proc[[#This Row],[App]],Table2[],3,0),"open")</f>
        <v>ok</v>
      </c>
      <c r="C1070" s="72" t="s">
        <v>369</v>
      </c>
      <c r="D1070" t="s">
        <v>2709</v>
      </c>
      <c r="E1070" t="s">
        <v>2707</v>
      </c>
      <c r="F1070" s="117" t="s">
        <v>2707</v>
      </c>
      <c r="G1070" s="72" t="s">
        <v>406</v>
      </c>
      <c r="H1070" s="69" t="str">
        <f>IF(Proc[[#This Row],[type]]="LFF (MDG-F)",MID(Proc[[#This Row],[Obj]],13,10),"")</f>
        <v>DE10N12395</v>
      </c>
      <c r="I1070" s="72" t="s">
        <v>2714</v>
      </c>
      <c r="J1070" s="69" t="b">
        <f>Proc[[#This Row],[Requested]]=Proc[[#This Row],[CurrentParent]]</f>
        <v>1</v>
      </c>
      <c r="K1070" s="144" t="str">
        <f>IF(Proc[[#This Row],[Author]]="Marcela Urrego",VLOOKUP(LEFT(Proc[[#This Row],[Requested]],1),Table3[#All],2,0),VLOOKUP(Proc[[#This Row],[Author]],Table4[],2,0))</f>
        <v>MGF</v>
      </c>
      <c r="L1070" s="69" t="s">
        <v>2563</v>
      </c>
      <c r="M1070" s="79">
        <v>45757.718622685185</v>
      </c>
      <c r="N1070" s="79">
        <v>45768</v>
      </c>
      <c r="O1070" s="79">
        <v>45768</v>
      </c>
      <c r="P1070" s="80" t="str">
        <f ca="1">IF(Proc[[#This Row],[DaysAgeing]]&gt;5,"yep","on track")</f>
        <v>yep</v>
      </c>
      <c r="Q1070" s="3">
        <f ca="1">IF(Proc[[#This Row],[DateClosed]]="",ABS(NETWORKDAYS(Proc[[#This Row],[DateOpened]],TODAY()))-1,ABS(NETWORKDAYS(Proc[[#This Row],[DateOpened]],Proc[[#This Row],[DateClosed]]))-1)</f>
        <v>7</v>
      </c>
      <c r="R1070" s="80" t="s">
        <v>2712</v>
      </c>
      <c r="S1070" s="69"/>
    </row>
    <row r="1071" spans="1:19" hidden="1">
      <c r="A1071" s="72" t="s">
        <v>2711</v>
      </c>
      <c r="B1071" s="149" t="str">
        <f>IFERROR(VLOOKUP(Proc[[#This Row],[App]],Table2[],3,0),"open")</f>
        <v>ok</v>
      </c>
      <c r="C1071" s="72" t="s">
        <v>369</v>
      </c>
      <c r="D1071" t="s">
        <v>2710</v>
      </c>
      <c r="E1071" t="s">
        <v>2707</v>
      </c>
      <c r="F1071" s="117" t="s">
        <v>2707</v>
      </c>
      <c r="G1071" s="72" t="s">
        <v>406</v>
      </c>
      <c r="H1071" s="69" t="str">
        <f>IF(Proc[[#This Row],[type]]="LFF (MDG-F)",MID(Proc[[#This Row],[Obj]],13,10),"")</f>
        <v>DE10N11195</v>
      </c>
      <c r="I1071" s="72" t="s">
        <v>2714</v>
      </c>
      <c r="J1071" s="69" t="b">
        <f>Proc[[#This Row],[Requested]]=Proc[[#This Row],[CurrentParent]]</f>
        <v>1</v>
      </c>
      <c r="K1071" s="144" t="str">
        <f>IF(Proc[[#This Row],[Author]]="Marcela Urrego",VLOOKUP(LEFT(Proc[[#This Row],[Requested]],1),Table3[#All],2,0),VLOOKUP(Proc[[#This Row],[Author]],Table4[],2,0))</f>
        <v>MGF</v>
      </c>
      <c r="L1071" s="69" t="s">
        <v>2563</v>
      </c>
      <c r="M1071" s="79">
        <v>45757.718622685185</v>
      </c>
      <c r="N1071" s="79">
        <v>45768</v>
      </c>
      <c r="O1071" s="79">
        <v>45768</v>
      </c>
      <c r="P1071" s="80" t="str">
        <f ca="1">IF(Proc[[#This Row],[DaysAgeing]]&gt;5,"yep","on track")</f>
        <v>yep</v>
      </c>
      <c r="Q1071" s="3">
        <f ca="1">IF(Proc[[#This Row],[DateClosed]]="",ABS(NETWORKDAYS(Proc[[#This Row],[DateOpened]],TODAY()))-1,ABS(NETWORKDAYS(Proc[[#This Row],[DateOpened]],Proc[[#This Row],[DateClosed]]))-1)</f>
        <v>7</v>
      </c>
      <c r="R1071" s="80" t="s">
        <v>2712</v>
      </c>
      <c r="S1071" s="69"/>
    </row>
    <row r="1072" spans="1:19" hidden="1">
      <c r="A1072" t="s">
        <v>2715</v>
      </c>
      <c r="B1072" s="149" t="str">
        <f>IFERROR(VLOOKUP(Proc[[#This Row],[App]],Table2[],3,0),"open")</f>
        <v>ok</v>
      </c>
      <c r="C1072" s="72" t="s">
        <v>369</v>
      </c>
      <c r="D1072" t="s">
        <v>2716</v>
      </c>
      <c r="E1072" t="s">
        <v>2691</v>
      </c>
      <c r="F1072" s="117" t="s">
        <v>2691</v>
      </c>
      <c r="G1072" t="s">
        <v>400</v>
      </c>
      <c r="H1072" s="69" t="str">
        <f>IF(Proc[[#This Row],[type]]="LFF (MDG-F)",MID(Proc[[#This Row],[Obj]],13,10),"")</f>
        <v/>
      </c>
      <c r="J1072" s="69" t="b">
        <f>Proc[[#This Row],[Requested]]=Proc[[#This Row],[CurrentParent]]</f>
        <v>1</v>
      </c>
      <c r="K1072" s="144" t="str">
        <f>IF(Proc[[#This Row],[Author]]="Marcela Urrego",VLOOKUP(LEFT(Proc[[#This Row],[Requested]],1),Table3[#All],2,0),VLOOKUP(Proc[[#This Row],[Author]],Table4[],2,0))</f>
        <v>LS</v>
      </c>
      <c r="L1072" s="69" t="s">
        <v>2563</v>
      </c>
      <c r="M1072" s="79">
        <v>45765.420370370368</v>
      </c>
      <c r="N1072" s="79">
        <v>45769</v>
      </c>
      <c r="O1072" s="79">
        <v>45769</v>
      </c>
      <c r="P1072" s="80" t="str">
        <f ca="1">IF(Proc[[#This Row],[DaysAgeing]]&gt;5,"yep","on track")</f>
        <v>on track</v>
      </c>
      <c r="Q1072" s="3">
        <f ca="1">IF(Proc[[#This Row],[DateClosed]]="",ABS(NETWORKDAYS(Proc[[#This Row],[DateOpened]],TODAY()))-1,ABS(NETWORKDAYS(Proc[[#This Row],[DateOpened]],Proc[[#This Row],[DateClosed]]))-1)</f>
        <v>2</v>
      </c>
      <c r="R1072" s="80" t="s">
        <v>489</v>
      </c>
      <c r="S1072" s="69"/>
    </row>
    <row r="1073" spans="1:19" hidden="1">
      <c r="A1073" s="72" t="s">
        <v>2715</v>
      </c>
      <c r="B1073" s="149" t="str">
        <f>IFERROR(VLOOKUP(Proc[[#This Row],[App]],Table2[],3,0),"open")</f>
        <v>ok</v>
      </c>
      <c r="C1073" s="72" t="s">
        <v>369</v>
      </c>
      <c r="D1073" t="s">
        <v>2717</v>
      </c>
      <c r="E1073" t="s">
        <v>2691</v>
      </c>
      <c r="F1073" s="117" t="s">
        <v>2691</v>
      </c>
      <c r="G1073" s="72" t="s">
        <v>400</v>
      </c>
      <c r="H1073" s="69" t="str">
        <f>IF(Proc[[#This Row],[type]]="LFF (MDG-F)",MID(Proc[[#This Row],[Obj]],13,10),"")</f>
        <v/>
      </c>
      <c r="J1073" s="69" t="b">
        <f>Proc[[#This Row],[Requested]]=Proc[[#This Row],[CurrentParent]]</f>
        <v>1</v>
      </c>
      <c r="K1073" s="144" t="str">
        <f>IF(Proc[[#This Row],[Author]]="Marcela Urrego",VLOOKUP(LEFT(Proc[[#This Row],[Requested]],1),Table3[#All],2,0),VLOOKUP(Proc[[#This Row],[Author]],Table4[],2,0))</f>
        <v>LS</v>
      </c>
      <c r="L1073" s="69" t="s">
        <v>2563</v>
      </c>
      <c r="M1073" s="79">
        <v>45765.420370370368</v>
      </c>
      <c r="N1073" s="79">
        <v>45769</v>
      </c>
      <c r="O1073" s="79">
        <v>45769</v>
      </c>
      <c r="P1073" s="80" t="str">
        <f ca="1">IF(Proc[[#This Row],[DaysAgeing]]&gt;5,"yep","on track")</f>
        <v>on track</v>
      </c>
      <c r="Q1073" s="3">
        <f ca="1">IF(Proc[[#This Row],[DateClosed]]="",ABS(NETWORKDAYS(Proc[[#This Row],[DateOpened]],TODAY()))-1,ABS(NETWORKDAYS(Proc[[#This Row],[DateOpened]],Proc[[#This Row],[DateClosed]]))-1)</f>
        <v>2</v>
      </c>
      <c r="R1073" s="80" t="s">
        <v>489</v>
      </c>
      <c r="S1073" s="69"/>
    </row>
    <row r="1074" spans="1:19" hidden="1">
      <c r="A1074" s="72" t="s">
        <v>2715</v>
      </c>
      <c r="B1074" s="149" t="str">
        <f>IFERROR(VLOOKUP(Proc[[#This Row],[App]],Table2[],3,0),"open")</f>
        <v>ok</v>
      </c>
      <c r="C1074" s="72" t="s">
        <v>369</v>
      </c>
      <c r="D1074" t="s">
        <v>2718</v>
      </c>
      <c r="E1074" t="s">
        <v>2768</v>
      </c>
      <c r="F1074" s="117" t="s">
        <v>2768</v>
      </c>
      <c r="G1074" s="72" t="s">
        <v>400</v>
      </c>
      <c r="H1074" s="69" t="str">
        <f>IF(Proc[[#This Row],[type]]="LFF (MDG-F)",MID(Proc[[#This Row],[Obj]],13,10),"")</f>
        <v/>
      </c>
      <c r="J1074" s="69" t="b">
        <f>Proc[[#This Row],[Requested]]=Proc[[#This Row],[CurrentParent]]</f>
        <v>1</v>
      </c>
      <c r="K1074" s="144" t="str">
        <f>IF(Proc[[#This Row],[Author]]="Marcela Urrego",VLOOKUP(LEFT(Proc[[#This Row],[Requested]],1),Table3[#All],2,0),VLOOKUP(Proc[[#This Row],[Author]],Table4[],2,0))</f>
        <v>LS</v>
      </c>
      <c r="L1074" s="69" t="s">
        <v>2563</v>
      </c>
      <c r="M1074" s="79">
        <v>45765.420370370368</v>
      </c>
      <c r="N1074" s="79">
        <v>45769</v>
      </c>
      <c r="O1074" s="79">
        <v>45769</v>
      </c>
      <c r="P1074" s="80" t="str">
        <f ca="1">IF(Proc[[#This Row],[DaysAgeing]]&gt;5,"yep","on track")</f>
        <v>on track</v>
      </c>
      <c r="Q1074" s="3">
        <f ca="1">IF(Proc[[#This Row],[DateClosed]]="",ABS(NETWORKDAYS(Proc[[#This Row],[DateOpened]],TODAY()))-1,ABS(NETWORKDAYS(Proc[[#This Row],[DateOpened]],Proc[[#This Row],[DateClosed]]))-1)</f>
        <v>2</v>
      </c>
      <c r="R1074" s="80" t="s">
        <v>489</v>
      </c>
      <c r="S1074" s="69"/>
    </row>
    <row r="1075" spans="1:19" hidden="1">
      <c r="A1075" s="72" t="s">
        <v>2715</v>
      </c>
      <c r="B1075" s="149" t="str">
        <f>IFERROR(VLOOKUP(Proc[[#This Row],[App]],Table2[],3,0),"open")</f>
        <v>ok</v>
      </c>
      <c r="C1075" s="72" t="s">
        <v>369</v>
      </c>
      <c r="D1075" t="s">
        <v>2719</v>
      </c>
      <c r="E1075" t="s">
        <v>2691</v>
      </c>
      <c r="F1075" s="117" t="s">
        <v>2691</v>
      </c>
      <c r="G1075" s="72" t="s">
        <v>400</v>
      </c>
      <c r="H1075" s="69" t="str">
        <f>IF(Proc[[#This Row],[type]]="LFF (MDG-F)",MID(Proc[[#This Row],[Obj]],13,10),"")</f>
        <v/>
      </c>
      <c r="J1075" s="69" t="b">
        <f>Proc[[#This Row],[Requested]]=Proc[[#This Row],[CurrentParent]]</f>
        <v>1</v>
      </c>
      <c r="K1075" s="144" t="str">
        <f>IF(Proc[[#This Row],[Author]]="Marcela Urrego",VLOOKUP(LEFT(Proc[[#This Row],[Requested]],1),Table3[#All],2,0),VLOOKUP(Proc[[#This Row],[Author]],Table4[],2,0))</f>
        <v>LS</v>
      </c>
      <c r="L1075" s="69" t="s">
        <v>2563</v>
      </c>
      <c r="M1075" s="79">
        <v>45765.420370370368</v>
      </c>
      <c r="N1075" s="79">
        <v>45769</v>
      </c>
      <c r="O1075" s="79">
        <v>45769</v>
      </c>
      <c r="P1075" s="80" t="str">
        <f ca="1">IF(Proc[[#This Row],[DaysAgeing]]&gt;5,"yep","on track")</f>
        <v>on track</v>
      </c>
      <c r="Q1075" s="3">
        <f ca="1">IF(Proc[[#This Row],[DateClosed]]="",ABS(NETWORKDAYS(Proc[[#This Row],[DateOpened]],TODAY()))-1,ABS(NETWORKDAYS(Proc[[#This Row],[DateOpened]],Proc[[#This Row],[DateClosed]]))-1)</f>
        <v>2</v>
      </c>
      <c r="R1075" s="80" t="s">
        <v>489</v>
      </c>
      <c r="S1075" s="69"/>
    </row>
    <row r="1076" spans="1:19" hidden="1">
      <c r="A1076" s="72" t="s">
        <v>2715</v>
      </c>
      <c r="B1076" s="149" t="str">
        <f>IFERROR(VLOOKUP(Proc[[#This Row],[App]],Table2[],3,0),"open")</f>
        <v>ok</v>
      </c>
      <c r="C1076" s="72" t="s">
        <v>369</v>
      </c>
      <c r="D1076" t="s">
        <v>2720</v>
      </c>
      <c r="E1076" t="s">
        <v>2691</v>
      </c>
      <c r="F1076" s="117" t="s">
        <v>2691</v>
      </c>
      <c r="G1076" s="72" t="s">
        <v>400</v>
      </c>
      <c r="H1076" s="69" t="str">
        <f>IF(Proc[[#This Row],[type]]="LFF (MDG-F)",MID(Proc[[#This Row],[Obj]],13,10),"")</f>
        <v/>
      </c>
      <c r="J1076" s="69" t="b">
        <f>Proc[[#This Row],[Requested]]=Proc[[#This Row],[CurrentParent]]</f>
        <v>1</v>
      </c>
      <c r="K1076" s="144" t="str">
        <f>IF(Proc[[#This Row],[Author]]="Marcela Urrego",VLOOKUP(LEFT(Proc[[#This Row],[Requested]],1),Table3[#All],2,0),VLOOKUP(Proc[[#This Row],[Author]],Table4[],2,0))</f>
        <v>LS</v>
      </c>
      <c r="L1076" s="69" t="s">
        <v>2563</v>
      </c>
      <c r="M1076" s="79">
        <v>45765.420370370368</v>
      </c>
      <c r="N1076" s="79">
        <v>45769</v>
      </c>
      <c r="O1076" s="79">
        <v>45769</v>
      </c>
      <c r="P1076" s="80" t="str">
        <f ca="1">IF(Proc[[#This Row],[DaysAgeing]]&gt;5,"yep","on track")</f>
        <v>on track</v>
      </c>
      <c r="Q1076" s="3">
        <f ca="1">IF(Proc[[#This Row],[DateClosed]]="",ABS(NETWORKDAYS(Proc[[#This Row],[DateOpened]],TODAY()))-1,ABS(NETWORKDAYS(Proc[[#This Row],[DateOpened]],Proc[[#This Row],[DateClosed]]))-1)</f>
        <v>2</v>
      </c>
      <c r="R1076" s="80" t="s">
        <v>489</v>
      </c>
      <c r="S1076" s="69"/>
    </row>
    <row r="1077" spans="1:19" hidden="1">
      <c r="A1077" s="72" t="s">
        <v>2715</v>
      </c>
      <c r="B1077" s="149" t="str">
        <f>IFERROR(VLOOKUP(Proc[[#This Row],[App]],Table2[],3,0),"open")</f>
        <v>ok</v>
      </c>
      <c r="C1077" s="72" t="s">
        <v>369</v>
      </c>
      <c r="D1077" t="s">
        <v>2721</v>
      </c>
      <c r="E1077" t="s">
        <v>2691</v>
      </c>
      <c r="F1077" s="117" t="s">
        <v>2691</v>
      </c>
      <c r="G1077" s="72" t="s">
        <v>400</v>
      </c>
      <c r="H1077" s="69" t="str">
        <f>IF(Proc[[#This Row],[type]]="LFF (MDG-F)",MID(Proc[[#This Row],[Obj]],13,10),"")</f>
        <v/>
      </c>
      <c r="J1077" s="69" t="b">
        <f>Proc[[#This Row],[Requested]]=Proc[[#This Row],[CurrentParent]]</f>
        <v>1</v>
      </c>
      <c r="K1077" s="144" t="str">
        <f>IF(Proc[[#This Row],[Author]]="Marcela Urrego",VLOOKUP(LEFT(Proc[[#This Row],[Requested]],1),Table3[#All],2,0),VLOOKUP(Proc[[#This Row],[Author]],Table4[],2,0))</f>
        <v>LS</v>
      </c>
      <c r="L1077" s="69" t="s">
        <v>2563</v>
      </c>
      <c r="M1077" s="79">
        <v>45765.420370370368</v>
      </c>
      <c r="N1077" s="79">
        <v>45769</v>
      </c>
      <c r="O1077" s="79">
        <v>45769</v>
      </c>
      <c r="P1077" s="80" t="str">
        <f ca="1">IF(Proc[[#This Row],[DaysAgeing]]&gt;5,"yep","on track")</f>
        <v>on track</v>
      </c>
      <c r="Q1077" s="3">
        <f ca="1">IF(Proc[[#This Row],[DateClosed]]="",ABS(NETWORKDAYS(Proc[[#This Row],[DateOpened]],TODAY()))-1,ABS(NETWORKDAYS(Proc[[#This Row],[DateOpened]],Proc[[#This Row],[DateClosed]]))-1)</f>
        <v>2</v>
      </c>
      <c r="R1077" s="80" t="s">
        <v>489</v>
      </c>
      <c r="S1077" s="69"/>
    </row>
    <row r="1078" spans="1:19" hidden="1">
      <c r="A1078" s="72" t="s">
        <v>2715</v>
      </c>
      <c r="B1078" s="149" t="str">
        <f>IFERROR(VLOOKUP(Proc[[#This Row],[App]],Table2[],3,0),"open")</f>
        <v>ok</v>
      </c>
      <c r="C1078" s="72" t="s">
        <v>369</v>
      </c>
      <c r="D1078" t="s">
        <v>2763</v>
      </c>
      <c r="E1078" t="s">
        <v>2769</v>
      </c>
      <c r="F1078" s="117" t="s">
        <v>2769</v>
      </c>
      <c r="G1078" s="72" t="s">
        <v>406</v>
      </c>
      <c r="H1078" s="69" t="str">
        <f>IF(Proc[[#This Row],[type]]="LFF (MDG-F)",MID(Proc[[#This Row],[Obj]],13,10),"")</f>
        <v>KE50C0FF11</v>
      </c>
      <c r="I1078" t="s">
        <v>2816</v>
      </c>
      <c r="J1078" s="69" t="b">
        <f>Proc[[#This Row],[Requested]]=Proc[[#This Row],[CurrentParent]]</f>
        <v>1</v>
      </c>
      <c r="K1078" s="144" t="str">
        <f>IF(Proc[[#This Row],[Author]]="Marcela Urrego",VLOOKUP(LEFT(Proc[[#This Row],[Requested]],1),Table3[#All],2,0),VLOOKUP(Proc[[#This Row],[Author]],Table4[],2,0))</f>
        <v>LS</v>
      </c>
      <c r="L1078" s="69" t="s">
        <v>2563</v>
      </c>
      <c r="M1078" s="79">
        <v>45765.420370370368</v>
      </c>
      <c r="N1078" s="79">
        <v>45769</v>
      </c>
      <c r="O1078" s="79">
        <v>45769</v>
      </c>
      <c r="P1078" s="80" t="str">
        <f ca="1">IF(Proc[[#This Row],[DaysAgeing]]&gt;5,"yep","on track")</f>
        <v>on track</v>
      </c>
      <c r="Q1078" s="3">
        <f ca="1">IF(Proc[[#This Row],[DateClosed]]="",ABS(NETWORKDAYS(Proc[[#This Row],[DateOpened]],TODAY()))-1,ABS(NETWORKDAYS(Proc[[#This Row],[DateOpened]],Proc[[#This Row],[DateClosed]]))-1)</f>
        <v>2</v>
      </c>
      <c r="R1078" s="80" t="s">
        <v>489</v>
      </c>
      <c r="S1078" s="69"/>
    </row>
    <row r="1079" spans="1:19" hidden="1">
      <c r="A1079" s="72" t="s">
        <v>2715</v>
      </c>
      <c r="B1079" s="149" t="str">
        <f>IFERROR(VLOOKUP(Proc[[#This Row],[App]],Table2[],3,0),"open")</f>
        <v>ok</v>
      </c>
      <c r="C1079" s="72" t="s">
        <v>369</v>
      </c>
      <c r="D1079" t="s">
        <v>2764</v>
      </c>
      <c r="E1079" t="s">
        <v>2769</v>
      </c>
      <c r="F1079" s="117" t="s">
        <v>2769</v>
      </c>
      <c r="G1079" s="72" t="s">
        <v>406</v>
      </c>
      <c r="H1079" s="69" t="str">
        <f>IF(Proc[[#This Row],[type]]="LFF (MDG-F)",MID(Proc[[#This Row],[Obj]],13,10),"")</f>
        <v>KE50C0IM11</v>
      </c>
      <c r="I1079" s="72" t="s">
        <v>2816</v>
      </c>
      <c r="J1079" s="69" t="b">
        <f>Proc[[#This Row],[Requested]]=Proc[[#This Row],[CurrentParent]]</f>
        <v>1</v>
      </c>
      <c r="K1079" s="144" t="str">
        <f>IF(Proc[[#This Row],[Author]]="Marcela Urrego",VLOOKUP(LEFT(Proc[[#This Row],[Requested]],1),Table3[#All],2,0),VLOOKUP(Proc[[#This Row],[Author]],Table4[],2,0))</f>
        <v>LS</v>
      </c>
      <c r="L1079" s="69" t="s">
        <v>2563</v>
      </c>
      <c r="M1079" s="79">
        <v>45765.420370370368</v>
      </c>
      <c r="N1079" s="79">
        <v>45769</v>
      </c>
      <c r="O1079" s="79">
        <v>45769</v>
      </c>
      <c r="P1079" s="80" t="str">
        <f ca="1">IF(Proc[[#This Row],[DaysAgeing]]&gt;5,"yep","on track")</f>
        <v>on track</v>
      </c>
      <c r="Q1079" s="3">
        <f ca="1">IF(Proc[[#This Row],[DateClosed]]="",ABS(NETWORKDAYS(Proc[[#This Row],[DateOpened]],TODAY()))-1,ABS(NETWORKDAYS(Proc[[#This Row],[DateOpened]],Proc[[#This Row],[DateClosed]]))-1)</f>
        <v>2</v>
      </c>
      <c r="R1079" s="80" t="s">
        <v>489</v>
      </c>
      <c r="S1079" s="69"/>
    </row>
    <row r="1080" spans="1:19" hidden="1">
      <c r="A1080" s="72" t="s">
        <v>2715</v>
      </c>
      <c r="B1080" s="149" t="str">
        <f>IFERROR(VLOOKUP(Proc[[#This Row],[App]],Table2[],3,0),"open")</f>
        <v>ok</v>
      </c>
      <c r="C1080" s="72" t="s">
        <v>369</v>
      </c>
      <c r="D1080" t="s">
        <v>2765</v>
      </c>
      <c r="E1080" t="s">
        <v>2691</v>
      </c>
      <c r="F1080" s="117" t="s">
        <v>2691</v>
      </c>
      <c r="G1080" s="72" t="s">
        <v>406</v>
      </c>
      <c r="H1080" s="69" t="str">
        <f>IF(Proc[[#This Row],[type]]="LFF (MDG-F)",MID(Proc[[#This Row],[Obj]],13,10),"")</f>
        <v>2029C00004</v>
      </c>
      <c r="I1080" s="72" t="s">
        <v>2816</v>
      </c>
      <c r="J1080" s="69" t="b">
        <f>Proc[[#This Row],[Requested]]=Proc[[#This Row],[CurrentParent]]</f>
        <v>1</v>
      </c>
      <c r="K1080" s="144" t="str">
        <f>IF(Proc[[#This Row],[Author]]="Marcela Urrego",VLOOKUP(LEFT(Proc[[#This Row],[Requested]],1),Table3[#All],2,0),VLOOKUP(Proc[[#This Row],[Author]],Table4[],2,0))</f>
        <v>LS</v>
      </c>
      <c r="L1080" s="69" t="s">
        <v>2563</v>
      </c>
      <c r="M1080" s="79">
        <v>45765.420370370368</v>
      </c>
      <c r="N1080" s="79">
        <v>45769</v>
      </c>
      <c r="O1080" s="79">
        <v>45769</v>
      </c>
      <c r="P1080" s="80" t="str">
        <f ca="1">IF(Proc[[#This Row],[DaysAgeing]]&gt;5,"yep","on track")</f>
        <v>on track</v>
      </c>
      <c r="Q1080" s="3">
        <f ca="1">IF(Proc[[#This Row],[DateClosed]]="",ABS(NETWORKDAYS(Proc[[#This Row],[DateOpened]],TODAY()))-1,ABS(NETWORKDAYS(Proc[[#This Row],[DateOpened]],Proc[[#This Row],[DateClosed]]))-1)</f>
        <v>2</v>
      </c>
      <c r="R1080" s="80" t="s">
        <v>489</v>
      </c>
      <c r="S1080" s="69"/>
    </row>
    <row r="1081" spans="1:19" hidden="1">
      <c r="A1081" s="72" t="s">
        <v>2715</v>
      </c>
      <c r="B1081" s="149" t="str">
        <f>IFERROR(VLOOKUP(Proc[[#This Row],[App]],Table2[],3,0),"open")</f>
        <v>ok</v>
      </c>
      <c r="C1081" s="72" t="s">
        <v>369</v>
      </c>
      <c r="D1081" t="s">
        <v>2766</v>
      </c>
      <c r="E1081" t="s">
        <v>2691</v>
      </c>
      <c r="F1081" s="117" t="s">
        <v>2691</v>
      </c>
      <c r="G1081" s="72" t="s">
        <v>406</v>
      </c>
      <c r="H1081" s="69" t="str">
        <f>IF(Proc[[#This Row],[type]]="LFF (MDG-F)",MID(Proc[[#This Row],[Obj]],13,10),"")</f>
        <v>2031C00005</v>
      </c>
      <c r="I1081" s="72" t="s">
        <v>2816</v>
      </c>
      <c r="J1081" s="69" t="b">
        <f>Proc[[#This Row],[Requested]]=Proc[[#This Row],[CurrentParent]]</f>
        <v>1</v>
      </c>
      <c r="K1081" s="144" t="str">
        <f>IF(Proc[[#This Row],[Author]]="Marcela Urrego",VLOOKUP(LEFT(Proc[[#This Row],[Requested]],1),Table3[#All],2,0),VLOOKUP(Proc[[#This Row],[Author]],Table4[],2,0))</f>
        <v>LS</v>
      </c>
      <c r="L1081" s="69" t="s">
        <v>2563</v>
      </c>
      <c r="M1081" s="79">
        <v>45765.420370370368</v>
      </c>
      <c r="N1081" s="79">
        <v>45769</v>
      </c>
      <c r="O1081" s="79">
        <v>45769</v>
      </c>
      <c r="P1081" s="80" t="str">
        <f ca="1">IF(Proc[[#This Row],[DaysAgeing]]&gt;5,"yep","on track")</f>
        <v>on track</v>
      </c>
      <c r="Q1081" s="3">
        <f ca="1">IF(Proc[[#This Row],[DateClosed]]="",ABS(NETWORKDAYS(Proc[[#This Row],[DateOpened]],TODAY()))-1,ABS(NETWORKDAYS(Proc[[#This Row],[DateOpened]],Proc[[#This Row],[DateClosed]]))-1)</f>
        <v>2</v>
      </c>
      <c r="R1081" s="80" t="s">
        <v>489</v>
      </c>
      <c r="S1081" s="69"/>
    </row>
    <row r="1082" spans="1:19" hidden="1">
      <c r="A1082" s="72" t="s">
        <v>2715</v>
      </c>
      <c r="B1082" s="149" t="str">
        <f>IFERROR(VLOOKUP(Proc[[#This Row],[App]],Table2[],3,0),"open")</f>
        <v>ok</v>
      </c>
      <c r="C1082" s="72" t="s">
        <v>369</v>
      </c>
      <c r="D1082" t="s">
        <v>2767</v>
      </c>
      <c r="E1082" t="s">
        <v>2691</v>
      </c>
      <c r="F1082" s="117" t="s">
        <v>2691</v>
      </c>
      <c r="G1082" s="72" t="s">
        <v>406</v>
      </c>
      <c r="H1082" s="69" t="str">
        <f>IF(Proc[[#This Row],[type]]="LFF (MDG-F)",MID(Proc[[#This Row],[Obj]],13,10),"")</f>
        <v>2034C00012</v>
      </c>
      <c r="I1082" s="72" t="s">
        <v>2816</v>
      </c>
      <c r="J1082" s="69" t="b">
        <f>Proc[[#This Row],[Requested]]=Proc[[#This Row],[CurrentParent]]</f>
        <v>1</v>
      </c>
      <c r="K1082" s="144" t="str">
        <f>IF(Proc[[#This Row],[Author]]="Marcela Urrego",VLOOKUP(LEFT(Proc[[#This Row],[Requested]],1),Table3[#All],2,0),VLOOKUP(Proc[[#This Row],[Author]],Table4[],2,0))</f>
        <v>LS</v>
      </c>
      <c r="L1082" s="69" t="s">
        <v>2563</v>
      </c>
      <c r="M1082" s="79">
        <v>45765.420370370368</v>
      </c>
      <c r="N1082" s="79">
        <v>45769</v>
      </c>
      <c r="O1082" s="79">
        <v>45769</v>
      </c>
      <c r="P1082" s="80" t="str">
        <f ca="1">IF(Proc[[#This Row],[DaysAgeing]]&gt;5,"yep","on track")</f>
        <v>on track</v>
      </c>
      <c r="Q1082" s="3">
        <f ca="1">IF(Proc[[#This Row],[DateClosed]]="",ABS(NETWORKDAYS(Proc[[#This Row],[DateOpened]],TODAY()))-1,ABS(NETWORKDAYS(Proc[[#This Row],[DateOpened]],Proc[[#This Row],[DateClosed]]))-1)</f>
        <v>2</v>
      </c>
      <c r="R1082" s="80" t="s">
        <v>489</v>
      </c>
      <c r="S1082" s="69"/>
    </row>
    <row r="1083" spans="1:19" hidden="1">
      <c r="A1083" s="72" t="s">
        <v>2715</v>
      </c>
      <c r="B1083" s="149" t="str">
        <f>IFERROR(VLOOKUP(Proc[[#This Row],[App]],Table2[],3,0),"open")</f>
        <v>ok</v>
      </c>
      <c r="C1083" s="72" t="s">
        <v>369</v>
      </c>
      <c r="D1083" t="s">
        <v>2722</v>
      </c>
      <c r="E1083" t="s">
        <v>2770</v>
      </c>
      <c r="F1083" s="117" t="s">
        <v>2770</v>
      </c>
      <c r="G1083" s="72" t="s">
        <v>400</v>
      </c>
      <c r="H1083" s="69" t="str">
        <f>IF(Proc[[#This Row],[type]]="LFF (MDG-F)",MID(Proc[[#This Row],[Obj]],13,10),"")</f>
        <v/>
      </c>
      <c r="J1083" s="69" t="b">
        <f>Proc[[#This Row],[Requested]]=Proc[[#This Row],[CurrentParent]]</f>
        <v>1</v>
      </c>
      <c r="K1083" s="144" t="str">
        <f>IF(Proc[[#This Row],[Author]]="Marcela Urrego",VLOOKUP(LEFT(Proc[[#This Row],[Requested]],1),Table3[#All],2,0),VLOOKUP(Proc[[#This Row],[Author]],Table4[],2,0))</f>
        <v>LS</v>
      </c>
      <c r="L1083" s="69" t="s">
        <v>2563</v>
      </c>
      <c r="M1083" s="79">
        <v>45765.420370370368</v>
      </c>
      <c r="N1083" s="79">
        <v>45769</v>
      </c>
      <c r="O1083" s="79">
        <v>45769</v>
      </c>
      <c r="P1083" s="80" t="str">
        <f ca="1">IF(Proc[[#This Row],[DaysAgeing]]&gt;5,"yep","on track")</f>
        <v>on track</v>
      </c>
      <c r="Q1083" s="3">
        <f ca="1">IF(Proc[[#This Row],[DateClosed]]="",ABS(NETWORKDAYS(Proc[[#This Row],[DateOpened]],TODAY()))-1,ABS(NETWORKDAYS(Proc[[#This Row],[DateOpened]],Proc[[#This Row],[DateClosed]]))-1)</f>
        <v>2</v>
      </c>
      <c r="R1083" s="80" t="s">
        <v>489</v>
      </c>
      <c r="S1083" s="69"/>
    </row>
    <row r="1084" spans="1:19" hidden="1">
      <c r="A1084" s="72" t="s">
        <v>2715</v>
      </c>
      <c r="B1084" s="149" t="str">
        <f>IFERROR(VLOOKUP(Proc[[#This Row],[App]],Table2[],3,0),"open")</f>
        <v>ok</v>
      </c>
      <c r="C1084" s="72" t="s">
        <v>369</v>
      </c>
      <c r="D1084" t="s">
        <v>2723</v>
      </c>
      <c r="E1084" t="s">
        <v>2770</v>
      </c>
      <c r="F1084" s="117" t="s">
        <v>2770</v>
      </c>
      <c r="G1084" s="72" t="s">
        <v>400</v>
      </c>
      <c r="H1084" s="69" t="str">
        <f>IF(Proc[[#This Row],[type]]="LFF (MDG-F)",MID(Proc[[#This Row],[Obj]],13,10),"")</f>
        <v/>
      </c>
      <c r="J1084" s="69" t="b">
        <f>Proc[[#This Row],[Requested]]=Proc[[#This Row],[CurrentParent]]</f>
        <v>1</v>
      </c>
      <c r="K1084" s="144" t="str">
        <f>IF(Proc[[#This Row],[Author]]="Marcela Urrego",VLOOKUP(LEFT(Proc[[#This Row],[Requested]],1),Table3[#All],2,0),VLOOKUP(Proc[[#This Row],[Author]],Table4[],2,0))</f>
        <v>LS</v>
      </c>
      <c r="L1084" s="69" t="s">
        <v>2563</v>
      </c>
      <c r="M1084" s="79">
        <v>45765.420370370368</v>
      </c>
      <c r="N1084" s="79">
        <v>45769</v>
      </c>
      <c r="O1084" s="79">
        <v>45769</v>
      </c>
      <c r="P1084" s="80" t="str">
        <f ca="1">IF(Proc[[#This Row],[DaysAgeing]]&gt;5,"yep","on track")</f>
        <v>on track</v>
      </c>
      <c r="Q1084" s="3">
        <f ca="1">IF(Proc[[#This Row],[DateClosed]]="",ABS(NETWORKDAYS(Proc[[#This Row],[DateOpened]],TODAY()))-1,ABS(NETWORKDAYS(Proc[[#This Row],[DateOpened]],Proc[[#This Row],[DateClosed]]))-1)</f>
        <v>2</v>
      </c>
      <c r="R1084" s="80" t="s">
        <v>489</v>
      </c>
      <c r="S1084" s="69"/>
    </row>
    <row r="1085" spans="1:19" hidden="1">
      <c r="A1085" s="72" t="s">
        <v>2715</v>
      </c>
      <c r="B1085" s="149" t="str">
        <f>IFERROR(VLOOKUP(Proc[[#This Row],[App]],Table2[],3,0),"open")</f>
        <v>ok</v>
      </c>
      <c r="C1085" s="72" t="s">
        <v>369</v>
      </c>
      <c r="D1085" t="s">
        <v>2724</v>
      </c>
      <c r="E1085" t="s">
        <v>2770</v>
      </c>
      <c r="F1085" s="117" t="s">
        <v>2770</v>
      </c>
      <c r="G1085" s="72" t="s">
        <v>400</v>
      </c>
      <c r="H1085" s="69" t="str">
        <f>IF(Proc[[#This Row],[type]]="LFF (MDG-F)",MID(Proc[[#This Row],[Obj]],13,10),"")</f>
        <v/>
      </c>
      <c r="J1085" s="69" t="b">
        <f>Proc[[#This Row],[Requested]]=Proc[[#This Row],[CurrentParent]]</f>
        <v>1</v>
      </c>
      <c r="K1085" s="144" t="str">
        <f>IF(Proc[[#This Row],[Author]]="Marcela Urrego",VLOOKUP(LEFT(Proc[[#This Row],[Requested]],1),Table3[#All],2,0),VLOOKUP(Proc[[#This Row],[Author]],Table4[],2,0))</f>
        <v>LS</v>
      </c>
      <c r="L1085" s="69" t="s">
        <v>2563</v>
      </c>
      <c r="M1085" s="79">
        <v>45765.420370370368</v>
      </c>
      <c r="N1085" s="79">
        <v>45769</v>
      </c>
      <c r="O1085" s="79">
        <v>45769</v>
      </c>
      <c r="P1085" s="80" t="str">
        <f ca="1">IF(Proc[[#This Row],[DaysAgeing]]&gt;5,"yep","on track")</f>
        <v>on track</v>
      </c>
      <c r="Q1085" s="3">
        <f ca="1">IF(Proc[[#This Row],[DateClosed]]="",ABS(NETWORKDAYS(Proc[[#This Row],[DateOpened]],TODAY()))-1,ABS(NETWORKDAYS(Proc[[#This Row],[DateOpened]],Proc[[#This Row],[DateClosed]]))-1)</f>
        <v>2</v>
      </c>
      <c r="R1085" s="80" t="s">
        <v>489</v>
      </c>
      <c r="S1085" s="69"/>
    </row>
    <row r="1086" spans="1:19" hidden="1">
      <c r="A1086" s="72" t="s">
        <v>2715</v>
      </c>
      <c r="B1086" s="149" t="str">
        <f>IFERROR(VLOOKUP(Proc[[#This Row],[App]],Table2[],3,0),"open")</f>
        <v>ok</v>
      </c>
      <c r="C1086" s="72" t="s">
        <v>369</v>
      </c>
      <c r="D1086" t="s">
        <v>2725</v>
      </c>
      <c r="E1086" t="s">
        <v>2770</v>
      </c>
      <c r="F1086" s="117" t="s">
        <v>2770</v>
      </c>
      <c r="G1086" s="72" t="s">
        <v>400</v>
      </c>
      <c r="H1086" s="69" t="str">
        <f>IF(Proc[[#This Row],[type]]="LFF (MDG-F)",MID(Proc[[#This Row],[Obj]],13,10),"")</f>
        <v/>
      </c>
      <c r="J1086" s="69" t="b">
        <f>Proc[[#This Row],[Requested]]=Proc[[#This Row],[CurrentParent]]</f>
        <v>1</v>
      </c>
      <c r="K1086" s="144" t="str">
        <f>IF(Proc[[#This Row],[Author]]="Marcela Urrego",VLOOKUP(LEFT(Proc[[#This Row],[Requested]],1),Table3[#All],2,0),VLOOKUP(Proc[[#This Row],[Author]],Table4[],2,0))</f>
        <v>LS</v>
      </c>
      <c r="L1086" s="69" t="s">
        <v>2563</v>
      </c>
      <c r="M1086" s="79">
        <v>45765.420370370368</v>
      </c>
      <c r="N1086" s="79">
        <v>45769</v>
      </c>
      <c r="O1086" s="79">
        <v>45769</v>
      </c>
      <c r="P1086" s="80" t="str">
        <f ca="1">IF(Proc[[#This Row],[DaysAgeing]]&gt;5,"yep","on track")</f>
        <v>on track</v>
      </c>
      <c r="Q1086" s="3">
        <f ca="1">IF(Proc[[#This Row],[DateClosed]]="",ABS(NETWORKDAYS(Proc[[#This Row],[DateOpened]],TODAY()))-1,ABS(NETWORKDAYS(Proc[[#This Row],[DateOpened]],Proc[[#This Row],[DateClosed]]))-1)</f>
        <v>2</v>
      </c>
      <c r="R1086" s="80" t="s">
        <v>489</v>
      </c>
      <c r="S1086" s="69"/>
    </row>
    <row r="1087" spans="1:19" hidden="1">
      <c r="A1087" s="72" t="s">
        <v>2715</v>
      </c>
      <c r="B1087" s="149" t="str">
        <f>IFERROR(VLOOKUP(Proc[[#This Row],[App]],Table2[],3,0),"open")</f>
        <v>ok</v>
      </c>
      <c r="C1087" s="72" t="s">
        <v>369</v>
      </c>
      <c r="D1087" t="s">
        <v>2726</v>
      </c>
      <c r="E1087" t="s">
        <v>2770</v>
      </c>
      <c r="F1087" s="117" t="s">
        <v>2770</v>
      </c>
      <c r="G1087" s="72" t="s">
        <v>400</v>
      </c>
      <c r="H1087" s="69" t="str">
        <f>IF(Proc[[#This Row],[type]]="LFF (MDG-F)",MID(Proc[[#This Row],[Obj]],13,10),"")</f>
        <v/>
      </c>
      <c r="J1087" s="69" t="b">
        <f>Proc[[#This Row],[Requested]]=Proc[[#This Row],[CurrentParent]]</f>
        <v>1</v>
      </c>
      <c r="K1087" s="144" t="str">
        <f>IF(Proc[[#This Row],[Author]]="Marcela Urrego",VLOOKUP(LEFT(Proc[[#This Row],[Requested]],1),Table3[#All],2,0),VLOOKUP(Proc[[#This Row],[Author]],Table4[],2,0))</f>
        <v>LS</v>
      </c>
      <c r="L1087" s="69" t="s">
        <v>2563</v>
      </c>
      <c r="M1087" s="79">
        <v>45765.420370370368</v>
      </c>
      <c r="N1087" s="79">
        <v>45769</v>
      </c>
      <c r="O1087" s="79">
        <v>45769</v>
      </c>
      <c r="P1087" s="80" t="str">
        <f ca="1">IF(Proc[[#This Row],[DaysAgeing]]&gt;5,"yep","on track")</f>
        <v>on track</v>
      </c>
      <c r="Q1087" s="3">
        <f ca="1">IF(Proc[[#This Row],[DateClosed]]="",ABS(NETWORKDAYS(Proc[[#This Row],[DateOpened]],TODAY()))-1,ABS(NETWORKDAYS(Proc[[#This Row],[DateOpened]],Proc[[#This Row],[DateClosed]]))-1)</f>
        <v>2</v>
      </c>
      <c r="R1087" s="80" t="s">
        <v>489</v>
      </c>
      <c r="S1087" s="69"/>
    </row>
    <row r="1088" spans="1:19" hidden="1">
      <c r="A1088" s="72" t="s">
        <v>2715</v>
      </c>
      <c r="B1088" s="149" t="str">
        <f>IFERROR(VLOOKUP(Proc[[#This Row],[App]],Table2[],3,0),"open")</f>
        <v>ok</v>
      </c>
      <c r="C1088" s="72" t="s">
        <v>369</v>
      </c>
      <c r="D1088" t="s">
        <v>2727</v>
      </c>
      <c r="E1088" t="s">
        <v>2770</v>
      </c>
      <c r="F1088" s="117" t="s">
        <v>2770</v>
      </c>
      <c r="G1088" s="72" t="s">
        <v>400</v>
      </c>
      <c r="H1088" s="69" t="str">
        <f>IF(Proc[[#This Row],[type]]="LFF (MDG-F)",MID(Proc[[#This Row],[Obj]],13,10),"")</f>
        <v/>
      </c>
      <c r="J1088" s="69" t="b">
        <f>Proc[[#This Row],[Requested]]=Proc[[#This Row],[CurrentParent]]</f>
        <v>1</v>
      </c>
      <c r="K1088" s="144" t="str">
        <f>IF(Proc[[#This Row],[Author]]="Marcela Urrego",VLOOKUP(LEFT(Proc[[#This Row],[Requested]],1),Table3[#All],2,0),VLOOKUP(Proc[[#This Row],[Author]],Table4[],2,0))</f>
        <v>LS</v>
      </c>
      <c r="L1088" s="69" t="s">
        <v>2563</v>
      </c>
      <c r="M1088" s="79">
        <v>45765.420370370368</v>
      </c>
      <c r="N1088" s="79">
        <v>45769</v>
      </c>
      <c r="O1088" s="79">
        <v>45769</v>
      </c>
      <c r="P1088" s="80" t="str">
        <f ca="1">IF(Proc[[#This Row],[DaysAgeing]]&gt;5,"yep","on track")</f>
        <v>on track</v>
      </c>
      <c r="Q1088" s="3">
        <f ca="1">IF(Proc[[#This Row],[DateClosed]]="",ABS(NETWORKDAYS(Proc[[#This Row],[DateOpened]],TODAY()))-1,ABS(NETWORKDAYS(Proc[[#This Row],[DateOpened]],Proc[[#This Row],[DateClosed]]))-1)</f>
        <v>2</v>
      </c>
      <c r="R1088" s="80" t="s">
        <v>489</v>
      </c>
      <c r="S1088" s="69"/>
    </row>
    <row r="1089" spans="1:19" hidden="1">
      <c r="A1089" s="72" t="s">
        <v>2715</v>
      </c>
      <c r="B1089" s="149" t="str">
        <f>IFERROR(VLOOKUP(Proc[[#This Row],[App]],Table2[],3,0),"open")</f>
        <v>ok</v>
      </c>
      <c r="C1089" s="72" t="s">
        <v>369</v>
      </c>
      <c r="D1089" t="s">
        <v>2728</v>
      </c>
      <c r="E1089" t="s">
        <v>2770</v>
      </c>
      <c r="F1089" s="117" t="s">
        <v>2770</v>
      </c>
      <c r="G1089" s="72" t="s">
        <v>400</v>
      </c>
      <c r="H1089" s="69" t="str">
        <f>IF(Proc[[#This Row],[type]]="LFF (MDG-F)",MID(Proc[[#This Row],[Obj]],13,10),"")</f>
        <v/>
      </c>
      <c r="J1089" s="69" t="b">
        <f>Proc[[#This Row],[Requested]]=Proc[[#This Row],[CurrentParent]]</f>
        <v>1</v>
      </c>
      <c r="K1089" s="144" t="str">
        <f>IF(Proc[[#This Row],[Author]]="Marcela Urrego",VLOOKUP(LEFT(Proc[[#This Row],[Requested]],1),Table3[#All],2,0),VLOOKUP(Proc[[#This Row],[Author]],Table4[],2,0))</f>
        <v>LS</v>
      </c>
      <c r="L1089" s="69" t="s">
        <v>2563</v>
      </c>
      <c r="M1089" s="79">
        <v>45765.420370370368</v>
      </c>
      <c r="N1089" s="79">
        <v>45769</v>
      </c>
      <c r="O1089" s="79">
        <v>45769</v>
      </c>
      <c r="P1089" s="80" t="str">
        <f ca="1">IF(Proc[[#This Row],[DaysAgeing]]&gt;5,"yep","on track")</f>
        <v>on track</v>
      </c>
      <c r="Q1089" s="3">
        <f ca="1">IF(Proc[[#This Row],[DateClosed]]="",ABS(NETWORKDAYS(Proc[[#This Row],[DateOpened]],TODAY()))-1,ABS(NETWORKDAYS(Proc[[#This Row],[DateOpened]],Proc[[#This Row],[DateClosed]]))-1)</f>
        <v>2</v>
      </c>
      <c r="R1089" s="80" t="s">
        <v>489</v>
      </c>
      <c r="S1089" s="69"/>
    </row>
    <row r="1090" spans="1:19" hidden="1">
      <c r="A1090" s="72" t="s">
        <v>2715</v>
      </c>
      <c r="B1090" s="149" t="str">
        <f>IFERROR(VLOOKUP(Proc[[#This Row],[App]],Table2[],3,0),"open")</f>
        <v>ok</v>
      </c>
      <c r="C1090" s="72" t="s">
        <v>369</v>
      </c>
      <c r="D1090" t="s">
        <v>2729</v>
      </c>
      <c r="E1090" t="s">
        <v>2770</v>
      </c>
      <c r="F1090" s="117" t="s">
        <v>2770</v>
      </c>
      <c r="G1090" s="72" t="s">
        <v>400</v>
      </c>
      <c r="H1090" s="69" t="str">
        <f>IF(Proc[[#This Row],[type]]="LFF (MDG-F)",MID(Proc[[#This Row],[Obj]],13,10),"")</f>
        <v/>
      </c>
      <c r="J1090" s="69" t="b">
        <f>Proc[[#This Row],[Requested]]=Proc[[#This Row],[CurrentParent]]</f>
        <v>1</v>
      </c>
      <c r="K1090" s="144" t="str">
        <f>IF(Proc[[#This Row],[Author]]="Marcela Urrego",VLOOKUP(LEFT(Proc[[#This Row],[Requested]],1),Table3[#All],2,0),VLOOKUP(Proc[[#This Row],[Author]],Table4[],2,0))</f>
        <v>LS</v>
      </c>
      <c r="L1090" s="69" t="s">
        <v>2563</v>
      </c>
      <c r="M1090" s="79">
        <v>45765.420370370368</v>
      </c>
      <c r="N1090" s="79">
        <v>45769</v>
      </c>
      <c r="O1090" s="79">
        <v>45769</v>
      </c>
      <c r="P1090" s="80" t="str">
        <f ca="1">IF(Proc[[#This Row],[DaysAgeing]]&gt;5,"yep","on track")</f>
        <v>on track</v>
      </c>
      <c r="Q1090" s="3">
        <f ca="1">IF(Proc[[#This Row],[DateClosed]]="",ABS(NETWORKDAYS(Proc[[#This Row],[DateOpened]],TODAY()))-1,ABS(NETWORKDAYS(Proc[[#This Row],[DateOpened]],Proc[[#This Row],[DateClosed]]))-1)</f>
        <v>2</v>
      </c>
      <c r="R1090" s="80" t="s">
        <v>489</v>
      </c>
      <c r="S1090" s="69"/>
    </row>
    <row r="1091" spans="1:19" hidden="1">
      <c r="A1091" s="72" t="s">
        <v>2715</v>
      </c>
      <c r="B1091" s="149" t="str">
        <f>IFERROR(VLOOKUP(Proc[[#This Row],[App]],Table2[],3,0),"open")</f>
        <v>ok</v>
      </c>
      <c r="C1091" s="72" t="s">
        <v>369</v>
      </c>
      <c r="D1091" t="s">
        <v>2730</v>
      </c>
      <c r="E1091" t="s">
        <v>2770</v>
      </c>
      <c r="F1091" s="117" t="s">
        <v>2770</v>
      </c>
      <c r="G1091" s="72" t="s">
        <v>400</v>
      </c>
      <c r="H1091" s="69" t="str">
        <f>IF(Proc[[#This Row],[type]]="LFF (MDG-F)",MID(Proc[[#This Row],[Obj]],13,10),"")</f>
        <v/>
      </c>
      <c r="J1091" s="69" t="b">
        <f>Proc[[#This Row],[Requested]]=Proc[[#This Row],[CurrentParent]]</f>
        <v>1</v>
      </c>
      <c r="K1091" s="144" t="str">
        <f>IF(Proc[[#This Row],[Author]]="Marcela Urrego",VLOOKUP(LEFT(Proc[[#This Row],[Requested]],1),Table3[#All],2,0),VLOOKUP(Proc[[#This Row],[Author]],Table4[],2,0))</f>
        <v>LS</v>
      </c>
      <c r="L1091" s="69" t="s">
        <v>2563</v>
      </c>
      <c r="M1091" s="79">
        <v>45765.420370370368</v>
      </c>
      <c r="N1091" s="79">
        <v>45769</v>
      </c>
      <c r="O1091" s="79">
        <v>45769</v>
      </c>
      <c r="P1091" s="80" t="str">
        <f ca="1">IF(Proc[[#This Row],[DaysAgeing]]&gt;5,"yep","on track")</f>
        <v>on track</v>
      </c>
      <c r="Q1091" s="3">
        <f ca="1">IF(Proc[[#This Row],[DateClosed]]="",ABS(NETWORKDAYS(Proc[[#This Row],[DateOpened]],TODAY()))-1,ABS(NETWORKDAYS(Proc[[#This Row],[DateOpened]],Proc[[#This Row],[DateClosed]]))-1)</f>
        <v>2</v>
      </c>
      <c r="R1091" s="80" t="s">
        <v>489</v>
      </c>
      <c r="S1091" s="69"/>
    </row>
    <row r="1092" spans="1:19" hidden="1">
      <c r="A1092" s="72" t="s">
        <v>2715</v>
      </c>
      <c r="B1092" s="149" t="str">
        <f>IFERROR(VLOOKUP(Proc[[#This Row],[App]],Table2[],3,0),"open")</f>
        <v>ok</v>
      </c>
      <c r="C1092" s="72" t="s">
        <v>369</v>
      </c>
      <c r="D1092" t="s">
        <v>2731</v>
      </c>
      <c r="E1092" t="s">
        <v>2770</v>
      </c>
      <c r="F1092" s="117" t="s">
        <v>2770</v>
      </c>
      <c r="G1092" s="72" t="s">
        <v>400</v>
      </c>
      <c r="H1092" s="69" t="str">
        <f>IF(Proc[[#This Row],[type]]="LFF (MDG-F)",MID(Proc[[#This Row],[Obj]],13,10),"")</f>
        <v/>
      </c>
      <c r="J1092" s="69" t="b">
        <f>Proc[[#This Row],[Requested]]=Proc[[#This Row],[CurrentParent]]</f>
        <v>1</v>
      </c>
      <c r="K1092" s="144" t="str">
        <f>IF(Proc[[#This Row],[Author]]="Marcela Urrego",VLOOKUP(LEFT(Proc[[#This Row],[Requested]],1),Table3[#All],2,0),VLOOKUP(Proc[[#This Row],[Author]],Table4[],2,0))</f>
        <v>LS</v>
      </c>
      <c r="L1092" s="69" t="s">
        <v>2563</v>
      </c>
      <c r="M1092" s="79">
        <v>45765.420370370368</v>
      </c>
      <c r="N1092" s="79">
        <v>45769</v>
      </c>
      <c r="O1092" s="79">
        <v>45769</v>
      </c>
      <c r="P1092" s="80" t="str">
        <f ca="1">IF(Proc[[#This Row],[DaysAgeing]]&gt;5,"yep","on track")</f>
        <v>on track</v>
      </c>
      <c r="Q1092" s="3">
        <f ca="1">IF(Proc[[#This Row],[DateClosed]]="",ABS(NETWORKDAYS(Proc[[#This Row],[DateOpened]],TODAY()))-1,ABS(NETWORKDAYS(Proc[[#This Row],[DateOpened]],Proc[[#This Row],[DateClosed]]))-1)</f>
        <v>2</v>
      </c>
      <c r="R1092" s="80" t="s">
        <v>489</v>
      </c>
      <c r="S1092" s="69"/>
    </row>
    <row r="1093" spans="1:19" hidden="1">
      <c r="A1093" s="72" t="s">
        <v>2715</v>
      </c>
      <c r="B1093" s="149" t="str">
        <f>IFERROR(VLOOKUP(Proc[[#This Row],[App]],Table2[],3,0),"open")</f>
        <v>ok</v>
      </c>
      <c r="C1093" s="72" t="s">
        <v>369</v>
      </c>
      <c r="D1093" t="s">
        <v>2732</v>
      </c>
      <c r="E1093" t="s">
        <v>2771</v>
      </c>
      <c r="F1093" s="117" t="s">
        <v>2771</v>
      </c>
      <c r="G1093" s="72" t="s">
        <v>400</v>
      </c>
      <c r="H1093" s="69" t="str">
        <f>IF(Proc[[#This Row],[type]]="LFF (MDG-F)",MID(Proc[[#This Row],[Obj]],13,10),"")</f>
        <v/>
      </c>
      <c r="J1093" s="69" t="b">
        <f>Proc[[#This Row],[Requested]]=Proc[[#This Row],[CurrentParent]]</f>
        <v>1</v>
      </c>
      <c r="K1093" s="144" t="str">
        <f>IF(Proc[[#This Row],[Author]]="Marcela Urrego",VLOOKUP(LEFT(Proc[[#This Row],[Requested]],1),Table3[#All],2,0),VLOOKUP(Proc[[#This Row],[Author]],Table4[],2,0))</f>
        <v>LS</v>
      </c>
      <c r="L1093" s="69" t="s">
        <v>2563</v>
      </c>
      <c r="M1093" s="79">
        <v>45765.420370370368</v>
      </c>
      <c r="N1093" s="79">
        <v>45769</v>
      </c>
      <c r="O1093" s="79">
        <v>45769</v>
      </c>
      <c r="P1093" s="80" t="str">
        <f ca="1">IF(Proc[[#This Row],[DaysAgeing]]&gt;5,"yep","on track")</f>
        <v>on track</v>
      </c>
      <c r="Q1093" s="3">
        <f ca="1">IF(Proc[[#This Row],[DateClosed]]="",ABS(NETWORKDAYS(Proc[[#This Row],[DateOpened]],TODAY()))-1,ABS(NETWORKDAYS(Proc[[#This Row],[DateOpened]],Proc[[#This Row],[DateClosed]]))-1)</f>
        <v>2</v>
      </c>
      <c r="R1093" s="80" t="s">
        <v>489</v>
      </c>
      <c r="S1093" s="69"/>
    </row>
    <row r="1094" spans="1:19" hidden="1">
      <c r="A1094" s="72" t="s">
        <v>2715</v>
      </c>
      <c r="B1094" s="149" t="str">
        <f>IFERROR(VLOOKUP(Proc[[#This Row],[App]],Table2[],3,0),"open")</f>
        <v>ok</v>
      </c>
      <c r="C1094" s="72" t="s">
        <v>369</v>
      </c>
      <c r="D1094" t="s">
        <v>2733</v>
      </c>
      <c r="E1094" t="s">
        <v>2772</v>
      </c>
      <c r="F1094" s="117" t="s">
        <v>2772</v>
      </c>
      <c r="G1094" s="72" t="s">
        <v>400</v>
      </c>
      <c r="H1094" s="69" t="str">
        <f>IF(Proc[[#This Row],[type]]="LFF (MDG-F)",MID(Proc[[#This Row],[Obj]],13,10),"")</f>
        <v/>
      </c>
      <c r="J1094" s="69" t="b">
        <f>Proc[[#This Row],[Requested]]=Proc[[#This Row],[CurrentParent]]</f>
        <v>1</v>
      </c>
      <c r="K1094" s="144" t="str">
        <f>IF(Proc[[#This Row],[Author]]="Marcela Urrego",VLOOKUP(LEFT(Proc[[#This Row],[Requested]],1),Table3[#All],2,0),VLOOKUP(Proc[[#This Row],[Author]],Table4[],2,0))</f>
        <v>LS</v>
      </c>
      <c r="L1094" s="69" t="s">
        <v>2563</v>
      </c>
      <c r="M1094" s="79">
        <v>45765.420370370368</v>
      </c>
      <c r="N1094" s="79">
        <v>45769</v>
      </c>
      <c r="O1094" s="79">
        <v>45769</v>
      </c>
      <c r="P1094" s="80" t="str">
        <f ca="1">IF(Proc[[#This Row],[DaysAgeing]]&gt;5,"yep","on track")</f>
        <v>on track</v>
      </c>
      <c r="Q1094" s="3">
        <f ca="1">IF(Proc[[#This Row],[DateClosed]]="",ABS(NETWORKDAYS(Proc[[#This Row],[DateOpened]],TODAY()))-1,ABS(NETWORKDAYS(Proc[[#This Row],[DateOpened]],Proc[[#This Row],[DateClosed]]))-1)</f>
        <v>2</v>
      </c>
      <c r="R1094" s="80" t="s">
        <v>489</v>
      </c>
      <c r="S1094" s="69"/>
    </row>
    <row r="1095" spans="1:19" hidden="1">
      <c r="A1095" s="72" t="s">
        <v>2715</v>
      </c>
      <c r="B1095" s="149" t="str">
        <f>IFERROR(VLOOKUP(Proc[[#This Row],[App]],Table2[],3,0),"open")</f>
        <v>ok</v>
      </c>
      <c r="C1095" s="72" t="s">
        <v>369</v>
      </c>
      <c r="D1095" t="s">
        <v>2734</v>
      </c>
      <c r="E1095" t="s">
        <v>2773</v>
      </c>
      <c r="F1095" s="117" t="s">
        <v>2773</v>
      </c>
      <c r="G1095" s="72" t="s">
        <v>400</v>
      </c>
      <c r="H1095" s="69" t="str">
        <f>IF(Proc[[#This Row],[type]]="LFF (MDG-F)",MID(Proc[[#This Row],[Obj]],13,10),"")</f>
        <v/>
      </c>
      <c r="J1095" s="69" t="b">
        <f>Proc[[#This Row],[Requested]]=Proc[[#This Row],[CurrentParent]]</f>
        <v>1</v>
      </c>
      <c r="K1095" s="144" t="str">
        <f>IF(Proc[[#This Row],[Author]]="Marcela Urrego",VLOOKUP(LEFT(Proc[[#This Row],[Requested]],1),Table3[#All],2,0),VLOOKUP(Proc[[#This Row],[Author]],Table4[],2,0))</f>
        <v>LS</v>
      </c>
      <c r="L1095" s="69" t="s">
        <v>2563</v>
      </c>
      <c r="M1095" s="79">
        <v>45765.420370370368</v>
      </c>
      <c r="N1095" s="79">
        <v>45769</v>
      </c>
      <c r="O1095" s="79">
        <v>45769</v>
      </c>
      <c r="P1095" s="80" t="str">
        <f ca="1">IF(Proc[[#This Row],[DaysAgeing]]&gt;5,"yep","on track")</f>
        <v>on track</v>
      </c>
      <c r="Q1095" s="3">
        <f ca="1">IF(Proc[[#This Row],[DateClosed]]="",ABS(NETWORKDAYS(Proc[[#This Row],[DateOpened]],TODAY()))-1,ABS(NETWORKDAYS(Proc[[#This Row],[DateOpened]],Proc[[#This Row],[DateClosed]]))-1)</f>
        <v>2</v>
      </c>
      <c r="R1095" s="80" t="s">
        <v>489</v>
      </c>
      <c r="S1095" s="69"/>
    </row>
    <row r="1096" spans="1:19" hidden="1">
      <c r="A1096" s="72" t="s">
        <v>2715</v>
      </c>
      <c r="B1096" s="149" t="str">
        <f>IFERROR(VLOOKUP(Proc[[#This Row],[App]],Table2[],3,0),"open")</f>
        <v>ok</v>
      </c>
      <c r="C1096" s="72" t="s">
        <v>369</v>
      </c>
      <c r="D1096" t="s">
        <v>2735</v>
      </c>
      <c r="E1096" t="s">
        <v>2770</v>
      </c>
      <c r="F1096" s="117" t="s">
        <v>2770</v>
      </c>
      <c r="G1096" s="72" t="s">
        <v>400</v>
      </c>
      <c r="H1096" s="69" t="str">
        <f>IF(Proc[[#This Row],[type]]="LFF (MDG-F)",MID(Proc[[#This Row],[Obj]],13,10),"")</f>
        <v/>
      </c>
      <c r="J1096" s="69" t="b">
        <f>Proc[[#This Row],[Requested]]=Proc[[#This Row],[CurrentParent]]</f>
        <v>1</v>
      </c>
      <c r="K1096" s="144" t="str">
        <f>IF(Proc[[#This Row],[Author]]="Marcela Urrego",VLOOKUP(LEFT(Proc[[#This Row],[Requested]],1),Table3[#All],2,0),VLOOKUP(Proc[[#This Row],[Author]],Table4[],2,0))</f>
        <v>LS</v>
      </c>
      <c r="L1096" s="69" t="s">
        <v>2563</v>
      </c>
      <c r="M1096" s="79">
        <v>45765.420370370368</v>
      </c>
      <c r="N1096" s="79">
        <v>45769</v>
      </c>
      <c r="O1096" s="79">
        <v>45769</v>
      </c>
      <c r="P1096" s="80" t="str">
        <f ca="1">IF(Proc[[#This Row],[DaysAgeing]]&gt;5,"yep","on track")</f>
        <v>on track</v>
      </c>
      <c r="Q1096" s="3">
        <f ca="1">IF(Proc[[#This Row],[DateClosed]]="",ABS(NETWORKDAYS(Proc[[#This Row],[DateOpened]],TODAY()))-1,ABS(NETWORKDAYS(Proc[[#This Row],[DateOpened]],Proc[[#This Row],[DateClosed]]))-1)</f>
        <v>2</v>
      </c>
      <c r="R1096" s="80" t="s">
        <v>489</v>
      </c>
      <c r="S1096" s="69"/>
    </row>
    <row r="1097" spans="1:19" hidden="1">
      <c r="A1097" s="72" t="s">
        <v>2715</v>
      </c>
      <c r="B1097" s="149" t="str">
        <f>IFERROR(VLOOKUP(Proc[[#This Row],[App]],Table2[],3,0),"open")</f>
        <v>ok</v>
      </c>
      <c r="C1097" s="72" t="s">
        <v>369</v>
      </c>
      <c r="D1097" t="s">
        <v>2736</v>
      </c>
      <c r="E1097" t="s">
        <v>2691</v>
      </c>
      <c r="F1097" s="117" t="s">
        <v>2691</v>
      </c>
      <c r="G1097" s="72" t="s">
        <v>400</v>
      </c>
      <c r="H1097" s="69" t="str">
        <f>IF(Proc[[#This Row],[type]]="LFF (MDG-F)",MID(Proc[[#This Row],[Obj]],13,10),"")</f>
        <v/>
      </c>
      <c r="J1097" s="69" t="b">
        <f>Proc[[#This Row],[Requested]]=Proc[[#This Row],[CurrentParent]]</f>
        <v>1</v>
      </c>
      <c r="K1097" s="144" t="str">
        <f>IF(Proc[[#This Row],[Author]]="Marcela Urrego",VLOOKUP(LEFT(Proc[[#This Row],[Requested]],1),Table3[#All],2,0),VLOOKUP(Proc[[#This Row],[Author]],Table4[],2,0))</f>
        <v>LS</v>
      </c>
      <c r="L1097" s="69" t="s">
        <v>2563</v>
      </c>
      <c r="M1097" s="79">
        <v>45765.420370370368</v>
      </c>
      <c r="N1097" s="79">
        <v>45769</v>
      </c>
      <c r="O1097" s="79">
        <v>45769</v>
      </c>
      <c r="P1097" s="80" t="str">
        <f ca="1">IF(Proc[[#This Row],[DaysAgeing]]&gt;5,"yep","on track")</f>
        <v>on track</v>
      </c>
      <c r="Q1097" s="3">
        <f ca="1">IF(Proc[[#This Row],[DateClosed]]="",ABS(NETWORKDAYS(Proc[[#This Row],[DateOpened]],TODAY()))-1,ABS(NETWORKDAYS(Proc[[#This Row],[DateOpened]],Proc[[#This Row],[DateClosed]]))-1)</f>
        <v>2</v>
      </c>
      <c r="R1097" s="80" t="s">
        <v>489</v>
      </c>
      <c r="S1097" s="69"/>
    </row>
    <row r="1098" spans="1:19" hidden="1">
      <c r="A1098" s="72" t="s">
        <v>2715</v>
      </c>
      <c r="B1098" s="149" t="str">
        <f>IFERROR(VLOOKUP(Proc[[#This Row],[App]],Table2[],3,0),"open")</f>
        <v>ok</v>
      </c>
      <c r="C1098" s="72" t="s">
        <v>369</v>
      </c>
      <c r="D1098" t="s">
        <v>2737</v>
      </c>
      <c r="E1098" t="s">
        <v>2691</v>
      </c>
      <c r="F1098" s="117" t="s">
        <v>2691</v>
      </c>
      <c r="G1098" s="72" t="s">
        <v>400</v>
      </c>
      <c r="H1098" s="69" t="str">
        <f>IF(Proc[[#This Row],[type]]="LFF (MDG-F)",MID(Proc[[#This Row],[Obj]],13,10),"")</f>
        <v/>
      </c>
      <c r="J1098" s="69" t="b">
        <f>Proc[[#This Row],[Requested]]=Proc[[#This Row],[CurrentParent]]</f>
        <v>1</v>
      </c>
      <c r="K1098" s="144" t="str">
        <f>IF(Proc[[#This Row],[Author]]="Marcela Urrego",VLOOKUP(LEFT(Proc[[#This Row],[Requested]],1),Table3[#All],2,0),VLOOKUP(Proc[[#This Row],[Author]],Table4[],2,0))</f>
        <v>LS</v>
      </c>
      <c r="L1098" s="69" t="s">
        <v>2563</v>
      </c>
      <c r="M1098" s="79">
        <v>45765.420370370368</v>
      </c>
      <c r="N1098" s="79">
        <v>45769</v>
      </c>
      <c r="O1098" s="79">
        <v>45769</v>
      </c>
      <c r="P1098" s="80" t="str">
        <f ca="1">IF(Proc[[#This Row],[DaysAgeing]]&gt;5,"yep","on track")</f>
        <v>on track</v>
      </c>
      <c r="Q1098" s="3">
        <f ca="1">IF(Proc[[#This Row],[DateClosed]]="",ABS(NETWORKDAYS(Proc[[#This Row],[DateOpened]],TODAY()))-1,ABS(NETWORKDAYS(Proc[[#This Row],[DateOpened]],Proc[[#This Row],[DateClosed]]))-1)</f>
        <v>2</v>
      </c>
      <c r="R1098" s="80" t="s">
        <v>489</v>
      </c>
      <c r="S1098" s="69"/>
    </row>
    <row r="1099" spans="1:19" hidden="1">
      <c r="A1099" s="72" t="s">
        <v>2715</v>
      </c>
      <c r="B1099" s="149" t="str">
        <f>IFERROR(VLOOKUP(Proc[[#This Row],[App]],Table2[],3,0),"open")</f>
        <v>ok</v>
      </c>
      <c r="C1099" s="72" t="s">
        <v>369</v>
      </c>
      <c r="D1099" t="s">
        <v>2738</v>
      </c>
      <c r="E1099" t="s">
        <v>2691</v>
      </c>
      <c r="F1099" s="117" t="s">
        <v>2691</v>
      </c>
      <c r="G1099" s="72" t="s">
        <v>400</v>
      </c>
      <c r="H1099" s="69" t="str">
        <f>IF(Proc[[#This Row],[type]]="LFF (MDG-F)",MID(Proc[[#This Row],[Obj]],13,10),"")</f>
        <v/>
      </c>
      <c r="J1099" s="69" t="b">
        <f>Proc[[#This Row],[Requested]]=Proc[[#This Row],[CurrentParent]]</f>
        <v>1</v>
      </c>
      <c r="K1099" s="144" t="str">
        <f>IF(Proc[[#This Row],[Author]]="Marcela Urrego",VLOOKUP(LEFT(Proc[[#This Row],[Requested]],1),Table3[#All],2,0),VLOOKUP(Proc[[#This Row],[Author]],Table4[],2,0))</f>
        <v>LS</v>
      </c>
      <c r="L1099" s="69" t="s">
        <v>2563</v>
      </c>
      <c r="M1099" s="79">
        <v>45765.420370370368</v>
      </c>
      <c r="N1099" s="79">
        <v>45769</v>
      </c>
      <c r="O1099" s="79">
        <v>45769</v>
      </c>
      <c r="P1099" s="80" t="str">
        <f ca="1">IF(Proc[[#This Row],[DaysAgeing]]&gt;5,"yep","on track")</f>
        <v>on track</v>
      </c>
      <c r="Q1099" s="3">
        <f ca="1">IF(Proc[[#This Row],[DateClosed]]="",ABS(NETWORKDAYS(Proc[[#This Row],[DateOpened]],TODAY()))-1,ABS(NETWORKDAYS(Proc[[#This Row],[DateOpened]],Proc[[#This Row],[DateClosed]]))-1)</f>
        <v>2</v>
      </c>
      <c r="R1099" s="80" t="s">
        <v>489</v>
      </c>
      <c r="S1099" s="69"/>
    </row>
    <row r="1100" spans="1:19" hidden="1">
      <c r="A1100" s="72" t="s">
        <v>2715</v>
      </c>
      <c r="B1100" s="149" t="str">
        <f>IFERROR(VLOOKUP(Proc[[#This Row],[App]],Table2[],3,0),"open")</f>
        <v>ok</v>
      </c>
      <c r="C1100" s="72" t="s">
        <v>369</v>
      </c>
      <c r="D1100" t="s">
        <v>2739</v>
      </c>
      <c r="E1100" t="s">
        <v>2774</v>
      </c>
      <c r="F1100" s="117" t="s">
        <v>2774</v>
      </c>
      <c r="G1100" s="72" t="s">
        <v>400</v>
      </c>
      <c r="H1100" s="69" t="str">
        <f>IF(Proc[[#This Row],[type]]="LFF (MDG-F)",MID(Proc[[#This Row],[Obj]],13,10),"")</f>
        <v/>
      </c>
      <c r="J1100" s="69" t="b">
        <f>Proc[[#This Row],[Requested]]=Proc[[#This Row],[CurrentParent]]</f>
        <v>1</v>
      </c>
      <c r="K1100" s="144" t="str">
        <f>IF(Proc[[#This Row],[Author]]="Marcela Urrego",VLOOKUP(LEFT(Proc[[#This Row],[Requested]],1),Table3[#All],2,0),VLOOKUP(Proc[[#This Row],[Author]],Table4[],2,0))</f>
        <v>LS</v>
      </c>
      <c r="L1100" s="69" t="s">
        <v>2563</v>
      </c>
      <c r="M1100" s="79">
        <v>45765.420370370368</v>
      </c>
      <c r="N1100" s="79">
        <v>45769</v>
      </c>
      <c r="O1100" s="79">
        <v>45769</v>
      </c>
      <c r="P1100" s="80" t="str">
        <f ca="1">IF(Proc[[#This Row],[DaysAgeing]]&gt;5,"yep","on track")</f>
        <v>on track</v>
      </c>
      <c r="Q1100" s="3">
        <f ca="1">IF(Proc[[#This Row],[DateClosed]]="",ABS(NETWORKDAYS(Proc[[#This Row],[DateOpened]],TODAY()))-1,ABS(NETWORKDAYS(Proc[[#This Row],[DateOpened]],Proc[[#This Row],[DateClosed]]))-1)</f>
        <v>2</v>
      </c>
      <c r="R1100" s="80" t="s">
        <v>489</v>
      </c>
      <c r="S1100" s="69"/>
    </row>
    <row r="1101" spans="1:19" hidden="1">
      <c r="A1101" s="72" t="s">
        <v>2715</v>
      </c>
      <c r="B1101" s="149" t="str">
        <f>IFERROR(VLOOKUP(Proc[[#This Row],[App]],Table2[],3,0),"open")</f>
        <v>ok</v>
      </c>
      <c r="C1101" s="72" t="s">
        <v>369</v>
      </c>
      <c r="D1101" t="s">
        <v>2740</v>
      </c>
      <c r="E1101" t="s">
        <v>2774</v>
      </c>
      <c r="F1101" s="117" t="s">
        <v>2774</v>
      </c>
      <c r="G1101" s="72" t="s">
        <v>400</v>
      </c>
      <c r="H1101" s="69" t="str">
        <f>IF(Proc[[#This Row],[type]]="LFF (MDG-F)",MID(Proc[[#This Row],[Obj]],13,10),"")</f>
        <v/>
      </c>
      <c r="J1101" s="69" t="b">
        <f>Proc[[#This Row],[Requested]]=Proc[[#This Row],[CurrentParent]]</f>
        <v>1</v>
      </c>
      <c r="K1101" s="144" t="str">
        <f>IF(Proc[[#This Row],[Author]]="Marcela Urrego",VLOOKUP(LEFT(Proc[[#This Row],[Requested]],1),Table3[#All],2,0),VLOOKUP(Proc[[#This Row],[Author]],Table4[],2,0))</f>
        <v>LS</v>
      </c>
      <c r="L1101" s="69" t="s">
        <v>2563</v>
      </c>
      <c r="M1101" s="79">
        <v>45765.420370370368</v>
      </c>
      <c r="N1101" s="79">
        <v>45769</v>
      </c>
      <c r="O1101" s="79">
        <v>45769</v>
      </c>
      <c r="P1101" s="80" t="str">
        <f ca="1">IF(Proc[[#This Row],[DaysAgeing]]&gt;5,"yep","on track")</f>
        <v>on track</v>
      </c>
      <c r="Q1101" s="3">
        <f ca="1">IF(Proc[[#This Row],[DateClosed]]="",ABS(NETWORKDAYS(Proc[[#This Row],[DateOpened]],TODAY()))-1,ABS(NETWORKDAYS(Proc[[#This Row],[DateOpened]],Proc[[#This Row],[DateClosed]]))-1)</f>
        <v>2</v>
      </c>
      <c r="R1101" s="80" t="s">
        <v>489</v>
      </c>
      <c r="S1101" s="69"/>
    </row>
    <row r="1102" spans="1:19" hidden="1">
      <c r="A1102" s="72" t="s">
        <v>2715</v>
      </c>
      <c r="B1102" s="149" t="str">
        <f>IFERROR(VLOOKUP(Proc[[#This Row],[App]],Table2[],3,0),"open")</f>
        <v>ok</v>
      </c>
      <c r="C1102" s="72" t="s">
        <v>369</v>
      </c>
      <c r="D1102" t="s">
        <v>2741</v>
      </c>
      <c r="E1102" t="s">
        <v>2691</v>
      </c>
      <c r="F1102" s="117" t="s">
        <v>2691</v>
      </c>
      <c r="G1102" s="72" t="s">
        <v>400</v>
      </c>
      <c r="H1102" s="69" t="str">
        <f>IF(Proc[[#This Row],[type]]="LFF (MDG-F)",MID(Proc[[#This Row],[Obj]],13,10),"")</f>
        <v/>
      </c>
      <c r="J1102" s="69" t="b">
        <f>Proc[[#This Row],[Requested]]=Proc[[#This Row],[CurrentParent]]</f>
        <v>1</v>
      </c>
      <c r="K1102" s="144" t="str">
        <f>IF(Proc[[#This Row],[Author]]="Marcela Urrego",VLOOKUP(LEFT(Proc[[#This Row],[Requested]],1),Table3[#All],2,0),VLOOKUP(Proc[[#This Row],[Author]],Table4[],2,0))</f>
        <v>LS</v>
      </c>
      <c r="L1102" s="69" t="s">
        <v>2563</v>
      </c>
      <c r="M1102" s="79">
        <v>45765.420370370368</v>
      </c>
      <c r="N1102" s="79">
        <v>45769</v>
      </c>
      <c r="O1102" s="79">
        <v>45769</v>
      </c>
      <c r="P1102" s="80" t="str">
        <f ca="1">IF(Proc[[#This Row],[DaysAgeing]]&gt;5,"yep","on track")</f>
        <v>on track</v>
      </c>
      <c r="Q1102" s="3">
        <f ca="1">IF(Proc[[#This Row],[DateClosed]]="",ABS(NETWORKDAYS(Proc[[#This Row],[DateOpened]],TODAY()))-1,ABS(NETWORKDAYS(Proc[[#This Row],[DateOpened]],Proc[[#This Row],[DateClosed]]))-1)</f>
        <v>2</v>
      </c>
      <c r="R1102" s="80" t="s">
        <v>489</v>
      </c>
      <c r="S1102" s="69"/>
    </row>
    <row r="1103" spans="1:19" hidden="1">
      <c r="A1103" s="72" t="s">
        <v>2715</v>
      </c>
      <c r="B1103" s="149" t="str">
        <f>IFERROR(VLOOKUP(Proc[[#This Row],[App]],Table2[],3,0),"open")</f>
        <v>ok</v>
      </c>
      <c r="C1103" s="72" t="s">
        <v>369</v>
      </c>
      <c r="D1103" t="s">
        <v>2742</v>
      </c>
      <c r="E1103" t="s">
        <v>2775</v>
      </c>
      <c r="F1103" s="117" t="s">
        <v>2775</v>
      </c>
      <c r="G1103" s="72" t="s">
        <v>400</v>
      </c>
      <c r="H1103" s="69" t="str">
        <f>IF(Proc[[#This Row],[type]]="LFF (MDG-F)",MID(Proc[[#This Row],[Obj]],13,10),"")</f>
        <v/>
      </c>
      <c r="J1103" s="69" t="b">
        <f>Proc[[#This Row],[Requested]]=Proc[[#This Row],[CurrentParent]]</f>
        <v>1</v>
      </c>
      <c r="K1103" s="144" t="str">
        <f>IF(Proc[[#This Row],[Author]]="Marcela Urrego",VLOOKUP(LEFT(Proc[[#This Row],[Requested]],1),Table3[#All],2,0),VLOOKUP(Proc[[#This Row],[Author]],Table4[],2,0))</f>
        <v>LS</v>
      </c>
      <c r="L1103" s="69" t="s">
        <v>2563</v>
      </c>
      <c r="M1103" s="79">
        <v>45765.420370370368</v>
      </c>
      <c r="N1103" s="79">
        <v>45769</v>
      </c>
      <c r="O1103" s="79">
        <v>45769</v>
      </c>
      <c r="P1103" s="80" t="str">
        <f ca="1">IF(Proc[[#This Row],[DaysAgeing]]&gt;5,"yep","on track")</f>
        <v>on track</v>
      </c>
      <c r="Q1103" s="3">
        <f ca="1">IF(Proc[[#This Row],[DateClosed]]="",ABS(NETWORKDAYS(Proc[[#This Row],[DateOpened]],TODAY()))-1,ABS(NETWORKDAYS(Proc[[#This Row],[DateOpened]],Proc[[#This Row],[DateClosed]]))-1)</f>
        <v>2</v>
      </c>
      <c r="R1103" s="80" t="s">
        <v>489</v>
      </c>
      <c r="S1103" s="69"/>
    </row>
    <row r="1104" spans="1:19" hidden="1">
      <c r="A1104" s="72" t="s">
        <v>2715</v>
      </c>
      <c r="B1104" s="149" t="str">
        <f>IFERROR(VLOOKUP(Proc[[#This Row],[App]],Table2[],3,0),"open")</f>
        <v>ok</v>
      </c>
      <c r="C1104" s="72" t="s">
        <v>369</v>
      </c>
      <c r="D1104" t="s">
        <v>2743</v>
      </c>
      <c r="E1104" t="s">
        <v>2776</v>
      </c>
      <c r="F1104" s="117" t="s">
        <v>2776</v>
      </c>
      <c r="G1104" s="72" t="s">
        <v>400</v>
      </c>
      <c r="H1104" s="69" t="str">
        <f>IF(Proc[[#This Row],[type]]="LFF (MDG-F)",MID(Proc[[#This Row],[Obj]],13,10),"")</f>
        <v/>
      </c>
      <c r="J1104" s="69" t="b">
        <f>Proc[[#This Row],[Requested]]=Proc[[#This Row],[CurrentParent]]</f>
        <v>1</v>
      </c>
      <c r="K1104" s="144" t="str">
        <f>IF(Proc[[#This Row],[Author]]="Marcela Urrego",VLOOKUP(LEFT(Proc[[#This Row],[Requested]],1),Table3[#All],2,0),VLOOKUP(Proc[[#This Row],[Author]],Table4[],2,0))</f>
        <v>LS</v>
      </c>
      <c r="L1104" s="69" t="s">
        <v>2563</v>
      </c>
      <c r="M1104" s="79">
        <v>45765.420370370368</v>
      </c>
      <c r="N1104" s="79">
        <v>45769</v>
      </c>
      <c r="O1104" s="79">
        <v>45769</v>
      </c>
      <c r="P1104" s="80" t="str">
        <f ca="1">IF(Proc[[#This Row],[DaysAgeing]]&gt;5,"yep","on track")</f>
        <v>on track</v>
      </c>
      <c r="Q1104" s="3">
        <f ca="1">IF(Proc[[#This Row],[DateClosed]]="",ABS(NETWORKDAYS(Proc[[#This Row],[DateOpened]],TODAY()))-1,ABS(NETWORKDAYS(Proc[[#This Row],[DateOpened]],Proc[[#This Row],[DateClosed]]))-1)</f>
        <v>2</v>
      </c>
      <c r="R1104" s="80" t="s">
        <v>489</v>
      </c>
      <c r="S1104" s="69"/>
    </row>
    <row r="1105" spans="1:19" hidden="1">
      <c r="A1105" s="72" t="s">
        <v>2715</v>
      </c>
      <c r="B1105" s="149" t="str">
        <f>IFERROR(VLOOKUP(Proc[[#This Row],[App]],Table2[],3,0),"open")</f>
        <v>ok</v>
      </c>
      <c r="C1105" s="72" t="s">
        <v>369</v>
      </c>
      <c r="D1105" t="s">
        <v>2744</v>
      </c>
      <c r="E1105" t="s">
        <v>2777</v>
      </c>
      <c r="F1105" s="117" t="s">
        <v>2777</v>
      </c>
      <c r="G1105" s="72" t="s">
        <v>400</v>
      </c>
      <c r="H1105" s="69" t="str">
        <f>IF(Proc[[#This Row],[type]]="LFF (MDG-F)",MID(Proc[[#This Row],[Obj]],13,10),"")</f>
        <v/>
      </c>
      <c r="J1105" s="69" t="b">
        <f>Proc[[#This Row],[Requested]]=Proc[[#This Row],[CurrentParent]]</f>
        <v>1</v>
      </c>
      <c r="K1105" s="144" t="str">
        <f>IF(Proc[[#This Row],[Author]]="Marcela Urrego",VLOOKUP(LEFT(Proc[[#This Row],[Requested]],1),Table3[#All],2,0),VLOOKUP(Proc[[#This Row],[Author]],Table4[],2,0))</f>
        <v>LS</v>
      </c>
      <c r="L1105" s="69" t="s">
        <v>2563</v>
      </c>
      <c r="M1105" s="79">
        <v>45765.420370370368</v>
      </c>
      <c r="N1105" s="79">
        <v>45769</v>
      </c>
      <c r="O1105" s="79">
        <v>45769</v>
      </c>
      <c r="P1105" s="80" t="str">
        <f ca="1">IF(Proc[[#This Row],[DaysAgeing]]&gt;5,"yep","on track")</f>
        <v>on track</v>
      </c>
      <c r="Q1105" s="3">
        <f ca="1">IF(Proc[[#This Row],[DateClosed]]="",ABS(NETWORKDAYS(Proc[[#This Row],[DateOpened]],TODAY()))-1,ABS(NETWORKDAYS(Proc[[#This Row],[DateOpened]],Proc[[#This Row],[DateClosed]]))-1)</f>
        <v>2</v>
      </c>
      <c r="R1105" s="80" t="s">
        <v>489</v>
      </c>
      <c r="S1105" s="69"/>
    </row>
    <row r="1106" spans="1:19" hidden="1">
      <c r="A1106" s="72" t="s">
        <v>2715</v>
      </c>
      <c r="B1106" s="149" t="str">
        <f>IFERROR(VLOOKUP(Proc[[#This Row],[App]],Table2[],3,0),"open")</f>
        <v>ok</v>
      </c>
      <c r="C1106" s="72" t="s">
        <v>369</v>
      </c>
      <c r="D1106" t="s">
        <v>2745</v>
      </c>
      <c r="E1106" t="s">
        <v>2774</v>
      </c>
      <c r="F1106" s="117" t="s">
        <v>2774</v>
      </c>
      <c r="G1106" s="72" t="s">
        <v>400</v>
      </c>
      <c r="H1106" s="69" t="str">
        <f>IF(Proc[[#This Row],[type]]="LFF (MDG-F)",MID(Proc[[#This Row],[Obj]],13,10),"")</f>
        <v/>
      </c>
      <c r="J1106" s="69" t="b">
        <f>Proc[[#This Row],[Requested]]=Proc[[#This Row],[CurrentParent]]</f>
        <v>1</v>
      </c>
      <c r="K1106" s="144" t="str">
        <f>IF(Proc[[#This Row],[Author]]="Marcela Urrego",VLOOKUP(LEFT(Proc[[#This Row],[Requested]],1),Table3[#All],2,0),VLOOKUP(Proc[[#This Row],[Author]],Table4[],2,0))</f>
        <v>LS</v>
      </c>
      <c r="L1106" s="69" t="s">
        <v>2563</v>
      </c>
      <c r="M1106" s="79">
        <v>45765.420370370368</v>
      </c>
      <c r="N1106" s="79">
        <v>45769</v>
      </c>
      <c r="O1106" s="79">
        <v>45769</v>
      </c>
      <c r="P1106" s="80" t="str">
        <f ca="1">IF(Proc[[#This Row],[DaysAgeing]]&gt;5,"yep","on track")</f>
        <v>on track</v>
      </c>
      <c r="Q1106" s="3">
        <f ca="1">IF(Proc[[#This Row],[DateClosed]]="",ABS(NETWORKDAYS(Proc[[#This Row],[DateOpened]],TODAY()))-1,ABS(NETWORKDAYS(Proc[[#This Row],[DateOpened]],Proc[[#This Row],[DateClosed]]))-1)</f>
        <v>2</v>
      </c>
      <c r="R1106" s="80" t="s">
        <v>489</v>
      </c>
      <c r="S1106" s="69"/>
    </row>
    <row r="1107" spans="1:19" hidden="1">
      <c r="A1107" s="72" t="s">
        <v>2715</v>
      </c>
      <c r="B1107" s="149" t="str">
        <f>IFERROR(VLOOKUP(Proc[[#This Row],[App]],Table2[],3,0),"open")</f>
        <v>ok</v>
      </c>
      <c r="C1107" s="72" t="s">
        <v>369</v>
      </c>
      <c r="D1107" t="s">
        <v>2746</v>
      </c>
      <c r="E1107" t="s">
        <v>2774</v>
      </c>
      <c r="F1107" s="117" t="s">
        <v>2774</v>
      </c>
      <c r="G1107" s="72" t="s">
        <v>400</v>
      </c>
      <c r="H1107" s="69" t="str">
        <f>IF(Proc[[#This Row],[type]]="LFF (MDG-F)",MID(Proc[[#This Row],[Obj]],13,10),"")</f>
        <v/>
      </c>
      <c r="J1107" s="69" t="b">
        <f>Proc[[#This Row],[Requested]]=Proc[[#This Row],[CurrentParent]]</f>
        <v>1</v>
      </c>
      <c r="K1107" s="144" t="str">
        <f>IF(Proc[[#This Row],[Author]]="Marcela Urrego",VLOOKUP(LEFT(Proc[[#This Row],[Requested]],1),Table3[#All],2,0),VLOOKUP(Proc[[#This Row],[Author]],Table4[],2,0))</f>
        <v>LS</v>
      </c>
      <c r="L1107" s="69" t="s">
        <v>2563</v>
      </c>
      <c r="M1107" s="79">
        <v>45765.420370370368</v>
      </c>
      <c r="N1107" s="79">
        <v>45769</v>
      </c>
      <c r="O1107" s="79">
        <v>45769</v>
      </c>
      <c r="P1107" s="80" t="str">
        <f ca="1">IF(Proc[[#This Row],[DaysAgeing]]&gt;5,"yep","on track")</f>
        <v>on track</v>
      </c>
      <c r="Q1107" s="3">
        <f ca="1">IF(Proc[[#This Row],[DateClosed]]="",ABS(NETWORKDAYS(Proc[[#This Row],[DateOpened]],TODAY()))-1,ABS(NETWORKDAYS(Proc[[#This Row],[DateOpened]],Proc[[#This Row],[DateClosed]]))-1)</f>
        <v>2</v>
      </c>
      <c r="R1107" s="80" t="s">
        <v>489</v>
      </c>
      <c r="S1107" s="69"/>
    </row>
    <row r="1108" spans="1:19" hidden="1">
      <c r="A1108" s="72" t="s">
        <v>2715</v>
      </c>
      <c r="B1108" s="149" t="str">
        <f>IFERROR(VLOOKUP(Proc[[#This Row],[App]],Table2[],3,0),"open")</f>
        <v>ok</v>
      </c>
      <c r="C1108" s="72" t="s">
        <v>369</v>
      </c>
      <c r="D1108" t="s">
        <v>2747</v>
      </c>
      <c r="E1108" t="s">
        <v>2774</v>
      </c>
      <c r="F1108" s="117" t="s">
        <v>2774</v>
      </c>
      <c r="G1108" s="72" t="s">
        <v>400</v>
      </c>
      <c r="H1108" s="69" t="str">
        <f>IF(Proc[[#This Row],[type]]="LFF (MDG-F)",MID(Proc[[#This Row],[Obj]],13,10),"")</f>
        <v/>
      </c>
      <c r="J1108" s="69" t="b">
        <f>Proc[[#This Row],[Requested]]=Proc[[#This Row],[CurrentParent]]</f>
        <v>1</v>
      </c>
      <c r="K1108" s="144" t="str">
        <f>IF(Proc[[#This Row],[Author]]="Marcela Urrego",VLOOKUP(LEFT(Proc[[#This Row],[Requested]],1),Table3[#All],2,0),VLOOKUP(Proc[[#This Row],[Author]],Table4[],2,0))</f>
        <v>LS</v>
      </c>
      <c r="L1108" s="69" t="s">
        <v>2563</v>
      </c>
      <c r="M1108" s="79">
        <v>45765.420370370368</v>
      </c>
      <c r="N1108" s="79">
        <v>45769</v>
      </c>
      <c r="O1108" s="79">
        <v>45769</v>
      </c>
      <c r="P1108" s="80" t="str">
        <f ca="1">IF(Proc[[#This Row],[DaysAgeing]]&gt;5,"yep","on track")</f>
        <v>on track</v>
      </c>
      <c r="Q1108" s="3">
        <f ca="1">IF(Proc[[#This Row],[DateClosed]]="",ABS(NETWORKDAYS(Proc[[#This Row],[DateOpened]],TODAY()))-1,ABS(NETWORKDAYS(Proc[[#This Row],[DateOpened]],Proc[[#This Row],[DateClosed]]))-1)</f>
        <v>2</v>
      </c>
      <c r="R1108" s="80" t="s">
        <v>489</v>
      </c>
      <c r="S1108" s="69"/>
    </row>
    <row r="1109" spans="1:19" hidden="1">
      <c r="A1109" s="72" t="s">
        <v>2715</v>
      </c>
      <c r="B1109" s="149" t="str">
        <f>IFERROR(VLOOKUP(Proc[[#This Row],[App]],Table2[],3,0),"open")</f>
        <v>ok</v>
      </c>
      <c r="C1109" s="72" t="s">
        <v>369</v>
      </c>
      <c r="D1109" t="s">
        <v>2748</v>
      </c>
      <c r="E1109" t="s">
        <v>2774</v>
      </c>
      <c r="F1109" s="117" t="s">
        <v>2774</v>
      </c>
      <c r="G1109" s="72" t="s">
        <v>400</v>
      </c>
      <c r="H1109" s="69" t="str">
        <f>IF(Proc[[#This Row],[type]]="LFF (MDG-F)",MID(Proc[[#This Row],[Obj]],13,10),"")</f>
        <v/>
      </c>
      <c r="J1109" s="69" t="b">
        <f>Proc[[#This Row],[Requested]]=Proc[[#This Row],[CurrentParent]]</f>
        <v>1</v>
      </c>
      <c r="K1109" s="144" t="str">
        <f>IF(Proc[[#This Row],[Author]]="Marcela Urrego",VLOOKUP(LEFT(Proc[[#This Row],[Requested]],1),Table3[#All],2,0),VLOOKUP(Proc[[#This Row],[Author]],Table4[],2,0))</f>
        <v>LS</v>
      </c>
      <c r="L1109" s="69" t="s">
        <v>2563</v>
      </c>
      <c r="M1109" s="79">
        <v>45765.420370370368</v>
      </c>
      <c r="N1109" s="79">
        <v>45769</v>
      </c>
      <c r="O1109" s="79">
        <v>45769</v>
      </c>
      <c r="P1109" s="80" t="str">
        <f ca="1">IF(Proc[[#This Row],[DaysAgeing]]&gt;5,"yep","on track")</f>
        <v>on track</v>
      </c>
      <c r="Q1109" s="3">
        <f ca="1">IF(Proc[[#This Row],[DateClosed]]="",ABS(NETWORKDAYS(Proc[[#This Row],[DateOpened]],TODAY()))-1,ABS(NETWORKDAYS(Proc[[#This Row],[DateOpened]],Proc[[#This Row],[DateClosed]]))-1)</f>
        <v>2</v>
      </c>
      <c r="R1109" s="80" t="s">
        <v>489</v>
      </c>
      <c r="S1109" s="69"/>
    </row>
    <row r="1110" spans="1:19" hidden="1">
      <c r="A1110" s="72" t="s">
        <v>2715</v>
      </c>
      <c r="B1110" s="149" t="str">
        <f>IFERROR(VLOOKUP(Proc[[#This Row],[App]],Table2[],3,0),"open")</f>
        <v>ok</v>
      </c>
      <c r="C1110" s="72" t="s">
        <v>369</v>
      </c>
      <c r="D1110" t="s">
        <v>2749</v>
      </c>
      <c r="E1110" t="s">
        <v>2775</v>
      </c>
      <c r="F1110" s="117" t="s">
        <v>2775</v>
      </c>
      <c r="G1110" s="72" t="s">
        <v>400</v>
      </c>
      <c r="H1110" s="69" t="str">
        <f>IF(Proc[[#This Row],[type]]="LFF (MDG-F)",MID(Proc[[#This Row],[Obj]],13,10),"")</f>
        <v/>
      </c>
      <c r="J1110" s="69" t="b">
        <f>Proc[[#This Row],[Requested]]=Proc[[#This Row],[CurrentParent]]</f>
        <v>1</v>
      </c>
      <c r="K1110" s="144" t="str">
        <f>IF(Proc[[#This Row],[Author]]="Marcela Urrego",VLOOKUP(LEFT(Proc[[#This Row],[Requested]],1),Table3[#All],2,0),VLOOKUP(Proc[[#This Row],[Author]],Table4[],2,0))</f>
        <v>LS</v>
      </c>
      <c r="L1110" s="69" t="s">
        <v>2563</v>
      </c>
      <c r="M1110" s="79">
        <v>45765.420370370368</v>
      </c>
      <c r="N1110" s="79">
        <v>45769</v>
      </c>
      <c r="O1110" s="79">
        <v>45769</v>
      </c>
      <c r="P1110" s="80" t="str">
        <f ca="1">IF(Proc[[#This Row],[DaysAgeing]]&gt;5,"yep","on track")</f>
        <v>on track</v>
      </c>
      <c r="Q1110" s="3">
        <f ca="1">IF(Proc[[#This Row],[DateClosed]]="",ABS(NETWORKDAYS(Proc[[#This Row],[DateOpened]],TODAY()))-1,ABS(NETWORKDAYS(Proc[[#This Row],[DateOpened]],Proc[[#This Row],[DateClosed]]))-1)</f>
        <v>2</v>
      </c>
      <c r="R1110" s="80" t="s">
        <v>489</v>
      </c>
      <c r="S1110" s="69"/>
    </row>
    <row r="1111" spans="1:19" hidden="1">
      <c r="A1111" s="72" t="s">
        <v>2715</v>
      </c>
      <c r="B1111" s="149" t="str">
        <f>IFERROR(VLOOKUP(Proc[[#This Row],[App]],Table2[],3,0),"open")</f>
        <v>ok</v>
      </c>
      <c r="C1111" s="72" t="s">
        <v>369</v>
      </c>
      <c r="D1111" t="s">
        <v>2750</v>
      </c>
      <c r="E1111" t="s">
        <v>2776</v>
      </c>
      <c r="F1111" s="117" t="s">
        <v>2776</v>
      </c>
      <c r="G1111" s="72" t="s">
        <v>400</v>
      </c>
      <c r="H1111" s="69" t="str">
        <f>IF(Proc[[#This Row],[type]]="LFF (MDG-F)",MID(Proc[[#This Row],[Obj]],13,10),"")</f>
        <v/>
      </c>
      <c r="J1111" s="69" t="b">
        <f>Proc[[#This Row],[Requested]]=Proc[[#This Row],[CurrentParent]]</f>
        <v>1</v>
      </c>
      <c r="K1111" s="144" t="str">
        <f>IF(Proc[[#This Row],[Author]]="Marcela Urrego",VLOOKUP(LEFT(Proc[[#This Row],[Requested]],1),Table3[#All],2,0),VLOOKUP(Proc[[#This Row],[Author]],Table4[],2,0))</f>
        <v>LS</v>
      </c>
      <c r="L1111" s="69" t="s">
        <v>2563</v>
      </c>
      <c r="M1111" s="79">
        <v>45765.420370370368</v>
      </c>
      <c r="N1111" s="79">
        <v>45769</v>
      </c>
      <c r="O1111" s="79">
        <v>45769</v>
      </c>
      <c r="P1111" s="80" t="str">
        <f ca="1">IF(Proc[[#This Row],[DaysAgeing]]&gt;5,"yep","on track")</f>
        <v>on track</v>
      </c>
      <c r="Q1111" s="3">
        <f ca="1">IF(Proc[[#This Row],[DateClosed]]="",ABS(NETWORKDAYS(Proc[[#This Row],[DateOpened]],TODAY()))-1,ABS(NETWORKDAYS(Proc[[#This Row],[DateOpened]],Proc[[#This Row],[DateClosed]]))-1)</f>
        <v>2</v>
      </c>
      <c r="R1111" s="80" t="s">
        <v>489</v>
      </c>
      <c r="S1111" s="69"/>
    </row>
    <row r="1112" spans="1:19" hidden="1">
      <c r="A1112" s="72" t="s">
        <v>2715</v>
      </c>
      <c r="B1112" s="149" t="str">
        <f>IFERROR(VLOOKUP(Proc[[#This Row],[App]],Table2[],3,0),"open")</f>
        <v>ok</v>
      </c>
      <c r="C1112" s="72" t="s">
        <v>369</v>
      </c>
      <c r="D1112" t="s">
        <v>2751</v>
      </c>
      <c r="E1112" t="s">
        <v>2778</v>
      </c>
      <c r="F1112" s="117" t="s">
        <v>2778</v>
      </c>
      <c r="G1112" s="72" t="s">
        <v>400</v>
      </c>
      <c r="H1112" s="69" t="str">
        <f>IF(Proc[[#This Row],[type]]="LFF (MDG-F)",MID(Proc[[#This Row],[Obj]],13,10),"")</f>
        <v/>
      </c>
      <c r="J1112" s="69" t="b">
        <f>Proc[[#This Row],[Requested]]=Proc[[#This Row],[CurrentParent]]</f>
        <v>1</v>
      </c>
      <c r="K1112" s="144" t="str">
        <f>IF(Proc[[#This Row],[Author]]="Marcela Urrego",VLOOKUP(LEFT(Proc[[#This Row],[Requested]],1),Table3[#All],2,0),VLOOKUP(Proc[[#This Row],[Author]],Table4[],2,0))</f>
        <v>LS</v>
      </c>
      <c r="L1112" s="69" t="s">
        <v>2563</v>
      </c>
      <c r="M1112" s="79">
        <v>45765.420370370368</v>
      </c>
      <c r="N1112" s="79">
        <v>45769</v>
      </c>
      <c r="O1112" s="79">
        <v>45769</v>
      </c>
      <c r="P1112" s="80" t="str">
        <f ca="1">IF(Proc[[#This Row],[DaysAgeing]]&gt;5,"yep","on track")</f>
        <v>on track</v>
      </c>
      <c r="Q1112" s="3">
        <f ca="1">IF(Proc[[#This Row],[DateClosed]]="",ABS(NETWORKDAYS(Proc[[#This Row],[DateOpened]],TODAY()))-1,ABS(NETWORKDAYS(Proc[[#This Row],[DateOpened]],Proc[[#This Row],[DateClosed]]))-1)</f>
        <v>2</v>
      </c>
      <c r="R1112" s="80" t="s">
        <v>489</v>
      </c>
      <c r="S1112" s="69"/>
    </row>
    <row r="1113" spans="1:19" hidden="1">
      <c r="A1113" s="72" t="s">
        <v>2715</v>
      </c>
      <c r="B1113" s="149" t="str">
        <f>IFERROR(VLOOKUP(Proc[[#This Row],[App]],Table2[],3,0),"open")</f>
        <v>ok</v>
      </c>
      <c r="C1113" s="72" t="s">
        <v>369</v>
      </c>
      <c r="D1113" t="s">
        <v>2752</v>
      </c>
      <c r="E1113" t="s">
        <v>2779</v>
      </c>
      <c r="F1113" s="117" t="s">
        <v>2779</v>
      </c>
      <c r="G1113" s="72" t="s">
        <v>400</v>
      </c>
      <c r="H1113" s="69" t="str">
        <f>IF(Proc[[#This Row],[type]]="LFF (MDG-F)",MID(Proc[[#This Row],[Obj]],13,10),"")</f>
        <v/>
      </c>
      <c r="J1113" s="69" t="b">
        <f>Proc[[#This Row],[Requested]]=Proc[[#This Row],[CurrentParent]]</f>
        <v>1</v>
      </c>
      <c r="K1113" s="144" t="str">
        <f>IF(Proc[[#This Row],[Author]]="Marcela Urrego",VLOOKUP(LEFT(Proc[[#This Row],[Requested]],1),Table3[#All],2,0),VLOOKUP(Proc[[#This Row],[Author]],Table4[],2,0))</f>
        <v>LS</v>
      </c>
      <c r="L1113" s="69" t="s">
        <v>2563</v>
      </c>
      <c r="M1113" s="79">
        <v>45765.420370370368</v>
      </c>
      <c r="N1113" s="79">
        <v>45769</v>
      </c>
      <c r="O1113" s="79">
        <v>45769</v>
      </c>
      <c r="P1113" s="80" t="str">
        <f ca="1">IF(Proc[[#This Row],[DaysAgeing]]&gt;5,"yep","on track")</f>
        <v>on track</v>
      </c>
      <c r="Q1113" s="3">
        <f ca="1">IF(Proc[[#This Row],[DateClosed]]="",ABS(NETWORKDAYS(Proc[[#This Row],[DateOpened]],TODAY()))-1,ABS(NETWORKDAYS(Proc[[#This Row],[DateOpened]],Proc[[#This Row],[DateClosed]]))-1)</f>
        <v>2</v>
      </c>
      <c r="R1113" s="80" t="s">
        <v>489</v>
      </c>
      <c r="S1113" s="69"/>
    </row>
    <row r="1114" spans="1:19" hidden="1">
      <c r="A1114" s="72" t="s">
        <v>2715</v>
      </c>
      <c r="B1114" s="149" t="str">
        <f>IFERROR(VLOOKUP(Proc[[#This Row],[App]],Table2[],3,0),"open")</f>
        <v>ok</v>
      </c>
      <c r="C1114" s="72" t="s">
        <v>369</v>
      </c>
      <c r="D1114" t="s">
        <v>2753</v>
      </c>
      <c r="E1114" t="s">
        <v>2691</v>
      </c>
      <c r="F1114" s="117" t="s">
        <v>2691</v>
      </c>
      <c r="G1114" s="72" t="s">
        <v>400</v>
      </c>
      <c r="H1114" s="69" t="str">
        <f>IF(Proc[[#This Row],[type]]="LFF (MDG-F)",MID(Proc[[#This Row],[Obj]],13,10),"")</f>
        <v/>
      </c>
      <c r="J1114" s="69" t="b">
        <f>Proc[[#This Row],[Requested]]=Proc[[#This Row],[CurrentParent]]</f>
        <v>1</v>
      </c>
      <c r="K1114" s="144" t="str">
        <f>IF(Proc[[#This Row],[Author]]="Marcela Urrego",VLOOKUP(LEFT(Proc[[#This Row],[Requested]],1),Table3[#All],2,0),VLOOKUP(Proc[[#This Row],[Author]],Table4[],2,0))</f>
        <v>LS</v>
      </c>
      <c r="L1114" s="69" t="s">
        <v>2563</v>
      </c>
      <c r="M1114" s="79">
        <v>45765.420370370368</v>
      </c>
      <c r="N1114" s="79">
        <v>45769</v>
      </c>
      <c r="O1114" s="79">
        <v>45769</v>
      </c>
      <c r="P1114" s="80" t="str">
        <f ca="1">IF(Proc[[#This Row],[DaysAgeing]]&gt;5,"yep","on track")</f>
        <v>on track</v>
      </c>
      <c r="Q1114" s="3">
        <f ca="1">IF(Proc[[#This Row],[DateClosed]]="",ABS(NETWORKDAYS(Proc[[#This Row],[DateOpened]],TODAY()))-1,ABS(NETWORKDAYS(Proc[[#This Row],[DateOpened]],Proc[[#This Row],[DateClosed]]))-1)</f>
        <v>2</v>
      </c>
      <c r="R1114" s="80" t="s">
        <v>489</v>
      </c>
      <c r="S1114" s="69"/>
    </row>
    <row r="1115" spans="1:19" hidden="1">
      <c r="A1115" s="72" t="s">
        <v>2715</v>
      </c>
      <c r="B1115" s="149" t="str">
        <f>IFERROR(VLOOKUP(Proc[[#This Row],[App]],Table2[],3,0),"open")</f>
        <v>ok</v>
      </c>
      <c r="C1115" s="72" t="s">
        <v>369</v>
      </c>
      <c r="D1115" t="s">
        <v>2754</v>
      </c>
      <c r="E1115" t="s">
        <v>2776</v>
      </c>
      <c r="F1115" s="117" t="s">
        <v>2776</v>
      </c>
      <c r="G1115" s="72" t="s">
        <v>400</v>
      </c>
      <c r="H1115" s="69" t="str">
        <f>IF(Proc[[#This Row],[type]]="LFF (MDG-F)",MID(Proc[[#This Row],[Obj]],13,10),"")</f>
        <v/>
      </c>
      <c r="J1115" s="69" t="b">
        <f>Proc[[#This Row],[Requested]]=Proc[[#This Row],[CurrentParent]]</f>
        <v>1</v>
      </c>
      <c r="K1115" s="144" t="str">
        <f>IF(Proc[[#This Row],[Author]]="Marcela Urrego",VLOOKUP(LEFT(Proc[[#This Row],[Requested]],1),Table3[#All],2,0),VLOOKUP(Proc[[#This Row],[Author]],Table4[],2,0))</f>
        <v>LS</v>
      </c>
      <c r="L1115" s="69" t="s">
        <v>2563</v>
      </c>
      <c r="M1115" s="79">
        <v>45765.420370370368</v>
      </c>
      <c r="N1115" s="79">
        <v>45769</v>
      </c>
      <c r="O1115" s="79">
        <v>45769</v>
      </c>
      <c r="P1115" s="80" t="str">
        <f ca="1">IF(Proc[[#This Row],[DaysAgeing]]&gt;5,"yep","on track")</f>
        <v>on track</v>
      </c>
      <c r="Q1115" s="3">
        <f ca="1">IF(Proc[[#This Row],[DateClosed]]="",ABS(NETWORKDAYS(Proc[[#This Row],[DateOpened]],TODAY()))-1,ABS(NETWORKDAYS(Proc[[#This Row],[DateOpened]],Proc[[#This Row],[DateClosed]]))-1)</f>
        <v>2</v>
      </c>
      <c r="R1115" s="80" t="s">
        <v>489</v>
      </c>
      <c r="S1115" s="69"/>
    </row>
    <row r="1116" spans="1:19" hidden="1">
      <c r="A1116" s="72" t="s">
        <v>2715</v>
      </c>
      <c r="B1116" s="149" t="str">
        <f>IFERROR(VLOOKUP(Proc[[#This Row],[App]],Table2[],3,0),"open")</f>
        <v>ok</v>
      </c>
      <c r="C1116" s="72" t="s">
        <v>369</v>
      </c>
      <c r="D1116" t="s">
        <v>2755</v>
      </c>
      <c r="E1116" t="s">
        <v>2776</v>
      </c>
      <c r="F1116" s="117" t="s">
        <v>2776</v>
      </c>
      <c r="G1116" s="72" t="s">
        <v>400</v>
      </c>
      <c r="H1116" s="69" t="str">
        <f>IF(Proc[[#This Row],[type]]="LFF (MDG-F)",MID(Proc[[#This Row],[Obj]],13,10),"")</f>
        <v/>
      </c>
      <c r="J1116" s="69" t="b">
        <f>Proc[[#This Row],[Requested]]=Proc[[#This Row],[CurrentParent]]</f>
        <v>1</v>
      </c>
      <c r="K1116" s="144" t="str">
        <f>IF(Proc[[#This Row],[Author]]="Marcela Urrego",VLOOKUP(LEFT(Proc[[#This Row],[Requested]],1),Table3[#All],2,0),VLOOKUP(Proc[[#This Row],[Author]],Table4[],2,0))</f>
        <v>LS</v>
      </c>
      <c r="L1116" s="69" t="s">
        <v>2563</v>
      </c>
      <c r="M1116" s="79">
        <v>45765.420370370368</v>
      </c>
      <c r="N1116" s="79">
        <v>45769</v>
      </c>
      <c r="O1116" s="79">
        <v>45769</v>
      </c>
      <c r="P1116" s="80" t="str">
        <f ca="1">IF(Proc[[#This Row],[DaysAgeing]]&gt;5,"yep","on track")</f>
        <v>on track</v>
      </c>
      <c r="Q1116" s="3">
        <f ca="1">IF(Proc[[#This Row],[DateClosed]]="",ABS(NETWORKDAYS(Proc[[#This Row],[DateOpened]],TODAY()))-1,ABS(NETWORKDAYS(Proc[[#This Row],[DateOpened]],Proc[[#This Row],[DateClosed]]))-1)</f>
        <v>2</v>
      </c>
      <c r="R1116" s="80" t="s">
        <v>489</v>
      </c>
      <c r="S1116" s="69"/>
    </row>
    <row r="1117" spans="1:19" hidden="1">
      <c r="A1117" s="72" t="s">
        <v>2715</v>
      </c>
      <c r="B1117" s="149" t="str">
        <f>IFERROR(VLOOKUP(Proc[[#This Row],[App]],Table2[],3,0),"open")</f>
        <v>ok</v>
      </c>
      <c r="C1117" s="72" t="s">
        <v>369</v>
      </c>
      <c r="D1117" t="s">
        <v>2756</v>
      </c>
      <c r="E1117" t="s">
        <v>2691</v>
      </c>
      <c r="F1117" s="117" t="s">
        <v>2691</v>
      </c>
      <c r="G1117" s="72" t="s">
        <v>400</v>
      </c>
      <c r="H1117" s="69" t="str">
        <f>IF(Proc[[#This Row],[type]]="LFF (MDG-F)",MID(Proc[[#This Row],[Obj]],13,10),"")</f>
        <v/>
      </c>
      <c r="J1117" s="69" t="b">
        <f>Proc[[#This Row],[Requested]]=Proc[[#This Row],[CurrentParent]]</f>
        <v>1</v>
      </c>
      <c r="K1117" s="144" t="str">
        <f>IF(Proc[[#This Row],[Author]]="Marcela Urrego",VLOOKUP(LEFT(Proc[[#This Row],[Requested]],1),Table3[#All],2,0),VLOOKUP(Proc[[#This Row],[Author]],Table4[],2,0))</f>
        <v>LS</v>
      </c>
      <c r="L1117" s="69" t="s">
        <v>2563</v>
      </c>
      <c r="M1117" s="79">
        <v>45765.420370370368</v>
      </c>
      <c r="N1117" s="79">
        <v>45769</v>
      </c>
      <c r="O1117" s="79">
        <v>45769</v>
      </c>
      <c r="P1117" s="80" t="str">
        <f ca="1">IF(Proc[[#This Row],[DaysAgeing]]&gt;5,"yep","on track")</f>
        <v>on track</v>
      </c>
      <c r="Q1117" s="3">
        <f ca="1">IF(Proc[[#This Row],[DateClosed]]="",ABS(NETWORKDAYS(Proc[[#This Row],[DateOpened]],TODAY()))-1,ABS(NETWORKDAYS(Proc[[#This Row],[DateOpened]],Proc[[#This Row],[DateClosed]]))-1)</f>
        <v>2</v>
      </c>
      <c r="R1117" s="80" t="s">
        <v>489</v>
      </c>
      <c r="S1117" s="69"/>
    </row>
    <row r="1118" spans="1:19" hidden="1">
      <c r="A1118" s="72" t="s">
        <v>2715</v>
      </c>
      <c r="B1118" s="149" t="str">
        <f>IFERROR(VLOOKUP(Proc[[#This Row],[App]],Table2[],3,0),"open")</f>
        <v>ok</v>
      </c>
      <c r="C1118" s="72" t="s">
        <v>369</v>
      </c>
      <c r="D1118" t="s">
        <v>2757</v>
      </c>
      <c r="E1118" t="s">
        <v>2691</v>
      </c>
      <c r="F1118" s="117" t="s">
        <v>2691</v>
      </c>
      <c r="G1118" s="72" t="s">
        <v>400</v>
      </c>
      <c r="H1118" s="69" t="str">
        <f>IF(Proc[[#This Row],[type]]="LFF (MDG-F)",MID(Proc[[#This Row],[Obj]],13,10),"")</f>
        <v/>
      </c>
      <c r="J1118" s="69" t="b">
        <f>Proc[[#This Row],[Requested]]=Proc[[#This Row],[CurrentParent]]</f>
        <v>1</v>
      </c>
      <c r="K1118" s="144" t="str">
        <f>IF(Proc[[#This Row],[Author]]="Marcela Urrego",VLOOKUP(LEFT(Proc[[#This Row],[Requested]],1),Table3[#All],2,0),VLOOKUP(Proc[[#This Row],[Author]],Table4[],2,0))</f>
        <v>LS</v>
      </c>
      <c r="L1118" s="69" t="s">
        <v>2563</v>
      </c>
      <c r="M1118" s="79">
        <v>45765.420370370368</v>
      </c>
      <c r="N1118" s="79">
        <v>45769</v>
      </c>
      <c r="O1118" s="79">
        <v>45769</v>
      </c>
      <c r="P1118" s="80" t="str">
        <f ca="1">IF(Proc[[#This Row],[DaysAgeing]]&gt;5,"yep","on track")</f>
        <v>on track</v>
      </c>
      <c r="Q1118" s="3">
        <f ca="1">IF(Proc[[#This Row],[DateClosed]]="",ABS(NETWORKDAYS(Proc[[#This Row],[DateOpened]],TODAY()))-1,ABS(NETWORKDAYS(Proc[[#This Row],[DateOpened]],Proc[[#This Row],[DateClosed]]))-1)</f>
        <v>2</v>
      </c>
      <c r="R1118" s="80" t="s">
        <v>489</v>
      </c>
      <c r="S1118" s="69"/>
    </row>
    <row r="1119" spans="1:19" hidden="1">
      <c r="A1119" s="72" t="s">
        <v>2715</v>
      </c>
      <c r="B1119" s="149" t="str">
        <f>IFERROR(VLOOKUP(Proc[[#This Row],[App]],Table2[],3,0),"open")</f>
        <v>ok</v>
      </c>
      <c r="C1119" s="72" t="s">
        <v>369</v>
      </c>
      <c r="D1119" t="s">
        <v>2758</v>
      </c>
      <c r="E1119" t="s">
        <v>2777</v>
      </c>
      <c r="F1119" s="117" t="s">
        <v>2777</v>
      </c>
      <c r="G1119" s="72" t="s">
        <v>400</v>
      </c>
      <c r="H1119" s="69" t="str">
        <f>IF(Proc[[#This Row],[type]]="LFF (MDG-F)",MID(Proc[[#This Row],[Obj]],13,10),"")</f>
        <v/>
      </c>
      <c r="J1119" s="69" t="b">
        <f>Proc[[#This Row],[Requested]]=Proc[[#This Row],[CurrentParent]]</f>
        <v>1</v>
      </c>
      <c r="K1119" s="144" t="str">
        <f>IF(Proc[[#This Row],[Author]]="Marcela Urrego",VLOOKUP(LEFT(Proc[[#This Row],[Requested]],1),Table3[#All],2,0),VLOOKUP(Proc[[#This Row],[Author]],Table4[],2,0))</f>
        <v>LS</v>
      </c>
      <c r="L1119" s="69" t="s">
        <v>2563</v>
      </c>
      <c r="M1119" s="79">
        <v>45765.420370370368</v>
      </c>
      <c r="N1119" s="79">
        <v>45769</v>
      </c>
      <c r="O1119" s="79">
        <v>45769</v>
      </c>
      <c r="P1119" s="80" t="str">
        <f ca="1">IF(Proc[[#This Row],[DaysAgeing]]&gt;5,"yep","on track")</f>
        <v>on track</v>
      </c>
      <c r="Q1119" s="3">
        <f ca="1">IF(Proc[[#This Row],[DateClosed]]="",ABS(NETWORKDAYS(Proc[[#This Row],[DateOpened]],TODAY()))-1,ABS(NETWORKDAYS(Proc[[#This Row],[DateOpened]],Proc[[#This Row],[DateClosed]]))-1)</f>
        <v>2</v>
      </c>
      <c r="R1119" s="80" t="s">
        <v>489</v>
      </c>
      <c r="S1119" s="69"/>
    </row>
    <row r="1120" spans="1:19" hidden="1">
      <c r="A1120" s="72" t="s">
        <v>2715</v>
      </c>
      <c r="B1120" s="149" t="str">
        <f>IFERROR(VLOOKUP(Proc[[#This Row],[App]],Table2[],3,0),"open")</f>
        <v>ok</v>
      </c>
      <c r="C1120" s="72" t="s">
        <v>369</v>
      </c>
      <c r="D1120" t="s">
        <v>2759</v>
      </c>
      <c r="E1120" t="s">
        <v>2777</v>
      </c>
      <c r="F1120" s="117" t="s">
        <v>2777</v>
      </c>
      <c r="G1120" s="72" t="s">
        <v>400</v>
      </c>
      <c r="H1120" s="69" t="str">
        <f>IF(Proc[[#This Row],[type]]="LFF (MDG-F)",MID(Proc[[#This Row],[Obj]],13,10),"")</f>
        <v/>
      </c>
      <c r="J1120" s="69" t="b">
        <f>Proc[[#This Row],[Requested]]=Proc[[#This Row],[CurrentParent]]</f>
        <v>1</v>
      </c>
      <c r="K1120" s="144" t="str">
        <f>IF(Proc[[#This Row],[Author]]="Marcela Urrego",VLOOKUP(LEFT(Proc[[#This Row],[Requested]],1),Table3[#All],2,0),VLOOKUP(Proc[[#This Row],[Author]],Table4[],2,0))</f>
        <v>LS</v>
      </c>
      <c r="L1120" s="69" t="s">
        <v>2563</v>
      </c>
      <c r="M1120" s="79">
        <v>45765.420370370368</v>
      </c>
      <c r="N1120" s="79">
        <v>45769</v>
      </c>
      <c r="O1120" s="79">
        <v>45769</v>
      </c>
      <c r="P1120" s="80" t="str">
        <f ca="1">IF(Proc[[#This Row],[DaysAgeing]]&gt;5,"yep","on track")</f>
        <v>on track</v>
      </c>
      <c r="Q1120" s="3">
        <f ca="1">IF(Proc[[#This Row],[DateClosed]]="",ABS(NETWORKDAYS(Proc[[#This Row],[DateOpened]],TODAY()))-1,ABS(NETWORKDAYS(Proc[[#This Row],[DateOpened]],Proc[[#This Row],[DateClosed]]))-1)</f>
        <v>2</v>
      </c>
      <c r="R1120" s="80" t="s">
        <v>489</v>
      </c>
      <c r="S1120" s="69"/>
    </row>
    <row r="1121" spans="1:19" hidden="1">
      <c r="A1121" s="72" t="s">
        <v>2715</v>
      </c>
      <c r="B1121" s="149" t="str">
        <f>IFERROR(VLOOKUP(Proc[[#This Row],[App]],Table2[],3,0),"open")</f>
        <v>ok</v>
      </c>
      <c r="C1121" s="72" t="s">
        <v>369</v>
      </c>
      <c r="D1121" t="s">
        <v>2760</v>
      </c>
      <c r="E1121" t="s">
        <v>2770</v>
      </c>
      <c r="F1121" s="117" t="s">
        <v>2770</v>
      </c>
      <c r="G1121" s="72" t="s">
        <v>400</v>
      </c>
      <c r="H1121" s="69" t="str">
        <f>IF(Proc[[#This Row],[type]]="LFF (MDG-F)",MID(Proc[[#This Row],[Obj]],13,10),"")</f>
        <v/>
      </c>
      <c r="J1121" s="69" t="b">
        <f>Proc[[#This Row],[Requested]]=Proc[[#This Row],[CurrentParent]]</f>
        <v>1</v>
      </c>
      <c r="K1121" s="144" t="str">
        <f>IF(Proc[[#This Row],[Author]]="Marcela Urrego",VLOOKUP(LEFT(Proc[[#This Row],[Requested]],1),Table3[#All],2,0),VLOOKUP(Proc[[#This Row],[Author]],Table4[],2,0))</f>
        <v>LS</v>
      </c>
      <c r="L1121" s="69" t="s">
        <v>2563</v>
      </c>
      <c r="M1121" s="79">
        <v>45765.420370370368</v>
      </c>
      <c r="N1121" s="79">
        <v>45769</v>
      </c>
      <c r="O1121" s="79">
        <v>45769</v>
      </c>
      <c r="P1121" s="80" t="str">
        <f ca="1">IF(Proc[[#This Row],[DaysAgeing]]&gt;5,"yep","on track")</f>
        <v>on track</v>
      </c>
      <c r="Q1121" s="3">
        <f ca="1">IF(Proc[[#This Row],[DateClosed]]="",ABS(NETWORKDAYS(Proc[[#This Row],[DateOpened]],TODAY()))-1,ABS(NETWORKDAYS(Proc[[#This Row],[DateOpened]],Proc[[#This Row],[DateClosed]]))-1)</f>
        <v>2</v>
      </c>
      <c r="R1121" s="80" t="s">
        <v>489</v>
      </c>
      <c r="S1121" s="69"/>
    </row>
    <row r="1122" spans="1:19" hidden="1">
      <c r="A1122" s="72" t="s">
        <v>2715</v>
      </c>
      <c r="B1122" s="149" t="str">
        <f>IFERROR(VLOOKUP(Proc[[#This Row],[App]],Table2[],3,0),"open")</f>
        <v>ok</v>
      </c>
      <c r="C1122" s="72" t="s">
        <v>369</v>
      </c>
      <c r="D1122" t="s">
        <v>2761</v>
      </c>
      <c r="E1122" t="s">
        <v>2772</v>
      </c>
      <c r="F1122" s="117" t="s">
        <v>2772</v>
      </c>
      <c r="G1122" s="72" t="s">
        <v>400</v>
      </c>
      <c r="H1122" s="69" t="str">
        <f>IF(Proc[[#This Row],[type]]="LFF (MDG-F)",MID(Proc[[#This Row],[Obj]],13,10),"")</f>
        <v/>
      </c>
      <c r="J1122" s="69" t="b">
        <f>Proc[[#This Row],[Requested]]=Proc[[#This Row],[CurrentParent]]</f>
        <v>1</v>
      </c>
      <c r="K1122" s="144" t="str">
        <f>IF(Proc[[#This Row],[Author]]="Marcela Urrego",VLOOKUP(LEFT(Proc[[#This Row],[Requested]],1),Table3[#All],2,0),VLOOKUP(Proc[[#This Row],[Author]],Table4[],2,0))</f>
        <v>LS</v>
      </c>
      <c r="L1122" s="69" t="s">
        <v>2563</v>
      </c>
      <c r="M1122" s="79">
        <v>45765.420370370368</v>
      </c>
      <c r="N1122" s="79">
        <v>45769</v>
      </c>
      <c r="O1122" s="79">
        <v>45769</v>
      </c>
      <c r="P1122" s="80" t="str">
        <f ca="1">IF(Proc[[#This Row],[DaysAgeing]]&gt;5,"yep","on track")</f>
        <v>on track</v>
      </c>
      <c r="Q1122" s="3">
        <f ca="1">IF(Proc[[#This Row],[DateClosed]]="",ABS(NETWORKDAYS(Proc[[#This Row],[DateOpened]],TODAY()))-1,ABS(NETWORKDAYS(Proc[[#This Row],[DateOpened]],Proc[[#This Row],[DateClosed]]))-1)</f>
        <v>2</v>
      </c>
      <c r="R1122" s="80" t="s">
        <v>489</v>
      </c>
      <c r="S1122" s="69"/>
    </row>
    <row r="1123" spans="1:19" hidden="1">
      <c r="A1123" s="72" t="s">
        <v>2715</v>
      </c>
      <c r="B1123" s="149" t="str">
        <f>IFERROR(VLOOKUP(Proc[[#This Row],[App]],Table2[],3,0),"open")</f>
        <v>ok</v>
      </c>
      <c r="C1123" s="72" t="s">
        <v>369</v>
      </c>
      <c r="D1123" t="s">
        <v>2762</v>
      </c>
      <c r="E1123" t="s">
        <v>2773</v>
      </c>
      <c r="F1123" s="117" t="s">
        <v>2773</v>
      </c>
      <c r="G1123" s="72" t="s">
        <v>400</v>
      </c>
      <c r="H1123" s="69" t="str">
        <f>IF(Proc[[#This Row],[type]]="LFF (MDG-F)",MID(Proc[[#This Row],[Obj]],13,10),"")</f>
        <v/>
      </c>
      <c r="J1123" s="69" t="b">
        <f>Proc[[#This Row],[Requested]]=Proc[[#This Row],[CurrentParent]]</f>
        <v>1</v>
      </c>
      <c r="K1123" s="144" t="str">
        <f>IF(Proc[[#This Row],[Author]]="Marcela Urrego",VLOOKUP(LEFT(Proc[[#This Row],[Requested]],1),Table3[#All],2,0),VLOOKUP(Proc[[#This Row],[Author]],Table4[],2,0))</f>
        <v>LS</v>
      </c>
      <c r="L1123" s="69" t="s">
        <v>2563</v>
      </c>
      <c r="M1123" s="79">
        <v>45765.420370370368</v>
      </c>
      <c r="N1123" s="79">
        <v>45769</v>
      </c>
      <c r="O1123" s="79">
        <v>45769</v>
      </c>
      <c r="P1123" s="80" t="str">
        <f ca="1">IF(Proc[[#This Row],[DaysAgeing]]&gt;5,"yep","on track")</f>
        <v>on track</v>
      </c>
      <c r="Q1123" s="3">
        <f ca="1">IF(Proc[[#This Row],[DateClosed]]="",ABS(NETWORKDAYS(Proc[[#This Row],[DateOpened]],TODAY()))-1,ABS(NETWORKDAYS(Proc[[#This Row],[DateOpened]],Proc[[#This Row],[DateClosed]]))-1)</f>
        <v>2</v>
      </c>
      <c r="R1123" s="80" t="s">
        <v>489</v>
      </c>
      <c r="S1123" s="69"/>
    </row>
    <row r="1124" spans="1:19" hidden="1">
      <c r="A1124" t="s">
        <v>2780</v>
      </c>
      <c r="B1124" s="149" t="str">
        <f>IFERROR(VLOOKUP(Proc[[#This Row],[App]],Table2[],3,0),"open")</f>
        <v>ok</v>
      </c>
      <c r="C1124" s="72" t="s">
        <v>369</v>
      </c>
      <c r="D1124" t="s">
        <v>2781</v>
      </c>
      <c r="E1124" t="s">
        <v>418</v>
      </c>
      <c r="F1124" s="117" t="s">
        <v>418</v>
      </c>
      <c r="G1124" s="72" t="s">
        <v>400</v>
      </c>
      <c r="H1124" s="69" t="str">
        <f>IF(Proc[[#This Row],[type]]="LFF (MDG-F)",MID(Proc[[#This Row],[Obj]],13,10),"")</f>
        <v/>
      </c>
      <c r="J1124" s="69" t="b">
        <f>Proc[[#This Row],[Requested]]=Proc[[#This Row],[CurrentParent]]</f>
        <v>1</v>
      </c>
      <c r="K1124" s="144" t="str">
        <f>IF(Proc[[#This Row],[Author]]="Marcela Urrego",VLOOKUP(LEFT(Proc[[#This Row],[Requested]],1),Table3[#All],2,0),VLOOKUP(Proc[[#This Row],[Author]],Table4[],2,0))</f>
        <v>MGF</v>
      </c>
      <c r="L1124" s="69" t="s">
        <v>2563</v>
      </c>
      <c r="M1124" s="79">
        <v>45763.611655092594</v>
      </c>
      <c r="N1124" s="79">
        <v>45770</v>
      </c>
      <c r="O1124" s="79">
        <v>45770</v>
      </c>
      <c r="P1124" s="80" t="str">
        <f ca="1">IF(Proc[[#This Row],[DaysAgeing]]&gt;5,"yep","on track")</f>
        <v>on track</v>
      </c>
      <c r="Q1124" s="3">
        <f ca="1">IF(Proc[[#This Row],[DateClosed]]="",ABS(NETWORKDAYS(Proc[[#This Row],[DateOpened]],TODAY()))-1,ABS(NETWORKDAYS(Proc[[#This Row],[DateOpened]],Proc[[#This Row],[DateClosed]]))-1)</f>
        <v>5</v>
      </c>
      <c r="R1124" s="80" t="s">
        <v>1076</v>
      </c>
      <c r="S1124" s="69"/>
    </row>
    <row r="1125" spans="1:19" hidden="1">
      <c r="A1125" s="72" t="s">
        <v>2780</v>
      </c>
      <c r="B1125" s="149" t="str">
        <f>IFERROR(VLOOKUP(Proc[[#This Row],[App]],Table2[],3,0),"open")</f>
        <v>ok</v>
      </c>
      <c r="C1125" s="72" t="s">
        <v>369</v>
      </c>
      <c r="D1125" t="s">
        <v>2782</v>
      </c>
      <c r="E1125" t="s">
        <v>418</v>
      </c>
      <c r="F1125" s="117" t="s">
        <v>418</v>
      </c>
      <c r="G1125" s="72" t="s">
        <v>400</v>
      </c>
      <c r="H1125" s="69" t="str">
        <f>IF(Proc[[#This Row],[type]]="LFF (MDG-F)",MID(Proc[[#This Row],[Obj]],13,10),"")</f>
        <v/>
      </c>
      <c r="J1125" s="69" t="b">
        <f>Proc[[#This Row],[Requested]]=Proc[[#This Row],[CurrentParent]]</f>
        <v>1</v>
      </c>
      <c r="K1125" s="144" t="str">
        <f>IF(Proc[[#This Row],[Author]]="Marcela Urrego",VLOOKUP(LEFT(Proc[[#This Row],[Requested]],1),Table3[#All],2,0),VLOOKUP(Proc[[#This Row],[Author]],Table4[],2,0))</f>
        <v>MGF</v>
      </c>
      <c r="L1125" s="69" t="s">
        <v>2563</v>
      </c>
      <c r="M1125" s="79">
        <v>45763.611655092594</v>
      </c>
      <c r="N1125" s="79">
        <v>45770</v>
      </c>
      <c r="O1125" s="79">
        <v>45770</v>
      </c>
      <c r="P1125" s="80" t="str">
        <f ca="1">IF(Proc[[#This Row],[DaysAgeing]]&gt;5,"yep","on track")</f>
        <v>on track</v>
      </c>
      <c r="Q1125" s="3">
        <f ca="1">IF(Proc[[#This Row],[DateClosed]]="",ABS(NETWORKDAYS(Proc[[#This Row],[DateOpened]],TODAY()))-1,ABS(NETWORKDAYS(Proc[[#This Row],[DateOpened]],Proc[[#This Row],[DateClosed]]))-1)</f>
        <v>5</v>
      </c>
      <c r="R1125" s="80" t="s">
        <v>1076</v>
      </c>
      <c r="S1125" s="69"/>
    </row>
    <row r="1126" spans="1:19" hidden="1">
      <c r="A1126" s="72" t="s">
        <v>2780</v>
      </c>
      <c r="B1126" s="149" t="str">
        <f>IFERROR(VLOOKUP(Proc[[#This Row],[App]],Table2[],3,0),"open")</f>
        <v>ok</v>
      </c>
      <c r="C1126" s="72" t="s">
        <v>369</v>
      </c>
      <c r="D1126" t="s">
        <v>2783</v>
      </c>
      <c r="E1126" t="s">
        <v>418</v>
      </c>
      <c r="F1126" s="117" t="s">
        <v>418</v>
      </c>
      <c r="G1126" s="72" t="s">
        <v>400</v>
      </c>
      <c r="H1126" s="69" t="str">
        <f>IF(Proc[[#This Row],[type]]="LFF (MDG-F)",MID(Proc[[#This Row],[Obj]],13,10),"")</f>
        <v/>
      </c>
      <c r="J1126" s="69" t="b">
        <f>Proc[[#This Row],[Requested]]=Proc[[#This Row],[CurrentParent]]</f>
        <v>1</v>
      </c>
      <c r="K1126" s="144" t="str">
        <f>IF(Proc[[#This Row],[Author]]="Marcela Urrego",VLOOKUP(LEFT(Proc[[#This Row],[Requested]],1),Table3[#All],2,0),VLOOKUP(Proc[[#This Row],[Author]],Table4[],2,0))</f>
        <v>MGF</v>
      </c>
      <c r="L1126" s="69" t="s">
        <v>2563</v>
      </c>
      <c r="M1126" s="79">
        <v>45763.611655092594</v>
      </c>
      <c r="N1126" s="79">
        <v>45770</v>
      </c>
      <c r="O1126" s="79">
        <v>45770</v>
      </c>
      <c r="P1126" s="80" t="str">
        <f ca="1">IF(Proc[[#This Row],[DaysAgeing]]&gt;5,"yep","on track")</f>
        <v>on track</v>
      </c>
      <c r="Q1126" s="3">
        <f ca="1">IF(Proc[[#This Row],[DateClosed]]="",ABS(NETWORKDAYS(Proc[[#This Row],[DateOpened]],TODAY()))-1,ABS(NETWORKDAYS(Proc[[#This Row],[DateOpened]],Proc[[#This Row],[DateClosed]]))-1)</f>
        <v>5</v>
      </c>
      <c r="R1126" s="80" t="s">
        <v>1076</v>
      </c>
      <c r="S1126" s="69"/>
    </row>
    <row r="1127" spans="1:19" hidden="1">
      <c r="A1127" s="72" t="s">
        <v>2780</v>
      </c>
      <c r="B1127" s="149" t="str">
        <f>IFERROR(VLOOKUP(Proc[[#This Row],[App]],Table2[],3,0),"open")</f>
        <v>ok</v>
      </c>
      <c r="C1127" s="72" t="s">
        <v>369</v>
      </c>
      <c r="D1127" t="s">
        <v>2784</v>
      </c>
      <c r="E1127" t="s">
        <v>418</v>
      </c>
      <c r="F1127" s="117" t="s">
        <v>418</v>
      </c>
      <c r="G1127" s="72" t="s">
        <v>400</v>
      </c>
      <c r="H1127" s="69" t="str">
        <f>IF(Proc[[#This Row],[type]]="LFF (MDG-F)",MID(Proc[[#This Row],[Obj]],13,10),"")</f>
        <v/>
      </c>
      <c r="J1127" s="69" t="b">
        <f>Proc[[#This Row],[Requested]]=Proc[[#This Row],[CurrentParent]]</f>
        <v>1</v>
      </c>
      <c r="K1127" s="144" t="str">
        <f>IF(Proc[[#This Row],[Author]]="Marcela Urrego",VLOOKUP(LEFT(Proc[[#This Row],[Requested]],1),Table3[#All],2,0),VLOOKUP(Proc[[#This Row],[Author]],Table4[],2,0))</f>
        <v>MGF</v>
      </c>
      <c r="L1127" s="69" t="s">
        <v>2563</v>
      </c>
      <c r="M1127" s="79">
        <v>45763.611655092594</v>
      </c>
      <c r="N1127" s="79">
        <v>45770</v>
      </c>
      <c r="O1127" s="79">
        <v>45770</v>
      </c>
      <c r="P1127" s="80" t="str">
        <f ca="1">IF(Proc[[#This Row],[DaysAgeing]]&gt;5,"yep","on track")</f>
        <v>on track</v>
      </c>
      <c r="Q1127" s="3">
        <f ca="1">IF(Proc[[#This Row],[DateClosed]]="",ABS(NETWORKDAYS(Proc[[#This Row],[DateOpened]],TODAY()))-1,ABS(NETWORKDAYS(Proc[[#This Row],[DateOpened]],Proc[[#This Row],[DateClosed]]))-1)</f>
        <v>5</v>
      </c>
      <c r="R1127" s="80" t="s">
        <v>1076</v>
      </c>
      <c r="S1127" s="69"/>
    </row>
    <row r="1128" spans="1:19" hidden="1">
      <c r="A1128" s="72" t="s">
        <v>2780</v>
      </c>
      <c r="B1128" s="149" t="str">
        <f>IFERROR(VLOOKUP(Proc[[#This Row],[App]],Table2[],3,0),"open")</f>
        <v>ok</v>
      </c>
      <c r="C1128" s="72" t="s">
        <v>377</v>
      </c>
      <c r="D1128" t="s">
        <v>2785</v>
      </c>
      <c r="E1128" t="s">
        <v>418</v>
      </c>
      <c r="F1128" s="103" t="s">
        <v>418</v>
      </c>
      <c r="G1128" s="72" t="s">
        <v>400</v>
      </c>
      <c r="H1128" s="69" t="str">
        <f>IF(Proc[[#This Row],[type]]="LFF (MDG-F)",MID(Proc[[#This Row],[Obj]],13,10),"")</f>
        <v/>
      </c>
      <c r="J1128" s="69" t="b">
        <f>Proc[[#This Row],[Requested]]=Proc[[#This Row],[CurrentParent]]</f>
        <v>1</v>
      </c>
      <c r="K1128" s="144" t="str">
        <f>IF(Proc[[#This Row],[Author]]="Marcela Urrego",VLOOKUP(LEFT(Proc[[#This Row],[Requested]],1),Table3[#All],2,0),VLOOKUP(Proc[[#This Row],[Author]],Table4[],2,0))</f>
        <v>MGF</v>
      </c>
      <c r="L1128" s="69" t="s">
        <v>2563</v>
      </c>
      <c r="M1128" s="79">
        <v>45763.611655092594</v>
      </c>
      <c r="N1128" s="79"/>
      <c r="O1128" s="79">
        <v>45770</v>
      </c>
      <c r="P1128" s="80" t="str">
        <f ca="1">IF(Proc[[#This Row],[DaysAgeing]]&gt;5,"yep","on track")</f>
        <v>on track</v>
      </c>
      <c r="Q1128" s="3">
        <f ca="1">IF(Proc[[#This Row],[DateClosed]]="",ABS(NETWORKDAYS(Proc[[#This Row],[DateOpened]],TODAY()))-1,ABS(NETWORKDAYS(Proc[[#This Row],[DateOpened]],Proc[[#This Row],[DateClosed]]))-1)</f>
        <v>5</v>
      </c>
      <c r="R1128" s="80" t="s">
        <v>1076</v>
      </c>
      <c r="S1128" s="94" t="e">
        <f>VLOOKUP(Proc[[#This Row],[Obj]],#REF!,2,0)</f>
        <v>#REF!</v>
      </c>
    </row>
    <row r="1129" spans="1:19" hidden="1">
      <c r="A1129" s="72" t="s">
        <v>2780</v>
      </c>
      <c r="B1129" s="149" t="str">
        <f>IFERROR(VLOOKUP(Proc[[#This Row],[App]],Table2[],3,0),"open")</f>
        <v>ok</v>
      </c>
      <c r="C1129" s="72" t="s">
        <v>377</v>
      </c>
      <c r="D1129" t="s">
        <v>2786</v>
      </c>
      <c r="E1129" t="s">
        <v>418</v>
      </c>
      <c r="F1129" s="103" t="s">
        <v>418</v>
      </c>
      <c r="G1129" s="72" t="s">
        <v>400</v>
      </c>
      <c r="H1129" s="69" t="str">
        <f>IF(Proc[[#This Row],[type]]="LFF (MDG-F)",MID(Proc[[#This Row],[Obj]],13,10),"")</f>
        <v/>
      </c>
      <c r="J1129" s="69" t="b">
        <f>Proc[[#This Row],[Requested]]=Proc[[#This Row],[CurrentParent]]</f>
        <v>1</v>
      </c>
      <c r="K1129" s="144" t="str">
        <f>IF(Proc[[#This Row],[Author]]="Marcela Urrego",VLOOKUP(LEFT(Proc[[#This Row],[Requested]],1),Table3[#All],2,0),VLOOKUP(Proc[[#This Row],[Author]],Table4[],2,0))</f>
        <v>MGF</v>
      </c>
      <c r="L1129" s="69" t="s">
        <v>2563</v>
      </c>
      <c r="M1129" s="79">
        <v>45763.611655092594</v>
      </c>
      <c r="N1129" s="79"/>
      <c r="O1129" s="79">
        <v>45770</v>
      </c>
      <c r="P1129" s="80" t="str">
        <f ca="1">IF(Proc[[#This Row],[DaysAgeing]]&gt;5,"yep","on track")</f>
        <v>on track</v>
      </c>
      <c r="Q1129" s="3">
        <f ca="1">IF(Proc[[#This Row],[DateClosed]]="",ABS(NETWORKDAYS(Proc[[#This Row],[DateOpened]],TODAY()))-1,ABS(NETWORKDAYS(Proc[[#This Row],[DateOpened]],Proc[[#This Row],[DateClosed]]))-1)</f>
        <v>5</v>
      </c>
      <c r="R1129" s="80" t="s">
        <v>1076</v>
      </c>
      <c r="S1129" s="94" t="e">
        <f>VLOOKUP(Proc[[#This Row],[Obj]],#REF!,2,0)</f>
        <v>#REF!</v>
      </c>
    </row>
    <row r="1130" spans="1:19" hidden="1">
      <c r="A1130" s="72" t="s">
        <v>2780</v>
      </c>
      <c r="B1130" s="149" t="str">
        <f>IFERROR(VLOOKUP(Proc[[#This Row],[App]],Table2[],3,0),"open")</f>
        <v>ok</v>
      </c>
      <c r="C1130" s="72" t="s">
        <v>377</v>
      </c>
      <c r="D1130" t="s">
        <v>2787</v>
      </c>
      <c r="E1130" t="s">
        <v>418</v>
      </c>
      <c r="F1130" s="103" t="s">
        <v>418</v>
      </c>
      <c r="G1130" s="72" t="s">
        <v>400</v>
      </c>
      <c r="H1130" s="69" t="str">
        <f>IF(Proc[[#This Row],[type]]="LFF (MDG-F)",MID(Proc[[#This Row],[Obj]],13,10),"")</f>
        <v/>
      </c>
      <c r="J1130" s="69" t="b">
        <f>Proc[[#This Row],[Requested]]=Proc[[#This Row],[CurrentParent]]</f>
        <v>1</v>
      </c>
      <c r="K1130" s="144" t="str">
        <f>IF(Proc[[#This Row],[Author]]="Marcela Urrego",VLOOKUP(LEFT(Proc[[#This Row],[Requested]],1),Table3[#All],2,0),VLOOKUP(Proc[[#This Row],[Author]],Table4[],2,0))</f>
        <v>MGF</v>
      </c>
      <c r="L1130" s="69" t="s">
        <v>2563</v>
      </c>
      <c r="M1130" s="79">
        <v>45763.611655092594</v>
      </c>
      <c r="N1130" s="79"/>
      <c r="O1130" s="79">
        <v>45770</v>
      </c>
      <c r="P1130" s="80" t="str">
        <f ca="1">IF(Proc[[#This Row],[DaysAgeing]]&gt;5,"yep","on track")</f>
        <v>on track</v>
      </c>
      <c r="Q1130" s="3">
        <f ca="1">IF(Proc[[#This Row],[DateClosed]]="",ABS(NETWORKDAYS(Proc[[#This Row],[DateOpened]],TODAY()))-1,ABS(NETWORKDAYS(Proc[[#This Row],[DateOpened]],Proc[[#This Row],[DateClosed]]))-1)</f>
        <v>5</v>
      </c>
      <c r="R1130" s="80" t="s">
        <v>1076</v>
      </c>
      <c r="S1130" s="94" t="e">
        <f>VLOOKUP(Proc[[#This Row],[Obj]],#REF!,2,0)</f>
        <v>#REF!</v>
      </c>
    </row>
    <row r="1131" spans="1:19" hidden="1">
      <c r="A1131" s="72" t="s">
        <v>2780</v>
      </c>
      <c r="B1131" s="149" t="str">
        <f>IFERROR(VLOOKUP(Proc[[#This Row],[App]],Table2[],3,0),"open")</f>
        <v>ok</v>
      </c>
      <c r="C1131" s="72" t="s">
        <v>377</v>
      </c>
      <c r="D1131" t="s">
        <v>2788</v>
      </c>
      <c r="E1131" t="s">
        <v>418</v>
      </c>
      <c r="F1131" s="103" t="s">
        <v>418</v>
      </c>
      <c r="G1131" s="72" t="s">
        <v>400</v>
      </c>
      <c r="H1131" s="69" t="str">
        <f>IF(Proc[[#This Row],[type]]="LFF (MDG-F)",MID(Proc[[#This Row],[Obj]],13,10),"")</f>
        <v/>
      </c>
      <c r="J1131" s="69" t="b">
        <f>Proc[[#This Row],[Requested]]=Proc[[#This Row],[CurrentParent]]</f>
        <v>1</v>
      </c>
      <c r="K1131" s="144" t="str">
        <f>IF(Proc[[#This Row],[Author]]="Marcela Urrego",VLOOKUP(LEFT(Proc[[#This Row],[Requested]],1),Table3[#All],2,0),VLOOKUP(Proc[[#This Row],[Author]],Table4[],2,0))</f>
        <v>MGF</v>
      </c>
      <c r="L1131" s="69" t="s">
        <v>2563</v>
      </c>
      <c r="M1131" s="79">
        <v>45763.611655092594</v>
      </c>
      <c r="N1131" s="79"/>
      <c r="O1131" s="79">
        <v>45770</v>
      </c>
      <c r="P1131" s="80" t="str">
        <f ca="1">IF(Proc[[#This Row],[DaysAgeing]]&gt;5,"yep","on track")</f>
        <v>on track</v>
      </c>
      <c r="Q1131" s="3">
        <f ca="1">IF(Proc[[#This Row],[DateClosed]]="",ABS(NETWORKDAYS(Proc[[#This Row],[DateOpened]],TODAY()))-1,ABS(NETWORKDAYS(Proc[[#This Row],[DateOpened]],Proc[[#This Row],[DateClosed]]))-1)</f>
        <v>5</v>
      </c>
      <c r="R1131" s="80" t="s">
        <v>1076</v>
      </c>
      <c r="S1131" s="94" t="e">
        <f>VLOOKUP(Proc[[#This Row],[Obj]],#REF!,2,0)</f>
        <v>#REF!</v>
      </c>
    </row>
    <row r="1132" spans="1:19" hidden="1">
      <c r="A1132" t="s">
        <v>2789</v>
      </c>
      <c r="B1132" s="149" t="str">
        <f>IFERROR(VLOOKUP(Proc[[#This Row],[App]],Table2[],3,0),"open")</f>
        <v>ok</v>
      </c>
      <c r="C1132" s="72" t="s">
        <v>369</v>
      </c>
      <c r="D1132" t="s">
        <v>2790</v>
      </c>
      <c r="E1132" t="s">
        <v>2791</v>
      </c>
      <c r="F1132" s="117" t="s">
        <v>2791</v>
      </c>
      <c r="G1132" t="s">
        <v>406</v>
      </c>
      <c r="H1132" s="69" t="str">
        <f>IF(Proc[[#This Row],[type]]="LFF (MDG-F)",MID(Proc[[#This Row],[Obj]],13,10),"")</f>
        <v>2123OF0027</v>
      </c>
      <c r="I1132" t="s">
        <v>2792</v>
      </c>
      <c r="J1132" s="69" t="b">
        <f>Proc[[#This Row],[Requested]]=Proc[[#This Row],[CurrentParent]]</f>
        <v>1</v>
      </c>
      <c r="K1132" s="144" t="str">
        <f>IF(Proc[[#This Row],[Author]]="Marcela Urrego",VLOOKUP(LEFT(Proc[[#This Row],[Requested]],1),Table3[#All],2,0),VLOOKUP(Proc[[#This Row],[Author]],Table4[],2,0))</f>
        <v>MGF</v>
      </c>
      <c r="L1132" s="69" t="s">
        <v>2563</v>
      </c>
      <c r="M1132" s="79">
        <v>45763.611655092594</v>
      </c>
      <c r="N1132" s="79">
        <v>45770</v>
      </c>
      <c r="O1132" s="79">
        <v>45770</v>
      </c>
      <c r="P1132" s="80" t="str">
        <f ca="1">IF(Proc[[#This Row],[DaysAgeing]]&gt;5,"yep","on track")</f>
        <v>on track</v>
      </c>
      <c r="Q1132" s="3">
        <f ca="1">IF(Proc[[#This Row],[DateClosed]]="",ABS(NETWORKDAYS(Proc[[#This Row],[DateOpened]],TODAY()))-1,ABS(NETWORKDAYS(Proc[[#This Row],[DateOpened]],Proc[[#This Row],[DateClosed]]))-1)</f>
        <v>5</v>
      </c>
      <c r="R1132" s="80" t="s">
        <v>515</v>
      </c>
      <c r="S1132" s="69"/>
    </row>
    <row r="1133" spans="1:19" hidden="1">
      <c r="A1133" t="s">
        <v>2795</v>
      </c>
      <c r="B1133" s="149" t="str">
        <f>IFERROR(VLOOKUP(Proc[[#This Row],[App]],Table2[],3,0),"open")</f>
        <v>ok</v>
      </c>
      <c r="C1133" s="72" t="s">
        <v>369</v>
      </c>
      <c r="D1133" t="s">
        <v>2793</v>
      </c>
      <c r="E1133" t="s">
        <v>2417</v>
      </c>
      <c r="F1133" s="117" t="s">
        <v>2417</v>
      </c>
      <c r="G1133" s="72" t="s">
        <v>400</v>
      </c>
      <c r="H1133" s="69" t="str">
        <f>IF(Proc[[#This Row],[type]]="LFF (MDG-F)",MID(Proc[[#This Row],[Obj]],13,10),"")</f>
        <v/>
      </c>
      <c r="J1133" s="69" t="b">
        <f>Proc[[#This Row],[Requested]]=Proc[[#This Row],[CurrentParent]]</f>
        <v>1</v>
      </c>
      <c r="K1133" s="144" t="str">
        <f>IF(Proc[[#This Row],[Author]]="Marcela Urrego",VLOOKUP(LEFT(Proc[[#This Row],[Requested]],1),Table3[#All],2,0),VLOOKUP(Proc[[#This Row],[Author]],Table4[],2,0))</f>
        <v>MGF</v>
      </c>
      <c r="L1133" s="69" t="s">
        <v>2563</v>
      </c>
      <c r="M1133" s="79">
        <v>45763.415729166663</v>
      </c>
      <c r="N1133" s="79">
        <v>45770</v>
      </c>
      <c r="O1133" s="79">
        <v>45770</v>
      </c>
      <c r="P1133" s="80" t="str">
        <f ca="1">IF(Proc[[#This Row],[DaysAgeing]]&gt;5,"yep","on track")</f>
        <v>on track</v>
      </c>
      <c r="Q1133" s="3">
        <f ca="1">IF(Proc[[#This Row],[DateClosed]]="",ABS(NETWORKDAYS(Proc[[#This Row],[DateOpened]],TODAY()))-1,ABS(NETWORKDAYS(Proc[[#This Row],[DateOpened]],Proc[[#This Row],[DateClosed]]))-1)</f>
        <v>5</v>
      </c>
      <c r="R1133" s="80" t="s">
        <v>515</v>
      </c>
      <c r="S1133" s="69"/>
    </row>
    <row r="1134" spans="1:19" hidden="1">
      <c r="A1134" s="72" t="s">
        <v>2795</v>
      </c>
      <c r="B1134" s="149" t="str">
        <f>IFERROR(VLOOKUP(Proc[[#This Row],[App]],Table2[],3,0),"open")</f>
        <v>ok</v>
      </c>
      <c r="C1134" s="72" t="s">
        <v>369</v>
      </c>
      <c r="D1134" t="s">
        <v>2794</v>
      </c>
      <c r="E1134" t="s">
        <v>2417</v>
      </c>
      <c r="F1134" s="117" t="s">
        <v>2417</v>
      </c>
      <c r="G1134" s="72" t="s">
        <v>400</v>
      </c>
      <c r="H1134" s="69" t="str">
        <f>IF(Proc[[#This Row],[type]]="LFF (MDG-F)",MID(Proc[[#This Row],[Obj]],13,10),"")</f>
        <v/>
      </c>
      <c r="J1134" s="69" t="b">
        <f>Proc[[#This Row],[Requested]]=Proc[[#This Row],[CurrentParent]]</f>
        <v>1</v>
      </c>
      <c r="K1134" s="144" t="str">
        <f>IF(Proc[[#This Row],[Author]]="Marcela Urrego",VLOOKUP(LEFT(Proc[[#This Row],[Requested]],1),Table3[#All],2,0),VLOOKUP(Proc[[#This Row],[Author]],Table4[],2,0))</f>
        <v>MGF</v>
      </c>
      <c r="L1134" s="69" t="s">
        <v>2563</v>
      </c>
      <c r="M1134" s="79">
        <v>45763.415729166663</v>
      </c>
      <c r="N1134" s="79">
        <v>45770</v>
      </c>
      <c r="O1134" s="79">
        <v>45770</v>
      </c>
      <c r="P1134" s="80" t="str">
        <f ca="1">IF(Proc[[#This Row],[DaysAgeing]]&gt;5,"yep","on track")</f>
        <v>on track</v>
      </c>
      <c r="Q1134" s="3">
        <f ca="1">IF(Proc[[#This Row],[DateClosed]]="",ABS(NETWORKDAYS(Proc[[#This Row],[DateOpened]],TODAY()))-1,ABS(NETWORKDAYS(Proc[[#This Row],[DateOpened]],Proc[[#This Row],[DateClosed]]))-1)</f>
        <v>5</v>
      </c>
      <c r="R1134" s="80" t="s">
        <v>515</v>
      </c>
      <c r="S1134" s="69"/>
    </row>
    <row r="1135" spans="1:19" hidden="1">
      <c r="A1135" t="s">
        <v>2796</v>
      </c>
      <c r="B1135" s="149" t="str">
        <f>IFERROR(VLOOKUP(Proc[[#This Row],[App]],Table2[],3,0),"open")</f>
        <v>ok</v>
      </c>
      <c r="C1135" s="72" t="s">
        <v>369</v>
      </c>
      <c r="D1135" s="72" t="s">
        <v>2797</v>
      </c>
      <c r="E1135" t="s">
        <v>2798</v>
      </c>
      <c r="F1135" s="117" t="s">
        <v>2798</v>
      </c>
      <c r="G1135" s="72" t="s">
        <v>400</v>
      </c>
      <c r="H1135" s="69" t="str">
        <f>IF(Proc[[#This Row],[type]]="LFF (MDG-F)",MID(Proc[[#This Row],[Obj]],13,10),"")</f>
        <v/>
      </c>
      <c r="J1135" s="69" t="b">
        <f>Proc[[#This Row],[Requested]]=Proc[[#This Row],[CurrentParent]]</f>
        <v>1</v>
      </c>
      <c r="K1135" s="144" t="str">
        <f>IF(Proc[[#This Row],[Author]]="Marcela Urrego",VLOOKUP(LEFT(Proc[[#This Row],[Requested]],1),Table3[#All],2,0),VLOOKUP(Proc[[#This Row],[Author]],Table4[],2,0))</f>
        <v>MGF</v>
      </c>
      <c r="L1135" s="69" t="s">
        <v>2563</v>
      </c>
      <c r="M1135" s="79">
        <v>45762.764386574076</v>
      </c>
      <c r="N1135" s="79">
        <v>45770</v>
      </c>
      <c r="O1135" s="79">
        <v>45770</v>
      </c>
      <c r="P1135" s="80" t="str">
        <f ca="1">IF(Proc[[#This Row],[DaysAgeing]]&gt;5,"yep","on track")</f>
        <v>yep</v>
      </c>
      <c r="Q1135" s="3">
        <f ca="1">IF(Proc[[#This Row],[DateClosed]]="",ABS(NETWORKDAYS(Proc[[#This Row],[DateOpened]],TODAY()))-1,ABS(NETWORKDAYS(Proc[[#This Row],[DateOpened]],Proc[[#This Row],[DateClosed]]))-1)</f>
        <v>6</v>
      </c>
      <c r="R1135" s="80" t="s">
        <v>515</v>
      </c>
      <c r="S1135" s="69"/>
    </row>
    <row r="1136" spans="1:19" hidden="1">
      <c r="A1136" t="s">
        <v>2800</v>
      </c>
      <c r="B1136" s="149" t="str">
        <f>IFERROR(VLOOKUP(Proc[[#This Row],[App]],Table2[],3,0),"open")</f>
        <v>ok</v>
      </c>
      <c r="C1136" s="72" t="s">
        <v>369</v>
      </c>
      <c r="D1136" t="s">
        <v>2799</v>
      </c>
      <c r="E1136" t="s">
        <v>473</v>
      </c>
      <c r="F1136" s="117" t="s">
        <v>473</v>
      </c>
      <c r="G1136" s="72" t="s">
        <v>400</v>
      </c>
      <c r="H1136" s="69" t="str">
        <f>IF(Proc[[#This Row],[type]]="LFF (MDG-F)",MID(Proc[[#This Row],[Obj]],13,10),"")</f>
        <v/>
      </c>
      <c r="J1136" s="69" t="b">
        <f>Proc[[#This Row],[Requested]]=Proc[[#This Row],[CurrentParent]]</f>
        <v>1</v>
      </c>
      <c r="K1136" s="144" t="str">
        <f>IF(Proc[[#This Row],[Author]]="Marcela Urrego",VLOOKUP(LEFT(Proc[[#This Row],[Requested]],1),Table3[#All],2,0),VLOOKUP(Proc[[#This Row],[Author]],Table4[],2,0))</f>
        <v>MGF</v>
      </c>
      <c r="L1136" s="69" t="s">
        <v>2563</v>
      </c>
      <c r="M1136" s="79">
        <v>45762.624085648145</v>
      </c>
      <c r="N1136" s="79">
        <v>45770</v>
      </c>
      <c r="O1136" s="79">
        <v>45770</v>
      </c>
      <c r="P1136" s="80" t="str">
        <f ca="1">IF(Proc[[#This Row],[DaysAgeing]]&gt;5,"yep","on track")</f>
        <v>yep</v>
      </c>
      <c r="Q1136" s="3">
        <f ca="1">IF(Proc[[#This Row],[DateClosed]]="",ABS(NETWORKDAYS(Proc[[#This Row],[DateOpened]],TODAY()))-1,ABS(NETWORKDAYS(Proc[[#This Row],[DateOpened]],Proc[[#This Row],[DateClosed]]))-1)</f>
        <v>6</v>
      </c>
      <c r="R1136" s="80" t="s">
        <v>515</v>
      </c>
      <c r="S1136" s="69"/>
    </row>
    <row r="1137" spans="1:19" hidden="1">
      <c r="A1137" t="s">
        <v>2801</v>
      </c>
      <c r="B1137" s="149" t="str">
        <f>IFERROR(VLOOKUP(Proc[[#This Row],[App]],Table2[],3,0),"open")</f>
        <v>ok</v>
      </c>
      <c r="C1137" s="72" t="s">
        <v>369</v>
      </c>
      <c r="D1137" t="s">
        <v>2802</v>
      </c>
      <c r="E1137" t="s">
        <v>2592</v>
      </c>
      <c r="F1137" s="117" t="s">
        <v>2592</v>
      </c>
      <c r="G1137" s="72" t="s">
        <v>400</v>
      </c>
      <c r="H1137" s="69" t="str">
        <f>IF(Proc[[#This Row],[type]]="LFF (MDG-F)",MID(Proc[[#This Row],[Obj]],13,10),"")</f>
        <v/>
      </c>
      <c r="J1137" s="69" t="b">
        <f>Proc[[#This Row],[Requested]]=Proc[[#This Row],[CurrentParent]]</f>
        <v>1</v>
      </c>
      <c r="K1137" s="144" t="str">
        <f>IF(Proc[[#This Row],[Author]]="Marcela Urrego",VLOOKUP(LEFT(Proc[[#This Row],[Requested]],1),Table3[#All],2,0),VLOOKUP(Proc[[#This Row],[Author]],Table4[],2,0))</f>
        <v>LS</v>
      </c>
      <c r="L1137" s="69" t="s">
        <v>2563</v>
      </c>
      <c r="M1137" s="79">
        <v>45768.444976851853</v>
      </c>
      <c r="N1137" s="79">
        <v>45770</v>
      </c>
      <c r="O1137" s="79">
        <v>45770</v>
      </c>
      <c r="P1137" s="80" t="str">
        <f ca="1">IF(Proc[[#This Row],[DaysAgeing]]&gt;5,"yep","on track")</f>
        <v>on track</v>
      </c>
      <c r="Q1137" s="3">
        <f ca="1">IF(Proc[[#This Row],[DateClosed]]="",ABS(NETWORKDAYS(Proc[[#This Row],[DateOpened]],TODAY()))-1,ABS(NETWORKDAYS(Proc[[#This Row],[DateOpened]],Proc[[#This Row],[DateClosed]]))-1)</f>
        <v>2</v>
      </c>
      <c r="R1137" s="80" t="s">
        <v>972</v>
      </c>
      <c r="S1137" s="69"/>
    </row>
    <row r="1138" spans="1:19" hidden="1">
      <c r="A1138" s="72" t="s">
        <v>2801</v>
      </c>
      <c r="B1138" s="149" t="str">
        <f>IFERROR(VLOOKUP(Proc[[#This Row],[App]],Table2[],3,0),"open")</f>
        <v>ok</v>
      </c>
      <c r="C1138" s="72" t="s">
        <v>377</v>
      </c>
      <c r="D1138" t="s">
        <v>2803</v>
      </c>
      <c r="E1138" t="s">
        <v>2811</v>
      </c>
      <c r="F1138" s="103" t="s">
        <v>2811</v>
      </c>
      <c r="G1138" s="72" t="s">
        <v>406</v>
      </c>
      <c r="H1138" s="69" t="str">
        <f>IF(Proc[[#This Row],[type]]="LFF (MDG-F)",MID(Proc[[#This Row],[Obj]],13,10),"")</f>
        <v>2102TPSZ93</v>
      </c>
      <c r="I1138" t="s">
        <v>822</v>
      </c>
      <c r="J1138" s="69" t="b">
        <f>Proc[[#This Row],[Requested]]=Proc[[#This Row],[CurrentParent]]</f>
        <v>1</v>
      </c>
      <c r="K1138" s="144" t="str">
        <f>IF(Proc[[#This Row],[Author]]="Marcela Urrego",VLOOKUP(LEFT(Proc[[#This Row],[Requested]],1),Table3[#All],2,0),VLOOKUP(Proc[[#This Row],[Author]],Table4[],2,0))</f>
        <v>LS</v>
      </c>
      <c r="L1138" s="69" t="s">
        <v>2563</v>
      </c>
      <c r="M1138" s="79">
        <v>45768.444976851853</v>
      </c>
      <c r="N1138" s="79"/>
      <c r="O1138" s="79">
        <v>45770</v>
      </c>
      <c r="P1138" s="80" t="str">
        <f ca="1">IF(Proc[[#This Row],[DaysAgeing]]&gt;5,"yep","on track")</f>
        <v>on track</v>
      </c>
      <c r="Q1138" s="3">
        <f ca="1">IF(Proc[[#This Row],[DateClosed]]="",ABS(NETWORKDAYS(Proc[[#This Row],[DateOpened]],TODAY()))-1,ABS(NETWORKDAYS(Proc[[#This Row],[DateOpened]],Proc[[#This Row],[DateClosed]]))-1)</f>
        <v>2</v>
      </c>
      <c r="R1138" s="80" t="s">
        <v>972</v>
      </c>
      <c r="S1138" s="94" t="e">
        <f>VLOOKUP(Proc[[#This Row],[Obj]],#REF!,2,0)</f>
        <v>#REF!</v>
      </c>
    </row>
    <row r="1139" spans="1:19" hidden="1">
      <c r="A1139" s="72" t="s">
        <v>2801</v>
      </c>
      <c r="B1139" s="149" t="str">
        <f>IFERROR(VLOOKUP(Proc[[#This Row],[App]],Table2[],3,0),"open")</f>
        <v>ok</v>
      </c>
      <c r="C1139" s="72" t="s">
        <v>369</v>
      </c>
      <c r="D1139" t="s">
        <v>2804</v>
      </c>
      <c r="E1139" t="s">
        <v>2812</v>
      </c>
      <c r="F1139" s="117" t="s">
        <v>2812</v>
      </c>
      <c r="G1139" s="72" t="s">
        <v>400</v>
      </c>
      <c r="H1139" s="69" t="str">
        <f>IF(Proc[[#This Row],[type]]="LFF (MDG-F)",MID(Proc[[#This Row],[Obj]],13,10),"")</f>
        <v/>
      </c>
      <c r="J1139" s="69" t="b">
        <f>Proc[[#This Row],[Requested]]=Proc[[#This Row],[CurrentParent]]</f>
        <v>1</v>
      </c>
      <c r="K1139" s="144" t="str">
        <f>IF(Proc[[#This Row],[Author]]="Marcela Urrego",VLOOKUP(LEFT(Proc[[#This Row],[Requested]],1),Table3[#All],2,0),VLOOKUP(Proc[[#This Row],[Author]],Table4[],2,0))</f>
        <v>LS</v>
      </c>
      <c r="L1139" s="69" t="s">
        <v>2563</v>
      </c>
      <c r="M1139" s="79">
        <v>45768.444976851853</v>
      </c>
      <c r="N1139" s="79">
        <v>45770</v>
      </c>
      <c r="O1139" s="79">
        <v>45770</v>
      </c>
      <c r="P1139" s="80" t="str">
        <f ca="1">IF(Proc[[#This Row],[DaysAgeing]]&gt;5,"yep","on track")</f>
        <v>on track</v>
      </c>
      <c r="Q1139" s="3">
        <f ca="1">IF(Proc[[#This Row],[DateClosed]]="",ABS(NETWORKDAYS(Proc[[#This Row],[DateOpened]],TODAY()))-1,ABS(NETWORKDAYS(Proc[[#This Row],[DateOpened]],Proc[[#This Row],[DateClosed]]))-1)</f>
        <v>2</v>
      </c>
      <c r="R1139" s="80" t="s">
        <v>972</v>
      </c>
      <c r="S1139" s="69"/>
    </row>
    <row r="1140" spans="1:19" hidden="1">
      <c r="A1140" s="72" t="s">
        <v>2801</v>
      </c>
      <c r="B1140" s="149" t="str">
        <f>IFERROR(VLOOKUP(Proc[[#This Row],[App]],Table2[],3,0),"open")</f>
        <v>ok</v>
      </c>
      <c r="C1140" s="72" t="s">
        <v>369</v>
      </c>
      <c r="D1140" t="s">
        <v>2805</v>
      </c>
      <c r="E1140" t="s">
        <v>2813</v>
      </c>
      <c r="F1140" s="117" t="s">
        <v>2813</v>
      </c>
      <c r="G1140" s="72" t="s">
        <v>400</v>
      </c>
      <c r="H1140" s="69" t="str">
        <f>IF(Proc[[#This Row],[type]]="LFF (MDG-F)",MID(Proc[[#This Row],[Obj]],13,10),"")</f>
        <v/>
      </c>
      <c r="J1140" s="69" t="b">
        <f>Proc[[#This Row],[Requested]]=Proc[[#This Row],[CurrentParent]]</f>
        <v>1</v>
      </c>
      <c r="K1140" s="144" t="str">
        <f>IF(Proc[[#This Row],[Author]]="Marcela Urrego",VLOOKUP(LEFT(Proc[[#This Row],[Requested]],1),Table3[#All],2,0),VLOOKUP(Proc[[#This Row],[Author]],Table4[],2,0))</f>
        <v>LS</v>
      </c>
      <c r="L1140" s="69" t="s">
        <v>2563</v>
      </c>
      <c r="M1140" s="79">
        <v>45768.444976851853</v>
      </c>
      <c r="N1140" s="79">
        <v>45770</v>
      </c>
      <c r="O1140" s="79">
        <v>45770</v>
      </c>
      <c r="P1140" s="80" t="str">
        <f ca="1">IF(Proc[[#This Row],[DaysAgeing]]&gt;5,"yep","on track")</f>
        <v>on track</v>
      </c>
      <c r="Q1140" s="3">
        <f ca="1">IF(Proc[[#This Row],[DateClosed]]="",ABS(NETWORKDAYS(Proc[[#This Row],[DateOpened]],TODAY()))-1,ABS(NETWORKDAYS(Proc[[#This Row],[DateOpened]],Proc[[#This Row],[DateClosed]]))-1)</f>
        <v>2</v>
      </c>
      <c r="R1140" s="80" t="s">
        <v>972</v>
      </c>
      <c r="S1140" s="69"/>
    </row>
    <row r="1141" spans="1:19" hidden="1">
      <c r="A1141" s="72" t="s">
        <v>2801</v>
      </c>
      <c r="B1141" s="149" t="str">
        <f>IFERROR(VLOOKUP(Proc[[#This Row],[App]],Table2[],3,0),"open")</f>
        <v>ok</v>
      </c>
      <c r="C1141" s="72" t="s">
        <v>369</v>
      </c>
      <c r="D1141" t="s">
        <v>2806</v>
      </c>
      <c r="E1141" t="s">
        <v>2813</v>
      </c>
      <c r="F1141" s="117" t="s">
        <v>2813</v>
      </c>
      <c r="G1141" s="72" t="s">
        <v>400</v>
      </c>
      <c r="H1141" s="69" t="str">
        <f>IF(Proc[[#This Row],[type]]="LFF (MDG-F)",MID(Proc[[#This Row],[Obj]],13,10),"")</f>
        <v/>
      </c>
      <c r="J1141" s="69" t="b">
        <f>Proc[[#This Row],[Requested]]=Proc[[#This Row],[CurrentParent]]</f>
        <v>1</v>
      </c>
      <c r="K1141" s="144" t="str">
        <f>IF(Proc[[#This Row],[Author]]="Marcela Urrego",VLOOKUP(LEFT(Proc[[#This Row],[Requested]],1),Table3[#All],2,0),VLOOKUP(Proc[[#This Row],[Author]],Table4[],2,0))</f>
        <v>LS</v>
      </c>
      <c r="L1141" s="69" t="s">
        <v>2563</v>
      </c>
      <c r="M1141" s="79">
        <v>45768.444976851853</v>
      </c>
      <c r="N1141" s="79">
        <v>45770</v>
      </c>
      <c r="O1141" s="79">
        <v>45770</v>
      </c>
      <c r="P1141" s="80" t="str">
        <f ca="1">IF(Proc[[#This Row],[DaysAgeing]]&gt;5,"yep","on track")</f>
        <v>on track</v>
      </c>
      <c r="Q1141" s="3">
        <f ca="1">IF(Proc[[#This Row],[DateClosed]]="",ABS(NETWORKDAYS(Proc[[#This Row],[DateOpened]],TODAY()))-1,ABS(NETWORKDAYS(Proc[[#This Row],[DateOpened]],Proc[[#This Row],[DateClosed]]))-1)</f>
        <v>2</v>
      </c>
      <c r="R1141" s="80" t="s">
        <v>972</v>
      </c>
      <c r="S1141" s="69"/>
    </row>
    <row r="1142" spans="1:19" hidden="1">
      <c r="A1142" s="72" t="s">
        <v>2801</v>
      </c>
      <c r="B1142" s="149" t="str">
        <f>IFERROR(VLOOKUP(Proc[[#This Row],[App]],Table2[],3,0),"open")</f>
        <v>ok</v>
      </c>
      <c r="C1142" s="72" t="s">
        <v>369</v>
      </c>
      <c r="D1142" t="s">
        <v>2807</v>
      </c>
      <c r="E1142" t="s">
        <v>2814</v>
      </c>
      <c r="F1142" s="117" t="s">
        <v>2814</v>
      </c>
      <c r="G1142" s="72" t="s">
        <v>400</v>
      </c>
      <c r="H1142" s="69" t="str">
        <f>IF(Proc[[#This Row],[type]]="LFF (MDG-F)",MID(Proc[[#This Row],[Obj]],13,10),"")</f>
        <v/>
      </c>
      <c r="J1142" s="69" t="b">
        <f>Proc[[#This Row],[Requested]]=Proc[[#This Row],[CurrentParent]]</f>
        <v>1</v>
      </c>
      <c r="K1142" s="144" t="str">
        <f>IF(Proc[[#This Row],[Author]]="Marcela Urrego",VLOOKUP(LEFT(Proc[[#This Row],[Requested]],1),Table3[#All],2,0),VLOOKUP(Proc[[#This Row],[Author]],Table4[],2,0))</f>
        <v>LS</v>
      </c>
      <c r="L1142" s="69" t="s">
        <v>2563</v>
      </c>
      <c r="M1142" s="79">
        <v>45768.444976851853</v>
      </c>
      <c r="N1142" s="79">
        <v>45770</v>
      </c>
      <c r="O1142" s="79">
        <v>45770</v>
      </c>
      <c r="P1142" s="80" t="str">
        <f ca="1">IF(Proc[[#This Row],[DaysAgeing]]&gt;5,"yep","on track")</f>
        <v>on track</v>
      </c>
      <c r="Q1142" s="3">
        <f ca="1">IF(Proc[[#This Row],[DateClosed]]="",ABS(NETWORKDAYS(Proc[[#This Row],[DateOpened]],TODAY()))-1,ABS(NETWORKDAYS(Proc[[#This Row],[DateOpened]],Proc[[#This Row],[DateClosed]]))-1)</f>
        <v>2</v>
      </c>
      <c r="R1142" s="80" t="s">
        <v>972</v>
      </c>
      <c r="S1142" s="69"/>
    </row>
    <row r="1143" spans="1:19" hidden="1">
      <c r="A1143" s="72" t="s">
        <v>2801</v>
      </c>
      <c r="B1143" s="149" t="str">
        <f>IFERROR(VLOOKUP(Proc[[#This Row],[App]],Table2[],3,0),"open")</f>
        <v>ok</v>
      </c>
      <c r="C1143" s="72" t="s">
        <v>369</v>
      </c>
      <c r="D1143" t="s">
        <v>2808</v>
      </c>
      <c r="E1143" t="s">
        <v>2376</v>
      </c>
      <c r="F1143" s="117" t="s">
        <v>2376</v>
      </c>
      <c r="G1143" s="72" t="s">
        <v>400</v>
      </c>
      <c r="H1143" s="69" t="str">
        <f>IF(Proc[[#This Row],[type]]="LFF (MDG-F)",MID(Proc[[#This Row],[Obj]],13,10),"")</f>
        <v/>
      </c>
      <c r="J1143" s="69" t="b">
        <f>Proc[[#This Row],[Requested]]=Proc[[#This Row],[CurrentParent]]</f>
        <v>1</v>
      </c>
      <c r="K1143" s="144" t="str">
        <f>IF(Proc[[#This Row],[Author]]="Marcela Urrego",VLOOKUP(LEFT(Proc[[#This Row],[Requested]],1),Table3[#All],2,0),VLOOKUP(Proc[[#This Row],[Author]],Table4[],2,0))</f>
        <v>LS</v>
      </c>
      <c r="L1143" s="69" t="s">
        <v>2563</v>
      </c>
      <c r="M1143" s="79">
        <v>45768.444976851853</v>
      </c>
      <c r="N1143" s="79">
        <v>45770</v>
      </c>
      <c r="O1143" s="79">
        <v>45770</v>
      </c>
      <c r="P1143" s="80" t="str">
        <f ca="1">IF(Proc[[#This Row],[DaysAgeing]]&gt;5,"yep","on track")</f>
        <v>on track</v>
      </c>
      <c r="Q1143" s="3">
        <f ca="1">IF(Proc[[#This Row],[DateClosed]]="",ABS(NETWORKDAYS(Proc[[#This Row],[DateOpened]],TODAY()))-1,ABS(NETWORKDAYS(Proc[[#This Row],[DateOpened]],Proc[[#This Row],[DateClosed]]))-1)</f>
        <v>2</v>
      </c>
      <c r="R1143" s="80" t="s">
        <v>972</v>
      </c>
      <c r="S1143" s="69"/>
    </row>
    <row r="1144" spans="1:19" hidden="1">
      <c r="A1144" s="72" t="s">
        <v>2801</v>
      </c>
      <c r="B1144" s="149" t="str">
        <f>IFERROR(VLOOKUP(Proc[[#This Row],[App]],Table2[],3,0),"open")</f>
        <v>ok</v>
      </c>
      <c r="C1144" s="72" t="s">
        <v>369</v>
      </c>
      <c r="D1144" t="s">
        <v>2809</v>
      </c>
      <c r="E1144" t="s">
        <v>2376</v>
      </c>
      <c r="F1144" s="117" t="s">
        <v>2376</v>
      </c>
      <c r="G1144" s="72" t="s">
        <v>400</v>
      </c>
      <c r="H1144" s="69" t="str">
        <f>IF(Proc[[#This Row],[type]]="LFF (MDG-F)",MID(Proc[[#This Row],[Obj]],13,10),"")</f>
        <v/>
      </c>
      <c r="J1144" s="69" t="b">
        <f>Proc[[#This Row],[Requested]]=Proc[[#This Row],[CurrentParent]]</f>
        <v>1</v>
      </c>
      <c r="K1144" s="144" t="str">
        <f>IF(Proc[[#This Row],[Author]]="Marcela Urrego",VLOOKUP(LEFT(Proc[[#This Row],[Requested]],1),Table3[#All],2,0),VLOOKUP(Proc[[#This Row],[Author]],Table4[],2,0))</f>
        <v>LS</v>
      </c>
      <c r="L1144" s="69" t="s">
        <v>2563</v>
      </c>
      <c r="M1144" s="79">
        <v>45768.444976851853</v>
      </c>
      <c r="N1144" s="79">
        <v>45770</v>
      </c>
      <c r="O1144" s="79">
        <v>45770</v>
      </c>
      <c r="P1144" s="80" t="str">
        <f ca="1">IF(Proc[[#This Row],[DaysAgeing]]&gt;5,"yep","on track")</f>
        <v>on track</v>
      </c>
      <c r="Q1144" s="3">
        <f ca="1">IF(Proc[[#This Row],[DateClosed]]="",ABS(NETWORKDAYS(Proc[[#This Row],[DateOpened]],TODAY()))-1,ABS(NETWORKDAYS(Proc[[#This Row],[DateOpened]],Proc[[#This Row],[DateClosed]]))-1)</f>
        <v>2</v>
      </c>
      <c r="R1144" s="80" t="s">
        <v>972</v>
      </c>
      <c r="S1144" s="69"/>
    </row>
    <row r="1145" spans="1:19" hidden="1">
      <c r="A1145" s="72" t="s">
        <v>2801</v>
      </c>
      <c r="B1145" s="149" t="str">
        <f>IFERROR(VLOOKUP(Proc[[#This Row],[App]],Table2[],3,0),"open")</f>
        <v>ok</v>
      </c>
      <c r="C1145" s="72" t="s">
        <v>369</v>
      </c>
      <c r="D1145" t="s">
        <v>2810</v>
      </c>
      <c r="E1145" t="s">
        <v>2376</v>
      </c>
      <c r="F1145" s="117" t="s">
        <v>2376</v>
      </c>
      <c r="G1145" s="72" t="s">
        <v>400</v>
      </c>
      <c r="H1145" s="69" t="str">
        <f>IF(Proc[[#This Row],[type]]="LFF (MDG-F)",MID(Proc[[#This Row],[Obj]],13,10),"")</f>
        <v/>
      </c>
      <c r="J1145" s="69" t="b">
        <f>Proc[[#This Row],[Requested]]=Proc[[#This Row],[CurrentParent]]</f>
        <v>1</v>
      </c>
      <c r="K1145" s="144" t="str">
        <f>IF(Proc[[#This Row],[Author]]="Marcela Urrego",VLOOKUP(LEFT(Proc[[#This Row],[Requested]],1),Table3[#All],2,0),VLOOKUP(Proc[[#This Row],[Author]],Table4[],2,0))</f>
        <v>LS</v>
      </c>
      <c r="L1145" s="69" t="s">
        <v>2563</v>
      </c>
      <c r="M1145" s="79">
        <v>45768.444976851853</v>
      </c>
      <c r="N1145" s="79">
        <v>45770</v>
      </c>
      <c r="O1145" s="79">
        <v>45770</v>
      </c>
      <c r="P1145" s="80" t="str">
        <f ca="1">IF(Proc[[#This Row],[DaysAgeing]]&gt;5,"yep","on track")</f>
        <v>on track</v>
      </c>
      <c r="Q1145" s="3">
        <f ca="1">IF(Proc[[#This Row],[DateClosed]]="",ABS(NETWORKDAYS(Proc[[#This Row],[DateOpened]],TODAY()))-1,ABS(NETWORKDAYS(Proc[[#This Row],[DateOpened]],Proc[[#This Row],[DateClosed]]))-1)</f>
        <v>2</v>
      </c>
      <c r="R1145" s="80" t="s">
        <v>972</v>
      </c>
      <c r="S1145" s="69"/>
    </row>
    <row r="1146" spans="1:19" hidden="1">
      <c r="A1146" s="72" t="s">
        <v>2801</v>
      </c>
      <c r="B1146" s="149" t="str">
        <f>IFERROR(VLOOKUP(Proc[[#This Row],[App]],Table2[],3,0),"open")</f>
        <v>ok</v>
      </c>
      <c r="C1146" s="72" t="s">
        <v>369</v>
      </c>
      <c r="D1146" t="s">
        <v>2817</v>
      </c>
      <c r="E1146" t="s">
        <v>2815</v>
      </c>
      <c r="F1146" s="117" t="s">
        <v>2815</v>
      </c>
      <c r="G1146" s="72" t="s">
        <v>400</v>
      </c>
      <c r="H1146" s="69" t="str">
        <f>IF(Proc[[#This Row],[type]]="LFF (MDG-F)",MID(Proc[[#This Row],[Obj]],13,10),"")</f>
        <v/>
      </c>
      <c r="J1146" s="69" t="b">
        <f>Proc[[#This Row],[Requested]]=Proc[[#This Row],[CurrentParent]]</f>
        <v>1</v>
      </c>
      <c r="K1146" s="144" t="str">
        <f>IF(Proc[[#This Row],[Author]]="Marcela Urrego",VLOOKUP(LEFT(Proc[[#This Row],[Requested]],1),Table3[#All],2,0),VLOOKUP(Proc[[#This Row],[Author]],Table4[],2,0))</f>
        <v>LS</v>
      </c>
      <c r="L1146" s="69" t="s">
        <v>2563</v>
      </c>
      <c r="M1146" s="79">
        <v>45768.444976851853</v>
      </c>
      <c r="N1146" s="79">
        <v>45770</v>
      </c>
      <c r="O1146" s="79">
        <v>45770</v>
      </c>
      <c r="P1146" s="80" t="str">
        <f ca="1">IF(Proc[[#This Row],[DaysAgeing]]&gt;5,"yep","on track")</f>
        <v>on track</v>
      </c>
      <c r="Q1146" s="3">
        <f ca="1">IF(Proc[[#This Row],[DateClosed]]="",ABS(NETWORKDAYS(Proc[[#This Row],[DateOpened]],TODAY()))-1,ABS(NETWORKDAYS(Proc[[#This Row],[DateOpened]],Proc[[#This Row],[DateClosed]]))-1)</f>
        <v>2</v>
      </c>
      <c r="R1146" s="80" t="s">
        <v>972</v>
      </c>
      <c r="S1146" s="69"/>
    </row>
    <row r="1147" spans="1:19" hidden="1">
      <c r="A1147" t="s">
        <v>2819</v>
      </c>
      <c r="B1147" s="149" t="str">
        <f>IFERROR(VLOOKUP(Proc[[#This Row],[App]],Table2[],3,0),"open")</f>
        <v>ok</v>
      </c>
      <c r="C1147" s="72" t="s">
        <v>369</v>
      </c>
      <c r="D1147" t="s">
        <v>2818</v>
      </c>
      <c r="E1147" t="s">
        <v>413</v>
      </c>
      <c r="F1147" s="117" t="s">
        <v>413</v>
      </c>
      <c r="G1147" s="72" t="s">
        <v>400</v>
      </c>
      <c r="H1147" s="69" t="str">
        <f>IF(Proc[[#This Row],[type]]="LFF (MDG-F)",MID(Proc[[#This Row],[Obj]],13,10),"")</f>
        <v/>
      </c>
      <c r="J1147" s="69" t="b">
        <f>Proc[[#This Row],[Requested]]=Proc[[#This Row],[CurrentParent]]</f>
        <v>1</v>
      </c>
      <c r="K1147" s="144" t="str">
        <f>IF(Proc[[#This Row],[Author]]="Marcela Urrego",VLOOKUP(LEFT(Proc[[#This Row],[Requested]],1),Table3[#All],2,0),VLOOKUP(Proc[[#This Row],[Author]],Table4[],2,0))</f>
        <v>HC</v>
      </c>
      <c r="L1147" s="69" t="s">
        <v>2563</v>
      </c>
      <c r="M1147" s="79">
        <v>45769.308611111112</v>
      </c>
      <c r="N1147" s="79">
        <v>45770</v>
      </c>
      <c r="O1147" s="79">
        <v>45770</v>
      </c>
      <c r="P1147" s="80" t="str">
        <f ca="1">IF(Proc[[#This Row],[DaysAgeing]]&gt;5,"yep","on track")</f>
        <v>on track</v>
      </c>
      <c r="Q1147" s="3">
        <f ca="1">IF(Proc[[#This Row],[DateClosed]]="",ABS(NETWORKDAYS(Proc[[#This Row],[DateOpened]],TODAY()))-1,ABS(NETWORKDAYS(Proc[[#This Row],[DateOpened]],Proc[[#This Row],[DateClosed]]))-1)</f>
        <v>1</v>
      </c>
      <c r="R1147" s="80" t="s">
        <v>955</v>
      </c>
      <c r="S1147" s="69"/>
    </row>
    <row r="1148" spans="1:19" hidden="1">
      <c r="A1148" t="s">
        <v>2826</v>
      </c>
      <c r="B1148" s="149" t="str">
        <f>IFERROR(VLOOKUP(Proc[[#This Row],[App]],Table2[],3,0),"open")</f>
        <v>ok</v>
      </c>
      <c r="C1148" t="s">
        <v>369</v>
      </c>
      <c r="D1148" t="s">
        <v>2820</v>
      </c>
      <c r="E1148" t="s">
        <v>2824</v>
      </c>
      <c r="F1148" s="117" t="s">
        <v>2824</v>
      </c>
      <c r="G1148" t="s">
        <v>406</v>
      </c>
      <c r="H1148" s="69" t="str">
        <f>IF(Proc[[#This Row],[type]]="LFF (MDG-F)",MID(Proc[[#This Row],[Obj]],13,10),"")</f>
        <v>AE50R0GR11</v>
      </c>
      <c r="I1148" t="s">
        <v>2830</v>
      </c>
      <c r="J1148" s="69" t="b">
        <f>Proc[[#This Row],[Requested]]=Proc[[#This Row],[CurrentParent]]</f>
        <v>1</v>
      </c>
      <c r="K1148" s="144" t="str">
        <f>IF(Proc[[#This Row],[Author]]="Marcela Urrego",VLOOKUP(LEFT(Proc[[#This Row],[Requested]],1),Table3[#All],2,0),VLOOKUP(Proc[[#This Row],[Author]],Table4[],2,0))</f>
        <v>HC</v>
      </c>
      <c r="L1148" s="69" t="s">
        <v>2563</v>
      </c>
      <c r="M1148" s="79">
        <v>45770.381412037037</v>
      </c>
      <c r="N1148" s="79">
        <v>45772</v>
      </c>
      <c r="O1148" s="79">
        <v>45772</v>
      </c>
      <c r="P1148" s="80" t="str">
        <f ca="1">IF(Proc[[#This Row],[DaysAgeing]]&gt;5,"yep","on track")</f>
        <v>on track</v>
      </c>
      <c r="Q1148" s="3">
        <f ca="1">IF(Proc[[#This Row],[DateClosed]]="",ABS(NETWORKDAYS(Proc[[#This Row],[DateOpened]],TODAY()))-1,ABS(NETWORKDAYS(Proc[[#This Row],[DateOpened]],Proc[[#This Row],[DateClosed]]))-1)</f>
        <v>2</v>
      </c>
      <c r="R1148" s="80" t="s">
        <v>415</v>
      </c>
      <c r="S1148" s="69"/>
    </row>
    <row r="1149" spans="1:19" hidden="1">
      <c r="A1149" s="72" t="s">
        <v>2826</v>
      </c>
      <c r="B1149" s="149" t="str">
        <f>IFERROR(VLOOKUP(Proc[[#This Row],[App]],Table2[],3,0),"open")</f>
        <v>ok</v>
      </c>
      <c r="C1149" s="72" t="s">
        <v>369</v>
      </c>
      <c r="D1149" t="s">
        <v>2821</v>
      </c>
      <c r="E1149" t="s">
        <v>2825</v>
      </c>
      <c r="F1149" s="117" t="s">
        <v>2825</v>
      </c>
      <c r="G1149" s="72" t="s">
        <v>400</v>
      </c>
      <c r="H1149" s="69" t="str">
        <f>IF(Proc[[#This Row],[type]]="LFF (MDG-F)",MID(Proc[[#This Row],[Obj]],13,10),"")</f>
        <v/>
      </c>
      <c r="J1149" s="69" t="b">
        <f>Proc[[#This Row],[Requested]]=Proc[[#This Row],[CurrentParent]]</f>
        <v>1</v>
      </c>
      <c r="K1149" s="144" t="str">
        <f>IF(Proc[[#This Row],[Author]]="Marcela Urrego",VLOOKUP(LEFT(Proc[[#This Row],[Requested]],1),Table3[#All],2,0),VLOOKUP(Proc[[#This Row],[Author]],Table4[],2,0))</f>
        <v>HC</v>
      </c>
      <c r="L1149" s="69" t="s">
        <v>2563</v>
      </c>
      <c r="M1149" s="79">
        <v>45770.381412037037</v>
      </c>
      <c r="N1149" s="79">
        <v>45772</v>
      </c>
      <c r="O1149" s="79">
        <v>45772</v>
      </c>
      <c r="P1149" s="80" t="str">
        <f ca="1">IF(Proc[[#This Row],[DaysAgeing]]&gt;5,"yep","on track")</f>
        <v>on track</v>
      </c>
      <c r="Q1149" s="3">
        <f ca="1">IF(Proc[[#This Row],[DateClosed]]="",ABS(NETWORKDAYS(Proc[[#This Row],[DateOpened]],TODAY()))-1,ABS(NETWORKDAYS(Proc[[#This Row],[DateOpened]],Proc[[#This Row],[DateClosed]]))-1)</f>
        <v>2</v>
      </c>
      <c r="R1149" s="80" t="s">
        <v>415</v>
      </c>
      <c r="S1149" s="69"/>
    </row>
    <row r="1150" spans="1:19" hidden="1">
      <c r="A1150" s="72" t="s">
        <v>2826</v>
      </c>
      <c r="B1150" s="149" t="str">
        <f>IFERROR(VLOOKUP(Proc[[#This Row],[App]],Table2[],3,0),"open")</f>
        <v>ok</v>
      </c>
      <c r="C1150" s="72" t="s">
        <v>369</v>
      </c>
      <c r="D1150" t="s">
        <v>2822</v>
      </c>
      <c r="E1150" t="s">
        <v>2825</v>
      </c>
      <c r="F1150" s="117" t="s">
        <v>2825</v>
      </c>
      <c r="G1150" s="72" t="s">
        <v>400</v>
      </c>
      <c r="H1150" s="69" t="str">
        <f>IF(Proc[[#This Row],[type]]="LFF (MDG-F)",MID(Proc[[#This Row],[Obj]],13,10),"")</f>
        <v/>
      </c>
      <c r="J1150" s="69" t="b">
        <f>Proc[[#This Row],[Requested]]=Proc[[#This Row],[CurrentParent]]</f>
        <v>1</v>
      </c>
      <c r="K1150" s="144" t="str">
        <f>IF(Proc[[#This Row],[Author]]="Marcela Urrego",VLOOKUP(LEFT(Proc[[#This Row],[Requested]],1),Table3[#All],2,0),VLOOKUP(Proc[[#This Row],[Author]],Table4[],2,0))</f>
        <v>HC</v>
      </c>
      <c r="L1150" s="69" t="s">
        <v>2563</v>
      </c>
      <c r="M1150" s="79">
        <v>45770.381412037037</v>
      </c>
      <c r="N1150" s="79">
        <v>45772</v>
      </c>
      <c r="O1150" s="79">
        <v>45772</v>
      </c>
      <c r="P1150" s="80" t="str">
        <f ca="1">IF(Proc[[#This Row],[DaysAgeing]]&gt;5,"yep","on track")</f>
        <v>on track</v>
      </c>
      <c r="Q1150" s="3">
        <f ca="1">IF(Proc[[#This Row],[DateClosed]]="",ABS(NETWORKDAYS(Proc[[#This Row],[DateOpened]],TODAY()))-1,ABS(NETWORKDAYS(Proc[[#This Row],[DateOpened]],Proc[[#This Row],[DateClosed]]))-1)</f>
        <v>2</v>
      </c>
      <c r="R1150" s="80" t="s">
        <v>415</v>
      </c>
      <c r="S1150" s="69"/>
    </row>
    <row r="1151" spans="1:19" hidden="1">
      <c r="A1151" s="72" t="s">
        <v>2826</v>
      </c>
      <c r="B1151" s="149" t="str">
        <f>IFERROR(VLOOKUP(Proc[[#This Row],[App]],Table2[],3,0),"open")</f>
        <v>ok</v>
      </c>
      <c r="C1151" s="72" t="s">
        <v>369</v>
      </c>
      <c r="D1151" t="s">
        <v>2823</v>
      </c>
      <c r="E1151" t="s">
        <v>2825</v>
      </c>
      <c r="F1151" s="117" t="s">
        <v>2825</v>
      </c>
      <c r="G1151" s="72" t="s">
        <v>400</v>
      </c>
      <c r="H1151" s="69" t="str">
        <f>IF(Proc[[#This Row],[type]]="LFF (MDG-F)",MID(Proc[[#This Row],[Obj]],13,10),"")</f>
        <v/>
      </c>
      <c r="J1151" s="69" t="b">
        <f>Proc[[#This Row],[Requested]]=Proc[[#This Row],[CurrentParent]]</f>
        <v>1</v>
      </c>
      <c r="K1151" s="144" t="str">
        <f>IF(Proc[[#This Row],[Author]]="Marcela Urrego",VLOOKUP(LEFT(Proc[[#This Row],[Requested]],1),Table3[#All],2,0),VLOOKUP(Proc[[#This Row],[Author]],Table4[],2,0))</f>
        <v>HC</v>
      </c>
      <c r="L1151" s="69" t="s">
        <v>2563</v>
      </c>
      <c r="M1151" s="79">
        <v>45770.381412037037</v>
      </c>
      <c r="N1151" s="79">
        <v>45772</v>
      </c>
      <c r="O1151" s="79">
        <v>45772</v>
      </c>
      <c r="P1151" s="80" t="str">
        <f ca="1">IF(Proc[[#This Row],[DaysAgeing]]&gt;5,"yep","on track")</f>
        <v>on track</v>
      </c>
      <c r="Q1151" s="3">
        <f ca="1">IF(Proc[[#This Row],[DateClosed]]="",ABS(NETWORKDAYS(Proc[[#This Row],[DateOpened]],TODAY()))-1,ABS(NETWORKDAYS(Proc[[#This Row],[DateOpened]],Proc[[#This Row],[DateClosed]]))-1)</f>
        <v>2</v>
      </c>
      <c r="R1151" s="80" t="s">
        <v>415</v>
      </c>
      <c r="S1151" s="69"/>
    </row>
    <row r="1152" spans="1:19" hidden="1">
      <c r="A1152" t="s">
        <v>2829</v>
      </c>
      <c r="B1152" s="149" t="str">
        <f>IFERROR(VLOOKUP(Proc[[#This Row],[App]],Table2[],3,0),"open")</f>
        <v>ok</v>
      </c>
      <c r="C1152" s="72" t="s">
        <v>369</v>
      </c>
      <c r="D1152" t="s">
        <v>2799</v>
      </c>
      <c r="E1152" t="s">
        <v>473</v>
      </c>
      <c r="F1152" s="117" t="s">
        <v>473</v>
      </c>
      <c r="G1152" s="72" t="s">
        <v>400</v>
      </c>
      <c r="H1152" s="69" t="str">
        <f>IF(Proc[[#This Row],[type]]="LFF (MDG-F)",MID(Proc[[#This Row],[Obj]],13,10),"")</f>
        <v/>
      </c>
      <c r="I1152" t="s">
        <v>1198</v>
      </c>
      <c r="J1152" s="69" t="b">
        <f>Proc[[#This Row],[Requested]]=Proc[[#This Row],[CurrentParent]]</f>
        <v>1</v>
      </c>
      <c r="K1152" s="144" t="str">
        <f>IF(Proc[[#This Row],[Author]]="Marcela Urrego",VLOOKUP(LEFT(Proc[[#This Row],[Requested]],1),Table3[#All],2,0),VLOOKUP(Proc[[#This Row],[Author]],Table4[],2,0))</f>
        <v>MGF</v>
      </c>
      <c r="L1152" s="69" t="s">
        <v>2563</v>
      </c>
      <c r="M1152" s="79">
        <v>45769.638298611113</v>
      </c>
      <c r="N1152" s="79"/>
      <c r="O1152" s="79"/>
      <c r="P1152" s="80" t="str">
        <f ca="1">IF(Proc[[#This Row],[DaysAgeing]]&gt;5,"yep","on track")</f>
        <v>yep</v>
      </c>
      <c r="Q1152" s="3">
        <f ca="1">IF(Proc[[#This Row],[DateClosed]]="",ABS(NETWORKDAYS(Proc[[#This Row],[DateOpened]],TODAY()))-1,ABS(NETWORKDAYS(Proc[[#This Row],[DateOpened]],Proc[[#This Row],[DateClosed]]))-1)</f>
        <v>173</v>
      </c>
      <c r="R1152" s="80" t="s">
        <v>515</v>
      </c>
      <c r="S1152" s="69"/>
    </row>
    <row r="1153" spans="1:19" hidden="1">
      <c r="A1153" s="72" t="s">
        <v>2829</v>
      </c>
      <c r="B1153" s="149" t="str">
        <f>IFERROR(VLOOKUP(Proc[[#This Row],[App]],Table2[],3,0),"open")</f>
        <v>ok</v>
      </c>
      <c r="C1153" s="72" t="s">
        <v>369</v>
      </c>
      <c r="D1153" t="s">
        <v>2827</v>
      </c>
      <c r="E1153" t="s">
        <v>2505</v>
      </c>
      <c r="F1153" s="117" t="s">
        <v>2505</v>
      </c>
      <c r="G1153" s="72" t="s">
        <v>400</v>
      </c>
      <c r="H1153" s="69" t="str">
        <f>IF(Proc[[#This Row],[type]]="LFF (MDG-F)",MID(Proc[[#This Row],[Obj]],13,10),"")</f>
        <v/>
      </c>
      <c r="J1153" s="69" t="b">
        <f>Proc[[#This Row],[Requested]]=Proc[[#This Row],[CurrentParent]]</f>
        <v>1</v>
      </c>
      <c r="K1153" s="144" t="str">
        <f>IF(Proc[[#This Row],[Author]]="Marcela Urrego",VLOOKUP(LEFT(Proc[[#This Row],[Requested]],1),Table3[#All],2,0),VLOOKUP(Proc[[#This Row],[Author]],Table4[],2,0))</f>
        <v>MGF</v>
      </c>
      <c r="L1153" s="69" t="s">
        <v>2563</v>
      </c>
      <c r="M1153" s="79">
        <v>45769.638298611113</v>
      </c>
      <c r="N1153" s="79">
        <v>45772</v>
      </c>
      <c r="O1153" s="79">
        <v>45772</v>
      </c>
      <c r="P1153" s="80" t="str">
        <f ca="1">IF(Proc[[#This Row],[DaysAgeing]]&gt;5,"yep","on track")</f>
        <v>on track</v>
      </c>
      <c r="Q1153" s="3">
        <f ca="1">IF(Proc[[#This Row],[DateClosed]]="",ABS(NETWORKDAYS(Proc[[#This Row],[DateOpened]],TODAY()))-1,ABS(NETWORKDAYS(Proc[[#This Row],[DateOpened]],Proc[[#This Row],[DateClosed]]))-1)</f>
        <v>3</v>
      </c>
      <c r="R1153" s="80" t="s">
        <v>515</v>
      </c>
      <c r="S1153" s="69"/>
    </row>
    <row r="1154" spans="1:19" hidden="1">
      <c r="A1154" s="72" t="s">
        <v>2829</v>
      </c>
      <c r="B1154" s="149" t="str">
        <f>IFERROR(VLOOKUP(Proc[[#This Row],[App]],Table2[],3,0),"open")</f>
        <v>ok</v>
      </c>
      <c r="C1154" s="72" t="s">
        <v>369</v>
      </c>
      <c r="D1154" t="s">
        <v>2828</v>
      </c>
      <c r="E1154" t="s">
        <v>2607</v>
      </c>
      <c r="F1154" s="117" t="s">
        <v>2607</v>
      </c>
      <c r="G1154" s="72" t="s">
        <v>400</v>
      </c>
      <c r="H1154" s="69" t="str">
        <f>IF(Proc[[#This Row],[type]]="LFF (MDG-F)",MID(Proc[[#This Row],[Obj]],13,10),"")</f>
        <v/>
      </c>
      <c r="J1154" s="69" t="b">
        <f>Proc[[#This Row],[Requested]]=Proc[[#This Row],[CurrentParent]]</f>
        <v>1</v>
      </c>
      <c r="K1154" s="144" t="str">
        <f>IF(Proc[[#This Row],[Author]]="Marcela Urrego",VLOOKUP(LEFT(Proc[[#This Row],[Requested]],1),Table3[#All],2,0),VLOOKUP(Proc[[#This Row],[Author]],Table4[],2,0))</f>
        <v>MGF</v>
      </c>
      <c r="L1154" s="69" t="s">
        <v>2563</v>
      </c>
      <c r="M1154" s="79">
        <v>45769.638298611113</v>
      </c>
      <c r="N1154" s="79">
        <v>45772</v>
      </c>
      <c r="O1154" s="79">
        <v>45772</v>
      </c>
      <c r="P1154" s="80" t="str">
        <f ca="1">IF(Proc[[#This Row],[DaysAgeing]]&gt;5,"yep","on track")</f>
        <v>on track</v>
      </c>
      <c r="Q1154" s="3">
        <f ca="1">IF(Proc[[#This Row],[DateClosed]]="",ABS(NETWORKDAYS(Proc[[#This Row],[DateOpened]],TODAY()))-1,ABS(NETWORKDAYS(Proc[[#This Row],[DateOpened]],Proc[[#This Row],[DateClosed]]))-1)</f>
        <v>3</v>
      </c>
      <c r="R1154" s="80" t="s">
        <v>515</v>
      </c>
      <c r="S1154" s="69"/>
    </row>
    <row r="1155" spans="1:19" hidden="1">
      <c r="A1155" t="s">
        <v>2831</v>
      </c>
      <c r="B1155" s="149" t="str">
        <f>IFERROR(VLOOKUP(Proc[[#This Row],[App]],Table2[],3,0),"open")</f>
        <v>ok</v>
      </c>
      <c r="C1155" s="72" t="s">
        <v>369</v>
      </c>
      <c r="D1155" t="s">
        <v>2832</v>
      </c>
      <c r="E1155" t="s">
        <v>2839</v>
      </c>
      <c r="F1155" s="117" t="s">
        <v>2839</v>
      </c>
      <c r="G1155" s="72" t="s">
        <v>400</v>
      </c>
      <c r="H1155" s="69" t="str">
        <f>IF(Proc[[#This Row],[type]]="LFF (MDG-F)",MID(Proc[[#This Row],[Obj]],13,10),"")</f>
        <v/>
      </c>
      <c r="J1155" s="69" t="b">
        <f>Proc[[#This Row],[Requested]]=Proc[[#This Row],[CurrentParent]]</f>
        <v>1</v>
      </c>
      <c r="K1155" s="144" t="str">
        <f>IF(Proc[[#This Row],[Author]]="Marcela Urrego",VLOOKUP(LEFT(Proc[[#This Row],[Requested]],1),Table3[#All],2,0),VLOOKUP(Proc[[#This Row],[Author]],Table4[],2,0))</f>
        <v>LS</v>
      </c>
      <c r="L1155" s="69" t="s">
        <v>2563</v>
      </c>
      <c r="M1155" s="79">
        <v>45772.348194444443</v>
      </c>
      <c r="N1155" s="79">
        <v>45775</v>
      </c>
      <c r="O1155" s="79">
        <v>45775</v>
      </c>
      <c r="P1155" s="80" t="str">
        <f ca="1">IF(Proc[[#This Row],[DaysAgeing]]&gt;5,"yep","on track")</f>
        <v>on track</v>
      </c>
      <c r="Q1155" s="3">
        <f ca="1">IF(Proc[[#This Row],[DateClosed]]="",ABS(NETWORKDAYS(Proc[[#This Row],[DateOpened]],TODAY()))-1,ABS(NETWORKDAYS(Proc[[#This Row],[DateOpened]],Proc[[#This Row],[DateClosed]]))-1)</f>
        <v>1</v>
      </c>
      <c r="R1155" s="80" t="s">
        <v>489</v>
      </c>
      <c r="S1155" s="69"/>
    </row>
    <row r="1156" spans="1:19" hidden="1">
      <c r="A1156" s="72" t="s">
        <v>2831</v>
      </c>
      <c r="B1156" s="149" t="str">
        <f>IFERROR(VLOOKUP(Proc[[#This Row],[App]],Table2[],3,0),"open")</f>
        <v>ok</v>
      </c>
      <c r="C1156" s="72" t="s">
        <v>369</v>
      </c>
      <c r="D1156" t="s">
        <v>2833</v>
      </c>
      <c r="E1156" t="s">
        <v>2840</v>
      </c>
      <c r="F1156" s="117" t="s">
        <v>2840</v>
      </c>
      <c r="G1156" s="72" t="s">
        <v>400</v>
      </c>
      <c r="H1156" s="69" t="str">
        <f>IF(Proc[[#This Row],[type]]="LFF (MDG-F)",MID(Proc[[#This Row],[Obj]],13,10),"")</f>
        <v/>
      </c>
      <c r="J1156" s="69" t="b">
        <f>Proc[[#This Row],[Requested]]=Proc[[#This Row],[CurrentParent]]</f>
        <v>1</v>
      </c>
      <c r="K1156" s="144" t="str">
        <f>IF(Proc[[#This Row],[Author]]="Marcela Urrego",VLOOKUP(LEFT(Proc[[#This Row],[Requested]],1),Table3[#All],2,0),VLOOKUP(Proc[[#This Row],[Author]],Table4[],2,0))</f>
        <v>LS</v>
      </c>
      <c r="L1156" s="69" t="s">
        <v>2563</v>
      </c>
      <c r="M1156" s="79">
        <v>45772.348194444443</v>
      </c>
      <c r="N1156" s="79">
        <v>45775</v>
      </c>
      <c r="O1156" s="79">
        <v>45775</v>
      </c>
      <c r="P1156" s="80" t="str">
        <f ca="1">IF(Proc[[#This Row],[DaysAgeing]]&gt;5,"yep","on track")</f>
        <v>on track</v>
      </c>
      <c r="Q1156" s="3">
        <f ca="1">IF(Proc[[#This Row],[DateClosed]]="",ABS(NETWORKDAYS(Proc[[#This Row],[DateOpened]],TODAY()))-1,ABS(NETWORKDAYS(Proc[[#This Row],[DateOpened]],Proc[[#This Row],[DateClosed]]))-1)</f>
        <v>1</v>
      </c>
      <c r="R1156" s="80" t="s">
        <v>489</v>
      </c>
      <c r="S1156" s="69"/>
    </row>
    <row r="1157" spans="1:19" hidden="1">
      <c r="A1157" s="72" t="s">
        <v>2831</v>
      </c>
      <c r="B1157" s="149" t="str">
        <f>IFERROR(VLOOKUP(Proc[[#This Row],[App]],Table2[],3,0),"open")</f>
        <v>ok</v>
      </c>
      <c r="C1157" s="72" t="s">
        <v>369</v>
      </c>
      <c r="D1157" t="s">
        <v>2834</v>
      </c>
      <c r="E1157" t="s">
        <v>2841</v>
      </c>
      <c r="F1157" s="117" t="s">
        <v>2841</v>
      </c>
      <c r="G1157" s="72" t="s">
        <v>400</v>
      </c>
      <c r="H1157" s="69" t="str">
        <f>IF(Proc[[#This Row],[type]]="LFF (MDG-F)",MID(Proc[[#This Row],[Obj]],13,10),"")</f>
        <v/>
      </c>
      <c r="J1157" s="69" t="b">
        <f>Proc[[#This Row],[Requested]]=Proc[[#This Row],[CurrentParent]]</f>
        <v>1</v>
      </c>
      <c r="K1157" s="144" t="str">
        <f>IF(Proc[[#This Row],[Author]]="Marcela Urrego",VLOOKUP(LEFT(Proc[[#This Row],[Requested]],1),Table3[#All],2,0),VLOOKUP(Proc[[#This Row],[Author]],Table4[],2,0))</f>
        <v>LS</v>
      </c>
      <c r="L1157" s="69" t="s">
        <v>2563</v>
      </c>
      <c r="M1157" s="79">
        <v>45772.348194444443</v>
      </c>
      <c r="N1157" s="79">
        <v>45775</v>
      </c>
      <c r="O1157" s="79">
        <v>45775</v>
      </c>
      <c r="P1157" s="80" t="str">
        <f ca="1">IF(Proc[[#This Row],[DaysAgeing]]&gt;5,"yep","on track")</f>
        <v>on track</v>
      </c>
      <c r="Q1157" s="3">
        <f ca="1">IF(Proc[[#This Row],[DateClosed]]="",ABS(NETWORKDAYS(Proc[[#This Row],[DateOpened]],TODAY()))-1,ABS(NETWORKDAYS(Proc[[#This Row],[DateOpened]],Proc[[#This Row],[DateClosed]]))-1)</f>
        <v>1</v>
      </c>
      <c r="R1157" s="80" t="s">
        <v>489</v>
      </c>
      <c r="S1157" s="69"/>
    </row>
    <row r="1158" spans="1:19" hidden="1">
      <c r="A1158" s="72" t="s">
        <v>2831</v>
      </c>
      <c r="B1158" s="149" t="str">
        <f>IFERROR(VLOOKUP(Proc[[#This Row],[App]],Table2[],3,0),"open")</f>
        <v>ok</v>
      </c>
      <c r="C1158" s="72" t="s">
        <v>369</v>
      </c>
      <c r="D1158" t="s">
        <v>2835</v>
      </c>
      <c r="E1158" t="s">
        <v>2842</v>
      </c>
      <c r="F1158" s="117" t="s">
        <v>2842</v>
      </c>
      <c r="G1158" s="72" t="s">
        <v>400</v>
      </c>
      <c r="H1158" s="69" t="str">
        <f>IF(Proc[[#This Row],[type]]="LFF (MDG-F)",MID(Proc[[#This Row],[Obj]],13,10),"")</f>
        <v/>
      </c>
      <c r="J1158" s="69" t="b">
        <f>Proc[[#This Row],[Requested]]=Proc[[#This Row],[CurrentParent]]</f>
        <v>1</v>
      </c>
      <c r="K1158" s="144" t="str">
        <f>IF(Proc[[#This Row],[Author]]="Marcela Urrego",VLOOKUP(LEFT(Proc[[#This Row],[Requested]],1),Table3[#All],2,0),VLOOKUP(Proc[[#This Row],[Author]],Table4[],2,0))</f>
        <v>LS</v>
      </c>
      <c r="L1158" s="69" t="s">
        <v>2563</v>
      </c>
      <c r="M1158" s="79">
        <v>45772.348194444443</v>
      </c>
      <c r="N1158" s="79">
        <v>45775</v>
      </c>
      <c r="O1158" s="79">
        <v>45775</v>
      </c>
      <c r="P1158" s="80" t="str">
        <f ca="1">IF(Proc[[#This Row],[DaysAgeing]]&gt;5,"yep","on track")</f>
        <v>on track</v>
      </c>
      <c r="Q1158" s="3">
        <f ca="1">IF(Proc[[#This Row],[DateClosed]]="",ABS(NETWORKDAYS(Proc[[#This Row],[DateOpened]],TODAY()))-1,ABS(NETWORKDAYS(Proc[[#This Row],[DateOpened]],Proc[[#This Row],[DateClosed]]))-1)</f>
        <v>1</v>
      </c>
      <c r="R1158" s="80" t="s">
        <v>489</v>
      </c>
      <c r="S1158" s="69"/>
    </row>
    <row r="1159" spans="1:19" hidden="1">
      <c r="A1159" s="72" t="s">
        <v>2831</v>
      </c>
      <c r="B1159" s="149" t="str">
        <f>IFERROR(VLOOKUP(Proc[[#This Row],[App]],Table2[],3,0),"open")</f>
        <v>ok</v>
      </c>
      <c r="C1159" s="72" t="s">
        <v>369</v>
      </c>
      <c r="D1159" t="s">
        <v>2836</v>
      </c>
      <c r="E1159" t="s">
        <v>2840</v>
      </c>
      <c r="F1159" s="117" t="s">
        <v>2840</v>
      </c>
      <c r="G1159" s="72" t="s">
        <v>400</v>
      </c>
      <c r="H1159" s="69" t="str">
        <f>IF(Proc[[#This Row],[type]]="LFF (MDG-F)",MID(Proc[[#This Row],[Obj]],13,10),"")</f>
        <v/>
      </c>
      <c r="J1159" s="69" t="b">
        <f>Proc[[#This Row],[Requested]]=Proc[[#This Row],[CurrentParent]]</f>
        <v>1</v>
      </c>
      <c r="K1159" s="144" t="str">
        <f>IF(Proc[[#This Row],[Author]]="Marcela Urrego",VLOOKUP(LEFT(Proc[[#This Row],[Requested]],1),Table3[#All],2,0),VLOOKUP(Proc[[#This Row],[Author]],Table4[],2,0))</f>
        <v>LS</v>
      </c>
      <c r="L1159" s="69" t="s">
        <v>2563</v>
      </c>
      <c r="M1159" s="79">
        <v>45772.348194444443</v>
      </c>
      <c r="N1159" s="79">
        <v>45775</v>
      </c>
      <c r="O1159" s="79">
        <v>45775</v>
      </c>
      <c r="P1159" s="80" t="str">
        <f ca="1">IF(Proc[[#This Row],[DaysAgeing]]&gt;5,"yep","on track")</f>
        <v>on track</v>
      </c>
      <c r="Q1159" s="3">
        <f ca="1">IF(Proc[[#This Row],[DateClosed]]="",ABS(NETWORKDAYS(Proc[[#This Row],[DateOpened]],TODAY()))-1,ABS(NETWORKDAYS(Proc[[#This Row],[DateOpened]],Proc[[#This Row],[DateClosed]]))-1)</f>
        <v>1</v>
      </c>
      <c r="R1159" s="80" t="s">
        <v>489</v>
      </c>
      <c r="S1159" s="69"/>
    </row>
    <row r="1160" spans="1:19" hidden="1">
      <c r="A1160" s="72" t="s">
        <v>2831</v>
      </c>
      <c r="B1160" s="149" t="str">
        <f>IFERROR(VLOOKUP(Proc[[#This Row],[App]],Table2[],3,0),"open")</f>
        <v>ok</v>
      </c>
      <c r="C1160" s="72" t="s">
        <v>369</v>
      </c>
      <c r="D1160" t="s">
        <v>2837</v>
      </c>
      <c r="E1160" t="s">
        <v>2841</v>
      </c>
      <c r="F1160" s="117" t="s">
        <v>2841</v>
      </c>
      <c r="G1160" s="72" t="s">
        <v>400</v>
      </c>
      <c r="H1160" s="69" t="str">
        <f>IF(Proc[[#This Row],[type]]="LFF (MDG-F)",MID(Proc[[#This Row],[Obj]],13,10),"")</f>
        <v/>
      </c>
      <c r="J1160" s="69" t="b">
        <f>Proc[[#This Row],[Requested]]=Proc[[#This Row],[CurrentParent]]</f>
        <v>1</v>
      </c>
      <c r="K1160" s="144" t="str">
        <f>IF(Proc[[#This Row],[Author]]="Marcela Urrego",VLOOKUP(LEFT(Proc[[#This Row],[Requested]],1),Table3[#All],2,0),VLOOKUP(Proc[[#This Row],[Author]],Table4[],2,0))</f>
        <v>LS</v>
      </c>
      <c r="L1160" s="69" t="s">
        <v>2563</v>
      </c>
      <c r="M1160" s="79">
        <v>45772.348194444443</v>
      </c>
      <c r="N1160" s="79">
        <v>45775</v>
      </c>
      <c r="O1160" s="79">
        <v>45775</v>
      </c>
      <c r="P1160" s="80" t="str">
        <f ca="1">IF(Proc[[#This Row],[DaysAgeing]]&gt;5,"yep","on track")</f>
        <v>on track</v>
      </c>
      <c r="Q1160" s="3">
        <f ca="1">IF(Proc[[#This Row],[DateClosed]]="",ABS(NETWORKDAYS(Proc[[#This Row],[DateOpened]],TODAY()))-1,ABS(NETWORKDAYS(Proc[[#This Row],[DateOpened]],Proc[[#This Row],[DateClosed]]))-1)</f>
        <v>1</v>
      </c>
      <c r="R1160" s="80" t="s">
        <v>489</v>
      </c>
      <c r="S1160" s="69"/>
    </row>
    <row r="1161" spans="1:19" hidden="1">
      <c r="A1161" s="72" t="s">
        <v>2831</v>
      </c>
      <c r="B1161" s="149" t="str">
        <f>IFERROR(VLOOKUP(Proc[[#This Row],[App]],Table2[],3,0),"open")</f>
        <v>ok</v>
      </c>
      <c r="C1161" s="72" t="s">
        <v>369</v>
      </c>
      <c r="D1161" t="s">
        <v>2838</v>
      </c>
      <c r="E1161" t="s">
        <v>2842</v>
      </c>
      <c r="F1161" s="117" t="s">
        <v>2842</v>
      </c>
      <c r="G1161" s="72" t="s">
        <v>400</v>
      </c>
      <c r="H1161" s="69" t="str">
        <f>IF(Proc[[#This Row],[type]]="LFF (MDG-F)",MID(Proc[[#This Row],[Obj]],13,10),"")</f>
        <v/>
      </c>
      <c r="J1161" s="69" t="b">
        <f>Proc[[#This Row],[Requested]]=Proc[[#This Row],[CurrentParent]]</f>
        <v>1</v>
      </c>
      <c r="K1161" s="144" t="str">
        <f>IF(Proc[[#This Row],[Author]]="Marcela Urrego",VLOOKUP(LEFT(Proc[[#This Row],[Requested]],1),Table3[#All],2,0),VLOOKUP(Proc[[#This Row],[Author]],Table4[],2,0))</f>
        <v>LS</v>
      </c>
      <c r="L1161" s="69" t="s">
        <v>2563</v>
      </c>
      <c r="M1161" s="79">
        <v>45772.348194444443</v>
      </c>
      <c r="N1161" s="79">
        <v>45775</v>
      </c>
      <c r="O1161" s="79">
        <v>45775</v>
      </c>
      <c r="P1161" s="80" t="str">
        <f ca="1">IF(Proc[[#This Row],[DaysAgeing]]&gt;5,"yep","on track")</f>
        <v>on track</v>
      </c>
      <c r="Q1161" s="3">
        <f ca="1">IF(Proc[[#This Row],[DateClosed]]="",ABS(NETWORKDAYS(Proc[[#This Row],[DateOpened]],TODAY()))-1,ABS(NETWORKDAYS(Proc[[#This Row],[DateOpened]],Proc[[#This Row],[DateClosed]]))-1)</f>
        <v>1</v>
      </c>
      <c r="R1161" s="80" t="s">
        <v>489</v>
      </c>
      <c r="S1161" s="69"/>
    </row>
    <row r="1162" spans="1:19" hidden="1">
      <c r="A1162" t="s">
        <v>2843</v>
      </c>
      <c r="B1162" s="149" t="str">
        <f>IFERROR(VLOOKUP(Proc[[#This Row],[App]],Table2[],3,0),"open")</f>
        <v>ok</v>
      </c>
      <c r="C1162" s="72" t="s">
        <v>369</v>
      </c>
      <c r="D1162" t="s">
        <v>2844</v>
      </c>
      <c r="E1162" t="s">
        <v>2845</v>
      </c>
      <c r="F1162" s="117" t="s">
        <v>2845</v>
      </c>
      <c r="G1162" s="72" t="s">
        <v>400</v>
      </c>
      <c r="H1162" s="69" t="str">
        <f>IF(Proc[[#This Row],[type]]="LFF (MDG-F)",MID(Proc[[#This Row],[Obj]],13,10),"")</f>
        <v/>
      </c>
      <c r="J1162" s="69" t="b">
        <f>Proc[[#This Row],[Requested]]=Proc[[#This Row],[CurrentParent]]</f>
        <v>1</v>
      </c>
      <c r="K1162" s="144" t="str">
        <f>IF(Proc[[#This Row],[Author]]="Marcela Urrego",VLOOKUP(LEFT(Proc[[#This Row],[Requested]],1),Table3[#All],2,0),VLOOKUP(Proc[[#This Row],[Author]],Table4[],2,0))</f>
        <v>MGF</v>
      </c>
      <c r="L1162" s="69" t="s">
        <v>2563</v>
      </c>
      <c r="M1162" s="79">
        <v>45771.599537037036</v>
      </c>
      <c r="N1162" s="79">
        <v>45775</v>
      </c>
      <c r="O1162" s="79">
        <v>45775</v>
      </c>
      <c r="P1162" s="80" t="str">
        <f ca="1">IF(Proc[[#This Row],[DaysAgeing]]&gt;5,"yep","on track")</f>
        <v>on track</v>
      </c>
      <c r="Q1162" s="3">
        <f ca="1">IF(Proc[[#This Row],[DateClosed]]="",ABS(NETWORKDAYS(Proc[[#This Row],[DateOpened]],TODAY()))-1,ABS(NETWORKDAYS(Proc[[#This Row],[DateOpened]],Proc[[#This Row],[DateClosed]]))-1)</f>
        <v>2</v>
      </c>
      <c r="R1162" s="80" t="s">
        <v>515</v>
      </c>
      <c r="S1162" s="69"/>
    </row>
    <row r="1163" spans="1:19" hidden="1">
      <c r="A1163" t="s">
        <v>2846</v>
      </c>
      <c r="B1163" s="149" t="str">
        <f>IFERROR(VLOOKUP(Proc[[#This Row],[App]],Table2[],3,0),"open")</f>
        <v>ok</v>
      </c>
      <c r="C1163" s="72" t="s">
        <v>369</v>
      </c>
      <c r="D1163" t="s">
        <v>2847</v>
      </c>
      <c r="E1163" t="s">
        <v>2853</v>
      </c>
      <c r="F1163" s="117" t="s">
        <v>2853</v>
      </c>
      <c r="G1163" t="s">
        <v>406</v>
      </c>
      <c r="H1163" s="69" t="str">
        <f>IF(Proc[[#This Row],[type]]="LFF (MDG-F)",MID(Proc[[#This Row],[Obj]],13,10),"")</f>
        <v>CH65R00020</v>
      </c>
      <c r="I1163" t="s">
        <v>2854</v>
      </c>
      <c r="J1163" s="69" t="b">
        <f>Proc[[#This Row],[Requested]]=Proc[[#This Row],[CurrentParent]]</f>
        <v>1</v>
      </c>
      <c r="K1163" s="144" t="str">
        <f>IF(Proc[[#This Row],[Author]]="Marcela Urrego",VLOOKUP(LEFT(Proc[[#This Row],[Requested]],1),Table3[#All],2,0),VLOOKUP(Proc[[#This Row],[Author]],Table4[],2,0))</f>
        <v>HC</v>
      </c>
      <c r="L1163" s="69" t="s">
        <v>2563</v>
      </c>
      <c r="M1163" s="79">
        <v>45771.413831018515</v>
      </c>
      <c r="N1163" s="79">
        <v>45776</v>
      </c>
      <c r="O1163" s="79">
        <v>45776</v>
      </c>
      <c r="P1163" s="80" t="str">
        <f ca="1">IF(Proc[[#This Row],[DaysAgeing]]&gt;5,"yep","on track")</f>
        <v>on track</v>
      </c>
      <c r="Q1163" s="3">
        <f ca="1">IF(Proc[[#This Row],[DateClosed]]="",ABS(NETWORKDAYS(Proc[[#This Row],[DateOpened]],TODAY()))-1,ABS(NETWORKDAYS(Proc[[#This Row],[DateOpened]],Proc[[#This Row],[DateClosed]]))-1)</f>
        <v>3</v>
      </c>
      <c r="R1163" s="80" t="s">
        <v>415</v>
      </c>
      <c r="S1163" s="69"/>
    </row>
    <row r="1164" spans="1:19" hidden="1">
      <c r="A1164" s="72" t="s">
        <v>2846</v>
      </c>
      <c r="B1164" s="149" t="str">
        <f>IFERROR(VLOOKUP(Proc[[#This Row],[App]],Table2[],3,0),"open")</f>
        <v>ok</v>
      </c>
      <c r="C1164" s="72" t="s">
        <v>369</v>
      </c>
      <c r="D1164" t="s">
        <v>2848</v>
      </c>
      <c r="E1164" t="s">
        <v>2853</v>
      </c>
      <c r="F1164" s="117" t="s">
        <v>2853</v>
      </c>
      <c r="G1164" s="72" t="s">
        <v>406</v>
      </c>
      <c r="H1164" s="69" t="str">
        <f>IF(Proc[[#This Row],[type]]="LFF (MDG-F)",MID(Proc[[#This Row],[Obj]],13,10),"")</f>
        <v>CH65R00048</v>
      </c>
      <c r="I1164" s="72" t="s">
        <v>2854</v>
      </c>
      <c r="J1164" s="69" t="b">
        <f>Proc[[#This Row],[Requested]]=Proc[[#This Row],[CurrentParent]]</f>
        <v>1</v>
      </c>
      <c r="K1164" s="144" t="str">
        <f>IF(Proc[[#This Row],[Author]]="Marcela Urrego",VLOOKUP(LEFT(Proc[[#This Row],[Requested]],1),Table3[#All],2,0),VLOOKUP(Proc[[#This Row],[Author]],Table4[],2,0))</f>
        <v>HC</v>
      </c>
      <c r="L1164" s="69" t="s">
        <v>2563</v>
      </c>
      <c r="M1164" s="79">
        <v>45771.413831018515</v>
      </c>
      <c r="N1164" s="79">
        <v>45776</v>
      </c>
      <c r="O1164" s="79">
        <v>45776</v>
      </c>
      <c r="P1164" s="80" t="str">
        <f ca="1">IF(Proc[[#This Row],[DaysAgeing]]&gt;5,"yep","on track")</f>
        <v>on track</v>
      </c>
      <c r="Q1164" s="3">
        <f ca="1">IF(Proc[[#This Row],[DateClosed]]="",ABS(NETWORKDAYS(Proc[[#This Row],[DateOpened]],TODAY()))-1,ABS(NETWORKDAYS(Proc[[#This Row],[DateOpened]],Proc[[#This Row],[DateClosed]]))-1)</f>
        <v>3</v>
      </c>
      <c r="R1164" s="80" t="s">
        <v>415</v>
      </c>
      <c r="S1164" s="69"/>
    </row>
    <row r="1165" spans="1:19" hidden="1">
      <c r="A1165" s="72" t="s">
        <v>2846</v>
      </c>
      <c r="B1165" s="149" t="str">
        <f>IFERROR(VLOOKUP(Proc[[#This Row],[App]],Table2[],3,0),"open")</f>
        <v>ok</v>
      </c>
      <c r="C1165" s="72" t="s">
        <v>369</v>
      </c>
      <c r="D1165" t="s">
        <v>2849</v>
      </c>
      <c r="E1165" t="s">
        <v>2853</v>
      </c>
      <c r="F1165" s="117" t="s">
        <v>2853</v>
      </c>
      <c r="G1165" s="72" t="s">
        <v>406</v>
      </c>
      <c r="H1165" s="69" t="str">
        <f>IF(Proc[[#This Row],[type]]="LFF (MDG-F)",MID(Proc[[#This Row],[Obj]],13,10),"")</f>
        <v>CH65R00050</v>
      </c>
      <c r="I1165" s="72" t="s">
        <v>2854</v>
      </c>
      <c r="J1165" s="69" t="b">
        <f>Proc[[#This Row],[Requested]]=Proc[[#This Row],[CurrentParent]]</f>
        <v>1</v>
      </c>
      <c r="K1165" s="144" t="str">
        <f>IF(Proc[[#This Row],[Author]]="Marcela Urrego",VLOOKUP(LEFT(Proc[[#This Row],[Requested]],1),Table3[#All],2,0),VLOOKUP(Proc[[#This Row],[Author]],Table4[],2,0))</f>
        <v>HC</v>
      </c>
      <c r="L1165" s="69" t="s">
        <v>2563</v>
      </c>
      <c r="M1165" s="79">
        <v>45771.413831018515</v>
      </c>
      <c r="N1165" s="79">
        <v>45776</v>
      </c>
      <c r="O1165" s="79">
        <v>45776</v>
      </c>
      <c r="P1165" s="80" t="str">
        <f ca="1">IF(Proc[[#This Row],[DaysAgeing]]&gt;5,"yep","on track")</f>
        <v>on track</v>
      </c>
      <c r="Q1165" s="3">
        <f ca="1">IF(Proc[[#This Row],[DateClosed]]="",ABS(NETWORKDAYS(Proc[[#This Row],[DateOpened]],TODAY()))-1,ABS(NETWORKDAYS(Proc[[#This Row],[DateOpened]],Proc[[#This Row],[DateClosed]]))-1)</f>
        <v>3</v>
      </c>
      <c r="R1165" s="80" t="s">
        <v>415</v>
      </c>
      <c r="S1165" s="69"/>
    </row>
    <row r="1166" spans="1:19" hidden="1">
      <c r="A1166" s="72" t="s">
        <v>2846</v>
      </c>
      <c r="B1166" s="149" t="str">
        <f>IFERROR(VLOOKUP(Proc[[#This Row],[App]],Table2[],3,0),"open")</f>
        <v>ok</v>
      </c>
      <c r="C1166" s="72" t="s">
        <v>369</v>
      </c>
      <c r="D1166" t="s">
        <v>2850</v>
      </c>
      <c r="E1166" t="s">
        <v>2853</v>
      </c>
      <c r="F1166" s="117" t="s">
        <v>2853</v>
      </c>
      <c r="G1166" s="72" t="s">
        <v>406</v>
      </c>
      <c r="H1166" s="69" t="str">
        <f>IF(Proc[[#This Row],[type]]="LFF (MDG-F)",MID(Proc[[#This Row],[Obj]],13,10),"")</f>
        <v>CH65R00052</v>
      </c>
      <c r="I1166" s="72" t="s">
        <v>2854</v>
      </c>
      <c r="J1166" s="69" t="b">
        <f>Proc[[#This Row],[Requested]]=Proc[[#This Row],[CurrentParent]]</f>
        <v>1</v>
      </c>
      <c r="K1166" s="144" t="str">
        <f>IF(Proc[[#This Row],[Author]]="Marcela Urrego",VLOOKUP(LEFT(Proc[[#This Row],[Requested]],1),Table3[#All],2,0),VLOOKUP(Proc[[#This Row],[Author]],Table4[],2,0))</f>
        <v>HC</v>
      </c>
      <c r="L1166" s="69" t="s">
        <v>2563</v>
      </c>
      <c r="M1166" s="79">
        <v>45771.413831018515</v>
      </c>
      <c r="N1166" s="79">
        <v>45776</v>
      </c>
      <c r="O1166" s="79">
        <v>45776</v>
      </c>
      <c r="P1166" s="80" t="str">
        <f ca="1">IF(Proc[[#This Row],[DaysAgeing]]&gt;5,"yep","on track")</f>
        <v>on track</v>
      </c>
      <c r="Q1166" s="3">
        <f ca="1">IF(Proc[[#This Row],[DateClosed]]="",ABS(NETWORKDAYS(Proc[[#This Row],[DateOpened]],TODAY()))-1,ABS(NETWORKDAYS(Proc[[#This Row],[DateOpened]],Proc[[#This Row],[DateClosed]]))-1)</f>
        <v>3</v>
      </c>
      <c r="R1166" s="80" t="s">
        <v>415</v>
      </c>
      <c r="S1166" s="69"/>
    </row>
    <row r="1167" spans="1:19" hidden="1">
      <c r="A1167" t="s">
        <v>2851</v>
      </c>
      <c r="B1167" s="149" t="str">
        <f>IFERROR(VLOOKUP(Proc[[#This Row],[App]],Table2[],3,0),"open")</f>
        <v>ok</v>
      </c>
      <c r="C1167" s="72" t="s">
        <v>369</v>
      </c>
      <c r="D1167" t="s">
        <v>2852</v>
      </c>
      <c r="E1167" t="s">
        <v>473</v>
      </c>
      <c r="F1167" s="117" t="s">
        <v>473</v>
      </c>
      <c r="G1167" s="72" t="s">
        <v>400</v>
      </c>
      <c r="H1167" s="69" t="str">
        <f>IF(Proc[[#This Row],[type]]="LFF (MDG-F)",MID(Proc[[#This Row],[Obj]],13,10),"")</f>
        <v/>
      </c>
      <c r="J1167" s="69" t="b">
        <f>Proc[[#This Row],[Requested]]=Proc[[#This Row],[CurrentParent]]</f>
        <v>1</v>
      </c>
      <c r="K1167" s="144" t="str">
        <f>IF(Proc[[#This Row],[Author]]="Marcela Urrego",VLOOKUP(LEFT(Proc[[#This Row],[Requested]],1),Table3[#All],2,0),VLOOKUP(Proc[[#This Row],[Author]],Table4[],2,0))</f>
        <v>MGF</v>
      </c>
      <c r="L1167" s="69" t="s">
        <v>2563</v>
      </c>
      <c r="M1167" s="79">
        <v>45770.666944444441</v>
      </c>
      <c r="N1167" s="79">
        <v>45775</v>
      </c>
      <c r="O1167" s="79">
        <v>45775</v>
      </c>
      <c r="P1167" s="80" t="str">
        <f ca="1">IF(Proc[[#This Row],[DaysAgeing]]&gt;5,"yep","on track")</f>
        <v>on track</v>
      </c>
      <c r="Q1167" s="3">
        <f ca="1">IF(Proc[[#This Row],[DateClosed]]="",ABS(NETWORKDAYS(Proc[[#This Row],[DateOpened]],TODAY()))-1,ABS(NETWORKDAYS(Proc[[#This Row],[DateOpened]],Proc[[#This Row],[DateClosed]]))-1)</f>
        <v>3</v>
      </c>
      <c r="R1167" s="80" t="s">
        <v>515</v>
      </c>
      <c r="S1167" s="69"/>
    </row>
    <row r="1168" spans="1:19" hidden="1">
      <c r="A1168" t="s">
        <v>2855</v>
      </c>
      <c r="B1168" s="149" t="str">
        <f>IFERROR(VLOOKUP(Proc[[#This Row],[App]],Table2[],3,0),"open")</f>
        <v>ok</v>
      </c>
      <c r="C1168" t="s">
        <v>369</v>
      </c>
      <c r="D1168" t="s">
        <v>2856</v>
      </c>
      <c r="E1168" t="s">
        <v>2373</v>
      </c>
      <c r="F1168" s="117" t="s">
        <v>2373</v>
      </c>
      <c r="G1168" t="s">
        <v>400</v>
      </c>
      <c r="H1168" s="69" t="str">
        <f>IF(Proc[[#This Row],[type]]="LFF (MDG-F)",MID(Proc[[#This Row],[Obj]],13,10),"")</f>
        <v/>
      </c>
      <c r="J1168" s="69" t="b">
        <f>Proc[[#This Row],[Requested]]=Proc[[#This Row],[CurrentParent]]</f>
        <v>1</v>
      </c>
      <c r="K1168" s="144" t="str">
        <f>IF(Proc[[#This Row],[Author]]="Marcela Urrego",VLOOKUP(LEFT(Proc[[#This Row],[Requested]],1),Table3[#All],2,0),VLOOKUP(Proc[[#This Row],[Author]],Table4[],2,0))</f>
        <v>LS</v>
      </c>
      <c r="L1168" s="69" t="s">
        <v>2563</v>
      </c>
      <c r="M1168" s="79">
        <v>45775.693912037037</v>
      </c>
      <c r="N1168" s="79">
        <v>45777</v>
      </c>
      <c r="O1168" s="79">
        <v>45777</v>
      </c>
      <c r="P1168" s="80" t="str">
        <f ca="1">IF(Proc[[#This Row],[DaysAgeing]]&gt;5,"yep","on track")</f>
        <v>on track</v>
      </c>
      <c r="Q1168" s="3">
        <f ca="1">IF(Proc[[#This Row],[DateClosed]]="",ABS(NETWORKDAYS(Proc[[#This Row],[DateOpened]],TODAY()))-1,ABS(NETWORKDAYS(Proc[[#This Row],[DateOpened]],Proc[[#This Row],[DateClosed]]))-1)</f>
        <v>2</v>
      </c>
      <c r="R1168" s="80" t="s">
        <v>489</v>
      </c>
      <c r="S1168" s="69"/>
    </row>
    <row r="1169" spans="1:19" hidden="1">
      <c r="A1169" t="s">
        <v>2857</v>
      </c>
      <c r="B1169" s="149" t="str">
        <f>IFERROR(VLOOKUP(Proc[[#This Row],[App]],Table2[],3,0),"open")</f>
        <v>ok</v>
      </c>
      <c r="C1169" s="72" t="s">
        <v>369</v>
      </c>
      <c r="D1169" t="s">
        <v>2865</v>
      </c>
      <c r="E1169" t="s">
        <v>417</v>
      </c>
      <c r="F1169" s="117" t="s">
        <v>417</v>
      </c>
      <c r="G1169" s="72" t="s">
        <v>400</v>
      </c>
      <c r="H1169" s="69" t="str">
        <f>IF(Proc[[#This Row],[type]]="LFF (MDG-F)",MID(Proc[[#This Row],[Obj]],13,10),"")</f>
        <v/>
      </c>
      <c r="J1169" s="69" t="b">
        <f>Proc[[#This Row],[Requested]]=Proc[[#This Row],[CurrentParent]]</f>
        <v>1</v>
      </c>
      <c r="K1169" s="144" t="str">
        <f>IF(Proc[[#This Row],[Author]]="Marcela Urrego",VLOOKUP(LEFT(Proc[[#This Row],[Requested]],1),Table3[#All],2,0),VLOOKUP(Proc[[#This Row],[Author]],Table4[],2,0))</f>
        <v>LS</v>
      </c>
      <c r="L1169" s="69" t="s">
        <v>2563</v>
      </c>
      <c r="M1169" s="79">
        <v>45776.423101851855</v>
      </c>
      <c r="N1169" s="79">
        <v>45779</v>
      </c>
      <c r="O1169" s="79">
        <v>45779</v>
      </c>
      <c r="P1169" s="80" t="str">
        <f ca="1">IF(Proc[[#This Row],[DaysAgeing]]&gt;5,"yep","on track")</f>
        <v>on track</v>
      </c>
      <c r="Q1169" s="3">
        <f ca="1">IF(Proc[[#This Row],[DateClosed]]="",ABS(NETWORKDAYS(Proc[[#This Row],[DateOpened]],TODAY()))-1,ABS(NETWORKDAYS(Proc[[#This Row],[DateOpened]],Proc[[#This Row],[DateClosed]]))-1)</f>
        <v>3</v>
      </c>
      <c r="R1169" s="80" t="s">
        <v>972</v>
      </c>
      <c r="S1169" s="69"/>
    </row>
    <row r="1170" spans="1:19" hidden="1">
      <c r="A1170" s="72" t="s">
        <v>2857</v>
      </c>
      <c r="B1170" s="149" t="str">
        <f>IFERROR(VLOOKUP(Proc[[#This Row],[App]],Table2[],3,0),"open")</f>
        <v>ok</v>
      </c>
      <c r="C1170" s="72" t="s">
        <v>369</v>
      </c>
      <c r="D1170" t="s">
        <v>2858</v>
      </c>
      <c r="E1170" t="s">
        <v>2862</v>
      </c>
      <c r="F1170" s="117" t="s">
        <v>2862</v>
      </c>
      <c r="G1170" s="72" t="s">
        <v>400</v>
      </c>
      <c r="H1170" s="69" t="str">
        <f>IF(Proc[[#This Row],[type]]="LFF (MDG-F)",MID(Proc[[#This Row],[Obj]],13,10),"")</f>
        <v/>
      </c>
      <c r="J1170" s="69" t="b">
        <f>Proc[[#This Row],[Requested]]=Proc[[#This Row],[CurrentParent]]</f>
        <v>1</v>
      </c>
      <c r="K1170" s="144" t="str">
        <f>IF(Proc[[#This Row],[Author]]="Marcela Urrego",VLOOKUP(LEFT(Proc[[#This Row],[Requested]],1),Table3[#All],2,0),VLOOKUP(Proc[[#This Row],[Author]],Table4[],2,0))</f>
        <v>LS</v>
      </c>
      <c r="L1170" s="69" t="s">
        <v>2563</v>
      </c>
      <c r="M1170" s="79">
        <v>45776.423101851855</v>
      </c>
      <c r="N1170" s="79">
        <v>45779</v>
      </c>
      <c r="O1170" s="79">
        <v>45779</v>
      </c>
      <c r="P1170" s="80" t="str">
        <f ca="1">IF(Proc[[#This Row],[DaysAgeing]]&gt;5,"yep","on track")</f>
        <v>on track</v>
      </c>
      <c r="Q1170" s="3">
        <f ca="1">IF(Proc[[#This Row],[DateClosed]]="",ABS(NETWORKDAYS(Proc[[#This Row],[DateOpened]],TODAY()))-1,ABS(NETWORKDAYS(Proc[[#This Row],[DateOpened]],Proc[[#This Row],[DateClosed]]))-1)</f>
        <v>3</v>
      </c>
      <c r="R1170" s="80" t="s">
        <v>972</v>
      </c>
      <c r="S1170" s="69"/>
    </row>
    <row r="1171" spans="1:19" hidden="1">
      <c r="A1171" s="72" t="s">
        <v>2857</v>
      </c>
      <c r="B1171" s="149" t="str">
        <f>IFERROR(VLOOKUP(Proc[[#This Row],[App]],Table2[],3,0),"open")</f>
        <v>ok</v>
      </c>
      <c r="C1171" s="72" t="s">
        <v>369</v>
      </c>
      <c r="D1171" t="s">
        <v>2859</v>
      </c>
      <c r="E1171" t="s">
        <v>2863</v>
      </c>
      <c r="F1171" s="117" t="s">
        <v>2863</v>
      </c>
      <c r="G1171" s="72" t="s">
        <v>400</v>
      </c>
      <c r="H1171" s="69" t="str">
        <f>IF(Proc[[#This Row],[type]]="LFF (MDG-F)",MID(Proc[[#This Row],[Obj]],13,10),"")</f>
        <v/>
      </c>
      <c r="J1171" s="69" t="b">
        <f>Proc[[#This Row],[Requested]]=Proc[[#This Row],[CurrentParent]]</f>
        <v>1</v>
      </c>
      <c r="K1171" s="144" t="str">
        <f>IF(Proc[[#This Row],[Author]]="Marcela Urrego",VLOOKUP(LEFT(Proc[[#This Row],[Requested]],1),Table3[#All],2,0),VLOOKUP(Proc[[#This Row],[Author]],Table4[],2,0))</f>
        <v>LS</v>
      </c>
      <c r="L1171" s="69" t="s">
        <v>2563</v>
      </c>
      <c r="M1171" s="79">
        <v>45776.423101851855</v>
      </c>
      <c r="N1171" s="79">
        <v>45779</v>
      </c>
      <c r="O1171" s="79">
        <v>45779</v>
      </c>
      <c r="P1171" s="80" t="str">
        <f ca="1">IF(Proc[[#This Row],[DaysAgeing]]&gt;5,"yep","on track")</f>
        <v>on track</v>
      </c>
      <c r="Q1171" s="3">
        <f ca="1">IF(Proc[[#This Row],[DateClosed]]="",ABS(NETWORKDAYS(Proc[[#This Row],[DateOpened]],TODAY()))-1,ABS(NETWORKDAYS(Proc[[#This Row],[DateOpened]],Proc[[#This Row],[DateClosed]]))-1)</f>
        <v>3</v>
      </c>
      <c r="R1171" s="80" t="s">
        <v>972</v>
      </c>
      <c r="S1171" s="69"/>
    </row>
    <row r="1172" spans="1:19" hidden="1">
      <c r="A1172" s="72" t="s">
        <v>2857</v>
      </c>
      <c r="B1172" s="149" t="str">
        <f>IFERROR(VLOOKUP(Proc[[#This Row],[App]],Table2[],3,0),"open")</f>
        <v>ok</v>
      </c>
      <c r="C1172" s="72" t="s">
        <v>369</v>
      </c>
      <c r="D1172" t="s">
        <v>2860</v>
      </c>
      <c r="E1172" t="s">
        <v>2864</v>
      </c>
      <c r="F1172" s="117" t="s">
        <v>2864</v>
      </c>
      <c r="G1172" s="72" t="s">
        <v>400</v>
      </c>
      <c r="H1172" s="69" t="str">
        <f>IF(Proc[[#This Row],[type]]="LFF (MDG-F)",MID(Proc[[#This Row],[Obj]],13,10),"")</f>
        <v/>
      </c>
      <c r="J1172" s="69" t="b">
        <f>Proc[[#This Row],[Requested]]=Proc[[#This Row],[CurrentParent]]</f>
        <v>1</v>
      </c>
      <c r="K1172" s="144" t="str">
        <f>IF(Proc[[#This Row],[Author]]="Marcela Urrego",VLOOKUP(LEFT(Proc[[#This Row],[Requested]],1),Table3[#All],2,0),VLOOKUP(Proc[[#This Row],[Author]],Table4[],2,0))</f>
        <v>LS</v>
      </c>
      <c r="L1172" s="69" t="s">
        <v>2563</v>
      </c>
      <c r="M1172" s="79">
        <v>45776.423101851855</v>
      </c>
      <c r="N1172" s="79">
        <v>45779</v>
      </c>
      <c r="O1172" s="79">
        <v>45779</v>
      </c>
      <c r="P1172" s="80" t="str">
        <f ca="1">IF(Proc[[#This Row],[DaysAgeing]]&gt;5,"yep","on track")</f>
        <v>on track</v>
      </c>
      <c r="Q1172" s="3">
        <f ca="1">IF(Proc[[#This Row],[DateClosed]]="",ABS(NETWORKDAYS(Proc[[#This Row],[DateOpened]],TODAY()))-1,ABS(NETWORKDAYS(Proc[[#This Row],[DateOpened]],Proc[[#This Row],[DateClosed]]))-1)</f>
        <v>3</v>
      </c>
      <c r="R1172" s="80" t="s">
        <v>972</v>
      </c>
      <c r="S1172" s="69"/>
    </row>
    <row r="1173" spans="1:19" hidden="1">
      <c r="A1173" s="72" t="s">
        <v>2857</v>
      </c>
      <c r="B1173" s="149" t="str">
        <f>IFERROR(VLOOKUP(Proc[[#This Row],[App]],Table2[],3,0),"open")</f>
        <v>ok</v>
      </c>
      <c r="C1173" s="72" t="s">
        <v>369</v>
      </c>
      <c r="D1173" t="s">
        <v>2861</v>
      </c>
      <c r="E1173" t="s">
        <v>2864</v>
      </c>
      <c r="F1173" s="117" t="s">
        <v>2864</v>
      </c>
      <c r="G1173" s="72" t="s">
        <v>400</v>
      </c>
      <c r="H1173" s="69" t="str">
        <f>IF(Proc[[#This Row],[type]]="LFF (MDG-F)",MID(Proc[[#This Row],[Obj]],13,10),"")</f>
        <v/>
      </c>
      <c r="J1173" s="69" t="b">
        <f>Proc[[#This Row],[Requested]]=Proc[[#This Row],[CurrentParent]]</f>
        <v>1</v>
      </c>
      <c r="K1173" s="144" t="str">
        <f>IF(Proc[[#This Row],[Author]]="Marcela Urrego",VLOOKUP(LEFT(Proc[[#This Row],[Requested]],1),Table3[#All],2,0),VLOOKUP(Proc[[#This Row],[Author]],Table4[],2,0))</f>
        <v>LS</v>
      </c>
      <c r="L1173" s="69" t="s">
        <v>2563</v>
      </c>
      <c r="M1173" s="79">
        <v>45776.423101851855</v>
      </c>
      <c r="N1173" s="79">
        <v>45779</v>
      </c>
      <c r="O1173" s="79">
        <v>45779</v>
      </c>
      <c r="P1173" s="80" t="str">
        <f ca="1">IF(Proc[[#This Row],[DaysAgeing]]&gt;5,"yep","on track")</f>
        <v>on track</v>
      </c>
      <c r="Q1173" s="3">
        <f ca="1">IF(Proc[[#This Row],[DateClosed]]="",ABS(NETWORKDAYS(Proc[[#This Row],[DateOpened]],TODAY()))-1,ABS(NETWORKDAYS(Proc[[#This Row],[DateOpened]],Proc[[#This Row],[DateClosed]]))-1)</f>
        <v>3</v>
      </c>
      <c r="R1173" s="80" t="s">
        <v>972</v>
      </c>
      <c r="S1173" s="69"/>
    </row>
    <row r="1174" spans="1:19" hidden="1">
      <c r="A1174" t="s">
        <v>2866</v>
      </c>
      <c r="B1174" s="149" t="str">
        <f>IFERROR(VLOOKUP(Proc[[#This Row],[App]],Table2[],3,0),"open")</f>
        <v>ok</v>
      </c>
      <c r="C1174" s="72" t="s">
        <v>369</v>
      </c>
      <c r="D1174" t="s">
        <v>2295</v>
      </c>
      <c r="E1174" t="s">
        <v>2869</v>
      </c>
      <c r="F1174" s="117" t="s">
        <v>2869</v>
      </c>
      <c r="G1174" t="s">
        <v>406</v>
      </c>
      <c r="H1174" s="69" t="str">
        <f>IF(Proc[[#This Row],[type]]="LFF (MDG-F)",MID(Proc[[#This Row],[Obj]],13,10),"")</f>
        <v>DE20675106</v>
      </c>
      <c r="I1174" t="s">
        <v>2870</v>
      </c>
      <c r="J1174" s="69" t="b">
        <f>Proc[[#This Row],[Requested]]=Proc[[#This Row],[CurrentParent]]</f>
        <v>1</v>
      </c>
      <c r="K1174" s="144" t="str">
        <f>IF(Proc[[#This Row],[Author]]="Marcela Urrego",VLOOKUP(LEFT(Proc[[#This Row],[Requested]],1),Table3[#All],2,0),VLOOKUP(Proc[[#This Row],[Author]],Table4[],2,0))</f>
        <v>MGF</v>
      </c>
      <c r="L1174" s="69" t="s">
        <v>2563</v>
      </c>
      <c r="M1174" s="79">
        <v>45776.467129629629</v>
      </c>
      <c r="N1174" s="79">
        <v>45779</v>
      </c>
      <c r="O1174" s="79">
        <v>45779</v>
      </c>
      <c r="P1174" s="80" t="str">
        <f ca="1">IF(Proc[[#This Row],[DaysAgeing]]&gt;5,"yep","on track")</f>
        <v>on track</v>
      </c>
      <c r="Q1174" s="3">
        <f ca="1">IF(Proc[[#This Row],[DateClosed]]="",ABS(NETWORKDAYS(Proc[[#This Row],[DateOpened]],TODAY()))-1,ABS(NETWORKDAYS(Proc[[#This Row],[DateOpened]],Proc[[#This Row],[DateClosed]]))-1)</f>
        <v>3</v>
      </c>
      <c r="R1174" s="80" t="s">
        <v>549</v>
      </c>
      <c r="S1174" s="69"/>
    </row>
    <row r="1175" spans="1:19" hidden="1">
      <c r="A1175" s="81" t="s">
        <v>2868</v>
      </c>
      <c r="B1175" s="149" t="str">
        <f>IFERROR(VLOOKUP(Proc[[#This Row],[App]],Table2[],3,0),"open")</f>
        <v>ok</v>
      </c>
      <c r="C1175" s="72" t="s">
        <v>369</v>
      </c>
      <c r="D1175" t="s">
        <v>2867</v>
      </c>
      <c r="E1175" t="s">
        <v>2044</v>
      </c>
      <c r="F1175" s="117" t="s">
        <v>2044</v>
      </c>
      <c r="G1175" t="s">
        <v>400</v>
      </c>
      <c r="H1175" s="69" t="str">
        <f>IF(Proc[[#This Row],[type]]="LFF (MDG-F)",MID(Proc[[#This Row],[Obj]],13,10),"")</f>
        <v/>
      </c>
      <c r="J1175" s="69" t="b">
        <f>Proc[[#This Row],[Requested]]=Proc[[#This Row],[CurrentParent]]</f>
        <v>1</v>
      </c>
      <c r="K1175" s="144" t="str">
        <f>IF(Proc[[#This Row],[Author]]="Marcela Urrego",VLOOKUP(LEFT(Proc[[#This Row],[Requested]],1),Table3[#All],2,0),VLOOKUP(Proc[[#This Row],[Author]],Table4[],2,0))</f>
        <v>MGF</v>
      </c>
      <c r="L1175" s="69" t="s">
        <v>2563</v>
      </c>
      <c r="M1175" s="79">
        <v>45777.351076388892</v>
      </c>
      <c r="N1175" s="79">
        <v>45779</v>
      </c>
      <c r="O1175" s="79">
        <v>45779</v>
      </c>
      <c r="P1175" s="80" t="str">
        <f ca="1">IF(Proc[[#This Row],[DaysAgeing]]&gt;5,"yep","on track")</f>
        <v>on track</v>
      </c>
      <c r="Q1175" s="3">
        <f ca="1">IF(Proc[[#This Row],[DateClosed]]="",ABS(NETWORKDAYS(Proc[[#This Row],[DateOpened]],TODAY()))-1,ABS(NETWORKDAYS(Proc[[#This Row],[DateOpened]],Proc[[#This Row],[DateClosed]]))-1)</f>
        <v>2</v>
      </c>
      <c r="R1175" s="80" t="s">
        <v>1076</v>
      </c>
      <c r="S1175" s="69"/>
    </row>
    <row r="1176" spans="1:19" hidden="1">
      <c r="A1176" t="s">
        <v>2871</v>
      </c>
      <c r="B1176" s="149" t="str">
        <f>IFERROR(VLOOKUP(Proc[[#This Row],[App]],Table2[],3,0),"open")</f>
        <v>ok</v>
      </c>
      <c r="C1176" t="s">
        <v>369</v>
      </c>
      <c r="D1176" t="s">
        <v>2872</v>
      </c>
      <c r="E1176" t="s">
        <v>2873</v>
      </c>
      <c r="F1176" s="117" t="s">
        <v>2873</v>
      </c>
      <c r="G1176" t="s">
        <v>406</v>
      </c>
      <c r="H1176" s="69" t="str">
        <f>IF(Proc[[#This Row],[type]]="LFF (MDG-F)",MID(Proc[[#This Row],[Obj]],13,10),"")</f>
        <v>CN50R03152</v>
      </c>
      <c r="I1176" t="s">
        <v>2885</v>
      </c>
      <c r="J1176" s="69" t="b">
        <f>Proc[[#This Row],[Requested]]=Proc[[#This Row],[CurrentParent]]</f>
        <v>1</v>
      </c>
      <c r="K1176" s="144" t="str">
        <f>IF(Proc[[#This Row],[Author]]="Marcela Urrego",VLOOKUP(LEFT(Proc[[#This Row],[Requested]],1),Table3[#All],2,0),VLOOKUP(Proc[[#This Row],[Author]],Table4[],2,0))</f>
        <v>HC</v>
      </c>
      <c r="L1176" s="69" t="s">
        <v>2563</v>
      </c>
      <c r="M1176" s="79">
        <v>45779.37295138889</v>
      </c>
      <c r="N1176" s="79">
        <v>45784</v>
      </c>
      <c r="O1176" s="79">
        <v>45784</v>
      </c>
      <c r="P1176" s="80" t="str">
        <f ca="1">IF(Proc[[#This Row],[DaysAgeing]]&gt;5,"yep","on track")</f>
        <v>on track</v>
      </c>
      <c r="Q1176" s="3">
        <f ca="1">IF(Proc[[#This Row],[DateClosed]]="",ABS(NETWORKDAYS(Proc[[#This Row],[DateOpened]],TODAY()))-1,ABS(NETWORKDAYS(Proc[[#This Row],[DateOpened]],Proc[[#This Row],[DateClosed]]))-1)</f>
        <v>3</v>
      </c>
      <c r="R1176" s="80" t="s">
        <v>478</v>
      </c>
      <c r="S1176" s="69"/>
    </row>
    <row r="1177" spans="1:19" hidden="1">
      <c r="A1177" t="s">
        <v>2884</v>
      </c>
      <c r="B1177" s="149" t="str">
        <f>IFERROR(VLOOKUP(Proc[[#This Row],[App]],Table2[],3,0),"open")</f>
        <v>ok</v>
      </c>
      <c r="C1177" s="72" t="s">
        <v>398</v>
      </c>
      <c r="D1177" t="s">
        <v>2874</v>
      </c>
      <c r="E1177" t="s">
        <v>2117</v>
      </c>
      <c r="F1177" s="103" t="s">
        <v>2117</v>
      </c>
      <c r="G1177" t="s">
        <v>400</v>
      </c>
      <c r="H1177" s="69" t="str">
        <f>IF(Proc[[#This Row],[type]]="LFF (MDG-F)",MID(Proc[[#This Row],[Obj]],13,10),"")</f>
        <v/>
      </c>
      <c r="I1177" t="s">
        <v>2886</v>
      </c>
      <c r="J1177" s="69" t="b">
        <f>Proc[[#This Row],[Requested]]=Proc[[#This Row],[CurrentParent]]</f>
        <v>1</v>
      </c>
      <c r="K1177" s="144" t="str">
        <f>IF(Proc[[#This Row],[Author]]="Marcela Urrego",VLOOKUP(LEFT(Proc[[#This Row],[Requested]],1),Table3[#All],2,0),VLOOKUP(Proc[[#This Row],[Author]],Table4[],2,0))</f>
        <v>HC</v>
      </c>
      <c r="L1177" s="69" t="s">
        <v>2563</v>
      </c>
      <c r="M1177" s="79">
        <v>45779.37096064815</v>
      </c>
      <c r="N1177" s="79"/>
      <c r="O1177" s="79">
        <v>45784</v>
      </c>
      <c r="P1177" s="80" t="str">
        <f ca="1">IF(Proc[[#This Row],[DaysAgeing]]&gt;5,"yep","on track")</f>
        <v>on track</v>
      </c>
      <c r="Q1177" s="3">
        <f ca="1">IF(Proc[[#This Row],[DateClosed]]="",ABS(NETWORKDAYS(Proc[[#This Row],[DateOpened]],TODAY()))-1,ABS(NETWORKDAYS(Proc[[#This Row],[DateOpened]],Proc[[#This Row],[DateClosed]]))-1)</f>
        <v>3</v>
      </c>
      <c r="R1177" s="80" t="s">
        <v>478</v>
      </c>
      <c r="S1177" s="94" t="e">
        <f>VLOOKUP(Proc[[#This Row],[Obj]],#REF!,2,0)</f>
        <v>#REF!</v>
      </c>
    </row>
    <row r="1178" spans="1:19" hidden="1">
      <c r="A1178" s="72" t="s">
        <v>2884</v>
      </c>
      <c r="B1178" s="149" t="str">
        <f>IFERROR(VLOOKUP(Proc[[#This Row],[App]],Table2[],3,0),"open")</f>
        <v>ok</v>
      </c>
      <c r="C1178" s="72" t="s">
        <v>398</v>
      </c>
      <c r="D1178" t="s">
        <v>2875</v>
      </c>
      <c r="E1178" t="s">
        <v>2117</v>
      </c>
      <c r="F1178" s="103" t="s">
        <v>2117</v>
      </c>
      <c r="G1178" s="72" t="s">
        <v>400</v>
      </c>
      <c r="H1178" s="69" t="str">
        <f>IF(Proc[[#This Row],[type]]="LFF (MDG-F)",MID(Proc[[#This Row],[Obj]],13,10),"")</f>
        <v/>
      </c>
      <c r="I1178" s="72" t="s">
        <v>2886</v>
      </c>
      <c r="J1178" s="69" t="b">
        <f>Proc[[#This Row],[Requested]]=Proc[[#This Row],[CurrentParent]]</f>
        <v>1</v>
      </c>
      <c r="K1178" s="144" t="str">
        <f>IF(Proc[[#This Row],[Author]]="Marcela Urrego",VLOOKUP(LEFT(Proc[[#This Row],[Requested]],1),Table3[#All],2,0),VLOOKUP(Proc[[#This Row],[Author]],Table4[],2,0))</f>
        <v>HC</v>
      </c>
      <c r="L1178" s="69" t="s">
        <v>2563</v>
      </c>
      <c r="M1178" s="79">
        <v>45779.37096064815</v>
      </c>
      <c r="N1178" s="79"/>
      <c r="O1178" s="79">
        <v>45784</v>
      </c>
      <c r="P1178" s="80" t="str">
        <f ca="1">IF(Proc[[#This Row],[DaysAgeing]]&gt;5,"yep","on track")</f>
        <v>on track</v>
      </c>
      <c r="Q1178" s="3">
        <f ca="1">IF(Proc[[#This Row],[DateClosed]]="",ABS(NETWORKDAYS(Proc[[#This Row],[DateOpened]],TODAY()))-1,ABS(NETWORKDAYS(Proc[[#This Row],[DateOpened]],Proc[[#This Row],[DateClosed]]))-1)</f>
        <v>3</v>
      </c>
      <c r="R1178" s="80" t="s">
        <v>478</v>
      </c>
      <c r="S1178" s="94" t="e">
        <f>VLOOKUP(Proc[[#This Row],[Obj]],#REF!,2,0)</f>
        <v>#REF!</v>
      </c>
    </row>
    <row r="1179" spans="1:19" hidden="1">
      <c r="A1179" s="72" t="s">
        <v>2884</v>
      </c>
      <c r="B1179" s="149" t="str">
        <f>IFERROR(VLOOKUP(Proc[[#This Row],[App]],Table2[],3,0),"open")</f>
        <v>ok</v>
      </c>
      <c r="C1179" s="72" t="s">
        <v>398</v>
      </c>
      <c r="D1179" t="s">
        <v>2876</v>
      </c>
      <c r="E1179" t="s">
        <v>2117</v>
      </c>
      <c r="F1179" s="103" t="s">
        <v>2117</v>
      </c>
      <c r="G1179" s="72" t="s">
        <v>400</v>
      </c>
      <c r="H1179" s="69" t="str">
        <f>IF(Proc[[#This Row],[type]]="LFF (MDG-F)",MID(Proc[[#This Row],[Obj]],13,10),"")</f>
        <v/>
      </c>
      <c r="I1179" s="72" t="s">
        <v>2886</v>
      </c>
      <c r="J1179" s="69" t="b">
        <f>Proc[[#This Row],[Requested]]=Proc[[#This Row],[CurrentParent]]</f>
        <v>1</v>
      </c>
      <c r="K1179" s="144" t="str">
        <f>IF(Proc[[#This Row],[Author]]="Marcela Urrego",VLOOKUP(LEFT(Proc[[#This Row],[Requested]],1),Table3[#All],2,0),VLOOKUP(Proc[[#This Row],[Author]],Table4[],2,0))</f>
        <v>HC</v>
      </c>
      <c r="L1179" s="69" t="s">
        <v>2563</v>
      </c>
      <c r="M1179" s="79">
        <v>45779.37096064815</v>
      </c>
      <c r="N1179" s="79"/>
      <c r="O1179" s="79">
        <v>45784</v>
      </c>
      <c r="P1179" s="80" t="str">
        <f ca="1">IF(Proc[[#This Row],[DaysAgeing]]&gt;5,"yep","on track")</f>
        <v>on track</v>
      </c>
      <c r="Q1179" s="3">
        <f ca="1">IF(Proc[[#This Row],[DateClosed]]="",ABS(NETWORKDAYS(Proc[[#This Row],[DateOpened]],TODAY()))-1,ABS(NETWORKDAYS(Proc[[#This Row],[DateOpened]],Proc[[#This Row],[DateClosed]]))-1)</f>
        <v>3</v>
      </c>
      <c r="R1179" s="80" t="s">
        <v>478</v>
      </c>
      <c r="S1179" s="94" t="e">
        <f>VLOOKUP(Proc[[#This Row],[Obj]],#REF!,2,0)</f>
        <v>#REF!</v>
      </c>
    </row>
    <row r="1180" spans="1:19" hidden="1">
      <c r="A1180" s="72" t="s">
        <v>2884</v>
      </c>
      <c r="B1180" s="149" t="str">
        <f>IFERROR(VLOOKUP(Proc[[#This Row],[App]],Table2[],3,0),"open")</f>
        <v>ok</v>
      </c>
      <c r="C1180" s="72" t="s">
        <v>398</v>
      </c>
      <c r="D1180" t="s">
        <v>2877</v>
      </c>
      <c r="E1180" t="s">
        <v>2117</v>
      </c>
      <c r="F1180" s="103" t="s">
        <v>2117</v>
      </c>
      <c r="G1180" s="72" t="s">
        <v>400</v>
      </c>
      <c r="H1180" s="69" t="str">
        <f>IF(Proc[[#This Row],[type]]="LFF (MDG-F)",MID(Proc[[#This Row],[Obj]],13,10),"")</f>
        <v/>
      </c>
      <c r="I1180" s="72" t="s">
        <v>2886</v>
      </c>
      <c r="J1180" s="69" t="b">
        <f>Proc[[#This Row],[Requested]]=Proc[[#This Row],[CurrentParent]]</f>
        <v>1</v>
      </c>
      <c r="K1180" s="144" t="str">
        <f>IF(Proc[[#This Row],[Author]]="Marcela Urrego",VLOOKUP(LEFT(Proc[[#This Row],[Requested]],1),Table3[#All],2,0),VLOOKUP(Proc[[#This Row],[Author]],Table4[],2,0))</f>
        <v>HC</v>
      </c>
      <c r="L1180" s="69" t="s">
        <v>2563</v>
      </c>
      <c r="M1180" s="79">
        <v>45779.37096064815</v>
      </c>
      <c r="N1180" s="79"/>
      <c r="O1180" s="79">
        <v>45784</v>
      </c>
      <c r="P1180" s="80" t="str">
        <f ca="1">IF(Proc[[#This Row],[DaysAgeing]]&gt;5,"yep","on track")</f>
        <v>on track</v>
      </c>
      <c r="Q1180" s="3">
        <f ca="1">IF(Proc[[#This Row],[DateClosed]]="",ABS(NETWORKDAYS(Proc[[#This Row],[DateOpened]],TODAY()))-1,ABS(NETWORKDAYS(Proc[[#This Row],[DateOpened]],Proc[[#This Row],[DateClosed]]))-1)</f>
        <v>3</v>
      </c>
      <c r="R1180" s="80" t="s">
        <v>478</v>
      </c>
      <c r="S1180" s="94" t="e">
        <f>VLOOKUP(Proc[[#This Row],[Obj]],#REF!,2,0)</f>
        <v>#REF!</v>
      </c>
    </row>
    <row r="1181" spans="1:19" hidden="1">
      <c r="A1181" s="72" t="s">
        <v>2884</v>
      </c>
      <c r="B1181" s="149" t="str">
        <f>IFERROR(VLOOKUP(Proc[[#This Row],[App]],Table2[],3,0),"open")</f>
        <v>ok</v>
      </c>
      <c r="C1181" s="72" t="s">
        <v>398</v>
      </c>
      <c r="D1181" t="s">
        <v>2878</v>
      </c>
      <c r="E1181" t="s">
        <v>2882</v>
      </c>
      <c r="F1181" s="103" t="s">
        <v>2882</v>
      </c>
      <c r="G1181" s="72" t="s">
        <v>400</v>
      </c>
      <c r="H1181" s="69" t="str">
        <f>IF(Proc[[#This Row],[type]]="LFF (MDG-F)",MID(Proc[[#This Row],[Obj]],13,10),"")</f>
        <v/>
      </c>
      <c r="I1181" s="72" t="s">
        <v>2886</v>
      </c>
      <c r="J1181" s="69" t="b">
        <f>Proc[[#This Row],[Requested]]=Proc[[#This Row],[CurrentParent]]</f>
        <v>1</v>
      </c>
      <c r="K1181" s="144" t="str">
        <f>IF(Proc[[#This Row],[Author]]="Marcela Urrego",VLOOKUP(LEFT(Proc[[#This Row],[Requested]],1),Table3[#All],2,0),VLOOKUP(Proc[[#This Row],[Author]],Table4[],2,0))</f>
        <v>HC</v>
      </c>
      <c r="L1181" s="69" t="s">
        <v>2563</v>
      </c>
      <c r="M1181" s="79">
        <v>45779.37096064815</v>
      </c>
      <c r="N1181" s="79"/>
      <c r="O1181" s="79">
        <v>45784</v>
      </c>
      <c r="P1181" s="80" t="str">
        <f ca="1">IF(Proc[[#This Row],[DaysAgeing]]&gt;5,"yep","on track")</f>
        <v>on track</v>
      </c>
      <c r="Q1181" s="3">
        <f ca="1">IF(Proc[[#This Row],[DateClosed]]="",ABS(NETWORKDAYS(Proc[[#This Row],[DateOpened]],TODAY()))-1,ABS(NETWORKDAYS(Proc[[#This Row],[DateOpened]],Proc[[#This Row],[DateClosed]]))-1)</f>
        <v>3</v>
      </c>
      <c r="R1181" s="80" t="s">
        <v>478</v>
      </c>
      <c r="S1181" s="94" t="e">
        <f>VLOOKUP(Proc[[#This Row],[Obj]],#REF!,2,0)</f>
        <v>#REF!</v>
      </c>
    </row>
    <row r="1182" spans="1:19" hidden="1">
      <c r="A1182" s="72" t="s">
        <v>2884</v>
      </c>
      <c r="B1182" s="149" t="str">
        <f>IFERROR(VLOOKUP(Proc[[#This Row],[App]],Table2[],3,0),"open")</f>
        <v>ok</v>
      </c>
      <c r="C1182" s="72" t="s">
        <v>398</v>
      </c>
      <c r="D1182" t="s">
        <v>2879</v>
      </c>
      <c r="E1182" t="s">
        <v>2882</v>
      </c>
      <c r="F1182" s="103" t="s">
        <v>2882</v>
      </c>
      <c r="G1182" s="72" t="s">
        <v>400</v>
      </c>
      <c r="H1182" s="69" t="str">
        <f>IF(Proc[[#This Row],[type]]="LFF (MDG-F)",MID(Proc[[#This Row],[Obj]],13,10),"")</f>
        <v/>
      </c>
      <c r="I1182" s="72" t="s">
        <v>2886</v>
      </c>
      <c r="J1182" s="69" t="b">
        <f>Proc[[#This Row],[Requested]]=Proc[[#This Row],[CurrentParent]]</f>
        <v>1</v>
      </c>
      <c r="K1182" s="144" t="str">
        <f>IF(Proc[[#This Row],[Author]]="Marcela Urrego",VLOOKUP(LEFT(Proc[[#This Row],[Requested]],1),Table3[#All],2,0),VLOOKUP(Proc[[#This Row],[Author]],Table4[],2,0))</f>
        <v>HC</v>
      </c>
      <c r="L1182" s="69" t="s">
        <v>2563</v>
      </c>
      <c r="M1182" s="79">
        <v>45779.37096064815</v>
      </c>
      <c r="N1182" s="79"/>
      <c r="O1182" s="79">
        <v>45784</v>
      </c>
      <c r="P1182" s="80" t="str">
        <f ca="1">IF(Proc[[#This Row],[DaysAgeing]]&gt;5,"yep","on track")</f>
        <v>on track</v>
      </c>
      <c r="Q1182" s="3">
        <f ca="1">IF(Proc[[#This Row],[DateClosed]]="",ABS(NETWORKDAYS(Proc[[#This Row],[DateOpened]],TODAY()))-1,ABS(NETWORKDAYS(Proc[[#This Row],[DateOpened]],Proc[[#This Row],[DateClosed]]))-1)</f>
        <v>3</v>
      </c>
      <c r="R1182" s="80" t="s">
        <v>478</v>
      </c>
      <c r="S1182" s="94" t="e">
        <f>VLOOKUP(Proc[[#This Row],[Obj]],#REF!,2,0)</f>
        <v>#REF!</v>
      </c>
    </row>
    <row r="1183" spans="1:19" hidden="1">
      <c r="A1183" s="72" t="s">
        <v>2884</v>
      </c>
      <c r="B1183" s="149" t="str">
        <f>IFERROR(VLOOKUP(Proc[[#This Row],[App]],Table2[],3,0),"open")</f>
        <v>ok</v>
      </c>
      <c r="C1183" s="72" t="s">
        <v>398</v>
      </c>
      <c r="D1183" t="s">
        <v>2880</v>
      </c>
      <c r="E1183" t="s">
        <v>2883</v>
      </c>
      <c r="F1183" s="103" t="s">
        <v>2883</v>
      </c>
      <c r="G1183" s="72" t="s">
        <v>400</v>
      </c>
      <c r="H1183" s="69" t="str">
        <f>IF(Proc[[#This Row],[type]]="LFF (MDG-F)",MID(Proc[[#This Row],[Obj]],13,10),"")</f>
        <v/>
      </c>
      <c r="I1183" s="72" t="s">
        <v>2886</v>
      </c>
      <c r="J1183" s="69" t="b">
        <f>Proc[[#This Row],[Requested]]=Proc[[#This Row],[CurrentParent]]</f>
        <v>1</v>
      </c>
      <c r="K1183" s="144" t="str">
        <f>IF(Proc[[#This Row],[Author]]="Marcela Urrego",VLOOKUP(LEFT(Proc[[#This Row],[Requested]],1),Table3[#All],2,0),VLOOKUP(Proc[[#This Row],[Author]],Table4[],2,0))</f>
        <v>HC</v>
      </c>
      <c r="L1183" s="69" t="s">
        <v>2563</v>
      </c>
      <c r="M1183" s="79">
        <v>45779.37096064815</v>
      </c>
      <c r="N1183" s="79"/>
      <c r="O1183" s="79">
        <v>45784</v>
      </c>
      <c r="P1183" s="80" t="str">
        <f ca="1">IF(Proc[[#This Row],[DaysAgeing]]&gt;5,"yep","on track")</f>
        <v>on track</v>
      </c>
      <c r="Q1183" s="3">
        <f ca="1">IF(Proc[[#This Row],[DateClosed]]="",ABS(NETWORKDAYS(Proc[[#This Row],[DateOpened]],TODAY()))-1,ABS(NETWORKDAYS(Proc[[#This Row],[DateOpened]],Proc[[#This Row],[DateClosed]]))-1)</f>
        <v>3</v>
      </c>
      <c r="R1183" s="80" t="s">
        <v>478</v>
      </c>
      <c r="S1183" s="94" t="e">
        <f>VLOOKUP(Proc[[#This Row],[Obj]],#REF!,2,0)</f>
        <v>#REF!</v>
      </c>
    </row>
    <row r="1184" spans="1:19" hidden="1">
      <c r="A1184" s="72" t="s">
        <v>2884</v>
      </c>
      <c r="B1184" s="149" t="str">
        <f>IFERROR(VLOOKUP(Proc[[#This Row],[App]],Table2[],3,0),"open")</f>
        <v>ok</v>
      </c>
      <c r="C1184" s="72" t="s">
        <v>398</v>
      </c>
      <c r="D1184" t="s">
        <v>2881</v>
      </c>
      <c r="E1184" t="s">
        <v>2144</v>
      </c>
      <c r="F1184" s="103" t="s">
        <v>2144</v>
      </c>
      <c r="G1184" s="72" t="s">
        <v>400</v>
      </c>
      <c r="H1184" s="69" t="str">
        <f>IF(Proc[[#This Row],[type]]="LFF (MDG-F)",MID(Proc[[#This Row],[Obj]],13,10),"")</f>
        <v/>
      </c>
      <c r="I1184" s="72" t="s">
        <v>2886</v>
      </c>
      <c r="J1184" s="69" t="b">
        <f>Proc[[#This Row],[Requested]]=Proc[[#This Row],[CurrentParent]]</f>
        <v>1</v>
      </c>
      <c r="K1184" s="144" t="str">
        <f>IF(Proc[[#This Row],[Author]]="Marcela Urrego",VLOOKUP(LEFT(Proc[[#This Row],[Requested]],1),Table3[#All],2,0),VLOOKUP(Proc[[#This Row],[Author]],Table4[],2,0))</f>
        <v>HC</v>
      </c>
      <c r="L1184" s="69" t="s">
        <v>2563</v>
      </c>
      <c r="M1184" s="79">
        <v>45779.37096064815</v>
      </c>
      <c r="N1184" s="79"/>
      <c r="O1184" s="79">
        <v>45784</v>
      </c>
      <c r="P1184" s="80" t="str">
        <f ca="1">IF(Proc[[#This Row],[DaysAgeing]]&gt;5,"yep","on track")</f>
        <v>on track</v>
      </c>
      <c r="Q1184" s="3">
        <f ca="1">IF(Proc[[#This Row],[DateClosed]]="",ABS(NETWORKDAYS(Proc[[#This Row],[DateOpened]],TODAY()))-1,ABS(NETWORKDAYS(Proc[[#This Row],[DateOpened]],Proc[[#This Row],[DateClosed]]))-1)</f>
        <v>3</v>
      </c>
      <c r="R1184" s="80" t="s">
        <v>478</v>
      </c>
      <c r="S1184" s="94" t="e">
        <f>VLOOKUP(Proc[[#This Row],[Obj]],#REF!,2,0)</f>
        <v>#REF!</v>
      </c>
    </row>
    <row r="1185" spans="1:19" hidden="1">
      <c r="A1185" t="s">
        <v>2887</v>
      </c>
      <c r="B1185" s="149" t="str">
        <f>IFERROR(VLOOKUP(Proc[[#This Row],[App]],Table2[],3,0),"open")</f>
        <v>ok</v>
      </c>
      <c r="C1185" t="s">
        <v>369</v>
      </c>
      <c r="D1185" t="s">
        <v>2888</v>
      </c>
      <c r="E1185" t="s">
        <v>2889</v>
      </c>
      <c r="F1185" s="117" t="s">
        <v>2889</v>
      </c>
      <c r="G1185" t="s">
        <v>400</v>
      </c>
      <c r="H1185" s="69" t="str">
        <f>IF(Proc[[#This Row],[type]]="LFF (MDG-F)",MID(Proc[[#This Row],[Obj]],13,10),"")</f>
        <v/>
      </c>
      <c r="J1185" s="69" t="b">
        <f>Proc[[#This Row],[Requested]]=Proc[[#This Row],[CurrentParent]]</f>
        <v>1</v>
      </c>
      <c r="K1185" s="144" t="str">
        <f>IF(Proc[[#This Row],[Author]]="Marcela Urrego",VLOOKUP(LEFT(Proc[[#This Row],[Requested]],1),Table3[#All],2,0),VLOOKUP(Proc[[#This Row],[Author]],Table4[],2,0))</f>
        <v>LS</v>
      </c>
      <c r="L1185" s="69" t="s">
        <v>2563</v>
      </c>
      <c r="M1185" s="79">
        <v>45779.507777777777</v>
      </c>
      <c r="N1185" s="79">
        <v>45790</v>
      </c>
      <c r="O1185" s="79">
        <v>45790</v>
      </c>
      <c r="P1185" s="80" t="str">
        <f ca="1">IF(Proc[[#This Row],[DaysAgeing]]&gt;5,"yep","on track")</f>
        <v>yep</v>
      </c>
      <c r="Q1185" s="3">
        <f ca="1">IF(Proc[[#This Row],[DateClosed]]="",ABS(NETWORKDAYS(Proc[[#This Row],[DateOpened]],TODAY()))-1,ABS(NETWORKDAYS(Proc[[#This Row],[DateOpened]],Proc[[#This Row],[DateClosed]]))-1)</f>
        <v>7</v>
      </c>
      <c r="R1185" s="80" t="s">
        <v>2890</v>
      </c>
      <c r="S1185" s="69"/>
    </row>
    <row r="1186" spans="1:19" hidden="1">
      <c r="A1186" t="s">
        <v>2895</v>
      </c>
      <c r="B1186" s="149" t="str">
        <f>IFERROR(VLOOKUP(Proc[[#This Row],[App]],Table2[],3,0),"open")</f>
        <v>ok</v>
      </c>
      <c r="C1186" s="72" t="s">
        <v>369</v>
      </c>
      <c r="D1186" t="s">
        <v>2891</v>
      </c>
      <c r="E1186" t="s">
        <v>2616</v>
      </c>
      <c r="F1186" s="117" t="s">
        <v>2616</v>
      </c>
      <c r="G1186" t="s">
        <v>400</v>
      </c>
      <c r="H1186" s="69" t="str">
        <f>IF(Proc[[#This Row],[type]]="LFF (MDG-F)",MID(Proc[[#This Row],[Obj]],13,10),"")</f>
        <v/>
      </c>
      <c r="J1186" s="69" t="b">
        <f>Proc[[#This Row],[Requested]]=Proc[[#This Row],[CurrentParent]]</f>
        <v>1</v>
      </c>
      <c r="K1186" s="144" t="str">
        <f>IF(Proc[[#This Row],[Author]]="Marcela Urrego",VLOOKUP(LEFT(Proc[[#This Row],[Requested]],1),Table3[#All],2,0),VLOOKUP(Proc[[#This Row],[Author]],Table4[],2,0))</f>
        <v>MGF</v>
      </c>
      <c r="L1186" s="69" t="s">
        <v>2563</v>
      </c>
      <c r="M1186" s="79">
        <v>45782.435740740744</v>
      </c>
      <c r="N1186" s="79">
        <v>45790</v>
      </c>
      <c r="O1186" s="79">
        <v>45790</v>
      </c>
      <c r="P1186" s="80" t="str">
        <f ca="1">IF(Proc[[#This Row],[DaysAgeing]]&gt;5,"yep","on track")</f>
        <v>yep</v>
      </c>
      <c r="Q1186" s="3">
        <f ca="1">IF(Proc[[#This Row],[DateClosed]]="",ABS(NETWORKDAYS(Proc[[#This Row],[DateOpened]],TODAY()))-1,ABS(NETWORKDAYS(Proc[[#This Row],[DateOpened]],Proc[[#This Row],[DateClosed]]))-1)</f>
        <v>6</v>
      </c>
      <c r="R1186" s="80" t="s">
        <v>1459</v>
      </c>
      <c r="S1186" s="69"/>
    </row>
    <row r="1187" spans="1:19" hidden="1">
      <c r="A1187" s="72" t="s">
        <v>2895</v>
      </c>
      <c r="B1187" s="149" t="str">
        <f>IFERROR(VLOOKUP(Proc[[#This Row],[App]],Table2[],3,0),"open")</f>
        <v>ok</v>
      </c>
      <c r="C1187" s="72" t="s">
        <v>369</v>
      </c>
      <c r="D1187" t="s">
        <v>2892</v>
      </c>
      <c r="E1187" t="s">
        <v>2616</v>
      </c>
      <c r="F1187" s="117" t="s">
        <v>2616</v>
      </c>
      <c r="G1187" t="s">
        <v>406</v>
      </c>
      <c r="H1187" s="69" t="str">
        <f>IF(Proc[[#This Row],[type]]="LFF (MDG-F)",MID(Proc[[#This Row],[Obj]],13,10),"")</f>
        <v>2123GIT02F</v>
      </c>
      <c r="I1187" t="s">
        <v>3014</v>
      </c>
      <c r="J1187" s="69" t="b">
        <f>Proc[[#This Row],[Requested]]=Proc[[#This Row],[CurrentParent]]</f>
        <v>1</v>
      </c>
      <c r="K1187" s="144" t="str">
        <f>IF(Proc[[#This Row],[Author]]="Marcela Urrego",VLOOKUP(LEFT(Proc[[#This Row],[Requested]],1),Table3[#All],2,0),VLOOKUP(Proc[[#This Row],[Author]],Table4[],2,0))</f>
        <v>MGF</v>
      </c>
      <c r="L1187" s="69" t="s">
        <v>2563</v>
      </c>
      <c r="M1187" s="79">
        <v>45782.435740740744</v>
      </c>
      <c r="N1187" s="79">
        <v>45790</v>
      </c>
      <c r="O1187" s="79">
        <v>45790</v>
      </c>
      <c r="P1187" s="80" t="str">
        <f ca="1">IF(Proc[[#This Row],[DaysAgeing]]&gt;5,"yep","on track")</f>
        <v>yep</v>
      </c>
      <c r="Q1187" s="3">
        <f ca="1">IF(Proc[[#This Row],[DateClosed]]="",ABS(NETWORKDAYS(Proc[[#This Row],[DateOpened]],TODAY()))-1,ABS(NETWORKDAYS(Proc[[#This Row],[DateOpened]],Proc[[#This Row],[DateClosed]]))-1)</f>
        <v>6</v>
      </c>
      <c r="R1187" s="80" t="s">
        <v>1459</v>
      </c>
      <c r="S1187" s="69"/>
    </row>
    <row r="1188" spans="1:19" hidden="1">
      <c r="A1188" s="72" t="s">
        <v>2895</v>
      </c>
      <c r="B1188" s="149" t="str">
        <f>IFERROR(VLOOKUP(Proc[[#This Row],[App]],Table2[],3,0),"open")</f>
        <v>ok</v>
      </c>
      <c r="C1188" s="72" t="s">
        <v>369</v>
      </c>
      <c r="D1188" t="s">
        <v>2893</v>
      </c>
      <c r="E1188" t="s">
        <v>2616</v>
      </c>
      <c r="F1188" s="117" t="s">
        <v>2616</v>
      </c>
      <c r="G1188" s="72" t="s">
        <v>406</v>
      </c>
      <c r="H1188" s="69" t="str">
        <f>IF(Proc[[#This Row],[type]]="LFF (MDG-F)",MID(Proc[[#This Row],[Obj]],13,10),"")</f>
        <v>2123GIT01F</v>
      </c>
      <c r="I1188" s="72" t="s">
        <v>3014</v>
      </c>
      <c r="J1188" s="69" t="b">
        <f>Proc[[#This Row],[Requested]]=Proc[[#This Row],[CurrentParent]]</f>
        <v>1</v>
      </c>
      <c r="K1188" s="144" t="str">
        <f>IF(Proc[[#This Row],[Author]]="Marcela Urrego",VLOOKUP(LEFT(Proc[[#This Row],[Requested]],1),Table3[#All],2,0),VLOOKUP(Proc[[#This Row],[Author]],Table4[],2,0))</f>
        <v>MGF</v>
      </c>
      <c r="L1188" s="69" t="s">
        <v>2563</v>
      </c>
      <c r="M1188" s="79">
        <v>45782.435740740744</v>
      </c>
      <c r="N1188" s="79">
        <v>45790</v>
      </c>
      <c r="O1188" s="79">
        <v>45790</v>
      </c>
      <c r="P1188" s="80" t="str">
        <f ca="1">IF(Proc[[#This Row],[DaysAgeing]]&gt;5,"yep","on track")</f>
        <v>yep</v>
      </c>
      <c r="Q1188" s="3">
        <f ca="1">IF(Proc[[#This Row],[DateClosed]]="",ABS(NETWORKDAYS(Proc[[#This Row],[DateOpened]],TODAY()))-1,ABS(NETWORKDAYS(Proc[[#This Row],[DateOpened]],Proc[[#This Row],[DateClosed]]))-1)</f>
        <v>6</v>
      </c>
      <c r="R1188" s="80" t="s">
        <v>1459</v>
      </c>
      <c r="S1188" s="69"/>
    </row>
    <row r="1189" spans="1:19" hidden="1">
      <c r="A1189" s="72" t="s">
        <v>2895</v>
      </c>
      <c r="B1189" s="149" t="str">
        <f>IFERROR(VLOOKUP(Proc[[#This Row],[App]],Table2[],3,0),"open")</f>
        <v>ok</v>
      </c>
      <c r="C1189" s="72" t="s">
        <v>369</v>
      </c>
      <c r="D1189" t="s">
        <v>2894</v>
      </c>
      <c r="E1189" t="s">
        <v>2616</v>
      </c>
      <c r="F1189" s="117" t="s">
        <v>2616</v>
      </c>
      <c r="G1189" s="72" t="s">
        <v>406</v>
      </c>
      <c r="H1189" s="69" t="str">
        <f>IF(Proc[[#This Row],[type]]="LFF (MDG-F)",MID(Proc[[#This Row],[Obj]],13,10),"")</f>
        <v>US10GIT01F</v>
      </c>
      <c r="I1189" s="72" t="s">
        <v>3014</v>
      </c>
      <c r="J1189" s="69" t="b">
        <f>Proc[[#This Row],[Requested]]=Proc[[#This Row],[CurrentParent]]</f>
        <v>1</v>
      </c>
      <c r="K1189" s="144" t="str">
        <f>IF(Proc[[#This Row],[Author]]="Marcela Urrego",VLOOKUP(LEFT(Proc[[#This Row],[Requested]],1),Table3[#All],2,0),VLOOKUP(Proc[[#This Row],[Author]],Table4[],2,0))</f>
        <v>MGF</v>
      </c>
      <c r="L1189" s="69" t="s">
        <v>2563</v>
      </c>
      <c r="M1189" s="79">
        <v>45782.435740740744</v>
      </c>
      <c r="N1189" s="79">
        <v>45790</v>
      </c>
      <c r="O1189" s="79">
        <v>45790</v>
      </c>
      <c r="P1189" s="80" t="str">
        <f ca="1">IF(Proc[[#This Row],[DaysAgeing]]&gt;5,"yep","on track")</f>
        <v>yep</v>
      </c>
      <c r="Q1189" s="3">
        <f ca="1">IF(Proc[[#This Row],[DateClosed]]="",ABS(NETWORKDAYS(Proc[[#This Row],[DateOpened]],TODAY()))-1,ABS(NETWORKDAYS(Proc[[#This Row],[DateOpened]],Proc[[#This Row],[DateClosed]]))-1)</f>
        <v>6</v>
      </c>
      <c r="R1189" s="80" t="s">
        <v>1459</v>
      </c>
      <c r="S1189" s="69"/>
    </row>
    <row r="1190" spans="1:19" hidden="1">
      <c r="A1190" t="s">
        <v>2896</v>
      </c>
      <c r="B1190" s="149" t="str">
        <f>IFERROR(VLOOKUP(Proc[[#This Row],[App]],Table2[],3,0),"open")</f>
        <v>ok</v>
      </c>
      <c r="C1190" s="72" t="s">
        <v>369</v>
      </c>
      <c r="D1190" t="s">
        <v>1410</v>
      </c>
      <c r="E1190" t="s">
        <v>2897</v>
      </c>
      <c r="F1190" s="117" t="s">
        <v>2897</v>
      </c>
      <c r="G1190" t="s">
        <v>400</v>
      </c>
      <c r="H1190" s="69" t="str">
        <f>IF(Proc[[#This Row],[type]]="LFF (MDG-F)",MID(Proc[[#This Row],[Obj]],13,10),"")</f>
        <v/>
      </c>
      <c r="J1190" s="69" t="b">
        <f>Proc[[#This Row],[Requested]]=Proc[[#This Row],[CurrentParent]]</f>
        <v>1</v>
      </c>
      <c r="K1190" s="144" t="str">
        <f>IF(Proc[[#This Row],[Author]]="Marcela Urrego",VLOOKUP(LEFT(Proc[[#This Row],[Requested]],1),Table3[#All],2,0),VLOOKUP(Proc[[#This Row],[Author]],Table4[],2,0))</f>
        <v>LS</v>
      </c>
      <c r="L1190" s="69" t="s">
        <v>2563</v>
      </c>
      <c r="M1190" s="79">
        <v>45782.437094907407</v>
      </c>
      <c r="N1190" s="79">
        <v>45790</v>
      </c>
      <c r="O1190" s="79">
        <v>45790</v>
      </c>
      <c r="P1190" s="80" t="str">
        <f ca="1">IF(Proc[[#This Row],[DaysAgeing]]&gt;5,"yep","on track")</f>
        <v>yep</v>
      </c>
      <c r="Q1190" s="3">
        <f ca="1">IF(Proc[[#This Row],[DateClosed]]="",ABS(NETWORKDAYS(Proc[[#This Row],[DateOpened]],TODAY()))-1,ABS(NETWORKDAYS(Proc[[#This Row],[DateOpened]],Proc[[#This Row],[DateClosed]]))-1)</f>
        <v>6</v>
      </c>
      <c r="R1190" s="80" t="s">
        <v>489</v>
      </c>
      <c r="S1190" s="69"/>
    </row>
    <row r="1191" spans="1:19" hidden="1">
      <c r="A1191" t="s">
        <v>2896</v>
      </c>
      <c r="B1191" s="149" t="str">
        <f>IFERROR(VLOOKUP(Proc[[#This Row],[App]],Table2[],3,0),"open")</f>
        <v>ok</v>
      </c>
      <c r="C1191" s="72" t="s">
        <v>369</v>
      </c>
      <c r="D1191" t="s">
        <v>1412</v>
      </c>
      <c r="E1191" t="s">
        <v>2897</v>
      </c>
      <c r="F1191" s="117" t="s">
        <v>2897</v>
      </c>
      <c r="G1191" s="72" t="s">
        <v>400</v>
      </c>
      <c r="H1191" s="69" t="str">
        <f>IF(Proc[[#This Row],[type]]="LFF (MDG-F)",MID(Proc[[#This Row],[Obj]],13,10),"")</f>
        <v/>
      </c>
      <c r="J1191" s="69" t="b">
        <f>Proc[[#This Row],[Requested]]=Proc[[#This Row],[CurrentParent]]</f>
        <v>1</v>
      </c>
      <c r="K1191" s="144" t="str">
        <f>IF(Proc[[#This Row],[Author]]="Marcela Urrego",VLOOKUP(LEFT(Proc[[#This Row],[Requested]],1),Table3[#All],2,0),VLOOKUP(Proc[[#This Row],[Author]],Table4[],2,0))</f>
        <v>LS</v>
      </c>
      <c r="L1191" s="69" t="s">
        <v>2563</v>
      </c>
      <c r="M1191" s="79">
        <v>45782.437094907407</v>
      </c>
      <c r="N1191" s="79">
        <v>45790</v>
      </c>
      <c r="O1191" s="79">
        <v>45790</v>
      </c>
      <c r="P1191" s="80" t="str">
        <f ca="1">IF(Proc[[#This Row],[DaysAgeing]]&gt;5,"yep","on track")</f>
        <v>yep</v>
      </c>
      <c r="Q1191" s="3">
        <f ca="1">IF(Proc[[#This Row],[DateClosed]]="",ABS(NETWORKDAYS(Proc[[#This Row],[DateOpened]],TODAY()))-1,ABS(NETWORKDAYS(Proc[[#This Row],[DateOpened]],Proc[[#This Row],[DateClosed]]))-1)</f>
        <v>6</v>
      </c>
      <c r="R1191" s="80" t="s">
        <v>489</v>
      </c>
      <c r="S1191" s="69"/>
    </row>
    <row r="1192" spans="1:19" hidden="1">
      <c r="A1192" t="s">
        <v>2898</v>
      </c>
      <c r="B1192" s="149" t="str">
        <f>IFERROR(VLOOKUP(Proc[[#This Row],[App]],Table2[],3,0),"open")</f>
        <v>ok</v>
      </c>
      <c r="C1192" s="72" t="s">
        <v>369</v>
      </c>
      <c r="D1192" t="s">
        <v>2832</v>
      </c>
      <c r="E1192" t="s">
        <v>2899</v>
      </c>
      <c r="F1192" s="117" t="s">
        <v>2899</v>
      </c>
      <c r="G1192" t="s">
        <v>400</v>
      </c>
      <c r="H1192" s="69" t="str">
        <f>IF(Proc[[#This Row],[type]]="LFF (MDG-F)",MID(Proc[[#This Row],[Obj]],13,10),"")</f>
        <v/>
      </c>
      <c r="J1192" s="69" t="b">
        <f>Proc[[#This Row],[Requested]]=Proc[[#This Row],[CurrentParent]]</f>
        <v>1</v>
      </c>
      <c r="K1192" s="144" t="str">
        <f>IF(Proc[[#This Row],[Author]]="Marcela Urrego",VLOOKUP(LEFT(Proc[[#This Row],[Requested]],1),Table3[#All],2,0),VLOOKUP(Proc[[#This Row],[Author]],Table4[],2,0))</f>
        <v>LS</v>
      </c>
      <c r="L1192" s="69" t="s">
        <v>2563</v>
      </c>
      <c r="M1192" s="79">
        <v>45782.455694444441</v>
      </c>
      <c r="N1192" s="79">
        <v>45790</v>
      </c>
      <c r="O1192" s="79">
        <v>45790</v>
      </c>
      <c r="P1192" s="80" t="str">
        <f ca="1">IF(Proc[[#This Row],[DaysAgeing]]&gt;5,"yep","on track")</f>
        <v>yep</v>
      </c>
      <c r="Q1192" s="3">
        <f ca="1">IF(Proc[[#This Row],[DateClosed]]="",ABS(NETWORKDAYS(Proc[[#This Row],[DateOpened]],TODAY()))-1,ABS(NETWORKDAYS(Proc[[#This Row],[DateOpened]],Proc[[#This Row],[DateClosed]]))-1)</f>
        <v>6</v>
      </c>
      <c r="R1192" s="80" t="s">
        <v>489</v>
      </c>
      <c r="S1192" s="69"/>
    </row>
    <row r="1193" spans="1:19" hidden="1">
      <c r="A1193" t="s">
        <v>2900</v>
      </c>
      <c r="B1193" s="149" t="str">
        <f>IFERROR(VLOOKUP(Proc[[#This Row],[App]],Table2[],3,0),"open")</f>
        <v>ok</v>
      </c>
      <c r="C1193" s="72" t="s">
        <v>369</v>
      </c>
      <c r="D1193" t="s">
        <v>2901</v>
      </c>
      <c r="E1193" t="s">
        <v>3002</v>
      </c>
      <c r="F1193" s="117" t="s">
        <v>3002</v>
      </c>
      <c r="G1193" s="72" t="s">
        <v>400</v>
      </c>
      <c r="H1193" s="69" t="str">
        <f>IF(Proc[[#This Row],[type]]="LFF (MDG-F)",MID(Proc[[#This Row],[Obj]],13,10),"")</f>
        <v/>
      </c>
      <c r="J1193" s="69" t="b">
        <f>Proc[[#This Row],[Requested]]=Proc[[#This Row],[CurrentParent]]</f>
        <v>1</v>
      </c>
      <c r="K1193" s="144" t="str">
        <f>IF(Proc[[#This Row],[Author]]="Marcela Urrego",VLOOKUP(LEFT(Proc[[#This Row],[Requested]],1),Table3[#All],2,0),VLOOKUP(Proc[[#This Row],[Author]],Table4[],2,0))</f>
        <v>HC</v>
      </c>
      <c r="L1193" s="69" t="s">
        <v>2563</v>
      </c>
      <c r="M1193" s="79">
        <v>45782.702824074076</v>
      </c>
      <c r="N1193" s="79">
        <v>45790</v>
      </c>
      <c r="O1193" s="79">
        <v>45790</v>
      </c>
      <c r="P1193" s="80" t="str">
        <f ca="1">IF(Proc[[#This Row],[DaysAgeing]]&gt;5,"yep","on track")</f>
        <v>yep</v>
      </c>
      <c r="Q1193" s="3">
        <f ca="1">IF(Proc[[#This Row],[DateClosed]]="",ABS(NETWORKDAYS(Proc[[#This Row],[DateOpened]],TODAY()))-1,ABS(NETWORKDAYS(Proc[[#This Row],[DateOpened]],Proc[[#This Row],[DateClosed]]))-1)</f>
        <v>6</v>
      </c>
      <c r="R1193" s="80" t="s">
        <v>410</v>
      </c>
      <c r="S1193" s="69"/>
    </row>
    <row r="1194" spans="1:19" hidden="1">
      <c r="A1194" s="72" t="s">
        <v>2900</v>
      </c>
      <c r="B1194" s="149" t="str">
        <f>IFERROR(VLOOKUP(Proc[[#This Row],[App]],Table2[],3,0),"open")</f>
        <v>ok</v>
      </c>
      <c r="C1194" s="72" t="s">
        <v>369</v>
      </c>
      <c r="D1194" t="s">
        <v>2902</v>
      </c>
      <c r="E1194" t="s">
        <v>3002</v>
      </c>
      <c r="F1194" s="117" t="s">
        <v>3002</v>
      </c>
      <c r="G1194" s="72" t="s">
        <v>400</v>
      </c>
      <c r="H1194" s="69" t="str">
        <f>IF(Proc[[#This Row],[type]]="LFF (MDG-F)",MID(Proc[[#This Row],[Obj]],13,10),"")</f>
        <v/>
      </c>
      <c r="J1194" s="69" t="b">
        <f>Proc[[#This Row],[Requested]]=Proc[[#This Row],[CurrentParent]]</f>
        <v>1</v>
      </c>
      <c r="K1194" s="144" t="str">
        <f>IF(Proc[[#This Row],[Author]]="Marcela Urrego",VLOOKUP(LEFT(Proc[[#This Row],[Requested]],1),Table3[#All],2,0),VLOOKUP(Proc[[#This Row],[Author]],Table4[],2,0))</f>
        <v>HC</v>
      </c>
      <c r="L1194" s="69" t="s">
        <v>2563</v>
      </c>
      <c r="M1194" s="79">
        <v>45782.702824074076</v>
      </c>
      <c r="N1194" s="79">
        <v>45790</v>
      </c>
      <c r="O1194" s="79">
        <v>45790</v>
      </c>
      <c r="P1194" s="80" t="str">
        <f ca="1">IF(Proc[[#This Row],[DaysAgeing]]&gt;5,"yep","on track")</f>
        <v>yep</v>
      </c>
      <c r="Q1194" s="3">
        <f ca="1">IF(Proc[[#This Row],[DateClosed]]="",ABS(NETWORKDAYS(Proc[[#This Row],[DateOpened]],TODAY()))-1,ABS(NETWORKDAYS(Proc[[#This Row],[DateOpened]],Proc[[#This Row],[DateClosed]]))-1)</f>
        <v>6</v>
      </c>
      <c r="R1194" s="80" t="s">
        <v>410</v>
      </c>
      <c r="S1194" s="69"/>
    </row>
    <row r="1195" spans="1:19" hidden="1">
      <c r="A1195" s="72" t="s">
        <v>2900</v>
      </c>
      <c r="B1195" s="149" t="str">
        <f>IFERROR(VLOOKUP(Proc[[#This Row],[App]],Table2[],3,0),"open")</f>
        <v>ok</v>
      </c>
      <c r="C1195" s="72" t="s">
        <v>369</v>
      </c>
      <c r="D1195" t="s">
        <v>2903</v>
      </c>
      <c r="E1195" t="s">
        <v>3002</v>
      </c>
      <c r="F1195" s="117" t="s">
        <v>3002</v>
      </c>
      <c r="G1195" s="72" t="s">
        <v>400</v>
      </c>
      <c r="H1195" s="69" t="str">
        <f>IF(Proc[[#This Row],[type]]="LFF (MDG-F)",MID(Proc[[#This Row],[Obj]],13,10),"")</f>
        <v/>
      </c>
      <c r="J1195" s="69" t="b">
        <f>Proc[[#This Row],[Requested]]=Proc[[#This Row],[CurrentParent]]</f>
        <v>1</v>
      </c>
      <c r="K1195" s="144" t="str">
        <f>IF(Proc[[#This Row],[Author]]="Marcela Urrego",VLOOKUP(LEFT(Proc[[#This Row],[Requested]],1),Table3[#All],2,0),VLOOKUP(Proc[[#This Row],[Author]],Table4[],2,0))</f>
        <v>HC</v>
      </c>
      <c r="L1195" s="69" t="s">
        <v>2563</v>
      </c>
      <c r="M1195" s="79">
        <v>45782.702824074076</v>
      </c>
      <c r="N1195" s="79">
        <v>45790</v>
      </c>
      <c r="O1195" s="79">
        <v>45790</v>
      </c>
      <c r="P1195" s="80" t="str">
        <f ca="1">IF(Proc[[#This Row],[DaysAgeing]]&gt;5,"yep","on track")</f>
        <v>yep</v>
      </c>
      <c r="Q1195" s="3">
        <f ca="1">IF(Proc[[#This Row],[DateClosed]]="",ABS(NETWORKDAYS(Proc[[#This Row],[DateOpened]],TODAY()))-1,ABS(NETWORKDAYS(Proc[[#This Row],[DateOpened]],Proc[[#This Row],[DateClosed]]))-1)</f>
        <v>6</v>
      </c>
      <c r="R1195" s="80" t="s">
        <v>410</v>
      </c>
      <c r="S1195" s="69"/>
    </row>
    <row r="1196" spans="1:19" hidden="1">
      <c r="A1196" s="72" t="s">
        <v>2900</v>
      </c>
      <c r="B1196" s="149" t="str">
        <f>IFERROR(VLOOKUP(Proc[[#This Row],[App]],Table2[],3,0),"open")</f>
        <v>ok</v>
      </c>
      <c r="C1196" s="72" t="s">
        <v>369</v>
      </c>
      <c r="D1196" t="s">
        <v>2904</v>
      </c>
      <c r="E1196" t="s">
        <v>3002</v>
      </c>
      <c r="F1196" s="117" t="s">
        <v>3002</v>
      </c>
      <c r="G1196" s="72" t="s">
        <v>400</v>
      </c>
      <c r="H1196" s="69" t="str">
        <f>IF(Proc[[#This Row],[type]]="LFF (MDG-F)",MID(Proc[[#This Row],[Obj]],13,10),"")</f>
        <v/>
      </c>
      <c r="J1196" s="69" t="b">
        <f>Proc[[#This Row],[Requested]]=Proc[[#This Row],[CurrentParent]]</f>
        <v>1</v>
      </c>
      <c r="K1196" s="144" t="str">
        <f>IF(Proc[[#This Row],[Author]]="Marcela Urrego",VLOOKUP(LEFT(Proc[[#This Row],[Requested]],1),Table3[#All],2,0),VLOOKUP(Proc[[#This Row],[Author]],Table4[],2,0))</f>
        <v>HC</v>
      </c>
      <c r="L1196" s="69" t="s">
        <v>2563</v>
      </c>
      <c r="M1196" s="79">
        <v>45782.702824074076</v>
      </c>
      <c r="N1196" s="79">
        <v>45790</v>
      </c>
      <c r="O1196" s="79">
        <v>45790</v>
      </c>
      <c r="P1196" s="80" t="str">
        <f ca="1">IF(Proc[[#This Row],[DaysAgeing]]&gt;5,"yep","on track")</f>
        <v>yep</v>
      </c>
      <c r="Q1196" s="3">
        <f ca="1">IF(Proc[[#This Row],[DateClosed]]="",ABS(NETWORKDAYS(Proc[[#This Row],[DateOpened]],TODAY()))-1,ABS(NETWORKDAYS(Proc[[#This Row],[DateOpened]],Proc[[#This Row],[DateClosed]]))-1)</f>
        <v>6</v>
      </c>
      <c r="R1196" s="80" t="s">
        <v>410</v>
      </c>
      <c r="S1196" s="69"/>
    </row>
    <row r="1197" spans="1:19" hidden="1">
      <c r="A1197" s="72" t="s">
        <v>2900</v>
      </c>
      <c r="B1197" s="149" t="str">
        <f>IFERROR(VLOOKUP(Proc[[#This Row],[App]],Table2[],3,0),"open")</f>
        <v>ok</v>
      </c>
      <c r="C1197" s="72" t="s">
        <v>369</v>
      </c>
      <c r="D1197" t="s">
        <v>2905</v>
      </c>
      <c r="E1197" t="s">
        <v>3002</v>
      </c>
      <c r="F1197" s="117" t="s">
        <v>3002</v>
      </c>
      <c r="G1197" s="72" t="s">
        <v>400</v>
      </c>
      <c r="H1197" s="69" t="str">
        <f>IF(Proc[[#This Row],[type]]="LFF (MDG-F)",MID(Proc[[#This Row],[Obj]],13,10),"")</f>
        <v/>
      </c>
      <c r="J1197" s="69" t="b">
        <f>Proc[[#This Row],[Requested]]=Proc[[#This Row],[CurrentParent]]</f>
        <v>1</v>
      </c>
      <c r="K1197" s="144" t="str">
        <f>IF(Proc[[#This Row],[Author]]="Marcela Urrego",VLOOKUP(LEFT(Proc[[#This Row],[Requested]],1),Table3[#All],2,0),VLOOKUP(Proc[[#This Row],[Author]],Table4[],2,0))</f>
        <v>HC</v>
      </c>
      <c r="L1197" s="69" t="s">
        <v>2563</v>
      </c>
      <c r="M1197" s="79">
        <v>45782.702824074076</v>
      </c>
      <c r="N1197" s="79">
        <v>45790</v>
      </c>
      <c r="O1197" s="79">
        <v>45790</v>
      </c>
      <c r="P1197" s="80" t="str">
        <f ca="1">IF(Proc[[#This Row],[DaysAgeing]]&gt;5,"yep","on track")</f>
        <v>yep</v>
      </c>
      <c r="Q1197" s="3">
        <f ca="1">IF(Proc[[#This Row],[DateClosed]]="",ABS(NETWORKDAYS(Proc[[#This Row],[DateOpened]],TODAY()))-1,ABS(NETWORKDAYS(Proc[[#This Row],[DateOpened]],Proc[[#This Row],[DateClosed]]))-1)</f>
        <v>6</v>
      </c>
      <c r="R1197" s="80" t="s">
        <v>410</v>
      </c>
      <c r="S1197" s="69"/>
    </row>
    <row r="1198" spans="1:19" hidden="1">
      <c r="A1198" s="72" t="s">
        <v>2900</v>
      </c>
      <c r="B1198" s="149" t="str">
        <f>IFERROR(VLOOKUP(Proc[[#This Row],[App]],Table2[],3,0),"open")</f>
        <v>ok</v>
      </c>
      <c r="C1198" s="72" t="s">
        <v>369</v>
      </c>
      <c r="D1198" t="s">
        <v>2906</v>
      </c>
      <c r="E1198" t="s">
        <v>3002</v>
      </c>
      <c r="F1198" s="117" t="s">
        <v>3002</v>
      </c>
      <c r="G1198" s="72" t="s">
        <v>400</v>
      </c>
      <c r="H1198" s="69" t="str">
        <f>IF(Proc[[#This Row],[type]]="LFF (MDG-F)",MID(Proc[[#This Row],[Obj]],13,10),"")</f>
        <v/>
      </c>
      <c r="J1198" s="69" t="b">
        <f>Proc[[#This Row],[Requested]]=Proc[[#This Row],[CurrentParent]]</f>
        <v>1</v>
      </c>
      <c r="K1198" s="144" t="str">
        <f>IF(Proc[[#This Row],[Author]]="Marcela Urrego",VLOOKUP(LEFT(Proc[[#This Row],[Requested]],1),Table3[#All],2,0),VLOOKUP(Proc[[#This Row],[Author]],Table4[],2,0))</f>
        <v>HC</v>
      </c>
      <c r="L1198" s="69" t="s">
        <v>2563</v>
      </c>
      <c r="M1198" s="79">
        <v>45782.702824074076</v>
      </c>
      <c r="N1198" s="79">
        <v>45790</v>
      </c>
      <c r="O1198" s="79">
        <v>45790</v>
      </c>
      <c r="P1198" s="80" t="str">
        <f ca="1">IF(Proc[[#This Row],[DaysAgeing]]&gt;5,"yep","on track")</f>
        <v>yep</v>
      </c>
      <c r="Q1198" s="3">
        <f ca="1">IF(Proc[[#This Row],[DateClosed]]="",ABS(NETWORKDAYS(Proc[[#This Row],[DateOpened]],TODAY()))-1,ABS(NETWORKDAYS(Proc[[#This Row],[DateOpened]],Proc[[#This Row],[DateClosed]]))-1)</f>
        <v>6</v>
      </c>
      <c r="R1198" s="80" t="s">
        <v>410</v>
      </c>
      <c r="S1198" s="69"/>
    </row>
    <row r="1199" spans="1:19" hidden="1">
      <c r="A1199" s="72" t="s">
        <v>2900</v>
      </c>
      <c r="B1199" s="149" t="str">
        <f>IFERROR(VLOOKUP(Proc[[#This Row],[App]],Table2[],3,0),"open")</f>
        <v>ok</v>
      </c>
      <c r="C1199" s="72" t="s">
        <v>369</v>
      </c>
      <c r="D1199" t="s">
        <v>2907</v>
      </c>
      <c r="E1199" t="s">
        <v>3002</v>
      </c>
      <c r="F1199" s="117" t="s">
        <v>3002</v>
      </c>
      <c r="G1199" s="72" t="s">
        <v>400</v>
      </c>
      <c r="H1199" s="69" t="str">
        <f>IF(Proc[[#This Row],[type]]="LFF (MDG-F)",MID(Proc[[#This Row],[Obj]],13,10),"")</f>
        <v/>
      </c>
      <c r="J1199" s="69" t="b">
        <f>Proc[[#This Row],[Requested]]=Proc[[#This Row],[CurrentParent]]</f>
        <v>1</v>
      </c>
      <c r="K1199" s="144" t="str">
        <f>IF(Proc[[#This Row],[Author]]="Marcela Urrego",VLOOKUP(LEFT(Proc[[#This Row],[Requested]],1),Table3[#All],2,0),VLOOKUP(Proc[[#This Row],[Author]],Table4[],2,0))</f>
        <v>HC</v>
      </c>
      <c r="L1199" s="69" t="s">
        <v>2563</v>
      </c>
      <c r="M1199" s="79">
        <v>45782.702824074076</v>
      </c>
      <c r="N1199" s="79">
        <v>45790</v>
      </c>
      <c r="O1199" s="79">
        <v>45790</v>
      </c>
      <c r="P1199" s="80" t="str">
        <f ca="1">IF(Proc[[#This Row],[DaysAgeing]]&gt;5,"yep","on track")</f>
        <v>yep</v>
      </c>
      <c r="Q1199" s="3">
        <f ca="1">IF(Proc[[#This Row],[DateClosed]]="",ABS(NETWORKDAYS(Proc[[#This Row],[DateOpened]],TODAY()))-1,ABS(NETWORKDAYS(Proc[[#This Row],[DateOpened]],Proc[[#This Row],[DateClosed]]))-1)</f>
        <v>6</v>
      </c>
      <c r="R1199" s="80" t="s">
        <v>410</v>
      </c>
      <c r="S1199" s="69"/>
    </row>
    <row r="1200" spans="1:19" hidden="1">
      <c r="A1200" s="72" t="s">
        <v>2900</v>
      </c>
      <c r="B1200" s="149" t="str">
        <f>IFERROR(VLOOKUP(Proc[[#This Row],[App]],Table2[],3,0),"open")</f>
        <v>ok</v>
      </c>
      <c r="C1200" s="72" t="s">
        <v>369</v>
      </c>
      <c r="D1200" t="s">
        <v>2908</v>
      </c>
      <c r="E1200" t="s">
        <v>3002</v>
      </c>
      <c r="F1200" s="117" t="s">
        <v>3002</v>
      </c>
      <c r="G1200" s="72" t="s">
        <v>400</v>
      </c>
      <c r="H1200" s="69" t="str">
        <f>IF(Proc[[#This Row],[type]]="LFF (MDG-F)",MID(Proc[[#This Row],[Obj]],13,10),"")</f>
        <v/>
      </c>
      <c r="J1200" s="69" t="b">
        <f>Proc[[#This Row],[Requested]]=Proc[[#This Row],[CurrentParent]]</f>
        <v>1</v>
      </c>
      <c r="K1200" s="144" t="str">
        <f>IF(Proc[[#This Row],[Author]]="Marcela Urrego",VLOOKUP(LEFT(Proc[[#This Row],[Requested]],1),Table3[#All],2,0),VLOOKUP(Proc[[#This Row],[Author]],Table4[],2,0))</f>
        <v>HC</v>
      </c>
      <c r="L1200" s="69" t="s">
        <v>2563</v>
      </c>
      <c r="M1200" s="79">
        <v>45782.702824074076</v>
      </c>
      <c r="N1200" s="79">
        <v>45790</v>
      </c>
      <c r="O1200" s="79">
        <v>45790</v>
      </c>
      <c r="P1200" s="80" t="str">
        <f ca="1">IF(Proc[[#This Row],[DaysAgeing]]&gt;5,"yep","on track")</f>
        <v>yep</v>
      </c>
      <c r="Q1200" s="3">
        <f ca="1">IF(Proc[[#This Row],[DateClosed]]="",ABS(NETWORKDAYS(Proc[[#This Row],[DateOpened]],TODAY()))-1,ABS(NETWORKDAYS(Proc[[#This Row],[DateOpened]],Proc[[#This Row],[DateClosed]]))-1)</f>
        <v>6</v>
      </c>
      <c r="R1200" s="80" t="s">
        <v>410</v>
      </c>
      <c r="S1200" s="69"/>
    </row>
    <row r="1201" spans="1:19" hidden="1">
      <c r="A1201" s="72" t="s">
        <v>2900</v>
      </c>
      <c r="B1201" s="149" t="str">
        <f>IFERROR(VLOOKUP(Proc[[#This Row],[App]],Table2[],3,0),"open")</f>
        <v>ok</v>
      </c>
      <c r="C1201" s="72" t="s">
        <v>369</v>
      </c>
      <c r="D1201" t="s">
        <v>2909</v>
      </c>
      <c r="E1201" t="s">
        <v>3002</v>
      </c>
      <c r="F1201" s="117" t="s">
        <v>3002</v>
      </c>
      <c r="G1201" s="72" t="s">
        <v>400</v>
      </c>
      <c r="H1201" s="69" t="str">
        <f>IF(Proc[[#This Row],[type]]="LFF (MDG-F)",MID(Proc[[#This Row],[Obj]],13,10),"")</f>
        <v/>
      </c>
      <c r="J1201" s="69" t="b">
        <f>Proc[[#This Row],[Requested]]=Proc[[#This Row],[CurrentParent]]</f>
        <v>1</v>
      </c>
      <c r="K1201" s="144" t="str">
        <f>IF(Proc[[#This Row],[Author]]="Marcela Urrego",VLOOKUP(LEFT(Proc[[#This Row],[Requested]],1),Table3[#All],2,0),VLOOKUP(Proc[[#This Row],[Author]],Table4[],2,0))</f>
        <v>HC</v>
      </c>
      <c r="L1201" s="69" t="s">
        <v>2563</v>
      </c>
      <c r="M1201" s="79">
        <v>45782.702824074076</v>
      </c>
      <c r="N1201" s="79">
        <v>45790</v>
      </c>
      <c r="O1201" s="79">
        <v>45790</v>
      </c>
      <c r="P1201" s="80" t="str">
        <f ca="1">IF(Proc[[#This Row],[DaysAgeing]]&gt;5,"yep","on track")</f>
        <v>yep</v>
      </c>
      <c r="Q1201" s="3">
        <f ca="1">IF(Proc[[#This Row],[DateClosed]]="",ABS(NETWORKDAYS(Proc[[#This Row],[DateOpened]],TODAY()))-1,ABS(NETWORKDAYS(Proc[[#This Row],[DateOpened]],Proc[[#This Row],[DateClosed]]))-1)</f>
        <v>6</v>
      </c>
      <c r="R1201" s="80" t="s">
        <v>410</v>
      </c>
      <c r="S1201" s="69"/>
    </row>
    <row r="1202" spans="1:19" hidden="1">
      <c r="A1202" s="72" t="s">
        <v>2900</v>
      </c>
      <c r="B1202" s="149" t="str">
        <f>IFERROR(VLOOKUP(Proc[[#This Row],[App]],Table2[],3,0),"open")</f>
        <v>ok</v>
      </c>
      <c r="C1202" s="72" t="s">
        <v>369</v>
      </c>
      <c r="D1202" t="s">
        <v>2910</v>
      </c>
      <c r="E1202" t="s">
        <v>3003</v>
      </c>
      <c r="F1202" s="117" t="s">
        <v>3003</v>
      </c>
      <c r="G1202" s="72" t="s">
        <v>400</v>
      </c>
      <c r="H1202" s="69" t="str">
        <f>IF(Proc[[#This Row],[type]]="LFF (MDG-F)",MID(Proc[[#This Row],[Obj]],13,10),"")</f>
        <v/>
      </c>
      <c r="J1202" s="69" t="b">
        <f>Proc[[#This Row],[Requested]]=Proc[[#This Row],[CurrentParent]]</f>
        <v>1</v>
      </c>
      <c r="K1202" s="144" t="str">
        <f>IF(Proc[[#This Row],[Author]]="Marcela Urrego",VLOOKUP(LEFT(Proc[[#This Row],[Requested]],1),Table3[#All],2,0),VLOOKUP(Proc[[#This Row],[Author]],Table4[],2,0))</f>
        <v>HC</v>
      </c>
      <c r="L1202" s="69" t="s">
        <v>2563</v>
      </c>
      <c r="M1202" s="79">
        <v>45782.702824074076</v>
      </c>
      <c r="N1202" s="79">
        <v>45790</v>
      </c>
      <c r="O1202" s="79">
        <v>45790</v>
      </c>
      <c r="P1202" s="80" t="str">
        <f ca="1">IF(Proc[[#This Row],[DaysAgeing]]&gt;5,"yep","on track")</f>
        <v>yep</v>
      </c>
      <c r="Q1202" s="3">
        <f ca="1">IF(Proc[[#This Row],[DateClosed]]="",ABS(NETWORKDAYS(Proc[[#This Row],[DateOpened]],TODAY()))-1,ABS(NETWORKDAYS(Proc[[#This Row],[DateOpened]],Proc[[#This Row],[DateClosed]]))-1)</f>
        <v>6</v>
      </c>
      <c r="R1202" s="80" t="s">
        <v>410</v>
      </c>
      <c r="S1202" s="69"/>
    </row>
    <row r="1203" spans="1:19" hidden="1">
      <c r="A1203" s="72" t="s">
        <v>2900</v>
      </c>
      <c r="B1203" s="149" t="str">
        <f>IFERROR(VLOOKUP(Proc[[#This Row],[App]],Table2[],3,0),"open")</f>
        <v>ok</v>
      </c>
      <c r="C1203" s="72" t="s">
        <v>369</v>
      </c>
      <c r="D1203" t="s">
        <v>2911</v>
      </c>
      <c r="E1203" t="s">
        <v>3003</v>
      </c>
      <c r="F1203" s="117" t="s">
        <v>3003</v>
      </c>
      <c r="G1203" s="72" t="s">
        <v>400</v>
      </c>
      <c r="H1203" s="69" t="str">
        <f>IF(Proc[[#This Row],[type]]="LFF (MDG-F)",MID(Proc[[#This Row],[Obj]],13,10),"")</f>
        <v/>
      </c>
      <c r="J1203" s="69" t="b">
        <f>Proc[[#This Row],[Requested]]=Proc[[#This Row],[CurrentParent]]</f>
        <v>1</v>
      </c>
      <c r="K1203" s="144" t="str">
        <f>IF(Proc[[#This Row],[Author]]="Marcela Urrego",VLOOKUP(LEFT(Proc[[#This Row],[Requested]],1),Table3[#All],2,0),VLOOKUP(Proc[[#This Row],[Author]],Table4[],2,0))</f>
        <v>HC</v>
      </c>
      <c r="L1203" s="69" t="s">
        <v>2563</v>
      </c>
      <c r="M1203" s="79">
        <v>45782.702824074076</v>
      </c>
      <c r="N1203" s="79">
        <v>45790</v>
      </c>
      <c r="O1203" s="79">
        <v>45790</v>
      </c>
      <c r="P1203" s="80" t="str">
        <f ca="1">IF(Proc[[#This Row],[DaysAgeing]]&gt;5,"yep","on track")</f>
        <v>yep</v>
      </c>
      <c r="Q1203" s="3">
        <f ca="1">IF(Proc[[#This Row],[DateClosed]]="",ABS(NETWORKDAYS(Proc[[#This Row],[DateOpened]],TODAY()))-1,ABS(NETWORKDAYS(Proc[[#This Row],[DateOpened]],Proc[[#This Row],[DateClosed]]))-1)</f>
        <v>6</v>
      </c>
      <c r="R1203" s="80" t="s">
        <v>410</v>
      </c>
      <c r="S1203" s="69"/>
    </row>
    <row r="1204" spans="1:19" hidden="1">
      <c r="A1204" s="72" t="s">
        <v>2900</v>
      </c>
      <c r="B1204" s="149" t="str">
        <f>IFERROR(VLOOKUP(Proc[[#This Row],[App]],Table2[],3,0),"open")</f>
        <v>ok</v>
      </c>
      <c r="C1204" s="72" t="s">
        <v>369</v>
      </c>
      <c r="D1204" t="s">
        <v>2912</v>
      </c>
      <c r="E1204" t="s">
        <v>3003</v>
      </c>
      <c r="F1204" s="117" t="s">
        <v>3003</v>
      </c>
      <c r="G1204" s="72" t="s">
        <v>400</v>
      </c>
      <c r="H1204" s="69" t="str">
        <f>IF(Proc[[#This Row],[type]]="LFF (MDG-F)",MID(Proc[[#This Row],[Obj]],13,10),"")</f>
        <v/>
      </c>
      <c r="J1204" s="69" t="b">
        <f>Proc[[#This Row],[Requested]]=Proc[[#This Row],[CurrentParent]]</f>
        <v>1</v>
      </c>
      <c r="K1204" s="144" t="str">
        <f>IF(Proc[[#This Row],[Author]]="Marcela Urrego",VLOOKUP(LEFT(Proc[[#This Row],[Requested]],1),Table3[#All],2,0),VLOOKUP(Proc[[#This Row],[Author]],Table4[],2,0))</f>
        <v>HC</v>
      </c>
      <c r="L1204" s="69" t="s">
        <v>2563</v>
      </c>
      <c r="M1204" s="79">
        <v>45782.702824074076</v>
      </c>
      <c r="N1204" s="79">
        <v>45790</v>
      </c>
      <c r="O1204" s="79">
        <v>45790</v>
      </c>
      <c r="P1204" s="80" t="str">
        <f ca="1">IF(Proc[[#This Row],[DaysAgeing]]&gt;5,"yep","on track")</f>
        <v>yep</v>
      </c>
      <c r="Q1204" s="3">
        <f ca="1">IF(Proc[[#This Row],[DateClosed]]="",ABS(NETWORKDAYS(Proc[[#This Row],[DateOpened]],TODAY()))-1,ABS(NETWORKDAYS(Proc[[#This Row],[DateOpened]],Proc[[#This Row],[DateClosed]]))-1)</f>
        <v>6</v>
      </c>
      <c r="R1204" s="80" t="s">
        <v>410</v>
      </c>
      <c r="S1204" s="69"/>
    </row>
    <row r="1205" spans="1:19" hidden="1">
      <c r="A1205" s="72" t="s">
        <v>2900</v>
      </c>
      <c r="B1205" s="149" t="str">
        <f>IFERROR(VLOOKUP(Proc[[#This Row],[App]],Table2[],3,0),"open")</f>
        <v>ok</v>
      </c>
      <c r="C1205" s="72" t="s">
        <v>369</v>
      </c>
      <c r="D1205" t="s">
        <v>2913</v>
      </c>
      <c r="E1205" t="s">
        <v>3003</v>
      </c>
      <c r="F1205" s="117" t="s">
        <v>3003</v>
      </c>
      <c r="G1205" s="72" t="s">
        <v>400</v>
      </c>
      <c r="H1205" s="69" t="str">
        <f>IF(Proc[[#This Row],[type]]="LFF (MDG-F)",MID(Proc[[#This Row],[Obj]],13,10),"")</f>
        <v/>
      </c>
      <c r="J1205" s="69" t="b">
        <f>Proc[[#This Row],[Requested]]=Proc[[#This Row],[CurrentParent]]</f>
        <v>1</v>
      </c>
      <c r="K1205" s="144" t="str">
        <f>IF(Proc[[#This Row],[Author]]="Marcela Urrego",VLOOKUP(LEFT(Proc[[#This Row],[Requested]],1),Table3[#All],2,0),VLOOKUP(Proc[[#This Row],[Author]],Table4[],2,0))</f>
        <v>HC</v>
      </c>
      <c r="L1205" s="69" t="s">
        <v>2563</v>
      </c>
      <c r="M1205" s="79">
        <v>45782.702824074076</v>
      </c>
      <c r="N1205" s="79">
        <v>45790</v>
      </c>
      <c r="O1205" s="79">
        <v>45790</v>
      </c>
      <c r="P1205" s="80" t="str">
        <f ca="1">IF(Proc[[#This Row],[DaysAgeing]]&gt;5,"yep","on track")</f>
        <v>yep</v>
      </c>
      <c r="Q1205" s="3">
        <f ca="1">IF(Proc[[#This Row],[DateClosed]]="",ABS(NETWORKDAYS(Proc[[#This Row],[DateOpened]],TODAY()))-1,ABS(NETWORKDAYS(Proc[[#This Row],[DateOpened]],Proc[[#This Row],[DateClosed]]))-1)</f>
        <v>6</v>
      </c>
      <c r="R1205" s="80" t="s">
        <v>410</v>
      </c>
      <c r="S1205" s="69"/>
    </row>
    <row r="1206" spans="1:19" hidden="1">
      <c r="A1206" s="72" t="s">
        <v>2900</v>
      </c>
      <c r="B1206" s="149" t="str">
        <f>IFERROR(VLOOKUP(Proc[[#This Row],[App]],Table2[],3,0),"open")</f>
        <v>ok</v>
      </c>
      <c r="C1206" s="72" t="s">
        <v>369</v>
      </c>
      <c r="D1206" t="s">
        <v>2914</v>
      </c>
      <c r="E1206" t="s">
        <v>3003</v>
      </c>
      <c r="F1206" s="117" t="s">
        <v>3003</v>
      </c>
      <c r="G1206" s="72" t="s">
        <v>400</v>
      </c>
      <c r="H1206" s="69" t="str">
        <f>IF(Proc[[#This Row],[type]]="LFF (MDG-F)",MID(Proc[[#This Row],[Obj]],13,10),"")</f>
        <v/>
      </c>
      <c r="J1206" s="69" t="b">
        <f>Proc[[#This Row],[Requested]]=Proc[[#This Row],[CurrentParent]]</f>
        <v>1</v>
      </c>
      <c r="K1206" s="144" t="str">
        <f>IF(Proc[[#This Row],[Author]]="Marcela Urrego",VLOOKUP(LEFT(Proc[[#This Row],[Requested]],1),Table3[#All],2,0),VLOOKUP(Proc[[#This Row],[Author]],Table4[],2,0))</f>
        <v>HC</v>
      </c>
      <c r="L1206" s="69" t="s">
        <v>2563</v>
      </c>
      <c r="M1206" s="79">
        <v>45782.702824074076</v>
      </c>
      <c r="N1206" s="79">
        <v>45790</v>
      </c>
      <c r="O1206" s="79">
        <v>45790</v>
      </c>
      <c r="P1206" s="80" t="str">
        <f ca="1">IF(Proc[[#This Row],[DaysAgeing]]&gt;5,"yep","on track")</f>
        <v>yep</v>
      </c>
      <c r="Q1206" s="3">
        <f ca="1">IF(Proc[[#This Row],[DateClosed]]="",ABS(NETWORKDAYS(Proc[[#This Row],[DateOpened]],TODAY()))-1,ABS(NETWORKDAYS(Proc[[#This Row],[DateOpened]],Proc[[#This Row],[DateClosed]]))-1)</f>
        <v>6</v>
      </c>
      <c r="R1206" s="80" t="s">
        <v>410</v>
      </c>
      <c r="S1206" s="69"/>
    </row>
    <row r="1207" spans="1:19" hidden="1">
      <c r="A1207" s="72" t="s">
        <v>2900</v>
      </c>
      <c r="B1207" s="149" t="str">
        <f>IFERROR(VLOOKUP(Proc[[#This Row],[App]],Table2[],3,0),"open")</f>
        <v>ok</v>
      </c>
      <c r="C1207" s="72" t="s">
        <v>369</v>
      </c>
      <c r="D1207" t="s">
        <v>2915</v>
      </c>
      <c r="E1207" t="s">
        <v>3003</v>
      </c>
      <c r="F1207" s="117" t="s">
        <v>3003</v>
      </c>
      <c r="G1207" s="72" t="s">
        <v>400</v>
      </c>
      <c r="H1207" s="69" t="str">
        <f>IF(Proc[[#This Row],[type]]="LFF (MDG-F)",MID(Proc[[#This Row],[Obj]],13,10),"")</f>
        <v/>
      </c>
      <c r="J1207" s="69" t="b">
        <f>Proc[[#This Row],[Requested]]=Proc[[#This Row],[CurrentParent]]</f>
        <v>1</v>
      </c>
      <c r="K1207" s="144" t="str">
        <f>IF(Proc[[#This Row],[Author]]="Marcela Urrego",VLOOKUP(LEFT(Proc[[#This Row],[Requested]],1),Table3[#All],2,0),VLOOKUP(Proc[[#This Row],[Author]],Table4[],2,0))</f>
        <v>HC</v>
      </c>
      <c r="L1207" s="69" t="s">
        <v>2563</v>
      </c>
      <c r="M1207" s="79">
        <v>45782.702824074076</v>
      </c>
      <c r="N1207" s="79">
        <v>45790</v>
      </c>
      <c r="O1207" s="79">
        <v>45790</v>
      </c>
      <c r="P1207" s="80" t="str">
        <f ca="1">IF(Proc[[#This Row],[DaysAgeing]]&gt;5,"yep","on track")</f>
        <v>yep</v>
      </c>
      <c r="Q1207" s="3">
        <f ca="1">IF(Proc[[#This Row],[DateClosed]]="",ABS(NETWORKDAYS(Proc[[#This Row],[DateOpened]],TODAY()))-1,ABS(NETWORKDAYS(Proc[[#This Row],[DateOpened]],Proc[[#This Row],[DateClosed]]))-1)</f>
        <v>6</v>
      </c>
      <c r="R1207" s="80" t="s">
        <v>410</v>
      </c>
      <c r="S1207" s="69"/>
    </row>
    <row r="1208" spans="1:19" hidden="1">
      <c r="A1208" s="72" t="s">
        <v>2900</v>
      </c>
      <c r="B1208" s="149" t="str">
        <f>IFERROR(VLOOKUP(Proc[[#This Row],[App]],Table2[],3,0),"open")</f>
        <v>ok</v>
      </c>
      <c r="C1208" s="72" t="s">
        <v>369</v>
      </c>
      <c r="D1208" t="s">
        <v>2916</v>
      </c>
      <c r="E1208" t="s">
        <v>3003</v>
      </c>
      <c r="F1208" s="117" t="s">
        <v>3003</v>
      </c>
      <c r="G1208" s="72" t="s">
        <v>400</v>
      </c>
      <c r="H1208" s="69" t="str">
        <f>IF(Proc[[#This Row],[type]]="LFF (MDG-F)",MID(Proc[[#This Row],[Obj]],13,10),"")</f>
        <v/>
      </c>
      <c r="J1208" s="69" t="b">
        <f>Proc[[#This Row],[Requested]]=Proc[[#This Row],[CurrentParent]]</f>
        <v>1</v>
      </c>
      <c r="K1208" s="144" t="str">
        <f>IF(Proc[[#This Row],[Author]]="Marcela Urrego",VLOOKUP(LEFT(Proc[[#This Row],[Requested]],1),Table3[#All],2,0),VLOOKUP(Proc[[#This Row],[Author]],Table4[],2,0))</f>
        <v>HC</v>
      </c>
      <c r="L1208" s="69" t="s">
        <v>2563</v>
      </c>
      <c r="M1208" s="79">
        <v>45782.702824074076</v>
      </c>
      <c r="N1208" s="79">
        <v>45790</v>
      </c>
      <c r="O1208" s="79">
        <v>45790</v>
      </c>
      <c r="P1208" s="80" t="str">
        <f ca="1">IF(Proc[[#This Row],[DaysAgeing]]&gt;5,"yep","on track")</f>
        <v>yep</v>
      </c>
      <c r="Q1208" s="3">
        <f ca="1">IF(Proc[[#This Row],[DateClosed]]="",ABS(NETWORKDAYS(Proc[[#This Row],[DateOpened]],TODAY()))-1,ABS(NETWORKDAYS(Proc[[#This Row],[DateOpened]],Proc[[#This Row],[DateClosed]]))-1)</f>
        <v>6</v>
      </c>
      <c r="R1208" s="80" t="s">
        <v>410</v>
      </c>
      <c r="S1208" s="69"/>
    </row>
    <row r="1209" spans="1:19" hidden="1">
      <c r="A1209" s="72" t="s">
        <v>2900</v>
      </c>
      <c r="B1209" s="149" t="str">
        <f>IFERROR(VLOOKUP(Proc[[#This Row],[App]],Table2[],3,0),"open")</f>
        <v>ok</v>
      </c>
      <c r="C1209" s="72" t="s">
        <v>369</v>
      </c>
      <c r="D1209" t="s">
        <v>2917</v>
      </c>
      <c r="E1209" t="s">
        <v>3003</v>
      </c>
      <c r="F1209" s="117" t="s">
        <v>3003</v>
      </c>
      <c r="G1209" s="72" t="s">
        <v>400</v>
      </c>
      <c r="H1209" s="69" t="str">
        <f>IF(Proc[[#This Row],[type]]="LFF (MDG-F)",MID(Proc[[#This Row],[Obj]],13,10),"")</f>
        <v/>
      </c>
      <c r="J1209" s="69" t="b">
        <f>Proc[[#This Row],[Requested]]=Proc[[#This Row],[CurrentParent]]</f>
        <v>1</v>
      </c>
      <c r="K1209" s="144" t="str">
        <f>IF(Proc[[#This Row],[Author]]="Marcela Urrego",VLOOKUP(LEFT(Proc[[#This Row],[Requested]],1),Table3[#All],2,0),VLOOKUP(Proc[[#This Row],[Author]],Table4[],2,0))</f>
        <v>HC</v>
      </c>
      <c r="L1209" s="69" t="s">
        <v>2563</v>
      </c>
      <c r="M1209" s="79">
        <v>45782.702824074076</v>
      </c>
      <c r="N1209" s="79">
        <v>45790</v>
      </c>
      <c r="O1209" s="79">
        <v>45790</v>
      </c>
      <c r="P1209" s="80" t="str">
        <f ca="1">IF(Proc[[#This Row],[DaysAgeing]]&gt;5,"yep","on track")</f>
        <v>yep</v>
      </c>
      <c r="Q1209" s="3">
        <f ca="1">IF(Proc[[#This Row],[DateClosed]]="",ABS(NETWORKDAYS(Proc[[#This Row],[DateOpened]],TODAY()))-1,ABS(NETWORKDAYS(Proc[[#This Row],[DateOpened]],Proc[[#This Row],[DateClosed]]))-1)</f>
        <v>6</v>
      </c>
      <c r="R1209" s="80" t="s">
        <v>410</v>
      </c>
      <c r="S1209" s="69"/>
    </row>
    <row r="1210" spans="1:19" hidden="1">
      <c r="A1210" s="72" t="s">
        <v>2900</v>
      </c>
      <c r="B1210" s="149" t="str">
        <f>IFERROR(VLOOKUP(Proc[[#This Row],[App]],Table2[],3,0),"open")</f>
        <v>ok</v>
      </c>
      <c r="C1210" s="72" t="s">
        <v>369</v>
      </c>
      <c r="D1210" t="s">
        <v>2918</v>
      </c>
      <c r="E1210" t="s">
        <v>3003</v>
      </c>
      <c r="F1210" s="117" t="s">
        <v>3003</v>
      </c>
      <c r="G1210" s="72" t="s">
        <v>400</v>
      </c>
      <c r="H1210" s="69" t="str">
        <f>IF(Proc[[#This Row],[type]]="LFF (MDG-F)",MID(Proc[[#This Row],[Obj]],13,10),"")</f>
        <v/>
      </c>
      <c r="J1210" s="69" t="b">
        <f>Proc[[#This Row],[Requested]]=Proc[[#This Row],[CurrentParent]]</f>
        <v>1</v>
      </c>
      <c r="K1210" s="144" t="str">
        <f>IF(Proc[[#This Row],[Author]]="Marcela Urrego",VLOOKUP(LEFT(Proc[[#This Row],[Requested]],1),Table3[#All],2,0),VLOOKUP(Proc[[#This Row],[Author]],Table4[],2,0))</f>
        <v>HC</v>
      </c>
      <c r="L1210" s="69" t="s">
        <v>2563</v>
      </c>
      <c r="M1210" s="79">
        <v>45782.702824074076</v>
      </c>
      <c r="N1210" s="79">
        <v>45790</v>
      </c>
      <c r="O1210" s="79">
        <v>45790</v>
      </c>
      <c r="P1210" s="80" t="str">
        <f ca="1">IF(Proc[[#This Row],[DaysAgeing]]&gt;5,"yep","on track")</f>
        <v>yep</v>
      </c>
      <c r="Q1210" s="3">
        <f ca="1">IF(Proc[[#This Row],[DateClosed]]="",ABS(NETWORKDAYS(Proc[[#This Row],[DateOpened]],TODAY()))-1,ABS(NETWORKDAYS(Proc[[#This Row],[DateOpened]],Proc[[#This Row],[DateClosed]]))-1)</f>
        <v>6</v>
      </c>
      <c r="R1210" s="80" t="s">
        <v>410</v>
      </c>
      <c r="S1210" s="69"/>
    </row>
    <row r="1211" spans="1:19" hidden="1">
      <c r="A1211" s="72" t="s">
        <v>2900</v>
      </c>
      <c r="B1211" s="149" t="str">
        <f>IFERROR(VLOOKUP(Proc[[#This Row],[App]],Table2[],3,0),"open")</f>
        <v>ok</v>
      </c>
      <c r="C1211" s="72" t="s">
        <v>369</v>
      </c>
      <c r="D1211" t="s">
        <v>2919</v>
      </c>
      <c r="E1211" t="s">
        <v>3003</v>
      </c>
      <c r="F1211" s="117" t="s">
        <v>3003</v>
      </c>
      <c r="G1211" s="72" t="s">
        <v>400</v>
      </c>
      <c r="H1211" s="69" t="str">
        <f>IF(Proc[[#This Row],[type]]="LFF (MDG-F)",MID(Proc[[#This Row],[Obj]],13,10),"")</f>
        <v/>
      </c>
      <c r="J1211" s="69" t="b">
        <f>Proc[[#This Row],[Requested]]=Proc[[#This Row],[CurrentParent]]</f>
        <v>1</v>
      </c>
      <c r="K1211" s="144" t="str">
        <f>IF(Proc[[#This Row],[Author]]="Marcela Urrego",VLOOKUP(LEFT(Proc[[#This Row],[Requested]],1),Table3[#All],2,0),VLOOKUP(Proc[[#This Row],[Author]],Table4[],2,0))</f>
        <v>HC</v>
      </c>
      <c r="L1211" s="69" t="s">
        <v>2563</v>
      </c>
      <c r="M1211" s="79">
        <v>45782.702824074076</v>
      </c>
      <c r="N1211" s="79">
        <v>45790</v>
      </c>
      <c r="O1211" s="79">
        <v>45790</v>
      </c>
      <c r="P1211" s="80" t="str">
        <f ca="1">IF(Proc[[#This Row],[DaysAgeing]]&gt;5,"yep","on track")</f>
        <v>yep</v>
      </c>
      <c r="Q1211" s="3">
        <f ca="1">IF(Proc[[#This Row],[DateClosed]]="",ABS(NETWORKDAYS(Proc[[#This Row],[DateOpened]],TODAY()))-1,ABS(NETWORKDAYS(Proc[[#This Row],[DateOpened]],Proc[[#This Row],[DateClosed]]))-1)</f>
        <v>6</v>
      </c>
      <c r="R1211" s="80" t="s">
        <v>410</v>
      </c>
      <c r="S1211" s="69"/>
    </row>
    <row r="1212" spans="1:19" hidden="1">
      <c r="A1212" s="72" t="s">
        <v>2900</v>
      </c>
      <c r="B1212" s="149" t="str">
        <f>IFERROR(VLOOKUP(Proc[[#This Row],[App]],Table2[],3,0),"open")</f>
        <v>ok</v>
      </c>
      <c r="C1212" s="72" t="s">
        <v>369</v>
      </c>
      <c r="D1212" t="s">
        <v>2920</v>
      </c>
      <c r="E1212" t="s">
        <v>3003</v>
      </c>
      <c r="F1212" s="117" t="s">
        <v>3003</v>
      </c>
      <c r="G1212" s="72" t="s">
        <v>400</v>
      </c>
      <c r="H1212" s="69" t="str">
        <f>IF(Proc[[#This Row],[type]]="LFF (MDG-F)",MID(Proc[[#This Row],[Obj]],13,10),"")</f>
        <v/>
      </c>
      <c r="J1212" s="69" t="b">
        <f>Proc[[#This Row],[Requested]]=Proc[[#This Row],[CurrentParent]]</f>
        <v>1</v>
      </c>
      <c r="K1212" s="144" t="str">
        <f>IF(Proc[[#This Row],[Author]]="Marcela Urrego",VLOOKUP(LEFT(Proc[[#This Row],[Requested]],1),Table3[#All],2,0),VLOOKUP(Proc[[#This Row],[Author]],Table4[],2,0))</f>
        <v>HC</v>
      </c>
      <c r="L1212" s="69" t="s">
        <v>2563</v>
      </c>
      <c r="M1212" s="79">
        <v>45782.702824074076</v>
      </c>
      <c r="N1212" s="79">
        <v>45790</v>
      </c>
      <c r="O1212" s="79">
        <v>45790</v>
      </c>
      <c r="P1212" s="80" t="str">
        <f ca="1">IF(Proc[[#This Row],[DaysAgeing]]&gt;5,"yep","on track")</f>
        <v>yep</v>
      </c>
      <c r="Q1212" s="3">
        <f ca="1">IF(Proc[[#This Row],[DateClosed]]="",ABS(NETWORKDAYS(Proc[[#This Row],[DateOpened]],TODAY()))-1,ABS(NETWORKDAYS(Proc[[#This Row],[DateOpened]],Proc[[#This Row],[DateClosed]]))-1)</f>
        <v>6</v>
      </c>
      <c r="R1212" s="80" t="s">
        <v>410</v>
      </c>
      <c r="S1212" s="69"/>
    </row>
    <row r="1213" spans="1:19" hidden="1">
      <c r="A1213" s="72" t="s">
        <v>2900</v>
      </c>
      <c r="B1213" s="149" t="str">
        <f>IFERROR(VLOOKUP(Proc[[#This Row],[App]],Table2[],3,0),"open")</f>
        <v>ok</v>
      </c>
      <c r="C1213" s="72" t="s">
        <v>369</v>
      </c>
      <c r="D1213" t="s">
        <v>2921</v>
      </c>
      <c r="E1213" t="s">
        <v>3003</v>
      </c>
      <c r="F1213" s="117" t="s">
        <v>3003</v>
      </c>
      <c r="G1213" s="72" t="s">
        <v>400</v>
      </c>
      <c r="H1213" s="69" t="str">
        <f>IF(Proc[[#This Row],[type]]="LFF (MDG-F)",MID(Proc[[#This Row],[Obj]],13,10),"")</f>
        <v/>
      </c>
      <c r="J1213" s="69" t="b">
        <f>Proc[[#This Row],[Requested]]=Proc[[#This Row],[CurrentParent]]</f>
        <v>1</v>
      </c>
      <c r="K1213" s="144" t="str">
        <f>IF(Proc[[#This Row],[Author]]="Marcela Urrego",VLOOKUP(LEFT(Proc[[#This Row],[Requested]],1),Table3[#All],2,0),VLOOKUP(Proc[[#This Row],[Author]],Table4[],2,0))</f>
        <v>HC</v>
      </c>
      <c r="L1213" s="69" t="s">
        <v>2563</v>
      </c>
      <c r="M1213" s="79">
        <v>45782.702824074076</v>
      </c>
      <c r="N1213" s="79">
        <v>45790</v>
      </c>
      <c r="O1213" s="79">
        <v>45790</v>
      </c>
      <c r="P1213" s="80" t="str">
        <f ca="1">IF(Proc[[#This Row],[DaysAgeing]]&gt;5,"yep","on track")</f>
        <v>yep</v>
      </c>
      <c r="Q1213" s="3">
        <f ca="1">IF(Proc[[#This Row],[DateClosed]]="",ABS(NETWORKDAYS(Proc[[#This Row],[DateOpened]],TODAY()))-1,ABS(NETWORKDAYS(Proc[[#This Row],[DateOpened]],Proc[[#This Row],[DateClosed]]))-1)</f>
        <v>6</v>
      </c>
      <c r="R1213" s="80" t="s">
        <v>410</v>
      </c>
      <c r="S1213" s="69"/>
    </row>
    <row r="1214" spans="1:19" hidden="1">
      <c r="A1214" s="72" t="s">
        <v>2900</v>
      </c>
      <c r="B1214" s="149" t="str">
        <f>IFERROR(VLOOKUP(Proc[[#This Row],[App]],Table2[],3,0),"open")</f>
        <v>ok</v>
      </c>
      <c r="C1214" s="72" t="s">
        <v>369</v>
      </c>
      <c r="D1214" t="s">
        <v>2922</v>
      </c>
      <c r="E1214" t="s">
        <v>3003</v>
      </c>
      <c r="F1214" s="117" t="s">
        <v>3003</v>
      </c>
      <c r="G1214" s="72" t="s">
        <v>400</v>
      </c>
      <c r="H1214" s="69" t="str">
        <f>IF(Proc[[#This Row],[type]]="LFF (MDG-F)",MID(Proc[[#This Row],[Obj]],13,10),"")</f>
        <v/>
      </c>
      <c r="J1214" s="69" t="b">
        <f>Proc[[#This Row],[Requested]]=Proc[[#This Row],[CurrentParent]]</f>
        <v>1</v>
      </c>
      <c r="K1214" s="144" t="str">
        <f>IF(Proc[[#This Row],[Author]]="Marcela Urrego",VLOOKUP(LEFT(Proc[[#This Row],[Requested]],1),Table3[#All],2,0),VLOOKUP(Proc[[#This Row],[Author]],Table4[],2,0))</f>
        <v>HC</v>
      </c>
      <c r="L1214" s="69" t="s">
        <v>2563</v>
      </c>
      <c r="M1214" s="79">
        <v>45782.702824074076</v>
      </c>
      <c r="N1214" s="79">
        <v>45790</v>
      </c>
      <c r="O1214" s="79">
        <v>45790</v>
      </c>
      <c r="P1214" s="80" t="str">
        <f ca="1">IF(Proc[[#This Row],[DaysAgeing]]&gt;5,"yep","on track")</f>
        <v>yep</v>
      </c>
      <c r="Q1214" s="3">
        <f ca="1">IF(Proc[[#This Row],[DateClosed]]="",ABS(NETWORKDAYS(Proc[[#This Row],[DateOpened]],TODAY()))-1,ABS(NETWORKDAYS(Proc[[#This Row],[DateOpened]],Proc[[#This Row],[DateClosed]]))-1)</f>
        <v>6</v>
      </c>
      <c r="R1214" s="80" t="s">
        <v>410</v>
      </c>
      <c r="S1214" s="69"/>
    </row>
    <row r="1215" spans="1:19" hidden="1">
      <c r="A1215" s="72" t="s">
        <v>2900</v>
      </c>
      <c r="B1215" s="149" t="str">
        <f>IFERROR(VLOOKUP(Proc[[#This Row],[App]],Table2[],3,0),"open")</f>
        <v>ok</v>
      </c>
      <c r="C1215" s="72" t="s">
        <v>369</v>
      </c>
      <c r="D1215" t="s">
        <v>2923</v>
      </c>
      <c r="E1215" t="s">
        <v>3004</v>
      </c>
      <c r="F1215" s="117" t="s">
        <v>3004</v>
      </c>
      <c r="G1215" s="72" t="s">
        <v>400</v>
      </c>
      <c r="H1215" s="69" t="str">
        <f>IF(Proc[[#This Row],[type]]="LFF (MDG-F)",MID(Proc[[#This Row],[Obj]],13,10),"")</f>
        <v/>
      </c>
      <c r="J1215" s="69" t="b">
        <f>Proc[[#This Row],[Requested]]=Proc[[#This Row],[CurrentParent]]</f>
        <v>1</v>
      </c>
      <c r="K1215" s="144" t="str">
        <f>IF(Proc[[#This Row],[Author]]="Marcela Urrego",VLOOKUP(LEFT(Proc[[#This Row],[Requested]],1),Table3[#All],2,0),VLOOKUP(Proc[[#This Row],[Author]],Table4[],2,0))</f>
        <v>HC</v>
      </c>
      <c r="L1215" s="69" t="s">
        <v>2563</v>
      </c>
      <c r="M1215" s="79">
        <v>45782.702824074076</v>
      </c>
      <c r="N1215" s="79">
        <v>45790</v>
      </c>
      <c r="O1215" s="79">
        <v>45790</v>
      </c>
      <c r="P1215" s="80" t="str">
        <f ca="1">IF(Proc[[#This Row],[DaysAgeing]]&gt;5,"yep","on track")</f>
        <v>yep</v>
      </c>
      <c r="Q1215" s="3">
        <f ca="1">IF(Proc[[#This Row],[DateClosed]]="",ABS(NETWORKDAYS(Proc[[#This Row],[DateOpened]],TODAY()))-1,ABS(NETWORKDAYS(Proc[[#This Row],[DateOpened]],Proc[[#This Row],[DateClosed]]))-1)</f>
        <v>6</v>
      </c>
      <c r="R1215" s="80" t="s">
        <v>410</v>
      </c>
      <c r="S1215" s="69"/>
    </row>
    <row r="1216" spans="1:19" hidden="1">
      <c r="A1216" s="72" t="s">
        <v>2900</v>
      </c>
      <c r="B1216" s="149" t="str">
        <f>IFERROR(VLOOKUP(Proc[[#This Row],[App]],Table2[],3,0),"open")</f>
        <v>ok</v>
      </c>
      <c r="C1216" s="72" t="s">
        <v>369</v>
      </c>
      <c r="D1216" t="s">
        <v>2924</v>
      </c>
      <c r="E1216" t="s">
        <v>3004</v>
      </c>
      <c r="F1216" s="117" t="s">
        <v>3004</v>
      </c>
      <c r="G1216" s="72" t="s">
        <v>400</v>
      </c>
      <c r="H1216" s="69" t="str">
        <f>IF(Proc[[#This Row],[type]]="LFF (MDG-F)",MID(Proc[[#This Row],[Obj]],13,10),"")</f>
        <v/>
      </c>
      <c r="J1216" s="69" t="b">
        <f>Proc[[#This Row],[Requested]]=Proc[[#This Row],[CurrentParent]]</f>
        <v>1</v>
      </c>
      <c r="K1216" s="144" t="str">
        <f>IF(Proc[[#This Row],[Author]]="Marcela Urrego",VLOOKUP(LEFT(Proc[[#This Row],[Requested]],1),Table3[#All],2,0),VLOOKUP(Proc[[#This Row],[Author]],Table4[],2,0))</f>
        <v>HC</v>
      </c>
      <c r="L1216" s="69" t="s">
        <v>2563</v>
      </c>
      <c r="M1216" s="79">
        <v>45782.702824074076</v>
      </c>
      <c r="N1216" s="79">
        <v>45790</v>
      </c>
      <c r="O1216" s="79">
        <v>45790</v>
      </c>
      <c r="P1216" s="80" t="str">
        <f ca="1">IF(Proc[[#This Row],[DaysAgeing]]&gt;5,"yep","on track")</f>
        <v>yep</v>
      </c>
      <c r="Q1216" s="3">
        <f ca="1">IF(Proc[[#This Row],[DateClosed]]="",ABS(NETWORKDAYS(Proc[[#This Row],[DateOpened]],TODAY()))-1,ABS(NETWORKDAYS(Proc[[#This Row],[DateOpened]],Proc[[#This Row],[DateClosed]]))-1)</f>
        <v>6</v>
      </c>
      <c r="R1216" s="80" t="s">
        <v>410</v>
      </c>
      <c r="S1216" s="69"/>
    </row>
    <row r="1217" spans="1:19" hidden="1">
      <c r="A1217" s="72" t="s">
        <v>2900</v>
      </c>
      <c r="B1217" s="149" t="str">
        <f>IFERROR(VLOOKUP(Proc[[#This Row],[App]],Table2[],3,0),"open")</f>
        <v>ok</v>
      </c>
      <c r="C1217" s="72" t="s">
        <v>369</v>
      </c>
      <c r="D1217" t="s">
        <v>2925</v>
      </c>
      <c r="E1217" t="s">
        <v>3004</v>
      </c>
      <c r="F1217" s="117" t="s">
        <v>3004</v>
      </c>
      <c r="G1217" s="72" t="s">
        <v>400</v>
      </c>
      <c r="H1217" s="69" t="str">
        <f>IF(Proc[[#This Row],[type]]="LFF (MDG-F)",MID(Proc[[#This Row],[Obj]],13,10),"")</f>
        <v/>
      </c>
      <c r="J1217" s="69" t="b">
        <f>Proc[[#This Row],[Requested]]=Proc[[#This Row],[CurrentParent]]</f>
        <v>1</v>
      </c>
      <c r="K1217" s="144" t="str">
        <f>IF(Proc[[#This Row],[Author]]="Marcela Urrego",VLOOKUP(LEFT(Proc[[#This Row],[Requested]],1),Table3[#All],2,0),VLOOKUP(Proc[[#This Row],[Author]],Table4[],2,0))</f>
        <v>HC</v>
      </c>
      <c r="L1217" s="69" t="s">
        <v>2563</v>
      </c>
      <c r="M1217" s="79">
        <v>45782.702824074076</v>
      </c>
      <c r="N1217" s="79">
        <v>45790</v>
      </c>
      <c r="O1217" s="79">
        <v>45790</v>
      </c>
      <c r="P1217" s="80" t="str">
        <f ca="1">IF(Proc[[#This Row],[DaysAgeing]]&gt;5,"yep","on track")</f>
        <v>yep</v>
      </c>
      <c r="Q1217" s="3">
        <f ca="1">IF(Proc[[#This Row],[DateClosed]]="",ABS(NETWORKDAYS(Proc[[#This Row],[DateOpened]],TODAY()))-1,ABS(NETWORKDAYS(Proc[[#This Row],[DateOpened]],Proc[[#This Row],[DateClosed]]))-1)</f>
        <v>6</v>
      </c>
      <c r="R1217" s="80" t="s">
        <v>410</v>
      </c>
      <c r="S1217" s="69"/>
    </row>
    <row r="1218" spans="1:19" hidden="1">
      <c r="A1218" s="72" t="s">
        <v>2900</v>
      </c>
      <c r="B1218" s="149" t="str">
        <f>IFERROR(VLOOKUP(Proc[[#This Row],[App]],Table2[],3,0),"open")</f>
        <v>ok</v>
      </c>
      <c r="C1218" s="72" t="s">
        <v>369</v>
      </c>
      <c r="D1218" t="s">
        <v>2926</v>
      </c>
      <c r="E1218" t="s">
        <v>3004</v>
      </c>
      <c r="F1218" s="117" t="s">
        <v>3004</v>
      </c>
      <c r="G1218" s="72" t="s">
        <v>400</v>
      </c>
      <c r="H1218" s="69" t="str">
        <f>IF(Proc[[#This Row],[type]]="LFF (MDG-F)",MID(Proc[[#This Row],[Obj]],13,10),"")</f>
        <v/>
      </c>
      <c r="J1218" s="69" t="b">
        <f>Proc[[#This Row],[Requested]]=Proc[[#This Row],[CurrentParent]]</f>
        <v>1</v>
      </c>
      <c r="K1218" s="144" t="str">
        <f>IF(Proc[[#This Row],[Author]]="Marcela Urrego",VLOOKUP(LEFT(Proc[[#This Row],[Requested]],1),Table3[#All],2,0),VLOOKUP(Proc[[#This Row],[Author]],Table4[],2,0))</f>
        <v>HC</v>
      </c>
      <c r="L1218" s="69" t="s">
        <v>2563</v>
      </c>
      <c r="M1218" s="79">
        <v>45782.702824074076</v>
      </c>
      <c r="N1218" s="79">
        <v>45790</v>
      </c>
      <c r="O1218" s="79">
        <v>45790</v>
      </c>
      <c r="P1218" s="80" t="str">
        <f ca="1">IF(Proc[[#This Row],[DaysAgeing]]&gt;5,"yep","on track")</f>
        <v>yep</v>
      </c>
      <c r="Q1218" s="3">
        <f ca="1">IF(Proc[[#This Row],[DateClosed]]="",ABS(NETWORKDAYS(Proc[[#This Row],[DateOpened]],TODAY()))-1,ABS(NETWORKDAYS(Proc[[#This Row],[DateOpened]],Proc[[#This Row],[DateClosed]]))-1)</f>
        <v>6</v>
      </c>
      <c r="R1218" s="80" t="s">
        <v>410</v>
      </c>
      <c r="S1218" s="69"/>
    </row>
    <row r="1219" spans="1:19" hidden="1">
      <c r="A1219" s="72" t="s">
        <v>2900</v>
      </c>
      <c r="B1219" s="149" t="str">
        <f>IFERROR(VLOOKUP(Proc[[#This Row],[App]],Table2[],3,0),"open")</f>
        <v>ok</v>
      </c>
      <c r="C1219" s="72" t="s">
        <v>369</v>
      </c>
      <c r="D1219" t="s">
        <v>2927</v>
      </c>
      <c r="E1219" t="s">
        <v>3004</v>
      </c>
      <c r="F1219" s="117" t="s">
        <v>3004</v>
      </c>
      <c r="G1219" s="72" t="s">
        <v>400</v>
      </c>
      <c r="H1219" s="69" t="str">
        <f>IF(Proc[[#This Row],[type]]="LFF (MDG-F)",MID(Proc[[#This Row],[Obj]],13,10),"")</f>
        <v/>
      </c>
      <c r="J1219" s="69" t="b">
        <f>Proc[[#This Row],[Requested]]=Proc[[#This Row],[CurrentParent]]</f>
        <v>1</v>
      </c>
      <c r="K1219" s="144" t="str">
        <f>IF(Proc[[#This Row],[Author]]="Marcela Urrego",VLOOKUP(LEFT(Proc[[#This Row],[Requested]],1),Table3[#All],2,0),VLOOKUP(Proc[[#This Row],[Author]],Table4[],2,0))</f>
        <v>HC</v>
      </c>
      <c r="L1219" s="69" t="s">
        <v>2563</v>
      </c>
      <c r="M1219" s="79">
        <v>45782.702824074076</v>
      </c>
      <c r="N1219" s="79">
        <v>45790</v>
      </c>
      <c r="O1219" s="79">
        <v>45790</v>
      </c>
      <c r="P1219" s="80" t="str">
        <f ca="1">IF(Proc[[#This Row],[DaysAgeing]]&gt;5,"yep","on track")</f>
        <v>yep</v>
      </c>
      <c r="Q1219" s="3">
        <f ca="1">IF(Proc[[#This Row],[DateClosed]]="",ABS(NETWORKDAYS(Proc[[#This Row],[DateOpened]],TODAY()))-1,ABS(NETWORKDAYS(Proc[[#This Row],[DateOpened]],Proc[[#This Row],[DateClosed]]))-1)</f>
        <v>6</v>
      </c>
      <c r="R1219" s="80" t="s">
        <v>410</v>
      </c>
      <c r="S1219" s="69"/>
    </row>
    <row r="1220" spans="1:19" hidden="1">
      <c r="A1220" s="72" t="s">
        <v>2900</v>
      </c>
      <c r="B1220" s="149" t="str">
        <f>IFERROR(VLOOKUP(Proc[[#This Row],[App]],Table2[],3,0),"open")</f>
        <v>ok</v>
      </c>
      <c r="C1220" s="72" t="s">
        <v>369</v>
      </c>
      <c r="D1220" t="s">
        <v>2928</v>
      </c>
      <c r="E1220" t="s">
        <v>3005</v>
      </c>
      <c r="F1220" s="117" t="s">
        <v>3005</v>
      </c>
      <c r="G1220" s="72" t="s">
        <v>400</v>
      </c>
      <c r="H1220" s="69" t="str">
        <f>IF(Proc[[#This Row],[type]]="LFF (MDG-F)",MID(Proc[[#This Row],[Obj]],13,10),"")</f>
        <v/>
      </c>
      <c r="J1220" s="69" t="b">
        <f>Proc[[#This Row],[Requested]]=Proc[[#This Row],[CurrentParent]]</f>
        <v>1</v>
      </c>
      <c r="K1220" s="144" t="str">
        <f>IF(Proc[[#This Row],[Author]]="Marcela Urrego",VLOOKUP(LEFT(Proc[[#This Row],[Requested]],1),Table3[#All],2,0),VLOOKUP(Proc[[#This Row],[Author]],Table4[],2,0))</f>
        <v>HC</v>
      </c>
      <c r="L1220" s="69" t="s">
        <v>2563</v>
      </c>
      <c r="M1220" s="79">
        <v>45782.702824074076</v>
      </c>
      <c r="N1220" s="79">
        <v>45790</v>
      </c>
      <c r="O1220" s="79">
        <v>45790</v>
      </c>
      <c r="P1220" s="80" t="str">
        <f ca="1">IF(Proc[[#This Row],[DaysAgeing]]&gt;5,"yep","on track")</f>
        <v>yep</v>
      </c>
      <c r="Q1220" s="3">
        <f ca="1">IF(Proc[[#This Row],[DateClosed]]="",ABS(NETWORKDAYS(Proc[[#This Row],[DateOpened]],TODAY()))-1,ABS(NETWORKDAYS(Proc[[#This Row],[DateOpened]],Proc[[#This Row],[DateClosed]]))-1)</f>
        <v>6</v>
      </c>
      <c r="R1220" s="80" t="s">
        <v>410</v>
      </c>
      <c r="S1220" s="69"/>
    </row>
    <row r="1221" spans="1:19" hidden="1">
      <c r="A1221" s="72" t="s">
        <v>2900</v>
      </c>
      <c r="B1221" s="149" t="str">
        <f>IFERROR(VLOOKUP(Proc[[#This Row],[App]],Table2[],3,0),"open")</f>
        <v>ok</v>
      </c>
      <c r="C1221" s="72" t="s">
        <v>369</v>
      </c>
      <c r="D1221" t="s">
        <v>2929</v>
      </c>
      <c r="E1221" t="s">
        <v>3005</v>
      </c>
      <c r="F1221" s="117" t="s">
        <v>3005</v>
      </c>
      <c r="G1221" s="72" t="s">
        <v>400</v>
      </c>
      <c r="H1221" s="69" t="str">
        <f>IF(Proc[[#This Row],[type]]="LFF (MDG-F)",MID(Proc[[#This Row],[Obj]],13,10),"")</f>
        <v/>
      </c>
      <c r="J1221" s="69" t="b">
        <f>Proc[[#This Row],[Requested]]=Proc[[#This Row],[CurrentParent]]</f>
        <v>1</v>
      </c>
      <c r="K1221" s="144" t="str">
        <f>IF(Proc[[#This Row],[Author]]="Marcela Urrego",VLOOKUP(LEFT(Proc[[#This Row],[Requested]],1),Table3[#All],2,0),VLOOKUP(Proc[[#This Row],[Author]],Table4[],2,0))</f>
        <v>HC</v>
      </c>
      <c r="L1221" s="69" t="s">
        <v>2563</v>
      </c>
      <c r="M1221" s="79">
        <v>45782.702824074076</v>
      </c>
      <c r="N1221" s="79">
        <v>45790</v>
      </c>
      <c r="O1221" s="79">
        <v>45790</v>
      </c>
      <c r="P1221" s="80" t="str">
        <f ca="1">IF(Proc[[#This Row],[DaysAgeing]]&gt;5,"yep","on track")</f>
        <v>yep</v>
      </c>
      <c r="Q1221" s="3">
        <f ca="1">IF(Proc[[#This Row],[DateClosed]]="",ABS(NETWORKDAYS(Proc[[#This Row],[DateOpened]],TODAY()))-1,ABS(NETWORKDAYS(Proc[[#This Row],[DateOpened]],Proc[[#This Row],[DateClosed]]))-1)</f>
        <v>6</v>
      </c>
      <c r="R1221" s="80" t="s">
        <v>410</v>
      </c>
      <c r="S1221" s="69"/>
    </row>
    <row r="1222" spans="1:19" hidden="1">
      <c r="A1222" s="72" t="s">
        <v>2900</v>
      </c>
      <c r="B1222" s="149" t="str">
        <f>IFERROR(VLOOKUP(Proc[[#This Row],[App]],Table2[],3,0),"open")</f>
        <v>ok</v>
      </c>
      <c r="C1222" s="72" t="s">
        <v>369</v>
      </c>
      <c r="D1222" t="s">
        <v>2930</v>
      </c>
      <c r="E1222" t="s">
        <v>3005</v>
      </c>
      <c r="F1222" s="117" t="s">
        <v>3005</v>
      </c>
      <c r="G1222" s="72" t="s">
        <v>400</v>
      </c>
      <c r="H1222" s="69" t="str">
        <f>IF(Proc[[#This Row],[type]]="LFF (MDG-F)",MID(Proc[[#This Row],[Obj]],13,10),"")</f>
        <v/>
      </c>
      <c r="J1222" s="69" t="b">
        <f>Proc[[#This Row],[Requested]]=Proc[[#This Row],[CurrentParent]]</f>
        <v>1</v>
      </c>
      <c r="K1222" s="144" t="str">
        <f>IF(Proc[[#This Row],[Author]]="Marcela Urrego",VLOOKUP(LEFT(Proc[[#This Row],[Requested]],1),Table3[#All],2,0),VLOOKUP(Proc[[#This Row],[Author]],Table4[],2,0))</f>
        <v>HC</v>
      </c>
      <c r="L1222" s="69" t="s">
        <v>2563</v>
      </c>
      <c r="M1222" s="79">
        <v>45782.702824074076</v>
      </c>
      <c r="N1222" s="79">
        <v>45790</v>
      </c>
      <c r="O1222" s="79">
        <v>45790</v>
      </c>
      <c r="P1222" s="80" t="str">
        <f ca="1">IF(Proc[[#This Row],[DaysAgeing]]&gt;5,"yep","on track")</f>
        <v>yep</v>
      </c>
      <c r="Q1222" s="3">
        <f ca="1">IF(Proc[[#This Row],[DateClosed]]="",ABS(NETWORKDAYS(Proc[[#This Row],[DateOpened]],TODAY()))-1,ABS(NETWORKDAYS(Proc[[#This Row],[DateOpened]],Proc[[#This Row],[DateClosed]]))-1)</f>
        <v>6</v>
      </c>
      <c r="R1222" s="80" t="s">
        <v>410</v>
      </c>
      <c r="S1222" s="69"/>
    </row>
    <row r="1223" spans="1:19" hidden="1">
      <c r="A1223" s="72" t="s">
        <v>2900</v>
      </c>
      <c r="B1223" s="149" t="str">
        <f>IFERROR(VLOOKUP(Proc[[#This Row],[App]],Table2[],3,0),"open")</f>
        <v>ok</v>
      </c>
      <c r="C1223" s="72" t="s">
        <v>369</v>
      </c>
      <c r="D1223" t="s">
        <v>2931</v>
      </c>
      <c r="E1223" t="s">
        <v>3005</v>
      </c>
      <c r="F1223" s="117" t="s">
        <v>3005</v>
      </c>
      <c r="G1223" s="72" t="s">
        <v>400</v>
      </c>
      <c r="H1223" s="69" t="str">
        <f>IF(Proc[[#This Row],[type]]="LFF (MDG-F)",MID(Proc[[#This Row],[Obj]],13,10),"")</f>
        <v/>
      </c>
      <c r="J1223" s="69" t="b">
        <f>Proc[[#This Row],[Requested]]=Proc[[#This Row],[CurrentParent]]</f>
        <v>1</v>
      </c>
      <c r="K1223" s="144" t="str">
        <f>IF(Proc[[#This Row],[Author]]="Marcela Urrego",VLOOKUP(LEFT(Proc[[#This Row],[Requested]],1),Table3[#All],2,0),VLOOKUP(Proc[[#This Row],[Author]],Table4[],2,0))</f>
        <v>HC</v>
      </c>
      <c r="L1223" s="69" t="s">
        <v>2563</v>
      </c>
      <c r="M1223" s="79">
        <v>45782.702824074076</v>
      </c>
      <c r="N1223" s="79">
        <v>45790</v>
      </c>
      <c r="O1223" s="79">
        <v>45790</v>
      </c>
      <c r="P1223" s="80" t="str">
        <f ca="1">IF(Proc[[#This Row],[DaysAgeing]]&gt;5,"yep","on track")</f>
        <v>yep</v>
      </c>
      <c r="Q1223" s="3">
        <f ca="1">IF(Proc[[#This Row],[DateClosed]]="",ABS(NETWORKDAYS(Proc[[#This Row],[DateOpened]],TODAY()))-1,ABS(NETWORKDAYS(Proc[[#This Row],[DateOpened]],Proc[[#This Row],[DateClosed]]))-1)</f>
        <v>6</v>
      </c>
      <c r="R1223" s="80" t="s">
        <v>410</v>
      </c>
      <c r="S1223" s="69"/>
    </row>
    <row r="1224" spans="1:19" hidden="1">
      <c r="A1224" s="72" t="s">
        <v>2900</v>
      </c>
      <c r="B1224" s="149" t="str">
        <f>IFERROR(VLOOKUP(Proc[[#This Row],[App]],Table2[],3,0),"open")</f>
        <v>ok</v>
      </c>
      <c r="C1224" s="72" t="s">
        <v>369</v>
      </c>
      <c r="D1224" t="s">
        <v>2932</v>
      </c>
      <c r="E1224" t="s">
        <v>3005</v>
      </c>
      <c r="F1224" s="117" t="s">
        <v>3005</v>
      </c>
      <c r="G1224" s="72" t="s">
        <v>400</v>
      </c>
      <c r="H1224" s="69" t="str">
        <f>IF(Proc[[#This Row],[type]]="LFF (MDG-F)",MID(Proc[[#This Row],[Obj]],13,10),"")</f>
        <v/>
      </c>
      <c r="J1224" s="69" t="b">
        <f>Proc[[#This Row],[Requested]]=Proc[[#This Row],[CurrentParent]]</f>
        <v>1</v>
      </c>
      <c r="K1224" s="144" t="str">
        <f>IF(Proc[[#This Row],[Author]]="Marcela Urrego",VLOOKUP(LEFT(Proc[[#This Row],[Requested]],1),Table3[#All],2,0),VLOOKUP(Proc[[#This Row],[Author]],Table4[],2,0))</f>
        <v>HC</v>
      </c>
      <c r="L1224" s="69" t="s">
        <v>2563</v>
      </c>
      <c r="M1224" s="79">
        <v>45782.702824074076</v>
      </c>
      <c r="N1224" s="79">
        <v>45790</v>
      </c>
      <c r="O1224" s="79">
        <v>45790</v>
      </c>
      <c r="P1224" s="80" t="str">
        <f ca="1">IF(Proc[[#This Row],[DaysAgeing]]&gt;5,"yep","on track")</f>
        <v>yep</v>
      </c>
      <c r="Q1224" s="3">
        <f ca="1">IF(Proc[[#This Row],[DateClosed]]="",ABS(NETWORKDAYS(Proc[[#This Row],[DateOpened]],TODAY()))-1,ABS(NETWORKDAYS(Proc[[#This Row],[DateOpened]],Proc[[#This Row],[DateClosed]]))-1)</f>
        <v>6</v>
      </c>
      <c r="R1224" s="80" t="s">
        <v>410</v>
      </c>
      <c r="S1224" s="69"/>
    </row>
    <row r="1225" spans="1:19" hidden="1">
      <c r="A1225" s="72" t="s">
        <v>2900</v>
      </c>
      <c r="B1225" s="149" t="str">
        <f>IFERROR(VLOOKUP(Proc[[#This Row],[App]],Table2[],3,0),"open")</f>
        <v>ok</v>
      </c>
      <c r="C1225" s="72" t="s">
        <v>369</v>
      </c>
      <c r="D1225" t="s">
        <v>2933</v>
      </c>
      <c r="E1225" t="s">
        <v>3005</v>
      </c>
      <c r="F1225" s="117" t="s">
        <v>3005</v>
      </c>
      <c r="G1225" s="72" t="s">
        <v>400</v>
      </c>
      <c r="H1225" s="69" t="str">
        <f>IF(Proc[[#This Row],[type]]="LFF (MDG-F)",MID(Proc[[#This Row],[Obj]],13,10),"")</f>
        <v/>
      </c>
      <c r="J1225" s="69" t="b">
        <f>Proc[[#This Row],[Requested]]=Proc[[#This Row],[CurrentParent]]</f>
        <v>1</v>
      </c>
      <c r="K1225" s="144" t="str">
        <f>IF(Proc[[#This Row],[Author]]="Marcela Urrego",VLOOKUP(LEFT(Proc[[#This Row],[Requested]],1),Table3[#All],2,0),VLOOKUP(Proc[[#This Row],[Author]],Table4[],2,0))</f>
        <v>HC</v>
      </c>
      <c r="L1225" s="69" t="s">
        <v>2563</v>
      </c>
      <c r="M1225" s="79">
        <v>45782.702824074076</v>
      </c>
      <c r="N1225" s="79">
        <v>45790</v>
      </c>
      <c r="O1225" s="79">
        <v>45790</v>
      </c>
      <c r="P1225" s="80" t="str">
        <f ca="1">IF(Proc[[#This Row],[DaysAgeing]]&gt;5,"yep","on track")</f>
        <v>yep</v>
      </c>
      <c r="Q1225" s="3">
        <f ca="1">IF(Proc[[#This Row],[DateClosed]]="",ABS(NETWORKDAYS(Proc[[#This Row],[DateOpened]],TODAY()))-1,ABS(NETWORKDAYS(Proc[[#This Row],[DateOpened]],Proc[[#This Row],[DateClosed]]))-1)</f>
        <v>6</v>
      </c>
      <c r="R1225" s="80" t="s">
        <v>410</v>
      </c>
      <c r="S1225" s="69"/>
    </row>
    <row r="1226" spans="1:19" hidden="1">
      <c r="A1226" s="72" t="s">
        <v>2900</v>
      </c>
      <c r="B1226" s="149" t="str">
        <f>IFERROR(VLOOKUP(Proc[[#This Row],[App]],Table2[],3,0),"open")</f>
        <v>ok</v>
      </c>
      <c r="C1226" s="72" t="s">
        <v>369</v>
      </c>
      <c r="D1226" t="s">
        <v>2934</v>
      </c>
      <c r="E1226" t="s">
        <v>3005</v>
      </c>
      <c r="F1226" s="117" t="s">
        <v>3005</v>
      </c>
      <c r="G1226" s="72" t="s">
        <v>400</v>
      </c>
      <c r="H1226" s="69" t="str">
        <f>IF(Proc[[#This Row],[type]]="LFF (MDG-F)",MID(Proc[[#This Row],[Obj]],13,10),"")</f>
        <v/>
      </c>
      <c r="J1226" s="69" t="b">
        <f>Proc[[#This Row],[Requested]]=Proc[[#This Row],[CurrentParent]]</f>
        <v>1</v>
      </c>
      <c r="K1226" s="144" t="str">
        <f>IF(Proc[[#This Row],[Author]]="Marcela Urrego",VLOOKUP(LEFT(Proc[[#This Row],[Requested]],1),Table3[#All],2,0),VLOOKUP(Proc[[#This Row],[Author]],Table4[],2,0))</f>
        <v>HC</v>
      </c>
      <c r="L1226" s="69" t="s">
        <v>2563</v>
      </c>
      <c r="M1226" s="79">
        <v>45782.702824074076</v>
      </c>
      <c r="N1226" s="79">
        <v>45790</v>
      </c>
      <c r="O1226" s="79">
        <v>45790</v>
      </c>
      <c r="P1226" s="80" t="str">
        <f ca="1">IF(Proc[[#This Row],[DaysAgeing]]&gt;5,"yep","on track")</f>
        <v>yep</v>
      </c>
      <c r="Q1226" s="3">
        <f ca="1">IF(Proc[[#This Row],[DateClosed]]="",ABS(NETWORKDAYS(Proc[[#This Row],[DateOpened]],TODAY()))-1,ABS(NETWORKDAYS(Proc[[#This Row],[DateOpened]],Proc[[#This Row],[DateClosed]]))-1)</f>
        <v>6</v>
      </c>
      <c r="R1226" s="80" t="s">
        <v>410</v>
      </c>
      <c r="S1226" s="69"/>
    </row>
    <row r="1227" spans="1:19" hidden="1">
      <c r="A1227" s="72" t="s">
        <v>2900</v>
      </c>
      <c r="B1227" s="149" t="str">
        <f>IFERROR(VLOOKUP(Proc[[#This Row],[App]],Table2[],3,0),"open")</f>
        <v>ok</v>
      </c>
      <c r="C1227" s="72" t="s">
        <v>369</v>
      </c>
      <c r="D1227" t="s">
        <v>2935</v>
      </c>
      <c r="E1227" t="s">
        <v>3005</v>
      </c>
      <c r="F1227" s="117" t="s">
        <v>3005</v>
      </c>
      <c r="G1227" s="72" t="s">
        <v>400</v>
      </c>
      <c r="H1227" s="69" t="str">
        <f>IF(Proc[[#This Row],[type]]="LFF (MDG-F)",MID(Proc[[#This Row],[Obj]],13,10),"")</f>
        <v/>
      </c>
      <c r="J1227" s="69" t="b">
        <f>Proc[[#This Row],[Requested]]=Proc[[#This Row],[CurrentParent]]</f>
        <v>1</v>
      </c>
      <c r="K1227" s="144" t="str">
        <f>IF(Proc[[#This Row],[Author]]="Marcela Urrego",VLOOKUP(LEFT(Proc[[#This Row],[Requested]],1),Table3[#All],2,0),VLOOKUP(Proc[[#This Row],[Author]],Table4[],2,0))</f>
        <v>HC</v>
      </c>
      <c r="L1227" s="69" t="s">
        <v>2563</v>
      </c>
      <c r="M1227" s="79">
        <v>45782.702824074076</v>
      </c>
      <c r="N1227" s="79">
        <v>45790</v>
      </c>
      <c r="O1227" s="79">
        <v>45790</v>
      </c>
      <c r="P1227" s="80" t="str">
        <f ca="1">IF(Proc[[#This Row],[DaysAgeing]]&gt;5,"yep","on track")</f>
        <v>yep</v>
      </c>
      <c r="Q1227" s="3">
        <f ca="1">IF(Proc[[#This Row],[DateClosed]]="",ABS(NETWORKDAYS(Proc[[#This Row],[DateOpened]],TODAY()))-1,ABS(NETWORKDAYS(Proc[[#This Row],[DateOpened]],Proc[[#This Row],[DateClosed]]))-1)</f>
        <v>6</v>
      </c>
      <c r="R1227" s="80" t="s">
        <v>410</v>
      </c>
      <c r="S1227" s="69"/>
    </row>
    <row r="1228" spans="1:19" hidden="1">
      <c r="A1228" s="72" t="s">
        <v>2900</v>
      </c>
      <c r="B1228" s="149" t="str">
        <f>IFERROR(VLOOKUP(Proc[[#This Row],[App]],Table2[],3,0),"open")</f>
        <v>ok</v>
      </c>
      <c r="C1228" s="72" t="s">
        <v>369</v>
      </c>
      <c r="D1228" t="s">
        <v>2936</v>
      </c>
      <c r="E1228" t="s">
        <v>3006</v>
      </c>
      <c r="F1228" s="117" t="s">
        <v>3006</v>
      </c>
      <c r="G1228" s="72" t="s">
        <v>400</v>
      </c>
      <c r="H1228" s="69" t="str">
        <f>IF(Proc[[#This Row],[type]]="LFF (MDG-F)",MID(Proc[[#This Row],[Obj]],13,10),"")</f>
        <v/>
      </c>
      <c r="J1228" s="69" t="b">
        <f>Proc[[#This Row],[Requested]]=Proc[[#This Row],[CurrentParent]]</f>
        <v>1</v>
      </c>
      <c r="K1228" s="144" t="str">
        <f>IF(Proc[[#This Row],[Author]]="Marcela Urrego",VLOOKUP(LEFT(Proc[[#This Row],[Requested]],1),Table3[#All],2,0),VLOOKUP(Proc[[#This Row],[Author]],Table4[],2,0))</f>
        <v>HC</v>
      </c>
      <c r="L1228" s="69" t="s">
        <v>2563</v>
      </c>
      <c r="M1228" s="79">
        <v>45782.702824074076</v>
      </c>
      <c r="N1228" s="79">
        <v>45790</v>
      </c>
      <c r="O1228" s="79">
        <v>45790</v>
      </c>
      <c r="P1228" s="80" t="str">
        <f ca="1">IF(Proc[[#This Row],[DaysAgeing]]&gt;5,"yep","on track")</f>
        <v>yep</v>
      </c>
      <c r="Q1228" s="3">
        <f ca="1">IF(Proc[[#This Row],[DateClosed]]="",ABS(NETWORKDAYS(Proc[[#This Row],[DateOpened]],TODAY()))-1,ABS(NETWORKDAYS(Proc[[#This Row],[DateOpened]],Proc[[#This Row],[DateClosed]]))-1)</f>
        <v>6</v>
      </c>
      <c r="R1228" s="80" t="s">
        <v>410</v>
      </c>
      <c r="S1228" s="69"/>
    </row>
    <row r="1229" spans="1:19" hidden="1">
      <c r="A1229" s="72" t="s">
        <v>2900</v>
      </c>
      <c r="B1229" s="149" t="str">
        <f>IFERROR(VLOOKUP(Proc[[#This Row],[App]],Table2[],3,0),"open")</f>
        <v>ok</v>
      </c>
      <c r="C1229" s="72" t="s">
        <v>369</v>
      </c>
      <c r="D1229" t="s">
        <v>2937</v>
      </c>
      <c r="E1229" t="s">
        <v>3006</v>
      </c>
      <c r="F1229" s="117" t="s">
        <v>3006</v>
      </c>
      <c r="G1229" s="72" t="s">
        <v>400</v>
      </c>
      <c r="H1229" s="69" t="str">
        <f>IF(Proc[[#This Row],[type]]="LFF (MDG-F)",MID(Proc[[#This Row],[Obj]],13,10),"")</f>
        <v/>
      </c>
      <c r="J1229" s="69" t="b">
        <f>Proc[[#This Row],[Requested]]=Proc[[#This Row],[CurrentParent]]</f>
        <v>1</v>
      </c>
      <c r="K1229" s="144" t="str">
        <f>IF(Proc[[#This Row],[Author]]="Marcela Urrego",VLOOKUP(LEFT(Proc[[#This Row],[Requested]],1),Table3[#All],2,0),VLOOKUP(Proc[[#This Row],[Author]],Table4[],2,0))</f>
        <v>HC</v>
      </c>
      <c r="L1229" s="69" t="s">
        <v>2563</v>
      </c>
      <c r="M1229" s="79">
        <v>45782.702824074076</v>
      </c>
      <c r="N1229" s="79">
        <v>45790</v>
      </c>
      <c r="O1229" s="79">
        <v>45790</v>
      </c>
      <c r="P1229" s="80" t="str">
        <f ca="1">IF(Proc[[#This Row],[DaysAgeing]]&gt;5,"yep","on track")</f>
        <v>yep</v>
      </c>
      <c r="Q1229" s="3">
        <f ca="1">IF(Proc[[#This Row],[DateClosed]]="",ABS(NETWORKDAYS(Proc[[#This Row],[DateOpened]],TODAY()))-1,ABS(NETWORKDAYS(Proc[[#This Row],[DateOpened]],Proc[[#This Row],[DateClosed]]))-1)</f>
        <v>6</v>
      </c>
      <c r="R1229" s="80" t="s">
        <v>410</v>
      </c>
      <c r="S1229" s="69"/>
    </row>
    <row r="1230" spans="1:19" hidden="1">
      <c r="A1230" s="72" t="s">
        <v>2900</v>
      </c>
      <c r="B1230" s="149" t="str">
        <f>IFERROR(VLOOKUP(Proc[[#This Row],[App]],Table2[],3,0),"open")</f>
        <v>ok</v>
      </c>
      <c r="C1230" s="72" t="s">
        <v>369</v>
      </c>
      <c r="D1230" t="s">
        <v>2938</v>
      </c>
      <c r="E1230" t="s">
        <v>3006</v>
      </c>
      <c r="F1230" s="117" t="s">
        <v>3006</v>
      </c>
      <c r="G1230" s="72" t="s">
        <v>400</v>
      </c>
      <c r="H1230" s="69" t="str">
        <f>IF(Proc[[#This Row],[type]]="LFF (MDG-F)",MID(Proc[[#This Row],[Obj]],13,10),"")</f>
        <v/>
      </c>
      <c r="J1230" s="69" t="b">
        <f>Proc[[#This Row],[Requested]]=Proc[[#This Row],[CurrentParent]]</f>
        <v>1</v>
      </c>
      <c r="K1230" s="144" t="str">
        <f>IF(Proc[[#This Row],[Author]]="Marcela Urrego",VLOOKUP(LEFT(Proc[[#This Row],[Requested]],1),Table3[#All],2,0),VLOOKUP(Proc[[#This Row],[Author]],Table4[],2,0))</f>
        <v>HC</v>
      </c>
      <c r="L1230" s="69" t="s">
        <v>2563</v>
      </c>
      <c r="M1230" s="79">
        <v>45782.702824074076</v>
      </c>
      <c r="N1230" s="79">
        <v>45790</v>
      </c>
      <c r="O1230" s="79">
        <v>45790</v>
      </c>
      <c r="P1230" s="80" t="str">
        <f ca="1">IF(Proc[[#This Row],[DaysAgeing]]&gt;5,"yep","on track")</f>
        <v>yep</v>
      </c>
      <c r="Q1230" s="3">
        <f ca="1">IF(Proc[[#This Row],[DateClosed]]="",ABS(NETWORKDAYS(Proc[[#This Row],[DateOpened]],TODAY()))-1,ABS(NETWORKDAYS(Proc[[#This Row],[DateOpened]],Proc[[#This Row],[DateClosed]]))-1)</f>
        <v>6</v>
      </c>
      <c r="R1230" s="80" t="s">
        <v>410</v>
      </c>
      <c r="S1230" s="69"/>
    </row>
    <row r="1231" spans="1:19" hidden="1">
      <c r="A1231" s="72" t="s">
        <v>2900</v>
      </c>
      <c r="B1231" s="149" t="str">
        <f>IFERROR(VLOOKUP(Proc[[#This Row],[App]],Table2[],3,0),"open")</f>
        <v>ok</v>
      </c>
      <c r="C1231" s="72" t="s">
        <v>369</v>
      </c>
      <c r="D1231" t="s">
        <v>2939</v>
      </c>
      <c r="E1231" t="s">
        <v>3006</v>
      </c>
      <c r="F1231" s="117" t="s">
        <v>3006</v>
      </c>
      <c r="G1231" s="72" t="s">
        <v>400</v>
      </c>
      <c r="H1231" s="69" t="str">
        <f>IF(Proc[[#This Row],[type]]="LFF (MDG-F)",MID(Proc[[#This Row],[Obj]],13,10),"")</f>
        <v/>
      </c>
      <c r="J1231" s="69" t="b">
        <f>Proc[[#This Row],[Requested]]=Proc[[#This Row],[CurrentParent]]</f>
        <v>1</v>
      </c>
      <c r="K1231" s="144" t="str">
        <f>IF(Proc[[#This Row],[Author]]="Marcela Urrego",VLOOKUP(LEFT(Proc[[#This Row],[Requested]],1),Table3[#All],2,0),VLOOKUP(Proc[[#This Row],[Author]],Table4[],2,0))</f>
        <v>HC</v>
      </c>
      <c r="L1231" s="69" t="s">
        <v>2563</v>
      </c>
      <c r="M1231" s="79">
        <v>45782.702824074076</v>
      </c>
      <c r="N1231" s="79">
        <v>45790</v>
      </c>
      <c r="O1231" s="79">
        <v>45790</v>
      </c>
      <c r="P1231" s="80" t="str">
        <f ca="1">IF(Proc[[#This Row],[DaysAgeing]]&gt;5,"yep","on track")</f>
        <v>yep</v>
      </c>
      <c r="Q1231" s="3">
        <f ca="1">IF(Proc[[#This Row],[DateClosed]]="",ABS(NETWORKDAYS(Proc[[#This Row],[DateOpened]],TODAY()))-1,ABS(NETWORKDAYS(Proc[[#This Row],[DateOpened]],Proc[[#This Row],[DateClosed]]))-1)</f>
        <v>6</v>
      </c>
      <c r="R1231" s="80" t="s">
        <v>410</v>
      </c>
      <c r="S1231" s="69"/>
    </row>
    <row r="1232" spans="1:19" hidden="1">
      <c r="A1232" s="72" t="s">
        <v>2900</v>
      </c>
      <c r="B1232" s="149" t="str">
        <f>IFERROR(VLOOKUP(Proc[[#This Row],[App]],Table2[],3,0),"open")</f>
        <v>ok</v>
      </c>
      <c r="C1232" s="72" t="s">
        <v>369</v>
      </c>
      <c r="D1232" t="s">
        <v>2940</v>
      </c>
      <c r="E1232" t="s">
        <v>3006</v>
      </c>
      <c r="F1232" s="117" t="s">
        <v>3006</v>
      </c>
      <c r="G1232" s="72" t="s">
        <v>400</v>
      </c>
      <c r="H1232" s="69" t="str">
        <f>IF(Proc[[#This Row],[type]]="LFF (MDG-F)",MID(Proc[[#This Row],[Obj]],13,10),"")</f>
        <v/>
      </c>
      <c r="J1232" s="69" t="b">
        <f>Proc[[#This Row],[Requested]]=Proc[[#This Row],[CurrentParent]]</f>
        <v>1</v>
      </c>
      <c r="K1232" s="144" t="str">
        <f>IF(Proc[[#This Row],[Author]]="Marcela Urrego",VLOOKUP(LEFT(Proc[[#This Row],[Requested]],1),Table3[#All],2,0),VLOOKUP(Proc[[#This Row],[Author]],Table4[],2,0))</f>
        <v>HC</v>
      </c>
      <c r="L1232" s="69" t="s">
        <v>2563</v>
      </c>
      <c r="M1232" s="79">
        <v>45782.702824074076</v>
      </c>
      <c r="N1232" s="79">
        <v>45790</v>
      </c>
      <c r="O1232" s="79">
        <v>45790</v>
      </c>
      <c r="P1232" s="80" t="str">
        <f ca="1">IF(Proc[[#This Row],[DaysAgeing]]&gt;5,"yep","on track")</f>
        <v>yep</v>
      </c>
      <c r="Q1232" s="3">
        <f ca="1">IF(Proc[[#This Row],[DateClosed]]="",ABS(NETWORKDAYS(Proc[[#This Row],[DateOpened]],TODAY()))-1,ABS(NETWORKDAYS(Proc[[#This Row],[DateOpened]],Proc[[#This Row],[DateClosed]]))-1)</f>
        <v>6</v>
      </c>
      <c r="R1232" s="80" t="s">
        <v>410</v>
      </c>
      <c r="S1232" s="69"/>
    </row>
    <row r="1233" spans="1:19" hidden="1">
      <c r="A1233" s="72" t="s">
        <v>2900</v>
      </c>
      <c r="B1233" s="149" t="str">
        <f>IFERROR(VLOOKUP(Proc[[#This Row],[App]],Table2[],3,0),"open")</f>
        <v>ok</v>
      </c>
      <c r="C1233" s="72" t="s">
        <v>369</v>
      </c>
      <c r="D1233" t="s">
        <v>2941</v>
      </c>
      <c r="E1233" t="s">
        <v>3007</v>
      </c>
      <c r="F1233" s="117" t="s">
        <v>3007</v>
      </c>
      <c r="G1233" s="72" t="s">
        <v>400</v>
      </c>
      <c r="H1233" s="69" t="str">
        <f>IF(Proc[[#This Row],[type]]="LFF (MDG-F)",MID(Proc[[#This Row],[Obj]],13,10),"")</f>
        <v/>
      </c>
      <c r="J1233" s="69" t="b">
        <f>Proc[[#This Row],[Requested]]=Proc[[#This Row],[CurrentParent]]</f>
        <v>1</v>
      </c>
      <c r="K1233" s="144" t="str">
        <f>IF(Proc[[#This Row],[Author]]="Marcela Urrego",VLOOKUP(LEFT(Proc[[#This Row],[Requested]],1),Table3[#All],2,0),VLOOKUP(Proc[[#This Row],[Author]],Table4[],2,0))</f>
        <v>HC</v>
      </c>
      <c r="L1233" s="69" t="s">
        <v>2563</v>
      </c>
      <c r="M1233" s="79">
        <v>45782.702824074076</v>
      </c>
      <c r="N1233" s="79">
        <v>45790</v>
      </c>
      <c r="O1233" s="79">
        <v>45790</v>
      </c>
      <c r="P1233" s="80" t="str">
        <f ca="1">IF(Proc[[#This Row],[DaysAgeing]]&gt;5,"yep","on track")</f>
        <v>yep</v>
      </c>
      <c r="Q1233" s="3">
        <f ca="1">IF(Proc[[#This Row],[DateClosed]]="",ABS(NETWORKDAYS(Proc[[#This Row],[DateOpened]],TODAY()))-1,ABS(NETWORKDAYS(Proc[[#This Row],[DateOpened]],Proc[[#This Row],[DateClosed]]))-1)</f>
        <v>6</v>
      </c>
      <c r="R1233" s="80" t="s">
        <v>410</v>
      </c>
      <c r="S1233" s="69"/>
    </row>
    <row r="1234" spans="1:19" hidden="1">
      <c r="A1234" s="72" t="s">
        <v>2900</v>
      </c>
      <c r="B1234" s="149" t="str">
        <f>IFERROR(VLOOKUP(Proc[[#This Row],[App]],Table2[],3,0),"open")</f>
        <v>ok</v>
      </c>
      <c r="C1234" s="72" t="s">
        <v>369</v>
      </c>
      <c r="D1234" t="s">
        <v>2942</v>
      </c>
      <c r="E1234" t="s">
        <v>3007</v>
      </c>
      <c r="F1234" s="117" t="s">
        <v>3007</v>
      </c>
      <c r="G1234" s="72" t="s">
        <v>400</v>
      </c>
      <c r="H1234" s="69" t="str">
        <f>IF(Proc[[#This Row],[type]]="LFF (MDG-F)",MID(Proc[[#This Row],[Obj]],13,10),"")</f>
        <v/>
      </c>
      <c r="J1234" s="69" t="b">
        <f>Proc[[#This Row],[Requested]]=Proc[[#This Row],[CurrentParent]]</f>
        <v>1</v>
      </c>
      <c r="K1234" s="144" t="str">
        <f>IF(Proc[[#This Row],[Author]]="Marcela Urrego",VLOOKUP(LEFT(Proc[[#This Row],[Requested]],1),Table3[#All],2,0),VLOOKUP(Proc[[#This Row],[Author]],Table4[],2,0))</f>
        <v>HC</v>
      </c>
      <c r="L1234" s="69" t="s">
        <v>2563</v>
      </c>
      <c r="M1234" s="79">
        <v>45782.702824074076</v>
      </c>
      <c r="N1234" s="79">
        <v>45790</v>
      </c>
      <c r="O1234" s="79">
        <v>45790</v>
      </c>
      <c r="P1234" s="80" t="str">
        <f ca="1">IF(Proc[[#This Row],[DaysAgeing]]&gt;5,"yep","on track")</f>
        <v>yep</v>
      </c>
      <c r="Q1234" s="3">
        <f ca="1">IF(Proc[[#This Row],[DateClosed]]="",ABS(NETWORKDAYS(Proc[[#This Row],[DateOpened]],TODAY()))-1,ABS(NETWORKDAYS(Proc[[#This Row],[DateOpened]],Proc[[#This Row],[DateClosed]]))-1)</f>
        <v>6</v>
      </c>
      <c r="R1234" s="80" t="s">
        <v>410</v>
      </c>
      <c r="S1234" s="69"/>
    </row>
    <row r="1235" spans="1:19" hidden="1">
      <c r="A1235" s="72" t="s">
        <v>2900</v>
      </c>
      <c r="B1235" s="149" t="str">
        <f>IFERROR(VLOOKUP(Proc[[#This Row],[App]],Table2[],3,0),"open")</f>
        <v>ok</v>
      </c>
      <c r="C1235" s="72" t="s">
        <v>369</v>
      </c>
      <c r="D1235" t="s">
        <v>2943</v>
      </c>
      <c r="E1235" t="s">
        <v>3008</v>
      </c>
      <c r="F1235" s="117" t="s">
        <v>3008</v>
      </c>
      <c r="G1235" s="72" t="s">
        <v>400</v>
      </c>
      <c r="H1235" s="69" t="str">
        <f>IF(Proc[[#This Row],[type]]="LFF (MDG-F)",MID(Proc[[#This Row],[Obj]],13,10),"")</f>
        <v/>
      </c>
      <c r="J1235" s="69" t="b">
        <f>Proc[[#This Row],[Requested]]=Proc[[#This Row],[CurrentParent]]</f>
        <v>1</v>
      </c>
      <c r="K1235" s="144" t="str">
        <f>IF(Proc[[#This Row],[Author]]="Marcela Urrego",VLOOKUP(LEFT(Proc[[#This Row],[Requested]],1),Table3[#All],2,0),VLOOKUP(Proc[[#This Row],[Author]],Table4[],2,0))</f>
        <v>HC</v>
      </c>
      <c r="L1235" s="69" t="s">
        <v>2563</v>
      </c>
      <c r="M1235" s="79">
        <v>45782.702824074076</v>
      </c>
      <c r="N1235" s="79">
        <v>45790</v>
      </c>
      <c r="O1235" s="79">
        <v>45790</v>
      </c>
      <c r="P1235" s="80" t="str">
        <f ca="1">IF(Proc[[#This Row],[DaysAgeing]]&gt;5,"yep","on track")</f>
        <v>yep</v>
      </c>
      <c r="Q1235" s="3">
        <f ca="1">IF(Proc[[#This Row],[DateClosed]]="",ABS(NETWORKDAYS(Proc[[#This Row],[DateOpened]],TODAY()))-1,ABS(NETWORKDAYS(Proc[[#This Row],[DateOpened]],Proc[[#This Row],[DateClosed]]))-1)</f>
        <v>6</v>
      </c>
      <c r="R1235" s="80" t="s">
        <v>410</v>
      </c>
      <c r="S1235" s="69"/>
    </row>
    <row r="1236" spans="1:19" hidden="1">
      <c r="A1236" s="72" t="s">
        <v>2900</v>
      </c>
      <c r="B1236" s="149" t="str">
        <f>IFERROR(VLOOKUP(Proc[[#This Row],[App]],Table2[],3,0),"open")</f>
        <v>ok</v>
      </c>
      <c r="C1236" s="72" t="s">
        <v>369</v>
      </c>
      <c r="D1236" t="s">
        <v>2944</v>
      </c>
      <c r="E1236" t="s">
        <v>3008</v>
      </c>
      <c r="F1236" s="117" t="s">
        <v>3008</v>
      </c>
      <c r="G1236" s="72" t="s">
        <v>400</v>
      </c>
      <c r="H1236" s="69" t="str">
        <f>IF(Proc[[#This Row],[type]]="LFF (MDG-F)",MID(Proc[[#This Row],[Obj]],13,10),"")</f>
        <v/>
      </c>
      <c r="J1236" s="69" t="b">
        <f>Proc[[#This Row],[Requested]]=Proc[[#This Row],[CurrentParent]]</f>
        <v>1</v>
      </c>
      <c r="K1236" s="144" t="str">
        <f>IF(Proc[[#This Row],[Author]]="Marcela Urrego",VLOOKUP(LEFT(Proc[[#This Row],[Requested]],1),Table3[#All],2,0),VLOOKUP(Proc[[#This Row],[Author]],Table4[],2,0))</f>
        <v>HC</v>
      </c>
      <c r="L1236" s="69" t="s">
        <v>2563</v>
      </c>
      <c r="M1236" s="79">
        <v>45782.702824074076</v>
      </c>
      <c r="N1236" s="79">
        <v>45790</v>
      </c>
      <c r="O1236" s="79">
        <v>45790</v>
      </c>
      <c r="P1236" s="80" t="str">
        <f ca="1">IF(Proc[[#This Row],[DaysAgeing]]&gt;5,"yep","on track")</f>
        <v>yep</v>
      </c>
      <c r="Q1236" s="3">
        <f ca="1">IF(Proc[[#This Row],[DateClosed]]="",ABS(NETWORKDAYS(Proc[[#This Row],[DateOpened]],TODAY()))-1,ABS(NETWORKDAYS(Proc[[#This Row],[DateOpened]],Proc[[#This Row],[DateClosed]]))-1)</f>
        <v>6</v>
      </c>
      <c r="R1236" s="80" t="s">
        <v>410</v>
      </c>
      <c r="S1236" s="69"/>
    </row>
    <row r="1237" spans="1:19" hidden="1">
      <c r="A1237" s="72" t="s">
        <v>2900</v>
      </c>
      <c r="B1237" s="149" t="str">
        <f>IFERROR(VLOOKUP(Proc[[#This Row],[App]],Table2[],3,0),"open")</f>
        <v>ok</v>
      </c>
      <c r="C1237" s="72" t="s">
        <v>369</v>
      </c>
      <c r="D1237" t="s">
        <v>2945</v>
      </c>
      <c r="E1237" t="s">
        <v>3008</v>
      </c>
      <c r="F1237" s="117" t="s">
        <v>3008</v>
      </c>
      <c r="G1237" s="72" t="s">
        <v>400</v>
      </c>
      <c r="H1237" s="69" t="str">
        <f>IF(Proc[[#This Row],[type]]="LFF (MDG-F)",MID(Proc[[#This Row],[Obj]],13,10),"")</f>
        <v/>
      </c>
      <c r="J1237" s="69" t="b">
        <f>Proc[[#This Row],[Requested]]=Proc[[#This Row],[CurrentParent]]</f>
        <v>1</v>
      </c>
      <c r="K1237" s="144" t="str">
        <f>IF(Proc[[#This Row],[Author]]="Marcela Urrego",VLOOKUP(LEFT(Proc[[#This Row],[Requested]],1),Table3[#All],2,0),VLOOKUP(Proc[[#This Row],[Author]],Table4[],2,0))</f>
        <v>HC</v>
      </c>
      <c r="L1237" s="69" t="s">
        <v>2563</v>
      </c>
      <c r="M1237" s="79">
        <v>45782.702824074076</v>
      </c>
      <c r="N1237" s="79">
        <v>45790</v>
      </c>
      <c r="O1237" s="79">
        <v>45790</v>
      </c>
      <c r="P1237" s="80" t="str">
        <f ca="1">IF(Proc[[#This Row],[DaysAgeing]]&gt;5,"yep","on track")</f>
        <v>yep</v>
      </c>
      <c r="Q1237" s="3">
        <f ca="1">IF(Proc[[#This Row],[DateClosed]]="",ABS(NETWORKDAYS(Proc[[#This Row],[DateOpened]],TODAY()))-1,ABS(NETWORKDAYS(Proc[[#This Row],[DateOpened]],Proc[[#This Row],[DateClosed]]))-1)</f>
        <v>6</v>
      </c>
      <c r="R1237" s="80" t="s">
        <v>410</v>
      </c>
      <c r="S1237" s="69"/>
    </row>
    <row r="1238" spans="1:19" hidden="1">
      <c r="A1238" s="72" t="s">
        <v>2900</v>
      </c>
      <c r="B1238" s="149" t="str">
        <f>IFERROR(VLOOKUP(Proc[[#This Row],[App]],Table2[],3,0),"open")</f>
        <v>ok</v>
      </c>
      <c r="C1238" s="72" t="s">
        <v>369</v>
      </c>
      <c r="D1238" t="s">
        <v>2946</v>
      </c>
      <c r="E1238" t="s">
        <v>3008</v>
      </c>
      <c r="F1238" s="117" t="s">
        <v>3008</v>
      </c>
      <c r="G1238" s="72" t="s">
        <v>400</v>
      </c>
      <c r="H1238" s="69" t="str">
        <f>IF(Proc[[#This Row],[type]]="LFF (MDG-F)",MID(Proc[[#This Row],[Obj]],13,10),"")</f>
        <v/>
      </c>
      <c r="J1238" s="69" t="b">
        <f>Proc[[#This Row],[Requested]]=Proc[[#This Row],[CurrentParent]]</f>
        <v>1</v>
      </c>
      <c r="K1238" s="144" t="str">
        <f>IF(Proc[[#This Row],[Author]]="Marcela Urrego",VLOOKUP(LEFT(Proc[[#This Row],[Requested]],1),Table3[#All],2,0),VLOOKUP(Proc[[#This Row],[Author]],Table4[],2,0))</f>
        <v>HC</v>
      </c>
      <c r="L1238" s="69" t="s">
        <v>2563</v>
      </c>
      <c r="M1238" s="79">
        <v>45782.702824074076</v>
      </c>
      <c r="N1238" s="79">
        <v>45790</v>
      </c>
      <c r="O1238" s="79">
        <v>45790</v>
      </c>
      <c r="P1238" s="80" t="str">
        <f ca="1">IF(Proc[[#This Row],[DaysAgeing]]&gt;5,"yep","on track")</f>
        <v>yep</v>
      </c>
      <c r="Q1238" s="3">
        <f ca="1">IF(Proc[[#This Row],[DateClosed]]="",ABS(NETWORKDAYS(Proc[[#This Row],[DateOpened]],TODAY()))-1,ABS(NETWORKDAYS(Proc[[#This Row],[DateOpened]],Proc[[#This Row],[DateClosed]]))-1)</f>
        <v>6</v>
      </c>
      <c r="R1238" s="80" t="s">
        <v>410</v>
      </c>
      <c r="S1238" s="69"/>
    </row>
    <row r="1239" spans="1:19" hidden="1">
      <c r="A1239" s="72" t="s">
        <v>2900</v>
      </c>
      <c r="B1239" s="149" t="str">
        <f>IFERROR(VLOOKUP(Proc[[#This Row],[App]],Table2[],3,0),"open")</f>
        <v>ok</v>
      </c>
      <c r="C1239" s="72" t="s">
        <v>369</v>
      </c>
      <c r="D1239" t="s">
        <v>2947</v>
      </c>
      <c r="E1239" t="s">
        <v>3009</v>
      </c>
      <c r="F1239" s="117" t="s">
        <v>3009</v>
      </c>
      <c r="G1239" s="72" t="s">
        <v>400</v>
      </c>
      <c r="H1239" s="69" t="str">
        <f>IF(Proc[[#This Row],[type]]="LFF (MDG-F)",MID(Proc[[#This Row],[Obj]],13,10),"")</f>
        <v/>
      </c>
      <c r="J1239" s="69" t="b">
        <f>Proc[[#This Row],[Requested]]=Proc[[#This Row],[CurrentParent]]</f>
        <v>1</v>
      </c>
      <c r="K1239" s="144" t="str">
        <f>IF(Proc[[#This Row],[Author]]="Marcela Urrego",VLOOKUP(LEFT(Proc[[#This Row],[Requested]],1),Table3[#All],2,0),VLOOKUP(Proc[[#This Row],[Author]],Table4[],2,0))</f>
        <v>HC</v>
      </c>
      <c r="L1239" s="69" t="s">
        <v>2563</v>
      </c>
      <c r="M1239" s="79">
        <v>45782.702824074076</v>
      </c>
      <c r="N1239" s="79">
        <v>45790</v>
      </c>
      <c r="O1239" s="79">
        <v>45790</v>
      </c>
      <c r="P1239" s="80" t="str">
        <f ca="1">IF(Proc[[#This Row],[DaysAgeing]]&gt;5,"yep","on track")</f>
        <v>yep</v>
      </c>
      <c r="Q1239" s="3">
        <f ca="1">IF(Proc[[#This Row],[DateClosed]]="",ABS(NETWORKDAYS(Proc[[#This Row],[DateOpened]],TODAY()))-1,ABS(NETWORKDAYS(Proc[[#This Row],[DateOpened]],Proc[[#This Row],[DateClosed]]))-1)</f>
        <v>6</v>
      </c>
      <c r="R1239" s="80" t="s">
        <v>410</v>
      </c>
      <c r="S1239" s="69"/>
    </row>
    <row r="1240" spans="1:19" hidden="1">
      <c r="A1240" s="72" t="s">
        <v>2900</v>
      </c>
      <c r="B1240" s="149" t="str">
        <f>IFERROR(VLOOKUP(Proc[[#This Row],[App]],Table2[],3,0),"open")</f>
        <v>ok</v>
      </c>
      <c r="C1240" s="72" t="s">
        <v>369</v>
      </c>
      <c r="D1240" t="s">
        <v>2948</v>
      </c>
      <c r="E1240" t="s">
        <v>3009</v>
      </c>
      <c r="F1240" s="117" t="s">
        <v>3009</v>
      </c>
      <c r="G1240" s="72" t="s">
        <v>400</v>
      </c>
      <c r="H1240" s="69" t="str">
        <f>IF(Proc[[#This Row],[type]]="LFF (MDG-F)",MID(Proc[[#This Row],[Obj]],13,10),"")</f>
        <v/>
      </c>
      <c r="J1240" s="69" t="b">
        <f>Proc[[#This Row],[Requested]]=Proc[[#This Row],[CurrentParent]]</f>
        <v>1</v>
      </c>
      <c r="K1240" s="144" t="str">
        <f>IF(Proc[[#This Row],[Author]]="Marcela Urrego",VLOOKUP(LEFT(Proc[[#This Row],[Requested]],1),Table3[#All],2,0),VLOOKUP(Proc[[#This Row],[Author]],Table4[],2,0))</f>
        <v>HC</v>
      </c>
      <c r="L1240" s="69" t="s">
        <v>2563</v>
      </c>
      <c r="M1240" s="79">
        <v>45782.702824074076</v>
      </c>
      <c r="N1240" s="79">
        <v>45790</v>
      </c>
      <c r="O1240" s="79">
        <v>45790</v>
      </c>
      <c r="P1240" s="80" t="str">
        <f ca="1">IF(Proc[[#This Row],[DaysAgeing]]&gt;5,"yep","on track")</f>
        <v>yep</v>
      </c>
      <c r="Q1240" s="3">
        <f ca="1">IF(Proc[[#This Row],[DateClosed]]="",ABS(NETWORKDAYS(Proc[[#This Row],[DateOpened]],TODAY()))-1,ABS(NETWORKDAYS(Proc[[#This Row],[DateOpened]],Proc[[#This Row],[DateClosed]]))-1)</f>
        <v>6</v>
      </c>
      <c r="R1240" s="80" t="s">
        <v>410</v>
      </c>
      <c r="S1240" s="69"/>
    </row>
    <row r="1241" spans="1:19" hidden="1">
      <c r="A1241" s="72" t="s">
        <v>2900</v>
      </c>
      <c r="B1241" s="149" t="str">
        <f>IFERROR(VLOOKUP(Proc[[#This Row],[App]],Table2[],3,0),"open")</f>
        <v>ok</v>
      </c>
      <c r="C1241" s="72" t="s">
        <v>369</v>
      </c>
      <c r="D1241" t="s">
        <v>2949</v>
      </c>
      <c r="E1241" t="s">
        <v>3009</v>
      </c>
      <c r="F1241" s="117" t="s">
        <v>3009</v>
      </c>
      <c r="G1241" s="72" t="s">
        <v>400</v>
      </c>
      <c r="H1241" s="69" t="str">
        <f>IF(Proc[[#This Row],[type]]="LFF (MDG-F)",MID(Proc[[#This Row],[Obj]],13,10),"")</f>
        <v/>
      </c>
      <c r="J1241" s="69" t="b">
        <f>Proc[[#This Row],[Requested]]=Proc[[#This Row],[CurrentParent]]</f>
        <v>1</v>
      </c>
      <c r="K1241" s="144" t="str">
        <f>IF(Proc[[#This Row],[Author]]="Marcela Urrego",VLOOKUP(LEFT(Proc[[#This Row],[Requested]],1),Table3[#All],2,0),VLOOKUP(Proc[[#This Row],[Author]],Table4[],2,0))</f>
        <v>HC</v>
      </c>
      <c r="L1241" s="69" t="s">
        <v>2563</v>
      </c>
      <c r="M1241" s="79">
        <v>45782.702824074076</v>
      </c>
      <c r="N1241" s="79">
        <v>45790</v>
      </c>
      <c r="O1241" s="79">
        <v>45790</v>
      </c>
      <c r="P1241" s="80" t="str">
        <f ca="1">IF(Proc[[#This Row],[DaysAgeing]]&gt;5,"yep","on track")</f>
        <v>yep</v>
      </c>
      <c r="Q1241" s="3">
        <f ca="1">IF(Proc[[#This Row],[DateClosed]]="",ABS(NETWORKDAYS(Proc[[#This Row],[DateOpened]],TODAY()))-1,ABS(NETWORKDAYS(Proc[[#This Row],[DateOpened]],Proc[[#This Row],[DateClosed]]))-1)</f>
        <v>6</v>
      </c>
      <c r="R1241" s="80" t="s">
        <v>410</v>
      </c>
      <c r="S1241" s="69"/>
    </row>
    <row r="1242" spans="1:19" hidden="1">
      <c r="A1242" s="72" t="s">
        <v>2900</v>
      </c>
      <c r="B1242" s="149" t="str">
        <f>IFERROR(VLOOKUP(Proc[[#This Row],[App]],Table2[],3,0),"open")</f>
        <v>ok</v>
      </c>
      <c r="C1242" s="72" t="s">
        <v>369</v>
      </c>
      <c r="D1242" t="s">
        <v>2950</v>
      </c>
      <c r="E1242" t="s">
        <v>3009</v>
      </c>
      <c r="F1242" s="117" t="s">
        <v>3009</v>
      </c>
      <c r="G1242" s="72" t="s">
        <v>400</v>
      </c>
      <c r="H1242" s="69" t="str">
        <f>IF(Proc[[#This Row],[type]]="LFF (MDG-F)",MID(Proc[[#This Row],[Obj]],13,10),"")</f>
        <v/>
      </c>
      <c r="J1242" s="69" t="b">
        <f>Proc[[#This Row],[Requested]]=Proc[[#This Row],[CurrentParent]]</f>
        <v>1</v>
      </c>
      <c r="K1242" s="144" t="str">
        <f>IF(Proc[[#This Row],[Author]]="Marcela Urrego",VLOOKUP(LEFT(Proc[[#This Row],[Requested]],1),Table3[#All],2,0),VLOOKUP(Proc[[#This Row],[Author]],Table4[],2,0))</f>
        <v>HC</v>
      </c>
      <c r="L1242" s="69" t="s">
        <v>2563</v>
      </c>
      <c r="M1242" s="79">
        <v>45782.702824074076</v>
      </c>
      <c r="N1242" s="79">
        <v>45790</v>
      </c>
      <c r="O1242" s="79">
        <v>45790</v>
      </c>
      <c r="P1242" s="80" t="str">
        <f ca="1">IF(Proc[[#This Row],[DaysAgeing]]&gt;5,"yep","on track")</f>
        <v>yep</v>
      </c>
      <c r="Q1242" s="3">
        <f ca="1">IF(Proc[[#This Row],[DateClosed]]="",ABS(NETWORKDAYS(Proc[[#This Row],[DateOpened]],TODAY()))-1,ABS(NETWORKDAYS(Proc[[#This Row],[DateOpened]],Proc[[#This Row],[DateClosed]]))-1)</f>
        <v>6</v>
      </c>
      <c r="R1242" s="80" t="s">
        <v>410</v>
      </c>
      <c r="S1242" s="69"/>
    </row>
    <row r="1243" spans="1:19" hidden="1">
      <c r="A1243" s="72" t="s">
        <v>2900</v>
      </c>
      <c r="B1243" s="149" t="str">
        <f>IFERROR(VLOOKUP(Proc[[#This Row],[App]],Table2[],3,0),"open")</f>
        <v>ok</v>
      </c>
      <c r="C1243" s="72" t="s">
        <v>369</v>
      </c>
      <c r="D1243" t="s">
        <v>2951</v>
      </c>
      <c r="E1243" t="s">
        <v>3009</v>
      </c>
      <c r="F1243" s="117" t="s">
        <v>3009</v>
      </c>
      <c r="G1243" s="72" t="s">
        <v>400</v>
      </c>
      <c r="H1243" s="69" t="str">
        <f>IF(Proc[[#This Row],[type]]="LFF (MDG-F)",MID(Proc[[#This Row],[Obj]],13,10),"")</f>
        <v/>
      </c>
      <c r="J1243" s="69" t="b">
        <f>Proc[[#This Row],[Requested]]=Proc[[#This Row],[CurrentParent]]</f>
        <v>1</v>
      </c>
      <c r="K1243" s="144" t="str">
        <f>IF(Proc[[#This Row],[Author]]="Marcela Urrego",VLOOKUP(LEFT(Proc[[#This Row],[Requested]],1),Table3[#All],2,0),VLOOKUP(Proc[[#This Row],[Author]],Table4[],2,0))</f>
        <v>HC</v>
      </c>
      <c r="L1243" s="69" t="s">
        <v>2563</v>
      </c>
      <c r="M1243" s="79">
        <v>45782.702824074076</v>
      </c>
      <c r="N1243" s="79">
        <v>45790</v>
      </c>
      <c r="O1243" s="79">
        <v>45790</v>
      </c>
      <c r="P1243" s="80" t="str">
        <f ca="1">IF(Proc[[#This Row],[DaysAgeing]]&gt;5,"yep","on track")</f>
        <v>yep</v>
      </c>
      <c r="Q1243" s="3">
        <f ca="1">IF(Proc[[#This Row],[DateClosed]]="",ABS(NETWORKDAYS(Proc[[#This Row],[DateOpened]],TODAY()))-1,ABS(NETWORKDAYS(Proc[[#This Row],[DateOpened]],Proc[[#This Row],[DateClosed]]))-1)</f>
        <v>6</v>
      </c>
      <c r="R1243" s="80" t="s">
        <v>410</v>
      </c>
      <c r="S1243" s="69"/>
    </row>
    <row r="1244" spans="1:19" hidden="1">
      <c r="A1244" s="72" t="s">
        <v>2900</v>
      </c>
      <c r="B1244" s="149" t="str">
        <f>IFERROR(VLOOKUP(Proc[[#This Row],[App]],Table2[],3,0),"open")</f>
        <v>ok</v>
      </c>
      <c r="C1244" s="72" t="s">
        <v>369</v>
      </c>
      <c r="D1244" t="s">
        <v>2952</v>
      </c>
      <c r="E1244" t="s">
        <v>3009</v>
      </c>
      <c r="F1244" s="117" t="s">
        <v>3009</v>
      </c>
      <c r="G1244" s="72" t="s">
        <v>400</v>
      </c>
      <c r="H1244" s="69" t="str">
        <f>IF(Proc[[#This Row],[type]]="LFF (MDG-F)",MID(Proc[[#This Row],[Obj]],13,10),"")</f>
        <v/>
      </c>
      <c r="J1244" s="69" t="b">
        <f>Proc[[#This Row],[Requested]]=Proc[[#This Row],[CurrentParent]]</f>
        <v>1</v>
      </c>
      <c r="K1244" s="144" t="str">
        <f>IF(Proc[[#This Row],[Author]]="Marcela Urrego",VLOOKUP(LEFT(Proc[[#This Row],[Requested]],1),Table3[#All],2,0),VLOOKUP(Proc[[#This Row],[Author]],Table4[],2,0))</f>
        <v>HC</v>
      </c>
      <c r="L1244" s="69" t="s">
        <v>2563</v>
      </c>
      <c r="M1244" s="79">
        <v>45782.702824074076</v>
      </c>
      <c r="N1244" s="79">
        <v>45790</v>
      </c>
      <c r="O1244" s="79">
        <v>45790</v>
      </c>
      <c r="P1244" s="80" t="str">
        <f ca="1">IF(Proc[[#This Row],[DaysAgeing]]&gt;5,"yep","on track")</f>
        <v>yep</v>
      </c>
      <c r="Q1244" s="3">
        <f ca="1">IF(Proc[[#This Row],[DateClosed]]="",ABS(NETWORKDAYS(Proc[[#This Row],[DateOpened]],TODAY()))-1,ABS(NETWORKDAYS(Proc[[#This Row],[DateOpened]],Proc[[#This Row],[DateClosed]]))-1)</f>
        <v>6</v>
      </c>
      <c r="R1244" s="80" t="s">
        <v>410</v>
      </c>
      <c r="S1244" s="69"/>
    </row>
    <row r="1245" spans="1:19" hidden="1">
      <c r="A1245" s="72" t="s">
        <v>2900</v>
      </c>
      <c r="B1245" s="149" t="str">
        <f>IFERROR(VLOOKUP(Proc[[#This Row],[App]],Table2[],3,0),"open")</f>
        <v>ok</v>
      </c>
      <c r="C1245" s="72" t="s">
        <v>369</v>
      </c>
      <c r="D1245" t="s">
        <v>2953</v>
      </c>
      <c r="E1245" t="s">
        <v>3009</v>
      </c>
      <c r="F1245" s="117" t="s">
        <v>3009</v>
      </c>
      <c r="G1245" s="72" t="s">
        <v>400</v>
      </c>
      <c r="H1245" s="69" t="str">
        <f>IF(Proc[[#This Row],[type]]="LFF (MDG-F)",MID(Proc[[#This Row],[Obj]],13,10),"")</f>
        <v/>
      </c>
      <c r="J1245" s="69" t="b">
        <f>Proc[[#This Row],[Requested]]=Proc[[#This Row],[CurrentParent]]</f>
        <v>1</v>
      </c>
      <c r="K1245" s="144" t="str">
        <f>IF(Proc[[#This Row],[Author]]="Marcela Urrego",VLOOKUP(LEFT(Proc[[#This Row],[Requested]],1),Table3[#All],2,0),VLOOKUP(Proc[[#This Row],[Author]],Table4[],2,0))</f>
        <v>HC</v>
      </c>
      <c r="L1245" s="69" t="s">
        <v>2563</v>
      </c>
      <c r="M1245" s="79">
        <v>45782.702824074076</v>
      </c>
      <c r="N1245" s="79">
        <v>45790</v>
      </c>
      <c r="O1245" s="79">
        <v>45790</v>
      </c>
      <c r="P1245" s="80" t="str">
        <f ca="1">IF(Proc[[#This Row],[DaysAgeing]]&gt;5,"yep","on track")</f>
        <v>yep</v>
      </c>
      <c r="Q1245" s="3">
        <f ca="1">IF(Proc[[#This Row],[DateClosed]]="",ABS(NETWORKDAYS(Proc[[#This Row],[DateOpened]],TODAY()))-1,ABS(NETWORKDAYS(Proc[[#This Row],[DateOpened]],Proc[[#This Row],[DateClosed]]))-1)</f>
        <v>6</v>
      </c>
      <c r="R1245" s="80" t="s">
        <v>410</v>
      </c>
      <c r="S1245" s="69"/>
    </row>
    <row r="1246" spans="1:19" hidden="1">
      <c r="A1246" s="72" t="s">
        <v>2900</v>
      </c>
      <c r="B1246" s="149" t="str">
        <f>IFERROR(VLOOKUP(Proc[[#This Row],[App]],Table2[],3,0),"open")</f>
        <v>ok</v>
      </c>
      <c r="C1246" s="72" t="s">
        <v>369</v>
      </c>
      <c r="D1246" t="s">
        <v>2954</v>
      </c>
      <c r="E1246" t="s">
        <v>3009</v>
      </c>
      <c r="F1246" s="117" t="s">
        <v>3009</v>
      </c>
      <c r="G1246" s="72" t="s">
        <v>400</v>
      </c>
      <c r="H1246" s="69" t="str">
        <f>IF(Proc[[#This Row],[type]]="LFF (MDG-F)",MID(Proc[[#This Row],[Obj]],13,10),"")</f>
        <v/>
      </c>
      <c r="J1246" s="69" t="b">
        <f>Proc[[#This Row],[Requested]]=Proc[[#This Row],[CurrentParent]]</f>
        <v>1</v>
      </c>
      <c r="K1246" s="144" t="str">
        <f>IF(Proc[[#This Row],[Author]]="Marcela Urrego",VLOOKUP(LEFT(Proc[[#This Row],[Requested]],1),Table3[#All],2,0),VLOOKUP(Proc[[#This Row],[Author]],Table4[],2,0))</f>
        <v>HC</v>
      </c>
      <c r="L1246" s="69" t="s">
        <v>2563</v>
      </c>
      <c r="M1246" s="79">
        <v>45782.702824074076</v>
      </c>
      <c r="N1246" s="79">
        <v>45790</v>
      </c>
      <c r="O1246" s="79">
        <v>45790</v>
      </c>
      <c r="P1246" s="80" t="str">
        <f ca="1">IF(Proc[[#This Row],[DaysAgeing]]&gt;5,"yep","on track")</f>
        <v>yep</v>
      </c>
      <c r="Q1246" s="3">
        <f ca="1">IF(Proc[[#This Row],[DateClosed]]="",ABS(NETWORKDAYS(Proc[[#This Row],[DateOpened]],TODAY()))-1,ABS(NETWORKDAYS(Proc[[#This Row],[DateOpened]],Proc[[#This Row],[DateClosed]]))-1)</f>
        <v>6</v>
      </c>
      <c r="R1246" s="80" t="s">
        <v>410</v>
      </c>
      <c r="S1246" s="69"/>
    </row>
    <row r="1247" spans="1:19" hidden="1">
      <c r="A1247" s="72" t="s">
        <v>2900</v>
      </c>
      <c r="B1247" s="149" t="str">
        <f>IFERROR(VLOOKUP(Proc[[#This Row],[App]],Table2[],3,0),"open")</f>
        <v>ok</v>
      </c>
      <c r="C1247" s="72" t="s">
        <v>369</v>
      </c>
      <c r="D1247" t="s">
        <v>2955</v>
      </c>
      <c r="E1247" t="s">
        <v>3009</v>
      </c>
      <c r="F1247" s="117" t="s">
        <v>3009</v>
      </c>
      <c r="G1247" s="72" t="s">
        <v>400</v>
      </c>
      <c r="H1247" s="69" t="str">
        <f>IF(Proc[[#This Row],[type]]="LFF (MDG-F)",MID(Proc[[#This Row],[Obj]],13,10),"")</f>
        <v/>
      </c>
      <c r="J1247" s="69" t="b">
        <f>Proc[[#This Row],[Requested]]=Proc[[#This Row],[CurrentParent]]</f>
        <v>1</v>
      </c>
      <c r="K1247" s="144" t="str">
        <f>IF(Proc[[#This Row],[Author]]="Marcela Urrego",VLOOKUP(LEFT(Proc[[#This Row],[Requested]],1),Table3[#All],2,0),VLOOKUP(Proc[[#This Row],[Author]],Table4[],2,0))</f>
        <v>HC</v>
      </c>
      <c r="L1247" s="69" t="s">
        <v>2563</v>
      </c>
      <c r="M1247" s="79">
        <v>45782.702824074076</v>
      </c>
      <c r="N1247" s="79">
        <v>45790</v>
      </c>
      <c r="O1247" s="79">
        <v>45790</v>
      </c>
      <c r="P1247" s="80" t="str">
        <f ca="1">IF(Proc[[#This Row],[DaysAgeing]]&gt;5,"yep","on track")</f>
        <v>yep</v>
      </c>
      <c r="Q1247" s="3">
        <f ca="1">IF(Proc[[#This Row],[DateClosed]]="",ABS(NETWORKDAYS(Proc[[#This Row],[DateOpened]],TODAY()))-1,ABS(NETWORKDAYS(Proc[[#This Row],[DateOpened]],Proc[[#This Row],[DateClosed]]))-1)</f>
        <v>6</v>
      </c>
      <c r="R1247" s="80" t="s">
        <v>410</v>
      </c>
      <c r="S1247" s="69"/>
    </row>
    <row r="1248" spans="1:19" hidden="1">
      <c r="A1248" s="72" t="s">
        <v>2900</v>
      </c>
      <c r="B1248" s="149" t="str">
        <f>IFERROR(VLOOKUP(Proc[[#This Row],[App]],Table2[],3,0),"open")</f>
        <v>ok</v>
      </c>
      <c r="C1248" s="72" t="s">
        <v>369</v>
      </c>
      <c r="D1248" t="s">
        <v>2956</v>
      </c>
      <c r="E1248" t="s">
        <v>3009</v>
      </c>
      <c r="F1248" s="117" t="s">
        <v>3009</v>
      </c>
      <c r="G1248" s="72" t="s">
        <v>400</v>
      </c>
      <c r="H1248" s="69" t="str">
        <f>IF(Proc[[#This Row],[type]]="LFF (MDG-F)",MID(Proc[[#This Row],[Obj]],13,10),"")</f>
        <v/>
      </c>
      <c r="J1248" s="69" t="b">
        <f>Proc[[#This Row],[Requested]]=Proc[[#This Row],[CurrentParent]]</f>
        <v>1</v>
      </c>
      <c r="K1248" s="144" t="str">
        <f>IF(Proc[[#This Row],[Author]]="Marcela Urrego",VLOOKUP(LEFT(Proc[[#This Row],[Requested]],1),Table3[#All],2,0),VLOOKUP(Proc[[#This Row],[Author]],Table4[],2,0))</f>
        <v>HC</v>
      </c>
      <c r="L1248" s="69" t="s">
        <v>2563</v>
      </c>
      <c r="M1248" s="79">
        <v>45782.702824074076</v>
      </c>
      <c r="N1248" s="79">
        <v>45790</v>
      </c>
      <c r="O1248" s="79">
        <v>45790</v>
      </c>
      <c r="P1248" s="80" t="str">
        <f ca="1">IF(Proc[[#This Row],[DaysAgeing]]&gt;5,"yep","on track")</f>
        <v>yep</v>
      </c>
      <c r="Q1248" s="3">
        <f ca="1">IF(Proc[[#This Row],[DateClosed]]="",ABS(NETWORKDAYS(Proc[[#This Row],[DateOpened]],TODAY()))-1,ABS(NETWORKDAYS(Proc[[#This Row],[DateOpened]],Proc[[#This Row],[DateClosed]]))-1)</f>
        <v>6</v>
      </c>
      <c r="R1248" s="80" t="s">
        <v>410</v>
      </c>
      <c r="S1248" s="69"/>
    </row>
    <row r="1249" spans="1:19" hidden="1">
      <c r="A1249" s="72" t="s">
        <v>2900</v>
      </c>
      <c r="B1249" s="149" t="str">
        <f>IFERROR(VLOOKUP(Proc[[#This Row],[App]],Table2[],3,0),"open")</f>
        <v>ok</v>
      </c>
      <c r="C1249" s="72" t="s">
        <v>369</v>
      </c>
      <c r="D1249" t="s">
        <v>2957</v>
      </c>
      <c r="E1249" t="s">
        <v>3009</v>
      </c>
      <c r="F1249" s="117" t="s">
        <v>3009</v>
      </c>
      <c r="G1249" s="72" t="s">
        <v>400</v>
      </c>
      <c r="H1249" s="69" t="str">
        <f>IF(Proc[[#This Row],[type]]="LFF (MDG-F)",MID(Proc[[#This Row],[Obj]],13,10),"")</f>
        <v/>
      </c>
      <c r="J1249" s="69" t="b">
        <f>Proc[[#This Row],[Requested]]=Proc[[#This Row],[CurrentParent]]</f>
        <v>1</v>
      </c>
      <c r="K1249" s="144" t="str">
        <f>IF(Proc[[#This Row],[Author]]="Marcela Urrego",VLOOKUP(LEFT(Proc[[#This Row],[Requested]],1),Table3[#All],2,0),VLOOKUP(Proc[[#This Row],[Author]],Table4[],2,0))</f>
        <v>HC</v>
      </c>
      <c r="L1249" s="69" t="s">
        <v>2563</v>
      </c>
      <c r="M1249" s="79">
        <v>45782.702824074076</v>
      </c>
      <c r="N1249" s="79">
        <v>45790</v>
      </c>
      <c r="O1249" s="79">
        <v>45790</v>
      </c>
      <c r="P1249" s="80" t="str">
        <f ca="1">IF(Proc[[#This Row],[DaysAgeing]]&gt;5,"yep","on track")</f>
        <v>yep</v>
      </c>
      <c r="Q1249" s="3">
        <f ca="1">IF(Proc[[#This Row],[DateClosed]]="",ABS(NETWORKDAYS(Proc[[#This Row],[DateOpened]],TODAY()))-1,ABS(NETWORKDAYS(Proc[[#This Row],[DateOpened]],Proc[[#This Row],[DateClosed]]))-1)</f>
        <v>6</v>
      </c>
      <c r="R1249" s="80" t="s">
        <v>410</v>
      </c>
      <c r="S1249" s="69"/>
    </row>
    <row r="1250" spans="1:19" hidden="1">
      <c r="A1250" s="72" t="s">
        <v>2900</v>
      </c>
      <c r="B1250" s="149" t="str">
        <f>IFERROR(VLOOKUP(Proc[[#This Row],[App]],Table2[],3,0),"open")</f>
        <v>ok</v>
      </c>
      <c r="C1250" s="72" t="s">
        <v>369</v>
      </c>
      <c r="D1250" t="s">
        <v>2958</v>
      </c>
      <c r="E1250" t="s">
        <v>3009</v>
      </c>
      <c r="F1250" s="117" t="s">
        <v>3009</v>
      </c>
      <c r="G1250" s="72" t="s">
        <v>400</v>
      </c>
      <c r="H1250" s="69" t="str">
        <f>IF(Proc[[#This Row],[type]]="LFF (MDG-F)",MID(Proc[[#This Row],[Obj]],13,10),"")</f>
        <v/>
      </c>
      <c r="J1250" s="69" t="b">
        <f>Proc[[#This Row],[Requested]]=Proc[[#This Row],[CurrentParent]]</f>
        <v>1</v>
      </c>
      <c r="K1250" s="144" t="str">
        <f>IF(Proc[[#This Row],[Author]]="Marcela Urrego",VLOOKUP(LEFT(Proc[[#This Row],[Requested]],1),Table3[#All],2,0),VLOOKUP(Proc[[#This Row],[Author]],Table4[],2,0))</f>
        <v>HC</v>
      </c>
      <c r="L1250" s="69" t="s">
        <v>2563</v>
      </c>
      <c r="M1250" s="79">
        <v>45782.702824074076</v>
      </c>
      <c r="N1250" s="79">
        <v>45790</v>
      </c>
      <c r="O1250" s="79">
        <v>45790</v>
      </c>
      <c r="P1250" s="80" t="str">
        <f ca="1">IF(Proc[[#This Row],[DaysAgeing]]&gt;5,"yep","on track")</f>
        <v>yep</v>
      </c>
      <c r="Q1250" s="3">
        <f ca="1">IF(Proc[[#This Row],[DateClosed]]="",ABS(NETWORKDAYS(Proc[[#This Row],[DateOpened]],TODAY()))-1,ABS(NETWORKDAYS(Proc[[#This Row],[DateOpened]],Proc[[#This Row],[DateClosed]]))-1)</f>
        <v>6</v>
      </c>
      <c r="R1250" s="80" t="s">
        <v>410</v>
      </c>
      <c r="S1250" s="69"/>
    </row>
    <row r="1251" spans="1:19" hidden="1">
      <c r="A1251" s="72" t="s">
        <v>2900</v>
      </c>
      <c r="B1251" s="149" t="str">
        <f>IFERROR(VLOOKUP(Proc[[#This Row],[App]],Table2[],3,0),"open")</f>
        <v>ok</v>
      </c>
      <c r="C1251" s="72" t="s">
        <v>369</v>
      </c>
      <c r="D1251" t="s">
        <v>2959</v>
      </c>
      <c r="E1251" t="s">
        <v>3009</v>
      </c>
      <c r="F1251" s="117" t="s">
        <v>3009</v>
      </c>
      <c r="G1251" s="72" t="s">
        <v>400</v>
      </c>
      <c r="H1251" s="69" t="str">
        <f>IF(Proc[[#This Row],[type]]="LFF (MDG-F)",MID(Proc[[#This Row],[Obj]],13,10),"")</f>
        <v/>
      </c>
      <c r="J1251" s="69" t="b">
        <f>Proc[[#This Row],[Requested]]=Proc[[#This Row],[CurrentParent]]</f>
        <v>1</v>
      </c>
      <c r="K1251" s="144" t="str">
        <f>IF(Proc[[#This Row],[Author]]="Marcela Urrego",VLOOKUP(LEFT(Proc[[#This Row],[Requested]],1),Table3[#All],2,0),VLOOKUP(Proc[[#This Row],[Author]],Table4[],2,0))</f>
        <v>HC</v>
      </c>
      <c r="L1251" s="69" t="s">
        <v>2563</v>
      </c>
      <c r="M1251" s="79">
        <v>45782.702824074076</v>
      </c>
      <c r="N1251" s="79">
        <v>45790</v>
      </c>
      <c r="O1251" s="79">
        <v>45790</v>
      </c>
      <c r="P1251" s="80" t="str">
        <f ca="1">IF(Proc[[#This Row],[DaysAgeing]]&gt;5,"yep","on track")</f>
        <v>yep</v>
      </c>
      <c r="Q1251" s="3">
        <f ca="1">IF(Proc[[#This Row],[DateClosed]]="",ABS(NETWORKDAYS(Proc[[#This Row],[DateOpened]],TODAY()))-1,ABS(NETWORKDAYS(Proc[[#This Row],[DateOpened]],Proc[[#This Row],[DateClosed]]))-1)</f>
        <v>6</v>
      </c>
      <c r="R1251" s="80" t="s">
        <v>410</v>
      </c>
      <c r="S1251" s="69"/>
    </row>
    <row r="1252" spans="1:19" hidden="1">
      <c r="A1252" s="72" t="s">
        <v>2900</v>
      </c>
      <c r="B1252" s="149" t="str">
        <f>IFERROR(VLOOKUP(Proc[[#This Row],[App]],Table2[],3,0),"open")</f>
        <v>ok</v>
      </c>
      <c r="C1252" s="72" t="s">
        <v>369</v>
      </c>
      <c r="D1252" t="s">
        <v>2960</v>
      </c>
      <c r="E1252" t="s">
        <v>3009</v>
      </c>
      <c r="F1252" s="117" t="s">
        <v>3009</v>
      </c>
      <c r="G1252" s="72" t="s">
        <v>400</v>
      </c>
      <c r="H1252" s="69" t="str">
        <f>IF(Proc[[#This Row],[type]]="LFF (MDG-F)",MID(Proc[[#This Row],[Obj]],13,10),"")</f>
        <v/>
      </c>
      <c r="J1252" s="69" t="b">
        <f>Proc[[#This Row],[Requested]]=Proc[[#This Row],[CurrentParent]]</f>
        <v>1</v>
      </c>
      <c r="K1252" s="144" t="str">
        <f>IF(Proc[[#This Row],[Author]]="Marcela Urrego",VLOOKUP(LEFT(Proc[[#This Row],[Requested]],1),Table3[#All],2,0),VLOOKUP(Proc[[#This Row],[Author]],Table4[],2,0))</f>
        <v>HC</v>
      </c>
      <c r="L1252" s="69" t="s">
        <v>2563</v>
      </c>
      <c r="M1252" s="79">
        <v>45782.702824074076</v>
      </c>
      <c r="N1252" s="79">
        <v>45790</v>
      </c>
      <c r="O1252" s="79">
        <v>45790</v>
      </c>
      <c r="P1252" s="80" t="str">
        <f ca="1">IF(Proc[[#This Row],[DaysAgeing]]&gt;5,"yep","on track")</f>
        <v>yep</v>
      </c>
      <c r="Q1252" s="3">
        <f ca="1">IF(Proc[[#This Row],[DateClosed]]="",ABS(NETWORKDAYS(Proc[[#This Row],[DateOpened]],TODAY()))-1,ABS(NETWORKDAYS(Proc[[#This Row],[DateOpened]],Proc[[#This Row],[DateClosed]]))-1)</f>
        <v>6</v>
      </c>
      <c r="R1252" s="80" t="s">
        <v>410</v>
      </c>
      <c r="S1252" s="69"/>
    </row>
    <row r="1253" spans="1:19" hidden="1">
      <c r="A1253" s="72" t="s">
        <v>2900</v>
      </c>
      <c r="B1253" s="149" t="str">
        <f>IFERROR(VLOOKUP(Proc[[#This Row],[App]],Table2[],3,0),"open")</f>
        <v>ok</v>
      </c>
      <c r="C1253" s="72" t="s">
        <v>369</v>
      </c>
      <c r="D1253" t="s">
        <v>2961</v>
      </c>
      <c r="E1253" t="s">
        <v>3009</v>
      </c>
      <c r="F1253" s="117" t="s">
        <v>3009</v>
      </c>
      <c r="G1253" s="72" t="s">
        <v>400</v>
      </c>
      <c r="H1253" s="69" t="str">
        <f>IF(Proc[[#This Row],[type]]="LFF (MDG-F)",MID(Proc[[#This Row],[Obj]],13,10),"")</f>
        <v/>
      </c>
      <c r="J1253" s="69" t="b">
        <f>Proc[[#This Row],[Requested]]=Proc[[#This Row],[CurrentParent]]</f>
        <v>1</v>
      </c>
      <c r="K1253" s="144" t="str">
        <f>IF(Proc[[#This Row],[Author]]="Marcela Urrego",VLOOKUP(LEFT(Proc[[#This Row],[Requested]],1),Table3[#All],2,0),VLOOKUP(Proc[[#This Row],[Author]],Table4[],2,0))</f>
        <v>HC</v>
      </c>
      <c r="L1253" s="69" t="s">
        <v>2563</v>
      </c>
      <c r="M1253" s="79">
        <v>45782.702824074076</v>
      </c>
      <c r="N1253" s="79">
        <v>45790</v>
      </c>
      <c r="O1253" s="79">
        <v>45790</v>
      </c>
      <c r="P1253" s="80" t="str">
        <f ca="1">IF(Proc[[#This Row],[DaysAgeing]]&gt;5,"yep","on track")</f>
        <v>yep</v>
      </c>
      <c r="Q1253" s="3">
        <f ca="1">IF(Proc[[#This Row],[DateClosed]]="",ABS(NETWORKDAYS(Proc[[#This Row],[DateOpened]],TODAY()))-1,ABS(NETWORKDAYS(Proc[[#This Row],[DateOpened]],Proc[[#This Row],[DateClosed]]))-1)</f>
        <v>6</v>
      </c>
      <c r="R1253" s="80" t="s">
        <v>410</v>
      </c>
      <c r="S1253" s="69"/>
    </row>
    <row r="1254" spans="1:19" hidden="1">
      <c r="A1254" s="72" t="s">
        <v>2900</v>
      </c>
      <c r="B1254" s="149" t="str">
        <f>IFERROR(VLOOKUP(Proc[[#This Row],[App]],Table2[],3,0),"open")</f>
        <v>ok</v>
      </c>
      <c r="C1254" s="72" t="s">
        <v>369</v>
      </c>
      <c r="D1254" t="s">
        <v>2962</v>
      </c>
      <c r="E1254" t="s">
        <v>3009</v>
      </c>
      <c r="F1254" s="117" t="s">
        <v>3009</v>
      </c>
      <c r="G1254" s="72" t="s">
        <v>400</v>
      </c>
      <c r="H1254" s="69" t="str">
        <f>IF(Proc[[#This Row],[type]]="LFF (MDG-F)",MID(Proc[[#This Row],[Obj]],13,10),"")</f>
        <v/>
      </c>
      <c r="J1254" s="69" t="b">
        <f>Proc[[#This Row],[Requested]]=Proc[[#This Row],[CurrentParent]]</f>
        <v>1</v>
      </c>
      <c r="K1254" s="144" t="str">
        <f>IF(Proc[[#This Row],[Author]]="Marcela Urrego",VLOOKUP(LEFT(Proc[[#This Row],[Requested]],1),Table3[#All],2,0),VLOOKUP(Proc[[#This Row],[Author]],Table4[],2,0))</f>
        <v>HC</v>
      </c>
      <c r="L1254" s="69" t="s">
        <v>2563</v>
      </c>
      <c r="M1254" s="79">
        <v>45782.702824074076</v>
      </c>
      <c r="N1254" s="79">
        <v>45790</v>
      </c>
      <c r="O1254" s="79">
        <v>45790</v>
      </c>
      <c r="P1254" s="80" t="str">
        <f ca="1">IF(Proc[[#This Row],[DaysAgeing]]&gt;5,"yep","on track")</f>
        <v>yep</v>
      </c>
      <c r="Q1254" s="3">
        <f ca="1">IF(Proc[[#This Row],[DateClosed]]="",ABS(NETWORKDAYS(Proc[[#This Row],[DateOpened]],TODAY()))-1,ABS(NETWORKDAYS(Proc[[#This Row],[DateOpened]],Proc[[#This Row],[DateClosed]]))-1)</f>
        <v>6</v>
      </c>
      <c r="R1254" s="80" t="s">
        <v>410</v>
      </c>
      <c r="S1254" s="69"/>
    </row>
    <row r="1255" spans="1:19" hidden="1">
      <c r="A1255" s="72" t="s">
        <v>2900</v>
      </c>
      <c r="B1255" s="149" t="str">
        <f>IFERROR(VLOOKUP(Proc[[#This Row],[App]],Table2[],3,0),"open")</f>
        <v>ok</v>
      </c>
      <c r="C1255" s="72" t="s">
        <v>369</v>
      </c>
      <c r="D1255" t="s">
        <v>2963</v>
      </c>
      <c r="E1255" t="s">
        <v>3009</v>
      </c>
      <c r="F1255" s="117" t="s">
        <v>3009</v>
      </c>
      <c r="G1255" s="72" t="s">
        <v>400</v>
      </c>
      <c r="H1255" s="69" t="str">
        <f>IF(Proc[[#This Row],[type]]="LFF (MDG-F)",MID(Proc[[#This Row],[Obj]],13,10),"")</f>
        <v/>
      </c>
      <c r="J1255" s="69" t="b">
        <f>Proc[[#This Row],[Requested]]=Proc[[#This Row],[CurrentParent]]</f>
        <v>1</v>
      </c>
      <c r="K1255" s="144" t="str">
        <f>IF(Proc[[#This Row],[Author]]="Marcela Urrego",VLOOKUP(LEFT(Proc[[#This Row],[Requested]],1),Table3[#All],2,0),VLOOKUP(Proc[[#This Row],[Author]],Table4[],2,0))</f>
        <v>HC</v>
      </c>
      <c r="L1255" s="69" t="s">
        <v>2563</v>
      </c>
      <c r="M1255" s="79">
        <v>45782.702824074076</v>
      </c>
      <c r="N1255" s="79">
        <v>45790</v>
      </c>
      <c r="O1255" s="79">
        <v>45790</v>
      </c>
      <c r="P1255" s="80" t="str">
        <f ca="1">IF(Proc[[#This Row],[DaysAgeing]]&gt;5,"yep","on track")</f>
        <v>yep</v>
      </c>
      <c r="Q1255" s="3">
        <f ca="1">IF(Proc[[#This Row],[DateClosed]]="",ABS(NETWORKDAYS(Proc[[#This Row],[DateOpened]],TODAY()))-1,ABS(NETWORKDAYS(Proc[[#This Row],[DateOpened]],Proc[[#This Row],[DateClosed]]))-1)</f>
        <v>6</v>
      </c>
      <c r="R1255" s="80" t="s">
        <v>410</v>
      </c>
      <c r="S1255" s="69"/>
    </row>
    <row r="1256" spans="1:19" hidden="1">
      <c r="A1256" s="72" t="s">
        <v>2900</v>
      </c>
      <c r="B1256" s="149" t="str">
        <f>IFERROR(VLOOKUP(Proc[[#This Row],[App]],Table2[],3,0),"open")</f>
        <v>ok</v>
      </c>
      <c r="C1256" s="72" t="s">
        <v>369</v>
      </c>
      <c r="D1256" t="s">
        <v>2964</v>
      </c>
      <c r="E1256" t="s">
        <v>3009</v>
      </c>
      <c r="F1256" s="117" t="s">
        <v>3009</v>
      </c>
      <c r="G1256" s="72" t="s">
        <v>400</v>
      </c>
      <c r="H1256" s="69" t="str">
        <f>IF(Proc[[#This Row],[type]]="LFF (MDG-F)",MID(Proc[[#This Row],[Obj]],13,10),"")</f>
        <v/>
      </c>
      <c r="J1256" s="69" t="b">
        <f>Proc[[#This Row],[Requested]]=Proc[[#This Row],[CurrentParent]]</f>
        <v>1</v>
      </c>
      <c r="K1256" s="144" t="str">
        <f>IF(Proc[[#This Row],[Author]]="Marcela Urrego",VLOOKUP(LEFT(Proc[[#This Row],[Requested]],1),Table3[#All],2,0),VLOOKUP(Proc[[#This Row],[Author]],Table4[],2,0))</f>
        <v>HC</v>
      </c>
      <c r="L1256" s="69" t="s">
        <v>2563</v>
      </c>
      <c r="M1256" s="79">
        <v>45782.702824074076</v>
      </c>
      <c r="N1256" s="79">
        <v>45790</v>
      </c>
      <c r="O1256" s="79">
        <v>45790</v>
      </c>
      <c r="P1256" s="80" t="str">
        <f ca="1">IF(Proc[[#This Row],[DaysAgeing]]&gt;5,"yep","on track")</f>
        <v>yep</v>
      </c>
      <c r="Q1256" s="3">
        <f ca="1">IF(Proc[[#This Row],[DateClosed]]="",ABS(NETWORKDAYS(Proc[[#This Row],[DateOpened]],TODAY()))-1,ABS(NETWORKDAYS(Proc[[#This Row],[DateOpened]],Proc[[#This Row],[DateClosed]]))-1)</f>
        <v>6</v>
      </c>
      <c r="R1256" s="80" t="s">
        <v>410</v>
      </c>
      <c r="S1256" s="69"/>
    </row>
    <row r="1257" spans="1:19" hidden="1">
      <c r="A1257" s="72" t="s">
        <v>2900</v>
      </c>
      <c r="B1257" s="149" t="str">
        <f>IFERROR(VLOOKUP(Proc[[#This Row],[App]],Table2[],3,0),"open")</f>
        <v>ok</v>
      </c>
      <c r="C1257" s="72" t="s">
        <v>369</v>
      </c>
      <c r="D1257" t="s">
        <v>2965</v>
      </c>
      <c r="E1257" t="s">
        <v>3009</v>
      </c>
      <c r="F1257" s="117" t="s">
        <v>3009</v>
      </c>
      <c r="G1257" s="72" t="s">
        <v>400</v>
      </c>
      <c r="H1257" s="69" t="str">
        <f>IF(Proc[[#This Row],[type]]="LFF (MDG-F)",MID(Proc[[#This Row],[Obj]],13,10),"")</f>
        <v/>
      </c>
      <c r="J1257" s="69" t="b">
        <f>Proc[[#This Row],[Requested]]=Proc[[#This Row],[CurrentParent]]</f>
        <v>1</v>
      </c>
      <c r="K1257" s="144" t="str">
        <f>IF(Proc[[#This Row],[Author]]="Marcela Urrego",VLOOKUP(LEFT(Proc[[#This Row],[Requested]],1),Table3[#All],2,0),VLOOKUP(Proc[[#This Row],[Author]],Table4[],2,0))</f>
        <v>HC</v>
      </c>
      <c r="L1257" s="69" t="s">
        <v>2563</v>
      </c>
      <c r="M1257" s="79">
        <v>45782.702824074076</v>
      </c>
      <c r="N1257" s="79">
        <v>45790</v>
      </c>
      <c r="O1257" s="79">
        <v>45790</v>
      </c>
      <c r="P1257" s="80" t="str">
        <f ca="1">IF(Proc[[#This Row],[DaysAgeing]]&gt;5,"yep","on track")</f>
        <v>yep</v>
      </c>
      <c r="Q1257" s="3">
        <f ca="1">IF(Proc[[#This Row],[DateClosed]]="",ABS(NETWORKDAYS(Proc[[#This Row],[DateOpened]],TODAY()))-1,ABS(NETWORKDAYS(Proc[[#This Row],[DateOpened]],Proc[[#This Row],[DateClosed]]))-1)</f>
        <v>6</v>
      </c>
      <c r="R1257" s="80" t="s">
        <v>410</v>
      </c>
      <c r="S1257" s="69"/>
    </row>
    <row r="1258" spans="1:19" hidden="1">
      <c r="A1258" s="72" t="s">
        <v>2900</v>
      </c>
      <c r="B1258" s="149" t="str">
        <f>IFERROR(VLOOKUP(Proc[[#This Row],[App]],Table2[],3,0),"open")</f>
        <v>ok</v>
      </c>
      <c r="C1258" s="72" t="s">
        <v>369</v>
      </c>
      <c r="D1258" t="s">
        <v>2966</v>
      </c>
      <c r="E1258" t="s">
        <v>3010</v>
      </c>
      <c r="F1258" s="117" t="s">
        <v>3010</v>
      </c>
      <c r="G1258" s="72" t="s">
        <v>400</v>
      </c>
      <c r="H1258" s="69" t="str">
        <f>IF(Proc[[#This Row],[type]]="LFF (MDG-F)",MID(Proc[[#This Row],[Obj]],13,10),"")</f>
        <v/>
      </c>
      <c r="J1258" s="69" t="b">
        <f>Proc[[#This Row],[Requested]]=Proc[[#This Row],[CurrentParent]]</f>
        <v>1</v>
      </c>
      <c r="K1258" s="144" t="str">
        <f>IF(Proc[[#This Row],[Author]]="Marcela Urrego",VLOOKUP(LEFT(Proc[[#This Row],[Requested]],1),Table3[#All],2,0),VLOOKUP(Proc[[#This Row],[Author]],Table4[],2,0))</f>
        <v>HC</v>
      </c>
      <c r="L1258" s="69" t="s">
        <v>2563</v>
      </c>
      <c r="M1258" s="79">
        <v>45782.702824074076</v>
      </c>
      <c r="N1258" s="79">
        <v>45790</v>
      </c>
      <c r="O1258" s="79">
        <v>45790</v>
      </c>
      <c r="P1258" s="80" t="str">
        <f ca="1">IF(Proc[[#This Row],[DaysAgeing]]&gt;5,"yep","on track")</f>
        <v>yep</v>
      </c>
      <c r="Q1258" s="3">
        <f ca="1">IF(Proc[[#This Row],[DateClosed]]="",ABS(NETWORKDAYS(Proc[[#This Row],[DateOpened]],TODAY()))-1,ABS(NETWORKDAYS(Proc[[#This Row],[DateOpened]],Proc[[#This Row],[DateClosed]]))-1)</f>
        <v>6</v>
      </c>
      <c r="R1258" s="80" t="s">
        <v>410</v>
      </c>
      <c r="S1258" s="69"/>
    </row>
    <row r="1259" spans="1:19" hidden="1">
      <c r="A1259" s="72" t="s">
        <v>2900</v>
      </c>
      <c r="B1259" s="149" t="str">
        <f>IFERROR(VLOOKUP(Proc[[#This Row],[App]],Table2[],3,0),"open")</f>
        <v>ok</v>
      </c>
      <c r="C1259" s="72" t="s">
        <v>369</v>
      </c>
      <c r="D1259" t="s">
        <v>2967</v>
      </c>
      <c r="E1259" t="s">
        <v>3010</v>
      </c>
      <c r="F1259" s="117" t="s">
        <v>3010</v>
      </c>
      <c r="G1259" s="72" t="s">
        <v>400</v>
      </c>
      <c r="H1259" s="69" t="str">
        <f>IF(Proc[[#This Row],[type]]="LFF (MDG-F)",MID(Proc[[#This Row],[Obj]],13,10),"")</f>
        <v/>
      </c>
      <c r="J1259" s="69" t="b">
        <f>Proc[[#This Row],[Requested]]=Proc[[#This Row],[CurrentParent]]</f>
        <v>1</v>
      </c>
      <c r="K1259" s="144" t="str">
        <f>IF(Proc[[#This Row],[Author]]="Marcela Urrego",VLOOKUP(LEFT(Proc[[#This Row],[Requested]],1),Table3[#All],2,0),VLOOKUP(Proc[[#This Row],[Author]],Table4[],2,0))</f>
        <v>HC</v>
      </c>
      <c r="L1259" s="69" t="s">
        <v>2563</v>
      </c>
      <c r="M1259" s="79">
        <v>45782.702824074076</v>
      </c>
      <c r="N1259" s="79">
        <v>45790</v>
      </c>
      <c r="O1259" s="79">
        <v>45790</v>
      </c>
      <c r="P1259" s="80" t="str">
        <f ca="1">IF(Proc[[#This Row],[DaysAgeing]]&gt;5,"yep","on track")</f>
        <v>yep</v>
      </c>
      <c r="Q1259" s="3">
        <f ca="1">IF(Proc[[#This Row],[DateClosed]]="",ABS(NETWORKDAYS(Proc[[#This Row],[DateOpened]],TODAY()))-1,ABS(NETWORKDAYS(Proc[[#This Row],[DateOpened]],Proc[[#This Row],[DateClosed]]))-1)</f>
        <v>6</v>
      </c>
      <c r="R1259" s="80" t="s">
        <v>410</v>
      </c>
      <c r="S1259" s="69"/>
    </row>
    <row r="1260" spans="1:19" hidden="1">
      <c r="A1260" s="72" t="s">
        <v>2900</v>
      </c>
      <c r="B1260" s="149" t="str">
        <f>IFERROR(VLOOKUP(Proc[[#This Row],[App]],Table2[],3,0),"open")</f>
        <v>ok</v>
      </c>
      <c r="C1260" s="72" t="s">
        <v>369</v>
      </c>
      <c r="D1260" t="s">
        <v>2968</v>
      </c>
      <c r="E1260" t="s">
        <v>3010</v>
      </c>
      <c r="F1260" s="117" t="s">
        <v>3010</v>
      </c>
      <c r="G1260" s="72" t="s">
        <v>400</v>
      </c>
      <c r="H1260" s="69" t="str">
        <f>IF(Proc[[#This Row],[type]]="LFF (MDG-F)",MID(Proc[[#This Row],[Obj]],13,10),"")</f>
        <v/>
      </c>
      <c r="J1260" s="69" t="b">
        <f>Proc[[#This Row],[Requested]]=Proc[[#This Row],[CurrentParent]]</f>
        <v>1</v>
      </c>
      <c r="K1260" s="144" t="str">
        <f>IF(Proc[[#This Row],[Author]]="Marcela Urrego",VLOOKUP(LEFT(Proc[[#This Row],[Requested]],1),Table3[#All],2,0),VLOOKUP(Proc[[#This Row],[Author]],Table4[],2,0))</f>
        <v>HC</v>
      </c>
      <c r="L1260" s="69" t="s">
        <v>2563</v>
      </c>
      <c r="M1260" s="79">
        <v>45782.702824074076</v>
      </c>
      <c r="N1260" s="79">
        <v>45790</v>
      </c>
      <c r="O1260" s="79">
        <v>45790</v>
      </c>
      <c r="P1260" s="80" t="str">
        <f ca="1">IF(Proc[[#This Row],[DaysAgeing]]&gt;5,"yep","on track")</f>
        <v>yep</v>
      </c>
      <c r="Q1260" s="3">
        <f ca="1">IF(Proc[[#This Row],[DateClosed]]="",ABS(NETWORKDAYS(Proc[[#This Row],[DateOpened]],TODAY()))-1,ABS(NETWORKDAYS(Proc[[#This Row],[DateOpened]],Proc[[#This Row],[DateClosed]]))-1)</f>
        <v>6</v>
      </c>
      <c r="R1260" s="80" t="s">
        <v>410</v>
      </c>
      <c r="S1260" s="69"/>
    </row>
    <row r="1261" spans="1:19" hidden="1">
      <c r="A1261" s="72" t="s">
        <v>2900</v>
      </c>
      <c r="B1261" s="149" t="str">
        <f>IFERROR(VLOOKUP(Proc[[#This Row],[App]],Table2[],3,0),"open")</f>
        <v>ok</v>
      </c>
      <c r="C1261" s="72" t="s">
        <v>369</v>
      </c>
      <c r="D1261" t="s">
        <v>2969</v>
      </c>
      <c r="E1261" t="s">
        <v>3010</v>
      </c>
      <c r="F1261" s="117" t="s">
        <v>3010</v>
      </c>
      <c r="G1261" s="72" t="s">
        <v>400</v>
      </c>
      <c r="H1261" s="69" t="str">
        <f>IF(Proc[[#This Row],[type]]="LFF (MDG-F)",MID(Proc[[#This Row],[Obj]],13,10),"")</f>
        <v/>
      </c>
      <c r="J1261" s="69" t="b">
        <f>Proc[[#This Row],[Requested]]=Proc[[#This Row],[CurrentParent]]</f>
        <v>1</v>
      </c>
      <c r="K1261" s="144" t="str">
        <f>IF(Proc[[#This Row],[Author]]="Marcela Urrego",VLOOKUP(LEFT(Proc[[#This Row],[Requested]],1),Table3[#All],2,0),VLOOKUP(Proc[[#This Row],[Author]],Table4[],2,0))</f>
        <v>HC</v>
      </c>
      <c r="L1261" s="69" t="s">
        <v>2563</v>
      </c>
      <c r="M1261" s="79">
        <v>45782.702824074076</v>
      </c>
      <c r="N1261" s="79">
        <v>45790</v>
      </c>
      <c r="O1261" s="79">
        <v>45790</v>
      </c>
      <c r="P1261" s="80" t="str">
        <f ca="1">IF(Proc[[#This Row],[DaysAgeing]]&gt;5,"yep","on track")</f>
        <v>yep</v>
      </c>
      <c r="Q1261" s="3">
        <f ca="1">IF(Proc[[#This Row],[DateClosed]]="",ABS(NETWORKDAYS(Proc[[#This Row],[DateOpened]],TODAY()))-1,ABS(NETWORKDAYS(Proc[[#This Row],[DateOpened]],Proc[[#This Row],[DateClosed]]))-1)</f>
        <v>6</v>
      </c>
      <c r="R1261" s="80" t="s">
        <v>410</v>
      </c>
      <c r="S1261" s="69"/>
    </row>
    <row r="1262" spans="1:19" hidden="1">
      <c r="A1262" s="72" t="s">
        <v>2900</v>
      </c>
      <c r="B1262" s="149" t="str">
        <f>IFERROR(VLOOKUP(Proc[[#This Row],[App]],Table2[],3,0),"open")</f>
        <v>ok</v>
      </c>
      <c r="C1262" s="72" t="s">
        <v>369</v>
      </c>
      <c r="D1262" t="s">
        <v>2970</v>
      </c>
      <c r="E1262" t="s">
        <v>3010</v>
      </c>
      <c r="F1262" s="117" t="s">
        <v>3010</v>
      </c>
      <c r="G1262" s="72" t="s">
        <v>400</v>
      </c>
      <c r="H1262" s="69" t="str">
        <f>IF(Proc[[#This Row],[type]]="LFF (MDG-F)",MID(Proc[[#This Row],[Obj]],13,10),"")</f>
        <v/>
      </c>
      <c r="J1262" s="69" t="b">
        <f>Proc[[#This Row],[Requested]]=Proc[[#This Row],[CurrentParent]]</f>
        <v>1</v>
      </c>
      <c r="K1262" s="144" t="str">
        <f>IF(Proc[[#This Row],[Author]]="Marcela Urrego",VLOOKUP(LEFT(Proc[[#This Row],[Requested]],1),Table3[#All],2,0),VLOOKUP(Proc[[#This Row],[Author]],Table4[],2,0))</f>
        <v>HC</v>
      </c>
      <c r="L1262" s="69" t="s">
        <v>2563</v>
      </c>
      <c r="M1262" s="79">
        <v>45782.702824074076</v>
      </c>
      <c r="N1262" s="79">
        <v>45790</v>
      </c>
      <c r="O1262" s="79">
        <v>45790</v>
      </c>
      <c r="P1262" s="80" t="str">
        <f ca="1">IF(Proc[[#This Row],[DaysAgeing]]&gt;5,"yep","on track")</f>
        <v>yep</v>
      </c>
      <c r="Q1262" s="3">
        <f ca="1">IF(Proc[[#This Row],[DateClosed]]="",ABS(NETWORKDAYS(Proc[[#This Row],[DateOpened]],TODAY()))-1,ABS(NETWORKDAYS(Proc[[#This Row],[DateOpened]],Proc[[#This Row],[DateClosed]]))-1)</f>
        <v>6</v>
      </c>
      <c r="R1262" s="80" t="s">
        <v>410</v>
      </c>
      <c r="S1262" s="69"/>
    </row>
    <row r="1263" spans="1:19" hidden="1">
      <c r="A1263" s="72" t="s">
        <v>2900</v>
      </c>
      <c r="B1263" s="149" t="str">
        <f>IFERROR(VLOOKUP(Proc[[#This Row],[App]],Table2[],3,0),"open")</f>
        <v>ok</v>
      </c>
      <c r="C1263" s="72" t="s">
        <v>369</v>
      </c>
      <c r="D1263" t="s">
        <v>2971</v>
      </c>
      <c r="E1263" t="s">
        <v>3010</v>
      </c>
      <c r="F1263" s="117" t="s">
        <v>3010</v>
      </c>
      <c r="G1263" s="72" t="s">
        <v>400</v>
      </c>
      <c r="H1263" s="69" t="str">
        <f>IF(Proc[[#This Row],[type]]="LFF (MDG-F)",MID(Proc[[#This Row],[Obj]],13,10),"")</f>
        <v/>
      </c>
      <c r="J1263" s="69" t="b">
        <f>Proc[[#This Row],[Requested]]=Proc[[#This Row],[CurrentParent]]</f>
        <v>1</v>
      </c>
      <c r="K1263" s="144" t="str">
        <f>IF(Proc[[#This Row],[Author]]="Marcela Urrego",VLOOKUP(LEFT(Proc[[#This Row],[Requested]],1),Table3[#All],2,0),VLOOKUP(Proc[[#This Row],[Author]],Table4[],2,0))</f>
        <v>HC</v>
      </c>
      <c r="L1263" s="69" t="s">
        <v>2563</v>
      </c>
      <c r="M1263" s="79">
        <v>45782.702824074076</v>
      </c>
      <c r="N1263" s="79">
        <v>45790</v>
      </c>
      <c r="O1263" s="79">
        <v>45790</v>
      </c>
      <c r="P1263" s="80" t="str">
        <f ca="1">IF(Proc[[#This Row],[DaysAgeing]]&gt;5,"yep","on track")</f>
        <v>yep</v>
      </c>
      <c r="Q1263" s="3">
        <f ca="1">IF(Proc[[#This Row],[DateClosed]]="",ABS(NETWORKDAYS(Proc[[#This Row],[DateOpened]],TODAY()))-1,ABS(NETWORKDAYS(Proc[[#This Row],[DateOpened]],Proc[[#This Row],[DateClosed]]))-1)</f>
        <v>6</v>
      </c>
      <c r="R1263" s="80" t="s">
        <v>410</v>
      </c>
      <c r="S1263" s="69"/>
    </row>
    <row r="1264" spans="1:19" hidden="1">
      <c r="A1264" s="72" t="s">
        <v>2900</v>
      </c>
      <c r="B1264" s="149" t="str">
        <f>IFERROR(VLOOKUP(Proc[[#This Row],[App]],Table2[],3,0),"open")</f>
        <v>ok</v>
      </c>
      <c r="C1264" s="72" t="s">
        <v>369</v>
      </c>
      <c r="D1264" t="s">
        <v>2972</v>
      </c>
      <c r="E1264" t="s">
        <v>3010</v>
      </c>
      <c r="F1264" s="117" t="s">
        <v>3010</v>
      </c>
      <c r="G1264" s="72" t="s">
        <v>400</v>
      </c>
      <c r="H1264" s="69" t="str">
        <f>IF(Proc[[#This Row],[type]]="LFF (MDG-F)",MID(Proc[[#This Row],[Obj]],13,10),"")</f>
        <v/>
      </c>
      <c r="J1264" s="69" t="b">
        <f>Proc[[#This Row],[Requested]]=Proc[[#This Row],[CurrentParent]]</f>
        <v>1</v>
      </c>
      <c r="K1264" s="144" t="str">
        <f>IF(Proc[[#This Row],[Author]]="Marcela Urrego",VLOOKUP(LEFT(Proc[[#This Row],[Requested]],1),Table3[#All],2,0),VLOOKUP(Proc[[#This Row],[Author]],Table4[],2,0))</f>
        <v>HC</v>
      </c>
      <c r="L1264" s="69" t="s">
        <v>2563</v>
      </c>
      <c r="M1264" s="79">
        <v>45782.702824074076</v>
      </c>
      <c r="N1264" s="79">
        <v>45790</v>
      </c>
      <c r="O1264" s="79">
        <v>45790</v>
      </c>
      <c r="P1264" s="80" t="str">
        <f ca="1">IF(Proc[[#This Row],[DaysAgeing]]&gt;5,"yep","on track")</f>
        <v>yep</v>
      </c>
      <c r="Q1264" s="3">
        <f ca="1">IF(Proc[[#This Row],[DateClosed]]="",ABS(NETWORKDAYS(Proc[[#This Row],[DateOpened]],TODAY()))-1,ABS(NETWORKDAYS(Proc[[#This Row],[DateOpened]],Proc[[#This Row],[DateClosed]]))-1)</f>
        <v>6</v>
      </c>
      <c r="R1264" s="80" t="s">
        <v>410</v>
      </c>
      <c r="S1264" s="69"/>
    </row>
    <row r="1265" spans="1:19" hidden="1">
      <c r="A1265" s="72" t="s">
        <v>2900</v>
      </c>
      <c r="B1265" s="149" t="str">
        <f>IFERROR(VLOOKUP(Proc[[#This Row],[App]],Table2[],3,0),"open")</f>
        <v>ok</v>
      </c>
      <c r="C1265" s="72" t="s">
        <v>369</v>
      </c>
      <c r="D1265" t="s">
        <v>2973</v>
      </c>
      <c r="E1265" t="s">
        <v>3010</v>
      </c>
      <c r="F1265" s="117" t="s">
        <v>3010</v>
      </c>
      <c r="G1265" s="72" t="s">
        <v>400</v>
      </c>
      <c r="H1265" s="69" t="str">
        <f>IF(Proc[[#This Row],[type]]="LFF (MDG-F)",MID(Proc[[#This Row],[Obj]],13,10),"")</f>
        <v/>
      </c>
      <c r="J1265" s="69" t="b">
        <f>Proc[[#This Row],[Requested]]=Proc[[#This Row],[CurrentParent]]</f>
        <v>1</v>
      </c>
      <c r="K1265" s="144" t="str">
        <f>IF(Proc[[#This Row],[Author]]="Marcela Urrego",VLOOKUP(LEFT(Proc[[#This Row],[Requested]],1),Table3[#All],2,0),VLOOKUP(Proc[[#This Row],[Author]],Table4[],2,0))</f>
        <v>HC</v>
      </c>
      <c r="L1265" s="69" t="s">
        <v>2563</v>
      </c>
      <c r="M1265" s="79">
        <v>45782.702824074076</v>
      </c>
      <c r="N1265" s="79">
        <v>45790</v>
      </c>
      <c r="O1265" s="79">
        <v>45790</v>
      </c>
      <c r="P1265" s="80" t="str">
        <f ca="1">IF(Proc[[#This Row],[DaysAgeing]]&gt;5,"yep","on track")</f>
        <v>yep</v>
      </c>
      <c r="Q1265" s="3">
        <f ca="1">IF(Proc[[#This Row],[DateClosed]]="",ABS(NETWORKDAYS(Proc[[#This Row],[DateOpened]],TODAY()))-1,ABS(NETWORKDAYS(Proc[[#This Row],[DateOpened]],Proc[[#This Row],[DateClosed]]))-1)</f>
        <v>6</v>
      </c>
      <c r="R1265" s="80" t="s">
        <v>410</v>
      </c>
      <c r="S1265" s="69"/>
    </row>
    <row r="1266" spans="1:19" hidden="1">
      <c r="A1266" s="72" t="s">
        <v>2900</v>
      </c>
      <c r="B1266" s="149" t="str">
        <f>IFERROR(VLOOKUP(Proc[[#This Row],[App]],Table2[],3,0),"open")</f>
        <v>ok</v>
      </c>
      <c r="C1266" s="72" t="s">
        <v>369</v>
      </c>
      <c r="D1266" t="s">
        <v>2974</v>
      </c>
      <c r="E1266" t="s">
        <v>3010</v>
      </c>
      <c r="F1266" s="117" t="s">
        <v>3010</v>
      </c>
      <c r="G1266" s="72" t="s">
        <v>400</v>
      </c>
      <c r="H1266" s="69" t="str">
        <f>IF(Proc[[#This Row],[type]]="LFF (MDG-F)",MID(Proc[[#This Row],[Obj]],13,10),"")</f>
        <v/>
      </c>
      <c r="J1266" s="69" t="b">
        <f>Proc[[#This Row],[Requested]]=Proc[[#This Row],[CurrentParent]]</f>
        <v>1</v>
      </c>
      <c r="K1266" s="144" t="str">
        <f>IF(Proc[[#This Row],[Author]]="Marcela Urrego",VLOOKUP(LEFT(Proc[[#This Row],[Requested]],1),Table3[#All],2,0),VLOOKUP(Proc[[#This Row],[Author]],Table4[],2,0))</f>
        <v>HC</v>
      </c>
      <c r="L1266" s="69" t="s">
        <v>2563</v>
      </c>
      <c r="M1266" s="79">
        <v>45782.702824074076</v>
      </c>
      <c r="N1266" s="79">
        <v>45790</v>
      </c>
      <c r="O1266" s="79">
        <v>45790</v>
      </c>
      <c r="P1266" s="80" t="str">
        <f ca="1">IF(Proc[[#This Row],[DaysAgeing]]&gt;5,"yep","on track")</f>
        <v>yep</v>
      </c>
      <c r="Q1266" s="3">
        <f ca="1">IF(Proc[[#This Row],[DateClosed]]="",ABS(NETWORKDAYS(Proc[[#This Row],[DateOpened]],TODAY()))-1,ABS(NETWORKDAYS(Proc[[#This Row],[DateOpened]],Proc[[#This Row],[DateClosed]]))-1)</f>
        <v>6</v>
      </c>
      <c r="R1266" s="80" t="s">
        <v>410</v>
      </c>
      <c r="S1266" s="69"/>
    </row>
    <row r="1267" spans="1:19" hidden="1">
      <c r="A1267" s="72" t="s">
        <v>2900</v>
      </c>
      <c r="B1267" s="149" t="str">
        <f>IFERROR(VLOOKUP(Proc[[#This Row],[App]],Table2[],3,0),"open")</f>
        <v>ok</v>
      </c>
      <c r="C1267" s="72" t="s">
        <v>369</v>
      </c>
      <c r="D1267" t="s">
        <v>2975</v>
      </c>
      <c r="E1267" t="s">
        <v>3010</v>
      </c>
      <c r="F1267" s="117" t="s">
        <v>3010</v>
      </c>
      <c r="G1267" s="72" t="s">
        <v>400</v>
      </c>
      <c r="H1267" s="69" t="str">
        <f>IF(Proc[[#This Row],[type]]="LFF (MDG-F)",MID(Proc[[#This Row],[Obj]],13,10),"")</f>
        <v/>
      </c>
      <c r="J1267" s="69" t="b">
        <f>Proc[[#This Row],[Requested]]=Proc[[#This Row],[CurrentParent]]</f>
        <v>1</v>
      </c>
      <c r="K1267" s="144" t="str">
        <f>IF(Proc[[#This Row],[Author]]="Marcela Urrego",VLOOKUP(LEFT(Proc[[#This Row],[Requested]],1),Table3[#All],2,0),VLOOKUP(Proc[[#This Row],[Author]],Table4[],2,0))</f>
        <v>HC</v>
      </c>
      <c r="L1267" s="69" t="s">
        <v>2563</v>
      </c>
      <c r="M1267" s="79">
        <v>45782.702824074076</v>
      </c>
      <c r="N1267" s="79">
        <v>45790</v>
      </c>
      <c r="O1267" s="79">
        <v>45790</v>
      </c>
      <c r="P1267" s="80" t="str">
        <f ca="1">IF(Proc[[#This Row],[DaysAgeing]]&gt;5,"yep","on track")</f>
        <v>yep</v>
      </c>
      <c r="Q1267" s="3">
        <f ca="1">IF(Proc[[#This Row],[DateClosed]]="",ABS(NETWORKDAYS(Proc[[#This Row],[DateOpened]],TODAY()))-1,ABS(NETWORKDAYS(Proc[[#This Row],[DateOpened]],Proc[[#This Row],[DateClosed]]))-1)</f>
        <v>6</v>
      </c>
      <c r="R1267" s="80" t="s">
        <v>410</v>
      </c>
      <c r="S1267" s="69"/>
    </row>
    <row r="1268" spans="1:19" hidden="1">
      <c r="A1268" s="72" t="s">
        <v>2900</v>
      </c>
      <c r="B1268" s="149" t="str">
        <f>IFERROR(VLOOKUP(Proc[[#This Row],[App]],Table2[],3,0),"open")</f>
        <v>ok</v>
      </c>
      <c r="C1268" s="72" t="s">
        <v>369</v>
      </c>
      <c r="D1268" t="s">
        <v>2976</v>
      </c>
      <c r="E1268" t="s">
        <v>3010</v>
      </c>
      <c r="F1268" s="117" t="s">
        <v>3010</v>
      </c>
      <c r="G1268" s="72" t="s">
        <v>400</v>
      </c>
      <c r="H1268" s="69" t="str">
        <f>IF(Proc[[#This Row],[type]]="LFF (MDG-F)",MID(Proc[[#This Row],[Obj]],13,10),"")</f>
        <v/>
      </c>
      <c r="J1268" s="69" t="b">
        <f>Proc[[#This Row],[Requested]]=Proc[[#This Row],[CurrentParent]]</f>
        <v>1</v>
      </c>
      <c r="K1268" s="144" t="str">
        <f>IF(Proc[[#This Row],[Author]]="Marcela Urrego",VLOOKUP(LEFT(Proc[[#This Row],[Requested]],1),Table3[#All],2,0),VLOOKUP(Proc[[#This Row],[Author]],Table4[],2,0))</f>
        <v>HC</v>
      </c>
      <c r="L1268" s="69" t="s">
        <v>2563</v>
      </c>
      <c r="M1268" s="79">
        <v>45782.702824074076</v>
      </c>
      <c r="N1268" s="79">
        <v>45790</v>
      </c>
      <c r="O1268" s="79">
        <v>45790</v>
      </c>
      <c r="P1268" s="80" t="str">
        <f ca="1">IF(Proc[[#This Row],[DaysAgeing]]&gt;5,"yep","on track")</f>
        <v>yep</v>
      </c>
      <c r="Q1268" s="3">
        <f ca="1">IF(Proc[[#This Row],[DateClosed]]="",ABS(NETWORKDAYS(Proc[[#This Row],[DateOpened]],TODAY()))-1,ABS(NETWORKDAYS(Proc[[#This Row],[DateOpened]],Proc[[#This Row],[DateClosed]]))-1)</f>
        <v>6</v>
      </c>
      <c r="R1268" s="80" t="s">
        <v>410</v>
      </c>
      <c r="S1268" s="69"/>
    </row>
    <row r="1269" spans="1:19" hidden="1">
      <c r="A1269" s="72" t="s">
        <v>2900</v>
      </c>
      <c r="B1269" s="149" t="str">
        <f>IFERROR(VLOOKUP(Proc[[#This Row],[App]],Table2[],3,0),"open")</f>
        <v>ok</v>
      </c>
      <c r="C1269" s="72" t="s">
        <v>369</v>
      </c>
      <c r="D1269" t="s">
        <v>2977</v>
      </c>
      <c r="E1269" t="s">
        <v>3010</v>
      </c>
      <c r="F1269" s="117" t="s">
        <v>3010</v>
      </c>
      <c r="G1269" s="72" t="s">
        <v>400</v>
      </c>
      <c r="H1269" s="69" t="str">
        <f>IF(Proc[[#This Row],[type]]="LFF (MDG-F)",MID(Proc[[#This Row],[Obj]],13,10),"")</f>
        <v/>
      </c>
      <c r="J1269" s="69" t="b">
        <f>Proc[[#This Row],[Requested]]=Proc[[#This Row],[CurrentParent]]</f>
        <v>1</v>
      </c>
      <c r="K1269" s="144" t="str">
        <f>IF(Proc[[#This Row],[Author]]="Marcela Urrego",VLOOKUP(LEFT(Proc[[#This Row],[Requested]],1),Table3[#All],2,0),VLOOKUP(Proc[[#This Row],[Author]],Table4[],2,0))</f>
        <v>HC</v>
      </c>
      <c r="L1269" s="69" t="s">
        <v>2563</v>
      </c>
      <c r="M1269" s="79">
        <v>45782.702824074076</v>
      </c>
      <c r="N1269" s="79">
        <v>45790</v>
      </c>
      <c r="O1269" s="79">
        <v>45790</v>
      </c>
      <c r="P1269" s="80" t="str">
        <f ca="1">IF(Proc[[#This Row],[DaysAgeing]]&gt;5,"yep","on track")</f>
        <v>yep</v>
      </c>
      <c r="Q1269" s="3">
        <f ca="1">IF(Proc[[#This Row],[DateClosed]]="",ABS(NETWORKDAYS(Proc[[#This Row],[DateOpened]],TODAY()))-1,ABS(NETWORKDAYS(Proc[[#This Row],[DateOpened]],Proc[[#This Row],[DateClosed]]))-1)</f>
        <v>6</v>
      </c>
      <c r="R1269" s="80" t="s">
        <v>410</v>
      </c>
      <c r="S1269" s="69"/>
    </row>
    <row r="1270" spans="1:19" hidden="1">
      <c r="A1270" s="72" t="s">
        <v>2900</v>
      </c>
      <c r="B1270" s="149" t="str">
        <f>IFERROR(VLOOKUP(Proc[[#This Row],[App]],Table2[],3,0),"open")</f>
        <v>ok</v>
      </c>
      <c r="C1270" s="72" t="s">
        <v>369</v>
      </c>
      <c r="D1270" t="s">
        <v>2978</v>
      </c>
      <c r="E1270" t="s">
        <v>3010</v>
      </c>
      <c r="F1270" s="117" t="s">
        <v>3010</v>
      </c>
      <c r="G1270" s="72" t="s">
        <v>400</v>
      </c>
      <c r="H1270" s="69" t="str">
        <f>IF(Proc[[#This Row],[type]]="LFF (MDG-F)",MID(Proc[[#This Row],[Obj]],13,10),"")</f>
        <v/>
      </c>
      <c r="J1270" s="69" t="b">
        <f>Proc[[#This Row],[Requested]]=Proc[[#This Row],[CurrentParent]]</f>
        <v>1</v>
      </c>
      <c r="K1270" s="144" t="str">
        <f>IF(Proc[[#This Row],[Author]]="Marcela Urrego",VLOOKUP(LEFT(Proc[[#This Row],[Requested]],1),Table3[#All],2,0),VLOOKUP(Proc[[#This Row],[Author]],Table4[],2,0))</f>
        <v>HC</v>
      </c>
      <c r="L1270" s="69" t="s">
        <v>2563</v>
      </c>
      <c r="M1270" s="79">
        <v>45782.702824074076</v>
      </c>
      <c r="N1270" s="79">
        <v>45790</v>
      </c>
      <c r="O1270" s="79">
        <v>45790</v>
      </c>
      <c r="P1270" s="80" t="str">
        <f ca="1">IF(Proc[[#This Row],[DaysAgeing]]&gt;5,"yep","on track")</f>
        <v>yep</v>
      </c>
      <c r="Q1270" s="3">
        <f ca="1">IF(Proc[[#This Row],[DateClosed]]="",ABS(NETWORKDAYS(Proc[[#This Row],[DateOpened]],TODAY()))-1,ABS(NETWORKDAYS(Proc[[#This Row],[DateOpened]],Proc[[#This Row],[DateClosed]]))-1)</f>
        <v>6</v>
      </c>
      <c r="R1270" s="80" t="s">
        <v>410</v>
      </c>
      <c r="S1270" s="69"/>
    </row>
    <row r="1271" spans="1:19" hidden="1">
      <c r="A1271" s="72" t="s">
        <v>2900</v>
      </c>
      <c r="B1271" s="149" t="str">
        <f>IFERROR(VLOOKUP(Proc[[#This Row],[App]],Table2[],3,0),"open")</f>
        <v>ok</v>
      </c>
      <c r="C1271" s="72" t="s">
        <v>369</v>
      </c>
      <c r="D1271" t="s">
        <v>2979</v>
      </c>
      <c r="E1271" t="s">
        <v>3010</v>
      </c>
      <c r="F1271" s="117" t="s">
        <v>3010</v>
      </c>
      <c r="G1271" s="72" t="s">
        <v>400</v>
      </c>
      <c r="H1271" s="69" t="str">
        <f>IF(Proc[[#This Row],[type]]="LFF (MDG-F)",MID(Proc[[#This Row],[Obj]],13,10),"")</f>
        <v/>
      </c>
      <c r="J1271" s="69" t="b">
        <f>Proc[[#This Row],[Requested]]=Proc[[#This Row],[CurrentParent]]</f>
        <v>1</v>
      </c>
      <c r="K1271" s="144" t="str">
        <f>IF(Proc[[#This Row],[Author]]="Marcela Urrego",VLOOKUP(LEFT(Proc[[#This Row],[Requested]],1),Table3[#All],2,0),VLOOKUP(Proc[[#This Row],[Author]],Table4[],2,0))</f>
        <v>HC</v>
      </c>
      <c r="L1271" s="69" t="s">
        <v>2563</v>
      </c>
      <c r="M1271" s="79">
        <v>45782.702824074076</v>
      </c>
      <c r="N1271" s="79">
        <v>45790</v>
      </c>
      <c r="O1271" s="79">
        <v>45790</v>
      </c>
      <c r="P1271" s="80" t="str">
        <f ca="1">IF(Proc[[#This Row],[DaysAgeing]]&gt;5,"yep","on track")</f>
        <v>yep</v>
      </c>
      <c r="Q1271" s="3">
        <f ca="1">IF(Proc[[#This Row],[DateClosed]]="",ABS(NETWORKDAYS(Proc[[#This Row],[DateOpened]],TODAY()))-1,ABS(NETWORKDAYS(Proc[[#This Row],[DateOpened]],Proc[[#This Row],[DateClosed]]))-1)</f>
        <v>6</v>
      </c>
      <c r="R1271" s="80" t="s">
        <v>410</v>
      </c>
      <c r="S1271" s="69"/>
    </row>
    <row r="1272" spans="1:19" hidden="1">
      <c r="A1272" s="72" t="s">
        <v>2900</v>
      </c>
      <c r="B1272" s="149" t="str">
        <f>IFERROR(VLOOKUP(Proc[[#This Row],[App]],Table2[],3,0),"open")</f>
        <v>ok</v>
      </c>
      <c r="C1272" s="72" t="s">
        <v>369</v>
      </c>
      <c r="D1272" t="s">
        <v>2980</v>
      </c>
      <c r="E1272" t="s">
        <v>3010</v>
      </c>
      <c r="F1272" s="117" t="s">
        <v>3010</v>
      </c>
      <c r="G1272" s="72" t="s">
        <v>400</v>
      </c>
      <c r="H1272" s="69" t="str">
        <f>IF(Proc[[#This Row],[type]]="LFF (MDG-F)",MID(Proc[[#This Row],[Obj]],13,10),"")</f>
        <v/>
      </c>
      <c r="J1272" s="69" t="b">
        <f>Proc[[#This Row],[Requested]]=Proc[[#This Row],[CurrentParent]]</f>
        <v>1</v>
      </c>
      <c r="K1272" s="144" t="str">
        <f>IF(Proc[[#This Row],[Author]]="Marcela Urrego",VLOOKUP(LEFT(Proc[[#This Row],[Requested]],1),Table3[#All],2,0),VLOOKUP(Proc[[#This Row],[Author]],Table4[],2,0))</f>
        <v>HC</v>
      </c>
      <c r="L1272" s="69" t="s">
        <v>2563</v>
      </c>
      <c r="M1272" s="79">
        <v>45782.702824074076</v>
      </c>
      <c r="N1272" s="79">
        <v>45790</v>
      </c>
      <c r="O1272" s="79">
        <v>45790</v>
      </c>
      <c r="P1272" s="80" t="str">
        <f ca="1">IF(Proc[[#This Row],[DaysAgeing]]&gt;5,"yep","on track")</f>
        <v>yep</v>
      </c>
      <c r="Q1272" s="3">
        <f ca="1">IF(Proc[[#This Row],[DateClosed]]="",ABS(NETWORKDAYS(Proc[[#This Row],[DateOpened]],TODAY()))-1,ABS(NETWORKDAYS(Proc[[#This Row],[DateOpened]],Proc[[#This Row],[DateClosed]]))-1)</f>
        <v>6</v>
      </c>
      <c r="R1272" s="80" t="s">
        <v>410</v>
      </c>
      <c r="S1272" s="69"/>
    </row>
    <row r="1273" spans="1:19" hidden="1">
      <c r="A1273" s="72" t="s">
        <v>2900</v>
      </c>
      <c r="B1273" s="149" t="str">
        <f>IFERROR(VLOOKUP(Proc[[#This Row],[App]],Table2[],3,0),"open")</f>
        <v>ok</v>
      </c>
      <c r="C1273" s="72" t="s">
        <v>369</v>
      </c>
      <c r="D1273" t="s">
        <v>2981</v>
      </c>
      <c r="E1273" t="s">
        <v>3010</v>
      </c>
      <c r="F1273" s="117" t="s">
        <v>3010</v>
      </c>
      <c r="G1273" s="72" t="s">
        <v>400</v>
      </c>
      <c r="H1273" s="69" t="str">
        <f>IF(Proc[[#This Row],[type]]="LFF (MDG-F)",MID(Proc[[#This Row],[Obj]],13,10),"")</f>
        <v/>
      </c>
      <c r="J1273" s="69" t="b">
        <f>Proc[[#This Row],[Requested]]=Proc[[#This Row],[CurrentParent]]</f>
        <v>1</v>
      </c>
      <c r="K1273" s="144" t="str">
        <f>IF(Proc[[#This Row],[Author]]="Marcela Urrego",VLOOKUP(LEFT(Proc[[#This Row],[Requested]],1),Table3[#All],2,0),VLOOKUP(Proc[[#This Row],[Author]],Table4[],2,0))</f>
        <v>HC</v>
      </c>
      <c r="L1273" s="69" t="s">
        <v>2563</v>
      </c>
      <c r="M1273" s="79">
        <v>45782.702824074076</v>
      </c>
      <c r="N1273" s="79">
        <v>45790</v>
      </c>
      <c r="O1273" s="79">
        <v>45790</v>
      </c>
      <c r="P1273" s="80" t="str">
        <f ca="1">IF(Proc[[#This Row],[DaysAgeing]]&gt;5,"yep","on track")</f>
        <v>yep</v>
      </c>
      <c r="Q1273" s="3">
        <f ca="1">IF(Proc[[#This Row],[DateClosed]]="",ABS(NETWORKDAYS(Proc[[#This Row],[DateOpened]],TODAY()))-1,ABS(NETWORKDAYS(Proc[[#This Row],[DateOpened]],Proc[[#This Row],[DateClosed]]))-1)</f>
        <v>6</v>
      </c>
      <c r="R1273" s="80" t="s">
        <v>410</v>
      </c>
      <c r="S1273" s="69"/>
    </row>
    <row r="1274" spans="1:19" hidden="1">
      <c r="A1274" s="72" t="s">
        <v>2900</v>
      </c>
      <c r="B1274" s="149" t="str">
        <f>IFERROR(VLOOKUP(Proc[[#This Row],[App]],Table2[],3,0),"open")</f>
        <v>ok</v>
      </c>
      <c r="C1274" s="72" t="s">
        <v>369</v>
      </c>
      <c r="D1274" t="s">
        <v>2982</v>
      </c>
      <c r="E1274" t="s">
        <v>3010</v>
      </c>
      <c r="F1274" s="117" t="s">
        <v>3010</v>
      </c>
      <c r="G1274" s="72" t="s">
        <v>400</v>
      </c>
      <c r="H1274" s="69" t="str">
        <f>IF(Proc[[#This Row],[type]]="LFF (MDG-F)",MID(Proc[[#This Row],[Obj]],13,10),"")</f>
        <v/>
      </c>
      <c r="J1274" s="69" t="b">
        <f>Proc[[#This Row],[Requested]]=Proc[[#This Row],[CurrentParent]]</f>
        <v>1</v>
      </c>
      <c r="K1274" s="144" t="str">
        <f>IF(Proc[[#This Row],[Author]]="Marcela Urrego",VLOOKUP(LEFT(Proc[[#This Row],[Requested]],1),Table3[#All],2,0),VLOOKUP(Proc[[#This Row],[Author]],Table4[],2,0))</f>
        <v>HC</v>
      </c>
      <c r="L1274" s="69" t="s">
        <v>2563</v>
      </c>
      <c r="M1274" s="79">
        <v>45782.702824074076</v>
      </c>
      <c r="N1274" s="79">
        <v>45790</v>
      </c>
      <c r="O1274" s="79">
        <v>45790</v>
      </c>
      <c r="P1274" s="80" t="str">
        <f ca="1">IF(Proc[[#This Row],[DaysAgeing]]&gt;5,"yep","on track")</f>
        <v>yep</v>
      </c>
      <c r="Q1274" s="3">
        <f ca="1">IF(Proc[[#This Row],[DateClosed]]="",ABS(NETWORKDAYS(Proc[[#This Row],[DateOpened]],TODAY()))-1,ABS(NETWORKDAYS(Proc[[#This Row],[DateOpened]],Proc[[#This Row],[DateClosed]]))-1)</f>
        <v>6</v>
      </c>
      <c r="R1274" s="80" t="s">
        <v>410</v>
      </c>
      <c r="S1274" s="69"/>
    </row>
    <row r="1275" spans="1:19" hidden="1">
      <c r="A1275" s="72" t="s">
        <v>2900</v>
      </c>
      <c r="B1275" s="149" t="str">
        <f>IFERROR(VLOOKUP(Proc[[#This Row],[App]],Table2[],3,0),"open")</f>
        <v>ok</v>
      </c>
      <c r="C1275" s="72" t="s">
        <v>369</v>
      </c>
      <c r="D1275" t="s">
        <v>2983</v>
      </c>
      <c r="E1275" t="s">
        <v>3010</v>
      </c>
      <c r="F1275" s="117" t="s">
        <v>3010</v>
      </c>
      <c r="G1275" s="72" t="s">
        <v>400</v>
      </c>
      <c r="H1275" s="69" t="str">
        <f>IF(Proc[[#This Row],[type]]="LFF (MDG-F)",MID(Proc[[#This Row],[Obj]],13,10),"")</f>
        <v/>
      </c>
      <c r="J1275" s="69" t="b">
        <f>Proc[[#This Row],[Requested]]=Proc[[#This Row],[CurrentParent]]</f>
        <v>1</v>
      </c>
      <c r="K1275" s="144" t="str">
        <f>IF(Proc[[#This Row],[Author]]="Marcela Urrego",VLOOKUP(LEFT(Proc[[#This Row],[Requested]],1),Table3[#All],2,0),VLOOKUP(Proc[[#This Row],[Author]],Table4[],2,0))</f>
        <v>HC</v>
      </c>
      <c r="L1275" s="69" t="s">
        <v>2563</v>
      </c>
      <c r="M1275" s="79">
        <v>45782.702824074076</v>
      </c>
      <c r="N1275" s="79">
        <v>45790</v>
      </c>
      <c r="O1275" s="79">
        <v>45790</v>
      </c>
      <c r="P1275" s="80" t="str">
        <f ca="1">IF(Proc[[#This Row],[DaysAgeing]]&gt;5,"yep","on track")</f>
        <v>yep</v>
      </c>
      <c r="Q1275" s="3">
        <f ca="1">IF(Proc[[#This Row],[DateClosed]]="",ABS(NETWORKDAYS(Proc[[#This Row],[DateOpened]],TODAY()))-1,ABS(NETWORKDAYS(Proc[[#This Row],[DateOpened]],Proc[[#This Row],[DateClosed]]))-1)</f>
        <v>6</v>
      </c>
      <c r="R1275" s="80" t="s">
        <v>410</v>
      </c>
      <c r="S1275" s="69"/>
    </row>
    <row r="1276" spans="1:19" hidden="1">
      <c r="A1276" s="72" t="s">
        <v>2900</v>
      </c>
      <c r="B1276" s="149" t="str">
        <f>IFERROR(VLOOKUP(Proc[[#This Row],[App]],Table2[],3,0),"open")</f>
        <v>ok</v>
      </c>
      <c r="C1276" s="72" t="s">
        <v>369</v>
      </c>
      <c r="D1276" t="s">
        <v>2984</v>
      </c>
      <c r="E1276" t="s">
        <v>3010</v>
      </c>
      <c r="F1276" s="117" t="s">
        <v>3010</v>
      </c>
      <c r="G1276" s="72" t="s">
        <v>400</v>
      </c>
      <c r="H1276" s="69" t="str">
        <f>IF(Proc[[#This Row],[type]]="LFF (MDG-F)",MID(Proc[[#This Row],[Obj]],13,10),"")</f>
        <v/>
      </c>
      <c r="J1276" s="69" t="b">
        <f>Proc[[#This Row],[Requested]]=Proc[[#This Row],[CurrentParent]]</f>
        <v>1</v>
      </c>
      <c r="K1276" s="144" t="str">
        <f>IF(Proc[[#This Row],[Author]]="Marcela Urrego",VLOOKUP(LEFT(Proc[[#This Row],[Requested]],1),Table3[#All],2,0),VLOOKUP(Proc[[#This Row],[Author]],Table4[],2,0))</f>
        <v>HC</v>
      </c>
      <c r="L1276" s="69" t="s">
        <v>2563</v>
      </c>
      <c r="M1276" s="79">
        <v>45782.702824074076</v>
      </c>
      <c r="N1276" s="79">
        <v>45790</v>
      </c>
      <c r="O1276" s="79">
        <v>45790</v>
      </c>
      <c r="P1276" s="80" t="str">
        <f ca="1">IF(Proc[[#This Row],[DaysAgeing]]&gt;5,"yep","on track")</f>
        <v>yep</v>
      </c>
      <c r="Q1276" s="3">
        <f ca="1">IF(Proc[[#This Row],[DateClosed]]="",ABS(NETWORKDAYS(Proc[[#This Row],[DateOpened]],TODAY()))-1,ABS(NETWORKDAYS(Proc[[#This Row],[DateOpened]],Proc[[#This Row],[DateClosed]]))-1)</f>
        <v>6</v>
      </c>
      <c r="R1276" s="80" t="s">
        <v>410</v>
      </c>
      <c r="S1276" s="69"/>
    </row>
    <row r="1277" spans="1:19" hidden="1">
      <c r="A1277" s="72" t="s">
        <v>2900</v>
      </c>
      <c r="B1277" s="149" t="str">
        <f>IFERROR(VLOOKUP(Proc[[#This Row],[App]],Table2[],3,0),"open")</f>
        <v>ok</v>
      </c>
      <c r="C1277" s="72" t="s">
        <v>369</v>
      </c>
      <c r="D1277" t="s">
        <v>2985</v>
      </c>
      <c r="E1277" t="s">
        <v>3010</v>
      </c>
      <c r="F1277" s="117" t="s">
        <v>3010</v>
      </c>
      <c r="G1277" s="72" t="s">
        <v>400</v>
      </c>
      <c r="H1277" s="69" t="str">
        <f>IF(Proc[[#This Row],[type]]="LFF (MDG-F)",MID(Proc[[#This Row],[Obj]],13,10),"")</f>
        <v/>
      </c>
      <c r="J1277" s="69" t="b">
        <f>Proc[[#This Row],[Requested]]=Proc[[#This Row],[CurrentParent]]</f>
        <v>1</v>
      </c>
      <c r="K1277" s="144" t="str">
        <f>IF(Proc[[#This Row],[Author]]="Marcela Urrego",VLOOKUP(LEFT(Proc[[#This Row],[Requested]],1),Table3[#All],2,0),VLOOKUP(Proc[[#This Row],[Author]],Table4[],2,0))</f>
        <v>HC</v>
      </c>
      <c r="L1277" s="69" t="s">
        <v>2563</v>
      </c>
      <c r="M1277" s="79">
        <v>45782.702824074076</v>
      </c>
      <c r="N1277" s="79">
        <v>45790</v>
      </c>
      <c r="O1277" s="79">
        <v>45790</v>
      </c>
      <c r="P1277" s="80" t="str">
        <f ca="1">IF(Proc[[#This Row],[DaysAgeing]]&gt;5,"yep","on track")</f>
        <v>yep</v>
      </c>
      <c r="Q1277" s="3">
        <f ca="1">IF(Proc[[#This Row],[DateClosed]]="",ABS(NETWORKDAYS(Proc[[#This Row],[DateOpened]],TODAY()))-1,ABS(NETWORKDAYS(Proc[[#This Row],[DateOpened]],Proc[[#This Row],[DateClosed]]))-1)</f>
        <v>6</v>
      </c>
      <c r="R1277" s="80" t="s">
        <v>410</v>
      </c>
      <c r="S1277" s="69"/>
    </row>
    <row r="1278" spans="1:19" hidden="1">
      <c r="A1278" s="72" t="s">
        <v>2900</v>
      </c>
      <c r="B1278" s="149" t="str">
        <f>IFERROR(VLOOKUP(Proc[[#This Row],[App]],Table2[],3,0),"open")</f>
        <v>ok</v>
      </c>
      <c r="C1278" s="72" t="s">
        <v>369</v>
      </c>
      <c r="D1278" t="s">
        <v>2986</v>
      </c>
      <c r="E1278" t="s">
        <v>3010</v>
      </c>
      <c r="F1278" s="117" t="s">
        <v>3010</v>
      </c>
      <c r="G1278" s="72" t="s">
        <v>400</v>
      </c>
      <c r="H1278" s="69" t="str">
        <f>IF(Proc[[#This Row],[type]]="LFF (MDG-F)",MID(Proc[[#This Row],[Obj]],13,10),"")</f>
        <v/>
      </c>
      <c r="J1278" s="69" t="b">
        <f>Proc[[#This Row],[Requested]]=Proc[[#This Row],[CurrentParent]]</f>
        <v>1</v>
      </c>
      <c r="K1278" s="144" t="str">
        <f>IF(Proc[[#This Row],[Author]]="Marcela Urrego",VLOOKUP(LEFT(Proc[[#This Row],[Requested]],1),Table3[#All],2,0),VLOOKUP(Proc[[#This Row],[Author]],Table4[],2,0))</f>
        <v>HC</v>
      </c>
      <c r="L1278" s="69" t="s">
        <v>2563</v>
      </c>
      <c r="M1278" s="79">
        <v>45782.702824074076</v>
      </c>
      <c r="N1278" s="79">
        <v>45790</v>
      </c>
      <c r="O1278" s="79">
        <v>45790</v>
      </c>
      <c r="P1278" s="80" t="str">
        <f ca="1">IF(Proc[[#This Row],[DaysAgeing]]&gt;5,"yep","on track")</f>
        <v>yep</v>
      </c>
      <c r="Q1278" s="3">
        <f ca="1">IF(Proc[[#This Row],[DateClosed]]="",ABS(NETWORKDAYS(Proc[[#This Row],[DateOpened]],TODAY()))-1,ABS(NETWORKDAYS(Proc[[#This Row],[DateOpened]],Proc[[#This Row],[DateClosed]]))-1)</f>
        <v>6</v>
      </c>
      <c r="R1278" s="80" t="s">
        <v>410</v>
      </c>
      <c r="S1278" s="69"/>
    </row>
    <row r="1279" spans="1:19" hidden="1">
      <c r="A1279" s="72" t="s">
        <v>2900</v>
      </c>
      <c r="B1279" s="149" t="str">
        <f>IFERROR(VLOOKUP(Proc[[#This Row],[App]],Table2[],3,0),"open")</f>
        <v>ok</v>
      </c>
      <c r="C1279" s="72" t="s">
        <v>369</v>
      </c>
      <c r="D1279" t="s">
        <v>2987</v>
      </c>
      <c r="E1279" t="s">
        <v>3010</v>
      </c>
      <c r="F1279" s="117" t="s">
        <v>3010</v>
      </c>
      <c r="G1279" s="72" t="s">
        <v>400</v>
      </c>
      <c r="H1279" s="69" t="str">
        <f>IF(Proc[[#This Row],[type]]="LFF (MDG-F)",MID(Proc[[#This Row],[Obj]],13,10),"")</f>
        <v/>
      </c>
      <c r="J1279" s="69" t="b">
        <f>Proc[[#This Row],[Requested]]=Proc[[#This Row],[CurrentParent]]</f>
        <v>1</v>
      </c>
      <c r="K1279" s="144" t="str">
        <f>IF(Proc[[#This Row],[Author]]="Marcela Urrego",VLOOKUP(LEFT(Proc[[#This Row],[Requested]],1),Table3[#All],2,0),VLOOKUP(Proc[[#This Row],[Author]],Table4[],2,0))</f>
        <v>HC</v>
      </c>
      <c r="L1279" s="69" t="s">
        <v>2563</v>
      </c>
      <c r="M1279" s="79">
        <v>45782.702824074076</v>
      </c>
      <c r="N1279" s="79">
        <v>45790</v>
      </c>
      <c r="O1279" s="79">
        <v>45790</v>
      </c>
      <c r="P1279" s="80" t="str">
        <f ca="1">IF(Proc[[#This Row],[DaysAgeing]]&gt;5,"yep","on track")</f>
        <v>yep</v>
      </c>
      <c r="Q1279" s="3">
        <f ca="1">IF(Proc[[#This Row],[DateClosed]]="",ABS(NETWORKDAYS(Proc[[#This Row],[DateOpened]],TODAY()))-1,ABS(NETWORKDAYS(Proc[[#This Row],[DateOpened]],Proc[[#This Row],[DateClosed]]))-1)</f>
        <v>6</v>
      </c>
      <c r="R1279" s="80" t="s">
        <v>410</v>
      </c>
      <c r="S1279" s="69"/>
    </row>
    <row r="1280" spans="1:19" hidden="1">
      <c r="A1280" s="72" t="s">
        <v>2900</v>
      </c>
      <c r="B1280" s="149" t="str">
        <f>IFERROR(VLOOKUP(Proc[[#This Row],[App]],Table2[],3,0),"open")</f>
        <v>ok</v>
      </c>
      <c r="C1280" s="72" t="s">
        <v>369</v>
      </c>
      <c r="D1280" t="s">
        <v>2988</v>
      </c>
      <c r="E1280" t="s">
        <v>3010</v>
      </c>
      <c r="F1280" s="117" t="s">
        <v>3010</v>
      </c>
      <c r="G1280" s="72" t="s">
        <v>400</v>
      </c>
      <c r="H1280" s="69" t="str">
        <f>IF(Proc[[#This Row],[type]]="LFF (MDG-F)",MID(Proc[[#This Row],[Obj]],13,10),"")</f>
        <v/>
      </c>
      <c r="J1280" s="69" t="b">
        <f>Proc[[#This Row],[Requested]]=Proc[[#This Row],[CurrentParent]]</f>
        <v>1</v>
      </c>
      <c r="K1280" s="144" t="str">
        <f>IF(Proc[[#This Row],[Author]]="Marcela Urrego",VLOOKUP(LEFT(Proc[[#This Row],[Requested]],1),Table3[#All],2,0),VLOOKUP(Proc[[#This Row],[Author]],Table4[],2,0))</f>
        <v>HC</v>
      </c>
      <c r="L1280" s="69" t="s">
        <v>2563</v>
      </c>
      <c r="M1280" s="79">
        <v>45782.702824074076</v>
      </c>
      <c r="N1280" s="79">
        <v>45790</v>
      </c>
      <c r="O1280" s="79">
        <v>45790</v>
      </c>
      <c r="P1280" s="80" t="str">
        <f ca="1">IF(Proc[[#This Row],[DaysAgeing]]&gt;5,"yep","on track")</f>
        <v>yep</v>
      </c>
      <c r="Q1280" s="3">
        <f ca="1">IF(Proc[[#This Row],[DateClosed]]="",ABS(NETWORKDAYS(Proc[[#This Row],[DateOpened]],TODAY()))-1,ABS(NETWORKDAYS(Proc[[#This Row],[DateOpened]],Proc[[#This Row],[DateClosed]]))-1)</f>
        <v>6</v>
      </c>
      <c r="R1280" s="80" t="s">
        <v>410</v>
      </c>
      <c r="S1280" s="69"/>
    </row>
    <row r="1281" spans="1:19" hidden="1">
      <c r="A1281" s="72" t="s">
        <v>2900</v>
      </c>
      <c r="B1281" s="149" t="str">
        <f>IFERROR(VLOOKUP(Proc[[#This Row],[App]],Table2[],3,0),"open")</f>
        <v>ok</v>
      </c>
      <c r="C1281" s="72" t="s">
        <v>369</v>
      </c>
      <c r="D1281" t="s">
        <v>2989</v>
      </c>
      <c r="E1281" t="s">
        <v>3010</v>
      </c>
      <c r="F1281" s="117" t="s">
        <v>3010</v>
      </c>
      <c r="G1281" s="72" t="s">
        <v>400</v>
      </c>
      <c r="H1281" s="69" t="str">
        <f>IF(Proc[[#This Row],[type]]="LFF (MDG-F)",MID(Proc[[#This Row],[Obj]],13,10),"")</f>
        <v/>
      </c>
      <c r="J1281" s="69" t="b">
        <f>Proc[[#This Row],[Requested]]=Proc[[#This Row],[CurrentParent]]</f>
        <v>1</v>
      </c>
      <c r="K1281" s="144" t="str">
        <f>IF(Proc[[#This Row],[Author]]="Marcela Urrego",VLOOKUP(LEFT(Proc[[#This Row],[Requested]],1),Table3[#All],2,0),VLOOKUP(Proc[[#This Row],[Author]],Table4[],2,0))</f>
        <v>HC</v>
      </c>
      <c r="L1281" s="69" t="s">
        <v>2563</v>
      </c>
      <c r="M1281" s="79">
        <v>45782.702824074076</v>
      </c>
      <c r="N1281" s="79">
        <v>45790</v>
      </c>
      <c r="O1281" s="79">
        <v>45790</v>
      </c>
      <c r="P1281" s="80" t="str">
        <f ca="1">IF(Proc[[#This Row],[DaysAgeing]]&gt;5,"yep","on track")</f>
        <v>yep</v>
      </c>
      <c r="Q1281" s="3">
        <f ca="1">IF(Proc[[#This Row],[DateClosed]]="",ABS(NETWORKDAYS(Proc[[#This Row],[DateOpened]],TODAY()))-1,ABS(NETWORKDAYS(Proc[[#This Row],[DateOpened]],Proc[[#This Row],[DateClosed]]))-1)</f>
        <v>6</v>
      </c>
      <c r="R1281" s="80" t="s">
        <v>410</v>
      </c>
      <c r="S1281" s="69"/>
    </row>
    <row r="1282" spans="1:19" hidden="1">
      <c r="A1282" s="72" t="s">
        <v>2900</v>
      </c>
      <c r="B1282" s="149" t="str">
        <f>IFERROR(VLOOKUP(Proc[[#This Row],[App]],Table2[],3,0),"open")</f>
        <v>ok</v>
      </c>
      <c r="C1282" s="72" t="s">
        <v>369</v>
      </c>
      <c r="D1282" t="s">
        <v>2990</v>
      </c>
      <c r="E1282" t="s">
        <v>3010</v>
      </c>
      <c r="F1282" s="117" t="s">
        <v>3010</v>
      </c>
      <c r="G1282" s="72" t="s">
        <v>400</v>
      </c>
      <c r="H1282" s="69" t="str">
        <f>IF(Proc[[#This Row],[type]]="LFF (MDG-F)",MID(Proc[[#This Row],[Obj]],13,10),"")</f>
        <v/>
      </c>
      <c r="J1282" s="69" t="b">
        <f>Proc[[#This Row],[Requested]]=Proc[[#This Row],[CurrentParent]]</f>
        <v>1</v>
      </c>
      <c r="K1282" s="144" t="str">
        <f>IF(Proc[[#This Row],[Author]]="Marcela Urrego",VLOOKUP(LEFT(Proc[[#This Row],[Requested]],1),Table3[#All],2,0),VLOOKUP(Proc[[#This Row],[Author]],Table4[],2,0))</f>
        <v>HC</v>
      </c>
      <c r="L1282" s="69" t="s">
        <v>2563</v>
      </c>
      <c r="M1282" s="79">
        <v>45782.702824074076</v>
      </c>
      <c r="N1282" s="79">
        <v>45790</v>
      </c>
      <c r="O1282" s="79">
        <v>45790</v>
      </c>
      <c r="P1282" s="80" t="str">
        <f ca="1">IF(Proc[[#This Row],[DaysAgeing]]&gt;5,"yep","on track")</f>
        <v>yep</v>
      </c>
      <c r="Q1282" s="3">
        <f ca="1">IF(Proc[[#This Row],[DateClosed]]="",ABS(NETWORKDAYS(Proc[[#This Row],[DateOpened]],TODAY()))-1,ABS(NETWORKDAYS(Proc[[#This Row],[DateOpened]],Proc[[#This Row],[DateClosed]]))-1)</f>
        <v>6</v>
      </c>
      <c r="R1282" s="80" t="s">
        <v>410</v>
      </c>
      <c r="S1282" s="69"/>
    </row>
    <row r="1283" spans="1:19" hidden="1">
      <c r="A1283" s="72" t="s">
        <v>2900</v>
      </c>
      <c r="B1283" s="149" t="str">
        <f>IFERROR(VLOOKUP(Proc[[#This Row],[App]],Table2[],3,0),"open")</f>
        <v>ok</v>
      </c>
      <c r="C1283" s="72" t="s">
        <v>369</v>
      </c>
      <c r="D1283" t="s">
        <v>2991</v>
      </c>
      <c r="E1283" t="s">
        <v>3010</v>
      </c>
      <c r="F1283" s="117" t="s">
        <v>3010</v>
      </c>
      <c r="G1283" s="72" t="s">
        <v>400</v>
      </c>
      <c r="H1283" s="69" t="str">
        <f>IF(Proc[[#This Row],[type]]="LFF (MDG-F)",MID(Proc[[#This Row],[Obj]],13,10),"")</f>
        <v/>
      </c>
      <c r="J1283" s="69" t="b">
        <f>Proc[[#This Row],[Requested]]=Proc[[#This Row],[CurrentParent]]</f>
        <v>1</v>
      </c>
      <c r="K1283" s="144" t="str">
        <f>IF(Proc[[#This Row],[Author]]="Marcela Urrego",VLOOKUP(LEFT(Proc[[#This Row],[Requested]],1),Table3[#All],2,0),VLOOKUP(Proc[[#This Row],[Author]],Table4[],2,0))</f>
        <v>HC</v>
      </c>
      <c r="L1283" s="69" t="s">
        <v>2563</v>
      </c>
      <c r="M1283" s="79">
        <v>45782.702824074076</v>
      </c>
      <c r="N1283" s="79">
        <v>45790</v>
      </c>
      <c r="O1283" s="79">
        <v>45790</v>
      </c>
      <c r="P1283" s="80" t="str">
        <f ca="1">IF(Proc[[#This Row],[DaysAgeing]]&gt;5,"yep","on track")</f>
        <v>yep</v>
      </c>
      <c r="Q1283" s="3">
        <f ca="1">IF(Proc[[#This Row],[DateClosed]]="",ABS(NETWORKDAYS(Proc[[#This Row],[DateOpened]],TODAY()))-1,ABS(NETWORKDAYS(Proc[[#This Row],[DateOpened]],Proc[[#This Row],[DateClosed]]))-1)</f>
        <v>6</v>
      </c>
      <c r="R1283" s="80" t="s">
        <v>410</v>
      </c>
      <c r="S1283" s="69"/>
    </row>
    <row r="1284" spans="1:19" hidden="1">
      <c r="A1284" s="72" t="s">
        <v>2900</v>
      </c>
      <c r="B1284" s="149" t="str">
        <f>IFERROR(VLOOKUP(Proc[[#This Row],[App]],Table2[],3,0),"open")</f>
        <v>ok</v>
      </c>
      <c r="C1284" s="72" t="s">
        <v>369</v>
      </c>
      <c r="D1284" t="s">
        <v>2992</v>
      </c>
      <c r="E1284" t="s">
        <v>3010</v>
      </c>
      <c r="F1284" s="117" t="s">
        <v>3010</v>
      </c>
      <c r="G1284" s="72" t="s">
        <v>400</v>
      </c>
      <c r="H1284" s="69" t="str">
        <f>IF(Proc[[#This Row],[type]]="LFF (MDG-F)",MID(Proc[[#This Row],[Obj]],13,10),"")</f>
        <v/>
      </c>
      <c r="J1284" s="69" t="b">
        <f>Proc[[#This Row],[Requested]]=Proc[[#This Row],[CurrentParent]]</f>
        <v>1</v>
      </c>
      <c r="K1284" s="144" t="str">
        <f>IF(Proc[[#This Row],[Author]]="Marcela Urrego",VLOOKUP(LEFT(Proc[[#This Row],[Requested]],1),Table3[#All],2,0),VLOOKUP(Proc[[#This Row],[Author]],Table4[],2,0))</f>
        <v>HC</v>
      </c>
      <c r="L1284" s="69" t="s">
        <v>2563</v>
      </c>
      <c r="M1284" s="79">
        <v>45782.702824074076</v>
      </c>
      <c r="N1284" s="79">
        <v>45790</v>
      </c>
      <c r="O1284" s="79">
        <v>45790</v>
      </c>
      <c r="P1284" s="80" t="str">
        <f ca="1">IF(Proc[[#This Row],[DaysAgeing]]&gt;5,"yep","on track")</f>
        <v>yep</v>
      </c>
      <c r="Q1284" s="3">
        <f ca="1">IF(Proc[[#This Row],[DateClosed]]="",ABS(NETWORKDAYS(Proc[[#This Row],[DateOpened]],TODAY()))-1,ABS(NETWORKDAYS(Proc[[#This Row],[DateOpened]],Proc[[#This Row],[DateClosed]]))-1)</f>
        <v>6</v>
      </c>
      <c r="R1284" s="80" t="s">
        <v>410</v>
      </c>
      <c r="S1284" s="69"/>
    </row>
    <row r="1285" spans="1:19" hidden="1">
      <c r="A1285" s="72" t="s">
        <v>2900</v>
      </c>
      <c r="B1285" s="149" t="str">
        <f>IFERROR(VLOOKUP(Proc[[#This Row],[App]],Table2[],3,0),"open")</f>
        <v>ok</v>
      </c>
      <c r="C1285" s="72" t="s">
        <v>369</v>
      </c>
      <c r="D1285" t="s">
        <v>2993</v>
      </c>
      <c r="E1285" t="s">
        <v>3010</v>
      </c>
      <c r="F1285" s="117" t="s">
        <v>3010</v>
      </c>
      <c r="G1285" s="72" t="s">
        <v>400</v>
      </c>
      <c r="H1285" s="69" t="str">
        <f>IF(Proc[[#This Row],[type]]="LFF (MDG-F)",MID(Proc[[#This Row],[Obj]],13,10),"")</f>
        <v/>
      </c>
      <c r="J1285" s="69" t="b">
        <f>Proc[[#This Row],[Requested]]=Proc[[#This Row],[CurrentParent]]</f>
        <v>1</v>
      </c>
      <c r="K1285" s="144" t="str">
        <f>IF(Proc[[#This Row],[Author]]="Marcela Urrego",VLOOKUP(LEFT(Proc[[#This Row],[Requested]],1),Table3[#All],2,0),VLOOKUP(Proc[[#This Row],[Author]],Table4[],2,0))</f>
        <v>HC</v>
      </c>
      <c r="L1285" s="69" t="s">
        <v>2563</v>
      </c>
      <c r="M1285" s="79">
        <v>45782.702824074076</v>
      </c>
      <c r="N1285" s="79">
        <v>45790</v>
      </c>
      <c r="O1285" s="79">
        <v>45790</v>
      </c>
      <c r="P1285" s="80" t="str">
        <f ca="1">IF(Proc[[#This Row],[DaysAgeing]]&gt;5,"yep","on track")</f>
        <v>yep</v>
      </c>
      <c r="Q1285" s="3">
        <f ca="1">IF(Proc[[#This Row],[DateClosed]]="",ABS(NETWORKDAYS(Proc[[#This Row],[DateOpened]],TODAY()))-1,ABS(NETWORKDAYS(Proc[[#This Row],[DateOpened]],Proc[[#This Row],[DateClosed]]))-1)</f>
        <v>6</v>
      </c>
      <c r="R1285" s="80" t="s">
        <v>410</v>
      </c>
      <c r="S1285" s="69"/>
    </row>
    <row r="1286" spans="1:19" hidden="1">
      <c r="A1286" s="72" t="s">
        <v>2900</v>
      </c>
      <c r="B1286" s="149" t="str">
        <f>IFERROR(VLOOKUP(Proc[[#This Row],[App]],Table2[],3,0),"open")</f>
        <v>ok</v>
      </c>
      <c r="C1286" s="72" t="s">
        <v>369</v>
      </c>
      <c r="D1286" t="s">
        <v>2994</v>
      </c>
      <c r="E1286" t="s">
        <v>3010</v>
      </c>
      <c r="F1286" s="117" t="s">
        <v>3010</v>
      </c>
      <c r="G1286" s="72" t="s">
        <v>400</v>
      </c>
      <c r="H1286" s="69" t="str">
        <f>IF(Proc[[#This Row],[type]]="LFF (MDG-F)",MID(Proc[[#This Row],[Obj]],13,10),"")</f>
        <v/>
      </c>
      <c r="J1286" s="69" t="b">
        <f>Proc[[#This Row],[Requested]]=Proc[[#This Row],[CurrentParent]]</f>
        <v>1</v>
      </c>
      <c r="K1286" s="144" t="str">
        <f>IF(Proc[[#This Row],[Author]]="Marcela Urrego",VLOOKUP(LEFT(Proc[[#This Row],[Requested]],1),Table3[#All],2,0),VLOOKUP(Proc[[#This Row],[Author]],Table4[],2,0))</f>
        <v>HC</v>
      </c>
      <c r="L1286" s="69" t="s">
        <v>2563</v>
      </c>
      <c r="M1286" s="79">
        <v>45782.702824074076</v>
      </c>
      <c r="N1286" s="79">
        <v>45790</v>
      </c>
      <c r="O1286" s="79">
        <v>45790</v>
      </c>
      <c r="P1286" s="80" t="str">
        <f ca="1">IF(Proc[[#This Row],[DaysAgeing]]&gt;5,"yep","on track")</f>
        <v>yep</v>
      </c>
      <c r="Q1286" s="3">
        <f ca="1">IF(Proc[[#This Row],[DateClosed]]="",ABS(NETWORKDAYS(Proc[[#This Row],[DateOpened]],TODAY()))-1,ABS(NETWORKDAYS(Proc[[#This Row],[DateOpened]],Proc[[#This Row],[DateClosed]]))-1)</f>
        <v>6</v>
      </c>
      <c r="R1286" s="80" t="s">
        <v>410</v>
      </c>
      <c r="S1286" s="69"/>
    </row>
    <row r="1287" spans="1:19" hidden="1">
      <c r="A1287" s="72" t="s">
        <v>2900</v>
      </c>
      <c r="B1287" s="149" t="str">
        <f>IFERROR(VLOOKUP(Proc[[#This Row],[App]],Table2[],3,0),"open")</f>
        <v>ok</v>
      </c>
      <c r="C1287" s="72" t="s">
        <v>369</v>
      </c>
      <c r="D1287" t="s">
        <v>2995</v>
      </c>
      <c r="E1287" t="s">
        <v>3010</v>
      </c>
      <c r="F1287" s="117" t="s">
        <v>3010</v>
      </c>
      <c r="G1287" s="72" t="s">
        <v>400</v>
      </c>
      <c r="H1287" s="69" t="str">
        <f>IF(Proc[[#This Row],[type]]="LFF (MDG-F)",MID(Proc[[#This Row],[Obj]],13,10),"")</f>
        <v/>
      </c>
      <c r="J1287" s="69" t="b">
        <f>Proc[[#This Row],[Requested]]=Proc[[#This Row],[CurrentParent]]</f>
        <v>1</v>
      </c>
      <c r="K1287" s="144" t="str">
        <f>IF(Proc[[#This Row],[Author]]="Marcela Urrego",VLOOKUP(LEFT(Proc[[#This Row],[Requested]],1),Table3[#All],2,0),VLOOKUP(Proc[[#This Row],[Author]],Table4[],2,0))</f>
        <v>HC</v>
      </c>
      <c r="L1287" s="69" t="s">
        <v>2563</v>
      </c>
      <c r="M1287" s="79">
        <v>45782.702824074076</v>
      </c>
      <c r="N1287" s="79">
        <v>45790</v>
      </c>
      <c r="O1287" s="79">
        <v>45790</v>
      </c>
      <c r="P1287" s="80" t="str">
        <f ca="1">IF(Proc[[#This Row],[DaysAgeing]]&gt;5,"yep","on track")</f>
        <v>yep</v>
      </c>
      <c r="Q1287" s="3">
        <f ca="1">IF(Proc[[#This Row],[DateClosed]]="",ABS(NETWORKDAYS(Proc[[#This Row],[DateOpened]],TODAY()))-1,ABS(NETWORKDAYS(Proc[[#This Row],[DateOpened]],Proc[[#This Row],[DateClosed]]))-1)</f>
        <v>6</v>
      </c>
      <c r="R1287" s="80" t="s">
        <v>410</v>
      </c>
      <c r="S1287" s="69"/>
    </row>
    <row r="1288" spans="1:19" hidden="1">
      <c r="A1288" s="72" t="s">
        <v>2900</v>
      </c>
      <c r="B1288" s="149" t="str">
        <f>IFERROR(VLOOKUP(Proc[[#This Row],[App]],Table2[],3,0),"open")</f>
        <v>ok</v>
      </c>
      <c r="C1288" s="72" t="s">
        <v>369</v>
      </c>
      <c r="D1288" t="s">
        <v>2996</v>
      </c>
      <c r="E1288" t="s">
        <v>3010</v>
      </c>
      <c r="F1288" s="117" t="s">
        <v>3010</v>
      </c>
      <c r="G1288" s="72" t="s">
        <v>400</v>
      </c>
      <c r="H1288" s="69" t="str">
        <f>IF(Proc[[#This Row],[type]]="LFF (MDG-F)",MID(Proc[[#This Row],[Obj]],13,10),"")</f>
        <v/>
      </c>
      <c r="J1288" s="69" t="b">
        <f>Proc[[#This Row],[Requested]]=Proc[[#This Row],[CurrentParent]]</f>
        <v>1</v>
      </c>
      <c r="K1288" s="144" t="str">
        <f>IF(Proc[[#This Row],[Author]]="Marcela Urrego",VLOOKUP(LEFT(Proc[[#This Row],[Requested]],1),Table3[#All],2,0),VLOOKUP(Proc[[#This Row],[Author]],Table4[],2,0))</f>
        <v>HC</v>
      </c>
      <c r="L1288" s="69" t="s">
        <v>2563</v>
      </c>
      <c r="M1288" s="79">
        <v>45782.702824074076</v>
      </c>
      <c r="N1288" s="79">
        <v>45790</v>
      </c>
      <c r="O1288" s="79">
        <v>45790</v>
      </c>
      <c r="P1288" s="80" t="str">
        <f ca="1">IF(Proc[[#This Row],[DaysAgeing]]&gt;5,"yep","on track")</f>
        <v>yep</v>
      </c>
      <c r="Q1288" s="3">
        <f ca="1">IF(Proc[[#This Row],[DateClosed]]="",ABS(NETWORKDAYS(Proc[[#This Row],[DateOpened]],TODAY()))-1,ABS(NETWORKDAYS(Proc[[#This Row],[DateOpened]],Proc[[#This Row],[DateClosed]]))-1)</f>
        <v>6</v>
      </c>
      <c r="R1288" s="80" t="s">
        <v>410</v>
      </c>
      <c r="S1288" s="69"/>
    </row>
    <row r="1289" spans="1:19" hidden="1">
      <c r="A1289" s="72" t="s">
        <v>2900</v>
      </c>
      <c r="B1289" s="149" t="str">
        <f>IFERROR(VLOOKUP(Proc[[#This Row],[App]],Table2[],3,0),"open")</f>
        <v>ok</v>
      </c>
      <c r="C1289" s="72" t="s">
        <v>369</v>
      </c>
      <c r="D1289" t="s">
        <v>2997</v>
      </c>
      <c r="E1289" t="s">
        <v>3010</v>
      </c>
      <c r="F1289" s="117" t="s">
        <v>3010</v>
      </c>
      <c r="G1289" s="72" t="s">
        <v>400</v>
      </c>
      <c r="H1289" s="69" t="str">
        <f>IF(Proc[[#This Row],[type]]="LFF (MDG-F)",MID(Proc[[#This Row],[Obj]],13,10),"")</f>
        <v/>
      </c>
      <c r="J1289" s="69" t="b">
        <f>Proc[[#This Row],[Requested]]=Proc[[#This Row],[CurrentParent]]</f>
        <v>1</v>
      </c>
      <c r="K1289" s="144" t="str">
        <f>IF(Proc[[#This Row],[Author]]="Marcela Urrego",VLOOKUP(LEFT(Proc[[#This Row],[Requested]],1),Table3[#All],2,0),VLOOKUP(Proc[[#This Row],[Author]],Table4[],2,0))</f>
        <v>HC</v>
      </c>
      <c r="L1289" s="69" t="s">
        <v>2563</v>
      </c>
      <c r="M1289" s="79">
        <v>45782.702824074076</v>
      </c>
      <c r="N1289" s="79">
        <v>45790</v>
      </c>
      <c r="O1289" s="79">
        <v>45790</v>
      </c>
      <c r="P1289" s="80" t="str">
        <f ca="1">IF(Proc[[#This Row],[DaysAgeing]]&gt;5,"yep","on track")</f>
        <v>yep</v>
      </c>
      <c r="Q1289" s="3">
        <f ca="1">IF(Proc[[#This Row],[DateClosed]]="",ABS(NETWORKDAYS(Proc[[#This Row],[DateOpened]],TODAY()))-1,ABS(NETWORKDAYS(Proc[[#This Row],[DateOpened]],Proc[[#This Row],[DateClosed]]))-1)</f>
        <v>6</v>
      </c>
      <c r="R1289" s="80" t="s">
        <v>410</v>
      </c>
      <c r="S1289" s="69"/>
    </row>
    <row r="1290" spans="1:19" hidden="1">
      <c r="A1290" s="72" t="s">
        <v>2900</v>
      </c>
      <c r="B1290" s="149" t="str">
        <f>IFERROR(VLOOKUP(Proc[[#This Row],[App]],Table2[],3,0),"open")</f>
        <v>ok</v>
      </c>
      <c r="C1290" s="72" t="s">
        <v>369</v>
      </c>
      <c r="D1290" t="s">
        <v>2998</v>
      </c>
      <c r="E1290" t="s">
        <v>3010</v>
      </c>
      <c r="F1290" s="117" t="s">
        <v>3010</v>
      </c>
      <c r="G1290" s="72" t="s">
        <v>400</v>
      </c>
      <c r="H1290" s="69" t="str">
        <f>IF(Proc[[#This Row],[type]]="LFF (MDG-F)",MID(Proc[[#This Row],[Obj]],13,10),"")</f>
        <v/>
      </c>
      <c r="J1290" s="69" t="b">
        <f>Proc[[#This Row],[Requested]]=Proc[[#This Row],[CurrentParent]]</f>
        <v>1</v>
      </c>
      <c r="K1290" s="144" t="str">
        <f>IF(Proc[[#This Row],[Author]]="Marcela Urrego",VLOOKUP(LEFT(Proc[[#This Row],[Requested]],1),Table3[#All],2,0),VLOOKUP(Proc[[#This Row],[Author]],Table4[],2,0))</f>
        <v>HC</v>
      </c>
      <c r="L1290" s="69" t="s">
        <v>2563</v>
      </c>
      <c r="M1290" s="79">
        <v>45782.702824074076</v>
      </c>
      <c r="N1290" s="79">
        <v>45790</v>
      </c>
      <c r="O1290" s="79">
        <v>45790</v>
      </c>
      <c r="P1290" s="80" t="str">
        <f ca="1">IF(Proc[[#This Row],[DaysAgeing]]&gt;5,"yep","on track")</f>
        <v>yep</v>
      </c>
      <c r="Q1290" s="3">
        <f ca="1">IF(Proc[[#This Row],[DateClosed]]="",ABS(NETWORKDAYS(Proc[[#This Row],[DateOpened]],TODAY()))-1,ABS(NETWORKDAYS(Proc[[#This Row],[DateOpened]],Proc[[#This Row],[DateClosed]]))-1)</f>
        <v>6</v>
      </c>
      <c r="R1290" s="80" t="s">
        <v>410</v>
      </c>
      <c r="S1290" s="69"/>
    </row>
    <row r="1291" spans="1:19" hidden="1">
      <c r="A1291" s="72" t="s">
        <v>2900</v>
      </c>
      <c r="B1291" s="149" t="str">
        <f>IFERROR(VLOOKUP(Proc[[#This Row],[App]],Table2[],3,0),"open")</f>
        <v>ok</v>
      </c>
      <c r="C1291" s="72" t="s">
        <v>369</v>
      </c>
      <c r="D1291" t="s">
        <v>2999</v>
      </c>
      <c r="E1291" t="s">
        <v>3010</v>
      </c>
      <c r="F1291" s="117" t="s">
        <v>3010</v>
      </c>
      <c r="G1291" s="72" t="s">
        <v>400</v>
      </c>
      <c r="H1291" s="69" t="str">
        <f>IF(Proc[[#This Row],[type]]="LFF (MDG-F)",MID(Proc[[#This Row],[Obj]],13,10),"")</f>
        <v/>
      </c>
      <c r="J1291" s="69" t="b">
        <f>Proc[[#This Row],[Requested]]=Proc[[#This Row],[CurrentParent]]</f>
        <v>1</v>
      </c>
      <c r="K1291" s="144" t="str">
        <f>IF(Proc[[#This Row],[Author]]="Marcela Urrego",VLOOKUP(LEFT(Proc[[#This Row],[Requested]],1),Table3[#All],2,0),VLOOKUP(Proc[[#This Row],[Author]],Table4[],2,0))</f>
        <v>HC</v>
      </c>
      <c r="L1291" s="69" t="s">
        <v>2563</v>
      </c>
      <c r="M1291" s="79">
        <v>45782.702824074076</v>
      </c>
      <c r="N1291" s="79">
        <v>45790</v>
      </c>
      <c r="O1291" s="79">
        <v>45790</v>
      </c>
      <c r="P1291" s="80" t="str">
        <f ca="1">IF(Proc[[#This Row],[DaysAgeing]]&gt;5,"yep","on track")</f>
        <v>yep</v>
      </c>
      <c r="Q1291" s="3">
        <f ca="1">IF(Proc[[#This Row],[DateClosed]]="",ABS(NETWORKDAYS(Proc[[#This Row],[DateOpened]],TODAY()))-1,ABS(NETWORKDAYS(Proc[[#This Row],[DateOpened]],Proc[[#This Row],[DateClosed]]))-1)</f>
        <v>6</v>
      </c>
      <c r="R1291" s="80" t="s">
        <v>410</v>
      </c>
      <c r="S1291" s="69"/>
    </row>
    <row r="1292" spans="1:19" hidden="1">
      <c r="A1292" s="72" t="s">
        <v>2900</v>
      </c>
      <c r="B1292" s="149" t="str">
        <f>IFERROR(VLOOKUP(Proc[[#This Row],[App]],Table2[],3,0),"open")</f>
        <v>ok</v>
      </c>
      <c r="C1292" s="72" t="s">
        <v>369</v>
      </c>
      <c r="D1292" t="s">
        <v>3000</v>
      </c>
      <c r="E1292" t="s">
        <v>3010</v>
      </c>
      <c r="F1292" s="117" t="s">
        <v>3010</v>
      </c>
      <c r="G1292" s="72" t="s">
        <v>400</v>
      </c>
      <c r="H1292" s="69" t="str">
        <f>IF(Proc[[#This Row],[type]]="LFF (MDG-F)",MID(Proc[[#This Row],[Obj]],13,10),"")</f>
        <v/>
      </c>
      <c r="J1292" s="69" t="b">
        <f>Proc[[#This Row],[Requested]]=Proc[[#This Row],[CurrentParent]]</f>
        <v>1</v>
      </c>
      <c r="K1292" s="144" t="str">
        <f>IF(Proc[[#This Row],[Author]]="Marcela Urrego",VLOOKUP(LEFT(Proc[[#This Row],[Requested]],1),Table3[#All],2,0),VLOOKUP(Proc[[#This Row],[Author]],Table4[],2,0))</f>
        <v>HC</v>
      </c>
      <c r="L1292" s="69" t="s">
        <v>2563</v>
      </c>
      <c r="M1292" s="79">
        <v>45782.702824074076</v>
      </c>
      <c r="N1292" s="79">
        <v>45790</v>
      </c>
      <c r="O1292" s="79">
        <v>45790</v>
      </c>
      <c r="P1292" s="80" t="str">
        <f ca="1">IF(Proc[[#This Row],[DaysAgeing]]&gt;5,"yep","on track")</f>
        <v>yep</v>
      </c>
      <c r="Q1292" s="3">
        <f ca="1">IF(Proc[[#This Row],[DateClosed]]="",ABS(NETWORKDAYS(Proc[[#This Row],[DateOpened]],TODAY()))-1,ABS(NETWORKDAYS(Proc[[#This Row],[DateOpened]],Proc[[#This Row],[DateClosed]]))-1)</f>
        <v>6</v>
      </c>
      <c r="R1292" s="80" t="s">
        <v>410</v>
      </c>
      <c r="S1292" s="69"/>
    </row>
    <row r="1293" spans="1:19" hidden="1">
      <c r="A1293" s="72" t="s">
        <v>2900</v>
      </c>
      <c r="B1293" s="149" t="str">
        <f>IFERROR(VLOOKUP(Proc[[#This Row],[App]],Table2[],3,0),"open")</f>
        <v>ok</v>
      </c>
      <c r="C1293" s="72" t="s">
        <v>369</v>
      </c>
      <c r="D1293" t="s">
        <v>3001</v>
      </c>
      <c r="E1293" t="s">
        <v>3010</v>
      </c>
      <c r="F1293" s="117" t="s">
        <v>3010</v>
      </c>
      <c r="G1293" s="72" t="s">
        <v>400</v>
      </c>
      <c r="H1293" s="69" t="str">
        <f>IF(Proc[[#This Row],[type]]="LFF (MDG-F)",MID(Proc[[#This Row],[Obj]],13,10),"")</f>
        <v/>
      </c>
      <c r="J1293" s="69" t="b">
        <f>Proc[[#This Row],[Requested]]=Proc[[#This Row],[CurrentParent]]</f>
        <v>1</v>
      </c>
      <c r="K1293" s="144" t="str">
        <f>IF(Proc[[#This Row],[Author]]="Marcela Urrego",VLOOKUP(LEFT(Proc[[#This Row],[Requested]],1),Table3[#All],2,0),VLOOKUP(Proc[[#This Row],[Author]],Table4[],2,0))</f>
        <v>HC</v>
      </c>
      <c r="L1293" s="69" t="s">
        <v>2563</v>
      </c>
      <c r="M1293" s="79">
        <v>45782.702824074076</v>
      </c>
      <c r="N1293" s="79">
        <v>45790</v>
      </c>
      <c r="O1293" s="79">
        <v>45790</v>
      </c>
      <c r="P1293" s="80" t="str">
        <f ca="1">IF(Proc[[#This Row],[DaysAgeing]]&gt;5,"yep","on track")</f>
        <v>yep</v>
      </c>
      <c r="Q1293" s="3">
        <f ca="1">IF(Proc[[#This Row],[DateClosed]]="",ABS(NETWORKDAYS(Proc[[#This Row],[DateOpened]],TODAY()))-1,ABS(NETWORKDAYS(Proc[[#This Row],[DateOpened]],Proc[[#This Row],[DateClosed]]))-1)</f>
        <v>6</v>
      </c>
      <c r="R1293" s="80" t="s">
        <v>410</v>
      </c>
      <c r="S1293" s="69"/>
    </row>
    <row r="1294" spans="1:19" hidden="1">
      <c r="A1294" t="s">
        <v>3013</v>
      </c>
      <c r="B1294" s="149" t="str">
        <f>IFERROR(VLOOKUP(Proc[[#This Row],[App]],Table2[],3,0),"open")</f>
        <v>ok</v>
      </c>
      <c r="C1294" s="72" t="s">
        <v>369</v>
      </c>
      <c r="D1294" t="s">
        <v>3011</v>
      </c>
      <c r="E1294" t="s">
        <v>3012</v>
      </c>
      <c r="F1294" s="117" t="s">
        <v>3012</v>
      </c>
      <c r="G1294" s="72" t="s">
        <v>400</v>
      </c>
      <c r="H1294" s="69" t="str">
        <f>IF(Proc[[#This Row],[type]]="LFF (MDG-F)",MID(Proc[[#This Row],[Obj]],13,10),"")</f>
        <v/>
      </c>
      <c r="J1294" s="69" t="b">
        <f>Proc[[#This Row],[Requested]]=Proc[[#This Row],[CurrentParent]]</f>
        <v>1</v>
      </c>
      <c r="K1294" s="144" t="str">
        <f>IF(Proc[[#This Row],[Author]]="Marcela Urrego",VLOOKUP(LEFT(Proc[[#This Row],[Requested]],1),Table3[#All],2,0),VLOOKUP(Proc[[#This Row],[Author]],Table4[],2,0))</f>
        <v>MGF</v>
      </c>
      <c r="L1294" s="69" t="s">
        <v>2563</v>
      </c>
      <c r="M1294" s="79">
        <v>45783.524351851855</v>
      </c>
      <c r="N1294" s="79">
        <v>45790</v>
      </c>
      <c r="O1294" s="79">
        <v>45790</v>
      </c>
      <c r="P1294" s="80" t="str">
        <f ca="1">IF(Proc[[#This Row],[DaysAgeing]]&gt;5,"yep","on track")</f>
        <v>on track</v>
      </c>
      <c r="Q1294" s="3">
        <f ca="1">IF(Proc[[#This Row],[DateClosed]]="",ABS(NETWORKDAYS(Proc[[#This Row],[DateOpened]],TODAY()))-1,ABS(NETWORKDAYS(Proc[[#This Row],[DateOpened]],Proc[[#This Row],[DateClosed]]))-1)</f>
        <v>5</v>
      </c>
      <c r="R1294" s="80" t="s">
        <v>515</v>
      </c>
      <c r="S1294" s="69"/>
    </row>
    <row r="1295" spans="1:19" hidden="1">
      <c r="A1295" t="s">
        <v>3015</v>
      </c>
      <c r="B1295" s="149" t="str">
        <f>IFERROR(VLOOKUP(Proc[[#This Row],[App]],Table2[],3,0),"open")</f>
        <v>ok</v>
      </c>
      <c r="C1295" t="s">
        <v>369</v>
      </c>
      <c r="D1295" t="s">
        <v>3016</v>
      </c>
      <c r="E1295" t="s">
        <v>3017</v>
      </c>
      <c r="F1295" s="117" t="s">
        <v>3017</v>
      </c>
      <c r="G1295" s="72" t="s">
        <v>400</v>
      </c>
      <c r="H1295" s="69" t="str">
        <f>IF(Proc[[#This Row],[type]]="LFF (MDG-F)",MID(Proc[[#This Row],[Obj]],13,10),"")</f>
        <v/>
      </c>
      <c r="J1295" s="69" t="b">
        <f>Proc[[#This Row],[Requested]]=Proc[[#This Row],[CurrentParent]]</f>
        <v>1</v>
      </c>
      <c r="K1295" s="144" t="str">
        <f>IF(Proc[[#This Row],[Author]]="Marcela Urrego",VLOOKUP(LEFT(Proc[[#This Row],[Requested]],1),Table3[#All],2,0),VLOOKUP(Proc[[#This Row],[Author]],Table4[],2,0))</f>
        <v>MGF</v>
      </c>
      <c r="L1295" s="69" t="s">
        <v>2563</v>
      </c>
      <c r="M1295" s="79">
        <v>45785.703668981485</v>
      </c>
      <c r="N1295" s="79">
        <v>45790</v>
      </c>
      <c r="O1295" s="79">
        <v>45790</v>
      </c>
      <c r="P1295" s="80" t="str">
        <f ca="1">IF(Proc[[#This Row],[DaysAgeing]]&gt;5,"yep","on track")</f>
        <v>on track</v>
      </c>
      <c r="Q1295" s="3">
        <f ca="1">IF(Proc[[#This Row],[DateClosed]]="",ABS(NETWORKDAYS(Proc[[#This Row],[DateOpened]],TODAY()))-1,ABS(NETWORKDAYS(Proc[[#This Row],[DateOpened]],Proc[[#This Row],[DateClosed]]))-1)</f>
        <v>3</v>
      </c>
      <c r="R1295" s="80" t="s">
        <v>1076</v>
      </c>
      <c r="S1295" s="69"/>
    </row>
    <row r="1296" spans="1:19" hidden="1">
      <c r="A1296" s="72" t="s">
        <v>3015</v>
      </c>
      <c r="B1296" s="149" t="str">
        <f>IFERROR(VLOOKUP(Proc[[#This Row],[App]],Table2[],3,0),"open")</f>
        <v>ok</v>
      </c>
      <c r="C1296" s="72" t="s">
        <v>377</v>
      </c>
      <c r="D1296" t="s">
        <v>1987</v>
      </c>
      <c r="E1296" t="s">
        <v>735</v>
      </c>
      <c r="F1296" s="103" t="s">
        <v>735</v>
      </c>
      <c r="G1296" t="s">
        <v>406</v>
      </c>
      <c r="H1296" s="69" t="str">
        <f>IF(Proc[[#This Row],[type]]="LFF (MDG-F)",MID(Proc[[#This Row],[Obj]],13,10),"")</f>
        <v>US20Z01000</v>
      </c>
      <c r="I1296" t="s">
        <v>822</v>
      </c>
      <c r="J1296" s="69" t="b">
        <f>Proc[[#This Row],[Requested]]=Proc[[#This Row],[CurrentParent]]</f>
        <v>1</v>
      </c>
      <c r="K1296" s="144" t="str">
        <f>IF(Proc[[#This Row],[Author]]="Marcela Urrego",VLOOKUP(LEFT(Proc[[#This Row],[Requested]],1),Table3[#All],2,0),VLOOKUP(Proc[[#This Row],[Author]],Table4[],2,0))</f>
        <v>MGF</v>
      </c>
      <c r="L1296" s="69" t="s">
        <v>2563</v>
      </c>
      <c r="M1296" s="79">
        <v>45785.703668981485</v>
      </c>
      <c r="N1296" s="79"/>
      <c r="O1296" s="79">
        <v>45790</v>
      </c>
      <c r="P1296" s="80" t="str">
        <f ca="1">IF(Proc[[#This Row],[DaysAgeing]]&gt;5,"yep","on track")</f>
        <v>on track</v>
      </c>
      <c r="Q1296" s="3">
        <f ca="1">IF(Proc[[#This Row],[DateClosed]]="",ABS(NETWORKDAYS(Proc[[#This Row],[DateOpened]],TODAY()))-1,ABS(NETWORKDAYS(Proc[[#This Row],[DateOpened]],Proc[[#This Row],[DateClosed]]))-1)</f>
        <v>3</v>
      </c>
      <c r="R1296" s="80" t="s">
        <v>1076</v>
      </c>
      <c r="S1296" s="94" t="e">
        <f>VLOOKUP(Proc[[#This Row],[Obj]],#REF!,2,0)</f>
        <v>#REF!</v>
      </c>
    </row>
    <row r="1297" spans="1:19" hidden="1">
      <c r="A1297" t="s">
        <v>3018</v>
      </c>
      <c r="B1297" s="149" t="str">
        <f>IFERROR(VLOOKUP(Proc[[#This Row],[App]],Table2[],3,0),"open")</f>
        <v>ok</v>
      </c>
      <c r="C1297" s="72" t="s">
        <v>369</v>
      </c>
      <c r="D1297" t="s">
        <v>3019</v>
      </c>
      <c r="E1297" t="s">
        <v>3020</v>
      </c>
      <c r="F1297" s="117" t="s">
        <v>3020</v>
      </c>
      <c r="G1297" s="72" t="s">
        <v>400</v>
      </c>
      <c r="H1297" s="69" t="str">
        <f>IF(Proc[[#This Row],[type]]="LFF (MDG-F)",MID(Proc[[#This Row],[Obj]],13,10),"")</f>
        <v/>
      </c>
      <c r="J1297" s="69" t="b">
        <f>Proc[[#This Row],[Requested]]=Proc[[#This Row],[CurrentParent]]</f>
        <v>1</v>
      </c>
      <c r="K1297" s="144" t="str">
        <f>IF(Proc[[#This Row],[Author]]="Marcela Urrego",VLOOKUP(LEFT(Proc[[#This Row],[Requested]],1),Table3[#All],2,0),VLOOKUP(Proc[[#This Row],[Author]],Table4[],2,0))</f>
        <v>MGF</v>
      </c>
      <c r="L1297" s="69" t="s">
        <v>2563</v>
      </c>
      <c r="M1297" s="79">
        <v>45785.653692129628</v>
      </c>
      <c r="N1297" s="79">
        <v>45790</v>
      </c>
      <c r="O1297" s="79">
        <v>45790</v>
      </c>
      <c r="P1297" s="80" t="str">
        <f ca="1">IF(Proc[[#This Row],[DaysAgeing]]&gt;5,"yep","on track")</f>
        <v>on track</v>
      </c>
      <c r="Q1297" s="3">
        <f ca="1">IF(Proc[[#This Row],[DateClosed]]="",ABS(NETWORKDAYS(Proc[[#This Row],[DateOpened]],TODAY()))-1,ABS(NETWORKDAYS(Proc[[#This Row],[DateOpened]],Proc[[#This Row],[DateClosed]]))-1)</f>
        <v>3</v>
      </c>
      <c r="R1297" s="80" t="s">
        <v>1459</v>
      </c>
      <c r="S1297" s="69"/>
    </row>
    <row r="1298" spans="1:19" hidden="1">
      <c r="A1298" t="s">
        <v>3021</v>
      </c>
      <c r="B1298" s="149" t="str">
        <f>IFERROR(VLOOKUP(Proc[[#This Row],[App]],Table2[],3,0),"open")</f>
        <v>ok</v>
      </c>
      <c r="C1298" s="72" t="s">
        <v>369</v>
      </c>
      <c r="D1298" t="s">
        <v>3022</v>
      </c>
      <c r="E1298" t="s">
        <v>3023</v>
      </c>
      <c r="F1298" s="117" t="s">
        <v>3023</v>
      </c>
      <c r="G1298" s="72" t="s">
        <v>400</v>
      </c>
      <c r="H1298" s="69" t="str">
        <f>IF(Proc[[#This Row],[type]]="LFF (MDG-F)",MID(Proc[[#This Row],[Obj]],13,10),"")</f>
        <v/>
      </c>
      <c r="J1298" s="69" t="b">
        <f>Proc[[#This Row],[Requested]]=Proc[[#This Row],[CurrentParent]]</f>
        <v>1</v>
      </c>
      <c r="K1298" s="144" t="str">
        <f>IF(Proc[[#This Row],[Author]]="Marcela Urrego",VLOOKUP(LEFT(Proc[[#This Row],[Requested]],1),Table3[#All],2,0),VLOOKUP(Proc[[#This Row],[Author]],Table4[],2,0))</f>
        <v>MGF</v>
      </c>
      <c r="L1298" s="69" t="s">
        <v>2563</v>
      </c>
      <c r="M1298" s="79">
        <v>45785.598506944443</v>
      </c>
      <c r="N1298" s="79">
        <v>45790</v>
      </c>
      <c r="O1298" s="79">
        <v>45790</v>
      </c>
      <c r="P1298" s="80" t="str">
        <f ca="1">IF(Proc[[#This Row],[DaysAgeing]]&gt;5,"yep","on track")</f>
        <v>on track</v>
      </c>
      <c r="Q1298" s="3">
        <f ca="1">IF(Proc[[#This Row],[DateClosed]]="",ABS(NETWORKDAYS(Proc[[#This Row],[DateOpened]],TODAY()))-1,ABS(NETWORKDAYS(Proc[[#This Row],[DateOpened]],Proc[[#This Row],[DateClosed]]))-1)</f>
        <v>3</v>
      </c>
      <c r="R1298" s="80" t="s">
        <v>515</v>
      </c>
      <c r="S1298" s="69"/>
    </row>
    <row r="1299" spans="1:19" hidden="1">
      <c r="A1299" t="s">
        <v>3065</v>
      </c>
      <c r="B1299" s="149" t="str">
        <f>IFERROR(VLOOKUP(Proc[[#This Row],[App]],Table2[],3,0),"open")</f>
        <v>ok</v>
      </c>
      <c r="C1299" t="s">
        <v>369</v>
      </c>
      <c r="D1299" t="s">
        <v>3024</v>
      </c>
      <c r="E1299" t="s">
        <v>3025</v>
      </c>
      <c r="F1299" s="117" t="s">
        <v>3025</v>
      </c>
      <c r="G1299" s="72" t="s">
        <v>400</v>
      </c>
      <c r="H1299" s="69" t="str">
        <f>IF(Proc[[#This Row],[type]]="LFF (MDG-F)",MID(Proc[[#This Row],[Obj]],13,10),"")</f>
        <v/>
      </c>
      <c r="I1299" t="s">
        <v>3061</v>
      </c>
      <c r="J1299" s="69" t="b">
        <f>Proc[[#This Row],[Requested]]=Proc[[#This Row],[CurrentParent]]</f>
        <v>1</v>
      </c>
      <c r="K1299" s="144" t="str">
        <f>IF(Proc[[#This Row],[Author]]="Marcela Urrego",VLOOKUP(LEFT(Proc[[#This Row],[Requested]],1),Table3[#All],2,0),VLOOKUP(Proc[[#This Row],[Author]],Table4[],2,0))</f>
        <v>LS</v>
      </c>
      <c r="L1299" s="69" t="s">
        <v>2563</v>
      </c>
      <c r="M1299" s="79">
        <v>45789.517060185186</v>
      </c>
      <c r="N1299" s="83">
        <v>45791</v>
      </c>
      <c r="O1299" s="83">
        <v>45791</v>
      </c>
      <c r="P1299" s="80" t="str">
        <f ca="1">IF(Proc[[#This Row],[DaysAgeing]]&gt;5,"yep","on track")</f>
        <v>on track</v>
      </c>
      <c r="Q1299" s="3">
        <f ca="1">IF(Proc[[#This Row],[DateClosed]]="",ABS(NETWORKDAYS(Proc[[#This Row],[DateOpened]],TODAY()))-1,ABS(NETWORKDAYS(Proc[[#This Row],[DateOpened]],Proc[[#This Row],[DateClosed]]))-1)</f>
        <v>2</v>
      </c>
      <c r="R1299" s="80" t="s">
        <v>489</v>
      </c>
      <c r="S1299" s="69"/>
    </row>
    <row r="1300" spans="1:19" hidden="1">
      <c r="A1300" s="72" t="s">
        <v>3065</v>
      </c>
      <c r="B1300" s="149" t="str">
        <f>IFERROR(VLOOKUP(Proc[[#This Row],[App]],Table2[],3,0),"open")</f>
        <v>ok</v>
      </c>
      <c r="C1300" s="72" t="s">
        <v>369</v>
      </c>
      <c r="D1300" t="s">
        <v>3026</v>
      </c>
      <c r="E1300" t="s">
        <v>3025</v>
      </c>
      <c r="F1300" s="117" t="s">
        <v>3025</v>
      </c>
      <c r="G1300" s="72" t="s">
        <v>400</v>
      </c>
      <c r="H1300" s="69" t="str">
        <f>IF(Proc[[#This Row],[type]]="LFF (MDG-F)",MID(Proc[[#This Row],[Obj]],13,10),"")</f>
        <v/>
      </c>
      <c r="I1300" t="s">
        <v>3061</v>
      </c>
      <c r="J1300" s="69" t="b">
        <f>Proc[[#This Row],[Requested]]=Proc[[#This Row],[CurrentParent]]</f>
        <v>1</v>
      </c>
      <c r="K1300" s="144" t="str">
        <f>IF(Proc[[#This Row],[Author]]="Marcela Urrego",VLOOKUP(LEFT(Proc[[#This Row],[Requested]],1),Table3[#All],2,0),VLOOKUP(Proc[[#This Row],[Author]],Table4[],2,0))</f>
        <v>LS</v>
      </c>
      <c r="L1300" s="69" t="s">
        <v>2563</v>
      </c>
      <c r="M1300" s="79">
        <v>45789.517060185186</v>
      </c>
      <c r="N1300" s="83">
        <v>45791</v>
      </c>
      <c r="O1300" s="83">
        <v>45791</v>
      </c>
      <c r="P1300" s="80" t="str">
        <f ca="1">IF(Proc[[#This Row],[DaysAgeing]]&gt;5,"yep","on track")</f>
        <v>on track</v>
      </c>
      <c r="Q1300" s="3">
        <f ca="1">IF(Proc[[#This Row],[DateClosed]]="",ABS(NETWORKDAYS(Proc[[#This Row],[DateOpened]],TODAY()))-1,ABS(NETWORKDAYS(Proc[[#This Row],[DateOpened]],Proc[[#This Row],[DateClosed]]))-1)</f>
        <v>2</v>
      </c>
      <c r="R1300" s="80" t="s">
        <v>489</v>
      </c>
      <c r="S1300" s="69"/>
    </row>
    <row r="1301" spans="1:19" hidden="1">
      <c r="A1301" s="72" t="s">
        <v>3065</v>
      </c>
      <c r="B1301" s="149" t="str">
        <f>IFERROR(VLOOKUP(Proc[[#This Row],[App]],Table2[],3,0),"open")</f>
        <v>ok</v>
      </c>
      <c r="C1301" s="72" t="s">
        <v>369</v>
      </c>
      <c r="D1301" t="s">
        <v>3027</v>
      </c>
      <c r="E1301" t="s">
        <v>3025</v>
      </c>
      <c r="F1301" s="117" t="s">
        <v>3025</v>
      </c>
      <c r="G1301" s="72" t="s">
        <v>400</v>
      </c>
      <c r="H1301" s="69" t="str">
        <f>IF(Proc[[#This Row],[type]]="LFF (MDG-F)",MID(Proc[[#This Row],[Obj]],13,10),"")</f>
        <v/>
      </c>
      <c r="I1301" t="s">
        <v>3061</v>
      </c>
      <c r="J1301" s="69" t="b">
        <f>Proc[[#This Row],[Requested]]=Proc[[#This Row],[CurrentParent]]</f>
        <v>1</v>
      </c>
      <c r="K1301" s="144" t="str">
        <f>IF(Proc[[#This Row],[Author]]="Marcela Urrego",VLOOKUP(LEFT(Proc[[#This Row],[Requested]],1),Table3[#All],2,0),VLOOKUP(Proc[[#This Row],[Author]],Table4[],2,0))</f>
        <v>LS</v>
      </c>
      <c r="L1301" s="69" t="s">
        <v>2563</v>
      </c>
      <c r="M1301" s="79">
        <v>45789.517060185186</v>
      </c>
      <c r="N1301" s="83">
        <v>45791</v>
      </c>
      <c r="O1301" s="83">
        <v>45791</v>
      </c>
      <c r="P1301" s="80" t="str">
        <f ca="1">IF(Proc[[#This Row],[DaysAgeing]]&gt;5,"yep","on track")</f>
        <v>on track</v>
      </c>
      <c r="Q1301" s="3">
        <f ca="1">IF(Proc[[#This Row],[DateClosed]]="",ABS(NETWORKDAYS(Proc[[#This Row],[DateOpened]],TODAY()))-1,ABS(NETWORKDAYS(Proc[[#This Row],[DateOpened]],Proc[[#This Row],[DateClosed]]))-1)</f>
        <v>2</v>
      </c>
      <c r="R1301" s="80" t="s">
        <v>489</v>
      </c>
      <c r="S1301" s="69"/>
    </row>
    <row r="1302" spans="1:19" hidden="1">
      <c r="A1302" s="72" t="s">
        <v>3065</v>
      </c>
      <c r="B1302" s="149" t="str">
        <f>IFERROR(VLOOKUP(Proc[[#This Row],[App]],Table2[],3,0),"open")</f>
        <v>ok</v>
      </c>
      <c r="C1302" s="72" t="s">
        <v>369</v>
      </c>
      <c r="D1302" t="s">
        <v>3028</v>
      </c>
      <c r="E1302" t="s">
        <v>3025</v>
      </c>
      <c r="F1302" s="117" t="s">
        <v>3025</v>
      </c>
      <c r="G1302" s="72" t="s">
        <v>400</v>
      </c>
      <c r="H1302" s="69" t="str">
        <f>IF(Proc[[#This Row],[type]]="LFF (MDG-F)",MID(Proc[[#This Row],[Obj]],13,10),"")</f>
        <v/>
      </c>
      <c r="I1302" t="s">
        <v>3061</v>
      </c>
      <c r="J1302" s="69" t="b">
        <f>Proc[[#This Row],[Requested]]=Proc[[#This Row],[CurrentParent]]</f>
        <v>1</v>
      </c>
      <c r="K1302" s="144" t="str">
        <f>IF(Proc[[#This Row],[Author]]="Marcela Urrego",VLOOKUP(LEFT(Proc[[#This Row],[Requested]],1),Table3[#All],2,0),VLOOKUP(Proc[[#This Row],[Author]],Table4[],2,0))</f>
        <v>LS</v>
      </c>
      <c r="L1302" s="69" t="s">
        <v>2563</v>
      </c>
      <c r="M1302" s="79">
        <v>45789.517060185186</v>
      </c>
      <c r="N1302" s="83">
        <v>45791</v>
      </c>
      <c r="O1302" s="83">
        <v>45791</v>
      </c>
      <c r="P1302" s="80" t="str">
        <f ca="1">IF(Proc[[#This Row],[DaysAgeing]]&gt;5,"yep","on track")</f>
        <v>on track</v>
      </c>
      <c r="Q1302" s="3">
        <f ca="1">IF(Proc[[#This Row],[DateClosed]]="",ABS(NETWORKDAYS(Proc[[#This Row],[DateOpened]],TODAY()))-1,ABS(NETWORKDAYS(Proc[[#This Row],[DateOpened]],Proc[[#This Row],[DateClosed]]))-1)</f>
        <v>2</v>
      </c>
      <c r="R1302" s="80" t="s">
        <v>489</v>
      </c>
      <c r="S1302" s="69"/>
    </row>
    <row r="1303" spans="1:19" hidden="1">
      <c r="A1303" s="72" t="s">
        <v>3065</v>
      </c>
      <c r="B1303" s="149" t="str">
        <f>IFERROR(VLOOKUP(Proc[[#This Row],[App]],Table2[],3,0),"open")</f>
        <v>ok</v>
      </c>
      <c r="C1303" s="72" t="s">
        <v>369</v>
      </c>
      <c r="D1303" t="s">
        <v>3029</v>
      </c>
      <c r="E1303" t="s">
        <v>3025</v>
      </c>
      <c r="F1303" s="117" t="s">
        <v>3025</v>
      </c>
      <c r="G1303" s="72" t="s">
        <v>400</v>
      </c>
      <c r="H1303" s="69" t="str">
        <f>IF(Proc[[#This Row],[type]]="LFF (MDG-F)",MID(Proc[[#This Row],[Obj]],13,10),"")</f>
        <v/>
      </c>
      <c r="I1303" t="s">
        <v>3062</v>
      </c>
      <c r="J1303" s="69" t="b">
        <f>Proc[[#This Row],[Requested]]=Proc[[#This Row],[CurrentParent]]</f>
        <v>1</v>
      </c>
      <c r="K1303" s="144" t="str">
        <f>IF(Proc[[#This Row],[Author]]="Marcela Urrego",VLOOKUP(LEFT(Proc[[#This Row],[Requested]],1),Table3[#All],2,0),VLOOKUP(Proc[[#This Row],[Author]],Table4[],2,0))</f>
        <v>LS</v>
      </c>
      <c r="L1303" s="69" t="s">
        <v>2563</v>
      </c>
      <c r="M1303" s="79">
        <v>45789.517060185186</v>
      </c>
      <c r="N1303" s="83">
        <v>45791</v>
      </c>
      <c r="O1303" s="83">
        <v>45791</v>
      </c>
      <c r="P1303" s="80" t="str">
        <f ca="1">IF(Proc[[#This Row],[DaysAgeing]]&gt;5,"yep","on track")</f>
        <v>on track</v>
      </c>
      <c r="Q1303" s="3">
        <f ca="1">IF(Proc[[#This Row],[DateClosed]]="",ABS(NETWORKDAYS(Proc[[#This Row],[DateOpened]],TODAY()))-1,ABS(NETWORKDAYS(Proc[[#This Row],[DateOpened]],Proc[[#This Row],[DateClosed]]))-1)</f>
        <v>2</v>
      </c>
      <c r="R1303" s="80" t="s">
        <v>489</v>
      </c>
      <c r="S1303" s="69"/>
    </row>
    <row r="1304" spans="1:19" hidden="1">
      <c r="A1304" s="72" t="s">
        <v>3065</v>
      </c>
      <c r="B1304" s="149" t="str">
        <f>IFERROR(VLOOKUP(Proc[[#This Row],[App]],Table2[],3,0),"open")</f>
        <v>ok</v>
      </c>
      <c r="C1304" s="72" t="s">
        <v>369</v>
      </c>
      <c r="D1304" t="s">
        <v>3030</v>
      </c>
      <c r="E1304" t="s">
        <v>3025</v>
      </c>
      <c r="F1304" s="117" t="s">
        <v>3025</v>
      </c>
      <c r="G1304" s="72" t="s">
        <v>400</v>
      </c>
      <c r="H1304" s="69" t="str">
        <f>IF(Proc[[#This Row],[type]]="LFF (MDG-F)",MID(Proc[[#This Row],[Obj]],13,10),"")</f>
        <v/>
      </c>
      <c r="I1304" t="s">
        <v>3062</v>
      </c>
      <c r="J1304" s="69" t="b">
        <f>Proc[[#This Row],[Requested]]=Proc[[#This Row],[CurrentParent]]</f>
        <v>1</v>
      </c>
      <c r="K1304" s="144" t="str">
        <f>IF(Proc[[#This Row],[Author]]="Marcela Urrego",VLOOKUP(LEFT(Proc[[#This Row],[Requested]],1),Table3[#All],2,0),VLOOKUP(Proc[[#This Row],[Author]],Table4[],2,0))</f>
        <v>LS</v>
      </c>
      <c r="L1304" s="69" t="s">
        <v>2563</v>
      </c>
      <c r="M1304" s="79">
        <v>45789.517060185186</v>
      </c>
      <c r="N1304" s="83">
        <v>45791</v>
      </c>
      <c r="O1304" s="83">
        <v>45791</v>
      </c>
      <c r="P1304" s="80" t="str">
        <f ca="1">IF(Proc[[#This Row],[DaysAgeing]]&gt;5,"yep","on track")</f>
        <v>on track</v>
      </c>
      <c r="Q1304" s="3">
        <f ca="1">IF(Proc[[#This Row],[DateClosed]]="",ABS(NETWORKDAYS(Proc[[#This Row],[DateOpened]],TODAY()))-1,ABS(NETWORKDAYS(Proc[[#This Row],[DateOpened]],Proc[[#This Row],[DateClosed]]))-1)</f>
        <v>2</v>
      </c>
      <c r="R1304" s="80" t="s">
        <v>489</v>
      </c>
      <c r="S1304" s="69"/>
    </row>
    <row r="1305" spans="1:19" hidden="1">
      <c r="A1305" s="72" t="s">
        <v>3065</v>
      </c>
      <c r="B1305" s="149" t="str">
        <f>IFERROR(VLOOKUP(Proc[[#This Row],[App]],Table2[],3,0),"open")</f>
        <v>ok</v>
      </c>
      <c r="C1305" s="72" t="s">
        <v>369</v>
      </c>
      <c r="D1305" t="s">
        <v>3031</v>
      </c>
      <c r="E1305" t="s">
        <v>3025</v>
      </c>
      <c r="F1305" s="117" t="s">
        <v>3025</v>
      </c>
      <c r="G1305" s="72" t="s">
        <v>400</v>
      </c>
      <c r="H1305" s="69" t="str">
        <f>IF(Proc[[#This Row],[type]]="LFF (MDG-F)",MID(Proc[[#This Row],[Obj]],13,10),"")</f>
        <v/>
      </c>
      <c r="I1305" t="s">
        <v>3062</v>
      </c>
      <c r="J1305" s="69" t="b">
        <f>Proc[[#This Row],[Requested]]=Proc[[#This Row],[CurrentParent]]</f>
        <v>1</v>
      </c>
      <c r="K1305" s="144" t="str">
        <f>IF(Proc[[#This Row],[Author]]="Marcela Urrego",VLOOKUP(LEFT(Proc[[#This Row],[Requested]],1),Table3[#All],2,0),VLOOKUP(Proc[[#This Row],[Author]],Table4[],2,0))</f>
        <v>LS</v>
      </c>
      <c r="L1305" s="69" t="s">
        <v>2563</v>
      </c>
      <c r="M1305" s="79">
        <v>45789.517060185186</v>
      </c>
      <c r="N1305" s="83">
        <v>45791</v>
      </c>
      <c r="O1305" s="83">
        <v>45791</v>
      </c>
      <c r="P1305" s="80" t="str">
        <f ca="1">IF(Proc[[#This Row],[DaysAgeing]]&gt;5,"yep","on track")</f>
        <v>on track</v>
      </c>
      <c r="Q1305" s="3">
        <f ca="1">IF(Proc[[#This Row],[DateClosed]]="",ABS(NETWORKDAYS(Proc[[#This Row],[DateOpened]],TODAY()))-1,ABS(NETWORKDAYS(Proc[[#This Row],[DateOpened]],Proc[[#This Row],[DateClosed]]))-1)</f>
        <v>2</v>
      </c>
      <c r="R1305" s="80" t="s">
        <v>489</v>
      </c>
      <c r="S1305" s="69"/>
    </row>
    <row r="1306" spans="1:19" hidden="1">
      <c r="A1306" s="72" t="s">
        <v>3065</v>
      </c>
      <c r="B1306" s="149" t="str">
        <f>IFERROR(VLOOKUP(Proc[[#This Row],[App]],Table2[],3,0),"open")</f>
        <v>ok</v>
      </c>
      <c r="C1306" s="72" t="s">
        <v>369</v>
      </c>
      <c r="D1306" t="s">
        <v>3032</v>
      </c>
      <c r="E1306" t="s">
        <v>3025</v>
      </c>
      <c r="F1306" s="117" t="s">
        <v>3025</v>
      </c>
      <c r="G1306" s="72" t="s">
        <v>400</v>
      </c>
      <c r="H1306" s="69" t="str">
        <f>IF(Proc[[#This Row],[type]]="LFF (MDG-F)",MID(Proc[[#This Row],[Obj]],13,10),"")</f>
        <v/>
      </c>
      <c r="I1306" t="s">
        <v>3062</v>
      </c>
      <c r="J1306" s="69" t="b">
        <f>Proc[[#This Row],[Requested]]=Proc[[#This Row],[CurrentParent]]</f>
        <v>1</v>
      </c>
      <c r="K1306" s="144" t="str">
        <f>IF(Proc[[#This Row],[Author]]="Marcela Urrego",VLOOKUP(LEFT(Proc[[#This Row],[Requested]],1),Table3[#All],2,0),VLOOKUP(Proc[[#This Row],[Author]],Table4[],2,0))</f>
        <v>LS</v>
      </c>
      <c r="L1306" s="69" t="s">
        <v>2563</v>
      </c>
      <c r="M1306" s="79">
        <v>45789.517060185186</v>
      </c>
      <c r="N1306" s="83">
        <v>45791</v>
      </c>
      <c r="O1306" s="83">
        <v>45791</v>
      </c>
      <c r="P1306" s="80" t="str">
        <f ca="1">IF(Proc[[#This Row],[DaysAgeing]]&gt;5,"yep","on track")</f>
        <v>on track</v>
      </c>
      <c r="Q1306" s="3">
        <f ca="1">IF(Proc[[#This Row],[DateClosed]]="",ABS(NETWORKDAYS(Proc[[#This Row],[DateOpened]],TODAY()))-1,ABS(NETWORKDAYS(Proc[[#This Row],[DateOpened]],Proc[[#This Row],[DateClosed]]))-1)</f>
        <v>2</v>
      </c>
      <c r="R1306" s="80" t="s">
        <v>489</v>
      </c>
      <c r="S1306" s="69"/>
    </row>
    <row r="1307" spans="1:19" hidden="1">
      <c r="A1307" s="72" t="s">
        <v>3065</v>
      </c>
      <c r="B1307" s="149" t="str">
        <f>IFERROR(VLOOKUP(Proc[[#This Row],[App]],Table2[],3,0),"open")</f>
        <v>ok</v>
      </c>
      <c r="C1307" s="72" t="s">
        <v>369</v>
      </c>
      <c r="D1307" t="s">
        <v>3033</v>
      </c>
      <c r="E1307" t="s">
        <v>3025</v>
      </c>
      <c r="F1307" s="117" t="s">
        <v>3025</v>
      </c>
      <c r="G1307" s="72" t="s">
        <v>400</v>
      </c>
      <c r="H1307" s="69" t="str">
        <f>IF(Proc[[#This Row],[type]]="LFF (MDG-F)",MID(Proc[[#This Row],[Obj]],13,10),"")</f>
        <v/>
      </c>
      <c r="I1307" t="s">
        <v>3062</v>
      </c>
      <c r="J1307" s="69" t="b">
        <f>Proc[[#This Row],[Requested]]=Proc[[#This Row],[CurrentParent]]</f>
        <v>1</v>
      </c>
      <c r="K1307" s="144" t="str">
        <f>IF(Proc[[#This Row],[Author]]="Marcela Urrego",VLOOKUP(LEFT(Proc[[#This Row],[Requested]],1),Table3[#All],2,0),VLOOKUP(Proc[[#This Row],[Author]],Table4[],2,0))</f>
        <v>LS</v>
      </c>
      <c r="L1307" s="69" t="s">
        <v>2563</v>
      </c>
      <c r="M1307" s="79">
        <v>45789.517060185186</v>
      </c>
      <c r="N1307" s="83">
        <v>45791</v>
      </c>
      <c r="O1307" s="83">
        <v>45791</v>
      </c>
      <c r="P1307" s="80" t="str">
        <f ca="1">IF(Proc[[#This Row],[DaysAgeing]]&gt;5,"yep","on track")</f>
        <v>on track</v>
      </c>
      <c r="Q1307" s="3">
        <f ca="1">IF(Proc[[#This Row],[DateClosed]]="",ABS(NETWORKDAYS(Proc[[#This Row],[DateOpened]],TODAY()))-1,ABS(NETWORKDAYS(Proc[[#This Row],[DateOpened]],Proc[[#This Row],[DateClosed]]))-1)</f>
        <v>2</v>
      </c>
      <c r="R1307" s="80" t="s">
        <v>489</v>
      </c>
      <c r="S1307" s="69"/>
    </row>
    <row r="1308" spans="1:19" hidden="1">
      <c r="A1308" s="72" t="s">
        <v>3065</v>
      </c>
      <c r="B1308" s="149" t="str">
        <f>IFERROR(VLOOKUP(Proc[[#This Row],[App]],Table2[],3,0),"open")</f>
        <v>ok</v>
      </c>
      <c r="C1308" s="72" t="s">
        <v>369</v>
      </c>
      <c r="D1308" t="s">
        <v>3034</v>
      </c>
      <c r="E1308" t="s">
        <v>3025</v>
      </c>
      <c r="F1308" s="117" t="s">
        <v>3025</v>
      </c>
      <c r="G1308" s="72" t="s">
        <v>400</v>
      </c>
      <c r="H1308" s="69" t="str">
        <f>IF(Proc[[#This Row],[type]]="LFF (MDG-F)",MID(Proc[[#This Row],[Obj]],13,10),"")</f>
        <v/>
      </c>
      <c r="I1308" t="s">
        <v>3062</v>
      </c>
      <c r="J1308" s="69" t="b">
        <f>Proc[[#This Row],[Requested]]=Proc[[#This Row],[CurrentParent]]</f>
        <v>1</v>
      </c>
      <c r="K1308" s="144" t="str">
        <f>IF(Proc[[#This Row],[Author]]="Marcela Urrego",VLOOKUP(LEFT(Proc[[#This Row],[Requested]],1),Table3[#All],2,0),VLOOKUP(Proc[[#This Row],[Author]],Table4[],2,0))</f>
        <v>LS</v>
      </c>
      <c r="L1308" s="69" t="s">
        <v>2563</v>
      </c>
      <c r="M1308" s="79">
        <v>45789.517060185186</v>
      </c>
      <c r="N1308" s="83">
        <v>45791</v>
      </c>
      <c r="O1308" s="83">
        <v>45791</v>
      </c>
      <c r="P1308" s="80" t="str">
        <f ca="1">IF(Proc[[#This Row],[DaysAgeing]]&gt;5,"yep","on track")</f>
        <v>on track</v>
      </c>
      <c r="Q1308" s="3">
        <f ca="1">IF(Proc[[#This Row],[DateClosed]]="",ABS(NETWORKDAYS(Proc[[#This Row],[DateOpened]],TODAY()))-1,ABS(NETWORKDAYS(Proc[[#This Row],[DateOpened]],Proc[[#This Row],[DateClosed]]))-1)</f>
        <v>2</v>
      </c>
      <c r="R1308" s="80" t="s">
        <v>489</v>
      </c>
      <c r="S1308" s="69"/>
    </row>
    <row r="1309" spans="1:19" hidden="1">
      <c r="A1309" s="72" t="s">
        <v>3065</v>
      </c>
      <c r="B1309" s="149" t="str">
        <f>IFERROR(VLOOKUP(Proc[[#This Row],[App]],Table2[],3,0),"open")</f>
        <v>ok</v>
      </c>
      <c r="C1309" s="72" t="s">
        <v>369</v>
      </c>
      <c r="D1309" t="s">
        <v>3035</v>
      </c>
      <c r="E1309" t="s">
        <v>3025</v>
      </c>
      <c r="F1309" s="117" t="s">
        <v>3025</v>
      </c>
      <c r="G1309" s="72" t="s">
        <v>400</v>
      </c>
      <c r="H1309" s="69" t="str">
        <f>IF(Proc[[#This Row],[type]]="LFF (MDG-F)",MID(Proc[[#This Row],[Obj]],13,10),"")</f>
        <v/>
      </c>
      <c r="I1309" t="s">
        <v>3062</v>
      </c>
      <c r="J1309" s="69" t="b">
        <f>Proc[[#This Row],[Requested]]=Proc[[#This Row],[CurrentParent]]</f>
        <v>1</v>
      </c>
      <c r="K1309" s="144" t="str">
        <f>IF(Proc[[#This Row],[Author]]="Marcela Urrego",VLOOKUP(LEFT(Proc[[#This Row],[Requested]],1),Table3[#All],2,0),VLOOKUP(Proc[[#This Row],[Author]],Table4[],2,0))</f>
        <v>LS</v>
      </c>
      <c r="L1309" s="69" t="s">
        <v>2563</v>
      </c>
      <c r="M1309" s="79">
        <v>45789.517060185186</v>
      </c>
      <c r="N1309" s="83">
        <v>45791</v>
      </c>
      <c r="O1309" s="83">
        <v>45791</v>
      </c>
      <c r="P1309" s="80" t="str">
        <f ca="1">IF(Proc[[#This Row],[DaysAgeing]]&gt;5,"yep","on track")</f>
        <v>on track</v>
      </c>
      <c r="Q1309" s="3">
        <f ca="1">IF(Proc[[#This Row],[DateClosed]]="",ABS(NETWORKDAYS(Proc[[#This Row],[DateOpened]],TODAY()))-1,ABS(NETWORKDAYS(Proc[[#This Row],[DateOpened]],Proc[[#This Row],[DateClosed]]))-1)</f>
        <v>2</v>
      </c>
      <c r="R1309" s="80" t="s">
        <v>489</v>
      </c>
      <c r="S1309" s="69"/>
    </row>
    <row r="1310" spans="1:19" hidden="1">
      <c r="A1310" s="72" t="s">
        <v>3065</v>
      </c>
      <c r="B1310" s="149" t="str">
        <f>IFERROR(VLOOKUP(Proc[[#This Row],[App]],Table2[],3,0),"open")</f>
        <v>ok</v>
      </c>
      <c r="C1310" s="72" t="s">
        <v>369</v>
      </c>
      <c r="D1310" t="s">
        <v>3036</v>
      </c>
      <c r="E1310" t="s">
        <v>3025</v>
      </c>
      <c r="F1310" s="117" t="s">
        <v>3025</v>
      </c>
      <c r="G1310" s="72" t="s">
        <v>400</v>
      </c>
      <c r="H1310" s="69" t="str">
        <f>IF(Proc[[#This Row],[type]]="LFF (MDG-F)",MID(Proc[[#This Row],[Obj]],13,10),"")</f>
        <v/>
      </c>
      <c r="I1310" t="s">
        <v>3062</v>
      </c>
      <c r="J1310" s="69" t="b">
        <f>Proc[[#This Row],[Requested]]=Proc[[#This Row],[CurrentParent]]</f>
        <v>1</v>
      </c>
      <c r="K1310" s="144" t="str">
        <f>IF(Proc[[#This Row],[Author]]="Marcela Urrego",VLOOKUP(LEFT(Proc[[#This Row],[Requested]],1),Table3[#All],2,0),VLOOKUP(Proc[[#This Row],[Author]],Table4[],2,0))</f>
        <v>LS</v>
      </c>
      <c r="L1310" s="69" t="s">
        <v>2563</v>
      </c>
      <c r="M1310" s="79">
        <v>45789.517060185186</v>
      </c>
      <c r="N1310" s="83">
        <v>45791</v>
      </c>
      <c r="O1310" s="83">
        <v>45791</v>
      </c>
      <c r="P1310" s="80" t="str">
        <f ca="1">IF(Proc[[#This Row],[DaysAgeing]]&gt;5,"yep","on track")</f>
        <v>on track</v>
      </c>
      <c r="Q1310" s="3">
        <f ca="1">IF(Proc[[#This Row],[DateClosed]]="",ABS(NETWORKDAYS(Proc[[#This Row],[DateOpened]],TODAY()))-1,ABS(NETWORKDAYS(Proc[[#This Row],[DateOpened]],Proc[[#This Row],[DateClosed]]))-1)</f>
        <v>2</v>
      </c>
      <c r="R1310" s="80" t="s">
        <v>489</v>
      </c>
      <c r="S1310" s="69"/>
    </row>
    <row r="1311" spans="1:19" hidden="1">
      <c r="A1311" s="72" t="s">
        <v>3065</v>
      </c>
      <c r="B1311" s="149" t="str">
        <f>IFERROR(VLOOKUP(Proc[[#This Row],[App]],Table2[],3,0),"open")</f>
        <v>ok</v>
      </c>
      <c r="C1311" s="72" t="s">
        <v>369</v>
      </c>
      <c r="D1311" t="s">
        <v>3037</v>
      </c>
      <c r="E1311" t="s">
        <v>3025</v>
      </c>
      <c r="F1311" s="117" t="s">
        <v>3025</v>
      </c>
      <c r="G1311" s="72" t="s">
        <v>400</v>
      </c>
      <c r="H1311" s="69" t="str">
        <f>IF(Proc[[#This Row],[type]]="LFF (MDG-F)",MID(Proc[[#This Row],[Obj]],13,10),"")</f>
        <v/>
      </c>
      <c r="I1311" t="s">
        <v>3062</v>
      </c>
      <c r="J1311" s="69" t="b">
        <f>Proc[[#This Row],[Requested]]=Proc[[#This Row],[CurrentParent]]</f>
        <v>1</v>
      </c>
      <c r="K1311" s="144" t="str">
        <f>IF(Proc[[#This Row],[Author]]="Marcela Urrego",VLOOKUP(LEFT(Proc[[#This Row],[Requested]],1),Table3[#All],2,0),VLOOKUP(Proc[[#This Row],[Author]],Table4[],2,0))</f>
        <v>LS</v>
      </c>
      <c r="L1311" s="69" t="s">
        <v>2563</v>
      </c>
      <c r="M1311" s="79">
        <v>45789.517060185186</v>
      </c>
      <c r="N1311" s="83">
        <v>45791</v>
      </c>
      <c r="O1311" s="83">
        <v>45791</v>
      </c>
      <c r="P1311" s="80" t="str">
        <f ca="1">IF(Proc[[#This Row],[DaysAgeing]]&gt;5,"yep","on track")</f>
        <v>on track</v>
      </c>
      <c r="Q1311" s="3">
        <f ca="1">IF(Proc[[#This Row],[DateClosed]]="",ABS(NETWORKDAYS(Proc[[#This Row],[DateOpened]],TODAY()))-1,ABS(NETWORKDAYS(Proc[[#This Row],[DateOpened]],Proc[[#This Row],[DateClosed]]))-1)</f>
        <v>2</v>
      </c>
      <c r="R1311" s="80" t="s">
        <v>489</v>
      </c>
      <c r="S1311" s="69"/>
    </row>
    <row r="1312" spans="1:19" hidden="1">
      <c r="A1312" s="72" t="s">
        <v>3065</v>
      </c>
      <c r="B1312" s="149" t="str">
        <f>IFERROR(VLOOKUP(Proc[[#This Row],[App]],Table2[],3,0),"open")</f>
        <v>ok</v>
      </c>
      <c r="C1312" s="72" t="s">
        <v>369</v>
      </c>
      <c r="D1312" t="s">
        <v>3038</v>
      </c>
      <c r="E1312" t="s">
        <v>3025</v>
      </c>
      <c r="F1312" s="117" t="s">
        <v>3025</v>
      </c>
      <c r="G1312" s="72" t="s">
        <v>400</v>
      </c>
      <c r="H1312" s="69" t="str">
        <f>IF(Proc[[#This Row],[type]]="LFF (MDG-F)",MID(Proc[[#This Row],[Obj]],13,10),"")</f>
        <v/>
      </c>
      <c r="I1312" t="s">
        <v>3062</v>
      </c>
      <c r="J1312" s="69" t="b">
        <f>Proc[[#This Row],[Requested]]=Proc[[#This Row],[CurrentParent]]</f>
        <v>1</v>
      </c>
      <c r="K1312" s="144" t="str">
        <f>IF(Proc[[#This Row],[Author]]="Marcela Urrego",VLOOKUP(LEFT(Proc[[#This Row],[Requested]],1),Table3[#All],2,0),VLOOKUP(Proc[[#This Row],[Author]],Table4[],2,0))</f>
        <v>LS</v>
      </c>
      <c r="L1312" s="69" t="s">
        <v>2563</v>
      </c>
      <c r="M1312" s="79">
        <v>45789.517060185186</v>
      </c>
      <c r="N1312" s="83">
        <v>45791</v>
      </c>
      <c r="O1312" s="83">
        <v>45791</v>
      </c>
      <c r="P1312" s="80" t="str">
        <f ca="1">IF(Proc[[#This Row],[DaysAgeing]]&gt;5,"yep","on track")</f>
        <v>on track</v>
      </c>
      <c r="Q1312" s="3">
        <f ca="1">IF(Proc[[#This Row],[DateClosed]]="",ABS(NETWORKDAYS(Proc[[#This Row],[DateOpened]],TODAY()))-1,ABS(NETWORKDAYS(Proc[[#This Row],[DateOpened]],Proc[[#This Row],[DateClosed]]))-1)</f>
        <v>2</v>
      </c>
      <c r="R1312" s="80" t="s">
        <v>489</v>
      </c>
      <c r="S1312" s="69"/>
    </row>
    <row r="1313" spans="1:19" hidden="1">
      <c r="A1313" s="72" t="s">
        <v>3065</v>
      </c>
      <c r="B1313" s="149" t="str">
        <f>IFERROR(VLOOKUP(Proc[[#This Row],[App]],Table2[],3,0),"open")</f>
        <v>ok</v>
      </c>
      <c r="C1313" s="72" t="s">
        <v>369</v>
      </c>
      <c r="D1313" t="s">
        <v>3039</v>
      </c>
      <c r="E1313" t="s">
        <v>3025</v>
      </c>
      <c r="F1313" s="117" t="s">
        <v>3025</v>
      </c>
      <c r="G1313" s="72" t="s">
        <v>400</v>
      </c>
      <c r="H1313" s="69" t="str">
        <f>IF(Proc[[#This Row],[type]]="LFF (MDG-F)",MID(Proc[[#This Row],[Obj]],13,10),"")</f>
        <v/>
      </c>
      <c r="I1313" t="s">
        <v>3062</v>
      </c>
      <c r="J1313" s="69" t="b">
        <f>Proc[[#This Row],[Requested]]=Proc[[#This Row],[CurrentParent]]</f>
        <v>1</v>
      </c>
      <c r="K1313" s="144" t="str">
        <f>IF(Proc[[#This Row],[Author]]="Marcela Urrego",VLOOKUP(LEFT(Proc[[#This Row],[Requested]],1),Table3[#All],2,0),VLOOKUP(Proc[[#This Row],[Author]],Table4[],2,0))</f>
        <v>LS</v>
      </c>
      <c r="L1313" s="69" t="s">
        <v>2563</v>
      </c>
      <c r="M1313" s="79">
        <v>45789.517060185186</v>
      </c>
      <c r="N1313" s="83">
        <v>45791</v>
      </c>
      <c r="O1313" s="83">
        <v>45791</v>
      </c>
      <c r="P1313" s="80" t="str">
        <f ca="1">IF(Proc[[#This Row],[DaysAgeing]]&gt;5,"yep","on track")</f>
        <v>on track</v>
      </c>
      <c r="Q1313" s="3">
        <f ca="1">IF(Proc[[#This Row],[DateClosed]]="",ABS(NETWORKDAYS(Proc[[#This Row],[DateOpened]],TODAY()))-1,ABS(NETWORKDAYS(Proc[[#This Row],[DateOpened]],Proc[[#This Row],[DateClosed]]))-1)</f>
        <v>2</v>
      </c>
      <c r="R1313" s="80" t="s">
        <v>489</v>
      </c>
      <c r="S1313" s="69"/>
    </row>
    <row r="1314" spans="1:19" hidden="1">
      <c r="A1314" s="72" t="s">
        <v>3065</v>
      </c>
      <c r="B1314" s="149" t="str">
        <f>IFERROR(VLOOKUP(Proc[[#This Row],[App]],Table2[],3,0),"open")</f>
        <v>ok</v>
      </c>
      <c r="C1314" s="72" t="s">
        <v>369</v>
      </c>
      <c r="D1314" t="s">
        <v>3040</v>
      </c>
      <c r="E1314" t="s">
        <v>3025</v>
      </c>
      <c r="F1314" s="117" t="s">
        <v>3025</v>
      </c>
      <c r="G1314" s="72" t="s">
        <v>400</v>
      </c>
      <c r="H1314" s="69" t="str">
        <f>IF(Proc[[#This Row],[type]]="LFF (MDG-F)",MID(Proc[[#This Row],[Obj]],13,10),"")</f>
        <v/>
      </c>
      <c r="I1314" t="s">
        <v>3062</v>
      </c>
      <c r="J1314" s="69" t="b">
        <f>Proc[[#This Row],[Requested]]=Proc[[#This Row],[CurrentParent]]</f>
        <v>1</v>
      </c>
      <c r="K1314" s="144" t="str">
        <f>IF(Proc[[#This Row],[Author]]="Marcela Urrego",VLOOKUP(LEFT(Proc[[#This Row],[Requested]],1),Table3[#All],2,0),VLOOKUP(Proc[[#This Row],[Author]],Table4[],2,0))</f>
        <v>LS</v>
      </c>
      <c r="L1314" s="69" t="s">
        <v>2563</v>
      </c>
      <c r="M1314" s="79">
        <v>45789.517060185186</v>
      </c>
      <c r="N1314" s="83">
        <v>45791</v>
      </c>
      <c r="O1314" s="83">
        <v>45791</v>
      </c>
      <c r="P1314" s="80" t="str">
        <f ca="1">IF(Proc[[#This Row],[DaysAgeing]]&gt;5,"yep","on track")</f>
        <v>on track</v>
      </c>
      <c r="Q1314" s="3">
        <f ca="1">IF(Proc[[#This Row],[DateClosed]]="",ABS(NETWORKDAYS(Proc[[#This Row],[DateOpened]],TODAY()))-1,ABS(NETWORKDAYS(Proc[[#This Row],[DateOpened]],Proc[[#This Row],[DateClosed]]))-1)</f>
        <v>2</v>
      </c>
      <c r="R1314" s="80" t="s">
        <v>489</v>
      </c>
      <c r="S1314" s="69"/>
    </row>
    <row r="1315" spans="1:19" hidden="1">
      <c r="A1315" s="72" t="s">
        <v>3065</v>
      </c>
      <c r="B1315" s="149" t="str">
        <f>IFERROR(VLOOKUP(Proc[[#This Row],[App]],Table2[],3,0),"open")</f>
        <v>ok</v>
      </c>
      <c r="C1315" s="72" t="s">
        <v>369</v>
      </c>
      <c r="D1315" t="s">
        <v>3041</v>
      </c>
      <c r="E1315" t="s">
        <v>3025</v>
      </c>
      <c r="F1315" s="117" t="s">
        <v>3025</v>
      </c>
      <c r="G1315" s="72" t="s">
        <v>400</v>
      </c>
      <c r="H1315" s="69" t="str">
        <f>IF(Proc[[#This Row],[type]]="LFF (MDG-F)",MID(Proc[[#This Row],[Obj]],13,10),"")</f>
        <v/>
      </c>
      <c r="I1315" t="s">
        <v>3063</v>
      </c>
      <c r="J1315" s="69" t="b">
        <f>Proc[[#This Row],[Requested]]=Proc[[#This Row],[CurrentParent]]</f>
        <v>1</v>
      </c>
      <c r="K1315" s="144" t="str">
        <f>IF(Proc[[#This Row],[Author]]="Marcela Urrego",VLOOKUP(LEFT(Proc[[#This Row],[Requested]],1),Table3[#All],2,0),VLOOKUP(Proc[[#This Row],[Author]],Table4[],2,0))</f>
        <v>LS</v>
      </c>
      <c r="L1315" s="69" t="s">
        <v>2563</v>
      </c>
      <c r="M1315" s="79">
        <v>45789.517060185186</v>
      </c>
      <c r="N1315" s="83">
        <v>45791</v>
      </c>
      <c r="O1315" s="83">
        <v>45791</v>
      </c>
      <c r="P1315" s="80" t="str">
        <f ca="1">IF(Proc[[#This Row],[DaysAgeing]]&gt;5,"yep","on track")</f>
        <v>on track</v>
      </c>
      <c r="Q1315" s="3">
        <f ca="1">IF(Proc[[#This Row],[DateClosed]]="",ABS(NETWORKDAYS(Proc[[#This Row],[DateOpened]],TODAY()))-1,ABS(NETWORKDAYS(Proc[[#This Row],[DateOpened]],Proc[[#This Row],[DateClosed]]))-1)</f>
        <v>2</v>
      </c>
      <c r="R1315" s="80" t="s">
        <v>489</v>
      </c>
      <c r="S1315" s="69"/>
    </row>
    <row r="1316" spans="1:19" hidden="1">
      <c r="A1316" s="72" t="s">
        <v>3065</v>
      </c>
      <c r="B1316" s="149" t="str">
        <f>IFERROR(VLOOKUP(Proc[[#This Row],[App]],Table2[],3,0),"open")</f>
        <v>ok</v>
      </c>
      <c r="C1316" s="72" t="s">
        <v>369</v>
      </c>
      <c r="D1316" t="s">
        <v>3042</v>
      </c>
      <c r="E1316" t="s">
        <v>3025</v>
      </c>
      <c r="F1316" s="117" t="s">
        <v>3025</v>
      </c>
      <c r="G1316" s="72" t="s">
        <v>400</v>
      </c>
      <c r="H1316" s="69" t="str">
        <f>IF(Proc[[#This Row],[type]]="LFF (MDG-F)",MID(Proc[[#This Row],[Obj]],13,10),"")</f>
        <v/>
      </c>
      <c r="I1316" t="s">
        <v>3063</v>
      </c>
      <c r="J1316" s="69" t="b">
        <f>Proc[[#This Row],[Requested]]=Proc[[#This Row],[CurrentParent]]</f>
        <v>1</v>
      </c>
      <c r="K1316" s="144" t="str">
        <f>IF(Proc[[#This Row],[Author]]="Marcela Urrego",VLOOKUP(LEFT(Proc[[#This Row],[Requested]],1),Table3[#All],2,0),VLOOKUP(Proc[[#This Row],[Author]],Table4[],2,0))</f>
        <v>LS</v>
      </c>
      <c r="L1316" s="69" t="s">
        <v>2563</v>
      </c>
      <c r="M1316" s="79">
        <v>45789.517060185186</v>
      </c>
      <c r="N1316" s="83">
        <v>45791</v>
      </c>
      <c r="O1316" s="83">
        <v>45791</v>
      </c>
      <c r="P1316" s="80" t="str">
        <f ca="1">IF(Proc[[#This Row],[DaysAgeing]]&gt;5,"yep","on track")</f>
        <v>on track</v>
      </c>
      <c r="Q1316" s="3">
        <f ca="1">IF(Proc[[#This Row],[DateClosed]]="",ABS(NETWORKDAYS(Proc[[#This Row],[DateOpened]],TODAY()))-1,ABS(NETWORKDAYS(Proc[[#This Row],[DateOpened]],Proc[[#This Row],[DateClosed]]))-1)</f>
        <v>2</v>
      </c>
      <c r="R1316" s="80" t="s">
        <v>489</v>
      </c>
      <c r="S1316" s="69"/>
    </row>
    <row r="1317" spans="1:19" hidden="1">
      <c r="A1317" s="72" t="s">
        <v>3065</v>
      </c>
      <c r="B1317" s="149" t="str">
        <f>IFERROR(VLOOKUP(Proc[[#This Row],[App]],Table2[],3,0),"open")</f>
        <v>ok</v>
      </c>
      <c r="C1317" s="72" t="s">
        <v>369</v>
      </c>
      <c r="D1317" t="s">
        <v>3043</v>
      </c>
      <c r="E1317" t="s">
        <v>3025</v>
      </c>
      <c r="F1317" s="117" t="s">
        <v>3025</v>
      </c>
      <c r="G1317" s="72" t="s">
        <v>400</v>
      </c>
      <c r="H1317" s="69" t="str">
        <f>IF(Proc[[#This Row],[type]]="LFF (MDG-F)",MID(Proc[[#This Row],[Obj]],13,10),"")</f>
        <v/>
      </c>
      <c r="I1317" t="s">
        <v>3063</v>
      </c>
      <c r="J1317" s="69" t="b">
        <f>Proc[[#This Row],[Requested]]=Proc[[#This Row],[CurrentParent]]</f>
        <v>1</v>
      </c>
      <c r="K1317" s="144" t="str">
        <f>IF(Proc[[#This Row],[Author]]="Marcela Urrego",VLOOKUP(LEFT(Proc[[#This Row],[Requested]],1),Table3[#All],2,0),VLOOKUP(Proc[[#This Row],[Author]],Table4[],2,0))</f>
        <v>LS</v>
      </c>
      <c r="L1317" s="69" t="s">
        <v>2563</v>
      </c>
      <c r="M1317" s="79">
        <v>45789.517060185186</v>
      </c>
      <c r="N1317" s="83">
        <v>45791</v>
      </c>
      <c r="O1317" s="83">
        <v>45791</v>
      </c>
      <c r="P1317" s="80" t="str">
        <f ca="1">IF(Proc[[#This Row],[DaysAgeing]]&gt;5,"yep","on track")</f>
        <v>on track</v>
      </c>
      <c r="Q1317" s="3">
        <f ca="1">IF(Proc[[#This Row],[DateClosed]]="",ABS(NETWORKDAYS(Proc[[#This Row],[DateOpened]],TODAY()))-1,ABS(NETWORKDAYS(Proc[[#This Row],[DateOpened]],Proc[[#This Row],[DateClosed]]))-1)</f>
        <v>2</v>
      </c>
      <c r="R1317" s="80" t="s">
        <v>489</v>
      </c>
      <c r="S1317" s="69"/>
    </row>
    <row r="1318" spans="1:19" hidden="1">
      <c r="A1318" s="72" t="s">
        <v>3065</v>
      </c>
      <c r="B1318" s="149" t="str">
        <f>IFERROR(VLOOKUP(Proc[[#This Row],[App]],Table2[],3,0),"open")</f>
        <v>ok</v>
      </c>
      <c r="C1318" s="72" t="s">
        <v>369</v>
      </c>
      <c r="D1318" t="s">
        <v>3044</v>
      </c>
      <c r="E1318" t="s">
        <v>3025</v>
      </c>
      <c r="F1318" s="117" t="s">
        <v>3025</v>
      </c>
      <c r="G1318" s="72" t="s">
        <v>400</v>
      </c>
      <c r="H1318" s="69" t="str">
        <f>IF(Proc[[#This Row],[type]]="LFF (MDG-F)",MID(Proc[[#This Row],[Obj]],13,10),"")</f>
        <v/>
      </c>
      <c r="I1318" t="s">
        <v>3063</v>
      </c>
      <c r="J1318" s="69" t="b">
        <f>Proc[[#This Row],[Requested]]=Proc[[#This Row],[CurrentParent]]</f>
        <v>1</v>
      </c>
      <c r="K1318" s="144" t="str">
        <f>IF(Proc[[#This Row],[Author]]="Marcela Urrego",VLOOKUP(LEFT(Proc[[#This Row],[Requested]],1),Table3[#All],2,0),VLOOKUP(Proc[[#This Row],[Author]],Table4[],2,0))</f>
        <v>LS</v>
      </c>
      <c r="L1318" s="69" t="s">
        <v>2563</v>
      </c>
      <c r="M1318" s="79">
        <v>45789.517060185186</v>
      </c>
      <c r="N1318" s="83">
        <v>45791</v>
      </c>
      <c r="O1318" s="83">
        <v>45791</v>
      </c>
      <c r="P1318" s="80" t="str">
        <f ca="1">IF(Proc[[#This Row],[DaysAgeing]]&gt;5,"yep","on track")</f>
        <v>on track</v>
      </c>
      <c r="Q1318" s="3">
        <f ca="1">IF(Proc[[#This Row],[DateClosed]]="",ABS(NETWORKDAYS(Proc[[#This Row],[DateOpened]],TODAY()))-1,ABS(NETWORKDAYS(Proc[[#This Row],[DateOpened]],Proc[[#This Row],[DateClosed]]))-1)</f>
        <v>2</v>
      </c>
      <c r="R1318" s="80" t="s">
        <v>489</v>
      </c>
      <c r="S1318" s="69"/>
    </row>
    <row r="1319" spans="1:19" hidden="1">
      <c r="A1319" s="72" t="s">
        <v>3065</v>
      </c>
      <c r="B1319" s="149" t="str">
        <f>IFERROR(VLOOKUP(Proc[[#This Row],[App]],Table2[],3,0),"open")</f>
        <v>ok</v>
      </c>
      <c r="C1319" s="72" t="s">
        <v>369</v>
      </c>
      <c r="D1319" t="s">
        <v>3045</v>
      </c>
      <c r="E1319" t="s">
        <v>3025</v>
      </c>
      <c r="F1319" s="117" t="s">
        <v>3025</v>
      </c>
      <c r="G1319" s="72" t="s">
        <v>400</v>
      </c>
      <c r="H1319" s="69" t="str">
        <f>IF(Proc[[#This Row],[type]]="LFF (MDG-F)",MID(Proc[[#This Row],[Obj]],13,10),"")</f>
        <v/>
      </c>
      <c r="I1319" t="s">
        <v>3063</v>
      </c>
      <c r="J1319" s="69" t="b">
        <f>Proc[[#This Row],[Requested]]=Proc[[#This Row],[CurrentParent]]</f>
        <v>1</v>
      </c>
      <c r="K1319" s="144" t="str">
        <f>IF(Proc[[#This Row],[Author]]="Marcela Urrego",VLOOKUP(LEFT(Proc[[#This Row],[Requested]],1),Table3[#All],2,0),VLOOKUP(Proc[[#This Row],[Author]],Table4[],2,0))</f>
        <v>LS</v>
      </c>
      <c r="L1319" s="69" t="s">
        <v>2563</v>
      </c>
      <c r="M1319" s="79">
        <v>45789.517060185186</v>
      </c>
      <c r="N1319" s="83">
        <v>45791</v>
      </c>
      <c r="O1319" s="83">
        <v>45791</v>
      </c>
      <c r="P1319" s="80" t="str">
        <f ca="1">IF(Proc[[#This Row],[DaysAgeing]]&gt;5,"yep","on track")</f>
        <v>on track</v>
      </c>
      <c r="Q1319" s="3">
        <f ca="1">IF(Proc[[#This Row],[DateClosed]]="",ABS(NETWORKDAYS(Proc[[#This Row],[DateOpened]],TODAY()))-1,ABS(NETWORKDAYS(Proc[[#This Row],[DateOpened]],Proc[[#This Row],[DateClosed]]))-1)</f>
        <v>2</v>
      </c>
      <c r="R1319" s="80" t="s">
        <v>489</v>
      </c>
      <c r="S1319" s="69"/>
    </row>
    <row r="1320" spans="1:19" hidden="1">
      <c r="A1320" s="72" t="s">
        <v>3065</v>
      </c>
      <c r="B1320" s="149" t="str">
        <f>IFERROR(VLOOKUP(Proc[[#This Row],[App]],Table2[],3,0),"open")</f>
        <v>ok</v>
      </c>
      <c r="C1320" s="72" t="s">
        <v>369</v>
      </c>
      <c r="D1320" t="s">
        <v>3046</v>
      </c>
      <c r="E1320" t="s">
        <v>3025</v>
      </c>
      <c r="F1320" s="117" t="s">
        <v>3025</v>
      </c>
      <c r="G1320" s="72" t="s">
        <v>400</v>
      </c>
      <c r="H1320" s="69" t="str">
        <f>IF(Proc[[#This Row],[type]]="LFF (MDG-F)",MID(Proc[[#This Row],[Obj]],13,10),"")</f>
        <v/>
      </c>
      <c r="I1320" t="s">
        <v>3063</v>
      </c>
      <c r="J1320" s="69" t="b">
        <f>Proc[[#This Row],[Requested]]=Proc[[#This Row],[CurrentParent]]</f>
        <v>1</v>
      </c>
      <c r="K1320" s="144" t="str">
        <f>IF(Proc[[#This Row],[Author]]="Marcela Urrego",VLOOKUP(LEFT(Proc[[#This Row],[Requested]],1),Table3[#All],2,0),VLOOKUP(Proc[[#This Row],[Author]],Table4[],2,0))</f>
        <v>LS</v>
      </c>
      <c r="L1320" s="69" t="s">
        <v>2563</v>
      </c>
      <c r="M1320" s="79">
        <v>45789.517060185186</v>
      </c>
      <c r="N1320" s="83">
        <v>45791</v>
      </c>
      <c r="O1320" s="83">
        <v>45791</v>
      </c>
      <c r="P1320" s="80" t="str">
        <f ca="1">IF(Proc[[#This Row],[DaysAgeing]]&gt;5,"yep","on track")</f>
        <v>on track</v>
      </c>
      <c r="Q1320" s="3">
        <f ca="1">IF(Proc[[#This Row],[DateClosed]]="",ABS(NETWORKDAYS(Proc[[#This Row],[DateOpened]],TODAY()))-1,ABS(NETWORKDAYS(Proc[[#This Row],[DateOpened]],Proc[[#This Row],[DateClosed]]))-1)</f>
        <v>2</v>
      </c>
      <c r="R1320" s="80" t="s">
        <v>489</v>
      </c>
      <c r="S1320" s="69"/>
    </row>
    <row r="1321" spans="1:19" hidden="1">
      <c r="A1321" s="72" t="s">
        <v>3065</v>
      </c>
      <c r="B1321" s="149" t="str">
        <f>IFERROR(VLOOKUP(Proc[[#This Row],[App]],Table2[],3,0),"open")</f>
        <v>ok</v>
      </c>
      <c r="C1321" s="72" t="s">
        <v>369</v>
      </c>
      <c r="D1321" t="s">
        <v>3047</v>
      </c>
      <c r="E1321" t="s">
        <v>3025</v>
      </c>
      <c r="F1321" s="117" t="s">
        <v>3025</v>
      </c>
      <c r="G1321" s="72" t="s">
        <v>400</v>
      </c>
      <c r="H1321" s="69" t="str">
        <f>IF(Proc[[#This Row],[type]]="LFF (MDG-F)",MID(Proc[[#This Row],[Obj]],13,10),"")</f>
        <v/>
      </c>
      <c r="I1321" t="s">
        <v>3063</v>
      </c>
      <c r="J1321" s="69" t="b">
        <f>Proc[[#This Row],[Requested]]=Proc[[#This Row],[CurrentParent]]</f>
        <v>1</v>
      </c>
      <c r="K1321" s="144" t="str">
        <f>IF(Proc[[#This Row],[Author]]="Marcela Urrego",VLOOKUP(LEFT(Proc[[#This Row],[Requested]],1),Table3[#All],2,0),VLOOKUP(Proc[[#This Row],[Author]],Table4[],2,0))</f>
        <v>LS</v>
      </c>
      <c r="L1321" s="69" t="s">
        <v>2563</v>
      </c>
      <c r="M1321" s="79">
        <v>45789.517060185186</v>
      </c>
      <c r="N1321" s="83">
        <v>45791</v>
      </c>
      <c r="O1321" s="83">
        <v>45791</v>
      </c>
      <c r="P1321" s="80" t="str">
        <f ca="1">IF(Proc[[#This Row],[DaysAgeing]]&gt;5,"yep","on track")</f>
        <v>on track</v>
      </c>
      <c r="Q1321" s="3">
        <f ca="1">IF(Proc[[#This Row],[DateClosed]]="",ABS(NETWORKDAYS(Proc[[#This Row],[DateOpened]],TODAY()))-1,ABS(NETWORKDAYS(Proc[[#This Row],[DateOpened]],Proc[[#This Row],[DateClosed]]))-1)</f>
        <v>2</v>
      </c>
      <c r="R1321" s="80" t="s">
        <v>489</v>
      </c>
      <c r="S1321" s="69"/>
    </row>
    <row r="1322" spans="1:19" hidden="1">
      <c r="A1322" s="72" t="s">
        <v>3065</v>
      </c>
      <c r="B1322" s="149" t="str">
        <f>IFERROR(VLOOKUP(Proc[[#This Row],[App]],Table2[],3,0),"open")</f>
        <v>ok</v>
      </c>
      <c r="C1322" s="72" t="s">
        <v>369</v>
      </c>
      <c r="D1322" t="s">
        <v>3048</v>
      </c>
      <c r="E1322" t="s">
        <v>3025</v>
      </c>
      <c r="F1322" s="117" t="s">
        <v>3025</v>
      </c>
      <c r="G1322" s="72" t="s">
        <v>400</v>
      </c>
      <c r="H1322" s="69" t="str">
        <f>IF(Proc[[#This Row],[type]]="LFF (MDG-F)",MID(Proc[[#This Row],[Obj]],13,10),"")</f>
        <v/>
      </c>
      <c r="I1322" t="s">
        <v>3063</v>
      </c>
      <c r="J1322" s="69" t="b">
        <f>Proc[[#This Row],[Requested]]=Proc[[#This Row],[CurrentParent]]</f>
        <v>1</v>
      </c>
      <c r="K1322" s="144" t="str">
        <f>IF(Proc[[#This Row],[Author]]="Marcela Urrego",VLOOKUP(LEFT(Proc[[#This Row],[Requested]],1),Table3[#All],2,0),VLOOKUP(Proc[[#This Row],[Author]],Table4[],2,0))</f>
        <v>LS</v>
      </c>
      <c r="L1322" s="69" t="s">
        <v>2563</v>
      </c>
      <c r="M1322" s="79">
        <v>45789.517060185186</v>
      </c>
      <c r="N1322" s="83">
        <v>45791</v>
      </c>
      <c r="O1322" s="83">
        <v>45791</v>
      </c>
      <c r="P1322" s="80" t="str">
        <f ca="1">IF(Proc[[#This Row],[DaysAgeing]]&gt;5,"yep","on track")</f>
        <v>on track</v>
      </c>
      <c r="Q1322" s="3">
        <f ca="1">IF(Proc[[#This Row],[DateClosed]]="",ABS(NETWORKDAYS(Proc[[#This Row],[DateOpened]],TODAY()))-1,ABS(NETWORKDAYS(Proc[[#This Row],[DateOpened]],Proc[[#This Row],[DateClosed]]))-1)</f>
        <v>2</v>
      </c>
      <c r="R1322" s="80" t="s">
        <v>489</v>
      </c>
      <c r="S1322" s="69"/>
    </row>
    <row r="1323" spans="1:19" hidden="1">
      <c r="A1323" s="72" t="s">
        <v>3065</v>
      </c>
      <c r="B1323" s="149" t="str">
        <f>IFERROR(VLOOKUP(Proc[[#This Row],[App]],Table2[],3,0),"open")</f>
        <v>ok</v>
      </c>
      <c r="C1323" s="72" t="s">
        <v>369</v>
      </c>
      <c r="D1323" t="s">
        <v>3049</v>
      </c>
      <c r="E1323" t="s">
        <v>3025</v>
      </c>
      <c r="F1323" s="117" t="s">
        <v>3025</v>
      </c>
      <c r="G1323" s="72" t="s">
        <v>400</v>
      </c>
      <c r="H1323" s="69" t="str">
        <f>IF(Proc[[#This Row],[type]]="LFF (MDG-F)",MID(Proc[[#This Row],[Obj]],13,10),"")</f>
        <v/>
      </c>
      <c r="I1323" t="s">
        <v>3063</v>
      </c>
      <c r="J1323" s="69" t="b">
        <f>Proc[[#This Row],[Requested]]=Proc[[#This Row],[CurrentParent]]</f>
        <v>1</v>
      </c>
      <c r="K1323" s="144" t="str">
        <f>IF(Proc[[#This Row],[Author]]="Marcela Urrego",VLOOKUP(LEFT(Proc[[#This Row],[Requested]],1),Table3[#All],2,0),VLOOKUP(Proc[[#This Row],[Author]],Table4[],2,0))</f>
        <v>LS</v>
      </c>
      <c r="L1323" s="69" t="s">
        <v>2563</v>
      </c>
      <c r="M1323" s="79">
        <v>45789.517060185186</v>
      </c>
      <c r="N1323" s="83">
        <v>45791</v>
      </c>
      <c r="O1323" s="83">
        <v>45791</v>
      </c>
      <c r="P1323" s="80" t="str">
        <f ca="1">IF(Proc[[#This Row],[DaysAgeing]]&gt;5,"yep","on track")</f>
        <v>on track</v>
      </c>
      <c r="Q1323" s="3">
        <f ca="1">IF(Proc[[#This Row],[DateClosed]]="",ABS(NETWORKDAYS(Proc[[#This Row],[DateOpened]],TODAY()))-1,ABS(NETWORKDAYS(Proc[[#This Row],[DateOpened]],Proc[[#This Row],[DateClosed]]))-1)</f>
        <v>2</v>
      </c>
      <c r="R1323" s="80" t="s">
        <v>489</v>
      </c>
      <c r="S1323" s="69"/>
    </row>
    <row r="1324" spans="1:19" hidden="1">
      <c r="A1324" s="72" t="s">
        <v>3065</v>
      </c>
      <c r="B1324" s="149" t="str">
        <f>IFERROR(VLOOKUP(Proc[[#This Row],[App]],Table2[],3,0),"open")</f>
        <v>ok</v>
      </c>
      <c r="C1324" s="72" t="s">
        <v>369</v>
      </c>
      <c r="D1324" t="s">
        <v>3050</v>
      </c>
      <c r="E1324" t="s">
        <v>3025</v>
      </c>
      <c r="F1324" s="117" t="s">
        <v>3025</v>
      </c>
      <c r="G1324" s="72" t="s">
        <v>400</v>
      </c>
      <c r="H1324" s="69" t="str">
        <f>IF(Proc[[#This Row],[type]]="LFF (MDG-F)",MID(Proc[[#This Row],[Obj]],13,10),"")</f>
        <v/>
      </c>
      <c r="I1324" t="s">
        <v>3063</v>
      </c>
      <c r="J1324" s="69" t="b">
        <f>Proc[[#This Row],[Requested]]=Proc[[#This Row],[CurrentParent]]</f>
        <v>1</v>
      </c>
      <c r="K1324" s="144" t="str">
        <f>IF(Proc[[#This Row],[Author]]="Marcela Urrego",VLOOKUP(LEFT(Proc[[#This Row],[Requested]],1),Table3[#All],2,0),VLOOKUP(Proc[[#This Row],[Author]],Table4[],2,0))</f>
        <v>LS</v>
      </c>
      <c r="L1324" s="69" t="s">
        <v>2563</v>
      </c>
      <c r="M1324" s="79">
        <v>45789.517060185186</v>
      </c>
      <c r="N1324" s="83">
        <v>45791</v>
      </c>
      <c r="O1324" s="83">
        <v>45791</v>
      </c>
      <c r="P1324" s="80" t="str">
        <f ca="1">IF(Proc[[#This Row],[DaysAgeing]]&gt;5,"yep","on track")</f>
        <v>on track</v>
      </c>
      <c r="Q1324" s="3">
        <f ca="1">IF(Proc[[#This Row],[DateClosed]]="",ABS(NETWORKDAYS(Proc[[#This Row],[DateOpened]],TODAY()))-1,ABS(NETWORKDAYS(Proc[[#This Row],[DateOpened]],Proc[[#This Row],[DateClosed]]))-1)</f>
        <v>2</v>
      </c>
      <c r="R1324" s="80" t="s">
        <v>489</v>
      </c>
      <c r="S1324" s="69"/>
    </row>
    <row r="1325" spans="1:19" hidden="1">
      <c r="A1325" s="72" t="s">
        <v>3065</v>
      </c>
      <c r="B1325" s="149" t="str">
        <f>IFERROR(VLOOKUP(Proc[[#This Row],[App]],Table2[],3,0),"open")</f>
        <v>ok</v>
      </c>
      <c r="C1325" s="72" t="s">
        <v>369</v>
      </c>
      <c r="D1325" t="s">
        <v>3051</v>
      </c>
      <c r="E1325" t="s">
        <v>3025</v>
      </c>
      <c r="F1325" s="117" t="s">
        <v>3025</v>
      </c>
      <c r="G1325" s="72" t="s">
        <v>400</v>
      </c>
      <c r="H1325" s="69" t="str">
        <f>IF(Proc[[#This Row],[type]]="LFF (MDG-F)",MID(Proc[[#This Row],[Obj]],13,10),"")</f>
        <v/>
      </c>
      <c r="I1325" t="s">
        <v>3063</v>
      </c>
      <c r="J1325" s="69" t="b">
        <f>Proc[[#This Row],[Requested]]=Proc[[#This Row],[CurrentParent]]</f>
        <v>1</v>
      </c>
      <c r="K1325" s="144" t="str">
        <f>IF(Proc[[#This Row],[Author]]="Marcela Urrego",VLOOKUP(LEFT(Proc[[#This Row],[Requested]],1),Table3[#All],2,0),VLOOKUP(Proc[[#This Row],[Author]],Table4[],2,0))</f>
        <v>LS</v>
      </c>
      <c r="L1325" s="69" t="s">
        <v>2563</v>
      </c>
      <c r="M1325" s="79">
        <v>45789.517060185186</v>
      </c>
      <c r="N1325" s="83">
        <v>45791</v>
      </c>
      <c r="O1325" s="83">
        <v>45791</v>
      </c>
      <c r="P1325" s="80" t="str">
        <f ca="1">IF(Proc[[#This Row],[DaysAgeing]]&gt;5,"yep","on track")</f>
        <v>on track</v>
      </c>
      <c r="Q1325" s="3">
        <f ca="1">IF(Proc[[#This Row],[DateClosed]]="",ABS(NETWORKDAYS(Proc[[#This Row],[DateOpened]],TODAY()))-1,ABS(NETWORKDAYS(Proc[[#This Row],[DateOpened]],Proc[[#This Row],[DateClosed]]))-1)</f>
        <v>2</v>
      </c>
      <c r="R1325" s="80" t="s">
        <v>489</v>
      </c>
      <c r="S1325" s="69"/>
    </row>
    <row r="1326" spans="1:19" hidden="1">
      <c r="A1326" s="72" t="s">
        <v>3065</v>
      </c>
      <c r="B1326" s="149" t="str">
        <f>IFERROR(VLOOKUP(Proc[[#This Row],[App]],Table2[],3,0),"open")</f>
        <v>ok</v>
      </c>
      <c r="C1326" s="72" t="s">
        <v>369</v>
      </c>
      <c r="D1326" t="s">
        <v>3052</v>
      </c>
      <c r="E1326" t="s">
        <v>3025</v>
      </c>
      <c r="F1326" s="117" t="s">
        <v>3025</v>
      </c>
      <c r="G1326" s="72" t="s">
        <v>400</v>
      </c>
      <c r="H1326" s="69" t="str">
        <f>IF(Proc[[#This Row],[type]]="LFF (MDG-F)",MID(Proc[[#This Row],[Obj]],13,10),"")</f>
        <v/>
      </c>
      <c r="I1326" t="s">
        <v>3064</v>
      </c>
      <c r="J1326" s="69" t="b">
        <f>Proc[[#This Row],[Requested]]=Proc[[#This Row],[CurrentParent]]</f>
        <v>1</v>
      </c>
      <c r="K1326" s="144" t="str">
        <f>IF(Proc[[#This Row],[Author]]="Marcela Urrego",VLOOKUP(LEFT(Proc[[#This Row],[Requested]],1),Table3[#All],2,0),VLOOKUP(Proc[[#This Row],[Author]],Table4[],2,0))</f>
        <v>LS</v>
      </c>
      <c r="L1326" s="69" t="s">
        <v>2563</v>
      </c>
      <c r="M1326" s="79">
        <v>45789.517060185186</v>
      </c>
      <c r="N1326" s="83">
        <v>45791</v>
      </c>
      <c r="O1326" s="83">
        <v>45791</v>
      </c>
      <c r="P1326" s="80" t="str">
        <f ca="1">IF(Proc[[#This Row],[DaysAgeing]]&gt;5,"yep","on track")</f>
        <v>on track</v>
      </c>
      <c r="Q1326" s="3">
        <f ca="1">IF(Proc[[#This Row],[DateClosed]]="",ABS(NETWORKDAYS(Proc[[#This Row],[DateOpened]],TODAY()))-1,ABS(NETWORKDAYS(Proc[[#This Row],[DateOpened]],Proc[[#This Row],[DateClosed]]))-1)</f>
        <v>2</v>
      </c>
      <c r="R1326" s="80" t="s">
        <v>489</v>
      </c>
      <c r="S1326" s="69"/>
    </row>
    <row r="1327" spans="1:19" hidden="1">
      <c r="A1327" s="72" t="s">
        <v>3065</v>
      </c>
      <c r="B1327" s="149" t="str">
        <f>IFERROR(VLOOKUP(Proc[[#This Row],[App]],Table2[],3,0),"open")</f>
        <v>ok</v>
      </c>
      <c r="C1327" s="72" t="s">
        <v>369</v>
      </c>
      <c r="D1327" t="s">
        <v>3053</v>
      </c>
      <c r="E1327" t="s">
        <v>3025</v>
      </c>
      <c r="F1327" s="117" t="s">
        <v>3025</v>
      </c>
      <c r="G1327" s="72" t="s">
        <v>400</v>
      </c>
      <c r="H1327" s="69" t="str">
        <f>IF(Proc[[#This Row],[type]]="LFF (MDG-F)",MID(Proc[[#This Row],[Obj]],13,10),"")</f>
        <v/>
      </c>
      <c r="I1327" t="s">
        <v>3064</v>
      </c>
      <c r="J1327" s="69" t="b">
        <f>Proc[[#This Row],[Requested]]=Proc[[#This Row],[CurrentParent]]</f>
        <v>1</v>
      </c>
      <c r="K1327" s="144" t="str">
        <f>IF(Proc[[#This Row],[Author]]="Marcela Urrego",VLOOKUP(LEFT(Proc[[#This Row],[Requested]],1),Table3[#All],2,0),VLOOKUP(Proc[[#This Row],[Author]],Table4[],2,0))</f>
        <v>LS</v>
      </c>
      <c r="L1327" s="69" t="s">
        <v>2563</v>
      </c>
      <c r="M1327" s="79">
        <v>45789.517060185186</v>
      </c>
      <c r="N1327" s="83">
        <v>45791</v>
      </c>
      <c r="O1327" s="83">
        <v>45791</v>
      </c>
      <c r="P1327" s="80" t="str">
        <f ca="1">IF(Proc[[#This Row],[DaysAgeing]]&gt;5,"yep","on track")</f>
        <v>on track</v>
      </c>
      <c r="Q1327" s="3">
        <f ca="1">IF(Proc[[#This Row],[DateClosed]]="",ABS(NETWORKDAYS(Proc[[#This Row],[DateOpened]],TODAY()))-1,ABS(NETWORKDAYS(Proc[[#This Row],[DateOpened]],Proc[[#This Row],[DateClosed]]))-1)</f>
        <v>2</v>
      </c>
      <c r="R1327" s="80" t="s">
        <v>489</v>
      </c>
      <c r="S1327" s="69"/>
    </row>
    <row r="1328" spans="1:19" hidden="1">
      <c r="A1328" s="72" t="s">
        <v>3065</v>
      </c>
      <c r="B1328" s="149" t="str">
        <f>IFERROR(VLOOKUP(Proc[[#This Row],[App]],Table2[],3,0),"open")</f>
        <v>ok</v>
      </c>
      <c r="C1328" s="72" t="s">
        <v>369</v>
      </c>
      <c r="D1328" t="s">
        <v>3054</v>
      </c>
      <c r="E1328" t="s">
        <v>3025</v>
      </c>
      <c r="F1328" s="117" t="s">
        <v>3025</v>
      </c>
      <c r="G1328" s="72" t="s">
        <v>400</v>
      </c>
      <c r="H1328" s="69" t="str">
        <f>IF(Proc[[#This Row],[type]]="LFF (MDG-F)",MID(Proc[[#This Row],[Obj]],13,10),"")</f>
        <v/>
      </c>
      <c r="I1328" t="s">
        <v>3064</v>
      </c>
      <c r="J1328" s="69" t="b">
        <f>Proc[[#This Row],[Requested]]=Proc[[#This Row],[CurrentParent]]</f>
        <v>1</v>
      </c>
      <c r="K1328" s="144" t="str">
        <f>IF(Proc[[#This Row],[Author]]="Marcela Urrego",VLOOKUP(LEFT(Proc[[#This Row],[Requested]],1),Table3[#All],2,0),VLOOKUP(Proc[[#This Row],[Author]],Table4[],2,0))</f>
        <v>LS</v>
      </c>
      <c r="L1328" s="69" t="s">
        <v>2563</v>
      </c>
      <c r="M1328" s="79">
        <v>45789.517060185186</v>
      </c>
      <c r="N1328" s="83">
        <v>45791</v>
      </c>
      <c r="O1328" s="83">
        <v>45791</v>
      </c>
      <c r="P1328" s="80" t="str">
        <f ca="1">IF(Proc[[#This Row],[DaysAgeing]]&gt;5,"yep","on track")</f>
        <v>on track</v>
      </c>
      <c r="Q1328" s="3">
        <f ca="1">IF(Proc[[#This Row],[DateClosed]]="",ABS(NETWORKDAYS(Proc[[#This Row],[DateOpened]],TODAY()))-1,ABS(NETWORKDAYS(Proc[[#This Row],[DateOpened]],Proc[[#This Row],[DateClosed]]))-1)</f>
        <v>2</v>
      </c>
      <c r="R1328" s="80" t="s">
        <v>489</v>
      </c>
      <c r="S1328" s="69"/>
    </row>
    <row r="1329" spans="1:19" hidden="1">
      <c r="A1329" s="72" t="s">
        <v>3065</v>
      </c>
      <c r="B1329" s="149" t="str">
        <f>IFERROR(VLOOKUP(Proc[[#This Row],[App]],Table2[],3,0),"open")</f>
        <v>ok</v>
      </c>
      <c r="C1329" s="72" t="s">
        <v>369</v>
      </c>
      <c r="D1329" t="s">
        <v>3055</v>
      </c>
      <c r="E1329" t="s">
        <v>3025</v>
      </c>
      <c r="F1329" s="117" t="s">
        <v>3025</v>
      </c>
      <c r="G1329" s="72" t="s">
        <v>400</v>
      </c>
      <c r="H1329" s="69" t="str">
        <f>IF(Proc[[#This Row],[type]]="LFF (MDG-F)",MID(Proc[[#This Row],[Obj]],13,10),"")</f>
        <v/>
      </c>
      <c r="I1329" t="s">
        <v>3064</v>
      </c>
      <c r="J1329" s="69" t="b">
        <f>Proc[[#This Row],[Requested]]=Proc[[#This Row],[CurrentParent]]</f>
        <v>1</v>
      </c>
      <c r="K1329" s="144" t="str">
        <f>IF(Proc[[#This Row],[Author]]="Marcela Urrego",VLOOKUP(LEFT(Proc[[#This Row],[Requested]],1),Table3[#All],2,0),VLOOKUP(Proc[[#This Row],[Author]],Table4[],2,0))</f>
        <v>LS</v>
      </c>
      <c r="L1329" s="69" t="s">
        <v>2563</v>
      </c>
      <c r="M1329" s="79">
        <v>45789.517060185186</v>
      </c>
      <c r="N1329" s="83">
        <v>45791</v>
      </c>
      <c r="O1329" s="83">
        <v>45791</v>
      </c>
      <c r="P1329" s="80" t="str">
        <f ca="1">IF(Proc[[#This Row],[DaysAgeing]]&gt;5,"yep","on track")</f>
        <v>on track</v>
      </c>
      <c r="Q1329" s="3">
        <f ca="1">IF(Proc[[#This Row],[DateClosed]]="",ABS(NETWORKDAYS(Proc[[#This Row],[DateOpened]],TODAY()))-1,ABS(NETWORKDAYS(Proc[[#This Row],[DateOpened]],Proc[[#This Row],[DateClosed]]))-1)</f>
        <v>2</v>
      </c>
      <c r="R1329" s="80" t="s">
        <v>489</v>
      </c>
      <c r="S1329" s="69"/>
    </row>
    <row r="1330" spans="1:19" hidden="1">
      <c r="A1330" s="72" t="s">
        <v>3065</v>
      </c>
      <c r="B1330" s="149" t="str">
        <f>IFERROR(VLOOKUP(Proc[[#This Row],[App]],Table2[],3,0),"open")</f>
        <v>ok</v>
      </c>
      <c r="C1330" s="72" t="s">
        <v>369</v>
      </c>
      <c r="D1330" t="s">
        <v>3056</v>
      </c>
      <c r="E1330" t="s">
        <v>3025</v>
      </c>
      <c r="F1330" s="117" t="s">
        <v>3025</v>
      </c>
      <c r="G1330" s="72" t="s">
        <v>400</v>
      </c>
      <c r="H1330" s="69" t="str">
        <f>IF(Proc[[#This Row],[type]]="LFF (MDG-F)",MID(Proc[[#This Row],[Obj]],13,10),"")</f>
        <v/>
      </c>
      <c r="I1330" t="s">
        <v>3064</v>
      </c>
      <c r="J1330" s="69" t="b">
        <f>Proc[[#This Row],[Requested]]=Proc[[#This Row],[CurrentParent]]</f>
        <v>1</v>
      </c>
      <c r="K1330" s="144" t="str">
        <f>IF(Proc[[#This Row],[Author]]="Marcela Urrego",VLOOKUP(LEFT(Proc[[#This Row],[Requested]],1),Table3[#All],2,0),VLOOKUP(Proc[[#This Row],[Author]],Table4[],2,0))</f>
        <v>LS</v>
      </c>
      <c r="L1330" s="69" t="s">
        <v>2563</v>
      </c>
      <c r="M1330" s="79">
        <v>45789.517060185186</v>
      </c>
      <c r="N1330" s="83">
        <v>45791</v>
      </c>
      <c r="O1330" s="83">
        <v>45791</v>
      </c>
      <c r="P1330" s="80" t="str">
        <f ca="1">IF(Proc[[#This Row],[DaysAgeing]]&gt;5,"yep","on track")</f>
        <v>on track</v>
      </c>
      <c r="Q1330" s="3">
        <f ca="1">IF(Proc[[#This Row],[DateClosed]]="",ABS(NETWORKDAYS(Proc[[#This Row],[DateOpened]],TODAY()))-1,ABS(NETWORKDAYS(Proc[[#This Row],[DateOpened]],Proc[[#This Row],[DateClosed]]))-1)</f>
        <v>2</v>
      </c>
      <c r="R1330" s="80" t="s">
        <v>489</v>
      </c>
      <c r="S1330" s="69"/>
    </row>
    <row r="1331" spans="1:19" hidden="1">
      <c r="A1331" s="72" t="s">
        <v>3065</v>
      </c>
      <c r="B1331" s="149" t="str">
        <f>IFERROR(VLOOKUP(Proc[[#This Row],[App]],Table2[],3,0),"open")</f>
        <v>ok</v>
      </c>
      <c r="C1331" s="72" t="s">
        <v>369</v>
      </c>
      <c r="D1331" t="s">
        <v>3057</v>
      </c>
      <c r="E1331" t="s">
        <v>3025</v>
      </c>
      <c r="F1331" s="117" t="s">
        <v>3025</v>
      </c>
      <c r="G1331" s="72" t="s">
        <v>400</v>
      </c>
      <c r="H1331" s="69" t="str">
        <f>IF(Proc[[#This Row],[type]]="LFF (MDG-F)",MID(Proc[[#This Row],[Obj]],13,10),"")</f>
        <v/>
      </c>
      <c r="I1331" t="s">
        <v>3064</v>
      </c>
      <c r="J1331" s="69" t="b">
        <f>Proc[[#This Row],[Requested]]=Proc[[#This Row],[CurrentParent]]</f>
        <v>1</v>
      </c>
      <c r="K1331" s="144" t="str">
        <f>IF(Proc[[#This Row],[Author]]="Marcela Urrego",VLOOKUP(LEFT(Proc[[#This Row],[Requested]],1),Table3[#All],2,0),VLOOKUP(Proc[[#This Row],[Author]],Table4[],2,0))</f>
        <v>LS</v>
      </c>
      <c r="L1331" s="69" t="s">
        <v>2563</v>
      </c>
      <c r="M1331" s="79">
        <v>45789.517060185186</v>
      </c>
      <c r="N1331" s="83">
        <v>45791</v>
      </c>
      <c r="O1331" s="83">
        <v>45791</v>
      </c>
      <c r="P1331" s="80" t="str">
        <f ca="1">IF(Proc[[#This Row],[DaysAgeing]]&gt;5,"yep","on track")</f>
        <v>on track</v>
      </c>
      <c r="Q1331" s="3">
        <f ca="1">IF(Proc[[#This Row],[DateClosed]]="",ABS(NETWORKDAYS(Proc[[#This Row],[DateOpened]],TODAY()))-1,ABS(NETWORKDAYS(Proc[[#This Row],[DateOpened]],Proc[[#This Row],[DateClosed]]))-1)</f>
        <v>2</v>
      </c>
      <c r="R1331" s="80" t="s">
        <v>489</v>
      </c>
      <c r="S1331" s="69"/>
    </row>
    <row r="1332" spans="1:19" hidden="1">
      <c r="A1332" s="72" t="s">
        <v>3065</v>
      </c>
      <c r="B1332" s="149" t="str">
        <f>IFERROR(VLOOKUP(Proc[[#This Row],[App]],Table2[],3,0),"open")</f>
        <v>ok</v>
      </c>
      <c r="C1332" s="72" t="s">
        <v>369</v>
      </c>
      <c r="D1332" t="s">
        <v>3058</v>
      </c>
      <c r="E1332" t="s">
        <v>3025</v>
      </c>
      <c r="F1332" s="117" t="s">
        <v>3025</v>
      </c>
      <c r="G1332" s="72" t="s">
        <v>400</v>
      </c>
      <c r="H1332" s="69" t="str">
        <f>IF(Proc[[#This Row],[type]]="LFF (MDG-F)",MID(Proc[[#This Row],[Obj]],13,10),"")</f>
        <v/>
      </c>
      <c r="I1332" t="s">
        <v>3064</v>
      </c>
      <c r="J1332" s="69" t="b">
        <f>Proc[[#This Row],[Requested]]=Proc[[#This Row],[CurrentParent]]</f>
        <v>1</v>
      </c>
      <c r="K1332" s="144" t="str">
        <f>IF(Proc[[#This Row],[Author]]="Marcela Urrego",VLOOKUP(LEFT(Proc[[#This Row],[Requested]],1),Table3[#All],2,0),VLOOKUP(Proc[[#This Row],[Author]],Table4[],2,0))</f>
        <v>LS</v>
      </c>
      <c r="L1332" s="69" t="s">
        <v>2563</v>
      </c>
      <c r="M1332" s="79">
        <v>45789.517060185186</v>
      </c>
      <c r="N1332" s="83">
        <v>45791</v>
      </c>
      <c r="O1332" s="83">
        <v>45791</v>
      </c>
      <c r="P1332" s="80" t="str">
        <f ca="1">IF(Proc[[#This Row],[DaysAgeing]]&gt;5,"yep","on track")</f>
        <v>on track</v>
      </c>
      <c r="Q1332" s="3">
        <f ca="1">IF(Proc[[#This Row],[DateClosed]]="",ABS(NETWORKDAYS(Proc[[#This Row],[DateOpened]],TODAY()))-1,ABS(NETWORKDAYS(Proc[[#This Row],[DateOpened]],Proc[[#This Row],[DateClosed]]))-1)</f>
        <v>2</v>
      </c>
      <c r="R1332" s="80" t="s">
        <v>489</v>
      </c>
      <c r="S1332" s="69"/>
    </row>
    <row r="1333" spans="1:19" hidden="1">
      <c r="A1333" s="72" t="s">
        <v>3065</v>
      </c>
      <c r="B1333" s="149" t="str">
        <f>IFERROR(VLOOKUP(Proc[[#This Row],[App]],Table2[],3,0),"open")</f>
        <v>ok</v>
      </c>
      <c r="C1333" s="72" t="s">
        <v>369</v>
      </c>
      <c r="D1333" t="s">
        <v>3059</v>
      </c>
      <c r="E1333" t="s">
        <v>3025</v>
      </c>
      <c r="F1333" s="117" t="s">
        <v>3025</v>
      </c>
      <c r="G1333" s="72" t="s">
        <v>400</v>
      </c>
      <c r="H1333" s="69" t="str">
        <f>IF(Proc[[#This Row],[type]]="LFF (MDG-F)",MID(Proc[[#This Row],[Obj]],13,10),"")</f>
        <v/>
      </c>
      <c r="I1333" t="s">
        <v>3064</v>
      </c>
      <c r="J1333" s="69" t="b">
        <f>Proc[[#This Row],[Requested]]=Proc[[#This Row],[CurrentParent]]</f>
        <v>1</v>
      </c>
      <c r="K1333" s="144" t="str">
        <f>IF(Proc[[#This Row],[Author]]="Marcela Urrego",VLOOKUP(LEFT(Proc[[#This Row],[Requested]],1),Table3[#All],2,0),VLOOKUP(Proc[[#This Row],[Author]],Table4[],2,0))</f>
        <v>LS</v>
      </c>
      <c r="L1333" s="69" t="s">
        <v>2563</v>
      </c>
      <c r="M1333" s="79">
        <v>45789.517060185186</v>
      </c>
      <c r="N1333" s="83">
        <v>45791</v>
      </c>
      <c r="O1333" s="83">
        <v>45791</v>
      </c>
      <c r="P1333" s="80" t="str">
        <f ca="1">IF(Proc[[#This Row],[DaysAgeing]]&gt;5,"yep","on track")</f>
        <v>on track</v>
      </c>
      <c r="Q1333" s="3">
        <f ca="1">IF(Proc[[#This Row],[DateClosed]]="",ABS(NETWORKDAYS(Proc[[#This Row],[DateOpened]],TODAY()))-1,ABS(NETWORKDAYS(Proc[[#This Row],[DateOpened]],Proc[[#This Row],[DateClosed]]))-1)</f>
        <v>2</v>
      </c>
      <c r="R1333" s="80" t="s">
        <v>489</v>
      </c>
      <c r="S1333" s="69"/>
    </row>
    <row r="1334" spans="1:19" hidden="1">
      <c r="A1334" s="72" t="s">
        <v>3065</v>
      </c>
      <c r="B1334" s="149" t="str">
        <f>IFERROR(VLOOKUP(Proc[[#This Row],[App]],Table2[],3,0),"open")</f>
        <v>ok</v>
      </c>
      <c r="C1334" s="72" t="s">
        <v>369</v>
      </c>
      <c r="D1334" t="s">
        <v>3060</v>
      </c>
      <c r="E1334" t="s">
        <v>3025</v>
      </c>
      <c r="F1334" s="117" t="s">
        <v>3025</v>
      </c>
      <c r="G1334" s="72" t="s">
        <v>400</v>
      </c>
      <c r="H1334" s="69" t="str">
        <f>IF(Proc[[#This Row],[type]]="LFF (MDG-F)",MID(Proc[[#This Row],[Obj]],13,10),"")</f>
        <v/>
      </c>
      <c r="I1334" t="s">
        <v>3064</v>
      </c>
      <c r="J1334" s="69" t="b">
        <f>Proc[[#This Row],[Requested]]=Proc[[#This Row],[CurrentParent]]</f>
        <v>1</v>
      </c>
      <c r="K1334" s="144" t="str">
        <f>IF(Proc[[#This Row],[Author]]="Marcela Urrego",VLOOKUP(LEFT(Proc[[#This Row],[Requested]],1),Table3[#All],2,0),VLOOKUP(Proc[[#This Row],[Author]],Table4[],2,0))</f>
        <v>LS</v>
      </c>
      <c r="L1334" s="69" t="s">
        <v>2563</v>
      </c>
      <c r="M1334" s="79">
        <v>45789.517060185186</v>
      </c>
      <c r="N1334" s="83">
        <v>45791</v>
      </c>
      <c r="O1334" s="83">
        <v>45791</v>
      </c>
      <c r="P1334" s="80" t="str">
        <f ca="1">IF(Proc[[#This Row],[DaysAgeing]]&gt;5,"yep","on track")</f>
        <v>on track</v>
      </c>
      <c r="Q1334" s="3">
        <f ca="1">IF(Proc[[#This Row],[DateClosed]]="",ABS(NETWORKDAYS(Proc[[#This Row],[DateOpened]],TODAY()))-1,ABS(NETWORKDAYS(Proc[[#This Row],[DateOpened]],Proc[[#This Row],[DateClosed]]))-1)</f>
        <v>2</v>
      </c>
      <c r="R1334" s="80" t="s">
        <v>489</v>
      </c>
      <c r="S1334" s="69"/>
    </row>
    <row r="1335" spans="1:19" hidden="1">
      <c r="A1335" t="s">
        <v>3083</v>
      </c>
      <c r="B1335" s="149" t="str">
        <f>IFERROR(VLOOKUP(Proc[[#This Row],[App]],Table2[],3,0),"open")</f>
        <v>ok</v>
      </c>
      <c r="C1335" s="72" t="s">
        <v>369</v>
      </c>
      <c r="D1335" t="s">
        <v>3066</v>
      </c>
      <c r="E1335" t="s">
        <v>2592</v>
      </c>
      <c r="F1335" s="117" t="s">
        <v>2592</v>
      </c>
      <c r="G1335" s="72" t="s">
        <v>400</v>
      </c>
      <c r="H1335" s="69" t="str">
        <f>IF(Proc[[#This Row],[type]]="LFF (MDG-F)",MID(Proc[[#This Row],[Obj]],13,10),"")</f>
        <v/>
      </c>
      <c r="J1335" s="69" t="b">
        <f>Proc[[#This Row],[Requested]]=Proc[[#This Row],[CurrentParent]]</f>
        <v>1</v>
      </c>
      <c r="K1335" s="144" t="str">
        <f>IF(Proc[[#This Row],[Author]]="Marcela Urrego",VLOOKUP(LEFT(Proc[[#This Row],[Requested]],1),Table3[#All],2,0),VLOOKUP(Proc[[#This Row],[Author]],Table4[],2,0))</f>
        <v>LS</v>
      </c>
      <c r="L1335" s="69" t="s">
        <v>2563</v>
      </c>
      <c r="M1335" s="79">
        <v>45789.484120370369</v>
      </c>
      <c r="N1335" s="79">
        <v>45790</v>
      </c>
      <c r="O1335" s="79">
        <v>45790</v>
      </c>
      <c r="P1335" s="80" t="str">
        <f ca="1">IF(Proc[[#This Row],[DaysAgeing]]&gt;5,"yep","on track")</f>
        <v>on track</v>
      </c>
      <c r="Q1335" s="3">
        <f ca="1">IF(Proc[[#This Row],[DateClosed]]="",ABS(NETWORKDAYS(Proc[[#This Row],[DateOpened]],TODAY()))-1,ABS(NETWORKDAYS(Proc[[#This Row],[DateOpened]],Proc[[#This Row],[DateClosed]]))-1)</f>
        <v>1</v>
      </c>
      <c r="R1335" s="80" t="s">
        <v>489</v>
      </c>
      <c r="S1335" s="69"/>
    </row>
    <row r="1336" spans="1:19" hidden="1">
      <c r="A1336" s="72" t="s">
        <v>3083</v>
      </c>
      <c r="B1336" s="149" t="str">
        <f>IFERROR(VLOOKUP(Proc[[#This Row],[App]],Table2[],3,0),"open")</f>
        <v>ok</v>
      </c>
      <c r="C1336" s="72" t="s">
        <v>369</v>
      </c>
      <c r="D1336" t="s">
        <v>3067</v>
      </c>
      <c r="E1336" t="s">
        <v>2592</v>
      </c>
      <c r="F1336" s="117" t="s">
        <v>2592</v>
      </c>
      <c r="G1336" s="72" t="s">
        <v>400</v>
      </c>
      <c r="H1336" s="69" t="str">
        <f>IF(Proc[[#This Row],[type]]="LFF (MDG-F)",MID(Proc[[#This Row],[Obj]],13,10),"")</f>
        <v/>
      </c>
      <c r="J1336" s="69" t="b">
        <f>Proc[[#This Row],[Requested]]=Proc[[#This Row],[CurrentParent]]</f>
        <v>1</v>
      </c>
      <c r="K1336" s="144" t="str">
        <f>IF(Proc[[#This Row],[Author]]="Marcela Urrego",VLOOKUP(LEFT(Proc[[#This Row],[Requested]],1),Table3[#All],2,0),VLOOKUP(Proc[[#This Row],[Author]],Table4[],2,0))</f>
        <v>LS</v>
      </c>
      <c r="L1336" s="69" t="s">
        <v>2563</v>
      </c>
      <c r="M1336" s="79">
        <v>45789.484120370369</v>
      </c>
      <c r="N1336" s="79">
        <v>45790</v>
      </c>
      <c r="O1336" s="79">
        <v>45790</v>
      </c>
      <c r="P1336" s="80" t="str">
        <f ca="1">IF(Proc[[#This Row],[DaysAgeing]]&gt;5,"yep","on track")</f>
        <v>on track</v>
      </c>
      <c r="Q1336" s="3">
        <f ca="1">IF(Proc[[#This Row],[DateClosed]]="",ABS(NETWORKDAYS(Proc[[#This Row],[DateOpened]],TODAY()))-1,ABS(NETWORKDAYS(Proc[[#This Row],[DateOpened]],Proc[[#This Row],[DateClosed]]))-1)</f>
        <v>1</v>
      </c>
      <c r="R1336" s="80" t="s">
        <v>489</v>
      </c>
      <c r="S1336" s="69"/>
    </row>
    <row r="1337" spans="1:19" hidden="1">
      <c r="A1337" s="72" t="s">
        <v>3083</v>
      </c>
      <c r="B1337" s="149" t="str">
        <f>IFERROR(VLOOKUP(Proc[[#This Row],[App]],Table2[],3,0),"open")</f>
        <v>ok</v>
      </c>
      <c r="C1337" s="72" t="s">
        <v>369</v>
      </c>
      <c r="D1337" t="s">
        <v>3068</v>
      </c>
      <c r="E1337" t="s">
        <v>2592</v>
      </c>
      <c r="F1337" s="117" t="s">
        <v>2592</v>
      </c>
      <c r="G1337" s="72" t="s">
        <v>400</v>
      </c>
      <c r="H1337" s="69" t="str">
        <f>IF(Proc[[#This Row],[type]]="LFF (MDG-F)",MID(Proc[[#This Row],[Obj]],13,10),"")</f>
        <v/>
      </c>
      <c r="J1337" s="69" t="b">
        <f>Proc[[#This Row],[Requested]]=Proc[[#This Row],[CurrentParent]]</f>
        <v>1</v>
      </c>
      <c r="K1337" s="144" t="str">
        <f>IF(Proc[[#This Row],[Author]]="Marcela Urrego",VLOOKUP(LEFT(Proc[[#This Row],[Requested]],1),Table3[#All],2,0),VLOOKUP(Proc[[#This Row],[Author]],Table4[],2,0))</f>
        <v>LS</v>
      </c>
      <c r="L1337" s="69" t="s">
        <v>2563</v>
      </c>
      <c r="M1337" s="79">
        <v>45789.484120370369</v>
      </c>
      <c r="N1337" s="79">
        <v>45790</v>
      </c>
      <c r="O1337" s="79">
        <v>45790</v>
      </c>
      <c r="P1337" s="80" t="str">
        <f ca="1">IF(Proc[[#This Row],[DaysAgeing]]&gt;5,"yep","on track")</f>
        <v>on track</v>
      </c>
      <c r="Q1337" s="3">
        <f ca="1">IF(Proc[[#This Row],[DateClosed]]="",ABS(NETWORKDAYS(Proc[[#This Row],[DateOpened]],TODAY()))-1,ABS(NETWORKDAYS(Proc[[#This Row],[DateOpened]],Proc[[#This Row],[DateClosed]]))-1)</f>
        <v>1</v>
      </c>
      <c r="R1337" s="80" t="s">
        <v>489</v>
      </c>
      <c r="S1337" s="69"/>
    </row>
    <row r="1338" spans="1:19" hidden="1">
      <c r="A1338" s="72" t="s">
        <v>3083</v>
      </c>
      <c r="B1338" s="149" t="str">
        <f>IFERROR(VLOOKUP(Proc[[#This Row],[App]],Table2[],3,0),"open")</f>
        <v>ok</v>
      </c>
      <c r="C1338" s="72" t="s">
        <v>369</v>
      </c>
      <c r="D1338" t="s">
        <v>3069</v>
      </c>
      <c r="E1338" t="s">
        <v>417</v>
      </c>
      <c r="F1338" s="117" t="s">
        <v>417</v>
      </c>
      <c r="G1338" s="72" t="s">
        <v>400</v>
      </c>
      <c r="H1338" s="69" t="str">
        <f>IF(Proc[[#This Row],[type]]="LFF (MDG-F)",MID(Proc[[#This Row],[Obj]],13,10),"")</f>
        <v/>
      </c>
      <c r="J1338" s="69" t="b">
        <f>Proc[[#This Row],[Requested]]=Proc[[#This Row],[CurrentParent]]</f>
        <v>1</v>
      </c>
      <c r="K1338" s="144" t="str">
        <f>IF(Proc[[#This Row],[Author]]="Marcela Urrego",VLOOKUP(LEFT(Proc[[#This Row],[Requested]],1),Table3[#All],2,0),VLOOKUP(Proc[[#This Row],[Author]],Table4[],2,0))</f>
        <v>LS</v>
      </c>
      <c r="L1338" s="69" t="s">
        <v>2563</v>
      </c>
      <c r="M1338" s="79">
        <v>45789.484120370369</v>
      </c>
      <c r="N1338" s="79">
        <v>45790</v>
      </c>
      <c r="O1338" s="79">
        <v>45790</v>
      </c>
      <c r="P1338" s="80" t="str">
        <f ca="1">IF(Proc[[#This Row],[DaysAgeing]]&gt;5,"yep","on track")</f>
        <v>on track</v>
      </c>
      <c r="Q1338" s="3">
        <f ca="1">IF(Proc[[#This Row],[DateClosed]]="",ABS(NETWORKDAYS(Proc[[#This Row],[DateOpened]],TODAY()))-1,ABS(NETWORKDAYS(Proc[[#This Row],[DateOpened]],Proc[[#This Row],[DateClosed]]))-1)</f>
        <v>1</v>
      </c>
      <c r="R1338" s="80" t="s">
        <v>489</v>
      </c>
      <c r="S1338" s="69"/>
    </row>
    <row r="1339" spans="1:19" hidden="1">
      <c r="A1339" s="72" t="s">
        <v>3083</v>
      </c>
      <c r="B1339" s="149" t="str">
        <f>IFERROR(VLOOKUP(Proc[[#This Row],[App]],Table2[],3,0),"open")</f>
        <v>ok</v>
      </c>
      <c r="C1339" s="72" t="s">
        <v>369</v>
      </c>
      <c r="D1339" t="s">
        <v>3070</v>
      </c>
      <c r="E1339" t="s">
        <v>417</v>
      </c>
      <c r="F1339" s="117" t="s">
        <v>417</v>
      </c>
      <c r="G1339" s="72" t="s">
        <v>400</v>
      </c>
      <c r="H1339" s="69" t="str">
        <f>IF(Proc[[#This Row],[type]]="LFF (MDG-F)",MID(Proc[[#This Row],[Obj]],13,10),"")</f>
        <v/>
      </c>
      <c r="J1339" s="69" t="b">
        <f>Proc[[#This Row],[Requested]]=Proc[[#This Row],[CurrentParent]]</f>
        <v>1</v>
      </c>
      <c r="K1339" s="144" t="str">
        <f>IF(Proc[[#This Row],[Author]]="Marcela Urrego",VLOOKUP(LEFT(Proc[[#This Row],[Requested]],1),Table3[#All],2,0),VLOOKUP(Proc[[#This Row],[Author]],Table4[],2,0))</f>
        <v>LS</v>
      </c>
      <c r="L1339" s="69" t="s">
        <v>2563</v>
      </c>
      <c r="M1339" s="79">
        <v>45789.484120370369</v>
      </c>
      <c r="N1339" s="79">
        <v>45790</v>
      </c>
      <c r="O1339" s="79">
        <v>45790</v>
      </c>
      <c r="P1339" s="80" t="str">
        <f ca="1">IF(Proc[[#This Row],[DaysAgeing]]&gt;5,"yep","on track")</f>
        <v>on track</v>
      </c>
      <c r="Q1339" s="3">
        <f ca="1">IF(Proc[[#This Row],[DateClosed]]="",ABS(NETWORKDAYS(Proc[[#This Row],[DateOpened]],TODAY()))-1,ABS(NETWORKDAYS(Proc[[#This Row],[DateOpened]],Proc[[#This Row],[DateClosed]]))-1)</f>
        <v>1</v>
      </c>
      <c r="R1339" s="80" t="s">
        <v>489</v>
      </c>
      <c r="S1339" s="69"/>
    </row>
    <row r="1340" spans="1:19" hidden="1">
      <c r="A1340" s="72" t="s">
        <v>3083</v>
      </c>
      <c r="B1340" s="149" t="str">
        <f>IFERROR(VLOOKUP(Proc[[#This Row],[App]],Table2[],3,0),"open")</f>
        <v>ok</v>
      </c>
      <c r="C1340" s="72" t="s">
        <v>369</v>
      </c>
      <c r="D1340" t="s">
        <v>3071</v>
      </c>
      <c r="E1340" t="s">
        <v>417</v>
      </c>
      <c r="F1340" s="117" t="s">
        <v>417</v>
      </c>
      <c r="G1340" s="72" t="s">
        <v>400</v>
      </c>
      <c r="H1340" s="69" t="str">
        <f>IF(Proc[[#This Row],[type]]="LFF (MDG-F)",MID(Proc[[#This Row],[Obj]],13,10),"")</f>
        <v/>
      </c>
      <c r="J1340" s="69" t="b">
        <f>Proc[[#This Row],[Requested]]=Proc[[#This Row],[CurrentParent]]</f>
        <v>1</v>
      </c>
      <c r="K1340" s="144" t="str">
        <f>IF(Proc[[#This Row],[Author]]="Marcela Urrego",VLOOKUP(LEFT(Proc[[#This Row],[Requested]],1),Table3[#All],2,0),VLOOKUP(Proc[[#This Row],[Author]],Table4[],2,0))</f>
        <v>LS</v>
      </c>
      <c r="L1340" s="69" t="s">
        <v>2563</v>
      </c>
      <c r="M1340" s="79">
        <v>45789.484120370369</v>
      </c>
      <c r="N1340" s="79">
        <v>45790</v>
      </c>
      <c r="O1340" s="79">
        <v>45790</v>
      </c>
      <c r="P1340" s="80" t="str">
        <f ca="1">IF(Proc[[#This Row],[DaysAgeing]]&gt;5,"yep","on track")</f>
        <v>on track</v>
      </c>
      <c r="Q1340" s="3">
        <f ca="1">IF(Proc[[#This Row],[DateClosed]]="",ABS(NETWORKDAYS(Proc[[#This Row],[DateOpened]],TODAY()))-1,ABS(NETWORKDAYS(Proc[[#This Row],[DateOpened]],Proc[[#This Row],[DateClosed]]))-1)</f>
        <v>1</v>
      </c>
      <c r="R1340" s="80" t="s">
        <v>489</v>
      </c>
      <c r="S1340" s="69"/>
    </row>
    <row r="1341" spans="1:19" hidden="1">
      <c r="A1341" s="72" t="s">
        <v>3083</v>
      </c>
      <c r="B1341" s="149" t="str">
        <f>IFERROR(VLOOKUP(Proc[[#This Row],[App]],Table2[],3,0),"open")</f>
        <v>ok</v>
      </c>
      <c r="C1341" s="72" t="s">
        <v>369</v>
      </c>
      <c r="D1341" t="s">
        <v>3072</v>
      </c>
      <c r="E1341" t="s">
        <v>417</v>
      </c>
      <c r="F1341" s="117" t="s">
        <v>417</v>
      </c>
      <c r="G1341" s="72" t="s">
        <v>400</v>
      </c>
      <c r="H1341" s="69" t="str">
        <f>IF(Proc[[#This Row],[type]]="LFF (MDG-F)",MID(Proc[[#This Row],[Obj]],13,10),"")</f>
        <v/>
      </c>
      <c r="J1341" s="69" t="b">
        <f>Proc[[#This Row],[Requested]]=Proc[[#This Row],[CurrentParent]]</f>
        <v>1</v>
      </c>
      <c r="K1341" s="144" t="str">
        <f>IF(Proc[[#This Row],[Author]]="Marcela Urrego",VLOOKUP(LEFT(Proc[[#This Row],[Requested]],1),Table3[#All],2,0),VLOOKUP(Proc[[#This Row],[Author]],Table4[],2,0))</f>
        <v>LS</v>
      </c>
      <c r="L1341" s="69" t="s">
        <v>2563</v>
      </c>
      <c r="M1341" s="79">
        <v>45789.484120370369</v>
      </c>
      <c r="N1341" s="79">
        <v>45790</v>
      </c>
      <c r="O1341" s="79">
        <v>45790</v>
      </c>
      <c r="P1341" s="80" t="str">
        <f ca="1">IF(Proc[[#This Row],[DaysAgeing]]&gt;5,"yep","on track")</f>
        <v>on track</v>
      </c>
      <c r="Q1341" s="3">
        <f ca="1">IF(Proc[[#This Row],[DateClosed]]="",ABS(NETWORKDAYS(Proc[[#This Row],[DateOpened]],TODAY()))-1,ABS(NETWORKDAYS(Proc[[#This Row],[DateOpened]],Proc[[#This Row],[DateClosed]]))-1)</f>
        <v>1</v>
      </c>
      <c r="R1341" s="80" t="s">
        <v>489</v>
      </c>
      <c r="S1341" s="69"/>
    </row>
    <row r="1342" spans="1:19" hidden="1">
      <c r="A1342" s="72" t="s">
        <v>3083</v>
      </c>
      <c r="B1342" s="149" t="str">
        <f>IFERROR(VLOOKUP(Proc[[#This Row],[App]],Table2[],3,0),"open")</f>
        <v>ok</v>
      </c>
      <c r="C1342" s="72" t="s">
        <v>369</v>
      </c>
      <c r="D1342" t="s">
        <v>3073</v>
      </c>
      <c r="E1342" t="s">
        <v>417</v>
      </c>
      <c r="F1342" s="117" t="s">
        <v>417</v>
      </c>
      <c r="G1342" s="72" t="s">
        <v>400</v>
      </c>
      <c r="H1342" s="69" t="str">
        <f>IF(Proc[[#This Row],[type]]="LFF (MDG-F)",MID(Proc[[#This Row],[Obj]],13,10),"")</f>
        <v/>
      </c>
      <c r="J1342" s="69" t="b">
        <f>Proc[[#This Row],[Requested]]=Proc[[#This Row],[CurrentParent]]</f>
        <v>1</v>
      </c>
      <c r="K1342" s="144" t="str">
        <f>IF(Proc[[#This Row],[Author]]="Marcela Urrego",VLOOKUP(LEFT(Proc[[#This Row],[Requested]],1),Table3[#All],2,0),VLOOKUP(Proc[[#This Row],[Author]],Table4[],2,0))</f>
        <v>LS</v>
      </c>
      <c r="L1342" s="69" t="s">
        <v>2563</v>
      </c>
      <c r="M1342" s="79">
        <v>45789.484120370369</v>
      </c>
      <c r="N1342" s="79">
        <v>45790</v>
      </c>
      <c r="O1342" s="79">
        <v>45790</v>
      </c>
      <c r="P1342" s="80" t="str">
        <f ca="1">IF(Proc[[#This Row],[DaysAgeing]]&gt;5,"yep","on track")</f>
        <v>on track</v>
      </c>
      <c r="Q1342" s="3">
        <f ca="1">IF(Proc[[#This Row],[DateClosed]]="",ABS(NETWORKDAYS(Proc[[#This Row],[DateOpened]],TODAY()))-1,ABS(NETWORKDAYS(Proc[[#This Row],[DateOpened]],Proc[[#This Row],[DateClosed]]))-1)</f>
        <v>1</v>
      </c>
      <c r="R1342" s="80" t="s">
        <v>489</v>
      </c>
      <c r="S1342" s="69"/>
    </row>
    <row r="1343" spans="1:19" hidden="1">
      <c r="A1343" s="72" t="s">
        <v>3083</v>
      </c>
      <c r="B1343" s="149" t="str">
        <f>IFERROR(VLOOKUP(Proc[[#This Row],[App]],Table2[],3,0),"open")</f>
        <v>ok</v>
      </c>
      <c r="C1343" s="72" t="s">
        <v>369</v>
      </c>
      <c r="D1343" t="s">
        <v>3074</v>
      </c>
      <c r="E1343" t="s">
        <v>417</v>
      </c>
      <c r="F1343" s="117" t="s">
        <v>417</v>
      </c>
      <c r="G1343" s="72" t="s">
        <v>400</v>
      </c>
      <c r="H1343" s="69" t="str">
        <f>IF(Proc[[#This Row],[type]]="LFF (MDG-F)",MID(Proc[[#This Row],[Obj]],13,10),"")</f>
        <v/>
      </c>
      <c r="J1343" s="69" t="b">
        <f>Proc[[#This Row],[Requested]]=Proc[[#This Row],[CurrentParent]]</f>
        <v>1</v>
      </c>
      <c r="K1343" s="144" t="str">
        <f>IF(Proc[[#This Row],[Author]]="Marcela Urrego",VLOOKUP(LEFT(Proc[[#This Row],[Requested]],1),Table3[#All],2,0),VLOOKUP(Proc[[#This Row],[Author]],Table4[],2,0))</f>
        <v>LS</v>
      </c>
      <c r="L1343" s="69" t="s">
        <v>2563</v>
      </c>
      <c r="M1343" s="79">
        <v>45789.484120370369</v>
      </c>
      <c r="N1343" s="79">
        <v>45790</v>
      </c>
      <c r="O1343" s="79">
        <v>45790</v>
      </c>
      <c r="P1343" s="80" t="str">
        <f ca="1">IF(Proc[[#This Row],[DaysAgeing]]&gt;5,"yep","on track")</f>
        <v>on track</v>
      </c>
      <c r="Q1343" s="3">
        <f ca="1">IF(Proc[[#This Row],[DateClosed]]="",ABS(NETWORKDAYS(Proc[[#This Row],[DateOpened]],TODAY()))-1,ABS(NETWORKDAYS(Proc[[#This Row],[DateOpened]],Proc[[#This Row],[DateClosed]]))-1)</f>
        <v>1</v>
      </c>
      <c r="R1343" s="80" t="s">
        <v>489</v>
      </c>
      <c r="S1343" s="69"/>
    </row>
    <row r="1344" spans="1:19" hidden="1">
      <c r="A1344" s="72" t="s">
        <v>3083</v>
      </c>
      <c r="B1344" s="149" t="str">
        <f>IFERROR(VLOOKUP(Proc[[#This Row],[App]],Table2[],3,0),"open")</f>
        <v>ok</v>
      </c>
      <c r="C1344" s="72" t="s">
        <v>369</v>
      </c>
      <c r="D1344" t="s">
        <v>3075</v>
      </c>
      <c r="E1344" t="s">
        <v>417</v>
      </c>
      <c r="F1344" s="117" t="s">
        <v>417</v>
      </c>
      <c r="G1344" s="72" t="s">
        <v>400</v>
      </c>
      <c r="H1344" s="69" t="str">
        <f>IF(Proc[[#This Row],[type]]="LFF (MDG-F)",MID(Proc[[#This Row],[Obj]],13,10),"")</f>
        <v/>
      </c>
      <c r="J1344" s="69" t="b">
        <f>Proc[[#This Row],[Requested]]=Proc[[#This Row],[CurrentParent]]</f>
        <v>1</v>
      </c>
      <c r="K1344" s="144" t="str">
        <f>IF(Proc[[#This Row],[Author]]="Marcela Urrego",VLOOKUP(LEFT(Proc[[#This Row],[Requested]],1),Table3[#All],2,0),VLOOKUP(Proc[[#This Row],[Author]],Table4[],2,0))</f>
        <v>LS</v>
      </c>
      <c r="L1344" s="69" t="s">
        <v>2563</v>
      </c>
      <c r="M1344" s="79">
        <v>45789.484120370369</v>
      </c>
      <c r="N1344" s="79">
        <v>45790</v>
      </c>
      <c r="O1344" s="79">
        <v>45790</v>
      </c>
      <c r="P1344" s="80" t="str">
        <f ca="1">IF(Proc[[#This Row],[DaysAgeing]]&gt;5,"yep","on track")</f>
        <v>on track</v>
      </c>
      <c r="Q1344" s="3">
        <f ca="1">IF(Proc[[#This Row],[DateClosed]]="",ABS(NETWORKDAYS(Proc[[#This Row],[DateOpened]],TODAY()))-1,ABS(NETWORKDAYS(Proc[[#This Row],[DateOpened]],Proc[[#This Row],[DateClosed]]))-1)</f>
        <v>1</v>
      </c>
      <c r="R1344" s="80" t="s">
        <v>489</v>
      </c>
      <c r="S1344" s="69"/>
    </row>
    <row r="1345" spans="1:19" hidden="1">
      <c r="A1345" s="72" t="s">
        <v>3083</v>
      </c>
      <c r="B1345" s="149" t="str">
        <f>IFERROR(VLOOKUP(Proc[[#This Row],[App]],Table2[],3,0),"open")</f>
        <v>ok</v>
      </c>
      <c r="C1345" s="72" t="s">
        <v>369</v>
      </c>
      <c r="D1345" t="s">
        <v>3076</v>
      </c>
      <c r="E1345" t="s">
        <v>417</v>
      </c>
      <c r="F1345" s="117" t="s">
        <v>417</v>
      </c>
      <c r="G1345" s="72" t="s">
        <v>400</v>
      </c>
      <c r="H1345" s="69" t="str">
        <f>IF(Proc[[#This Row],[type]]="LFF (MDG-F)",MID(Proc[[#This Row],[Obj]],13,10),"")</f>
        <v/>
      </c>
      <c r="J1345" s="69" t="b">
        <f>Proc[[#This Row],[Requested]]=Proc[[#This Row],[CurrentParent]]</f>
        <v>1</v>
      </c>
      <c r="K1345" s="144" t="str">
        <f>IF(Proc[[#This Row],[Author]]="Marcela Urrego",VLOOKUP(LEFT(Proc[[#This Row],[Requested]],1),Table3[#All],2,0),VLOOKUP(Proc[[#This Row],[Author]],Table4[],2,0))</f>
        <v>LS</v>
      </c>
      <c r="L1345" s="69" t="s">
        <v>2563</v>
      </c>
      <c r="M1345" s="79">
        <v>45789.484120370369</v>
      </c>
      <c r="N1345" s="79">
        <v>45790</v>
      </c>
      <c r="O1345" s="79">
        <v>45790</v>
      </c>
      <c r="P1345" s="80" t="str">
        <f ca="1">IF(Proc[[#This Row],[DaysAgeing]]&gt;5,"yep","on track")</f>
        <v>on track</v>
      </c>
      <c r="Q1345" s="3">
        <f ca="1">IF(Proc[[#This Row],[DateClosed]]="",ABS(NETWORKDAYS(Proc[[#This Row],[DateOpened]],TODAY()))-1,ABS(NETWORKDAYS(Proc[[#This Row],[DateOpened]],Proc[[#This Row],[DateClosed]]))-1)</f>
        <v>1</v>
      </c>
      <c r="R1345" s="80" t="s">
        <v>489</v>
      </c>
      <c r="S1345" s="69"/>
    </row>
    <row r="1346" spans="1:19" hidden="1">
      <c r="A1346" s="72" t="s">
        <v>3083</v>
      </c>
      <c r="B1346" s="149" t="str">
        <f>IFERROR(VLOOKUP(Proc[[#This Row],[App]],Table2[],3,0),"open")</f>
        <v>ok</v>
      </c>
      <c r="C1346" s="72" t="s">
        <v>369</v>
      </c>
      <c r="D1346" t="s">
        <v>3077</v>
      </c>
      <c r="E1346" t="s">
        <v>417</v>
      </c>
      <c r="F1346" s="117" t="s">
        <v>417</v>
      </c>
      <c r="G1346" s="72" t="s">
        <v>400</v>
      </c>
      <c r="H1346" s="69" t="str">
        <f>IF(Proc[[#This Row],[type]]="LFF (MDG-F)",MID(Proc[[#This Row],[Obj]],13,10),"")</f>
        <v/>
      </c>
      <c r="J1346" s="69" t="b">
        <f>Proc[[#This Row],[Requested]]=Proc[[#This Row],[CurrentParent]]</f>
        <v>1</v>
      </c>
      <c r="K1346" s="144" t="str">
        <f>IF(Proc[[#This Row],[Author]]="Marcela Urrego",VLOOKUP(LEFT(Proc[[#This Row],[Requested]],1),Table3[#All],2,0),VLOOKUP(Proc[[#This Row],[Author]],Table4[],2,0))</f>
        <v>LS</v>
      </c>
      <c r="L1346" s="69" t="s">
        <v>2563</v>
      </c>
      <c r="M1346" s="79">
        <v>45789.484120370369</v>
      </c>
      <c r="N1346" s="79">
        <v>45790</v>
      </c>
      <c r="O1346" s="79">
        <v>45790</v>
      </c>
      <c r="P1346" s="80" t="str">
        <f ca="1">IF(Proc[[#This Row],[DaysAgeing]]&gt;5,"yep","on track")</f>
        <v>on track</v>
      </c>
      <c r="Q1346" s="3">
        <f ca="1">IF(Proc[[#This Row],[DateClosed]]="",ABS(NETWORKDAYS(Proc[[#This Row],[DateOpened]],TODAY()))-1,ABS(NETWORKDAYS(Proc[[#This Row],[DateOpened]],Proc[[#This Row],[DateClosed]]))-1)</f>
        <v>1</v>
      </c>
      <c r="R1346" s="80" t="s">
        <v>489</v>
      </c>
      <c r="S1346" s="69"/>
    </row>
    <row r="1347" spans="1:19" hidden="1">
      <c r="A1347" s="72" t="s">
        <v>3083</v>
      </c>
      <c r="B1347" s="149" t="str">
        <f>IFERROR(VLOOKUP(Proc[[#This Row],[App]],Table2[],3,0),"open")</f>
        <v>ok</v>
      </c>
      <c r="C1347" s="72" t="s">
        <v>369</v>
      </c>
      <c r="D1347" t="s">
        <v>3078</v>
      </c>
      <c r="E1347" t="s">
        <v>417</v>
      </c>
      <c r="F1347" s="117" t="s">
        <v>417</v>
      </c>
      <c r="G1347" s="72" t="s">
        <v>400</v>
      </c>
      <c r="H1347" s="69" t="str">
        <f>IF(Proc[[#This Row],[type]]="LFF (MDG-F)",MID(Proc[[#This Row],[Obj]],13,10),"")</f>
        <v/>
      </c>
      <c r="J1347" s="69" t="b">
        <f>Proc[[#This Row],[Requested]]=Proc[[#This Row],[CurrentParent]]</f>
        <v>1</v>
      </c>
      <c r="K1347" s="144" t="str">
        <f>IF(Proc[[#This Row],[Author]]="Marcela Urrego",VLOOKUP(LEFT(Proc[[#This Row],[Requested]],1),Table3[#All],2,0),VLOOKUP(Proc[[#This Row],[Author]],Table4[],2,0))</f>
        <v>LS</v>
      </c>
      <c r="L1347" s="69" t="s">
        <v>2563</v>
      </c>
      <c r="M1347" s="79">
        <v>45789.484120370369</v>
      </c>
      <c r="N1347" s="79">
        <v>45790</v>
      </c>
      <c r="O1347" s="79">
        <v>45790</v>
      </c>
      <c r="P1347" s="80" t="str">
        <f ca="1">IF(Proc[[#This Row],[DaysAgeing]]&gt;5,"yep","on track")</f>
        <v>on track</v>
      </c>
      <c r="Q1347" s="3">
        <f ca="1">IF(Proc[[#This Row],[DateClosed]]="",ABS(NETWORKDAYS(Proc[[#This Row],[DateOpened]],TODAY()))-1,ABS(NETWORKDAYS(Proc[[#This Row],[DateOpened]],Proc[[#This Row],[DateClosed]]))-1)</f>
        <v>1</v>
      </c>
      <c r="R1347" s="80" t="s">
        <v>489</v>
      </c>
      <c r="S1347" s="69"/>
    </row>
    <row r="1348" spans="1:19" hidden="1">
      <c r="A1348" s="72" t="s">
        <v>3083</v>
      </c>
      <c r="B1348" s="149" t="str">
        <f>IFERROR(VLOOKUP(Proc[[#This Row],[App]],Table2[],3,0),"open")</f>
        <v>ok</v>
      </c>
      <c r="C1348" s="72" t="s">
        <v>369</v>
      </c>
      <c r="D1348" t="s">
        <v>3079</v>
      </c>
      <c r="E1348" t="s">
        <v>417</v>
      </c>
      <c r="F1348" s="117" t="s">
        <v>417</v>
      </c>
      <c r="G1348" s="72" t="s">
        <v>400</v>
      </c>
      <c r="H1348" s="69" t="str">
        <f>IF(Proc[[#This Row],[type]]="LFF (MDG-F)",MID(Proc[[#This Row],[Obj]],13,10),"")</f>
        <v/>
      </c>
      <c r="J1348" s="69" t="b">
        <f>Proc[[#This Row],[Requested]]=Proc[[#This Row],[CurrentParent]]</f>
        <v>1</v>
      </c>
      <c r="K1348" s="144" t="str">
        <f>IF(Proc[[#This Row],[Author]]="Marcela Urrego",VLOOKUP(LEFT(Proc[[#This Row],[Requested]],1),Table3[#All],2,0),VLOOKUP(Proc[[#This Row],[Author]],Table4[],2,0))</f>
        <v>LS</v>
      </c>
      <c r="L1348" s="69" t="s">
        <v>2563</v>
      </c>
      <c r="M1348" s="79">
        <v>45789.484120370369</v>
      </c>
      <c r="N1348" s="79">
        <v>45790</v>
      </c>
      <c r="O1348" s="79">
        <v>45790</v>
      </c>
      <c r="P1348" s="80" t="str">
        <f ca="1">IF(Proc[[#This Row],[DaysAgeing]]&gt;5,"yep","on track")</f>
        <v>on track</v>
      </c>
      <c r="Q1348" s="3">
        <f ca="1">IF(Proc[[#This Row],[DateClosed]]="",ABS(NETWORKDAYS(Proc[[#This Row],[DateOpened]],TODAY()))-1,ABS(NETWORKDAYS(Proc[[#This Row],[DateOpened]],Proc[[#This Row],[DateClosed]]))-1)</f>
        <v>1</v>
      </c>
      <c r="R1348" s="80" t="s">
        <v>489</v>
      </c>
      <c r="S1348" s="69"/>
    </row>
    <row r="1349" spans="1:19" hidden="1">
      <c r="A1349" s="72" t="s">
        <v>3083</v>
      </c>
      <c r="B1349" s="149" t="str">
        <f>IFERROR(VLOOKUP(Proc[[#This Row],[App]],Table2[],3,0),"open")</f>
        <v>ok</v>
      </c>
      <c r="C1349" s="72" t="s">
        <v>369</v>
      </c>
      <c r="D1349" t="s">
        <v>3080</v>
      </c>
      <c r="E1349" t="s">
        <v>417</v>
      </c>
      <c r="F1349" s="117" t="s">
        <v>417</v>
      </c>
      <c r="G1349" s="72" t="s">
        <v>400</v>
      </c>
      <c r="H1349" s="69" t="str">
        <f>IF(Proc[[#This Row],[type]]="LFF (MDG-F)",MID(Proc[[#This Row],[Obj]],13,10),"")</f>
        <v/>
      </c>
      <c r="J1349" s="69" t="b">
        <f>Proc[[#This Row],[Requested]]=Proc[[#This Row],[CurrentParent]]</f>
        <v>1</v>
      </c>
      <c r="K1349" s="144" t="str">
        <f>IF(Proc[[#This Row],[Author]]="Marcela Urrego",VLOOKUP(LEFT(Proc[[#This Row],[Requested]],1),Table3[#All],2,0),VLOOKUP(Proc[[#This Row],[Author]],Table4[],2,0))</f>
        <v>LS</v>
      </c>
      <c r="L1349" s="69" t="s">
        <v>2563</v>
      </c>
      <c r="M1349" s="79">
        <v>45789.484120370369</v>
      </c>
      <c r="N1349" s="79">
        <v>45790</v>
      </c>
      <c r="O1349" s="79">
        <v>45790</v>
      </c>
      <c r="P1349" s="80" t="str">
        <f ca="1">IF(Proc[[#This Row],[DaysAgeing]]&gt;5,"yep","on track")</f>
        <v>on track</v>
      </c>
      <c r="Q1349" s="3">
        <f ca="1">IF(Proc[[#This Row],[DateClosed]]="",ABS(NETWORKDAYS(Proc[[#This Row],[DateOpened]],TODAY()))-1,ABS(NETWORKDAYS(Proc[[#This Row],[DateOpened]],Proc[[#This Row],[DateClosed]]))-1)</f>
        <v>1</v>
      </c>
      <c r="R1349" s="80" t="s">
        <v>489</v>
      </c>
      <c r="S1349" s="69"/>
    </row>
    <row r="1350" spans="1:19" hidden="1">
      <c r="A1350" s="72" t="s">
        <v>3083</v>
      </c>
      <c r="B1350" s="149" t="str">
        <f>IFERROR(VLOOKUP(Proc[[#This Row],[App]],Table2[],3,0),"open")</f>
        <v>ok</v>
      </c>
      <c r="C1350" s="72" t="s">
        <v>369</v>
      </c>
      <c r="D1350" t="s">
        <v>3081</v>
      </c>
      <c r="E1350" t="s">
        <v>417</v>
      </c>
      <c r="F1350" s="117" t="s">
        <v>417</v>
      </c>
      <c r="G1350" s="72" t="s">
        <v>400</v>
      </c>
      <c r="H1350" s="69" t="str">
        <f>IF(Proc[[#This Row],[type]]="LFF (MDG-F)",MID(Proc[[#This Row],[Obj]],13,10),"")</f>
        <v/>
      </c>
      <c r="J1350" s="69" t="b">
        <f>Proc[[#This Row],[Requested]]=Proc[[#This Row],[CurrentParent]]</f>
        <v>1</v>
      </c>
      <c r="K1350" s="144" t="str">
        <f>IF(Proc[[#This Row],[Author]]="Marcela Urrego",VLOOKUP(LEFT(Proc[[#This Row],[Requested]],1),Table3[#All],2,0),VLOOKUP(Proc[[#This Row],[Author]],Table4[],2,0))</f>
        <v>LS</v>
      </c>
      <c r="L1350" s="69" t="s">
        <v>2563</v>
      </c>
      <c r="M1350" s="79">
        <v>45789.484120370369</v>
      </c>
      <c r="N1350" s="79">
        <v>45790</v>
      </c>
      <c r="O1350" s="79">
        <v>45790</v>
      </c>
      <c r="P1350" s="80" t="str">
        <f ca="1">IF(Proc[[#This Row],[DaysAgeing]]&gt;5,"yep","on track")</f>
        <v>on track</v>
      </c>
      <c r="Q1350" s="3">
        <f ca="1">IF(Proc[[#This Row],[DateClosed]]="",ABS(NETWORKDAYS(Proc[[#This Row],[DateOpened]],TODAY()))-1,ABS(NETWORKDAYS(Proc[[#This Row],[DateOpened]],Proc[[#This Row],[DateClosed]]))-1)</f>
        <v>1</v>
      </c>
      <c r="R1350" s="80" t="s">
        <v>489</v>
      </c>
      <c r="S1350" s="69"/>
    </row>
    <row r="1351" spans="1:19" hidden="1">
      <c r="A1351" s="72" t="s">
        <v>3083</v>
      </c>
      <c r="B1351" s="149" t="str">
        <f>IFERROR(VLOOKUP(Proc[[#This Row],[App]],Table2[],3,0),"open")</f>
        <v>ok</v>
      </c>
      <c r="C1351" s="72" t="s">
        <v>369</v>
      </c>
      <c r="D1351" t="s">
        <v>3082</v>
      </c>
      <c r="E1351" t="s">
        <v>417</v>
      </c>
      <c r="F1351" s="117" t="s">
        <v>417</v>
      </c>
      <c r="G1351" s="72" t="s">
        <v>400</v>
      </c>
      <c r="H1351" s="69" t="str">
        <f>IF(Proc[[#This Row],[type]]="LFF (MDG-F)",MID(Proc[[#This Row],[Obj]],13,10),"")</f>
        <v/>
      </c>
      <c r="J1351" s="69" t="b">
        <f>Proc[[#This Row],[Requested]]=Proc[[#This Row],[CurrentParent]]</f>
        <v>1</v>
      </c>
      <c r="K1351" s="144" t="str">
        <f>IF(Proc[[#This Row],[Author]]="Marcela Urrego",VLOOKUP(LEFT(Proc[[#This Row],[Requested]],1),Table3[#All],2,0),VLOOKUP(Proc[[#This Row],[Author]],Table4[],2,0))</f>
        <v>LS</v>
      </c>
      <c r="L1351" s="69" t="s">
        <v>2563</v>
      </c>
      <c r="M1351" s="79">
        <v>45789.484120370369</v>
      </c>
      <c r="N1351" s="79">
        <v>45790</v>
      </c>
      <c r="O1351" s="79">
        <v>45790</v>
      </c>
      <c r="P1351" s="80" t="str">
        <f ca="1">IF(Proc[[#This Row],[DaysAgeing]]&gt;5,"yep","on track")</f>
        <v>on track</v>
      </c>
      <c r="Q1351" s="3">
        <f ca="1">IF(Proc[[#This Row],[DateClosed]]="",ABS(NETWORKDAYS(Proc[[#This Row],[DateOpened]],TODAY()))-1,ABS(NETWORKDAYS(Proc[[#This Row],[DateOpened]],Proc[[#This Row],[DateClosed]]))-1)</f>
        <v>1</v>
      </c>
      <c r="R1351" s="80" t="s">
        <v>489</v>
      </c>
      <c r="S1351" s="69"/>
    </row>
    <row r="1352" spans="1:19" hidden="1">
      <c r="A1352" t="s">
        <v>3084</v>
      </c>
      <c r="B1352" s="149" t="str">
        <f>IFERROR(VLOOKUP(Proc[[#This Row],[App]],Table2[],3,0),"open")</f>
        <v>ok</v>
      </c>
      <c r="C1352" s="72" t="s">
        <v>369</v>
      </c>
      <c r="D1352" t="s">
        <v>2888</v>
      </c>
      <c r="E1352" t="s">
        <v>2889</v>
      </c>
      <c r="F1352" s="117" t="s">
        <v>2889</v>
      </c>
      <c r="G1352" s="72" t="s">
        <v>400</v>
      </c>
      <c r="H1352" s="69" t="str">
        <f>IF(Proc[[#This Row],[type]]="LFF (MDG-F)",MID(Proc[[#This Row],[Obj]],13,10),"")</f>
        <v/>
      </c>
      <c r="J1352" s="69" t="b">
        <f>Proc[[#This Row],[Requested]]=Proc[[#This Row],[CurrentParent]]</f>
        <v>1</v>
      </c>
      <c r="K1352" s="144" t="str">
        <f>IF(Proc[[#This Row],[Author]]="Marcela Urrego",VLOOKUP(LEFT(Proc[[#This Row],[Requested]],1),Table3[#All],2,0),VLOOKUP(Proc[[#This Row],[Author]],Table4[],2,0))</f>
        <v>LS</v>
      </c>
      <c r="L1352" s="69" t="s">
        <v>2563</v>
      </c>
      <c r="M1352" s="79">
        <v>45790.126087962963</v>
      </c>
      <c r="N1352" s="79">
        <v>45790</v>
      </c>
      <c r="O1352" s="79">
        <v>45790</v>
      </c>
      <c r="P1352" s="80" t="str">
        <f ca="1">IF(Proc[[#This Row],[DaysAgeing]]&gt;5,"yep","on track")</f>
        <v>on track</v>
      </c>
      <c r="Q1352" s="3">
        <f ca="1">IF(Proc[[#This Row],[DateClosed]]="",ABS(NETWORKDAYS(Proc[[#This Row],[DateOpened]],TODAY()))-1,ABS(NETWORKDAYS(Proc[[#This Row],[DateOpened]],Proc[[#This Row],[DateClosed]]))-1)</f>
        <v>0</v>
      </c>
      <c r="R1352" s="80" t="s">
        <v>489</v>
      </c>
      <c r="S1352" s="69"/>
    </row>
    <row r="1353" spans="1:19" hidden="1">
      <c r="A1353" t="s">
        <v>3085</v>
      </c>
      <c r="B1353" s="149" t="str">
        <f>IFERROR(VLOOKUP(Proc[[#This Row],[App]],Table2[],3,0),"open")</f>
        <v>ok</v>
      </c>
      <c r="C1353" s="72" t="s">
        <v>369</v>
      </c>
      <c r="D1353" t="s">
        <v>3086</v>
      </c>
      <c r="E1353" t="s">
        <v>3164</v>
      </c>
      <c r="F1353" s="117" t="s">
        <v>3164</v>
      </c>
      <c r="G1353" s="72" t="s">
        <v>400</v>
      </c>
      <c r="H1353" s="69" t="str">
        <f>IF(Proc[[#This Row],[type]]="LFF (MDG-F)",MID(Proc[[#This Row],[Obj]],13,10),"")</f>
        <v/>
      </c>
      <c r="J1353" s="69" t="b">
        <f>Proc[[#This Row],[Requested]]=Proc[[#This Row],[CurrentParent]]</f>
        <v>1</v>
      </c>
      <c r="K1353" s="144" t="str">
        <f>IF(Proc[[#This Row],[Author]]="Marcela Urrego",VLOOKUP(LEFT(Proc[[#This Row],[Requested]],1),Table3[#All],2,0),VLOOKUP(Proc[[#This Row],[Author]],Table4[],2,0))</f>
        <v>LS</v>
      </c>
      <c r="L1353" s="69" t="s">
        <v>2563</v>
      </c>
      <c r="M1353" s="79">
        <v>45790.144409722219</v>
      </c>
      <c r="N1353" s="83">
        <v>45791</v>
      </c>
      <c r="O1353" s="83">
        <v>45791</v>
      </c>
      <c r="P1353" s="80" t="str">
        <f ca="1">IF(Proc[[#This Row],[DaysAgeing]]&gt;5,"yep","on track")</f>
        <v>on track</v>
      </c>
      <c r="Q1353" s="3">
        <f ca="1">IF(Proc[[#This Row],[DateClosed]]="",ABS(NETWORKDAYS(Proc[[#This Row],[DateOpened]],TODAY()))-1,ABS(NETWORKDAYS(Proc[[#This Row],[DateOpened]],Proc[[#This Row],[DateClosed]]))-1)</f>
        <v>1</v>
      </c>
      <c r="R1353" s="80" t="s">
        <v>489</v>
      </c>
      <c r="S1353" s="69"/>
    </row>
    <row r="1354" spans="1:19" hidden="1">
      <c r="A1354" s="72" t="s">
        <v>3085</v>
      </c>
      <c r="B1354" s="149" t="str">
        <f>IFERROR(VLOOKUP(Proc[[#This Row],[App]],Table2[],3,0),"open")</f>
        <v>ok</v>
      </c>
      <c r="C1354" s="72" t="s">
        <v>369</v>
      </c>
      <c r="D1354" t="s">
        <v>3087</v>
      </c>
      <c r="E1354" t="s">
        <v>3165</v>
      </c>
      <c r="F1354" s="117" t="s">
        <v>3165</v>
      </c>
      <c r="G1354" s="72" t="s">
        <v>400</v>
      </c>
      <c r="H1354" s="69" t="str">
        <f>IF(Proc[[#This Row],[type]]="LFF (MDG-F)",MID(Proc[[#This Row],[Obj]],13,10),"")</f>
        <v/>
      </c>
      <c r="J1354" s="69" t="b">
        <f>Proc[[#This Row],[Requested]]=Proc[[#This Row],[CurrentParent]]</f>
        <v>1</v>
      </c>
      <c r="K1354" s="144" t="str">
        <f>IF(Proc[[#This Row],[Author]]="Marcela Urrego",VLOOKUP(LEFT(Proc[[#This Row],[Requested]],1),Table3[#All],2,0),VLOOKUP(Proc[[#This Row],[Author]],Table4[],2,0))</f>
        <v>LS</v>
      </c>
      <c r="L1354" s="69" t="s">
        <v>2563</v>
      </c>
      <c r="M1354" s="79">
        <v>45790.144409722219</v>
      </c>
      <c r="N1354" s="83">
        <v>45791</v>
      </c>
      <c r="O1354" s="83">
        <v>45791</v>
      </c>
      <c r="P1354" s="80" t="str">
        <f ca="1">IF(Proc[[#This Row],[DaysAgeing]]&gt;5,"yep","on track")</f>
        <v>on track</v>
      </c>
      <c r="Q1354" s="3">
        <f ca="1">IF(Proc[[#This Row],[DateClosed]]="",ABS(NETWORKDAYS(Proc[[#This Row],[DateOpened]],TODAY()))-1,ABS(NETWORKDAYS(Proc[[#This Row],[DateOpened]],Proc[[#This Row],[DateClosed]]))-1)</f>
        <v>1</v>
      </c>
      <c r="R1354" s="80" t="s">
        <v>489</v>
      </c>
      <c r="S1354" s="69"/>
    </row>
    <row r="1355" spans="1:19" hidden="1">
      <c r="A1355" s="72" t="s">
        <v>3085</v>
      </c>
      <c r="B1355" s="149" t="str">
        <f>IFERROR(VLOOKUP(Proc[[#This Row],[App]],Table2[],3,0),"open")</f>
        <v>ok</v>
      </c>
      <c r="C1355" s="72" t="s">
        <v>369</v>
      </c>
      <c r="D1355" t="s">
        <v>3088</v>
      </c>
      <c r="E1355" t="s">
        <v>3166</v>
      </c>
      <c r="F1355" s="117" t="s">
        <v>3166</v>
      </c>
      <c r="G1355" s="72" t="s">
        <v>400</v>
      </c>
      <c r="H1355" s="69" t="str">
        <f>IF(Proc[[#This Row],[type]]="LFF (MDG-F)",MID(Proc[[#This Row],[Obj]],13,10),"")</f>
        <v/>
      </c>
      <c r="J1355" s="69" t="b">
        <f>Proc[[#This Row],[Requested]]=Proc[[#This Row],[CurrentParent]]</f>
        <v>1</v>
      </c>
      <c r="K1355" s="144" t="str">
        <f>IF(Proc[[#This Row],[Author]]="Marcela Urrego",VLOOKUP(LEFT(Proc[[#This Row],[Requested]],1),Table3[#All],2,0),VLOOKUP(Proc[[#This Row],[Author]],Table4[],2,0))</f>
        <v>LS</v>
      </c>
      <c r="L1355" s="69" t="s">
        <v>2563</v>
      </c>
      <c r="M1355" s="79">
        <v>45790.144409722219</v>
      </c>
      <c r="N1355" s="83">
        <v>45791</v>
      </c>
      <c r="O1355" s="83">
        <v>45791</v>
      </c>
      <c r="P1355" s="80" t="str">
        <f ca="1">IF(Proc[[#This Row],[DaysAgeing]]&gt;5,"yep","on track")</f>
        <v>on track</v>
      </c>
      <c r="Q1355" s="3">
        <f ca="1">IF(Proc[[#This Row],[DateClosed]]="",ABS(NETWORKDAYS(Proc[[#This Row],[DateOpened]],TODAY()))-1,ABS(NETWORKDAYS(Proc[[#This Row],[DateOpened]],Proc[[#This Row],[DateClosed]]))-1)</f>
        <v>1</v>
      </c>
      <c r="R1355" s="80" t="s">
        <v>489</v>
      </c>
      <c r="S1355" s="69"/>
    </row>
    <row r="1356" spans="1:19" hidden="1">
      <c r="A1356" s="72" t="s">
        <v>3085</v>
      </c>
      <c r="B1356" s="149" t="str">
        <f>IFERROR(VLOOKUP(Proc[[#This Row],[App]],Table2[],3,0),"open")</f>
        <v>ok</v>
      </c>
      <c r="C1356" s="72" t="s">
        <v>369</v>
      </c>
      <c r="D1356" t="s">
        <v>3089</v>
      </c>
      <c r="E1356" t="s">
        <v>3167</v>
      </c>
      <c r="F1356" s="117" t="s">
        <v>3167</v>
      </c>
      <c r="G1356" s="72" t="s">
        <v>400</v>
      </c>
      <c r="H1356" s="69" t="str">
        <f>IF(Proc[[#This Row],[type]]="LFF (MDG-F)",MID(Proc[[#This Row],[Obj]],13,10),"")</f>
        <v/>
      </c>
      <c r="J1356" s="69" t="b">
        <f>Proc[[#This Row],[Requested]]=Proc[[#This Row],[CurrentParent]]</f>
        <v>1</v>
      </c>
      <c r="K1356" s="144" t="str">
        <f>IF(Proc[[#This Row],[Author]]="Marcela Urrego",VLOOKUP(LEFT(Proc[[#This Row],[Requested]],1),Table3[#All],2,0),VLOOKUP(Proc[[#This Row],[Author]],Table4[],2,0))</f>
        <v>LS</v>
      </c>
      <c r="L1356" s="69" t="s">
        <v>2563</v>
      </c>
      <c r="M1356" s="79">
        <v>45790.144409722219</v>
      </c>
      <c r="N1356" s="83">
        <v>45791</v>
      </c>
      <c r="O1356" s="83">
        <v>45791</v>
      </c>
      <c r="P1356" s="80" t="str">
        <f ca="1">IF(Proc[[#This Row],[DaysAgeing]]&gt;5,"yep","on track")</f>
        <v>on track</v>
      </c>
      <c r="Q1356" s="3">
        <f ca="1">IF(Proc[[#This Row],[DateClosed]]="",ABS(NETWORKDAYS(Proc[[#This Row],[DateOpened]],TODAY()))-1,ABS(NETWORKDAYS(Proc[[#This Row],[DateOpened]],Proc[[#This Row],[DateClosed]]))-1)</f>
        <v>1</v>
      </c>
      <c r="R1356" s="80" t="s">
        <v>489</v>
      </c>
      <c r="S1356" s="69"/>
    </row>
    <row r="1357" spans="1:19" hidden="1">
      <c r="A1357" s="72" t="s">
        <v>3085</v>
      </c>
      <c r="B1357" s="149" t="str">
        <f>IFERROR(VLOOKUP(Proc[[#This Row],[App]],Table2[],3,0),"open")</f>
        <v>ok</v>
      </c>
      <c r="C1357" s="72" t="s">
        <v>369</v>
      </c>
      <c r="D1357" t="s">
        <v>3090</v>
      </c>
      <c r="E1357" t="s">
        <v>2411</v>
      </c>
      <c r="F1357" s="117" t="s">
        <v>2411</v>
      </c>
      <c r="G1357" s="72" t="s">
        <v>400</v>
      </c>
      <c r="H1357" s="69" t="str">
        <f>IF(Proc[[#This Row],[type]]="LFF (MDG-F)",MID(Proc[[#This Row],[Obj]],13,10),"")</f>
        <v/>
      </c>
      <c r="J1357" s="69" t="b">
        <f>Proc[[#This Row],[Requested]]=Proc[[#This Row],[CurrentParent]]</f>
        <v>1</v>
      </c>
      <c r="K1357" s="144" t="str">
        <f>IF(Proc[[#This Row],[Author]]="Marcela Urrego",VLOOKUP(LEFT(Proc[[#This Row],[Requested]],1),Table3[#All],2,0),VLOOKUP(Proc[[#This Row],[Author]],Table4[],2,0))</f>
        <v>LS</v>
      </c>
      <c r="L1357" s="69" t="s">
        <v>2563</v>
      </c>
      <c r="M1357" s="79">
        <v>45790.144409722219</v>
      </c>
      <c r="N1357" s="83">
        <v>45791</v>
      </c>
      <c r="O1357" s="83">
        <v>45791</v>
      </c>
      <c r="P1357" s="80" t="str">
        <f ca="1">IF(Proc[[#This Row],[DaysAgeing]]&gt;5,"yep","on track")</f>
        <v>on track</v>
      </c>
      <c r="Q1357" s="3">
        <f ca="1">IF(Proc[[#This Row],[DateClosed]]="",ABS(NETWORKDAYS(Proc[[#This Row],[DateOpened]],TODAY()))-1,ABS(NETWORKDAYS(Proc[[#This Row],[DateOpened]],Proc[[#This Row],[DateClosed]]))-1)</f>
        <v>1</v>
      </c>
      <c r="R1357" s="80" t="s">
        <v>489</v>
      </c>
      <c r="S1357" s="69"/>
    </row>
    <row r="1358" spans="1:19" hidden="1">
      <c r="A1358" s="72" t="s">
        <v>3085</v>
      </c>
      <c r="B1358" s="149" t="str">
        <f>IFERROR(VLOOKUP(Proc[[#This Row],[App]],Table2[],3,0),"open")</f>
        <v>ok</v>
      </c>
      <c r="C1358" s="72" t="s">
        <v>369</v>
      </c>
      <c r="D1358" t="s">
        <v>3091</v>
      </c>
      <c r="E1358" t="s">
        <v>3168</v>
      </c>
      <c r="F1358" s="117" t="s">
        <v>3168</v>
      </c>
      <c r="G1358" s="72" t="s">
        <v>400</v>
      </c>
      <c r="H1358" s="69" t="str">
        <f>IF(Proc[[#This Row],[type]]="LFF (MDG-F)",MID(Proc[[#This Row],[Obj]],13,10),"")</f>
        <v/>
      </c>
      <c r="J1358" s="69" t="b">
        <f>Proc[[#This Row],[Requested]]=Proc[[#This Row],[CurrentParent]]</f>
        <v>1</v>
      </c>
      <c r="K1358" s="144" t="str">
        <f>IF(Proc[[#This Row],[Author]]="Marcela Urrego",VLOOKUP(LEFT(Proc[[#This Row],[Requested]],1),Table3[#All],2,0),VLOOKUP(Proc[[#This Row],[Author]],Table4[],2,0))</f>
        <v>LS</v>
      </c>
      <c r="L1358" s="69" t="s">
        <v>2563</v>
      </c>
      <c r="M1358" s="79">
        <v>45790.144409722219</v>
      </c>
      <c r="N1358" s="83">
        <v>45791</v>
      </c>
      <c r="O1358" s="83">
        <v>45791</v>
      </c>
      <c r="P1358" s="80" t="str">
        <f ca="1">IF(Proc[[#This Row],[DaysAgeing]]&gt;5,"yep","on track")</f>
        <v>on track</v>
      </c>
      <c r="Q1358" s="3">
        <f ca="1">IF(Proc[[#This Row],[DateClosed]]="",ABS(NETWORKDAYS(Proc[[#This Row],[DateOpened]],TODAY()))-1,ABS(NETWORKDAYS(Proc[[#This Row],[DateOpened]],Proc[[#This Row],[DateClosed]]))-1)</f>
        <v>1</v>
      </c>
      <c r="R1358" s="80" t="s">
        <v>489</v>
      </c>
      <c r="S1358" s="69"/>
    </row>
    <row r="1359" spans="1:19" hidden="1">
      <c r="A1359" s="72" t="s">
        <v>3085</v>
      </c>
      <c r="B1359" s="149" t="str">
        <f>IFERROR(VLOOKUP(Proc[[#This Row],[App]],Table2[],3,0),"open")</f>
        <v>ok</v>
      </c>
      <c r="C1359" s="72" t="s">
        <v>369</v>
      </c>
      <c r="D1359" t="s">
        <v>3092</v>
      </c>
      <c r="E1359" t="s">
        <v>3164</v>
      </c>
      <c r="F1359" s="117" t="s">
        <v>3164</v>
      </c>
      <c r="G1359" t="s">
        <v>400</v>
      </c>
      <c r="H1359" s="69" t="str">
        <f>IF(Proc[[#This Row],[type]]="LFF (MDG-F)",MID(Proc[[#This Row],[Obj]],13,10),"")</f>
        <v/>
      </c>
      <c r="J1359" s="69" t="b">
        <f>Proc[[#This Row],[Requested]]=Proc[[#This Row],[CurrentParent]]</f>
        <v>1</v>
      </c>
      <c r="K1359" s="144" t="str">
        <f>IF(Proc[[#This Row],[Author]]="Marcela Urrego",VLOOKUP(LEFT(Proc[[#This Row],[Requested]],1),Table3[#All],2,0),VLOOKUP(Proc[[#This Row],[Author]],Table4[],2,0))</f>
        <v>LS</v>
      </c>
      <c r="L1359" s="69" t="s">
        <v>2563</v>
      </c>
      <c r="M1359" s="79">
        <v>45790.144409722219</v>
      </c>
      <c r="N1359" s="83">
        <v>45791</v>
      </c>
      <c r="O1359" s="83">
        <v>45791</v>
      </c>
      <c r="P1359" s="80" t="str">
        <f ca="1">IF(Proc[[#This Row],[DaysAgeing]]&gt;5,"yep","on track")</f>
        <v>on track</v>
      </c>
      <c r="Q1359" s="3">
        <f ca="1">IF(Proc[[#This Row],[DateClosed]]="",ABS(NETWORKDAYS(Proc[[#This Row],[DateOpened]],TODAY()))-1,ABS(NETWORKDAYS(Proc[[#This Row],[DateOpened]],Proc[[#This Row],[DateClosed]]))-1)</f>
        <v>1</v>
      </c>
      <c r="R1359" s="80" t="s">
        <v>489</v>
      </c>
      <c r="S1359" s="69"/>
    </row>
    <row r="1360" spans="1:19" hidden="1">
      <c r="A1360" s="72" t="s">
        <v>3085</v>
      </c>
      <c r="B1360" s="149" t="str">
        <f>IFERROR(VLOOKUP(Proc[[#This Row],[App]],Table2[],3,0),"open")</f>
        <v>ok</v>
      </c>
      <c r="C1360" s="72" t="s">
        <v>369</v>
      </c>
      <c r="D1360" t="s">
        <v>3093</v>
      </c>
      <c r="E1360" t="s">
        <v>3169</v>
      </c>
      <c r="F1360" s="117" t="s">
        <v>3169</v>
      </c>
      <c r="G1360" t="s">
        <v>406</v>
      </c>
      <c r="H1360" s="69" t="str">
        <f>IF(Proc[[#This Row],[type]]="LFF (MDG-F)",MID(Proc[[#This Row],[Obj]],13,10),"")</f>
        <v>DE10OF0003</v>
      </c>
      <c r="I1360" t="s">
        <v>3181</v>
      </c>
      <c r="J1360" s="69" t="b">
        <f>Proc[[#This Row],[Requested]]=Proc[[#This Row],[CurrentParent]]</f>
        <v>1</v>
      </c>
      <c r="K1360" s="144" t="str">
        <f>IF(Proc[[#This Row],[Author]]="Marcela Urrego",VLOOKUP(LEFT(Proc[[#This Row],[Requested]],1),Table3[#All],2,0),VLOOKUP(Proc[[#This Row],[Author]],Table4[],2,0))</f>
        <v>LS</v>
      </c>
      <c r="L1360" s="69" t="s">
        <v>2563</v>
      </c>
      <c r="M1360" s="79">
        <v>45790.144409722219</v>
      </c>
      <c r="N1360" s="83">
        <v>45791</v>
      </c>
      <c r="O1360" s="83">
        <v>45791</v>
      </c>
      <c r="P1360" s="80" t="str">
        <f ca="1">IF(Proc[[#This Row],[DaysAgeing]]&gt;5,"yep","on track")</f>
        <v>on track</v>
      </c>
      <c r="Q1360" s="3">
        <f ca="1">IF(Proc[[#This Row],[DateClosed]]="",ABS(NETWORKDAYS(Proc[[#This Row],[DateOpened]],TODAY()))-1,ABS(NETWORKDAYS(Proc[[#This Row],[DateOpened]],Proc[[#This Row],[DateClosed]]))-1)</f>
        <v>1</v>
      </c>
      <c r="R1360" s="80" t="s">
        <v>489</v>
      </c>
      <c r="S1360" s="69"/>
    </row>
    <row r="1361" spans="1:19" hidden="1">
      <c r="A1361" s="72" t="s">
        <v>3085</v>
      </c>
      <c r="B1361" s="149" t="str">
        <f>IFERROR(VLOOKUP(Proc[[#This Row],[App]],Table2[],3,0),"open")</f>
        <v>ok</v>
      </c>
      <c r="C1361" s="72" t="s">
        <v>369</v>
      </c>
      <c r="D1361" t="s">
        <v>3094</v>
      </c>
      <c r="E1361" t="s">
        <v>3168</v>
      </c>
      <c r="F1361" s="117" t="s">
        <v>3168</v>
      </c>
      <c r="G1361" s="72" t="s">
        <v>406</v>
      </c>
      <c r="H1361" s="69" t="str">
        <f>IF(Proc[[#This Row],[type]]="LFF (MDG-F)",MID(Proc[[#This Row],[Obj]],13,10),"")</f>
        <v>1756OF0001</v>
      </c>
      <c r="I1361" t="s">
        <v>3181</v>
      </c>
      <c r="J1361" s="69" t="b">
        <f>Proc[[#This Row],[Requested]]=Proc[[#This Row],[CurrentParent]]</f>
        <v>1</v>
      </c>
      <c r="K1361" s="144" t="str">
        <f>IF(Proc[[#This Row],[Author]]="Marcela Urrego",VLOOKUP(LEFT(Proc[[#This Row],[Requested]],1),Table3[#All],2,0),VLOOKUP(Proc[[#This Row],[Author]],Table4[],2,0))</f>
        <v>LS</v>
      </c>
      <c r="L1361" s="69" t="s">
        <v>2563</v>
      </c>
      <c r="M1361" s="79">
        <v>45790.144409722219</v>
      </c>
      <c r="N1361" s="83">
        <v>45791</v>
      </c>
      <c r="O1361" s="83">
        <v>45791</v>
      </c>
      <c r="P1361" s="80" t="str">
        <f ca="1">IF(Proc[[#This Row],[DaysAgeing]]&gt;5,"yep","on track")</f>
        <v>on track</v>
      </c>
      <c r="Q1361" s="3">
        <f ca="1">IF(Proc[[#This Row],[DateClosed]]="",ABS(NETWORKDAYS(Proc[[#This Row],[DateOpened]],TODAY()))-1,ABS(NETWORKDAYS(Proc[[#This Row],[DateOpened]],Proc[[#This Row],[DateClosed]]))-1)</f>
        <v>1</v>
      </c>
      <c r="R1361" s="80" t="s">
        <v>489</v>
      </c>
      <c r="S1361" s="69"/>
    </row>
    <row r="1362" spans="1:19" hidden="1">
      <c r="A1362" s="72" t="s">
        <v>3085</v>
      </c>
      <c r="B1362" s="149" t="str">
        <f>IFERROR(VLOOKUP(Proc[[#This Row],[App]],Table2[],3,0),"open")</f>
        <v>ok</v>
      </c>
      <c r="C1362" s="72" t="s">
        <v>369</v>
      </c>
      <c r="D1362" t="s">
        <v>3095</v>
      </c>
      <c r="E1362" t="s">
        <v>3164</v>
      </c>
      <c r="F1362" s="117" t="s">
        <v>3164</v>
      </c>
      <c r="G1362" s="72" t="s">
        <v>406</v>
      </c>
      <c r="H1362" s="69" t="str">
        <f>IF(Proc[[#This Row],[type]]="LFF (MDG-F)",MID(Proc[[#This Row],[Obj]],13,10),"")</f>
        <v>1756OF0006</v>
      </c>
      <c r="I1362" t="s">
        <v>3181</v>
      </c>
      <c r="J1362" s="69" t="b">
        <f>Proc[[#This Row],[Requested]]=Proc[[#This Row],[CurrentParent]]</f>
        <v>1</v>
      </c>
      <c r="K1362" s="144" t="str">
        <f>IF(Proc[[#This Row],[Author]]="Marcela Urrego",VLOOKUP(LEFT(Proc[[#This Row],[Requested]],1),Table3[#All],2,0),VLOOKUP(Proc[[#This Row],[Author]],Table4[],2,0))</f>
        <v>LS</v>
      </c>
      <c r="L1362" s="69" t="s">
        <v>2563</v>
      </c>
      <c r="M1362" s="79">
        <v>45790.144409722219</v>
      </c>
      <c r="N1362" s="83">
        <v>45791</v>
      </c>
      <c r="O1362" s="83">
        <v>45791</v>
      </c>
      <c r="P1362" s="80" t="str">
        <f ca="1">IF(Proc[[#This Row],[DaysAgeing]]&gt;5,"yep","on track")</f>
        <v>on track</v>
      </c>
      <c r="Q1362" s="3">
        <f ca="1">IF(Proc[[#This Row],[DateClosed]]="",ABS(NETWORKDAYS(Proc[[#This Row],[DateOpened]],TODAY()))-1,ABS(NETWORKDAYS(Proc[[#This Row],[DateOpened]],Proc[[#This Row],[DateClosed]]))-1)</f>
        <v>1</v>
      </c>
      <c r="R1362" s="80" t="s">
        <v>489</v>
      </c>
      <c r="S1362" s="69"/>
    </row>
    <row r="1363" spans="1:19" hidden="1">
      <c r="A1363" s="72" t="s">
        <v>3085</v>
      </c>
      <c r="B1363" s="149" t="str">
        <f>IFERROR(VLOOKUP(Proc[[#This Row],[App]],Table2[],3,0),"open")</f>
        <v>ok</v>
      </c>
      <c r="C1363" s="72" t="s">
        <v>369</v>
      </c>
      <c r="D1363" t="s">
        <v>3096</v>
      </c>
      <c r="E1363" t="s">
        <v>3170</v>
      </c>
      <c r="F1363" s="117" t="s">
        <v>3170</v>
      </c>
      <c r="G1363" s="72" t="s">
        <v>406</v>
      </c>
      <c r="H1363" s="69" t="str">
        <f>IF(Proc[[#This Row],[type]]="LFF (MDG-F)",MID(Proc[[#This Row],[Obj]],13,10),"")</f>
        <v>1756OF7061</v>
      </c>
      <c r="I1363" t="s">
        <v>3181</v>
      </c>
      <c r="J1363" s="69" t="b">
        <f>Proc[[#This Row],[Requested]]=Proc[[#This Row],[CurrentParent]]</f>
        <v>1</v>
      </c>
      <c r="K1363" s="144" t="str">
        <f>IF(Proc[[#This Row],[Author]]="Marcela Urrego",VLOOKUP(LEFT(Proc[[#This Row],[Requested]],1),Table3[#All],2,0),VLOOKUP(Proc[[#This Row],[Author]],Table4[],2,0))</f>
        <v>LS</v>
      </c>
      <c r="L1363" s="69" t="s">
        <v>2563</v>
      </c>
      <c r="M1363" s="79">
        <v>45790.144409722219</v>
      </c>
      <c r="N1363" s="83">
        <v>45791</v>
      </c>
      <c r="O1363" s="83">
        <v>45791</v>
      </c>
      <c r="P1363" s="80" t="str">
        <f ca="1">IF(Proc[[#This Row],[DaysAgeing]]&gt;5,"yep","on track")</f>
        <v>on track</v>
      </c>
      <c r="Q1363" s="3">
        <f ca="1">IF(Proc[[#This Row],[DateClosed]]="",ABS(NETWORKDAYS(Proc[[#This Row],[DateOpened]],TODAY()))-1,ABS(NETWORKDAYS(Proc[[#This Row],[DateOpened]],Proc[[#This Row],[DateClosed]]))-1)</f>
        <v>1</v>
      </c>
      <c r="R1363" s="80" t="s">
        <v>489</v>
      </c>
      <c r="S1363" s="69"/>
    </row>
    <row r="1364" spans="1:19" hidden="1">
      <c r="A1364" s="72" t="s">
        <v>3085</v>
      </c>
      <c r="B1364" s="149" t="str">
        <f>IFERROR(VLOOKUP(Proc[[#This Row],[App]],Table2[],3,0),"open")</f>
        <v>ok</v>
      </c>
      <c r="C1364" s="72" t="s">
        <v>369</v>
      </c>
      <c r="D1364" t="s">
        <v>3097</v>
      </c>
      <c r="E1364" t="s">
        <v>3167</v>
      </c>
      <c r="F1364" s="117" t="s">
        <v>3167</v>
      </c>
      <c r="G1364" s="72" t="s">
        <v>406</v>
      </c>
      <c r="H1364" s="69" t="str">
        <f>IF(Proc[[#This Row],[type]]="LFF (MDG-F)",MID(Proc[[#This Row],[Obj]],13,10),"")</f>
        <v>1756OF7094</v>
      </c>
      <c r="I1364" t="s">
        <v>3181</v>
      </c>
      <c r="J1364" s="69" t="b">
        <f>Proc[[#This Row],[Requested]]=Proc[[#This Row],[CurrentParent]]</f>
        <v>1</v>
      </c>
      <c r="K1364" s="144" t="str">
        <f>IF(Proc[[#This Row],[Author]]="Marcela Urrego",VLOOKUP(LEFT(Proc[[#This Row],[Requested]],1),Table3[#All],2,0),VLOOKUP(Proc[[#This Row],[Author]],Table4[],2,0))</f>
        <v>LS</v>
      </c>
      <c r="L1364" s="69" t="s">
        <v>2563</v>
      </c>
      <c r="M1364" s="79">
        <v>45790.144409722219</v>
      </c>
      <c r="N1364" s="83">
        <v>45791</v>
      </c>
      <c r="O1364" s="83">
        <v>45791</v>
      </c>
      <c r="P1364" s="80" t="str">
        <f ca="1">IF(Proc[[#This Row],[DaysAgeing]]&gt;5,"yep","on track")</f>
        <v>on track</v>
      </c>
      <c r="Q1364" s="3">
        <f ca="1">IF(Proc[[#This Row],[DateClosed]]="",ABS(NETWORKDAYS(Proc[[#This Row],[DateOpened]],TODAY()))-1,ABS(NETWORKDAYS(Proc[[#This Row],[DateOpened]],Proc[[#This Row],[DateClosed]]))-1)</f>
        <v>1</v>
      </c>
      <c r="R1364" s="80" t="s">
        <v>489</v>
      </c>
      <c r="S1364" s="69"/>
    </row>
    <row r="1365" spans="1:19" hidden="1">
      <c r="A1365" s="72" t="s">
        <v>3085</v>
      </c>
      <c r="B1365" s="149" t="str">
        <f>IFERROR(VLOOKUP(Proc[[#This Row],[App]],Table2[],3,0),"open")</f>
        <v>ok</v>
      </c>
      <c r="C1365" s="72" t="s">
        <v>369</v>
      </c>
      <c r="D1365" t="s">
        <v>3098</v>
      </c>
      <c r="E1365" t="s">
        <v>3171</v>
      </c>
      <c r="F1365" s="117" t="s">
        <v>3171</v>
      </c>
      <c r="G1365" s="72" t="s">
        <v>406</v>
      </c>
      <c r="H1365" s="69" t="str">
        <f>IF(Proc[[#This Row],[type]]="LFF (MDG-F)",MID(Proc[[#This Row],[Obj]],13,10),"")</f>
        <v>2148OF0261</v>
      </c>
      <c r="I1365" t="s">
        <v>3181</v>
      </c>
      <c r="J1365" s="69" t="b">
        <f>Proc[[#This Row],[Requested]]=Proc[[#This Row],[CurrentParent]]</f>
        <v>1</v>
      </c>
      <c r="K1365" s="144" t="str">
        <f>IF(Proc[[#This Row],[Author]]="Marcela Urrego",VLOOKUP(LEFT(Proc[[#This Row],[Requested]],1),Table3[#All],2,0),VLOOKUP(Proc[[#This Row],[Author]],Table4[],2,0))</f>
        <v>LS</v>
      </c>
      <c r="L1365" s="69" t="s">
        <v>2563</v>
      </c>
      <c r="M1365" s="79">
        <v>45790.144409722219</v>
      </c>
      <c r="N1365" s="83">
        <v>45791</v>
      </c>
      <c r="O1365" s="83">
        <v>45791</v>
      </c>
      <c r="P1365" s="80" t="str">
        <f ca="1">IF(Proc[[#This Row],[DaysAgeing]]&gt;5,"yep","on track")</f>
        <v>on track</v>
      </c>
      <c r="Q1365" s="3">
        <f ca="1">IF(Proc[[#This Row],[DateClosed]]="",ABS(NETWORKDAYS(Proc[[#This Row],[DateOpened]],TODAY()))-1,ABS(NETWORKDAYS(Proc[[#This Row],[DateOpened]],Proc[[#This Row],[DateClosed]]))-1)</f>
        <v>1</v>
      </c>
      <c r="R1365" s="80" t="s">
        <v>489</v>
      </c>
      <c r="S1365" s="69"/>
    </row>
    <row r="1366" spans="1:19" hidden="1">
      <c r="A1366" s="72" t="s">
        <v>3085</v>
      </c>
      <c r="B1366" s="149" t="str">
        <f>IFERROR(VLOOKUP(Proc[[#This Row],[App]],Table2[],3,0),"open")</f>
        <v>ok</v>
      </c>
      <c r="C1366" s="72" t="s">
        <v>369</v>
      </c>
      <c r="D1366" t="s">
        <v>3099</v>
      </c>
      <c r="E1366" t="s">
        <v>3167</v>
      </c>
      <c r="F1366" s="117" t="s">
        <v>3167</v>
      </c>
      <c r="G1366" s="72" t="s">
        <v>400</v>
      </c>
      <c r="H1366" s="69" t="str">
        <f>IF(Proc[[#This Row],[type]]="LFF (MDG-F)",MID(Proc[[#This Row],[Obj]],13,10),"")</f>
        <v/>
      </c>
      <c r="J1366" s="69" t="b">
        <f>Proc[[#This Row],[Requested]]=Proc[[#This Row],[CurrentParent]]</f>
        <v>1</v>
      </c>
      <c r="K1366" s="144" t="str">
        <f>IF(Proc[[#This Row],[Author]]="Marcela Urrego",VLOOKUP(LEFT(Proc[[#This Row],[Requested]],1),Table3[#All],2,0),VLOOKUP(Proc[[#This Row],[Author]],Table4[],2,0))</f>
        <v>LS</v>
      </c>
      <c r="L1366" s="69" t="s">
        <v>2563</v>
      </c>
      <c r="M1366" s="79">
        <v>45790.144409722219</v>
      </c>
      <c r="N1366" s="83">
        <v>45791</v>
      </c>
      <c r="O1366" s="83">
        <v>45791</v>
      </c>
      <c r="P1366" s="80" t="str">
        <f ca="1">IF(Proc[[#This Row],[DaysAgeing]]&gt;5,"yep","on track")</f>
        <v>on track</v>
      </c>
      <c r="Q1366" s="3">
        <f ca="1">IF(Proc[[#This Row],[DateClosed]]="",ABS(NETWORKDAYS(Proc[[#This Row],[DateOpened]],TODAY()))-1,ABS(NETWORKDAYS(Proc[[#This Row],[DateOpened]],Proc[[#This Row],[DateClosed]]))-1)</f>
        <v>1</v>
      </c>
      <c r="R1366" s="80" t="s">
        <v>489</v>
      </c>
      <c r="S1366" s="69"/>
    </row>
    <row r="1367" spans="1:19" hidden="1">
      <c r="A1367" s="72" t="s">
        <v>3085</v>
      </c>
      <c r="B1367" s="149" t="str">
        <f>IFERROR(VLOOKUP(Proc[[#This Row],[App]],Table2[],3,0),"open")</f>
        <v>ok</v>
      </c>
      <c r="C1367" s="72" t="s">
        <v>369</v>
      </c>
      <c r="D1367" t="s">
        <v>3100</v>
      </c>
      <c r="E1367" t="s">
        <v>3167</v>
      </c>
      <c r="F1367" s="117" t="s">
        <v>3167</v>
      </c>
      <c r="G1367" s="72" t="s">
        <v>400</v>
      </c>
      <c r="H1367" s="69" t="str">
        <f>IF(Proc[[#This Row],[type]]="LFF (MDG-F)",MID(Proc[[#This Row],[Obj]],13,10),"")</f>
        <v/>
      </c>
      <c r="J1367" s="69" t="b">
        <f>Proc[[#This Row],[Requested]]=Proc[[#This Row],[CurrentParent]]</f>
        <v>1</v>
      </c>
      <c r="K1367" s="144" t="str">
        <f>IF(Proc[[#This Row],[Author]]="Marcela Urrego",VLOOKUP(LEFT(Proc[[#This Row],[Requested]],1),Table3[#All],2,0),VLOOKUP(Proc[[#This Row],[Author]],Table4[],2,0))</f>
        <v>LS</v>
      </c>
      <c r="L1367" s="69" t="s">
        <v>2563</v>
      </c>
      <c r="M1367" s="79">
        <v>45790.144409722219</v>
      </c>
      <c r="N1367" s="83">
        <v>45791</v>
      </c>
      <c r="O1367" s="83">
        <v>45791</v>
      </c>
      <c r="P1367" s="80" t="str">
        <f ca="1">IF(Proc[[#This Row],[DaysAgeing]]&gt;5,"yep","on track")</f>
        <v>on track</v>
      </c>
      <c r="Q1367" s="3">
        <f ca="1">IF(Proc[[#This Row],[DateClosed]]="",ABS(NETWORKDAYS(Proc[[#This Row],[DateOpened]],TODAY()))-1,ABS(NETWORKDAYS(Proc[[#This Row],[DateOpened]],Proc[[#This Row],[DateClosed]]))-1)</f>
        <v>1</v>
      </c>
      <c r="R1367" s="80" t="s">
        <v>489</v>
      </c>
      <c r="S1367" s="69"/>
    </row>
    <row r="1368" spans="1:19" hidden="1">
      <c r="A1368" s="72" t="s">
        <v>3085</v>
      </c>
      <c r="B1368" s="149" t="str">
        <f>IFERROR(VLOOKUP(Proc[[#This Row],[App]],Table2[],3,0),"open")</f>
        <v>ok</v>
      </c>
      <c r="C1368" s="72" t="s">
        <v>369</v>
      </c>
      <c r="D1368" t="s">
        <v>3101</v>
      </c>
      <c r="E1368" t="s">
        <v>3165</v>
      </c>
      <c r="F1368" s="117" t="s">
        <v>3165</v>
      </c>
      <c r="G1368" s="72" t="s">
        <v>400</v>
      </c>
      <c r="H1368" s="69" t="str">
        <f>IF(Proc[[#This Row],[type]]="LFF (MDG-F)",MID(Proc[[#This Row],[Obj]],13,10),"")</f>
        <v/>
      </c>
      <c r="J1368" s="69" t="b">
        <f>Proc[[#This Row],[Requested]]=Proc[[#This Row],[CurrentParent]]</f>
        <v>1</v>
      </c>
      <c r="K1368" s="144" t="str">
        <f>IF(Proc[[#This Row],[Author]]="Marcela Urrego",VLOOKUP(LEFT(Proc[[#This Row],[Requested]],1),Table3[#All],2,0),VLOOKUP(Proc[[#This Row],[Author]],Table4[],2,0))</f>
        <v>LS</v>
      </c>
      <c r="L1368" s="69" t="s">
        <v>2563</v>
      </c>
      <c r="M1368" s="79">
        <v>45790.144409722219</v>
      </c>
      <c r="N1368" s="83">
        <v>45791</v>
      </c>
      <c r="O1368" s="83">
        <v>45791</v>
      </c>
      <c r="P1368" s="80" t="str">
        <f ca="1">IF(Proc[[#This Row],[DaysAgeing]]&gt;5,"yep","on track")</f>
        <v>on track</v>
      </c>
      <c r="Q1368" s="3">
        <f ca="1">IF(Proc[[#This Row],[DateClosed]]="",ABS(NETWORKDAYS(Proc[[#This Row],[DateOpened]],TODAY()))-1,ABS(NETWORKDAYS(Proc[[#This Row],[DateOpened]],Proc[[#This Row],[DateClosed]]))-1)</f>
        <v>1</v>
      </c>
      <c r="R1368" s="80" t="s">
        <v>489</v>
      </c>
      <c r="S1368" s="69"/>
    </row>
    <row r="1369" spans="1:19" hidden="1">
      <c r="A1369" s="72" t="s">
        <v>3085</v>
      </c>
      <c r="B1369" s="149" t="str">
        <f>IFERROR(VLOOKUP(Proc[[#This Row],[App]],Table2[],3,0),"open")</f>
        <v>ok</v>
      </c>
      <c r="C1369" s="72" t="s">
        <v>369</v>
      </c>
      <c r="D1369" t="s">
        <v>3102</v>
      </c>
      <c r="E1369" t="s">
        <v>3164</v>
      </c>
      <c r="F1369" s="117" t="s">
        <v>3164</v>
      </c>
      <c r="G1369" s="72" t="s">
        <v>400</v>
      </c>
      <c r="H1369" s="69" t="str">
        <f>IF(Proc[[#This Row],[type]]="LFF (MDG-F)",MID(Proc[[#This Row],[Obj]],13,10),"")</f>
        <v/>
      </c>
      <c r="J1369" s="69" t="b">
        <f>Proc[[#This Row],[Requested]]=Proc[[#This Row],[CurrentParent]]</f>
        <v>1</v>
      </c>
      <c r="K1369" s="144" t="str">
        <f>IF(Proc[[#This Row],[Author]]="Marcela Urrego",VLOOKUP(LEFT(Proc[[#This Row],[Requested]],1),Table3[#All],2,0),VLOOKUP(Proc[[#This Row],[Author]],Table4[],2,0))</f>
        <v>LS</v>
      </c>
      <c r="L1369" s="69" t="s">
        <v>2563</v>
      </c>
      <c r="M1369" s="79">
        <v>45790.144409722219</v>
      </c>
      <c r="N1369" s="83">
        <v>45791</v>
      </c>
      <c r="O1369" s="83">
        <v>45791</v>
      </c>
      <c r="P1369" s="80" t="str">
        <f ca="1">IF(Proc[[#This Row],[DaysAgeing]]&gt;5,"yep","on track")</f>
        <v>on track</v>
      </c>
      <c r="Q1369" s="3">
        <f ca="1">IF(Proc[[#This Row],[DateClosed]]="",ABS(NETWORKDAYS(Proc[[#This Row],[DateOpened]],TODAY()))-1,ABS(NETWORKDAYS(Proc[[#This Row],[DateOpened]],Proc[[#This Row],[DateClosed]]))-1)</f>
        <v>1</v>
      </c>
      <c r="R1369" s="80" t="s">
        <v>489</v>
      </c>
      <c r="S1369" s="69"/>
    </row>
    <row r="1370" spans="1:19" hidden="1">
      <c r="A1370" s="72" t="s">
        <v>3085</v>
      </c>
      <c r="B1370" s="149" t="str">
        <f>IFERROR(VLOOKUP(Proc[[#This Row],[App]],Table2[],3,0),"open")</f>
        <v>ok</v>
      </c>
      <c r="C1370" s="72" t="s">
        <v>369</v>
      </c>
      <c r="D1370" t="s">
        <v>3103</v>
      </c>
      <c r="E1370" t="s">
        <v>3170</v>
      </c>
      <c r="F1370" s="117" t="s">
        <v>3170</v>
      </c>
      <c r="G1370" s="72" t="s">
        <v>400</v>
      </c>
      <c r="H1370" s="69" t="str">
        <f>IF(Proc[[#This Row],[type]]="LFF (MDG-F)",MID(Proc[[#This Row],[Obj]],13,10),"")</f>
        <v/>
      </c>
      <c r="J1370" s="69" t="b">
        <f>Proc[[#This Row],[Requested]]=Proc[[#This Row],[CurrentParent]]</f>
        <v>1</v>
      </c>
      <c r="K1370" s="144" t="str">
        <f>IF(Proc[[#This Row],[Author]]="Marcela Urrego",VLOOKUP(LEFT(Proc[[#This Row],[Requested]],1),Table3[#All],2,0),VLOOKUP(Proc[[#This Row],[Author]],Table4[],2,0))</f>
        <v>LS</v>
      </c>
      <c r="L1370" s="69" t="s">
        <v>2563</v>
      </c>
      <c r="M1370" s="79">
        <v>45790.144409722219</v>
      </c>
      <c r="N1370" s="83">
        <v>45791</v>
      </c>
      <c r="O1370" s="83">
        <v>45791</v>
      </c>
      <c r="P1370" s="80" t="str">
        <f ca="1">IF(Proc[[#This Row],[DaysAgeing]]&gt;5,"yep","on track")</f>
        <v>on track</v>
      </c>
      <c r="Q1370" s="3">
        <f ca="1">IF(Proc[[#This Row],[DateClosed]]="",ABS(NETWORKDAYS(Proc[[#This Row],[DateOpened]],TODAY()))-1,ABS(NETWORKDAYS(Proc[[#This Row],[DateOpened]],Proc[[#This Row],[DateClosed]]))-1)</f>
        <v>1</v>
      </c>
      <c r="R1370" s="80" t="s">
        <v>489</v>
      </c>
      <c r="S1370" s="69"/>
    </row>
    <row r="1371" spans="1:19" hidden="1">
      <c r="A1371" s="72" t="s">
        <v>3085</v>
      </c>
      <c r="B1371" s="149" t="str">
        <f>IFERROR(VLOOKUP(Proc[[#This Row],[App]],Table2[],3,0),"open")</f>
        <v>ok</v>
      </c>
      <c r="C1371" s="72" t="s">
        <v>369</v>
      </c>
      <c r="D1371" t="s">
        <v>3104</v>
      </c>
      <c r="E1371" t="s">
        <v>3168</v>
      </c>
      <c r="F1371" s="117" t="s">
        <v>3168</v>
      </c>
      <c r="G1371" s="72" t="s">
        <v>400</v>
      </c>
      <c r="H1371" s="69" t="str">
        <f>IF(Proc[[#This Row],[type]]="LFF (MDG-F)",MID(Proc[[#This Row],[Obj]],13,10),"")</f>
        <v/>
      </c>
      <c r="J1371" s="69" t="b">
        <f>Proc[[#This Row],[Requested]]=Proc[[#This Row],[CurrentParent]]</f>
        <v>1</v>
      </c>
      <c r="K1371" s="144" t="str">
        <f>IF(Proc[[#This Row],[Author]]="Marcela Urrego",VLOOKUP(LEFT(Proc[[#This Row],[Requested]],1),Table3[#All],2,0),VLOOKUP(Proc[[#This Row],[Author]],Table4[],2,0))</f>
        <v>LS</v>
      </c>
      <c r="L1371" s="69" t="s">
        <v>2563</v>
      </c>
      <c r="M1371" s="79">
        <v>45790.144409722219</v>
      </c>
      <c r="N1371" s="83">
        <v>45791</v>
      </c>
      <c r="O1371" s="83">
        <v>45791</v>
      </c>
      <c r="P1371" s="80" t="str">
        <f ca="1">IF(Proc[[#This Row],[DaysAgeing]]&gt;5,"yep","on track")</f>
        <v>on track</v>
      </c>
      <c r="Q1371" s="3">
        <f ca="1">IF(Proc[[#This Row],[DateClosed]]="",ABS(NETWORKDAYS(Proc[[#This Row],[DateOpened]],TODAY()))-1,ABS(NETWORKDAYS(Proc[[#This Row],[DateOpened]],Proc[[#This Row],[DateClosed]]))-1)</f>
        <v>1</v>
      </c>
      <c r="R1371" s="80" t="s">
        <v>489</v>
      </c>
      <c r="S1371" s="69"/>
    </row>
    <row r="1372" spans="1:19" hidden="1">
      <c r="A1372" s="72" t="s">
        <v>3085</v>
      </c>
      <c r="B1372" s="149" t="str">
        <f>IFERROR(VLOOKUP(Proc[[#This Row],[App]],Table2[],3,0),"open")</f>
        <v>ok</v>
      </c>
      <c r="C1372" s="72" t="s">
        <v>369</v>
      </c>
      <c r="D1372" t="s">
        <v>3105</v>
      </c>
      <c r="E1372" t="s">
        <v>3168</v>
      </c>
      <c r="F1372" s="117" t="s">
        <v>3168</v>
      </c>
      <c r="G1372" s="72" t="s">
        <v>400</v>
      </c>
      <c r="H1372" s="69" t="str">
        <f>IF(Proc[[#This Row],[type]]="LFF (MDG-F)",MID(Proc[[#This Row],[Obj]],13,10),"")</f>
        <v/>
      </c>
      <c r="J1372" s="69" t="b">
        <f>Proc[[#This Row],[Requested]]=Proc[[#This Row],[CurrentParent]]</f>
        <v>1</v>
      </c>
      <c r="K1372" s="144" t="str">
        <f>IF(Proc[[#This Row],[Author]]="Marcela Urrego",VLOOKUP(LEFT(Proc[[#This Row],[Requested]],1),Table3[#All],2,0),VLOOKUP(Proc[[#This Row],[Author]],Table4[],2,0))</f>
        <v>LS</v>
      </c>
      <c r="L1372" s="69" t="s">
        <v>2563</v>
      </c>
      <c r="M1372" s="79">
        <v>45790.144409722219</v>
      </c>
      <c r="N1372" s="83">
        <v>45791</v>
      </c>
      <c r="O1372" s="83">
        <v>45791</v>
      </c>
      <c r="P1372" s="80" t="str">
        <f ca="1">IF(Proc[[#This Row],[DaysAgeing]]&gt;5,"yep","on track")</f>
        <v>on track</v>
      </c>
      <c r="Q1372" s="3">
        <f ca="1">IF(Proc[[#This Row],[DateClosed]]="",ABS(NETWORKDAYS(Proc[[#This Row],[DateOpened]],TODAY()))-1,ABS(NETWORKDAYS(Proc[[#This Row],[DateOpened]],Proc[[#This Row],[DateClosed]]))-1)</f>
        <v>1</v>
      </c>
      <c r="R1372" s="80" t="s">
        <v>489</v>
      </c>
      <c r="S1372" s="69"/>
    </row>
    <row r="1373" spans="1:19" hidden="1">
      <c r="A1373" s="72" t="s">
        <v>3085</v>
      </c>
      <c r="B1373" s="149" t="str">
        <f>IFERROR(VLOOKUP(Proc[[#This Row],[App]],Table2[],3,0),"open")</f>
        <v>ok</v>
      </c>
      <c r="C1373" s="72" t="s">
        <v>369</v>
      </c>
      <c r="D1373" t="s">
        <v>3106</v>
      </c>
      <c r="E1373" t="s">
        <v>3169</v>
      </c>
      <c r="F1373" s="117" t="s">
        <v>3169</v>
      </c>
      <c r="G1373" s="72" t="s">
        <v>400</v>
      </c>
      <c r="H1373" s="69" t="str">
        <f>IF(Proc[[#This Row],[type]]="LFF (MDG-F)",MID(Proc[[#This Row],[Obj]],13,10),"")</f>
        <v/>
      </c>
      <c r="J1373" s="69" t="b">
        <f>Proc[[#This Row],[Requested]]=Proc[[#This Row],[CurrentParent]]</f>
        <v>1</v>
      </c>
      <c r="K1373" s="144" t="str">
        <f>IF(Proc[[#This Row],[Author]]="Marcela Urrego",VLOOKUP(LEFT(Proc[[#This Row],[Requested]],1),Table3[#All],2,0),VLOOKUP(Proc[[#This Row],[Author]],Table4[],2,0))</f>
        <v>LS</v>
      </c>
      <c r="L1373" s="69" t="s">
        <v>2563</v>
      </c>
      <c r="M1373" s="79">
        <v>45790.144409722219</v>
      </c>
      <c r="N1373" s="83">
        <v>45791</v>
      </c>
      <c r="O1373" s="83">
        <v>45791</v>
      </c>
      <c r="P1373" s="80" t="str">
        <f ca="1">IF(Proc[[#This Row],[DaysAgeing]]&gt;5,"yep","on track")</f>
        <v>on track</v>
      </c>
      <c r="Q1373" s="3">
        <f ca="1">IF(Proc[[#This Row],[DateClosed]]="",ABS(NETWORKDAYS(Proc[[#This Row],[DateOpened]],TODAY()))-1,ABS(NETWORKDAYS(Proc[[#This Row],[DateOpened]],Proc[[#This Row],[DateClosed]]))-1)</f>
        <v>1</v>
      </c>
      <c r="R1373" s="80" t="s">
        <v>489</v>
      </c>
      <c r="S1373" s="69"/>
    </row>
    <row r="1374" spans="1:19" hidden="1">
      <c r="A1374" s="72" t="s">
        <v>3085</v>
      </c>
      <c r="B1374" s="149" t="str">
        <f>IFERROR(VLOOKUP(Proc[[#This Row],[App]],Table2[],3,0),"open")</f>
        <v>ok</v>
      </c>
      <c r="C1374" s="72" t="s">
        <v>369</v>
      </c>
      <c r="D1374" t="s">
        <v>3107</v>
      </c>
      <c r="E1374" t="s">
        <v>3171</v>
      </c>
      <c r="F1374" s="117" t="s">
        <v>3171</v>
      </c>
      <c r="G1374" s="72" t="s">
        <v>400</v>
      </c>
      <c r="H1374" s="69" t="str">
        <f>IF(Proc[[#This Row],[type]]="LFF (MDG-F)",MID(Proc[[#This Row],[Obj]],13,10),"")</f>
        <v/>
      </c>
      <c r="J1374" s="69" t="b">
        <f>Proc[[#This Row],[Requested]]=Proc[[#This Row],[CurrentParent]]</f>
        <v>1</v>
      </c>
      <c r="K1374" s="144" t="str">
        <f>IF(Proc[[#This Row],[Author]]="Marcela Urrego",VLOOKUP(LEFT(Proc[[#This Row],[Requested]],1),Table3[#All],2,0),VLOOKUP(Proc[[#This Row],[Author]],Table4[],2,0))</f>
        <v>LS</v>
      </c>
      <c r="L1374" s="69" t="s">
        <v>2563</v>
      </c>
      <c r="M1374" s="79">
        <v>45790.144409722219</v>
      </c>
      <c r="N1374" s="83">
        <v>45791</v>
      </c>
      <c r="O1374" s="83">
        <v>45791</v>
      </c>
      <c r="P1374" s="80" t="str">
        <f ca="1">IF(Proc[[#This Row],[DaysAgeing]]&gt;5,"yep","on track")</f>
        <v>on track</v>
      </c>
      <c r="Q1374" s="3">
        <f ca="1">IF(Proc[[#This Row],[DateClosed]]="",ABS(NETWORKDAYS(Proc[[#This Row],[DateOpened]],TODAY()))-1,ABS(NETWORKDAYS(Proc[[#This Row],[DateOpened]],Proc[[#This Row],[DateClosed]]))-1)</f>
        <v>1</v>
      </c>
      <c r="R1374" s="80" t="s">
        <v>489</v>
      </c>
      <c r="S1374" s="69"/>
    </row>
    <row r="1375" spans="1:19" hidden="1">
      <c r="A1375" s="72" t="s">
        <v>3085</v>
      </c>
      <c r="B1375" s="149" t="str">
        <f>IFERROR(VLOOKUP(Proc[[#This Row],[App]],Table2[],3,0),"open")</f>
        <v>ok</v>
      </c>
      <c r="C1375" s="72" t="s">
        <v>369</v>
      </c>
      <c r="D1375" t="s">
        <v>3108</v>
      </c>
      <c r="E1375" t="s">
        <v>3169</v>
      </c>
      <c r="F1375" s="117" t="s">
        <v>3169</v>
      </c>
      <c r="G1375" s="72" t="s">
        <v>400</v>
      </c>
      <c r="H1375" s="69" t="str">
        <f>IF(Proc[[#This Row],[type]]="LFF (MDG-F)",MID(Proc[[#This Row],[Obj]],13,10),"")</f>
        <v/>
      </c>
      <c r="J1375" s="69" t="b">
        <f>Proc[[#This Row],[Requested]]=Proc[[#This Row],[CurrentParent]]</f>
        <v>1</v>
      </c>
      <c r="K1375" s="144" t="str">
        <f>IF(Proc[[#This Row],[Author]]="Marcela Urrego",VLOOKUP(LEFT(Proc[[#This Row],[Requested]],1),Table3[#All],2,0),VLOOKUP(Proc[[#This Row],[Author]],Table4[],2,0))</f>
        <v>LS</v>
      </c>
      <c r="L1375" s="69" t="s">
        <v>2563</v>
      </c>
      <c r="M1375" s="79">
        <v>45790.144409722219</v>
      </c>
      <c r="N1375" s="83">
        <v>45791</v>
      </c>
      <c r="O1375" s="83">
        <v>45791</v>
      </c>
      <c r="P1375" s="80" t="str">
        <f ca="1">IF(Proc[[#This Row],[DaysAgeing]]&gt;5,"yep","on track")</f>
        <v>on track</v>
      </c>
      <c r="Q1375" s="3">
        <f ca="1">IF(Proc[[#This Row],[DateClosed]]="",ABS(NETWORKDAYS(Proc[[#This Row],[DateOpened]],TODAY()))-1,ABS(NETWORKDAYS(Proc[[#This Row],[DateOpened]],Proc[[#This Row],[DateClosed]]))-1)</f>
        <v>1</v>
      </c>
      <c r="R1375" s="80" t="s">
        <v>489</v>
      </c>
      <c r="S1375" s="69"/>
    </row>
    <row r="1376" spans="1:19" hidden="1">
      <c r="A1376" s="72" t="s">
        <v>3085</v>
      </c>
      <c r="B1376" s="149" t="str">
        <f>IFERROR(VLOOKUP(Proc[[#This Row],[App]],Table2[],3,0),"open")</f>
        <v>ok</v>
      </c>
      <c r="C1376" s="72" t="s">
        <v>369</v>
      </c>
      <c r="D1376" t="s">
        <v>3109</v>
      </c>
      <c r="E1376" t="s">
        <v>3171</v>
      </c>
      <c r="F1376" s="117" t="s">
        <v>3171</v>
      </c>
      <c r="G1376" s="72" t="s">
        <v>400</v>
      </c>
      <c r="H1376" s="69" t="str">
        <f>IF(Proc[[#This Row],[type]]="LFF (MDG-F)",MID(Proc[[#This Row],[Obj]],13,10),"")</f>
        <v/>
      </c>
      <c r="J1376" s="69" t="b">
        <f>Proc[[#This Row],[Requested]]=Proc[[#This Row],[CurrentParent]]</f>
        <v>1</v>
      </c>
      <c r="K1376" s="144" t="str">
        <f>IF(Proc[[#This Row],[Author]]="Marcela Urrego",VLOOKUP(LEFT(Proc[[#This Row],[Requested]],1),Table3[#All],2,0),VLOOKUP(Proc[[#This Row],[Author]],Table4[],2,0))</f>
        <v>LS</v>
      </c>
      <c r="L1376" s="69" t="s">
        <v>2563</v>
      </c>
      <c r="M1376" s="79">
        <v>45790.144409722219</v>
      </c>
      <c r="N1376" s="83">
        <v>45791</v>
      </c>
      <c r="O1376" s="83">
        <v>45791</v>
      </c>
      <c r="P1376" s="80" t="str">
        <f ca="1">IF(Proc[[#This Row],[DaysAgeing]]&gt;5,"yep","on track")</f>
        <v>on track</v>
      </c>
      <c r="Q1376" s="3">
        <f ca="1">IF(Proc[[#This Row],[DateClosed]]="",ABS(NETWORKDAYS(Proc[[#This Row],[DateOpened]],TODAY()))-1,ABS(NETWORKDAYS(Proc[[#This Row],[DateOpened]],Proc[[#This Row],[DateClosed]]))-1)</f>
        <v>1</v>
      </c>
      <c r="R1376" s="80" t="s">
        <v>489</v>
      </c>
      <c r="S1376" s="69"/>
    </row>
    <row r="1377" spans="1:19" hidden="1">
      <c r="A1377" s="72" t="s">
        <v>3085</v>
      </c>
      <c r="B1377" s="149" t="str">
        <f>IFERROR(VLOOKUP(Proc[[#This Row],[App]],Table2[],3,0),"open")</f>
        <v>ok</v>
      </c>
      <c r="C1377" s="72" t="s">
        <v>369</v>
      </c>
      <c r="D1377" t="s">
        <v>3110</v>
      </c>
      <c r="E1377" t="s">
        <v>3172</v>
      </c>
      <c r="F1377" s="117" t="s">
        <v>3172</v>
      </c>
      <c r="G1377" s="72" t="s">
        <v>400</v>
      </c>
      <c r="H1377" s="69" t="str">
        <f>IF(Proc[[#This Row],[type]]="LFF (MDG-F)",MID(Proc[[#This Row],[Obj]],13,10),"")</f>
        <v/>
      </c>
      <c r="J1377" s="69" t="b">
        <f>Proc[[#This Row],[Requested]]=Proc[[#This Row],[CurrentParent]]</f>
        <v>1</v>
      </c>
      <c r="K1377" s="144" t="str">
        <f>IF(Proc[[#This Row],[Author]]="Marcela Urrego",VLOOKUP(LEFT(Proc[[#This Row],[Requested]],1),Table3[#All],2,0),VLOOKUP(Proc[[#This Row],[Author]],Table4[],2,0))</f>
        <v>LS</v>
      </c>
      <c r="L1377" s="69" t="s">
        <v>2563</v>
      </c>
      <c r="M1377" s="79">
        <v>45790.144409722219</v>
      </c>
      <c r="N1377" s="83">
        <v>45791</v>
      </c>
      <c r="O1377" s="83">
        <v>45791</v>
      </c>
      <c r="P1377" s="80" t="str">
        <f ca="1">IF(Proc[[#This Row],[DaysAgeing]]&gt;5,"yep","on track")</f>
        <v>on track</v>
      </c>
      <c r="Q1377" s="3">
        <f ca="1">IF(Proc[[#This Row],[DateClosed]]="",ABS(NETWORKDAYS(Proc[[#This Row],[DateOpened]],TODAY()))-1,ABS(NETWORKDAYS(Proc[[#This Row],[DateOpened]],Proc[[#This Row],[DateClosed]]))-1)</f>
        <v>1</v>
      </c>
      <c r="R1377" s="80" t="s">
        <v>489</v>
      </c>
      <c r="S1377" s="69"/>
    </row>
    <row r="1378" spans="1:19" hidden="1">
      <c r="A1378" s="72" t="s">
        <v>3085</v>
      </c>
      <c r="B1378" s="149" t="str">
        <f>IFERROR(VLOOKUP(Proc[[#This Row],[App]],Table2[],3,0),"open")</f>
        <v>ok</v>
      </c>
      <c r="C1378" s="72" t="s">
        <v>369</v>
      </c>
      <c r="D1378" t="s">
        <v>3111</v>
      </c>
      <c r="E1378" t="s">
        <v>3173</v>
      </c>
      <c r="F1378" s="117" t="s">
        <v>3173</v>
      </c>
      <c r="G1378" s="72" t="s">
        <v>400</v>
      </c>
      <c r="H1378" s="69" t="str">
        <f>IF(Proc[[#This Row],[type]]="LFF (MDG-F)",MID(Proc[[#This Row],[Obj]],13,10),"")</f>
        <v/>
      </c>
      <c r="J1378" s="69" t="b">
        <f>Proc[[#This Row],[Requested]]=Proc[[#This Row],[CurrentParent]]</f>
        <v>1</v>
      </c>
      <c r="K1378" s="144" t="str">
        <f>IF(Proc[[#This Row],[Author]]="Marcela Urrego",VLOOKUP(LEFT(Proc[[#This Row],[Requested]],1),Table3[#All],2,0),VLOOKUP(Proc[[#This Row],[Author]],Table4[],2,0))</f>
        <v>LS</v>
      </c>
      <c r="L1378" s="69" t="s">
        <v>2563</v>
      </c>
      <c r="M1378" s="79">
        <v>45790.144409722219</v>
      </c>
      <c r="N1378" s="83">
        <v>45791</v>
      </c>
      <c r="O1378" s="83">
        <v>45791</v>
      </c>
      <c r="P1378" s="80" t="str">
        <f ca="1">IF(Proc[[#This Row],[DaysAgeing]]&gt;5,"yep","on track")</f>
        <v>on track</v>
      </c>
      <c r="Q1378" s="3">
        <f ca="1">IF(Proc[[#This Row],[DateClosed]]="",ABS(NETWORKDAYS(Proc[[#This Row],[DateOpened]],TODAY()))-1,ABS(NETWORKDAYS(Proc[[#This Row],[DateOpened]],Proc[[#This Row],[DateClosed]]))-1)</f>
        <v>1</v>
      </c>
      <c r="R1378" s="80" t="s">
        <v>489</v>
      </c>
      <c r="S1378" s="69"/>
    </row>
    <row r="1379" spans="1:19" hidden="1">
      <c r="A1379" s="72" t="s">
        <v>3085</v>
      </c>
      <c r="B1379" s="149" t="str">
        <f>IFERROR(VLOOKUP(Proc[[#This Row],[App]],Table2[],3,0),"open")</f>
        <v>ok</v>
      </c>
      <c r="C1379" s="72" t="s">
        <v>369</v>
      </c>
      <c r="D1379" t="s">
        <v>3112</v>
      </c>
      <c r="E1379" t="s">
        <v>3165</v>
      </c>
      <c r="F1379" s="117" t="s">
        <v>3165</v>
      </c>
      <c r="G1379" s="72" t="s">
        <v>400</v>
      </c>
      <c r="H1379" s="69" t="str">
        <f>IF(Proc[[#This Row],[type]]="LFF (MDG-F)",MID(Proc[[#This Row],[Obj]],13,10),"")</f>
        <v/>
      </c>
      <c r="J1379" s="69" t="b">
        <f>Proc[[#This Row],[Requested]]=Proc[[#This Row],[CurrentParent]]</f>
        <v>1</v>
      </c>
      <c r="K1379" s="144" t="str">
        <f>IF(Proc[[#This Row],[Author]]="Marcela Urrego",VLOOKUP(LEFT(Proc[[#This Row],[Requested]],1),Table3[#All],2,0),VLOOKUP(Proc[[#This Row],[Author]],Table4[],2,0))</f>
        <v>LS</v>
      </c>
      <c r="L1379" s="69" t="s">
        <v>2563</v>
      </c>
      <c r="M1379" s="79">
        <v>45790.144409722219</v>
      </c>
      <c r="N1379" s="83">
        <v>45791</v>
      </c>
      <c r="O1379" s="83">
        <v>45791</v>
      </c>
      <c r="P1379" s="80" t="str">
        <f ca="1">IF(Proc[[#This Row],[DaysAgeing]]&gt;5,"yep","on track")</f>
        <v>on track</v>
      </c>
      <c r="Q1379" s="3">
        <f ca="1">IF(Proc[[#This Row],[DateClosed]]="",ABS(NETWORKDAYS(Proc[[#This Row],[DateOpened]],TODAY()))-1,ABS(NETWORKDAYS(Proc[[#This Row],[DateOpened]],Proc[[#This Row],[DateClosed]]))-1)</f>
        <v>1</v>
      </c>
      <c r="R1379" s="80" t="s">
        <v>489</v>
      </c>
      <c r="S1379" s="69"/>
    </row>
    <row r="1380" spans="1:19" hidden="1">
      <c r="A1380" s="72" t="s">
        <v>3085</v>
      </c>
      <c r="B1380" s="149" t="str">
        <f>IFERROR(VLOOKUP(Proc[[#This Row],[App]],Table2[],3,0),"open")</f>
        <v>ok</v>
      </c>
      <c r="C1380" s="72" t="s">
        <v>369</v>
      </c>
      <c r="D1380" t="s">
        <v>3113</v>
      </c>
      <c r="E1380" t="s">
        <v>3169</v>
      </c>
      <c r="F1380" s="117" t="s">
        <v>3169</v>
      </c>
      <c r="G1380" s="72" t="s">
        <v>400</v>
      </c>
      <c r="H1380" s="69" t="str">
        <f>IF(Proc[[#This Row],[type]]="LFF (MDG-F)",MID(Proc[[#This Row],[Obj]],13,10),"")</f>
        <v/>
      </c>
      <c r="J1380" s="69" t="b">
        <f>Proc[[#This Row],[Requested]]=Proc[[#This Row],[CurrentParent]]</f>
        <v>1</v>
      </c>
      <c r="K1380" s="144" t="str">
        <f>IF(Proc[[#This Row],[Author]]="Marcela Urrego",VLOOKUP(LEFT(Proc[[#This Row],[Requested]],1),Table3[#All],2,0),VLOOKUP(Proc[[#This Row],[Author]],Table4[],2,0))</f>
        <v>LS</v>
      </c>
      <c r="L1380" s="69" t="s">
        <v>2563</v>
      </c>
      <c r="M1380" s="79">
        <v>45790.144409722219</v>
      </c>
      <c r="N1380" s="83">
        <v>45791</v>
      </c>
      <c r="O1380" s="83">
        <v>45791</v>
      </c>
      <c r="P1380" s="80" t="str">
        <f ca="1">IF(Proc[[#This Row],[DaysAgeing]]&gt;5,"yep","on track")</f>
        <v>on track</v>
      </c>
      <c r="Q1380" s="3">
        <f ca="1">IF(Proc[[#This Row],[DateClosed]]="",ABS(NETWORKDAYS(Proc[[#This Row],[DateOpened]],TODAY()))-1,ABS(NETWORKDAYS(Proc[[#This Row],[DateOpened]],Proc[[#This Row],[DateClosed]]))-1)</f>
        <v>1</v>
      </c>
      <c r="R1380" s="80" t="s">
        <v>489</v>
      </c>
      <c r="S1380" s="69"/>
    </row>
    <row r="1381" spans="1:19" hidden="1">
      <c r="A1381" s="72" t="s">
        <v>3085</v>
      </c>
      <c r="B1381" s="149" t="str">
        <f>IFERROR(VLOOKUP(Proc[[#This Row],[App]],Table2[],3,0),"open")</f>
        <v>ok</v>
      </c>
      <c r="C1381" s="72" t="s">
        <v>369</v>
      </c>
      <c r="D1381" t="s">
        <v>3114</v>
      </c>
      <c r="E1381" t="s">
        <v>3167</v>
      </c>
      <c r="F1381" s="117" t="s">
        <v>3167</v>
      </c>
      <c r="G1381" s="72" t="s">
        <v>400</v>
      </c>
      <c r="H1381" s="69" t="str">
        <f>IF(Proc[[#This Row],[type]]="LFF (MDG-F)",MID(Proc[[#This Row],[Obj]],13,10),"")</f>
        <v/>
      </c>
      <c r="J1381" s="69" t="b">
        <f>Proc[[#This Row],[Requested]]=Proc[[#This Row],[CurrentParent]]</f>
        <v>1</v>
      </c>
      <c r="K1381" s="144" t="str">
        <f>IF(Proc[[#This Row],[Author]]="Marcela Urrego",VLOOKUP(LEFT(Proc[[#This Row],[Requested]],1),Table3[#All],2,0),VLOOKUP(Proc[[#This Row],[Author]],Table4[],2,0))</f>
        <v>LS</v>
      </c>
      <c r="L1381" s="69" t="s">
        <v>2563</v>
      </c>
      <c r="M1381" s="79">
        <v>45790.144409722219</v>
      </c>
      <c r="N1381" s="83">
        <v>45791</v>
      </c>
      <c r="O1381" s="83">
        <v>45791</v>
      </c>
      <c r="P1381" s="80" t="str">
        <f ca="1">IF(Proc[[#This Row],[DaysAgeing]]&gt;5,"yep","on track")</f>
        <v>on track</v>
      </c>
      <c r="Q1381" s="3">
        <f ca="1">IF(Proc[[#This Row],[DateClosed]]="",ABS(NETWORKDAYS(Proc[[#This Row],[DateOpened]],TODAY()))-1,ABS(NETWORKDAYS(Proc[[#This Row],[DateOpened]],Proc[[#This Row],[DateClosed]]))-1)</f>
        <v>1</v>
      </c>
      <c r="R1381" s="80" t="s">
        <v>489</v>
      </c>
      <c r="S1381" s="69"/>
    </row>
    <row r="1382" spans="1:19" hidden="1">
      <c r="A1382" s="72" t="s">
        <v>3085</v>
      </c>
      <c r="B1382" s="149" t="str">
        <f>IFERROR(VLOOKUP(Proc[[#This Row],[App]],Table2[],3,0),"open")</f>
        <v>ok</v>
      </c>
      <c r="C1382" s="72" t="s">
        <v>369</v>
      </c>
      <c r="D1382" t="s">
        <v>3115</v>
      </c>
      <c r="E1382" t="s">
        <v>3167</v>
      </c>
      <c r="F1382" s="117" t="s">
        <v>3167</v>
      </c>
      <c r="G1382" s="72" t="s">
        <v>400</v>
      </c>
      <c r="H1382" s="69" t="str">
        <f>IF(Proc[[#This Row],[type]]="LFF (MDG-F)",MID(Proc[[#This Row],[Obj]],13,10),"")</f>
        <v/>
      </c>
      <c r="J1382" s="69" t="b">
        <f>Proc[[#This Row],[Requested]]=Proc[[#This Row],[CurrentParent]]</f>
        <v>1</v>
      </c>
      <c r="K1382" s="144" t="str">
        <f>IF(Proc[[#This Row],[Author]]="Marcela Urrego",VLOOKUP(LEFT(Proc[[#This Row],[Requested]],1),Table3[#All],2,0),VLOOKUP(Proc[[#This Row],[Author]],Table4[],2,0))</f>
        <v>LS</v>
      </c>
      <c r="L1382" s="69" t="s">
        <v>2563</v>
      </c>
      <c r="M1382" s="79">
        <v>45790.144409722219</v>
      </c>
      <c r="N1382" s="83">
        <v>45791</v>
      </c>
      <c r="O1382" s="83">
        <v>45791</v>
      </c>
      <c r="P1382" s="80" t="str">
        <f ca="1">IF(Proc[[#This Row],[DaysAgeing]]&gt;5,"yep","on track")</f>
        <v>on track</v>
      </c>
      <c r="Q1382" s="3">
        <f ca="1">IF(Proc[[#This Row],[DateClosed]]="",ABS(NETWORKDAYS(Proc[[#This Row],[DateOpened]],TODAY()))-1,ABS(NETWORKDAYS(Proc[[#This Row],[DateOpened]],Proc[[#This Row],[DateClosed]]))-1)</f>
        <v>1</v>
      </c>
      <c r="R1382" s="80" t="s">
        <v>489</v>
      </c>
      <c r="S1382" s="69"/>
    </row>
    <row r="1383" spans="1:19" hidden="1">
      <c r="A1383" s="72" t="s">
        <v>3085</v>
      </c>
      <c r="B1383" s="149" t="str">
        <f>IFERROR(VLOOKUP(Proc[[#This Row],[App]],Table2[],3,0),"open")</f>
        <v>ok</v>
      </c>
      <c r="C1383" s="72" t="s">
        <v>369</v>
      </c>
      <c r="D1383" t="s">
        <v>3116</v>
      </c>
      <c r="E1383" t="s">
        <v>3170</v>
      </c>
      <c r="F1383" s="117" t="s">
        <v>3170</v>
      </c>
      <c r="G1383" s="72" t="s">
        <v>400</v>
      </c>
      <c r="H1383" s="69" t="str">
        <f>IF(Proc[[#This Row],[type]]="LFF (MDG-F)",MID(Proc[[#This Row],[Obj]],13,10),"")</f>
        <v/>
      </c>
      <c r="J1383" s="69" t="b">
        <f>Proc[[#This Row],[Requested]]=Proc[[#This Row],[CurrentParent]]</f>
        <v>1</v>
      </c>
      <c r="K1383" s="144" t="str">
        <f>IF(Proc[[#This Row],[Author]]="Marcela Urrego",VLOOKUP(LEFT(Proc[[#This Row],[Requested]],1),Table3[#All],2,0),VLOOKUP(Proc[[#This Row],[Author]],Table4[],2,0))</f>
        <v>LS</v>
      </c>
      <c r="L1383" s="69" t="s">
        <v>2563</v>
      </c>
      <c r="M1383" s="79">
        <v>45790.144409722219</v>
      </c>
      <c r="N1383" s="83">
        <v>45791</v>
      </c>
      <c r="O1383" s="83">
        <v>45791</v>
      </c>
      <c r="P1383" s="80" t="str">
        <f ca="1">IF(Proc[[#This Row],[DaysAgeing]]&gt;5,"yep","on track")</f>
        <v>on track</v>
      </c>
      <c r="Q1383" s="3">
        <f ca="1">IF(Proc[[#This Row],[DateClosed]]="",ABS(NETWORKDAYS(Proc[[#This Row],[DateOpened]],TODAY()))-1,ABS(NETWORKDAYS(Proc[[#This Row],[DateOpened]],Proc[[#This Row],[DateClosed]]))-1)</f>
        <v>1</v>
      </c>
      <c r="R1383" s="80" t="s">
        <v>489</v>
      </c>
      <c r="S1383" s="69"/>
    </row>
    <row r="1384" spans="1:19" hidden="1">
      <c r="A1384" s="72" t="s">
        <v>3085</v>
      </c>
      <c r="B1384" s="149" t="str">
        <f>IFERROR(VLOOKUP(Proc[[#This Row],[App]],Table2[],3,0),"open")</f>
        <v>ok</v>
      </c>
      <c r="C1384" s="72" t="s">
        <v>369</v>
      </c>
      <c r="D1384" t="s">
        <v>3117</v>
      </c>
      <c r="E1384" t="s">
        <v>3166</v>
      </c>
      <c r="F1384" s="117" t="s">
        <v>3166</v>
      </c>
      <c r="G1384" s="72" t="s">
        <v>400</v>
      </c>
      <c r="H1384" s="69" t="str">
        <f>IF(Proc[[#This Row],[type]]="LFF (MDG-F)",MID(Proc[[#This Row],[Obj]],13,10),"")</f>
        <v/>
      </c>
      <c r="J1384" s="69" t="b">
        <f>Proc[[#This Row],[Requested]]=Proc[[#This Row],[CurrentParent]]</f>
        <v>1</v>
      </c>
      <c r="K1384" s="144" t="str">
        <f>IF(Proc[[#This Row],[Author]]="Marcela Urrego",VLOOKUP(LEFT(Proc[[#This Row],[Requested]],1),Table3[#All],2,0),VLOOKUP(Proc[[#This Row],[Author]],Table4[],2,0))</f>
        <v>LS</v>
      </c>
      <c r="L1384" s="69" t="s">
        <v>2563</v>
      </c>
      <c r="M1384" s="79">
        <v>45790.144409722219</v>
      </c>
      <c r="N1384" s="83">
        <v>45791</v>
      </c>
      <c r="O1384" s="83">
        <v>45791</v>
      </c>
      <c r="P1384" s="80" t="str">
        <f ca="1">IF(Proc[[#This Row],[DaysAgeing]]&gt;5,"yep","on track")</f>
        <v>on track</v>
      </c>
      <c r="Q1384" s="3">
        <f ca="1">IF(Proc[[#This Row],[DateClosed]]="",ABS(NETWORKDAYS(Proc[[#This Row],[DateOpened]],TODAY()))-1,ABS(NETWORKDAYS(Proc[[#This Row],[DateOpened]],Proc[[#This Row],[DateClosed]]))-1)</f>
        <v>1</v>
      </c>
      <c r="R1384" s="80" t="s">
        <v>489</v>
      </c>
      <c r="S1384" s="69"/>
    </row>
    <row r="1385" spans="1:19" hidden="1">
      <c r="A1385" s="72" t="s">
        <v>3085</v>
      </c>
      <c r="B1385" s="149" t="str">
        <f>IFERROR(VLOOKUP(Proc[[#This Row],[App]],Table2[],3,0),"open")</f>
        <v>ok</v>
      </c>
      <c r="C1385" s="72" t="s">
        <v>369</v>
      </c>
      <c r="D1385" t="s">
        <v>3118</v>
      </c>
      <c r="E1385" t="s">
        <v>3173</v>
      </c>
      <c r="F1385" s="117" t="s">
        <v>3173</v>
      </c>
      <c r="G1385" s="72" t="s">
        <v>400</v>
      </c>
      <c r="H1385" s="69" t="str">
        <f>IF(Proc[[#This Row],[type]]="LFF (MDG-F)",MID(Proc[[#This Row],[Obj]],13,10),"")</f>
        <v/>
      </c>
      <c r="J1385" s="69" t="b">
        <f>Proc[[#This Row],[Requested]]=Proc[[#This Row],[CurrentParent]]</f>
        <v>1</v>
      </c>
      <c r="K1385" s="144" t="str">
        <f>IF(Proc[[#This Row],[Author]]="Marcela Urrego",VLOOKUP(LEFT(Proc[[#This Row],[Requested]],1),Table3[#All],2,0),VLOOKUP(Proc[[#This Row],[Author]],Table4[],2,0))</f>
        <v>LS</v>
      </c>
      <c r="L1385" s="69" t="s">
        <v>2563</v>
      </c>
      <c r="M1385" s="79">
        <v>45790.144409722219</v>
      </c>
      <c r="N1385" s="83">
        <v>45791</v>
      </c>
      <c r="O1385" s="83">
        <v>45791</v>
      </c>
      <c r="P1385" s="80" t="str">
        <f ca="1">IF(Proc[[#This Row],[DaysAgeing]]&gt;5,"yep","on track")</f>
        <v>on track</v>
      </c>
      <c r="Q1385" s="3">
        <f ca="1">IF(Proc[[#This Row],[DateClosed]]="",ABS(NETWORKDAYS(Proc[[#This Row],[DateOpened]],TODAY()))-1,ABS(NETWORKDAYS(Proc[[#This Row],[DateOpened]],Proc[[#This Row],[DateClosed]]))-1)</f>
        <v>1</v>
      </c>
      <c r="R1385" s="80" t="s">
        <v>489</v>
      </c>
      <c r="S1385" s="69"/>
    </row>
    <row r="1386" spans="1:19" hidden="1">
      <c r="A1386" s="72" t="s">
        <v>3085</v>
      </c>
      <c r="B1386" s="149" t="str">
        <f>IFERROR(VLOOKUP(Proc[[#This Row],[App]],Table2[],3,0),"open")</f>
        <v>ok</v>
      </c>
      <c r="C1386" s="72" t="s">
        <v>369</v>
      </c>
      <c r="D1386" t="s">
        <v>3119</v>
      </c>
      <c r="E1386" t="s">
        <v>3167</v>
      </c>
      <c r="F1386" s="117" t="s">
        <v>3167</v>
      </c>
      <c r="G1386" s="72" t="s">
        <v>400</v>
      </c>
      <c r="H1386" s="69" t="str">
        <f>IF(Proc[[#This Row],[type]]="LFF (MDG-F)",MID(Proc[[#This Row],[Obj]],13,10),"")</f>
        <v/>
      </c>
      <c r="J1386" s="69" t="b">
        <f>Proc[[#This Row],[Requested]]=Proc[[#This Row],[CurrentParent]]</f>
        <v>1</v>
      </c>
      <c r="K1386" s="144" t="str">
        <f>IF(Proc[[#This Row],[Author]]="Marcela Urrego",VLOOKUP(LEFT(Proc[[#This Row],[Requested]],1),Table3[#All],2,0),VLOOKUP(Proc[[#This Row],[Author]],Table4[],2,0))</f>
        <v>LS</v>
      </c>
      <c r="L1386" s="69" t="s">
        <v>2563</v>
      </c>
      <c r="M1386" s="79">
        <v>45790.144409722219</v>
      </c>
      <c r="N1386" s="83">
        <v>45791</v>
      </c>
      <c r="O1386" s="83">
        <v>45791</v>
      </c>
      <c r="P1386" s="80" t="str">
        <f ca="1">IF(Proc[[#This Row],[DaysAgeing]]&gt;5,"yep","on track")</f>
        <v>on track</v>
      </c>
      <c r="Q1386" s="3">
        <f ca="1">IF(Proc[[#This Row],[DateClosed]]="",ABS(NETWORKDAYS(Proc[[#This Row],[DateOpened]],TODAY()))-1,ABS(NETWORKDAYS(Proc[[#This Row],[DateOpened]],Proc[[#This Row],[DateClosed]]))-1)</f>
        <v>1</v>
      </c>
      <c r="R1386" s="80" t="s">
        <v>489</v>
      </c>
      <c r="S1386" s="69"/>
    </row>
    <row r="1387" spans="1:19" hidden="1">
      <c r="A1387" s="72" t="s">
        <v>3085</v>
      </c>
      <c r="B1387" s="149" t="str">
        <f>IFERROR(VLOOKUP(Proc[[#This Row],[App]],Table2[],3,0),"open")</f>
        <v>ok</v>
      </c>
      <c r="C1387" s="72" t="s">
        <v>369</v>
      </c>
      <c r="D1387" t="s">
        <v>3120</v>
      </c>
      <c r="E1387" t="s">
        <v>3167</v>
      </c>
      <c r="F1387" s="117" t="s">
        <v>3167</v>
      </c>
      <c r="G1387" s="72" t="s">
        <v>400</v>
      </c>
      <c r="H1387" s="69" t="str">
        <f>IF(Proc[[#This Row],[type]]="LFF (MDG-F)",MID(Proc[[#This Row],[Obj]],13,10),"")</f>
        <v/>
      </c>
      <c r="J1387" s="69" t="b">
        <f>Proc[[#This Row],[Requested]]=Proc[[#This Row],[CurrentParent]]</f>
        <v>1</v>
      </c>
      <c r="K1387" s="144" t="str">
        <f>IF(Proc[[#This Row],[Author]]="Marcela Urrego",VLOOKUP(LEFT(Proc[[#This Row],[Requested]],1),Table3[#All],2,0),VLOOKUP(Proc[[#This Row],[Author]],Table4[],2,0))</f>
        <v>LS</v>
      </c>
      <c r="L1387" s="69" t="s">
        <v>2563</v>
      </c>
      <c r="M1387" s="79">
        <v>45790.144409722219</v>
      </c>
      <c r="N1387" s="83">
        <v>45791</v>
      </c>
      <c r="O1387" s="83">
        <v>45791</v>
      </c>
      <c r="P1387" s="80" t="str">
        <f ca="1">IF(Proc[[#This Row],[DaysAgeing]]&gt;5,"yep","on track")</f>
        <v>on track</v>
      </c>
      <c r="Q1387" s="3">
        <f ca="1">IF(Proc[[#This Row],[DateClosed]]="",ABS(NETWORKDAYS(Proc[[#This Row],[DateOpened]],TODAY()))-1,ABS(NETWORKDAYS(Proc[[#This Row],[DateOpened]],Proc[[#This Row],[DateClosed]]))-1)</f>
        <v>1</v>
      </c>
      <c r="R1387" s="80" t="s">
        <v>489</v>
      </c>
      <c r="S1387" s="69"/>
    </row>
    <row r="1388" spans="1:19" hidden="1">
      <c r="A1388" s="72" t="s">
        <v>3085</v>
      </c>
      <c r="B1388" s="149" t="str">
        <f>IFERROR(VLOOKUP(Proc[[#This Row],[App]],Table2[],3,0),"open")</f>
        <v>ok</v>
      </c>
      <c r="C1388" s="72" t="s">
        <v>369</v>
      </c>
      <c r="D1388" t="s">
        <v>3121</v>
      </c>
      <c r="E1388" t="s">
        <v>3170</v>
      </c>
      <c r="F1388" s="117" t="s">
        <v>3170</v>
      </c>
      <c r="G1388" s="72" t="s">
        <v>400</v>
      </c>
      <c r="H1388" s="69" t="str">
        <f>IF(Proc[[#This Row],[type]]="LFF (MDG-F)",MID(Proc[[#This Row],[Obj]],13,10),"")</f>
        <v/>
      </c>
      <c r="J1388" s="69" t="b">
        <f>Proc[[#This Row],[Requested]]=Proc[[#This Row],[CurrentParent]]</f>
        <v>1</v>
      </c>
      <c r="K1388" s="144" t="str">
        <f>IF(Proc[[#This Row],[Author]]="Marcela Urrego",VLOOKUP(LEFT(Proc[[#This Row],[Requested]],1),Table3[#All],2,0),VLOOKUP(Proc[[#This Row],[Author]],Table4[],2,0))</f>
        <v>LS</v>
      </c>
      <c r="L1388" s="69" t="s">
        <v>2563</v>
      </c>
      <c r="M1388" s="79">
        <v>45790.144409722219</v>
      </c>
      <c r="N1388" s="83">
        <v>45791</v>
      </c>
      <c r="O1388" s="83">
        <v>45791</v>
      </c>
      <c r="P1388" s="80" t="str">
        <f ca="1">IF(Proc[[#This Row],[DaysAgeing]]&gt;5,"yep","on track")</f>
        <v>on track</v>
      </c>
      <c r="Q1388" s="3">
        <f ca="1">IF(Proc[[#This Row],[DateClosed]]="",ABS(NETWORKDAYS(Proc[[#This Row],[DateOpened]],TODAY()))-1,ABS(NETWORKDAYS(Proc[[#This Row],[DateOpened]],Proc[[#This Row],[DateClosed]]))-1)</f>
        <v>1</v>
      </c>
      <c r="R1388" s="80" t="s">
        <v>489</v>
      </c>
      <c r="S1388" s="69"/>
    </row>
    <row r="1389" spans="1:19" hidden="1">
      <c r="A1389" s="72" t="s">
        <v>3085</v>
      </c>
      <c r="B1389" s="149" t="str">
        <f>IFERROR(VLOOKUP(Proc[[#This Row],[App]],Table2[],3,0),"open")</f>
        <v>ok</v>
      </c>
      <c r="C1389" s="72" t="s">
        <v>369</v>
      </c>
      <c r="D1389" t="s">
        <v>3122</v>
      </c>
      <c r="E1389" t="s">
        <v>3164</v>
      </c>
      <c r="F1389" s="117" t="s">
        <v>3164</v>
      </c>
      <c r="G1389" s="72" t="s">
        <v>400</v>
      </c>
      <c r="H1389" s="69" t="str">
        <f>IF(Proc[[#This Row],[type]]="LFF (MDG-F)",MID(Proc[[#This Row],[Obj]],13,10),"")</f>
        <v/>
      </c>
      <c r="J1389" s="69" t="b">
        <f>Proc[[#This Row],[Requested]]=Proc[[#This Row],[CurrentParent]]</f>
        <v>1</v>
      </c>
      <c r="K1389" s="144" t="str">
        <f>IF(Proc[[#This Row],[Author]]="Marcela Urrego",VLOOKUP(LEFT(Proc[[#This Row],[Requested]],1),Table3[#All],2,0),VLOOKUP(Proc[[#This Row],[Author]],Table4[],2,0))</f>
        <v>LS</v>
      </c>
      <c r="L1389" s="69" t="s">
        <v>2563</v>
      </c>
      <c r="M1389" s="79">
        <v>45790.144409722219</v>
      </c>
      <c r="N1389" s="83">
        <v>45791</v>
      </c>
      <c r="O1389" s="83">
        <v>45791</v>
      </c>
      <c r="P1389" s="80" t="str">
        <f ca="1">IF(Proc[[#This Row],[DaysAgeing]]&gt;5,"yep","on track")</f>
        <v>on track</v>
      </c>
      <c r="Q1389" s="3">
        <f ca="1">IF(Proc[[#This Row],[DateClosed]]="",ABS(NETWORKDAYS(Proc[[#This Row],[DateOpened]],TODAY()))-1,ABS(NETWORKDAYS(Proc[[#This Row],[DateOpened]],Proc[[#This Row],[DateClosed]]))-1)</f>
        <v>1</v>
      </c>
      <c r="R1389" s="80" t="s">
        <v>489</v>
      </c>
      <c r="S1389" s="69"/>
    </row>
    <row r="1390" spans="1:19" hidden="1">
      <c r="A1390" s="72" t="s">
        <v>3085</v>
      </c>
      <c r="B1390" s="149" t="str">
        <f>IFERROR(VLOOKUP(Proc[[#This Row],[App]],Table2[],3,0),"open")</f>
        <v>ok</v>
      </c>
      <c r="C1390" s="72" t="s">
        <v>369</v>
      </c>
      <c r="D1390" t="s">
        <v>3123</v>
      </c>
      <c r="E1390" t="s">
        <v>3171</v>
      </c>
      <c r="F1390" s="117" t="s">
        <v>3171</v>
      </c>
      <c r="G1390" s="72" t="s">
        <v>400</v>
      </c>
      <c r="H1390" s="69" t="str">
        <f>IF(Proc[[#This Row],[type]]="LFF (MDG-F)",MID(Proc[[#This Row],[Obj]],13,10),"")</f>
        <v/>
      </c>
      <c r="J1390" s="69" t="b">
        <f>Proc[[#This Row],[Requested]]=Proc[[#This Row],[CurrentParent]]</f>
        <v>1</v>
      </c>
      <c r="K1390" s="144" t="str">
        <f>IF(Proc[[#This Row],[Author]]="Marcela Urrego",VLOOKUP(LEFT(Proc[[#This Row],[Requested]],1),Table3[#All],2,0),VLOOKUP(Proc[[#This Row],[Author]],Table4[],2,0))</f>
        <v>LS</v>
      </c>
      <c r="L1390" s="69" t="s">
        <v>2563</v>
      </c>
      <c r="M1390" s="79">
        <v>45790.144409722219</v>
      </c>
      <c r="N1390" s="83">
        <v>45791</v>
      </c>
      <c r="O1390" s="83">
        <v>45791</v>
      </c>
      <c r="P1390" s="80" t="str">
        <f ca="1">IF(Proc[[#This Row],[DaysAgeing]]&gt;5,"yep","on track")</f>
        <v>on track</v>
      </c>
      <c r="Q1390" s="3">
        <f ca="1">IF(Proc[[#This Row],[DateClosed]]="",ABS(NETWORKDAYS(Proc[[#This Row],[DateOpened]],TODAY()))-1,ABS(NETWORKDAYS(Proc[[#This Row],[DateOpened]],Proc[[#This Row],[DateClosed]]))-1)</f>
        <v>1</v>
      </c>
      <c r="R1390" s="80" t="s">
        <v>489</v>
      </c>
      <c r="S1390" s="69"/>
    </row>
    <row r="1391" spans="1:19" hidden="1">
      <c r="A1391" s="72" t="s">
        <v>3085</v>
      </c>
      <c r="B1391" s="149" t="str">
        <f>IFERROR(VLOOKUP(Proc[[#This Row],[App]],Table2[],3,0),"open")</f>
        <v>ok</v>
      </c>
      <c r="C1391" s="72" t="s">
        <v>369</v>
      </c>
      <c r="D1391" t="s">
        <v>3124</v>
      </c>
      <c r="E1391" t="s">
        <v>3173</v>
      </c>
      <c r="F1391" s="117" t="s">
        <v>3173</v>
      </c>
      <c r="G1391" s="72" t="s">
        <v>400</v>
      </c>
      <c r="H1391" s="69" t="str">
        <f>IF(Proc[[#This Row],[type]]="LFF (MDG-F)",MID(Proc[[#This Row],[Obj]],13,10),"")</f>
        <v/>
      </c>
      <c r="J1391" s="69" t="b">
        <f>Proc[[#This Row],[Requested]]=Proc[[#This Row],[CurrentParent]]</f>
        <v>1</v>
      </c>
      <c r="K1391" s="144" t="str">
        <f>IF(Proc[[#This Row],[Author]]="Marcela Urrego",VLOOKUP(LEFT(Proc[[#This Row],[Requested]],1),Table3[#All],2,0),VLOOKUP(Proc[[#This Row],[Author]],Table4[],2,0))</f>
        <v>LS</v>
      </c>
      <c r="L1391" s="69" t="s">
        <v>2563</v>
      </c>
      <c r="M1391" s="79">
        <v>45790.144409722219</v>
      </c>
      <c r="N1391" s="83">
        <v>45791</v>
      </c>
      <c r="O1391" s="83">
        <v>45791</v>
      </c>
      <c r="P1391" s="80" t="str">
        <f ca="1">IF(Proc[[#This Row],[DaysAgeing]]&gt;5,"yep","on track")</f>
        <v>on track</v>
      </c>
      <c r="Q1391" s="3">
        <f ca="1">IF(Proc[[#This Row],[DateClosed]]="",ABS(NETWORKDAYS(Proc[[#This Row],[DateOpened]],TODAY()))-1,ABS(NETWORKDAYS(Proc[[#This Row],[DateOpened]],Proc[[#This Row],[DateClosed]]))-1)</f>
        <v>1</v>
      </c>
      <c r="R1391" s="80" t="s">
        <v>489</v>
      </c>
      <c r="S1391" s="69"/>
    </row>
    <row r="1392" spans="1:19" hidden="1">
      <c r="A1392" s="72" t="s">
        <v>3085</v>
      </c>
      <c r="B1392" s="149" t="str">
        <f>IFERROR(VLOOKUP(Proc[[#This Row],[App]],Table2[],3,0),"open")</f>
        <v>ok</v>
      </c>
      <c r="C1392" s="72" t="s">
        <v>369</v>
      </c>
      <c r="D1392" t="s">
        <v>3125</v>
      </c>
      <c r="E1392" t="s">
        <v>3174</v>
      </c>
      <c r="F1392" s="117" t="s">
        <v>3174</v>
      </c>
      <c r="G1392" s="72" t="s">
        <v>400</v>
      </c>
      <c r="H1392" s="69" t="str">
        <f>IF(Proc[[#This Row],[type]]="LFF (MDG-F)",MID(Proc[[#This Row],[Obj]],13,10),"")</f>
        <v/>
      </c>
      <c r="J1392" s="69" t="b">
        <f>Proc[[#This Row],[Requested]]=Proc[[#This Row],[CurrentParent]]</f>
        <v>1</v>
      </c>
      <c r="K1392" s="144" t="str">
        <f>IF(Proc[[#This Row],[Author]]="Marcela Urrego",VLOOKUP(LEFT(Proc[[#This Row],[Requested]],1),Table3[#All],2,0),VLOOKUP(Proc[[#This Row],[Author]],Table4[],2,0))</f>
        <v>LS</v>
      </c>
      <c r="L1392" s="69" t="s">
        <v>2563</v>
      </c>
      <c r="M1392" s="79">
        <v>45790.144409722219</v>
      </c>
      <c r="N1392" s="83">
        <v>45791</v>
      </c>
      <c r="O1392" s="83">
        <v>45791</v>
      </c>
      <c r="P1392" s="80" t="str">
        <f ca="1">IF(Proc[[#This Row],[DaysAgeing]]&gt;5,"yep","on track")</f>
        <v>on track</v>
      </c>
      <c r="Q1392" s="3">
        <f ca="1">IF(Proc[[#This Row],[DateClosed]]="",ABS(NETWORKDAYS(Proc[[#This Row],[DateOpened]],TODAY()))-1,ABS(NETWORKDAYS(Proc[[#This Row],[DateOpened]],Proc[[#This Row],[DateClosed]]))-1)</f>
        <v>1</v>
      </c>
      <c r="R1392" s="80" t="s">
        <v>489</v>
      </c>
      <c r="S1392" s="69"/>
    </row>
    <row r="1393" spans="1:19" hidden="1">
      <c r="A1393" s="72" t="s">
        <v>3085</v>
      </c>
      <c r="B1393" s="149" t="str">
        <f>IFERROR(VLOOKUP(Proc[[#This Row],[App]],Table2[],3,0),"open")</f>
        <v>ok</v>
      </c>
      <c r="C1393" s="72" t="s">
        <v>369</v>
      </c>
      <c r="D1393" t="s">
        <v>3126</v>
      </c>
      <c r="E1393" t="s">
        <v>3167</v>
      </c>
      <c r="F1393" s="117" t="s">
        <v>3167</v>
      </c>
      <c r="G1393" s="72" t="s">
        <v>400</v>
      </c>
      <c r="H1393" s="69" t="str">
        <f>IF(Proc[[#This Row],[type]]="LFF (MDG-F)",MID(Proc[[#This Row],[Obj]],13,10),"")</f>
        <v/>
      </c>
      <c r="J1393" s="69" t="b">
        <f>Proc[[#This Row],[Requested]]=Proc[[#This Row],[CurrentParent]]</f>
        <v>1</v>
      </c>
      <c r="K1393" s="144" t="str">
        <f>IF(Proc[[#This Row],[Author]]="Marcela Urrego",VLOOKUP(LEFT(Proc[[#This Row],[Requested]],1),Table3[#All],2,0),VLOOKUP(Proc[[#This Row],[Author]],Table4[],2,0))</f>
        <v>LS</v>
      </c>
      <c r="L1393" s="69" t="s">
        <v>2563</v>
      </c>
      <c r="M1393" s="79">
        <v>45790.144409722219</v>
      </c>
      <c r="N1393" s="83">
        <v>45791</v>
      </c>
      <c r="O1393" s="83">
        <v>45791</v>
      </c>
      <c r="P1393" s="80" t="str">
        <f ca="1">IF(Proc[[#This Row],[DaysAgeing]]&gt;5,"yep","on track")</f>
        <v>on track</v>
      </c>
      <c r="Q1393" s="3">
        <f ca="1">IF(Proc[[#This Row],[DateClosed]]="",ABS(NETWORKDAYS(Proc[[#This Row],[DateOpened]],TODAY()))-1,ABS(NETWORKDAYS(Proc[[#This Row],[DateOpened]],Proc[[#This Row],[DateClosed]]))-1)</f>
        <v>1</v>
      </c>
      <c r="R1393" s="80" t="s">
        <v>489</v>
      </c>
      <c r="S1393" s="69"/>
    </row>
    <row r="1394" spans="1:19" hidden="1">
      <c r="A1394" s="72" t="s">
        <v>3085</v>
      </c>
      <c r="B1394" s="149" t="str">
        <f>IFERROR(VLOOKUP(Proc[[#This Row],[App]],Table2[],3,0),"open")</f>
        <v>ok</v>
      </c>
      <c r="C1394" s="72" t="s">
        <v>369</v>
      </c>
      <c r="D1394" t="s">
        <v>3127</v>
      </c>
      <c r="E1394" t="s">
        <v>3171</v>
      </c>
      <c r="F1394" s="117" t="s">
        <v>3171</v>
      </c>
      <c r="G1394" s="72" t="s">
        <v>400</v>
      </c>
      <c r="H1394" s="69" t="str">
        <f>IF(Proc[[#This Row],[type]]="LFF (MDG-F)",MID(Proc[[#This Row],[Obj]],13,10),"")</f>
        <v/>
      </c>
      <c r="J1394" s="69" t="b">
        <f>Proc[[#This Row],[Requested]]=Proc[[#This Row],[CurrentParent]]</f>
        <v>1</v>
      </c>
      <c r="K1394" s="144" t="str">
        <f>IF(Proc[[#This Row],[Author]]="Marcela Urrego",VLOOKUP(LEFT(Proc[[#This Row],[Requested]],1),Table3[#All],2,0),VLOOKUP(Proc[[#This Row],[Author]],Table4[],2,0))</f>
        <v>LS</v>
      </c>
      <c r="L1394" s="69" t="s">
        <v>2563</v>
      </c>
      <c r="M1394" s="79">
        <v>45790.144409722219</v>
      </c>
      <c r="N1394" s="83">
        <v>45791</v>
      </c>
      <c r="O1394" s="83">
        <v>45791</v>
      </c>
      <c r="P1394" s="80" t="str">
        <f ca="1">IF(Proc[[#This Row],[DaysAgeing]]&gt;5,"yep","on track")</f>
        <v>on track</v>
      </c>
      <c r="Q1394" s="3">
        <f ca="1">IF(Proc[[#This Row],[DateClosed]]="",ABS(NETWORKDAYS(Proc[[#This Row],[DateOpened]],TODAY()))-1,ABS(NETWORKDAYS(Proc[[#This Row],[DateOpened]],Proc[[#This Row],[DateClosed]]))-1)</f>
        <v>1</v>
      </c>
      <c r="R1394" s="80" t="s">
        <v>489</v>
      </c>
      <c r="S1394" s="69"/>
    </row>
    <row r="1395" spans="1:19" hidden="1">
      <c r="A1395" s="72" t="s">
        <v>3085</v>
      </c>
      <c r="B1395" s="149" t="str">
        <f>IFERROR(VLOOKUP(Proc[[#This Row],[App]],Table2[],3,0),"open")</f>
        <v>ok</v>
      </c>
      <c r="C1395" s="72" t="s">
        <v>369</v>
      </c>
      <c r="D1395" t="s">
        <v>3128</v>
      </c>
      <c r="E1395" t="s">
        <v>3166</v>
      </c>
      <c r="F1395" s="117" t="s">
        <v>3166</v>
      </c>
      <c r="G1395" s="72" t="s">
        <v>400</v>
      </c>
      <c r="H1395" s="69" t="str">
        <f>IF(Proc[[#This Row],[type]]="LFF (MDG-F)",MID(Proc[[#This Row],[Obj]],13,10),"")</f>
        <v/>
      </c>
      <c r="J1395" s="69" t="b">
        <f>Proc[[#This Row],[Requested]]=Proc[[#This Row],[CurrentParent]]</f>
        <v>1</v>
      </c>
      <c r="K1395" s="144" t="str">
        <f>IF(Proc[[#This Row],[Author]]="Marcela Urrego",VLOOKUP(LEFT(Proc[[#This Row],[Requested]],1),Table3[#All],2,0),VLOOKUP(Proc[[#This Row],[Author]],Table4[],2,0))</f>
        <v>LS</v>
      </c>
      <c r="L1395" s="69" t="s">
        <v>2563</v>
      </c>
      <c r="M1395" s="79">
        <v>45790.144409722219</v>
      </c>
      <c r="N1395" s="83">
        <v>45791</v>
      </c>
      <c r="O1395" s="83">
        <v>45791</v>
      </c>
      <c r="P1395" s="80" t="str">
        <f ca="1">IF(Proc[[#This Row],[DaysAgeing]]&gt;5,"yep","on track")</f>
        <v>on track</v>
      </c>
      <c r="Q1395" s="3">
        <f ca="1">IF(Proc[[#This Row],[DateClosed]]="",ABS(NETWORKDAYS(Proc[[#This Row],[DateOpened]],TODAY()))-1,ABS(NETWORKDAYS(Proc[[#This Row],[DateOpened]],Proc[[#This Row],[DateClosed]]))-1)</f>
        <v>1</v>
      </c>
      <c r="R1395" s="80" t="s">
        <v>489</v>
      </c>
      <c r="S1395" s="69"/>
    </row>
    <row r="1396" spans="1:19" hidden="1">
      <c r="A1396" s="72" t="s">
        <v>3085</v>
      </c>
      <c r="B1396" s="149" t="str">
        <f>IFERROR(VLOOKUP(Proc[[#This Row],[App]],Table2[],3,0),"open")</f>
        <v>ok</v>
      </c>
      <c r="C1396" s="72" t="s">
        <v>369</v>
      </c>
      <c r="D1396" t="s">
        <v>3129</v>
      </c>
      <c r="E1396" t="s">
        <v>3175</v>
      </c>
      <c r="F1396" s="117" t="s">
        <v>3175</v>
      </c>
      <c r="G1396" s="72" t="s">
        <v>400</v>
      </c>
      <c r="H1396" s="69" t="str">
        <f>IF(Proc[[#This Row],[type]]="LFF (MDG-F)",MID(Proc[[#This Row],[Obj]],13,10),"")</f>
        <v/>
      </c>
      <c r="J1396" s="69" t="b">
        <f>Proc[[#This Row],[Requested]]=Proc[[#This Row],[CurrentParent]]</f>
        <v>1</v>
      </c>
      <c r="K1396" s="144" t="str">
        <f>IF(Proc[[#This Row],[Author]]="Marcela Urrego",VLOOKUP(LEFT(Proc[[#This Row],[Requested]],1),Table3[#All],2,0),VLOOKUP(Proc[[#This Row],[Author]],Table4[],2,0))</f>
        <v>LS</v>
      </c>
      <c r="L1396" s="69" t="s">
        <v>2563</v>
      </c>
      <c r="M1396" s="79">
        <v>45790.144409722219</v>
      </c>
      <c r="N1396" s="83">
        <v>45791</v>
      </c>
      <c r="O1396" s="83">
        <v>45791</v>
      </c>
      <c r="P1396" s="80" t="str">
        <f ca="1">IF(Proc[[#This Row],[DaysAgeing]]&gt;5,"yep","on track")</f>
        <v>on track</v>
      </c>
      <c r="Q1396" s="3">
        <f ca="1">IF(Proc[[#This Row],[DateClosed]]="",ABS(NETWORKDAYS(Proc[[#This Row],[DateOpened]],TODAY()))-1,ABS(NETWORKDAYS(Proc[[#This Row],[DateOpened]],Proc[[#This Row],[DateClosed]]))-1)</f>
        <v>1</v>
      </c>
      <c r="R1396" s="80" t="s">
        <v>489</v>
      </c>
      <c r="S1396" s="69"/>
    </row>
    <row r="1397" spans="1:19" hidden="1">
      <c r="A1397" s="72" t="s">
        <v>3085</v>
      </c>
      <c r="B1397" s="149" t="str">
        <f>IFERROR(VLOOKUP(Proc[[#This Row],[App]],Table2[],3,0),"open")</f>
        <v>ok</v>
      </c>
      <c r="C1397" s="72" t="s">
        <v>369</v>
      </c>
      <c r="D1397" t="s">
        <v>3130</v>
      </c>
      <c r="E1397" t="s">
        <v>3167</v>
      </c>
      <c r="F1397" s="117" t="s">
        <v>3167</v>
      </c>
      <c r="G1397" s="72" t="s">
        <v>400</v>
      </c>
      <c r="H1397" s="69" t="str">
        <f>IF(Proc[[#This Row],[type]]="LFF (MDG-F)",MID(Proc[[#This Row],[Obj]],13,10),"")</f>
        <v/>
      </c>
      <c r="J1397" s="69" t="b">
        <f>Proc[[#This Row],[Requested]]=Proc[[#This Row],[CurrentParent]]</f>
        <v>1</v>
      </c>
      <c r="K1397" s="144" t="str">
        <f>IF(Proc[[#This Row],[Author]]="Marcela Urrego",VLOOKUP(LEFT(Proc[[#This Row],[Requested]],1),Table3[#All],2,0),VLOOKUP(Proc[[#This Row],[Author]],Table4[],2,0))</f>
        <v>LS</v>
      </c>
      <c r="L1397" s="69" t="s">
        <v>2563</v>
      </c>
      <c r="M1397" s="79">
        <v>45790.144409722219</v>
      </c>
      <c r="N1397" s="83">
        <v>45791</v>
      </c>
      <c r="O1397" s="83">
        <v>45791</v>
      </c>
      <c r="P1397" s="80" t="str">
        <f ca="1">IF(Proc[[#This Row],[DaysAgeing]]&gt;5,"yep","on track")</f>
        <v>on track</v>
      </c>
      <c r="Q1397" s="3">
        <f ca="1">IF(Proc[[#This Row],[DateClosed]]="",ABS(NETWORKDAYS(Proc[[#This Row],[DateOpened]],TODAY()))-1,ABS(NETWORKDAYS(Proc[[#This Row],[DateOpened]],Proc[[#This Row],[DateClosed]]))-1)</f>
        <v>1</v>
      </c>
      <c r="R1397" s="80" t="s">
        <v>489</v>
      </c>
      <c r="S1397" s="69"/>
    </row>
    <row r="1398" spans="1:19" hidden="1">
      <c r="A1398" s="72" t="s">
        <v>3085</v>
      </c>
      <c r="B1398" s="149" t="str">
        <f>IFERROR(VLOOKUP(Proc[[#This Row],[App]],Table2[],3,0),"open")</f>
        <v>ok</v>
      </c>
      <c r="C1398" s="72" t="s">
        <v>369</v>
      </c>
      <c r="D1398" t="s">
        <v>3131</v>
      </c>
      <c r="E1398" t="s">
        <v>3165</v>
      </c>
      <c r="F1398" s="117" t="s">
        <v>3165</v>
      </c>
      <c r="G1398" s="72" t="s">
        <v>400</v>
      </c>
      <c r="H1398" s="69" t="str">
        <f>IF(Proc[[#This Row],[type]]="LFF (MDG-F)",MID(Proc[[#This Row],[Obj]],13,10),"")</f>
        <v/>
      </c>
      <c r="J1398" s="69" t="b">
        <f>Proc[[#This Row],[Requested]]=Proc[[#This Row],[CurrentParent]]</f>
        <v>1</v>
      </c>
      <c r="K1398" s="144" t="str">
        <f>IF(Proc[[#This Row],[Author]]="Marcela Urrego",VLOOKUP(LEFT(Proc[[#This Row],[Requested]],1),Table3[#All],2,0),VLOOKUP(Proc[[#This Row],[Author]],Table4[],2,0))</f>
        <v>LS</v>
      </c>
      <c r="L1398" s="69" t="s">
        <v>2563</v>
      </c>
      <c r="M1398" s="79">
        <v>45790.144409722219</v>
      </c>
      <c r="N1398" s="83">
        <v>45791</v>
      </c>
      <c r="O1398" s="83">
        <v>45791</v>
      </c>
      <c r="P1398" s="80" t="str">
        <f ca="1">IF(Proc[[#This Row],[DaysAgeing]]&gt;5,"yep","on track")</f>
        <v>on track</v>
      </c>
      <c r="Q1398" s="3">
        <f ca="1">IF(Proc[[#This Row],[DateClosed]]="",ABS(NETWORKDAYS(Proc[[#This Row],[DateOpened]],TODAY()))-1,ABS(NETWORKDAYS(Proc[[#This Row],[DateOpened]],Proc[[#This Row],[DateClosed]]))-1)</f>
        <v>1</v>
      </c>
      <c r="R1398" s="80" t="s">
        <v>489</v>
      </c>
      <c r="S1398" s="69"/>
    </row>
    <row r="1399" spans="1:19" hidden="1">
      <c r="A1399" s="72" t="s">
        <v>3085</v>
      </c>
      <c r="B1399" s="149" t="str">
        <f>IFERROR(VLOOKUP(Proc[[#This Row],[App]],Table2[],3,0),"open")</f>
        <v>ok</v>
      </c>
      <c r="C1399" s="72" t="s">
        <v>369</v>
      </c>
      <c r="D1399" t="s">
        <v>3132</v>
      </c>
      <c r="E1399" t="s">
        <v>3176</v>
      </c>
      <c r="F1399" s="117" t="s">
        <v>3176</v>
      </c>
      <c r="G1399" s="72" t="s">
        <v>400</v>
      </c>
      <c r="H1399" s="69" t="str">
        <f>IF(Proc[[#This Row],[type]]="LFF (MDG-F)",MID(Proc[[#This Row],[Obj]],13,10),"")</f>
        <v/>
      </c>
      <c r="J1399" s="69" t="b">
        <f>Proc[[#This Row],[Requested]]=Proc[[#This Row],[CurrentParent]]</f>
        <v>1</v>
      </c>
      <c r="K1399" s="144" t="str">
        <f>IF(Proc[[#This Row],[Author]]="Marcela Urrego",VLOOKUP(LEFT(Proc[[#This Row],[Requested]],1),Table3[#All],2,0),VLOOKUP(Proc[[#This Row],[Author]],Table4[],2,0))</f>
        <v>LS</v>
      </c>
      <c r="L1399" s="69" t="s">
        <v>2563</v>
      </c>
      <c r="M1399" s="79">
        <v>45790.144409722219</v>
      </c>
      <c r="N1399" s="83">
        <v>45791</v>
      </c>
      <c r="O1399" s="83">
        <v>45791</v>
      </c>
      <c r="P1399" s="80" t="str">
        <f ca="1">IF(Proc[[#This Row],[DaysAgeing]]&gt;5,"yep","on track")</f>
        <v>on track</v>
      </c>
      <c r="Q1399" s="3">
        <f ca="1">IF(Proc[[#This Row],[DateClosed]]="",ABS(NETWORKDAYS(Proc[[#This Row],[DateOpened]],TODAY()))-1,ABS(NETWORKDAYS(Proc[[#This Row],[DateOpened]],Proc[[#This Row],[DateClosed]]))-1)</f>
        <v>1</v>
      </c>
      <c r="R1399" s="80" t="s">
        <v>489</v>
      </c>
      <c r="S1399" s="69"/>
    </row>
    <row r="1400" spans="1:19" hidden="1">
      <c r="A1400" s="72" t="s">
        <v>3085</v>
      </c>
      <c r="B1400" s="149" t="str">
        <f>IFERROR(VLOOKUP(Proc[[#This Row],[App]],Table2[],3,0),"open")</f>
        <v>ok</v>
      </c>
      <c r="C1400" s="72" t="s">
        <v>369</v>
      </c>
      <c r="D1400" t="s">
        <v>3133</v>
      </c>
      <c r="E1400" t="s">
        <v>3170</v>
      </c>
      <c r="F1400" s="117" t="s">
        <v>3170</v>
      </c>
      <c r="G1400" s="72" t="s">
        <v>400</v>
      </c>
      <c r="H1400" s="69" t="str">
        <f>IF(Proc[[#This Row],[type]]="LFF (MDG-F)",MID(Proc[[#This Row],[Obj]],13,10),"")</f>
        <v/>
      </c>
      <c r="J1400" s="69" t="b">
        <f>Proc[[#This Row],[Requested]]=Proc[[#This Row],[CurrentParent]]</f>
        <v>1</v>
      </c>
      <c r="K1400" s="144" t="str">
        <f>IF(Proc[[#This Row],[Author]]="Marcela Urrego",VLOOKUP(LEFT(Proc[[#This Row],[Requested]],1),Table3[#All],2,0),VLOOKUP(Proc[[#This Row],[Author]],Table4[],2,0))</f>
        <v>LS</v>
      </c>
      <c r="L1400" s="69" t="s">
        <v>2563</v>
      </c>
      <c r="M1400" s="79">
        <v>45790.144409722219</v>
      </c>
      <c r="N1400" s="83">
        <v>45791</v>
      </c>
      <c r="O1400" s="83">
        <v>45791</v>
      </c>
      <c r="P1400" s="80" t="str">
        <f ca="1">IF(Proc[[#This Row],[DaysAgeing]]&gt;5,"yep","on track")</f>
        <v>on track</v>
      </c>
      <c r="Q1400" s="3">
        <f ca="1">IF(Proc[[#This Row],[DateClosed]]="",ABS(NETWORKDAYS(Proc[[#This Row],[DateOpened]],TODAY()))-1,ABS(NETWORKDAYS(Proc[[#This Row],[DateOpened]],Proc[[#This Row],[DateClosed]]))-1)</f>
        <v>1</v>
      </c>
      <c r="R1400" s="80" t="s">
        <v>489</v>
      </c>
      <c r="S1400" s="69"/>
    </row>
    <row r="1401" spans="1:19" hidden="1">
      <c r="A1401" s="72" t="s">
        <v>3085</v>
      </c>
      <c r="B1401" s="149" t="str">
        <f>IFERROR(VLOOKUP(Proc[[#This Row],[App]],Table2[],3,0),"open")</f>
        <v>ok</v>
      </c>
      <c r="C1401" s="72" t="s">
        <v>369</v>
      </c>
      <c r="D1401" t="s">
        <v>3134</v>
      </c>
      <c r="E1401" t="s">
        <v>3176</v>
      </c>
      <c r="F1401" s="117" t="s">
        <v>3176</v>
      </c>
      <c r="G1401" s="72" t="s">
        <v>400</v>
      </c>
      <c r="H1401" s="69" t="str">
        <f>IF(Proc[[#This Row],[type]]="LFF (MDG-F)",MID(Proc[[#This Row],[Obj]],13,10),"")</f>
        <v/>
      </c>
      <c r="J1401" s="69" t="b">
        <f>Proc[[#This Row],[Requested]]=Proc[[#This Row],[CurrentParent]]</f>
        <v>1</v>
      </c>
      <c r="K1401" s="144" t="str">
        <f>IF(Proc[[#This Row],[Author]]="Marcela Urrego",VLOOKUP(LEFT(Proc[[#This Row],[Requested]],1),Table3[#All],2,0),VLOOKUP(Proc[[#This Row],[Author]],Table4[],2,0))</f>
        <v>LS</v>
      </c>
      <c r="L1401" s="69" t="s">
        <v>2563</v>
      </c>
      <c r="M1401" s="79">
        <v>45790.144409722219</v>
      </c>
      <c r="N1401" s="83">
        <v>45791</v>
      </c>
      <c r="O1401" s="83">
        <v>45791</v>
      </c>
      <c r="P1401" s="80" t="str">
        <f ca="1">IF(Proc[[#This Row],[DaysAgeing]]&gt;5,"yep","on track")</f>
        <v>on track</v>
      </c>
      <c r="Q1401" s="3">
        <f ca="1">IF(Proc[[#This Row],[DateClosed]]="",ABS(NETWORKDAYS(Proc[[#This Row],[DateOpened]],TODAY()))-1,ABS(NETWORKDAYS(Proc[[#This Row],[DateOpened]],Proc[[#This Row],[DateClosed]]))-1)</f>
        <v>1</v>
      </c>
      <c r="R1401" s="80" t="s">
        <v>489</v>
      </c>
      <c r="S1401" s="69"/>
    </row>
    <row r="1402" spans="1:19" hidden="1">
      <c r="A1402" s="72" t="s">
        <v>3085</v>
      </c>
      <c r="B1402" s="149" t="str">
        <f>IFERROR(VLOOKUP(Proc[[#This Row],[App]],Table2[],3,0),"open")</f>
        <v>ok</v>
      </c>
      <c r="C1402" s="72" t="s">
        <v>369</v>
      </c>
      <c r="D1402" t="s">
        <v>3135</v>
      </c>
      <c r="E1402" t="s">
        <v>3169</v>
      </c>
      <c r="F1402" s="117" t="s">
        <v>3169</v>
      </c>
      <c r="G1402" s="72" t="s">
        <v>400</v>
      </c>
      <c r="H1402" s="69" t="str">
        <f>IF(Proc[[#This Row],[type]]="LFF (MDG-F)",MID(Proc[[#This Row],[Obj]],13,10),"")</f>
        <v/>
      </c>
      <c r="J1402" s="69" t="b">
        <f>Proc[[#This Row],[Requested]]=Proc[[#This Row],[CurrentParent]]</f>
        <v>1</v>
      </c>
      <c r="K1402" s="144" t="str">
        <f>IF(Proc[[#This Row],[Author]]="Marcela Urrego",VLOOKUP(LEFT(Proc[[#This Row],[Requested]],1),Table3[#All],2,0),VLOOKUP(Proc[[#This Row],[Author]],Table4[],2,0))</f>
        <v>LS</v>
      </c>
      <c r="L1402" s="69" t="s">
        <v>2563</v>
      </c>
      <c r="M1402" s="79">
        <v>45790.144409722219</v>
      </c>
      <c r="N1402" s="83">
        <v>45791</v>
      </c>
      <c r="O1402" s="83">
        <v>45791</v>
      </c>
      <c r="P1402" s="80" t="str">
        <f ca="1">IF(Proc[[#This Row],[DaysAgeing]]&gt;5,"yep","on track")</f>
        <v>on track</v>
      </c>
      <c r="Q1402" s="3">
        <f ca="1">IF(Proc[[#This Row],[DateClosed]]="",ABS(NETWORKDAYS(Proc[[#This Row],[DateOpened]],TODAY()))-1,ABS(NETWORKDAYS(Proc[[#This Row],[DateOpened]],Proc[[#This Row],[DateClosed]]))-1)</f>
        <v>1</v>
      </c>
      <c r="R1402" s="80" t="s">
        <v>489</v>
      </c>
      <c r="S1402" s="69"/>
    </row>
    <row r="1403" spans="1:19" hidden="1">
      <c r="A1403" s="72" t="s">
        <v>3085</v>
      </c>
      <c r="B1403" s="149" t="str">
        <f>IFERROR(VLOOKUP(Proc[[#This Row],[App]],Table2[],3,0),"open")</f>
        <v>ok</v>
      </c>
      <c r="C1403" s="72" t="s">
        <v>369</v>
      </c>
      <c r="D1403" t="s">
        <v>3136</v>
      </c>
      <c r="E1403" t="s">
        <v>3170</v>
      </c>
      <c r="F1403" s="117" t="s">
        <v>3170</v>
      </c>
      <c r="G1403" s="72" t="s">
        <v>400</v>
      </c>
      <c r="H1403" s="69" t="str">
        <f>IF(Proc[[#This Row],[type]]="LFF (MDG-F)",MID(Proc[[#This Row],[Obj]],13,10),"")</f>
        <v/>
      </c>
      <c r="J1403" s="69" t="b">
        <f>Proc[[#This Row],[Requested]]=Proc[[#This Row],[CurrentParent]]</f>
        <v>1</v>
      </c>
      <c r="K1403" s="144" t="str">
        <f>IF(Proc[[#This Row],[Author]]="Marcela Urrego",VLOOKUP(LEFT(Proc[[#This Row],[Requested]],1),Table3[#All],2,0),VLOOKUP(Proc[[#This Row],[Author]],Table4[],2,0))</f>
        <v>LS</v>
      </c>
      <c r="L1403" s="69" t="s">
        <v>2563</v>
      </c>
      <c r="M1403" s="79">
        <v>45790.144409722219</v>
      </c>
      <c r="N1403" s="83">
        <v>45791</v>
      </c>
      <c r="O1403" s="83">
        <v>45791</v>
      </c>
      <c r="P1403" s="80" t="str">
        <f ca="1">IF(Proc[[#This Row],[DaysAgeing]]&gt;5,"yep","on track")</f>
        <v>on track</v>
      </c>
      <c r="Q1403" s="3">
        <f ca="1">IF(Proc[[#This Row],[DateClosed]]="",ABS(NETWORKDAYS(Proc[[#This Row],[DateOpened]],TODAY()))-1,ABS(NETWORKDAYS(Proc[[#This Row],[DateOpened]],Proc[[#This Row],[DateClosed]]))-1)</f>
        <v>1</v>
      </c>
      <c r="R1403" s="80" t="s">
        <v>489</v>
      </c>
      <c r="S1403" s="69"/>
    </row>
    <row r="1404" spans="1:19" hidden="1">
      <c r="A1404" s="72" t="s">
        <v>3085</v>
      </c>
      <c r="B1404" s="149" t="str">
        <f>IFERROR(VLOOKUP(Proc[[#This Row],[App]],Table2[],3,0),"open")</f>
        <v>ok</v>
      </c>
      <c r="C1404" s="72" t="s">
        <v>369</v>
      </c>
      <c r="D1404" t="s">
        <v>3137</v>
      </c>
      <c r="E1404" t="s">
        <v>3169</v>
      </c>
      <c r="F1404" s="117" t="s">
        <v>3169</v>
      </c>
      <c r="G1404" s="72" t="s">
        <v>400</v>
      </c>
      <c r="H1404" s="69" t="str">
        <f>IF(Proc[[#This Row],[type]]="LFF (MDG-F)",MID(Proc[[#This Row],[Obj]],13,10),"")</f>
        <v/>
      </c>
      <c r="J1404" s="69" t="b">
        <f>Proc[[#This Row],[Requested]]=Proc[[#This Row],[CurrentParent]]</f>
        <v>1</v>
      </c>
      <c r="K1404" s="144" t="str">
        <f>IF(Proc[[#This Row],[Author]]="Marcela Urrego",VLOOKUP(LEFT(Proc[[#This Row],[Requested]],1),Table3[#All],2,0),VLOOKUP(Proc[[#This Row],[Author]],Table4[],2,0))</f>
        <v>LS</v>
      </c>
      <c r="L1404" s="69" t="s">
        <v>2563</v>
      </c>
      <c r="M1404" s="79">
        <v>45790.144409722219</v>
      </c>
      <c r="N1404" s="83">
        <v>45791</v>
      </c>
      <c r="O1404" s="83">
        <v>45791</v>
      </c>
      <c r="P1404" s="80" t="str">
        <f ca="1">IF(Proc[[#This Row],[DaysAgeing]]&gt;5,"yep","on track")</f>
        <v>on track</v>
      </c>
      <c r="Q1404" s="3">
        <f ca="1">IF(Proc[[#This Row],[DateClosed]]="",ABS(NETWORKDAYS(Proc[[#This Row],[DateOpened]],TODAY()))-1,ABS(NETWORKDAYS(Proc[[#This Row],[DateOpened]],Proc[[#This Row],[DateClosed]]))-1)</f>
        <v>1</v>
      </c>
      <c r="R1404" s="80" t="s">
        <v>489</v>
      </c>
      <c r="S1404" s="69"/>
    </row>
    <row r="1405" spans="1:19" hidden="1">
      <c r="A1405" s="72" t="s">
        <v>3085</v>
      </c>
      <c r="B1405" s="149" t="str">
        <f>IFERROR(VLOOKUP(Proc[[#This Row],[App]],Table2[],3,0),"open")</f>
        <v>ok</v>
      </c>
      <c r="C1405" s="72" t="s">
        <v>369</v>
      </c>
      <c r="D1405" t="s">
        <v>3138</v>
      </c>
      <c r="E1405" t="s">
        <v>3166</v>
      </c>
      <c r="F1405" s="117" t="s">
        <v>3166</v>
      </c>
      <c r="G1405" s="72" t="s">
        <v>400</v>
      </c>
      <c r="H1405" s="69" t="str">
        <f>IF(Proc[[#This Row],[type]]="LFF (MDG-F)",MID(Proc[[#This Row],[Obj]],13,10),"")</f>
        <v/>
      </c>
      <c r="J1405" s="69" t="b">
        <f>Proc[[#This Row],[Requested]]=Proc[[#This Row],[CurrentParent]]</f>
        <v>1</v>
      </c>
      <c r="K1405" s="144" t="str">
        <f>IF(Proc[[#This Row],[Author]]="Marcela Urrego",VLOOKUP(LEFT(Proc[[#This Row],[Requested]],1),Table3[#All],2,0),VLOOKUP(Proc[[#This Row],[Author]],Table4[],2,0))</f>
        <v>LS</v>
      </c>
      <c r="L1405" s="69" t="s">
        <v>2563</v>
      </c>
      <c r="M1405" s="79">
        <v>45790.144409722219</v>
      </c>
      <c r="N1405" s="83">
        <v>45791</v>
      </c>
      <c r="O1405" s="83">
        <v>45791</v>
      </c>
      <c r="P1405" s="80" t="str">
        <f ca="1">IF(Proc[[#This Row],[DaysAgeing]]&gt;5,"yep","on track")</f>
        <v>on track</v>
      </c>
      <c r="Q1405" s="3">
        <f ca="1">IF(Proc[[#This Row],[DateClosed]]="",ABS(NETWORKDAYS(Proc[[#This Row],[DateOpened]],TODAY()))-1,ABS(NETWORKDAYS(Proc[[#This Row],[DateOpened]],Proc[[#This Row],[DateClosed]]))-1)</f>
        <v>1</v>
      </c>
      <c r="R1405" s="80" t="s">
        <v>489</v>
      </c>
      <c r="S1405" s="69"/>
    </row>
    <row r="1406" spans="1:19" hidden="1">
      <c r="A1406" s="72" t="s">
        <v>3085</v>
      </c>
      <c r="B1406" s="149" t="str">
        <f>IFERROR(VLOOKUP(Proc[[#This Row],[App]],Table2[],3,0),"open")</f>
        <v>ok</v>
      </c>
      <c r="C1406" s="72" t="s">
        <v>369</v>
      </c>
      <c r="D1406" t="s">
        <v>3139</v>
      </c>
      <c r="E1406" t="s">
        <v>3164</v>
      </c>
      <c r="F1406" s="117" t="s">
        <v>3164</v>
      </c>
      <c r="G1406" s="72" t="s">
        <v>400</v>
      </c>
      <c r="H1406" s="69" t="str">
        <f>IF(Proc[[#This Row],[type]]="LFF (MDG-F)",MID(Proc[[#This Row],[Obj]],13,10),"")</f>
        <v/>
      </c>
      <c r="J1406" s="69" t="b">
        <f>Proc[[#This Row],[Requested]]=Proc[[#This Row],[CurrentParent]]</f>
        <v>1</v>
      </c>
      <c r="K1406" s="144" t="str">
        <f>IF(Proc[[#This Row],[Author]]="Marcela Urrego",VLOOKUP(LEFT(Proc[[#This Row],[Requested]],1),Table3[#All],2,0),VLOOKUP(Proc[[#This Row],[Author]],Table4[],2,0))</f>
        <v>LS</v>
      </c>
      <c r="L1406" s="69" t="s">
        <v>2563</v>
      </c>
      <c r="M1406" s="79">
        <v>45790.144409722219</v>
      </c>
      <c r="N1406" s="83">
        <v>45791</v>
      </c>
      <c r="O1406" s="83">
        <v>45791</v>
      </c>
      <c r="P1406" s="80" t="str">
        <f ca="1">IF(Proc[[#This Row],[DaysAgeing]]&gt;5,"yep","on track")</f>
        <v>on track</v>
      </c>
      <c r="Q1406" s="3">
        <f ca="1">IF(Proc[[#This Row],[DateClosed]]="",ABS(NETWORKDAYS(Proc[[#This Row],[DateOpened]],TODAY()))-1,ABS(NETWORKDAYS(Proc[[#This Row],[DateOpened]],Proc[[#This Row],[DateClosed]]))-1)</f>
        <v>1</v>
      </c>
      <c r="R1406" s="80" t="s">
        <v>489</v>
      </c>
      <c r="S1406" s="69"/>
    </row>
    <row r="1407" spans="1:19" hidden="1">
      <c r="A1407" s="72" t="s">
        <v>3085</v>
      </c>
      <c r="B1407" s="149" t="str">
        <f>IFERROR(VLOOKUP(Proc[[#This Row],[App]],Table2[],3,0),"open")</f>
        <v>ok</v>
      </c>
      <c r="C1407" s="72" t="s">
        <v>369</v>
      </c>
      <c r="D1407" t="s">
        <v>3140</v>
      </c>
      <c r="E1407" t="s">
        <v>3177</v>
      </c>
      <c r="F1407" s="117" t="s">
        <v>3177</v>
      </c>
      <c r="G1407" s="72" t="s">
        <v>400</v>
      </c>
      <c r="H1407" s="69" t="str">
        <f>IF(Proc[[#This Row],[type]]="LFF (MDG-F)",MID(Proc[[#This Row],[Obj]],13,10),"")</f>
        <v/>
      </c>
      <c r="J1407" s="69" t="b">
        <f>Proc[[#This Row],[Requested]]=Proc[[#This Row],[CurrentParent]]</f>
        <v>1</v>
      </c>
      <c r="K1407" s="144" t="str">
        <f>IF(Proc[[#This Row],[Author]]="Marcela Urrego",VLOOKUP(LEFT(Proc[[#This Row],[Requested]],1),Table3[#All],2,0),VLOOKUP(Proc[[#This Row],[Author]],Table4[],2,0))</f>
        <v>LS</v>
      </c>
      <c r="L1407" s="69" t="s">
        <v>2563</v>
      </c>
      <c r="M1407" s="79">
        <v>45790.144409722219</v>
      </c>
      <c r="N1407" s="83">
        <v>45791</v>
      </c>
      <c r="O1407" s="83">
        <v>45791</v>
      </c>
      <c r="P1407" s="80" t="str">
        <f ca="1">IF(Proc[[#This Row],[DaysAgeing]]&gt;5,"yep","on track")</f>
        <v>on track</v>
      </c>
      <c r="Q1407" s="3">
        <f ca="1">IF(Proc[[#This Row],[DateClosed]]="",ABS(NETWORKDAYS(Proc[[#This Row],[DateOpened]],TODAY()))-1,ABS(NETWORKDAYS(Proc[[#This Row],[DateOpened]],Proc[[#This Row],[DateClosed]]))-1)</f>
        <v>1</v>
      </c>
      <c r="R1407" s="80" t="s">
        <v>489</v>
      </c>
      <c r="S1407" s="69"/>
    </row>
    <row r="1408" spans="1:19" hidden="1">
      <c r="A1408" s="72" t="s">
        <v>3085</v>
      </c>
      <c r="B1408" s="149" t="str">
        <f>IFERROR(VLOOKUP(Proc[[#This Row],[App]],Table2[],3,0),"open")</f>
        <v>ok</v>
      </c>
      <c r="C1408" s="72" t="s">
        <v>369</v>
      </c>
      <c r="D1408" t="s">
        <v>3141</v>
      </c>
      <c r="E1408" t="s">
        <v>3171</v>
      </c>
      <c r="F1408" s="117" t="s">
        <v>3171</v>
      </c>
      <c r="G1408" s="72" t="s">
        <v>400</v>
      </c>
      <c r="H1408" s="69" t="str">
        <f>IF(Proc[[#This Row],[type]]="LFF (MDG-F)",MID(Proc[[#This Row],[Obj]],13,10),"")</f>
        <v/>
      </c>
      <c r="J1408" s="69" t="b">
        <f>Proc[[#This Row],[Requested]]=Proc[[#This Row],[CurrentParent]]</f>
        <v>1</v>
      </c>
      <c r="K1408" s="144" t="str">
        <f>IF(Proc[[#This Row],[Author]]="Marcela Urrego",VLOOKUP(LEFT(Proc[[#This Row],[Requested]],1),Table3[#All],2,0),VLOOKUP(Proc[[#This Row],[Author]],Table4[],2,0))</f>
        <v>LS</v>
      </c>
      <c r="L1408" s="69" t="s">
        <v>2563</v>
      </c>
      <c r="M1408" s="79">
        <v>45790.144409722219</v>
      </c>
      <c r="N1408" s="83">
        <v>45791</v>
      </c>
      <c r="O1408" s="83">
        <v>45791</v>
      </c>
      <c r="P1408" s="80" t="str">
        <f ca="1">IF(Proc[[#This Row],[DaysAgeing]]&gt;5,"yep","on track")</f>
        <v>on track</v>
      </c>
      <c r="Q1408" s="3">
        <f ca="1">IF(Proc[[#This Row],[DateClosed]]="",ABS(NETWORKDAYS(Proc[[#This Row],[DateOpened]],TODAY()))-1,ABS(NETWORKDAYS(Proc[[#This Row],[DateOpened]],Proc[[#This Row],[DateClosed]]))-1)</f>
        <v>1</v>
      </c>
      <c r="R1408" s="80" t="s">
        <v>489</v>
      </c>
      <c r="S1408" s="69"/>
    </row>
    <row r="1409" spans="1:19" hidden="1">
      <c r="A1409" s="72" t="s">
        <v>3085</v>
      </c>
      <c r="B1409" s="149" t="str">
        <f>IFERROR(VLOOKUP(Proc[[#This Row],[App]],Table2[],3,0),"open")</f>
        <v>ok</v>
      </c>
      <c r="C1409" s="72" t="s">
        <v>369</v>
      </c>
      <c r="D1409" t="s">
        <v>3142</v>
      </c>
      <c r="E1409" t="s">
        <v>3178</v>
      </c>
      <c r="F1409" s="117" t="s">
        <v>3178</v>
      </c>
      <c r="G1409" s="72" t="s">
        <v>400</v>
      </c>
      <c r="H1409" s="69" t="str">
        <f>IF(Proc[[#This Row],[type]]="LFF (MDG-F)",MID(Proc[[#This Row],[Obj]],13,10),"")</f>
        <v/>
      </c>
      <c r="J1409" s="69" t="b">
        <f>Proc[[#This Row],[Requested]]=Proc[[#This Row],[CurrentParent]]</f>
        <v>1</v>
      </c>
      <c r="K1409" s="144" t="str">
        <f>IF(Proc[[#This Row],[Author]]="Marcela Urrego",VLOOKUP(LEFT(Proc[[#This Row],[Requested]],1),Table3[#All],2,0),VLOOKUP(Proc[[#This Row],[Author]],Table4[],2,0))</f>
        <v>LS</v>
      </c>
      <c r="L1409" s="69" t="s">
        <v>2563</v>
      </c>
      <c r="M1409" s="79">
        <v>45790.144409722219</v>
      </c>
      <c r="N1409" s="83">
        <v>45791</v>
      </c>
      <c r="O1409" s="83">
        <v>45791</v>
      </c>
      <c r="P1409" s="80" t="str">
        <f ca="1">IF(Proc[[#This Row],[DaysAgeing]]&gt;5,"yep","on track")</f>
        <v>on track</v>
      </c>
      <c r="Q1409" s="3">
        <f ca="1">IF(Proc[[#This Row],[DateClosed]]="",ABS(NETWORKDAYS(Proc[[#This Row],[DateOpened]],TODAY()))-1,ABS(NETWORKDAYS(Proc[[#This Row],[DateOpened]],Proc[[#This Row],[DateClosed]]))-1)</f>
        <v>1</v>
      </c>
      <c r="R1409" s="80" t="s">
        <v>489</v>
      </c>
      <c r="S1409" s="69"/>
    </row>
    <row r="1410" spans="1:19" hidden="1">
      <c r="A1410" s="72" t="s">
        <v>3085</v>
      </c>
      <c r="B1410" s="149" t="str">
        <f>IFERROR(VLOOKUP(Proc[[#This Row],[App]],Table2[],3,0),"open")</f>
        <v>ok</v>
      </c>
      <c r="C1410" s="72" t="s">
        <v>369</v>
      </c>
      <c r="D1410" t="s">
        <v>3143</v>
      </c>
      <c r="E1410" t="s">
        <v>3179</v>
      </c>
      <c r="F1410" s="117" t="s">
        <v>3179</v>
      </c>
      <c r="G1410" s="72" t="s">
        <v>400</v>
      </c>
      <c r="H1410" s="69" t="str">
        <f>IF(Proc[[#This Row],[type]]="LFF (MDG-F)",MID(Proc[[#This Row],[Obj]],13,10),"")</f>
        <v/>
      </c>
      <c r="J1410" s="69" t="b">
        <f>Proc[[#This Row],[Requested]]=Proc[[#This Row],[CurrentParent]]</f>
        <v>1</v>
      </c>
      <c r="K1410" s="144" t="str">
        <f>IF(Proc[[#This Row],[Author]]="Marcela Urrego",VLOOKUP(LEFT(Proc[[#This Row],[Requested]],1),Table3[#All],2,0),VLOOKUP(Proc[[#This Row],[Author]],Table4[],2,0))</f>
        <v>LS</v>
      </c>
      <c r="L1410" s="69" t="s">
        <v>2563</v>
      </c>
      <c r="M1410" s="79">
        <v>45790.144409722219</v>
      </c>
      <c r="N1410" s="83">
        <v>45791</v>
      </c>
      <c r="O1410" s="83">
        <v>45791</v>
      </c>
      <c r="P1410" s="80" t="str">
        <f ca="1">IF(Proc[[#This Row],[DaysAgeing]]&gt;5,"yep","on track")</f>
        <v>on track</v>
      </c>
      <c r="Q1410" s="3">
        <f ca="1">IF(Proc[[#This Row],[DateClosed]]="",ABS(NETWORKDAYS(Proc[[#This Row],[DateOpened]],TODAY()))-1,ABS(NETWORKDAYS(Proc[[#This Row],[DateOpened]],Proc[[#This Row],[DateClosed]]))-1)</f>
        <v>1</v>
      </c>
      <c r="R1410" s="80" t="s">
        <v>489</v>
      </c>
      <c r="S1410" s="69"/>
    </row>
    <row r="1411" spans="1:19" hidden="1">
      <c r="A1411" s="72" t="s">
        <v>3085</v>
      </c>
      <c r="B1411" s="149" t="str">
        <f>IFERROR(VLOOKUP(Proc[[#This Row],[App]],Table2[],3,0),"open")</f>
        <v>ok</v>
      </c>
      <c r="C1411" s="72" t="s">
        <v>369</v>
      </c>
      <c r="D1411" t="s">
        <v>3144</v>
      </c>
      <c r="E1411" t="s">
        <v>3177</v>
      </c>
      <c r="F1411" s="117" t="s">
        <v>3177</v>
      </c>
      <c r="G1411" s="72" t="s">
        <v>400</v>
      </c>
      <c r="H1411" s="69" t="str">
        <f>IF(Proc[[#This Row],[type]]="LFF (MDG-F)",MID(Proc[[#This Row],[Obj]],13,10),"")</f>
        <v/>
      </c>
      <c r="J1411" s="69" t="b">
        <f>Proc[[#This Row],[Requested]]=Proc[[#This Row],[CurrentParent]]</f>
        <v>1</v>
      </c>
      <c r="K1411" s="144" t="str">
        <f>IF(Proc[[#This Row],[Author]]="Marcela Urrego",VLOOKUP(LEFT(Proc[[#This Row],[Requested]],1),Table3[#All],2,0),VLOOKUP(Proc[[#This Row],[Author]],Table4[],2,0))</f>
        <v>LS</v>
      </c>
      <c r="L1411" s="69" t="s">
        <v>2563</v>
      </c>
      <c r="M1411" s="79">
        <v>45790.144409722219</v>
      </c>
      <c r="N1411" s="83">
        <v>45791</v>
      </c>
      <c r="O1411" s="83">
        <v>45791</v>
      </c>
      <c r="P1411" s="80" t="str">
        <f ca="1">IF(Proc[[#This Row],[DaysAgeing]]&gt;5,"yep","on track")</f>
        <v>on track</v>
      </c>
      <c r="Q1411" s="3">
        <f ca="1">IF(Proc[[#This Row],[DateClosed]]="",ABS(NETWORKDAYS(Proc[[#This Row],[DateOpened]],TODAY()))-1,ABS(NETWORKDAYS(Proc[[#This Row],[DateOpened]],Proc[[#This Row],[DateClosed]]))-1)</f>
        <v>1</v>
      </c>
      <c r="R1411" s="80" t="s">
        <v>489</v>
      </c>
      <c r="S1411" s="69"/>
    </row>
    <row r="1412" spans="1:19" hidden="1">
      <c r="A1412" s="72" t="s">
        <v>3085</v>
      </c>
      <c r="B1412" s="149" t="str">
        <f>IFERROR(VLOOKUP(Proc[[#This Row],[App]],Table2[],3,0),"open")</f>
        <v>ok</v>
      </c>
      <c r="C1412" s="72" t="s">
        <v>369</v>
      </c>
      <c r="D1412" t="s">
        <v>3145</v>
      </c>
      <c r="E1412" t="s">
        <v>3171</v>
      </c>
      <c r="F1412" s="117" t="s">
        <v>3171</v>
      </c>
      <c r="G1412" s="72" t="s">
        <v>400</v>
      </c>
      <c r="H1412" s="69" t="str">
        <f>IF(Proc[[#This Row],[type]]="LFF (MDG-F)",MID(Proc[[#This Row],[Obj]],13,10),"")</f>
        <v/>
      </c>
      <c r="J1412" s="69" t="b">
        <f>Proc[[#This Row],[Requested]]=Proc[[#This Row],[CurrentParent]]</f>
        <v>1</v>
      </c>
      <c r="K1412" s="144" t="str">
        <f>IF(Proc[[#This Row],[Author]]="Marcela Urrego",VLOOKUP(LEFT(Proc[[#This Row],[Requested]],1),Table3[#All],2,0),VLOOKUP(Proc[[#This Row],[Author]],Table4[],2,0))</f>
        <v>LS</v>
      </c>
      <c r="L1412" s="69" t="s">
        <v>2563</v>
      </c>
      <c r="M1412" s="79">
        <v>45790.144409722219</v>
      </c>
      <c r="N1412" s="83">
        <v>45791</v>
      </c>
      <c r="O1412" s="83">
        <v>45791</v>
      </c>
      <c r="P1412" s="80" t="str">
        <f ca="1">IF(Proc[[#This Row],[DaysAgeing]]&gt;5,"yep","on track")</f>
        <v>on track</v>
      </c>
      <c r="Q1412" s="3">
        <f ca="1">IF(Proc[[#This Row],[DateClosed]]="",ABS(NETWORKDAYS(Proc[[#This Row],[DateOpened]],TODAY()))-1,ABS(NETWORKDAYS(Proc[[#This Row],[DateOpened]],Proc[[#This Row],[DateClosed]]))-1)</f>
        <v>1</v>
      </c>
      <c r="R1412" s="80" t="s">
        <v>489</v>
      </c>
      <c r="S1412" s="69"/>
    </row>
    <row r="1413" spans="1:19" hidden="1">
      <c r="A1413" s="72" t="s">
        <v>3085</v>
      </c>
      <c r="B1413" s="149" t="str">
        <f>IFERROR(VLOOKUP(Proc[[#This Row],[App]],Table2[],3,0),"open")</f>
        <v>ok</v>
      </c>
      <c r="C1413" s="72" t="s">
        <v>369</v>
      </c>
      <c r="D1413" t="s">
        <v>3146</v>
      </c>
      <c r="E1413" t="s">
        <v>3180</v>
      </c>
      <c r="F1413" s="117" t="s">
        <v>3180</v>
      </c>
      <c r="G1413" s="72" t="s">
        <v>400</v>
      </c>
      <c r="H1413" s="69" t="str">
        <f>IF(Proc[[#This Row],[type]]="LFF (MDG-F)",MID(Proc[[#This Row],[Obj]],13,10),"")</f>
        <v/>
      </c>
      <c r="J1413" s="69" t="b">
        <f>Proc[[#This Row],[Requested]]=Proc[[#This Row],[CurrentParent]]</f>
        <v>1</v>
      </c>
      <c r="K1413" s="144" t="str">
        <f>IF(Proc[[#This Row],[Author]]="Marcela Urrego",VLOOKUP(LEFT(Proc[[#This Row],[Requested]],1),Table3[#All],2,0),VLOOKUP(Proc[[#This Row],[Author]],Table4[],2,0))</f>
        <v>LS</v>
      </c>
      <c r="L1413" s="69" t="s">
        <v>2563</v>
      </c>
      <c r="M1413" s="79">
        <v>45790.144409722219</v>
      </c>
      <c r="N1413" s="83">
        <v>45791</v>
      </c>
      <c r="O1413" s="83">
        <v>45791</v>
      </c>
      <c r="P1413" s="80" t="str">
        <f ca="1">IF(Proc[[#This Row],[DaysAgeing]]&gt;5,"yep","on track")</f>
        <v>on track</v>
      </c>
      <c r="Q1413" s="3">
        <f ca="1">IF(Proc[[#This Row],[DateClosed]]="",ABS(NETWORKDAYS(Proc[[#This Row],[DateOpened]],TODAY()))-1,ABS(NETWORKDAYS(Proc[[#This Row],[DateOpened]],Proc[[#This Row],[DateClosed]]))-1)</f>
        <v>1</v>
      </c>
      <c r="R1413" s="80" t="s">
        <v>489</v>
      </c>
      <c r="S1413" s="69"/>
    </row>
    <row r="1414" spans="1:19" hidden="1">
      <c r="A1414" s="72" t="s">
        <v>3085</v>
      </c>
      <c r="B1414" s="149" t="str">
        <f>IFERROR(VLOOKUP(Proc[[#This Row],[App]],Table2[],3,0),"open")</f>
        <v>ok</v>
      </c>
      <c r="C1414" s="72" t="s">
        <v>369</v>
      </c>
      <c r="D1414" t="s">
        <v>3147</v>
      </c>
      <c r="E1414" t="s">
        <v>3169</v>
      </c>
      <c r="F1414" s="117" t="s">
        <v>3169</v>
      </c>
      <c r="G1414" s="72" t="s">
        <v>400</v>
      </c>
      <c r="H1414" s="69" t="str">
        <f>IF(Proc[[#This Row],[type]]="LFF (MDG-F)",MID(Proc[[#This Row],[Obj]],13,10),"")</f>
        <v/>
      </c>
      <c r="J1414" s="69" t="b">
        <f>Proc[[#This Row],[Requested]]=Proc[[#This Row],[CurrentParent]]</f>
        <v>1</v>
      </c>
      <c r="K1414" s="144" t="str">
        <f>IF(Proc[[#This Row],[Author]]="Marcela Urrego",VLOOKUP(LEFT(Proc[[#This Row],[Requested]],1),Table3[#All],2,0),VLOOKUP(Proc[[#This Row],[Author]],Table4[],2,0))</f>
        <v>LS</v>
      </c>
      <c r="L1414" s="69" t="s">
        <v>2563</v>
      </c>
      <c r="M1414" s="79">
        <v>45790.144409722219</v>
      </c>
      <c r="N1414" s="83">
        <v>45791</v>
      </c>
      <c r="O1414" s="83">
        <v>45791</v>
      </c>
      <c r="P1414" s="80" t="str">
        <f ca="1">IF(Proc[[#This Row],[DaysAgeing]]&gt;5,"yep","on track")</f>
        <v>on track</v>
      </c>
      <c r="Q1414" s="3">
        <f ca="1">IF(Proc[[#This Row],[DateClosed]]="",ABS(NETWORKDAYS(Proc[[#This Row],[DateOpened]],TODAY()))-1,ABS(NETWORKDAYS(Proc[[#This Row],[DateOpened]],Proc[[#This Row],[DateClosed]]))-1)</f>
        <v>1</v>
      </c>
      <c r="R1414" s="80" t="s">
        <v>489</v>
      </c>
      <c r="S1414" s="69"/>
    </row>
    <row r="1415" spans="1:19" hidden="1">
      <c r="A1415" s="72" t="s">
        <v>3085</v>
      </c>
      <c r="B1415" s="149" t="str">
        <f>IFERROR(VLOOKUP(Proc[[#This Row],[App]],Table2[],3,0),"open")</f>
        <v>ok</v>
      </c>
      <c r="C1415" s="72" t="s">
        <v>369</v>
      </c>
      <c r="D1415" t="s">
        <v>3148</v>
      </c>
      <c r="E1415" t="s">
        <v>3169</v>
      </c>
      <c r="F1415" s="117" t="s">
        <v>3169</v>
      </c>
      <c r="G1415" s="72" t="s">
        <v>400</v>
      </c>
      <c r="H1415" s="69" t="str">
        <f>IF(Proc[[#This Row],[type]]="LFF (MDG-F)",MID(Proc[[#This Row],[Obj]],13,10),"")</f>
        <v/>
      </c>
      <c r="J1415" s="69" t="b">
        <f>Proc[[#This Row],[Requested]]=Proc[[#This Row],[CurrentParent]]</f>
        <v>1</v>
      </c>
      <c r="K1415" s="144" t="str">
        <f>IF(Proc[[#This Row],[Author]]="Marcela Urrego",VLOOKUP(LEFT(Proc[[#This Row],[Requested]],1),Table3[#All],2,0),VLOOKUP(Proc[[#This Row],[Author]],Table4[],2,0))</f>
        <v>LS</v>
      </c>
      <c r="L1415" s="69" t="s">
        <v>2563</v>
      </c>
      <c r="M1415" s="79">
        <v>45790.144409722219</v>
      </c>
      <c r="N1415" s="83">
        <v>45791</v>
      </c>
      <c r="O1415" s="83">
        <v>45791</v>
      </c>
      <c r="P1415" s="80" t="str">
        <f ca="1">IF(Proc[[#This Row],[DaysAgeing]]&gt;5,"yep","on track")</f>
        <v>on track</v>
      </c>
      <c r="Q1415" s="3">
        <f ca="1">IF(Proc[[#This Row],[DateClosed]]="",ABS(NETWORKDAYS(Proc[[#This Row],[DateOpened]],TODAY()))-1,ABS(NETWORKDAYS(Proc[[#This Row],[DateOpened]],Proc[[#This Row],[DateClosed]]))-1)</f>
        <v>1</v>
      </c>
      <c r="R1415" s="80" t="s">
        <v>489</v>
      </c>
      <c r="S1415" s="69"/>
    </row>
    <row r="1416" spans="1:19" hidden="1">
      <c r="A1416" s="72" t="s">
        <v>3085</v>
      </c>
      <c r="B1416" s="149" t="str">
        <f>IFERROR(VLOOKUP(Proc[[#This Row],[App]],Table2[],3,0),"open")</f>
        <v>ok</v>
      </c>
      <c r="C1416" s="72" t="s">
        <v>369</v>
      </c>
      <c r="D1416" t="s">
        <v>3149</v>
      </c>
      <c r="E1416" t="s">
        <v>3165</v>
      </c>
      <c r="F1416" s="117" t="s">
        <v>3165</v>
      </c>
      <c r="G1416" s="72" t="s">
        <v>400</v>
      </c>
      <c r="H1416" s="69" t="str">
        <f>IF(Proc[[#This Row],[type]]="LFF (MDG-F)",MID(Proc[[#This Row],[Obj]],13,10),"")</f>
        <v/>
      </c>
      <c r="J1416" s="69" t="b">
        <f>Proc[[#This Row],[Requested]]=Proc[[#This Row],[CurrentParent]]</f>
        <v>1</v>
      </c>
      <c r="K1416" s="144" t="str">
        <f>IF(Proc[[#This Row],[Author]]="Marcela Urrego",VLOOKUP(LEFT(Proc[[#This Row],[Requested]],1),Table3[#All],2,0),VLOOKUP(Proc[[#This Row],[Author]],Table4[],2,0))</f>
        <v>LS</v>
      </c>
      <c r="L1416" s="69" t="s">
        <v>2563</v>
      </c>
      <c r="M1416" s="79">
        <v>45790.144409722219</v>
      </c>
      <c r="N1416" s="83">
        <v>45791</v>
      </c>
      <c r="O1416" s="83">
        <v>45791</v>
      </c>
      <c r="P1416" s="80" t="str">
        <f ca="1">IF(Proc[[#This Row],[DaysAgeing]]&gt;5,"yep","on track")</f>
        <v>on track</v>
      </c>
      <c r="Q1416" s="3">
        <f ca="1">IF(Proc[[#This Row],[DateClosed]]="",ABS(NETWORKDAYS(Proc[[#This Row],[DateOpened]],TODAY()))-1,ABS(NETWORKDAYS(Proc[[#This Row],[DateOpened]],Proc[[#This Row],[DateClosed]]))-1)</f>
        <v>1</v>
      </c>
      <c r="R1416" s="80" t="s">
        <v>489</v>
      </c>
      <c r="S1416" s="69"/>
    </row>
    <row r="1417" spans="1:19" hidden="1">
      <c r="A1417" s="72" t="s">
        <v>3085</v>
      </c>
      <c r="B1417" s="149" t="str">
        <f>IFERROR(VLOOKUP(Proc[[#This Row],[App]],Table2[],3,0),"open")</f>
        <v>ok</v>
      </c>
      <c r="C1417" s="72" t="s">
        <v>369</v>
      </c>
      <c r="D1417" t="s">
        <v>3150</v>
      </c>
      <c r="E1417" t="s">
        <v>3174</v>
      </c>
      <c r="F1417" s="117" t="s">
        <v>3174</v>
      </c>
      <c r="G1417" s="72" t="s">
        <v>400</v>
      </c>
      <c r="H1417" s="69" t="str">
        <f>IF(Proc[[#This Row],[type]]="LFF (MDG-F)",MID(Proc[[#This Row],[Obj]],13,10),"")</f>
        <v/>
      </c>
      <c r="J1417" s="69" t="b">
        <f>Proc[[#This Row],[Requested]]=Proc[[#This Row],[CurrentParent]]</f>
        <v>1</v>
      </c>
      <c r="K1417" s="144" t="str">
        <f>IF(Proc[[#This Row],[Author]]="Marcela Urrego",VLOOKUP(LEFT(Proc[[#This Row],[Requested]],1),Table3[#All],2,0),VLOOKUP(Proc[[#This Row],[Author]],Table4[],2,0))</f>
        <v>LS</v>
      </c>
      <c r="L1417" s="69" t="s">
        <v>2563</v>
      </c>
      <c r="M1417" s="79">
        <v>45790.144409722219</v>
      </c>
      <c r="N1417" s="83">
        <v>45791</v>
      </c>
      <c r="O1417" s="83">
        <v>45791</v>
      </c>
      <c r="P1417" s="80" t="str">
        <f ca="1">IF(Proc[[#This Row],[DaysAgeing]]&gt;5,"yep","on track")</f>
        <v>on track</v>
      </c>
      <c r="Q1417" s="3">
        <f ca="1">IF(Proc[[#This Row],[DateClosed]]="",ABS(NETWORKDAYS(Proc[[#This Row],[DateOpened]],TODAY()))-1,ABS(NETWORKDAYS(Proc[[#This Row],[DateOpened]],Proc[[#This Row],[DateClosed]]))-1)</f>
        <v>1</v>
      </c>
      <c r="R1417" s="80" t="s">
        <v>489</v>
      </c>
      <c r="S1417" s="69"/>
    </row>
    <row r="1418" spans="1:19" hidden="1">
      <c r="A1418" s="72" t="s">
        <v>3085</v>
      </c>
      <c r="B1418" s="149" t="str">
        <f>IFERROR(VLOOKUP(Proc[[#This Row],[App]],Table2[],3,0),"open")</f>
        <v>ok</v>
      </c>
      <c r="C1418" s="72" t="s">
        <v>369</v>
      </c>
      <c r="D1418" t="s">
        <v>3151</v>
      </c>
      <c r="E1418" t="s">
        <v>3180</v>
      </c>
      <c r="F1418" s="117" t="s">
        <v>3180</v>
      </c>
      <c r="G1418" s="72" t="s">
        <v>400</v>
      </c>
      <c r="H1418" s="69" t="str">
        <f>IF(Proc[[#This Row],[type]]="LFF (MDG-F)",MID(Proc[[#This Row],[Obj]],13,10),"")</f>
        <v/>
      </c>
      <c r="J1418" s="69" t="b">
        <f>Proc[[#This Row],[Requested]]=Proc[[#This Row],[CurrentParent]]</f>
        <v>1</v>
      </c>
      <c r="K1418" s="144" t="str">
        <f>IF(Proc[[#This Row],[Author]]="Marcela Urrego",VLOOKUP(LEFT(Proc[[#This Row],[Requested]],1),Table3[#All],2,0),VLOOKUP(Proc[[#This Row],[Author]],Table4[],2,0))</f>
        <v>LS</v>
      </c>
      <c r="L1418" s="69" t="s">
        <v>2563</v>
      </c>
      <c r="M1418" s="79">
        <v>45790.144409722219</v>
      </c>
      <c r="N1418" s="83">
        <v>45791</v>
      </c>
      <c r="O1418" s="83">
        <v>45791</v>
      </c>
      <c r="P1418" s="80" t="str">
        <f ca="1">IF(Proc[[#This Row],[DaysAgeing]]&gt;5,"yep","on track")</f>
        <v>on track</v>
      </c>
      <c r="Q1418" s="3">
        <f ca="1">IF(Proc[[#This Row],[DateClosed]]="",ABS(NETWORKDAYS(Proc[[#This Row],[DateOpened]],TODAY()))-1,ABS(NETWORKDAYS(Proc[[#This Row],[DateOpened]],Proc[[#This Row],[DateClosed]]))-1)</f>
        <v>1</v>
      </c>
      <c r="R1418" s="80" t="s">
        <v>489</v>
      </c>
      <c r="S1418" s="69"/>
    </row>
    <row r="1419" spans="1:19" hidden="1">
      <c r="A1419" s="72" t="s">
        <v>3085</v>
      </c>
      <c r="B1419" s="149" t="str">
        <f>IFERROR(VLOOKUP(Proc[[#This Row],[App]],Table2[],3,0),"open")</f>
        <v>ok</v>
      </c>
      <c r="C1419" s="72" t="s">
        <v>369</v>
      </c>
      <c r="D1419" t="s">
        <v>3152</v>
      </c>
      <c r="E1419" t="s">
        <v>3164</v>
      </c>
      <c r="F1419" s="117" t="s">
        <v>3164</v>
      </c>
      <c r="G1419" s="72" t="s">
        <v>400</v>
      </c>
      <c r="H1419" s="69" t="str">
        <f>IF(Proc[[#This Row],[type]]="LFF (MDG-F)",MID(Proc[[#This Row],[Obj]],13,10),"")</f>
        <v/>
      </c>
      <c r="J1419" s="69" t="b">
        <f>Proc[[#This Row],[Requested]]=Proc[[#This Row],[CurrentParent]]</f>
        <v>1</v>
      </c>
      <c r="K1419" s="144" t="str">
        <f>IF(Proc[[#This Row],[Author]]="Marcela Urrego",VLOOKUP(LEFT(Proc[[#This Row],[Requested]],1),Table3[#All],2,0),VLOOKUP(Proc[[#This Row],[Author]],Table4[],2,0))</f>
        <v>LS</v>
      </c>
      <c r="L1419" s="69" t="s">
        <v>2563</v>
      </c>
      <c r="M1419" s="79">
        <v>45790.144409722219</v>
      </c>
      <c r="N1419" s="83">
        <v>45791</v>
      </c>
      <c r="O1419" s="83">
        <v>45791</v>
      </c>
      <c r="P1419" s="80" t="str">
        <f ca="1">IF(Proc[[#This Row],[DaysAgeing]]&gt;5,"yep","on track")</f>
        <v>on track</v>
      </c>
      <c r="Q1419" s="3">
        <f ca="1">IF(Proc[[#This Row],[DateClosed]]="",ABS(NETWORKDAYS(Proc[[#This Row],[DateOpened]],TODAY()))-1,ABS(NETWORKDAYS(Proc[[#This Row],[DateOpened]],Proc[[#This Row],[DateClosed]]))-1)</f>
        <v>1</v>
      </c>
      <c r="R1419" s="80" t="s">
        <v>489</v>
      </c>
      <c r="S1419" s="69"/>
    </row>
    <row r="1420" spans="1:19" hidden="1">
      <c r="A1420" s="72" t="s">
        <v>3085</v>
      </c>
      <c r="B1420" s="149" t="str">
        <f>IFERROR(VLOOKUP(Proc[[#This Row],[App]],Table2[],3,0),"open")</f>
        <v>ok</v>
      </c>
      <c r="C1420" s="72" t="s">
        <v>369</v>
      </c>
      <c r="D1420" t="s">
        <v>3153</v>
      </c>
      <c r="E1420" t="s">
        <v>3166</v>
      </c>
      <c r="F1420" s="117" t="s">
        <v>3166</v>
      </c>
      <c r="G1420" s="72" t="s">
        <v>400</v>
      </c>
      <c r="H1420" s="69" t="str">
        <f>IF(Proc[[#This Row],[type]]="LFF (MDG-F)",MID(Proc[[#This Row],[Obj]],13,10),"")</f>
        <v/>
      </c>
      <c r="J1420" s="69" t="b">
        <f>Proc[[#This Row],[Requested]]=Proc[[#This Row],[CurrentParent]]</f>
        <v>1</v>
      </c>
      <c r="K1420" s="144" t="str">
        <f>IF(Proc[[#This Row],[Author]]="Marcela Urrego",VLOOKUP(LEFT(Proc[[#This Row],[Requested]],1),Table3[#All],2,0),VLOOKUP(Proc[[#This Row],[Author]],Table4[],2,0))</f>
        <v>LS</v>
      </c>
      <c r="L1420" s="69" t="s">
        <v>2563</v>
      </c>
      <c r="M1420" s="79">
        <v>45790.144409722219</v>
      </c>
      <c r="N1420" s="83">
        <v>45791</v>
      </c>
      <c r="O1420" s="83">
        <v>45791</v>
      </c>
      <c r="P1420" s="80" t="str">
        <f ca="1">IF(Proc[[#This Row],[DaysAgeing]]&gt;5,"yep","on track")</f>
        <v>on track</v>
      </c>
      <c r="Q1420" s="3">
        <f ca="1">IF(Proc[[#This Row],[DateClosed]]="",ABS(NETWORKDAYS(Proc[[#This Row],[DateOpened]],TODAY()))-1,ABS(NETWORKDAYS(Proc[[#This Row],[DateOpened]],Proc[[#This Row],[DateClosed]]))-1)</f>
        <v>1</v>
      </c>
      <c r="R1420" s="80" t="s">
        <v>489</v>
      </c>
      <c r="S1420" s="69"/>
    </row>
    <row r="1421" spans="1:19" hidden="1">
      <c r="A1421" s="72" t="s">
        <v>3085</v>
      </c>
      <c r="B1421" s="149" t="str">
        <f>IFERROR(VLOOKUP(Proc[[#This Row],[App]],Table2[],3,0),"open")</f>
        <v>ok</v>
      </c>
      <c r="C1421" s="72" t="s">
        <v>369</v>
      </c>
      <c r="D1421" t="s">
        <v>3154</v>
      </c>
      <c r="E1421" t="s">
        <v>3167</v>
      </c>
      <c r="F1421" s="117" t="s">
        <v>3167</v>
      </c>
      <c r="G1421" s="72" t="s">
        <v>400</v>
      </c>
      <c r="H1421" s="69" t="str">
        <f>IF(Proc[[#This Row],[type]]="LFF (MDG-F)",MID(Proc[[#This Row],[Obj]],13,10),"")</f>
        <v/>
      </c>
      <c r="J1421" s="69" t="b">
        <f>Proc[[#This Row],[Requested]]=Proc[[#This Row],[CurrentParent]]</f>
        <v>1</v>
      </c>
      <c r="K1421" s="144" t="str">
        <f>IF(Proc[[#This Row],[Author]]="Marcela Urrego",VLOOKUP(LEFT(Proc[[#This Row],[Requested]],1),Table3[#All],2,0),VLOOKUP(Proc[[#This Row],[Author]],Table4[],2,0))</f>
        <v>LS</v>
      </c>
      <c r="L1421" s="69" t="s">
        <v>2563</v>
      </c>
      <c r="M1421" s="79">
        <v>45790.144409722219</v>
      </c>
      <c r="N1421" s="83">
        <v>45791</v>
      </c>
      <c r="O1421" s="83">
        <v>45791</v>
      </c>
      <c r="P1421" s="80" t="str">
        <f ca="1">IF(Proc[[#This Row],[DaysAgeing]]&gt;5,"yep","on track")</f>
        <v>on track</v>
      </c>
      <c r="Q1421" s="3">
        <f ca="1">IF(Proc[[#This Row],[DateClosed]]="",ABS(NETWORKDAYS(Proc[[#This Row],[DateOpened]],TODAY()))-1,ABS(NETWORKDAYS(Proc[[#This Row],[DateOpened]],Proc[[#This Row],[DateClosed]]))-1)</f>
        <v>1</v>
      </c>
      <c r="R1421" s="80" t="s">
        <v>489</v>
      </c>
      <c r="S1421" s="69"/>
    </row>
    <row r="1422" spans="1:19" hidden="1">
      <c r="A1422" s="72" t="s">
        <v>3085</v>
      </c>
      <c r="B1422" s="149" t="str">
        <f>IFERROR(VLOOKUP(Proc[[#This Row],[App]],Table2[],3,0),"open")</f>
        <v>ok</v>
      </c>
      <c r="C1422" s="72" t="s">
        <v>369</v>
      </c>
      <c r="D1422" t="s">
        <v>3155</v>
      </c>
      <c r="E1422" t="s">
        <v>3171</v>
      </c>
      <c r="F1422" s="117" t="s">
        <v>3171</v>
      </c>
      <c r="G1422" s="72" t="s">
        <v>400</v>
      </c>
      <c r="H1422" s="69" t="str">
        <f>IF(Proc[[#This Row],[type]]="LFF (MDG-F)",MID(Proc[[#This Row],[Obj]],13,10),"")</f>
        <v/>
      </c>
      <c r="J1422" s="69" t="b">
        <f>Proc[[#This Row],[Requested]]=Proc[[#This Row],[CurrentParent]]</f>
        <v>1</v>
      </c>
      <c r="K1422" s="144" t="str">
        <f>IF(Proc[[#This Row],[Author]]="Marcela Urrego",VLOOKUP(LEFT(Proc[[#This Row],[Requested]],1),Table3[#All],2,0),VLOOKUP(Proc[[#This Row],[Author]],Table4[],2,0))</f>
        <v>LS</v>
      </c>
      <c r="L1422" s="69" t="s">
        <v>2563</v>
      </c>
      <c r="M1422" s="79">
        <v>45790.144409722219</v>
      </c>
      <c r="N1422" s="83">
        <v>45791</v>
      </c>
      <c r="O1422" s="83">
        <v>45791</v>
      </c>
      <c r="P1422" s="80" t="str">
        <f ca="1">IF(Proc[[#This Row],[DaysAgeing]]&gt;5,"yep","on track")</f>
        <v>on track</v>
      </c>
      <c r="Q1422" s="3">
        <f ca="1">IF(Proc[[#This Row],[DateClosed]]="",ABS(NETWORKDAYS(Proc[[#This Row],[DateOpened]],TODAY()))-1,ABS(NETWORKDAYS(Proc[[#This Row],[DateOpened]],Proc[[#This Row],[DateClosed]]))-1)</f>
        <v>1</v>
      </c>
      <c r="R1422" s="80" t="s">
        <v>489</v>
      </c>
      <c r="S1422" s="69"/>
    </row>
    <row r="1423" spans="1:19" hidden="1">
      <c r="A1423" s="72" t="s">
        <v>3085</v>
      </c>
      <c r="B1423" s="149" t="str">
        <f>IFERROR(VLOOKUP(Proc[[#This Row],[App]],Table2[],3,0),"open")</f>
        <v>ok</v>
      </c>
      <c r="C1423" s="72" t="s">
        <v>369</v>
      </c>
      <c r="D1423" t="s">
        <v>3156</v>
      </c>
      <c r="E1423" t="s">
        <v>3167</v>
      </c>
      <c r="F1423" s="117" t="s">
        <v>3167</v>
      </c>
      <c r="G1423" s="72" t="s">
        <v>400</v>
      </c>
      <c r="H1423" s="69" t="str">
        <f>IF(Proc[[#This Row],[type]]="LFF (MDG-F)",MID(Proc[[#This Row],[Obj]],13,10),"")</f>
        <v/>
      </c>
      <c r="J1423" s="69" t="b">
        <f>Proc[[#This Row],[Requested]]=Proc[[#This Row],[CurrentParent]]</f>
        <v>1</v>
      </c>
      <c r="K1423" s="144" t="str">
        <f>IF(Proc[[#This Row],[Author]]="Marcela Urrego",VLOOKUP(LEFT(Proc[[#This Row],[Requested]],1),Table3[#All],2,0),VLOOKUP(Proc[[#This Row],[Author]],Table4[],2,0))</f>
        <v>LS</v>
      </c>
      <c r="L1423" s="69" t="s">
        <v>2563</v>
      </c>
      <c r="M1423" s="79">
        <v>45790.144409722219</v>
      </c>
      <c r="N1423" s="83">
        <v>45791</v>
      </c>
      <c r="O1423" s="83">
        <v>45791</v>
      </c>
      <c r="P1423" s="80" t="str">
        <f ca="1">IF(Proc[[#This Row],[DaysAgeing]]&gt;5,"yep","on track")</f>
        <v>on track</v>
      </c>
      <c r="Q1423" s="3">
        <f ca="1">IF(Proc[[#This Row],[DateClosed]]="",ABS(NETWORKDAYS(Proc[[#This Row],[DateOpened]],TODAY()))-1,ABS(NETWORKDAYS(Proc[[#This Row],[DateOpened]],Proc[[#This Row],[DateClosed]]))-1)</f>
        <v>1</v>
      </c>
      <c r="R1423" s="80" t="s">
        <v>489</v>
      </c>
      <c r="S1423" s="69"/>
    </row>
    <row r="1424" spans="1:19" hidden="1">
      <c r="A1424" s="72" t="s">
        <v>3085</v>
      </c>
      <c r="B1424" s="149" t="str">
        <f>IFERROR(VLOOKUP(Proc[[#This Row],[App]],Table2[],3,0),"open")</f>
        <v>ok</v>
      </c>
      <c r="C1424" s="72" t="s">
        <v>369</v>
      </c>
      <c r="D1424" t="s">
        <v>3157</v>
      </c>
      <c r="E1424" t="s">
        <v>3171</v>
      </c>
      <c r="F1424" s="117" t="s">
        <v>3171</v>
      </c>
      <c r="G1424" s="72" t="s">
        <v>400</v>
      </c>
      <c r="H1424" s="69" t="str">
        <f>IF(Proc[[#This Row],[type]]="LFF (MDG-F)",MID(Proc[[#This Row],[Obj]],13,10),"")</f>
        <v/>
      </c>
      <c r="J1424" s="69" t="b">
        <f>Proc[[#This Row],[Requested]]=Proc[[#This Row],[CurrentParent]]</f>
        <v>1</v>
      </c>
      <c r="K1424" s="144" t="str">
        <f>IF(Proc[[#This Row],[Author]]="Marcela Urrego",VLOOKUP(LEFT(Proc[[#This Row],[Requested]],1),Table3[#All],2,0),VLOOKUP(Proc[[#This Row],[Author]],Table4[],2,0))</f>
        <v>LS</v>
      </c>
      <c r="L1424" s="69" t="s">
        <v>2563</v>
      </c>
      <c r="M1424" s="79">
        <v>45790.144409722219</v>
      </c>
      <c r="N1424" s="83">
        <v>45791</v>
      </c>
      <c r="O1424" s="83">
        <v>45791</v>
      </c>
      <c r="P1424" s="80" t="str">
        <f ca="1">IF(Proc[[#This Row],[DaysAgeing]]&gt;5,"yep","on track")</f>
        <v>on track</v>
      </c>
      <c r="Q1424" s="3">
        <f ca="1">IF(Proc[[#This Row],[DateClosed]]="",ABS(NETWORKDAYS(Proc[[#This Row],[DateOpened]],TODAY()))-1,ABS(NETWORKDAYS(Proc[[#This Row],[DateOpened]],Proc[[#This Row],[DateClosed]]))-1)</f>
        <v>1</v>
      </c>
      <c r="R1424" s="80" t="s">
        <v>489</v>
      </c>
      <c r="S1424" s="69"/>
    </row>
    <row r="1425" spans="1:19" hidden="1">
      <c r="A1425" s="72" t="s">
        <v>3085</v>
      </c>
      <c r="B1425" s="149" t="str">
        <f>IFERROR(VLOOKUP(Proc[[#This Row],[App]],Table2[],3,0),"open")</f>
        <v>ok</v>
      </c>
      <c r="C1425" s="72" t="s">
        <v>369</v>
      </c>
      <c r="D1425" t="s">
        <v>3158</v>
      </c>
      <c r="E1425" t="s">
        <v>3170</v>
      </c>
      <c r="F1425" s="117" t="s">
        <v>3170</v>
      </c>
      <c r="G1425" s="72" t="s">
        <v>400</v>
      </c>
      <c r="H1425" s="69" t="str">
        <f>IF(Proc[[#This Row],[type]]="LFF (MDG-F)",MID(Proc[[#This Row],[Obj]],13,10),"")</f>
        <v/>
      </c>
      <c r="J1425" s="69" t="b">
        <f>Proc[[#This Row],[Requested]]=Proc[[#This Row],[CurrentParent]]</f>
        <v>1</v>
      </c>
      <c r="K1425" s="144" t="str">
        <f>IF(Proc[[#This Row],[Author]]="Marcela Urrego",VLOOKUP(LEFT(Proc[[#This Row],[Requested]],1),Table3[#All],2,0),VLOOKUP(Proc[[#This Row],[Author]],Table4[],2,0))</f>
        <v>LS</v>
      </c>
      <c r="L1425" s="69" t="s">
        <v>2563</v>
      </c>
      <c r="M1425" s="79">
        <v>45790.144409722219</v>
      </c>
      <c r="N1425" s="83">
        <v>45791</v>
      </c>
      <c r="O1425" s="83">
        <v>45791</v>
      </c>
      <c r="P1425" s="80" t="str">
        <f ca="1">IF(Proc[[#This Row],[DaysAgeing]]&gt;5,"yep","on track")</f>
        <v>on track</v>
      </c>
      <c r="Q1425" s="3">
        <f ca="1">IF(Proc[[#This Row],[DateClosed]]="",ABS(NETWORKDAYS(Proc[[#This Row],[DateOpened]],TODAY()))-1,ABS(NETWORKDAYS(Proc[[#This Row],[DateOpened]],Proc[[#This Row],[DateClosed]]))-1)</f>
        <v>1</v>
      </c>
      <c r="R1425" s="80" t="s">
        <v>489</v>
      </c>
      <c r="S1425" s="69"/>
    </row>
    <row r="1426" spans="1:19" hidden="1">
      <c r="A1426" s="72" t="s">
        <v>3085</v>
      </c>
      <c r="B1426" s="149" t="str">
        <f>IFERROR(VLOOKUP(Proc[[#This Row],[App]],Table2[],3,0),"open")</f>
        <v>ok</v>
      </c>
      <c r="C1426" s="72" t="s">
        <v>369</v>
      </c>
      <c r="D1426" t="s">
        <v>3159</v>
      </c>
      <c r="E1426" t="s">
        <v>3175</v>
      </c>
      <c r="F1426" s="117" t="s">
        <v>3175</v>
      </c>
      <c r="G1426" s="72" t="s">
        <v>400</v>
      </c>
      <c r="H1426" s="69" t="str">
        <f>IF(Proc[[#This Row],[type]]="LFF (MDG-F)",MID(Proc[[#This Row],[Obj]],13,10),"")</f>
        <v/>
      </c>
      <c r="J1426" s="69" t="b">
        <f>Proc[[#This Row],[Requested]]=Proc[[#This Row],[CurrentParent]]</f>
        <v>1</v>
      </c>
      <c r="K1426" s="144" t="str">
        <f>IF(Proc[[#This Row],[Author]]="Marcela Urrego",VLOOKUP(LEFT(Proc[[#This Row],[Requested]],1),Table3[#All],2,0),VLOOKUP(Proc[[#This Row],[Author]],Table4[],2,0))</f>
        <v>LS</v>
      </c>
      <c r="L1426" s="69" t="s">
        <v>2563</v>
      </c>
      <c r="M1426" s="79">
        <v>45790.144409722219</v>
      </c>
      <c r="N1426" s="83">
        <v>45791</v>
      </c>
      <c r="O1426" s="83">
        <v>45791</v>
      </c>
      <c r="P1426" s="80" t="str">
        <f ca="1">IF(Proc[[#This Row],[DaysAgeing]]&gt;5,"yep","on track")</f>
        <v>on track</v>
      </c>
      <c r="Q1426" s="3">
        <f ca="1">IF(Proc[[#This Row],[DateClosed]]="",ABS(NETWORKDAYS(Proc[[#This Row],[DateOpened]],TODAY()))-1,ABS(NETWORKDAYS(Proc[[#This Row],[DateOpened]],Proc[[#This Row],[DateClosed]]))-1)</f>
        <v>1</v>
      </c>
      <c r="R1426" s="80" t="s">
        <v>489</v>
      </c>
      <c r="S1426" s="69"/>
    </row>
    <row r="1427" spans="1:19" hidden="1">
      <c r="A1427" s="72" t="s">
        <v>3085</v>
      </c>
      <c r="B1427" s="149" t="str">
        <f>IFERROR(VLOOKUP(Proc[[#This Row],[App]],Table2[],3,0),"open")</f>
        <v>ok</v>
      </c>
      <c r="C1427" s="72" t="s">
        <v>369</v>
      </c>
      <c r="D1427" t="s">
        <v>3160</v>
      </c>
      <c r="E1427" t="s">
        <v>3173</v>
      </c>
      <c r="F1427" s="117" t="s">
        <v>3173</v>
      </c>
      <c r="G1427" s="72" t="s">
        <v>400</v>
      </c>
      <c r="H1427" s="69" t="str">
        <f>IF(Proc[[#This Row],[type]]="LFF (MDG-F)",MID(Proc[[#This Row],[Obj]],13,10),"")</f>
        <v/>
      </c>
      <c r="J1427" s="69" t="b">
        <f>Proc[[#This Row],[Requested]]=Proc[[#This Row],[CurrentParent]]</f>
        <v>1</v>
      </c>
      <c r="K1427" s="144" t="str">
        <f>IF(Proc[[#This Row],[Author]]="Marcela Urrego",VLOOKUP(LEFT(Proc[[#This Row],[Requested]],1),Table3[#All],2,0),VLOOKUP(Proc[[#This Row],[Author]],Table4[],2,0))</f>
        <v>LS</v>
      </c>
      <c r="L1427" s="69" t="s">
        <v>2563</v>
      </c>
      <c r="M1427" s="79">
        <v>45790.144409722219</v>
      </c>
      <c r="N1427" s="83">
        <v>45791</v>
      </c>
      <c r="O1427" s="83">
        <v>45791</v>
      </c>
      <c r="P1427" s="80" t="str">
        <f ca="1">IF(Proc[[#This Row],[DaysAgeing]]&gt;5,"yep","on track")</f>
        <v>on track</v>
      </c>
      <c r="Q1427" s="3">
        <f ca="1">IF(Proc[[#This Row],[DateClosed]]="",ABS(NETWORKDAYS(Proc[[#This Row],[DateOpened]],TODAY()))-1,ABS(NETWORKDAYS(Proc[[#This Row],[DateOpened]],Proc[[#This Row],[DateClosed]]))-1)</f>
        <v>1</v>
      </c>
      <c r="R1427" s="80" t="s">
        <v>489</v>
      </c>
      <c r="S1427" s="69"/>
    </row>
    <row r="1428" spans="1:19" hidden="1">
      <c r="A1428" s="72" t="s">
        <v>3085</v>
      </c>
      <c r="B1428" s="149" t="str">
        <f>IFERROR(VLOOKUP(Proc[[#This Row],[App]],Table2[],3,0),"open")</f>
        <v>ok</v>
      </c>
      <c r="C1428" s="72" t="s">
        <v>369</v>
      </c>
      <c r="D1428" t="s">
        <v>3161</v>
      </c>
      <c r="E1428" t="s">
        <v>3164</v>
      </c>
      <c r="F1428" s="117" t="s">
        <v>3164</v>
      </c>
      <c r="G1428" s="72" t="s">
        <v>400</v>
      </c>
      <c r="H1428" s="69" t="str">
        <f>IF(Proc[[#This Row],[type]]="LFF (MDG-F)",MID(Proc[[#This Row],[Obj]],13,10),"")</f>
        <v/>
      </c>
      <c r="J1428" s="69" t="b">
        <f>Proc[[#This Row],[Requested]]=Proc[[#This Row],[CurrentParent]]</f>
        <v>1</v>
      </c>
      <c r="K1428" s="144" t="str">
        <f>IF(Proc[[#This Row],[Author]]="Marcela Urrego",VLOOKUP(LEFT(Proc[[#This Row],[Requested]],1),Table3[#All],2,0),VLOOKUP(Proc[[#This Row],[Author]],Table4[],2,0))</f>
        <v>LS</v>
      </c>
      <c r="L1428" s="69" t="s">
        <v>2563</v>
      </c>
      <c r="M1428" s="79">
        <v>45790.144409722219</v>
      </c>
      <c r="N1428" s="83">
        <v>45791</v>
      </c>
      <c r="O1428" s="83">
        <v>45791</v>
      </c>
      <c r="P1428" s="80" t="str">
        <f ca="1">IF(Proc[[#This Row],[DaysAgeing]]&gt;5,"yep","on track")</f>
        <v>on track</v>
      </c>
      <c r="Q1428" s="3">
        <f ca="1">IF(Proc[[#This Row],[DateClosed]]="",ABS(NETWORKDAYS(Proc[[#This Row],[DateOpened]],TODAY()))-1,ABS(NETWORKDAYS(Proc[[#This Row],[DateOpened]],Proc[[#This Row],[DateClosed]]))-1)</f>
        <v>1</v>
      </c>
      <c r="R1428" s="80" t="s">
        <v>489</v>
      </c>
      <c r="S1428" s="69"/>
    </row>
    <row r="1429" spans="1:19" hidden="1">
      <c r="A1429" s="72" t="s">
        <v>3085</v>
      </c>
      <c r="B1429" s="149" t="str">
        <f>IFERROR(VLOOKUP(Proc[[#This Row],[App]],Table2[],3,0),"open")</f>
        <v>ok</v>
      </c>
      <c r="C1429" s="72" t="s">
        <v>369</v>
      </c>
      <c r="D1429" t="s">
        <v>3162</v>
      </c>
      <c r="E1429" t="s">
        <v>3164</v>
      </c>
      <c r="F1429" s="117" t="s">
        <v>3164</v>
      </c>
      <c r="G1429" s="72" t="s">
        <v>400</v>
      </c>
      <c r="H1429" s="69" t="str">
        <f>IF(Proc[[#This Row],[type]]="LFF (MDG-F)",MID(Proc[[#This Row],[Obj]],13,10),"")</f>
        <v/>
      </c>
      <c r="J1429" s="69" t="b">
        <f>Proc[[#This Row],[Requested]]=Proc[[#This Row],[CurrentParent]]</f>
        <v>1</v>
      </c>
      <c r="K1429" s="144" t="str">
        <f>IF(Proc[[#This Row],[Author]]="Marcela Urrego",VLOOKUP(LEFT(Proc[[#This Row],[Requested]],1),Table3[#All],2,0),VLOOKUP(Proc[[#This Row],[Author]],Table4[],2,0))</f>
        <v>LS</v>
      </c>
      <c r="L1429" s="69" t="s">
        <v>2563</v>
      </c>
      <c r="M1429" s="79">
        <v>45790.144409722219</v>
      </c>
      <c r="N1429" s="83">
        <v>45791</v>
      </c>
      <c r="O1429" s="83">
        <v>45791</v>
      </c>
      <c r="P1429" s="80" t="str">
        <f ca="1">IF(Proc[[#This Row],[DaysAgeing]]&gt;5,"yep","on track")</f>
        <v>on track</v>
      </c>
      <c r="Q1429" s="3">
        <f ca="1">IF(Proc[[#This Row],[DateClosed]]="",ABS(NETWORKDAYS(Proc[[#This Row],[DateOpened]],TODAY()))-1,ABS(NETWORKDAYS(Proc[[#This Row],[DateOpened]],Proc[[#This Row],[DateClosed]]))-1)</f>
        <v>1</v>
      </c>
      <c r="R1429" s="80" t="s">
        <v>489</v>
      </c>
      <c r="S1429" s="69"/>
    </row>
    <row r="1430" spans="1:19" hidden="1">
      <c r="A1430" s="72" t="s">
        <v>3085</v>
      </c>
      <c r="B1430" s="149" t="str">
        <f>IFERROR(VLOOKUP(Proc[[#This Row],[App]],Table2[],3,0),"open")</f>
        <v>ok</v>
      </c>
      <c r="C1430" s="72" t="s">
        <v>377</v>
      </c>
      <c r="D1430" t="s">
        <v>3163</v>
      </c>
      <c r="E1430" t="s">
        <v>3164</v>
      </c>
      <c r="F1430" s="103" t="s">
        <v>3164</v>
      </c>
      <c r="G1430" s="72" t="s">
        <v>400</v>
      </c>
      <c r="H1430" s="69" t="str">
        <f>IF(Proc[[#This Row],[type]]="LFF (MDG-F)",MID(Proc[[#This Row],[Obj]],13,10),"")</f>
        <v/>
      </c>
      <c r="J1430" s="69" t="b">
        <f>Proc[[#This Row],[Requested]]=Proc[[#This Row],[CurrentParent]]</f>
        <v>1</v>
      </c>
      <c r="K1430" s="144" t="str">
        <f>IF(Proc[[#This Row],[Author]]="Marcela Urrego",VLOOKUP(LEFT(Proc[[#This Row],[Requested]],1),Table3[#All],2,0),VLOOKUP(Proc[[#This Row],[Author]],Table4[],2,0))</f>
        <v>LS</v>
      </c>
      <c r="L1430" s="69" t="s">
        <v>2563</v>
      </c>
      <c r="M1430" s="79">
        <v>45790.144409722219</v>
      </c>
      <c r="N1430" s="79"/>
      <c r="O1430" s="79">
        <v>45791</v>
      </c>
      <c r="P1430" s="80" t="str">
        <f ca="1">IF(Proc[[#This Row],[DaysAgeing]]&gt;5,"yep","on track")</f>
        <v>on track</v>
      </c>
      <c r="Q1430" s="3">
        <f ca="1">IF(Proc[[#This Row],[DateClosed]]="",ABS(NETWORKDAYS(Proc[[#This Row],[DateOpened]],TODAY()))-1,ABS(NETWORKDAYS(Proc[[#This Row],[DateOpened]],Proc[[#This Row],[DateClosed]]))-1)</f>
        <v>1</v>
      </c>
      <c r="R1430" s="80" t="s">
        <v>489</v>
      </c>
      <c r="S1430" s="94" t="e">
        <f>VLOOKUP(Proc[[#This Row],[Obj]],#REF!,2,0)</f>
        <v>#REF!</v>
      </c>
    </row>
    <row r="1431" spans="1:19" hidden="1">
      <c r="A1431" t="s">
        <v>3182</v>
      </c>
      <c r="B1431" s="149" t="str">
        <f>IFERROR(VLOOKUP(Proc[[#This Row],[App]],Table2[],3,0),"open")</f>
        <v>ok</v>
      </c>
      <c r="C1431" t="s">
        <v>369</v>
      </c>
      <c r="D1431" t="s">
        <v>3183</v>
      </c>
      <c r="E1431" t="s">
        <v>3185</v>
      </c>
      <c r="F1431" s="117" t="s">
        <v>3185</v>
      </c>
      <c r="G1431" s="72" t="s">
        <v>406</v>
      </c>
      <c r="H1431" s="69" t="str">
        <f>IF(Proc[[#This Row],[type]]="LFF (MDG-F)",MID(Proc[[#This Row],[Obj]],13,10),"")</f>
        <v>2123GM1021</v>
      </c>
      <c r="I1431" t="s">
        <v>1198</v>
      </c>
      <c r="J1431" s="69" t="b">
        <f>Proc[[#This Row],[Requested]]=Proc[[#This Row],[CurrentParent]]</f>
        <v>1</v>
      </c>
      <c r="K1431" s="144" t="str">
        <f>IF(Proc[[#This Row],[Author]]="Marcela Urrego",VLOOKUP(LEFT(Proc[[#This Row],[Requested]],1),Table3[#All],2,0),VLOOKUP(Proc[[#This Row],[Author]],Table4[],2,0))</f>
        <v>MGF</v>
      </c>
      <c r="L1431" s="69" t="s">
        <v>2563</v>
      </c>
      <c r="M1431" s="79">
        <v>45790.361018518517</v>
      </c>
      <c r="N1431" s="79">
        <v>45790</v>
      </c>
      <c r="O1431" s="83">
        <v>45791</v>
      </c>
      <c r="P1431" s="80" t="str">
        <f ca="1">IF(Proc[[#This Row],[DaysAgeing]]&gt;5,"yep","on track")</f>
        <v>on track</v>
      </c>
      <c r="Q1431" s="3">
        <f ca="1">IF(Proc[[#This Row],[DateClosed]]="",ABS(NETWORKDAYS(Proc[[#This Row],[DateOpened]],TODAY()))-1,ABS(NETWORKDAYS(Proc[[#This Row],[DateOpened]],Proc[[#This Row],[DateClosed]]))-1)</f>
        <v>1</v>
      </c>
      <c r="R1431" s="80" t="s">
        <v>515</v>
      </c>
      <c r="S1431" s="69"/>
    </row>
    <row r="1432" spans="1:19" hidden="1">
      <c r="A1432" s="72" t="s">
        <v>3182</v>
      </c>
      <c r="B1432" s="149" t="str">
        <f>IFERROR(VLOOKUP(Proc[[#This Row],[App]],Table2[],3,0),"open")</f>
        <v>ok</v>
      </c>
      <c r="C1432" s="84" t="s">
        <v>369</v>
      </c>
      <c r="D1432" t="s">
        <v>3184</v>
      </c>
      <c r="E1432" t="s">
        <v>3186</v>
      </c>
      <c r="F1432" s="117" t="s">
        <v>3186</v>
      </c>
      <c r="G1432" s="72" t="s">
        <v>406</v>
      </c>
      <c r="H1432" s="69" t="str">
        <f>IF(Proc[[#This Row],[type]]="LFF (MDG-F)",MID(Proc[[#This Row],[Obj]],13,10),"")</f>
        <v>2123GMB010</v>
      </c>
      <c r="I1432" t="s">
        <v>3187</v>
      </c>
      <c r="J1432" s="69" t="b">
        <f>Proc[[#This Row],[Requested]]=Proc[[#This Row],[CurrentParent]]</f>
        <v>1</v>
      </c>
      <c r="K1432" s="144" t="str">
        <f>IF(Proc[[#This Row],[Author]]="Marcela Urrego",VLOOKUP(LEFT(Proc[[#This Row],[Requested]],1),Table3[#All],2,0),VLOOKUP(Proc[[#This Row],[Author]],Table4[],2,0))</f>
        <v>MGF</v>
      </c>
      <c r="L1432" s="69" t="s">
        <v>2563</v>
      </c>
      <c r="M1432" s="79">
        <v>45790.361018518517</v>
      </c>
      <c r="N1432" s="83">
        <v>45791</v>
      </c>
      <c r="O1432" s="83">
        <v>45791</v>
      </c>
      <c r="P1432" s="80" t="str">
        <f ca="1">IF(Proc[[#This Row],[DaysAgeing]]&gt;5,"yep","on track")</f>
        <v>on track</v>
      </c>
      <c r="Q1432" s="3">
        <f ca="1">IF(Proc[[#This Row],[DateClosed]]="",ABS(NETWORKDAYS(Proc[[#This Row],[DateOpened]],TODAY()))-1,ABS(NETWORKDAYS(Proc[[#This Row],[DateOpened]],Proc[[#This Row],[DateClosed]]))-1)</f>
        <v>1</v>
      </c>
      <c r="R1432" s="80" t="s">
        <v>515</v>
      </c>
      <c r="S1432" s="69"/>
    </row>
    <row r="1433" spans="1:19" hidden="1">
      <c r="A1433" t="s">
        <v>3188</v>
      </c>
      <c r="B1433" s="149" t="str">
        <f>IFERROR(VLOOKUP(Proc[[#This Row],[App]],Table2[],3,0),"open")</f>
        <v>ok</v>
      </c>
      <c r="C1433" s="84" t="s">
        <v>369</v>
      </c>
      <c r="D1433" s="82" t="s">
        <v>3189</v>
      </c>
      <c r="E1433" t="s">
        <v>1514</v>
      </c>
      <c r="F1433" s="117" t="s">
        <v>1514</v>
      </c>
      <c r="G1433" s="72" t="s">
        <v>406</v>
      </c>
      <c r="H1433" s="69" t="str">
        <f>IF(Proc[[#This Row],[type]]="LFF (MDG-F)",MID(Proc[[#This Row],[Obj]],13,10),"")</f>
        <v>KE50C0FF10</v>
      </c>
      <c r="I1433" t="s">
        <v>3190</v>
      </c>
      <c r="J1433" s="69" t="b">
        <f>Proc[[#This Row],[Requested]]=Proc[[#This Row],[CurrentParent]]</f>
        <v>1</v>
      </c>
      <c r="K1433" s="144" t="str">
        <f>IF(Proc[[#This Row],[Author]]="Marcela Urrego",VLOOKUP(LEFT(Proc[[#This Row],[Requested]],1),Table3[#All],2,0),VLOOKUP(Proc[[#This Row],[Author]],Table4[],2,0))</f>
        <v>LS</v>
      </c>
      <c r="L1433" s="69" t="s">
        <v>2563</v>
      </c>
      <c r="M1433" s="79">
        <v>45790.424861111111</v>
      </c>
      <c r="N1433" s="83">
        <v>45791</v>
      </c>
      <c r="O1433" s="83">
        <v>45791</v>
      </c>
      <c r="P1433" s="80" t="str">
        <f ca="1">IF(Proc[[#This Row],[DaysAgeing]]&gt;5,"yep","on track")</f>
        <v>on track</v>
      </c>
      <c r="Q1433" s="3">
        <f ca="1">IF(Proc[[#This Row],[DateClosed]]="",ABS(NETWORKDAYS(Proc[[#This Row],[DateOpened]],TODAY()))-1,ABS(NETWORKDAYS(Proc[[#This Row],[DateOpened]],Proc[[#This Row],[DateClosed]]))-1)</f>
        <v>1</v>
      </c>
      <c r="R1433" s="80" t="s">
        <v>489</v>
      </c>
      <c r="S1433" s="69"/>
    </row>
    <row r="1434" spans="1:19" hidden="1">
      <c r="A1434" t="s">
        <v>3191</v>
      </c>
      <c r="B1434" s="149" t="str">
        <f>IFERROR(VLOOKUP(Proc[[#This Row],[App]],Table2[],3,0),"open")</f>
        <v>ok</v>
      </c>
      <c r="C1434" s="84" t="s">
        <v>369</v>
      </c>
      <c r="D1434" t="s">
        <v>2447</v>
      </c>
      <c r="E1434" s="84" t="s">
        <v>2458</v>
      </c>
      <c r="F1434" s="117" t="s">
        <v>2458</v>
      </c>
      <c r="G1434" t="s">
        <v>406</v>
      </c>
      <c r="H1434" s="69" t="str">
        <f>IF(Proc[[#This Row],[type]]="LFF (MDG-F)",MID(Proc[[#This Row],[Obj]],13,10),"")</f>
        <v>2148TASA01</v>
      </c>
      <c r="J1434" s="69" t="b">
        <f>Proc[[#This Row],[Requested]]=Proc[[#This Row],[CurrentParent]]</f>
        <v>1</v>
      </c>
      <c r="K1434" s="144" t="str">
        <f>IF(Proc[[#This Row],[Author]]="Marcela Urrego",VLOOKUP(LEFT(Proc[[#This Row],[Requested]],1),Table3[#All],2,0),VLOOKUP(Proc[[#This Row],[Author]],Table4[],2,0))</f>
        <v>LS</v>
      </c>
      <c r="L1434" s="85" t="s">
        <v>2563</v>
      </c>
      <c r="M1434" s="80">
        <v>45790.424861111111</v>
      </c>
      <c r="N1434" s="83"/>
      <c r="O1434" s="83"/>
      <c r="P1434" s="80" t="str">
        <f ca="1">IF(Proc[[#This Row],[DaysAgeing]]&gt;5,"yep","on track")</f>
        <v>yep</v>
      </c>
      <c r="Q1434" s="3">
        <f ca="1">IF(Proc[[#This Row],[DateClosed]]="",ABS(NETWORKDAYS(Proc[[#This Row],[DateOpened]],TODAY()))-1,ABS(NETWORKDAYS(Proc[[#This Row],[DateOpened]],Proc[[#This Row],[DateClosed]]))-1)</f>
        <v>158</v>
      </c>
      <c r="R1434" s="80" t="s">
        <v>489</v>
      </c>
      <c r="S1434" s="69"/>
    </row>
    <row r="1435" spans="1:19" hidden="1">
      <c r="A1435" s="72" t="s">
        <v>3191</v>
      </c>
      <c r="B1435" s="149" t="str">
        <f>IFERROR(VLOOKUP(Proc[[#This Row],[App]],Table2[],3,0),"open")</f>
        <v>ok</v>
      </c>
      <c r="C1435" s="84" t="s">
        <v>369</v>
      </c>
      <c r="D1435" t="s">
        <v>2448</v>
      </c>
      <c r="E1435" s="84" t="s">
        <v>2458</v>
      </c>
      <c r="F1435" s="117" t="s">
        <v>2458</v>
      </c>
      <c r="G1435" s="84" t="s">
        <v>406</v>
      </c>
      <c r="H1435" s="69" t="str">
        <f>IF(Proc[[#This Row],[type]]="LFF (MDG-F)",MID(Proc[[#This Row],[Obj]],13,10),"")</f>
        <v>2148TASA99</v>
      </c>
      <c r="J1435" s="69" t="b">
        <f>Proc[[#This Row],[Requested]]=Proc[[#This Row],[CurrentParent]]</f>
        <v>1</v>
      </c>
      <c r="K1435" s="144" t="str">
        <f>IF(Proc[[#This Row],[Author]]="Marcela Urrego",VLOOKUP(LEFT(Proc[[#This Row],[Requested]],1),Table3[#All],2,0),VLOOKUP(Proc[[#This Row],[Author]],Table4[],2,0))</f>
        <v>LS</v>
      </c>
      <c r="L1435" s="85" t="s">
        <v>2563</v>
      </c>
      <c r="M1435" s="80">
        <v>45790.424861111111</v>
      </c>
      <c r="N1435" s="83"/>
      <c r="O1435" s="83"/>
      <c r="P1435" s="80" t="str">
        <f ca="1">IF(Proc[[#This Row],[DaysAgeing]]&gt;5,"yep","on track")</f>
        <v>yep</v>
      </c>
      <c r="Q1435" s="3">
        <f ca="1">IF(Proc[[#This Row],[DateClosed]]="",ABS(NETWORKDAYS(Proc[[#This Row],[DateOpened]],TODAY()))-1,ABS(NETWORKDAYS(Proc[[#This Row],[DateOpened]],Proc[[#This Row],[DateClosed]]))-1)</f>
        <v>158</v>
      </c>
      <c r="R1435" s="80" t="s">
        <v>489</v>
      </c>
      <c r="S1435" s="69"/>
    </row>
    <row r="1436" spans="1:19" hidden="1">
      <c r="A1436" s="72" t="s">
        <v>3191</v>
      </c>
      <c r="B1436" s="149" t="str">
        <f>IFERROR(VLOOKUP(Proc[[#This Row],[App]],Table2[],3,0),"open")</f>
        <v>ok</v>
      </c>
      <c r="C1436" s="84" t="s">
        <v>369</v>
      </c>
      <c r="D1436" t="s">
        <v>2449</v>
      </c>
      <c r="E1436" s="84" t="s">
        <v>2458</v>
      </c>
      <c r="F1436" s="117" t="s">
        <v>2458</v>
      </c>
      <c r="G1436" s="84" t="s">
        <v>406</v>
      </c>
      <c r="H1436" s="69" t="str">
        <f>IF(Proc[[#This Row],[type]]="LFF (MDG-F)",MID(Proc[[#This Row],[Obj]],13,10),"")</f>
        <v>2148TASB00</v>
      </c>
      <c r="J1436" s="69" t="b">
        <f>Proc[[#This Row],[Requested]]=Proc[[#This Row],[CurrentParent]]</f>
        <v>1</v>
      </c>
      <c r="K1436" s="144" t="str">
        <f>IF(Proc[[#This Row],[Author]]="Marcela Urrego",VLOOKUP(LEFT(Proc[[#This Row],[Requested]],1),Table3[#All],2,0),VLOOKUP(Proc[[#This Row],[Author]],Table4[],2,0))</f>
        <v>LS</v>
      </c>
      <c r="L1436" s="85" t="s">
        <v>2563</v>
      </c>
      <c r="M1436" s="80">
        <v>45790.424861111111</v>
      </c>
      <c r="N1436" s="83"/>
      <c r="O1436" s="83"/>
      <c r="P1436" s="80" t="str">
        <f ca="1">IF(Proc[[#This Row],[DaysAgeing]]&gt;5,"yep","on track")</f>
        <v>yep</v>
      </c>
      <c r="Q1436" s="3">
        <f ca="1">IF(Proc[[#This Row],[DateClosed]]="",ABS(NETWORKDAYS(Proc[[#This Row],[DateOpened]],TODAY()))-1,ABS(NETWORKDAYS(Proc[[#This Row],[DateOpened]],Proc[[#This Row],[DateClosed]]))-1)</f>
        <v>158</v>
      </c>
      <c r="R1436" s="80" t="s">
        <v>489</v>
      </c>
      <c r="S1436" s="69"/>
    </row>
    <row r="1437" spans="1:19" hidden="1">
      <c r="A1437" s="72" t="s">
        <v>3191</v>
      </c>
      <c r="B1437" s="149" t="str">
        <f>IFERROR(VLOOKUP(Proc[[#This Row],[App]],Table2[],3,0),"open")</f>
        <v>ok</v>
      </c>
      <c r="C1437" s="84" t="s">
        <v>369</v>
      </c>
      <c r="D1437" t="s">
        <v>2450</v>
      </c>
      <c r="E1437" s="84" t="s">
        <v>2458</v>
      </c>
      <c r="F1437" s="117" t="s">
        <v>2458</v>
      </c>
      <c r="G1437" s="84" t="s">
        <v>406</v>
      </c>
      <c r="H1437" s="69" t="str">
        <f>IF(Proc[[#This Row],[type]]="LFF (MDG-F)",MID(Proc[[#This Row],[Obj]],13,10),"")</f>
        <v>2148TASB01</v>
      </c>
      <c r="J1437" s="69" t="b">
        <f>Proc[[#This Row],[Requested]]=Proc[[#This Row],[CurrentParent]]</f>
        <v>1</v>
      </c>
      <c r="K1437" s="144" t="str">
        <f>IF(Proc[[#This Row],[Author]]="Marcela Urrego",VLOOKUP(LEFT(Proc[[#This Row],[Requested]],1),Table3[#All],2,0),VLOOKUP(Proc[[#This Row],[Author]],Table4[],2,0))</f>
        <v>LS</v>
      </c>
      <c r="L1437" s="85" t="s">
        <v>2563</v>
      </c>
      <c r="M1437" s="80">
        <v>45790.424861111111</v>
      </c>
      <c r="N1437" s="83"/>
      <c r="O1437" s="83"/>
      <c r="P1437" s="80" t="str">
        <f ca="1">IF(Proc[[#This Row],[DaysAgeing]]&gt;5,"yep","on track")</f>
        <v>yep</v>
      </c>
      <c r="Q1437" s="3">
        <f ca="1">IF(Proc[[#This Row],[DateClosed]]="",ABS(NETWORKDAYS(Proc[[#This Row],[DateOpened]],TODAY()))-1,ABS(NETWORKDAYS(Proc[[#This Row],[DateOpened]],Proc[[#This Row],[DateClosed]]))-1)</f>
        <v>158</v>
      </c>
      <c r="R1437" s="80" t="s">
        <v>489</v>
      </c>
      <c r="S1437" s="69"/>
    </row>
    <row r="1438" spans="1:19" hidden="1">
      <c r="A1438" s="72" t="s">
        <v>3191</v>
      </c>
      <c r="B1438" s="149" t="str">
        <f>IFERROR(VLOOKUP(Proc[[#This Row],[App]],Table2[],3,0),"open")</f>
        <v>ok</v>
      </c>
      <c r="C1438" s="84" t="s">
        <v>369</v>
      </c>
      <c r="D1438" t="s">
        <v>2451</v>
      </c>
      <c r="E1438" s="84" t="s">
        <v>2458</v>
      </c>
      <c r="F1438" s="117" t="s">
        <v>2458</v>
      </c>
      <c r="G1438" s="84" t="s">
        <v>406</v>
      </c>
      <c r="H1438" s="69" t="str">
        <f>IF(Proc[[#This Row],[type]]="LFF (MDG-F)",MID(Proc[[#This Row],[Obj]],13,10),"")</f>
        <v>2148TASB99</v>
      </c>
      <c r="J1438" s="69" t="b">
        <f>Proc[[#This Row],[Requested]]=Proc[[#This Row],[CurrentParent]]</f>
        <v>1</v>
      </c>
      <c r="K1438" s="144" t="str">
        <f>IF(Proc[[#This Row],[Author]]="Marcela Urrego",VLOOKUP(LEFT(Proc[[#This Row],[Requested]],1),Table3[#All],2,0),VLOOKUP(Proc[[#This Row],[Author]],Table4[],2,0))</f>
        <v>LS</v>
      </c>
      <c r="L1438" s="85" t="s">
        <v>2563</v>
      </c>
      <c r="M1438" s="80">
        <v>45790.424861111111</v>
      </c>
      <c r="N1438" s="83"/>
      <c r="O1438" s="83"/>
      <c r="P1438" s="80" t="str">
        <f ca="1">IF(Proc[[#This Row],[DaysAgeing]]&gt;5,"yep","on track")</f>
        <v>yep</v>
      </c>
      <c r="Q1438" s="3">
        <f ca="1">IF(Proc[[#This Row],[DateClosed]]="",ABS(NETWORKDAYS(Proc[[#This Row],[DateOpened]],TODAY()))-1,ABS(NETWORKDAYS(Proc[[#This Row],[DateOpened]],Proc[[#This Row],[DateClosed]]))-1)</f>
        <v>158</v>
      </c>
      <c r="R1438" s="80" t="s">
        <v>489</v>
      </c>
      <c r="S1438" s="69"/>
    </row>
    <row r="1439" spans="1:19" hidden="1">
      <c r="A1439" s="72" t="s">
        <v>3191</v>
      </c>
      <c r="B1439" s="149" t="str">
        <f>IFERROR(VLOOKUP(Proc[[#This Row],[App]],Table2[],3,0),"open")</f>
        <v>ok</v>
      </c>
      <c r="C1439" s="84" t="s">
        <v>369</v>
      </c>
      <c r="D1439" t="s">
        <v>2452</v>
      </c>
      <c r="E1439" s="84" t="s">
        <v>2458</v>
      </c>
      <c r="F1439" s="117" t="s">
        <v>2458</v>
      </c>
      <c r="G1439" s="84" t="s">
        <v>406</v>
      </c>
      <c r="H1439" s="69" t="str">
        <f>IF(Proc[[#This Row],[type]]="LFF (MDG-F)",MID(Proc[[#This Row],[Obj]],13,10),"")</f>
        <v>2148TBSZ20</v>
      </c>
      <c r="J1439" s="69" t="b">
        <f>Proc[[#This Row],[Requested]]=Proc[[#This Row],[CurrentParent]]</f>
        <v>1</v>
      </c>
      <c r="K1439" s="144" t="str">
        <f>IF(Proc[[#This Row],[Author]]="Marcela Urrego",VLOOKUP(LEFT(Proc[[#This Row],[Requested]],1),Table3[#All],2,0),VLOOKUP(Proc[[#This Row],[Author]],Table4[],2,0))</f>
        <v>LS</v>
      </c>
      <c r="L1439" s="85" t="s">
        <v>2563</v>
      </c>
      <c r="M1439" s="80">
        <v>45790.424861111111</v>
      </c>
      <c r="N1439" s="83"/>
      <c r="O1439" s="83"/>
      <c r="P1439" s="80" t="str">
        <f ca="1">IF(Proc[[#This Row],[DaysAgeing]]&gt;5,"yep","on track")</f>
        <v>yep</v>
      </c>
      <c r="Q1439" s="3">
        <f ca="1">IF(Proc[[#This Row],[DateClosed]]="",ABS(NETWORKDAYS(Proc[[#This Row],[DateOpened]],TODAY()))-1,ABS(NETWORKDAYS(Proc[[#This Row],[DateOpened]],Proc[[#This Row],[DateClosed]]))-1)</f>
        <v>158</v>
      </c>
      <c r="R1439" s="80" t="s">
        <v>489</v>
      </c>
      <c r="S1439" s="69"/>
    </row>
    <row r="1440" spans="1:19" hidden="1">
      <c r="A1440" s="72" t="s">
        <v>3191</v>
      </c>
      <c r="B1440" s="149" t="str">
        <f>IFERROR(VLOOKUP(Proc[[#This Row],[App]],Table2[],3,0),"open")</f>
        <v>ok</v>
      </c>
      <c r="C1440" s="84" t="s">
        <v>369</v>
      </c>
      <c r="D1440" t="s">
        <v>2453</v>
      </c>
      <c r="E1440" s="84" t="s">
        <v>2458</v>
      </c>
      <c r="F1440" s="117" t="s">
        <v>2458</v>
      </c>
      <c r="G1440" s="84" t="s">
        <v>406</v>
      </c>
      <c r="H1440" s="69" t="str">
        <f>IF(Proc[[#This Row],[type]]="LFF (MDG-F)",MID(Proc[[#This Row],[Obj]],13,10),"")</f>
        <v>2148TBSZ21</v>
      </c>
      <c r="J1440" s="69" t="b">
        <f>Proc[[#This Row],[Requested]]=Proc[[#This Row],[CurrentParent]]</f>
        <v>1</v>
      </c>
      <c r="K1440" s="144" t="str">
        <f>IF(Proc[[#This Row],[Author]]="Marcela Urrego",VLOOKUP(LEFT(Proc[[#This Row],[Requested]],1),Table3[#All],2,0),VLOOKUP(Proc[[#This Row],[Author]],Table4[],2,0))</f>
        <v>LS</v>
      </c>
      <c r="L1440" s="85" t="s">
        <v>2563</v>
      </c>
      <c r="M1440" s="80">
        <v>45790.424861111111</v>
      </c>
      <c r="N1440" s="83"/>
      <c r="O1440" s="83"/>
      <c r="P1440" s="80" t="str">
        <f ca="1">IF(Proc[[#This Row],[DaysAgeing]]&gt;5,"yep","on track")</f>
        <v>yep</v>
      </c>
      <c r="Q1440" s="3">
        <f ca="1">IF(Proc[[#This Row],[DateClosed]]="",ABS(NETWORKDAYS(Proc[[#This Row],[DateOpened]],TODAY()))-1,ABS(NETWORKDAYS(Proc[[#This Row],[DateOpened]],Proc[[#This Row],[DateClosed]]))-1)</f>
        <v>158</v>
      </c>
      <c r="R1440" s="80" t="s">
        <v>489</v>
      </c>
      <c r="S1440" s="69"/>
    </row>
    <row r="1441" spans="1:19" hidden="1">
      <c r="A1441" s="72" t="s">
        <v>3191</v>
      </c>
      <c r="B1441" s="149" t="str">
        <f>IFERROR(VLOOKUP(Proc[[#This Row],[App]],Table2[],3,0),"open")</f>
        <v>ok</v>
      </c>
      <c r="C1441" s="84" t="s">
        <v>369</v>
      </c>
      <c r="D1441" t="s">
        <v>2454</v>
      </c>
      <c r="E1441" s="84" t="s">
        <v>2458</v>
      </c>
      <c r="F1441" s="117" t="s">
        <v>2458</v>
      </c>
      <c r="G1441" s="84" t="s">
        <v>406</v>
      </c>
      <c r="H1441" s="69" t="str">
        <f>IF(Proc[[#This Row],[type]]="LFF (MDG-F)",MID(Proc[[#This Row],[Obj]],13,10),"")</f>
        <v>2148TFSZ64</v>
      </c>
      <c r="J1441" s="69" t="b">
        <f>Proc[[#This Row],[Requested]]=Proc[[#This Row],[CurrentParent]]</f>
        <v>1</v>
      </c>
      <c r="K1441" s="144" t="str">
        <f>IF(Proc[[#This Row],[Author]]="Marcela Urrego",VLOOKUP(LEFT(Proc[[#This Row],[Requested]],1),Table3[#All],2,0),VLOOKUP(Proc[[#This Row],[Author]],Table4[],2,0))</f>
        <v>LS</v>
      </c>
      <c r="L1441" s="85" t="s">
        <v>2563</v>
      </c>
      <c r="M1441" s="80">
        <v>45790.424861111111</v>
      </c>
      <c r="N1441" s="83"/>
      <c r="O1441" s="83"/>
      <c r="P1441" s="80" t="str">
        <f ca="1">IF(Proc[[#This Row],[DaysAgeing]]&gt;5,"yep","on track")</f>
        <v>yep</v>
      </c>
      <c r="Q1441" s="3">
        <f ca="1">IF(Proc[[#This Row],[DateClosed]]="",ABS(NETWORKDAYS(Proc[[#This Row],[DateOpened]],TODAY()))-1,ABS(NETWORKDAYS(Proc[[#This Row],[DateOpened]],Proc[[#This Row],[DateClosed]]))-1)</f>
        <v>158</v>
      </c>
      <c r="R1441" s="80" t="s">
        <v>489</v>
      </c>
      <c r="S1441" s="69"/>
    </row>
    <row r="1442" spans="1:19" hidden="1">
      <c r="A1442" s="72" t="s">
        <v>3191</v>
      </c>
      <c r="B1442" s="149" t="str">
        <f>IFERROR(VLOOKUP(Proc[[#This Row],[App]],Table2[],3,0),"open")</f>
        <v>ok</v>
      </c>
      <c r="C1442" s="84" t="s">
        <v>369</v>
      </c>
      <c r="D1442" t="s">
        <v>2455</v>
      </c>
      <c r="E1442" s="84" t="s">
        <v>2458</v>
      </c>
      <c r="F1442" s="117" t="s">
        <v>2458</v>
      </c>
      <c r="G1442" s="84" t="s">
        <v>406</v>
      </c>
      <c r="H1442" s="69" t="str">
        <f>IF(Proc[[#This Row],[type]]="LFF (MDG-F)",MID(Proc[[#This Row],[Obj]],13,10),"")</f>
        <v>2148TKSZ70</v>
      </c>
      <c r="J1442" s="69" t="b">
        <f>Proc[[#This Row],[Requested]]=Proc[[#This Row],[CurrentParent]]</f>
        <v>1</v>
      </c>
      <c r="K1442" s="144" t="str">
        <f>IF(Proc[[#This Row],[Author]]="Marcela Urrego",VLOOKUP(LEFT(Proc[[#This Row],[Requested]],1),Table3[#All],2,0),VLOOKUP(Proc[[#This Row],[Author]],Table4[],2,0))</f>
        <v>LS</v>
      </c>
      <c r="L1442" s="85" t="s">
        <v>2563</v>
      </c>
      <c r="M1442" s="80">
        <v>45790.424861111111</v>
      </c>
      <c r="N1442" s="83"/>
      <c r="O1442" s="83"/>
      <c r="P1442" s="80" t="str">
        <f ca="1">IF(Proc[[#This Row],[DaysAgeing]]&gt;5,"yep","on track")</f>
        <v>yep</v>
      </c>
      <c r="Q1442" s="3">
        <f ca="1">IF(Proc[[#This Row],[DateClosed]]="",ABS(NETWORKDAYS(Proc[[#This Row],[DateOpened]],TODAY()))-1,ABS(NETWORKDAYS(Proc[[#This Row],[DateOpened]],Proc[[#This Row],[DateClosed]]))-1)</f>
        <v>158</v>
      </c>
      <c r="R1442" s="80" t="s">
        <v>489</v>
      </c>
      <c r="S1442" s="69"/>
    </row>
    <row r="1443" spans="1:19" hidden="1">
      <c r="A1443" s="72" t="s">
        <v>3191</v>
      </c>
      <c r="B1443" s="149" t="str">
        <f>IFERROR(VLOOKUP(Proc[[#This Row],[App]],Table2[],3,0),"open")</f>
        <v>ok</v>
      </c>
      <c r="C1443" s="84" t="s">
        <v>369</v>
      </c>
      <c r="D1443" t="s">
        <v>2456</v>
      </c>
      <c r="E1443" s="84" t="s">
        <v>2458</v>
      </c>
      <c r="F1443" s="117" t="s">
        <v>2458</v>
      </c>
      <c r="G1443" s="84" t="s">
        <v>406</v>
      </c>
      <c r="H1443" s="69" t="str">
        <f>IF(Proc[[#This Row],[type]]="LFF (MDG-F)",MID(Proc[[#This Row],[Obj]],13,10),"")</f>
        <v>2148TQSZ91</v>
      </c>
      <c r="J1443" s="69" t="b">
        <f>Proc[[#This Row],[Requested]]=Proc[[#This Row],[CurrentParent]]</f>
        <v>1</v>
      </c>
      <c r="K1443" s="144" t="str">
        <f>IF(Proc[[#This Row],[Author]]="Marcela Urrego",VLOOKUP(LEFT(Proc[[#This Row],[Requested]],1),Table3[#All],2,0),VLOOKUP(Proc[[#This Row],[Author]],Table4[],2,0))</f>
        <v>LS</v>
      </c>
      <c r="L1443" s="85" t="s">
        <v>2563</v>
      </c>
      <c r="M1443" s="80">
        <v>45790.424861111111</v>
      </c>
      <c r="N1443" s="83"/>
      <c r="O1443" s="83"/>
      <c r="P1443" s="80" t="str">
        <f ca="1">IF(Proc[[#This Row],[DaysAgeing]]&gt;5,"yep","on track")</f>
        <v>yep</v>
      </c>
      <c r="Q1443" s="3">
        <f ca="1">IF(Proc[[#This Row],[DateClosed]]="",ABS(NETWORKDAYS(Proc[[#This Row],[DateOpened]],TODAY()))-1,ABS(NETWORKDAYS(Proc[[#This Row],[DateOpened]],Proc[[#This Row],[DateClosed]]))-1)</f>
        <v>158</v>
      </c>
      <c r="R1443" s="80" t="s">
        <v>489</v>
      </c>
      <c r="S1443" s="69"/>
    </row>
    <row r="1444" spans="1:19" hidden="1">
      <c r="A1444" s="72" t="s">
        <v>3191</v>
      </c>
      <c r="B1444" s="149" t="str">
        <f>IFERROR(VLOOKUP(Proc[[#This Row],[App]],Table2[],3,0),"open")</f>
        <v>ok</v>
      </c>
      <c r="C1444" s="84" t="s">
        <v>369</v>
      </c>
      <c r="D1444" t="s">
        <v>2457</v>
      </c>
      <c r="E1444" s="84" t="s">
        <v>2458</v>
      </c>
      <c r="F1444" s="117" t="s">
        <v>2458</v>
      </c>
      <c r="G1444" s="84" t="s">
        <v>406</v>
      </c>
      <c r="H1444" s="69" t="str">
        <f>IF(Proc[[#This Row],[type]]="LFF (MDG-F)",MID(Proc[[#This Row],[Obj]],13,10),"")</f>
        <v>2148TQSZ92</v>
      </c>
      <c r="J1444" s="69" t="b">
        <f>Proc[[#This Row],[Requested]]=Proc[[#This Row],[CurrentParent]]</f>
        <v>1</v>
      </c>
      <c r="K1444" s="144" t="str">
        <f>IF(Proc[[#This Row],[Author]]="Marcela Urrego",VLOOKUP(LEFT(Proc[[#This Row],[Requested]],1),Table3[#All],2,0),VLOOKUP(Proc[[#This Row],[Author]],Table4[],2,0))</f>
        <v>LS</v>
      </c>
      <c r="L1444" s="85" t="s">
        <v>2563</v>
      </c>
      <c r="M1444" s="80">
        <v>45790.424861111111</v>
      </c>
      <c r="N1444" s="83"/>
      <c r="O1444" s="83"/>
      <c r="P1444" s="80" t="str">
        <f ca="1">IF(Proc[[#This Row],[DaysAgeing]]&gt;5,"yep","on track")</f>
        <v>yep</v>
      </c>
      <c r="Q1444" s="3">
        <f ca="1">IF(Proc[[#This Row],[DateClosed]]="",ABS(NETWORKDAYS(Proc[[#This Row],[DateOpened]],TODAY()))-1,ABS(NETWORKDAYS(Proc[[#This Row],[DateOpened]],Proc[[#This Row],[DateClosed]]))-1)</f>
        <v>158</v>
      </c>
      <c r="R1444" s="80" t="s">
        <v>489</v>
      </c>
      <c r="S1444" s="69"/>
    </row>
    <row r="1445" spans="1:19" hidden="1">
      <c r="A1445" s="72" t="s">
        <v>3191</v>
      </c>
      <c r="B1445" s="149" t="str">
        <f>IFERROR(VLOOKUP(Proc[[#This Row],[App]],Table2[],3,0),"open")</f>
        <v>ok</v>
      </c>
      <c r="C1445" s="84" t="s">
        <v>369</v>
      </c>
      <c r="D1445" t="s">
        <v>3192</v>
      </c>
      <c r="E1445" s="84" t="s">
        <v>2458</v>
      </c>
      <c r="F1445" s="117" t="s">
        <v>2458</v>
      </c>
      <c r="G1445" s="84" t="s">
        <v>406</v>
      </c>
      <c r="H1445" s="69" t="str">
        <f>IF(Proc[[#This Row],[type]]="LFF (MDG-F)",MID(Proc[[#This Row],[Obj]],13,10),"")</f>
        <v>2148TCSZ30</v>
      </c>
      <c r="J1445" s="69" t="b">
        <f>Proc[[#This Row],[Requested]]=Proc[[#This Row],[CurrentParent]]</f>
        <v>1</v>
      </c>
      <c r="K1445" s="144" t="str">
        <f>IF(Proc[[#This Row],[Author]]="Marcela Urrego",VLOOKUP(LEFT(Proc[[#This Row],[Requested]],1),Table3[#All],2,0),VLOOKUP(Proc[[#This Row],[Author]],Table4[],2,0))</f>
        <v>LS</v>
      </c>
      <c r="L1445" s="85" t="s">
        <v>2563</v>
      </c>
      <c r="M1445" s="80">
        <v>45790.424861111111</v>
      </c>
      <c r="N1445" s="83"/>
      <c r="O1445" s="83"/>
      <c r="P1445" s="80" t="str">
        <f ca="1">IF(Proc[[#This Row],[DaysAgeing]]&gt;5,"yep","on track")</f>
        <v>yep</v>
      </c>
      <c r="Q1445" s="3">
        <f ca="1">IF(Proc[[#This Row],[DateClosed]]="",ABS(NETWORKDAYS(Proc[[#This Row],[DateOpened]],TODAY()))-1,ABS(NETWORKDAYS(Proc[[#This Row],[DateOpened]],Proc[[#This Row],[DateClosed]]))-1)</f>
        <v>158</v>
      </c>
      <c r="R1445" s="80" t="s">
        <v>489</v>
      </c>
      <c r="S1445" s="69"/>
    </row>
    <row r="1446" spans="1:19" hidden="1">
      <c r="A1446" s="72" t="s">
        <v>3191</v>
      </c>
      <c r="B1446" s="149" t="str">
        <f>IFERROR(VLOOKUP(Proc[[#This Row],[App]],Table2[],3,0),"open")</f>
        <v>ok</v>
      </c>
      <c r="C1446" s="84" t="s">
        <v>369</v>
      </c>
      <c r="D1446" t="s">
        <v>3193</v>
      </c>
      <c r="E1446" s="84" t="s">
        <v>2458</v>
      </c>
      <c r="F1446" s="117" t="s">
        <v>2458</v>
      </c>
      <c r="G1446" s="84" t="s">
        <v>406</v>
      </c>
      <c r="H1446" s="69" t="str">
        <f>IF(Proc[[#This Row],[type]]="LFF (MDG-F)",MID(Proc[[#This Row],[Obj]],13,10),"")</f>
        <v>2148TFSZ60</v>
      </c>
      <c r="J1446" s="69" t="b">
        <f>Proc[[#This Row],[Requested]]=Proc[[#This Row],[CurrentParent]]</f>
        <v>1</v>
      </c>
      <c r="K1446" s="144" t="str">
        <f>IF(Proc[[#This Row],[Author]]="Marcela Urrego",VLOOKUP(LEFT(Proc[[#This Row],[Requested]],1),Table3[#All],2,0),VLOOKUP(Proc[[#This Row],[Author]],Table4[],2,0))</f>
        <v>LS</v>
      </c>
      <c r="L1446" s="85" t="s">
        <v>2563</v>
      </c>
      <c r="M1446" s="80">
        <v>45790.424861111111</v>
      </c>
      <c r="N1446" s="83"/>
      <c r="O1446" s="83"/>
      <c r="P1446" s="80" t="str">
        <f ca="1">IF(Proc[[#This Row],[DaysAgeing]]&gt;5,"yep","on track")</f>
        <v>yep</v>
      </c>
      <c r="Q1446" s="3">
        <f ca="1">IF(Proc[[#This Row],[DateClosed]]="",ABS(NETWORKDAYS(Proc[[#This Row],[DateOpened]],TODAY()))-1,ABS(NETWORKDAYS(Proc[[#This Row],[DateOpened]],Proc[[#This Row],[DateClosed]]))-1)</f>
        <v>158</v>
      </c>
      <c r="R1446" s="80" t="s">
        <v>489</v>
      </c>
      <c r="S1446" s="69"/>
    </row>
    <row r="1447" spans="1:19" hidden="1">
      <c r="A1447" s="72" t="s">
        <v>3191</v>
      </c>
      <c r="B1447" s="149" t="str">
        <f>IFERROR(VLOOKUP(Proc[[#This Row],[App]],Table2[],3,0),"open")</f>
        <v>ok</v>
      </c>
      <c r="C1447" s="84" t="s">
        <v>369</v>
      </c>
      <c r="D1447" t="s">
        <v>3194</v>
      </c>
      <c r="E1447" s="84" t="s">
        <v>2458</v>
      </c>
      <c r="F1447" s="117" t="s">
        <v>2458</v>
      </c>
      <c r="G1447" s="84" t="s">
        <v>406</v>
      </c>
      <c r="H1447" s="69" t="str">
        <f>IF(Proc[[#This Row],[type]]="LFF (MDG-F)",MID(Proc[[#This Row],[Obj]],13,10),"")</f>
        <v>2148TFSZ61</v>
      </c>
      <c r="J1447" s="69" t="b">
        <f>Proc[[#This Row],[Requested]]=Proc[[#This Row],[CurrentParent]]</f>
        <v>1</v>
      </c>
      <c r="K1447" s="144" t="str">
        <f>IF(Proc[[#This Row],[Author]]="Marcela Urrego",VLOOKUP(LEFT(Proc[[#This Row],[Requested]],1),Table3[#All],2,0),VLOOKUP(Proc[[#This Row],[Author]],Table4[],2,0))</f>
        <v>LS</v>
      </c>
      <c r="L1447" s="85" t="s">
        <v>2563</v>
      </c>
      <c r="M1447" s="80">
        <v>45790.424861111111</v>
      </c>
      <c r="N1447" s="83"/>
      <c r="O1447" s="83"/>
      <c r="P1447" s="80" t="str">
        <f ca="1">IF(Proc[[#This Row],[DaysAgeing]]&gt;5,"yep","on track")</f>
        <v>yep</v>
      </c>
      <c r="Q1447" s="3">
        <f ca="1">IF(Proc[[#This Row],[DateClosed]]="",ABS(NETWORKDAYS(Proc[[#This Row],[DateOpened]],TODAY()))-1,ABS(NETWORKDAYS(Proc[[#This Row],[DateOpened]],Proc[[#This Row],[DateClosed]]))-1)</f>
        <v>158</v>
      </c>
      <c r="R1447" s="80" t="s">
        <v>489</v>
      </c>
      <c r="S1447" s="69"/>
    </row>
    <row r="1448" spans="1:19" hidden="1">
      <c r="A1448" s="72" t="s">
        <v>3191</v>
      </c>
      <c r="B1448" s="149" t="str">
        <f>IFERROR(VLOOKUP(Proc[[#This Row],[App]],Table2[],3,0),"open")</f>
        <v>ok</v>
      </c>
      <c r="C1448" s="84" t="s">
        <v>369</v>
      </c>
      <c r="D1448" t="s">
        <v>3195</v>
      </c>
      <c r="E1448" s="84" t="s">
        <v>2458</v>
      </c>
      <c r="F1448" s="117" t="s">
        <v>2458</v>
      </c>
      <c r="G1448" s="84" t="s">
        <v>406</v>
      </c>
      <c r="H1448" s="69" t="str">
        <f>IF(Proc[[#This Row],[type]]="LFF (MDG-F)",MID(Proc[[#This Row],[Obj]],13,10),"")</f>
        <v>2148TFSZ62</v>
      </c>
      <c r="J1448" s="69" t="b">
        <f>Proc[[#This Row],[Requested]]=Proc[[#This Row],[CurrentParent]]</f>
        <v>1</v>
      </c>
      <c r="K1448" s="144" t="str">
        <f>IF(Proc[[#This Row],[Author]]="Marcela Urrego",VLOOKUP(LEFT(Proc[[#This Row],[Requested]],1),Table3[#All],2,0),VLOOKUP(Proc[[#This Row],[Author]],Table4[],2,0))</f>
        <v>LS</v>
      </c>
      <c r="L1448" s="85" t="s">
        <v>2563</v>
      </c>
      <c r="M1448" s="80">
        <v>45790.424861111111</v>
      </c>
      <c r="N1448" s="83"/>
      <c r="O1448" s="83"/>
      <c r="P1448" s="80" t="str">
        <f ca="1">IF(Proc[[#This Row],[DaysAgeing]]&gt;5,"yep","on track")</f>
        <v>yep</v>
      </c>
      <c r="Q1448" s="3">
        <f ca="1">IF(Proc[[#This Row],[DateClosed]]="",ABS(NETWORKDAYS(Proc[[#This Row],[DateOpened]],TODAY()))-1,ABS(NETWORKDAYS(Proc[[#This Row],[DateOpened]],Proc[[#This Row],[DateClosed]]))-1)</f>
        <v>158</v>
      </c>
      <c r="R1448" s="80" t="s">
        <v>489</v>
      </c>
      <c r="S1448" s="69"/>
    </row>
    <row r="1449" spans="1:19" hidden="1">
      <c r="A1449" s="72" t="s">
        <v>3191</v>
      </c>
      <c r="B1449" s="149" t="str">
        <f>IFERROR(VLOOKUP(Proc[[#This Row],[App]],Table2[],3,0),"open")</f>
        <v>ok</v>
      </c>
      <c r="C1449" s="84" t="s">
        <v>369</v>
      </c>
      <c r="D1449" t="s">
        <v>3196</v>
      </c>
      <c r="E1449" s="84" t="s">
        <v>2458</v>
      </c>
      <c r="F1449" s="117" t="s">
        <v>2458</v>
      </c>
      <c r="G1449" s="84" t="s">
        <v>406</v>
      </c>
      <c r="H1449" s="69" t="str">
        <f>IF(Proc[[#This Row],[type]]="LFF (MDG-F)",MID(Proc[[#This Row],[Obj]],13,10),"")</f>
        <v>2148TFSZ63</v>
      </c>
      <c r="J1449" s="69" t="b">
        <f>Proc[[#This Row],[Requested]]=Proc[[#This Row],[CurrentParent]]</f>
        <v>1</v>
      </c>
      <c r="K1449" s="144" t="str">
        <f>IF(Proc[[#This Row],[Author]]="Marcela Urrego",VLOOKUP(LEFT(Proc[[#This Row],[Requested]],1),Table3[#All],2,0),VLOOKUP(Proc[[#This Row],[Author]],Table4[],2,0))</f>
        <v>LS</v>
      </c>
      <c r="L1449" s="85" t="s">
        <v>2563</v>
      </c>
      <c r="M1449" s="80">
        <v>45790.424861111111</v>
      </c>
      <c r="N1449" s="83"/>
      <c r="O1449" s="83"/>
      <c r="P1449" s="80" t="str">
        <f ca="1">IF(Proc[[#This Row],[DaysAgeing]]&gt;5,"yep","on track")</f>
        <v>yep</v>
      </c>
      <c r="Q1449" s="3">
        <f ca="1">IF(Proc[[#This Row],[DateClosed]]="",ABS(NETWORKDAYS(Proc[[#This Row],[DateOpened]],TODAY()))-1,ABS(NETWORKDAYS(Proc[[#This Row],[DateOpened]],Proc[[#This Row],[DateClosed]]))-1)</f>
        <v>158</v>
      </c>
      <c r="R1449" s="80" t="s">
        <v>489</v>
      </c>
      <c r="S1449" s="69"/>
    </row>
    <row r="1450" spans="1:19" hidden="1">
      <c r="A1450" s="72" t="s">
        <v>3191</v>
      </c>
      <c r="B1450" s="149" t="str">
        <f>IFERROR(VLOOKUP(Proc[[#This Row],[App]],Table2[],3,0),"open")</f>
        <v>ok</v>
      </c>
      <c r="C1450" s="84" t="s">
        <v>369</v>
      </c>
      <c r="D1450" t="s">
        <v>3200</v>
      </c>
      <c r="E1450" s="84" t="s">
        <v>2458</v>
      </c>
      <c r="F1450" s="117" t="s">
        <v>2458</v>
      </c>
      <c r="G1450" s="84" t="s">
        <v>406</v>
      </c>
      <c r="H1450" s="69" t="str">
        <f>IF(Proc[[#This Row],[type]]="LFF (MDG-F)",MID(Proc[[#This Row],[Obj]],13,10),"")</f>
        <v>2148TASA00</v>
      </c>
      <c r="J1450" s="69" t="b">
        <f>Proc[[#This Row],[Requested]]=Proc[[#This Row],[CurrentParent]]</f>
        <v>1</v>
      </c>
      <c r="K1450" s="144" t="str">
        <f>IF(Proc[[#This Row],[Author]]="Marcela Urrego",VLOOKUP(LEFT(Proc[[#This Row],[Requested]],1),Table3[#All],2,0),VLOOKUP(Proc[[#This Row],[Author]],Table4[],2,0))</f>
        <v>LS</v>
      </c>
      <c r="L1450" s="85" t="s">
        <v>2563</v>
      </c>
      <c r="M1450" s="80">
        <v>45790.424861111111</v>
      </c>
      <c r="N1450" s="83"/>
      <c r="O1450" s="83"/>
      <c r="P1450" s="80" t="str">
        <f ca="1">IF(Proc[[#This Row],[DaysAgeing]]&gt;5,"yep","on track")</f>
        <v>yep</v>
      </c>
      <c r="Q1450" s="3">
        <f ca="1">IF(Proc[[#This Row],[DateClosed]]="",ABS(NETWORKDAYS(Proc[[#This Row],[DateOpened]],TODAY()))-1,ABS(NETWORKDAYS(Proc[[#This Row],[DateOpened]],Proc[[#This Row],[DateClosed]]))-1)</f>
        <v>158</v>
      </c>
      <c r="R1450" s="80" t="s">
        <v>489</v>
      </c>
      <c r="S1450" s="69"/>
    </row>
    <row r="1451" spans="1:19" hidden="1">
      <c r="A1451" s="72" t="s">
        <v>3191</v>
      </c>
      <c r="B1451" s="149" t="str">
        <f>IFERROR(VLOOKUP(Proc[[#This Row],[App]],Table2[],3,0),"open")</f>
        <v>ok</v>
      </c>
      <c r="C1451" s="84" t="s">
        <v>369</v>
      </c>
      <c r="D1451" t="s">
        <v>3197</v>
      </c>
      <c r="E1451" s="84" t="s">
        <v>2458</v>
      </c>
      <c r="F1451" s="117" t="s">
        <v>2458</v>
      </c>
      <c r="G1451" s="84" t="s">
        <v>406</v>
      </c>
      <c r="H1451" s="69" t="str">
        <f>IF(Proc[[#This Row],[type]]="LFF (MDG-F)",MID(Proc[[#This Row],[Obj]],13,10),"")</f>
        <v>2148TASA00</v>
      </c>
      <c r="J1451" s="69" t="b">
        <f>Proc[[#This Row],[Requested]]=Proc[[#This Row],[CurrentParent]]</f>
        <v>1</v>
      </c>
      <c r="K1451" s="144" t="str">
        <f>IF(Proc[[#This Row],[Author]]="Marcela Urrego",VLOOKUP(LEFT(Proc[[#This Row],[Requested]],1),Table3[#All],2,0),VLOOKUP(Proc[[#This Row],[Author]],Table4[],2,0))</f>
        <v>LS</v>
      </c>
      <c r="L1451" s="85" t="s">
        <v>2563</v>
      </c>
      <c r="M1451" s="80">
        <v>45790.424861111111</v>
      </c>
      <c r="N1451" s="83"/>
      <c r="O1451" s="83"/>
      <c r="P1451" s="80" t="str">
        <f ca="1">IF(Proc[[#This Row],[DaysAgeing]]&gt;5,"yep","on track")</f>
        <v>yep</v>
      </c>
      <c r="Q1451" s="3">
        <f ca="1">IF(Proc[[#This Row],[DateClosed]]="",ABS(NETWORKDAYS(Proc[[#This Row],[DateOpened]],TODAY()))-1,ABS(NETWORKDAYS(Proc[[#This Row],[DateOpened]],Proc[[#This Row],[DateClosed]]))-1)</f>
        <v>158</v>
      </c>
      <c r="R1451" s="80" t="s">
        <v>489</v>
      </c>
      <c r="S1451" s="69"/>
    </row>
    <row r="1452" spans="1:19" hidden="1">
      <c r="A1452" s="72" t="s">
        <v>3191</v>
      </c>
      <c r="B1452" s="149" t="str">
        <f>IFERROR(VLOOKUP(Proc[[#This Row],[App]],Table2[],3,0),"open")</f>
        <v>ok</v>
      </c>
      <c r="C1452" s="84" t="s">
        <v>369</v>
      </c>
      <c r="D1452" t="s">
        <v>3198</v>
      </c>
      <c r="E1452" s="84" t="s">
        <v>2458</v>
      </c>
      <c r="F1452" s="117" t="s">
        <v>2458</v>
      </c>
      <c r="G1452" s="84" t="s">
        <v>406</v>
      </c>
      <c r="H1452" s="69" t="str">
        <f>IF(Proc[[#This Row],[type]]="LFF (MDG-F)",MID(Proc[[#This Row],[Obj]],13,10),"")</f>
        <v>2148TASA00</v>
      </c>
      <c r="J1452" s="69" t="b">
        <f>Proc[[#This Row],[Requested]]=Proc[[#This Row],[CurrentParent]]</f>
        <v>1</v>
      </c>
      <c r="K1452" s="144" t="str">
        <f>IF(Proc[[#This Row],[Author]]="Marcela Urrego",VLOOKUP(LEFT(Proc[[#This Row],[Requested]],1),Table3[#All],2,0),VLOOKUP(Proc[[#This Row],[Author]],Table4[],2,0))</f>
        <v>LS</v>
      </c>
      <c r="L1452" s="85" t="s">
        <v>2563</v>
      </c>
      <c r="M1452" s="80">
        <v>45790.424861111111</v>
      </c>
      <c r="N1452" s="83"/>
      <c r="O1452" s="83"/>
      <c r="P1452" s="80" t="str">
        <f ca="1">IF(Proc[[#This Row],[DaysAgeing]]&gt;5,"yep","on track")</f>
        <v>yep</v>
      </c>
      <c r="Q1452" s="3">
        <f ca="1">IF(Proc[[#This Row],[DateClosed]]="",ABS(NETWORKDAYS(Proc[[#This Row],[DateOpened]],TODAY()))-1,ABS(NETWORKDAYS(Proc[[#This Row],[DateOpened]],Proc[[#This Row],[DateClosed]]))-1)</f>
        <v>158</v>
      </c>
      <c r="R1452" s="80" t="s">
        <v>489</v>
      </c>
      <c r="S1452" s="69"/>
    </row>
    <row r="1453" spans="1:19" hidden="1">
      <c r="A1453" s="72" t="s">
        <v>3191</v>
      </c>
      <c r="B1453" s="149" t="str">
        <f>IFERROR(VLOOKUP(Proc[[#This Row],[App]],Table2[],3,0),"open")</f>
        <v>ok</v>
      </c>
      <c r="C1453" s="84" t="s">
        <v>369</v>
      </c>
      <c r="D1453" t="s">
        <v>3199</v>
      </c>
      <c r="E1453" s="84" t="s">
        <v>2458</v>
      </c>
      <c r="F1453" s="117" t="s">
        <v>2458</v>
      </c>
      <c r="G1453" s="84" t="s">
        <v>406</v>
      </c>
      <c r="H1453" s="69" t="str">
        <f>IF(Proc[[#This Row],[type]]="LFF (MDG-F)",MID(Proc[[#This Row],[Obj]],13,10),"")</f>
        <v>2148TASA00</v>
      </c>
      <c r="J1453" s="69" t="b">
        <f>Proc[[#This Row],[Requested]]=Proc[[#This Row],[CurrentParent]]</f>
        <v>1</v>
      </c>
      <c r="K1453" s="144" t="str">
        <f>IF(Proc[[#This Row],[Author]]="Marcela Urrego",VLOOKUP(LEFT(Proc[[#This Row],[Requested]],1),Table3[#All],2,0),VLOOKUP(Proc[[#This Row],[Author]],Table4[],2,0))</f>
        <v>LS</v>
      </c>
      <c r="L1453" s="85" t="s">
        <v>2563</v>
      </c>
      <c r="M1453" s="80">
        <v>45790.424861111111</v>
      </c>
      <c r="N1453" s="83"/>
      <c r="O1453" s="83"/>
      <c r="P1453" s="80" t="str">
        <f ca="1">IF(Proc[[#This Row],[DaysAgeing]]&gt;5,"yep","on track")</f>
        <v>yep</v>
      </c>
      <c r="Q1453" s="3">
        <f ca="1">IF(Proc[[#This Row],[DateClosed]]="",ABS(NETWORKDAYS(Proc[[#This Row],[DateOpened]],TODAY()))-1,ABS(NETWORKDAYS(Proc[[#This Row],[DateOpened]],Proc[[#This Row],[DateClosed]]))-1)</f>
        <v>158</v>
      </c>
      <c r="R1453" s="80" t="s">
        <v>489</v>
      </c>
      <c r="S1453" s="69"/>
    </row>
    <row r="1454" spans="1:19" hidden="1">
      <c r="A1454" t="s">
        <v>3201</v>
      </c>
      <c r="B1454" s="149" t="str">
        <f>IFERROR(VLOOKUP(Proc[[#This Row],[App]],Table2[],3,0),"open")</f>
        <v>ok</v>
      </c>
      <c r="C1454" t="s">
        <v>369</v>
      </c>
      <c r="D1454" t="s">
        <v>3202</v>
      </c>
      <c r="E1454" s="84" t="s">
        <v>3227</v>
      </c>
      <c r="F1454" s="117" t="s">
        <v>3227</v>
      </c>
      <c r="G1454" s="84" t="s">
        <v>406</v>
      </c>
      <c r="H1454" s="85" t="str">
        <f>IF(Proc[[#This Row],[type]]="LFF (MDG-F)",MID(Proc[[#This Row],[Obj]],13,10),"")</f>
        <v>DE04G0IT99</v>
      </c>
      <c r="I1454" t="s">
        <v>3285</v>
      </c>
      <c r="J1454" s="85" t="b">
        <f>Proc[[#This Row],[Requested]]=Proc[[#This Row],[CurrentParent]]</f>
        <v>1</v>
      </c>
      <c r="K1454" s="144" t="str">
        <f>IF(Proc[[#This Row],[Author]]="Marcela Urrego",VLOOKUP(LEFT(Proc[[#This Row],[Requested]],1),Table3[#All],2,0),VLOOKUP(Proc[[#This Row],[Author]],Table4[],2,0))</f>
        <v>MGF</v>
      </c>
      <c r="L1454" s="85" t="s">
        <v>2563</v>
      </c>
      <c r="M1454" s="80">
        <v>45790.424861111111</v>
      </c>
      <c r="N1454" s="83">
        <v>45796</v>
      </c>
      <c r="O1454" s="83">
        <v>45796</v>
      </c>
      <c r="P1454" s="80" t="str">
        <f ca="1">IF(Proc[[#This Row],[DaysAgeing]]&gt;5,"yep","on track")</f>
        <v>on track</v>
      </c>
      <c r="Q1454" s="3">
        <f ca="1">IF(Proc[[#This Row],[DateClosed]]="",ABS(NETWORKDAYS(Proc[[#This Row],[DateOpened]],TODAY()))-1,ABS(NETWORKDAYS(Proc[[#This Row],[DateOpened]],Proc[[#This Row],[DateClosed]]))-1)</f>
        <v>4</v>
      </c>
      <c r="R1454" s="80" t="s">
        <v>1076</v>
      </c>
      <c r="S1454" s="85"/>
    </row>
    <row r="1455" spans="1:19" hidden="1">
      <c r="A1455" s="84" t="s">
        <v>3201</v>
      </c>
      <c r="B1455" s="149" t="str">
        <f>IFERROR(VLOOKUP(Proc[[#This Row],[App]],Table2[],3,0),"open")</f>
        <v>ok</v>
      </c>
      <c r="C1455" s="84" t="s">
        <v>369</v>
      </c>
      <c r="D1455" t="s">
        <v>3203</v>
      </c>
      <c r="E1455" s="84" t="s">
        <v>3227</v>
      </c>
      <c r="F1455" s="117" t="s">
        <v>3227</v>
      </c>
      <c r="G1455" s="84" t="s">
        <v>406</v>
      </c>
      <c r="H1455" s="85" t="str">
        <f>IF(Proc[[#This Row],[type]]="LFF (MDG-F)",MID(Proc[[#This Row],[Obj]],13,10),"")</f>
        <v>DE04O01001</v>
      </c>
      <c r="I1455" s="84" t="s">
        <v>3285</v>
      </c>
      <c r="J1455" s="85" t="b">
        <f>Proc[[#This Row],[Requested]]=Proc[[#This Row],[CurrentParent]]</f>
        <v>1</v>
      </c>
      <c r="K1455" s="144" t="str">
        <f>IF(Proc[[#This Row],[Author]]="Marcela Urrego",VLOOKUP(LEFT(Proc[[#This Row],[Requested]],1),Table3[#All],2,0),VLOOKUP(Proc[[#This Row],[Author]],Table4[],2,0))</f>
        <v>MGF</v>
      </c>
      <c r="L1455" s="85" t="s">
        <v>2563</v>
      </c>
      <c r="M1455" s="80">
        <v>45790.424861111111</v>
      </c>
      <c r="N1455" s="83">
        <v>45796</v>
      </c>
      <c r="O1455" s="83">
        <v>45796</v>
      </c>
      <c r="P1455" s="80" t="str">
        <f ca="1">IF(Proc[[#This Row],[DaysAgeing]]&gt;5,"yep","on track")</f>
        <v>on track</v>
      </c>
      <c r="Q1455" s="3">
        <f ca="1">IF(Proc[[#This Row],[DateClosed]]="",ABS(NETWORKDAYS(Proc[[#This Row],[DateOpened]],TODAY()))-1,ABS(NETWORKDAYS(Proc[[#This Row],[DateOpened]],Proc[[#This Row],[DateClosed]]))-1)</f>
        <v>4</v>
      </c>
      <c r="R1455" s="80" t="s">
        <v>1076</v>
      </c>
      <c r="S1455" s="85"/>
    </row>
    <row r="1456" spans="1:19" hidden="1">
      <c r="A1456" s="84" t="s">
        <v>3201</v>
      </c>
      <c r="B1456" s="149" t="str">
        <f>IFERROR(VLOOKUP(Proc[[#This Row],[App]],Table2[],3,0),"open")</f>
        <v>ok</v>
      </c>
      <c r="C1456" s="84" t="s">
        <v>369</v>
      </c>
      <c r="D1456" t="s">
        <v>3204</v>
      </c>
      <c r="E1456" t="s">
        <v>3227</v>
      </c>
      <c r="F1456" s="117" t="s">
        <v>3227</v>
      </c>
      <c r="G1456" s="84" t="s">
        <v>406</v>
      </c>
      <c r="H1456" s="85" t="str">
        <f>IF(Proc[[#This Row],[type]]="LFF (MDG-F)",MID(Proc[[#This Row],[Obj]],13,10),"")</f>
        <v>DE04O01002</v>
      </c>
      <c r="I1456" s="84" t="s">
        <v>3285</v>
      </c>
      <c r="J1456" s="85" t="b">
        <f>Proc[[#This Row],[Requested]]=Proc[[#This Row],[CurrentParent]]</f>
        <v>1</v>
      </c>
      <c r="K1456" s="144" t="str">
        <f>IF(Proc[[#This Row],[Author]]="Marcela Urrego",VLOOKUP(LEFT(Proc[[#This Row],[Requested]],1),Table3[#All],2,0),VLOOKUP(Proc[[#This Row],[Author]],Table4[],2,0))</f>
        <v>MGF</v>
      </c>
      <c r="L1456" s="85" t="s">
        <v>2563</v>
      </c>
      <c r="M1456" s="80">
        <v>45790.424861111111</v>
      </c>
      <c r="N1456" s="83">
        <v>45796</v>
      </c>
      <c r="O1456" s="83">
        <v>45796</v>
      </c>
      <c r="P1456" s="80" t="str">
        <f ca="1">IF(Proc[[#This Row],[DaysAgeing]]&gt;5,"yep","on track")</f>
        <v>on track</v>
      </c>
      <c r="Q1456" s="3">
        <f ca="1">IF(Proc[[#This Row],[DateClosed]]="",ABS(NETWORKDAYS(Proc[[#This Row],[DateOpened]],TODAY()))-1,ABS(NETWORKDAYS(Proc[[#This Row],[DateOpened]],Proc[[#This Row],[DateClosed]]))-1)</f>
        <v>4</v>
      </c>
      <c r="R1456" s="80" t="s">
        <v>1076</v>
      </c>
      <c r="S1456" s="85"/>
    </row>
    <row r="1457" spans="1:19" hidden="1">
      <c r="A1457" s="84" t="s">
        <v>3201</v>
      </c>
      <c r="B1457" s="149" t="str">
        <f>IFERROR(VLOOKUP(Proc[[#This Row],[App]],Table2[],3,0),"open")</f>
        <v>ok</v>
      </c>
      <c r="C1457" s="84" t="s">
        <v>369</v>
      </c>
      <c r="D1457" t="s">
        <v>3205</v>
      </c>
      <c r="E1457" t="s">
        <v>3226</v>
      </c>
      <c r="F1457" s="117" t="s">
        <v>3226</v>
      </c>
      <c r="G1457" s="84" t="s">
        <v>406</v>
      </c>
      <c r="H1457" s="85" t="str">
        <f>IF(Proc[[#This Row],[type]]="LFF (MDG-F)",MID(Proc[[#This Row],[Obj]],13,10),"")</f>
        <v>DE04Z03110</v>
      </c>
      <c r="I1457" s="84" t="s">
        <v>3285</v>
      </c>
      <c r="J1457" s="85" t="b">
        <f>Proc[[#This Row],[Requested]]=Proc[[#This Row],[CurrentParent]]</f>
        <v>1</v>
      </c>
      <c r="K1457" s="144" t="str">
        <f>IF(Proc[[#This Row],[Author]]="Marcela Urrego",VLOOKUP(LEFT(Proc[[#This Row],[Requested]],1),Table3[#All],2,0),VLOOKUP(Proc[[#This Row],[Author]],Table4[],2,0))</f>
        <v>MGF</v>
      </c>
      <c r="L1457" s="85" t="s">
        <v>2563</v>
      </c>
      <c r="M1457" s="80">
        <v>45790.424861111111</v>
      </c>
      <c r="N1457" s="83">
        <v>45796</v>
      </c>
      <c r="O1457" s="83">
        <v>45796</v>
      </c>
      <c r="P1457" s="80" t="str">
        <f ca="1">IF(Proc[[#This Row],[DaysAgeing]]&gt;5,"yep","on track")</f>
        <v>on track</v>
      </c>
      <c r="Q1457" s="3">
        <f ca="1">IF(Proc[[#This Row],[DateClosed]]="",ABS(NETWORKDAYS(Proc[[#This Row],[DateOpened]],TODAY()))-1,ABS(NETWORKDAYS(Proc[[#This Row],[DateOpened]],Proc[[#This Row],[DateClosed]]))-1)</f>
        <v>4</v>
      </c>
      <c r="R1457" s="80" t="s">
        <v>1076</v>
      </c>
      <c r="S1457" s="85"/>
    </row>
    <row r="1458" spans="1:19" hidden="1">
      <c r="A1458" s="84" t="s">
        <v>3201</v>
      </c>
      <c r="B1458" s="149" t="str">
        <f>IFERROR(VLOOKUP(Proc[[#This Row],[App]],Table2[],3,0),"open")</f>
        <v>ok</v>
      </c>
      <c r="C1458" s="84" t="s">
        <v>369</v>
      </c>
      <c r="D1458" t="s">
        <v>3206</v>
      </c>
      <c r="E1458" t="s">
        <v>3225</v>
      </c>
      <c r="F1458" s="117" t="s">
        <v>3225</v>
      </c>
      <c r="G1458" t="s">
        <v>400</v>
      </c>
      <c r="H1458" s="85" t="str">
        <f>IF(Proc[[#This Row],[type]]="LFF (MDG-F)",MID(Proc[[#This Row],[Obj]],13,10),"")</f>
        <v/>
      </c>
      <c r="J1458" s="85" t="b">
        <f>Proc[[#This Row],[Requested]]=Proc[[#This Row],[CurrentParent]]</f>
        <v>1</v>
      </c>
      <c r="K1458" s="144" t="str">
        <f>IF(Proc[[#This Row],[Author]]="Marcela Urrego",VLOOKUP(LEFT(Proc[[#This Row],[Requested]],1),Table3[#All],2,0),VLOOKUP(Proc[[#This Row],[Author]],Table4[],2,0))</f>
        <v>MGF</v>
      </c>
      <c r="L1458" s="85" t="s">
        <v>2563</v>
      </c>
      <c r="M1458" s="80">
        <v>45790.424861111111</v>
      </c>
      <c r="N1458" s="83">
        <v>45796</v>
      </c>
      <c r="O1458" s="83">
        <v>45796</v>
      </c>
      <c r="P1458" s="80" t="str">
        <f ca="1">IF(Proc[[#This Row],[DaysAgeing]]&gt;5,"yep","on track")</f>
        <v>on track</v>
      </c>
      <c r="Q1458" s="3">
        <f ca="1">IF(Proc[[#This Row],[DateClosed]]="",ABS(NETWORKDAYS(Proc[[#This Row],[DateOpened]],TODAY()))-1,ABS(NETWORKDAYS(Proc[[#This Row],[DateOpened]],Proc[[#This Row],[DateClosed]]))-1)</f>
        <v>4</v>
      </c>
      <c r="R1458" s="80" t="s">
        <v>1076</v>
      </c>
      <c r="S1458" s="85"/>
    </row>
    <row r="1459" spans="1:19" hidden="1">
      <c r="A1459" s="84" t="s">
        <v>3201</v>
      </c>
      <c r="B1459" s="149" t="str">
        <f>IFERROR(VLOOKUP(Proc[[#This Row],[App]],Table2[],3,0),"open")</f>
        <v>ok</v>
      </c>
      <c r="C1459" s="84" t="s">
        <v>369</v>
      </c>
      <c r="D1459" t="s">
        <v>3207</v>
      </c>
      <c r="E1459" s="84" t="s">
        <v>3225</v>
      </c>
      <c r="F1459" s="117" t="s">
        <v>3225</v>
      </c>
      <c r="G1459" s="84" t="s">
        <v>400</v>
      </c>
      <c r="H1459" s="85" t="str">
        <f>IF(Proc[[#This Row],[type]]="LFF (MDG-F)",MID(Proc[[#This Row],[Obj]],13,10),"")</f>
        <v/>
      </c>
      <c r="J1459" s="85" t="b">
        <f>Proc[[#This Row],[Requested]]=Proc[[#This Row],[CurrentParent]]</f>
        <v>1</v>
      </c>
      <c r="K1459" s="144" t="str">
        <f>IF(Proc[[#This Row],[Author]]="Marcela Urrego",VLOOKUP(LEFT(Proc[[#This Row],[Requested]],1),Table3[#All],2,0),VLOOKUP(Proc[[#This Row],[Author]],Table4[],2,0))</f>
        <v>MGF</v>
      </c>
      <c r="L1459" s="85" t="s">
        <v>2563</v>
      </c>
      <c r="M1459" s="80">
        <v>45790.424861111111</v>
      </c>
      <c r="N1459" s="83">
        <v>45796</v>
      </c>
      <c r="O1459" s="83">
        <v>45796</v>
      </c>
      <c r="P1459" s="80" t="str">
        <f ca="1">IF(Proc[[#This Row],[DaysAgeing]]&gt;5,"yep","on track")</f>
        <v>on track</v>
      </c>
      <c r="Q1459" s="3">
        <f ca="1">IF(Proc[[#This Row],[DateClosed]]="",ABS(NETWORKDAYS(Proc[[#This Row],[DateOpened]],TODAY()))-1,ABS(NETWORKDAYS(Proc[[#This Row],[DateOpened]],Proc[[#This Row],[DateClosed]]))-1)</f>
        <v>4</v>
      </c>
      <c r="R1459" s="80" t="s">
        <v>1076</v>
      </c>
      <c r="S1459" s="85"/>
    </row>
    <row r="1460" spans="1:19" hidden="1">
      <c r="A1460" s="84" t="s">
        <v>3201</v>
      </c>
      <c r="B1460" s="149" t="str">
        <f>IFERROR(VLOOKUP(Proc[[#This Row],[App]],Table2[],3,0),"open")</f>
        <v>ok</v>
      </c>
      <c r="C1460" s="84" t="s">
        <v>369</v>
      </c>
      <c r="D1460" t="s">
        <v>3208</v>
      </c>
      <c r="E1460" s="84" t="s">
        <v>3225</v>
      </c>
      <c r="F1460" s="117" t="s">
        <v>3225</v>
      </c>
      <c r="G1460" t="s">
        <v>406</v>
      </c>
      <c r="H1460" s="85" t="str">
        <f>IF(Proc[[#This Row],[type]]="LFF (MDG-F)",MID(Proc[[#This Row],[Obj]],13,10),"")</f>
        <v>CN01Z03105</v>
      </c>
      <c r="I1460" s="84" t="s">
        <v>3285</v>
      </c>
      <c r="J1460" s="85" t="b">
        <f>Proc[[#This Row],[Requested]]=Proc[[#This Row],[CurrentParent]]</f>
        <v>1</v>
      </c>
      <c r="K1460" s="144" t="str">
        <f>IF(Proc[[#This Row],[Author]]="Marcela Urrego",VLOOKUP(LEFT(Proc[[#This Row],[Requested]],1),Table3[#All],2,0),VLOOKUP(Proc[[#This Row],[Author]],Table4[],2,0))</f>
        <v>MGF</v>
      </c>
      <c r="L1460" s="85" t="s">
        <v>2563</v>
      </c>
      <c r="M1460" s="80">
        <v>45790.424861111111</v>
      </c>
      <c r="N1460" s="83">
        <v>45796</v>
      </c>
      <c r="O1460" s="83">
        <v>45796</v>
      </c>
      <c r="P1460" s="80" t="str">
        <f ca="1">IF(Proc[[#This Row],[DaysAgeing]]&gt;5,"yep","on track")</f>
        <v>on track</v>
      </c>
      <c r="Q1460" s="3">
        <f ca="1">IF(Proc[[#This Row],[DateClosed]]="",ABS(NETWORKDAYS(Proc[[#This Row],[DateOpened]],TODAY()))-1,ABS(NETWORKDAYS(Proc[[#This Row],[DateOpened]],Proc[[#This Row],[DateClosed]]))-1)</f>
        <v>4</v>
      </c>
      <c r="R1460" s="80" t="s">
        <v>1076</v>
      </c>
      <c r="S1460" s="85"/>
    </row>
    <row r="1461" spans="1:19" hidden="1">
      <c r="A1461" s="84" t="s">
        <v>3201</v>
      </c>
      <c r="B1461" s="149" t="str">
        <f>IFERROR(VLOOKUP(Proc[[#This Row],[App]],Table2[],3,0),"open")</f>
        <v>ok</v>
      </c>
      <c r="C1461" s="84" t="s">
        <v>369</v>
      </c>
      <c r="D1461" t="s">
        <v>3209</v>
      </c>
      <c r="E1461" s="84" t="s">
        <v>3225</v>
      </c>
      <c r="F1461" s="117" t="s">
        <v>3225</v>
      </c>
      <c r="G1461" s="84" t="s">
        <v>406</v>
      </c>
      <c r="H1461" s="85" t="str">
        <f>IF(Proc[[#This Row],[type]]="LFF (MDG-F)",MID(Proc[[#This Row],[Obj]],13,10),"")</f>
        <v>DE04Z03108</v>
      </c>
      <c r="I1461" s="84" t="s">
        <v>3285</v>
      </c>
      <c r="J1461" s="85" t="b">
        <f>Proc[[#This Row],[Requested]]=Proc[[#This Row],[CurrentParent]]</f>
        <v>1</v>
      </c>
      <c r="K1461" s="144" t="str">
        <f>IF(Proc[[#This Row],[Author]]="Marcela Urrego",VLOOKUP(LEFT(Proc[[#This Row],[Requested]],1),Table3[#All],2,0),VLOOKUP(Proc[[#This Row],[Author]],Table4[],2,0))</f>
        <v>MGF</v>
      </c>
      <c r="L1461" s="85" t="s">
        <v>2563</v>
      </c>
      <c r="M1461" s="80">
        <v>45790.424861111111</v>
      </c>
      <c r="N1461" s="83">
        <v>45796</v>
      </c>
      <c r="O1461" s="83">
        <v>45796</v>
      </c>
      <c r="P1461" s="80" t="str">
        <f ca="1">IF(Proc[[#This Row],[DaysAgeing]]&gt;5,"yep","on track")</f>
        <v>on track</v>
      </c>
      <c r="Q1461" s="3">
        <f ca="1">IF(Proc[[#This Row],[DateClosed]]="",ABS(NETWORKDAYS(Proc[[#This Row],[DateOpened]],TODAY()))-1,ABS(NETWORKDAYS(Proc[[#This Row],[DateOpened]],Proc[[#This Row],[DateClosed]]))-1)</f>
        <v>4</v>
      </c>
      <c r="R1461" s="80" t="s">
        <v>1076</v>
      </c>
      <c r="S1461" s="85"/>
    </row>
    <row r="1462" spans="1:19" hidden="1">
      <c r="A1462" s="84" t="s">
        <v>3201</v>
      </c>
      <c r="B1462" s="149" t="str">
        <f>IFERROR(VLOOKUP(Proc[[#This Row],[App]],Table2[],3,0),"open")</f>
        <v>ok</v>
      </c>
      <c r="C1462" s="84" t="s">
        <v>369</v>
      </c>
      <c r="D1462" t="s">
        <v>3210</v>
      </c>
      <c r="E1462" s="84" t="s">
        <v>3225</v>
      </c>
      <c r="F1462" s="117" t="s">
        <v>3225</v>
      </c>
      <c r="G1462" s="84" t="s">
        <v>406</v>
      </c>
      <c r="H1462" s="85" t="str">
        <f>IF(Proc[[#This Row],[type]]="LFF (MDG-F)",MID(Proc[[#This Row],[Obj]],13,10),"")</f>
        <v>DE10Z03113</v>
      </c>
      <c r="I1462" s="84" t="s">
        <v>3285</v>
      </c>
      <c r="J1462" s="85" t="b">
        <f>Proc[[#This Row],[Requested]]=Proc[[#This Row],[CurrentParent]]</f>
        <v>1</v>
      </c>
      <c r="K1462" s="144" t="str">
        <f>IF(Proc[[#This Row],[Author]]="Marcela Urrego",VLOOKUP(LEFT(Proc[[#This Row],[Requested]],1),Table3[#All],2,0),VLOOKUP(Proc[[#This Row],[Author]],Table4[],2,0))</f>
        <v>MGF</v>
      </c>
      <c r="L1462" s="85" t="s">
        <v>2563</v>
      </c>
      <c r="M1462" s="80">
        <v>45790.424861111111</v>
      </c>
      <c r="N1462" s="83">
        <v>45796</v>
      </c>
      <c r="O1462" s="83">
        <v>45796</v>
      </c>
      <c r="P1462" s="80" t="str">
        <f ca="1">IF(Proc[[#This Row],[DaysAgeing]]&gt;5,"yep","on track")</f>
        <v>on track</v>
      </c>
      <c r="Q1462" s="3">
        <f ca="1">IF(Proc[[#This Row],[DateClosed]]="",ABS(NETWORKDAYS(Proc[[#This Row],[DateOpened]],TODAY()))-1,ABS(NETWORKDAYS(Proc[[#This Row],[DateOpened]],Proc[[#This Row],[DateClosed]]))-1)</f>
        <v>4</v>
      </c>
      <c r="R1462" s="80" t="s">
        <v>1076</v>
      </c>
      <c r="S1462" s="85"/>
    </row>
    <row r="1463" spans="1:19" hidden="1">
      <c r="A1463" s="84" t="s">
        <v>3201</v>
      </c>
      <c r="B1463" s="149" t="str">
        <f>IFERROR(VLOOKUP(Proc[[#This Row],[App]],Table2[],3,0),"open")</f>
        <v>ok</v>
      </c>
      <c r="C1463" s="84" t="s">
        <v>369</v>
      </c>
      <c r="D1463" t="s">
        <v>3211</v>
      </c>
      <c r="E1463" s="84" t="s">
        <v>3225</v>
      </c>
      <c r="F1463" s="117" t="s">
        <v>3225</v>
      </c>
      <c r="G1463" s="84" t="s">
        <v>406</v>
      </c>
      <c r="H1463" s="85" t="str">
        <f>IF(Proc[[#This Row],[type]]="LFF (MDG-F)",MID(Proc[[#This Row],[Obj]],13,10),"")</f>
        <v>IN01Z03101</v>
      </c>
      <c r="I1463" s="84" t="s">
        <v>3285</v>
      </c>
      <c r="J1463" s="85" t="b">
        <f>Proc[[#This Row],[Requested]]=Proc[[#This Row],[CurrentParent]]</f>
        <v>1</v>
      </c>
      <c r="K1463" s="144" t="str">
        <f>IF(Proc[[#This Row],[Author]]="Marcela Urrego",VLOOKUP(LEFT(Proc[[#This Row],[Requested]],1),Table3[#All],2,0),VLOOKUP(Proc[[#This Row],[Author]],Table4[],2,0))</f>
        <v>MGF</v>
      </c>
      <c r="L1463" s="85" t="s">
        <v>2563</v>
      </c>
      <c r="M1463" s="80">
        <v>45790.424861111111</v>
      </c>
      <c r="N1463" s="83">
        <v>45796</v>
      </c>
      <c r="O1463" s="83">
        <v>45796</v>
      </c>
      <c r="P1463" s="80" t="str">
        <f ca="1">IF(Proc[[#This Row],[DaysAgeing]]&gt;5,"yep","on track")</f>
        <v>on track</v>
      </c>
      <c r="Q1463" s="3">
        <f ca="1">IF(Proc[[#This Row],[DateClosed]]="",ABS(NETWORKDAYS(Proc[[#This Row],[DateOpened]],TODAY()))-1,ABS(NETWORKDAYS(Proc[[#This Row],[DateOpened]],Proc[[#This Row],[DateClosed]]))-1)</f>
        <v>4</v>
      </c>
      <c r="R1463" s="80" t="s">
        <v>1076</v>
      </c>
      <c r="S1463" s="85"/>
    </row>
    <row r="1464" spans="1:19" hidden="1">
      <c r="A1464" s="84" t="s">
        <v>3201</v>
      </c>
      <c r="B1464" s="149" t="str">
        <f>IFERROR(VLOOKUP(Proc[[#This Row],[App]],Table2[],3,0),"open")</f>
        <v>ok</v>
      </c>
      <c r="C1464" s="84" t="s">
        <v>369</v>
      </c>
      <c r="D1464" t="s">
        <v>3212</v>
      </c>
      <c r="E1464" s="84" t="s">
        <v>3225</v>
      </c>
      <c r="F1464" s="117" t="s">
        <v>3225</v>
      </c>
      <c r="G1464" s="84" t="s">
        <v>406</v>
      </c>
      <c r="H1464" s="85" t="str">
        <f>IF(Proc[[#This Row],[type]]="LFF (MDG-F)",MID(Proc[[#This Row],[Obj]],13,10),"")</f>
        <v>JP01Z03103</v>
      </c>
      <c r="I1464" s="84" t="s">
        <v>3285</v>
      </c>
      <c r="J1464" s="85" t="b">
        <f>Proc[[#This Row],[Requested]]=Proc[[#This Row],[CurrentParent]]</f>
        <v>1</v>
      </c>
      <c r="K1464" s="144" t="str">
        <f>IF(Proc[[#This Row],[Author]]="Marcela Urrego",VLOOKUP(LEFT(Proc[[#This Row],[Requested]],1),Table3[#All],2,0),VLOOKUP(Proc[[#This Row],[Author]],Table4[],2,0))</f>
        <v>MGF</v>
      </c>
      <c r="L1464" s="85" t="s">
        <v>2563</v>
      </c>
      <c r="M1464" s="80">
        <v>45790.424861111111</v>
      </c>
      <c r="N1464" s="83">
        <v>45796</v>
      </c>
      <c r="O1464" s="83">
        <v>45796</v>
      </c>
      <c r="P1464" s="80" t="str">
        <f ca="1">IF(Proc[[#This Row],[DaysAgeing]]&gt;5,"yep","on track")</f>
        <v>on track</v>
      </c>
      <c r="Q1464" s="3">
        <f ca="1">IF(Proc[[#This Row],[DateClosed]]="",ABS(NETWORKDAYS(Proc[[#This Row],[DateOpened]],TODAY()))-1,ABS(NETWORKDAYS(Proc[[#This Row],[DateOpened]],Proc[[#This Row],[DateClosed]]))-1)</f>
        <v>4</v>
      </c>
      <c r="R1464" s="80" t="s">
        <v>1076</v>
      </c>
      <c r="S1464" s="85"/>
    </row>
    <row r="1465" spans="1:19" hidden="1">
      <c r="A1465" s="84" t="s">
        <v>3201</v>
      </c>
      <c r="B1465" s="149" t="str">
        <f>IFERROR(VLOOKUP(Proc[[#This Row],[App]],Table2[],3,0),"open")</f>
        <v>ok</v>
      </c>
      <c r="C1465" s="84" t="s">
        <v>369</v>
      </c>
      <c r="D1465" t="s">
        <v>3213</v>
      </c>
      <c r="E1465" s="84" t="s">
        <v>3225</v>
      </c>
      <c r="F1465" s="117" t="s">
        <v>3225</v>
      </c>
      <c r="G1465" s="84" t="s">
        <v>406</v>
      </c>
      <c r="H1465" s="85" t="str">
        <f>IF(Proc[[#This Row],[type]]="LFF (MDG-F)",MID(Proc[[#This Row],[Obj]],13,10),"")</f>
        <v>US01Z03107</v>
      </c>
      <c r="I1465" s="84" t="s">
        <v>3285</v>
      </c>
      <c r="J1465" s="85" t="b">
        <f>Proc[[#This Row],[Requested]]=Proc[[#This Row],[CurrentParent]]</f>
        <v>1</v>
      </c>
      <c r="K1465" s="144" t="str">
        <f>IF(Proc[[#This Row],[Author]]="Marcela Urrego",VLOOKUP(LEFT(Proc[[#This Row],[Requested]],1),Table3[#All],2,0),VLOOKUP(Proc[[#This Row],[Author]],Table4[],2,0))</f>
        <v>MGF</v>
      </c>
      <c r="L1465" s="85" t="s">
        <v>2563</v>
      </c>
      <c r="M1465" s="80">
        <v>45790.424861111111</v>
      </c>
      <c r="N1465" s="83">
        <v>45796</v>
      </c>
      <c r="O1465" s="83">
        <v>45796</v>
      </c>
      <c r="P1465" s="80" t="str">
        <f ca="1">IF(Proc[[#This Row],[DaysAgeing]]&gt;5,"yep","on track")</f>
        <v>on track</v>
      </c>
      <c r="Q1465" s="3">
        <f ca="1">IF(Proc[[#This Row],[DateClosed]]="",ABS(NETWORKDAYS(Proc[[#This Row],[DateOpened]],TODAY()))-1,ABS(NETWORKDAYS(Proc[[#This Row],[DateOpened]],Proc[[#This Row],[DateClosed]]))-1)</f>
        <v>4</v>
      </c>
      <c r="R1465" s="80" t="s">
        <v>1076</v>
      </c>
      <c r="S1465" s="85"/>
    </row>
    <row r="1466" spans="1:19" hidden="1">
      <c r="A1466" s="84" t="s">
        <v>3201</v>
      </c>
      <c r="B1466" s="149" t="str">
        <f>IFERROR(VLOOKUP(Proc[[#This Row],[App]],Table2[],3,0),"open")</f>
        <v>ok</v>
      </c>
      <c r="C1466" s="84" t="s">
        <v>369</v>
      </c>
      <c r="D1466" t="s">
        <v>3214</v>
      </c>
      <c r="E1466" s="84" t="s">
        <v>3225</v>
      </c>
      <c r="F1466" s="117" t="s">
        <v>3225</v>
      </c>
      <c r="G1466" s="84" t="s">
        <v>406</v>
      </c>
      <c r="H1466" s="85" t="str">
        <f>IF(Proc[[#This Row],[type]]="LFF (MDG-F)",MID(Proc[[#This Row],[Obj]],13,10),"")</f>
        <v>KR03Z03104</v>
      </c>
      <c r="I1466" t="s">
        <v>3286</v>
      </c>
      <c r="J1466" s="85" t="b">
        <f>Proc[[#This Row],[Requested]]=Proc[[#This Row],[CurrentParent]]</f>
        <v>1</v>
      </c>
      <c r="K1466" s="144" t="str">
        <f>IF(Proc[[#This Row],[Author]]="Marcela Urrego",VLOOKUP(LEFT(Proc[[#This Row],[Requested]],1),Table3[#All],2,0),VLOOKUP(Proc[[#This Row],[Author]],Table4[],2,0))</f>
        <v>MGF</v>
      </c>
      <c r="L1466" s="85" t="s">
        <v>2563</v>
      </c>
      <c r="M1466" s="80">
        <v>45790.424861111111</v>
      </c>
      <c r="N1466" s="83">
        <v>45796</v>
      </c>
      <c r="O1466" s="83">
        <v>45796</v>
      </c>
      <c r="P1466" s="80" t="str">
        <f ca="1">IF(Proc[[#This Row],[DaysAgeing]]&gt;5,"yep","on track")</f>
        <v>on track</v>
      </c>
      <c r="Q1466" s="3">
        <f ca="1">IF(Proc[[#This Row],[DateClosed]]="",ABS(NETWORKDAYS(Proc[[#This Row],[DateOpened]],TODAY()))-1,ABS(NETWORKDAYS(Proc[[#This Row],[DateOpened]],Proc[[#This Row],[DateClosed]]))-1)</f>
        <v>4</v>
      </c>
      <c r="R1466" s="80" t="s">
        <v>1076</v>
      </c>
      <c r="S1466" s="85"/>
    </row>
    <row r="1467" spans="1:19" hidden="1">
      <c r="A1467" s="84" t="s">
        <v>3201</v>
      </c>
      <c r="B1467" s="149" t="str">
        <f>IFERROR(VLOOKUP(Proc[[#This Row],[App]],Table2[],3,0),"open")</f>
        <v>ok</v>
      </c>
      <c r="C1467" s="84" t="s">
        <v>369</v>
      </c>
      <c r="D1467" t="s">
        <v>3215</v>
      </c>
      <c r="E1467" s="84" t="s">
        <v>3225</v>
      </c>
      <c r="F1467" s="117" t="s">
        <v>3225</v>
      </c>
      <c r="G1467" s="84" t="s">
        <v>406</v>
      </c>
      <c r="H1467" s="85" t="str">
        <f>IF(Proc[[#This Row],[type]]="LFF (MDG-F)",MID(Proc[[#This Row],[Obj]],13,10),"")</f>
        <v>US10Z03102</v>
      </c>
      <c r="I1467" s="84" t="s">
        <v>3285</v>
      </c>
      <c r="J1467" s="85" t="b">
        <f>Proc[[#This Row],[Requested]]=Proc[[#This Row],[CurrentParent]]</f>
        <v>1</v>
      </c>
      <c r="K1467" s="144" t="str">
        <f>IF(Proc[[#This Row],[Author]]="Marcela Urrego",VLOOKUP(LEFT(Proc[[#This Row],[Requested]],1),Table3[#All],2,0),VLOOKUP(Proc[[#This Row],[Author]],Table4[],2,0))</f>
        <v>MGF</v>
      </c>
      <c r="L1467" s="85" t="s">
        <v>2563</v>
      </c>
      <c r="M1467" s="80">
        <v>45790.424861111111</v>
      </c>
      <c r="N1467" s="83">
        <v>45796</v>
      </c>
      <c r="O1467" s="83">
        <v>45796</v>
      </c>
      <c r="P1467" s="80" t="str">
        <f ca="1">IF(Proc[[#This Row],[DaysAgeing]]&gt;5,"yep","on track")</f>
        <v>on track</v>
      </c>
      <c r="Q1467" s="3">
        <f ca="1">IF(Proc[[#This Row],[DateClosed]]="",ABS(NETWORKDAYS(Proc[[#This Row],[DateOpened]],TODAY()))-1,ABS(NETWORKDAYS(Proc[[#This Row],[DateOpened]],Proc[[#This Row],[DateClosed]]))-1)</f>
        <v>4</v>
      </c>
      <c r="R1467" s="80" t="s">
        <v>1076</v>
      </c>
      <c r="S1467" s="85"/>
    </row>
    <row r="1468" spans="1:19" hidden="1">
      <c r="A1468" s="84" t="s">
        <v>3201</v>
      </c>
      <c r="B1468" s="149" t="str">
        <f>IFERROR(VLOOKUP(Proc[[#This Row],[App]],Table2[],3,0),"open")</f>
        <v>ok</v>
      </c>
      <c r="C1468" s="84" t="s">
        <v>369</v>
      </c>
      <c r="D1468" t="s">
        <v>3216</v>
      </c>
      <c r="E1468" s="84" t="s">
        <v>3225</v>
      </c>
      <c r="F1468" s="117" t="s">
        <v>3225</v>
      </c>
      <c r="G1468" t="s">
        <v>400</v>
      </c>
      <c r="H1468" s="85" t="str">
        <f>IF(Proc[[#This Row],[type]]="LFF (MDG-F)",MID(Proc[[#This Row],[Obj]],13,10),"")</f>
        <v/>
      </c>
      <c r="J1468" s="85" t="b">
        <f>Proc[[#This Row],[Requested]]=Proc[[#This Row],[CurrentParent]]</f>
        <v>1</v>
      </c>
      <c r="K1468" s="144" t="str">
        <f>IF(Proc[[#This Row],[Author]]="Marcela Urrego",VLOOKUP(LEFT(Proc[[#This Row],[Requested]],1),Table3[#All],2,0),VLOOKUP(Proc[[#This Row],[Author]],Table4[],2,0))</f>
        <v>MGF</v>
      </c>
      <c r="L1468" s="85" t="s">
        <v>2563</v>
      </c>
      <c r="M1468" s="80">
        <v>45790.424861111111</v>
      </c>
      <c r="N1468" s="83">
        <v>45796</v>
      </c>
      <c r="O1468" s="83">
        <v>45796</v>
      </c>
      <c r="P1468" s="80" t="str">
        <f ca="1">IF(Proc[[#This Row],[DaysAgeing]]&gt;5,"yep","on track")</f>
        <v>on track</v>
      </c>
      <c r="Q1468" s="3">
        <f ca="1">IF(Proc[[#This Row],[DateClosed]]="",ABS(NETWORKDAYS(Proc[[#This Row],[DateOpened]],TODAY()))-1,ABS(NETWORKDAYS(Proc[[#This Row],[DateOpened]],Proc[[#This Row],[DateClosed]]))-1)</f>
        <v>4</v>
      </c>
      <c r="R1468" s="80" t="s">
        <v>1076</v>
      </c>
      <c r="S1468" s="85"/>
    </row>
    <row r="1469" spans="1:19" hidden="1">
      <c r="A1469" s="84" t="s">
        <v>3201</v>
      </c>
      <c r="B1469" s="149" t="str">
        <f>IFERROR(VLOOKUP(Proc[[#This Row],[App]],Table2[],3,0),"open")</f>
        <v>ok</v>
      </c>
      <c r="C1469" s="84" t="s">
        <v>369</v>
      </c>
      <c r="D1469" t="s">
        <v>3217</v>
      </c>
      <c r="E1469" s="84" t="s">
        <v>3225</v>
      </c>
      <c r="F1469" s="117" t="s">
        <v>3225</v>
      </c>
      <c r="G1469" s="84" t="s">
        <v>400</v>
      </c>
      <c r="H1469" s="85" t="str">
        <f>IF(Proc[[#This Row],[type]]="LFF (MDG-F)",MID(Proc[[#This Row],[Obj]],13,10),"")</f>
        <v/>
      </c>
      <c r="J1469" s="85" t="b">
        <f>Proc[[#This Row],[Requested]]=Proc[[#This Row],[CurrentParent]]</f>
        <v>1</v>
      </c>
      <c r="K1469" s="144" t="str">
        <f>IF(Proc[[#This Row],[Author]]="Marcela Urrego",VLOOKUP(LEFT(Proc[[#This Row],[Requested]],1),Table3[#All],2,0),VLOOKUP(Proc[[#This Row],[Author]],Table4[],2,0))</f>
        <v>MGF</v>
      </c>
      <c r="L1469" s="85" t="s">
        <v>2563</v>
      </c>
      <c r="M1469" s="80">
        <v>45790.424861111111</v>
      </c>
      <c r="N1469" s="83">
        <v>45796</v>
      </c>
      <c r="O1469" s="83">
        <v>45796</v>
      </c>
      <c r="P1469" s="80" t="str">
        <f ca="1">IF(Proc[[#This Row],[DaysAgeing]]&gt;5,"yep","on track")</f>
        <v>on track</v>
      </c>
      <c r="Q1469" s="3">
        <f ca="1">IF(Proc[[#This Row],[DateClosed]]="",ABS(NETWORKDAYS(Proc[[#This Row],[DateOpened]],TODAY()))-1,ABS(NETWORKDAYS(Proc[[#This Row],[DateOpened]],Proc[[#This Row],[DateClosed]]))-1)</f>
        <v>4</v>
      </c>
      <c r="R1469" s="80" t="s">
        <v>1076</v>
      </c>
      <c r="S1469" s="85"/>
    </row>
    <row r="1470" spans="1:19" hidden="1">
      <c r="A1470" s="84" t="s">
        <v>3201</v>
      </c>
      <c r="B1470" s="149" t="str">
        <f>IFERROR(VLOOKUP(Proc[[#This Row],[App]],Table2[],3,0),"open")</f>
        <v>ok</v>
      </c>
      <c r="C1470" s="84" t="s">
        <v>369</v>
      </c>
      <c r="D1470" t="s">
        <v>3218</v>
      </c>
      <c r="E1470" s="84" t="s">
        <v>3225</v>
      </c>
      <c r="F1470" s="117" t="s">
        <v>3225</v>
      </c>
      <c r="G1470" s="84" t="s">
        <v>400</v>
      </c>
      <c r="H1470" s="85" t="str">
        <f>IF(Proc[[#This Row],[type]]="LFF (MDG-F)",MID(Proc[[#This Row],[Obj]],13,10),"")</f>
        <v/>
      </c>
      <c r="J1470" s="85" t="b">
        <f>Proc[[#This Row],[Requested]]=Proc[[#This Row],[CurrentParent]]</f>
        <v>1</v>
      </c>
      <c r="K1470" s="144" t="str">
        <f>IF(Proc[[#This Row],[Author]]="Marcela Urrego",VLOOKUP(LEFT(Proc[[#This Row],[Requested]],1),Table3[#All],2,0),VLOOKUP(Proc[[#This Row],[Author]],Table4[],2,0))</f>
        <v>MGF</v>
      </c>
      <c r="L1470" s="85" t="s">
        <v>2563</v>
      </c>
      <c r="M1470" s="80">
        <v>45790.424861111111</v>
      </c>
      <c r="N1470" s="83">
        <v>45796</v>
      </c>
      <c r="O1470" s="83">
        <v>45796</v>
      </c>
      <c r="P1470" s="80" t="str">
        <f ca="1">IF(Proc[[#This Row],[DaysAgeing]]&gt;5,"yep","on track")</f>
        <v>on track</v>
      </c>
      <c r="Q1470" s="3">
        <f ca="1">IF(Proc[[#This Row],[DateClosed]]="",ABS(NETWORKDAYS(Proc[[#This Row],[DateOpened]],TODAY()))-1,ABS(NETWORKDAYS(Proc[[#This Row],[DateOpened]],Proc[[#This Row],[DateClosed]]))-1)</f>
        <v>4</v>
      </c>
      <c r="R1470" s="80" t="s">
        <v>1076</v>
      </c>
      <c r="S1470" s="85"/>
    </row>
    <row r="1471" spans="1:19" hidden="1">
      <c r="A1471" s="84" t="s">
        <v>3201</v>
      </c>
      <c r="B1471" s="149" t="str">
        <f>IFERROR(VLOOKUP(Proc[[#This Row],[App]],Table2[],3,0),"open")</f>
        <v>ok</v>
      </c>
      <c r="C1471" s="84" t="s">
        <v>369</v>
      </c>
      <c r="D1471" t="s">
        <v>3219</v>
      </c>
      <c r="E1471" s="84" t="s">
        <v>3225</v>
      </c>
      <c r="F1471" s="117" t="s">
        <v>3225</v>
      </c>
      <c r="G1471" s="84" t="s">
        <v>400</v>
      </c>
      <c r="H1471" s="85" t="str">
        <f>IF(Proc[[#This Row],[type]]="LFF (MDG-F)",MID(Proc[[#This Row],[Obj]],13,10),"")</f>
        <v/>
      </c>
      <c r="J1471" s="85" t="b">
        <f>Proc[[#This Row],[Requested]]=Proc[[#This Row],[CurrentParent]]</f>
        <v>1</v>
      </c>
      <c r="K1471" s="144" t="str">
        <f>IF(Proc[[#This Row],[Author]]="Marcela Urrego",VLOOKUP(LEFT(Proc[[#This Row],[Requested]],1),Table3[#All],2,0),VLOOKUP(Proc[[#This Row],[Author]],Table4[],2,0))</f>
        <v>MGF</v>
      </c>
      <c r="L1471" s="85" t="s">
        <v>2563</v>
      </c>
      <c r="M1471" s="80">
        <v>45790.424861111111</v>
      </c>
      <c r="N1471" s="83">
        <v>45796</v>
      </c>
      <c r="O1471" s="83">
        <v>45796</v>
      </c>
      <c r="P1471" s="80" t="str">
        <f ca="1">IF(Proc[[#This Row],[DaysAgeing]]&gt;5,"yep","on track")</f>
        <v>on track</v>
      </c>
      <c r="Q1471" s="3">
        <f ca="1">IF(Proc[[#This Row],[DateClosed]]="",ABS(NETWORKDAYS(Proc[[#This Row],[DateOpened]],TODAY()))-1,ABS(NETWORKDAYS(Proc[[#This Row],[DateOpened]],Proc[[#This Row],[DateClosed]]))-1)</f>
        <v>4</v>
      </c>
      <c r="R1471" s="80" t="s">
        <v>1076</v>
      </c>
      <c r="S1471" s="85"/>
    </row>
    <row r="1472" spans="1:19" hidden="1">
      <c r="A1472" s="84" t="s">
        <v>3201</v>
      </c>
      <c r="B1472" s="149" t="str">
        <f>IFERROR(VLOOKUP(Proc[[#This Row],[App]],Table2[],3,0),"open")</f>
        <v>ok</v>
      </c>
      <c r="C1472" s="84" t="s">
        <v>369</v>
      </c>
      <c r="D1472" t="s">
        <v>3220</v>
      </c>
      <c r="E1472" s="84" t="s">
        <v>3225</v>
      </c>
      <c r="F1472" s="117" t="s">
        <v>3225</v>
      </c>
      <c r="G1472" s="84" t="s">
        <v>400</v>
      </c>
      <c r="H1472" s="85" t="str">
        <f>IF(Proc[[#This Row],[type]]="LFF (MDG-F)",MID(Proc[[#This Row],[Obj]],13,10),"")</f>
        <v/>
      </c>
      <c r="J1472" s="85" t="b">
        <f>Proc[[#This Row],[Requested]]=Proc[[#This Row],[CurrentParent]]</f>
        <v>1</v>
      </c>
      <c r="K1472" s="144" t="str">
        <f>IF(Proc[[#This Row],[Author]]="Marcela Urrego",VLOOKUP(LEFT(Proc[[#This Row],[Requested]],1),Table3[#All],2,0),VLOOKUP(Proc[[#This Row],[Author]],Table4[],2,0))</f>
        <v>MGF</v>
      </c>
      <c r="L1472" s="85" t="s">
        <v>2563</v>
      </c>
      <c r="M1472" s="80">
        <v>45790.424861111111</v>
      </c>
      <c r="N1472" s="83">
        <v>45796</v>
      </c>
      <c r="O1472" s="83">
        <v>45796</v>
      </c>
      <c r="P1472" s="80" t="str">
        <f ca="1">IF(Proc[[#This Row],[DaysAgeing]]&gt;5,"yep","on track")</f>
        <v>on track</v>
      </c>
      <c r="Q1472" s="3">
        <f ca="1">IF(Proc[[#This Row],[DateClosed]]="",ABS(NETWORKDAYS(Proc[[#This Row],[DateOpened]],TODAY()))-1,ABS(NETWORKDAYS(Proc[[#This Row],[DateOpened]],Proc[[#This Row],[DateClosed]]))-1)</f>
        <v>4</v>
      </c>
      <c r="R1472" s="80" t="s">
        <v>1076</v>
      </c>
      <c r="S1472" s="85"/>
    </row>
    <row r="1473" spans="1:19" hidden="1">
      <c r="A1473" s="84" t="s">
        <v>3201</v>
      </c>
      <c r="B1473" s="149" t="str">
        <f>IFERROR(VLOOKUP(Proc[[#This Row],[App]],Table2[],3,0),"open")</f>
        <v>ok</v>
      </c>
      <c r="C1473" s="84" t="s">
        <v>369</v>
      </c>
      <c r="D1473" t="s">
        <v>3221</v>
      </c>
      <c r="E1473" s="84" t="s">
        <v>3225</v>
      </c>
      <c r="F1473" s="117" t="s">
        <v>3225</v>
      </c>
      <c r="G1473" s="84" t="s">
        <v>400</v>
      </c>
      <c r="H1473" s="85" t="str">
        <f>IF(Proc[[#This Row],[type]]="LFF (MDG-F)",MID(Proc[[#This Row],[Obj]],13,10),"")</f>
        <v/>
      </c>
      <c r="J1473" s="85" t="b">
        <f>Proc[[#This Row],[Requested]]=Proc[[#This Row],[CurrentParent]]</f>
        <v>1</v>
      </c>
      <c r="K1473" s="144" t="str">
        <f>IF(Proc[[#This Row],[Author]]="Marcela Urrego",VLOOKUP(LEFT(Proc[[#This Row],[Requested]],1),Table3[#All],2,0),VLOOKUP(Proc[[#This Row],[Author]],Table4[],2,0))</f>
        <v>MGF</v>
      </c>
      <c r="L1473" s="85" t="s">
        <v>2563</v>
      </c>
      <c r="M1473" s="80">
        <v>45790.424861111111</v>
      </c>
      <c r="N1473" s="83">
        <v>45796</v>
      </c>
      <c r="O1473" s="83">
        <v>45796</v>
      </c>
      <c r="P1473" s="80" t="str">
        <f ca="1">IF(Proc[[#This Row],[DaysAgeing]]&gt;5,"yep","on track")</f>
        <v>on track</v>
      </c>
      <c r="Q1473" s="3">
        <f ca="1">IF(Proc[[#This Row],[DateClosed]]="",ABS(NETWORKDAYS(Proc[[#This Row],[DateOpened]],TODAY()))-1,ABS(NETWORKDAYS(Proc[[#This Row],[DateOpened]],Proc[[#This Row],[DateClosed]]))-1)</f>
        <v>4</v>
      </c>
      <c r="R1473" s="80" t="s">
        <v>1076</v>
      </c>
      <c r="S1473" s="85"/>
    </row>
    <row r="1474" spans="1:19" hidden="1">
      <c r="A1474" s="84" t="s">
        <v>3201</v>
      </c>
      <c r="B1474" s="149" t="str">
        <f>IFERROR(VLOOKUP(Proc[[#This Row],[App]],Table2[],3,0),"open")</f>
        <v>ok</v>
      </c>
      <c r="C1474" s="84" t="s">
        <v>369</v>
      </c>
      <c r="D1474" t="s">
        <v>3222</v>
      </c>
      <c r="E1474" s="84" t="s">
        <v>3225</v>
      </c>
      <c r="F1474" s="117" t="s">
        <v>3225</v>
      </c>
      <c r="G1474" s="84" t="s">
        <v>400</v>
      </c>
      <c r="H1474" s="85" t="str">
        <f>IF(Proc[[#This Row],[type]]="LFF (MDG-F)",MID(Proc[[#This Row],[Obj]],13,10),"")</f>
        <v/>
      </c>
      <c r="J1474" s="85" t="b">
        <f>Proc[[#This Row],[Requested]]=Proc[[#This Row],[CurrentParent]]</f>
        <v>1</v>
      </c>
      <c r="K1474" s="144" t="str">
        <f>IF(Proc[[#This Row],[Author]]="Marcela Urrego",VLOOKUP(LEFT(Proc[[#This Row],[Requested]],1),Table3[#All],2,0),VLOOKUP(Proc[[#This Row],[Author]],Table4[],2,0))</f>
        <v>MGF</v>
      </c>
      <c r="L1474" s="85" t="s">
        <v>2563</v>
      </c>
      <c r="M1474" s="80">
        <v>45790.424861111111</v>
      </c>
      <c r="N1474" s="83">
        <v>45796</v>
      </c>
      <c r="O1474" s="83">
        <v>45796</v>
      </c>
      <c r="P1474" s="80" t="str">
        <f ca="1">IF(Proc[[#This Row],[DaysAgeing]]&gt;5,"yep","on track")</f>
        <v>on track</v>
      </c>
      <c r="Q1474" s="3">
        <f ca="1">IF(Proc[[#This Row],[DateClosed]]="",ABS(NETWORKDAYS(Proc[[#This Row],[DateOpened]],TODAY()))-1,ABS(NETWORKDAYS(Proc[[#This Row],[DateOpened]],Proc[[#This Row],[DateClosed]]))-1)</f>
        <v>4</v>
      </c>
      <c r="R1474" s="80" t="s">
        <v>1076</v>
      </c>
      <c r="S1474" s="85"/>
    </row>
    <row r="1475" spans="1:19" hidden="1">
      <c r="A1475" s="84" t="s">
        <v>3201</v>
      </c>
      <c r="B1475" s="149" t="str">
        <f>IFERROR(VLOOKUP(Proc[[#This Row],[App]],Table2[],3,0),"open")</f>
        <v>ok</v>
      </c>
      <c r="C1475" s="84" t="s">
        <v>369</v>
      </c>
      <c r="D1475" t="s">
        <v>3223</v>
      </c>
      <c r="E1475" s="84" t="s">
        <v>3225</v>
      </c>
      <c r="F1475" s="117" t="s">
        <v>3225</v>
      </c>
      <c r="G1475" s="84" t="s">
        <v>400</v>
      </c>
      <c r="H1475" s="85" t="str">
        <f>IF(Proc[[#This Row],[type]]="LFF (MDG-F)",MID(Proc[[#This Row],[Obj]],13,10),"")</f>
        <v/>
      </c>
      <c r="J1475" s="85" t="b">
        <f>Proc[[#This Row],[Requested]]=Proc[[#This Row],[CurrentParent]]</f>
        <v>1</v>
      </c>
      <c r="K1475" s="144" t="str">
        <f>IF(Proc[[#This Row],[Author]]="Marcela Urrego",VLOOKUP(LEFT(Proc[[#This Row],[Requested]],1),Table3[#All],2,0),VLOOKUP(Proc[[#This Row],[Author]],Table4[],2,0))</f>
        <v>MGF</v>
      </c>
      <c r="L1475" s="85" t="s">
        <v>2563</v>
      </c>
      <c r="M1475" s="80">
        <v>45790.424861111111</v>
      </c>
      <c r="N1475" s="83">
        <v>45796</v>
      </c>
      <c r="O1475" s="83">
        <v>45796</v>
      </c>
      <c r="P1475" s="80" t="str">
        <f ca="1">IF(Proc[[#This Row],[DaysAgeing]]&gt;5,"yep","on track")</f>
        <v>on track</v>
      </c>
      <c r="Q1475" s="3">
        <f ca="1">IF(Proc[[#This Row],[DateClosed]]="",ABS(NETWORKDAYS(Proc[[#This Row],[DateOpened]],TODAY()))-1,ABS(NETWORKDAYS(Proc[[#This Row],[DateOpened]],Proc[[#This Row],[DateClosed]]))-1)</f>
        <v>4</v>
      </c>
      <c r="R1475" s="80" t="s">
        <v>1076</v>
      </c>
      <c r="S1475" s="85"/>
    </row>
    <row r="1476" spans="1:19" hidden="1">
      <c r="A1476" s="84" t="s">
        <v>3201</v>
      </c>
      <c r="B1476" s="149" t="str">
        <f>IFERROR(VLOOKUP(Proc[[#This Row],[App]],Table2[],3,0),"open")</f>
        <v>ok</v>
      </c>
      <c r="C1476" s="84" t="s">
        <v>369</v>
      </c>
      <c r="D1476" t="s">
        <v>3224</v>
      </c>
      <c r="E1476" s="84" t="s">
        <v>3225</v>
      </c>
      <c r="F1476" s="117" t="s">
        <v>3225</v>
      </c>
      <c r="G1476" s="84" t="s">
        <v>400</v>
      </c>
      <c r="H1476" s="85" t="str">
        <f>IF(Proc[[#This Row],[type]]="LFF (MDG-F)",MID(Proc[[#This Row],[Obj]],13,10),"")</f>
        <v/>
      </c>
      <c r="J1476" s="85" t="b">
        <f>Proc[[#This Row],[Requested]]=Proc[[#This Row],[CurrentParent]]</f>
        <v>1</v>
      </c>
      <c r="K1476" s="144" t="str">
        <f>IF(Proc[[#This Row],[Author]]="Marcela Urrego",VLOOKUP(LEFT(Proc[[#This Row],[Requested]],1),Table3[#All],2,0),VLOOKUP(Proc[[#This Row],[Author]],Table4[],2,0))</f>
        <v>MGF</v>
      </c>
      <c r="L1476" s="85" t="s">
        <v>2563</v>
      </c>
      <c r="M1476" s="80">
        <v>45790.424861111111</v>
      </c>
      <c r="N1476" s="83">
        <v>45796</v>
      </c>
      <c r="O1476" s="83">
        <v>45796</v>
      </c>
      <c r="P1476" s="80" t="str">
        <f ca="1">IF(Proc[[#This Row],[DaysAgeing]]&gt;5,"yep","on track")</f>
        <v>on track</v>
      </c>
      <c r="Q1476" s="3">
        <f ca="1">IF(Proc[[#This Row],[DateClosed]]="",ABS(NETWORKDAYS(Proc[[#This Row],[DateOpened]],TODAY()))-1,ABS(NETWORKDAYS(Proc[[#This Row],[DateOpened]],Proc[[#This Row],[DateClosed]]))-1)</f>
        <v>4</v>
      </c>
      <c r="R1476" s="80" t="s">
        <v>1076</v>
      </c>
      <c r="S1476" s="85"/>
    </row>
    <row r="1477" spans="1:19" hidden="1">
      <c r="A1477" t="s">
        <v>3228</v>
      </c>
      <c r="B1477" s="149" t="str">
        <f>IFERROR(VLOOKUP(Proc[[#This Row],[App]],Table2[],3,0),"open")</f>
        <v>ok</v>
      </c>
      <c r="C1477" s="84" t="s">
        <v>369</v>
      </c>
      <c r="D1477" t="s">
        <v>3229</v>
      </c>
      <c r="E1477" t="s">
        <v>3248</v>
      </c>
      <c r="F1477" s="117" t="s">
        <v>3248</v>
      </c>
      <c r="G1477" t="s">
        <v>406</v>
      </c>
      <c r="H1477" s="85" t="str">
        <f>IF(Proc[[#This Row],[type]]="LFF (MDG-F)",MID(Proc[[#This Row],[Obj]],13,10),"")</f>
        <v>AE50GCO220</v>
      </c>
      <c r="I1477" s="84" t="s">
        <v>3259</v>
      </c>
      <c r="J1477" s="85" t="b">
        <f>Proc[[#This Row],[Requested]]=Proc[[#This Row],[CurrentParent]]</f>
        <v>1</v>
      </c>
      <c r="K1477" s="144" t="str">
        <f>IF(Proc[[#This Row],[Author]]="Marcela Urrego",VLOOKUP(LEFT(Proc[[#This Row],[Requested]],1),Table3[#All],2,0),VLOOKUP(Proc[[#This Row],[Author]],Table4[],2,0))</f>
        <v>MGF</v>
      </c>
      <c r="L1477" s="85" t="s">
        <v>2563</v>
      </c>
      <c r="M1477" s="83">
        <v>45791.342372685183</v>
      </c>
      <c r="N1477" s="83">
        <v>45792</v>
      </c>
      <c r="O1477" s="83">
        <v>45792</v>
      </c>
      <c r="P1477" s="86" t="str">
        <f ca="1">IF(Proc[[#This Row],[DaysAgeing]]&gt;5,"yep","on track")</f>
        <v>on track</v>
      </c>
      <c r="Q1477" s="3">
        <f ca="1">IF(Proc[[#This Row],[DateClosed]]="",ABS(NETWORKDAYS(Proc[[#This Row],[DateOpened]],TODAY()))-1,ABS(NETWORKDAYS(Proc[[#This Row],[DateOpened]],Proc[[#This Row],[DateClosed]]))-1)</f>
        <v>1</v>
      </c>
      <c r="R1477" s="86" t="s">
        <v>515</v>
      </c>
      <c r="S1477" s="85"/>
    </row>
    <row r="1478" spans="1:19" hidden="1">
      <c r="A1478" s="84" t="s">
        <v>3228</v>
      </c>
      <c r="B1478" s="149" t="str">
        <f>IFERROR(VLOOKUP(Proc[[#This Row],[App]],Table2[],3,0),"open")</f>
        <v>ok</v>
      </c>
      <c r="C1478" s="84" t="s">
        <v>369</v>
      </c>
      <c r="D1478" t="s">
        <v>3230</v>
      </c>
      <c r="E1478" t="s">
        <v>3249</v>
      </c>
      <c r="F1478" s="117" t="s">
        <v>3249</v>
      </c>
      <c r="G1478" s="84" t="s">
        <v>406</v>
      </c>
      <c r="H1478" s="85" t="str">
        <f>IF(Proc[[#This Row],[type]]="LFF (MDG-F)",MID(Proc[[#This Row],[Obj]],13,10),"")</f>
        <v>CN90GMK003</v>
      </c>
      <c r="I1478" s="84" t="s">
        <v>3259</v>
      </c>
      <c r="J1478" s="85" t="b">
        <f>Proc[[#This Row],[Requested]]=Proc[[#This Row],[CurrentParent]]</f>
        <v>1</v>
      </c>
      <c r="K1478" s="144" t="str">
        <f>IF(Proc[[#This Row],[Author]]="Marcela Urrego",VLOOKUP(LEFT(Proc[[#This Row],[Requested]],1),Table3[#All],2,0),VLOOKUP(Proc[[#This Row],[Author]],Table4[],2,0))</f>
        <v>MGF</v>
      </c>
      <c r="L1478" s="85" t="s">
        <v>2563</v>
      </c>
      <c r="M1478" s="83">
        <v>45791.342372685183</v>
      </c>
      <c r="N1478" s="83">
        <v>45792</v>
      </c>
      <c r="O1478" s="83">
        <v>45792</v>
      </c>
      <c r="P1478" s="86" t="str">
        <f ca="1">IF(Proc[[#This Row],[DaysAgeing]]&gt;5,"yep","on track")</f>
        <v>on track</v>
      </c>
      <c r="Q1478" s="3">
        <f ca="1">IF(Proc[[#This Row],[DateClosed]]="",ABS(NETWORKDAYS(Proc[[#This Row],[DateOpened]],TODAY()))-1,ABS(NETWORKDAYS(Proc[[#This Row],[DateOpened]],Proc[[#This Row],[DateClosed]]))-1)</f>
        <v>1</v>
      </c>
      <c r="R1478" s="86" t="s">
        <v>515</v>
      </c>
      <c r="S1478" s="85"/>
    </row>
    <row r="1479" spans="1:19" hidden="1">
      <c r="A1479" s="84" t="s">
        <v>3228</v>
      </c>
      <c r="B1479" s="149" t="str">
        <f>IFERROR(VLOOKUP(Proc[[#This Row],[App]],Table2[],3,0),"open")</f>
        <v>ok</v>
      </c>
      <c r="C1479" s="84" t="s">
        <v>369</v>
      </c>
      <c r="D1479" t="s">
        <v>3231</v>
      </c>
      <c r="E1479" t="s">
        <v>3250</v>
      </c>
      <c r="F1479" s="117" t="s">
        <v>3250</v>
      </c>
      <c r="G1479" s="84" t="s">
        <v>406</v>
      </c>
      <c r="H1479" s="85" t="str">
        <f>IF(Proc[[#This Row],[type]]="LFF (MDG-F)",MID(Proc[[#This Row],[Obj]],13,10),"")</f>
        <v>DE10624905</v>
      </c>
      <c r="I1479" s="84" t="s">
        <v>3259</v>
      </c>
      <c r="J1479" s="85" t="b">
        <f>Proc[[#This Row],[Requested]]=Proc[[#This Row],[CurrentParent]]</f>
        <v>1</v>
      </c>
      <c r="K1479" s="144" t="str">
        <f>IF(Proc[[#This Row],[Author]]="Marcela Urrego",VLOOKUP(LEFT(Proc[[#This Row],[Requested]],1),Table3[#All],2,0),VLOOKUP(Proc[[#This Row],[Author]],Table4[],2,0))</f>
        <v>MGF</v>
      </c>
      <c r="L1479" s="85" t="s">
        <v>2563</v>
      </c>
      <c r="M1479" s="83">
        <v>45791.342372685183</v>
      </c>
      <c r="N1479" s="83">
        <v>45792</v>
      </c>
      <c r="O1479" s="83">
        <v>45792</v>
      </c>
      <c r="P1479" s="86" t="str">
        <f ca="1">IF(Proc[[#This Row],[DaysAgeing]]&gt;5,"yep","on track")</f>
        <v>on track</v>
      </c>
      <c r="Q1479" s="3">
        <f ca="1">IF(Proc[[#This Row],[DateClosed]]="",ABS(NETWORKDAYS(Proc[[#This Row],[DateOpened]],TODAY()))-1,ABS(NETWORKDAYS(Proc[[#This Row],[DateOpened]],Proc[[#This Row],[DateClosed]]))-1)</f>
        <v>1</v>
      </c>
      <c r="R1479" s="86" t="s">
        <v>515</v>
      </c>
      <c r="S1479" s="85"/>
    </row>
    <row r="1480" spans="1:19" hidden="1">
      <c r="A1480" s="84" t="s">
        <v>3228</v>
      </c>
      <c r="B1480" s="149" t="str">
        <f>IFERROR(VLOOKUP(Proc[[#This Row],[App]],Table2[],3,0),"open")</f>
        <v>ok</v>
      </c>
      <c r="C1480" s="84" t="s">
        <v>369</v>
      </c>
      <c r="D1480" t="s">
        <v>3232</v>
      </c>
      <c r="E1480" t="s">
        <v>3250</v>
      </c>
      <c r="F1480" s="117" t="s">
        <v>3250</v>
      </c>
      <c r="G1480" s="84" t="s">
        <v>406</v>
      </c>
      <c r="H1480" s="85" t="str">
        <f>IF(Proc[[#This Row],[type]]="LFF (MDG-F)",MID(Proc[[#This Row],[Obj]],13,10),"")</f>
        <v>DE10624906</v>
      </c>
      <c r="I1480" s="84" t="s">
        <v>3259</v>
      </c>
      <c r="J1480" s="85" t="b">
        <f>Proc[[#This Row],[Requested]]=Proc[[#This Row],[CurrentParent]]</f>
        <v>1</v>
      </c>
      <c r="K1480" s="144" t="str">
        <f>IF(Proc[[#This Row],[Author]]="Marcela Urrego",VLOOKUP(LEFT(Proc[[#This Row],[Requested]],1),Table3[#All],2,0),VLOOKUP(Proc[[#This Row],[Author]],Table4[],2,0))</f>
        <v>MGF</v>
      </c>
      <c r="L1480" s="85" t="s">
        <v>2563</v>
      </c>
      <c r="M1480" s="83">
        <v>45791.342372685183</v>
      </c>
      <c r="N1480" s="83">
        <v>45792</v>
      </c>
      <c r="O1480" s="83">
        <v>45792</v>
      </c>
      <c r="P1480" s="86" t="str">
        <f ca="1">IF(Proc[[#This Row],[DaysAgeing]]&gt;5,"yep","on track")</f>
        <v>on track</v>
      </c>
      <c r="Q1480" s="3">
        <f ca="1">IF(Proc[[#This Row],[DateClosed]]="",ABS(NETWORKDAYS(Proc[[#This Row],[DateOpened]],TODAY()))-1,ABS(NETWORKDAYS(Proc[[#This Row],[DateOpened]],Proc[[#This Row],[DateClosed]]))-1)</f>
        <v>1</v>
      </c>
      <c r="R1480" s="86" t="s">
        <v>515</v>
      </c>
      <c r="S1480" s="85"/>
    </row>
    <row r="1481" spans="1:19" hidden="1">
      <c r="A1481" s="84" t="s">
        <v>3228</v>
      </c>
      <c r="B1481" s="149" t="str">
        <f>IFERROR(VLOOKUP(Proc[[#This Row],[App]],Table2[],3,0),"open")</f>
        <v>ok</v>
      </c>
      <c r="C1481" s="84" t="s">
        <v>369</v>
      </c>
      <c r="D1481" t="s">
        <v>3233</v>
      </c>
      <c r="E1481" t="s">
        <v>3249</v>
      </c>
      <c r="F1481" s="117" t="s">
        <v>3249</v>
      </c>
      <c r="G1481" s="84" t="s">
        <v>406</v>
      </c>
      <c r="H1481" s="85" t="str">
        <f>IF(Proc[[#This Row],[type]]="LFF (MDG-F)",MID(Proc[[#This Row],[Obj]],13,10),"")</f>
        <v>DE10GM1057</v>
      </c>
      <c r="I1481" s="84" t="s">
        <v>3259</v>
      </c>
      <c r="J1481" s="85" t="b">
        <f>Proc[[#This Row],[Requested]]=Proc[[#This Row],[CurrentParent]]</f>
        <v>1</v>
      </c>
      <c r="K1481" s="144" t="str">
        <f>IF(Proc[[#This Row],[Author]]="Marcela Urrego",VLOOKUP(LEFT(Proc[[#This Row],[Requested]],1),Table3[#All],2,0),VLOOKUP(Proc[[#This Row],[Author]],Table4[],2,0))</f>
        <v>MGF</v>
      </c>
      <c r="L1481" s="85" t="s">
        <v>2563</v>
      </c>
      <c r="M1481" s="83">
        <v>45791.342372685183</v>
      </c>
      <c r="N1481" s="83">
        <v>45792</v>
      </c>
      <c r="O1481" s="83">
        <v>45792</v>
      </c>
      <c r="P1481" s="86" t="str">
        <f ca="1">IF(Proc[[#This Row],[DaysAgeing]]&gt;5,"yep","on track")</f>
        <v>on track</v>
      </c>
      <c r="Q1481" s="3">
        <f ca="1">IF(Proc[[#This Row],[DateClosed]]="",ABS(NETWORKDAYS(Proc[[#This Row],[DateOpened]],TODAY()))-1,ABS(NETWORKDAYS(Proc[[#This Row],[DateOpened]],Proc[[#This Row],[DateClosed]]))-1)</f>
        <v>1</v>
      </c>
      <c r="R1481" s="86" t="s">
        <v>515</v>
      </c>
      <c r="S1481" s="85"/>
    </row>
    <row r="1482" spans="1:19" hidden="1">
      <c r="A1482" s="84" t="s">
        <v>3228</v>
      </c>
      <c r="B1482" s="149" t="str">
        <f>IFERROR(VLOOKUP(Proc[[#This Row],[App]],Table2[],3,0),"open")</f>
        <v>ok</v>
      </c>
      <c r="C1482" s="84" t="s">
        <v>369</v>
      </c>
      <c r="D1482" t="s">
        <v>3234</v>
      </c>
      <c r="E1482" t="s">
        <v>3251</v>
      </c>
      <c r="F1482" s="117" t="s">
        <v>3251</v>
      </c>
      <c r="G1482" s="84" t="s">
        <v>406</v>
      </c>
      <c r="H1482" s="85" t="str">
        <f>IF(Proc[[#This Row],[type]]="LFF (MDG-F)",MID(Proc[[#This Row],[Obj]],13,10),"")</f>
        <v>DE10GMK003</v>
      </c>
      <c r="I1482" s="84" t="s">
        <v>3259</v>
      </c>
      <c r="J1482" s="85" t="b">
        <f>Proc[[#This Row],[Requested]]=Proc[[#This Row],[CurrentParent]]</f>
        <v>1</v>
      </c>
      <c r="K1482" s="144" t="str">
        <f>IF(Proc[[#This Row],[Author]]="Marcela Urrego",VLOOKUP(LEFT(Proc[[#This Row],[Requested]],1),Table3[#All],2,0),VLOOKUP(Proc[[#This Row],[Author]],Table4[],2,0))</f>
        <v>MGF</v>
      </c>
      <c r="L1482" s="85" t="s">
        <v>2563</v>
      </c>
      <c r="M1482" s="83">
        <v>45791.342372685183</v>
      </c>
      <c r="N1482" s="83">
        <v>45792</v>
      </c>
      <c r="O1482" s="83">
        <v>45792</v>
      </c>
      <c r="P1482" s="86" t="str">
        <f ca="1">IF(Proc[[#This Row],[DaysAgeing]]&gt;5,"yep","on track")</f>
        <v>on track</v>
      </c>
      <c r="Q1482" s="3">
        <f ca="1">IF(Proc[[#This Row],[DateClosed]]="",ABS(NETWORKDAYS(Proc[[#This Row],[DateOpened]],TODAY()))-1,ABS(NETWORKDAYS(Proc[[#This Row],[DateOpened]],Proc[[#This Row],[DateClosed]]))-1)</f>
        <v>1</v>
      </c>
      <c r="R1482" s="86" t="s">
        <v>515</v>
      </c>
      <c r="S1482" s="85"/>
    </row>
    <row r="1483" spans="1:19" hidden="1">
      <c r="A1483" s="84" t="s">
        <v>3228</v>
      </c>
      <c r="B1483" s="149" t="str">
        <f>IFERROR(VLOOKUP(Proc[[#This Row],[App]],Table2[],3,0),"open")</f>
        <v>ok</v>
      </c>
      <c r="C1483" s="84" t="s">
        <v>369</v>
      </c>
      <c r="D1483" t="s">
        <v>3235</v>
      </c>
      <c r="E1483" t="s">
        <v>3252</v>
      </c>
      <c r="F1483" s="117" t="s">
        <v>3252</v>
      </c>
      <c r="G1483" s="84" t="s">
        <v>406</v>
      </c>
      <c r="H1483" s="85" t="str">
        <f>IF(Proc[[#This Row],[type]]="LFF (MDG-F)",MID(Proc[[#This Row],[Obj]],13,10),"")</f>
        <v>DE10GMK004</v>
      </c>
      <c r="I1483" s="84" t="s">
        <v>3259</v>
      </c>
      <c r="J1483" s="85" t="b">
        <f>Proc[[#This Row],[Requested]]=Proc[[#This Row],[CurrentParent]]</f>
        <v>1</v>
      </c>
      <c r="K1483" s="144" t="str">
        <f>IF(Proc[[#This Row],[Author]]="Marcela Urrego",VLOOKUP(LEFT(Proc[[#This Row],[Requested]],1),Table3[#All],2,0),VLOOKUP(Proc[[#This Row],[Author]],Table4[],2,0))</f>
        <v>MGF</v>
      </c>
      <c r="L1483" s="85" t="s">
        <v>2563</v>
      </c>
      <c r="M1483" s="83">
        <v>45791.342372685183</v>
      </c>
      <c r="N1483" s="83">
        <v>45792</v>
      </c>
      <c r="O1483" s="83">
        <v>45792</v>
      </c>
      <c r="P1483" s="86" t="str">
        <f ca="1">IF(Proc[[#This Row],[DaysAgeing]]&gt;5,"yep","on track")</f>
        <v>on track</v>
      </c>
      <c r="Q1483" s="3">
        <f ca="1">IF(Proc[[#This Row],[DateClosed]]="",ABS(NETWORKDAYS(Proc[[#This Row],[DateOpened]],TODAY()))-1,ABS(NETWORKDAYS(Proc[[#This Row],[DateOpened]],Proc[[#This Row],[DateClosed]]))-1)</f>
        <v>1</v>
      </c>
      <c r="R1483" s="86" t="s">
        <v>515</v>
      </c>
      <c r="S1483" s="85"/>
    </row>
    <row r="1484" spans="1:19" hidden="1">
      <c r="A1484" s="84" t="s">
        <v>3228</v>
      </c>
      <c r="B1484" s="149" t="str">
        <f>IFERROR(VLOOKUP(Proc[[#This Row],[App]],Table2[],3,0),"open")</f>
        <v>ok</v>
      </c>
      <c r="C1484" s="84" t="s">
        <v>369</v>
      </c>
      <c r="D1484" t="s">
        <v>3236</v>
      </c>
      <c r="E1484" t="s">
        <v>3253</v>
      </c>
      <c r="F1484" s="117" t="s">
        <v>3253</v>
      </c>
      <c r="G1484" s="84" t="s">
        <v>406</v>
      </c>
      <c r="H1484" s="85" t="str">
        <f>IF(Proc[[#This Row],[type]]="LFF (MDG-F)",MID(Proc[[#This Row],[Obj]],13,10),"")</f>
        <v>DE10Z03107</v>
      </c>
      <c r="I1484" s="84" t="s">
        <v>3259</v>
      </c>
      <c r="J1484" s="85" t="b">
        <f>Proc[[#This Row],[Requested]]=Proc[[#This Row],[CurrentParent]]</f>
        <v>1</v>
      </c>
      <c r="K1484" s="144" t="str">
        <f>IF(Proc[[#This Row],[Author]]="Marcela Urrego",VLOOKUP(LEFT(Proc[[#This Row],[Requested]],1),Table3[#All],2,0),VLOOKUP(Proc[[#This Row],[Author]],Table4[],2,0))</f>
        <v>MGF</v>
      </c>
      <c r="L1484" s="85" t="s">
        <v>2563</v>
      </c>
      <c r="M1484" s="83">
        <v>45791.342372685183</v>
      </c>
      <c r="N1484" s="83">
        <v>45792</v>
      </c>
      <c r="O1484" s="83">
        <v>45792</v>
      </c>
      <c r="P1484" s="86" t="str">
        <f ca="1">IF(Proc[[#This Row],[DaysAgeing]]&gt;5,"yep","on track")</f>
        <v>on track</v>
      </c>
      <c r="Q1484" s="3">
        <f ca="1">IF(Proc[[#This Row],[DateClosed]]="",ABS(NETWORKDAYS(Proc[[#This Row],[DateOpened]],TODAY()))-1,ABS(NETWORKDAYS(Proc[[#This Row],[DateOpened]],Proc[[#This Row],[DateClosed]]))-1)</f>
        <v>1</v>
      </c>
      <c r="R1484" s="86" t="s">
        <v>515</v>
      </c>
      <c r="S1484" s="85"/>
    </row>
    <row r="1485" spans="1:19" hidden="1">
      <c r="A1485" s="84" t="s">
        <v>3228</v>
      </c>
      <c r="B1485" s="149" t="str">
        <f>IFERROR(VLOOKUP(Proc[[#This Row],[App]],Table2[],3,0),"open")</f>
        <v>ok</v>
      </c>
      <c r="C1485" s="84" t="s">
        <v>369</v>
      </c>
      <c r="D1485" t="s">
        <v>3237</v>
      </c>
      <c r="E1485" t="s">
        <v>3249</v>
      </c>
      <c r="F1485" s="117" t="s">
        <v>3249</v>
      </c>
      <c r="G1485" s="84" t="s">
        <v>406</v>
      </c>
      <c r="H1485" s="85" t="str">
        <f>IF(Proc[[#This Row],[type]]="LFF (MDG-F)",MID(Proc[[#This Row],[Obj]],13,10),"")</f>
        <v>DE10Z03108</v>
      </c>
      <c r="I1485" s="84" t="s">
        <v>3259</v>
      </c>
      <c r="J1485" s="85" t="b">
        <f>Proc[[#This Row],[Requested]]=Proc[[#This Row],[CurrentParent]]</f>
        <v>1</v>
      </c>
      <c r="K1485" s="144" t="str">
        <f>IF(Proc[[#This Row],[Author]]="Marcela Urrego",VLOOKUP(LEFT(Proc[[#This Row],[Requested]],1),Table3[#All],2,0),VLOOKUP(Proc[[#This Row],[Author]],Table4[],2,0))</f>
        <v>MGF</v>
      </c>
      <c r="L1485" s="85" t="s">
        <v>2563</v>
      </c>
      <c r="M1485" s="83">
        <v>45791.342372685183</v>
      </c>
      <c r="N1485" s="83">
        <v>45792</v>
      </c>
      <c r="O1485" s="83">
        <v>45792</v>
      </c>
      <c r="P1485" s="86" t="str">
        <f ca="1">IF(Proc[[#This Row],[DaysAgeing]]&gt;5,"yep","on track")</f>
        <v>on track</v>
      </c>
      <c r="Q1485" s="3">
        <f ca="1">IF(Proc[[#This Row],[DateClosed]]="",ABS(NETWORKDAYS(Proc[[#This Row],[DateOpened]],TODAY()))-1,ABS(NETWORKDAYS(Proc[[#This Row],[DateOpened]],Proc[[#This Row],[DateClosed]]))-1)</f>
        <v>1</v>
      </c>
      <c r="R1485" s="86" t="s">
        <v>515</v>
      </c>
      <c r="S1485" s="85"/>
    </row>
    <row r="1486" spans="1:19" hidden="1">
      <c r="A1486" s="84" t="s">
        <v>3228</v>
      </c>
      <c r="B1486" s="149" t="str">
        <f>IFERROR(VLOOKUP(Proc[[#This Row],[App]],Table2[],3,0),"open")</f>
        <v>ok</v>
      </c>
      <c r="C1486" s="84" t="s">
        <v>369</v>
      </c>
      <c r="D1486" t="s">
        <v>3238</v>
      </c>
      <c r="E1486" t="s">
        <v>3248</v>
      </c>
      <c r="F1486" s="117" t="s">
        <v>3248</v>
      </c>
      <c r="G1486" s="84" t="s">
        <v>406</v>
      </c>
      <c r="H1486" s="85" t="str">
        <f>IF(Proc[[#This Row],[type]]="LFF (MDG-F)",MID(Proc[[#This Row],[Obj]],13,10),"")</f>
        <v>DE10Z03109</v>
      </c>
      <c r="I1486" s="84" t="s">
        <v>3259</v>
      </c>
      <c r="J1486" s="85" t="b">
        <f>Proc[[#This Row],[Requested]]=Proc[[#This Row],[CurrentParent]]</f>
        <v>1</v>
      </c>
      <c r="K1486" s="144" t="str">
        <f>IF(Proc[[#This Row],[Author]]="Marcela Urrego",VLOOKUP(LEFT(Proc[[#This Row],[Requested]],1),Table3[#All],2,0),VLOOKUP(Proc[[#This Row],[Author]],Table4[],2,0))</f>
        <v>MGF</v>
      </c>
      <c r="L1486" s="85" t="s">
        <v>2563</v>
      </c>
      <c r="M1486" s="83">
        <v>45791.342372685183</v>
      </c>
      <c r="N1486" s="83">
        <v>45792</v>
      </c>
      <c r="O1486" s="83">
        <v>45792</v>
      </c>
      <c r="P1486" s="86" t="str">
        <f ca="1">IF(Proc[[#This Row],[DaysAgeing]]&gt;5,"yep","on track")</f>
        <v>on track</v>
      </c>
      <c r="Q1486" s="3">
        <f ca="1">IF(Proc[[#This Row],[DateClosed]]="",ABS(NETWORKDAYS(Proc[[#This Row],[DateOpened]],TODAY()))-1,ABS(NETWORKDAYS(Proc[[#This Row],[DateOpened]],Proc[[#This Row],[DateClosed]]))-1)</f>
        <v>1</v>
      </c>
      <c r="R1486" s="86" t="s">
        <v>515</v>
      </c>
      <c r="S1486" s="85"/>
    </row>
    <row r="1487" spans="1:19" hidden="1">
      <c r="A1487" s="84" t="s">
        <v>3228</v>
      </c>
      <c r="B1487" s="149" t="str">
        <f>IFERROR(VLOOKUP(Proc[[#This Row],[App]],Table2[],3,0),"open")</f>
        <v>ok</v>
      </c>
      <c r="C1487" s="84" t="s">
        <v>369</v>
      </c>
      <c r="D1487" t="s">
        <v>3239</v>
      </c>
      <c r="E1487" t="s">
        <v>3254</v>
      </c>
      <c r="F1487" s="117" t="s">
        <v>3254</v>
      </c>
      <c r="G1487" s="84" t="s">
        <v>406</v>
      </c>
      <c r="H1487" s="85" t="str">
        <f>IF(Proc[[#This Row],[type]]="LFF (MDG-F)",MID(Proc[[#This Row],[Obj]],13,10),"")</f>
        <v>DE10Z03110</v>
      </c>
      <c r="I1487" s="84" t="s">
        <v>3259</v>
      </c>
      <c r="J1487" s="85" t="b">
        <f>Proc[[#This Row],[Requested]]=Proc[[#This Row],[CurrentParent]]</f>
        <v>1</v>
      </c>
      <c r="K1487" s="144" t="str">
        <f>IF(Proc[[#This Row],[Author]]="Marcela Urrego",VLOOKUP(LEFT(Proc[[#This Row],[Requested]],1),Table3[#All],2,0),VLOOKUP(Proc[[#This Row],[Author]],Table4[],2,0))</f>
        <v>MGF</v>
      </c>
      <c r="L1487" s="85" t="s">
        <v>2563</v>
      </c>
      <c r="M1487" s="83">
        <v>45791.342372685183</v>
      </c>
      <c r="N1487" s="83">
        <v>45792</v>
      </c>
      <c r="O1487" s="83">
        <v>45792</v>
      </c>
      <c r="P1487" s="86" t="str">
        <f ca="1">IF(Proc[[#This Row],[DaysAgeing]]&gt;5,"yep","on track")</f>
        <v>on track</v>
      </c>
      <c r="Q1487" s="3">
        <f ca="1">IF(Proc[[#This Row],[DateClosed]]="",ABS(NETWORKDAYS(Proc[[#This Row],[DateOpened]],TODAY()))-1,ABS(NETWORKDAYS(Proc[[#This Row],[DateOpened]],Proc[[#This Row],[DateClosed]]))-1)</f>
        <v>1</v>
      </c>
      <c r="R1487" s="86" t="s">
        <v>515</v>
      </c>
      <c r="S1487" s="85"/>
    </row>
    <row r="1488" spans="1:19" hidden="1">
      <c r="A1488" s="84" t="s">
        <v>3228</v>
      </c>
      <c r="B1488" s="149" t="str">
        <f>IFERROR(VLOOKUP(Proc[[#This Row],[App]],Table2[],3,0),"open")</f>
        <v>ok</v>
      </c>
      <c r="C1488" s="84" t="s">
        <v>369</v>
      </c>
      <c r="D1488" t="s">
        <v>3240</v>
      </c>
      <c r="E1488" t="s">
        <v>3253</v>
      </c>
      <c r="F1488" s="117" t="s">
        <v>3253</v>
      </c>
      <c r="G1488" s="84" t="s">
        <v>406</v>
      </c>
      <c r="H1488" s="85" t="str">
        <f>IF(Proc[[#This Row],[type]]="LFF (MDG-F)",MID(Proc[[#This Row],[Obj]],13,10),"")</f>
        <v>1937GMK003</v>
      </c>
      <c r="I1488" s="84" t="s">
        <v>3259</v>
      </c>
      <c r="J1488" s="85" t="b">
        <f>Proc[[#This Row],[Requested]]=Proc[[#This Row],[CurrentParent]]</f>
        <v>1</v>
      </c>
      <c r="K1488" s="144" t="str">
        <f>IF(Proc[[#This Row],[Author]]="Marcela Urrego",VLOOKUP(LEFT(Proc[[#This Row],[Requested]],1),Table3[#All],2,0),VLOOKUP(Proc[[#This Row],[Author]],Table4[],2,0))</f>
        <v>MGF</v>
      </c>
      <c r="L1488" s="85" t="s">
        <v>2563</v>
      </c>
      <c r="M1488" s="83">
        <v>45791.342372685183</v>
      </c>
      <c r="N1488" s="83">
        <v>45792</v>
      </c>
      <c r="O1488" s="83">
        <v>45792</v>
      </c>
      <c r="P1488" s="86" t="str">
        <f ca="1">IF(Proc[[#This Row],[DaysAgeing]]&gt;5,"yep","on track")</f>
        <v>on track</v>
      </c>
      <c r="Q1488" s="3">
        <f ca="1">IF(Proc[[#This Row],[DateClosed]]="",ABS(NETWORKDAYS(Proc[[#This Row],[DateOpened]],TODAY()))-1,ABS(NETWORKDAYS(Proc[[#This Row],[DateOpened]],Proc[[#This Row],[DateClosed]]))-1)</f>
        <v>1</v>
      </c>
      <c r="R1488" s="86" t="s">
        <v>515</v>
      </c>
      <c r="S1488" s="85"/>
    </row>
    <row r="1489" spans="1:19" hidden="1">
      <c r="A1489" s="84" t="s">
        <v>3228</v>
      </c>
      <c r="B1489" s="149" t="str">
        <f>IFERROR(VLOOKUP(Proc[[#This Row],[App]],Table2[],3,0),"open")</f>
        <v>ok</v>
      </c>
      <c r="C1489" s="84" t="s">
        <v>369</v>
      </c>
      <c r="D1489" t="s">
        <v>3241</v>
      </c>
      <c r="E1489" t="s">
        <v>3248</v>
      </c>
      <c r="F1489" s="117" t="s">
        <v>3248</v>
      </c>
      <c r="G1489" s="84" t="s">
        <v>406</v>
      </c>
      <c r="H1489" s="85" t="str">
        <f>IF(Proc[[#This Row],[type]]="LFF (MDG-F)",MID(Proc[[#This Row],[Obj]],13,10),"")</f>
        <v>2025GMK003</v>
      </c>
      <c r="I1489" s="84" t="s">
        <v>3259</v>
      </c>
      <c r="J1489" s="85" t="b">
        <f>Proc[[#This Row],[Requested]]=Proc[[#This Row],[CurrentParent]]</f>
        <v>1</v>
      </c>
      <c r="K1489" s="144" t="str">
        <f>IF(Proc[[#This Row],[Author]]="Marcela Urrego",VLOOKUP(LEFT(Proc[[#This Row],[Requested]],1),Table3[#All],2,0),VLOOKUP(Proc[[#This Row],[Author]],Table4[],2,0))</f>
        <v>MGF</v>
      </c>
      <c r="L1489" s="85" t="s">
        <v>2563</v>
      </c>
      <c r="M1489" s="83">
        <v>45791.342372685183</v>
      </c>
      <c r="N1489" s="83">
        <v>45792</v>
      </c>
      <c r="O1489" s="83">
        <v>45792</v>
      </c>
      <c r="P1489" s="86" t="str">
        <f ca="1">IF(Proc[[#This Row],[DaysAgeing]]&gt;5,"yep","on track")</f>
        <v>on track</v>
      </c>
      <c r="Q1489" s="3">
        <f ca="1">IF(Proc[[#This Row],[DateClosed]]="",ABS(NETWORKDAYS(Proc[[#This Row],[DateOpened]],TODAY()))-1,ABS(NETWORKDAYS(Proc[[#This Row],[DateOpened]],Proc[[#This Row],[DateClosed]]))-1)</f>
        <v>1</v>
      </c>
      <c r="R1489" s="86" t="s">
        <v>515</v>
      </c>
      <c r="S1489" s="85"/>
    </row>
    <row r="1490" spans="1:19" hidden="1">
      <c r="A1490" s="84" t="s">
        <v>3228</v>
      </c>
      <c r="B1490" s="149" t="str">
        <f>IFERROR(VLOOKUP(Proc[[#This Row],[App]],Table2[],3,0),"open")</f>
        <v>ok</v>
      </c>
      <c r="C1490" s="84" t="s">
        <v>369</v>
      </c>
      <c r="D1490" t="s">
        <v>3242</v>
      </c>
      <c r="E1490" t="s">
        <v>3249</v>
      </c>
      <c r="F1490" s="117" t="s">
        <v>3249</v>
      </c>
      <c r="G1490" s="84" t="s">
        <v>406</v>
      </c>
      <c r="H1490" s="85" t="str">
        <f>IF(Proc[[#This Row],[type]]="LFF (MDG-F)",MID(Proc[[#This Row],[Obj]],13,10),"")</f>
        <v>2123Z03104</v>
      </c>
      <c r="I1490" t="s">
        <v>3259</v>
      </c>
      <c r="J1490" s="85" t="b">
        <f>Proc[[#This Row],[Requested]]=Proc[[#This Row],[CurrentParent]]</f>
        <v>1</v>
      </c>
      <c r="K1490" s="144" t="str">
        <f>IF(Proc[[#This Row],[Author]]="Marcela Urrego",VLOOKUP(LEFT(Proc[[#This Row],[Requested]],1),Table3[#All],2,0),VLOOKUP(Proc[[#This Row],[Author]],Table4[],2,0))</f>
        <v>MGF</v>
      </c>
      <c r="L1490" s="85" t="s">
        <v>2563</v>
      </c>
      <c r="M1490" s="83">
        <v>45791.342372685183</v>
      </c>
      <c r="N1490" s="83">
        <v>45792</v>
      </c>
      <c r="O1490" s="83">
        <v>45792</v>
      </c>
      <c r="P1490" s="86" t="str">
        <f ca="1">IF(Proc[[#This Row],[DaysAgeing]]&gt;5,"yep","on track")</f>
        <v>on track</v>
      </c>
      <c r="Q1490" s="3">
        <f ca="1">IF(Proc[[#This Row],[DateClosed]]="",ABS(NETWORKDAYS(Proc[[#This Row],[DateOpened]],TODAY()))-1,ABS(NETWORKDAYS(Proc[[#This Row],[DateOpened]],Proc[[#This Row],[DateClosed]]))-1)</f>
        <v>1</v>
      </c>
      <c r="R1490" s="86" t="s">
        <v>515</v>
      </c>
      <c r="S1490" s="85"/>
    </row>
    <row r="1491" spans="1:19" hidden="1">
      <c r="A1491" s="84" t="s">
        <v>3228</v>
      </c>
      <c r="B1491" s="149" t="str">
        <f>IFERROR(VLOOKUP(Proc[[#This Row],[App]],Table2[],3,0),"open")</f>
        <v>ok</v>
      </c>
      <c r="C1491" s="84" t="s">
        <v>369</v>
      </c>
      <c r="D1491" t="s">
        <v>3243</v>
      </c>
      <c r="E1491" t="s">
        <v>3248</v>
      </c>
      <c r="F1491" s="117" t="s">
        <v>3248</v>
      </c>
      <c r="G1491" t="s">
        <v>400</v>
      </c>
      <c r="H1491" s="85" t="str">
        <f>IF(Proc[[#This Row],[type]]="LFF (MDG-F)",MID(Proc[[#This Row],[Obj]],13,10),"")</f>
        <v/>
      </c>
      <c r="J1491" s="85" t="b">
        <f>Proc[[#This Row],[Requested]]=Proc[[#This Row],[CurrentParent]]</f>
        <v>1</v>
      </c>
      <c r="K1491" s="144" t="str">
        <f>IF(Proc[[#This Row],[Author]]="Marcela Urrego",VLOOKUP(LEFT(Proc[[#This Row],[Requested]],1),Table3[#All],2,0),VLOOKUP(Proc[[#This Row],[Author]],Table4[],2,0))</f>
        <v>MGF</v>
      </c>
      <c r="L1491" s="85" t="s">
        <v>2563</v>
      </c>
      <c r="M1491" s="83">
        <v>45791.342372685183</v>
      </c>
      <c r="N1491" s="83">
        <v>45792</v>
      </c>
      <c r="O1491" s="83">
        <v>45792</v>
      </c>
      <c r="P1491" s="86" t="str">
        <f ca="1">IF(Proc[[#This Row],[DaysAgeing]]&gt;5,"yep","on track")</f>
        <v>on track</v>
      </c>
      <c r="Q1491" s="3">
        <f ca="1">IF(Proc[[#This Row],[DateClosed]]="",ABS(NETWORKDAYS(Proc[[#This Row],[DateOpened]],TODAY()))-1,ABS(NETWORKDAYS(Proc[[#This Row],[DateOpened]],Proc[[#This Row],[DateClosed]]))-1)</f>
        <v>1</v>
      </c>
      <c r="R1491" s="86" t="s">
        <v>515</v>
      </c>
      <c r="S1491" s="85"/>
    </row>
    <row r="1492" spans="1:19" hidden="1">
      <c r="A1492" s="84" t="s">
        <v>3228</v>
      </c>
      <c r="B1492" s="149" t="str">
        <f>IFERROR(VLOOKUP(Proc[[#This Row],[App]],Table2[],3,0),"open")</f>
        <v>ok</v>
      </c>
      <c r="C1492" s="84" t="s">
        <v>369</v>
      </c>
      <c r="D1492" t="s">
        <v>3244</v>
      </c>
      <c r="E1492" t="s">
        <v>3249</v>
      </c>
      <c r="F1492" s="117" t="s">
        <v>3249</v>
      </c>
      <c r="G1492" s="84" t="s">
        <v>400</v>
      </c>
      <c r="H1492" s="85" t="str">
        <f>IF(Proc[[#This Row],[type]]="LFF (MDG-F)",MID(Proc[[#This Row],[Obj]],13,10),"")</f>
        <v/>
      </c>
      <c r="J1492" s="85" t="b">
        <f>Proc[[#This Row],[Requested]]=Proc[[#This Row],[CurrentParent]]</f>
        <v>1</v>
      </c>
      <c r="K1492" s="144" t="str">
        <f>IF(Proc[[#This Row],[Author]]="Marcela Urrego",VLOOKUP(LEFT(Proc[[#This Row],[Requested]],1),Table3[#All],2,0),VLOOKUP(Proc[[#This Row],[Author]],Table4[],2,0))</f>
        <v>MGF</v>
      </c>
      <c r="L1492" s="85" t="s">
        <v>2563</v>
      </c>
      <c r="M1492" s="83">
        <v>45791.342372685183</v>
      </c>
      <c r="N1492" s="83">
        <v>45792</v>
      </c>
      <c r="O1492" s="83">
        <v>45792</v>
      </c>
      <c r="P1492" s="86" t="str">
        <f ca="1">IF(Proc[[#This Row],[DaysAgeing]]&gt;5,"yep","on track")</f>
        <v>on track</v>
      </c>
      <c r="Q1492" s="3">
        <f ca="1">IF(Proc[[#This Row],[DateClosed]]="",ABS(NETWORKDAYS(Proc[[#This Row],[DateOpened]],TODAY()))-1,ABS(NETWORKDAYS(Proc[[#This Row],[DateOpened]],Proc[[#This Row],[DateClosed]]))-1)</f>
        <v>1</v>
      </c>
      <c r="R1492" s="86" t="s">
        <v>515</v>
      </c>
      <c r="S1492" s="85"/>
    </row>
    <row r="1493" spans="1:19" hidden="1">
      <c r="A1493" s="84" t="s">
        <v>3228</v>
      </c>
      <c r="B1493" s="149" t="str">
        <f>IFERROR(VLOOKUP(Proc[[#This Row],[App]],Table2[],3,0),"open")</f>
        <v>ok</v>
      </c>
      <c r="C1493" s="84" t="s">
        <v>369</v>
      </c>
      <c r="D1493" t="s">
        <v>3245</v>
      </c>
      <c r="E1493" t="s">
        <v>3252</v>
      </c>
      <c r="F1493" s="117" t="s">
        <v>3252</v>
      </c>
      <c r="G1493" s="84" t="s">
        <v>400</v>
      </c>
      <c r="H1493" s="85" t="str">
        <f>IF(Proc[[#This Row],[type]]="LFF (MDG-F)",MID(Proc[[#This Row],[Obj]],13,10),"")</f>
        <v/>
      </c>
      <c r="J1493" s="85" t="b">
        <f>Proc[[#This Row],[Requested]]=Proc[[#This Row],[CurrentParent]]</f>
        <v>1</v>
      </c>
      <c r="K1493" s="144" t="str">
        <f>IF(Proc[[#This Row],[Author]]="Marcela Urrego",VLOOKUP(LEFT(Proc[[#This Row],[Requested]],1),Table3[#All],2,0),VLOOKUP(Proc[[#This Row],[Author]],Table4[],2,0))</f>
        <v>MGF</v>
      </c>
      <c r="L1493" s="85" t="s">
        <v>2563</v>
      </c>
      <c r="M1493" s="83">
        <v>45791.342372685183</v>
      </c>
      <c r="N1493" s="83">
        <v>45792</v>
      </c>
      <c r="O1493" s="83">
        <v>45792</v>
      </c>
      <c r="P1493" s="86" t="str">
        <f ca="1">IF(Proc[[#This Row],[DaysAgeing]]&gt;5,"yep","on track")</f>
        <v>on track</v>
      </c>
      <c r="Q1493" s="3">
        <f ca="1">IF(Proc[[#This Row],[DateClosed]]="",ABS(NETWORKDAYS(Proc[[#This Row],[DateOpened]],TODAY()))-1,ABS(NETWORKDAYS(Proc[[#This Row],[DateOpened]],Proc[[#This Row],[DateClosed]]))-1)</f>
        <v>1</v>
      </c>
      <c r="R1493" s="86" t="s">
        <v>515</v>
      </c>
      <c r="S1493" s="85"/>
    </row>
    <row r="1494" spans="1:19" hidden="1">
      <c r="A1494" s="84" t="s">
        <v>3228</v>
      </c>
      <c r="B1494" s="149" t="str">
        <f>IFERROR(VLOOKUP(Proc[[#This Row],[App]],Table2[],3,0),"open")</f>
        <v>ok</v>
      </c>
      <c r="C1494" s="84" t="s">
        <v>369</v>
      </c>
      <c r="D1494" t="s">
        <v>3246</v>
      </c>
      <c r="E1494" t="s">
        <v>3248</v>
      </c>
      <c r="F1494" s="117" t="s">
        <v>3248</v>
      </c>
      <c r="G1494" s="84" t="s">
        <v>400</v>
      </c>
      <c r="H1494" s="85" t="str">
        <f>IF(Proc[[#This Row],[type]]="LFF (MDG-F)",MID(Proc[[#This Row],[Obj]],13,10),"")</f>
        <v/>
      </c>
      <c r="J1494" s="85" t="b">
        <f>Proc[[#This Row],[Requested]]=Proc[[#This Row],[CurrentParent]]</f>
        <v>1</v>
      </c>
      <c r="K1494" s="144" t="str">
        <f>IF(Proc[[#This Row],[Author]]="Marcela Urrego",VLOOKUP(LEFT(Proc[[#This Row],[Requested]],1),Table3[#All],2,0),VLOOKUP(Proc[[#This Row],[Author]],Table4[],2,0))</f>
        <v>MGF</v>
      </c>
      <c r="L1494" s="85" t="s">
        <v>2563</v>
      </c>
      <c r="M1494" s="83">
        <v>45791.342372685183</v>
      </c>
      <c r="N1494" s="83">
        <v>45792</v>
      </c>
      <c r="O1494" s="83">
        <v>45792</v>
      </c>
      <c r="P1494" s="86" t="str">
        <f ca="1">IF(Proc[[#This Row],[DaysAgeing]]&gt;5,"yep","on track")</f>
        <v>on track</v>
      </c>
      <c r="Q1494" s="3">
        <f ca="1">IF(Proc[[#This Row],[DateClosed]]="",ABS(NETWORKDAYS(Proc[[#This Row],[DateOpened]],TODAY()))-1,ABS(NETWORKDAYS(Proc[[#This Row],[DateOpened]],Proc[[#This Row],[DateClosed]]))-1)</f>
        <v>1</v>
      </c>
      <c r="R1494" s="86" t="s">
        <v>515</v>
      </c>
      <c r="S1494" s="85"/>
    </row>
    <row r="1495" spans="1:19" hidden="1">
      <c r="A1495" s="84" t="s">
        <v>3228</v>
      </c>
      <c r="B1495" s="149" t="str">
        <f>IFERROR(VLOOKUP(Proc[[#This Row],[App]],Table2[],3,0),"open")</f>
        <v>ok</v>
      </c>
      <c r="C1495" s="84" t="s">
        <v>369</v>
      </c>
      <c r="D1495" t="s">
        <v>3247</v>
      </c>
      <c r="E1495" t="s">
        <v>3249</v>
      </c>
      <c r="F1495" s="117" t="s">
        <v>3249</v>
      </c>
      <c r="G1495" s="84" t="s">
        <v>400</v>
      </c>
      <c r="H1495" s="85" t="str">
        <f>IF(Proc[[#This Row],[type]]="LFF (MDG-F)",MID(Proc[[#This Row],[Obj]],13,10),"")</f>
        <v/>
      </c>
      <c r="J1495" s="85" t="b">
        <f>Proc[[#This Row],[Requested]]=Proc[[#This Row],[CurrentParent]]</f>
        <v>1</v>
      </c>
      <c r="K1495" s="144" t="str">
        <f>IF(Proc[[#This Row],[Author]]="Marcela Urrego",VLOOKUP(LEFT(Proc[[#This Row],[Requested]],1),Table3[#All],2,0),VLOOKUP(Proc[[#This Row],[Author]],Table4[],2,0))</f>
        <v>MGF</v>
      </c>
      <c r="L1495" s="85" t="s">
        <v>2563</v>
      </c>
      <c r="M1495" s="83">
        <v>45791.342372685183</v>
      </c>
      <c r="N1495" s="83">
        <v>45792</v>
      </c>
      <c r="O1495" s="83">
        <v>45792</v>
      </c>
      <c r="P1495" s="86" t="str">
        <f ca="1">IF(Proc[[#This Row],[DaysAgeing]]&gt;5,"yep","on track")</f>
        <v>on track</v>
      </c>
      <c r="Q1495" s="3">
        <f ca="1">IF(Proc[[#This Row],[DateClosed]]="",ABS(NETWORKDAYS(Proc[[#This Row],[DateOpened]],TODAY()))-1,ABS(NETWORKDAYS(Proc[[#This Row],[DateOpened]],Proc[[#This Row],[DateClosed]]))-1)</f>
        <v>1</v>
      </c>
      <c r="R1495" s="86" t="s">
        <v>515</v>
      </c>
      <c r="S1495" s="85"/>
    </row>
    <row r="1496" spans="1:19" hidden="1">
      <c r="A1496" t="s">
        <v>3255</v>
      </c>
      <c r="B1496" s="149" t="str">
        <f>IFERROR(VLOOKUP(Proc[[#This Row],[App]],Table2[],3,0),"open")</f>
        <v>ok</v>
      </c>
      <c r="C1496" s="84" t="s">
        <v>369</v>
      </c>
      <c r="D1496" t="s">
        <v>2601</v>
      </c>
      <c r="E1496" t="s">
        <v>3257</v>
      </c>
      <c r="F1496" s="117" t="s">
        <v>3257</v>
      </c>
      <c r="G1496" s="84" t="s">
        <v>400</v>
      </c>
      <c r="H1496" s="85" t="str">
        <f>IF(Proc[[#This Row],[type]]="LFF (MDG-F)",MID(Proc[[#This Row],[Obj]],13,10),"")</f>
        <v/>
      </c>
      <c r="J1496" s="85" t="b">
        <f>Proc[[#This Row],[Requested]]=Proc[[#This Row],[CurrentParent]]</f>
        <v>1</v>
      </c>
      <c r="K1496" s="144" t="str">
        <f>IF(Proc[[#This Row],[Author]]="Marcela Urrego",VLOOKUP(LEFT(Proc[[#This Row],[Requested]],1),Table3[#All],2,0),VLOOKUP(Proc[[#This Row],[Author]],Table4[],2,0))</f>
        <v>MGF</v>
      </c>
      <c r="L1496" s="85" t="s">
        <v>2563</v>
      </c>
      <c r="M1496" s="83">
        <v>45791.326874999999</v>
      </c>
      <c r="N1496" s="83">
        <v>45792</v>
      </c>
      <c r="O1496" s="83">
        <v>45792</v>
      </c>
      <c r="P1496" s="86" t="str">
        <f ca="1">IF(Proc[[#This Row],[DaysAgeing]]&gt;5,"yep","on track")</f>
        <v>on track</v>
      </c>
      <c r="Q1496" s="3">
        <f ca="1">IF(Proc[[#This Row],[DateClosed]]="",ABS(NETWORKDAYS(Proc[[#This Row],[DateOpened]],TODAY()))-1,ABS(NETWORKDAYS(Proc[[#This Row],[DateOpened]],Proc[[#This Row],[DateClosed]]))-1)</f>
        <v>1</v>
      </c>
      <c r="R1496" s="86" t="s">
        <v>515</v>
      </c>
      <c r="S1496" s="85"/>
    </row>
    <row r="1497" spans="1:19" hidden="1">
      <c r="A1497" s="84" t="s">
        <v>3255</v>
      </c>
      <c r="B1497" s="149" t="str">
        <f>IFERROR(VLOOKUP(Proc[[#This Row],[App]],Table2[],3,0),"open")</f>
        <v>ok</v>
      </c>
      <c r="C1497" s="84" t="s">
        <v>369</v>
      </c>
      <c r="D1497" t="s">
        <v>3256</v>
      </c>
      <c r="E1497" t="s">
        <v>3258</v>
      </c>
      <c r="F1497" s="117" t="s">
        <v>3258</v>
      </c>
      <c r="G1497" s="84" t="s">
        <v>400</v>
      </c>
      <c r="H1497" s="85" t="str">
        <f>IF(Proc[[#This Row],[type]]="LFF (MDG-F)",MID(Proc[[#This Row],[Obj]],13,10),"")</f>
        <v/>
      </c>
      <c r="J1497" s="85" t="b">
        <f>Proc[[#This Row],[Requested]]=Proc[[#This Row],[CurrentParent]]</f>
        <v>1</v>
      </c>
      <c r="K1497" s="144" t="str">
        <f>IF(Proc[[#This Row],[Author]]="Marcela Urrego",VLOOKUP(LEFT(Proc[[#This Row],[Requested]],1),Table3[#All],2,0),VLOOKUP(Proc[[#This Row],[Author]],Table4[],2,0))</f>
        <v>MGF</v>
      </c>
      <c r="L1497" s="85" t="s">
        <v>2563</v>
      </c>
      <c r="M1497" s="83">
        <v>45791.326874999999</v>
      </c>
      <c r="N1497" s="83">
        <v>45792</v>
      </c>
      <c r="O1497" s="83">
        <v>45792</v>
      </c>
      <c r="P1497" s="86" t="str">
        <f ca="1">IF(Proc[[#This Row],[DaysAgeing]]&gt;5,"yep","on track")</f>
        <v>on track</v>
      </c>
      <c r="Q1497" s="3">
        <f ca="1">IF(Proc[[#This Row],[DateClosed]]="",ABS(NETWORKDAYS(Proc[[#This Row],[DateOpened]],TODAY()))-1,ABS(NETWORKDAYS(Proc[[#This Row],[DateOpened]],Proc[[#This Row],[DateClosed]]))-1)</f>
        <v>1</v>
      </c>
      <c r="R1497" s="86" t="s">
        <v>515</v>
      </c>
      <c r="S1497" s="85"/>
    </row>
    <row r="1498" spans="1:19" hidden="1">
      <c r="A1498" t="s">
        <v>3260</v>
      </c>
      <c r="B1498" s="149" t="str">
        <f>IFERROR(VLOOKUP(Proc[[#This Row],[App]],Table2[],3,0),"open")</f>
        <v>ok</v>
      </c>
      <c r="C1498" s="84" t="s">
        <v>369</v>
      </c>
      <c r="D1498" t="s">
        <v>3261</v>
      </c>
      <c r="E1498" t="s">
        <v>3264</v>
      </c>
      <c r="F1498" s="117" t="s">
        <v>3264</v>
      </c>
      <c r="G1498" s="84" t="s">
        <v>400</v>
      </c>
      <c r="H1498" s="85" t="str">
        <f>IF(Proc[[#This Row],[type]]="LFF (MDG-F)",MID(Proc[[#This Row],[Obj]],13,10),"")</f>
        <v/>
      </c>
      <c r="J1498" s="85" t="b">
        <f>Proc[[#This Row],[Requested]]=Proc[[#This Row],[CurrentParent]]</f>
        <v>1</v>
      </c>
      <c r="K1498" s="144" t="str">
        <f>IF(Proc[[#This Row],[Author]]="Marcela Urrego",VLOOKUP(LEFT(Proc[[#This Row],[Requested]],1),Table3[#All],2,0),VLOOKUP(Proc[[#This Row],[Author]],Table4[],2,0))</f>
        <v>LS</v>
      </c>
      <c r="L1498" s="85" t="s">
        <v>2563</v>
      </c>
      <c r="M1498" s="83">
        <v>45792.391504629632</v>
      </c>
      <c r="N1498" s="83">
        <v>45796</v>
      </c>
      <c r="O1498" s="83">
        <v>45796</v>
      </c>
      <c r="P1498" s="86" t="str">
        <f ca="1">IF(Proc[[#This Row],[DaysAgeing]]&gt;5,"yep","on track")</f>
        <v>on track</v>
      </c>
      <c r="Q1498" s="3">
        <f ca="1">IF(Proc[[#This Row],[DateClosed]]="",ABS(NETWORKDAYS(Proc[[#This Row],[DateOpened]],TODAY()))-1,ABS(NETWORKDAYS(Proc[[#This Row],[DateOpened]],Proc[[#This Row],[DateClosed]]))-1)</f>
        <v>2</v>
      </c>
      <c r="R1498" s="86" t="s">
        <v>489</v>
      </c>
      <c r="S1498" s="85"/>
    </row>
    <row r="1499" spans="1:19" hidden="1">
      <c r="A1499" s="84" t="s">
        <v>3260</v>
      </c>
      <c r="B1499" s="149" t="str">
        <f>IFERROR(VLOOKUP(Proc[[#This Row],[App]],Table2[],3,0),"open")</f>
        <v>ok</v>
      </c>
      <c r="C1499" s="84" t="s">
        <v>369</v>
      </c>
      <c r="D1499" t="s">
        <v>3262</v>
      </c>
      <c r="E1499" t="s">
        <v>3265</v>
      </c>
      <c r="F1499" s="117" t="s">
        <v>3265</v>
      </c>
      <c r="G1499" s="84" t="s">
        <v>400</v>
      </c>
      <c r="H1499" s="85" t="str">
        <f>IF(Proc[[#This Row],[type]]="LFF (MDG-F)",MID(Proc[[#This Row],[Obj]],13,10),"")</f>
        <v/>
      </c>
      <c r="J1499" s="85" t="b">
        <f>Proc[[#This Row],[Requested]]=Proc[[#This Row],[CurrentParent]]</f>
        <v>1</v>
      </c>
      <c r="K1499" s="144" t="str">
        <f>IF(Proc[[#This Row],[Author]]="Marcela Urrego",VLOOKUP(LEFT(Proc[[#This Row],[Requested]],1),Table3[#All],2,0),VLOOKUP(Proc[[#This Row],[Author]],Table4[],2,0))</f>
        <v>LS</v>
      </c>
      <c r="L1499" s="85" t="s">
        <v>2563</v>
      </c>
      <c r="M1499" s="83">
        <v>45792.391504629632</v>
      </c>
      <c r="N1499" s="83">
        <v>45796</v>
      </c>
      <c r="O1499" s="83">
        <v>45796</v>
      </c>
      <c r="P1499" s="86" t="str">
        <f ca="1">IF(Proc[[#This Row],[DaysAgeing]]&gt;5,"yep","on track")</f>
        <v>on track</v>
      </c>
      <c r="Q1499" s="3">
        <f ca="1">IF(Proc[[#This Row],[DateClosed]]="",ABS(NETWORKDAYS(Proc[[#This Row],[DateOpened]],TODAY()))-1,ABS(NETWORKDAYS(Proc[[#This Row],[DateOpened]],Proc[[#This Row],[DateClosed]]))-1)</f>
        <v>2</v>
      </c>
      <c r="R1499" s="86" t="s">
        <v>489</v>
      </c>
      <c r="S1499" s="85"/>
    </row>
    <row r="1500" spans="1:19" hidden="1">
      <c r="A1500" s="84" t="s">
        <v>3260</v>
      </c>
      <c r="B1500" s="149" t="str">
        <f>IFERROR(VLOOKUP(Proc[[#This Row],[App]],Table2[],3,0),"open")</f>
        <v>ok</v>
      </c>
      <c r="C1500" s="84" t="s">
        <v>369</v>
      </c>
      <c r="D1500" t="s">
        <v>3263</v>
      </c>
      <c r="E1500" t="s">
        <v>3266</v>
      </c>
      <c r="F1500" s="117" t="s">
        <v>3266</v>
      </c>
      <c r="G1500" s="84" t="s">
        <v>400</v>
      </c>
      <c r="H1500" s="85" t="str">
        <f>IF(Proc[[#This Row],[type]]="LFF (MDG-F)",MID(Proc[[#This Row],[Obj]],13,10),"")</f>
        <v/>
      </c>
      <c r="J1500" s="85" t="b">
        <f>Proc[[#This Row],[Requested]]=Proc[[#This Row],[CurrentParent]]</f>
        <v>1</v>
      </c>
      <c r="K1500" s="144" t="str">
        <f>IF(Proc[[#This Row],[Author]]="Marcela Urrego",VLOOKUP(LEFT(Proc[[#This Row],[Requested]],1),Table3[#All],2,0),VLOOKUP(Proc[[#This Row],[Author]],Table4[],2,0))</f>
        <v>LS</v>
      </c>
      <c r="L1500" s="85" t="s">
        <v>2563</v>
      </c>
      <c r="M1500" s="83">
        <v>45792.391504629632</v>
      </c>
      <c r="N1500" s="83">
        <v>45796</v>
      </c>
      <c r="O1500" s="83">
        <v>45796</v>
      </c>
      <c r="P1500" s="86" t="str">
        <f ca="1">IF(Proc[[#This Row],[DaysAgeing]]&gt;5,"yep","on track")</f>
        <v>on track</v>
      </c>
      <c r="Q1500" s="3">
        <f ca="1">IF(Proc[[#This Row],[DateClosed]]="",ABS(NETWORKDAYS(Proc[[#This Row],[DateOpened]],TODAY()))-1,ABS(NETWORKDAYS(Proc[[#This Row],[DateOpened]],Proc[[#This Row],[DateClosed]]))-1)</f>
        <v>2</v>
      </c>
      <c r="R1500" s="86" t="s">
        <v>489</v>
      </c>
      <c r="S1500" s="85"/>
    </row>
    <row r="1501" spans="1:19" hidden="1">
      <c r="A1501" t="s">
        <v>3267</v>
      </c>
      <c r="B1501" s="149" t="str">
        <f>IFERROR(VLOOKUP(Proc[[#This Row],[App]],Table2[],3,0),"open")</f>
        <v>ok</v>
      </c>
      <c r="C1501" s="84" t="s">
        <v>369</v>
      </c>
      <c r="D1501" t="s">
        <v>3268</v>
      </c>
      <c r="E1501" t="s">
        <v>3279</v>
      </c>
      <c r="F1501" s="117" t="s">
        <v>3279</v>
      </c>
      <c r="G1501" s="84" t="s">
        <v>400</v>
      </c>
      <c r="H1501" s="85" t="str">
        <f>IF(Proc[[#This Row],[type]]="LFF (MDG-F)",MID(Proc[[#This Row],[Obj]],13,10),"")</f>
        <v/>
      </c>
      <c r="J1501" s="85" t="b">
        <f>Proc[[#This Row],[Requested]]=Proc[[#This Row],[CurrentParent]]</f>
        <v>1</v>
      </c>
      <c r="K1501" s="144" t="str">
        <f>IF(Proc[[#This Row],[Author]]="Marcela Urrego",VLOOKUP(LEFT(Proc[[#This Row],[Requested]],1),Table3[#All],2,0),VLOOKUP(Proc[[#This Row],[Author]],Table4[],2,0))</f>
        <v>HC</v>
      </c>
      <c r="L1501" s="85" t="s">
        <v>2563</v>
      </c>
      <c r="M1501" s="83">
        <v>45791.7815162037</v>
      </c>
      <c r="N1501" s="83">
        <v>45796</v>
      </c>
      <c r="O1501" s="83">
        <v>45796</v>
      </c>
      <c r="P1501" s="86" t="str">
        <f ca="1">IF(Proc[[#This Row],[DaysAgeing]]&gt;5,"yep","on track")</f>
        <v>on track</v>
      </c>
      <c r="Q1501" s="3">
        <f ca="1">IF(Proc[[#This Row],[DateClosed]]="",ABS(NETWORKDAYS(Proc[[#This Row],[DateOpened]],TODAY()))-1,ABS(NETWORKDAYS(Proc[[#This Row],[DateOpened]],Proc[[#This Row],[DateClosed]]))-1)</f>
        <v>3</v>
      </c>
      <c r="R1501" s="86" t="s">
        <v>3284</v>
      </c>
      <c r="S1501" s="85"/>
    </row>
    <row r="1502" spans="1:19" hidden="1">
      <c r="A1502" s="84" t="s">
        <v>3267</v>
      </c>
      <c r="B1502" s="149" t="str">
        <f>IFERROR(VLOOKUP(Proc[[#This Row],[App]],Table2[],3,0),"open")</f>
        <v>ok</v>
      </c>
      <c r="C1502" s="84" t="s">
        <v>369</v>
      </c>
      <c r="D1502" t="s">
        <v>3269</v>
      </c>
      <c r="E1502" t="s">
        <v>3280</v>
      </c>
      <c r="F1502" s="117" t="s">
        <v>3280</v>
      </c>
      <c r="G1502" s="84" t="s">
        <v>400</v>
      </c>
      <c r="H1502" s="85" t="str">
        <f>IF(Proc[[#This Row],[type]]="LFF (MDG-F)",MID(Proc[[#This Row],[Obj]],13,10),"")</f>
        <v/>
      </c>
      <c r="J1502" s="85" t="b">
        <f>Proc[[#This Row],[Requested]]=Proc[[#This Row],[CurrentParent]]</f>
        <v>1</v>
      </c>
      <c r="K1502" s="144" t="str">
        <f>IF(Proc[[#This Row],[Author]]="Marcela Urrego",VLOOKUP(LEFT(Proc[[#This Row],[Requested]],1),Table3[#All],2,0),VLOOKUP(Proc[[#This Row],[Author]],Table4[],2,0))</f>
        <v>HC</v>
      </c>
      <c r="L1502" s="85" t="s">
        <v>2563</v>
      </c>
      <c r="M1502" s="83">
        <v>45791.7815162037</v>
      </c>
      <c r="N1502" s="83">
        <v>45796</v>
      </c>
      <c r="O1502" s="83">
        <v>45796</v>
      </c>
      <c r="P1502" s="86" t="str">
        <f ca="1">IF(Proc[[#This Row],[DaysAgeing]]&gt;5,"yep","on track")</f>
        <v>on track</v>
      </c>
      <c r="Q1502" s="3">
        <f ca="1">IF(Proc[[#This Row],[DateClosed]]="",ABS(NETWORKDAYS(Proc[[#This Row],[DateOpened]],TODAY()))-1,ABS(NETWORKDAYS(Proc[[#This Row],[DateOpened]],Proc[[#This Row],[DateClosed]]))-1)</f>
        <v>3</v>
      </c>
      <c r="R1502" s="86" t="s">
        <v>3284</v>
      </c>
      <c r="S1502" s="85"/>
    </row>
    <row r="1503" spans="1:19" hidden="1">
      <c r="A1503" s="84" t="s">
        <v>3267</v>
      </c>
      <c r="B1503" s="149" t="str">
        <f>IFERROR(VLOOKUP(Proc[[#This Row],[App]],Table2[],3,0),"open")</f>
        <v>ok</v>
      </c>
      <c r="C1503" s="84" t="s">
        <v>369</v>
      </c>
      <c r="D1503" t="s">
        <v>3270</v>
      </c>
      <c r="E1503" t="s">
        <v>3281</v>
      </c>
      <c r="F1503" s="117" t="s">
        <v>3281</v>
      </c>
      <c r="G1503" s="84" t="s">
        <v>400</v>
      </c>
      <c r="H1503" s="85" t="str">
        <f>IF(Proc[[#This Row],[type]]="LFF (MDG-F)",MID(Proc[[#This Row],[Obj]],13,10),"")</f>
        <v/>
      </c>
      <c r="J1503" s="85" t="b">
        <f>Proc[[#This Row],[Requested]]=Proc[[#This Row],[CurrentParent]]</f>
        <v>1</v>
      </c>
      <c r="K1503" s="144" t="str">
        <f>IF(Proc[[#This Row],[Author]]="Marcela Urrego",VLOOKUP(LEFT(Proc[[#This Row],[Requested]],1),Table3[#All],2,0),VLOOKUP(Proc[[#This Row],[Author]],Table4[],2,0))</f>
        <v>HC</v>
      </c>
      <c r="L1503" s="85" t="s">
        <v>2563</v>
      </c>
      <c r="M1503" s="83">
        <v>45791.7815162037</v>
      </c>
      <c r="N1503" s="83">
        <v>45796</v>
      </c>
      <c r="O1503" s="83">
        <v>45796</v>
      </c>
      <c r="P1503" s="86" t="str">
        <f ca="1">IF(Proc[[#This Row],[DaysAgeing]]&gt;5,"yep","on track")</f>
        <v>on track</v>
      </c>
      <c r="Q1503" s="3">
        <f ca="1">IF(Proc[[#This Row],[DateClosed]]="",ABS(NETWORKDAYS(Proc[[#This Row],[DateOpened]],TODAY()))-1,ABS(NETWORKDAYS(Proc[[#This Row],[DateOpened]],Proc[[#This Row],[DateClosed]]))-1)</f>
        <v>3</v>
      </c>
      <c r="R1503" s="86" t="s">
        <v>3284</v>
      </c>
      <c r="S1503" s="85"/>
    </row>
    <row r="1504" spans="1:19" hidden="1">
      <c r="A1504" s="84" t="s">
        <v>3267</v>
      </c>
      <c r="B1504" s="149" t="str">
        <f>IFERROR(VLOOKUP(Proc[[#This Row],[App]],Table2[],3,0),"open")</f>
        <v>ok</v>
      </c>
      <c r="C1504" s="84" t="s">
        <v>369</v>
      </c>
      <c r="D1504" t="s">
        <v>3271</v>
      </c>
      <c r="E1504" t="s">
        <v>3282</v>
      </c>
      <c r="F1504" s="117" t="s">
        <v>3282</v>
      </c>
      <c r="G1504" s="84" t="s">
        <v>400</v>
      </c>
      <c r="H1504" s="85" t="str">
        <f>IF(Proc[[#This Row],[type]]="LFF (MDG-F)",MID(Proc[[#This Row],[Obj]],13,10),"")</f>
        <v/>
      </c>
      <c r="J1504" s="85" t="b">
        <f>Proc[[#This Row],[Requested]]=Proc[[#This Row],[CurrentParent]]</f>
        <v>1</v>
      </c>
      <c r="K1504" s="144" t="str">
        <f>IF(Proc[[#This Row],[Author]]="Marcela Urrego",VLOOKUP(LEFT(Proc[[#This Row],[Requested]],1),Table3[#All],2,0),VLOOKUP(Proc[[#This Row],[Author]],Table4[],2,0))</f>
        <v>HC</v>
      </c>
      <c r="L1504" s="85" t="s">
        <v>2563</v>
      </c>
      <c r="M1504" s="83">
        <v>45791.7815162037</v>
      </c>
      <c r="N1504" s="83">
        <v>45796</v>
      </c>
      <c r="O1504" s="83">
        <v>45796</v>
      </c>
      <c r="P1504" s="86" t="str">
        <f ca="1">IF(Proc[[#This Row],[DaysAgeing]]&gt;5,"yep","on track")</f>
        <v>on track</v>
      </c>
      <c r="Q1504" s="3">
        <f ca="1">IF(Proc[[#This Row],[DateClosed]]="",ABS(NETWORKDAYS(Proc[[#This Row],[DateOpened]],TODAY()))-1,ABS(NETWORKDAYS(Proc[[#This Row],[DateOpened]],Proc[[#This Row],[DateClosed]]))-1)</f>
        <v>3</v>
      </c>
      <c r="R1504" s="86" t="s">
        <v>3284</v>
      </c>
      <c r="S1504" s="85"/>
    </row>
    <row r="1505" spans="1:19" hidden="1">
      <c r="A1505" s="84" t="s">
        <v>3267</v>
      </c>
      <c r="B1505" s="149" t="str">
        <f>IFERROR(VLOOKUP(Proc[[#This Row],[App]],Table2[],3,0),"open")</f>
        <v>ok</v>
      </c>
      <c r="C1505" s="84" t="s">
        <v>369</v>
      </c>
      <c r="D1505" t="s">
        <v>3272</v>
      </c>
      <c r="E1505" t="s">
        <v>3283</v>
      </c>
      <c r="F1505" s="117" t="s">
        <v>3283</v>
      </c>
      <c r="G1505" s="84" t="s">
        <v>400</v>
      </c>
      <c r="H1505" s="85" t="str">
        <f>IF(Proc[[#This Row],[type]]="LFF (MDG-F)",MID(Proc[[#This Row],[Obj]],13,10),"")</f>
        <v/>
      </c>
      <c r="J1505" s="85" t="b">
        <f>Proc[[#This Row],[Requested]]=Proc[[#This Row],[CurrentParent]]</f>
        <v>1</v>
      </c>
      <c r="K1505" s="144" t="str">
        <f>IF(Proc[[#This Row],[Author]]="Marcela Urrego",VLOOKUP(LEFT(Proc[[#This Row],[Requested]],1),Table3[#All],2,0),VLOOKUP(Proc[[#This Row],[Author]],Table4[],2,0))</f>
        <v>HC</v>
      </c>
      <c r="L1505" s="85" t="s">
        <v>2563</v>
      </c>
      <c r="M1505" s="83">
        <v>45791.7815162037</v>
      </c>
      <c r="N1505" s="83">
        <v>45796</v>
      </c>
      <c r="O1505" s="83">
        <v>45796</v>
      </c>
      <c r="P1505" s="86" t="str">
        <f ca="1">IF(Proc[[#This Row],[DaysAgeing]]&gt;5,"yep","on track")</f>
        <v>on track</v>
      </c>
      <c r="Q1505" s="3">
        <f ca="1">IF(Proc[[#This Row],[DateClosed]]="",ABS(NETWORKDAYS(Proc[[#This Row],[DateOpened]],TODAY()))-1,ABS(NETWORKDAYS(Proc[[#This Row],[DateOpened]],Proc[[#This Row],[DateClosed]]))-1)</f>
        <v>3</v>
      </c>
      <c r="R1505" s="86" t="s">
        <v>3284</v>
      </c>
      <c r="S1505" s="85"/>
    </row>
    <row r="1506" spans="1:19" hidden="1">
      <c r="A1506" s="84" t="s">
        <v>3267</v>
      </c>
      <c r="B1506" s="149" t="str">
        <f>IFERROR(VLOOKUP(Proc[[#This Row],[App]],Table2[],3,0),"open")</f>
        <v>ok</v>
      </c>
      <c r="C1506" s="84" t="s">
        <v>369</v>
      </c>
      <c r="D1506" t="s">
        <v>3273</v>
      </c>
      <c r="E1506" t="s">
        <v>3283</v>
      </c>
      <c r="F1506" s="117" t="s">
        <v>3283</v>
      </c>
      <c r="G1506" s="84" t="s">
        <v>400</v>
      </c>
      <c r="H1506" s="85" t="str">
        <f>IF(Proc[[#This Row],[type]]="LFF (MDG-F)",MID(Proc[[#This Row],[Obj]],13,10),"")</f>
        <v/>
      </c>
      <c r="J1506" s="85" t="b">
        <f>Proc[[#This Row],[Requested]]=Proc[[#This Row],[CurrentParent]]</f>
        <v>1</v>
      </c>
      <c r="K1506" s="144" t="str">
        <f>IF(Proc[[#This Row],[Author]]="Marcela Urrego",VLOOKUP(LEFT(Proc[[#This Row],[Requested]],1),Table3[#All],2,0),VLOOKUP(Proc[[#This Row],[Author]],Table4[],2,0))</f>
        <v>HC</v>
      </c>
      <c r="L1506" s="85" t="s">
        <v>2563</v>
      </c>
      <c r="M1506" s="83">
        <v>45791.7815162037</v>
      </c>
      <c r="N1506" s="83">
        <v>45796</v>
      </c>
      <c r="O1506" s="83">
        <v>45796</v>
      </c>
      <c r="P1506" s="86" t="str">
        <f ca="1">IF(Proc[[#This Row],[DaysAgeing]]&gt;5,"yep","on track")</f>
        <v>on track</v>
      </c>
      <c r="Q1506" s="3">
        <f ca="1">IF(Proc[[#This Row],[DateClosed]]="",ABS(NETWORKDAYS(Proc[[#This Row],[DateOpened]],TODAY()))-1,ABS(NETWORKDAYS(Proc[[#This Row],[DateOpened]],Proc[[#This Row],[DateClosed]]))-1)</f>
        <v>3</v>
      </c>
      <c r="R1506" s="86" t="s">
        <v>3284</v>
      </c>
      <c r="S1506" s="85"/>
    </row>
    <row r="1507" spans="1:19" hidden="1">
      <c r="A1507" s="84" t="s">
        <v>3267</v>
      </c>
      <c r="B1507" s="149" t="str">
        <f>IFERROR(VLOOKUP(Proc[[#This Row],[App]],Table2[],3,0),"open")</f>
        <v>ok</v>
      </c>
      <c r="C1507" s="84" t="s">
        <v>369</v>
      </c>
      <c r="D1507" t="s">
        <v>3274</v>
      </c>
      <c r="E1507" t="s">
        <v>3280</v>
      </c>
      <c r="F1507" s="117" t="s">
        <v>3280</v>
      </c>
      <c r="G1507" s="84" t="s">
        <v>400</v>
      </c>
      <c r="H1507" s="85" t="str">
        <f>IF(Proc[[#This Row],[type]]="LFF (MDG-F)",MID(Proc[[#This Row],[Obj]],13,10),"")</f>
        <v/>
      </c>
      <c r="J1507" s="85" t="b">
        <f>Proc[[#This Row],[Requested]]=Proc[[#This Row],[CurrentParent]]</f>
        <v>1</v>
      </c>
      <c r="K1507" s="144" t="str">
        <f>IF(Proc[[#This Row],[Author]]="Marcela Urrego",VLOOKUP(LEFT(Proc[[#This Row],[Requested]],1),Table3[#All],2,0),VLOOKUP(Proc[[#This Row],[Author]],Table4[],2,0))</f>
        <v>HC</v>
      </c>
      <c r="L1507" s="85" t="s">
        <v>2563</v>
      </c>
      <c r="M1507" s="83">
        <v>45791.7815162037</v>
      </c>
      <c r="N1507" s="83">
        <v>45796</v>
      </c>
      <c r="O1507" s="83">
        <v>45796</v>
      </c>
      <c r="P1507" s="86" t="str">
        <f ca="1">IF(Proc[[#This Row],[DaysAgeing]]&gt;5,"yep","on track")</f>
        <v>on track</v>
      </c>
      <c r="Q1507" s="3">
        <f ca="1">IF(Proc[[#This Row],[DateClosed]]="",ABS(NETWORKDAYS(Proc[[#This Row],[DateOpened]],TODAY()))-1,ABS(NETWORKDAYS(Proc[[#This Row],[DateOpened]],Proc[[#This Row],[DateClosed]]))-1)</f>
        <v>3</v>
      </c>
      <c r="R1507" s="86" t="s">
        <v>3284</v>
      </c>
      <c r="S1507" s="85"/>
    </row>
    <row r="1508" spans="1:19" hidden="1">
      <c r="A1508" s="84" t="s">
        <v>3267</v>
      </c>
      <c r="B1508" s="149" t="str">
        <f>IFERROR(VLOOKUP(Proc[[#This Row],[App]],Table2[],3,0),"open")</f>
        <v>ok</v>
      </c>
      <c r="C1508" s="84" t="s">
        <v>369</v>
      </c>
      <c r="D1508" t="s">
        <v>3275</v>
      </c>
      <c r="E1508" t="s">
        <v>3280</v>
      </c>
      <c r="F1508" s="117" t="s">
        <v>3280</v>
      </c>
      <c r="G1508" s="84" t="s">
        <v>400</v>
      </c>
      <c r="H1508" s="85" t="str">
        <f>IF(Proc[[#This Row],[type]]="LFF (MDG-F)",MID(Proc[[#This Row],[Obj]],13,10),"")</f>
        <v/>
      </c>
      <c r="J1508" s="85" t="b">
        <f>Proc[[#This Row],[Requested]]=Proc[[#This Row],[CurrentParent]]</f>
        <v>1</v>
      </c>
      <c r="K1508" s="144" t="str">
        <f>IF(Proc[[#This Row],[Author]]="Marcela Urrego",VLOOKUP(LEFT(Proc[[#This Row],[Requested]],1),Table3[#All],2,0),VLOOKUP(Proc[[#This Row],[Author]],Table4[],2,0))</f>
        <v>HC</v>
      </c>
      <c r="L1508" s="85" t="s">
        <v>2563</v>
      </c>
      <c r="M1508" s="83">
        <v>45791.7815162037</v>
      </c>
      <c r="N1508" s="83">
        <v>45796</v>
      </c>
      <c r="O1508" s="83">
        <v>45796</v>
      </c>
      <c r="P1508" s="86" t="str">
        <f ca="1">IF(Proc[[#This Row],[DaysAgeing]]&gt;5,"yep","on track")</f>
        <v>on track</v>
      </c>
      <c r="Q1508" s="3">
        <f ca="1">IF(Proc[[#This Row],[DateClosed]]="",ABS(NETWORKDAYS(Proc[[#This Row],[DateOpened]],TODAY()))-1,ABS(NETWORKDAYS(Proc[[#This Row],[DateOpened]],Proc[[#This Row],[DateClosed]]))-1)</f>
        <v>3</v>
      </c>
      <c r="R1508" s="86" t="s">
        <v>3284</v>
      </c>
      <c r="S1508" s="85"/>
    </row>
    <row r="1509" spans="1:19" hidden="1">
      <c r="A1509" s="84" t="s">
        <v>3267</v>
      </c>
      <c r="B1509" s="149" t="str">
        <f>IFERROR(VLOOKUP(Proc[[#This Row],[App]],Table2[],3,0),"open")</f>
        <v>ok</v>
      </c>
      <c r="C1509" s="84" t="s">
        <v>369</v>
      </c>
      <c r="D1509" t="s">
        <v>3276</v>
      </c>
      <c r="E1509" t="s">
        <v>3280</v>
      </c>
      <c r="F1509" s="117" t="s">
        <v>3280</v>
      </c>
      <c r="G1509" s="84" t="s">
        <v>400</v>
      </c>
      <c r="H1509" s="85" t="str">
        <f>IF(Proc[[#This Row],[type]]="LFF (MDG-F)",MID(Proc[[#This Row],[Obj]],13,10),"")</f>
        <v/>
      </c>
      <c r="J1509" s="85" t="b">
        <f>Proc[[#This Row],[Requested]]=Proc[[#This Row],[CurrentParent]]</f>
        <v>1</v>
      </c>
      <c r="K1509" s="144" t="str">
        <f>IF(Proc[[#This Row],[Author]]="Marcela Urrego",VLOOKUP(LEFT(Proc[[#This Row],[Requested]],1),Table3[#All],2,0),VLOOKUP(Proc[[#This Row],[Author]],Table4[],2,0))</f>
        <v>HC</v>
      </c>
      <c r="L1509" s="85" t="s">
        <v>2563</v>
      </c>
      <c r="M1509" s="83">
        <v>45791.7815162037</v>
      </c>
      <c r="N1509" s="83">
        <v>45796</v>
      </c>
      <c r="O1509" s="83">
        <v>45796</v>
      </c>
      <c r="P1509" s="86" t="str">
        <f ca="1">IF(Proc[[#This Row],[DaysAgeing]]&gt;5,"yep","on track")</f>
        <v>on track</v>
      </c>
      <c r="Q1509" s="3">
        <f ca="1">IF(Proc[[#This Row],[DateClosed]]="",ABS(NETWORKDAYS(Proc[[#This Row],[DateOpened]],TODAY()))-1,ABS(NETWORKDAYS(Proc[[#This Row],[DateOpened]],Proc[[#This Row],[DateClosed]]))-1)</f>
        <v>3</v>
      </c>
      <c r="R1509" s="86" t="s">
        <v>3284</v>
      </c>
      <c r="S1509" s="85"/>
    </row>
    <row r="1510" spans="1:19" hidden="1">
      <c r="A1510" s="84" t="s">
        <v>3267</v>
      </c>
      <c r="B1510" s="149" t="str">
        <f>IFERROR(VLOOKUP(Proc[[#This Row],[App]],Table2[],3,0),"open")</f>
        <v>ok</v>
      </c>
      <c r="C1510" s="84" t="s">
        <v>369</v>
      </c>
      <c r="D1510" t="s">
        <v>3277</v>
      </c>
      <c r="E1510" t="s">
        <v>3280</v>
      </c>
      <c r="F1510" s="117" t="s">
        <v>3280</v>
      </c>
      <c r="G1510" s="84" t="s">
        <v>400</v>
      </c>
      <c r="H1510" s="85" t="str">
        <f>IF(Proc[[#This Row],[type]]="LFF (MDG-F)",MID(Proc[[#This Row],[Obj]],13,10),"")</f>
        <v/>
      </c>
      <c r="J1510" s="85" t="b">
        <f>Proc[[#This Row],[Requested]]=Proc[[#This Row],[CurrentParent]]</f>
        <v>1</v>
      </c>
      <c r="K1510" s="144" t="str">
        <f>IF(Proc[[#This Row],[Author]]="Marcela Urrego",VLOOKUP(LEFT(Proc[[#This Row],[Requested]],1),Table3[#All],2,0),VLOOKUP(Proc[[#This Row],[Author]],Table4[],2,0))</f>
        <v>HC</v>
      </c>
      <c r="L1510" s="85" t="s">
        <v>2563</v>
      </c>
      <c r="M1510" s="83">
        <v>45791.7815162037</v>
      </c>
      <c r="N1510" s="83">
        <v>45796</v>
      </c>
      <c r="O1510" s="83">
        <v>45796</v>
      </c>
      <c r="P1510" s="86" t="str">
        <f ca="1">IF(Proc[[#This Row],[DaysAgeing]]&gt;5,"yep","on track")</f>
        <v>on track</v>
      </c>
      <c r="Q1510" s="3">
        <f ca="1">IF(Proc[[#This Row],[DateClosed]]="",ABS(NETWORKDAYS(Proc[[#This Row],[DateOpened]],TODAY()))-1,ABS(NETWORKDAYS(Proc[[#This Row],[DateOpened]],Proc[[#This Row],[DateClosed]]))-1)</f>
        <v>3</v>
      </c>
      <c r="R1510" s="86" t="s">
        <v>3284</v>
      </c>
      <c r="S1510" s="85"/>
    </row>
    <row r="1511" spans="1:19" hidden="1">
      <c r="A1511" s="84" t="s">
        <v>3267</v>
      </c>
      <c r="B1511" s="149" t="str">
        <f>IFERROR(VLOOKUP(Proc[[#This Row],[App]],Table2[],3,0),"open")</f>
        <v>ok</v>
      </c>
      <c r="C1511" s="84" t="s">
        <v>369</v>
      </c>
      <c r="D1511" t="s">
        <v>3278</v>
      </c>
      <c r="E1511" t="s">
        <v>3279</v>
      </c>
      <c r="F1511" s="117" t="s">
        <v>3279</v>
      </c>
      <c r="G1511" s="84" t="s">
        <v>400</v>
      </c>
      <c r="H1511" s="85" t="str">
        <f>IF(Proc[[#This Row],[type]]="LFF (MDG-F)",MID(Proc[[#This Row],[Obj]],13,10),"")</f>
        <v/>
      </c>
      <c r="J1511" s="85" t="b">
        <f>Proc[[#This Row],[Requested]]=Proc[[#This Row],[CurrentParent]]</f>
        <v>1</v>
      </c>
      <c r="K1511" s="144" t="str">
        <f>IF(Proc[[#This Row],[Author]]="Marcela Urrego",VLOOKUP(LEFT(Proc[[#This Row],[Requested]],1),Table3[#All],2,0),VLOOKUP(Proc[[#This Row],[Author]],Table4[],2,0))</f>
        <v>HC</v>
      </c>
      <c r="L1511" s="85" t="s">
        <v>2563</v>
      </c>
      <c r="M1511" s="83">
        <v>45791.7815162037</v>
      </c>
      <c r="N1511" s="83">
        <v>45796</v>
      </c>
      <c r="O1511" s="83">
        <v>45796</v>
      </c>
      <c r="P1511" s="86" t="str">
        <f ca="1">IF(Proc[[#This Row],[DaysAgeing]]&gt;5,"yep","on track")</f>
        <v>on track</v>
      </c>
      <c r="Q1511" s="3">
        <f ca="1">IF(Proc[[#This Row],[DateClosed]]="",ABS(NETWORKDAYS(Proc[[#This Row],[DateOpened]],TODAY()))-1,ABS(NETWORKDAYS(Proc[[#This Row],[DateOpened]],Proc[[#This Row],[DateClosed]]))-1)</f>
        <v>3</v>
      </c>
      <c r="R1511" s="86" t="s">
        <v>3284</v>
      </c>
      <c r="S1511" s="85"/>
    </row>
    <row r="1512" spans="1:19" hidden="1">
      <c r="A1512" t="s">
        <v>3289</v>
      </c>
      <c r="B1512" s="149" t="str">
        <f>IFERROR(VLOOKUP(Proc[[#This Row],[App]],Table2[],3,0),"open")</f>
        <v>ok</v>
      </c>
      <c r="C1512" s="84" t="s">
        <v>369</v>
      </c>
      <c r="D1512" t="s">
        <v>3287</v>
      </c>
      <c r="E1512" t="s">
        <v>3288</v>
      </c>
      <c r="F1512" s="117" t="s">
        <v>3288</v>
      </c>
      <c r="G1512" s="84" t="s">
        <v>400</v>
      </c>
      <c r="H1512" s="85" t="str">
        <f>IF(Proc[[#This Row],[type]]="LFF (MDG-F)",MID(Proc[[#This Row],[Obj]],13,10),"")</f>
        <v/>
      </c>
      <c r="J1512" s="85" t="b">
        <f>Proc[[#This Row],[Requested]]=Proc[[#This Row],[CurrentParent]]</f>
        <v>1</v>
      </c>
      <c r="K1512" s="144" t="str">
        <f>IF(Proc[[#This Row],[Author]]="Marcela Urrego",VLOOKUP(LEFT(Proc[[#This Row],[Requested]],1),Table3[#All],2,0),VLOOKUP(Proc[[#This Row],[Author]],Table4[],2,0))</f>
        <v>LS</v>
      </c>
      <c r="L1512" s="85" t="s">
        <v>2563</v>
      </c>
      <c r="M1512" s="83">
        <v>45792.60396990741</v>
      </c>
      <c r="N1512" s="83">
        <v>45796</v>
      </c>
      <c r="O1512" s="83">
        <v>45796</v>
      </c>
      <c r="P1512" s="86" t="str">
        <f ca="1">IF(Proc[[#This Row],[DaysAgeing]]&gt;5,"yep","on track")</f>
        <v>on track</v>
      </c>
      <c r="Q1512" s="3">
        <f ca="1">IF(Proc[[#This Row],[DateClosed]]="",ABS(NETWORKDAYS(Proc[[#This Row],[DateOpened]],TODAY()))-1,ABS(NETWORKDAYS(Proc[[#This Row],[DateOpened]],Proc[[#This Row],[DateClosed]]))-1)</f>
        <v>2</v>
      </c>
      <c r="R1512" s="86" t="s">
        <v>3290</v>
      </c>
      <c r="S1512" s="85"/>
    </row>
    <row r="1513" spans="1:19" hidden="1">
      <c r="A1513" t="s">
        <v>3291</v>
      </c>
      <c r="B1513" s="149" t="str">
        <f>IFERROR(VLOOKUP(Proc[[#This Row],[App]],Table2[],3,0),"open")</f>
        <v>ok</v>
      </c>
      <c r="C1513" s="84" t="s">
        <v>369</v>
      </c>
      <c r="D1513" t="s">
        <v>4135</v>
      </c>
      <c r="E1513" t="s">
        <v>2417</v>
      </c>
      <c r="F1513" s="117" t="s">
        <v>2417</v>
      </c>
      <c r="G1513" s="103" t="s">
        <v>406</v>
      </c>
      <c r="H1513" s="85" t="str">
        <f>IF(Proc[[#This Row],[type]]="LFF (MDG-F)",MID(Proc[[#This Row],[Obj]],13,10),"")</f>
        <v>DZ50GM1100</v>
      </c>
      <c r="I1513" t="s">
        <v>4137</v>
      </c>
      <c r="J1513" s="85" t="b">
        <f>Proc[[#This Row],[Requested]]=Proc[[#This Row],[CurrentParent]]</f>
        <v>1</v>
      </c>
      <c r="K1513" s="144" t="str">
        <f>IF(Proc[[#This Row],[Author]]="Marcela Urrego",VLOOKUP(LEFT(Proc[[#This Row],[Requested]],1),Table3[#All],2,0),VLOOKUP(Proc[[#This Row],[Author]],Table4[],2,0))</f>
        <v>MGF</v>
      </c>
      <c r="L1513" s="85" t="s">
        <v>2563</v>
      </c>
      <c r="M1513" s="83">
        <v>45793.36509259259</v>
      </c>
      <c r="N1513" s="83"/>
      <c r="O1513" s="83"/>
      <c r="P1513" s="86" t="str">
        <f ca="1">IF(Proc[[#This Row],[DaysAgeing]]&gt;5,"yep","on track")</f>
        <v>yep</v>
      </c>
      <c r="Q1513" s="3">
        <f ca="1">IF(Proc[[#This Row],[DateClosed]]="",ABS(NETWORKDAYS(Proc[[#This Row],[DateOpened]],TODAY()))-1,ABS(NETWORKDAYS(Proc[[#This Row],[DateOpened]],Proc[[#This Row],[DateClosed]]))-1)</f>
        <v>155</v>
      </c>
      <c r="R1513" s="86" t="s">
        <v>515</v>
      </c>
      <c r="S1513" s="85"/>
    </row>
    <row r="1514" spans="1:19" hidden="1">
      <c r="A1514" s="84" t="s">
        <v>3291</v>
      </c>
      <c r="B1514" s="149" t="str">
        <f>IFERROR(VLOOKUP(Proc[[#This Row],[App]],Table2[],3,0),"open")</f>
        <v>ok</v>
      </c>
      <c r="C1514" s="103" t="s">
        <v>369</v>
      </c>
      <c r="D1514" t="s">
        <v>4136</v>
      </c>
      <c r="E1514" t="s">
        <v>2417</v>
      </c>
      <c r="F1514" s="117" t="s">
        <v>2417</v>
      </c>
      <c r="G1514" s="103" t="s">
        <v>406</v>
      </c>
      <c r="H1514" s="85" t="str">
        <f>IF(Proc[[#This Row],[type]]="LFF (MDG-F)",MID(Proc[[#This Row],[Obj]],13,10),"")</f>
        <v>ZA50GM2100</v>
      </c>
      <c r="I1514" s="103" t="s">
        <v>4137</v>
      </c>
      <c r="J1514" s="85" t="b">
        <f>Proc[[#This Row],[Requested]]=Proc[[#This Row],[CurrentParent]]</f>
        <v>1</v>
      </c>
      <c r="K1514" s="144" t="str">
        <f>IF(Proc[[#This Row],[Author]]="Marcela Urrego",VLOOKUP(LEFT(Proc[[#This Row],[Requested]],1),Table3[#All],2,0),VLOOKUP(Proc[[#This Row],[Author]],Table4[],2,0))</f>
        <v>MGF</v>
      </c>
      <c r="L1514" s="85" t="s">
        <v>2563</v>
      </c>
      <c r="M1514" s="83">
        <v>45793.36509259259</v>
      </c>
      <c r="N1514" s="83"/>
      <c r="O1514" s="83"/>
      <c r="P1514" s="86" t="str">
        <f ca="1">IF(Proc[[#This Row],[DaysAgeing]]&gt;5,"yep","on track")</f>
        <v>yep</v>
      </c>
      <c r="Q1514" s="3">
        <f ca="1">IF(Proc[[#This Row],[DateClosed]]="",ABS(NETWORKDAYS(Proc[[#This Row],[DateOpened]],TODAY()))-1,ABS(NETWORKDAYS(Proc[[#This Row],[DateOpened]],Proc[[#This Row],[DateClosed]]))-1)</f>
        <v>155</v>
      </c>
      <c r="R1514" s="86" t="s">
        <v>515</v>
      </c>
      <c r="S1514" s="85"/>
    </row>
    <row r="1515" spans="1:19" s="103" customFormat="1" hidden="1">
      <c r="A1515" s="103" t="s">
        <v>3291</v>
      </c>
      <c r="B1515" s="149" t="str">
        <f>IFERROR(VLOOKUP(Proc[[#This Row],[App]],Table2[],3,0),"open")</f>
        <v>ok</v>
      </c>
      <c r="C1515" s="65" t="s">
        <v>369</v>
      </c>
      <c r="D1515" s="103" t="s">
        <v>4134</v>
      </c>
      <c r="E1515" s="103" t="s">
        <v>476</v>
      </c>
      <c r="F1515" s="117" t="s">
        <v>476</v>
      </c>
      <c r="G1515" s="103" t="s">
        <v>406</v>
      </c>
      <c r="H1515" s="94" t="str">
        <f>IF(Proc[[#This Row],[type]]="LFF (MDG-F)",MID(Proc[[#This Row],[Obj]],13,10),"")</f>
        <v>2053OF0000</v>
      </c>
      <c r="I1515" s="103" t="s">
        <v>4137</v>
      </c>
      <c r="J1515" s="94" t="b">
        <f>Proc[[#This Row],[Requested]]=Proc[[#This Row],[CurrentParent]]</f>
        <v>1</v>
      </c>
      <c r="K1515" s="144" t="str">
        <f>IF(Proc[[#This Row],[Author]]="Marcela Urrego",VLOOKUP(LEFT(Proc[[#This Row],[Requested]],1),Table3[#All],2,0),VLOOKUP(Proc[[#This Row],[Author]],Table4[],2,0))</f>
        <v>MGF</v>
      </c>
      <c r="L1515" s="94" t="s">
        <v>2563</v>
      </c>
      <c r="M1515" s="100">
        <v>45793.36509259259</v>
      </c>
      <c r="N1515" s="100">
        <v>45825</v>
      </c>
      <c r="O1515" s="100">
        <v>45825</v>
      </c>
      <c r="P1515" s="100" t="str">
        <f ca="1">IF(Proc[[#This Row],[DaysAgeing]]&gt;5,"yep","on track")</f>
        <v>yep</v>
      </c>
      <c r="Q1515" s="3">
        <f ca="1">IF(Proc[[#This Row],[DateClosed]]="",ABS(NETWORKDAYS(Proc[[#This Row],[DateOpened]],TODAY()))-1,ABS(NETWORKDAYS(Proc[[#This Row],[DateOpened]],Proc[[#This Row],[DateClosed]]))-1)</f>
        <v>22</v>
      </c>
      <c r="R1515" s="100" t="s">
        <v>515</v>
      </c>
      <c r="S1515" s="94"/>
    </row>
    <row r="1516" spans="1:19" s="103" customFormat="1" hidden="1">
      <c r="A1516" s="103" t="s">
        <v>3291</v>
      </c>
      <c r="B1516" s="149" t="str">
        <f>IFERROR(VLOOKUP(Proc[[#This Row],[App]],Table2[],3,0),"open")</f>
        <v>ok</v>
      </c>
      <c r="C1516" s="103" t="s">
        <v>369</v>
      </c>
      <c r="D1516" s="103" t="s">
        <v>2445</v>
      </c>
      <c r="E1516" s="103" t="s">
        <v>540</v>
      </c>
      <c r="F1516" s="117" t="s">
        <v>540</v>
      </c>
      <c r="G1516" s="103" t="s">
        <v>400</v>
      </c>
      <c r="H1516" s="94" t="str">
        <f>IF(Proc[[#This Row],[type]]="LFF (MDG-F)",MID(Proc[[#This Row],[Obj]],13,10),"")</f>
        <v/>
      </c>
      <c r="I1516" s="103" t="s">
        <v>4138</v>
      </c>
      <c r="J1516" s="94" t="b">
        <f>Proc[[#This Row],[Requested]]=Proc[[#This Row],[CurrentParent]]</f>
        <v>1</v>
      </c>
      <c r="K1516" s="144" t="str">
        <f>IF(Proc[[#This Row],[Author]]="Marcela Urrego",VLOOKUP(LEFT(Proc[[#This Row],[Requested]],1),Table3[#All],2,0),VLOOKUP(Proc[[#This Row],[Author]],Table4[],2,0))</f>
        <v>MGF</v>
      </c>
      <c r="L1516" s="94" t="s">
        <v>2563</v>
      </c>
      <c r="M1516" s="100">
        <v>45793.36509259259</v>
      </c>
      <c r="N1516" s="100">
        <v>45825</v>
      </c>
      <c r="O1516" s="100">
        <v>45825</v>
      </c>
      <c r="P1516" s="100" t="str">
        <f ca="1">IF(Proc[[#This Row],[DaysAgeing]]&gt;5,"yep","on track")</f>
        <v>yep</v>
      </c>
      <c r="Q1516" s="3">
        <f ca="1">IF(Proc[[#This Row],[DateClosed]]="",ABS(NETWORKDAYS(Proc[[#This Row],[DateOpened]],TODAY()))-1,ABS(NETWORKDAYS(Proc[[#This Row],[DateOpened]],Proc[[#This Row],[DateClosed]]))-1)</f>
        <v>22</v>
      </c>
      <c r="R1516" s="100" t="s">
        <v>515</v>
      </c>
      <c r="S1516" s="94"/>
    </row>
    <row r="1517" spans="1:19" hidden="1">
      <c r="A1517" t="s">
        <v>3292</v>
      </c>
      <c r="B1517" s="149" t="str">
        <f>IFERROR(VLOOKUP(Proc[[#This Row],[App]],Table2[],3,0),"open")</f>
        <v>ok</v>
      </c>
      <c r="C1517" s="84" t="s">
        <v>369</v>
      </c>
      <c r="D1517" t="s">
        <v>3293</v>
      </c>
      <c r="E1517" t="s">
        <v>3294</v>
      </c>
      <c r="F1517" s="117" t="s">
        <v>3294</v>
      </c>
      <c r="G1517" s="84" t="s">
        <v>400</v>
      </c>
      <c r="H1517" s="85" t="str">
        <f>IF(Proc[[#This Row],[type]]="LFF (MDG-F)",MID(Proc[[#This Row],[Obj]],13,10),"")</f>
        <v/>
      </c>
      <c r="J1517" s="85" t="b">
        <f>Proc[[#This Row],[Requested]]=Proc[[#This Row],[CurrentParent]]</f>
        <v>1</v>
      </c>
      <c r="K1517" s="144" t="str">
        <f>IF(Proc[[#This Row],[Author]]="Marcela Urrego",VLOOKUP(LEFT(Proc[[#This Row],[Requested]],1),Table3[#All],2,0),VLOOKUP(Proc[[#This Row],[Author]],Table4[],2,0))</f>
        <v>LS</v>
      </c>
      <c r="L1517" s="85" t="s">
        <v>2563</v>
      </c>
      <c r="M1517" s="83">
        <v>45793.901400462964</v>
      </c>
      <c r="N1517" s="83"/>
      <c r="O1517" s="83"/>
      <c r="P1517" s="86" t="str">
        <f ca="1">IF(Proc[[#This Row],[DaysAgeing]]&gt;5,"yep","on track")</f>
        <v>yep</v>
      </c>
      <c r="Q1517" s="3">
        <f ca="1">IF(Proc[[#This Row],[DateClosed]]="",ABS(NETWORKDAYS(Proc[[#This Row],[DateOpened]],TODAY()))-1,ABS(NETWORKDAYS(Proc[[#This Row],[DateOpened]],Proc[[#This Row],[DateClosed]]))-1)</f>
        <v>155</v>
      </c>
      <c r="R1517" s="86" t="s">
        <v>3290</v>
      </c>
      <c r="S1517" s="85"/>
    </row>
    <row r="1518" spans="1:19" hidden="1">
      <c r="A1518" t="s">
        <v>3297</v>
      </c>
      <c r="B1518" s="149" t="str">
        <f>IFERROR(VLOOKUP(Proc[[#This Row],[App]],Table2[],3,0),"open")</f>
        <v>ok</v>
      </c>
      <c r="C1518" s="89" t="s">
        <v>369</v>
      </c>
      <c r="D1518" t="s">
        <v>3295</v>
      </c>
      <c r="E1518" t="s">
        <v>3296</v>
      </c>
      <c r="F1518" s="117" t="s">
        <v>3296</v>
      </c>
      <c r="G1518" t="s">
        <v>406</v>
      </c>
      <c r="H1518" s="85" t="str">
        <f>IF(Proc[[#This Row],[type]]="LFF (MDG-F)",MID(Proc[[#This Row],[Obj]],13,10),"")</f>
        <v>2137C00001</v>
      </c>
      <c r="I1518" t="s">
        <v>3329</v>
      </c>
      <c r="J1518" s="85" t="b">
        <f>Proc[[#This Row],[Requested]]=Proc[[#This Row],[CurrentParent]]</f>
        <v>1</v>
      </c>
      <c r="K1518" s="144" t="str">
        <f>IF(Proc[[#This Row],[Author]]="Marcela Urrego",VLOOKUP(LEFT(Proc[[#This Row],[Requested]],1),Table3[#All],2,0),VLOOKUP(Proc[[#This Row],[Author]],Table4[],2,0))</f>
        <v>LS</v>
      </c>
      <c r="L1518" s="85" t="s">
        <v>2563</v>
      </c>
      <c r="M1518" s="83">
        <v>45793.901643518519</v>
      </c>
      <c r="N1518" s="83"/>
      <c r="O1518" s="83"/>
      <c r="P1518" s="86" t="str">
        <f ca="1">IF(Proc[[#This Row],[DaysAgeing]]&gt;5,"yep","on track")</f>
        <v>yep</v>
      </c>
      <c r="Q1518" s="3">
        <f ca="1">IF(Proc[[#This Row],[DateClosed]]="",ABS(NETWORKDAYS(Proc[[#This Row],[DateOpened]],TODAY()))-1,ABS(NETWORKDAYS(Proc[[#This Row],[DateOpened]],Proc[[#This Row],[DateClosed]]))-1)</f>
        <v>155</v>
      </c>
      <c r="R1518" s="86" t="s">
        <v>3290</v>
      </c>
      <c r="S1518" s="85"/>
    </row>
    <row r="1519" spans="1:19" hidden="1">
      <c r="A1519" t="s">
        <v>3326</v>
      </c>
      <c r="B1519" s="149" t="str">
        <f>IFERROR(VLOOKUP(Proc[[#This Row],[App]],Table2[],3,0),"open")</f>
        <v>ok</v>
      </c>
      <c r="C1519" s="84" t="s">
        <v>369</v>
      </c>
      <c r="D1519" t="s">
        <v>3298</v>
      </c>
      <c r="E1519" t="s">
        <v>2161</v>
      </c>
      <c r="F1519" s="117" t="s">
        <v>2161</v>
      </c>
      <c r="G1519" s="84" t="s">
        <v>400</v>
      </c>
      <c r="H1519" s="85" t="str">
        <f>IF(Proc[[#This Row],[type]]="LFF (MDG-F)",MID(Proc[[#This Row],[Obj]],13,10),"")</f>
        <v/>
      </c>
      <c r="J1519" s="85" t="b">
        <f>Proc[[#This Row],[Requested]]=Proc[[#This Row],[CurrentParent]]</f>
        <v>1</v>
      </c>
      <c r="K1519" s="144" t="str">
        <f>IF(Proc[[#This Row],[Author]]="Marcela Urrego",VLOOKUP(LEFT(Proc[[#This Row],[Requested]],1),Table3[#All],2,0),VLOOKUP(Proc[[#This Row],[Author]],Table4[],2,0))</f>
        <v>HC</v>
      </c>
      <c r="L1519" s="85" t="s">
        <v>2563</v>
      </c>
      <c r="M1519" s="83">
        <v>45796.393090277779</v>
      </c>
      <c r="N1519" s="83"/>
      <c r="O1519" s="83"/>
      <c r="P1519" s="86" t="str">
        <f ca="1">IF(Proc[[#This Row],[DaysAgeing]]&gt;5,"yep","on track")</f>
        <v>yep</v>
      </c>
      <c r="Q1519" s="3">
        <f ca="1">IF(Proc[[#This Row],[DateClosed]]="",ABS(NETWORKDAYS(Proc[[#This Row],[DateOpened]],TODAY()))-1,ABS(NETWORKDAYS(Proc[[#This Row],[DateOpened]],Proc[[#This Row],[DateClosed]]))-1)</f>
        <v>154</v>
      </c>
      <c r="R1519" s="86" t="s">
        <v>478</v>
      </c>
      <c r="S1519" s="85"/>
    </row>
    <row r="1520" spans="1:19" hidden="1">
      <c r="A1520" s="84" t="s">
        <v>3326</v>
      </c>
      <c r="B1520" s="149" t="str">
        <f>IFERROR(VLOOKUP(Proc[[#This Row],[App]],Table2[],3,0),"open")</f>
        <v>ok</v>
      </c>
      <c r="C1520" s="84" t="s">
        <v>369</v>
      </c>
      <c r="D1520" t="s">
        <v>3299</v>
      </c>
      <c r="E1520" t="s">
        <v>2161</v>
      </c>
      <c r="F1520" s="117" t="s">
        <v>2161</v>
      </c>
      <c r="G1520" s="84" t="s">
        <v>400</v>
      </c>
      <c r="H1520" s="85" t="str">
        <f>IF(Proc[[#This Row],[type]]="LFF (MDG-F)",MID(Proc[[#This Row],[Obj]],13,10),"")</f>
        <v/>
      </c>
      <c r="J1520" s="85" t="b">
        <f>Proc[[#This Row],[Requested]]=Proc[[#This Row],[CurrentParent]]</f>
        <v>1</v>
      </c>
      <c r="K1520" s="144" t="str">
        <f>IF(Proc[[#This Row],[Author]]="Marcela Urrego",VLOOKUP(LEFT(Proc[[#This Row],[Requested]],1),Table3[#All],2,0),VLOOKUP(Proc[[#This Row],[Author]],Table4[],2,0))</f>
        <v>HC</v>
      </c>
      <c r="L1520" s="85" t="s">
        <v>2563</v>
      </c>
      <c r="M1520" s="83">
        <v>45796.393090277779</v>
      </c>
      <c r="N1520" s="83"/>
      <c r="O1520" s="83"/>
      <c r="P1520" s="86" t="str">
        <f ca="1">IF(Proc[[#This Row],[DaysAgeing]]&gt;5,"yep","on track")</f>
        <v>yep</v>
      </c>
      <c r="Q1520" s="3">
        <f ca="1">IF(Proc[[#This Row],[DateClosed]]="",ABS(NETWORKDAYS(Proc[[#This Row],[DateOpened]],TODAY()))-1,ABS(NETWORKDAYS(Proc[[#This Row],[DateOpened]],Proc[[#This Row],[DateClosed]]))-1)</f>
        <v>154</v>
      </c>
      <c r="R1520" s="86" t="s">
        <v>478</v>
      </c>
      <c r="S1520" s="85"/>
    </row>
    <row r="1521" spans="1:19" hidden="1">
      <c r="A1521" s="84" t="s">
        <v>3326</v>
      </c>
      <c r="B1521" s="149" t="str">
        <f>IFERROR(VLOOKUP(Proc[[#This Row],[App]],Table2[],3,0),"open")</f>
        <v>ok</v>
      </c>
      <c r="C1521" s="84" t="s">
        <v>369</v>
      </c>
      <c r="D1521" t="s">
        <v>3300</v>
      </c>
      <c r="E1521" t="s">
        <v>2161</v>
      </c>
      <c r="F1521" s="117" t="s">
        <v>2161</v>
      </c>
      <c r="G1521" s="84" t="s">
        <v>400</v>
      </c>
      <c r="H1521" s="85" t="str">
        <f>IF(Proc[[#This Row],[type]]="LFF (MDG-F)",MID(Proc[[#This Row],[Obj]],13,10),"")</f>
        <v/>
      </c>
      <c r="J1521" s="85" t="b">
        <f>Proc[[#This Row],[Requested]]=Proc[[#This Row],[CurrentParent]]</f>
        <v>1</v>
      </c>
      <c r="K1521" s="144" t="str">
        <f>IF(Proc[[#This Row],[Author]]="Marcela Urrego",VLOOKUP(LEFT(Proc[[#This Row],[Requested]],1),Table3[#All],2,0),VLOOKUP(Proc[[#This Row],[Author]],Table4[],2,0))</f>
        <v>HC</v>
      </c>
      <c r="L1521" s="85" t="s">
        <v>2563</v>
      </c>
      <c r="M1521" s="83">
        <v>45796.393090277779</v>
      </c>
      <c r="N1521" s="83"/>
      <c r="O1521" s="83"/>
      <c r="P1521" s="86" t="str">
        <f ca="1">IF(Proc[[#This Row],[DaysAgeing]]&gt;5,"yep","on track")</f>
        <v>yep</v>
      </c>
      <c r="Q1521" s="3">
        <f ca="1">IF(Proc[[#This Row],[DateClosed]]="",ABS(NETWORKDAYS(Proc[[#This Row],[DateOpened]],TODAY()))-1,ABS(NETWORKDAYS(Proc[[#This Row],[DateOpened]],Proc[[#This Row],[DateClosed]]))-1)</f>
        <v>154</v>
      </c>
      <c r="R1521" s="86" t="s">
        <v>478</v>
      </c>
      <c r="S1521" s="85"/>
    </row>
    <row r="1522" spans="1:19" hidden="1">
      <c r="A1522" s="84" t="s">
        <v>3326</v>
      </c>
      <c r="B1522" s="149" t="str">
        <f>IFERROR(VLOOKUP(Proc[[#This Row],[App]],Table2[],3,0),"open")</f>
        <v>ok</v>
      </c>
      <c r="C1522" s="84" t="s">
        <v>369</v>
      </c>
      <c r="D1522" t="s">
        <v>3301</v>
      </c>
      <c r="E1522" t="s">
        <v>2161</v>
      </c>
      <c r="F1522" s="117" t="s">
        <v>2161</v>
      </c>
      <c r="G1522" s="84" t="s">
        <v>400</v>
      </c>
      <c r="H1522" s="85" t="str">
        <f>IF(Proc[[#This Row],[type]]="LFF (MDG-F)",MID(Proc[[#This Row],[Obj]],13,10),"")</f>
        <v/>
      </c>
      <c r="J1522" s="85" t="b">
        <f>Proc[[#This Row],[Requested]]=Proc[[#This Row],[CurrentParent]]</f>
        <v>1</v>
      </c>
      <c r="K1522" s="144" t="str">
        <f>IF(Proc[[#This Row],[Author]]="Marcela Urrego",VLOOKUP(LEFT(Proc[[#This Row],[Requested]],1),Table3[#All],2,0),VLOOKUP(Proc[[#This Row],[Author]],Table4[],2,0))</f>
        <v>HC</v>
      </c>
      <c r="L1522" s="85" t="s">
        <v>2563</v>
      </c>
      <c r="M1522" s="83">
        <v>45796.393090277779</v>
      </c>
      <c r="N1522" s="83"/>
      <c r="O1522" s="83"/>
      <c r="P1522" s="86" t="str">
        <f ca="1">IF(Proc[[#This Row],[DaysAgeing]]&gt;5,"yep","on track")</f>
        <v>yep</v>
      </c>
      <c r="Q1522" s="3">
        <f ca="1">IF(Proc[[#This Row],[DateClosed]]="",ABS(NETWORKDAYS(Proc[[#This Row],[DateOpened]],TODAY()))-1,ABS(NETWORKDAYS(Proc[[#This Row],[DateOpened]],Proc[[#This Row],[DateClosed]]))-1)</f>
        <v>154</v>
      </c>
      <c r="R1522" s="86" t="s">
        <v>478</v>
      </c>
      <c r="S1522" s="85"/>
    </row>
    <row r="1523" spans="1:19" hidden="1">
      <c r="A1523" s="84" t="s">
        <v>3326</v>
      </c>
      <c r="B1523" s="149" t="str">
        <f>IFERROR(VLOOKUP(Proc[[#This Row],[App]],Table2[],3,0),"open")</f>
        <v>ok</v>
      </c>
      <c r="C1523" s="84" t="s">
        <v>369</v>
      </c>
      <c r="D1523" t="s">
        <v>3302</v>
      </c>
      <c r="E1523" t="s">
        <v>2161</v>
      </c>
      <c r="F1523" s="117" t="s">
        <v>2161</v>
      </c>
      <c r="G1523" s="84" t="s">
        <v>400</v>
      </c>
      <c r="H1523" s="85" t="str">
        <f>IF(Proc[[#This Row],[type]]="LFF (MDG-F)",MID(Proc[[#This Row],[Obj]],13,10),"")</f>
        <v/>
      </c>
      <c r="J1523" s="85" t="b">
        <f>Proc[[#This Row],[Requested]]=Proc[[#This Row],[CurrentParent]]</f>
        <v>1</v>
      </c>
      <c r="K1523" s="144" t="str">
        <f>IF(Proc[[#This Row],[Author]]="Marcela Urrego",VLOOKUP(LEFT(Proc[[#This Row],[Requested]],1),Table3[#All],2,0),VLOOKUP(Proc[[#This Row],[Author]],Table4[],2,0))</f>
        <v>HC</v>
      </c>
      <c r="L1523" s="85" t="s">
        <v>2563</v>
      </c>
      <c r="M1523" s="83">
        <v>45796.393090277779</v>
      </c>
      <c r="N1523" s="83"/>
      <c r="O1523" s="83"/>
      <c r="P1523" s="86" t="str">
        <f ca="1">IF(Proc[[#This Row],[DaysAgeing]]&gt;5,"yep","on track")</f>
        <v>yep</v>
      </c>
      <c r="Q1523" s="3">
        <f ca="1">IF(Proc[[#This Row],[DateClosed]]="",ABS(NETWORKDAYS(Proc[[#This Row],[DateOpened]],TODAY()))-1,ABS(NETWORKDAYS(Proc[[#This Row],[DateOpened]],Proc[[#This Row],[DateClosed]]))-1)</f>
        <v>154</v>
      </c>
      <c r="R1523" s="86" t="s">
        <v>478</v>
      </c>
      <c r="S1523" s="85"/>
    </row>
    <row r="1524" spans="1:19" hidden="1">
      <c r="A1524" s="84" t="s">
        <v>3326</v>
      </c>
      <c r="B1524" s="149" t="str">
        <f>IFERROR(VLOOKUP(Proc[[#This Row],[App]],Table2[],3,0),"open")</f>
        <v>ok</v>
      </c>
      <c r="C1524" s="84" t="s">
        <v>369</v>
      </c>
      <c r="D1524" t="s">
        <v>3303</v>
      </c>
      <c r="E1524" t="s">
        <v>2161</v>
      </c>
      <c r="F1524" s="117" t="s">
        <v>2161</v>
      </c>
      <c r="G1524" s="84" t="s">
        <v>400</v>
      </c>
      <c r="H1524" s="85" t="str">
        <f>IF(Proc[[#This Row],[type]]="LFF (MDG-F)",MID(Proc[[#This Row],[Obj]],13,10),"")</f>
        <v/>
      </c>
      <c r="J1524" s="85" t="b">
        <f>Proc[[#This Row],[Requested]]=Proc[[#This Row],[CurrentParent]]</f>
        <v>1</v>
      </c>
      <c r="K1524" s="144" t="str">
        <f>IF(Proc[[#This Row],[Author]]="Marcela Urrego",VLOOKUP(LEFT(Proc[[#This Row],[Requested]],1),Table3[#All],2,0),VLOOKUP(Proc[[#This Row],[Author]],Table4[],2,0))</f>
        <v>HC</v>
      </c>
      <c r="L1524" s="85" t="s">
        <v>2563</v>
      </c>
      <c r="M1524" s="83">
        <v>45796.393090277779</v>
      </c>
      <c r="N1524" s="83"/>
      <c r="O1524" s="83"/>
      <c r="P1524" s="86" t="str">
        <f ca="1">IF(Proc[[#This Row],[DaysAgeing]]&gt;5,"yep","on track")</f>
        <v>yep</v>
      </c>
      <c r="Q1524" s="3">
        <f ca="1">IF(Proc[[#This Row],[DateClosed]]="",ABS(NETWORKDAYS(Proc[[#This Row],[DateOpened]],TODAY()))-1,ABS(NETWORKDAYS(Proc[[#This Row],[DateOpened]],Proc[[#This Row],[DateClosed]]))-1)</f>
        <v>154</v>
      </c>
      <c r="R1524" s="86" t="s">
        <v>478</v>
      </c>
      <c r="S1524" s="85"/>
    </row>
    <row r="1525" spans="1:19" hidden="1">
      <c r="A1525" s="84" t="s">
        <v>3326</v>
      </c>
      <c r="B1525" s="149" t="str">
        <f>IFERROR(VLOOKUP(Proc[[#This Row],[App]],Table2[],3,0),"open")</f>
        <v>ok</v>
      </c>
      <c r="C1525" s="84" t="s">
        <v>369</v>
      </c>
      <c r="D1525" t="s">
        <v>3304</v>
      </c>
      <c r="E1525" t="s">
        <v>2161</v>
      </c>
      <c r="F1525" s="117" t="s">
        <v>2161</v>
      </c>
      <c r="G1525" s="84" t="s">
        <v>400</v>
      </c>
      <c r="H1525" s="85" t="str">
        <f>IF(Proc[[#This Row],[type]]="LFF (MDG-F)",MID(Proc[[#This Row],[Obj]],13,10),"")</f>
        <v/>
      </c>
      <c r="J1525" s="85" t="b">
        <f>Proc[[#This Row],[Requested]]=Proc[[#This Row],[CurrentParent]]</f>
        <v>1</v>
      </c>
      <c r="K1525" s="144" t="str">
        <f>IF(Proc[[#This Row],[Author]]="Marcela Urrego",VLOOKUP(LEFT(Proc[[#This Row],[Requested]],1),Table3[#All],2,0),VLOOKUP(Proc[[#This Row],[Author]],Table4[],2,0))</f>
        <v>HC</v>
      </c>
      <c r="L1525" s="85" t="s">
        <v>2563</v>
      </c>
      <c r="M1525" s="83">
        <v>45796.393090277779</v>
      </c>
      <c r="N1525" s="83"/>
      <c r="O1525" s="83"/>
      <c r="P1525" s="86" t="str">
        <f ca="1">IF(Proc[[#This Row],[DaysAgeing]]&gt;5,"yep","on track")</f>
        <v>yep</v>
      </c>
      <c r="Q1525" s="3">
        <f ca="1">IF(Proc[[#This Row],[DateClosed]]="",ABS(NETWORKDAYS(Proc[[#This Row],[DateOpened]],TODAY()))-1,ABS(NETWORKDAYS(Proc[[#This Row],[DateOpened]],Proc[[#This Row],[DateClosed]]))-1)</f>
        <v>154</v>
      </c>
      <c r="R1525" s="86" t="s">
        <v>478</v>
      </c>
      <c r="S1525" s="85"/>
    </row>
    <row r="1526" spans="1:19" hidden="1">
      <c r="A1526" s="84" t="s">
        <v>3326</v>
      </c>
      <c r="B1526" s="149" t="str">
        <f>IFERROR(VLOOKUP(Proc[[#This Row],[App]],Table2[],3,0),"open")</f>
        <v>ok</v>
      </c>
      <c r="C1526" s="84" t="s">
        <v>369</v>
      </c>
      <c r="D1526" t="s">
        <v>3305</v>
      </c>
      <c r="E1526" t="s">
        <v>2161</v>
      </c>
      <c r="F1526" s="117" t="s">
        <v>2161</v>
      </c>
      <c r="G1526" s="84" t="s">
        <v>400</v>
      </c>
      <c r="H1526" s="85" t="str">
        <f>IF(Proc[[#This Row],[type]]="LFF (MDG-F)",MID(Proc[[#This Row],[Obj]],13,10),"")</f>
        <v/>
      </c>
      <c r="J1526" s="85" t="b">
        <f>Proc[[#This Row],[Requested]]=Proc[[#This Row],[CurrentParent]]</f>
        <v>1</v>
      </c>
      <c r="K1526" s="144" t="str">
        <f>IF(Proc[[#This Row],[Author]]="Marcela Urrego",VLOOKUP(LEFT(Proc[[#This Row],[Requested]],1),Table3[#All],2,0),VLOOKUP(Proc[[#This Row],[Author]],Table4[],2,0))</f>
        <v>HC</v>
      </c>
      <c r="L1526" s="85" t="s">
        <v>2563</v>
      </c>
      <c r="M1526" s="83">
        <v>45796.393090277779</v>
      </c>
      <c r="N1526" s="83"/>
      <c r="O1526" s="83"/>
      <c r="P1526" s="86" t="str">
        <f ca="1">IF(Proc[[#This Row],[DaysAgeing]]&gt;5,"yep","on track")</f>
        <v>yep</v>
      </c>
      <c r="Q1526" s="3">
        <f ca="1">IF(Proc[[#This Row],[DateClosed]]="",ABS(NETWORKDAYS(Proc[[#This Row],[DateOpened]],TODAY()))-1,ABS(NETWORKDAYS(Proc[[#This Row],[DateOpened]],Proc[[#This Row],[DateClosed]]))-1)</f>
        <v>154</v>
      </c>
      <c r="R1526" s="86" t="s">
        <v>478</v>
      </c>
      <c r="S1526" s="85"/>
    </row>
    <row r="1527" spans="1:19" hidden="1">
      <c r="A1527" s="84" t="s">
        <v>3326</v>
      </c>
      <c r="B1527" s="149" t="str">
        <f>IFERROR(VLOOKUP(Proc[[#This Row],[App]],Table2[],3,0),"open")</f>
        <v>ok</v>
      </c>
      <c r="C1527" s="84" t="s">
        <v>369</v>
      </c>
      <c r="D1527" t="s">
        <v>3306</v>
      </c>
      <c r="E1527" t="s">
        <v>2161</v>
      </c>
      <c r="F1527" s="117" t="s">
        <v>2161</v>
      </c>
      <c r="G1527" s="84" t="s">
        <v>400</v>
      </c>
      <c r="H1527" s="85" t="str">
        <f>IF(Proc[[#This Row],[type]]="LFF (MDG-F)",MID(Proc[[#This Row],[Obj]],13,10),"")</f>
        <v/>
      </c>
      <c r="J1527" s="85" t="b">
        <f>Proc[[#This Row],[Requested]]=Proc[[#This Row],[CurrentParent]]</f>
        <v>1</v>
      </c>
      <c r="K1527" s="144" t="str">
        <f>IF(Proc[[#This Row],[Author]]="Marcela Urrego",VLOOKUP(LEFT(Proc[[#This Row],[Requested]],1),Table3[#All],2,0),VLOOKUP(Proc[[#This Row],[Author]],Table4[],2,0))</f>
        <v>HC</v>
      </c>
      <c r="L1527" s="85" t="s">
        <v>2563</v>
      </c>
      <c r="M1527" s="83">
        <v>45796.393090277779</v>
      </c>
      <c r="N1527" s="83"/>
      <c r="O1527" s="83"/>
      <c r="P1527" s="86" t="str">
        <f ca="1">IF(Proc[[#This Row],[DaysAgeing]]&gt;5,"yep","on track")</f>
        <v>yep</v>
      </c>
      <c r="Q1527" s="3">
        <f ca="1">IF(Proc[[#This Row],[DateClosed]]="",ABS(NETWORKDAYS(Proc[[#This Row],[DateOpened]],TODAY()))-1,ABS(NETWORKDAYS(Proc[[#This Row],[DateOpened]],Proc[[#This Row],[DateClosed]]))-1)</f>
        <v>154</v>
      </c>
      <c r="R1527" s="86" t="s">
        <v>478</v>
      </c>
      <c r="S1527" s="85"/>
    </row>
    <row r="1528" spans="1:19" hidden="1">
      <c r="A1528" s="84" t="s">
        <v>3326</v>
      </c>
      <c r="B1528" s="149" t="str">
        <f>IFERROR(VLOOKUP(Proc[[#This Row],[App]],Table2[],3,0),"open")</f>
        <v>ok</v>
      </c>
      <c r="C1528" s="84" t="s">
        <v>369</v>
      </c>
      <c r="D1528" t="s">
        <v>3307</v>
      </c>
      <c r="E1528" t="s">
        <v>2161</v>
      </c>
      <c r="F1528" s="117" t="s">
        <v>2161</v>
      </c>
      <c r="G1528" s="84" t="s">
        <v>400</v>
      </c>
      <c r="H1528" s="85" t="str">
        <f>IF(Proc[[#This Row],[type]]="LFF (MDG-F)",MID(Proc[[#This Row],[Obj]],13,10),"")</f>
        <v/>
      </c>
      <c r="J1528" s="85" t="b">
        <f>Proc[[#This Row],[Requested]]=Proc[[#This Row],[CurrentParent]]</f>
        <v>1</v>
      </c>
      <c r="K1528" s="144" t="str">
        <f>IF(Proc[[#This Row],[Author]]="Marcela Urrego",VLOOKUP(LEFT(Proc[[#This Row],[Requested]],1),Table3[#All],2,0),VLOOKUP(Proc[[#This Row],[Author]],Table4[],2,0))</f>
        <v>HC</v>
      </c>
      <c r="L1528" s="85" t="s">
        <v>2563</v>
      </c>
      <c r="M1528" s="83">
        <v>45796.393090277779</v>
      </c>
      <c r="N1528" s="83"/>
      <c r="O1528" s="83"/>
      <c r="P1528" s="86" t="str">
        <f ca="1">IF(Proc[[#This Row],[DaysAgeing]]&gt;5,"yep","on track")</f>
        <v>yep</v>
      </c>
      <c r="Q1528" s="3">
        <f ca="1">IF(Proc[[#This Row],[DateClosed]]="",ABS(NETWORKDAYS(Proc[[#This Row],[DateOpened]],TODAY()))-1,ABS(NETWORKDAYS(Proc[[#This Row],[DateOpened]],Proc[[#This Row],[DateClosed]]))-1)</f>
        <v>154</v>
      </c>
      <c r="R1528" s="86" t="s">
        <v>478</v>
      </c>
      <c r="S1528" s="85"/>
    </row>
    <row r="1529" spans="1:19" hidden="1">
      <c r="A1529" s="84" t="s">
        <v>3326</v>
      </c>
      <c r="B1529" s="149" t="str">
        <f>IFERROR(VLOOKUP(Proc[[#This Row],[App]],Table2[],3,0),"open")</f>
        <v>ok</v>
      </c>
      <c r="C1529" s="84" t="s">
        <v>369</v>
      </c>
      <c r="D1529" t="s">
        <v>3308</v>
      </c>
      <c r="E1529" t="s">
        <v>2161</v>
      </c>
      <c r="F1529" s="117" t="s">
        <v>2161</v>
      </c>
      <c r="G1529" s="84" t="s">
        <v>400</v>
      </c>
      <c r="H1529" s="85" t="str">
        <f>IF(Proc[[#This Row],[type]]="LFF (MDG-F)",MID(Proc[[#This Row],[Obj]],13,10),"")</f>
        <v/>
      </c>
      <c r="J1529" s="85" t="b">
        <f>Proc[[#This Row],[Requested]]=Proc[[#This Row],[CurrentParent]]</f>
        <v>1</v>
      </c>
      <c r="K1529" s="144" t="str">
        <f>IF(Proc[[#This Row],[Author]]="Marcela Urrego",VLOOKUP(LEFT(Proc[[#This Row],[Requested]],1),Table3[#All],2,0),VLOOKUP(Proc[[#This Row],[Author]],Table4[],2,0))</f>
        <v>HC</v>
      </c>
      <c r="L1529" s="85" t="s">
        <v>2563</v>
      </c>
      <c r="M1529" s="83">
        <v>45796.393090277779</v>
      </c>
      <c r="N1529" s="83"/>
      <c r="O1529" s="83"/>
      <c r="P1529" s="86" t="str">
        <f ca="1">IF(Proc[[#This Row],[DaysAgeing]]&gt;5,"yep","on track")</f>
        <v>yep</v>
      </c>
      <c r="Q1529" s="3">
        <f ca="1">IF(Proc[[#This Row],[DateClosed]]="",ABS(NETWORKDAYS(Proc[[#This Row],[DateOpened]],TODAY()))-1,ABS(NETWORKDAYS(Proc[[#This Row],[DateOpened]],Proc[[#This Row],[DateClosed]]))-1)</f>
        <v>154</v>
      </c>
      <c r="R1529" s="86" t="s">
        <v>478</v>
      </c>
      <c r="S1529" s="85"/>
    </row>
    <row r="1530" spans="1:19" hidden="1">
      <c r="A1530" s="84" t="s">
        <v>3326</v>
      </c>
      <c r="B1530" s="149" t="str">
        <f>IFERROR(VLOOKUP(Proc[[#This Row],[App]],Table2[],3,0),"open")</f>
        <v>ok</v>
      </c>
      <c r="C1530" s="84" t="s">
        <v>369</v>
      </c>
      <c r="D1530" t="s">
        <v>3309</v>
      </c>
      <c r="E1530" t="s">
        <v>2161</v>
      </c>
      <c r="F1530" s="117" t="s">
        <v>2161</v>
      </c>
      <c r="G1530" s="84" t="s">
        <v>400</v>
      </c>
      <c r="H1530" s="85" t="str">
        <f>IF(Proc[[#This Row],[type]]="LFF (MDG-F)",MID(Proc[[#This Row],[Obj]],13,10),"")</f>
        <v/>
      </c>
      <c r="J1530" s="85" t="b">
        <f>Proc[[#This Row],[Requested]]=Proc[[#This Row],[CurrentParent]]</f>
        <v>1</v>
      </c>
      <c r="K1530" s="144" t="str">
        <f>IF(Proc[[#This Row],[Author]]="Marcela Urrego",VLOOKUP(LEFT(Proc[[#This Row],[Requested]],1),Table3[#All],2,0),VLOOKUP(Proc[[#This Row],[Author]],Table4[],2,0))</f>
        <v>HC</v>
      </c>
      <c r="L1530" s="85" t="s">
        <v>2563</v>
      </c>
      <c r="M1530" s="83">
        <v>45796.393090277779</v>
      </c>
      <c r="N1530" s="83"/>
      <c r="O1530" s="83"/>
      <c r="P1530" s="86" t="str">
        <f ca="1">IF(Proc[[#This Row],[DaysAgeing]]&gt;5,"yep","on track")</f>
        <v>yep</v>
      </c>
      <c r="Q1530" s="3">
        <f ca="1">IF(Proc[[#This Row],[DateClosed]]="",ABS(NETWORKDAYS(Proc[[#This Row],[DateOpened]],TODAY()))-1,ABS(NETWORKDAYS(Proc[[#This Row],[DateOpened]],Proc[[#This Row],[DateClosed]]))-1)</f>
        <v>154</v>
      </c>
      <c r="R1530" s="86" t="s">
        <v>478</v>
      </c>
      <c r="S1530" s="85"/>
    </row>
    <row r="1531" spans="1:19" hidden="1">
      <c r="A1531" s="84" t="s">
        <v>3326</v>
      </c>
      <c r="B1531" s="149" t="str">
        <f>IFERROR(VLOOKUP(Proc[[#This Row],[App]],Table2[],3,0),"open")</f>
        <v>ok</v>
      </c>
      <c r="C1531" s="84" t="s">
        <v>369</v>
      </c>
      <c r="D1531" t="s">
        <v>3310</v>
      </c>
      <c r="E1531" t="s">
        <v>2161</v>
      </c>
      <c r="F1531" s="117" t="s">
        <v>2161</v>
      </c>
      <c r="G1531" s="84" t="s">
        <v>400</v>
      </c>
      <c r="H1531" s="85" t="str">
        <f>IF(Proc[[#This Row],[type]]="LFF (MDG-F)",MID(Proc[[#This Row],[Obj]],13,10),"")</f>
        <v/>
      </c>
      <c r="J1531" s="85" t="b">
        <f>Proc[[#This Row],[Requested]]=Proc[[#This Row],[CurrentParent]]</f>
        <v>1</v>
      </c>
      <c r="K1531" s="144" t="str">
        <f>IF(Proc[[#This Row],[Author]]="Marcela Urrego",VLOOKUP(LEFT(Proc[[#This Row],[Requested]],1),Table3[#All],2,0),VLOOKUP(Proc[[#This Row],[Author]],Table4[],2,0))</f>
        <v>HC</v>
      </c>
      <c r="L1531" s="85" t="s">
        <v>2563</v>
      </c>
      <c r="M1531" s="83">
        <v>45796.393090277779</v>
      </c>
      <c r="N1531" s="83"/>
      <c r="O1531" s="83"/>
      <c r="P1531" s="86" t="str">
        <f ca="1">IF(Proc[[#This Row],[DaysAgeing]]&gt;5,"yep","on track")</f>
        <v>yep</v>
      </c>
      <c r="Q1531" s="3">
        <f ca="1">IF(Proc[[#This Row],[DateClosed]]="",ABS(NETWORKDAYS(Proc[[#This Row],[DateOpened]],TODAY()))-1,ABS(NETWORKDAYS(Proc[[#This Row],[DateOpened]],Proc[[#This Row],[DateClosed]]))-1)</f>
        <v>154</v>
      </c>
      <c r="R1531" s="86" t="s">
        <v>478</v>
      </c>
      <c r="S1531" s="85"/>
    </row>
    <row r="1532" spans="1:19" hidden="1">
      <c r="A1532" s="84" t="s">
        <v>3326</v>
      </c>
      <c r="B1532" s="149" t="str">
        <f>IFERROR(VLOOKUP(Proc[[#This Row],[App]],Table2[],3,0),"open")</f>
        <v>ok</v>
      </c>
      <c r="C1532" s="84" t="s">
        <v>369</v>
      </c>
      <c r="D1532" t="s">
        <v>3311</v>
      </c>
      <c r="E1532" t="s">
        <v>2161</v>
      </c>
      <c r="F1532" s="117" t="s">
        <v>2161</v>
      </c>
      <c r="G1532" s="84" t="s">
        <v>400</v>
      </c>
      <c r="H1532" s="85" t="str">
        <f>IF(Proc[[#This Row],[type]]="LFF (MDG-F)",MID(Proc[[#This Row],[Obj]],13,10),"")</f>
        <v/>
      </c>
      <c r="J1532" s="85" t="b">
        <f>Proc[[#This Row],[Requested]]=Proc[[#This Row],[CurrentParent]]</f>
        <v>1</v>
      </c>
      <c r="K1532" s="144" t="str">
        <f>IF(Proc[[#This Row],[Author]]="Marcela Urrego",VLOOKUP(LEFT(Proc[[#This Row],[Requested]],1),Table3[#All],2,0),VLOOKUP(Proc[[#This Row],[Author]],Table4[],2,0))</f>
        <v>HC</v>
      </c>
      <c r="L1532" s="85" t="s">
        <v>2563</v>
      </c>
      <c r="M1532" s="83">
        <v>45796.393090277779</v>
      </c>
      <c r="N1532" s="83"/>
      <c r="O1532" s="83"/>
      <c r="P1532" s="86" t="str">
        <f ca="1">IF(Proc[[#This Row],[DaysAgeing]]&gt;5,"yep","on track")</f>
        <v>yep</v>
      </c>
      <c r="Q1532" s="3">
        <f ca="1">IF(Proc[[#This Row],[DateClosed]]="",ABS(NETWORKDAYS(Proc[[#This Row],[DateOpened]],TODAY()))-1,ABS(NETWORKDAYS(Proc[[#This Row],[DateOpened]],Proc[[#This Row],[DateClosed]]))-1)</f>
        <v>154</v>
      </c>
      <c r="R1532" s="86" t="s">
        <v>478</v>
      </c>
      <c r="S1532" s="85"/>
    </row>
    <row r="1533" spans="1:19" hidden="1">
      <c r="A1533" s="84" t="s">
        <v>3326</v>
      </c>
      <c r="B1533" s="149" t="str">
        <f>IFERROR(VLOOKUP(Proc[[#This Row],[App]],Table2[],3,0),"open")</f>
        <v>ok</v>
      </c>
      <c r="C1533" s="84" t="s">
        <v>369</v>
      </c>
      <c r="D1533" t="s">
        <v>3312</v>
      </c>
      <c r="E1533" t="s">
        <v>2161</v>
      </c>
      <c r="F1533" s="117" t="s">
        <v>2161</v>
      </c>
      <c r="G1533" s="84" t="s">
        <v>400</v>
      </c>
      <c r="H1533" s="85" t="str">
        <f>IF(Proc[[#This Row],[type]]="LFF (MDG-F)",MID(Proc[[#This Row],[Obj]],13,10),"")</f>
        <v/>
      </c>
      <c r="J1533" s="85" t="b">
        <f>Proc[[#This Row],[Requested]]=Proc[[#This Row],[CurrentParent]]</f>
        <v>1</v>
      </c>
      <c r="K1533" s="144" t="str">
        <f>IF(Proc[[#This Row],[Author]]="Marcela Urrego",VLOOKUP(LEFT(Proc[[#This Row],[Requested]],1),Table3[#All],2,0),VLOOKUP(Proc[[#This Row],[Author]],Table4[],2,0))</f>
        <v>HC</v>
      </c>
      <c r="L1533" s="85" t="s">
        <v>2563</v>
      </c>
      <c r="M1533" s="83">
        <v>45796.393090277779</v>
      </c>
      <c r="N1533" s="83"/>
      <c r="O1533" s="83"/>
      <c r="P1533" s="86" t="str">
        <f ca="1">IF(Proc[[#This Row],[DaysAgeing]]&gt;5,"yep","on track")</f>
        <v>yep</v>
      </c>
      <c r="Q1533" s="3">
        <f ca="1">IF(Proc[[#This Row],[DateClosed]]="",ABS(NETWORKDAYS(Proc[[#This Row],[DateOpened]],TODAY()))-1,ABS(NETWORKDAYS(Proc[[#This Row],[DateOpened]],Proc[[#This Row],[DateClosed]]))-1)</f>
        <v>154</v>
      </c>
      <c r="R1533" s="86" t="s">
        <v>478</v>
      </c>
      <c r="S1533" s="85"/>
    </row>
    <row r="1534" spans="1:19" hidden="1">
      <c r="A1534" s="84" t="s">
        <v>3326</v>
      </c>
      <c r="B1534" s="149" t="str">
        <f>IFERROR(VLOOKUP(Proc[[#This Row],[App]],Table2[],3,0),"open")</f>
        <v>ok</v>
      </c>
      <c r="C1534" s="84" t="s">
        <v>369</v>
      </c>
      <c r="D1534" t="s">
        <v>3313</v>
      </c>
      <c r="E1534" t="s">
        <v>2161</v>
      </c>
      <c r="F1534" s="117" t="s">
        <v>2161</v>
      </c>
      <c r="G1534" s="84" t="s">
        <v>400</v>
      </c>
      <c r="H1534" s="85" t="str">
        <f>IF(Proc[[#This Row],[type]]="LFF (MDG-F)",MID(Proc[[#This Row],[Obj]],13,10),"")</f>
        <v/>
      </c>
      <c r="J1534" s="85" t="b">
        <f>Proc[[#This Row],[Requested]]=Proc[[#This Row],[CurrentParent]]</f>
        <v>1</v>
      </c>
      <c r="K1534" s="144" t="str">
        <f>IF(Proc[[#This Row],[Author]]="Marcela Urrego",VLOOKUP(LEFT(Proc[[#This Row],[Requested]],1),Table3[#All],2,0),VLOOKUP(Proc[[#This Row],[Author]],Table4[],2,0))</f>
        <v>HC</v>
      </c>
      <c r="L1534" s="85" t="s">
        <v>2563</v>
      </c>
      <c r="M1534" s="83">
        <v>45796.393090277779</v>
      </c>
      <c r="N1534" s="83"/>
      <c r="O1534" s="83"/>
      <c r="P1534" s="86" t="str">
        <f ca="1">IF(Proc[[#This Row],[DaysAgeing]]&gt;5,"yep","on track")</f>
        <v>yep</v>
      </c>
      <c r="Q1534" s="3">
        <f ca="1">IF(Proc[[#This Row],[DateClosed]]="",ABS(NETWORKDAYS(Proc[[#This Row],[DateOpened]],TODAY()))-1,ABS(NETWORKDAYS(Proc[[#This Row],[DateOpened]],Proc[[#This Row],[DateClosed]]))-1)</f>
        <v>154</v>
      </c>
      <c r="R1534" s="86" t="s">
        <v>478</v>
      </c>
      <c r="S1534" s="85"/>
    </row>
    <row r="1535" spans="1:19" hidden="1">
      <c r="A1535" s="84" t="s">
        <v>3326</v>
      </c>
      <c r="B1535" s="149" t="str">
        <f>IFERROR(VLOOKUP(Proc[[#This Row],[App]],Table2[],3,0),"open")</f>
        <v>ok</v>
      </c>
      <c r="C1535" s="84" t="s">
        <v>369</v>
      </c>
      <c r="D1535" t="s">
        <v>3314</v>
      </c>
      <c r="E1535" t="s">
        <v>2161</v>
      </c>
      <c r="F1535" s="117" t="s">
        <v>2161</v>
      </c>
      <c r="G1535" s="84" t="s">
        <v>400</v>
      </c>
      <c r="H1535" s="85" t="str">
        <f>IF(Proc[[#This Row],[type]]="LFF (MDG-F)",MID(Proc[[#This Row],[Obj]],13,10),"")</f>
        <v/>
      </c>
      <c r="J1535" s="85" t="b">
        <f>Proc[[#This Row],[Requested]]=Proc[[#This Row],[CurrentParent]]</f>
        <v>1</v>
      </c>
      <c r="K1535" s="144" t="str">
        <f>IF(Proc[[#This Row],[Author]]="Marcela Urrego",VLOOKUP(LEFT(Proc[[#This Row],[Requested]],1),Table3[#All],2,0),VLOOKUP(Proc[[#This Row],[Author]],Table4[],2,0))</f>
        <v>HC</v>
      </c>
      <c r="L1535" s="85" t="s">
        <v>2563</v>
      </c>
      <c r="M1535" s="83">
        <v>45796.393090277779</v>
      </c>
      <c r="N1535" s="83"/>
      <c r="O1535" s="83"/>
      <c r="P1535" s="86" t="str">
        <f ca="1">IF(Proc[[#This Row],[DaysAgeing]]&gt;5,"yep","on track")</f>
        <v>yep</v>
      </c>
      <c r="Q1535" s="3">
        <f ca="1">IF(Proc[[#This Row],[DateClosed]]="",ABS(NETWORKDAYS(Proc[[#This Row],[DateOpened]],TODAY()))-1,ABS(NETWORKDAYS(Proc[[#This Row],[DateOpened]],Proc[[#This Row],[DateClosed]]))-1)</f>
        <v>154</v>
      </c>
      <c r="R1535" s="86" t="s">
        <v>478</v>
      </c>
      <c r="S1535" s="85"/>
    </row>
    <row r="1536" spans="1:19" hidden="1">
      <c r="A1536" s="84" t="s">
        <v>3326</v>
      </c>
      <c r="B1536" s="149" t="str">
        <f>IFERROR(VLOOKUP(Proc[[#This Row],[App]],Table2[],3,0),"open")</f>
        <v>ok</v>
      </c>
      <c r="C1536" s="84" t="s">
        <v>369</v>
      </c>
      <c r="D1536" t="s">
        <v>3315</v>
      </c>
      <c r="E1536" t="s">
        <v>2161</v>
      </c>
      <c r="F1536" s="117" t="s">
        <v>2161</v>
      </c>
      <c r="G1536" s="84" t="s">
        <v>400</v>
      </c>
      <c r="H1536" s="85" t="str">
        <f>IF(Proc[[#This Row],[type]]="LFF (MDG-F)",MID(Proc[[#This Row],[Obj]],13,10),"")</f>
        <v/>
      </c>
      <c r="J1536" s="85" t="b">
        <f>Proc[[#This Row],[Requested]]=Proc[[#This Row],[CurrentParent]]</f>
        <v>1</v>
      </c>
      <c r="K1536" s="144" t="str">
        <f>IF(Proc[[#This Row],[Author]]="Marcela Urrego",VLOOKUP(LEFT(Proc[[#This Row],[Requested]],1),Table3[#All],2,0),VLOOKUP(Proc[[#This Row],[Author]],Table4[],2,0))</f>
        <v>HC</v>
      </c>
      <c r="L1536" s="85" t="s">
        <v>2563</v>
      </c>
      <c r="M1536" s="83">
        <v>45796.393090277779</v>
      </c>
      <c r="N1536" s="83"/>
      <c r="O1536" s="83"/>
      <c r="P1536" s="86" t="str">
        <f ca="1">IF(Proc[[#This Row],[DaysAgeing]]&gt;5,"yep","on track")</f>
        <v>yep</v>
      </c>
      <c r="Q1536" s="3">
        <f ca="1">IF(Proc[[#This Row],[DateClosed]]="",ABS(NETWORKDAYS(Proc[[#This Row],[DateOpened]],TODAY()))-1,ABS(NETWORKDAYS(Proc[[#This Row],[DateOpened]],Proc[[#This Row],[DateClosed]]))-1)</f>
        <v>154</v>
      </c>
      <c r="R1536" s="86" t="s">
        <v>478</v>
      </c>
      <c r="S1536" s="85"/>
    </row>
    <row r="1537" spans="1:19" hidden="1">
      <c r="A1537" s="84" t="s">
        <v>3326</v>
      </c>
      <c r="B1537" s="149" t="str">
        <f>IFERROR(VLOOKUP(Proc[[#This Row],[App]],Table2[],3,0),"open")</f>
        <v>ok</v>
      </c>
      <c r="C1537" s="84" t="s">
        <v>369</v>
      </c>
      <c r="D1537" t="s">
        <v>3316</v>
      </c>
      <c r="E1537" t="s">
        <v>2161</v>
      </c>
      <c r="F1537" s="117" t="s">
        <v>2161</v>
      </c>
      <c r="G1537" s="84" t="s">
        <v>400</v>
      </c>
      <c r="H1537" s="85" t="str">
        <f>IF(Proc[[#This Row],[type]]="LFF (MDG-F)",MID(Proc[[#This Row],[Obj]],13,10),"")</f>
        <v/>
      </c>
      <c r="J1537" s="85" t="b">
        <f>Proc[[#This Row],[Requested]]=Proc[[#This Row],[CurrentParent]]</f>
        <v>1</v>
      </c>
      <c r="K1537" s="144" t="str">
        <f>IF(Proc[[#This Row],[Author]]="Marcela Urrego",VLOOKUP(LEFT(Proc[[#This Row],[Requested]],1),Table3[#All],2,0),VLOOKUP(Proc[[#This Row],[Author]],Table4[],2,0))</f>
        <v>HC</v>
      </c>
      <c r="L1537" s="85" t="s">
        <v>2563</v>
      </c>
      <c r="M1537" s="83">
        <v>45796.393090277779</v>
      </c>
      <c r="N1537" s="83"/>
      <c r="O1537" s="83"/>
      <c r="P1537" s="86" t="str">
        <f ca="1">IF(Proc[[#This Row],[DaysAgeing]]&gt;5,"yep","on track")</f>
        <v>yep</v>
      </c>
      <c r="Q1537" s="3">
        <f ca="1">IF(Proc[[#This Row],[DateClosed]]="",ABS(NETWORKDAYS(Proc[[#This Row],[DateOpened]],TODAY()))-1,ABS(NETWORKDAYS(Proc[[#This Row],[DateOpened]],Proc[[#This Row],[DateClosed]]))-1)</f>
        <v>154</v>
      </c>
      <c r="R1537" s="86" t="s">
        <v>478</v>
      </c>
      <c r="S1537" s="85"/>
    </row>
    <row r="1538" spans="1:19" hidden="1">
      <c r="A1538" s="84" t="s">
        <v>3326</v>
      </c>
      <c r="B1538" s="149" t="str">
        <f>IFERROR(VLOOKUP(Proc[[#This Row],[App]],Table2[],3,0),"open")</f>
        <v>ok</v>
      </c>
      <c r="C1538" s="84" t="s">
        <v>369</v>
      </c>
      <c r="D1538" t="s">
        <v>3317</v>
      </c>
      <c r="E1538" t="s">
        <v>2161</v>
      </c>
      <c r="F1538" s="117" t="s">
        <v>2161</v>
      </c>
      <c r="G1538" s="84" t="s">
        <v>400</v>
      </c>
      <c r="H1538" s="85" t="str">
        <f>IF(Proc[[#This Row],[type]]="LFF (MDG-F)",MID(Proc[[#This Row],[Obj]],13,10),"")</f>
        <v/>
      </c>
      <c r="J1538" s="85" t="b">
        <f>Proc[[#This Row],[Requested]]=Proc[[#This Row],[CurrentParent]]</f>
        <v>1</v>
      </c>
      <c r="K1538" s="144" t="str">
        <f>IF(Proc[[#This Row],[Author]]="Marcela Urrego",VLOOKUP(LEFT(Proc[[#This Row],[Requested]],1),Table3[#All],2,0),VLOOKUP(Proc[[#This Row],[Author]],Table4[],2,0))</f>
        <v>HC</v>
      </c>
      <c r="L1538" s="85" t="s">
        <v>2563</v>
      </c>
      <c r="M1538" s="83">
        <v>45796.393090277779</v>
      </c>
      <c r="N1538" s="83"/>
      <c r="O1538" s="83"/>
      <c r="P1538" s="86" t="str">
        <f ca="1">IF(Proc[[#This Row],[DaysAgeing]]&gt;5,"yep","on track")</f>
        <v>yep</v>
      </c>
      <c r="Q1538" s="3">
        <f ca="1">IF(Proc[[#This Row],[DateClosed]]="",ABS(NETWORKDAYS(Proc[[#This Row],[DateOpened]],TODAY()))-1,ABS(NETWORKDAYS(Proc[[#This Row],[DateOpened]],Proc[[#This Row],[DateClosed]]))-1)</f>
        <v>154</v>
      </c>
      <c r="R1538" s="86" t="s">
        <v>478</v>
      </c>
      <c r="S1538" s="85"/>
    </row>
    <row r="1539" spans="1:19" hidden="1">
      <c r="A1539" s="84" t="s">
        <v>3326</v>
      </c>
      <c r="B1539" s="149" t="str">
        <f>IFERROR(VLOOKUP(Proc[[#This Row],[App]],Table2[],3,0),"open")</f>
        <v>ok</v>
      </c>
      <c r="C1539" s="84" t="s">
        <v>369</v>
      </c>
      <c r="D1539" t="s">
        <v>3318</v>
      </c>
      <c r="E1539" t="s">
        <v>2161</v>
      </c>
      <c r="F1539" s="117" t="s">
        <v>2161</v>
      </c>
      <c r="G1539" s="84" t="s">
        <v>400</v>
      </c>
      <c r="H1539" s="85" t="str">
        <f>IF(Proc[[#This Row],[type]]="LFF (MDG-F)",MID(Proc[[#This Row],[Obj]],13,10),"")</f>
        <v/>
      </c>
      <c r="J1539" s="85" t="b">
        <f>Proc[[#This Row],[Requested]]=Proc[[#This Row],[CurrentParent]]</f>
        <v>1</v>
      </c>
      <c r="K1539" s="144" t="str">
        <f>IF(Proc[[#This Row],[Author]]="Marcela Urrego",VLOOKUP(LEFT(Proc[[#This Row],[Requested]],1),Table3[#All],2,0),VLOOKUP(Proc[[#This Row],[Author]],Table4[],2,0))</f>
        <v>HC</v>
      </c>
      <c r="L1539" s="85" t="s">
        <v>2563</v>
      </c>
      <c r="M1539" s="83">
        <v>45796.393090277779</v>
      </c>
      <c r="N1539" s="83"/>
      <c r="O1539" s="83"/>
      <c r="P1539" s="86" t="str">
        <f ca="1">IF(Proc[[#This Row],[DaysAgeing]]&gt;5,"yep","on track")</f>
        <v>yep</v>
      </c>
      <c r="Q1539" s="3">
        <f ca="1">IF(Proc[[#This Row],[DateClosed]]="",ABS(NETWORKDAYS(Proc[[#This Row],[DateOpened]],TODAY()))-1,ABS(NETWORKDAYS(Proc[[#This Row],[DateOpened]],Proc[[#This Row],[DateClosed]]))-1)</f>
        <v>154</v>
      </c>
      <c r="R1539" s="86" t="s">
        <v>478</v>
      </c>
      <c r="S1539" s="85"/>
    </row>
    <row r="1540" spans="1:19" hidden="1">
      <c r="A1540" s="84" t="s">
        <v>3326</v>
      </c>
      <c r="B1540" s="149" t="str">
        <f>IFERROR(VLOOKUP(Proc[[#This Row],[App]],Table2[],3,0),"open")</f>
        <v>ok</v>
      </c>
      <c r="C1540" s="84" t="s">
        <v>369</v>
      </c>
      <c r="D1540" t="s">
        <v>3319</v>
      </c>
      <c r="E1540" t="s">
        <v>2161</v>
      </c>
      <c r="F1540" s="117" t="s">
        <v>2161</v>
      </c>
      <c r="G1540" s="84" t="s">
        <v>400</v>
      </c>
      <c r="H1540" s="85" t="str">
        <f>IF(Proc[[#This Row],[type]]="LFF (MDG-F)",MID(Proc[[#This Row],[Obj]],13,10),"")</f>
        <v/>
      </c>
      <c r="J1540" s="85" t="b">
        <f>Proc[[#This Row],[Requested]]=Proc[[#This Row],[CurrentParent]]</f>
        <v>1</v>
      </c>
      <c r="K1540" s="144" t="str">
        <f>IF(Proc[[#This Row],[Author]]="Marcela Urrego",VLOOKUP(LEFT(Proc[[#This Row],[Requested]],1),Table3[#All],2,0),VLOOKUP(Proc[[#This Row],[Author]],Table4[],2,0))</f>
        <v>HC</v>
      </c>
      <c r="L1540" s="85" t="s">
        <v>2563</v>
      </c>
      <c r="M1540" s="83">
        <v>45796.393090277779</v>
      </c>
      <c r="N1540" s="83"/>
      <c r="O1540" s="83"/>
      <c r="P1540" s="86" t="str">
        <f ca="1">IF(Proc[[#This Row],[DaysAgeing]]&gt;5,"yep","on track")</f>
        <v>yep</v>
      </c>
      <c r="Q1540" s="3">
        <f ca="1">IF(Proc[[#This Row],[DateClosed]]="",ABS(NETWORKDAYS(Proc[[#This Row],[DateOpened]],TODAY()))-1,ABS(NETWORKDAYS(Proc[[#This Row],[DateOpened]],Proc[[#This Row],[DateClosed]]))-1)</f>
        <v>154</v>
      </c>
      <c r="R1540" s="86" t="s">
        <v>478</v>
      </c>
      <c r="S1540" s="85"/>
    </row>
    <row r="1541" spans="1:19" hidden="1">
      <c r="A1541" s="84" t="s">
        <v>3326</v>
      </c>
      <c r="B1541" s="149" t="str">
        <f>IFERROR(VLOOKUP(Proc[[#This Row],[App]],Table2[],3,0),"open")</f>
        <v>ok</v>
      </c>
      <c r="C1541" s="84" t="s">
        <v>369</v>
      </c>
      <c r="D1541" t="s">
        <v>3320</v>
      </c>
      <c r="E1541" t="s">
        <v>2161</v>
      </c>
      <c r="F1541" s="117" t="s">
        <v>2161</v>
      </c>
      <c r="G1541" s="84" t="s">
        <v>400</v>
      </c>
      <c r="H1541" s="85" t="str">
        <f>IF(Proc[[#This Row],[type]]="LFF (MDG-F)",MID(Proc[[#This Row],[Obj]],13,10),"")</f>
        <v/>
      </c>
      <c r="J1541" s="85" t="b">
        <f>Proc[[#This Row],[Requested]]=Proc[[#This Row],[CurrentParent]]</f>
        <v>1</v>
      </c>
      <c r="K1541" s="144" t="str">
        <f>IF(Proc[[#This Row],[Author]]="Marcela Urrego",VLOOKUP(LEFT(Proc[[#This Row],[Requested]],1),Table3[#All],2,0),VLOOKUP(Proc[[#This Row],[Author]],Table4[],2,0))</f>
        <v>HC</v>
      </c>
      <c r="L1541" s="85" t="s">
        <v>2563</v>
      </c>
      <c r="M1541" s="83">
        <v>45796.393090277779</v>
      </c>
      <c r="N1541" s="83"/>
      <c r="O1541" s="83"/>
      <c r="P1541" s="86" t="str">
        <f ca="1">IF(Proc[[#This Row],[DaysAgeing]]&gt;5,"yep","on track")</f>
        <v>yep</v>
      </c>
      <c r="Q1541" s="3">
        <f ca="1">IF(Proc[[#This Row],[DateClosed]]="",ABS(NETWORKDAYS(Proc[[#This Row],[DateOpened]],TODAY()))-1,ABS(NETWORKDAYS(Proc[[#This Row],[DateOpened]],Proc[[#This Row],[DateClosed]]))-1)</f>
        <v>154</v>
      </c>
      <c r="R1541" s="86" t="s">
        <v>478</v>
      </c>
      <c r="S1541" s="85"/>
    </row>
    <row r="1542" spans="1:19" hidden="1">
      <c r="A1542" s="84" t="s">
        <v>3326</v>
      </c>
      <c r="B1542" s="149" t="str">
        <f>IFERROR(VLOOKUP(Proc[[#This Row],[App]],Table2[],3,0),"open")</f>
        <v>ok</v>
      </c>
      <c r="C1542" s="84" t="s">
        <v>369</v>
      </c>
      <c r="D1542" t="s">
        <v>3321</v>
      </c>
      <c r="E1542" t="s">
        <v>2161</v>
      </c>
      <c r="F1542" s="117" t="s">
        <v>2161</v>
      </c>
      <c r="G1542" s="84" t="s">
        <v>400</v>
      </c>
      <c r="H1542" s="85" t="str">
        <f>IF(Proc[[#This Row],[type]]="LFF (MDG-F)",MID(Proc[[#This Row],[Obj]],13,10),"")</f>
        <v/>
      </c>
      <c r="J1542" s="85" t="b">
        <f>Proc[[#This Row],[Requested]]=Proc[[#This Row],[CurrentParent]]</f>
        <v>1</v>
      </c>
      <c r="K1542" s="144" t="str">
        <f>IF(Proc[[#This Row],[Author]]="Marcela Urrego",VLOOKUP(LEFT(Proc[[#This Row],[Requested]],1),Table3[#All],2,0),VLOOKUP(Proc[[#This Row],[Author]],Table4[],2,0))</f>
        <v>HC</v>
      </c>
      <c r="L1542" s="85" t="s">
        <v>2563</v>
      </c>
      <c r="M1542" s="83">
        <v>45796.393090277779</v>
      </c>
      <c r="N1542" s="83"/>
      <c r="O1542" s="83"/>
      <c r="P1542" s="86" t="str">
        <f ca="1">IF(Proc[[#This Row],[DaysAgeing]]&gt;5,"yep","on track")</f>
        <v>yep</v>
      </c>
      <c r="Q1542" s="3">
        <f ca="1">IF(Proc[[#This Row],[DateClosed]]="",ABS(NETWORKDAYS(Proc[[#This Row],[DateOpened]],TODAY()))-1,ABS(NETWORKDAYS(Proc[[#This Row],[DateOpened]],Proc[[#This Row],[DateClosed]]))-1)</f>
        <v>154</v>
      </c>
      <c r="R1542" s="86" t="s">
        <v>478</v>
      </c>
      <c r="S1542" s="85"/>
    </row>
    <row r="1543" spans="1:19" hidden="1">
      <c r="A1543" s="84" t="s">
        <v>3326</v>
      </c>
      <c r="B1543" s="149" t="str">
        <f>IFERROR(VLOOKUP(Proc[[#This Row],[App]],Table2[],3,0),"open")</f>
        <v>ok</v>
      </c>
      <c r="C1543" s="84" t="s">
        <v>369</v>
      </c>
      <c r="D1543" t="s">
        <v>3322</v>
      </c>
      <c r="E1543" t="s">
        <v>2161</v>
      </c>
      <c r="F1543" s="117" t="s">
        <v>2161</v>
      </c>
      <c r="G1543" s="84" t="s">
        <v>400</v>
      </c>
      <c r="H1543" s="85" t="str">
        <f>IF(Proc[[#This Row],[type]]="LFF (MDG-F)",MID(Proc[[#This Row],[Obj]],13,10),"")</f>
        <v/>
      </c>
      <c r="J1543" s="85" t="b">
        <f>Proc[[#This Row],[Requested]]=Proc[[#This Row],[CurrentParent]]</f>
        <v>1</v>
      </c>
      <c r="K1543" s="144" t="str">
        <f>IF(Proc[[#This Row],[Author]]="Marcela Urrego",VLOOKUP(LEFT(Proc[[#This Row],[Requested]],1),Table3[#All],2,0),VLOOKUP(Proc[[#This Row],[Author]],Table4[],2,0))</f>
        <v>HC</v>
      </c>
      <c r="L1543" s="85" t="s">
        <v>2563</v>
      </c>
      <c r="M1543" s="83">
        <v>45796.393090277779</v>
      </c>
      <c r="N1543" s="83"/>
      <c r="O1543" s="83"/>
      <c r="P1543" s="86" t="str">
        <f ca="1">IF(Proc[[#This Row],[DaysAgeing]]&gt;5,"yep","on track")</f>
        <v>yep</v>
      </c>
      <c r="Q1543" s="3">
        <f ca="1">IF(Proc[[#This Row],[DateClosed]]="",ABS(NETWORKDAYS(Proc[[#This Row],[DateOpened]],TODAY()))-1,ABS(NETWORKDAYS(Proc[[#This Row],[DateOpened]],Proc[[#This Row],[DateClosed]]))-1)</f>
        <v>154</v>
      </c>
      <c r="R1543" s="86" t="s">
        <v>478</v>
      </c>
      <c r="S1543" s="85"/>
    </row>
    <row r="1544" spans="1:19" hidden="1">
      <c r="A1544" s="84" t="s">
        <v>3326</v>
      </c>
      <c r="B1544" s="149" t="str">
        <f>IFERROR(VLOOKUP(Proc[[#This Row],[App]],Table2[],3,0),"open")</f>
        <v>ok</v>
      </c>
      <c r="C1544" s="84" t="s">
        <v>369</v>
      </c>
      <c r="D1544" t="s">
        <v>3323</v>
      </c>
      <c r="E1544" t="s">
        <v>2161</v>
      </c>
      <c r="F1544" s="117" t="s">
        <v>2161</v>
      </c>
      <c r="G1544" s="84" t="s">
        <v>400</v>
      </c>
      <c r="H1544" s="85" t="str">
        <f>IF(Proc[[#This Row],[type]]="LFF (MDG-F)",MID(Proc[[#This Row],[Obj]],13,10),"")</f>
        <v/>
      </c>
      <c r="J1544" s="85" t="b">
        <f>Proc[[#This Row],[Requested]]=Proc[[#This Row],[CurrentParent]]</f>
        <v>1</v>
      </c>
      <c r="K1544" s="144" t="str">
        <f>IF(Proc[[#This Row],[Author]]="Marcela Urrego",VLOOKUP(LEFT(Proc[[#This Row],[Requested]],1),Table3[#All],2,0),VLOOKUP(Proc[[#This Row],[Author]],Table4[],2,0))</f>
        <v>HC</v>
      </c>
      <c r="L1544" s="85" t="s">
        <v>2563</v>
      </c>
      <c r="M1544" s="83">
        <v>45796.393090277779</v>
      </c>
      <c r="N1544" s="83"/>
      <c r="O1544" s="83"/>
      <c r="P1544" s="86" t="str">
        <f ca="1">IF(Proc[[#This Row],[DaysAgeing]]&gt;5,"yep","on track")</f>
        <v>yep</v>
      </c>
      <c r="Q1544" s="3">
        <f ca="1">IF(Proc[[#This Row],[DateClosed]]="",ABS(NETWORKDAYS(Proc[[#This Row],[DateOpened]],TODAY()))-1,ABS(NETWORKDAYS(Proc[[#This Row],[DateOpened]],Proc[[#This Row],[DateClosed]]))-1)</f>
        <v>154</v>
      </c>
      <c r="R1544" s="86" t="s">
        <v>478</v>
      </c>
      <c r="S1544" s="85"/>
    </row>
    <row r="1545" spans="1:19" hidden="1">
      <c r="A1545" s="84" t="s">
        <v>3326</v>
      </c>
      <c r="B1545" s="149" t="str">
        <f>IFERROR(VLOOKUP(Proc[[#This Row],[App]],Table2[],3,0),"open")</f>
        <v>ok</v>
      </c>
      <c r="C1545" s="84" t="s">
        <v>369</v>
      </c>
      <c r="D1545" t="s">
        <v>3324</v>
      </c>
      <c r="E1545" t="s">
        <v>2161</v>
      </c>
      <c r="F1545" s="117" t="s">
        <v>2161</v>
      </c>
      <c r="G1545" s="84" t="s">
        <v>400</v>
      </c>
      <c r="H1545" s="85" t="str">
        <f>IF(Proc[[#This Row],[type]]="LFF (MDG-F)",MID(Proc[[#This Row],[Obj]],13,10),"")</f>
        <v/>
      </c>
      <c r="J1545" s="85" t="b">
        <f>Proc[[#This Row],[Requested]]=Proc[[#This Row],[CurrentParent]]</f>
        <v>1</v>
      </c>
      <c r="K1545" s="144" t="str">
        <f>IF(Proc[[#This Row],[Author]]="Marcela Urrego",VLOOKUP(LEFT(Proc[[#This Row],[Requested]],1),Table3[#All],2,0),VLOOKUP(Proc[[#This Row],[Author]],Table4[],2,0))</f>
        <v>HC</v>
      </c>
      <c r="L1545" s="85" t="s">
        <v>2563</v>
      </c>
      <c r="M1545" s="83">
        <v>45796.393090277779</v>
      </c>
      <c r="N1545" s="83"/>
      <c r="O1545" s="83"/>
      <c r="P1545" s="86" t="str">
        <f ca="1">IF(Proc[[#This Row],[DaysAgeing]]&gt;5,"yep","on track")</f>
        <v>yep</v>
      </c>
      <c r="Q1545" s="3">
        <f ca="1">IF(Proc[[#This Row],[DateClosed]]="",ABS(NETWORKDAYS(Proc[[#This Row],[DateOpened]],TODAY()))-1,ABS(NETWORKDAYS(Proc[[#This Row],[DateOpened]],Proc[[#This Row],[DateClosed]]))-1)</f>
        <v>154</v>
      </c>
      <c r="R1545" s="86" t="s">
        <v>478</v>
      </c>
      <c r="S1545" s="85"/>
    </row>
    <row r="1546" spans="1:19" hidden="1">
      <c r="A1546" s="84" t="s">
        <v>3326</v>
      </c>
      <c r="B1546" s="149" t="str">
        <f>IFERROR(VLOOKUP(Proc[[#This Row],[App]],Table2[],3,0),"open")</f>
        <v>ok</v>
      </c>
      <c r="C1546" s="84" t="s">
        <v>369</v>
      </c>
      <c r="D1546" t="s">
        <v>3325</v>
      </c>
      <c r="E1546" t="s">
        <v>2161</v>
      </c>
      <c r="F1546" s="117" t="s">
        <v>2161</v>
      </c>
      <c r="G1546" s="84" t="s">
        <v>400</v>
      </c>
      <c r="H1546" s="85" t="str">
        <f>IF(Proc[[#This Row],[type]]="LFF (MDG-F)",MID(Proc[[#This Row],[Obj]],13,10),"")</f>
        <v/>
      </c>
      <c r="J1546" s="85" t="b">
        <f>Proc[[#This Row],[Requested]]=Proc[[#This Row],[CurrentParent]]</f>
        <v>1</v>
      </c>
      <c r="K1546" s="144" t="str">
        <f>IF(Proc[[#This Row],[Author]]="Marcela Urrego",VLOOKUP(LEFT(Proc[[#This Row],[Requested]],1),Table3[#All],2,0),VLOOKUP(Proc[[#This Row],[Author]],Table4[],2,0))</f>
        <v>HC</v>
      </c>
      <c r="L1546" s="85" t="s">
        <v>2563</v>
      </c>
      <c r="M1546" s="83">
        <v>45796.393090277779</v>
      </c>
      <c r="N1546" s="83"/>
      <c r="O1546" s="83"/>
      <c r="P1546" s="86" t="str">
        <f ca="1">IF(Proc[[#This Row],[DaysAgeing]]&gt;5,"yep","on track")</f>
        <v>yep</v>
      </c>
      <c r="Q1546" s="3">
        <f ca="1">IF(Proc[[#This Row],[DateClosed]]="",ABS(NETWORKDAYS(Proc[[#This Row],[DateOpened]],TODAY()))-1,ABS(NETWORKDAYS(Proc[[#This Row],[DateOpened]],Proc[[#This Row],[DateClosed]]))-1)</f>
        <v>154</v>
      </c>
      <c r="R1546" s="86" t="s">
        <v>478</v>
      </c>
      <c r="S1546" s="85"/>
    </row>
    <row r="1547" spans="1:19" hidden="1">
      <c r="A1547" t="s">
        <v>3327</v>
      </c>
      <c r="B1547" s="149" t="str">
        <f>IFERROR(VLOOKUP(Proc[[#This Row],[App]],Table2[],3,0),"open")</f>
        <v>ok</v>
      </c>
      <c r="C1547" s="84" t="s">
        <v>369</v>
      </c>
      <c r="D1547" t="s">
        <v>3328</v>
      </c>
      <c r="E1547" t="s">
        <v>2174</v>
      </c>
      <c r="F1547" s="117" t="s">
        <v>2174</v>
      </c>
      <c r="G1547" s="84" t="s">
        <v>400</v>
      </c>
      <c r="H1547" s="85" t="str">
        <f>IF(Proc[[#This Row],[type]]="LFF (MDG-F)",MID(Proc[[#This Row],[Obj]],13,10),"")</f>
        <v/>
      </c>
      <c r="J1547" s="85" t="b">
        <f>Proc[[#This Row],[Requested]]=Proc[[#This Row],[CurrentParent]]</f>
        <v>1</v>
      </c>
      <c r="K1547" s="144" t="str">
        <f>IF(Proc[[#This Row],[Author]]="Marcela Urrego",VLOOKUP(LEFT(Proc[[#This Row],[Requested]],1),Table3[#All],2,0),VLOOKUP(Proc[[#This Row],[Author]],Table4[],2,0))</f>
        <v>HC</v>
      </c>
      <c r="L1547" s="85" t="s">
        <v>2563</v>
      </c>
      <c r="M1547" s="83">
        <v>45796.395428240743</v>
      </c>
      <c r="N1547" s="83"/>
      <c r="O1547" s="83"/>
      <c r="P1547" s="86" t="str">
        <f ca="1">IF(Proc[[#This Row],[DaysAgeing]]&gt;5,"yep","on track")</f>
        <v>yep</v>
      </c>
      <c r="Q1547" s="3">
        <f ca="1">IF(Proc[[#This Row],[DateClosed]]="",ABS(NETWORKDAYS(Proc[[#This Row],[DateOpened]],TODAY()))-1,ABS(NETWORKDAYS(Proc[[#This Row],[DateOpened]],Proc[[#This Row],[DateClosed]]))-1)</f>
        <v>154</v>
      </c>
      <c r="R1547" s="86" t="s">
        <v>478</v>
      </c>
      <c r="S1547" s="85"/>
    </row>
    <row r="1548" spans="1:19" hidden="1">
      <c r="A1548" t="s">
        <v>3331</v>
      </c>
      <c r="B1548" s="149" t="str">
        <f>IFERROR(VLOOKUP(Proc[[#This Row],[App]],Table2[],3,0),"open")</f>
        <v>ok</v>
      </c>
      <c r="C1548" s="89" t="s">
        <v>369</v>
      </c>
      <c r="D1548" t="s">
        <v>3330</v>
      </c>
      <c r="E1548" t="s">
        <v>3280</v>
      </c>
      <c r="F1548" s="117" t="s">
        <v>3280</v>
      </c>
      <c r="G1548" t="s">
        <v>400</v>
      </c>
      <c r="H1548" s="85" t="str">
        <f>IF(Proc[[#This Row],[type]]="LFF (MDG-F)",MID(Proc[[#This Row],[Obj]],13,10),"")</f>
        <v/>
      </c>
      <c r="J1548" s="85" t="b">
        <f>Proc[[#This Row],[Requested]]=Proc[[#This Row],[CurrentParent]]</f>
        <v>1</v>
      </c>
      <c r="K1548" s="144" t="str">
        <f>IF(Proc[[#This Row],[Author]]="Marcela Urrego",VLOOKUP(LEFT(Proc[[#This Row],[Requested]],1),Table3[#All],2,0),VLOOKUP(Proc[[#This Row],[Author]],Table4[],2,0))</f>
        <v>HC</v>
      </c>
      <c r="L1548" s="85" t="s">
        <v>2563</v>
      </c>
      <c r="M1548" s="83">
        <v>45796.761319444442</v>
      </c>
      <c r="N1548" s="83"/>
      <c r="O1548" s="83"/>
      <c r="P1548" s="86" t="str">
        <f ca="1">IF(Proc[[#This Row],[DaysAgeing]]&gt;5,"yep","on track")</f>
        <v>yep</v>
      </c>
      <c r="Q1548" s="3">
        <f ca="1">IF(Proc[[#This Row],[DateClosed]]="",ABS(NETWORKDAYS(Proc[[#This Row],[DateOpened]],TODAY()))-1,ABS(NETWORKDAYS(Proc[[#This Row],[DateOpened]],Proc[[#This Row],[DateClosed]]))-1)</f>
        <v>154</v>
      </c>
      <c r="R1548" s="86" t="s">
        <v>3284</v>
      </c>
      <c r="S1548" s="85"/>
    </row>
    <row r="1549" spans="1:19" hidden="1">
      <c r="A1549" t="s">
        <v>3332</v>
      </c>
      <c r="B1549" s="149" t="str">
        <f>IFERROR(VLOOKUP(Proc[[#This Row],[App]],Table2[],3,0),"open")</f>
        <v>ok</v>
      </c>
      <c r="C1549" s="89" t="s">
        <v>369</v>
      </c>
      <c r="D1549" t="s">
        <v>3333</v>
      </c>
      <c r="E1549" t="s">
        <v>1830</v>
      </c>
      <c r="F1549" s="117" t="s">
        <v>1830</v>
      </c>
      <c r="G1549" s="84" t="s">
        <v>400</v>
      </c>
      <c r="H1549" s="85" t="str">
        <f>IF(Proc[[#This Row],[type]]="LFF (MDG-F)",MID(Proc[[#This Row],[Obj]],13,10),"")</f>
        <v/>
      </c>
      <c r="J1549" s="85" t="b">
        <f>Proc[[#This Row],[Requested]]=Proc[[#This Row],[CurrentParent]]</f>
        <v>1</v>
      </c>
      <c r="K1549" s="144" t="str">
        <f>IF(Proc[[#This Row],[Author]]="Marcela Urrego",VLOOKUP(LEFT(Proc[[#This Row],[Requested]],1),Table3[#All],2,0),VLOOKUP(Proc[[#This Row],[Author]],Table4[],2,0))</f>
        <v>LS</v>
      </c>
      <c r="L1549" s="85" t="s">
        <v>2563</v>
      </c>
      <c r="M1549" s="83">
        <v>45797.153009259258</v>
      </c>
      <c r="N1549" s="83"/>
      <c r="O1549" s="83"/>
      <c r="P1549" s="86" t="str">
        <f ca="1">IF(Proc[[#This Row],[DaysAgeing]]&gt;5,"yep","on track")</f>
        <v>yep</v>
      </c>
      <c r="Q1549" s="3">
        <f ca="1">IF(Proc[[#This Row],[DateClosed]]="",ABS(NETWORKDAYS(Proc[[#This Row],[DateOpened]],TODAY()))-1,ABS(NETWORKDAYS(Proc[[#This Row],[DateOpened]],Proc[[#This Row],[DateClosed]]))-1)</f>
        <v>153</v>
      </c>
      <c r="R1549" s="86" t="s">
        <v>972</v>
      </c>
      <c r="S1549" s="85"/>
    </row>
    <row r="1550" spans="1:19" hidden="1">
      <c r="A1550" s="84" t="s">
        <v>3332</v>
      </c>
      <c r="B1550" s="149" t="str">
        <f>IFERROR(VLOOKUP(Proc[[#This Row],[App]],Table2[],3,0),"open")</f>
        <v>ok</v>
      </c>
      <c r="C1550" s="89" t="s">
        <v>369</v>
      </c>
      <c r="D1550" t="s">
        <v>3334</v>
      </c>
      <c r="E1550" t="s">
        <v>1830</v>
      </c>
      <c r="F1550" s="117" t="s">
        <v>1830</v>
      </c>
      <c r="G1550" s="84" t="s">
        <v>400</v>
      </c>
      <c r="H1550" s="85" t="str">
        <f>IF(Proc[[#This Row],[type]]="LFF (MDG-F)",MID(Proc[[#This Row],[Obj]],13,10),"")</f>
        <v/>
      </c>
      <c r="J1550" s="85" t="b">
        <f>Proc[[#This Row],[Requested]]=Proc[[#This Row],[CurrentParent]]</f>
        <v>1</v>
      </c>
      <c r="K1550" s="144" t="str">
        <f>IF(Proc[[#This Row],[Author]]="Marcela Urrego",VLOOKUP(LEFT(Proc[[#This Row],[Requested]],1),Table3[#All],2,0),VLOOKUP(Proc[[#This Row],[Author]],Table4[],2,0))</f>
        <v>LS</v>
      </c>
      <c r="L1550" s="85" t="s">
        <v>2563</v>
      </c>
      <c r="M1550" s="83">
        <v>45797.153009259258</v>
      </c>
      <c r="N1550" s="83"/>
      <c r="O1550" s="83"/>
      <c r="P1550" s="86" t="str">
        <f ca="1">IF(Proc[[#This Row],[DaysAgeing]]&gt;5,"yep","on track")</f>
        <v>yep</v>
      </c>
      <c r="Q1550" s="3">
        <f ca="1">IF(Proc[[#This Row],[DateClosed]]="",ABS(NETWORKDAYS(Proc[[#This Row],[DateOpened]],TODAY()))-1,ABS(NETWORKDAYS(Proc[[#This Row],[DateOpened]],Proc[[#This Row],[DateClosed]]))-1)</f>
        <v>153</v>
      </c>
      <c r="R1550" s="86" t="s">
        <v>972</v>
      </c>
      <c r="S1550" s="85"/>
    </row>
    <row r="1551" spans="1:19" hidden="1">
      <c r="A1551" s="84" t="s">
        <v>3332</v>
      </c>
      <c r="B1551" s="149" t="str">
        <f>IFERROR(VLOOKUP(Proc[[#This Row],[App]],Table2[],3,0),"open")</f>
        <v>ok</v>
      </c>
      <c r="C1551" s="89" t="s">
        <v>369</v>
      </c>
      <c r="D1551" t="s">
        <v>3335</v>
      </c>
      <c r="E1551" t="s">
        <v>1830</v>
      </c>
      <c r="F1551" s="117" t="s">
        <v>1830</v>
      </c>
      <c r="G1551" s="84" t="s">
        <v>400</v>
      </c>
      <c r="H1551" s="85" t="str">
        <f>IF(Proc[[#This Row],[type]]="LFF (MDG-F)",MID(Proc[[#This Row],[Obj]],13,10),"")</f>
        <v/>
      </c>
      <c r="J1551" s="85" t="b">
        <f>Proc[[#This Row],[Requested]]=Proc[[#This Row],[CurrentParent]]</f>
        <v>1</v>
      </c>
      <c r="K1551" s="144" t="str">
        <f>IF(Proc[[#This Row],[Author]]="Marcela Urrego",VLOOKUP(LEFT(Proc[[#This Row],[Requested]],1),Table3[#All],2,0),VLOOKUP(Proc[[#This Row],[Author]],Table4[],2,0))</f>
        <v>LS</v>
      </c>
      <c r="L1551" s="85" t="s">
        <v>2563</v>
      </c>
      <c r="M1551" s="83">
        <v>45797.153009259258</v>
      </c>
      <c r="N1551" s="83"/>
      <c r="O1551" s="83"/>
      <c r="P1551" s="86" t="str">
        <f ca="1">IF(Proc[[#This Row],[DaysAgeing]]&gt;5,"yep","on track")</f>
        <v>yep</v>
      </c>
      <c r="Q1551" s="3">
        <f ca="1">IF(Proc[[#This Row],[DateClosed]]="",ABS(NETWORKDAYS(Proc[[#This Row],[DateOpened]],TODAY()))-1,ABS(NETWORKDAYS(Proc[[#This Row],[DateOpened]],Proc[[#This Row],[DateClosed]]))-1)</f>
        <v>153</v>
      </c>
      <c r="R1551" s="86" t="s">
        <v>972</v>
      </c>
      <c r="S1551" s="85"/>
    </row>
    <row r="1552" spans="1:19" hidden="1">
      <c r="A1552" s="84" t="s">
        <v>3332</v>
      </c>
      <c r="B1552" s="149" t="str">
        <f>IFERROR(VLOOKUP(Proc[[#This Row],[App]],Table2[],3,0),"open")</f>
        <v>ok</v>
      </c>
      <c r="C1552" s="89" t="s">
        <v>369</v>
      </c>
      <c r="D1552" t="s">
        <v>3336</v>
      </c>
      <c r="E1552" t="s">
        <v>1830</v>
      </c>
      <c r="F1552" s="117" t="s">
        <v>1830</v>
      </c>
      <c r="G1552" s="84" t="s">
        <v>400</v>
      </c>
      <c r="H1552" s="85" t="str">
        <f>IF(Proc[[#This Row],[type]]="LFF (MDG-F)",MID(Proc[[#This Row],[Obj]],13,10),"")</f>
        <v/>
      </c>
      <c r="J1552" s="85" t="b">
        <f>Proc[[#This Row],[Requested]]=Proc[[#This Row],[CurrentParent]]</f>
        <v>1</v>
      </c>
      <c r="K1552" s="144" t="str">
        <f>IF(Proc[[#This Row],[Author]]="Marcela Urrego",VLOOKUP(LEFT(Proc[[#This Row],[Requested]],1),Table3[#All],2,0),VLOOKUP(Proc[[#This Row],[Author]],Table4[],2,0))</f>
        <v>LS</v>
      </c>
      <c r="L1552" s="85" t="s">
        <v>2563</v>
      </c>
      <c r="M1552" s="83">
        <v>45797.153009259258</v>
      </c>
      <c r="N1552" s="83"/>
      <c r="O1552" s="83"/>
      <c r="P1552" s="86" t="str">
        <f ca="1">IF(Proc[[#This Row],[DaysAgeing]]&gt;5,"yep","on track")</f>
        <v>yep</v>
      </c>
      <c r="Q1552" s="3">
        <f ca="1">IF(Proc[[#This Row],[DateClosed]]="",ABS(NETWORKDAYS(Proc[[#This Row],[DateOpened]],TODAY()))-1,ABS(NETWORKDAYS(Proc[[#This Row],[DateOpened]],Proc[[#This Row],[DateClosed]]))-1)</f>
        <v>153</v>
      </c>
      <c r="R1552" s="86" t="s">
        <v>972</v>
      </c>
      <c r="S1552" s="85"/>
    </row>
    <row r="1553" spans="1:19" hidden="1">
      <c r="A1553" s="84" t="s">
        <v>3332</v>
      </c>
      <c r="B1553" s="149" t="str">
        <f>IFERROR(VLOOKUP(Proc[[#This Row],[App]],Table2[],3,0),"open")</f>
        <v>ok</v>
      </c>
      <c r="C1553" s="89" t="s">
        <v>369</v>
      </c>
      <c r="D1553" t="s">
        <v>3337</v>
      </c>
      <c r="E1553" t="s">
        <v>1830</v>
      </c>
      <c r="F1553" s="117" t="s">
        <v>1830</v>
      </c>
      <c r="G1553" s="84" t="s">
        <v>400</v>
      </c>
      <c r="H1553" s="85" t="str">
        <f>IF(Proc[[#This Row],[type]]="LFF (MDG-F)",MID(Proc[[#This Row],[Obj]],13,10),"")</f>
        <v/>
      </c>
      <c r="J1553" s="85" t="b">
        <f>Proc[[#This Row],[Requested]]=Proc[[#This Row],[CurrentParent]]</f>
        <v>1</v>
      </c>
      <c r="K1553" s="144" t="str">
        <f>IF(Proc[[#This Row],[Author]]="Marcela Urrego",VLOOKUP(LEFT(Proc[[#This Row],[Requested]],1),Table3[#All],2,0),VLOOKUP(Proc[[#This Row],[Author]],Table4[],2,0))</f>
        <v>LS</v>
      </c>
      <c r="L1553" s="85" t="s">
        <v>2563</v>
      </c>
      <c r="M1553" s="83">
        <v>45797.153009259258</v>
      </c>
      <c r="N1553" s="83"/>
      <c r="O1553" s="83"/>
      <c r="P1553" s="86" t="str">
        <f ca="1">IF(Proc[[#This Row],[DaysAgeing]]&gt;5,"yep","on track")</f>
        <v>yep</v>
      </c>
      <c r="Q1553" s="3">
        <f ca="1">IF(Proc[[#This Row],[DateClosed]]="",ABS(NETWORKDAYS(Proc[[#This Row],[DateOpened]],TODAY()))-1,ABS(NETWORKDAYS(Proc[[#This Row],[DateOpened]],Proc[[#This Row],[DateClosed]]))-1)</f>
        <v>153</v>
      </c>
      <c r="R1553" s="86" t="s">
        <v>972</v>
      </c>
      <c r="S1553" s="85"/>
    </row>
    <row r="1554" spans="1:19" hidden="1">
      <c r="A1554" s="84" t="s">
        <v>3332</v>
      </c>
      <c r="B1554" s="149" t="str">
        <f>IFERROR(VLOOKUP(Proc[[#This Row],[App]],Table2[],3,0),"open")</f>
        <v>ok</v>
      </c>
      <c r="C1554" s="89" t="s">
        <v>369</v>
      </c>
      <c r="D1554" t="s">
        <v>3338</v>
      </c>
      <c r="E1554" t="s">
        <v>1830</v>
      </c>
      <c r="F1554" s="117" t="s">
        <v>1830</v>
      </c>
      <c r="G1554" s="84" t="s">
        <v>400</v>
      </c>
      <c r="H1554" s="85" t="str">
        <f>IF(Proc[[#This Row],[type]]="LFF (MDG-F)",MID(Proc[[#This Row],[Obj]],13,10),"")</f>
        <v/>
      </c>
      <c r="J1554" s="85" t="b">
        <f>Proc[[#This Row],[Requested]]=Proc[[#This Row],[CurrentParent]]</f>
        <v>1</v>
      </c>
      <c r="K1554" s="144" t="str">
        <f>IF(Proc[[#This Row],[Author]]="Marcela Urrego",VLOOKUP(LEFT(Proc[[#This Row],[Requested]],1),Table3[#All],2,0),VLOOKUP(Proc[[#This Row],[Author]],Table4[],2,0))</f>
        <v>LS</v>
      </c>
      <c r="L1554" s="85" t="s">
        <v>2563</v>
      </c>
      <c r="M1554" s="83">
        <v>45797.153009259258</v>
      </c>
      <c r="N1554" s="83"/>
      <c r="O1554" s="83"/>
      <c r="P1554" s="86" t="str">
        <f ca="1">IF(Proc[[#This Row],[DaysAgeing]]&gt;5,"yep","on track")</f>
        <v>yep</v>
      </c>
      <c r="Q1554" s="3">
        <f ca="1">IF(Proc[[#This Row],[DateClosed]]="",ABS(NETWORKDAYS(Proc[[#This Row],[DateOpened]],TODAY()))-1,ABS(NETWORKDAYS(Proc[[#This Row],[DateOpened]],Proc[[#This Row],[DateClosed]]))-1)</f>
        <v>153</v>
      </c>
      <c r="R1554" s="86" t="s">
        <v>972</v>
      </c>
      <c r="S1554" s="85"/>
    </row>
    <row r="1555" spans="1:19" hidden="1">
      <c r="A1555" s="84" t="s">
        <v>3332</v>
      </c>
      <c r="B1555" s="149" t="str">
        <f>IFERROR(VLOOKUP(Proc[[#This Row],[App]],Table2[],3,0),"open")</f>
        <v>ok</v>
      </c>
      <c r="C1555" s="89" t="s">
        <v>369</v>
      </c>
      <c r="D1555" t="s">
        <v>3339</v>
      </c>
      <c r="E1555" t="s">
        <v>3343</v>
      </c>
      <c r="F1555" s="117" t="s">
        <v>3343</v>
      </c>
      <c r="G1555" s="84" t="s">
        <v>400</v>
      </c>
      <c r="H1555" s="85" t="str">
        <f>IF(Proc[[#This Row],[type]]="LFF (MDG-F)",MID(Proc[[#This Row],[Obj]],13,10),"")</f>
        <v/>
      </c>
      <c r="J1555" s="85" t="b">
        <f>Proc[[#This Row],[Requested]]=Proc[[#This Row],[CurrentParent]]</f>
        <v>1</v>
      </c>
      <c r="K1555" s="144" t="str">
        <f>IF(Proc[[#This Row],[Author]]="Marcela Urrego",VLOOKUP(LEFT(Proc[[#This Row],[Requested]],1),Table3[#All],2,0),VLOOKUP(Proc[[#This Row],[Author]],Table4[],2,0))</f>
        <v>LS</v>
      </c>
      <c r="L1555" s="85" t="s">
        <v>2563</v>
      </c>
      <c r="M1555" s="83">
        <v>45797.153009259258</v>
      </c>
      <c r="N1555" s="83"/>
      <c r="O1555" s="83"/>
      <c r="P1555" s="86" t="str">
        <f ca="1">IF(Proc[[#This Row],[DaysAgeing]]&gt;5,"yep","on track")</f>
        <v>yep</v>
      </c>
      <c r="Q1555" s="3">
        <f ca="1">IF(Proc[[#This Row],[DateClosed]]="",ABS(NETWORKDAYS(Proc[[#This Row],[DateOpened]],TODAY()))-1,ABS(NETWORKDAYS(Proc[[#This Row],[DateOpened]],Proc[[#This Row],[DateClosed]]))-1)</f>
        <v>153</v>
      </c>
      <c r="R1555" s="86" t="s">
        <v>972</v>
      </c>
      <c r="S1555" s="85"/>
    </row>
    <row r="1556" spans="1:19" hidden="1">
      <c r="A1556" s="84" t="s">
        <v>3332</v>
      </c>
      <c r="B1556" s="149" t="str">
        <f>IFERROR(VLOOKUP(Proc[[#This Row],[App]],Table2[],3,0),"open")</f>
        <v>ok</v>
      </c>
      <c r="C1556" s="89" t="s">
        <v>369</v>
      </c>
      <c r="D1556" t="s">
        <v>3340</v>
      </c>
      <c r="E1556" t="s">
        <v>1044</v>
      </c>
      <c r="F1556" s="117" t="s">
        <v>1044</v>
      </c>
      <c r="G1556" s="84" t="s">
        <v>400</v>
      </c>
      <c r="H1556" s="85" t="str">
        <f>IF(Proc[[#This Row],[type]]="LFF (MDG-F)",MID(Proc[[#This Row],[Obj]],13,10),"")</f>
        <v/>
      </c>
      <c r="J1556" s="85" t="b">
        <f>Proc[[#This Row],[Requested]]=Proc[[#This Row],[CurrentParent]]</f>
        <v>1</v>
      </c>
      <c r="K1556" s="144" t="str">
        <f>IF(Proc[[#This Row],[Author]]="Marcela Urrego",VLOOKUP(LEFT(Proc[[#This Row],[Requested]],1),Table3[#All],2,0),VLOOKUP(Proc[[#This Row],[Author]],Table4[],2,0))</f>
        <v>LS</v>
      </c>
      <c r="L1556" s="85" t="s">
        <v>2563</v>
      </c>
      <c r="M1556" s="83">
        <v>45797.153009259258</v>
      </c>
      <c r="N1556" s="83"/>
      <c r="O1556" s="83"/>
      <c r="P1556" s="86" t="str">
        <f ca="1">IF(Proc[[#This Row],[DaysAgeing]]&gt;5,"yep","on track")</f>
        <v>yep</v>
      </c>
      <c r="Q1556" s="3">
        <f ca="1">IF(Proc[[#This Row],[DateClosed]]="",ABS(NETWORKDAYS(Proc[[#This Row],[DateOpened]],TODAY()))-1,ABS(NETWORKDAYS(Proc[[#This Row],[DateOpened]],Proc[[#This Row],[DateClosed]]))-1)</f>
        <v>153</v>
      </c>
      <c r="R1556" s="86" t="s">
        <v>972</v>
      </c>
      <c r="S1556" s="85"/>
    </row>
    <row r="1557" spans="1:19" hidden="1">
      <c r="A1557" s="84" t="s">
        <v>3332</v>
      </c>
      <c r="B1557" s="149" t="str">
        <f>IFERROR(VLOOKUP(Proc[[#This Row],[App]],Table2[],3,0),"open")</f>
        <v>ok</v>
      </c>
      <c r="C1557" s="89" t="s">
        <v>369</v>
      </c>
      <c r="D1557" t="s">
        <v>3341</v>
      </c>
      <c r="E1557" t="s">
        <v>2376</v>
      </c>
      <c r="F1557" s="117" t="s">
        <v>2376</v>
      </c>
      <c r="G1557" s="84" t="s">
        <v>400</v>
      </c>
      <c r="H1557" s="85" t="str">
        <f>IF(Proc[[#This Row],[type]]="LFF (MDG-F)",MID(Proc[[#This Row],[Obj]],13,10),"")</f>
        <v/>
      </c>
      <c r="J1557" s="85" t="b">
        <f>Proc[[#This Row],[Requested]]=Proc[[#This Row],[CurrentParent]]</f>
        <v>1</v>
      </c>
      <c r="K1557" s="144" t="str">
        <f>IF(Proc[[#This Row],[Author]]="Marcela Urrego",VLOOKUP(LEFT(Proc[[#This Row],[Requested]],1),Table3[#All],2,0),VLOOKUP(Proc[[#This Row],[Author]],Table4[],2,0))</f>
        <v>LS</v>
      </c>
      <c r="L1557" s="85" t="s">
        <v>2563</v>
      </c>
      <c r="M1557" s="83">
        <v>45797.153009259258</v>
      </c>
      <c r="N1557" s="83"/>
      <c r="O1557" s="83"/>
      <c r="P1557" s="86" t="str">
        <f ca="1">IF(Proc[[#This Row],[DaysAgeing]]&gt;5,"yep","on track")</f>
        <v>yep</v>
      </c>
      <c r="Q1557" s="3">
        <f ca="1">IF(Proc[[#This Row],[DateClosed]]="",ABS(NETWORKDAYS(Proc[[#This Row],[DateOpened]],TODAY()))-1,ABS(NETWORKDAYS(Proc[[#This Row],[DateOpened]],Proc[[#This Row],[DateClosed]]))-1)</f>
        <v>153</v>
      </c>
      <c r="R1557" s="86" t="s">
        <v>972</v>
      </c>
      <c r="S1557" s="85"/>
    </row>
    <row r="1558" spans="1:19" hidden="1">
      <c r="A1558" s="84" t="s">
        <v>3332</v>
      </c>
      <c r="B1558" s="149" t="str">
        <f>IFERROR(VLOOKUP(Proc[[#This Row],[App]],Table2[],3,0),"open")</f>
        <v>ok</v>
      </c>
      <c r="C1558" s="89" t="s">
        <v>369</v>
      </c>
      <c r="D1558" t="s">
        <v>3342</v>
      </c>
      <c r="E1558" t="s">
        <v>3344</v>
      </c>
      <c r="F1558" s="117" t="s">
        <v>3344</v>
      </c>
      <c r="G1558" s="84" t="s">
        <v>400</v>
      </c>
      <c r="H1558" s="85" t="str">
        <f>IF(Proc[[#This Row],[type]]="LFF (MDG-F)",MID(Proc[[#This Row],[Obj]],13,10),"")</f>
        <v/>
      </c>
      <c r="J1558" s="85" t="b">
        <f>Proc[[#This Row],[Requested]]=Proc[[#This Row],[CurrentParent]]</f>
        <v>1</v>
      </c>
      <c r="K1558" s="144" t="str">
        <f>IF(Proc[[#This Row],[Author]]="Marcela Urrego",VLOOKUP(LEFT(Proc[[#This Row],[Requested]],1),Table3[#All],2,0),VLOOKUP(Proc[[#This Row],[Author]],Table4[],2,0))</f>
        <v>LS</v>
      </c>
      <c r="L1558" s="85" t="s">
        <v>2563</v>
      </c>
      <c r="M1558" s="83">
        <v>45797.153009259258</v>
      </c>
      <c r="N1558" s="83"/>
      <c r="O1558" s="83"/>
      <c r="P1558" s="86" t="str">
        <f ca="1">IF(Proc[[#This Row],[DaysAgeing]]&gt;5,"yep","on track")</f>
        <v>yep</v>
      </c>
      <c r="Q1558" s="3">
        <f ca="1">IF(Proc[[#This Row],[DateClosed]]="",ABS(NETWORKDAYS(Proc[[#This Row],[DateOpened]],TODAY()))-1,ABS(NETWORKDAYS(Proc[[#This Row],[DateOpened]],Proc[[#This Row],[DateClosed]]))-1)</f>
        <v>153</v>
      </c>
      <c r="R1558" s="86" t="s">
        <v>972</v>
      </c>
      <c r="S1558" s="85"/>
    </row>
    <row r="1559" spans="1:19" hidden="1">
      <c r="A1559" t="s">
        <v>3345</v>
      </c>
      <c r="B1559" s="149" t="str">
        <f>IFERROR(VLOOKUP(Proc[[#This Row],[App]],Table2[],3,0),"open")</f>
        <v>ok</v>
      </c>
      <c r="C1559" s="89" t="s">
        <v>369</v>
      </c>
      <c r="D1559" t="s">
        <v>3359</v>
      </c>
      <c r="E1559" t="s">
        <v>3346</v>
      </c>
      <c r="F1559" s="117" t="s">
        <v>3346</v>
      </c>
      <c r="G1559" s="88" t="s">
        <v>400</v>
      </c>
      <c r="H1559" s="85" t="str">
        <f>IF(Proc[[#This Row],[type]]="LFF (MDG-F)",MID(Proc[[#This Row],[Obj]],13,10),"")</f>
        <v/>
      </c>
      <c r="J1559" s="85" t="b">
        <f>Proc[[#This Row],[Requested]]=Proc[[#This Row],[CurrentParent]]</f>
        <v>1</v>
      </c>
      <c r="K1559" s="144" t="str">
        <f>IF(Proc[[#This Row],[Author]]="Marcela Urrego",VLOOKUP(LEFT(Proc[[#This Row],[Requested]],1),Table3[#All],2,0),VLOOKUP(Proc[[#This Row],[Author]],Table4[],2,0))</f>
        <v>LS</v>
      </c>
      <c r="L1559" s="85" t="s">
        <v>2563</v>
      </c>
      <c r="M1559" s="86">
        <v>45797.153009259258</v>
      </c>
      <c r="N1559" s="87"/>
      <c r="O1559" s="87"/>
      <c r="P1559" s="86" t="str">
        <f ca="1">IF(Proc[[#This Row],[DaysAgeing]]&gt;5,"yep","on track")</f>
        <v>yep</v>
      </c>
      <c r="Q1559" s="3">
        <f ca="1">IF(Proc[[#This Row],[DateClosed]]="",ABS(NETWORKDAYS(Proc[[#This Row],[DateOpened]],TODAY()))-1,ABS(NETWORKDAYS(Proc[[#This Row],[DateOpened]],Proc[[#This Row],[DateClosed]]))-1)</f>
        <v>153</v>
      </c>
      <c r="R1559" s="86" t="s">
        <v>551</v>
      </c>
      <c r="S1559" s="85"/>
    </row>
    <row r="1560" spans="1:19" hidden="1">
      <c r="A1560" s="88" t="s">
        <v>3345</v>
      </c>
      <c r="B1560" s="149" t="str">
        <f>IFERROR(VLOOKUP(Proc[[#This Row],[App]],Table2[],3,0),"open")</f>
        <v>ok</v>
      </c>
      <c r="C1560" s="89" t="s">
        <v>369</v>
      </c>
      <c r="D1560" t="s">
        <v>3360</v>
      </c>
      <c r="E1560" t="s">
        <v>3346</v>
      </c>
      <c r="F1560" s="117" t="s">
        <v>3346</v>
      </c>
      <c r="G1560" s="88" t="s">
        <v>400</v>
      </c>
      <c r="H1560" s="85" t="str">
        <f>IF(Proc[[#This Row],[type]]="LFF (MDG-F)",MID(Proc[[#This Row],[Obj]],13,10),"")</f>
        <v/>
      </c>
      <c r="I1560" s="89"/>
      <c r="J1560" s="85" t="b">
        <f>Proc[[#This Row],[Requested]]=Proc[[#This Row],[CurrentParent]]</f>
        <v>1</v>
      </c>
      <c r="K1560" s="144" t="str">
        <f>IF(Proc[[#This Row],[Author]]="Marcela Urrego",VLOOKUP(LEFT(Proc[[#This Row],[Requested]],1),Table3[#All],2,0),VLOOKUP(Proc[[#This Row],[Author]],Table4[],2,0))</f>
        <v>LS</v>
      </c>
      <c r="L1560" s="85" t="s">
        <v>2563</v>
      </c>
      <c r="M1560" s="86">
        <v>45797.153009259258</v>
      </c>
      <c r="N1560" s="87"/>
      <c r="O1560" s="87"/>
      <c r="P1560" s="86" t="str">
        <f ca="1">IF(Proc[[#This Row],[DaysAgeing]]&gt;5,"yep","on track")</f>
        <v>yep</v>
      </c>
      <c r="Q1560" s="3">
        <f ca="1">IF(Proc[[#This Row],[DateClosed]]="",ABS(NETWORKDAYS(Proc[[#This Row],[DateOpened]],TODAY()))-1,ABS(NETWORKDAYS(Proc[[#This Row],[DateOpened]],Proc[[#This Row],[DateClosed]]))-1)</f>
        <v>153</v>
      </c>
      <c r="R1560" s="86" t="s">
        <v>551</v>
      </c>
      <c r="S1560" s="85"/>
    </row>
    <row r="1561" spans="1:19" hidden="1">
      <c r="A1561" s="88" t="s">
        <v>3345</v>
      </c>
      <c r="B1561" s="149" t="str">
        <f>IFERROR(VLOOKUP(Proc[[#This Row],[App]],Table2[],3,0),"open")</f>
        <v>ok</v>
      </c>
      <c r="C1561" s="89" t="s">
        <v>369</v>
      </c>
      <c r="D1561" t="s">
        <v>3361</v>
      </c>
      <c r="E1561" t="s">
        <v>3346</v>
      </c>
      <c r="F1561" s="117" t="s">
        <v>3346</v>
      </c>
      <c r="G1561" s="88" t="s">
        <v>400</v>
      </c>
      <c r="H1561" s="85" t="str">
        <f>IF(Proc[[#This Row],[type]]="LFF (MDG-F)",MID(Proc[[#This Row],[Obj]],13,10),"")</f>
        <v/>
      </c>
      <c r="I1561" s="89"/>
      <c r="J1561" s="85" t="b">
        <f>Proc[[#This Row],[Requested]]=Proc[[#This Row],[CurrentParent]]</f>
        <v>1</v>
      </c>
      <c r="K1561" s="144" t="str">
        <f>IF(Proc[[#This Row],[Author]]="Marcela Urrego",VLOOKUP(LEFT(Proc[[#This Row],[Requested]],1),Table3[#All],2,0),VLOOKUP(Proc[[#This Row],[Author]],Table4[],2,0))</f>
        <v>LS</v>
      </c>
      <c r="L1561" s="85" t="s">
        <v>2563</v>
      </c>
      <c r="M1561" s="86">
        <v>45797.153009259258</v>
      </c>
      <c r="N1561" s="87"/>
      <c r="O1561" s="87"/>
      <c r="P1561" s="86" t="str">
        <f ca="1">IF(Proc[[#This Row],[DaysAgeing]]&gt;5,"yep","on track")</f>
        <v>yep</v>
      </c>
      <c r="Q1561" s="3">
        <f ca="1">IF(Proc[[#This Row],[DateClosed]]="",ABS(NETWORKDAYS(Proc[[#This Row],[DateOpened]],TODAY()))-1,ABS(NETWORKDAYS(Proc[[#This Row],[DateOpened]],Proc[[#This Row],[DateClosed]]))-1)</f>
        <v>153</v>
      </c>
      <c r="R1561" s="86" t="s">
        <v>551</v>
      </c>
      <c r="S1561" s="85"/>
    </row>
    <row r="1562" spans="1:19" hidden="1">
      <c r="A1562" t="s">
        <v>3347</v>
      </c>
      <c r="B1562" s="149" t="str">
        <f>IFERROR(VLOOKUP(Proc[[#This Row],[App]],Table2[],3,0),"open")</f>
        <v>ok</v>
      </c>
      <c r="C1562" t="s">
        <v>369</v>
      </c>
      <c r="D1562" t="s">
        <v>3348</v>
      </c>
      <c r="E1562" t="s">
        <v>3349</v>
      </c>
      <c r="F1562" s="117" t="s">
        <v>3349</v>
      </c>
      <c r="G1562" t="s">
        <v>400</v>
      </c>
      <c r="H1562" s="85" t="str">
        <f>IF(Proc[[#This Row],[type]]="LFF (MDG-F)",MID(Proc[[#This Row],[Obj]],13,10),"")</f>
        <v/>
      </c>
      <c r="J1562" s="85" t="b">
        <f>Proc[[#This Row],[Requested]]=Proc[[#This Row],[CurrentParent]]</f>
        <v>1</v>
      </c>
      <c r="K1562" s="144" t="str">
        <f>IF(Proc[[#This Row],[Author]]="Marcela Urrego",VLOOKUP(LEFT(Proc[[#This Row],[Requested]],1),Table3[#All],2,0),VLOOKUP(Proc[[#This Row],[Author]],Table4[],2,0))</f>
        <v>MGF</v>
      </c>
      <c r="L1562" s="85" t="s">
        <v>2563</v>
      </c>
      <c r="M1562" s="86">
        <v>45786.153009259258</v>
      </c>
      <c r="N1562" s="87">
        <v>45807</v>
      </c>
      <c r="O1562" s="87">
        <v>45807</v>
      </c>
      <c r="P1562" s="86" t="str">
        <f ca="1">IF(Proc[[#This Row],[DaysAgeing]]&gt;5,"yep","on track")</f>
        <v>yep</v>
      </c>
      <c r="Q1562" s="3">
        <f ca="1">IF(Proc[[#This Row],[DateClosed]]="",ABS(NETWORKDAYS(Proc[[#This Row],[DateOpened]],TODAY()))-1,ABS(NETWORKDAYS(Proc[[#This Row],[DateOpened]],Proc[[#This Row],[DateClosed]]))-1)</f>
        <v>15</v>
      </c>
      <c r="R1562" s="88" t="s">
        <v>515</v>
      </c>
      <c r="S1562" s="85"/>
    </row>
    <row r="1563" spans="1:19" hidden="1">
      <c r="A1563" t="s">
        <v>3347</v>
      </c>
      <c r="B1563" s="149" t="str">
        <f>IFERROR(VLOOKUP(Proc[[#This Row],[App]],Table2[],3,0),"open")</f>
        <v>ok</v>
      </c>
      <c r="C1563" s="88" t="s">
        <v>369</v>
      </c>
      <c r="D1563" t="s">
        <v>3350</v>
      </c>
      <c r="E1563" t="s">
        <v>3349</v>
      </c>
      <c r="F1563" s="117" t="s">
        <v>3349</v>
      </c>
      <c r="G1563" s="88" t="s">
        <v>400</v>
      </c>
      <c r="H1563" s="85" t="str">
        <f>IF(Proc[[#This Row],[type]]="LFF (MDG-F)",MID(Proc[[#This Row],[Obj]],13,10),"")</f>
        <v/>
      </c>
      <c r="J1563" s="85" t="b">
        <f>Proc[[#This Row],[Requested]]=Proc[[#This Row],[CurrentParent]]</f>
        <v>1</v>
      </c>
      <c r="K1563" s="144" t="str">
        <f>IF(Proc[[#This Row],[Author]]="Marcela Urrego",VLOOKUP(LEFT(Proc[[#This Row],[Requested]],1),Table3[#All],2,0),VLOOKUP(Proc[[#This Row],[Author]],Table4[],2,0))</f>
        <v>MGF</v>
      </c>
      <c r="L1563" s="85" t="s">
        <v>2563</v>
      </c>
      <c r="M1563" s="86">
        <v>45786.153009259258</v>
      </c>
      <c r="N1563" s="87">
        <v>45807</v>
      </c>
      <c r="O1563" s="87">
        <v>45807</v>
      </c>
      <c r="P1563" s="86" t="str">
        <f ca="1">IF(Proc[[#This Row],[DaysAgeing]]&gt;5,"yep","on track")</f>
        <v>yep</v>
      </c>
      <c r="Q1563" s="3">
        <f ca="1">IF(Proc[[#This Row],[DateClosed]]="",ABS(NETWORKDAYS(Proc[[#This Row],[DateOpened]],TODAY()))-1,ABS(NETWORKDAYS(Proc[[#This Row],[DateOpened]],Proc[[#This Row],[DateClosed]]))-1)</f>
        <v>15</v>
      </c>
      <c r="R1563" s="88" t="s">
        <v>515</v>
      </c>
      <c r="S1563" s="85"/>
    </row>
    <row r="1564" spans="1:19" hidden="1">
      <c r="A1564" t="s">
        <v>3347</v>
      </c>
      <c r="B1564" s="149" t="str">
        <f>IFERROR(VLOOKUP(Proc[[#This Row],[App]],Table2[],3,0),"open")</f>
        <v>ok</v>
      </c>
      <c r="C1564" s="89" t="s">
        <v>369</v>
      </c>
      <c r="D1564" t="s">
        <v>3351</v>
      </c>
      <c r="E1564" t="s">
        <v>3349</v>
      </c>
      <c r="F1564" s="117" t="s">
        <v>3349</v>
      </c>
      <c r="G1564" s="88" t="s">
        <v>406</v>
      </c>
      <c r="H1564" s="85" t="str">
        <f>IF(Proc[[#This Row],[type]]="LFF (MDG-F)",MID(Proc[[#This Row],[Obj]],13,10),"")</f>
        <v>DE10GMW030</v>
      </c>
      <c r="I1564" t="s">
        <v>3367</v>
      </c>
      <c r="J1564" s="85" t="b">
        <f>Proc[[#This Row],[Requested]]=Proc[[#This Row],[CurrentParent]]</f>
        <v>1</v>
      </c>
      <c r="K1564" s="144" t="str">
        <f>IF(Proc[[#This Row],[Author]]="Marcela Urrego",VLOOKUP(LEFT(Proc[[#This Row],[Requested]],1),Table3[#All],2,0),VLOOKUP(Proc[[#This Row],[Author]],Table4[],2,0))</f>
        <v>MGF</v>
      </c>
      <c r="L1564" s="85" t="s">
        <v>2563</v>
      </c>
      <c r="M1564" s="86">
        <v>45786.153009259258</v>
      </c>
      <c r="N1564" s="87">
        <v>45807</v>
      </c>
      <c r="O1564" s="87">
        <v>45807</v>
      </c>
      <c r="P1564" s="86" t="str">
        <f ca="1">IF(Proc[[#This Row],[DaysAgeing]]&gt;5,"yep","on track")</f>
        <v>yep</v>
      </c>
      <c r="Q1564" s="3">
        <f ca="1">IF(Proc[[#This Row],[DateClosed]]="",ABS(NETWORKDAYS(Proc[[#This Row],[DateOpened]],TODAY()))-1,ABS(NETWORKDAYS(Proc[[#This Row],[DateOpened]],Proc[[#This Row],[DateClosed]]))-1)</f>
        <v>15</v>
      </c>
      <c r="R1564" s="88" t="s">
        <v>515</v>
      </c>
      <c r="S1564" s="85"/>
    </row>
    <row r="1565" spans="1:19" hidden="1">
      <c r="A1565" t="s">
        <v>3347</v>
      </c>
      <c r="B1565" s="149" t="str">
        <f>IFERROR(VLOOKUP(Proc[[#This Row],[App]],Table2[],3,0),"open")</f>
        <v>ok</v>
      </c>
      <c r="C1565" s="88" t="s">
        <v>369</v>
      </c>
      <c r="D1565" t="s">
        <v>3352</v>
      </c>
      <c r="E1565" t="s">
        <v>3349</v>
      </c>
      <c r="F1565" s="117" t="s">
        <v>3349</v>
      </c>
      <c r="G1565" s="88" t="s">
        <v>400</v>
      </c>
      <c r="H1565" s="85" t="str">
        <f>IF(Proc[[#This Row],[type]]="LFF (MDG-F)",MID(Proc[[#This Row],[Obj]],13,10),"")</f>
        <v/>
      </c>
      <c r="J1565" s="85" t="b">
        <f>Proc[[#This Row],[Requested]]=Proc[[#This Row],[CurrentParent]]</f>
        <v>1</v>
      </c>
      <c r="K1565" s="144" t="str">
        <f>IF(Proc[[#This Row],[Author]]="Marcela Urrego",VLOOKUP(LEFT(Proc[[#This Row],[Requested]],1),Table3[#All],2,0),VLOOKUP(Proc[[#This Row],[Author]],Table4[],2,0))</f>
        <v>MGF</v>
      </c>
      <c r="L1565" s="85" t="s">
        <v>2563</v>
      </c>
      <c r="M1565" s="86">
        <v>45786.153009259258</v>
      </c>
      <c r="N1565" s="87">
        <v>45807</v>
      </c>
      <c r="O1565" s="87">
        <v>45807</v>
      </c>
      <c r="P1565" s="86" t="str">
        <f ca="1">IF(Proc[[#This Row],[DaysAgeing]]&gt;5,"yep","on track")</f>
        <v>yep</v>
      </c>
      <c r="Q1565" s="3">
        <f ca="1">IF(Proc[[#This Row],[DateClosed]]="",ABS(NETWORKDAYS(Proc[[#This Row],[DateOpened]],TODAY()))-1,ABS(NETWORKDAYS(Proc[[#This Row],[DateOpened]],Proc[[#This Row],[DateClosed]]))-1)</f>
        <v>15</v>
      </c>
      <c r="R1565" s="88" t="s">
        <v>515</v>
      </c>
      <c r="S1565" s="85"/>
    </row>
    <row r="1566" spans="1:19" hidden="1">
      <c r="A1566" t="s">
        <v>3347</v>
      </c>
      <c r="B1566" s="149" t="str">
        <f>IFERROR(VLOOKUP(Proc[[#This Row],[App]],Table2[],3,0),"open")</f>
        <v>ok</v>
      </c>
      <c r="C1566" s="88" t="s">
        <v>369</v>
      </c>
      <c r="D1566" t="s">
        <v>3353</v>
      </c>
      <c r="E1566" t="s">
        <v>3349</v>
      </c>
      <c r="F1566" s="117" t="s">
        <v>3349</v>
      </c>
      <c r="G1566" s="88" t="s">
        <v>400</v>
      </c>
      <c r="H1566" s="85" t="str">
        <f>IF(Proc[[#This Row],[type]]="LFF (MDG-F)",MID(Proc[[#This Row],[Obj]],13,10),"")</f>
        <v/>
      </c>
      <c r="J1566" s="85" t="b">
        <f>Proc[[#This Row],[Requested]]=Proc[[#This Row],[CurrentParent]]</f>
        <v>1</v>
      </c>
      <c r="K1566" s="144" t="str">
        <f>IF(Proc[[#This Row],[Author]]="Marcela Urrego",VLOOKUP(LEFT(Proc[[#This Row],[Requested]],1),Table3[#All],2,0),VLOOKUP(Proc[[#This Row],[Author]],Table4[],2,0))</f>
        <v>MGF</v>
      </c>
      <c r="L1566" s="85" t="s">
        <v>2563</v>
      </c>
      <c r="M1566" s="86">
        <v>45786.153009259258</v>
      </c>
      <c r="N1566" s="87">
        <v>45807</v>
      </c>
      <c r="O1566" s="87">
        <v>45807</v>
      </c>
      <c r="P1566" s="86" t="str">
        <f ca="1">IF(Proc[[#This Row],[DaysAgeing]]&gt;5,"yep","on track")</f>
        <v>yep</v>
      </c>
      <c r="Q1566" s="3">
        <f ca="1">IF(Proc[[#This Row],[DateClosed]]="",ABS(NETWORKDAYS(Proc[[#This Row],[DateOpened]],TODAY()))-1,ABS(NETWORKDAYS(Proc[[#This Row],[DateOpened]],Proc[[#This Row],[DateClosed]]))-1)</f>
        <v>15</v>
      </c>
      <c r="R1566" s="88" t="s">
        <v>515</v>
      </c>
      <c r="S1566" s="85"/>
    </row>
    <row r="1567" spans="1:19" hidden="1">
      <c r="A1567" t="s">
        <v>3347</v>
      </c>
      <c r="B1567" s="149" t="str">
        <f>IFERROR(VLOOKUP(Proc[[#This Row],[App]],Table2[],3,0),"open")</f>
        <v>ok</v>
      </c>
      <c r="C1567" s="89" t="s">
        <v>369</v>
      </c>
      <c r="D1567" t="s">
        <v>3354</v>
      </c>
      <c r="E1567" t="s">
        <v>3349</v>
      </c>
      <c r="F1567" s="117" t="s">
        <v>3349</v>
      </c>
      <c r="G1567" s="88" t="s">
        <v>406</v>
      </c>
      <c r="H1567" s="85" t="str">
        <f>IF(Proc[[#This Row],[type]]="LFF (MDG-F)",MID(Proc[[#This Row],[Obj]],13,10),"")</f>
        <v>CN90GHR110</v>
      </c>
      <c r="I1567" s="89" t="s">
        <v>3367</v>
      </c>
      <c r="J1567" s="85" t="b">
        <f>Proc[[#This Row],[Requested]]=Proc[[#This Row],[CurrentParent]]</f>
        <v>1</v>
      </c>
      <c r="K1567" s="144" t="str">
        <f>IF(Proc[[#This Row],[Author]]="Marcela Urrego",VLOOKUP(LEFT(Proc[[#This Row],[Requested]],1),Table3[#All],2,0),VLOOKUP(Proc[[#This Row],[Author]],Table4[],2,0))</f>
        <v>MGF</v>
      </c>
      <c r="L1567" s="85" t="s">
        <v>2563</v>
      </c>
      <c r="M1567" s="86">
        <v>45786.153009259258</v>
      </c>
      <c r="N1567" s="87">
        <v>45807</v>
      </c>
      <c r="O1567" s="87">
        <v>45807</v>
      </c>
      <c r="P1567" s="86" t="str">
        <f ca="1">IF(Proc[[#This Row],[DaysAgeing]]&gt;5,"yep","on track")</f>
        <v>yep</v>
      </c>
      <c r="Q1567" s="3">
        <f ca="1">IF(Proc[[#This Row],[DateClosed]]="",ABS(NETWORKDAYS(Proc[[#This Row],[DateOpened]],TODAY()))-1,ABS(NETWORKDAYS(Proc[[#This Row],[DateOpened]],Proc[[#This Row],[DateClosed]]))-1)</f>
        <v>15</v>
      </c>
      <c r="R1567" s="88" t="s">
        <v>515</v>
      </c>
      <c r="S1567" s="85"/>
    </row>
    <row r="1568" spans="1:19" hidden="1">
      <c r="A1568" t="s">
        <v>3355</v>
      </c>
      <c r="B1568" s="149" t="str">
        <f>IFERROR(VLOOKUP(Proc[[#This Row],[App]],Table2[],3,0),"open")</f>
        <v>ok</v>
      </c>
      <c r="C1568" s="89" t="s">
        <v>369</v>
      </c>
      <c r="D1568" s="89" t="s">
        <v>3362</v>
      </c>
      <c r="E1568" t="s">
        <v>3356</v>
      </c>
      <c r="F1568" s="117" t="s">
        <v>3356</v>
      </c>
      <c r="G1568" s="89" t="s">
        <v>400</v>
      </c>
      <c r="H1568" s="85" t="str">
        <f>IF(Proc[[#This Row],[type]]="LFF (MDG-F)",MID(Proc[[#This Row],[Obj]],13,10),"")</f>
        <v/>
      </c>
      <c r="I1568" s="89"/>
      <c r="J1568" s="85" t="b">
        <f>Proc[[#This Row],[Requested]]=Proc[[#This Row],[CurrentParent]]</f>
        <v>1</v>
      </c>
      <c r="K1568" s="144" t="str">
        <f>IF(Proc[[#This Row],[Author]]="Marcela Urrego",VLOOKUP(LEFT(Proc[[#This Row],[Requested]],1),Table3[#All],2,0),VLOOKUP(Proc[[#This Row],[Author]],Table4[],2,0))</f>
        <v>LS</v>
      </c>
      <c r="L1568" s="85" t="s">
        <v>2563</v>
      </c>
      <c r="M1568" s="86">
        <v>45797.153009259258</v>
      </c>
      <c r="N1568" s="87"/>
      <c r="O1568" s="87"/>
      <c r="P1568" s="86" t="str">
        <f ca="1">IF(Proc[[#This Row],[DaysAgeing]]&gt;5,"yep","on track")</f>
        <v>yep</v>
      </c>
      <c r="Q1568" s="3">
        <f ca="1">IF(Proc[[#This Row],[DateClosed]]="",ABS(NETWORKDAYS(Proc[[#This Row],[DateOpened]],TODAY()))-1,ABS(NETWORKDAYS(Proc[[#This Row],[DateOpened]],Proc[[#This Row],[DateClosed]]))-1)</f>
        <v>153</v>
      </c>
      <c r="R1568" s="86" t="s">
        <v>551</v>
      </c>
      <c r="S1568" s="85"/>
    </row>
    <row r="1569" spans="1:19" hidden="1">
      <c r="A1569" t="s">
        <v>3357</v>
      </c>
      <c r="B1569" s="149" t="str">
        <f>IFERROR(VLOOKUP(Proc[[#This Row],[App]],Table2[],3,0),"open")</f>
        <v>ok</v>
      </c>
      <c r="C1569" s="89" t="s">
        <v>369</v>
      </c>
      <c r="D1569" t="s">
        <v>3363</v>
      </c>
      <c r="E1569" t="s">
        <v>3358</v>
      </c>
      <c r="F1569" s="117" t="s">
        <v>3358</v>
      </c>
      <c r="G1569" s="89" t="s">
        <v>400</v>
      </c>
      <c r="H1569" s="85" t="str">
        <f>IF(Proc[[#This Row],[type]]="LFF (MDG-F)",MID(Proc[[#This Row],[Obj]],13,10),"")</f>
        <v/>
      </c>
      <c r="I1569" s="89"/>
      <c r="J1569" s="85" t="b">
        <f>Proc[[#This Row],[Requested]]=Proc[[#This Row],[CurrentParent]]</f>
        <v>1</v>
      </c>
      <c r="K1569" s="144" t="str">
        <f>IF(Proc[[#This Row],[Author]]="Marcela Urrego",VLOOKUP(LEFT(Proc[[#This Row],[Requested]],1),Table3[#All],2,0),VLOOKUP(Proc[[#This Row],[Author]],Table4[],2,0))</f>
        <v>LS</v>
      </c>
      <c r="L1569" s="85" t="s">
        <v>2563</v>
      </c>
      <c r="M1569" s="86">
        <v>45797.153009259258</v>
      </c>
      <c r="N1569" s="87"/>
      <c r="O1569" s="87"/>
      <c r="P1569" s="86" t="str">
        <f ca="1">IF(Proc[[#This Row],[DaysAgeing]]&gt;5,"yep","on track")</f>
        <v>yep</v>
      </c>
      <c r="Q1569" s="3">
        <f ca="1">IF(Proc[[#This Row],[DateClosed]]="",ABS(NETWORKDAYS(Proc[[#This Row],[DateOpened]],TODAY()))-1,ABS(NETWORKDAYS(Proc[[#This Row],[DateOpened]],Proc[[#This Row],[DateClosed]]))-1)</f>
        <v>153</v>
      </c>
      <c r="R1569" s="86" t="s">
        <v>551</v>
      </c>
      <c r="S1569" s="85"/>
    </row>
    <row r="1570" spans="1:19" hidden="1">
      <c r="A1570" s="89" t="s">
        <v>3357</v>
      </c>
      <c r="B1570" s="149" t="str">
        <f>IFERROR(VLOOKUP(Proc[[#This Row],[App]],Table2[],3,0),"open")</f>
        <v>ok</v>
      </c>
      <c r="C1570" s="89" t="s">
        <v>369</v>
      </c>
      <c r="D1570" t="s">
        <v>3364</v>
      </c>
      <c r="E1570" s="89" t="s">
        <v>3358</v>
      </c>
      <c r="F1570" s="117" t="s">
        <v>3358</v>
      </c>
      <c r="G1570" s="89" t="s">
        <v>400</v>
      </c>
      <c r="H1570" s="85" t="str">
        <f>IF(Proc[[#This Row],[type]]="LFF (MDG-F)",MID(Proc[[#This Row],[Obj]],13,10),"")</f>
        <v/>
      </c>
      <c r="I1570" s="89"/>
      <c r="J1570" s="85" t="b">
        <f>Proc[[#This Row],[Requested]]=Proc[[#This Row],[CurrentParent]]</f>
        <v>1</v>
      </c>
      <c r="K1570" s="144" t="str">
        <f>IF(Proc[[#This Row],[Author]]="Marcela Urrego",VLOOKUP(LEFT(Proc[[#This Row],[Requested]],1),Table3[#All],2,0),VLOOKUP(Proc[[#This Row],[Author]],Table4[],2,0))</f>
        <v>LS</v>
      </c>
      <c r="L1570" s="85" t="s">
        <v>2563</v>
      </c>
      <c r="M1570" s="86">
        <v>45797.153009259258</v>
      </c>
      <c r="N1570" s="87"/>
      <c r="O1570" s="87"/>
      <c r="P1570" s="86" t="str">
        <f ca="1">IF(Proc[[#This Row],[DaysAgeing]]&gt;5,"yep","on track")</f>
        <v>yep</v>
      </c>
      <c r="Q1570" s="3">
        <f ca="1">IF(Proc[[#This Row],[DateClosed]]="",ABS(NETWORKDAYS(Proc[[#This Row],[DateOpened]],TODAY()))-1,ABS(NETWORKDAYS(Proc[[#This Row],[DateOpened]],Proc[[#This Row],[DateClosed]]))-1)</f>
        <v>153</v>
      </c>
      <c r="R1570" s="86" t="s">
        <v>551</v>
      </c>
      <c r="S1570" s="85"/>
    </row>
    <row r="1571" spans="1:19" hidden="1">
      <c r="A1571" s="89" t="s">
        <v>3357</v>
      </c>
      <c r="B1571" s="149" t="str">
        <f>IFERROR(VLOOKUP(Proc[[#This Row],[App]],Table2[],3,0),"open")</f>
        <v>ok</v>
      </c>
      <c r="C1571" s="89" t="s">
        <v>369</v>
      </c>
      <c r="D1571" t="s">
        <v>3365</v>
      </c>
      <c r="E1571" s="89" t="s">
        <v>3358</v>
      </c>
      <c r="F1571" s="117" t="s">
        <v>3358</v>
      </c>
      <c r="G1571" s="89" t="s">
        <v>400</v>
      </c>
      <c r="H1571" s="85" t="str">
        <f>IF(Proc[[#This Row],[type]]="LFF (MDG-F)",MID(Proc[[#This Row],[Obj]],13,10),"")</f>
        <v/>
      </c>
      <c r="I1571" s="89"/>
      <c r="J1571" s="85" t="b">
        <f>Proc[[#This Row],[Requested]]=Proc[[#This Row],[CurrentParent]]</f>
        <v>1</v>
      </c>
      <c r="K1571" s="144" t="str">
        <f>IF(Proc[[#This Row],[Author]]="Marcela Urrego",VLOOKUP(LEFT(Proc[[#This Row],[Requested]],1),Table3[#All],2,0),VLOOKUP(Proc[[#This Row],[Author]],Table4[],2,0))</f>
        <v>LS</v>
      </c>
      <c r="L1571" s="85" t="s">
        <v>2563</v>
      </c>
      <c r="M1571" s="86">
        <v>45797.153009259258</v>
      </c>
      <c r="N1571" s="87"/>
      <c r="O1571" s="87"/>
      <c r="P1571" s="86" t="str">
        <f ca="1">IF(Proc[[#This Row],[DaysAgeing]]&gt;5,"yep","on track")</f>
        <v>yep</v>
      </c>
      <c r="Q1571" s="3">
        <f ca="1">IF(Proc[[#This Row],[DateClosed]]="",ABS(NETWORKDAYS(Proc[[#This Row],[DateOpened]],TODAY()))-1,ABS(NETWORKDAYS(Proc[[#This Row],[DateOpened]],Proc[[#This Row],[DateClosed]]))-1)</f>
        <v>153</v>
      </c>
      <c r="R1571" s="86" t="s">
        <v>551</v>
      </c>
      <c r="S1571" s="85"/>
    </row>
    <row r="1572" spans="1:19" hidden="1">
      <c r="A1572" s="89" t="s">
        <v>3357</v>
      </c>
      <c r="B1572" s="149" t="str">
        <f>IFERROR(VLOOKUP(Proc[[#This Row],[App]],Table2[],3,0),"open")</f>
        <v>ok</v>
      </c>
      <c r="C1572" s="89" t="s">
        <v>369</v>
      </c>
      <c r="D1572" t="s">
        <v>3366</v>
      </c>
      <c r="E1572" s="89" t="s">
        <v>3358</v>
      </c>
      <c r="F1572" s="117" t="s">
        <v>3358</v>
      </c>
      <c r="G1572" s="89" t="s">
        <v>400</v>
      </c>
      <c r="H1572" s="85" t="str">
        <f>IF(Proc[[#This Row],[type]]="LFF (MDG-F)",MID(Proc[[#This Row],[Obj]],13,10),"")</f>
        <v/>
      </c>
      <c r="I1572" s="89"/>
      <c r="J1572" s="85" t="b">
        <f>Proc[[#This Row],[Requested]]=Proc[[#This Row],[CurrentParent]]</f>
        <v>1</v>
      </c>
      <c r="K1572" s="144" t="str">
        <f>IF(Proc[[#This Row],[Author]]="Marcela Urrego",VLOOKUP(LEFT(Proc[[#This Row],[Requested]],1),Table3[#All],2,0),VLOOKUP(Proc[[#This Row],[Author]],Table4[],2,0))</f>
        <v>LS</v>
      </c>
      <c r="L1572" s="85" t="s">
        <v>2563</v>
      </c>
      <c r="M1572" s="86">
        <v>45797.153009259258</v>
      </c>
      <c r="N1572" s="87"/>
      <c r="O1572" s="87"/>
      <c r="P1572" s="86" t="str">
        <f ca="1">IF(Proc[[#This Row],[DaysAgeing]]&gt;5,"yep","on track")</f>
        <v>yep</v>
      </c>
      <c r="Q1572" s="3">
        <f ca="1">IF(Proc[[#This Row],[DateClosed]]="",ABS(NETWORKDAYS(Proc[[#This Row],[DateOpened]],TODAY()))-1,ABS(NETWORKDAYS(Proc[[#This Row],[DateOpened]],Proc[[#This Row],[DateClosed]]))-1)</f>
        <v>153</v>
      </c>
      <c r="R1572" s="86" t="s">
        <v>551</v>
      </c>
      <c r="S1572" s="85"/>
    </row>
    <row r="1573" spans="1:19" hidden="1">
      <c r="A1573" t="s">
        <v>3368</v>
      </c>
      <c r="B1573" s="149" t="str">
        <f>IFERROR(VLOOKUP(Proc[[#This Row],[App]],Table2[],3,0),"open")</f>
        <v>ok</v>
      </c>
      <c r="C1573" s="89" t="s">
        <v>369</v>
      </c>
      <c r="D1573" t="s">
        <v>3369</v>
      </c>
      <c r="E1573" t="s">
        <v>3371</v>
      </c>
      <c r="F1573" s="117" t="s">
        <v>3371</v>
      </c>
      <c r="G1573" s="89" t="s">
        <v>400</v>
      </c>
      <c r="H1573" s="85" t="str">
        <f>IF(Proc[[#This Row],[type]]="LFF (MDG-F)",MID(Proc[[#This Row],[Obj]],13,10),"")</f>
        <v/>
      </c>
      <c r="J1573" s="85" t="b">
        <f>Proc[[#This Row],[Requested]]=Proc[[#This Row],[CurrentParent]]</f>
        <v>1</v>
      </c>
      <c r="K1573" s="144" t="str">
        <f>IF(Proc[[#This Row],[Author]]="Marcela Urrego",VLOOKUP(LEFT(Proc[[#This Row],[Requested]],1),Table3[#All],2,0),VLOOKUP(Proc[[#This Row],[Author]],Table4[],2,0))</f>
        <v>MGF</v>
      </c>
      <c r="L1573" s="85" t="s">
        <v>2563</v>
      </c>
      <c r="M1573" s="87">
        <v>45798.525590277779</v>
      </c>
      <c r="N1573" s="87">
        <v>45804</v>
      </c>
      <c r="O1573" s="87">
        <v>45804</v>
      </c>
      <c r="P1573" s="90" t="str">
        <f ca="1">IF(Proc[[#This Row],[DaysAgeing]]&gt;5,"yep","on track")</f>
        <v>on track</v>
      </c>
      <c r="Q1573" s="3">
        <f ca="1">IF(Proc[[#This Row],[DateClosed]]="",ABS(NETWORKDAYS(Proc[[#This Row],[DateOpened]],TODAY()))-1,ABS(NETWORKDAYS(Proc[[#This Row],[DateOpened]],Proc[[#This Row],[DateClosed]]))-1)</f>
        <v>4</v>
      </c>
      <c r="R1573" s="89" t="s">
        <v>515</v>
      </c>
      <c r="S1573" s="85"/>
    </row>
    <row r="1574" spans="1:19" hidden="1">
      <c r="A1574" s="89" t="s">
        <v>3368</v>
      </c>
      <c r="B1574" s="149" t="str">
        <f>IFERROR(VLOOKUP(Proc[[#This Row],[App]],Table2[],3,0),"open")</f>
        <v>ok</v>
      </c>
      <c r="C1574" s="89" t="s">
        <v>369</v>
      </c>
      <c r="D1574" t="s">
        <v>3370</v>
      </c>
      <c r="E1574" t="s">
        <v>3372</v>
      </c>
      <c r="F1574" s="117" t="s">
        <v>3372</v>
      </c>
      <c r="G1574" s="89" t="s">
        <v>400</v>
      </c>
      <c r="H1574" s="85" t="str">
        <f>IF(Proc[[#This Row],[type]]="LFF (MDG-F)",MID(Proc[[#This Row],[Obj]],13,10),"")</f>
        <v/>
      </c>
      <c r="J1574" s="85" t="b">
        <f>Proc[[#This Row],[Requested]]=Proc[[#This Row],[CurrentParent]]</f>
        <v>1</v>
      </c>
      <c r="K1574" s="144" t="str">
        <f>IF(Proc[[#This Row],[Author]]="Marcela Urrego",VLOOKUP(LEFT(Proc[[#This Row],[Requested]],1),Table3[#All],2,0),VLOOKUP(Proc[[#This Row],[Author]],Table4[],2,0))</f>
        <v>MGF</v>
      </c>
      <c r="L1574" s="85" t="s">
        <v>2563</v>
      </c>
      <c r="M1574" s="87">
        <v>45798.525590277779</v>
      </c>
      <c r="N1574" s="87">
        <v>45804</v>
      </c>
      <c r="O1574" s="87">
        <v>45804</v>
      </c>
      <c r="P1574" s="90" t="str">
        <f ca="1">IF(Proc[[#This Row],[DaysAgeing]]&gt;5,"yep","on track")</f>
        <v>on track</v>
      </c>
      <c r="Q1574" s="3">
        <f ca="1">IF(Proc[[#This Row],[DateClosed]]="",ABS(NETWORKDAYS(Proc[[#This Row],[DateOpened]],TODAY()))-1,ABS(NETWORKDAYS(Proc[[#This Row],[DateOpened]],Proc[[#This Row],[DateClosed]]))-1)</f>
        <v>4</v>
      </c>
      <c r="R1574" s="89" t="s">
        <v>515</v>
      </c>
      <c r="S1574" s="85"/>
    </row>
    <row r="1575" spans="1:19" hidden="1">
      <c r="A1575" t="s">
        <v>3374</v>
      </c>
      <c r="B1575" s="149" t="str">
        <f>IFERROR(VLOOKUP(Proc[[#This Row],[App]],Table2[],3,0),"open")</f>
        <v>ok</v>
      </c>
      <c r="C1575" s="89" t="s">
        <v>369</v>
      </c>
      <c r="D1575" t="s">
        <v>3373</v>
      </c>
      <c r="E1575" t="s">
        <v>480</v>
      </c>
      <c r="F1575" s="117" t="s">
        <v>480</v>
      </c>
      <c r="G1575" t="s">
        <v>400</v>
      </c>
      <c r="H1575" s="85" t="str">
        <f>IF(Proc[[#This Row],[type]]="LFF (MDG-F)",MID(Proc[[#This Row],[Obj]],13,10),"")</f>
        <v/>
      </c>
      <c r="J1575" s="85" t="b">
        <f>Proc[[#This Row],[Requested]]=Proc[[#This Row],[CurrentParent]]</f>
        <v>1</v>
      </c>
      <c r="K1575" s="144" t="str">
        <f>IF(Proc[[#This Row],[Author]]="Marcela Urrego",VLOOKUP(LEFT(Proc[[#This Row],[Requested]],1),Table3[#All],2,0),VLOOKUP(Proc[[#This Row],[Author]],Table4[],2,0))</f>
        <v>LS</v>
      </c>
      <c r="L1575" s="85" t="s">
        <v>2563</v>
      </c>
      <c r="M1575" s="87">
        <v>45798.593923611108</v>
      </c>
      <c r="N1575" s="87">
        <v>45804</v>
      </c>
      <c r="O1575" s="87">
        <v>45804</v>
      </c>
      <c r="P1575" s="90" t="str">
        <f ca="1">IF(Proc[[#This Row],[DaysAgeing]]&gt;5,"yep","on track")</f>
        <v>on track</v>
      </c>
      <c r="Q1575" s="3">
        <f ca="1">IF(Proc[[#This Row],[DateClosed]]="",ABS(NETWORKDAYS(Proc[[#This Row],[DateOpened]],TODAY()))-1,ABS(NETWORKDAYS(Proc[[#This Row],[DateOpened]],Proc[[#This Row],[DateClosed]]))-1)</f>
        <v>4</v>
      </c>
      <c r="R1575" s="90" t="s">
        <v>972</v>
      </c>
      <c r="S1575" s="85"/>
    </row>
    <row r="1576" spans="1:19" hidden="1">
      <c r="A1576" t="s">
        <v>3375</v>
      </c>
      <c r="B1576" s="149" t="str">
        <f>IFERROR(VLOOKUP(Proc[[#This Row],[App]],Table2[],3,0),"open")</f>
        <v>ok</v>
      </c>
      <c r="C1576" s="89" t="s">
        <v>369</v>
      </c>
      <c r="D1576" t="s">
        <v>3376</v>
      </c>
      <c r="E1576" t="s">
        <v>3377</v>
      </c>
      <c r="F1576" s="117" t="s">
        <v>3377</v>
      </c>
      <c r="G1576" t="s">
        <v>400</v>
      </c>
      <c r="H1576" s="85" t="str">
        <f>IF(Proc[[#This Row],[type]]="LFF (MDG-F)",MID(Proc[[#This Row],[Obj]],13,10),"")</f>
        <v/>
      </c>
      <c r="J1576" s="85" t="b">
        <f>Proc[[#This Row],[Requested]]=Proc[[#This Row],[CurrentParent]]</f>
        <v>1</v>
      </c>
      <c r="K1576" s="144" t="str">
        <f>IF(Proc[[#This Row],[Author]]="Marcela Urrego",VLOOKUP(LEFT(Proc[[#This Row],[Requested]],1),Table3[#All],2,0),VLOOKUP(Proc[[#This Row],[Author]],Table4[],2,0))</f>
        <v>HC</v>
      </c>
      <c r="L1576" s="85" t="s">
        <v>2563</v>
      </c>
      <c r="M1576" s="87">
        <v>45800.417442129627</v>
      </c>
      <c r="N1576" s="87">
        <v>45806</v>
      </c>
      <c r="O1576" s="87">
        <v>45806</v>
      </c>
      <c r="P1576" s="90" t="str">
        <f ca="1">IF(Proc[[#This Row],[DaysAgeing]]&gt;5,"yep","on track")</f>
        <v>on track</v>
      </c>
      <c r="Q1576" s="3">
        <f ca="1">IF(Proc[[#This Row],[DateClosed]]="",ABS(NETWORKDAYS(Proc[[#This Row],[DateOpened]],TODAY()))-1,ABS(NETWORKDAYS(Proc[[#This Row],[DateOpened]],Proc[[#This Row],[DateClosed]]))-1)</f>
        <v>4</v>
      </c>
      <c r="R1576" s="90" t="s">
        <v>410</v>
      </c>
      <c r="S1576" s="85"/>
    </row>
    <row r="1577" spans="1:19" hidden="1">
      <c r="A1577" t="s">
        <v>3380</v>
      </c>
      <c r="B1577" s="149" t="str">
        <f>IFERROR(VLOOKUP(Proc[[#This Row],[App]],Table2[],3,0),"open")</f>
        <v>ok</v>
      </c>
      <c r="C1577" s="89" t="s">
        <v>369</v>
      </c>
      <c r="D1577" t="s">
        <v>3378</v>
      </c>
      <c r="E1577" t="s">
        <v>2509</v>
      </c>
      <c r="F1577" s="117" t="s">
        <v>2509</v>
      </c>
      <c r="G1577" t="s">
        <v>406</v>
      </c>
      <c r="H1577" s="85" t="str">
        <f>IF(Proc[[#This Row],[type]]="LFF (MDG-F)",MID(Proc[[#This Row],[Obj]],13,10),"")</f>
        <v>DE20538638</v>
      </c>
      <c r="I1577" t="s">
        <v>3383</v>
      </c>
      <c r="J1577" s="85" t="b">
        <f>Proc[[#This Row],[Requested]]=Proc[[#This Row],[CurrentParent]]</f>
        <v>1</v>
      </c>
      <c r="K1577" s="144" t="str">
        <f>IF(Proc[[#This Row],[Author]]="Marcela Urrego",VLOOKUP(LEFT(Proc[[#This Row],[Requested]],1),Table3[#All],2,0),VLOOKUP(Proc[[#This Row],[Author]],Table4[],2,0))</f>
        <v>MGF</v>
      </c>
      <c r="L1577" s="85" t="s">
        <v>2563</v>
      </c>
      <c r="M1577" s="87">
        <v>45800.33829861111</v>
      </c>
      <c r="N1577" s="87">
        <v>45806</v>
      </c>
      <c r="O1577" s="87">
        <v>45806</v>
      </c>
      <c r="P1577" s="90" t="str">
        <f ca="1">IF(Proc[[#This Row],[DaysAgeing]]&gt;5,"yep","on track")</f>
        <v>on track</v>
      </c>
      <c r="Q1577" s="3">
        <f ca="1">IF(Proc[[#This Row],[DateClosed]]="",ABS(NETWORKDAYS(Proc[[#This Row],[DateOpened]],TODAY()))-1,ABS(NETWORKDAYS(Proc[[#This Row],[DateOpened]],Proc[[#This Row],[DateClosed]]))-1)</f>
        <v>4</v>
      </c>
      <c r="R1577" s="90" t="s">
        <v>481</v>
      </c>
      <c r="S1577" s="85"/>
    </row>
    <row r="1578" spans="1:19" hidden="1">
      <c r="A1578" s="89" t="s">
        <v>3380</v>
      </c>
      <c r="B1578" s="149" t="str">
        <f>IFERROR(VLOOKUP(Proc[[#This Row],[App]],Table2[],3,0),"open")</f>
        <v>ok</v>
      </c>
      <c r="C1578" s="89" t="s">
        <v>369</v>
      </c>
      <c r="D1578" t="s">
        <v>3379</v>
      </c>
      <c r="E1578" t="s">
        <v>2509</v>
      </c>
      <c r="F1578" s="117" t="s">
        <v>2509</v>
      </c>
      <c r="G1578" s="89" t="s">
        <v>406</v>
      </c>
      <c r="H1578" s="85" t="str">
        <f>IF(Proc[[#This Row],[type]]="LFF (MDG-F)",MID(Proc[[#This Row],[Obj]],13,10),"")</f>
        <v>DE10538638</v>
      </c>
      <c r="I1578" s="89" t="s">
        <v>3383</v>
      </c>
      <c r="J1578" s="85" t="b">
        <f>Proc[[#This Row],[Requested]]=Proc[[#This Row],[CurrentParent]]</f>
        <v>1</v>
      </c>
      <c r="K1578" s="144" t="str">
        <f>IF(Proc[[#This Row],[Author]]="Marcela Urrego",VLOOKUP(LEFT(Proc[[#This Row],[Requested]],1),Table3[#All],2,0),VLOOKUP(Proc[[#This Row],[Author]],Table4[],2,0))</f>
        <v>MGF</v>
      </c>
      <c r="L1578" s="85" t="s">
        <v>2563</v>
      </c>
      <c r="M1578" s="87">
        <v>45800.33829861111</v>
      </c>
      <c r="N1578" s="87">
        <v>45806</v>
      </c>
      <c r="O1578" s="87">
        <v>45806</v>
      </c>
      <c r="P1578" s="90" t="str">
        <f ca="1">IF(Proc[[#This Row],[DaysAgeing]]&gt;5,"yep","on track")</f>
        <v>on track</v>
      </c>
      <c r="Q1578" s="3">
        <f ca="1">IF(Proc[[#This Row],[DateClosed]]="",ABS(NETWORKDAYS(Proc[[#This Row],[DateOpened]],TODAY()))-1,ABS(NETWORKDAYS(Proc[[#This Row],[DateOpened]],Proc[[#This Row],[DateClosed]]))-1)</f>
        <v>4</v>
      </c>
      <c r="R1578" s="90" t="s">
        <v>481</v>
      </c>
      <c r="S1578" s="85"/>
    </row>
    <row r="1579" spans="1:19" hidden="1">
      <c r="A1579" t="s">
        <v>3384</v>
      </c>
      <c r="B1579" s="149" t="str">
        <f>IFERROR(VLOOKUP(Proc[[#This Row],[App]],Table2[],3,0),"open")</f>
        <v>ok</v>
      </c>
      <c r="C1579" s="89" t="s">
        <v>369</v>
      </c>
      <c r="D1579" t="s">
        <v>3385</v>
      </c>
      <c r="E1579" t="s">
        <v>3394</v>
      </c>
      <c r="F1579" s="117" t="s">
        <v>3394</v>
      </c>
      <c r="G1579" s="89" t="s">
        <v>400</v>
      </c>
      <c r="H1579" s="85" t="str">
        <f>IF(Proc[[#This Row],[type]]="LFF (MDG-F)",MID(Proc[[#This Row],[Obj]],13,10),"")</f>
        <v/>
      </c>
      <c r="J1579" s="85" t="b">
        <f>Proc[[#This Row],[Requested]]=Proc[[#This Row],[CurrentParent]]</f>
        <v>1</v>
      </c>
      <c r="K1579" s="144" t="str">
        <f>IF(Proc[[#This Row],[Author]]="Marcela Urrego",VLOOKUP(LEFT(Proc[[#This Row],[Requested]],1),Table3[#All],2,0),VLOOKUP(Proc[[#This Row],[Author]],Table4[],2,0))</f>
        <v>HC</v>
      </c>
      <c r="L1579" s="85" t="s">
        <v>2563</v>
      </c>
      <c r="M1579" s="87">
        <v>45800.37945601852</v>
      </c>
      <c r="N1579" s="87">
        <v>45804</v>
      </c>
      <c r="O1579" s="87">
        <v>45804</v>
      </c>
      <c r="P1579" s="90" t="str">
        <f ca="1">IF(Proc[[#This Row],[DaysAgeing]]&gt;5,"yep","on track")</f>
        <v>on track</v>
      </c>
      <c r="Q1579" s="3">
        <f ca="1">IF(Proc[[#This Row],[DateClosed]]="",ABS(NETWORKDAYS(Proc[[#This Row],[DateOpened]],TODAY()))-1,ABS(NETWORKDAYS(Proc[[#This Row],[DateOpened]],Proc[[#This Row],[DateClosed]]))-1)</f>
        <v>2</v>
      </c>
      <c r="R1579" s="90" t="s">
        <v>410</v>
      </c>
      <c r="S1579" s="85"/>
    </row>
    <row r="1580" spans="1:19" hidden="1">
      <c r="A1580" s="89" t="s">
        <v>3384</v>
      </c>
      <c r="B1580" s="149" t="str">
        <f>IFERROR(VLOOKUP(Proc[[#This Row],[App]],Table2[],3,0),"open")</f>
        <v>ok</v>
      </c>
      <c r="C1580" s="89" t="s">
        <v>369</v>
      </c>
      <c r="D1580" t="s">
        <v>3386</v>
      </c>
      <c r="E1580" t="s">
        <v>3377</v>
      </c>
      <c r="F1580" s="117" t="s">
        <v>3377</v>
      </c>
      <c r="G1580" s="89" t="s">
        <v>400</v>
      </c>
      <c r="H1580" s="85" t="str">
        <f>IF(Proc[[#This Row],[type]]="LFF (MDG-F)",MID(Proc[[#This Row],[Obj]],13,10),"")</f>
        <v/>
      </c>
      <c r="J1580" s="85" t="b">
        <f>Proc[[#This Row],[Requested]]=Proc[[#This Row],[CurrentParent]]</f>
        <v>1</v>
      </c>
      <c r="K1580" s="144" t="str">
        <f>IF(Proc[[#This Row],[Author]]="Marcela Urrego",VLOOKUP(LEFT(Proc[[#This Row],[Requested]],1),Table3[#All],2,0),VLOOKUP(Proc[[#This Row],[Author]],Table4[],2,0))</f>
        <v>HC</v>
      </c>
      <c r="L1580" s="85" t="s">
        <v>2563</v>
      </c>
      <c r="M1580" s="87">
        <v>45800.37945601852</v>
      </c>
      <c r="N1580" s="87">
        <v>45804</v>
      </c>
      <c r="O1580" s="87">
        <v>45804</v>
      </c>
      <c r="P1580" s="90" t="str">
        <f ca="1">IF(Proc[[#This Row],[DaysAgeing]]&gt;5,"yep","on track")</f>
        <v>on track</v>
      </c>
      <c r="Q1580" s="3">
        <f ca="1">IF(Proc[[#This Row],[DateClosed]]="",ABS(NETWORKDAYS(Proc[[#This Row],[DateOpened]],TODAY()))-1,ABS(NETWORKDAYS(Proc[[#This Row],[DateOpened]],Proc[[#This Row],[DateClosed]]))-1)</f>
        <v>2</v>
      </c>
      <c r="R1580" s="90" t="s">
        <v>410</v>
      </c>
      <c r="S1580" s="85"/>
    </row>
    <row r="1581" spans="1:19" hidden="1">
      <c r="A1581" s="89" t="s">
        <v>3384</v>
      </c>
      <c r="B1581" s="149" t="str">
        <f>IFERROR(VLOOKUP(Proc[[#This Row],[App]],Table2[],3,0),"open")</f>
        <v>ok</v>
      </c>
      <c r="C1581" s="89" t="s">
        <v>369</v>
      </c>
      <c r="D1581" t="s">
        <v>3387</v>
      </c>
      <c r="E1581" t="s">
        <v>3377</v>
      </c>
      <c r="F1581" s="117" t="s">
        <v>3377</v>
      </c>
      <c r="G1581" s="89" t="s">
        <v>400</v>
      </c>
      <c r="H1581" s="85" t="str">
        <f>IF(Proc[[#This Row],[type]]="LFF (MDG-F)",MID(Proc[[#This Row],[Obj]],13,10),"")</f>
        <v/>
      </c>
      <c r="J1581" s="85" t="b">
        <f>Proc[[#This Row],[Requested]]=Proc[[#This Row],[CurrentParent]]</f>
        <v>1</v>
      </c>
      <c r="K1581" s="144" t="str">
        <f>IF(Proc[[#This Row],[Author]]="Marcela Urrego",VLOOKUP(LEFT(Proc[[#This Row],[Requested]],1),Table3[#All],2,0),VLOOKUP(Proc[[#This Row],[Author]],Table4[],2,0))</f>
        <v>HC</v>
      </c>
      <c r="L1581" s="85" t="s">
        <v>2563</v>
      </c>
      <c r="M1581" s="87">
        <v>45800.37945601852</v>
      </c>
      <c r="N1581" s="87">
        <v>45804</v>
      </c>
      <c r="O1581" s="87">
        <v>45804</v>
      </c>
      <c r="P1581" s="90" t="str">
        <f ca="1">IF(Proc[[#This Row],[DaysAgeing]]&gt;5,"yep","on track")</f>
        <v>on track</v>
      </c>
      <c r="Q1581" s="3">
        <f ca="1">IF(Proc[[#This Row],[DateClosed]]="",ABS(NETWORKDAYS(Proc[[#This Row],[DateOpened]],TODAY()))-1,ABS(NETWORKDAYS(Proc[[#This Row],[DateOpened]],Proc[[#This Row],[DateClosed]]))-1)</f>
        <v>2</v>
      </c>
      <c r="R1581" s="90" t="s">
        <v>410</v>
      </c>
      <c r="S1581" s="85"/>
    </row>
    <row r="1582" spans="1:19" hidden="1">
      <c r="A1582" s="89" t="s">
        <v>3384</v>
      </c>
      <c r="B1582" s="149" t="str">
        <f>IFERROR(VLOOKUP(Proc[[#This Row],[App]],Table2[],3,0),"open")</f>
        <v>ok</v>
      </c>
      <c r="C1582" s="89" t="s">
        <v>369</v>
      </c>
      <c r="D1582" t="s">
        <v>3388</v>
      </c>
      <c r="E1582" t="s">
        <v>3377</v>
      </c>
      <c r="F1582" s="117" t="s">
        <v>3377</v>
      </c>
      <c r="G1582" s="89" t="s">
        <v>400</v>
      </c>
      <c r="H1582" s="85" t="str">
        <f>IF(Proc[[#This Row],[type]]="LFF (MDG-F)",MID(Proc[[#This Row],[Obj]],13,10),"")</f>
        <v/>
      </c>
      <c r="J1582" s="85" t="b">
        <f>Proc[[#This Row],[Requested]]=Proc[[#This Row],[CurrentParent]]</f>
        <v>1</v>
      </c>
      <c r="K1582" s="144" t="str">
        <f>IF(Proc[[#This Row],[Author]]="Marcela Urrego",VLOOKUP(LEFT(Proc[[#This Row],[Requested]],1),Table3[#All],2,0),VLOOKUP(Proc[[#This Row],[Author]],Table4[],2,0))</f>
        <v>HC</v>
      </c>
      <c r="L1582" s="85" t="s">
        <v>2563</v>
      </c>
      <c r="M1582" s="87">
        <v>45800.37945601852</v>
      </c>
      <c r="N1582" s="87">
        <v>45804</v>
      </c>
      <c r="O1582" s="87">
        <v>45804</v>
      </c>
      <c r="P1582" s="90" t="str">
        <f ca="1">IF(Proc[[#This Row],[DaysAgeing]]&gt;5,"yep","on track")</f>
        <v>on track</v>
      </c>
      <c r="Q1582" s="3">
        <f ca="1">IF(Proc[[#This Row],[DateClosed]]="",ABS(NETWORKDAYS(Proc[[#This Row],[DateOpened]],TODAY()))-1,ABS(NETWORKDAYS(Proc[[#This Row],[DateOpened]],Proc[[#This Row],[DateClosed]]))-1)</f>
        <v>2</v>
      </c>
      <c r="R1582" s="90" t="s">
        <v>410</v>
      </c>
      <c r="S1582" s="85"/>
    </row>
    <row r="1583" spans="1:19" hidden="1">
      <c r="A1583" s="89" t="s">
        <v>3384</v>
      </c>
      <c r="B1583" s="149" t="str">
        <f>IFERROR(VLOOKUP(Proc[[#This Row],[App]],Table2[],3,0),"open")</f>
        <v>ok</v>
      </c>
      <c r="C1583" s="89" t="s">
        <v>369</v>
      </c>
      <c r="D1583" t="s">
        <v>3389</v>
      </c>
      <c r="E1583" t="s">
        <v>3377</v>
      </c>
      <c r="F1583" s="117" t="s">
        <v>3377</v>
      </c>
      <c r="G1583" s="89" t="s">
        <v>400</v>
      </c>
      <c r="H1583" s="85" t="str">
        <f>IF(Proc[[#This Row],[type]]="LFF (MDG-F)",MID(Proc[[#This Row],[Obj]],13,10),"")</f>
        <v/>
      </c>
      <c r="J1583" s="85" t="b">
        <f>Proc[[#This Row],[Requested]]=Proc[[#This Row],[CurrentParent]]</f>
        <v>1</v>
      </c>
      <c r="K1583" s="144" t="str">
        <f>IF(Proc[[#This Row],[Author]]="Marcela Urrego",VLOOKUP(LEFT(Proc[[#This Row],[Requested]],1),Table3[#All],2,0),VLOOKUP(Proc[[#This Row],[Author]],Table4[],2,0))</f>
        <v>HC</v>
      </c>
      <c r="L1583" s="85" t="s">
        <v>2563</v>
      </c>
      <c r="M1583" s="87">
        <v>45800.37945601852</v>
      </c>
      <c r="N1583" s="87">
        <v>45804</v>
      </c>
      <c r="O1583" s="87">
        <v>45804</v>
      </c>
      <c r="P1583" s="90" t="str">
        <f ca="1">IF(Proc[[#This Row],[DaysAgeing]]&gt;5,"yep","on track")</f>
        <v>on track</v>
      </c>
      <c r="Q1583" s="3">
        <f ca="1">IF(Proc[[#This Row],[DateClosed]]="",ABS(NETWORKDAYS(Proc[[#This Row],[DateOpened]],TODAY()))-1,ABS(NETWORKDAYS(Proc[[#This Row],[DateOpened]],Proc[[#This Row],[DateClosed]]))-1)</f>
        <v>2</v>
      </c>
      <c r="R1583" s="90" t="s">
        <v>410</v>
      </c>
      <c r="S1583" s="85"/>
    </row>
    <row r="1584" spans="1:19" hidden="1">
      <c r="A1584" s="89" t="s">
        <v>3384</v>
      </c>
      <c r="B1584" s="149" t="str">
        <f>IFERROR(VLOOKUP(Proc[[#This Row],[App]],Table2[],3,0),"open")</f>
        <v>ok</v>
      </c>
      <c r="C1584" s="89" t="s">
        <v>369</v>
      </c>
      <c r="D1584" t="s">
        <v>3390</v>
      </c>
      <c r="E1584" t="s">
        <v>3377</v>
      </c>
      <c r="F1584" s="117" t="s">
        <v>3377</v>
      </c>
      <c r="G1584" s="89" t="s">
        <v>400</v>
      </c>
      <c r="H1584" s="85" t="str">
        <f>IF(Proc[[#This Row],[type]]="LFF (MDG-F)",MID(Proc[[#This Row],[Obj]],13,10),"")</f>
        <v/>
      </c>
      <c r="J1584" s="85" t="b">
        <f>Proc[[#This Row],[Requested]]=Proc[[#This Row],[CurrentParent]]</f>
        <v>1</v>
      </c>
      <c r="K1584" s="144" t="str">
        <f>IF(Proc[[#This Row],[Author]]="Marcela Urrego",VLOOKUP(LEFT(Proc[[#This Row],[Requested]],1),Table3[#All],2,0),VLOOKUP(Proc[[#This Row],[Author]],Table4[],2,0))</f>
        <v>HC</v>
      </c>
      <c r="L1584" s="85" t="s">
        <v>2563</v>
      </c>
      <c r="M1584" s="87">
        <v>45800.37945601852</v>
      </c>
      <c r="N1584" s="87">
        <v>45804</v>
      </c>
      <c r="O1584" s="87">
        <v>45804</v>
      </c>
      <c r="P1584" s="90" t="str">
        <f ca="1">IF(Proc[[#This Row],[DaysAgeing]]&gt;5,"yep","on track")</f>
        <v>on track</v>
      </c>
      <c r="Q1584" s="3">
        <f ca="1">IF(Proc[[#This Row],[DateClosed]]="",ABS(NETWORKDAYS(Proc[[#This Row],[DateOpened]],TODAY()))-1,ABS(NETWORKDAYS(Proc[[#This Row],[DateOpened]],Proc[[#This Row],[DateClosed]]))-1)</f>
        <v>2</v>
      </c>
      <c r="R1584" s="90" t="s">
        <v>410</v>
      </c>
      <c r="S1584" s="85"/>
    </row>
    <row r="1585" spans="1:19" hidden="1">
      <c r="A1585" s="89" t="s">
        <v>3384</v>
      </c>
      <c r="B1585" s="149" t="str">
        <f>IFERROR(VLOOKUP(Proc[[#This Row],[App]],Table2[],3,0),"open")</f>
        <v>ok</v>
      </c>
      <c r="C1585" s="89" t="s">
        <v>369</v>
      </c>
      <c r="D1585" t="s">
        <v>3391</v>
      </c>
      <c r="E1585" t="s">
        <v>3377</v>
      </c>
      <c r="F1585" s="117" t="s">
        <v>3377</v>
      </c>
      <c r="G1585" s="89" t="s">
        <v>400</v>
      </c>
      <c r="H1585" s="85" t="str">
        <f>IF(Proc[[#This Row],[type]]="LFF (MDG-F)",MID(Proc[[#This Row],[Obj]],13,10),"")</f>
        <v/>
      </c>
      <c r="J1585" s="85" t="b">
        <f>Proc[[#This Row],[Requested]]=Proc[[#This Row],[CurrentParent]]</f>
        <v>1</v>
      </c>
      <c r="K1585" s="144" t="str">
        <f>IF(Proc[[#This Row],[Author]]="Marcela Urrego",VLOOKUP(LEFT(Proc[[#This Row],[Requested]],1),Table3[#All],2,0),VLOOKUP(Proc[[#This Row],[Author]],Table4[],2,0))</f>
        <v>HC</v>
      </c>
      <c r="L1585" s="85" t="s">
        <v>2563</v>
      </c>
      <c r="M1585" s="87">
        <v>45800.37945601852</v>
      </c>
      <c r="N1585" s="87">
        <v>45804</v>
      </c>
      <c r="O1585" s="87">
        <v>45804</v>
      </c>
      <c r="P1585" s="90" t="str">
        <f ca="1">IF(Proc[[#This Row],[DaysAgeing]]&gt;5,"yep","on track")</f>
        <v>on track</v>
      </c>
      <c r="Q1585" s="3">
        <f ca="1">IF(Proc[[#This Row],[DateClosed]]="",ABS(NETWORKDAYS(Proc[[#This Row],[DateOpened]],TODAY()))-1,ABS(NETWORKDAYS(Proc[[#This Row],[DateOpened]],Proc[[#This Row],[DateClosed]]))-1)</f>
        <v>2</v>
      </c>
      <c r="R1585" s="90" t="s">
        <v>410</v>
      </c>
      <c r="S1585" s="85"/>
    </row>
    <row r="1586" spans="1:19" hidden="1">
      <c r="A1586" s="89" t="s">
        <v>3384</v>
      </c>
      <c r="B1586" s="149" t="str">
        <f>IFERROR(VLOOKUP(Proc[[#This Row],[App]],Table2[],3,0),"open")</f>
        <v>ok</v>
      </c>
      <c r="C1586" s="89" t="s">
        <v>369</v>
      </c>
      <c r="D1586" t="s">
        <v>3392</v>
      </c>
      <c r="E1586" t="s">
        <v>3377</v>
      </c>
      <c r="F1586" s="117" t="s">
        <v>3377</v>
      </c>
      <c r="G1586" s="89" t="s">
        <v>400</v>
      </c>
      <c r="H1586" s="85" t="str">
        <f>IF(Proc[[#This Row],[type]]="LFF (MDG-F)",MID(Proc[[#This Row],[Obj]],13,10),"")</f>
        <v/>
      </c>
      <c r="J1586" s="85" t="b">
        <f>Proc[[#This Row],[Requested]]=Proc[[#This Row],[CurrentParent]]</f>
        <v>1</v>
      </c>
      <c r="K1586" s="144" t="str">
        <f>IF(Proc[[#This Row],[Author]]="Marcela Urrego",VLOOKUP(LEFT(Proc[[#This Row],[Requested]],1),Table3[#All],2,0),VLOOKUP(Proc[[#This Row],[Author]],Table4[],2,0))</f>
        <v>HC</v>
      </c>
      <c r="L1586" s="85" t="s">
        <v>2563</v>
      </c>
      <c r="M1586" s="87">
        <v>45800.37945601852</v>
      </c>
      <c r="N1586" s="87">
        <v>45804</v>
      </c>
      <c r="O1586" s="87">
        <v>45804</v>
      </c>
      <c r="P1586" s="90" t="str">
        <f ca="1">IF(Proc[[#This Row],[DaysAgeing]]&gt;5,"yep","on track")</f>
        <v>on track</v>
      </c>
      <c r="Q1586" s="3">
        <f ca="1">IF(Proc[[#This Row],[DateClosed]]="",ABS(NETWORKDAYS(Proc[[#This Row],[DateOpened]],TODAY()))-1,ABS(NETWORKDAYS(Proc[[#This Row],[DateOpened]],Proc[[#This Row],[DateClosed]]))-1)</f>
        <v>2</v>
      </c>
      <c r="R1586" s="90" t="s">
        <v>410</v>
      </c>
      <c r="S1586" s="85"/>
    </row>
    <row r="1587" spans="1:19" hidden="1">
      <c r="A1587" s="89" t="s">
        <v>3384</v>
      </c>
      <c r="B1587" s="149" t="str">
        <f>IFERROR(VLOOKUP(Proc[[#This Row],[App]],Table2[],3,0),"open")</f>
        <v>ok</v>
      </c>
      <c r="C1587" s="89" t="s">
        <v>369</v>
      </c>
      <c r="D1587" t="s">
        <v>3393</v>
      </c>
      <c r="E1587" t="s">
        <v>3377</v>
      </c>
      <c r="F1587" s="117" t="s">
        <v>3377</v>
      </c>
      <c r="G1587" s="89" t="s">
        <v>400</v>
      </c>
      <c r="H1587" s="85" t="str">
        <f>IF(Proc[[#This Row],[type]]="LFF (MDG-F)",MID(Proc[[#This Row],[Obj]],13,10),"")</f>
        <v/>
      </c>
      <c r="J1587" s="85" t="b">
        <f>Proc[[#This Row],[Requested]]=Proc[[#This Row],[CurrentParent]]</f>
        <v>1</v>
      </c>
      <c r="K1587" s="144" t="str">
        <f>IF(Proc[[#This Row],[Author]]="Marcela Urrego",VLOOKUP(LEFT(Proc[[#This Row],[Requested]],1),Table3[#All],2,0),VLOOKUP(Proc[[#This Row],[Author]],Table4[],2,0))</f>
        <v>HC</v>
      </c>
      <c r="L1587" s="85" t="s">
        <v>2563</v>
      </c>
      <c r="M1587" s="87">
        <v>45800.37945601852</v>
      </c>
      <c r="N1587" s="87">
        <v>45804</v>
      </c>
      <c r="O1587" s="87">
        <v>45804</v>
      </c>
      <c r="P1587" s="90" t="str">
        <f ca="1">IF(Proc[[#This Row],[DaysAgeing]]&gt;5,"yep","on track")</f>
        <v>on track</v>
      </c>
      <c r="Q1587" s="3">
        <f ca="1">IF(Proc[[#This Row],[DateClosed]]="",ABS(NETWORKDAYS(Proc[[#This Row],[DateOpened]],TODAY()))-1,ABS(NETWORKDAYS(Proc[[#This Row],[DateOpened]],Proc[[#This Row],[DateClosed]]))-1)</f>
        <v>2</v>
      </c>
      <c r="R1587" s="90" t="s">
        <v>410</v>
      </c>
      <c r="S1587" s="85"/>
    </row>
    <row r="1588" spans="1:19" hidden="1">
      <c r="A1588" t="s">
        <v>3395</v>
      </c>
      <c r="B1588" s="149" t="str">
        <f>IFERROR(VLOOKUP(Proc[[#This Row],[App]],Table2[],3,0),"open")</f>
        <v>ok</v>
      </c>
      <c r="C1588" s="89" t="s">
        <v>369</v>
      </c>
      <c r="D1588" t="s">
        <v>2947</v>
      </c>
      <c r="E1588" t="s">
        <v>3396</v>
      </c>
      <c r="F1588" s="117" t="s">
        <v>3396</v>
      </c>
      <c r="G1588" s="89" t="s">
        <v>400</v>
      </c>
      <c r="H1588" s="85" t="str">
        <f>IF(Proc[[#This Row],[type]]="LFF (MDG-F)",MID(Proc[[#This Row],[Obj]],13,10),"")</f>
        <v/>
      </c>
      <c r="J1588" s="85" t="b">
        <f>Proc[[#This Row],[Requested]]=Proc[[#This Row],[CurrentParent]]</f>
        <v>1</v>
      </c>
      <c r="K1588" s="144" t="str">
        <f>IF(Proc[[#This Row],[Author]]="Marcela Urrego",VLOOKUP(LEFT(Proc[[#This Row],[Requested]],1),Table3[#All],2,0),VLOOKUP(Proc[[#This Row],[Author]],Table4[],2,0))</f>
        <v>HC</v>
      </c>
      <c r="L1588" s="85" t="s">
        <v>2563</v>
      </c>
      <c r="M1588" s="87">
        <v>45800.450960648152</v>
      </c>
      <c r="N1588" s="87">
        <v>45804</v>
      </c>
      <c r="O1588" s="87">
        <v>45804</v>
      </c>
      <c r="P1588" s="90" t="str">
        <f ca="1">IF(Proc[[#This Row],[DaysAgeing]]&gt;5,"yep","on track")</f>
        <v>on track</v>
      </c>
      <c r="Q1588" s="3">
        <f ca="1">IF(Proc[[#This Row],[DateClosed]]="",ABS(NETWORKDAYS(Proc[[#This Row],[DateOpened]],TODAY()))-1,ABS(NETWORKDAYS(Proc[[#This Row],[DateOpened]],Proc[[#This Row],[DateClosed]]))-1)</f>
        <v>2</v>
      </c>
      <c r="R1588" s="90" t="s">
        <v>410</v>
      </c>
      <c r="S1588" s="85"/>
    </row>
    <row r="1589" spans="1:19" hidden="1">
      <c r="A1589" s="89" t="s">
        <v>3395</v>
      </c>
      <c r="B1589" s="149" t="str">
        <f>IFERROR(VLOOKUP(Proc[[#This Row],[App]],Table2[],3,0),"open")</f>
        <v>ok</v>
      </c>
      <c r="C1589" s="89" t="s">
        <v>369</v>
      </c>
      <c r="D1589" t="s">
        <v>2948</v>
      </c>
      <c r="E1589" t="s">
        <v>3396</v>
      </c>
      <c r="F1589" s="117" t="s">
        <v>3396</v>
      </c>
      <c r="G1589" s="89" t="s">
        <v>400</v>
      </c>
      <c r="H1589" s="85" t="str">
        <f>IF(Proc[[#This Row],[type]]="LFF (MDG-F)",MID(Proc[[#This Row],[Obj]],13,10),"")</f>
        <v/>
      </c>
      <c r="J1589" s="85" t="b">
        <f>Proc[[#This Row],[Requested]]=Proc[[#This Row],[CurrentParent]]</f>
        <v>1</v>
      </c>
      <c r="K1589" s="144" t="str">
        <f>IF(Proc[[#This Row],[Author]]="Marcela Urrego",VLOOKUP(LEFT(Proc[[#This Row],[Requested]],1),Table3[#All],2,0),VLOOKUP(Proc[[#This Row],[Author]],Table4[],2,0))</f>
        <v>HC</v>
      </c>
      <c r="L1589" s="85" t="s">
        <v>2563</v>
      </c>
      <c r="M1589" s="87">
        <v>45800.450960648152</v>
      </c>
      <c r="N1589" s="87">
        <v>45804</v>
      </c>
      <c r="O1589" s="87">
        <v>45804</v>
      </c>
      <c r="P1589" s="90" t="str">
        <f ca="1">IF(Proc[[#This Row],[DaysAgeing]]&gt;5,"yep","on track")</f>
        <v>on track</v>
      </c>
      <c r="Q1589" s="3">
        <f ca="1">IF(Proc[[#This Row],[DateClosed]]="",ABS(NETWORKDAYS(Proc[[#This Row],[DateOpened]],TODAY()))-1,ABS(NETWORKDAYS(Proc[[#This Row],[DateOpened]],Proc[[#This Row],[DateClosed]]))-1)</f>
        <v>2</v>
      </c>
      <c r="R1589" s="90" t="s">
        <v>410</v>
      </c>
      <c r="S1589" s="85"/>
    </row>
    <row r="1590" spans="1:19" hidden="1">
      <c r="A1590" s="89" t="s">
        <v>3395</v>
      </c>
      <c r="B1590" s="149" t="str">
        <f>IFERROR(VLOOKUP(Proc[[#This Row],[App]],Table2[],3,0),"open")</f>
        <v>ok</v>
      </c>
      <c r="C1590" s="89" t="s">
        <v>369</v>
      </c>
      <c r="D1590" t="s">
        <v>2949</v>
      </c>
      <c r="E1590" t="s">
        <v>3397</v>
      </c>
      <c r="F1590" s="117" t="s">
        <v>3397</v>
      </c>
      <c r="G1590" s="89" t="s">
        <v>400</v>
      </c>
      <c r="H1590" s="85" t="str">
        <f>IF(Proc[[#This Row],[type]]="LFF (MDG-F)",MID(Proc[[#This Row],[Obj]],13,10),"")</f>
        <v/>
      </c>
      <c r="J1590" s="85" t="b">
        <f>Proc[[#This Row],[Requested]]=Proc[[#This Row],[CurrentParent]]</f>
        <v>1</v>
      </c>
      <c r="K1590" s="144" t="str">
        <f>IF(Proc[[#This Row],[Author]]="Marcela Urrego",VLOOKUP(LEFT(Proc[[#This Row],[Requested]],1),Table3[#All],2,0),VLOOKUP(Proc[[#This Row],[Author]],Table4[],2,0))</f>
        <v>HC</v>
      </c>
      <c r="L1590" s="85" t="s">
        <v>2563</v>
      </c>
      <c r="M1590" s="87">
        <v>45800.450960648152</v>
      </c>
      <c r="N1590" s="87">
        <v>45804</v>
      </c>
      <c r="O1590" s="87">
        <v>45804</v>
      </c>
      <c r="P1590" s="90" t="str">
        <f ca="1">IF(Proc[[#This Row],[DaysAgeing]]&gt;5,"yep","on track")</f>
        <v>on track</v>
      </c>
      <c r="Q1590" s="3">
        <f ca="1">IF(Proc[[#This Row],[DateClosed]]="",ABS(NETWORKDAYS(Proc[[#This Row],[DateOpened]],TODAY()))-1,ABS(NETWORKDAYS(Proc[[#This Row],[DateOpened]],Proc[[#This Row],[DateClosed]]))-1)</f>
        <v>2</v>
      </c>
      <c r="R1590" s="90" t="s">
        <v>410</v>
      </c>
      <c r="S1590" s="85"/>
    </row>
    <row r="1591" spans="1:19" hidden="1">
      <c r="A1591" s="89" t="s">
        <v>3395</v>
      </c>
      <c r="B1591" s="149" t="str">
        <f>IFERROR(VLOOKUP(Proc[[#This Row],[App]],Table2[],3,0),"open")</f>
        <v>ok</v>
      </c>
      <c r="C1591" s="89" t="s">
        <v>369</v>
      </c>
      <c r="D1591" t="s">
        <v>2950</v>
      </c>
      <c r="E1591" t="s">
        <v>3397</v>
      </c>
      <c r="F1591" s="117" t="s">
        <v>3397</v>
      </c>
      <c r="G1591" s="89" t="s">
        <v>400</v>
      </c>
      <c r="H1591" s="85" t="str">
        <f>IF(Proc[[#This Row],[type]]="LFF (MDG-F)",MID(Proc[[#This Row],[Obj]],13,10),"")</f>
        <v/>
      </c>
      <c r="J1591" s="85" t="b">
        <f>Proc[[#This Row],[Requested]]=Proc[[#This Row],[CurrentParent]]</f>
        <v>1</v>
      </c>
      <c r="K1591" s="144" t="str">
        <f>IF(Proc[[#This Row],[Author]]="Marcela Urrego",VLOOKUP(LEFT(Proc[[#This Row],[Requested]],1),Table3[#All],2,0),VLOOKUP(Proc[[#This Row],[Author]],Table4[],2,0))</f>
        <v>HC</v>
      </c>
      <c r="L1591" s="85" t="s">
        <v>2563</v>
      </c>
      <c r="M1591" s="87">
        <v>45800.450960648152</v>
      </c>
      <c r="N1591" s="87">
        <v>45804</v>
      </c>
      <c r="O1591" s="87">
        <v>45804</v>
      </c>
      <c r="P1591" s="90" t="str">
        <f ca="1">IF(Proc[[#This Row],[DaysAgeing]]&gt;5,"yep","on track")</f>
        <v>on track</v>
      </c>
      <c r="Q1591" s="3">
        <f ca="1">IF(Proc[[#This Row],[DateClosed]]="",ABS(NETWORKDAYS(Proc[[#This Row],[DateOpened]],TODAY()))-1,ABS(NETWORKDAYS(Proc[[#This Row],[DateOpened]],Proc[[#This Row],[DateClosed]]))-1)</f>
        <v>2</v>
      </c>
      <c r="R1591" s="90" t="s">
        <v>410</v>
      </c>
      <c r="S1591" s="85"/>
    </row>
    <row r="1592" spans="1:19" hidden="1">
      <c r="A1592" s="89" t="s">
        <v>3395</v>
      </c>
      <c r="B1592" s="149" t="str">
        <f>IFERROR(VLOOKUP(Proc[[#This Row],[App]],Table2[],3,0),"open")</f>
        <v>ok</v>
      </c>
      <c r="C1592" s="89" t="s">
        <v>369</v>
      </c>
      <c r="D1592" t="s">
        <v>2951</v>
      </c>
      <c r="E1592" t="s">
        <v>3397</v>
      </c>
      <c r="F1592" s="117" t="s">
        <v>3397</v>
      </c>
      <c r="G1592" s="89" t="s">
        <v>400</v>
      </c>
      <c r="H1592" s="85" t="str">
        <f>IF(Proc[[#This Row],[type]]="LFF (MDG-F)",MID(Proc[[#This Row],[Obj]],13,10),"")</f>
        <v/>
      </c>
      <c r="J1592" s="85" t="b">
        <f>Proc[[#This Row],[Requested]]=Proc[[#This Row],[CurrentParent]]</f>
        <v>1</v>
      </c>
      <c r="K1592" s="144" t="str">
        <f>IF(Proc[[#This Row],[Author]]="Marcela Urrego",VLOOKUP(LEFT(Proc[[#This Row],[Requested]],1),Table3[#All],2,0),VLOOKUP(Proc[[#This Row],[Author]],Table4[],2,0))</f>
        <v>HC</v>
      </c>
      <c r="L1592" s="85" t="s">
        <v>2563</v>
      </c>
      <c r="M1592" s="87">
        <v>45800.450960648152</v>
      </c>
      <c r="N1592" s="87">
        <v>45804</v>
      </c>
      <c r="O1592" s="87">
        <v>45804</v>
      </c>
      <c r="P1592" s="90" t="str">
        <f ca="1">IF(Proc[[#This Row],[DaysAgeing]]&gt;5,"yep","on track")</f>
        <v>on track</v>
      </c>
      <c r="Q1592" s="3">
        <f ca="1">IF(Proc[[#This Row],[DateClosed]]="",ABS(NETWORKDAYS(Proc[[#This Row],[DateOpened]],TODAY()))-1,ABS(NETWORKDAYS(Proc[[#This Row],[DateOpened]],Proc[[#This Row],[DateClosed]]))-1)</f>
        <v>2</v>
      </c>
      <c r="R1592" s="90" t="s">
        <v>410</v>
      </c>
      <c r="S1592" s="85"/>
    </row>
    <row r="1593" spans="1:19" hidden="1">
      <c r="A1593" s="89" t="s">
        <v>3395</v>
      </c>
      <c r="B1593" s="149" t="str">
        <f>IFERROR(VLOOKUP(Proc[[#This Row],[App]],Table2[],3,0),"open")</f>
        <v>ok</v>
      </c>
      <c r="C1593" s="89" t="s">
        <v>369</v>
      </c>
      <c r="D1593" t="s">
        <v>2952</v>
      </c>
      <c r="E1593" t="s">
        <v>3398</v>
      </c>
      <c r="F1593" s="117" t="s">
        <v>3398</v>
      </c>
      <c r="G1593" s="89" t="s">
        <v>400</v>
      </c>
      <c r="H1593" s="85" t="str">
        <f>IF(Proc[[#This Row],[type]]="LFF (MDG-F)",MID(Proc[[#This Row],[Obj]],13,10),"")</f>
        <v/>
      </c>
      <c r="J1593" s="85" t="b">
        <f>Proc[[#This Row],[Requested]]=Proc[[#This Row],[CurrentParent]]</f>
        <v>1</v>
      </c>
      <c r="K1593" s="144" t="str">
        <f>IF(Proc[[#This Row],[Author]]="Marcela Urrego",VLOOKUP(LEFT(Proc[[#This Row],[Requested]],1),Table3[#All],2,0),VLOOKUP(Proc[[#This Row],[Author]],Table4[],2,0))</f>
        <v>HC</v>
      </c>
      <c r="L1593" s="85" t="s">
        <v>2563</v>
      </c>
      <c r="M1593" s="87">
        <v>45800.450960648152</v>
      </c>
      <c r="N1593" s="87">
        <v>45804</v>
      </c>
      <c r="O1593" s="87">
        <v>45804</v>
      </c>
      <c r="P1593" s="90" t="str">
        <f ca="1">IF(Proc[[#This Row],[DaysAgeing]]&gt;5,"yep","on track")</f>
        <v>on track</v>
      </c>
      <c r="Q1593" s="3">
        <f ca="1">IF(Proc[[#This Row],[DateClosed]]="",ABS(NETWORKDAYS(Proc[[#This Row],[DateOpened]],TODAY()))-1,ABS(NETWORKDAYS(Proc[[#This Row],[DateOpened]],Proc[[#This Row],[DateClosed]]))-1)</f>
        <v>2</v>
      </c>
      <c r="R1593" s="90" t="s">
        <v>410</v>
      </c>
      <c r="S1593" s="85"/>
    </row>
    <row r="1594" spans="1:19" hidden="1">
      <c r="A1594" s="89" t="s">
        <v>3395</v>
      </c>
      <c r="B1594" s="149" t="str">
        <f>IFERROR(VLOOKUP(Proc[[#This Row],[App]],Table2[],3,0),"open")</f>
        <v>ok</v>
      </c>
      <c r="C1594" s="89" t="s">
        <v>369</v>
      </c>
      <c r="D1594" t="s">
        <v>2953</v>
      </c>
      <c r="E1594" t="s">
        <v>3396</v>
      </c>
      <c r="F1594" s="117" t="s">
        <v>3396</v>
      </c>
      <c r="G1594" s="89" t="s">
        <v>400</v>
      </c>
      <c r="H1594" s="85" t="str">
        <f>IF(Proc[[#This Row],[type]]="LFF (MDG-F)",MID(Proc[[#This Row],[Obj]],13,10),"")</f>
        <v/>
      </c>
      <c r="J1594" s="85" t="b">
        <f>Proc[[#This Row],[Requested]]=Proc[[#This Row],[CurrentParent]]</f>
        <v>1</v>
      </c>
      <c r="K1594" s="144" t="str">
        <f>IF(Proc[[#This Row],[Author]]="Marcela Urrego",VLOOKUP(LEFT(Proc[[#This Row],[Requested]],1),Table3[#All],2,0),VLOOKUP(Proc[[#This Row],[Author]],Table4[],2,0))</f>
        <v>HC</v>
      </c>
      <c r="L1594" s="85" t="s">
        <v>2563</v>
      </c>
      <c r="M1594" s="87">
        <v>45800.450960648152</v>
      </c>
      <c r="N1594" s="87">
        <v>45804</v>
      </c>
      <c r="O1594" s="87">
        <v>45804</v>
      </c>
      <c r="P1594" s="90" t="str">
        <f ca="1">IF(Proc[[#This Row],[DaysAgeing]]&gt;5,"yep","on track")</f>
        <v>on track</v>
      </c>
      <c r="Q1594" s="3">
        <f ca="1">IF(Proc[[#This Row],[DateClosed]]="",ABS(NETWORKDAYS(Proc[[#This Row],[DateOpened]],TODAY()))-1,ABS(NETWORKDAYS(Proc[[#This Row],[DateOpened]],Proc[[#This Row],[DateClosed]]))-1)</f>
        <v>2</v>
      </c>
      <c r="R1594" s="90" t="s">
        <v>410</v>
      </c>
      <c r="S1594" s="85"/>
    </row>
    <row r="1595" spans="1:19" hidden="1">
      <c r="A1595" s="89" t="s">
        <v>3395</v>
      </c>
      <c r="B1595" s="149" t="str">
        <f>IFERROR(VLOOKUP(Proc[[#This Row],[App]],Table2[],3,0),"open")</f>
        <v>ok</v>
      </c>
      <c r="C1595" s="89" t="s">
        <v>369</v>
      </c>
      <c r="D1595" t="s">
        <v>2954</v>
      </c>
      <c r="E1595" t="s">
        <v>3396</v>
      </c>
      <c r="F1595" s="117" t="s">
        <v>3396</v>
      </c>
      <c r="G1595" s="89" t="s">
        <v>400</v>
      </c>
      <c r="H1595" s="85" t="str">
        <f>IF(Proc[[#This Row],[type]]="LFF (MDG-F)",MID(Proc[[#This Row],[Obj]],13,10),"")</f>
        <v/>
      </c>
      <c r="J1595" s="85" t="b">
        <f>Proc[[#This Row],[Requested]]=Proc[[#This Row],[CurrentParent]]</f>
        <v>1</v>
      </c>
      <c r="K1595" s="144" t="str">
        <f>IF(Proc[[#This Row],[Author]]="Marcela Urrego",VLOOKUP(LEFT(Proc[[#This Row],[Requested]],1),Table3[#All],2,0),VLOOKUP(Proc[[#This Row],[Author]],Table4[],2,0))</f>
        <v>HC</v>
      </c>
      <c r="L1595" s="85" t="s">
        <v>2563</v>
      </c>
      <c r="M1595" s="87">
        <v>45800.450960648152</v>
      </c>
      <c r="N1595" s="87">
        <v>45804</v>
      </c>
      <c r="O1595" s="87">
        <v>45804</v>
      </c>
      <c r="P1595" s="90" t="str">
        <f ca="1">IF(Proc[[#This Row],[DaysAgeing]]&gt;5,"yep","on track")</f>
        <v>on track</v>
      </c>
      <c r="Q1595" s="3">
        <f ca="1">IF(Proc[[#This Row],[DateClosed]]="",ABS(NETWORKDAYS(Proc[[#This Row],[DateOpened]],TODAY()))-1,ABS(NETWORKDAYS(Proc[[#This Row],[DateOpened]],Proc[[#This Row],[DateClosed]]))-1)</f>
        <v>2</v>
      </c>
      <c r="R1595" s="90" t="s">
        <v>410</v>
      </c>
      <c r="S1595" s="85"/>
    </row>
    <row r="1596" spans="1:19" hidden="1">
      <c r="A1596" s="89" t="s">
        <v>3395</v>
      </c>
      <c r="B1596" s="149" t="str">
        <f>IFERROR(VLOOKUP(Proc[[#This Row],[App]],Table2[],3,0),"open")</f>
        <v>ok</v>
      </c>
      <c r="C1596" s="89" t="s">
        <v>369</v>
      </c>
      <c r="D1596" t="s">
        <v>2955</v>
      </c>
      <c r="E1596" t="s">
        <v>3399</v>
      </c>
      <c r="F1596" s="117" t="s">
        <v>3399</v>
      </c>
      <c r="G1596" s="89" t="s">
        <v>400</v>
      </c>
      <c r="H1596" s="85" t="str">
        <f>IF(Proc[[#This Row],[type]]="LFF (MDG-F)",MID(Proc[[#This Row],[Obj]],13,10),"")</f>
        <v/>
      </c>
      <c r="J1596" s="85" t="b">
        <f>Proc[[#This Row],[Requested]]=Proc[[#This Row],[CurrentParent]]</f>
        <v>1</v>
      </c>
      <c r="K1596" s="144" t="str">
        <f>IF(Proc[[#This Row],[Author]]="Marcela Urrego",VLOOKUP(LEFT(Proc[[#This Row],[Requested]],1),Table3[#All],2,0),VLOOKUP(Proc[[#This Row],[Author]],Table4[],2,0))</f>
        <v>HC</v>
      </c>
      <c r="L1596" s="85" t="s">
        <v>2563</v>
      </c>
      <c r="M1596" s="87">
        <v>45800.450960648152</v>
      </c>
      <c r="N1596" s="87">
        <v>45804</v>
      </c>
      <c r="O1596" s="87">
        <v>45804</v>
      </c>
      <c r="P1596" s="90" t="str">
        <f ca="1">IF(Proc[[#This Row],[DaysAgeing]]&gt;5,"yep","on track")</f>
        <v>on track</v>
      </c>
      <c r="Q1596" s="3">
        <f ca="1">IF(Proc[[#This Row],[DateClosed]]="",ABS(NETWORKDAYS(Proc[[#This Row],[DateOpened]],TODAY()))-1,ABS(NETWORKDAYS(Proc[[#This Row],[DateOpened]],Proc[[#This Row],[DateClosed]]))-1)</f>
        <v>2</v>
      </c>
      <c r="R1596" s="90" t="s">
        <v>410</v>
      </c>
      <c r="S1596" s="85"/>
    </row>
    <row r="1597" spans="1:19" hidden="1">
      <c r="A1597" s="89" t="s">
        <v>3395</v>
      </c>
      <c r="B1597" s="149" t="str">
        <f>IFERROR(VLOOKUP(Proc[[#This Row],[App]],Table2[],3,0),"open")</f>
        <v>ok</v>
      </c>
      <c r="C1597" s="89" t="s">
        <v>369</v>
      </c>
      <c r="D1597" t="s">
        <v>2956</v>
      </c>
      <c r="E1597" t="s">
        <v>3399</v>
      </c>
      <c r="F1597" s="117" t="s">
        <v>3399</v>
      </c>
      <c r="G1597" s="89" t="s">
        <v>400</v>
      </c>
      <c r="H1597" s="85" t="str">
        <f>IF(Proc[[#This Row],[type]]="LFF (MDG-F)",MID(Proc[[#This Row],[Obj]],13,10),"")</f>
        <v/>
      </c>
      <c r="J1597" s="85" t="b">
        <f>Proc[[#This Row],[Requested]]=Proc[[#This Row],[CurrentParent]]</f>
        <v>1</v>
      </c>
      <c r="K1597" s="144" t="str">
        <f>IF(Proc[[#This Row],[Author]]="Marcela Urrego",VLOOKUP(LEFT(Proc[[#This Row],[Requested]],1),Table3[#All],2,0),VLOOKUP(Proc[[#This Row],[Author]],Table4[],2,0))</f>
        <v>HC</v>
      </c>
      <c r="L1597" s="85" t="s">
        <v>2563</v>
      </c>
      <c r="M1597" s="87">
        <v>45800.450960648152</v>
      </c>
      <c r="N1597" s="87">
        <v>45804</v>
      </c>
      <c r="O1597" s="87">
        <v>45804</v>
      </c>
      <c r="P1597" s="90" t="str">
        <f ca="1">IF(Proc[[#This Row],[DaysAgeing]]&gt;5,"yep","on track")</f>
        <v>on track</v>
      </c>
      <c r="Q1597" s="3">
        <f ca="1">IF(Proc[[#This Row],[DateClosed]]="",ABS(NETWORKDAYS(Proc[[#This Row],[DateOpened]],TODAY()))-1,ABS(NETWORKDAYS(Proc[[#This Row],[DateOpened]],Proc[[#This Row],[DateClosed]]))-1)</f>
        <v>2</v>
      </c>
      <c r="R1597" s="90" t="s">
        <v>410</v>
      </c>
      <c r="S1597" s="85"/>
    </row>
    <row r="1598" spans="1:19" hidden="1">
      <c r="A1598" s="89" t="s">
        <v>3395</v>
      </c>
      <c r="B1598" s="149" t="str">
        <f>IFERROR(VLOOKUP(Proc[[#This Row],[App]],Table2[],3,0),"open")</f>
        <v>ok</v>
      </c>
      <c r="C1598" s="89" t="s">
        <v>369</v>
      </c>
      <c r="D1598" t="s">
        <v>2957</v>
      </c>
      <c r="E1598" t="s">
        <v>3400</v>
      </c>
      <c r="F1598" s="117" t="s">
        <v>3400</v>
      </c>
      <c r="G1598" s="89" t="s">
        <v>400</v>
      </c>
      <c r="H1598" s="85" t="str">
        <f>IF(Proc[[#This Row],[type]]="LFF (MDG-F)",MID(Proc[[#This Row],[Obj]],13,10),"")</f>
        <v/>
      </c>
      <c r="J1598" s="85" t="b">
        <f>Proc[[#This Row],[Requested]]=Proc[[#This Row],[CurrentParent]]</f>
        <v>1</v>
      </c>
      <c r="K1598" s="144" t="str">
        <f>IF(Proc[[#This Row],[Author]]="Marcela Urrego",VLOOKUP(LEFT(Proc[[#This Row],[Requested]],1),Table3[#All],2,0),VLOOKUP(Proc[[#This Row],[Author]],Table4[],2,0))</f>
        <v>HC</v>
      </c>
      <c r="L1598" s="85" t="s">
        <v>2563</v>
      </c>
      <c r="M1598" s="87">
        <v>45800.450960648152</v>
      </c>
      <c r="N1598" s="87">
        <v>45804</v>
      </c>
      <c r="O1598" s="87">
        <v>45804</v>
      </c>
      <c r="P1598" s="90" t="str">
        <f ca="1">IF(Proc[[#This Row],[DaysAgeing]]&gt;5,"yep","on track")</f>
        <v>on track</v>
      </c>
      <c r="Q1598" s="3">
        <f ca="1">IF(Proc[[#This Row],[DateClosed]]="",ABS(NETWORKDAYS(Proc[[#This Row],[DateOpened]],TODAY()))-1,ABS(NETWORKDAYS(Proc[[#This Row],[DateOpened]],Proc[[#This Row],[DateClosed]]))-1)</f>
        <v>2</v>
      </c>
      <c r="R1598" s="90" t="s">
        <v>410</v>
      </c>
      <c r="S1598" s="85"/>
    </row>
    <row r="1599" spans="1:19" hidden="1">
      <c r="A1599" s="89" t="s">
        <v>3395</v>
      </c>
      <c r="B1599" s="149" t="str">
        <f>IFERROR(VLOOKUP(Proc[[#This Row],[App]],Table2[],3,0),"open")</f>
        <v>ok</v>
      </c>
      <c r="C1599" s="89" t="s">
        <v>369</v>
      </c>
      <c r="D1599" t="s">
        <v>2958</v>
      </c>
      <c r="E1599" t="s">
        <v>3400</v>
      </c>
      <c r="F1599" s="117" t="s">
        <v>3400</v>
      </c>
      <c r="G1599" s="89" t="s">
        <v>400</v>
      </c>
      <c r="H1599" s="85" t="str">
        <f>IF(Proc[[#This Row],[type]]="LFF (MDG-F)",MID(Proc[[#This Row],[Obj]],13,10),"")</f>
        <v/>
      </c>
      <c r="J1599" s="85" t="b">
        <f>Proc[[#This Row],[Requested]]=Proc[[#This Row],[CurrentParent]]</f>
        <v>1</v>
      </c>
      <c r="K1599" s="144" t="str">
        <f>IF(Proc[[#This Row],[Author]]="Marcela Urrego",VLOOKUP(LEFT(Proc[[#This Row],[Requested]],1),Table3[#All],2,0),VLOOKUP(Proc[[#This Row],[Author]],Table4[],2,0))</f>
        <v>HC</v>
      </c>
      <c r="L1599" s="85" t="s">
        <v>2563</v>
      </c>
      <c r="M1599" s="87">
        <v>45800.450960648152</v>
      </c>
      <c r="N1599" s="87">
        <v>45804</v>
      </c>
      <c r="O1599" s="87">
        <v>45804</v>
      </c>
      <c r="P1599" s="90" t="str">
        <f ca="1">IF(Proc[[#This Row],[DaysAgeing]]&gt;5,"yep","on track")</f>
        <v>on track</v>
      </c>
      <c r="Q1599" s="3">
        <f ca="1">IF(Proc[[#This Row],[DateClosed]]="",ABS(NETWORKDAYS(Proc[[#This Row],[DateOpened]],TODAY()))-1,ABS(NETWORKDAYS(Proc[[#This Row],[DateOpened]],Proc[[#This Row],[DateClosed]]))-1)</f>
        <v>2</v>
      </c>
      <c r="R1599" s="90" t="s">
        <v>410</v>
      </c>
      <c r="S1599" s="85"/>
    </row>
    <row r="1600" spans="1:19" hidden="1">
      <c r="A1600" s="89" t="s">
        <v>3395</v>
      </c>
      <c r="B1600" s="149" t="str">
        <f>IFERROR(VLOOKUP(Proc[[#This Row],[App]],Table2[],3,0),"open")</f>
        <v>ok</v>
      </c>
      <c r="C1600" s="89" t="s">
        <v>369</v>
      </c>
      <c r="D1600" t="s">
        <v>2959</v>
      </c>
      <c r="E1600" t="s">
        <v>3400</v>
      </c>
      <c r="F1600" s="117" t="s">
        <v>3400</v>
      </c>
      <c r="G1600" s="89" t="s">
        <v>400</v>
      </c>
      <c r="H1600" s="85" t="str">
        <f>IF(Proc[[#This Row],[type]]="LFF (MDG-F)",MID(Proc[[#This Row],[Obj]],13,10),"")</f>
        <v/>
      </c>
      <c r="J1600" s="85" t="b">
        <f>Proc[[#This Row],[Requested]]=Proc[[#This Row],[CurrentParent]]</f>
        <v>1</v>
      </c>
      <c r="K1600" s="144" t="str">
        <f>IF(Proc[[#This Row],[Author]]="Marcela Urrego",VLOOKUP(LEFT(Proc[[#This Row],[Requested]],1),Table3[#All],2,0),VLOOKUP(Proc[[#This Row],[Author]],Table4[],2,0))</f>
        <v>HC</v>
      </c>
      <c r="L1600" s="85" t="s">
        <v>2563</v>
      </c>
      <c r="M1600" s="87">
        <v>45800.450960648152</v>
      </c>
      <c r="N1600" s="87">
        <v>45804</v>
      </c>
      <c r="O1600" s="87">
        <v>45804</v>
      </c>
      <c r="P1600" s="90" t="str">
        <f ca="1">IF(Proc[[#This Row],[DaysAgeing]]&gt;5,"yep","on track")</f>
        <v>on track</v>
      </c>
      <c r="Q1600" s="3">
        <f ca="1">IF(Proc[[#This Row],[DateClosed]]="",ABS(NETWORKDAYS(Proc[[#This Row],[DateOpened]],TODAY()))-1,ABS(NETWORKDAYS(Proc[[#This Row],[DateOpened]],Proc[[#This Row],[DateClosed]]))-1)</f>
        <v>2</v>
      </c>
      <c r="R1600" s="90" t="s">
        <v>410</v>
      </c>
      <c r="S1600" s="85"/>
    </row>
    <row r="1601" spans="1:19" hidden="1">
      <c r="A1601" s="89" t="s">
        <v>3395</v>
      </c>
      <c r="B1601" s="149" t="str">
        <f>IFERROR(VLOOKUP(Proc[[#This Row],[App]],Table2[],3,0),"open")</f>
        <v>ok</v>
      </c>
      <c r="C1601" s="89" t="s">
        <v>369</v>
      </c>
      <c r="D1601" t="s">
        <v>2960</v>
      </c>
      <c r="E1601" t="s">
        <v>3400</v>
      </c>
      <c r="F1601" s="117" t="s">
        <v>3400</v>
      </c>
      <c r="G1601" s="89" t="s">
        <v>400</v>
      </c>
      <c r="H1601" s="85" t="str">
        <f>IF(Proc[[#This Row],[type]]="LFF (MDG-F)",MID(Proc[[#This Row],[Obj]],13,10),"")</f>
        <v/>
      </c>
      <c r="J1601" s="85" t="b">
        <f>Proc[[#This Row],[Requested]]=Proc[[#This Row],[CurrentParent]]</f>
        <v>1</v>
      </c>
      <c r="K1601" s="144" t="str">
        <f>IF(Proc[[#This Row],[Author]]="Marcela Urrego",VLOOKUP(LEFT(Proc[[#This Row],[Requested]],1),Table3[#All],2,0),VLOOKUP(Proc[[#This Row],[Author]],Table4[],2,0))</f>
        <v>HC</v>
      </c>
      <c r="L1601" s="85" t="s">
        <v>2563</v>
      </c>
      <c r="M1601" s="87">
        <v>45800.450960648152</v>
      </c>
      <c r="N1601" s="87">
        <v>45804</v>
      </c>
      <c r="O1601" s="87">
        <v>45804</v>
      </c>
      <c r="P1601" s="90" t="str">
        <f ca="1">IF(Proc[[#This Row],[DaysAgeing]]&gt;5,"yep","on track")</f>
        <v>on track</v>
      </c>
      <c r="Q1601" s="3">
        <f ca="1">IF(Proc[[#This Row],[DateClosed]]="",ABS(NETWORKDAYS(Proc[[#This Row],[DateOpened]],TODAY()))-1,ABS(NETWORKDAYS(Proc[[#This Row],[DateOpened]],Proc[[#This Row],[DateClosed]]))-1)</f>
        <v>2</v>
      </c>
      <c r="R1601" s="90" t="s">
        <v>410</v>
      </c>
      <c r="S1601" s="85"/>
    </row>
    <row r="1602" spans="1:19" hidden="1">
      <c r="A1602" s="89" t="s">
        <v>3395</v>
      </c>
      <c r="B1602" s="149" t="str">
        <f>IFERROR(VLOOKUP(Proc[[#This Row],[App]],Table2[],3,0),"open")</f>
        <v>ok</v>
      </c>
      <c r="C1602" s="89" t="s">
        <v>369</v>
      </c>
      <c r="D1602" t="s">
        <v>2961</v>
      </c>
      <c r="E1602" t="s">
        <v>3397</v>
      </c>
      <c r="F1602" s="117" t="s">
        <v>3397</v>
      </c>
      <c r="G1602" s="89" t="s">
        <v>400</v>
      </c>
      <c r="H1602" s="85" t="str">
        <f>IF(Proc[[#This Row],[type]]="LFF (MDG-F)",MID(Proc[[#This Row],[Obj]],13,10),"")</f>
        <v/>
      </c>
      <c r="J1602" s="85" t="b">
        <f>Proc[[#This Row],[Requested]]=Proc[[#This Row],[CurrentParent]]</f>
        <v>1</v>
      </c>
      <c r="K1602" s="144" t="str">
        <f>IF(Proc[[#This Row],[Author]]="Marcela Urrego",VLOOKUP(LEFT(Proc[[#This Row],[Requested]],1),Table3[#All],2,0),VLOOKUP(Proc[[#This Row],[Author]],Table4[],2,0))</f>
        <v>HC</v>
      </c>
      <c r="L1602" s="85" t="s">
        <v>2563</v>
      </c>
      <c r="M1602" s="87">
        <v>45800.450960648152</v>
      </c>
      <c r="N1602" s="87">
        <v>45804</v>
      </c>
      <c r="O1602" s="87">
        <v>45804</v>
      </c>
      <c r="P1602" s="90" t="str">
        <f ca="1">IF(Proc[[#This Row],[DaysAgeing]]&gt;5,"yep","on track")</f>
        <v>on track</v>
      </c>
      <c r="Q1602" s="3">
        <f ca="1">IF(Proc[[#This Row],[DateClosed]]="",ABS(NETWORKDAYS(Proc[[#This Row],[DateOpened]],TODAY()))-1,ABS(NETWORKDAYS(Proc[[#This Row],[DateOpened]],Proc[[#This Row],[DateClosed]]))-1)</f>
        <v>2</v>
      </c>
      <c r="R1602" s="90" t="s">
        <v>410</v>
      </c>
      <c r="S1602" s="85"/>
    </row>
    <row r="1603" spans="1:19" hidden="1">
      <c r="A1603" s="89" t="s">
        <v>3395</v>
      </c>
      <c r="B1603" s="149" t="str">
        <f>IFERROR(VLOOKUP(Proc[[#This Row],[App]],Table2[],3,0),"open")</f>
        <v>ok</v>
      </c>
      <c r="C1603" s="89" t="s">
        <v>369</v>
      </c>
      <c r="D1603" t="s">
        <v>2962</v>
      </c>
      <c r="E1603" t="s">
        <v>3397</v>
      </c>
      <c r="F1603" s="117" t="s">
        <v>3397</v>
      </c>
      <c r="G1603" s="89" t="s">
        <v>400</v>
      </c>
      <c r="H1603" s="85" t="str">
        <f>IF(Proc[[#This Row],[type]]="LFF (MDG-F)",MID(Proc[[#This Row],[Obj]],13,10),"")</f>
        <v/>
      </c>
      <c r="J1603" s="85" t="b">
        <f>Proc[[#This Row],[Requested]]=Proc[[#This Row],[CurrentParent]]</f>
        <v>1</v>
      </c>
      <c r="K1603" s="144" t="str">
        <f>IF(Proc[[#This Row],[Author]]="Marcela Urrego",VLOOKUP(LEFT(Proc[[#This Row],[Requested]],1),Table3[#All],2,0),VLOOKUP(Proc[[#This Row],[Author]],Table4[],2,0))</f>
        <v>HC</v>
      </c>
      <c r="L1603" s="85" t="s">
        <v>2563</v>
      </c>
      <c r="M1603" s="87">
        <v>45800.450960648152</v>
      </c>
      <c r="N1603" s="87">
        <v>45804</v>
      </c>
      <c r="O1603" s="87">
        <v>45804</v>
      </c>
      <c r="P1603" s="90" t="str">
        <f ca="1">IF(Proc[[#This Row],[DaysAgeing]]&gt;5,"yep","on track")</f>
        <v>on track</v>
      </c>
      <c r="Q1603" s="3">
        <f ca="1">IF(Proc[[#This Row],[DateClosed]]="",ABS(NETWORKDAYS(Proc[[#This Row],[DateOpened]],TODAY()))-1,ABS(NETWORKDAYS(Proc[[#This Row],[DateOpened]],Proc[[#This Row],[DateClosed]]))-1)</f>
        <v>2</v>
      </c>
      <c r="R1603" s="90" t="s">
        <v>410</v>
      </c>
      <c r="S1603" s="85"/>
    </row>
    <row r="1604" spans="1:19" hidden="1">
      <c r="A1604" s="89" t="s">
        <v>3395</v>
      </c>
      <c r="B1604" s="149" t="str">
        <f>IFERROR(VLOOKUP(Proc[[#This Row],[App]],Table2[],3,0),"open")</f>
        <v>ok</v>
      </c>
      <c r="C1604" s="89" t="s">
        <v>369</v>
      </c>
      <c r="D1604" t="s">
        <v>2963</v>
      </c>
      <c r="E1604" t="s">
        <v>3400</v>
      </c>
      <c r="F1604" s="117" t="s">
        <v>3400</v>
      </c>
      <c r="G1604" s="89" t="s">
        <v>400</v>
      </c>
      <c r="H1604" s="85" t="str">
        <f>IF(Proc[[#This Row],[type]]="LFF (MDG-F)",MID(Proc[[#This Row],[Obj]],13,10),"")</f>
        <v/>
      </c>
      <c r="J1604" s="85" t="b">
        <f>Proc[[#This Row],[Requested]]=Proc[[#This Row],[CurrentParent]]</f>
        <v>1</v>
      </c>
      <c r="K1604" s="144" t="str">
        <f>IF(Proc[[#This Row],[Author]]="Marcela Urrego",VLOOKUP(LEFT(Proc[[#This Row],[Requested]],1),Table3[#All],2,0),VLOOKUP(Proc[[#This Row],[Author]],Table4[],2,0))</f>
        <v>HC</v>
      </c>
      <c r="L1604" s="85" t="s">
        <v>2563</v>
      </c>
      <c r="M1604" s="87">
        <v>45800.450960648152</v>
      </c>
      <c r="N1604" s="87">
        <v>45804</v>
      </c>
      <c r="O1604" s="87">
        <v>45804</v>
      </c>
      <c r="P1604" s="90" t="str">
        <f ca="1">IF(Proc[[#This Row],[DaysAgeing]]&gt;5,"yep","on track")</f>
        <v>on track</v>
      </c>
      <c r="Q1604" s="3">
        <f ca="1">IF(Proc[[#This Row],[DateClosed]]="",ABS(NETWORKDAYS(Proc[[#This Row],[DateOpened]],TODAY()))-1,ABS(NETWORKDAYS(Proc[[#This Row],[DateOpened]],Proc[[#This Row],[DateClosed]]))-1)</f>
        <v>2</v>
      </c>
      <c r="R1604" s="90" t="s">
        <v>410</v>
      </c>
      <c r="S1604" s="85"/>
    </row>
    <row r="1605" spans="1:19" hidden="1">
      <c r="A1605" s="89" t="s">
        <v>3395</v>
      </c>
      <c r="B1605" s="149" t="str">
        <f>IFERROR(VLOOKUP(Proc[[#This Row],[App]],Table2[],3,0),"open")</f>
        <v>ok</v>
      </c>
      <c r="C1605" s="89" t="s">
        <v>369</v>
      </c>
      <c r="D1605" t="s">
        <v>2964</v>
      </c>
      <c r="E1605" t="s">
        <v>3400</v>
      </c>
      <c r="F1605" s="117" t="s">
        <v>3400</v>
      </c>
      <c r="G1605" s="89" t="s">
        <v>400</v>
      </c>
      <c r="H1605" s="85" t="str">
        <f>IF(Proc[[#This Row],[type]]="LFF (MDG-F)",MID(Proc[[#This Row],[Obj]],13,10),"")</f>
        <v/>
      </c>
      <c r="J1605" s="85" t="b">
        <f>Proc[[#This Row],[Requested]]=Proc[[#This Row],[CurrentParent]]</f>
        <v>1</v>
      </c>
      <c r="K1605" s="144" t="str">
        <f>IF(Proc[[#This Row],[Author]]="Marcela Urrego",VLOOKUP(LEFT(Proc[[#This Row],[Requested]],1),Table3[#All],2,0),VLOOKUP(Proc[[#This Row],[Author]],Table4[],2,0))</f>
        <v>HC</v>
      </c>
      <c r="L1605" s="85" t="s">
        <v>2563</v>
      </c>
      <c r="M1605" s="87">
        <v>45800.450960648152</v>
      </c>
      <c r="N1605" s="87">
        <v>45804</v>
      </c>
      <c r="O1605" s="87">
        <v>45804</v>
      </c>
      <c r="P1605" s="90" t="str">
        <f ca="1">IF(Proc[[#This Row],[DaysAgeing]]&gt;5,"yep","on track")</f>
        <v>on track</v>
      </c>
      <c r="Q1605" s="3">
        <f ca="1">IF(Proc[[#This Row],[DateClosed]]="",ABS(NETWORKDAYS(Proc[[#This Row],[DateOpened]],TODAY()))-1,ABS(NETWORKDAYS(Proc[[#This Row],[DateOpened]],Proc[[#This Row],[DateClosed]]))-1)</f>
        <v>2</v>
      </c>
      <c r="R1605" s="90" t="s">
        <v>410</v>
      </c>
      <c r="S1605" s="85"/>
    </row>
    <row r="1606" spans="1:19" hidden="1">
      <c r="A1606" s="89" t="s">
        <v>3395</v>
      </c>
      <c r="B1606" s="149" t="str">
        <f>IFERROR(VLOOKUP(Proc[[#This Row],[App]],Table2[],3,0),"open")</f>
        <v>ok</v>
      </c>
      <c r="C1606" s="89" t="s">
        <v>369</v>
      </c>
      <c r="D1606" t="s">
        <v>2965</v>
      </c>
      <c r="E1606" t="s">
        <v>3400</v>
      </c>
      <c r="F1606" s="117" t="s">
        <v>3400</v>
      </c>
      <c r="G1606" s="89" t="s">
        <v>400</v>
      </c>
      <c r="H1606" s="85" t="str">
        <f>IF(Proc[[#This Row],[type]]="LFF (MDG-F)",MID(Proc[[#This Row],[Obj]],13,10),"")</f>
        <v/>
      </c>
      <c r="J1606" s="85" t="b">
        <f>Proc[[#This Row],[Requested]]=Proc[[#This Row],[CurrentParent]]</f>
        <v>1</v>
      </c>
      <c r="K1606" s="144" t="str">
        <f>IF(Proc[[#This Row],[Author]]="Marcela Urrego",VLOOKUP(LEFT(Proc[[#This Row],[Requested]],1),Table3[#All],2,0),VLOOKUP(Proc[[#This Row],[Author]],Table4[],2,0))</f>
        <v>HC</v>
      </c>
      <c r="L1606" s="85" t="s">
        <v>2563</v>
      </c>
      <c r="M1606" s="87">
        <v>45800.450960648152</v>
      </c>
      <c r="N1606" s="87">
        <v>45804</v>
      </c>
      <c r="O1606" s="87">
        <v>45804</v>
      </c>
      <c r="P1606" s="90" t="str">
        <f ca="1">IF(Proc[[#This Row],[DaysAgeing]]&gt;5,"yep","on track")</f>
        <v>on track</v>
      </c>
      <c r="Q1606" s="3">
        <f ca="1">IF(Proc[[#This Row],[DateClosed]]="",ABS(NETWORKDAYS(Proc[[#This Row],[DateOpened]],TODAY()))-1,ABS(NETWORKDAYS(Proc[[#This Row],[DateOpened]],Proc[[#This Row],[DateClosed]]))-1)</f>
        <v>2</v>
      </c>
      <c r="R1606" s="90" t="s">
        <v>410</v>
      </c>
      <c r="S1606" s="85"/>
    </row>
    <row r="1607" spans="1:19" hidden="1">
      <c r="A1607" s="89" t="s">
        <v>3395</v>
      </c>
      <c r="B1607" s="149" t="str">
        <f>IFERROR(VLOOKUP(Proc[[#This Row],[App]],Table2[],3,0),"open")</f>
        <v>ok</v>
      </c>
      <c r="C1607" s="89" t="s">
        <v>369</v>
      </c>
      <c r="D1607" t="s">
        <v>2966</v>
      </c>
      <c r="E1607" t="s">
        <v>3401</v>
      </c>
      <c r="F1607" s="117" t="s">
        <v>3401</v>
      </c>
      <c r="G1607" s="89" t="s">
        <v>400</v>
      </c>
      <c r="H1607" s="85" t="str">
        <f>IF(Proc[[#This Row],[type]]="LFF (MDG-F)",MID(Proc[[#This Row],[Obj]],13,10),"")</f>
        <v/>
      </c>
      <c r="J1607" s="85" t="b">
        <f>Proc[[#This Row],[Requested]]=Proc[[#This Row],[CurrentParent]]</f>
        <v>1</v>
      </c>
      <c r="K1607" s="144" t="str">
        <f>IF(Proc[[#This Row],[Author]]="Marcela Urrego",VLOOKUP(LEFT(Proc[[#This Row],[Requested]],1),Table3[#All],2,0),VLOOKUP(Proc[[#This Row],[Author]],Table4[],2,0))</f>
        <v>HC</v>
      </c>
      <c r="L1607" s="85" t="s">
        <v>2563</v>
      </c>
      <c r="M1607" s="87">
        <v>45800.450960648152</v>
      </c>
      <c r="N1607" s="87">
        <v>45804</v>
      </c>
      <c r="O1607" s="87">
        <v>45804</v>
      </c>
      <c r="P1607" s="90" t="str">
        <f ca="1">IF(Proc[[#This Row],[DaysAgeing]]&gt;5,"yep","on track")</f>
        <v>on track</v>
      </c>
      <c r="Q1607" s="3">
        <f ca="1">IF(Proc[[#This Row],[DateClosed]]="",ABS(NETWORKDAYS(Proc[[#This Row],[DateOpened]],TODAY()))-1,ABS(NETWORKDAYS(Proc[[#This Row],[DateOpened]],Proc[[#This Row],[DateClosed]]))-1)</f>
        <v>2</v>
      </c>
      <c r="R1607" s="90" t="s">
        <v>410</v>
      </c>
      <c r="S1607" s="85"/>
    </row>
    <row r="1608" spans="1:19" hidden="1">
      <c r="A1608" s="89" t="s">
        <v>3395</v>
      </c>
      <c r="B1608" s="149" t="str">
        <f>IFERROR(VLOOKUP(Proc[[#This Row],[App]],Table2[],3,0),"open")</f>
        <v>ok</v>
      </c>
      <c r="C1608" s="89" t="s">
        <v>369</v>
      </c>
      <c r="D1608" t="s">
        <v>2967</v>
      </c>
      <c r="E1608" t="s">
        <v>3401</v>
      </c>
      <c r="F1608" s="117" t="s">
        <v>3401</v>
      </c>
      <c r="G1608" s="89" t="s">
        <v>400</v>
      </c>
      <c r="H1608" s="85" t="str">
        <f>IF(Proc[[#This Row],[type]]="LFF (MDG-F)",MID(Proc[[#This Row],[Obj]],13,10),"")</f>
        <v/>
      </c>
      <c r="J1608" s="85" t="b">
        <f>Proc[[#This Row],[Requested]]=Proc[[#This Row],[CurrentParent]]</f>
        <v>1</v>
      </c>
      <c r="K1608" s="144" t="str">
        <f>IF(Proc[[#This Row],[Author]]="Marcela Urrego",VLOOKUP(LEFT(Proc[[#This Row],[Requested]],1),Table3[#All],2,0),VLOOKUP(Proc[[#This Row],[Author]],Table4[],2,0))</f>
        <v>HC</v>
      </c>
      <c r="L1608" s="85" t="s">
        <v>2563</v>
      </c>
      <c r="M1608" s="87">
        <v>45800.450960648152</v>
      </c>
      <c r="N1608" s="87">
        <v>45804</v>
      </c>
      <c r="O1608" s="87">
        <v>45804</v>
      </c>
      <c r="P1608" s="90" t="str">
        <f ca="1">IF(Proc[[#This Row],[DaysAgeing]]&gt;5,"yep","on track")</f>
        <v>on track</v>
      </c>
      <c r="Q1608" s="3">
        <f ca="1">IF(Proc[[#This Row],[DateClosed]]="",ABS(NETWORKDAYS(Proc[[#This Row],[DateOpened]],TODAY()))-1,ABS(NETWORKDAYS(Proc[[#This Row],[DateOpened]],Proc[[#This Row],[DateClosed]]))-1)</f>
        <v>2</v>
      </c>
      <c r="R1608" s="90" t="s">
        <v>410</v>
      </c>
      <c r="S1608" s="85"/>
    </row>
    <row r="1609" spans="1:19" hidden="1">
      <c r="A1609" s="89" t="s">
        <v>3395</v>
      </c>
      <c r="B1609" s="149" t="str">
        <f>IFERROR(VLOOKUP(Proc[[#This Row],[App]],Table2[],3,0),"open")</f>
        <v>ok</v>
      </c>
      <c r="C1609" s="89" t="s">
        <v>369</v>
      </c>
      <c r="D1609" t="s">
        <v>2968</v>
      </c>
      <c r="E1609" t="s">
        <v>3401</v>
      </c>
      <c r="F1609" s="117" t="s">
        <v>3401</v>
      </c>
      <c r="G1609" s="89" t="s">
        <v>400</v>
      </c>
      <c r="H1609" s="85" t="str">
        <f>IF(Proc[[#This Row],[type]]="LFF (MDG-F)",MID(Proc[[#This Row],[Obj]],13,10),"")</f>
        <v/>
      </c>
      <c r="J1609" s="85" t="b">
        <f>Proc[[#This Row],[Requested]]=Proc[[#This Row],[CurrentParent]]</f>
        <v>1</v>
      </c>
      <c r="K1609" s="144" t="str">
        <f>IF(Proc[[#This Row],[Author]]="Marcela Urrego",VLOOKUP(LEFT(Proc[[#This Row],[Requested]],1),Table3[#All],2,0),VLOOKUP(Proc[[#This Row],[Author]],Table4[],2,0))</f>
        <v>HC</v>
      </c>
      <c r="L1609" s="85" t="s">
        <v>2563</v>
      </c>
      <c r="M1609" s="87">
        <v>45800.450960648152</v>
      </c>
      <c r="N1609" s="87">
        <v>45804</v>
      </c>
      <c r="O1609" s="87">
        <v>45804</v>
      </c>
      <c r="P1609" s="90" t="str">
        <f ca="1">IF(Proc[[#This Row],[DaysAgeing]]&gt;5,"yep","on track")</f>
        <v>on track</v>
      </c>
      <c r="Q1609" s="3">
        <f ca="1">IF(Proc[[#This Row],[DateClosed]]="",ABS(NETWORKDAYS(Proc[[#This Row],[DateOpened]],TODAY()))-1,ABS(NETWORKDAYS(Proc[[#This Row],[DateOpened]],Proc[[#This Row],[DateClosed]]))-1)</f>
        <v>2</v>
      </c>
      <c r="R1609" s="90" t="s">
        <v>410</v>
      </c>
      <c r="S1609" s="85"/>
    </row>
    <row r="1610" spans="1:19" hidden="1">
      <c r="A1610" s="89" t="s">
        <v>3395</v>
      </c>
      <c r="B1610" s="149" t="str">
        <f>IFERROR(VLOOKUP(Proc[[#This Row],[App]],Table2[],3,0),"open")</f>
        <v>ok</v>
      </c>
      <c r="C1610" s="89" t="s">
        <v>369</v>
      </c>
      <c r="D1610" t="s">
        <v>2969</v>
      </c>
      <c r="E1610" t="s">
        <v>3401</v>
      </c>
      <c r="F1610" s="117" t="s">
        <v>3401</v>
      </c>
      <c r="G1610" s="89" t="s">
        <v>400</v>
      </c>
      <c r="H1610" s="85" t="str">
        <f>IF(Proc[[#This Row],[type]]="LFF (MDG-F)",MID(Proc[[#This Row],[Obj]],13,10),"")</f>
        <v/>
      </c>
      <c r="J1610" s="85" t="b">
        <f>Proc[[#This Row],[Requested]]=Proc[[#This Row],[CurrentParent]]</f>
        <v>1</v>
      </c>
      <c r="K1610" s="144" t="str">
        <f>IF(Proc[[#This Row],[Author]]="Marcela Urrego",VLOOKUP(LEFT(Proc[[#This Row],[Requested]],1),Table3[#All],2,0),VLOOKUP(Proc[[#This Row],[Author]],Table4[],2,0))</f>
        <v>HC</v>
      </c>
      <c r="L1610" s="85" t="s">
        <v>2563</v>
      </c>
      <c r="M1610" s="87">
        <v>45800.450960648152</v>
      </c>
      <c r="N1610" s="87">
        <v>45804</v>
      </c>
      <c r="O1610" s="87">
        <v>45804</v>
      </c>
      <c r="P1610" s="90" t="str">
        <f ca="1">IF(Proc[[#This Row],[DaysAgeing]]&gt;5,"yep","on track")</f>
        <v>on track</v>
      </c>
      <c r="Q1610" s="3">
        <f ca="1">IF(Proc[[#This Row],[DateClosed]]="",ABS(NETWORKDAYS(Proc[[#This Row],[DateOpened]],TODAY()))-1,ABS(NETWORKDAYS(Proc[[#This Row],[DateOpened]],Proc[[#This Row],[DateClosed]]))-1)</f>
        <v>2</v>
      </c>
      <c r="R1610" s="90" t="s">
        <v>410</v>
      </c>
      <c r="S1610" s="85"/>
    </row>
    <row r="1611" spans="1:19" hidden="1">
      <c r="A1611" s="89" t="s">
        <v>3395</v>
      </c>
      <c r="B1611" s="149" t="str">
        <f>IFERROR(VLOOKUP(Proc[[#This Row],[App]],Table2[],3,0),"open")</f>
        <v>ok</v>
      </c>
      <c r="C1611" s="89" t="s">
        <v>369</v>
      </c>
      <c r="D1611" t="s">
        <v>2970</v>
      </c>
      <c r="E1611" t="s">
        <v>3401</v>
      </c>
      <c r="F1611" s="117" t="s">
        <v>3401</v>
      </c>
      <c r="G1611" s="89" t="s">
        <v>400</v>
      </c>
      <c r="H1611" s="85" t="str">
        <f>IF(Proc[[#This Row],[type]]="LFF (MDG-F)",MID(Proc[[#This Row],[Obj]],13,10),"")</f>
        <v/>
      </c>
      <c r="J1611" s="85" t="b">
        <f>Proc[[#This Row],[Requested]]=Proc[[#This Row],[CurrentParent]]</f>
        <v>1</v>
      </c>
      <c r="K1611" s="144" t="str">
        <f>IF(Proc[[#This Row],[Author]]="Marcela Urrego",VLOOKUP(LEFT(Proc[[#This Row],[Requested]],1),Table3[#All],2,0),VLOOKUP(Proc[[#This Row],[Author]],Table4[],2,0))</f>
        <v>HC</v>
      </c>
      <c r="L1611" s="85" t="s">
        <v>2563</v>
      </c>
      <c r="M1611" s="87">
        <v>45800.450960648152</v>
      </c>
      <c r="N1611" s="87">
        <v>45804</v>
      </c>
      <c r="O1611" s="87">
        <v>45804</v>
      </c>
      <c r="P1611" s="90" t="str">
        <f ca="1">IF(Proc[[#This Row],[DaysAgeing]]&gt;5,"yep","on track")</f>
        <v>on track</v>
      </c>
      <c r="Q1611" s="3">
        <f ca="1">IF(Proc[[#This Row],[DateClosed]]="",ABS(NETWORKDAYS(Proc[[#This Row],[DateOpened]],TODAY()))-1,ABS(NETWORKDAYS(Proc[[#This Row],[DateOpened]],Proc[[#This Row],[DateClosed]]))-1)</f>
        <v>2</v>
      </c>
      <c r="R1611" s="90" t="s">
        <v>410</v>
      </c>
      <c r="S1611" s="85"/>
    </row>
    <row r="1612" spans="1:19" hidden="1">
      <c r="A1612" s="89" t="s">
        <v>3395</v>
      </c>
      <c r="B1612" s="149" t="str">
        <f>IFERROR(VLOOKUP(Proc[[#This Row],[App]],Table2[],3,0),"open")</f>
        <v>ok</v>
      </c>
      <c r="C1612" s="89" t="s">
        <v>369</v>
      </c>
      <c r="D1612" t="s">
        <v>2971</v>
      </c>
      <c r="E1612" t="s">
        <v>3401</v>
      </c>
      <c r="F1612" s="117" t="s">
        <v>3401</v>
      </c>
      <c r="G1612" s="89" t="s">
        <v>400</v>
      </c>
      <c r="H1612" s="85" t="str">
        <f>IF(Proc[[#This Row],[type]]="LFF (MDG-F)",MID(Proc[[#This Row],[Obj]],13,10),"")</f>
        <v/>
      </c>
      <c r="J1612" s="85" t="b">
        <f>Proc[[#This Row],[Requested]]=Proc[[#This Row],[CurrentParent]]</f>
        <v>1</v>
      </c>
      <c r="K1612" s="144" t="str">
        <f>IF(Proc[[#This Row],[Author]]="Marcela Urrego",VLOOKUP(LEFT(Proc[[#This Row],[Requested]],1),Table3[#All],2,0),VLOOKUP(Proc[[#This Row],[Author]],Table4[],2,0))</f>
        <v>HC</v>
      </c>
      <c r="L1612" s="85" t="s">
        <v>2563</v>
      </c>
      <c r="M1612" s="87">
        <v>45800.450960648152</v>
      </c>
      <c r="N1612" s="87">
        <v>45804</v>
      </c>
      <c r="O1612" s="87">
        <v>45804</v>
      </c>
      <c r="P1612" s="90" t="str">
        <f ca="1">IF(Proc[[#This Row],[DaysAgeing]]&gt;5,"yep","on track")</f>
        <v>on track</v>
      </c>
      <c r="Q1612" s="3">
        <f ca="1">IF(Proc[[#This Row],[DateClosed]]="",ABS(NETWORKDAYS(Proc[[#This Row],[DateOpened]],TODAY()))-1,ABS(NETWORKDAYS(Proc[[#This Row],[DateOpened]],Proc[[#This Row],[DateClosed]]))-1)</f>
        <v>2</v>
      </c>
      <c r="R1612" s="90" t="s">
        <v>410</v>
      </c>
      <c r="S1612" s="85"/>
    </row>
    <row r="1613" spans="1:19" hidden="1">
      <c r="A1613" s="89" t="s">
        <v>3395</v>
      </c>
      <c r="B1613" s="149" t="str">
        <f>IFERROR(VLOOKUP(Proc[[#This Row],[App]],Table2[],3,0),"open")</f>
        <v>ok</v>
      </c>
      <c r="C1613" s="89" t="s">
        <v>369</v>
      </c>
      <c r="D1613" t="s">
        <v>2972</v>
      </c>
      <c r="E1613" t="s">
        <v>3401</v>
      </c>
      <c r="F1613" s="117" t="s">
        <v>3401</v>
      </c>
      <c r="G1613" s="89" t="s">
        <v>400</v>
      </c>
      <c r="H1613" s="85" t="str">
        <f>IF(Proc[[#This Row],[type]]="LFF (MDG-F)",MID(Proc[[#This Row],[Obj]],13,10),"")</f>
        <v/>
      </c>
      <c r="J1613" s="85" t="b">
        <f>Proc[[#This Row],[Requested]]=Proc[[#This Row],[CurrentParent]]</f>
        <v>1</v>
      </c>
      <c r="K1613" s="144" t="str">
        <f>IF(Proc[[#This Row],[Author]]="Marcela Urrego",VLOOKUP(LEFT(Proc[[#This Row],[Requested]],1),Table3[#All],2,0),VLOOKUP(Proc[[#This Row],[Author]],Table4[],2,0))</f>
        <v>HC</v>
      </c>
      <c r="L1613" s="85" t="s">
        <v>2563</v>
      </c>
      <c r="M1613" s="87">
        <v>45800.450960648152</v>
      </c>
      <c r="N1613" s="87">
        <v>45804</v>
      </c>
      <c r="O1613" s="87">
        <v>45804</v>
      </c>
      <c r="P1613" s="90" t="str">
        <f ca="1">IF(Proc[[#This Row],[DaysAgeing]]&gt;5,"yep","on track")</f>
        <v>on track</v>
      </c>
      <c r="Q1613" s="3">
        <f ca="1">IF(Proc[[#This Row],[DateClosed]]="",ABS(NETWORKDAYS(Proc[[#This Row],[DateOpened]],TODAY()))-1,ABS(NETWORKDAYS(Proc[[#This Row],[DateOpened]],Proc[[#This Row],[DateClosed]]))-1)</f>
        <v>2</v>
      </c>
      <c r="R1613" s="90" t="s">
        <v>410</v>
      </c>
      <c r="S1613" s="85"/>
    </row>
    <row r="1614" spans="1:19" hidden="1">
      <c r="A1614" s="89" t="s">
        <v>3395</v>
      </c>
      <c r="B1614" s="149" t="str">
        <f>IFERROR(VLOOKUP(Proc[[#This Row],[App]],Table2[],3,0),"open")</f>
        <v>ok</v>
      </c>
      <c r="C1614" s="89" t="s">
        <v>369</v>
      </c>
      <c r="D1614" t="s">
        <v>2973</v>
      </c>
      <c r="E1614" t="s">
        <v>3401</v>
      </c>
      <c r="F1614" s="117" t="s">
        <v>3401</v>
      </c>
      <c r="G1614" s="89" t="s">
        <v>400</v>
      </c>
      <c r="H1614" s="85" t="str">
        <f>IF(Proc[[#This Row],[type]]="LFF (MDG-F)",MID(Proc[[#This Row],[Obj]],13,10),"")</f>
        <v/>
      </c>
      <c r="J1614" s="85" t="b">
        <f>Proc[[#This Row],[Requested]]=Proc[[#This Row],[CurrentParent]]</f>
        <v>1</v>
      </c>
      <c r="K1614" s="144" t="str">
        <f>IF(Proc[[#This Row],[Author]]="Marcela Urrego",VLOOKUP(LEFT(Proc[[#This Row],[Requested]],1),Table3[#All],2,0),VLOOKUP(Proc[[#This Row],[Author]],Table4[],2,0))</f>
        <v>HC</v>
      </c>
      <c r="L1614" s="85" t="s">
        <v>2563</v>
      </c>
      <c r="M1614" s="87">
        <v>45800.450960648152</v>
      </c>
      <c r="N1614" s="87">
        <v>45804</v>
      </c>
      <c r="O1614" s="87">
        <v>45804</v>
      </c>
      <c r="P1614" s="90" t="str">
        <f ca="1">IF(Proc[[#This Row],[DaysAgeing]]&gt;5,"yep","on track")</f>
        <v>on track</v>
      </c>
      <c r="Q1614" s="3">
        <f ca="1">IF(Proc[[#This Row],[DateClosed]]="",ABS(NETWORKDAYS(Proc[[#This Row],[DateOpened]],TODAY()))-1,ABS(NETWORKDAYS(Proc[[#This Row],[DateOpened]],Proc[[#This Row],[DateClosed]]))-1)</f>
        <v>2</v>
      </c>
      <c r="R1614" s="90" t="s">
        <v>410</v>
      </c>
      <c r="S1614" s="85"/>
    </row>
    <row r="1615" spans="1:19" hidden="1">
      <c r="A1615" s="89" t="s">
        <v>3395</v>
      </c>
      <c r="B1615" s="149" t="str">
        <f>IFERROR(VLOOKUP(Proc[[#This Row],[App]],Table2[],3,0),"open")</f>
        <v>ok</v>
      </c>
      <c r="C1615" s="89" t="s">
        <v>369</v>
      </c>
      <c r="D1615" t="s">
        <v>2974</v>
      </c>
      <c r="E1615" t="s">
        <v>3401</v>
      </c>
      <c r="F1615" s="117" t="s">
        <v>3401</v>
      </c>
      <c r="G1615" s="89" t="s">
        <v>400</v>
      </c>
      <c r="H1615" s="85" t="str">
        <f>IF(Proc[[#This Row],[type]]="LFF (MDG-F)",MID(Proc[[#This Row],[Obj]],13,10),"")</f>
        <v/>
      </c>
      <c r="J1615" s="85" t="b">
        <f>Proc[[#This Row],[Requested]]=Proc[[#This Row],[CurrentParent]]</f>
        <v>1</v>
      </c>
      <c r="K1615" s="144" t="str">
        <f>IF(Proc[[#This Row],[Author]]="Marcela Urrego",VLOOKUP(LEFT(Proc[[#This Row],[Requested]],1),Table3[#All],2,0),VLOOKUP(Proc[[#This Row],[Author]],Table4[],2,0))</f>
        <v>HC</v>
      </c>
      <c r="L1615" s="85" t="s">
        <v>2563</v>
      </c>
      <c r="M1615" s="87">
        <v>45800.450960648152</v>
      </c>
      <c r="N1615" s="87">
        <v>45804</v>
      </c>
      <c r="O1615" s="87">
        <v>45804</v>
      </c>
      <c r="P1615" s="90" t="str">
        <f ca="1">IF(Proc[[#This Row],[DaysAgeing]]&gt;5,"yep","on track")</f>
        <v>on track</v>
      </c>
      <c r="Q1615" s="3">
        <f ca="1">IF(Proc[[#This Row],[DateClosed]]="",ABS(NETWORKDAYS(Proc[[#This Row],[DateOpened]],TODAY()))-1,ABS(NETWORKDAYS(Proc[[#This Row],[DateOpened]],Proc[[#This Row],[DateClosed]]))-1)</f>
        <v>2</v>
      </c>
      <c r="R1615" s="90" t="s">
        <v>410</v>
      </c>
      <c r="S1615" s="85"/>
    </row>
    <row r="1616" spans="1:19" hidden="1">
      <c r="A1616" s="89" t="s">
        <v>3395</v>
      </c>
      <c r="B1616" s="149" t="str">
        <f>IFERROR(VLOOKUP(Proc[[#This Row],[App]],Table2[],3,0),"open")</f>
        <v>ok</v>
      </c>
      <c r="C1616" s="89" t="s">
        <v>369</v>
      </c>
      <c r="D1616" t="s">
        <v>2975</v>
      </c>
      <c r="E1616" t="s">
        <v>3401</v>
      </c>
      <c r="F1616" s="117" t="s">
        <v>3401</v>
      </c>
      <c r="G1616" s="89" t="s">
        <v>400</v>
      </c>
      <c r="H1616" s="85" t="str">
        <f>IF(Proc[[#This Row],[type]]="LFF (MDG-F)",MID(Proc[[#This Row],[Obj]],13,10),"")</f>
        <v/>
      </c>
      <c r="J1616" s="85" t="b">
        <f>Proc[[#This Row],[Requested]]=Proc[[#This Row],[CurrentParent]]</f>
        <v>1</v>
      </c>
      <c r="K1616" s="144" t="str">
        <f>IF(Proc[[#This Row],[Author]]="Marcela Urrego",VLOOKUP(LEFT(Proc[[#This Row],[Requested]],1),Table3[#All],2,0),VLOOKUP(Proc[[#This Row],[Author]],Table4[],2,0))</f>
        <v>HC</v>
      </c>
      <c r="L1616" s="85" t="s">
        <v>2563</v>
      </c>
      <c r="M1616" s="87">
        <v>45800.450960648152</v>
      </c>
      <c r="N1616" s="87">
        <v>45804</v>
      </c>
      <c r="O1616" s="87">
        <v>45804</v>
      </c>
      <c r="P1616" s="90" t="str">
        <f ca="1">IF(Proc[[#This Row],[DaysAgeing]]&gt;5,"yep","on track")</f>
        <v>on track</v>
      </c>
      <c r="Q1616" s="3">
        <f ca="1">IF(Proc[[#This Row],[DateClosed]]="",ABS(NETWORKDAYS(Proc[[#This Row],[DateOpened]],TODAY()))-1,ABS(NETWORKDAYS(Proc[[#This Row],[DateOpened]],Proc[[#This Row],[DateClosed]]))-1)</f>
        <v>2</v>
      </c>
      <c r="R1616" s="90" t="s">
        <v>410</v>
      </c>
      <c r="S1616" s="85"/>
    </row>
    <row r="1617" spans="1:19" hidden="1">
      <c r="A1617" s="89" t="s">
        <v>3395</v>
      </c>
      <c r="B1617" s="149" t="str">
        <f>IFERROR(VLOOKUP(Proc[[#This Row],[App]],Table2[],3,0),"open")</f>
        <v>ok</v>
      </c>
      <c r="C1617" s="89" t="s">
        <v>369</v>
      </c>
      <c r="D1617" t="s">
        <v>2976</v>
      </c>
      <c r="E1617" t="s">
        <v>3401</v>
      </c>
      <c r="F1617" s="117" t="s">
        <v>3401</v>
      </c>
      <c r="G1617" s="89" t="s">
        <v>400</v>
      </c>
      <c r="H1617" s="85" t="str">
        <f>IF(Proc[[#This Row],[type]]="LFF (MDG-F)",MID(Proc[[#This Row],[Obj]],13,10),"")</f>
        <v/>
      </c>
      <c r="J1617" s="85" t="b">
        <f>Proc[[#This Row],[Requested]]=Proc[[#This Row],[CurrentParent]]</f>
        <v>1</v>
      </c>
      <c r="K1617" s="144" t="str">
        <f>IF(Proc[[#This Row],[Author]]="Marcela Urrego",VLOOKUP(LEFT(Proc[[#This Row],[Requested]],1),Table3[#All],2,0),VLOOKUP(Proc[[#This Row],[Author]],Table4[],2,0))</f>
        <v>HC</v>
      </c>
      <c r="L1617" s="85" t="s">
        <v>2563</v>
      </c>
      <c r="M1617" s="87">
        <v>45800.450960648152</v>
      </c>
      <c r="N1617" s="87">
        <v>45804</v>
      </c>
      <c r="O1617" s="87">
        <v>45804</v>
      </c>
      <c r="P1617" s="90" t="str">
        <f ca="1">IF(Proc[[#This Row],[DaysAgeing]]&gt;5,"yep","on track")</f>
        <v>on track</v>
      </c>
      <c r="Q1617" s="3">
        <f ca="1">IF(Proc[[#This Row],[DateClosed]]="",ABS(NETWORKDAYS(Proc[[#This Row],[DateOpened]],TODAY()))-1,ABS(NETWORKDAYS(Proc[[#This Row],[DateOpened]],Proc[[#This Row],[DateClosed]]))-1)</f>
        <v>2</v>
      </c>
      <c r="R1617" s="90" t="s">
        <v>410</v>
      </c>
      <c r="S1617" s="85"/>
    </row>
    <row r="1618" spans="1:19" hidden="1">
      <c r="A1618" s="89" t="s">
        <v>3395</v>
      </c>
      <c r="B1618" s="149" t="str">
        <f>IFERROR(VLOOKUP(Proc[[#This Row],[App]],Table2[],3,0),"open")</f>
        <v>ok</v>
      </c>
      <c r="C1618" s="89" t="s">
        <v>369</v>
      </c>
      <c r="D1618" t="s">
        <v>2977</v>
      </c>
      <c r="E1618" t="s">
        <v>3401</v>
      </c>
      <c r="F1618" s="117" t="s">
        <v>3401</v>
      </c>
      <c r="G1618" s="89" t="s">
        <v>400</v>
      </c>
      <c r="H1618" s="85" t="str">
        <f>IF(Proc[[#This Row],[type]]="LFF (MDG-F)",MID(Proc[[#This Row],[Obj]],13,10),"")</f>
        <v/>
      </c>
      <c r="J1618" s="85" t="b">
        <f>Proc[[#This Row],[Requested]]=Proc[[#This Row],[CurrentParent]]</f>
        <v>1</v>
      </c>
      <c r="K1618" s="144" t="str">
        <f>IF(Proc[[#This Row],[Author]]="Marcela Urrego",VLOOKUP(LEFT(Proc[[#This Row],[Requested]],1),Table3[#All],2,0),VLOOKUP(Proc[[#This Row],[Author]],Table4[],2,0))</f>
        <v>HC</v>
      </c>
      <c r="L1618" s="85" t="s">
        <v>2563</v>
      </c>
      <c r="M1618" s="87">
        <v>45800.450960648152</v>
      </c>
      <c r="N1618" s="87">
        <v>45804</v>
      </c>
      <c r="O1618" s="87">
        <v>45804</v>
      </c>
      <c r="P1618" s="90" t="str">
        <f ca="1">IF(Proc[[#This Row],[DaysAgeing]]&gt;5,"yep","on track")</f>
        <v>on track</v>
      </c>
      <c r="Q1618" s="3">
        <f ca="1">IF(Proc[[#This Row],[DateClosed]]="",ABS(NETWORKDAYS(Proc[[#This Row],[DateOpened]],TODAY()))-1,ABS(NETWORKDAYS(Proc[[#This Row],[DateOpened]],Proc[[#This Row],[DateClosed]]))-1)</f>
        <v>2</v>
      </c>
      <c r="R1618" s="90" t="s">
        <v>410</v>
      </c>
      <c r="S1618" s="85"/>
    </row>
    <row r="1619" spans="1:19" hidden="1">
      <c r="A1619" s="89" t="s">
        <v>3395</v>
      </c>
      <c r="B1619" s="149" t="str">
        <f>IFERROR(VLOOKUP(Proc[[#This Row],[App]],Table2[],3,0),"open")</f>
        <v>ok</v>
      </c>
      <c r="C1619" s="89" t="s">
        <v>369</v>
      </c>
      <c r="D1619" t="s">
        <v>2978</v>
      </c>
      <c r="E1619" t="s">
        <v>3401</v>
      </c>
      <c r="F1619" s="117" t="s">
        <v>3401</v>
      </c>
      <c r="G1619" s="89" t="s">
        <v>400</v>
      </c>
      <c r="H1619" s="85" t="str">
        <f>IF(Proc[[#This Row],[type]]="LFF (MDG-F)",MID(Proc[[#This Row],[Obj]],13,10),"")</f>
        <v/>
      </c>
      <c r="J1619" s="85" t="b">
        <f>Proc[[#This Row],[Requested]]=Proc[[#This Row],[CurrentParent]]</f>
        <v>1</v>
      </c>
      <c r="K1619" s="144" t="str">
        <f>IF(Proc[[#This Row],[Author]]="Marcela Urrego",VLOOKUP(LEFT(Proc[[#This Row],[Requested]],1),Table3[#All],2,0),VLOOKUP(Proc[[#This Row],[Author]],Table4[],2,0))</f>
        <v>HC</v>
      </c>
      <c r="L1619" s="85" t="s">
        <v>2563</v>
      </c>
      <c r="M1619" s="87">
        <v>45800.450960648152</v>
      </c>
      <c r="N1619" s="87">
        <v>45804</v>
      </c>
      <c r="O1619" s="87">
        <v>45804</v>
      </c>
      <c r="P1619" s="90" t="str">
        <f ca="1">IF(Proc[[#This Row],[DaysAgeing]]&gt;5,"yep","on track")</f>
        <v>on track</v>
      </c>
      <c r="Q1619" s="3">
        <f ca="1">IF(Proc[[#This Row],[DateClosed]]="",ABS(NETWORKDAYS(Proc[[#This Row],[DateOpened]],TODAY()))-1,ABS(NETWORKDAYS(Proc[[#This Row],[DateOpened]],Proc[[#This Row],[DateClosed]]))-1)</f>
        <v>2</v>
      </c>
      <c r="R1619" s="90" t="s">
        <v>410</v>
      </c>
      <c r="S1619" s="85"/>
    </row>
    <row r="1620" spans="1:19" hidden="1">
      <c r="A1620" s="89" t="s">
        <v>3395</v>
      </c>
      <c r="B1620" s="149" t="str">
        <f>IFERROR(VLOOKUP(Proc[[#This Row],[App]],Table2[],3,0),"open")</f>
        <v>ok</v>
      </c>
      <c r="C1620" s="89" t="s">
        <v>369</v>
      </c>
      <c r="D1620" t="s">
        <v>2979</v>
      </c>
      <c r="E1620" t="s">
        <v>3401</v>
      </c>
      <c r="F1620" s="117" t="s">
        <v>3401</v>
      </c>
      <c r="G1620" s="89" t="s">
        <v>400</v>
      </c>
      <c r="H1620" s="85" t="str">
        <f>IF(Proc[[#This Row],[type]]="LFF (MDG-F)",MID(Proc[[#This Row],[Obj]],13,10),"")</f>
        <v/>
      </c>
      <c r="J1620" s="85" t="b">
        <f>Proc[[#This Row],[Requested]]=Proc[[#This Row],[CurrentParent]]</f>
        <v>1</v>
      </c>
      <c r="K1620" s="144" t="str">
        <f>IF(Proc[[#This Row],[Author]]="Marcela Urrego",VLOOKUP(LEFT(Proc[[#This Row],[Requested]],1),Table3[#All],2,0),VLOOKUP(Proc[[#This Row],[Author]],Table4[],2,0))</f>
        <v>HC</v>
      </c>
      <c r="L1620" s="85" t="s">
        <v>2563</v>
      </c>
      <c r="M1620" s="87">
        <v>45800.450960648152</v>
      </c>
      <c r="N1620" s="87">
        <v>45804</v>
      </c>
      <c r="O1620" s="87">
        <v>45804</v>
      </c>
      <c r="P1620" s="90" t="str">
        <f ca="1">IF(Proc[[#This Row],[DaysAgeing]]&gt;5,"yep","on track")</f>
        <v>on track</v>
      </c>
      <c r="Q1620" s="3">
        <f ca="1">IF(Proc[[#This Row],[DateClosed]]="",ABS(NETWORKDAYS(Proc[[#This Row],[DateOpened]],TODAY()))-1,ABS(NETWORKDAYS(Proc[[#This Row],[DateOpened]],Proc[[#This Row],[DateClosed]]))-1)</f>
        <v>2</v>
      </c>
      <c r="R1620" s="90" t="s">
        <v>410</v>
      </c>
      <c r="S1620" s="85"/>
    </row>
    <row r="1621" spans="1:19" hidden="1">
      <c r="A1621" s="89" t="s">
        <v>3395</v>
      </c>
      <c r="B1621" s="149" t="str">
        <f>IFERROR(VLOOKUP(Proc[[#This Row],[App]],Table2[],3,0),"open")</f>
        <v>ok</v>
      </c>
      <c r="C1621" s="89" t="s">
        <v>369</v>
      </c>
      <c r="D1621" t="s">
        <v>2980</v>
      </c>
      <c r="E1621" t="s">
        <v>3401</v>
      </c>
      <c r="F1621" s="117" t="s">
        <v>3401</v>
      </c>
      <c r="G1621" s="89" t="s">
        <v>400</v>
      </c>
      <c r="H1621" s="85" t="str">
        <f>IF(Proc[[#This Row],[type]]="LFF (MDG-F)",MID(Proc[[#This Row],[Obj]],13,10),"")</f>
        <v/>
      </c>
      <c r="J1621" s="85" t="b">
        <f>Proc[[#This Row],[Requested]]=Proc[[#This Row],[CurrentParent]]</f>
        <v>1</v>
      </c>
      <c r="K1621" s="144" t="str">
        <f>IF(Proc[[#This Row],[Author]]="Marcela Urrego",VLOOKUP(LEFT(Proc[[#This Row],[Requested]],1),Table3[#All],2,0),VLOOKUP(Proc[[#This Row],[Author]],Table4[],2,0))</f>
        <v>HC</v>
      </c>
      <c r="L1621" s="85" t="s">
        <v>2563</v>
      </c>
      <c r="M1621" s="87">
        <v>45800.450960648152</v>
      </c>
      <c r="N1621" s="87">
        <v>45804</v>
      </c>
      <c r="O1621" s="87">
        <v>45804</v>
      </c>
      <c r="P1621" s="90" t="str">
        <f ca="1">IF(Proc[[#This Row],[DaysAgeing]]&gt;5,"yep","on track")</f>
        <v>on track</v>
      </c>
      <c r="Q1621" s="3">
        <f ca="1">IF(Proc[[#This Row],[DateClosed]]="",ABS(NETWORKDAYS(Proc[[#This Row],[DateOpened]],TODAY()))-1,ABS(NETWORKDAYS(Proc[[#This Row],[DateOpened]],Proc[[#This Row],[DateClosed]]))-1)</f>
        <v>2</v>
      </c>
      <c r="R1621" s="90" t="s">
        <v>410</v>
      </c>
      <c r="S1621" s="85"/>
    </row>
    <row r="1622" spans="1:19" hidden="1">
      <c r="A1622" s="89" t="s">
        <v>3395</v>
      </c>
      <c r="B1622" s="149" t="str">
        <f>IFERROR(VLOOKUP(Proc[[#This Row],[App]],Table2[],3,0),"open")</f>
        <v>ok</v>
      </c>
      <c r="C1622" s="89" t="s">
        <v>369</v>
      </c>
      <c r="D1622" t="s">
        <v>2981</v>
      </c>
      <c r="E1622" t="s">
        <v>3401</v>
      </c>
      <c r="F1622" s="117" t="s">
        <v>3401</v>
      </c>
      <c r="G1622" s="89" t="s">
        <v>400</v>
      </c>
      <c r="H1622" s="85" t="str">
        <f>IF(Proc[[#This Row],[type]]="LFF (MDG-F)",MID(Proc[[#This Row],[Obj]],13,10),"")</f>
        <v/>
      </c>
      <c r="J1622" s="85" t="b">
        <f>Proc[[#This Row],[Requested]]=Proc[[#This Row],[CurrentParent]]</f>
        <v>1</v>
      </c>
      <c r="K1622" s="144" t="str">
        <f>IF(Proc[[#This Row],[Author]]="Marcela Urrego",VLOOKUP(LEFT(Proc[[#This Row],[Requested]],1),Table3[#All],2,0),VLOOKUP(Proc[[#This Row],[Author]],Table4[],2,0))</f>
        <v>HC</v>
      </c>
      <c r="L1622" s="85" t="s">
        <v>2563</v>
      </c>
      <c r="M1622" s="87">
        <v>45800.450960648152</v>
      </c>
      <c r="N1622" s="87">
        <v>45804</v>
      </c>
      <c r="O1622" s="87">
        <v>45804</v>
      </c>
      <c r="P1622" s="90" t="str">
        <f ca="1">IF(Proc[[#This Row],[DaysAgeing]]&gt;5,"yep","on track")</f>
        <v>on track</v>
      </c>
      <c r="Q1622" s="3">
        <f ca="1">IF(Proc[[#This Row],[DateClosed]]="",ABS(NETWORKDAYS(Proc[[#This Row],[DateOpened]],TODAY()))-1,ABS(NETWORKDAYS(Proc[[#This Row],[DateOpened]],Proc[[#This Row],[DateClosed]]))-1)</f>
        <v>2</v>
      </c>
      <c r="R1622" s="90" t="s">
        <v>410</v>
      </c>
      <c r="S1622" s="85"/>
    </row>
    <row r="1623" spans="1:19" hidden="1">
      <c r="A1623" s="89" t="s">
        <v>3395</v>
      </c>
      <c r="B1623" s="149" t="str">
        <f>IFERROR(VLOOKUP(Proc[[#This Row],[App]],Table2[],3,0),"open")</f>
        <v>ok</v>
      </c>
      <c r="C1623" s="89" t="s">
        <v>369</v>
      </c>
      <c r="D1623" t="s">
        <v>2982</v>
      </c>
      <c r="E1623" t="s">
        <v>3401</v>
      </c>
      <c r="F1623" s="117" t="s">
        <v>3401</v>
      </c>
      <c r="G1623" s="89" t="s">
        <v>400</v>
      </c>
      <c r="H1623" s="85" t="str">
        <f>IF(Proc[[#This Row],[type]]="LFF (MDG-F)",MID(Proc[[#This Row],[Obj]],13,10),"")</f>
        <v/>
      </c>
      <c r="J1623" s="85" t="b">
        <f>Proc[[#This Row],[Requested]]=Proc[[#This Row],[CurrentParent]]</f>
        <v>1</v>
      </c>
      <c r="K1623" s="144" t="str">
        <f>IF(Proc[[#This Row],[Author]]="Marcela Urrego",VLOOKUP(LEFT(Proc[[#This Row],[Requested]],1),Table3[#All],2,0),VLOOKUP(Proc[[#This Row],[Author]],Table4[],2,0))</f>
        <v>HC</v>
      </c>
      <c r="L1623" s="85" t="s">
        <v>2563</v>
      </c>
      <c r="M1623" s="87">
        <v>45800.450960648152</v>
      </c>
      <c r="N1623" s="87">
        <v>45804</v>
      </c>
      <c r="O1623" s="87">
        <v>45804</v>
      </c>
      <c r="P1623" s="90" t="str">
        <f ca="1">IF(Proc[[#This Row],[DaysAgeing]]&gt;5,"yep","on track")</f>
        <v>on track</v>
      </c>
      <c r="Q1623" s="3">
        <f ca="1">IF(Proc[[#This Row],[DateClosed]]="",ABS(NETWORKDAYS(Proc[[#This Row],[DateOpened]],TODAY()))-1,ABS(NETWORKDAYS(Proc[[#This Row],[DateOpened]],Proc[[#This Row],[DateClosed]]))-1)</f>
        <v>2</v>
      </c>
      <c r="R1623" s="90" t="s">
        <v>410</v>
      </c>
      <c r="S1623" s="85"/>
    </row>
    <row r="1624" spans="1:19" hidden="1">
      <c r="A1624" s="89" t="s">
        <v>3395</v>
      </c>
      <c r="B1624" s="149" t="str">
        <f>IFERROR(VLOOKUP(Proc[[#This Row],[App]],Table2[],3,0),"open")</f>
        <v>ok</v>
      </c>
      <c r="C1624" s="89" t="s">
        <v>369</v>
      </c>
      <c r="D1624" t="s">
        <v>2983</v>
      </c>
      <c r="E1624" t="s">
        <v>3401</v>
      </c>
      <c r="F1624" s="117" t="s">
        <v>3401</v>
      </c>
      <c r="G1624" s="89" t="s">
        <v>400</v>
      </c>
      <c r="H1624" s="85" t="str">
        <f>IF(Proc[[#This Row],[type]]="LFF (MDG-F)",MID(Proc[[#This Row],[Obj]],13,10),"")</f>
        <v/>
      </c>
      <c r="J1624" s="85" t="b">
        <f>Proc[[#This Row],[Requested]]=Proc[[#This Row],[CurrentParent]]</f>
        <v>1</v>
      </c>
      <c r="K1624" s="144" t="str">
        <f>IF(Proc[[#This Row],[Author]]="Marcela Urrego",VLOOKUP(LEFT(Proc[[#This Row],[Requested]],1),Table3[#All],2,0),VLOOKUP(Proc[[#This Row],[Author]],Table4[],2,0))</f>
        <v>HC</v>
      </c>
      <c r="L1624" s="85" t="s">
        <v>2563</v>
      </c>
      <c r="M1624" s="87">
        <v>45800.450960648152</v>
      </c>
      <c r="N1624" s="87">
        <v>45804</v>
      </c>
      <c r="O1624" s="87">
        <v>45804</v>
      </c>
      <c r="P1624" s="90" t="str">
        <f ca="1">IF(Proc[[#This Row],[DaysAgeing]]&gt;5,"yep","on track")</f>
        <v>on track</v>
      </c>
      <c r="Q1624" s="3">
        <f ca="1">IF(Proc[[#This Row],[DateClosed]]="",ABS(NETWORKDAYS(Proc[[#This Row],[DateOpened]],TODAY()))-1,ABS(NETWORKDAYS(Proc[[#This Row],[DateOpened]],Proc[[#This Row],[DateClosed]]))-1)</f>
        <v>2</v>
      </c>
      <c r="R1624" s="90" t="s">
        <v>410</v>
      </c>
      <c r="S1624" s="85"/>
    </row>
    <row r="1625" spans="1:19" hidden="1">
      <c r="A1625" s="89" t="s">
        <v>3395</v>
      </c>
      <c r="B1625" s="149" t="str">
        <f>IFERROR(VLOOKUP(Proc[[#This Row],[App]],Table2[],3,0),"open")</f>
        <v>ok</v>
      </c>
      <c r="C1625" s="89" t="s">
        <v>369</v>
      </c>
      <c r="D1625" t="s">
        <v>2984</v>
      </c>
      <c r="E1625" t="s">
        <v>3401</v>
      </c>
      <c r="F1625" s="117" t="s">
        <v>3401</v>
      </c>
      <c r="G1625" s="89" t="s">
        <v>400</v>
      </c>
      <c r="H1625" s="85" t="str">
        <f>IF(Proc[[#This Row],[type]]="LFF (MDG-F)",MID(Proc[[#This Row],[Obj]],13,10),"")</f>
        <v/>
      </c>
      <c r="J1625" s="85" t="b">
        <f>Proc[[#This Row],[Requested]]=Proc[[#This Row],[CurrentParent]]</f>
        <v>1</v>
      </c>
      <c r="K1625" s="144" t="str">
        <f>IF(Proc[[#This Row],[Author]]="Marcela Urrego",VLOOKUP(LEFT(Proc[[#This Row],[Requested]],1),Table3[#All],2,0),VLOOKUP(Proc[[#This Row],[Author]],Table4[],2,0))</f>
        <v>HC</v>
      </c>
      <c r="L1625" s="85" t="s">
        <v>2563</v>
      </c>
      <c r="M1625" s="87">
        <v>45800.450960648152</v>
      </c>
      <c r="N1625" s="87">
        <v>45804</v>
      </c>
      <c r="O1625" s="87">
        <v>45804</v>
      </c>
      <c r="P1625" s="90" t="str">
        <f ca="1">IF(Proc[[#This Row],[DaysAgeing]]&gt;5,"yep","on track")</f>
        <v>on track</v>
      </c>
      <c r="Q1625" s="3">
        <f ca="1">IF(Proc[[#This Row],[DateClosed]]="",ABS(NETWORKDAYS(Proc[[#This Row],[DateOpened]],TODAY()))-1,ABS(NETWORKDAYS(Proc[[#This Row],[DateOpened]],Proc[[#This Row],[DateClosed]]))-1)</f>
        <v>2</v>
      </c>
      <c r="R1625" s="90" t="s">
        <v>410</v>
      </c>
      <c r="S1625" s="85"/>
    </row>
    <row r="1626" spans="1:19" hidden="1">
      <c r="A1626" s="89" t="s">
        <v>3395</v>
      </c>
      <c r="B1626" s="149" t="str">
        <f>IFERROR(VLOOKUP(Proc[[#This Row],[App]],Table2[],3,0),"open")</f>
        <v>ok</v>
      </c>
      <c r="C1626" s="89" t="s">
        <v>369</v>
      </c>
      <c r="D1626" t="s">
        <v>2985</v>
      </c>
      <c r="E1626" t="s">
        <v>3401</v>
      </c>
      <c r="F1626" s="117" t="s">
        <v>3401</v>
      </c>
      <c r="G1626" s="89" t="s">
        <v>400</v>
      </c>
      <c r="H1626" s="85" t="str">
        <f>IF(Proc[[#This Row],[type]]="LFF (MDG-F)",MID(Proc[[#This Row],[Obj]],13,10),"")</f>
        <v/>
      </c>
      <c r="J1626" s="85" t="b">
        <f>Proc[[#This Row],[Requested]]=Proc[[#This Row],[CurrentParent]]</f>
        <v>1</v>
      </c>
      <c r="K1626" s="144" t="str">
        <f>IF(Proc[[#This Row],[Author]]="Marcela Urrego",VLOOKUP(LEFT(Proc[[#This Row],[Requested]],1),Table3[#All],2,0),VLOOKUP(Proc[[#This Row],[Author]],Table4[],2,0))</f>
        <v>HC</v>
      </c>
      <c r="L1626" s="85" t="s">
        <v>2563</v>
      </c>
      <c r="M1626" s="87">
        <v>45800.450960648152</v>
      </c>
      <c r="N1626" s="87">
        <v>45804</v>
      </c>
      <c r="O1626" s="87">
        <v>45804</v>
      </c>
      <c r="P1626" s="90" t="str">
        <f ca="1">IF(Proc[[#This Row],[DaysAgeing]]&gt;5,"yep","on track")</f>
        <v>on track</v>
      </c>
      <c r="Q1626" s="3">
        <f ca="1">IF(Proc[[#This Row],[DateClosed]]="",ABS(NETWORKDAYS(Proc[[#This Row],[DateOpened]],TODAY()))-1,ABS(NETWORKDAYS(Proc[[#This Row],[DateOpened]],Proc[[#This Row],[DateClosed]]))-1)</f>
        <v>2</v>
      </c>
      <c r="R1626" s="90" t="s">
        <v>410</v>
      </c>
      <c r="S1626" s="85"/>
    </row>
    <row r="1627" spans="1:19" hidden="1">
      <c r="A1627" s="89" t="s">
        <v>3395</v>
      </c>
      <c r="B1627" s="149" t="str">
        <f>IFERROR(VLOOKUP(Proc[[#This Row],[App]],Table2[],3,0),"open")</f>
        <v>ok</v>
      </c>
      <c r="C1627" s="89" t="s">
        <v>369</v>
      </c>
      <c r="D1627" t="s">
        <v>2986</v>
      </c>
      <c r="E1627" t="s">
        <v>3401</v>
      </c>
      <c r="F1627" s="117" t="s">
        <v>3401</v>
      </c>
      <c r="G1627" s="89" t="s">
        <v>400</v>
      </c>
      <c r="H1627" s="85" t="str">
        <f>IF(Proc[[#This Row],[type]]="LFF (MDG-F)",MID(Proc[[#This Row],[Obj]],13,10),"")</f>
        <v/>
      </c>
      <c r="J1627" s="85" t="b">
        <f>Proc[[#This Row],[Requested]]=Proc[[#This Row],[CurrentParent]]</f>
        <v>1</v>
      </c>
      <c r="K1627" s="144" t="str">
        <f>IF(Proc[[#This Row],[Author]]="Marcela Urrego",VLOOKUP(LEFT(Proc[[#This Row],[Requested]],1),Table3[#All],2,0),VLOOKUP(Proc[[#This Row],[Author]],Table4[],2,0))</f>
        <v>HC</v>
      </c>
      <c r="L1627" s="85" t="s">
        <v>2563</v>
      </c>
      <c r="M1627" s="87">
        <v>45800.450960648152</v>
      </c>
      <c r="N1627" s="87">
        <v>45804</v>
      </c>
      <c r="O1627" s="87">
        <v>45804</v>
      </c>
      <c r="P1627" s="90" t="str">
        <f ca="1">IF(Proc[[#This Row],[DaysAgeing]]&gt;5,"yep","on track")</f>
        <v>on track</v>
      </c>
      <c r="Q1627" s="3">
        <f ca="1">IF(Proc[[#This Row],[DateClosed]]="",ABS(NETWORKDAYS(Proc[[#This Row],[DateOpened]],TODAY()))-1,ABS(NETWORKDAYS(Proc[[#This Row],[DateOpened]],Proc[[#This Row],[DateClosed]]))-1)</f>
        <v>2</v>
      </c>
      <c r="R1627" s="90" t="s">
        <v>410</v>
      </c>
      <c r="S1627" s="85"/>
    </row>
    <row r="1628" spans="1:19" hidden="1">
      <c r="A1628" s="89" t="s">
        <v>3395</v>
      </c>
      <c r="B1628" s="149" t="str">
        <f>IFERROR(VLOOKUP(Proc[[#This Row],[App]],Table2[],3,0),"open")</f>
        <v>ok</v>
      </c>
      <c r="C1628" s="89" t="s">
        <v>369</v>
      </c>
      <c r="D1628" t="s">
        <v>2987</v>
      </c>
      <c r="E1628" t="s">
        <v>3401</v>
      </c>
      <c r="F1628" s="117" t="s">
        <v>3401</v>
      </c>
      <c r="G1628" s="89" t="s">
        <v>400</v>
      </c>
      <c r="H1628" s="85" t="str">
        <f>IF(Proc[[#This Row],[type]]="LFF (MDG-F)",MID(Proc[[#This Row],[Obj]],13,10),"")</f>
        <v/>
      </c>
      <c r="J1628" s="85" t="b">
        <f>Proc[[#This Row],[Requested]]=Proc[[#This Row],[CurrentParent]]</f>
        <v>1</v>
      </c>
      <c r="K1628" s="144" t="str">
        <f>IF(Proc[[#This Row],[Author]]="Marcela Urrego",VLOOKUP(LEFT(Proc[[#This Row],[Requested]],1),Table3[#All],2,0),VLOOKUP(Proc[[#This Row],[Author]],Table4[],2,0))</f>
        <v>HC</v>
      </c>
      <c r="L1628" s="85" t="s">
        <v>2563</v>
      </c>
      <c r="M1628" s="87">
        <v>45800.450960648152</v>
      </c>
      <c r="N1628" s="87">
        <v>45804</v>
      </c>
      <c r="O1628" s="87">
        <v>45804</v>
      </c>
      <c r="P1628" s="90" t="str">
        <f ca="1">IF(Proc[[#This Row],[DaysAgeing]]&gt;5,"yep","on track")</f>
        <v>on track</v>
      </c>
      <c r="Q1628" s="3">
        <f ca="1">IF(Proc[[#This Row],[DateClosed]]="",ABS(NETWORKDAYS(Proc[[#This Row],[DateOpened]],TODAY()))-1,ABS(NETWORKDAYS(Proc[[#This Row],[DateOpened]],Proc[[#This Row],[DateClosed]]))-1)</f>
        <v>2</v>
      </c>
      <c r="R1628" s="90" t="s">
        <v>410</v>
      </c>
      <c r="S1628" s="85"/>
    </row>
    <row r="1629" spans="1:19" hidden="1">
      <c r="A1629" s="89" t="s">
        <v>3395</v>
      </c>
      <c r="B1629" s="149" t="str">
        <f>IFERROR(VLOOKUP(Proc[[#This Row],[App]],Table2[],3,0),"open")</f>
        <v>ok</v>
      </c>
      <c r="C1629" s="89" t="s">
        <v>369</v>
      </c>
      <c r="D1629" t="s">
        <v>2988</v>
      </c>
      <c r="E1629" t="s">
        <v>3401</v>
      </c>
      <c r="F1629" s="117" t="s">
        <v>3401</v>
      </c>
      <c r="G1629" s="89" t="s">
        <v>400</v>
      </c>
      <c r="H1629" s="85" t="str">
        <f>IF(Proc[[#This Row],[type]]="LFF (MDG-F)",MID(Proc[[#This Row],[Obj]],13,10),"")</f>
        <v/>
      </c>
      <c r="J1629" s="85" t="b">
        <f>Proc[[#This Row],[Requested]]=Proc[[#This Row],[CurrentParent]]</f>
        <v>1</v>
      </c>
      <c r="K1629" s="144" t="str">
        <f>IF(Proc[[#This Row],[Author]]="Marcela Urrego",VLOOKUP(LEFT(Proc[[#This Row],[Requested]],1),Table3[#All],2,0),VLOOKUP(Proc[[#This Row],[Author]],Table4[],2,0))</f>
        <v>HC</v>
      </c>
      <c r="L1629" s="85" t="s">
        <v>2563</v>
      </c>
      <c r="M1629" s="87">
        <v>45800.450960648152</v>
      </c>
      <c r="N1629" s="87">
        <v>45804</v>
      </c>
      <c r="O1629" s="87">
        <v>45804</v>
      </c>
      <c r="P1629" s="90" t="str">
        <f ca="1">IF(Proc[[#This Row],[DaysAgeing]]&gt;5,"yep","on track")</f>
        <v>on track</v>
      </c>
      <c r="Q1629" s="3">
        <f ca="1">IF(Proc[[#This Row],[DateClosed]]="",ABS(NETWORKDAYS(Proc[[#This Row],[DateOpened]],TODAY()))-1,ABS(NETWORKDAYS(Proc[[#This Row],[DateOpened]],Proc[[#This Row],[DateClosed]]))-1)</f>
        <v>2</v>
      </c>
      <c r="R1629" s="90" t="s">
        <v>410</v>
      </c>
      <c r="S1629" s="85"/>
    </row>
    <row r="1630" spans="1:19" hidden="1">
      <c r="A1630" s="89" t="s">
        <v>3395</v>
      </c>
      <c r="B1630" s="149" t="str">
        <f>IFERROR(VLOOKUP(Proc[[#This Row],[App]],Table2[],3,0),"open")</f>
        <v>ok</v>
      </c>
      <c r="C1630" s="89" t="s">
        <v>369</v>
      </c>
      <c r="D1630" t="s">
        <v>2989</v>
      </c>
      <c r="E1630" t="s">
        <v>3401</v>
      </c>
      <c r="F1630" s="117" t="s">
        <v>3401</v>
      </c>
      <c r="G1630" s="89" t="s">
        <v>400</v>
      </c>
      <c r="H1630" s="85" t="str">
        <f>IF(Proc[[#This Row],[type]]="LFF (MDG-F)",MID(Proc[[#This Row],[Obj]],13,10),"")</f>
        <v/>
      </c>
      <c r="J1630" s="85" t="b">
        <f>Proc[[#This Row],[Requested]]=Proc[[#This Row],[CurrentParent]]</f>
        <v>1</v>
      </c>
      <c r="K1630" s="144" t="str">
        <f>IF(Proc[[#This Row],[Author]]="Marcela Urrego",VLOOKUP(LEFT(Proc[[#This Row],[Requested]],1),Table3[#All],2,0),VLOOKUP(Proc[[#This Row],[Author]],Table4[],2,0))</f>
        <v>HC</v>
      </c>
      <c r="L1630" s="85" t="s">
        <v>2563</v>
      </c>
      <c r="M1630" s="87">
        <v>45800.450960648152</v>
      </c>
      <c r="N1630" s="87">
        <v>45804</v>
      </c>
      <c r="O1630" s="87">
        <v>45804</v>
      </c>
      <c r="P1630" s="90" t="str">
        <f ca="1">IF(Proc[[#This Row],[DaysAgeing]]&gt;5,"yep","on track")</f>
        <v>on track</v>
      </c>
      <c r="Q1630" s="3">
        <f ca="1">IF(Proc[[#This Row],[DateClosed]]="",ABS(NETWORKDAYS(Proc[[#This Row],[DateOpened]],TODAY()))-1,ABS(NETWORKDAYS(Proc[[#This Row],[DateOpened]],Proc[[#This Row],[DateClosed]]))-1)</f>
        <v>2</v>
      </c>
      <c r="R1630" s="90" t="s">
        <v>410</v>
      </c>
      <c r="S1630" s="85"/>
    </row>
    <row r="1631" spans="1:19" hidden="1">
      <c r="A1631" s="89" t="s">
        <v>3395</v>
      </c>
      <c r="B1631" s="149" t="str">
        <f>IFERROR(VLOOKUP(Proc[[#This Row],[App]],Table2[],3,0),"open")</f>
        <v>ok</v>
      </c>
      <c r="C1631" s="89" t="s">
        <v>369</v>
      </c>
      <c r="D1631" t="s">
        <v>2990</v>
      </c>
      <c r="E1631" t="s">
        <v>3401</v>
      </c>
      <c r="F1631" s="117" t="s">
        <v>3401</v>
      </c>
      <c r="G1631" s="89" t="s">
        <v>400</v>
      </c>
      <c r="H1631" s="85" t="str">
        <f>IF(Proc[[#This Row],[type]]="LFF (MDG-F)",MID(Proc[[#This Row],[Obj]],13,10),"")</f>
        <v/>
      </c>
      <c r="J1631" s="85" t="b">
        <f>Proc[[#This Row],[Requested]]=Proc[[#This Row],[CurrentParent]]</f>
        <v>1</v>
      </c>
      <c r="K1631" s="144" t="str">
        <f>IF(Proc[[#This Row],[Author]]="Marcela Urrego",VLOOKUP(LEFT(Proc[[#This Row],[Requested]],1),Table3[#All],2,0),VLOOKUP(Proc[[#This Row],[Author]],Table4[],2,0))</f>
        <v>HC</v>
      </c>
      <c r="L1631" s="85" t="s">
        <v>2563</v>
      </c>
      <c r="M1631" s="87">
        <v>45800.450960648152</v>
      </c>
      <c r="N1631" s="87">
        <v>45804</v>
      </c>
      <c r="O1631" s="87">
        <v>45804</v>
      </c>
      <c r="P1631" s="90" t="str">
        <f ca="1">IF(Proc[[#This Row],[DaysAgeing]]&gt;5,"yep","on track")</f>
        <v>on track</v>
      </c>
      <c r="Q1631" s="3">
        <f ca="1">IF(Proc[[#This Row],[DateClosed]]="",ABS(NETWORKDAYS(Proc[[#This Row],[DateOpened]],TODAY()))-1,ABS(NETWORKDAYS(Proc[[#This Row],[DateOpened]],Proc[[#This Row],[DateClosed]]))-1)</f>
        <v>2</v>
      </c>
      <c r="R1631" s="90" t="s">
        <v>410</v>
      </c>
      <c r="S1631" s="85"/>
    </row>
    <row r="1632" spans="1:19" hidden="1">
      <c r="A1632" s="89" t="s">
        <v>3395</v>
      </c>
      <c r="B1632" s="149" t="str">
        <f>IFERROR(VLOOKUP(Proc[[#This Row],[App]],Table2[],3,0),"open")</f>
        <v>ok</v>
      </c>
      <c r="C1632" s="89" t="s">
        <v>369</v>
      </c>
      <c r="D1632" t="s">
        <v>2991</v>
      </c>
      <c r="E1632" t="s">
        <v>3401</v>
      </c>
      <c r="F1632" s="117" t="s">
        <v>3401</v>
      </c>
      <c r="G1632" s="89" t="s">
        <v>400</v>
      </c>
      <c r="H1632" s="85" t="str">
        <f>IF(Proc[[#This Row],[type]]="LFF (MDG-F)",MID(Proc[[#This Row],[Obj]],13,10),"")</f>
        <v/>
      </c>
      <c r="J1632" s="85" t="b">
        <f>Proc[[#This Row],[Requested]]=Proc[[#This Row],[CurrentParent]]</f>
        <v>1</v>
      </c>
      <c r="K1632" s="144" t="str">
        <f>IF(Proc[[#This Row],[Author]]="Marcela Urrego",VLOOKUP(LEFT(Proc[[#This Row],[Requested]],1),Table3[#All],2,0),VLOOKUP(Proc[[#This Row],[Author]],Table4[],2,0))</f>
        <v>HC</v>
      </c>
      <c r="L1632" s="85" t="s">
        <v>2563</v>
      </c>
      <c r="M1632" s="87">
        <v>45800.450960648152</v>
      </c>
      <c r="N1632" s="87">
        <v>45804</v>
      </c>
      <c r="O1632" s="87">
        <v>45804</v>
      </c>
      <c r="P1632" s="90" t="str">
        <f ca="1">IF(Proc[[#This Row],[DaysAgeing]]&gt;5,"yep","on track")</f>
        <v>on track</v>
      </c>
      <c r="Q1632" s="3">
        <f ca="1">IF(Proc[[#This Row],[DateClosed]]="",ABS(NETWORKDAYS(Proc[[#This Row],[DateOpened]],TODAY()))-1,ABS(NETWORKDAYS(Proc[[#This Row],[DateOpened]],Proc[[#This Row],[DateClosed]]))-1)</f>
        <v>2</v>
      </c>
      <c r="R1632" s="90" t="s">
        <v>410</v>
      </c>
      <c r="S1632" s="85"/>
    </row>
    <row r="1633" spans="1:19" hidden="1">
      <c r="A1633" s="89" t="s">
        <v>3395</v>
      </c>
      <c r="B1633" s="149" t="str">
        <f>IFERROR(VLOOKUP(Proc[[#This Row],[App]],Table2[],3,0),"open")</f>
        <v>ok</v>
      </c>
      <c r="C1633" s="89" t="s">
        <v>369</v>
      </c>
      <c r="D1633" t="s">
        <v>2992</v>
      </c>
      <c r="E1633" t="s">
        <v>3401</v>
      </c>
      <c r="F1633" s="117" t="s">
        <v>3401</v>
      </c>
      <c r="G1633" s="89" t="s">
        <v>400</v>
      </c>
      <c r="H1633" s="85" t="str">
        <f>IF(Proc[[#This Row],[type]]="LFF (MDG-F)",MID(Proc[[#This Row],[Obj]],13,10),"")</f>
        <v/>
      </c>
      <c r="J1633" s="85" t="b">
        <f>Proc[[#This Row],[Requested]]=Proc[[#This Row],[CurrentParent]]</f>
        <v>1</v>
      </c>
      <c r="K1633" s="144" t="str">
        <f>IF(Proc[[#This Row],[Author]]="Marcela Urrego",VLOOKUP(LEFT(Proc[[#This Row],[Requested]],1),Table3[#All],2,0),VLOOKUP(Proc[[#This Row],[Author]],Table4[],2,0))</f>
        <v>HC</v>
      </c>
      <c r="L1633" s="85" t="s">
        <v>2563</v>
      </c>
      <c r="M1633" s="87">
        <v>45800.450960648152</v>
      </c>
      <c r="N1633" s="87">
        <v>45804</v>
      </c>
      <c r="O1633" s="87">
        <v>45804</v>
      </c>
      <c r="P1633" s="90" t="str">
        <f ca="1">IF(Proc[[#This Row],[DaysAgeing]]&gt;5,"yep","on track")</f>
        <v>on track</v>
      </c>
      <c r="Q1633" s="3">
        <f ca="1">IF(Proc[[#This Row],[DateClosed]]="",ABS(NETWORKDAYS(Proc[[#This Row],[DateOpened]],TODAY()))-1,ABS(NETWORKDAYS(Proc[[#This Row],[DateOpened]],Proc[[#This Row],[DateClosed]]))-1)</f>
        <v>2</v>
      </c>
      <c r="R1633" s="90" t="s">
        <v>410</v>
      </c>
      <c r="S1633" s="85"/>
    </row>
    <row r="1634" spans="1:19" hidden="1">
      <c r="A1634" s="89" t="s">
        <v>3395</v>
      </c>
      <c r="B1634" s="149" t="str">
        <f>IFERROR(VLOOKUP(Proc[[#This Row],[App]],Table2[],3,0),"open")</f>
        <v>ok</v>
      </c>
      <c r="C1634" s="89" t="s">
        <v>369</v>
      </c>
      <c r="D1634" t="s">
        <v>2993</v>
      </c>
      <c r="E1634" t="s">
        <v>3401</v>
      </c>
      <c r="F1634" s="117" t="s">
        <v>3401</v>
      </c>
      <c r="G1634" s="89" t="s">
        <v>400</v>
      </c>
      <c r="H1634" s="85" t="str">
        <f>IF(Proc[[#This Row],[type]]="LFF (MDG-F)",MID(Proc[[#This Row],[Obj]],13,10),"")</f>
        <v/>
      </c>
      <c r="J1634" s="85" t="b">
        <f>Proc[[#This Row],[Requested]]=Proc[[#This Row],[CurrentParent]]</f>
        <v>1</v>
      </c>
      <c r="K1634" s="144" t="str">
        <f>IF(Proc[[#This Row],[Author]]="Marcela Urrego",VLOOKUP(LEFT(Proc[[#This Row],[Requested]],1),Table3[#All],2,0),VLOOKUP(Proc[[#This Row],[Author]],Table4[],2,0))</f>
        <v>HC</v>
      </c>
      <c r="L1634" s="85" t="s">
        <v>2563</v>
      </c>
      <c r="M1634" s="87">
        <v>45800.450960648152</v>
      </c>
      <c r="N1634" s="87">
        <v>45804</v>
      </c>
      <c r="O1634" s="87">
        <v>45804</v>
      </c>
      <c r="P1634" s="90" t="str">
        <f ca="1">IF(Proc[[#This Row],[DaysAgeing]]&gt;5,"yep","on track")</f>
        <v>on track</v>
      </c>
      <c r="Q1634" s="3">
        <f ca="1">IF(Proc[[#This Row],[DateClosed]]="",ABS(NETWORKDAYS(Proc[[#This Row],[DateOpened]],TODAY()))-1,ABS(NETWORKDAYS(Proc[[#This Row],[DateOpened]],Proc[[#This Row],[DateClosed]]))-1)</f>
        <v>2</v>
      </c>
      <c r="R1634" s="90" t="s">
        <v>410</v>
      </c>
      <c r="S1634" s="85"/>
    </row>
    <row r="1635" spans="1:19" hidden="1">
      <c r="A1635" s="89" t="s">
        <v>3395</v>
      </c>
      <c r="B1635" s="149" t="str">
        <f>IFERROR(VLOOKUP(Proc[[#This Row],[App]],Table2[],3,0),"open")</f>
        <v>ok</v>
      </c>
      <c r="C1635" s="89" t="s">
        <v>369</v>
      </c>
      <c r="D1635" t="s">
        <v>2994</v>
      </c>
      <c r="E1635" t="s">
        <v>3401</v>
      </c>
      <c r="F1635" s="117" t="s">
        <v>3401</v>
      </c>
      <c r="G1635" s="89" t="s">
        <v>400</v>
      </c>
      <c r="H1635" s="85" t="str">
        <f>IF(Proc[[#This Row],[type]]="LFF (MDG-F)",MID(Proc[[#This Row],[Obj]],13,10),"")</f>
        <v/>
      </c>
      <c r="J1635" s="85" t="b">
        <f>Proc[[#This Row],[Requested]]=Proc[[#This Row],[CurrentParent]]</f>
        <v>1</v>
      </c>
      <c r="K1635" s="144" t="str">
        <f>IF(Proc[[#This Row],[Author]]="Marcela Urrego",VLOOKUP(LEFT(Proc[[#This Row],[Requested]],1),Table3[#All],2,0),VLOOKUP(Proc[[#This Row],[Author]],Table4[],2,0))</f>
        <v>HC</v>
      </c>
      <c r="L1635" s="85" t="s">
        <v>2563</v>
      </c>
      <c r="M1635" s="87">
        <v>45800.450960648152</v>
      </c>
      <c r="N1635" s="87">
        <v>45804</v>
      </c>
      <c r="O1635" s="87">
        <v>45804</v>
      </c>
      <c r="P1635" s="90" t="str">
        <f ca="1">IF(Proc[[#This Row],[DaysAgeing]]&gt;5,"yep","on track")</f>
        <v>on track</v>
      </c>
      <c r="Q1635" s="3">
        <f ca="1">IF(Proc[[#This Row],[DateClosed]]="",ABS(NETWORKDAYS(Proc[[#This Row],[DateOpened]],TODAY()))-1,ABS(NETWORKDAYS(Proc[[#This Row],[DateOpened]],Proc[[#This Row],[DateClosed]]))-1)</f>
        <v>2</v>
      </c>
      <c r="R1635" s="90" t="s">
        <v>410</v>
      </c>
      <c r="S1635" s="85"/>
    </row>
    <row r="1636" spans="1:19" hidden="1">
      <c r="A1636" s="89" t="s">
        <v>3395</v>
      </c>
      <c r="B1636" s="149" t="str">
        <f>IFERROR(VLOOKUP(Proc[[#This Row],[App]],Table2[],3,0),"open")</f>
        <v>ok</v>
      </c>
      <c r="C1636" s="89" t="s">
        <v>369</v>
      </c>
      <c r="D1636" t="s">
        <v>2995</v>
      </c>
      <c r="E1636" t="s">
        <v>3401</v>
      </c>
      <c r="F1636" s="117" t="s">
        <v>3401</v>
      </c>
      <c r="G1636" s="89" t="s">
        <v>400</v>
      </c>
      <c r="H1636" s="85" t="str">
        <f>IF(Proc[[#This Row],[type]]="LFF (MDG-F)",MID(Proc[[#This Row],[Obj]],13,10),"")</f>
        <v/>
      </c>
      <c r="J1636" s="85" t="b">
        <f>Proc[[#This Row],[Requested]]=Proc[[#This Row],[CurrentParent]]</f>
        <v>1</v>
      </c>
      <c r="K1636" s="144" t="str">
        <f>IF(Proc[[#This Row],[Author]]="Marcela Urrego",VLOOKUP(LEFT(Proc[[#This Row],[Requested]],1),Table3[#All],2,0),VLOOKUP(Proc[[#This Row],[Author]],Table4[],2,0))</f>
        <v>HC</v>
      </c>
      <c r="L1636" s="85" t="s">
        <v>2563</v>
      </c>
      <c r="M1636" s="87">
        <v>45800.450960648152</v>
      </c>
      <c r="N1636" s="87">
        <v>45804</v>
      </c>
      <c r="O1636" s="87">
        <v>45804</v>
      </c>
      <c r="P1636" s="90" t="str">
        <f ca="1">IF(Proc[[#This Row],[DaysAgeing]]&gt;5,"yep","on track")</f>
        <v>on track</v>
      </c>
      <c r="Q1636" s="3">
        <f ca="1">IF(Proc[[#This Row],[DateClosed]]="",ABS(NETWORKDAYS(Proc[[#This Row],[DateOpened]],TODAY()))-1,ABS(NETWORKDAYS(Proc[[#This Row],[DateOpened]],Proc[[#This Row],[DateClosed]]))-1)</f>
        <v>2</v>
      </c>
      <c r="R1636" s="90" t="s">
        <v>410</v>
      </c>
      <c r="S1636" s="85"/>
    </row>
    <row r="1637" spans="1:19" hidden="1">
      <c r="A1637" s="89" t="s">
        <v>3395</v>
      </c>
      <c r="B1637" s="149" t="str">
        <f>IFERROR(VLOOKUP(Proc[[#This Row],[App]],Table2[],3,0),"open")</f>
        <v>ok</v>
      </c>
      <c r="C1637" s="89" t="s">
        <v>369</v>
      </c>
      <c r="D1637" t="s">
        <v>2996</v>
      </c>
      <c r="E1637" t="s">
        <v>3401</v>
      </c>
      <c r="F1637" s="117" t="s">
        <v>3401</v>
      </c>
      <c r="G1637" s="89" t="s">
        <v>400</v>
      </c>
      <c r="H1637" s="85" t="str">
        <f>IF(Proc[[#This Row],[type]]="LFF (MDG-F)",MID(Proc[[#This Row],[Obj]],13,10),"")</f>
        <v/>
      </c>
      <c r="J1637" s="85" t="b">
        <f>Proc[[#This Row],[Requested]]=Proc[[#This Row],[CurrentParent]]</f>
        <v>1</v>
      </c>
      <c r="K1637" s="144" t="str">
        <f>IF(Proc[[#This Row],[Author]]="Marcela Urrego",VLOOKUP(LEFT(Proc[[#This Row],[Requested]],1),Table3[#All],2,0),VLOOKUP(Proc[[#This Row],[Author]],Table4[],2,0))</f>
        <v>HC</v>
      </c>
      <c r="L1637" s="85" t="s">
        <v>2563</v>
      </c>
      <c r="M1637" s="87">
        <v>45800.450960648152</v>
      </c>
      <c r="N1637" s="87">
        <v>45804</v>
      </c>
      <c r="O1637" s="87">
        <v>45804</v>
      </c>
      <c r="P1637" s="90" t="str">
        <f ca="1">IF(Proc[[#This Row],[DaysAgeing]]&gt;5,"yep","on track")</f>
        <v>on track</v>
      </c>
      <c r="Q1637" s="3">
        <f ca="1">IF(Proc[[#This Row],[DateClosed]]="",ABS(NETWORKDAYS(Proc[[#This Row],[DateOpened]],TODAY()))-1,ABS(NETWORKDAYS(Proc[[#This Row],[DateOpened]],Proc[[#This Row],[DateClosed]]))-1)</f>
        <v>2</v>
      </c>
      <c r="R1637" s="90" t="s">
        <v>410</v>
      </c>
      <c r="S1637" s="85"/>
    </row>
    <row r="1638" spans="1:19" hidden="1">
      <c r="A1638" s="89" t="s">
        <v>3395</v>
      </c>
      <c r="B1638" s="149" t="str">
        <f>IFERROR(VLOOKUP(Proc[[#This Row],[App]],Table2[],3,0),"open")</f>
        <v>ok</v>
      </c>
      <c r="C1638" s="89" t="s">
        <v>369</v>
      </c>
      <c r="D1638" t="s">
        <v>2997</v>
      </c>
      <c r="E1638" t="s">
        <v>3401</v>
      </c>
      <c r="F1638" s="117" t="s">
        <v>3401</v>
      </c>
      <c r="G1638" s="89" t="s">
        <v>400</v>
      </c>
      <c r="H1638" s="85" t="str">
        <f>IF(Proc[[#This Row],[type]]="LFF (MDG-F)",MID(Proc[[#This Row],[Obj]],13,10),"")</f>
        <v/>
      </c>
      <c r="J1638" s="85" t="b">
        <f>Proc[[#This Row],[Requested]]=Proc[[#This Row],[CurrentParent]]</f>
        <v>1</v>
      </c>
      <c r="K1638" s="144" t="str">
        <f>IF(Proc[[#This Row],[Author]]="Marcela Urrego",VLOOKUP(LEFT(Proc[[#This Row],[Requested]],1),Table3[#All],2,0),VLOOKUP(Proc[[#This Row],[Author]],Table4[],2,0))</f>
        <v>HC</v>
      </c>
      <c r="L1638" s="85" t="s">
        <v>2563</v>
      </c>
      <c r="M1638" s="87">
        <v>45800.450960648152</v>
      </c>
      <c r="N1638" s="87">
        <v>45804</v>
      </c>
      <c r="O1638" s="87">
        <v>45804</v>
      </c>
      <c r="P1638" s="90" t="str">
        <f ca="1">IF(Proc[[#This Row],[DaysAgeing]]&gt;5,"yep","on track")</f>
        <v>on track</v>
      </c>
      <c r="Q1638" s="3">
        <f ca="1">IF(Proc[[#This Row],[DateClosed]]="",ABS(NETWORKDAYS(Proc[[#This Row],[DateOpened]],TODAY()))-1,ABS(NETWORKDAYS(Proc[[#This Row],[DateOpened]],Proc[[#This Row],[DateClosed]]))-1)</f>
        <v>2</v>
      </c>
      <c r="R1638" s="90" t="s">
        <v>410</v>
      </c>
      <c r="S1638" s="85"/>
    </row>
    <row r="1639" spans="1:19" hidden="1">
      <c r="A1639" s="89" t="s">
        <v>3395</v>
      </c>
      <c r="B1639" s="149" t="str">
        <f>IFERROR(VLOOKUP(Proc[[#This Row],[App]],Table2[],3,0),"open")</f>
        <v>ok</v>
      </c>
      <c r="C1639" s="89" t="s">
        <v>369</v>
      </c>
      <c r="D1639" t="s">
        <v>2998</v>
      </c>
      <c r="E1639" t="s">
        <v>3401</v>
      </c>
      <c r="F1639" s="117" t="s">
        <v>3401</v>
      </c>
      <c r="G1639" s="89" t="s">
        <v>400</v>
      </c>
      <c r="H1639" s="85" t="str">
        <f>IF(Proc[[#This Row],[type]]="LFF (MDG-F)",MID(Proc[[#This Row],[Obj]],13,10),"")</f>
        <v/>
      </c>
      <c r="J1639" s="85" t="b">
        <f>Proc[[#This Row],[Requested]]=Proc[[#This Row],[CurrentParent]]</f>
        <v>1</v>
      </c>
      <c r="K1639" s="144" t="str">
        <f>IF(Proc[[#This Row],[Author]]="Marcela Urrego",VLOOKUP(LEFT(Proc[[#This Row],[Requested]],1),Table3[#All],2,0),VLOOKUP(Proc[[#This Row],[Author]],Table4[],2,0))</f>
        <v>HC</v>
      </c>
      <c r="L1639" s="85" t="s">
        <v>2563</v>
      </c>
      <c r="M1639" s="87">
        <v>45800.450960648152</v>
      </c>
      <c r="N1639" s="87">
        <v>45804</v>
      </c>
      <c r="O1639" s="87">
        <v>45804</v>
      </c>
      <c r="P1639" s="90" t="str">
        <f ca="1">IF(Proc[[#This Row],[DaysAgeing]]&gt;5,"yep","on track")</f>
        <v>on track</v>
      </c>
      <c r="Q1639" s="3">
        <f ca="1">IF(Proc[[#This Row],[DateClosed]]="",ABS(NETWORKDAYS(Proc[[#This Row],[DateOpened]],TODAY()))-1,ABS(NETWORKDAYS(Proc[[#This Row],[DateOpened]],Proc[[#This Row],[DateClosed]]))-1)</f>
        <v>2</v>
      </c>
      <c r="R1639" s="90" t="s">
        <v>410</v>
      </c>
      <c r="S1639" s="85"/>
    </row>
    <row r="1640" spans="1:19" hidden="1">
      <c r="A1640" s="89" t="s">
        <v>3395</v>
      </c>
      <c r="B1640" s="149" t="str">
        <f>IFERROR(VLOOKUP(Proc[[#This Row],[App]],Table2[],3,0),"open")</f>
        <v>ok</v>
      </c>
      <c r="C1640" s="89" t="s">
        <v>369</v>
      </c>
      <c r="D1640" t="s">
        <v>2999</v>
      </c>
      <c r="E1640" t="s">
        <v>3401</v>
      </c>
      <c r="F1640" s="117" t="s">
        <v>3401</v>
      </c>
      <c r="G1640" s="89" t="s">
        <v>400</v>
      </c>
      <c r="H1640" s="85" t="str">
        <f>IF(Proc[[#This Row],[type]]="LFF (MDG-F)",MID(Proc[[#This Row],[Obj]],13,10),"")</f>
        <v/>
      </c>
      <c r="J1640" s="85" t="b">
        <f>Proc[[#This Row],[Requested]]=Proc[[#This Row],[CurrentParent]]</f>
        <v>1</v>
      </c>
      <c r="K1640" s="144" t="str">
        <f>IF(Proc[[#This Row],[Author]]="Marcela Urrego",VLOOKUP(LEFT(Proc[[#This Row],[Requested]],1),Table3[#All],2,0),VLOOKUP(Proc[[#This Row],[Author]],Table4[],2,0))</f>
        <v>HC</v>
      </c>
      <c r="L1640" s="85" t="s">
        <v>2563</v>
      </c>
      <c r="M1640" s="87">
        <v>45800.450960648152</v>
      </c>
      <c r="N1640" s="87">
        <v>45804</v>
      </c>
      <c r="O1640" s="87">
        <v>45804</v>
      </c>
      <c r="P1640" s="90" t="str">
        <f ca="1">IF(Proc[[#This Row],[DaysAgeing]]&gt;5,"yep","on track")</f>
        <v>on track</v>
      </c>
      <c r="Q1640" s="3">
        <f ca="1">IF(Proc[[#This Row],[DateClosed]]="",ABS(NETWORKDAYS(Proc[[#This Row],[DateOpened]],TODAY()))-1,ABS(NETWORKDAYS(Proc[[#This Row],[DateOpened]],Proc[[#This Row],[DateClosed]]))-1)</f>
        <v>2</v>
      </c>
      <c r="R1640" s="90" t="s">
        <v>410</v>
      </c>
      <c r="S1640" s="85"/>
    </row>
    <row r="1641" spans="1:19" hidden="1">
      <c r="A1641" s="89" t="s">
        <v>3395</v>
      </c>
      <c r="B1641" s="149" t="str">
        <f>IFERROR(VLOOKUP(Proc[[#This Row],[App]],Table2[],3,0),"open")</f>
        <v>ok</v>
      </c>
      <c r="C1641" s="89" t="s">
        <v>369</v>
      </c>
      <c r="D1641" t="s">
        <v>3000</v>
      </c>
      <c r="E1641" t="s">
        <v>3401</v>
      </c>
      <c r="F1641" s="117" t="s">
        <v>3401</v>
      </c>
      <c r="G1641" s="89" t="s">
        <v>400</v>
      </c>
      <c r="H1641" s="85" t="str">
        <f>IF(Proc[[#This Row],[type]]="LFF (MDG-F)",MID(Proc[[#This Row],[Obj]],13,10),"")</f>
        <v/>
      </c>
      <c r="J1641" s="85" t="b">
        <f>Proc[[#This Row],[Requested]]=Proc[[#This Row],[CurrentParent]]</f>
        <v>1</v>
      </c>
      <c r="K1641" s="144" t="str">
        <f>IF(Proc[[#This Row],[Author]]="Marcela Urrego",VLOOKUP(LEFT(Proc[[#This Row],[Requested]],1),Table3[#All],2,0),VLOOKUP(Proc[[#This Row],[Author]],Table4[],2,0))</f>
        <v>HC</v>
      </c>
      <c r="L1641" s="85" t="s">
        <v>2563</v>
      </c>
      <c r="M1641" s="87">
        <v>45800.450960648152</v>
      </c>
      <c r="N1641" s="87">
        <v>45804</v>
      </c>
      <c r="O1641" s="87">
        <v>45804</v>
      </c>
      <c r="P1641" s="90" t="str">
        <f ca="1">IF(Proc[[#This Row],[DaysAgeing]]&gt;5,"yep","on track")</f>
        <v>on track</v>
      </c>
      <c r="Q1641" s="3">
        <f ca="1">IF(Proc[[#This Row],[DateClosed]]="",ABS(NETWORKDAYS(Proc[[#This Row],[DateOpened]],TODAY()))-1,ABS(NETWORKDAYS(Proc[[#This Row],[DateOpened]],Proc[[#This Row],[DateClosed]]))-1)</f>
        <v>2</v>
      </c>
      <c r="R1641" s="90" t="s">
        <v>410</v>
      </c>
      <c r="S1641" s="85"/>
    </row>
    <row r="1642" spans="1:19" hidden="1">
      <c r="A1642" s="89" t="s">
        <v>3395</v>
      </c>
      <c r="B1642" s="149" t="str">
        <f>IFERROR(VLOOKUP(Proc[[#This Row],[App]],Table2[],3,0),"open")</f>
        <v>ok</v>
      </c>
      <c r="C1642" s="89" t="s">
        <v>369</v>
      </c>
      <c r="D1642" t="s">
        <v>3001</v>
      </c>
      <c r="E1642" t="s">
        <v>3401</v>
      </c>
      <c r="F1642" s="117" t="s">
        <v>3401</v>
      </c>
      <c r="G1642" s="89" t="s">
        <v>400</v>
      </c>
      <c r="H1642" s="85" t="str">
        <f>IF(Proc[[#This Row],[type]]="LFF (MDG-F)",MID(Proc[[#This Row],[Obj]],13,10),"")</f>
        <v/>
      </c>
      <c r="J1642" s="85" t="b">
        <f>Proc[[#This Row],[Requested]]=Proc[[#This Row],[CurrentParent]]</f>
        <v>1</v>
      </c>
      <c r="K1642" s="144" t="str">
        <f>IF(Proc[[#This Row],[Author]]="Marcela Urrego",VLOOKUP(LEFT(Proc[[#This Row],[Requested]],1),Table3[#All],2,0),VLOOKUP(Proc[[#This Row],[Author]],Table4[],2,0))</f>
        <v>HC</v>
      </c>
      <c r="L1642" s="85" t="s">
        <v>2563</v>
      </c>
      <c r="M1642" s="87">
        <v>45800.450960648152</v>
      </c>
      <c r="N1642" s="87">
        <v>45804</v>
      </c>
      <c r="O1642" s="87">
        <v>45804</v>
      </c>
      <c r="P1642" s="90" t="str">
        <f ca="1">IF(Proc[[#This Row],[DaysAgeing]]&gt;5,"yep","on track")</f>
        <v>on track</v>
      </c>
      <c r="Q1642" s="3">
        <f ca="1">IF(Proc[[#This Row],[DateClosed]]="",ABS(NETWORKDAYS(Proc[[#This Row],[DateOpened]],TODAY()))-1,ABS(NETWORKDAYS(Proc[[#This Row],[DateOpened]],Proc[[#This Row],[DateClosed]]))-1)</f>
        <v>2</v>
      </c>
      <c r="R1642" s="90" t="s">
        <v>410</v>
      </c>
      <c r="S1642" s="85"/>
    </row>
    <row r="1643" spans="1:19" hidden="1">
      <c r="A1643" t="s">
        <v>3403</v>
      </c>
      <c r="B1643" s="149" t="str">
        <f>IFERROR(VLOOKUP(Proc[[#This Row],[App]],Table2[],3,0),"open")</f>
        <v>ok</v>
      </c>
      <c r="C1643" s="89" t="s">
        <v>369</v>
      </c>
      <c r="D1643" t="s">
        <v>3402</v>
      </c>
      <c r="E1643" t="s">
        <v>2049</v>
      </c>
      <c r="F1643" s="117" t="s">
        <v>2049</v>
      </c>
      <c r="G1643" s="89" t="s">
        <v>400</v>
      </c>
      <c r="H1643" s="85" t="str">
        <f>IF(Proc[[#This Row],[type]]="LFF (MDG-F)",MID(Proc[[#This Row],[Obj]],13,10),"")</f>
        <v/>
      </c>
      <c r="J1643" s="85" t="b">
        <f>Proc[[#This Row],[Requested]]=Proc[[#This Row],[CurrentParent]]</f>
        <v>1</v>
      </c>
      <c r="K1643" s="144" t="str">
        <f>IF(Proc[[#This Row],[Author]]="Marcela Urrego",VLOOKUP(LEFT(Proc[[#This Row],[Requested]],1),Table3[#All],2,0),VLOOKUP(Proc[[#This Row],[Author]],Table4[],2,0))</f>
        <v>MGF</v>
      </c>
      <c r="L1643" s="85" t="s">
        <v>2563</v>
      </c>
      <c r="M1643" s="87">
        <v>45800.502141203702</v>
      </c>
      <c r="N1643" s="87">
        <v>45804</v>
      </c>
      <c r="O1643" s="87">
        <v>45804</v>
      </c>
      <c r="P1643" s="90" t="str">
        <f ca="1">IF(Proc[[#This Row],[DaysAgeing]]&gt;5,"yep","on track")</f>
        <v>on track</v>
      </c>
      <c r="Q1643" s="3">
        <f ca="1">IF(Proc[[#This Row],[DateClosed]]="",ABS(NETWORKDAYS(Proc[[#This Row],[DateOpened]],TODAY()))-1,ABS(NETWORKDAYS(Proc[[#This Row],[DateOpened]],Proc[[#This Row],[DateClosed]]))-1)</f>
        <v>2</v>
      </c>
      <c r="R1643" s="90" t="s">
        <v>515</v>
      </c>
      <c r="S1643" s="85"/>
    </row>
    <row r="1644" spans="1:19" hidden="1">
      <c r="A1644" t="s">
        <v>3404</v>
      </c>
      <c r="B1644" s="149" t="str">
        <f>IFERROR(VLOOKUP(Proc[[#This Row],[App]],Table2[],3,0),"open")</f>
        <v>ok</v>
      </c>
      <c r="C1644" t="s">
        <v>369</v>
      </c>
      <c r="D1644" t="s">
        <v>3405</v>
      </c>
      <c r="E1644" t="s">
        <v>3514</v>
      </c>
      <c r="F1644" s="117" t="s">
        <v>3514</v>
      </c>
      <c r="G1644" s="89" t="s">
        <v>400</v>
      </c>
      <c r="H1644" s="85" t="str">
        <f>IF(Proc[[#This Row],[type]]="LFF (MDG-F)",MID(Proc[[#This Row],[Obj]],13,10),"")</f>
        <v/>
      </c>
      <c r="J1644" s="85" t="b">
        <f>Proc[[#This Row],[Requested]]=Proc[[#This Row],[CurrentParent]]</f>
        <v>1</v>
      </c>
      <c r="K1644" s="144" t="str">
        <f>IF(Proc[[#This Row],[Author]]="Marcela Urrego",VLOOKUP(LEFT(Proc[[#This Row],[Requested]],1),Table3[#All],2,0),VLOOKUP(Proc[[#This Row],[Author]],Table4[],2,0))</f>
        <v>LS</v>
      </c>
      <c r="L1644" s="85" t="s">
        <v>2563</v>
      </c>
      <c r="M1644" s="87">
        <v>45801.263680555552</v>
      </c>
      <c r="N1644" s="87"/>
      <c r="O1644" s="87"/>
      <c r="P1644" s="90" t="str">
        <f ca="1">IF(Proc[[#This Row],[DaysAgeing]]&gt;5,"yep","on track")</f>
        <v>yep</v>
      </c>
      <c r="Q1644" s="3">
        <f ca="1">IF(Proc[[#This Row],[DateClosed]]="",ABS(NETWORKDAYS(Proc[[#This Row],[DateOpened]],TODAY()))-1,ABS(NETWORKDAYS(Proc[[#This Row],[DateOpened]],Proc[[#This Row],[DateClosed]]))-1)</f>
        <v>149</v>
      </c>
      <c r="R1644" s="90" t="s">
        <v>489</v>
      </c>
      <c r="S1644" s="85"/>
    </row>
    <row r="1645" spans="1:19" hidden="1">
      <c r="A1645" s="89" t="s">
        <v>3404</v>
      </c>
      <c r="B1645" s="149" t="str">
        <f>IFERROR(VLOOKUP(Proc[[#This Row],[App]],Table2[],3,0),"open")</f>
        <v>ok</v>
      </c>
      <c r="C1645" s="89" t="s">
        <v>369</v>
      </c>
      <c r="D1645" t="s">
        <v>3406</v>
      </c>
      <c r="E1645" t="s">
        <v>3515</v>
      </c>
      <c r="F1645" s="117" t="s">
        <v>3515</v>
      </c>
      <c r="G1645" s="89" t="s">
        <v>400</v>
      </c>
      <c r="H1645" s="85" t="str">
        <f>IF(Proc[[#This Row],[type]]="LFF (MDG-F)",MID(Proc[[#This Row],[Obj]],13,10),"")</f>
        <v/>
      </c>
      <c r="J1645" s="85" t="b">
        <f>Proc[[#This Row],[Requested]]=Proc[[#This Row],[CurrentParent]]</f>
        <v>1</v>
      </c>
      <c r="K1645" s="144" t="str">
        <f>IF(Proc[[#This Row],[Author]]="Marcela Urrego",VLOOKUP(LEFT(Proc[[#This Row],[Requested]],1),Table3[#All],2,0),VLOOKUP(Proc[[#This Row],[Author]],Table4[],2,0))</f>
        <v>LS</v>
      </c>
      <c r="L1645" s="85" t="s">
        <v>2563</v>
      </c>
      <c r="M1645" s="87">
        <v>45801.263680555552</v>
      </c>
      <c r="N1645" s="87"/>
      <c r="O1645" s="87"/>
      <c r="P1645" s="90" t="str">
        <f ca="1">IF(Proc[[#This Row],[DaysAgeing]]&gt;5,"yep","on track")</f>
        <v>yep</v>
      </c>
      <c r="Q1645" s="3">
        <f ca="1">IF(Proc[[#This Row],[DateClosed]]="",ABS(NETWORKDAYS(Proc[[#This Row],[DateOpened]],TODAY()))-1,ABS(NETWORKDAYS(Proc[[#This Row],[DateOpened]],Proc[[#This Row],[DateClosed]]))-1)</f>
        <v>149</v>
      </c>
      <c r="R1645" s="90" t="s">
        <v>489</v>
      </c>
      <c r="S1645" s="85"/>
    </row>
    <row r="1646" spans="1:19" hidden="1">
      <c r="A1646" s="89" t="s">
        <v>3404</v>
      </c>
      <c r="B1646" s="149" t="str">
        <f>IFERROR(VLOOKUP(Proc[[#This Row],[App]],Table2[],3,0),"open")</f>
        <v>ok</v>
      </c>
      <c r="C1646" s="89" t="s">
        <v>369</v>
      </c>
      <c r="D1646" t="s">
        <v>3407</v>
      </c>
      <c r="E1646" t="s">
        <v>3515</v>
      </c>
      <c r="F1646" s="117" t="s">
        <v>3515</v>
      </c>
      <c r="G1646" s="89" t="s">
        <v>400</v>
      </c>
      <c r="H1646" s="85" t="str">
        <f>IF(Proc[[#This Row],[type]]="LFF (MDG-F)",MID(Proc[[#This Row],[Obj]],13,10),"")</f>
        <v/>
      </c>
      <c r="J1646" s="85" t="b">
        <f>Proc[[#This Row],[Requested]]=Proc[[#This Row],[CurrentParent]]</f>
        <v>1</v>
      </c>
      <c r="K1646" s="144" t="str">
        <f>IF(Proc[[#This Row],[Author]]="Marcela Urrego",VLOOKUP(LEFT(Proc[[#This Row],[Requested]],1),Table3[#All],2,0),VLOOKUP(Proc[[#This Row],[Author]],Table4[],2,0))</f>
        <v>LS</v>
      </c>
      <c r="L1646" s="85" t="s">
        <v>2563</v>
      </c>
      <c r="M1646" s="87">
        <v>45801.263680555552</v>
      </c>
      <c r="N1646" s="87"/>
      <c r="O1646" s="87"/>
      <c r="P1646" s="90" t="str">
        <f ca="1">IF(Proc[[#This Row],[DaysAgeing]]&gt;5,"yep","on track")</f>
        <v>yep</v>
      </c>
      <c r="Q1646" s="3">
        <f ca="1">IF(Proc[[#This Row],[DateClosed]]="",ABS(NETWORKDAYS(Proc[[#This Row],[DateOpened]],TODAY()))-1,ABS(NETWORKDAYS(Proc[[#This Row],[DateOpened]],Proc[[#This Row],[DateClosed]]))-1)</f>
        <v>149</v>
      </c>
      <c r="R1646" s="90" t="s">
        <v>489</v>
      </c>
      <c r="S1646" s="85"/>
    </row>
    <row r="1647" spans="1:19" hidden="1">
      <c r="A1647" s="89" t="s">
        <v>3404</v>
      </c>
      <c r="B1647" s="149" t="str">
        <f>IFERROR(VLOOKUP(Proc[[#This Row],[App]],Table2[],3,0),"open")</f>
        <v>ok</v>
      </c>
      <c r="C1647" s="89" t="s">
        <v>369</v>
      </c>
      <c r="D1647" t="s">
        <v>3408</v>
      </c>
      <c r="E1647" t="s">
        <v>3516</v>
      </c>
      <c r="F1647" s="117" t="s">
        <v>3516</v>
      </c>
      <c r="G1647" s="89" t="s">
        <v>400</v>
      </c>
      <c r="H1647" s="85" t="str">
        <f>IF(Proc[[#This Row],[type]]="LFF (MDG-F)",MID(Proc[[#This Row],[Obj]],13,10),"")</f>
        <v/>
      </c>
      <c r="J1647" s="85" t="b">
        <f>Proc[[#This Row],[Requested]]=Proc[[#This Row],[CurrentParent]]</f>
        <v>1</v>
      </c>
      <c r="K1647" s="144" t="str">
        <f>IF(Proc[[#This Row],[Author]]="Marcela Urrego",VLOOKUP(LEFT(Proc[[#This Row],[Requested]],1),Table3[#All],2,0),VLOOKUP(Proc[[#This Row],[Author]],Table4[],2,0))</f>
        <v>LS</v>
      </c>
      <c r="L1647" s="85" t="s">
        <v>2563</v>
      </c>
      <c r="M1647" s="87">
        <v>45801.263680555552</v>
      </c>
      <c r="N1647" s="87"/>
      <c r="O1647" s="87"/>
      <c r="P1647" s="90" t="str">
        <f ca="1">IF(Proc[[#This Row],[DaysAgeing]]&gt;5,"yep","on track")</f>
        <v>yep</v>
      </c>
      <c r="Q1647" s="3">
        <f ca="1">IF(Proc[[#This Row],[DateClosed]]="",ABS(NETWORKDAYS(Proc[[#This Row],[DateOpened]],TODAY()))-1,ABS(NETWORKDAYS(Proc[[#This Row],[DateOpened]],Proc[[#This Row],[DateClosed]]))-1)</f>
        <v>149</v>
      </c>
      <c r="R1647" s="90" t="s">
        <v>489</v>
      </c>
      <c r="S1647" s="85"/>
    </row>
    <row r="1648" spans="1:19" hidden="1">
      <c r="A1648" s="89" t="s">
        <v>3404</v>
      </c>
      <c r="B1648" s="149" t="str">
        <f>IFERROR(VLOOKUP(Proc[[#This Row],[App]],Table2[],3,0),"open")</f>
        <v>ok</v>
      </c>
      <c r="C1648" s="89" t="s">
        <v>369</v>
      </c>
      <c r="D1648" t="s">
        <v>3409</v>
      </c>
      <c r="E1648" t="s">
        <v>3517</v>
      </c>
      <c r="F1648" s="117" t="s">
        <v>3517</v>
      </c>
      <c r="G1648" s="89" t="s">
        <v>400</v>
      </c>
      <c r="H1648" s="85" t="str">
        <f>IF(Proc[[#This Row],[type]]="LFF (MDG-F)",MID(Proc[[#This Row],[Obj]],13,10),"")</f>
        <v/>
      </c>
      <c r="J1648" s="85" t="b">
        <f>Proc[[#This Row],[Requested]]=Proc[[#This Row],[CurrentParent]]</f>
        <v>1</v>
      </c>
      <c r="K1648" s="144" t="str">
        <f>IF(Proc[[#This Row],[Author]]="Marcela Urrego",VLOOKUP(LEFT(Proc[[#This Row],[Requested]],1),Table3[#All],2,0),VLOOKUP(Proc[[#This Row],[Author]],Table4[],2,0))</f>
        <v>LS</v>
      </c>
      <c r="L1648" s="85" t="s">
        <v>2563</v>
      </c>
      <c r="M1648" s="87">
        <v>45801.263680555552</v>
      </c>
      <c r="N1648" s="87"/>
      <c r="O1648" s="87"/>
      <c r="P1648" s="90" t="str">
        <f ca="1">IF(Proc[[#This Row],[DaysAgeing]]&gt;5,"yep","on track")</f>
        <v>yep</v>
      </c>
      <c r="Q1648" s="3">
        <f ca="1">IF(Proc[[#This Row],[DateClosed]]="",ABS(NETWORKDAYS(Proc[[#This Row],[DateOpened]],TODAY()))-1,ABS(NETWORKDAYS(Proc[[#This Row],[DateOpened]],Proc[[#This Row],[DateClosed]]))-1)</f>
        <v>149</v>
      </c>
      <c r="R1648" s="90" t="s">
        <v>489</v>
      </c>
      <c r="S1648" s="85"/>
    </row>
    <row r="1649" spans="1:19" hidden="1">
      <c r="A1649" s="89" t="s">
        <v>3404</v>
      </c>
      <c r="B1649" s="149" t="str">
        <f>IFERROR(VLOOKUP(Proc[[#This Row],[App]],Table2[],3,0),"open")</f>
        <v>ok</v>
      </c>
      <c r="C1649" s="89" t="s">
        <v>369</v>
      </c>
      <c r="D1649" t="s">
        <v>3410</v>
      </c>
      <c r="E1649" t="s">
        <v>3517</v>
      </c>
      <c r="F1649" s="117" t="s">
        <v>3517</v>
      </c>
      <c r="G1649" s="89" t="s">
        <v>400</v>
      </c>
      <c r="H1649" s="85" t="str">
        <f>IF(Proc[[#This Row],[type]]="LFF (MDG-F)",MID(Proc[[#This Row],[Obj]],13,10),"")</f>
        <v/>
      </c>
      <c r="J1649" s="85" t="b">
        <f>Proc[[#This Row],[Requested]]=Proc[[#This Row],[CurrentParent]]</f>
        <v>1</v>
      </c>
      <c r="K1649" s="144" t="str">
        <f>IF(Proc[[#This Row],[Author]]="Marcela Urrego",VLOOKUP(LEFT(Proc[[#This Row],[Requested]],1),Table3[#All],2,0),VLOOKUP(Proc[[#This Row],[Author]],Table4[],2,0))</f>
        <v>LS</v>
      </c>
      <c r="L1649" s="85" t="s">
        <v>2563</v>
      </c>
      <c r="M1649" s="87">
        <v>45801.263680555552</v>
      </c>
      <c r="N1649" s="87"/>
      <c r="O1649" s="87"/>
      <c r="P1649" s="90" t="str">
        <f ca="1">IF(Proc[[#This Row],[DaysAgeing]]&gt;5,"yep","on track")</f>
        <v>yep</v>
      </c>
      <c r="Q1649" s="3">
        <f ca="1">IF(Proc[[#This Row],[DateClosed]]="",ABS(NETWORKDAYS(Proc[[#This Row],[DateOpened]],TODAY()))-1,ABS(NETWORKDAYS(Proc[[#This Row],[DateOpened]],Proc[[#This Row],[DateClosed]]))-1)</f>
        <v>149</v>
      </c>
      <c r="R1649" s="90" t="s">
        <v>489</v>
      </c>
      <c r="S1649" s="85"/>
    </row>
    <row r="1650" spans="1:19" hidden="1">
      <c r="A1650" s="89" t="s">
        <v>3404</v>
      </c>
      <c r="B1650" s="149" t="str">
        <f>IFERROR(VLOOKUP(Proc[[#This Row],[App]],Table2[],3,0),"open")</f>
        <v>ok</v>
      </c>
      <c r="C1650" s="89" t="s">
        <v>369</v>
      </c>
      <c r="D1650" t="s">
        <v>3411</v>
      </c>
      <c r="E1650" t="s">
        <v>3517</v>
      </c>
      <c r="F1650" s="117" t="s">
        <v>3517</v>
      </c>
      <c r="G1650" s="89" t="s">
        <v>400</v>
      </c>
      <c r="H1650" s="85" t="str">
        <f>IF(Proc[[#This Row],[type]]="LFF (MDG-F)",MID(Proc[[#This Row],[Obj]],13,10),"")</f>
        <v/>
      </c>
      <c r="J1650" s="85" t="b">
        <f>Proc[[#This Row],[Requested]]=Proc[[#This Row],[CurrentParent]]</f>
        <v>1</v>
      </c>
      <c r="K1650" s="144" t="str">
        <f>IF(Proc[[#This Row],[Author]]="Marcela Urrego",VLOOKUP(LEFT(Proc[[#This Row],[Requested]],1),Table3[#All],2,0),VLOOKUP(Proc[[#This Row],[Author]],Table4[],2,0))</f>
        <v>LS</v>
      </c>
      <c r="L1650" s="85" t="s">
        <v>2563</v>
      </c>
      <c r="M1650" s="87">
        <v>45801.263680555552</v>
      </c>
      <c r="N1650" s="87"/>
      <c r="O1650" s="87"/>
      <c r="P1650" s="90" t="str">
        <f ca="1">IF(Proc[[#This Row],[DaysAgeing]]&gt;5,"yep","on track")</f>
        <v>yep</v>
      </c>
      <c r="Q1650" s="3">
        <f ca="1">IF(Proc[[#This Row],[DateClosed]]="",ABS(NETWORKDAYS(Proc[[#This Row],[DateOpened]],TODAY()))-1,ABS(NETWORKDAYS(Proc[[#This Row],[DateOpened]],Proc[[#This Row],[DateClosed]]))-1)</f>
        <v>149</v>
      </c>
      <c r="R1650" s="90" t="s">
        <v>489</v>
      </c>
      <c r="S1650" s="85"/>
    </row>
    <row r="1651" spans="1:19" hidden="1">
      <c r="A1651" s="89" t="s">
        <v>3404</v>
      </c>
      <c r="B1651" s="149" t="str">
        <f>IFERROR(VLOOKUP(Proc[[#This Row],[App]],Table2[],3,0),"open")</f>
        <v>ok</v>
      </c>
      <c r="C1651" s="89" t="s">
        <v>369</v>
      </c>
      <c r="D1651" t="s">
        <v>3412</v>
      </c>
      <c r="E1651" t="s">
        <v>3518</v>
      </c>
      <c r="F1651" s="117" t="s">
        <v>3518</v>
      </c>
      <c r="G1651" s="89" t="s">
        <v>400</v>
      </c>
      <c r="H1651" s="85" t="str">
        <f>IF(Proc[[#This Row],[type]]="LFF (MDG-F)",MID(Proc[[#This Row],[Obj]],13,10),"")</f>
        <v/>
      </c>
      <c r="J1651" s="85" t="b">
        <f>Proc[[#This Row],[Requested]]=Proc[[#This Row],[CurrentParent]]</f>
        <v>1</v>
      </c>
      <c r="K1651" s="144" t="str">
        <f>IF(Proc[[#This Row],[Author]]="Marcela Urrego",VLOOKUP(LEFT(Proc[[#This Row],[Requested]],1),Table3[#All],2,0),VLOOKUP(Proc[[#This Row],[Author]],Table4[],2,0))</f>
        <v>LS</v>
      </c>
      <c r="L1651" s="85" t="s">
        <v>2563</v>
      </c>
      <c r="M1651" s="87">
        <v>45801.263680555552</v>
      </c>
      <c r="N1651" s="87"/>
      <c r="O1651" s="87"/>
      <c r="P1651" s="90" t="str">
        <f ca="1">IF(Proc[[#This Row],[DaysAgeing]]&gt;5,"yep","on track")</f>
        <v>yep</v>
      </c>
      <c r="Q1651" s="3">
        <f ca="1">IF(Proc[[#This Row],[DateClosed]]="",ABS(NETWORKDAYS(Proc[[#This Row],[DateOpened]],TODAY()))-1,ABS(NETWORKDAYS(Proc[[#This Row],[DateOpened]],Proc[[#This Row],[DateClosed]]))-1)</f>
        <v>149</v>
      </c>
      <c r="R1651" s="90" t="s">
        <v>489</v>
      </c>
      <c r="S1651" s="85"/>
    </row>
    <row r="1652" spans="1:19" hidden="1">
      <c r="A1652" s="89" t="s">
        <v>3404</v>
      </c>
      <c r="B1652" s="149" t="str">
        <f>IFERROR(VLOOKUP(Proc[[#This Row],[App]],Table2[],3,0),"open")</f>
        <v>ok</v>
      </c>
      <c r="C1652" s="89" t="s">
        <v>369</v>
      </c>
      <c r="D1652" t="s">
        <v>3413</v>
      </c>
      <c r="E1652" t="s">
        <v>3515</v>
      </c>
      <c r="F1652" s="117" t="s">
        <v>3515</v>
      </c>
      <c r="G1652" s="89" t="s">
        <v>400</v>
      </c>
      <c r="H1652" s="85" t="str">
        <f>IF(Proc[[#This Row],[type]]="LFF (MDG-F)",MID(Proc[[#This Row],[Obj]],13,10),"")</f>
        <v/>
      </c>
      <c r="J1652" s="85" t="b">
        <f>Proc[[#This Row],[Requested]]=Proc[[#This Row],[CurrentParent]]</f>
        <v>1</v>
      </c>
      <c r="K1652" s="144" t="str">
        <f>IF(Proc[[#This Row],[Author]]="Marcela Urrego",VLOOKUP(LEFT(Proc[[#This Row],[Requested]],1),Table3[#All],2,0),VLOOKUP(Proc[[#This Row],[Author]],Table4[],2,0))</f>
        <v>LS</v>
      </c>
      <c r="L1652" s="85" t="s">
        <v>2563</v>
      </c>
      <c r="M1652" s="87">
        <v>45801.263680555552</v>
      </c>
      <c r="N1652" s="87"/>
      <c r="O1652" s="87"/>
      <c r="P1652" s="90" t="str">
        <f ca="1">IF(Proc[[#This Row],[DaysAgeing]]&gt;5,"yep","on track")</f>
        <v>yep</v>
      </c>
      <c r="Q1652" s="3">
        <f ca="1">IF(Proc[[#This Row],[DateClosed]]="",ABS(NETWORKDAYS(Proc[[#This Row],[DateOpened]],TODAY()))-1,ABS(NETWORKDAYS(Proc[[#This Row],[DateOpened]],Proc[[#This Row],[DateClosed]]))-1)</f>
        <v>149</v>
      </c>
      <c r="R1652" s="90" t="s">
        <v>489</v>
      </c>
      <c r="S1652" s="85"/>
    </row>
    <row r="1653" spans="1:19" hidden="1">
      <c r="A1653" s="89" t="s">
        <v>3404</v>
      </c>
      <c r="B1653" s="149" t="str">
        <f>IFERROR(VLOOKUP(Proc[[#This Row],[App]],Table2[],3,0),"open")</f>
        <v>ok</v>
      </c>
      <c r="C1653" s="89" t="s">
        <v>369</v>
      </c>
      <c r="D1653" t="s">
        <v>3414</v>
      </c>
      <c r="E1653" t="s">
        <v>3519</v>
      </c>
      <c r="F1653" s="117" t="s">
        <v>3519</v>
      </c>
      <c r="G1653" s="89" t="s">
        <v>400</v>
      </c>
      <c r="H1653" s="85" t="str">
        <f>IF(Proc[[#This Row],[type]]="LFF (MDG-F)",MID(Proc[[#This Row],[Obj]],13,10),"")</f>
        <v/>
      </c>
      <c r="J1653" s="85" t="b">
        <f>Proc[[#This Row],[Requested]]=Proc[[#This Row],[CurrentParent]]</f>
        <v>1</v>
      </c>
      <c r="K1653" s="144" t="str">
        <f>IF(Proc[[#This Row],[Author]]="Marcela Urrego",VLOOKUP(LEFT(Proc[[#This Row],[Requested]],1),Table3[#All],2,0),VLOOKUP(Proc[[#This Row],[Author]],Table4[],2,0))</f>
        <v>LS</v>
      </c>
      <c r="L1653" s="85" t="s">
        <v>2563</v>
      </c>
      <c r="M1653" s="87">
        <v>45801.263680555552</v>
      </c>
      <c r="N1653" s="87"/>
      <c r="O1653" s="87"/>
      <c r="P1653" s="90" t="str">
        <f ca="1">IF(Proc[[#This Row],[DaysAgeing]]&gt;5,"yep","on track")</f>
        <v>yep</v>
      </c>
      <c r="Q1653" s="3">
        <f ca="1">IF(Proc[[#This Row],[DateClosed]]="",ABS(NETWORKDAYS(Proc[[#This Row],[DateOpened]],TODAY()))-1,ABS(NETWORKDAYS(Proc[[#This Row],[DateOpened]],Proc[[#This Row],[DateClosed]]))-1)</f>
        <v>149</v>
      </c>
      <c r="R1653" s="90" t="s">
        <v>489</v>
      </c>
      <c r="S1653" s="85"/>
    </row>
    <row r="1654" spans="1:19" hidden="1">
      <c r="A1654" s="89" t="s">
        <v>3404</v>
      </c>
      <c r="B1654" s="149" t="str">
        <f>IFERROR(VLOOKUP(Proc[[#This Row],[App]],Table2[],3,0),"open")</f>
        <v>ok</v>
      </c>
      <c r="C1654" s="89" t="s">
        <v>369</v>
      </c>
      <c r="D1654" t="s">
        <v>3415</v>
      </c>
      <c r="E1654" t="s">
        <v>3520</v>
      </c>
      <c r="F1654" s="117" t="s">
        <v>3520</v>
      </c>
      <c r="G1654" s="89" t="s">
        <v>400</v>
      </c>
      <c r="H1654" s="85" t="str">
        <f>IF(Proc[[#This Row],[type]]="LFF (MDG-F)",MID(Proc[[#This Row],[Obj]],13,10),"")</f>
        <v/>
      </c>
      <c r="J1654" s="85" t="b">
        <f>Proc[[#This Row],[Requested]]=Proc[[#This Row],[CurrentParent]]</f>
        <v>1</v>
      </c>
      <c r="K1654" s="144" t="str">
        <f>IF(Proc[[#This Row],[Author]]="Marcela Urrego",VLOOKUP(LEFT(Proc[[#This Row],[Requested]],1),Table3[#All],2,0),VLOOKUP(Proc[[#This Row],[Author]],Table4[],2,0))</f>
        <v>LS</v>
      </c>
      <c r="L1654" s="85" t="s">
        <v>2563</v>
      </c>
      <c r="M1654" s="87">
        <v>45801.263680555552</v>
      </c>
      <c r="N1654" s="87"/>
      <c r="O1654" s="87"/>
      <c r="P1654" s="90" t="str">
        <f ca="1">IF(Proc[[#This Row],[DaysAgeing]]&gt;5,"yep","on track")</f>
        <v>yep</v>
      </c>
      <c r="Q1654" s="3">
        <f ca="1">IF(Proc[[#This Row],[DateClosed]]="",ABS(NETWORKDAYS(Proc[[#This Row],[DateOpened]],TODAY()))-1,ABS(NETWORKDAYS(Proc[[#This Row],[DateOpened]],Proc[[#This Row],[DateClosed]]))-1)</f>
        <v>149</v>
      </c>
      <c r="R1654" s="90" t="s">
        <v>489</v>
      </c>
      <c r="S1654" s="85"/>
    </row>
    <row r="1655" spans="1:19" hidden="1">
      <c r="A1655" s="89" t="s">
        <v>3404</v>
      </c>
      <c r="B1655" s="149" t="str">
        <f>IFERROR(VLOOKUP(Proc[[#This Row],[App]],Table2[],3,0),"open")</f>
        <v>ok</v>
      </c>
      <c r="C1655" s="89" t="s">
        <v>369</v>
      </c>
      <c r="D1655" t="s">
        <v>3416</v>
      </c>
      <c r="E1655" t="s">
        <v>3520</v>
      </c>
      <c r="F1655" s="117" t="s">
        <v>3520</v>
      </c>
      <c r="G1655" s="89" t="s">
        <v>400</v>
      </c>
      <c r="H1655" s="85" t="str">
        <f>IF(Proc[[#This Row],[type]]="LFF (MDG-F)",MID(Proc[[#This Row],[Obj]],13,10),"")</f>
        <v/>
      </c>
      <c r="J1655" s="85" t="b">
        <f>Proc[[#This Row],[Requested]]=Proc[[#This Row],[CurrentParent]]</f>
        <v>1</v>
      </c>
      <c r="K1655" s="144" t="str">
        <f>IF(Proc[[#This Row],[Author]]="Marcela Urrego",VLOOKUP(LEFT(Proc[[#This Row],[Requested]],1),Table3[#All],2,0),VLOOKUP(Proc[[#This Row],[Author]],Table4[],2,0))</f>
        <v>LS</v>
      </c>
      <c r="L1655" s="85" t="s">
        <v>2563</v>
      </c>
      <c r="M1655" s="87">
        <v>45801.263680555552</v>
      </c>
      <c r="N1655" s="87"/>
      <c r="O1655" s="87"/>
      <c r="P1655" s="90" t="str">
        <f ca="1">IF(Proc[[#This Row],[DaysAgeing]]&gt;5,"yep","on track")</f>
        <v>yep</v>
      </c>
      <c r="Q1655" s="3">
        <f ca="1">IF(Proc[[#This Row],[DateClosed]]="",ABS(NETWORKDAYS(Proc[[#This Row],[DateOpened]],TODAY()))-1,ABS(NETWORKDAYS(Proc[[#This Row],[DateOpened]],Proc[[#This Row],[DateClosed]]))-1)</f>
        <v>149</v>
      </c>
      <c r="R1655" s="90" t="s">
        <v>489</v>
      </c>
      <c r="S1655" s="85"/>
    </row>
    <row r="1656" spans="1:19" hidden="1">
      <c r="A1656" s="89" t="s">
        <v>3404</v>
      </c>
      <c r="B1656" s="149" t="str">
        <f>IFERROR(VLOOKUP(Proc[[#This Row],[App]],Table2[],3,0),"open")</f>
        <v>ok</v>
      </c>
      <c r="C1656" s="89" t="s">
        <v>369</v>
      </c>
      <c r="D1656" t="s">
        <v>3417</v>
      </c>
      <c r="E1656" t="s">
        <v>3521</v>
      </c>
      <c r="F1656" s="117" t="s">
        <v>3521</v>
      </c>
      <c r="G1656" s="89" t="s">
        <v>400</v>
      </c>
      <c r="H1656" s="85" t="str">
        <f>IF(Proc[[#This Row],[type]]="LFF (MDG-F)",MID(Proc[[#This Row],[Obj]],13,10),"")</f>
        <v/>
      </c>
      <c r="J1656" s="85" t="b">
        <f>Proc[[#This Row],[Requested]]=Proc[[#This Row],[CurrentParent]]</f>
        <v>1</v>
      </c>
      <c r="K1656" s="144" t="str">
        <f>IF(Proc[[#This Row],[Author]]="Marcela Urrego",VLOOKUP(LEFT(Proc[[#This Row],[Requested]],1),Table3[#All],2,0),VLOOKUP(Proc[[#This Row],[Author]],Table4[],2,0))</f>
        <v>LS</v>
      </c>
      <c r="L1656" s="85" t="s">
        <v>2563</v>
      </c>
      <c r="M1656" s="87">
        <v>45801.263680555552</v>
      </c>
      <c r="N1656" s="87"/>
      <c r="O1656" s="87"/>
      <c r="P1656" s="90" t="str">
        <f ca="1">IF(Proc[[#This Row],[DaysAgeing]]&gt;5,"yep","on track")</f>
        <v>yep</v>
      </c>
      <c r="Q1656" s="3">
        <f ca="1">IF(Proc[[#This Row],[DateClosed]]="",ABS(NETWORKDAYS(Proc[[#This Row],[DateOpened]],TODAY()))-1,ABS(NETWORKDAYS(Proc[[#This Row],[DateOpened]],Proc[[#This Row],[DateClosed]]))-1)</f>
        <v>149</v>
      </c>
      <c r="R1656" s="90" t="s">
        <v>489</v>
      </c>
      <c r="S1656" s="85"/>
    </row>
    <row r="1657" spans="1:19" hidden="1">
      <c r="A1657" s="89" t="s">
        <v>3404</v>
      </c>
      <c r="B1657" s="149" t="str">
        <f>IFERROR(VLOOKUP(Proc[[#This Row],[App]],Table2[],3,0),"open")</f>
        <v>ok</v>
      </c>
      <c r="C1657" s="89" t="s">
        <v>369</v>
      </c>
      <c r="D1657" t="s">
        <v>3418</v>
      </c>
      <c r="E1657" t="s">
        <v>3515</v>
      </c>
      <c r="F1657" s="117" t="s">
        <v>3515</v>
      </c>
      <c r="G1657" s="89" t="s">
        <v>400</v>
      </c>
      <c r="H1657" s="85" t="str">
        <f>IF(Proc[[#This Row],[type]]="LFF (MDG-F)",MID(Proc[[#This Row],[Obj]],13,10),"")</f>
        <v/>
      </c>
      <c r="J1657" s="85" t="b">
        <f>Proc[[#This Row],[Requested]]=Proc[[#This Row],[CurrentParent]]</f>
        <v>1</v>
      </c>
      <c r="K1657" s="144" t="str">
        <f>IF(Proc[[#This Row],[Author]]="Marcela Urrego",VLOOKUP(LEFT(Proc[[#This Row],[Requested]],1),Table3[#All],2,0),VLOOKUP(Proc[[#This Row],[Author]],Table4[],2,0))</f>
        <v>LS</v>
      </c>
      <c r="L1657" s="85" t="s">
        <v>2563</v>
      </c>
      <c r="M1657" s="87">
        <v>45801.263680555552</v>
      </c>
      <c r="N1657" s="87"/>
      <c r="O1657" s="87"/>
      <c r="P1657" s="90" t="str">
        <f ca="1">IF(Proc[[#This Row],[DaysAgeing]]&gt;5,"yep","on track")</f>
        <v>yep</v>
      </c>
      <c r="Q1657" s="3">
        <f ca="1">IF(Proc[[#This Row],[DateClosed]]="",ABS(NETWORKDAYS(Proc[[#This Row],[DateOpened]],TODAY()))-1,ABS(NETWORKDAYS(Proc[[#This Row],[DateOpened]],Proc[[#This Row],[DateClosed]]))-1)</f>
        <v>149</v>
      </c>
      <c r="R1657" s="90" t="s">
        <v>489</v>
      </c>
      <c r="S1657" s="85"/>
    </row>
    <row r="1658" spans="1:19" hidden="1">
      <c r="A1658" s="89" t="s">
        <v>3404</v>
      </c>
      <c r="B1658" s="149" t="str">
        <f>IFERROR(VLOOKUP(Proc[[#This Row],[App]],Table2[],3,0),"open")</f>
        <v>ok</v>
      </c>
      <c r="C1658" s="89" t="s">
        <v>369</v>
      </c>
      <c r="D1658" t="s">
        <v>3419</v>
      </c>
      <c r="E1658" t="s">
        <v>3522</v>
      </c>
      <c r="F1658" s="117" t="s">
        <v>3522</v>
      </c>
      <c r="G1658" s="89" t="s">
        <v>400</v>
      </c>
      <c r="H1658" s="85" t="str">
        <f>IF(Proc[[#This Row],[type]]="LFF (MDG-F)",MID(Proc[[#This Row],[Obj]],13,10),"")</f>
        <v/>
      </c>
      <c r="J1658" s="85" t="b">
        <f>Proc[[#This Row],[Requested]]=Proc[[#This Row],[CurrentParent]]</f>
        <v>1</v>
      </c>
      <c r="K1658" s="144" t="str">
        <f>IF(Proc[[#This Row],[Author]]="Marcela Urrego",VLOOKUP(LEFT(Proc[[#This Row],[Requested]],1),Table3[#All],2,0),VLOOKUP(Proc[[#This Row],[Author]],Table4[],2,0))</f>
        <v>LS</v>
      </c>
      <c r="L1658" s="85" t="s">
        <v>2563</v>
      </c>
      <c r="M1658" s="87">
        <v>45801.263680555552</v>
      </c>
      <c r="N1658" s="87"/>
      <c r="O1658" s="87"/>
      <c r="P1658" s="90" t="str">
        <f ca="1">IF(Proc[[#This Row],[DaysAgeing]]&gt;5,"yep","on track")</f>
        <v>yep</v>
      </c>
      <c r="Q1658" s="3">
        <f ca="1">IF(Proc[[#This Row],[DateClosed]]="",ABS(NETWORKDAYS(Proc[[#This Row],[DateOpened]],TODAY()))-1,ABS(NETWORKDAYS(Proc[[#This Row],[DateOpened]],Proc[[#This Row],[DateClosed]]))-1)</f>
        <v>149</v>
      </c>
      <c r="R1658" s="90" t="s">
        <v>489</v>
      </c>
      <c r="S1658" s="85"/>
    </row>
    <row r="1659" spans="1:19" hidden="1">
      <c r="A1659" s="89" t="s">
        <v>3404</v>
      </c>
      <c r="B1659" s="149" t="str">
        <f>IFERROR(VLOOKUP(Proc[[#This Row],[App]],Table2[],3,0),"open")</f>
        <v>ok</v>
      </c>
      <c r="C1659" s="89" t="s">
        <v>369</v>
      </c>
      <c r="D1659" t="s">
        <v>3420</v>
      </c>
      <c r="E1659" t="s">
        <v>3515</v>
      </c>
      <c r="F1659" s="117" t="s">
        <v>3515</v>
      </c>
      <c r="G1659" s="89" t="s">
        <v>400</v>
      </c>
      <c r="H1659" s="85" t="str">
        <f>IF(Proc[[#This Row],[type]]="LFF (MDG-F)",MID(Proc[[#This Row],[Obj]],13,10),"")</f>
        <v/>
      </c>
      <c r="J1659" s="85" t="b">
        <f>Proc[[#This Row],[Requested]]=Proc[[#This Row],[CurrentParent]]</f>
        <v>1</v>
      </c>
      <c r="K1659" s="144" t="str">
        <f>IF(Proc[[#This Row],[Author]]="Marcela Urrego",VLOOKUP(LEFT(Proc[[#This Row],[Requested]],1),Table3[#All],2,0),VLOOKUP(Proc[[#This Row],[Author]],Table4[],2,0))</f>
        <v>LS</v>
      </c>
      <c r="L1659" s="85" t="s">
        <v>2563</v>
      </c>
      <c r="M1659" s="87">
        <v>45801.263680555552</v>
      </c>
      <c r="N1659" s="87"/>
      <c r="O1659" s="87"/>
      <c r="P1659" s="90" t="str">
        <f ca="1">IF(Proc[[#This Row],[DaysAgeing]]&gt;5,"yep","on track")</f>
        <v>yep</v>
      </c>
      <c r="Q1659" s="3">
        <f ca="1">IF(Proc[[#This Row],[DateClosed]]="",ABS(NETWORKDAYS(Proc[[#This Row],[DateOpened]],TODAY()))-1,ABS(NETWORKDAYS(Proc[[#This Row],[DateOpened]],Proc[[#This Row],[DateClosed]]))-1)</f>
        <v>149</v>
      </c>
      <c r="R1659" s="90" t="s">
        <v>489</v>
      </c>
      <c r="S1659" s="85"/>
    </row>
    <row r="1660" spans="1:19" hidden="1">
      <c r="A1660" s="89" t="s">
        <v>3404</v>
      </c>
      <c r="B1660" s="149" t="str">
        <f>IFERROR(VLOOKUP(Proc[[#This Row],[App]],Table2[],3,0),"open")</f>
        <v>ok</v>
      </c>
      <c r="C1660" s="89" t="s">
        <v>369</v>
      </c>
      <c r="D1660" t="s">
        <v>3421</v>
      </c>
      <c r="E1660" t="s">
        <v>3515</v>
      </c>
      <c r="F1660" s="117" t="s">
        <v>3515</v>
      </c>
      <c r="G1660" s="89" t="s">
        <v>400</v>
      </c>
      <c r="H1660" s="85" t="str">
        <f>IF(Proc[[#This Row],[type]]="LFF (MDG-F)",MID(Proc[[#This Row],[Obj]],13,10),"")</f>
        <v/>
      </c>
      <c r="J1660" s="85" t="b">
        <f>Proc[[#This Row],[Requested]]=Proc[[#This Row],[CurrentParent]]</f>
        <v>1</v>
      </c>
      <c r="K1660" s="144" t="str">
        <f>IF(Proc[[#This Row],[Author]]="Marcela Urrego",VLOOKUP(LEFT(Proc[[#This Row],[Requested]],1),Table3[#All],2,0),VLOOKUP(Proc[[#This Row],[Author]],Table4[],2,0))</f>
        <v>LS</v>
      </c>
      <c r="L1660" s="85" t="s">
        <v>2563</v>
      </c>
      <c r="M1660" s="87">
        <v>45801.263680555552</v>
      </c>
      <c r="N1660" s="87"/>
      <c r="O1660" s="87"/>
      <c r="P1660" s="90" t="str">
        <f ca="1">IF(Proc[[#This Row],[DaysAgeing]]&gt;5,"yep","on track")</f>
        <v>yep</v>
      </c>
      <c r="Q1660" s="3">
        <f ca="1">IF(Proc[[#This Row],[DateClosed]]="",ABS(NETWORKDAYS(Proc[[#This Row],[DateOpened]],TODAY()))-1,ABS(NETWORKDAYS(Proc[[#This Row],[DateOpened]],Proc[[#This Row],[DateClosed]]))-1)</f>
        <v>149</v>
      </c>
      <c r="R1660" s="90" t="s">
        <v>489</v>
      </c>
      <c r="S1660" s="85"/>
    </row>
    <row r="1661" spans="1:19" hidden="1">
      <c r="A1661" s="89" t="s">
        <v>3404</v>
      </c>
      <c r="B1661" s="149" t="str">
        <f>IFERROR(VLOOKUP(Proc[[#This Row],[App]],Table2[],3,0),"open")</f>
        <v>ok</v>
      </c>
      <c r="C1661" s="89" t="s">
        <v>369</v>
      </c>
      <c r="D1661" t="s">
        <v>3422</v>
      </c>
      <c r="E1661" t="s">
        <v>3523</v>
      </c>
      <c r="F1661" s="117" t="s">
        <v>3523</v>
      </c>
      <c r="G1661" s="89" t="s">
        <v>400</v>
      </c>
      <c r="H1661" s="85" t="str">
        <f>IF(Proc[[#This Row],[type]]="LFF (MDG-F)",MID(Proc[[#This Row],[Obj]],13,10),"")</f>
        <v/>
      </c>
      <c r="J1661" s="85" t="b">
        <f>Proc[[#This Row],[Requested]]=Proc[[#This Row],[CurrentParent]]</f>
        <v>1</v>
      </c>
      <c r="K1661" s="144" t="str">
        <f>IF(Proc[[#This Row],[Author]]="Marcela Urrego",VLOOKUP(LEFT(Proc[[#This Row],[Requested]],1),Table3[#All],2,0),VLOOKUP(Proc[[#This Row],[Author]],Table4[],2,0))</f>
        <v>LS</v>
      </c>
      <c r="L1661" s="85" t="s">
        <v>2563</v>
      </c>
      <c r="M1661" s="87">
        <v>45801.263680555552</v>
      </c>
      <c r="N1661" s="87"/>
      <c r="O1661" s="87"/>
      <c r="P1661" s="90" t="str">
        <f ca="1">IF(Proc[[#This Row],[DaysAgeing]]&gt;5,"yep","on track")</f>
        <v>yep</v>
      </c>
      <c r="Q1661" s="3">
        <f ca="1">IF(Proc[[#This Row],[DateClosed]]="",ABS(NETWORKDAYS(Proc[[#This Row],[DateOpened]],TODAY()))-1,ABS(NETWORKDAYS(Proc[[#This Row],[DateOpened]],Proc[[#This Row],[DateClosed]]))-1)</f>
        <v>149</v>
      </c>
      <c r="R1661" s="90" t="s">
        <v>489</v>
      </c>
      <c r="S1661" s="85"/>
    </row>
    <row r="1662" spans="1:19" hidden="1">
      <c r="A1662" s="89" t="s">
        <v>3404</v>
      </c>
      <c r="B1662" s="149" t="str">
        <f>IFERROR(VLOOKUP(Proc[[#This Row],[App]],Table2[],3,0),"open")</f>
        <v>ok</v>
      </c>
      <c r="C1662" s="89" t="s">
        <v>369</v>
      </c>
      <c r="D1662" t="s">
        <v>3423</v>
      </c>
      <c r="E1662" t="s">
        <v>3524</v>
      </c>
      <c r="F1662" s="117" t="s">
        <v>3524</v>
      </c>
      <c r="G1662" s="89" t="s">
        <v>400</v>
      </c>
      <c r="H1662" s="85" t="str">
        <f>IF(Proc[[#This Row],[type]]="LFF (MDG-F)",MID(Proc[[#This Row],[Obj]],13,10),"")</f>
        <v/>
      </c>
      <c r="J1662" s="85" t="b">
        <f>Proc[[#This Row],[Requested]]=Proc[[#This Row],[CurrentParent]]</f>
        <v>1</v>
      </c>
      <c r="K1662" s="144" t="str">
        <f>IF(Proc[[#This Row],[Author]]="Marcela Urrego",VLOOKUP(LEFT(Proc[[#This Row],[Requested]],1),Table3[#All],2,0),VLOOKUP(Proc[[#This Row],[Author]],Table4[],2,0))</f>
        <v>LS</v>
      </c>
      <c r="L1662" s="85" t="s">
        <v>2563</v>
      </c>
      <c r="M1662" s="87">
        <v>45801.263680555552</v>
      </c>
      <c r="N1662" s="87"/>
      <c r="O1662" s="87"/>
      <c r="P1662" s="90" t="str">
        <f ca="1">IF(Proc[[#This Row],[DaysAgeing]]&gt;5,"yep","on track")</f>
        <v>yep</v>
      </c>
      <c r="Q1662" s="3">
        <f ca="1">IF(Proc[[#This Row],[DateClosed]]="",ABS(NETWORKDAYS(Proc[[#This Row],[DateOpened]],TODAY()))-1,ABS(NETWORKDAYS(Proc[[#This Row],[DateOpened]],Proc[[#This Row],[DateClosed]]))-1)</f>
        <v>149</v>
      </c>
      <c r="R1662" s="90" t="s">
        <v>489</v>
      </c>
      <c r="S1662" s="85"/>
    </row>
    <row r="1663" spans="1:19" hidden="1">
      <c r="A1663" s="89" t="s">
        <v>3404</v>
      </c>
      <c r="B1663" s="149" t="str">
        <f>IFERROR(VLOOKUP(Proc[[#This Row],[App]],Table2[],3,0),"open")</f>
        <v>ok</v>
      </c>
      <c r="C1663" s="89" t="s">
        <v>369</v>
      </c>
      <c r="D1663" t="s">
        <v>3424</v>
      </c>
      <c r="E1663" t="s">
        <v>3515</v>
      </c>
      <c r="F1663" s="117" t="s">
        <v>3515</v>
      </c>
      <c r="G1663" s="89" t="s">
        <v>400</v>
      </c>
      <c r="H1663" s="85" t="str">
        <f>IF(Proc[[#This Row],[type]]="LFF (MDG-F)",MID(Proc[[#This Row],[Obj]],13,10),"")</f>
        <v/>
      </c>
      <c r="J1663" s="85" t="b">
        <f>Proc[[#This Row],[Requested]]=Proc[[#This Row],[CurrentParent]]</f>
        <v>1</v>
      </c>
      <c r="K1663" s="144" t="str">
        <f>IF(Proc[[#This Row],[Author]]="Marcela Urrego",VLOOKUP(LEFT(Proc[[#This Row],[Requested]],1),Table3[#All],2,0),VLOOKUP(Proc[[#This Row],[Author]],Table4[],2,0))</f>
        <v>LS</v>
      </c>
      <c r="L1663" s="85" t="s">
        <v>2563</v>
      </c>
      <c r="M1663" s="87">
        <v>45801.263680555552</v>
      </c>
      <c r="N1663" s="87"/>
      <c r="O1663" s="87"/>
      <c r="P1663" s="90" t="str">
        <f ca="1">IF(Proc[[#This Row],[DaysAgeing]]&gt;5,"yep","on track")</f>
        <v>yep</v>
      </c>
      <c r="Q1663" s="3">
        <f ca="1">IF(Proc[[#This Row],[DateClosed]]="",ABS(NETWORKDAYS(Proc[[#This Row],[DateOpened]],TODAY()))-1,ABS(NETWORKDAYS(Proc[[#This Row],[DateOpened]],Proc[[#This Row],[DateClosed]]))-1)</f>
        <v>149</v>
      </c>
      <c r="R1663" s="90" t="s">
        <v>489</v>
      </c>
      <c r="S1663" s="85"/>
    </row>
    <row r="1664" spans="1:19" hidden="1">
      <c r="A1664" s="89" t="s">
        <v>3404</v>
      </c>
      <c r="B1664" s="149" t="str">
        <f>IFERROR(VLOOKUP(Proc[[#This Row],[App]],Table2[],3,0),"open")</f>
        <v>ok</v>
      </c>
      <c r="C1664" s="89" t="s">
        <v>369</v>
      </c>
      <c r="D1664" t="s">
        <v>3425</v>
      </c>
      <c r="E1664" t="s">
        <v>3515</v>
      </c>
      <c r="F1664" s="117" t="s">
        <v>3515</v>
      </c>
      <c r="G1664" s="89" t="s">
        <v>400</v>
      </c>
      <c r="H1664" s="85" t="str">
        <f>IF(Proc[[#This Row],[type]]="LFF (MDG-F)",MID(Proc[[#This Row],[Obj]],13,10),"")</f>
        <v/>
      </c>
      <c r="J1664" s="85" t="b">
        <f>Proc[[#This Row],[Requested]]=Proc[[#This Row],[CurrentParent]]</f>
        <v>1</v>
      </c>
      <c r="K1664" s="144" t="str">
        <f>IF(Proc[[#This Row],[Author]]="Marcela Urrego",VLOOKUP(LEFT(Proc[[#This Row],[Requested]],1),Table3[#All],2,0),VLOOKUP(Proc[[#This Row],[Author]],Table4[],2,0))</f>
        <v>LS</v>
      </c>
      <c r="L1664" s="85" t="s">
        <v>2563</v>
      </c>
      <c r="M1664" s="87">
        <v>45801.263680555552</v>
      </c>
      <c r="N1664" s="87"/>
      <c r="O1664" s="87"/>
      <c r="P1664" s="90" t="str">
        <f ca="1">IF(Proc[[#This Row],[DaysAgeing]]&gt;5,"yep","on track")</f>
        <v>yep</v>
      </c>
      <c r="Q1664" s="3">
        <f ca="1">IF(Proc[[#This Row],[DateClosed]]="",ABS(NETWORKDAYS(Proc[[#This Row],[DateOpened]],TODAY()))-1,ABS(NETWORKDAYS(Proc[[#This Row],[DateOpened]],Proc[[#This Row],[DateClosed]]))-1)</f>
        <v>149</v>
      </c>
      <c r="R1664" s="90" t="s">
        <v>489</v>
      </c>
      <c r="S1664" s="85"/>
    </row>
    <row r="1665" spans="1:19" hidden="1">
      <c r="A1665" s="89" t="s">
        <v>3404</v>
      </c>
      <c r="B1665" s="149" t="str">
        <f>IFERROR(VLOOKUP(Proc[[#This Row],[App]],Table2[],3,0),"open")</f>
        <v>ok</v>
      </c>
      <c r="C1665" s="89" t="s">
        <v>369</v>
      </c>
      <c r="D1665" t="s">
        <v>3426</v>
      </c>
      <c r="E1665" t="s">
        <v>3515</v>
      </c>
      <c r="F1665" s="117" t="s">
        <v>3515</v>
      </c>
      <c r="G1665" s="89" t="s">
        <v>400</v>
      </c>
      <c r="H1665" s="85" t="str">
        <f>IF(Proc[[#This Row],[type]]="LFF (MDG-F)",MID(Proc[[#This Row],[Obj]],13,10),"")</f>
        <v/>
      </c>
      <c r="J1665" s="85" t="b">
        <f>Proc[[#This Row],[Requested]]=Proc[[#This Row],[CurrentParent]]</f>
        <v>1</v>
      </c>
      <c r="K1665" s="144" t="str">
        <f>IF(Proc[[#This Row],[Author]]="Marcela Urrego",VLOOKUP(LEFT(Proc[[#This Row],[Requested]],1),Table3[#All],2,0),VLOOKUP(Proc[[#This Row],[Author]],Table4[],2,0))</f>
        <v>LS</v>
      </c>
      <c r="L1665" s="85" t="s">
        <v>2563</v>
      </c>
      <c r="M1665" s="87">
        <v>45801.263680555552</v>
      </c>
      <c r="N1665" s="87"/>
      <c r="O1665" s="87"/>
      <c r="P1665" s="90" t="str">
        <f ca="1">IF(Proc[[#This Row],[DaysAgeing]]&gt;5,"yep","on track")</f>
        <v>yep</v>
      </c>
      <c r="Q1665" s="3">
        <f ca="1">IF(Proc[[#This Row],[DateClosed]]="",ABS(NETWORKDAYS(Proc[[#This Row],[DateOpened]],TODAY()))-1,ABS(NETWORKDAYS(Proc[[#This Row],[DateOpened]],Proc[[#This Row],[DateClosed]]))-1)</f>
        <v>149</v>
      </c>
      <c r="R1665" s="90" t="s">
        <v>489</v>
      </c>
      <c r="S1665" s="85"/>
    </row>
    <row r="1666" spans="1:19" hidden="1">
      <c r="A1666" s="89" t="s">
        <v>3404</v>
      </c>
      <c r="B1666" s="149" t="str">
        <f>IFERROR(VLOOKUP(Proc[[#This Row],[App]],Table2[],3,0),"open")</f>
        <v>ok</v>
      </c>
      <c r="C1666" s="89" t="s">
        <v>369</v>
      </c>
      <c r="D1666" t="s">
        <v>3427</v>
      </c>
      <c r="E1666" t="s">
        <v>3525</v>
      </c>
      <c r="F1666" s="117" t="s">
        <v>3525</v>
      </c>
      <c r="G1666" s="89" t="s">
        <v>400</v>
      </c>
      <c r="H1666" s="85" t="str">
        <f>IF(Proc[[#This Row],[type]]="LFF (MDG-F)",MID(Proc[[#This Row],[Obj]],13,10),"")</f>
        <v/>
      </c>
      <c r="J1666" s="85" t="b">
        <f>Proc[[#This Row],[Requested]]=Proc[[#This Row],[CurrentParent]]</f>
        <v>1</v>
      </c>
      <c r="K1666" s="144" t="str">
        <f>IF(Proc[[#This Row],[Author]]="Marcela Urrego",VLOOKUP(LEFT(Proc[[#This Row],[Requested]],1),Table3[#All],2,0),VLOOKUP(Proc[[#This Row],[Author]],Table4[],2,0))</f>
        <v>LS</v>
      </c>
      <c r="L1666" s="85" t="s">
        <v>2563</v>
      </c>
      <c r="M1666" s="87">
        <v>45801.263680555552</v>
      </c>
      <c r="N1666" s="87"/>
      <c r="O1666" s="87"/>
      <c r="P1666" s="90" t="str">
        <f ca="1">IF(Proc[[#This Row],[DaysAgeing]]&gt;5,"yep","on track")</f>
        <v>yep</v>
      </c>
      <c r="Q1666" s="3">
        <f ca="1">IF(Proc[[#This Row],[DateClosed]]="",ABS(NETWORKDAYS(Proc[[#This Row],[DateOpened]],TODAY()))-1,ABS(NETWORKDAYS(Proc[[#This Row],[DateOpened]],Proc[[#This Row],[DateClosed]]))-1)</f>
        <v>149</v>
      </c>
      <c r="R1666" s="90" t="s">
        <v>489</v>
      </c>
      <c r="S1666" s="85"/>
    </row>
    <row r="1667" spans="1:19" hidden="1">
      <c r="A1667" s="89" t="s">
        <v>3404</v>
      </c>
      <c r="B1667" s="149" t="str">
        <f>IFERROR(VLOOKUP(Proc[[#This Row],[App]],Table2[],3,0),"open")</f>
        <v>ok</v>
      </c>
      <c r="C1667" s="89" t="s">
        <v>369</v>
      </c>
      <c r="D1667" t="s">
        <v>3428</v>
      </c>
      <c r="E1667" t="s">
        <v>3515</v>
      </c>
      <c r="F1667" s="117" t="s">
        <v>3515</v>
      </c>
      <c r="G1667" s="89" t="s">
        <v>400</v>
      </c>
      <c r="H1667" s="85" t="str">
        <f>IF(Proc[[#This Row],[type]]="LFF (MDG-F)",MID(Proc[[#This Row],[Obj]],13,10),"")</f>
        <v/>
      </c>
      <c r="J1667" s="85" t="b">
        <f>Proc[[#This Row],[Requested]]=Proc[[#This Row],[CurrentParent]]</f>
        <v>1</v>
      </c>
      <c r="K1667" s="144" t="str">
        <f>IF(Proc[[#This Row],[Author]]="Marcela Urrego",VLOOKUP(LEFT(Proc[[#This Row],[Requested]],1),Table3[#All],2,0),VLOOKUP(Proc[[#This Row],[Author]],Table4[],2,0))</f>
        <v>LS</v>
      </c>
      <c r="L1667" s="85" t="s">
        <v>2563</v>
      </c>
      <c r="M1667" s="87">
        <v>45801.263680555552</v>
      </c>
      <c r="N1667" s="87"/>
      <c r="O1667" s="87"/>
      <c r="P1667" s="90" t="str">
        <f ca="1">IF(Proc[[#This Row],[DaysAgeing]]&gt;5,"yep","on track")</f>
        <v>yep</v>
      </c>
      <c r="Q1667" s="3">
        <f ca="1">IF(Proc[[#This Row],[DateClosed]]="",ABS(NETWORKDAYS(Proc[[#This Row],[DateOpened]],TODAY()))-1,ABS(NETWORKDAYS(Proc[[#This Row],[DateOpened]],Proc[[#This Row],[DateClosed]]))-1)</f>
        <v>149</v>
      </c>
      <c r="R1667" s="90" t="s">
        <v>489</v>
      </c>
      <c r="S1667" s="85"/>
    </row>
    <row r="1668" spans="1:19" hidden="1">
      <c r="A1668" s="89" t="s">
        <v>3404</v>
      </c>
      <c r="B1668" s="149" t="str">
        <f>IFERROR(VLOOKUP(Proc[[#This Row],[App]],Table2[],3,0),"open")</f>
        <v>ok</v>
      </c>
      <c r="C1668" s="89" t="s">
        <v>369</v>
      </c>
      <c r="D1668" t="s">
        <v>3429</v>
      </c>
      <c r="E1668" t="s">
        <v>3526</v>
      </c>
      <c r="F1668" s="117" t="s">
        <v>3526</v>
      </c>
      <c r="G1668" s="89" t="s">
        <v>400</v>
      </c>
      <c r="H1668" s="85" t="str">
        <f>IF(Proc[[#This Row],[type]]="LFF (MDG-F)",MID(Proc[[#This Row],[Obj]],13,10),"")</f>
        <v/>
      </c>
      <c r="J1668" s="85" t="b">
        <f>Proc[[#This Row],[Requested]]=Proc[[#This Row],[CurrentParent]]</f>
        <v>1</v>
      </c>
      <c r="K1668" s="144" t="str">
        <f>IF(Proc[[#This Row],[Author]]="Marcela Urrego",VLOOKUP(LEFT(Proc[[#This Row],[Requested]],1),Table3[#All],2,0),VLOOKUP(Proc[[#This Row],[Author]],Table4[],2,0))</f>
        <v>LS</v>
      </c>
      <c r="L1668" s="85" t="s">
        <v>2563</v>
      </c>
      <c r="M1668" s="87">
        <v>45801.263680555552</v>
      </c>
      <c r="N1668" s="87"/>
      <c r="O1668" s="87"/>
      <c r="P1668" s="90" t="str">
        <f ca="1">IF(Proc[[#This Row],[DaysAgeing]]&gt;5,"yep","on track")</f>
        <v>yep</v>
      </c>
      <c r="Q1668" s="3">
        <f ca="1">IF(Proc[[#This Row],[DateClosed]]="",ABS(NETWORKDAYS(Proc[[#This Row],[DateOpened]],TODAY()))-1,ABS(NETWORKDAYS(Proc[[#This Row],[DateOpened]],Proc[[#This Row],[DateClosed]]))-1)</f>
        <v>149</v>
      </c>
      <c r="R1668" s="90" t="s">
        <v>489</v>
      </c>
      <c r="S1668" s="85"/>
    </row>
    <row r="1669" spans="1:19" hidden="1">
      <c r="A1669" s="89" t="s">
        <v>3404</v>
      </c>
      <c r="B1669" s="149" t="str">
        <f>IFERROR(VLOOKUP(Proc[[#This Row],[App]],Table2[],3,0),"open")</f>
        <v>ok</v>
      </c>
      <c r="C1669" s="89" t="s">
        <v>369</v>
      </c>
      <c r="D1669" t="s">
        <v>3189</v>
      </c>
      <c r="E1669" t="s">
        <v>1514</v>
      </c>
      <c r="F1669" s="117" t="s">
        <v>1514</v>
      </c>
      <c r="G1669" t="s">
        <v>406</v>
      </c>
      <c r="H1669" s="85" t="str">
        <f>IF(Proc[[#This Row],[type]]="LFF (MDG-F)",MID(Proc[[#This Row],[Obj]],13,10),"")</f>
        <v>KE50C0FF10</v>
      </c>
      <c r="I1669" t="s">
        <v>1198</v>
      </c>
      <c r="J1669" s="85" t="b">
        <f>Proc[[#This Row],[Requested]]=Proc[[#This Row],[CurrentParent]]</f>
        <v>1</v>
      </c>
      <c r="K1669" s="144" t="str">
        <f>IF(Proc[[#This Row],[Author]]="Marcela Urrego",VLOOKUP(LEFT(Proc[[#This Row],[Requested]],1),Table3[#All],2,0),VLOOKUP(Proc[[#This Row],[Author]],Table4[],2,0))</f>
        <v>LS</v>
      </c>
      <c r="L1669" s="85" t="s">
        <v>2563</v>
      </c>
      <c r="M1669" s="87">
        <v>45801.263680555552</v>
      </c>
      <c r="N1669" s="87">
        <v>45806</v>
      </c>
      <c r="O1669" s="87">
        <v>45806</v>
      </c>
      <c r="P1669" s="90" t="str">
        <f ca="1">IF(Proc[[#This Row],[DaysAgeing]]&gt;5,"yep","on track")</f>
        <v>on track</v>
      </c>
      <c r="Q1669" s="3">
        <f ca="1">IF(Proc[[#This Row],[DateClosed]]="",ABS(NETWORKDAYS(Proc[[#This Row],[DateOpened]],TODAY()))-1,ABS(NETWORKDAYS(Proc[[#This Row],[DateOpened]],Proc[[#This Row],[DateClosed]]))-1)</f>
        <v>3</v>
      </c>
      <c r="R1669" s="90" t="s">
        <v>489</v>
      </c>
      <c r="S1669" s="85"/>
    </row>
    <row r="1670" spans="1:19" hidden="1">
      <c r="A1670" s="89" t="s">
        <v>3404</v>
      </c>
      <c r="B1670" s="149" t="str">
        <f>IFERROR(VLOOKUP(Proc[[#This Row],[App]],Table2[],3,0),"open")</f>
        <v>ok</v>
      </c>
      <c r="C1670" s="89" t="s">
        <v>369</v>
      </c>
      <c r="D1670" t="s">
        <v>3430</v>
      </c>
      <c r="E1670" t="s">
        <v>2371</v>
      </c>
      <c r="F1670" s="117" t="s">
        <v>2371</v>
      </c>
      <c r="G1670" s="89" t="s">
        <v>406</v>
      </c>
      <c r="H1670" s="85" t="str">
        <f>IF(Proc[[#This Row],[type]]="LFF (MDG-F)",MID(Proc[[#This Row],[Obj]],13,10),"")</f>
        <v>1756C00005</v>
      </c>
      <c r="I1670" t="s">
        <v>3558</v>
      </c>
      <c r="J1670" s="85" t="b">
        <f>Proc[[#This Row],[Requested]]=Proc[[#This Row],[CurrentParent]]</f>
        <v>1</v>
      </c>
      <c r="K1670" s="144" t="str">
        <f>IF(Proc[[#This Row],[Author]]="Marcela Urrego",VLOOKUP(LEFT(Proc[[#This Row],[Requested]],1),Table3[#All],2,0),VLOOKUP(Proc[[#This Row],[Author]],Table4[],2,0))</f>
        <v>LS</v>
      </c>
      <c r="L1670" s="85" t="s">
        <v>2563</v>
      </c>
      <c r="M1670" s="87">
        <v>45801.263680555552</v>
      </c>
      <c r="N1670" s="87">
        <v>45806</v>
      </c>
      <c r="O1670" s="87">
        <v>45806</v>
      </c>
      <c r="P1670" s="90" t="str">
        <f ca="1">IF(Proc[[#This Row],[DaysAgeing]]&gt;5,"yep","on track")</f>
        <v>on track</v>
      </c>
      <c r="Q1670" s="3">
        <f ca="1">IF(Proc[[#This Row],[DateClosed]]="",ABS(NETWORKDAYS(Proc[[#This Row],[DateOpened]],TODAY()))-1,ABS(NETWORKDAYS(Proc[[#This Row],[DateOpened]],Proc[[#This Row],[DateClosed]]))-1)</f>
        <v>3</v>
      </c>
      <c r="R1670" s="90" t="s">
        <v>489</v>
      </c>
      <c r="S1670" s="85"/>
    </row>
    <row r="1671" spans="1:19" hidden="1">
      <c r="A1671" s="89" t="s">
        <v>3404</v>
      </c>
      <c r="B1671" s="149" t="str">
        <f>IFERROR(VLOOKUP(Proc[[#This Row],[App]],Table2[],3,0),"open")</f>
        <v>ok</v>
      </c>
      <c r="C1671" s="89" t="s">
        <v>369</v>
      </c>
      <c r="D1671" t="s">
        <v>3431</v>
      </c>
      <c r="E1671" t="s">
        <v>3525</v>
      </c>
      <c r="F1671" s="117" t="s">
        <v>3525</v>
      </c>
      <c r="G1671" s="89" t="s">
        <v>406</v>
      </c>
      <c r="H1671" s="85" t="str">
        <f>IF(Proc[[#This Row],[type]]="LFF (MDG-F)",MID(Proc[[#This Row],[Obj]],13,10),"")</f>
        <v>1756CS7063</v>
      </c>
      <c r="I1671" t="s">
        <v>3558</v>
      </c>
      <c r="J1671" s="85" t="b">
        <f>Proc[[#This Row],[Requested]]=Proc[[#This Row],[CurrentParent]]</f>
        <v>1</v>
      </c>
      <c r="K1671" s="144" t="str">
        <f>IF(Proc[[#This Row],[Author]]="Marcela Urrego",VLOOKUP(LEFT(Proc[[#This Row],[Requested]],1),Table3[#All],2,0),VLOOKUP(Proc[[#This Row],[Author]],Table4[],2,0))</f>
        <v>LS</v>
      </c>
      <c r="L1671" s="85" t="s">
        <v>2563</v>
      </c>
      <c r="M1671" s="87">
        <v>45801.263680555552</v>
      </c>
      <c r="N1671" s="87">
        <v>45806</v>
      </c>
      <c r="O1671" s="87">
        <v>45806</v>
      </c>
      <c r="P1671" s="90" t="str">
        <f ca="1">IF(Proc[[#This Row],[DaysAgeing]]&gt;5,"yep","on track")</f>
        <v>on track</v>
      </c>
      <c r="Q1671" s="3">
        <f ca="1">IF(Proc[[#This Row],[DateClosed]]="",ABS(NETWORKDAYS(Proc[[#This Row],[DateOpened]],TODAY()))-1,ABS(NETWORKDAYS(Proc[[#This Row],[DateOpened]],Proc[[#This Row],[DateClosed]]))-1)</f>
        <v>3</v>
      </c>
      <c r="R1671" s="90" t="s">
        <v>489</v>
      </c>
      <c r="S1671" s="85"/>
    </row>
    <row r="1672" spans="1:19" hidden="1">
      <c r="A1672" s="89" t="s">
        <v>3404</v>
      </c>
      <c r="B1672" s="149" t="str">
        <f>IFERROR(VLOOKUP(Proc[[#This Row],[App]],Table2[],3,0),"open")</f>
        <v>ok</v>
      </c>
      <c r="C1672" s="89" t="s">
        <v>369</v>
      </c>
      <c r="D1672" t="s">
        <v>3432</v>
      </c>
      <c r="E1672" t="s">
        <v>3527</v>
      </c>
      <c r="F1672" s="117" t="s">
        <v>3527</v>
      </c>
      <c r="G1672" s="89" t="s">
        <v>406</v>
      </c>
      <c r="H1672" s="85" t="str">
        <f>IF(Proc[[#This Row],[type]]="LFF (MDG-F)",MID(Proc[[#This Row],[Obj]],13,10),"")</f>
        <v>1756CS7346</v>
      </c>
      <c r="I1672" t="s">
        <v>3558</v>
      </c>
      <c r="J1672" s="85" t="b">
        <f>Proc[[#This Row],[Requested]]=Proc[[#This Row],[CurrentParent]]</f>
        <v>1</v>
      </c>
      <c r="K1672" s="144" t="str">
        <f>IF(Proc[[#This Row],[Author]]="Marcela Urrego",VLOOKUP(LEFT(Proc[[#This Row],[Requested]],1),Table3[#All],2,0),VLOOKUP(Proc[[#This Row],[Author]],Table4[],2,0))</f>
        <v>LS</v>
      </c>
      <c r="L1672" s="85" t="s">
        <v>2563</v>
      </c>
      <c r="M1672" s="87">
        <v>45801.263680555552</v>
      </c>
      <c r="N1672" s="87">
        <v>45806</v>
      </c>
      <c r="O1672" s="87">
        <v>45806</v>
      </c>
      <c r="P1672" s="90" t="str">
        <f ca="1">IF(Proc[[#This Row],[DaysAgeing]]&gt;5,"yep","on track")</f>
        <v>on track</v>
      </c>
      <c r="Q1672" s="3">
        <f ca="1">IF(Proc[[#This Row],[DateClosed]]="",ABS(NETWORKDAYS(Proc[[#This Row],[DateOpened]],TODAY()))-1,ABS(NETWORKDAYS(Proc[[#This Row],[DateOpened]],Proc[[#This Row],[DateClosed]]))-1)</f>
        <v>3</v>
      </c>
      <c r="R1672" s="90" t="s">
        <v>489</v>
      </c>
      <c r="S1672" s="85"/>
    </row>
    <row r="1673" spans="1:19" hidden="1">
      <c r="A1673" s="89" t="s">
        <v>3404</v>
      </c>
      <c r="B1673" s="149" t="str">
        <f>IFERROR(VLOOKUP(Proc[[#This Row],[App]],Table2[],3,0),"open")</f>
        <v>ok</v>
      </c>
      <c r="C1673" s="89" t="s">
        <v>369</v>
      </c>
      <c r="D1673" t="s">
        <v>3433</v>
      </c>
      <c r="E1673" t="s">
        <v>3528</v>
      </c>
      <c r="F1673" s="117" t="s">
        <v>3528</v>
      </c>
      <c r="G1673" s="89" t="s">
        <v>406</v>
      </c>
      <c r="H1673" s="85" t="str">
        <f>IF(Proc[[#This Row],[type]]="LFF (MDG-F)",MID(Proc[[#This Row],[Obj]],13,10),"")</f>
        <v>1756OF0007</v>
      </c>
      <c r="I1673" t="s">
        <v>3558</v>
      </c>
      <c r="J1673" s="85" t="b">
        <f>Proc[[#This Row],[Requested]]=Proc[[#This Row],[CurrentParent]]</f>
        <v>1</v>
      </c>
      <c r="K1673" s="144" t="str">
        <f>IF(Proc[[#This Row],[Author]]="Marcela Urrego",VLOOKUP(LEFT(Proc[[#This Row],[Requested]],1),Table3[#All],2,0),VLOOKUP(Proc[[#This Row],[Author]],Table4[],2,0))</f>
        <v>LS</v>
      </c>
      <c r="L1673" s="85" t="s">
        <v>2563</v>
      </c>
      <c r="M1673" s="87">
        <v>45801.263680555552</v>
      </c>
      <c r="N1673" s="87">
        <v>45806</v>
      </c>
      <c r="O1673" s="87">
        <v>45806</v>
      </c>
      <c r="P1673" s="90" t="str">
        <f ca="1">IF(Proc[[#This Row],[DaysAgeing]]&gt;5,"yep","on track")</f>
        <v>on track</v>
      </c>
      <c r="Q1673" s="3">
        <f ca="1">IF(Proc[[#This Row],[DateClosed]]="",ABS(NETWORKDAYS(Proc[[#This Row],[DateOpened]],TODAY()))-1,ABS(NETWORKDAYS(Proc[[#This Row],[DateOpened]],Proc[[#This Row],[DateClosed]]))-1)</f>
        <v>3</v>
      </c>
      <c r="R1673" s="90" t="s">
        <v>489</v>
      </c>
      <c r="S1673" s="85"/>
    </row>
    <row r="1674" spans="1:19" hidden="1">
      <c r="A1674" s="89" t="s">
        <v>3404</v>
      </c>
      <c r="B1674" s="149" t="str">
        <f>IFERROR(VLOOKUP(Proc[[#This Row],[App]],Table2[],3,0),"open")</f>
        <v>ok</v>
      </c>
      <c r="C1674" s="89" t="s">
        <v>369</v>
      </c>
      <c r="D1674" t="s">
        <v>3434</v>
      </c>
      <c r="E1674" t="s">
        <v>3529</v>
      </c>
      <c r="F1674" s="117" t="s">
        <v>3529</v>
      </c>
      <c r="G1674" s="89" t="s">
        <v>406</v>
      </c>
      <c r="H1674" s="85" t="str">
        <f>IF(Proc[[#This Row],[type]]="LFF (MDG-F)",MID(Proc[[#This Row],[Obj]],13,10),"")</f>
        <v>1937L52686</v>
      </c>
      <c r="I1674" t="s">
        <v>3558</v>
      </c>
      <c r="J1674" s="85" t="b">
        <f>Proc[[#This Row],[Requested]]=Proc[[#This Row],[CurrentParent]]</f>
        <v>1</v>
      </c>
      <c r="K1674" s="144" t="str">
        <f>IF(Proc[[#This Row],[Author]]="Marcela Urrego",VLOOKUP(LEFT(Proc[[#This Row],[Requested]],1),Table3[#All],2,0),VLOOKUP(Proc[[#This Row],[Author]],Table4[],2,0))</f>
        <v>LS</v>
      </c>
      <c r="L1674" s="85" t="s">
        <v>2563</v>
      </c>
      <c r="M1674" s="87">
        <v>45801.263680555552</v>
      </c>
      <c r="N1674" s="87">
        <v>45806</v>
      </c>
      <c r="O1674" s="87">
        <v>45806</v>
      </c>
      <c r="P1674" s="90" t="str">
        <f ca="1">IF(Proc[[#This Row],[DaysAgeing]]&gt;5,"yep","on track")</f>
        <v>on track</v>
      </c>
      <c r="Q1674" s="3">
        <f ca="1">IF(Proc[[#This Row],[DateClosed]]="",ABS(NETWORKDAYS(Proc[[#This Row],[DateOpened]],TODAY()))-1,ABS(NETWORKDAYS(Proc[[#This Row],[DateOpened]],Proc[[#This Row],[DateClosed]]))-1)</f>
        <v>3</v>
      </c>
      <c r="R1674" s="90" t="s">
        <v>489</v>
      </c>
      <c r="S1674" s="85"/>
    </row>
    <row r="1675" spans="1:19" hidden="1">
      <c r="A1675" s="89" t="s">
        <v>3404</v>
      </c>
      <c r="B1675" s="149" t="str">
        <f>IFERROR(VLOOKUP(Proc[[#This Row],[App]],Table2[],3,0),"open")</f>
        <v>ok</v>
      </c>
      <c r="C1675" s="89" t="s">
        <v>369</v>
      </c>
      <c r="D1675" t="s">
        <v>3435</v>
      </c>
      <c r="E1675" t="s">
        <v>3516</v>
      </c>
      <c r="F1675" s="117" t="s">
        <v>3516</v>
      </c>
      <c r="G1675" s="89" t="s">
        <v>406</v>
      </c>
      <c r="H1675" s="85" t="str">
        <f>IF(Proc[[#This Row],[type]]="LFF (MDG-F)",MID(Proc[[#This Row],[Obj]],13,10),"")</f>
        <v>2025C01122</v>
      </c>
      <c r="I1675" t="s">
        <v>3558</v>
      </c>
      <c r="J1675" s="85" t="b">
        <f>Proc[[#This Row],[Requested]]=Proc[[#This Row],[CurrentParent]]</f>
        <v>1</v>
      </c>
      <c r="K1675" s="144" t="str">
        <f>IF(Proc[[#This Row],[Author]]="Marcela Urrego",VLOOKUP(LEFT(Proc[[#This Row],[Requested]],1),Table3[#All],2,0),VLOOKUP(Proc[[#This Row],[Author]],Table4[],2,0))</f>
        <v>LS</v>
      </c>
      <c r="L1675" s="85" t="s">
        <v>2563</v>
      </c>
      <c r="M1675" s="87">
        <v>45801.263680555552</v>
      </c>
      <c r="N1675" s="87">
        <v>45806</v>
      </c>
      <c r="O1675" s="87">
        <v>45806</v>
      </c>
      <c r="P1675" s="90" t="str">
        <f ca="1">IF(Proc[[#This Row],[DaysAgeing]]&gt;5,"yep","on track")</f>
        <v>on track</v>
      </c>
      <c r="Q1675" s="3">
        <f ca="1">IF(Proc[[#This Row],[DateClosed]]="",ABS(NETWORKDAYS(Proc[[#This Row],[DateOpened]],TODAY()))-1,ABS(NETWORKDAYS(Proc[[#This Row],[DateOpened]],Proc[[#This Row],[DateClosed]]))-1)</f>
        <v>3</v>
      </c>
      <c r="R1675" s="90" t="s">
        <v>489</v>
      </c>
      <c r="S1675" s="85"/>
    </row>
    <row r="1676" spans="1:19" hidden="1">
      <c r="A1676" s="89" t="s">
        <v>3404</v>
      </c>
      <c r="B1676" s="149" t="str">
        <f>IFERROR(VLOOKUP(Proc[[#This Row],[App]],Table2[],3,0),"open")</f>
        <v>ok</v>
      </c>
      <c r="C1676" s="89" t="s">
        <v>369</v>
      </c>
      <c r="D1676" t="s">
        <v>3436</v>
      </c>
      <c r="E1676" t="s">
        <v>3530</v>
      </c>
      <c r="F1676" s="117" t="s">
        <v>3530</v>
      </c>
      <c r="G1676" s="89" t="s">
        <v>406</v>
      </c>
      <c r="H1676" s="85" t="str">
        <f>IF(Proc[[#This Row],[type]]="LFF (MDG-F)",MID(Proc[[#This Row],[Obj]],13,10),"")</f>
        <v>2063C05891</v>
      </c>
      <c r="I1676" t="s">
        <v>3558</v>
      </c>
      <c r="J1676" s="85" t="b">
        <f>Proc[[#This Row],[Requested]]=Proc[[#This Row],[CurrentParent]]</f>
        <v>1</v>
      </c>
      <c r="K1676" s="144" t="str">
        <f>IF(Proc[[#This Row],[Author]]="Marcela Urrego",VLOOKUP(LEFT(Proc[[#This Row],[Requested]],1),Table3[#All],2,0),VLOOKUP(Proc[[#This Row],[Author]],Table4[],2,0))</f>
        <v>LS</v>
      </c>
      <c r="L1676" s="85" t="s">
        <v>2563</v>
      </c>
      <c r="M1676" s="87">
        <v>45801.263680555552</v>
      </c>
      <c r="N1676" s="87">
        <v>45806</v>
      </c>
      <c r="O1676" s="87">
        <v>45806</v>
      </c>
      <c r="P1676" s="90" t="str">
        <f ca="1">IF(Proc[[#This Row],[DaysAgeing]]&gt;5,"yep","on track")</f>
        <v>on track</v>
      </c>
      <c r="Q1676" s="3">
        <f ca="1">IF(Proc[[#This Row],[DateClosed]]="",ABS(NETWORKDAYS(Proc[[#This Row],[DateOpened]],TODAY()))-1,ABS(NETWORKDAYS(Proc[[#This Row],[DateOpened]],Proc[[#This Row],[DateClosed]]))-1)</f>
        <v>3</v>
      </c>
      <c r="R1676" s="90" t="s">
        <v>489</v>
      </c>
      <c r="S1676" s="85"/>
    </row>
    <row r="1677" spans="1:19" hidden="1">
      <c r="A1677" s="89" t="s">
        <v>3404</v>
      </c>
      <c r="B1677" s="149" t="str">
        <f>IFERROR(VLOOKUP(Proc[[#This Row],[App]],Table2[],3,0),"open")</f>
        <v>ok</v>
      </c>
      <c r="C1677" s="89" t="s">
        <v>369</v>
      </c>
      <c r="D1677" t="s">
        <v>3437</v>
      </c>
      <c r="E1677" t="s">
        <v>3531</v>
      </c>
      <c r="F1677" s="117" t="s">
        <v>3531</v>
      </c>
      <c r="G1677" s="89" t="s">
        <v>406</v>
      </c>
      <c r="H1677" s="85" t="str">
        <f>IF(Proc[[#This Row],[type]]="LFF (MDG-F)",MID(Proc[[#This Row],[Obj]],13,10),"")</f>
        <v>2063C06245</v>
      </c>
      <c r="I1677" t="s">
        <v>3558</v>
      </c>
      <c r="J1677" s="85" t="b">
        <f>Proc[[#This Row],[Requested]]=Proc[[#This Row],[CurrentParent]]</f>
        <v>1</v>
      </c>
      <c r="K1677" s="144" t="str">
        <f>IF(Proc[[#This Row],[Author]]="Marcela Urrego",VLOOKUP(LEFT(Proc[[#This Row],[Requested]],1),Table3[#All],2,0),VLOOKUP(Proc[[#This Row],[Author]],Table4[],2,0))</f>
        <v>LS</v>
      </c>
      <c r="L1677" s="85" t="s">
        <v>2563</v>
      </c>
      <c r="M1677" s="87">
        <v>45801.263680555552</v>
      </c>
      <c r="N1677" s="87">
        <v>45806</v>
      </c>
      <c r="O1677" s="87">
        <v>45806</v>
      </c>
      <c r="P1677" s="90" t="str">
        <f ca="1">IF(Proc[[#This Row],[DaysAgeing]]&gt;5,"yep","on track")</f>
        <v>on track</v>
      </c>
      <c r="Q1677" s="3">
        <f ca="1">IF(Proc[[#This Row],[DateClosed]]="",ABS(NETWORKDAYS(Proc[[#This Row],[DateOpened]],TODAY()))-1,ABS(NETWORKDAYS(Proc[[#This Row],[DateOpened]],Proc[[#This Row],[DateClosed]]))-1)</f>
        <v>3</v>
      </c>
      <c r="R1677" s="90" t="s">
        <v>489</v>
      </c>
      <c r="S1677" s="85"/>
    </row>
    <row r="1678" spans="1:19" hidden="1">
      <c r="A1678" s="89" t="s">
        <v>3404</v>
      </c>
      <c r="B1678" s="149" t="str">
        <f>IFERROR(VLOOKUP(Proc[[#This Row],[App]],Table2[],3,0),"open")</f>
        <v>ok</v>
      </c>
      <c r="C1678" s="89" t="s">
        <v>369</v>
      </c>
      <c r="D1678" t="s">
        <v>3438</v>
      </c>
      <c r="E1678" t="s">
        <v>3532</v>
      </c>
      <c r="F1678" s="117" t="s">
        <v>3532</v>
      </c>
      <c r="G1678" s="89" t="s">
        <v>406</v>
      </c>
      <c r="H1678" s="85" t="str">
        <f>IF(Proc[[#This Row],[type]]="LFF (MDG-F)",MID(Proc[[#This Row],[Obj]],13,10),"")</f>
        <v>2088C00662</v>
      </c>
      <c r="I1678" t="s">
        <v>3558</v>
      </c>
      <c r="J1678" s="85" t="b">
        <f>Proc[[#This Row],[Requested]]=Proc[[#This Row],[CurrentParent]]</f>
        <v>1</v>
      </c>
      <c r="K1678" s="144" t="str">
        <f>IF(Proc[[#This Row],[Author]]="Marcela Urrego",VLOOKUP(LEFT(Proc[[#This Row],[Requested]],1),Table3[#All],2,0),VLOOKUP(Proc[[#This Row],[Author]],Table4[],2,0))</f>
        <v>LS</v>
      </c>
      <c r="L1678" s="85" t="s">
        <v>2563</v>
      </c>
      <c r="M1678" s="87">
        <v>45801.263680555552</v>
      </c>
      <c r="N1678" s="87">
        <v>45806</v>
      </c>
      <c r="O1678" s="87">
        <v>45806</v>
      </c>
      <c r="P1678" s="90" t="str">
        <f ca="1">IF(Proc[[#This Row],[DaysAgeing]]&gt;5,"yep","on track")</f>
        <v>on track</v>
      </c>
      <c r="Q1678" s="3">
        <f ca="1">IF(Proc[[#This Row],[DateClosed]]="",ABS(NETWORKDAYS(Proc[[#This Row],[DateOpened]],TODAY()))-1,ABS(NETWORKDAYS(Proc[[#This Row],[DateOpened]],Proc[[#This Row],[DateClosed]]))-1)</f>
        <v>3</v>
      </c>
      <c r="R1678" s="90" t="s">
        <v>489</v>
      </c>
      <c r="S1678" s="85"/>
    </row>
    <row r="1679" spans="1:19" hidden="1">
      <c r="A1679" s="89" t="s">
        <v>3404</v>
      </c>
      <c r="B1679" s="149" t="str">
        <f>IFERROR(VLOOKUP(Proc[[#This Row],[App]],Table2[],3,0),"open")</f>
        <v>ok</v>
      </c>
      <c r="C1679" s="89" t="s">
        <v>369</v>
      </c>
      <c r="D1679" t="s">
        <v>3439</v>
      </c>
      <c r="E1679" t="s">
        <v>3526</v>
      </c>
      <c r="F1679" s="117" t="s">
        <v>3526</v>
      </c>
      <c r="G1679" s="89" t="s">
        <v>406</v>
      </c>
      <c r="H1679" s="85" t="str">
        <f>IF(Proc[[#This Row],[type]]="LFF (MDG-F)",MID(Proc[[#This Row],[Obj]],13,10),"")</f>
        <v>2088L50001</v>
      </c>
      <c r="I1679" t="s">
        <v>3558</v>
      </c>
      <c r="J1679" s="85" t="b">
        <f>Proc[[#This Row],[Requested]]=Proc[[#This Row],[CurrentParent]]</f>
        <v>1</v>
      </c>
      <c r="K1679" s="144" t="str">
        <f>IF(Proc[[#This Row],[Author]]="Marcela Urrego",VLOOKUP(LEFT(Proc[[#This Row],[Requested]],1),Table3[#All],2,0),VLOOKUP(Proc[[#This Row],[Author]],Table4[],2,0))</f>
        <v>LS</v>
      </c>
      <c r="L1679" s="85" t="s">
        <v>2563</v>
      </c>
      <c r="M1679" s="87">
        <v>45801.263680555552</v>
      </c>
      <c r="N1679" s="87">
        <v>45806</v>
      </c>
      <c r="O1679" s="87">
        <v>45806</v>
      </c>
      <c r="P1679" s="90" t="str">
        <f ca="1">IF(Proc[[#This Row],[DaysAgeing]]&gt;5,"yep","on track")</f>
        <v>on track</v>
      </c>
      <c r="Q1679" s="3">
        <f ca="1">IF(Proc[[#This Row],[DateClosed]]="",ABS(NETWORKDAYS(Proc[[#This Row],[DateOpened]],TODAY()))-1,ABS(NETWORKDAYS(Proc[[#This Row],[DateOpened]],Proc[[#This Row],[DateClosed]]))-1)</f>
        <v>3</v>
      </c>
      <c r="R1679" s="90" t="s">
        <v>489</v>
      </c>
      <c r="S1679" s="85"/>
    </row>
    <row r="1680" spans="1:19" hidden="1">
      <c r="A1680" s="89" t="s">
        <v>3404</v>
      </c>
      <c r="B1680" s="149" t="str">
        <f>IFERROR(VLOOKUP(Proc[[#This Row],[App]],Table2[],3,0),"open")</f>
        <v>ok</v>
      </c>
      <c r="C1680" s="89" t="s">
        <v>369</v>
      </c>
      <c r="D1680" t="s">
        <v>3440</v>
      </c>
      <c r="E1680" t="s">
        <v>3531</v>
      </c>
      <c r="F1680" s="117" t="s">
        <v>3531</v>
      </c>
      <c r="G1680" s="89" t="s">
        <v>406</v>
      </c>
      <c r="H1680" s="85" t="str">
        <f>IF(Proc[[#This Row],[type]]="LFF (MDG-F)",MID(Proc[[#This Row],[Obj]],13,10),"")</f>
        <v>2102CS0020</v>
      </c>
      <c r="I1680" t="s">
        <v>3558</v>
      </c>
      <c r="J1680" s="85" t="b">
        <f>Proc[[#This Row],[Requested]]=Proc[[#This Row],[CurrentParent]]</f>
        <v>1</v>
      </c>
      <c r="K1680" s="144" t="str">
        <f>IF(Proc[[#This Row],[Author]]="Marcela Urrego",VLOOKUP(LEFT(Proc[[#This Row],[Requested]],1),Table3[#All],2,0),VLOOKUP(Proc[[#This Row],[Author]],Table4[],2,0))</f>
        <v>LS</v>
      </c>
      <c r="L1680" s="85" t="s">
        <v>2563</v>
      </c>
      <c r="M1680" s="87">
        <v>45801.263680555552</v>
      </c>
      <c r="N1680" s="87">
        <v>45806</v>
      </c>
      <c r="O1680" s="87">
        <v>45806</v>
      </c>
      <c r="P1680" s="90" t="str">
        <f ca="1">IF(Proc[[#This Row],[DaysAgeing]]&gt;5,"yep","on track")</f>
        <v>on track</v>
      </c>
      <c r="Q1680" s="3">
        <f ca="1">IF(Proc[[#This Row],[DateClosed]]="",ABS(NETWORKDAYS(Proc[[#This Row],[DateOpened]],TODAY()))-1,ABS(NETWORKDAYS(Proc[[#This Row],[DateOpened]],Proc[[#This Row],[DateClosed]]))-1)</f>
        <v>3</v>
      </c>
      <c r="R1680" s="90" t="s">
        <v>489</v>
      </c>
      <c r="S1680" s="85"/>
    </row>
    <row r="1681" spans="1:19" hidden="1">
      <c r="A1681" s="89" t="s">
        <v>3404</v>
      </c>
      <c r="B1681" s="149" t="str">
        <f>IFERROR(VLOOKUP(Proc[[#This Row],[App]],Table2[],3,0),"open")</f>
        <v>ok</v>
      </c>
      <c r="C1681" s="89" t="s">
        <v>369</v>
      </c>
      <c r="D1681" t="s">
        <v>3441</v>
      </c>
      <c r="E1681" t="s">
        <v>3531</v>
      </c>
      <c r="F1681" s="117" t="s">
        <v>3531</v>
      </c>
      <c r="G1681" s="89" t="s">
        <v>406</v>
      </c>
      <c r="H1681" s="85" t="str">
        <f>IF(Proc[[#This Row],[type]]="LFF (MDG-F)",MID(Proc[[#This Row],[Obj]],13,10),"")</f>
        <v>2102CS0713</v>
      </c>
      <c r="I1681" t="s">
        <v>3558</v>
      </c>
      <c r="J1681" s="85" t="b">
        <f>Proc[[#This Row],[Requested]]=Proc[[#This Row],[CurrentParent]]</f>
        <v>1</v>
      </c>
      <c r="K1681" s="144" t="str">
        <f>IF(Proc[[#This Row],[Author]]="Marcela Urrego",VLOOKUP(LEFT(Proc[[#This Row],[Requested]],1),Table3[#All],2,0),VLOOKUP(Proc[[#This Row],[Author]],Table4[],2,0))</f>
        <v>LS</v>
      </c>
      <c r="L1681" s="85" t="s">
        <v>2563</v>
      </c>
      <c r="M1681" s="87">
        <v>45801.263680555552</v>
      </c>
      <c r="N1681" s="87">
        <v>45806</v>
      </c>
      <c r="O1681" s="87">
        <v>45806</v>
      </c>
      <c r="P1681" s="90" t="str">
        <f ca="1">IF(Proc[[#This Row],[DaysAgeing]]&gt;5,"yep","on track")</f>
        <v>on track</v>
      </c>
      <c r="Q1681" s="3">
        <f ca="1">IF(Proc[[#This Row],[DateClosed]]="",ABS(NETWORKDAYS(Proc[[#This Row],[DateOpened]],TODAY()))-1,ABS(NETWORKDAYS(Proc[[#This Row],[DateOpened]],Proc[[#This Row],[DateClosed]]))-1)</f>
        <v>3</v>
      </c>
      <c r="R1681" s="90" t="s">
        <v>489</v>
      </c>
      <c r="S1681" s="85"/>
    </row>
    <row r="1682" spans="1:19" hidden="1">
      <c r="A1682" s="89" t="s">
        <v>3404</v>
      </c>
      <c r="B1682" s="149" t="str">
        <f>IFERROR(VLOOKUP(Proc[[#This Row],[App]],Table2[],3,0),"open")</f>
        <v>ok</v>
      </c>
      <c r="C1682" s="89" t="s">
        <v>369</v>
      </c>
      <c r="D1682" t="s">
        <v>3442</v>
      </c>
      <c r="E1682" t="s">
        <v>3526</v>
      </c>
      <c r="F1682" s="117" t="s">
        <v>3526</v>
      </c>
      <c r="G1682" s="89" t="s">
        <v>406</v>
      </c>
      <c r="H1682" s="85" t="str">
        <f>IF(Proc[[#This Row],[type]]="LFF (MDG-F)",MID(Proc[[#This Row],[Obj]],13,10),"")</f>
        <v>2102OF0002</v>
      </c>
      <c r="I1682" t="s">
        <v>3558</v>
      </c>
      <c r="J1682" s="85" t="b">
        <f>Proc[[#This Row],[Requested]]=Proc[[#This Row],[CurrentParent]]</f>
        <v>1</v>
      </c>
      <c r="K1682" s="144" t="str">
        <f>IF(Proc[[#This Row],[Author]]="Marcela Urrego",VLOOKUP(LEFT(Proc[[#This Row],[Requested]],1),Table3[#All],2,0),VLOOKUP(Proc[[#This Row],[Author]],Table4[],2,0))</f>
        <v>LS</v>
      </c>
      <c r="L1682" s="85" t="s">
        <v>2563</v>
      </c>
      <c r="M1682" s="87">
        <v>45801.263680555552</v>
      </c>
      <c r="N1682" s="87">
        <v>45806</v>
      </c>
      <c r="O1682" s="87">
        <v>45806</v>
      </c>
      <c r="P1682" s="90" t="str">
        <f ca="1">IF(Proc[[#This Row],[DaysAgeing]]&gt;5,"yep","on track")</f>
        <v>on track</v>
      </c>
      <c r="Q1682" s="3">
        <f ca="1">IF(Proc[[#This Row],[DateClosed]]="",ABS(NETWORKDAYS(Proc[[#This Row],[DateOpened]],TODAY()))-1,ABS(NETWORKDAYS(Proc[[#This Row],[DateOpened]],Proc[[#This Row],[DateClosed]]))-1)</f>
        <v>3</v>
      </c>
      <c r="R1682" s="90" t="s">
        <v>489</v>
      </c>
      <c r="S1682" s="85"/>
    </row>
    <row r="1683" spans="1:19" hidden="1">
      <c r="A1683" s="89" t="s">
        <v>3404</v>
      </c>
      <c r="B1683" s="149" t="str">
        <f>IFERROR(VLOOKUP(Proc[[#This Row],[App]],Table2[],3,0),"open")</f>
        <v>ok</v>
      </c>
      <c r="C1683" s="89" t="s">
        <v>369</v>
      </c>
      <c r="D1683" t="s">
        <v>3443</v>
      </c>
      <c r="E1683" t="s">
        <v>3531</v>
      </c>
      <c r="F1683" s="117" t="s">
        <v>3531</v>
      </c>
      <c r="G1683" s="89" t="s">
        <v>406</v>
      </c>
      <c r="H1683" s="85" t="str">
        <f>IF(Proc[[#This Row],[type]]="LFF (MDG-F)",MID(Proc[[#This Row],[Obj]],13,10),"")</f>
        <v>2102TESZ81</v>
      </c>
      <c r="I1683" t="s">
        <v>3558</v>
      </c>
      <c r="J1683" s="85" t="b">
        <f>Proc[[#This Row],[Requested]]=Proc[[#This Row],[CurrentParent]]</f>
        <v>1</v>
      </c>
      <c r="K1683" s="144" t="str">
        <f>IF(Proc[[#This Row],[Author]]="Marcela Urrego",VLOOKUP(LEFT(Proc[[#This Row],[Requested]],1),Table3[#All],2,0),VLOOKUP(Proc[[#This Row],[Author]],Table4[],2,0))</f>
        <v>LS</v>
      </c>
      <c r="L1683" s="85" t="s">
        <v>2563</v>
      </c>
      <c r="M1683" s="87">
        <v>45801.263680555552</v>
      </c>
      <c r="N1683" s="87">
        <v>45806</v>
      </c>
      <c r="O1683" s="87">
        <v>45806</v>
      </c>
      <c r="P1683" s="90" t="str">
        <f ca="1">IF(Proc[[#This Row],[DaysAgeing]]&gt;5,"yep","on track")</f>
        <v>on track</v>
      </c>
      <c r="Q1683" s="3">
        <f ca="1">IF(Proc[[#This Row],[DateClosed]]="",ABS(NETWORKDAYS(Proc[[#This Row],[DateOpened]],TODAY()))-1,ABS(NETWORKDAYS(Proc[[#This Row],[DateOpened]],Proc[[#This Row],[DateClosed]]))-1)</f>
        <v>3</v>
      </c>
      <c r="R1683" s="90" t="s">
        <v>489</v>
      </c>
      <c r="S1683" s="85"/>
    </row>
    <row r="1684" spans="1:19" hidden="1">
      <c r="A1684" s="89" t="s">
        <v>3404</v>
      </c>
      <c r="B1684" s="149" t="str">
        <f>IFERROR(VLOOKUP(Proc[[#This Row],[App]],Table2[],3,0),"open")</f>
        <v>ok</v>
      </c>
      <c r="C1684" s="89" t="s">
        <v>369</v>
      </c>
      <c r="D1684" t="s">
        <v>3444</v>
      </c>
      <c r="E1684" t="s">
        <v>3528</v>
      </c>
      <c r="F1684" s="117" t="s">
        <v>3528</v>
      </c>
      <c r="G1684" s="89" t="s">
        <v>406</v>
      </c>
      <c r="H1684" s="85" t="str">
        <f>IF(Proc[[#This Row],[type]]="LFF (MDG-F)",MID(Proc[[#This Row],[Obj]],13,10),"")</f>
        <v>2103OF0001</v>
      </c>
      <c r="I1684" t="s">
        <v>3558</v>
      </c>
      <c r="J1684" s="85" t="b">
        <f>Proc[[#This Row],[Requested]]=Proc[[#This Row],[CurrentParent]]</f>
        <v>1</v>
      </c>
      <c r="K1684" s="144" t="str">
        <f>IF(Proc[[#This Row],[Author]]="Marcela Urrego",VLOOKUP(LEFT(Proc[[#This Row],[Requested]],1),Table3[#All],2,0),VLOOKUP(Proc[[#This Row],[Author]],Table4[],2,0))</f>
        <v>LS</v>
      </c>
      <c r="L1684" s="85" t="s">
        <v>2563</v>
      </c>
      <c r="M1684" s="87">
        <v>45801.263680555552</v>
      </c>
      <c r="N1684" s="87">
        <v>45806</v>
      </c>
      <c r="O1684" s="87">
        <v>45806</v>
      </c>
      <c r="P1684" s="90" t="str">
        <f ca="1">IF(Proc[[#This Row],[DaysAgeing]]&gt;5,"yep","on track")</f>
        <v>on track</v>
      </c>
      <c r="Q1684" s="3">
        <f ca="1">IF(Proc[[#This Row],[DateClosed]]="",ABS(NETWORKDAYS(Proc[[#This Row],[DateOpened]],TODAY()))-1,ABS(NETWORKDAYS(Proc[[#This Row],[DateOpened]],Proc[[#This Row],[DateClosed]]))-1)</f>
        <v>3</v>
      </c>
      <c r="R1684" s="90" t="s">
        <v>489</v>
      </c>
      <c r="S1684" s="85"/>
    </row>
    <row r="1685" spans="1:19" hidden="1">
      <c r="A1685" s="89" t="s">
        <v>3404</v>
      </c>
      <c r="B1685" s="149" t="str">
        <f>IFERROR(VLOOKUP(Proc[[#This Row],[App]],Table2[],3,0),"open")</f>
        <v>ok</v>
      </c>
      <c r="C1685" s="89" t="s">
        <v>369</v>
      </c>
      <c r="D1685" t="s">
        <v>3445</v>
      </c>
      <c r="E1685" t="s">
        <v>3527</v>
      </c>
      <c r="F1685" s="117" t="s">
        <v>3527</v>
      </c>
      <c r="G1685" s="89" t="s">
        <v>406</v>
      </c>
      <c r="H1685" s="85" t="str">
        <f>IF(Proc[[#This Row],[type]]="LFF (MDG-F)",MID(Proc[[#This Row],[Obj]],13,10),"")</f>
        <v>2123C00049</v>
      </c>
      <c r="I1685" t="s">
        <v>3558</v>
      </c>
      <c r="J1685" s="85" t="b">
        <f>Proc[[#This Row],[Requested]]=Proc[[#This Row],[CurrentParent]]</f>
        <v>1</v>
      </c>
      <c r="K1685" s="144" t="str">
        <f>IF(Proc[[#This Row],[Author]]="Marcela Urrego",VLOOKUP(LEFT(Proc[[#This Row],[Requested]],1),Table3[#All],2,0),VLOOKUP(Proc[[#This Row],[Author]],Table4[],2,0))</f>
        <v>LS</v>
      </c>
      <c r="L1685" s="85" t="s">
        <v>2563</v>
      </c>
      <c r="M1685" s="87">
        <v>45801.263680555552</v>
      </c>
      <c r="N1685" s="87">
        <v>45806</v>
      </c>
      <c r="O1685" s="87">
        <v>45806</v>
      </c>
      <c r="P1685" s="90" t="str">
        <f ca="1">IF(Proc[[#This Row],[DaysAgeing]]&gt;5,"yep","on track")</f>
        <v>on track</v>
      </c>
      <c r="Q1685" s="3">
        <f ca="1">IF(Proc[[#This Row],[DateClosed]]="",ABS(NETWORKDAYS(Proc[[#This Row],[DateOpened]],TODAY()))-1,ABS(NETWORKDAYS(Proc[[#This Row],[DateOpened]],Proc[[#This Row],[DateClosed]]))-1)</f>
        <v>3</v>
      </c>
      <c r="R1685" s="90" t="s">
        <v>489</v>
      </c>
      <c r="S1685" s="85"/>
    </row>
    <row r="1686" spans="1:19" hidden="1">
      <c r="A1686" s="89" t="s">
        <v>3404</v>
      </c>
      <c r="B1686" s="149" t="str">
        <f>IFERROR(VLOOKUP(Proc[[#This Row],[App]],Table2[],3,0),"open")</f>
        <v>ok</v>
      </c>
      <c r="C1686" s="89" t="s">
        <v>369</v>
      </c>
      <c r="D1686" t="s">
        <v>3446</v>
      </c>
      <c r="E1686" t="s">
        <v>3533</v>
      </c>
      <c r="F1686" s="117" t="s">
        <v>3533</v>
      </c>
      <c r="G1686" s="89" t="s">
        <v>406</v>
      </c>
      <c r="H1686" s="85" t="str">
        <f>IF(Proc[[#This Row],[type]]="LFF (MDG-F)",MID(Proc[[#This Row],[Obj]],13,10),"")</f>
        <v>2123CS0002</v>
      </c>
      <c r="I1686" t="s">
        <v>3558</v>
      </c>
      <c r="J1686" s="85" t="b">
        <f>Proc[[#This Row],[Requested]]=Proc[[#This Row],[CurrentParent]]</f>
        <v>1</v>
      </c>
      <c r="K1686" s="144" t="str">
        <f>IF(Proc[[#This Row],[Author]]="Marcela Urrego",VLOOKUP(LEFT(Proc[[#This Row],[Requested]],1),Table3[#All],2,0),VLOOKUP(Proc[[#This Row],[Author]],Table4[],2,0))</f>
        <v>LS</v>
      </c>
      <c r="L1686" s="85" t="s">
        <v>2563</v>
      </c>
      <c r="M1686" s="87">
        <v>45801.263680555552</v>
      </c>
      <c r="N1686" s="87">
        <v>45806</v>
      </c>
      <c r="O1686" s="87">
        <v>45806</v>
      </c>
      <c r="P1686" s="90" t="str">
        <f ca="1">IF(Proc[[#This Row],[DaysAgeing]]&gt;5,"yep","on track")</f>
        <v>on track</v>
      </c>
      <c r="Q1686" s="3">
        <f ca="1">IF(Proc[[#This Row],[DateClosed]]="",ABS(NETWORKDAYS(Proc[[#This Row],[DateOpened]],TODAY()))-1,ABS(NETWORKDAYS(Proc[[#This Row],[DateOpened]],Proc[[#This Row],[DateClosed]]))-1)</f>
        <v>3</v>
      </c>
      <c r="R1686" s="90" t="s">
        <v>489</v>
      </c>
      <c r="S1686" s="85"/>
    </row>
    <row r="1687" spans="1:19" hidden="1">
      <c r="A1687" s="89" t="s">
        <v>3404</v>
      </c>
      <c r="B1687" s="149" t="str">
        <f>IFERROR(VLOOKUP(Proc[[#This Row],[App]],Table2[],3,0),"open")</f>
        <v>ok</v>
      </c>
      <c r="C1687" s="89" t="s">
        <v>369</v>
      </c>
      <c r="D1687" t="s">
        <v>3447</v>
      </c>
      <c r="E1687" t="s">
        <v>3519</v>
      </c>
      <c r="F1687" s="117" t="s">
        <v>3519</v>
      </c>
      <c r="G1687" s="89" t="s">
        <v>406</v>
      </c>
      <c r="H1687" s="85" t="str">
        <f>IF(Proc[[#This Row],[type]]="LFF (MDG-F)",MID(Proc[[#This Row],[Obj]],13,10),"")</f>
        <v>2123L50008</v>
      </c>
      <c r="I1687" t="s">
        <v>3558</v>
      </c>
      <c r="J1687" s="85" t="b">
        <f>Proc[[#This Row],[Requested]]=Proc[[#This Row],[CurrentParent]]</f>
        <v>1</v>
      </c>
      <c r="K1687" s="144" t="str">
        <f>IF(Proc[[#This Row],[Author]]="Marcela Urrego",VLOOKUP(LEFT(Proc[[#This Row],[Requested]],1),Table3[#All],2,0),VLOOKUP(Proc[[#This Row],[Author]],Table4[],2,0))</f>
        <v>LS</v>
      </c>
      <c r="L1687" s="85" t="s">
        <v>2563</v>
      </c>
      <c r="M1687" s="87">
        <v>45801.263680555552</v>
      </c>
      <c r="N1687" s="87">
        <v>45806</v>
      </c>
      <c r="O1687" s="87">
        <v>45806</v>
      </c>
      <c r="P1687" s="90" t="str">
        <f ca="1">IF(Proc[[#This Row],[DaysAgeing]]&gt;5,"yep","on track")</f>
        <v>on track</v>
      </c>
      <c r="Q1687" s="3">
        <f ca="1">IF(Proc[[#This Row],[DateClosed]]="",ABS(NETWORKDAYS(Proc[[#This Row],[DateOpened]],TODAY()))-1,ABS(NETWORKDAYS(Proc[[#This Row],[DateOpened]],Proc[[#This Row],[DateClosed]]))-1)</f>
        <v>3</v>
      </c>
      <c r="R1687" s="90" t="s">
        <v>489</v>
      </c>
      <c r="S1687" s="85"/>
    </row>
    <row r="1688" spans="1:19" hidden="1">
      <c r="A1688" s="89" t="s">
        <v>3404</v>
      </c>
      <c r="B1688" s="149" t="str">
        <f>IFERROR(VLOOKUP(Proc[[#This Row],[App]],Table2[],3,0),"open")</f>
        <v>ok</v>
      </c>
      <c r="C1688" s="89" t="s">
        <v>369</v>
      </c>
      <c r="D1688" t="s">
        <v>3448</v>
      </c>
      <c r="E1688" t="s">
        <v>3534</v>
      </c>
      <c r="F1688" s="117" t="s">
        <v>3534</v>
      </c>
      <c r="G1688" s="89" t="s">
        <v>406</v>
      </c>
      <c r="H1688" s="85" t="str">
        <f>IF(Proc[[#This Row],[type]]="LFF (MDG-F)",MID(Proc[[#This Row],[Obj]],13,10),"")</f>
        <v>2125C00005</v>
      </c>
      <c r="I1688" t="s">
        <v>3558</v>
      </c>
      <c r="J1688" s="85" t="b">
        <f>Proc[[#This Row],[Requested]]=Proc[[#This Row],[CurrentParent]]</f>
        <v>1</v>
      </c>
      <c r="K1688" s="144" t="str">
        <f>IF(Proc[[#This Row],[Author]]="Marcela Urrego",VLOOKUP(LEFT(Proc[[#This Row],[Requested]],1),Table3[#All],2,0),VLOOKUP(Proc[[#This Row],[Author]],Table4[],2,0))</f>
        <v>LS</v>
      </c>
      <c r="L1688" s="85" t="s">
        <v>2563</v>
      </c>
      <c r="M1688" s="87">
        <v>45801.263680555552</v>
      </c>
      <c r="N1688" s="87">
        <v>45806</v>
      </c>
      <c r="O1688" s="87">
        <v>45806</v>
      </c>
      <c r="P1688" s="90" t="str">
        <f ca="1">IF(Proc[[#This Row],[DaysAgeing]]&gt;5,"yep","on track")</f>
        <v>on track</v>
      </c>
      <c r="Q1688" s="3">
        <f ca="1">IF(Proc[[#This Row],[DateClosed]]="",ABS(NETWORKDAYS(Proc[[#This Row],[DateOpened]],TODAY()))-1,ABS(NETWORKDAYS(Proc[[#This Row],[DateOpened]],Proc[[#This Row],[DateClosed]]))-1)</f>
        <v>3</v>
      </c>
      <c r="R1688" s="90" t="s">
        <v>489</v>
      </c>
      <c r="S1688" s="85"/>
    </row>
    <row r="1689" spans="1:19" hidden="1">
      <c r="A1689" s="89" t="s">
        <v>3404</v>
      </c>
      <c r="B1689" s="149" t="str">
        <f>IFERROR(VLOOKUP(Proc[[#This Row],[App]],Table2[],3,0),"open")</f>
        <v>ok</v>
      </c>
      <c r="C1689" s="89" t="s">
        <v>369</v>
      </c>
      <c r="D1689" t="s">
        <v>3449</v>
      </c>
      <c r="E1689" t="s">
        <v>3516</v>
      </c>
      <c r="F1689" s="117" t="s">
        <v>3516</v>
      </c>
      <c r="G1689" s="89" t="s">
        <v>406</v>
      </c>
      <c r="H1689" s="85" t="str">
        <f>IF(Proc[[#This Row],[type]]="LFF (MDG-F)",MID(Proc[[#This Row],[Obj]],13,10),"")</f>
        <v>2128C00002</v>
      </c>
      <c r="I1689" t="s">
        <v>3558</v>
      </c>
      <c r="J1689" s="85" t="b">
        <f>Proc[[#This Row],[Requested]]=Proc[[#This Row],[CurrentParent]]</f>
        <v>1</v>
      </c>
      <c r="K1689" s="144" t="str">
        <f>IF(Proc[[#This Row],[Author]]="Marcela Urrego",VLOOKUP(LEFT(Proc[[#This Row],[Requested]],1),Table3[#All],2,0),VLOOKUP(Proc[[#This Row],[Author]],Table4[],2,0))</f>
        <v>LS</v>
      </c>
      <c r="L1689" s="85" t="s">
        <v>2563</v>
      </c>
      <c r="M1689" s="87">
        <v>45801.263680555552</v>
      </c>
      <c r="N1689" s="87">
        <v>45806</v>
      </c>
      <c r="O1689" s="87">
        <v>45806</v>
      </c>
      <c r="P1689" s="90" t="str">
        <f ca="1">IF(Proc[[#This Row],[DaysAgeing]]&gt;5,"yep","on track")</f>
        <v>on track</v>
      </c>
      <c r="Q1689" s="3">
        <f ca="1">IF(Proc[[#This Row],[DateClosed]]="",ABS(NETWORKDAYS(Proc[[#This Row],[DateOpened]],TODAY()))-1,ABS(NETWORKDAYS(Proc[[#This Row],[DateOpened]],Proc[[#This Row],[DateClosed]]))-1)</f>
        <v>3</v>
      </c>
      <c r="R1689" s="90" t="s">
        <v>489</v>
      </c>
      <c r="S1689" s="85"/>
    </row>
    <row r="1690" spans="1:19" hidden="1">
      <c r="A1690" s="89" t="s">
        <v>3404</v>
      </c>
      <c r="B1690" s="149" t="str">
        <f>IFERROR(VLOOKUP(Proc[[#This Row],[App]],Table2[],3,0),"open")</f>
        <v>ok</v>
      </c>
      <c r="C1690" s="89" t="s">
        <v>369</v>
      </c>
      <c r="D1690" t="s">
        <v>3450</v>
      </c>
      <c r="E1690" t="s">
        <v>3535</v>
      </c>
      <c r="F1690" s="117" t="s">
        <v>3535</v>
      </c>
      <c r="G1690" s="89" t="s">
        <v>406</v>
      </c>
      <c r="H1690" s="85" t="str">
        <f>IF(Proc[[#This Row],[type]]="LFF (MDG-F)",MID(Proc[[#This Row],[Obj]],13,10),"")</f>
        <v>2137TPM813</v>
      </c>
      <c r="I1690" t="s">
        <v>3558</v>
      </c>
      <c r="J1690" s="85" t="b">
        <f>Proc[[#This Row],[Requested]]=Proc[[#This Row],[CurrentParent]]</f>
        <v>1</v>
      </c>
      <c r="K1690" s="144" t="str">
        <f>IF(Proc[[#This Row],[Author]]="Marcela Urrego",VLOOKUP(LEFT(Proc[[#This Row],[Requested]],1),Table3[#All],2,0),VLOOKUP(Proc[[#This Row],[Author]],Table4[],2,0))</f>
        <v>LS</v>
      </c>
      <c r="L1690" s="85" t="s">
        <v>2563</v>
      </c>
      <c r="M1690" s="87">
        <v>45801.263680555552</v>
      </c>
      <c r="N1690" s="87">
        <v>45806</v>
      </c>
      <c r="O1690" s="87">
        <v>45806</v>
      </c>
      <c r="P1690" s="90" t="str">
        <f ca="1">IF(Proc[[#This Row],[DaysAgeing]]&gt;5,"yep","on track")</f>
        <v>on track</v>
      </c>
      <c r="Q1690" s="3">
        <f ca="1">IF(Proc[[#This Row],[DateClosed]]="",ABS(NETWORKDAYS(Proc[[#This Row],[DateOpened]],TODAY()))-1,ABS(NETWORKDAYS(Proc[[#This Row],[DateOpened]],Proc[[#This Row],[DateClosed]]))-1)</f>
        <v>3</v>
      </c>
      <c r="R1690" s="90" t="s">
        <v>489</v>
      </c>
      <c r="S1690" s="85"/>
    </row>
    <row r="1691" spans="1:19" hidden="1">
      <c r="A1691" s="89" t="s">
        <v>3404</v>
      </c>
      <c r="B1691" s="149" t="str">
        <f>IFERROR(VLOOKUP(Proc[[#This Row],[App]],Table2[],3,0),"open")</f>
        <v>ok</v>
      </c>
      <c r="C1691" s="89" t="s">
        <v>369</v>
      </c>
      <c r="D1691" t="s">
        <v>3451</v>
      </c>
      <c r="E1691" t="s">
        <v>3535</v>
      </c>
      <c r="F1691" s="117" t="s">
        <v>3535</v>
      </c>
      <c r="G1691" s="89" t="s">
        <v>406</v>
      </c>
      <c r="H1691" s="85" t="str">
        <f>IF(Proc[[#This Row],[type]]="LFF (MDG-F)",MID(Proc[[#This Row],[Obj]],13,10),"")</f>
        <v>2137TPM819</v>
      </c>
      <c r="I1691" t="s">
        <v>3558</v>
      </c>
      <c r="J1691" s="85" t="b">
        <f>Proc[[#This Row],[Requested]]=Proc[[#This Row],[CurrentParent]]</f>
        <v>1</v>
      </c>
      <c r="K1691" s="144" t="str">
        <f>IF(Proc[[#This Row],[Author]]="Marcela Urrego",VLOOKUP(LEFT(Proc[[#This Row],[Requested]],1),Table3[#All],2,0),VLOOKUP(Proc[[#This Row],[Author]],Table4[],2,0))</f>
        <v>LS</v>
      </c>
      <c r="L1691" s="85" t="s">
        <v>2563</v>
      </c>
      <c r="M1691" s="87">
        <v>45801.263680555552</v>
      </c>
      <c r="N1691" s="87">
        <v>45806</v>
      </c>
      <c r="O1691" s="87">
        <v>45806</v>
      </c>
      <c r="P1691" s="90" t="str">
        <f ca="1">IF(Proc[[#This Row],[DaysAgeing]]&gt;5,"yep","on track")</f>
        <v>on track</v>
      </c>
      <c r="Q1691" s="3">
        <f ca="1">IF(Proc[[#This Row],[DateClosed]]="",ABS(NETWORKDAYS(Proc[[#This Row],[DateOpened]],TODAY()))-1,ABS(NETWORKDAYS(Proc[[#This Row],[DateOpened]],Proc[[#This Row],[DateClosed]]))-1)</f>
        <v>3</v>
      </c>
      <c r="R1691" s="90" t="s">
        <v>489</v>
      </c>
      <c r="S1691" s="85"/>
    </row>
    <row r="1692" spans="1:19" hidden="1">
      <c r="A1692" s="89" t="s">
        <v>3404</v>
      </c>
      <c r="B1692" s="149" t="str">
        <f>IFERROR(VLOOKUP(Proc[[#This Row],[App]],Table2[],3,0),"open")</f>
        <v>ok</v>
      </c>
      <c r="C1692" s="89" t="s">
        <v>369</v>
      </c>
      <c r="D1692" t="s">
        <v>3452</v>
      </c>
      <c r="E1692" t="s">
        <v>3529</v>
      </c>
      <c r="F1692" s="117" t="s">
        <v>3529</v>
      </c>
      <c r="G1692" s="89" t="s">
        <v>406</v>
      </c>
      <c r="H1692" s="85" t="str">
        <f>IF(Proc[[#This Row],[type]]="LFF (MDG-F)",MID(Proc[[#This Row],[Obj]],13,10),"")</f>
        <v>2148L50220</v>
      </c>
      <c r="I1692" t="s">
        <v>3558</v>
      </c>
      <c r="J1692" s="85" t="b">
        <f>Proc[[#This Row],[Requested]]=Proc[[#This Row],[CurrentParent]]</f>
        <v>1</v>
      </c>
      <c r="K1692" s="144" t="str">
        <f>IF(Proc[[#This Row],[Author]]="Marcela Urrego",VLOOKUP(LEFT(Proc[[#This Row],[Requested]],1),Table3[#All],2,0),VLOOKUP(Proc[[#This Row],[Author]],Table4[],2,0))</f>
        <v>LS</v>
      </c>
      <c r="L1692" s="85" t="s">
        <v>2563</v>
      </c>
      <c r="M1692" s="87">
        <v>45801.263680555552</v>
      </c>
      <c r="N1692" s="87">
        <v>45806</v>
      </c>
      <c r="O1692" s="87">
        <v>45806</v>
      </c>
      <c r="P1692" s="90" t="str">
        <f ca="1">IF(Proc[[#This Row],[DaysAgeing]]&gt;5,"yep","on track")</f>
        <v>on track</v>
      </c>
      <c r="Q1692" s="3">
        <f ca="1">IF(Proc[[#This Row],[DateClosed]]="",ABS(NETWORKDAYS(Proc[[#This Row],[DateOpened]],TODAY()))-1,ABS(NETWORKDAYS(Proc[[#This Row],[DateOpened]],Proc[[#This Row],[DateClosed]]))-1)</f>
        <v>3</v>
      </c>
      <c r="R1692" s="90" t="s">
        <v>489</v>
      </c>
      <c r="S1692" s="85"/>
    </row>
    <row r="1693" spans="1:19" hidden="1">
      <c r="A1693" s="89" t="s">
        <v>3404</v>
      </c>
      <c r="B1693" s="149" t="str">
        <f>IFERROR(VLOOKUP(Proc[[#This Row],[App]],Table2[],3,0),"open")</f>
        <v>ok</v>
      </c>
      <c r="C1693" s="89" t="s">
        <v>369</v>
      </c>
      <c r="D1693" t="s">
        <v>3453</v>
      </c>
      <c r="E1693" t="s">
        <v>3528</v>
      </c>
      <c r="F1693" s="117" t="s">
        <v>3528</v>
      </c>
      <c r="G1693" s="89" t="s">
        <v>400</v>
      </c>
      <c r="H1693" s="85" t="str">
        <f>IF(Proc[[#This Row],[type]]="LFF (MDG-F)",MID(Proc[[#This Row],[Obj]],13,10),"")</f>
        <v/>
      </c>
      <c r="J1693" s="85" t="b">
        <f>Proc[[#This Row],[Requested]]=Proc[[#This Row],[CurrentParent]]</f>
        <v>1</v>
      </c>
      <c r="K1693" s="144" t="str">
        <f>IF(Proc[[#This Row],[Author]]="Marcela Urrego",VLOOKUP(LEFT(Proc[[#This Row],[Requested]],1),Table3[#All],2,0),VLOOKUP(Proc[[#This Row],[Author]],Table4[],2,0))</f>
        <v>LS</v>
      </c>
      <c r="L1693" s="85" t="s">
        <v>2563</v>
      </c>
      <c r="M1693" s="87">
        <v>45801.263680555552</v>
      </c>
      <c r="N1693" s="87"/>
      <c r="O1693" s="87"/>
      <c r="P1693" s="90" t="str">
        <f ca="1">IF(Proc[[#This Row],[DaysAgeing]]&gt;5,"yep","on track")</f>
        <v>yep</v>
      </c>
      <c r="Q1693" s="3">
        <f ca="1">IF(Proc[[#This Row],[DateClosed]]="",ABS(NETWORKDAYS(Proc[[#This Row],[DateOpened]],TODAY()))-1,ABS(NETWORKDAYS(Proc[[#This Row],[DateOpened]],Proc[[#This Row],[DateClosed]]))-1)</f>
        <v>149</v>
      </c>
      <c r="R1693" s="90" t="s">
        <v>489</v>
      </c>
      <c r="S1693" s="85"/>
    </row>
    <row r="1694" spans="1:19" hidden="1">
      <c r="A1694" s="89" t="s">
        <v>3404</v>
      </c>
      <c r="B1694" s="149" t="str">
        <f>IFERROR(VLOOKUP(Proc[[#This Row],[App]],Table2[],3,0),"open")</f>
        <v>ok</v>
      </c>
      <c r="C1694" s="89" t="s">
        <v>369</v>
      </c>
      <c r="D1694" t="s">
        <v>3454</v>
      </c>
      <c r="E1694" t="s">
        <v>3517</v>
      </c>
      <c r="F1694" s="117" t="s">
        <v>3517</v>
      </c>
      <c r="G1694" s="89" t="s">
        <v>400</v>
      </c>
      <c r="H1694" s="85" t="str">
        <f>IF(Proc[[#This Row],[type]]="LFF (MDG-F)",MID(Proc[[#This Row],[Obj]],13,10),"")</f>
        <v/>
      </c>
      <c r="J1694" s="85" t="b">
        <f>Proc[[#This Row],[Requested]]=Proc[[#This Row],[CurrentParent]]</f>
        <v>1</v>
      </c>
      <c r="K1694" s="144" t="str">
        <f>IF(Proc[[#This Row],[Author]]="Marcela Urrego",VLOOKUP(LEFT(Proc[[#This Row],[Requested]],1),Table3[#All],2,0),VLOOKUP(Proc[[#This Row],[Author]],Table4[],2,0))</f>
        <v>LS</v>
      </c>
      <c r="L1694" s="85" t="s">
        <v>2563</v>
      </c>
      <c r="M1694" s="87">
        <v>45801.263680555552</v>
      </c>
      <c r="N1694" s="87"/>
      <c r="O1694" s="87"/>
      <c r="P1694" s="90" t="str">
        <f ca="1">IF(Proc[[#This Row],[DaysAgeing]]&gt;5,"yep","on track")</f>
        <v>yep</v>
      </c>
      <c r="Q1694" s="3">
        <f ca="1">IF(Proc[[#This Row],[DateClosed]]="",ABS(NETWORKDAYS(Proc[[#This Row],[DateOpened]],TODAY()))-1,ABS(NETWORKDAYS(Proc[[#This Row],[DateOpened]],Proc[[#This Row],[DateClosed]]))-1)</f>
        <v>149</v>
      </c>
      <c r="R1694" s="90" t="s">
        <v>489</v>
      </c>
      <c r="S1694" s="85"/>
    </row>
    <row r="1695" spans="1:19" hidden="1">
      <c r="A1695" s="89" t="s">
        <v>3404</v>
      </c>
      <c r="B1695" s="149" t="str">
        <f>IFERROR(VLOOKUP(Proc[[#This Row],[App]],Table2[],3,0),"open")</f>
        <v>ok</v>
      </c>
      <c r="C1695" s="89" t="s">
        <v>369</v>
      </c>
      <c r="D1695" t="s">
        <v>3455</v>
      </c>
      <c r="E1695" t="s">
        <v>3516</v>
      </c>
      <c r="F1695" s="117" t="s">
        <v>3516</v>
      </c>
      <c r="G1695" s="89" t="s">
        <v>400</v>
      </c>
      <c r="H1695" s="85" t="str">
        <f>IF(Proc[[#This Row],[type]]="LFF (MDG-F)",MID(Proc[[#This Row],[Obj]],13,10),"")</f>
        <v/>
      </c>
      <c r="J1695" s="85" t="b">
        <f>Proc[[#This Row],[Requested]]=Proc[[#This Row],[CurrentParent]]</f>
        <v>1</v>
      </c>
      <c r="K1695" s="144" t="str">
        <f>IF(Proc[[#This Row],[Author]]="Marcela Urrego",VLOOKUP(LEFT(Proc[[#This Row],[Requested]],1),Table3[#All],2,0),VLOOKUP(Proc[[#This Row],[Author]],Table4[],2,0))</f>
        <v>LS</v>
      </c>
      <c r="L1695" s="85" t="s">
        <v>2563</v>
      </c>
      <c r="M1695" s="87">
        <v>45801.263680555552</v>
      </c>
      <c r="N1695" s="87"/>
      <c r="O1695" s="87"/>
      <c r="P1695" s="90" t="str">
        <f ca="1">IF(Proc[[#This Row],[DaysAgeing]]&gt;5,"yep","on track")</f>
        <v>yep</v>
      </c>
      <c r="Q1695" s="3">
        <f ca="1">IF(Proc[[#This Row],[DateClosed]]="",ABS(NETWORKDAYS(Proc[[#This Row],[DateOpened]],TODAY()))-1,ABS(NETWORKDAYS(Proc[[#This Row],[DateOpened]],Proc[[#This Row],[DateClosed]]))-1)</f>
        <v>149</v>
      </c>
      <c r="R1695" s="90" t="s">
        <v>489</v>
      </c>
      <c r="S1695" s="85"/>
    </row>
    <row r="1696" spans="1:19" hidden="1">
      <c r="A1696" s="89" t="s">
        <v>3404</v>
      </c>
      <c r="B1696" s="149" t="str">
        <f>IFERROR(VLOOKUP(Proc[[#This Row],[App]],Table2[],3,0),"open")</f>
        <v>ok</v>
      </c>
      <c r="C1696" s="89" t="s">
        <v>369</v>
      </c>
      <c r="D1696" t="s">
        <v>3456</v>
      </c>
      <c r="E1696" t="s">
        <v>3514</v>
      </c>
      <c r="F1696" s="117" t="s">
        <v>3514</v>
      </c>
      <c r="G1696" s="89" t="s">
        <v>400</v>
      </c>
      <c r="H1696" s="85" t="str">
        <f>IF(Proc[[#This Row],[type]]="LFF (MDG-F)",MID(Proc[[#This Row],[Obj]],13,10),"")</f>
        <v/>
      </c>
      <c r="J1696" s="85" t="b">
        <f>Proc[[#This Row],[Requested]]=Proc[[#This Row],[CurrentParent]]</f>
        <v>1</v>
      </c>
      <c r="K1696" s="144" t="str">
        <f>IF(Proc[[#This Row],[Author]]="Marcela Urrego",VLOOKUP(LEFT(Proc[[#This Row],[Requested]],1),Table3[#All],2,0),VLOOKUP(Proc[[#This Row],[Author]],Table4[],2,0))</f>
        <v>LS</v>
      </c>
      <c r="L1696" s="85" t="s">
        <v>2563</v>
      </c>
      <c r="M1696" s="87">
        <v>45801.263680555552</v>
      </c>
      <c r="N1696" s="87"/>
      <c r="O1696" s="87"/>
      <c r="P1696" s="90" t="str">
        <f ca="1">IF(Proc[[#This Row],[DaysAgeing]]&gt;5,"yep","on track")</f>
        <v>yep</v>
      </c>
      <c r="Q1696" s="3">
        <f ca="1">IF(Proc[[#This Row],[DateClosed]]="",ABS(NETWORKDAYS(Proc[[#This Row],[DateOpened]],TODAY()))-1,ABS(NETWORKDAYS(Proc[[#This Row],[DateOpened]],Proc[[#This Row],[DateClosed]]))-1)</f>
        <v>149</v>
      </c>
      <c r="R1696" s="90" t="s">
        <v>489</v>
      </c>
      <c r="S1696" s="85"/>
    </row>
    <row r="1697" spans="1:19" hidden="1">
      <c r="A1697" s="89" t="s">
        <v>3404</v>
      </c>
      <c r="B1697" s="149" t="str">
        <f>IFERROR(VLOOKUP(Proc[[#This Row],[App]],Table2[],3,0),"open")</f>
        <v>ok</v>
      </c>
      <c r="C1697" s="89" t="s">
        <v>369</v>
      </c>
      <c r="D1697" t="s">
        <v>3457</v>
      </c>
      <c r="E1697" t="s">
        <v>3531</v>
      </c>
      <c r="F1697" s="117" t="s">
        <v>3531</v>
      </c>
      <c r="G1697" s="89" t="s">
        <v>400</v>
      </c>
      <c r="H1697" s="85" t="str">
        <f>IF(Proc[[#This Row],[type]]="LFF (MDG-F)",MID(Proc[[#This Row],[Obj]],13,10),"")</f>
        <v/>
      </c>
      <c r="J1697" s="85" t="b">
        <f>Proc[[#This Row],[Requested]]=Proc[[#This Row],[CurrentParent]]</f>
        <v>1</v>
      </c>
      <c r="K1697" s="144" t="str">
        <f>IF(Proc[[#This Row],[Author]]="Marcela Urrego",VLOOKUP(LEFT(Proc[[#This Row],[Requested]],1),Table3[#All],2,0),VLOOKUP(Proc[[#This Row],[Author]],Table4[],2,0))</f>
        <v>LS</v>
      </c>
      <c r="L1697" s="85" t="s">
        <v>2563</v>
      </c>
      <c r="M1697" s="87">
        <v>45801.263680555552</v>
      </c>
      <c r="N1697" s="87"/>
      <c r="O1697" s="87"/>
      <c r="P1697" s="90" t="str">
        <f ca="1">IF(Proc[[#This Row],[DaysAgeing]]&gt;5,"yep","on track")</f>
        <v>yep</v>
      </c>
      <c r="Q1697" s="3">
        <f ca="1">IF(Proc[[#This Row],[DateClosed]]="",ABS(NETWORKDAYS(Proc[[#This Row],[DateOpened]],TODAY()))-1,ABS(NETWORKDAYS(Proc[[#This Row],[DateOpened]],Proc[[#This Row],[DateClosed]]))-1)</f>
        <v>149</v>
      </c>
      <c r="R1697" s="90" t="s">
        <v>489</v>
      </c>
      <c r="S1697" s="85"/>
    </row>
    <row r="1698" spans="1:19" hidden="1">
      <c r="A1698" s="89" t="s">
        <v>3404</v>
      </c>
      <c r="B1698" s="149" t="str">
        <f>IFERROR(VLOOKUP(Proc[[#This Row],[App]],Table2[],3,0),"open")</f>
        <v>ok</v>
      </c>
      <c r="C1698" s="89" t="s">
        <v>369</v>
      </c>
      <c r="D1698" t="s">
        <v>3458</v>
      </c>
      <c r="E1698" t="s">
        <v>3531</v>
      </c>
      <c r="F1698" s="117" t="s">
        <v>3531</v>
      </c>
      <c r="G1698" s="89" t="s">
        <v>400</v>
      </c>
      <c r="H1698" s="85" t="str">
        <f>IF(Proc[[#This Row],[type]]="LFF (MDG-F)",MID(Proc[[#This Row],[Obj]],13,10),"")</f>
        <v/>
      </c>
      <c r="J1698" s="85" t="b">
        <f>Proc[[#This Row],[Requested]]=Proc[[#This Row],[CurrentParent]]</f>
        <v>1</v>
      </c>
      <c r="K1698" s="144" t="str">
        <f>IF(Proc[[#This Row],[Author]]="Marcela Urrego",VLOOKUP(LEFT(Proc[[#This Row],[Requested]],1),Table3[#All],2,0),VLOOKUP(Proc[[#This Row],[Author]],Table4[],2,0))</f>
        <v>LS</v>
      </c>
      <c r="L1698" s="85" t="s">
        <v>2563</v>
      </c>
      <c r="M1698" s="87">
        <v>45801.263680555552</v>
      </c>
      <c r="N1698" s="87"/>
      <c r="O1698" s="87"/>
      <c r="P1698" s="90" t="str">
        <f ca="1">IF(Proc[[#This Row],[DaysAgeing]]&gt;5,"yep","on track")</f>
        <v>yep</v>
      </c>
      <c r="Q1698" s="3">
        <f ca="1">IF(Proc[[#This Row],[DateClosed]]="",ABS(NETWORKDAYS(Proc[[#This Row],[DateOpened]],TODAY()))-1,ABS(NETWORKDAYS(Proc[[#This Row],[DateOpened]],Proc[[#This Row],[DateClosed]]))-1)</f>
        <v>149</v>
      </c>
      <c r="R1698" s="90" t="s">
        <v>489</v>
      </c>
      <c r="S1698" s="85"/>
    </row>
    <row r="1699" spans="1:19" hidden="1">
      <c r="A1699" s="89" t="s">
        <v>3404</v>
      </c>
      <c r="B1699" s="149" t="str">
        <f>IFERROR(VLOOKUP(Proc[[#This Row],[App]],Table2[],3,0),"open")</f>
        <v>ok</v>
      </c>
      <c r="C1699" s="89" t="s">
        <v>369</v>
      </c>
      <c r="D1699" t="s">
        <v>3459</v>
      </c>
      <c r="E1699" t="s">
        <v>3534</v>
      </c>
      <c r="F1699" s="117" t="s">
        <v>3534</v>
      </c>
      <c r="G1699" s="89" t="s">
        <v>400</v>
      </c>
      <c r="H1699" s="85" t="str">
        <f>IF(Proc[[#This Row],[type]]="LFF (MDG-F)",MID(Proc[[#This Row],[Obj]],13,10),"")</f>
        <v/>
      </c>
      <c r="J1699" s="85" t="b">
        <f>Proc[[#This Row],[Requested]]=Proc[[#This Row],[CurrentParent]]</f>
        <v>1</v>
      </c>
      <c r="K1699" s="144" t="str">
        <f>IF(Proc[[#This Row],[Author]]="Marcela Urrego",VLOOKUP(LEFT(Proc[[#This Row],[Requested]],1),Table3[#All],2,0),VLOOKUP(Proc[[#This Row],[Author]],Table4[],2,0))</f>
        <v>LS</v>
      </c>
      <c r="L1699" s="85" t="s">
        <v>2563</v>
      </c>
      <c r="M1699" s="87">
        <v>45801.263680555552</v>
      </c>
      <c r="N1699" s="87"/>
      <c r="O1699" s="87"/>
      <c r="P1699" s="90" t="str">
        <f ca="1">IF(Proc[[#This Row],[DaysAgeing]]&gt;5,"yep","on track")</f>
        <v>yep</v>
      </c>
      <c r="Q1699" s="3">
        <f ca="1">IF(Proc[[#This Row],[DateClosed]]="",ABS(NETWORKDAYS(Proc[[#This Row],[DateOpened]],TODAY()))-1,ABS(NETWORKDAYS(Proc[[#This Row],[DateOpened]],Proc[[#This Row],[DateClosed]]))-1)</f>
        <v>149</v>
      </c>
      <c r="R1699" s="90" t="s">
        <v>489</v>
      </c>
      <c r="S1699" s="85"/>
    </row>
    <row r="1700" spans="1:19" hidden="1">
      <c r="A1700" s="89" t="s">
        <v>3404</v>
      </c>
      <c r="B1700" s="149" t="str">
        <f>IFERROR(VLOOKUP(Proc[[#This Row],[App]],Table2[],3,0),"open")</f>
        <v>ok</v>
      </c>
      <c r="C1700" s="89" t="s">
        <v>369</v>
      </c>
      <c r="D1700" t="s">
        <v>3460</v>
      </c>
      <c r="E1700" t="s">
        <v>3516</v>
      </c>
      <c r="F1700" s="117" t="s">
        <v>3516</v>
      </c>
      <c r="G1700" s="89" t="s">
        <v>400</v>
      </c>
      <c r="H1700" s="85" t="str">
        <f>IF(Proc[[#This Row],[type]]="LFF (MDG-F)",MID(Proc[[#This Row],[Obj]],13,10),"")</f>
        <v/>
      </c>
      <c r="J1700" s="85" t="b">
        <f>Proc[[#This Row],[Requested]]=Proc[[#This Row],[CurrentParent]]</f>
        <v>1</v>
      </c>
      <c r="K1700" s="144" t="str">
        <f>IF(Proc[[#This Row],[Author]]="Marcela Urrego",VLOOKUP(LEFT(Proc[[#This Row],[Requested]],1),Table3[#All],2,0),VLOOKUP(Proc[[#This Row],[Author]],Table4[],2,0))</f>
        <v>LS</v>
      </c>
      <c r="L1700" s="85" t="s">
        <v>2563</v>
      </c>
      <c r="M1700" s="87">
        <v>45801.263680555552</v>
      </c>
      <c r="N1700" s="87"/>
      <c r="O1700" s="87"/>
      <c r="P1700" s="90" t="str">
        <f ca="1">IF(Proc[[#This Row],[DaysAgeing]]&gt;5,"yep","on track")</f>
        <v>yep</v>
      </c>
      <c r="Q1700" s="3">
        <f ca="1">IF(Proc[[#This Row],[DateClosed]]="",ABS(NETWORKDAYS(Proc[[#This Row],[DateOpened]],TODAY()))-1,ABS(NETWORKDAYS(Proc[[#This Row],[DateOpened]],Proc[[#This Row],[DateClosed]]))-1)</f>
        <v>149</v>
      </c>
      <c r="R1700" s="90" t="s">
        <v>489</v>
      </c>
      <c r="S1700" s="85"/>
    </row>
    <row r="1701" spans="1:19" hidden="1">
      <c r="A1701" s="89" t="s">
        <v>3404</v>
      </c>
      <c r="B1701" s="149" t="str">
        <f>IFERROR(VLOOKUP(Proc[[#This Row],[App]],Table2[],3,0),"open")</f>
        <v>ok</v>
      </c>
      <c r="C1701" s="89" t="s">
        <v>369</v>
      </c>
      <c r="D1701" t="s">
        <v>3461</v>
      </c>
      <c r="E1701" t="s">
        <v>3514</v>
      </c>
      <c r="F1701" s="117" t="s">
        <v>3514</v>
      </c>
      <c r="G1701" s="89" t="s">
        <v>400</v>
      </c>
      <c r="H1701" s="85" t="str">
        <f>IF(Proc[[#This Row],[type]]="LFF (MDG-F)",MID(Proc[[#This Row],[Obj]],13,10),"")</f>
        <v/>
      </c>
      <c r="J1701" s="85" t="b">
        <f>Proc[[#This Row],[Requested]]=Proc[[#This Row],[CurrentParent]]</f>
        <v>1</v>
      </c>
      <c r="K1701" s="144" t="str">
        <f>IF(Proc[[#This Row],[Author]]="Marcela Urrego",VLOOKUP(LEFT(Proc[[#This Row],[Requested]],1),Table3[#All],2,0),VLOOKUP(Proc[[#This Row],[Author]],Table4[],2,0))</f>
        <v>LS</v>
      </c>
      <c r="L1701" s="85" t="s">
        <v>2563</v>
      </c>
      <c r="M1701" s="87">
        <v>45801.263680555552</v>
      </c>
      <c r="N1701" s="87"/>
      <c r="O1701" s="87"/>
      <c r="P1701" s="90" t="str">
        <f ca="1">IF(Proc[[#This Row],[DaysAgeing]]&gt;5,"yep","on track")</f>
        <v>yep</v>
      </c>
      <c r="Q1701" s="3">
        <f ca="1">IF(Proc[[#This Row],[DateClosed]]="",ABS(NETWORKDAYS(Proc[[#This Row],[DateOpened]],TODAY()))-1,ABS(NETWORKDAYS(Proc[[#This Row],[DateOpened]],Proc[[#This Row],[DateClosed]]))-1)</f>
        <v>149</v>
      </c>
      <c r="R1701" s="90" t="s">
        <v>489</v>
      </c>
      <c r="S1701" s="85"/>
    </row>
    <row r="1702" spans="1:19" hidden="1">
      <c r="A1702" s="89" t="s">
        <v>3404</v>
      </c>
      <c r="B1702" s="149" t="str">
        <f>IFERROR(VLOOKUP(Proc[[#This Row],[App]],Table2[],3,0),"open")</f>
        <v>ok</v>
      </c>
      <c r="C1702" s="89" t="s">
        <v>369</v>
      </c>
      <c r="D1702" t="s">
        <v>3462</v>
      </c>
      <c r="E1702" t="s">
        <v>3536</v>
      </c>
      <c r="F1702" s="117" t="s">
        <v>3536</v>
      </c>
      <c r="G1702" s="89" t="s">
        <v>400</v>
      </c>
      <c r="H1702" s="85" t="str">
        <f>IF(Proc[[#This Row],[type]]="LFF (MDG-F)",MID(Proc[[#This Row],[Obj]],13,10),"")</f>
        <v/>
      </c>
      <c r="J1702" s="85" t="b">
        <f>Proc[[#This Row],[Requested]]=Proc[[#This Row],[CurrentParent]]</f>
        <v>1</v>
      </c>
      <c r="K1702" s="144" t="str">
        <f>IF(Proc[[#This Row],[Author]]="Marcela Urrego",VLOOKUP(LEFT(Proc[[#This Row],[Requested]],1),Table3[#All],2,0),VLOOKUP(Proc[[#This Row],[Author]],Table4[],2,0))</f>
        <v>LS</v>
      </c>
      <c r="L1702" s="85" t="s">
        <v>2563</v>
      </c>
      <c r="M1702" s="87">
        <v>45801.263680555552</v>
      </c>
      <c r="N1702" s="87"/>
      <c r="O1702" s="87"/>
      <c r="P1702" s="90" t="str">
        <f ca="1">IF(Proc[[#This Row],[DaysAgeing]]&gt;5,"yep","on track")</f>
        <v>yep</v>
      </c>
      <c r="Q1702" s="3">
        <f ca="1">IF(Proc[[#This Row],[DateClosed]]="",ABS(NETWORKDAYS(Proc[[#This Row],[DateOpened]],TODAY()))-1,ABS(NETWORKDAYS(Proc[[#This Row],[DateOpened]],Proc[[#This Row],[DateClosed]]))-1)</f>
        <v>149</v>
      </c>
      <c r="R1702" s="90" t="s">
        <v>489</v>
      </c>
      <c r="S1702" s="85"/>
    </row>
    <row r="1703" spans="1:19" hidden="1">
      <c r="A1703" s="89" t="s">
        <v>3404</v>
      </c>
      <c r="B1703" s="149" t="str">
        <f>IFERROR(VLOOKUP(Proc[[#This Row],[App]],Table2[],3,0),"open")</f>
        <v>ok</v>
      </c>
      <c r="C1703" s="89" t="s">
        <v>369</v>
      </c>
      <c r="D1703" t="s">
        <v>3463</v>
      </c>
      <c r="E1703" t="s">
        <v>3515</v>
      </c>
      <c r="F1703" s="117" t="s">
        <v>3515</v>
      </c>
      <c r="G1703" s="89" t="s">
        <v>400</v>
      </c>
      <c r="H1703" s="85" t="str">
        <f>IF(Proc[[#This Row],[type]]="LFF (MDG-F)",MID(Proc[[#This Row],[Obj]],13,10),"")</f>
        <v/>
      </c>
      <c r="J1703" s="85" t="b">
        <f>Proc[[#This Row],[Requested]]=Proc[[#This Row],[CurrentParent]]</f>
        <v>1</v>
      </c>
      <c r="K1703" s="144" t="str">
        <f>IF(Proc[[#This Row],[Author]]="Marcela Urrego",VLOOKUP(LEFT(Proc[[#This Row],[Requested]],1),Table3[#All],2,0),VLOOKUP(Proc[[#This Row],[Author]],Table4[],2,0))</f>
        <v>LS</v>
      </c>
      <c r="L1703" s="85" t="s">
        <v>2563</v>
      </c>
      <c r="M1703" s="87">
        <v>45801.263680555552</v>
      </c>
      <c r="N1703" s="87"/>
      <c r="O1703" s="87"/>
      <c r="P1703" s="90" t="str">
        <f ca="1">IF(Proc[[#This Row],[DaysAgeing]]&gt;5,"yep","on track")</f>
        <v>yep</v>
      </c>
      <c r="Q1703" s="3">
        <f ca="1">IF(Proc[[#This Row],[DateClosed]]="",ABS(NETWORKDAYS(Proc[[#This Row],[DateOpened]],TODAY()))-1,ABS(NETWORKDAYS(Proc[[#This Row],[DateOpened]],Proc[[#This Row],[DateClosed]]))-1)</f>
        <v>149</v>
      </c>
      <c r="R1703" s="90" t="s">
        <v>489</v>
      </c>
      <c r="S1703" s="85"/>
    </row>
    <row r="1704" spans="1:19" hidden="1">
      <c r="A1704" s="89" t="s">
        <v>3404</v>
      </c>
      <c r="B1704" s="149" t="str">
        <f>IFERROR(VLOOKUP(Proc[[#This Row],[App]],Table2[],3,0),"open")</f>
        <v>ok</v>
      </c>
      <c r="C1704" s="89" t="s">
        <v>369</v>
      </c>
      <c r="D1704" t="s">
        <v>3464</v>
      </c>
      <c r="E1704" t="s">
        <v>3515</v>
      </c>
      <c r="F1704" s="117" t="s">
        <v>3515</v>
      </c>
      <c r="G1704" s="89" t="s">
        <v>400</v>
      </c>
      <c r="H1704" s="85" t="str">
        <f>IF(Proc[[#This Row],[type]]="LFF (MDG-F)",MID(Proc[[#This Row],[Obj]],13,10),"")</f>
        <v/>
      </c>
      <c r="J1704" s="85" t="b">
        <f>Proc[[#This Row],[Requested]]=Proc[[#This Row],[CurrentParent]]</f>
        <v>1</v>
      </c>
      <c r="K1704" s="144" t="str">
        <f>IF(Proc[[#This Row],[Author]]="Marcela Urrego",VLOOKUP(LEFT(Proc[[#This Row],[Requested]],1),Table3[#All],2,0),VLOOKUP(Proc[[#This Row],[Author]],Table4[],2,0))</f>
        <v>LS</v>
      </c>
      <c r="L1704" s="85" t="s">
        <v>2563</v>
      </c>
      <c r="M1704" s="87">
        <v>45801.263680555552</v>
      </c>
      <c r="N1704" s="87"/>
      <c r="O1704" s="87"/>
      <c r="P1704" s="90" t="str">
        <f ca="1">IF(Proc[[#This Row],[DaysAgeing]]&gt;5,"yep","on track")</f>
        <v>yep</v>
      </c>
      <c r="Q1704" s="3">
        <f ca="1">IF(Proc[[#This Row],[DateClosed]]="",ABS(NETWORKDAYS(Proc[[#This Row],[DateOpened]],TODAY()))-1,ABS(NETWORKDAYS(Proc[[#This Row],[DateOpened]],Proc[[#This Row],[DateClosed]]))-1)</f>
        <v>149</v>
      </c>
      <c r="R1704" s="90" t="s">
        <v>489</v>
      </c>
      <c r="S1704" s="85"/>
    </row>
    <row r="1705" spans="1:19" hidden="1">
      <c r="A1705" s="89" t="s">
        <v>3404</v>
      </c>
      <c r="B1705" s="149" t="str">
        <f>IFERROR(VLOOKUP(Proc[[#This Row],[App]],Table2[],3,0),"open")</f>
        <v>ok</v>
      </c>
      <c r="C1705" s="89" t="s">
        <v>369</v>
      </c>
      <c r="D1705" t="s">
        <v>3465</v>
      </c>
      <c r="E1705" t="s">
        <v>3515</v>
      </c>
      <c r="F1705" s="117" t="s">
        <v>3515</v>
      </c>
      <c r="G1705" s="89" t="s">
        <v>400</v>
      </c>
      <c r="H1705" s="85" t="str">
        <f>IF(Proc[[#This Row],[type]]="LFF (MDG-F)",MID(Proc[[#This Row],[Obj]],13,10),"")</f>
        <v/>
      </c>
      <c r="J1705" s="85" t="b">
        <f>Proc[[#This Row],[Requested]]=Proc[[#This Row],[CurrentParent]]</f>
        <v>1</v>
      </c>
      <c r="K1705" s="144" t="str">
        <f>IF(Proc[[#This Row],[Author]]="Marcela Urrego",VLOOKUP(LEFT(Proc[[#This Row],[Requested]],1),Table3[#All],2,0),VLOOKUP(Proc[[#This Row],[Author]],Table4[],2,0))</f>
        <v>LS</v>
      </c>
      <c r="L1705" s="85" t="s">
        <v>2563</v>
      </c>
      <c r="M1705" s="87">
        <v>45801.263680555552</v>
      </c>
      <c r="N1705" s="87"/>
      <c r="O1705" s="87"/>
      <c r="P1705" s="90" t="str">
        <f ca="1">IF(Proc[[#This Row],[DaysAgeing]]&gt;5,"yep","on track")</f>
        <v>yep</v>
      </c>
      <c r="Q1705" s="3">
        <f ca="1">IF(Proc[[#This Row],[DateClosed]]="",ABS(NETWORKDAYS(Proc[[#This Row],[DateOpened]],TODAY()))-1,ABS(NETWORKDAYS(Proc[[#This Row],[DateOpened]],Proc[[#This Row],[DateClosed]]))-1)</f>
        <v>149</v>
      </c>
      <c r="R1705" s="90" t="s">
        <v>489</v>
      </c>
      <c r="S1705" s="85"/>
    </row>
    <row r="1706" spans="1:19" hidden="1">
      <c r="A1706" s="89" t="s">
        <v>3404</v>
      </c>
      <c r="B1706" s="149" t="str">
        <f>IFERROR(VLOOKUP(Proc[[#This Row],[App]],Table2[],3,0),"open")</f>
        <v>ok</v>
      </c>
      <c r="C1706" s="89" t="s">
        <v>369</v>
      </c>
      <c r="D1706" t="s">
        <v>3466</v>
      </c>
      <c r="E1706" t="s">
        <v>3529</v>
      </c>
      <c r="F1706" s="117" t="s">
        <v>3529</v>
      </c>
      <c r="G1706" s="89" t="s">
        <v>400</v>
      </c>
      <c r="H1706" s="85" t="str">
        <f>IF(Proc[[#This Row],[type]]="LFF (MDG-F)",MID(Proc[[#This Row],[Obj]],13,10),"")</f>
        <v/>
      </c>
      <c r="J1706" s="85" t="b">
        <f>Proc[[#This Row],[Requested]]=Proc[[#This Row],[CurrentParent]]</f>
        <v>1</v>
      </c>
      <c r="K1706" s="144" t="str">
        <f>IF(Proc[[#This Row],[Author]]="Marcela Urrego",VLOOKUP(LEFT(Proc[[#This Row],[Requested]],1),Table3[#All],2,0),VLOOKUP(Proc[[#This Row],[Author]],Table4[],2,0))</f>
        <v>LS</v>
      </c>
      <c r="L1706" s="85" t="s">
        <v>2563</v>
      </c>
      <c r="M1706" s="87">
        <v>45801.263680555552</v>
      </c>
      <c r="N1706" s="87"/>
      <c r="O1706" s="87"/>
      <c r="P1706" s="90" t="str">
        <f ca="1">IF(Proc[[#This Row],[DaysAgeing]]&gt;5,"yep","on track")</f>
        <v>yep</v>
      </c>
      <c r="Q1706" s="3">
        <f ca="1">IF(Proc[[#This Row],[DateClosed]]="",ABS(NETWORKDAYS(Proc[[#This Row],[DateOpened]],TODAY()))-1,ABS(NETWORKDAYS(Proc[[#This Row],[DateOpened]],Proc[[#This Row],[DateClosed]]))-1)</f>
        <v>149</v>
      </c>
      <c r="R1706" s="90" t="s">
        <v>489</v>
      </c>
      <c r="S1706" s="85"/>
    </row>
    <row r="1707" spans="1:19" hidden="1">
      <c r="A1707" s="89" t="s">
        <v>3404</v>
      </c>
      <c r="B1707" s="149" t="str">
        <f>IFERROR(VLOOKUP(Proc[[#This Row],[App]],Table2[],3,0),"open")</f>
        <v>ok</v>
      </c>
      <c r="C1707" s="89" t="s">
        <v>369</v>
      </c>
      <c r="D1707" t="s">
        <v>3467</v>
      </c>
      <c r="E1707" t="s">
        <v>3534</v>
      </c>
      <c r="F1707" s="117" t="s">
        <v>3534</v>
      </c>
      <c r="G1707" s="89" t="s">
        <v>400</v>
      </c>
      <c r="H1707" s="85" t="str">
        <f>IF(Proc[[#This Row],[type]]="LFF (MDG-F)",MID(Proc[[#This Row],[Obj]],13,10),"")</f>
        <v/>
      </c>
      <c r="J1707" s="85" t="b">
        <f>Proc[[#This Row],[Requested]]=Proc[[#This Row],[CurrentParent]]</f>
        <v>1</v>
      </c>
      <c r="K1707" s="144" t="str">
        <f>IF(Proc[[#This Row],[Author]]="Marcela Urrego",VLOOKUP(LEFT(Proc[[#This Row],[Requested]],1),Table3[#All],2,0),VLOOKUP(Proc[[#This Row],[Author]],Table4[],2,0))</f>
        <v>LS</v>
      </c>
      <c r="L1707" s="85" t="s">
        <v>2563</v>
      </c>
      <c r="M1707" s="87">
        <v>45801.263680555552</v>
      </c>
      <c r="N1707" s="87"/>
      <c r="O1707" s="87"/>
      <c r="P1707" s="90" t="str">
        <f ca="1">IF(Proc[[#This Row],[DaysAgeing]]&gt;5,"yep","on track")</f>
        <v>yep</v>
      </c>
      <c r="Q1707" s="3">
        <f ca="1">IF(Proc[[#This Row],[DateClosed]]="",ABS(NETWORKDAYS(Proc[[#This Row],[DateOpened]],TODAY()))-1,ABS(NETWORKDAYS(Proc[[#This Row],[DateOpened]],Proc[[#This Row],[DateClosed]]))-1)</f>
        <v>149</v>
      </c>
      <c r="R1707" s="90" t="s">
        <v>489</v>
      </c>
      <c r="S1707" s="85"/>
    </row>
    <row r="1708" spans="1:19" hidden="1">
      <c r="A1708" s="89" t="s">
        <v>3404</v>
      </c>
      <c r="B1708" s="149" t="str">
        <f>IFERROR(VLOOKUP(Proc[[#This Row],[App]],Table2[],3,0),"open")</f>
        <v>ok</v>
      </c>
      <c r="C1708" s="89" t="s">
        <v>369</v>
      </c>
      <c r="D1708" t="s">
        <v>3468</v>
      </c>
      <c r="E1708" t="s">
        <v>3531</v>
      </c>
      <c r="F1708" s="117" t="s">
        <v>3531</v>
      </c>
      <c r="G1708" s="89" t="s">
        <v>400</v>
      </c>
      <c r="H1708" s="85" t="str">
        <f>IF(Proc[[#This Row],[type]]="LFF (MDG-F)",MID(Proc[[#This Row],[Obj]],13,10),"")</f>
        <v/>
      </c>
      <c r="J1708" s="85" t="b">
        <f>Proc[[#This Row],[Requested]]=Proc[[#This Row],[CurrentParent]]</f>
        <v>1</v>
      </c>
      <c r="K1708" s="144" t="str">
        <f>IF(Proc[[#This Row],[Author]]="Marcela Urrego",VLOOKUP(LEFT(Proc[[#This Row],[Requested]],1),Table3[#All],2,0),VLOOKUP(Proc[[#This Row],[Author]],Table4[],2,0))</f>
        <v>LS</v>
      </c>
      <c r="L1708" s="85" t="s">
        <v>2563</v>
      </c>
      <c r="M1708" s="87">
        <v>45801.263680555552</v>
      </c>
      <c r="N1708" s="87"/>
      <c r="O1708" s="87"/>
      <c r="P1708" s="90" t="str">
        <f ca="1">IF(Proc[[#This Row],[DaysAgeing]]&gt;5,"yep","on track")</f>
        <v>yep</v>
      </c>
      <c r="Q1708" s="3">
        <f ca="1">IF(Proc[[#This Row],[DateClosed]]="",ABS(NETWORKDAYS(Proc[[#This Row],[DateOpened]],TODAY()))-1,ABS(NETWORKDAYS(Proc[[#This Row],[DateOpened]],Proc[[#This Row],[DateClosed]]))-1)</f>
        <v>149</v>
      </c>
      <c r="R1708" s="90" t="s">
        <v>489</v>
      </c>
      <c r="S1708" s="85"/>
    </row>
    <row r="1709" spans="1:19" hidden="1">
      <c r="A1709" s="89" t="s">
        <v>3404</v>
      </c>
      <c r="B1709" s="149" t="str">
        <f>IFERROR(VLOOKUP(Proc[[#This Row],[App]],Table2[],3,0),"open")</f>
        <v>ok</v>
      </c>
      <c r="C1709" s="89" t="s">
        <v>369</v>
      </c>
      <c r="D1709" t="s">
        <v>3469</v>
      </c>
      <c r="E1709" t="s">
        <v>3537</v>
      </c>
      <c r="F1709" s="117" t="s">
        <v>3537</v>
      </c>
      <c r="G1709" s="89" t="s">
        <v>400</v>
      </c>
      <c r="H1709" s="85" t="str">
        <f>IF(Proc[[#This Row],[type]]="LFF (MDG-F)",MID(Proc[[#This Row],[Obj]],13,10),"")</f>
        <v/>
      </c>
      <c r="J1709" s="85" t="b">
        <f>Proc[[#This Row],[Requested]]=Proc[[#This Row],[CurrentParent]]</f>
        <v>1</v>
      </c>
      <c r="K1709" s="144" t="str">
        <f>IF(Proc[[#This Row],[Author]]="Marcela Urrego",VLOOKUP(LEFT(Proc[[#This Row],[Requested]],1),Table3[#All],2,0),VLOOKUP(Proc[[#This Row],[Author]],Table4[],2,0))</f>
        <v>LS</v>
      </c>
      <c r="L1709" s="85" t="s">
        <v>2563</v>
      </c>
      <c r="M1709" s="87">
        <v>45801.263680555552</v>
      </c>
      <c r="N1709" s="87"/>
      <c r="O1709" s="87"/>
      <c r="P1709" s="90" t="str">
        <f ca="1">IF(Proc[[#This Row],[DaysAgeing]]&gt;5,"yep","on track")</f>
        <v>yep</v>
      </c>
      <c r="Q1709" s="3">
        <f ca="1">IF(Proc[[#This Row],[DateClosed]]="",ABS(NETWORKDAYS(Proc[[#This Row],[DateOpened]],TODAY()))-1,ABS(NETWORKDAYS(Proc[[#This Row],[DateOpened]],Proc[[#This Row],[DateClosed]]))-1)</f>
        <v>149</v>
      </c>
      <c r="R1709" s="90" t="s">
        <v>489</v>
      </c>
      <c r="S1709" s="85"/>
    </row>
    <row r="1710" spans="1:19" hidden="1">
      <c r="A1710" s="89" t="s">
        <v>3404</v>
      </c>
      <c r="B1710" s="149" t="str">
        <f>IFERROR(VLOOKUP(Proc[[#This Row],[App]],Table2[],3,0),"open")</f>
        <v>ok</v>
      </c>
      <c r="C1710" s="89" t="s">
        <v>369</v>
      </c>
      <c r="D1710" t="s">
        <v>3470</v>
      </c>
      <c r="E1710" t="s">
        <v>3527</v>
      </c>
      <c r="F1710" s="117" t="s">
        <v>3527</v>
      </c>
      <c r="G1710" s="89" t="s">
        <v>400</v>
      </c>
      <c r="H1710" s="85" t="str">
        <f>IF(Proc[[#This Row],[type]]="LFF (MDG-F)",MID(Proc[[#This Row],[Obj]],13,10),"")</f>
        <v/>
      </c>
      <c r="J1710" s="85" t="b">
        <f>Proc[[#This Row],[Requested]]=Proc[[#This Row],[CurrentParent]]</f>
        <v>1</v>
      </c>
      <c r="K1710" s="144" t="str">
        <f>IF(Proc[[#This Row],[Author]]="Marcela Urrego",VLOOKUP(LEFT(Proc[[#This Row],[Requested]],1),Table3[#All],2,0),VLOOKUP(Proc[[#This Row],[Author]],Table4[],2,0))</f>
        <v>LS</v>
      </c>
      <c r="L1710" s="85" t="s">
        <v>2563</v>
      </c>
      <c r="M1710" s="87">
        <v>45801.263680555552</v>
      </c>
      <c r="N1710" s="87"/>
      <c r="O1710" s="87"/>
      <c r="P1710" s="90" t="str">
        <f ca="1">IF(Proc[[#This Row],[DaysAgeing]]&gt;5,"yep","on track")</f>
        <v>yep</v>
      </c>
      <c r="Q1710" s="3">
        <f ca="1">IF(Proc[[#This Row],[DateClosed]]="",ABS(NETWORKDAYS(Proc[[#This Row],[DateOpened]],TODAY()))-1,ABS(NETWORKDAYS(Proc[[#This Row],[DateOpened]],Proc[[#This Row],[DateClosed]]))-1)</f>
        <v>149</v>
      </c>
      <c r="R1710" s="90" t="s">
        <v>489</v>
      </c>
      <c r="S1710" s="85"/>
    </row>
    <row r="1711" spans="1:19" hidden="1">
      <c r="A1711" s="89" t="s">
        <v>3404</v>
      </c>
      <c r="B1711" s="149" t="str">
        <f>IFERROR(VLOOKUP(Proc[[#This Row],[App]],Table2[],3,0),"open")</f>
        <v>ok</v>
      </c>
      <c r="C1711" s="89" t="s">
        <v>369</v>
      </c>
      <c r="D1711" t="s">
        <v>3471</v>
      </c>
      <c r="E1711" t="s">
        <v>3538</v>
      </c>
      <c r="F1711" s="117" t="s">
        <v>3538</v>
      </c>
      <c r="G1711" s="89" t="s">
        <v>400</v>
      </c>
      <c r="H1711" s="85" t="str">
        <f>IF(Proc[[#This Row],[type]]="LFF (MDG-F)",MID(Proc[[#This Row],[Obj]],13,10),"")</f>
        <v/>
      </c>
      <c r="J1711" s="85" t="b">
        <f>Proc[[#This Row],[Requested]]=Proc[[#This Row],[CurrentParent]]</f>
        <v>1</v>
      </c>
      <c r="K1711" s="144" t="str">
        <f>IF(Proc[[#This Row],[Author]]="Marcela Urrego",VLOOKUP(LEFT(Proc[[#This Row],[Requested]],1),Table3[#All],2,0),VLOOKUP(Proc[[#This Row],[Author]],Table4[],2,0))</f>
        <v>LS</v>
      </c>
      <c r="L1711" s="85" t="s">
        <v>2563</v>
      </c>
      <c r="M1711" s="87">
        <v>45801.263680555552</v>
      </c>
      <c r="N1711" s="87"/>
      <c r="O1711" s="87"/>
      <c r="P1711" s="90" t="str">
        <f ca="1">IF(Proc[[#This Row],[DaysAgeing]]&gt;5,"yep","on track")</f>
        <v>yep</v>
      </c>
      <c r="Q1711" s="3">
        <f ca="1">IF(Proc[[#This Row],[DateClosed]]="",ABS(NETWORKDAYS(Proc[[#This Row],[DateOpened]],TODAY()))-1,ABS(NETWORKDAYS(Proc[[#This Row],[DateOpened]],Proc[[#This Row],[DateClosed]]))-1)</f>
        <v>149</v>
      </c>
      <c r="R1711" s="90" t="s">
        <v>489</v>
      </c>
      <c r="S1711" s="85"/>
    </row>
    <row r="1712" spans="1:19" hidden="1">
      <c r="A1712" s="89" t="s">
        <v>3404</v>
      </c>
      <c r="B1712" s="149" t="str">
        <f>IFERROR(VLOOKUP(Proc[[#This Row],[App]],Table2[],3,0),"open")</f>
        <v>ok</v>
      </c>
      <c r="C1712" s="89" t="s">
        <v>369</v>
      </c>
      <c r="D1712" t="s">
        <v>2579</v>
      </c>
      <c r="E1712" t="s">
        <v>3539</v>
      </c>
      <c r="F1712" s="117" t="s">
        <v>3539</v>
      </c>
      <c r="G1712" s="89" t="s">
        <v>400</v>
      </c>
      <c r="H1712" s="85" t="str">
        <f>IF(Proc[[#This Row],[type]]="LFF (MDG-F)",MID(Proc[[#This Row],[Obj]],13,10),"")</f>
        <v/>
      </c>
      <c r="J1712" s="85" t="b">
        <f>Proc[[#This Row],[Requested]]=Proc[[#This Row],[CurrentParent]]</f>
        <v>1</v>
      </c>
      <c r="K1712" s="144" t="str">
        <f>IF(Proc[[#This Row],[Author]]="Marcela Urrego",VLOOKUP(LEFT(Proc[[#This Row],[Requested]],1),Table3[#All],2,0),VLOOKUP(Proc[[#This Row],[Author]],Table4[],2,0))</f>
        <v>LS</v>
      </c>
      <c r="L1712" s="85" t="s">
        <v>2563</v>
      </c>
      <c r="M1712" s="87">
        <v>45801.263680555552</v>
      </c>
      <c r="N1712" s="87"/>
      <c r="O1712" s="87"/>
      <c r="P1712" s="90" t="str">
        <f ca="1">IF(Proc[[#This Row],[DaysAgeing]]&gt;5,"yep","on track")</f>
        <v>yep</v>
      </c>
      <c r="Q1712" s="3">
        <f ca="1">IF(Proc[[#This Row],[DateClosed]]="",ABS(NETWORKDAYS(Proc[[#This Row],[DateOpened]],TODAY()))-1,ABS(NETWORKDAYS(Proc[[#This Row],[DateOpened]],Proc[[#This Row],[DateClosed]]))-1)</f>
        <v>149</v>
      </c>
      <c r="R1712" s="90" t="s">
        <v>489</v>
      </c>
      <c r="S1712" s="85"/>
    </row>
    <row r="1713" spans="1:19" hidden="1">
      <c r="A1713" s="89" t="s">
        <v>3404</v>
      </c>
      <c r="B1713" s="149" t="str">
        <f>IFERROR(VLOOKUP(Proc[[#This Row],[App]],Table2[],3,0),"open")</f>
        <v>ok</v>
      </c>
      <c r="C1713" s="89" t="s">
        <v>369</v>
      </c>
      <c r="D1713" t="s">
        <v>3472</v>
      </c>
      <c r="E1713" t="s">
        <v>3514</v>
      </c>
      <c r="F1713" s="117" t="s">
        <v>3514</v>
      </c>
      <c r="G1713" s="89" t="s">
        <v>400</v>
      </c>
      <c r="H1713" s="85" t="str">
        <f>IF(Proc[[#This Row],[type]]="LFF (MDG-F)",MID(Proc[[#This Row],[Obj]],13,10),"")</f>
        <v/>
      </c>
      <c r="J1713" s="85" t="b">
        <f>Proc[[#This Row],[Requested]]=Proc[[#This Row],[CurrentParent]]</f>
        <v>1</v>
      </c>
      <c r="K1713" s="144" t="str">
        <f>IF(Proc[[#This Row],[Author]]="Marcela Urrego",VLOOKUP(LEFT(Proc[[#This Row],[Requested]],1),Table3[#All],2,0),VLOOKUP(Proc[[#This Row],[Author]],Table4[],2,0))</f>
        <v>LS</v>
      </c>
      <c r="L1713" s="85" t="s">
        <v>2563</v>
      </c>
      <c r="M1713" s="87">
        <v>45801.263680555552</v>
      </c>
      <c r="N1713" s="87"/>
      <c r="O1713" s="87"/>
      <c r="P1713" s="90" t="str">
        <f ca="1">IF(Proc[[#This Row],[DaysAgeing]]&gt;5,"yep","on track")</f>
        <v>yep</v>
      </c>
      <c r="Q1713" s="3">
        <f ca="1">IF(Proc[[#This Row],[DateClosed]]="",ABS(NETWORKDAYS(Proc[[#This Row],[DateOpened]],TODAY()))-1,ABS(NETWORKDAYS(Proc[[#This Row],[DateOpened]],Proc[[#This Row],[DateClosed]]))-1)</f>
        <v>149</v>
      </c>
      <c r="R1713" s="90" t="s">
        <v>489</v>
      </c>
      <c r="S1713" s="85"/>
    </row>
    <row r="1714" spans="1:19" hidden="1">
      <c r="A1714" s="89" t="s">
        <v>3404</v>
      </c>
      <c r="B1714" s="149" t="str">
        <f>IFERROR(VLOOKUP(Proc[[#This Row],[App]],Table2[],3,0),"open")</f>
        <v>ok</v>
      </c>
      <c r="C1714" s="89" t="s">
        <v>369</v>
      </c>
      <c r="D1714" t="s">
        <v>2580</v>
      </c>
      <c r="E1714" t="s">
        <v>3540</v>
      </c>
      <c r="F1714" s="117" t="s">
        <v>3540</v>
      </c>
      <c r="G1714" s="89" t="s">
        <v>400</v>
      </c>
      <c r="H1714" s="85" t="str">
        <f>IF(Proc[[#This Row],[type]]="LFF (MDG-F)",MID(Proc[[#This Row],[Obj]],13,10),"")</f>
        <v/>
      </c>
      <c r="J1714" s="85" t="b">
        <f>Proc[[#This Row],[Requested]]=Proc[[#This Row],[CurrentParent]]</f>
        <v>1</v>
      </c>
      <c r="K1714" s="144" t="str">
        <f>IF(Proc[[#This Row],[Author]]="Marcela Urrego",VLOOKUP(LEFT(Proc[[#This Row],[Requested]],1),Table3[#All],2,0),VLOOKUP(Proc[[#This Row],[Author]],Table4[],2,0))</f>
        <v>LS</v>
      </c>
      <c r="L1714" s="85" t="s">
        <v>2563</v>
      </c>
      <c r="M1714" s="87">
        <v>45801.263680555552</v>
      </c>
      <c r="N1714" s="87"/>
      <c r="O1714" s="87"/>
      <c r="P1714" s="90" t="str">
        <f ca="1">IF(Proc[[#This Row],[DaysAgeing]]&gt;5,"yep","on track")</f>
        <v>yep</v>
      </c>
      <c r="Q1714" s="3">
        <f ca="1">IF(Proc[[#This Row],[DateClosed]]="",ABS(NETWORKDAYS(Proc[[#This Row],[DateOpened]],TODAY()))-1,ABS(NETWORKDAYS(Proc[[#This Row],[DateOpened]],Proc[[#This Row],[DateClosed]]))-1)</f>
        <v>149</v>
      </c>
      <c r="R1714" s="90" t="s">
        <v>489</v>
      </c>
      <c r="S1714" s="85"/>
    </row>
    <row r="1715" spans="1:19" hidden="1">
      <c r="A1715" s="89" t="s">
        <v>3404</v>
      </c>
      <c r="B1715" s="149" t="str">
        <f>IFERROR(VLOOKUP(Proc[[#This Row],[App]],Table2[],3,0),"open")</f>
        <v>ok</v>
      </c>
      <c r="C1715" s="89" t="s">
        <v>369</v>
      </c>
      <c r="D1715" t="s">
        <v>3473</v>
      </c>
      <c r="E1715" t="s">
        <v>3520</v>
      </c>
      <c r="F1715" s="117" t="s">
        <v>3520</v>
      </c>
      <c r="G1715" s="89" t="s">
        <v>400</v>
      </c>
      <c r="H1715" s="85" t="str">
        <f>IF(Proc[[#This Row],[type]]="LFF (MDG-F)",MID(Proc[[#This Row],[Obj]],13,10),"")</f>
        <v/>
      </c>
      <c r="J1715" s="85" t="b">
        <f>Proc[[#This Row],[Requested]]=Proc[[#This Row],[CurrentParent]]</f>
        <v>1</v>
      </c>
      <c r="K1715" s="144" t="str">
        <f>IF(Proc[[#This Row],[Author]]="Marcela Urrego",VLOOKUP(LEFT(Proc[[#This Row],[Requested]],1),Table3[#All],2,0),VLOOKUP(Proc[[#This Row],[Author]],Table4[],2,0))</f>
        <v>LS</v>
      </c>
      <c r="L1715" s="85" t="s">
        <v>2563</v>
      </c>
      <c r="M1715" s="87">
        <v>45801.263680555552</v>
      </c>
      <c r="N1715" s="87"/>
      <c r="O1715" s="87"/>
      <c r="P1715" s="90" t="str">
        <f ca="1">IF(Proc[[#This Row],[DaysAgeing]]&gt;5,"yep","on track")</f>
        <v>yep</v>
      </c>
      <c r="Q1715" s="3">
        <f ca="1">IF(Proc[[#This Row],[DateClosed]]="",ABS(NETWORKDAYS(Proc[[#This Row],[DateOpened]],TODAY()))-1,ABS(NETWORKDAYS(Proc[[#This Row],[DateOpened]],Proc[[#This Row],[DateClosed]]))-1)</f>
        <v>149</v>
      </c>
      <c r="R1715" s="90" t="s">
        <v>489</v>
      </c>
      <c r="S1715" s="85"/>
    </row>
    <row r="1716" spans="1:19" hidden="1">
      <c r="A1716" s="89" t="s">
        <v>3404</v>
      </c>
      <c r="B1716" s="149" t="str">
        <f>IFERROR(VLOOKUP(Proc[[#This Row],[App]],Table2[],3,0),"open")</f>
        <v>ok</v>
      </c>
      <c r="C1716" s="89" t="s">
        <v>369</v>
      </c>
      <c r="D1716" t="s">
        <v>3474</v>
      </c>
      <c r="E1716" t="s">
        <v>3527</v>
      </c>
      <c r="F1716" s="117" t="s">
        <v>3527</v>
      </c>
      <c r="G1716" s="89" t="s">
        <v>400</v>
      </c>
      <c r="H1716" s="85" t="str">
        <f>IF(Proc[[#This Row],[type]]="LFF (MDG-F)",MID(Proc[[#This Row],[Obj]],13,10),"")</f>
        <v/>
      </c>
      <c r="J1716" s="85" t="b">
        <f>Proc[[#This Row],[Requested]]=Proc[[#This Row],[CurrentParent]]</f>
        <v>1</v>
      </c>
      <c r="K1716" s="144" t="str">
        <f>IF(Proc[[#This Row],[Author]]="Marcela Urrego",VLOOKUP(LEFT(Proc[[#This Row],[Requested]],1),Table3[#All],2,0),VLOOKUP(Proc[[#This Row],[Author]],Table4[],2,0))</f>
        <v>LS</v>
      </c>
      <c r="L1716" s="85" t="s">
        <v>2563</v>
      </c>
      <c r="M1716" s="87">
        <v>45801.263680555552</v>
      </c>
      <c r="N1716" s="87"/>
      <c r="O1716" s="87"/>
      <c r="P1716" s="90" t="str">
        <f ca="1">IF(Proc[[#This Row],[DaysAgeing]]&gt;5,"yep","on track")</f>
        <v>yep</v>
      </c>
      <c r="Q1716" s="3">
        <f ca="1">IF(Proc[[#This Row],[DateClosed]]="",ABS(NETWORKDAYS(Proc[[#This Row],[DateOpened]],TODAY()))-1,ABS(NETWORKDAYS(Proc[[#This Row],[DateOpened]],Proc[[#This Row],[DateClosed]]))-1)</f>
        <v>149</v>
      </c>
      <c r="R1716" s="90" t="s">
        <v>489</v>
      </c>
      <c r="S1716" s="85"/>
    </row>
    <row r="1717" spans="1:19" hidden="1">
      <c r="A1717" s="89" t="s">
        <v>3404</v>
      </c>
      <c r="B1717" s="149" t="str">
        <f>IFERROR(VLOOKUP(Proc[[#This Row],[App]],Table2[],3,0),"open")</f>
        <v>ok</v>
      </c>
      <c r="C1717" s="89" t="s">
        <v>369</v>
      </c>
      <c r="D1717" t="s">
        <v>3475</v>
      </c>
      <c r="E1717" t="s">
        <v>3527</v>
      </c>
      <c r="F1717" s="117" t="s">
        <v>3527</v>
      </c>
      <c r="G1717" s="89" t="s">
        <v>400</v>
      </c>
      <c r="H1717" s="85" t="str">
        <f>IF(Proc[[#This Row],[type]]="LFF (MDG-F)",MID(Proc[[#This Row],[Obj]],13,10),"")</f>
        <v/>
      </c>
      <c r="J1717" s="85" t="b">
        <f>Proc[[#This Row],[Requested]]=Proc[[#This Row],[CurrentParent]]</f>
        <v>1</v>
      </c>
      <c r="K1717" s="144" t="str">
        <f>IF(Proc[[#This Row],[Author]]="Marcela Urrego",VLOOKUP(LEFT(Proc[[#This Row],[Requested]],1),Table3[#All],2,0),VLOOKUP(Proc[[#This Row],[Author]],Table4[],2,0))</f>
        <v>LS</v>
      </c>
      <c r="L1717" s="85" t="s">
        <v>2563</v>
      </c>
      <c r="M1717" s="87">
        <v>45801.263680555552</v>
      </c>
      <c r="N1717" s="87"/>
      <c r="O1717" s="87"/>
      <c r="P1717" s="90" t="str">
        <f ca="1">IF(Proc[[#This Row],[DaysAgeing]]&gt;5,"yep","on track")</f>
        <v>yep</v>
      </c>
      <c r="Q1717" s="3">
        <f ca="1">IF(Proc[[#This Row],[DateClosed]]="",ABS(NETWORKDAYS(Proc[[#This Row],[DateOpened]],TODAY()))-1,ABS(NETWORKDAYS(Proc[[#This Row],[DateOpened]],Proc[[#This Row],[DateClosed]]))-1)</f>
        <v>149</v>
      </c>
      <c r="R1717" s="90" t="s">
        <v>489</v>
      </c>
      <c r="S1717" s="85"/>
    </row>
    <row r="1718" spans="1:19" hidden="1">
      <c r="A1718" s="89" t="s">
        <v>3404</v>
      </c>
      <c r="B1718" s="149" t="str">
        <f>IFERROR(VLOOKUP(Proc[[#This Row],[App]],Table2[],3,0),"open")</f>
        <v>ok</v>
      </c>
      <c r="C1718" s="89" t="s">
        <v>369</v>
      </c>
      <c r="D1718" t="s">
        <v>3476</v>
      </c>
      <c r="E1718" t="s">
        <v>3516</v>
      </c>
      <c r="F1718" s="117" t="s">
        <v>3516</v>
      </c>
      <c r="G1718" s="89" t="s">
        <v>400</v>
      </c>
      <c r="H1718" s="85" t="str">
        <f>IF(Proc[[#This Row],[type]]="LFF (MDG-F)",MID(Proc[[#This Row],[Obj]],13,10),"")</f>
        <v/>
      </c>
      <c r="J1718" s="85" t="b">
        <f>Proc[[#This Row],[Requested]]=Proc[[#This Row],[CurrentParent]]</f>
        <v>1</v>
      </c>
      <c r="K1718" s="144" t="str">
        <f>IF(Proc[[#This Row],[Author]]="Marcela Urrego",VLOOKUP(LEFT(Proc[[#This Row],[Requested]],1),Table3[#All],2,0),VLOOKUP(Proc[[#This Row],[Author]],Table4[],2,0))</f>
        <v>LS</v>
      </c>
      <c r="L1718" s="85" t="s">
        <v>2563</v>
      </c>
      <c r="M1718" s="87">
        <v>45801.263680555552</v>
      </c>
      <c r="N1718" s="87"/>
      <c r="O1718" s="87"/>
      <c r="P1718" s="90" t="str">
        <f ca="1">IF(Proc[[#This Row],[DaysAgeing]]&gt;5,"yep","on track")</f>
        <v>yep</v>
      </c>
      <c r="Q1718" s="3">
        <f ca="1">IF(Proc[[#This Row],[DateClosed]]="",ABS(NETWORKDAYS(Proc[[#This Row],[DateOpened]],TODAY()))-1,ABS(NETWORKDAYS(Proc[[#This Row],[DateOpened]],Proc[[#This Row],[DateClosed]]))-1)</f>
        <v>149</v>
      </c>
      <c r="R1718" s="90" t="s">
        <v>489</v>
      </c>
      <c r="S1718" s="85"/>
    </row>
    <row r="1719" spans="1:19" hidden="1">
      <c r="A1719" s="89" t="s">
        <v>3404</v>
      </c>
      <c r="B1719" s="149" t="str">
        <f>IFERROR(VLOOKUP(Proc[[#This Row],[App]],Table2[],3,0),"open")</f>
        <v>ok</v>
      </c>
      <c r="C1719" s="89" t="s">
        <v>369</v>
      </c>
      <c r="D1719" t="s">
        <v>3477</v>
      </c>
      <c r="E1719" t="s">
        <v>3516</v>
      </c>
      <c r="F1719" s="117" t="s">
        <v>3516</v>
      </c>
      <c r="G1719" s="89" t="s">
        <v>400</v>
      </c>
      <c r="H1719" s="85" t="str">
        <f>IF(Proc[[#This Row],[type]]="LFF (MDG-F)",MID(Proc[[#This Row],[Obj]],13,10),"")</f>
        <v/>
      </c>
      <c r="J1719" s="85" t="b">
        <f>Proc[[#This Row],[Requested]]=Proc[[#This Row],[CurrentParent]]</f>
        <v>1</v>
      </c>
      <c r="K1719" s="144" t="str">
        <f>IF(Proc[[#This Row],[Author]]="Marcela Urrego",VLOOKUP(LEFT(Proc[[#This Row],[Requested]],1),Table3[#All],2,0),VLOOKUP(Proc[[#This Row],[Author]],Table4[],2,0))</f>
        <v>LS</v>
      </c>
      <c r="L1719" s="85" t="s">
        <v>2563</v>
      </c>
      <c r="M1719" s="87">
        <v>45801.263680555552</v>
      </c>
      <c r="N1719" s="87"/>
      <c r="O1719" s="87"/>
      <c r="P1719" s="90" t="str">
        <f ca="1">IF(Proc[[#This Row],[DaysAgeing]]&gt;5,"yep","on track")</f>
        <v>yep</v>
      </c>
      <c r="Q1719" s="3">
        <f ca="1">IF(Proc[[#This Row],[DateClosed]]="",ABS(NETWORKDAYS(Proc[[#This Row],[DateOpened]],TODAY()))-1,ABS(NETWORKDAYS(Proc[[#This Row],[DateOpened]],Proc[[#This Row],[DateClosed]]))-1)</f>
        <v>149</v>
      </c>
      <c r="R1719" s="90" t="s">
        <v>489</v>
      </c>
      <c r="S1719" s="85"/>
    </row>
    <row r="1720" spans="1:19" hidden="1">
      <c r="A1720" s="89" t="s">
        <v>3404</v>
      </c>
      <c r="B1720" s="149" t="str">
        <f>IFERROR(VLOOKUP(Proc[[#This Row],[App]],Table2[],3,0),"open")</f>
        <v>ok</v>
      </c>
      <c r="C1720" s="89" t="s">
        <v>369</v>
      </c>
      <c r="D1720" t="s">
        <v>3478</v>
      </c>
      <c r="E1720" t="s">
        <v>3523</v>
      </c>
      <c r="F1720" s="117" t="s">
        <v>3523</v>
      </c>
      <c r="G1720" s="89" t="s">
        <v>400</v>
      </c>
      <c r="H1720" s="85" t="str">
        <f>IF(Proc[[#This Row],[type]]="LFF (MDG-F)",MID(Proc[[#This Row],[Obj]],13,10),"")</f>
        <v/>
      </c>
      <c r="J1720" s="85" t="b">
        <f>Proc[[#This Row],[Requested]]=Proc[[#This Row],[CurrentParent]]</f>
        <v>1</v>
      </c>
      <c r="K1720" s="144" t="str">
        <f>IF(Proc[[#This Row],[Author]]="Marcela Urrego",VLOOKUP(LEFT(Proc[[#This Row],[Requested]],1),Table3[#All],2,0),VLOOKUP(Proc[[#This Row],[Author]],Table4[],2,0))</f>
        <v>LS</v>
      </c>
      <c r="L1720" s="85" t="s">
        <v>2563</v>
      </c>
      <c r="M1720" s="87">
        <v>45801.263680555552</v>
      </c>
      <c r="N1720" s="87"/>
      <c r="O1720" s="87"/>
      <c r="P1720" s="90" t="str">
        <f ca="1">IF(Proc[[#This Row],[DaysAgeing]]&gt;5,"yep","on track")</f>
        <v>yep</v>
      </c>
      <c r="Q1720" s="3">
        <f ca="1">IF(Proc[[#This Row],[DateClosed]]="",ABS(NETWORKDAYS(Proc[[#This Row],[DateOpened]],TODAY()))-1,ABS(NETWORKDAYS(Proc[[#This Row],[DateOpened]],Proc[[#This Row],[DateClosed]]))-1)</f>
        <v>149</v>
      </c>
      <c r="R1720" s="90" t="s">
        <v>489</v>
      </c>
      <c r="S1720" s="85"/>
    </row>
    <row r="1721" spans="1:19" hidden="1">
      <c r="A1721" s="89" t="s">
        <v>3404</v>
      </c>
      <c r="B1721" s="149" t="str">
        <f>IFERROR(VLOOKUP(Proc[[#This Row],[App]],Table2[],3,0),"open")</f>
        <v>ok</v>
      </c>
      <c r="C1721" s="89" t="s">
        <v>369</v>
      </c>
      <c r="D1721" t="s">
        <v>3479</v>
      </c>
      <c r="E1721" t="s">
        <v>3536</v>
      </c>
      <c r="F1721" s="117" t="s">
        <v>3536</v>
      </c>
      <c r="G1721" s="89" t="s">
        <v>400</v>
      </c>
      <c r="H1721" s="85" t="str">
        <f>IF(Proc[[#This Row],[type]]="LFF (MDG-F)",MID(Proc[[#This Row],[Obj]],13,10),"")</f>
        <v/>
      </c>
      <c r="J1721" s="85" t="b">
        <f>Proc[[#This Row],[Requested]]=Proc[[#This Row],[CurrentParent]]</f>
        <v>1</v>
      </c>
      <c r="K1721" s="144" t="str">
        <f>IF(Proc[[#This Row],[Author]]="Marcela Urrego",VLOOKUP(LEFT(Proc[[#This Row],[Requested]],1),Table3[#All],2,0),VLOOKUP(Proc[[#This Row],[Author]],Table4[],2,0))</f>
        <v>LS</v>
      </c>
      <c r="L1721" s="85" t="s">
        <v>2563</v>
      </c>
      <c r="M1721" s="87">
        <v>45801.263680555552</v>
      </c>
      <c r="N1721" s="87"/>
      <c r="O1721" s="87"/>
      <c r="P1721" s="90" t="str">
        <f ca="1">IF(Proc[[#This Row],[DaysAgeing]]&gt;5,"yep","on track")</f>
        <v>yep</v>
      </c>
      <c r="Q1721" s="3">
        <f ca="1">IF(Proc[[#This Row],[DateClosed]]="",ABS(NETWORKDAYS(Proc[[#This Row],[DateOpened]],TODAY()))-1,ABS(NETWORKDAYS(Proc[[#This Row],[DateOpened]],Proc[[#This Row],[DateClosed]]))-1)</f>
        <v>149</v>
      </c>
      <c r="R1721" s="90" t="s">
        <v>489</v>
      </c>
      <c r="S1721" s="85"/>
    </row>
    <row r="1722" spans="1:19" hidden="1">
      <c r="A1722" s="89" t="s">
        <v>3404</v>
      </c>
      <c r="B1722" s="149" t="str">
        <f>IFERROR(VLOOKUP(Proc[[#This Row],[App]],Table2[],3,0),"open")</f>
        <v>ok</v>
      </c>
      <c r="C1722" s="89" t="s">
        <v>369</v>
      </c>
      <c r="D1722" t="s">
        <v>3480</v>
      </c>
      <c r="E1722" t="s">
        <v>3530</v>
      </c>
      <c r="F1722" s="117" t="s">
        <v>3530</v>
      </c>
      <c r="G1722" s="89" t="s">
        <v>400</v>
      </c>
      <c r="H1722" s="85" t="str">
        <f>IF(Proc[[#This Row],[type]]="LFF (MDG-F)",MID(Proc[[#This Row],[Obj]],13,10),"")</f>
        <v/>
      </c>
      <c r="J1722" s="85" t="b">
        <f>Proc[[#This Row],[Requested]]=Proc[[#This Row],[CurrentParent]]</f>
        <v>1</v>
      </c>
      <c r="K1722" s="144" t="str">
        <f>IF(Proc[[#This Row],[Author]]="Marcela Urrego",VLOOKUP(LEFT(Proc[[#This Row],[Requested]],1),Table3[#All],2,0),VLOOKUP(Proc[[#This Row],[Author]],Table4[],2,0))</f>
        <v>LS</v>
      </c>
      <c r="L1722" s="85" t="s">
        <v>2563</v>
      </c>
      <c r="M1722" s="87">
        <v>45801.263680555552</v>
      </c>
      <c r="N1722" s="87"/>
      <c r="O1722" s="87"/>
      <c r="P1722" s="90" t="str">
        <f ca="1">IF(Proc[[#This Row],[DaysAgeing]]&gt;5,"yep","on track")</f>
        <v>yep</v>
      </c>
      <c r="Q1722" s="3">
        <f ca="1">IF(Proc[[#This Row],[DateClosed]]="",ABS(NETWORKDAYS(Proc[[#This Row],[DateOpened]],TODAY()))-1,ABS(NETWORKDAYS(Proc[[#This Row],[DateOpened]],Proc[[#This Row],[DateClosed]]))-1)</f>
        <v>149</v>
      </c>
      <c r="R1722" s="90" t="s">
        <v>489</v>
      </c>
      <c r="S1722" s="85"/>
    </row>
    <row r="1723" spans="1:19" hidden="1">
      <c r="A1723" s="89" t="s">
        <v>3404</v>
      </c>
      <c r="B1723" s="149" t="str">
        <f>IFERROR(VLOOKUP(Proc[[#This Row],[App]],Table2[],3,0),"open")</f>
        <v>ok</v>
      </c>
      <c r="C1723" s="89" t="s">
        <v>369</v>
      </c>
      <c r="D1723" t="s">
        <v>3481</v>
      </c>
      <c r="E1723" t="s">
        <v>3524</v>
      </c>
      <c r="F1723" s="117" t="s">
        <v>3524</v>
      </c>
      <c r="G1723" s="89" t="s">
        <v>400</v>
      </c>
      <c r="H1723" s="85" t="str">
        <f>IF(Proc[[#This Row],[type]]="LFF (MDG-F)",MID(Proc[[#This Row],[Obj]],13,10),"")</f>
        <v/>
      </c>
      <c r="J1723" s="85" t="b">
        <f>Proc[[#This Row],[Requested]]=Proc[[#This Row],[CurrentParent]]</f>
        <v>1</v>
      </c>
      <c r="K1723" s="144" t="str">
        <f>IF(Proc[[#This Row],[Author]]="Marcela Urrego",VLOOKUP(LEFT(Proc[[#This Row],[Requested]],1),Table3[#All],2,0),VLOOKUP(Proc[[#This Row],[Author]],Table4[],2,0))</f>
        <v>LS</v>
      </c>
      <c r="L1723" s="85" t="s">
        <v>2563</v>
      </c>
      <c r="M1723" s="87">
        <v>45801.263680555552</v>
      </c>
      <c r="N1723" s="87"/>
      <c r="O1723" s="87"/>
      <c r="P1723" s="90" t="str">
        <f ca="1">IF(Proc[[#This Row],[DaysAgeing]]&gt;5,"yep","on track")</f>
        <v>yep</v>
      </c>
      <c r="Q1723" s="3">
        <f ca="1">IF(Proc[[#This Row],[DateClosed]]="",ABS(NETWORKDAYS(Proc[[#This Row],[DateOpened]],TODAY()))-1,ABS(NETWORKDAYS(Proc[[#This Row],[DateOpened]],Proc[[#This Row],[DateClosed]]))-1)</f>
        <v>149</v>
      </c>
      <c r="R1723" s="90" t="s">
        <v>489</v>
      </c>
      <c r="S1723" s="85"/>
    </row>
    <row r="1724" spans="1:19" hidden="1">
      <c r="A1724" s="89" t="s">
        <v>3404</v>
      </c>
      <c r="B1724" s="149" t="str">
        <f>IFERROR(VLOOKUP(Proc[[#This Row],[App]],Table2[],3,0),"open")</f>
        <v>ok</v>
      </c>
      <c r="C1724" s="89" t="s">
        <v>369</v>
      </c>
      <c r="D1724" t="s">
        <v>3482</v>
      </c>
      <c r="E1724" t="s">
        <v>3530</v>
      </c>
      <c r="F1724" s="117" t="s">
        <v>3530</v>
      </c>
      <c r="G1724" s="89" t="s">
        <v>400</v>
      </c>
      <c r="H1724" s="85" t="str">
        <f>IF(Proc[[#This Row],[type]]="LFF (MDG-F)",MID(Proc[[#This Row],[Obj]],13,10),"")</f>
        <v/>
      </c>
      <c r="J1724" s="85" t="b">
        <f>Proc[[#This Row],[Requested]]=Proc[[#This Row],[CurrentParent]]</f>
        <v>1</v>
      </c>
      <c r="K1724" s="144" t="str">
        <f>IF(Proc[[#This Row],[Author]]="Marcela Urrego",VLOOKUP(LEFT(Proc[[#This Row],[Requested]],1),Table3[#All],2,0),VLOOKUP(Proc[[#This Row],[Author]],Table4[],2,0))</f>
        <v>LS</v>
      </c>
      <c r="L1724" s="85" t="s">
        <v>2563</v>
      </c>
      <c r="M1724" s="87">
        <v>45801.263680555552</v>
      </c>
      <c r="N1724" s="87"/>
      <c r="O1724" s="87"/>
      <c r="P1724" s="90" t="str">
        <f ca="1">IF(Proc[[#This Row],[DaysAgeing]]&gt;5,"yep","on track")</f>
        <v>yep</v>
      </c>
      <c r="Q1724" s="3">
        <f ca="1">IF(Proc[[#This Row],[DateClosed]]="",ABS(NETWORKDAYS(Proc[[#This Row],[DateOpened]],TODAY()))-1,ABS(NETWORKDAYS(Proc[[#This Row],[DateOpened]],Proc[[#This Row],[DateClosed]]))-1)</f>
        <v>149</v>
      </c>
      <c r="R1724" s="90" t="s">
        <v>489</v>
      </c>
      <c r="S1724" s="85"/>
    </row>
    <row r="1725" spans="1:19" hidden="1">
      <c r="A1725" s="89" t="s">
        <v>3404</v>
      </c>
      <c r="B1725" s="149" t="str">
        <f>IFERROR(VLOOKUP(Proc[[#This Row],[App]],Table2[],3,0),"open")</f>
        <v>ok</v>
      </c>
      <c r="C1725" s="89" t="s">
        <v>369</v>
      </c>
      <c r="D1725" t="s">
        <v>3483</v>
      </c>
      <c r="E1725" t="s">
        <v>3537</v>
      </c>
      <c r="F1725" s="117" t="s">
        <v>3537</v>
      </c>
      <c r="G1725" s="89" t="s">
        <v>400</v>
      </c>
      <c r="H1725" s="85" t="str">
        <f>IF(Proc[[#This Row],[type]]="LFF (MDG-F)",MID(Proc[[#This Row],[Obj]],13,10),"")</f>
        <v/>
      </c>
      <c r="J1725" s="85" t="b">
        <f>Proc[[#This Row],[Requested]]=Proc[[#This Row],[CurrentParent]]</f>
        <v>1</v>
      </c>
      <c r="K1725" s="144" t="str">
        <f>IF(Proc[[#This Row],[Author]]="Marcela Urrego",VLOOKUP(LEFT(Proc[[#This Row],[Requested]],1),Table3[#All],2,0),VLOOKUP(Proc[[#This Row],[Author]],Table4[],2,0))</f>
        <v>LS</v>
      </c>
      <c r="L1725" s="85" t="s">
        <v>2563</v>
      </c>
      <c r="M1725" s="87">
        <v>45801.263680555552</v>
      </c>
      <c r="N1725" s="87"/>
      <c r="O1725" s="87"/>
      <c r="P1725" s="90" t="str">
        <f ca="1">IF(Proc[[#This Row],[DaysAgeing]]&gt;5,"yep","on track")</f>
        <v>yep</v>
      </c>
      <c r="Q1725" s="3">
        <f ca="1">IF(Proc[[#This Row],[DateClosed]]="",ABS(NETWORKDAYS(Proc[[#This Row],[DateOpened]],TODAY()))-1,ABS(NETWORKDAYS(Proc[[#This Row],[DateOpened]],Proc[[#This Row],[DateClosed]]))-1)</f>
        <v>149</v>
      </c>
      <c r="R1725" s="90" t="s">
        <v>489</v>
      </c>
      <c r="S1725" s="85"/>
    </row>
    <row r="1726" spans="1:19" hidden="1">
      <c r="A1726" s="89" t="s">
        <v>3404</v>
      </c>
      <c r="B1726" s="149" t="str">
        <f>IFERROR(VLOOKUP(Proc[[#This Row],[App]],Table2[],3,0),"open")</f>
        <v>ok</v>
      </c>
      <c r="C1726" s="89" t="s">
        <v>369</v>
      </c>
      <c r="D1726" t="s">
        <v>3484</v>
      </c>
      <c r="E1726" t="s">
        <v>3527</v>
      </c>
      <c r="F1726" s="117" t="s">
        <v>3527</v>
      </c>
      <c r="G1726" s="89" t="s">
        <v>400</v>
      </c>
      <c r="H1726" s="85" t="str">
        <f>IF(Proc[[#This Row],[type]]="LFF (MDG-F)",MID(Proc[[#This Row],[Obj]],13,10),"")</f>
        <v/>
      </c>
      <c r="J1726" s="85" t="b">
        <f>Proc[[#This Row],[Requested]]=Proc[[#This Row],[CurrentParent]]</f>
        <v>1</v>
      </c>
      <c r="K1726" s="144" t="str">
        <f>IF(Proc[[#This Row],[Author]]="Marcela Urrego",VLOOKUP(LEFT(Proc[[#This Row],[Requested]],1),Table3[#All],2,0),VLOOKUP(Proc[[#This Row],[Author]],Table4[],2,0))</f>
        <v>LS</v>
      </c>
      <c r="L1726" s="85" t="s">
        <v>2563</v>
      </c>
      <c r="M1726" s="87">
        <v>45801.263680555552</v>
      </c>
      <c r="N1726" s="87"/>
      <c r="O1726" s="87"/>
      <c r="P1726" s="90" t="str">
        <f ca="1">IF(Proc[[#This Row],[DaysAgeing]]&gt;5,"yep","on track")</f>
        <v>yep</v>
      </c>
      <c r="Q1726" s="3">
        <f ca="1">IF(Proc[[#This Row],[DateClosed]]="",ABS(NETWORKDAYS(Proc[[#This Row],[DateOpened]],TODAY()))-1,ABS(NETWORKDAYS(Proc[[#This Row],[DateOpened]],Proc[[#This Row],[DateClosed]]))-1)</f>
        <v>149</v>
      </c>
      <c r="R1726" s="90" t="s">
        <v>489</v>
      </c>
      <c r="S1726" s="85"/>
    </row>
    <row r="1727" spans="1:19" hidden="1">
      <c r="A1727" s="89" t="s">
        <v>3404</v>
      </c>
      <c r="B1727" s="149" t="str">
        <f>IFERROR(VLOOKUP(Proc[[#This Row],[App]],Table2[],3,0),"open")</f>
        <v>ok</v>
      </c>
      <c r="C1727" s="89" t="s">
        <v>369</v>
      </c>
      <c r="D1727" t="s">
        <v>3485</v>
      </c>
      <c r="E1727" t="s">
        <v>3541</v>
      </c>
      <c r="F1727" s="117" t="s">
        <v>3541</v>
      </c>
      <c r="G1727" s="89" t="s">
        <v>400</v>
      </c>
      <c r="H1727" s="85" t="str">
        <f>IF(Proc[[#This Row],[type]]="LFF (MDG-F)",MID(Proc[[#This Row],[Obj]],13,10),"")</f>
        <v/>
      </c>
      <c r="J1727" s="85" t="b">
        <f>Proc[[#This Row],[Requested]]=Proc[[#This Row],[CurrentParent]]</f>
        <v>1</v>
      </c>
      <c r="K1727" s="144" t="str">
        <f>IF(Proc[[#This Row],[Author]]="Marcela Urrego",VLOOKUP(LEFT(Proc[[#This Row],[Requested]],1),Table3[#All],2,0),VLOOKUP(Proc[[#This Row],[Author]],Table4[],2,0))</f>
        <v>LS</v>
      </c>
      <c r="L1727" s="85" t="s">
        <v>2563</v>
      </c>
      <c r="M1727" s="87">
        <v>45801.263680555552</v>
      </c>
      <c r="N1727" s="87"/>
      <c r="O1727" s="87"/>
      <c r="P1727" s="90" t="str">
        <f ca="1">IF(Proc[[#This Row],[DaysAgeing]]&gt;5,"yep","on track")</f>
        <v>yep</v>
      </c>
      <c r="Q1727" s="3">
        <f ca="1">IF(Proc[[#This Row],[DateClosed]]="",ABS(NETWORKDAYS(Proc[[#This Row],[DateOpened]],TODAY()))-1,ABS(NETWORKDAYS(Proc[[#This Row],[DateOpened]],Proc[[#This Row],[DateClosed]]))-1)</f>
        <v>149</v>
      </c>
      <c r="R1727" s="90" t="s">
        <v>489</v>
      </c>
      <c r="S1727" s="85"/>
    </row>
    <row r="1728" spans="1:19" hidden="1">
      <c r="A1728" s="89" t="s">
        <v>3404</v>
      </c>
      <c r="B1728" s="149" t="str">
        <f>IFERROR(VLOOKUP(Proc[[#This Row],[App]],Table2[],3,0),"open")</f>
        <v>ok</v>
      </c>
      <c r="C1728" s="89" t="s">
        <v>369</v>
      </c>
      <c r="D1728" t="s">
        <v>3486</v>
      </c>
      <c r="E1728" t="s">
        <v>3524</v>
      </c>
      <c r="F1728" s="117" t="s">
        <v>3524</v>
      </c>
      <c r="G1728" s="89" t="s">
        <v>400</v>
      </c>
      <c r="H1728" s="85" t="str">
        <f>IF(Proc[[#This Row],[type]]="LFF (MDG-F)",MID(Proc[[#This Row],[Obj]],13,10),"")</f>
        <v/>
      </c>
      <c r="J1728" s="85" t="b">
        <f>Proc[[#This Row],[Requested]]=Proc[[#This Row],[CurrentParent]]</f>
        <v>1</v>
      </c>
      <c r="K1728" s="144" t="str">
        <f>IF(Proc[[#This Row],[Author]]="Marcela Urrego",VLOOKUP(LEFT(Proc[[#This Row],[Requested]],1),Table3[#All],2,0),VLOOKUP(Proc[[#This Row],[Author]],Table4[],2,0))</f>
        <v>LS</v>
      </c>
      <c r="L1728" s="85" t="s">
        <v>2563</v>
      </c>
      <c r="M1728" s="87">
        <v>45801.263680555552</v>
      </c>
      <c r="N1728" s="87"/>
      <c r="O1728" s="87"/>
      <c r="P1728" s="90" t="str">
        <f ca="1">IF(Proc[[#This Row],[DaysAgeing]]&gt;5,"yep","on track")</f>
        <v>yep</v>
      </c>
      <c r="Q1728" s="3">
        <f ca="1">IF(Proc[[#This Row],[DateClosed]]="",ABS(NETWORKDAYS(Proc[[#This Row],[DateOpened]],TODAY()))-1,ABS(NETWORKDAYS(Proc[[#This Row],[DateOpened]],Proc[[#This Row],[DateClosed]]))-1)</f>
        <v>149</v>
      </c>
      <c r="R1728" s="90" t="s">
        <v>489</v>
      </c>
      <c r="S1728" s="85"/>
    </row>
    <row r="1729" spans="1:19" hidden="1">
      <c r="A1729" s="89" t="s">
        <v>3404</v>
      </c>
      <c r="B1729" s="149" t="str">
        <f>IFERROR(VLOOKUP(Proc[[#This Row],[App]],Table2[],3,0),"open")</f>
        <v>ok</v>
      </c>
      <c r="C1729" s="89" t="s">
        <v>369</v>
      </c>
      <c r="D1729" t="s">
        <v>3487</v>
      </c>
      <c r="E1729" t="s">
        <v>3514</v>
      </c>
      <c r="F1729" s="117" t="s">
        <v>3514</v>
      </c>
      <c r="G1729" s="89" t="s">
        <v>400</v>
      </c>
      <c r="H1729" s="85" t="str">
        <f>IF(Proc[[#This Row],[type]]="LFF (MDG-F)",MID(Proc[[#This Row],[Obj]],13,10),"")</f>
        <v/>
      </c>
      <c r="J1729" s="85" t="b">
        <f>Proc[[#This Row],[Requested]]=Proc[[#This Row],[CurrentParent]]</f>
        <v>1</v>
      </c>
      <c r="K1729" s="144" t="str">
        <f>IF(Proc[[#This Row],[Author]]="Marcela Urrego",VLOOKUP(LEFT(Proc[[#This Row],[Requested]],1),Table3[#All],2,0),VLOOKUP(Proc[[#This Row],[Author]],Table4[],2,0))</f>
        <v>LS</v>
      </c>
      <c r="L1729" s="85" t="s">
        <v>2563</v>
      </c>
      <c r="M1729" s="87">
        <v>45801.263680555552</v>
      </c>
      <c r="N1729" s="87"/>
      <c r="O1729" s="87"/>
      <c r="P1729" s="90" t="str">
        <f ca="1">IF(Proc[[#This Row],[DaysAgeing]]&gt;5,"yep","on track")</f>
        <v>yep</v>
      </c>
      <c r="Q1729" s="3">
        <f ca="1">IF(Proc[[#This Row],[DateClosed]]="",ABS(NETWORKDAYS(Proc[[#This Row],[DateOpened]],TODAY()))-1,ABS(NETWORKDAYS(Proc[[#This Row],[DateOpened]],Proc[[#This Row],[DateClosed]]))-1)</f>
        <v>149</v>
      </c>
      <c r="R1729" s="90" t="s">
        <v>489</v>
      </c>
      <c r="S1729" s="85"/>
    </row>
    <row r="1730" spans="1:19" hidden="1">
      <c r="A1730" s="89" t="s">
        <v>3404</v>
      </c>
      <c r="B1730" s="149" t="str">
        <f>IFERROR(VLOOKUP(Proc[[#This Row],[App]],Table2[],3,0),"open")</f>
        <v>ok</v>
      </c>
      <c r="C1730" s="89" t="s">
        <v>369</v>
      </c>
      <c r="D1730" t="s">
        <v>3488</v>
      </c>
      <c r="E1730" t="s">
        <v>3516</v>
      </c>
      <c r="F1730" s="117" t="s">
        <v>3516</v>
      </c>
      <c r="G1730" s="89" t="s">
        <v>400</v>
      </c>
      <c r="H1730" s="85" t="str">
        <f>IF(Proc[[#This Row],[type]]="LFF (MDG-F)",MID(Proc[[#This Row],[Obj]],13,10),"")</f>
        <v/>
      </c>
      <c r="J1730" s="85" t="b">
        <f>Proc[[#This Row],[Requested]]=Proc[[#This Row],[CurrentParent]]</f>
        <v>1</v>
      </c>
      <c r="K1730" s="144" t="str">
        <f>IF(Proc[[#This Row],[Author]]="Marcela Urrego",VLOOKUP(LEFT(Proc[[#This Row],[Requested]],1),Table3[#All],2,0),VLOOKUP(Proc[[#This Row],[Author]],Table4[],2,0))</f>
        <v>LS</v>
      </c>
      <c r="L1730" s="85" t="s">
        <v>2563</v>
      </c>
      <c r="M1730" s="87">
        <v>45801.263680555552</v>
      </c>
      <c r="N1730" s="87"/>
      <c r="O1730" s="87"/>
      <c r="P1730" s="90" t="str">
        <f ca="1">IF(Proc[[#This Row],[DaysAgeing]]&gt;5,"yep","on track")</f>
        <v>yep</v>
      </c>
      <c r="Q1730" s="3">
        <f ca="1">IF(Proc[[#This Row],[DateClosed]]="",ABS(NETWORKDAYS(Proc[[#This Row],[DateOpened]],TODAY()))-1,ABS(NETWORKDAYS(Proc[[#This Row],[DateOpened]],Proc[[#This Row],[DateClosed]]))-1)</f>
        <v>149</v>
      </c>
      <c r="R1730" s="90" t="s">
        <v>489</v>
      </c>
      <c r="S1730" s="85"/>
    </row>
    <row r="1731" spans="1:19" hidden="1">
      <c r="A1731" s="89" t="s">
        <v>3404</v>
      </c>
      <c r="B1731" s="149" t="str">
        <f>IFERROR(VLOOKUP(Proc[[#This Row],[App]],Table2[],3,0),"open")</f>
        <v>ok</v>
      </c>
      <c r="C1731" s="89" t="s">
        <v>369</v>
      </c>
      <c r="D1731" t="s">
        <v>3489</v>
      </c>
      <c r="E1731" t="s">
        <v>3530</v>
      </c>
      <c r="F1731" s="117" t="s">
        <v>3530</v>
      </c>
      <c r="G1731" s="89" t="s">
        <v>400</v>
      </c>
      <c r="H1731" s="85" t="str">
        <f>IF(Proc[[#This Row],[type]]="LFF (MDG-F)",MID(Proc[[#This Row],[Obj]],13,10),"")</f>
        <v/>
      </c>
      <c r="J1731" s="85" t="b">
        <f>Proc[[#This Row],[Requested]]=Proc[[#This Row],[CurrentParent]]</f>
        <v>1</v>
      </c>
      <c r="K1731" s="144" t="str">
        <f>IF(Proc[[#This Row],[Author]]="Marcela Urrego",VLOOKUP(LEFT(Proc[[#This Row],[Requested]],1),Table3[#All],2,0),VLOOKUP(Proc[[#This Row],[Author]],Table4[],2,0))</f>
        <v>LS</v>
      </c>
      <c r="L1731" s="85" t="s">
        <v>2563</v>
      </c>
      <c r="M1731" s="87">
        <v>45801.263680555552</v>
      </c>
      <c r="N1731" s="87"/>
      <c r="O1731" s="87"/>
      <c r="P1731" s="90" t="str">
        <f ca="1">IF(Proc[[#This Row],[DaysAgeing]]&gt;5,"yep","on track")</f>
        <v>yep</v>
      </c>
      <c r="Q1731" s="3">
        <f ca="1">IF(Proc[[#This Row],[DateClosed]]="",ABS(NETWORKDAYS(Proc[[#This Row],[DateOpened]],TODAY()))-1,ABS(NETWORKDAYS(Proc[[#This Row],[DateOpened]],Proc[[#This Row],[DateClosed]]))-1)</f>
        <v>149</v>
      </c>
      <c r="R1731" s="90" t="s">
        <v>489</v>
      </c>
      <c r="S1731" s="85"/>
    </row>
    <row r="1732" spans="1:19" hidden="1">
      <c r="A1732" s="89" t="s">
        <v>3404</v>
      </c>
      <c r="B1732" s="149" t="str">
        <f>IFERROR(VLOOKUP(Proc[[#This Row],[App]],Table2[],3,0),"open")</f>
        <v>ok</v>
      </c>
      <c r="C1732" s="89" t="s">
        <v>369</v>
      </c>
      <c r="D1732" t="s">
        <v>3490</v>
      </c>
      <c r="E1732" t="s">
        <v>3523</v>
      </c>
      <c r="F1732" s="117" t="s">
        <v>3523</v>
      </c>
      <c r="G1732" s="89" t="s">
        <v>400</v>
      </c>
      <c r="H1732" s="85" t="str">
        <f>IF(Proc[[#This Row],[type]]="LFF (MDG-F)",MID(Proc[[#This Row],[Obj]],13,10),"")</f>
        <v/>
      </c>
      <c r="J1732" s="85" t="b">
        <f>Proc[[#This Row],[Requested]]=Proc[[#This Row],[CurrentParent]]</f>
        <v>1</v>
      </c>
      <c r="K1732" s="144" t="str">
        <f>IF(Proc[[#This Row],[Author]]="Marcela Urrego",VLOOKUP(LEFT(Proc[[#This Row],[Requested]],1),Table3[#All],2,0),VLOOKUP(Proc[[#This Row],[Author]],Table4[],2,0))</f>
        <v>LS</v>
      </c>
      <c r="L1732" s="85" t="s">
        <v>2563</v>
      </c>
      <c r="M1732" s="87">
        <v>45801.263680555552</v>
      </c>
      <c r="N1732" s="87"/>
      <c r="O1732" s="87"/>
      <c r="P1732" s="90" t="str">
        <f ca="1">IF(Proc[[#This Row],[DaysAgeing]]&gt;5,"yep","on track")</f>
        <v>yep</v>
      </c>
      <c r="Q1732" s="3">
        <f ca="1">IF(Proc[[#This Row],[DateClosed]]="",ABS(NETWORKDAYS(Proc[[#This Row],[DateOpened]],TODAY()))-1,ABS(NETWORKDAYS(Proc[[#This Row],[DateOpened]],Proc[[#This Row],[DateClosed]]))-1)</f>
        <v>149</v>
      </c>
      <c r="R1732" s="90" t="s">
        <v>489</v>
      </c>
      <c r="S1732" s="85"/>
    </row>
    <row r="1733" spans="1:19" hidden="1">
      <c r="A1733" s="89" t="s">
        <v>3404</v>
      </c>
      <c r="B1733" s="149" t="str">
        <f>IFERROR(VLOOKUP(Proc[[#This Row],[App]],Table2[],3,0),"open")</f>
        <v>ok</v>
      </c>
      <c r="C1733" s="89" t="s">
        <v>369</v>
      </c>
      <c r="D1733" t="s">
        <v>3491</v>
      </c>
      <c r="E1733" t="s">
        <v>3527</v>
      </c>
      <c r="F1733" s="117" t="s">
        <v>3527</v>
      </c>
      <c r="G1733" s="89" t="s">
        <v>400</v>
      </c>
      <c r="H1733" s="85" t="str">
        <f>IF(Proc[[#This Row],[type]]="LFF (MDG-F)",MID(Proc[[#This Row],[Obj]],13,10),"")</f>
        <v/>
      </c>
      <c r="J1733" s="85" t="b">
        <f>Proc[[#This Row],[Requested]]=Proc[[#This Row],[CurrentParent]]</f>
        <v>1</v>
      </c>
      <c r="K1733" s="144" t="str">
        <f>IF(Proc[[#This Row],[Author]]="Marcela Urrego",VLOOKUP(LEFT(Proc[[#This Row],[Requested]],1),Table3[#All],2,0),VLOOKUP(Proc[[#This Row],[Author]],Table4[],2,0))</f>
        <v>LS</v>
      </c>
      <c r="L1733" s="85" t="s">
        <v>2563</v>
      </c>
      <c r="M1733" s="87">
        <v>45801.263680555552</v>
      </c>
      <c r="N1733" s="87"/>
      <c r="O1733" s="87"/>
      <c r="P1733" s="90" t="str">
        <f ca="1">IF(Proc[[#This Row],[DaysAgeing]]&gt;5,"yep","on track")</f>
        <v>yep</v>
      </c>
      <c r="Q1733" s="3">
        <f ca="1">IF(Proc[[#This Row],[DateClosed]]="",ABS(NETWORKDAYS(Proc[[#This Row],[DateOpened]],TODAY()))-1,ABS(NETWORKDAYS(Proc[[#This Row],[DateOpened]],Proc[[#This Row],[DateClosed]]))-1)</f>
        <v>149</v>
      </c>
      <c r="R1733" s="90" t="s">
        <v>489</v>
      </c>
      <c r="S1733" s="85"/>
    </row>
    <row r="1734" spans="1:19" hidden="1">
      <c r="A1734" s="89" t="s">
        <v>3404</v>
      </c>
      <c r="B1734" s="149" t="str">
        <f>IFERROR(VLOOKUP(Proc[[#This Row],[App]],Table2[],3,0),"open")</f>
        <v>ok</v>
      </c>
      <c r="C1734" s="89" t="s">
        <v>369</v>
      </c>
      <c r="D1734" t="s">
        <v>3492</v>
      </c>
      <c r="E1734" t="s">
        <v>3516</v>
      </c>
      <c r="F1734" s="117" t="s">
        <v>3516</v>
      </c>
      <c r="G1734" s="89" t="s">
        <v>400</v>
      </c>
      <c r="H1734" s="85" t="str">
        <f>IF(Proc[[#This Row],[type]]="LFF (MDG-F)",MID(Proc[[#This Row],[Obj]],13,10),"")</f>
        <v/>
      </c>
      <c r="J1734" s="85" t="b">
        <f>Proc[[#This Row],[Requested]]=Proc[[#This Row],[CurrentParent]]</f>
        <v>1</v>
      </c>
      <c r="K1734" s="144" t="str">
        <f>IF(Proc[[#This Row],[Author]]="Marcela Urrego",VLOOKUP(LEFT(Proc[[#This Row],[Requested]],1),Table3[#All],2,0),VLOOKUP(Proc[[#This Row],[Author]],Table4[],2,0))</f>
        <v>LS</v>
      </c>
      <c r="L1734" s="85" t="s">
        <v>2563</v>
      </c>
      <c r="M1734" s="87">
        <v>45801.263680555552</v>
      </c>
      <c r="N1734" s="87"/>
      <c r="O1734" s="87"/>
      <c r="P1734" s="90" t="str">
        <f ca="1">IF(Proc[[#This Row],[DaysAgeing]]&gt;5,"yep","on track")</f>
        <v>yep</v>
      </c>
      <c r="Q1734" s="3">
        <f ca="1">IF(Proc[[#This Row],[DateClosed]]="",ABS(NETWORKDAYS(Proc[[#This Row],[DateOpened]],TODAY()))-1,ABS(NETWORKDAYS(Proc[[#This Row],[DateOpened]],Proc[[#This Row],[DateClosed]]))-1)</f>
        <v>149</v>
      </c>
      <c r="R1734" s="90" t="s">
        <v>489</v>
      </c>
      <c r="S1734" s="85"/>
    </row>
    <row r="1735" spans="1:19" hidden="1">
      <c r="A1735" s="89" t="s">
        <v>3404</v>
      </c>
      <c r="B1735" s="149" t="str">
        <f>IFERROR(VLOOKUP(Proc[[#This Row],[App]],Table2[],3,0),"open")</f>
        <v>ok</v>
      </c>
      <c r="C1735" s="89" t="s">
        <v>369</v>
      </c>
      <c r="D1735" t="s">
        <v>3493</v>
      </c>
      <c r="E1735" t="s">
        <v>3542</v>
      </c>
      <c r="F1735" s="117" t="s">
        <v>3542</v>
      </c>
      <c r="G1735" s="89" t="s">
        <v>400</v>
      </c>
      <c r="H1735" s="85" t="str">
        <f>IF(Proc[[#This Row],[type]]="LFF (MDG-F)",MID(Proc[[#This Row],[Obj]],13,10),"")</f>
        <v/>
      </c>
      <c r="J1735" s="85" t="b">
        <f>Proc[[#This Row],[Requested]]=Proc[[#This Row],[CurrentParent]]</f>
        <v>1</v>
      </c>
      <c r="K1735" s="144" t="str">
        <f>IF(Proc[[#This Row],[Author]]="Marcela Urrego",VLOOKUP(LEFT(Proc[[#This Row],[Requested]],1),Table3[#All],2,0),VLOOKUP(Proc[[#This Row],[Author]],Table4[],2,0))</f>
        <v>LS</v>
      </c>
      <c r="L1735" s="85" t="s">
        <v>2563</v>
      </c>
      <c r="M1735" s="87">
        <v>45801.263680555552</v>
      </c>
      <c r="N1735" s="87"/>
      <c r="O1735" s="87"/>
      <c r="P1735" s="90" t="str">
        <f ca="1">IF(Proc[[#This Row],[DaysAgeing]]&gt;5,"yep","on track")</f>
        <v>yep</v>
      </c>
      <c r="Q1735" s="3">
        <f ca="1">IF(Proc[[#This Row],[DateClosed]]="",ABS(NETWORKDAYS(Proc[[#This Row],[DateOpened]],TODAY()))-1,ABS(NETWORKDAYS(Proc[[#This Row],[DateOpened]],Proc[[#This Row],[DateClosed]]))-1)</f>
        <v>149</v>
      </c>
      <c r="R1735" s="90" t="s">
        <v>489</v>
      </c>
      <c r="S1735" s="85"/>
    </row>
    <row r="1736" spans="1:19" hidden="1">
      <c r="A1736" s="89" t="s">
        <v>3404</v>
      </c>
      <c r="B1736" s="149" t="str">
        <f>IFERROR(VLOOKUP(Proc[[#This Row],[App]],Table2[],3,0),"open")</f>
        <v>ok</v>
      </c>
      <c r="C1736" s="89" t="s">
        <v>369</v>
      </c>
      <c r="D1736" t="s">
        <v>3494</v>
      </c>
      <c r="E1736" t="s">
        <v>3514</v>
      </c>
      <c r="F1736" s="117" t="s">
        <v>3514</v>
      </c>
      <c r="G1736" s="89" t="s">
        <v>400</v>
      </c>
      <c r="H1736" s="85" t="str">
        <f>IF(Proc[[#This Row],[type]]="LFF (MDG-F)",MID(Proc[[#This Row],[Obj]],13,10),"")</f>
        <v/>
      </c>
      <c r="J1736" s="85" t="b">
        <f>Proc[[#This Row],[Requested]]=Proc[[#This Row],[CurrentParent]]</f>
        <v>1</v>
      </c>
      <c r="K1736" s="144" t="str">
        <f>IF(Proc[[#This Row],[Author]]="Marcela Urrego",VLOOKUP(LEFT(Proc[[#This Row],[Requested]],1),Table3[#All],2,0),VLOOKUP(Proc[[#This Row],[Author]],Table4[],2,0))</f>
        <v>LS</v>
      </c>
      <c r="L1736" s="85" t="s">
        <v>2563</v>
      </c>
      <c r="M1736" s="87">
        <v>45801.263680555552</v>
      </c>
      <c r="N1736" s="87"/>
      <c r="O1736" s="87"/>
      <c r="P1736" s="90" t="str">
        <f ca="1">IF(Proc[[#This Row],[DaysAgeing]]&gt;5,"yep","on track")</f>
        <v>yep</v>
      </c>
      <c r="Q1736" s="3">
        <f ca="1">IF(Proc[[#This Row],[DateClosed]]="",ABS(NETWORKDAYS(Proc[[#This Row],[DateOpened]],TODAY()))-1,ABS(NETWORKDAYS(Proc[[#This Row],[DateOpened]],Proc[[#This Row],[DateClosed]]))-1)</f>
        <v>149</v>
      </c>
      <c r="R1736" s="90" t="s">
        <v>489</v>
      </c>
      <c r="S1736" s="85"/>
    </row>
    <row r="1737" spans="1:19" hidden="1">
      <c r="A1737" s="89" t="s">
        <v>3404</v>
      </c>
      <c r="B1737" s="149" t="str">
        <f>IFERROR(VLOOKUP(Proc[[#This Row],[App]],Table2[],3,0),"open")</f>
        <v>ok</v>
      </c>
      <c r="C1737" s="89" t="s">
        <v>369</v>
      </c>
      <c r="D1737" t="s">
        <v>3495</v>
      </c>
      <c r="E1737" t="s">
        <v>3516</v>
      </c>
      <c r="F1737" s="117" t="s">
        <v>3516</v>
      </c>
      <c r="G1737" s="89" t="s">
        <v>400</v>
      </c>
      <c r="H1737" s="85" t="str">
        <f>IF(Proc[[#This Row],[type]]="LFF (MDG-F)",MID(Proc[[#This Row],[Obj]],13,10),"")</f>
        <v/>
      </c>
      <c r="J1737" s="85" t="b">
        <f>Proc[[#This Row],[Requested]]=Proc[[#This Row],[CurrentParent]]</f>
        <v>1</v>
      </c>
      <c r="K1737" s="144" t="str">
        <f>IF(Proc[[#This Row],[Author]]="Marcela Urrego",VLOOKUP(LEFT(Proc[[#This Row],[Requested]],1),Table3[#All],2,0),VLOOKUP(Proc[[#This Row],[Author]],Table4[],2,0))</f>
        <v>LS</v>
      </c>
      <c r="L1737" s="85" t="s">
        <v>2563</v>
      </c>
      <c r="M1737" s="87">
        <v>45801.263680555552</v>
      </c>
      <c r="N1737" s="87"/>
      <c r="O1737" s="87"/>
      <c r="P1737" s="90" t="str">
        <f ca="1">IF(Proc[[#This Row],[DaysAgeing]]&gt;5,"yep","on track")</f>
        <v>yep</v>
      </c>
      <c r="Q1737" s="3">
        <f ca="1">IF(Proc[[#This Row],[DateClosed]]="",ABS(NETWORKDAYS(Proc[[#This Row],[DateOpened]],TODAY()))-1,ABS(NETWORKDAYS(Proc[[#This Row],[DateOpened]],Proc[[#This Row],[DateClosed]]))-1)</f>
        <v>149</v>
      </c>
      <c r="R1737" s="90" t="s">
        <v>489</v>
      </c>
      <c r="S1737" s="85"/>
    </row>
    <row r="1738" spans="1:19" hidden="1">
      <c r="A1738" s="89" t="s">
        <v>3404</v>
      </c>
      <c r="B1738" s="149" t="str">
        <f>IFERROR(VLOOKUP(Proc[[#This Row],[App]],Table2[],3,0),"open")</f>
        <v>ok</v>
      </c>
      <c r="C1738" s="89" t="s">
        <v>369</v>
      </c>
      <c r="D1738" t="s">
        <v>3496</v>
      </c>
      <c r="E1738" t="s">
        <v>3523</v>
      </c>
      <c r="F1738" s="117" t="s">
        <v>3523</v>
      </c>
      <c r="G1738" s="89" t="s">
        <v>400</v>
      </c>
      <c r="H1738" s="85" t="str">
        <f>IF(Proc[[#This Row],[type]]="LFF (MDG-F)",MID(Proc[[#This Row],[Obj]],13,10),"")</f>
        <v/>
      </c>
      <c r="J1738" s="85" t="b">
        <f>Proc[[#This Row],[Requested]]=Proc[[#This Row],[CurrentParent]]</f>
        <v>1</v>
      </c>
      <c r="K1738" s="144" t="str">
        <f>IF(Proc[[#This Row],[Author]]="Marcela Urrego",VLOOKUP(LEFT(Proc[[#This Row],[Requested]],1),Table3[#All],2,0),VLOOKUP(Proc[[#This Row],[Author]],Table4[],2,0))</f>
        <v>LS</v>
      </c>
      <c r="L1738" s="85" t="s">
        <v>2563</v>
      </c>
      <c r="M1738" s="87">
        <v>45801.263680555552</v>
      </c>
      <c r="N1738" s="87"/>
      <c r="O1738" s="87"/>
      <c r="P1738" s="90" t="str">
        <f ca="1">IF(Proc[[#This Row],[DaysAgeing]]&gt;5,"yep","on track")</f>
        <v>yep</v>
      </c>
      <c r="Q1738" s="3">
        <f ca="1">IF(Proc[[#This Row],[DateClosed]]="",ABS(NETWORKDAYS(Proc[[#This Row],[DateOpened]],TODAY()))-1,ABS(NETWORKDAYS(Proc[[#This Row],[DateOpened]],Proc[[#This Row],[DateClosed]]))-1)</f>
        <v>149</v>
      </c>
      <c r="R1738" s="90" t="s">
        <v>489</v>
      </c>
      <c r="S1738" s="85"/>
    </row>
    <row r="1739" spans="1:19" hidden="1">
      <c r="A1739" s="89" t="s">
        <v>3404</v>
      </c>
      <c r="B1739" s="149" t="str">
        <f>IFERROR(VLOOKUP(Proc[[#This Row],[App]],Table2[],3,0),"open")</f>
        <v>ok</v>
      </c>
      <c r="C1739" s="89" t="s">
        <v>369</v>
      </c>
      <c r="D1739" t="s">
        <v>3497</v>
      </c>
      <c r="E1739" t="s">
        <v>3543</v>
      </c>
      <c r="F1739" s="117" t="s">
        <v>3543</v>
      </c>
      <c r="G1739" s="89" t="s">
        <v>400</v>
      </c>
      <c r="H1739" s="85" t="str">
        <f>IF(Proc[[#This Row],[type]]="LFF (MDG-F)",MID(Proc[[#This Row],[Obj]],13,10),"")</f>
        <v/>
      </c>
      <c r="J1739" s="85" t="b">
        <f>Proc[[#This Row],[Requested]]=Proc[[#This Row],[CurrentParent]]</f>
        <v>1</v>
      </c>
      <c r="K1739" s="144" t="str">
        <f>IF(Proc[[#This Row],[Author]]="Marcela Urrego",VLOOKUP(LEFT(Proc[[#This Row],[Requested]],1),Table3[#All],2,0),VLOOKUP(Proc[[#This Row],[Author]],Table4[],2,0))</f>
        <v>LS</v>
      </c>
      <c r="L1739" s="85" t="s">
        <v>2563</v>
      </c>
      <c r="M1739" s="87">
        <v>45801.263680555552</v>
      </c>
      <c r="N1739" s="87"/>
      <c r="O1739" s="87"/>
      <c r="P1739" s="90" t="str">
        <f ca="1">IF(Proc[[#This Row],[DaysAgeing]]&gt;5,"yep","on track")</f>
        <v>yep</v>
      </c>
      <c r="Q1739" s="3">
        <f ca="1">IF(Proc[[#This Row],[DateClosed]]="",ABS(NETWORKDAYS(Proc[[#This Row],[DateOpened]],TODAY()))-1,ABS(NETWORKDAYS(Proc[[#This Row],[DateOpened]],Proc[[#This Row],[DateClosed]]))-1)</f>
        <v>149</v>
      </c>
      <c r="R1739" s="90" t="s">
        <v>489</v>
      </c>
      <c r="S1739" s="85"/>
    </row>
    <row r="1740" spans="1:19" hidden="1">
      <c r="A1740" s="89" t="s">
        <v>3404</v>
      </c>
      <c r="B1740" s="149" t="str">
        <f>IFERROR(VLOOKUP(Proc[[#This Row],[App]],Table2[],3,0),"open")</f>
        <v>ok</v>
      </c>
      <c r="C1740" s="89" t="s">
        <v>369</v>
      </c>
      <c r="D1740" t="s">
        <v>3498</v>
      </c>
      <c r="E1740" t="s">
        <v>3525</v>
      </c>
      <c r="F1740" s="117" t="s">
        <v>3525</v>
      </c>
      <c r="G1740" s="89" t="s">
        <v>400</v>
      </c>
      <c r="H1740" s="85" t="str">
        <f>IF(Proc[[#This Row],[type]]="LFF (MDG-F)",MID(Proc[[#This Row],[Obj]],13,10),"")</f>
        <v/>
      </c>
      <c r="J1740" s="85" t="b">
        <f>Proc[[#This Row],[Requested]]=Proc[[#This Row],[CurrentParent]]</f>
        <v>1</v>
      </c>
      <c r="K1740" s="144" t="str">
        <f>IF(Proc[[#This Row],[Author]]="Marcela Urrego",VLOOKUP(LEFT(Proc[[#This Row],[Requested]],1),Table3[#All],2,0),VLOOKUP(Proc[[#This Row],[Author]],Table4[],2,0))</f>
        <v>LS</v>
      </c>
      <c r="L1740" s="85" t="s">
        <v>2563</v>
      </c>
      <c r="M1740" s="87">
        <v>45801.263680555552</v>
      </c>
      <c r="N1740" s="87"/>
      <c r="O1740" s="87"/>
      <c r="P1740" s="90" t="str">
        <f ca="1">IF(Proc[[#This Row],[DaysAgeing]]&gt;5,"yep","on track")</f>
        <v>yep</v>
      </c>
      <c r="Q1740" s="3">
        <f ca="1">IF(Proc[[#This Row],[DateClosed]]="",ABS(NETWORKDAYS(Proc[[#This Row],[DateOpened]],TODAY()))-1,ABS(NETWORKDAYS(Proc[[#This Row],[DateOpened]],Proc[[#This Row],[DateClosed]]))-1)</f>
        <v>149</v>
      </c>
      <c r="R1740" s="90" t="s">
        <v>489</v>
      </c>
      <c r="S1740" s="85"/>
    </row>
    <row r="1741" spans="1:19" hidden="1">
      <c r="A1741" s="89" t="s">
        <v>3404</v>
      </c>
      <c r="B1741" s="149" t="str">
        <f>IFERROR(VLOOKUP(Proc[[#This Row],[App]],Table2[],3,0),"open")</f>
        <v>ok</v>
      </c>
      <c r="C1741" s="89" t="s">
        <v>369</v>
      </c>
      <c r="D1741" t="s">
        <v>3499</v>
      </c>
      <c r="E1741" t="s">
        <v>3531</v>
      </c>
      <c r="F1741" s="117" t="s">
        <v>3531</v>
      </c>
      <c r="G1741" s="89" t="s">
        <v>400</v>
      </c>
      <c r="H1741" s="85" t="str">
        <f>IF(Proc[[#This Row],[type]]="LFF (MDG-F)",MID(Proc[[#This Row],[Obj]],13,10),"")</f>
        <v/>
      </c>
      <c r="J1741" s="85" t="b">
        <f>Proc[[#This Row],[Requested]]=Proc[[#This Row],[CurrentParent]]</f>
        <v>1</v>
      </c>
      <c r="K1741" s="144" t="str">
        <f>IF(Proc[[#This Row],[Author]]="Marcela Urrego",VLOOKUP(LEFT(Proc[[#This Row],[Requested]],1),Table3[#All],2,0),VLOOKUP(Proc[[#This Row],[Author]],Table4[],2,0))</f>
        <v>LS</v>
      </c>
      <c r="L1741" s="85" t="s">
        <v>2563</v>
      </c>
      <c r="M1741" s="87">
        <v>45801.263680555552</v>
      </c>
      <c r="N1741" s="87"/>
      <c r="O1741" s="87"/>
      <c r="P1741" s="90" t="str">
        <f ca="1">IF(Proc[[#This Row],[DaysAgeing]]&gt;5,"yep","on track")</f>
        <v>yep</v>
      </c>
      <c r="Q1741" s="3">
        <f ca="1">IF(Proc[[#This Row],[DateClosed]]="",ABS(NETWORKDAYS(Proc[[#This Row],[DateOpened]],TODAY()))-1,ABS(NETWORKDAYS(Proc[[#This Row],[DateOpened]],Proc[[#This Row],[DateClosed]]))-1)</f>
        <v>149</v>
      </c>
      <c r="R1741" s="90" t="s">
        <v>489</v>
      </c>
      <c r="S1741" s="85"/>
    </row>
    <row r="1742" spans="1:19" hidden="1">
      <c r="A1742" s="89" t="s">
        <v>3404</v>
      </c>
      <c r="B1742" s="149" t="str">
        <f>IFERROR(VLOOKUP(Proc[[#This Row],[App]],Table2[],3,0),"open")</f>
        <v>ok</v>
      </c>
      <c r="C1742" s="89" t="s">
        <v>369</v>
      </c>
      <c r="D1742" t="s">
        <v>3500</v>
      </c>
      <c r="E1742" t="s">
        <v>3517</v>
      </c>
      <c r="F1742" s="117" t="s">
        <v>3517</v>
      </c>
      <c r="G1742" s="89" t="s">
        <v>400</v>
      </c>
      <c r="H1742" s="85" t="str">
        <f>IF(Proc[[#This Row],[type]]="LFF (MDG-F)",MID(Proc[[#This Row],[Obj]],13,10),"")</f>
        <v/>
      </c>
      <c r="J1742" s="85" t="b">
        <f>Proc[[#This Row],[Requested]]=Proc[[#This Row],[CurrentParent]]</f>
        <v>1</v>
      </c>
      <c r="K1742" s="144" t="str">
        <f>IF(Proc[[#This Row],[Author]]="Marcela Urrego",VLOOKUP(LEFT(Proc[[#This Row],[Requested]],1),Table3[#All],2,0),VLOOKUP(Proc[[#This Row],[Author]],Table4[],2,0))</f>
        <v>LS</v>
      </c>
      <c r="L1742" s="85" t="s">
        <v>2563</v>
      </c>
      <c r="M1742" s="87">
        <v>45801.263680555552</v>
      </c>
      <c r="N1742" s="87"/>
      <c r="O1742" s="87"/>
      <c r="P1742" s="90" t="str">
        <f ca="1">IF(Proc[[#This Row],[DaysAgeing]]&gt;5,"yep","on track")</f>
        <v>yep</v>
      </c>
      <c r="Q1742" s="3">
        <f ca="1">IF(Proc[[#This Row],[DateClosed]]="",ABS(NETWORKDAYS(Proc[[#This Row],[DateOpened]],TODAY()))-1,ABS(NETWORKDAYS(Proc[[#This Row],[DateOpened]],Proc[[#This Row],[DateClosed]]))-1)</f>
        <v>149</v>
      </c>
      <c r="R1742" s="90" t="s">
        <v>489</v>
      </c>
      <c r="S1742" s="85"/>
    </row>
    <row r="1743" spans="1:19" hidden="1">
      <c r="A1743" s="89" t="s">
        <v>3404</v>
      </c>
      <c r="B1743" s="149" t="str">
        <f>IFERROR(VLOOKUP(Proc[[#This Row],[App]],Table2[],3,0),"open")</f>
        <v>ok</v>
      </c>
      <c r="C1743" s="89" t="s">
        <v>369</v>
      </c>
      <c r="D1743" t="s">
        <v>3501</v>
      </c>
      <c r="E1743" t="s">
        <v>3527</v>
      </c>
      <c r="F1743" s="117" t="s">
        <v>3527</v>
      </c>
      <c r="G1743" s="89" t="s">
        <v>400</v>
      </c>
      <c r="H1743" s="85" t="str">
        <f>IF(Proc[[#This Row],[type]]="LFF (MDG-F)",MID(Proc[[#This Row],[Obj]],13,10),"")</f>
        <v/>
      </c>
      <c r="J1743" s="85" t="b">
        <f>Proc[[#This Row],[Requested]]=Proc[[#This Row],[CurrentParent]]</f>
        <v>1</v>
      </c>
      <c r="K1743" s="144" t="str">
        <f>IF(Proc[[#This Row],[Author]]="Marcela Urrego",VLOOKUP(LEFT(Proc[[#This Row],[Requested]],1),Table3[#All],2,0),VLOOKUP(Proc[[#This Row],[Author]],Table4[],2,0))</f>
        <v>LS</v>
      </c>
      <c r="L1743" s="85" t="s">
        <v>2563</v>
      </c>
      <c r="M1743" s="87">
        <v>45801.263680555552</v>
      </c>
      <c r="N1743" s="87"/>
      <c r="O1743" s="87"/>
      <c r="P1743" s="90" t="str">
        <f ca="1">IF(Proc[[#This Row],[DaysAgeing]]&gt;5,"yep","on track")</f>
        <v>yep</v>
      </c>
      <c r="Q1743" s="3">
        <f ca="1">IF(Proc[[#This Row],[DateClosed]]="",ABS(NETWORKDAYS(Proc[[#This Row],[DateOpened]],TODAY()))-1,ABS(NETWORKDAYS(Proc[[#This Row],[DateOpened]],Proc[[#This Row],[DateClosed]]))-1)</f>
        <v>149</v>
      </c>
      <c r="R1743" s="90" t="s">
        <v>489</v>
      </c>
      <c r="S1743" s="85"/>
    </row>
    <row r="1744" spans="1:19" hidden="1">
      <c r="A1744" s="89" t="s">
        <v>3404</v>
      </c>
      <c r="B1744" s="149" t="str">
        <f>IFERROR(VLOOKUP(Proc[[#This Row],[App]],Table2[],3,0),"open")</f>
        <v>ok</v>
      </c>
      <c r="C1744" s="89" t="s">
        <v>369</v>
      </c>
      <c r="D1744" t="s">
        <v>3502</v>
      </c>
      <c r="E1744" t="s">
        <v>3544</v>
      </c>
      <c r="F1744" s="117" t="s">
        <v>3544</v>
      </c>
      <c r="G1744" s="89" t="s">
        <v>400</v>
      </c>
      <c r="H1744" s="85" t="str">
        <f>IF(Proc[[#This Row],[type]]="LFF (MDG-F)",MID(Proc[[#This Row],[Obj]],13,10),"")</f>
        <v/>
      </c>
      <c r="J1744" s="85" t="b">
        <f>Proc[[#This Row],[Requested]]=Proc[[#This Row],[CurrentParent]]</f>
        <v>1</v>
      </c>
      <c r="K1744" s="144" t="str">
        <f>IF(Proc[[#This Row],[Author]]="Marcela Urrego",VLOOKUP(LEFT(Proc[[#This Row],[Requested]],1),Table3[#All],2,0),VLOOKUP(Proc[[#This Row],[Author]],Table4[],2,0))</f>
        <v>LS</v>
      </c>
      <c r="L1744" s="85" t="s">
        <v>2563</v>
      </c>
      <c r="M1744" s="87">
        <v>45801.263680555552</v>
      </c>
      <c r="N1744" s="87"/>
      <c r="O1744" s="87"/>
      <c r="P1744" s="90" t="str">
        <f ca="1">IF(Proc[[#This Row],[DaysAgeing]]&gt;5,"yep","on track")</f>
        <v>yep</v>
      </c>
      <c r="Q1744" s="3">
        <f ca="1">IF(Proc[[#This Row],[DateClosed]]="",ABS(NETWORKDAYS(Proc[[#This Row],[DateOpened]],TODAY()))-1,ABS(NETWORKDAYS(Proc[[#This Row],[DateOpened]],Proc[[#This Row],[DateClosed]]))-1)</f>
        <v>149</v>
      </c>
      <c r="R1744" s="90" t="s">
        <v>489</v>
      </c>
      <c r="S1744" s="85"/>
    </row>
    <row r="1745" spans="1:19" hidden="1">
      <c r="A1745" s="89" t="s">
        <v>3404</v>
      </c>
      <c r="B1745" s="149" t="str">
        <f>IFERROR(VLOOKUP(Proc[[#This Row],[App]],Table2[],3,0),"open")</f>
        <v>ok</v>
      </c>
      <c r="C1745" s="89" t="s">
        <v>369</v>
      </c>
      <c r="D1745" t="s">
        <v>3503</v>
      </c>
      <c r="E1745" t="s">
        <v>3514</v>
      </c>
      <c r="F1745" s="117" t="s">
        <v>3514</v>
      </c>
      <c r="G1745" s="89" t="s">
        <v>400</v>
      </c>
      <c r="H1745" s="85" t="str">
        <f>IF(Proc[[#This Row],[type]]="LFF (MDG-F)",MID(Proc[[#This Row],[Obj]],13,10),"")</f>
        <v/>
      </c>
      <c r="J1745" s="85" t="b">
        <f>Proc[[#This Row],[Requested]]=Proc[[#This Row],[CurrentParent]]</f>
        <v>1</v>
      </c>
      <c r="K1745" s="144" t="str">
        <f>IF(Proc[[#This Row],[Author]]="Marcela Urrego",VLOOKUP(LEFT(Proc[[#This Row],[Requested]],1),Table3[#All],2,0),VLOOKUP(Proc[[#This Row],[Author]],Table4[],2,0))</f>
        <v>LS</v>
      </c>
      <c r="L1745" s="85" t="s">
        <v>2563</v>
      </c>
      <c r="M1745" s="87">
        <v>45801.263680555552</v>
      </c>
      <c r="N1745" s="87"/>
      <c r="O1745" s="87"/>
      <c r="P1745" s="90" t="str">
        <f ca="1">IF(Proc[[#This Row],[DaysAgeing]]&gt;5,"yep","on track")</f>
        <v>yep</v>
      </c>
      <c r="Q1745" s="3">
        <f ca="1">IF(Proc[[#This Row],[DateClosed]]="",ABS(NETWORKDAYS(Proc[[#This Row],[DateOpened]],TODAY()))-1,ABS(NETWORKDAYS(Proc[[#This Row],[DateOpened]],Proc[[#This Row],[DateClosed]]))-1)</f>
        <v>149</v>
      </c>
      <c r="R1745" s="90" t="s">
        <v>489</v>
      </c>
      <c r="S1745" s="85"/>
    </row>
    <row r="1746" spans="1:19" hidden="1">
      <c r="A1746" s="89" t="s">
        <v>3404</v>
      </c>
      <c r="B1746" s="149" t="str">
        <f>IFERROR(VLOOKUP(Proc[[#This Row],[App]],Table2[],3,0),"open")</f>
        <v>ok</v>
      </c>
      <c r="C1746" s="89" t="s">
        <v>369</v>
      </c>
      <c r="D1746" t="s">
        <v>3504</v>
      </c>
      <c r="E1746" t="s">
        <v>1974</v>
      </c>
      <c r="F1746" s="117" t="s">
        <v>1974</v>
      </c>
      <c r="G1746" s="89" t="s">
        <v>400</v>
      </c>
      <c r="H1746" s="85" t="str">
        <f>IF(Proc[[#This Row],[type]]="LFF (MDG-F)",MID(Proc[[#This Row],[Obj]],13,10),"")</f>
        <v/>
      </c>
      <c r="J1746" s="85" t="b">
        <f>Proc[[#This Row],[Requested]]=Proc[[#This Row],[CurrentParent]]</f>
        <v>1</v>
      </c>
      <c r="K1746" s="144" t="str">
        <f>IF(Proc[[#This Row],[Author]]="Marcela Urrego",VLOOKUP(LEFT(Proc[[#This Row],[Requested]],1),Table3[#All],2,0),VLOOKUP(Proc[[#This Row],[Author]],Table4[],2,0))</f>
        <v>LS</v>
      </c>
      <c r="L1746" s="85" t="s">
        <v>2563</v>
      </c>
      <c r="M1746" s="87">
        <v>45801.263680555552</v>
      </c>
      <c r="N1746" s="87"/>
      <c r="O1746" s="87"/>
      <c r="P1746" s="90" t="str">
        <f ca="1">IF(Proc[[#This Row],[DaysAgeing]]&gt;5,"yep","on track")</f>
        <v>yep</v>
      </c>
      <c r="Q1746" s="3">
        <f ca="1">IF(Proc[[#This Row],[DateClosed]]="",ABS(NETWORKDAYS(Proc[[#This Row],[DateOpened]],TODAY()))-1,ABS(NETWORKDAYS(Proc[[#This Row],[DateOpened]],Proc[[#This Row],[DateClosed]]))-1)</f>
        <v>149</v>
      </c>
      <c r="R1746" s="90" t="s">
        <v>489</v>
      </c>
      <c r="S1746" s="85"/>
    </row>
    <row r="1747" spans="1:19" hidden="1">
      <c r="A1747" s="89" t="s">
        <v>3404</v>
      </c>
      <c r="B1747" s="149" t="str">
        <f>IFERROR(VLOOKUP(Proc[[#This Row],[App]],Table2[],3,0),"open")</f>
        <v>ok</v>
      </c>
      <c r="C1747" s="89" t="s">
        <v>369</v>
      </c>
      <c r="D1747" t="s">
        <v>3505</v>
      </c>
      <c r="E1747" t="s">
        <v>3545</v>
      </c>
      <c r="F1747" s="117" t="s">
        <v>3545</v>
      </c>
      <c r="G1747" s="89" t="s">
        <v>400</v>
      </c>
      <c r="H1747" s="85" t="str">
        <f>IF(Proc[[#This Row],[type]]="LFF (MDG-F)",MID(Proc[[#This Row],[Obj]],13,10),"")</f>
        <v/>
      </c>
      <c r="J1747" s="85" t="b">
        <f>Proc[[#This Row],[Requested]]=Proc[[#This Row],[CurrentParent]]</f>
        <v>1</v>
      </c>
      <c r="K1747" s="144" t="str">
        <f>IF(Proc[[#This Row],[Author]]="Marcela Urrego",VLOOKUP(LEFT(Proc[[#This Row],[Requested]],1),Table3[#All],2,0),VLOOKUP(Proc[[#This Row],[Author]],Table4[],2,0))</f>
        <v>LS</v>
      </c>
      <c r="L1747" s="85" t="s">
        <v>2563</v>
      </c>
      <c r="M1747" s="87">
        <v>45801.263680555552</v>
      </c>
      <c r="N1747" s="87"/>
      <c r="O1747" s="87"/>
      <c r="P1747" s="90" t="str">
        <f ca="1">IF(Proc[[#This Row],[DaysAgeing]]&gt;5,"yep","on track")</f>
        <v>yep</v>
      </c>
      <c r="Q1747" s="3">
        <f ca="1">IF(Proc[[#This Row],[DateClosed]]="",ABS(NETWORKDAYS(Proc[[#This Row],[DateOpened]],TODAY()))-1,ABS(NETWORKDAYS(Proc[[#This Row],[DateOpened]],Proc[[#This Row],[DateClosed]]))-1)</f>
        <v>149</v>
      </c>
      <c r="R1747" s="90" t="s">
        <v>489</v>
      </c>
      <c r="S1747" s="85"/>
    </row>
    <row r="1748" spans="1:19" hidden="1">
      <c r="A1748" s="89" t="s">
        <v>3404</v>
      </c>
      <c r="B1748" s="149" t="str">
        <f>IFERROR(VLOOKUP(Proc[[#This Row],[App]],Table2[],3,0),"open")</f>
        <v>ok</v>
      </c>
      <c r="C1748" s="89" t="s">
        <v>369</v>
      </c>
      <c r="D1748" t="s">
        <v>3506</v>
      </c>
      <c r="E1748" t="s">
        <v>3543</v>
      </c>
      <c r="F1748" s="117" t="s">
        <v>3543</v>
      </c>
      <c r="G1748" s="89" t="s">
        <v>400</v>
      </c>
      <c r="H1748" s="85" t="str">
        <f>IF(Proc[[#This Row],[type]]="LFF (MDG-F)",MID(Proc[[#This Row],[Obj]],13,10),"")</f>
        <v/>
      </c>
      <c r="J1748" s="85" t="b">
        <f>Proc[[#This Row],[Requested]]=Proc[[#This Row],[CurrentParent]]</f>
        <v>1</v>
      </c>
      <c r="K1748" s="144" t="str">
        <f>IF(Proc[[#This Row],[Author]]="Marcela Urrego",VLOOKUP(LEFT(Proc[[#This Row],[Requested]],1),Table3[#All],2,0),VLOOKUP(Proc[[#This Row],[Author]],Table4[],2,0))</f>
        <v>LS</v>
      </c>
      <c r="L1748" s="85" t="s">
        <v>2563</v>
      </c>
      <c r="M1748" s="87">
        <v>45801.263680555552</v>
      </c>
      <c r="N1748" s="87"/>
      <c r="O1748" s="87"/>
      <c r="P1748" s="90" t="str">
        <f ca="1">IF(Proc[[#This Row],[DaysAgeing]]&gt;5,"yep","on track")</f>
        <v>yep</v>
      </c>
      <c r="Q1748" s="3">
        <f ca="1">IF(Proc[[#This Row],[DateClosed]]="",ABS(NETWORKDAYS(Proc[[#This Row],[DateOpened]],TODAY()))-1,ABS(NETWORKDAYS(Proc[[#This Row],[DateOpened]],Proc[[#This Row],[DateClosed]]))-1)</f>
        <v>149</v>
      </c>
      <c r="R1748" s="90" t="s">
        <v>489</v>
      </c>
      <c r="S1748" s="85"/>
    </row>
    <row r="1749" spans="1:19" hidden="1">
      <c r="A1749" s="89" t="s">
        <v>3404</v>
      </c>
      <c r="B1749" s="149" t="str">
        <f>IFERROR(VLOOKUP(Proc[[#This Row],[App]],Table2[],3,0),"open")</f>
        <v>ok</v>
      </c>
      <c r="C1749" s="89" t="s">
        <v>369</v>
      </c>
      <c r="D1749" t="s">
        <v>3507</v>
      </c>
      <c r="E1749" t="s">
        <v>3515</v>
      </c>
      <c r="F1749" s="117" t="s">
        <v>3515</v>
      </c>
      <c r="G1749" s="89" t="s">
        <v>400</v>
      </c>
      <c r="H1749" s="85" t="str">
        <f>IF(Proc[[#This Row],[type]]="LFF (MDG-F)",MID(Proc[[#This Row],[Obj]],13,10),"")</f>
        <v/>
      </c>
      <c r="J1749" s="85" t="b">
        <f>Proc[[#This Row],[Requested]]=Proc[[#This Row],[CurrentParent]]</f>
        <v>1</v>
      </c>
      <c r="K1749" s="144" t="str">
        <f>IF(Proc[[#This Row],[Author]]="Marcela Urrego",VLOOKUP(LEFT(Proc[[#This Row],[Requested]],1),Table3[#All],2,0),VLOOKUP(Proc[[#This Row],[Author]],Table4[],2,0))</f>
        <v>LS</v>
      </c>
      <c r="L1749" s="85" t="s">
        <v>2563</v>
      </c>
      <c r="M1749" s="87">
        <v>45801.263680555552</v>
      </c>
      <c r="N1749" s="87"/>
      <c r="O1749" s="87"/>
      <c r="P1749" s="90" t="str">
        <f ca="1">IF(Proc[[#This Row],[DaysAgeing]]&gt;5,"yep","on track")</f>
        <v>yep</v>
      </c>
      <c r="Q1749" s="3">
        <f ca="1">IF(Proc[[#This Row],[DateClosed]]="",ABS(NETWORKDAYS(Proc[[#This Row],[DateOpened]],TODAY()))-1,ABS(NETWORKDAYS(Proc[[#This Row],[DateOpened]],Proc[[#This Row],[DateClosed]]))-1)</f>
        <v>149</v>
      </c>
      <c r="R1749" s="90" t="s">
        <v>489</v>
      </c>
      <c r="S1749" s="85"/>
    </row>
    <row r="1750" spans="1:19" hidden="1">
      <c r="A1750" s="89" t="s">
        <v>3404</v>
      </c>
      <c r="B1750" s="149" t="str">
        <f>IFERROR(VLOOKUP(Proc[[#This Row],[App]],Table2[],3,0),"open")</f>
        <v>ok</v>
      </c>
      <c r="C1750" s="89" t="s">
        <v>369</v>
      </c>
      <c r="D1750" t="s">
        <v>3508</v>
      </c>
      <c r="E1750" t="s">
        <v>2371</v>
      </c>
      <c r="F1750" s="117" t="s">
        <v>2371</v>
      </c>
      <c r="G1750" s="89" t="s">
        <v>400</v>
      </c>
      <c r="H1750" s="85" t="str">
        <f>IF(Proc[[#This Row],[type]]="LFF (MDG-F)",MID(Proc[[#This Row],[Obj]],13,10),"")</f>
        <v/>
      </c>
      <c r="J1750" s="85" t="b">
        <f>Proc[[#This Row],[Requested]]=Proc[[#This Row],[CurrentParent]]</f>
        <v>1</v>
      </c>
      <c r="K1750" s="144" t="str">
        <f>IF(Proc[[#This Row],[Author]]="Marcela Urrego",VLOOKUP(LEFT(Proc[[#This Row],[Requested]],1),Table3[#All],2,0),VLOOKUP(Proc[[#This Row],[Author]],Table4[],2,0))</f>
        <v>LS</v>
      </c>
      <c r="L1750" s="85" t="s">
        <v>2563</v>
      </c>
      <c r="M1750" s="87">
        <v>45801.263680555552</v>
      </c>
      <c r="N1750" s="87"/>
      <c r="O1750" s="87"/>
      <c r="P1750" s="90" t="str">
        <f ca="1">IF(Proc[[#This Row],[DaysAgeing]]&gt;5,"yep","on track")</f>
        <v>yep</v>
      </c>
      <c r="Q1750" s="3">
        <f ca="1">IF(Proc[[#This Row],[DateClosed]]="",ABS(NETWORKDAYS(Proc[[#This Row],[DateOpened]],TODAY()))-1,ABS(NETWORKDAYS(Proc[[#This Row],[DateOpened]],Proc[[#This Row],[DateClosed]]))-1)</f>
        <v>149</v>
      </c>
      <c r="R1750" s="90" t="s">
        <v>489</v>
      </c>
      <c r="S1750" s="85"/>
    </row>
    <row r="1751" spans="1:19" hidden="1">
      <c r="A1751" s="89" t="s">
        <v>3404</v>
      </c>
      <c r="B1751" s="149" t="str">
        <f>IFERROR(VLOOKUP(Proc[[#This Row],[App]],Table2[],3,0),"open")</f>
        <v>ok</v>
      </c>
      <c r="C1751" s="89" t="s">
        <v>369</v>
      </c>
      <c r="D1751" t="s">
        <v>3509</v>
      </c>
      <c r="E1751" t="s">
        <v>3541</v>
      </c>
      <c r="F1751" s="117" t="s">
        <v>3541</v>
      </c>
      <c r="G1751" s="89" t="s">
        <v>400</v>
      </c>
      <c r="H1751" s="85" t="str">
        <f>IF(Proc[[#This Row],[type]]="LFF (MDG-F)",MID(Proc[[#This Row],[Obj]],13,10),"")</f>
        <v/>
      </c>
      <c r="J1751" s="85" t="b">
        <f>Proc[[#This Row],[Requested]]=Proc[[#This Row],[CurrentParent]]</f>
        <v>1</v>
      </c>
      <c r="K1751" s="144" t="str">
        <f>IF(Proc[[#This Row],[Author]]="Marcela Urrego",VLOOKUP(LEFT(Proc[[#This Row],[Requested]],1),Table3[#All],2,0),VLOOKUP(Proc[[#This Row],[Author]],Table4[],2,0))</f>
        <v>LS</v>
      </c>
      <c r="L1751" s="85" t="s">
        <v>2563</v>
      </c>
      <c r="M1751" s="87">
        <v>45801.263680555552</v>
      </c>
      <c r="N1751" s="87"/>
      <c r="O1751" s="87"/>
      <c r="P1751" s="90" t="str">
        <f ca="1">IF(Proc[[#This Row],[DaysAgeing]]&gt;5,"yep","on track")</f>
        <v>yep</v>
      </c>
      <c r="Q1751" s="3">
        <f ca="1">IF(Proc[[#This Row],[DateClosed]]="",ABS(NETWORKDAYS(Proc[[#This Row],[DateOpened]],TODAY()))-1,ABS(NETWORKDAYS(Proc[[#This Row],[DateOpened]],Proc[[#This Row],[DateClosed]]))-1)</f>
        <v>149</v>
      </c>
      <c r="R1751" s="90" t="s">
        <v>489</v>
      </c>
      <c r="S1751" s="85"/>
    </row>
    <row r="1752" spans="1:19" hidden="1">
      <c r="A1752" s="89" t="s">
        <v>3404</v>
      </c>
      <c r="B1752" s="149" t="str">
        <f>IFERROR(VLOOKUP(Proc[[#This Row],[App]],Table2[],3,0),"open")</f>
        <v>ok</v>
      </c>
      <c r="C1752" s="89" t="s">
        <v>369</v>
      </c>
      <c r="D1752" t="s">
        <v>3510</v>
      </c>
      <c r="E1752" t="s">
        <v>3523</v>
      </c>
      <c r="F1752" s="117" t="s">
        <v>3523</v>
      </c>
      <c r="G1752" s="89" t="s">
        <v>400</v>
      </c>
      <c r="H1752" s="85" t="str">
        <f>IF(Proc[[#This Row],[type]]="LFF (MDG-F)",MID(Proc[[#This Row],[Obj]],13,10),"")</f>
        <v/>
      </c>
      <c r="J1752" s="85" t="b">
        <f>Proc[[#This Row],[Requested]]=Proc[[#This Row],[CurrentParent]]</f>
        <v>1</v>
      </c>
      <c r="K1752" s="144" t="str">
        <f>IF(Proc[[#This Row],[Author]]="Marcela Urrego",VLOOKUP(LEFT(Proc[[#This Row],[Requested]],1),Table3[#All],2,0),VLOOKUP(Proc[[#This Row],[Author]],Table4[],2,0))</f>
        <v>LS</v>
      </c>
      <c r="L1752" s="85" t="s">
        <v>2563</v>
      </c>
      <c r="M1752" s="87">
        <v>45801.263680555552</v>
      </c>
      <c r="N1752" s="87"/>
      <c r="O1752" s="87"/>
      <c r="P1752" s="90" t="str">
        <f ca="1">IF(Proc[[#This Row],[DaysAgeing]]&gt;5,"yep","on track")</f>
        <v>yep</v>
      </c>
      <c r="Q1752" s="3">
        <f ca="1">IF(Proc[[#This Row],[DateClosed]]="",ABS(NETWORKDAYS(Proc[[#This Row],[DateOpened]],TODAY()))-1,ABS(NETWORKDAYS(Proc[[#This Row],[DateOpened]],Proc[[#This Row],[DateClosed]]))-1)</f>
        <v>149</v>
      </c>
      <c r="R1752" s="90" t="s">
        <v>489</v>
      </c>
      <c r="S1752" s="85"/>
    </row>
    <row r="1753" spans="1:19" hidden="1">
      <c r="A1753" s="89" t="s">
        <v>3404</v>
      </c>
      <c r="B1753" s="149" t="str">
        <f>IFERROR(VLOOKUP(Proc[[#This Row],[App]],Table2[],3,0),"open")</f>
        <v>ok</v>
      </c>
      <c r="C1753" s="89" t="s">
        <v>369</v>
      </c>
      <c r="D1753" t="s">
        <v>3511</v>
      </c>
      <c r="E1753" t="s">
        <v>3526</v>
      </c>
      <c r="F1753" s="117" t="s">
        <v>3526</v>
      </c>
      <c r="G1753" s="89" t="s">
        <v>400</v>
      </c>
      <c r="H1753" s="85" t="str">
        <f>IF(Proc[[#This Row],[type]]="LFF (MDG-F)",MID(Proc[[#This Row],[Obj]],13,10),"")</f>
        <v/>
      </c>
      <c r="J1753" s="85" t="b">
        <f>Proc[[#This Row],[Requested]]=Proc[[#This Row],[CurrentParent]]</f>
        <v>1</v>
      </c>
      <c r="K1753" s="144" t="str">
        <f>IF(Proc[[#This Row],[Author]]="Marcela Urrego",VLOOKUP(LEFT(Proc[[#This Row],[Requested]],1),Table3[#All],2,0),VLOOKUP(Proc[[#This Row],[Author]],Table4[],2,0))</f>
        <v>LS</v>
      </c>
      <c r="L1753" s="85" t="s">
        <v>2563</v>
      </c>
      <c r="M1753" s="87">
        <v>45801.263680555552</v>
      </c>
      <c r="N1753" s="87"/>
      <c r="O1753" s="87"/>
      <c r="P1753" s="90" t="str">
        <f ca="1">IF(Proc[[#This Row],[DaysAgeing]]&gt;5,"yep","on track")</f>
        <v>yep</v>
      </c>
      <c r="Q1753" s="3">
        <f ca="1">IF(Proc[[#This Row],[DateClosed]]="",ABS(NETWORKDAYS(Proc[[#This Row],[DateOpened]],TODAY()))-1,ABS(NETWORKDAYS(Proc[[#This Row],[DateOpened]],Proc[[#This Row],[DateClosed]]))-1)</f>
        <v>149</v>
      </c>
      <c r="R1753" s="90" t="s">
        <v>489</v>
      </c>
      <c r="S1753" s="85"/>
    </row>
    <row r="1754" spans="1:19" hidden="1">
      <c r="A1754" s="89" t="s">
        <v>3404</v>
      </c>
      <c r="B1754" s="149" t="str">
        <f>IFERROR(VLOOKUP(Proc[[#This Row],[App]],Table2[],3,0),"open")</f>
        <v>ok</v>
      </c>
      <c r="C1754" s="89" t="s">
        <v>369</v>
      </c>
      <c r="D1754" t="s">
        <v>3512</v>
      </c>
      <c r="E1754" t="s">
        <v>3546</v>
      </c>
      <c r="F1754" s="117" t="s">
        <v>3546</v>
      </c>
      <c r="G1754" s="89" t="s">
        <v>400</v>
      </c>
      <c r="H1754" s="85" t="str">
        <f>IF(Proc[[#This Row],[type]]="LFF (MDG-F)",MID(Proc[[#This Row],[Obj]],13,10),"")</f>
        <v/>
      </c>
      <c r="J1754" s="85" t="b">
        <f>Proc[[#This Row],[Requested]]=Proc[[#This Row],[CurrentParent]]</f>
        <v>1</v>
      </c>
      <c r="K1754" s="144" t="str">
        <f>IF(Proc[[#This Row],[Author]]="Marcela Urrego",VLOOKUP(LEFT(Proc[[#This Row],[Requested]],1),Table3[#All],2,0),VLOOKUP(Proc[[#This Row],[Author]],Table4[],2,0))</f>
        <v>LS</v>
      </c>
      <c r="L1754" s="85" t="s">
        <v>2563</v>
      </c>
      <c r="M1754" s="87">
        <v>45801.263680555552</v>
      </c>
      <c r="N1754" s="87"/>
      <c r="O1754" s="87"/>
      <c r="P1754" s="90" t="str">
        <f ca="1">IF(Proc[[#This Row],[DaysAgeing]]&gt;5,"yep","on track")</f>
        <v>yep</v>
      </c>
      <c r="Q1754" s="3">
        <f ca="1">IF(Proc[[#This Row],[DateClosed]]="",ABS(NETWORKDAYS(Proc[[#This Row],[DateOpened]],TODAY()))-1,ABS(NETWORKDAYS(Proc[[#This Row],[DateOpened]],Proc[[#This Row],[DateClosed]]))-1)</f>
        <v>149</v>
      </c>
      <c r="R1754" s="90" t="s">
        <v>489</v>
      </c>
      <c r="S1754" s="85"/>
    </row>
    <row r="1755" spans="1:19" hidden="1">
      <c r="A1755" s="89" t="s">
        <v>3404</v>
      </c>
      <c r="B1755" s="149" t="str">
        <f>IFERROR(VLOOKUP(Proc[[#This Row],[App]],Table2[],3,0),"open")</f>
        <v>ok</v>
      </c>
      <c r="C1755" s="89" t="s">
        <v>369</v>
      </c>
      <c r="D1755" t="s">
        <v>3513</v>
      </c>
      <c r="E1755" t="s">
        <v>3534</v>
      </c>
      <c r="F1755" s="117" t="s">
        <v>3534</v>
      </c>
      <c r="G1755" s="89" t="s">
        <v>400</v>
      </c>
      <c r="H1755" s="85" t="str">
        <f>IF(Proc[[#This Row],[type]]="LFF (MDG-F)",MID(Proc[[#This Row],[Obj]],13,10),"")</f>
        <v/>
      </c>
      <c r="J1755" s="85" t="b">
        <f>Proc[[#This Row],[Requested]]=Proc[[#This Row],[CurrentParent]]</f>
        <v>1</v>
      </c>
      <c r="K1755" s="144" t="str">
        <f>IF(Proc[[#This Row],[Author]]="Marcela Urrego",VLOOKUP(LEFT(Proc[[#This Row],[Requested]],1),Table3[#All],2,0),VLOOKUP(Proc[[#This Row],[Author]],Table4[],2,0))</f>
        <v>LS</v>
      </c>
      <c r="L1755" s="85" t="s">
        <v>2563</v>
      </c>
      <c r="M1755" s="87">
        <v>45801.263680555552</v>
      </c>
      <c r="N1755" s="87"/>
      <c r="O1755" s="87"/>
      <c r="P1755" s="90" t="str">
        <f ca="1">IF(Proc[[#This Row],[DaysAgeing]]&gt;5,"yep","on track")</f>
        <v>yep</v>
      </c>
      <c r="Q1755" s="3">
        <f ca="1">IF(Proc[[#This Row],[DateClosed]]="",ABS(NETWORKDAYS(Proc[[#This Row],[DateOpened]],TODAY()))-1,ABS(NETWORKDAYS(Proc[[#This Row],[DateOpened]],Proc[[#This Row],[DateClosed]]))-1)</f>
        <v>149</v>
      </c>
      <c r="R1755" s="90" t="s">
        <v>489</v>
      </c>
      <c r="S1755" s="85"/>
    </row>
    <row r="1756" spans="1:19" hidden="1">
      <c r="A1756" t="s">
        <v>3547</v>
      </c>
      <c r="B1756" s="149" t="str">
        <f>IFERROR(VLOOKUP(Proc[[#This Row],[App]],Table2[],3,0),"open")</f>
        <v>ok</v>
      </c>
      <c r="C1756" s="89" t="s">
        <v>369</v>
      </c>
      <c r="D1756" t="s">
        <v>3548</v>
      </c>
      <c r="E1756" t="s">
        <v>3555</v>
      </c>
      <c r="F1756" s="117" t="s">
        <v>3555</v>
      </c>
      <c r="G1756" t="s">
        <v>406</v>
      </c>
      <c r="H1756" s="85" t="str">
        <f>IF(Proc[[#This Row],[type]]="LFF (MDG-F)",MID(Proc[[#This Row],[Obj]],13,10),"")</f>
        <v>DE10639300</v>
      </c>
      <c r="I1756" t="s">
        <v>3558</v>
      </c>
      <c r="J1756" s="85" t="b">
        <f>Proc[[#This Row],[Requested]]=Proc[[#This Row],[CurrentParent]]</f>
        <v>1</v>
      </c>
      <c r="K1756" s="144" t="str">
        <f>IF(Proc[[#This Row],[Author]]="Marcela Urrego",VLOOKUP(LEFT(Proc[[#This Row],[Requested]],1),Table3[#All],2,0),VLOOKUP(Proc[[#This Row],[Author]],Table4[],2,0))</f>
        <v>LS</v>
      </c>
      <c r="L1756" s="85" t="s">
        <v>2563</v>
      </c>
      <c r="M1756" s="87">
        <v>45801.283206018517</v>
      </c>
      <c r="N1756" s="87">
        <v>45806</v>
      </c>
      <c r="O1756" s="87">
        <v>45806</v>
      </c>
      <c r="P1756" s="90" t="str">
        <f ca="1">IF(Proc[[#This Row],[DaysAgeing]]&gt;5,"yep","on track")</f>
        <v>on track</v>
      </c>
      <c r="Q1756" s="3">
        <f ca="1">IF(Proc[[#This Row],[DateClosed]]="",ABS(NETWORKDAYS(Proc[[#This Row],[DateOpened]],TODAY()))-1,ABS(NETWORKDAYS(Proc[[#This Row],[DateOpened]],Proc[[#This Row],[DateClosed]]))-1)</f>
        <v>3</v>
      </c>
      <c r="R1756" s="90" t="s">
        <v>489</v>
      </c>
      <c r="S1756" s="85"/>
    </row>
    <row r="1757" spans="1:19" hidden="1">
      <c r="A1757" s="89" t="s">
        <v>3547</v>
      </c>
      <c r="B1757" s="149" t="str">
        <f>IFERROR(VLOOKUP(Proc[[#This Row],[App]],Table2[],3,0),"open")</f>
        <v>ok</v>
      </c>
      <c r="C1757" s="89" t="s">
        <v>369</v>
      </c>
      <c r="D1757" t="s">
        <v>3549</v>
      </c>
      <c r="E1757" t="s">
        <v>3556</v>
      </c>
      <c r="F1757" s="117" t="s">
        <v>3556</v>
      </c>
      <c r="G1757" s="89" t="s">
        <v>406</v>
      </c>
      <c r="H1757" s="85" t="str">
        <f>IF(Proc[[#This Row],[type]]="LFF (MDG-F)",MID(Proc[[#This Row],[Obj]],13,10),"")</f>
        <v>DE10650100</v>
      </c>
      <c r="I1757" t="s">
        <v>3558</v>
      </c>
      <c r="J1757" s="85" t="b">
        <f>Proc[[#This Row],[Requested]]=Proc[[#This Row],[CurrentParent]]</f>
        <v>1</v>
      </c>
      <c r="K1757" s="144" t="str">
        <f>IF(Proc[[#This Row],[Author]]="Marcela Urrego",VLOOKUP(LEFT(Proc[[#This Row],[Requested]],1),Table3[#All],2,0),VLOOKUP(Proc[[#This Row],[Author]],Table4[],2,0))</f>
        <v>LS</v>
      </c>
      <c r="L1757" s="85" t="s">
        <v>2563</v>
      </c>
      <c r="M1757" s="87">
        <v>45801.283206018517</v>
      </c>
      <c r="N1757" s="87">
        <v>45806</v>
      </c>
      <c r="O1757" s="87">
        <v>45806</v>
      </c>
      <c r="P1757" s="90" t="str">
        <f ca="1">IF(Proc[[#This Row],[DaysAgeing]]&gt;5,"yep","on track")</f>
        <v>on track</v>
      </c>
      <c r="Q1757" s="3">
        <f ca="1">IF(Proc[[#This Row],[DateClosed]]="",ABS(NETWORKDAYS(Proc[[#This Row],[DateOpened]],TODAY()))-1,ABS(NETWORKDAYS(Proc[[#This Row],[DateOpened]],Proc[[#This Row],[DateClosed]]))-1)</f>
        <v>3</v>
      </c>
      <c r="R1757" s="90" t="s">
        <v>489</v>
      </c>
      <c r="S1757" s="85"/>
    </row>
    <row r="1758" spans="1:19" hidden="1">
      <c r="A1758" s="89" t="s">
        <v>3547</v>
      </c>
      <c r="B1758" s="149" t="str">
        <f>IFERROR(VLOOKUP(Proc[[#This Row],[App]],Table2[],3,0),"open")</f>
        <v>ok</v>
      </c>
      <c r="C1758" s="89" t="s">
        <v>369</v>
      </c>
      <c r="D1758" t="s">
        <v>3550</v>
      </c>
      <c r="E1758" t="s">
        <v>3556</v>
      </c>
      <c r="F1758" s="117" t="s">
        <v>3556</v>
      </c>
      <c r="G1758" s="89" t="s">
        <v>406</v>
      </c>
      <c r="H1758" s="85" t="str">
        <f>IF(Proc[[#This Row],[type]]="LFF (MDG-F)",MID(Proc[[#This Row],[Obj]],13,10),"")</f>
        <v>DE10OF0005</v>
      </c>
      <c r="I1758" t="s">
        <v>3558</v>
      </c>
      <c r="J1758" s="85" t="b">
        <f>Proc[[#This Row],[Requested]]=Proc[[#This Row],[CurrentParent]]</f>
        <v>1</v>
      </c>
      <c r="K1758" s="144" t="str">
        <f>IF(Proc[[#This Row],[Author]]="Marcela Urrego",VLOOKUP(LEFT(Proc[[#This Row],[Requested]],1),Table3[#All],2,0),VLOOKUP(Proc[[#This Row],[Author]],Table4[],2,0))</f>
        <v>LS</v>
      </c>
      <c r="L1758" s="85" t="s">
        <v>2563</v>
      </c>
      <c r="M1758" s="87">
        <v>45801.283206018517</v>
      </c>
      <c r="N1758" s="87">
        <v>45806</v>
      </c>
      <c r="O1758" s="87">
        <v>45806</v>
      </c>
      <c r="P1758" s="90" t="str">
        <f ca="1">IF(Proc[[#This Row],[DaysAgeing]]&gt;5,"yep","on track")</f>
        <v>on track</v>
      </c>
      <c r="Q1758" s="3">
        <f ca="1">IF(Proc[[#This Row],[DateClosed]]="",ABS(NETWORKDAYS(Proc[[#This Row],[DateOpened]],TODAY()))-1,ABS(NETWORKDAYS(Proc[[#This Row],[DateOpened]],Proc[[#This Row],[DateClosed]]))-1)</f>
        <v>3</v>
      </c>
      <c r="R1758" s="90" t="s">
        <v>489</v>
      </c>
      <c r="S1758" s="85"/>
    </row>
    <row r="1759" spans="1:19" hidden="1">
      <c r="A1759" s="89" t="s">
        <v>3547</v>
      </c>
      <c r="B1759" s="149" t="str">
        <f>IFERROR(VLOOKUP(Proc[[#This Row],[App]],Table2[],3,0),"open")</f>
        <v>ok</v>
      </c>
      <c r="C1759" s="89" t="s">
        <v>369</v>
      </c>
      <c r="D1759" t="s">
        <v>3551</v>
      </c>
      <c r="E1759" t="s">
        <v>3556</v>
      </c>
      <c r="F1759" s="117" t="s">
        <v>3556</v>
      </c>
      <c r="G1759" s="89" t="s">
        <v>400</v>
      </c>
      <c r="H1759" s="85" t="str">
        <f>IF(Proc[[#This Row],[type]]="LFF (MDG-F)",MID(Proc[[#This Row],[Obj]],13,10),"")</f>
        <v/>
      </c>
      <c r="J1759" s="85" t="b">
        <f>Proc[[#This Row],[Requested]]=Proc[[#This Row],[CurrentParent]]</f>
        <v>1</v>
      </c>
      <c r="K1759" s="144" t="str">
        <f>IF(Proc[[#This Row],[Author]]="Marcela Urrego",VLOOKUP(LEFT(Proc[[#This Row],[Requested]],1),Table3[#All],2,0),VLOOKUP(Proc[[#This Row],[Author]],Table4[],2,0))</f>
        <v>LS</v>
      </c>
      <c r="L1759" s="85" t="s">
        <v>2563</v>
      </c>
      <c r="M1759" s="87">
        <v>45801.283206018517</v>
      </c>
      <c r="N1759" s="87"/>
      <c r="O1759" s="87"/>
      <c r="P1759" s="90" t="str">
        <f ca="1">IF(Proc[[#This Row],[DaysAgeing]]&gt;5,"yep","on track")</f>
        <v>yep</v>
      </c>
      <c r="Q1759" s="3">
        <f ca="1">IF(Proc[[#This Row],[DateClosed]]="",ABS(NETWORKDAYS(Proc[[#This Row],[DateOpened]],TODAY()))-1,ABS(NETWORKDAYS(Proc[[#This Row],[DateOpened]],Proc[[#This Row],[DateClosed]]))-1)</f>
        <v>149</v>
      </c>
      <c r="R1759" s="90" t="s">
        <v>489</v>
      </c>
      <c r="S1759" s="85"/>
    </row>
    <row r="1760" spans="1:19" hidden="1">
      <c r="A1760" s="89" t="s">
        <v>3547</v>
      </c>
      <c r="B1760" s="149" t="str">
        <f>IFERROR(VLOOKUP(Proc[[#This Row],[App]],Table2[],3,0),"open")</f>
        <v>ok</v>
      </c>
      <c r="C1760" s="89" t="s">
        <v>369</v>
      </c>
      <c r="D1760" t="s">
        <v>3552</v>
      </c>
      <c r="E1760" t="s">
        <v>3556</v>
      </c>
      <c r="F1760" s="117" t="s">
        <v>3556</v>
      </c>
      <c r="G1760" s="89" t="s">
        <v>400</v>
      </c>
      <c r="H1760" s="85" t="str">
        <f>IF(Proc[[#This Row],[type]]="LFF (MDG-F)",MID(Proc[[#This Row],[Obj]],13,10),"")</f>
        <v/>
      </c>
      <c r="J1760" s="85" t="b">
        <f>Proc[[#This Row],[Requested]]=Proc[[#This Row],[CurrentParent]]</f>
        <v>1</v>
      </c>
      <c r="K1760" s="144" t="str">
        <f>IF(Proc[[#This Row],[Author]]="Marcela Urrego",VLOOKUP(LEFT(Proc[[#This Row],[Requested]],1),Table3[#All],2,0),VLOOKUP(Proc[[#This Row],[Author]],Table4[],2,0))</f>
        <v>LS</v>
      </c>
      <c r="L1760" s="85" t="s">
        <v>2563</v>
      </c>
      <c r="M1760" s="87">
        <v>45801.283206018517</v>
      </c>
      <c r="N1760" s="87"/>
      <c r="O1760" s="87"/>
      <c r="P1760" s="90" t="str">
        <f ca="1">IF(Proc[[#This Row],[DaysAgeing]]&gt;5,"yep","on track")</f>
        <v>yep</v>
      </c>
      <c r="Q1760" s="3">
        <f ca="1">IF(Proc[[#This Row],[DateClosed]]="",ABS(NETWORKDAYS(Proc[[#This Row],[DateOpened]],TODAY()))-1,ABS(NETWORKDAYS(Proc[[#This Row],[DateOpened]],Proc[[#This Row],[DateClosed]]))-1)</f>
        <v>149</v>
      </c>
      <c r="R1760" s="90" t="s">
        <v>489</v>
      </c>
      <c r="S1760" s="85"/>
    </row>
    <row r="1761" spans="1:19" hidden="1">
      <c r="A1761" s="89" t="s">
        <v>3547</v>
      </c>
      <c r="B1761" s="149" t="str">
        <f>IFERROR(VLOOKUP(Proc[[#This Row],[App]],Table2[],3,0),"open")</f>
        <v>ok</v>
      </c>
      <c r="C1761" s="89" t="s">
        <v>369</v>
      </c>
      <c r="D1761" t="s">
        <v>3553</v>
      </c>
      <c r="E1761" t="s">
        <v>3555</v>
      </c>
      <c r="F1761" s="117" t="s">
        <v>3555</v>
      </c>
      <c r="G1761" s="89" t="s">
        <v>400</v>
      </c>
      <c r="H1761" s="85" t="str">
        <f>IF(Proc[[#This Row],[type]]="LFF (MDG-F)",MID(Proc[[#This Row],[Obj]],13,10),"")</f>
        <v/>
      </c>
      <c r="J1761" s="85" t="b">
        <f>Proc[[#This Row],[Requested]]=Proc[[#This Row],[CurrentParent]]</f>
        <v>1</v>
      </c>
      <c r="K1761" s="144" t="str">
        <f>IF(Proc[[#This Row],[Author]]="Marcela Urrego",VLOOKUP(LEFT(Proc[[#This Row],[Requested]],1),Table3[#All],2,0),VLOOKUP(Proc[[#This Row],[Author]],Table4[],2,0))</f>
        <v>LS</v>
      </c>
      <c r="L1761" s="85" t="s">
        <v>2563</v>
      </c>
      <c r="M1761" s="87">
        <v>45801.283206018517</v>
      </c>
      <c r="N1761" s="87"/>
      <c r="O1761" s="87"/>
      <c r="P1761" s="90" t="str">
        <f ca="1">IF(Proc[[#This Row],[DaysAgeing]]&gt;5,"yep","on track")</f>
        <v>yep</v>
      </c>
      <c r="Q1761" s="3">
        <f ca="1">IF(Proc[[#This Row],[DateClosed]]="",ABS(NETWORKDAYS(Proc[[#This Row],[DateOpened]],TODAY()))-1,ABS(NETWORKDAYS(Proc[[#This Row],[DateOpened]],Proc[[#This Row],[DateClosed]]))-1)</f>
        <v>149</v>
      </c>
      <c r="R1761" s="90" t="s">
        <v>489</v>
      </c>
      <c r="S1761" s="85"/>
    </row>
    <row r="1762" spans="1:19" hidden="1">
      <c r="A1762" s="89" t="s">
        <v>3547</v>
      </c>
      <c r="B1762" s="149" t="str">
        <f>IFERROR(VLOOKUP(Proc[[#This Row],[App]],Table2[],3,0),"open")</f>
        <v>ok</v>
      </c>
      <c r="C1762" s="89" t="s">
        <v>369</v>
      </c>
      <c r="D1762" t="s">
        <v>3554</v>
      </c>
      <c r="E1762" t="s">
        <v>3557</v>
      </c>
      <c r="F1762" s="117" t="s">
        <v>3557</v>
      </c>
      <c r="G1762" s="89" t="s">
        <v>400</v>
      </c>
      <c r="H1762" s="85" t="str">
        <f>IF(Proc[[#This Row],[type]]="LFF (MDG-F)",MID(Proc[[#This Row],[Obj]],13,10),"")</f>
        <v/>
      </c>
      <c r="J1762" s="85" t="b">
        <f>Proc[[#This Row],[Requested]]=Proc[[#This Row],[CurrentParent]]</f>
        <v>1</v>
      </c>
      <c r="K1762" s="144" t="str">
        <f>IF(Proc[[#This Row],[Author]]="Marcela Urrego",VLOOKUP(LEFT(Proc[[#This Row],[Requested]],1),Table3[#All],2,0),VLOOKUP(Proc[[#This Row],[Author]],Table4[],2,0))</f>
        <v>LS</v>
      </c>
      <c r="L1762" s="85" t="s">
        <v>2563</v>
      </c>
      <c r="M1762" s="87">
        <v>45801.283206018517</v>
      </c>
      <c r="N1762" s="87"/>
      <c r="O1762" s="87"/>
      <c r="P1762" s="90" t="str">
        <f ca="1">IF(Proc[[#This Row],[DaysAgeing]]&gt;5,"yep","on track")</f>
        <v>yep</v>
      </c>
      <c r="Q1762" s="3">
        <f ca="1">IF(Proc[[#This Row],[DateClosed]]="",ABS(NETWORKDAYS(Proc[[#This Row],[DateOpened]],TODAY()))-1,ABS(NETWORKDAYS(Proc[[#This Row],[DateOpened]],Proc[[#This Row],[DateClosed]]))-1)</f>
        <v>149</v>
      </c>
      <c r="R1762" s="90" t="s">
        <v>489</v>
      </c>
      <c r="S1762" s="85"/>
    </row>
    <row r="1763" spans="1:19" hidden="1">
      <c r="A1763" t="s">
        <v>3559</v>
      </c>
      <c r="B1763" s="149" t="str">
        <f>IFERROR(VLOOKUP(Proc[[#This Row],[App]],Table2[],3,0),"open")</f>
        <v>ok</v>
      </c>
      <c r="C1763" t="s">
        <v>369</v>
      </c>
      <c r="D1763" t="s">
        <v>3560</v>
      </c>
      <c r="E1763" t="s">
        <v>2161</v>
      </c>
      <c r="F1763" s="117" t="s">
        <v>2161</v>
      </c>
      <c r="G1763" s="89" t="s">
        <v>400</v>
      </c>
      <c r="H1763" s="85" t="str">
        <f>IF(Proc[[#This Row],[type]]="LFF (MDG-F)",MID(Proc[[#This Row],[Obj]],13,10),"")</f>
        <v/>
      </c>
      <c r="J1763" s="85" t="b">
        <f>Proc[[#This Row],[Requested]]=Proc[[#This Row],[CurrentParent]]</f>
        <v>1</v>
      </c>
      <c r="K1763" s="144" t="str">
        <f>IF(Proc[[#This Row],[Author]]="Marcela Urrego",VLOOKUP(LEFT(Proc[[#This Row],[Requested]],1),Table3[#All],2,0),VLOOKUP(Proc[[#This Row],[Author]],Table4[],2,0))</f>
        <v>HC</v>
      </c>
      <c r="L1763" s="85" t="s">
        <v>2563</v>
      </c>
      <c r="M1763" s="87">
        <v>45803.415173611109</v>
      </c>
      <c r="N1763" s="87">
        <v>45806</v>
      </c>
      <c r="O1763" s="87">
        <v>45806</v>
      </c>
      <c r="P1763" s="90" t="str">
        <f ca="1">IF(Proc[[#This Row],[DaysAgeing]]&gt;5,"yep","on track")</f>
        <v>on track</v>
      </c>
      <c r="Q1763" s="3">
        <f ca="1">IF(Proc[[#This Row],[DateClosed]]="",ABS(NETWORKDAYS(Proc[[#This Row],[DateOpened]],TODAY()))-1,ABS(NETWORKDAYS(Proc[[#This Row],[DateOpened]],Proc[[#This Row],[DateClosed]]))-1)</f>
        <v>3</v>
      </c>
      <c r="R1763" s="90" t="s">
        <v>478</v>
      </c>
      <c r="S1763" s="85"/>
    </row>
    <row r="1764" spans="1:19" hidden="1">
      <c r="A1764" s="89" t="s">
        <v>3559</v>
      </c>
      <c r="B1764" s="149" t="str">
        <f>IFERROR(VLOOKUP(Proc[[#This Row],[App]],Table2[],3,0),"open")</f>
        <v>ok</v>
      </c>
      <c r="C1764" s="89" t="s">
        <v>369</v>
      </c>
      <c r="D1764" t="s">
        <v>3561</v>
      </c>
      <c r="E1764" t="s">
        <v>2161</v>
      </c>
      <c r="F1764" s="117" t="s">
        <v>2161</v>
      </c>
      <c r="G1764" s="89" t="s">
        <v>400</v>
      </c>
      <c r="H1764" s="85" t="str">
        <f>IF(Proc[[#This Row],[type]]="LFF (MDG-F)",MID(Proc[[#This Row],[Obj]],13,10),"")</f>
        <v/>
      </c>
      <c r="J1764" s="85" t="b">
        <f>Proc[[#This Row],[Requested]]=Proc[[#This Row],[CurrentParent]]</f>
        <v>1</v>
      </c>
      <c r="K1764" s="144" t="str">
        <f>IF(Proc[[#This Row],[Author]]="Marcela Urrego",VLOOKUP(LEFT(Proc[[#This Row],[Requested]],1),Table3[#All],2,0),VLOOKUP(Proc[[#This Row],[Author]],Table4[],2,0))</f>
        <v>HC</v>
      </c>
      <c r="L1764" s="85" t="s">
        <v>2563</v>
      </c>
      <c r="M1764" s="87">
        <v>45803.415173611109</v>
      </c>
      <c r="N1764" s="87">
        <v>45806</v>
      </c>
      <c r="O1764" s="87">
        <v>45806</v>
      </c>
      <c r="P1764" s="90" t="str">
        <f ca="1">IF(Proc[[#This Row],[DaysAgeing]]&gt;5,"yep","on track")</f>
        <v>on track</v>
      </c>
      <c r="Q1764" s="3">
        <f ca="1">IF(Proc[[#This Row],[DateClosed]]="",ABS(NETWORKDAYS(Proc[[#This Row],[DateOpened]],TODAY()))-1,ABS(NETWORKDAYS(Proc[[#This Row],[DateOpened]],Proc[[#This Row],[DateClosed]]))-1)</f>
        <v>3</v>
      </c>
      <c r="R1764" s="90" t="s">
        <v>478</v>
      </c>
      <c r="S1764" s="85"/>
    </row>
    <row r="1765" spans="1:19" hidden="1">
      <c r="A1765" s="89" t="s">
        <v>3559</v>
      </c>
      <c r="B1765" s="149" t="str">
        <f>IFERROR(VLOOKUP(Proc[[#This Row],[App]],Table2[],3,0),"open")</f>
        <v>ok</v>
      </c>
      <c r="C1765" s="89" t="s">
        <v>369</v>
      </c>
      <c r="D1765" t="s">
        <v>3562</v>
      </c>
      <c r="E1765" t="s">
        <v>2161</v>
      </c>
      <c r="F1765" s="117" t="s">
        <v>2161</v>
      </c>
      <c r="G1765" s="89" t="s">
        <v>400</v>
      </c>
      <c r="H1765" s="85" t="str">
        <f>IF(Proc[[#This Row],[type]]="LFF (MDG-F)",MID(Proc[[#This Row],[Obj]],13,10),"")</f>
        <v/>
      </c>
      <c r="J1765" s="85" t="b">
        <f>Proc[[#This Row],[Requested]]=Proc[[#This Row],[CurrentParent]]</f>
        <v>1</v>
      </c>
      <c r="K1765" s="144" t="str">
        <f>IF(Proc[[#This Row],[Author]]="Marcela Urrego",VLOOKUP(LEFT(Proc[[#This Row],[Requested]],1),Table3[#All],2,0),VLOOKUP(Proc[[#This Row],[Author]],Table4[],2,0))</f>
        <v>HC</v>
      </c>
      <c r="L1765" s="85" t="s">
        <v>2563</v>
      </c>
      <c r="M1765" s="87">
        <v>45803.415173611109</v>
      </c>
      <c r="N1765" s="87">
        <v>45806</v>
      </c>
      <c r="O1765" s="87">
        <v>45806</v>
      </c>
      <c r="P1765" s="90" t="str">
        <f ca="1">IF(Proc[[#This Row],[DaysAgeing]]&gt;5,"yep","on track")</f>
        <v>on track</v>
      </c>
      <c r="Q1765" s="3">
        <f ca="1">IF(Proc[[#This Row],[DateClosed]]="",ABS(NETWORKDAYS(Proc[[#This Row],[DateOpened]],TODAY()))-1,ABS(NETWORKDAYS(Proc[[#This Row],[DateOpened]],Proc[[#This Row],[DateClosed]]))-1)</f>
        <v>3</v>
      </c>
      <c r="R1765" s="90" t="s">
        <v>478</v>
      </c>
      <c r="S1765" s="85"/>
    </row>
    <row r="1766" spans="1:19" hidden="1">
      <c r="A1766" s="89" t="s">
        <v>3559</v>
      </c>
      <c r="B1766" s="149" t="str">
        <f>IFERROR(VLOOKUP(Proc[[#This Row],[App]],Table2[],3,0),"open")</f>
        <v>ok</v>
      </c>
      <c r="C1766" s="89" t="s">
        <v>369</v>
      </c>
      <c r="D1766" t="s">
        <v>3563</v>
      </c>
      <c r="E1766" t="s">
        <v>2161</v>
      </c>
      <c r="F1766" s="117" t="s">
        <v>2161</v>
      </c>
      <c r="G1766" s="89" t="s">
        <v>400</v>
      </c>
      <c r="H1766" s="85" t="str">
        <f>IF(Proc[[#This Row],[type]]="LFF (MDG-F)",MID(Proc[[#This Row],[Obj]],13,10),"")</f>
        <v/>
      </c>
      <c r="J1766" s="85" t="b">
        <f>Proc[[#This Row],[Requested]]=Proc[[#This Row],[CurrentParent]]</f>
        <v>1</v>
      </c>
      <c r="K1766" s="144" t="str">
        <f>IF(Proc[[#This Row],[Author]]="Marcela Urrego",VLOOKUP(LEFT(Proc[[#This Row],[Requested]],1),Table3[#All],2,0),VLOOKUP(Proc[[#This Row],[Author]],Table4[],2,0))</f>
        <v>HC</v>
      </c>
      <c r="L1766" s="85" t="s">
        <v>2563</v>
      </c>
      <c r="M1766" s="87">
        <v>45803.415173611109</v>
      </c>
      <c r="N1766" s="87">
        <v>45806</v>
      </c>
      <c r="O1766" s="87">
        <v>45806</v>
      </c>
      <c r="P1766" s="90" t="str">
        <f ca="1">IF(Proc[[#This Row],[DaysAgeing]]&gt;5,"yep","on track")</f>
        <v>on track</v>
      </c>
      <c r="Q1766" s="3">
        <f ca="1">IF(Proc[[#This Row],[DateClosed]]="",ABS(NETWORKDAYS(Proc[[#This Row],[DateOpened]],TODAY()))-1,ABS(NETWORKDAYS(Proc[[#This Row],[DateOpened]],Proc[[#This Row],[DateClosed]]))-1)</f>
        <v>3</v>
      </c>
      <c r="R1766" s="90" t="s">
        <v>478</v>
      </c>
      <c r="S1766" s="85"/>
    </row>
    <row r="1767" spans="1:19" hidden="1">
      <c r="A1767" s="89" t="s">
        <v>3559</v>
      </c>
      <c r="B1767" s="149" t="str">
        <f>IFERROR(VLOOKUP(Proc[[#This Row],[App]],Table2[],3,0),"open")</f>
        <v>ok</v>
      </c>
      <c r="C1767" s="89" t="s">
        <v>369</v>
      </c>
      <c r="D1767" t="s">
        <v>3564</v>
      </c>
      <c r="E1767" t="s">
        <v>2161</v>
      </c>
      <c r="F1767" s="117" t="s">
        <v>2161</v>
      </c>
      <c r="G1767" s="89" t="s">
        <v>400</v>
      </c>
      <c r="H1767" s="85" t="str">
        <f>IF(Proc[[#This Row],[type]]="LFF (MDG-F)",MID(Proc[[#This Row],[Obj]],13,10),"")</f>
        <v/>
      </c>
      <c r="J1767" s="85" t="b">
        <f>Proc[[#This Row],[Requested]]=Proc[[#This Row],[CurrentParent]]</f>
        <v>1</v>
      </c>
      <c r="K1767" s="144" t="str">
        <f>IF(Proc[[#This Row],[Author]]="Marcela Urrego",VLOOKUP(LEFT(Proc[[#This Row],[Requested]],1),Table3[#All],2,0),VLOOKUP(Proc[[#This Row],[Author]],Table4[],2,0))</f>
        <v>HC</v>
      </c>
      <c r="L1767" s="85" t="s">
        <v>2563</v>
      </c>
      <c r="M1767" s="87">
        <v>45803.415173611109</v>
      </c>
      <c r="N1767" s="87">
        <v>45806</v>
      </c>
      <c r="O1767" s="87">
        <v>45806</v>
      </c>
      <c r="P1767" s="90" t="str">
        <f ca="1">IF(Proc[[#This Row],[DaysAgeing]]&gt;5,"yep","on track")</f>
        <v>on track</v>
      </c>
      <c r="Q1767" s="3">
        <f ca="1">IF(Proc[[#This Row],[DateClosed]]="",ABS(NETWORKDAYS(Proc[[#This Row],[DateOpened]],TODAY()))-1,ABS(NETWORKDAYS(Proc[[#This Row],[DateOpened]],Proc[[#This Row],[DateClosed]]))-1)</f>
        <v>3</v>
      </c>
      <c r="R1767" s="90" t="s">
        <v>478</v>
      </c>
      <c r="S1767" s="85"/>
    </row>
    <row r="1768" spans="1:19" hidden="1">
      <c r="A1768" s="89" t="s">
        <v>3559</v>
      </c>
      <c r="B1768" s="149" t="str">
        <f>IFERROR(VLOOKUP(Proc[[#This Row],[App]],Table2[],3,0),"open")</f>
        <v>ok</v>
      </c>
      <c r="C1768" s="89" t="s">
        <v>369</v>
      </c>
      <c r="D1768" t="s">
        <v>3565</v>
      </c>
      <c r="E1768" t="s">
        <v>2161</v>
      </c>
      <c r="F1768" s="117" t="s">
        <v>2161</v>
      </c>
      <c r="G1768" s="89" t="s">
        <v>400</v>
      </c>
      <c r="H1768" s="85" t="str">
        <f>IF(Proc[[#This Row],[type]]="LFF (MDG-F)",MID(Proc[[#This Row],[Obj]],13,10),"")</f>
        <v/>
      </c>
      <c r="J1768" s="85" t="b">
        <f>Proc[[#This Row],[Requested]]=Proc[[#This Row],[CurrentParent]]</f>
        <v>1</v>
      </c>
      <c r="K1768" s="144" t="str">
        <f>IF(Proc[[#This Row],[Author]]="Marcela Urrego",VLOOKUP(LEFT(Proc[[#This Row],[Requested]],1),Table3[#All],2,0),VLOOKUP(Proc[[#This Row],[Author]],Table4[],2,0))</f>
        <v>HC</v>
      </c>
      <c r="L1768" s="85" t="s">
        <v>2563</v>
      </c>
      <c r="M1768" s="87">
        <v>45803.415173611109</v>
      </c>
      <c r="N1768" s="87">
        <v>45806</v>
      </c>
      <c r="O1768" s="87">
        <v>45806</v>
      </c>
      <c r="P1768" s="90" t="str">
        <f ca="1">IF(Proc[[#This Row],[DaysAgeing]]&gt;5,"yep","on track")</f>
        <v>on track</v>
      </c>
      <c r="Q1768" s="3">
        <f ca="1">IF(Proc[[#This Row],[DateClosed]]="",ABS(NETWORKDAYS(Proc[[#This Row],[DateOpened]],TODAY()))-1,ABS(NETWORKDAYS(Proc[[#This Row],[DateOpened]],Proc[[#This Row],[DateClosed]]))-1)</f>
        <v>3</v>
      </c>
      <c r="R1768" s="90" t="s">
        <v>478</v>
      </c>
      <c r="S1768" s="85"/>
    </row>
    <row r="1769" spans="1:19" hidden="1">
      <c r="A1769" s="89" t="s">
        <v>3559</v>
      </c>
      <c r="B1769" s="149" t="str">
        <f>IFERROR(VLOOKUP(Proc[[#This Row],[App]],Table2[],3,0),"open")</f>
        <v>ok</v>
      </c>
      <c r="C1769" s="89" t="s">
        <v>369</v>
      </c>
      <c r="D1769" t="s">
        <v>3566</v>
      </c>
      <c r="E1769" t="s">
        <v>2161</v>
      </c>
      <c r="F1769" s="117" t="s">
        <v>2161</v>
      </c>
      <c r="G1769" s="89" t="s">
        <v>400</v>
      </c>
      <c r="H1769" s="85" t="str">
        <f>IF(Proc[[#This Row],[type]]="LFF (MDG-F)",MID(Proc[[#This Row],[Obj]],13,10),"")</f>
        <v/>
      </c>
      <c r="J1769" s="85" t="b">
        <f>Proc[[#This Row],[Requested]]=Proc[[#This Row],[CurrentParent]]</f>
        <v>1</v>
      </c>
      <c r="K1769" s="144" t="str">
        <f>IF(Proc[[#This Row],[Author]]="Marcela Urrego",VLOOKUP(LEFT(Proc[[#This Row],[Requested]],1),Table3[#All],2,0),VLOOKUP(Proc[[#This Row],[Author]],Table4[],2,0))</f>
        <v>HC</v>
      </c>
      <c r="L1769" s="85" t="s">
        <v>2563</v>
      </c>
      <c r="M1769" s="87">
        <v>45803.415173611109</v>
      </c>
      <c r="N1769" s="87">
        <v>45806</v>
      </c>
      <c r="O1769" s="87">
        <v>45806</v>
      </c>
      <c r="P1769" s="90" t="str">
        <f ca="1">IF(Proc[[#This Row],[DaysAgeing]]&gt;5,"yep","on track")</f>
        <v>on track</v>
      </c>
      <c r="Q1769" s="3">
        <f ca="1">IF(Proc[[#This Row],[DateClosed]]="",ABS(NETWORKDAYS(Proc[[#This Row],[DateOpened]],TODAY()))-1,ABS(NETWORKDAYS(Proc[[#This Row],[DateOpened]],Proc[[#This Row],[DateClosed]]))-1)</f>
        <v>3</v>
      </c>
      <c r="R1769" s="90" t="s">
        <v>478</v>
      </c>
      <c r="S1769" s="85"/>
    </row>
    <row r="1770" spans="1:19" hidden="1">
      <c r="A1770" s="89" t="s">
        <v>3559</v>
      </c>
      <c r="B1770" s="149" t="str">
        <f>IFERROR(VLOOKUP(Proc[[#This Row],[App]],Table2[],3,0),"open")</f>
        <v>ok</v>
      </c>
      <c r="C1770" s="89" t="s">
        <v>369</v>
      </c>
      <c r="D1770" t="s">
        <v>3567</v>
      </c>
      <c r="E1770" t="s">
        <v>2161</v>
      </c>
      <c r="F1770" s="117" t="s">
        <v>2161</v>
      </c>
      <c r="G1770" s="89" t="s">
        <v>400</v>
      </c>
      <c r="H1770" s="85" t="str">
        <f>IF(Proc[[#This Row],[type]]="LFF (MDG-F)",MID(Proc[[#This Row],[Obj]],13,10),"")</f>
        <v/>
      </c>
      <c r="J1770" s="85" t="b">
        <f>Proc[[#This Row],[Requested]]=Proc[[#This Row],[CurrentParent]]</f>
        <v>1</v>
      </c>
      <c r="K1770" s="144" t="str">
        <f>IF(Proc[[#This Row],[Author]]="Marcela Urrego",VLOOKUP(LEFT(Proc[[#This Row],[Requested]],1),Table3[#All],2,0),VLOOKUP(Proc[[#This Row],[Author]],Table4[],2,0))</f>
        <v>HC</v>
      </c>
      <c r="L1770" s="85" t="s">
        <v>2563</v>
      </c>
      <c r="M1770" s="87">
        <v>45803.415173611109</v>
      </c>
      <c r="N1770" s="87">
        <v>45806</v>
      </c>
      <c r="O1770" s="87">
        <v>45806</v>
      </c>
      <c r="P1770" s="90" t="str">
        <f ca="1">IF(Proc[[#This Row],[DaysAgeing]]&gt;5,"yep","on track")</f>
        <v>on track</v>
      </c>
      <c r="Q1770" s="3">
        <f ca="1">IF(Proc[[#This Row],[DateClosed]]="",ABS(NETWORKDAYS(Proc[[#This Row],[DateOpened]],TODAY()))-1,ABS(NETWORKDAYS(Proc[[#This Row],[DateOpened]],Proc[[#This Row],[DateClosed]]))-1)</f>
        <v>3</v>
      </c>
      <c r="R1770" s="90" t="s">
        <v>478</v>
      </c>
      <c r="S1770" s="85"/>
    </row>
    <row r="1771" spans="1:19" hidden="1">
      <c r="A1771" t="s">
        <v>3568</v>
      </c>
      <c r="B1771" s="149" t="str">
        <f>IFERROR(VLOOKUP(Proc[[#This Row],[App]],Table2[],3,0),"open")</f>
        <v>ok</v>
      </c>
      <c r="C1771" s="89" t="s">
        <v>369</v>
      </c>
      <c r="D1771" t="s">
        <v>3569</v>
      </c>
      <c r="E1771" t="s">
        <v>3570</v>
      </c>
      <c r="F1771" s="117" t="s">
        <v>3570</v>
      </c>
      <c r="G1771" t="s">
        <v>406</v>
      </c>
      <c r="H1771" s="85" t="str">
        <f>IF(Proc[[#This Row],[type]]="LFF (MDG-F)",MID(Proc[[#This Row],[Obj]],13,10),"")</f>
        <v>2102TMCZ91</v>
      </c>
      <c r="I1771" t="s">
        <v>3593</v>
      </c>
      <c r="J1771" s="85" t="b">
        <f>Proc[[#This Row],[Requested]]=Proc[[#This Row],[CurrentParent]]</f>
        <v>1</v>
      </c>
      <c r="K1771" s="144" t="str">
        <f>IF(Proc[[#This Row],[Author]]="Marcela Urrego",VLOOKUP(LEFT(Proc[[#This Row],[Requested]],1),Table3[#All],2,0),VLOOKUP(Proc[[#This Row],[Author]],Table4[],2,0))</f>
        <v>LS</v>
      </c>
      <c r="L1771" s="85" t="s">
        <v>2563</v>
      </c>
      <c r="M1771" s="87">
        <v>45803.512962962966</v>
      </c>
      <c r="N1771" s="87">
        <v>45806</v>
      </c>
      <c r="O1771" s="87">
        <v>45806</v>
      </c>
      <c r="P1771" s="90" t="str">
        <f ca="1">IF(Proc[[#This Row],[DaysAgeing]]&gt;5,"yep","on track")</f>
        <v>on track</v>
      </c>
      <c r="Q1771" s="3">
        <f ca="1">IF(Proc[[#This Row],[DateClosed]]="",ABS(NETWORKDAYS(Proc[[#This Row],[DateOpened]],TODAY()))-1,ABS(NETWORKDAYS(Proc[[#This Row],[DateOpened]],Proc[[#This Row],[DateClosed]]))-1)</f>
        <v>3</v>
      </c>
      <c r="R1771" s="90" t="s">
        <v>489</v>
      </c>
      <c r="S1771" s="85"/>
    </row>
    <row r="1772" spans="1:19" hidden="1">
      <c r="A1772" s="89" t="s">
        <v>3568</v>
      </c>
      <c r="B1772" s="149" t="str">
        <f>IFERROR(VLOOKUP(Proc[[#This Row],[App]],Table2[],3,0),"open")</f>
        <v>ok</v>
      </c>
      <c r="C1772" s="89" t="s">
        <v>369</v>
      </c>
      <c r="D1772" t="s">
        <v>3571</v>
      </c>
      <c r="E1772" t="s">
        <v>3570</v>
      </c>
      <c r="F1772" s="117" t="s">
        <v>3570</v>
      </c>
      <c r="G1772" s="89" t="s">
        <v>400</v>
      </c>
      <c r="H1772" s="85" t="str">
        <f>IF(Proc[[#This Row],[type]]="LFF (MDG-F)",MID(Proc[[#This Row],[Obj]],13,10),"")</f>
        <v/>
      </c>
      <c r="J1772" s="85" t="b">
        <f>Proc[[#This Row],[Requested]]=Proc[[#This Row],[CurrentParent]]</f>
        <v>1</v>
      </c>
      <c r="K1772" s="144" t="str">
        <f>IF(Proc[[#This Row],[Author]]="Marcela Urrego",VLOOKUP(LEFT(Proc[[#This Row],[Requested]],1),Table3[#All],2,0),VLOOKUP(Proc[[#This Row],[Author]],Table4[],2,0))</f>
        <v>LS</v>
      </c>
      <c r="L1772" s="85" t="s">
        <v>2563</v>
      </c>
      <c r="M1772" s="87">
        <v>45803.512962962966</v>
      </c>
      <c r="N1772" s="87">
        <v>45806</v>
      </c>
      <c r="O1772" s="87">
        <v>45806</v>
      </c>
      <c r="P1772" s="90" t="str">
        <f ca="1">IF(Proc[[#This Row],[DaysAgeing]]&gt;5,"yep","on track")</f>
        <v>on track</v>
      </c>
      <c r="Q1772" s="3">
        <f ca="1">IF(Proc[[#This Row],[DateClosed]]="",ABS(NETWORKDAYS(Proc[[#This Row],[DateOpened]],TODAY()))-1,ABS(NETWORKDAYS(Proc[[#This Row],[DateOpened]],Proc[[#This Row],[DateClosed]]))-1)</f>
        <v>3</v>
      </c>
      <c r="R1772" s="90" t="s">
        <v>489</v>
      </c>
      <c r="S1772" s="85"/>
    </row>
    <row r="1773" spans="1:19" hidden="1">
      <c r="A1773" s="89" t="s">
        <v>3568</v>
      </c>
      <c r="B1773" s="149" t="str">
        <f>IFERROR(VLOOKUP(Proc[[#This Row],[App]],Table2[],3,0),"open")</f>
        <v>ok</v>
      </c>
      <c r="C1773" s="89" t="s">
        <v>369</v>
      </c>
      <c r="D1773" t="s">
        <v>3572</v>
      </c>
      <c r="E1773" t="s">
        <v>3570</v>
      </c>
      <c r="F1773" s="117" t="s">
        <v>3570</v>
      </c>
      <c r="G1773" s="89" t="s">
        <v>400</v>
      </c>
      <c r="H1773" s="85" t="str">
        <f>IF(Proc[[#This Row],[type]]="LFF (MDG-F)",MID(Proc[[#This Row],[Obj]],13,10),"")</f>
        <v/>
      </c>
      <c r="J1773" s="85" t="b">
        <f>Proc[[#This Row],[Requested]]=Proc[[#This Row],[CurrentParent]]</f>
        <v>1</v>
      </c>
      <c r="K1773" s="144" t="str">
        <f>IF(Proc[[#This Row],[Author]]="Marcela Urrego",VLOOKUP(LEFT(Proc[[#This Row],[Requested]],1),Table3[#All],2,0),VLOOKUP(Proc[[#This Row],[Author]],Table4[],2,0))</f>
        <v>LS</v>
      </c>
      <c r="L1773" s="85" t="s">
        <v>2563</v>
      </c>
      <c r="M1773" s="87">
        <v>45803.512962962966</v>
      </c>
      <c r="N1773" s="87">
        <v>45806</v>
      </c>
      <c r="O1773" s="87">
        <v>45806</v>
      </c>
      <c r="P1773" s="90" t="str">
        <f ca="1">IF(Proc[[#This Row],[DaysAgeing]]&gt;5,"yep","on track")</f>
        <v>on track</v>
      </c>
      <c r="Q1773" s="3">
        <f ca="1">IF(Proc[[#This Row],[DateClosed]]="",ABS(NETWORKDAYS(Proc[[#This Row],[DateOpened]],TODAY()))-1,ABS(NETWORKDAYS(Proc[[#This Row],[DateOpened]],Proc[[#This Row],[DateClosed]]))-1)</f>
        <v>3</v>
      </c>
      <c r="R1773" s="90" t="s">
        <v>489</v>
      </c>
      <c r="S1773" s="85"/>
    </row>
    <row r="1774" spans="1:19" hidden="1">
      <c r="A1774" s="89" t="s">
        <v>3568</v>
      </c>
      <c r="B1774" s="149" t="str">
        <f>IFERROR(VLOOKUP(Proc[[#This Row],[App]],Table2[],3,0),"open")</f>
        <v>ok</v>
      </c>
      <c r="C1774" s="89" t="s">
        <v>369</v>
      </c>
      <c r="D1774" t="s">
        <v>3573</v>
      </c>
      <c r="E1774" t="s">
        <v>3570</v>
      </c>
      <c r="F1774" s="117" t="s">
        <v>3570</v>
      </c>
      <c r="G1774" s="89" t="s">
        <v>400</v>
      </c>
      <c r="H1774" s="85" t="str">
        <f>IF(Proc[[#This Row],[type]]="LFF (MDG-F)",MID(Proc[[#This Row],[Obj]],13,10),"")</f>
        <v/>
      </c>
      <c r="J1774" s="85" t="b">
        <f>Proc[[#This Row],[Requested]]=Proc[[#This Row],[CurrentParent]]</f>
        <v>1</v>
      </c>
      <c r="K1774" s="144" t="str">
        <f>IF(Proc[[#This Row],[Author]]="Marcela Urrego",VLOOKUP(LEFT(Proc[[#This Row],[Requested]],1),Table3[#All],2,0),VLOOKUP(Proc[[#This Row],[Author]],Table4[],2,0))</f>
        <v>LS</v>
      </c>
      <c r="L1774" s="85" t="s">
        <v>2563</v>
      </c>
      <c r="M1774" s="87">
        <v>45803.512962962966</v>
      </c>
      <c r="N1774" s="87">
        <v>45806</v>
      </c>
      <c r="O1774" s="87">
        <v>45806</v>
      </c>
      <c r="P1774" s="90" t="str">
        <f ca="1">IF(Proc[[#This Row],[DaysAgeing]]&gt;5,"yep","on track")</f>
        <v>on track</v>
      </c>
      <c r="Q1774" s="3">
        <f ca="1">IF(Proc[[#This Row],[DateClosed]]="",ABS(NETWORKDAYS(Proc[[#This Row],[DateOpened]],TODAY()))-1,ABS(NETWORKDAYS(Proc[[#This Row],[DateOpened]],Proc[[#This Row],[DateClosed]]))-1)</f>
        <v>3</v>
      </c>
      <c r="R1774" s="90" t="s">
        <v>489</v>
      </c>
      <c r="S1774" s="85"/>
    </row>
    <row r="1775" spans="1:19" hidden="1">
      <c r="A1775" s="89" t="s">
        <v>3568</v>
      </c>
      <c r="B1775" s="149" t="str">
        <f>IFERROR(VLOOKUP(Proc[[#This Row],[App]],Table2[],3,0),"open")</f>
        <v>ok</v>
      </c>
      <c r="C1775" s="89" t="s">
        <v>369</v>
      </c>
      <c r="D1775" t="s">
        <v>3574</v>
      </c>
      <c r="E1775" t="s">
        <v>3570</v>
      </c>
      <c r="F1775" s="117" t="s">
        <v>3570</v>
      </c>
      <c r="G1775" s="89" t="s">
        <v>400</v>
      </c>
      <c r="H1775" s="85" t="str">
        <f>IF(Proc[[#This Row],[type]]="LFF (MDG-F)",MID(Proc[[#This Row],[Obj]],13,10),"")</f>
        <v/>
      </c>
      <c r="J1775" s="85" t="b">
        <f>Proc[[#This Row],[Requested]]=Proc[[#This Row],[CurrentParent]]</f>
        <v>1</v>
      </c>
      <c r="K1775" s="144" t="str">
        <f>IF(Proc[[#This Row],[Author]]="Marcela Urrego",VLOOKUP(LEFT(Proc[[#This Row],[Requested]],1),Table3[#All],2,0),VLOOKUP(Proc[[#This Row],[Author]],Table4[],2,0))</f>
        <v>LS</v>
      </c>
      <c r="L1775" s="85" t="s">
        <v>2563</v>
      </c>
      <c r="M1775" s="87">
        <v>45803.512962962966</v>
      </c>
      <c r="N1775" s="87">
        <v>45806</v>
      </c>
      <c r="O1775" s="87">
        <v>45806</v>
      </c>
      <c r="P1775" s="90" t="str">
        <f ca="1">IF(Proc[[#This Row],[DaysAgeing]]&gt;5,"yep","on track")</f>
        <v>on track</v>
      </c>
      <c r="Q1775" s="3">
        <f ca="1">IF(Proc[[#This Row],[DateClosed]]="",ABS(NETWORKDAYS(Proc[[#This Row],[DateOpened]],TODAY()))-1,ABS(NETWORKDAYS(Proc[[#This Row],[DateOpened]],Proc[[#This Row],[DateClosed]]))-1)</f>
        <v>3</v>
      </c>
      <c r="R1775" s="90" t="s">
        <v>489</v>
      </c>
      <c r="S1775" s="85"/>
    </row>
    <row r="1776" spans="1:19" hidden="1">
      <c r="A1776" t="s">
        <v>3575</v>
      </c>
      <c r="B1776" s="149" t="str">
        <f>IFERROR(VLOOKUP(Proc[[#This Row],[App]],Table2[],3,0),"open")</f>
        <v>ok</v>
      </c>
      <c r="C1776" s="89" t="s">
        <v>369</v>
      </c>
      <c r="D1776" t="s">
        <v>3576</v>
      </c>
      <c r="E1776" t="s">
        <v>3577</v>
      </c>
      <c r="F1776" s="117" t="s">
        <v>3577</v>
      </c>
      <c r="G1776" s="89" t="s">
        <v>400</v>
      </c>
      <c r="H1776" s="85" t="str">
        <f>IF(Proc[[#This Row],[type]]="LFF (MDG-F)",MID(Proc[[#This Row],[Obj]],13,10),"")</f>
        <v/>
      </c>
      <c r="J1776" s="85" t="b">
        <f>Proc[[#This Row],[Requested]]=Proc[[#This Row],[CurrentParent]]</f>
        <v>1</v>
      </c>
      <c r="K1776" s="144" t="str">
        <f>IF(Proc[[#This Row],[Author]]="Marcela Urrego",VLOOKUP(LEFT(Proc[[#This Row],[Requested]],1),Table3[#All],2,0),VLOOKUP(Proc[[#This Row],[Author]],Table4[],2,0))</f>
        <v>MGF</v>
      </c>
      <c r="L1776" s="85" t="s">
        <v>2563</v>
      </c>
      <c r="M1776" s="87">
        <v>45803.669652777775</v>
      </c>
      <c r="N1776" s="87">
        <v>45806</v>
      </c>
      <c r="O1776" s="87">
        <v>45806</v>
      </c>
      <c r="P1776" s="90" t="str">
        <f ca="1">IF(Proc[[#This Row],[DaysAgeing]]&gt;5,"yep","on track")</f>
        <v>on track</v>
      </c>
      <c r="Q1776" s="3">
        <f ca="1">IF(Proc[[#This Row],[DateClosed]]="",ABS(NETWORKDAYS(Proc[[#This Row],[DateOpened]],TODAY()))-1,ABS(NETWORKDAYS(Proc[[#This Row],[DateOpened]],Proc[[#This Row],[DateClosed]]))-1)</f>
        <v>3</v>
      </c>
      <c r="R1776" s="90" t="s">
        <v>1076</v>
      </c>
      <c r="S1776" s="85"/>
    </row>
    <row r="1777" spans="1:19" hidden="1">
      <c r="A1777" s="89" t="s">
        <v>3575</v>
      </c>
      <c r="B1777" s="149" t="str">
        <f>IFERROR(VLOOKUP(Proc[[#This Row],[App]],Table2[],3,0),"open")</f>
        <v>ok</v>
      </c>
      <c r="C1777" s="89" t="s">
        <v>369</v>
      </c>
      <c r="D1777" t="s">
        <v>3578</v>
      </c>
      <c r="E1777" t="s">
        <v>2018</v>
      </c>
      <c r="F1777" s="117" t="s">
        <v>2018</v>
      </c>
      <c r="G1777" s="89" t="s">
        <v>400</v>
      </c>
      <c r="H1777" s="85" t="str">
        <f>IF(Proc[[#This Row],[type]]="LFF (MDG-F)",MID(Proc[[#This Row],[Obj]],13,10),"")</f>
        <v/>
      </c>
      <c r="J1777" s="85" t="b">
        <f>Proc[[#This Row],[Requested]]=Proc[[#This Row],[CurrentParent]]</f>
        <v>1</v>
      </c>
      <c r="K1777" s="144" t="str">
        <f>IF(Proc[[#This Row],[Author]]="Marcela Urrego",VLOOKUP(LEFT(Proc[[#This Row],[Requested]],1),Table3[#All],2,0),VLOOKUP(Proc[[#This Row],[Author]],Table4[],2,0))</f>
        <v>MGF</v>
      </c>
      <c r="L1777" s="85" t="s">
        <v>2563</v>
      </c>
      <c r="M1777" s="87">
        <v>45803.669652777775</v>
      </c>
      <c r="N1777" s="87">
        <v>45806</v>
      </c>
      <c r="O1777" s="87">
        <v>45806</v>
      </c>
      <c r="P1777" s="90" t="str">
        <f ca="1">IF(Proc[[#This Row],[DaysAgeing]]&gt;5,"yep","on track")</f>
        <v>on track</v>
      </c>
      <c r="Q1777" s="3">
        <f ca="1">IF(Proc[[#This Row],[DateClosed]]="",ABS(NETWORKDAYS(Proc[[#This Row],[DateOpened]],TODAY()))-1,ABS(NETWORKDAYS(Proc[[#This Row],[DateOpened]],Proc[[#This Row],[DateClosed]]))-1)</f>
        <v>3</v>
      </c>
      <c r="R1777" s="90" t="s">
        <v>1076</v>
      </c>
      <c r="S1777" s="85"/>
    </row>
    <row r="1778" spans="1:19" hidden="1">
      <c r="A1778" s="89" t="s">
        <v>3575</v>
      </c>
      <c r="B1778" s="149" t="str">
        <f>IFERROR(VLOOKUP(Proc[[#This Row],[App]],Table2[],3,0),"open")</f>
        <v>ok</v>
      </c>
      <c r="C1778" s="89" t="s">
        <v>369</v>
      </c>
      <c r="D1778" t="s">
        <v>3579</v>
      </c>
      <c r="E1778" t="s">
        <v>2016</v>
      </c>
      <c r="F1778" s="117" t="s">
        <v>2016</v>
      </c>
      <c r="G1778" s="89" t="s">
        <v>400</v>
      </c>
      <c r="H1778" s="85" t="str">
        <f>IF(Proc[[#This Row],[type]]="LFF (MDG-F)",MID(Proc[[#This Row],[Obj]],13,10),"")</f>
        <v/>
      </c>
      <c r="J1778" s="85" t="b">
        <f>Proc[[#This Row],[Requested]]=Proc[[#This Row],[CurrentParent]]</f>
        <v>1</v>
      </c>
      <c r="K1778" s="144" t="str">
        <f>IF(Proc[[#This Row],[Author]]="Marcela Urrego",VLOOKUP(LEFT(Proc[[#This Row],[Requested]],1),Table3[#All],2,0),VLOOKUP(Proc[[#This Row],[Author]],Table4[],2,0))</f>
        <v>MGF</v>
      </c>
      <c r="L1778" s="85" t="s">
        <v>2563</v>
      </c>
      <c r="M1778" s="87">
        <v>45803.669652777775</v>
      </c>
      <c r="N1778" s="87">
        <v>45806</v>
      </c>
      <c r="O1778" s="87">
        <v>45806</v>
      </c>
      <c r="P1778" s="90" t="str">
        <f ca="1">IF(Proc[[#This Row],[DaysAgeing]]&gt;5,"yep","on track")</f>
        <v>on track</v>
      </c>
      <c r="Q1778" s="3">
        <f ca="1">IF(Proc[[#This Row],[DateClosed]]="",ABS(NETWORKDAYS(Proc[[#This Row],[DateOpened]],TODAY()))-1,ABS(NETWORKDAYS(Proc[[#This Row],[DateOpened]],Proc[[#This Row],[DateClosed]]))-1)</f>
        <v>3</v>
      </c>
      <c r="R1778" s="90" t="s">
        <v>1076</v>
      </c>
      <c r="S1778" s="85"/>
    </row>
    <row r="1779" spans="1:19" hidden="1">
      <c r="A1779" s="89" t="s">
        <v>3575</v>
      </c>
      <c r="B1779" s="149" t="str">
        <f>IFERROR(VLOOKUP(Proc[[#This Row],[App]],Table2[],3,0),"open")</f>
        <v>ok</v>
      </c>
      <c r="C1779" s="89" t="s">
        <v>369</v>
      </c>
      <c r="D1779" t="s">
        <v>3580</v>
      </c>
      <c r="E1779" t="s">
        <v>2016</v>
      </c>
      <c r="F1779" s="117" t="s">
        <v>2016</v>
      </c>
      <c r="G1779" s="89" t="s">
        <v>400</v>
      </c>
      <c r="H1779" s="85" t="str">
        <f>IF(Proc[[#This Row],[type]]="LFF (MDG-F)",MID(Proc[[#This Row],[Obj]],13,10),"")</f>
        <v/>
      </c>
      <c r="J1779" s="85" t="b">
        <f>Proc[[#This Row],[Requested]]=Proc[[#This Row],[CurrentParent]]</f>
        <v>1</v>
      </c>
      <c r="K1779" s="144" t="str">
        <f>IF(Proc[[#This Row],[Author]]="Marcela Urrego",VLOOKUP(LEFT(Proc[[#This Row],[Requested]],1),Table3[#All],2,0),VLOOKUP(Proc[[#This Row],[Author]],Table4[],2,0))</f>
        <v>MGF</v>
      </c>
      <c r="L1779" s="85" t="s">
        <v>2563</v>
      </c>
      <c r="M1779" s="87">
        <v>45803.669652777775</v>
      </c>
      <c r="N1779" s="87">
        <v>45806</v>
      </c>
      <c r="O1779" s="87">
        <v>45806</v>
      </c>
      <c r="P1779" s="90" t="str">
        <f ca="1">IF(Proc[[#This Row],[DaysAgeing]]&gt;5,"yep","on track")</f>
        <v>on track</v>
      </c>
      <c r="Q1779" s="3">
        <f ca="1">IF(Proc[[#This Row],[DateClosed]]="",ABS(NETWORKDAYS(Proc[[#This Row],[DateOpened]],TODAY()))-1,ABS(NETWORKDAYS(Proc[[#This Row],[DateOpened]],Proc[[#This Row],[DateClosed]]))-1)</f>
        <v>3</v>
      </c>
      <c r="R1779" s="90" t="s">
        <v>1076</v>
      </c>
      <c r="S1779" s="85"/>
    </row>
    <row r="1780" spans="1:19" hidden="1">
      <c r="A1780" s="89" t="s">
        <v>3575</v>
      </c>
      <c r="B1780" s="149" t="str">
        <f>IFERROR(VLOOKUP(Proc[[#This Row],[App]],Table2[],3,0),"open")</f>
        <v>ok</v>
      </c>
      <c r="C1780" s="89" t="s">
        <v>369</v>
      </c>
      <c r="D1780" t="s">
        <v>3581</v>
      </c>
      <c r="E1780" t="s">
        <v>2016</v>
      </c>
      <c r="F1780" s="117" t="s">
        <v>2016</v>
      </c>
      <c r="G1780" s="89" t="s">
        <v>400</v>
      </c>
      <c r="H1780" s="85" t="str">
        <f>IF(Proc[[#This Row],[type]]="LFF (MDG-F)",MID(Proc[[#This Row],[Obj]],13,10),"")</f>
        <v/>
      </c>
      <c r="J1780" s="85" t="b">
        <f>Proc[[#This Row],[Requested]]=Proc[[#This Row],[CurrentParent]]</f>
        <v>1</v>
      </c>
      <c r="K1780" s="144" t="str">
        <f>IF(Proc[[#This Row],[Author]]="Marcela Urrego",VLOOKUP(LEFT(Proc[[#This Row],[Requested]],1),Table3[#All],2,0),VLOOKUP(Proc[[#This Row],[Author]],Table4[],2,0))</f>
        <v>MGF</v>
      </c>
      <c r="L1780" s="85" t="s">
        <v>2563</v>
      </c>
      <c r="M1780" s="87">
        <v>45803.669652777775</v>
      </c>
      <c r="N1780" s="87">
        <v>45806</v>
      </c>
      <c r="O1780" s="87">
        <v>45806</v>
      </c>
      <c r="P1780" s="90" t="str">
        <f ca="1">IF(Proc[[#This Row],[DaysAgeing]]&gt;5,"yep","on track")</f>
        <v>on track</v>
      </c>
      <c r="Q1780" s="3">
        <f ca="1">IF(Proc[[#This Row],[DateClosed]]="",ABS(NETWORKDAYS(Proc[[#This Row],[DateOpened]],TODAY()))-1,ABS(NETWORKDAYS(Proc[[#This Row],[DateOpened]],Proc[[#This Row],[DateClosed]]))-1)</f>
        <v>3</v>
      </c>
      <c r="R1780" s="90" t="s">
        <v>1076</v>
      </c>
      <c r="S1780" s="85"/>
    </row>
    <row r="1781" spans="1:19" hidden="1">
      <c r="A1781" s="89" t="s">
        <v>3575</v>
      </c>
      <c r="B1781" s="149" t="str">
        <f>IFERROR(VLOOKUP(Proc[[#This Row],[App]],Table2[],3,0),"open")</f>
        <v>ok</v>
      </c>
      <c r="C1781" s="89" t="s">
        <v>369</v>
      </c>
      <c r="D1781" t="s">
        <v>3582</v>
      </c>
      <c r="E1781" t="s">
        <v>2016</v>
      </c>
      <c r="F1781" s="117" t="s">
        <v>2016</v>
      </c>
      <c r="G1781" s="89" t="s">
        <v>400</v>
      </c>
      <c r="H1781" s="85" t="str">
        <f>IF(Proc[[#This Row],[type]]="LFF (MDG-F)",MID(Proc[[#This Row],[Obj]],13,10),"")</f>
        <v/>
      </c>
      <c r="J1781" s="85" t="b">
        <f>Proc[[#This Row],[Requested]]=Proc[[#This Row],[CurrentParent]]</f>
        <v>1</v>
      </c>
      <c r="K1781" s="144" t="str">
        <f>IF(Proc[[#This Row],[Author]]="Marcela Urrego",VLOOKUP(LEFT(Proc[[#This Row],[Requested]],1),Table3[#All],2,0),VLOOKUP(Proc[[#This Row],[Author]],Table4[],2,0))</f>
        <v>MGF</v>
      </c>
      <c r="L1781" s="85" t="s">
        <v>2563</v>
      </c>
      <c r="M1781" s="87">
        <v>45803.669652777775</v>
      </c>
      <c r="N1781" s="87">
        <v>45806</v>
      </c>
      <c r="O1781" s="87">
        <v>45806</v>
      </c>
      <c r="P1781" s="90" t="str">
        <f ca="1">IF(Proc[[#This Row],[DaysAgeing]]&gt;5,"yep","on track")</f>
        <v>on track</v>
      </c>
      <c r="Q1781" s="3">
        <f ca="1">IF(Proc[[#This Row],[DateClosed]]="",ABS(NETWORKDAYS(Proc[[#This Row],[DateOpened]],TODAY()))-1,ABS(NETWORKDAYS(Proc[[#This Row],[DateOpened]],Proc[[#This Row],[DateClosed]]))-1)</f>
        <v>3</v>
      </c>
      <c r="R1781" s="90" t="s">
        <v>1076</v>
      </c>
      <c r="S1781" s="85"/>
    </row>
    <row r="1782" spans="1:19" hidden="1">
      <c r="A1782" s="89" t="s">
        <v>3575</v>
      </c>
      <c r="B1782" s="149" t="str">
        <f>IFERROR(VLOOKUP(Proc[[#This Row],[App]],Table2[],3,0),"open")</f>
        <v>ok</v>
      </c>
      <c r="C1782" s="89" t="s">
        <v>369</v>
      </c>
      <c r="D1782" t="s">
        <v>3583</v>
      </c>
      <c r="E1782" t="s">
        <v>2016</v>
      </c>
      <c r="F1782" s="117" t="s">
        <v>2016</v>
      </c>
      <c r="G1782" s="89" t="s">
        <v>400</v>
      </c>
      <c r="H1782" s="85" t="str">
        <f>IF(Proc[[#This Row],[type]]="LFF (MDG-F)",MID(Proc[[#This Row],[Obj]],13,10),"")</f>
        <v/>
      </c>
      <c r="J1782" s="85" t="b">
        <f>Proc[[#This Row],[Requested]]=Proc[[#This Row],[CurrentParent]]</f>
        <v>1</v>
      </c>
      <c r="K1782" s="144" t="str">
        <f>IF(Proc[[#This Row],[Author]]="Marcela Urrego",VLOOKUP(LEFT(Proc[[#This Row],[Requested]],1),Table3[#All],2,0),VLOOKUP(Proc[[#This Row],[Author]],Table4[],2,0))</f>
        <v>MGF</v>
      </c>
      <c r="L1782" s="85" t="s">
        <v>2563</v>
      </c>
      <c r="M1782" s="87">
        <v>45803.669652777775</v>
      </c>
      <c r="N1782" s="87">
        <v>45806</v>
      </c>
      <c r="O1782" s="87">
        <v>45806</v>
      </c>
      <c r="P1782" s="90" t="str">
        <f ca="1">IF(Proc[[#This Row],[DaysAgeing]]&gt;5,"yep","on track")</f>
        <v>on track</v>
      </c>
      <c r="Q1782" s="3">
        <f ca="1">IF(Proc[[#This Row],[DateClosed]]="",ABS(NETWORKDAYS(Proc[[#This Row],[DateOpened]],TODAY()))-1,ABS(NETWORKDAYS(Proc[[#This Row],[DateOpened]],Proc[[#This Row],[DateClosed]]))-1)</f>
        <v>3</v>
      </c>
      <c r="R1782" s="90" t="s">
        <v>1076</v>
      </c>
      <c r="S1782" s="85"/>
    </row>
    <row r="1783" spans="1:19" hidden="1">
      <c r="A1783" s="89" t="s">
        <v>3575</v>
      </c>
      <c r="B1783" s="149" t="str">
        <f>IFERROR(VLOOKUP(Proc[[#This Row],[App]],Table2[],3,0),"open")</f>
        <v>ok</v>
      </c>
      <c r="C1783" s="89" t="s">
        <v>369</v>
      </c>
      <c r="D1783" t="s">
        <v>3584</v>
      </c>
      <c r="E1783" t="s">
        <v>2016</v>
      </c>
      <c r="F1783" s="117" t="s">
        <v>2016</v>
      </c>
      <c r="G1783" s="89" t="s">
        <v>400</v>
      </c>
      <c r="H1783" s="85" t="str">
        <f>IF(Proc[[#This Row],[type]]="LFF (MDG-F)",MID(Proc[[#This Row],[Obj]],13,10),"")</f>
        <v/>
      </c>
      <c r="J1783" s="85" t="b">
        <f>Proc[[#This Row],[Requested]]=Proc[[#This Row],[CurrentParent]]</f>
        <v>1</v>
      </c>
      <c r="K1783" s="144" t="str">
        <f>IF(Proc[[#This Row],[Author]]="Marcela Urrego",VLOOKUP(LEFT(Proc[[#This Row],[Requested]],1),Table3[#All],2,0),VLOOKUP(Proc[[#This Row],[Author]],Table4[],2,0))</f>
        <v>MGF</v>
      </c>
      <c r="L1783" s="85" t="s">
        <v>2563</v>
      </c>
      <c r="M1783" s="87">
        <v>45803.669652777775</v>
      </c>
      <c r="N1783" s="87">
        <v>45806</v>
      </c>
      <c r="O1783" s="87">
        <v>45806</v>
      </c>
      <c r="P1783" s="90" t="str">
        <f ca="1">IF(Proc[[#This Row],[DaysAgeing]]&gt;5,"yep","on track")</f>
        <v>on track</v>
      </c>
      <c r="Q1783" s="3">
        <f ca="1">IF(Proc[[#This Row],[DateClosed]]="",ABS(NETWORKDAYS(Proc[[#This Row],[DateOpened]],TODAY()))-1,ABS(NETWORKDAYS(Proc[[#This Row],[DateOpened]],Proc[[#This Row],[DateClosed]]))-1)</f>
        <v>3</v>
      </c>
      <c r="R1783" s="90" t="s">
        <v>1076</v>
      </c>
      <c r="S1783" s="85"/>
    </row>
    <row r="1784" spans="1:19" hidden="1">
      <c r="A1784" s="89" t="s">
        <v>3575</v>
      </c>
      <c r="B1784" s="149" t="str">
        <f>IFERROR(VLOOKUP(Proc[[#This Row],[App]],Table2[],3,0),"open")</f>
        <v>ok</v>
      </c>
      <c r="C1784" s="89" t="s">
        <v>369</v>
      </c>
      <c r="D1784" t="s">
        <v>3585</v>
      </c>
      <c r="E1784" t="s">
        <v>3586</v>
      </c>
      <c r="F1784" s="117" t="s">
        <v>3586</v>
      </c>
      <c r="G1784" s="89" t="s">
        <v>400</v>
      </c>
      <c r="H1784" s="85" t="str">
        <f>IF(Proc[[#This Row],[type]]="LFF (MDG-F)",MID(Proc[[#This Row],[Obj]],13,10),"")</f>
        <v/>
      </c>
      <c r="J1784" s="85" t="b">
        <f>Proc[[#This Row],[Requested]]=Proc[[#This Row],[CurrentParent]]</f>
        <v>1</v>
      </c>
      <c r="K1784" s="144" t="str">
        <f>IF(Proc[[#This Row],[Author]]="Marcela Urrego",VLOOKUP(LEFT(Proc[[#This Row],[Requested]],1),Table3[#All],2,0),VLOOKUP(Proc[[#This Row],[Author]],Table4[],2,0))</f>
        <v>MGF</v>
      </c>
      <c r="L1784" s="85" t="s">
        <v>2563</v>
      </c>
      <c r="M1784" s="87">
        <v>45803.669652777775</v>
      </c>
      <c r="N1784" s="87">
        <v>45806</v>
      </c>
      <c r="O1784" s="87">
        <v>45806</v>
      </c>
      <c r="P1784" s="90" t="str">
        <f ca="1">IF(Proc[[#This Row],[DaysAgeing]]&gt;5,"yep","on track")</f>
        <v>on track</v>
      </c>
      <c r="Q1784" s="3">
        <f ca="1">IF(Proc[[#This Row],[DateClosed]]="",ABS(NETWORKDAYS(Proc[[#This Row],[DateOpened]],TODAY()))-1,ABS(NETWORKDAYS(Proc[[#This Row],[DateOpened]],Proc[[#This Row],[DateClosed]]))-1)</f>
        <v>3</v>
      </c>
      <c r="R1784" s="90" t="s">
        <v>1076</v>
      </c>
      <c r="S1784" s="85"/>
    </row>
    <row r="1785" spans="1:19" hidden="1">
      <c r="A1785" s="89" t="s">
        <v>3575</v>
      </c>
      <c r="B1785" s="149" t="str">
        <f>IFERROR(VLOOKUP(Proc[[#This Row],[App]],Table2[],3,0),"open")</f>
        <v>ok</v>
      </c>
      <c r="C1785" s="89" t="s">
        <v>369</v>
      </c>
      <c r="D1785" t="s">
        <v>3587</v>
      </c>
      <c r="E1785" t="s">
        <v>1214</v>
      </c>
      <c r="F1785" s="117" t="s">
        <v>1214</v>
      </c>
      <c r="G1785" s="89" t="s">
        <v>400</v>
      </c>
      <c r="H1785" s="85" t="str">
        <f>IF(Proc[[#This Row],[type]]="LFF (MDG-F)",MID(Proc[[#This Row],[Obj]],13,10),"")</f>
        <v/>
      </c>
      <c r="J1785" s="85" t="b">
        <f>Proc[[#This Row],[Requested]]=Proc[[#This Row],[CurrentParent]]</f>
        <v>1</v>
      </c>
      <c r="K1785" s="144" t="str">
        <f>IF(Proc[[#This Row],[Author]]="Marcela Urrego",VLOOKUP(LEFT(Proc[[#This Row],[Requested]],1),Table3[#All],2,0),VLOOKUP(Proc[[#This Row],[Author]],Table4[],2,0))</f>
        <v>MGF</v>
      </c>
      <c r="L1785" s="85" t="s">
        <v>2563</v>
      </c>
      <c r="M1785" s="87">
        <v>45803.669652777775</v>
      </c>
      <c r="N1785" s="87">
        <v>45806</v>
      </c>
      <c r="O1785" s="87">
        <v>45806</v>
      </c>
      <c r="P1785" s="90" t="str">
        <f ca="1">IF(Proc[[#This Row],[DaysAgeing]]&gt;5,"yep","on track")</f>
        <v>on track</v>
      </c>
      <c r="Q1785" s="3">
        <f ca="1">IF(Proc[[#This Row],[DateClosed]]="",ABS(NETWORKDAYS(Proc[[#This Row],[DateOpened]],TODAY()))-1,ABS(NETWORKDAYS(Proc[[#This Row],[DateOpened]],Proc[[#This Row],[DateClosed]]))-1)</f>
        <v>3</v>
      </c>
      <c r="R1785" s="90" t="s">
        <v>1076</v>
      </c>
      <c r="S1785" s="85"/>
    </row>
    <row r="1786" spans="1:19" hidden="1">
      <c r="A1786" s="89" t="s">
        <v>3575</v>
      </c>
      <c r="B1786" s="149" t="str">
        <f>IFERROR(VLOOKUP(Proc[[#This Row],[App]],Table2[],3,0),"open")</f>
        <v>ok</v>
      </c>
      <c r="C1786" s="89" t="s">
        <v>369</v>
      </c>
      <c r="D1786" t="s">
        <v>3588</v>
      </c>
      <c r="E1786" t="s">
        <v>3589</v>
      </c>
      <c r="F1786" s="117" t="s">
        <v>3589</v>
      </c>
      <c r="G1786" s="89" t="s">
        <v>400</v>
      </c>
      <c r="H1786" s="85" t="str">
        <f>IF(Proc[[#This Row],[type]]="LFF (MDG-F)",MID(Proc[[#This Row],[Obj]],13,10),"")</f>
        <v/>
      </c>
      <c r="J1786" s="85" t="b">
        <f>Proc[[#This Row],[Requested]]=Proc[[#This Row],[CurrentParent]]</f>
        <v>1</v>
      </c>
      <c r="K1786" s="144" t="str">
        <f>IF(Proc[[#This Row],[Author]]="Marcela Urrego",VLOOKUP(LEFT(Proc[[#This Row],[Requested]],1),Table3[#All],2,0),VLOOKUP(Proc[[#This Row],[Author]],Table4[],2,0))</f>
        <v>MGF</v>
      </c>
      <c r="L1786" s="85" t="s">
        <v>2563</v>
      </c>
      <c r="M1786" s="87">
        <v>45803.669652777775</v>
      </c>
      <c r="N1786" s="87">
        <v>45806</v>
      </c>
      <c r="O1786" s="87">
        <v>45806</v>
      </c>
      <c r="P1786" s="90" t="str">
        <f ca="1">IF(Proc[[#This Row],[DaysAgeing]]&gt;5,"yep","on track")</f>
        <v>on track</v>
      </c>
      <c r="Q1786" s="3">
        <f ca="1">IF(Proc[[#This Row],[DateClosed]]="",ABS(NETWORKDAYS(Proc[[#This Row],[DateOpened]],TODAY()))-1,ABS(NETWORKDAYS(Proc[[#This Row],[DateOpened]],Proc[[#This Row],[DateClosed]]))-1)</f>
        <v>3</v>
      </c>
      <c r="R1786" s="90" t="s">
        <v>1076</v>
      </c>
      <c r="S1786" s="85"/>
    </row>
    <row r="1787" spans="1:19" hidden="1">
      <c r="A1787" s="89" t="s">
        <v>3575</v>
      </c>
      <c r="B1787" s="149" t="str">
        <f>IFERROR(VLOOKUP(Proc[[#This Row],[App]],Table2[],3,0),"open")</f>
        <v>ok</v>
      </c>
      <c r="C1787" s="89" t="s">
        <v>369</v>
      </c>
      <c r="D1787" t="s">
        <v>3590</v>
      </c>
      <c r="E1787" t="s">
        <v>419</v>
      </c>
      <c r="F1787" s="117" t="s">
        <v>419</v>
      </c>
      <c r="G1787" s="89" t="s">
        <v>400</v>
      </c>
      <c r="H1787" s="85" t="str">
        <f>IF(Proc[[#This Row],[type]]="LFF (MDG-F)",MID(Proc[[#This Row],[Obj]],13,10),"")</f>
        <v/>
      </c>
      <c r="J1787" s="85" t="b">
        <f>Proc[[#This Row],[Requested]]=Proc[[#This Row],[CurrentParent]]</f>
        <v>1</v>
      </c>
      <c r="K1787" s="144" t="str">
        <f>IF(Proc[[#This Row],[Author]]="Marcela Urrego",VLOOKUP(LEFT(Proc[[#This Row],[Requested]],1),Table3[#All],2,0),VLOOKUP(Proc[[#This Row],[Author]],Table4[],2,0))</f>
        <v>MGF</v>
      </c>
      <c r="L1787" s="85" t="s">
        <v>2563</v>
      </c>
      <c r="M1787" s="87">
        <v>45803.669652777775</v>
      </c>
      <c r="N1787" s="87">
        <v>45806</v>
      </c>
      <c r="O1787" s="87">
        <v>45806</v>
      </c>
      <c r="P1787" s="90" t="str">
        <f ca="1">IF(Proc[[#This Row],[DaysAgeing]]&gt;5,"yep","on track")</f>
        <v>on track</v>
      </c>
      <c r="Q1787" s="3">
        <f ca="1">IF(Proc[[#This Row],[DateClosed]]="",ABS(NETWORKDAYS(Proc[[#This Row],[DateOpened]],TODAY()))-1,ABS(NETWORKDAYS(Proc[[#This Row],[DateOpened]],Proc[[#This Row],[DateClosed]]))-1)</f>
        <v>3</v>
      </c>
      <c r="R1787" s="90" t="s">
        <v>1076</v>
      </c>
      <c r="S1787" s="85"/>
    </row>
    <row r="1788" spans="1:19" hidden="1">
      <c r="A1788" s="89" t="s">
        <v>3575</v>
      </c>
      <c r="B1788" s="149" t="str">
        <f>IFERROR(VLOOKUP(Proc[[#This Row],[App]],Table2[],3,0),"open")</f>
        <v>ok</v>
      </c>
      <c r="C1788" s="89" t="s">
        <v>369</v>
      </c>
      <c r="D1788" t="s">
        <v>3591</v>
      </c>
      <c r="E1788" t="s">
        <v>419</v>
      </c>
      <c r="F1788" s="117" t="s">
        <v>419</v>
      </c>
      <c r="G1788" s="89" t="s">
        <v>400</v>
      </c>
      <c r="H1788" s="85" t="str">
        <f>IF(Proc[[#This Row],[type]]="LFF (MDG-F)",MID(Proc[[#This Row],[Obj]],13,10),"")</f>
        <v/>
      </c>
      <c r="J1788" s="85" t="b">
        <f>Proc[[#This Row],[Requested]]=Proc[[#This Row],[CurrentParent]]</f>
        <v>1</v>
      </c>
      <c r="K1788" s="144" t="str">
        <f>IF(Proc[[#This Row],[Author]]="Marcela Urrego",VLOOKUP(LEFT(Proc[[#This Row],[Requested]],1),Table3[#All],2,0),VLOOKUP(Proc[[#This Row],[Author]],Table4[],2,0))</f>
        <v>MGF</v>
      </c>
      <c r="L1788" s="85" t="s">
        <v>2563</v>
      </c>
      <c r="M1788" s="87">
        <v>45803.669652777775</v>
      </c>
      <c r="N1788" s="87">
        <v>45806</v>
      </c>
      <c r="O1788" s="87">
        <v>45806</v>
      </c>
      <c r="P1788" s="90" t="str">
        <f ca="1">IF(Proc[[#This Row],[DaysAgeing]]&gt;5,"yep","on track")</f>
        <v>on track</v>
      </c>
      <c r="Q1788" s="3">
        <f ca="1">IF(Proc[[#This Row],[DateClosed]]="",ABS(NETWORKDAYS(Proc[[#This Row],[DateOpened]],TODAY()))-1,ABS(NETWORKDAYS(Proc[[#This Row],[DateOpened]],Proc[[#This Row],[DateClosed]]))-1)</f>
        <v>3</v>
      </c>
      <c r="R1788" s="90" t="s">
        <v>1076</v>
      </c>
      <c r="S1788" s="85"/>
    </row>
    <row r="1789" spans="1:19" hidden="1">
      <c r="A1789" s="89" t="s">
        <v>3575</v>
      </c>
      <c r="B1789" s="149" t="str">
        <f>IFERROR(VLOOKUP(Proc[[#This Row],[App]],Table2[],3,0),"open")</f>
        <v>ok</v>
      </c>
      <c r="C1789" s="89" t="s">
        <v>369</v>
      </c>
      <c r="D1789" t="s">
        <v>3592</v>
      </c>
      <c r="E1789" t="s">
        <v>419</v>
      </c>
      <c r="F1789" s="117" t="s">
        <v>419</v>
      </c>
      <c r="G1789" s="89" t="s">
        <v>400</v>
      </c>
      <c r="H1789" s="85" t="str">
        <f>IF(Proc[[#This Row],[type]]="LFF (MDG-F)",MID(Proc[[#This Row],[Obj]],13,10),"")</f>
        <v/>
      </c>
      <c r="J1789" s="85" t="b">
        <f>Proc[[#This Row],[Requested]]=Proc[[#This Row],[CurrentParent]]</f>
        <v>1</v>
      </c>
      <c r="K1789" s="144" t="str">
        <f>IF(Proc[[#This Row],[Author]]="Marcela Urrego",VLOOKUP(LEFT(Proc[[#This Row],[Requested]],1),Table3[#All],2,0),VLOOKUP(Proc[[#This Row],[Author]],Table4[],2,0))</f>
        <v>MGF</v>
      </c>
      <c r="L1789" s="85" t="s">
        <v>2563</v>
      </c>
      <c r="M1789" s="87">
        <v>45803.669652777775</v>
      </c>
      <c r="N1789" s="87">
        <v>45806</v>
      </c>
      <c r="O1789" s="87">
        <v>45806</v>
      </c>
      <c r="P1789" s="90" t="str">
        <f ca="1">IF(Proc[[#This Row],[DaysAgeing]]&gt;5,"yep","on track")</f>
        <v>on track</v>
      </c>
      <c r="Q1789" s="3">
        <f ca="1">IF(Proc[[#This Row],[DateClosed]]="",ABS(NETWORKDAYS(Proc[[#This Row],[DateOpened]],TODAY()))-1,ABS(NETWORKDAYS(Proc[[#This Row],[DateOpened]],Proc[[#This Row],[DateClosed]]))-1)</f>
        <v>3</v>
      </c>
      <c r="R1789" s="90" t="s">
        <v>1076</v>
      </c>
      <c r="S1789" s="85"/>
    </row>
    <row r="1790" spans="1:19" hidden="1">
      <c r="A1790" t="s">
        <v>3599</v>
      </c>
      <c r="B1790" s="149" t="str">
        <f>IFERROR(VLOOKUP(Proc[[#This Row],[App]],Table2[],3,0),"open")</f>
        <v>ok</v>
      </c>
      <c r="C1790" s="89" t="s">
        <v>369</v>
      </c>
      <c r="D1790" t="s">
        <v>3594</v>
      </c>
      <c r="E1790" t="s">
        <v>3597</v>
      </c>
      <c r="F1790" s="117" t="s">
        <v>3597</v>
      </c>
      <c r="G1790" s="89" t="s">
        <v>400</v>
      </c>
      <c r="H1790" s="85" t="str">
        <f>IF(Proc[[#This Row],[type]]="LFF (MDG-F)",MID(Proc[[#This Row],[Obj]],13,10),"")</f>
        <v/>
      </c>
      <c r="J1790" s="85" t="b">
        <f>Proc[[#This Row],[Requested]]=Proc[[#This Row],[CurrentParent]]</f>
        <v>1</v>
      </c>
      <c r="K1790" s="144" t="str">
        <f>IF(Proc[[#This Row],[Author]]="Marcela Urrego",VLOOKUP(LEFT(Proc[[#This Row],[Requested]],1),Table3[#All],2,0),VLOOKUP(Proc[[#This Row],[Author]],Table4[],2,0))</f>
        <v>HC</v>
      </c>
      <c r="L1790" s="85" t="s">
        <v>2563</v>
      </c>
      <c r="M1790" s="87">
        <v>45805.839305555557</v>
      </c>
      <c r="N1790" s="87">
        <v>45807</v>
      </c>
      <c r="O1790" s="87">
        <v>45807</v>
      </c>
      <c r="P1790" s="90" t="str">
        <f ca="1">IF(Proc[[#This Row],[DaysAgeing]]&gt;5,"yep","on track")</f>
        <v>on track</v>
      </c>
      <c r="Q1790" s="3">
        <f ca="1">IF(Proc[[#This Row],[DateClosed]]="",ABS(NETWORKDAYS(Proc[[#This Row],[DateOpened]],TODAY()))-1,ABS(NETWORKDAYS(Proc[[#This Row],[DateOpened]],Proc[[#This Row],[DateClosed]]))-1)</f>
        <v>2</v>
      </c>
      <c r="R1790" s="90" t="s">
        <v>1013</v>
      </c>
      <c r="S1790" s="85"/>
    </row>
    <row r="1791" spans="1:19" hidden="1">
      <c r="A1791" s="89" t="s">
        <v>3599</v>
      </c>
      <c r="B1791" s="149" t="str">
        <f>IFERROR(VLOOKUP(Proc[[#This Row],[App]],Table2[],3,0),"open")</f>
        <v>ok</v>
      </c>
      <c r="C1791" s="89" t="s">
        <v>369</v>
      </c>
      <c r="D1791" t="s">
        <v>3595</v>
      </c>
      <c r="E1791" t="s">
        <v>3598</v>
      </c>
      <c r="F1791" s="117" t="s">
        <v>3598</v>
      </c>
      <c r="G1791" s="89" t="s">
        <v>400</v>
      </c>
      <c r="H1791" s="85" t="str">
        <f>IF(Proc[[#This Row],[type]]="LFF (MDG-F)",MID(Proc[[#This Row],[Obj]],13,10),"")</f>
        <v/>
      </c>
      <c r="J1791" s="85" t="b">
        <f>Proc[[#This Row],[Requested]]=Proc[[#This Row],[CurrentParent]]</f>
        <v>1</v>
      </c>
      <c r="K1791" s="144" t="str">
        <f>IF(Proc[[#This Row],[Author]]="Marcela Urrego",VLOOKUP(LEFT(Proc[[#This Row],[Requested]],1),Table3[#All],2,0),VLOOKUP(Proc[[#This Row],[Author]],Table4[],2,0))</f>
        <v>HC</v>
      </c>
      <c r="L1791" s="85" t="s">
        <v>2563</v>
      </c>
      <c r="M1791" s="87">
        <v>45805.839305555557</v>
      </c>
      <c r="N1791" s="87">
        <v>45807</v>
      </c>
      <c r="O1791" s="87">
        <v>45807</v>
      </c>
      <c r="P1791" s="90" t="str">
        <f ca="1">IF(Proc[[#This Row],[DaysAgeing]]&gt;5,"yep","on track")</f>
        <v>on track</v>
      </c>
      <c r="Q1791" s="3">
        <f ca="1">IF(Proc[[#This Row],[DateClosed]]="",ABS(NETWORKDAYS(Proc[[#This Row],[DateOpened]],TODAY()))-1,ABS(NETWORKDAYS(Proc[[#This Row],[DateOpened]],Proc[[#This Row],[DateClosed]]))-1)</f>
        <v>2</v>
      </c>
      <c r="R1791" s="90" t="s">
        <v>1013</v>
      </c>
      <c r="S1791" s="85"/>
    </row>
    <row r="1792" spans="1:19" hidden="1">
      <c r="A1792" s="89" t="s">
        <v>3599</v>
      </c>
      <c r="B1792" s="149" t="str">
        <f>IFERROR(VLOOKUP(Proc[[#This Row],[App]],Table2[],3,0),"open")</f>
        <v>ok</v>
      </c>
      <c r="C1792" s="89" t="s">
        <v>369</v>
      </c>
      <c r="D1792" t="s">
        <v>3596</v>
      </c>
      <c r="E1792" t="s">
        <v>3598</v>
      </c>
      <c r="F1792" s="117" t="s">
        <v>3598</v>
      </c>
      <c r="G1792" s="89" t="s">
        <v>400</v>
      </c>
      <c r="H1792" s="85" t="str">
        <f>IF(Proc[[#This Row],[type]]="LFF (MDG-F)",MID(Proc[[#This Row],[Obj]],13,10),"")</f>
        <v/>
      </c>
      <c r="J1792" s="85" t="b">
        <f>Proc[[#This Row],[Requested]]=Proc[[#This Row],[CurrentParent]]</f>
        <v>1</v>
      </c>
      <c r="K1792" s="144" t="str">
        <f>IF(Proc[[#This Row],[Author]]="Marcela Urrego",VLOOKUP(LEFT(Proc[[#This Row],[Requested]],1),Table3[#All],2,0),VLOOKUP(Proc[[#This Row],[Author]],Table4[],2,0))</f>
        <v>HC</v>
      </c>
      <c r="L1792" s="85" t="s">
        <v>2563</v>
      </c>
      <c r="M1792" s="87">
        <v>45805.839305555557</v>
      </c>
      <c r="N1792" s="87">
        <v>45807</v>
      </c>
      <c r="O1792" s="87">
        <v>45807</v>
      </c>
      <c r="P1792" s="90" t="str">
        <f ca="1">IF(Proc[[#This Row],[DaysAgeing]]&gt;5,"yep","on track")</f>
        <v>on track</v>
      </c>
      <c r="Q1792" s="3">
        <f ca="1">IF(Proc[[#This Row],[DateClosed]]="",ABS(NETWORKDAYS(Proc[[#This Row],[DateOpened]],TODAY()))-1,ABS(NETWORKDAYS(Proc[[#This Row],[DateOpened]],Proc[[#This Row],[DateClosed]]))-1)</f>
        <v>2</v>
      </c>
      <c r="R1792" s="90" t="s">
        <v>1013</v>
      </c>
      <c r="S1792" s="85"/>
    </row>
    <row r="1793" spans="1:19" hidden="1">
      <c r="A1793" t="s">
        <v>3600</v>
      </c>
      <c r="B1793" s="149" t="str">
        <f>IFERROR(VLOOKUP(Proc[[#This Row],[App]],Table2[],3,0),"open")</f>
        <v>ok</v>
      </c>
      <c r="C1793" t="s">
        <v>369</v>
      </c>
      <c r="D1793" t="s">
        <v>3601</v>
      </c>
      <c r="E1793" t="s">
        <v>3602</v>
      </c>
      <c r="F1793" s="117" t="s">
        <v>3602</v>
      </c>
      <c r="G1793" t="s">
        <v>400</v>
      </c>
      <c r="H1793" s="85" t="str">
        <f>IF(Proc[[#This Row],[type]]="LFF (MDG-F)",MID(Proc[[#This Row],[Obj]],13,10),"")</f>
        <v/>
      </c>
      <c r="J1793" s="85" t="b">
        <f>Proc[[#This Row],[Requested]]=Proc[[#This Row],[CurrentParent]]</f>
        <v>1</v>
      </c>
      <c r="K1793" s="144" t="str">
        <f>IF(Proc[[#This Row],[Author]]="Marcela Urrego",VLOOKUP(LEFT(Proc[[#This Row],[Requested]],1),Table3[#All],2,0),VLOOKUP(Proc[[#This Row],[Author]],Table4[],2,0))</f>
        <v>HC</v>
      </c>
      <c r="L1793" s="85" t="s">
        <v>2563</v>
      </c>
      <c r="M1793" s="87">
        <v>45806.431597222225</v>
      </c>
      <c r="N1793" s="87">
        <v>45810</v>
      </c>
      <c r="O1793" s="87">
        <v>45810</v>
      </c>
      <c r="P1793" s="90" t="str">
        <f ca="1">IF(Proc[[#This Row],[DaysAgeing]]&gt;5,"yep","on track")</f>
        <v>on track</v>
      </c>
      <c r="Q1793" s="3">
        <f ca="1">IF(Proc[[#This Row],[DateClosed]]="",ABS(NETWORKDAYS(Proc[[#This Row],[DateOpened]],TODAY()))-1,ABS(NETWORKDAYS(Proc[[#This Row],[DateOpened]],Proc[[#This Row],[DateClosed]]))-1)</f>
        <v>2</v>
      </c>
      <c r="R1793" s="90" t="s">
        <v>478</v>
      </c>
      <c r="S1793" s="85"/>
    </row>
    <row r="1794" spans="1:19" hidden="1">
      <c r="A1794" s="89" t="s">
        <v>3600</v>
      </c>
      <c r="B1794" s="149" t="str">
        <f>IFERROR(VLOOKUP(Proc[[#This Row],[App]],Table2[],3,0),"open")</f>
        <v>ok</v>
      </c>
      <c r="C1794" s="89" t="s">
        <v>369</v>
      </c>
      <c r="D1794" t="s">
        <v>3603</v>
      </c>
      <c r="E1794" t="s">
        <v>3602</v>
      </c>
      <c r="F1794" s="117" t="s">
        <v>3602</v>
      </c>
      <c r="G1794" s="89" t="s">
        <v>400</v>
      </c>
      <c r="H1794" s="85" t="str">
        <f>IF(Proc[[#This Row],[type]]="LFF (MDG-F)",MID(Proc[[#This Row],[Obj]],13,10),"")</f>
        <v/>
      </c>
      <c r="J1794" s="85" t="b">
        <f>Proc[[#This Row],[Requested]]=Proc[[#This Row],[CurrentParent]]</f>
        <v>1</v>
      </c>
      <c r="K1794" s="144" t="str">
        <f>IF(Proc[[#This Row],[Author]]="Marcela Urrego",VLOOKUP(LEFT(Proc[[#This Row],[Requested]],1),Table3[#All],2,0),VLOOKUP(Proc[[#This Row],[Author]],Table4[],2,0))</f>
        <v>HC</v>
      </c>
      <c r="L1794" s="125" t="s">
        <v>2563</v>
      </c>
      <c r="M1794" s="87">
        <v>45806.431597222225</v>
      </c>
      <c r="N1794" s="87">
        <v>45810</v>
      </c>
      <c r="O1794" s="87">
        <v>45810</v>
      </c>
      <c r="P1794" s="90" t="str">
        <f ca="1">IF(Proc[[#This Row],[DaysAgeing]]&gt;5,"yep","on track")</f>
        <v>on track</v>
      </c>
      <c r="Q1794" s="3">
        <f ca="1">IF(Proc[[#This Row],[DateClosed]]="",ABS(NETWORKDAYS(Proc[[#This Row],[DateOpened]],TODAY()))-1,ABS(NETWORKDAYS(Proc[[#This Row],[DateOpened]],Proc[[#This Row],[DateClosed]]))-1)</f>
        <v>2</v>
      </c>
      <c r="R1794" s="90" t="s">
        <v>478</v>
      </c>
      <c r="S1794" s="85"/>
    </row>
    <row r="1795" spans="1:19" hidden="1">
      <c r="A1795" s="89" t="s">
        <v>3600</v>
      </c>
      <c r="B1795" s="149" t="str">
        <f>IFERROR(VLOOKUP(Proc[[#This Row],[App]],Table2[],3,0),"open")</f>
        <v>ok</v>
      </c>
      <c r="C1795" s="89" t="s">
        <v>369</v>
      </c>
      <c r="D1795" t="s">
        <v>3604</v>
      </c>
      <c r="E1795" t="s">
        <v>3602</v>
      </c>
      <c r="F1795" s="117" t="s">
        <v>3602</v>
      </c>
      <c r="G1795" s="89" t="s">
        <v>400</v>
      </c>
      <c r="H1795" s="85" t="str">
        <f>IF(Proc[[#This Row],[type]]="LFF (MDG-F)",MID(Proc[[#This Row],[Obj]],13,10),"")</f>
        <v/>
      </c>
      <c r="J1795" s="85" t="b">
        <f>Proc[[#This Row],[Requested]]=Proc[[#This Row],[CurrentParent]]</f>
        <v>1</v>
      </c>
      <c r="K1795" s="144" t="str">
        <f>IF(Proc[[#This Row],[Author]]="Marcela Urrego",VLOOKUP(LEFT(Proc[[#This Row],[Requested]],1),Table3[#All],2,0),VLOOKUP(Proc[[#This Row],[Author]],Table4[],2,0))</f>
        <v>HC</v>
      </c>
      <c r="L1795" s="125" t="s">
        <v>2563</v>
      </c>
      <c r="M1795" s="87">
        <v>45806.431597222225</v>
      </c>
      <c r="N1795" s="87">
        <v>45810</v>
      </c>
      <c r="O1795" s="87">
        <v>45810</v>
      </c>
      <c r="P1795" s="90" t="str">
        <f ca="1">IF(Proc[[#This Row],[DaysAgeing]]&gt;5,"yep","on track")</f>
        <v>on track</v>
      </c>
      <c r="Q1795" s="3">
        <f ca="1">IF(Proc[[#This Row],[DateClosed]]="",ABS(NETWORKDAYS(Proc[[#This Row],[DateOpened]],TODAY()))-1,ABS(NETWORKDAYS(Proc[[#This Row],[DateOpened]],Proc[[#This Row],[DateClosed]]))-1)</f>
        <v>2</v>
      </c>
      <c r="R1795" s="90" t="s">
        <v>478</v>
      </c>
      <c r="S1795" s="85"/>
    </row>
    <row r="1796" spans="1:19" hidden="1">
      <c r="A1796" s="89" t="s">
        <v>3600</v>
      </c>
      <c r="B1796" s="149" t="str">
        <f>IFERROR(VLOOKUP(Proc[[#This Row],[App]],Table2[],3,0),"open")</f>
        <v>ok</v>
      </c>
      <c r="C1796" s="89" t="s">
        <v>369</v>
      </c>
      <c r="D1796" t="s">
        <v>3605</v>
      </c>
      <c r="E1796" t="s">
        <v>3602</v>
      </c>
      <c r="F1796" s="117" t="s">
        <v>3602</v>
      </c>
      <c r="G1796" s="89" t="s">
        <v>400</v>
      </c>
      <c r="H1796" s="85" t="str">
        <f>IF(Proc[[#This Row],[type]]="LFF (MDG-F)",MID(Proc[[#This Row],[Obj]],13,10),"")</f>
        <v/>
      </c>
      <c r="J1796" s="85" t="b">
        <f>Proc[[#This Row],[Requested]]=Proc[[#This Row],[CurrentParent]]</f>
        <v>1</v>
      </c>
      <c r="K1796" s="144" t="str">
        <f>IF(Proc[[#This Row],[Author]]="Marcela Urrego",VLOOKUP(LEFT(Proc[[#This Row],[Requested]],1),Table3[#All],2,0),VLOOKUP(Proc[[#This Row],[Author]],Table4[],2,0))</f>
        <v>HC</v>
      </c>
      <c r="L1796" s="125" t="s">
        <v>2563</v>
      </c>
      <c r="M1796" s="87">
        <v>45806.431597222225</v>
      </c>
      <c r="N1796" s="87">
        <v>45810</v>
      </c>
      <c r="O1796" s="87">
        <v>45810</v>
      </c>
      <c r="P1796" s="90" t="str">
        <f ca="1">IF(Proc[[#This Row],[DaysAgeing]]&gt;5,"yep","on track")</f>
        <v>on track</v>
      </c>
      <c r="Q1796" s="3">
        <f ca="1">IF(Proc[[#This Row],[DateClosed]]="",ABS(NETWORKDAYS(Proc[[#This Row],[DateOpened]],TODAY()))-1,ABS(NETWORKDAYS(Proc[[#This Row],[DateOpened]],Proc[[#This Row],[DateClosed]]))-1)</f>
        <v>2</v>
      </c>
      <c r="R1796" s="90" t="s">
        <v>478</v>
      </c>
      <c r="S1796" s="85"/>
    </row>
    <row r="1797" spans="1:19" hidden="1">
      <c r="A1797" s="89" t="s">
        <v>3600</v>
      </c>
      <c r="B1797" s="149" t="str">
        <f>IFERROR(VLOOKUP(Proc[[#This Row],[App]],Table2[],3,0),"open")</f>
        <v>ok</v>
      </c>
      <c r="C1797" s="89" t="s">
        <v>369</v>
      </c>
      <c r="D1797" t="s">
        <v>3606</v>
      </c>
      <c r="E1797" t="s">
        <v>3602</v>
      </c>
      <c r="F1797" s="117" t="s">
        <v>3602</v>
      </c>
      <c r="G1797" s="89" t="s">
        <v>400</v>
      </c>
      <c r="H1797" s="85" t="str">
        <f>IF(Proc[[#This Row],[type]]="LFF (MDG-F)",MID(Proc[[#This Row],[Obj]],13,10),"")</f>
        <v/>
      </c>
      <c r="J1797" s="85" t="b">
        <f>Proc[[#This Row],[Requested]]=Proc[[#This Row],[CurrentParent]]</f>
        <v>1</v>
      </c>
      <c r="K1797" s="144" t="str">
        <f>IF(Proc[[#This Row],[Author]]="Marcela Urrego",VLOOKUP(LEFT(Proc[[#This Row],[Requested]],1),Table3[#All],2,0),VLOOKUP(Proc[[#This Row],[Author]],Table4[],2,0))</f>
        <v>HC</v>
      </c>
      <c r="L1797" s="125" t="s">
        <v>2563</v>
      </c>
      <c r="M1797" s="87">
        <v>45806.431597222225</v>
      </c>
      <c r="N1797" s="87">
        <v>45810</v>
      </c>
      <c r="O1797" s="87">
        <v>45810</v>
      </c>
      <c r="P1797" s="90" t="str">
        <f ca="1">IF(Proc[[#This Row],[DaysAgeing]]&gt;5,"yep","on track")</f>
        <v>on track</v>
      </c>
      <c r="Q1797" s="3">
        <f ca="1">IF(Proc[[#This Row],[DateClosed]]="",ABS(NETWORKDAYS(Proc[[#This Row],[DateOpened]],TODAY()))-1,ABS(NETWORKDAYS(Proc[[#This Row],[DateOpened]],Proc[[#This Row],[DateClosed]]))-1)</f>
        <v>2</v>
      </c>
      <c r="R1797" s="90" t="s">
        <v>478</v>
      </c>
      <c r="S1797" s="85"/>
    </row>
    <row r="1798" spans="1:19" hidden="1">
      <c r="A1798" s="89" t="s">
        <v>3600</v>
      </c>
      <c r="B1798" s="149" t="str">
        <f>IFERROR(VLOOKUP(Proc[[#This Row],[App]],Table2[],3,0),"open")</f>
        <v>ok</v>
      </c>
      <c r="C1798" s="89" t="s">
        <v>369</v>
      </c>
      <c r="D1798" t="s">
        <v>3607</v>
      </c>
      <c r="E1798" t="s">
        <v>3602</v>
      </c>
      <c r="F1798" s="117" t="s">
        <v>3602</v>
      </c>
      <c r="G1798" s="89" t="s">
        <v>400</v>
      </c>
      <c r="H1798" s="85" t="str">
        <f>IF(Proc[[#This Row],[type]]="LFF (MDG-F)",MID(Proc[[#This Row],[Obj]],13,10),"")</f>
        <v/>
      </c>
      <c r="J1798" s="85" t="b">
        <f>Proc[[#This Row],[Requested]]=Proc[[#This Row],[CurrentParent]]</f>
        <v>1</v>
      </c>
      <c r="K1798" s="144" t="str">
        <f>IF(Proc[[#This Row],[Author]]="Marcela Urrego",VLOOKUP(LEFT(Proc[[#This Row],[Requested]],1),Table3[#All],2,0),VLOOKUP(Proc[[#This Row],[Author]],Table4[],2,0))</f>
        <v>HC</v>
      </c>
      <c r="L1798" s="125" t="s">
        <v>2563</v>
      </c>
      <c r="M1798" s="87">
        <v>45806.431597222225</v>
      </c>
      <c r="N1798" s="87">
        <v>45810</v>
      </c>
      <c r="O1798" s="87">
        <v>45810</v>
      </c>
      <c r="P1798" s="90" t="str">
        <f ca="1">IF(Proc[[#This Row],[DaysAgeing]]&gt;5,"yep","on track")</f>
        <v>on track</v>
      </c>
      <c r="Q1798" s="3">
        <f ca="1">IF(Proc[[#This Row],[DateClosed]]="",ABS(NETWORKDAYS(Proc[[#This Row],[DateOpened]],TODAY()))-1,ABS(NETWORKDAYS(Proc[[#This Row],[DateOpened]],Proc[[#This Row],[DateClosed]]))-1)</f>
        <v>2</v>
      </c>
      <c r="R1798" s="90" t="s">
        <v>478</v>
      </c>
      <c r="S1798" s="85"/>
    </row>
    <row r="1799" spans="1:19" hidden="1">
      <c r="A1799" t="s">
        <v>3608</v>
      </c>
      <c r="B1799" s="149" t="str">
        <f>IFERROR(VLOOKUP(Proc[[#This Row],[App]],Table2[],3,0),"open")</f>
        <v>ok</v>
      </c>
      <c r="C1799" s="89" t="s">
        <v>369</v>
      </c>
      <c r="D1799" t="s">
        <v>3609</v>
      </c>
      <c r="E1799" t="s">
        <v>3614</v>
      </c>
      <c r="F1799" s="117" t="s">
        <v>3614</v>
      </c>
      <c r="G1799" s="89" t="s">
        <v>400</v>
      </c>
      <c r="H1799" s="85" t="str">
        <f>IF(Proc[[#This Row],[type]]="LFF (MDG-F)",MID(Proc[[#This Row],[Obj]],13,10),"")</f>
        <v/>
      </c>
      <c r="J1799" s="85" t="b">
        <f>Proc[[#This Row],[Requested]]=Proc[[#This Row],[CurrentParent]]</f>
        <v>1</v>
      </c>
      <c r="K1799" s="144" t="str">
        <f>IF(Proc[[#This Row],[Author]]="Marcela Urrego",VLOOKUP(LEFT(Proc[[#This Row],[Requested]],1),Table3[#All],2,0),VLOOKUP(Proc[[#This Row],[Author]],Table4[],2,0))</f>
        <v>LS</v>
      </c>
      <c r="L1799" s="125" t="s">
        <v>2563</v>
      </c>
      <c r="M1799" s="87">
        <v>45806.445231481484</v>
      </c>
      <c r="N1799" s="87">
        <v>45810</v>
      </c>
      <c r="O1799" s="87">
        <v>45810</v>
      </c>
      <c r="P1799" s="90" t="str">
        <f ca="1">IF(Proc[[#This Row],[DaysAgeing]]&gt;5,"yep","on track")</f>
        <v>on track</v>
      </c>
      <c r="Q1799" s="3">
        <f ca="1">IF(Proc[[#This Row],[DateClosed]]="",ABS(NETWORKDAYS(Proc[[#This Row],[DateOpened]],TODAY()))-1,ABS(NETWORKDAYS(Proc[[#This Row],[DateOpened]],Proc[[#This Row],[DateClosed]]))-1)</f>
        <v>2</v>
      </c>
      <c r="R1799" s="90" t="s">
        <v>972</v>
      </c>
      <c r="S1799" s="85"/>
    </row>
    <row r="1800" spans="1:19" hidden="1">
      <c r="A1800" s="89" t="s">
        <v>3608</v>
      </c>
      <c r="B1800" s="149" t="str">
        <f>IFERROR(VLOOKUP(Proc[[#This Row],[App]],Table2[],3,0),"open")</f>
        <v>ok</v>
      </c>
      <c r="C1800" s="89" t="s">
        <v>369</v>
      </c>
      <c r="D1800" t="s">
        <v>3610</v>
      </c>
      <c r="E1800" t="s">
        <v>3615</v>
      </c>
      <c r="F1800" s="117" t="s">
        <v>3615</v>
      </c>
      <c r="G1800" s="89" t="s">
        <v>400</v>
      </c>
      <c r="H1800" s="85" t="str">
        <f>IF(Proc[[#This Row],[type]]="LFF (MDG-F)",MID(Proc[[#This Row],[Obj]],13,10),"")</f>
        <v/>
      </c>
      <c r="J1800" s="85" t="b">
        <f>Proc[[#This Row],[Requested]]=Proc[[#This Row],[CurrentParent]]</f>
        <v>1</v>
      </c>
      <c r="K1800" s="144" t="str">
        <f>IF(Proc[[#This Row],[Author]]="Marcela Urrego",VLOOKUP(LEFT(Proc[[#This Row],[Requested]],1),Table3[#All],2,0),VLOOKUP(Proc[[#This Row],[Author]],Table4[],2,0))</f>
        <v>LS</v>
      </c>
      <c r="L1800" s="125" t="s">
        <v>2563</v>
      </c>
      <c r="M1800" s="87">
        <v>45806.445231481484</v>
      </c>
      <c r="N1800" s="87">
        <v>45810</v>
      </c>
      <c r="O1800" s="87">
        <v>45810</v>
      </c>
      <c r="P1800" s="90" t="str">
        <f ca="1">IF(Proc[[#This Row],[DaysAgeing]]&gt;5,"yep","on track")</f>
        <v>on track</v>
      </c>
      <c r="Q1800" s="3">
        <f ca="1">IF(Proc[[#This Row],[DateClosed]]="",ABS(NETWORKDAYS(Proc[[#This Row],[DateOpened]],TODAY()))-1,ABS(NETWORKDAYS(Proc[[#This Row],[DateOpened]],Proc[[#This Row],[DateClosed]]))-1)</f>
        <v>2</v>
      </c>
      <c r="R1800" s="90" t="s">
        <v>972</v>
      </c>
      <c r="S1800" s="85"/>
    </row>
    <row r="1801" spans="1:19" hidden="1">
      <c r="A1801" s="89" t="s">
        <v>3608</v>
      </c>
      <c r="B1801" s="149" t="str">
        <f>IFERROR(VLOOKUP(Proc[[#This Row],[App]],Table2[],3,0),"open")</f>
        <v>ok</v>
      </c>
      <c r="C1801" s="89" t="s">
        <v>369</v>
      </c>
      <c r="D1801" t="s">
        <v>3611</v>
      </c>
      <c r="E1801" t="s">
        <v>3616</v>
      </c>
      <c r="F1801" s="117" t="s">
        <v>3616</v>
      </c>
      <c r="G1801" s="89" t="s">
        <v>400</v>
      </c>
      <c r="H1801" s="85" t="str">
        <f>IF(Proc[[#This Row],[type]]="LFF (MDG-F)",MID(Proc[[#This Row],[Obj]],13,10),"")</f>
        <v/>
      </c>
      <c r="J1801" s="85" t="b">
        <f>Proc[[#This Row],[Requested]]=Proc[[#This Row],[CurrentParent]]</f>
        <v>1</v>
      </c>
      <c r="K1801" s="144" t="str">
        <f>IF(Proc[[#This Row],[Author]]="Marcela Urrego",VLOOKUP(LEFT(Proc[[#This Row],[Requested]],1),Table3[#All],2,0),VLOOKUP(Proc[[#This Row],[Author]],Table4[],2,0))</f>
        <v>LS</v>
      </c>
      <c r="L1801" s="125" t="s">
        <v>2563</v>
      </c>
      <c r="M1801" s="87">
        <v>45806.445231481484</v>
      </c>
      <c r="N1801" s="87">
        <v>45810</v>
      </c>
      <c r="O1801" s="87">
        <v>45810</v>
      </c>
      <c r="P1801" s="90" t="str">
        <f ca="1">IF(Proc[[#This Row],[DaysAgeing]]&gt;5,"yep","on track")</f>
        <v>on track</v>
      </c>
      <c r="Q1801" s="3">
        <f ca="1">IF(Proc[[#This Row],[DateClosed]]="",ABS(NETWORKDAYS(Proc[[#This Row],[DateOpened]],TODAY()))-1,ABS(NETWORKDAYS(Proc[[#This Row],[DateOpened]],Proc[[#This Row],[DateClosed]]))-1)</f>
        <v>2</v>
      </c>
      <c r="R1801" s="90" t="s">
        <v>972</v>
      </c>
      <c r="S1801" s="85"/>
    </row>
    <row r="1802" spans="1:19" hidden="1">
      <c r="A1802" s="89" t="s">
        <v>3608</v>
      </c>
      <c r="B1802" s="149" t="str">
        <f>IFERROR(VLOOKUP(Proc[[#This Row],[App]],Table2[],3,0),"open")</f>
        <v>ok</v>
      </c>
      <c r="C1802" s="89" t="s">
        <v>369</v>
      </c>
      <c r="D1802" t="s">
        <v>3612</v>
      </c>
      <c r="E1802" t="s">
        <v>2206</v>
      </c>
      <c r="F1802" s="117" t="s">
        <v>2206</v>
      </c>
      <c r="G1802" s="89" t="s">
        <v>400</v>
      </c>
      <c r="H1802" s="85" t="str">
        <f>IF(Proc[[#This Row],[type]]="LFF (MDG-F)",MID(Proc[[#This Row],[Obj]],13,10),"")</f>
        <v/>
      </c>
      <c r="J1802" s="85" t="b">
        <f>Proc[[#This Row],[Requested]]=Proc[[#This Row],[CurrentParent]]</f>
        <v>1</v>
      </c>
      <c r="K1802" s="144" t="str">
        <f>IF(Proc[[#This Row],[Author]]="Marcela Urrego",VLOOKUP(LEFT(Proc[[#This Row],[Requested]],1),Table3[#All],2,0),VLOOKUP(Proc[[#This Row],[Author]],Table4[],2,0))</f>
        <v>LS</v>
      </c>
      <c r="L1802" s="125" t="s">
        <v>2563</v>
      </c>
      <c r="M1802" s="87">
        <v>45806.445231481484</v>
      </c>
      <c r="N1802" s="87">
        <v>45810</v>
      </c>
      <c r="O1802" s="87">
        <v>45810</v>
      </c>
      <c r="P1802" s="90" t="str">
        <f ca="1">IF(Proc[[#This Row],[DaysAgeing]]&gt;5,"yep","on track")</f>
        <v>on track</v>
      </c>
      <c r="Q1802" s="3">
        <f ca="1">IF(Proc[[#This Row],[DateClosed]]="",ABS(NETWORKDAYS(Proc[[#This Row],[DateOpened]],TODAY()))-1,ABS(NETWORKDAYS(Proc[[#This Row],[DateOpened]],Proc[[#This Row],[DateClosed]]))-1)</f>
        <v>2</v>
      </c>
      <c r="R1802" s="90" t="s">
        <v>972</v>
      </c>
      <c r="S1802" s="85"/>
    </row>
    <row r="1803" spans="1:19" hidden="1">
      <c r="A1803" s="89" t="s">
        <v>3608</v>
      </c>
      <c r="B1803" s="149" t="str">
        <f>IFERROR(VLOOKUP(Proc[[#This Row],[App]],Table2[],3,0),"open")</f>
        <v>ok</v>
      </c>
      <c r="C1803" s="89" t="s">
        <v>369</v>
      </c>
      <c r="D1803" t="s">
        <v>3613</v>
      </c>
      <c r="E1803" t="s">
        <v>1716</v>
      </c>
      <c r="F1803" s="117" t="s">
        <v>1716</v>
      </c>
      <c r="G1803" s="89" t="s">
        <v>400</v>
      </c>
      <c r="H1803" s="85" t="str">
        <f>IF(Proc[[#This Row],[type]]="LFF (MDG-F)",MID(Proc[[#This Row],[Obj]],13,10),"")</f>
        <v/>
      </c>
      <c r="J1803" s="85" t="b">
        <f>Proc[[#This Row],[Requested]]=Proc[[#This Row],[CurrentParent]]</f>
        <v>1</v>
      </c>
      <c r="K1803" s="144" t="str">
        <f>IF(Proc[[#This Row],[Author]]="Marcela Urrego",VLOOKUP(LEFT(Proc[[#This Row],[Requested]],1),Table3[#All],2,0),VLOOKUP(Proc[[#This Row],[Author]],Table4[],2,0))</f>
        <v>LS</v>
      </c>
      <c r="L1803" s="125" t="s">
        <v>2563</v>
      </c>
      <c r="M1803" s="87">
        <v>45806.445231481484</v>
      </c>
      <c r="N1803" s="87">
        <v>45810</v>
      </c>
      <c r="O1803" s="87">
        <v>45810</v>
      </c>
      <c r="P1803" s="90" t="str">
        <f ca="1">IF(Proc[[#This Row],[DaysAgeing]]&gt;5,"yep","on track")</f>
        <v>on track</v>
      </c>
      <c r="Q1803" s="3">
        <f ca="1">IF(Proc[[#This Row],[DateClosed]]="",ABS(NETWORKDAYS(Proc[[#This Row],[DateOpened]],TODAY()))-1,ABS(NETWORKDAYS(Proc[[#This Row],[DateOpened]],Proc[[#This Row],[DateClosed]]))-1)</f>
        <v>2</v>
      </c>
      <c r="R1803" s="90" t="s">
        <v>972</v>
      </c>
      <c r="S1803" s="85"/>
    </row>
    <row r="1804" spans="1:19" hidden="1">
      <c r="A1804" t="s">
        <v>3619</v>
      </c>
      <c r="B1804" s="149" t="str">
        <f>IFERROR(VLOOKUP(Proc[[#This Row],[App]],Table2[],3,0),"open")</f>
        <v>ok</v>
      </c>
      <c r="C1804" s="89" t="s">
        <v>369</v>
      </c>
      <c r="D1804" t="s">
        <v>3617</v>
      </c>
      <c r="E1804" t="s">
        <v>3618</v>
      </c>
      <c r="F1804" s="117" t="s">
        <v>3618</v>
      </c>
      <c r="G1804" s="89" t="s">
        <v>406</v>
      </c>
      <c r="H1804" s="85" t="str">
        <f>IF(Proc[[#This Row],[type]]="LFF (MDG-F)",MID(Proc[[#This Row],[Obj]],13,10),"")</f>
        <v>DE10B45000</v>
      </c>
      <c r="I1804" t="s">
        <v>3623</v>
      </c>
      <c r="J1804" s="85" t="b">
        <f>Proc[[#This Row],[Requested]]=Proc[[#This Row],[CurrentParent]]</f>
        <v>1</v>
      </c>
      <c r="K1804" s="144" t="str">
        <f>IF(Proc[[#This Row],[Author]]="Marcela Urrego",VLOOKUP(LEFT(Proc[[#This Row],[Requested]],1),Table3[#All],2,0),VLOOKUP(Proc[[#This Row],[Author]],Table4[],2,0))</f>
        <v>LS</v>
      </c>
      <c r="L1804" s="125" t="s">
        <v>2563</v>
      </c>
      <c r="M1804" s="87">
        <v>45806.678356481483</v>
      </c>
      <c r="N1804" s="87">
        <v>45810</v>
      </c>
      <c r="O1804" s="87">
        <v>45810</v>
      </c>
      <c r="P1804" s="90" t="str">
        <f ca="1">IF(Proc[[#This Row],[DaysAgeing]]&gt;5,"yep","on track")</f>
        <v>on track</v>
      </c>
      <c r="Q1804" s="3">
        <f ca="1">IF(Proc[[#This Row],[DateClosed]]="",ABS(NETWORKDAYS(Proc[[#This Row],[DateOpened]],TODAY()))-1,ABS(NETWORKDAYS(Proc[[#This Row],[DateOpened]],Proc[[#This Row],[DateClosed]]))-1)</f>
        <v>2</v>
      </c>
      <c r="R1804" s="90" t="s">
        <v>489</v>
      </c>
      <c r="S1804" s="85"/>
    </row>
    <row r="1805" spans="1:19" hidden="1">
      <c r="A1805" t="s">
        <v>3620</v>
      </c>
      <c r="B1805" s="149" t="str">
        <f>IFERROR(VLOOKUP(Proc[[#This Row],[App]],Table2[],3,0),"open")</f>
        <v>ok</v>
      </c>
      <c r="C1805" s="89" t="s">
        <v>369</v>
      </c>
      <c r="D1805" t="s">
        <v>3621</v>
      </c>
      <c r="E1805" t="s">
        <v>3622</v>
      </c>
      <c r="F1805" s="117" t="s">
        <v>3622</v>
      </c>
      <c r="G1805" s="89" t="s">
        <v>400</v>
      </c>
      <c r="H1805" s="85" t="str">
        <f>IF(Proc[[#This Row],[type]]="LFF (MDG-F)",MID(Proc[[#This Row],[Obj]],13,10),"")</f>
        <v/>
      </c>
      <c r="J1805" s="85" t="b">
        <f>Proc[[#This Row],[Requested]]=Proc[[#This Row],[CurrentParent]]</f>
        <v>1</v>
      </c>
      <c r="K1805" s="144" t="str">
        <f>IF(Proc[[#This Row],[Author]]="Marcela Urrego",VLOOKUP(LEFT(Proc[[#This Row],[Requested]],1),Table3[#All],2,0),VLOOKUP(Proc[[#This Row],[Author]],Table4[],2,0))</f>
        <v>LS</v>
      </c>
      <c r="L1805" s="125" t="s">
        <v>2563</v>
      </c>
      <c r="M1805" s="87">
        <v>45805.495625000003</v>
      </c>
      <c r="N1805" s="87">
        <v>45810</v>
      </c>
      <c r="O1805" s="87">
        <v>45810</v>
      </c>
      <c r="P1805" s="90" t="str">
        <f ca="1">IF(Proc[[#This Row],[DaysAgeing]]&gt;5,"yep","on track")</f>
        <v>on track</v>
      </c>
      <c r="Q1805" s="3">
        <f ca="1">IF(Proc[[#This Row],[DateClosed]]="",ABS(NETWORKDAYS(Proc[[#This Row],[DateOpened]],TODAY()))-1,ABS(NETWORKDAYS(Proc[[#This Row],[DateOpened]],Proc[[#This Row],[DateClosed]]))-1)</f>
        <v>3</v>
      </c>
      <c r="R1805" s="90" t="s">
        <v>1262</v>
      </c>
      <c r="S1805" s="85"/>
    </row>
    <row r="1806" spans="1:19" hidden="1">
      <c r="A1806" t="s">
        <v>3624</v>
      </c>
      <c r="B1806" s="149" t="str">
        <f>IFERROR(VLOOKUP(Proc[[#This Row],[App]],Table2[],3,0),"open")</f>
        <v>ok</v>
      </c>
      <c r="C1806" t="s">
        <v>369</v>
      </c>
      <c r="D1806" t="s">
        <v>3626</v>
      </c>
      <c r="E1806" t="s">
        <v>3625</v>
      </c>
      <c r="F1806" s="117" t="s">
        <v>3625</v>
      </c>
      <c r="G1806" s="89" t="s">
        <v>400</v>
      </c>
      <c r="H1806" s="85" t="str">
        <f>IF(Proc[[#This Row],[type]]="LFF (MDG-F)",MID(Proc[[#This Row],[Obj]],13,10),"")</f>
        <v/>
      </c>
      <c r="J1806" s="85" t="b">
        <f>Proc[[#This Row],[Requested]]=Proc[[#This Row],[CurrentParent]]</f>
        <v>1</v>
      </c>
      <c r="K1806" s="144" t="str">
        <f>IF(Proc[[#This Row],[Author]]="Marcela Urrego",VLOOKUP(LEFT(Proc[[#This Row],[Requested]],1),Table3[#All],2,0),VLOOKUP(Proc[[#This Row],[Author]],Table4[],2,0))</f>
        <v>HC</v>
      </c>
      <c r="L1806" s="125" t="s">
        <v>2563</v>
      </c>
      <c r="M1806" s="90">
        <v>45806.678356481483</v>
      </c>
      <c r="N1806" s="91">
        <v>45810</v>
      </c>
      <c r="O1806" s="91">
        <v>45810</v>
      </c>
      <c r="P1806" s="90" t="str">
        <f ca="1">IF(Proc[[#This Row],[DaysAgeing]]&gt;5,"yep","on track")</f>
        <v>on track</v>
      </c>
      <c r="Q1806" s="3">
        <f ca="1">IF(Proc[[#This Row],[DateClosed]]="",ABS(NETWORKDAYS(Proc[[#This Row],[DateOpened]],TODAY()))-1,ABS(NETWORKDAYS(Proc[[#This Row],[DateOpened]],Proc[[#This Row],[DateClosed]]))-1)</f>
        <v>2</v>
      </c>
      <c r="R1806" s="90" t="s">
        <v>478</v>
      </c>
      <c r="S1806" s="85"/>
    </row>
    <row r="1807" spans="1:19" hidden="1">
      <c r="A1807" t="s">
        <v>3627</v>
      </c>
      <c r="B1807" s="149" t="str">
        <f>IFERROR(VLOOKUP(Proc[[#This Row],[App]],Table2[],3,0),"open")</f>
        <v>ok</v>
      </c>
      <c r="C1807" s="93" t="s">
        <v>369</v>
      </c>
      <c r="D1807" s="92" t="s">
        <v>3630</v>
      </c>
      <c r="E1807" t="s">
        <v>2105</v>
      </c>
      <c r="F1807" s="117" t="s">
        <v>2105</v>
      </c>
      <c r="G1807" s="92" t="s">
        <v>400</v>
      </c>
      <c r="H1807" s="85" t="str">
        <f>IF(Proc[[#This Row],[type]]="LFF (MDG-F)",MID(Proc[[#This Row],[Obj]],13,10),"")</f>
        <v/>
      </c>
      <c r="J1807" s="85" t="b">
        <f>Proc[[#This Row],[Requested]]=Proc[[#This Row],[CurrentParent]]</f>
        <v>1</v>
      </c>
      <c r="K1807" s="144" t="str">
        <f>IF(Proc[[#This Row],[Author]]="Marcela Urrego",VLOOKUP(LEFT(Proc[[#This Row],[Requested]],1),Table3[#All],2,0),VLOOKUP(Proc[[#This Row],[Author]],Table4[],2,0))</f>
        <v>HC</v>
      </c>
      <c r="L1807" s="125" t="s">
        <v>2563</v>
      </c>
      <c r="M1807" s="90">
        <v>45807.678356481483</v>
      </c>
      <c r="N1807" s="91">
        <v>45810</v>
      </c>
      <c r="O1807" s="91">
        <v>45810</v>
      </c>
      <c r="P1807" s="90" t="str">
        <f ca="1">IF(Proc[[#This Row],[DaysAgeing]]&gt;5,"yep","on track")</f>
        <v>on track</v>
      </c>
      <c r="Q1807" s="3">
        <f ca="1">IF(Proc[[#This Row],[DateClosed]]="",ABS(NETWORKDAYS(Proc[[#This Row],[DateOpened]],TODAY()))-1,ABS(NETWORKDAYS(Proc[[#This Row],[DateOpened]],Proc[[#This Row],[DateClosed]]))-1)</f>
        <v>1</v>
      </c>
      <c r="R1807" s="90" t="s">
        <v>738</v>
      </c>
      <c r="S1807" s="85"/>
    </row>
    <row r="1808" spans="1:19" hidden="1">
      <c r="A1808" s="92" t="s">
        <v>3627</v>
      </c>
      <c r="B1808" s="149" t="str">
        <f>IFERROR(VLOOKUP(Proc[[#This Row],[App]],Table2[],3,0),"open")</f>
        <v>ok</v>
      </c>
      <c r="C1808" s="93" t="s">
        <v>369</v>
      </c>
      <c r="D1808" s="92" t="s">
        <v>3631</v>
      </c>
      <c r="E1808" t="s">
        <v>3628</v>
      </c>
      <c r="F1808" s="117" t="s">
        <v>3628</v>
      </c>
      <c r="G1808" s="92" t="s">
        <v>400</v>
      </c>
      <c r="H1808" s="85" t="str">
        <f>IF(Proc[[#This Row],[type]]="LFF (MDG-F)",MID(Proc[[#This Row],[Obj]],13,10),"")</f>
        <v/>
      </c>
      <c r="J1808" s="85" t="b">
        <f>Proc[[#This Row],[Requested]]=Proc[[#This Row],[CurrentParent]]</f>
        <v>1</v>
      </c>
      <c r="K1808" s="144" t="str">
        <f>IF(Proc[[#This Row],[Author]]="Marcela Urrego",VLOOKUP(LEFT(Proc[[#This Row],[Requested]],1),Table3[#All],2,0),VLOOKUP(Proc[[#This Row],[Author]],Table4[],2,0))</f>
        <v>HC</v>
      </c>
      <c r="L1808" s="125" t="s">
        <v>2563</v>
      </c>
      <c r="M1808" s="90">
        <v>45807.678356481483</v>
      </c>
      <c r="N1808" s="91">
        <v>45810</v>
      </c>
      <c r="O1808" s="91">
        <v>45810</v>
      </c>
      <c r="P1808" s="90" t="str">
        <f ca="1">IF(Proc[[#This Row],[DaysAgeing]]&gt;5,"yep","on track")</f>
        <v>on track</v>
      </c>
      <c r="Q1808" s="3">
        <f ca="1">IF(Proc[[#This Row],[DateClosed]]="",ABS(NETWORKDAYS(Proc[[#This Row],[DateOpened]],TODAY()))-1,ABS(NETWORKDAYS(Proc[[#This Row],[DateOpened]],Proc[[#This Row],[DateClosed]]))-1)</f>
        <v>1</v>
      </c>
      <c r="R1808" s="90" t="s">
        <v>738</v>
      </c>
      <c r="S1808" s="85"/>
    </row>
    <row r="1809" spans="1:19" hidden="1">
      <c r="A1809" s="92" t="s">
        <v>3627</v>
      </c>
      <c r="B1809" s="149" t="str">
        <f>IFERROR(VLOOKUP(Proc[[#This Row],[App]],Table2[],3,0),"open")</f>
        <v>ok</v>
      </c>
      <c r="C1809" s="93" t="s">
        <v>369</v>
      </c>
      <c r="D1809" s="92" t="s">
        <v>3632</v>
      </c>
      <c r="E1809" t="s">
        <v>3628</v>
      </c>
      <c r="F1809" s="117" t="s">
        <v>3628</v>
      </c>
      <c r="G1809" s="92" t="s">
        <v>400</v>
      </c>
      <c r="H1809" s="85" t="str">
        <f>IF(Proc[[#This Row],[type]]="LFF (MDG-F)",MID(Proc[[#This Row],[Obj]],13,10),"")</f>
        <v/>
      </c>
      <c r="J1809" s="85" t="b">
        <f>Proc[[#This Row],[Requested]]=Proc[[#This Row],[CurrentParent]]</f>
        <v>1</v>
      </c>
      <c r="K1809" s="144" t="str">
        <f>IF(Proc[[#This Row],[Author]]="Marcela Urrego",VLOOKUP(LEFT(Proc[[#This Row],[Requested]],1),Table3[#All],2,0),VLOOKUP(Proc[[#This Row],[Author]],Table4[],2,0))</f>
        <v>HC</v>
      </c>
      <c r="L1809" s="125" t="s">
        <v>2563</v>
      </c>
      <c r="M1809" s="90">
        <v>45807.678356481483</v>
      </c>
      <c r="N1809" s="91">
        <v>45810</v>
      </c>
      <c r="O1809" s="91">
        <v>45810</v>
      </c>
      <c r="P1809" s="90" t="str">
        <f ca="1">IF(Proc[[#This Row],[DaysAgeing]]&gt;5,"yep","on track")</f>
        <v>on track</v>
      </c>
      <c r="Q1809" s="3">
        <f ca="1">IF(Proc[[#This Row],[DateClosed]]="",ABS(NETWORKDAYS(Proc[[#This Row],[DateOpened]],TODAY()))-1,ABS(NETWORKDAYS(Proc[[#This Row],[DateOpened]],Proc[[#This Row],[DateClosed]]))-1)</f>
        <v>1</v>
      </c>
      <c r="R1809" s="90" t="s">
        <v>738</v>
      </c>
      <c r="S1809" s="85"/>
    </row>
    <row r="1810" spans="1:19" hidden="1">
      <c r="A1810" s="92" t="s">
        <v>3627</v>
      </c>
      <c r="B1810" s="149" t="str">
        <f>IFERROR(VLOOKUP(Proc[[#This Row],[App]],Table2[],3,0),"open")</f>
        <v>ok</v>
      </c>
      <c r="C1810" s="93" t="s">
        <v>369</v>
      </c>
      <c r="D1810" s="92" t="s">
        <v>3633</v>
      </c>
      <c r="E1810" s="92" t="s">
        <v>3628</v>
      </c>
      <c r="F1810" s="117" t="s">
        <v>3628</v>
      </c>
      <c r="G1810" s="92" t="s">
        <v>400</v>
      </c>
      <c r="H1810" s="85" t="str">
        <f>IF(Proc[[#This Row],[type]]="LFF (MDG-F)",MID(Proc[[#This Row],[Obj]],13,10),"")</f>
        <v/>
      </c>
      <c r="J1810" s="85" t="b">
        <f>Proc[[#This Row],[Requested]]=Proc[[#This Row],[CurrentParent]]</f>
        <v>1</v>
      </c>
      <c r="K1810" s="144" t="str">
        <f>IF(Proc[[#This Row],[Author]]="Marcela Urrego",VLOOKUP(LEFT(Proc[[#This Row],[Requested]],1),Table3[#All],2,0),VLOOKUP(Proc[[#This Row],[Author]],Table4[],2,0))</f>
        <v>HC</v>
      </c>
      <c r="L1810" s="125" t="s">
        <v>2563</v>
      </c>
      <c r="M1810" s="90">
        <v>45807.678356481483</v>
      </c>
      <c r="N1810" s="91">
        <v>45810</v>
      </c>
      <c r="O1810" s="91">
        <v>45810</v>
      </c>
      <c r="P1810" s="90" t="str">
        <f ca="1">IF(Proc[[#This Row],[DaysAgeing]]&gt;5,"yep","on track")</f>
        <v>on track</v>
      </c>
      <c r="Q1810" s="3">
        <f ca="1">IF(Proc[[#This Row],[DateClosed]]="",ABS(NETWORKDAYS(Proc[[#This Row],[DateOpened]],TODAY()))-1,ABS(NETWORKDAYS(Proc[[#This Row],[DateOpened]],Proc[[#This Row],[DateClosed]]))-1)</f>
        <v>1</v>
      </c>
      <c r="R1810" s="90" t="s">
        <v>738</v>
      </c>
      <c r="S1810" s="85"/>
    </row>
    <row r="1811" spans="1:19" hidden="1">
      <c r="A1811" s="92" t="s">
        <v>3627</v>
      </c>
      <c r="B1811" s="149" t="str">
        <f>IFERROR(VLOOKUP(Proc[[#This Row],[App]],Table2[],3,0),"open")</f>
        <v>ok</v>
      </c>
      <c r="C1811" s="93" t="s">
        <v>369</v>
      </c>
      <c r="D1811" s="92" t="s">
        <v>3634</v>
      </c>
      <c r="E1811" t="s">
        <v>2159</v>
      </c>
      <c r="F1811" s="117" t="s">
        <v>2159</v>
      </c>
      <c r="G1811" s="92" t="s">
        <v>400</v>
      </c>
      <c r="H1811" s="85" t="str">
        <f>IF(Proc[[#This Row],[type]]="LFF (MDG-F)",MID(Proc[[#This Row],[Obj]],13,10),"")</f>
        <v/>
      </c>
      <c r="J1811" s="85" t="b">
        <f>Proc[[#This Row],[Requested]]=Proc[[#This Row],[CurrentParent]]</f>
        <v>1</v>
      </c>
      <c r="K1811" s="144" t="str">
        <f>IF(Proc[[#This Row],[Author]]="Marcela Urrego",VLOOKUP(LEFT(Proc[[#This Row],[Requested]],1),Table3[#All],2,0),VLOOKUP(Proc[[#This Row],[Author]],Table4[],2,0))</f>
        <v>HC</v>
      </c>
      <c r="L1811" s="125" t="s">
        <v>2563</v>
      </c>
      <c r="M1811" s="90">
        <v>45807.678356481483</v>
      </c>
      <c r="N1811" s="91">
        <v>45810</v>
      </c>
      <c r="O1811" s="91">
        <v>45810</v>
      </c>
      <c r="P1811" s="90" t="str">
        <f ca="1">IF(Proc[[#This Row],[DaysAgeing]]&gt;5,"yep","on track")</f>
        <v>on track</v>
      </c>
      <c r="Q1811" s="3">
        <f ca="1">IF(Proc[[#This Row],[DateClosed]]="",ABS(NETWORKDAYS(Proc[[#This Row],[DateOpened]],TODAY()))-1,ABS(NETWORKDAYS(Proc[[#This Row],[DateOpened]],Proc[[#This Row],[DateClosed]]))-1)</f>
        <v>1</v>
      </c>
      <c r="R1811" s="90" t="s">
        <v>738</v>
      </c>
      <c r="S1811" s="85"/>
    </row>
    <row r="1812" spans="1:19" hidden="1">
      <c r="A1812" s="92" t="s">
        <v>3627</v>
      </c>
      <c r="B1812" s="149" t="str">
        <f>IFERROR(VLOOKUP(Proc[[#This Row],[App]],Table2[],3,0),"open")</f>
        <v>ok</v>
      </c>
      <c r="C1812" s="93" t="s">
        <v>369</v>
      </c>
      <c r="D1812" s="92" t="s">
        <v>3635</v>
      </c>
      <c r="E1812" t="s">
        <v>3629</v>
      </c>
      <c r="F1812" s="117" t="s">
        <v>3629</v>
      </c>
      <c r="G1812" s="92" t="s">
        <v>400</v>
      </c>
      <c r="H1812" s="85" t="str">
        <f>IF(Proc[[#This Row],[type]]="LFF (MDG-F)",MID(Proc[[#This Row],[Obj]],13,10),"")</f>
        <v/>
      </c>
      <c r="J1812" s="85" t="b">
        <f>Proc[[#This Row],[Requested]]=Proc[[#This Row],[CurrentParent]]</f>
        <v>1</v>
      </c>
      <c r="K1812" s="144" t="str">
        <f>IF(Proc[[#This Row],[Author]]="Marcela Urrego",VLOOKUP(LEFT(Proc[[#This Row],[Requested]],1),Table3[#All],2,0),VLOOKUP(Proc[[#This Row],[Author]],Table4[],2,0))</f>
        <v>HC</v>
      </c>
      <c r="L1812" s="125" t="s">
        <v>2563</v>
      </c>
      <c r="M1812" s="90">
        <v>45807.678356481483</v>
      </c>
      <c r="N1812" s="91">
        <v>45810</v>
      </c>
      <c r="O1812" s="91">
        <v>45810</v>
      </c>
      <c r="P1812" s="90" t="str">
        <f ca="1">IF(Proc[[#This Row],[DaysAgeing]]&gt;5,"yep","on track")</f>
        <v>on track</v>
      </c>
      <c r="Q1812" s="3">
        <f ca="1">IF(Proc[[#This Row],[DateClosed]]="",ABS(NETWORKDAYS(Proc[[#This Row],[DateOpened]],TODAY()))-1,ABS(NETWORKDAYS(Proc[[#This Row],[DateOpened]],Proc[[#This Row],[DateClosed]]))-1)</f>
        <v>1</v>
      </c>
      <c r="R1812" s="90" t="s">
        <v>738</v>
      </c>
      <c r="S1812" s="85"/>
    </row>
    <row r="1813" spans="1:19" hidden="1">
      <c r="A1813" t="s">
        <v>3638</v>
      </c>
      <c r="B1813" s="149" t="str">
        <f>IFERROR(VLOOKUP(Proc[[#This Row],[App]],Table2[],3,0),"open")</f>
        <v>ok</v>
      </c>
      <c r="C1813" s="93" t="s">
        <v>369</v>
      </c>
      <c r="D1813" s="93" t="s">
        <v>3636</v>
      </c>
      <c r="E1813" t="s">
        <v>3637</v>
      </c>
      <c r="F1813" s="117" t="s">
        <v>3637</v>
      </c>
      <c r="G1813" s="93" t="s">
        <v>400</v>
      </c>
      <c r="H1813" s="94" t="str">
        <f>IF(Proc[[#This Row],[type]]="LFF (MDG-F)",MID(Proc[[#This Row],[Obj]],13,10),"")</f>
        <v/>
      </c>
      <c r="J1813" s="94" t="b">
        <f>Proc[[#This Row],[Requested]]=Proc[[#This Row],[CurrentParent]]</f>
        <v>1</v>
      </c>
      <c r="K1813" s="144" t="str">
        <f>IF(Proc[[#This Row],[Author]]="Marcela Urrego",VLOOKUP(LEFT(Proc[[#This Row],[Requested]],1),Table3[#All],2,0),VLOOKUP(Proc[[#This Row],[Author]],Table4[],2,0))</f>
        <v>HC</v>
      </c>
      <c r="L1813" s="125" t="s">
        <v>2563</v>
      </c>
      <c r="M1813" s="90">
        <v>45807.678356481483</v>
      </c>
      <c r="N1813" s="91">
        <v>45810</v>
      </c>
      <c r="O1813" s="91">
        <v>45810</v>
      </c>
      <c r="P1813" s="90" t="str">
        <f ca="1">IF(Proc[[#This Row],[DaysAgeing]]&gt;5,"yep","on track")</f>
        <v>on track</v>
      </c>
      <c r="Q1813" s="3">
        <f ca="1">IF(Proc[[#This Row],[DateClosed]]="",ABS(NETWORKDAYS(Proc[[#This Row],[DateOpened]],TODAY()))-1,ABS(NETWORKDAYS(Proc[[#This Row],[DateOpened]],Proc[[#This Row],[DateClosed]]))-1)</f>
        <v>1</v>
      </c>
      <c r="R1813" s="90" t="s">
        <v>3639</v>
      </c>
      <c r="S1813" s="94"/>
    </row>
    <row r="1814" spans="1:19" hidden="1">
      <c r="A1814" t="s">
        <v>3640</v>
      </c>
      <c r="B1814" s="149" t="str">
        <f>IFERROR(VLOOKUP(Proc[[#This Row],[App]],Table2[],3,0),"open")</f>
        <v>ok</v>
      </c>
      <c r="C1814" s="93" t="s">
        <v>369</v>
      </c>
      <c r="D1814" t="s">
        <v>3641</v>
      </c>
      <c r="E1814" t="s">
        <v>3739</v>
      </c>
      <c r="F1814" s="117" t="s">
        <v>3739</v>
      </c>
      <c r="G1814" s="93" t="s">
        <v>400</v>
      </c>
      <c r="H1814" s="94" t="str">
        <f>IF(Proc[[#This Row],[type]]="LFF (MDG-F)",MID(Proc[[#This Row],[Obj]],13,10),"")</f>
        <v/>
      </c>
      <c r="J1814" s="94" t="b">
        <f>Proc[[#This Row],[Requested]]=Proc[[#This Row],[CurrentParent]]</f>
        <v>1</v>
      </c>
      <c r="K1814" s="144" t="str">
        <f>IF(Proc[[#This Row],[Author]]="Marcela Urrego",VLOOKUP(LEFT(Proc[[#This Row],[Requested]],1),Table3[#All],2,0),VLOOKUP(Proc[[#This Row],[Author]],Table4[],2,0))</f>
        <v>HC</v>
      </c>
      <c r="L1814" s="125" t="s">
        <v>2563</v>
      </c>
      <c r="M1814" s="90">
        <v>45807.678356481483</v>
      </c>
      <c r="N1814" s="91">
        <v>45810</v>
      </c>
      <c r="O1814" s="91">
        <v>45810</v>
      </c>
      <c r="P1814" s="90" t="str">
        <f ca="1">IF(Proc[[#This Row],[DaysAgeing]]&gt;5,"yep","on track")</f>
        <v>on track</v>
      </c>
      <c r="Q1814" s="3">
        <f ca="1">IF(Proc[[#This Row],[DateClosed]]="",ABS(NETWORKDAYS(Proc[[#This Row],[DateOpened]],TODAY()))-1,ABS(NETWORKDAYS(Proc[[#This Row],[DateOpened]],Proc[[#This Row],[DateClosed]]))-1)</f>
        <v>1</v>
      </c>
      <c r="R1814" s="90" t="s">
        <v>1013</v>
      </c>
      <c r="S1814" s="94"/>
    </row>
    <row r="1815" spans="1:19" hidden="1">
      <c r="A1815" s="93" t="s">
        <v>3640</v>
      </c>
      <c r="B1815" s="149" t="str">
        <f>IFERROR(VLOOKUP(Proc[[#This Row],[App]],Table2[],3,0),"open")</f>
        <v>ok</v>
      </c>
      <c r="C1815" s="93" t="s">
        <v>369</v>
      </c>
      <c r="D1815" t="s">
        <v>3642</v>
      </c>
      <c r="E1815" t="s">
        <v>3006</v>
      </c>
      <c r="F1815" s="117" t="s">
        <v>3006</v>
      </c>
      <c r="G1815" s="93" t="s">
        <v>400</v>
      </c>
      <c r="H1815" s="94" t="str">
        <f>IF(Proc[[#This Row],[type]]="LFF (MDG-F)",MID(Proc[[#This Row],[Obj]],13,10),"")</f>
        <v/>
      </c>
      <c r="J1815" s="94" t="b">
        <f>Proc[[#This Row],[Requested]]=Proc[[#This Row],[CurrentParent]]</f>
        <v>1</v>
      </c>
      <c r="K1815" s="144" t="str">
        <f>IF(Proc[[#This Row],[Author]]="Marcela Urrego",VLOOKUP(LEFT(Proc[[#This Row],[Requested]],1),Table3[#All],2,0),VLOOKUP(Proc[[#This Row],[Author]],Table4[],2,0))</f>
        <v>HC</v>
      </c>
      <c r="L1815" s="125" t="s">
        <v>2563</v>
      </c>
      <c r="M1815" s="90">
        <v>45807.678356481483</v>
      </c>
      <c r="N1815" s="91">
        <v>45810</v>
      </c>
      <c r="O1815" s="91">
        <v>45810</v>
      </c>
      <c r="P1815" s="90" t="str">
        <f ca="1">IF(Proc[[#This Row],[DaysAgeing]]&gt;5,"yep","on track")</f>
        <v>on track</v>
      </c>
      <c r="Q1815" s="3">
        <f ca="1">IF(Proc[[#This Row],[DateClosed]]="",ABS(NETWORKDAYS(Proc[[#This Row],[DateOpened]],TODAY()))-1,ABS(NETWORKDAYS(Proc[[#This Row],[DateOpened]],Proc[[#This Row],[DateClosed]]))-1)</f>
        <v>1</v>
      </c>
      <c r="R1815" s="90" t="s">
        <v>1013</v>
      </c>
      <c r="S1815" s="94"/>
    </row>
    <row r="1816" spans="1:19" hidden="1">
      <c r="A1816" s="93" t="s">
        <v>3640</v>
      </c>
      <c r="B1816" s="149" t="str">
        <f>IFERROR(VLOOKUP(Proc[[#This Row],[App]],Table2[],3,0),"open")</f>
        <v>ok</v>
      </c>
      <c r="C1816" s="93" t="s">
        <v>369</v>
      </c>
      <c r="D1816" t="s">
        <v>3643</v>
      </c>
      <c r="E1816" t="s">
        <v>3006</v>
      </c>
      <c r="F1816" s="117" t="s">
        <v>3006</v>
      </c>
      <c r="G1816" s="93" t="s">
        <v>400</v>
      </c>
      <c r="H1816" s="94" t="str">
        <f>IF(Proc[[#This Row],[type]]="LFF (MDG-F)",MID(Proc[[#This Row],[Obj]],13,10),"")</f>
        <v/>
      </c>
      <c r="J1816" s="94" t="b">
        <f>Proc[[#This Row],[Requested]]=Proc[[#This Row],[CurrentParent]]</f>
        <v>1</v>
      </c>
      <c r="K1816" s="144" t="str">
        <f>IF(Proc[[#This Row],[Author]]="Marcela Urrego",VLOOKUP(LEFT(Proc[[#This Row],[Requested]],1),Table3[#All],2,0),VLOOKUP(Proc[[#This Row],[Author]],Table4[],2,0))</f>
        <v>HC</v>
      </c>
      <c r="L1816" s="125" t="s">
        <v>2563</v>
      </c>
      <c r="M1816" s="90">
        <v>45807.678356481483</v>
      </c>
      <c r="N1816" s="91">
        <v>45810</v>
      </c>
      <c r="O1816" s="91">
        <v>45810</v>
      </c>
      <c r="P1816" s="90" t="str">
        <f ca="1">IF(Proc[[#This Row],[DaysAgeing]]&gt;5,"yep","on track")</f>
        <v>on track</v>
      </c>
      <c r="Q1816" s="3">
        <f ca="1">IF(Proc[[#This Row],[DateClosed]]="",ABS(NETWORKDAYS(Proc[[#This Row],[DateOpened]],TODAY()))-1,ABS(NETWORKDAYS(Proc[[#This Row],[DateOpened]],Proc[[#This Row],[DateClosed]]))-1)</f>
        <v>1</v>
      </c>
      <c r="R1816" s="90" t="s">
        <v>1013</v>
      </c>
      <c r="S1816" s="94"/>
    </row>
    <row r="1817" spans="1:19" hidden="1">
      <c r="A1817" s="93" t="s">
        <v>3640</v>
      </c>
      <c r="B1817" s="149" t="str">
        <f>IFERROR(VLOOKUP(Proc[[#This Row],[App]],Table2[],3,0),"open")</f>
        <v>ok</v>
      </c>
      <c r="C1817" s="93" t="s">
        <v>369</v>
      </c>
      <c r="D1817" t="s">
        <v>3644</v>
      </c>
      <c r="E1817" t="s">
        <v>3006</v>
      </c>
      <c r="F1817" s="117" t="s">
        <v>3006</v>
      </c>
      <c r="G1817" s="93" t="s">
        <v>400</v>
      </c>
      <c r="H1817" s="94" t="str">
        <f>IF(Proc[[#This Row],[type]]="LFF (MDG-F)",MID(Proc[[#This Row],[Obj]],13,10),"")</f>
        <v/>
      </c>
      <c r="J1817" s="94" t="b">
        <f>Proc[[#This Row],[Requested]]=Proc[[#This Row],[CurrentParent]]</f>
        <v>1</v>
      </c>
      <c r="K1817" s="144" t="str">
        <f>IF(Proc[[#This Row],[Author]]="Marcela Urrego",VLOOKUP(LEFT(Proc[[#This Row],[Requested]],1),Table3[#All],2,0),VLOOKUP(Proc[[#This Row],[Author]],Table4[],2,0))</f>
        <v>HC</v>
      </c>
      <c r="L1817" s="125" t="s">
        <v>2563</v>
      </c>
      <c r="M1817" s="90">
        <v>45807.678356481483</v>
      </c>
      <c r="N1817" s="91">
        <v>45810</v>
      </c>
      <c r="O1817" s="91">
        <v>45810</v>
      </c>
      <c r="P1817" s="90" t="str">
        <f ca="1">IF(Proc[[#This Row],[DaysAgeing]]&gt;5,"yep","on track")</f>
        <v>on track</v>
      </c>
      <c r="Q1817" s="3">
        <f ca="1">IF(Proc[[#This Row],[DateClosed]]="",ABS(NETWORKDAYS(Proc[[#This Row],[DateOpened]],TODAY()))-1,ABS(NETWORKDAYS(Proc[[#This Row],[DateOpened]],Proc[[#This Row],[DateClosed]]))-1)</f>
        <v>1</v>
      </c>
      <c r="R1817" s="90" t="s">
        <v>1013</v>
      </c>
      <c r="S1817" s="94"/>
    </row>
    <row r="1818" spans="1:19" hidden="1">
      <c r="A1818" s="93" t="s">
        <v>3640</v>
      </c>
      <c r="B1818" s="149" t="str">
        <f>IFERROR(VLOOKUP(Proc[[#This Row],[App]],Table2[],3,0),"open")</f>
        <v>ok</v>
      </c>
      <c r="C1818" s="93" t="s">
        <v>369</v>
      </c>
      <c r="D1818" t="s">
        <v>3645</v>
      </c>
      <c r="E1818" t="s">
        <v>3006</v>
      </c>
      <c r="F1818" s="117" t="s">
        <v>3006</v>
      </c>
      <c r="G1818" s="93" t="s">
        <v>400</v>
      </c>
      <c r="H1818" s="94" t="str">
        <f>IF(Proc[[#This Row],[type]]="LFF (MDG-F)",MID(Proc[[#This Row],[Obj]],13,10),"")</f>
        <v/>
      </c>
      <c r="J1818" s="94" t="b">
        <f>Proc[[#This Row],[Requested]]=Proc[[#This Row],[CurrentParent]]</f>
        <v>1</v>
      </c>
      <c r="K1818" s="144" t="str">
        <f>IF(Proc[[#This Row],[Author]]="Marcela Urrego",VLOOKUP(LEFT(Proc[[#This Row],[Requested]],1),Table3[#All],2,0),VLOOKUP(Proc[[#This Row],[Author]],Table4[],2,0))</f>
        <v>HC</v>
      </c>
      <c r="L1818" s="125" t="s">
        <v>2563</v>
      </c>
      <c r="M1818" s="90">
        <v>45807.678356481483</v>
      </c>
      <c r="N1818" s="91">
        <v>45810</v>
      </c>
      <c r="O1818" s="91">
        <v>45810</v>
      </c>
      <c r="P1818" s="90" t="str">
        <f ca="1">IF(Proc[[#This Row],[DaysAgeing]]&gt;5,"yep","on track")</f>
        <v>on track</v>
      </c>
      <c r="Q1818" s="3">
        <f ca="1">IF(Proc[[#This Row],[DateClosed]]="",ABS(NETWORKDAYS(Proc[[#This Row],[DateOpened]],TODAY()))-1,ABS(NETWORKDAYS(Proc[[#This Row],[DateOpened]],Proc[[#This Row],[DateClosed]]))-1)</f>
        <v>1</v>
      </c>
      <c r="R1818" s="90" t="s">
        <v>1013</v>
      </c>
      <c r="S1818" s="94"/>
    </row>
    <row r="1819" spans="1:19" hidden="1">
      <c r="A1819" s="93" t="s">
        <v>3640</v>
      </c>
      <c r="B1819" s="149" t="str">
        <f>IFERROR(VLOOKUP(Proc[[#This Row],[App]],Table2[],3,0),"open")</f>
        <v>ok</v>
      </c>
      <c r="C1819" s="93" t="s">
        <v>369</v>
      </c>
      <c r="D1819" t="s">
        <v>3646</v>
      </c>
      <c r="E1819" t="s">
        <v>3006</v>
      </c>
      <c r="F1819" s="117" t="s">
        <v>3006</v>
      </c>
      <c r="G1819" s="93" t="s">
        <v>400</v>
      </c>
      <c r="H1819" s="94" t="str">
        <f>IF(Proc[[#This Row],[type]]="LFF (MDG-F)",MID(Proc[[#This Row],[Obj]],13,10),"")</f>
        <v/>
      </c>
      <c r="J1819" s="94" t="b">
        <f>Proc[[#This Row],[Requested]]=Proc[[#This Row],[CurrentParent]]</f>
        <v>1</v>
      </c>
      <c r="K1819" s="144" t="str">
        <f>IF(Proc[[#This Row],[Author]]="Marcela Urrego",VLOOKUP(LEFT(Proc[[#This Row],[Requested]],1),Table3[#All],2,0),VLOOKUP(Proc[[#This Row],[Author]],Table4[],2,0))</f>
        <v>HC</v>
      </c>
      <c r="L1819" s="125" t="s">
        <v>2563</v>
      </c>
      <c r="M1819" s="90">
        <v>45807.678356481483</v>
      </c>
      <c r="N1819" s="91">
        <v>45810</v>
      </c>
      <c r="O1819" s="91">
        <v>45810</v>
      </c>
      <c r="P1819" s="90" t="str">
        <f ca="1">IF(Proc[[#This Row],[DaysAgeing]]&gt;5,"yep","on track")</f>
        <v>on track</v>
      </c>
      <c r="Q1819" s="3">
        <f ca="1">IF(Proc[[#This Row],[DateClosed]]="",ABS(NETWORKDAYS(Proc[[#This Row],[DateOpened]],TODAY()))-1,ABS(NETWORKDAYS(Proc[[#This Row],[DateOpened]],Proc[[#This Row],[DateClosed]]))-1)</f>
        <v>1</v>
      </c>
      <c r="R1819" s="90" t="s">
        <v>1013</v>
      </c>
      <c r="S1819" s="94"/>
    </row>
    <row r="1820" spans="1:19" hidden="1">
      <c r="A1820" s="93" t="s">
        <v>3640</v>
      </c>
      <c r="B1820" s="149" t="str">
        <f>IFERROR(VLOOKUP(Proc[[#This Row],[App]],Table2[],3,0),"open")</f>
        <v>ok</v>
      </c>
      <c r="C1820" s="93" t="s">
        <v>369</v>
      </c>
      <c r="D1820" t="s">
        <v>3647</v>
      </c>
      <c r="E1820" t="s">
        <v>3006</v>
      </c>
      <c r="F1820" s="117" t="s">
        <v>3006</v>
      </c>
      <c r="G1820" s="93" t="s">
        <v>400</v>
      </c>
      <c r="H1820" s="94" t="str">
        <f>IF(Proc[[#This Row],[type]]="LFF (MDG-F)",MID(Proc[[#This Row],[Obj]],13,10),"")</f>
        <v/>
      </c>
      <c r="J1820" s="94" t="b">
        <f>Proc[[#This Row],[Requested]]=Proc[[#This Row],[CurrentParent]]</f>
        <v>1</v>
      </c>
      <c r="K1820" s="144" t="str">
        <f>IF(Proc[[#This Row],[Author]]="Marcela Urrego",VLOOKUP(LEFT(Proc[[#This Row],[Requested]],1),Table3[#All],2,0),VLOOKUP(Proc[[#This Row],[Author]],Table4[],2,0))</f>
        <v>HC</v>
      </c>
      <c r="L1820" s="125" t="s">
        <v>2563</v>
      </c>
      <c r="M1820" s="90">
        <v>45807.678356481483</v>
      </c>
      <c r="N1820" s="91">
        <v>45810</v>
      </c>
      <c r="O1820" s="91">
        <v>45810</v>
      </c>
      <c r="P1820" s="90" t="str">
        <f ca="1">IF(Proc[[#This Row],[DaysAgeing]]&gt;5,"yep","on track")</f>
        <v>on track</v>
      </c>
      <c r="Q1820" s="3">
        <f ca="1">IF(Proc[[#This Row],[DateClosed]]="",ABS(NETWORKDAYS(Proc[[#This Row],[DateOpened]],TODAY()))-1,ABS(NETWORKDAYS(Proc[[#This Row],[DateOpened]],Proc[[#This Row],[DateClosed]]))-1)</f>
        <v>1</v>
      </c>
      <c r="R1820" s="90" t="s">
        <v>1013</v>
      </c>
      <c r="S1820" s="94"/>
    </row>
    <row r="1821" spans="1:19" hidden="1">
      <c r="A1821" s="93" t="s">
        <v>3640</v>
      </c>
      <c r="B1821" s="149" t="str">
        <f>IFERROR(VLOOKUP(Proc[[#This Row],[App]],Table2[],3,0),"open")</f>
        <v>ok</v>
      </c>
      <c r="C1821" s="93" t="s">
        <v>369</v>
      </c>
      <c r="D1821" t="s">
        <v>3648</v>
      </c>
      <c r="E1821" t="s">
        <v>3006</v>
      </c>
      <c r="F1821" s="117" t="s">
        <v>3006</v>
      </c>
      <c r="G1821" s="93" t="s">
        <v>400</v>
      </c>
      <c r="H1821" s="94" t="str">
        <f>IF(Proc[[#This Row],[type]]="LFF (MDG-F)",MID(Proc[[#This Row],[Obj]],13,10),"")</f>
        <v/>
      </c>
      <c r="J1821" s="94" t="b">
        <f>Proc[[#This Row],[Requested]]=Proc[[#This Row],[CurrentParent]]</f>
        <v>1</v>
      </c>
      <c r="K1821" s="144" t="str">
        <f>IF(Proc[[#This Row],[Author]]="Marcela Urrego",VLOOKUP(LEFT(Proc[[#This Row],[Requested]],1),Table3[#All],2,0),VLOOKUP(Proc[[#This Row],[Author]],Table4[],2,0))</f>
        <v>HC</v>
      </c>
      <c r="L1821" s="125" t="s">
        <v>2563</v>
      </c>
      <c r="M1821" s="90">
        <v>45807.678356481483</v>
      </c>
      <c r="N1821" s="91">
        <v>45810</v>
      </c>
      <c r="O1821" s="91">
        <v>45810</v>
      </c>
      <c r="P1821" s="90" t="str">
        <f ca="1">IF(Proc[[#This Row],[DaysAgeing]]&gt;5,"yep","on track")</f>
        <v>on track</v>
      </c>
      <c r="Q1821" s="3">
        <f ca="1">IF(Proc[[#This Row],[DateClosed]]="",ABS(NETWORKDAYS(Proc[[#This Row],[DateOpened]],TODAY()))-1,ABS(NETWORKDAYS(Proc[[#This Row],[DateOpened]],Proc[[#This Row],[DateClosed]]))-1)</f>
        <v>1</v>
      </c>
      <c r="R1821" s="90" t="s">
        <v>1013</v>
      </c>
      <c r="S1821" s="94"/>
    </row>
    <row r="1822" spans="1:19" hidden="1">
      <c r="A1822" s="93" t="s">
        <v>3640</v>
      </c>
      <c r="B1822" s="149" t="str">
        <f>IFERROR(VLOOKUP(Proc[[#This Row],[App]],Table2[],3,0),"open")</f>
        <v>ok</v>
      </c>
      <c r="C1822" s="93" t="s">
        <v>369</v>
      </c>
      <c r="D1822" t="s">
        <v>3649</v>
      </c>
      <c r="E1822" t="s">
        <v>3006</v>
      </c>
      <c r="F1822" s="117" t="s">
        <v>3006</v>
      </c>
      <c r="G1822" s="93" t="s">
        <v>400</v>
      </c>
      <c r="H1822" s="94" t="str">
        <f>IF(Proc[[#This Row],[type]]="LFF (MDG-F)",MID(Proc[[#This Row],[Obj]],13,10),"")</f>
        <v/>
      </c>
      <c r="J1822" s="94" t="b">
        <f>Proc[[#This Row],[Requested]]=Proc[[#This Row],[CurrentParent]]</f>
        <v>1</v>
      </c>
      <c r="K1822" s="144" t="str">
        <f>IF(Proc[[#This Row],[Author]]="Marcela Urrego",VLOOKUP(LEFT(Proc[[#This Row],[Requested]],1),Table3[#All],2,0),VLOOKUP(Proc[[#This Row],[Author]],Table4[],2,0))</f>
        <v>HC</v>
      </c>
      <c r="L1822" s="125" t="s">
        <v>2563</v>
      </c>
      <c r="M1822" s="90">
        <v>45807.678356481483</v>
      </c>
      <c r="N1822" s="91">
        <v>45810</v>
      </c>
      <c r="O1822" s="91">
        <v>45810</v>
      </c>
      <c r="P1822" s="90" t="str">
        <f ca="1">IF(Proc[[#This Row],[DaysAgeing]]&gt;5,"yep","on track")</f>
        <v>on track</v>
      </c>
      <c r="Q1822" s="3">
        <f ca="1">IF(Proc[[#This Row],[DateClosed]]="",ABS(NETWORKDAYS(Proc[[#This Row],[DateOpened]],TODAY()))-1,ABS(NETWORKDAYS(Proc[[#This Row],[DateOpened]],Proc[[#This Row],[DateClosed]]))-1)</f>
        <v>1</v>
      </c>
      <c r="R1822" s="90" t="s">
        <v>1013</v>
      </c>
      <c r="S1822" s="94"/>
    </row>
    <row r="1823" spans="1:19" hidden="1">
      <c r="A1823" s="93" t="s">
        <v>3640</v>
      </c>
      <c r="B1823" s="149" t="str">
        <f>IFERROR(VLOOKUP(Proc[[#This Row],[App]],Table2[],3,0),"open")</f>
        <v>ok</v>
      </c>
      <c r="C1823" s="93" t="s">
        <v>369</v>
      </c>
      <c r="D1823" t="s">
        <v>3650</v>
      </c>
      <c r="E1823" t="s">
        <v>3006</v>
      </c>
      <c r="F1823" s="117" t="s">
        <v>3006</v>
      </c>
      <c r="G1823" s="93" t="s">
        <v>400</v>
      </c>
      <c r="H1823" s="94" t="str">
        <f>IF(Proc[[#This Row],[type]]="LFF (MDG-F)",MID(Proc[[#This Row],[Obj]],13,10),"")</f>
        <v/>
      </c>
      <c r="J1823" s="94" t="b">
        <f>Proc[[#This Row],[Requested]]=Proc[[#This Row],[CurrentParent]]</f>
        <v>1</v>
      </c>
      <c r="K1823" s="144" t="str">
        <f>IF(Proc[[#This Row],[Author]]="Marcela Urrego",VLOOKUP(LEFT(Proc[[#This Row],[Requested]],1),Table3[#All],2,0),VLOOKUP(Proc[[#This Row],[Author]],Table4[],2,0))</f>
        <v>HC</v>
      </c>
      <c r="L1823" s="125" t="s">
        <v>2563</v>
      </c>
      <c r="M1823" s="90">
        <v>45807.678356481483</v>
      </c>
      <c r="N1823" s="91">
        <v>45810</v>
      </c>
      <c r="O1823" s="91">
        <v>45810</v>
      </c>
      <c r="P1823" s="90" t="str">
        <f ca="1">IF(Proc[[#This Row],[DaysAgeing]]&gt;5,"yep","on track")</f>
        <v>on track</v>
      </c>
      <c r="Q1823" s="3">
        <f ca="1">IF(Proc[[#This Row],[DateClosed]]="",ABS(NETWORKDAYS(Proc[[#This Row],[DateOpened]],TODAY()))-1,ABS(NETWORKDAYS(Proc[[#This Row],[DateOpened]],Proc[[#This Row],[DateClosed]]))-1)</f>
        <v>1</v>
      </c>
      <c r="R1823" s="90" t="s">
        <v>1013</v>
      </c>
      <c r="S1823" s="94"/>
    </row>
    <row r="1824" spans="1:19" hidden="1">
      <c r="A1824" s="93" t="s">
        <v>3640</v>
      </c>
      <c r="B1824" s="149" t="str">
        <f>IFERROR(VLOOKUP(Proc[[#This Row],[App]],Table2[],3,0),"open")</f>
        <v>ok</v>
      </c>
      <c r="C1824" s="93" t="s">
        <v>369</v>
      </c>
      <c r="D1824" t="s">
        <v>3651</v>
      </c>
      <c r="E1824" t="s">
        <v>3740</v>
      </c>
      <c r="F1824" s="117" t="s">
        <v>3740</v>
      </c>
      <c r="G1824" s="93" t="s">
        <v>400</v>
      </c>
      <c r="H1824" s="94" t="str">
        <f>IF(Proc[[#This Row],[type]]="LFF (MDG-F)",MID(Proc[[#This Row],[Obj]],13,10),"")</f>
        <v/>
      </c>
      <c r="J1824" s="94" t="b">
        <f>Proc[[#This Row],[Requested]]=Proc[[#This Row],[CurrentParent]]</f>
        <v>1</v>
      </c>
      <c r="K1824" s="144" t="str">
        <f>IF(Proc[[#This Row],[Author]]="Marcela Urrego",VLOOKUP(LEFT(Proc[[#This Row],[Requested]],1),Table3[#All],2,0),VLOOKUP(Proc[[#This Row],[Author]],Table4[],2,0))</f>
        <v>HC</v>
      </c>
      <c r="L1824" s="125" t="s">
        <v>2563</v>
      </c>
      <c r="M1824" s="90">
        <v>45807.678356481483</v>
      </c>
      <c r="N1824" s="91">
        <v>45810</v>
      </c>
      <c r="O1824" s="91">
        <v>45810</v>
      </c>
      <c r="P1824" s="90" t="str">
        <f ca="1">IF(Proc[[#This Row],[DaysAgeing]]&gt;5,"yep","on track")</f>
        <v>on track</v>
      </c>
      <c r="Q1824" s="3">
        <f ca="1">IF(Proc[[#This Row],[DateClosed]]="",ABS(NETWORKDAYS(Proc[[#This Row],[DateOpened]],TODAY()))-1,ABS(NETWORKDAYS(Proc[[#This Row],[DateOpened]],Proc[[#This Row],[DateClosed]]))-1)</f>
        <v>1</v>
      </c>
      <c r="R1824" s="90" t="s">
        <v>1013</v>
      </c>
      <c r="S1824" s="94"/>
    </row>
    <row r="1825" spans="1:19" hidden="1">
      <c r="A1825" s="93" t="s">
        <v>3640</v>
      </c>
      <c r="B1825" s="149" t="str">
        <f>IFERROR(VLOOKUP(Proc[[#This Row],[App]],Table2[],3,0),"open")</f>
        <v>ok</v>
      </c>
      <c r="C1825" s="93" t="s">
        <v>369</v>
      </c>
      <c r="D1825" t="s">
        <v>3652</v>
      </c>
      <c r="E1825" t="s">
        <v>3003</v>
      </c>
      <c r="F1825" s="117" t="s">
        <v>3003</v>
      </c>
      <c r="G1825" s="93" t="s">
        <v>400</v>
      </c>
      <c r="H1825" s="94" t="str">
        <f>IF(Proc[[#This Row],[type]]="LFF (MDG-F)",MID(Proc[[#This Row],[Obj]],13,10),"")</f>
        <v/>
      </c>
      <c r="J1825" s="94" t="b">
        <f>Proc[[#This Row],[Requested]]=Proc[[#This Row],[CurrentParent]]</f>
        <v>1</v>
      </c>
      <c r="K1825" s="144" t="str">
        <f>IF(Proc[[#This Row],[Author]]="Marcela Urrego",VLOOKUP(LEFT(Proc[[#This Row],[Requested]],1),Table3[#All],2,0),VLOOKUP(Proc[[#This Row],[Author]],Table4[],2,0))</f>
        <v>HC</v>
      </c>
      <c r="L1825" s="125" t="s">
        <v>2563</v>
      </c>
      <c r="M1825" s="90">
        <v>45807.678356481483</v>
      </c>
      <c r="N1825" s="91">
        <v>45810</v>
      </c>
      <c r="O1825" s="91">
        <v>45810</v>
      </c>
      <c r="P1825" s="90" t="str">
        <f ca="1">IF(Proc[[#This Row],[DaysAgeing]]&gt;5,"yep","on track")</f>
        <v>on track</v>
      </c>
      <c r="Q1825" s="3">
        <f ca="1">IF(Proc[[#This Row],[DateClosed]]="",ABS(NETWORKDAYS(Proc[[#This Row],[DateOpened]],TODAY()))-1,ABS(NETWORKDAYS(Proc[[#This Row],[DateOpened]],Proc[[#This Row],[DateClosed]]))-1)</f>
        <v>1</v>
      </c>
      <c r="R1825" s="90" t="s">
        <v>1013</v>
      </c>
      <c r="S1825" s="94"/>
    </row>
    <row r="1826" spans="1:19" hidden="1">
      <c r="A1826" s="93" t="s">
        <v>3640</v>
      </c>
      <c r="B1826" s="149" t="str">
        <f>IFERROR(VLOOKUP(Proc[[#This Row],[App]],Table2[],3,0),"open")</f>
        <v>ok</v>
      </c>
      <c r="C1826" s="93" t="s">
        <v>369</v>
      </c>
      <c r="D1826" t="s">
        <v>3653</v>
      </c>
      <c r="E1826" t="s">
        <v>3004</v>
      </c>
      <c r="F1826" s="117" t="s">
        <v>3004</v>
      </c>
      <c r="G1826" s="93" t="s">
        <v>400</v>
      </c>
      <c r="H1826" s="94" t="str">
        <f>IF(Proc[[#This Row],[type]]="LFF (MDG-F)",MID(Proc[[#This Row],[Obj]],13,10),"")</f>
        <v/>
      </c>
      <c r="J1826" s="94" t="b">
        <f>Proc[[#This Row],[Requested]]=Proc[[#This Row],[CurrentParent]]</f>
        <v>1</v>
      </c>
      <c r="K1826" s="144" t="str">
        <f>IF(Proc[[#This Row],[Author]]="Marcela Urrego",VLOOKUP(LEFT(Proc[[#This Row],[Requested]],1),Table3[#All],2,0),VLOOKUP(Proc[[#This Row],[Author]],Table4[],2,0))</f>
        <v>HC</v>
      </c>
      <c r="L1826" s="125" t="s">
        <v>2563</v>
      </c>
      <c r="M1826" s="90">
        <v>45807.678356481483</v>
      </c>
      <c r="N1826" s="91">
        <v>45810</v>
      </c>
      <c r="O1826" s="91">
        <v>45810</v>
      </c>
      <c r="P1826" s="90" t="str">
        <f ca="1">IF(Proc[[#This Row],[DaysAgeing]]&gt;5,"yep","on track")</f>
        <v>on track</v>
      </c>
      <c r="Q1826" s="3">
        <f ca="1">IF(Proc[[#This Row],[DateClosed]]="",ABS(NETWORKDAYS(Proc[[#This Row],[DateOpened]],TODAY()))-1,ABS(NETWORKDAYS(Proc[[#This Row],[DateOpened]],Proc[[#This Row],[DateClosed]]))-1)</f>
        <v>1</v>
      </c>
      <c r="R1826" s="90" t="s">
        <v>1013</v>
      </c>
      <c r="S1826" s="94"/>
    </row>
    <row r="1827" spans="1:19" hidden="1">
      <c r="A1827" s="93" t="s">
        <v>3640</v>
      </c>
      <c r="B1827" s="149" t="str">
        <f>IFERROR(VLOOKUP(Proc[[#This Row],[App]],Table2[],3,0),"open")</f>
        <v>ok</v>
      </c>
      <c r="C1827" s="93" t="s">
        <v>369</v>
      </c>
      <c r="D1827" t="s">
        <v>3654</v>
      </c>
      <c r="E1827" t="s">
        <v>3006</v>
      </c>
      <c r="F1827" s="117" t="s">
        <v>3006</v>
      </c>
      <c r="G1827" s="93" t="s">
        <v>400</v>
      </c>
      <c r="H1827" s="94" t="str">
        <f>IF(Proc[[#This Row],[type]]="LFF (MDG-F)",MID(Proc[[#This Row],[Obj]],13,10),"")</f>
        <v/>
      </c>
      <c r="J1827" s="94" t="b">
        <f>Proc[[#This Row],[Requested]]=Proc[[#This Row],[CurrentParent]]</f>
        <v>1</v>
      </c>
      <c r="K1827" s="144" t="str">
        <f>IF(Proc[[#This Row],[Author]]="Marcela Urrego",VLOOKUP(LEFT(Proc[[#This Row],[Requested]],1),Table3[#All],2,0),VLOOKUP(Proc[[#This Row],[Author]],Table4[],2,0))</f>
        <v>HC</v>
      </c>
      <c r="L1827" s="125" t="s">
        <v>2563</v>
      </c>
      <c r="M1827" s="90">
        <v>45807.678356481483</v>
      </c>
      <c r="N1827" s="91">
        <v>45810</v>
      </c>
      <c r="O1827" s="91">
        <v>45810</v>
      </c>
      <c r="P1827" s="90" t="str">
        <f ca="1">IF(Proc[[#This Row],[DaysAgeing]]&gt;5,"yep","on track")</f>
        <v>on track</v>
      </c>
      <c r="Q1827" s="3">
        <f ca="1">IF(Proc[[#This Row],[DateClosed]]="",ABS(NETWORKDAYS(Proc[[#This Row],[DateOpened]],TODAY()))-1,ABS(NETWORKDAYS(Proc[[#This Row],[DateOpened]],Proc[[#This Row],[DateClosed]]))-1)</f>
        <v>1</v>
      </c>
      <c r="R1827" s="90" t="s">
        <v>1013</v>
      </c>
      <c r="S1827" s="94"/>
    </row>
    <row r="1828" spans="1:19" hidden="1">
      <c r="A1828" s="93" t="s">
        <v>3640</v>
      </c>
      <c r="B1828" s="149" t="str">
        <f>IFERROR(VLOOKUP(Proc[[#This Row],[App]],Table2[],3,0),"open")</f>
        <v>ok</v>
      </c>
      <c r="C1828" s="93" t="s">
        <v>369</v>
      </c>
      <c r="D1828" t="s">
        <v>3655</v>
      </c>
      <c r="E1828" t="s">
        <v>3006</v>
      </c>
      <c r="F1828" s="117" t="s">
        <v>3006</v>
      </c>
      <c r="G1828" s="93" t="s">
        <v>400</v>
      </c>
      <c r="H1828" s="94" t="str">
        <f>IF(Proc[[#This Row],[type]]="LFF (MDG-F)",MID(Proc[[#This Row],[Obj]],13,10),"")</f>
        <v/>
      </c>
      <c r="J1828" s="94" t="b">
        <f>Proc[[#This Row],[Requested]]=Proc[[#This Row],[CurrentParent]]</f>
        <v>1</v>
      </c>
      <c r="K1828" s="144" t="str">
        <f>IF(Proc[[#This Row],[Author]]="Marcela Urrego",VLOOKUP(LEFT(Proc[[#This Row],[Requested]],1),Table3[#All],2,0),VLOOKUP(Proc[[#This Row],[Author]],Table4[],2,0))</f>
        <v>HC</v>
      </c>
      <c r="L1828" s="125" t="s">
        <v>2563</v>
      </c>
      <c r="M1828" s="90">
        <v>45807.678356481483</v>
      </c>
      <c r="N1828" s="91">
        <v>45810</v>
      </c>
      <c r="O1828" s="91">
        <v>45810</v>
      </c>
      <c r="P1828" s="90" t="str">
        <f ca="1">IF(Proc[[#This Row],[DaysAgeing]]&gt;5,"yep","on track")</f>
        <v>on track</v>
      </c>
      <c r="Q1828" s="3">
        <f ca="1">IF(Proc[[#This Row],[DateClosed]]="",ABS(NETWORKDAYS(Proc[[#This Row],[DateOpened]],TODAY()))-1,ABS(NETWORKDAYS(Proc[[#This Row],[DateOpened]],Proc[[#This Row],[DateClosed]]))-1)</f>
        <v>1</v>
      </c>
      <c r="R1828" s="90" t="s">
        <v>1013</v>
      </c>
      <c r="S1828" s="94"/>
    </row>
    <row r="1829" spans="1:19" hidden="1">
      <c r="A1829" s="93" t="s">
        <v>3640</v>
      </c>
      <c r="B1829" s="149" t="str">
        <f>IFERROR(VLOOKUP(Proc[[#This Row],[App]],Table2[],3,0),"open")</f>
        <v>ok</v>
      </c>
      <c r="C1829" s="93" t="s">
        <v>369</v>
      </c>
      <c r="D1829" t="s">
        <v>3656</v>
      </c>
      <c r="E1829" t="s">
        <v>3004</v>
      </c>
      <c r="F1829" s="117" t="s">
        <v>3004</v>
      </c>
      <c r="G1829" s="93" t="s">
        <v>400</v>
      </c>
      <c r="H1829" s="94" t="str">
        <f>IF(Proc[[#This Row],[type]]="LFF (MDG-F)",MID(Proc[[#This Row],[Obj]],13,10),"")</f>
        <v/>
      </c>
      <c r="J1829" s="94" t="b">
        <f>Proc[[#This Row],[Requested]]=Proc[[#This Row],[CurrentParent]]</f>
        <v>1</v>
      </c>
      <c r="K1829" s="144" t="str">
        <f>IF(Proc[[#This Row],[Author]]="Marcela Urrego",VLOOKUP(LEFT(Proc[[#This Row],[Requested]],1),Table3[#All],2,0),VLOOKUP(Proc[[#This Row],[Author]],Table4[],2,0))</f>
        <v>HC</v>
      </c>
      <c r="L1829" s="125" t="s">
        <v>2563</v>
      </c>
      <c r="M1829" s="90">
        <v>45807.678356481483</v>
      </c>
      <c r="N1829" s="91">
        <v>45810</v>
      </c>
      <c r="O1829" s="91">
        <v>45810</v>
      </c>
      <c r="P1829" s="90" t="str">
        <f ca="1">IF(Proc[[#This Row],[DaysAgeing]]&gt;5,"yep","on track")</f>
        <v>on track</v>
      </c>
      <c r="Q1829" s="3">
        <f ca="1">IF(Proc[[#This Row],[DateClosed]]="",ABS(NETWORKDAYS(Proc[[#This Row],[DateOpened]],TODAY()))-1,ABS(NETWORKDAYS(Proc[[#This Row],[DateOpened]],Proc[[#This Row],[DateClosed]]))-1)</f>
        <v>1</v>
      </c>
      <c r="R1829" s="90" t="s">
        <v>1013</v>
      </c>
      <c r="S1829" s="94"/>
    </row>
    <row r="1830" spans="1:19" hidden="1">
      <c r="A1830" s="93" t="s">
        <v>3640</v>
      </c>
      <c r="B1830" s="149" t="str">
        <f>IFERROR(VLOOKUP(Proc[[#This Row],[App]],Table2[],3,0),"open")</f>
        <v>ok</v>
      </c>
      <c r="C1830" s="93" t="s">
        <v>369</v>
      </c>
      <c r="D1830" t="s">
        <v>3657</v>
      </c>
      <c r="E1830" t="s">
        <v>3004</v>
      </c>
      <c r="F1830" s="117" t="s">
        <v>3004</v>
      </c>
      <c r="G1830" s="93" t="s">
        <v>400</v>
      </c>
      <c r="H1830" s="94" t="str">
        <f>IF(Proc[[#This Row],[type]]="LFF (MDG-F)",MID(Proc[[#This Row],[Obj]],13,10),"")</f>
        <v/>
      </c>
      <c r="J1830" s="94" t="b">
        <f>Proc[[#This Row],[Requested]]=Proc[[#This Row],[CurrentParent]]</f>
        <v>1</v>
      </c>
      <c r="K1830" s="144" t="str">
        <f>IF(Proc[[#This Row],[Author]]="Marcela Urrego",VLOOKUP(LEFT(Proc[[#This Row],[Requested]],1),Table3[#All],2,0),VLOOKUP(Proc[[#This Row],[Author]],Table4[],2,0))</f>
        <v>HC</v>
      </c>
      <c r="L1830" s="125" t="s">
        <v>2563</v>
      </c>
      <c r="M1830" s="90">
        <v>45807.678356481483</v>
      </c>
      <c r="N1830" s="91">
        <v>45810</v>
      </c>
      <c r="O1830" s="91">
        <v>45810</v>
      </c>
      <c r="P1830" s="90" t="str">
        <f ca="1">IF(Proc[[#This Row],[DaysAgeing]]&gt;5,"yep","on track")</f>
        <v>on track</v>
      </c>
      <c r="Q1830" s="3">
        <f ca="1">IF(Proc[[#This Row],[DateClosed]]="",ABS(NETWORKDAYS(Proc[[#This Row],[DateOpened]],TODAY()))-1,ABS(NETWORKDAYS(Proc[[#This Row],[DateOpened]],Proc[[#This Row],[DateClosed]]))-1)</f>
        <v>1</v>
      </c>
      <c r="R1830" s="90" t="s">
        <v>1013</v>
      </c>
      <c r="S1830" s="94"/>
    </row>
    <row r="1831" spans="1:19" hidden="1">
      <c r="A1831" s="93" t="s">
        <v>3640</v>
      </c>
      <c r="B1831" s="149" t="str">
        <f>IFERROR(VLOOKUP(Proc[[#This Row],[App]],Table2[],3,0),"open")</f>
        <v>ok</v>
      </c>
      <c r="C1831" s="93" t="s">
        <v>369</v>
      </c>
      <c r="D1831" t="s">
        <v>3658</v>
      </c>
      <c r="E1831" t="s">
        <v>3003</v>
      </c>
      <c r="F1831" s="117" t="s">
        <v>3003</v>
      </c>
      <c r="G1831" s="93" t="s">
        <v>400</v>
      </c>
      <c r="H1831" s="94" t="str">
        <f>IF(Proc[[#This Row],[type]]="LFF (MDG-F)",MID(Proc[[#This Row],[Obj]],13,10),"")</f>
        <v/>
      </c>
      <c r="J1831" s="94" t="b">
        <f>Proc[[#This Row],[Requested]]=Proc[[#This Row],[CurrentParent]]</f>
        <v>1</v>
      </c>
      <c r="K1831" s="144" t="str">
        <f>IF(Proc[[#This Row],[Author]]="Marcela Urrego",VLOOKUP(LEFT(Proc[[#This Row],[Requested]],1),Table3[#All],2,0),VLOOKUP(Proc[[#This Row],[Author]],Table4[],2,0))</f>
        <v>HC</v>
      </c>
      <c r="L1831" s="125" t="s">
        <v>2563</v>
      </c>
      <c r="M1831" s="90">
        <v>45807.678356481483</v>
      </c>
      <c r="N1831" s="91">
        <v>45810</v>
      </c>
      <c r="O1831" s="91">
        <v>45810</v>
      </c>
      <c r="P1831" s="90" t="str">
        <f ca="1">IF(Proc[[#This Row],[DaysAgeing]]&gt;5,"yep","on track")</f>
        <v>on track</v>
      </c>
      <c r="Q1831" s="3">
        <f ca="1">IF(Proc[[#This Row],[DateClosed]]="",ABS(NETWORKDAYS(Proc[[#This Row],[DateOpened]],TODAY()))-1,ABS(NETWORKDAYS(Proc[[#This Row],[DateOpened]],Proc[[#This Row],[DateClosed]]))-1)</f>
        <v>1</v>
      </c>
      <c r="R1831" s="90" t="s">
        <v>1013</v>
      </c>
      <c r="S1831" s="94"/>
    </row>
    <row r="1832" spans="1:19" hidden="1">
      <c r="A1832" s="93" t="s">
        <v>3640</v>
      </c>
      <c r="B1832" s="149" t="str">
        <f>IFERROR(VLOOKUP(Proc[[#This Row],[App]],Table2[],3,0),"open")</f>
        <v>ok</v>
      </c>
      <c r="C1832" s="93" t="s">
        <v>369</v>
      </c>
      <c r="D1832" t="s">
        <v>3659</v>
      </c>
      <c r="E1832" t="s">
        <v>3003</v>
      </c>
      <c r="F1832" s="117" t="s">
        <v>3003</v>
      </c>
      <c r="G1832" s="93" t="s">
        <v>400</v>
      </c>
      <c r="H1832" s="94" t="str">
        <f>IF(Proc[[#This Row],[type]]="LFF (MDG-F)",MID(Proc[[#This Row],[Obj]],13,10),"")</f>
        <v/>
      </c>
      <c r="J1832" s="94" t="b">
        <f>Proc[[#This Row],[Requested]]=Proc[[#This Row],[CurrentParent]]</f>
        <v>1</v>
      </c>
      <c r="K1832" s="144" t="str">
        <f>IF(Proc[[#This Row],[Author]]="Marcela Urrego",VLOOKUP(LEFT(Proc[[#This Row],[Requested]],1),Table3[#All],2,0),VLOOKUP(Proc[[#This Row],[Author]],Table4[],2,0))</f>
        <v>HC</v>
      </c>
      <c r="L1832" s="125" t="s">
        <v>2563</v>
      </c>
      <c r="M1832" s="90">
        <v>45807.678356481483</v>
      </c>
      <c r="N1832" s="91">
        <v>45810</v>
      </c>
      <c r="O1832" s="91">
        <v>45810</v>
      </c>
      <c r="P1832" s="90" t="str">
        <f ca="1">IF(Proc[[#This Row],[DaysAgeing]]&gt;5,"yep","on track")</f>
        <v>on track</v>
      </c>
      <c r="Q1832" s="3">
        <f ca="1">IF(Proc[[#This Row],[DateClosed]]="",ABS(NETWORKDAYS(Proc[[#This Row],[DateOpened]],TODAY()))-1,ABS(NETWORKDAYS(Proc[[#This Row],[DateOpened]],Proc[[#This Row],[DateClosed]]))-1)</f>
        <v>1</v>
      </c>
      <c r="R1832" s="90" t="s">
        <v>1013</v>
      </c>
      <c r="S1832" s="94"/>
    </row>
    <row r="1833" spans="1:19" hidden="1">
      <c r="A1833" s="93" t="s">
        <v>3640</v>
      </c>
      <c r="B1833" s="149" t="str">
        <f>IFERROR(VLOOKUP(Proc[[#This Row],[App]],Table2[],3,0),"open")</f>
        <v>ok</v>
      </c>
      <c r="C1833" s="93" t="s">
        <v>369</v>
      </c>
      <c r="D1833" t="s">
        <v>3660</v>
      </c>
      <c r="E1833" t="s">
        <v>3003</v>
      </c>
      <c r="F1833" s="117" t="s">
        <v>3003</v>
      </c>
      <c r="G1833" s="93" t="s">
        <v>400</v>
      </c>
      <c r="H1833" s="94" t="str">
        <f>IF(Proc[[#This Row],[type]]="LFF (MDG-F)",MID(Proc[[#This Row],[Obj]],13,10),"")</f>
        <v/>
      </c>
      <c r="J1833" s="94" t="b">
        <f>Proc[[#This Row],[Requested]]=Proc[[#This Row],[CurrentParent]]</f>
        <v>1</v>
      </c>
      <c r="K1833" s="144" t="str">
        <f>IF(Proc[[#This Row],[Author]]="Marcela Urrego",VLOOKUP(LEFT(Proc[[#This Row],[Requested]],1),Table3[#All],2,0),VLOOKUP(Proc[[#This Row],[Author]],Table4[],2,0))</f>
        <v>HC</v>
      </c>
      <c r="L1833" s="125" t="s">
        <v>2563</v>
      </c>
      <c r="M1833" s="90">
        <v>45807.678356481483</v>
      </c>
      <c r="N1833" s="91">
        <v>45810</v>
      </c>
      <c r="O1833" s="91">
        <v>45810</v>
      </c>
      <c r="P1833" s="90" t="str">
        <f ca="1">IF(Proc[[#This Row],[DaysAgeing]]&gt;5,"yep","on track")</f>
        <v>on track</v>
      </c>
      <c r="Q1833" s="3">
        <f ca="1">IF(Proc[[#This Row],[DateClosed]]="",ABS(NETWORKDAYS(Proc[[#This Row],[DateOpened]],TODAY()))-1,ABS(NETWORKDAYS(Proc[[#This Row],[DateOpened]],Proc[[#This Row],[DateClosed]]))-1)</f>
        <v>1</v>
      </c>
      <c r="R1833" s="90" t="s">
        <v>1013</v>
      </c>
      <c r="S1833" s="94"/>
    </row>
    <row r="1834" spans="1:19" hidden="1">
      <c r="A1834" s="93" t="s">
        <v>3640</v>
      </c>
      <c r="B1834" s="149" t="str">
        <f>IFERROR(VLOOKUP(Proc[[#This Row],[App]],Table2[],3,0),"open")</f>
        <v>ok</v>
      </c>
      <c r="C1834" s="93" t="s">
        <v>369</v>
      </c>
      <c r="D1834" t="s">
        <v>3661</v>
      </c>
      <c r="E1834" t="s">
        <v>3005</v>
      </c>
      <c r="F1834" s="117" t="s">
        <v>3005</v>
      </c>
      <c r="G1834" s="93" t="s">
        <v>400</v>
      </c>
      <c r="H1834" s="94" t="str">
        <f>IF(Proc[[#This Row],[type]]="LFF (MDG-F)",MID(Proc[[#This Row],[Obj]],13,10),"")</f>
        <v/>
      </c>
      <c r="J1834" s="94" t="b">
        <f>Proc[[#This Row],[Requested]]=Proc[[#This Row],[CurrentParent]]</f>
        <v>1</v>
      </c>
      <c r="K1834" s="144" t="str">
        <f>IF(Proc[[#This Row],[Author]]="Marcela Urrego",VLOOKUP(LEFT(Proc[[#This Row],[Requested]],1),Table3[#All],2,0),VLOOKUP(Proc[[#This Row],[Author]],Table4[],2,0))</f>
        <v>HC</v>
      </c>
      <c r="L1834" s="125" t="s">
        <v>2563</v>
      </c>
      <c r="M1834" s="90">
        <v>45807.678356481483</v>
      </c>
      <c r="N1834" s="91">
        <v>45810</v>
      </c>
      <c r="O1834" s="91">
        <v>45810</v>
      </c>
      <c r="P1834" s="90" t="str">
        <f ca="1">IF(Proc[[#This Row],[DaysAgeing]]&gt;5,"yep","on track")</f>
        <v>on track</v>
      </c>
      <c r="Q1834" s="3">
        <f ca="1">IF(Proc[[#This Row],[DateClosed]]="",ABS(NETWORKDAYS(Proc[[#This Row],[DateOpened]],TODAY()))-1,ABS(NETWORKDAYS(Proc[[#This Row],[DateOpened]],Proc[[#This Row],[DateClosed]]))-1)</f>
        <v>1</v>
      </c>
      <c r="R1834" s="90" t="s">
        <v>1013</v>
      </c>
      <c r="S1834" s="94"/>
    </row>
    <row r="1835" spans="1:19" hidden="1">
      <c r="A1835" s="93" t="s">
        <v>3640</v>
      </c>
      <c r="B1835" s="149" t="str">
        <f>IFERROR(VLOOKUP(Proc[[#This Row],[App]],Table2[],3,0),"open")</f>
        <v>ok</v>
      </c>
      <c r="C1835" s="93" t="s">
        <v>369</v>
      </c>
      <c r="D1835" t="s">
        <v>3662</v>
      </c>
      <c r="E1835" t="s">
        <v>3005</v>
      </c>
      <c r="F1835" s="117" t="s">
        <v>3005</v>
      </c>
      <c r="G1835" s="93" t="s">
        <v>400</v>
      </c>
      <c r="H1835" s="94" t="str">
        <f>IF(Proc[[#This Row],[type]]="LFF (MDG-F)",MID(Proc[[#This Row],[Obj]],13,10),"")</f>
        <v/>
      </c>
      <c r="J1835" s="94" t="b">
        <f>Proc[[#This Row],[Requested]]=Proc[[#This Row],[CurrentParent]]</f>
        <v>1</v>
      </c>
      <c r="K1835" s="144" t="str">
        <f>IF(Proc[[#This Row],[Author]]="Marcela Urrego",VLOOKUP(LEFT(Proc[[#This Row],[Requested]],1),Table3[#All],2,0),VLOOKUP(Proc[[#This Row],[Author]],Table4[],2,0))</f>
        <v>HC</v>
      </c>
      <c r="L1835" s="125" t="s">
        <v>2563</v>
      </c>
      <c r="M1835" s="90">
        <v>45807.678356481483</v>
      </c>
      <c r="N1835" s="91">
        <v>45810</v>
      </c>
      <c r="O1835" s="91">
        <v>45810</v>
      </c>
      <c r="P1835" s="90" t="str">
        <f ca="1">IF(Proc[[#This Row],[DaysAgeing]]&gt;5,"yep","on track")</f>
        <v>on track</v>
      </c>
      <c r="Q1835" s="3">
        <f ca="1">IF(Proc[[#This Row],[DateClosed]]="",ABS(NETWORKDAYS(Proc[[#This Row],[DateOpened]],TODAY()))-1,ABS(NETWORKDAYS(Proc[[#This Row],[DateOpened]],Proc[[#This Row],[DateClosed]]))-1)</f>
        <v>1</v>
      </c>
      <c r="R1835" s="90" t="s">
        <v>1013</v>
      </c>
      <c r="S1835" s="94"/>
    </row>
    <row r="1836" spans="1:19" hidden="1">
      <c r="A1836" s="93" t="s">
        <v>3640</v>
      </c>
      <c r="B1836" s="149" t="str">
        <f>IFERROR(VLOOKUP(Proc[[#This Row],[App]],Table2[],3,0),"open")</f>
        <v>ok</v>
      </c>
      <c r="C1836" s="93" t="s">
        <v>369</v>
      </c>
      <c r="D1836" t="s">
        <v>3663</v>
      </c>
      <c r="E1836" t="s">
        <v>3005</v>
      </c>
      <c r="F1836" s="117" t="s">
        <v>3005</v>
      </c>
      <c r="G1836" s="93" t="s">
        <v>400</v>
      </c>
      <c r="H1836" s="94" t="str">
        <f>IF(Proc[[#This Row],[type]]="LFF (MDG-F)",MID(Proc[[#This Row],[Obj]],13,10),"")</f>
        <v/>
      </c>
      <c r="J1836" s="94" t="b">
        <f>Proc[[#This Row],[Requested]]=Proc[[#This Row],[CurrentParent]]</f>
        <v>1</v>
      </c>
      <c r="K1836" s="144" t="str">
        <f>IF(Proc[[#This Row],[Author]]="Marcela Urrego",VLOOKUP(LEFT(Proc[[#This Row],[Requested]],1),Table3[#All],2,0),VLOOKUP(Proc[[#This Row],[Author]],Table4[],2,0))</f>
        <v>HC</v>
      </c>
      <c r="L1836" s="125" t="s">
        <v>2563</v>
      </c>
      <c r="M1836" s="90">
        <v>45807.678356481483</v>
      </c>
      <c r="N1836" s="91">
        <v>45810</v>
      </c>
      <c r="O1836" s="91">
        <v>45810</v>
      </c>
      <c r="P1836" s="90" t="str">
        <f ca="1">IF(Proc[[#This Row],[DaysAgeing]]&gt;5,"yep","on track")</f>
        <v>on track</v>
      </c>
      <c r="Q1836" s="3">
        <f ca="1">IF(Proc[[#This Row],[DateClosed]]="",ABS(NETWORKDAYS(Proc[[#This Row],[DateOpened]],TODAY()))-1,ABS(NETWORKDAYS(Proc[[#This Row],[DateOpened]],Proc[[#This Row],[DateClosed]]))-1)</f>
        <v>1</v>
      </c>
      <c r="R1836" s="90" t="s">
        <v>1013</v>
      </c>
      <c r="S1836" s="94"/>
    </row>
    <row r="1837" spans="1:19" hidden="1">
      <c r="A1837" s="93" t="s">
        <v>3640</v>
      </c>
      <c r="B1837" s="149" t="str">
        <f>IFERROR(VLOOKUP(Proc[[#This Row],[App]],Table2[],3,0),"open")</f>
        <v>ok</v>
      </c>
      <c r="C1837" s="93" t="s">
        <v>369</v>
      </c>
      <c r="D1837" t="s">
        <v>3664</v>
      </c>
      <c r="E1837" t="s">
        <v>3004</v>
      </c>
      <c r="F1837" s="117" t="s">
        <v>3004</v>
      </c>
      <c r="G1837" s="93" t="s">
        <v>400</v>
      </c>
      <c r="H1837" s="94" t="str">
        <f>IF(Proc[[#This Row],[type]]="LFF (MDG-F)",MID(Proc[[#This Row],[Obj]],13,10),"")</f>
        <v/>
      </c>
      <c r="J1837" s="94" t="b">
        <f>Proc[[#This Row],[Requested]]=Proc[[#This Row],[CurrentParent]]</f>
        <v>1</v>
      </c>
      <c r="K1837" s="144" t="str">
        <f>IF(Proc[[#This Row],[Author]]="Marcela Urrego",VLOOKUP(LEFT(Proc[[#This Row],[Requested]],1),Table3[#All],2,0),VLOOKUP(Proc[[#This Row],[Author]],Table4[],2,0))</f>
        <v>HC</v>
      </c>
      <c r="L1837" s="125" t="s">
        <v>2563</v>
      </c>
      <c r="M1837" s="90">
        <v>45807.678356481483</v>
      </c>
      <c r="N1837" s="91">
        <v>45810</v>
      </c>
      <c r="O1837" s="91">
        <v>45810</v>
      </c>
      <c r="P1837" s="90" t="str">
        <f ca="1">IF(Proc[[#This Row],[DaysAgeing]]&gt;5,"yep","on track")</f>
        <v>on track</v>
      </c>
      <c r="Q1837" s="3">
        <f ca="1">IF(Proc[[#This Row],[DateClosed]]="",ABS(NETWORKDAYS(Proc[[#This Row],[DateOpened]],TODAY()))-1,ABS(NETWORKDAYS(Proc[[#This Row],[DateOpened]],Proc[[#This Row],[DateClosed]]))-1)</f>
        <v>1</v>
      </c>
      <c r="R1837" s="90" t="s">
        <v>1013</v>
      </c>
      <c r="S1837" s="94"/>
    </row>
    <row r="1838" spans="1:19" hidden="1">
      <c r="A1838" s="93" t="s">
        <v>3640</v>
      </c>
      <c r="B1838" s="149" t="str">
        <f>IFERROR(VLOOKUP(Proc[[#This Row],[App]],Table2[],3,0),"open")</f>
        <v>ok</v>
      </c>
      <c r="C1838" s="93" t="s">
        <v>369</v>
      </c>
      <c r="D1838" t="s">
        <v>3665</v>
      </c>
      <c r="E1838" t="s">
        <v>3003</v>
      </c>
      <c r="F1838" s="117" t="s">
        <v>3003</v>
      </c>
      <c r="G1838" s="93" t="s">
        <v>400</v>
      </c>
      <c r="H1838" s="94" t="str">
        <f>IF(Proc[[#This Row],[type]]="LFF (MDG-F)",MID(Proc[[#This Row],[Obj]],13,10),"")</f>
        <v/>
      </c>
      <c r="J1838" s="94" t="b">
        <f>Proc[[#This Row],[Requested]]=Proc[[#This Row],[CurrentParent]]</f>
        <v>1</v>
      </c>
      <c r="K1838" s="144" t="str">
        <f>IF(Proc[[#This Row],[Author]]="Marcela Urrego",VLOOKUP(LEFT(Proc[[#This Row],[Requested]],1),Table3[#All],2,0),VLOOKUP(Proc[[#This Row],[Author]],Table4[],2,0))</f>
        <v>HC</v>
      </c>
      <c r="L1838" s="125" t="s">
        <v>2563</v>
      </c>
      <c r="M1838" s="90">
        <v>45807.678356481483</v>
      </c>
      <c r="N1838" s="91">
        <v>45810</v>
      </c>
      <c r="O1838" s="91">
        <v>45810</v>
      </c>
      <c r="P1838" s="90" t="str">
        <f ca="1">IF(Proc[[#This Row],[DaysAgeing]]&gt;5,"yep","on track")</f>
        <v>on track</v>
      </c>
      <c r="Q1838" s="3">
        <f ca="1">IF(Proc[[#This Row],[DateClosed]]="",ABS(NETWORKDAYS(Proc[[#This Row],[DateOpened]],TODAY()))-1,ABS(NETWORKDAYS(Proc[[#This Row],[DateOpened]],Proc[[#This Row],[DateClosed]]))-1)</f>
        <v>1</v>
      </c>
      <c r="R1838" s="90" t="s">
        <v>1013</v>
      </c>
      <c r="S1838" s="94"/>
    </row>
    <row r="1839" spans="1:19" hidden="1">
      <c r="A1839" s="93" t="s">
        <v>3640</v>
      </c>
      <c r="B1839" s="149" t="str">
        <f>IFERROR(VLOOKUP(Proc[[#This Row],[App]],Table2[],3,0),"open")</f>
        <v>ok</v>
      </c>
      <c r="C1839" s="93" t="s">
        <v>369</v>
      </c>
      <c r="D1839" t="s">
        <v>3666</v>
      </c>
      <c r="E1839" t="s">
        <v>3003</v>
      </c>
      <c r="F1839" s="117" t="s">
        <v>3003</v>
      </c>
      <c r="G1839" s="93" t="s">
        <v>400</v>
      </c>
      <c r="H1839" s="94" t="str">
        <f>IF(Proc[[#This Row],[type]]="LFF (MDG-F)",MID(Proc[[#This Row],[Obj]],13,10),"")</f>
        <v/>
      </c>
      <c r="J1839" s="94" t="b">
        <f>Proc[[#This Row],[Requested]]=Proc[[#This Row],[CurrentParent]]</f>
        <v>1</v>
      </c>
      <c r="K1839" s="144" t="str">
        <f>IF(Proc[[#This Row],[Author]]="Marcela Urrego",VLOOKUP(LEFT(Proc[[#This Row],[Requested]],1),Table3[#All],2,0),VLOOKUP(Proc[[#This Row],[Author]],Table4[],2,0))</f>
        <v>HC</v>
      </c>
      <c r="L1839" s="125" t="s">
        <v>2563</v>
      </c>
      <c r="M1839" s="90">
        <v>45807.678356481483</v>
      </c>
      <c r="N1839" s="91">
        <v>45810</v>
      </c>
      <c r="O1839" s="91">
        <v>45810</v>
      </c>
      <c r="P1839" s="90" t="str">
        <f ca="1">IF(Proc[[#This Row],[DaysAgeing]]&gt;5,"yep","on track")</f>
        <v>on track</v>
      </c>
      <c r="Q1839" s="3">
        <f ca="1">IF(Proc[[#This Row],[DateClosed]]="",ABS(NETWORKDAYS(Proc[[#This Row],[DateOpened]],TODAY()))-1,ABS(NETWORKDAYS(Proc[[#This Row],[DateOpened]],Proc[[#This Row],[DateClosed]]))-1)</f>
        <v>1</v>
      </c>
      <c r="R1839" s="90" t="s">
        <v>1013</v>
      </c>
      <c r="S1839" s="94"/>
    </row>
    <row r="1840" spans="1:19" hidden="1">
      <c r="A1840" s="93" t="s">
        <v>3640</v>
      </c>
      <c r="B1840" s="149" t="str">
        <f>IFERROR(VLOOKUP(Proc[[#This Row],[App]],Table2[],3,0),"open")</f>
        <v>ok</v>
      </c>
      <c r="C1840" s="93" t="s">
        <v>369</v>
      </c>
      <c r="D1840" t="s">
        <v>3667</v>
      </c>
      <c r="E1840" t="s">
        <v>3003</v>
      </c>
      <c r="F1840" s="117" t="s">
        <v>3003</v>
      </c>
      <c r="G1840" s="93" t="s">
        <v>400</v>
      </c>
      <c r="H1840" s="94" t="str">
        <f>IF(Proc[[#This Row],[type]]="LFF (MDG-F)",MID(Proc[[#This Row],[Obj]],13,10),"")</f>
        <v/>
      </c>
      <c r="J1840" s="94" t="b">
        <f>Proc[[#This Row],[Requested]]=Proc[[#This Row],[CurrentParent]]</f>
        <v>1</v>
      </c>
      <c r="K1840" s="144" t="str">
        <f>IF(Proc[[#This Row],[Author]]="Marcela Urrego",VLOOKUP(LEFT(Proc[[#This Row],[Requested]],1),Table3[#All],2,0),VLOOKUP(Proc[[#This Row],[Author]],Table4[],2,0))</f>
        <v>HC</v>
      </c>
      <c r="L1840" s="125" t="s">
        <v>2563</v>
      </c>
      <c r="M1840" s="90">
        <v>45807.678356481483</v>
      </c>
      <c r="N1840" s="91">
        <v>45810</v>
      </c>
      <c r="O1840" s="91">
        <v>45810</v>
      </c>
      <c r="P1840" s="90" t="str">
        <f ca="1">IF(Proc[[#This Row],[DaysAgeing]]&gt;5,"yep","on track")</f>
        <v>on track</v>
      </c>
      <c r="Q1840" s="3">
        <f ca="1">IF(Proc[[#This Row],[DateClosed]]="",ABS(NETWORKDAYS(Proc[[#This Row],[DateOpened]],TODAY()))-1,ABS(NETWORKDAYS(Proc[[#This Row],[DateOpened]],Proc[[#This Row],[DateClosed]]))-1)</f>
        <v>1</v>
      </c>
      <c r="R1840" s="90" t="s">
        <v>1013</v>
      </c>
      <c r="S1840" s="94"/>
    </row>
    <row r="1841" spans="1:19" hidden="1">
      <c r="A1841" s="93" t="s">
        <v>3640</v>
      </c>
      <c r="B1841" s="149" t="str">
        <f>IFERROR(VLOOKUP(Proc[[#This Row],[App]],Table2[],3,0),"open")</f>
        <v>ok</v>
      </c>
      <c r="C1841" s="93" t="s">
        <v>369</v>
      </c>
      <c r="D1841" t="s">
        <v>3668</v>
      </c>
      <c r="E1841" t="s">
        <v>3740</v>
      </c>
      <c r="F1841" s="117" t="s">
        <v>3740</v>
      </c>
      <c r="G1841" s="93" t="s">
        <v>400</v>
      </c>
      <c r="H1841" s="94" t="str">
        <f>IF(Proc[[#This Row],[type]]="LFF (MDG-F)",MID(Proc[[#This Row],[Obj]],13,10),"")</f>
        <v/>
      </c>
      <c r="J1841" s="94" t="b">
        <f>Proc[[#This Row],[Requested]]=Proc[[#This Row],[CurrentParent]]</f>
        <v>1</v>
      </c>
      <c r="K1841" s="144" t="str">
        <f>IF(Proc[[#This Row],[Author]]="Marcela Urrego",VLOOKUP(LEFT(Proc[[#This Row],[Requested]],1),Table3[#All],2,0),VLOOKUP(Proc[[#This Row],[Author]],Table4[],2,0))</f>
        <v>HC</v>
      </c>
      <c r="L1841" s="125" t="s">
        <v>2563</v>
      </c>
      <c r="M1841" s="90">
        <v>45807.678356481483</v>
      </c>
      <c r="N1841" s="91">
        <v>45810</v>
      </c>
      <c r="O1841" s="91">
        <v>45810</v>
      </c>
      <c r="P1841" s="90" t="str">
        <f ca="1">IF(Proc[[#This Row],[DaysAgeing]]&gt;5,"yep","on track")</f>
        <v>on track</v>
      </c>
      <c r="Q1841" s="3">
        <f ca="1">IF(Proc[[#This Row],[DateClosed]]="",ABS(NETWORKDAYS(Proc[[#This Row],[DateOpened]],TODAY()))-1,ABS(NETWORKDAYS(Proc[[#This Row],[DateOpened]],Proc[[#This Row],[DateClosed]]))-1)</f>
        <v>1</v>
      </c>
      <c r="R1841" s="90" t="s">
        <v>1013</v>
      </c>
      <c r="S1841" s="94"/>
    </row>
    <row r="1842" spans="1:19" hidden="1">
      <c r="A1842" s="93" t="s">
        <v>3640</v>
      </c>
      <c r="B1842" s="149" t="str">
        <f>IFERROR(VLOOKUP(Proc[[#This Row],[App]],Table2[],3,0),"open")</f>
        <v>ok</v>
      </c>
      <c r="C1842" s="93" t="s">
        <v>369</v>
      </c>
      <c r="D1842" t="s">
        <v>3669</v>
      </c>
      <c r="E1842" t="s">
        <v>3003</v>
      </c>
      <c r="F1842" s="117" t="s">
        <v>3003</v>
      </c>
      <c r="G1842" s="93" t="s">
        <v>400</v>
      </c>
      <c r="H1842" s="94" t="str">
        <f>IF(Proc[[#This Row],[type]]="LFF (MDG-F)",MID(Proc[[#This Row],[Obj]],13,10),"")</f>
        <v/>
      </c>
      <c r="J1842" s="94" t="b">
        <f>Proc[[#This Row],[Requested]]=Proc[[#This Row],[CurrentParent]]</f>
        <v>1</v>
      </c>
      <c r="K1842" s="144" t="str">
        <f>IF(Proc[[#This Row],[Author]]="Marcela Urrego",VLOOKUP(LEFT(Proc[[#This Row],[Requested]],1),Table3[#All],2,0),VLOOKUP(Proc[[#This Row],[Author]],Table4[],2,0))</f>
        <v>HC</v>
      </c>
      <c r="L1842" s="125" t="s">
        <v>2563</v>
      </c>
      <c r="M1842" s="90">
        <v>45807.678356481483</v>
      </c>
      <c r="N1842" s="91">
        <v>45810</v>
      </c>
      <c r="O1842" s="91">
        <v>45810</v>
      </c>
      <c r="P1842" s="90" t="str">
        <f ca="1">IF(Proc[[#This Row],[DaysAgeing]]&gt;5,"yep","on track")</f>
        <v>on track</v>
      </c>
      <c r="Q1842" s="3">
        <f ca="1">IF(Proc[[#This Row],[DateClosed]]="",ABS(NETWORKDAYS(Proc[[#This Row],[DateOpened]],TODAY()))-1,ABS(NETWORKDAYS(Proc[[#This Row],[DateOpened]],Proc[[#This Row],[DateClosed]]))-1)</f>
        <v>1</v>
      </c>
      <c r="R1842" s="90" t="s">
        <v>1013</v>
      </c>
      <c r="S1842" s="94"/>
    </row>
    <row r="1843" spans="1:19" hidden="1">
      <c r="A1843" s="93" t="s">
        <v>3640</v>
      </c>
      <c r="B1843" s="149" t="str">
        <f>IFERROR(VLOOKUP(Proc[[#This Row],[App]],Table2[],3,0),"open")</f>
        <v>ok</v>
      </c>
      <c r="C1843" s="93" t="s">
        <v>369</v>
      </c>
      <c r="D1843" t="s">
        <v>3670</v>
      </c>
      <c r="E1843" t="s">
        <v>3003</v>
      </c>
      <c r="F1843" s="117" t="s">
        <v>3003</v>
      </c>
      <c r="G1843" s="93" t="s">
        <v>400</v>
      </c>
      <c r="H1843" s="94" t="str">
        <f>IF(Proc[[#This Row],[type]]="LFF (MDG-F)",MID(Proc[[#This Row],[Obj]],13,10),"")</f>
        <v/>
      </c>
      <c r="J1843" s="94" t="b">
        <f>Proc[[#This Row],[Requested]]=Proc[[#This Row],[CurrentParent]]</f>
        <v>1</v>
      </c>
      <c r="K1843" s="144" t="str">
        <f>IF(Proc[[#This Row],[Author]]="Marcela Urrego",VLOOKUP(LEFT(Proc[[#This Row],[Requested]],1),Table3[#All],2,0),VLOOKUP(Proc[[#This Row],[Author]],Table4[],2,0))</f>
        <v>HC</v>
      </c>
      <c r="L1843" s="125" t="s">
        <v>2563</v>
      </c>
      <c r="M1843" s="90">
        <v>45807.678356481483</v>
      </c>
      <c r="N1843" s="91">
        <v>45810</v>
      </c>
      <c r="O1843" s="91">
        <v>45810</v>
      </c>
      <c r="P1843" s="90" t="str">
        <f ca="1">IF(Proc[[#This Row],[DaysAgeing]]&gt;5,"yep","on track")</f>
        <v>on track</v>
      </c>
      <c r="Q1843" s="3">
        <f ca="1">IF(Proc[[#This Row],[DateClosed]]="",ABS(NETWORKDAYS(Proc[[#This Row],[DateOpened]],TODAY()))-1,ABS(NETWORKDAYS(Proc[[#This Row],[DateOpened]],Proc[[#This Row],[DateClosed]]))-1)</f>
        <v>1</v>
      </c>
      <c r="R1843" s="90" t="s">
        <v>1013</v>
      </c>
      <c r="S1843" s="94"/>
    </row>
    <row r="1844" spans="1:19" hidden="1">
      <c r="A1844" s="93" t="s">
        <v>3640</v>
      </c>
      <c r="B1844" s="149" t="str">
        <f>IFERROR(VLOOKUP(Proc[[#This Row],[App]],Table2[],3,0),"open")</f>
        <v>ok</v>
      </c>
      <c r="C1844" s="93" t="s">
        <v>369</v>
      </c>
      <c r="D1844" t="s">
        <v>3671</v>
      </c>
      <c r="E1844" t="s">
        <v>3003</v>
      </c>
      <c r="F1844" s="117" t="s">
        <v>3003</v>
      </c>
      <c r="G1844" s="93" t="s">
        <v>400</v>
      </c>
      <c r="H1844" s="94" t="str">
        <f>IF(Proc[[#This Row],[type]]="LFF (MDG-F)",MID(Proc[[#This Row],[Obj]],13,10),"")</f>
        <v/>
      </c>
      <c r="J1844" s="94" t="b">
        <f>Proc[[#This Row],[Requested]]=Proc[[#This Row],[CurrentParent]]</f>
        <v>1</v>
      </c>
      <c r="K1844" s="144" t="str">
        <f>IF(Proc[[#This Row],[Author]]="Marcela Urrego",VLOOKUP(LEFT(Proc[[#This Row],[Requested]],1),Table3[#All],2,0),VLOOKUP(Proc[[#This Row],[Author]],Table4[],2,0))</f>
        <v>HC</v>
      </c>
      <c r="L1844" s="125" t="s">
        <v>2563</v>
      </c>
      <c r="M1844" s="90">
        <v>45807.678356481483</v>
      </c>
      <c r="N1844" s="91">
        <v>45810</v>
      </c>
      <c r="O1844" s="91">
        <v>45810</v>
      </c>
      <c r="P1844" s="90" t="str">
        <f ca="1">IF(Proc[[#This Row],[DaysAgeing]]&gt;5,"yep","on track")</f>
        <v>on track</v>
      </c>
      <c r="Q1844" s="3">
        <f ca="1">IF(Proc[[#This Row],[DateClosed]]="",ABS(NETWORKDAYS(Proc[[#This Row],[DateOpened]],TODAY()))-1,ABS(NETWORKDAYS(Proc[[#This Row],[DateOpened]],Proc[[#This Row],[DateClosed]]))-1)</f>
        <v>1</v>
      </c>
      <c r="R1844" s="90" t="s">
        <v>1013</v>
      </c>
      <c r="S1844" s="94"/>
    </row>
    <row r="1845" spans="1:19" hidden="1">
      <c r="A1845" s="93" t="s">
        <v>3640</v>
      </c>
      <c r="B1845" s="149" t="str">
        <f>IFERROR(VLOOKUP(Proc[[#This Row],[App]],Table2[],3,0),"open")</f>
        <v>ok</v>
      </c>
      <c r="C1845" s="93" t="s">
        <v>369</v>
      </c>
      <c r="D1845" t="s">
        <v>3672</v>
      </c>
      <c r="E1845" t="s">
        <v>3005</v>
      </c>
      <c r="F1845" s="117" t="s">
        <v>3005</v>
      </c>
      <c r="G1845" s="93" t="s">
        <v>400</v>
      </c>
      <c r="H1845" s="94" t="str">
        <f>IF(Proc[[#This Row],[type]]="LFF (MDG-F)",MID(Proc[[#This Row],[Obj]],13,10),"")</f>
        <v/>
      </c>
      <c r="J1845" s="94" t="b">
        <f>Proc[[#This Row],[Requested]]=Proc[[#This Row],[CurrentParent]]</f>
        <v>1</v>
      </c>
      <c r="K1845" s="144" t="str">
        <f>IF(Proc[[#This Row],[Author]]="Marcela Urrego",VLOOKUP(LEFT(Proc[[#This Row],[Requested]],1),Table3[#All],2,0),VLOOKUP(Proc[[#This Row],[Author]],Table4[],2,0))</f>
        <v>HC</v>
      </c>
      <c r="L1845" s="125" t="s">
        <v>2563</v>
      </c>
      <c r="M1845" s="90">
        <v>45807.678356481483</v>
      </c>
      <c r="N1845" s="91">
        <v>45810</v>
      </c>
      <c r="O1845" s="91">
        <v>45810</v>
      </c>
      <c r="P1845" s="90" t="str">
        <f ca="1">IF(Proc[[#This Row],[DaysAgeing]]&gt;5,"yep","on track")</f>
        <v>on track</v>
      </c>
      <c r="Q1845" s="3">
        <f ca="1">IF(Proc[[#This Row],[DateClosed]]="",ABS(NETWORKDAYS(Proc[[#This Row],[DateOpened]],TODAY()))-1,ABS(NETWORKDAYS(Proc[[#This Row],[DateOpened]],Proc[[#This Row],[DateClosed]]))-1)</f>
        <v>1</v>
      </c>
      <c r="R1845" s="90" t="s">
        <v>1013</v>
      </c>
      <c r="S1845" s="94"/>
    </row>
    <row r="1846" spans="1:19" hidden="1">
      <c r="A1846" s="93" t="s">
        <v>3640</v>
      </c>
      <c r="B1846" s="149" t="str">
        <f>IFERROR(VLOOKUP(Proc[[#This Row],[App]],Table2[],3,0),"open")</f>
        <v>ok</v>
      </c>
      <c r="C1846" s="93" t="s">
        <v>369</v>
      </c>
      <c r="D1846" t="s">
        <v>3673</v>
      </c>
      <c r="E1846" t="s">
        <v>3005</v>
      </c>
      <c r="F1846" s="117" t="s">
        <v>3005</v>
      </c>
      <c r="G1846" s="93" t="s">
        <v>400</v>
      </c>
      <c r="H1846" s="94" t="str">
        <f>IF(Proc[[#This Row],[type]]="LFF (MDG-F)",MID(Proc[[#This Row],[Obj]],13,10),"")</f>
        <v/>
      </c>
      <c r="J1846" s="94" t="b">
        <f>Proc[[#This Row],[Requested]]=Proc[[#This Row],[CurrentParent]]</f>
        <v>1</v>
      </c>
      <c r="K1846" s="144" t="str">
        <f>IF(Proc[[#This Row],[Author]]="Marcela Urrego",VLOOKUP(LEFT(Proc[[#This Row],[Requested]],1),Table3[#All],2,0),VLOOKUP(Proc[[#This Row],[Author]],Table4[],2,0))</f>
        <v>HC</v>
      </c>
      <c r="L1846" s="125" t="s">
        <v>2563</v>
      </c>
      <c r="M1846" s="90">
        <v>45807.678356481483</v>
      </c>
      <c r="N1846" s="91">
        <v>45810</v>
      </c>
      <c r="O1846" s="91">
        <v>45810</v>
      </c>
      <c r="P1846" s="90" t="str">
        <f ca="1">IF(Proc[[#This Row],[DaysAgeing]]&gt;5,"yep","on track")</f>
        <v>on track</v>
      </c>
      <c r="Q1846" s="3">
        <f ca="1">IF(Proc[[#This Row],[DateClosed]]="",ABS(NETWORKDAYS(Proc[[#This Row],[DateOpened]],TODAY()))-1,ABS(NETWORKDAYS(Proc[[#This Row],[DateOpened]],Proc[[#This Row],[DateClosed]]))-1)</f>
        <v>1</v>
      </c>
      <c r="R1846" s="90" t="s">
        <v>1013</v>
      </c>
      <c r="S1846" s="94"/>
    </row>
    <row r="1847" spans="1:19" hidden="1">
      <c r="A1847" s="93" t="s">
        <v>3640</v>
      </c>
      <c r="B1847" s="149" t="str">
        <f>IFERROR(VLOOKUP(Proc[[#This Row],[App]],Table2[],3,0),"open")</f>
        <v>ok</v>
      </c>
      <c r="C1847" s="93" t="s">
        <v>369</v>
      </c>
      <c r="D1847" t="s">
        <v>3674</v>
      </c>
      <c r="E1847" t="s">
        <v>3005</v>
      </c>
      <c r="F1847" s="117" t="s">
        <v>3005</v>
      </c>
      <c r="G1847" s="93" t="s">
        <v>400</v>
      </c>
      <c r="H1847" s="94" t="str">
        <f>IF(Proc[[#This Row],[type]]="LFF (MDG-F)",MID(Proc[[#This Row],[Obj]],13,10),"")</f>
        <v/>
      </c>
      <c r="J1847" s="94" t="b">
        <f>Proc[[#This Row],[Requested]]=Proc[[#This Row],[CurrentParent]]</f>
        <v>1</v>
      </c>
      <c r="K1847" s="144" t="str">
        <f>IF(Proc[[#This Row],[Author]]="Marcela Urrego",VLOOKUP(LEFT(Proc[[#This Row],[Requested]],1),Table3[#All],2,0),VLOOKUP(Proc[[#This Row],[Author]],Table4[],2,0))</f>
        <v>HC</v>
      </c>
      <c r="L1847" s="125" t="s">
        <v>2563</v>
      </c>
      <c r="M1847" s="90">
        <v>45807.678356481483</v>
      </c>
      <c r="N1847" s="91">
        <v>45810</v>
      </c>
      <c r="O1847" s="91">
        <v>45810</v>
      </c>
      <c r="P1847" s="90" t="str">
        <f ca="1">IF(Proc[[#This Row],[DaysAgeing]]&gt;5,"yep","on track")</f>
        <v>on track</v>
      </c>
      <c r="Q1847" s="3">
        <f ca="1">IF(Proc[[#This Row],[DateClosed]]="",ABS(NETWORKDAYS(Proc[[#This Row],[DateOpened]],TODAY()))-1,ABS(NETWORKDAYS(Proc[[#This Row],[DateOpened]],Proc[[#This Row],[DateClosed]]))-1)</f>
        <v>1</v>
      </c>
      <c r="R1847" s="90" t="s">
        <v>1013</v>
      </c>
      <c r="S1847" s="94"/>
    </row>
    <row r="1848" spans="1:19" hidden="1">
      <c r="A1848" s="93" t="s">
        <v>3640</v>
      </c>
      <c r="B1848" s="149" t="str">
        <f>IFERROR(VLOOKUP(Proc[[#This Row],[App]],Table2[],3,0),"open")</f>
        <v>ok</v>
      </c>
      <c r="C1848" s="93" t="s">
        <v>369</v>
      </c>
      <c r="D1848" t="s">
        <v>3675</v>
      </c>
      <c r="E1848" t="s">
        <v>3003</v>
      </c>
      <c r="F1848" s="117" t="s">
        <v>3003</v>
      </c>
      <c r="G1848" s="93" t="s">
        <v>400</v>
      </c>
      <c r="H1848" s="94" t="str">
        <f>IF(Proc[[#This Row],[type]]="LFF (MDG-F)",MID(Proc[[#This Row],[Obj]],13,10),"")</f>
        <v/>
      </c>
      <c r="J1848" s="94" t="b">
        <f>Proc[[#This Row],[Requested]]=Proc[[#This Row],[CurrentParent]]</f>
        <v>1</v>
      </c>
      <c r="K1848" s="144" t="str">
        <f>IF(Proc[[#This Row],[Author]]="Marcela Urrego",VLOOKUP(LEFT(Proc[[#This Row],[Requested]],1),Table3[#All],2,0),VLOOKUP(Proc[[#This Row],[Author]],Table4[],2,0))</f>
        <v>HC</v>
      </c>
      <c r="L1848" s="125" t="s">
        <v>2563</v>
      </c>
      <c r="M1848" s="90">
        <v>45807.678356481483</v>
      </c>
      <c r="N1848" s="91">
        <v>45810</v>
      </c>
      <c r="O1848" s="91">
        <v>45810</v>
      </c>
      <c r="P1848" s="90" t="str">
        <f ca="1">IF(Proc[[#This Row],[DaysAgeing]]&gt;5,"yep","on track")</f>
        <v>on track</v>
      </c>
      <c r="Q1848" s="3">
        <f ca="1">IF(Proc[[#This Row],[DateClosed]]="",ABS(NETWORKDAYS(Proc[[#This Row],[DateOpened]],TODAY()))-1,ABS(NETWORKDAYS(Proc[[#This Row],[DateOpened]],Proc[[#This Row],[DateClosed]]))-1)</f>
        <v>1</v>
      </c>
      <c r="R1848" s="90" t="s">
        <v>1013</v>
      </c>
      <c r="S1848" s="94"/>
    </row>
    <row r="1849" spans="1:19" hidden="1">
      <c r="A1849" s="93" t="s">
        <v>3640</v>
      </c>
      <c r="B1849" s="149" t="str">
        <f>IFERROR(VLOOKUP(Proc[[#This Row],[App]],Table2[],3,0),"open")</f>
        <v>ok</v>
      </c>
      <c r="C1849" s="93" t="s">
        <v>369</v>
      </c>
      <c r="D1849" t="s">
        <v>3676</v>
      </c>
      <c r="E1849" t="s">
        <v>3003</v>
      </c>
      <c r="F1849" s="117" t="s">
        <v>3003</v>
      </c>
      <c r="G1849" s="93" t="s">
        <v>400</v>
      </c>
      <c r="H1849" s="94" t="str">
        <f>IF(Proc[[#This Row],[type]]="LFF (MDG-F)",MID(Proc[[#This Row],[Obj]],13,10),"")</f>
        <v/>
      </c>
      <c r="J1849" s="94" t="b">
        <f>Proc[[#This Row],[Requested]]=Proc[[#This Row],[CurrentParent]]</f>
        <v>1</v>
      </c>
      <c r="K1849" s="144" t="str">
        <f>IF(Proc[[#This Row],[Author]]="Marcela Urrego",VLOOKUP(LEFT(Proc[[#This Row],[Requested]],1),Table3[#All],2,0),VLOOKUP(Proc[[#This Row],[Author]],Table4[],2,0))</f>
        <v>HC</v>
      </c>
      <c r="L1849" s="125" t="s">
        <v>2563</v>
      </c>
      <c r="M1849" s="90">
        <v>45807.678356481483</v>
      </c>
      <c r="N1849" s="91">
        <v>45810</v>
      </c>
      <c r="O1849" s="91">
        <v>45810</v>
      </c>
      <c r="P1849" s="90" t="str">
        <f ca="1">IF(Proc[[#This Row],[DaysAgeing]]&gt;5,"yep","on track")</f>
        <v>on track</v>
      </c>
      <c r="Q1849" s="3">
        <f ca="1">IF(Proc[[#This Row],[DateClosed]]="",ABS(NETWORKDAYS(Proc[[#This Row],[DateOpened]],TODAY()))-1,ABS(NETWORKDAYS(Proc[[#This Row],[DateOpened]],Proc[[#This Row],[DateClosed]]))-1)</f>
        <v>1</v>
      </c>
      <c r="R1849" s="90" t="s">
        <v>1013</v>
      </c>
      <c r="S1849" s="94"/>
    </row>
    <row r="1850" spans="1:19" hidden="1">
      <c r="A1850" s="93" t="s">
        <v>3640</v>
      </c>
      <c r="B1850" s="149" t="str">
        <f>IFERROR(VLOOKUP(Proc[[#This Row],[App]],Table2[],3,0),"open")</f>
        <v>ok</v>
      </c>
      <c r="C1850" s="93" t="s">
        <v>369</v>
      </c>
      <c r="D1850" t="s">
        <v>3677</v>
      </c>
      <c r="E1850" t="s">
        <v>3003</v>
      </c>
      <c r="F1850" s="117" t="s">
        <v>3003</v>
      </c>
      <c r="G1850" s="93" t="s">
        <v>400</v>
      </c>
      <c r="H1850" s="94" t="str">
        <f>IF(Proc[[#This Row],[type]]="LFF (MDG-F)",MID(Proc[[#This Row],[Obj]],13,10),"")</f>
        <v/>
      </c>
      <c r="J1850" s="94" t="b">
        <f>Proc[[#This Row],[Requested]]=Proc[[#This Row],[CurrentParent]]</f>
        <v>1</v>
      </c>
      <c r="K1850" s="144" t="str">
        <f>IF(Proc[[#This Row],[Author]]="Marcela Urrego",VLOOKUP(LEFT(Proc[[#This Row],[Requested]],1),Table3[#All],2,0),VLOOKUP(Proc[[#This Row],[Author]],Table4[],2,0))</f>
        <v>HC</v>
      </c>
      <c r="L1850" s="125" t="s">
        <v>2563</v>
      </c>
      <c r="M1850" s="90">
        <v>45807.678356481483</v>
      </c>
      <c r="N1850" s="91">
        <v>45810</v>
      </c>
      <c r="O1850" s="91">
        <v>45810</v>
      </c>
      <c r="P1850" s="90" t="str">
        <f ca="1">IF(Proc[[#This Row],[DaysAgeing]]&gt;5,"yep","on track")</f>
        <v>on track</v>
      </c>
      <c r="Q1850" s="3">
        <f ca="1">IF(Proc[[#This Row],[DateClosed]]="",ABS(NETWORKDAYS(Proc[[#This Row],[DateOpened]],TODAY()))-1,ABS(NETWORKDAYS(Proc[[#This Row],[DateOpened]],Proc[[#This Row],[DateClosed]]))-1)</f>
        <v>1</v>
      </c>
      <c r="R1850" s="90" t="s">
        <v>1013</v>
      </c>
      <c r="S1850" s="94"/>
    </row>
    <row r="1851" spans="1:19" hidden="1">
      <c r="A1851" s="93" t="s">
        <v>3640</v>
      </c>
      <c r="B1851" s="149" t="str">
        <f>IFERROR(VLOOKUP(Proc[[#This Row],[App]],Table2[],3,0),"open")</f>
        <v>ok</v>
      </c>
      <c r="C1851" s="93" t="s">
        <v>369</v>
      </c>
      <c r="D1851" t="s">
        <v>3678</v>
      </c>
      <c r="E1851" t="s">
        <v>3003</v>
      </c>
      <c r="F1851" s="117" t="s">
        <v>3003</v>
      </c>
      <c r="G1851" s="93" t="s">
        <v>400</v>
      </c>
      <c r="H1851" s="94" t="str">
        <f>IF(Proc[[#This Row],[type]]="LFF (MDG-F)",MID(Proc[[#This Row],[Obj]],13,10),"")</f>
        <v/>
      </c>
      <c r="J1851" s="94" t="b">
        <f>Proc[[#This Row],[Requested]]=Proc[[#This Row],[CurrentParent]]</f>
        <v>1</v>
      </c>
      <c r="K1851" s="144" t="str">
        <f>IF(Proc[[#This Row],[Author]]="Marcela Urrego",VLOOKUP(LEFT(Proc[[#This Row],[Requested]],1),Table3[#All],2,0),VLOOKUP(Proc[[#This Row],[Author]],Table4[],2,0))</f>
        <v>HC</v>
      </c>
      <c r="L1851" s="125" t="s">
        <v>2563</v>
      </c>
      <c r="M1851" s="90">
        <v>45807.678356481483</v>
      </c>
      <c r="N1851" s="91">
        <v>45810</v>
      </c>
      <c r="O1851" s="91">
        <v>45810</v>
      </c>
      <c r="P1851" s="90" t="str">
        <f ca="1">IF(Proc[[#This Row],[DaysAgeing]]&gt;5,"yep","on track")</f>
        <v>on track</v>
      </c>
      <c r="Q1851" s="3">
        <f ca="1">IF(Proc[[#This Row],[DateClosed]]="",ABS(NETWORKDAYS(Proc[[#This Row],[DateOpened]],TODAY()))-1,ABS(NETWORKDAYS(Proc[[#This Row],[DateOpened]],Proc[[#This Row],[DateClosed]]))-1)</f>
        <v>1</v>
      </c>
      <c r="R1851" s="90" t="s">
        <v>1013</v>
      </c>
      <c r="S1851" s="94"/>
    </row>
    <row r="1852" spans="1:19" hidden="1">
      <c r="A1852" s="93" t="s">
        <v>3640</v>
      </c>
      <c r="B1852" s="149" t="str">
        <f>IFERROR(VLOOKUP(Proc[[#This Row],[App]],Table2[],3,0),"open")</f>
        <v>ok</v>
      </c>
      <c r="C1852" s="93" t="s">
        <v>369</v>
      </c>
      <c r="D1852" t="s">
        <v>3679</v>
      </c>
      <c r="E1852" t="s">
        <v>3003</v>
      </c>
      <c r="F1852" s="117" t="s">
        <v>3003</v>
      </c>
      <c r="G1852" s="93" t="s">
        <v>400</v>
      </c>
      <c r="H1852" s="94" t="str">
        <f>IF(Proc[[#This Row],[type]]="LFF (MDG-F)",MID(Proc[[#This Row],[Obj]],13,10),"")</f>
        <v/>
      </c>
      <c r="J1852" s="94" t="b">
        <f>Proc[[#This Row],[Requested]]=Proc[[#This Row],[CurrentParent]]</f>
        <v>1</v>
      </c>
      <c r="K1852" s="144" t="str">
        <f>IF(Proc[[#This Row],[Author]]="Marcela Urrego",VLOOKUP(LEFT(Proc[[#This Row],[Requested]],1),Table3[#All],2,0),VLOOKUP(Proc[[#This Row],[Author]],Table4[],2,0))</f>
        <v>HC</v>
      </c>
      <c r="L1852" s="125" t="s">
        <v>2563</v>
      </c>
      <c r="M1852" s="90">
        <v>45807.678356481483</v>
      </c>
      <c r="N1852" s="91">
        <v>45810</v>
      </c>
      <c r="O1852" s="91">
        <v>45810</v>
      </c>
      <c r="P1852" s="90" t="str">
        <f ca="1">IF(Proc[[#This Row],[DaysAgeing]]&gt;5,"yep","on track")</f>
        <v>on track</v>
      </c>
      <c r="Q1852" s="3">
        <f ca="1">IF(Proc[[#This Row],[DateClosed]]="",ABS(NETWORKDAYS(Proc[[#This Row],[DateOpened]],TODAY()))-1,ABS(NETWORKDAYS(Proc[[#This Row],[DateOpened]],Proc[[#This Row],[DateClosed]]))-1)</f>
        <v>1</v>
      </c>
      <c r="R1852" s="90" t="s">
        <v>1013</v>
      </c>
      <c r="S1852" s="94"/>
    </row>
    <row r="1853" spans="1:19" hidden="1">
      <c r="A1853" s="93" t="s">
        <v>3640</v>
      </c>
      <c r="B1853" s="149" t="str">
        <f>IFERROR(VLOOKUP(Proc[[#This Row],[App]],Table2[],3,0),"open")</f>
        <v>ok</v>
      </c>
      <c r="C1853" s="93" t="s">
        <v>369</v>
      </c>
      <c r="D1853" t="s">
        <v>3680</v>
      </c>
      <c r="E1853" t="s">
        <v>3004</v>
      </c>
      <c r="F1853" s="117" t="s">
        <v>3004</v>
      </c>
      <c r="G1853" s="93" t="s">
        <v>400</v>
      </c>
      <c r="H1853" s="94" t="str">
        <f>IF(Proc[[#This Row],[type]]="LFF (MDG-F)",MID(Proc[[#This Row],[Obj]],13,10),"")</f>
        <v/>
      </c>
      <c r="J1853" s="94" t="b">
        <f>Proc[[#This Row],[Requested]]=Proc[[#This Row],[CurrentParent]]</f>
        <v>1</v>
      </c>
      <c r="K1853" s="144" t="str">
        <f>IF(Proc[[#This Row],[Author]]="Marcela Urrego",VLOOKUP(LEFT(Proc[[#This Row],[Requested]],1),Table3[#All],2,0),VLOOKUP(Proc[[#This Row],[Author]],Table4[],2,0))</f>
        <v>HC</v>
      </c>
      <c r="L1853" s="125" t="s">
        <v>2563</v>
      </c>
      <c r="M1853" s="90">
        <v>45807.678356481483</v>
      </c>
      <c r="N1853" s="91">
        <v>45810</v>
      </c>
      <c r="O1853" s="91">
        <v>45810</v>
      </c>
      <c r="P1853" s="90" t="str">
        <f ca="1">IF(Proc[[#This Row],[DaysAgeing]]&gt;5,"yep","on track")</f>
        <v>on track</v>
      </c>
      <c r="Q1853" s="3">
        <f ca="1">IF(Proc[[#This Row],[DateClosed]]="",ABS(NETWORKDAYS(Proc[[#This Row],[DateOpened]],TODAY()))-1,ABS(NETWORKDAYS(Proc[[#This Row],[DateOpened]],Proc[[#This Row],[DateClosed]]))-1)</f>
        <v>1</v>
      </c>
      <c r="R1853" s="90" t="s">
        <v>1013</v>
      </c>
      <c r="S1853" s="94"/>
    </row>
    <row r="1854" spans="1:19" hidden="1">
      <c r="A1854" s="93" t="s">
        <v>3640</v>
      </c>
      <c r="B1854" s="149" t="str">
        <f>IFERROR(VLOOKUP(Proc[[#This Row],[App]],Table2[],3,0),"open")</f>
        <v>ok</v>
      </c>
      <c r="C1854" s="93" t="s">
        <v>369</v>
      </c>
      <c r="D1854" t="s">
        <v>3681</v>
      </c>
      <c r="E1854" t="s">
        <v>3003</v>
      </c>
      <c r="F1854" s="117" t="s">
        <v>3003</v>
      </c>
      <c r="G1854" s="93" t="s">
        <v>400</v>
      </c>
      <c r="H1854" s="94" t="str">
        <f>IF(Proc[[#This Row],[type]]="LFF (MDG-F)",MID(Proc[[#This Row],[Obj]],13,10),"")</f>
        <v/>
      </c>
      <c r="J1854" s="94" t="b">
        <f>Proc[[#This Row],[Requested]]=Proc[[#This Row],[CurrentParent]]</f>
        <v>1</v>
      </c>
      <c r="K1854" s="144" t="str">
        <f>IF(Proc[[#This Row],[Author]]="Marcela Urrego",VLOOKUP(LEFT(Proc[[#This Row],[Requested]],1),Table3[#All],2,0),VLOOKUP(Proc[[#This Row],[Author]],Table4[],2,0))</f>
        <v>HC</v>
      </c>
      <c r="L1854" s="125" t="s">
        <v>2563</v>
      </c>
      <c r="M1854" s="90">
        <v>45807.678356481483</v>
      </c>
      <c r="N1854" s="91">
        <v>45810</v>
      </c>
      <c r="O1854" s="91">
        <v>45810</v>
      </c>
      <c r="P1854" s="90" t="str">
        <f ca="1">IF(Proc[[#This Row],[DaysAgeing]]&gt;5,"yep","on track")</f>
        <v>on track</v>
      </c>
      <c r="Q1854" s="3">
        <f ca="1">IF(Proc[[#This Row],[DateClosed]]="",ABS(NETWORKDAYS(Proc[[#This Row],[DateOpened]],TODAY()))-1,ABS(NETWORKDAYS(Proc[[#This Row],[DateOpened]],Proc[[#This Row],[DateClosed]]))-1)</f>
        <v>1</v>
      </c>
      <c r="R1854" s="90" t="s">
        <v>1013</v>
      </c>
      <c r="S1854" s="94"/>
    </row>
    <row r="1855" spans="1:19" hidden="1">
      <c r="A1855" s="93" t="s">
        <v>3640</v>
      </c>
      <c r="B1855" s="149" t="str">
        <f>IFERROR(VLOOKUP(Proc[[#This Row],[App]],Table2[],3,0),"open")</f>
        <v>ok</v>
      </c>
      <c r="C1855" s="93" t="s">
        <v>369</v>
      </c>
      <c r="D1855" t="s">
        <v>3682</v>
      </c>
      <c r="E1855" t="s">
        <v>3003</v>
      </c>
      <c r="F1855" s="117" t="s">
        <v>3003</v>
      </c>
      <c r="G1855" s="93" t="s">
        <v>400</v>
      </c>
      <c r="H1855" s="94" t="str">
        <f>IF(Proc[[#This Row],[type]]="LFF (MDG-F)",MID(Proc[[#This Row],[Obj]],13,10),"")</f>
        <v/>
      </c>
      <c r="J1855" s="94" t="b">
        <f>Proc[[#This Row],[Requested]]=Proc[[#This Row],[CurrentParent]]</f>
        <v>1</v>
      </c>
      <c r="K1855" s="144" t="str">
        <f>IF(Proc[[#This Row],[Author]]="Marcela Urrego",VLOOKUP(LEFT(Proc[[#This Row],[Requested]],1),Table3[#All],2,0),VLOOKUP(Proc[[#This Row],[Author]],Table4[],2,0))</f>
        <v>HC</v>
      </c>
      <c r="L1855" s="125" t="s">
        <v>2563</v>
      </c>
      <c r="M1855" s="90">
        <v>45807.678356481483</v>
      </c>
      <c r="N1855" s="91">
        <v>45810</v>
      </c>
      <c r="O1855" s="91">
        <v>45810</v>
      </c>
      <c r="P1855" s="90" t="str">
        <f ca="1">IF(Proc[[#This Row],[DaysAgeing]]&gt;5,"yep","on track")</f>
        <v>on track</v>
      </c>
      <c r="Q1855" s="3">
        <f ca="1">IF(Proc[[#This Row],[DateClosed]]="",ABS(NETWORKDAYS(Proc[[#This Row],[DateOpened]],TODAY()))-1,ABS(NETWORKDAYS(Proc[[#This Row],[DateOpened]],Proc[[#This Row],[DateClosed]]))-1)</f>
        <v>1</v>
      </c>
      <c r="R1855" s="90" t="s">
        <v>1013</v>
      </c>
      <c r="S1855" s="94"/>
    </row>
    <row r="1856" spans="1:19" hidden="1">
      <c r="A1856" s="93" t="s">
        <v>3640</v>
      </c>
      <c r="B1856" s="149" t="str">
        <f>IFERROR(VLOOKUP(Proc[[#This Row],[App]],Table2[],3,0),"open")</f>
        <v>ok</v>
      </c>
      <c r="C1856" s="93" t="s">
        <v>369</v>
      </c>
      <c r="D1856" t="s">
        <v>3683</v>
      </c>
      <c r="E1856" t="s">
        <v>3003</v>
      </c>
      <c r="F1856" s="117" t="s">
        <v>3003</v>
      </c>
      <c r="G1856" s="93" t="s">
        <v>400</v>
      </c>
      <c r="H1856" s="94" t="str">
        <f>IF(Proc[[#This Row],[type]]="LFF (MDG-F)",MID(Proc[[#This Row],[Obj]],13,10),"")</f>
        <v/>
      </c>
      <c r="J1856" s="94" t="b">
        <f>Proc[[#This Row],[Requested]]=Proc[[#This Row],[CurrentParent]]</f>
        <v>1</v>
      </c>
      <c r="K1856" s="144" t="str">
        <f>IF(Proc[[#This Row],[Author]]="Marcela Urrego",VLOOKUP(LEFT(Proc[[#This Row],[Requested]],1),Table3[#All],2,0),VLOOKUP(Proc[[#This Row],[Author]],Table4[],2,0))</f>
        <v>HC</v>
      </c>
      <c r="L1856" s="125" t="s">
        <v>2563</v>
      </c>
      <c r="M1856" s="90">
        <v>45807.678356481483</v>
      </c>
      <c r="N1856" s="91">
        <v>45810</v>
      </c>
      <c r="O1856" s="91">
        <v>45810</v>
      </c>
      <c r="P1856" s="90" t="str">
        <f ca="1">IF(Proc[[#This Row],[DaysAgeing]]&gt;5,"yep","on track")</f>
        <v>on track</v>
      </c>
      <c r="Q1856" s="3">
        <f ca="1">IF(Proc[[#This Row],[DateClosed]]="",ABS(NETWORKDAYS(Proc[[#This Row],[DateOpened]],TODAY()))-1,ABS(NETWORKDAYS(Proc[[#This Row],[DateOpened]],Proc[[#This Row],[DateClosed]]))-1)</f>
        <v>1</v>
      </c>
      <c r="R1856" s="90" t="s">
        <v>1013</v>
      </c>
      <c r="S1856" s="94"/>
    </row>
    <row r="1857" spans="1:19" hidden="1">
      <c r="A1857" s="93" t="s">
        <v>3640</v>
      </c>
      <c r="B1857" s="149" t="str">
        <f>IFERROR(VLOOKUP(Proc[[#This Row],[App]],Table2[],3,0),"open")</f>
        <v>ok</v>
      </c>
      <c r="C1857" s="93" t="s">
        <v>369</v>
      </c>
      <c r="D1857" t="s">
        <v>3684</v>
      </c>
      <c r="E1857" t="s">
        <v>3003</v>
      </c>
      <c r="F1857" s="117" t="s">
        <v>3003</v>
      </c>
      <c r="G1857" s="93" t="s">
        <v>400</v>
      </c>
      <c r="H1857" s="94" t="str">
        <f>IF(Proc[[#This Row],[type]]="LFF (MDG-F)",MID(Proc[[#This Row],[Obj]],13,10),"")</f>
        <v/>
      </c>
      <c r="J1857" s="94" t="b">
        <f>Proc[[#This Row],[Requested]]=Proc[[#This Row],[CurrentParent]]</f>
        <v>1</v>
      </c>
      <c r="K1857" s="144" t="str">
        <f>IF(Proc[[#This Row],[Author]]="Marcela Urrego",VLOOKUP(LEFT(Proc[[#This Row],[Requested]],1),Table3[#All],2,0),VLOOKUP(Proc[[#This Row],[Author]],Table4[],2,0))</f>
        <v>HC</v>
      </c>
      <c r="L1857" s="125" t="s">
        <v>2563</v>
      </c>
      <c r="M1857" s="90">
        <v>45807.678356481483</v>
      </c>
      <c r="N1857" s="91">
        <v>45810</v>
      </c>
      <c r="O1857" s="91">
        <v>45810</v>
      </c>
      <c r="P1857" s="90" t="str">
        <f ca="1">IF(Proc[[#This Row],[DaysAgeing]]&gt;5,"yep","on track")</f>
        <v>on track</v>
      </c>
      <c r="Q1857" s="3">
        <f ca="1">IF(Proc[[#This Row],[DateClosed]]="",ABS(NETWORKDAYS(Proc[[#This Row],[DateOpened]],TODAY()))-1,ABS(NETWORKDAYS(Proc[[#This Row],[DateOpened]],Proc[[#This Row],[DateClosed]]))-1)</f>
        <v>1</v>
      </c>
      <c r="R1857" s="90" t="s">
        <v>1013</v>
      </c>
      <c r="S1857" s="94"/>
    </row>
    <row r="1858" spans="1:19" hidden="1">
      <c r="A1858" s="93" t="s">
        <v>3640</v>
      </c>
      <c r="B1858" s="149" t="str">
        <f>IFERROR(VLOOKUP(Proc[[#This Row],[App]],Table2[],3,0),"open")</f>
        <v>ok</v>
      </c>
      <c r="C1858" s="93" t="s">
        <v>369</v>
      </c>
      <c r="D1858" t="s">
        <v>3685</v>
      </c>
      <c r="E1858" t="s">
        <v>3003</v>
      </c>
      <c r="F1858" s="117" t="s">
        <v>3003</v>
      </c>
      <c r="G1858" s="93" t="s">
        <v>400</v>
      </c>
      <c r="H1858" s="94" t="str">
        <f>IF(Proc[[#This Row],[type]]="LFF (MDG-F)",MID(Proc[[#This Row],[Obj]],13,10),"")</f>
        <v/>
      </c>
      <c r="J1858" s="94" t="b">
        <f>Proc[[#This Row],[Requested]]=Proc[[#This Row],[CurrentParent]]</f>
        <v>1</v>
      </c>
      <c r="K1858" s="144" t="str">
        <f>IF(Proc[[#This Row],[Author]]="Marcela Urrego",VLOOKUP(LEFT(Proc[[#This Row],[Requested]],1),Table3[#All],2,0),VLOOKUP(Proc[[#This Row],[Author]],Table4[],2,0))</f>
        <v>HC</v>
      </c>
      <c r="L1858" s="125" t="s">
        <v>2563</v>
      </c>
      <c r="M1858" s="90">
        <v>45807.678356481483</v>
      </c>
      <c r="N1858" s="91">
        <v>45810</v>
      </c>
      <c r="O1858" s="91">
        <v>45810</v>
      </c>
      <c r="P1858" s="90" t="str">
        <f ca="1">IF(Proc[[#This Row],[DaysAgeing]]&gt;5,"yep","on track")</f>
        <v>on track</v>
      </c>
      <c r="Q1858" s="3">
        <f ca="1">IF(Proc[[#This Row],[DateClosed]]="",ABS(NETWORKDAYS(Proc[[#This Row],[DateOpened]],TODAY()))-1,ABS(NETWORKDAYS(Proc[[#This Row],[DateOpened]],Proc[[#This Row],[DateClosed]]))-1)</f>
        <v>1</v>
      </c>
      <c r="R1858" s="90" t="s">
        <v>1013</v>
      </c>
      <c r="S1858" s="94"/>
    </row>
    <row r="1859" spans="1:19" hidden="1">
      <c r="A1859" s="93" t="s">
        <v>3640</v>
      </c>
      <c r="B1859" s="149" t="str">
        <f>IFERROR(VLOOKUP(Proc[[#This Row],[App]],Table2[],3,0),"open")</f>
        <v>ok</v>
      </c>
      <c r="C1859" s="93" t="s">
        <v>369</v>
      </c>
      <c r="D1859" t="s">
        <v>3686</v>
      </c>
      <c r="E1859" t="s">
        <v>3005</v>
      </c>
      <c r="F1859" s="117" t="s">
        <v>3005</v>
      </c>
      <c r="G1859" s="93" t="s">
        <v>400</v>
      </c>
      <c r="H1859" s="94" t="str">
        <f>IF(Proc[[#This Row],[type]]="LFF (MDG-F)",MID(Proc[[#This Row],[Obj]],13,10),"")</f>
        <v/>
      </c>
      <c r="J1859" s="94" t="b">
        <f>Proc[[#This Row],[Requested]]=Proc[[#This Row],[CurrentParent]]</f>
        <v>1</v>
      </c>
      <c r="K1859" s="144" t="str">
        <f>IF(Proc[[#This Row],[Author]]="Marcela Urrego",VLOOKUP(LEFT(Proc[[#This Row],[Requested]],1),Table3[#All],2,0),VLOOKUP(Proc[[#This Row],[Author]],Table4[],2,0))</f>
        <v>HC</v>
      </c>
      <c r="L1859" s="125" t="s">
        <v>2563</v>
      </c>
      <c r="M1859" s="90">
        <v>45807.678356481483</v>
      </c>
      <c r="N1859" s="91">
        <v>45810</v>
      </c>
      <c r="O1859" s="91">
        <v>45810</v>
      </c>
      <c r="P1859" s="90" t="str">
        <f ca="1">IF(Proc[[#This Row],[DaysAgeing]]&gt;5,"yep","on track")</f>
        <v>on track</v>
      </c>
      <c r="Q1859" s="3">
        <f ca="1">IF(Proc[[#This Row],[DateClosed]]="",ABS(NETWORKDAYS(Proc[[#This Row],[DateOpened]],TODAY()))-1,ABS(NETWORKDAYS(Proc[[#This Row],[DateOpened]],Proc[[#This Row],[DateClosed]]))-1)</f>
        <v>1</v>
      </c>
      <c r="R1859" s="90" t="s">
        <v>1013</v>
      </c>
      <c r="S1859" s="94"/>
    </row>
    <row r="1860" spans="1:19" hidden="1">
      <c r="A1860" s="93" t="s">
        <v>3640</v>
      </c>
      <c r="B1860" s="149" t="str">
        <f>IFERROR(VLOOKUP(Proc[[#This Row],[App]],Table2[],3,0),"open")</f>
        <v>ok</v>
      </c>
      <c r="C1860" s="93" t="s">
        <v>369</v>
      </c>
      <c r="D1860" t="s">
        <v>3687</v>
      </c>
      <c r="E1860" t="s">
        <v>3005</v>
      </c>
      <c r="F1860" s="117" t="s">
        <v>3005</v>
      </c>
      <c r="G1860" s="93" t="s">
        <v>400</v>
      </c>
      <c r="H1860" s="94" t="str">
        <f>IF(Proc[[#This Row],[type]]="LFF (MDG-F)",MID(Proc[[#This Row],[Obj]],13,10),"")</f>
        <v/>
      </c>
      <c r="J1860" s="94" t="b">
        <f>Proc[[#This Row],[Requested]]=Proc[[#This Row],[CurrentParent]]</f>
        <v>1</v>
      </c>
      <c r="K1860" s="144" t="str">
        <f>IF(Proc[[#This Row],[Author]]="Marcela Urrego",VLOOKUP(LEFT(Proc[[#This Row],[Requested]],1),Table3[#All],2,0),VLOOKUP(Proc[[#This Row],[Author]],Table4[],2,0))</f>
        <v>HC</v>
      </c>
      <c r="L1860" s="125" t="s">
        <v>2563</v>
      </c>
      <c r="M1860" s="90">
        <v>45807.678356481483</v>
      </c>
      <c r="N1860" s="91">
        <v>45810</v>
      </c>
      <c r="O1860" s="91">
        <v>45810</v>
      </c>
      <c r="P1860" s="90" t="str">
        <f ca="1">IF(Proc[[#This Row],[DaysAgeing]]&gt;5,"yep","on track")</f>
        <v>on track</v>
      </c>
      <c r="Q1860" s="3">
        <f ca="1">IF(Proc[[#This Row],[DateClosed]]="",ABS(NETWORKDAYS(Proc[[#This Row],[DateOpened]],TODAY()))-1,ABS(NETWORKDAYS(Proc[[#This Row],[DateOpened]],Proc[[#This Row],[DateClosed]]))-1)</f>
        <v>1</v>
      </c>
      <c r="R1860" s="90" t="s">
        <v>1013</v>
      </c>
      <c r="S1860" s="94"/>
    </row>
    <row r="1861" spans="1:19" hidden="1">
      <c r="A1861" s="93" t="s">
        <v>3640</v>
      </c>
      <c r="B1861" s="149" t="str">
        <f>IFERROR(VLOOKUP(Proc[[#This Row],[App]],Table2[],3,0),"open")</f>
        <v>ok</v>
      </c>
      <c r="C1861" s="93" t="s">
        <v>369</v>
      </c>
      <c r="D1861" t="s">
        <v>3688</v>
      </c>
      <c r="E1861" t="s">
        <v>3005</v>
      </c>
      <c r="F1861" s="117" t="s">
        <v>3005</v>
      </c>
      <c r="G1861" s="93" t="s">
        <v>400</v>
      </c>
      <c r="H1861" s="94" t="str">
        <f>IF(Proc[[#This Row],[type]]="LFF (MDG-F)",MID(Proc[[#This Row],[Obj]],13,10),"")</f>
        <v/>
      </c>
      <c r="J1861" s="94" t="b">
        <f>Proc[[#This Row],[Requested]]=Proc[[#This Row],[CurrentParent]]</f>
        <v>1</v>
      </c>
      <c r="K1861" s="144" t="str">
        <f>IF(Proc[[#This Row],[Author]]="Marcela Urrego",VLOOKUP(LEFT(Proc[[#This Row],[Requested]],1),Table3[#All],2,0),VLOOKUP(Proc[[#This Row],[Author]],Table4[],2,0))</f>
        <v>HC</v>
      </c>
      <c r="L1861" s="125" t="s">
        <v>2563</v>
      </c>
      <c r="M1861" s="90">
        <v>45807.678356481483</v>
      </c>
      <c r="N1861" s="91">
        <v>45810</v>
      </c>
      <c r="O1861" s="91">
        <v>45810</v>
      </c>
      <c r="P1861" s="90" t="str">
        <f ca="1">IF(Proc[[#This Row],[DaysAgeing]]&gt;5,"yep","on track")</f>
        <v>on track</v>
      </c>
      <c r="Q1861" s="3">
        <f ca="1">IF(Proc[[#This Row],[DateClosed]]="",ABS(NETWORKDAYS(Proc[[#This Row],[DateOpened]],TODAY()))-1,ABS(NETWORKDAYS(Proc[[#This Row],[DateOpened]],Proc[[#This Row],[DateClosed]]))-1)</f>
        <v>1</v>
      </c>
      <c r="R1861" s="90" t="s">
        <v>1013</v>
      </c>
      <c r="S1861" s="94"/>
    </row>
    <row r="1862" spans="1:19" hidden="1">
      <c r="A1862" s="93" t="s">
        <v>3640</v>
      </c>
      <c r="B1862" s="149" t="str">
        <f>IFERROR(VLOOKUP(Proc[[#This Row],[App]],Table2[],3,0),"open")</f>
        <v>ok</v>
      </c>
      <c r="C1862" s="93" t="s">
        <v>369</v>
      </c>
      <c r="D1862" t="s">
        <v>3689</v>
      </c>
      <c r="E1862" t="s">
        <v>3003</v>
      </c>
      <c r="F1862" s="117" t="s">
        <v>3003</v>
      </c>
      <c r="G1862" s="93" t="s">
        <v>400</v>
      </c>
      <c r="H1862" s="94" t="str">
        <f>IF(Proc[[#This Row],[type]]="LFF (MDG-F)",MID(Proc[[#This Row],[Obj]],13,10),"")</f>
        <v/>
      </c>
      <c r="J1862" s="94" t="b">
        <f>Proc[[#This Row],[Requested]]=Proc[[#This Row],[CurrentParent]]</f>
        <v>1</v>
      </c>
      <c r="K1862" s="144" t="str">
        <f>IF(Proc[[#This Row],[Author]]="Marcela Urrego",VLOOKUP(LEFT(Proc[[#This Row],[Requested]],1),Table3[#All],2,0),VLOOKUP(Proc[[#This Row],[Author]],Table4[],2,0))</f>
        <v>HC</v>
      </c>
      <c r="L1862" s="125" t="s">
        <v>2563</v>
      </c>
      <c r="M1862" s="90">
        <v>45807.678356481483</v>
      </c>
      <c r="N1862" s="91">
        <v>45810</v>
      </c>
      <c r="O1862" s="91">
        <v>45810</v>
      </c>
      <c r="P1862" s="90" t="str">
        <f ca="1">IF(Proc[[#This Row],[DaysAgeing]]&gt;5,"yep","on track")</f>
        <v>on track</v>
      </c>
      <c r="Q1862" s="3">
        <f ca="1">IF(Proc[[#This Row],[DateClosed]]="",ABS(NETWORKDAYS(Proc[[#This Row],[DateOpened]],TODAY()))-1,ABS(NETWORKDAYS(Proc[[#This Row],[DateOpened]],Proc[[#This Row],[DateClosed]]))-1)</f>
        <v>1</v>
      </c>
      <c r="R1862" s="90" t="s">
        <v>1013</v>
      </c>
      <c r="S1862" s="94"/>
    </row>
    <row r="1863" spans="1:19" hidden="1">
      <c r="A1863" s="93" t="s">
        <v>3640</v>
      </c>
      <c r="B1863" s="149" t="str">
        <f>IFERROR(VLOOKUP(Proc[[#This Row],[App]],Table2[],3,0),"open")</f>
        <v>ok</v>
      </c>
      <c r="C1863" s="93" t="s">
        <v>369</v>
      </c>
      <c r="D1863" t="s">
        <v>3690</v>
      </c>
      <c r="E1863" t="s">
        <v>3740</v>
      </c>
      <c r="F1863" s="117" t="s">
        <v>3740</v>
      </c>
      <c r="G1863" s="93" t="s">
        <v>400</v>
      </c>
      <c r="H1863" s="94" t="str">
        <f>IF(Proc[[#This Row],[type]]="LFF (MDG-F)",MID(Proc[[#This Row],[Obj]],13,10),"")</f>
        <v/>
      </c>
      <c r="J1863" s="94" t="b">
        <f>Proc[[#This Row],[Requested]]=Proc[[#This Row],[CurrentParent]]</f>
        <v>1</v>
      </c>
      <c r="K1863" s="144" t="str">
        <f>IF(Proc[[#This Row],[Author]]="Marcela Urrego",VLOOKUP(LEFT(Proc[[#This Row],[Requested]],1),Table3[#All],2,0),VLOOKUP(Proc[[#This Row],[Author]],Table4[],2,0))</f>
        <v>HC</v>
      </c>
      <c r="L1863" s="125" t="s">
        <v>2563</v>
      </c>
      <c r="M1863" s="90">
        <v>45807.678356481483</v>
      </c>
      <c r="N1863" s="91">
        <v>45810</v>
      </c>
      <c r="O1863" s="91">
        <v>45810</v>
      </c>
      <c r="P1863" s="90" t="str">
        <f ca="1">IF(Proc[[#This Row],[DaysAgeing]]&gt;5,"yep","on track")</f>
        <v>on track</v>
      </c>
      <c r="Q1863" s="3">
        <f ca="1">IF(Proc[[#This Row],[DateClosed]]="",ABS(NETWORKDAYS(Proc[[#This Row],[DateOpened]],TODAY()))-1,ABS(NETWORKDAYS(Proc[[#This Row],[DateOpened]],Proc[[#This Row],[DateClosed]]))-1)</f>
        <v>1</v>
      </c>
      <c r="R1863" s="90" t="s">
        <v>1013</v>
      </c>
      <c r="S1863" s="94"/>
    </row>
    <row r="1864" spans="1:19" hidden="1">
      <c r="A1864" s="93" t="s">
        <v>3640</v>
      </c>
      <c r="B1864" s="149" t="str">
        <f>IFERROR(VLOOKUP(Proc[[#This Row],[App]],Table2[],3,0),"open")</f>
        <v>ok</v>
      </c>
      <c r="C1864" s="93" t="s">
        <v>369</v>
      </c>
      <c r="D1864" t="s">
        <v>3691</v>
      </c>
      <c r="E1864" t="s">
        <v>3741</v>
      </c>
      <c r="F1864" s="117" t="s">
        <v>3741</v>
      </c>
      <c r="G1864" s="93" t="s">
        <v>400</v>
      </c>
      <c r="H1864" s="94" t="str">
        <f>IF(Proc[[#This Row],[type]]="LFF (MDG-F)",MID(Proc[[#This Row],[Obj]],13,10),"")</f>
        <v/>
      </c>
      <c r="J1864" s="94" t="b">
        <f>Proc[[#This Row],[Requested]]=Proc[[#This Row],[CurrentParent]]</f>
        <v>1</v>
      </c>
      <c r="K1864" s="144" t="str">
        <f>IF(Proc[[#This Row],[Author]]="Marcela Urrego",VLOOKUP(LEFT(Proc[[#This Row],[Requested]],1),Table3[#All],2,0),VLOOKUP(Proc[[#This Row],[Author]],Table4[],2,0))</f>
        <v>HC</v>
      </c>
      <c r="L1864" s="125" t="s">
        <v>2563</v>
      </c>
      <c r="M1864" s="90">
        <v>45807.678356481483</v>
      </c>
      <c r="N1864" s="91">
        <v>45810</v>
      </c>
      <c r="O1864" s="91">
        <v>45810</v>
      </c>
      <c r="P1864" s="90" t="str">
        <f ca="1">IF(Proc[[#This Row],[DaysAgeing]]&gt;5,"yep","on track")</f>
        <v>on track</v>
      </c>
      <c r="Q1864" s="3">
        <f ca="1">IF(Proc[[#This Row],[DateClosed]]="",ABS(NETWORKDAYS(Proc[[#This Row],[DateOpened]],TODAY()))-1,ABS(NETWORKDAYS(Proc[[#This Row],[DateOpened]],Proc[[#This Row],[DateClosed]]))-1)</f>
        <v>1</v>
      </c>
      <c r="R1864" s="90" t="s">
        <v>1013</v>
      </c>
      <c r="S1864" s="94"/>
    </row>
    <row r="1865" spans="1:19" hidden="1">
      <c r="A1865" s="93" t="s">
        <v>3640</v>
      </c>
      <c r="B1865" s="149" t="str">
        <f>IFERROR(VLOOKUP(Proc[[#This Row],[App]],Table2[],3,0),"open")</f>
        <v>ok</v>
      </c>
      <c r="C1865" s="93" t="s">
        <v>369</v>
      </c>
      <c r="D1865" t="s">
        <v>3692</v>
      </c>
      <c r="E1865" t="s">
        <v>3743</v>
      </c>
      <c r="F1865" s="117" t="s">
        <v>3743</v>
      </c>
      <c r="G1865" s="93" t="s">
        <v>400</v>
      </c>
      <c r="H1865" s="94" t="str">
        <f>IF(Proc[[#This Row],[type]]="LFF (MDG-F)",MID(Proc[[#This Row],[Obj]],13,10),"")</f>
        <v/>
      </c>
      <c r="J1865" s="94" t="b">
        <f>Proc[[#This Row],[Requested]]=Proc[[#This Row],[CurrentParent]]</f>
        <v>1</v>
      </c>
      <c r="K1865" s="144" t="str">
        <f>IF(Proc[[#This Row],[Author]]="Marcela Urrego",VLOOKUP(LEFT(Proc[[#This Row],[Requested]],1),Table3[#All],2,0),VLOOKUP(Proc[[#This Row],[Author]],Table4[],2,0))</f>
        <v>HC</v>
      </c>
      <c r="L1865" s="125" t="s">
        <v>2563</v>
      </c>
      <c r="M1865" s="90">
        <v>45807.678356481483</v>
      </c>
      <c r="N1865" s="91">
        <v>45810</v>
      </c>
      <c r="O1865" s="91">
        <v>45810</v>
      </c>
      <c r="P1865" s="90" t="str">
        <f ca="1">IF(Proc[[#This Row],[DaysAgeing]]&gt;5,"yep","on track")</f>
        <v>on track</v>
      </c>
      <c r="Q1865" s="3">
        <f ca="1">IF(Proc[[#This Row],[DateClosed]]="",ABS(NETWORKDAYS(Proc[[#This Row],[DateOpened]],TODAY()))-1,ABS(NETWORKDAYS(Proc[[#This Row],[DateOpened]],Proc[[#This Row],[DateClosed]]))-1)</f>
        <v>1</v>
      </c>
      <c r="R1865" s="90" t="s">
        <v>1013</v>
      </c>
      <c r="S1865" s="94"/>
    </row>
    <row r="1866" spans="1:19" hidden="1">
      <c r="A1866" s="93" t="s">
        <v>3640</v>
      </c>
      <c r="B1866" s="149" t="str">
        <f>IFERROR(VLOOKUP(Proc[[#This Row],[App]],Table2[],3,0),"open")</f>
        <v>ok</v>
      </c>
      <c r="C1866" s="93" t="s">
        <v>369</v>
      </c>
      <c r="D1866" t="s">
        <v>3693</v>
      </c>
      <c r="E1866" t="s">
        <v>3745</v>
      </c>
      <c r="F1866" s="117" t="s">
        <v>3745</v>
      </c>
      <c r="G1866" s="93" t="s">
        <v>400</v>
      </c>
      <c r="H1866" s="94" t="str">
        <f>IF(Proc[[#This Row],[type]]="LFF (MDG-F)",MID(Proc[[#This Row],[Obj]],13,10),"")</f>
        <v/>
      </c>
      <c r="J1866" s="94" t="b">
        <f>Proc[[#This Row],[Requested]]=Proc[[#This Row],[CurrentParent]]</f>
        <v>1</v>
      </c>
      <c r="K1866" s="144" t="str">
        <f>IF(Proc[[#This Row],[Author]]="Marcela Urrego",VLOOKUP(LEFT(Proc[[#This Row],[Requested]],1),Table3[#All],2,0),VLOOKUP(Proc[[#This Row],[Author]],Table4[],2,0))</f>
        <v>HC</v>
      </c>
      <c r="L1866" s="125" t="s">
        <v>2563</v>
      </c>
      <c r="M1866" s="90">
        <v>45807.678356481483</v>
      </c>
      <c r="N1866" s="91">
        <v>45810</v>
      </c>
      <c r="O1866" s="91">
        <v>45810</v>
      </c>
      <c r="P1866" s="90" t="str">
        <f ca="1">IF(Proc[[#This Row],[DaysAgeing]]&gt;5,"yep","on track")</f>
        <v>on track</v>
      </c>
      <c r="Q1866" s="3">
        <f ca="1">IF(Proc[[#This Row],[DateClosed]]="",ABS(NETWORKDAYS(Proc[[#This Row],[DateOpened]],TODAY()))-1,ABS(NETWORKDAYS(Proc[[#This Row],[DateOpened]],Proc[[#This Row],[DateClosed]]))-1)</f>
        <v>1</v>
      </c>
      <c r="R1866" s="90" t="s">
        <v>1013</v>
      </c>
      <c r="S1866" s="94"/>
    </row>
    <row r="1867" spans="1:19" hidden="1">
      <c r="A1867" s="93" t="s">
        <v>3640</v>
      </c>
      <c r="B1867" s="149" t="str">
        <f>IFERROR(VLOOKUP(Proc[[#This Row],[App]],Table2[],3,0),"open")</f>
        <v>ok</v>
      </c>
      <c r="C1867" s="93" t="s">
        <v>369</v>
      </c>
      <c r="D1867" t="s">
        <v>3694</v>
      </c>
      <c r="E1867" t="s">
        <v>3741</v>
      </c>
      <c r="F1867" s="117" t="s">
        <v>3741</v>
      </c>
      <c r="G1867" s="93" t="s">
        <v>400</v>
      </c>
      <c r="H1867" s="94" t="str">
        <f>IF(Proc[[#This Row],[type]]="LFF (MDG-F)",MID(Proc[[#This Row],[Obj]],13,10),"")</f>
        <v/>
      </c>
      <c r="J1867" s="94" t="b">
        <f>Proc[[#This Row],[Requested]]=Proc[[#This Row],[CurrentParent]]</f>
        <v>1</v>
      </c>
      <c r="K1867" s="144" t="str">
        <f>IF(Proc[[#This Row],[Author]]="Marcela Urrego",VLOOKUP(LEFT(Proc[[#This Row],[Requested]],1),Table3[#All],2,0),VLOOKUP(Proc[[#This Row],[Author]],Table4[],2,0))</f>
        <v>HC</v>
      </c>
      <c r="L1867" s="125" t="s">
        <v>2563</v>
      </c>
      <c r="M1867" s="90">
        <v>45807.678356481483</v>
      </c>
      <c r="N1867" s="91">
        <v>45810</v>
      </c>
      <c r="O1867" s="91">
        <v>45810</v>
      </c>
      <c r="P1867" s="90" t="str">
        <f ca="1">IF(Proc[[#This Row],[DaysAgeing]]&gt;5,"yep","on track")</f>
        <v>on track</v>
      </c>
      <c r="Q1867" s="3">
        <f ca="1">IF(Proc[[#This Row],[DateClosed]]="",ABS(NETWORKDAYS(Proc[[#This Row],[DateOpened]],TODAY()))-1,ABS(NETWORKDAYS(Proc[[#This Row],[DateOpened]],Proc[[#This Row],[DateClosed]]))-1)</f>
        <v>1</v>
      </c>
      <c r="R1867" s="90" t="s">
        <v>1013</v>
      </c>
      <c r="S1867" s="94"/>
    </row>
    <row r="1868" spans="1:19" hidden="1">
      <c r="A1868" s="93" t="s">
        <v>3640</v>
      </c>
      <c r="B1868" s="149" t="str">
        <f>IFERROR(VLOOKUP(Proc[[#This Row],[App]],Table2[],3,0),"open")</f>
        <v>ok</v>
      </c>
      <c r="C1868" s="93" t="s">
        <v>369</v>
      </c>
      <c r="D1868" t="s">
        <v>3695</v>
      </c>
      <c r="E1868" s="93" t="s">
        <v>3743</v>
      </c>
      <c r="F1868" s="117" t="s">
        <v>3743</v>
      </c>
      <c r="G1868" s="93" t="s">
        <v>400</v>
      </c>
      <c r="H1868" s="94" t="str">
        <f>IF(Proc[[#This Row],[type]]="LFF (MDG-F)",MID(Proc[[#This Row],[Obj]],13,10),"")</f>
        <v/>
      </c>
      <c r="J1868" s="94" t="b">
        <f>Proc[[#This Row],[Requested]]=Proc[[#This Row],[CurrentParent]]</f>
        <v>1</v>
      </c>
      <c r="K1868" s="144" t="str">
        <f>IF(Proc[[#This Row],[Author]]="Marcela Urrego",VLOOKUP(LEFT(Proc[[#This Row],[Requested]],1),Table3[#All],2,0),VLOOKUP(Proc[[#This Row],[Author]],Table4[],2,0))</f>
        <v>HC</v>
      </c>
      <c r="L1868" s="125" t="s">
        <v>2563</v>
      </c>
      <c r="M1868" s="90">
        <v>45807.678356481483</v>
      </c>
      <c r="N1868" s="91">
        <v>45810</v>
      </c>
      <c r="O1868" s="91">
        <v>45810</v>
      </c>
      <c r="P1868" s="90" t="str">
        <f ca="1">IF(Proc[[#This Row],[DaysAgeing]]&gt;5,"yep","on track")</f>
        <v>on track</v>
      </c>
      <c r="Q1868" s="3">
        <f ca="1">IF(Proc[[#This Row],[DateClosed]]="",ABS(NETWORKDAYS(Proc[[#This Row],[DateOpened]],TODAY()))-1,ABS(NETWORKDAYS(Proc[[#This Row],[DateOpened]],Proc[[#This Row],[DateClosed]]))-1)</f>
        <v>1</v>
      </c>
      <c r="R1868" s="90" t="s">
        <v>1013</v>
      </c>
      <c r="S1868" s="94"/>
    </row>
    <row r="1869" spans="1:19" hidden="1">
      <c r="A1869" s="93" t="s">
        <v>3640</v>
      </c>
      <c r="B1869" s="149" t="str">
        <f>IFERROR(VLOOKUP(Proc[[#This Row],[App]],Table2[],3,0),"open")</f>
        <v>ok</v>
      </c>
      <c r="C1869" s="93" t="s">
        <v>369</v>
      </c>
      <c r="D1869" t="s">
        <v>3696</v>
      </c>
      <c r="E1869" t="s">
        <v>3743</v>
      </c>
      <c r="F1869" s="117" t="s">
        <v>3743</v>
      </c>
      <c r="G1869" s="93" t="s">
        <v>400</v>
      </c>
      <c r="H1869" s="94" t="str">
        <f>IF(Proc[[#This Row],[type]]="LFF (MDG-F)",MID(Proc[[#This Row],[Obj]],13,10),"")</f>
        <v/>
      </c>
      <c r="J1869" s="94" t="b">
        <f>Proc[[#This Row],[Requested]]=Proc[[#This Row],[CurrentParent]]</f>
        <v>1</v>
      </c>
      <c r="K1869" s="144" t="str">
        <f>IF(Proc[[#This Row],[Author]]="Marcela Urrego",VLOOKUP(LEFT(Proc[[#This Row],[Requested]],1),Table3[#All],2,0),VLOOKUP(Proc[[#This Row],[Author]],Table4[],2,0))</f>
        <v>HC</v>
      </c>
      <c r="L1869" s="125" t="s">
        <v>2563</v>
      </c>
      <c r="M1869" s="90">
        <v>45807.678356481483</v>
      </c>
      <c r="N1869" s="91">
        <v>45810</v>
      </c>
      <c r="O1869" s="91">
        <v>45810</v>
      </c>
      <c r="P1869" s="90" t="str">
        <f ca="1">IF(Proc[[#This Row],[DaysAgeing]]&gt;5,"yep","on track")</f>
        <v>on track</v>
      </c>
      <c r="Q1869" s="3">
        <f ca="1">IF(Proc[[#This Row],[DateClosed]]="",ABS(NETWORKDAYS(Proc[[#This Row],[DateOpened]],TODAY()))-1,ABS(NETWORKDAYS(Proc[[#This Row],[DateOpened]],Proc[[#This Row],[DateClosed]]))-1)</f>
        <v>1</v>
      </c>
      <c r="R1869" s="90" t="s">
        <v>1013</v>
      </c>
      <c r="S1869" s="94"/>
    </row>
    <row r="1870" spans="1:19" hidden="1">
      <c r="A1870" s="93" t="s">
        <v>3640</v>
      </c>
      <c r="B1870" s="149" t="str">
        <f>IFERROR(VLOOKUP(Proc[[#This Row],[App]],Table2[],3,0),"open")</f>
        <v>ok</v>
      </c>
      <c r="C1870" s="93" t="s">
        <v>369</v>
      </c>
      <c r="D1870" t="s">
        <v>3697</v>
      </c>
      <c r="E1870" t="s">
        <v>3746</v>
      </c>
      <c r="F1870" s="117" t="s">
        <v>3746</v>
      </c>
      <c r="G1870" s="93" t="s">
        <v>400</v>
      </c>
      <c r="H1870" s="94" t="str">
        <f>IF(Proc[[#This Row],[type]]="LFF (MDG-F)",MID(Proc[[#This Row],[Obj]],13,10),"")</f>
        <v/>
      </c>
      <c r="J1870" s="94" t="b">
        <f>Proc[[#This Row],[Requested]]=Proc[[#This Row],[CurrentParent]]</f>
        <v>1</v>
      </c>
      <c r="K1870" s="144" t="str">
        <f>IF(Proc[[#This Row],[Author]]="Marcela Urrego",VLOOKUP(LEFT(Proc[[#This Row],[Requested]],1),Table3[#All],2,0),VLOOKUP(Proc[[#This Row],[Author]],Table4[],2,0))</f>
        <v>HC</v>
      </c>
      <c r="L1870" s="125" t="s">
        <v>2563</v>
      </c>
      <c r="M1870" s="90">
        <v>45807.678356481483</v>
      </c>
      <c r="N1870" s="91">
        <v>45810</v>
      </c>
      <c r="O1870" s="91">
        <v>45810</v>
      </c>
      <c r="P1870" s="90" t="str">
        <f ca="1">IF(Proc[[#This Row],[DaysAgeing]]&gt;5,"yep","on track")</f>
        <v>on track</v>
      </c>
      <c r="Q1870" s="3">
        <f ca="1">IF(Proc[[#This Row],[DateClosed]]="",ABS(NETWORKDAYS(Proc[[#This Row],[DateOpened]],TODAY()))-1,ABS(NETWORKDAYS(Proc[[#This Row],[DateOpened]],Proc[[#This Row],[DateClosed]]))-1)</f>
        <v>1</v>
      </c>
      <c r="R1870" s="90" t="s">
        <v>1013</v>
      </c>
      <c r="S1870" s="94"/>
    </row>
    <row r="1871" spans="1:19" hidden="1">
      <c r="A1871" s="93" t="s">
        <v>3640</v>
      </c>
      <c r="B1871" s="149" t="str">
        <f>IFERROR(VLOOKUP(Proc[[#This Row],[App]],Table2[],3,0),"open")</f>
        <v>ok</v>
      </c>
      <c r="C1871" s="93" t="s">
        <v>369</v>
      </c>
      <c r="D1871" t="s">
        <v>3698</v>
      </c>
      <c r="E1871" t="s">
        <v>3745</v>
      </c>
      <c r="F1871" s="117" t="s">
        <v>3745</v>
      </c>
      <c r="G1871" s="93" t="s">
        <v>400</v>
      </c>
      <c r="H1871" s="94" t="str">
        <f>IF(Proc[[#This Row],[type]]="LFF (MDG-F)",MID(Proc[[#This Row],[Obj]],13,10),"")</f>
        <v/>
      </c>
      <c r="J1871" s="94" t="b">
        <f>Proc[[#This Row],[Requested]]=Proc[[#This Row],[CurrentParent]]</f>
        <v>1</v>
      </c>
      <c r="K1871" s="144" t="str">
        <f>IF(Proc[[#This Row],[Author]]="Marcela Urrego",VLOOKUP(LEFT(Proc[[#This Row],[Requested]],1),Table3[#All],2,0),VLOOKUP(Proc[[#This Row],[Author]],Table4[],2,0))</f>
        <v>HC</v>
      </c>
      <c r="L1871" s="125" t="s">
        <v>2563</v>
      </c>
      <c r="M1871" s="90">
        <v>45807.678356481483</v>
      </c>
      <c r="N1871" s="91">
        <v>45810</v>
      </c>
      <c r="O1871" s="91">
        <v>45810</v>
      </c>
      <c r="P1871" s="90" t="str">
        <f ca="1">IF(Proc[[#This Row],[DaysAgeing]]&gt;5,"yep","on track")</f>
        <v>on track</v>
      </c>
      <c r="Q1871" s="3">
        <f ca="1">IF(Proc[[#This Row],[DateClosed]]="",ABS(NETWORKDAYS(Proc[[#This Row],[DateOpened]],TODAY()))-1,ABS(NETWORKDAYS(Proc[[#This Row],[DateOpened]],Proc[[#This Row],[DateClosed]]))-1)</f>
        <v>1</v>
      </c>
      <c r="R1871" s="90" t="s">
        <v>1013</v>
      </c>
      <c r="S1871" s="94"/>
    </row>
    <row r="1872" spans="1:19" hidden="1">
      <c r="A1872" s="93" t="s">
        <v>3640</v>
      </c>
      <c r="B1872" s="149" t="str">
        <f>IFERROR(VLOOKUP(Proc[[#This Row],[App]],Table2[],3,0),"open")</f>
        <v>ok</v>
      </c>
      <c r="C1872" s="93" t="s">
        <v>369</v>
      </c>
      <c r="D1872" t="s">
        <v>3699</v>
      </c>
      <c r="E1872" t="s">
        <v>3744</v>
      </c>
      <c r="F1872" s="117" t="s">
        <v>3744</v>
      </c>
      <c r="G1872" s="93" t="s">
        <v>400</v>
      </c>
      <c r="H1872" s="94" t="str">
        <f>IF(Proc[[#This Row],[type]]="LFF (MDG-F)",MID(Proc[[#This Row],[Obj]],13,10),"")</f>
        <v/>
      </c>
      <c r="J1872" s="94" t="b">
        <f>Proc[[#This Row],[Requested]]=Proc[[#This Row],[CurrentParent]]</f>
        <v>1</v>
      </c>
      <c r="K1872" s="144" t="str">
        <f>IF(Proc[[#This Row],[Author]]="Marcela Urrego",VLOOKUP(LEFT(Proc[[#This Row],[Requested]],1),Table3[#All],2,0),VLOOKUP(Proc[[#This Row],[Author]],Table4[],2,0))</f>
        <v>HC</v>
      </c>
      <c r="L1872" s="125" t="s">
        <v>2563</v>
      </c>
      <c r="M1872" s="90">
        <v>45807.678356481483</v>
      </c>
      <c r="N1872" s="91">
        <v>45810</v>
      </c>
      <c r="O1872" s="91">
        <v>45810</v>
      </c>
      <c r="P1872" s="90" t="str">
        <f ca="1">IF(Proc[[#This Row],[DaysAgeing]]&gt;5,"yep","on track")</f>
        <v>on track</v>
      </c>
      <c r="Q1872" s="3">
        <f ca="1">IF(Proc[[#This Row],[DateClosed]]="",ABS(NETWORKDAYS(Proc[[#This Row],[DateOpened]],TODAY()))-1,ABS(NETWORKDAYS(Proc[[#This Row],[DateOpened]],Proc[[#This Row],[DateClosed]]))-1)</f>
        <v>1</v>
      </c>
      <c r="R1872" s="90" t="s">
        <v>1013</v>
      </c>
      <c r="S1872" s="94"/>
    </row>
    <row r="1873" spans="1:19" hidden="1">
      <c r="A1873" s="93" t="s">
        <v>3640</v>
      </c>
      <c r="B1873" s="149" t="str">
        <f>IFERROR(VLOOKUP(Proc[[#This Row],[App]],Table2[],3,0),"open")</f>
        <v>ok</v>
      </c>
      <c r="C1873" s="93" t="s">
        <v>369</v>
      </c>
      <c r="D1873" t="s">
        <v>3700</v>
      </c>
      <c r="E1873" t="s">
        <v>3743</v>
      </c>
      <c r="F1873" s="117" t="s">
        <v>3743</v>
      </c>
      <c r="G1873" s="93" t="s">
        <v>400</v>
      </c>
      <c r="H1873" s="94" t="str">
        <f>IF(Proc[[#This Row],[type]]="LFF (MDG-F)",MID(Proc[[#This Row],[Obj]],13,10),"")</f>
        <v/>
      </c>
      <c r="J1873" s="94" t="b">
        <f>Proc[[#This Row],[Requested]]=Proc[[#This Row],[CurrentParent]]</f>
        <v>1</v>
      </c>
      <c r="K1873" s="144" t="str">
        <f>IF(Proc[[#This Row],[Author]]="Marcela Urrego",VLOOKUP(LEFT(Proc[[#This Row],[Requested]],1),Table3[#All],2,0),VLOOKUP(Proc[[#This Row],[Author]],Table4[],2,0))</f>
        <v>HC</v>
      </c>
      <c r="L1873" s="125" t="s">
        <v>2563</v>
      </c>
      <c r="M1873" s="90">
        <v>45807.678356481483</v>
      </c>
      <c r="N1873" s="91">
        <v>45810</v>
      </c>
      <c r="O1873" s="91">
        <v>45810</v>
      </c>
      <c r="P1873" s="90" t="str">
        <f ca="1">IF(Proc[[#This Row],[DaysAgeing]]&gt;5,"yep","on track")</f>
        <v>on track</v>
      </c>
      <c r="Q1873" s="3">
        <f ca="1">IF(Proc[[#This Row],[DateClosed]]="",ABS(NETWORKDAYS(Proc[[#This Row],[DateOpened]],TODAY()))-1,ABS(NETWORKDAYS(Proc[[#This Row],[DateOpened]],Proc[[#This Row],[DateClosed]]))-1)</f>
        <v>1</v>
      </c>
      <c r="R1873" s="90" t="s">
        <v>1013</v>
      </c>
      <c r="S1873" s="94"/>
    </row>
    <row r="1874" spans="1:19" hidden="1">
      <c r="A1874" s="93" t="s">
        <v>3640</v>
      </c>
      <c r="B1874" s="149" t="str">
        <f>IFERROR(VLOOKUP(Proc[[#This Row],[App]],Table2[],3,0),"open")</f>
        <v>ok</v>
      </c>
      <c r="C1874" s="93" t="s">
        <v>377</v>
      </c>
      <c r="D1874" t="s">
        <v>3701</v>
      </c>
      <c r="E1874" t="s">
        <v>3742</v>
      </c>
      <c r="F1874" s="103" t="s">
        <v>3742</v>
      </c>
      <c r="G1874" s="93" t="s">
        <v>400</v>
      </c>
      <c r="H1874" s="94" t="str">
        <f>IF(Proc[[#This Row],[type]]="LFF (MDG-F)",MID(Proc[[#This Row],[Obj]],13,10),"")</f>
        <v/>
      </c>
      <c r="I1874" t="s">
        <v>4070</v>
      </c>
      <c r="J1874" s="94" t="b">
        <f>Proc[[#This Row],[Requested]]=Proc[[#This Row],[CurrentParent]]</f>
        <v>1</v>
      </c>
      <c r="K1874" s="144" t="str">
        <f>IF(Proc[[#This Row],[Author]]="Marcela Urrego",VLOOKUP(LEFT(Proc[[#This Row],[Requested]],1),Table3[#All],2,0),VLOOKUP(Proc[[#This Row],[Author]],Table4[],2,0))</f>
        <v>HC</v>
      </c>
      <c r="L1874" s="125" t="s">
        <v>2563</v>
      </c>
      <c r="M1874" s="90">
        <v>45807.678356481483</v>
      </c>
      <c r="N1874" s="91"/>
      <c r="O1874" s="91">
        <v>45810</v>
      </c>
      <c r="P1874" s="90" t="str">
        <f ca="1">IF(Proc[[#This Row],[DaysAgeing]]&gt;5,"yep","on track")</f>
        <v>on track</v>
      </c>
      <c r="Q1874" s="3">
        <f ca="1">IF(Proc[[#This Row],[DateClosed]]="",ABS(NETWORKDAYS(Proc[[#This Row],[DateOpened]],TODAY()))-1,ABS(NETWORKDAYS(Proc[[#This Row],[DateOpened]],Proc[[#This Row],[DateClosed]]))-1)</f>
        <v>1</v>
      </c>
      <c r="R1874" s="90" t="s">
        <v>1013</v>
      </c>
      <c r="S1874" s="94" t="e">
        <f>VLOOKUP(Proc[[#This Row],[Obj]],#REF!,2,0)</f>
        <v>#REF!</v>
      </c>
    </row>
    <row r="1875" spans="1:19" hidden="1">
      <c r="A1875" s="93" t="s">
        <v>3640</v>
      </c>
      <c r="B1875" s="149" t="str">
        <f>IFERROR(VLOOKUP(Proc[[#This Row],[App]],Table2[],3,0),"open")</f>
        <v>ok</v>
      </c>
      <c r="C1875" s="93" t="s">
        <v>369</v>
      </c>
      <c r="D1875" t="s">
        <v>3702</v>
      </c>
      <c r="E1875" t="s">
        <v>3401</v>
      </c>
      <c r="F1875" s="117" t="s">
        <v>3401</v>
      </c>
      <c r="G1875" s="93" t="s">
        <v>400</v>
      </c>
      <c r="H1875" s="94" t="str">
        <f>IF(Proc[[#This Row],[type]]="LFF (MDG-F)",MID(Proc[[#This Row],[Obj]],13,10),"")</f>
        <v/>
      </c>
      <c r="J1875" s="94" t="b">
        <f>Proc[[#This Row],[Requested]]=Proc[[#This Row],[CurrentParent]]</f>
        <v>1</v>
      </c>
      <c r="K1875" s="144" t="str">
        <f>IF(Proc[[#This Row],[Author]]="Marcela Urrego",VLOOKUP(LEFT(Proc[[#This Row],[Requested]],1),Table3[#All],2,0),VLOOKUP(Proc[[#This Row],[Author]],Table4[],2,0))</f>
        <v>HC</v>
      </c>
      <c r="L1875" s="125" t="s">
        <v>2563</v>
      </c>
      <c r="M1875" s="90">
        <v>45807.678356481483</v>
      </c>
      <c r="N1875" s="91">
        <v>45810</v>
      </c>
      <c r="O1875" s="91">
        <v>45810</v>
      </c>
      <c r="P1875" s="90" t="str">
        <f ca="1">IF(Proc[[#This Row],[DaysAgeing]]&gt;5,"yep","on track")</f>
        <v>on track</v>
      </c>
      <c r="Q1875" s="3">
        <f ca="1">IF(Proc[[#This Row],[DateClosed]]="",ABS(NETWORKDAYS(Proc[[#This Row],[DateOpened]],TODAY()))-1,ABS(NETWORKDAYS(Proc[[#This Row],[DateOpened]],Proc[[#This Row],[DateClosed]]))-1)</f>
        <v>1</v>
      </c>
      <c r="R1875" s="90" t="s">
        <v>1013</v>
      </c>
      <c r="S1875" s="94"/>
    </row>
    <row r="1876" spans="1:19" hidden="1">
      <c r="A1876" s="93" t="s">
        <v>3640</v>
      </c>
      <c r="B1876" s="149" t="str">
        <f>IFERROR(VLOOKUP(Proc[[#This Row],[App]],Table2[],3,0),"open")</f>
        <v>ok</v>
      </c>
      <c r="C1876" s="93" t="s">
        <v>369</v>
      </c>
      <c r="D1876" t="s">
        <v>3703</v>
      </c>
      <c r="E1876" s="93" t="s">
        <v>3401</v>
      </c>
      <c r="F1876" s="117" t="s">
        <v>3401</v>
      </c>
      <c r="G1876" s="93" t="s">
        <v>400</v>
      </c>
      <c r="H1876" s="94" t="str">
        <f>IF(Proc[[#This Row],[type]]="LFF (MDG-F)",MID(Proc[[#This Row],[Obj]],13,10),"")</f>
        <v/>
      </c>
      <c r="J1876" s="94" t="b">
        <f>Proc[[#This Row],[Requested]]=Proc[[#This Row],[CurrentParent]]</f>
        <v>1</v>
      </c>
      <c r="K1876" s="144" t="str">
        <f>IF(Proc[[#This Row],[Author]]="Marcela Urrego",VLOOKUP(LEFT(Proc[[#This Row],[Requested]],1),Table3[#All],2,0),VLOOKUP(Proc[[#This Row],[Author]],Table4[],2,0))</f>
        <v>HC</v>
      </c>
      <c r="L1876" s="125" t="s">
        <v>2563</v>
      </c>
      <c r="M1876" s="90">
        <v>45807.678356481483</v>
      </c>
      <c r="N1876" s="91">
        <v>45810</v>
      </c>
      <c r="O1876" s="91">
        <v>45810</v>
      </c>
      <c r="P1876" s="90" t="str">
        <f ca="1">IF(Proc[[#This Row],[DaysAgeing]]&gt;5,"yep","on track")</f>
        <v>on track</v>
      </c>
      <c r="Q1876" s="3">
        <f ca="1">IF(Proc[[#This Row],[DateClosed]]="",ABS(NETWORKDAYS(Proc[[#This Row],[DateOpened]],TODAY()))-1,ABS(NETWORKDAYS(Proc[[#This Row],[DateOpened]],Proc[[#This Row],[DateClosed]]))-1)</f>
        <v>1</v>
      </c>
      <c r="R1876" s="90" t="s">
        <v>1013</v>
      </c>
      <c r="S1876" s="94"/>
    </row>
    <row r="1877" spans="1:19" hidden="1">
      <c r="A1877" s="93" t="s">
        <v>3640</v>
      </c>
      <c r="B1877" s="149" t="str">
        <f>IFERROR(VLOOKUP(Proc[[#This Row],[App]],Table2[],3,0),"open")</f>
        <v>ok</v>
      </c>
      <c r="C1877" s="93" t="s">
        <v>369</v>
      </c>
      <c r="D1877" t="s">
        <v>3704</v>
      </c>
      <c r="E1877" s="93" t="s">
        <v>3401</v>
      </c>
      <c r="F1877" s="117" t="s">
        <v>3401</v>
      </c>
      <c r="G1877" s="93" t="s">
        <v>400</v>
      </c>
      <c r="H1877" s="94" t="str">
        <f>IF(Proc[[#This Row],[type]]="LFF (MDG-F)",MID(Proc[[#This Row],[Obj]],13,10),"")</f>
        <v/>
      </c>
      <c r="J1877" s="94" t="b">
        <f>Proc[[#This Row],[Requested]]=Proc[[#This Row],[CurrentParent]]</f>
        <v>1</v>
      </c>
      <c r="K1877" s="144" t="str">
        <f>IF(Proc[[#This Row],[Author]]="Marcela Urrego",VLOOKUP(LEFT(Proc[[#This Row],[Requested]],1),Table3[#All],2,0),VLOOKUP(Proc[[#This Row],[Author]],Table4[],2,0))</f>
        <v>HC</v>
      </c>
      <c r="L1877" s="125" t="s">
        <v>2563</v>
      </c>
      <c r="M1877" s="90">
        <v>45807.678356481483</v>
      </c>
      <c r="N1877" s="91">
        <v>45810</v>
      </c>
      <c r="O1877" s="91">
        <v>45810</v>
      </c>
      <c r="P1877" s="90" t="str">
        <f ca="1">IF(Proc[[#This Row],[DaysAgeing]]&gt;5,"yep","on track")</f>
        <v>on track</v>
      </c>
      <c r="Q1877" s="3">
        <f ca="1">IF(Proc[[#This Row],[DateClosed]]="",ABS(NETWORKDAYS(Proc[[#This Row],[DateOpened]],TODAY()))-1,ABS(NETWORKDAYS(Proc[[#This Row],[DateOpened]],Proc[[#This Row],[DateClosed]]))-1)</f>
        <v>1</v>
      </c>
      <c r="R1877" s="90" t="s">
        <v>1013</v>
      </c>
      <c r="S1877" s="94"/>
    </row>
    <row r="1878" spans="1:19" hidden="1">
      <c r="A1878" s="93" t="s">
        <v>3640</v>
      </c>
      <c r="B1878" s="149" t="str">
        <f>IFERROR(VLOOKUP(Proc[[#This Row],[App]],Table2[],3,0),"open")</f>
        <v>ok</v>
      </c>
      <c r="C1878" s="93" t="s">
        <v>369</v>
      </c>
      <c r="D1878" t="s">
        <v>3705</v>
      </c>
      <c r="E1878" s="93" t="s">
        <v>3401</v>
      </c>
      <c r="F1878" s="117" t="s">
        <v>3401</v>
      </c>
      <c r="G1878" s="93" t="s">
        <v>400</v>
      </c>
      <c r="H1878" s="94" t="str">
        <f>IF(Proc[[#This Row],[type]]="LFF (MDG-F)",MID(Proc[[#This Row],[Obj]],13,10),"")</f>
        <v/>
      </c>
      <c r="J1878" s="94" t="b">
        <f>Proc[[#This Row],[Requested]]=Proc[[#This Row],[CurrentParent]]</f>
        <v>1</v>
      </c>
      <c r="K1878" s="144" t="str">
        <f>IF(Proc[[#This Row],[Author]]="Marcela Urrego",VLOOKUP(LEFT(Proc[[#This Row],[Requested]],1),Table3[#All],2,0),VLOOKUP(Proc[[#This Row],[Author]],Table4[],2,0))</f>
        <v>HC</v>
      </c>
      <c r="L1878" s="125" t="s">
        <v>2563</v>
      </c>
      <c r="M1878" s="90">
        <v>45807.678356481483</v>
      </c>
      <c r="N1878" s="91">
        <v>45810</v>
      </c>
      <c r="O1878" s="91">
        <v>45810</v>
      </c>
      <c r="P1878" s="90" t="str">
        <f ca="1">IF(Proc[[#This Row],[DaysAgeing]]&gt;5,"yep","on track")</f>
        <v>on track</v>
      </c>
      <c r="Q1878" s="3">
        <f ca="1">IF(Proc[[#This Row],[DateClosed]]="",ABS(NETWORKDAYS(Proc[[#This Row],[DateOpened]],TODAY()))-1,ABS(NETWORKDAYS(Proc[[#This Row],[DateOpened]],Proc[[#This Row],[DateClosed]]))-1)</f>
        <v>1</v>
      </c>
      <c r="R1878" s="90" t="s">
        <v>1013</v>
      </c>
      <c r="S1878" s="94"/>
    </row>
    <row r="1879" spans="1:19" hidden="1">
      <c r="A1879" s="93" t="s">
        <v>3640</v>
      </c>
      <c r="B1879" s="149" t="str">
        <f>IFERROR(VLOOKUP(Proc[[#This Row],[App]],Table2[],3,0),"open")</f>
        <v>ok</v>
      </c>
      <c r="C1879" s="93" t="s">
        <v>369</v>
      </c>
      <c r="D1879" t="s">
        <v>3706</v>
      </c>
      <c r="E1879" s="93" t="s">
        <v>3401</v>
      </c>
      <c r="F1879" s="117" t="s">
        <v>3401</v>
      </c>
      <c r="G1879" s="93" t="s">
        <v>400</v>
      </c>
      <c r="H1879" s="94" t="str">
        <f>IF(Proc[[#This Row],[type]]="LFF (MDG-F)",MID(Proc[[#This Row],[Obj]],13,10),"")</f>
        <v/>
      </c>
      <c r="J1879" s="94" t="b">
        <f>Proc[[#This Row],[Requested]]=Proc[[#This Row],[CurrentParent]]</f>
        <v>1</v>
      </c>
      <c r="K1879" s="144" t="str">
        <f>IF(Proc[[#This Row],[Author]]="Marcela Urrego",VLOOKUP(LEFT(Proc[[#This Row],[Requested]],1),Table3[#All],2,0),VLOOKUP(Proc[[#This Row],[Author]],Table4[],2,0))</f>
        <v>HC</v>
      </c>
      <c r="L1879" s="125" t="s">
        <v>2563</v>
      </c>
      <c r="M1879" s="90">
        <v>45807.678356481483</v>
      </c>
      <c r="N1879" s="91">
        <v>45810</v>
      </c>
      <c r="O1879" s="91">
        <v>45810</v>
      </c>
      <c r="P1879" s="90" t="str">
        <f ca="1">IF(Proc[[#This Row],[DaysAgeing]]&gt;5,"yep","on track")</f>
        <v>on track</v>
      </c>
      <c r="Q1879" s="3">
        <f ca="1">IF(Proc[[#This Row],[DateClosed]]="",ABS(NETWORKDAYS(Proc[[#This Row],[DateOpened]],TODAY()))-1,ABS(NETWORKDAYS(Proc[[#This Row],[DateOpened]],Proc[[#This Row],[DateClosed]]))-1)</f>
        <v>1</v>
      </c>
      <c r="R1879" s="90" t="s">
        <v>1013</v>
      </c>
      <c r="S1879" s="94"/>
    </row>
    <row r="1880" spans="1:19" hidden="1">
      <c r="A1880" s="93" t="s">
        <v>3640</v>
      </c>
      <c r="B1880" s="149" t="str">
        <f>IFERROR(VLOOKUP(Proc[[#This Row],[App]],Table2[],3,0),"open")</f>
        <v>ok</v>
      </c>
      <c r="C1880" s="93" t="s">
        <v>369</v>
      </c>
      <c r="D1880" t="s">
        <v>3707</v>
      </c>
      <c r="E1880" s="93" t="s">
        <v>3401</v>
      </c>
      <c r="F1880" s="117" t="s">
        <v>3401</v>
      </c>
      <c r="G1880" s="93" t="s">
        <v>400</v>
      </c>
      <c r="H1880" s="94" t="str">
        <f>IF(Proc[[#This Row],[type]]="LFF (MDG-F)",MID(Proc[[#This Row],[Obj]],13,10),"")</f>
        <v/>
      </c>
      <c r="J1880" s="94" t="b">
        <f>Proc[[#This Row],[Requested]]=Proc[[#This Row],[CurrentParent]]</f>
        <v>1</v>
      </c>
      <c r="K1880" s="144" t="str">
        <f>IF(Proc[[#This Row],[Author]]="Marcela Urrego",VLOOKUP(LEFT(Proc[[#This Row],[Requested]],1),Table3[#All],2,0),VLOOKUP(Proc[[#This Row],[Author]],Table4[],2,0))</f>
        <v>HC</v>
      </c>
      <c r="L1880" s="125" t="s">
        <v>2563</v>
      </c>
      <c r="M1880" s="90">
        <v>45807.678356481483</v>
      </c>
      <c r="N1880" s="91">
        <v>45810</v>
      </c>
      <c r="O1880" s="91">
        <v>45810</v>
      </c>
      <c r="P1880" s="90" t="str">
        <f ca="1">IF(Proc[[#This Row],[DaysAgeing]]&gt;5,"yep","on track")</f>
        <v>on track</v>
      </c>
      <c r="Q1880" s="3">
        <f ca="1">IF(Proc[[#This Row],[DateClosed]]="",ABS(NETWORKDAYS(Proc[[#This Row],[DateOpened]],TODAY()))-1,ABS(NETWORKDAYS(Proc[[#This Row],[DateOpened]],Proc[[#This Row],[DateClosed]]))-1)</f>
        <v>1</v>
      </c>
      <c r="R1880" s="90" t="s">
        <v>1013</v>
      </c>
      <c r="S1880" s="94"/>
    </row>
    <row r="1881" spans="1:19" hidden="1">
      <c r="A1881" s="93" t="s">
        <v>3640</v>
      </c>
      <c r="B1881" s="149" t="str">
        <f>IFERROR(VLOOKUP(Proc[[#This Row],[App]],Table2[],3,0),"open")</f>
        <v>ok</v>
      </c>
      <c r="C1881" s="93" t="s">
        <v>369</v>
      </c>
      <c r="D1881" t="s">
        <v>3708</v>
      </c>
      <c r="E1881" s="93" t="s">
        <v>3401</v>
      </c>
      <c r="F1881" s="117" t="s">
        <v>3401</v>
      </c>
      <c r="G1881" s="93" t="s">
        <v>400</v>
      </c>
      <c r="H1881" s="94" t="str">
        <f>IF(Proc[[#This Row],[type]]="LFF (MDG-F)",MID(Proc[[#This Row],[Obj]],13,10),"")</f>
        <v/>
      </c>
      <c r="J1881" s="94" t="b">
        <f>Proc[[#This Row],[Requested]]=Proc[[#This Row],[CurrentParent]]</f>
        <v>1</v>
      </c>
      <c r="K1881" s="144" t="str">
        <f>IF(Proc[[#This Row],[Author]]="Marcela Urrego",VLOOKUP(LEFT(Proc[[#This Row],[Requested]],1),Table3[#All],2,0),VLOOKUP(Proc[[#This Row],[Author]],Table4[],2,0))</f>
        <v>HC</v>
      </c>
      <c r="L1881" s="125" t="s">
        <v>2563</v>
      </c>
      <c r="M1881" s="90">
        <v>45807.678356481483</v>
      </c>
      <c r="N1881" s="91">
        <v>45810</v>
      </c>
      <c r="O1881" s="91">
        <v>45810</v>
      </c>
      <c r="P1881" s="90" t="str">
        <f ca="1">IF(Proc[[#This Row],[DaysAgeing]]&gt;5,"yep","on track")</f>
        <v>on track</v>
      </c>
      <c r="Q1881" s="3">
        <f ca="1">IF(Proc[[#This Row],[DateClosed]]="",ABS(NETWORKDAYS(Proc[[#This Row],[DateOpened]],TODAY()))-1,ABS(NETWORKDAYS(Proc[[#This Row],[DateOpened]],Proc[[#This Row],[DateClosed]]))-1)</f>
        <v>1</v>
      </c>
      <c r="R1881" s="90" t="s">
        <v>1013</v>
      </c>
      <c r="S1881" s="94"/>
    </row>
    <row r="1882" spans="1:19" hidden="1">
      <c r="A1882" s="93" t="s">
        <v>3640</v>
      </c>
      <c r="B1882" s="149" t="str">
        <f>IFERROR(VLOOKUP(Proc[[#This Row],[App]],Table2[],3,0),"open")</f>
        <v>ok</v>
      </c>
      <c r="C1882" s="93" t="s">
        <v>369</v>
      </c>
      <c r="D1882" t="s">
        <v>3709</v>
      </c>
      <c r="E1882" s="93" t="s">
        <v>3401</v>
      </c>
      <c r="F1882" s="117" t="s">
        <v>3401</v>
      </c>
      <c r="G1882" s="93" t="s">
        <v>400</v>
      </c>
      <c r="H1882" s="94" t="str">
        <f>IF(Proc[[#This Row],[type]]="LFF (MDG-F)",MID(Proc[[#This Row],[Obj]],13,10),"")</f>
        <v/>
      </c>
      <c r="J1882" s="94" t="b">
        <f>Proc[[#This Row],[Requested]]=Proc[[#This Row],[CurrentParent]]</f>
        <v>1</v>
      </c>
      <c r="K1882" s="144" t="str">
        <f>IF(Proc[[#This Row],[Author]]="Marcela Urrego",VLOOKUP(LEFT(Proc[[#This Row],[Requested]],1),Table3[#All],2,0),VLOOKUP(Proc[[#This Row],[Author]],Table4[],2,0))</f>
        <v>HC</v>
      </c>
      <c r="L1882" s="125" t="s">
        <v>2563</v>
      </c>
      <c r="M1882" s="90">
        <v>45807.678356481483</v>
      </c>
      <c r="N1882" s="91">
        <v>45810</v>
      </c>
      <c r="O1882" s="91">
        <v>45810</v>
      </c>
      <c r="P1882" s="90" t="str">
        <f ca="1">IF(Proc[[#This Row],[DaysAgeing]]&gt;5,"yep","on track")</f>
        <v>on track</v>
      </c>
      <c r="Q1882" s="3">
        <f ca="1">IF(Proc[[#This Row],[DateClosed]]="",ABS(NETWORKDAYS(Proc[[#This Row],[DateOpened]],TODAY()))-1,ABS(NETWORKDAYS(Proc[[#This Row],[DateOpened]],Proc[[#This Row],[DateClosed]]))-1)</f>
        <v>1</v>
      </c>
      <c r="R1882" s="90" t="s">
        <v>1013</v>
      </c>
      <c r="S1882" s="94"/>
    </row>
    <row r="1883" spans="1:19" hidden="1">
      <c r="A1883" s="93" t="s">
        <v>3640</v>
      </c>
      <c r="B1883" s="149" t="str">
        <f>IFERROR(VLOOKUP(Proc[[#This Row],[App]],Table2[],3,0),"open")</f>
        <v>ok</v>
      </c>
      <c r="C1883" s="93" t="s">
        <v>369</v>
      </c>
      <c r="D1883" t="s">
        <v>3710</v>
      </c>
      <c r="E1883" s="93" t="s">
        <v>3401</v>
      </c>
      <c r="F1883" s="117" t="s">
        <v>3401</v>
      </c>
      <c r="G1883" s="93" t="s">
        <v>400</v>
      </c>
      <c r="H1883" s="94" t="str">
        <f>IF(Proc[[#This Row],[type]]="LFF (MDG-F)",MID(Proc[[#This Row],[Obj]],13,10),"")</f>
        <v/>
      </c>
      <c r="J1883" s="94" t="b">
        <f>Proc[[#This Row],[Requested]]=Proc[[#This Row],[CurrentParent]]</f>
        <v>1</v>
      </c>
      <c r="K1883" s="144" t="str">
        <f>IF(Proc[[#This Row],[Author]]="Marcela Urrego",VLOOKUP(LEFT(Proc[[#This Row],[Requested]],1),Table3[#All],2,0),VLOOKUP(Proc[[#This Row],[Author]],Table4[],2,0))</f>
        <v>HC</v>
      </c>
      <c r="L1883" s="125" t="s">
        <v>2563</v>
      </c>
      <c r="M1883" s="90">
        <v>45807.678356481483</v>
      </c>
      <c r="N1883" s="91">
        <v>45810</v>
      </c>
      <c r="O1883" s="91">
        <v>45810</v>
      </c>
      <c r="P1883" s="90" t="str">
        <f ca="1">IF(Proc[[#This Row],[DaysAgeing]]&gt;5,"yep","on track")</f>
        <v>on track</v>
      </c>
      <c r="Q1883" s="3">
        <f ca="1">IF(Proc[[#This Row],[DateClosed]]="",ABS(NETWORKDAYS(Proc[[#This Row],[DateOpened]],TODAY()))-1,ABS(NETWORKDAYS(Proc[[#This Row],[DateOpened]],Proc[[#This Row],[DateClosed]]))-1)</f>
        <v>1</v>
      </c>
      <c r="R1883" s="90" t="s">
        <v>1013</v>
      </c>
      <c r="S1883" s="94"/>
    </row>
    <row r="1884" spans="1:19" hidden="1">
      <c r="A1884" s="93" t="s">
        <v>3640</v>
      </c>
      <c r="B1884" s="149" t="str">
        <f>IFERROR(VLOOKUP(Proc[[#This Row],[App]],Table2[],3,0),"open")</f>
        <v>ok</v>
      </c>
      <c r="C1884" s="93" t="s">
        <v>369</v>
      </c>
      <c r="D1884" t="s">
        <v>3711</v>
      </c>
      <c r="E1884" s="93" t="s">
        <v>3401</v>
      </c>
      <c r="F1884" s="117" t="s">
        <v>3401</v>
      </c>
      <c r="G1884" s="93" t="s">
        <v>400</v>
      </c>
      <c r="H1884" s="94" t="str">
        <f>IF(Proc[[#This Row],[type]]="LFF (MDG-F)",MID(Proc[[#This Row],[Obj]],13,10),"")</f>
        <v/>
      </c>
      <c r="J1884" s="94" t="b">
        <f>Proc[[#This Row],[Requested]]=Proc[[#This Row],[CurrentParent]]</f>
        <v>1</v>
      </c>
      <c r="K1884" s="144" t="str">
        <f>IF(Proc[[#This Row],[Author]]="Marcela Urrego",VLOOKUP(LEFT(Proc[[#This Row],[Requested]],1),Table3[#All],2,0),VLOOKUP(Proc[[#This Row],[Author]],Table4[],2,0))</f>
        <v>HC</v>
      </c>
      <c r="L1884" s="125" t="s">
        <v>2563</v>
      </c>
      <c r="M1884" s="90">
        <v>45807.678356481483</v>
      </c>
      <c r="N1884" s="91">
        <v>45810</v>
      </c>
      <c r="O1884" s="91">
        <v>45810</v>
      </c>
      <c r="P1884" s="90" t="str">
        <f ca="1">IF(Proc[[#This Row],[DaysAgeing]]&gt;5,"yep","on track")</f>
        <v>on track</v>
      </c>
      <c r="Q1884" s="3">
        <f ca="1">IF(Proc[[#This Row],[DateClosed]]="",ABS(NETWORKDAYS(Proc[[#This Row],[DateOpened]],TODAY()))-1,ABS(NETWORKDAYS(Proc[[#This Row],[DateOpened]],Proc[[#This Row],[DateClosed]]))-1)</f>
        <v>1</v>
      </c>
      <c r="R1884" s="90" t="s">
        <v>1013</v>
      </c>
      <c r="S1884" s="94"/>
    </row>
    <row r="1885" spans="1:19" hidden="1">
      <c r="A1885" s="93" t="s">
        <v>3640</v>
      </c>
      <c r="B1885" s="149" t="str">
        <f>IFERROR(VLOOKUP(Proc[[#This Row],[App]],Table2[],3,0),"open")</f>
        <v>ok</v>
      </c>
      <c r="C1885" s="93" t="s">
        <v>369</v>
      </c>
      <c r="D1885" t="s">
        <v>3712</v>
      </c>
      <c r="E1885" s="93" t="s">
        <v>3401</v>
      </c>
      <c r="F1885" s="117" t="s">
        <v>3401</v>
      </c>
      <c r="G1885" s="93" t="s">
        <v>400</v>
      </c>
      <c r="H1885" s="94" t="str">
        <f>IF(Proc[[#This Row],[type]]="LFF (MDG-F)",MID(Proc[[#This Row],[Obj]],13,10),"")</f>
        <v/>
      </c>
      <c r="J1885" s="94" t="b">
        <f>Proc[[#This Row],[Requested]]=Proc[[#This Row],[CurrentParent]]</f>
        <v>1</v>
      </c>
      <c r="K1885" s="144" t="str">
        <f>IF(Proc[[#This Row],[Author]]="Marcela Urrego",VLOOKUP(LEFT(Proc[[#This Row],[Requested]],1),Table3[#All],2,0),VLOOKUP(Proc[[#This Row],[Author]],Table4[],2,0))</f>
        <v>HC</v>
      </c>
      <c r="L1885" s="125" t="s">
        <v>2563</v>
      </c>
      <c r="M1885" s="90">
        <v>45807.678356481483</v>
      </c>
      <c r="N1885" s="91">
        <v>45810</v>
      </c>
      <c r="O1885" s="91">
        <v>45810</v>
      </c>
      <c r="P1885" s="90" t="str">
        <f ca="1">IF(Proc[[#This Row],[DaysAgeing]]&gt;5,"yep","on track")</f>
        <v>on track</v>
      </c>
      <c r="Q1885" s="3">
        <f ca="1">IF(Proc[[#This Row],[DateClosed]]="",ABS(NETWORKDAYS(Proc[[#This Row],[DateOpened]],TODAY()))-1,ABS(NETWORKDAYS(Proc[[#This Row],[DateOpened]],Proc[[#This Row],[DateClosed]]))-1)</f>
        <v>1</v>
      </c>
      <c r="R1885" s="90" t="s">
        <v>1013</v>
      </c>
      <c r="S1885" s="94"/>
    </row>
    <row r="1886" spans="1:19" hidden="1">
      <c r="A1886" s="93" t="s">
        <v>3640</v>
      </c>
      <c r="B1886" s="149" t="str">
        <f>IFERROR(VLOOKUP(Proc[[#This Row],[App]],Table2[],3,0),"open")</f>
        <v>ok</v>
      </c>
      <c r="C1886" s="93" t="s">
        <v>369</v>
      </c>
      <c r="D1886" t="s">
        <v>3713</v>
      </c>
      <c r="E1886" s="93" t="s">
        <v>3401</v>
      </c>
      <c r="F1886" s="117" t="s">
        <v>3401</v>
      </c>
      <c r="G1886" s="93" t="s">
        <v>400</v>
      </c>
      <c r="H1886" s="94" t="str">
        <f>IF(Proc[[#This Row],[type]]="LFF (MDG-F)",MID(Proc[[#This Row],[Obj]],13,10),"")</f>
        <v/>
      </c>
      <c r="J1886" s="94" t="b">
        <f>Proc[[#This Row],[Requested]]=Proc[[#This Row],[CurrentParent]]</f>
        <v>1</v>
      </c>
      <c r="K1886" s="144" t="str">
        <f>IF(Proc[[#This Row],[Author]]="Marcela Urrego",VLOOKUP(LEFT(Proc[[#This Row],[Requested]],1),Table3[#All],2,0),VLOOKUP(Proc[[#This Row],[Author]],Table4[],2,0))</f>
        <v>HC</v>
      </c>
      <c r="L1886" s="125" t="s">
        <v>2563</v>
      </c>
      <c r="M1886" s="90">
        <v>45807.678356481483</v>
      </c>
      <c r="N1886" s="91">
        <v>45810</v>
      </c>
      <c r="O1886" s="91">
        <v>45810</v>
      </c>
      <c r="P1886" s="90" t="str">
        <f ca="1">IF(Proc[[#This Row],[DaysAgeing]]&gt;5,"yep","on track")</f>
        <v>on track</v>
      </c>
      <c r="Q1886" s="3">
        <f ca="1">IF(Proc[[#This Row],[DateClosed]]="",ABS(NETWORKDAYS(Proc[[#This Row],[DateOpened]],TODAY()))-1,ABS(NETWORKDAYS(Proc[[#This Row],[DateOpened]],Proc[[#This Row],[DateClosed]]))-1)</f>
        <v>1</v>
      </c>
      <c r="R1886" s="90" t="s">
        <v>1013</v>
      </c>
      <c r="S1886" s="94"/>
    </row>
    <row r="1887" spans="1:19" hidden="1">
      <c r="A1887" s="93" t="s">
        <v>3640</v>
      </c>
      <c r="B1887" s="149" t="str">
        <f>IFERROR(VLOOKUP(Proc[[#This Row],[App]],Table2[],3,0),"open")</f>
        <v>ok</v>
      </c>
      <c r="C1887" s="93" t="s">
        <v>369</v>
      </c>
      <c r="D1887" t="s">
        <v>3714</v>
      </c>
      <c r="E1887" s="93" t="s">
        <v>3401</v>
      </c>
      <c r="F1887" s="117" t="s">
        <v>3401</v>
      </c>
      <c r="G1887" s="93" t="s">
        <v>400</v>
      </c>
      <c r="H1887" s="94" t="str">
        <f>IF(Proc[[#This Row],[type]]="LFF (MDG-F)",MID(Proc[[#This Row],[Obj]],13,10),"")</f>
        <v/>
      </c>
      <c r="J1887" s="94" t="b">
        <f>Proc[[#This Row],[Requested]]=Proc[[#This Row],[CurrentParent]]</f>
        <v>1</v>
      </c>
      <c r="K1887" s="144" t="str">
        <f>IF(Proc[[#This Row],[Author]]="Marcela Urrego",VLOOKUP(LEFT(Proc[[#This Row],[Requested]],1),Table3[#All],2,0),VLOOKUP(Proc[[#This Row],[Author]],Table4[],2,0))</f>
        <v>HC</v>
      </c>
      <c r="L1887" s="125" t="s">
        <v>2563</v>
      </c>
      <c r="M1887" s="90">
        <v>45807.678356481483</v>
      </c>
      <c r="N1887" s="91">
        <v>45810</v>
      </c>
      <c r="O1887" s="91">
        <v>45810</v>
      </c>
      <c r="P1887" s="90" t="str">
        <f ca="1">IF(Proc[[#This Row],[DaysAgeing]]&gt;5,"yep","on track")</f>
        <v>on track</v>
      </c>
      <c r="Q1887" s="3">
        <f ca="1">IF(Proc[[#This Row],[DateClosed]]="",ABS(NETWORKDAYS(Proc[[#This Row],[DateOpened]],TODAY()))-1,ABS(NETWORKDAYS(Proc[[#This Row],[DateOpened]],Proc[[#This Row],[DateClosed]]))-1)</f>
        <v>1</v>
      </c>
      <c r="R1887" s="90" t="s">
        <v>1013</v>
      </c>
      <c r="S1887" s="94"/>
    </row>
    <row r="1888" spans="1:19" hidden="1">
      <c r="A1888" s="93" t="s">
        <v>3640</v>
      </c>
      <c r="B1888" s="149" t="str">
        <f>IFERROR(VLOOKUP(Proc[[#This Row],[App]],Table2[],3,0),"open")</f>
        <v>ok</v>
      </c>
      <c r="C1888" s="93" t="s">
        <v>369</v>
      </c>
      <c r="D1888" t="s">
        <v>3715</v>
      </c>
      <c r="E1888" s="93" t="s">
        <v>3401</v>
      </c>
      <c r="F1888" s="117" t="s">
        <v>3401</v>
      </c>
      <c r="G1888" s="93" t="s">
        <v>400</v>
      </c>
      <c r="H1888" s="94" t="str">
        <f>IF(Proc[[#This Row],[type]]="LFF (MDG-F)",MID(Proc[[#This Row],[Obj]],13,10),"")</f>
        <v/>
      </c>
      <c r="J1888" s="94" t="b">
        <f>Proc[[#This Row],[Requested]]=Proc[[#This Row],[CurrentParent]]</f>
        <v>1</v>
      </c>
      <c r="K1888" s="144" t="str">
        <f>IF(Proc[[#This Row],[Author]]="Marcela Urrego",VLOOKUP(LEFT(Proc[[#This Row],[Requested]],1),Table3[#All],2,0),VLOOKUP(Proc[[#This Row],[Author]],Table4[],2,0))</f>
        <v>HC</v>
      </c>
      <c r="L1888" s="125" t="s">
        <v>2563</v>
      </c>
      <c r="M1888" s="90">
        <v>45807.678356481483</v>
      </c>
      <c r="N1888" s="91">
        <v>45810</v>
      </c>
      <c r="O1888" s="91">
        <v>45810</v>
      </c>
      <c r="P1888" s="90" t="str">
        <f ca="1">IF(Proc[[#This Row],[DaysAgeing]]&gt;5,"yep","on track")</f>
        <v>on track</v>
      </c>
      <c r="Q1888" s="3">
        <f ca="1">IF(Proc[[#This Row],[DateClosed]]="",ABS(NETWORKDAYS(Proc[[#This Row],[DateOpened]],TODAY()))-1,ABS(NETWORKDAYS(Proc[[#This Row],[DateOpened]],Proc[[#This Row],[DateClosed]]))-1)</f>
        <v>1</v>
      </c>
      <c r="R1888" s="90" t="s">
        <v>1013</v>
      </c>
      <c r="S1888" s="94"/>
    </row>
    <row r="1889" spans="1:19" hidden="1">
      <c r="A1889" s="93" t="s">
        <v>3640</v>
      </c>
      <c r="B1889" s="149" t="str">
        <f>IFERROR(VLOOKUP(Proc[[#This Row],[App]],Table2[],3,0),"open")</f>
        <v>ok</v>
      </c>
      <c r="C1889" s="93" t="s">
        <v>369</v>
      </c>
      <c r="D1889" t="s">
        <v>3716</v>
      </c>
      <c r="E1889" s="93" t="s">
        <v>3401</v>
      </c>
      <c r="F1889" s="117" t="s">
        <v>3401</v>
      </c>
      <c r="G1889" s="93" t="s">
        <v>400</v>
      </c>
      <c r="H1889" s="94" t="str">
        <f>IF(Proc[[#This Row],[type]]="LFF (MDG-F)",MID(Proc[[#This Row],[Obj]],13,10),"")</f>
        <v/>
      </c>
      <c r="J1889" s="94" t="b">
        <f>Proc[[#This Row],[Requested]]=Proc[[#This Row],[CurrentParent]]</f>
        <v>1</v>
      </c>
      <c r="K1889" s="144" t="str">
        <f>IF(Proc[[#This Row],[Author]]="Marcela Urrego",VLOOKUP(LEFT(Proc[[#This Row],[Requested]],1),Table3[#All],2,0),VLOOKUP(Proc[[#This Row],[Author]],Table4[],2,0))</f>
        <v>HC</v>
      </c>
      <c r="L1889" s="125" t="s">
        <v>2563</v>
      </c>
      <c r="M1889" s="90">
        <v>45807.678356481483</v>
      </c>
      <c r="N1889" s="91">
        <v>45810</v>
      </c>
      <c r="O1889" s="91">
        <v>45810</v>
      </c>
      <c r="P1889" s="90" t="str">
        <f ca="1">IF(Proc[[#This Row],[DaysAgeing]]&gt;5,"yep","on track")</f>
        <v>on track</v>
      </c>
      <c r="Q1889" s="3">
        <f ca="1">IF(Proc[[#This Row],[DateClosed]]="",ABS(NETWORKDAYS(Proc[[#This Row],[DateOpened]],TODAY()))-1,ABS(NETWORKDAYS(Proc[[#This Row],[DateOpened]],Proc[[#This Row],[DateClosed]]))-1)</f>
        <v>1</v>
      </c>
      <c r="R1889" s="90" t="s">
        <v>1013</v>
      </c>
      <c r="S1889" s="94"/>
    </row>
    <row r="1890" spans="1:19" hidden="1">
      <c r="A1890" s="93" t="s">
        <v>3640</v>
      </c>
      <c r="B1890" s="149" t="str">
        <f>IFERROR(VLOOKUP(Proc[[#This Row],[App]],Table2[],3,0),"open")</f>
        <v>ok</v>
      </c>
      <c r="C1890" s="93" t="s">
        <v>369</v>
      </c>
      <c r="D1890" t="s">
        <v>3717</v>
      </c>
      <c r="E1890" s="93" t="s">
        <v>3401</v>
      </c>
      <c r="F1890" s="117" t="s">
        <v>3401</v>
      </c>
      <c r="G1890" s="93" t="s">
        <v>400</v>
      </c>
      <c r="H1890" s="94" t="str">
        <f>IF(Proc[[#This Row],[type]]="LFF (MDG-F)",MID(Proc[[#This Row],[Obj]],13,10),"")</f>
        <v/>
      </c>
      <c r="J1890" s="94" t="b">
        <f>Proc[[#This Row],[Requested]]=Proc[[#This Row],[CurrentParent]]</f>
        <v>1</v>
      </c>
      <c r="K1890" s="144" t="str">
        <f>IF(Proc[[#This Row],[Author]]="Marcela Urrego",VLOOKUP(LEFT(Proc[[#This Row],[Requested]],1),Table3[#All],2,0),VLOOKUP(Proc[[#This Row],[Author]],Table4[],2,0))</f>
        <v>HC</v>
      </c>
      <c r="L1890" s="125" t="s">
        <v>2563</v>
      </c>
      <c r="M1890" s="90">
        <v>45807.678356481483</v>
      </c>
      <c r="N1890" s="91">
        <v>45810</v>
      </c>
      <c r="O1890" s="91">
        <v>45810</v>
      </c>
      <c r="P1890" s="90" t="str">
        <f ca="1">IF(Proc[[#This Row],[DaysAgeing]]&gt;5,"yep","on track")</f>
        <v>on track</v>
      </c>
      <c r="Q1890" s="3">
        <f ca="1">IF(Proc[[#This Row],[DateClosed]]="",ABS(NETWORKDAYS(Proc[[#This Row],[DateOpened]],TODAY()))-1,ABS(NETWORKDAYS(Proc[[#This Row],[DateOpened]],Proc[[#This Row],[DateClosed]]))-1)</f>
        <v>1</v>
      </c>
      <c r="R1890" s="90" t="s">
        <v>1013</v>
      </c>
      <c r="S1890" s="94"/>
    </row>
    <row r="1891" spans="1:19" hidden="1">
      <c r="A1891" s="93" t="s">
        <v>3640</v>
      </c>
      <c r="B1891" s="149" t="str">
        <f>IFERROR(VLOOKUP(Proc[[#This Row],[App]],Table2[],3,0),"open")</f>
        <v>ok</v>
      </c>
      <c r="C1891" s="93" t="s">
        <v>369</v>
      </c>
      <c r="D1891" t="s">
        <v>3718</v>
      </c>
      <c r="E1891" s="93" t="s">
        <v>3401</v>
      </c>
      <c r="F1891" s="117" t="s">
        <v>3401</v>
      </c>
      <c r="G1891" s="93" t="s">
        <v>400</v>
      </c>
      <c r="H1891" s="94" t="str">
        <f>IF(Proc[[#This Row],[type]]="LFF (MDG-F)",MID(Proc[[#This Row],[Obj]],13,10),"")</f>
        <v/>
      </c>
      <c r="J1891" s="94" t="b">
        <f>Proc[[#This Row],[Requested]]=Proc[[#This Row],[CurrentParent]]</f>
        <v>1</v>
      </c>
      <c r="K1891" s="144" t="str">
        <f>IF(Proc[[#This Row],[Author]]="Marcela Urrego",VLOOKUP(LEFT(Proc[[#This Row],[Requested]],1),Table3[#All],2,0),VLOOKUP(Proc[[#This Row],[Author]],Table4[],2,0))</f>
        <v>HC</v>
      </c>
      <c r="L1891" s="125" t="s">
        <v>2563</v>
      </c>
      <c r="M1891" s="90">
        <v>45807.678356481483</v>
      </c>
      <c r="N1891" s="91">
        <v>45810</v>
      </c>
      <c r="O1891" s="91">
        <v>45810</v>
      </c>
      <c r="P1891" s="90" t="str">
        <f ca="1">IF(Proc[[#This Row],[DaysAgeing]]&gt;5,"yep","on track")</f>
        <v>on track</v>
      </c>
      <c r="Q1891" s="3">
        <f ca="1">IF(Proc[[#This Row],[DateClosed]]="",ABS(NETWORKDAYS(Proc[[#This Row],[DateOpened]],TODAY()))-1,ABS(NETWORKDAYS(Proc[[#This Row],[DateOpened]],Proc[[#This Row],[DateClosed]]))-1)</f>
        <v>1</v>
      </c>
      <c r="R1891" s="90" t="s">
        <v>1013</v>
      </c>
      <c r="S1891" s="94"/>
    </row>
    <row r="1892" spans="1:19" hidden="1">
      <c r="A1892" s="93" t="s">
        <v>3640</v>
      </c>
      <c r="B1892" s="149" t="str">
        <f>IFERROR(VLOOKUP(Proc[[#This Row],[App]],Table2[],3,0),"open")</f>
        <v>ok</v>
      </c>
      <c r="C1892" s="93" t="s">
        <v>369</v>
      </c>
      <c r="D1892" t="s">
        <v>3719</v>
      </c>
      <c r="E1892" s="93" t="s">
        <v>3401</v>
      </c>
      <c r="F1892" s="117" t="s">
        <v>3401</v>
      </c>
      <c r="G1892" s="93" t="s">
        <v>400</v>
      </c>
      <c r="H1892" s="94" t="str">
        <f>IF(Proc[[#This Row],[type]]="LFF (MDG-F)",MID(Proc[[#This Row],[Obj]],13,10),"")</f>
        <v/>
      </c>
      <c r="J1892" s="94" t="b">
        <f>Proc[[#This Row],[Requested]]=Proc[[#This Row],[CurrentParent]]</f>
        <v>1</v>
      </c>
      <c r="K1892" s="144" t="str">
        <f>IF(Proc[[#This Row],[Author]]="Marcela Urrego",VLOOKUP(LEFT(Proc[[#This Row],[Requested]],1),Table3[#All],2,0),VLOOKUP(Proc[[#This Row],[Author]],Table4[],2,0))</f>
        <v>HC</v>
      </c>
      <c r="L1892" s="125" t="s">
        <v>2563</v>
      </c>
      <c r="M1892" s="90">
        <v>45807.678356481483</v>
      </c>
      <c r="N1892" s="91">
        <v>45810</v>
      </c>
      <c r="O1892" s="91">
        <v>45810</v>
      </c>
      <c r="P1892" s="90" t="str">
        <f ca="1">IF(Proc[[#This Row],[DaysAgeing]]&gt;5,"yep","on track")</f>
        <v>on track</v>
      </c>
      <c r="Q1892" s="3">
        <f ca="1">IF(Proc[[#This Row],[DateClosed]]="",ABS(NETWORKDAYS(Proc[[#This Row],[DateOpened]],TODAY()))-1,ABS(NETWORKDAYS(Proc[[#This Row],[DateOpened]],Proc[[#This Row],[DateClosed]]))-1)</f>
        <v>1</v>
      </c>
      <c r="R1892" s="90" t="s">
        <v>1013</v>
      </c>
      <c r="S1892" s="94"/>
    </row>
    <row r="1893" spans="1:19" hidden="1">
      <c r="A1893" s="93" t="s">
        <v>3640</v>
      </c>
      <c r="B1893" s="149" t="str">
        <f>IFERROR(VLOOKUP(Proc[[#This Row],[App]],Table2[],3,0),"open")</f>
        <v>ok</v>
      </c>
      <c r="C1893" s="93" t="s">
        <v>369</v>
      </c>
      <c r="D1893" t="s">
        <v>3720</v>
      </c>
      <c r="E1893" s="93" t="s">
        <v>3401</v>
      </c>
      <c r="F1893" s="117" t="s">
        <v>3401</v>
      </c>
      <c r="G1893" s="93" t="s">
        <v>400</v>
      </c>
      <c r="H1893" s="94" t="str">
        <f>IF(Proc[[#This Row],[type]]="LFF (MDG-F)",MID(Proc[[#This Row],[Obj]],13,10),"")</f>
        <v/>
      </c>
      <c r="J1893" s="94" t="b">
        <f>Proc[[#This Row],[Requested]]=Proc[[#This Row],[CurrentParent]]</f>
        <v>1</v>
      </c>
      <c r="K1893" s="144" t="str">
        <f>IF(Proc[[#This Row],[Author]]="Marcela Urrego",VLOOKUP(LEFT(Proc[[#This Row],[Requested]],1),Table3[#All],2,0),VLOOKUP(Proc[[#This Row],[Author]],Table4[],2,0))</f>
        <v>HC</v>
      </c>
      <c r="L1893" s="125" t="s">
        <v>2563</v>
      </c>
      <c r="M1893" s="90">
        <v>45807.678356481483</v>
      </c>
      <c r="N1893" s="91">
        <v>45810</v>
      </c>
      <c r="O1893" s="91">
        <v>45810</v>
      </c>
      <c r="P1893" s="90" t="str">
        <f ca="1">IF(Proc[[#This Row],[DaysAgeing]]&gt;5,"yep","on track")</f>
        <v>on track</v>
      </c>
      <c r="Q1893" s="3">
        <f ca="1">IF(Proc[[#This Row],[DateClosed]]="",ABS(NETWORKDAYS(Proc[[#This Row],[DateOpened]],TODAY()))-1,ABS(NETWORKDAYS(Proc[[#This Row],[DateOpened]],Proc[[#This Row],[DateClosed]]))-1)</f>
        <v>1</v>
      </c>
      <c r="R1893" s="90" t="s">
        <v>1013</v>
      </c>
      <c r="S1893" s="94"/>
    </row>
    <row r="1894" spans="1:19" hidden="1">
      <c r="A1894" s="93" t="s">
        <v>3640</v>
      </c>
      <c r="B1894" s="149" t="str">
        <f>IFERROR(VLOOKUP(Proc[[#This Row],[App]],Table2[],3,0),"open")</f>
        <v>ok</v>
      </c>
      <c r="C1894" s="93" t="s">
        <v>369</v>
      </c>
      <c r="D1894" t="s">
        <v>3721</v>
      </c>
      <c r="E1894" s="93" t="s">
        <v>3401</v>
      </c>
      <c r="F1894" s="117" t="s">
        <v>3401</v>
      </c>
      <c r="G1894" s="93" t="s">
        <v>400</v>
      </c>
      <c r="H1894" s="94" t="str">
        <f>IF(Proc[[#This Row],[type]]="LFF (MDG-F)",MID(Proc[[#This Row],[Obj]],13,10),"")</f>
        <v/>
      </c>
      <c r="J1894" s="94" t="b">
        <f>Proc[[#This Row],[Requested]]=Proc[[#This Row],[CurrentParent]]</f>
        <v>1</v>
      </c>
      <c r="K1894" s="144" t="str">
        <f>IF(Proc[[#This Row],[Author]]="Marcela Urrego",VLOOKUP(LEFT(Proc[[#This Row],[Requested]],1),Table3[#All],2,0),VLOOKUP(Proc[[#This Row],[Author]],Table4[],2,0))</f>
        <v>HC</v>
      </c>
      <c r="L1894" s="125" t="s">
        <v>2563</v>
      </c>
      <c r="M1894" s="90">
        <v>45807.678356481483</v>
      </c>
      <c r="N1894" s="91">
        <v>45810</v>
      </c>
      <c r="O1894" s="91">
        <v>45810</v>
      </c>
      <c r="P1894" s="90" t="str">
        <f ca="1">IF(Proc[[#This Row],[DaysAgeing]]&gt;5,"yep","on track")</f>
        <v>on track</v>
      </c>
      <c r="Q1894" s="3">
        <f ca="1">IF(Proc[[#This Row],[DateClosed]]="",ABS(NETWORKDAYS(Proc[[#This Row],[DateOpened]],TODAY()))-1,ABS(NETWORKDAYS(Proc[[#This Row],[DateOpened]],Proc[[#This Row],[DateClosed]]))-1)</f>
        <v>1</v>
      </c>
      <c r="R1894" s="90" t="s">
        <v>1013</v>
      </c>
      <c r="S1894" s="94"/>
    </row>
    <row r="1895" spans="1:19" hidden="1">
      <c r="A1895" s="93" t="s">
        <v>3640</v>
      </c>
      <c r="B1895" s="149" t="str">
        <f>IFERROR(VLOOKUP(Proc[[#This Row],[App]],Table2[],3,0),"open")</f>
        <v>ok</v>
      </c>
      <c r="C1895" s="93" t="s">
        <v>369</v>
      </c>
      <c r="D1895" t="s">
        <v>3722</v>
      </c>
      <c r="E1895" s="93" t="s">
        <v>3401</v>
      </c>
      <c r="F1895" s="117" t="s">
        <v>3401</v>
      </c>
      <c r="G1895" s="93" t="s">
        <v>400</v>
      </c>
      <c r="H1895" s="94" t="str">
        <f>IF(Proc[[#This Row],[type]]="LFF (MDG-F)",MID(Proc[[#This Row],[Obj]],13,10),"")</f>
        <v/>
      </c>
      <c r="J1895" s="94" t="b">
        <f>Proc[[#This Row],[Requested]]=Proc[[#This Row],[CurrentParent]]</f>
        <v>1</v>
      </c>
      <c r="K1895" s="144" t="str">
        <f>IF(Proc[[#This Row],[Author]]="Marcela Urrego",VLOOKUP(LEFT(Proc[[#This Row],[Requested]],1),Table3[#All],2,0),VLOOKUP(Proc[[#This Row],[Author]],Table4[],2,0))</f>
        <v>HC</v>
      </c>
      <c r="L1895" s="125" t="s">
        <v>2563</v>
      </c>
      <c r="M1895" s="90">
        <v>45807.678356481483</v>
      </c>
      <c r="N1895" s="91">
        <v>45810</v>
      </c>
      <c r="O1895" s="91">
        <v>45810</v>
      </c>
      <c r="P1895" s="90" t="str">
        <f ca="1">IF(Proc[[#This Row],[DaysAgeing]]&gt;5,"yep","on track")</f>
        <v>on track</v>
      </c>
      <c r="Q1895" s="3">
        <f ca="1">IF(Proc[[#This Row],[DateClosed]]="",ABS(NETWORKDAYS(Proc[[#This Row],[DateOpened]],TODAY()))-1,ABS(NETWORKDAYS(Proc[[#This Row],[DateOpened]],Proc[[#This Row],[DateClosed]]))-1)</f>
        <v>1</v>
      </c>
      <c r="R1895" s="90" t="s">
        <v>1013</v>
      </c>
      <c r="S1895" s="94"/>
    </row>
    <row r="1896" spans="1:19" hidden="1">
      <c r="A1896" s="93" t="s">
        <v>3640</v>
      </c>
      <c r="B1896" s="149" t="str">
        <f>IFERROR(VLOOKUP(Proc[[#This Row],[App]],Table2[],3,0),"open")</f>
        <v>ok</v>
      </c>
      <c r="C1896" s="93" t="s">
        <v>369</v>
      </c>
      <c r="D1896" t="s">
        <v>3723</v>
      </c>
      <c r="E1896" s="93" t="s">
        <v>3401</v>
      </c>
      <c r="F1896" s="117" t="s">
        <v>3401</v>
      </c>
      <c r="G1896" s="93" t="s">
        <v>400</v>
      </c>
      <c r="H1896" s="94" t="str">
        <f>IF(Proc[[#This Row],[type]]="LFF (MDG-F)",MID(Proc[[#This Row],[Obj]],13,10),"")</f>
        <v/>
      </c>
      <c r="J1896" s="94" t="b">
        <f>Proc[[#This Row],[Requested]]=Proc[[#This Row],[CurrentParent]]</f>
        <v>1</v>
      </c>
      <c r="K1896" s="144" t="str">
        <f>IF(Proc[[#This Row],[Author]]="Marcela Urrego",VLOOKUP(LEFT(Proc[[#This Row],[Requested]],1),Table3[#All],2,0),VLOOKUP(Proc[[#This Row],[Author]],Table4[],2,0))</f>
        <v>HC</v>
      </c>
      <c r="L1896" s="125" t="s">
        <v>2563</v>
      </c>
      <c r="M1896" s="90">
        <v>45807.678356481483</v>
      </c>
      <c r="N1896" s="91">
        <v>45810</v>
      </c>
      <c r="O1896" s="91">
        <v>45810</v>
      </c>
      <c r="P1896" s="90" t="str">
        <f ca="1">IF(Proc[[#This Row],[DaysAgeing]]&gt;5,"yep","on track")</f>
        <v>on track</v>
      </c>
      <c r="Q1896" s="3">
        <f ca="1">IF(Proc[[#This Row],[DateClosed]]="",ABS(NETWORKDAYS(Proc[[#This Row],[DateOpened]],TODAY()))-1,ABS(NETWORKDAYS(Proc[[#This Row],[DateOpened]],Proc[[#This Row],[DateClosed]]))-1)</f>
        <v>1</v>
      </c>
      <c r="R1896" s="90" t="s">
        <v>1013</v>
      </c>
      <c r="S1896" s="94"/>
    </row>
    <row r="1897" spans="1:19" hidden="1">
      <c r="A1897" s="93" t="s">
        <v>3640</v>
      </c>
      <c r="B1897" s="149" t="str">
        <f>IFERROR(VLOOKUP(Proc[[#This Row],[App]],Table2[],3,0),"open")</f>
        <v>ok</v>
      </c>
      <c r="C1897" s="93" t="s">
        <v>369</v>
      </c>
      <c r="D1897" t="s">
        <v>3724</v>
      </c>
      <c r="E1897" s="93" t="s">
        <v>3401</v>
      </c>
      <c r="F1897" s="117" t="s">
        <v>3401</v>
      </c>
      <c r="G1897" s="93" t="s">
        <v>400</v>
      </c>
      <c r="H1897" s="94" t="str">
        <f>IF(Proc[[#This Row],[type]]="LFF (MDG-F)",MID(Proc[[#This Row],[Obj]],13,10),"")</f>
        <v/>
      </c>
      <c r="J1897" s="94" t="b">
        <f>Proc[[#This Row],[Requested]]=Proc[[#This Row],[CurrentParent]]</f>
        <v>1</v>
      </c>
      <c r="K1897" s="144" t="str">
        <f>IF(Proc[[#This Row],[Author]]="Marcela Urrego",VLOOKUP(LEFT(Proc[[#This Row],[Requested]],1),Table3[#All],2,0),VLOOKUP(Proc[[#This Row],[Author]],Table4[],2,0))</f>
        <v>HC</v>
      </c>
      <c r="L1897" s="125" t="s">
        <v>2563</v>
      </c>
      <c r="M1897" s="90">
        <v>45807.678356481483</v>
      </c>
      <c r="N1897" s="91">
        <v>45810</v>
      </c>
      <c r="O1897" s="91">
        <v>45810</v>
      </c>
      <c r="P1897" s="90" t="str">
        <f ca="1">IF(Proc[[#This Row],[DaysAgeing]]&gt;5,"yep","on track")</f>
        <v>on track</v>
      </c>
      <c r="Q1897" s="3">
        <f ca="1">IF(Proc[[#This Row],[DateClosed]]="",ABS(NETWORKDAYS(Proc[[#This Row],[DateOpened]],TODAY()))-1,ABS(NETWORKDAYS(Proc[[#This Row],[DateOpened]],Proc[[#This Row],[DateClosed]]))-1)</f>
        <v>1</v>
      </c>
      <c r="R1897" s="90" t="s">
        <v>1013</v>
      </c>
      <c r="S1897" s="94"/>
    </row>
    <row r="1898" spans="1:19" hidden="1">
      <c r="A1898" s="93" t="s">
        <v>3640</v>
      </c>
      <c r="B1898" s="149" t="str">
        <f>IFERROR(VLOOKUP(Proc[[#This Row],[App]],Table2[],3,0),"open")</f>
        <v>ok</v>
      </c>
      <c r="C1898" s="93" t="s">
        <v>369</v>
      </c>
      <c r="D1898" t="s">
        <v>3725</v>
      </c>
      <c r="E1898" s="93" t="s">
        <v>3401</v>
      </c>
      <c r="F1898" s="117" t="s">
        <v>3401</v>
      </c>
      <c r="G1898" s="93" t="s">
        <v>400</v>
      </c>
      <c r="H1898" s="94" t="str">
        <f>IF(Proc[[#This Row],[type]]="LFF (MDG-F)",MID(Proc[[#This Row],[Obj]],13,10),"")</f>
        <v/>
      </c>
      <c r="J1898" s="94" t="b">
        <f>Proc[[#This Row],[Requested]]=Proc[[#This Row],[CurrentParent]]</f>
        <v>1</v>
      </c>
      <c r="K1898" s="144" t="str">
        <f>IF(Proc[[#This Row],[Author]]="Marcela Urrego",VLOOKUP(LEFT(Proc[[#This Row],[Requested]],1),Table3[#All],2,0),VLOOKUP(Proc[[#This Row],[Author]],Table4[],2,0))</f>
        <v>HC</v>
      </c>
      <c r="L1898" s="125" t="s">
        <v>2563</v>
      </c>
      <c r="M1898" s="90">
        <v>45807.678356481483</v>
      </c>
      <c r="N1898" s="91">
        <v>45810</v>
      </c>
      <c r="O1898" s="91">
        <v>45810</v>
      </c>
      <c r="P1898" s="90" t="str">
        <f ca="1">IF(Proc[[#This Row],[DaysAgeing]]&gt;5,"yep","on track")</f>
        <v>on track</v>
      </c>
      <c r="Q1898" s="3">
        <f ca="1">IF(Proc[[#This Row],[DateClosed]]="",ABS(NETWORKDAYS(Proc[[#This Row],[DateOpened]],TODAY()))-1,ABS(NETWORKDAYS(Proc[[#This Row],[DateOpened]],Proc[[#This Row],[DateClosed]]))-1)</f>
        <v>1</v>
      </c>
      <c r="R1898" s="90" t="s">
        <v>1013</v>
      </c>
      <c r="S1898" s="94"/>
    </row>
    <row r="1899" spans="1:19" hidden="1">
      <c r="A1899" s="93" t="s">
        <v>3640</v>
      </c>
      <c r="B1899" s="149" t="str">
        <f>IFERROR(VLOOKUP(Proc[[#This Row],[App]],Table2[],3,0),"open")</f>
        <v>ok</v>
      </c>
      <c r="C1899" s="93" t="s">
        <v>369</v>
      </c>
      <c r="D1899" t="s">
        <v>3726</v>
      </c>
      <c r="E1899" s="93" t="s">
        <v>3401</v>
      </c>
      <c r="F1899" s="117" t="s">
        <v>3401</v>
      </c>
      <c r="G1899" s="93" t="s">
        <v>400</v>
      </c>
      <c r="H1899" s="94" t="str">
        <f>IF(Proc[[#This Row],[type]]="LFF (MDG-F)",MID(Proc[[#This Row],[Obj]],13,10),"")</f>
        <v/>
      </c>
      <c r="J1899" s="94" t="b">
        <f>Proc[[#This Row],[Requested]]=Proc[[#This Row],[CurrentParent]]</f>
        <v>1</v>
      </c>
      <c r="K1899" s="144" t="str">
        <f>IF(Proc[[#This Row],[Author]]="Marcela Urrego",VLOOKUP(LEFT(Proc[[#This Row],[Requested]],1),Table3[#All],2,0),VLOOKUP(Proc[[#This Row],[Author]],Table4[],2,0))</f>
        <v>HC</v>
      </c>
      <c r="L1899" s="125" t="s">
        <v>2563</v>
      </c>
      <c r="M1899" s="90">
        <v>45807.678356481483</v>
      </c>
      <c r="N1899" s="91">
        <v>45810</v>
      </c>
      <c r="O1899" s="91">
        <v>45810</v>
      </c>
      <c r="P1899" s="90" t="str">
        <f ca="1">IF(Proc[[#This Row],[DaysAgeing]]&gt;5,"yep","on track")</f>
        <v>on track</v>
      </c>
      <c r="Q1899" s="3">
        <f ca="1">IF(Proc[[#This Row],[DateClosed]]="",ABS(NETWORKDAYS(Proc[[#This Row],[DateOpened]],TODAY()))-1,ABS(NETWORKDAYS(Proc[[#This Row],[DateOpened]],Proc[[#This Row],[DateClosed]]))-1)</f>
        <v>1</v>
      </c>
      <c r="R1899" s="90" t="s">
        <v>1013</v>
      </c>
      <c r="S1899" s="94"/>
    </row>
    <row r="1900" spans="1:19" hidden="1">
      <c r="A1900" s="93" t="s">
        <v>3640</v>
      </c>
      <c r="B1900" s="149" t="str">
        <f>IFERROR(VLOOKUP(Proc[[#This Row],[App]],Table2[],3,0),"open")</f>
        <v>ok</v>
      </c>
      <c r="C1900" s="93" t="s">
        <v>369</v>
      </c>
      <c r="D1900" t="s">
        <v>3727</v>
      </c>
      <c r="E1900" s="93" t="s">
        <v>3401</v>
      </c>
      <c r="F1900" s="117" t="s">
        <v>3401</v>
      </c>
      <c r="G1900" s="93" t="s">
        <v>400</v>
      </c>
      <c r="H1900" s="94" t="str">
        <f>IF(Proc[[#This Row],[type]]="LFF (MDG-F)",MID(Proc[[#This Row],[Obj]],13,10),"")</f>
        <v/>
      </c>
      <c r="J1900" s="94" t="b">
        <f>Proc[[#This Row],[Requested]]=Proc[[#This Row],[CurrentParent]]</f>
        <v>1</v>
      </c>
      <c r="K1900" s="144" t="str">
        <f>IF(Proc[[#This Row],[Author]]="Marcela Urrego",VLOOKUP(LEFT(Proc[[#This Row],[Requested]],1),Table3[#All],2,0),VLOOKUP(Proc[[#This Row],[Author]],Table4[],2,0))</f>
        <v>HC</v>
      </c>
      <c r="L1900" s="125" t="s">
        <v>2563</v>
      </c>
      <c r="M1900" s="90">
        <v>45807.678356481483</v>
      </c>
      <c r="N1900" s="91">
        <v>45810</v>
      </c>
      <c r="O1900" s="91">
        <v>45810</v>
      </c>
      <c r="P1900" s="90" t="str">
        <f ca="1">IF(Proc[[#This Row],[DaysAgeing]]&gt;5,"yep","on track")</f>
        <v>on track</v>
      </c>
      <c r="Q1900" s="3">
        <f ca="1">IF(Proc[[#This Row],[DateClosed]]="",ABS(NETWORKDAYS(Proc[[#This Row],[DateOpened]],TODAY()))-1,ABS(NETWORKDAYS(Proc[[#This Row],[DateOpened]],Proc[[#This Row],[DateClosed]]))-1)</f>
        <v>1</v>
      </c>
      <c r="R1900" s="90" t="s">
        <v>1013</v>
      </c>
      <c r="S1900" s="94"/>
    </row>
    <row r="1901" spans="1:19" hidden="1">
      <c r="A1901" s="93" t="s">
        <v>3640</v>
      </c>
      <c r="B1901" s="149" t="str">
        <f>IFERROR(VLOOKUP(Proc[[#This Row],[App]],Table2[],3,0),"open")</f>
        <v>ok</v>
      </c>
      <c r="C1901" s="93" t="s">
        <v>369</v>
      </c>
      <c r="D1901" t="s">
        <v>3728</v>
      </c>
      <c r="E1901" s="93" t="s">
        <v>3401</v>
      </c>
      <c r="F1901" s="117" t="s">
        <v>3401</v>
      </c>
      <c r="G1901" s="93" t="s">
        <v>400</v>
      </c>
      <c r="H1901" s="94" t="str">
        <f>IF(Proc[[#This Row],[type]]="LFF (MDG-F)",MID(Proc[[#This Row],[Obj]],13,10),"")</f>
        <v/>
      </c>
      <c r="J1901" s="94" t="b">
        <f>Proc[[#This Row],[Requested]]=Proc[[#This Row],[CurrentParent]]</f>
        <v>1</v>
      </c>
      <c r="K1901" s="144" t="str">
        <f>IF(Proc[[#This Row],[Author]]="Marcela Urrego",VLOOKUP(LEFT(Proc[[#This Row],[Requested]],1),Table3[#All],2,0),VLOOKUP(Proc[[#This Row],[Author]],Table4[],2,0))</f>
        <v>HC</v>
      </c>
      <c r="L1901" s="125" t="s">
        <v>2563</v>
      </c>
      <c r="M1901" s="90">
        <v>45807.678356481483</v>
      </c>
      <c r="N1901" s="91">
        <v>45810</v>
      </c>
      <c r="O1901" s="91">
        <v>45810</v>
      </c>
      <c r="P1901" s="90" t="str">
        <f ca="1">IF(Proc[[#This Row],[DaysAgeing]]&gt;5,"yep","on track")</f>
        <v>on track</v>
      </c>
      <c r="Q1901" s="3">
        <f ca="1">IF(Proc[[#This Row],[DateClosed]]="",ABS(NETWORKDAYS(Proc[[#This Row],[DateOpened]],TODAY()))-1,ABS(NETWORKDAYS(Proc[[#This Row],[DateOpened]],Proc[[#This Row],[DateClosed]]))-1)</f>
        <v>1</v>
      </c>
      <c r="R1901" s="90" t="s">
        <v>1013</v>
      </c>
      <c r="S1901" s="94"/>
    </row>
    <row r="1902" spans="1:19" hidden="1">
      <c r="A1902" s="93" t="s">
        <v>3640</v>
      </c>
      <c r="B1902" s="149" t="str">
        <f>IFERROR(VLOOKUP(Proc[[#This Row],[App]],Table2[],3,0),"open")</f>
        <v>ok</v>
      </c>
      <c r="C1902" s="93" t="s">
        <v>369</v>
      </c>
      <c r="D1902" t="s">
        <v>3729</v>
      </c>
      <c r="E1902" s="93" t="s">
        <v>3401</v>
      </c>
      <c r="F1902" s="117" t="s">
        <v>3401</v>
      </c>
      <c r="G1902" s="93" t="s">
        <v>400</v>
      </c>
      <c r="H1902" s="94" t="str">
        <f>IF(Proc[[#This Row],[type]]="LFF (MDG-F)",MID(Proc[[#This Row],[Obj]],13,10),"")</f>
        <v/>
      </c>
      <c r="J1902" s="94" t="b">
        <f>Proc[[#This Row],[Requested]]=Proc[[#This Row],[CurrentParent]]</f>
        <v>1</v>
      </c>
      <c r="K1902" s="144" t="str">
        <f>IF(Proc[[#This Row],[Author]]="Marcela Urrego",VLOOKUP(LEFT(Proc[[#This Row],[Requested]],1),Table3[#All],2,0),VLOOKUP(Proc[[#This Row],[Author]],Table4[],2,0))</f>
        <v>HC</v>
      </c>
      <c r="L1902" s="125" t="s">
        <v>2563</v>
      </c>
      <c r="M1902" s="90">
        <v>45807.678356481483</v>
      </c>
      <c r="N1902" s="91">
        <v>45810</v>
      </c>
      <c r="O1902" s="91">
        <v>45810</v>
      </c>
      <c r="P1902" s="90" t="str">
        <f ca="1">IF(Proc[[#This Row],[DaysAgeing]]&gt;5,"yep","on track")</f>
        <v>on track</v>
      </c>
      <c r="Q1902" s="3">
        <f ca="1">IF(Proc[[#This Row],[DateClosed]]="",ABS(NETWORKDAYS(Proc[[#This Row],[DateOpened]],TODAY()))-1,ABS(NETWORKDAYS(Proc[[#This Row],[DateOpened]],Proc[[#This Row],[DateClosed]]))-1)</f>
        <v>1</v>
      </c>
      <c r="R1902" s="90" t="s">
        <v>1013</v>
      </c>
      <c r="S1902" s="94"/>
    </row>
    <row r="1903" spans="1:19" hidden="1">
      <c r="A1903" s="93" t="s">
        <v>3640</v>
      </c>
      <c r="B1903" s="149" t="str">
        <f>IFERROR(VLOOKUP(Proc[[#This Row],[App]],Table2[],3,0),"open")</f>
        <v>ok</v>
      </c>
      <c r="C1903" s="93" t="s">
        <v>369</v>
      </c>
      <c r="D1903" t="s">
        <v>3730</v>
      </c>
      <c r="E1903" s="93" t="s">
        <v>3401</v>
      </c>
      <c r="F1903" s="117" t="s">
        <v>3401</v>
      </c>
      <c r="G1903" s="93" t="s">
        <v>400</v>
      </c>
      <c r="H1903" s="94" t="str">
        <f>IF(Proc[[#This Row],[type]]="LFF (MDG-F)",MID(Proc[[#This Row],[Obj]],13,10),"")</f>
        <v/>
      </c>
      <c r="J1903" s="94" t="b">
        <f>Proc[[#This Row],[Requested]]=Proc[[#This Row],[CurrentParent]]</f>
        <v>1</v>
      </c>
      <c r="K1903" s="144" t="str">
        <f>IF(Proc[[#This Row],[Author]]="Marcela Urrego",VLOOKUP(LEFT(Proc[[#This Row],[Requested]],1),Table3[#All],2,0),VLOOKUP(Proc[[#This Row],[Author]],Table4[],2,0))</f>
        <v>HC</v>
      </c>
      <c r="L1903" s="125" t="s">
        <v>2563</v>
      </c>
      <c r="M1903" s="90">
        <v>45807.678356481483</v>
      </c>
      <c r="N1903" s="91">
        <v>45810</v>
      </c>
      <c r="O1903" s="91">
        <v>45810</v>
      </c>
      <c r="P1903" s="90" t="str">
        <f ca="1">IF(Proc[[#This Row],[DaysAgeing]]&gt;5,"yep","on track")</f>
        <v>on track</v>
      </c>
      <c r="Q1903" s="3">
        <f ca="1">IF(Proc[[#This Row],[DateClosed]]="",ABS(NETWORKDAYS(Proc[[#This Row],[DateOpened]],TODAY()))-1,ABS(NETWORKDAYS(Proc[[#This Row],[DateOpened]],Proc[[#This Row],[DateClosed]]))-1)</f>
        <v>1</v>
      </c>
      <c r="R1903" s="90" t="s">
        <v>1013</v>
      </c>
      <c r="S1903" s="94"/>
    </row>
    <row r="1904" spans="1:19" hidden="1">
      <c r="A1904" s="93" t="s">
        <v>3640</v>
      </c>
      <c r="B1904" s="149" t="str">
        <f>IFERROR(VLOOKUP(Proc[[#This Row],[App]],Table2[],3,0),"open")</f>
        <v>ok</v>
      </c>
      <c r="C1904" s="93" t="s">
        <v>369</v>
      </c>
      <c r="D1904" t="s">
        <v>3731</v>
      </c>
      <c r="E1904" s="93" t="s">
        <v>3401</v>
      </c>
      <c r="F1904" s="117" t="s">
        <v>3401</v>
      </c>
      <c r="G1904" s="93" t="s">
        <v>400</v>
      </c>
      <c r="H1904" s="94" t="str">
        <f>IF(Proc[[#This Row],[type]]="LFF (MDG-F)",MID(Proc[[#This Row],[Obj]],13,10),"")</f>
        <v/>
      </c>
      <c r="J1904" s="94" t="b">
        <f>Proc[[#This Row],[Requested]]=Proc[[#This Row],[CurrentParent]]</f>
        <v>1</v>
      </c>
      <c r="K1904" s="144" t="str">
        <f>IF(Proc[[#This Row],[Author]]="Marcela Urrego",VLOOKUP(LEFT(Proc[[#This Row],[Requested]],1),Table3[#All],2,0),VLOOKUP(Proc[[#This Row],[Author]],Table4[],2,0))</f>
        <v>HC</v>
      </c>
      <c r="L1904" s="125" t="s">
        <v>2563</v>
      </c>
      <c r="M1904" s="90">
        <v>45807.678356481483</v>
      </c>
      <c r="N1904" s="91">
        <v>45810</v>
      </c>
      <c r="O1904" s="91">
        <v>45810</v>
      </c>
      <c r="P1904" s="90" t="str">
        <f ca="1">IF(Proc[[#This Row],[DaysAgeing]]&gt;5,"yep","on track")</f>
        <v>on track</v>
      </c>
      <c r="Q1904" s="3">
        <f ca="1">IF(Proc[[#This Row],[DateClosed]]="",ABS(NETWORKDAYS(Proc[[#This Row],[DateOpened]],TODAY()))-1,ABS(NETWORKDAYS(Proc[[#This Row],[DateOpened]],Proc[[#This Row],[DateClosed]]))-1)</f>
        <v>1</v>
      </c>
      <c r="R1904" s="90" t="s">
        <v>1013</v>
      </c>
      <c r="S1904" s="94"/>
    </row>
    <row r="1905" spans="1:19" hidden="1">
      <c r="A1905" s="93" t="s">
        <v>3640</v>
      </c>
      <c r="B1905" s="149" t="str">
        <f>IFERROR(VLOOKUP(Proc[[#This Row],[App]],Table2[],3,0),"open")</f>
        <v>ok</v>
      </c>
      <c r="C1905" s="93" t="s">
        <v>369</v>
      </c>
      <c r="D1905" t="s">
        <v>3732</v>
      </c>
      <c r="E1905" s="93" t="s">
        <v>3401</v>
      </c>
      <c r="F1905" s="117" t="s">
        <v>3401</v>
      </c>
      <c r="G1905" s="93" t="s">
        <v>400</v>
      </c>
      <c r="H1905" s="94" t="str">
        <f>IF(Proc[[#This Row],[type]]="LFF (MDG-F)",MID(Proc[[#This Row],[Obj]],13,10),"")</f>
        <v/>
      </c>
      <c r="J1905" s="94" t="b">
        <f>Proc[[#This Row],[Requested]]=Proc[[#This Row],[CurrentParent]]</f>
        <v>1</v>
      </c>
      <c r="K1905" s="144" t="str">
        <f>IF(Proc[[#This Row],[Author]]="Marcela Urrego",VLOOKUP(LEFT(Proc[[#This Row],[Requested]],1),Table3[#All],2,0),VLOOKUP(Proc[[#This Row],[Author]],Table4[],2,0))</f>
        <v>HC</v>
      </c>
      <c r="L1905" s="125" t="s">
        <v>2563</v>
      </c>
      <c r="M1905" s="90">
        <v>45807.678356481483</v>
      </c>
      <c r="N1905" s="91">
        <v>45810</v>
      </c>
      <c r="O1905" s="91">
        <v>45810</v>
      </c>
      <c r="P1905" s="90" t="str">
        <f ca="1">IF(Proc[[#This Row],[DaysAgeing]]&gt;5,"yep","on track")</f>
        <v>on track</v>
      </c>
      <c r="Q1905" s="3">
        <f ca="1">IF(Proc[[#This Row],[DateClosed]]="",ABS(NETWORKDAYS(Proc[[#This Row],[DateOpened]],TODAY()))-1,ABS(NETWORKDAYS(Proc[[#This Row],[DateOpened]],Proc[[#This Row],[DateClosed]]))-1)</f>
        <v>1</v>
      </c>
      <c r="R1905" s="90" t="s">
        <v>1013</v>
      </c>
      <c r="S1905" s="94"/>
    </row>
    <row r="1906" spans="1:19" hidden="1">
      <c r="A1906" s="93" t="s">
        <v>3640</v>
      </c>
      <c r="B1906" s="149" t="str">
        <f>IFERROR(VLOOKUP(Proc[[#This Row],[App]],Table2[],3,0),"open")</f>
        <v>ok</v>
      </c>
      <c r="C1906" s="93" t="s">
        <v>369</v>
      </c>
      <c r="D1906" t="s">
        <v>3733</v>
      </c>
      <c r="E1906" s="93" t="s">
        <v>3401</v>
      </c>
      <c r="F1906" s="117" t="s">
        <v>3401</v>
      </c>
      <c r="G1906" s="93" t="s">
        <v>400</v>
      </c>
      <c r="H1906" s="94" t="str">
        <f>IF(Proc[[#This Row],[type]]="LFF (MDG-F)",MID(Proc[[#This Row],[Obj]],13,10),"")</f>
        <v/>
      </c>
      <c r="J1906" s="94" t="b">
        <f>Proc[[#This Row],[Requested]]=Proc[[#This Row],[CurrentParent]]</f>
        <v>1</v>
      </c>
      <c r="K1906" s="144" t="str">
        <f>IF(Proc[[#This Row],[Author]]="Marcela Urrego",VLOOKUP(LEFT(Proc[[#This Row],[Requested]],1),Table3[#All],2,0),VLOOKUP(Proc[[#This Row],[Author]],Table4[],2,0))</f>
        <v>HC</v>
      </c>
      <c r="L1906" s="125" t="s">
        <v>2563</v>
      </c>
      <c r="M1906" s="90">
        <v>45807.678356481483</v>
      </c>
      <c r="N1906" s="91">
        <v>45810</v>
      </c>
      <c r="O1906" s="91">
        <v>45810</v>
      </c>
      <c r="P1906" s="90" t="str">
        <f ca="1">IF(Proc[[#This Row],[DaysAgeing]]&gt;5,"yep","on track")</f>
        <v>on track</v>
      </c>
      <c r="Q1906" s="3">
        <f ca="1">IF(Proc[[#This Row],[DateClosed]]="",ABS(NETWORKDAYS(Proc[[#This Row],[DateOpened]],TODAY()))-1,ABS(NETWORKDAYS(Proc[[#This Row],[DateOpened]],Proc[[#This Row],[DateClosed]]))-1)</f>
        <v>1</v>
      </c>
      <c r="R1906" s="90" t="s">
        <v>1013</v>
      </c>
      <c r="S1906" s="94"/>
    </row>
    <row r="1907" spans="1:19" hidden="1">
      <c r="A1907" s="93" t="s">
        <v>3640</v>
      </c>
      <c r="B1907" s="149" t="str">
        <f>IFERROR(VLOOKUP(Proc[[#This Row],[App]],Table2[],3,0),"open")</f>
        <v>ok</v>
      </c>
      <c r="C1907" s="93" t="s">
        <v>369</v>
      </c>
      <c r="D1907" t="s">
        <v>3734</v>
      </c>
      <c r="E1907" s="93" t="s">
        <v>3401</v>
      </c>
      <c r="F1907" s="117" t="s">
        <v>3401</v>
      </c>
      <c r="G1907" s="93" t="s">
        <v>400</v>
      </c>
      <c r="H1907" s="94" t="str">
        <f>IF(Proc[[#This Row],[type]]="LFF (MDG-F)",MID(Proc[[#This Row],[Obj]],13,10),"")</f>
        <v/>
      </c>
      <c r="J1907" s="94" t="b">
        <f>Proc[[#This Row],[Requested]]=Proc[[#This Row],[CurrentParent]]</f>
        <v>1</v>
      </c>
      <c r="K1907" s="144" t="str">
        <f>IF(Proc[[#This Row],[Author]]="Marcela Urrego",VLOOKUP(LEFT(Proc[[#This Row],[Requested]],1),Table3[#All],2,0),VLOOKUP(Proc[[#This Row],[Author]],Table4[],2,0))</f>
        <v>HC</v>
      </c>
      <c r="L1907" s="125" t="s">
        <v>2563</v>
      </c>
      <c r="M1907" s="90">
        <v>45807.678356481483</v>
      </c>
      <c r="N1907" s="91">
        <v>45810</v>
      </c>
      <c r="O1907" s="91">
        <v>45810</v>
      </c>
      <c r="P1907" s="90" t="str">
        <f ca="1">IF(Proc[[#This Row],[DaysAgeing]]&gt;5,"yep","on track")</f>
        <v>on track</v>
      </c>
      <c r="Q1907" s="3">
        <f ca="1">IF(Proc[[#This Row],[DateClosed]]="",ABS(NETWORKDAYS(Proc[[#This Row],[DateOpened]],TODAY()))-1,ABS(NETWORKDAYS(Proc[[#This Row],[DateOpened]],Proc[[#This Row],[DateClosed]]))-1)</f>
        <v>1</v>
      </c>
      <c r="R1907" s="90" t="s">
        <v>1013</v>
      </c>
      <c r="S1907" s="94"/>
    </row>
    <row r="1908" spans="1:19" hidden="1">
      <c r="A1908" s="93" t="s">
        <v>3640</v>
      </c>
      <c r="B1908" s="149" t="str">
        <f>IFERROR(VLOOKUP(Proc[[#This Row],[App]],Table2[],3,0),"open")</f>
        <v>ok</v>
      </c>
      <c r="C1908" s="93" t="s">
        <v>369</v>
      </c>
      <c r="D1908" t="s">
        <v>3735</v>
      </c>
      <c r="E1908" s="93" t="s">
        <v>3401</v>
      </c>
      <c r="F1908" s="117" t="s">
        <v>3401</v>
      </c>
      <c r="G1908" s="93" t="s">
        <v>400</v>
      </c>
      <c r="H1908" s="94" t="str">
        <f>IF(Proc[[#This Row],[type]]="LFF (MDG-F)",MID(Proc[[#This Row],[Obj]],13,10),"")</f>
        <v/>
      </c>
      <c r="J1908" s="94" t="b">
        <f>Proc[[#This Row],[Requested]]=Proc[[#This Row],[CurrentParent]]</f>
        <v>1</v>
      </c>
      <c r="K1908" s="144" t="str">
        <f>IF(Proc[[#This Row],[Author]]="Marcela Urrego",VLOOKUP(LEFT(Proc[[#This Row],[Requested]],1),Table3[#All],2,0),VLOOKUP(Proc[[#This Row],[Author]],Table4[],2,0))</f>
        <v>HC</v>
      </c>
      <c r="L1908" s="125" t="s">
        <v>2563</v>
      </c>
      <c r="M1908" s="90">
        <v>45807.678356481483</v>
      </c>
      <c r="N1908" s="91">
        <v>45810</v>
      </c>
      <c r="O1908" s="91">
        <v>45810</v>
      </c>
      <c r="P1908" s="90" t="str">
        <f ca="1">IF(Proc[[#This Row],[DaysAgeing]]&gt;5,"yep","on track")</f>
        <v>on track</v>
      </c>
      <c r="Q1908" s="3">
        <f ca="1">IF(Proc[[#This Row],[DateClosed]]="",ABS(NETWORKDAYS(Proc[[#This Row],[DateOpened]],TODAY()))-1,ABS(NETWORKDAYS(Proc[[#This Row],[DateOpened]],Proc[[#This Row],[DateClosed]]))-1)</f>
        <v>1</v>
      </c>
      <c r="R1908" s="90" t="s">
        <v>1013</v>
      </c>
      <c r="S1908" s="94"/>
    </row>
    <row r="1909" spans="1:19" hidden="1">
      <c r="A1909" s="93" t="s">
        <v>3640</v>
      </c>
      <c r="B1909" s="149" t="str">
        <f>IFERROR(VLOOKUP(Proc[[#This Row],[App]],Table2[],3,0),"open")</f>
        <v>ok</v>
      </c>
      <c r="C1909" s="93" t="s">
        <v>369</v>
      </c>
      <c r="D1909" t="s">
        <v>3736</v>
      </c>
      <c r="E1909" s="93" t="s">
        <v>3401</v>
      </c>
      <c r="F1909" s="117" t="s">
        <v>3401</v>
      </c>
      <c r="G1909" s="93" t="s">
        <v>400</v>
      </c>
      <c r="H1909" s="94" t="str">
        <f>IF(Proc[[#This Row],[type]]="LFF (MDG-F)",MID(Proc[[#This Row],[Obj]],13,10),"")</f>
        <v/>
      </c>
      <c r="J1909" s="94" t="b">
        <f>Proc[[#This Row],[Requested]]=Proc[[#This Row],[CurrentParent]]</f>
        <v>1</v>
      </c>
      <c r="K1909" s="144" t="str">
        <f>IF(Proc[[#This Row],[Author]]="Marcela Urrego",VLOOKUP(LEFT(Proc[[#This Row],[Requested]],1),Table3[#All],2,0),VLOOKUP(Proc[[#This Row],[Author]],Table4[],2,0))</f>
        <v>HC</v>
      </c>
      <c r="L1909" s="125" t="s">
        <v>2563</v>
      </c>
      <c r="M1909" s="90">
        <v>45807.678356481483</v>
      </c>
      <c r="N1909" s="91">
        <v>45810</v>
      </c>
      <c r="O1909" s="91">
        <v>45810</v>
      </c>
      <c r="P1909" s="90" t="str">
        <f ca="1">IF(Proc[[#This Row],[DaysAgeing]]&gt;5,"yep","on track")</f>
        <v>on track</v>
      </c>
      <c r="Q1909" s="3">
        <f ca="1">IF(Proc[[#This Row],[DateClosed]]="",ABS(NETWORKDAYS(Proc[[#This Row],[DateOpened]],TODAY()))-1,ABS(NETWORKDAYS(Proc[[#This Row],[DateOpened]],Proc[[#This Row],[DateClosed]]))-1)</f>
        <v>1</v>
      </c>
      <c r="R1909" s="90" t="s">
        <v>1013</v>
      </c>
      <c r="S1909" s="94"/>
    </row>
    <row r="1910" spans="1:19" hidden="1">
      <c r="A1910" s="93" t="s">
        <v>3640</v>
      </c>
      <c r="B1910" s="149" t="str">
        <f>IFERROR(VLOOKUP(Proc[[#This Row],[App]],Table2[],3,0),"open")</f>
        <v>ok</v>
      </c>
      <c r="C1910" s="93" t="s">
        <v>369</v>
      </c>
      <c r="D1910" t="s">
        <v>3737</v>
      </c>
      <c r="E1910" s="93" t="s">
        <v>3401</v>
      </c>
      <c r="F1910" s="117" t="s">
        <v>3401</v>
      </c>
      <c r="G1910" s="93" t="s">
        <v>400</v>
      </c>
      <c r="H1910" s="94" t="str">
        <f>IF(Proc[[#This Row],[type]]="LFF (MDG-F)",MID(Proc[[#This Row],[Obj]],13,10),"")</f>
        <v/>
      </c>
      <c r="J1910" s="94" t="b">
        <f>Proc[[#This Row],[Requested]]=Proc[[#This Row],[CurrentParent]]</f>
        <v>1</v>
      </c>
      <c r="K1910" s="144" t="str">
        <f>IF(Proc[[#This Row],[Author]]="Marcela Urrego",VLOOKUP(LEFT(Proc[[#This Row],[Requested]],1),Table3[#All],2,0),VLOOKUP(Proc[[#This Row],[Author]],Table4[],2,0))</f>
        <v>HC</v>
      </c>
      <c r="L1910" s="125" t="s">
        <v>2563</v>
      </c>
      <c r="M1910" s="90">
        <v>45807.678356481483</v>
      </c>
      <c r="N1910" s="91">
        <v>45810</v>
      </c>
      <c r="O1910" s="91">
        <v>45810</v>
      </c>
      <c r="P1910" s="90" t="str">
        <f ca="1">IF(Proc[[#This Row],[DaysAgeing]]&gt;5,"yep","on track")</f>
        <v>on track</v>
      </c>
      <c r="Q1910" s="3">
        <f ca="1">IF(Proc[[#This Row],[DateClosed]]="",ABS(NETWORKDAYS(Proc[[#This Row],[DateOpened]],TODAY()))-1,ABS(NETWORKDAYS(Proc[[#This Row],[DateOpened]],Proc[[#This Row],[DateClosed]]))-1)</f>
        <v>1</v>
      </c>
      <c r="R1910" s="90" t="s">
        <v>1013</v>
      </c>
      <c r="S1910" s="94"/>
    </row>
    <row r="1911" spans="1:19" hidden="1">
      <c r="A1911" s="93" t="s">
        <v>3640</v>
      </c>
      <c r="B1911" s="149" t="str">
        <f>IFERROR(VLOOKUP(Proc[[#This Row],[App]],Table2[],3,0),"open")</f>
        <v>ok</v>
      </c>
      <c r="C1911" s="93" t="s">
        <v>369</v>
      </c>
      <c r="D1911" t="s">
        <v>3738</v>
      </c>
      <c r="E1911" s="93" t="s">
        <v>3401</v>
      </c>
      <c r="F1911" s="117" t="s">
        <v>3401</v>
      </c>
      <c r="G1911" s="93" t="s">
        <v>400</v>
      </c>
      <c r="H1911" s="94" t="str">
        <f>IF(Proc[[#This Row],[type]]="LFF (MDG-F)",MID(Proc[[#This Row],[Obj]],13,10),"")</f>
        <v/>
      </c>
      <c r="J1911" s="94" t="b">
        <f>Proc[[#This Row],[Requested]]=Proc[[#This Row],[CurrentParent]]</f>
        <v>1</v>
      </c>
      <c r="K1911" s="144" t="str">
        <f>IF(Proc[[#This Row],[Author]]="Marcela Urrego",VLOOKUP(LEFT(Proc[[#This Row],[Requested]],1),Table3[#All],2,0),VLOOKUP(Proc[[#This Row],[Author]],Table4[],2,0))</f>
        <v>HC</v>
      </c>
      <c r="L1911" s="125" t="s">
        <v>2563</v>
      </c>
      <c r="M1911" s="90">
        <v>45807.678356481483</v>
      </c>
      <c r="N1911" s="91">
        <v>45810</v>
      </c>
      <c r="O1911" s="91">
        <v>45810</v>
      </c>
      <c r="P1911" s="90" t="str">
        <f ca="1">IF(Proc[[#This Row],[DaysAgeing]]&gt;5,"yep","on track")</f>
        <v>on track</v>
      </c>
      <c r="Q1911" s="3">
        <f ca="1">IF(Proc[[#This Row],[DateClosed]]="",ABS(NETWORKDAYS(Proc[[#This Row],[DateOpened]],TODAY()))-1,ABS(NETWORKDAYS(Proc[[#This Row],[DateOpened]],Proc[[#This Row],[DateClosed]]))-1)</f>
        <v>1</v>
      </c>
      <c r="R1911" s="90" t="s">
        <v>1013</v>
      </c>
      <c r="S1911" s="94"/>
    </row>
    <row r="1912" spans="1:19" hidden="1">
      <c r="A1912" t="s">
        <v>3747</v>
      </c>
      <c r="B1912" s="149" t="str">
        <f>IFERROR(VLOOKUP(Proc[[#This Row],[App]],Table2[],3,0),"open")</f>
        <v>ok</v>
      </c>
      <c r="C1912" s="93" t="s">
        <v>377</v>
      </c>
      <c r="D1912" t="s">
        <v>4071</v>
      </c>
      <c r="E1912" t="s">
        <v>4066</v>
      </c>
      <c r="F1912" s="103" t="s">
        <v>4066</v>
      </c>
      <c r="G1912" s="93" t="s">
        <v>400</v>
      </c>
      <c r="H1912" s="94" t="str">
        <f>IF(Proc[[#This Row],[type]]="LFF (MDG-F)",MID(Proc[[#This Row],[Obj]],13,10),"")</f>
        <v/>
      </c>
      <c r="I1912" t="s">
        <v>4073</v>
      </c>
      <c r="J1912" s="94" t="b">
        <f>Proc[[#This Row],[Requested]]=Proc[[#This Row],[CurrentParent]]</f>
        <v>1</v>
      </c>
      <c r="K1912" s="144" t="str">
        <f>IF(Proc[[#This Row],[Author]]="Marcela Urrego",VLOOKUP(LEFT(Proc[[#This Row],[Requested]],1),Table3[#All],2,0),VLOOKUP(Proc[[#This Row],[Author]],Table4[],2,0))</f>
        <v>HC</v>
      </c>
      <c r="L1912" s="125" t="s">
        <v>2563</v>
      </c>
      <c r="M1912" s="90">
        <v>45807.678356481483</v>
      </c>
      <c r="N1912" s="91"/>
      <c r="O1912" s="91">
        <v>45810</v>
      </c>
      <c r="P1912" s="90" t="str">
        <f ca="1">IF(Proc[[#This Row],[DaysAgeing]]&gt;5,"yep","on track")</f>
        <v>on track</v>
      </c>
      <c r="Q1912" s="3">
        <f ca="1">IF(Proc[[#This Row],[DateClosed]]="",ABS(NETWORKDAYS(Proc[[#This Row],[DateOpened]],TODAY()))-1,ABS(NETWORKDAYS(Proc[[#This Row],[DateOpened]],Proc[[#This Row],[DateClosed]]))-1)</f>
        <v>1</v>
      </c>
      <c r="R1912" s="90" t="s">
        <v>1013</v>
      </c>
      <c r="S1912" s="94" t="e">
        <f>VLOOKUP(Proc[[#This Row],[Obj]],#REF!,2,0)</f>
        <v>#REF!</v>
      </c>
    </row>
    <row r="1913" spans="1:19" hidden="1">
      <c r="A1913" s="93" t="s">
        <v>3747</v>
      </c>
      <c r="B1913" s="149" t="str">
        <f>IFERROR(VLOOKUP(Proc[[#This Row],[App]],Table2[],3,0),"open")</f>
        <v>ok</v>
      </c>
      <c r="C1913" s="93" t="s">
        <v>369</v>
      </c>
      <c r="D1913" t="s">
        <v>3748</v>
      </c>
      <c r="E1913" t="s">
        <v>4067</v>
      </c>
      <c r="F1913" s="117" t="s">
        <v>4067</v>
      </c>
      <c r="G1913" s="93" t="s">
        <v>400</v>
      </c>
      <c r="H1913" s="94" t="str">
        <f>IF(Proc[[#This Row],[type]]="LFF (MDG-F)",MID(Proc[[#This Row],[Obj]],13,10),"")</f>
        <v/>
      </c>
      <c r="J1913" s="94" t="b">
        <f>Proc[[#This Row],[Requested]]=Proc[[#This Row],[CurrentParent]]</f>
        <v>1</v>
      </c>
      <c r="K1913" s="144" t="str">
        <f>IF(Proc[[#This Row],[Author]]="Marcela Urrego",VLOOKUP(LEFT(Proc[[#This Row],[Requested]],1),Table3[#All],2,0),VLOOKUP(Proc[[#This Row],[Author]],Table4[],2,0))</f>
        <v>HC</v>
      </c>
      <c r="L1913" s="125" t="s">
        <v>2563</v>
      </c>
      <c r="M1913" s="90">
        <v>45807.678356481483</v>
      </c>
      <c r="N1913" s="91">
        <v>45810</v>
      </c>
      <c r="O1913" s="91">
        <v>45810</v>
      </c>
      <c r="P1913" s="90" t="str">
        <f ca="1">IF(Proc[[#This Row],[DaysAgeing]]&gt;5,"yep","on track")</f>
        <v>on track</v>
      </c>
      <c r="Q1913" s="3">
        <f ca="1">IF(Proc[[#This Row],[DateClosed]]="",ABS(NETWORKDAYS(Proc[[#This Row],[DateOpened]],TODAY()))-1,ABS(NETWORKDAYS(Proc[[#This Row],[DateOpened]],Proc[[#This Row],[DateClosed]]))-1)</f>
        <v>1</v>
      </c>
      <c r="R1913" s="90" t="s">
        <v>1013</v>
      </c>
      <c r="S1913" s="94"/>
    </row>
    <row r="1914" spans="1:19" hidden="1">
      <c r="A1914" s="93" t="s">
        <v>3747</v>
      </c>
      <c r="B1914" s="149" t="str">
        <f>IFERROR(VLOOKUP(Proc[[#This Row],[App]],Table2[],3,0),"open")</f>
        <v>ok</v>
      </c>
      <c r="C1914" s="93" t="s">
        <v>369</v>
      </c>
      <c r="D1914" t="s">
        <v>3749</v>
      </c>
      <c r="E1914" t="s">
        <v>4068</v>
      </c>
      <c r="F1914" s="117" t="s">
        <v>4068</v>
      </c>
      <c r="G1914" s="93" t="s">
        <v>400</v>
      </c>
      <c r="H1914" s="94" t="str">
        <f>IF(Proc[[#This Row],[type]]="LFF (MDG-F)",MID(Proc[[#This Row],[Obj]],13,10),"")</f>
        <v/>
      </c>
      <c r="J1914" s="94" t="b">
        <f>Proc[[#This Row],[Requested]]=Proc[[#This Row],[CurrentParent]]</f>
        <v>1</v>
      </c>
      <c r="K1914" s="144" t="str">
        <f>IF(Proc[[#This Row],[Author]]="Marcela Urrego",VLOOKUP(LEFT(Proc[[#This Row],[Requested]],1),Table3[#All],2,0),VLOOKUP(Proc[[#This Row],[Author]],Table4[],2,0))</f>
        <v>HC</v>
      </c>
      <c r="L1914" s="125" t="s">
        <v>2563</v>
      </c>
      <c r="M1914" s="90">
        <v>45807.678356481483</v>
      </c>
      <c r="N1914" s="91">
        <v>45810</v>
      </c>
      <c r="O1914" s="91">
        <v>45810</v>
      </c>
      <c r="P1914" s="90" t="str">
        <f ca="1">IF(Proc[[#This Row],[DaysAgeing]]&gt;5,"yep","on track")</f>
        <v>on track</v>
      </c>
      <c r="Q1914" s="3">
        <f ca="1">IF(Proc[[#This Row],[DateClosed]]="",ABS(NETWORKDAYS(Proc[[#This Row],[DateOpened]],TODAY()))-1,ABS(NETWORKDAYS(Proc[[#This Row],[DateOpened]],Proc[[#This Row],[DateClosed]]))-1)</f>
        <v>1</v>
      </c>
      <c r="R1914" s="90" t="s">
        <v>1013</v>
      </c>
      <c r="S1914" s="94"/>
    </row>
    <row r="1915" spans="1:19" hidden="1">
      <c r="A1915" s="93" t="s">
        <v>3747</v>
      </c>
      <c r="B1915" s="149" t="str">
        <f>IFERROR(VLOOKUP(Proc[[#This Row],[App]],Table2[],3,0),"open")</f>
        <v>ok</v>
      </c>
      <c r="C1915" s="93" t="s">
        <v>369</v>
      </c>
      <c r="D1915" t="s">
        <v>3750</v>
      </c>
      <c r="E1915" t="s">
        <v>4068</v>
      </c>
      <c r="F1915" s="117" t="s">
        <v>4068</v>
      </c>
      <c r="G1915" s="93" t="s">
        <v>400</v>
      </c>
      <c r="H1915" s="94" t="str">
        <f>IF(Proc[[#This Row],[type]]="LFF (MDG-F)",MID(Proc[[#This Row],[Obj]],13,10),"")</f>
        <v/>
      </c>
      <c r="J1915" s="94" t="b">
        <f>Proc[[#This Row],[Requested]]=Proc[[#This Row],[CurrentParent]]</f>
        <v>1</v>
      </c>
      <c r="K1915" s="144" t="str">
        <f>IF(Proc[[#This Row],[Author]]="Marcela Urrego",VLOOKUP(LEFT(Proc[[#This Row],[Requested]],1),Table3[#All],2,0),VLOOKUP(Proc[[#This Row],[Author]],Table4[],2,0))</f>
        <v>HC</v>
      </c>
      <c r="L1915" s="125" t="s">
        <v>2563</v>
      </c>
      <c r="M1915" s="90">
        <v>45807.678356481483</v>
      </c>
      <c r="N1915" s="91">
        <v>45810</v>
      </c>
      <c r="O1915" s="91">
        <v>45810</v>
      </c>
      <c r="P1915" s="90" t="str">
        <f ca="1">IF(Proc[[#This Row],[DaysAgeing]]&gt;5,"yep","on track")</f>
        <v>on track</v>
      </c>
      <c r="Q1915" s="3">
        <f ca="1">IF(Proc[[#This Row],[DateClosed]]="",ABS(NETWORKDAYS(Proc[[#This Row],[DateOpened]],TODAY()))-1,ABS(NETWORKDAYS(Proc[[#This Row],[DateOpened]],Proc[[#This Row],[DateClosed]]))-1)</f>
        <v>1</v>
      </c>
      <c r="R1915" s="90" t="s">
        <v>1013</v>
      </c>
      <c r="S1915" s="94"/>
    </row>
    <row r="1916" spans="1:19" hidden="1">
      <c r="A1916" s="93" t="s">
        <v>3747</v>
      </c>
      <c r="B1916" s="149" t="str">
        <f>IFERROR(VLOOKUP(Proc[[#This Row],[App]],Table2[],3,0),"open")</f>
        <v>ok</v>
      </c>
      <c r="C1916" s="93" t="s">
        <v>369</v>
      </c>
      <c r="D1916" t="s">
        <v>3751</v>
      </c>
      <c r="E1916" t="s">
        <v>4068</v>
      </c>
      <c r="F1916" s="117" t="s">
        <v>4068</v>
      </c>
      <c r="G1916" s="93" t="s">
        <v>400</v>
      </c>
      <c r="H1916" s="94" t="str">
        <f>IF(Proc[[#This Row],[type]]="LFF (MDG-F)",MID(Proc[[#This Row],[Obj]],13,10),"")</f>
        <v/>
      </c>
      <c r="J1916" s="94" t="b">
        <f>Proc[[#This Row],[Requested]]=Proc[[#This Row],[CurrentParent]]</f>
        <v>1</v>
      </c>
      <c r="K1916" s="144" t="str">
        <f>IF(Proc[[#This Row],[Author]]="Marcela Urrego",VLOOKUP(LEFT(Proc[[#This Row],[Requested]],1),Table3[#All],2,0),VLOOKUP(Proc[[#This Row],[Author]],Table4[],2,0))</f>
        <v>HC</v>
      </c>
      <c r="L1916" s="125" t="s">
        <v>2563</v>
      </c>
      <c r="M1916" s="90">
        <v>45807.678356481483</v>
      </c>
      <c r="N1916" s="91">
        <v>45810</v>
      </c>
      <c r="O1916" s="91">
        <v>45810</v>
      </c>
      <c r="P1916" s="90" t="str">
        <f ca="1">IF(Proc[[#This Row],[DaysAgeing]]&gt;5,"yep","on track")</f>
        <v>on track</v>
      </c>
      <c r="Q1916" s="3">
        <f ca="1">IF(Proc[[#This Row],[DateClosed]]="",ABS(NETWORKDAYS(Proc[[#This Row],[DateOpened]],TODAY()))-1,ABS(NETWORKDAYS(Proc[[#This Row],[DateOpened]],Proc[[#This Row],[DateClosed]]))-1)</f>
        <v>1</v>
      </c>
      <c r="R1916" s="90" t="s">
        <v>1013</v>
      </c>
      <c r="S1916" s="94"/>
    </row>
    <row r="1917" spans="1:19" hidden="1">
      <c r="A1917" s="93" t="s">
        <v>3747</v>
      </c>
      <c r="B1917" s="149" t="str">
        <f>IFERROR(VLOOKUP(Proc[[#This Row],[App]],Table2[],3,0),"open")</f>
        <v>ok</v>
      </c>
      <c r="C1917" s="93" t="s">
        <v>369</v>
      </c>
      <c r="D1917" t="s">
        <v>3752</v>
      </c>
      <c r="E1917" t="s">
        <v>4068</v>
      </c>
      <c r="F1917" s="117" t="s">
        <v>4068</v>
      </c>
      <c r="G1917" s="93" t="s">
        <v>400</v>
      </c>
      <c r="H1917" s="94" t="str">
        <f>IF(Proc[[#This Row],[type]]="LFF (MDG-F)",MID(Proc[[#This Row],[Obj]],13,10),"")</f>
        <v/>
      </c>
      <c r="J1917" s="94" t="b">
        <f>Proc[[#This Row],[Requested]]=Proc[[#This Row],[CurrentParent]]</f>
        <v>1</v>
      </c>
      <c r="K1917" s="144" t="str">
        <f>IF(Proc[[#This Row],[Author]]="Marcela Urrego",VLOOKUP(LEFT(Proc[[#This Row],[Requested]],1),Table3[#All],2,0),VLOOKUP(Proc[[#This Row],[Author]],Table4[],2,0))</f>
        <v>HC</v>
      </c>
      <c r="L1917" s="125" t="s">
        <v>2563</v>
      </c>
      <c r="M1917" s="90">
        <v>45807.678356481483</v>
      </c>
      <c r="N1917" s="91">
        <v>45810</v>
      </c>
      <c r="O1917" s="91">
        <v>45810</v>
      </c>
      <c r="P1917" s="90" t="str">
        <f ca="1">IF(Proc[[#This Row],[DaysAgeing]]&gt;5,"yep","on track")</f>
        <v>on track</v>
      </c>
      <c r="Q1917" s="3">
        <f ca="1">IF(Proc[[#This Row],[DateClosed]]="",ABS(NETWORKDAYS(Proc[[#This Row],[DateOpened]],TODAY()))-1,ABS(NETWORKDAYS(Proc[[#This Row],[DateOpened]],Proc[[#This Row],[DateClosed]]))-1)</f>
        <v>1</v>
      </c>
      <c r="R1917" s="90" t="s">
        <v>1013</v>
      </c>
      <c r="S1917" s="94"/>
    </row>
    <row r="1918" spans="1:19" hidden="1">
      <c r="A1918" s="93" t="s">
        <v>3747</v>
      </c>
      <c r="B1918" s="149" t="str">
        <f>IFERROR(VLOOKUP(Proc[[#This Row],[App]],Table2[],3,0),"open")</f>
        <v>ok</v>
      </c>
      <c r="C1918" s="93" t="s">
        <v>369</v>
      </c>
      <c r="D1918" t="s">
        <v>3753</v>
      </c>
      <c r="E1918" t="s">
        <v>4068</v>
      </c>
      <c r="F1918" s="117" t="s">
        <v>4068</v>
      </c>
      <c r="G1918" s="93" t="s">
        <v>400</v>
      </c>
      <c r="H1918" s="94" t="str">
        <f>IF(Proc[[#This Row],[type]]="LFF (MDG-F)",MID(Proc[[#This Row],[Obj]],13,10),"")</f>
        <v/>
      </c>
      <c r="J1918" s="94" t="b">
        <f>Proc[[#This Row],[Requested]]=Proc[[#This Row],[CurrentParent]]</f>
        <v>1</v>
      </c>
      <c r="K1918" s="144" t="str">
        <f>IF(Proc[[#This Row],[Author]]="Marcela Urrego",VLOOKUP(LEFT(Proc[[#This Row],[Requested]],1),Table3[#All],2,0),VLOOKUP(Proc[[#This Row],[Author]],Table4[],2,0))</f>
        <v>HC</v>
      </c>
      <c r="L1918" s="125" t="s">
        <v>2563</v>
      </c>
      <c r="M1918" s="90">
        <v>45807.678356481483</v>
      </c>
      <c r="N1918" s="91">
        <v>45810</v>
      </c>
      <c r="O1918" s="91">
        <v>45810</v>
      </c>
      <c r="P1918" s="90" t="str">
        <f ca="1">IF(Proc[[#This Row],[DaysAgeing]]&gt;5,"yep","on track")</f>
        <v>on track</v>
      </c>
      <c r="Q1918" s="3">
        <f ca="1">IF(Proc[[#This Row],[DateClosed]]="",ABS(NETWORKDAYS(Proc[[#This Row],[DateOpened]],TODAY()))-1,ABS(NETWORKDAYS(Proc[[#This Row],[DateOpened]],Proc[[#This Row],[DateClosed]]))-1)</f>
        <v>1</v>
      </c>
      <c r="R1918" s="90" t="s">
        <v>1013</v>
      </c>
      <c r="S1918" s="94"/>
    </row>
    <row r="1919" spans="1:19" hidden="1">
      <c r="A1919" s="93" t="s">
        <v>3747</v>
      </c>
      <c r="B1919" s="149" t="str">
        <f>IFERROR(VLOOKUP(Proc[[#This Row],[App]],Table2[],3,0),"open")</f>
        <v>ok</v>
      </c>
      <c r="C1919" s="93" t="s">
        <v>369</v>
      </c>
      <c r="D1919" t="s">
        <v>3754</v>
      </c>
      <c r="E1919" t="s">
        <v>4068</v>
      </c>
      <c r="F1919" s="117" t="s">
        <v>4068</v>
      </c>
      <c r="G1919" s="93" t="s">
        <v>400</v>
      </c>
      <c r="H1919" s="94" t="str">
        <f>IF(Proc[[#This Row],[type]]="LFF (MDG-F)",MID(Proc[[#This Row],[Obj]],13,10),"")</f>
        <v/>
      </c>
      <c r="J1919" s="94" t="b">
        <f>Proc[[#This Row],[Requested]]=Proc[[#This Row],[CurrentParent]]</f>
        <v>1</v>
      </c>
      <c r="K1919" s="144" t="str">
        <f>IF(Proc[[#This Row],[Author]]="Marcela Urrego",VLOOKUP(LEFT(Proc[[#This Row],[Requested]],1),Table3[#All],2,0),VLOOKUP(Proc[[#This Row],[Author]],Table4[],2,0))</f>
        <v>HC</v>
      </c>
      <c r="L1919" s="125" t="s">
        <v>2563</v>
      </c>
      <c r="M1919" s="90">
        <v>45807.678356481483</v>
      </c>
      <c r="N1919" s="91">
        <v>45810</v>
      </c>
      <c r="O1919" s="91">
        <v>45810</v>
      </c>
      <c r="P1919" s="90" t="str">
        <f ca="1">IF(Proc[[#This Row],[DaysAgeing]]&gt;5,"yep","on track")</f>
        <v>on track</v>
      </c>
      <c r="Q1919" s="3">
        <f ca="1">IF(Proc[[#This Row],[DateClosed]]="",ABS(NETWORKDAYS(Proc[[#This Row],[DateOpened]],TODAY()))-1,ABS(NETWORKDAYS(Proc[[#This Row],[DateOpened]],Proc[[#This Row],[DateClosed]]))-1)</f>
        <v>1</v>
      </c>
      <c r="R1919" s="90" t="s">
        <v>1013</v>
      </c>
      <c r="S1919" s="94"/>
    </row>
    <row r="1920" spans="1:19" hidden="1">
      <c r="A1920" s="93" t="s">
        <v>3747</v>
      </c>
      <c r="B1920" s="149" t="str">
        <f>IFERROR(VLOOKUP(Proc[[#This Row],[App]],Table2[],3,0),"open")</f>
        <v>ok</v>
      </c>
      <c r="C1920" s="93" t="s">
        <v>369</v>
      </c>
      <c r="D1920" t="s">
        <v>3755</v>
      </c>
      <c r="E1920" t="s">
        <v>4068</v>
      </c>
      <c r="F1920" s="117" t="s">
        <v>4068</v>
      </c>
      <c r="G1920" s="93" t="s">
        <v>400</v>
      </c>
      <c r="H1920" s="94" t="str">
        <f>IF(Proc[[#This Row],[type]]="LFF (MDG-F)",MID(Proc[[#This Row],[Obj]],13,10),"")</f>
        <v/>
      </c>
      <c r="J1920" s="94" t="b">
        <f>Proc[[#This Row],[Requested]]=Proc[[#This Row],[CurrentParent]]</f>
        <v>1</v>
      </c>
      <c r="K1920" s="144" t="str">
        <f>IF(Proc[[#This Row],[Author]]="Marcela Urrego",VLOOKUP(LEFT(Proc[[#This Row],[Requested]],1),Table3[#All],2,0),VLOOKUP(Proc[[#This Row],[Author]],Table4[],2,0))</f>
        <v>HC</v>
      </c>
      <c r="L1920" s="125" t="s">
        <v>2563</v>
      </c>
      <c r="M1920" s="90">
        <v>45807.678356481483</v>
      </c>
      <c r="N1920" s="91">
        <v>45810</v>
      </c>
      <c r="O1920" s="91">
        <v>45810</v>
      </c>
      <c r="P1920" s="90" t="str">
        <f ca="1">IF(Proc[[#This Row],[DaysAgeing]]&gt;5,"yep","on track")</f>
        <v>on track</v>
      </c>
      <c r="Q1920" s="3">
        <f ca="1">IF(Proc[[#This Row],[DateClosed]]="",ABS(NETWORKDAYS(Proc[[#This Row],[DateOpened]],TODAY()))-1,ABS(NETWORKDAYS(Proc[[#This Row],[DateOpened]],Proc[[#This Row],[DateClosed]]))-1)</f>
        <v>1</v>
      </c>
      <c r="R1920" s="90" t="s">
        <v>1013</v>
      </c>
      <c r="S1920" s="94"/>
    </row>
    <row r="1921" spans="1:19" hidden="1">
      <c r="A1921" s="93" t="s">
        <v>3747</v>
      </c>
      <c r="B1921" s="149" t="str">
        <f>IFERROR(VLOOKUP(Proc[[#This Row],[App]],Table2[],3,0),"open")</f>
        <v>ok</v>
      </c>
      <c r="C1921" s="93" t="s">
        <v>369</v>
      </c>
      <c r="D1921" t="s">
        <v>3756</v>
      </c>
      <c r="E1921" t="s">
        <v>4068</v>
      </c>
      <c r="F1921" s="117" t="s">
        <v>4068</v>
      </c>
      <c r="G1921" s="93" t="s">
        <v>400</v>
      </c>
      <c r="H1921" s="94" t="str">
        <f>IF(Proc[[#This Row],[type]]="LFF (MDG-F)",MID(Proc[[#This Row],[Obj]],13,10),"")</f>
        <v/>
      </c>
      <c r="J1921" s="94" t="b">
        <f>Proc[[#This Row],[Requested]]=Proc[[#This Row],[CurrentParent]]</f>
        <v>1</v>
      </c>
      <c r="K1921" s="144" t="str">
        <f>IF(Proc[[#This Row],[Author]]="Marcela Urrego",VLOOKUP(LEFT(Proc[[#This Row],[Requested]],1),Table3[#All],2,0),VLOOKUP(Proc[[#This Row],[Author]],Table4[],2,0))</f>
        <v>HC</v>
      </c>
      <c r="L1921" s="125" t="s">
        <v>2563</v>
      </c>
      <c r="M1921" s="90">
        <v>45807.678356481483</v>
      </c>
      <c r="N1921" s="91">
        <v>45810</v>
      </c>
      <c r="O1921" s="91">
        <v>45810</v>
      </c>
      <c r="P1921" s="90" t="str">
        <f ca="1">IF(Proc[[#This Row],[DaysAgeing]]&gt;5,"yep","on track")</f>
        <v>on track</v>
      </c>
      <c r="Q1921" s="3">
        <f ca="1">IF(Proc[[#This Row],[DateClosed]]="",ABS(NETWORKDAYS(Proc[[#This Row],[DateOpened]],TODAY()))-1,ABS(NETWORKDAYS(Proc[[#This Row],[DateOpened]],Proc[[#This Row],[DateClosed]]))-1)</f>
        <v>1</v>
      </c>
      <c r="R1921" s="90" t="s">
        <v>1013</v>
      </c>
      <c r="S1921" s="94"/>
    </row>
    <row r="1922" spans="1:19" hidden="1">
      <c r="A1922" s="93" t="s">
        <v>3747</v>
      </c>
      <c r="B1922" s="149" t="str">
        <f>IFERROR(VLOOKUP(Proc[[#This Row],[App]],Table2[],3,0),"open")</f>
        <v>ok</v>
      </c>
      <c r="C1922" s="93" t="s">
        <v>369</v>
      </c>
      <c r="D1922" t="s">
        <v>3757</v>
      </c>
      <c r="E1922" t="s">
        <v>4068</v>
      </c>
      <c r="F1922" s="117" t="s">
        <v>4068</v>
      </c>
      <c r="G1922" s="93" t="s">
        <v>400</v>
      </c>
      <c r="H1922" s="94" t="str">
        <f>IF(Proc[[#This Row],[type]]="LFF (MDG-F)",MID(Proc[[#This Row],[Obj]],13,10),"")</f>
        <v/>
      </c>
      <c r="J1922" s="94" t="b">
        <f>Proc[[#This Row],[Requested]]=Proc[[#This Row],[CurrentParent]]</f>
        <v>1</v>
      </c>
      <c r="K1922" s="144" t="str">
        <f>IF(Proc[[#This Row],[Author]]="Marcela Urrego",VLOOKUP(LEFT(Proc[[#This Row],[Requested]],1),Table3[#All],2,0),VLOOKUP(Proc[[#This Row],[Author]],Table4[],2,0))</f>
        <v>HC</v>
      </c>
      <c r="L1922" s="125" t="s">
        <v>2563</v>
      </c>
      <c r="M1922" s="90">
        <v>45807.678356481483</v>
      </c>
      <c r="N1922" s="91">
        <v>45810</v>
      </c>
      <c r="O1922" s="91">
        <v>45810</v>
      </c>
      <c r="P1922" s="90" t="str">
        <f ca="1">IF(Proc[[#This Row],[DaysAgeing]]&gt;5,"yep","on track")</f>
        <v>on track</v>
      </c>
      <c r="Q1922" s="3">
        <f ca="1">IF(Proc[[#This Row],[DateClosed]]="",ABS(NETWORKDAYS(Proc[[#This Row],[DateOpened]],TODAY()))-1,ABS(NETWORKDAYS(Proc[[#This Row],[DateOpened]],Proc[[#This Row],[DateClosed]]))-1)</f>
        <v>1</v>
      </c>
      <c r="R1922" s="90" t="s">
        <v>1013</v>
      </c>
      <c r="S1922" s="94"/>
    </row>
    <row r="1923" spans="1:19" hidden="1">
      <c r="A1923" s="93" t="s">
        <v>3747</v>
      </c>
      <c r="B1923" s="149" t="str">
        <f>IFERROR(VLOOKUP(Proc[[#This Row],[App]],Table2[],3,0),"open")</f>
        <v>ok</v>
      </c>
      <c r="C1923" s="93" t="s">
        <v>369</v>
      </c>
      <c r="D1923" t="s">
        <v>3758</v>
      </c>
      <c r="E1923" t="s">
        <v>4068</v>
      </c>
      <c r="F1923" s="117" t="s">
        <v>4068</v>
      </c>
      <c r="G1923" s="93" t="s">
        <v>400</v>
      </c>
      <c r="H1923" s="94" t="str">
        <f>IF(Proc[[#This Row],[type]]="LFF (MDG-F)",MID(Proc[[#This Row],[Obj]],13,10),"")</f>
        <v/>
      </c>
      <c r="J1923" s="94" t="b">
        <f>Proc[[#This Row],[Requested]]=Proc[[#This Row],[CurrentParent]]</f>
        <v>1</v>
      </c>
      <c r="K1923" s="144" t="str">
        <f>IF(Proc[[#This Row],[Author]]="Marcela Urrego",VLOOKUP(LEFT(Proc[[#This Row],[Requested]],1),Table3[#All],2,0),VLOOKUP(Proc[[#This Row],[Author]],Table4[],2,0))</f>
        <v>HC</v>
      </c>
      <c r="L1923" s="125" t="s">
        <v>2563</v>
      </c>
      <c r="M1923" s="90">
        <v>45807.678356481483</v>
      </c>
      <c r="N1923" s="91">
        <v>45810</v>
      </c>
      <c r="O1923" s="91">
        <v>45810</v>
      </c>
      <c r="P1923" s="90" t="str">
        <f ca="1">IF(Proc[[#This Row],[DaysAgeing]]&gt;5,"yep","on track")</f>
        <v>on track</v>
      </c>
      <c r="Q1923" s="3">
        <f ca="1">IF(Proc[[#This Row],[DateClosed]]="",ABS(NETWORKDAYS(Proc[[#This Row],[DateOpened]],TODAY()))-1,ABS(NETWORKDAYS(Proc[[#This Row],[DateOpened]],Proc[[#This Row],[DateClosed]]))-1)</f>
        <v>1</v>
      </c>
      <c r="R1923" s="90" t="s">
        <v>1013</v>
      </c>
      <c r="S1923" s="94"/>
    </row>
    <row r="1924" spans="1:19" hidden="1">
      <c r="A1924" s="93" t="s">
        <v>3747</v>
      </c>
      <c r="B1924" s="149" t="str">
        <f>IFERROR(VLOOKUP(Proc[[#This Row],[App]],Table2[],3,0),"open")</f>
        <v>ok</v>
      </c>
      <c r="C1924" s="93" t="s">
        <v>369</v>
      </c>
      <c r="D1924" t="s">
        <v>3759</v>
      </c>
      <c r="E1924" t="s">
        <v>4068</v>
      </c>
      <c r="F1924" s="117" t="s">
        <v>4068</v>
      </c>
      <c r="G1924" s="93" t="s">
        <v>400</v>
      </c>
      <c r="H1924" s="94" t="str">
        <f>IF(Proc[[#This Row],[type]]="LFF (MDG-F)",MID(Proc[[#This Row],[Obj]],13,10),"")</f>
        <v/>
      </c>
      <c r="J1924" s="94" t="b">
        <f>Proc[[#This Row],[Requested]]=Proc[[#This Row],[CurrentParent]]</f>
        <v>1</v>
      </c>
      <c r="K1924" s="144" t="str">
        <f>IF(Proc[[#This Row],[Author]]="Marcela Urrego",VLOOKUP(LEFT(Proc[[#This Row],[Requested]],1),Table3[#All],2,0),VLOOKUP(Proc[[#This Row],[Author]],Table4[],2,0))</f>
        <v>HC</v>
      </c>
      <c r="L1924" s="125" t="s">
        <v>2563</v>
      </c>
      <c r="M1924" s="90">
        <v>45807.678356481483</v>
      </c>
      <c r="N1924" s="91">
        <v>45810</v>
      </c>
      <c r="O1924" s="91">
        <v>45810</v>
      </c>
      <c r="P1924" s="90" t="str">
        <f ca="1">IF(Proc[[#This Row],[DaysAgeing]]&gt;5,"yep","on track")</f>
        <v>on track</v>
      </c>
      <c r="Q1924" s="3">
        <f ca="1">IF(Proc[[#This Row],[DateClosed]]="",ABS(NETWORKDAYS(Proc[[#This Row],[DateOpened]],TODAY()))-1,ABS(NETWORKDAYS(Proc[[#This Row],[DateOpened]],Proc[[#This Row],[DateClosed]]))-1)</f>
        <v>1</v>
      </c>
      <c r="R1924" s="90" t="s">
        <v>1013</v>
      </c>
      <c r="S1924" s="94"/>
    </row>
    <row r="1925" spans="1:19" hidden="1">
      <c r="A1925" s="93" t="s">
        <v>3747</v>
      </c>
      <c r="B1925" s="149" t="str">
        <f>IFERROR(VLOOKUP(Proc[[#This Row],[App]],Table2[],3,0),"open")</f>
        <v>ok</v>
      </c>
      <c r="C1925" s="93" t="s">
        <v>369</v>
      </c>
      <c r="D1925" t="s">
        <v>3760</v>
      </c>
      <c r="E1925" t="s">
        <v>4068</v>
      </c>
      <c r="F1925" s="117" t="s">
        <v>4068</v>
      </c>
      <c r="G1925" s="93" t="s">
        <v>400</v>
      </c>
      <c r="H1925" s="94" t="str">
        <f>IF(Proc[[#This Row],[type]]="LFF (MDG-F)",MID(Proc[[#This Row],[Obj]],13,10),"")</f>
        <v/>
      </c>
      <c r="J1925" s="94" t="b">
        <f>Proc[[#This Row],[Requested]]=Proc[[#This Row],[CurrentParent]]</f>
        <v>1</v>
      </c>
      <c r="K1925" s="144" t="str">
        <f>IF(Proc[[#This Row],[Author]]="Marcela Urrego",VLOOKUP(LEFT(Proc[[#This Row],[Requested]],1),Table3[#All],2,0),VLOOKUP(Proc[[#This Row],[Author]],Table4[],2,0))</f>
        <v>HC</v>
      </c>
      <c r="L1925" s="125" t="s">
        <v>2563</v>
      </c>
      <c r="M1925" s="90">
        <v>45807.678356481483</v>
      </c>
      <c r="N1925" s="91">
        <v>45810</v>
      </c>
      <c r="O1925" s="91">
        <v>45810</v>
      </c>
      <c r="P1925" s="90" t="str">
        <f ca="1">IF(Proc[[#This Row],[DaysAgeing]]&gt;5,"yep","on track")</f>
        <v>on track</v>
      </c>
      <c r="Q1925" s="3">
        <f ca="1">IF(Proc[[#This Row],[DateClosed]]="",ABS(NETWORKDAYS(Proc[[#This Row],[DateOpened]],TODAY()))-1,ABS(NETWORKDAYS(Proc[[#This Row],[DateOpened]],Proc[[#This Row],[DateClosed]]))-1)</f>
        <v>1</v>
      </c>
      <c r="R1925" s="90" t="s">
        <v>1013</v>
      </c>
      <c r="S1925" s="94"/>
    </row>
    <row r="1926" spans="1:19" hidden="1">
      <c r="A1926" s="93" t="s">
        <v>3747</v>
      </c>
      <c r="B1926" s="149" t="str">
        <f>IFERROR(VLOOKUP(Proc[[#This Row],[App]],Table2[],3,0),"open")</f>
        <v>ok</v>
      </c>
      <c r="C1926" s="93" t="s">
        <v>369</v>
      </c>
      <c r="D1926" t="s">
        <v>3761</v>
      </c>
      <c r="E1926" t="s">
        <v>4068</v>
      </c>
      <c r="F1926" s="117" t="s">
        <v>4068</v>
      </c>
      <c r="G1926" s="93" t="s">
        <v>400</v>
      </c>
      <c r="H1926" s="94" t="str">
        <f>IF(Proc[[#This Row],[type]]="LFF (MDG-F)",MID(Proc[[#This Row],[Obj]],13,10),"")</f>
        <v/>
      </c>
      <c r="J1926" s="94" t="b">
        <f>Proc[[#This Row],[Requested]]=Proc[[#This Row],[CurrentParent]]</f>
        <v>1</v>
      </c>
      <c r="K1926" s="144" t="str">
        <f>IF(Proc[[#This Row],[Author]]="Marcela Urrego",VLOOKUP(LEFT(Proc[[#This Row],[Requested]],1),Table3[#All],2,0),VLOOKUP(Proc[[#This Row],[Author]],Table4[],2,0))</f>
        <v>HC</v>
      </c>
      <c r="L1926" s="125" t="s">
        <v>2563</v>
      </c>
      <c r="M1926" s="90">
        <v>45807.678356481483</v>
      </c>
      <c r="N1926" s="91">
        <v>45810</v>
      </c>
      <c r="O1926" s="91">
        <v>45810</v>
      </c>
      <c r="P1926" s="90" t="str">
        <f ca="1">IF(Proc[[#This Row],[DaysAgeing]]&gt;5,"yep","on track")</f>
        <v>on track</v>
      </c>
      <c r="Q1926" s="3">
        <f ca="1">IF(Proc[[#This Row],[DateClosed]]="",ABS(NETWORKDAYS(Proc[[#This Row],[DateOpened]],TODAY()))-1,ABS(NETWORKDAYS(Proc[[#This Row],[DateOpened]],Proc[[#This Row],[DateClosed]]))-1)</f>
        <v>1</v>
      </c>
      <c r="R1926" s="90" t="s">
        <v>1013</v>
      </c>
      <c r="S1926" s="94"/>
    </row>
    <row r="1927" spans="1:19" hidden="1">
      <c r="A1927" s="93" t="s">
        <v>3747</v>
      </c>
      <c r="B1927" s="149" t="str">
        <f>IFERROR(VLOOKUP(Proc[[#This Row],[App]],Table2[],3,0),"open")</f>
        <v>ok</v>
      </c>
      <c r="C1927" s="93" t="s">
        <v>369</v>
      </c>
      <c r="D1927" t="s">
        <v>3762</v>
      </c>
      <c r="E1927" t="s">
        <v>4068</v>
      </c>
      <c r="F1927" s="117" t="s">
        <v>4068</v>
      </c>
      <c r="G1927" s="93" t="s">
        <v>400</v>
      </c>
      <c r="H1927" s="94" t="str">
        <f>IF(Proc[[#This Row],[type]]="LFF (MDG-F)",MID(Proc[[#This Row],[Obj]],13,10),"")</f>
        <v/>
      </c>
      <c r="J1927" s="94" t="b">
        <f>Proc[[#This Row],[Requested]]=Proc[[#This Row],[CurrentParent]]</f>
        <v>1</v>
      </c>
      <c r="K1927" s="144" t="str">
        <f>IF(Proc[[#This Row],[Author]]="Marcela Urrego",VLOOKUP(LEFT(Proc[[#This Row],[Requested]],1),Table3[#All],2,0),VLOOKUP(Proc[[#This Row],[Author]],Table4[],2,0))</f>
        <v>HC</v>
      </c>
      <c r="L1927" s="125" t="s">
        <v>2563</v>
      </c>
      <c r="M1927" s="90">
        <v>45807.678356481483</v>
      </c>
      <c r="N1927" s="91">
        <v>45810</v>
      </c>
      <c r="O1927" s="91">
        <v>45810</v>
      </c>
      <c r="P1927" s="90" t="str">
        <f ca="1">IF(Proc[[#This Row],[DaysAgeing]]&gt;5,"yep","on track")</f>
        <v>on track</v>
      </c>
      <c r="Q1927" s="3">
        <f ca="1">IF(Proc[[#This Row],[DateClosed]]="",ABS(NETWORKDAYS(Proc[[#This Row],[DateOpened]],TODAY()))-1,ABS(NETWORKDAYS(Proc[[#This Row],[DateOpened]],Proc[[#This Row],[DateClosed]]))-1)</f>
        <v>1</v>
      </c>
      <c r="R1927" s="90" t="s">
        <v>1013</v>
      </c>
      <c r="S1927" s="94"/>
    </row>
    <row r="1928" spans="1:19" hidden="1">
      <c r="A1928" s="93" t="s">
        <v>3747</v>
      </c>
      <c r="B1928" s="149" t="str">
        <f>IFERROR(VLOOKUP(Proc[[#This Row],[App]],Table2[],3,0),"open")</f>
        <v>ok</v>
      </c>
      <c r="C1928" s="93" t="s">
        <v>369</v>
      </c>
      <c r="D1928" t="s">
        <v>3763</v>
      </c>
      <c r="E1928" t="s">
        <v>4068</v>
      </c>
      <c r="F1928" s="117" t="s">
        <v>4068</v>
      </c>
      <c r="G1928" s="93" t="s">
        <v>400</v>
      </c>
      <c r="H1928" s="94" t="str">
        <f>IF(Proc[[#This Row],[type]]="LFF (MDG-F)",MID(Proc[[#This Row],[Obj]],13,10),"")</f>
        <v/>
      </c>
      <c r="J1928" s="94" t="b">
        <f>Proc[[#This Row],[Requested]]=Proc[[#This Row],[CurrentParent]]</f>
        <v>1</v>
      </c>
      <c r="K1928" s="144" t="str">
        <f>IF(Proc[[#This Row],[Author]]="Marcela Urrego",VLOOKUP(LEFT(Proc[[#This Row],[Requested]],1),Table3[#All],2,0),VLOOKUP(Proc[[#This Row],[Author]],Table4[],2,0))</f>
        <v>HC</v>
      </c>
      <c r="L1928" s="125" t="s">
        <v>2563</v>
      </c>
      <c r="M1928" s="90">
        <v>45807.678356481483</v>
      </c>
      <c r="N1928" s="91">
        <v>45810</v>
      </c>
      <c r="O1928" s="91">
        <v>45810</v>
      </c>
      <c r="P1928" s="90" t="str">
        <f ca="1">IF(Proc[[#This Row],[DaysAgeing]]&gt;5,"yep","on track")</f>
        <v>on track</v>
      </c>
      <c r="Q1928" s="3">
        <f ca="1">IF(Proc[[#This Row],[DateClosed]]="",ABS(NETWORKDAYS(Proc[[#This Row],[DateOpened]],TODAY()))-1,ABS(NETWORKDAYS(Proc[[#This Row],[DateOpened]],Proc[[#This Row],[DateClosed]]))-1)</f>
        <v>1</v>
      </c>
      <c r="R1928" s="90" t="s">
        <v>1013</v>
      </c>
      <c r="S1928" s="94"/>
    </row>
    <row r="1929" spans="1:19" hidden="1">
      <c r="A1929" s="93" t="s">
        <v>3747</v>
      </c>
      <c r="B1929" s="149" t="str">
        <f>IFERROR(VLOOKUP(Proc[[#This Row],[App]],Table2[],3,0),"open")</f>
        <v>ok</v>
      </c>
      <c r="C1929" s="93" t="s">
        <v>369</v>
      </c>
      <c r="D1929" t="s">
        <v>3764</v>
      </c>
      <c r="E1929" t="s">
        <v>4068</v>
      </c>
      <c r="F1929" s="117" t="s">
        <v>4068</v>
      </c>
      <c r="G1929" s="93" t="s">
        <v>400</v>
      </c>
      <c r="H1929" s="94" t="str">
        <f>IF(Proc[[#This Row],[type]]="LFF (MDG-F)",MID(Proc[[#This Row],[Obj]],13,10),"")</f>
        <v/>
      </c>
      <c r="J1929" s="94" t="b">
        <f>Proc[[#This Row],[Requested]]=Proc[[#This Row],[CurrentParent]]</f>
        <v>1</v>
      </c>
      <c r="K1929" s="144" t="str">
        <f>IF(Proc[[#This Row],[Author]]="Marcela Urrego",VLOOKUP(LEFT(Proc[[#This Row],[Requested]],1),Table3[#All],2,0),VLOOKUP(Proc[[#This Row],[Author]],Table4[],2,0))</f>
        <v>HC</v>
      </c>
      <c r="L1929" s="125" t="s">
        <v>2563</v>
      </c>
      <c r="M1929" s="90">
        <v>45807.678356481483</v>
      </c>
      <c r="N1929" s="91">
        <v>45810</v>
      </c>
      <c r="O1929" s="91">
        <v>45810</v>
      </c>
      <c r="P1929" s="90" t="str">
        <f ca="1">IF(Proc[[#This Row],[DaysAgeing]]&gt;5,"yep","on track")</f>
        <v>on track</v>
      </c>
      <c r="Q1929" s="3">
        <f ca="1">IF(Proc[[#This Row],[DateClosed]]="",ABS(NETWORKDAYS(Proc[[#This Row],[DateOpened]],TODAY()))-1,ABS(NETWORKDAYS(Proc[[#This Row],[DateOpened]],Proc[[#This Row],[DateClosed]]))-1)</f>
        <v>1</v>
      </c>
      <c r="R1929" s="90" t="s">
        <v>1013</v>
      </c>
      <c r="S1929" s="94"/>
    </row>
    <row r="1930" spans="1:19" hidden="1">
      <c r="A1930" s="93" t="s">
        <v>3747</v>
      </c>
      <c r="B1930" s="149" t="str">
        <f>IFERROR(VLOOKUP(Proc[[#This Row],[App]],Table2[],3,0),"open")</f>
        <v>ok</v>
      </c>
      <c r="C1930" s="93" t="s">
        <v>369</v>
      </c>
      <c r="D1930" t="s">
        <v>3765</v>
      </c>
      <c r="E1930" t="s">
        <v>4068</v>
      </c>
      <c r="F1930" s="117" t="s">
        <v>4068</v>
      </c>
      <c r="G1930" s="93" t="s">
        <v>400</v>
      </c>
      <c r="H1930" s="94" t="str">
        <f>IF(Proc[[#This Row],[type]]="LFF (MDG-F)",MID(Proc[[#This Row],[Obj]],13,10),"")</f>
        <v/>
      </c>
      <c r="J1930" s="94" t="b">
        <f>Proc[[#This Row],[Requested]]=Proc[[#This Row],[CurrentParent]]</f>
        <v>1</v>
      </c>
      <c r="K1930" s="144" t="str">
        <f>IF(Proc[[#This Row],[Author]]="Marcela Urrego",VLOOKUP(LEFT(Proc[[#This Row],[Requested]],1),Table3[#All],2,0),VLOOKUP(Proc[[#This Row],[Author]],Table4[],2,0))</f>
        <v>HC</v>
      </c>
      <c r="L1930" s="125" t="s">
        <v>2563</v>
      </c>
      <c r="M1930" s="90">
        <v>45807.678356481483</v>
      </c>
      <c r="N1930" s="91">
        <v>45810</v>
      </c>
      <c r="O1930" s="91">
        <v>45810</v>
      </c>
      <c r="P1930" s="90" t="str">
        <f ca="1">IF(Proc[[#This Row],[DaysAgeing]]&gt;5,"yep","on track")</f>
        <v>on track</v>
      </c>
      <c r="Q1930" s="3">
        <f ca="1">IF(Proc[[#This Row],[DateClosed]]="",ABS(NETWORKDAYS(Proc[[#This Row],[DateOpened]],TODAY()))-1,ABS(NETWORKDAYS(Proc[[#This Row],[DateOpened]],Proc[[#This Row],[DateClosed]]))-1)</f>
        <v>1</v>
      </c>
      <c r="R1930" s="90" t="s">
        <v>1013</v>
      </c>
      <c r="S1930" s="94"/>
    </row>
    <row r="1931" spans="1:19" hidden="1">
      <c r="A1931" s="93" t="s">
        <v>3747</v>
      </c>
      <c r="B1931" s="149" t="str">
        <f>IFERROR(VLOOKUP(Proc[[#This Row],[App]],Table2[],3,0),"open")</f>
        <v>ok</v>
      </c>
      <c r="C1931" s="93" t="s">
        <v>369</v>
      </c>
      <c r="D1931" t="s">
        <v>3766</v>
      </c>
      <c r="E1931" t="s">
        <v>4068</v>
      </c>
      <c r="F1931" s="117" t="s">
        <v>4068</v>
      </c>
      <c r="G1931" s="93" t="s">
        <v>400</v>
      </c>
      <c r="H1931" s="94" t="str">
        <f>IF(Proc[[#This Row],[type]]="LFF (MDG-F)",MID(Proc[[#This Row],[Obj]],13,10),"")</f>
        <v/>
      </c>
      <c r="J1931" s="94" t="b">
        <f>Proc[[#This Row],[Requested]]=Proc[[#This Row],[CurrentParent]]</f>
        <v>1</v>
      </c>
      <c r="K1931" s="144" t="str">
        <f>IF(Proc[[#This Row],[Author]]="Marcela Urrego",VLOOKUP(LEFT(Proc[[#This Row],[Requested]],1),Table3[#All],2,0),VLOOKUP(Proc[[#This Row],[Author]],Table4[],2,0))</f>
        <v>HC</v>
      </c>
      <c r="L1931" s="125" t="s">
        <v>2563</v>
      </c>
      <c r="M1931" s="90">
        <v>45807.678356481483</v>
      </c>
      <c r="N1931" s="91">
        <v>45810</v>
      </c>
      <c r="O1931" s="91">
        <v>45810</v>
      </c>
      <c r="P1931" s="90" t="str">
        <f ca="1">IF(Proc[[#This Row],[DaysAgeing]]&gt;5,"yep","on track")</f>
        <v>on track</v>
      </c>
      <c r="Q1931" s="3">
        <f ca="1">IF(Proc[[#This Row],[DateClosed]]="",ABS(NETWORKDAYS(Proc[[#This Row],[DateOpened]],TODAY()))-1,ABS(NETWORKDAYS(Proc[[#This Row],[DateOpened]],Proc[[#This Row],[DateClosed]]))-1)</f>
        <v>1</v>
      </c>
      <c r="R1931" s="90" t="s">
        <v>1013</v>
      </c>
      <c r="S1931" s="94"/>
    </row>
    <row r="1932" spans="1:19" hidden="1">
      <c r="A1932" s="93" t="s">
        <v>3747</v>
      </c>
      <c r="B1932" s="149" t="str">
        <f>IFERROR(VLOOKUP(Proc[[#This Row],[App]],Table2[],3,0),"open")</f>
        <v>ok</v>
      </c>
      <c r="C1932" s="93" t="s">
        <v>369</v>
      </c>
      <c r="D1932" t="s">
        <v>3767</v>
      </c>
      <c r="E1932" t="s">
        <v>4068</v>
      </c>
      <c r="F1932" s="117" t="s">
        <v>4068</v>
      </c>
      <c r="G1932" s="93" t="s">
        <v>400</v>
      </c>
      <c r="H1932" s="94" t="str">
        <f>IF(Proc[[#This Row],[type]]="LFF (MDG-F)",MID(Proc[[#This Row],[Obj]],13,10),"")</f>
        <v/>
      </c>
      <c r="J1932" s="94" t="b">
        <f>Proc[[#This Row],[Requested]]=Proc[[#This Row],[CurrentParent]]</f>
        <v>1</v>
      </c>
      <c r="K1932" s="144" t="str">
        <f>IF(Proc[[#This Row],[Author]]="Marcela Urrego",VLOOKUP(LEFT(Proc[[#This Row],[Requested]],1),Table3[#All],2,0),VLOOKUP(Proc[[#This Row],[Author]],Table4[],2,0))</f>
        <v>HC</v>
      </c>
      <c r="L1932" s="125" t="s">
        <v>2563</v>
      </c>
      <c r="M1932" s="90">
        <v>45807.678356481483</v>
      </c>
      <c r="N1932" s="91">
        <v>45810</v>
      </c>
      <c r="O1932" s="91">
        <v>45810</v>
      </c>
      <c r="P1932" s="90" t="str">
        <f ca="1">IF(Proc[[#This Row],[DaysAgeing]]&gt;5,"yep","on track")</f>
        <v>on track</v>
      </c>
      <c r="Q1932" s="3">
        <f ca="1">IF(Proc[[#This Row],[DateClosed]]="",ABS(NETWORKDAYS(Proc[[#This Row],[DateOpened]],TODAY()))-1,ABS(NETWORKDAYS(Proc[[#This Row],[DateOpened]],Proc[[#This Row],[DateClosed]]))-1)</f>
        <v>1</v>
      </c>
      <c r="R1932" s="90" t="s">
        <v>1013</v>
      </c>
      <c r="S1932" s="94"/>
    </row>
    <row r="1933" spans="1:19" hidden="1">
      <c r="A1933" s="93" t="s">
        <v>3747</v>
      </c>
      <c r="B1933" s="149" t="str">
        <f>IFERROR(VLOOKUP(Proc[[#This Row],[App]],Table2[],3,0),"open")</f>
        <v>ok</v>
      </c>
      <c r="C1933" s="93" t="s">
        <v>369</v>
      </c>
      <c r="D1933" t="s">
        <v>3768</v>
      </c>
      <c r="E1933" t="s">
        <v>4068</v>
      </c>
      <c r="F1933" s="117" t="s">
        <v>4068</v>
      </c>
      <c r="G1933" s="93" t="s">
        <v>400</v>
      </c>
      <c r="H1933" s="94" t="str">
        <f>IF(Proc[[#This Row],[type]]="LFF (MDG-F)",MID(Proc[[#This Row],[Obj]],13,10),"")</f>
        <v/>
      </c>
      <c r="J1933" s="94" t="b">
        <f>Proc[[#This Row],[Requested]]=Proc[[#This Row],[CurrentParent]]</f>
        <v>1</v>
      </c>
      <c r="K1933" s="144" t="str">
        <f>IF(Proc[[#This Row],[Author]]="Marcela Urrego",VLOOKUP(LEFT(Proc[[#This Row],[Requested]],1),Table3[#All],2,0),VLOOKUP(Proc[[#This Row],[Author]],Table4[],2,0))</f>
        <v>HC</v>
      </c>
      <c r="L1933" s="125" t="s">
        <v>2563</v>
      </c>
      <c r="M1933" s="90">
        <v>45807.678356481483</v>
      </c>
      <c r="N1933" s="91">
        <v>45810</v>
      </c>
      <c r="O1933" s="91">
        <v>45810</v>
      </c>
      <c r="P1933" s="90" t="str">
        <f ca="1">IF(Proc[[#This Row],[DaysAgeing]]&gt;5,"yep","on track")</f>
        <v>on track</v>
      </c>
      <c r="Q1933" s="3">
        <f ca="1">IF(Proc[[#This Row],[DateClosed]]="",ABS(NETWORKDAYS(Proc[[#This Row],[DateOpened]],TODAY()))-1,ABS(NETWORKDAYS(Proc[[#This Row],[DateOpened]],Proc[[#This Row],[DateClosed]]))-1)</f>
        <v>1</v>
      </c>
      <c r="R1933" s="90" t="s">
        <v>1013</v>
      </c>
      <c r="S1933" s="94"/>
    </row>
    <row r="1934" spans="1:19" hidden="1">
      <c r="A1934" s="93" t="s">
        <v>3747</v>
      </c>
      <c r="B1934" s="149" t="str">
        <f>IFERROR(VLOOKUP(Proc[[#This Row],[App]],Table2[],3,0),"open")</f>
        <v>ok</v>
      </c>
      <c r="C1934" s="93" t="s">
        <v>369</v>
      </c>
      <c r="D1934" t="s">
        <v>3769</v>
      </c>
      <c r="E1934" t="s">
        <v>4068</v>
      </c>
      <c r="F1934" s="117" t="s">
        <v>4068</v>
      </c>
      <c r="G1934" s="93" t="s">
        <v>400</v>
      </c>
      <c r="H1934" s="94" t="str">
        <f>IF(Proc[[#This Row],[type]]="LFF (MDG-F)",MID(Proc[[#This Row],[Obj]],13,10),"")</f>
        <v/>
      </c>
      <c r="J1934" s="94" t="b">
        <f>Proc[[#This Row],[Requested]]=Proc[[#This Row],[CurrentParent]]</f>
        <v>1</v>
      </c>
      <c r="K1934" s="144" t="str">
        <f>IF(Proc[[#This Row],[Author]]="Marcela Urrego",VLOOKUP(LEFT(Proc[[#This Row],[Requested]],1),Table3[#All],2,0),VLOOKUP(Proc[[#This Row],[Author]],Table4[],2,0))</f>
        <v>HC</v>
      </c>
      <c r="L1934" s="125" t="s">
        <v>2563</v>
      </c>
      <c r="M1934" s="90">
        <v>45807.678356481483</v>
      </c>
      <c r="N1934" s="91">
        <v>45810</v>
      </c>
      <c r="O1934" s="91">
        <v>45810</v>
      </c>
      <c r="P1934" s="90" t="str">
        <f ca="1">IF(Proc[[#This Row],[DaysAgeing]]&gt;5,"yep","on track")</f>
        <v>on track</v>
      </c>
      <c r="Q1934" s="3">
        <f ca="1">IF(Proc[[#This Row],[DateClosed]]="",ABS(NETWORKDAYS(Proc[[#This Row],[DateOpened]],TODAY()))-1,ABS(NETWORKDAYS(Proc[[#This Row],[DateOpened]],Proc[[#This Row],[DateClosed]]))-1)</f>
        <v>1</v>
      </c>
      <c r="R1934" s="90" t="s">
        <v>1013</v>
      </c>
      <c r="S1934" s="94"/>
    </row>
    <row r="1935" spans="1:19" hidden="1">
      <c r="A1935" s="93" t="s">
        <v>3747</v>
      </c>
      <c r="B1935" s="149" t="str">
        <f>IFERROR(VLOOKUP(Proc[[#This Row],[App]],Table2[],3,0),"open")</f>
        <v>ok</v>
      </c>
      <c r="C1935" s="93" t="s">
        <v>369</v>
      </c>
      <c r="D1935" t="s">
        <v>3770</v>
      </c>
      <c r="E1935" t="s">
        <v>4068</v>
      </c>
      <c r="F1935" s="117" t="s">
        <v>4068</v>
      </c>
      <c r="G1935" s="93" t="s">
        <v>400</v>
      </c>
      <c r="H1935" s="94" t="str">
        <f>IF(Proc[[#This Row],[type]]="LFF (MDG-F)",MID(Proc[[#This Row],[Obj]],13,10),"")</f>
        <v/>
      </c>
      <c r="J1935" s="94" t="b">
        <f>Proc[[#This Row],[Requested]]=Proc[[#This Row],[CurrentParent]]</f>
        <v>1</v>
      </c>
      <c r="K1935" s="144" t="str">
        <f>IF(Proc[[#This Row],[Author]]="Marcela Urrego",VLOOKUP(LEFT(Proc[[#This Row],[Requested]],1),Table3[#All],2,0),VLOOKUP(Proc[[#This Row],[Author]],Table4[],2,0))</f>
        <v>HC</v>
      </c>
      <c r="L1935" s="125" t="s">
        <v>2563</v>
      </c>
      <c r="M1935" s="90">
        <v>45807.678356481483</v>
      </c>
      <c r="N1935" s="91">
        <v>45810</v>
      </c>
      <c r="O1935" s="91">
        <v>45810</v>
      </c>
      <c r="P1935" s="90" t="str">
        <f ca="1">IF(Proc[[#This Row],[DaysAgeing]]&gt;5,"yep","on track")</f>
        <v>on track</v>
      </c>
      <c r="Q1935" s="3">
        <f ca="1">IF(Proc[[#This Row],[DateClosed]]="",ABS(NETWORKDAYS(Proc[[#This Row],[DateOpened]],TODAY()))-1,ABS(NETWORKDAYS(Proc[[#This Row],[DateOpened]],Proc[[#This Row],[DateClosed]]))-1)</f>
        <v>1</v>
      </c>
      <c r="R1935" s="90" t="s">
        <v>1013</v>
      </c>
      <c r="S1935" s="94"/>
    </row>
    <row r="1936" spans="1:19" hidden="1">
      <c r="A1936" s="93" t="s">
        <v>3747</v>
      </c>
      <c r="B1936" s="149" t="str">
        <f>IFERROR(VLOOKUP(Proc[[#This Row],[App]],Table2[],3,0),"open")</f>
        <v>ok</v>
      </c>
      <c r="C1936" s="93" t="s">
        <v>369</v>
      </c>
      <c r="D1936" t="s">
        <v>3771</v>
      </c>
      <c r="E1936" t="s">
        <v>4068</v>
      </c>
      <c r="F1936" s="117" t="s">
        <v>4068</v>
      </c>
      <c r="G1936" s="93" t="s">
        <v>400</v>
      </c>
      <c r="H1936" s="94" t="str">
        <f>IF(Proc[[#This Row],[type]]="LFF (MDG-F)",MID(Proc[[#This Row],[Obj]],13,10),"")</f>
        <v/>
      </c>
      <c r="J1936" s="94" t="b">
        <f>Proc[[#This Row],[Requested]]=Proc[[#This Row],[CurrentParent]]</f>
        <v>1</v>
      </c>
      <c r="K1936" s="144" t="str">
        <f>IF(Proc[[#This Row],[Author]]="Marcela Urrego",VLOOKUP(LEFT(Proc[[#This Row],[Requested]],1),Table3[#All],2,0),VLOOKUP(Proc[[#This Row],[Author]],Table4[],2,0))</f>
        <v>HC</v>
      </c>
      <c r="L1936" s="125" t="s">
        <v>2563</v>
      </c>
      <c r="M1936" s="90">
        <v>45807.678356481483</v>
      </c>
      <c r="N1936" s="91">
        <v>45810</v>
      </c>
      <c r="O1936" s="91">
        <v>45810</v>
      </c>
      <c r="P1936" s="90" t="str">
        <f ca="1">IF(Proc[[#This Row],[DaysAgeing]]&gt;5,"yep","on track")</f>
        <v>on track</v>
      </c>
      <c r="Q1936" s="3">
        <f ca="1">IF(Proc[[#This Row],[DateClosed]]="",ABS(NETWORKDAYS(Proc[[#This Row],[DateOpened]],TODAY()))-1,ABS(NETWORKDAYS(Proc[[#This Row],[DateOpened]],Proc[[#This Row],[DateClosed]]))-1)</f>
        <v>1</v>
      </c>
      <c r="R1936" s="90" t="s">
        <v>1013</v>
      </c>
      <c r="S1936" s="94"/>
    </row>
    <row r="1937" spans="1:19" hidden="1">
      <c r="A1937" s="93" t="s">
        <v>3747</v>
      </c>
      <c r="B1937" s="149" t="str">
        <f>IFERROR(VLOOKUP(Proc[[#This Row],[App]],Table2[],3,0),"open")</f>
        <v>ok</v>
      </c>
      <c r="C1937" s="93" t="s">
        <v>369</v>
      </c>
      <c r="D1937" t="s">
        <v>3772</v>
      </c>
      <c r="E1937" t="s">
        <v>4068</v>
      </c>
      <c r="F1937" s="117" t="s">
        <v>4068</v>
      </c>
      <c r="G1937" s="93" t="s">
        <v>400</v>
      </c>
      <c r="H1937" s="94" t="str">
        <f>IF(Proc[[#This Row],[type]]="LFF (MDG-F)",MID(Proc[[#This Row],[Obj]],13,10),"")</f>
        <v/>
      </c>
      <c r="J1937" s="94" t="b">
        <f>Proc[[#This Row],[Requested]]=Proc[[#This Row],[CurrentParent]]</f>
        <v>1</v>
      </c>
      <c r="K1937" s="144" t="str">
        <f>IF(Proc[[#This Row],[Author]]="Marcela Urrego",VLOOKUP(LEFT(Proc[[#This Row],[Requested]],1),Table3[#All],2,0),VLOOKUP(Proc[[#This Row],[Author]],Table4[],2,0))</f>
        <v>HC</v>
      </c>
      <c r="L1937" s="125" t="s">
        <v>2563</v>
      </c>
      <c r="M1937" s="90">
        <v>45807.678356481483</v>
      </c>
      <c r="N1937" s="91">
        <v>45810</v>
      </c>
      <c r="O1937" s="91">
        <v>45810</v>
      </c>
      <c r="P1937" s="90" t="str">
        <f ca="1">IF(Proc[[#This Row],[DaysAgeing]]&gt;5,"yep","on track")</f>
        <v>on track</v>
      </c>
      <c r="Q1937" s="3">
        <f ca="1">IF(Proc[[#This Row],[DateClosed]]="",ABS(NETWORKDAYS(Proc[[#This Row],[DateOpened]],TODAY()))-1,ABS(NETWORKDAYS(Proc[[#This Row],[DateOpened]],Proc[[#This Row],[DateClosed]]))-1)</f>
        <v>1</v>
      </c>
      <c r="R1937" s="90" t="s">
        <v>1013</v>
      </c>
      <c r="S1937" s="94"/>
    </row>
    <row r="1938" spans="1:19" hidden="1">
      <c r="A1938" s="93" t="s">
        <v>3747</v>
      </c>
      <c r="B1938" s="149" t="str">
        <f>IFERROR(VLOOKUP(Proc[[#This Row],[App]],Table2[],3,0),"open")</f>
        <v>ok</v>
      </c>
      <c r="C1938" s="93" t="s">
        <v>369</v>
      </c>
      <c r="D1938" t="s">
        <v>3773</v>
      </c>
      <c r="E1938" t="s">
        <v>4068</v>
      </c>
      <c r="F1938" s="117" t="s">
        <v>4068</v>
      </c>
      <c r="G1938" s="93" t="s">
        <v>400</v>
      </c>
      <c r="H1938" s="94" t="str">
        <f>IF(Proc[[#This Row],[type]]="LFF (MDG-F)",MID(Proc[[#This Row],[Obj]],13,10),"")</f>
        <v/>
      </c>
      <c r="J1938" s="94" t="b">
        <f>Proc[[#This Row],[Requested]]=Proc[[#This Row],[CurrentParent]]</f>
        <v>1</v>
      </c>
      <c r="K1938" s="144" t="str">
        <f>IF(Proc[[#This Row],[Author]]="Marcela Urrego",VLOOKUP(LEFT(Proc[[#This Row],[Requested]],1),Table3[#All],2,0),VLOOKUP(Proc[[#This Row],[Author]],Table4[],2,0))</f>
        <v>HC</v>
      </c>
      <c r="L1938" s="125" t="s">
        <v>2563</v>
      </c>
      <c r="M1938" s="90">
        <v>45807.678356481483</v>
      </c>
      <c r="N1938" s="91">
        <v>45810</v>
      </c>
      <c r="O1938" s="91">
        <v>45810</v>
      </c>
      <c r="P1938" s="90" t="str">
        <f ca="1">IF(Proc[[#This Row],[DaysAgeing]]&gt;5,"yep","on track")</f>
        <v>on track</v>
      </c>
      <c r="Q1938" s="3">
        <f ca="1">IF(Proc[[#This Row],[DateClosed]]="",ABS(NETWORKDAYS(Proc[[#This Row],[DateOpened]],TODAY()))-1,ABS(NETWORKDAYS(Proc[[#This Row],[DateOpened]],Proc[[#This Row],[DateClosed]]))-1)</f>
        <v>1</v>
      </c>
      <c r="R1938" s="90" t="s">
        <v>1013</v>
      </c>
      <c r="S1938" s="94"/>
    </row>
    <row r="1939" spans="1:19" hidden="1">
      <c r="A1939" s="93" t="s">
        <v>3747</v>
      </c>
      <c r="B1939" s="149" t="str">
        <f>IFERROR(VLOOKUP(Proc[[#This Row],[App]],Table2[],3,0),"open")</f>
        <v>ok</v>
      </c>
      <c r="C1939" s="93" t="s">
        <v>369</v>
      </c>
      <c r="D1939" t="s">
        <v>3774</v>
      </c>
      <c r="E1939" t="s">
        <v>4068</v>
      </c>
      <c r="F1939" s="117" t="s">
        <v>4068</v>
      </c>
      <c r="G1939" s="93" t="s">
        <v>400</v>
      </c>
      <c r="H1939" s="94" t="str">
        <f>IF(Proc[[#This Row],[type]]="LFF (MDG-F)",MID(Proc[[#This Row],[Obj]],13,10),"")</f>
        <v/>
      </c>
      <c r="J1939" s="94" t="b">
        <f>Proc[[#This Row],[Requested]]=Proc[[#This Row],[CurrentParent]]</f>
        <v>1</v>
      </c>
      <c r="K1939" s="144" t="str">
        <f>IF(Proc[[#This Row],[Author]]="Marcela Urrego",VLOOKUP(LEFT(Proc[[#This Row],[Requested]],1),Table3[#All],2,0),VLOOKUP(Proc[[#This Row],[Author]],Table4[],2,0))</f>
        <v>HC</v>
      </c>
      <c r="L1939" s="125" t="s">
        <v>2563</v>
      </c>
      <c r="M1939" s="90">
        <v>45807.678356481483</v>
      </c>
      <c r="N1939" s="91">
        <v>45810</v>
      </c>
      <c r="O1939" s="91">
        <v>45810</v>
      </c>
      <c r="P1939" s="90" t="str">
        <f ca="1">IF(Proc[[#This Row],[DaysAgeing]]&gt;5,"yep","on track")</f>
        <v>on track</v>
      </c>
      <c r="Q1939" s="3">
        <f ca="1">IF(Proc[[#This Row],[DateClosed]]="",ABS(NETWORKDAYS(Proc[[#This Row],[DateOpened]],TODAY()))-1,ABS(NETWORKDAYS(Proc[[#This Row],[DateOpened]],Proc[[#This Row],[DateClosed]]))-1)</f>
        <v>1</v>
      </c>
      <c r="R1939" s="90" t="s">
        <v>1013</v>
      </c>
      <c r="S1939" s="94"/>
    </row>
    <row r="1940" spans="1:19" hidden="1">
      <c r="A1940" s="93" t="s">
        <v>3747</v>
      </c>
      <c r="B1940" s="149" t="str">
        <f>IFERROR(VLOOKUP(Proc[[#This Row],[App]],Table2[],3,0),"open")</f>
        <v>ok</v>
      </c>
      <c r="C1940" s="93" t="s">
        <v>369</v>
      </c>
      <c r="D1940" t="s">
        <v>3775</v>
      </c>
      <c r="E1940" t="s">
        <v>4068</v>
      </c>
      <c r="F1940" s="117" t="s">
        <v>4068</v>
      </c>
      <c r="G1940" s="93" t="s">
        <v>400</v>
      </c>
      <c r="H1940" s="94" t="str">
        <f>IF(Proc[[#This Row],[type]]="LFF (MDG-F)",MID(Proc[[#This Row],[Obj]],13,10),"")</f>
        <v/>
      </c>
      <c r="J1940" s="94" t="b">
        <f>Proc[[#This Row],[Requested]]=Proc[[#This Row],[CurrentParent]]</f>
        <v>1</v>
      </c>
      <c r="K1940" s="144" t="str">
        <f>IF(Proc[[#This Row],[Author]]="Marcela Urrego",VLOOKUP(LEFT(Proc[[#This Row],[Requested]],1),Table3[#All],2,0),VLOOKUP(Proc[[#This Row],[Author]],Table4[],2,0))</f>
        <v>HC</v>
      </c>
      <c r="L1940" s="125" t="s">
        <v>2563</v>
      </c>
      <c r="M1940" s="90">
        <v>45807.678356481483</v>
      </c>
      <c r="N1940" s="91">
        <v>45810</v>
      </c>
      <c r="O1940" s="91">
        <v>45810</v>
      </c>
      <c r="P1940" s="90" t="str">
        <f ca="1">IF(Proc[[#This Row],[DaysAgeing]]&gt;5,"yep","on track")</f>
        <v>on track</v>
      </c>
      <c r="Q1940" s="3">
        <f ca="1">IF(Proc[[#This Row],[DateClosed]]="",ABS(NETWORKDAYS(Proc[[#This Row],[DateOpened]],TODAY()))-1,ABS(NETWORKDAYS(Proc[[#This Row],[DateOpened]],Proc[[#This Row],[DateClosed]]))-1)</f>
        <v>1</v>
      </c>
      <c r="R1940" s="90" t="s">
        <v>1013</v>
      </c>
      <c r="S1940" s="94"/>
    </row>
    <row r="1941" spans="1:19" hidden="1">
      <c r="A1941" s="93" t="s">
        <v>3747</v>
      </c>
      <c r="B1941" s="149" t="str">
        <f>IFERROR(VLOOKUP(Proc[[#This Row],[App]],Table2[],3,0),"open")</f>
        <v>ok</v>
      </c>
      <c r="C1941" s="93" t="s">
        <v>369</v>
      </c>
      <c r="D1941" t="s">
        <v>3776</v>
      </c>
      <c r="E1941" t="s">
        <v>4068</v>
      </c>
      <c r="F1941" s="117" t="s">
        <v>4068</v>
      </c>
      <c r="G1941" s="93" t="s">
        <v>400</v>
      </c>
      <c r="H1941" s="94" t="str">
        <f>IF(Proc[[#This Row],[type]]="LFF (MDG-F)",MID(Proc[[#This Row],[Obj]],13,10),"")</f>
        <v/>
      </c>
      <c r="J1941" s="94" t="b">
        <f>Proc[[#This Row],[Requested]]=Proc[[#This Row],[CurrentParent]]</f>
        <v>1</v>
      </c>
      <c r="K1941" s="144" t="str">
        <f>IF(Proc[[#This Row],[Author]]="Marcela Urrego",VLOOKUP(LEFT(Proc[[#This Row],[Requested]],1),Table3[#All],2,0),VLOOKUP(Proc[[#This Row],[Author]],Table4[],2,0))</f>
        <v>HC</v>
      </c>
      <c r="L1941" s="125" t="s">
        <v>2563</v>
      </c>
      <c r="M1941" s="90">
        <v>45807.678356481483</v>
      </c>
      <c r="N1941" s="91">
        <v>45810</v>
      </c>
      <c r="O1941" s="91">
        <v>45810</v>
      </c>
      <c r="P1941" s="90" t="str">
        <f ca="1">IF(Proc[[#This Row],[DaysAgeing]]&gt;5,"yep","on track")</f>
        <v>on track</v>
      </c>
      <c r="Q1941" s="3">
        <f ca="1">IF(Proc[[#This Row],[DateClosed]]="",ABS(NETWORKDAYS(Proc[[#This Row],[DateOpened]],TODAY()))-1,ABS(NETWORKDAYS(Proc[[#This Row],[DateOpened]],Proc[[#This Row],[DateClosed]]))-1)</f>
        <v>1</v>
      </c>
      <c r="R1941" s="90" t="s">
        <v>1013</v>
      </c>
      <c r="S1941" s="94"/>
    </row>
    <row r="1942" spans="1:19" hidden="1">
      <c r="A1942" s="93" t="s">
        <v>3747</v>
      </c>
      <c r="B1942" s="149" t="str">
        <f>IFERROR(VLOOKUP(Proc[[#This Row],[App]],Table2[],3,0),"open")</f>
        <v>ok</v>
      </c>
      <c r="C1942" s="93" t="s">
        <v>369</v>
      </c>
      <c r="D1942" t="s">
        <v>3777</v>
      </c>
      <c r="E1942" t="s">
        <v>4068</v>
      </c>
      <c r="F1942" s="117" t="s">
        <v>4068</v>
      </c>
      <c r="G1942" s="93" t="s">
        <v>400</v>
      </c>
      <c r="H1942" s="94" t="str">
        <f>IF(Proc[[#This Row],[type]]="LFF (MDG-F)",MID(Proc[[#This Row],[Obj]],13,10),"")</f>
        <v/>
      </c>
      <c r="J1942" s="94" t="b">
        <f>Proc[[#This Row],[Requested]]=Proc[[#This Row],[CurrentParent]]</f>
        <v>1</v>
      </c>
      <c r="K1942" s="144" t="str">
        <f>IF(Proc[[#This Row],[Author]]="Marcela Urrego",VLOOKUP(LEFT(Proc[[#This Row],[Requested]],1),Table3[#All],2,0),VLOOKUP(Proc[[#This Row],[Author]],Table4[],2,0))</f>
        <v>HC</v>
      </c>
      <c r="L1942" s="125" t="s">
        <v>2563</v>
      </c>
      <c r="M1942" s="90">
        <v>45807.678356481483</v>
      </c>
      <c r="N1942" s="91">
        <v>45810</v>
      </c>
      <c r="O1942" s="91">
        <v>45810</v>
      </c>
      <c r="P1942" s="90" t="str">
        <f ca="1">IF(Proc[[#This Row],[DaysAgeing]]&gt;5,"yep","on track")</f>
        <v>on track</v>
      </c>
      <c r="Q1942" s="3">
        <f ca="1">IF(Proc[[#This Row],[DateClosed]]="",ABS(NETWORKDAYS(Proc[[#This Row],[DateOpened]],TODAY()))-1,ABS(NETWORKDAYS(Proc[[#This Row],[DateOpened]],Proc[[#This Row],[DateClosed]]))-1)</f>
        <v>1</v>
      </c>
      <c r="R1942" s="90" t="s">
        <v>1013</v>
      </c>
      <c r="S1942" s="94"/>
    </row>
    <row r="1943" spans="1:19" hidden="1">
      <c r="A1943" s="93" t="s">
        <v>3747</v>
      </c>
      <c r="B1943" s="149" t="str">
        <f>IFERROR(VLOOKUP(Proc[[#This Row],[App]],Table2[],3,0),"open")</f>
        <v>ok</v>
      </c>
      <c r="C1943" s="93" t="s">
        <v>369</v>
      </c>
      <c r="D1943" t="s">
        <v>3778</v>
      </c>
      <c r="E1943" t="s">
        <v>4068</v>
      </c>
      <c r="F1943" s="117" t="s">
        <v>4068</v>
      </c>
      <c r="G1943" s="93" t="s">
        <v>400</v>
      </c>
      <c r="H1943" s="94" t="str">
        <f>IF(Proc[[#This Row],[type]]="LFF (MDG-F)",MID(Proc[[#This Row],[Obj]],13,10),"")</f>
        <v/>
      </c>
      <c r="J1943" s="94" t="b">
        <f>Proc[[#This Row],[Requested]]=Proc[[#This Row],[CurrentParent]]</f>
        <v>1</v>
      </c>
      <c r="K1943" s="144" t="str">
        <f>IF(Proc[[#This Row],[Author]]="Marcela Urrego",VLOOKUP(LEFT(Proc[[#This Row],[Requested]],1),Table3[#All],2,0),VLOOKUP(Proc[[#This Row],[Author]],Table4[],2,0))</f>
        <v>HC</v>
      </c>
      <c r="L1943" s="125" t="s">
        <v>2563</v>
      </c>
      <c r="M1943" s="90">
        <v>45807.678356481483</v>
      </c>
      <c r="N1943" s="91">
        <v>45810</v>
      </c>
      <c r="O1943" s="91">
        <v>45810</v>
      </c>
      <c r="P1943" s="90" t="str">
        <f ca="1">IF(Proc[[#This Row],[DaysAgeing]]&gt;5,"yep","on track")</f>
        <v>on track</v>
      </c>
      <c r="Q1943" s="3">
        <f ca="1">IF(Proc[[#This Row],[DateClosed]]="",ABS(NETWORKDAYS(Proc[[#This Row],[DateOpened]],TODAY()))-1,ABS(NETWORKDAYS(Proc[[#This Row],[DateOpened]],Proc[[#This Row],[DateClosed]]))-1)</f>
        <v>1</v>
      </c>
      <c r="R1943" s="90" t="s">
        <v>1013</v>
      </c>
      <c r="S1943" s="94"/>
    </row>
    <row r="1944" spans="1:19" hidden="1">
      <c r="A1944" s="93" t="s">
        <v>3747</v>
      </c>
      <c r="B1944" s="149" t="str">
        <f>IFERROR(VLOOKUP(Proc[[#This Row],[App]],Table2[],3,0),"open")</f>
        <v>ok</v>
      </c>
      <c r="C1944" s="93" t="s">
        <v>369</v>
      </c>
      <c r="D1944" t="s">
        <v>3779</v>
      </c>
      <c r="E1944" t="s">
        <v>4068</v>
      </c>
      <c r="F1944" s="117" t="s">
        <v>4068</v>
      </c>
      <c r="G1944" s="93" t="s">
        <v>400</v>
      </c>
      <c r="H1944" s="94" t="str">
        <f>IF(Proc[[#This Row],[type]]="LFF (MDG-F)",MID(Proc[[#This Row],[Obj]],13,10),"")</f>
        <v/>
      </c>
      <c r="J1944" s="94" t="b">
        <f>Proc[[#This Row],[Requested]]=Proc[[#This Row],[CurrentParent]]</f>
        <v>1</v>
      </c>
      <c r="K1944" s="144" t="str">
        <f>IF(Proc[[#This Row],[Author]]="Marcela Urrego",VLOOKUP(LEFT(Proc[[#This Row],[Requested]],1),Table3[#All],2,0),VLOOKUP(Proc[[#This Row],[Author]],Table4[],2,0))</f>
        <v>HC</v>
      </c>
      <c r="L1944" s="125" t="s">
        <v>2563</v>
      </c>
      <c r="M1944" s="90">
        <v>45807.678356481483</v>
      </c>
      <c r="N1944" s="91">
        <v>45810</v>
      </c>
      <c r="O1944" s="91">
        <v>45810</v>
      </c>
      <c r="P1944" s="90" t="str">
        <f ca="1">IF(Proc[[#This Row],[DaysAgeing]]&gt;5,"yep","on track")</f>
        <v>on track</v>
      </c>
      <c r="Q1944" s="3">
        <f ca="1">IF(Proc[[#This Row],[DateClosed]]="",ABS(NETWORKDAYS(Proc[[#This Row],[DateOpened]],TODAY()))-1,ABS(NETWORKDAYS(Proc[[#This Row],[DateOpened]],Proc[[#This Row],[DateClosed]]))-1)</f>
        <v>1</v>
      </c>
      <c r="R1944" s="90" t="s">
        <v>1013</v>
      </c>
      <c r="S1944" s="94"/>
    </row>
    <row r="1945" spans="1:19" hidden="1">
      <c r="A1945" s="93" t="s">
        <v>3747</v>
      </c>
      <c r="B1945" s="149" t="str">
        <f>IFERROR(VLOOKUP(Proc[[#This Row],[App]],Table2[],3,0),"open")</f>
        <v>ok</v>
      </c>
      <c r="C1945" s="93" t="s">
        <v>369</v>
      </c>
      <c r="D1945" t="s">
        <v>3780</v>
      </c>
      <c r="E1945" t="s">
        <v>4068</v>
      </c>
      <c r="F1945" s="117" t="s">
        <v>4068</v>
      </c>
      <c r="G1945" s="93" t="s">
        <v>400</v>
      </c>
      <c r="H1945" s="94" t="str">
        <f>IF(Proc[[#This Row],[type]]="LFF (MDG-F)",MID(Proc[[#This Row],[Obj]],13,10),"")</f>
        <v/>
      </c>
      <c r="J1945" s="94" t="b">
        <f>Proc[[#This Row],[Requested]]=Proc[[#This Row],[CurrentParent]]</f>
        <v>1</v>
      </c>
      <c r="K1945" s="144" t="str">
        <f>IF(Proc[[#This Row],[Author]]="Marcela Urrego",VLOOKUP(LEFT(Proc[[#This Row],[Requested]],1),Table3[#All],2,0),VLOOKUP(Proc[[#This Row],[Author]],Table4[],2,0))</f>
        <v>HC</v>
      </c>
      <c r="L1945" s="125" t="s">
        <v>2563</v>
      </c>
      <c r="M1945" s="90">
        <v>45807.678356481483</v>
      </c>
      <c r="N1945" s="91">
        <v>45810</v>
      </c>
      <c r="O1945" s="91">
        <v>45810</v>
      </c>
      <c r="P1945" s="90" t="str">
        <f ca="1">IF(Proc[[#This Row],[DaysAgeing]]&gt;5,"yep","on track")</f>
        <v>on track</v>
      </c>
      <c r="Q1945" s="3">
        <f ca="1">IF(Proc[[#This Row],[DateClosed]]="",ABS(NETWORKDAYS(Proc[[#This Row],[DateOpened]],TODAY()))-1,ABS(NETWORKDAYS(Proc[[#This Row],[DateOpened]],Proc[[#This Row],[DateClosed]]))-1)</f>
        <v>1</v>
      </c>
      <c r="R1945" s="90" t="s">
        <v>1013</v>
      </c>
      <c r="S1945" s="94"/>
    </row>
    <row r="1946" spans="1:19" hidden="1">
      <c r="A1946" s="93" t="s">
        <v>3747</v>
      </c>
      <c r="B1946" s="149" t="str">
        <f>IFERROR(VLOOKUP(Proc[[#This Row],[App]],Table2[],3,0),"open")</f>
        <v>ok</v>
      </c>
      <c r="C1946" s="93" t="s">
        <v>369</v>
      </c>
      <c r="D1946" t="s">
        <v>3781</v>
      </c>
      <c r="E1946" t="s">
        <v>4068</v>
      </c>
      <c r="F1946" s="117" t="s">
        <v>4068</v>
      </c>
      <c r="G1946" s="93" t="s">
        <v>400</v>
      </c>
      <c r="H1946" s="94" t="str">
        <f>IF(Proc[[#This Row],[type]]="LFF (MDG-F)",MID(Proc[[#This Row],[Obj]],13,10),"")</f>
        <v/>
      </c>
      <c r="J1946" s="94" t="b">
        <f>Proc[[#This Row],[Requested]]=Proc[[#This Row],[CurrentParent]]</f>
        <v>1</v>
      </c>
      <c r="K1946" s="144" t="str">
        <f>IF(Proc[[#This Row],[Author]]="Marcela Urrego",VLOOKUP(LEFT(Proc[[#This Row],[Requested]],1),Table3[#All],2,0),VLOOKUP(Proc[[#This Row],[Author]],Table4[],2,0))</f>
        <v>HC</v>
      </c>
      <c r="L1946" s="125" t="s">
        <v>2563</v>
      </c>
      <c r="M1946" s="90">
        <v>45807.678356481483</v>
      </c>
      <c r="N1946" s="91">
        <v>45810</v>
      </c>
      <c r="O1946" s="91">
        <v>45810</v>
      </c>
      <c r="P1946" s="90" t="str">
        <f ca="1">IF(Proc[[#This Row],[DaysAgeing]]&gt;5,"yep","on track")</f>
        <v>on track</v>
      </c>
      <c r="Q1946" s="3">
        <f ca="1">IF(Proc[[#This Row],[DateClosed]]="",ABS(NETWORKDAYS(Proc[[#This Row],[DateOpened]],TODAY()))-1,ABS(NETWORKDAYS(Proc[[#This Row],[DateOpened]],Proc[[#This Row],[DateClosed]]))-1)</f>
        <v>1</v>
      </c>
      <c r="R1946" s="90" t="s">
        <v>1013</v>
      </c>
      <c r="S1946" s="94"/>
    </row>
    <row r="1947" spans="1:19" hidden="1">
      <c r="A1947" s="93" t="s">
        <v>3747</v>
      </c>
      <c r="B1947" s="149" t="str">
        <f>IFERROR(VLOOKUP(Proc[[#This Row],[App]],Table2[],3,0),"open")</f>
        <v>ok</v>
      </c>
      <c r="C1947" s="93" t="s">
        <v>369</v>
      </c>
      <c r="D1947" t="s">
        <v>3782</v>
      </c>
      <c r="E1947" t="s">
        <v>4068</v>
      </c>
      <c r="F1947" s="117" t="s">
        <v>4068</v>
      </c>
      <c r="G1947" s="93" t="s">
        <v>400</v>
      </c>
      <c r="H1947" s="94" t="str">
        <f>IF(Proc[[#This Row],[type]]="LFF (MDG-F)",MID(Proc[[#This Row],[Obj]],13,10),"")</f>
        <v/>
      </c>
      <c r="J1947" s="94" t="b">
        <f>Proc[[#This Row],[Requested]]=Proc[[#This Row],[CurrentParent]]</f>
        <v>1</v>
      </c>
      <c r="K1947" s="144" t="str">
        <f>IF(Proc[[#This Row],[Author]]="Marcela Urrego",VLOOKUP(LEFT(Proc[[#This Row],[Requested]],1),Table3[#All],2,0),VLOOKUP(Proc[[#This Row],[Author]],Table4[],2,0))</f>
        <v>HC</v>
      </c>
      <c r="L1947" s="125" t="s">
        <v>2563</v>
      </c>
      <c r="M1947" s="90">
        <v>45807.678356481483</v>
      </c>
      <c r="N1947" s="91">
        <v>45810</v>
      </c>
      <c r="O1947" s="91">
        <v>45810</v>
      </c>
      <c r="P1947" s="90" t="str">
        <f ca="1">IF(Proc[[#This Row],[DaysAgeing]]&gt;5,"yep","on track")</f>
        <v>on track</v>
      </c>
      <c r="Q1947" s="3">
        <f ca="1">IF(Proc[[#This Row],[DateClosed]]="",ABS(NETWORKDAYS(Proc[[#This Row],[DateOpened]],TODAY()))-1,ABS(NETWORKDAYS(Proc[[#This Row],[DateOpened]],Proc[[#This Row],[DateClosed]]))-1)</f>
        <v>1</v>
      </c>
      <c r="R1947" s="90" t="s">
        <v>1013</v>
      </c>
      <c r="S1947" s="94"/>
    </row>
    <row r="1948" spans="1:19" hidden="1">
      <c r="A1948" s="93" t="s">
        <v>3747</v>
      </c>
      <c r="B1948" s="149" t="str">
        <f>IFERROR(VLOOKUP(Proc[[#This Row],[App]],Table2[],3,0),"open")</f>
        <v>ok</v>
      </c>
      <c r="C1948" s="93" t="s">
        <v>369</v>
      </c>
      <c r="D1948" t="s">
        <v>3783</v>
      </c>
      <c r="E1948" t="s">
        <v>4068</v>
      </c>
      <c r="F1948" s="117" t="s">
        <v>4068</v>
      </c>
      <c r="G1948" s="93" t="s">
        <v>400</v>
      </c>
      <c r="H1948" s="94" t="str">
        <f>IF(Proc[[#This Row],[type]]="LFF (MDG-F)",MID(Proc[[#This Row],[Obj]],13,10),"")</f>
        <v/>
      </c>
      <c r="J1948" s="94" t="b">
        <f>Proc[[#This Row],[Requested]]=Proc[[#This Row],[CurrentParent]]</f>
        <v>1</v>
      </c>
      <c r="K1948" s="144" t="str">
        <f>IF(Proc[[#This Row],[Author]]="Marcela Urrego",VLOOKUP(LEFT(Proc[[#This Row],[Requested]],1),Table3[#All],2,0),VLOOKUP(Proc[[#This Row],[Author]],Table4[],2,0))</f>
        <v>HC</v>
      </c>
      <c r="L1948" s="125" t="s">
        <v>2563</v>
      </c>
      <c r="M1948" s="90">
        <v>45807.678356481483</v>
      </c>
      <c r="N1948" s="91">
        <v>45810</v>
      </c>
      <c r="O1948" s="91">
        <v>45810</v>
      </c>
      <c r="P1948" s="90" t="str">
        <f ca="1">IF(Proc[[#This Row],[DaysAgeing]]&gt;5,"yep","on track")</f>
        <v>on track</v>
      </c>
      <c r="Q1948" s="3">
        <f ca="1">IF(Proc[[#This Row],[DateClosed]]="",ABS(NETWORKDAYS(Proc[[#This Row],[DateOpened]],TODAY()))-1,ABS(NETWORKDAYS(Proc[[#This Row],[DateOpened]],Proc[[#This Row],[DateClosed]]))-1)</f>
        <v>1</v>
      </c>
      <c r="R1948" s="90" t="s">
        <v>1013</v>
      </c>
      <c r="S1948" s="94"/>
    </row>
    <row r="1949" spans="1:19" hidden="1">
      <c r="A1949" s="93" t="s">
        <v>3747</v>
      </c>
      <c r="B1949" s="149" t="str">
        <f>IFERROR(VLOOKUP(Proc[[#This Row],[App]],Table2[],3,0),"open")</f>
        <v>ok</v>
      </c>
      <c r="C1949" s="93" t="s">
        <v>369</v>
      </c>
      <c r="D1949" t="s">
        <v>3784</v>
      </c>
      <c r="E1949" t="s">
        <v>4068</v>
      </c>
      <c r="F1949" s="117" t="s">
        <v>4068</v>
      </c>
      <c r="G1949" s="93" t="s">
        <v>400</v>
      </c>
      <c r="H1949" s="94" t="str">
        <f>IF(Proc[[#This Row],[type]]="LFF (MDG-F)",MID(Proc[[#This Row],[Obj]],13,10),"")</f>
        <v/>
      </c>
      <c r="J1949" s="94" t="b">
        <f>Proc[[#This Row],[Requested]]=Proc[[#This Row],[CurrentParent]]</f>
        <v>1</v>
      </c>
      <c r="K1949" s="144" t="str">
        <f>IF(Proc[[#This Row],[Author]]="Marcela Urrego",VLOOKUP(LEFT(Proc[[#This Row],[Requested]],1),Table3[#All],2,0),VLOOKUP(Proc[[#This Row],[Author]],Table4[],2,0))</f>
        <v>HC</v>
      </c>
      <c r="L1949" s="125" t="s">
        <v>2563</v>
      </c>
      <c r="M1949" s="90">
        <v>45807.678356481483</v>
      </c>
      <c r="N1949" s="91">
        <v>45810</v>
      </c>
      <c r="O1949" s="91">
        <v>45810</v>
      </c>
      <c r="P1949" s="90" t="str">
        <f ca="1">IF(Proc[[#This Row],[DaysAgeing]]&gt;5,"yep","on track")</f>
        <v>on track</v>
      </c>
      <c r="Q1949" s="3">
        <f ca="1">IF(Proc[[#This Row],[DateClosed]]="",ABS(NETWORKDAYS(Proc[[#This Row],[DateOpened]],TODAY()))-1,ABS(NETWORKDAYS(Proc[[#This Row],[DateOpened]],Proc[[#This Row],[DateClosed]]))-1)</f>
        <v>1</v>
      </c>
      <c r="R1949" s="90" t="s">
        <v>1013</v>
      </c>
      <c r="S1949" s="94"/>
    </row>
    <row r="1950" spans="1:19" hidden="1">
      <c r="A1950" s="93" t="s">
        <v>3747</v>
      </c>
      <c r="B1950" s="149" t="str">
        <f>IFERROR(VLOOKUP(Proc[[#This Row],[App]],Table2[],3,0),"open")</f>
        <v>ok</v>
      </c>
      <c r="C1950" s="93" t="s">
        <v>369</v>
      </c>
      <c r="D1950" t="s">
        <v>3785</v>
      </c>
      <c r="E1950" t="s">
        <v>4068</v>
      </c>
      <c r="F1950" s="117" t="s">
        <v>4068</v>
      </c>
      <c r="G1950" s="93" t="s">
        <v>400</v>
      </c>
      <c r="H1950" s="94" t="str">
        <f>IF(Proc[[#This Row],[type]]="LFF (MDG-F)",MID(Proc[[#This Row],[Obj]],13,10),"")</f>
        <v/>
      </c>
      <c r="J1950" s="94" t="b">
        <f>Proc[[#This Row],[Requested]]=Proc[[#This Row],[CurrentParent]]</f>
        <v>1</v>
      </c>
      <c r="K1950" s="144" t="str">
        <f>IF(Proc[[#This Row],[Author]]="Marcela Urrego",VLOOKUP(LEFT(Proc[[#This Row],[Requested]],1),Table3[#All],2,0),VLOOKUP(Proc[[#This Row],[Author]],Table4[],2,0))</f>
        <v>HC</v>
      </c>
      <c r="L1950" s="125" t="s">
        <v>2563</v>
      </c>
      <c r="M1950" s="90">
        <v>45807.678356481483</v>
      </c>
      <c r="N1950" s="91">
        <v>45810</v>
      </c>
      <c r="O1950" s="91">
        <v>45810</v>
      </c>
      <c r="P1950" s="90" t="str">
        <f ca="1">IF(Proc[[#This Row],[DaysAgeing]]&gt;5,"yep","on track")</f>
        <v>on track</v>
      </c>
      <c r="Q1950" s="3">
        <f ca="1">IF(Proc[[#This Row],[DateClosed]]="",ABS(NETWORKDAYS(Proc[[#This Row],[DateOpened]],TODAY()))-1,ABS(NETWORKDAYS(Proc[[#This Row],[DateOpened]],Proc[[#This Row],[DateClosed]]))-1)</f>
        <v>1</v>
      </c>
      <c r="R1950" s="90" t="s">
        <v>1013</v>
      </c>
      <c r="S1950" s="94"/>
    </row>
    <row r="1951" spans="1:19" hidden="1">
      <c r="A1951" s="93" t="s">
        <v>3747</v>
      </c>
      <c r="B1951" s="149" t="str">
        <f>IFERROR(VLOOKUP(Proc[[#This Row],[App]],Table2[],3,0),"open")</f>
        <v>ok</v>
      </c>
      <c r="C1951" s="93" t="s">
        <v>369</v>
      </c>
      <c r="D1951" t="s">
        <v>3786</v>
      </c>
      <c r="E1951" t="s">
        <v>4068</v>
      </c>
      <c r="F1951" s="117" t="s">
        <v>4068</v>
      </c>
      <c r="G1951" s="93" t="s">
        <v>400</v>
      </c>
      <c r="H1951" s="94" t="str">
        <f>IF(Proc[[#This Row],[type]]="LFF (MDG-F)",MID(Proc[[#This Row],[Obj]],13,10),"")</f>
        <v/>
      </c>
      <c r="J1951" s="94" t="b">
        <f>Proc[[#This Row],[Requested]]=Proc[[#This Row],[CurrentParent]]</f>
        <v>1</v>
      </c>
      <c r="K1951" s="144" t="str">
        <f>IF(Proc[[#This Row],[Author]]="Marcela Urrego",VLOOKUP(LEFT(Proc[[#This Row],[Requested]],1),Table3[#All],2,0),VLOOKUP(Proc[[#This Row],[Author]],Table4[],2,0))</f>
        <v>HC</v>
      </c>
      <c r="L1951" s="125" t="s">
        <v>2563</v>
      </c>
      <c r="M1951" s="90">
        <v>45807.678356481483</v>
      </c>
      <c r="N1951" s="91">
        <v>45810</v>
      </c>
      <c r="O1951" s="91">
        <v>45810</v>
      </c>
      <c r="P1951" s="90" t="str">
        <f ca="1">IF(Proc[[#This Row],[DaysAgeing]]&gt;5,"yep","on track")</f>
        <v>on track</v>
      </c>
      <c r="Q1951" s="3">
        <f ca="1">IF(Proc[[#This Row],[DateClosed]]="",ABS(NETWORKDAYS(Proc[[#This Row],[DateOpened]],TODAY()))-1,ABS(NETWORKDAYS(Proc[[#This Row],[DateOpened]],Proc[[#This Row],[DateClosed]]))-1)</f>
        <v>1</v>
      </c>
      <c r="R1951" s="90" t="s">
        <v>1013</v>
      </c>
      <c r="S1951" s="94"/>
    </row>
    <row r="1952" spans="1:19" hidden="1">
      <c r="A1952" s="93" t="s">
        <v>3747</v>
      </c>
      <c r="B1952" s="149" t="str">
        <f>IFERROR(VLOOKUP(Proc[[#This Row],[App]],Table2[],3,0),"open")</f>
        <v>ok</v>
      </c>
      <c r="C1952" s="93" t="s">
        <v>369</v>
      </c>
      <c r="D1952" t="s">
        <v>3787</v>
      </c>
      <c r="E1952" t="s">
        <v>4068</v>
      </c>
      <c r="F1952" s="117" t="s">
        <v>4068</v>
      </c>
      <c r="G1952" s="93" t="s">
        <v>400</v>
      </c>
      <c r="H1952" s="94" t="str">
        <f>IF(Proc[[#This Row],[type]]="LFF (MDG-F)",MID(Proc[[#This Row],[Obj]],13,10),"")</f>
        <v/>
      </c>
      <c r="J1952" s="94" t="b">
        <f>Proc[[#This Row],[Requested]]=Proc[[#This Row],[CurrentParent]]</f>
        <v>1</v>
      </c>
      <c r="K1952" s="144" t="str">
        <f>IF(Proc[[#This Row],[Author]]="Marcela Urrego",VLOOKUP(LEFT(Proc[[#This Row],[Requested]],1),Table3[#All],2,0),VLOOKUP(Proc[[#This Row],[Author]],Table4[],2,0))</f>
        <v>HC</v>
      </c>
      <c r="L1952" s="125" t="s">
        <v>2563</v>
      </c>
      <c r="M1952" s="90">
        <v>45807.678356481483</v>
      </c>
      <c r="N1952" s="91">
        <v>45810</v>
      </c>
      <c r="O1952" s="91">
        <v>45810</v>
      </c>
      <c r="P1952" s="90" t="str">
        <f ca="1">IF(Proc[[#This Row],[DaysAgeing]]&gt;5,"yep","on track")</f>
        <v>on track</v>
      </c>
      <c r="Q1952" s="3">
        <f ca="1">IF(Proc[[#This Row],[DateClosed]]="",ABS(NETWORKDAYS(Proc[[#This Row],[DateOpened]],TODAY()))-1,ABS(NETWORKDAYS(Proc[[#This Row],[DateOpened]],Proc[[#This Row],[DateClosed]]))-1)</f>
        <v>1</v>
      </c>
      <c r="R1952" s="90" t="s">
        <v>1013</v>
      </c>
      <c r="S1952" s="94"/>
    </row>
    <row r="1953" spans="1:19" hidden="1">
      <c r="A1953" s="93" t="s">
        <v>3747</v>
      </c>
      <c r="B1953" s="149" t="str">
        <f>IFERROR(VLOOKUP(Proc[[#This Row],[App]],Table2[],3,0),"open")</f>
        <v>ok</v>
      </c>
      <c r="C1953" s="93" t="s">
        <v>369</v>
      </c>
      <c r="D1953" t="s">
        <v>3788</v>
      </c>
      <c r="E1953" t="s">
        <v>4068</v>
      </c>
      <c r="F1953" s="117" t="s">
        <v>4068</v>
      </c>
      <c r="G1953" s="93" t="s">
        <v>400</v>
      </c>
      <c r="H1953" s="94" t="str">
        <f>IF(Proc[[#This Row],[type]]="LFF (MDG-F)",MID(Proc[[#This Row],[Obj]],13,10),"")</f>
        <v/>
      </c>
      <c r="J1953" s="94" t="b">
        <f>Proc[[#This Row],[Requested]]=Proc[[#This Row],[CurrentParent]]</f>
        <v>1</v>
      </c>
      <c r="K1953" s="144" t="str">
        <f>IF(Proc[[#This Row],[Author]]="Marcela Urrego",VLOOKUP(LEFT(Proc[[#This Row],[Requested]],1),Table3[#All],2,0),VLOOKUP(Proc[[#This Row],[Author]],Table4[],2,0))</f>
        <v>HC</v>
      </c>
      <c r="L1953" s="125" t="s">
        <v>2563</v>
      </c>
      <c r="M1953" s="90">
        <v>45807.678356481483</v>
      </c>
      <c r="N1953" s="91">
        <v>45810</v>
      </c>
      <c r="O1953" s="91">
        <v>45810</v>
      </c>
      <c r="P1953" s="90" t="str">
        <f ca="1">IF(Proc[[#This Row],[DaysAgeing]]&gt;5,"yep","on track")</f>
        <v>on track</v>
      </c>
      <c r="Q1953" s="3">
        <f ca="1">IF(Proc[[#This Row],[DateClosed]]="",ABS(NETWORKDAYS(Proc[[#This Row],[DateOpened]],TODAY()))-1,ABS(NETWORKDAYS(Proc[[#This Row],[DateOpened]],Proc[[#This Row],[DateClosed]]))-1)</f>
        <v>1</v>
      </c>
      <c r="R1953" s="90" t="s">
        <v>1013</v>
      </c>
      <c r="S1953" s="94"/>
    </row>
    <row r="1954" spans="1:19" hidden="1">
      <c r="A1954" s="93" t="s">
        <v>3747</v>
      </c>
      <c r="B1954" s="149" t="str">
        <f>IFERROR(VLOOKUP(Proc[[#This Row],[App]],Table2[],3,0),"open")</f>
        <v>ok</v>
      </c>
      <c r="C1954" s="93" t="s">
        <v>369</v>
      </c>
      <c r="D1954" t="s">
        <v>3789</v>
      </c>
      <c r="E1954" t="s">
        <v>4068</v>
      </c>
      <c r="F1954" s="117" t="s">
        <v>4068</v>
      </c>
      <c r="G1954" s="93" t="s">
        <v>400</v>
      </c>
      <c r="H1954" s="94" t="str">
        <f>IF(Proc[[#This Row],[type]]="LFF (MDG-F)",MID(Proc[[#This Row],[Obj]],13,10),"")</f>
        <v/>
      </c>
      <c r="J1954" s="94" t="b">
        <f>Proc[[#This Row],[Requested]]=Proc[[#This Row],[CurrentParent]]</f>
        <v>1</v>
      </c>
      <c r="K1954" s="144" t="str">
        <f>IF(Proc[[#This Row],[Author]]="Marcela Urrego",VLOOKUP(LEFT(Proc[[#This Row],[Requested]],1),Table3[#All],2,0),VLOOKUP(Proc[[#This Row],[Author]],Table4[],2,0))</f>
        <v>HC</v>
      </c>
      <c r="L1954" s="125" t="s">
        <v>2563</v>
      </c>
      <c r="M1954" s="90">
        <v>45807.678356481483</v>
      </c>
      <c r="N1954" s="91">
        <v>45810</v>
      </c>
      <c r="O1954" s="91">
        <v>45810</v>
      </c>
      <c r="P1954" s="90" t="str">
        <f ca="1">IF(Proc[[#This Row],[DaysAgeing]]&gt;5,"yep","on track")</f>
        <v>on track</v>
      </c>
      <c r="Q1954" s="3">
        <f ca="1">IF(Proc[[#This Row],[DateClosed]]="",ABS(NETWORKDAYS(Proc[[#This Row],[DateOpened]],TODAY()))-1,ABS(NETWORKDAYS(Proc[[#This Row],[DateOpened]],Proc[[#This Row],[DateClosed]]))-1)</f>
        <v>1</v>
      </c>
      <c r="R1954" s="90" t="s">
        <v>1013</v>
      </c>
      <c r="S1954" s="94"/>
    </row>
    <row r="1955" spans="1:19" hidden="1">
      <c r="A1955" s="93" t="s">
        <v>3747</v>
      </c>
      <c r="B1955" s="149" t="str">
        <f>IFERROR(VLOOKUP(Proc[[#This Row],[App]],Table2[],3,0),"open")</f>
        <v>ok</v>
      </c>
      <c r="C1955" s="93" t="s">
        <v>369</v>
      </c>
      <c r="D1955" t="s">
        <v>3790</v>
      </c>
      <c r="E1955" t="s">
        <v>4068</v>
      </c>
      <c r="F1955" s="117" t="s">
        <v>4068</v>
      </c>
      <c r="G1955" s="93" t="s">
        <v>400</v>
      </c>
      <c r="H1955" s="94" t="str">
        <f>IF(Proc[[#This Row],[type]]="LFF (MDG-F)",MID(Proc[[#This Row],[Obj]],13,10),"")</f>
        <v/>
      </c>
      <c r="J1955" s="94" t="b">
        <f>Proc[[#This Row],[Requested]]=Proc[[#This Row],[CurrentParent]]</f>
        <v>1</v>
      </c>
      <c r="K1955" s="144" t="str">
        <f>IF(Proc[[#This Row],[Author]]="Marcela Urrego",VLOOKUP(LEFT(Proc[[#This Row],[Requested]],1),Table3[#All],2,0),VLOOKUP(Proc[[#This Row],[Author]],Table4[],2,0))</f>
        <v>HC</v>
      </c>
      <c r="L1955" s="125" t="s">
        <v>2563</v>
      </c>
      <c r="M1955" s="90">
        <v>45807.678356481483</v>
      </c>
      <c r="N1955" s="91">
        <v>45810</v>
      </c>
      <c r="O1955" s="91">
        <v>45810</v>
      </c>
      <c r="P1955" s="90" t="str">
        <f ca="1">IF(Proc[[#This Row],[DaysAgeing]]&gt;5,"yep","on track")</f>
        <v>on track</v>
      </c>
      <c r="Q1955" s="3">
        <f ca="1">IF(Proc[[#This Row],[DateClosed]]="",ABS(NETWORKDAYS(Proc[[#This Row],[DateOpened]],TODAY()))-1,ABS(NETWORKDAYS(Proc[[#This Row],[DateOpened]],Proc[[#This Row],[DateClosed]]))-1)</f>
        <v>1</v>
      </c>
      <c r="R1955" s="90" t="s">
        <v>1013</v>
      </c>
      <c r="S1955" s="94"/>
    </row>
    <row r="1956" spans="1:19" hidden="1">
      <c r="A1956" s="93" t="s">
        <v>3747</v>
      </c>
      <c r="B1956" s="149" t="str">
        <f>IFERROR(VLOOKUP(Proc[[#This Row],[App]],Table2[],3,0),"open")</f>
        <v>ok</v>
      </c>
      <c r="C1956" s="93" t="s">
        <v>369</v>
      </c>
      <c r="D1956" t="s">
        <v>3791</v>
      </c>
      <c r="E1956" t="s">
        <v>4068</v>
      </c>
      <c r="F1956" s="117" t="s">
        <v>4068</v>
      </c>
      <c r="G1956" s="93" t="s">
        <v>400</v>
      </c>
      <c r="H1956" s="94" t="str">
        <f>IF(Proc[[#This Row],[type]]="LFF (MDG-F)",MID(Proc[[#This Row],[Obj]],13,10),"")</f>
        <v/>
      </c>
      <c r="J1956" s="94" t="b">
        <f>Proc[[#This Row],[Requested]]=Proc[[#This Row],[CurrentParent]]</f>
        <v>1</v>
      </c>
      <c r="K1956" s="144" t="str">
        <f>IF(Proc[[#This Row],[Author]]="Marcela Urrego",VLOOKUP(LEFT(Proc[[#This Row],[Requested]],1),Table3[#All],2,0),VLOOKUP(Proc[[#This Row],[Author]],Table4[],2,0))</f>
        <v>HC</v>
      </c>
      <c r="L1956" s="125" t="s">
        <v>2563</v>
      </c>
      <c r="M1956" s="90">
        <v>45807.678356481483</v>
      </c>
      <c r="N1956" s="91">
        <v>45810</v>
      </c>
      <c r="O1956" s="91">
        <v>45810</v>
      </c>
      <c r="P1956" s="90" t="str">
        <f ca="1">IF(Proc[[#This Row],[DaysAgeing]]&gt;5,"yep","on track")</f>
        <v>on track</v>
      </c>
      <c r="Q1956" s="3">
        <f ca="1">IF(Proc[[#This Row],[DateClosed]]="",ABS(NETWORKDAYS(Proc[[#This Row],[DateOpened]],TODAY()))-1,ABS(NETWORKDAYS(Proc[[#This Row],[DateOpened]],Proc[[#This Row],[DateClosed]]))-1)</f>
        <v>1</v>
      </c>
      <c r="R1956" s="90" t="s">
        <v>1013</v>
      </c>
      <c r="S1956" s="94"/>
    </row>
    <row r="1957" spans="1:19" hidden="1">
      <c r="A1957" s="93" t="s">
        <v>3747</v>
      </c>
      <c r="B1957" s="149" t="str">
        <f>IFERROR(VLOOKUP(Proc[[#This Row],[App]],Table2[],3,0),"open")</f>
        <v>ok</v>
      </c>
      <c r="C1957" s="93" t="s">
        <v>369</v>
      </c>
      <c r="D1957" t="s">
        <v>3792</v>
      </c>
      <c r="E1957" t="s">
        <v>4068</v>
      </c>
      <c r="F1957" s="117" t="s">
        <v>4068</v>
      </c>
      <c r="G1957" s="93" t="s">
        <v>400</v>
      </c>
      <c r="H1957" s="94" t="str">
        <f>IF(Proc[[#This Row],[type]]="LFF (MDG-F)",MID(Proc[[#This Row],[Obj]],13,10),"")</f>
        <v/>
      </c>
      <c r="J1957" s="94" t="b">
        <f>Proc[[#This Row],[Requested]]=Proc[[#This Row],[CurrentParent]]</f>
        <v>1</v>
      </c>
      <c r="K1957" s="144" t="str">
        <f>IF(Proc[[#This Row],[Author]]="Marcela Urrego",VLOOKUP(LEFT(Proc[[#This Row],[Requested]],1),Table3[#All],2,0),VLOOKUP(Proc[[#This Row],[Author]],Table4[],2,0))</f>
        <v>HC</v>
      </c>
      <c r="L1957" s="125" t="s">
        <v>2563</v>
      </c>
      <c r="M1957" s="90">
        <v>45807.678356481483</v>
      </c>
      <c r="N1957" s="91">
        <v>45810</v>
      </c>
      <c r="O1957" s="91">
        <v>45810</v>
      </c>
      <c r="P1957" s="90" t="str">
        <f ca="1">IF(Proc[[#This Row],[DaysAgeing]]&gt;5,"yep","on track")</f>
        <v>on track</v>
      </c>
      <c r="Q1957" s="3">
        <f ca="1">IF(Proc[[#This Row],[DateClosed]]="",ABS(NETWORKDAYS(Proc[[#This Row],[DateOpened]],TODAY()))-1,ABS(NETWORKDAYS(Proc[[#This Row],[DateOpened]],Proc[[#This Row],[DateClosed]]))-1)</f>
        <v>1</v>
      </c>
      <c r="R1957" s="90" t="s">
        <v>1013</v>
      </c>
      <c r="S1957" s="94"/>
    </row>
    <row r="1958" spans="1:19" hidden="1">
      <c r="A1958" s="93" t="s">
        <v>3747</v>
      </c>
      <c r="B1958" s="149" t="str">
        <f>IFERROR(VLOOKUP(Proc[[#This Row],[App]],Table2[],3,0),"open")</f>
        <v>ok</v>
      </c>
      <c r="C1958" s="93" t="s">
        <v>369</v>
      </c>
      <c r="D1958" t="s">
        <v>3793</v>
      </c>
      <c r="E1958" t="s">
        <v>4068</v>
      </c>
      <c r="F1958" s="117" t="s">
        <v>4068</v>
      </c>
      <c r="G1958" s="93" t="s">
        <v>400</v>
      </c>
      <c r="H1958" s="94" t="str">
        <f>IF(Proc[[#This Row],[type]]="LFF (MDG-F)",MID(Proc[[#This Row],[Obj]],13,10),"")</f>
        <v/>
      </c>
      <c r="J1958" s="94" t="b">
        <f>Proc[[#This Row],[Requested]]=Proc[[#This Row],[CurrentParent]]</f>
        <v>1</v>
      </c>
      <c r="K1958" s="144" t="str">
        <f>IF(Proc[[#This Row],[Author]]="Marcela Urrego",VLOOKUP(LEFT(Proc[[#This Row],[Requested]],1),Table3[#All],2,0),VLOOKUP(Proc[[#This Row],[Author]],Table4[],2,0))</f>
        <v>HC</v>
      </c>
      <c r="L1958" s="125" t="s">
        <v>2563</v>
      </c>
      <c r="M1958" s="90">
        <v>45807.678356481483</v>
      </c>
      <c r="N1958" s="91">
        <v>45810</v>
      </c>
      <c r="O1958" s="91">
        <v>45810</v>
      </c>
      <c r="P1958" s="90" t="str">
        <f ca="1">IF(Proc[[#This Row],[DaysAgeing]]&gt;5,"yep","on track")</f>
        <v>on track</v>
      </c>
      <c r="Q1958" s="3">
        <f ca="1">IF(Proc[[#This Row],[DateClosed]]="",ABS(NETWORKDAYS(Proc[[#This Row],[DateOpened]],TODAY()))-1,ABS(NETWORKDAYS(Proc[[#This Row],[DateOpened]],Proc[[#This Row],[DateClosed]]))-1)</f>
        <v>1</v>
      </c>
      <c r="R1958" s="90" t="s">
        <v>1013</v>
      </c>
      <c r="S1958" s="94"/>
    </row>
    <row r="1959" spans="1:19" hidden="1">
      <c r="A1959" s="93" t="s">
        <v>3747</v>
      </c>
      <c r="B1959" s="149" t="str">
        <f>IFERROR(VLOOKUP(Proc[[#This Row],[App]],Table2[],3,0),"open")</f>
        <v>ok</v>
      </c>
      <c r="C1959" s="93" t="s">
        <v>369</v>
      </c>
      <c r="D1959" t="s">
        <v>3794</v>
      </c>
      <c r="E1959" t="s">
        <v>4068</v>
      </c>
      <c r="F1959" s="117" t="s">
        <v>4068</v>
      </c>
      <c r="G1959" s="93" t="s">
        <v>400</v>
      </c>
      <c r="H1959" s="94" t="str">
        <f>IF(Proc[[#This Row],[type]]="LFF (MDG-F)",MID(Proc[[#This Row],[Obj]],13,10),"")</f>
        <v/>
      </c>
      <c r="J1959" s="94" t="b">
        <f>Proc[[#This Row],[Requested]]=Proc[[#This Row],[CurrentParent]]</f>
        <v>1</v>
      </c>
      <c r="K1959" s="144" t="str">
        <f>IF(Proc[[#This Row],[Author]]="Marcela Urrego",VLOOKUP(LEFT(Proc[[#This Row],[Requested]],1),Table3[#All],2,0),VLOOKUP(Proc[[#This Row],[Author]],Table4[],2,0))</f>
        <v>HC</v>
      </c>
      <c r="L1959" s="125" t="s">
        <v>2563</v>
      </c>
      <c r="M1959" s="90">
        <v>45807.678356481483</v>
      </c>
      <c r="N1959" s="91">
        <v>45810</v>
      </c>
      <c r="O1959" s="91">
        <v>45810</v>
      </c>
      <c r="P1959" s="90" t="str">
        <f ca="1">IF(Proc[[#This Row],[DaysAgeing]]&gt;5,"yep","on track")</f>
        <v>on track</v>
      </c>
      <c r="Q1959" s="3">
        <f ca="1">IF(Proc[[#This Row],[DateClosed]]="",ABS(NETWORKDAYS(Proc[[#This Row],[DateOpened]],TODAY()))-1,ABS(NETWORKDAYS(Proc[[#This Row],[DateOpened]],Proc[[#This Row],[DateClosed]]))-1)</f>
        <v>1</v>
      </c>
      <c r="R1959" s="90" t="s">
        <v>1013</v>
      </c>
      <c r="S1959" s="94"/>
    </row>
    <row r="1960" spans="1:19" hidden="1">
      <c r="A1960" s="93" t="s">
        <v>3747</v>
      </c>
      <c r="B1960" s="149" t="str">
        <f>IFERROR(VLOOKUP(Proc[[#This Row],[App]],Table2[],3,0),"open")</f>
        <v>ok</v>
      </c>
      <c r="C1960" s="93" t="s">
        <v>369</v>
      </c>
      <c r="D1960" t="s">
        <v>3795</v>
      </c>
      <c r="E1960" t="s">
        <v>4068</v>
      </c>
      <c r="F1960" s="117" t="s">
        <v>4068</v>
      </c>
      <c r="G1960" s="93" t="s">
        <v>400</v>
      </c>
      <c r="H1960" s="94" t="str">
        <f>IF(Proc[[#This Row],[type]]="LFF (MDG-F)",MID(Proc[[#This Row],[Obj]],13,10),"")</f>
        <v/>
      </c>
      <c r="J1960" s="94" t="b">
        <f>Proc[[#This Row],[Requested]]=Proc[[#This Row],[CurrentParent]]</f>
        <v>1</v>
      </c>
      <c r="K1960" s="144" t="str">
        <f>IF(Proc[[#This Row],[Author]]="Marcela Urrego",VLOOKUP(LEFT(Proc[[#This Row],[Requested]],1),Table3[#All],2,0),VLOOKUP(Proc[[#This Row],[Author]],Table4[],2,0))</f>
        <v>HC</v>
      </c>
      <c r="L1960" s="125" t="s">
        <v>2563</v>
      </c>
      <c r="M1960" s="90">
        <v>45807.678356481483</v>
      </c>
      <c r="N1960" s="91">
        <v>45810</v>
      </c>
      <c r="O1960" s="91">
        <v>45810</v>
      </c>
      <c r="P1960" s="90" t="str">
        <f ca="1">IF(Proc[[#This Row],[DaysAgeing]]&gt;5,"yep","on track")</f>
        <v>on track</v>
      </c>
      <c r="Q1960" s="3">
        <f ca="1">IF(Proc[[#This Row],[DateClosed]]="",ABS(NETWORKDAYS(Proc[[#This Row],[DateOpened]],TODAY()))-1,ABS(NETWORKDAYS(Proc[[#This Row],[DateOpened]],Proc[[#This Row],[DateClosed]]))-1)</f>
        <v>1</v>
      </c>
      <c r="R1960" s="90" t="s">
        <v>1013</v>
      </c>
      <c r="S1960" s="94"/>
    </row>
    <row r="1961" spans="1:19" hidden="1">
      <c r="A1961" s="93" t="s">
        <v>3747</v>
      </c>
      <c r="B1961" s="149" t="str">
        <f>IFERROR(VLOOKUP(Proc[[#This Row],[App]],Table2[],3,0),"open")</f>
        <v>ok</v>
      </c>
      <c r="C1961" s="93" t="s">
        <v>369</v>
      </c>
      <c r="D1961" t="s">
        <v>3796</v>
      </c>
      <c r="E1961" t="s">
        <v>4066</v>
      </c>
      <c r="F1961" s="117" t="s">
        <v>4066</v>
      </c>
      <c r="G1961" s="93" t="s">
        <v>400</v>
      </c>
      <c r="H1961" s="94" t="str">
        <f>IF(Proc[[#This Row],[type]]="LFF (MDG-F)",MID(Proc[[#This Row],[Obj]],13,10),"")</f>
        <v/>
      </c>
      <c r="J1961" s="94" t="b">
        <f>Proc[[#This Row],[Requested]]=Proc[[#This Row],[CurrentParent]]</f>
        <v>1</v>
      </c>
      <c r="K1961" s="144" t="str">
        <f>IF(Proc[[#This Row],[Author]]="Marcela Urrego",VLOOKUP(LEFT(Proc[[#This Row],[Requested]],1),Table3[#All],2,0),VLOOKUP(Proc[[#This Row],[Author]],Table4[],2,0))</f>
        <v>HC</v>
      </c>
      <c r="L1961" s="125" t="s">
        <v>2563</v>
      </c>
      <c r="M1961" s="90">
        <v>45807.678356481483</v>
      </c>
      <c r="N1961" s="91">
        <v>45810</v>
      </c>
      <c r="O1961" s="91">
        <v>45810</v>
      </c>
      <c r="P1961" s="90" t="str">
        <f ca="1">IF(Proc[[#This Row],[DaysAgeing]]&gt;5,"yep","on track")</f>
        <v>on track</v>
      </c>
      <c r="Q1961" s="3">
        <f ca="1">IF(Proc[[#This Row],[DateClosed]]="",ABS(NETWORKDAYS(Proc[[#This Row],[DateOpened]],TODAY()))-1,ABS(NETWORKDAYS(Proc[[#This Row],[DateOpened]],Proc[[#This Row],[DateClosed]]))-1)</f>
        <v>1</v>
      </c>
      <c r="R1961" s="90" t="s">
        <v>1013</v>
      </c>
      <c r="S1961" s="94"/>
    </row>
    <row r="1962" spans="1:19" hidden="1">
      <c r="A1962" s="93" t="s">
        <v>3747</v>
      </c>
      <c r="B1962" s="149" t="str">
        <f>IFERROR(VLOOKUP(Proc[[#This Row],[App]],Table2[],3,0),"open")</f>
        <v>ok</v>
      </c>
      <c r="C1962" s="93" t="s">
        <v>369</v>
      </c>
      <c r="D1962" t="s">
        <v>3797</v>
      </c>
      <c r="E1962" t="s">
        <v>4067</v>
      </c>
      <c r="F1962" s="117" t="s">
        <v>4067</v>
      </c>
      <c r="G1962" s="93" t="s">
        <v>400</v>
      </c>
      <c r="H1962" s="94" t="str">
        <f>IF(Proc[[#This Row],[type]]="LFF (MDG-F)",MID(Proc[[#This Row],[Obj]],13,10),"")</f>
        <v/>
      </c>
      <c r="J1962" s="94" t="b">
        <f>Proc[[#This Row],[Requested]]=Proc[[#This Row],[CurrentParent]]</f>
        <v>1</v>
      </c>
      <c r="K1962" s="144" t="str">
        <f>IF(Proc[[#This Row],[Author]]="Marcela Urrego",VLOOKUP(LEFT(Proc[[#This Row],[Requested]],1),Table3[#All],2,0),VLOOKUP(Proc[[#This Row],[Author]],Table4[],2,0))</f>
        <v>HC</v>
      </c>
      <c r="L1962" s="125" t="s">
        <v>2563</v>
      </c>
      <c r="M1962" s="90">
        <v>45807.678356481483</v>
      </c>
      <c r="N1962" s="91">
        <v>45810</v>
      </c>
      <c r="O1962" s="91">
        <v>45810</v>
      </c>
      <c r="P1962" s="90" t="str">
        <f ca="1">IF(Proc[[#This Row],[DaysAgeing]]&gt;5,"yep","on track")</f>
        <v>on track</v>
      </c>
      <c r="Q1962" s="3">
        <f ca="1">IF(Proc[[#This Row],[DateClosed]]="",ABS(NETWORKDAYS(Proc[[#This Row],[DateOpened]],TODAY()))-1,ABS(NETWORKDAYS(Proc[[#This Row],[DateOpened]],Proc[[#This Row],[DateClosed]]))-1)</f>
        <v>1</v>
      </c>
      <c r="R1962" s="90" t="s">
        <v>1013</v>
      </c>
      <c r="S1962" s="94"/>
    </row>
    <row r="1963" spans="1:19" hidden="1">
      <c r="A1963" s="93" t="s">
        <v>3747</v>
      </c>
      <c r="B1963" s="149" t="str">
        <f>IFERROR(VLOOKUP(Proc[[#This Row],[App]],Table2[],3,0),"open")</f>
        <v>ok</v>
      </c>
      <c r="C1963" s="93" t="s">
        <v>369</v>
      </c>
      <c r="D1963" t="s">
        <v>3798</v>
      </c>
      <c r="E1963" t="s">
        <v>4068</v>
      </c>
      <c r="F1963" s="117" t="s">
        <v>4068</v>
      </c>
      <c r="G1963" s="93" t="s">
        <v>400</v>
      </c>
      <c r="H1963" s="94" t="str">
        <f>IF(Proc[[#This Row],[type]]="LFF (MDG-F)",MID(Proc[[#This Row],[Obj]],13,10),"")</f>
        <v/>
      </c>
      <c r="J1963" s="94" t="b">
        <f>Proc[[#This Row],[Requested]]=Proc[[#This Row],[CurrentParent]]</f>
        <v>1</v>
      </c>
      <c r="K1963" s="144" t="str">
        <f>IF(Proc[[#This Row],[Author]]="Marcela Urrego",VLOOKUP(LEFT(Proc[[#This Row],[Requested]],1),Table3[#All],2,0),VLOOKUP(Proc[[#This Row],[Author]],Table4[],2,0))</f>
        <v>HC</v>
      </c>
      <c r="L1963" s="125" t="s">
        <v>2563</v>
      </c>
      <c r="M1963" s="90">
        <v>45807.678356481483</v>
      </c>
      <c r="N1963" s="91">
        <v>45810</v>
      </c>
      <c r="O1963" s="91">
        <v>45810</v>
      </c>
      <c r="P1963" s="90" t="str">
        <f ca="1">IF(Proc[[#This Row],[DaysAgeing]]&gt;5,"yep","on track")</f>
        <v>on track</v>
      </c>
      <c r="Q1963" s="3">
        <f ca="1">IF(Proc[[#This Row],[DateClosed]]="",ABS(NETWORKDAYS(Proc[[#This Row],[DateOpened]],TODAY()))-1,ABS(NETWORKDAYS(Proc[[#This Row],[DateOpened]],Proc[[#This Row],[DateClosed]]))-1)</f>
        <v>1</v>
      </c>
      <c r="R1963" s="90" t="s">
        <v>1013</v>
      </c>
      <c r="S1963" s="94"/>
    </row>
    <row r="1964" spans="1:19" hidden="1">
      <c r="A1964" s="93" t="s">
        <v>3747</v>
      </c>
      <c r="B1964" s="149" t="str">
        <f>IFERROR(VLOOKUP(Proc[[#This Row],[App]],Table2[],3,0),"open")</f>
        <v>ok</v>
      </c>
      <c r="C1964" s="93" t="s">
        <v>369</v>
      </c>
      <c r="D1964" t="s">
        <v>3799</v>
      </c>
      <c r="E1964" t="s">
        <v>4068</v>
      </c>
      <c r="F1964" s="117" t="s">
        <v>4068</v>
      </c>
      <c r="G1964" s="93" t="s">
        <v>400</v>
      </c>
      <c r="H1964" s="94" t="str">
        <f>IF(Proc[[#This Row],[type]]="LFF (MDG-F)",MID(Proc[[#This Row],[Obj]],13,10),"")</f>
        <v/>
      </c>
      <c r="J1964" s="94" t="b">
        <f>Proc[[#This Row],[Requested]]=Proc[[#This Row],[CurrentParent]]</f>
        <v>1</v>
      </c>
      <c r="K1964" s="144" t="str">
        <f>IF(Proc[[#This Row],[Author]]="Marcela Urrego",VLOOKUP(LEFT(Proc[[#This Row],[Requested]],1),Table3[#All],2,0),VLOOKUP(Proc[[#This Row],[Author]],Table4[],2,0))</f>
        <v>HC</v>
      </c>
      <c r="L1964" s="125" t="s">
        <v>2563</v>
      </c>
      <c r="M1964" s="90">
        <v>45807.678356481483</v>
      </c>
      <c r="N1964" s="91">
        <v>45810</v>
      </c>
      <c r="O1964" s="91">
        <v>45810</v>
      </c>
      <c r="P1964" s="90" t="str">
        <f ca="1">IF(Proc[[#This Row],[DaysAgeing]]&gt;5,"yep","on track")</f>
        <v>on track</v>
      </c>
      <c r="Q1964" s="3">
        <f ca="1">IF(Proc[[#This Row],[DateClosed]]="",ABS(NETWORKDAYS(Proc[[#This Row],[DateOpened]],TODAY()))-1,ABS(NETWORKDAYS(Proc[[#This Row],[DateOpened]],Proc[[#This Row],[DateClosed]]))-1)</f>
        <v>1</v>
      </c>
      <c r="R1964" s="90" t="s">
        <v>1013</v>
      </c>
      <c r="S1964" s="94"/>
    </row>
    <row r="1965" spans="1:19" hidden="1">
      <c r="A1965" s="93" t="s">
        <v>3747</v>
      </c>
      <c r="B1965" s="149" t="str">
        <f>IFERROR(VLOOKUP(Proc[[#This Row],[App]],Table2[],3,0),"open")</f>
        <v>ok</v>
      </c>
      <c r="C1965" s="93" t="s">
        <v>369</v>
      </c>
      <c r="D1965" t="s">
        <v>3800</v>
      </c>
      <c r="E1965" t="s">
        <v>4068</v>
      </c>
      <c r="F1965" s="117" t="s">
        <v>4068</v>
      </c>
      <c r="G1965" s="93" t="s">
        <v>400</v>
      </c>
      <c r="H1965" s="94" t="str">
        <f>IF(Proc[[#This Row],[type]]="LFF (MDG-F)",MID(Proc[[#This Row],[Obj]],13,10),"")</f>
        <v/>
      </c>
      <c r="J1965" s="94" t="b">
        <f>Proc[[#This Row],[Requested]]=Proc[[#This Row],[CurrentParent]]</f>
        <v>1</v>
      </c>
      <c r="K1965" s="144" t="str">
        <f>IF(Proc[[#This Row],[Author]]="Marcela Urrego",VLOOKUP(LEFT(Proc[[#This Row],[Requested]],1),Table3[#All],2,0),VLOOKUP(Proc[[#This Row],[Author]],Table4[],2,0))</f>
        <v>HC</v>
      </c>
      <c r="L1965" s="125" t="s">
        <v>2563</v>
      </c>
      <c r="M1965" s="90">
        <v>45807.678356481483</v>
      </c>
      <c r="N1965" s="91">
        <v>45810</v>
      </c>
      <c r="O1965" s="91">
        <v>45810</v>
      </c>
      <c r="P1965" s="90" t="str">
        <f ca="1">IF(Proc[[#This Row],[DaysAgeing]]&gt;5,"yep","on track")</f>
        <v>on track</v>
      </c>
      <c r="Q1965" s="3">
        <f ca="1">IF(Proc[[#This Row],[DateClosed]]="",ABS(NETWORKDAYS(Proc[[#This Row],[DateOpened]],TODAY()))-1,ABS(NETWORKDAYS(Proc[[#This Row],[DateOpened]],Proc[[#This Row],[DateClosed]]))-1)</f>
        <v>1</v>
      </c>
      <c r="R1965" s="90" t="s">
        <v>1013</v>
      </c>
      <c r="S1965" s="94"/>
    </row>
    <row r="1966" spans="1:19" hidden="1">
      <c r="A1966" s="93" t="s">
        <v>3747</v>
      </c>
      <c r="B1966" s="149" t="str">
        <f>IFERROR(VLOOKUP(Proc[[#This Row],[App]],Table2[],3,0),"open")</f>
        <v>ok</v>
      </c>
      <c r="C1966" s="93" t="s">
        <v>369</v>
      </c>
      <c r="D1966" t="s">
        <v>3801</v>
      </c>
      <c r="E1966" t="s">
        <v>4068</v>
      </c>
      <c r="F1966" s="117" t="s">
        <v>4068</v>
      </c>
      <c r="G1966" s="93" t="s">
        <v>400</v>
      </c>
      <c r="H1966" s="94" t="str">
        <f>IF(Proc[[#This Row],[type]]="LFF (MDG-F)",MID(Proc[[#This Row],[Obj]],13,10),"")</f>
        <v/>
      </c>
      <c r="J1966" s="94" t="b">
        <f>Proc[[#This Row],[Requested]]=Proc[[#This Row],[CurrentParent]]</f>
        <v>1</v>
      </c>
      <c r="K1966" s="144" t="str">
        <f>IF(Proc[[#This Row],[Author]]="Marcela Urrego",VLOOKUP(LEFT(Proc[[#This Row],[Requested]],1),Table3[#All],2,0),VLOOKUP(Proc[[#This Row],[Author]],Table4[],2,0))</f>
        <v>HC</v>
      </c>
      <c r="L1966" s="125" t="s">
        <v>2563</v>
      </c>
      <c r="M1966" s="90">
        <v>45807.678356481483</v>
      </c>
      <c r="N1966" s="91">
        <v>45810</v>
      </c>
      <c r="O1966" s="91">
        <v>45810</v>
      </c>
      <c r="P1966" s="90" t="str">
        <f ca="1">IF(Proc[[#This Row],[DaysAgeing]]&gt;5,"yep","on track")</f>
        <v>on track</v>
      </c>
      <c r="Q1966" s="3">
        <f ca="1">IF(Proc[[#This Row],[DateClosed]]="",ABS(NETWORKDAYS(Proc[[#This Row],[DateOpened]],TODAY()))-1,ABS(NETWORKDAYS(Proc[[#This Row],[DateOpened]],Proc[[#This Row],[DateClosed]]))-1)</f>
        <v>1</v>
      </c>
      <c r="R1966" s="90" t="s">
        <v>1013</v>
      </c>
      <c r="S1966" s="94"/>
    </row>
    <row r="1967" spans="1:19" hidden="1">
      <c r="A1967" s="93" t="s">
        <v>3747</v>
      </c>
      <c r="B1967" s="149" t="str">
        <f>IFERROR(VLOOKUP(Proc[[#This Row],[App]],Table2[],3,0),"open")</f>
        <v>ok</v>
      </c>
      <c r="C1967" s="93" t="s">
        <v>369</v>
      </c>
      <c r="D1967" t="s">
        <v>3802</v>
      </c>
      <c r="E1967" t="s">
        <v>4068</v>
      </c>
      <c r="F1967" s="117" t="s">
        <v>4068</v>
      </c>
      <c r="G1967" s="93" t="s">
        <v>400</v>
      </c>
      <c r="H1967" s="94" t="str">
        <f>IF(Proc[[#This Row],[type]]="LFF (MDG-F)",MID(Proc[[#This Row],[Obj]],13,10),"")</f>
        <v/>
      </c>
      <c r="J1967" s="94" t="b">
        <f>Proc[[#This Row],[Requested]]=Proc[[#This Row],[CurrentParent]]</f>
        <v>1</v>
      </c>
      <c r="K1967" s="144" t="str">
        <f>IF(Proc[[#This Row],[Author]]="Marcela Urrego",VLOOKUP(LEFT(Proc[[#This Row],[Requested]],1),Table3[#All],2,0),VLOOKUP(Proc[[#This Row],[Author]],Table4[],2,0))</f>
        <v>HC</v>
      </c>
      <c r="L1967" s="125" t="s">
        <v>2563</v>
      </c>
      <c r="M1967" s="90">
        <v>45807.678356481483</v>
      </c>
      <c r="N1967" s="91">
        <v>45810</v>
      </c>
      <c r="O1967" s="91">
        <v>45810</v>
      </c>
      <c r="P1967" s="90" t="str">
        <f ca="1">IF(Proc[[#This Row],[DaysAgeing]]&gt;5,"yep","on track")</f>
        <v>on track</v>
      </c>
      <c r="Q1967" s="3">
        <f ca="1">IF(Proc[[#This Row],[DateClosed]]="",ABS(NETWORKDAYS(Proc[[#This Row],[DateOpened]],TODAY()))-1,ABS(NETWORKDAYS(Proc[[#This Row],[DateOpened]],Proc[[#This Row],[DateClosed]]))-1)</f>
        <v>1</v>
      </c>
      <c r="R1967" s="90" t="s">
        <v>1013</v>
      </c>
      <c r="S1967" s="94"/>
    </row>
    <row r="1968" spans="1:19" hidden="1">
      <c r="A1968" s="93" t="s">
        <v>3747</v>
      </c>
      <c r="B1968" s="149" t="str">
        <f>IFERROR(VLOOKUP(Proc[[#This Row],[App]],Table2[],3,0),"open")</f>
        <v>ok</v>
      </c>
      <c r="C1968" s="93" t="s">
        <v>369</v>
      </c>
      <c r="D1968" t="s">
        <v>3803</v>
      </c>
      <c r="E1968" t="s">
        <v>4068</v>
      </c>
      <c r="F1968" s="117" t="s">
        <v>4068</v>
      </c>
      <c r="G1968" s="93" t="s">
        <v>400</v>
      </c>
      <c r="H1968" s="94" t="str">
        <f>IF(Proc[[#This Row],[type]]="LFF (MDG-F)",MID(Proc[[#This Row],[Obj]],13,10),"")</f>
        <v/>
      </c>
      <c r="J1968" s="94" t="b">
        <f>Proc[[#This Row],[Requested]]=Proc[[#This Row],[CurrentParent]]</f>
        <v>1</v>
      </c>
      <c r="K1968" s="144" t="str">
        <f>IF(Proc[[#This Row],[Author]]="Marcela Urrego",VLOOKUP(LEFT(Proc[[#This Row],[Requested]],1),Table3[#All],2,0),VLOOKUP(Proc[[#This Row],[Author]],Table4[],2,0))</f>
        <v>HC</v>
      </c>
      <c r="L1968" s="125" t="s">
        <v>2563</v>
      </c>
      <c r="M1968" s="90">
        <v>45807.678356481483</v>
      </c>
      <c r="N1968" s="91">
        <v>45810</v>
      </c>
      <c r="O1968" s="91">
        <v>45810</v>
      </c>
      <c r="P1968" s="90" t="str">
        <f ca="1">IF(Proc[[#This Row],[DaysAgeing]]&gt;5,"yep","on track")</f>
        <v>on track</v>
      </c>
      <c r="Q1968" s="3">
        <f ca="1">IF(Proc[[#This Row],[DateClosed]]="",ABS(NETWORKDAYS(Proc[[#This Row],[DateOpened]],TODAY()))-1,ABS(NETWORKDAYS(Proc[[#This Row],[DateOpened]],Proc[[#This Row],[DateClosed]]))-1)</f>
        <v>1</v>
      </c>
      <c r="R1968" s="90" t="s">
        <v>1013</v>
      </c>
      <c r="S1968" s="94"/>
    </row>
    <row r="1969" spans="1:19" hidden="1">
      <c r="A1969" s="93" t="s">
        <v>3747</v>
      </c>
      <c r="B1969" s="149" t="str">
        <f>IFERROR(VLOOKUP(Proc[[#This Row],[App]],Table2[],3,0),"open")</f>
        <v>ok</v>
      </c>
      <c r="C1969" s="93" t="s">
        <v>369</v>
      </c>
      <c r="D1969" t="s">
        <v>3804</v>
      </c>
      <c r="E1969" t="s">
        <v>4068</v>
      </c>
      <c r="F1969" s="117" t="s">
        <v>4068</v>
      </c>
      <c r="G1969" s="93" t="s">
        <v>400</v>
      </c>
      <c r="H1969" s="94" t="str">
        <f>IF(Proc[[#This Row],[type]]="LFF (MDG-F)",MID(Proc[[#This Row],[Obj]],13,10),"")</f>
        <v/>
      </c>
      <c r="J1969" s="94" t="b">
        <f>Proc[[#This Row],[Requested]]=Proc[[#This Row],[CurrentParent]]</f>
        <v>1</v>
      </c>
      <c r="K1969" s="144" t="str">
        <f>IF(Proc[[#This Row],[Author]]="Marcela Urrego",VLOOKUP(LEFT(Proc[[#This Row],[Requested]],1),Table3[#All],2,0),VLOOKUP(Proc[[#This Row],[Author]],Table4[],2,0))</f>
        <v>HC</v>
      </c>
      <c r="L1969" s="125" t="s">
        <v>2563</v>
      </c>
      <c r="M1969" s="90">
        <v>45807.678356481483</v>
      </c>
      <c r="N1969" s="91">
        <v>45810</v>
      </c>
      <c r="O1969" s="91">
        <v>45810</v>
      </c>
      <c r="P1969" s="90" t="str">
        <f ca="1">IF(Proc[[#This Row],[DaysAgeing]]&gt;5,"yep","on track")</f>
        <v>on track</v>
      </c>
      <c r="Q1969" s="3">
        <f ca="1">IF(Proc[[#This Row],[DateClosed]]="",ABS(NETWORKDAYS(Proc[[#This Row],[DateOpened]],TODAY()))-1,ABS(NETWORKDAYS(Proc[[#This Row],[DateOpened]],Proc[[#This Row],[DateClosed]]))-1)</f>
        <v>1</v>
      </c>
      <c r="R1969" s="90" t="s">
        <v>1013</v>
      </c>
      <c r="S1969" s="94"/>
    </row>
    <row r="1970" spans="1:19" hidden="1">
      <c r="A1970" s="93" t="s">
        <v>3747</v>
      </c>
      <c r="B1970" s="149" t="str">
        <f>IFERROR(VLOOKUP(Proc[[#This Row],[App]],Table2[],3,0),"open")</f>
        <v>ok</v>
      </c>
      <c r="C1970" s="93" t="s">
        <v>369</v>
      </c>
      <c r="D1970" t="s">
        <v>3805</v>
      </c>
      <c r="E1970" t="s">
        <v>4068</v>
      </c>
      <c r="F1970" s="117" t="s">
        <v>4068</v>
      </c>
      <c r="G1970" s="93" t="s">
        <v>400</v>
      </c>
      <c r="H1970" s="94" t="str">
        <f>IF(Proc[[#This Row],[type]]="LFF (MDG-F)",MID(Proc[[#This Row],[Obj]],13,10),"")</f>
        <v/>
      </c>
      <c r="J1970" s="94" t="b">
        <f>Proc[[#This Row],[Requested]]=Proc[[#This Row],[CurrentParent]]</f>
        <v>1</v>
      </c>
      <c r="K1970" s="144" t="str">
        <f>IF(Proc[[#This Row],[Author]]="Marcela Urrego",VLOOKUP(LEFT(Proc[[#This Row],[Requested]],1),Table3[#All],2,0),VLOOKUP(Proc[[#This Row],[Author]],Table4[],2,0))</f>
        <v>HC</v>
      </c>
      <c r="L1970" s="125" t="s">
        <v>2563</v>
      </c>
      <c r="M1970" s="90">
        <v>45807.678356481483</v>
      </c>
      <c r="N1970" s="91">
        <v>45810</v>
      </c>
      <c r="O1970" s="91">
        <v>45810</v>
      </c>
      <c r="P1970" s="90" t="str">
        <f ca="1">IF(Proc[[#This Row],[DaysAgeing]]&gt;5,"yep","on track")</f>
        <v>on track</v>
      </c>
      <c r="Q1970" s="3">
        <f ca="1">IF(Proc[[#This Row],[DateClosed]]="",ABS(NETWORKDAYS(Proc[[#This Row],[DateOpened]],TODAY()))-1,ABS(NETWORKDAYS(Proc[[#This Row],[DateOpened]],Proc[[#This Row],[DateClosed]]))-1)</f>
        <v>1</v>
      </c>
      <c r="R1970" s="90" t="s">
        <v>1013</v>
      </c>
      <c r="S1970" s="94"/>
    </row>
    <row r="1971" spans="1:19" hidden="1">
      <c r="A1971" s="93" t="s">
        <v>3747</v>
      </c>
      <c r="B1971" s="149" t="str">
        <f>IFERROR(VLOOKUP(Proc[[#This Row],[App]],Table2[],3,0),"open")</f>
        <v>ok</v>
      </c>
      <c r="C1971" s="93" t="s">
        <v>369</v>
      </c>
      <c r="D1971" t="s">
        <v>3806</v>
      </c>
      <c r="E1971" t="s">
        <v>4068</v>
      </c>
      <c r="F1971" s="117" t="s">
        <v>4068</v>
      </c>
      <c r="G1971" s="93" t="s">
        <v>400</v>
      </c>
      <c r="H1971" s="94" t="str">
        <f>IF(Proc[[#This Row],[type]]="LFF (MDG-F)",MID(Proc[[#This Row],[Obj]],13,10),"")</f>
        <v/>
      </c>
      <c r="J1971" s="94" t="b">
        <f>Proc[[#This Row],[Requested]]=Proc[[#This Row],[CurrentParent]]</f>
        <v>1</v>
      </c>
      <c r="K1971" s="144" t="str">
        <f>IF(Proc[[#This Row],[Author]]="Marcela Urrego",VLOOKUP(LEFT(Proc[[#This Row],[Requested]],1),Table3[#All],2,0),VLOOKUP(Proc[[#This Row],[Author]],Table4[],2,0))</f>
        <v>HC</v>
      </c>
      <c r="L1971" s="125" t="s">
        <v>2563</v>
      </c>
      <c r="M1971" s="90">
        <v>45807.678356481483</v>
      </c>
      <c r="N1971" s="91">
        <v>45810</v>
      </c>
      <c r="O1971" s="91">
        <v>45810</v>
      </c>
      <c r="P1971" s="90" t="str">
        <f ca="1">IF(Proc[[#This Row],[DaysAgeing]]&gt;5,"yep","on track")</f>
        <v>on track</v>
      </c>
      <c r="Q1971" s="3">
        <f ca="1">IF(Proc[[#This Row],[DateClosed]]="",ABS(NETWORKDAYS(Proc[[#This Row],[DateOpened]],TODAY()))-1,ABS(NETWORKDAYS(Proc[[#This Row],[DateOpened]],Proc[[#This Row],[DateClosed]]))-1)</f>
        <v>1</v>
      </c>
      <c r="R1971" s="90" t="s">
        <v>1013</v>
      </c>
      <c r="S1971" s="94"/>
    </row>
    <row r="1972" spans="1:19" hidden="1">
      <c r="A1972" s="93" t="s">
        <v>3747</v>
      </c>
      <c r="B1972" s="149" t="str">
        <f>IFERROR(VLOOKUP(Proc[[#This Row],[App]],Table2[],3,0),"open")</f>
        <v>ok</v>
      </c>
      <c r="C1972" s="93" t="s">
        <v>369</v>
      </c>
      <c r="D1972" t="s">
        <v>3807</v>
      </c>
      <c r="E1972" t="s">
        <v>4068</v>
      </c>
      <c r="F1972" s="117" t="s">
        <v>4068</v>
      </c>
      <c r="G1972" s="93" t="s">
        <v>400</v>
      </c>
      <c r="H1972" s="94" t="str">
        <f>IF(Proc[[#This Row],[type]]="LFF (MDG-F)",MID(Proc[[#This Row],[Obj]],13,10),"")</f>
        <v/>
      </c>
      <c r="J1972" s="94" t="b">
        <f>Proc[[#This Row],[Requested]]=Proc[[#This Row],[CurrentParent]]</f>
        <v>1</v>
      </c>
      <c r="K1972" s="144" t="str">
        <f>IF(Proc[[#This Row],[Author]]="Marcela Urrego",VLOOKUP(LEFT(Proc[[#This Row],[Requested]],1),Table3[#All],2,0),VLOOKUP(Proc[[#This Row],[Author]],Table4[],2,0))</f>
        <v>HC</v>
      </c>
      <c r="L1972" s="125" t="s">
        <v>2563</v>
      </c>
      <c r="M1972" s="90">
        <v>45807.678356481483</v>
      </c>
      <c r="N1972" s="91">
        <v>45810</v>
      </c>
      <c r="O1972" s="91">
        <v>45810</v>
      </c>
      <c r="P1972" s="90" t="str">
        <f ca="1">IF(Proc[[#This Row],[DaysAgeing]]&gt;5,"yep","on track")</f>
        <v>on track</v>
      </c>
      <c r="Q1972" s="3">
        <f ca="1">IF(Proc[[#This Row],[DateClosed]]="",ABS(NETWORKDAYS(Proc[[#This Row],[DateOpened]],TODAY()))-1,ABS(NETWORKDAYS(Proc[[#This Row],[DateOpened]],Proc[[#This Row],[DateClosed]]))-1)</f>
        <v>1</v>
      </c>
      <c r="R1972" s="90" t="s">
        <v>1013</v>
      </c>
      <c r="S1972" s="94"/>
    </row>
    <row r="1973" spans="1:19" hidden="1">
      <c r="A1973" s="93" t="s">
        <v>3747</v>
      </c>
      <c r="B1973" s="149" t="str">
        <f>IFERROR(VLOOKUP(Proc[[#This Row],[App]],Table2[],3,0),"open")</f>
        <v>ok</v>
      </c>
      <c r="C1973" s="93" t="s">
        <v>369</v>
      </c>
      <c r="D1973" t="s">
        <v>3808</v>
      </c>
      <c r="E1973" t="s">
        <v>4068</v>
      </c>
      <c r="F1973" s="117" t="s">
        <v>4068</v>
      </c>
      <c r="G1973" s="93" t="s">
        <v>400</v>
      </c>
      <c r="H1973" s="94" t="str">
        <f>IF(Proc[[#This Row],[type]]="LFF (MDG-F)",MID(Proc[[#This Row],[Obj]],13,10),"")</f>
        <v/>
      </c>
      <c r="J1973" s="94" t="b">
        <f>Proc[[#This Row],[Requested]]=Proc[[#This Row],[CurrentParent]]</f>
        <v>1</v>
      </c>
      <c r="K1973" s="144" t="str">
        <f>IF(Proc[[#This Row],[Author]]="Marcela Urrego",VLOOKUP(LEFT(Proc[[#This Row],[Requested]],1),Table3[#All],2,0),VLOOKUP(Proc[[#This Row],[Author]],Table4[],2,0))</f>
        <v>HC</v>
      </c>
      <c r="L1973" s="125" t="s">
        <v>2563</v>
      </c>
      <c r="M1973" s="90">
        <v>45807.678356481483</v>
      </c>
      <c r="N1973" s="91">
        <v>45810</v>
      </c>
      <c r="O1973" s="91">
        <v>45810</v>
      </c>
      <c r="P1973" s="90" t="str">
        <f ca="1">IF(Proc[[#This Row],[DaysAgeing]]&gt;5,"yep","on track")</f>
        <v>on track</v>
      </c>
      <c r="Q1973" s="3">
        <f ca="1">IF(Proc[[#This Row],[DateClosed]]="",ABS(NETWORKDAYS(Proc[[#This Row],[DateOpened]],TODAY()))-1,ABS(NETWORKDAYS(Proc[[#This Row],[DateOpened]],Proc[[#This Row],[DateClosed]]))-1)</f>
        <v>1</v>
      </c>
      <c r="R1973" s="90" t="s">
        <v>1013</v>
      </c>
      <c r="S1973" s="94"/>
    </row>
    <row r="1974" spans="1:19" hidden="1">
      <c r="A1974" s="93" t="s">
        <v>3747</v>
      </c>
      <c r="B1974" s="149" t="str">
        <f>IFERROR(VLOOKUP(Proc[[#This Row],[App]],Table2[],3,0),"open")</f>
        <v>ok</v>
      </c>
      <c r="C1974" s="93" t="s">
        <v>369</v>
      </c>
      <c r="D1974" t="s">
        <v>3809</v>
      </c>
      <c r="E1974" t="s">
        <v>4068</v>
      </c>
      <c r="F1974" s="117" t="s">
        <v>4068</v>
      </c>
      <c r="G1974" s="93" t="s">
        <v>400</v>
      </c>
      <c r="H1974" s="94" t="str">
        <f>IF(Proc[[#This Row],[type]]="LFF (MDG-F)",MID(Proc[[#This Row],[Obj]],13,10),"")</f>
        <v/>
      </c>
      <c r="J1974" s="94" t="b">
        <f>Proc[[#This Row],[Requested]]=Proc[[#This Row],[CurrentParent]]</f>
        <v>1</v>
      </c>
      <c r="K1974" s="144" t="str">
        <f>IF(Proc[[#This Row],[Author]]="Marcela Urrego",VLOOKUP(LEFT(Proc[[#This Row],[Requested]],1),Table3[#All],2,0),VLOOKUP(Proc[[#This Row],[Author]],Table4[],2,0))</f>
        <v>HC</v>
      </c>
      <c r="L1974" s="125" t="s">
        <v>2563</v>
      </c>
      <c r="M1974" s="90">
        <v>45807.678356481483</v>
      </c>
      <c r="N1974" s="91">
        <v>45810</v>
      </c>
      <c r="O1974" s="91">
        <v>45810</v>
      </c>
      <c r="P1974" s="90" t="str">
        <f ca="1">IF(Proc[[#This Row],[DaysAgeing]]&gt;5,"yep","on track")</f>
        <v>on track</v>
      </c>
      <c r="Q1974" s="3">
        <f ca="1">IF(Proc[[#This Row],[DateClosed]]="",ABS(NETWORKDAYS(Proc[[#This Row],[DateOpened]],TODAY()))-1,ABS(NETWORKDAYS(Proc[[#This Row],[DateOpened]],Proc[[#This Row],[DateClosed]]))-1)</f>
        <v>1</v>
      </c>
      <c r="R1974" s="90" t="s">
        <v>1013</v>
      </c>
      <c r="S1974" s="94"/>
    </row>
    <row r="1975" spans="1:19" hidden="1">
      <c r="A1975" s="93" t="s">
        <v>3747</v>
      </c>
      <c r="B1975" s="149" t="str">
        <f>IFERROR(VLOOKUP(Proc[[#This Row],[App]],Table2[],3,0),"open")</f>
        <v>ok</v>
      </c>
      <c r="C1975" s="93" t="s">
        <v>369</v>
      </c>
      <c r="D1975" t="s">
        <v>3810</v>
      </c>
      <c r="E1975" t="s">
        <v>4068</v>
      </c>
      <c r="F1975" s="117" t="s">
        <v>4068</v>
      </c>
      <c r="G1975" s="93" t="s">
        <v>400</v>
      </c>
      <c r="H1975" s="94" t="str">
        <f>IF(Proc[[#This Row],[type]]="LFF (MDG-F)",MID(Proc[[#This Row],[Obj]],13,10),"")</f>
        <v/>
      </c>
      <c r="J1975" s="94" t="b">
        <f>Proc[[#This Row],[Requested]]=Proc[[#This Row],[CurrentParent]]</f>
        <v>1</v>
      </c>
      <c r="K1975" s="144" t="str">
        <f>IF(Proc[[#This Row],[Author]]="Marcela Urrego",VLOOKUP(LEFT(Proc[[#This Row],[Requested]],1),Table3[#All],2,0),VLOOKUP(Proc[[#This Row],[Author]],Table4[],2,0))</f>
        <v>HC</v>
      </c>
      <c r="L1975" s="125" t="s">
        <v>2563</v>
      </c>
      <c r="M1975" s="90">
        <v>45807.678356481483</v>
      </c>
      <c r="N1975" s="91">
        <v>45810</v>
      </c>
      <c r="O1975" s="91">
        <v>45810</v>
      </c>
      <c r="P1975" s="90" t="str">
        <f ca="1">IF(Proc[[#This Row],[DaysAgeing]]&gt;5,"yep","on track")</f>
        <v>on track</v>
      </c>
      <c r="Q1975" s="3">
        <f ca="1">IF(Proc[[#This Row],[DateClosed]]="",ABS(NETWORKDAYS(Proc[[#This Row],[DateOpened]],TODAY()))-1,ABS(NETWORKDAYS(Proc[[#This Row],[DateOpened]],Proc[[#This Row],[DateClosed]]))-1)</f>
        <v>1</v>
      </c>
      <c r="R1975" s="90" t="s">
        <v>1013</v>
      </c>
      <c r="S1975" s="94"/>
    </row>
    <row r="1976" spans="1:19" hidden="1">
      <c r="A1976" s="93" t="s">
        <v>3747</v>
      </c>
      <c r="B1976" s="149" t="str">
        <f>IFERROR(VLOOKUP(Proc[[#This Row],[App]],Table2[],3,0),"open")</f>
        <v>ok</v>
      </c>
      <c r="C1976" s="93" t="s">
        <v>369</v>
      </c>
      <c r="D1976" t="s">
        <v>3811</v>
      </c>
      <c r="E1976" t="s">
        <v>4068</v>
      </c>
      <c r="F1976" s="117" t="s">
        <v>4068</v>
      </c>
      <c r="G1976" s="93" t="s">
        <v>400</v>
      </c>
      <c r="H1976" s="94" t="str">
        <f>IF(Proc[[#This Row],[type]]="LFF (MDG-F)",MID(Proc[[#This Row],[Obj]],13,10),"")</f>
        <v/>
      </c>
      <c r="J1976" s="94" t="b">
        <f>Proc[[#This Row],[Requested]]=Proc[[#This Row],[CurrentParent]]</f>
        <v>1</v>
      </c>
      <c r="K1976" s="144" t="str">
        <f>IF(Proc[[#This Row],[Author]]="Marcela Urrego",VLOOKUP(LEFT(Proc[[#This Row],[Requested]],1),Table3[#All],2,0),VLOOKUP(Proc[[#This Row],[Author]],Table4[],2,0))</f>
        <v>HC</v>
      </c>
      <c r="L1976" s="125" t="s">
        <v>2563</v>
      </c>
      <c r="M1976" s="90">
        <v>45807.678356481483</v>
      </c>
      <c r="N1976" s="91">
        <v>45810</v>
      </c>
      <c r="O1976" s="91">
        <v>45810</v>
      </c>
      <c r="P1976" s="90" t="str">
        <f ca="1">IF(Proc[[#This Row],[DaysAgeing]]&gt;5,"yep","on track")</f>
        <v>on track</v>
      </c>
      <c r="Q1976" s="3">
        <f ca="1">IF(Proc[[#This Row],[DateClosed]]="",ABS(NETWORKDAYS(Proc[[#This Row],[DateOpened]],TODAY()))-1,ABS(NETWORKDAYS(Proc[[#This Row],[DateOpened]],Proc[[#This Row],[DateClosed]]))-1)</f>
        <v>1</v>
      </c>
      <c r="R1976" s="90" t="s">
        <v>1013</v>
      </c>
      <c r="S1976" s="94"/>
    </row>
    <row r="1977" spans="1:19" hidden="1">
      <c r="A1977" s="93" t="s">
        <v>3747</v>
      </c>
      <c r="B1977" s="149" t="str">
        <f>IFERROR(VLOOKUP(Proc[[#This Row],[App]],Table2[],3,0),"open")</f>
        <v>ok</v>
      </c>
      <c r="C1977" s="93" t="s">
        <v>369</v>
      </c>
      <c r="D1977" t="s">
        <v>3812</v>
      </c>
      <c r="E1977" t="s">
        <v>4068</v>
      </c>
      <c r="F1977" s="117" t="s">
        <v>4068</v>
      </c>
      <c r="G1977" s="93" t="s">
        <v>400</v>
      </c>
      <c r="H1977" s="94" t="str">
        <f>IF(Proc[[#This Row],[type]]="LFF (MDG-F)",MID(Proc[[#This Row],[Obj]],13,10),"")</f>
        <v/>
      </c>
      <c r="J1977" s="94" t="b">
        <f>Proc[[#This Row],[Requested]]=Proc[[#This Row],[CurrentParent]]</f>
        <v>1</v>
      </c>
      <c r="K1977" s="144" t="str">
        <f>IF(Proc[[#This Row],[Author]]="Marcela Urrego",VLOOKUP(LEFT(Proc[[#This Row],[Requested]],1),Table3[#All],2,0),VLOOKUP(Proc[[#This Row],[Author]],Table4[],2,0))</f>
        <v>HC</v>
      </c>
      <c r="L1977" s="125" t="s">
        <v>2563</v>
      </c>
      <c r="M1977" s="90">
        <v>45807.678356481483</v>
      </c>
      <c r="N1977" s="91">
        <v>45810</v>
      </c>
      <c r="O1977" s="91">
        <v>45810</v>
      </c>
      <c r="P1977" s="90" t="str">
        <f ca="1">IF(Proc[[#This Row],[DaysAgeing]]&gt;5,"yep","on track")</f>
        <v>on track</v>
      </c>
      <c r="Q1977" s="3">
        <f ca="1">IF(Proc[[#This Row],[DateClosed]]="",ABS(NETWORKDAYS(Proc[[#This Row],[DateOpened]],TODAY()))-1,ABS(NETWORKDAYS(Proc[[#This Row],[DateOpened]],Proc[[#This Row],[DateClosed]]))-1)</f>
        <v>1</v>
      </c>
      <c r="R1977" s="90" t="s">
        <v>1013</v>
      </c>
      <c r="S1977" s="94"/>
    </row>
    <row r="1978" spans="1:19" hidden="1">
      <c r="A1978" s="93" t="s">
        <v>3747</v>
      </c>
      <c r="B1978" s="149" t="str">
        <f>IFERROR(VLOOKUP(Proc[[#This Row],[App]],Table2[],3,0),"open")</f>
        <v>ok</v>
      </c>
      <c r="C1978" s="93" t="s">
        <v>369</v>
      </c>
      <c r="D1978" t="s">
        <v>3813</v>
      </c>
      <c r="E1978" t="s">
        <v>4068</v>
      </c>
      <c r="F1978" s="117" t="s">
        <v>4068</v>
      </c>
      <c r="G1978" s="93" t="s">
        <v>400</v>
      </c>
      <c r="H1978" s="94" t="str">
        <f>IF(Proc[[#This Row],[type]]="LFF (MDG-F)",MID(Proc[[#This Row],[Obj]],13,10),"")</f>
        <v/>
      </c>
      <c r="J1978" s="94" t="b">
        <f>Proc[[#This Row],[Requested]]=Proc[[#This Row],[CurrentParent]]</f>
        <v>1</v>
      </c>
      <c r="K1978" s="144" t="str">
        <f>IF(Proc[[#This Row],[Author]]="Marcela Urrego",VLOOKUP(LEFT(Proc[[#This Row],[Requested]],1),Table3[#All],2,0),VLOOKUP(Proc[[#This Row],[Author]],Table4[],2,0))</f>
        <v>HC</v>
      </c>
      <c r="L1978" s="125" t="s">
        <v>2563</v>
      </c>
      <c r="M1978" s="90">
        <v>45807.678356481483</v>
      </c>
      <c r="N1978" s="91">
        <v>45810</v>
      </c>
      <c r="O1978" s="91">
        <v>45810</v>
      </c>
      <c r="P1978" s="90" t="str">
        <f ca="1">IF(Proc[[#This Row],[DaysAgeing]]&gt;5,"yep","on track")</f>
        <v>on track</v>
      </c>
      <c r="Q1978" s="3">
        <f ca="1">IF(Proc[[#This Row],[DateClosed]]="",ABS(NETWORKDAYS(Proc[[#This Row],[DateOpened]],TODAY()))-1,ABS(NETWORKDAYS(Proc[[#This Row],[DateOpened]],Proc[[#This Row],[DateClosed]]))-1)</f>
        <v>1</v>
      </c>
      <c r="R1978" s="90" t="s">
        <v>1013</v>
      </c>
      <c r="S1978" s="94"/>
    </row>
    <row r="1979" spans="1:19" hidden="1">
      <c r="A1979" s="93" t="s">
        <v>3747</v>
      </c>
      <c r="B1979" s="149" t="str">
        <f>IFERROR(VLOOKUP(Proc[[#This Row],[App]],Table2[],3,0),"open")</f>
        <v>ok</v>
      </c>
      <c r="C1979" s="93" t="s">
        <v>369</v>
      </c>
      <c r="D1979" t="s">
        <v>3814</v>
      </c>
      <c r="E1979" t="s">
        <v>4068</v>
      </c>
      <c r="F1979" s="117" t="s">
        <v>4068</v>
      </c>
      <c r="G1979" s="93" t="s">
        <v>400</v>
      </c>
      <c r="H1979" s="94" t="str">
        <f>IF(Proc[[#This Row],[type]]="LFF (MDG-F)",MID(Proc[[#This Row],[Obj]],13,10),"")</f>
        <v/>
      </c>
      <c r="J1979" s="94" t="b">
        <f>Proc[[#This Row],[Requested]]=Proc[[#This Row],[CurrentParent]]</f>
        <v>1</v>
      </c>
      <c r="K1979" s="144" t="str">
        <f>IF(Proc[[#This Row],[Author]]="Marcela Urrego",VLOOKUP(LEFT(Proc[[#This Row],[Requested]],1),Table3[#All],2,0),VLOOKUP(Proc[[#This Row],[Author]],Table4[],2,0))</f>
        <v>HC</v>
      </c>
      <c r="L1979" s="125" t="s">
        <v>2563</v>
      </c>
      <c r="M1979" s="90">
        <v>45807.678356481483</v>
      </c>
      <c r="N1979" s="91">
        <v>45810</v>
      </c>
      <c r="O1979" s="91">
        <v>45810</v>
      </c>
      <c r="P1979" s="90" t="str">
        <f ca="1">IF(Proc[[#This Row],[DaysAgeing]]&gt;5,"yep","on track")</f>
        <v>on track</v>
      </c>
      <c r="Q1979" s="3">
        <f ca="1">IF(Proc[[#This Row],[DateClosed]]="",ABS(NETWORKDAYS(Proc[[#This Row],[DateOpened]],TODAY()))-1,ABS(NETWORKDAYS(Proc[[#This Row],[DateOpened]],Proc[[#This Row],[DateClosed]]))-1)</f>
        <v>1</v>
      </c>
      <c r="R1979" s="90" t="s">
        <v>1013</v>
      </c>
      <c r="S1979" s="94"/>
    </row>
    <row r="1980" spans="1:19" hidden="1">
      <c r="A1980" s="93" t="s">
        <v>3747</v>
      </c>
      <c r="B1980" s="149" t="str">
        <f>IFERROR(VLOOKUP(Proc[[#This Row],[App]],Table2[],3,0),"open")</f>
        <v>ok</v>
      </c>
      <c r="C1980" s="93" t="s">
        <v>369</v>
      </c>
      <c r="D1980" t="s">
        <v>3815</v>
      </c>
      <c r="E1980" t="s">
        <v>4068</v>
      </c>
      <c r="F1980" s="117" t="s">
        <v>4068</v>
      </c>
      <c r="G1980" s="93" t="s">
        <v>400</v>
      </c>
      <c r="H1980" s="94" t="str">
        <f>IF(Proc[[#This Row],[type]]="LFF (MDG-F)",MID(Proc[[#This Row],[Obj]],13,10),"")</f>
        <v/>
      </c>
      <c r="J1980" s="94" t="b">
        <f>Proc[[#This Row],[Requested]]=Proc[[#This Row],[CurrentParent]]</f>
        <v>1</v>
      </c>
      <c r="K1980" s="144" t="str">
        <f>IF(Proc[[#This Row],[Author]]="Marcela Urrego",VLOOKUP(LEFT(Proc[[#This Row],[Requested]],1),Table3[#All],2,0),VLOOKUP(Proc[[#This Row],[Author]],Table4[],2,0))</f>
        <v>HC</v>
      </c>
      <c r="L1980" s="125" t="s">
        <v>2563</v>
      </c>
      <c r="M1980" s="90">
        <v>45807.678356481483</v>
      </c>
      <c r="N1980" s="91">
        <v>45810</v>
      </c>
      <c r="O1980" s="91">
        <v>45810</v>
      </c>
      <c r="P1980" s="90" t="str">
        <f ca="1">IF(Proc[[#This Row],[DaysAgeing]]&gt;5,"yep","on track")</f>
        <v>on track</v>
      </c>
      <c r="Q1980" s="3">
        <f ca="1">IF(Proc[[#This Row],[DateClosed]]="",ABS(NETWORKDAYS(Proc[[#This Row],[DateOpened]],TODAY()))-1,ABS(NETWORKDAYS(Proc[[#This Row],[DateOpened]],Proc[[#This Row],[DateClosed]]))-1)</f>
        <v>1</v>
      </c>
      <c r="R1980" s="90" t="s">
        <v>1013</v>
      </c>
      <c r="S1980" s="94"/>
    </row>
    <row r="1981" spans="1:19" hidden="1">
      <c r="A1981" s="93" t="s">
        <v>3747</v>
      </c>
      <c r="B1981" s="149" t="str">
        <f>IFERROR(VLOOKUP(Proc[[#This Row],[App]],Table2[],3,0),"open")</f>
        <v>ok</v>
      </c>
      <c r="C1981" s="93" t="s">
        <v>369</v>
      </c>
      <c r="D1981" t="s">
        <v>3816</v>
      </c>
      <c r="E1981" t="s">
        <v>4068</v>
      </c>
      <c r="F1981" s="117" t="s">
        <v>4068</v>
      </c>
      <c r="G1981" s="93" t="s">
        <v>400</v>
      </c>
      <c r="H1981" s="94" t="str">
        <f>IF(Proc[[#This Row],[type]]="LFF (MDG-F)",MID(Proc[[#This Row],[Obj]],13,10),"")</f>
        <v/>
      </c>
      <c r="J1981" s="94" t="b">
        <f>Proc[[#This Row],[Requested]]=Proc[[#This Row],[CurrentParent]]</f>
        <v>1</v>
      </c>
      <c r="K1981" s="144" t="str">
        <f>IF(Proc[[#This Row],[Author]]="Marcela Urrego",VLOOKUP(LEFT(Proc[[#This Row],[Requested]],1),Table3[#All],2,0),VLOOKUP(Proc[[#This Row],[Author]],Table4[],2,0))</f>
        <v>HC</v>
      </c>
      <c r="L1981" s="125" t="s">
        <v>2563</v>
      </c>
      <c r="M1981" s="90">
        <v>45807.678356481483</v>
      </c>
      <c r="N1981" s="91">
        <v>45810</v>
      </c>
      <c r="O1981" s="91">
        <v>45810</v>
      </c>
      <c r="P1981" s="90" t="str">
        <f ca="1">IF(Proc[[#This Row],[DaysAgeing]]&gt;5,"yep","on track")</f>
        <v>on track</v>
      </c>
      <c r="Q1981" s="3">
        <f ca="1">IF(Proc[[#This Row],[DateClosed]]="",ABS(NETWORKDAYS(Proc[[#This Row],[DateOpened]],TODAY()))-1,ABS(NETWORKDAYS(Proc[[#This Row],[DateOpened]],Proc[[#This Row],[DateClosed]]))-1)</f>
        <v>1</v>
      </c>
      <c r="R1981" s="90" t="s">
        <v>1013</v>
      </c>
      <c r="S1981" s="94"/>
    </row>
    <row r="1982" spans="1:19" hidden="1">
      <c r="A1982" s="93" t="s">
        <v>3747</v>
      </c>
      <c r="B1982" s="149" t="str">
        <f>IFERROR(VLOOKUP(Proc[[#This Row],[App]],Table2[],3,0),"open")</f>
        <v>ok</v>
      </c>
      <c r="C1982" s="93" t="s">
        <v>369</v>
      </c>
      <c r="D1982" t="s">
        <v>3817</v>
      </c>
      <c r="E1982" t="s">
        <v>4068</v>
      </c>
      <c r="F1982" s="117" t="s">
        <v>4068</v>
      </c>
      <c r="G1982" s="93" t="s">
        <v>400</v>
      </c>
      <c r="H1982" s="94" t="str">
        <f>IF(Proc[[#This Row],[type]]="LFF (MDG-F)",MID(Proc[[#This Row],[Obj]],13,10),"")</f>
        <v/>
      </c>
      <c r="J1982" s="94" t="b">
        <f>Proc[[#This Row],[Requested]]=Proc[[#This Row],[CurrentParent]]</f>
        <v>1</v>
      </c>
      <c r="K1982" s="144" t="str">
        <f>IF(Proc[[#This Row],[Author]]="Marcela Urrego",VLOOKUP(LEFT(Proc[[#This Row],[Requested]],1),Table3[#All],2,0),VLOOKUP(Proc[[#This Row],[Author]],Table4[],2,0))</f>
        <v>HC</v>
      </c>
      <c r="L1982" s="125" t="s">
        <v>2563</v>
      </c>
      <c r="M1982" s="90">
        <v>45807.678356481483</v>
      </c>
      <c r="N1982" s="91">
        <v>45810</v>
      </c>
      <c r="O1982" s="91">
        <v>45810</v>
      </c>
      <c r="P1982" s="90" t="str">
        <f ca="1">IF(Proc[[#This Row],[DaysAgeing]]&gt;5,"yep","on track")</f>
        <v>on track</v>
      </c>
      <c r="Q1982" s="3">
        <f ca="1">IF(Proc[[#This Row],[DateClosed]]="",ABS(NETWORKDAYS(Proc[[#This Row],[DateOpened]],TODAY()))-1,ABS(NETWORKDAYS(Proc[[#This Row],[DateOpened]],Proc[[#This Row],[DateClosed]]))-1)</f>
        <v>1</v>
      </c>
      <c r="R1982" s="90" t="s">
        <v>1013</v>
      </c>
      <c r="S1982" s="94"/>
    </row>
    <row r="1983" spans="1:19" hidden="1">
      <c r="A1983" s="93" t="s">
        <v>3747</v>
      </c>
      <c r="B1983" s="149" t="str">
        <f>IFERROR(VLOOKUP(Proc[[#This Row],[App]],Table2[],3,0),"open")</f>
        <v>ok</v>
      </c>
      <c r="C1983" s="93" t="s">
        <v>369</v>
      </c>
      <c r="D1983" t="s">
        <v>3818</v>
      </c>
      <c r="E1983" t="s">
        <v>4068</v>
      </c>
      <c r="F1983" s="117" t="s">
        <v>4068</v>
      </c>
      <c r="G1983" s="93" t="s">
        <v>400</v>
      </c>
      <c r="H1983" s="94" t="str">
        <f>IF(Proc[[#This Row],[type]]="LFF (MDG-F)",MID(Proc[[#This Row],[Obj]],13,10),"")</f>
        <v/>
      </c>
      <c r="J1983" s="94" t="b">
        <f>Proc[[#This Row],[Requested]]=Proc[[#This Row],[CurrentParent]]</f>
        <v>1</v>
      </c>
      <c r="K1983" s="144" t="str">
        <f>IF(Proc[[#This Row],[Author]]="Marcela Urrego",VLOOKUP(LEFT(Proc[[#This Row],[Requested]],1),Table3[#All],2,0),VLOOKUP(Proc[[#This Row],[Author]],Table4[],2,0))</f>
        <v>HC</v>
      </c>
      <c r="L1983" s="125" t="s">
        <v>2563</v>
      </c>
      <c r="M1983" s="90">
        <v>45807.678356481483</v>
      </c>
      <c r="N1983" s="91">
        <v>45810</v>
      </c>
      <c r="O1983" s="91">
        <v>45810</v>
      </c>
      <c r="P1983" s="90" t="str">
        <f ca="1">IF(Proc[[#This Row],[DaysAgeing]]&gt;5,"yep","on track")</f>
        <v>on track</v>
      </c>
      <c r="Q1983" s="3">
        <f ca="1">IF(Proc[[#This Row],[DateClosed]]="",ABS(NETWORKDAYS(Proc[[#This Row],[DateOpened]],TODAY()))-1,ABS(NETWORKDAYS(Proc[[#This Row],[DateOpened]],Proc[[#This Row],[DateClosed]]))-1)</f>
        <v>1</v>
      </c>
      <c r="R1983" s="90" t="s">
        <v>1013</v>
      </c>
      <c r="S1983" s="94"/>
    </row>
    <row r="1984" spans="1:19" hidden="1">
      <c r="A1984" s="93" t="s">
        <v>3747</v>
      </c>
      <c r="B1984" s="149" t="str">
        <f>IFERROR(VLOOKUP(Proc[[#This Row],[App]],Table2[],3,0),"open")</f>
        <v>ok</v>
      </c>
      <c r="C1984" s="93" t="s">
        <v>369</v>
      </c>
      <c r="D1984" t="s">
        <v>3819</v>
      </c>
      <c r="E1984" t="s">
        <v>4068</v>
      </c>
      <c r="F1984" s="117" t="s">
        <v>4068</v>
      </c>
      <c r="G1984" s="93" t="s">
        <v>400</v>
      </c>
      <c r="H1984" s="94" t="str">
        <f>IF(Proc[[#This Row],[type]]="LFF (MDG-F)",MID(Proc[[#This Row],[Obj]],13,10),"")</f>
        <v/>
      </c>
      <c r="J1984" s="94" t="b">
        <f>Proc[[#This Row],[Requested]]=Proc[[#This Row],[CurrentParent]]</f>
        <v>1</v>
      </c>
      <c r="K1984" s="144" t="str">
        <f>IF(Proc[[#This Row],[Author]]="Marcela Urrego",VLOOKUP(LEFT(Proc[[#This Row],[Requested]],1),Table3[#All],2,0),VLOOKUP(Proc[[#This Row],[Author]],Table4[],2,0))</f>
        <v>HC</v>
      </c>
      <c r="L1984" s="125" t="s">
        <v>2563</v>
      </c>
      <c r="M1984" s="90">
        <v>45807.678356481483</v>
      </c>
      <c r="N1984" s="91">
        <v>45810</v>
      </c>
      <c r="O1984" s="91">
        <v>45810</v>
      </c>
      <c r="P1984" s="90" t="str">
        <f ca="1">IF(Proc[[#This Row],[DaysAgeing]]&gt;5,"yep","on track")</f>
        <v>on track</v>
      </c>
      <c r="Q1984" s="3">
        <f ca="1">IF(Proc[[#This Row],[DateClosed]]="",ABS(NETWORKDAYS(Proc[[#This Row],[DateOpened]],TODAY()))-1,ABS(NETWORKDAYS(Proc[[#This Row],[DateOpened]],Proc[[#This Row],[DateClosed]]))-1)</f>
        <v>1</v>
      </c>
      <c r="R1984" s="90" t="s">
        <v>1013</v>
      </c>
      <c r="S1984" s="94"/>
    </row>
    <row r="1985" spans="1:19" hidden="1">
      <c r="A1985" s="93" t="s">
        <v>3747</v>
      </c>
      <c r="B1985" s="149" t="str">
        <f>IFERROR(VLOOKUP(Proc[[#This Row],[App]],Table2[],3,0),"open")</f>
        <v>ok</v>
      </c>
      <c r="C1985" s="93" t="s">
        <v>369</v>
      </c>
      <c r="D1985" t="s">
        <v>3820</v>
      </c>
      <c r="E1985" t="s">
        <v>4068</v>
      </c>
      <c r="F1985" s="117" t="s">
        <v>4068</v>
      </c>
      <c r="G1985" s="93" t="s">
        <v>400</v>
      </c>
      <c r="H1985" s="94" t="str">
        <f>IF(Proc[[#This Row],[type]]="LFF (MDG-F)",MID(Proc[[#This Row],[Obj]],13,10),"")</f>
        <v/>
      </c>
      <c r="J1985" s="94" t="b">
        <f>Proc[[#This Row],[Requested]]=Proc[[#This Row],[CurrentParent]]</f>
        <v>1</v>
      </c>
      <c r="K1985" s="144" t="str">
        <f>IF(Proc[[#This Row],[Author]]="Marcela Urrego",VLOOKUP(LEFT(Proc[[#This Row],[Requested]],1),Table3[#All],2,0),VLOOKUP(Proc[[#This Row],[Author]],Table4[],2,0))</f>
        <v>HC</v>
      </c>
      <c r="L1985" s="125" t="s">
        <v>2563</v>
      </c>
      <c r="M1985" s="90">
        <v>45807.678356481483</v>
      </c>
      <c r="N1985" s="91">
        <v>45810</v>
      </c>
      <c r="O1985" s="91">
        <v>45810</v>
      </c>
      <c r="P1985" s="90" t="str">
        <f ca="1">IF(Proc[[#This Row],[DaysAgeing]]&gt;5,"yep","on track")</f>
        <v>on track</v>
      </c>
      <c r="Q1985" s="3">
        <f ca="1">IF(Proc[[#This Row],[DateClosed]]="",ABS(NETWORKDAYS(Proc[[#This Row],[DateOpened]],TODAY()))-1,ABS(NETWORKDAYS(Proc[[#This Row],[DateOpened]],Proc[[#This Row],[DateClosed]]))-1)</f>
        <v>1</v>
      </c>
      <c r="R1985" s="90" t="s">
        <v>1013</v>
      </c>
      <c r="S1985" s="94"/>
    </row>
    <row r="1986" spans="1:19" hidden="1">
      <c r="A1986" s="93" t="s">
        <v>3747</v>
      </c>
      <c r="B1986" s="149" t="str">
        <f>IFERROR(VLOOKUP(Proc[[#This Row],[App]],Table2[],3,0),"open")</f>
        <v>ok</v>
      </c>
      <c r="C1986" s="93" t="s">
        <v>369</v>
      </c>
      <c r="D1986" t="s">
        <v>3821</v>
      </c>
      <c r="E1986" t="s">
        <v>4068</v>
      </c>
      <c r="F1986" s="117" t="s">
        <v>4068</v>
      </c>
      <c r="G1986" s="93" t="s">
        <v>400</v>
      </c>
      <c r="H1986" s="94" t="str">
        <f>IF(Proc[[#This Row],[type]]="LFF (MDG-F)",MID(Proc[[#This Row],[Obj]],13,10),"")</f>
        <v/>
      </c>
      <c r="J1986" s="94" t="b">
        <f>Proc[[#This Row],[Requested]]=Proc[[#This Row],[CurrentParent]]</f>
        <v>1</v>
      </c>
      <c r="K1986" s="144" t="str">
        <f>IF(Proc[[#This Row],[Author]]="Marcela Urrego",VLOOKUP(LEFT(Proc[[#This Row],[Requested]],1),Table3[#All],2,0),VLOOKUP(Proc[[#This Row],[Author]],Table4[],2,0))</f>
        <v>HC</v>
      </c>
      <c r="L1986" s="125" t="s">
        <v>2563</v>
      </c>
      <c r="M1986" s="90">
        <v>45807.678356481483</v>
      </c>
      <c r="N1986" s="91">
        <v>45810</v>
      </c>
      <c r="O1986" s="91">
        <v>45810</v>
      </c>
      <c r="P1986" s="90" t="str">
        <f ca="1">IF(Proc[[#This Row],[DaysAgeing]]&gt;5,"yep","on track")</f>
        <v>on track</v>
      </c>
      <c r="Q1986" s="3">
        <f ca="1">IF(Proc[[#This Row],[DateClosed]]="",ABS(NETWORKDAYS(Proc[[#This Row],[DateOpened]],TODAY()))-1,ABS(NETWORKDAYS(Proc[[#This Row],[DateOpened]],Proc[[#This Row],[DateClosed]]))-1)</f>
        <v>1</v>
      </c>
      <c r="R1986" s="90" t="s">
        <v>1013</v>
      </c>
      <c r="S1986" s="94"/>
    </row>
    <row r="1987" spans="1:19" hidden="1">
      <c r="A1987" s="93" t="s">
        <v>3747</v>
      </c>
      <c r="B1987" s="149" t="str">
        <f>IFERROR(VLOOKUP(Proc[[#This Row],[App]],Table2[],3,0),"open")</f>
        <v>ok</v>
      </c>
      <c r="C1987" s="93" t="s">
        <v>369</v>
      </c>
      <c r="D1987" t="s">
        <v>3822</v>
      </c>
      <c r="E1987" t="s">
        <v>4068</v>
      </c>
      <c r="F1987" s="117" t="s">
        <v>4068</v>
      </c>
      <c r="G1987" s="93" t="s">
        <v>400</v>
      </c>
      <c r="H1987" s="94" t="str">
        <f>IF(Proc[[#This Row],[type]]="LFF (MDG-F)",MID(Proc[[#This Row],[Obj]],13,10),"")</f>
        <v/>
      </c>
      <c r="J1987" s="94" t="b">
        <f>Proc[[#This Row],[Requested]]=Proc[[#This Row],[CurrentParent]]</f>
        <v>1</v>
      </c>
      <c r="K1987" s="144" t="str">
        <f>IF(Proc[[#This Row],[Author]]="Marcela Urrego",VLOOKUP(LEFT(Proc[[#This Row],[Requested]],1),Table3[#All],2,0),VLOOKUP(Proc[[#This Row],[Author]],Table4[],2,0))</f>
        <v>HC</v>
      </c>
      <c r="L1987" s="125" t="s">
        <v>2563</v>
      </c>
      <c r="M1987" s="90">
        <v>45807.678356481483</v>
      </c>
      <c r="N1987" s="91">
        <v>45810</v>
      </c>
      <c r="O1987" s="91">
        <v>45810</v>
      </c>
      <c r="P1987" s="90" t="str">
        <f ca="1">IF(Proc[[#This Row],[DaysAgeing]]&gt;5,"yep","on track")</f>
        <v>on track</v>
      </c>
      <c r="Q1987" s="3">
        <f ca="1">IF(Proc[[#This Row],[DateClosed]]="",ABS(NETWORKDAYS(Proc[[#This Row],[DateOpened]],TODAY()))-1,ABS(NETWORKDAYS(Proc[[#This Row],[DateOpened]],Proc[[#This Row],[DateClosed]]))-1)</f>
        <v>1</v>
      </c>
      <c r="R1987" s="90" t="s">
        <v>1013</v>
      </c>
      <c r="S1987" s="94"/>
    </row>
    <row r="1988" spans="1:19" hidden="1">
      <c r="A1988" s="93" t="s">
        <v>3747</v>
      </c>
      <c r="B1988" s="149" t="str">
        <f>IFERROR(VLOOKUP(Proc[[#This Row],[App]],Table2[],3,0),"open")</f>
        <v>ok</v>
      </c>
      <c r="C1988" s="93" t="s">
        <v>369</v>
      </c>
      <c r="D1988" t="s">
        <v>3823</v>
      </c>
      <c r="E1988" t="s">
        <v>4068</v>
      </c>
      <c r="F1988" s="117" t="s">
        <v>4068</v>
      </c>
      <c r="G1988" s="93" t="s">
        <v>400</v>
      </c>
      <c r="H1988" s="94" t="str">
        <f>IF(Proc[[#This Row],[type]]="LFF (MDG-F)",MID(Proc[[#This Row],[Obj]],13,10),"")</f>
        <v/>
      </c>
      <c r="J1988" s="94" t="b">
        <f>Proc[[#This Row],[Requested]]=Proc[[#This Row],[CurrentParent]]</f>
        <v>1</v>
      </c>
      <c r="K1988" s="144" t="str">
        <f>IF(Proc[[#This Row],[Author]]="Marcela Urrego",VLOOKUP(LEFT(Proc[[#This Row],[Requested]],1),Table3[#All],2,0),VLOOKUP(Proc[[#This Row],[Author]],Table4[],2,0))</f>
        <v>HC</v>
      </c>
      <c r="L1988" s="125" t="s">
        <v>2563</v>
      </c>
      <c r="M1988" s="90">
        <v>45807.678356481483</v>
      </c>
      <c r="N1988" s="91">
        <v>45810</v>
      </c>
      <c r="O1988" s="91">
        <v>45810</v>
      </c>
      <c r="P1988" s="90" t="str">
        <f ca="1">IF(Proc[[#This Row],[DaysAgeing]]&gt;5,"yep","on track")</f>
        <v>on track</v>
      </c>
      <c r="Q1988" s="3">
        <f ca="1">IF(Proc[[#This Row],[DateClosed]]="",ABS(NETWORKDAYS(Proc[[#This Row],[DateOpened]],TODAY()))-1,ABS(NETWORKDAYS(Proc[[#This Row],[DateOpened]],Proc[[#This Row],[DateClosed]]))-1)</f>
        <v>1</v>
      </c>
      <c r="R1988" s="90" t="s">
        <v>1013</v>
      </c>
      <c r="S1988" s="94"/>
    </row>
    <row r="1989" spans="1:19" hidden="1">
      <c r="A1989" s="93" t="s">
        <v>3747</v>
      </c>
      <c r="B1989" s="149" t="str">
        <f>IFERROR(VLOOKUP(Proc[[#This Row],[App]],Table2[],3,0),"open")</f>
        <v>ok</v>
      </c>
      <c r="C1989" s="93" t="s">
        <v>369</v>
      </c>
      <c r="D1989" t="s">
        <v>3824</v>
      </c>
      <c r="E1989" t="s">
        <v>4068</v>
      </c>
      <c r="F1989" s="117" t="s">
        <v>4068</v>
      </c>
      <c r="G1989" s="93" t="s">
        <v>400</v>
      </c>
      <c r="H1989" s="94" t="str">
        <f>IF(Proc[[#This Row],[type]]="LFF (MDG-F)",MID(Proc[[#This Row],[Obj]],13,10),"")</f>
        <v/>
      </c>
      <c r="J1989" s="94" t="b">
        <f>Proc[[#This Row],[Requested]]=Proc[[#This Row],[CurrentParent]]</f>
        <v>1</v>
      </c>
      <c r="K1989" s="144" t="str">
        <f>IF(Proc[[#This Row],[Author]]="Marcela Urrego",VLOOKUP(LEFT(Proc[[#This Row],[Requested]],1),Table3[#All],2,0),VLOOKUP(Proc[[#This Row],[Author]],Table4[],2,0))</f>
        <v>HC</v>
      </c>
      <c r="L1989" s="125" t="s">
        <v>2563</v>
      </c>
      <c r="M1989" s="90">
        <v>45807.678356481483</v>
      </c>
      <c r="N1989" s="91">
        <v>45810</v>
      </c>
      <c r="O1989" s="91">
        <v>45810</v>
      </c>
      <c r="P1989" s="90" t="str">
        <f ca="1">IF(Proc[[#This Row],[DaysAgeing]]&gt;5,"yep","on track")</f>
        <v>on track</v>
      </c>
      <c r="Q1989" s="3">
        <f ca="1">IF(Proc[[#This Row],[DateClosed]]="",ABS(NETWORKDAYS(Proc[[#This Row],[DateOpened]],TODAY()))-1,ABS(NETWORKDAYS(Proc[[#This Row],[DateOpened]],Proc[[#This Row],[DateClosed]]))-1)</f>
        <v>1</v>
      </c>
      <c r="R1989" s="90" t="s">
        <v>1013</v>
      </c>
      <c r="S1989" s="94"/>
    </row>
    <row r="1990" spans="1:19" hidden="1">
      <c r="A1990" s="93" t="s">
        <v>3747</v>
      </c>
      <c r="B1990" s="149" t="str">
        <f>IFERROR(VLOOKUP(Proc[[#This Row],[App]],Table2[],3,0),"open")</f>
        <v>ok</v>
      </c>
      <c r="C1990" s="93" t="s">
        <v>369</v>
      </c>
      <c r="D1990" t="s">
        <v>3825</v>
      </c>
      <c r="E1990" t="s">
        <v>4068</v>
      </c>
      <c r="F1990" s="117" t="s">
        <v>4068</v>
      </c>
      <c r="G1990" s="93" t="s">
        <v>400</v>
      </c>
      <c r="H1990" s="94" t="str">
        <f>IF(Proc[[#This Row],[type]]="LFF (MDG-F)",MID(Proc[[#This Row],[Obj]],13,10),"")</f>
        <v/>
      </c>
      <c r="J1990" s="94" t="b">
        <f>Proc[[#This Row],[Requested]]=Proc[[#This Row],[CurrentParent]]</f>
        <v>1</v>
      </c>
      <c r="K1990" s="144" t="str">
        <f>IF(Proc[[#This Row],[Author]]="Marcela Urrego",VLOOKUP(LEFT(Proc[[#This Row],[Requested]],1),Table3[#All],2,0),VLOOKUP(Proc[[#This Row],[Author]],Table4[],2,0))</f>
        <v>HC</v>
      </c>
      <c r="L1990" s="125" t="s">
        <v>2563</v>
      </c>
      <c r="M1990" s="90">
        <v>45807.678356481483</v>
      </c>
      <c r="N1990" s="91">
        <v>45810</v>
      </c>
      <c r="O1990" s="91">
        <v>45810</v>
      </c>
      <c r="P1990" s="90" t="str">
        <f ca="1">IF(Proc[[#This Row],[DaysAgeing]]&gt;5,"yep","on track")</f>
        <v>on track</v>
      </c>
      <c r="Q1990" s="3">
        <f ca="1">IF(Proc[[#This Row],[DateClosed]]="",ABS(NETWORKDAYS(Proc[[#This Row],[DateOpened]],TODAY()))-1,ABS(NETWORKDAYS(Proc[[#This Row],[DateOpened]],Proc[[#This Row],[DateClosed]]))-1)</f>
        <v>1</v>
      </c>
      <c r="R1990" s="90" t="s">
        <v>1013</v>
      </c>
      <c r="S1990" s="94"/>
    </row>
    <row r="1991" spans="1:19" hidden="1">
      <c r="A1991" s="93" t="s">
        <v>3747</v>
      </c>
      <c r="B1991" s="149" t="str">
        <f>IFERROR(VLOOKUP(Proc[[#This Row],[App]],Table2[],3,0),"open")</f>
        <v>ok</v>
      </c>
      <c r="C1991" s="93" t="s">
        <v>369</v>
      </c>
      <c r="D1991" t="s">
        <v>3826</v>
      </c>
      <c r="E1991" t="s">
        <v>4068</v>
      </c>
      <c r="F1991" s="117" t="s">
        <v>4068</v>
      </c>
      <c r="G1991" s="93" t="s">
        <v>400</v>
      </c>
      <c r="H1991" s="94" t="str">
        <f>IF(Proc[[#This Row],[type]]="LFF (MDG-F)",MID(Proc[[#This Row],[Obj]],13,10),"")</f>
        <v/>
      </c>
      <c r="J1991" s="94" t="b">
        <f>Proc[[#This Row],[Requested]]=Proc[[#This Row],[CurrentParent]]</f>
        <v>1</v>
      </c>
      <c r="K1991" s="144" t="str">
        <f>IF(Proc[[#This Row],[Author]]="Marcela Urrego",VLOOKUP(LEFT(Proc[[#This Row],[Requested]],1),Table3[#All],2,0),VLOOKUP(Proc[[#This Row],[Author]],Table4[],2,0))</f>
        <v>HC</v>
      </c>
      <c r="L1991" s="125" t="s">
        <v>2563</v>
      </c>
      <c r="M1991" s="90">
        <v>45807.678356481483</v>
      </c>
      <c r="N1991" s="91">
        <v>45810</v>
      </c>
      <c r="O1991" s="91">
        <v>45810</v>
      </c>
      <c r="P1991" s="90" t="str">
        <f ca="1">IF(Proc[[#This Row],[DaysAgeing]]&gt;5,"yep","on track")</f>
        <v>on track</v>
      </c>
      <c r="Q1991" s="3">
        <f ca="1">IF(Proc[[#This Row],[DateClosed]]="",ABS(NETWORKDAYS(Proc[[#This Row],[DateOpened]],TODAY()))-1,ABS(NETWORKDAYS(Proc[[#This Row],[DateOpened]],Proc[[#This Row],[DateClosed]]))-1)</f>
        <v>1</v>
      </c>
      <c r="R1991" s="90" t="s">
        <v>1013</v>
      </c>
      <c r="S1991" s="94"/>
    </row>
    <row r="1992" spans="1:19" hidden="1">
      <c r="A1992" s="93" t="s">
        <v>3747</v>
      </c>
      <c r="B1992" s="149" t="str">
        <f>IFERROR(VLOOKUP(Proc[[#This Row],[App]],Table2[],3,0),"open")</f>
        <v>ok</v>
      </c>
      <c r="C1992" s="93" t="s">
        <v>369</v>
      </c>
      <c r="D1992" t="s">
        <v>3827</v>
      </c>
      <c r="E1992" t="s">
        <v>4068</v>
      </c>
      <c r="F1992" s="117" t="s">
        <v>4068</v>
      </c>
      <c r="G1992" s="93" t="s">
        <v>400</v>
      </c>
      <c r="H1992" s="94" t="str">
        <f>IF(Proc[[#This Row],[type]]="LFF (MDG-F)",MID(Proc[[#This Row],[Obj]],13,10),"")</f>
        <v/>
      </c>
      <c r="J1992" s="94" t="b">
        <f>Proc[[#This Row],[Requested]]=Proc[[#This Row],[CurrentParent]]</f>
        <v>1</v>
      </c>
      <c r="K1992" s="144" t="str">
        <f>IF(Proc[[#This Row],[Author]]="Marcela Urrego",VLOOKUP(LEFT(Proc[[#This Row],[Requested]],1),Table3[#All],2,0),VLOOKUP(Proc[[#This Row],[Author]],Table4[],2,0))</f>
        <v>HC</v>
      </c>
      <c r="L1992" s="125" t="s">
        <v>2563</v>
      </c>
      <c r="M1992" s="90">
        <v>45807.678356481483</v>
      </c>
      <c r="N1992" s="91">
        <v>45810</v>
      </c>
      <c r="O1992" s="91">
        <v>45810</v>
      </c>
      <c r="P1992" s="90" t="str">
        <f ca="1">IF(Proc[[#This Row],[DaysAgeing]]&gt;5,"yep","on track")</f>
        <v>on track</v>
      </c>
      <c r="Q1992" s="3">
        <f ca="1">IF(Proc[[#This Row],[DateClosed]]="",ABS(NETWORKDAYS(Proc[[#This Row],[DateOpened]],TODAY()))-1,ABS(NETWORKDAYS(Proc[[#This Row],[DateOpened]],Proc[[#This Row],[DateClosed]]))-1)</f>
        <v>1</v>
      </c>
      <c r="R1992" s="90" t="s">
        <v>1013</v>
      </c>
      <c r="S1992" s="94"/>
    </row>
    <row r="1993" spans="1:19" hidden="1">
      <c r="A1993" s="93" t="s">
        <v>3747</v>
      </c>
      <c r="B1993" s="149" t="str">
        <f>IFERROR(VLOOKUP(Proc[[#This Row],[App]],Table2[],3,0),"open")</f>
        <v>ok</v>
      </c>
      <c r="C1993" s="93" t="s">
        <v>369</v>
      </c>
      <c r="D1993" t="s">
        <v>3828</v>
      </c>
      <c r="E1993" t="s">
        <v>4068</v>
      </c>
      <c r="F1993" s="117" t="s">
        <v>4068</v>
      </c>
      <c r="G1993" s="93" t="s">
        <v>400</v>
      </c>
      <c r="H1993" s="94" t="str">
        <f>IF(Proc[[#This Row],[type]]="LFF (MDG-F)",MID(Proc[[#This Row],[Obj]],13,10),"")</f>
        <v/>
      </c>
      <c r="J1993" s="94" t="b">
        <f>Proc[[#This Row],[Requested]]=Proc[[#This Row],[CurrentParent]]</f>
        <v>1</v>
      </c>
      <c r="K1993" s="144" t="str">
        <f>IF(Proc[[#This Row],[Author]]="Marcela Urrego",VLOOKUP(LEFT(Proc[[#This Row],[Requested]],1),Table3[#All],2,0),VLOOKUP(Proc[[#This Row],[Author]],Table4[],2,0))</f>
        <v>HC</v>
      </c>
      <c r="L1993" s="125" t="s">
        <v>2563</v>
      </c>
      <c r="M1993" s="90">
        <v>45807.678356481483</v>
      </c>
      <c r="N1993" s="91">
        <v>45810</v>
      </c>
      <c r="O1993" s="91">
        <v>45810</v>
      </c>
      <c r="P1993" s="90" t="str">
        <f ca="1">IF(Proc[[#This Row],[DaysAgeing]]&gt;5,"yep","on track")</f>
        <v>on track</v>
      </c>
      <c r="Q1993" s="3">
        <f ca="1">IF(Proc[[#This Row],[DateClosed]]="",ABS(NETWORKDAYS(Proc[[#This Row],[DateOpened]],TODAY()))-1,ABS(NETWORKDAYS(Proc[[#This Row],[DateOpened]],Proc[[#This Row],[DateClosed]]))-1)</f>
        <v>1</v>
      </c>
      <c r="R1993" s="90" t="s">
        <v>1013</v>
      </c>
      <c r="S1993" s="94"/>
    </row>
    <row r="1994" spans="1:19" hidden="1">
      <c r="A1994" s="93" t="s">
        <v>3747</v>
      </c>
      <c r="B1994" s="149" t="str">
        <f>IFERROR(VLOOKUP(Proc[[#This Row],[App]],Table2[],3,0),"open")</f>
        <v>ok</v>
      </c>
      <c r="C1994" s="93" t="s">
        <v>369</v>
      </c>
      <c r="D1994" t="s">
        <v>3829</v>
      </c>
      <c r="E1994" t="s">
        <v>4068</v>
      </c>
      <c r="F1994" s="117" t="s">
        <v>4068</v>
      </c>
      <c r="G1994" s="93" t="s">
        <v>400</v>
      </c>
      <c r="H1994" s="94" t="str">
        <f>IF(Proc[[#This Row],[type]]="LFF (MDG-F)",MID(Proc[[#This Row],[Obj]],13,10),"")</f>
        <v/>
      </c>
      <c r="J1994" s="94" t="b">
        <f>Proc[[#This Row],[Requested]]=Proc[[#This Row],[CurrentParent]]</f>
        <v>1</v>
      </c>
      <c r="K1994" s="144" t="str">
        <f>IF(Proc[[#This Row],[Author]]="Marcela Urrego",VLOOKUP(LEFT(Proc[[#This Row],[Requested]],1),Table3[#All],2,0),VLOOKUP(Proc[[#This Row],[Author]],Table4[],2,0))</f>
        <v>HC</v>
      </c>
      <c r="L1994" s="125" t="s">
        <v>2563</v>
      </c>
      <c r="M1994" s="90">
        <v>45807.678356481483</v>
      </c>
      <c r="N1994" s="91">
        <v>45810</v>
      </c>
      <c r="O1994" s="91">
        <v>45810</v>
      </c>
      <c r="P1994" s="90" t="str">
        <f ca="1">IF(Proc[[#This Row],[DaysAgeing]]&gt;5,"yep","on track")</f>
        <v>on track</v>
      </c>
      <c r="Q1994" s="3">
        <f ca="1">IF(Proc[[#This Row],[DateClosed]]="",ABS(NETWORKDAYS(Proc[[#This Row],[DateOpened]],TODAY()))-1,ABS(NETWORKDAYS(Proc[[#This Row],[DateOpened]],Proc[[#This Row],[DateClosed]]))-1)</f>
        <v>1</v>
      </c>
      <c r="R1994" s="90" t="s">
        <v>1013</v>
      </c>
      <c r="S1994" s="94"/>
    </row>
    <row r="1995" spans="1:19" hidden="1">
      <c r="A1995" s="93" t="s">
        <v>3747</v>
      </c>
      <c r="B1995" s="149" t="str">
        <f>IFERROR(VLOOKUP(Proc[[#This Row],[App]],Table2[],3,0),"open")</f>
        <v>ok</v>
      </c>
      <c r="C1995" s="93" t="s">
        <v>369</v>
      </c>
      <c r="D1995" t="s">
        <v>3830</v>
      </c>
      <c r="E1995" t="s">
        <v>2274</v>
      </c>
      <c r="F1995" s="117" t="s">
        <v>2274</v>
      </c>
      <c r="G1995" s="93" t="s">
        <v>400</v>
      </c>
      <c r="H1995" s="94" t="str">
        <f>IF(Proc[[#This Row],[type]]="LFF (MDG-F)",MID(Proc[[#This Row],[Obj]],13,10),"")</f>
        <v/>
      </c>
      <c r="J1995" s="94" t="b">
        <f>Proc[[#This Row],[Requested]]=Proc[[#This Row],[CurrentParent]]</f>
        <v>1</v>
      </c>
      <c r="K1995" s="144" t="str">
        <f>IF(Proc[[#This Row],[Author]]="Marcela Urrego",VLOOKUP(LEFT(Proc[[#This Row],[Requested]],1),Table3[#All],2,0),VLOOKUP(Proc[[#This Row],[Author]],Table4[],2,0))</f>
        <v>HC</v>
      </c>
      <c r="L1995" s="125" t="s">
        <v>2563</v>
      </c>
      <c r="M1995" s="90">
        <v>45807.678356481483</v>
      </c>
      <c r="N1995" s="91">
        <v>45810</v>
      </c>
      <c r="O1995" s="91">
        <v>45810</v>
      </c>
      <c r="P1995" s="90" t="str">
        <f ca="1">IF(Proc[[#This Row],[DaysAgeing]]&gt;5,"yep","on track")</f>
        <v>on track</v>
      </c>
      <c r="Q1995" s="3">
        <f ca="1">IF(Proc[[#This Row],[DateClosed]]="",ABS(NETWORKDAYS(Proc[[#This Row],[DateOpened]],TODAY()))-1,ABS(NETWORKDAYS(Proc[[#This Row],[DateOpened]],Proc[[#This Row],[DateClosed]]))-1)</f>
        <v>1</v>
      </c>
      <c r="R1995" s="90" t="s">
        <v>1013</v>
      </c>
      <c r="S1995" s="94"/>
    </row>
    <row r="1996" spans="1:19" hidden="1">
      <c r="A1996" s="93" t="s">
        <v>3747</v>
      </c>
      <c r="B1996" s="149" t="str">
        <f>IFERROR(VLOOKUP(Proc[[#This Row],[App]],Table2[],3,0),"open")</f>
        <v>ok</v>
      </c>
      <c r="C1996" s="93" t="s">
        <v>369</v>
      </c>
      <c r="D1996" t="s">
        <v>3831</v>
      </c>
      <c r="E1996" t="s">
        <v>2274</v>
      </c>
      <c r="F1996" s="117" t="s">
        <v>2274</v>
      </c>
      <c r="G1996" s="93" t="s">
        <v>400</v>
      </c>
      <c r="H1996" s="94" t="str">
        <f>IF(Proc[[#This Row],[type]]="LFF (MDG-F)",MID(Proc[[#This Row],[Obj]],13,10),"")</f>
        <v/>
      </c>
      <c r="J1996" s="94" t="b">
        <f>Proc[[#This Row],[Requested]]=Proc[[#This Row],[CurrentParent]]</f>
        <v>1</v>
      </c>
      <c r="K1996" s="144" t="str">
        <f>IF(Proc[[#This Row],[Author]]="Marcela Urrego",VLOOKUP(LEFT(Proc[[#This Row],[Requested]],1),Table3[#All],2,0),VLOOKUP(Proc[[#This Row],[Author]],Table4[],2,0))</f>
        <v>HC</v>
      </c>
      <c r="L1996" s="125" t="s">
        <v>2563</v>
      </c>
      <c r="M1996" s="90">
        <v>45807.678356481483</v>
      </c>
      <c r="N1996" s="91">
        <v>45810</v>
      </c>
      <c r="O1996" s="91">
        <v>45810</v>
      </c>
      <c r="P1996" s="90" t="str">
        <f ca="1">IF(Proc[[#This Row],[DaysAgeing]]&gt;5,"yep","on track")</f>
        <v>on track</v>
      </c>
      <c r="Q1996" s="3">
        <f ca="1">IF(Proc[[#This Row],[DateClosed]]="",ABS(NETWORKDAYS(Proc[[#This Row],[DateOpened]],TODAY()))-1,ABS(NETWORKDAYS(Proc[[#This Row],[DateOpened]],Proc[[#This Row],[DateClosed]]))-1)</f>
        <v>1</v>
      </c>
      <c r="R1996" s="90" t="s">
        <v>1013</v>
      </c>
      <c r="S1996" s="94"/>
    </row>
    <row r="1997" spans="1:19" hidden="1">
      <c r="A1997" s="93" t="s">
        <v>3747</v>
      </c>
      <c r="B1997" s="149" t="str">
        <f>IFERROR(VLOOKUP(Proc[[#This Row],[App]],Table2[],3,0),"open")</f>
        <v>ok</v>
      </c>
      <c r="C1997" s="93" t="s">
        <v>369</v>
      </c>
      <c r="D1997" t="s">
        <v>3832</v>
      </c>
      <c r="E1997" t="s">
        <v>2274</v>
      </c>
      <c r="F1997" s="117" t="s">
        <v>2274</v>
      </c>
      <c r="G1997" s="93" t="s">
        <v>400</v>
      </c>
      <c r="H1997" s="94" t="str">
        <f>IF(Proc[[#This Row],[type]]="LFF (MDG-F)",MID(Proc[[#This Row],[Obj]],13,10),"")</f>
        <v/>
      </c>
      <c r="J1997" s="94" t="b">
        <f>Proc[[#This Row],[Requested]]=Proc[[#This Row],[CurrentParent]]</f>
        <v>1</v>
      </c>
      <c r="K1997" s="144" t="str">
        <f>IF(Proc[[#This Row],[Author]]="Marcela Urrego",VLOOKUP(LEFT(Proc[[#This Row],[Requested]],1),Table3[#All],2,0),VLOOKUP(Proc[[#This Row],[Author]],Table4[],2,0))</f>
        <v>HC</v>
      </c>
      <c r="L1997" s="125" t="s">
        <v>2563</v>
      </c>
      <c r="M1997" s="90">
        <v>45807.678356481483</v>
      </c>
      <c r="N1997" s="91">
        <v>45810</v>
      </c>
      <c r="O1997" s="91">
        <v>45810</v>
      </c>
      <c r="P1997" s="90" t="str">
        <f ca="1">IF(Proc[[#This Row],[DaysAgeing]]&gt;5,"yep","on track")</f>
        <v>on track</v>
      </c>
      <c r="Q1997" s="3">
        <f ca="1">IF(Proc[[#This Row],[DateClosed]]="",ABS(NETWORKDAYS(Proc[[#This Row],[DateOpened]],TODAY()))-1,ABS(NETWORKDAYS(Proc[[#This Row],[DateOpened]],Proc[[#This Row],[DateClosed]]))-1)</f>
        <v>1</v>
      </c>
      <c r="R1997" s="90" t="s">
        <v>1013</v>
      </c>
      <c r="S1997" s="94"/>
    </row>
    <row r="1998" spans="1:19" hidden="1">
      <c r="A1998" s="93" t="s">
        <v>3747</v>
      </c>
      <c r="B1998" s="149" t="str">
        <f>IFERROR(VLOOKUP(Proc[[#This Row],[App]],Table2[],3,0),"open")</f>
        <v>ok</v>
      </c>
      <c r="C1998" s="93" t="s">
        <v>369</v>
      </c>
      <c r="D1998" t="s">
        <v>3833</v>
      </c>
      <c r="E1998" t="s">
        <v>4068</v>
      </c>
      <c r="F1998" s="117" t="s">
        <v>4068</v>
      </c>
      <c r="G1998" s="93" t="s">
        <v>400</v>
      </c>
      <c r="H1998" s="94" t="str">
        <f>IF(Proc[[#This Row],[type]]="LFF (MDG-F)",MID(Proc[[#This Row],[Obj]],13,10),"")</f>
        <v/>
      </c>
      <c r="J1998" s="94" t="b">
        <f>Proc[[#This Row],[Requested]]=Proc[[#This Row],[CurrentParent]]</f>
        <v>1</v>
      </c>
      <c r="K1998" s="144" t="str">
        <f>IF(Proc[[#This Row],[Author]]="Marcela Urrego",VLOOKUP(LEFT(Proc[[#This Row],[Requested]],1),Table3[#All],2,0),VLOOKUP(Proc[[#This Row],[Author]],Table4[],2,0))</f>
        <v>HC</v>
      </c>
      <c r="L1998" s="125" t="s">
        <v>2563</v>
      </c>
      <c r="M1998" s="90">
        <v>45807.678356481483</v>
      </c>
      <c r="N1998" s="91">
        <v>45810</v>
      </c>
      <c r="O1998" s="91">
        <v>45810</v>
      </c>
      <c r="P1998" s="90" t="str">
        <f ca="1">IF(Proc[[#This Row],[DaysAgeing]]&gt;5,"yep","on track")</f>
        <v>on track</v>
      </c>
      <c r="Q1998" s="3">
        <f ca="1">IF(Proc[[#This Row],[DateClosed]]="",ABS(NETWORKDAYS(Proc[[#This Row],[DateOpened]],TODAY()))-1,ABS(NETWORKDAYS(Proc[[#This Row],[DateOpened]],Proc[[#This Row],[DateClosed]]))-1)</f>
        <v>1</v>
      </c>
      <c r="R1998" s="90" t="s">
        <v>1013</v>
      </c>
      <c r="S1998" s="94"/>
    </row>
    <row r="1999" spans="1:19" hidden="1">
      <c r="A1999" s="93" t="s">
        <v>3747</v>
      </c>
      <c r="B1999" s="149" t="str">
        <f>IFERROR(VLOOKUP(Proc[[#This Row],[App]],Table2[],3,0),"open")</f>
        <v>ok</v>
      </c>
      <c r="C1999" s="93" t="s">
        <v>369</v>
      </c>
      <c r="D1999" t="s">
        <v>3834</v>
      </c>
      <c r="E1999" t="s">
        <v>4068</v>
      </c>
      <c r="F1999" s="117" t="s">
        <v>4068</v>
      </c>
      <c r="G1999" s="93" t="s">
        <v>400</v>
      </c>
      <c r="H1999" s="94" t="str">
        <f>IF(Proc[[#This Row],[type]]="LFF (MDG-F)",MID(Proc[[#This Row],[Obj]],13,10),"")</f>
        <v/>
      </c>
      <c r="J1999" s="94" t="b">
        <f>Proc[[#This Row],[Requested]]=Proc[[#This Row],[CurrentParent]]</f>
        <v>1</v>
      </c>
      <c r="K1999" s="144" t="str">
        <f>IF(Proc[[#This Row],[Author]]="Marcela Urrego",VLOOKUP(LEFT(Proc[[#This Row],[Requested]],1),Table3[#All],2,0),VLOOKUP(Proc[[#This Row],[Author]],Table4[],2,0))</f>
        <v>HC</v>
      </c>
      <c r="L1999" s="125" t="s">
        <v>2563</v>
      </c>
      <c r="M1999" s="90">
        <v>45807.678356481483</v>
      </c>
      <c r="N1999" s="91">
        <v>45810</v>
      </c>
      <c r="O1999" s="91">
        <v>45810</v>
      </c>
      <c r="P1999" s="90" t="str">
        <f ca="1">IF(Proc[[#This Row],[DaysAgeing]]&gt;5,"yep","on track")</f>
        <v>on track</v>
      </c>
      <c r="Q1999" s="3">
        <f ca="1">IF(Proc[[#This Row],[DateClosed]]="",ABS(NETWORKDAYS(Proc[[#This Row],[DateOpened]],TODAY()))-1,ABS(NETWORKDAYS(Proc[[#This Row],[DateOpened]],Proc[[#This Row],[DateClosed]]))-1)</f>
        <v>1</v>
      </c>
      <c r="R1999" s="90" t="s">
        <v>1013</v>
      </c>
      <c r="S1999" s="94"/>
    </row>
    <row r="2000" spans="1:19" hidden="1">
      <c r="A2000" s="93" t="s">
        <v>3747</v>
      </c>
      <c r="B2000" s="149" t="str">
        <f>IFERROR(VLOOKUP(Proc[[#This Row],[App]],Table2[],3,0),"open")</f>
        <v>ok</v>
      </c>
      <c r="C2000" s="93" t="s">
        <v>369</v>
      </c>
      <c r="D2000" t="s">
        <v>3835</v>
      </c>
      <c r="E2000" t="s">
        <v>4068</v>
      </c>
      <c r="F2000" s="117" t="s">
        <v>4068</v>
      </c>
      <c r="G2000" s="93" t="s">
        <v>400</v>
      </c>
      <c r="H2000" s="94" t="str">
        <f>IF(Proc[[#This Row],[type]]="LFF (MDG-F)",MID(Proc[[#This Row],[Obj]],13,10),"")</f>
        <v/>
      </c>
      <c r="J2000" s="94" t="b">
        <f>Proc[[#This Row],[Requested]]=Proc[[#This Row],[CurrentParent]]</f>
        <v>1</v>
      </c>
      <c r="K2000" s="144" t="str">
        <f>IF(Proc[[#This Row],[Author]]="Marcela Urrego",VLOOKUP(LEFT(Proc[[#This Row],[Requested]],1),Table3[#All],2,0),VLOOKUP(Proc[[#This Row],[Author]],Table4[],2,0))</f>
        <v>HC</v>
      </c>
      <c r="L2000" s="125" t="s">
        <v>2563</v>
      </c>
      <c r="M2000" s="90">
        <v>45807.678356481483</v>
      </c>
      <c r="N2000" s="91">
        <v>45810</v>
      </c>
      <c r="O2000" s="91">
        <v>45810</v>
      </c>
      <c r="P2000" s="90" t="str">
        <f ca="1">IF(Proc[[#This Row],[DaysAgeing]]&gt;5,"yep","on track")</f>
        <v>on track</v>
      </c>
      <c r="Q2000" s="3">
        <f ca="1">IF(Proc[[#This Row],[DateClosed]]="",ABS(NETWORKDAYS(Proc[[#This Row],[DateOpened]],TODAY()))-1,ABS(NETWORKDAYS(Proc[[#This Row],[DateOpened]],Proc[[#This Row],[DateClosed]]))-1)</f>
        <v>1</v>
      </c>
      <c r="R2000" s="90" t="s">
        <v>1013</v>
      </c>
      <c r="S2000" s="94"/>
    </row>
    <row r="2001" spans="1:19" hidden="1">
      <c r="A2001" s="93" t="s">
        <v>3747</v>
      </c>
      <c r="B2001" s="149" t="str">
        <f>IFERROR(VLOOKUP(Proc[[#This Row],[App]],Table2[],3,0),"open")</f>
        <v>ok</v>
      </c>
      <c r="C2001" s="93" t="s">
        <v>369</v>
      </c>
      <c r="D2001" t="s">
        <v>3836</v>
      </c>
      <c r="E2001" t="s">
        <v>4068</v>
      </c>
      <c r="F2001" s="117" t="s">
        <v>4068</v>
      </c>
      <c r="G2001" s="93" t="s">
        <v>400</v>
      </c>
      <c r="H2001" s="94" t="str">
        <f>IF(Proc[[#This Row],[type]]="LFF (MDG-F)",MID(Proc[[#This Row],[Obj]],13,10),"")</f>
        <v/>
      </c>
      <c r="J2001" s="94" t="b">
        <f>Proc[[#This Row],[Requested]]=Proc[[#This Row],[CurrentParent]]</f>
        <v>1</v>
      </c>
      <c r="K2001" s="144" t="str">
        <f>IF(Proc[[#This Row],[Author]]="Marcela Urrego",VLOOKUP(LEFT(Proc[[#This Row],[Requested]],1),Table3[#All],2,0),VLOOKUP(Proc[[#This Row],[Author]],Table4[],2,0))</f>
        <v>HC</v>
      </c>
      <c r="L2001" s="125" t="s">
        <v>2563</v>
      </c>
      <c r="M2001" s="90">
        <v>45807.678356481483</v>
      </c>
      <c r="N2001" s="91">
        <v>45810</v>
      </c>
      <c r="O2001" s="91">
        <v>45810</v>
      </c>
      <c r="P2001" s="90" t="str">
        <f ca="1">IF(Proc[[#This Row],[DaysAgeing]]&gt;5,"yep","on track")</f>
        <v>on track</v>
      </c>
      <c r="Q2001" s="3">
        <f ca="1">IF(Proc[[#This Row],[DateClosed]]="",ABS(NETWORKDAYS(Proc[[#This Row],[DateOpened]],TODAY()))-1,ABS(NETWORKDAYS(Proc[[#This Row],[DateOpened]],Proc[[#This Row],[DateClosed]]))-1)</f>
        <v>1</v>
      </c>
      <c r="R2001" s="90" t="s">
        <v>1013</v>
      </c>
      <c r="S2001" s="94"/>
    </row>
    <row r="2002" spans="1:19" hidden="1">
      <c r="A2002" s="93" t="s">
        <v>3747</v>
      </c>
      <c r="B2002" s="149" t="str">
        <f>IFERROR(VLOOKUP(Proc[[#This Row],[App]],Table2[],3,0),"open")</f>
        <v>ok</v>
      </c>
      <c r="C2002" s="93" t="s">
        <v>369</v>
      </c>
      <c r="D2002" t="s">
        <v>3837</v>
      </c>
      <c r="E2002" t="s">
        <v>4068</v>
      </c>
      <c r="F2002" s="117" t="s">
        <v>4068</v>
      </c>
      <c r="G2002" s="93" t="s">
        <v>400</v>
      </c>
      <c r="H2002" s="94" t="str">
        <f>IF(Proc[[#This Row],[type]]="LFF (MDG-F)",MID(Proc[[#This Row],[Obj]],13,10),"")</f>
        <v/>
      </c>
      <c r="J2002" s="94" t="b">
        <f>Proc[[#This Row],[Requested]]=Proc[[#This Row],[CurrentParent]]</f>
        <v>1</v>
      </c>
      <c r="K2002" s="144" t="str">
        <f>IF(Proc[[#This Row],[Author]]="Marcela Urrego",VLOOKUP(LEFT(Proc[[#This Row],[Requested]],1),Table3[#All],2,0),VLOOKUP(Proc[[#This Row],[Author]],Table4[],2,0))</f>
        <v>HC</v>
      </c>
      <c r="L2002" s="125" t="s">
        <v>2563</v>
      </c>
      <c r="M2002" s="90">
        <v>45807.678356481483</v>
      </c>
      <c r="N2002" s="91">
        <v>45810</v>
      </c>
      <c r="O2002" s="91">
        <v>45810</v>
      </c>
      <c r="P2002" s="90" t="str">
        <f ca="1">IF(Proc[[#This Row],[DaysAgeing]]&gt;5,"yep","on track")</f>
        <v>on track</v>
      </c>
      <c r="Q2002" s="3">
        <f ca="1">IF(Proc[[#This Row],[DateClosed]]="",ABS(NETWORKDAYS(Proc[[#This Row],[DateOpened]],TODAY()))-1,ABS(NETWORKDAYS(Proc[[#This Row],[DateOpened]],Proc[[#This Row],[DateClosed]]))-1)</f>
        <v>1</v>
      </c>
      <c r="R2002" s="90" t="s">
        <v>1013</v>
      </c>
      <c r="S2002" s="94"/>
    </row>
    <row r="2003" spans="1:19" hidden="1">
      <c r="A2003" s="93" t="s">
        <v>3747</v>
      </c>
      <c r="B2003" s="149" t="str">
        <f>IFERROR(VLOOKUP(Proc[[#This Row],[App]],Table2[],3,0),"open")</f>
        <v>ok</v>
      </c>
      <c r="C2003" s="93" t="s">
        <v>369</v>
      </c>
      <c r="D2003" t="s">
        <v>3838</v>
      </c>
      <c r="E2003" t="s">
        <v>4068</v>
      </c>
      <c r="F2003" s="117" t="s">
        <v>4068</v>
      </c>
      <c r="G2003" s="93" t="s">
        <v>400</v>
      </c>
      <c r="H2003" s="94" t="str">
        <f>IF(Proc[[#This Row],[type]]="LFF (MDG-F)",MID(Proc[[#This Row],[Obj]],13,10),"")</f>
        <v/>
      </c>
      <c r="J2003" s="94" t="b">
        <f>Proc[[#This Row],[Requested]]=Proc[[#This Row],[CurrentParent]]</f>
        <v>1</v>
      </c>
      <c r="K2003" s="144" t="str">
        <f>IF(Proc[[#This Row],[Author]]="Marcela Urrego",VLOOKUP(LEFT(Proc[[#This Row],[Requested]],1),Table3[#All],2,0),VLOOKUP(Proc[[#This Row],[Author]],Table4[],2,0))</f>
        <v>HC</v>
      </c>
      <c r="L2003" s="125" t="s">
        <v>2563</v>
      </c>
      <c r="M2003" s="90">
        <v>45807.678356481483</v>
      </c>
      <c r="N2003" s="91">
        <v>45810</v>
      </c>
      <c r="O2003" s="91">
        <v>45810</v>
      </c>
      <c r="P2003" s="90" t="str">
        <f ca="1">IF(Proc[[#This Row],[DaysAgeing]]&gt;5,"yep","on track")</f>
        <v>on track</v>
      </c>
      <c r="Q2003" s="3">
        <f ca="1">IF(Proc[[#This Row],[DateClosed]]="",ABS(NETWORKDAYS(Proc[[#This Row],[DateOpened]],TODAY()))-1,ABS(NETWORKDAYS(Proc[[#This Row],[DateOpened]],Proc[[#This Row],[DateClosed]]))-1)</f>
        <v>1</v>
      </c>
      <c r="R2003" s="90" t="s">
        <v>1013</v>
      </c>
      <c r="S2003" s="94"/>
    </row>
    <row r="2004" spans="1:19" hidden="1">
      <c r="A2004" s="93" t="s">
        <v>3747</v>
      </c>
      <c r="B2004" s="149" t="str">
        <f>IFERROR(VLOOKUP(Proc[[#This Row],[App]],Table2[],3,0),"open")</f>
        <v>ok</v>
      </c>
      <c r="C2004" s="93" t="s">
        <v>369</v>
      </c>
      <c r="D2004" t="s">
        <v>3839</v>
      </c>
      <c r="E2004" t="s">
        <v>2274</v>
      </c>
      <c r="F2004" s="117" t="s">
        <v>2274</v>
      </c>
      <c r="G2004" s="93" t="s">
        <v>400</v>
      </c>
      <c r="H2004" s="94" t="str">
        <f>IF(Proc[[#This Row],[type]]="LFF (MDG-F)",MID(Proc[[#This Row],[Obj]],13,10),"")</f>
        <v/>
      </c>
      <c r="J2004" s="94" t="b">
        <f>Proc[[#This Row],[Requested]]=Proc[[#This Row],[CurrentParent]]</f>
        <v>1</v>
      </c>
      <c r="K2004" s="144" t="str">
        <f>IF(Proc[[#This Row],[Author]]="Marcela Urrego",VLOOKUP(LEFT(Proc[[#This Row],[Requested]],1),Table3[#All],2,0),VLOOKUP(Proc[[#This Row],[Author]],Table4[],2,0))</f>
        <v>HC</v>
      </c>
      <c r="L2004" s="125" t="s">
        <v>2563</v>
      </c>
      <c r="M2004" s="90">
        <v>45807.678356481483</v>
      </c>
      <c r="N2004" s="91">
        <v>45810</v>
      </c>
      <c r="O2004" s="91">
        <v>45810</v>
      </c>
      <c r="P2004" s="90" t="str">
        <f ca="1">IF(Proc[[#This Row],[DaysAgeing]]&gt;5,"yep","on track")</f>
        <v>on track</v>
      </c>
      <c r="Q2004" s="3">
        <f ca="1">IF(Proc[[#This Row],[DateClosed]]="",ABS(NETWORKDAYS(Proc[[#This Row],[DateOpened]],TODAY()))-1,ABS(NETWORKDAYS(Proc[[#This Row],[DateOpened]],Proc[[#This Row],[DateClosed]]))-1)</f>
        <v>1</v>
      </c>
      <c r="R2004" s="90" t="s">
        <v>1013</v>
      </c>
      <c r="S2004" s="94"/>
    </row>
    <row r="2005" spans="1:19" hidden="1">
      <c r="A2005" s="93" t="s">
        <v>3747</v>
      </c>
      <c r="B2005" s="149" t="str">
        <f>IFERROR(VLOOKUP(Proc[[#This Row],[App]],Table2[],3,0),"open")</f>
        <v>ok</v>
      </c>
      <c r="C2005" s="93" t="s">
        <v>369</v>
      </c>
      <c r="D2005" t="s">
        <v>3840</v>
      </c>
      <c r="E2005" t="s">
        <v>4068</v>
      </c>
      <c r="F2005" s="117" t="s">
        <v>4068</v>
      </c>
      <c r="G2005" s="93" t="s">
        <v>400</v>
      </c>
      <c r="H2005" s="94" t="str">
        <f>IF(Proc[[#This Row],[type]]="LFF (MDG-F)",MID(Proc[[#This Row],[Obj]],13,10),"")</f>
        <v/>
      </c>
      <c r="J2005" s="94" t="b">
        <f>Proc[[#This Row],[Requested]]=Proc[[#This Row],[CurrentParent]]</f>
        <v>1</v>
      </c>
      <c r="K2005" s="144" t="str">
        <f>IF(Proc[[#This Row],[Author]]="Marcela Urrego",VLOOKUP(LEFT(Proc[[#This Row],[Requested]],1),Table3[#All],2,0),VLOOKUP(Proc[[#This Row],[Author]],Table4[],2,0))</f>
        <v>HC</v>
      </c>
      <c r="L2005" s="125" t="s">
        <v>2563</v>
      </c>
      <c r="M2005" s="90">
        <v>45807.678356481483</v>
      </c>
      <c r="N2005" s="91">
        <v>45810</v>
      </c>
      <c r="O2005" s="91">
        <v>45810</v>
      </c>
      <c r="P2005" s="90" t="str">
        <f ca="1">IF(Proc[[#This Row],[DaysAgeing]]&gt;5,"yep","on track")</f>
        <v>on track</v>
      </c>
      <c r="Q2005" s="3">
        <f ca="1">IF(Proc[[#This Row],[DateClosed]]="",ABS(NETWORKDAYS(Proc[[#This Row],[DateOpened]],TODAY()))-1,ABS(NETWORKDAYS(Proc[[#This Row],[DateOpened]],Proc[[#This Row],[DateClosed]]))-1)</f>
        <v>1</v>
      </c>
      <c r="R2005" s="90" t="s">
        <v>1013</v>
      </c>
      <c r="S2005" s="94"/>
    </row>
    <row r="2006" spans="1:19" hidden="1">
      <c r="A2006" s="93" t="s">
        <v>3747</v>
      </c>
      <c r="B2006" s="149" t="str">
        <f>IFERROR(VLOOKUP(Proc[[#This Row],[App]],Table2[],3,0),"open")</f>
        <v>ok</v>
      </c>
      <c r="C2006" s="93" t="s">
        <v>369</v>
      </c>
      <c r="D2006" t="s">
        <v>3841</v>
      </c>
      <c r="E2006" t="s">
        <v>4068</v>
      </c>
      <c r="F2006" s="117" t="s">
        <v>4068</v>
      </c>
      <c r="G2006" s="93" t="s">
        <v>400</v>
      </c>
      <c r="H2006" s="94" t="str">
        <f>IF(Proc[[#This Row],[type]]="LFF (MDG-F)",MID(Proc[[#This Row],[Obj]],13,10),"")</f>
        <v/>
      </c>
      <c r="J2006" s="94" t="b">
        <f>Proc[[#This Row],[Requested]]=Proc[[#This Row],[CurrentParent]]</f>
        <v>1</v>
      </c>
      <c r="K2006" s="144" t="str">
        <f>IF(Proc[[#This Row],[Author]]="Marcela Urrego",VLOOKUP(LEFT(Proc[[#This Row],[Requested]],1),Table3[#All],2,0),VLOOKUP(Proc[[#This Row],[Author]],Table4[],2,0))</f>
        <v>HC</v>
      </c>
      <c r="L2006" s="125" t="s">
        <v>2563</v>
      </c>
      <c r="M2006" s="90">
        <v>45807.678356481483</v>
      </c>
      <c r="N2006" s="91">
        <v>45810</v>
      </c>
      <c r="O2006" s="91">
        <v>45810</v>
      </c>
      <c r="P2006" s="90" t="str">
        <f ca="1">IF(Proc[[#This Row],[DaysAgeing]]&gt;5,"yep","on track")</f>
        <v>on track</v>
      </c>
      <c r="Q2006" s="3">
        <f ca="1">IF(Proc[[#This Row],[DateClosed]]="",ABS(NETWORKDAYS(Proc[[#This Row],[DateOpened]],TODAY()))-1,ABS(NETWORKDAYS(Proc[[#This Row],[DateOpened]],Proc[[#This Row],[DateClosed]]))-1)</f>
        <v>1</v>
      </c>
      <c r="R2006" s="90" t="s">
        <v>1013</v>
      </c>
      <c r="S2006" s="94"/>
    </row>
    <row r="2007" spans="1:19" hidden="1">
      <c r="A2007" s="93" t="s">
        <v>3747</v>
      </c>
      <c r="B2007" s="149" t="str">
        <f>IFERROR(VLOOKUP(Proc[[#This Row],[App]],Table2[],3,0),"open")</f>
        <v>ok</v>
      </c>
      <c r="C2007" s="93" t="s">
        <v>369</v>
      </c>
      <c r="D2007" t="s">
        <v>3842</v>
      </c>
      <c r="E2007" t="s">
        <v>4068</v>
      </c>
      <c r="F2007" s="117" t="s">
        <v>4068</v>
      </c>
      <c r="G2007" s="93" t="s">
        <v>400</v>
      </c>
      <c r="H2007" s="94" t="str">
        <f>IF(Proc[[#This Row],[type]]="LFF (MDG-F)",MID(Proc[[#This Row],[Obj]],13,10),"")</f>
        <v/>
      </c>
      <c r="J2007" s="94" t="b">
        <f>Proc[[#This Row],[Requested]]=Proc[[#This Row],[CurrentParent]]</f>
        <v>1</v>
      </c>
      <c r="K2007" s="144" t="str">
        <f>IF(Proc[[#This Row],[Author]]="Marcela Urrego",VLOOKUP(LEFT(Proc[[#This Row],[Requested]],1),Table3[#All],2,0),VLOOKUP(Proc[[#This Row],[Author]],Table4[],2,0))</f>
        <v>HC</v>
      </c>
      <c r="L2007" s="125" t="s">
        <v>2563</v>
      </c>
      <c r="M2007" s="90">
        <v>45807.678356481483</v>
      </c>
      <c r="N2007" s="91">
        <v>45810</v>
      </c>
      <c r="O2007" s="91">
        <v>45810</v>
      </c>
      <c r="P2007" s="90" t="str">
        <f ca="1">IF(Proc[[#This Row],[DaysAgeing]]&gt;5,"yep","on track")</f>
        <v>on track</v>
      </c>
      <c r="Q2007" s="3">
        <f ca="1">IF(Proc[[#This Row],[DateClosed]]="",ABS(NETWORKDAYS(Proc[[#This Row],[DateOpened]],TODAY()))-1,ABS(NETWORKDAYS(Proc[[#This Row],[DateOpened]],Proc[[#This Row],[DateClosed]]))-1)</f>
        <v>1</v>
      </c>
      <c r="R2007" s="90" t="s">
        <v>1013</v>
      </c>
      <c r="S2007" s="94"/>
    </row>
    <row r="2008" spans="1:19" hidden="1">
      <c r="A2008" s="93" t="s">
        <v>3747</v>
      </c>
      <c r="B2008" s="149" t="str">
        <f>IFERROR(VLOOKUP(Proc[[#This Row],[App]],Table2[],3,0),"open")</f>
        <v>ok</v>
      </c>
      <c r="C2008" s="93" t="s">
        <v>369</v>
      </c>
      <c r="D2008" t="s">
        <v>3843</v>
      </c>
      <c r="E2008" t="s">
        <v>4068</v>
      </c>
      <c r="F2008" s="117" t="s">
        <v>4068</v>
      </c>
      <c r="G2008" s="93" t="s">
        <v>400</v>
      </c>
      <c r="H2008" s="94" t="str">
        <f>IF(Proc[[#This Row],[type]]="LFF (MDG-F)",MID(Proc[[#This Row],[Obj]],13,10),"")</f>
        <v/>
      </c>
      <c r="J2008" s="94" t="b">
        <f>Proc[[#This Row],[Requested]]=Proc[[#This Row],[CurrentParent]]</f>
        <v>1</v>
      </c>
      <c r="K2008" s="144" t="str">
        <f>IF(Proc[[#This Row],[Author]]="Marcela Urrego",VLOOKUP(LEFT(Proc[[#This Row],[Requested]],1),Table3[#All],2,0),VLOOKUP(Proc[[#This Row],[Author]],Table4[],2,0))</f>
        <v>HC</v>
      </c>
      <c r="L2008" s="125" t="s">
        <v>2563</v>
      </c>
      <c r="M2008" s="90">
        <v>45807.678356481483</v>
      </c>
      <c r="N2008" s="91">
        <v>45810</v>
      </c>
      <c r="O2008" s="91">
        <v>45810</v>
      </c>
      <c r="P2008" s="90" t="str">
        <f ca="1">IF(Proc[[#This Row],[DaysAgeing]]&gt;5,"yep","on track")</f>
        <v>on track</v>
      </c>
      <c r="Q2008" s="3">
        <f ca="1">IF(Proc[[#This Row],[DateClosed]]="",ABS(NETWORKDAYS(Proc[[#This Row],[DateOpened]],TODAY()))-1,ABS(NETWORKDAYS(Proc[[#This Row],[DateOpened]],Proc[[#This Row],[DateClosed]]))-1)</f>
        <v>1</v>
      </c>
      <c r="R2008" s="90" t="s">
        <v>1013</v>
      </c>
      <c r="S2008" s="94"/>
    </row>
    <row r="2009" spans="1:19" hidden="1">
      <c r="A2009" s="93" t="s">
        <v>3747</v>
      </c>
      <c r="B2009" s="149" t="str">
        <f>IFERROR(VLOOKUP(Proc[[#This Row],[App]],Table2[],3,0),"open")</f>
        <v>ok</v>
      </c>
      <c r="C2009" s="93" t="s">
        <v>369</v>
      </c>
      <c r="D2009" t="s">
        <v>3844</v>
      </c>
      <c r="E2009" t="s">
        <v>4068</v>
      </c>
      <c r="F2009" s="117" t="s">
        <v>4068</v>
      </c>
      <c r="G2009" s="93" t="s">
        <v>400</v>
      </c>
      <c r="H2009" s="94" t="str">
        <f>IF(Proc[[#This Row],[type]]="LFF (MDG-F)",MID(Proc[[#This Row],[Obj]],13,10),"")</f>
        <v/>
      </c>
      <c r="J2009" s="94" t="b">
        <f>Proc[[#This Row],[Requested]]=Proc[[#This Row],[CurrentParent]]</f>
        <v>1</v>
      </c>
      <c r="K2009" s="144" t="str">
        <f>IF(Proc[[#This Row],[Author]]="Marcela Urrego",VLOOKUP(LEFT(Proc[[#This Row],[Requested]],1),Table3[#All],2,0),VLOOKUP(Proc[[#This Row],[Author]],Table4[],2,0))</f>
        <v>HC</v>
      </c>
      <c r="L2009" s="125" t="s">
        <v>2563</v>
      </c>
      <c r="M2009" s="90">
        <v>45807.678356481483</v>
      </c>
      <c r="N2009" s="91">
        <v>45810</v>
      </c>
      <c r="O2009" s="91">
        <v>45810</v>
      </c>
      <c r="P2009" s="90" t="str">
        <f ca="1">IF(Proc[[#This Row],[DaysAgeing]]&gt;5,"yep","on track")</f>
        <v>on track</v>
      </c>
      <c r="Q2009" s="3">
        <f ca="1">IF(Proc[[#This Row],[DateClosed]]="",ABS(NETWORKDAYS(Proc[[#This Row],[DateOpened]],TODAY()))-1,ABS(NETWORKDAYS(Proc[[#This Row],[DateOpened]],Proc[[#This Row],[DateClosed]]))-1)</f>
        <v>1</v>
      </c>
      <c r="R2009" s="90" t="s">
        <v>1013</v>
      </c>
      <c r="S2009" s="94"/>
    </row>
    <row r="2010" spans="1:19" hidden="1">
      <c r="A2010" s="93" t="s">
        <v>3747</v>
      </c>
      <c r="B2010" s="149" t="str">
        <f>IFERROR(VLOOKUP(Proc[[#This Row],[App]],Table2[],3,0),"open")</f>
        <v>ok</v>
      </c>
      <c r="C2010" s="93" t="s">
        <v>369</v>
      </c>
      <c r="D2010" t="s">
        <v>3845</v>
      </c>
      <c r="E2010" t="s">
        <v>4068</v>
      </c>
      <c r="F2010" s="117" t="s">
        <v>4068</v>
      </c>
      <c r="G2010" s="93" t="s">
        <v>400</v>
      </c>
      <c r="H2010" s="94" t="str">
        <f>IF(Proc[[#This Row],[type]]="LFF (MDG-F)",MID(Proc[[#This Row],[Obj]],13,10),"")</f>
        <v/>
      </c>
      <c r="J2010" s="94" t="b">
        <f>Proc[[#This Row],[Requested]]=Proc[[#This Row],[CurrentParent]]</f>
        <v>1</v>
      </c>
      <c r="K2010" s="144" t="str">
        <f>IF(Proc[[#This Row],[Author]]="Marcela Urrego",VLOOKUP(LEFT(Proc[[#This Row],[Requested]],1),Table3[#All],2,0),VLOOKUP(Proc[[#This Row],[Author]],Table4[],2,0))</f>
        <v>HC</v>
      </c>
      <c r="L2010" s="125" t="s">
        <v>2563</v>
      </c>
      <c r="M2010" s="90">
        <v>45807.678356481483</v>
      </c>
      <c r="N2010" s="91">
        <v>45810</v>
      </c>
      <c r="O2010" s="91">
        <v>45810</v>
      </c>
      <c r="P2010" s="90" t="str">
        <f ca="1">IF(Proc[[#This Row],[DaysAgeing]]&gt;5,"yep","on track")</f>
        <v>on track</v>
      </c>
      <c r="Q2010" s="3">
        <f ca="1">IF(Proc[[#This Row],[DateClosed]]="",ABS(NETWORKDAYS(Proc[[#This Row],[DateOpened]],TODAY()))-1,ABS(NETWORKDAYS(Proc[[#This Row],[DateOpened]],Proc[[#This Row],[DateClosed]]))-1)</f>
        <v>1</v>
      </c>
      <c r="R2010" s="90" t="s">
        <v>1013</v>
      </c>
      <c r="S2010" s="94"/>
    </row>
    <row r="2011" spans="1:19" hidden="1">
      <c r="A2011" s="93" t="s">
        <v>3747</v>
      </c>
      <c r="B2011" s="149" t="str">
        <f>IFERROR(VLOOKUP(Proc[[#This Row],[App]],Table2[],3,0),"open")</f>
        <v>ok</v>
      </c>
      <c r="C2011" s="93" t="s">
        <v>369</v>
      </c>
      <c r="D2011" t="s">
        <v>3846</v>
      </c>
      <c r="E2011" t="s">
        <v>4068</v>
      </c>
      <c r="F2011" s="117" t="s">
        <v>4068</v>
      </c>
      <c r="G2011" s="93" t="s">
        <v>400</v>
      </c>
      <c r="H2011" s="94" t="str">
        <f>IF(Proc[[#This Row],[type]]="LFF (MDG-F)",MID(Proc[[#This Row],[Obj]],13,10),"")</f>
        <v/>
      </c>
      <c r="J2011" s="94" t="b">
        <f>Proc[[#This Row],[Requested]]=Proc[[#This Row],[CurrentParent]]</f>
        <v>1</v>
      </c>
      <c r="K2011" s="144" t="str">
        <f>IF(Proc[[#This Row],[Author]]="Marcela Urrego",VLOOKUP(LEFT(Proc[[#This Row],[Requested]],1),Table3[#All],2,0),VLOOKUP(Proc[[#This Row],[Author]],Table4[],2,0))</f>
        <v>HC</v>
      </c>
      <c r="L2011" s="125" t="s">
        <v>2563</v>
      </c>
      <c r="M2011" s="90">
        <v>45807.678356481483</v>
      </c>
      <c r="N2011" s="91">
        <v>45810</v>
      </c>
      <c r="O2011" s="91">
        <v>45810</v>
      </c>
      <c r="P2011" s="90" t="str">
        <f ca="1">IF(Proc[[#This Row],[DaysAgeing]]&gt;5,"yep","on track")</f>
        <v>on track</v>
      </c>
      <c r="Q2011" s="3">
        <f ca="1">IF(Proc[[#This Row],[DateClosed]]="",ABS(NETWORKDAYS(Proc[[#This Row],[DateOpened]],TODAY()))-1,ABS(NETWORKDAYS(Proc[[#This Row],[DateOpened]],Proc[[#This Row],[DateClosed]]))-1)</f>
        <v>1</v>
      </c>
      <c r="R2011" s="90" t="s">
        <v>1013</v>
      </c>
      <c r="S2011" s="94"/>
    </row>
    <row r="2012" spans="1:19" hidden="1">
      <c r="A2012" s="93" t="s">
        <v>3747</v>
      </c>
      <c r="B2012" s="149" t="str">
        <f>IFERROR(VLOOKUP(Proc[[#This Row],[App]],Table2[],3,0),"open")</f>
        <v>ok</v>
      </c>
      <c r="C2012" s="93" t="s">
        <v>369</v>
      </c>
      <c r="D2012" t="s">
        <v>3847</v>
      </c>
      <c r="E2012" t="s">
        <v>4068</v>
      </c>
      <c r="F2012" s="117" t="s">
        <v>4068</v>
      </c>
      <c r="G2012" s="93" t="s">
        <v>400</v>
      </c>
      <c r="H2012" s="94" t="str">
        <f>IF(Proc[[#This Row],[type]]="LFF (MDG-F)",MID(Proc[[#This Row],[Obj]],13,10),"")</f>
        <v/>
      </c>
      <c r="J2012" s="94" t="b">
        <f>Proc[[#This Row],[Requested]]=Proc[[#This Row],[CurrentParent]]</f>
        <v>1</v>
      </c>
      <c r="K2012" s="144" t="str">
        <f>IF(Proc[[#This Row],[Author]]="Marcela Urrego",VLOOKUP(LEFT(Proc[[#This Row],[Requested]],1),Table3[#All],2,0),VLOOKUP(Proc[[#This Row],[Author]],Table4[],2,0))</f>
        <v>HC</v>
      </c>
      <c r="L2012" s="125" t="s">
        <v>2563</v>
      </c>
      <c r="M2012" s="90">
        <v>45807.678356481483</v>
      </c>
      <c r="N2012" s="91">
        <v>45810</v>
      </c>
      <c r="O2012" s="91">
        <v>45810</v>
      </c>
      <c r="P2012" s="90" t="str">
        <f ca="1">IF(Proc[[#This Row],[DaysAgeing]]&gt;5,"yep","on track")</f>
        <v>on track</v>
      </c>
      <c r="Q2012" s="3">
        <f ca="1">IF(Proc[[#This Row],[DateClosed]]="",ABS(NETWORKDAYS(Proc[[#This Row],[DateOpened]],TODAY()))-1,ABS(NETWORKDAYS(Proc[[#This Row],[DateOpened]],Proc[[#This Row],[DateClosed]]))-1)</f>
        <v>1</v>
      </c>
      <c r="R2012" s="90" t="s">
        <v>1013</v>
      </c>
      <c r="S2012" s="94"/>
    </row>
    <row r="2013" spans="1:19" hidden="1">
      <c r="A2013" s="93" t="s">
        <v>3747</v>
      </c>
      <c r="B2013" s="149" t="str">
        <f>IFERROR(VLOOKUP(Proc[[#This Row],[App]],Table2[],3,0),"open")</f>
        <v>ok</v>
      </c>
      <c r="C2013" s="93" t="s">
        <v>369</v>
      </c>
      <c r="D2013" t="s">
        <v>3848</v>
      </c>
      <c r="E2013" t="s">
        <v>4068</v>
      </c>
      <c r="F2013" s="117" t="s">
        <v>4068</v>
      </c>
      <c r="G2013" s="93" t="s">
        <v>400</v>
      </c>
      <c r="H2013" s="94" t="str">
        <f>IF(Proc[[#This Row],[type]]="LFF (MDG-F)",MID(Proc[[#This Row],[Obj]],13,10),"")</f>
        <v/>
      </c>
      <c r="J2013" s="94" t="b">
        <f>Proc[[#This Row],[Requested]]=Proc[[#This Row],[CurrentParent]]</f>
        <v>1</v>
      </c>
      <c r="K2013" s="144" t="str">
        <f>IF(Proc[[#This Row],[Author]]="Marcela Urrego",VLOOKUP(LEFT(Proc[[#This Row],[Requested]],1),Table3[#All],2,0),VLOOKUP(Proc[[#This Row],[Author]],Table4[],2,0))</f>
        <v>HC</v>
      </c>
      <c r="L2013" s="125" t="s">
        <v>2563</v>
      </c>
      <c r="M2013" s="90">
        <v>45807.678356481483</v>
      </c>
      <c r="N2013" s="91">
        <v>45810</v>
      </c>
      <c r="O2013" s="91">
        <v>45810</v>
      </c>
      <c r="P2013" s="90" t="str">
        <f ca="1">IF(Proc[[#This Row],[DaysAgeing]]&gt;5,"yep","on track")</f>
        <v>on track</v>
      </c>
      <c r="Q2013" s="3">
        <f ca="1">IF(Proc[[#This Row],[DateClosed]]="",ABS(NETWORKDAYS(Proc[[#This Row],[DateOpened]],TODAY()))-1,ABS(NETWORKDAYS(Proc[[#This Row],[DateOpened]],Proc[[#This Row],[DateClosed]]))-1)</f>
        <v>1</v>
      </c>
      <c r="R2013" s="90" t="s">
        <v>1013</v>
      </c>
      <c r="S2013" s="94"/>
    </row>
    <row r="2014" spans="1:19" hidden="1">
      <c r="A2014" s="93" t="s">
        <v>3747</v>
      </c>
      <c r="B2014" s="149" t="str">
        <f>IFERROR(VLOOKUP(Proc[[#This Row],[App]],Table2[],3,0),"open")</f>
        <v>ok</v>
      </c>
      <c r="C2014" s="93" t="s">
        <v>369</v>
      </c>
      <c r="D2014" t="s">
        <v>3849</v>
      </c>
      <c r="E2014" t="s">
        <v>4068</v>
      </c>
      <c r="F2014" s="117" t="s">
        <v>4068</v>
      </c>
      <c r="G2014" s="93" t="s">
        <v>400</v>
      </c>
      <c r="H2014" s="94" t="str">
        <f>IF(Proc[[#This Row],[type]]="LFF (MDG-F)",MID(Proc[[#This Row],[Obj]],13,10),"")</f>
        <v/>
      </c>
      <c r="J2014" s="94" t="b">
        <f>Proc[[#This Row],[Requested]]=Proc[[#This Row],[CurrentParent]]</f>
        <v>1</v>
      </c>
      <c r="K2014" s="144" t="str">
        <f>IF(Proc[[#This Row],[Author]]="Marcela Urrego",VLOOKUP(LEFT(Proc[[#This Row],[Requested]],1),Table3[#All],2,0),VLOOKUP(Proc[[#This Row],[Author]],Table4[],2,0))</f>
        <v>HC</v>
      </c>
      <c r="L2014" s="125" t="s">
        <v>2563</v>
      </c>
      <c r="M2014" s="90">
        <v>45807.678356481483</v>
      </c>
      <c r="N2014" s="91">
        <v>45810</v>
      </c>
      <c r="O2014" s="91">
        <v>45810</v>
      </c>
      <c r="P2014" s="90" t="str">
        <f ca="1">IF(Proc[[#This Row],[DaysAgeing]]&gt;5,"yep","on track")</f>
        <v>on track</v>
      </c>
      <c r="Q2014" s="3">
        <f ca="1">IF(Proc[[#This Row],[DateClosed]]="",ABS(NETWORKDAYS(Proc[[#This Row],[DateOpened]],TODAY()))-1,ABS(NETWORKDAYS(Proc[[#This Row],[DateOpened]],Proc[[#This Row],[DateClosed]]))-1)</f>
        <v>1</v>
      </c>
      <c r="R2014" s="90" t="s">
        <v>1013</v>
      </c>
      <c r="S2014" s="94"/>
    </row>
    <row r="2015" spans="1:19" hidden="1">
      <c r="A2015" s="93" t="s">
        <v>3747</v>
      </c>
      <c r="B2015" s="149" t="str">
        <f>IFERROR(VLOOKUP(Proc[[#This Row],[App]],Table2[],3,0),"open")</f>
        <v>ok</v>
      </c>
      <c r="C2015" s="93" t="s">
        <v>369</v>
      </c>
      <c r="D2015" t="s">
        <v>3850</v>
      </c>
      <c r="E2015" t="s">
        <v>4068</v>
      </c>
      <c r="F2015" s="117" t="s">
        <v>4068</v>
      </c>
      <c r="G2015" s="93" t="s">
        <v>400</v>
      </c>
      <c r="H2015" s="94" t="str">
        <f>IF(Proc[[#This Row],[type]]="LFF (MDG-F)",MID(Proc[[#This Row],[Obj]],13,10),"")</f>
        <v/>
      </c>
      <c r="J2015" s="94" t="b">
        <f>Proc[[#This Row],[Requested]]=Proc[[#This Row],[CurrentParent]]</f>
        <v>1</v>
      </c>
      <c r="K2015" s="144" t="str">
        <f>IF(Proc[[#This Row],[Author]]="Marcela Urrego",VLOOKUP(LEFT(Proc[[#This Row],[Requested]],1),Table3[#All],2,0),VLOOKUP(Proc[[#This Row],[Author]],Table4[],2,0))</f>
        <v>HC</v>
      </c>
      <c r="L2015" s="125" t="s">
        <v>2563</v>
      </c>
      <c r="M2015" s="90">
        <v>45807.678356481483</v>
      </c>
      <c r="N2015" s="91">
        <v>45810</v>
      </c>
      <c r="O2015" s="91">
        <v>45810</v>
      </c>
      <c r="P2015" s="90" t="str">
        <f ca="1">IF(Proc[[#This Row],[DaysAgeing]]&gt;5,"yep","on track")</f>
        <v>on track</v>
      </c>
      <c r="Q2015" s="3">
        <f ca="1">IF(Proc[[#This Row],[DateClosed]]="",ABS(NETWORKDAYS(Proc[[#This Row],[DateOpened]],TODAY()))-1,ABS(NETWORKDAYS(Proc[[#This Row],[DateOpened]],Proc[[#This Row],[DateClosed]]))-1)</f>
        <v>1</v>
      </c>
      <c r="R2015" s="90" t="s">
        <v>1013</v>
      </c>
      <c r="S2015" s="94"/>
    </row>
    <row r="2016" spans="1:19" hidden="1">
      <c r="A2016" s="93" t="s">
        <v>3747</v>
      </c>
      <c r="B2016" s="149" t="str">
        <f>IFERROR(VLOOKUP(Proc[[#This Row],[App]],Table2[],3,0),"open")</f>
        <v>ok</v>
      </c>
      <c r="C2016" s="93" t="s">
        <v>369</v>
      </c>
      <c r="D2016" t="s">
        <v>3851</v>
      </c>
      <c r="E2016" t="s">
        <v>2274</v>
      </c>
      <c r="F2016" s="117" t="s">
        <v>2274</v>
      </c>
      <c r="G2016" s="93" t="s">
        <v>400</v>
      </c>
      <c r="H2016" s="94" t="str">
        <f>IF(Proc[[#This Row],[type]]="LFF (MDG-F)",MID(Proc[[#This Row],[Obj]],13,10),"")</f>
        <v/>
      </c>
      <c r="J2016" s="94" t="b">
        <f>Proc[[#This Row],[Requested]]=Proc[[#This Row],[CurrentParent]]</f>
        <v>1</v>
      </c>
      <c r="K2016" s="144" t="str">
        <f>IF(Proc[[#This Row],[Author]]="Marcela Urrego",VLOOKUP(LEFT(Proc[[#This Row],[Requested]],1),Table3[#All],2,0),VLOOKUP(Proc[[#This Row],[Author]],Table4[],2,0))</f>
        <v>HC</v>
      </c>
      <c r="L2016" s="125" t="s">
        <v>2563</v>
      </c>
      <c r="M2016" s="90">
        <v>45807.678356481483</v>
      </c>
      <c r="N2016" s="91">
        <v>45810</v>
      </c>
      <c r="O2016" s="91">
        <v>45810</v>
      </c>
      <c r="P2016" s="90" t="str">
        <f ca="1">IF(Proc[[#This Row],[DaysAgeing]]&gt;5,"yep","on track")</f>
        <v>on track</v>
      </c>
      <c r="Q2016" s="3">
        <f ca="1">IF(Proc[[#This Row],[DateClosed]]="",ABS(NETWORKDAYS(Proc[[#This Row],[DateOpened]],TODAY()))-1,ABS(NETWORKDAYS(Proc[[#This Row],[DateOpened]],Proc[[#This Row],[DateClosed]]))-1)</f>
        <v>1</v>
      </c>
      <c r="R2016" s="90" t="s">
        <v>1013</v>
      </c>
      <c r="S2016" s="94"/>
    </row>
    <row r="2017" spans="1:19" hidden="1">
      <c r="A2017" s="93" t="s">
        <v>3747</v>
      </c>
      <c r="B2017" s="149" t="str">
        <f>IFERROR(VLOOKUP(Proc[[#This Row],[App]],Table2[],3,0),"open")</f>
        <v>ok</v>
      </c>
      <c r="C2017" s="93" t="s">
        <v>369</v>
      </c>
      <c r="D2017" t="s">
        <v>3852</v>
      </c>
      <c r="E2017" t="s">
        <v>4068</v>
      </c>
      <c r="F2017" s="117" t="s">
        <v>4068</v>
      </c>
      <c r="G2017" s="93" t="s">
        <v>400</v>
      </c>
      <c r="H2017" s="94" t="str">
        <f>IF(Proc[[#This Row],[type]]="LFF (MDG-F)",MID(Proc[[#This Row],[Obj]],13,10),"")</f>
        <v/>
      </c>
      <c r="J2017" s="94" t="b">
        <f>Proc[[#This Row],[Requested]]=Proc[[#This Row],[CurrentParent]]</f>
        <v>1</v>
      </c>
      <c r="K2017" s="144" t="str">
        <f>IF(Proc[[#This Row],[Author]]="Marcela Urrego",VLOOKUP(LEFT(Proc[[#This Row],[Requested]],1),Table3[#All],2,0),VLOOKUP(Proc[[#This Row],[Author]],Table4[],2,0))</f>
        <v>HC</v>
      </c>
      <c r="L2017" s="125" t="s">
        <v>2563</v>
      </c>
      <c r="M2017" s="90">
        <v>45807.678356481483</v>
      </c>
      <c r="N2017" s="91">
        <v>45810</v>
      </c>
      <c r="O2017" s="91">
        <v>45810</v>
      </c>
      <c r="P2017" s="90" t="str">
        <f ca="1">IF(Proc[[#This Row],[DaysAgeing]]&gt;5,"yep","on track")</f>
        <v>on track</v>
      </c>
      <c r="Q2017" s="3">
        <f ca="1">IF(Proc[[#This Row],[DateClosed]]="",ABS(NETWORKDAYS(Proc[[#This Row],[DateOpened]],TODAY()))-1,ABS(NETWORKDAYS(Proc[[#This Row],[DateOpened]],Proc[[#This Row],[DateClosed]]))-1)</f>
        <v>1</v>
      </c>
      <c r="R2017" s="90" t="s">
        <v>1013</v>
      </c>
      <c r="S2017" s="94"/>
    </row>
    <row r="2018" spans="1:19" hidden="1">
      <c r="A2018" s="93" t="s">
        <v>3747</v>
      </c>
      <c r="B2018" s="149" t="str">
        <f>IFERROR(VLOOKUP(Proc[[#This Row],[App]],Table2[],3,0),"open")</f>
        <v>ok</v>
      </c>
      <c r="C2018" s="93" t="s">
        <v>369</v>
      </c>
      <c r="D2018" t="s">
        <v>3853</v>
      </c>
      <c r="E2018" t="s">
        <v>2274</v>
      </c>
      <c r="F2018" s="117" t="s">
        <v>2274</v>
      </c>
      <c r="G2018" s="93" t="s">
        <v>400</v>
      </c>
      <c r="H2018" s="94" t="str">
        <f>IF(Proc[[#This Row],[type]]="LFF (MDG-F)",MID(Proc[[#This Row],[Obj]],13,10),"")</f>
        <v/>
      </c>
      <c r="J2018" s="94" t="b">
        <f>Proc[[#This Row],[Requested]]=Proc[[#This Row],[CurrentParent]]</f>
        <v>1</v>
      </c>
      <c r="K2018" s="144" t="str">
        <f>IF(Proc[[#This Row],[Author]]="Marcela Urrego",VLOOKUP(LEFT(Proc[[#This Row],[Requested]],1),Table3[#All],2,0),VLOOKUP(Proc[[#This Row],[Author]],Table4[],2,0))</f>
        <v>HC</v>
      </c>
      <c r="L2018" s="125" t="s">
        <v>2563</v>
      </c>
      <c r="M2018" s="90">
        <v>45807.678356481483</v>
      </c>
      <c r="N2018" s="91">
        <v>45810</v>
      </c>
      <c r="O2018" s="91">
        <v>45810</v>
      </c>
      <c r="P2018" s="90" t="str">
        <f ca="1">IF(Proc[[#This Row],[DaysAgeing]]&gt;5,"yep","on track")</f>
        <v>on track</v>
      </c>
      <c r="Q2018" s="3">
        <f ca="1">IF(Proc[[#This Row],[DateClosed]]="",ABS(NETWORKDAYS(Proc[[#This Row],[DateOpened]],TODAY()))-1,ABS(NETWORKDAYS(Proc[[#This Row],[DateOpened]],Proc[[#This Row],[DateClosed]]))-1)</f>
        <v>1</v>
      </c>
      <c r="R2018" s="90" t="s">
        <v>1013</v>
      </c>
      <c r="S2018" s="94"/>
    </row>
    <row r="2019" spans="1:19" hidden="1">
      <c r="A2019" s="93" t="s">
        <v>3747</v>
      </c>
      <c r="B2019" s="149" t="str">
        <f>IFERROR(VLOOKUP(Proc[[#This Row],[App]],Table2[],3,0),"open")</f>
        <v>ok</v>
      </c>
      <c r="C2019" s="93" t="s">
        <v>369</v>
      </c>
      <c r="D2019" t="s">
        <v>3854</v>
      </c>
      <c r="E2019" t="s">
        <v>4068</v>
      </c>
      <c r="F2019" s="117" t="s">
        <v>4068</v>
      </c>
      <c r="G2019" s="93" t="s">
        <v>400</v>
      </c>
      <c r="H2019" s="94" t="str">
        <f>IF(Proc[[#This Row],[type]]="LFF (MDG-F)",MID(Proc[[#This Row],[Obj]],13,10),"")</f>
        <v/>
      </c>
      <c r="J2019" s="94" t="b">
        <f>Proc[[#This Row],[Requested]]=Proc[[#This Row],[CurrentParent]]</f>
        <v>1</v>
      </c>
      <c r="K2019" s="144" t="str">
        <f>IF(Proc[[#This Row],[Author]]="Marcela Urrego",VLOOKUP(LEFT(Proc[[#This Row],[Requested]],1),Table3[#All],2,0),VLOOKUP(Proc[[#This Row],[Author]],Table4[],2,0))</f>
        <v>HC</v>
      </c>
      <c r="L2019" s="125" t="s">
        <v>2563</v>
      </c>
      <c r="M2019" s="90">
        <v>45807.678356481483</v>
      </c>
      <c r="N2019" s="91">
        <v>45810</v>
      </c>
      <c r="O2019" s="91">
        <v>45810</v>
      </c>
      <c r="P2019" s="90" t="str">
        <f ca="1">IF(Proc[[#This Row],[DaysAgeing]]&gt;5,"yep","on track")</f>
        <v>on track</v>
      </c>
      <c r="Q2019" s="3">
        <f ca="1">IF(Proc[[#This Row],[DateClosed]]="",ABS(NETWORKDAYS(Proc[[#This Row],[DateOpened]],TODAY()))-1,ABS(NETWORKDAYS(Proc[[#This Row],[DateOpened]],Proc[[#This Row],[DateClosed]]))-1)</f>
        <v>1</v>
      </c>
      <c r="R2019" s="90" t="s">
        <v>1013</v>
      </c>
      <c r="S2019" s="94"/>
    </row>
    <row r="2020" spans="1:19" hidden="1">
      <c r="A2020" s="93" t="s">
        <v>3747</v>
      </c>
      <c r="B2020" s="149" t="str">
        <f>IFERROR(VLOOKUP(Proc[[#This Row],[App]],Table2[],3,0),"open")</f>
        <v>ok</v>
      </c>
      <c r="C2020" s="93" t="s">
        <v>369</v>
      </c>
      <c r="D2020" t="s">
        <v>3855</v>
      </c>
      <c r="E2020" t="s">
        <v>4068</v>
      </c>
      <c r="F2020" s="117" t="s">
        <v>4068</v>
      </c>
      <c r="G2020" s="93" t="s">
        <v>400</v>
      </c>
      <c r="H2020" s="94" t="str">
        <f>IF(Proc[[#This Row],[type]]="LFF (MDG-F)",MID(Proc[[#This Row],[Obj]],13,10),"")</f>
        <v/>
      </c>
      <c r="J2020" s="94" t="b">
        <f>Proc[[#This Row],[Requested]]=Proc[[#This Row],[CurrentParent]]</f>
        <v>1</v>
      </c>
      <c r="K2020" s="144" t="str">
        <f>IF(Proc[[#This Row],[Author]]="Marcela Urrego",VLOOKUP(LEFT(Proc[[#This Row],[Requested]],1),Table3[#All],2,0),VLOOKUP(Proc[[#This Row],[Author]],Table4[],2,0))</f>
        <v>HC</v>
      </c>
      <c r="L2020" s="125" t="s">
        <v>2563</v>
      </c>
      <c r="M2020" s="90">
        <v>45807.678356481483</v>
      </c>
      <c r="N2020" s="91">
        <v>45810</v>
      </c>
      <c r="O2020" s="91">
        <v>45810</v>
      </c>
      <c r="P2020" s="90" t="str">
        <f ca="1">IF(Proc[[#This Row],[DaysAgeing]]&gt;5,"yep","on track")</f>
        <v>on track</v>
      </c>
      <c r="Q2020" s="3">
        <f ca="1">IF(Proc[[#This Row],[DateClosed]]="",ABS(NETWORKDAYS(Proc[[#This Row],[DateOpened]],TODAY()))-1,ABS(NETWORKDAYS(Proc[[#This Row],[DateOpened]],Proc[[#This Row],[DateClosed]]))-1)</f>
        <v>1</v>
      </c>
      <c r="R2020" s="90" t="s">
        <v>1013</v>
      </c>
      <c r="S2020" s="94"/>
    </row>
    <row r="2021" spans="1:19" hidden="1">
      <c r="A2021" s="93" t="s">
        <v>3747</v>
      </c>
      <c r="B2021" s="149" t="str">
        <f>IFERROR(VLOOKUP(Proc[[#This Row],[App]],Table2[],3,0),"open")</f>
        <v>ok</v>
      </c>
      <c r="C2021" s="93" t="s">
        <v>369</v>
      </c>
      <c r="D2021" t="s">
        <v>3856</v>
      </c>
      <c r="E2021" t="s">
        <v>4068</v>
      </c>
      <c r="F2021" s="117" t="s">
        <v>4068</v>
      </c>
      <c r="G2021" s="93" t="s">
        <v>400</v>
      </c>
      <c r="H2021" s="94" t="str">
        <f>IF(Proc[[#This Row],[type]]="LFF (MDG-F)",MID(Proc[[#This Row],[Obj]],13,10),"")</f>
        <v/>
      </c>
      <c r="J2021" s="94" t="b">
        <f>Proc[[#This Row],[Requested]]=Proc[[#This Row],[CurrentParent]]</f>
        <v>1</v>
      </c>
      <c r="K2021" s="144" t="str">
        <f>IF(Proc[[#This Row],[Author]]="Marcela Urrego",VLOOKUP(LEFT(Proc[[#This Row],[Requested]],1),Table3[#All],2,0),VLOOKUP(Proc[[#This Row],[Author]],Table4[],2,0))</f>
        <v>HC</v>
      </c>
      <c r="L2021" s="125" t="s">
        <v>2563</v>
      </c>
      <c r="M2021" s="90">
        <v>45807.678356481483</v>
      </c>
      <c r="N2021" s="91">
        <v>45810</v>
      </c>
      <c r="O2021" s="91">
        <v>45810</v>
      </c>
      <c r="P2021" s="90" t="str">
        <f ca="1">IF(Proc[[#This Row],[DaysAgeing]]&gt;5,"yep","on track")</f>
        <v>on track</v>
      </c>
      <c r="Q2021" s="3">
        <f ca="1">IF(Proc[[#This Row],[DateClosed]]="",ABS(NETWORKDAYS(Proc[[#This Row],[DateOpened]],TODAY()))-1,ABS(NETWORKDAYS(Proc[[#This Row],[DateOpened]],Proc[[#This Row],[DateClosed]]))-1)</f>
        <v>1</v>
      </c>
      <c r="R2021" s="90" t="s">
        <v>1013</v>
      </c>
      <c r="S2021" s="94"/>
    </row>
    <row r="2022" spans="1:19" hidden="1">
      <c r="A2022" s="93" t="s">
        <v>3747</v>
      </c>
      <c r="B2022" s="149" t="str">
        <f>IFERROR(VLOOKUP(Proc[[#This Row],[App]],Table2[],3,0),"open")</f>
        <v>ok</v>
      </c>
      <c r="C2022" s="93" t="s">
        <v>369</v>
      </c>
      <c r="D2022" t="s">
        <v>3857</v>
      </c>
      <c r="E2022" t="s">
        <v>4068</v>
      </c>
      <c r="F2022" s="117" t="s">
        <v>4068</v>
      </c>
      <c r="G2022" s="93" t="s">
        <v>400</v>
      </c>
      <c r="H2022" s="94" t="str">
        <f>IF(Proc[[#This Row],[type]]="LFF (MDG-F)",MID(Proc[[#This Row],[Obj]],13,10),"")</f>
        <v/>
      </c>
      <c r="J2022" s="94" t="b">
        <f>Proc[[#This Row],[Requested]]=Proc[[#This Row],[CurrentParent]]</f>
        <v>1</v>
      </c>
      <c r="K2022" s="144" t="str">
        <f>IF(Proc[[#This Row],[Author]]="Marcela Urrego",VLOOKUP(LEFT(Proc[[#This Row],[Requested]],1),Table3[#All],2,0),VLOOKUP(Proc[[#This Row],[Author]],Table4[],2,0))</f>
        <v>HC</v>
      </c>
      <c r="L2022" s="125" t="s">
        <v>2563</v>
      </c>
      <c r="M2022" s="90">
        <v>45807.678356481483</v>
      </c>
      <c r="N2022" s="91">
        <v>45810</v>
      </c>
      <c r="O2022" s="91">
        <v>45810</v>
      </c>
      <c r="P2022" s="90" t="str">
        <f ca="1">IF(Proc[[#This Row],[DaysAgeing]]&gt;5,"yep","on track")</f>
        <v>on track</v>
      </c>
      <c r="Q2022" s="3">
        <f ca="1">IF(Proc[[#This Row],[DateClosed]]="",ABS(NETWORKDAYS(Proc[[#This Row],[DateOpened]],TODAY()))-1,ABS(NETWORKDAYS(Proc[[#This Row],[DateOpened]],Proc[[#This Row],[DateClosed]]))-1)</f>
        <v>1</v>
      </c>
      <c r="R2022" s="90" t="s">
        <v>1013</v>
      </c>
      <c r="S2022" s="94"/>
    </row>
    <row r="2023" spans="1:19" hidden="1">
      <c r="A2023" s="93" t="s">
        <v>3747</v>
      </c>
      <c r="B2023" s="149" t="str">
        <f>IFERROR(VLOOKUP(Proc[[#This Row],[App]],Table2[],3,0),"open")</f>
        <v>ok</v>
      </c>
      <c r="C2023" s="93" t="s">
        <v>369</v>
      </c>
      <c r="D2023" t="s">
        <v>3858</v>
      </c>
      <c r="E2023" t="s">
        <v>4068</v>
      </c>
      <c r="F2023" s="117" t="s">
        <v>4068</v>
      </c>
      <c r="G2023" s="93" t="s">
        <v>400</v>
      </c>
      <c r="H2023" s="94" t="str">
        <f>IF(Proc[[#This Row],[type]]="LFF (MDG-F)",MID(Proc[[#This Row],[Obj]],13,10),"")</f>
        <v/>
      </c>
      <c r="J2023" s="94" t="b">
        <f>Proc[[#This Row],[Requested]]=Proc[[#This Row],[CurrentParent]]</f>
        <v>1</v>
      </c>
      <c r="K2023" s="144" t="str">
        <f>IF(Proc[[#This Row],[Author]]="Marcela Urrego",VLOOKUP(LEFT(Proc[[#This Row],[Requested]],1),Table3[#All],2,0),VLOOKUP(Proc[[#This Row],[Author]],Table4[],2,0))</f>
        <v>HC</v>
      </c>
      <c r="L2023" s="125" t="s">
        <v>2563</v>
      </c>
      <c r="M2023" s="90">
        <v>45807.678356481483</v>
      </c>
      <c r="N2023" s="91">
        <v>45810</v>
      </c>
      <c r="O2023" s="91">
        <v>45810</v>
      </c>
      <c r="P2023" s="90" t="str">
        <f ca="1">IF(Proc[[#This Row],[DaysAgeing]]&gt;5,"yep","on track")</f>
        <v>on track</v>
      </c>
      <c r="Q2023" s="3">
        <f ca="1">IF(Proc[[#This Row],[DateClosed]]="",ABS(NETWORKDAYS(Proc[[#This Row],[DateOpened]],TODAY()))-1,ABS(NETWORKDAYS(Proc[[#This Row],[DateOpened]],Proc[[#This Row],[DateClosed]]))-1)</f>
        <v>1</v>
      </c>
      <c r="R2023" s="90" t="s">
        <v>1013</v>
      </c>
      <c r="S2023" s="94"/>
    </row>
    <row r="2024" spans="1:19" hidden="1">
      <c r="A2024" s="93" t="s">
        <v>3747</v>
      </c>
      <c r="B2024" s="149" t="str">
        <f>IFERROR(VLOOKUP(Proc[[#This Row],[App]],Table2[],3,0),"open")</f>
        <v>ok</v>
      </c>
      <c r="C2024" s="93" t="s">
        <v>369</v>
      </c>
      <c r="D2024" t="s">
        <v>3859</v>
      </c>
      <c r="E2024" t="s">
        <v>4068</v>
      </c>
      <c r="F2024" s="117" t="s">
        <v>4068</v>
      </c>
      <c r="G2024" s="93" t="s">
        <v>400</v>
      </c>
      <c r="H2024" s="94" t="str">
        <f>IF(Proc[[#This Row],[type]]="LFF (MDG-F)",MID(Proc[[#This Row],[Obj]],13,10),"")</f>
        <v/>
      </c>
      <c r="J2024" s="94" t="b">
        <f>Proc[[#This Row],[Requested]]=Proc[[#This Row],[CurrentParent]]</f>
        <v>1</v>
      </c>
      <c r="K2024" s="144" t="str">
        <f>IF(Proc[[#This Row],[Author]]="Marcela Urrego",VLOOKUP(LEFT(Proc[[#This Row],[Requested]],1),Table3[#All],2,0),VLOOKUP(Proc[[#This Row],[Author]],Table4[],2,0))</f>
        <v>HC</v>
      </c>
      <c r="L2024" s="125" t="s">
        <v>2563</v>
      </c>
      <c r="M2024" s="90">
        <v>45807.678356481483</v>
      </c>
      <c r="N2024" s="91">
        <v>45810</v>
      </c>
      <c r="O2024" s="91">
        <v>45810</v>
      </c>
      <c r="P2024" s="90" t="str">
        <f ca="1">IF(Proc[[#This Row],[DaysAgeing]]&gt;5,"yep","on track")</f>
        <v>on track</v>
      </c>
      <c r="Q2024" s="3">
        <f ca="1">IF(Proc[[#This Row],[DateClosed]]="",ABS(NETWORKDAYS(Proc[[#This Row],[DateOpened]],TODAY()))-1,ABS(NETWORKDAYS(Proc[[#This Row],[DateOpened]],Proc[[#This Row],[DateClosed]]))-1)</f>
        <v>1</v>
      </c>
      <c r="R2024" s="90" t="s">
        <v>1013</v>
      </c>
      <c r="S2024" s="94"/>
    </row>
    <row r="2025" spans="1:19" hidden="1">
      <c r="A2025" s="93" t="s">
        <v>3747</v>
      </c>
      <c r="B2025" s="149" t="str">
        <f>IFERROR(VLOOKUP(Proc[[#This Row],[App]],Table2[],3,0),"open")</f>
        <v>ok</v>
      </c>
      <c r="C2025" s="93" t="s">
        <v>369</v>
      </c>
      <c r="D2025" t="s">
        <v>3860</v>
      </c>
      <c r="E2025" t="s">
        <v>4068</v>
      </c>
      <c r="F2025" s="117" t="s">
        <v>4068</v>
      </c>
      <c r="G2025" s="93" t="s">
        <v>400</v>
      </c>
      <c r="H2025" s="94" t="str">
        <f>IF(Proc[[#This Row],[type]]="LFF (MDG-F)",MID(Proc[[#This Row],[Obj]],13,10),"")</f>
        <v/>
      </c>
      <c r="J2025" s="94" t="b">
        <f>Proc[[#This Row],[Requested]]=Proc[[#This Row],[CurrentParent]]</f>
        <v>1</v>
      </c>
      <c r="K2025" s="144" t="str">
        <f>IF(Proc[[#This Row],[Author]]="Marcela Urrego",VLOOKUP(LEFT(Proc[[#This Row],[Requested]],1),Table3[#All],2,0),VLOOKUP(Proc[[#This Row],[Author]],Table4[],2,0))</f>
        <v>HC</v>
      </c>
      <c r="L2025" s="125" t="s">
        <v>2563</v>
      </c>
      <c r="M2025" s="90">
        <v>45807.678356481483</v>
      </c>
      <c r="N2025" s="91">
        <v>45810</v>
      </c>
      <c r="O2025" s="91">
        <v>45810</v>
      </c>
      <c r="P2025" s="90" t="str">
        <f ca="1">IF(Proc[[#This Row],[DaysAgeing]]&gt;5,"yep","on track")</f>
        <v>on track</v>
      </c>
      <c r="Q2025" s="3">
        <f ca="1">IF(Proc[[#This Row],[DateClosed]]="",ABS(NETWORKDAYS(Proc[[#This Row],[DateOpened]],TODAY()))-1,ABS(NETWORKDAYS(Proc[[#This Row],[DateOpened]],Proc[[#This Row],[DateClosed]]))-1)</f>
        <v>1</v>
      </c>
      <c r="R2025" s="90" t="s">
        <v>1013</v>
      </c>
      <c r="S2025" s="94"/>
    </row>
    <row r="2026" spans="1:19" hidden="1">
      <c r="A2026" s="93" t="s">
        <v>3747</v>
      </c>
      <c r="B2026" s="149" t="str">
        <f>IFERROR(VLOOKUP(Proc[[#This Row],[App]],Table2[],3,0),"open")</f>
        <v>ok</v>
      </c>
      <c r="C2026" s="93" t="s">
        <v>369</v>
      </c>
      <c r="D2026" t="s">
        <v>3861</v>
      </c>
      <c r="E2026" t="s">
        <v>4068</v>
      </c>
      <c r="F2026" s="117" t="s">
        <v>4068</v>
      </c>
      <c r="G2026" s="93" t="s">
        <v>400</v>
      </c>
      <c r="H2026" s="94" t="str">
        <f>IF(Proc[[#This Row],[type]]="LFF (MDG-F)",MID(Proc[[#This Row],[Obj]],13,10),"")</f>
        <v/>
      </c>
      <c r="J2026" s="94" t="b">
        <f>Proc[[#This Row],[Requested]]=Proc[[#This Row],[CurrentParent]]</f>
        <v>1</v>
      </c>
      <c r="K2026" s="144" t="str">
        <f>IF(Proc[[#This Row],[Author]]="Marcela Urrego",VLOOKUP(LEFT(Proc[[#This Row],[Requested]],1),Table3[#All],2,0),VLOOKUP(Proc[[#This Row],[Author]],Table4[],2,0))</f>
        <v>HC</v>
      </c>
      <c r="L2026" s="125" t="s">
        <v>2563</v>
      </c>
      <c r="M2026" s="90">
        <v>45807.678356481483</v>
      </c>
      <c r="N2026" s="91">
        <v>45810</v>
      </c>
      <c r="O2026" s="91">
        <v>45810</v>
      </c>
      <c r="P2026" s="90" t="str">
        <f ca="1">IF(Proc[[#This Row],[DaysAgeing]]&gt;5,"yep","on track")</f>
        <v>on track</v>
      </c>
      <c r="Q2026" s="3">
        <f ca="1">IF(Proc[[#This Row],[DateClosed]]="",ABS(NETWORKDAYS(Proc[[#This Row],[DateOpened]],TODAY()))-1,ABS(NETWORKDAYS(Proc[[#This Row],[DateOpened]],Proc[[#This Row],[DateClosed]]))-1)</f>
        <v>1</v>
      </c>
      <c r="R2026" s="90" t="s">
        <v>1013</v>
      </c>
      <c r="S2026" s="94"/>
    </row>
    <row r="2027" spans="1:19" hidden="1">
      <c r="A2027" s="93" t="s">
        <v>3747</v>
      </c>
      <c r="B2027" s="149" t="str">
        <f>IFERROR(VLOOKUP(Proc[[#This Row],[App]],Table2[],3,0),"open")</f>
        <v>ok</v>
      </c>
      <c r="C2027" s="93" t="s">
        <v>369</v>
      </c>
      <c r="D2027" t="s">
        <v>3862</v>
      </c>
      <c r="E2027" t="s">
        <v>4068</v>
      </c>
      <c r="F2027" s="117" t="s">
        <v>4068</v>
      </c>
      <c r="G2027" s="93" t="s">
        <v>400</v>
      </c>
      <c r="H2027" s="94" t="str">
        <f>IF(Proc[[#This Row],[type]]="LFF (MDG-F)",MID(Proc[[#This Row],[Obj]],13,10),"")</f>
        <v/>
      </c>
      <c r="J2027" s="94" t="b">
        <f>Proc[[#This Row],[Requested]]=Proc[[#This Row],[CurrentParent]]</f>
        <v>1</v>
      </c>
      <c r="K2027" s="144" t="str">
        <f>IF(Proc[[#This Row],[Author]]="Marcela Urrego",VLOOKUP(LEFT(Proc[[#This Row],[Requested]],1),Table3[#All],2,0),VLOOKUP(Proc[[#This Row],[Author]],Table4[],2,0))</f>
        <v>HC</v>
      </c>
      <c r="L2027" s="125" t="s">
        <v>2563</v>
      </c>
      <c r="M2027" s="90">
        <v>45807.678356481483</v>
      </c>
      <c r="N2027" s="91">
        <v>45810</v>
      </c>
      <c r="O2027" s="91">
        <v>45810</v>
      </c>
      <c r="P2027" s="90" t="str">
        <f ca="1">IF(Proc[[#This Row],[DaysAgeing]]&gt;5,"yep","on track")</f>
        <v>on track</v>
      </c>
      <c r="Q2027" s="3">
        <f ca="1">IF(Proc[[#This Row],[DateClosed]]="",ABS(NETWORKDAYS(Proc[[#This Row],[DateOpened]],TODAY()))-1,ABS(NETWORKDAYS(Proc[[#This Row],[DateOpened]],Proc[[#This Row],[DateClosed]]))-1)</f>
        <v>1</v>
      </c>
      <c r="R2027" s="90" t="s">
        <v>1013</v>
      </c>
      <c r="S2027" s="94"/>
    </row>
    <row r="2028" spans="1:19" hidden="1">
      <c r="A2028" s="93" t="s">
        <v>3747</v>
      </c>
      <c r="B2028" s="149" t="str">
        <f>IFERROR(VLOOKUP(Proc[[#This Row],[App]],Table2[],3,0),"open")</f>
        <v>ok</v>
      </c>
      <c r="C2028" s="93" t="s">
        <v>369</v>
      </c>
      <c r="D2028" t="s">
        <v>3863</v>
      </c>
      <c r="E2028" t="s">
        <v>4068</v>
      </c>
      <c r="F2028" s="117" t="s">
        <v>4068</v>
      </c>
      <c r="G2028" s="93" t="s">
        <v>400</v>
      </c>
      <c r="H2028" s="94" t="str">
        <f>IF(Proc[[#This Row],[type]]="LFF (MDG-F)",MID(Proc[[#This Row],[Obj]],13,10),"")</f>
        <v/>
      </c>
      <c r="J2028" s="94" t="b">
        <f>Proc[[#This Row],[Requested]]=Proc[[#This Row],[CurrentParent]]</f>
        <v>1</v>
      </c>
      <c r="K2028" s="144" t="str">
        <f>IF(Proc[[#This Row],[Author]]="Marcela Urrego",VLOOKUP(LEFT(Proc[[#This Row],[Requested]],1),Table3[#All],2,0),VLOOKUP(Proc[[#This Row],[Author]],Table4[],2,0))</f>
        <v>HC</v>
      </c>
      <c r="L2028" s="125" t="s">
        <v>2563</v>
      </c>
      <c r="M2028" s="90">
        <v>45807.678356481483</v>
      </c>
      <c r="N2028" s="91">
        <v>45810</v>
      </c>
      <c r="O2028" s="91">
        <v>45810</v>
      </c>
      <c r="P2028" s="90" t="str">
        <f ca="1">IF(Proc[[#This Row],[DaysAgeing]]&gt;5,"yep","on track")</f>
        <v>on track</v>
      </c>
      <c r="Q2028" s="3">
        <f ca="1">IF(Proc[[#This Row],[DateClosed]]="",ABS(NETWORKDAYS(Proc[[#This Row],[DateOpened]],TODAY()))-1,ABS(NETWORKDAYS(Proc[[#This Row],[DateOpened]],Proc[[#This Row],[DateClosed]]))-1)</f>
        <v>1</v>
      </c>
      <c r="R2028" s="90" t="s">
        <v>1013</v>
      </c>
      <c r="S2028" s="94"/>
    </row>
    <row r="2029" spans="1:19" hidden="1">
      <c r="A2029" s="93" t="s">
        <v>3747</v>
      </c>
      <c r="B2029" s="149" t="str">
        <f>IFERROR(VLOOKUP(Proc[[#This Row],[App]],Table2[],3,0),"open")</f>
        <v>ok</v>
      </c>
      <c r="C2029" s="93" t="s">
        <v>369</v>
      </c>
      <c r="D2029" t="s">
        <v>3864</v>
      </c>
      <c r="E2029" t="s">
        <v>4068</v>
      </c>
      <c r="F2029" s="117" t="s">
        <v>4068</v>
      </c>
      <c r="G2029" s="93" t="s">
        <v>400</v>
      </c>
      <c r="H2029" s="94" t="str">
        <f>IF(Proc[[#This Row],[type]]="LFF (MDG-F)",MID(Proc[[#This Row],[Obj]],13,10),"")</f>
        <v/>
      </c>
      <c r="J2029" s="94" t="b">
        <f>Proc[[#This Row],[Requested]]=Proc[[#This Row],[CurrentParent]]</f>
        <v>1</v>
      </c>
      <c r="K2029" s="144" t="str">
        <f>IF(Proc[[#This Row],[Author]]="Marcela Urrego",VLOOKUP(LEFT(Proc[[#This Row],[Requested]],1),Table3[#All],2,0),VLOOKUP(Proc[[#This Row],[Author]],Table4[],2,0))</f>
        <v>HC</v>
      </c>
      <c r="L2029" s="125" t="s">
        <v>2563</v>
      </c>
      <c r="M2029" s="90">
        <v>45807.678356481483</v>
      </c>
      <c r="N2029" s="91">
        <v>45810</v>
      </c>
      <c r="O2029" s="91">
        <v>45810</v>
      </c>
      <c r="P2029" s="90" t="str">
        <f ca="1">IF(Proc[[#This Row],[DaysAgeing]]&gt;5,"yep","on track")</f>
        <v>on track</v>
      </c>
      <c r="Q2029" s="3">
        <f ca="1">IF(Proc[[#This Row],[DateClosed]]="",ABS(NETWORKDAYS(Proc[[#This Row],[DateOpened]],TODAY()))-1,ABS(NETWORKDAYS(Proc[[#This Row],[DateOpened]],Proc[[#This Row],[DateClosed]]))-1)</f>
        <v>1</v>
      </c>
      <c r="R2029" s="90" t="s">
        <v>1013</v>
      </c>
      <c r="S2029" s="94"/>
    </row>
    <row r="2030" spans="1:19" hidden="1">
      <c r="A2030" s="93" t="s">
        <v>3747</v>
      </c>
      <c r="B2030" s="149" t="str">
        <f>IFERROR(VLOOKUP(Proc[[#This Row],[App]],Table2[],3,0),"open")</f>
        <v>ok</v>
      </c>
      <c r="C2030" s="93" t="s">
        <v>369</v>
      </c>
      <c r="D2030" t="s">
        <v>3865</v>
      </c>
      <c r="E2030" t="s">
        <v>4068</v>
      </c>
      <c r="F2030" s="117" t="s">
        <v>4068</v>
      </c>
      <c r="G2030" s="93" t="s">
        <v>400</v>
      </c>
      <c r="H2030" s="94" t="str">
        <f>IF(Proc[[#This Row],[type]]="LFF (MDG-F)",MID(Proc[[#This Row],[Obj]],13,10),"")</f>
        <v/>
      </c>
      <c r="J2030" s="94" t="b">
        <f>Proc[[#This Row],[Requested]]=Proc[[#This Row],[CurrentParent]]</f>
        <v>1</v>
      </c>
      <c r="K2030" s="144" t="str">
        <f>IF(Proc[[#This Row],[Author]]="Marcela Urrego",VLOOKUP(LEFT(Proc[[#This Row],[Requested]],1),Table3[#All],2,0),VLOOKUP(Proc[[#This Row],[Author]],Table4[],2,0))</f>
        <v>HC</v>
      </c>
      <c r="L2030" s="125" t="s">
        <v>2563</v>
      </c>
      <c r="M2030" s="90">
        <v>45807.678356481483</v>
      </c>
      <c r="N2030" s="91">
        <v>45810</v>
      </c>
      <c r="O2030" s="91">
        <v>45810</v>
      </c>
      <c r="P2030" s="90" t="str">
        <f ca="1">IF(Proc[[#This Row],[DaysAgeing]]&gt;5,"yep","on track")</f>
        <v>on track</v>
      </c>
      <c r="Q2030" s="3">
        <f ca="1">IF(Proc[[#This Row],[DateClosed]]="",ABS(NETWORKDAYS(Proc[[#This Row],[DateOpened]],TODAY()))-1,ABS(NETWORKDAYS(Proc[[#This Row],[DateOpened]],Proc[[#This Row],[DateClosed]]))-1)</f>
        <v>1</v>
      </c>
      <c r="R2030" s="90" t="s">
        <v>1013</v>
      </c>
      <c r="S2030" s="94"/>
    </row>
    <row r="2031" spans="1:19" hidden="1">
      <c r="A2031" s="93" t="s">
        <v>3747</v>
      </c>
      <c r="B2031" s="149" t="str">
        <f>IFERROR(VLOOKUP(Proc[[#This Row],[App]],Table2[],3,0),"open")</f>
        <v>ok</v>
      </c>
      <c r="C2031" s="93" t="s">
        <v>369</v>
      </c>
      <c r="D2031" t="s">
        <v>3866</v>
      </c>
      <c r="E2031" t="s">
        <v>4068</v>
      </c>
      <c r="F2031" s="117" t="s">
        <v>4068</v>
      </c>
      <c r="G2031" s="93" t="s">
        <v>400</v>
      </c>
      <c r="H2031" s="94" t="str">
        <f>IF(Proc[[#This Row],[type]]="LFF (MDG-F)",MID(Proc[[#This Row],[Obj]],13,10),"")</f>
        <v/>
      </c>
      <c r="J2031" s="94" t="b">
        <f>Proc[[#This Row],[Requested]]=Proc[[#This Row],[CurrentParent]]</f>
        <v>1</v>
      </c>
      <c r="K2031" s="144" t="str">
        <f>IF(Proc[[#This Row],[Author]]="Marcela Urrego",VLOOKUP(LEFT(Proc[[#This Row],[Requested]],1),Table3[#All],2,0),VLOOKUP(Proc[[#This Row],[Author]],Table4[],2,0))</f>
        <v>HC</v>
      </c>
      <c r="L2031" s="125" t="s">
        <v>2563</v>
      </c>
      <c r="M2031" s="90">
        <v>45807.678356481483</v>
      </c>
      <c r="N2031" s="91">
        <v>45810</v>
      </c>
      <c r="O2031" s="91">
        <v>45810</v>
      </c>
      <c r="P2031" s="90" t="str">
        <f ca="1">IF(Proc[[#This Row],[DaysAgeing]]&gt;5,"yep","on track")</f>
        <v>on track</v>
      </c>
      <c r="Q2031" s="3">
        <f ca="1">IF(Proc[[#This Row],[DateClosed]]="",ABS(NETWORKDAYS(Proc[[#This Row],[DateOpened]],TODAY()))-1,ABS(NETWORKDAYS(Proc[[#This Row],[DateOpened]],Proc[[#This Row],[DateClosed]]))-1)</f>
        <v>1</v>
      </c>
      <c r="R2031" s="90" t="s">
        <v>1013</v>
      </c>
      <c r="S2031" s="94"/>
    </row>
    <row r="2032" spans="1:19" hidden="1">
      <c r="A2032" s="93" t="s">
        <v>3747</v>
      </c>
      <c r="B2032" s="149" t="str">
        <f>IFERROR(VLOOKUP(Proc[[#This Row],[App]],Table2[],3,0),"open")</f>
        <v>ok</v>
      </c>
      <c r="C2032" s="93" t="s">
        <v>369</v>
      </c>
      <c r="D2032" t="s">
        <v>3867</v>
      </c>
      <c r="E2032" t="s">
        <v>4068</v>
      </c>
      <c r="F2032" s="117" t="s">
        <v>4068</v>
      </c>
      <c r="G2032" s="93" t="s">
        <v>400</v>
      </c>
      <c r="H2032" s="94" t="str">
        <f>IF(Proc[[#This Row],[type]]="LFF (MDG-F)",MID(Proc[[#This Row],[Obj]],13,10),"")</f>
        <v/>
      </c>
      <c r="J2032" s="94" t="b">
        <f>Proc[[#This Row],[Requested]]=Proc[[#This Row],[CurrentParent]]</f>
        <v>1</v>
      </c>
      <c r="K2032" s="144" t="str">
        <f>IF(Proc[[#This Row],[Author]]="Marcela Urrego",VLOOKUP(LEFT(Proc[[#This Row],[Requested]],1),Table3[#All],2,0),VLOOKUP(Proc[[#This Row],[Author]],Table4[],2,0))</f>
        <v>HC</v>
      </c>
      <c r="L2032" s="125" t="s">
        <v>2563</v>
      </c>
      <c r="M2032" s="90">
        <v>45807.678356481483</v>
      </c>
      <c r="N2032" s="91">
        <v>45810</v>
      </c>
      <c r="O2032" s="91">
        <v>45810</v>
      </c>
      <c r="P2032" s="90" t="str">
        <f ca="1">IF(Proc[[#This Row],[DaysAgeing]]&gt;5,"yep","on track")</f>
        <v>on track</v>
      </c>
      <c r="Q2032" s="3">
        <f ca="1">IF(Proc[[#This Row],[DateClosed]]="",ABS(NETWORKDAYS(Proc[[#This Row],[DateOpened]],TODAY()))-1,ABS(NETWORKDAYS(Proc[[#This Row],[DateOpened]],Proc[[#This Row],[DateClosed]]))-1)</f>
        <v>1</v>
      </c>
      <c r="R2032" s="90" t="s">
        <v>1013</v>
      </c>
      <c r="S2032" s="94"/>
    </row>
    <row r="2033" spans="1:19" hidden="1">
      <c r="A2033" s="93" t="s">
        <v>3747</v>
      </c>
      <c r="B2033" s="149" t="str">
        <f>IFERROR(VLOOKUP(Proc[[#This Row],[App]],Table2[],3,0),"open")</f>
        <v>ok</v>
      </c>
      <c r="C2033" s="93" t="s">
        <v>369</v>
      </c>
      <c r="D2033" t="s">
        <v>3868</v>
      </c>
      <c r="E2033" t="s">
        <v>4068</v>
      </c>
      <c r="F2033" s="117" t="s">
        <v>4068</v>
      </c>
      <c r="G2033" s="93" t="s">
        <v>400</v>
      </c>
      <c r="H2033" s="94" t="str">
        <f>IF(Proc[[#This Row],[type]]="LFF (MDG-F)",MID(Proc[[#This Row],[Obj]],13,10),"")</f>
        <v/>
      </c>
      <c r="J2033" s="94" t="b">
        <f>Proc[[#This Row],[Requested]]=Proc[[#This Row],[CurrentParent]]</f>
        <v>1</v>
      </c>
      <c r="K2033" s="144" t="str">
        <f>IF(Proc[[#This Row],[Author]]="Marcela Urrego",VLOOKUP(LEFT(Proc[[#This Row],[Requested]],1),Table3[#All],2,0),VLOOKUP(Proc[[#This Row],[Author]],Table4[],2,0))</f>
        <v>HC</v>
      </c>
      <c r="L2033" s="125" t="s">
        <v>2563</v>
      </c>
      <c r="M2033" s="90">
        <v>45807.678356481483</v>
      </c>
      <c r="N2033" s="91">
        <v>45810</v>
      </c>
      <c r="O2033" s="91">
        <v>45810</v>
      </c>
      <c r="P2033" s="90" t="str">
        <f ca="1">IF(Proc[[#This Row],[DaysAgeing]]&gt;5,"yep","on track")</f>
        <v>on track</v>
      </c>
      <c r="Q2033" s="3">
        <f ca="1">IF(Proc[[#This Row],[DateClosed]]="",ABS(NETWORKDAYS(Proc[[#This Row],[DateOpened]],TODAY()))-1,ABS(NETWORKDAYS(Proc[[#This Row],[DateOpened]],Proc[[#This Row],[DateClosed]]))-1)</f>
        <v>1</v>
      </c>
      <c r="R2033" s="90" t="s">
        <v>1013</v>
      </c>
      <c r="S2033" s="94"/>
    </row>
    <row r="2034" spans="1:19" hidden="1">
      <c r="A2034" s="93" t="s">
        <v>3747</v>
      </c>
      <c r="B2034" s="149" t="str">
        <f>IFERROR(VLOOKUP(Proc[[#This Row],[App]],Table2[],3,0),"open")</f>
        <v>ok</v>
      </c>
      <c r="C2034" s="93" t="s">
        <v>369</v>
      </c>
      <c r="D2034" t="s">
        <v>3869</v>
      </c>
      <c r="E2034" t="s">
        <v>4068</v>
      </c>
      <c r="F2034" s="117" t="s">
        <v>4068</v>
      </c>
      <c r="G2034" s="93" t="s">
        <v>400</v>
      </c>
      <c r="H2034" s="94" t="str">
        <f>IF(Proc[[#This Row],[type]]="LFF (MDG-F)",MID(Proc[[#This Row],[Obj]],13,10),"")</f>
        <v/>
      </c>
      <c r="J2034" s="94" t="b">
        <f>Proc[[#This Row],[Requested]]=Proc[[#This Row],[CurrentParent]]</f>
        <v>1</v>
      </c>
      <c r="K2034" s="144" t="str">
        <f>IF(Proc[[#This Row],[Author]]="Marcela Urrego",VLOOKUP(LEFT(Proc[[#This Row],[Requested]],1),Table3[#All],2,0),VLOOKUP(Proc[[#This Row],[Author]],Table4[],2,0))</f>
        <v>HC</v>
      </c>
      <c r="L2034" s="125" t="s">
        <v>2563</v>
      </c>
      <c r="M2034" s="90">
        <v>45807.678356481483</v>
      </c>
      <c r="N2034" s="91">
        <v>45810</v>
      </c>
      <c r="O2034" s="91">
        <v>45810</v>
      </c>
      <c r="P2034" s="90" t="str">
        <f ca="1">IF(Proc[[#This Row],[DaysAgeing]]&gt;5,"yep","on track")</f>
        <v>on track</v>
      </c>
      <c r="Q2034" s="3">
        <f ca="1">IF(Proc[[#This Row],[DateClosed]]="",ABS(NETWORKDAYS(Proc[[#This Row],[DateOpened]],TODAY()))-1,ABS(NETWORKDAYS(Proc[[#This Row],[DateOpened]],Proc[[#This Row],[DateClosed]]))-1)</f>
        <v>1</v>
      </c>
      <c r="R2034" s="90" t="s">
        <v>1013</v>
      </c>
      <c r="S2034" s="94"/>
    </row>
    <row r="2035" spans="1:19" hidden="1">
      <c r="A2035" s="93" t="s">
        <v>3747</v>
      </c>
      <c r="B2035" s="149" t="str">
        <f>IFERROR(VLOOKUP(Proc[[#This Row],[App]],Table2[],3,0),"open")</f>
        <v>ok</v>
      </c>
      <c r="C2035" s="93" t="s">
        <v>369</v>
      </c>
      <c r="D2035" t="s">
        <v>3870</v>
      </c>
      <c r="E2035" t="s">
        <v>4068</v>
      </c>
      <c r="F2035" s="117" t="s">
        <v>4068</v>
      </c>
      <c r="G2035" s="93" t="s">
        <v>400</v>
      </c>
      <c r="H2035" s="94" t="str">
        <f>IF(Proc[[#This Row],[type]]="LFF (MDG-F)",MID(Proc[[#This Row],[Obj]],13,10),"")</f>
        <v/>
      </c>
      <c r="J2035" s="94" t="b">
        <f>Proc[[#This Row],[Requested]]=Proc[[#This Row],[CurrentParent]]</f>
        <v>1</v>
      </c>
      <c r="K2035" s="144" t="str">
        <f>IF(Proc[[#This Row],[Author]]="Marcela Urrego",VLOOKUP(LEFT(Proc[[#This Row],[Requested]],1),Table3[#All],2,0),VLOOKUP(Proc[[#This Row],[Author]],Table4[],2,0))</f>
        <v>HC</v>
      </c>
      <c r="L2035" s="125" t="s">
        <v>2563</v>
      </c>
      <c r="M2035" s="90">
        <v>45807.678356481483</v>
      </c>
      <c r="N2035" s="91">
        <v>45810</v>
      </c>
      <c r="O2035" s="91">
        <v>45810</v>
      </c>
      <c r="P2035" s="90" t="str">
        <f ca="1">IF(Proc[[#This Row],[DaysAgeing]]&gt;5,"yep","on track")</f>
        <v>on track</v>
      </c>
      <c r="Q2035" s="3">
        <f ca="1">IF(Proc[[#This Row],[DateClosed]]="",ABS(NETWORKDAYS(Proc[[#This Row],[DateOpened]],TODAY()))-1,ABS(NETWORKDAYS(Proc[[#This Row],[DateOpened]],Proc[[#This Row],[DateClosed]]))-1)</f>
        <v>1</v>
      </c>
      <c r="R2035" s="90" t="s">
        <v>1013</v>
      </c>
      <c r="S2035" s="94"/>
    </row>
    <row r="2036" spans="1:19" hidden="1">
      <c r="A2036" s="93" t="s">
        <v>3747</v>
      </c>
      <c r="B2036" s="149" t="str">
        <f>IFERROR(VLOOKUP(Proc[[#This Row],[App]],Table2[],3,0),"open")</f>
        <v>ok</v>
      </c>
      <c r="C2036" s="93" t="s">
        <v>369</v>
      </c>
      <c r="D2036" t="s">
        <v>3871</v>
      </c>
      <c r="E2036" t="s">
        <v>4068</v>
      </c>
      <c r="F2036" s="117" t="s">
        <v>4068</v>
      </c>
      <c r="G2036" s="93" t="s">
        <v>400</v>
      </c>
      <c r="H2036" s="94" t="str">
        <f>IF(Proc[[#This Row],[type]]="LFF (MDG-F)",MID(Proc[[#This Row],[Obj]],13,10),"")</f>
        <v/>
      </c>
      <c r="J2036" s="94" t="b">
        <f>Proc[[#This Row],[Requested]]=Proc[[#This Row],[CurrentParent]]</f>
        <v>1</v>
      </c>
      <c r="K2036" s="144" t="str">
        <f>IF(Proc[[#This Row],[Author]]="Marcela Urrego",VLOOKUP(LEFT(Proc[[#This Row],[Requested]],1),Table3[#All],2,0),VLOOKUP(Proc[[#This Row],[Author]],Table4[],2,0))</f>
        <v>HC</v>
      </c>
      <c r="L2036" s="125" t="s">
        <v>2563</v>
      </c>
      <c r="M2036" s="90">
        <v>45807.678356481483</v>
      </c>
      <c r="N2036" s="91">
        <v>45810</v>
      </c>
      <c r="O2036" s="91">
        <v>45810</v>
      </c>
      <c r="P2036" s="90" t="str">
        <f ca="1">IF(Proc[[#This Row],[DaysAgeing]]&gt;5,"yep","on track")</f>
        <v>on track</v>
      </c>
      <c r="Q2036" s="3">
        <f ca="1">IF(Proc[[#This Row],[DateClosed]]="",ABS(NETWORKDAYS(Proc[[#This Row],[DateOpened]],TODAY()))-1,ABS(NETWORKDAYS(Proc[[#This Row],[DateOpened]],Proc[[#This Row],[DateClosed]]))-1)</f>
        <v>1</v>
      </c>
      <c r="R2036" s="90" t="s">
        <v>1013</v>
      </c>
      <c r="S2036" s="94"/>
    </row>
    <row r="2037" spans="1:19" hidden="1">
      <c r="A2037" s="93" t="s">
        <v>3747</v>
      </c>
      <c r="B2037" s="149" t="str">
        <f>IFERROR(VLOOKUP(Proc[[#This Row],[App]],Table2[],3,0),"open")</f>
        <v>ok</v>
      </c>
      <c r="C2037" s="93" t="s">
        <v>369</v>
      </c>
      <c r="D2037" t="s">
        <v>3872</v>
      </c>
      <c r="E2037" t="s">
        <v>4068</v>
      </c>
      <c r="F2037" s="117" t="s">
        <v>4068</v>
      </c>
      <c r="G2037" s="93" t="s">
        <v>400</v>
      </c>
      <c r="H2037" s="94" t="str">
        <f>IF(Proc[[#This Row],[type]]="LFF (MDG-F)",MID(Proc[[#This Row],[Obj]],13,10),"")</f>
        <v/>
      </c>
      <c r="J2037" s="94" t="b">
        <f>Proc[[#This Row],[Requested]]=Proc[[#This Row],[CurrentParent]]</f>
        <v>1</v>
      </c>
      <c r="K2037" s="144" t="str">
        <f>IF(Proc[[#This Row],[Author]]="Marcela Urrego",VLOOKUP(LEFT(Proc[[#This Row],[Requested]],1),Table3[#All],2,0),VLOOKUP(Proc[[#This Row],[Author]],Table4[],2,0))</f>
        <v>HC</v>
      </c>
      <c r="L2037" s="125" t="s">
        <v>2563</v>
      </c>
      <c r="M2037" s="90">
        <v>45807.678356481483</v>
      </c>
      <c r="N2037" s="91">
        <v>45810</v>
      </c>
      <c r="O2037" s="91">
        <v>45810</v>
      </c>
      <c r="P2037" s="90" t="str">
        <f ca="1">IF(Proc[[#This Row],[DaysAgeing]]&gt;5,"yep","on track")</f>
        <v>on track</v>
      </c>
      <c r="Q2037" s="3">
        <f ca="1">IF(Proc[[#This Row],[DateClosed]]="",ABS(NETWORKDAYS(Proc[[#This Row],[DateOpened]],TODAY()))-1,ABS(NETWORKDAYS(Proc[[#This Row],[DateOpened]],Proc[[#This Row],[DateClosed]]))-1)</f>
        <v>1</v>
      </c>
      <c r="R2037" s="90" t="s">
        <v>1013</v>
      </c>
      <c r="S2037" s="94"/>
    </row>
    <row r="2038" spans="1:19" hidden="1">
      <c r="A2038" s="93" t="s">
        <v>3747</v>
      </c>
      <c r="B2038" s="149" t="str">
        <f>IFERROR(VLOOKUP(Proc[[#This Row],[App]],Table2[],3,0),"open")</f>
        <v>ok</v>
      </c>
      <c r="C2038" s="93" t="s">
        <v>369</v>
      </c>
      <c r="D2038" t="s">
        <v>3873</v>
      </c>
      <c r="E2038" t="s">
        <v>4068</v>
      </c>
      <c r="F2038" s="117" t="s">
        <v>4068</v>
      </c>
      <c r="G2038" s="93" t="s">
        <v>400</v>
      </c>
      <c r="H2038" s="94" t="str">
        <f>IF(Proc[[#This Row],[type]]="LFF (MDG-F)",MID(Proc[[#This Row],[Obj]],13,10),"")</f>
        <v/>
      </c>
      <c r="J2038" s="94" t="b">
        <f>Proc[[#This Row],[Requested]]=Proc[[#This Row],[CurrentParent]]</f>
        <v>1</v>
      </c>
      <c r="K2038" s="144" t="str">
        <f>IF(Proc[[#This Row],[Author]]="Marcela Urrego",VLOOKUP(LEFT(Proc[[#This Row],[Requested]],1),Table3[#All],2,0),VLOOKUP(Proc[[#This Row],[Author]],Table4[],2,0))</f>
        <v>HC</v>
      </c>
      <c r="L2038" s="125" t="s">
        <v>2563</v>
      </c>
      <c r="M2038" s="90">
        <v>45807.678356481483</v>
      </c>
      <c r="N2038" s="91">
        <v>45810</v>
      </c>
      <c r="O2038" s="91">
        <v>45810</v>
      </c>
      <c r="P2038" s="90" t="str">
        <f ca="1">IF(Proc[[#This Row],[DaysAgeing]]&gt;5,"yep","on track")</f>
        <v>on track</v>
      </c>
      <c r="Q2038" s="3">
        <f ca="1">IF(Proc[[#This Row],[DateClosed]]="",ABS(NETWORKDAYS(Proc[[#This Row],[DateOpened]],TODAY()))-1,ABS(NETWORKDAYS(Proc[[#This Row],[DateOpened]],Proc[[#This Row],[DateClosed]]))-1)</f>
        <v>1</v>
      </c>
      <c r="R2038" s="90" t="s">
        <v>1013</v>
      </c>
      <c r="S2038" s="94"/>
    </row>
    <row r="2039" spans="1:19" hidden="1">
      <c r="A2039" s="93" t="s">
        <v>3747</v>
      </c>
      <c r="B2039" s="149" t="str">
        <f>IFERROR(VLOOKUP(Proc[[#This Row],[App]],Table2[],3,0),"open")</f>
        <v>ok</v>
      </c>
      <c r="C2039" s="93" t="s">
        <v>369</v>
      </c>
      <c r="D2039" t="s">
        <v>3874</v>
      </c>
      <c r="E2039" t="s">
        <v>4068</v>
      </c>
      <c r="F2039" s="117" t="s">
        <v>4068</v>
      </c>
      <c r="G2039" s="93" t="s">
        <v>400</v>
      </c>
      <c r="H2039" s="94" t="str">
        <f>IF(Proc[[#This Row],[type]]="LFF (MDG-F)",MID(Proc[[#This Row],[Obj]],13,10),"")</f>
        <v/>
      </c>
      <c r="J2039" s="94" t="b">
        <f>Proc[[#This Row],[Requested]]=Proc[[#This Row],[CurrentParent]]</f>
        <v>1</v>
      </c>
      <c r="K2039" s="144" t="str">
        <f>IF(Proc[[#This Row],[Author]]="Marcela Urrego",VLOOKUP(LEFT(Proc[[#This Row],[Requested]],1),Table3[#All],2,0),VLOOKUP(Proc[[#This Row],[Author]],Table4[],2,0))</f>
        <v>HC</v>
      </c>
      <c r="L2039" s="125" t="s">
        <v>2563</v>
      </c>
      <c r="M2039" s="90">
        <v>45807.678356481483</v>
      </c>
      <c r="N2039" s="91">
        <v>45810</v>
      </c>
      <c r="O2039" s="91">
        <v>45810</v>
      </c>
      <c r="P2039" s="90" t="str">
        <f ca="1">IF(Proc[[#This Row],[DaysAgeing]]&gt;5,"yep","on track")</f>
        <v>on track</v>
      </c>
      <c r="Q2039" s="3">
        <f ca="1">IF(Proc[[#This Row],[DateClosed]]="",ABS(NETWORKDAYS(Proc[[#This Row],[DateOpened]],TODAY()))-1,ABS(NETWORKDAYS(Proc[[#This Row],[DateOpened]],Proc[[#This Row],[DateClosed]]))-1)</f>
        <v>1</v>
      </c>
      <c r="R2039" s="90" t="s">
        <v>1013</v>
      </c>
      <c r="S2039" s="94"/>
    </row>
    <row r="2040" spans="1:19" hidden="1">
      <c r="A2040" s="93" t="s">
        <v>3747</v>
      </c>
      <c r="B2040" s="149" t="str">
        <f>IFERROR(VLOOKUP(Proc[[#This Row],[App]],Table2[],3,0),"open")</f>
        <v>ok</v>
      </c>
      <c r="C2040" s="93" t="s">
        <v>369</v>
      </c>
      <c r="D2040" t="s">
        <v>3875</v>
      </c>
      <c r="E2040" t="s">
        <v>4068</v>
      </c>
      <c r="F2040" s="117" t="s">
        <v>4068</v>
      </c>
      <c r="G2040" s="93" t="s">
        <v>400</v>
      </c>
      <c r="H2040" s="94" t="str">
        <f>IF(Proc[[#This Row],[type]]="LFF (MDG-F)",MID(Proc[[#This Row],[Obj]],13,10),"")</f>
        <v/>
      </c>
      <c r="J2040" s="94" t="b">
        <f>Proc[[#This Row],[Requested]]=Proc[[#This Row],[CurrentParent]]</f>
        <v>1</v>
      </c>
      <c r="K2040" s="144" t="str">
        <f>IF(Proc[[#This Row],[Author]]="Marcela Urrego",VLOOKUP(LEFT(Proc[[#This Row],[Requested]],1),Table3[#All],2,0),VLOOKUP(Proc[[#This Row],[Author]],Table4[],2,0))</f>
        <v>HC</v>
      </c>
      <c r="L2040" s="125" t="s">
        <v>2563</v>
      </c>
      <c r="M2040" s="90">
        <v>45807.678356481483</v>
      </c>
      <c r="N2040" s="91">
        <v>45810</v>
      </c>
      <c r="O2040" s="91">
        <v>45810</v>
      </c>
      <c r="P2040" s="90" t="str">
        <f ca="1">IF(Proc[[#This Row],[DaysAgeing]]&gt;5,"yep","on track")</f>
        <v>on track</v>
      </c>
      <c r="Q2040" s="3">
        <f ca="1">IF(Proc[[#This Row],[DateClosed]]="",ABS(NETWORKDAYS(Proc[[#This Row],[DateOpened]],TODAY()))-1,ABS(NETWORKDAYS(Proc[[#This Row],[DateOpened]],Proc[[#This Row],[DateClosed]]))-1)</f>
        <v>1</v>
      </c>
      <c r="R2040" s="90" t="s">
        <v>1013</v>
      </c>
      <c r="S2040" s="94"/>
    </row>
    <row r="2041" spans="1:19" hidden="1">
      <c r="A2041" s="93" t="s">
        <v>3747</v>
      </c>
      <c r="B2041" s="149" t="str">
        <f>IFERROR(VLOOKUP(Proc[[#This Row],[App]],Table2[],3,0),"open")</f>
        <v>ok</v>
      </c>
      <c r="C2041" s="93" t="s">
        <v>369</v>
      </c>
      <c r="D2041" t="s">
        <v>3876</v>
      </c>
      <c r="E2041" t="s">
        <v>4068</v>
      </c>
      <c r="F2041" s="117" t="s">
        <v>4068</v>
      </c>
      <c r="G2041" s="93" t="s">
        <v>400</v>
      </c>
      <c r="H2041" s="94" t="str">
        <f>IF(Proc[[#This Row],[type]]="LFF (MDG-F)",MID(Proc[[#This Row],[Obj]],13,10),"")</f>
        <v/>
      </c>
      <c r="J2041" s="94" t="b">
        <f>Proc[[#This Row],[Requested]]=Proc[[#This Row],[CurrentParent]]</f>
        <v>1</v>
      </c>
      <c r="K2041" s="144" t="str">
        <f>IF(Proc[[#This Row],[Author]]="Marcela Urrego",VLOOKUP(LEFT(Proc[[#This Row],[Requested]],1),Table3[#All],2,0),VLOOKUP(Proc[[#This Row],[Author]],Table4[],2,0))</f>
        <v>HC</v>
      </c>
      <c r="L2041" s="125" t="s">
        <v>2563</v>
      </c>
      <c r="M2041" s="90">
        <v>45807.678356481483</v>
      </c>
      <c r="N2041" s="91">
        <v>45810</v>
      </c>
      <c r="O2041" s="91">
        <v>45810</v>
      </c>
      <c r="P2041" s="90" t="str">
        <f ca="1">IF(Proc[[#This Row],[DaysAgeing]]&gt;5,"yep","on track")</f>
        <v>on track</v>
      </c>
      <c r="Q2041" s="3">
        <f ca="1">IF(Proc[[#This Row],[DateClosed]]="",ABS(NETWORKDAYS(Proc[[#This Row],[DateOpened]],TODAY()))-1,ABS(NETWORKDAYS(Proc[[#This Row],[DateOpened]],Proc[[#This Row],[DateClosed]]))-1)</f>
        <v>1</v>
      </c>
      <c r="R2041" s="90" t="s">
        <v>1013</v>
      </c>
      <c r="S2041" s="94"/>
    </row>
    <row r="2042" spans="1:19" hidden="1">
      <c r="A2042" s="93" t="s">
        <v>3747</v>
      </c>
      <c r="B2042" s="149" t="str">
        <f>IFERROR(VLOOKUP(Proc[[#This Row],[App]],Table2[],3,0),"open")</f>
        <v>ok</v>
      </c>
      <c r="C2042" s="93" t="s">
        <v>369</v>
      </c>
      <c r="D2042" t="s">
        <v>3877</v>
      </c>
      <c r="E2042" t="s">
        <v>4068</v>
      </c>
      <c r="F2042" s="117" t="s">
        <v>4068</v>
      </c>
      <c r="G2042" s="93" t="s">
        <v>400</v>
      </c>
      <c r="H2042" s="94" t="str">
        <f>IF(Proc[[#This Row],[type]]="LFF (MDG-F)",MID(Proc[[#This Row],[Obj]],13,10),"")</f>
        <v/>
      </c>
      <c r="J2042" s="94" t="b">
        <f>Proc[[#This Row],[Requested]]=Proc[[#This Row],[CurrentParent]]</f>
        <v>1</v>
      </c>
      <c r="K2042" s="144" t="str">
        <f>IF(Proc[[#This Row],[Author]]="Marcela Urrego",VLOOKUP(LEFT(Proc[[#This Row],[Requested]],1),Table3[#All],2,0),VLOOKUP(Proc[[#This Row],[Author]],Table4[],2,0))</f>
        <v>HC</v>
      </c>
      <c r="L2042" s="125" t="s">
        <v>2563</v>
      </c>
      <c r="M2042" s="90">
        <v>45807.678356481483</v>
      </c>
      <c r="N2042" s="91">
        <v>45810</v>
      </c>
      <c r="O2042" s="91">
        <v>45810</v>
      </c>
      <c r="P2042" s="90" t="str">
        <f ca="1">IF(Proc[[#This Row],[DaysAgeing]]&gt;5,"yep","on track")</f>
        <v>on track</v>
      </c>
      <c r="Q2042" s="3">
        <f ca="1">IF(Proc[[#This Row],[DateClosed]]="",ABS(NETWORKDAYS(Proc[[#This Row],[DateOpened]],TODAY()))-1,ABS(NETWORKDAYS(Proc[[#This Row],[DateOpened]],Proc[[#This Row],[DateClosed]]))-1)</f>
        <v>1</v>
      </c>
      <c r="R2042" s="90" t="s">
        <v>1013</v>
      </c>
      <c r="S2042" s="94"/>
    </row>
    <row r="2043" spans="1:19" hidden="1">
      <c r="A2043" s="93" t="s">
        <v>3747</v>
      </c>
      <c r="B2043" s="149" t="str">
        <f>IFERROR(VLOOKUP(Proc[[#This Row],[App]],Table2[],3,0),"open")</f>
        <v>ok</v>
      </c>
      <c r="C2043" s="93" t="s">
        <v>369</v>
      </c>
      <c r="D2043" t="s">
        <v>3878</v>
      </c>
      <c r="E2043" t="s">
        <v>4068</v>
      </c>
      <c r="F2043" s="117" t="s">
        <v>4068</v>
      </c>
      <c r="G2043" s="93" t="s">
        <v>400</v>
      </c>
      <c r="H2043" s="94" t="str">
        <f>IF(Proc[[#This Row],[type]]="LFF (MDG-F)",MID(Proc[[#This Row],[Obj]],13,10),"")</f>
        <v/>
      </c>
      <c r="J2043" s="94" t="b">
        <f>Proc[[#This Row],[Requested]]=Proc[[#This Row],[CurrentParent]]</f>
        <v>1</v>
      </c>
      <c r="K2043" s="144" t="str">
        <f>IF(Proc[[#This Row],[Author]]="Marcela Urrego",VLOOKUP(LEFT(Proc[[#This Row],[Requested]],1),Table3[#All],2,0),VLOOKUP(Proc[[#This Row],[Author]],Table4[],2,0))</f>
        <v>HC</v>
      </c>
      <c r="L2043" s="125" t="s">
        <v>2563</v>
      </c>
      <c r="M2043" s="90">
        <v>45807.678356481483</v>
      </c>
      <c r="N2043" s="91">
        <v>45810</v>
      </c>
      <c r="O2043" s="91">
        <v>45810</v>
      </c>
      <c r="P2043" s="90" t="str">
        <f ca="1">IF(Proc[[#This Row],[DaysAgeing]]&gt;5,"yep","on track")</f>
        <v>on track</v>
      </c>
      <c r="Q2043" s="3">
        <f ca="1">IF(Proc[[#This Row],[DateClosed]]="",ABS(NETWORKDAYS(Proc[[#This Row],[DateOpened]],TODAY()))-1,ABS(NETWORKDAYS(Proc[[#This Row],[DateOpened]],Proc[[#This Row],[DateClosed]]))-1)</f>
        <v>1</v>
      </c>
      <c r="R2043" s="90" t="s">
        <v>1013</v>
      </c>
      <c r="S2043" s="94"/>
    </row>
    <row r="2044" spans="1:19" hidden="1">
      <c r="A2044" s="93" t="s">
        <v>3747</v>
      </c>
      <c r="B2044" s="149" t="str">
        <f>IFERROR(VLOOKUP(Proc[[#This Row],[App]],Table2[],3,0),"open")</f>
        <v>ok</v>
      </c>
      <c r="C2044" s="93" t="s">
        <v>369</v>
      </c>
      <c r="D2044" t="s">
        <v>3879</v>
      </c>
      <c r="E2044" t="s">
        <v>4068</v>
      </c>
      <c r="F2044" s="117" t="s">
        <v>4068</v>
      </c>
      <c r="G2044" s="93" t="s">
        <v>400</v>
      </c>
      <c r="H2044" s="94" t="str">
        <f>IF(Proc[[#This Row],[type]]="LFF (MDG-F)",MID(Proc[[#This Row],[Obj]],13,10),"")</f>
        <v/>
      </c>
      <c r="J2044" s="94" t="b">
        <f>Proc[[#This Row],[Requested]]=Proc[[#This Row],[CurrentParent]]</f>
        <v>1</v>
      </c>
      <c r="K2044" s="144" t="str">
        <f>IF(Proc[[#This Row],[Author]]="Marcela Urrego",VLOOKUP(LEFT(Proc[[#This Row],[Requested]],1),Table3[#All],2,0),VLOOKUP(Proc[[#This Row],[Author]],Table4[],2,0))</f>
        <v>HC</v>
      </c>
      <c r="L2044" s="125" t="s">
        <v>2563</v>
      </c>
      <c r="M2044" s="90">
        <v>45807.678356481483</v>
      </c>
      <c r="N2044" s="91">
        <v>45810</v>
      </c>
      <c r="O2044" s="91">
        <v>45810</v>
      </c>
      <c r="P2044" s="90" t="str">
        <f ca="1">IF(Proc[[#This Row],[DaysAgeing]]&gt;5,"yep","on track")</f>
        <v>on track</v>
      </c>
      <c r="Q2044" s="3">
        <f ca="1">IF(Proc[[#This Row],[DateClosed]]="",ABS(NETWORKDAYS(Proc[[#This Row],[DateOpened]],TODAY()))-1,ABS(NETWORKDAYS(Proc[[#This Row],[DateOpened]],Proc[[#This Row],[DateClosed]]))-1)</f>
        <v>1</v>
      </c>
      <c r="R2044" s="90" t="s">
        <v>1013</v>
      </c>
      <c r="S2044" s="94"/>
    </row>
    <row r="2045" spans="1:19" hidden="1">
      <c r="A2045" s="93" t="s">
        <v>3747</v>
      </c>
      <c r="B2045" s="149" t="str">
        <f>IFERROR(VLOOKUP(Proc[[#This Row],[App]],Table2[],3,0),"open")</f>
        <v>ok</v>
      </c>
      <c r="C2045" s="93" t="s">
        <v>369</v>
      </c>
      <c r="D2045" t="s">
        <v>3880</v>
      </c>
      <c r="E2045" t="s">
        <v>4068</v>
      </c>
      <c r="F2045" s="117" t="s">
        <v>4068</v>
      </c>
      <c r="G2045" s="93" t="s">
        <v>400</v>
      </c>
      <c r="H2045" s="94" t="str">
        <f>IF(Proc[[#This Row],[type]]="LFF (MDG-F)",MID(Proc[[#This Row],[Obj]],13,10),"")</f>
        <v/>
      </c>
      <c r="J2045" s="94" t="b">
        <f>Proc[[#This Row],[Requested]]=Proc[[#This Row],[CurrentParent]]</f>
        <v>1</v>
      </c>
      <c r="K2045" s="144" t="str">
        <f>IF(Proc[[#This Row],[Author]]="Marcela Urrego",VLOOKUP(LEFT(Proc[[#This Row],[Requested]],1),Table3[#All],2,0),VLOOKUP(Proc[[#This Row],[Author]],Table4[],2,0))</f>
        <v>HC</v>
      </c>
      <c r="L2045" s="125" t="s">
        <v>2563</v>
      </c>
      <c r="M2045" s="90">
        <v>45807.678356481483</v>
      </c>
      <c r="N2045" s="91">
        <v>45810</v>
      </c>
      <c r="O2045" s="91">
        <v>45810</v>
      </c>
      <c r="P2045" s="90" t="str">
        <f ca="1">IF(Proc[[#This Row],[DaysAgeing]]&gt;5,"yep","on track")</f>
        <v>on track</v>
      </c>
      <c r="Q2045" s="3">
        <f ca="1">IF(Proc[[#This Row],[DateClosed]]="",ABS(NETWORKDAYS(Proc[[#This Row],[DateOpened]],TODAY()))-1,ABS(NETWORKDAYS(Proc[[#This Row],[DateOpened]],Proc[[#This Row],[DateClosed]]))-1)</f>
        <v>1</v>
      </c>
      <c r="R2045" s="90" t="s">
        <v>1013</v>
      </c>
      <c r="S2045" s="94"/>
    </row>
    <row r="2046" spans="1:19" hidden="1">
      <c r="A2046" s="93" t="s">
        <v>3747</v>
      </c>
      <c r="B2046" s="149" t="str">
        <f>IFERROR(VLOOKUP(Proc[[#This Row],[App]],Table2[],3,0),"open")</f>
        <v>ok</v>
      </c>
      <c r="C2046" s="93" t="s">
        <v>369</v>
      </c>
      <c r="D2046" t="s">
        <v>3881</v>
      </c>
      <c r="E2046" t="s">
        <v>2274</v>
      </c>
      <c r="F2046" s="117" t="s">
        <v>2274</v>
      </c>
      <c r="G2046" s="93" t="s">
        <v>400</v>
      </c>
      <c r="H2046" s="94" t="str">
        <f>IF(Proc[[#This Row],[type]]="LFF (MDG-F)",MID(Proc[[#This Row],[Obj]],13,10),"")</f>
        <v/>
      </c>
      <c r="J2046" s="94" t="b">
        <f>Proc[[#This Row],[Requested]]=Proc[[#This Row],[CurrentParent]]</f>
        <v>1</v>
      </c>
      <c r="K2046" s="144" t="str">
        <f>IF(Proc[[#This Row],[Author]]="Marcela Urrego",VLOOKUP(LEFT(Proc[[#This Row],[Requested]],1),Table3[#All],2,0),VLOOKUP(Proc[[#This Row],[Author]],Table4[],2,0))</f>
        <v>HC</v>
      </c>
      <c r="L2046" s="125" t="s">
        <v>2563</v>
      </c>
      <c r="M2046" s="90">
        <v>45807.678356481483</v>
      </c>
      <c r="N2046" s="91">
        <v>45810</v>
      </c>
      <c r="O2046" s="91">
        <v>45810</v>
      </c>
      <c r="P2046" s="90" t="str">
        <f ca="1">IF(Proc[[#This Row],[DaysAgeing]]&gt;5,"yep","on track")</f>
        <v>on track</v>
      </c>
      <c r="Q2046" s="3">
        <f ca="1">IF(Proc[[#This Row],[DateClosed]]="",ABS(NETWORKDAYS(Proc[[#This Row],[DateOpened]],TODAY()))-1,ABS(NETWORKDAYS(Proc[[#This Row],[DateOpened]],Proc[[#This Row],[DateClosed]]))-1)</f>
        <v>1</v>
      </c>
      <c r="R2046" s="90" t="s">
        <v>1013</v>
      </c>
      <c r="S2046" s="94"/>
    </row>
    <row r="2047" spans="1:19" hidden="1">
      <c r="A2047" s="93" t="s">
        <v>3747</v>
      </c>
      <c r="B2047" s="149" t="str">
        <f>IFERROR(VLOOKUP(Proc[[#This Row],[App]],Table2[],3,0),"open")</f>
        <v>ok</v>
      </c>
      <c r="C2047" s="93" t="s">
        <v>369</v>
      </c>
      <c r="D2047" t="s">
        <v>3882</v>
      </c>
      <c r="E2047" t="s">
        <v>2274</v>
      </c>
      <c r="F2047" s="117" t="s">
        <v>2274</v>
      </c>
      <c r="G2047" s="93" t="s">
        <v>400</v>
      </c>
      <c r="H2047" s="94" t="str">
        <f>IF(Proc[[#This Row],[type]]="LFF (MDG-F)",MID(Proc[[#This Row],[Obj]],13,10),"")</f>
        <v/>
      </c>
      <c r="J2047" s="94" t="b">
        <f>Proc[[#This Row],[Requested]]=Proc[[#This Row],[CurrentParent]]</f>
        <v>1</v>
      </c>
      <c r="K2047" s="144" t="str">
        <f>IF(Proc[[#This Row],[Author]]="Marcela Urrego",VLOOKUP(LEFT(Proc[[#This Row],[Requested]],1),Table3[#All],2,0),VLOOKUP(Proc[[#This Row],[Author]],Table4[],2,0))</f>
        <v>HC</v>
      </c>
      <c r="L2047" s="125" t="s">
        <v>2563</v>
      </c>
      <c r="M2047" s="90">
        <v>45807.678356481483</v>
      </c>
      <c r="N2047" s="91">
        <v>45810</v>
      </c>
      <c r="O2047" s="91">
        <v>45810</v>
      </c>
      <c r="P2047" s="90" t="str">
        <f ca="1">IF(Proc[[#This Row],[DaysAgeing]]&gt;5,"yep","on track")</f>
        <v>on track</v>
      </c>
      <c r="Q2047" s="3">
        <f ca="1">IF(Proc[[#This Row],[DateClosed]]="",ABS(NETWORKDAYS(Proc[[#This Row],[DateOpened]],TODAY()))-1,ABS(NETWORKDAYS(Proc[[#This Row],[DateOpened]],Proc[[#This Row],[DateClosed]]))-1)</f>
        <v>1</v>
      </c>
      <c r="R2047" s="90" t="s">
        <v>1013</v>
      </c>
      <c r="S2047" s="94"/>
    </row>
    <row r="2048" spans="1:19" hidden="1">
      <c r="A2048" s="93" t="s">
        <v>3747</v>
      </c>
      <c r="B2048" s="149" t="str">
        <f>IFERROR(VLOOKUP(Proc[[#This Row],[App]],Table2[],3,0),"open")</f>
        <v>ok</v>
      </c>
      <c r="C2048" s="93" t="s">
        <v>369</v>
      </c>
      <c r="D2048" t="s">
        <v>3883</v>
      </c>
      <c r="E2048" t="s">
        <v>4068</v>
      </c>
      <c r="F2048" s="117" t="s">
        <v>4068</v>
      </c>
      <c r="G2048" s="93" t="s">
        <v>400</v>
      </c>
      <c r="H2048" s="94" t="str">
        <f>IF(Proc[[#This Row],[type]]="LFF (MDG-F)",MID(Proc[[#This Row],[Obj]],13,10),"")</f>
        <v/>
      </c>
      <c r="J2048" s="94" t="b">
        <f>Proc[[#This Row],[Requested]]=Proc[[#This Row],[CurrentParent]]</f>
        <v>1</v>
      </c>
      <c r="K2048" s="144" t="str">
        <f>IF(Proc[[#This Row],[Author]]="Marcela Urrego",VLOOKUP(LEFT(Proc[[#This Row],[Requested]],1),Table3[#All],2,0),VLOOKUP(Proc[[#This Row],[Author]],Table4[],2,0))</f>
        <v>HC</v>
      </c>
      <c r="L2048" s="125" t="s">
        <v>2563</v>
      </c>
      <c r="M2048" s="90">
        <v>45807.678356481483</v>
      </c>
      <c r="N2048" s="91">
        <v>45810</v>
      </c>
      <c r="O2048" s="91">
        <v>45810</v>
      </c>
      <c r="P2048" s="90" t="str">
        <f ca="1">IF(Proc[[#This Row],[DaysAgeing]]&gt;5,"yep","on track")</f>
        <v>on track</v>
      </c>
      <c r="Q2048" s="3">
        <f ca="1">IF(Proc[[#This Row],[DateClosed]]="",ABS(NETWORKDAYS(Proc[[#This Row],[DateOpened]],TODAY()))-1,ABS(NETWORKDAYS(Proc[[#This Row],[DateOpened]],Proc[[#This Row],[DateClosed]]))-1)</f>
        <v>1</v>
      </c>
      <c r="R2048" s="90" t="s">
        <v>1013</v>
      </c>
      <c r="S2048" s="94"/>
    </row>
    <row r="2049" spans="1:19" hidden="1">
      <c r="A2049" s="93" t="s">
        <v>3747</v>
      </c>
      <c r="B2049" s="149" t="str">
        <f>IFERROR(VLOOKUP(Proc[[#This Row],[App]],Table2[],3,0),"open")</f>
        <v>ok</v>
      </c>
      <c r="C2049" s="93" t="s">
        <v>369</v>
      </c>
      <c r="D2049" t="s">
        <v>3884</v>
      </c>
      <c r="E2049" t="s">
        <v>4068</v>
      </c>
      <c r="F2049" s="117" t="s">
        <v>4068</v>
      </c>
      <c r="G2049" s="93" t="s">
        <v>400</v>
      </c>
      <c r="H2049" s="94" t="str">
        <f>IF(Proc[[#This Row],[type]]="LFF (MDG-F)",MID(Proc[[#This Row],[Obj]],13,10),"")</f>
        <v/>
      </c>
      <c r="J2049" s="94" t="b">
        <f>Proc[[#This Row],[Requested]]=Proc[[#This Row],[CurrentParent]]</f>
        <v>1</v>
      </c>
      <c r="K2049" s="144" t="str">
        <f>IF(Proc[[#This Row],[Author]]="Marcela Urrego",VLOOKUP(LEFT(Proc[[#This Row],[Requested]],1),Table3[#All],2,0),VLOOKUP(Proc[[#This Row],[Author]],Table4[],2,0))</f>
        <v>HC</v>
      </c>
      <c r="L2049" s="125" t="s">
        <v>2563</v>
      </c>
      <c r="M2049" s="90">
        <v>45807.678356481483</v>
      </c>
      <c r="N2049" s="91">
        <v>45810</v>
      </c>
      <c r="O2049" s="91">
        <v>45810</v>
      </c>
      <c r="P2049" s="90" t="str">
        <f ca="1">IF(Proc[[#This Row],[DaysAgeing]]&gt;5,"yep","on track")</f>
        <v>on track</v>
      </c>
      <c r="Q2049" s="3">
        <f ca="1">IF(Proc[[#This Row],[DateClosed]]="",ABS(NETWORKDAYS(Proc[[#This Row],[DateOpened]],TODAY()))-1,ABS(NETWORKDAYS(Proc[[#This Row],[DateOpened]],Proc[[#This Row],[DateClosed]]))-1)</f>
        <v>1</v>
      </c>
      <c r="R2049" s="90" t="s">
        <v>1013</v>
      </c>
      <c r="S2049" s="94"/>
    </row>
    <row r="2050" spans="1:19" hidden="1">
      <c r="A2050" s="93" t="s">
        <v>3747</v>
      </c>
      <c r="B2050" s="149" t="str">
        <f>IFERROR(VLOOKUP(Proc[[#This Row],[App]],Table2[],3,0),"open")</f>
        <v>ok</v>
      </c>
      <c r="C2050" s="93" t="s">
        <v>369</v>
      </c>
      <c r="D2050" t="s">
        <v>3885</v>
      </c>
      <c r="E2050" t="s">
        <v>4068</v>
      </c>
      <c r="F2050" s="117" t="s">
        <v>4068</v>
      </c>
      <c r="G2050" s="93" t="s">
        <v>400</v>
      </c>
      <c r="H2050" s="94" t="str">
        <f>IF(Proc[[#This Row],[type]]="LFF (MDG-F)",MID(Proc[[#This Row],[Obj]],13,10),"")</f>
        <v/>
      </c>
      <c r="J2050" s="94" t="b">
        <f>Proc[[#This Row],[Requested]]=Proc[[#This Row],[CurrentParent]]</f>
        <v>1</v>
      </c>
      <c r="K2050" s="144" t="str">
        <f>IF(Proc[[#This Row],[Author]]="Marcela Urrego",VLOOKUP(LEFT(Proc[[#This Row],[Requested]],1),Table3[#All],2,0),VLOOKUP(Proc[[#This Row],[Author]],Table4[],2,0))</f>
        <v>HC</v>
      </c>
      <c r="L2050" s="125" t="s">
        <v>2563</v>
      </c>
      <c r="M2050" s="90">
        <v>45807.678356481483</v>
      </c>
      <c r="N2050" s="91">
        <v>45810</v>
      </c>
      <c r="O2050" s="91">
        <v>45810</v>
      </c>
      <c r="P2050" s="90" t="str">
        <f ca="1">IF(Proc[[#This Row],[DaysAgeing]]&gt;5,"yep","on track")</f>
        <v>on track</v>
      </c>
      <c r="Q2050" s="3">
        <f ca="1">IF(Proc[[#This Row],[DateClosed]]="",ABS(NETWORKDAYS(Proc[[#This Row],[DateOpened]],TODAY()))-1,ABS(NETWORKDAYS(Proc[[#This Row],[DateOpened]],Proc[[#This Row],[DateClosed]]))-1)</f>
        <v>1</v>
      </c>
      <c r="R2050" s="90" t="s">
        <v>1013</v>
      </c>
      <c r="S2050" s="94"/>
    </row>
    <row r="2051" spans="1:19" hidden="1">
      <c r="A2051" s="93" t="s">
        <v>3747</v>
      </c>
      <c r="B2051" s="149" t="str">
        <f>IFERROR(VLOOKUP(Proc[[#This Row],[App]],Table2[],3,0),"open")</f>
        <v>ok</v>
      </c>
      <c r="C2051" s="93" t="s">
        <v>369</v>
      </c>
      <c r="D2051" t="s">
        <v>3886</v>
      </c>
      <c r="E2051" t="s">
        <v>4068</v>
      </c>
      <c r="F2051" s="117" t="s">
        <v>4068</v>
      </c>
      <c r="G2051" s="93" t="s">
        <v>400</v>
      </c>
      <c r="H2051" s="94" t="str">
        <f>IF(Proc[[#This Row],[type]]="LFF (MDG-F)",MID(Proc[[#This Row],[Obj]],13,10),"")</f>
        <v/>
      </c>
      <c r="J2051" s="94" t="b">
        <f>Proc[[#This Row],[Requested]]=Proc[[#This Row],[CurrentParent]]</f>
        <v>1</v>
      </c>
      <c r="K2051" s="144" t="str">
        <f>IF(Proc[[#This Row],[Author]]="Marcela Urrego",VLOOKUP(LEFT(Proc[[#This Row],[Requested]],1),Table3[#All],2,0),VLOOKUP(Proc[[#This Row],[Author]],Table4[],2,0))</f>
        <v>HC</v>
      </c>
      <c r="L2051" s="125" t="s">
        <v>2563</v>
      </c>
      <c r="M2051" s="90">
        <v>45807.678356481483</v>
      </c>
      <c r="N2051" s="91">
        <v>45810</v>
      </c>
      <c r="O2051" s="91">
        <v>45810</v>
      </c>
      <c r="P2051" s="90" t="str">
        <f ca="1">IF(Proc[[#This Row],[DaysAgeing]]&gt;5,"yep","on track")</f>
        <v>on track</v>
      </c>
      <c r="Q2051" s="3">
        <f ca="1">IF(Proc[[#This Row],[DateClosed]]="",ABS(NETWORKDAYS(Proc[[#This Row],[DateOpened]],TODAY()))-1,ABS(NETWORKDAYS(Proc[[#This Row],[DateOpened]],Proc[[#This Row],[DateClosed]]))-1)</f>
        <v>1</v>
      </c>
      <c r="R2051" s="90" t="s">
        <v>1013</v>
      </c>
      <c r="S2051" s="94"/>
    </row>
    <row r="2052" spans="1:19" hidden="1">
      <c r="A2052" s="93" t="s">
        <v>3747</v>
      </c>
      <c r="B2052" s="149" t="str">
        <f>IFERROR(VLOOKUP(Proc[[#This Row],[App]],Table2[],3,0),"open")</f>
        <v>ok</v>
      </c>
      <c r="C2052" s="93" t="s">
        <v>369</v>
      </c>
      <c r="D2052" t="s">
        <v>3887</v>
      </c>
      <c r="E2052" t="s">
        <v>4068</v>
      </c>
      <c r="F2052" s="117" t="s">
        <v>4068</v>
      </c>
      <c r="G2052" s="93" t="s">
        <v>400</v>
      </c>
      <c r="H2052" s="94" t="str">
        <f>IF(Proc[[#This Row],[type]]="LFF (MDG-F)",MID(Proc[[#This Row],[Obj]],13,10),"")</f>
        <v/>
      </c>
      <c r="J2052" s="94" t="b">
        <f>Proc[[#This Row],[Requested]]=Proc[[#This Row],[CurrentParent]]</f>
        <v>1</v>
      </c>
      <c r="K2052" s="144" t="str">
        <f>IF(Proc[[#This Row],[Author]]="Marcela Urrego",VLOOKUP(LEFT(Proc[[#This Row],[Requested]],1),Table3[#All],2,0),VLOOKUP(Proc[[#This Row],[Author]],Table4[],2,0))</f>
        <v>HC</v>
      </c>
      <c r="L2052" s="125" t="s">
        <v>2563</v>
      </c>
      <c r="M2052" s="90">
        <v>45807.678356481483</v>
      </c>
      <c r="N2052" s="91">
        <v>45810</v>
      </c>
      <c r="O2052" s="91">
        <v>45810</v>
      </c>
      <c r="P2052" s="90" t="str">
        <f ca="1">IF(Proc[[#This Row],[DaysAgeing]]&gt;5,"yep","on track")</f>
        <v>on track</v>
      </c>
      <c r="Q2052" s="3">
        <f ca="1">IF(Proc[[#This Row],[DateClosed]]="",ABS(NETWORKDAYS(Proc[[#This Row],[DateOpened]],TODAY()))-1,ABS(NETWORKDAYS(Proc[[#This Row],[DateOpened]],Proc[[#This Row],[DateClosed]]))-1)</f>
        <v>1</v>
      </c>
      <c r="R2052" s="90" t="s">
        <v>1013</v>
      </c>
      <c r="S2052" s="94"/>
    </row>
    <row r="2053" spans="1:19" hidden="1">
      <c r="A2053" s="93" t="s">
        <v>3747</v>
      </c>
      <c r="B2053" s="149" t="str">
        <f>IFERROR(VLOOKUP(Proc[[#This Row],[App]],Table2[],3,0),"open")</f>
        <v>ok</v>
      </c>
      <c r="C2053" s="93" t="s">
        <v>369</v>
      </c>
      <c r="D2053" t="s">
        <v>3888</v>
      </c>
      <c r="E2053" t="s">
        <v>4068</v>
      </c>
      <c r="F2053" s="117" t="s">
        <v>4068</v>
      </c>
      <c r="G2053" s="93" t="s">
        <v>400</v>
      </c>
      <c r="H2053" s="94" t="str">
        <f>IF(Proc[[#This Row],[type]]="LFF (MDG-F)",MID(Proc[[#This Row],[Obj]],13,10),"")</f>
        <v/>
      </c>
      <c r="J2053" s="94" t="b">
        <f>Proc[[#This Row],[Requested]]=Proc[[#This Row],[CurrentParent]]</f>
        <v>1</v>
      </c>
      <c r="K2053" s="144" t="str">
        <f>IF(Proc[[#This Row],[Author]]="Marcela Urrego",VLOOKUP(LEFT(Proc[[#This Row],[Requested]],1),Table3[#All],2,0),VLOOKUP(Proc[[#This Row],[Author]],Table4[],2,0))</f>
        <v>HC</v>
      </c>
      <c r="L2053" s="125" t="s">
        <v>2563</v>
      </c>
      <c r="M2053" s="90">
        <v>45807.678356481483</v>
      </c>
      <c r="N2053" s="91">
        <v>45810</v>
      </c>
      <c r="O2053" s="91">
        <v>45810</v>
      </c>
      <c r="P2053" s="90" t="str">
        <f ca="1">IF(Proc[[#This Row],[DaysAgeing]]&gt;5,"yep","on track")</f>
        <v>on track</v>
      </c>
      <c r="Q2053" s="3">
        <f ca="1">IF(Proc[[#This Row],[DateClosed]]="",ABS(NETWORKDAYS(Proc[[#This Row],[DateOpened]],TODAY()))-1,ABS(NETWORKDAYS(Proc[[#This Row],[DateOpened]],Proc[[#This Row],[DateClosed]]))-1)</f>
        <v>1</v>
      </c>
      <c r="R2053" s="90" t="s">
        <v>1013</v>
      </c>
      <c r="S2053" s="94"/>
    </row>
    <row r="2054" spans="1:19" hidden="1">
      <c r="A2054" s="93" t="s">
        <v>3747</v>
      </c>
      <c r="B2054" s="149" t="str">
        <f>IFERROR(VLOOKUP(Proc[[#This Row],[App]],Table2[],3,0),"open")</f>
        <v>ok</v>
      </c>
      <c r="C2054" s="93" t="s">
        <v>369</v>
      </c>
      <c r="D2054" t="s">
        <v>3889</v>
      </c>
      <c r="E2054" t="s">
        <v>4068</v>
      </c>
      <c r="F2054" s="117" t="s">
        <v>4068</v>
      </c>
      <c r="G2054" s="93" t="s">
        <v>400</v>
      </c>
      <c r="H2054" s="94" t="str">
        <f>IF(Proc[[#This Row],[type]]="LFF (MDG-F)",MID(Proc[[#This Row],[Obj]],13,10),"")</f>
        <v/>
      </c>
      <c r="J2054" s="94" t="b">
        <f>Proc[[#This Row],[Requested]]=Proc[[#This Row],[CurrentParent]]</f>
        <v>1</v>
      </c>
      <c r="K2054" s="144" t="str">
        <f>IF(Proc[[#This Row],[Author]]="Marcela Urrego",VLOOKUP(LEFT(Proc[[#This Row],[Requested]],1),Table3[#All],2,0),VLOOKUP(Proc[[#This Row],[Author]],Table4[],2,0))</f>
        <v>HC</v>
      </c>
      <c r="L2054" s="125" t="s">
        <v>2563</v>
      </c>
      <c r="M2054" s="90">
        <v>45807.678356481483</v>
      </c>
      <c r="N2054" s="91">
        <v>45810</v>
      </c>
      <c r="O2054" s="91">
        <v>45810</v>
      </c>
      <c r="P2054" s="90" t="str">
        <f ca="1">IF(Proc[[#This Row],[DaysAgeing]]&gt;5,"yep","on track")</f>
        <v>on track</v>
      </c>
      <c r="Q2054" s="3">
        <f ca="1">IF(Proc[[#This Row],[DateClosed]]="",ABS(NETWORKDAYS(Proc[[#This Row],[DateOpened]],TODAY()))-1,ABS(NETWORKDAYS(Proc[[#This Row],[DateOpened]],Proc[[#This Row],[DateClosed]]))-1)</f>
        <v>1</v>
      </c>
      <c r="R2054" s="90" t="s">
        <v>1013</v>
      </c>
      <c r="S2054" s="94"/>
    </row>
    <row r="2055" spans="1:19" hidden="1">
      <c r="A2055" s="93" t="s">
        <v>3747</v>
      </c>
      <c r="B2055" s="149" t="str">
        <f>IFERROR(VLOOKUP(Proc[[#This Row],[App]],Table2[],3,0),"open")</f>
        <v>ok</v>
      </c>
      <c r="C2055" s="93" t="s">
        <v>369</v>
      </c>
      <c r="D2055" t="s">
        <v>3890</v>
      </c>
      <c r="E2055" t="s">
        <v>4068</v>
      </c>
      <c r="F2055" s="117" t="s">
        <v>4068</v>
      </c>
      <c r="G2055" s="93" t="s">
        <v>400</v>
      </c>
      <c r="H2055" s="94" t="str">
        <f>IF(Proc[[#This Row],[type]]="LFF (MDG-F)",MID(Proc[[#This Row],[Obj]],13,10),"")</f>
        <v/>
      </c>
      <c r="J2055" s="94" t="b">
        <f>Proc[[#This Row],[Requested]]=Proc[[#This Row],[CurrentParent]]</f>
        <v>1</v>
      </c>
      <c r="K2055" s="144" t="str">
        <f>IF(Proc[[#This Row],[Author]]="Marcela Urrego",VLOOKUP(LEFT(Proc[[#This Row],[Requested]],1),Table3[#All],2,0),VLOOKUP(Proc[[#This Row],[Author]],Table4[],2,0))</f>
        <v>HC</v>
      </c>
      <c r="L2055" s="125" t="s">
        <v>2563</v>
      </c>
      <c r="M2055" s="90">
        <v>45807.678356481483</v>
      </c>
      <c r="N2055" s="91">
        <v>45810</v>
      </c>
      <c r="O2055" s="91">
        <v>45810</v>
      </c>
      <c r="P2055" s="90" t="str">
        <f ca="1">IF(Proc[[#This Row],[DaysAgeing]]&gt;5,"yep","on track")</f>
        <v>on track</v>
      </c>
      <c r="Q2055" s="3">
        <f ca="1">IF(Proc[[#This Row],[DateClosed]]="",ABS(NETWORKDAYS(Proc[[#This Row],[DateOpened]],TODAY()))-1,ABS(NETWORKDAYS(Proc[[#This Row],[DateOpened]],Proc[[#This Row],[DateClosed]]))-1)</f>
        <v>1</v>
      </c>
      <c r="R2055" s="90" t="s">
        <v>1013</v>
      </c>
      <c r="S2055" s="94"/>
    </row>
    <row r="2056" spans="1:19" hidden="1">
      <c r="A2056" s="93" t="s">
        <v>3747</v>
      </c>
      <c r="B2056" s="149" t="str">
        <f>IFERROR(VLOOKUP(Proc[[#This Row],[App]],Table2[],3,0),"open")</f>
        <v>ok</v>
      </c>
      <c r="C2056" s="93" t="s">
        <v>369</v>
      </c>
      <c r="D2056" t="s">
        <v>3891</v>
      </c>
      <c r="E2056" t="s">
        <v>4068</v>
      </c>
      <c r="F2056" s="117" t="s">
        <v>4068</v>
      </c>
      <c r="G2056" s="93" t="s">
        <v>400</v>
      </c>
      <c r="H2056" s="94" t="str">
        <f>IF(Proc[[#This Row],[type]]="LFF (MDG-F)",MID(Proc[[#This Row],[Obj]],13,10),"")</f>
        <v/>
      </c>
      <c r="J2056" s="94" t="b">
        <f>Proc[[#This Row],[Requested]]=Proc[[#This Row],[CurrentParent]]</f>
        <v>1</v>
      </c>
      <c r="K2056" s="144" t="str">
        <f>IF(Proc[[#This Row],[Author]]="Marcela Urrego",VLOOKUP(LEFT(Proc[[#This Row],[Requested]],1),Table3[#All],2,0),VLOOKUP(Proc[[#This Row],[Author]],Table4[],2,0))</f>
        <v>HC</v>
      </c>
      <c r="L2056" s="125" t="s">
        <v>2563</v>
      </c>
      <c r="M2056" s="90">
        <v>45807.678356481483</v>
      </c>
      <c r="N2056" s="91">
        <v>45810</v>
      </c>
      <c r="O2056" s="91">
        <v>45810</v>
      </c>
      <c r="P2056" s="90" t="str">
        <f ca="1">IF(Proc[[#This Row],[DaysAgeing]]&gt;5,"yep","on track")</f>
        <v>on track</v>
      </c>
      <c r="Q2056" s="3">
        <f ca="1">IF(Proc[[#This Row],[DateClosed]]="",ABS(NETWORKDAYS(Proc[[#This Row],[DateOpened]],TODAY()))-1,ABS(NETWORKDAYS(Proc[[#This Row],[DateOpened]],Proc[[#This Row],[DateClosed]]))-1)</f>
        <v>1</v>
      </c>
      <c r="R2056" s="90" t="s">
        <v>1013</v>
      </c>
      <c r="S2056" s="94"/>
    </row>
    <row r="2057" spans="1:19" hidden="1">
      <c r="A2057" s="93" t="s">
        <v>3747</v>
      </c>
      <c r="B2057" s="149" t="str">
        <f>IFERROR(VLOOKUP(Proc[[#This Row],[App]],Table2[],3,0),"open")</f>
        <v>ok</v>
      </c>
      <c r="C2057" s="93" t="s">
        <v>369</v>
      </c>
      <c r="D2057" t="s">
        <v>3892</v>
      </c>
      <c r="E2057" t="s">
        <v>4068</v>
      </c>
      <c r="F2057" s="117" t="s">
        <v>4068</v>
      </c>
      <c r="G2057" s="93" t="s">
        <v>400</v>
      </c>
      <c r="H2057" s="94" t="str">
        <f>IF(Proc[[#This Row],[type]]="LFF (MDG-F)",MID(Proc[[#This Row],[Obj]],13,10),"")</f>
        <v/>
      </c>
      <c r="J2057" s="94" t="b">
        <f>Proc[[#This Row],[Requested]]=Proc[[#This Row],[CurrentParent]]</f>
        <v>1</v>
      </c>
      <c r="K2057" s="144" t="str">
        <f>IF(Proc[[#This Row],[Author]]="Marcela Urrego",VLOOKUP(LEFT(Proc[[#This Row],[Requested]],1),Table3[#All],2,0),VLOOKUP(Proc[[#This Row],[Author]],Table4[],2,0))</f>
        <v>HC</v>
      </c>
      <c r="L2057" s="125" t="s">
        <v>2563</v>
      </c>
      <c r="M2057" s="90">
        <v>45807.678356481483</v>
      </c>
      <c r="N2057" s="91">
        <v>45810</v>
      </c>
      <c r="O2057" s="91">
        <v>45810</v>
      </c>
      <c r="P2057" s="90" t="str">
        <f ca="1">IF(Proc[[#This Row],[DaysAgeing]]&gt;5,"yep","on track")</f>
        <v>on track</v>
      </c>
      <c r="Q2057" s="3">
        <f ca="1">IF(Proc[[#This Row],[DateClosed]]="",ABS(NETWORKDAYS(Proc[[#This Row],[DateOpened]],TODAY()))-1,ABS(NETWORKDAYS(Proc[[#This Row],[DateOpened]],Proc[[#This Row],[DateClosed]]))-1)</f>
        <v>1</v>
      </c>
      <c r="R2057" s="90" t="s">
        <v>1013</v>
      </c>
      <c r="S2057" s="94"/>
    </row>
    <row r="2058" spans="1:19" hidden="1">
      <c r="A2058" s="93" t="s">
        <v>3747</v>
      </c>
      <c r="B2058" s="149" t="str">
        <f>IFERROR(VLOOKUP(Proc[[#This Row],[App]],Table2[],3,0),"open")</f>
        <v>ok</v>
      </c>
      <c r="C2058" s="93" t="s">
        <v>369</v>
      </c>
      <c r="D2058" t="s">
        <v>3893</v>
      </c>
      <c r="E2058" t="s">
        <v>4068</v>
      </c>
      <c r="F2058" s="117" t="s">
        <v>4068</v>
      </c>
      <c r="G2058" s="93" t="s">
        <v>400</v>
      </c>
      <c r="H2058" s="94" t="str">
        <f>IF(Proc[[#This Row],[type]]="LFF (MDG-F)",MID(Proc[[#This Row],[Obj]],13,10),"")</f>
        <v/>
      </c>
      <c r="J2058" s="94" t="b">
        <f>Proc[[#This Row],[Requested]]=Proc[[#This Row],[CurrentParent]]</f>
        <v>1</v>
      </c>
      <c r="K2058" s="144" t="str">
        <f>IF(Proc[[#This Row],[Author]]="Marcela Urrego",VLOOKUP(LEFT(Proc[[#This Row],[Requested]],1),Table3[#All],2,0),VLOOKUP(Proc[[#This Row],[Author]],Table4[],2,0))</f>
        <v>HC</v>
      </c>
      <c r="L2058" s="125" t="s">
        <v>2563</v>
      </c>
      <c r="M2058" s="90">
        <v>45807.678356481483</v>
      </c>
      <c r="N2058" s="91">
        <v>45810</v>
      </c>
      <c r="O2058" s="91">
        <v>45810</v>
      </c>
      <c r="P2058" s="90" t="str">
        <f ca="1">IF(Proc[[#This Row],[DaysAgeing]]&gt;5,"yep","on track")</f>
        <v>on track</v>
      </c>
      <c r="Q2058" s="3">
        <f ca="1">IF(Proc[[#This Row],[DateClosed]]="",ABS(NETWORKDAYS(Proc[[#This Row],[DateOpened]],TODAY()))-1,ABS(NETWORKDAYS(Proc[[#This Row],[DateOpened]],Proc[[#This Row],[DateClosed]]))-1)</f>
        <v>1</v>
      </c>
      <c r="R2058" s="90" t="s">
        <v>1013</v>
      </c>
      <c r="S2058" s="94"/>
    </row>
    <row r="2059" spans="1:19" hidden="1">
      <c r="A2059" s="93" t="s">
        <v>3747</v>
      </c>
      <c r="B2059" s="149" t="str">
        <f>IFERROR(VLOOKUP(Proc[[#This Row],[App]],Table2[],3,0),"open")</f>
        <v>ok</v>
      </c>
      <c r="C2059" s="93" t="s">
        <v>369</v>
      </c>
      <c r="D2059" t="s">
        <v>3894</v>
      </c>
      <c r="E2059" t="s">
        <v>4068</v>
      </c>
      <c r="F2059" s="117" t="s">
        <v>4068</v>
      </c>
      <c r="G2059" s="93" t="s">
        <v>400</v>
      </c>
      <c r="H2059" s="94" t="str">
        <f>IF(Proc[[#This Row],[type]]="LFF (MDG-F)",MID(Proc[[#This Row],[Obj]],13,10),"")</f>
        <v/>
      </c>
      <c r="J2059" s="94" t="b">
        <f>Proc[[#This Row],[Requested]]=Proc[[#This Row],[CurrentParent]]</f>
        <v>1</v>
      </c>
      <c r="K2059" s="144" t="str">
        <f>IF(Proc[[#This Row],[Author]]="Marcela Urrego",VLOOKUP(LEFT(Proc[[#This Row],[Requested]],1),Table3[#All],2,0),VLOOKUP(Proc[[#This Row],[Author]],Table4[],2,0))</f>
        <v>HC</v>
      </c>
      <c r="L2059" s="125" t="s">
        <v>2563</v>
      </c>
      <c r="M2059" s="90">
        <v>45807.678356481483</v>
      </c>
      <c r="N2059" s="91">
        <v>45810</v>
      </c>
      <c r="O2059" s="91">
        <v>45810</v>
      </c>
      <c r="P2059" s="90" t="str">
        <f ca="1">IF(Proc[[#This Row],[DaysAgeing]]&gt;5,"yep","on track")</f>
        <v>on track</v>
      </c>
      <c r="Q2059" s="3">
        <f ca="1">IF(Proc[[#This Row],[DateClosed]]="",ABS(NETWORKDAYS(Proc[[#This Row],[DateOpened]],TODAY()))-1,ABS(NETWORKDAYS(Proc[[#This Row],[DateOpened]],Proc[[#This Row],[DateClosed]]))-1)</f>
        <v>1</v>
      </c>
      <c r="R2059" s="90" t="s">
        <v>1013</v>
      </c>
      <c r="S2059" s="94"/>
    </row>
    <row r="2060" spans="1:19" hidden="1">
      <c r="A2060" s="93" t="s">
        <v>3747</v>
      </c>
      <c r="B2060" s="149" t="str">
        <f>IFERROR(VLOOKUP(Proc[[#This Row],[App]],Table2[],3,0),"open")</f>
        <v>ok</v>
      </c>
      <c r="C2060" s="93" t="s">
        <v>369</v>
      </c>
      <c r="D2060" t="s">
        <v>3895</v>
      </c>
      <c r="E2060" t="s">
        <v>4068</v>
      </c>
      <c r="F2060" s="117" t="s">
        <v>4068</v>
      </c>
      <c r="G2060" s="93" t="s">
        <v>400</v>
      </c>
      <c r="H2060" s="94" t="str">
        <f>IF(Proc[[#This Row],[type]]="LFF (MDG-F)",MID(Proc[[#This Row],[Obj]],13,10),"")</f>
        <v/>
      </c>
      <c r="J2060" s="94" t="b">
        <f>Proc[[#This Row],[Requested]]=Proc[[#This Row],[CurrentParent]]</f>
        <v>1</v>
      </c>
      <c r="K2060" s="144" t="str">
        <f>IF(Proc[[#This Row],[Author]]="Marcela Urrego",VLOOKUP(LEFT(Proc[[#This Row],[Requested]],1),Table3[#All],2,0),VLOOKUP(Proc[[#This Row],[Author]],Table4[],2,0))</f>
        <v>HC</v>
      </c>
      <c r="L2060" s="125" t="s">
        <v>2563</v>
      </c>
      <c r="M2060" s="90">
        <v>45807.678356481483</v>
      </c>
      <c r="N2060" s="91">
        <v>45810</v>
      </c>
      <c r="O2060" s="91">
        <v>45810</v>
      </c>
      <c r="P2060" s="90" t="str">
        <f ca="1">IF(Proc[[#This Row],[DaysAgeing]]&gt;5,"yep","on track")</f>
        <v>on track</v>
      </c>
      <c r="Q2060" s="3">
        <f ca="1">IF(Proc[[#This Row],[DateClosed]]="",ABS(NETWORKDAYS(Proc[[#This Row],[DateOpened]],TODAY()))-1,ABS(NETWORKDAYS(Proc[[#This Row],[DateOpened]],Proc[[#This Row],[DateClosed]]))-1)</f>
        <v>1</v>
      </c>
      <c r="R2060" s="90" t="s">
        <v>1013</v>
      </c>
      <c r="S2060" s="94"/>
    </row>
    <row r="2061" spans="1:19" hidden="1">
      <c r="A2061" s="93" t="s">
        <v>3747</v>
      </c>
      <c r="B2061" s="149" t="str">
        <f>IFERROR(VLOOKUP(Proc[[#This Row],[App]],Table2[],3,0),"open")</f>
        <v>ok</v>
      </c>
      <c r="C2061" s="93" t="s">
        <v>369</v>
      </c>
      <c r="D2061" t="s">
        <v>3896</v>
      </c>
      <c r="E2061" t="s">
        <v>4068</v>
      </c>
      <c r="F2061" s="117" t="s">
        <v>4068</v>
      </c>
      <c r="G2061" s="93" t="s">
        <v>400</v>
      </c>
      <c r="H2061" s="94" t="str">
        <f>IF(Proc[[#This Row],[type]]="LFF (MDG-F)",MID(Proc[[#This Row],[Obj]],13,10),"")</f>
        <v/>
      </c>
      <c r="J2061" s="94" t="b">
        <f>Proc[[#This Row],[Requested]]=Proc[[#This Row],[CurrentParent]]</f>
        <v>1</v>
      </c>
      <c r="K2061" s="144" t="str">
        <f>IF(Proc[[#This Row],[Author]]="Marcela Urrego",VLOOKUP(LEFT(Proc[[#This Row],[Requested]],1),Table3[#All],2,0),VLOOKUP(Proc[[#This Row],[Author]],Table4[],2,0))</f>
        <v>HC</v>
      </c>
      <c r="L2061" s="125" t="s">
        <v>2563</v>
      </c>
      <c r="M2061" s="90">
        <v>45807.678356481483</v>
      </c>
      <c r="N2061" s="91">
        <v>45810</v>
      </c>
      <c r="O2061" s="91">
        <v>45810</v>
      </c>
      <c r="P2061" s="90" t="str">
        <f ca="1">IF(Proc[[#This Row],[DaysAgeing]]&gt;5,"yep","on track")</f>
        <v>on track</v>
      </c>
      <c r="Q2061" s="3">
        <f ca="1">IF(Proc[[#This Row],[DateClosed]]="",ABS(NETWORKDAYS(Proc[[#This Row],[DateOpened]],TODAY()))-1,ABS(NETWORKDAYS(Proc[[#This Row],[DateOpened]],Proc[[#This Row],[DateClosed]]))-1)</f>
        <v>1</v>
      </c>
      <c r="R2061" s="90" t="s">
        <v>1013</v>
      </c>
      <c r="S2061" s="94"/>
    </row>
    <row r="2062" spans="1:19" hidden="1">
      <c r="A2062" s="93" t="s">
        <v>3747</v>
      </c>
      <c r="B2062" s="149" t="str">
        <f>IFERROR(VLOOKUP(Proc[[#This Row],[App]],Table2[],3,0),"open")</f>
        <v>ok</v>
      </c>
      <c r="C2062" s="93" t="s">
        <v>369</v>
      </c>
      <c r="D2062" t="s">
        <v>3897</v>
      </c>
      <c r="E2062" t="s">
        <v>4068</v>
      </c>
      <c r="F2062" s="117" t="s">
        <v>4068</v>
      </c>
      <c r="G2062" s="93" t="s">
        <v>400</v>
      </c>
      <c r="H2062" s="94" t="str">
        <f>IF(Proc[[#This Row],[type]]="LFF (MDG-F)",MID(Proc[[#This Row],[Obj]],13,10),"")</f>
        <v/>
      </c>
      <c r="J2062" s="94" t="b">
        <f>Proc[[#This Row],[Requested]]=Proc[[#This Row],[CurrentParent]]</f>
        <v>1</v>
      </c>
      <c r="K2062" s="144" t="str">
        <f>IF(Proc[[#This Row],[Author]]="Marcela Urrego",VLOOKUP(LEFT(Proc[[#This Row],[Requested]],1),Table3[#All],2,0),VLOOKUP(Proc[[#This Row],[Author]],Table4[],2,0))</f>
        <v>HC</v>
      </c>
      <c r="L2062" s="125" t="s">
        <v>2563</v>
      </c>
      <c r="M2062" s="90">
        <v>45807.678356481483</v>
      </c>
      <c r="N2062" s="91">
        <v>45810</v>
      </c>
      <c r="O2062" s="91">
        <v>45810</v>
      </c>
      <c r="P2062" s="90" t="str">
        <f ca="1">IF(Proc[[#This Row],[DaysAgeing]]&gt;5,"yep","on track")</f>
        <v>on track</v>
      </c>
      <c r="Q2062" s="3">
        <f ca="1">IF(Proc[[#This Row],[DateClosed]]="",ABS(NETWORKDAYS(Proc[[#This Row],[DateOpened]],TODAY()))-1,ABS(NETWORKDAYS(Proc[[#This Row],[DateOpened]],Proc[[#This Row],[DateClosed]]))-1)</f>
        <v>1</v>
      </c>
      <c r="R2062" s="90" t="s">
        <v>1013</v>
      </c>
      <c r="S2062" s="94"/>
    </row>
    <row r="2063" spans="1:19" hidden="1">
      <c r="A2063" s="93" t="s">
        <v>3747</v>
      </c>
      <c r="B2063" s="149" t="str">
        <f>IFERROR(VLOOKUP(Proc[[#This Row],[App]],Table2[],3,0),"open")</f>
        <v>ok</v>
      </c>
      <c r="C2063" s="93" t="s">
        <v>369</v>
      </c>
      <c r="D2063" t="s">
        <v>3898</v>
      </c>
      <c r="E2063" t="s">
        <v>4068</v>
      </c>
      <c r="F2063" s="117" t="s">
        <v>4068</v>
      </c>
      <c r="G2063" s="93" t="s">
        <v>400</v>
      </c>
      <c r="H2063" s="94" t="str">
        <f>IF(Proc[[#This Row],[type]]="LFF (MDG-F)",MID(Proc[[#This Row],[Obj]],13,10),"")</f>
        <v/>
      </c>
      <c r="J2063" s="94" t="b">
        <f>Proc[[#This Row],[Requested]]=Proc[[#This Row],[CurrentParent]]</f>
        <v>1</v>
      </c>
      <c r="K2063" s="144" t="str">
        <f>IF(Proc[[#This Row],[Author]]="Marcela Urrego",VLOOKUP(LEFT(Proc[[#This Row],[Requested]],1),Table3[#All],2,0),VLOOKUP(Proc[[#This Row],[Author]],Table4[],2,0))</f>
        <v>HC</v>
      </c>
      <c r="L2063" s="125" t="s">
        <v>2563</v>
      </c>
      <c r="M2063" s="90">
        <v>45807.678356481483</v>
      </c>
      <c r="N2063" s="91">
        <v>45810</v>
      </c>
      <c r="O2063" s="91">
        <v>45810</v>
      </c>
      <c r="P2063" s="90" t="str">
        <f ca="1">IF(Proc[[#This Row],[DaysAgeing]]&gt;5,"yep","on track")</f>
        <v>on track</v>
      </c>
      <c r="Q2063" s="3">
        <f ca="1">IF(Proc[[#This Row],[DateClosed]]="",ABS(NETWORKDAYS(Proc[[#This Row],[DateOpened]],TODAY()))-1,ABS(NETWORKDAYS(Proc[[#This Row],[DateOpened]],Proc[[#This Row],[DateClosed]]))-1)</f>
        <v>1</v>
      </c>
      <c r="R2063" s="90" t="s">
        <v>1013</v>
      </c>
      <c r="S2063" s="94"/>
    </row>
    <row r="2064" spans="1:19" hidden="1">
      <c r="A2064" s="93" t="s">
        <v>3747</v>
      </c>
      <c r="B2064" s="149" t="str">
        <f>IFERROR(VLOOKUP(Proc[[#This Row],[App]],Table2[],3,0),"open")</f>
        <v>ok</v>
      </c>
      <c r="C2064" s="93" t="s">
        <v>369</v>
      </c>
      <c r="D2064" t="s">
        <v>3899</v>
      </c>
      <c r="E2064" t="s">
        <v>4068</v>
      </c>
      <c r="F2064" s="117" t="s">
        <v>4068</v>
      </c>
      <c r="G2064" s="93" t="s">
        <v>400</v>
      </c>
      <c r="H2064" s="94" t="str">
        <f>IF(Proc[[#This Row],[type]]="LFF (MDG-F)",MID(Proc[[#This Row],[Obj]],13,10),"")</f>
        <v/>
      </c>
      <c r="J2064" s="94" t="b">
        <f>Proc[[#This Row],[Requested]]=Proc[[#This Row],[CurrentParent]]</f>
        <v>1</v>
      </c>
      <c r="K2064" s="144" t="str">
        <f>IF(Proc[[#This Row],[Author]]="Marcela Urrego",VLOOKUP(LEFT(Proc[[#This Row],[Requested]],1),Table3[#All],2,0),VLOOKUP(Proc[[#This Row],[Author]],Table4[],2,0))</f>
        <v>HC</v>
      </c>
      <c r="L2064" s="125" t="s">
        <v>2563</v>
      </c>
      <c r="M2064" s="90">
        <v>45807.678356481483</v>
      </c>
      <c r="N2064" s="91">
        <v>45810</v>
      </c>
      <c r="O2064" s="91">
        <v>45810</v>
      </c>
      <c r="P2064" s="90" t="str">
        <f ca="1">IF(Proc[[#This Row],[DaysAgeing]]&gt;5,"yep","on track")</f>
        <v>on track</v>
      </c>
      <c r="Q2064" s="3">
        <f ca="1">IF(Proc[[#This Row],[DateClosed]]="",ABS(NETWORKDAYS(Proc[[#This Row],[DateOpened]],TODAY()))-1,ABS(NETWORKDAYS(Proc[[#This Row],[DateOpened]],Proc[[#This Row],[DateClosed]]))-1)</f>
        <v>1</v>
      </c>
      <c r="R2064" s="90" t="s">
        <v>1013</v>
      </c>
      <c r="S2064" s="94"/>
    </row>
    <row r="2065" spans="1:19" hidden="1">
      <c r="A2065" s="93" t="s">
        <v>3747</v>
      </c>
      <c r="B2065" s="149" t="str">
        <f>IFERROR(VLOOKUP(Proc[[#This Row],[App]],Table2[],3,0),"open")</f>
        <v>ok</v>
      </c>
      <c r="C2065" s="93" t="s">
        <v>369</v>
      </c>
      <c r="D2065" t="s">
        <v>3900</v>
      </c>
      <c r="E2065" t="s">
        <v>4068</v>
      </c>
      <c r="F2065" s="117" t="s">
        <v>4068</v>
      </c>
      <c r="G2065" s="93" t="s">
        <v>400</v>
      </c>
      <c r="H2065" s="94" t="str">
        <f>IF(Proc[[#This Row],[type]]="LFF (MDG-F)",MID(Proc[[#This Row],[Obj]],13,10),"")</f>
        <v/>
      </c>
      <c r="J2065" s="94" t="b">
        <f>Proc[[#This Row],[Requested]]=Proc[[#This Row],[CurrentParent]]</f>
        <v>1</v>
      </c>
      <c r="K2065" s="144" t="str">
        <f>IF(Proc[[#This Row],[Author]]="Marcela Urrego",VLOOKUP(LEFT(Proc[[#This Row],[Requested]],1),Table3[#All],2,0),VLOOKUP(Proc[[#This Row],[Author]],Table4[],2,0))</f>
        <v>HC</v>
      </c>
      <c r="L2065" s="125" t="s">
        <v>2563</v>
      </c>
      <c r="M2065" s="90">
        <v>45807.678356481483</v>
      </c>
      <c r="N2065" s="91">
        <v>45810</v>
      </c>
      <c r="O2065" s="91">
        <v>45810</v>
      </c>
      <c r="P2065" s="90" t="str">
        <f ca="1">IF(Proc[[#This Row],[DaysAgeing]]&gt;5,"yep","on track")</f>
        <v>on track</v>
      </c>
      <c r="Q2065" s="3">
        <f ca="1">IF(Proc[[#This Row],[DateClosed]]="",ABS(NETWORKDAYS(Proc[[#This Row],[DateOpened]],TODAY()))-1,ABS(NETWORKDAYS(Proc[[#This Row],[DateOpened]],Proc[[#This Row],[DateClosed]]))-1)</f>
        <v>1</v>
      </c>
      <c r="R2065" s="90" t="s">
        <v>1013</v>
      </c>
      <c r="S2065" s="94"/>
    </row>
    <row r="2066" spans="1:19" hidden="1">
      <c r="A2066" s="93" t="s">
        <v>3747</v>
      </c>
      <c r="B2066" s="149" t="str">
        <f>IFERROR(VLOOKUP(Proc[[#This Row],[App]],Table2[],3,0),"open")</f>
        <v>ok</v>
      </c>
      <c r="C2066" s="93" t="s">
        <v>369</v>
      </c>
      <c r="D2066" t="s">
        <v>3901</v>
      </c>
      <c r="E2066" t="s">
        <v>4068</v>
      </c>
      <c r="F2066" s="117" t="s">
        <v>4068</v>
      </c>
      <c r="G2066" s="93" t="s">
        <v>400</v>
      </c>
      <c r="H2066" s="94" t="str">
        <f>IF(Proc[[#This Row],[type]]="LFF (MDG-F)",MID(Proc[[#This Row],[Obj]],13,10),"")</f>
        <v/>
      </c>
      <c r="J2066" s="94" t="b">
        <f>Proc[[#This Row],[Requested]]=Proc[[#This Row],[CurrentParent]]</f>
        <v>1</v>
      </c>
      <c r="K2066" s="144" t="str">
        <f>IF(Proc[[#This Row],[Author]]="Marcela Urrego",VLOOKUP(LEFT(Proc[[#This Row],[Requested]],1),Table3[#All],2,0),VLOOKUP(Proc[[#This Row],[Author]],Table4[],2,0))</f>
        <v>HC</v>
      </c>
      <c r="L2066" s="125" t="s">
        <v>2563</v>
      </c>
      <c r="M2066" s="90">
        <v>45807.678356481483</v>
      </c>
      <c r="N2066" s="91">
        <v>45810</v>
      </c>
      <c r="O2066" s="91">
        <v>45810</v>
      </c>
      <c r="P2066" s="90" t="str">
        <f ca="1">IF(Proc[[#This Row],[DaysAgeing]]&gt;5,"yep","on track")</f>
        <v>on track</v>
      </c>
      <c r="Q2066" s="3">
        <f ca="1">IF(Proc[[#This Row],[DateClosed]]="",ABS(NETWORKDAYS(Proc[[#This Row],[DateOpened]],TODAY()))-1,ABS(NETWORKDAYS(Proc[[#This Row],[DateOpened]],Proc[[#This Row],[DateClosed]]))-1)</f>
        <v>1</v>
      </c>
      <c r="R2066" s="90" t="s">
        <v>1013</v>
      </c>
      <c r="S2066" s="94"/>
    </row>
    <row r="2067" spans="1:19" hidden="1">
      <c r="A2067" s="93" t="s">
        <v>3747</v>
      </c>
      <c r="B2067" s="149" t="str">
        <f>IFERROR(VLOOKUP(Proc[[#This Row],[App]],Table2[],3,0),"open")</f>
        <v>ok</v>
      </c>
      <c r="C2067" s="93" t="s">
        <v>369</v>
      </c>
      <c r="D2067" t="s">
        <v>3902</v>
      </c>
      <c r="E2067" t="s">
        <v>4068</v>
      </c>
      <c r="F2067" s="117" t="s">
        <v>4068</v>
      </c>
      <c r="G2067" s="93" t="s">
        <v>400</v>
      </c>
      <c r="H2067" s="94" t="str">
        <f>IF(Proc[[#This Row],[type]]="LFF (MDG-F)",MID(Proc[[#This Row],[Obj]],13,10),"")</f>
        <v/>
      </c>
      <c r="J2067" s="94" t="b">
        <f>Proc[[#This Row],[Requested]]=Proc[[#This Row],[CurrentParent]]</f>
        <v>1</v>
      </c>
      <c r="K2067" s="144" t="str">
        <f>IF(Proc[[#This Row],[Author]]="Marcela Urrego",VLOOKUP(LEFT(Proc[[#This Row],[Requested]],1),Table3[#All],2,0),VLOOKUP(Proc[[#This Row],[Author]],Table4[],2,0))</f>
        <v>HC</v>
      </c>
      <c r="L2067" s="125" t="s">
        <v>2563</v>
      </c>
      <c r="M2067" s="90">
        <v>45807.678356481483</v>
      </c>
      <c r="N2067" s="91">
        <v>45810</v>
      </c>
      <c r="O2067" s="91">
        <v>45810</v>
      </c>
      <c r="P2067" s="90" t="str">
        <f ca="1">IF(Proc[[#This Row],[DaysAgeing]]&gt;5,"yep","on track")</f>
        <v>on track</v>
      </c>
      <c r="Q2067" s="3">
        <f ca="1">IF(Proc[[#This Row],[DateClosed]]="",ABS(NETWORKDAYS(Proc[[#This Row],[DateOpened]],TODAY()))-1,ABS(NETWORKDAYS(Proc[[#This Row],[DateOpened]],Proc[[#This Row],[DateClosed]]))-1)</f>
        <v>1</v>
      </c>
      <c r="R2067" s="90" t="s">
        <v>1013</v>
      </c>
      <c r="S2067" s="94"/>
    </row>
    <row r="2068" spans="1:19" hidden="1">
      <c r="A2068" s="93" t="s">
        <v>3747</v>
      </c>
      <c r="B2068" s="149" t="str">
        <f>IFERROR(VLOOKUP(Proc[[#This Row],[App]],Table2[],3,0),"open")</f>
        <v>ok</v>
      </c>
      <c r="C2068" s="93" t="s">
        <v>369</v>
      </c>
      <c r="D2068" t="s">
        <v>3903</v>
      </c>
      <c r="E2068" t="s">
        <v>4068</v>
      </c>
      <c r="F2068" s="117" t="s">
        <v>4068</v>
      </c>
      <c r="G2068" s="93" t="s">
        <v>400</v>
      </c>
      <c r="H2068" s="94" t="str">
        <f>IF(Proc[[#This Row],[type]]="LFF (MDG-F)",MID(Proc[[#This Row],[Obj]],13,10),"")</f>
        <v/>
      </c>
      <c r="J2068" s="94" t="b">
        <f>Proc[[#This Row],[Requested]]=Proc[[#This Row],[CurrentParent]]</f>
        <v>1</v>
      </c>
      <c r="K2068" s="144" t="str">
        <f>IF(Proc[[#This Row],[Author]]="Marcela Urrego",VLOOKUP(LEFT(Proc[[#This Row],[Requested]],1),Table3[#All],2,0),VLOOKUP(Proc[[#This Row],[Author]],Table4[],2,0))</f>
        <v>HC</v>
      </c>
      <c r="L2068" s="125" t="s">
        <v>2563</v>
      </c>
      <c r="M2068" s="90">
        <v>45807.678356481483</v>
      </c>
      <c r="N2068" s="91">
        <v>45810</v>
      </c>
      <c r="O2068" s="91">
        <v>45810</v>
      </c>
      <c r="P2068" s="90" t="str">
        <f ca="1">IF(Proc[[#This Row],[DaysAgeing]]&gt;5,"yep","on track")</f>
        <v>on track</v>
      </c>
      <c r="Q2068" s="3">
        <f ca="1">IF(Proc[[#This Row],[DateClosed]]="",ABS(NETWORKDAYS(Proc[[#This Row],[DateOpened]],TODAY()))-1,ABS(NETWORKDAYS(Proc[[#This Row],[DateOpened]],Proc[[#This Row],[DateClosed]]))-1)</f>
        <v>1</v>
      </c>
      <c r="R2068" s="90" t="s">
        <v>1013</v>
      </c>
      <c r="S2068" s="94"/>
    </row>
    <row r="2069" spans="1:19" hidden="1">
      <c r="A2069" s="93" t="s">
        <v>3747</v>
      </c>
      <c r="B2069" s="149" t="str">
        <f>IFERROR(VLOOKUP(Proc[[#This Row],[App]],Table2[],3,0),"open")</f>
        <v>ok</v>
      </c>
      <c r="C2069" s="93" t="s">
        <v>369</v>
      </c>
      <c r="D2069" t="s">
        <v>3904</v>
      </c>
      <c r="E2069" t="s">
        <v>4068</v>
      </c>
      <c r="F2069" s="117" t="s">
        <v>4068</v>
      </c>
      <c r="G2069" s="93" t="s">
        <v>400</v>
      </c>
      <c r="H2069" s="94" t="str">
        <f>IF(Proc[[#This Row],[type]]="LFF (MDG-F)",MID(Proc[[#This Row],[Obj]],13,10),"")</f>
        <v/>
      </c>
      <c r="J2069" s="94" t="b">
        <f>Proc[[#This Row],[Requested]]=Proc[[#This Row],[CurrentParent]]</f>
        <v>1</v>
      </c>
      <c r="K2069" s="144" t="str">
        <f>IF(Proc[[#This Row],[Author]]="Marcela Urrego",VLOOKUP(LEFT(Proc[[#This Row],[Requested]],1),Table3[#All],2,0),VLOOKUP(Proc[[#This Row],[Author]],Table4[],2,0))</f>
        <v>HC</v>
      </c>
      <c r="L2069" s="125" t="s">
        <v>2563</v>
      </c>
      <c r="M2069" s="90">
        <v>45807.678356481483</v>
      </c>
      <c r="N2069" s="91">
        <v>45810</v>
      </c>
      <c r="O2069" s="91">
        <v>45810</v>
      </c>
      <c r="P2069" s="90" t="str">
        <f ca="1">IF(Proc[[#This Row],[DaysAgeing]]&gt;5,"yep","on track")</f>
        <v>on track</v>
      </c>
      <c r="Q2069" s="3">
        <f ca="1">IF(Proc[[#This Row],[DateClosed]]="",ABS(NETWORKDAYS(Proc[[#This Row],[DateOpened]],TODAY()))-1,ABS(NETWORKDAYS(Proc[[#This Row],[DateOpened]],Proc[[#This Row],[DateClosed]]))-1)</f>
        <v>1</v>
      </c>
      <c r="R2069" s="90" t="s">
        <v>1013</v>
      </c>
      <c r="S2069" s="94"/>
    </row>
    <row r="2070" spans="1:19" hidden="1">
      <c r="A2070" s="93" t="s">
        <v>3747</v>
      </c>
      <c r="B2070" s="149" t="str">
        <f>IFERROR(VLOOKUP(Proc[[#This Row],[App]],Table2[],3,0),"open")</f>
        <v>ok</v>
      </c>
      <c r="C2070" s="93" t="s">
        <v>369</v>
      </c>
      <c r="D2070" t="s">
        <v>3905</v>
      </c>
      <c r="E2070" t="s">
        <v>4068</v>
      </c>
      <c r="F2070" s="117" t="s">
        <v>4068</v>
      </c>
      <c r="G2070" s="93" t="s">
        <v>400</v>
      </c>
      <c r="H2070" s="94" t="str">
        <f>IF(Proc[[#This Row],[type]]="LFF (MDG-F)",MID(Proc[[#This Row],[Obj]],13,10),"")</f>
        <v/>
      </c>
      <c r="J2070" s="94" t="b">
        <f>Proc[[#This Row],[Requested]]=Proc[[#This Row],[CurrentParent]]</f>
        <v>1</v>
      </c>
      <c r="K2070" s="144" t="str">
        <f>IF(Proc[[#This Row],[Author]]="Marcela Urrego",VLOOKUP(LEFT(Proc[[#This Row],[Requested]],1),Table3[#All],2,0),VLOOKUP(Proc[[#This Row],[Author]],Table4[],2,0))</f>
        <v>HC</v>
      </c>
      <c r="L2070" s="125" t="s">
        <v>2563</v>
      </c>
      <c r="M2070" s="90">
        <v>45807.678356481483</v>
      </c>
      <c r="N2070" s="91">
        <v>45810</v>
      </c>
      <c r="O2070" s="91">
        <v>45810</v>
      </c>
      <c r="P2070" s="90" t="str">
        <f ca="1">IF(Proc[[#This Row],[DaysAgeing]]&gt;5,"yep","on track")</f>
        <v>on track</v>
      </c>
      <c r="Q2070" s="3">
        <f ca="1">IF(Proc[[#This Row],[DateClosed]]="",ABS(NETWORKDAYS(Proc[[#This Row],[DateOpened]],TODAY()))-1,ABS(NETWORKDAYS(Proc[[#This Row],[DateOpened]],Proc[[#This Row],[DateClosed]]))-1)</f>
        <v>1</v>
      </c>
      <c r="R2070" s="90" t="s">
        <v>1013</v>
      </c>
      <c r="S2070" s="94"/>
    </row>
    <row r="2071" spans="1:19" hidden="1">
      <c r="A2071" s="93" t="s">
        <v>3747</v>
      </c>
      <c r="B2071" s="149" t="str">
        <f>IFERROR(VLOOKUP(Proc[[#This Row],[App]],Table2[],3,0),"open")</f>
        <v>ok</v>
      </c>
      <c r="C2071" s="93" t="s">
        <v>369</v>
      </c>
      <c r="D2071" t="s">
        <v>3906</v>
      </c>
      <c r="E2071" t="s">
        <v>4068</v>
      </c>
      <c r="F2071" s="117" t="s">
        <v>4068</v>
      </c>
      <c r="G2071" s="93" t="s">
        <v>400</v>
      </c>
      <c r="H2071" s="94" t="str">
        <f>IF(Proc[[#This Row],[type]]="LFF (MDG-F)",MID(Proc[[#This Row],[Obj]],13,10),"")</f>
        <v/>
      </c>
      <c r="J2071" s="94" t="b">
        <f>Proc[[#This Row],[Requested]]=Proc[[#This Row],[CurrentParent]]</f>
        <v>1</v>
      </c>
      <c r="K2071" s="144" t="str">
        <f>IF(Proc[[#This Row],[Author]]="Marcela Urrego",VLOOKUP(LEFT(Proc[[#This Row],[Requested]],1),Table3[#All],2,0),VLOOKUP(Proc[[#This Row],[Author]],Table4[],2,0))</f>
        <v>HC</v>
      </c>
      <c r="L2071" s="125" t="s">
        <v>2563</v>
      </c>
      <c r="M2071" s="90">
        <v>45807.678356481483</v>
      </c>
      <c r="N2071" s="91">
        <v>45810</v>
      </c>
      <c r="O2071" s="91">
        <v>45810</v>
      </c>
      <c r="P2071" s="90" t="str">
        <f ca="1">IF(Proc[[#This Row],[DaysAgeing]]&gt;5,"yep","on track")</f>
        <v>on track</v>
      </c>
      <c r="Q2071" s="3">
        <f ca="1">IF(Proc[[#This Row],[DateClosed]]="",ABS(NETWORKDAYS(Proc[[#This Row],[DateOpened]],TODAY()))-1,ABS(NETWORKDAYS(Proc[[#This Row],[DateOpened]],Proc[[#This Row],[DateClosed]]))-1)</f>
        <v>1</v>
      </c>
      <c r="R2071" s="90" t="s">
        <v>1013</v>
      </c>
      <c r="S2071" s="94"/>
    </row>
    <row r="2072" spans="1:19" hidden="1">
      <c r="A2072" s="93" t="s">
        <v>3747</v>
      </c>
      <c r="B2072" s="149" t="str">
        <f>IFERROR(VLOOKUP(Proc[[#This Row],[App]],Table2[],3,0),"open")</f>
        <v>ok</v>
      </c>
      <c r="C2072" s="93" t="s">
        <v>369</v>
      </c>
      <c r="D2072" t="s">
        <v>3907</v>
      </c>
      <c r="E2072" t="s">
        <v>4068</v>
      </c>
      <c r="F2072" s="117" t="s">
        <v>4068</v>
      </c>
      <c r="G2072" s="93" t="s">
        <v>400</v>
      </c>
      <c r="H2072" s="94" t="str">
        <f>IF(Proc[[#This Row],[type]]="LFF (MDG-F)",MID(Proc[[#This Row],[Obj]],13,10),"")</f>
        <v/>
      </c>
      <c r="J2072" s="94" t="b">
        <f>Proc[[#This Row],[Requested]]=Proc[[#This Row],[CurrentParent]]</f>
        <v>1</v>
      </c>
      <c r="K2072" s="144" t="str">
        <f>IF(Proc[[#This Row],[Author]]="Marcela Urrego",VLOOKUP(LEFT(Proc[[#This Row],[Requested]],1),Table3[#All],2,0),VLOOKUP(Proc[[#This Row],[Author]],Table4[],2,0))</f>
        <v>HC</v>
      </c>
      <c r="L2072" s="125" t="s">
        <v>2563</v>
      </c>
      <c r="M2072" s="90">
        <v>45807.678356481483</v>
      </c>
      <c r="N2072" s="91">
        <v>45810</v>
      </c>
      <c r="O2072" s="91">
        <v>45810</v>
      </c>
      <c r="P2072" s="90" t="str">
        <f ca="1">IF(Proc[[#This Row],[DaysAgeing]]&gt;5,"yep","on track")</f>
        <v>on track</v>
      </c>
      <c r="Q2072" s="3">
        <f ca="1">IF(Proc[[#This Row],[DateClosed]]="",ABS(NETWORKDAYS(Proc[[#This Row],[DateOpened]],TODAY()))-1,ABS(NETWORKDAYS(Proc[[#This Row],[DateOpened]],Proc[[#This Row],[DateClosed]]))-1)</f>
        <v>1</v>
      </c>
      <c r="R2072" s="90" t="s">
        <v>1013</v>
      </c>
      <c r="S2072" s="94"/>
    </row>
    <row r="2073" spans="1:19" hidden="1">
      <c r="A2073" s="93" t="s">
        <v>3747</v>
      </c>
      <c r="B2073" s="149" t="str">
        <f>IFERROR(VLOOKUP(Proc[[#This Row],[App]],Table2[],3,0),"open")</f>
        <v>ok</v>
      </c>
      <c r="C2073" s="93" t="s">
        <v>369</v>
      </c>
      <c r="D2073" t="s">
        <v>3908</v>
      </c>
      <c r="E2073" t="s">
        <v>4068</v>
      </c>
      <c r="F2073" s="117" t="s">
        <v>4068</v>
      </c>
      <c r="G2073" s="93" t="s">
        <v>400</v>
      </c>
      <c r="H2073" s="94" t="str">
        <f>IF(Proc[[#This Row],[type]]="LFF (MDG-F)",MID(Proc[[#This Row],[Obj]],13,10),"")</f>
        <v/>
      </c>
      <c r="J2073" s="94" t="b">
        <f>Proc[[#This Row],[Requested]]=Proc[[#This Row],[CurrentParent]]</f>
        <v>1</v>
      </c>
      <c r="K2073" s="144" t="str">
        <f>IF(Proc[[#This Row],[Author]]="Marcela Urrego",VLOOKUP(LEFT(Proc[[#This Row],[Requested]],1),Table3[#All],2,0),VLOOKUP(Proc[[#This Row],[Author]],Table4[],2,0))</f>
        <v>HC</v>
      </c>
      <c r="L2073" s="125" t="s">
        <v>2563</v>
      </c>
      <c r="M2073" s="90">
        <v>45807.678356481483</v>
      </c>
      <c r="N2073" s="91">
        <v>45810</v>
      </c>
      <c r="O2073" s="91">
        <v>45810</v>
      </c>
      <c r="P2073" s="90" t="str">
        <f ca="1">IF(Proc[[#This Row],[DaysAgeing]]&gt;5,"yep","on track")</f>
        <v>on track</v>
      </c>
      <c r="Q2073" s="3">
        <f ca="1">IF(Proc[[#This Row],[DateClosed]]="",ABS(NETWORKDAYS(Proc[[#This Row],[DateOpened]],TODAY()))-1,ABS(NETWORKDAYS(Proc[[#This Row],[DateOpened]],Proc[[#This Row],[DateClosed]]))-1)</f>
        <v>1</v>
      </c>
      <c r="R2073" s="90" t="s">
        <v>1013</v>
      </c>
      <c r="S2073" s="94"/>
    </row>
    <row r="2074" spans="1:19" hidden="1">
      <c r="A2074" s="93" t="s">
        <v>3747</v>
      </c>
      <c r="B2074" s="149" t="str">
        <f>IFERROR(VLOOKUP(Proc[[#This Row],[App]],Table2[],3,0),"open")</f>
        <v>ok</v>
      </c>
      <c r="C2074" s="93" t="s">
        <v>369</v>
      </c>
      <c r="D2074" t="s">
        <v>3909</v>
      </c>
      <c r="E2074" t="s">
        <v>4068</v>
      </c>
      <c r="F2074" s="117" t="s">
        <v>4068</v>
      </c>
      <c r="G2074" s="93" t="s">
        <v>400</v>
      </c>
      <c r="H2074" s="94" t="str">
        <f>IF(Proc[[#This Row],[type]]="LFF (MDG-F)",MID(Proc[[#This Row],[Obj]],13,10),"")</f>
        <v/>
      </c>
      <c r="J2074" s="94" t="b">
        <f>Proc[[#This Row],[Requested]]=Proc[[#This Row],[CurrentParent]]</f>
        <v>1</v>
      </c>
      <c r="K2074" s="144" t="str">
        <f>IF(Proc[[#This Row],[Author]]="Marcela Urrego",VLOOKUP(LEFT(Proc[[#This Row],[Requested]],1),Table3[#All],2,0),VLOOKUP(Proc[[#This Row],[Author]],Table4[],2,0))</f>
        <v>HC</v>
      </c>
      <c r="L2074" s="125" t="s">
        <v>2563</v>
      </c>
      <c r="M2074" s="90">
        <v>45807.678356481483</v>
      </c>
      <c r="N2074" s="91">
        <v>45810</v>
      </c>
      <c r="O2074" s="91">
        <v>45810</v>
      </c>
      <c r="P2074" s="90" t="str">
        <f ca="1">IF(Proc[[#This Row],[DaysAgeing]]&gt;5,"yep","on track")</f>
        <v>on track</v>
      </c>
      <c r="Q2074" s="3">
        <f ca="1">IF(Proc[[#This Row],[DateClosed]]="",ABS(NETWORKDAYS(Proc[[#This Row],[DateOpened]],TODAY()))-1,ABS(NETWORKDAYS(Proc[[#This Row],[DateOpened]],Proc[[#This Row],[DateClosed]]))-1)</f>
        <v>1</v>
      </c>
      <c r="R2074" s="90" t="s">
        <v>1013</v>
      </c>
      <c r="S2074" s="94"/>
    </row>
    <row r="2075" spans="1:19" hidden="1">
      <c r="A2075" s="93" t="s">
        <v>3747</v>
      </c>
      <c r="B2075" s="149" t="str">
        <f>IFERROR(VLOOKUP(Proc[[#This Row],[App]],Table2[],3,0),"open")</f>
        <v>ok</v>
      </c>
      <c r="C2075" s="93" t="s">
        <v>369</v>
      </c>
      <c r="D2075" t="s">
        <v>3910</v>
      </c>
      <c r="E2075" t="s">
        <v>4068</v>
      </c>
      <c r="F2075" s="117" t="s">
        <v>4068</v>
      </c>
      <c r="G2075" s="93" t="s">
        <v>400</v>
      </c>
      <c r="H2075" s="94" t="str">
        <f>IF(Proc[[#This Row],[type]]="LFF (MDG-F)",MID(Proc[[#This Row],[Obj]],13,10),"")</f>
        <v/>
      </c>
      <c r="J2075" s="94" t="b">
        <f>Proc[[#This Row],[Requested]]=Proc[[#This Row],[CurrentParent]]</f>
        <v>1</v>
      </c>
      <c r="K2075" s="144" t="str">
        <f>IF(Proc[[#This Row],[Author]]="Marcela Urrego",VLOOKUP(LEFT(Proc[[#This Row],[Requested]],1),Table3[#All],2,0),VLOOKUP(Proc[[#This Row],[Author]],Table4[],2,0))</f>
        <v>HC</v>
      </c>
      <c r="L2075" s="125" t="s">
        <v>2563</v>
      </c>
      <c r="M2075" s="90">
        <v>45807.678356481483</v>
      </c>
      <c r="N2075" s="91">
        <v>45810</v>
      </c>
      <c r="O2075" s="91">
        <v>45810</v>
      </c>
      <c r="P2075" s="90" t="str">
        <f ca="1">IF(Proc[[#This Row],[DaysAgeing]]&gt;5,"yep","on track")</f>
        <v>on track</v>
      </c>
      <c r="Q2075" s="3">
        <f ca="1">IF(Proc[[#This Row],[DateClosed]]="",ABS(NETWORKDAYS(Proc[[#This Row],[DateOpened]],TODAY()))-1,ABS(NETWORKDAYS(Proc[[#This Row],[DateOpened]],Proc[[#This Row],[DateClosed]]))-1)</f>
        <v>1</v>
      </c>
      <c r="R2075" s="90" t="s">
        <v>1013</v>
      </c>
      <c r="S2075" s="94"/>
    </row>
    <row r="2076" spans="1:19" hidden="1">
      <c r="A2076" s="93" t="s">
        <v>3747</v>
      </c>
      <c r="B2076" s="149" t="str">
        <f>IFERROR(VLOOKUP(Proc[[#This Row],[App]],Table2[],3,0),"open")</f>
        <v>ok</v>
      </c>
      <c r="C2076" s="93" t="s">
        <v>369</v>
      </c>
      <c r="D2076" t="s">
        <v>3911</v>
      </c>
      <c r="E2076" t="s">
        <v>4068</v>
      </c>
      <c r="F2076" s="117" t="s">
        <v>4068</v>
      </c>
      <c r="G2076" s="93" t="s">
        <v>400</v>
      </c>
      <c r="H2076" s="94" t="str">
        <f>IF(Proc[[#This Row],[type]]="LFF (MDG-F)",MID(Proc[[#This Row],[Obj]],13,10),"")</f>
        <v/>
      </c>
      <c r="J2076" s="94" t="b">
        <f>Proc[[#This Row],[Requested]]=Proc[[#This Row],[CurrentParent]]</f>
        <v>1</v>
      </c>
      <c r="K2076" s="144" t="str">
        <f>IF(Proc[[#This Row],[Author]]="Marcela Urrego",VLOOKUP(LEFT(Proc[[#This Row],[Requested]],1),Table3[#All],2,0),VLOOKUP(Proc[[#This Row],[Author]],Table4[],2,0))</f>
        <v>HC</v>
      </c>
      <c r="L2076" s="125" t="s">
        <v>2563</v>
      </c>
      <c r="M2076" s="90">
        <v>45807.678356481483</v>
      </c>
      <c r="N2076" s="91">
        <v>45810</v>
      </c>
      <c r="O2076" s="91">
        <v>45810</v>
      </c>
      <c r="P2076" s="90" t="str">
        <f ca="1">IF(Proc[[#This Row],[DaysAgeing]]&gt;5,"yep","on track")</f>
        <v>on track</v>
      </c>
      <c r="Q2076" s="3">
        <f ca="1">IF(Proc[[#This Row],[DateClosed]]="",ABS(NETWORKDAYS(Proc[[#This Row],[DateOpened]],TODAY()))-1,ABS(NETWORKDAYS(Proc[[#This Row],[DateOpened]],Proc[[#This Row],[DateClosed]]))-1)</f>
        <v>1</v>
      </c>
      <c r="R2076" s="90" t="s">
        <v>1013</v>
      </c>
      <c r="S2076" s="94"/>
    </row>
    <row r="2077" spans="1:19" hidden="1">
      <c r="A2077" s="93" t="s">
        <v>3747</v>
      </c>
      <c r="B2077" s="149" t="str">
        <f>IFERROR(VLOOKUP(Proc[[#This Row],[App]],Table2[],3,0),"open")</f>
        <v>ok</v>
      </c>
      <c r="C2077" s="93" t="s">
        <v>369</v>
      </c>
      <c r="D2077" t="s">
        <v>3912</v>
      </c>
      <c r="E2077" t="s">
        <v>4068</v>
      </c>
      <c r="F2077" s="117" t="s">
        <v>4068</v>
      </c>
      <c r="G2077" s="93" t="s">
        <v>400</v>
      </c>
      <c r="H2077" s="94" t="str">
        <f>IF(Proc[[#This Row],[type]]="LFF (MDG-F)",MID(Proc[[#This Row],[Obj]],13,10),"")</f>
        <v/>
      </c>
      <c r="J2077" s="94" t="b">
        <f>Proc[[#This Row],[Requested]]=Proc[[#This Row],[CurrentParent]]</f>
        <v>1</v>
      </c>
      <c r="K2077" s="144" t="str">
        <f>IF(Proc[[#This Row],[Author]]="Marcela Urrego",VLOOKUP(LEFT(Proc[[#This Row],[Requested]],1),Table3[#All],2,0),VLOOKUP(Proc[[#This Row],[Author]],Table4[],2,0))</f>
        <v>HC</v>
      </c>
      <c r="L2077" s="125" t="s">
        <v>2563</v>
      </c>
      <c r="M2077" s="90">
        <v>45807.678356481483</v>
      </c>
      <c r="N2077" s="91">
        <v>45810</v>
      </c>
      <c r="O2077" s="91">
        <v>45810</v>
      </c>
      <c r="P2077" s="90" t="str">
        <f ca="1">IF(Proc[[#This Row],[DaysAgeing]]&gt;5,"yep","on track")</f>
        <v>on track</v>
      </c>
      <c r="Q2077" s="3">
        <f ca="1">IF(Proc[[#This Row],[DateClosed]]="",ABS(NETWORKDAYS(Proc[[#This Row],[DateOpened]],TODAY()))-1,ABS(NETWORKDAYS(Proc[[#This Row],[DateOpened]],Proc[[#This Row],[DateClosed]]))-1)</f>
        <v>1</v>
      </c>
      <c r="R2077" s="90" t="s">
        <v>1013</v>
      </c>
      <c r="S2077" s="94"/>
    </row>
    <row r="2078" spans="1:19" hidden="1">
      <c r="A2078" s="93" t="s">
        <v>3747</v>
      </c>
      <c r="B2078" s="149" t="str">
        <f>IFERROR(VLOOKUP(Proc[[#This Row],[App]],Table2[],3,0),"open")</f>
        <v>ok</v>
      </c>
      <c r="C2078" s="93" t="s">
        <v>369</v>
      </c>
      <c r="D2078" t="s">
        <v>3913</v>
      </c>
      <c r="E2078" t="s">
        <v>4068</v>
      </c>
      <c r="F2078" s="117" t="s">
        <v>4068</v>
      </c>
      <c r="G2078" s="93" t="s">
        <v>400</v>
      </c>
      <c r="H2078" s="94" t="str">
        <f>IF(Proc[[#This Row],[type]]="LFF (MDG-F)",MID(Proc[[#This Row],[Obj]],13,10),"")</f>
        <v/>
      </c>
      <c r="J2078" s="94" t="b">
        <f>Proc[[#This Row],[Requested]]=Proc[[#This Row],[CurrentParent]]</f>
        <v>1</v>
      </c>
      <c r="K2078" s="144" t="str">
        <f>IF(Proc[[#This Row],[Author]]="Marcela Urrego",VLOOKUP(LEFT(Proc[[#This Row],[Requested]],1),Table3[#All],2,0),VLOOKUP(Proc[[#This Row],[Author]],Table4[],2,0))</f>
        <v>HC</v>
      </c>
      <c r="L2078" s="125" t="s">
        <v>2563</v>
      </c>
      <c r="M2078" s="90">
        <v>45807.678356481483</v>
      </c>
      <c r="N2078" s="91">
        <v>45810</v>
      </c>
      <c r="O2078" s="91">
        <v>45810</v>
      </c>
      <c r="P2078" s="90" t="str">
        <f ca="1">IF(Proc[[#This Row],[DaysAgeing]]&gt;5,"yep","on track")</f>
        <v>on track</v>
      </c>
      <c r="Q2078" s="3">
        <f ca="1">IF(Proc[[#This Row],[DateClosed]]="",ABS(NETWORKDAYS(Proc[[#This Row],[DateOpened]],TODAY()))-1,ABS(NETWORKDAYS(Proc[[#This Row],[DateOpened]],Proc[[#This Row],[DateClosed]]))-1)</f>
        <v>1</v>
      </c>
      <c r="R2078" s="90" t="s">
        <v>1013</v>
      </c>
      <c r="S2078" s="94"/>
    </row>
    <row r="2079" spans="1:19" hidden="1">
      <c r="A2079" s="93" t="s">
        <v>3747</v>
      </c>
      <c r="B2079" s="149" t="str">
        <f>IFERROR(VLOOKUP(Proc[[#This Row],[App]],Table2[],3,0),"open")</f>
        <v>ok</v>
      </c>
      <c r="C2079" s="93" t="s">
        <v>369</v>
      </c>
      <c r="D2079" t="s">
        <v>3914</v>
      </c>
      <c r="E2079" t="s">
        <v>4068</v>
      </c>
      <c r="F2079" s="117" t="s">
        <v>4068</v>
      </c>
      <c r="G2079" s="93" t="s">
        <v>400</v>
      </c>
      <c r="H2079" s="94" t="str">
        <f>IF(Proc[[#This Row],[type]]="LFF (MDG-F)",MID(Proc[[#This Row],[Obj]],13,10),"")</f>
        <v/>
      </c>
      <c r="J2079" s="94" t="b">
        <f>Proc[[#This Row],[Requested]]=Proc[[#This Row],[CurrentParent]]</f>
        <v>1</v>
      </c>
      <c r="K2079" s="144" t="str">
        <f>IF(Proc[[#This Row],[Author]]="Marcela Urrego",VLOOKUP(LEFT(Proc[[#This Row],[Requested]],1),Table3[#All],2,0),VLOOKUP(Proc[[#This Row],[Author]],Table4[],2,0))</f>
        <v>HC</v>
      </c>
      <c r="L2079" s="125" t="s">
        <v>2563</v>
      </c>
      <c r="M2079" s="90">
        <v>45807.678356481483</v>
      </c>
      <c r="N2079" s="91">
        <v>45810</v>
      </c>
      <c r="O2079" s="91">
        <v>45810</v>
      </c>
      <c r="P2079" s="90" t="str">
        <f ca="1">IF(Proc[[#This Row],[DaysAgeing]]&gt;5,"yep","on track")</f>
        <v>on track</v>
      </c>
      <c r="Q2079" s="3">
        <f ca="1">IF(Proc[[#This Row],[DateClosed]]="",ABS(NETWORKDAYS(Proc[[#This Row],[DateOpened]],TODAY()))-1,ABS(NETWORKDAYS(Proc[[#This Row],[DateOpened]],Proc[[#This Row],[DateClosed]]))-1)</f>
        <v>1</v>
      </c>
      <c r="R2079" s="90" t="s">
        <v>1013</v>
      </c>
      <c r="S2079" s="94"/>
    </row>
    <row r="2080" spans="1:19" hidden="1">
      <c r="A2080" s="93" t="s">
        <v>3747</v>
      </c>
      <c r="B2080" s="149" t="str">
        <f>IFERROR(VLOOKUP(Proc[[#This Row],[App]],Table2[],3,0),"open")</f>
        <v>ok</v>
      </c>
      <c r="C2080" s="93" t="s">
        <v>369</v>
      </c>
      <c r="D2080" t="s">
        <v>3915</v>
      </c>
      <c r="E2080" t="s">
        <v>4068</v>
      </c>
      <c r="F2080" s="117" t="s">
        <v>4068</v>
      </c>
      <c r="G2080" s="93" t="s">
        <v>400</v>
      </c>
      <c r="H2080" s="94" t="str">
        <f>IF(Proc[[#This Row],[type]]="LFF (MDG-F)",MID(Proc[[#This Row],[Obj]],13,10),"")</f>
        <v/>
      </c>
      <c r="J2080" s="94" t="b">
        <f>Proc[[#This Row],[Requested]]=Proc[[#This Row],[CurrentParent]]</f>
        <v>1</v>
      </c>
      <c r="K2080" s="144" t="str">
        <f>IF(Proc[[#This Row],[Author]]="Marcela Urrego",VLOOKUP(LEFT(Proc[[#This Row],[Requested]],1),Table3[#All],2,0),VLOOKUP(Proc[[#This Row],[Author]],Table4[],2,0))</f>
        <v>HC</v>
      </c>
      <c r="L2080" s="125" t="s">
        <v>2563</v>
      </c>
      <c r="M2080" s="90">
        <v>45807.678356481483</v>
      </c>
      <c r="N2080" s="91">
        <v>45810</v>
      </c>
      <c r="O2080" s="91">
        <v>45810</v>
      </c>
      <c r="P2080" s="90" t="str">
        <f ca="1">IF(Proc[[#This Row],[DaysAgeing]]&gt;5,"yep","on track")</f>
        <v>on track</v>
      </c>
      <c r="Q2080" s="3">
        <f ca="1">IF(Proc[[#This Row],[DateClosed]]="",ABS(NETWORKDAYS(Proc[[#This Row],[DateOpened]],TODAY()))-1,ABS(NETWORKDAYS(Proc[[#This Row],[DateOpened]],Proc[[#This Row],[DateClosed]]))-1)</f>
        <v>1</v>
      </c>
      <c r="R2080" s="90" t="s">
        <v>1013</v>
      </c>
      <c r="S2080" s="94"/>
    </row>
    <row r="2081" spans="1:19" hidden="1">
      <c r="A2081" s="93" t="s">
        <v>3747</v>
      </c>
      <c r="B2081" s="149" t="str">
        <f>IFERROR(VLOOKUP(Proc[[#This Row],[App]],Table2[],3,0),"open")</f>
        <v>ok</v>
      </c>
      <c r="C2081" s="93" t="s">
        <v>369</v>
      </c>
      <c r="D2081" t="s">
        <v>3916</v>
      </c>
      <c r="E2081" t="s">
        <v>4068</v>
      </c>
      <c r="F2081" s="117" t="s">
        <v>4068</v>
      </c>
      <c r="G2081" s="93" t="s">
        <v>400</v>
      </c>
      <c r="H2081" s="94" t="str">
        <f>IF(Proc[[#This Row],[type]]="LFF (MDG-F)",MID(Proc[[#This Row],[Obj]],13,10),"")</f>
        <v/>
      </c>
      <c r="J2081" s="94" t="b">
        <f>Proc[[#This Row],[Requested]]=Proc[[#This Row],[CurrentParent]]</f>
        <v>1</v>
      </c>
      <c r="K2081" s="144" t="str">
        <f>IF(Proc[[#This Row],[Author]]="Marcela Urrego",VLOOKUP(LEFT(Proc[[#This Row],[Requested]],1),Table3[#All],2,0),VLOOKUP(Proc[[#This Row],[Author]],Table4[],2,0))</f>
        <v>HC</v>
      </c>
      <c r="L2081" s="125" t="s">
        <v>2563</v>
      </c>
      <c r="M2081" s="90">
        <v>45807.678356481483</v>
      </c>
      <c r="N2081" s="91">
        <v>45810</v>
      </c>
      <c r="O2081" s="91">
        <v>45810</v>
      </c>
      <c r="P2081" s="90" t="str">
        <f ca="1">IF(Proc[[#This Row],[DaysAgeing]]&gt;5,"yep","on track")</f>
        <v>on track</v>
      </c>
      <c r="Q2081" s="3">
        <f ca="1">IF(Proc[[#This Row],[DateClosed]]="",ABS(NETWORKDAYS(Proc[[#This Row],[DateOpened]],TODAY()))-1,ABS(NETWORKDAYS(Proc[[#This Row],[DateOpened]],Proc[[#This Row],[DateClosed]]))-1)</f>
        <v>1</v>
      </c>
      <c r="R2081" s="90" t="s">
        <v>1013</v>
      </c>
      <c r="S2081" s="94"/>
    </row>
    <row r="2082" spans="1:19" hidden="1">
      <c r="A2082" s="93" t="s">
        <v>3747</v>
      </c>
      <c r="B2082" s="149" t="str">
        <f>IFERROR(VLOOKUP(Proc[[#This Row],[App]],Table2[],3,0),"open")</f>
        <v>ok</v>
      </c>
      <c r="C2082" s="93" t="s">
        <v>369</v>
      </c>
      <c r="D2082" t="s">
        <v>3917</v>
      </c>
      <c r="E2082" t="s">
        <v>4068</v>
      </c>
      <c r="F2082" s="117" t="s">
        <v>4068</v>
      </c>
      <c r="G2082" s="93" t="s">
        <v>400</v>
      </c>
      <c r="H2082" s="94" t="str">
        <f>IF(Proc[[#This Row],[type]]="LFF (MDG-F)",MID(Proc[[#This Row],[Obj]],13,10),"")</f>
        <v/>
      </c>
      <c r="J2082" s="94" t="b">
        <f>Proc[[#This Row],[Requested]]=Proc[[#This Row],[CurrentParent]]</f>
        <v>1</v>
      </c>
      <c r="K2082" s="144" t="str">
        <f>IF(Proc[[#This Row],[Author]]="Marcela Urrego",VLOOKUP(LEFT(Proc[[#This Row],[Requested]],1),Table3[#All],2,0),VLOOKUP(Proc[[#This Row],[Author]],Table4[],2,0))</f>
        <v>HC</v>
      </c>
      <c r="L2082" s="125" t="s">
        <v>2563</v>
      </c>
      <c r="M2082" s="90">
        <v>45807.678356481483</v>
      </c>
      <c r="N2082" s="91">
        <v>45810</v>
      </c>
      <c r="O2082" s="91">
        <v>45810</v>
      </c>
      <c r="P2082" s="90" t="str">
        <f ca="1">IF(Proc[[#This Row],[DaysAgeing]]&gt;5,"yep","on track")</f>
        <v>on track</v>
      </c>
      <c r="Q2082" s="3">
        <f ca="1">IF(Proc[[#This Row],[DateClosed]]="",ABS(NETWORKDAYS(Proc[[#This Row],[DateOpened]],TODAY()))-1,ABS(NETWORKDAYS(Proc[[#This Row],[DateOpened]],Proc[[#This Row],[DateClosed]]))-1)</f>
        <v>1</v>
      </c>
      <c r="R2082" s="90" t="s">
        <v>1013</v>
      </c>
      <c r="S2082" s="94"/>
    </row>
    <row r="2083" spans="1:19" hidden="1">
      <c r="A2083" s="93" t="s">
        <v>3747</v>
      </c>
      <c r="B2083" s="149" t="str">
        <f>IFERROR(VLOOKUP(Proc[[#This Row],[App]],Table2[],3,0),"open")</f>
        <v>ok</v>
      </c>
      <c r="C2083" s="93" t="s">
        <v>369</v>
      </c>
      <c r="D2083" t="s">
        <v>3918</v>
      </c>
      <c r="E2083" t="s">
        <v>4068</v>
      </c>
      <c r="F2083" s="117" t="s">
        <v>4068</v>
      </c>
      <c r="G2083" s="93" t="s">
        <v>400</v>
      </c>
      <c r="H2083" s="94" t="str">
        <f>IF(Proc[[#This Row],[type]]="LFF (MDG-F)",MID(Proc[[#This Row],[Obj]],13,10),"")</f>
        <v/>
      </c>
      <c r="J2083" s="94" t="b">
        <f>Proc[[#This Row],[Requested]]=Proc[[#This Row],[CurrentParent]]</f>
        <v>1</v>
      </c>
      <c r="K2083" s="144" t="str">
        <f>IF(Proc[[#This Row],[Author]]="Marcela Urrego",VLOOKUP(LEFT(Proc[[#This Row],[Requested]],1),Table3[#All],2,0),VLOOKUP(Proc[[#This Row],[Author]],Table4[],2,0))</f>
        <v>HC</v>
      </c>
      <c r="L2083" s="125" t="s">
        <v>2563</v>
      </c>
      <c r="M2083" s="90">
        <v>45807.678356481483</v>
      </c>
      <c r="N2083" s="91">
        <v>45810</v>
      </c>
      <c r="O2083" s="91">
        <v>45810</v>
      </c>
      <c r="P2083" s="90" t="str">
        <f ca="1">IF(Proc[[#This Row],[DaysAgeing]]&gt;5,"yep","on track")</f>
        <v>on track</v>
      </c>
      <c r="Q2083" s="3">
        <f ca="1">IF(Proc[[#This Row],[DateClosed]]="",ABS(NETWORKDAYS(Proc[[#This Row],[DateOpened]],TODAY()))-1,ABS(NETWORKDAYS(Proc[[#This Row],[DateOpened]],Proc[[#This Row],[DateClosed]]))-1)</f>
        <v>1</v>
      </c>
      <c r="R2083" s="90" t="s">
        <v>1013</v>
      </c>
      <c r="S2083" s="94"/>
    </row>
    <row r="2084" spans="1:19" hidden="1">
      <c r="A2084" s="93" t="s">
        <v>3747</v>
      </c>
      <c r="B2084" s="149" t="str">
        <f>IFERROR(VLOOKUP(Proc[[#This Row],[App]],Table2[],3,0),"open")</f>
        <v>ok</v>
      </c>
      <c r="C2084" s="93" t="s">
        <v>369</v>
      </c>
      <c r="D2084" t="s">
        <v>3919</v>
      </c>
      <c r="E2084" t="s">
        <v>4068</v>
      </c>
      <c r="F2084" s="117" t="s">
        <v>4068</v>
      </c>
      <c r="G2084" s="93" t="s">
        <v>400</v>
      </c>
      <c r="H2084" s="94" t="str">
        <f>IF(Proc[[#This Row],[type]]="LFF (MDG-F)",MID(Proc[[#This Row],[Obj]],13,10),"")</f>
        <v/>
      </c>
      <c r="J2084" s="94" t="b">
        <f>Proc[[#This Row],[Requested]]=Proc[[#This Row],[CurrentParent]]</f>
        <v>1</v>
      </c>
      <c r="K2084" s="144" t="str">
        <f>IF(Proc[[#This Row],[Author]]="Marcela Urrego",VLOOKUP(LEFT(Proc[[#This Row],[Requested]],1),Table3[#All],2,0),VLOOKUP(Proc[[#This Row],[Author]],Table4[],2,0))</f>
        <v>HC</v>
      </c>
      <c r="L2084" s="125" t="s">
        <v>2563</v>
      </c>
      <c r="M2084" s="90">
        <v>45807.678356481483</v>
      </c>
      <c r="N2084" s="91">
        <v>45810</v>
      </c>
      <c r="O2084" s="91">
        <v>45810</v>
      </c>
      <c r="P2084" s="90" t="str">
        <f ca="1">IF(Proc[[#This Row],[DaysAgeing]]&gt;5,"yep","on track")</f>
        <v>on track</v>
      </c>
      <c r="Q2084" s="3">
        <f ca="1">IF(Proc[[#This Row],[DateClosed]]="",ABS(NETWORKDAYS(Proc[[#This Row],[DateOpened]],TODAY()))-1,ABS(NETWORKDAYS(Proc[[#This Row],[DateOpened]],Proc[[#This Row],[DateClosed]]))-1)</f>
        <v>1</v>
      </c>
      <c r="R2084" s="90" t="s">
        <v>1013</v>
      </c>
      <c r="S2084" s="94"/>
    </row>
    <row r="2085" spans="1:19" hidden="1">
      <c r="A2085" s="93" t="s">
        <v>3747</v>
      </c>
      <c r="B2085" s="149" t="str">
        <f>IFERROR(VLOOKUP(Proc[[#This Row],[App]],Table2[],3,0),"open")</f>
        <v>ok</v>
      </c>
      <c r="C2085" s="93" t="s">
        <v>369</v>
      </c>
      <c r="D2085" t="s">
        <v>3920</v>
      </c>
      <c r="E2085" t="s">
        <v>4068</v>
      </c>
      <c r="F2085" s="117" t="s">
        <v>4068</v>
      </c>
      <c r="G2085" s="93" t="s">
        <v>400</v>
      </c>
      <c r="H2085" s="94" t="str">
        <f>IF(Proc[[#This Row],[type]]="LFF (MDG-F)",MID(Proc[[#This Row],[Obj]],13,10),"")</f>
        <v/>
      </c>
      <c r="J2085" s="94" t="b">
        <f>Proc[[#This Row],[Requested]]=Proc[[#This Row],[CurrentParent]]</f>
        <v>1</v>
      </c>
      <c r="K2085" s="144" t="str">
        <f>IF(Proc[[#This Row],[Author]]="Marcela Urrego",VLOOKUP(LEFT(Proc[[#This Row],[Requested]],1),Table3[#All],2,0),VLOOKUP(Proc[[#This Row],[Author]],Table4[],2,0))</f>
        <v>HC</v>
      </c>
      <c r="L2085" s="125" t="s">
        <v>2563</v>
      </c>
      <c r="M2085" s="90">
        <v>45807.678356481483</v>
      </c>
      <c r="N2085" s="91">
        <v>45810</v>
      </c>
      <c r="O2085" s="91">
        <v>45810</v>
      </c>
      <c r="P2085" s="90" t="str">
        <f ca="1">IF(Proc[[#This Row],[DaysAgeing]]&gt;5,"yep","on track")</f>
        <v>on track</v>
      </c>
      <c r="Q2085" s="3">
        <f ca="1">IF(Proc[[#This Row],[DateClosed]]="",ABS(NETWORKDAYS(Proc[[#This Row],[DateOpened]],TODAY()))-1,ABS(NETWORKDAYS(Proc[[#This Row],[DateOpened]],Proc[[#This Row],[DateClosed]]))-1)</f>
        <v>1</v>
      </c>
      <c r="R2085" s="90" t="s">
        <v>1013</v>
      </c>
      <c r="S2085" s="94"/>
    </row>
    <row r="2086" spans="1:19" hidden="1">
      <c r="A2086" s="93" t="s">
        <v>3747</v>
      </c>
      <c r="B2086" s="149" t="str">
        <f>IFERROR(VLOOKUP(Proc[[#This Row],[App]],Table2[],3,0),"open")</f>
        <v>ok</v>
      </c>
      <c r="C2086" s="93" t="s">
        <v>369</v>
      </c>
      <c r="D2086" t="s">
        <v>3921</v>
      </c>
      <c r="E2086" t="s">
        <v>4068</v>
      </c>
      <c r="F2086" s="117" t="s">
        <v>4068</v>
      </c>
      <c r="G2086" s="93" t="s">
        <v>400</v>
      </c>
      <c r="H2086" s="94" t="str">
        <f>IF(Proc[[#This Row],[type]]="LFF (MDG-F)",MID(Proc[[#This Row],[Obj]],13,10),"")</f>
        <v/>
      </c>
      <c r="J2086" s="94" t="b">
        <f>Proc[[#This Row],[Requested]]=Proc[[#This Row],[CurrentParent]]</f>
        <v>1</v>
      </c>
      <c r="K2086" s="144" t="str">
        <f>IF(Proc[[#This Row],[Author]]="Marcela Urrego",VLOOKUP(LEFT(Proc[[#This Row],[Requested]],1),Table3[#All],2,0),VLOOKUP(Proc[[#This Row],[Author]],Table4[],2,0))</f>
        <v>HC</v>
      </c>
      <c r="L2086" s="125" t="s">
        <v>2563</v>
      </c>
      <c r="M2086" s="90">
        <v>45807.678356481483</v>
      </c>
      <c r="N2086" s="91">
        <v>45810</v>
      </c>
      <c r="O2086" s="91">
        <v>45810</v>
      </c>
      <c r="P2086" s="90" t="str">
        <f ca="1">IF(Proc[[#This Row],[DaysAgeing]]&gt;5,"yep","on track")</f>
        <v>on track</v>
      </c>
      <c r="Q2086" s="3">
        <f ca="1">IF(Proc[[#This Row],[DateClosed]]="",ABS(NETWORKDAYS(Proc[[#This Row],[DateOpened]],TODAY()))-1,ABS(NETWORKDAYS(Proc[[#This Row],[DateOpened]],Proc[[#This Row],[DateClosed]]))-1)</f>
        <v>1</v>
      </c>
      <c r="R2086" s="90" t="s">
        <v>1013</v>
      </c>
      <c r="S2086" s="94"/>
    </row>
    <row r="2087" spans="1:19" hidden="1">
      <c r="A2087" s="93" t="s">
        <v>3747</v>
      </c>
      <c r="B2087" s="149" t="str">
        <f>IFERROR(VLOOKUP(Proc[[#This Row],[App]],Table2[],3,0),"open")</f>
        <v>ok</v>
      </c>
      <c r="C2087" s="93" t="s">
        <v>369</v>
      </c>
      <c r="D2087" t="s">
        <v>3922</v>
      </c>
      <c r="E2087" t="s">
        <v>4068</v>
      </c>
      <c r="F2087" s="117" t="s">
        <v>4068</v>
      </c>
      <c r="G2087" s="93" t="s">
        <v>400</v>
      </c>
      <c r="H2087" s="94" t="str">
        <f>IF(Proc[[#This Row],[type]]="LFF (MDG-F)",MID(Proc[[#This Row],[Obj]],13,10),"")</f>
        <v/>
      </c>
      <c r="J2087" s="94" t="b">
        <f>Proc[[#This Row],[Requested]]=Proc[[#This Row],[CurrentParent]]</f>
        <v>1</v>
      </c>
      <c r="K2087" s="144" t="str">
        <f>IF(Proc[[#This Row],[Author]]="Marcela Urrego",VLOOKUP(LEFT(Proc[[#This Row],[Requested]],1),Table3[#All],2,0),VLOOKUP(Proc[[#This Row],[Author]],Table4[],2,0))</f>
        <v>HC</v>
      </c>
      <c r="L2087" s="125" t="s">
        <v>2563</v>
      </c>
      <c r="M2087" s="90">
        <v>45807.678356481483</v>
      </c>
      <c r="N2087" s="91">
        <v>45810</v>
      </c>
      <c r="O2087" s="91">
        <v>45810</v>
      </c>
      <c r="P2087" s="90" t="str">
        <f ca="1">IF(Proc[[#This Row],[DaysAgeing]]&gt;5,"yep","on track")</f>
        <v>on track</v>
      </c>
      <c r="Q2087" s="3">
        <f ca="1">IF(Proc[[#This Row],[DateClosed]]="",ABS(NETWORKDAYS(Proc[[#This Row],[DateOpened]],TODAY()))-1,ABS(NETWORKDAYS(Proc[[#This Row],[DateOpened]],Proc[[#This Row],[DateClosed]]))-1)</f>
        <v>1</v>
      </c>
      <c r="R2087" s="90" t="s">
        <v>1013</v>
      </c>
      <c r="S2087" s="94"/>
    </row>
    <row r="2088" spans="1:19" hidden="1">
      <c r="A2088" s="93" t="s">
        <v>3747</v>
      </c>
      <c r="B2088" s="149" t="str">
        <f>IFERROR(VLOOKUP(Proc[[#This Row],[App]],Table2[],3,0),"open")</f>
        <v>ok</v>
      </c>
      <c r="C2088" s="93" t="s">
        <v>369</v>
      </c>
      <c r="D2088" t="s">
        <v>3923</v>
      </c>
      <c r="E2088" t="s">
        <v>4068</v>
      </c>
      <c r="F2088" s="117" t="s">
        <v>4068</v>
      </c>
      <c r="G2088" s="93" t="s">
        <v>400</v>
      </c>
      <c r="H2088" s="94" t="str">
        <f>IF(Proc[[#This Row],[type]]="LFF (MDG-F)",MID(Proc[[#This Row],[Obj]],13,10),"")</f>
        <v/>
      </c>
      <c r="J2088" s="94" t="b">
        <f>Proc[[#This Row],[Requested]]=Proc[[#This Row],[CurrentParent]]</f>
        <v>1</v>
      </c>
      <c r="K2088" s="144" t="str">
        <f>IF(Proc[[#This Row],[Author]]="Marcela Urrego",VLOOKUP(LEFT(Proc[[#This Row],[Requested]],1),Table3[#All],2,0),VLOOKUP(Proc[[#This Row],[Author]],Table4[],2,0))</f>
        <v>HC</v>
      </c>
      <c r="L2088" s="125" t="s">
        <v>2563</v>
      </c>
      <c r="M2088" s="90">
        <v>45807.678356481483</v>
      </c>
      <c r="N2088" s="91">
        <v>45810</v>
      </c>
      <c r="O2088" s="91">
        <v>45810</v>
      </c>
      <c r="P2088" s="90" t="str">
        <f ca="1">IF(Proc[[#This Row],[DaysAgeing]]&gt;5,"yep","on track")</f>
        <v>on track</v>
      </c>
      <c r="Q2088" s="3">
        <f ca="1">IF(Proc[[#This Row],[DateClosed]]="",ABS(NETWORKDAYS(Proc[[#This Row],[DateOpened]],TODAY()))-1,ABS(NETWORKDAYS(Proc[[#This Row],[DateOpened]],Proc[[#This Row],[DateClosed]]))-1)</f>
        <v>1</v>
      </c>
      <c r="R2088" s="90" t="s">
        <v>1013</v>
      </c>
      <c r="S2088" s="94"/>
    </row>
    <row r="2089" spans="1:19" hidden="1">
      <c r="A2089" s="93" t="s">
        <v>3747</v>
      </c>
      <c r="B2089" s="149" t="str">
        <f>IFERROR(VLOOKUP(Proc[[#This Row],[App]],Table2[],3,0),"open")</f>
        <v>ok</v>
      </c>
      <c r="C2089" s="93" t="s">
        <v>369</v>
      </c>
      <c r="D2089" t="s">
        <v>3924</v>
      </c>
      <c r="E2089" t="s">
        <v>4068</v>
      </c>
      <c r="F2089" s="117" t="s">
        <v>4068</v>
      </c>
      <c r="G2089" s="93" t="s">
        <v>400</v>
      </c>
      <c r="H2089" s="94" t="str">
        <f>IF(Proc[[#This Row],[type]]="LFF (MDG-F)",MID(Proc[[#This Row],[Obj]],13,10),"")</f>
        <v/>
      </c>
      <c r="J2089" s="94" t="b">
        <f>Proc[[#This Row],[Requested]]=Proc[[#This Row],[CurrentParent]]</f>
        <v>1</v>
      </c>
      <c r="K2089" s="144" t="str">
        <f>IF(Proc[[#This Row],[Author]]="Marcela Urrego",VLOOKUP(LEFT(Proc[[#This Row],[Requested]],1),Table3[#All],2,0),VLOOKUP(Proc[[#This Row],[Author]],Table4[],2,0))</f>
        <v>HC</v>
      </c>
      <c r="L2089" s="125" t="s">
        <v>2563</v>
      </c>
      <c r="M2089" s="90">
        <v>45807.678356481483</v>
      </c>
      <c r="N2089" s="91">
        <v>45810</v>
      </c>
      <c r="O2089" s="91">
        <v>45810</v>
      </c>
      <c r="P2089" s="90" t="str">
        <f ca="1">IF(Proc[[#This Row],[DaysAgeing]]&gt;5,"yep","on track")</f>
        <v>on track</v>
      </c>
      <c r="Q2089" s="3">
        <f ca="1">IF(Proc[[#This Row],[DateClosed]]="",ABS(NETWORKDAYS(Proc[[#This Row],[DateOpened]],TODAY()))-1,ABS(NETWORKDAYS(Proc[[#This Row],[DateOpened]],Proc[[#This Row],[DateClosed]]))-1)</f>
        <v>1</v>
      </c>
      <c r="R2089" s="90" t="s">
        <v>1013</v>
      </c>
      <c r="S2089" s="94"/>
    </row>
    <row r="2090" spans="1:19" hidden="1">
      <c r="A2090" s="93" t="s">
        <v>3747</v>
      </c>
      <c r="B2090" s="149" t="str">
        <f>IFERROR(VLOOKUP(Proc[[#This Row],[App]],Table2[],3,0),"open")</f>
        <v>ok</v>
      </c>
      <c r="C2090" s="93" t="s">
        <v>369</v>
      </c>
      <c r="D2090" t="s">
        <v>3925</v>
      </c>
      <c r="E2090" t="s">
        <v>4068</v>
      </c>
      <c r="F2090" s="117" t="s">
        <v>4068</v>
      </c>
      <c r="G2090" s="93" t="s">
        <v>400</v>
      </c>
      <c r="H2090" s="94" t="str">
        <f>IF(Proc[[#This Row],[type]]="LFF (MDG-F)",MID(Proc[[#This Row],[Obj]],13,10),"")</f>
        <v/>
      </c>
      <c r="J2090" s="94" t="b">
        <f>Proc[[#This Row],[Requested]]=Proc[[#This Row],[CurrentParent]]</f>
        <v>1</v>
      </c>
      <c r="K2090" s="144" t="str">
        <f>IF(Proc[[#This Row],[Author]]="Marcela Urrego",VLOOKUP(LEFT(Proc[[#This Row],[Requested]],1),Table3[#All],2,0),VLOOKUP(Proc[[#This Row],[Author]],Table4[],2,0))</f>
        <v>HC</v>
      </c>
      <c r="L2090" s="125" t="s">
        <v>2563</v>
      </c>
      <c r="M2090" s="90">
        <v>45807.678356481483</v>
      </c>
      <c r="N2090" s="91">
        <v>45810</v>
      </c>
      <c r="O2090" s="91">
        <v>45810</v>
      </c>
      <c r="P2090" s="90" t="str">
        <f ca="1">IF(Proc[[#This Row],[DaysAgeing]]&gt;5,"yep","on track")</f>
        <v>on track</v>
      </c>
      <c r="Q2090" s="3">
        <f ca="1">IF(Proc[[#This Row],[DateClosed]]="",ABS(NETWORKDAYS(Proc[[#This Row],[DateOpened]],TODAY()))-1,ABS(NETWORKDAYS(Proc[[#This Row],[DateOpened]],Proc[[#This Row],[DateClosed]]))-1)</f>
        <v>1</v>
      </c>
      <c r="R2090" s="90" t="s">
        <v>1013</v>
      </c>
      <c r="S2090" s="94"/>
    </row>
    <row r="2091" spans="1:19" hidden="1">
      <c r="A2091" s="93" t="s">
        <v>3747</v>
      </c>
      <c r="B2091" s="149" t="str">
        <f>IFERROR(VLOOKUP(Proc[[#This Row],[App]],Table2[],3,0),"open")</f>
        <v>ok</v>
      </c>
      <c r="C2091" s="93" t="s">
        <v>369</v>
      </c>
      <c r="D2091" t="s">
        <v>3926</v>
      </c>
      <c r="E2091" t="s">
        <v>4068</v>
      </c>
      <c r="F2091" s="117" t="s">
        <v>4068</v>
      </c>
      <c r="G2091" s="93" t="s">
        <v>400</v>
      </c>
      <c r="H2091" s="94" t="str">
        <f>IF(Proc[[#This Row],[type]]="LFF (MDG-F)",MID(Proc[[#This Row],[Obj]],13,10),"")</f>
        <v/>
      </c>
      <c r="J2091" s="94" t="b">
        <f>Proc[[#This Row],[Requested]]=Proc[[#This Row],[CurrentParent]]</f>
        <v>1</v>
      </c>
      <c r="K2091" s="144" t="str">
        <f>IF(Proc[[#This Row],[Author]]="Marcela Urrego",VLOOKUP(LEFT(Proc[[#This Row],[Requested]],1),Table3[#All],2,0),VLOOKUP(Proc[[#This Row],[Author]],Table4[],2,0))</f>
        <v>HC</v>
      </c>
      <c r="L2091" s="125" t="s">
        <v>2563</v>
      </c>
      <c r="M2091" s="90">
        <v>45807.678356481483</v>
      </c>
      <c r="N2091" s="91">
        <v>45810</v>
      </c>
      <c r="O2091" s="91">
        <v>45810</v>
      </c>
      <c r="P2091" s="90" t="str">
        <f ca="1">IF(Proc[[#This Row],[DaysAgeing]]&gt;5,"yep","on track")</f>
        <v>on track</v>
      </c>
      <c r="Q2091" s="3">
        <f ca="1">IF(Proc[[#This Row],[DateClosed]]="",ABS(NETWORKDAYS(Proc[[#This Row],[DateOpened]],TODAY()))-1,ABS(NETWORKDAYS(Proc[[#This Row],[DateOpened]],Proc[[#This Row],[DateClosed]]))-1)</f>
        <v>1</v>
      </c>
      <c r="R2091" s="90" t="s">
        <v>1013</v>
      </c>
      <c r="S2091" s="94"/>
    </row>
    <row r="2092" spans="1:19" hidden="1">
      <c r="A2092" s="93" t="s">
        <v>3747</v>
      </c>
      <c r="B2092" s="149" t="str">
        <f>IFERROR(VLOOKUP(Proc[[#This Row],[App]],Table2[],3,0),"open")</f>
        <v>ok</v>
      </c>
      <c r="C2092" s="93" t="s">
        <v>369</v>
      </c>
      <c r="D2092" t="s">
        <v>3927</v>
      </c>
      <c r="E2092" t="s">
        <v>4068</v>
      </c>
      <c r="F2092" s="117" t="s">
        <v>4068</v>
      </c>
      <c r="G2092" s="93" t="s">
        <v>400</v>
      </c>
      <c r="H2092" s="94" t="str">
        <f>IF(Proc[[#This Row],[type]]="LFF (MDG-F)",MID(Proc[[#This Row],[Obj]],13,10),"")</f>
        <v/>
      </c>
      <c r="J2092" s="94" t="b">
        <f>Proc[[#This Row],[Requested]]=Proc[[#This Row],[CurrentParent]]</f>
        <v>1</v>
      </c>
      <c r="K2092" s="144" t="str">
        <f>IF(Proc[[#This Row],[Author]]="Marcela Urrego",VLOOKUP(LEFT(Proc[[#This Row],[Requested]],1),Table3[#All],2,0),VLOOKUP(Proc[[#This Row],[Author]],Table4[],2,0))</f>
        <v>HC</v>
      </c>
      <c r="L2092" s="125" t="s">
        <v>2563</v>
      </c>
      <c r="M2092" s="90">
        <v>45807.678356481483</v>
      </c>
      <c r="N2092" s="91">
        <v>45810</v>
      </c>
      <c r="O2092" s="91">
        <v>45810</v>
      </c>
      <c r="P2092" s="90" t="str">
        <f ca="1">IF(Proc[[#This Row],[DaysAgeing]]&gt;5,"yep","on track")</f>
        <v>on track</v>
      </c>
      <c r="Q2092" s="3">
        <f ca="1">IF(Proc[[#This Row],[DateClosed]]="",ABS(NETWORKDAYS(Proc[[#This Row],[DateOpened]],TODAY()))-1,ABS(NETWORKDAYS(Proc[[#This Row],[DateOpened]],Proc[[#This Row],[DateClosed]]))-1)</f>
        <v>1</v>
      </c>
      <c r="R2092" s="90" t="s">
        <v>1013</v>
      </c>
      <c r="S2092" s="94"/>
    </row>
    <row r="2093" spans="1:19" hidden="1">
      <c r="A2093" s="93" t="s">
        <v>3747</v>
      </c>
      <c r="B2093" s="149" t="str">
        <f>IFERROR(VLOOKUP(Proc[[#This Row],[App]],Table2[],3,0),"open")</f>
        <v>ok</v>
      </c>
      <c r="C2093" s="93" t="s">
        <v>369</v>
      </c>
      <c r="D2093" t="s">
        <v>3928</v>
      </c>
      <c r="E2093" t="s">
        <v>4068</v>
      </c>
      <c r="F2093" s="117" t="s">
        <v>4068</v>
      </c>
      <c r="G2093" s="93" t="s">
        <v>400</v>
      </c>
      <c r="H2093" s="94" t="str">
        <f>IF(Proc[[#This Row],[type]]="LFF (MDG-F)",MID(Proc[[#This Row],[Obj]],13,10),"")</f>
        <v/>
      </c>
      <c r="J2093" s="94" t="b">
        <f>Proc[[#This Row],[Requested]]=Proc[[#This Row],[CurrentParent]]</f>
        <v>1</v>
      </c>
      <c r="K2093" s="144" t="str">
        <f>IF(Proc[[#This Row],[Author]]="Marcela Urrego",VLOOKUP(LEFT(Proc[[#This Row],[Requested]],1),Table3[#All],2,0),VLOOKUP(Proc[[#This Row],[Author]],Table4[],2,0))</f>
        <v>HC</v>
      </c>
      <c r="L2093" s="125" t="s">
        <v>2563</v>
      </c>
      <c r="M2093" s="90">
        <v>45807.678356481483</v>
      </c>
      <c r="N2093" s="91">
        <v>45810</v>
      </c>
      <c r="O2093" s="91">
        <v>45810</v>
      </c>
      <c r="P2093" s="90" t="str">
        <f ca="1">IF(Proc[[#This Row],[DaysAgeing]]&gt;5,"yep","on track")</f>
        <v>on track</v>
      </c>
      <c r="Q2093" s="3">
        <f ca="1">IF(Proc[[#This Row],[DateClosed]]="",ABS(NETWORKDAYS(Proc[[#This Row],[DateOpened]],TODAY()))-1,ABS(NETWORKDAYS(Proc[[#This Row],[DateOpened]],Proc[[#This Row],[DateClosed]]))-1)</f>
        <v>1</v>
      </c>
      <c r="R2093" s="90" t="s">
        <v>1013</v>
      </c>
      <c r="S2093" s="94"/>
    </row>
    <row r="2094" spans="1:19" hidden="1">
      <c r="A2094" s="93" t="s">
        <v>3747</v>
      </c>
      <c r="B2094" s="149" t="str">
        <f>IFERROR(VLOOKUP(Proc[[#This Row],[App]],Table2[],3,0),"open")</f>
        <v>ok</v>
      </c>
      <c r="C2094" s="93" t="s">
        <v>369</v>
      </c>
      <c r="D2094" t="s">
        <v>3929</v>
      </c>
      <c r="E2094" t="s">
        <v>4068</v>
      </c>
      <c r="F2094" s="117" t="s">
        <v>4068</v>
      </c>
      <c r="G2094" s="93" t="s">
        <v>400</v>
      </c>
      <c r="H2094" s="94" t="str">
        <f>IF(Proc[[#This Row],[type]]="LFF (MDG-F)",MID(Proc[[#This Row],[Obj]],13,10),"")</f>
        <v/>
      </c>
      <c r="J2094" s="94" t="b">
        <f>Proc[[#This Row],[Requested]]=Proc[[#This Row],[CurrentParent]]</f>
        <v>1</v>
      </c>
      <c r="K2094" s="144" t="str">
        <f>IF(Proc[[#This Row],[Author]]="Marcela Urrego",VLOOKUP(LEFT(Proc[[#This Row],[Requested]],1),Table3[#All],2,0),VLOOKUP(Proc[[#This Row],[Author]],Table4[],2,0))</f>
        <v>HC</v>
      </c>
      <c r="L2094" s="125" t="s">
        <v>2563</v>
      </c>
      <c r="M2094" s="90">
        <v>45807.678356481483</v>
      </c>
      <c r="N2094" s="91">
        <v>45810</v>
      </c>
      <c r="O2094" s="91">
        <v>45810</v>
      </c>
      <c r="P2094" s="90" t="str">
        <f ca="1">IF(Proc[[#This Row],[DaysAgeing]]&gt;5,"yep","on track")</f>
        <v>on track</v>
      </c>
      <c r="Q2094" s="3">
        <f ca="1">IF(Proc[[#This Row],[DateClosed]]="",ABS(NETWORKDAYS(Proc[[#This Row],[DateOpened]],TODAY()))-1,ABS(NETWORKDAYS(Proc[[#This Row],[DateOpened]],Proc[[#This Row],[DateClosed]]))-1)</f>
        <v>1</v>
      </c>
      <c r="R2094" s="90" t="s">
        <v>1013</v>
      </c>
      <c r="S2094" s="94"/>
    </row>
    <row r="2095" spans="1:19" hidden="1">
      <c r="A2095" s="93" t="s">
        <v>3747</v>
      </c>
      <c r="B2095" s="149" t="str">
        <f>IFERROR(VLOOKUP(Proc[[#This Row],[App]],Table2[],3,0),"open")</f>
        <v>ok</v>
      </c>
      <c r="C2095" s="93" t="s">
        <v>369</v>
      </c>
      <c r="D2095" t="s">
        <v>3930</v>
      </c>
      <c r="E2095" t="s">
        <v>4068</v>
      </c>
      <c r="F2095" s="117" t="s">
        <v>4068</v>
      </c>
      <c r="G2095" s="93" t="s">
        <v>400</v>
      </c>
      <c r="H2095" s="94" t="str">
        <f>IF(Proc[[#This Row],[type]]="LFF (MDG-F)",MID(Proc[[#This Row],[Obj]],13,10),"")</f>
        <v/>
      </c>
      <c r="J2095" s="94" t="b">
        <f>Proc[[#This Row],[Requested]]=Proc[[#This Row],[CurrentParent]]</f>
        <v>1</v>
      </c>
      <c r="K2095" s="144" t="str">
        <f>IF(Proc[[#This Row],[Author]]="Marcela Urrego",VLOOKUP(LEFT(Proc[[#This Row],[Requested]],1),Table3[#All],2,0),VLOOKUP(Proc[[#This Row],[Author]],Table4[],2,0))</f>
        <v>HC</v>
      </c>
      <c r="L2095" s="125" t="s">
        <v>2563</v>
      </c>
      <c r="M2095" s="90">
        <v>45807.678356481483</v>
      </c>
      <c r="N2095" s="91">
        <v>45810</v>
      </c>
      <c r="O2095" s="91">
        <v>45810</v>
      </c>
      <c r="P2095" s="90" t="str">
        <f ca="1">IF(Proc[[#This Row],[DaysAgeing]]&gt;5,"yep","on track")</f>
        <v>on track</v>
      </c>
      <c r="Q2095" s="3">
        <f ca="1">IF(Proc[[#This Row],[DateClosed]]="",ABS(NETWORKDAYS(Proc[[#This Row],[DateOpened]],TODAY()))-1,ABS(NETWORKDAYS(Proc[[#This Row],[DateOpened]],Proc[[#This Row],[DateClosed]]))-1)</f>
        <v>1</v>
      </c>
      <c r="R2095" s="90" t="s">
        <v>1013</v>
      </c>
      <c r="S2095" s="94"/>
    </row>
    <row r="2096" spans="1:19" hidden="1">
      <c r="A2096" s="93" t="s">
        <v>3747</v>
      </c>
      <c r="B2096" s="149" t="str">
        <f>IFERROR(VLOOKUP(Proc[[#This Row],[App]],Table2[],3,0),"open")</f>
        <v>ok</v>
      </c>
      <c r="C2096" s="93" t="s">
        <v>369</v>
      </c>
      <c r="D2096" t="s">
        <v>3931</v>
      </c>
      <c r="E2096" t="s">
        <v>4068</v>
      </c>
      <c r="F2096" s="117" t="s">
        <v>4068</v>
      </c>
      <c r="G2096" s="93" t="s">
        <v>400</v>
      </c>
      <c r="H2096" s="94" t="str">
        <f>IF(Proc[[#This Row],[type]]="LFF (MDG-F)",MID(Proc[[#This Row],[Obj]],13,10),"")</f>
        <v/>
      </c>
      <c r="J2096" s="94" t="b">
        <f>Proc[[#This Row],[Requested]]=Proc[[#This Row],[CurrentParent]]</f>
        <v>1</v>
      </c>
      <c r="K2096" s="144" t="str">
        <f>IF(Proc[[#This Row],[Author]]="Marcela Urrego",VLOOKUP(LEFT(Proc[[#This Row],[Requested]],1),Table3[#All],2,0),VLOOKUP(Proc[[#This Row],[Author]],Table4[],2,0))</f>
        <v>HC</v>
      </c>
      <c r="L2096" s="125" t="s">
        <v>2563</v>
      </c>
      <c r="M2096" s="90">
        <v>45807.678356481483</v>
      </c>
      <c r="N2096" s="91">
        <v>45810</v>
      </c>
      <c r="O2096" s="91">
        <v>45810</v>
      </c>
      <c r="P2096" s="90" t="str">
        <f ca="1">IF(Proc[[#This Row],[DaysAgeing]]&gt;5,"yep","on track")</f>
        <v>on track</v>
      </c>
      <c r="Q2096" s="3">
        <f ca="1">IF(Proc[[#This Row],[DateClosed]]="",ABS(NETWORKDAYS(Proc[[#This Row],[DateOpened]],TODAY()))-1,ABS(NETWORKDAYS(Proc[[#This Row],[DateOpened]],Proc[[#This Row],[DateClosed]]))-1)</f>
        <v>1</v>
      </c>
      <c r="R2096" s="90" t="s">
        <v>1013</v>
      </c>
      <c r="S2096" s="94"/>
    </row>
    <row r="2097" spans="1:19" hidden="1">
      <c r="A2097" s="93" t="s">
        <v>3747</v>
      </c>
      <c r="B2097" s="149" t="str">
        <f>IFERROR(VLOOKUP(Proc[[#This Row],[App]],Table2[],3,0),"open")</f>
        <v>ok</v>
      </c>
      <c r="C2097" s="93" t="s">
        <v>369</v>
      </c>
      <c r="D2097" t="s">
        <v>3932</v>
      </c>
      <c r="E2097" t="s">
        <v>4068</v>
      </c>
      <c r="F2097" s="117" t="s">
        <v>4068</v>
      </c>
      <c r="G2097" s="93" t="s">
        <v>400</v>
      </c>
      <c r="H2097" s="94" t="str">
        <f>IF(Proc[[#This Row],[type]]="LFF (MDG-F)",MID(Proc[[#This Row],[Obj]],13,10),"")</f>
        <v/>
      </c>
      <c r="J2097" s="94" t="b">
        <f>Proc[[#This Row],[Requested]]=Proc[[#This Row],[CurrentParent]]</f>
        <v>1</v>
      </c>
      <c r="K2097" s="144" t="str">
        <f>IF(Proc[[#This Row],[Author]]="Marcela Urrego",VLOOKUP(LEFT(Proc[[#This Row],[Requested]],1),Table3[#All],2,0),VLOOKUP(Proc[[#This Row],[Author]],Table4[],2,0))</f>
        <v>HC</v>
      </c>
      <c r="L2097" s="125" t="s">
        <v>2563</v>
      </c>
      <c r="M2097" s="90">
        <v>45807.678356481483</v>
      </c>
      <c r="N2097" s="91">
        <v>45810</v>
      </c>
      <c r="O2097" s="91">
        <v>45810</v>
      </c>
      <c r="P2097" s="90" t="str">
        <f ca="1">IF(Proc[[#This Row],[DaysAgeing]]&gt;5,"yep","on track")</f>
        <v>on track</v>
      </c>
      <c r="Q2097" s="3">
        <f ca="1">IF(Proc[[#This Row],[DateClosed]]="",ABS(NETWORKDAYS(Proc[[#This Row],[DateOpened]],TODAY()))-1,ABS(NETWORKDAYS(Proc[[#This Row],[DateOpened]],Proc[[#This Row],[DateClosed]]))-1)</f>
        <v>1</v>
      </c>
      <c r="R2097" s="90" t="s">
        <v>1013</v>
      </c>
      <c r="S2097" s="94"/>
    </row>
    <row r="2098" spans="1:19" hidden="1">
      <c r="A2098" s="93" t="s">
        <v>3747</v>
      </c>
      <c r="B2098" s="149" t="str">
        <f>IFERROR(VLOOKUP(Proc[[#This Row],[App]],Table2[],3,0),"open")</f>
        <v>ok</v>
      </c>
      <c r="C2098" s="93" t="s">
        <v>369</v>
      </c>
      <c r="D2098" t="s">
        <v>3933</v>
      </c>
      <c r="E2098" t="s">
        <v>4068</v>
      </c>
      <c r="F2098" s="117" t="s">
        <v>4068</v>
      </c>
      <c r="G2098" s="93" t="s">
        <v>400</v>
      </c>
      <c r="H2098" s="94" t="str">
        <f>IF(Proc[[#This Row],[type]]="LFF (MDG-F)",MID(Proc[[#This Row],[Obj]],13,10),"")</f>
        <v/>
      </c>
      <c r="J2098" s="94" t="b">
        <f>Proc[[#This Row],[Requested]]=Proc[[#This Row],[CurrentParent]]</f>
        <v>1</v>
      </c>
      <c r="K2098" s="144" t="str">
        <f>IF(Proc[[#This Row],[Author]]="Marcela Urrego",VLOOKUP(LEFT(Proc[[#This Row],[Requested]],1),Table3[#All],2,0),VLOOKUP(Proc[[#This Row],[Author]],Table4[],2,0))</f>
        <v>HC</v>
      </c>
      <c r="L2098" s="125" t="s">
        <v>2563</v>
      </c>
      <c r="M2098" s="90">
        <v>45807.678356481483</v>
      </c>
      <c r="N2098" s="91">
        <v>45810</v>
      </c>
      <c r="O2098" s="91">
        <v>45810</v>
      </c>
      <c r="P2098" s="90" t="str">
        <f ca="1">IF(Proc[[#This Row],[DaysAgeing]]&gt;5,"yep","on track")</f>
        <v>on track</v>
      </c>
      <c r="Q2098" s="3">
        <f ca="1">IF(Proc[[#This Row],[DateClosed]]="",ABS(NETWORKDAYS(Proc[[#This Row],[DateOpened]],TODAY()))-1,ABS(NETWORKDAYS(Proc[[#This Row],[DateOpened]],Proc[[#This Row],[DateClosed]]))-1)</f>
        <v>1</v>
      </c>
      <c r="R2098" s="90" t="s">
        <v>1013</v>
      </c>
      <c r="S2098" s="94"/>
    </row>
    <row r="2099" spans="1:19" hidden="1">
      <c r="A2099" s="93" t="s">
        <v>3747</v>
      </c>
      <c r="B2099" s="149" t="str">
        <f>IFERROR(VLOOKUP(Proc[[#This Row],[App]],Table2[],3,0),"open")</f>
        <v>ok</v>
      </c>
      <c r="C2099" s="93" t="s">
        <v>369</v>
      </c>
      <c r="D2099" t="s">
        <v>3934</v>
      </c>
      <c r="E2099" t="s">
        <v>4068</v>
      </c>
      <c r="F2099" s="117" t="s">
        <v>4068</v>
      </c>
      <c r="G2099" s="93" t="s">
        <v>400</v>
      </c>
      <c r="H2099" s="94" t="str">
        <f>IF(Proc[[#This Row],[type]]="LFF (MDG-F)",MID(Proc[[#This Row],[Obj]],13,10),"")</f>
        <v/>
      </c>
      <c r="J2099" s="94" t="b">
        <f>Proc[[#This Row],[Requested]]=Proc[[#This Row],[CurrentParent]]</f>
        <v>1</v>
      </c>
      <c r="K2099" s="144" t="str">
        <f>IF(Proc[[#This Row],[Author]]="Marcela Urrego",VLOOKUP(LEFT(Proc[[#This Row],[Requested]],1),Table3[#All],2,0),VLOOKUP(Proc[[#This Row],[Author]],Table4[],2,0))</f>
        <v>HC</v>
      </c>
      <c r="L2099" s="125" t="s">
        <v>2563</v>
      </c>
      <c r="M2099" s="90">
        <v>45807.678356481483</v>
      </c>
      <c r="N2099" s="91">
        <v>45810</v>
      </c>
      <c r="O2099" s="91">
        <v>45810</v>
      </c>
      <c r="P2099" s="90" t="str">
        <f ca="1">IF(Proc[[#This Row],[DaysAgeing]]&gt;5,"yep","on track")</f>
        <v>on track</v>
      </c>
      <c r="Q2099" s="3">
        <f ca="1">IF(Proc[[#This Row],[DateClosed]]="",ABS(NETWORKDAYS(Proc[[#This Row],[DateOpened]],TODAY()))-1,ABS(NETWORKDAYS(Proc[[#This Row],[DateOpened]],Proc[[#This Row],[DateClosed]]))-1)</f>
        <v>1</v>
      </c>
      <c r="R2099" s="90" t="s">
        <v>1013</v>
      </c>
      <c r="S2099" s="94"/>
    </row>
    <row r="2100" spans="1:19" hidden="1">
      <c r="A2100" s="93" t="s">
        <v>3747</v>
      </c>
      <c r="B2100" s="149" t="str">
        <f>IFERROR(VLOOKUP(Proc[[#This Row],[App]],Table2[],3,0),"open")</f>
        <v>ok</v>
      </c>
      <c r="C2100" s="93" t="s">
        <v>369</v>
      </c>
      <c r="D2100" t="s">
        <v>3935</v>
      </c>
      <c r="E2100" t="s">
        <v>4068</v>
      </c>
      <c r="F2100" s="117" t="s">
        <v>4068</v>
      </c>
      <c r="G2100" s="93" t="s">
        <v>400</v>
      </c>
      <c r="H2100" s="94" t="str">
        <f>IF(Proc[[#This Row],[type]]="LFF (MDG-F)",MID(Proc[[#This Row],[Obj]],13,10),"")</f>
        <v/>
      </c>
      <c r="J2100" s="94" t="b">
        <f>Proc[[#This Row],[Requested]]=Proc[[#This Row],[CurrentParent]]</f>
        <v>1</v>
      </c>
      <c r="K2100" s="144" t="str">
        <f>IF(Proc[[#This Row],[Author]]="Marcela Urrego",VLOOKUP(LEFT(Proc[[#This Row],[Requested]],1),Table3[#All],2,0),VLOOKUP(Proc[[#This Row],[Author]],Table4[],2,0))</f>
        <v>HC</v>
      </c>
      <c r="L2100" s="125" t="s">
        <v>2563</v>
      </c>
      <c r="M2100" s="90">
        <v>45807.678356481483</v>
      </c>
      <c r="N2100" s="91">
        <v>45810</v>
      </c>
      <c r="O2100" s="91">
        <v>45810</v>
      </c>
      <c r="P2100" s="90" t="str">
        <f ca="1">IF(Proc[[#This Row],[DaysAgeing]]&gt;5,"yep","on track")</f>
        <v>on track</v>
      </c>
      <c r="Q2100" s="3">
        <f ca="1">IF(Proc[[#This Row],[DateClosed]]="",ABS(NETWORKDAYS(Proc[[#This Row],[DateOpened]],TODAY()))-1,ABS(NETWORKDAYS(Proc[[#This Row],[DateOpened]],Proc[[#This Row],[DateClosed]]))-1)</f>
        <v>1</v>
      </c>
      <c r="R2100" s="90" t="s">
        <v>1013</v>
      </c>
      <c r="S2100" s="94"/>
    </row>
    <row r="2101" spans="1:19" hidden="1">
      <c r="A2101" s="93" t="s">
        <v>3747</v>
      </c>
      <c r="B2101" s="149" t="str">
        <f>IFERROR(VLOOKUP(Proc[[#This Row],[App]],Table2[],3,0),"open")</f>
        <v>ok</v>
      </c>
      <c r="C2101" s="93" t="s">
        <v>369</v>
      </c>
      <c r="D2101" t="s">
        <v>3936</v>
      </c>
      <c r="E2101" t="s">
        <v>4068</v>
      </c>
      <c r="F2101" s="117" t="s">
        <v>4068</v>
      </c>
      <c r="G2101" s="93" t="s">
        <v>400</v>
      </c>
      <c r="H2101" s="94" t="str">
        <f>IF(Proc[[#This Row],[type]]="LFF (MDG-F)",MID(Proc[[#This Row],[Obj]],13,10),"")</f>
        <v/>
      </c>
      <c r="J2101" s="94" t="b">
        <f>Proc[[#This Row],[Requested]]=Proc[[#This Row],[CurrentParent]]</f>
        <v>1</v>
      </c>
      <c r="K2101" s="144" t="str">
        <f>IF(Proc[[#This Row],[Author]]="Marcela Urrego",VLOOKUP(LEFT(Proc[[#This Row],[Requested]],1),Table3[#All],2,0),VLOOKUP(Proc[[#This Row],[Author]],Table4[],2,0))</f>
        <v>HC</v>
      </c>
      <c r="L2101" s="125" t="s">
        <v>2563</v>
      </c>
      <c r="M2101" s="90">
        <v>45807.678356481483</v>
      </c>
      <c r="N2101" s="91">
        <v>45810</v>
      </c>
      <c r="O2101" s="91">
        <v>45810</v>
      </c>
      <c r="P2101" s="90" t="str">
        <f ca="1">IF(Proc[[#This Row],[DaysAgeing]]&gt;5,"yep","on track")</f>
        <v>on track</v>
      </c>
      <c r="Q2101" s="3">
        <f ca="1">IF(Proc[[#This Row],[DateClosed]]="",ABS(NETWORKDAYS(Proc[[#This Row],[DateOpened]],TODAY()))-1,ABS(NETWORKDAYS(Proc[[#This Row],[DateOpened]],Proc[[#This Row],[DateClosed]]))-1)</f>
        <v>1</v>
      </c>
      <c r="R2101" s="90" t="s">
        <v>1013</v>
      </c>
      <c r="S2101" s="94"/>
    </row>
    <row r="2102" spans="1:19" hidden="1">
      <c r="A2102" s="93" t="s">
        <v>3747</v>
      </c>
      <c r="B2102" s="149" t="str">
        <f>IFERROR(VLOOKUP(Proc[[#This Row],[App]],Table2[],3,0),"open")</f>
        <v>ok</v>
      </c>
      <c r="C2102" s="93" t="s">
        <v>369</v>
      </c>
      <c r="D2102" t="s">
        <v>3937</v>
      </c>
      <c r="E2102" t="s">
        <v>4068</v>
      </c>
      <c r="F2102" s="117" t="s">
        <v>4068</v>
      </c>
      <c r="G2102" s="93" t="s">
        <v>400</v>
      </c>
      <c r="H2102" s="94" t="str">
        <f>IF(Proc[[#This Row],[type]]="LFF (MDG-F)",MID(Proc[[#This Row],[Obj]],13,10),"")</f>
        <v/>
      </c>
      <c r="J2102" s="94" t="b">
        <f>Proc[[#This Row],[Requested]]=Proc[[#This Row],[CurrentParent]]</f>
        <v>1</v>
      </c>
      <c r="K2102" s="144" t="str">
        <f>IF(Proc[[#This Row],[Author]]="Marcela Urrego",VLOOKUP(LEFT(Proc[[#This Row],[Requested]],1),Table3[#All],2,0),VLOOKUP(Proc[[#This Row],[Author]],Table4[],2,0))</f>
        <v>HC</v>
      </c>
      <c r="L2102" s="125" t="s">
        <v>2563</v>
      </c>
      <c r="M2102" s="90">
        <v>45807.678356481483</v>
      </c>
      <c r="N2102" s="91">
        <v>45810</v>
      </c>
      <c r="O2102" s="91">
        <v>45810</v>
      </c>
      <c r="P2102" s="90" t="str">
        <f ca="1">IF(Proc[[#This Row],[DaysAgeing]]&gt;5,"yep","on track")</f>
        <v>on track</v>
      </c>
      <c r="Q2102" s="3">
        <f ca="1">IF(Proc[[#This Row],[DateClosed]]="",ABS(NETWORKDAYS(Proc[[#This Row],[DateOpened]],TODAY()))-1,ABS(NETWORKDAYS(Proc[[#This Row],[DateOpened]],Proc[[#This Row],[DateClosed]]))-1)</f>
        <v>1</v>
      </c>
      <c r="R2102" s="90" t="s">
        <v>1013</v>
      </c>
      <c r="S2102" s="94"/>
    </row>
    <row r="2103" spans="1:19" hidden="1">
      <c r="A2103" s="93" t="s">
        <v>3747</v>
      </c>
      <c r="B2103" s="149" t="str">
        <f>IFERROR(VLOOKUP(Proc[[#This Row],[App]],Table2[],3,0),"open")</f>
        <v>ok</v>
      </c>
      <c r="C2103" s="93" t="s">
        <v>369</v>
      </c>
      <c r="D2103" t="s">
        <v>3938</v>
      </c>
      <c r="E2103" t="s">
        <v>4068</v>
      </c>
      <c r="F2103" s="117" t="s">
        <v>4068</v>
      </c>
      <c r="G2103" s="93" t="s">
        <v>400</v>
      </c>
      <c r="H2103" s="94" t="str">
        <f>IF(Proc[[#This Row],[type]]="LFF (MDG-F)",MID(Proc[[#This Row],[Obj]],13,10),"")</f>
        <v/>
      </c>
      <c r="J2103" s="94" t="b">
        <f>Proc[[#This Row],[Requested]]=Proc[[#This Row],[CurrentParent]]</f>
        <v>1</v>
      </c>
      <c r="K2103" s="144" t="str">
        <f>IF(Proc[[#This Row],[Author]]="Marcela Urrego",VLOOKUP(LEFT(Proc[[#This Row],[Requested]],1),Table3[#All],2,0),VLOOKUP(Proc[[#This Row],[Author]],Table4[],2,0))</f>
        <v>HC</v>
      </c>
      <c r="L2103" s="125" t="s">
        <v>2563</v>
      </c>
      <c r="M2103" s="90">
        <v>45807.678356481483</v>
      </c>
      <c r="N2103" s="91">
        <v>45810</v>
      </c>
      <c r="O2103" s="91">
        <v>45810</v>
      </c>
      <c r="P2103" s="90" t="str">
        <f ca="1">IF(Proc[[#This Row],[DaysAgeing]]&gt;5,"yep","on track")</f>
        <v>on track</v>
      </c>
      <c r="Q2103" s="3">
        <f ca="1">IF(Proc[[#This Row],[DateClosed]]="",ABS(NETWORKDAYS(Proc[[#This Row],[DateOpened]],TODAY()))-1,ABS(NETWORKDAYS(Proc[[#This Row],[DateOpened]],Proc[[#This Row],[DateClosed]]))-1)</f>
        <v>1</v>
      </c>
      <c r="R2103" s="90" t="s">
        <v>1013</v>
      </c>
      <c r="S2103" s="94"/>
    </row>
    <row r="2104" spans="1:19" hidden="1">
      <c r="A2104" s="93" t="s">
        <v>3747</v>
      </c>
      <c r="B2104" s="149" t="str">
        <f>IFERROR(VLOOKUP(Proc[[#This Row],[App]],Table2[],3,0),"open")</f>
        <v>ok</v>
      </c>
      <c r="C2104" s="93" t="s">
        <v>369</v>
      </c>
      <c r="D2104" t="s">
        <v>3939</v>
      </c>
      <c r="E2104" t="s">
        <v>4068</v>
      </c>
      <c r="F2104" s="117" t="s">
        <v>4068</v>
      </c>
      <c r="G2104" s="93" t="s">
        <v>400</v>
      </c>
      <c r="H2104" s="94" t="str">
        <f>IF(Proc[[#This Row],[type]]="LFF (MDG-F)",MID(Proc[[#This Row],[Obj]],13,10),"")</f>
        <v/>
      </c>
      <c r="J2104" s="94" t="b">
        <f>Proc[[#This Row],[Requested]]=Proc[[#This Row],[CurrentParent]]</f>
        <v>1</v>
      </c>
      <c r="K2104" s="144" t="str">
        <f>IF(Proc[[#This Row],[Author]]="Marcela Urrego",VLOOKUP(LEFT(Proc[[#This Row],[Requested]],1),Table3[#All],2,0),VLOOKUP(Proc[[#This Row],[Author]],Table4[],2,0))</f>
        <v>HC</v>
      </c>
      <c r="L2104" s="125" t="s">
        <v>2563</v>
      </c>
      <c r="M2104" s="90">
        <v>45807.678356481483</v>
      </c>
      <c r="N2104" s="91">
        <v>45810</v>
      </c>
      <c r="O2104" s="91">
        <v>45810</v>
      </c>
      <c r="P2104" s="90" t="str">
        <f ca="1">IF(Proc[[#This Row],[DaysAgeing]]&gt;5,"yep","on track")</f>
        <v>on track</v>
      </c>
      <c r="Q2104" s="3">
        <f ca="1">IF(Proc[[#This Row],[DateClosed]]="",ABS(NETWORKDAYS(Proc[[#This Row],[DateOpened]],TODAY()))-1,ABS(NETWORKDAYS(Proc[[#This Row],[DateOpened]],Proc[[#This Row],[DateClosed]]))-1)</f>
        <v>1</v>
      </c>
      <c r="R2104" s="90" t="s">
        <v>1013</v>
      </c>
      <c r="S2104" s="94"/>
    </row>
    <row r="2105" spans="1:19" hidden="1">
      <c r="A2105" s="93" t="s">
        <v>3747</v>
      </c>
      <c r="B2105" s="149" t="str">
        <f>IFERROR(VLOOKUP(Proc[[#This Row],[App]],Table2[],3,0),"open")</f>
        <v>ok</v>
      </c>
      <c r="C2105" s="93" t="s">
        <v>369</v>
      </c>
      <c r="D2105" t="s">
        <v>3940</v>
      </c>
      <c r="E2105" t="s">
        <v>4068</v>
      </c>
      <c r="F2105" s="117" t="s">
        <v>4068</v>
      </c>
      <c r="G2105" s="93" t="s">
        <v>400</v>
      </c>
      <c r="H2105" s="94" t="str">
        <f>IF(Proc[[#This Row],[type]]="LFF (MDG-F)",MID(Proc[[#This Row],[Obj]],13,10),"")</f>
        <v/>
      </c>
      <c r="J2105" s="94" t="b">
        <f>Proc[[#This Row],[Requested]]=Proc[[#This Row],[CurrentParent]]</f>
        <v>1</v>
      </c>
      <c r="K2105" s="144" t="str">
        <f>IF(Proc[[#This Row],[Author]]="Marcela Urrego",VLOOKUP(LEFT(Proc[[#This Row],[Requested]],1),Table3[#All],2,0),VLOOKUP(Proc[[#This Row],[Author]],Table4[],2,0))</f>
        <v>HC</v>
      </c>
      <c r="L2105" s="125" t="s">
        <v>2563</v>
      </c>
      <c r="M2105" s="90">
        <v>45807.678356481483</v>
      </c>
      <c r="N2105" s="91">
        <v>45810</v>
      </c>
      <c r="O2105" s="91">
        <v>45810</v>
      </c>
      <c r="P2105" s="90" t="str">
        <f ca="1">IF(Proc[[#This Row],[DaysAgeing]]&gt;5,"yep","on track")</f>
        <v>on track</v>
      </c>
      <c r="Q2105" s="3">
        <f ca="1">IF(Proc[[#This Row],[DateClosed]]="",ABS(NETWORKDAYS(Proc[[#This Row],[DateOpened]],TODAY()))-1,ABS(NETWORKDAYS(Proc[[#This Row],[DateOpened]],Proc[[#This Row],[DateClosed]]))-1)</f>
        <v>1</v>
      </c>
      <c r="R2105" s="90" t="s">
        <v>1013</v>
      </c>
      <c r="S2105" s="94"/>
    </row>
    <row r="2106" spans="1:19" hidden="1">
      <c r="A2106" s="93" t="s">
        <v>3747</v>
      </c>
      <c r="B2106" s="149" t="str">
        <f>IFERROR(VLOOKUP(Proc[[#This Row],[App]],Table2[],3,0),"open")</f>
        <v>ok</v>
      </c>
      <c r="C2106" s="93" t="s">
        <v>369</v>
      </c>
      <c r="D2106" t="s">
        <v>3941</v>
      </c>
      <c r="E2106" t="s">
        <v>4068</v>
      </c>
      <c r="F2106" s="117" t="s">
        <v>4068</v>
      </c>
      <c r="G2106" s="93" t="s">
        <v>400</v>
      </c>
      <c r="H2106" s="94" t="str">
        <f>IF(Proc[[#This Row],[type]]="LFF (MDG-F)",MID(Proc[[#This Row],[Obj]],13,10),"")</f>
        <v/>
      </c>
      <c r="J2106" s="94" t="b">
        <f>Proc[[#This Row],[Requested]]=Proc[[#This Row],[CurrentParent]]</f>
        <v>1</v>
      </c>
      <c r="K2106" s="144" t="str">
        <f>IF(Proc[[#This Row],[Author]]="Marcela Urrego",VLOOKUP(LEFT(Proc[[#This Row],[Requested]],1),Table3[#All],2,0),VLOOKUP(Proc[[#This Row],[Author]],Table4[],2,0))</f>
        <v>HC</v>
      </c>
      <c r="L2106" s="125" t="s">
        <v>2563</v>
      </c>
      <c r="M2106" s="90">
        <v>45807.678356481483</v>
      </c>
      <c r="N2106" s="91">
        <v>45810</v>
      </c>
      <c r="O2106" s="91">
        <v>45810</v>
      </c>
      <c r="P2106" s="90" t="str">
        <f ca="1">IF(Proc[[#This Row],[DaysAgeing]]&gt;5,"yep","on track")</f>
        <v>on track</v>
      </c>
      <c r="Q2106" s="3">
        <f ca="1">IF(Proc[[#This Row],[DateClosed]]="",ABS(NETWORKDAYS(Proc[[#This Row],[DateOpened]],TODAY()))-1,ABS(NETWORKDAYS(Proc[[#This Row],[DateOpened]],Proc[[#This Row],[DateClosed]]))-1)</f>
        <v>1</v>
      </c>
      <c r="R2106" s="90" t="s">
        <v>1013</v>
      </c>
      <c r="S2106" s="94"/>
    </row>
    <row r="2107" spans="1:19" hidden="1">
      <c r="A2107" s="93" t="s">
        <v>3747</v>
      </c>
      <c r="B2107" s="149" t="str">
        <f>IFERROR(VLOOKUP(Proc[[#This Row],[App]],Table2[],3,0),"open")</f>
        <v>ok</v>
      </c>
      <c r="C2107" s="93" t="s">
        <v>369</v>
      </c>
      <c r="D2107" t="s">
        <v>3942</v>
      </c>
      <c r="E2107" t="s">
        <v>4068</v>
      </c>
      <c r="F2107" s="117" t="s">
        <v>4068</v>
      </c>
      <c r="G2107" s="93" t="s">
        <v>400</v>
      </c>
      <c r="H2107" s="94" t="str">
        <f>IF(Proc[[#This Row],[type]]="LFF (MDG-F)",MID(Proc[[#This Row],[Obj]],13,10),"")</f>
        <v/>
      </c>
      <c r="J2107" s="94" t="b">
        <f>Proc[[#This Row],[Requested]]=Proc[[#This Row],[CurrentParent]]</f>
        <v>1</v>
      </c>
      <c r="K2107" s="144" t="str">
        <f>IF(Proc[[#This Row],[Author]]="Marcela Urrego",VLOOKUP(LEFT(Proc[[#This Row],[Requested]],1),Table3[#All],2,0),VLOOKUP(Proc[[#This Row],[Author]],Table4[],2,0))</f>
        <v>HC</v>
      </c>
      <c r="L2107" s="125" t="s">
        <v>2563</v>
      </c>
      <c r="M2107" s="90">
        <v>45807.678356481483</v>
      </c>
      <c r="N2107" s="91">
        <v>45810</v>
      </c>
      <c r="O2107" s="91">
        <v>45810</v>
      </c>
      <c r="P2107" s="90" t="str">
        <f ca="1">IF(Proc[[#This Row],[DaysAgeing]]&gt;5,"yep","on track")</f>
        <v>on track</v>
      </c>
      <c r="Q2107" s="3">
        <f ca="1">IF(Proc[[#This Row],[DateClosed]]="",ABS(NETWORKDAYS(Proc[[#This Row],[DateOpened]],TODAY()))-1,ABS(NETWORKDAYS(Proc[[#This Row],[DateOpened]],Proc[[#This Row],[DateClosed]]))-1)</f>
        <v>1</v>
      </c>
      <c r="R2107" s="90" t="s">
        <v>1013</v>
      </c>
      <c r="S2107" s="94"/>
    </row>
    <row r="2108" spans="1:19" hidden="1">
      <c r="A2108" s="93" t="s">
        <v>3747</v>
      </c>
      <c r="B2108" s="149" t="str">
        <f>IFERROR(VLOOKUP(Proc[[#This Row],[App]],Table2[],3,0),"open")</f>
        <v>ok</v>
      </c>
      <c r="C2108" s="93" t="s">
        <v>369</v>
      </c>
      <c r="D2108" t="s">
        <v>3943</v>
      </c>
      <c r="E2108" t="s">
        <v>4068</v>
      </c>
      <c r="F2108" s="117" t="s">
        <v>4068</v>
      </c>
      <c r="G2108" s="93" t="s">
        <v>400</v>
      </c>
      <c r="H2108" s="94" t="str">
        <f>IF(Proc[[#This Row],[type]]="LFF (MDG-F)",MID(Proc[[#This Row],[Obj]],13,10),"")</f>
        <v/>
      </c>
      <c r="J2108" s="94" t="b">
        <f>Proc[[#This Row],[Requested]]=Proc[[#This Row],[CurrentParent]]</f>
        <v>1</v>
      </c>
      <c r="K2108" s="144" t="str">
        <f>IF(Proc[[#This Row],[Author]]="Marcela Urrego",VLOOKUP(LEFT(Proc[[#This Row],[Requested]],1),Table3[#All],2,0),VLOOKUP(Proc[[#This Row],[Author]],Table4[],2,0))</f>
        <v>HC</v>
      </c>
      <c r="L2108" s="125" t="s">
        <v>2563</v>
      </c>
      <c r="M2108" s="90">
        <v>45807.678356481483</v>
      </c>
      <c r="N2108" s="91">
        <v>45810</v>
      </c>
      <c r="O2108" s="91">
        <v>45810</v>
      </c>
      <c r="P2108" s="90" t="str">
        <f ca="1">IF(Proc[[#This Row],[DaysAgeing]]&gt;5,"yep","on track")</f>
        <v>on track</v>
      </c>
      <c r="Q2108" s="3">
        <f ca="1">IF(Proc[[#This Row],[DateClosed]]="",ABS(NETWORKDAYS(Proc[[#This Row],[DateOpened]],TODAY()))-1,ABS(NETWORKDAYS(Proc[[#This Row],[DateOpened]],Proc[[#This Row],[DateClosed]]))-1)</f>
        <v>1</v>
      </c>
      <c r="R2108" s="90" t="s">
        <v>1013</v>
      </c>
      <c r="S2108" s="94"/>
    </row>
    <row r="2109" spans="1:19" hidden="1">
      <c r="A2109" s="93" t="s">
        <v>3747</v>
      </c>
      <c r="B2109" s="149" t="str">
        <f>IFERROR(VLOOKUP(Proc[[#This Row],[App]],Table2[],3,0),"open")</f>
        <v>ok</v>
      </c>
      <c r="C2109" s="93" t="s">
        <v>369</v>
      </c>
      <c r="D2109" t="s">
        <v>3944</v>
      </c>
      <c r="E2109" t="s">
        <v>4068</v>
      </c>
      <c r="F2109" s="117" t="s">
        <v>4068</v>
      </c>
      <c r="G2109" s="93" t="s">
        <v>400</v>
      </c>
      <c r="H2109" s="94" t="str">
        <f>IF(Proc[[#This Row],[type]]="LFF (MDG-F)",MID(Proc[[#This Row],[Obj]],13,10),"")</f>
        <v/>
      </c>
      <c r="J2109" s="94" t="b">
        <f>Proc[[#This Row],[Requested]]=Proc[[#This Row],[CurrentParent]]</f>
        <v>1</v>
      </c>
      <c r="K2109" s="144" t="str">
        <f>IF(Proc[[#This Row],[Author]]="Marcela Urrego",VLOOKUP(LEFT(Proc[[#This Row],[Requested]],1),Table3[#All],2,0),VLOOKUP(Proc[[#This Row],[Author]],Table4[],2,0))</f>
        <v>HC</v>
      </c>
      <c r="L2109" s="125" t="s">
        <v>2563</v>
      </c>
      <c r="M2109" s="90">
        <v>45807.678356481483</v>
      </c>
      <c r="N2109" s="91">
        <v>45810</v>
      </c>
      <c r="O2109" s="91">
        <v>45810</v>
      </c>
      <c r="P2109" s="90" t="str">
        <f ca="1">IF(Proc[[#This Row],[DaysAgeing]]&gt;5,"yep","on track")</f>
        <v>on track</v>
      </c>
      <c r="Q2109" s="3">
        <f ca="1">IF(Proc[[#This Row],[DateClosed]]="",ABS(NETWORKDAYS(Proc[[#This Row],[DateOpened]],TODAY()))-1,ABS(NETWORKDAYS(Proc[[#This Row],[DateOpened]],Proc[[#This Row],[DateClosed]]))-1)</f>
        <v>1</v>
      </c>
      <c r="R2109" s="90" t="s">
        <v>1013</v>
      </c>
      <c r="S2109" s="94"/>
    </row>
    <row r="2110" spans="1:19" hidden="1">
      <c r="A2110" s="93" t="s">
        <v>3747</v>
      </c>
      <c r="B2110" s="149" t="str">
        <f>IFERROR(VLOOKUP(Proc[[#This Row],[App]],Table2[],3,0),"open")</f>
        <v>ok</v>
      </c>
      <c r="C2110" s="93" t="s">
        <v>369</v>
      </c>
      <c r="D2110" t="s">
        <v>3945</v>
      </c>
      <c r="E2110" t="s">
        <v>4068</v>
      </c>
      <c r="F2110" s="117" t="s">
        <v>4068</v>
      </c>
      <c r="G2110" s="93" t="s">
        <v>400</v>
      </c>
      <c r="H2110" s="94" t="str">
        <f>IF(Proc[[#This Row],[type]]="LFF (MDG-F)",MID(Proc[[#This Row],[Obj]],13,10),"")</f>
        <v/>
      </c>
      <c r="J2110" s="94" t="b">
        <f>Proc[[#This Row],[Requested]]=Proc[[#This Row],[CurrentParent]]</f>
        <v>1</v>
      </c>
      <c r="K2110" s="144" t="str">
        <f>IF(Proc[[#This Row],[Author]]="Marcela Urrego",VLOOKUP(LEFT(Proc[[#This Row],[Requested]],1),Table3[#All],2,0),VLOOKUP(Proc[[#This Row],[Author]],Table4[],2,0))</f>
        <v>HC</v>
      </c>
      <c r="L2110" s="125" t="s">
        <v>2563</v>
      </c>
      <c r="M2110" s="90">
        <v>45807.678356481483</v>
      </c>
      <c r="N2110" s="91">
        <v>45810</v>
      </c>
      <c r="O2110" s="91">
        <v>45810</v>
      </c>
      <c r="P2110" s="90" t="str">
        <f ca="1">IF(Proc[[#This Row],[DaysAgeing]]&gt;5,"yep","on track")</f>
        <v>on track</v>
      </c>
      <c r="Q2110" s="3">
        <f ca="1">IF(Proc[[#This Row],[DateClosed]]="",ABS(NETWORKDAYS(Proc[[#This Row],[DateOpened]],TODAY()))-1,ABS(NETWORKDAYS(Proc[[#This Row],[DateOpened]],Proc[[#This Row],[DateClosed]]))-1)</f>
        <v>1</v>
      </c>
      <c r="R2110" s="90" t="s">
        <v>1013</v>
      </c>
      <c r="S2110" s="94"/>
    </row>
    <row r="2111" spans="1:19" hidden="1">
      <c r="A2111" s="93" t="s">
        <v>3747</v>
      </c>
      <c r="B2111" s="149" t="str">
        <f>IFERROR(VLOOKUP(Proc[[#This Row],[App]],Table2[],3,0),"open")</f>
        <v>ok</v>
      </c>
      <c r="C2111" s="93" t="s">
        <v>369</v>
      </c>
      <c r="D2111" t="s">
        <v>3946</v>
      </c>
      <c r="E2111" t="s">
        <v>4068</v>
      </c>
      <c r="F2111" s="117" t="s">
        <v>4068</v>
      </c>
      <c r="G2111" s="93" t="s">
        <v>400</v>
      </c>
      <c r="H2111" s="94" t="str">
        <f>IF(Proc[[#This Row],[type]]="LFF (MDG-F)",MID(Proc[[#This Row],[Obj]],13,10),"")</f>
        <v/>
      </c>
      <c r="J2111" s="94" t="b">
        <f>Proc[[#This Row],[Requested]]=Proc[[#This Row],[CurrentParent]]</f>
        <v>1</v>
      </c>
      <c r="K2111" s="144" t="str">
        <f>IF(Proc[[#This Row],[Author]]="Marcela Urrego",VLOOKUP(LEFT(Proc[[#This Row],[Requested]],1),Table3[#All],2,0),VLOOKUP(Proc[[#This Row],[Author]],Table4[],2,0))</f>
        <v>HC</v>
      </c>
      <c r="L2111" s="125" t="s">
        <v>2563</v>
      </c>
      <c r="M2111" s="90">
        <v>45807.678356481483</v>
      </c>
      <c r="N2111" s="91">
        <v>45810</v>
      </c>
      <c r="O2111" s="91">
        <v>45810</v>
      </c>
      <c r="P2111" s="90" t="str">
        <f ca="1">IF(Proc[[#This Row],[DaysAgeing]]&gt;5,"yep","on track")</f>
        <v>on track</v>
      </c>
      <c r="Q2111" s="3">
        <f ca="1">IF(Proc[[#This Row],[DateClosed]]="",ABS(NETWORKDAYS(Proc[[#This Row],[DateOpened]],TODAY()))-1,ABS(NETWORKDAYS(Proc[[#This Row],[DateOpened]],Proc[[#This Row],[DateClosed]]))-1)</f>
        <v>1</v>
      </c>
      <c r="R2111" s="90" t="s">
        <v>1013</v>
      </c>
      <c r="S2111" s="94"/>
    </row>
    <row r="2112" spans="1:19" hidden="1">
      <c r="A2112" s="93" t="s">
        <v>3747</v>
      </c>
      <c r="B2112" s="149" t="str">
        <f>IFERROR(VLOOKUP(Proc[[#This Row],[App]],Table2[],3,0),"open")</f>
        <v>ok</v>
      </c>
      <c r="C2112" s="93" t="s">
        <v>369</v>
      </c>
      <c r="D2112" t="s">
        <v>3947</v>
      </c>
      <c r="E2112" t="s">
        <v>2274</v>
      </c>
      <c r="F2112" s="117" t="s">
        <v>2274</v>
      </c>
      <c r="G2112" s="93" t="s">
        <v>400</v>
      </c>
      <c r="H2112" s="94" t="str">
        <f>IF(Proc[[#This Row],[type]]="LFF (MDG-F)",MID(Proc[[#This Row],[Obj]],13,10),"")</f>
        <v/>
      </c>
      <c r="J2112" s="94" t="b">
        <f>Proc[[#This Row],[Requested]]=Proc[[#This Row],[CurrentParent]]</f>
        <v>1</v>
      </c>
      <c r="K2112" s="144" t="str">
        <f>IF(Proc[[#This Row],[Author]]="Marcela Urrego",VLOOKUP(LEFT(Proc[[#This Row],[Requested]],1),Table3[#All],2,0),VLOOKUP(Proc[[#This Row],[Author]],Table4[],2,0))</f>
        <v>HC</v>
      </c>
      <c r="L2112" s="125" t="s">
        <v>2563</v>
      </c>
      <c r="M2112" s="90">
        <v>45807.678356481483</v>
      </c>
      <c r="N2112" s="91">
        <v>45810</v>
      </c>
      <c r="O2112" s="91">
        <v>45810</v>
      </c>
      <c r="P2112" s="90" t="str">
        <f ca="1">IF(Proc[[#This Row],[DaysAgeing]]&gt;5,"yep","on track")</f>
        <v>on track</v>
      </c>
      <c r="Q2112" s="3">
        <f ca="1">IF(Proc[[#This Row],[DateClosed]]="",ABS(NETWORKDAYS(Proc[[#This Row],[DateOpened]],TODAY()))-1,ABS(NETWORKDAYS(Proc[[#This Row],[DateOpened]],Proc[[#This Row],[DateClosed]]))-1)</f>
        <v>1</v>
      </c>
      <c r="R2112" s="90" t="s">
        <v>1013</v>
      </c>
      <c r="S2112" s="94"/>
    </row>
    <row r="2113" spans="1:19" hidden="1">
      <c r="A2113" s="93" t="s">
        <v>3747</v>
      </c>
      <c r="B2113" s="149" t="str">
        <f>IFERROR(VLOOKUP(Proc[[#This Row],[App]],Table2[],3,0),"open")</f>
        <v>ok</v>
      </c>
      <c r="C2113" s="93" t="s">
        <v>369</v>
      </c>
      <c r="D2113" t="s">
        <v>3948</v>
      </c>
      <c r="E2113" t="s">
        <v>4068</v>
      </c>
      <c r="F2113" s="117" t="s">
        <v>4068</v>
      </c>
      <c r="G2113" s="93" t="s">
        <v>400</v>
      </c>
      <c r="H2113" s="94" t="str">
        <f>IF(Proc[[#This Row],[type]]="LFF (MDG-F)",MID(Proc[[#This Row],[Obj]],13,10),"")</f>
        <v/>
      </c>
      <c r="J2113" s="94" t="b">
        <f>Proc[[#This Row],[Requested]]=Proc[[#This Row],[CurrentParent]]</f>
        <v>1</v>
      </c>
      <c r="K2113" s="144" t="str">
        <f>IF(Proc[[#This Row],[Author]]="Marcela Urrego",VLOOKUP(LEFT(Proc[[#This Row],[Requested]],1),Table3[#All],2,0),VLOOKUP(Proc[[#This Row],[Author]],Table4[],2,0))</f>
        <v>HC</v>
      </c>
      <c r="L2113" s="125" t="s">
        <v>2563</v>
      </c>
      <c r="M2113" s="90">
        <v>45807.678356481483</v>
      </c>
      <c r="N2113" s="91">
        <v>45810</v>
      </c>
      <c r="O2113" s="91">
        <v>45810</v>
      </c>
      <c r="P2113" s="90" t="str">
        <f ca="1">IF(Proc[[#This Row],[DaysAgeing]]&gt;5,"yep","on track")</f>
        <v>on track</v>
      </c>
      <c r="Q2113" s="3">
        <f ca="1">IF(Proc[[#This Row],[DateClosed]]="",ABS(NETWORKDAYS(Proc[[#This Row],[DateOpened]],TODAY()))-1,ABS(NETWORKDAYS(Proc[[#This Row],[DateOpened]],Proc[[#This Row],[DateClosed]]))-1)</f>
        <v>1</v>
      </c>
      <c r="R2113" s="90" t="s">
        <v>1013</v>
      </c>
      <c r="S2113" s="94"/>
    </row>
    <row r="2114" spans="1:19" hidden="1">
      <c r="A2114" s="93" t="s">
        <v>3747</v>
      </c>
      <c r="B2114" s="149" t="str">
        <f>IFERROR(VLOOKUP(Proc[[#This Row],[App]],Table2[],3,0),"open")</f>
        <v>ok</v>
      </c>
      <c r="C2114" s="93" t="s">
        <v>369</v>
      </c>
      <c r="D2114" t="s">
        <v>3949</v>
      </c>
      <c r="E2114" t="s">
        <v>4068</v>
      </c>
      <c r="F2114" s="117" t="s">
        <v>4068</v>
      </c>
      <c r="G2114" s="93" t="s">
        <v>400</v>
      </c>
      <c r="H2114" s="94" t="str">
        <f>IF(Proc[[#This Row],[type]]="LFF (MDG-F)",MID(Proc[[#This Row],[Obj]],13,10),"")</f>
        <v/>
      </c>
      <c r="J2114" s="94" t="b">
        <f>Proc[[#This Row],[Requested]]=Proc[[#This Row],[CurrentParent]]</f>
        <v>1</v>
      </c>
      <c r="K2114" s="144" t="str">
        <f>IF(Proc[[#This Row],[Author]]="Marcela Urrego",VLOOKUP(LEFT(Proc[[#This Row],[Requested]],1),Table3[#All],2,0),VLOOKUP(Proc[[#This Row],[Author]],Table4[],2,0))</f>
        <v>HC</v>
      </c>
      <c r="L2114" s="125" t="s">
        <v>2563</v>
      </c>
      <c r="M2114" s="90">
        <v>45807.678356481483</v>
      </c>
      <c r="N2114" s="91">
        <v>45810</v>
      </c>
      <c r="O2114" s="91">
        <v>45810</v>
      </c>
      <c r="P2114" s="90" t="str">
        <f ca="1">IF(Proc[[#This Row],[DaysAgeing]]&gt;5,"yep","on track")</f>
        <v>on track</v>
      </c>
      <c r="Q2114" s="3">
        <f ca="1">IF(Proc[[#This Row],[DateClosed]]="",ABS(NETWORKDAYS(Proc[[#This Row],[DateOpened]],TODAY()))-1,ABS(NETWORKDAYS(Proc[[#This Row],[DateOpened]],Proc[[#This Row],[DateClosed]]))-1)</f>
        <v>1</v>
      </c>
      <c r="R2114" s="90" t="s">
        <v>1013</v>
      </c>
      <c r="S2114" s="94"/>
    </row>
    <row r="2115" spans="1:19" hidden="1">
      <c r="A2115" s="93" t="s">
        <v>3747</v>
      </c>
      <c r="B2115" s="149" t="str">
        <f>IFERROR(VLOOKUP(Proc[[#This Row],[App]],Table2[],3,0),"open")</f>
        <v>ok</v>
      </c>
      <c r="C2115" s="93" t="s">
        <v>369</v>
      </c>
      <c r="D2115" t="s">
        <v>3950</v>
      </c>
      <c r="E2115" t="s">
        <v>4068</v>
      </c>
      <c r="F2115" s="117" t="s">
        <v>4068</v>
      </c>
      <c r="G2115" s="93" t="s">
        <v>400</v>
      </c>
      <c r="H2115" s="94" t="str">
        <f>IF(Proc[[#This Row],[type]]="LFF (MDG-F)",MID(Proc[[#This Row],[Obj]],13,10),"")</f>
        <v/>
      </c>
      <c r="J2115" s="94" t="b">
        <f>Proc[[#This Row],[Requested]]=Proc[[#This Row],[CurrentParent]]</f>
        <v>1</v>
      </c>
      <c r="K2115" s="144" t="str">
        <f>IF(Proc[[#This Row],[Author]]="Marcela Urrego",VLOOKUP(LEFT(Proc[[#This Row],[Requested]],1),Table3[#All],2,0),VLOOKUP(Proc[[#This Row],[Author]],Table4[],2,0))</f>
        <v>HC</v>
      </c>
      <c r="L2115" s="125" t="s">
        <v>2563</v>
      </c>
      <c r="M2115" s="90">
        <v>45807.678356481483</v>
      </c>
      <c r="N2115" s="91">
        <v>45810</v>
      </c>
      <c r="O2115" s="91">
        <v>45810</v>
      </c>
      <c r="P2115" s="90" t="str">
        <f ca="1">IF(Proc[[#This Row],[DaysAgeing]]&gt;5,"yep","on track")</f>
        <v>on track</v>
      </c>
      <c r="Q2115" s="3">
        <f ca="1">IF(Proc[[#This Row],[DateClosed]]="",ABS(NETWORKDAYS(Proc[[#This Row],[DateOpened]],TODAY()))-1,ABS(NETWORKDAYS(Proc[[#This Row],[DateOpened]],Proc[[#This Row],[DateClosed]]))-1)</f>
        <v>1</v>
      </c>
      <c r="R2115" s="90" t="s">
        <v>1013</v>
      </c>
      <c r="S2115" s="94"/>
    </row>
    <row r="2116" spans="1:19" hidden="1">
      <c r="A2116" s="93" t="s">
        <v>3747</v>
      </c>
      <c r="B2116" s="149" t="str">
        <f>IFERROR(VLOOKUP(Proc[[#This Row],[App]],Table2[],3,0),"open")</f>
        <v>ok</v>
      </c>
      <c r="C2116" s="93" t="s">
        <v>369</v>
      </c>
      <c r="D2116" t="s">
        <v>3951</v>
      </c>
      <c r="E2116" t="s">
        <v>4068</v>
      </c>
      <c r="F2116" s="117" t="s">
        <v>4068</v>
      </c>
      <c r="G2116" s="93" t="s">
        <v>400</v>
      </c>
      <c r="H2116" s="94" t="str">
        <f>IF(Proc[[#This Row],[type]]="LFF (MDG-F)",MID(Proc[[#This Row],[Obj]],13,10),"")</f>
        <v/>
      </c>
      <c r="J2116" s="94" t="b">
        <f>Proc[[#This Row],[Requested]]=Proc[[#This Row],[CurrentParent]]</f>
        <v>1</v>
      </c>
      <c r="K2116" s="144" t="str">
        <f>IF(Proc[[#This Row],[Author]]="Marcela Urrego",VLOOKUP(LEFT(Proc[[#This Row],[Requested]],1),Table3[#All],2,0),VLOOKUP(Proc[[#This Row],[Author]],Table4[],2,0))</f>
        <v>HC</v>
      </c>
      <c r="L2116" s="125" t="s">
        <v>2563</v>
      </c>
      <c r="M2116" s="90">
        <v>45807.678356481483</v>
      </c>
      <c r="N2116" s="91">
        <v>45810</v>
      </c>
      <c r="O2116" s="91">
        <v>45810</v>
      </c>
      <c r="P2116" s="90" t="str">
        <f ca="1">IF(Proc[[#This Row],[DaysAgeing]]&gt;5,"yep","on track")</f>
        <v>on track</v>
      </c>
      <c r="Q2116" s="3">
        <f ca="1">IF(Proc[[#This Row],[DateClosed]]="",ABS(NETWORKDAYS(Proc[[#This Row],[DateOpened]],TODAY()))-1,ABS(NETWORKDAYS(Proc[[#This Row],[DateOpened]],Proc[[#This Row],[DateClosed]]))-1)</f>
        <v>1</v>
      </c>
      <c r="R2116" s="90" t="s">
        <v>1013</v>
      </c>
      <c r="S2116" s="94"/>
    </row>
    <row r="2117" spans="1:19" hidden="1">
      <c r="A2117" s="93" t="s">
        <v>3747</v>
      </c>
      <c r="B2117" s="149" t="str">
        <f>IFERROR(VLOOKUP(Proc[[#This Row],[App]],Table2[],3,0),"open")</f>
        <v>ok</v>
      </c>
      <c r="C2117" s="93" t="s">
        <v>369</v>
      </c>
      <c r="D2117" t="s">
        <v>3952</v>
      </c>
      <c r="E2117" t="s">
        <v>4068</v>
      </c>
      <c r="F2117" s="117" t="s">
        <v>4068</v>
      </c>
      <c r="G2117" s="93" t="s">
        <v>400</v>
      </c>
      <c r="H2117" s="94" t="str">
        <f>IF(Proc[[#This Row],[type]]="LFF (MDG-F)",MID(Proc[[#This Row],[Obj]],13,10),"")</f>
        <v/>
      </c>
      <c r="J2117" s="94" t="b">
        <f>Proc[[#This Row],[Requested]]=Proc[[#This Row],[CurrentParent]]</f>
        <v>1</v>
      </c>
      <c r="K2117" s="144" t="str">
        <f>IF(Proc[[#This Row],[Author]]="Marcela Urrego",VLOOKUP(LEFT(Proc[[#This Row],[Requested]],1),Table3[#All],2,0),VLOOKUP(Proc[[#This Row],[Author]],Table4[],2,0))</f>
        <v>HC</v>
      </c>
      <c r="L2117" s="125" t="s">
        <v>2563</v>
      </c>
      <c r="M2117" s="90">
        <v>45807.678356481483</v>
      </c>
      <c r="N2117" s="91">
        <v>45810</v>
      </c>
      <c r="O2117" s="91">
        <v>45810</v>
      </c>
      <c r="P2117" s="90" t="str">
        <f ca="1">IF(Proc[[#This Row],[DaysAgeing]]&gt;5,"yep","on track")</f>
        <v>on track</v>
      </c>
      <c r="Q2117" s="3">
        <f ca="1">IF(Proc[[#This Row],[DateClosed]]="",ABS(NETWORKDAYS(Proc[[#This Row],[DateOpened]],TODAY()))-1,ABS(NETWORKDAYS(Proc[[#This Row],[DateOpened]],Proc[[#This Row],[DateClosed]]))-1)</f>
        <v>1</v>
      </c>
      <c r="R2117" s="90" t="s">
        <v>1013</v>
      </c>
      <c r="S2117" s="94"/>
    </row>
    <row r="2118" spans="1:19" hidden="1">
      <c r="A2118" s="93" t="s">
        <v>3747</v>
      </c>
      <c r="B2118" s="149" t="str">
        <f>IFERROR(VLOOKUP(Proc[[#This Row],[App]],Table2[],3,0),"open")</f>
        <v>ok</v>
      </c>
      <c r="C2118" s="93" t="s">
        <v>369</v>
      </c>
      <c r="D2118" t="s">
        <v>3953</v>
      </c>
      <c r="E2118" t="s">
        <v>2274</v>
      </c>
      <c r="F2118" s="117" t="s">
        <v>2274</v>
      </c>
      <c r="G2118" s="93" t="s">
        <v>400</v>
      </c>
      <c r="H2118" s="94" t="str">
        <f>IF(Proc[[#This Row],[type]]="LFF (MDG-F)",MID(Proc[[#This Row],[Obj]],13,10),"")</f>
        <v/>
      </c>
      <c r="J2118" s="94" t="b">
        <f>Proc[[#This Row],[Requested]]=Proc[[#This Row],[CurrentParent]]</f>
        <v>1</v>
      </c>
      <c r="K2118" s="144" t="str">
        <f>IF(Proc[[#This Row],[Author]]="Marcela Urrego",VLOOKUP(LEFT(Proc[[#This Row],[Requested]],1),Table3[#All],2,0),VLOOKUP(Proc[[#This Row],[Author]],Table4[],2,0))</f>
        <v>HC</v>
      </c>
      <c r="L2118" s="125" t="s">
        <v>2563</v>
      </c>
      <c r="M2118" s="90">
        <v>45807.678356481483</v>
      </c>
      <c r="N2118" s="91">
        <v>45810</v>
      </c>
      <c r="O2118" s="91">
        <v>45810</v>
      </c>
      <c r="P2118" s="90" t="str">
        <f ca="1">IF(Proc[[#This Row],[DaysAgeing]]&gt;5,"yep","on track")</f>
        <v>on track</v>
      </c>
      <c r="Q2118" s="3">
        <f ca="1">IF(Proc[[#This Row],[DateClosed]]="",ABS(NETWORKDAYS(Proc[[#This Row],[DateOpened]],TODAY()))-1,ABS(NETWORKDAYS(Proc[[#This Row],[DateOpened]],Proc[[#This Row],[DateClosed]]))-1)</f>
        <v>1</v>
      </c>
      <c r="R2118" s="90" t="s">
        <v>1013</v>
      </c>
      <c r="S2118" s="94"/>
    </row>
    <row r="2119" spans="1:19" hidden="1">
      <c r="A2119" s="93" t="s">
        <v>3747</v>
      </c>
      <c r="B2119" s="149" t="str">
        <f>IFERROR(VLOOKUP(Proc[[#This Row],[App]],Table2[],3,0),"open")</f>
        <v>ok</v>
      </c>
      <c r="C2119" s="93" t="s">
        <v>369</v>
      </c>
      <c r="D2119" t="s">
        <v>3954</v>
      </c>
      <c r="E2119" t="s">
        <v>2274</v>
      </c>
      <c r="F2119" s="117" t="s">
        <v>2274</v>
      </c>
      <c r="G2119" s="93" t="s">
        <v>400</v>
      </c>
      <c r="H2119" s="94" t="str">
        <f>IF(Proc[[#This Row],[type]]="LFF (MDG-F)",MID(Proc[[#This Row],[Obj]],13,10),"")</f>
        <v/>
      </c>
      <c r="J2119" s="94" t="b">
        <f>Proc[[#This Row],[Requested]]=Proc[[#This Row],[CurrentParent]]</f>
        <v>1</v>
      </c>
      <c r="K2119" s="144" t="str">
        <f>IF(Proc[[#This Row],[Author]]="Marcela Urrego",VLOOKUP(LEFT(Proc[[#This Row],[Requested]],1),Table3[#All],2,0),VLOOKUP(Proc[[#This Row],[Author]],Table4[],2,0))</f>
        <v>HC</v>
      </c>
      <c r="L2119" s="125" t="s">
        <v>2563</v>
      </c>
      <c r="M2119" s="90">
        <v>45807.678356481483</v>
      </c>
      <c r="N2119" s="91">
        <v>45810</v>
      </c>
      <c r="O2119" s="91">
        <v>45810</v>
      </c>
      <c r="P2119" s="90" t="str">
        <f ca="1">IF(Proc[[#This Row],[DaysAgeing]]&gt;5,"yep","on track")</f>
        <v>on track</v>
      </c>
      <c r="Q2119" s="3">
        <f ca="1">IF(Proc[[#This Row],[DateClosed]]="",ABS(NETWORKDAYS(Proc[[#This Row],[DateOpened]],TODAY()))-1,ABS(NETWORKDAYS(Proc[[#This Row],[DateOpened]],Proc[[#This Row],[DateClosed]]))-1)</f>
        <v>1</v>
      </c>
      <c r="R2119" s="90" t="s">
        <v>1013</v>
      </c>
      <c r="S2119" s="94"/>
    </row>
    <row r="2120" spans="1:19" hidden="1">
      <c r="A2120" s="93" t="s">
        <v>3747</v>
      </c>
      <c r="B2120" s="149" t="str">
        <f>IFERROR(VLOOKUP(Proc[[#This Row],[App]],Table2[],3,0),"open")</f>
        <v>ok</v>
      </c>
      <c r="C2120" s="93" t="s">
        <v>369</v>
      </c>
      <c r="D2120" t="s">
        <v>3955</v>
      </c>
      <c r="E2120" t="s">
        <v>2274</v>
      </c>
      <c r="F2120" s="117" t="s">
        <v>2274</v>
      </c>
      <c r="G2120" s="93" t="s">
        <v>400</v>
      </c>
      <c r="H2120" s="94" t="str">
        <f>IF(Proc[[#This Row],[type]]="LFF (MDG-F)",MID(Proc[[#This Row],[Obj]],13,10),"")</f>
        <v/>
      </c>
      <c r="J2120" s="94" t="b">
        <f>Proc[[#This Row],[Requested]]=Proc[[#This Row],[CurrentParent]]</f>
        <v>1</v>
      </c>
      <c r="K2120" s="144" t="str">
        <f>IF(Proc[[#This Row],[Author]]="Marcela Urrego",VLOOKUP(LEFT(Proc[[#This Row],[Requested]],1),Table3[#All],2,0),VLOOKUP(Proc[[#This Row],[Author]],Table4[],2,0))</f>
        <v>HC</v>
      </c>
      <c r="L2120" s="125" t="s">
        <v>2563</v>
      </c>
      <c r="M2120" s="90">
        <v>45807.678356481483</v>
      </c>
      <c r="N2120" s="91">
        <v>45810</v>
      </c>
      <c r="O2120" s="91">
        <v>45810</v>
      </c>
      <c r="P2120" s="90" t="str">
        <f ca="1">IF(Proc[[#This Row],[DaysAgeing]]&gt;5,"yep","on track")</f>
        <v>on track</v>
      </c>
      <c r="Q2120" s="3">
        <f ca="1">IF(Proc[[#This Row],[DateClosed]]="",ABS(NETWORKDAYS(Proc[[#This Row],[DateOpened]],TODAY()))-1,ABS(NETWORKDAYS(Proc[[#This Row],[DateOpened]],Proc[[#This Row],[DateClosed]]))-1)</f>
        <v>1</v>
      </c>
      <c r="R2120" s="90" t="s">
        <v>1013</v>
      </c>
      <c r="S2120" s="94"/>
    </row>
    <row r="2121" spans="1:19" hidden="1">
      <c r="A2121" s="93" t="s">
        <v>3747</v>
      </c>
      <c r="B2121" s="149" t="str">
        <f>IFERROR(VLOOKUP(Proc[[#This Row],[App]],Table2[],3,0),"open")</f>
        <v>ok</v>
      </c>
      <c r="C2121" s="93" t="s">
        <v>369</v>
      </c>
      <c r="D2121" t="s">
        <v>3956</v>
      </c>
      <c r="E2121" t="s">
        <v>4069</v>
      </c>
      <c r="F2121" s="117" t="s">
        <v>4069</v>
      </c>
      <c r="G2121" s="93" t="s">
        <v>400</v>
      </c>
      <c r="H2121" s="94" t="str">
        <f>IF(Proc[[#This Row],[type]]="LFF (MDG-F)",MID(Proc[[#This Row],[Obj]],13,10),"")</f>
        <v/>
      </c>
      <c r="J2121" s="94" t="b">
        <f>Proc[[#This Row],[Requested]]=Proc[[#This Row],[CurrentParent]]</f>
        <v>1</v>
      </c>
      <c r="K2121" s="144" t="str">
        <f>IF(Proc[[#This Row],[Author]]="Marcela Urrego",VLOOKUP(LEFT(Proc[[#This Row],[Requested]],1),Table3[#All],2,0),VLOOKUP(Proc[[#This Row],[Author]],Table4[],2,0))</f>
        <v>HC</v>
      </c>
      <c r="L2121" s="125" t="s">
        <v>2563</v>
      </c>
      <c r="M2121" s="90">
        <v>45807.678356481483</v>
      </c>
      <c r="N2121" s="91">
        <v>45810</v>
      </c>
      <c r="O2121" s="91">
        <v>45810</v>
      </c>
      <c r="P2121" s="90" t="str">
        <f ca="1">IF(Proc[[#This Row],[DaysAgeing]]&gt;5,"yep","on track")</f>
        <v>on track</v>
      </c>
      <c r="Q2121" s="3">
        <f ca="1">IF(Proc[[#This Row],[DateClosed]]="",ABS(NETWORKDAYS(Proc[[#This Row],[DateOpened]],TODAY()))-1,ABS(NETWORKDAYS(Proc[[#This Row],[DateOpened]],Proc[[#This Row],[DateClosed]]))-1)</f>
        <v>1</v>
      </c>
      <c r="R2121" s="90" t="s">
        <v>1013</v>
      </c>
      <c r="S2121" s="94"/>
    </row>
    <row r="2122" spans="1:19" hidden="1">
      <c r="A2122" s="93" t="s">
        <v>3747</v>
      </c>
      <c r="B2122" s="149" t="str">
        <f>IFERROR(VLOOKUP(Proc[[#This Row],[App]],Table2[],3,0),"open")</f>
        <v>ok</v>
      </c>
      <c r="C2122" s="93" t="s">
        <v>369</v>
      </c>
      <c r="D2122" t="s">
        <v>3957</v>
      </c>
      <c r="E2122" t="s">
        <v>4068</v>
      </c>
      <c r="F2122" s="117" t="s">
        <v>4068</v>
      </c>
      <c r="G2122" s="93" t="s">
        <v>400</v>
      </c>
      <c r="H2122" s="94" t="str">
        <f>IF(Proc[[#This Row],[type]]="LFF (MDG-F)",MID(Proc[[#This Row],[Obj]],13,10),"")</f>
        <v/>
      </c>
      <c r="J2122" s="94" t="b">
        <f>Proc[[#This Row],[Requested]]=Proc[[#This Row],[CurrentParent]]</f>
        <v>1</v>
      </c>
      <c r="K2122" s="144" t="str">
        <f>IF(Proc[[#This Row],[Author]]="Marcela Urrego",VLOOKUP(LEFT(Proc[[#This Row],[Requested]],1),Table3[#All],2,0),VLOOKUP(Proc[[#This Row],[Author]],Table4[],2,0))</f>
        <v>HC</v>
      </c>
      <c r="L2122" s="125" t="s">
        <v>2563</v>
      </c>
      <c r="M2122" s="90">
        <v>45807.678356481483</v>
      </c>
      <c r="N2122" s="91">
        <v>45810</v>
      </c>
      <c r="O2122" s="91">
        <v>45810</v>
      </c>
      <c r="P2122" s="90" t="str">
        <f ca="1">IF(Proc[[#This Row],[DaysAgeing]]&gt;5,"yep","on track")</f>
        <v>on track</v>
      </c>
      <c r="Q2122" s="3">
        <f ca="1">IF(Proc[[#This Row],[DateClosed]]="",ABS(NETWORKDAYS(Proc[[#This Row],[DateOpened]],TODAY()))-1,ABS(NETWORKDAYS(Proc[[#This Row],[DateOpened]],Proc[[#This Row],[DateClosed]]))-1)</f>
        <v>1</v>
      </c>
      <c r="R2122" s="90" t="s">
        <v>1013</v>
      </c>
      <c r="S2122" s="94"/>
    </row>
    <row r="2123" spans="1:19" hidden="1">
      <c r="A2123" s="93" t="s">
        <v>3747</v>
      </c>
      <c r="B2123" s="149" t="str">
        <f>IFERROR(VLOOKUP(Proc[[#This Row],[App]],Table2[],3,0),"open")</f>
        <v>ok</v>
      </c>
      <c r="C2123" s="93" t="s">
        <v>369</v>
      </c>
      <c r="D2123" t="s">
        <v>3958</v>
      </c>
      <c r="E2123" t="s">
        <v>4068</v>
      </c>
      <c r="F2123" s="117" t="s">
        <v>4068</v>
      </c>
      <c r="G2123" s="93" t="s">
        <v>400</v>
      </c>
      <c r="H2123" s="94" t="str">
        <f>IF(Proc[[#This Row],[type]]="LFF (MDG-F)",MID(Proc[[#This Row],[Obj]],13,10),"")</f>
        <v/>
      </c>
      <c r="J2123" s="94" t="b">
        <f>Proc[[#This Row],[Requested]]=Proc[[#This Row],[CurrentParent]]</f>
        <v>1</v>
      </c>
      <c r="K2123" s="144" t="str">
        <f>IF(Proc[[#This Row],[Author]]="Marcela Urrego",VLOOKUP(LEFT(Proc[[#This Row],[Requested]],1),Table3[#All],2,0),VLOOKUP(Proc[[#This Row],[Author]],Table4[],2,0))</f>
        <v>HC</v>
      </c>
      <c r="L2123" s="125" t="s">
        <v>2563</v>
      </c>
      <c r="M2123" s="90">
        <v>45807.678356481483</v>
      </c>
      <c r="N2123" s="91">
        <v>45810</v>
      </c>
      <c r="O2123" s="91">
        <v>45810</v>
      </c>
      <c r="P2123" s="90" t="str">
        <f ca="1">IF(Proc[[#This Row],[DaysAgeing]]&gt;5,"yep","on track")</f>
        <v>on track</v>
      </c>
      <c r="Q2123" s="3">
        <f ca="1">IF(Proc[[#This Row],[DateClosed]]="",ABS(NETWORKDAYS(Proc[[#This Row],[DateOpened]],TODAY()))-1,ABS(NETWORKDAYS(Proc[[#This Row],[DateOpened]],Proc[[#This Row],[DateClosed]]))-1)</f>
        <v>1</v>
      </c>
      <c r="R2123" s="90" t="s">
        <v>1013</v>
      </c>
      <c r="S2123" s="94"/>
    </row>
    <row r="2124" spans="1:19" hidden="1">
      <c r="A2124" s="93" t="s">
        <v>3747</v>
      </c>
      <c r="B2124" s="149" t="str">
        <f>IFERROR(VLOOKUP(Proc[[#This Row],[App]],Table2[],3,0),"open")</f>
        <v>ok</v>
      </c>
      <c r="C2124" s="93" t="s">
        <v>369</v>
      </c>
      <c r="D2124" t="s">
        <v>3959</v>
      </c>
      <c r="E2124" t="s">
        <v>4068</v>
      </c>
      <c r="F2124" s="117" t="s">
        <v>4068</v>
      </c>
      <c r="G2124" s="93" t="s">
        <v>400</v>
      </c>
      <c r="H2124" s="94" t="str">
        <f>IF(Proc[[#This Row],[type]]="LFF (MDG-F)",MID(Proc[[#This Row],[Obj]],13,10),"")</f>
        <v/>
      </c>
      <c r="J2124" s="94" t="b">
        <f>Proc[[#This Row],[Requested]]=Proc[[#This Row],[CurrentParent]]</f>
        <v>1</v>
      </c>
      <c r="K2124" s="144" t="str">
        <f>IF(Proc[[#This Row],[Author]]="Marcela Urrego",VLOOKUP(LEFT(Proc[[#This Row],[Requested]],1),Table3[#All],2,0),VLOOKUP(Proc[[#This Row],[Author]],Table4[],2,0))</f>
        <v>HC</v>
      </c>
      <c r="L2124" s="125" t="s">
        <v>2563</v>
      </c>
      <c r="M2124" s="90">
        <v>45807.678356481483</v>
      </c>
      <c r="N2124" s="91">
        <v>45810</v>
      </c>
      <c r="O2124" s="91">
        <v>45810</v>
      </c>
      <c r="P2124" s="90" t="str">
        <f ca="1">IF(Proc[[#This Row],[DaysAgeing]]&gt;5,"yep","on track")</f>
        <v>on track</v>
      </c>
      <c r="Q2124" s="3">
        <f ca="1">IF(Proc[[#This Row],[DateClosed]]="",ABS(NETWORKDAYS(Proc[[#This Row],[DateOpened]],TODAY()))-1,ABS(NETWORKDAYS(Proc[[#This Row],[DateOpened]],Proc[[#This Row],[DateClosed]]))-1)</f>
        <v>1</v>
      </c>
      <c r="R2124" s="90" t="s">
        <v>1013</v>
      </c>
      <c r="S2124" s="94"/>
    </row>
    <row r="2125" spans="1:19" hidden="1">
      <c r="A2125" s="93" t="s">
        <v>3747</v>
      </c>
      <c r="B2125" s="149" t="str">
        <f>IFERROR(VLOOKUP(Proc[[#This Row],[App]],Table2[],3,0),"open")</f>
        <v>ok</v>
      </c>
      <c r="C2125" s="93" t="s">
        <v>369</v>
      </c>
      <c r="D2125" t="s">
        <v>3960</v>
      </c>
      <c r="E2125" t="s">
        <v>4068</v>
      </c>
      <c r="F2125" s="117" t="s">
        <v>4068</v>
      </c>
      <c r="G2125" s="93" t="s">
        <v>400</v>
      </c>
      <c r="H2125" s="94" t="str">
        <f>IF(Proc[[#This Row],[type]]="LFF (MDG-F)",MID(Proc[[#This Row],[Obj]],13,10),"")</f>
        <v/>
      </c>
      <c r="J2125" s="94" t="b">
        <f>Proc[[#This Row],[Requested]]=Proc[[#This Row],[CurrentParent]]</f>
        <v>1</v>
      </c>
      <c r="K2125" s="144" t="str">
        <f>IF(Proc[[#This Row],[Author]]="Marcela Urrego",VLOOKUP(LEFT(Proc[[#This Row],[Requested]],1),Table3[#All],2,0),VLOOKUP(Proc[[#This Row],[Author]],Table4[],2,0))</f>
        <v>HC</v>
      </c>
      <c r="L2125" s="125" t="s">
        <v>2563</v>
      </c>
      <c r="M2125" s="90">
        <v>45807.678356481483</v>
      </c>
      <c r="N2125" s="91">
        <v>45810</v>
      </c>
      <c r="O2125" s="91">
        <v>45810</v>
      </c>
      <c r="P2125" s="90" t="str">
        <f ca="1">IF(Proc[[#This Row],[DaysAgeing]]&gt;5,"yep","on track")</f>
        <v>on track</v>
      </c>
      <c r="Q2125" s="3">
        <f ca="1">IF(Proc[[#This Row],[DateClosed]]="",ABS(NETWORKDAYS(Proc[[#This Row],[DateOpened]],TODAY()))-1,ABS(NETWORKDAYS(Proc[[#This Row],[DateOpened]],Proc[[#This Row],[DateClosed]]))-1)</f>
        <v>1</v>
      </c>
      <c r="R2125" s="90" t="s">
        <v>1013</v>
      </c>
      <c r="S2125" s="94"/>
    </row>
    <row r="2126" spans="1:19" hidden="1">
      <c r="A2126" s="93" t="s">
        <v>3747</v>
      </c>
      <c r="B2126" s="149" t="str">
        <f>IFERROR(VLOOKUP(Proc[[#This Row],[App]],Table2[],3,0),"open")</f>
        <v>ok</v>
      </c>
      <c r="C2126" s="93" t="s">
        <v>369</v>
      </c>
      <c r="D2126" t="s">
        <v>3961</v>
      </c>
      <c r="E2126" t="s">
        <v>4068</v>
      </c>
      <c r="F2126" s="117" t="s">
        <v>4068</v>
      </c>
      <c r="G2126" s="93" t="s">
        <v>400</v>
      </c>
      <c r="H2126" s="94" t="str">
        <f>IF(Proc[[#This Row],[type]]="LFF (MDG-F)",MID(Proc[[#This Row],[Obj]],13,10),"")</f>
        <v/>
      </c>
      <c r="J2126" s="94" t="b">
        <f>Proc[[#This Row],[Requested]]=Proc[[#This Row],[CurrentParent]]</f>
        <v>1</v>
      </c>
      <c r="K2126" s="144" t="str">
        <f>IF(Proc[[#This Row],[Author]]="Marcela Urrego",VLOOKUP(LEFT(Proc[[#This Row],[Requested]],1),Table3[#All],2,0),VLOOKUP(Proc[[#This Row],[Author]],Table4[],2,0))</f>
        <v>HC</v>
      </c>
      <c r="L2126" s="125" t="s">
        <v>2563</v>
      </c>
      <c r="M2126" s="90">
        <v>45807.678356481483</v>
      </c>
      <c r="N2126" s="91">
        <v>45810</v>
      </c>
      <c r="O2126" s="91">
        <v>45810</v>
      </c>
      <c r="P2126" s="90" t="str">
        <f ca="1">IF(Proc[[#This Row],[DaysAgeing]]&gt;5,"yep","on track")</f>
        <v>on track</v>
      </c>
      <c r="Q2126" s="3">
        <f ca="1">IF(Proc[[#This Row],[DateClosed]]="",ABS(NETWORKDAYS(Proc[[#This Row],[DateOpened]],TODAY()))-1,ABS(NETWORKDAYS(Proc[[#This Row],[DateOpened]],Proc[[#This Row],[DateClosed]]))-1)</f>
        <v>1</v>
      </c>
      <c r="R2126" s="90" t="s">
        <v>1013</v>
      </c>
      <c r="S2126" s="94"/>
    </row>
    <row r="2127" spans="1:19" hidden="1">
      <c r="A2127" s="93" t="s">
        <v>3747</v>
      </c>
      <c r="B2127" s="149" t="str">
        <f>IFERROR(VLOOKUP(Proc[[#This Row],[App]],Table2[],3,0),"open")</f>
        <v>ok</v>
      </c>
      <c r="C2127" s="93" t="s">
        <v>369</v>
      </c>
      <c r="D2127" t="s">
        <v>3962</v>
      </c>
      <c r="E2127" t="s">
        <v>4068</v>
      </c>
      <c r="F2127" s="117" t="s">
        <v>4068</v>
      </c>
      <c r="G2127" s="93" t="s">
        <v>400</v>
      </c>
      <c r="H2127" s="94" t="str">
        <f>IF(Proc[[#This Row],[type]]="LFF (MDG-F)",MID(Proc[[#This Row],[Obj]],13,10),"")</f>
        <v/>
      </c>
      <c r="J2127" s="94" t="b">
        <f>Proc[[#This Row],[Requested]]=Proc[[#This Row],[CurrentParent]]</f>
        <v>1</v>
      </c>
      <c r="K2127" s="144" t="str">
        <f>IF(Proc[[#This Row],[Author]]="Marcela Urrego",VLOOKUP(LEFT(Proc[[#This Row],[Requested]],1),Table3[#All],2,0),VLOOKUP(Proc[[#This Row],[Author]],Table4[],2,0))</f>
        <v>HC</v>
      </c>
      <c r="L2127" s="125" t="s">
        <v>2563</v>
      </c>
      <c r="M2127" s="90">
        <v>45807.678356481483</v>
      </c>
      <c r="N2127" s="91">
        <v>45810</v>
      </c>
      <c r="O2127" s="91">
        <v>45810</v>
      </c>
      <c r="P2127" s="90" t="str">
        <f ca="1">IF(Proc[[#This Row],[DaysAgeing]]&gt;5,"yep","on track")</f>
        <v>on track</v>
      </c>
      <c r="Q2127" s="3">
        <f ca="1">IF(Proc[[#This Row],[DateClosed]]="",ABS(NETWORKDAYS(Proc[[#This Row],[DateOpened]],TODAY()))-1,ABS(NETWORKDAYS(Proc[[#This Row],[DateOpened]],Proc[[#This Row],[DateClosed]]))-1)</f>
        <v>1</v>
      </c>
      <c r="R2127" s="90" t="s">
        <v>1013</v>
      </c>
      <c r="S2127" s="94"/>
    </row>
    <row r="2128" spans="1:19" hidden="1">
      <c r="A2128" s="93" t="s">
        <v>3747</v>
      </c>
      <c r="B2128" s="149" t="str">
        <f>IFERROR(VLOOKUP(Proc[[#This Row],[App]],Table2[],3,0),"open")</f>
        <v>ok</v>
      </c>
      <c r="C2128" s="93" t="s">
        <v>369</v>
      </c>
      <c r="D2128" t="s">
        <v>3963</v>
      </c>
      <c r="E2128" t="s">
        <v>4068</v>
      </c>
      <c r="F2128" s="117" t="s">
        <v>4068</v>
      </c>
      <c r="G2128" s="93" t="s">
        <v>400</v>
      </c>
      <c r="H2128" s="94" t="str">
        <f>IF(Proc[[#This Row],[type]]="LFF (MDG-F)",MID(Proc[[#This Row],[Obj]],13,10),"")</f>
        <v/>
      </c>
      <c r="J2128" s="94" t="b">
        <f>Proc[[#This Row],[Requested]]=Proc[[#This Row],[CurrentParent]]</f>
        <v>1</v>
      </c>
      <c r="K2128" s="144" t="str">
        <f>IF(Proc[[#This Row],[Author]]="Marcela Urrego",VLOOKUP(LEFT(Proc[[#This Row],[Requested]],1),Table3[#All],2,0),VLOOKUP(Proc[[#This Row],[Author]],Table4[],2,0))</f>
        <v>HC</v>
      </c>
      <c r="L2128" s="125" t="s">
        <v>2563</v>
      </c>
      <c r="M2128" s="90">
        <v>45807.678356481483</v>
      </c>
      <c r="N2128" s="91">
        <v>45810</v>
      </c>
      <c r="O2128" s="91">
        <v>45810</v>
      </c>
      <c r="P2128" s="90" t="str">
        <f ca="1">IF(Proc[[#This Row],[DaysAgeing]]&gt;5,"yep","on track")</f>
        <v>on track</v>
      </c>
      <c r="Q2128" s="3">
        <f ca="1">IF(Proc[[#This Row],[DateClosed]]="",ABS(NETWORKDAYS(Proc[[#This Row],[DateOpened]],TODAY()))-1,ABS(NETWORKDAYS(Proc[[#This Row],[DateOpened]],Proc[[#This Row],[DateClosed]]))-1)</f>
        <v>1</v>
      </c>
      <c r="R2128" s="90" t="s">
        <v>1013</v>
      </c>
      <c r="S2128" s="94"/>
    </row>
    <row r="2129" spans="1:19" hidden="1">
      <c r="A2129" s="93" t="s">
        <v>3747</v>
      </c>
      <c r="B2129" s="149" t="str">
        <f>IFERROR(VLOOKUP(Proc[[#This Row],[App]],Table2[],3,0),"open")</f>
        <v>ok</v>
      </c>
      <c r="C2129" s="93" t="s">
        <v>369</v>
      </c>
      <c r="D2129" t="s">
        <v>3964</v>
      </c>
      <c r="E2129" t="s">
        <v>4068</v>
      </c>
      <c r="F2129" s="117" t="s">
        <v>4068</v>
      </c>
      <c r="G2129" s="93" t="s">
        <v>400</v>
      </c>
      <c r="H2129" s="94" t="str">
        <f>IF(Proc[[#This Row],[type]]="LFF (MDG-F)",MID(Proc[[#This Row],[Obj]],13,10),"")</f>
        <v/>
      </c>
      <c r="J2129" s="94" t="b">
        <f>Proc[[#This Row],[Requested]]=Proc[[#This Row],[CurrentParent]]</f>
        <v>1</v>
      </c>
      <c r="K2129" s="144" t="str">
        <f>IF(Proc[[#This Row],[Author]]="Marcela Urrego",VLOOKUP(LEFT(Proc[[#This Row],[Requested]],1),Table3[#All],2,0),VLOOKUP(Proc[[#This Row],[Author]],Table4[],2,0))</f>
        <v>HC</v>
      </c>
      <c r="L2129" s="125" t="s">
        <v>2563</v>
      </c>
      <c r="M2129" s="90">
        <v>45807.678356481483</v>
      </c>
      <c r="N2129" s="91">
        <v>45810</v>
      </c>
      <c r="O2129" s="91">
        <v>45810</v>
      </c>
      <c r="P2129" s="90" t="str">
        <f ca="1">IF(Proc[[#This Row],[DaysAgeing]]&gt;5,"yep","on track")</f>
        <v>on track</v>
      </c>
      <c r="Q2129" s="3">
        <f ca="1">IF(Proc[[#This Row],[DateClosed]]="",ABS(NETWORKDAYS(Proc[[#This Row],[DateOpened]],TODAY()))-1,ABS(NETWORKDAYS(Proc[[#This Row],[DateOpened]],Proc[[#This Row],[DateClosed]]))-1)</f>
        <v>1</v>
      </c>
      <c r="R2129" s="90" t="s">
        <v>1013</v>
      </c>
      <c r="S2129" s="94"/>
    </row>
    <row r="2130" spans="1:19" hidden="1">
      <c r="A2130" s="93" t="s">
        <v>3747</v>
      </c>
      <c r="B2130" s="149" t="str">
        <f>IFERROR(VLOOKUP(Proc[[#This Row],[App]],Table2[],3,0),"open")</f>
        <v>ok</v>
      </c>
      <c r="C2130" s="93" t="s">
        <v>369</v>
      </c>
      <c r="D2130" t="s">
        <v>3965</v>
      </c>
      <c r="E2130" t="s">
        <v>4068</v>
      </c>
      <c r="F2130" s="117" t="s">
        <v>4068</v>
      </c>
      <c r="G2130" s="93" t="s">
        <v>400</v>
      </c>
      <c r="H2130" s="94" t="str">
        <f>IF(Proc[[#This Row],[type]]="LFF (MDG-F)",MID(Proc[[#This Row],[Obj]],13,10),"")</f>
        <v/>
      </c>
      <c r="J2130" s="94" t="b">
        <f>Proc[[#This Row],[Requested]]=Proc[[#This Row],[CurrentParent]]</f>
        <v>1</v>
      </c>
      <c r="K2130" s="144" t="str">
        <f>IF(Proc[[#This Row],[Author]]="Marcela Urrego",VLOOKUP(LEFT(Proc[[#This Row],[Requested]],1),Table3[#All],2,0),VLOOKUP(Proc[[#This Row],[Author]],Table4[],2,0))</f>
        <v>HC</v>
      </c>
      <c r="L2130" s="125" t="s">
        <v>2563</v>
      </c>
      <c r="M2130" s="90">
        <v>45807.678356481483</v>
      </c>
      <c r="N2130" s="91">
        <v>45810</v>
      </c>
      <c r="O2130" s="91">
        <v>45810</v>
      </c>
      <c r="P2130" s="90" t="str">
        <f ca="1">IF(Proc[[#This Row],[DaysAgeing]]&gt;5,"yep","on track")</f>
        <v>on track</v>
      </c>
      <c r="Q2130" s="3">
        <f ca="1">IF(Proc[[#This Row],[DateClosed]]="",ABS(NETWORKDAYS(Proc[[#This Row],[DateOpened]],TODAY()))-1,ABS(NETWORKDAYS(Proc[[#This Row],[DateOpened]],Proc[[#This Row],[DateClosed]]))-1)</f>
        <v>1</v>
      </c>
      <c r="R2130" s="90" t="s">
        <v>1013</v>
      </c>
      <c r="S2130" s="94"/>
    </row>
    <row r="2131" spans="1:19" hidden="1">
      <c r="A2131" s="93" t="s">
        <v>3747</v>
      </c>
      <c r="B2131" s="149" t="str">
        <f>IFERROR(VLOOKUP(Proc[[#This Row],[App]],Table2[],3,0),"open")</f>
        <v>ok</v>
      </c>
      <c r="C2131" s="93" t="s">
        <v>369</v>
      </c>
      <c r="D2131" t="s">
        <v>3966</v>
      </c>
      <c r="E2131" t="s">
        <v>4068</v>
      </c>
      <c r="F2131" s="117" t="s">
        <v>4068</v>
      </c>
      <c r="G2131" s="93" t="s">
        <v>400</v>
      </c>
      <c r="H2131" s="94" t="str">
        <f>IF(Proc[[#This Row],[type]]="LFF (MDG-F)",MID(Proc[[#This Row],[Obj]],13,10),"")</f>
        <v/>
      </c>
      <c r="J2131" s="94" t="b">
        <f>Proc[[#This Row],[Requested]]=Proc[[#This Row],[CurrentParent]]</f>
        <v>1</v>
      </c>
      <c r="K2131" s="144" t="str">
        <f>IF(Proc[[#This Row],[Author]]="Marcela Urrego",VLOOKUP(LEFT(Proc[[#This Row],[Requested]],1),Table3[#All],2,0),VLOOKUP(Proc[[#This Row],[Author]],Table4[],2,0))</f>
        <v>HC</v>
      </c>
      <c r="L2131" s="125" t="s">
        <v>2563</v>
      </c>
      <c r="M2131" s="90">
        <v>45807.678356481483</v>
      </c>
      <c r="N2131" s="91">
        <v>45810</v>
      </c>
      <c r="O2131" s="91">
        <v>45810</v>
      </c>
      <c r="P2131" s="90" t="str">
        <f ca="1">IF(Proc[[#This Row],[DaysAgeing]]&gt;5,"yep","on track")</f>
        <v>on track</v>
      </c>
      <c r="Q2131" s="3">
        <f ca="1">IF(Proc[[#This Row],[DateClosed]]="",ABS(NETWORKDAYS(Proc[[#This Row],[DateOpened]],TODAY()))-1,ABS(NETWORKDAYS(Proc[[#This Row],[DateOpened]],Proc[[#This Row],[DateClosed]]))-1)</f>
        <v>1</v>
      </c>
      <c r="R2131" s="90" t="s">
        <v>1013</v>
      </c>
      <c r="S2131" s="94"/>
    </row>
    <row r="2132" spans="1:19" hidden="1">
      <c r="A2132" s="93" t="s">
        <v>3747</v>
      </c>
      <c r="B2132" s="149" t="str">
        <f>IFERROR(VLOOKUP(Proc[[#This Row],[App]],Table2[],3,0),"open")</f>
        <v>ok</v>
      </c>
      <c r="C2132" s="93" t="s">
        <v>369</v>
      </c>
      <c r="D2132" t="s">
        <v>3967</v>
      </c>
      <c r="E2132" t="s">
        <v>4068</v>
      </c>
      <c r="F2132" s="117" t="s">
        <v>4068</v>
      </c>
      <c r="G2132" s="93" t="s">
        <v>400</v>
      </c>
      <c r="H2132" s="94" t="str">
        <f>IF(Proc[[#This Row],[type]]="LFF (MDG-F)",MID(Proc[[#This Row],[Obj]],13,10),"")</f>
        <v/>
      </c>
      <c r="J2132" s="94" t="b">
        <f>Proc[[#This Row],[Requested]]=Proc[[#This Row],[CurrentParent]]</f>
        <v>1</v>
      </c>
      <c r="K2132" s="144" t="str">
        <f>IF(Proc[[#This Row],[Author]]="Marcela Urrego",VLOOKUP(LEFT(Proc[[#This Row],[Requested]],1),Table3[#All],2,0),VLOOKUP(Proc[[#This Row],[Author]],Table4[],2,0))</f>
        <v>HC</v>
      </c>
      <c r="L2132" s="125" t="s">
        <v>2563</v>
      </c>
      <c r="M2132" s="90">
        <v>45807.678356481483</v>
      </c>
      <c r="N2132" s="91">
        <v>45810</v>
      </c>
      <c r="O2132" s="91">
        <v>45810</v>
      </c>
      <c r="P2132" s="90" t="str">
        <f ca="1">IF(Proc[[#This Row],[DaysAgeing]]&gt;5,"yep","on track")</f>
        <v>on track</v>
      </c>
      <c r="Q2132" s="3">
        <f ca="1">IF(Proc[[#This Row],[DateClosed]]="",ABS(NETWORKDAYS(Proc[[#This Row],[DateOpened]],TODAY()))-1,ABS(NETWORKDAYS(Proc[[#This Row],[DateOpened]],Proc[[#This Row],[DateClosed]]))-1)</f>
        <v>1</v>
      </c>
      <c r="R2132" s="90" t="s">
        <v>1013</v>
      </c>
      <c r="S2132" s="94"/>
    </row>
    <row r="2133" spans="1:19" hidden="1">
      <c r="A2133" s="93" t="s">
        <v>3747</v>
      </c>
      <c r="B2133" s="149" t="str">
        <f>IFERROR(VLOOKUP(Proc[[#This Row],[App]],Table2[],3,0),"open")</f>
        <v>ok</v>
      </c>
      <c r="C2133" s="93" t="s">
        <v>369</v>
      </c>
      <c r="D2133" t="s">
        <v>3968</v>
      </c>
      <c r="E2133" t="s">
        <v>4068</v>
      </c>
      <c r="F2133" s="117" t="s">
        <v>4068</v>
      </c>
      <c r="G2133" s="93" t="s">
        <v>400</v>
      </c>
      <c r="H2133" s="94" t="str">
        <f>IF(Proc[[#This Row],[type]]="LFF (MDG-F)",MID(Proc[[#This Row],[Obj]],13,10),"")</f>
        <v/>
      </c>
      <c r="J2133" s="94" t="b">
        <f>Proc[[#This Row],[Requested]]=Proc[[#This Row],[CurrentParent]]</f>
        <v>1</v>
      </c>
      <c r="K2133" s="144" t="str">
        <f>IF(Proc[[#This Row],[Author]]="Marcela Urrego",VLOOKUP(LEFT(Proc[[#This Row],[Requested]],1),Table3[#All],2,0),VLOOKUP(Proc[[#This Row],[Author]],Table4[],2,0))</f>
        <v>HC</v>
      </c>
      <c r="L2133" s="125" t="s">
        <v>2563</v>
      </c>
      <c r="M2133" s="90">
        <v>45807.678356481483</v>
      </c>
      <c r="N2133" s="91">
        <v>45810</v>
      </c>
      <c r="O2133" s="91">
        <v>45810</v>
      </c>
      <c r="P2133" s="90" t="str">
        <f ca="1">IF(Proc[[#This Row],[DaysAgeing]]&gt;5,"yep","on track")</f>
        <v>on track</v>
      </c>
      <c r="Q2133" s="3">
        <f ca="1">IF(Proc[[#This Row],[DateClosed]]="",ABS(NETWORKDAYS(Proc[[#This Row],[DateOpened]],TODAY()))-1,ABS(NETWORKDAYS(Proc[[#This Row],[DateOpened]],Proc[[#This Row],[DateClosed]]))-1)</f>
        <v>1</v>
      </c>
      <c r="R2133" s="90" t="s">
        <v>1013</v>
      </c>
      <c r="S2133" s="94"/>
    </row>
    <row r="2134" spans="1:19" hidden="1">
      <c r="A2134" s="93" t="s">
        <v>3747</v>
      </c>
      <c r="B2134" s="149" t="str">
        <f>IFERROR(VLOOKUP(Proc[[#This Row],[App]],Table2[],3,0),"open")</f>
        <v>ok</v>
      </c>
      <c r="C2134" s="93" t="s">
        <v>369</v>
      </c>
      <c r="D2134" t="s">
        <v>3969</v>
      </c>
      <c r="E2134" t="s">
        <v>4068</v>
      </c>
      <c r="F2134" s="117" t="s">
        <v>4068</v>
      </c>
      <c r="G2134" s="93" t="s">
        <v>400</v>
      </c>
      <c r="H2134" s="94" t="str">
        <f>IF(Proc[[#This Row],[type]]="LFF (MDG-F)",MID(Proc[[#This Row],[Obj]],13,10),"")</f>
        <v/>
      </c>
      <c r="J2134" s="94" t="b">
        <f>Proc[[#This Row],[Requested]]=Proc[[#This Row],[CurrentParent]]</f>
        <v>1</v>
      </c>
      <c r="K2134" s="144" t="str">
        <f>IF(Proc[[#This Row],[Author]]="Marcela Urrego",VLOOKUP(LEFT(Proc[[#This Row],[Requested]],1),Table3[#All],2,0),VLOOKUP(Proc[[#This Row],[Author]],Table4[],2,0))</f>
        <v>HC</v>
      </c>
      <c r="L2134" s="125" t="s">
        <v>2563</v>
      </c>
      <c r="M2134" s="90">
        <v>45807.678356481483</v>
      </c>
      <c r="N2134" s="91">
        <v>45810</v>
      </c>
      <c r="O2134" s="91">
        <v>45810</v>
      </c>
      <c r="P2134" s="90" t="str">
        <f ca="1">IF(Proc[[#This Row],[DaysAgeing]]&gt;5,"yep","on track")</f>
        <v>on track</v>
      </c>
      <c r="Q2134" s="3">
        <f ca="1">IF(Proc[[#This Row],[DateClosed]]="",ABS(NETWORKDAYS(Proc[[#This Row],[DateOpened]],TODAY()))-1,ABS(NETWORKDAYS(Proc[[#This Row],[DateOpened]],Proc[[#This Row],[DateClosed]]))-1)</f>
        <v>1</v>
      </c>
      <c r="R2134" s="90" t="s">
        <v>1013</v>
      </c>
      <c r="S2134" s="94"/>
    </row>
    <row r="2135" spans="1:19" hidden="1">
      <c r="A2135" s="93" t="s">
        <v>3747</v>
      </c>
      <c r="B2135" s="149" t="str">
        <f>IFERROR(VLOOKUP(Proc[[#This Row],[App]],Table2[],3,0),"open")</f>
        <v>ok</v>
      </c>
      <c r="C2135" s="93" t="s">
        <v>369</v>
      </c>
      <c r="D2135" t="s">
        <v>3970</v>
      </c>
      <c r="E2135" t="s">
        <v>4068</v>
      </c>
      <c r="F2135" s="117" t="s">
        <v>4068</v>
      </c>
      <c r="G2135" s="93" t="s">
        <v>400</v>
      </c>
      <c r="H2135" s="94" t="str">
        <f>IF(Proc[[#This Row],[type]]="LFF (MDG-F)",MID(Proc[[#This Row],[Obj]],13,10),"")</f>
        <v/>
      </c>
      <c r="J2135" s="94" t="b">
        <f>Proc[[#This Row],[Requested]]=Proc[[#This Row],[CurrentParent]]</f>
        <v>1</v>
      </c>
      <c r="K2135" s="144" t="str">
        <f>IF(Proc[[#This Row],[Author]]="Marcela Urrego",VLOOKUP(LEFT(Proc[[#This Row],[Requested]],1),Table3[#All],2,0),VLOOKUP(Proc[[#This Row],[Author]],Table4[],2,0))</f>
        <v>HC</v>
      </c>
      <c r="L2135" s="125" t="s">
        <v>2563</v>
      </c>
      <c r="M2135" s="90">
        <v>45807.678356481483</v>
      </c>
      <c r="N2135" s="91">
        <v>45810</v>
      </c>
      <c r="O2135" s="91">
        <v>45810</v>
      </c>
      <c r="P2135" s="90" t="str">
        <f ca="1">IF(Proc[[#This Row],[DaysAgeing]]&gt;5,"yep","on track")</f>
        <v>on track</v>
      </c>
      <c r="Q2135" s="3">
        <f ca="1">IF(Proc[[#This Row],[DateClosed]]="",ABS(NETWORKDAYS(Proc[[#This Row],[DateOpened]],TODAY()))-1,ABS(NETWORKDAYS(Proc[[#This Row],[DateOpened]],Proc[[#This Row],[DateClosed]]))-1)</f>
        <v>1</v>
      </c>
      <c r="R2135" s="90" t="s">
        <v>1013</v>
      </c>
      <c r="S2135" s="94"/>
    </row>
    <row r="2136" spans="1:19" hidden="1">
      <c r="A2136" s="93" t="s">
        <v>3747</v>
      </c>
      <c r="B2136" s="149" t="str">
        <f>IFERROR(VLOOKUP(Proc[[#This Row],[App]],Table2[],3,0),"open")</f>
        <v>ok</v>
      </c>
      <c r="C2136" s="93" t="s">
        <v>369</v>
      </c>
      <c r="D2136" t="s">
        <v>3971</v>
      </c>
      <c r="E2136" t="s">
        <v>4068</v>
      </c>
      <c r="F2136" s="117" t="s">
        <v>4068</v>
      </c>
      <c r="G2136" s="93" t="s">
        <v>400</v>
      </c>
      <c r="H2136" s="94" t="str">
        <f>IF(Proc[[#This Row],[type]]="LFF (MDG-F)",MID(Proc[[#This Row],[Obj]],13,10),"")</f>
        <v/>
      </c>
      <c r="J2136" s="94" t="b">
        <f>Proc[[#This Row],[Requested]]=Proc[[#This Row],[CurrentParent]]</f>
        <v>1</v>
      </c>
      <c r="K2136" s="144" t="str">
        <f>IF(Proc[[#This Row],[Author]]="Marcela Urrego",VLOOKUP(LEFT(Proc[[#This Row],[Requested]],1),Table3[#All],2,0),VLOOKUP(Proc[[#This Row],[Author]],Table4[],2,0))</f>
        <v>HC</v>
      </c>
      <c r="L2136" s="125" t="s">
        <v>2563</v>
      </c>
      <c r="M2136" s="90">
        <v>45807.678356481483</v>
      </c>
      <c r="N2136" s="91">
        <v>45810</v>
      </c>
      <c r="O2136" s="91">
        <v>45810</v>
      </c>
      <c r="P2136" s="90" t="str">
        <f ca="1">IF(Proc[[#This Row],[DaysAgeing]]&gt;5,"yep","on track")</f>
        <v>on track</v>
      </c>
      <c r="Q2136" s="3">
        <f ca="1">IF(Proc[[#This Row],[DateClosed]]="",ABS(NETWORKDAYS(Proc[[#This Row],[DateOpened]],TODAY()))-1,ABS(NETWORKDAYS(Proc[[#This Row],[DateOpened]],Proc[[#This Row],[DateClosed]]))-1)</f>
        <v>1</v>
      </c>
      <c r="R2136" s="90" t="s">
        <v>1013</v>
      </c>
      <c r="S2136" s="94"/>
    </row>
    <row r="2137" spans="1:19" hidden="1">
      <c r="A2137" s="93" t="s">
        <v>3747</v>
      </c>
      <c r="B2137" s="149" t="str">
        <f>IFERROR(VLOOKUP(Proc[[#This Row],[App]],Table2[],3,0),"open")</f>
        <v>ok</v>
      </c>
      <c r="C2137" s="93" t="s">
        <v>369</v>
      </c>
      <c r="D2137" t="s">
        <v>3972</v>
      </c>
      <c r="E2137" t="s">
        <v>4068</v>
      </c>
      <c r="F2137" s="117" t="s">
        <v>4068</v>
      </c>
      <c r="G2137" s="93" t="s">
        <v>400</v>
      </c>
      <c r="H2137" s="94" t="str">
        <f>IF(Proc[[#This Row],[type]]="LFF (MDG-F)",MID(Proc[[#This Row],[Obj]],13,10),"")</f>
        <v/>
      </c>
      <c r="J2137" s="94" t="b">
        <f>Proc[[#This Row],[Requested]]=Proc[[#This Row],[CurrentParent]]</f>
        <v>1</v>
      </c>
      <c r="K2137" s="144" t="str">
        <f>IF(Proc[[#This Row],[Author]]="Marcela Urrego",VLOOKUP(LEFT(Proc[[#This Row],[Requested]],1),Table3[#All],2,0),VLOOKUP(Proc[[#This Row],[Author]],Table4[],2,0))</f>
        <v>HC</v>
      </c>
      <c r="L2137" s="125" t="s">
        <v>2563</v>
      </c>
      <c r="M2137" s="90">
        <v>45807.678356481483</v>
      </c>
      <c r="N2137" s="91">
        <v>45810</v>
      </c>
      <c r="O2137" s="91">
        <v>45810</v>
      </c>
      <c r="P2137" s="90" t="str">
        <f ca="1">IF(Proc[[#This Row],[DaysAgeing]]&gt;5,"yep","on track")</f>
        <v>on track</v>
      </c>
      <c r="Q2137" s="3">
        <f ca="1">IF(Proc[[#This Row],[DateClosed]]="",ABS(NETWORKDAYS(Proc[[#This Row],[DateOpened]],TODAY()))-1,ABS(NETWORKDAYS(Proc[[#This Row],[DateOpened]],Proc[[#This Row],[DateClosed]]))-1)</f>
        <v>1</v>
      </c>
      <c r="R2137" s="90" t="s">
        <v>1013</v>
      </c>
      <c r="S2137" s="94"/>
    </row>
    <row r="2138" spans="1:19" hidden="1">
      <c r="A2138" s="93" t="s">
        <v>3747</v>
      </c>
      <c r="B2138" s="149" t="str">
        <f>IFERROR(VLOOKUP(Proc[[#This Row],[App]],Table2[],3,0),"open")</f>
        <v>ok</v>
      </c>
      <c r="C2138" s="93" t="s">
        <v>369</v>
      </c>
      <c r="D2138" t="s">
        <v>3973</v>
      </c>
      <c r="E2138" t="s">
        <v>4068</v>
      </c>
      <c r="F2138" s="117" t="s">
        <v>4068</v>
      </c>
      <c r="G2138" s="93" t="s">
        <v>400</v>
      </c>
      <c r="H2138" s="94" t="str">
        <f>IF(Proc[[#This Row],[type]]="LFF (MDG-F)",MID(Proc[[#This Row],[Obj]],13,10),"")</f>
        <v/>
      </c>
      <c r="J2138" s="94" t="b">
        <f>Proc[[#This Row],[Requested]]=Proc[[#This Row],[CurrentParent]]</f>
        <v>1</v>
      </c>
      <c r="K2138" s="144" t="str">
        <f>IF(Proc[[#This Row],[Author]]="Marcela Urrego",VLOOKUP(LEFT(Proc[[#This Row],[Requested]],1),Table3[#All],2,0),VLOOKUP(Proc[[#This Row],[Author]],Table4[],2,0))</f>
        <v>HC</v>
      </c>
      <c r="L2138" s="125" t="s">
        <v>2563</v>
      </c>
      <c r="M2138" s="90">
        <v>45807.678356481483</v>
      </c>
      <c r="N2138" s="91">
        <v>45810</v>
      </c>
      <c r="O2138" s="91">
        <v>45810</v>
      </c>
      <c r="P2138" s="90" t="str">
        <f ca="1">IF(Proc[[#This Row],[DaysAgeing]]&gt;5,"yep","on track")</f>
        <v>on track</v>
      </c>
      <c r="Q2138" s="3">
        <f ca="1">IF(Proc[[#This Row],[DateClosed]]="",ABS(NETWORKDAYS(Proc[[#This Row],[DateOpened]],TODAY()))-1,ABS(NETWORKDAYS(Proc[[#This Row],[DateOpened]],Proc[[#This Row],[DateClosed]]))-1)</f>
        <v>1</v>
      </c>
      <c r="R2138" s="90" t="s">
        <v>1013</v>
      </c>
      <c r="S2138" s="94"/>
    </row>
    <row r="2139" spans="1:19" hidden="1">
      <c r="A2139" s="93" t="s">
        <v>3747</v>
      </c>
      <c r="B2139" s="149" t="str">
        <f>IFERROR(VLOOKUP(Proc[[#This Row],[App]],Table2[],3,0),"open")</f>
        <v>ok</v>
      </c>
      <c r="C2139" s="93" t="s">
        <v>369</v>
      </c>
      <c r="D2139" t="s">
        <v>3974</v>
      </c>
      <c r="E2139" t="s">
        <v>4068</v>
      </c>
      <c r="F2139" s="117" t="s">
        <v>4068</v>
      </c>
      <c r="G2139" s="93" t="s">
        <v>400</v>
      </c>
      <c r="H2139" s="94" t="str">
        <f>IF(Proc[[#This Row],[type]]="LFF (MDG-F)",MID(Proc[[#This Row],[Obj]],13,10),"")</f>
        <v/>
      </c>
      <c r="J2139" s="94" t="b">
        <f>Proc[[#This Row],[Requested]]=Proc[[#This Row],[CurrentParent]]</f>
        <v>1</v>
      </c>
      <c r="K2139" s="144" t="str">
        <f>IF(Proc[[#This Row],[Author]]="Marcela Urrego",VLOOKUP(LEFT(Proc[[#This Row],[Requested]],1),Table3[#All],2,0),VLOOKUP(Proc[[#This Row],[Author]],Table4[],2,0))</f>
        <v>HC</v>
      </c>
      <c r="L2139" s="125" t="s">
        <v>2563</v>
      </c>
      <c r="M2139" s="90">
        <v>45807.678356481483</v>
      </c>
      <c r="N2139" s="91">
        <v>45810</v>
      </c>
      <c r="O2139" s="91">
        <v>45810</v>
      </c>
      <c r="P2139" s="90" t="str">
        <f ca="1">IF(Proc[[#This Row],[DaysAgeing]]&gt;5,"yep","on track")</f>
        <v>on track</v>
      </c>
      <c r="Q2139" s="3">
        <f ca="1">IF(Proc[[#This Row],[DateClosed]]="",ABS(NETWORKDAYS(Proc[[#This Row],[DateOpened]],TODAY()))-1,ABS(NETWORKDAYS(Proc[[#This Row],[DateOpened]],Proc[[#This Row],[DateClosed]]))-1)</f>
        <v>1</v>
      </c>
      <c r="R2139" s="90" t="s">
        <v>1013</v>
      </c>
      <c r="S2139" s="94"/>
    </row>
    <row r="2140" spans="1:19" hidden="1">
      <c r="A2140" s="93" t="s">
        <v>3747</v>
      </c>
      <c r="B2140" s="149" t="str">
        <f>IFERROR(VLOOKUP(Proc[[#This Row],[App]],Table2[],3,0),"open")</f>
        <v>ok</v>
      </c>
      <c r="C2140" s="93" t="s">
        <v>369</v>
      </c>
      <c r="D2140" t="s">
        <v>3975</v>
      </c>
      <c r="E2140" t="s">
        <v>4068</v>
      </c>
      <c r="F2140" s="117" t="s">
        <v>4068</v>
      </c>
      <c r="G2140" s="93" t="s">
        <v>400</v>
      </c>
      <c r="H2140" s="94" t="str">
        <f>IF(Proc[[#This Row],[type]]="LFF (MDG-F)",MID(Proc[[#This Row],[Obj]],13,10),"")</f>
        <v/>
      </c>
      <c r="J2140" s="94" t="b">
        <f>Proc[[#This Row],[Requested]]=Proc[[#This Row],[CurrentParent]]</f>
        <v>1</v>
      </c>
      <c r="K2140" s="144" t="str">
        <f>IF(Proc[[#This Row],[Author]]="Marcela Urrego",VLOOKUP(LEFT(Proc[[#This Row],[Requested]],1),Table3[#All],2,0),VLOOKUP(Proc[[#This Row],[Author]],Table4[],2,0))</f>
        <v>HC</v>
      </c>
      <c r="L2140" s="125" t="s">
        <v>2563</v>
      </c>
      <c r="M2140" s="90">
        <v>45807.678356481483</v>
      </c>
      <c r="N2140" s="91">
        <v>45810</v>
      </c>
      <c r="O2140" s="91">
        <v>45810</v>
      </c>
      <c r="P2140" s="90" t="str">
        <f ca="1">IF(Proc[[#This Row],[DaysAgeing]]&gt;5,"yep","on track")</f>
        <v>on track</v>
      </c>
      <c r="Q2140" s="3">
        <f ca="1">IF(Proc[[#This Row],[DateClosed]]="",ABS(NETWORKDAYS(Proc[[#This Row],[DateOpened]],TODAY()))-1,ABS(NETWORKDAYS(Proc[[#This Row],[DateOpened]],Proc[[#This Row],[DateClosed]]))-1)</f>
        <v>1</v>
      </c>
      <c r="R2140" s="90" t="s">
        <v>1013</v>
      </c>
      <c r="S2140" s="94"/>
    </row>
    <row r="2141" spans="1:19" hidden="1">
      <c r="A2141" s="93" t="s">
        <v>3747</v>
      </c>
      <c r="B2141" s="149" t="str">
        <f>IFERROR(VLOOKUP(Proc[[#This Row],[App]],Table2[],3,0),"open")</f>
        <v>ok</v>
      </c>
      <c r="C2141" s="93" t="s">
        <v>369</v>
      </c>
      <c r="D2141" t="s">
        <v>3976</v>
      </c>
      <c r="E2141" t="s">
        <v>4068</v>
      </c>
      <c r="F2141" s="117" t="s">
        <v>4068</v>
      </c>
      <c r="G2141" s="93" t="s">
        <v>400</v>
      </c>
      <c r="H2141" s="94" t="str">
        <f>IF(Proc[[#This Row],[type]]="LFF (MDG-F)",MID(Proc[[#This Row],[Obj]],13,10),"")</f>
        <v/>
      </c>
      <c r="J2141" s="94" t="b">
        <f>Proc[[#This Row],[Requested]]=Proc[[#This Row],[CurrentParent]]</f>
        <v>1</v>
      </c>
      <c r="K2141" s="144" t="str">
        <f>IF(Proc[[#This Row],[Author]]="Marcela Urrego",VLOOKUP(LEFT(Proc[[#This Row],[Requested]],1),Table3[#All],2,0),VLOOKUP(Proc[[#This Row],[Author]],Table4[],2,0))</f>
        <v>HC</v>
      </c>
      <c r="L2141" s="125" t="s">
        <v>2563</v>
      </c>
      <c r="M2141" s="90">
        <v>45807.678356481483</v>
      </c>
      <c r="N2141" s="91">
        <v>45810</v>
      </c>
      <c r="O2141" s="91">
        <v>45810</v>
      </c>
      <c r="P2141" s="90" t="str">
        <f ca="1">IF(Proc[[#This Row],[DaysAgeing]]&gt;5,"yep","on track")</f>
        <v>on track</v>
      </c>
      <c r="Q2141" s="3">
        <f ca="1">IF(Proc[[#This Row],[DateClosed]]="",ABS(NETWORKDAYS(Proc[[#This Row],[DateOpened]],TODAY()))-1,ABS(NETWORKDAYS(Proc[[#This Row],[DateOpened]],Proc[[#This Row],[DateClosed]]))-1)</f>
        <v>1</v>
      </c>
      <c r="R2141" s="90" t="s">
        <v>1013</v>
      </c>
      <c r="S2141" s="94"/>
    </row>
    <row r="2142" spans="1:19" hidden="1">
      <c r="A2142" s="93" t="s">
        <v>3747</v>
      </c>
      <c r="B2142" s="149" t="str">
        <f>IFERROR(VLOOKUP(Proc[[#This Row],[App]],Table2[],3,0),"open")</f>
        <v>ok</v>
      </c>
      <c r="C2142" s="93" t="s">
        <v>369</v>
      </c>
      <c r="D2142" t="s">
        <v>3977</v>
      </c>
      <c r="E2142" t="s">
        <v>4068</v>
      </c>
      <c r="F2142" s="117" t="s">
        <v>4068</v>
      </c>
      <c r="G2142" s="93" t="s">
        <v>400</v>
      </c>
      <c r="H2142" s="94" t="str">
        <f>IF(Proc[[#This Row],[type]]="LFF (MDG-F)",MID(Proc[[#This Row],[Obj]],13,10),"")</f>
        <v/>
      </c>
      <c r="J2142" s="94" t="b">
        <f>Proc[[#This Row],[Requested]]=Proc[[#This Row],[CurrentParent]]</f>
        <v>1</v>
      </c>
      <c r="K2142" s="144" t="str">
        <f>IF(Proc[[#This Row],[Author]]="Marcela Urrego",VLOOKUP(LEFT(Proc[[#This Row],[Requested]],1),Table3[#All],2,0),VLOOKUP(Proc[[#This Row],[Author]],Table4[],2,0))</f>
        <v>HC</v>
      </c>
      <c r="L2142" s="125" t="s">
        <v>2563</v>
      </c>
      <c r="M2142" s="90">
        <v>45807.678356481483</v>
      </c>
      <c r="N2142" s="91">
        <v>45810</v>
      </c>
      <c r="O2142" s="91">
        <v>45810</v>
      </c>
      <c r="P2142" s="90" t="str">
        <f ca="1">IF(Proc[[#This Row],[DaysAgeing]]&gt;5,"yep","on track")</f>
        <v>on track</v>
      </c>
      <c r="Q2142" s="3">
        <f ca="1">IF(Proc[[#This Row],[DateClosed]]="",ABS(NETWORKDAYS(Proc[[#This Row],[DateOpened]],TODAY()))-1,ABS(NETWORKDAYS(Proc[[#This Row],[DateOpened]],Proc[[#This Row],[DateClosed]]))-1)</f>
        <v>1</v>
      </c>
      <c r="R2142" s="90" t="s">
        <v>1013</v>
      </c>
      <c r="S2142" s="94"/>
    </row>
    <row r="2143" spans="1:19" hidden="1">
      <c r="A2143" s="93" t="s">
        <v>3747</v>
      </c>
      <c r="B2143" s="149" t="str">
        <f>IFERROR(VLOOKUP(Proc[[#This Row],[App]],Table2[],3,0),"open")</f>
        <v>ok</v>
      </c>
      <c r="C2143" s="93" t="s">
        <v>369</v>
      </c>
      <c r="D2143" t="s">
        <v>3978</v>
      </c>
      <c r="E2143" t="s">
        <v>4068</v>
      </c>
      <c r="F2143" s="117" t="s">
        <v>4068</v>
      </c>
      <c r="G2143" s="93" t="s">
        <v>400</v>
      </c>
      <c r="H2143" s="94" t="str">
        <f>IF(Proc[[#This Row],[type]]="LFF (MDG-F)",MID(Proc[[#This Row],[Obj]],13,10),"")</f>
        <v/>
      </c>
      <c r="J2143" s="94" t="b">
        <f>Proc[[#This Row],[Requested]]=Proc[[#This Row],[CurrentParent]]</f>
        <v>1</v>
      </c>
      <c r="K2143" s="144" t="str">
        <f>IF(Proc[[#This Row],[Author]]="Marcela Urrego",VLOOKUP(LEFT(Proc[[#This Row],[Requested]],1),Table3[#All],2,0),VLOOKUP(Proc[[#This Row],[Author]],Table4[],2,0))</f>
        <v>HC</v>
      </c>
      <c r="L2143" s="125" t="s">
        <v>2563</v>
      </c>
      <c r="M2143" s="90">
        <v>45807.678356481483</v>
      </c>
      <c r="N2143" s="91">
        <v>45810</v>
      </c>
      <c r="O2143" s="91">
        <v>45810</v>
      </c>
      <c r="P2143" s="90" t="str">
        <f ca="1">IF(Proc[[#This Row],[DaysAgeing]]&gt;5,"yep","on track")</f>
        <v>on track</v>
      </c>
      <c r="Q2143" s="3">
        <f ca="1">IF(Proc[[#This Row],[DateClosed]]="",ABS(NETWORKDAYS(Proc[[#This Row],[DateOpened]],TODAY()))-1,ABS(NETWORKDAYS(Proc[[#This Row],[DateOpened]],Proc[[#This Row],[DateClosed]]))-1)</f>
        <v>1</v>
      </c>
      <c r="R2143" s="90" t="s">
        <v>1013</v>
      </c>
      <c r="S2143" s="94"/>
    </row>
    <row r="2144" spans="1:19" hidden="1">
      <c r="A2144" s="93" t="s">
        <v>3747</v>
      </c>
      <c r="B2144" s="149" t="str">
        <f>IFERROR(VLOOKUP(Proc[[#This Row],[App]],Table2[],3,0),"open")</f>
        <v>ok</v>
      </c>
      <c r="C2144" s="93" t="s">
        <v>369</v>
      </c>
      <c r="D2144" t="s">
        <v>3979</v>
      </c>
      <c r="E2144" t="s">
        <v>4068</v>
      </c>
      <c r="F2144" s="117" t="s">
        <v>4068</v>
      </c>
      <c r="G2144" s="93" t="s">
        <v>400</v>
      </c>
      <c r="H2144" s="94" t="str">
        <f>IF(Proc[[#This Row],[type]]="LFF (MDG-F)",MID(Proc[[#This Row],[Obj]],13,10),"")</f>
        <v/>
      </c>
      <c r="J2144" s="94" t="b">
        <f>Proc[[#This Row],[Requested]]=Proc[[#This Row],[CurrentParent]]</f>
        <v>1</v>
      </c>
      <c r="K2144" s="144" t="str">
        <f>IF(Proc[[#This Row],[Author]]="Marcela Urrego",VLOOKUP(LEFT(Proc[[#This Row],[Requested]],1),Table3[#All],2,0),VLOOKUP(Proc[[#This Row],[Author]],Table4[],2,0))</f>
        <v>HC</v>
      </c>
      <c r="L2144" s="125" t="s">
        <v>2563</v>
      </c>
      <c r="M2144" s="90">
        <v>45807.678356481483</v>
      </c>
      <c r="N2144" s="91">
        <v>45810</v>
      </c>
      <c r="O2144" s="91">
        <v>45810</v>
      </c>
      <c r="P2144" s="90" t="str">
        <f ca="1">IF(Proc[[#This Row],[DaysAgeing]]&gt;5,"yep","on track")</f>
        <v>on track</v>
      </c>
      <c r="Q2144" s="3">
        <f ca="1">IF(Proc[[#This Row],[DateClosed]]="",ABS(NETWORKDAYS(Proc[[#This Row],[DateOpened]],TODAY()))-1,ABS(NETWORKDAYS(Proc[[#This Row],[DateOpened]],Proc[[#This Row],[DateClosed]]))-1)</f>
        <v>1</v>
      </c>
      <c r="R2144" s="90" t="s">
        <v>1013</v>
      </c>
      <c r="S2144" s="94"/>
    </row>
    <row r="2145" spans="1:19" hidden="1">
      <c r="A2145" s="93" t="s">
        <v>3747</v>
      </c>
      <c r="B2145" s="149" t="str">
        <f>IFERROR(VLOOKUP(Proc[[#This Row],[App]],Table2[],3,0),"open")</f>
        <v>ok</v>
      </c>
      <c r="C2145" s="93" t="s">
        <v>369</v>
      </c>
      <c r="D2145" t="s">
        <v>3980</v>
      </c>
      <c r="E2145" t="s">
        <v>4068</v>
      </c>
      <c r="F2145" s="117" t="s">
        <v>4068</v>
      </c>
      <c r="G2145" s="93" t="s">
        <v>400</v>
      </c>
      <c r="H2145" s="94" t="str">
        <f>IF(Proc[[#This Row],[type]]="LFF (MDG-F)",MID(Proc[[#This Row],[Obj]],13,10),"")</f>
        <v/>
      </c>
      <c r="J2145" s="94" t="b">
        <f>Proc[[#This Row],[Requested]]=Proc[[#This Row],[CurrentParent]]</f>
        <v>1</v>
      </c>
      <c r="K2145" s="144" t="str">
        <f>IF(Proc[[#This Row],[Author]]="Marcela Urrego",VLOOKUP(LEFT(Proc[[#This Row],[Requested]],1),Table3[#All],2,0),VLOOKUP(Proc[[#This Row],[Author]],Table4[],2,0))</f>
        <v>HC</v>
      </c>
      <c r="L2145" s="125" t="s">
        <v>2563</v>
      </c>
      <c r="M2145" s="90">
        <v>45807.678356481483</v>
      </c>
      <c r="N2145" s="91">
        <v>45810</v>
      </c>
      <c r="O2145" s="91">
        <v>45810</v>
      </c>
      <c r="P2145" s="90" t="str">
        <f ca="1">IF(Proc[[#This Row],[DaysAgeing]]&gt;5,"yep","on track")</f>
        <v>on track</v>
      </c>
      <c r="Q2145" s="3">
        <f ca="1">IF(Proc[[#This Row],[DateClosed]]="",ABS(NETWORKDAYS(Proc[[#This Row],[DateOpened]],TODAY()))-1,ABS(NETWORKDAYS(Proc[[#This Row],[DateOpened]],Proc[[#This Row],[DateClosed]]))-1)</f>
        <v>1</v>
      </c>
      <c r="R2145" s="90" t="s">
        <v>1013</v>
      </c>
      <c r="S2145" s="94"/>
    </row>
    <row r="2146" spans="1:19" hidden="1">
      <c r="A2146" s="93" t="s">
        <v>3747</v>
      </c>
      <c r="B2146" s="149" t="str">
        <f>IFERROR(VLOOKUP(Proc[[#This Row],[App]],Table2[],3,0),"open")</f>
        <v>ok</v>
      </c>
      <c r="C2146" s="93" t="s">
        <v>369</v>
      </c>
      <c r="D2146" t="s">
        <v>3981</v>
      </c>
      <c r="E2146" t="s">
        <v>4068</v>
      </c>
      <c r="F2146" s="117" t="s">
        <v>4068</v>
      </c>
      <c r="G2146" s="93" t="s">
        <v>400</v>
      </c>
      <c r="H2146" s="94" t="str">
        <f>IF(Proc[[#This Row],[type]]="LFF (MDG-F)",MID(Proc[[#This Row],[Obj]],13,10),"")</f>
        <v/>
      </c>
      <c r="J2146" s="94" t="b">
        <f>Proc[[#This Row],[Requested]]=Proc[[#This Row],[CurrentParent]]</f>
        <v>1</v>
      </c>
      <c r="K2146" s="144" t="str">
        <f>IF(Proc[[#This Row],[Author]]="Marcela Urrego",VLOOKUP(LEFT(Proc[[#This Row],[Requested]],1),Table3[#All],2,0),VLOOKUP(Proc[[#This Row],[Author]],Table4[],2,0))</f>
        <v>HC</v>
      </c>
      <c r="L2146" s="125" t="s">
        <v>2563</v>
      </c>
      <c r="M2146" s="90">
        <v>45807.678356481483</v>
      </c>
      <c r="N2146" s="91">
        <v>45810</v>
      </c>
      <c r="O2146" s="91">
        <v>45810</v>
      </c>
      <c r="P2146" s="90" t="str">
        <f ca="1">IF(Proc[[#This Row],[DaysAgeing]]&gt;5,"yep","on track")</f>
        <v>on track</v>
      </c>
      <c r="Q2146" s="3">
        <f ca="1">IF(Proc[[#This Row],[DateClosed]]="",ABS(NETWORKDAYS(Proc[[#This Row],[DateOpened]],TODAY()))-1,ABS(NETWORKDAYS(Proc[[#This Row],[DateOpened]],Proc[[#This Row],[DateClosed]]))-1)</f>
        <v>1</v>
      </c>
      <c r="R2146" s="90" t="s">
        <v>1013</v>
      </c>
      <c r="S2146" s="94"/>
    </row>
    <row r="2147" spans="1:19" hidden="1">
      <c r="A2147" s="93" t="s">
        <v>3747</v>
      </c>
      <c r="B2147" s="149" t="str">
        <f>IFERROR(VLOOKUP(Proc[[#This Row],[App]],Table2[],3,0),"open")</f>
        <v>ok</v>
      </c>
      <c r="C2147" s="93" t="s">
        <v>369</v>
      </c>
      <c r="D2147" t="s">
        <v>3982</v>
      </c>
      <c r="E2147" t="s">
        <v>4068</v>
      </c>
      <c r="F2147" s="117" t="s">
        <v>4068</v>
      </c>
      <c r="G2147" s="93" t="s">
        <v>400</v>
      </c>
      <c r="H2147" s="94" t="str">
        <f>IF(Proc[[#This Row],[type]]="LFF (MDG-F)",MID(Proc[[#This Row],[Obj]],13,10),"")</f>
        <v/>
      </c>
      <c r="J2147" s="94" t="b">
        <f>Proc[[#This Row],[Requested]]=Proc[[#This Row],[CurrentParent]]</f>
        <v>1</v>
      </c>
      <c r="K2147" s="144" t="str">
        <f>IF(Proc[[#This Row],[Author]]="Marcela Urrego",VLOOKUP(LEFT(Proc[[#This Row],[Requested]],1),Table3[#All],2,0),VLOOKUP(Proc[[#This Row],[Author]],Table4[],2,0))</f>
        <v>HC</v>
      </c>
      <c r="L2147" s="125" t="s">
        <v>2563</v>
      </c>
      <c r="M2147" s="90">
        <v>45807.678356481483</v>
      </c>
      <c r="N2147" s="91">
        <v>45810</v>
      </c>
      <c r="O2147" s="91">
        <v>45810</v>
      </c>
      <c r="P2147" s="90" t="str">
        <f ca="1">IF(Proc[[#This Row],[DaysAgeing]]&gt;5,"yep","on track")</f>
        <v>on track</v>
      </c>
      <c r="Q2147" s="3">
        <f ca="1">IF(Proc[[#This Row],[DateClosed]]="",ABS(NETWORKDAYS(Proc[[#This Row],[DateOpened]],TODAY()))-1,ABS(NETWORKDAYS(Proc[[#This Row],[DateOpened]],Proc[[#This Row],[DateClosed]]))-1)</f>
        <v>1</v>
      </c>
      <c r="R2147" s="90" t="s">
        <v>1013</v>
      </c>
      <c r="S2147" s="94"/>
    </row>
    <row r="2148" spans="1:19" hidden="1">
      <c r="A2148" s="93" t="s">
        <v>3747</v>
      </c>
      <c r="B2148" s="149" t="str">
        <f>IFERROR(VLOOKUP(Proc[[#This Row],[App]],Table2[],3,0),"open")</f>
        <v>ok</v>
      </c>
      <c r="C2148" s="93" t="s">
        <v>369</v>
      </c>
      <c r="D2148" t="s">
        <v>3983</v>
      </c>
      <c r="E2148" t="s">
        <v>4068</v>
      </c>
      <c r="F2148" s="117" t="s">
        <v>4068</v>
      </c>
      <c r="G2148" s="93" t="s">
        <v>400</v>
      </c>
      <c r="H2148" s="94" t="str">
        <f>IF(Proc[[#This Row],[type]]="LFF (MDG-F)",MID(Proc[[#This Row],[Obj]],13,10),"")</f>
        <v/>
      </c>
      <c r="J2148" s="94" t="b">
        <f>Proc[[#This Row],[Requested]]=Proc[[#This Row],[CurrentParent]]</f>
        <v>1</v>
      </c>
      <c r="K2148" s="144" t="str">
        <f>IF(Proc[[#This Row],[Author]]="Marcela Urrego",VLOOKUP(LEFT(Proc[[#This Row],[Requested]],1),Table3[#All],2,0),VLOOKUP(Proc[[#This Row],[Author]],Table4[],2,0))</f>
        <v>HC</v>
      </c>
      <c r="L2148" s="125" t="s">
        <v>2563</v>
      </c>
      <c r="M2148" s="90">
        <v>45807.678356481483</v>
      </c>
      <c r="N2148" s="91">
        <v>45810</v>
      </c>
      <c r="O2148" s="91">
        <v>45810</v>
      </c>
      <c r="P2148" s="90" t="str">
        <f ca="1">IF(Proc[[#This Row],[DaysAgeing]]&gt;5,"yep","on track")</f>
        <v>on track</v>
      </c>
      <c r="Q2148" s="3">
        <f ca="1">IF(Proc[[#This Row],[DateClosed]]="",ABS(NETWORKDAYS(Proc[[#This Row],[DateOpened]],TODAY()))-1,ABS(NETWORKDAYS(Proc[[#This Row],[DateOpened]],Proc[[#This Row],[DateClosed]]))-1)</f>
        <v>1</v>
      </c>
      <c r="R2148" s="90" t="s">
        <v>1013</v>
      </c>
      <c r="S2148" s="94"/>
    </row>
    <row r="2149" spans="1:19" hidden="1">
      <c r="A2149" s="93" t="s">
        <v>3747</v>
      </c>
      <c r="B2149" s="149" t="str">
        <f>IFERROR(VLOOKUP(Proc[[#This Row],[App]],Table2[],3,0),"open")</f>
        <v>ok</v>
      </c>
      <c r="C2149" s="93" t="s">
        <v>369</v>
      </c>
      <c r="D2149" t="s">
        <v>3984</v>
      </c>
      <c r="E2149" t="s">
        <v>4068</v>
      </c>
      <c r="F2149" s="117" t="s">
        <v>4068</v>
      </c>
      <c r="G2149" s="93" t="s">
        <v>400</v>
      </c>
      <c r="H2149" s="94" t="str">
        <f>IF(Proc[[#This Row],[type]]="LFF (MDG-F)",MID(Proc[[#This Row],[Obj]],13,10),"")</f>
        <v/>
      </c>
      <c r="J2149" s="94" t="b">
        <f>Proc[[#This Row],[Requested]]=Proc[[#This Row],[CurrentParent]]</f>
        <v>1</v>
      </c>
      <c r="K2149" s="144" t="str">
        <f>IF(Proc[[#This Row],[Author]]="Marcela Urrego",VLOOKUP(LEFT(Proc[[#This Row],[Requested]],1),Table3[#All],2,0),VLOOKUP(Proc[[#This Row],[Author]],Table4[],2,0))</f>
        <v>HC</v>
      </c>
      <c r="L2149" s="125" t="s">
        <v>2563</v>
      </c>
      <c r="M2149" s="90">
        <v>45807.678356481483</v>
      </c>
      <c r="N2149" s="91">
        <v>45810</v>
      </c>
      <c r="O2149" s="91">
        <v>45810</v>
      </c>
      <c r="P2149" s="90" t="str">
        <f ca="1">IF(Proc[[#This Row],[DaysAgeing]]&gt;5,"yep","on track")</f>
        <v>on track</v>
      </c>
      <c r="Q2149" s="3">
        <f ca="1">IF(Proc[[#This Row],[DateClosed]]="",ABS(NETWORKDAYS(Proc[[#This Row],[DateOpened]],TODAY()))-1,ABS(NETWORKDAYS(Proc[[#This Row],[DateOpened]],Proc[[#This Row],[DateClosed]]))-1)</f>
        <v>1</v>
      </c>
      <c r="R2149" s="90" t="s">
        <v>1013</v>
      </c>
      <c r="S2149" s="94"/>
    </row>
    <row r="2150" spans="1:19" hidden="1">
      <c r="A2150" s="93" t="s">
        <v>3747</v>
      </c>
      <c r="B2150" s="149" t="str">
        <f>IFERROR(VLOOKUP(Proc[[#This Row],[App]],Table2[],3,0),"open")</f>
        <v>ok</v>
      </c>
      <c r="C2150" s="93" t="s">
        <v>369</v>
      </c>
      <c r="D2150" t="s">
        <v>3985</v>
      </c>
      <c r="E2150" t="s">
        <v>4068</v>
      </c>
      <c r="F2150" s="117" t="s">
        <v>4068</v>
      </c>
      <c r="G2150" s="93" t="s">
        <v>400</v>
      </c>
      <c r="H2150" s="94" t="str">
        <f>IF(Proc[[#This Row],[type]]="LFF (MDG-F)",MID(Proc[[#This Row],[Obj]],13,10),"")</f>
        <v/>
      </c>
      <c r="J2150" s="94" t="b">
        <f>Proc[[#This Row],[Requested]]=Proc[[#This Row],[CurrentParent]]</f>
        <v>1</v>
      </c>
      <c r="K2150" s="144" t="str">
        <f>IF(Proc[[#This Row],[Author]]="Marcela Urrego",VLOOKUP(LEFT(Proc[[#This Row],[Requested]],1),Table3[#All],2,0),VLOOKUP(Proc[[#This Row],[Author]],Table4[],2,0))</f>
        <v>HC</v>
      </c>
      <c r="L2150" s="125" t="s">
        <v>2563</v>
      </c>
      <c r="M2150" s="90">
        <v>45807.678356481483</v>
      </c>
      <c r="N2150" s="91">
        <v>45810</v>
      </c>
      <c r="O2150" s="91">
        <v>45810</v>
      </c>
      <c r="P2150" s="90" t="str">
        <f ca="1">IF(Proc[[#This Row],[DaysAgeing]]&gt;5,"yep","on track")</f>
        <v>on track</v>
      </c>
      <c r="Q2150" s="3">
        <f ca="1">IF(Proc[[#This Row],[DateClosed]]="",ABS(NETWORKDAYS(Proc[[#This Row],[DateOpened]],TODAY()))-1,ABS(NETWORKDAYS(Proc[[#This Row],[DateOpened]],Proc[[#This Row],[DateClosed]]))-1)</f>
        <v>1</v>
      </c>
      <c r="R2150" s="90" t="s">
        <v>1013</v>
      </c>
      <c r="S2150" s="94"/>
    </row>
    <row r="2151" spans="1:19" hidden="1">
      <c r="A2151" s="93" t="s">
        <v>3747</v>
      </c>
      <c r="B2151" s="149" t="str">
        <f>IFERROR(VLOOKUP(Proc[[#This Row],[App]],Table2[],3,0),"open")</f>
        <v>ok</v>
      </c>
      <c r="C2151" s="93" t="s">
        <v>369</v>
      </c>
      <c r="D2151" t="s">
        <v>3986</v>
      </c>
      <c r="E2151" t="s">
        <v>4068</v>
      </c>
      <c r="F2151" s="117" t="s">
        <v>4068</v>
      </c>
      <c r="G2151" s="93" t="s">
        <v>400</v>
      </c>
      <c r="H2151" s="94" t="str">
        <f>IF(Proc[[#This Row],[type]]="LFF (MDG-F)",MID(Proc[[#This Row],[Obj]],13,10),"")</f>
        <v/>
      </c>
      <c r="J2151" s="94" t="b">
        <f>Proc[[#This Row],[Requested]]=Proc[[#This Row],[CurrentParent]]</f>
        <v>1</v>
      </c>
      <c r="K2151" s="144" t="str">
        <f>IF(Proc[[#This Row],[Author]]="Marcela Urrego",VLOOKUP(LEFT(Proc[[#This Row],[Requested]],1),Table3[#All],2,0),VLOOKUP(Proc[[#This Row],[Author]],Table4[],2,0))</f>
        <v>HC</v>
      </c>
      <c r="L2151" s="125" t="s">
        <v>2563</v>
      </c>
      <c r="M2151" s="90">
        <v>45807.678356481483</v>
      </c>
      <c r="N2151" s="91">
        <v>45810</v>
      </c>
      <c r="O2151" s="91">
        <v>45810</v>
      </c>
      <c r="P2151" s="90" t="str">
        <f ca="1">IF(Proc[[#This Row],[DaysAgeing]]&gt;5,"yep","on track")</f>
        <v>on track</v>
      </c>
      <c r="Q2151" s="3">
        <f ca="1">IF(Proc[[#This Row],[DateClosed]]="",ABS(NETWORKDAYS(Proc[[#This Row],[DateOpened]],TODAY()))-1,ABS(NETWORKDAYS(Proc[[#This Row],[DateOpened]],Proc[[#This Row],[DateClosed]]))-1)</f>
        <v>1</v>
      </c>
      <c r="R2151" s="90" t="s">
        <v>1013</v>
      </c>
      <c r="S2151" s="94"/>
    </row>
    <row r="2152" spans="1:19" hidden="1">
      <c r="A2152" s="93" t="s">
        <v>3747</v>
      </c>
      <c r="B2152" s="149" t="str">
        <f>IFERROR(VLOOKUP(Proc[[#This Row],[App]],Table2[],3,0),"open")</f>
        <v>ok</v>
      </c>
      <c r="C2152" s="93" t="s">
        <v>369</v>
      </c>
      <c r="D2152" t="s">
        <v>3987</v>
      </c>
      <c r="E2152" t="s">
        <v>4068</v>
      </c>
      <c r="F2152" s="117" t="s">
        <v>4068</v>
      </c>
      <c r="G2152" s="93" t="s">
        <v>400</v>
      </c>
      <c r="H2152" s="94" t="str">
        <f>IF(Proc[[#This Row],[type]]="LFF (MDG-F)",MID(Proc[[#This Row],[Obj]],13,10),"")</f>
        <v/>
      </c>
      <c r="J2152" s="94" t="b">
        <f>Proc[[#This Row],[Requested]]=Proc[[#This Row],[CurrentParent]]</f>
        <v>1</v>
      </c>
      <c r="K2152" s="144" t="str">
        <f>IF(Proc[[#This Row],[Author]]="Marcela Urrego",VLOOKUP(LEFT(Proc[[#This Row],[Requested]],1),Table3[#All],2,0),VLOOKUP(Proc[[#This Row],[Author]],Table4[],2,0))</f>
        <v>HC</v>
      </c>
      <c r="L2152" s="125" t="s">
        <v>2563</v>
      </c>
      <c r="M2152" s="90">
        <v>45807.678356481483</v>
      </c>
      <c r="N2152" s="91">
        <v>45810</v>
      </c>
      <c r="O2152" s="91">
        <v>45810</v>
      </c>
      <c r="P2152" s="90" t="str">
        <f ca="1">IF(Proc[[#This Row],[DaysAgeing]]&gt;5,"yep","on track")</f>
        <v>on track</v>
      </c>
      <c r="Q2152" s="3">
        <f ca="1">IF(Proc[[#This Row],[DateClosed]]="",ABS(NETWORKDAYS(Proc[[#This Row],[DateOpened]],TODAY()))-1,ABS(NETWORKDAYS(Proc[[#This Row],[DateOpened]],Proc[[#This Row],[DateClosed]]))-1)</f>
        <v>1</v>
      </c>
      <c r="R2152" s="90" t="s">
        <v>1013</v>
      </c>
      <c r="S2152" s="94"/>
    </row>
    <row r="2153" spans="1:19" hidden="1">
      <c r="A2153" s="93" t="s">
        <v>3747</v>
      </c>
      <c r="B2153" s="149" t="str">
        <f>IFERROR(VLOOKUP(Proc[[#This Row],[App]],Table2[],3,0),"open")</f>
        <v>ok</v>
      </c>
      <c r="C2153" s="93" t="s">
        <v>369</v>
      </c>
      <c r="D2153" t="s">
        <v>3988</v>
      </c>
      <c r="E2153" t="s">
        <v>4068</v>
      </c>
      <c r="F2153" s="117" t="s">
        <v>4068</v>
      </c>
      <c r="G2153" s="93" t="s">
        <v>400</v>
      </c>
      <c r="H2153" s="94" t="str">
        <f>IF(Proc[[#This Row],[type]]="LFF (MDG-F)",MID(Proc[[#This Row],[Obj]],13,10),"")</f>
        <v/>
      </c>
      <c r="J2153" s="94" t="b">
        <f>Proc[[#This Row],[Requested]]=Proc[[#This Row],[CurrentParent]]</f>
        <v>1</v>
      </c>
      <c r="K2153" s="144" t="str">
        <f>IF(Proc[[#This Row],[Author]]="Marcela Urrego",VLOOKUP(LEFT(Proc[[#This Row],[Requested]],1),Table3[#All],2,0),VLOOKUP(Proc[[#This Row],[Author]],Table4[],2,0))</f>
        <v>HC</v>
      </c>
      <c r="L2153" s="125" t="s">
        <v>2563</v>
      </c>
      <c r="M2153" s="90">
        <v>45807.678356481483</v>
      </c>
      <c r="N2153" s="91">
        <v>45810</v>
      </c>
      <c r="O2153" s="91">
        <v>45810</v>
      </c>
      <c r="P2153" s="90" t="str">
        <f ca="1">IF(Proc[[#This Row],[DaysAgeing]]&gt;5,"yep","on track")</f>
        <v>on track</v>
      </c>
      <c r="Q2153" s="3">
        <f ca="1">IF(Proc[[#This Row],[DateClosed]]="",ABS(NETWORKDAYS(Proc[[#This Row],[DateOpened]],TODAY()))-1,ABS(NETWORKDAYS(Proc[[#This Row],[DateOpened]],Proc[[#This Row],[DateClosed]]))-1)</f>
        <v>1</v>
      </c>
      <c r="R2153" s="90" t="s">
        <v>1013</v>
      </c>
      <c r="S2153" s="94"/>
    </row>
    <row r="2154" spans="1:19" hidden="1">
      <c r="A2154" s="93" t="s">
        <v>3747</v>
      </c>
      <c r="B2154" s="149" t="str">
        <f>IFERROR(VLOOKUP(Proc[[#This Row],[App]],Table2[],3,0),"open")</f>
        <v>ok</v>
      </c>
      <c r="C2154" s="93" t="s">
        <v>369</v>
      </c>
      <c r="D2154" t="s">
        <v>3989</v>
      </c>
      <c r="E2154" t="s">
        <v>4068</v>
      </c>
      <c r="F2154" s="117" t="s">
        <v>4068</v>
      </c>
      <c r="G2154" s="93" t="s">
        <v>400</v>
      </c>
      <c r="H2154" s="94" t="str">
        <f>IF(Proc[[#This Row],[type]]="LFF (MDG-F)",MID(Proc[[#This Row],[Obj]],13,10),"")</f>
        <v/>
      </c>
      <c r="J2154" s="94" t="b">
        <f>Proc[[#This Row],[Requested]]=Proc[[#This Row],[CurrentParent]]</f>
        <v>1</v>
      </c>
      <c r="K2154" s="144" t="str">
        <f>IF(Proc[[#This Row],[Author]]="Marcela Urrego",VLOOKUP(LEFT(Proc[[#This Row],[Requested]],1),Table3[#All],2,0),VLOOKUP(Proc[[#This Row],[Author]],Table4[],2,0))</f>
        <v>HC</v>
      </c>
      <c r="L2154" s="125" t="s">
        <v>2563</v>
      </c>
      <c r="M2154" s="90">
        <v>45807.678356481483</v>
      </c>
      <c r="N2154" s="91">
        <v>45810</v>
      </c>
      <c r="O2154" s="91">
        <v>45810</v>
      </c>
      <c r="P2154" s="90" t="str">
        <f ca="1">IF(Proc[[#This Row],[DaysAgeing]]&gt;5,"yep","on track")</f>
        <v>on track</v>
      </c>
      <c r="Q2154" s="3">
        <f ca="1">IF(Proc[[#This Row],[DateClosed]]="",ABS(NETWORKDAYS(Proc[[#This Row],[DateOpened]],TODAY()))-1,ABS(NETWORKDAYS(Proc[[#This Row],[DateOpened]],Proc[[#This Row],[DateClosed]]))-1)</f>
        <v>1</v>
      </c>
      <c r="R2154" s="90" t="s">
        <v>1013</v>
      </c>
      <c r="S2154" s="94"/>
    </row>
    <row r="2155" spans="1:19" hidden="1">
      <c r="A2155" s="93" t="s">
        <v>3747</v>
      </c>
      <c r="B2155" s="149" t="str">
        <f>IFERROR(VLOOKUP(Proc[[#This Row],[App]],Table2[],3,0),"open")</f>
        <v>ok</v>
      </c>
      <c r="C2155" s="93" t="s">
        <v>369</v>
      </c>
      <c r="D2155" t="s">
        <v>3990</v>
      </c>
      <c r="E2155" t="s">
        <v>4068</v>
      </c>
      <c r="F2155" s="117" t="s">
        <v>4068</v>
      </c>
      <c r="G2155" s="93" t="s">
        <v>400</v>
      </c>
      <c r="H2155" s="94" t="str">
        <f>IF(Proc[[#This Row],[type]]="LFF (MDG-F)",MID(Proc[[#This Row],[Obj]],13,10),"")</f>
        <v/>
      </c>
      <c r="J2155" s="94" t="b">
        <f>Proc[[#This Row],[Requested]]=Proc[[#This Row],[CurrentParent]]</f>
        <v>1</v>
      </c>
      <c r="K2155" s="144" t="str">
        <f>IF(Proc[[#This Row],[Author]]="Marcela Urrego",VLOOKUP(LEFT(Proc[[#This Row],[Requested]],1),Table3[#All],2,0),VLOOKUP(Proc[[#This Row],[Author]],Table4[],2,0))</f>
        <v>HC</v>
      </c>
      <c r="L2155" s="125" t="s">
        <v>2563</v>
      </c>
      <c r="M2155" s="90">
        <v>45807.678356481483</v>
      </c>
      <c r="N2155" s="91">
        <v>45810</v>
      </c>
      <c r="O2155" s="91">
        <v>45810</v>
      </c>
      <c r="P2155" s="90" t="str">
        <f ca="1">IF(Proc[[#This Row],[DaysAgeing]]&gt;5,"yep","on track")</f>
        <v>on track</v>
      </c>
      <c r="Q2155" s="3">
        <f ca="1">IF(Proc[[#This Row],[DateClosed]]="",ABS(NETWORKDAYS(Proc[[#This Row],[DateOpened]],TODAY()))-1,ABS(NETWORKDAYS(Proc[[#This Row],[DateOpened]],Proc[[#This Row],[DateClosed]]))-1)</f>
        <v>1</v>
      </c>
      <c r="R2155" s="90" t="s">
        <v>1013</v>
      </c>
      <c r="S2155" s="94"/>
    </row>
    <row r="2156" spans="1:19" hidden="1">
      <c r="A2156" s="93" t="s">
        <v>3747</v>
      </c>
      <c r="B2156" s="149" t="str">
        <f>IFERROR(VLOOKUP(Proc[[#This Row],[App]],Table2[],3,0),"open")</f>
        <v>ok</v>
      </c>
      <c r="C2156" s="93" t="s">
        <v>369</v>
      </c>
      <c r="D2156" t="s">
        <v>3991</v>
      </c>
      <c r="E2156" t="s">
        <v>4068</v>
      </c>
      <c r="F2156" s="117" t="s">
        <v>4068</v>
      </c>
      <c r="G2156" s="93" t="s">
        <v>400</v>
      </c>
      <c r="H2156" s="94" t="str">
        <f>IF(Proc[[#This Row],[type]]="LFF (MDG-F)",MID(Proc[[#This Row],[Obj]],13,10),"")</f>
        <v/>
      </c>
      <c r="J2156" s="94" t="b">
        <f>Proc[[#This Row],[Requested]]=Proc[[#This Row],[CurrentParent]]</f>
        <v>1</v>
      </c>
      <c r="K2156" s="144" t="str">
        <f>IF(Proc[[#This Row],[Author]]="Marcela Urrego",VLOOKUP(LEFT(Proc[[#This Row],[Requested]],1),Table3[#All],2,0),VLOOKUP(Proc[[#This Row],[Author]],Table4[],2,0))</f>
        <v>HC</v>
      </c>
      <c r="L2156" s="125" t="s">
        <v>2563</v>
      </c>
      <c r="M2156" s="90">
        <v>45807.678356481483</v>
      </c>
      <c r="N2156" s="91">
        <v>45810</v>
      </c>
      <c r="O2156" s="91">
        <v>45810</v>
      </c>
      <c r="P2156" s="90" t="str">
        <f ca="1">IF(Proc[[#This Row],[DaysAgeing]]&gt;5,"yep","on track")</f>
        <v>on track</v>
      </c>
      <c r="Q2156" s="3">
        <f ca="1">IF(Proc[[#This Row],[DateClosed]]="",ABS(NETWORKDAYS(Proc[[#This Row],[DateOpened]],TODAY()))-1,ABS(NETWORKDAYS(Proc[[#This Row],[DateOpened]],Proc[[#This Row],[DateClosed]]))-1)</f>
        <v>1</v>
      </c>
      <c r="R2156" s="90" t="s">
        <v>1013</v>
      </c>
      <c r="S2156" s="94"/>
    </row>
    <row r="2157" spans="1:19" hidden="1">
      <c r="A2157" s="93" t="s">
        <v>3747</v>
      </c>
      <c r="B2157" s="149" t="str">
        <f>IFERROR(VLOOKUP(Proc[[#This Row],[App]],Table2[],3,0),"open")</f>
        <v>ok</v>
      </c>
      <c r="C2157" s="93" t="s">
        <v>369</v>
      </c>
      <c r="D2157" t="s">
        <v>3992</v>
      </c>
      <c r="E2157" t="s">
        <v>4068</v>
      </c>
      <c r="F2157" s="117" t="s">
        <v>4068</v>
      </c>
      <c r="G2157" s="93" t="s">
        <v>400</v>
      </c>
      <c r="H2157" s="94" t="str">
        <f>IF(Proc[[#This Row],[type]]="LFF (MDG-F)",MID(Proc[[#This Row],[Obj]],13,10),"")</f>
        <v/>
      </c>
      <c r="J2157" s="94" t="b">
        <f>Proc[[#This Row],[Requested]]=Proc[[#This Row],[CurrentParent]]</f>
        <v>1</v>
      </c>
      <c r="K2157" s="144" t="str">
        <f>IF(Proc[[#This Row],[Author]]="Marcela Urrego",VLOOKUP(LEFT(Proc[[#This Row],[Requested]],1),Table3[#All],2,0),VLOOKUP(Proc[[#This Row],[Author]],Table4[],2,0))</f>
        <v>HC</v>
      </c>
      <c r="L2157" s="125" t="s">
        <v>2563</v>
      </c>
      <c r="M2157" s="90">
        <v>45807.678356481483</v>
      </c>
      <c r="N2157" s="91">
        <v>45810</v>
      </c>
      <c r="O2157" s="91">
        <v>45810</v>
      </c>
      <c r="P2157" s="90" t="str">
        <f ca="1">IF(Proc[[#This Row],[DaysAgeing]]&gt;5,"yep","on track")</f>
        <v>on track</v>
      </c>
      <c r="Q2157" s="3">
        <f ca="1">IF(Proc[[#This Row],[DateClosed]]="",ABS(NETWORKDAYS(Proc[[#This Row],[DateOpened]],TODAY()))-1,ABS(NETWORKDAYS(Proc[[#This Row],[DateOpened]],Proc[[#This Row],[DateClosed]]))-1)</f>
        <v>1</v>
      </c>
      <c r="R2157" s="90" t="s">
        <v>1013</v>
      </c>
      <c r="S2157" s="94"/>
    </row>
    <row r="2158" spans="1:19" hidden="1">
      <c r="A2158" s="93" t="s">
        <v>3747</v>
      </c>
      <c r="B2158" s="149" t="str">
        <f>IFERROR(VLOOKUP(Proc[[#This Row],[App]],Table2[],3,0),"open")</f>
        <v>ok</v>
      </c>
      <c r="C2158" s="93" t="s">
        <v>369</v>
      </c>
      <c r="D2158" t="s">
        <v>3993</v>
      </c>
      <c r="E2158" t="s">
        <v>4068</v>
      </c>
      <c r="F2158" s="117" t="s">
        <v>4068</v>
      </c>
      <c r="G2158" s="93" t="s">
        <v>400</v>
      </c>
      <c r="H2158" s="94" t="str">
        <f>IF(Proc[[#This Row],[type]]="LFF (MDG-F)",MID(Proc[[#This Row],[Obj]],13,10),"")</f>
        <v/>
      </c>
      <c r="J2158" s="94" t="b">
        <f>Proc[[#This Row],[Requested]]=Proc[[#This Row],[CurrentParent]]</f>
        <v>1</v>
      </c>
      <c r="K2158" s="144" t="str">
        <f>IF(Proc[[#This Row],[Author]]="Marcela Urrego",VLOOKUP(LEFT(Proc[[#This Row],[Requested]],1),Table3[#All],2,0),VLOOKUP(Proc[[#This Row],[Author]],Table4[],2,0))</f>
        <v>HC</v>
      </c>
      <c r="L2158" s="125" t="s">
        <v>2563</v>
      </c>
      <c r="M2158" s="90">
        <v>45807.678356481483</v>
      </c>
      <c r="N2158" s="91">
        <v>45810</v>
      </c>
      <c r="O2158" s="91">
        <v>45810</v>
      </c>
      <c r="P2158" s="90" t="str">
        <f ca="1">IF(Proc[[#This Row],[DaysAgeing]]&gt;5,"yep","on track")</f>
        <v>on track</v>
      </c>
      <c r="Q2158" s="3">
        <f ca="1">IF(Proc[[#This Row],[DateClosed]]="",ABS(NETWORKDAYS(Proc[[#This Row],[DateOpened]],TODAY()))-1,ABS(NETWORKDAYS(Proc[[#This Row],[DateOpened]],Proc[[#This Row],[DateClosed]]))-1)</f>
        <v>1</v>
      </c>
      <c r="R2158" s="90" t="s">
        <v>1013</v>
      </c>
      <c r="S2158" s="94"/>
    </row>
    <row r="2159" spans="1:19" hidden="1">
      <c r="A2159" s="93" t="s">
        <v>3747</v>
      </c>
      <c r="B2159" s="149" t="str">
        <f>IFERROR(VLOOKUP(Proc[[#This Row],[App]],Table2[],3,0),"open")</f>
        <v>ok</v>
      </c>
      <c r="C2159" s="93" t="s">
        <v>369</v>
      </c>
      <c r="D2159" t="s">
        <v>3994</v>
      </c>
      <c r="E2159" t="s">
        <v>4068</v>
      </c>
      <c r="F2159" s="117" t="s">
        <v>4068</v>
      </c>
      <c r="G2159" s="93" t="s">
        <v>400</v>
      </c>
      <c r="H2159" s="94" t="str">
        <f>IF(Proc[[#This Row],[type]]="LFF (MDG-F)",MID(Proc[[#This Row],[Obj]],13,10),"")</f>
        <v/>
      </c>
      <c r="J2159" s="94" t="b">
        <f>Proc[[#This Row],[Requested]]=Proc[[#This Row],[CurrentParent]]</f>
        <v>1</v>
      </c>
      <c r="K2159" s="144" t="str">
        <f>IF(Proc[[#This Row],[Author]]="Marcela Urrego",VLOOKUP(LEFT(Proc[[#This Row],[Requested]],1),Table3[#All],2,0),VLOOKUP(Proc[[#This Row],[Author]],Table4[],2,0))</f>
        <v>HC</v>
      </c>
      <c r="L2159" s="125" t="s">
        <v>2563</v>
      </c>
      <c r="M2159" s="90">
        <v>45807.678356481483</v>
      </c>
      <c r="N2159" s="91">
        <v>45810</v>
      </c>
      <c r="O2159" s="91">
        <v>45810</v>
      </c>
      <c r="P2159" s="90" t="str">
        <f ca="1">IF(Proc[[#This Row],[DaysAgeing]]&gt;5,"yep","on track")</f>
        <v>on track</v>
      </c>
      <c r="Q2159" s="3">
        <f ca="1">IF(Proc[[#This Row],[DateClosed]]="",ABS(NETWORKDAYS(Proc[[#This Row],[DateOpened]],TODAY()))-1,ABS(NETWORKDAYS(Proc[[#This Row],[DateOpened]],Proc[[#This Row],[DateClosed]]))-1)</f>
        <v>1</v>
      </c>
      <c r="R2159" s="90" t="s">
        <v>1013</v>
      </c>
      <c r="S2159" s="94"/>
    </row>
    <row r="2160" spans="1:19" hidden="1">
      <c r="A2160" s="93" t="s">
        <v>3747</v>
      </c>
      <c r="B2160" s="149" t="str">
        <f>IFERROR(VLOOKUP(Proc[[#This Row],[App]],Table2[],3,0),"open")</f>
        <v>ok</v>
      </c>
      <c r="C2160" s="93" t="s">
        <v>369</v>
      </c>
      <c r="D2160" t="s">
        <v>3995</v>
      </c>
      <c r="E2160" t="s">
        <v>4068</v>
      </c>
      <c r="F2160" s="117" t="s">
        <v>4068</v>
      </c>
      <c r="G2160" s="93" t="s">
        <v>400</v>
      </c>
      <c r="H2160" s="94" t="str">
        <f>IF(Proc[[#This Row],[type]]="LFF (MDG-F)",MID(Proc[[#This Row],[Obj]],13,10),"")</f>
        <v/>
      </c>
      <c r="J2160" s="94" t="b">
        <f>Proc[[#This Row],[Requested]]=Proc[[#This Row],[CurrentParent]]</f>
        <v>1</v>
      </c>
      <c r="K2160" s="144" t="str">
        <f>IF(Proc[[#This Row],[Author]]="Marcela Urrego",VLOOKUP(LEFT(Proc[[#This Row],[Requested]],1),Table3[#All],2,0),VLOOKUP(Proc[[#This Row],[Author]],Table4[],2,0))</f>
        <v>HC</v>
      </c>
      <c r="L2160" s="125" t="s">
        <v>2563</v>
      </c>
      <c r="M2160" s="90">
        <v>45807.678356481483</v>
      </c>
      <c r="N2160" s="91">
        <v>45810</v>
      </c>
      <c r="O2160" s="91">
        <v>45810</v>
      </c>
      <c r="P2160" s="90" t="str">
        <f ca="1">IF(Proc[[#This Row],[DaysAgeing]]&gt;5,"yep","on track")</f>
        <v>on track</v>
      </c>
      <c r="Q2160" s="3">
        <f ca="1">IF(Proc[[#This Row],[DateClosed]]="",ABS(NETWORKDAYS(Proc[[#This Row],[DateOpened]],TODAY()))-1,ABS(NETWORKDAYS(Proc[[#This Row],[DateOpened]],Proc[[#This Row],[DateClosed]]))-1)</f>
        <v>1</v>
      </c>
      <c r="R2160" s="90" t="s">
        <v>1013</v>
      </c>
      <c r="S2160" s="94"/>
    </row>
    <row r="2161" spans="1:19" hidden="1">
      <c r="A2161" s="93" t="s">
        <v>3747</v>
      </c>
      <c r="B2161" s="149" t="str">
        <f>IFERROR(VLOOKUP(Proc[[#This Row],[App]],Table2[],3,0),"open")</f>
        <v>ok</v>
      </c>
      <c r="C2161" s="93" t="s">
        <v>369</v>
      </c>
      <c r="D2161" t="s">
        <v>3996</v>
      </c>
      <c r="E2161" t="s">
        <v>4068</v>
      </c>
      <c r="F2161" s="117" t="s">
        <v>4068</v>
      </c>
      <c r="G2161" s="93" t="s">
        <v>400</v>
      </c>
      <c r="H2161" s="94" t="str">
        <f>IF(Proc[[#This Row],[type]]="LFF (MDG-F)",MID(Proc[[#This Row],[Obj]],13,10),"")</f>
        <v/>
      </c>
      <c r="J2161" s="94" t="b">
        <f>Proc[[#This Row],[Requested]]=Proc[[#This Row],[CurrentParent]]</f>
        <v>1</v>
      </c>
      <c r="K2161" s="144" t="str">
        <f>IF(Proc[[#This Row],[Author]]="Marcela Urrego",VLOOKUP(LEFT(Proc[[#This Row],[Requested]],1),Table3[#All],2,0),VLOOKUP(Proc[[#This Row],[Author]],Table4[],2,0))</f>
        <v>HC</v>
      </c>
      <c r="L2161" s="125" t="s">
        <v>2563</v>
      </c>
      <c r="M2161" s="90">
        <v>45807.678356481483</v>
      </c>
      <c r="N2161" s="91">
        <v>45810</v>
      </c>
      <c r="O2161" s="91">
        <v>45810</v>
      </c>
      <c r="P2161" s="90" t="str">
        <f ca="1">IF(Proc[[#This Row],[DaysAgeing]]&gt;5,"yep","on track")</f>
        <v>on track</v>
      </c>
      <c r="Q2161" s="3">
        <f ca="1">IF(Proc[[#This Row],[DateClosed]]="",ABS(NETWORKDAYS(Proc[[#This Row],[DateOpened]],TODAY()))-1,ABS(NETWORKDAYS(Proc[[#This Row],[DateOpened]],Proc[[#This Row],[DateClosed]]))-1)</f>
        <v>1</v>
      </c>
      <c r="R2161" s="90" t="s">
        <v>1013</v>
      </c>
      <c r="S2161" s="94"/>
    </row>
    <row r="2162" spans="1:19" hidden="1">
      <c r="A2162" s="93" t="s">
        <v>3747</v>
      </c>
      <c r="B2162" s="149" t="str">
        <f>IFERROR(VLOOKUP(Proc[[#This Row],[App]],Table2[],3,0),"open")</f>
        <v>ok</v>
      </c>
      <c r="C2162" s="93" t="s">
        <v>369</v>
      </c>
      <c r="D2162" t="s">
        <v>3997</v>
      </c>
      <c r="E2162" t="s">
        <v>4068</v>
      </c>
      <c r="F2162" s="117" t="s">
        <v>4068</v>
      </c>
      <c r="G2162" s="93" t="s">
        <v>400</v>
      </c>
      <c r="H2162" s="94" t="str">
        <f>IF(Proc[[#This Row],[type]]="LFF (MDG-F)",MID(Proc[[#This Row],[Obj]],13,10),"")</f>
        <v/>
      </c>
      <c r="J2162" s="94" t="b">
        <f>Proc[[#This Row],[Requested]]=Proc[[#This Row],[CurrentParent]]</f>
        <v>1</v>
      </c>
      <c r="K2162" s="144" t="str">
        <f>IF(Proc[[#This Row],[Author]]="Marcela Urrego",VLOOKUP(LEFT(Proc[[#This Row],[Requested]],1),Table3[#All],2,0),VLOOKUP(Proc[[#This Row],[Author]],Table4[],2,0))</f>
        <v>HC</v>
      </c>
      <c r="L2162" s="125" t="s">
        <v>2563</v>
      </c>
      <c r="M2162" s="90">
        <v>45807.678356481483</v>
      </c>
      <c r="N2162" s="91">
        <v>45810</v>
      </c>
      <c r="O2162" s="91">
        <v>45810</v>
      </c>
      <c r="P2162" s="90" t="str">
        <f ca="1">IF(Proc[[#This Row],[DaysAgeing]]&gt;5,"yep","on track")</f>
        <v>on track</v>
      </c>
      <c r="Q2162" s="3">
        <f ca="1">IF(Proc[[#This Row],[DateClosed]]="",ABS(NETWORKDAYS(Proc[[#This Row],[DateOpened]],TODAY()))-1,ABS(NETWORKDAYS(Proc[[#This Row],[DateOpened]],Proc[[#This Row],[DateClosed]]))-1)</f>
        <v>1</v>
      </c>
      <c r="R2162" s="90" t="s">
        <v>1013</v>
      </c>
      <c r="S2162" s="94"/>
    </row>
    <row r="2163" spans="1:19" hidden="1">
      <c r="A2163" s="93" t="s">
        <v>3747</v>
      </c>
      <c r="B2163" s="149" t="str">
        <f>IFERROR(VLOOKUP(Proc[[#This Row],[App]],Table2[],3,0),"open")</f>
        <v>ok</v>
      </c>
      <c r="C2163" s="93" t="s">
        <v>369</v>
      </c>
      <c r="D2163" t="s">
        <v>3998</v>
      </c>
      <c r="E2163" t="s">
        <v>4068</v>
      </c>
      <c r="F2163" s="117" t="s">
        <v>4068</v>
      </c>
      <c r="G2163" s="93" t="s">
        <v>400</v>
      </c>
      <c r="H2163" s="94" t="str">
        <f>IF(Proc[[#This Row],[type]]="LFF (MDG-F)",MID(Proc[[#This Row],[Obj]],13,10),"")</f>
        <v/>
      </c>
      <c r="J2163" s="94" t="b">
        <f>Proc[[#This Row],[Requested]]=Proc[[#This Row],[CurrentParent]]</f>
        <v>1</v>
      </c>
      <c r="K2163" s="144" t="str">
        <f>IF(Proc[[#This Row],[Author]]="Marcela Urrego",VLOOKUP(LEFT(Proc[[#This Row],[Requested]],1),Table3[#All],2,0),VLOOKUP(Proc[[#This Row],[Author]],Table4[],2,0))</f>
        <v>HC</v>
      </c>
      <c r="L2163" s="125" t="s">
        <v>2563</v>
      </c>
      <c r="M2163" s="90">
        <v>45807.678356481483</v>
      </c>
      <c r="N2163" s="91">
        <v>45810</v>
      </c>
      <c r="O2163" s="91">
        <v>45810</v>
      </c>
      <c r="P2163" s="90" t="str">
        <f ca="1">IF(Proc[[#This Row],[DaysAgeing]]&gt;5,"yep","on track")</f>
        <v>on track</v>
      </c>
      <c r="Q2163" s="3">
        <f ca="1">IF(Proc[[#This Row],[DateClosed]]="",ABS(NETWORKDAYS(Proc[[#This Row],[DateOpened]],TODAY()))-1,ABS(NETWORKDAYS(Proc[[#This Row],[DateOpened]],Proc[[#This Row],[DateClosed]]))-1)</f>
        <v>1</v>
      </c>
      <c r="R2163" s="90" t="s">
        <v>1013</v>
      </c>
      <c r="S2163" s="94"/>
    </row>
    <row r="2164" spans="1:19" hidden="1">
      <c r="A2164" s="93" t="s">
        <v>3747</v>
      </c>
      <c r="B2164" s="149" t="str">
        <f>IFERROR(VLOOKUP(Proc[[#This Row],[App]],Table2[],3,0),"open")</f>
        <v>ok</v>
      </c>
      <c r="C2164" s="93" t="s">
        <v>369</v>
      </c>
      <c r="D2164" t="s">
        <v>3999</v>
      </c>
      <c r="E2164" t="s">
        <v>4068</v>
      </c>
      <c r="F2164" s="117" t="s">
        <v>4068</v>
      </c>
      <c r="G2164" s="93" t="s">
        <v>400</v>
      </c>
      <c r="H2164" s="94" t="str">
        <f>IF(Proc[[#This Row],[type]]="LFF (MDG-F)",MID(Proc[[#This Row],[Obj]],13,10),"")</f>
        <v/>
      </c>
      <c r="J2164" s="94" t="b">
        <f>Proc[[#This Row],[Requested]]=Proc[[#This Row],[CurrentParent]]</f>
        <v>1</v>
      </c>
      <c r="K2164" s="144" t="str">
        <f>IF(Proc[[#This Row],[Author]]="Marcela Urrego",VLOOKUP(LEFT(Proc[[#This Row],[Requested]],1),Table3[#All],2,0),VLOOKUP(Proc[[#This Row],[Author]],Table4[],2,0))</f>
        <v>HC</v>
      </c>
      <c r="L2164" s="125" t="s">
        <v>2563</v>
      </c>
      <c r="M2164" s="90">
        <v>45807.678356481483</v>
      </c>
      <c r="N2164" s="91">
        <v>45810</v>
      </c>
      <c r="O2164" s="91">
        <v>45810</v>
      </c>
      <c r="P2164" s="90" t="str">
        <f ca="1">IF(Proc[[#This Row],[DaysAgeing]]&gt;5,"yep","on track")</f>
        <v>on track</v>
      </c>
      <c r="Q2164" s="3">
        <f ca="1">IF(Proc[[#This Row],[DateClosed]]="",ABS(NETWORKDAYS(Proc[[#This Row],[DateOpened]],TODAY()))-1,ABS(NETWORKDAYS(Proc[[#This Row],[DateOpened]],Proc[[#This Row],[DateClosed]]))-1)</f>
        <v>1</v>
      </c>
      <c r="R2164" s="90" t="s">
        <v>1013</v>
      </c>
      <c r="S2164" s="94"/>
    </row>
    <row r="2165" spans="1:19" hidden="1">
      <c r="A2165" s="93" t="s">
        <v>3747</v>
      </c>
      <c r="B2165" s="149" t="str">
        <f>IFERROR(VLOOKUP(Proc[[#This Row],[App]],Table2[],3,0),"open")</f>
        <v>ok</v>
      </c>
      <c r="C2165" s="93" t="s">
        <v>369</v>
      </c>
      <c r="D2165" t="s">
        <v>4000</v>
      </c>
      <c r="E2165" t="s">
        <v>4068</v>
      </c>
      <c r="F2165" s="117" t="s">
        <v>4068</v>
      </c>
      <c r="G2165" s="93" t="s">
        <v>400</v>
      </c>
      <c r="H2165" s="94" t="str">
        <f>IF(Proc[[#This Row],[type]]="LFF (MDG-F)",MID(Proc[[#This Row],[Obj]],13,10),"")</f>
        <v/>
      </c>
      <c r="J2165" s="94" t="b">
        <f>Proc[[#This Row],[Requested]]=Proc[[#This Row],[CurrentParent]]</f>
        <v>1</v>
      </c>
      <c r="K2165" s="144" t="str">
        <f>IF(Proc[[#This Row],[Author]]="Marcela Urrego",VLOOKUP(LEFT(Proc[[#This Row],[Requested]],1),Table3[#All],2,0),VLOOKUP(Proc[[#This Row],[Author]],Table4[],2,0))</f>
        <v>HC</v>
      </c>
      <c r="L2165" s="125" t="s">
        <v>2563</v>
      </c>
      <c r="M2165" s="90">
        <v>45807.678356481483</v>
      </c>
      <c r="N2165" s="91">
        <v>45810</v>
      </c>
      <c r="O2165" s="91">
        <v>45810</v>
      </c>
      <c r="P2165" s="90" t="str">
        <f ca="1">IF(Proc[[#This Row],[DaysAgeing]]&gt;5,"yep","on track")</f>
        <v>on track</v>
      </c>
      <c r="Q2165" s="3">
        <f ca="1">IF(Proc[[#This Row],[DateClosed]]="",ABS(NETWORKDAYS(Proc[[#This Row],[DateOpened]],TODAY()))-1,ABS(NETWORKDAYS(Proc[[#This Row],[DateOpened]],Proc[[#This Row],[DateClosed]]))-1)</f>
        <v>1</v>
      </c>
      <c r="R2165" s="90" t="s">
        <v>1013</v>
      </c>
      <c r="S2165" s="94"/>
    </row>
    <row r="2166" spans="1:19" hidden="1">
      <c r="A2166" s="93" t="s">
        <v>3747</v>
      </c>
      <c r="B2166" s="149" t="str">
        <f>IFERROR(VLOOKUP(Proc[[#This Row],[App]],Table2[],3,0),"open")</f>
        <v>ok</v>
      </c>
      <c r="C2166" s="93" t="s">
        <v>369</v>
      </c>
      <c r="D2166" t="s">
        <v>4001</v>
      </c>
      <c r="E2166" t="s">
        <v>4068</v>
      </c>
      <c r="F2166" s="117" t="s">
        <v>4068</v>
      </c>
      <c r="G2166" s="93" t="s">
        <v>400</v>
      </c>
      <c r="H2166" s="94" t="str">
        <f>IF(Proc[[#This Row],[type]]="LFF (MDG-F)",MID(Proc[[#This Row],[Obj]],13,10),"")</f>
        <v/>
      </c>
      <c r="J2166" s="94" t="b">
        <f>Proc[[#This Row],[Requested]]=Proc[[#This Row],[CurrentParent]]</f>
        <v>1</v>
      </c>
      <c r="K2166" s="144" t="str">
        <f>IF(Proc[[#This Row],[Author]]="Marcela Urrego",VLOOKUP(LEFT(Proc[[#This Row],[Requested]],1),Table3[#All],2,0),VLOOKUP(Proc[[#This Row],[Author]],Table4[],2,0))</f>
        <v>HC</v>
      </c>
      <c r="L2166" s="125" t="s">
        <v>2563</v>
      </c>
      <c r="M2166" s="90">
        <v>45807.678356481483</v>
      </c>
      <c r="N2166" s="91">
        <v>45810</v>
      </c>
      <c r="O2166" s="91">
        <v>45810</v>
      </c>
      <c r="P2166" s="90" t="str">
        <f ca="1">IF(Proc[[#This Row],[DaysAgeing]]&gt;5,"yep","on track")</f>
        <v>on track</v>
      </c>
      <c r="Q2166" s="3">
        <f ca="1">IF(Proc[[#This Row],[DateClosed]]="",ABS(NETWORKDAYS(Proc[[#This Row],[DateOpened]],TODAY()))-1,ABS(NETWORKDAYS(Proc[[#This Row],[DateOpened]],Proc[[#This Row],[DateClosed]]))-1)</f>
        <v>1</v>
      </c>
      <c r="R2166" s="90" t="s">
        <v>1013</v>
      </c>
      <c r="S2166" s="94"/>
    </row>
    <row r="2167" spans="1:19" hidden="1">
      <c r="A2167" s="93" t="s">
        <v>3747</v>
      </c>
      <c r="B2167" s="149" t="str">
        <f>IFERROR(VLOOKUP(Proc[[#This Row],[App]],Table2[],3,0),"open")</f>
        <v>ok</v>
      </c>
      <c r="C2167" s="93" t="s">
        <v>369</v>
      </c>
      <c r="D2167" t="s">
        <v>4002</v>
      </c>
      <c r="E2167" t="s">
        <v>4068</v>
      </c>
      <c r="F2167" s="117" t="s">
        <v>4068</v>
      </c>
      <c r="G2167" s="93" t="s">
        <v>400</v>
      </c>
      <c r="H2167" s="94" t="str">
        <f>IF(Proc[[#This Row],[type]]="LFF (MDG-F)",MID(Proc[[#This Row],[Obj]],13,10),"")</f>
        <v/>
      </c>
      <c r="J2167" s="94" t="b">
        <f>Proc[[#This Row],[Requested]]=Proc[[#This Row],[CurrentParent]]</f>
        <v>1</v>
      </c>
      <c r="K2167" s="144" t="str">
        <f>IF(Proc[[#This Row],[Author]]="Marcela Urrego",VLOOKUP(LEFT(Proc[[#This Row],[Requested]],1),Table3[#All],2,0),VLOOKUP(Proc[[#This Row],[Author]],Table4[],2,0))</f>
        <v>HC</v>
      </c>
      <c r="L2167" s="125" t="s">
        <v>2563</v>
      </c>
      <c r="M2167" s="90">
        <v>45807.678356481483</v>
      </c>
      <c r="N2167" s="91">
        <v>45810</v>
      </c>
      <c r="O2167" s="91">
        <v>45810</v>
      </c>
      <c r="P2167" s="90" t="str">
        <f ca="1">IF(Proc[[#This Row],[DaysAgeing]]&gt;5,"yep","on track")</f>
        <v>on track</v>
      </c>
      <c r="Q2167" s="3">
        <f ca="1">IF(Proc[[#This Row],[DateClosed]]="",ABS(NETWORKDAYS(Proc[[#This Row],[DateOpened]],TODAY()))-1,ABS(NETWORKDAYS(Proc[[#This Row],[DateOpened]],Proc[[#This Row],[DateClosed]]))-1)</f>
        <v>1</v>
      </c>
      <c r="R2167" s="90" t="s">
        <v>1013</v>
      </c>
      <c r="S2167" s="94"/>
    </row>
    <row r="2168" spans="1:19" hidden="1">
      <c r="A2168" s="93" t="s">
        <v>3747</v>
      </c>
      <c r="B2168" s="149" t="str">
        <f>IFERROR(VLOOKUP(Proc[[#This Row],[App]],Table2[],3,0),"open")</f>
        <v>ok</v>
      </c>
      <c r="C2168" s="93" t="s">
        <v>369</v>
      </c>
      <c r="D2168" t="s">
        <v>4003</v>
      </c>
      <c r="E2168" t="s">
        <v>4068</v>
      </c>
      <c r="F2168" s="117" t="s">
        <v>4068</v>
      </c>
      <c r="G2168" s="93" t="s">
        <v>400</v>
      </c>
      <c r="H2168" s="94" t="str">
        <f>IF(Proc[[#This Row],[type]]="LFF (MDG-F)",MID(Proc[[#This Row],[Obj]],13,10),"")</f>
        <v/>
      </c>
      <c r="J2168" s="94" t="b">
        <f>Proc[[#This Row],[Requested]]=Proc[[#This Row],[CurrentParent]]</f>
        <v>1</v>
      </c>
      <c r="K2168" s="144" t="str">
        <f>IF(Proc[[#This Row],[Author]]="Marcela Urrego",VLOOKUP(LEFT(Proc[[#This Row],[Requested]],1),Table3[#All],2,0),VLOOKUP(Proc[[#This Row],[Author]],Table4[],2,0))</f>
        <v>HC</v>
      </c>
      <c r="L2168" s="125" t="s">
        <v>2563</v>
      </c>
      <c r="M2168" s="90">
        <v>45807.678356481483</v>
      </c>
      <c r="N2168" s="91">
        <v>45810</v>
      </c>
      <c r="O2168" s="91">
        <v>45810</v>
      </c>
      <c r="P2168" s="90" t="str">
        <f ca="1">IF(Proc[[#This Row],[DaysAgeing]]&gt;5,"yep","on track")</f>
        <v>on track</v>
      </c>
      <c r="Q2168" s="3">
        <f ca="1">IF(Proc[[#This Row],[DateClosed]]="",ABS(NETWORKDAYS(Proc[[#This Row],[DateOpened]],TODAY()))-1,ABS(NETWORKDAYS(Proc[[#This Row],[DateOpened]],Proc[[#This Row],[DateClosed]]))-1)</f>
        <v>1</v>
      </c>
      <c r="R2168" s="90" t="s">
        <v>1013</v>
      </c>
      <c r="S2168" s="94"/>
    </row>
    <row r="2169" spans="1:19" hidden="1">
      <c r="A2169" s="93" t="s">
        <v>3747</v>
      </c>
      <c r="B2169" s="149" t="str">
        <f>IFERROR(VLOOKUP(Proc[[#This Row],[App]],Table2[],3,0),"open")</f>
        <v>ok</v>
      </c>
      <c r="C2169" s="93" t="s">
        <v>369</v>
      </c>
      <c r="D2169" t="s">
        <v>4004</v>
      </c>
      <c r="E2169" t="s">
        <v>4068</v>
      </c>
      <c r="F2169" s="117" t="s">
        <v>4068</v>
      </c>
      <c r="G2169" s="93" t="s">
        <v>400</v>
      </c>
      <c r="H2169" s="94" t="str">
        <f>IF(Proc[[#This Row],[type]]="LFF (MDG-F)",MID(Proc[[#This Row],[Obj]],13,10),"")</f>
        <v/>
      </c>
      <c r="J2169" s="94" t="b">
        <f>Proc[[#This Row],[Requested]]=Proc[[#This Row],[CurrentParent]]</f>
        <v>1</v>
      </c>
      <c r="K2169" s="144" t="str">
        <f>IF(Proc[[#This Row],[Author]]="Marcela Urrego",VLOOKUP(LEFT(Proc[[#This Row],[Requested]],1),Table3[#All],2,0),VLOOKUP(Proc[[#This Row],[Author]],Table4[],2,0))</f>
        <v>HC</v>
      </c>
      <c r="L2169" s="125" t="s">
        <v>2563</v>
      </c>
      <c r="M2169" s="90">
        <v>45807.678356481483</v>
      </c>
      <c r="N2169" s="91">
        <v>45810</v>
      </c>
      <c r="O2169" s="91">
        <v>45810</v>
      </c>
      <c r="P2169" s="90" t="str">
        <f ca="1">IF(Proc[[#This Row],[DaysAgeing]]&gt;5,"yep","on track")</f>
        <v>on track</v>
      </c>
      <c r="Q2169" s="3">
        <f ca="1">IF(Proc[[#This Row],[DateClosed]]="",ABS(NETWORKDAYS(Proc[[#This Row],[DateOpened]],TODAY()))-1,ABS(NETWORKDAYS(Proc[[#This Row],[DateOpened]],Proc[[#This Row],[DateClosed]]))-1)</f>
        <v>1</v>
      </c>
      <c r="R2169" s="90" t="s">
        <v>1013</v>
      </c>
      <c r="S2169" s="94"/>
    </row>
    <row r="2170" spans="1:19" hidden="1">
      <c r="A2170" s="93" t="s">
        <v>3747</v>
      </c>
      <c r="B2170" s="149" t="str">
        <f>IFERROR(VLOOKUP(Proc[[#This Row],[App]],Table2[],3,0),"open")</f>
        <v>ok</v>
      </c>
      <c r="C2170" s="93" t="s">
        <v>369</v>
      </c>
      <c r="D2170" t="s">
        <v>4005</v>
      </c>
      <c r="E2170" t="s">
        <v>4068</v>
      </c>
      <c r="F2170" s="117" t="s">
        <v>4068</v>
      </c>
      <c r="G2170" s="93" t="s">
        <v>400</v>
      </c>
      <c r="H2170" s="94" t="str">
        <f>IF(Proc[[#This Row],[type]]="LFF (MDG-F)",MID(Proc[[#This Row],[Obj]],13,10),"")</f>
        <v/>
      </c>
      <c r="J2170" s="94" t="b">
        <f>Proc[[#This Row],[Requested]]=Proc[[#This Row],[CurrentParent]]</f>
        <v>1</v>
      </c>
      <c r="K2170" s="144" t="str">
        <f>IF(Proc[[#This Row],[Author]]="Marcela Urrego",VLOOKUP(LEFT(Proc[[#This Row],[Requested]],1),Table3[#All],2,0),VLOOKUP(Proc[[#This Row],[Author]],Table4[],2,0))</f>
        <v>HC</v>
      </c>
      <c r="L2170" s="125" t="s">
        <v>2563</v>
      </c>
      <c r="M2170" s="90">
        <v>45807.678356481483</v>
      </c>
      <c r="N2170" s="91">
        <v>45810</v>
      </c>
      <c r="O2170" s="91">
        <v>45810</v>
      </c>
      <c r="P2170" s="90" t="str">
        <f ca="1">IF(Proc[[#This Row],[DaysAgeing]]&gt;5,"yep","on track")</f>
        <v>on track</v>
      </c>
      <c r="Q2170" s="3">
        <f ca="1">IF(Proc[[#This Row],[DateClosed]]="",ABS(NETWORKDAYS(Proc[[#This Row],[DateOpened]],TODAY()))-1,ABS(NETWORKDAYS(Proc[[#This Row],[DateOpened]],Proc[[#This Row],[DateClosed]]))-1)</f>
        <v>1</v>
      </c>
      <c r="R2170" s="90" t="s">
        <v>1013</v>
      </c>
      <c r="S2170" s="94"/>
    </row>
    <row r="2171" spans="1:19" hidden="1">
      <c r="A2171" s="93" t="s">
        <v>3747</v>
      </c>
      <c r="B2171" s="149" t="str">
        <f>IFERROR(VLOOKUP(Proc[[#This Row],[App]],Table2[],3,0),"open")</f>
        <v>ok</v>
      </c>
      <c r="C2171" s="93" t="s">
        <v>369</v>
      </c>
      <c r="D2171" t="s">
        <v>4006</v>
      </c>
      <c r="E2171" t="s">
        <v>4068</v>
      </c>
      <c r="F2171" s="117" t="s">
        <v>4068</v>
      </c>
      <c r="G2171" s="93" t="s">
        <v>400</v>
      </c>
      <c r="H2171" s="94" t="str">
        <f>IF(Proc[[#This Row],[type]]="LFF (MDG-F)",MID(Proc[[#This Row],[Obj]],13,10),"")</f>
        <v/>
      </c>
      <c r="J2171" s="94" t="b">
        <f>Proc[[#This Row],[Requested]]=Proc[[#This Row],[CurrentParent]]</f>
        <v>1</v>
      </c>
      <c r="K2171" s="144" t="str">
        <f>IF(Proc[[#This Row],[Author]]="Marcela Urrego",VLOOKUP(LEFT(Proc[[#This Row],[Requested]],1),Table3[#All],2,0),VLOOKUP(Proc[[#This Row],[Author]],Table4[],2,0))</f>
        <v>HC</v>
      </c>
      <c r="L2171" s="125" t="s">
        <v>2563</v>
      </c>
      <c r="M2171" s="90">
        <v>45807.678356481483</v>
      </c>
      <c r="N2171" s="91">
        <v>45810</v>
      </c>
      <c r="O2171" s="91">
        <v>45810</v>
      </c>
      <c r="P2171" s="90" t="str">
        <f ca="1">IF(Proc[[#This Row],[DaysAgeing]]&gt;5,"yep","on track")</f>
        <v>on track</v>
      </c>
      <c r="Q2171" s="3">
        <f ca="1">IF(Proc[[#This Row],[DateClosed]]="",ABS(NETWORKDAYS(Proc[[#This Row],[DateOpened]],TODAY()))-1,ABS(NETWORKDAYS(Proc[[#This Row],[DateOpened]],Proc[[#This Row],[DateClosed]]))-1)</f>
        <v>1</v>
      </c>
      <c r="R2171" s="90" t="s">
        <v>1013</v>
      </c>
      <c r="S2171" s="94"/>
    </row>
    <row r="2172" spans="1:19" hidden="1">
      <c r="A2172" s="93" t="s">
        <v>3747</v>
      </c>
      <c r="B2172" s="149" t="str">
        <f>IFERROR(VLOOKUP(Proc[[#This Row],[App]],Table2[],3,0),"open")</f>
        <v>ok</v>
      </c>
      <c r="C2172" s="93" t="s">
        <v>369</v>
      </c>
      <c r="D2172" t="s">
        <v>4007</v>
      </c>
      <c r="E2172" t="s">
        <v>4068</v>
      </c>
      <c r="F2172" s="117" t="s">
        <v>4068</v>
      </c>
      <c r="G2172" s="93" t="s">
        <v>400</v>
      </c>
      <c r="H2172" s="94" t="str">
        <f>IF(Proc[[#This Row],[type]]="LFF (MDG-F)",MID(Proc[[#This Row],[Obj]],13,10),"")</f>
        <v/>
      </c>
      <c r="J2172" s="94" t="b">
        <f>Proc[[#This Row],[Requested]]=Proc[[#This Row],[CurrentParent]]</f>
        <v>1</v>
      </c>
      <c r="K2172" s="144" t="str">
        <f>IF(Proc[[#This Row],[Author]]="Marcela Urrego",VLOOKUP(LEFT(Proc[[#This Row],[Requested]],1),Table3[#All],2,0),VLOOKUP(Proc[[#This Row],[Author]],Table4[],2,0))</f>
        <v>HC</v>
      </c>
      <c r="L2172" s="125" t="s">
        <v>2563</v>
      </c>
      <c r="M2172" s="90">
        <v>45807.678356481483</v>
      </c>
      <c r="N2172" s="91">
        <v>45810</v>
      </c>
      <c r="O2172" s="91">
        <v>45810</v>
      </c>
      <c r="P2172" s="90" t="str">
        <f ca="1">IF(Proc[[#This Row],[DaysAgeing]]&gt;5,"yep","on track")</f>
        <v>on track</v>
      </c>
      <c r="Q2172" s="3">
        <f ca="1">IF(Proc[[#This Row],[DateClosed]]="",ABS(NETWORKDAYS(Proc[[#This Row],[DateOpened]],TODAY()))-1,ABS(NETWORKDAYS(Proc[[#This Row],[DateOpened]],Proc[[#This Row],[DateClosed]]))-1)</f>
        <v>1</v>
      </c>
      <c r="R2172" s="90" t="s">
        <v>1013</v>
      </c>
      <c r="S2172" s="94"/>
    </row>
    <row r="2173" spans="1:19" hidden="1">
      <c r="A2173" s="93" t="s">
        <v>3747</v>
      </c>
      <c r="B2173" s="149" t="str">
        <f>IFERROR(VLOOKUP(Proc[[#This Row],[App]],Table2[],3,0),"open")</f>
        <v>ok</v>
      </c>
      <c r="C2173" s="93" t="s">
        <v>369</v>
      </c>
      <c r="D2173" t="s">
        <v>4008</v>
      </c>
      <c r="E2173" t="s">
        <v>4068</v>
      </c>
      <c r="F2173" s="117" t="s">
        <v>4068</v>
      </c>
      <c r="G2173" s="93" t="s">
        <v>400</v>
      </c>
      <c r="H2173" s="94" t="str">
        <f>IF(Proc[[#This Row],[type]]="LFF (MDG-F)",MID(Proc[[#This Row],[Obj]],13,10),"")</f>
        <v/>
      </c>
      <c r="J2173" s="94" t="b">
        <f>Proc[[#This Row],[Requested]]=Proc[[#This Row],[CurrentParent]]</f>
        <v>1</v>
      </c>
      <c r="K2173" s="144" t="str">
        <f>IF(Proc[[#This Row],[Author]]="Marcela Urrego",VLOOKUP(LEFT(Proc[[#This Row],[Requested]],1),Table3[#All],2,0),VLOOKUP(Proc[[#This Row],[Author]],Table4[],2,0))</f>
        <v>HC</v>
      </c>
      <c r="L2173" s="125" t="s">
        <v>2563</v>
      </c>
      <c r="M2173" s="90">
        <v>45807.678356481483</v>
      </c>
      <c r="N2173" s="91">
        <v>45810</v>
      </c>
      <c r="O2173" s="91">
        <v>45810</v>
      </c>
      <c r="P2173" s="90" t="str">
        <f ca="1">IF(Proc[[#This Row],[DaysAgeing]]&gt;5,"yep","on track")</f>
        <v>on track</v>
      </c>
      <c r="Q2173" s="3">
        <f ca="1">IF(Proc[[#This Row],[DateClosed]]="",ABS(NETWORKDAYS(Proc[[#This Row],[DateOpened]],TODAY()))-1,ABS(NETWORKDAYS(Proc[[#This Row],[DateOpened]],Proc[[#This Row],[DateClosed]]))-1)</f>
        <v>1</v>
      </c>
      <c r="R2173" s="90" t="s">
        <v>1013</v>
      </c>
      <c r="S2173" s="94"/>
    </row>
    <row r="2174" spans="1:19" hidden="1">
      <c r="A2174" s="93" t="s">
        <v>3747</v>
      </c>
      <c r="B2174" s="149" t="str">
        <f>IFERROR(VLOOKUP(Proc[[#This Row],[App]],Table2[],3,0),"open")</f>
        <v>ok</v>
      </c>
      <c r="C2174" s="93" t="s">
        <v>369</v>
      </c>
      <c r="D2174" t="s">
        <v>4009</v>
      </c>
      <c r="E2174" t="s">
        <v>4068</v>
      </c>
      <c r="F2174" s="117" t="s">
        <v>4068</v>
      </c>
      <c r="G2174" s="93" t="s">
        <v>400</v>
      </c>
      <c r="H2174" s="94" t="str">
        <f>IF(Proc[[#This Row],[type]]="LFF (MDG-F)",MID(Proc[[#This Row],[Obj]],13,10),"")</f>
        <v/>
      </c>
      <c r="J2174" s="94" t="b">
        <f>Proc[[#This Row],[Requested]]=Proc[[#This Row],[CurrentParent]]</f>
        <v>1</v>
      </c>
      <c r="K2174" s="144" t="str">
        <f>IF(Proc[[#This Row],[Author]]="Marcela Urrego",VLOOKUP(LEFT(Proc[[#This Row],[Requested]],1),Table3[#All],2,0),VLOOKUP(Proc[[#This Row],[Author]],Table4[],2,0))</f>
        <v>HC</v>
      </c>
      <c r="L2174" s="125" t="s">
        <v>2563</v>
      </c>
      <c r="M2174" s="90">
        <v>45807.678356481483</v>
      </c>
      <c r="N2174" s="91">
        <v>45810</v>
      </c>
      <c r="O2174" s="91">
        <v>45810</v>
      </c>
      <c r="P2174" s="90" t="str">
        <f ca="1">IF(Proc[[#This Row],[DaysAgeing]]&gt;5,"yep","on track")</f>
        <v>on track</v>
      </c>
      <c r="Q2174" s="3">
        <f ca="1">IF(Proc[[#This Row],[DateClosed]]="",ABS(NETWORKDAYS(Proc[[#This Row],[DateOpened]],TODAY()))-1,ABS(NETWORKDAYS(Proc[[#This Row],[DateOpened]],Proc[[#This Row],[DateClosed]]))-1)</f>
        <v>1</v>
      </c>
      <c r="R2174" s="90" t="s">
        <v>1013</v>
      </c>
      <c r="S2174" s="94"/>
    </row>
    <row r="2175" spans="1:19" hidden="1">
      <c r="A2175" s="93" t="s">
        <v>3747</v>
      </c>
      <c r="B2175" s="149" t="str">
        <f>IFERROR(VLOOKUP(Proc[[#This Row],[App]],Table2[],3,0),"open")</f>
        <v>ok</v>
      </c>
      <c r="C2175" s="93" t="s">
        <v>369</v>
      </c>
      <c r="D2175" t="s">
        <v>4010</v>
      </c>
      <c r="E2175" t="s">
        <v>4068</v>
      </c>
      <c r="F2175" s="117" t="s">
        <v>4068</v>
      </c>
      <c r="G2175" s="93" t="s">
        <v>400</v>
      </c>
      <c r="H2175" s="94" t="str">
        <f>IF(Proc[[#This Row],[type]]="LFF (MDG-F)",MID(Proc[[#This Row],[Obj]],13,10),"")</f>
        <v/>
      </c>
      <c r="J2175" s="94" t="b">
        <f>Proc[[#This Row],[Requested]]=Proc[[#This Row],[CurrentParent]]</f>
        <v>1</v>
      </c>
      <c r="K2175" s="144" t="str">
        <f>IF(Proc[[#This Row],[Author]]="Marcela Urrego",VLOOKUP(LEFT(Proc[[#This Row],[Requested]],1),Table3[#All],2,0),VLOOKUP(Proc[[#This Row],[Author]],Table4[],2,0))</f>
        <v>HC</v>
      </c>
      <c r="L2175" s="125" t="s">
        <v>2563</v>
      </c>
      <c r="M2175" s="90">
        <v>45807.678356481483</v>
      </c>
      <c r="N2175" s="91">
        <v>45810</v>
      </c>
      <c r="O2175" s="91">
        <v>45810</v>
      </c>
      <c r="P2175" s="90" t="str">
        <f ca="1">IF(Proc[[#This Row],[DaysAgeing]]&gt;5,"yep","on track")</f>
        <v>on track</v>
      </c>
      <c r="Q2175" s="3">
        <f ca="1">IF(Proc[[#This Row],[DateClosed]]="",ABS(NETWORKDAYS(Proc[[#This Row],[DateOpened]],TODAY()))-1,ABS(NETWORKDAYS(Proc[[#This Row],[DateOpened]],Proc[[#This Row],[DateClosed]]))-1)</f>
        <v>1</v>
      </c>
      <c r="R2175" s="90" t="s">
        <v>1013</v>
      </c>
      <c r="S2175" s="94"/>
    </row>
    <row r="2176" spans="1:19" hidden="1">
      <c r="A2176" s="93" t="s">
        <v>3747</v>
      </c>
      <c r="B2176" s="149" t="str">
        <f>IFERROR(VLOOKUP(Proc[[#This Row],[App]],Table2[],3,0),"open")</f>
        <v>ok</v>
      </c>
      <c r="C2176" s="93" t="s">
        <v>369</v>
      </c>
      <c r="D2176" t="s">
        <v>4011</v>
      </c>
      <c r="E2176" t="s">
        <v>4068</v>
      </c>
      <c r="F2176" s="117" t="s">
        <v>4068</v>
      </c>
      <c r="G2176" s="93" t="s">
        <v>400</v>
      </c>
      <c r="H2176" s="94" t="str">
        <f>IF(Proc[[#This Row],[type]]="LFF (MDG-F)",MID(Proc[[#This Row],[Obj]],13,10),"")</f>
        <v/>
      </c>
      <c r="J2176" s="94" t="b">
        <f>Proc[[#This Row],[Requested]]=Proc[[#This Row],[CurrentParent]]</f>
        <v>1</v>
      </c>
      <c r="K2176" s="144" t="str">
        <f>IF(Proc[[#This Row],[Author]]="Marcela Urrego",VLOOKUP(LEFT(Proc[[#This Row],[Requested]],1),Table3[#All],2,0),VLOOKUP(Proc[[#This Row],[Author]],Table4[],2,0))</f>
        <v>HC</v>
      </c>
      <c r="L2176" s="125" t="s">
        <v>2563</v>
      </c>
      <c r="M2176" s="90">
        <v>45807.678356481483</v>
      </c>
      <c r="N2176" s="91">
        <v>45810</v>
      </c>
      <c r="O2176" s="91">
        <v>45810</v>
      </c>
      <c r="P2176" s="90" t="str">
        <f ca="1">IF(Proc[[#This Row],[DaysAgeing]]&gt;5,"yep","on track")</f>
        <v>on track</v>
      </c>
      <c r="Q2176" s="3">
        <f ca="1">IF(Proc[[#This Row],[DateClosed]]="",ABS(NETWORKDAYS(Proc[[#This Row],[DateOpened]],TODAY()))-1,ABS(NETWORKDAYS(Proc[[#This Row],[DateOpened]],Proc[[#This Row],[DateClosed]]))-1)</f>
        <v>1</v>
      </c>
      <c r="R2176" s="90" t="s">
        <v>1013</v>
      </c>
      <c r="S2176" s="94"/>
    </row>
    <row r="2177" spans="1:19" hidden="1">
      <c r="A2177" s="93" t="s">
        <v>3747</v>
      </c>
      <c r="B2177" s="149" t="str">
        <f>IFERROR(VLOOKUP(Proc[[#This Row],[App]],Table2[],3,0),"open")</f>
        <v>ok</v>
      </c>
      <c r="C2177" s="93" t="s">
        <v>369</v>
      </c>
      <c r="D2177" t="s">
        <v>4012</v>
      </c>
      <c r="E2177" t="s">
        <v>4068</v>
      </c>
      <c r="F2177" s="117" t="s">
        <v>4068</v>
      </c>
      <c r="G2177" s="93" t="s">
        <v>400</v>
      </c>
      <c r="H2177" s="94" t="str">
        <f>IF(Proc[[#This Row],[type]]="LFF (MDG-F)",MID(Proc[[#This Row],[Obj]],13,10),"")</f>
        <v/>
      </c>
      <c r="J2177" s="94" t="b">
        <f>Proc[[#This Row],[Requested]]=Proc[[#This Row],[CurrentParent]]</f>
        <v>1</v>
      </c>
      <c r="K2177" s="144" t="str">
        <f>IF(Proc[[#This Row],[Author]]="Marcela Urrego",VLOOKUP(LEFT(Proc[[#This Row],[Requested]],1),Table3[#All],2,0),VLOOKUP(Proc[[#This Row],[Author]],Table4[],2,0))</f>
        <v>HC</v>
      </c>
      <c r="L2177" s="125" t="s">
        <v>2563</v>
      </c>
      <c r="M2177" s="90">
        <v>45807.678356481483</v>
      </c>
      <c r="N2177" s="91">
        <v>45810</v>
      </c>
      <c r="O2177" s="91">
        <v>45810</v>
      </c>
      <c r="P2177" s="90" t="str">
        <f ca="1">IF(Proc[[#This Row],[DaysAgeing]]&gt;5,"yep","on track")</f>
        <v>on track</v>
      </c>
      <c r="Q2177" s="3">
        <f ca="1">IF(Proc[[#This Row],[DateClosed]]="",ABS(NETWORKDAYS(Proc[[#This Row],[DateOpened]],TODAY()))-1,ABS(NETWORKDAYS(Proc[[#This Row],[DateOpened]],Proc[[#This Row],[DateClosed]]))-1)</f>
        <v>1</v>
      </c>
      <c r="R2177" s="90" t="s">
        <v>1013</v>
      </c>
      <c r="S2177" s="94"/>
    </row>
    <row r="2178" spans="1:19" hidden="1">
      <c r="A2178" s="93" t="s">
        <v>3747</v>
      </c>
      <c r="B2178" s="149" t="str">
        <f>IFERROR(VLOOKUP(Proc[[#This Row],[App]],Table2[],3,0),"open")</f>
        <v>ok</v>
      </c>
      <c r="C2178" s="93" t="s">
        <v>369</v>
      </c>
      <c r="D2178" t="s">
        <v>4013</v>
      </c>
      <c r="E2178" t="s">
        <v>4068</v>
      </c>
      <c r="F2178" s="117" t="s">
        <v>4068</v>
      </c>
      <c r="G2178" s="93" t="s">
        <v>400</v>
      </c>
      <c r="H2178" s="94" t="str">
        <f>IF(Proc[[#This Row],[type]]="LFF (MDG-F)",MID(Proc[[#This Row],[Obj]],13,10),"")</f>
        <v/>
      </c>
      <c r="J2178" s="94" t="b">
        <f>Proc[[#This Row],[Requested]]=Proc[[#This Row],[CurrentParent]]</f>
        <v>1</v>
      </c>
      <c r="K2178" s="144" t="str">
        <f>IF(Proc[[#This Row],[Author]]="Marcela Urrego",VLOOKUP(LEFT(Proc[[#This Row],[Requested]],1),Table3[#All],2,0),VLOOKUP(Proc[[#This Row],[Author]],Table4[],2,0))</f>
        <v>HC</v>
      </c>
      <c r="L2178" s="125" t="s">
        <v>2563</v>
      </c>
      <c r="M2178" s="90">
        <v>45807.678356481483</v>
      </c>
      <c r="N2178" s="91">
        <v>45810</v>
      </c>
      <c r="O2178" s="91">
        <v>45810</v>
      </c>
      <c r="P2178" s="90" t="str">
        <f ca="1">IF(Proc[[#This Row],[DaysAgeing]]&gt;5,"yep","on track")</f>
        <v>on track</v>
      </c>
      <c r="Q2178" s="3">
        <f ca="1">IF(Proc[[#This Row],[DateClosed]]="",ABS(NETWORKDAYS(Proc[[#This Row],[DateOpened]],TODAY()))-1,ABS(NETWORKDAYS(Proc[[#This Row],[DateOpened]],Proc[[#This Row],[DateClosed]]))-1)</f>
        <v>1</v>
      </c>
      <c r="R2178" s="90" t="s">
        <v>1013</v>
      </c>
      <c r="S2178" s="94"/>
    </row>
    <row r="2179" spans="1:19" hidden="1">
      <c r="A2179" s="93" t="s">
        <v>3747</v>
      </c>
      <c r="B2179" s="149" t="str">
        <f>IFERROR(VLOOKUP(Proc[[#This Row],[App]],Table2[],3,0),"open")</f>
        <v>ok</v>
      </c>
      <c r="C2179" s="93" t="s">
        <v>369</v>
      </c>
      <c r="D2179" t="s">
        <v>4014</v>
      </c>
      <c r="E2179" t="s">
        <v>4068</v>
      </c>
      <c r="F2179" s="117" t="s">
        <v>4068</v>
      </c>
      <c r="G2179" s="93" t="s">
        <v>400</v>
      </c>
      <c r="H2179" s="94" t="str">
        <f>IF(Proc[[#This Row],[type]]="LFF (MDG-F)",MID(Proc[[#This Row],[Obj]],13,10),"")</f>
        <v/>
      </c>
      <c r="J2179" s="94" t="b">
        <f>Proc[[#This Row],[Requested]]=Proc[[#This Row],[CurrentParent]]</f>
        <v>1</v>
      </c>
      <c r="K2179" s="144" t="str">
        <f>IF(Proc[[#This Row],[Author]]="Marcela Urrego",VLOOKUP(LEFT(Proc[[#This Row],[Requested]],1),Table3[#All],2,0),VLOOKUP(Proc[[#This Row],[Author]],Table4[],2,0))</f>
        <v>HC</v>
      </c>
      <c r="L2179" s="125" t="s">
        <v>2563</v>
      </c>
      <c r="M2179" s="90">
        <v>45807.678356481483</v>
      </c>
      <c r="N2179" s="91">
        <v>45810</v>
      </c>
      <c r="O2179" s="91">
        <v>45810</v>
      </c>
      <c r="P2179" s="90" t="str">
        <f ca="1">IF(Proc[[#This Row],[DaysAgeing]]&gt;5,"yep","on track")</f>
        <v>on track</v>
      </c>
      <c r="Q2179" s="3">
        <f ca="1">IF(Proc[[#This Row],[DateClosed]]="",ABS(NETWORKDAYS(Proc[[#This Row],[DateOpened]],TODAY()))-1,ABS(NETWORKDAYS(Proc[[#This Row],[DateOpened]],Proc[[#This Row],[DateClosed]]))-1)</f>
        <v>1</v>
      </c>
      <c r="R2179" s="90" t="s">
        <v>1013</v>
      </c>
      <c r="S2179" s="94"/>
    </row>
    <row r="2180" spans="1:19" hidden="1">
      <c r="A2180" s="93" t="s">
        <v>3747</v>
      </c>
      <c r="B2180" s="149" t="str">
        <f>IFERROR(VLOOKUP(Proc[[#This Row],[App]],Table2[],3,0),"open")</f>
        <v>ok</v>
      </c>
      <c r="C2180" s="93" t="s">
        <v>369</v>
      </c>
      <c r="D2180" t="s">
        <v>4015</v>
      </c>
      <c r="E2180" t="s">
        <v>4068</v>
      </c>
      <c r="F2180" s="117" t="s">
        <v>4068</v>
      </c>
      <c r="G2180" s="93" t="s">
        <v>400</v>
      </c>
      <c r="H2180" s="94" t="str">
        <f>IF(Proc[[#This Row],[type]]="LFF (MDG-F)",MID(Proc[[#This Row],[Obj]],13,10),"")</f>
        <v/>
      </c>
      <c r="J2180" s="94" t="b">
        <f>Proc[[#This Row],[Requested]]=Proc[[#This Row],[CurrentParent]]</f>
        <v>1</v>
      </c>
      <c r="K2180" s="144" t="str">
        <f>IF(Proc[[#This Row],[Author]]="Marcela Urrego",VLOOKUP(LEFT(Proc[[#This Row],[Requested]],1),Table3[#All],2,0),VLOOKUP(Proc[[#This Row],[Author]],Table4[],2,0))</f>
        <v>HC</v>
      </c>
      <c r="L2180" s="125" t="s">
        <v>2563</v>
      </c>
      <c r="M2180" s="90">
        <v>45807.678356481483</v>
      </c>
      <c r="N2180" s="91">
        <v>45810</v>
      </c>
      <c r="O2180" s="91">
        <v>45810</v>
      </c>
      <c r="P2180" s="90" t="str">
        <f ca="1">IF(Proc[[#This Row],[DaysAgeing]]&gt;5,"yep","on track")</f>
        <v>on track</v>
      </c>
      <c r="Q2180" s="3">
        <f ca="1">IF(Proc[[#This Row],[DateClosed]]="",ABS(NETWORKDAYS(Proc[[#This Row],[DateOpened]],TODAY()))-1,ABS(NETWORKDAYS(Proc[[#This Row],[DateOpened]],Proc[[#This Row],[DateClosed]]))-1)</f>
        <v>1</v>
      </c>
      <c r="R2180" s="90" t="s">
        <v>1013</v>
      </c>
      <c r="S2180" s="94"/>
    </row>
    <row r="2181" spans="1:19" hidden="1">
      <c r="A2181" s="93" t="s">
        <v>3747</v>
      </c>
      <c r="B2181" s="149" t="str">
        <f>IFERROR(VLOOKUP(Proc[[#This Row],[App]],Table2[],3,0),"open")</f>
        <v>ok</v>
      </c>
      <c r="C2181" s="93" t="s">
        <v>369</v>
      </c>
      <c r="D2181" t="s">
        <v>4016</v>
      </c>
      <c r="E2181" t="s">
        <v>4068</v>
      </c>
      <c r="F2181" s="117" t="s">
        <v>4068</v>
      </c>
      <c r="G2181" s="93" t="s">
        <v>400</v>
      </c>
      <c r="H2181" s="94" t="str">
        <f>IF(Proc[[#This Row],[type]]="LFF (MDG-F)",MID(Proc[[#This Row],[Obj]],13,10),"")</f>
        <v/>
      </c>
      <c r="J2181" s="94" t="b">
        <f>Proc[[#This Row],[Requested]]=Proc[[#This Row],[CurrentParent]]</f>
        <v>1</v>
      </c>
      <c r="K2181" s="144" t="str">
        <f>IF(Proc[[#This Row],[Author]]="Marcela Urrego",VLOOKUP(LEFT(Proc[[#This Row],[Requested]],1),Table3[#All],2,0),VLOOKUP(Proc[[#This Row],[Author]],Table4[],2,0))</f>
        <v>HC</v>
      </c>
      <c r="L2181" s="125" t="s">
        <v>2563</v>
      </c>
      <c r="M2181" s="90">
        <v>45807.678356481483</v>
      </c>
      <c r="N2181" s="91">
        <v>45810</v>
      </c>
      <c r="O2181" s="91">
        <v>45810</v>
      </c>
      <c r="P2181" s="90" t="str">
        <f ca="1">IF(Proc[[#This Row],[DaysAgeing]]&gt;5,"yep","on track")</f>
        <v>on track</v>
      </c>
      <c r="Q2181" s="3">
        <f ca="1">IF(Proc[[#This Row],[DateClosed]]="",ABS(NETWORKDAYS(Proc[[#This Row],[DateOpened]],TODAY()))-1,ABS(NETWORKDAYS(Proc[[#This Row],[DateOpened]],Proc[[#This Row],[DateClosed]]))-1)</f>
        <v>1</v>
      </c>
      <c r="R2181" s="90" t="s">
        <v>1013</v>
      </c>
      <c r="S2181" s="94"/>
    </row>
    <row r="2182" spans="1:19" hidden="1">
      <c r="A2182" s="93" t="s">
        <v>3747</v>
      </c>
      <c r="B2182" s="149" t="str">
        <f>IFERROR(VLOOKUP(Proc[[#This Row],[App]],Table2[],3,0),"open")</f>
        <v>ok</v>
      </c>
      <c r="C2182" s="93" t="s">
        <v>369</v>
      </c>
      <c r="D2182" t="s">
        <v>4017</v>
      </c>
      <c r="E2182" t="s">
        <v>4068</v>
      </c>
      <c r="F2182" s="117" t="s">
        <v>4068</v>
      </c>
      <c r="G2182" s="93" t="s">
        <v>400</v>
      </c>
      <c r="H2182" s="94" t="str">
        <f>IF(Proc[[#This Row],[type]]="LFF (MDG-F)",MID(Proc[[#This Row],[Obj]],13,10),"")</f>
        <v/>
      </c>
      <c r="J2182" s="94" t="b">
        <f>Proc[[#This Row],[Requested]]=Proc[[#This Row],[CurrentParent]]</f>
        <v>1</v>
      </c>
      <c r="K2182" s="144" t="str">
        <f>IF(Proc[[#This Row],[Author]]="Marcela Urrego",VLOOKUP(LEFT(Proc[[#This Row],[Requested]],1),Table3[#All],2,0),VLOOKUP(Proc[[#This Row],[Author]],Table4[],2,0))</f>
        <v>HC</v>
      </c>
      <c r="L2182" s="125" t="s">
        <v>2563</v>
      </c>
      <c r="M2182" s="90">
        <v>45807.678356481483</v>
      </c>
      <c r="N2182" s="91">
        <v>45810</v>
      </c>
      <c r="O2182" s="91">
        <v>45810</v>
      </c>
      <c r="P2182" s="90" t="str">
        <f ca="1">IF(Proc[[#This Row],[DaysAgeing]]&gt;5,"yep","on track")</f>
        <v>on track</v>
      </c>
      <c r="Q2182" s="3">
        <f ca="1">IF(Proc[[#This Row],[DateClosed]]="",ABS(NETWORKDAYS(Proc[[#This Row],[DateOpened]],TODAY()))-1,ABS(NETWORKDAYS(Proc[[#This Row],[DateOpened]],Proc[[#This Row],[DateClosed]]))-1)</f>
        <v>1</v>
      </c>
      <c r="R2182" s="90" t="s">
        <v>1013</v>
      </c>
      <c r="S2182" s="94"/>
    </row>
    <row r="2183" spans="1:19" hidden="1">
      <c r="A2183" s="93" t="s">
        <v>3747</v>
      </c>
      <c r="B2183" s="149" t="str">
        <f>IFERROR(VLOOKUP(Proc[[#This Row],[App]],Table2[],3,0),"open")</f>
        <v>ok</v>
      </c>
      <c r="C2183" s="93" t="s">
        <v>369</v>
      </c>
      <c r="D2183" t="s">
        <v>4018</v>
      </c>
      <c r="E2183" t="s">
        <v>4068</v>
      </c>
      <c r="F2183" s="117" t="s">
        <v>4068</v>
      </c>
      <c r="G2183" s="93" t="s">
        <v>400</v>
      </c>
      <c r="H2183" s="94" t="str">
        <f>IF(Proc[[#This Row],[type]]="LFF (MDG-F)",MID(Proc[[#This Row],[Obj]],13,10),"")</f>
        <v/>
      </c>
      <c r="J2183" s="94" t="b">
        <f>Proc[[#This Row],[Requested]]=Proc[[#This Row],[CurrentParent]]</f>
        <v>1</v>
      </c>
      <c r="K2183" s="144" t="str">
        <f>IF(Proc[[#This Row],[Author]]="Marcela Urrego",VLOOKUP(LEFT(Proc[[#This Row],[Requested]],1),Table3[#All],2,0),VLOOKUP(Proc[[#This Row],[Author]],Table4[],2,0))</f>
        <v>HC</v>
      </c>
      <c r="L2183" s="125" t="s">
        <v>2563</v>
      </c>
      <c r="M2183" s="90">
        <v>45807.678356481483</v>
      </c>
      <c r="N2183" s="91">
        <v>45810</v>
      </c>
      <c r="O2183" s="91">
        <v>45810</v>
      </c>
      <c r="P2183" s="90" t="str">
        <f ca="1">IF(Proc[[#This Row],[DaysAgeing]]&gt;5,"yep","on track")</f>
        <v>on track</v>
      </c>
      <c r="Q2183" s="3">
        <f ca="1">IF(Proc[[#This Row],[DateClosed]]="",ABS(NETWORKDAYS(Proc[[#This Row],[DateOpened]],TODAY()))-1,ABS(NETWORKDAYS(Proc[[#This Row],[DateOpened]],Proc[[#This Row],[DateClosed]]))-1)</f>
        <v>1</v>
      </c>
      <c r="R2183" s="90" t="s">
        <v>1013</v>
      </c>
      <c r="S2183" s="94"/>
    </row>
    <row r="2184" spans="1:19" hidden="1">
      <c r="A2184" s="93" t="s">
        <v>3747</v>
      </c>
      <c r="B2184" s="149" t="str">
        <f>IFERROR(VLOOKUP(Proc[[#This Row],[App]],Table2[],3,0),"open")</f>
        <v>ok</v>
      </c>
      <c r="C2184" s="93" t="s">
        <v>369</v>
      </c>
      <c r="D2184" t="s">
        <v>4019</v>
      </c>
      <c r="E2184" t="s">
        <v>4068</v>
      </c>
      <c r="F2184" s="117" t="s">
        <v>4068</v>
      </c>
      <c r="G2184" s="93" t="s">
        <v>400</v>
      </c>
      <c r="H2184" s="94" t="str">
        <f>IF(Proc[[#This Row],[type]]="LFF (MDG-F)",MID(Proc[[#This Row],[Obj]],13,10),"")</f>
        <v/>
      </c>
      <c r="J2184" s="94" t="b">
        <f>Proc[[#This Row],[Requested]]=Proc[[#This Row],[CurrentParent]]</f>
        <v>1</v>
      </c>
      <c r="K2184" s="144" t="str">
        <f>IF(Proc[[#This Row],[Author]]="Marcela Urrego",VLOOKUP(LEFT(Proc[[#This Row],[Requested]],1),Table3[#All],2,0),VLOOKUP(Proc[[#This Row],[Author]],Table4[],2,0))</f>
        <v>HC</v>
      </c>
      <c r="L2184" s="125" t="s">
        <v>2563</v>
      </c>
      <c r="M2184" s="90">
        <v>45807.678356481483</v>
      </c>
      <c r="N2184" s="91">
        <v>45810</v>
      </c>
      <c r="O2184" s="91">
        <v>45810</v>
      </c>
      <c r="P2184" s="90" t="str">
        <f ca="1">IF(Proc[[#This Row],[DaysAgeing]]&gt;5,"yep","on track")</f>
        <v>on track</v>
      </c>
      <c r="Q2184" s="3">
        <f ca="1">IF(Proc[[#This Row],[DateClosed]]="",ABS(NETWORKDAYS(Proc[[#This Row],[DateOpened]],TODAY()))-1,ABS(NETWORKDAYS(Proc[[#This Row],[DateOpened]],Proc[[#This Row],[DateClosed]]))-1)</f>
        <v>1</v>
      </c>
      <c r="R2184" s="90" t="s">
        <v>1013</v>
      </c>
      <c r="S2184" s="94"/>
    </row>
    <row r="2185" spans="1:19" hidden="1">
      <c r="A2185" s="93" t="s">
        <v>3747</v>
      </c>
      <c r="B2185" s="149" t="str">
        <f>IFERROR(VLOOKUP(Proc[[#This Row],[App]],Table2[],3,0),"open")</f>
        <v>ok</v>
      </c>
      <c r="C2185" s="93" t="s">
        <v>369</v>
      </c>
      <c r="D2185" t="s">
        <v>4020</v>
      </c>
      <c r="E2185" t="s">
        <v>4068</v>
      </c>
      <c r="F2185" s="117" t="s">
        <v>4068</v>
      </c>
      <c r="G2185" s="93" t="s">
        <v>400</v>
      </c>
      <c r="H2185" s="94" t="str">
        <f>IF(Proc[[#This Row],[type]]="LFF (MDG-F)",MID(Proc[[#This Row],[Obj]],13,10),"")</f>
        <v/>
      </c>
      <c r="J2185" s="94" t="b">
        <f>Proc[[#This Row],[Requested]]=Proc[[#This Row],[CurrentParent]]</f>
        <v>1</v>
      </c>
      <c r="K2185" s="144" t="str">
        <f>IF(Proc[[#This Row],[Author]]="Marcela Urrego",VLOOKUP(LEFT(Proc[[#This Row],[Requested]],1),Table3[#All],2,0),VLOOKUP(Proc[[#This Row],[Author]],Table4[],2,0))</f>
        <v>HC</v>
      </c>
      <c r="L2185" s="125" t="s">
        <v>2563</v>
      </c>
      <c r="M2185" s="90">
        <v>45807.678356481483</v>
      </c>
      <c r="N2185" s="91">
        <v>45810</v>
      </c>
      <c r="O2185" s="91">
        <v>45810</v>
      </c>
      <c r="P2185" s="90" t="str">
        <f ca="1">IF(Proc[[#This Row],[DaysAgeing]]&gt;5,"yep","on track")</f>
        <v>on track</v>
      </c>
      <c r="Q2185" s="3">
        <f ca="1">IF(Proc[[#This Row],[DateClosed]]="",ABS(NETWORKDAYS(Proc[[#This Row],[DateOpened]],TODAY()))-1,ABS(NETWORKDAYS(Proc[[#This Row],[DateOpened]],Proc[[#This Row],[DateClosed]]))-1)</f>
        <v>1</v>
      </c>
      <c r="R2185" s="90" t="s">
        <v>1013</v>
      </c>
      <c r="S2185" s="94"/>
    </row>
    <row r="2186" spans="1:19" hidden="1">
      <c r="A2186" s="93" t="s">
        <v>3747</v>
      </c>
      <c r="B2186" s="149" t="str">
        <f>IFERROR(VLOOKUP(Proc[[#This Row],[App]],Table2[],3,0),"open")</f>
        <v>ok</v>
      </c>
      <c r="C2186" s="93" t="s">
        <v>369</v>
      </c>
      <c r="D2186" t="s">
        <v>4021</v>
      </c>
      <c r="E2186" t="s">
        <v>4068</v>
      </c>
      <c r="F2186" s="117" t="s">
        <v>4068</v>
      </c>
      <c r="G2186" s="93" t="s">
        <v>400</v>
      </c>
      <c r="H2186" s="94" t="str">
        <f>IF(Proc[[#This Row],[type]]="LFF (MDG-F)",MID(Proc[[#This Row],[Obj]],13,10),"")</f>
        <v/>
      </c>
      <c r="J2186" s="94" t="b">
        <f>Proc[[#This Row],[Requested]]=Proc[[#This Row],[CurrentParent]]</f>
        <v>1</v>
      </c>
      <c r="K2186" s="144" t="str">
        <f>IF(Proc[[#This Row],[Author]]="Marcela Urrego",VLOOKUP(LEFT(Proc[[#This Row],[Requested]],1),Table3[#All],2,0),VLOOKUP(Proc[[#This Row],[Author]],Table4[],2,0))</f>
        <v>HC</v>
      </c>
      <c r="L2186" s="125" t="s">
        <v>2563</v>
      </c>
      <c r="M2186" s="90">
        <v>45807.678356481483</v>
      </c>
      <c r="N2186" s="91">
        <v>45810</v>
      </c>
      <c r="O2186" s="91">
        <v>45810</v>
      </c>
      <c r="P2186" s="90" t="str">
        <f ca="1">IF(Proc[[#This Row],[DaysAgeing]]&gt;5,"yep","on track")</f>
        <v>on track</v>
      </c>
      <c r="Q2186" s="3">
        <f ca="1">IF(Proc[[#This Row],[DateClosed]]="",ABS(NETWORKDAYS(Proc[[#This Row],[DateOpened]],TODAY()))-1,ABS(NETWORKDAYS(Proc[[#This Row],[DateOpened]],Proc[[#This Row],[DateClosed]]))-1)</f>
        <v>1</v>
      </c>
      <c r="R2186" s="90" t="s">
        <v>1013</v>
      </c>
      <c r="S2186" s="94"/>
    </row>
    <row r="2187" spans="1:19" hidden="1">
      <c r="A2187" s="93" t="s">
        <v>3747</v>
      </c>
      <c r="B2187" s="149" t="str">
        <f>IFERROR(VLOOKUP(Proc[[#This Row],[App]],Table2[],3,0),"open")</f>
        <v>ok</v>
      </c>
      <c r="C2187" s="93" t="s">
        <v>369</v>
      </c>
      <c r="D2187" t="s">
        <v>4022</v>
      </c>
      <c r="E2187" t="s">
        <v>4068</v>
      </c>
      <c r="F2187" s="117" t="s">
        <v>4068</v>
      </c>
      <c r="G2187" s="93" t="s">
        <v>400</v>
      </c>
      <c r="H2187" s="94" t="str">
        <f>IF(Proc[[#This Row],[type]]="LFF (MDG-F)",MID(Proc[[#This Row],[Obj]],13,10),"")</f>
        <v/>
      </c>
      <c r="J2187" s="94" t="b">
        <f>Proc[[#This Row],[Requested]]=Proc[[#This Row],[CurrentParent]]</f>
        <v>1</v>
      </c>
      <c r="K2187" s="144" t="str">
        <f>IF(Proc[[#This Row],[Author]]="Marcela Urrego",VLOOKUP(LEFT(Proc[[#This Row],[Requested]],1),Table3[#All],2,0),VLOOKUP(Proc[[#This Row],[Author]],Table4[],2,0))</f>
        <v>HC</v>
      </c>
      <c r="L2187" s="125" t="s">
        <v>2563</v>
      </c>
      <c r="M2187" s="90">
        <v>45807.678356481483</v>
      </c>
      <c r="N2187" s="91">
        <v>45810</v>
      </c>
      <c r="O2187" s="91">
        <v>45810</v>
      </c>
      <c r="P2187" s="90" t="str">
        <f ca="1">IF(Proc[[#This Row],[DaysAgeing]]&gt;5,"yep","on track")</f>
        <v>on track</v>
      </c>
      <c r="Q2187" s="3">
        <f ca="1">IF(Proc[[#This Row],[DateClosed]]="",ABS(NETWORKDAYS(Proc[[#This Row],[DateOpened]],TODAY()))-1,ABS(NETWORKDAYS(Proc[[#This Row],[DateOpened]],Proc[[#This Row],[DateClosed]]))-1)</f>
        <v>1</v>
      </c>
      <c r="R2187" s="90" t="s">
        <v>1013</v>
      </c>
      <c r="S2187" s="94"/>
    </row>
    <row r="2188" spans="1:19" hidden="1">
      <c r="A2188" s="93" t="s">
        <v>3747</v>
      </c>
      <c r="B2188" s="149" t="str">
        <f>IFERROR(VLOOKUP(Proc[[#This Row],[App]],Table2[],3,0),"open")</f>
        <v>ok</v>
      </c>
      <c r="C2188" s="93" t="s">
        <v>369</v>
      </c>
      <c r="D2188" t="s">
        <v>4023</v>
      </c>
      <c r="E2188" t="s">
        <v>4068</v>
      </c>
      <c r="F2188" s="117" t="s">
        <v>4068</v>
      </c>
      <c r="G2188" s="93" t="s">
        <v>400</v>
      </c>
      <c r="H2188" s="94" t="str">
        <f>IF(Proc[[#This Row],[type]]="LFF (MDG-F)",MID(Proc[[#This Row],[Obj]],13,10),"")</f>
        <v/>
      </c>
      <c r="J2188" s="94" t="b">
        <f>Proc[[#This Row],[Requested]]=Proc[[#This Row],[CurrentParent]]</f>
        <v>1</v>
      </c>
      <c r="K2188" s="144" t="str">
        <f>IF(Proc[[#This Row],[Author]]="Marcela Urrego",VLOOKUP(LEFT(Proc[[#This Row],[Requested]],1),Table3[#All],2,0),VLOOKUP(Proc[[#This Row],[Author]],Table4[],2,0))</f>
        <v>HC</v>
      </c>
      <c r="L2188" s="125" t="s">
        <v>2563</v>
      </c>
      <c r="M2188" s="90">
        <v>45807.678356481483</v>
      </c>
      <c r="N2188" s="91">
        <v>45810</v>
      </c>
      <c r="O2188" s="91">
        <v>45810</v>
      </c>
      <c r="P2188" s="90" t="str">
        <f ca="1">IF(Proc[[#This Row],[DaysAgeing]]&gt;5,"yep","on track")</f>
        <v>on track</v>
      </c>
      <c r="Q2188" s="3">
        <f ca="1">IF(Proc[[#This Row],[DateClosed]]="",ABS(NETWORKDAYS(Proc[[#This Row],[DateOpened]],TODAY()))-1,ABS(NETWORKDAYS(Proc[[#This Row],[DateOpened]],Proc[[#This Row],[DateClosed]]))-1)</f>
        <v>1</v>
      </c>
      <c r="R2188" s="90" t="s">
        <v>1013</v>
      </c>
      <c r="S2188" s="94"/>
    </row>
    <row r="2189" spans="1:19" hidden="1">
      <c r="A2189" s="93" t="s">
        <v>3747</v>
      </c>
      <c r="B2189" s="149" t="str">
        <f>IFERROR(VLOOKUP(Proc[[#This Row],[App]],Table2[],3,0),"open")</f>
        <v>ok</v>
      </c>
      <c r="C2189" s="93" t="s">
        <v>369</v>
      </c>
      <c r="D2189" t="s">
        <v>4024</v>
      </c>
      <c r="E2189" t="s">
        <v>4068</v>
      </c>
      <c r="F2189" s="117" t="s">
        <v>4068</v>
      </c>
      <c r="G2189" s="93" t="s">
        <v>400</v>
      </c>
      <c r="H2189" s="94" t="str">
        <f>IF(Proc[[#This Row],[type]]="LFF (MDG-F)",MID(Proc[[#This Row],[Obj]],13,10),"")</f>
        <v/>
      </c>
      <c r="J2189" s="94" t="b">
        <f>Proc[[#This Row],[Requested]]=Proc[[#This Row],[CurrentParent]]</f>
        <v>1</v>
      </c>
      <c r="K2189" s="144" t="str">
        <f>IF(Proc[[#This Row],[Author]]="Marcela Urrego",VLOOKUP(LEFT(Proc[[#This Row],[Requested]],1),Table3[#All],2,0),VLOOKUP(Proc[[#This Row],[Author]],Table4[],2,0))</f>
        <v>HC</v>
      </c>
      <c r="L2189" s="125" t="s">
        <v>2563</v>
      </c>
      <c r="M2189" s="90">
        <v>45807.678356481483</v>
      </c>
      <c r="N2189" s="91">
        <v>45810</v>
      </c>
      <c r="O2189" s="91">
        <v>45810</v>
      </c>
      <c r="P2189" s="90" t="str">
        <f ca="1">IF(Proc[[#This Row],[DaysAgeing]]&gt;5,"yep","on track")</f>
        <v>on track</v>
      </c>
      <c r="Q2189" s="3">
        <f ca="1">IF(Proc[[#This Row],[DateClosed]]="",ABS(NETWORKDAYS(Proc[[#This Row],[DateOpened]],TODAY()))-1,ABS(NETWORKDAYS(Proc[[#This Row],[DateOpened]],Proc[[#This Row],[DateClosed]]))-1)</f>
        <v>1</v>
      </c>
      <c r="R2189" s="90" t="s">
        <v>1013</v>
      </c>
      <c r="S2189" s="94"/>
    </row>
    <row r="2190" spans="1:19" hidden="1">
      <c r="A2190" s="93" t="s">
        <v>3747</v>
      </c>
      <c r="B2190" s="149" t="str">
        <f>IFERROR(VLOOKUP(Proc[[#This Row],[App]],Table2[],3,0),"open")</f>
        <v>ok</v>
      </c>
      <c r="C2190" s="93" t="s">
        <v>369</v>
      </c>
      <c r="D2190" t="s">
        <v>4025</v>
      </c>
      <c r="E2190" t="s">
        <v>4068</v>
      </c>
      <c r="F2190" s="117" t="s">
        <v>4068</v>
      </c>
      <c r="G2190" s="93" t="s">
        <v>400</v>
      </c>
      <c r="H2190" s="94" t="str">
        <f>IF(Proc[[#This Row],[type]]="LFF (MDG-F)",MID(Proc[[#This Row],[Obj]],13,10),"")</f>
        <v/>
      </c>
      <c r="J2190" s="94" t="b">
        <f>Proc[[#This Row],[Requested]]=Proc[[#This Row],[CurrentParent]]</f>
        <v>1</v>
      </c>
      <c r="K2190" s="144" t="str">
        <f>IF(Proc[[#This Row],[Author]]="Marcela Urrego",VLOOKUP(LEFT(Proc[[#This Row],[Requested]],1),Table3[#All],2,0),VLOOKUP(Proc[[#This Row],[Author]],Table4[],2,0))</f>
        <v>HC</v>
      </c>
      <c r="L2190" s="125" t="s">
        <v>2563</v>
      </c>
      <c r="M2190" s="90">
        <v>45807.678356481483</v>
      </c>
      <c r="N2190" s="91">
        <v>45810</v>
      </c>
      <c r="O2190" s="91">
        <v>45810</v>
      </c>
      <c r="P2190" s="90" t="str">
        <f ca="1">IF(Proc[[#This Row],[DaysAgeing]]&gt;5,"yep","on track")</f>
        <v>on track</v>
      </c>
      <c r="Q2190" s="3">
        <f ca="1">IF(Proc[[#This Row],[DateClosed]]="",ABS(NETWORKDAYS(Proc[[#This Row],[DateOpened]],TODAY()))-1,ABS(NETWORKDAYS(Proc[[#This Row],[DateOpened]],Proc[[#This Row],[DateClosed]]))-1)</f>
        <v>1</v>
      </c>
      <c r="R2190" s="90" t="s">
        <v>1013</v>
      </c>
      <c r="S2190" s="94"/>
    </row>
    <row r="2191" spans="1:19" hidden="1">
      <c r="A2191" s="93" t="s">
        <v>3747</v>
      </c>
      <c r="B2191" s="149" t="str">
        <f>IFERROR(VLOOKUP(Proc[[#This Row],[App]],Table2[],3,0),"open")</f>
        <v>ok</v>
      </c>
      <c r="C2191" s="93" t="s">
        <v>369</v>
      </c>
      <c r="D2191" t="s">
        <v>4026</v>
      </c>
      <c r="E2191" t="s">
        <v>4068</v>
      </c>
      <c r="F2191" s="117" t="s">
        <v>4068</v>
      </c>
      <c r="G2191" s="93" t="s">
        <v>400</v>
      </c>
      <c r="H2191" s="94" t="str">
        <f>IF(Proc[[#This Row],[type]]="LFF (MDG-F)",MID(Proc[[#This Row],[Obj]],13,10),"")</f>
        <v/>
      </c>
      <c r="J2191" s="94" t="b">
        <f>Proc[[#This Row],[Requested]]=Proc[[#This Row],[CurrentParent]]</f>
        <v>1</v>
      </c>
      <c r="K2191" s="144" t="str">
        <f>IF(Proc[[#This Row],[Author]]="Marcela Urrego",VLOOKUP(LEFT(Proc[[#This Row],[Requested]],1),Table3[#All],2,0),VLOOKUP(Proc[[#This Row],[Author]],Table4[],2,0))</f>
        <v>HC</v>
      </c>
      <c r="L2191" s="125" t="s">
        <v>2563</v>
      </c>
      <c r="M2191" s="90">
        <v>45807.678356481483</v>
      </c>
      <c r="N2191" s="91">
        <v>45810</v>
      </c>
      <c r="O2191" s="91">
        <v>45810</v>
      </c>
      <c r="P2191" s="90" t="str">
        <f ca="1">IF(Proc[[#This Row],[DaysAgeing]]&gt;5,"yep","on track")</f>
        <v>on track</v>
      </c>
      <c r="Q2191" s="3">
        <f ca="1">IF(Proc[[#This Row],[DateClosed]]="",ABS(NETWORKDAYS(Proc[[#This Row],[DateOpened]],TODAY()))-1,ABS(NETWORKDAYS(Proc[[#This Row],[DateOpened]],Proc[[#This Row],[DateClosed]]))-1)</f>
        <v>1</v>
      </c>
      <c r="R2191" s="90" t="s">
        <v>1013</v>
      </c>
      <c r="S2191" s="94"/>
    </row>
    <row r="2192" spans="1:19" hidden="1">
      <c r="A2192" s="93" t="s">
        <v>3747</v>
      </c>
      <c r="B2192" s="149" t="str">
        <f>IFERROR(VLOOKUP(Proc[[#This Row],[App]],Table2[],3,0),"open")</f>
        <v>ok</v>
      </c>
      <c r="C2192" s="93" t="s">
        <v>369</v>
      </c>
      <c r="D2192" t="s">
        <v>4027</v>
      </c>
      <c r="E2192" t="s">
        <v>4068</v>
      </c>
      <c r="F2192" s="117" t="s">
        <v>4068</v>
      </c>
      <c r="G2192" s="93" t="s">
        <v>400</v>
      </c>
      <c r="H2192" s="94" t="str">
        <f>IF(Proc[[#This Row],[type]]="LFF (MDG-F)",MID(Proc[[#This Row],[Obj]],13,10),"")</f>
        <v/>
      </c>
      <c r="J2192" s="94" t="b">
        <f>Proc[[#This Row],[Requested]]=Proc[[#This Row],[CurrentParent]]</f>
        <v>1</v>
      </c>
      <c r="K2192" s="144" t="str">
        <f>IF(Proc[[#This Row],[Author]]="Marcela Urrego",VLOOKUP(LEFT(Proc[[#This Row],[Requested]],1),Table3[#All],2,0),VLOOKUP(Proc[[#This Row],[Author]],Table4[],2,0))</f>
        <v>HC</v>
      </c>
      <c r="L2192" s="125" t="s">
        <v>2563</v>
      </c>
      <c r="M2192" s="90">
        <v>45807.678356481483</v>
      </c>
      <c r="N2192" s="91">
        <v>45810</v>
      </c>
      <c r="O2192" s="91">
        <v>45810</v>
      </c>
      <c r="P2192" s="90" t="str">
        <f ca="1">IF(Proc[[#This Row],[DaysAgeing]]&gt;5,"yep","on track")</f>
        <v>on track</v>
      </c>
      <c r="Q2192" s="3">
        <f ca="1">IF(Proc[[#This Row],[DateClosed]]="",ABS(NETWORKDAYS(Proc[[#This Row],[DateOpened]],TODAY()))-1,ABS(NETWORKDAYS(Proc[[#This Row],[DateOpened]],Proc[[#This Row],[DateClosed]]))-1)</f>
        <v>1</v>
      </c>
      <c r="R2192" s="90" t="s">
        <v>1013</v>
      </c>
      <c r="S2192" s="94"/>
    </row>
    <row r="2193" spans="1:19" hidden="1">
      <c r="A2193" s="93" t="s">
        <v>3747</v>
      </c>
      <c r="B2193" s="149" t="str">
        <f>IFERROR(VLOOKUP(Proc[[#This Row],[App]],Table2[],3,0),"open")</f>
        <v>ok</v>
      </c>
      <c r="C2193" s="93" t="s">
        <v>369</v>
      </c>
      <c r="D2193" t="s">
        <v>4028</v>
      </c>
      <c r="E2193" t="s">
        <v>4068</v>
      </c>
      <c r="F2193" s="117" t="s">
        <v>4068</v>
      </c>
      <c r="G2193" s="93" t="s">
        <v>400</v>
      </c>
      <c r="H2193" s="94" t="str">
        <f>IF(Proc[[#This Row],[type]]="LFF (MDG-F)",MID(Proc[[#This Row],[Obj]],13,10),"")</f>
        <v/>
      </c>
      <c r="J2193" s="94" t="b">
        <f>Proc[[#This Row],[Requested]]=Proc[[#This Row],[CurrentParent]]</f>
        <v>1</v>
      </c>
      <c r="K2193" s="144" t="str">
        <f>IF(Proc[[#This Row],[Author]]="Marcela Urrego",VLOOKUP(LEFT(Proc[[#This Row],[Requested]],1),Table3[#All],2,0),VLOOKUP(Proc[[#This Row],[Author]],Table4[],2,0))</f>
        <v>HC</v>
      </c>
      <c r="L2193" s="125" t="s">
        <v>2563</v>
      </c>
      <c r="M2193" s="90">
        <v>45807.678356481483</v>
      </c>
      <c r="N2193" s="91">
        <v>45810</v>
      </c>
      <c r="O2193" s="91">
        <v>45810</v>
      </c>
      <c r="P2193" s="90" t="str">
        <f ca="1">IF(Proc[[#This Row],[DaysAgeing]]&gt;5,"yep","on track")</f>
        <v>on track</v>
      </c>
      <c r="Q2193" s="3">
        <f ca="1">IF(Proc[[#This Row],[DateClosed]]="",ABS(NETWORKDAYS(Proc[[#This Row],[DateOpened]],TODAY()))-1,ABS(NETWORKDAYS(Proc[[#This Row],[DateOpened]],Proc[[#This Row],[DateClosed]]))-1)</f>
        <v>1</v>
      </c>
      <c r="R2193" s="90" t="s">
        <v>1013</v>
      </c>
      <c r="S2193" s="94"/>
    </row>
    <row r="2194" spans="1:19" hidden="1">
      <c r="A2194" s="93" t="s">
        <v>3747</v>
      </c>
      <c r="B2194" s="149" t="str">
        <f>IFERROR(VLOOKUP(Proc[[#This Row],[App]],Table2[],3,0),"open")</f>
        <v>ok</v>
      </c>
      <c r="C2194" s="93" t="s">
        <v>369</v>
      </c>
      <c r="D2194" t="s">
        <v>4029</v>
      </c>
      <c r="E2194" t="s">
        <v>4068</v>
      </c>
      <c r="F2194" s="117" t="s">
        <v>4068</v>
      </c>
      <c r="G2194" s="93" t="s">
        <v>400</v>
      </c>
      <c r="H2194" s="94" t="str">
        <f>IF(Proc[[#This Row],[type]]="LFF (MDG-F)",MID(Proc[[#This Row],[Obj]],13,10),"")</f>
        <v/>
      </c>
      <c r="J2194" s="94" t="b">
        <f>Proc[[#This Row],[Requested]]=Proc[[#This Row],[CurrentParent]]</f>
        <v>1</v>
      </c>
      <c r="K2194" s="144" t="str">
        <f>IF(Proc[[#This Row],[Author]]="Marcela Urrego",VLOOKUP(LEFT(Proc[[#This Row],[Requested]],1),Table3[#All],2,0),VLOOKUP(Proc[[#This Row],[Author]],Table4[],2,0))</f>
        <v>HC</v>
      </c>
      <c r="L2194" s="125" t="s">
        <v>2563</v>
      </c>
      <c r="M2194" s="90">
        <v>45807.678356481483</v>
      </c>
      <c r="N2194" s="91">
        <v>45810</v>
      </c>
      <c r="O2194" s="91">
        <v>45810</v>
      </c>
      <c r="P2194" s="90" t="str">
        <f ca="1">IF(Proc[[#This Row],[DaysAgeing]]&gt;5,"yep","on track")</f>
        <v>on track</v>
      </c>
      <c r="Q2194" s="3">
        <f ca="1">IF(Proc[[#This Row],[DateClosed]]="",ABS(NETWORKDAYS(Proc[[#This Row],[DateOpened]],TODAY()))-1,ABS(NETWORKDAYS(Proc[[#This Row],[DateOpened]],Proc[[#This Row],[DateClosed]]))-1)</f>
        <v>1</v>
      </c>
      <c r="R2194" s="90" t="s">
        <v>1013</v>
      </c>
      <c r="S2194" s="94"/>
    </row>
    <row r="2195" spans="1:19" hidden="1">
      <c r="A2195" s="93" t="s">
        <v>3747</v>
      </c>
      <c r="B2195" s="149" t="str">
        <f>IFERROR(VLOOKUP(Proc[[#This Row],[App]],Table2[],3,0),"open")</f>
        <v>ok</v>
      </c>
      <c r="C2195" s="93" t="s">
        <v>369</v>
      </c>
      <c r="D2195" t="s">
        <v>4030</v>
      </c>
      <c r="E2195" t="s">
        <v>4068</v>
      </c>
      <c r="F2195" s="117" t="s">
        <v>4068</v>
      </c>
      <c r="G2195" s="93" t="s">
        <v>400</v>
      </c>
      <c r="H2195" s="94" t="str">
        <f>IF(Proc[[#This Row],[type]]="LFF (MDG-F)",MID(Proc[[#This Row],[Obj]],13,10),"")</f>
        <v/>
      </c>
      <c r="J2195" s="94" t="b">
        <f>Proc[[#This Row],[Requested]]=Proc[[#This Row],[CurrentParent]]</f>
        <v>1</v>
      </c>
      <c r="K2195" s="144" t="str">
        <f>IF(Proc[[#This Row],[Author]]="Marcela Urrego",VLOOKUP(LEFT(Proc[[#This Row],[Requested]],1),Table3[#All],2,0),VLOOKUP(Proc[[#This Row],[Author]],Table4[],2,0))</f>
        <v>HC</v>
      </c>
      <c r="L2195" s="125" t="s">
        <v>2563</v>
      </c>
      <c r="M2195" s="90">
        <v>45807.678356481483</v>
      </c>
      <c r="N2195" s="91">
        <v>45810</v>
      </c>
      <c r="O2195" s="91">
        <v>45810</v>
      </c>
      <c r="P2195" s="90" t="str">
        <f ca="1">IF(Proc[[#This Row],[DaysAgeing]]&gt;5,"yep","on track")</f>
        <v>on track</v>
      </c>
      <c r="Q2195" s="3">
        <f ca="1">IF(Proc[[#This Row],[DateClosed]]="",ABS(NETWORKDAYS(Proc[[#This Row],[DateOpened]],TODAY()))-1,ABS(NETWORKDAYS(Proc[[#This Row],[DateOpened]],Proc[[#This Row],[DateClosed]]))-1)</f>
        <v>1</v>
      </c>
      <c r="R2195" s="90" t="s">
        <v>1013</v>
      </c>
      <c r="S2195" s="94"/>
    </row>
    <row r="2196" spans="1:19" hidden="1">
      <c r="A2196" s="93" t="s">
        <v>3747</v>
      </c>
      <c r="B2196" s="149" t="str">
        <f>IFERROR(VLOOKUP(Proc[[#This Row],[App]],Table2[],3,0),"open")</f>
        <v>ok</v>
      </c>
      <c r="C2196" s="93" t="s">
        <v>369</v>
      </c>
      <c r="D2196" t="s">
        <v>4031</v>
      </c>
      <c r="E2196" t="s">
        <v>4068</v>
      </c>
      <c r="F2196" s="117" t="s">
        <v>4068</v>
      </c>
      <c r="G2196" s="93" t="s">
        <v>400</v>
      </c>
      <c r="H2196" s="94" t="str">
        <f>IF(Proc[[#This Row],[type]]="LFF (MDG-F)",MID(Proc[[#This Row],[Obj]],13,10),"")</f>
        <v/>
      </c>
      <c r="J2196" s="94" t="b">
        <f>Proc[[#This Row],[Requested]]=Proc[[#This Row],[CurrentParent]]</f>
        <v>1</v>
      </c>
      <c r="K2196" s="144" t="str">
        <f>IF(Proc[[#This Row],[Author]]="Marcela Urrego",VLOOKUP(LEFT(Proc[[#This Row],[Requested]],1),Table3[#All],2,0),VLOOKUP(Proc[[#This Row],[Author]],Table4[],2,0))</f>
        <v>HC</v>
      </c>
      <c r="L2196" s="125" t="s">
        <v>2563</v>
      </c>
      <c r="M2196" s="90">
        <v>45807.678356481483</v>
      </c>
      <c r="N2196" s="91">
        <v>45810</v>
      </c>
      <c r="O2196" s="91">
        <v>45810</v>
      </c>
      <c r="P2196" s="90" t="str">
        <f ca="1">IF(Proc[[#This Row],[DaysAgeing]]&gt;5,"yep","on track")</f>
        <v>on track</v>
      </c>
      <c r="Q2196" s="3">
        <f ca="1">IF(Proc[[#This Row],[DateClosed]]="",ABS(NETWORKDAYS(Proc[[#This Row],[DateOpened]],TODAY()))-1,ABS(NETWORKDAYS(Proc[[#This Row],[DateOpened]],Proc[[#This Row],[DateClosed]]))-1)</f>
        <v>1</v>
      </c>
      <c r="R2196" s="90" t="s">
        <v>1013</v>
      </c>
      <c r="S2196" s="94"/>
    </row>
    <row r="2197" spans="1:19" hidden="1">
      <c r="A2197" s="93" t="s">
        <v>3747</v>
      </c>
      <c r="B2197" s="149" t="str">
        <f>IFERROR(VLOOKUP(Proc[[#This Row],[App]],Table2[],3,0),"open")</f>
        <v>ok</v>
      </c>
      <c r="C2197" s="93" t="s">
        <v>369</v>
      </c>
      <c r="D2197" t="s">
        <v>4032</v>
      </c>
      <c r="E2197" t="s">
        <v>4068</v>
      </c>
      <c r="F2197" s="117" t="s">
        <v>4068</v>
      </c>
      <c r="G2197" s="93" t="s">
        <v>400</v>
      </c>
      <c r="H2197" s="94" t="str">
        <f>IF(Proc[[#This Row],[type]]="LFF (MDG-F)",MID(Proc[[#This Row],[Obj]],13,10),"")</f>
        <v/>
      </c>
      <c r="J2197" s="94" t="b">
        <f>Proc[[#This Row],[Requested]]=Proc[[#This Row],[CurrentParent]]</f>
        <v>1</v>
      </c>
      <c r="K2197" s="144" t="str">
        <f>IF(Proc[[#This Row],[Author]]="Marcela Urrego",VLOOKUP(LEFT(Proc[[#This Row],[Requested]],1),Table3[#All],2,0),VLOOKUP(Proc[[#This Row],[Author]],Table4[],2,0))</f>
        <v>HC</v>
      </c>
      <c r="L2197" s="125" t="s">
        <v>2563</v>
      </c>
      <c r="M2197" s="90">
        <v>45807.678356481483</v>
      </c>
      <c r="N2197" s="91">
        <v>45810</v>
      </c>
      <c r="O2197" s="91">
        <v>45810</v>
      </c>
      <c r="P2197" s="90" t="str">
        <f ca="1">IF(Proc[[#This Row],[DaysAgeing]]&gt;5,"yep","on track")</f>
        <v>on track</v>
      </c>
      <c r="Q2197" s="3">
        <f ca="1">IF(Proc[[#This Row],[DateClosed]]="",ABS(NETWORKDAYS(Proc[[#This Row],[DateOpened]],TODAY()))-1,ABS(NETWORKDAYS(Proc[[#This Row],[DateOpened]],Proc[[#This Row],[DateClosed]]))-1)</f>
        <v>1</v>
      </c>
      <c r="R2197" s="90" t="s">
        <v>1013</v>
      </c>
      <c r="S2197" s="94"/>
    </row>
    <row r="2198" spans="1:19" hidden="1">
      <c r="A2198" s="93" t="s">
        <v>3747</v>
      </c>
      <c r="B2198" s="149" t="str">
        <f>IFERROR(VLOOKUP(Proc[[#This Row],[App]],Table2[],3,0),"open")</f>
        <v>ok</v>
      </c>
      <c r="C2198" s="93" t="s">
        <v>369</v>
      </c>
      <c r="D2198" t="s">
        <v>4033</v>
      </c>
      <c r="E2198" t="s">
        <v>4068</v>
      </c>
      <c r="F2198" s="117" t="s">
        <v>4068</v>
      </c>
      <c r="G2198" s="93" t="s">
        <v>400</v>
      </c>
      <c r="H2198" s="94" t="str">
        <f>IF(Proc[[#This Row],[type]]="LFF (MDG-F)",MID(Proc[[#This Row],[Obj]],13,10),"")</f>
        <v/>
      </c>
      <c r="J2198" s="94" t="b">
        <f>Proc[[#This Row],[Requested]]=Proc[[#This Row],[CurrentParent]]</f>
        <v>1</v>
      </c>
      <c r="K2198" s="144" t="str">
        <f>IF(Proc[[#This Row],[Author]]="Marcela Urrego",VLOOKUP(LEFT(Proc[[#This Row],[Requested]],1),Table3[#All],2,0),VLOOKUP(Proc[[#This Row],[Author]],Table4[],2,0))</f>
        <v>HC</v>
      </c>
      <c r="L2198" s="125" t="s">
        <v>2563</v>
      </c>
      <c r="M2198" s="90">
        <v>45807.678356481483</v>
      </c>
      <c r="N2198" s="91">
        <v>45810</v>
      </c>
      <c r="O2198" s="91">
        <v>45810</v>
      </c>
      <c r="P2198" s="90" t="str">
        <f ca="1">IF(Proc[[#This Row],[DaysAgeing]]&gt;5,"yep","on track")</f>
        <v>on track</v>
      </c>
      <c r="Q2198" s="3">
        <f ca="1">IF(Proc[[#This Row],[DateClosed]]="",ABS(NETWORKDAYS(Proc[[#This Row],[DateOpened]],TODAY()))-1,ABS(NETWORKDAYS(Proc[[#This Row],[DateOpened]],Proc[[#This Row],[DateClosed]]))-1)</f>
        <v>1</v>
      </c>
      <c r="R2198" s="90" t="s">
        <v>1013</v>
      </c>
      <c r="S2198" s="94"/>
    </row>
    <row r="2199" spans="1:19" hidden="1">
      <c r="A2199" s="93" t="s">
        <v>3747</v>
      </c>
      <c r="B2199" s="149" t="str">
        <f>IFERROR(VLOOKUP(Proc[[#This Row],[App]],Table2[],3,0),"open")</f>
        <v>ok</v>
      </c>
      <c r="C2199" s="93" t="s">
        <v>369</v>
      </c>
      <c r="D2199" t="s">
        <v>4034</v>
      </c>
      <c r="E2199" t="s">
        <v>4068</v>
      </c>
      <c r="F2199" s="117" t="s">
        <v>4068</v>
      </c>
      <c r="G2199" s="93" t="s">
        <v>400</v>
      </c>
      <c r="H2199" s="94" t="str">
        <f>IF(Proc[[#This Row],[type]]="LFF (MDG-F)",MID(Proc[[#This Row],[Obj]],13,10),"")</f>
        <v/>
      </c>
      <c r="J2199" s="94" t="b">
        <f>Proc[[#This Row],[Requested]]=Proc[[#This Row],[CurrentParent]]</f>
        <v>1</v>
      </c>
      <c r="K2199" s="144" t="str">
        <f>IF(Proc[[#This Row],[Author]]="Marcela Urrego",VLOOKUP(LEFT(Proc[[#This Row],[Requested]],1),Table3[#All],2,0),VLOOKUP(Proc[[#This Row],[Author]],Table4[],2,0))</f>
        <v>HC</v>
      </c>
      <c r="L2199" s="125" t="s">
        <v>2563</v>
      </c>
      <c r="M2199" s="90">
        <v>45807.678356481483</v>
      </c>
      <c r="N2199" s="91">
        <v>45810</v>
      </c>
      <c r="O2199" s="91">
        <v>45810</v>
      </c>
      <c r="P2199" s="90" t="str">
        <f ca="1">IF(Proc[[#This Row],[DaysAgeing]]&gt;5,"yep","on track")</f>
        <v>on track</v>
      </c>
      <c r="Q2199" s="3">
        <f ca="1">IF(Proc[[#This Row],[DateClosed]]="",ABS(NETWORKDAYS(Proc[[#This Row],[DateOpened]],TODAY()))-1,ABS(NETWORKDAYS(Proc[[#This Row],[DateOpened]],Proc[[#This Row],[DateClosed]]))-1)</f>
        <v>1</v>
      </c>
      <c r="R2199" s="90" t="s">
        <v>1013</v>
      </c>
      <c r="S2199" s="94"/>
    </row>
    <row r="2200" spans="1:19" hidden="1">
      <c r="A2200" s="93" t="s">
        <v>3747</v>
      </c>
      <c r="B2200" s="149" t="str">
        <f>IFERROR(VLOOKUP(Proc[[#This Row],[App]],Table2[],3,0),"open")</f>
        <v>ok</v>
      </c>
      <c r="C2200" s="93" t="s">
        <v>369</v>
      </c>
      <c r="D2200" t="s">
        <v>4035</v>
      </c>
      <c r="E2200" t="s">
        <v>4068</v>
      </c>
      <c r="F2200" s="117" t="s">
        <v>4068</v>
      </c>
      <c r="G2200" s="93" t="s">
        <v>400</v>
      </c>
      <c r="H2200" s="94" t="str">
        <f>IF(Proc[[#This Row],[type]]="LFF (MDG-F)",MID(Proc[[#This Row],[Obj]],13,10),"")</f>
        <v/>
      </c>
      <c r="J2200" s="94" t="b">
        <f>Proc[[#This Row],[Requested]]=Proc[[#This Row],[CurrentParent]]</f>
        <v>1</v>
      </c>
      <c r="K2200" s="144" t="str">
        <f>IF(Proc[[#This Row],[Author]]="Marcela Urrego",VLOOKUP(LEFT(Proc[[#This Row],[Requested]],1),Table3[#All],2,0),VLOOKUP(Proc[[#This Row],[Author]],Table4[],2,0))</f>
        <v>HC</v>
      </c>
      <c r="L2200" s="125" t="s">
        <v>2563</v>
      </c>
      <c r="M2200" s="90">
        <v>45807.678356481483</v>
      </c>
      <c r="N2200" s="91">
        <v>45810</v>
      </c>
      <c r="O2200" s="91">
        <v>45810</v>
      </c>
      <c r="P2200" s="90" t="str">
        <f ca="1">IF(Proc[[#This Row],[DaysAgeing]]&gt;5,"yep","on track")</f>
        <v>on track</v>
      </c>
      <c r="Q2200" s="3">
        <f ca="1">IF(Proc[[#This Row],[DateClosed]]="",ABS(NETWORKDAYS(Proc[[#This Row],[DateOpened]],TODAY()))-1,ABS(NETWORKDAYS(Proc[[#This Row],[DateOpened]],Proc[[#This Row],[DateClosed]]))-1)</f>
        <v>1</v>
      </c>
      <c r="R2200" s="90" t="s">
        <v>1013</v>
      </c>
      <c r="S2200" s="94"/>
    </row>
    <row r="2201" spans="1:19" hidden="1">
      <c r="A2201" s="93" t="s">
        <v>3747</v>
      </c>
      <c r="B2201" s="149" t="str">
        <f>IFERROR(VLOOKUP(Proc[[#This Row],[App]],Table2[],3,0),"open")</f>
        <v>ok</v>
      </c>
      <c r="C2201" s="93" t="s">
        <v>369</v>
      </c>
      <c r="D2201" t="s">
        <v>4036</v>
      </c>
      <c r="E2201" t="s">
        <v>4068</v>
      </c>
      <c r="F2201" s="117" t="s">
        <v>4068</v>
      </c>
      <c r="G2201" s="93" t="s">
        <v>400</v>
      </c>
      <c r="H2201" s="94" t="str">
        <f>IF(Proc[[#This Row],[type]]="LFF (MDG-F)",MID(Proc[[#This Row],[Obj]],13,10),"")</f>
        <v/>
      </c>
      <c r="J2201" s="94" t="b">
        <f>Proc[[#This Row],[Requested]]=Proc[[#This Row],[CurrentParent]]</f>
        <v>1</v>
      </c>
      <c r="K2201" s="144" t="str">
        <f>IF(Proc[[#This Row],[Author]]="Marcela Urrego",VLOOKUP(LEFT(Proc[[#This Row],[Requested]],1),Table3[#All],2,0),VLOOKUP(Proc[[#This Row],[Author]],Table4[],2,0))</f>
        <v>HC</v>
      </c>
      <c r="L2201" s="125" t="s">
        <v>2563</v>
      </c>
      <c r="M2201" s="90">
        <v>45807.678356481483</v>
      </c>
      <c r="N2201" s="91">
        <v>45810</v>
      </c>
      <c r="O2201" s="91">
        <v>45810</v>
      </c>
      <c r="P2201" s="90" t="str">
        <f ca="1">IF(Proc[[#This Row],[DaysAgeing]]&gt;5,"yep","on track")</f>
        <v>on track</v>
      </c>
      <c r="Q2201" s="3">
        <f ca="1">IF(Proc[[#This Row],[DateClosed]]="",ABS(NETWORKDAYS(Proc[[#This Row],[DateOpened]],TODAY()))-1,ABS(NETWORKDAYS(Proc[[#This Row],[DateOpened]],Proc[[#This Row],[DateClosed]]))-1)</f>
        <v>1</v>
      </c>
      <c r="R2201" s="90" t="s">
        <v>1013</v>
      </c>
      <c r="S2201" s="94"/>
    </row>
    <row r="2202" spans="1:19" hidden="1">
      <c r="A2202" s="93" t="s">
        <v>3747</v>
      </c>
      <c r="B2202" s="149" t="str">
        <f>IFERROR(VLOOKUP(Proc[[#This Row],[App]],Table2[],3,0),"open")</f>
        <v>ok</v>
      </c>
      <c r="C2202" s="93" t="s">
        <v>369</v>
      </c>
      <c r="D2202" t="s">
        <v>4037</v>
      </c>
      <c r="E2202" t="s">
        <v>4068</v>
      </c>
      <c r="F2202" s="117" t="s">
        <v>4068</v>
      </c>
      <c r="G2202" s="93" t="s">
        <v>400</v>
      </c>
      <c r="H2202" s="94" t="str">
        <f>IF(Proc[[#This Row],[type]]="LFF (MDG-F)",MID(Proc[[#This Row],[Obj]],13,10),"")</f>
        <v/>
      </c>
      <c r="J2202" s="94" t="b">
        <f>Proc[[#This Row],[Requested]]=Proc[[#This Row],[CurrentParent]]</f>
        <v>1</v>
      </c>
      <c r="K2202" s="144" t="str">
        <f>IF(Proc[[#This Row],[Author]]="Marcela Urrego",VLOOKUP(LEFT(Proc[[#This Row],[Requested]],1),Table3[#All],2,0),VLOOKUP(Proc[[#This Row],[Author]],Table4[],2,0))</f>
        <v>HC</v>
      </c>
      <c r="L2202" s="125" t="s">
        <v>2563</v>
      </c>
      <c r="M2202" s="90">
        <v>45807.678356481483</v>
      </c>
      <c r="N2202" s="91">
        <v>45810</v>
      </c>
      <c r="O2202" s="91">
        <v>45810</v>
      </c>
      <c r="P2202" s="90" t="str">
        <f ca="1">IF(Proc[[#This Row],[DaysAgeing]]&gt;5,"yep","on track")</f>
        <v>on track</v>
      </c>
      <c r="Q2202" s="3">
        <f ca="1">IF(Proc[[#This Row],[DateClosed]]="",ABS(NETWORKDAYS(Proc[[#This Row],[DateOpened]],TODAY()))-1,ABS(NETWORKDAYS(Proc[[#This Row],[DateOpened]],Proc[[#This Row],[DateClosed]]))-1)</f>
        <v>1</v>
      </c>
      <c r="R2202" s="90" t="s">
        <v>1013</v>
      </c>
      <c r="S2202" s="94"/>
    </row>
    <row r="2203" spans="1:19" hidden="1">
      <c r="A2203" s="93" t="s">
        <v>3747</v>
      </c>
      <c r="B2203" s="149" t="str">
        <f>IFERROR(VLOOKUP(Proc[[#This Row],[App]],Table2[],3,0),"open")</f>
        <v>ok</v>
      </c>
      <c r="C2203" s="93" t="s">
        <v>369</v>
      </c>
      <c r="D2203" t="s">
        <v>4038</v>
      </c>
      <c r="E2203" t="s">
        <v>4068</v>
      </c>
      <c r="F2203" s="117" t="s">
        <v>4068</v>
      </c>
      <c r="G2203" s="93" t="s">
        <v>400</v>
      </c>
      <c r="H2203" s="94" t="str">
        <f>IF(Proc[[#This Row],[type]]="LFF (MDG-F)",MID(Proc[[#This Row],[Obj]],13,10),"")</f>
        <v/>
      </c>
      <c r="J2203" s="94" t="b">
        <f>Proc[[#This Row],[Requested]]=Proc[[#This Row],[CurrentParent]]</f>
        <v>1</v>
      </c>
      <c r="K2203" s="144" t="str">
        <f>IF(Proc[[#This Row],[Author]]="Marcela Urrego",VLOOKUP(LEFT(Proc[[#This Row],[Requested]],1),Table3[#All],2,0),VLOOKUP(Proc[[#This Row],[Author]],Table4[],2,0))</f>
        <v>HC</v>
      </c>
      <c r="L2203" s="125" t="s">
        <v>2563</v>
      </c>
      <c r="M2203" s="90">
        <v>45807.678356481483</v>
      </c>
      <c r="N2203" s="91">
        <v>45810</v>
      </c>
      <c r="O2203" s="91">
        <v>45810</v>
      </c>
      <c r="P2203" s="90" t="str">
        <f ca="1">IF(Proc[[#This Row],[DaysAgeing]]&gt;5,"yep","on track")</f>
        <v>on track</v>
      </c>
      <c r="Q2203" s="3">
        <f ca="1">IF(Proc[[#This Row],[DateClosed]]="",ABS(NETWORKDAYS(Proc[[#This Row],[DateOpened]],TODAY()))-1,ABS(NETWORKDAYS(Proc[[#This Row],[DateOpened]],Proc[[#This Row],[DateClosed]]))-1)</f>
        <v>1</v>
      </c>
      <c r="R2203" s="90" t="s">
        <v>1013</v>
      </c>
      <c r="S2203" s="94"/>
    </row>
    <row r="2204" spans="1:19" hidden="1">
      <c r="A2204" s="93" t="s">
        <v>3747</v>
      </c>
      <c r="B2204" s="149" t="str">
        <f>IFERROR(VLOOKUP(Proc[[#This Row],[App]],Table2[],3,0),"open")</f>
        <v>ok</v>
      </c>
      <c r="C2204" s="93" t="s">
        <v>369</v>
      </c>
      <c r="D2204" t="s">
        <v>4039</v>
      </c>
      <c r="E2204" t="s">
        <v>4068</v>
      </c>
      <c r="F2204" s="117" t="s">
        <v>4068</v>
      </c>
      <c r="G2204" s="93" t="s">
        <v>400</v>
      </c>
      <c r="H2204" s="94" t="str">
        <f>IF(Proc[[#This Row],[type]]="LFF (MDG-F)",MID(Proc[[#This Row],[Obj]],13,10),"")</f>
        <v/>
      </c>
      <c r="J2204" s="94" t="b">
        <f>Proc[[#This Row],[Requested]]=Proc[[#This Row],[CurrentParent]]</f>
        <v>1</v>
      </c>
      <c r="K2204" s="144" t="str">
        <f>IF(Proc[[#This Row],[Author]]="Marcela Urrego",VLOOKUP(LEFT(Proc[[#This Row],[Requested]],1),Table3[#All],2,0),VLOOKUP(Proc[[#This Row],[Author]],Table4[],2,0))</f>
        <v>HC</v>
      </c>
      <c r="L2204" s="125" t="s">
        <v>2563</v>
      </c>
      <c r="M2204" s="90">
        <v>45807.678356481483</v>
      </c>
      <c r="N2204" s="91">
        <v>45810</v>
      </c>
      <c r="O2204" s="91">
        <v>45810</v>
      </c>
      <c r="P2204" s="90" t="str">
        <f ca="1">IF(Proc[[#This Row],[DaysAgeing]]&gt;5,"yep","on track")</f>
        <v>on track</v>
      </c>
      <c r="Q2204" s="3">
        <f ca="1">IF(Proc[[#This Row],[DateClosed]]="",ABS(NETWORKDAYS(Proc[[#This Row],[DateOpened]],TODAY()))-1,ABS(NETWORKDAYS(Proc[[#This Row],[DateOpened]],Proc[[#This Row],[DateClosed]]))-1)</f>
        <v>1</v>
      </c>
      <c r="R2204" s="90" t="s">
        <v>1013</v>
      </c>
      <c r="S2204" s="94"/>
    </row>
    <row r="2205" spans="1:19" hidden="1">
      <c r="A2205" s="93" t="s">
        <v>3747</v>
      </c>
      <c r="B2205" s="149" t="str">
        <f>IFERROR(VLOOKUP(Proc[[#This Row],[App]],Table2[],3,0),"open")</f>
        <v>ok</v>
      </c>
      <c r="C2205" s="93" t="s">
        <v>369</v>
      </c>
      <c r="D2205" t="s">
        <v>4040</v>
      </c>
      <c r="E2205" t="s">
        <v>4068</v>
      </c>
      <c r="F2205" s="117" t="s">
        <v>4068</v>
      </c>
      <c r="G2205" s="93" t="s">
        <v>400</v>
      </c>
      <c r="H2205" s="94" t="str">
        <f>IF(Proc[[#This Row],[type]]="LFF (MDG-F)",MID(Proc[[#This Row],[Obj]],13,10),"")</f>
        <v/>
      </c>
      <c r="J2205" s="94" t="b">
        <f>Proc[[#This Row],[Requested]]=Proc[[#This Row],[CurrentParent]]</f>
        <v>1</v>
      </c>
      <c r="K2205" s="144" t="str">
        <f>IF(Proc[[#This Row],[Author]]="Marcela Urrego",VLOOKUP(LEFT(Proc[[#This Row],[Requested]],1),Table3[#All],2,0),VLOOKUP(Proc[[#This Row],[Author]],Table4[],2,0))</f>
        <v>HC</v>
      </c>
      <c r="L2205" s="125" t="s">
        <v>2563</v>
      </c>
      <c r="M2205" s="90">
        <v>45807.678356481483</v>
      </c>
      <c r="N2205" s="91">
        <v>45810</v>
      </c>
      <c r="O2205" s="91">
        <v>45810</v>
      </c>
      <c r="P2205" s="90" t="str">
        <f ca="1">IF(Proc[[#This Row],[DaysAgeing]]&gt;5,"yep","on track")</f>
        <v>on track</v>
      </c>
      <c r="Q2205" s="3">
        <f ca="1">IF(Proc[[#This Row],[DateClosed]]="",ABS(NETWORKDAYS(Proc[[#This Row],[DateOpened]],TODAY()))-1,ABS(NETWORKDAYS(Proc[[#This Row],[DateOpened]],Proc[[#This Row],[DateClosed]]))-1)</f>
        <v>1</v>
      </c>
      <c r="R2205" s="90" t="s">
        <v>1013</v>
      </c>
      <c r="S2205" s="94"/>
    </row>
    <row r="2206" spans="1:19" hidden="1">
      <c r="A2206" s="93" t="s">
        <v>3747</v>
      </c>
      <c r="B2206" s="149" t="str">
        <f>IFERROR(VLOOKUP(Proc[[#This Row],[App]],Table2[],3,0),"open")</f>
        <v>ok</v>
      </c>
      <c r="C2206" s="93" t="s">
        <v>369</v>
      </c>
      <c r="D2206" t="s">
        <v>4041</v>
      </c>
      <c r="E2206" t="s">
        <v>4068</v>
      </c>
      <c r="F2206" s="117" t="s">
        <v>4068</v>
      </c>
      <c r="G2206" s="93" t="s">
        <v>400</v>
      </c>
      <c r="H2206" s="94" t="str">
        <f>IF(Proc[[#This Row],[type]]="LFF (MDG-F)",MID(Proc[[#This Row],[Obj]],13,10),"")</f>
        <v/>
      </c>
      <c r="J2206" s="94" t="b">
        <f>Proc[[#This Row],[Requested]]=Proc[[#This Row],[CurrentParent]]</f>
        <v>1</v>
      </c>
      <c r="K2206" s="144" t="str">
        <f>IF(Proc[[#This Row],[Author]]="Marcela Urrego",VLOOKUP(LEFT(Proc[[#This Row],[Requested]],1),Table3[#All],2,0),VLOOKUP(Proc[[#This Row],[Author]],Table4[],2,0))</f>
        <v>HC</v>
      </c>
      <c r="L2206" s="125" t="s">
        <v>2563</v>
      </c>
      <c r="M2206" s="90">
        <v>45807.678356481483</v>
      </c>
      <c r="N2206" s="91">
        <v>45810</v>
      </c>
      <c r="O2206" s="91">
        <v>45810</v>
      </c>
      <c r="P2206" s="90" t="str">
        <f ca="1">IF(Proc[[#This Row],[DaysAgeing]]&gt;5,"yep","on track")</f>
        <v>on track</v>
      </c>
      <c r="Q2206" s="3">
        <f ca="1">IF(Proc[[#This Row],[DateClosed]]="",ABS(NETWORKDAYS(Proc[[#This Row],[DateOpened]],TODAY()))-1,ABS(NETWORKDAYS(Proc[[#This Row],[DateOpened]],Proc[[#This Row],[DateClosed]]))-1)</f>
        <v>1</v>
      </c>
      <c r="R2206" s="90" t="s">
        <v>1013</v>
      </c>
      <c r="S2206" s="94"/>
    </row>
    <row r="2207" spans="1:19" hidden="1">
      <c r="A2207" s="93" t="s">
        <v>3747</v>
      </c>
      <c r="B2207" s="149" t="str">
        <f>IFERROR(VLOOKUP(Proc[[#This Row],[App]],Table2[],3,0),"open")</f>
        <v>ok</v>
      </c>
      <c r="C2207" s="93" t="s">
        <v>369</v>
      </c>
      <c r="D2207" t="s">
        <v>4042</v>
      </c>
      <c r="E2207" t="s">
        <v>4068</v>
      </c>
      <c r="F2207" s="117" t="s">
        <v>4068</v>
      </c>
      <c r="G2207" s="93" t="s">
        <v>400</v>
      </c>
      <c r="H2207" s="94" t="str">
        <f>IF(Proc[[#This Row],[type]]="LFF (MDG-F)",MID(Proc[[#This Row],[Obj]],13,10),"")</f>
        <v/>
      </c>
      <c r="J2207" s="94" t="b">
        <f>Proc[[#This Row],[Requested]]=Proc[[#This Row],[CurrentParent]]</f>
        <v>1</v>
      </c>
      <c r="K2207" s="144" t="str">
        <f>IF(Proc[[#This Row],[Author]]="Marcela Urrego",VLOOKUP(LEFT(Proc[[#This Row],[Requested]],1),Table3[#All],2,0),VLOOKUP(Proc[[#This Row],[Author]],Table4[],2,0))</f>
        <v>HC</v>
      </c>
      <c r="L2207" s="125" t="s">
        <v>2563</v>
      </c>
      <c r="M2207" s="90">
        <v>45807.678356481483</v>
      </c>
      <c r="N2207" s="91">
        <v>45810</v>
      </c>
      <c r="O2207" s="91">
        <v>45810</v>
      </c>
      <c r="P2207" s="90" t="str">
        <f ca="1">IF(Proc[[#This Row],[DaysAgeing]]&gt;5,"yep","on track")</f>
        <v>on track</v>
      </c>
      <c r="Q2207" s="3">
        <f ca="1">IF(Proc[[#This Row],[DateClosed]]="",ABS(NETWORKDAYS(Proc[[#This Row],[DateOpened]],TODAY()))-1,ABS(NETWORKDAYS(Proc[[#This Row],[DateOpened]],Proc[[#This Row],[DateClosed]]))-1)</f>
        <v>1</v>
      </c>
      <c r="R2207" s="90" t="s">
        <v>1013</v>
      </c>
      <c r="S2207" s="94"/>
    </row>
    <row r="2208" spans="1:19" hidden="1">
      <c r="A2208" s="93" t="s">
        <v>3747</v>
      </c>
      <c r="B2208" s="149" t="str">
        <f>IFERROR(VLOOKUP(Proc[[#This Row],[App]],Table2[],3,0),"open")</f>
        <v>ok</v>
      </c>
      <c r="C2208" s="93" t="s">
        <v>369</v>
      </c>
      <c r="D2208" t="s">
        <v>4043</v>
      </c>
      <c r="E2208" t="s">
        <v>4068</v>
      </c>
      <c r="F2208" s="117" t="s">
        <v>4068</v>
      </c>
      <c r="G2208" s="93" t="s">
        <v>400</v>
      </c>
      <c r="H2208" s="94" t="str">
        <f>IF(Proc[[#This Row],[type]]="LFF (MDG-F)",MID(Proc[[#This Row],[Obj]],13,10),"")</f>
        <v/>
      </c>
      <c r="J2208" s="94" t="b">
        <f>Proc[[#This Row],[Requested]]=Proc[[#This Row],[CurrentParent]]</f>
        <v>1</v>
      </c>
      <c r="K2208" s="144" t="str">
        <f>IF(Proc[[#This Row],[Author]]="Marcela Urrego",VLOOKUP(LEFT(Proc[[#This Row],[Requested]],1),Table3[#All],2,0),VLOOKUP(Proc[[#This Row],[Author]],Table4[],2,0))</f>
        <v>HC</v>
      </c>
      <c r="L2208" s="125" t="s">
        <v>2563</v>
      </c>
      <c r="M2208" s="90">
        <v>45807.678356481483</v>
      </c>
      <c r="N2208" s="91">
        <v>45810</v>
      </c>
      <c r="O2208" s="91">
        <v>45810</v>
      </c>
      <c r="P2208" s="90" t="str">
        <f ca="1">IF(Proc[[#This Row],[DaysAgeing]]&gt;5,"yep","on track")</f>
        <v>on track</v>
      </c>
      <c r="Q2208" s="3">
        <f ca="1">IF(Proc[[#This Row],[DateClosed]]="",ABS(NETWORKDAYS(Proc[[#This Row],[DateOpened]],TODAY()))-1,ABS(NETWORKDAYS(Proc[[#This Row],[DateOpened]],Proc[[#This Row],[DateClosed]]))-1)</f>
        <v>1</v>
      </c>
      <c r="R2208" s="90" t="s">
        <v>1013</v>
      </c>
      <c r="S2208" s="94"/>
    </row>
    <row r="2209" spans="1:19" hidden="1">
      <c r="A2209" s="93" t="s">
        <v>3747</v>
      </c>
      <c r="B2209" s="149" t="str">
        <f>IFERROR(VLOOKUP(Proc[[#This Row],[App]],Table2[],3,0),"open")</f>
        <v>ok</v>
      </c>
      <c r="C2209" s="93" t="s">
        <v>369</v>
      </c>
      <c r="D2209" t="s">
        <v>4044</v>
      </c>
      <c r="E2209" t="s">
        <v>4068</v>
      </c>
      <c r="F2209" s="117" t="s">
        <v>4068</v>
      </c>
      <c r="G2209" s="93" t="s">
        <v>400</v>
      </c>
      <c r="H2209" s="94" t="str">
        <f>IF(Proc[[#This Row],[type]]="LFF (MDG-F)",MID(Proc[[#This Row],[Obj]],13,10),"")</f>
        <v/>
      </c>
      <c r="J2209" s="94" t="b">
        <f>Proc[[#This Row],[Requested]]=Proc[[#This Row],[CurrentParent]]</f>
        <v>1</v>
      </c>
      <c r="K2209" s="144" t="str">
        <f>IF(Proc[[#This Row],[Author]]="Marcela Urrego",VLOOKUP(LEFT(Proc[[#This Row],[Requested]],1),Table3[#All],2,0),VLOOKUP(Proc[[#This Row],[Author]],Table4[],2,0))</f>
        <v>HC</v>
      </c>
      <c r="L2209" s="125" t="s">
        <v>2563</v>
      </c>
      <c r="M2209" s="90">
        <v>45807.678356481483</v>
      </c>
      <c r="N2209" s="91">
        <v>45810</v>
      </c>
      <c r="O2209" s="91">
        <v>45810</v>
      </c>
      <c r="P2209" s="90" t="str">
        <f ca="1">IF(Proc[[#This Row],[DaysAgeing]]&gt;5,"yep","on track")</f>
        <v>on track</v>
      </c>
      <c r="Q2209" s="3">
        <f ca="1">IF(Proc[[#This Row],[DateClosed]]="",ABS(NETWORKDAYS(Proc[[#This Row],[DateOpened]],TODAY()))-1,ABS(NETWORKDAYS(Proc[[#This Row],[DateOpened]],Proc[[#This Row],[DateClosed]]))-1)</f>
        <v>1</v>
      </c>
      <c r="R2209" s="90" t="s">
        <v>1013</v>
      </c>
      <c r="S2209" s="94"/>
    </row>
    <row r="2210" spans="1:19" hidden="1">
      <c r="A2210" s="93" t="s">
        <v>3747</v>
      </c>
      <c r="B2210" s="149" t="str">
        <f>IFERROR(VLOOKUP(Proc[[#This Row],[App]],Table2[],3,0),"open")</f>
        <v>ok</v>
      </c>
      <c r="C2210" s="93" t="s">
        <v>369</v>
      </c>
      <c r="D2210" t="s">
        <v>4045</v>
      </c>
      <c r="E2210" t="s">
        <v>4068</v>
      </c>
      <c r="F2210" s="117" t="s">
        <v>4068</v>
      </c>
      <c r="G2210" s="93" t="s">
        <v>400</v>
      </c>
      <c r="H2210" s="94" t="str">
        <f>IF(Proc[[#This Row],[type]]="LFF (MDG-F)",MID(Proc[[#This Row],[Obj]],13,10),"")</f>
        <v/>
      </c>
      <c r="J2210" s="94" t="b">
        <f>Proc[[#This Row],[Requested]]=Proc[[#This Row],[CurrentParent]]</f>
        <v>1</v>
      </c>
      <c r="K2210" s="144" t="str">
        <f>IF(Proc[[#This Row],[Author]]="Marcela Urrego",VLOOKUP(LEFT(Proc[[#This Row],[Requested]],1),Table3[#All],2,0),VLOOKUP(Proc[[#This Row],[Author]],Table4[],2,0))</f>
        <v>HC</v>
      </c>
      <c r="L2210" s="125" t="s">
        <v>2563</v>
      </c>
      <c r="M2210" s="90">
        <v>45807.678356481483</v>
      </c>
      <c r="N2210" s="91">
        <v>45810</v>
      </c>
      <c r="O2210" s="91">
        <v>45810</v>
      </c>
      <c r="P2210" s="90" t="str">
        <f ca="1">IF(Proc[[#This Row],[DaysAgeing]]&gt;5,"yep","on track")</f>
        <v>on track</v>
      </c>
      <c r="Q2210" s="3">
        <f ca="1">IF(Proc[[#This Row],[DateClosed]]="",ABS(NETWORKDAYS(Proc[[#This Row],[DateOpened]],TODAY()))-1,ABS(NETWORKDAYS(Proc[[#This Row],[DateOpened]],Proc[[#This Row],[DateClosed]]))-1)</f>
        <v>1</v>
      </c>
      <c r="R2210" s="90" t="s">
        <v>1013</v>
      </c>
      <c r="S2210" s="94"/>
    </row>
    <row r="2211" spans="1:19" hidden="1">
      <c r="A2211" s="93" t="s">
        <v>3747</v>
      </c>
      <c r="B2211" s="149" t="str">
        <f>IFERROR(VLOOKUP(Proc[[#This Row],[App]],Table2[],3,0),"open")</f>
        <v>ok</v>
      </c>
      <c r="C2211" s="93" t="s">
        <v>369</v>
      </c>
      <c r="D2211" t="s">
        <v>4046</v>
      </c>
      <c r="E2211" t="s">
        <v>4068</v>
      </c>
      <c r="F2211" s="117" t="s">
        <v>4068</v>
      </c>
      <c r="G2211" s="93" t="s">
        <v>400</v>
      </c>
      <c r="H2211" s="94" t="str">
        <f>IF(Proc[[#This Row],[type]]="LFF (MDG-F)",MID(Proc[[#This Row],[Obj]],13,10),"")</f>
        <v/>
      </c>
      <c r="J2211" s="94" t="b">
        <f>Proc[[#This Row],[Requested]]=Proc[[#This Row],[CurrentParent]]</f>
        <v>1</v>
      </c>
      <c r="K2211" s="144" t="str">
        <f>IF(Proc[[#This Row],[Author]]="Marcela Urrego",VLOOKUP(LEFT(Proc[[#This Row],[Requested]],1),Table3[#All],2,0),VLOOKUP(Proc[[#This Row],[Author]],Table4[],2,0))</f>
        <v>HC</v>
      </c>
      <c r="L2211" s="125" t="s">
        <v>2563</v>
      </c>
      <c r="M2211" s="90">
        <v>45807.678356481483</v>
      </c>
      <c r="N2211" s="91">
        <v>45810</v>
      </c>
      <c r="O2211" s="91">
        <v>45810</v>
      </c>
      <c r="P2211" s="90" t="str">
        <f ca="1">IF(Proc[[#This Row],[DaysAgeing]]&gt;5,"yep","on track")</f>
        <v>on track</v>
      </c>
      <c r="Q2211" s="3">
        <f ca="1">IF(Proc[[#This Row],[DateClosed]]="",ABS(NETWORKDAYS(Proc[[#This Row],[DateOpened]],TODAY()))-1,ABS(NETWORKDAYS(Proc[[#This Row],[DateOpened]],Proc[[#This Row],[DateClosed]]))-1)</f>
        <v>1</v>
      </c>
      <c r="R2211" s="90" t="s">
        <v>1013</v>
      </c>
      <c r="S2211" s="94"/>
    </row>
    <row r="2212" spans="1:19" hidden="1">
      <c r="A2212" s="93" t="s">
        <v>3747</v>
      </c>
      <c r="B2212" s="149" t="str">
        <f>IFERROR(VLOOKUP(Proc[[#This Row],[App]],Table2[],3,0),"open")</f>
        <v>ok</v>
      </c>
      <c r="C2212" s="93" t="s">
        <v>369</v>
      </c>
      <c r="D2212" t="s">
        <v>4047</v>
      </c>
      <c r="E2212" t="s">
        <v>2274</v>
      </c>
      <c r="F2212" s="117" t="s">
        <v>2274</v>
      </c>
      <c r="G2212" s="93" t="s">
        <v>400</v>
      </c>
      <c r="H2212" s="94" t="str">
        <f>IF(Proc[[#This Row],[type]]="LFF (MDG-F)",MID(Proc[[#This Row],[Obj]],13,10),"")</f>
        <v/>
      </c>
      <c r="J2212" s="94" t="b">
        <f>Proc[[#This Row],[Requested]]=Proc[[#This Row],[CurrentParent]]</f>
        <v>1</v>
      </c>
      <c r="K2212" s="144" t="str">
        <f>IF(Proc[[#This Row],[Author]]="Marcela Urrego",VLOOKUP(LEFT(Proc[[#This Row],[Requested]],1),Table3[#All],2,0),VLOOKUP(Proc[[#This Row],[Author]],Table4[],2,0))</f>
        <v>HC</v>
      </c>
      <c r="L2212" s="125" t="s">
        <v>2563</v>
      </c>
      <c r="M2212" s="90">
        <v>45807.678356481483</v>
      </c>
      <c r="N2212" s="91">
        <v>45810</v>
      </c>
      <c r="O2212" s="91">
        <v>45810</v>
      </c>
      <c r="P2212" s="90" t="str">
        <f ca="1">IF(Proc[[#This Row],[DaysAgeing]]&gt;5,"yep","on track")</f>
        <v>on track</v>
      </c>
      <c r="Q2212" s="3">
        <f ca="1">IF(Proc[[#This Row],[DateClosed]]="",ABS(NETWORKDAYS(Proc[[#This Row],[DateOpened]],TODAY()))-1,ABS(NETWORKDAYS(Proc[[#This Row],[DateOpened]],Proc[[#This Row],[DateClosed]]))-1)</f>
        <v>1</v>
      </c>
      <c r="R2212" s="90" t="s">
        <v>1013</v>
      </c>
      <c r="S2212" s="94"/>
    </row>
    <row r="2213" spans="1:19" hidden="1">
      <c r="A2213" s="93" t="s">
        <v>3747</v>
      </c>
      <c r="B2213" s="149" t="str">
        <f>IFERROR(VLOOKUP(Proc[[#This Row],[App]],Table2[],3,0),"open")</f>
        <v>ok</v>
      </c>
      <c r="C2213" s="93" t="s">
        <v>369</v>
      </c>
      <c r="D2213" t="s">
        <v>4048</v>
      </c>
      <c r="E2213" t="s">
        <v>4068</v>
      </c>
      <c r="F2213" s="117" t="s">
        <v>4068</v>
      </c>
      <c r="G2213" s="93" t="s">
        <v>400</v>
      </c>
      <c r="H2213" s="94" t="str">
        <f>IF(Proc[[#This Row],[type]]="LFF (MDG-F)",MID(Proc[[#This Row],[Obj]],13,10),"")</f>
        <v/>
      </c>
      <c r="J2213" s="94" t="b">
        <f>Proc[[#This Row],[Requested]]=Proc[[#This Row],[CurrentParent]]</f>
        <v>1</v>
      </c>
      <c r="K2213" s="144" t="str">
        <f>IF(Proc[[#This Row],[Author]]="Marcela Urrego",VLOOKUP(LEFT(Proc[[#This Row],[Requested]],1),Table3[#All],2,0),VLOOKUP(Proc[[#This Row],[Author]],Table4[],2,0))</f>
        <v>HC</v>
      </c>
      <c r="L2213" s="125" t="s">
        <v>2563</v>
      </c>
      <c r="M2213" s="90">
        <v>45807.678356481483</v>
      </c>
      <c r="N2213" s="91">
        <v>45810</v>
      </c>
      <c r="O2213" s="91">
        <v>45810</v>
      </c>
      <c r="P2213" s="90" t="str">
        <f ca="1">IF(Proc[[#This Row],[DaysAgeing]]&gt;5,"yep","on track")</f>
        <v>on track</v>
      </c>
      <c r="Q2213" s="3">
        <f ca="1">IF(Proc[[#This Row],[DateClosed]]="",ABS(NETWORKDAYS(Proc[[#This Row],[DateOpened]],TODAY()))-1,ABS(NETWORKDAYS(Proc[[#This Row],[DateOpened]],Proc[[#This Row],[DateClosed]]))-1)</f>
        <v>1</v>
      </c>
      <c r="R2213" s="90" t="s">
        <v>1013</v>
      </c>
      <c r="S2213" s="94"/>
    </row>
    <row r="2214" spans="1:19" hidden="1">
      <c r="A2214" s="93" t="s">
        <v>3747</v>
      </c>
      <c r="B2214" s="149" t="str">
        <f>IFERROR(VLOOKUP(Proc[[#This Row],[App]],Table2[],3,0),"open")</f>
        <v>ok</v>
      </c>
      <c r="C2214" s="93" t="s">
        <v>369</v>
      </c>
      <c r="D2214" t="s">
        <v>4049</v>
      </c>
      <c r="E2214" t="s">
        <v>4068</v>
      </c>
      <c r="F2214" s="117" t="s">
        <v>4068</v>
      </c>
      <c r="G2214" s="93" t="s">
        <v>400</v>
      </c>
      <c r="H2214" s="94" t="str">
        <f>IF(Proc[[#This Row],[type]]="LFF (MDG-F)",MID(Proc[[#This Row],[Obj]],13,10),"")</f>
        <v/>
      </c>
      <c r="J2214" s="94" t="b">
        <f>Proc[[#This Row],[Requested]]=Proc[[#This Row],[CurrentParent]]</f>
        <v>1</v>
      </c>
      <c r="K2214" s="144" t="str">
        <f>IF(Proc[[#This Row],[Author]]="Marcela Urrego",VLOOKUP(LEFT(Proc[[#This Row],[Requested]],1),Table3[#All],2,0),VLOOKUP(Proc[[#This Row],[Author]],Table4[],2,0))</f>
        <v>HC</v>
      </c>
      <c r="L2214" s="125" t="s">
        <v>2563</v>
      </c>
      <c r="M2214" s="90">
        <v>45807.678356481483</v>
      </c>
      <c r="N2214" s="91">
        <v>45810</v>
      </c>
      <c r="O2214" s="91">
        <v>45810</v>
      </c>
      <c r="P2214" s="90" t="str">
        <f ca="1">IF(Proc[[#This Row],[DaysAgeing]]&gt;5,"yep","on track")</f>
        <v>on track</v>
      </c>
      <c r="Q2214" s="3">
        <f ca="1">IF(Proc[[#This Row],[DateClosed]]="",ABS(NETWORKDAYS(Proc[[#This Row],[DateOpened]],TODAY()))-1,ABS(NETWORKDAYS(Proc[[#This Row],[DateOpened]],Proc[[#This Row],[DateClosed]]))-1)</f>
        <v>1</v>
      </c>
      <c r="R2214" s="90" t="s">
        <v>1013</v>
      </c>
      <c r="S2214" s="94"/>
    </row>
    <row r="2215" spans="1:19" hidden="1">
      <c r="A2215" s="93" t="s">
        <v>3747</v>
      </c>
      <c r="B2215" s="149" t="str">
        <f>IFERROR(VLOOKUP(Proc[[#This Row],[App]],Table2[],3,0),"open")</f>
        <v>ok</v>
      </c>
      <c r="C2215" s="93" t="s">
        <v>369</v>
      </c>
      <c r="D2215" t="s">
        <v>4050</v>
      </c>
      <c r="E2215" t="s">
        <v>4068</v>
      </c>
      <c r="F2215" s="117" t="s">
        <v>4068</v>
      </c>
      <c r="G2215" s="93" t="s">
        <v>400</v>
      </c>
      <c r="H2215" s="94" t="str">
        <f>IF(Proc[[#This Row],[type]]="LFF (MDG-F)",MID(Proc[[#This Row],[Obj]],13,10),"")</f>
        <v/>
      </c>
      <c r="J2215" s="94" t="b">
        <f>Proc[[#This Row],[Requested]]=Proc[[#This Row],[CurrentParent]]</f>
        <v>1</v>
      </c>
      <c r="K2215" s="144" t="str">
        <f>IF(Proc[[#This Row],[Author]]="Marcela Urrego",VLOOKUP(LEFT(Proc[[#This Row],[Requested]],1),Table3[#All],2,0),VLOOKUP(Proc[[#This Row],[Author]],Table4[],2,0))</f>
        <v>HC</v>
      </c>
      <c r="L2215" s="125" t="s">
        <v>2563</v>
      </c>
      <c r="M2215" s="90">
        <v>45807.678356481483</v>
      </c>
      <c r="N2215" s="91">
        <v>45810</v>
      </c>
      <c r="O2215" s="91">
        <v>45810</v>
      </c>
      <c r="P2215" s="90" t="str">
        <f ca="1">IF(Proc[[#This Row],[DaysAgeing]]&gt;5,"yep","on track")</f>
        <v>on track</v>
      </c>
      <c r="Q2215" s="3">
        <f ca="1">IF(Proc[[#This Row],[DateClosed]]="",ABS(NETWORKDAYS(Proc[[#This Row],[DateOpened]],TODAY()))-1,ABS(NETWORKDAYS(Proc[[#This Row],[DateOpened]],Proc[[#This Row],[DateClosed]]))-1)</f>
        <v>1</v>
      </c>
      <c r="R2215" s="90" t="s">
        <v>1013</v>
      </c>
      <c r="S2215" s="94"/>
    </row>
    <row r="2216" spans="1:19" hidden="1">
      <c r="A2216" s="93" t="s">
        <v>3747</v>
      </c>
      <c r="B2216" s="149" t="str">
        <f>IFERROR(VLOOKUP(Proc[[#This Row],[App]],Table2[],3,0),"open")</f>
        <v>ok</v>
      </c>
      <c r="C2216" s="93" t="s">
        <v>369</v>
      </c>
      <c r="D2216" t="s">
        <v>4051</v>
      </c>
      <c r="E2216" t="s">
        <v>4068</v>
      </c>
      <c r="F2216" s="117" t="s">
        <v>4068</v>
      </c>
      <c r="G2216" s="93" t="s">
        <v>400</v>
      </c>
      <c r="H2216" s="94" t="str">
        <f>IF(Proc[[#This Row],[type]]="LFF (MDG-F)",MID(Proc[[#This Row],[Obj]],13,10),"")</f>
        <v/>
      </c>
      <c r="J2216" s="94" t="b">
        <f>Proc[[#This Row],[Requested]]=Proc[[#This Row],[CurrentParent]]</f>
        <v>1</v>
      </c>
      <c r="K2216" s="144" t="str">
        <f>IF(Proc[[#This Row],[Author]]="Marcela Urrego",VLOOKUP(LEFT(Proc[[#This Row],[Requested]],1),Table3[#All],2,0),VLOOKUP(Proc[[#This Row],[Author]],Table4[],2,0))</f>
        <v>HC</v>
      </c>
      <c r="L2216" s="125" t="s">
        <v>2563</v>
      </c>
      <c r="M2216" s="90">
        <v>45807.678356481483</v>
      </c>
      <c r="N2216" s="91">
        <v>45810</v>
      </c>
      <c r="O2216" s="91">
        <v>45810</v>
      </c>
      <c r="P2216" s="90" t="str">
        <f ca="1">IF(Proc[[#This Row],[DaysAgeing]]&gt;5,"yep","on track")</f>
        <v>on track</v>
      </c>
      <c r="Q2216" s="3">
        <f ca="1">IF(Proc[[#This Row],[DateClosed]]="",ABS(NETWORKDAYS(Proc[[#This Row],[DateOpened]],TODAY()))-1,ABS(NETWORKDAYS(Proc[[#This Row],[DateOpened]],Proc[[#This Row],[DateClosed]]))-1)</f>
        <v>1</v>
      </c>
      <c r="R2216" s="90" t="s">
        <v>1013</v>
      </c>
      <c r="S2216" s="94"/>
    </row>
    <row r="2217" spans="1:19" hidden="1">
      <c r="A2217" s="93" t="s">
        <v>3747</v>
      </c>
      <c r="B2217" s="149" t="str">
        <f>IFERROR(VLOOKUP(Proc[[#This Row],[App]],Table2[],3,0),"open")</f>
        <v>ok</v>
      </c>
      <c r="C2217" s="93" t="s">
        <v>369</v>
      </c>
      <c r="D2217" t="s">
        <v>4052</v>
      </c>
      <c r="E2217" t="s">
        <v>4068</v>
      </c>
      <c r="F2217" s="117" t="s">
        <v>4068</v>
      </c>
      <c r="G2217" s="93" t="s">
        <v>400</v>
      </c>
      <c r="H2217" s="94" t="str">
        <f>IF(Proc[[#This Row],[type]]="LFF (MDG-F)",MID(Proc[[#This Row],[Obj]],13,10),"")</f>
        <v/>
      </c>
      <c r="J2217" s="94" t="b">
        <f>Proc[[#This Row],[Requested]]=Proc[[#This Row],[CurrentParent]]</f>
        <v>1</v>
      </c>
      <c r="K2217" s="144" t="str">
        <f>IF(Proc[[#This Row],[Author]]="Marcela Urrego",VLOOKUP(LEFT(Proc[[#This Row],[Requested]],1),Table3[#All],2,0),VLOOKUP(Proc[[#This Row],[Author]],Table4[],2,0))</f>
        <v>HC</v>
      </c>
      <c r="L2217" s="125" t="s">
        <v>2563</v>
      </c>
      <c r="M2217" s="90">
        <v>45807.678356481483</v>
      </c>
      <c r="N2217" s="91">
        <v>45810</v>
      </c>
      <c r="O2217" s="91">
        <v>45810</v>
      </c>
      <c r="P2217" s="90" t="str">
        <f ca="1">IF(Proc[[#This Row],[DaysAgeing]]&gt;5,"yep","on track")</f>
        <v>on track</v>
      </c>
      <c r="Q2217" s="3">
        <f ca="1">IF(Proc[[#This Row],[DateClosed]]="",ABS(NETWORKDAYS(Proc[[#This Row],[DateOpened]],TODAY()))-1,ABS(NETWORKDAYS(Proc[[#This Row],[DateOpened]],Proc[[#This Row],[DateClosed]]))-1)</f>
        <v>1</v>
      </c>
      <c r="R2217" s="90" t="s">
        <v>1013</v>
      </c>
      <c r="S2217" s="94"/>
    </row>
    <row r="2218" spans="1:19" hidden="1">
      <c r="A2218" s="93" t="s">
        <v>3747</v>
      </c>
      <c r="B2218" s="149" t="str">
        <f>IFERROR(VLOOKUP(Proc[[#This Row],[App]],Table2[],3,0),"open")</f>
        <v>ok</v>
      </c>
      <c r="C2218" s="93" t="s">
        <v>369</v>
      </c>
      <c r="D2218" t="s">
        <v>4053</v>
      </c>
      <c r="E2218" t="s">
        <v>4068</v>
      </c>
      <c r="F2218" s="117" t="s">
        <v>4068</v>
      </c>
      <c r="G2218" s="93" t="s">
        <v>400</v>
      </c>
      <c r="H2218" s="94" t="str">
        <f>IF(Proc[[#This Row],[type]]="LFF (MDG-F)",MID(Proc[[#This Row],[Obj]],13,10),"")</f>
        <v/>
      </c>
      <c r="J2218" s="94" t="b">
        <f>Proc[[#This Row],[Requested]]=Proc[[#This Row],[CurrentParent]]</f>
        <v>1</v>
      </c>
      <c r="K2218" s="144" t="str">
        <f>IF(Proc[[#This Row],[Author]]="Marcela Urrego",VLOOKUP(LEFT(Proc[[#This Row],[Requested]],1),Table3[#All],2,0),VLOOKUP(Proc[[#This Row],[Author]],Table4[],2,0))</f>
        <v>HC</v>
      </c>
      <c r="L2218" s="125" t="s">
        <v>2563</v>
      </c>
      <c r="M2218" s="90">
        <v>45807.678356481483</v>
      </c>
      <c r="N2218" s="91">
        <v>45810</v>
      </c>
      <c r="O2218" s="91">
        <v>45810</v>
      </c>
      <c r="P2218" s="90" t="str">
        <f ca="1">IF(Proc[[#This Row],[DaysAgeing]]&gt;5,"yep","on track")</f>
        <v>on track</v>
      </c>
      <c r="Q2218" s="3">
        <f ca="1">IF(Proc[[#This Row],[DateClosed]]="",ABS(NETWORKDAYS(Proc[[#This Row],[DateOpened]],TODAY()))-1,ABS(NETWORKDAYS(Proc[[#This Row],[DateOpened]],Proc[[#This Row],[DateClosed]]))-1)</f>
        <v>1</v>
      </c>
      <c r="R2218" s="90" t="s">
        <v>1013</v>
      </c>
      <c r="S2218" s="94"/>
    </row>
    <row r="2219" spans="1:19" hidden="1">
      <c r="A2219" s="93" t="s">
        <v>3747</v>
      </c>
      <c r="B2219" s="149" t="str">
        <f>IFERROR(VLOOKUP(Proc[[#This Row],[App]],Table2[],3,0),"open")</f>
        <v>ok</v>
      </c>
      <c r="C2219" s="93" t="s">
        <v>369</v>
      </c>
      <c r="D2219" t="s">
        <v>4054</v>
      </c>
      <c r="E2219" t="s">
        <v>4068</v>
      </c>
      <c r="F2219" s="117" t="s">
        <v>4068</v>
      </c>
      <c r="G2219" s="93" t="s">
        <v>400</v>
      </c>
      <c r="H2219" s="94" t="str">
        <f>IF(Proc[[#This Row],[type]]="LFF (MDG-F)",MID(Proc[[#This Row],[Obj]],13,10),"")</f>
        <v/>
      </c>
      <c r="J2219" s="94" t="b">
        <f>Proc[[#This Row],[Requested]]=Proc[[#This Row],[CurrentParent]]</f>
        <v>1</v>
      </c>
      <c r="K2219" s="144" t="str">
        <f>IF(Proc[[#This Row],[Author]]="Marcela Urrego",VLOOKUP(LEFT(Proc[[#This Row],[Requested]],1),Table3[#All],2,0),VLOOKUP(Proc[[#This Row],[Author]],Table4[],2,0))</f>
        <v>HC</v>
      </c>
      <c r="L2219" s="125" t="s">
        <v>2563</v>
      </c>
      <c r="M2219" s="90">
        <v>45807.678356481483</v>
      </c>
      <c r="N2219" s="91">
        <v>45810</v>
      </c>
      <c r="O2219" s="91">
        <v>45810</v>
      </c>
      <c r="P2219" s="90" t="str">
        <f ca="1">IF(Proc[[#This Row],[DaysAgeing]]&gt;5,"yep","on track")</f>
        <v>on track</v>
      </c>
      <c r="Q2219" s="3">
        <f ca="1">IF(Proc[[#This Row],[DateClosed]]="",ABS(NETWORKDAYS(Proc[[#This Row],[DateOpened]],TODAY()))-1,ABS(NETWORKDAYS(Proc[[#This Row],[DateOpened]],Proc[[#This Row],[DateClosed]]))-1)</f>
        <v>1</v>
      </c>
      <c r="R2219" s="90" t="s">
        <v>1013</v>
      </c>
      <c r="S2219" s="94"/>
    </row>
    <row r="2220" spans="1:19" hidden="1">
      <c r="A2220" s="93" t="s">
        <v>3747</v>
      </c>
      <c r="B2220" s="149" t="str">
        <f>IFERROR(VLOOKUP(Proc[[#This Row],[App]],Table2[],3,0),"open")</f>
        <v>ok</v>
      </c>
      <c r="C2220" s="93" t="s">
        <v>369</v>
      </c>
      <c r="D2220" t="s">
        <v>4055</v>
      </c>
      <c r="E2220" t="s">
        <v>4068</v>
      </c>
      <c r="F2220" s="117" t="s">
        <v>4068</v>
      </c>
      <c r="G2220" s="93" t="s">
        <v>400</v>
      </c>
      <c r="H2220" s="94" t="str">
        <f>IF(Proc[[#This Row],[type]]="LFF (MDG-F)",MID(Proc[[#This Row],[Obj]],13,10),"")</f>
        <v/>
      </c>
      <c r="J2220" s="94" t="b">
        <f>Proc[[#This Row],[Requested]]=Proc[[#This Row],[CurrentParent]]</f>
        <v>1</v>
      </c>
      <c r="K2220" s="144" t="str">
        <f>IF(Proc[[#This Row],[Author]]="Marcela Urrego",VLOOKUP(LEFT(Proc[[#This Row],[Requested]],1),Table3[#All],2,0),VLOOKUP(Proc[[#This Row],[Author]],Table4[],2,0))</f>
        <v>HC</v>
      </c>
      <c r="L2220" s="125" t="s">
        <v>2563</v>
      </c>
      <c r="M2220" s="90">
        <v>45807.678356481483</v>
      </c>
      <c r="N2220" s="91">
        <v>45810</v>
      </c>
      <c r="O2220" s="91">
        <v>45810</v>
      </c>
      <c r="P2220" s="90" t="str">
        <f ca="1">IF(Proc[[#This Row],[DaysAgeing]]&gt;5,"yep","on track")</f>
        <v>on track</v>
      </c>
      <c r="Q2220" s="3">
        <f ca="1">IF(Proc[[#This Row],[DateClosed]]="",ABS(NETWORKDAYS(Proc[[#This Row],[DateOpened]],TODAY()))-1,ABS(NETWORKDAYS(Proc[[#This Row],[DateOpened]],Proc[[#This Row],[DateClosed]]))-1)</f>
        <v>1</v>
      </c>
      <c r="R2220" s="90" t="s">
        <v>1013</v>
      </c>
      <c r="S2220" s="94"/>
    </row>
    <row r="2221" spans="1:19" hidden="1">
      <c r="A2221" s="93" t="s">
        <v>3747</v>
      </c>
      <c r="B2221" s="149" t="str">
        <f>IFERROR(VLOOKUP(Proc[[#This Row],[App]],Table2[],3,0),"open")</f>
        <v>ok</v>
      </c>
      <c r="C2221" s="93" t="s">
        <v>369</v>
      </c>
      <c r="D2221" t="s">
        <v>4056</v>
      </c>
      <c r="E2221" t="s">
        <v>4068</v>
      </c>
      <c r="F2221" s="117" t="s">
        <v>4068</v>
      </c>
      <c r="G2221" s="93" t="s">
        <v>400</v>
      </c>
      <c r="H2221" s="94" t="str">
        <f>IF(Proc[[#This Row],[type]]="LFF (MDG-F)",MID(Proc[[#This Row],[Obj]],13,10),"")</f>
        <v/>
      </c>
      <c r="J2221" s="94" t="b">
        <f>Proc[[#This Row],[Requested]]=Proc[[#This Row],[CurrentParent]]</f>
        <v>1</v>
      </c>
      <c r="K2221" s="144" t="str">
        <f>IF(Proc[[#This Row],[Author]]="Marcela Urrego",VLOOKUP(LEFT(Proc[[#This Row],[Requested]],1),Table3[#All],2,0),VLOOKUP(Proc[[#This Row],[Author]],Table4[],2,0))</f>
        <v>HC</v>
      </c>
      <c r="L2221" s="125" t="s">
        <v>2563</v>
      </c>
      <c r="M2221" s="90">
        <v>45807.678356481483</v>
      </c>
      <c r="N2221" s="91">
        <v>45810</v>
      </c>
      <c r="O2221" s="91">
        <v>45810</v>
      </c>
      <c r="P2221" s="90" t="str">
        <f ca="1">IF(Proc[[#This Row],[DaysAgeing]]&gt;5,"yep","on track")</f>
        <v>on track</v>
      </c>
      <c r="Q2221" s="3">
        <f ca="1">IF(Proc[[#This Row],[DateClosed]]="",ABS(NETWORKDAYS(Proc[[#This Row],[DateOpened]],TODAY()))-1,ABS(NETWORKDAYS(Proc[[#This Row],[DateOpened]],Proc[[#This Row],[DateClosed]]))-1)</f>
        <v>1</v>
      </c>
      <c r="R2221" s="90" t="s">
        <v>1013</v>
      </c>
      <c r="S2221" s="94"/>
    </row>
    <row r="2222" spans="1:19" hidden="1">
      <c r="A2222" s="93" t="s">
        <v>3747</v>
      </c>
      <c r="B2222" s="149" t="str">
        <f>IFERROR(VLOOKUP(Proc[[#This Row],[App]],Table2[],3,0),"open")</f>
        <v>ok</v>
      </c>
      <c r="C2222" s="93" t="s">
        <v>369</v>
      </c>
      <c r="D2222" t="s">
        <v>4057</v>
      </c>
      <c r="E2222" t="s">
        <v>4068</v>
      </c>
      <c r="F2222" s="117" t="s">
        <v>4068</v>
      </c>
      <c r="G2222" s="93" t="s">
        <v>400</v>
      </c>
      <c r="H2222" s="94" t="str">
        <f>IF(Proc[[#This Row],[type]]="LFF (MDG-F)",MID(Proc[[#This Row],[Obj]],13,10),"")</f>
        <v/>
      </c>
      <c r="J2222" s="94" t="b">
        <f>Proc[[#This Row],[Requested]]=Proc[[#This Row],[CurrentParent]]</f>
        <v>1</v>
      </c>
      <c r="K2222" s="144" t="str">
        <f>IF(Proc[[#This Row],[Author]]="Marcela Urrego",VLOOKUP(LEFT(Proc[[#This Row],[Requested]],1),Table3[#All],2,0),VLOOKUP(Proc[[#This Row],[Author]],Table4[],2,0))</f>
        <v>HC</v>
      </c>
      <c r="L2222" s="125" t="s">
        <v>2563</v>
      </c>
      <c r="M2222" s="90">
        <v>45807.678356481483</v>
      </c>
      <c r="N2222" s="91">
        <v>45810</v>
      </c>
      <c r="O2222" s="91">
        <v>45810</v>
      </c>
      <c r="P2222" s="90" t="str">
        <f ca="1">IF(Proc[[#This Row],[DaysAgeing]]&gt;5,"yep","on track")</f>
        <v>on track</v>
      </c>
      <c r="Q2222" s="3">
        <f ca="1">IF(Proc[[#This Row],[DateClosed]]="",ABS(NETWORKDAYS(Proc[[#This Row],[DateOpened]],TODAY()))-1,ABS(NETWORKDAYS(Proc[[#This Row],[DateOpened]],Proc[[#This Row],[DateClosed]]))-1)</f>
        <v>1</v>
      </c>
      <c r="R2222" s="90" t="s">
        <v>1013</v>
      </c>
      <c r="S2222" s="94"/>
    </row>
    <row r="2223" spans="1:19" hidden="1">
      <c r="A2223" s="93" t="s">
        <v>3747</v>
      </c>
      <c r="B2223" s="149" t="str">
        <f>IFERROR(VLOOKUP(Proc[[#This Row],[App]],Table2[],3,0),"open")</f>
        <v>ok</v>
      </c>
      <c r="C2223" s="93" t="s">
        <v>369</v>
      </c>
      <c r="D2223" t="s">
        <v>4058</v>
      </c>
      <c r="E2223" t="s">
        <v>4068</v>
      </c>
      <c r="F2223" s="117" t="s">
        <v>4068</v>
      </c>
      <c r="G2223" s="93" t="s">
        <v>400</v>
      </c>
      <c r="H2223" s="94" t="str">
        <f>IF(Proc[[#This Row],[type]]="LFF (MDG-F)",MID(Proc[[#This Row],[Obj]],13,10),"")</f>
        <v/>
      </c>
      <c r="J2223" s="94" t="b">
        <f>Proc[[#This Row],[Requested]]=Proc[[#This Row],[CurrentParent]]</f>
        <v>1</v>
      </c>
      <c r="K2223" s="144" t="str">
        <f>IF(Proc[[#This Row],[Author]]="Marcela Urrego",VLOOKUP(LEFT(Proc[[#This Row],[Requested]],1),Table3[#All],2,0),VLOOKUP(Proc[[#This Row],[Author]],Table4[],2,0))</f>
        <v>HC</v>
      </c>
      <c r="L2223" s="125" t="s">
        <v>2563</v>
      </c>
      <c r="M2223" s="90">
        <v>45807.678356481483</v>
      </c>
      <c r="N2223" s="91">
        <v>45810</v>
      </c>
      <c r="O2223" s="91">
        <v>45810</v>
      </c>
      <c r="P2223" s="90" t="str">
        <f ca="1">IF(Proc[[#This Row],[DaysAgeing]]&gt;5,"yep","on track")</f>
        <v>on track</v>
      </c>
      <c r="Q2223" s="3">
        <f ca="1">IF(Proc[[#This Row],[DateClosed]]="",ABS(NETWORKDAYS(Proc[[#This Row],[DateOpened]],TODAY()))-1,ABS(NETWORKDAYS(Proc[[#This Row],[DateOpened]],Proc[[#This Row],[DateClosed]]))-1)</f>
        <v>1</v>
      </c>
      <c r="R2223" s="90" t="s">
        <v>1013</v>
      </c>
      <c r="S2223" s="94"/>
    </row>
    <row r="2224" spans="1:19" hidden="1">
      <c r="A2224" s="93" t="s">
        <v>3747</v>
      </c>
      <c r="B2224" s="149" t="str">
        <f>IFERROR(VLOOKUP(Proc[[#This Row],[App]],Table2[],3,0),"open")</f>
        <v>ok</v>
      </c>
      <c r="C2224" s="93" t="s">
        <v>369</v>
      </c>
      <c r="D2224" t="s">
        <v>4059</v>
      </c>
      <c r="E2224" t="s">
        <v>4068</v>
      </c>
      <c r="F2224" s="117" t="s">
        <v>4068</v>
      </c>
      <c r="G2224" s="93" t="s">
        <v>400</v>
      </c>
      <c r="H2224" s="94" t="str">
        <f>IF(Proc[[#This Row],[type]]="LFF (MDG-F)",MID(Proc[[#This Row],[Obj]],13,10),"")</f>
        <v/>
      </c>
      <c r="J2224" s="94" t="b">
        <f>Proc[[#This Row],[Requested]]=Proc[[#This Row],[CurrentParent]]</f>
        <v>1</v>
      </c>
      <c r="K2224" s="144" t="str">
        <f>IF(Proc[[#This Row],[Author]]="Marcela Urrego",VLOOKUP(LEFT(Proc[[#This Row],[Requested]],1),Table3[#All],2,0),VLOOKUP(Proc[[#This Row],[Author]],Table4[],2,0))</f>
        <v>HC</v>
      </c>
      <c r="L2224" s="125" t="s">
        <v>2563</v>
      </c>
      <c r="M2224" s="90">
        <v>45807.678356481483</v>
      </c>
      <c r="N2224" s="91">
        <v>45810</v>
      </c>
      <c r="O2224" s="91">
        <v>45810</v>
      </c>
      <c r="P2224" s="90" t="str">
        <f ca="1">IF(Proc[[#This Row],[DaysAgeing]]&gt;5,"yep","on track")</f>
        <v>on track</v>
      </c>
      <c r="Q2224" s="3">
        <f ca="1">IF(Proc[[#This Row],[DateClosed]]="",ABS(NETWORKDAYS(Proc[[#This Row],[DateOpened]],TODAY()))-1,ABS(NETWORKDAYS(Proc[[#This Row],[DateOpened]],Proc[[#This Row],[DateClosed]]))-1)</f>
        <v>1</v>
      </c>
      <c r="R2224" s="90" t="s">
        <v>1013</v>
      </c>
      <c r="S2224" s="94"/>
    </row>
    <row r="2225" spans="1:19" hidden="1">
      <c r="A2225" s="93" t="s">
        <v>3747</v>
      </c>
      <c r="B2225" s="149" t="str">
        <f>IFERROR(VLOOKUP(Proc[[#This Row],[App]],Table2[],3,0),"open")</f>
        <v>ok</v>
      </c>
      <c r="C2225" s="93" t="s">
        <v>369</v>
      </c>
      <c r="D2225" t="s">
        <v>4060</v>
      </c>
      <c r="E2225" t="s">
        <v>4068</v>
      </c>
      <c r="F2225" s="117" t="s">
        <v>4068</v>
      </c>
      <c r="G2225" s="93" t="s">
        <v>400</v>
      </c>
      <c r="H2225" s="94" t="str">
        <f>IF(Proc[[#This Row],[type]]="LFF (MDG-F)",MID(Proc[[#This Row],[Obj]],13,10),"")</f>
        <v/>
      </c>
      <c r="J2225" s="94" t="b">
        <f>Proc[[#This Row],[Requested]]=Proc[[#This Row],[CurrentParent]]</f>
        <v>1</v>
      </c>
      <c r="K2225" s="144" t="str">
        <f>IF(Proc[[#This Row],[Author]]="Marcela Urrego",VLOOKUP(LEFT(Proc[[#This Row],[Requested]],1),Table3[#All],2,0),VLOOKUP(Proc[[#This Row],[Author]],Table4[],2,0))</f>
        <v>HC</v>
      </c>
      <c r="L2225" s="125" t="s">
        <v>2563</v>
      </c>
      <c r="M2225" s="90">
        <v>45807.678356481483</v>
      </c>
      <c r="N2225" s="91">
        <v>45810</v>
      </c>
      <c r="O2225" s="91">
        <v>45810</v>
      </c>
      <c r="P2225" s="90" t="str">
        <f ca="1">IF(Proc[[#This Row],[DaysAgeing]]&gt;5,"yep","on track")</f>
        <v>on track</v>
      </c>
      <c r="Q2225" s="3">
        <f ca="1">IF(Proc[[#This Row],[DateClosed]]="",ABS(NETWORKDAYS(Proc[[#This Row],[DateOpened]],TODAY()))-1,ABS(NETWORKDAYS(Proc[[#This Row],[DateOpened]],Proc[[#This Row],[DateClosed]]))-1)</f>
        <v>1</v>
      </c>
      <c r="R2225" s="90" t="s">
        <v>1013</v>
      </c>
      <c r="S2225" s="94"/>
    </row>
    <row r="2226" spans="1:19" hidden="1">
      <c r="A2226" s="93" t="s">
        <v>3747</v>
      </c>
      <c r="B2226" s="149" t="str">
        <f>IFERROR(VLOOKUP(Proc[[#This Row],[App]],Table2[],3,0),"open")</f>
        <v>ok</v>
      </c>
      <c r="C2226" s="93" t="s">
        <v>369</v>
      </c>
      <c r="D2226" t="s">
        <v>4061</v>
      </c>
      <c r="E2226" t="s">
        <v>4068</v>
      </c>
      <c r="F2226" s="117" t="s">
        <v>4068</v>
      </c>
      <c r="G2226" s="93" t="s">
        <v>400</v>
      </c>
      <c r="H2226" s="94" t="str">
        <f>IF(Proc[[#This Row],[type]]="LFF (MDG-F)",MID(Proc[[#This Row],[Obj]],13,10),"")</f>
        <v/>
      </c>
      <c r="J2226" s="94" t="b">
        <f>Proc[[#This Row],[Requested]]=Proc[[#This Row],[CurrentParent]]</f>
        <v>1</v>
      </c>
      <c r="K2226" s="144" t="str">
        <f>IF(Proc[[#This Row],[Author]]="Marcela Urrego",VLOOKUP(LEFT(Proc[[#This Row],[Requested]],1),Table3[#All],2,0),VLOOKUP(Proc[[#This Row],[Author]],Table4[],2,0))</f>
        <v>HC</v>
      </c>
      <c r="L2226" s="125" t="s">
        <v>2563</v>
      </c>
      <c r="M2226" s="90">
        <v>45807.678356481483</v>
      </c>
      <c r="N2226" s="91">
        <v>45810</v>
      </c>
      <c r="O2226" s="91">
        <v>45810</v>
      </c>
      <c r="P2226" s="90" t="str">
        <f ca="1">IF(Proc[[#This Row],[DaysAgeing]]&gt;5,"yep","on track")</f>
        <v>on track</v>
      </c>
      <c r="Q2226" s="3">
        <f ca="1">IF(Proc[[#This Row],[DateClosed]]="",ABS(NETWORKDAYS(Proc[[#This Row],[DateOpened]],TODAY()))-1,ABS(NETWORKDAYS(Proc[[#This Row],[DateOpened]],Proc[[#This Row],[DateClosed]]))-1)</f>
        <v>1</v>
      </c>
      <c r="R2226" s="90" t="s">
        <v>1013</v>
      </c>
      <c r="S2226" s="94"/>
    </row>
    <row r="2227" spans="1:19" hidden="1">
      <c r="A2227" s="93" t="s">
        <v>3747</v>
      </c>
      <c r="B2227" s="149" t="str">
        <f>IFERROR(VLOOKUP(Proc[[#This Row],[App]],Table2[],3,0),"open")</f>
        <v>ok</v>
      </c>
      <c r="C2227" s="93" t="s">
        <v>369</v>
      </c>
      <c r="D2227" t="s">
        <v>4062</v>
      </c>
      <c r="E2227" t="s">
        <v>4068</v>
      </c>
      <c r="F2227" s="117" t="s">
        <v>4068</v>
      </c>
      <c r="G2227" s="93" t="s">
        <v>400</v>
      </c>
      <c r="H2227" s="94" t="str">
        <f>IF(Proc[[#This Row],[type]]="LFF (MDG-F)",MID(Proc[[#This Row],[Obj]],13,10),"")</f>
        <v/>
      </c>
      <c r="J2227" s="94" t="b">
        <f>Proc[[#This Row],[Requested]]=Proc[[#This Row],[CurrentParent]]</f>
        <v>1</v>
      </c>
      <c r="K2227" s="144" t="str">
        <f>IF(Proc[[#This Row],[Author]]="Marcela Urrego",VLOOKUP(LEFT(Proc[[#This Row],[Requested]],1),Table3[#All],2,0),VLOOKUP(Proc[[#This Row],[Author]],Table4[],2,0))</f>
        <v>HC</v>
      </c>
      <c r="L2227" s="125" t="s">
        <v>2563</v>
      </c>
      <c r="M2227" s="90">
        <v>45807.678356481483</v>
      </c>
      <c r="N2227" s="91">
        <v>45810</v>
      </c>
      <c r="O2227" s="91">
        <v>45810</v>
      </c>
      <c r="P2227" s="90" t="str">
        <f ca="1">IF(Proc[[#This Row],[DaysAgeing]]&gt;5,"yep","on track")</f>
        <v>on track</v>
      </c>
      <c r="Q2227" s="3">
        <f ca="1">IF(Proc[[#This Row],[DateClosed]]="",ABS(NETWORKDAYS(Proc[[#This Row],[DateOpened]],TODAY()))-1,ABS(NETWORKDAYS(Proc[[#This Row],[DateOpened]],Proc[[#This Row],[DateClosed]]))-1)</f>
        <v>1</v>
      </c>
      <c r="R2227" s="90" t="s">
        <v>1013</v>
      </c>
      <c r="S2227" s="94"/>
    </row>
    <row r="2228" spans="1:19" hidden="1">
      <c r="A2228" s="93" t="s">
        <v>3747</v>
      </c>
      <c r="B2228" s="149" t="str">
        <f>IFERROR(VLOOKUP(Proc[[#This Row],[App]],Table2[],3,0),"open")</f>
        <v>ok</v>
      </c>
      <c r="C2228" s="93" t="s">
        <v>369</v>
      </c>
      <c r="D2228" t="s">
        <v>4063</v>
      </c>
      <c r="E2228" t="s">
        <v>4068</v>
      </c>
      <c r="F2228" s="117" t="s">
        <v>4068</v>
      </c>
      <c r="G2228" s="93" t="s">
        <v>400</v>
      </c>
      <c r="H2228" s="94" t="str">
        <f>IF(Proc[[#This Row],[type]]="LFF (MDG-F)",MID(Proc[[#This Row],[Obj]],13,10),"")</f>
        <v/>
      </c>
      <c r="J2228" s="94" t="b">
        <f>Proc[[#This Row],[Requested]]=Proc[[#This Row],[CurrentParent]]</f>
        <v>1</v>
      </c>
      <c r="K2228" s="144" t="str">
        <f>IF(Proc[[#This Row],[Author]]="Marcela Urrego",VLOOKUP(LEFT(Proc[[#This Row],[Requested]],1),Table3[#All],2,0),VLOOKUP(Proc[[#This Row],[Author]],Table4[],2,0))</f>
        <v>HC</v>
      </c>
      <c r="L2228" s="125" t="s">
        <v>2563</v>
      </c>
      <c r="M2228" s="90">
        <v>45807.678356481483</v>
      </c>
      <c r="N2228" s="91">
        <v>45810</v>
      </c>
      <c r="O2228" s="91">
        <v>45810</v>
      </c>
      <c r="P2228" s="90" t="str">
        <f ca="1">IF(Proc[[#This Row],[DaysAgeing]]&gt;5,"yep","on track")</f>
        <v>on track</v>
      </c>
      <c r="Q2228" s="3">
        <f ca="1">IF(Proc[[#This Row],[DateClosed]]="",ABS(NETWORKDAYS(Proc[[#This Row],[DateOpened]],TODAY()))-1,ABS(NETWORKDAYS(Proc[[#This Row],[DateOpened]],Proc[[#This Row],[DateClosed]]))-1)</f>
        <v>1</v>
      </c>
      <c r="R2228" s="90" t="s">
        <v>1013</v>
      </c>
      <c r="S2228" s="94"/>
    </row>
    <row r="2229" spans="1:19" hidden="1">
      <c r="A2229" s="93" t="s">
        <v>3747</v>
      </c>
      <c r="B2229" s="149" t="str">
        <f>IFERROR(VLOOKUP(Proc[[#This Row],[App]],Table2[],3,0),"open")</f>
        <v>ok</v>
      </c>
      <c r="C2229" s="93" t="s">
        <v>369</v>
      </c>
      <c r="D2229" t="s">
        <v>4064</v>
      </c>
      <c r="E2229" t="s">
        <v>4068</v>
      </c>
      <c r="F2229" s="117" t="s">
        <v>4068</v>
      </c>
      <c r="G2229" s="93" t="s">
        <v>400</v>
      </c>
      <c r="H2229" s="94" t="str">
        <f>IF(Proc[[#This Row],[type]]="LFF (MDG-F)",MID(Proc[[#This Row],[Obj]],13,10),"")</f>
        <v/>
      </c>
      <c r="J2229" s="94" t="b">
        <f>Proc[[#This Row],[Requested]]=Proc[[#This Row],[CurrentParent]]</f>
        <v>1</v>
      </c>
      <c r="K2229" s="144" t="str">
        <f>IF(Proc[[#This Row],[Author]]="Marcela Urrego",VLOOKUP(LEFT(Proc[[#This Row],[Requested]],1),Table3[#All],2,0),VLOOKUP(Proc[[#This Row],[Author]],Table4[],2,0))</f>
        <v>HC</v>
      </c>
      <c r="L2229" s="125" t="s">
        <v>2563</v>
      </c>
      <c r="M2229" s="90">
        <v>45807.678356481483</v>
      </c>
      <c r="N2229" s="91">
        <v>45810</v>
      </c>
      <c r="O2229" s="91">
        <v>45810</v>
      </c>
      <c r="P2229" s="90" t="str">
        <f ca="1">IF(Proc[[#This Row],[DaysAgeing]]&gt;5,"yep","on track")</f>
        <v>on track</v>
      </c>
      <c r="Q2229" s="3">
        <f ca="1">IF(Proc[[#This Row],[DateClosed]]="",ABS(NETWORKDAYS(Proc[[#This Row],[DateOpened]],TODAY()))-1,ABS(NETWORKDAYS(Proc[[#This Row],[DateOpened]],Proc[[#This Row],[DateClosed]]))-1)</f>
        <v>1</v>
      </c>
      <c r="R2229" s="90" t="s">
        <v>1013</v>
      </c>
      <c r="S2229" s="94"/>
    </row>
    <row r="2230" spans="1:19" hidden="1">
      <c r="A2230" s="93" t="s">
        <v>3747</v>
      </c>
      <c r="B2230" s="149" t="str">
        <f>IFERROR(VLOOKUP(Proc[[#This Row],[App]],Table2[],3,0),"open")</f>
        <v>ok</v>
      </c>
      <c r="C2230" s="93" t="s">
        <v>369</v>
      </c>
      <c r="D2230" t="s">
        <v>4065</v>
      </c>
      <c r="E2230" t="s">
        <v>2274</v>
      </c>
      <c r="F2230" s="117" t="s">
        <v>2274</v>
      </c>
      <c r="G2230" s="93" t="s">
        <v>400</v>
      </c>
      <c r="H2230" s="94" t="str">
        <f>IF(Proc[[#This Row],[type]]="LFF (MDG-F)",MID(Proc[[#This Row],[Obj]],13,10),"")</f>
        <v/>
      </c>
      <c r="J2230" s="94" t="b">
        <f>Proc[[#This Row],[Requested]]=Proc[[#This Row],[CurrentParent]]</f>
        <v>1</v>
      </c>
      <c r="K2230" s="144" t="str">
        <f>IF(Proc[[#This Row],[Author]]="Marcela Urrego",VLOOKUP(LEFT(Proc[[#This Row],[Requested]],1),Table3[#All],2,0),VLOOKUP(Proc[[#This Row],[Author]],Table4[],2,0))</f>
        <v>HC</v>
      </c>
      <c r="L2230" s="125" t="s">
        <v>2563</v>
      </c>
      <c r="M2230" s="90">
        <v>45807.678356481483</v>
      </c>
      <c r="N2230" s="91">
        <v>45810</v>
      </c>
      <c r="O2230" s="91">
        <v>45810</v>
      </c>
      <c r="P2230" s="90" t="str">
        <f ca="1">IF(Proc[[#This Row],[DaysAgeing]]&gt;5,"yep","on track")</f>
        <v>on track</v>
      </c>
      <c r="Q2230" s="3">
        <f ca="1">IF(Proc[[#This Row],[DateClosed]]="",ABS(NETWORKDAYS(Proc[[#This Row],[DateOpened]],TODAY()))-1,ABS(NETWORKDAYS(Proc[[#This Row],[DateOpened]],Proc[[#This Row],[DateClosed]]))-1)</f>
        <v>1</v>
      </c>
      <c r="R2230" s="90" t="s">
        <v>1013</v>
      </c>
      <c r="S2230" s="94"/>
    </row>
    <row r="2231" spans="1:19" hidden="1">
      <c r="A2231" t="s">
        <v>3624</v>
      </c>
      <c r="B2231" s="149" t="str">
        <f>IFERROR(VLOOKUP(Proc[[#This Row],[App]],Table2[],3,0),"open")</f>
        <v>ok</v>
      </c>
      <c r="C2231" s="93" t="s">
        <v>369</v>
      </c>
      <c r="D2231" t="s">
        <v>4072</v>
      </c>
      <c r="E2231" t="s">
        <v>3625</v>
      </c>
      <c r="F2231" s="117" t="s">
        <v>3625</v>
      </c>
      <c r="G2231" s="93" t="s">
        <v>400</v>
      </c>
      <c r="H2231" s="94" t="str">
        <f>IF(Proc[[#This Row],[type]]="LFF (MDG-F)",MID(Proc[[#This Row],[Obj]],13,10),"")</f>
        <v/>
      </c>
      <c r="J2231" s="94" t="b">
        <f>Proc[[#This Row],[Requested]]=Proc[[#This Row],[CurrentParent]]</f>
        <v>1</v>
      </c>
      <c r="K2231" s="144" t="str">
        <f>IF(Proc[[#This Row],[Author]]="Marcela Urrego",VLOOKUP(LEFT(Proc[[#This Row],[Requested]],1),Table3[#All],2,0),VLOOKUP(Proc[[#This Row],[Author]],Table4[],2,0))</f>
        <v>HC</v>
      </c>
      <c r="L2231" s="125" t="s">
        <v>2563</v>
      </c>
      <c r="M2231" s="91">
        <v>45806.441412037035</v>
      </c>
      <c r="N2231" s="91">
        <v>45810</v>
      </c>
      <c r="O2231" s="91">
        <v>45810</v>
      </c>
      <c r="P2231" s="95" t="str">
        <f ca="1">IF(Proc[[#This Row],[DaysAgeing]]&gt;5,"yep","on track")</f>
        <v>on track</v>
      </c>
      <c r="Q2231" s="3">
        <f ca="1">IF(Proc[[#This Row],[DateClosed]]="",ABS(NETWORKDAYS(Proc[[#This Row],[DateOpened]],TODAY()))-1,ABS(NETWORKDAYS(Proc[[#This Row],[DateOpened]],Proc[[#This Row],[DateClosed]]))-1)</f>
        <v>2</v>
      </c>
      <c r="R2231" s="95" t="s">
        <v>478</v>
      </c>
      <c r="S2231" s="94"/>
    </row>
    <row r="2232" spans="1:19" hidden="1">
      <c r="A2232" t="s">
        <v>4074</v>
      </c>
      <c r="B2232" s="149" t="str">
        <f>IFERROR(VLOOKUP(Proc[[#This Row],[App]],Table2[],3,0),"open")</f>
        <v>ok</v>
      </c>
      <c r="C2232" t="s">
        <v>369</v>
      </c>
      <c r="D2232" t="s">
        <v>4075</v>
      </c>
      <c r="E2232" t="s">
        <v>1522</v>
      </c>
      <c r="F2232" s="117" t="s">
        <v>1522</v>
      </c>
      <c r="G2232" s="93" t="s">
        <v>400</v>
      </c>
      <c r="H2232" s="94" t="str">
        <f>IF(Proc[[#This Row],[type]]="LFF (MDG-F)",MID(Proc[[#This Row],[Obj]],13,10),"")</f>
        <v/>
      </c>
      <c r="J2232" s="94" t="b">
        <f>Proc[[#This Row],[Requested]]=Proc[[#This Row],[CurrentParent]]</f>
        <v>1</v>
      </c>
      <c r="K2232" s="144" t="str">
        <f>IF(Proc[[#This Row],[Author]]="Marcela Urrego",VLOOKUP(LEFT(Proc[[#This Row],[Requested]],1),Table3[#All],2,0),VLOOKUP(Proc[[#This Row],[Author]],Table4[],2,0))</f>
        <v>LS</v>
      </c>
      <c r="L2232" s="125" t="s">
        <v>2563</v>
      </c>
      <c r="M2232" s="91">
        <v>45810.136655092596</v>
      </c>
      <c r="N2232" s="91">
        <v>45811</v>
      </c>
      <c r="O2232" s="91">
        <v>45811</v>
      </c>
      <c r="P2232" s="95" t="str">
        <f ca="1">IF(Proc[[#This Row],[DaysAgeing]]&gt;5,"yep","on track")</f>
        <v>on track</v>
      </c>
      <c r="Q2232" s="3">
        <f ca="1">IF(Proc[[#This Row],[DateClosed]]="",ABS(NETWORKDAYS(Proc[[#This Row],[DateOpened]],TODAY()))-1,ABS(NETWORKDAYS(Proc[[#This Row],[DateOpened]],Proc[[#This Row],[DateClosed]]))-1)</f>
        <v>1</v>
      </c>
      <c r="R2232" s="95" t="s">
        <v>489</v>
      </c>
      <c r="S2232" s="94"/>
    </row>
    <row r="2233" spans="1:19" hidden="1">
      <c r="A2233" t="s">
        <v>4076</v>
      </c>
      <c r="B2233" s="149" t="str">
        <f>IFERROR(VLOOKUP(Proc[[#This Row],[App]],Table2[],3,0),"open")</f>
        <v>ok</v>
      </c>
      <c r="C2233" t="s">
        <v>369</v>
      </c>
      <c r="D2233" t="s">
        <v>4077</v>
      </c>
      <c r="E2233" t="s">
        <v>2417</v>
      </c>
      <c r="F2233" s="117" t="s">
        <v>2417</v>
      </c>
      <c r="G2233" t="s">
        <v>406</v>
      </c>
      <c r="H2233" s="94" t="str">
        <f>IF(Proc[[#This Row],[type]]="LFF (MDG-F)",MID(Proc[[#This Row],[Obj]],13,10),"")</f>
        <v>CZ50GIT01D</v>
      </c>
      <c r="I2233" t="s">
        <v>4082</v>
      </c>
      <c r="J2233" s="94" t="b">
        <f>Proc[[#This Row],[Requested]]=Proc[[#This Row],[CurrentParent]]</f>
        <v>1</v>
      </c>
      <c r="K2233" s="144" t="str">
        <f>IF(Proc[[#This Row],[Author]]="Marcela Urrego",VLOOKUP(LEFT(Proc[[#This Row],[Requested]],1),Table3[#All],2,0),VLOOKUP(Proc[[#This Row],[Author]],Table4[],2,0))</f>
        <v>MGF</v>
      </c>
      <c r="L2233" s="125" t="s">
        <v>2563</v>
      </c>
      <c r="M2233" s="91">
        <v>45810.40115740741</v>
      </c>
      <c r="N2233" s="91">
        <v>45811</v>
      </c>
      <c r="O2233" s="91">
        <v>45811</v>
      </c>
      <c r="P2233" s="95" t="str">
        <f ca="1">IF(Proc[[#This Row],[DaysAgeing]]&gt;5,"yep","on track")</f>
        <v>on track</v>
      </c>
      <c r="Q2233" s="3">
        <f ca="1">IF(Proc[[#This Row],[DateClosed]]="",ABS(NETWORKDAYS(Proc[[#This Row],[DateOpened]],TODAY()))-1,ABS(NETWORKDAYS(Proc[[#This Row],[DateOpened]],Proc[[#This Row],[DateClosed]]))-1)</f>
        <v>1</v>
      </c>
      <c r="R2233" s="95" t="s">
        <v>515</v>
      </c>
      <c r="S2233" s="94"/>
    </row>
    <row r="2234" spans="1:19" hidden="1">
      <c r="A2234" s="93" t="s">
        <v>4076</v>
      </c>
      <c r="B2234" s="149" t="str">
        <f>IFERROR(VLOOKUP(Proc[[#This Row],[App]],Table2[],3,0),"open")</f>
        <v>ok</v>
      </c>
      <c r="C2234" s="93" t="s">
        <v>369</v>
      </c>
      <c r="D2234" t="s">
        <v>4078</v>
      </c>
      <c r="E2234" t="s">
        <v>2417</v>
      </c>
      <c r="F2234" s="117" t="s">
        <v>2417</v>
      </c>
      <c r="G2234" s="93" t="s">
        <v>406</v>
      </c>
      <c r="H2234" s="94" t="str">
        <f>IF(Proc[[#This Row],[type]]="LFF (MDG-F)",MID(Proc[[#This Row],[Obj]],13,10),"")</f>
        <v>CZ50GM1000</v>
      </c>
      <c r="I2234" s="93" t="s">
        <v>4082</v>
      </c>
      <c r="J2234" s="94" t="b">
        <f>Proc[[#This Row],[Requested]]=Proc[[#This Row],[CurrentParent]]</f>
        <v>1</v>
      </c>
      <c r="K2234" s="144" t="str">
        <f>IF(Proc[[#This Row],[Author]]="Marcela Urrego",VLOOKUP(LEFT(Proc[[#This Row],[Requested]],1),Table3[#All],2,0),VLOOKUP(Proc[[#This Row],[Author]],Table4[],2,0))</f>
        <v>MGF</v>
      </c>
      <c r="L2234" s="125" t="s">
        <v>2563</v>
      </c>
      <c r="M2234" s="91">
        <v>45810.40115740741</v>
      </c>
      <c r="N2234" s="91">
        <v>45811</v>
      </c>
      <c r="O2234" s="91">
        <v>45811</v>
      </c>
      <c r="P2234" s="95" t="str">
        <f ca="1">IF(Proc[[#This Row],[DaysAgeing]]&gt;5,"yep","on track")</f>
        <v>on track</v>
      </c>
      <c r="Q2234" s="3">
        <f ca="1">IF(Proc[[#This Row],[DateClosed]]="",ABS(NETWORKDAYS(Proc[[#This Row],[DateOpened]],TODAY()))-1,ABS(NETWORKDAYS(Proc[[#This Row],[DateOpened]],Proc[[#This Row],[DateClosed]]))-1)</f>
        <v>1</v>
      </c>
      <c r="R2234" s="95" t="s">
        <v>515</v>
      </c>
      <c r="S2234" s="94"/>
    </row>
    <row r="2235" spans="1:19" hidden="1">
      <c r="A2235" s="93" t="s">
        <v>4076</v>
      </c>
      <c r="B2235" s="149" t="str">
        <f>IFERROR(VLOOKUP(Proc[[#This Row],[App]],Table2[],3,0),"open")</f>
        <v>ok</v>
      </c>
      <c r="C2235" s="93" t="s">
        <v>369</v>
      </c>
      <c r="D2235" t="s">
        <v>4079</v>
      </c>
      <c r="E2235" t="s">
        <v>2417</v>
      </c>
      <c r="F2235" s="117" t="s">
        <v>2417</v>
      </c>
      <c r="G2235" s="93" t="s">
        <v>406</v>
      </c>
      <c r="H2235" s="94" t="str">
        <f>IF(Proc[[#This Row],[type]]="LFF (MDG-F)",MID(Proc[[#This Row],[Obj]],13,10),"")</f>
        <v>CZ50GIT01M</v>
      </c>
      <c r="I2235" s="93" t="s">
        <v>4082</v>
      </c>
      <c r="J2235" s="94" t="b">
        <f>Proc[[#This Row],[Requested]]=Proc[[#This Row],[CurrentParent]]</f>
        <v>1</v>
      </c>
      <c r="K2235" s="144" t="str">
        <f>IF(Proc[[#This Row],[Author]]="Marcela Urrego",VLOOKUP(LEFT(Proc[[#This Row],[Requested]],1),Table3[#All],2,0),VLOOKUP(Proc[[#This Row],[Author]],Table4[],2,0))</f>
        <v>MGF</v>
      </c>
      <c r="L2235" s="125" t="s">
        <v>2563</v>
      </c>
      <c r="M2235" s="91">
        <v>45810.40115740741</v>
      </c>
      <c r="N2235" s="91">
        <v>45811</v>
      </c>
      <c r="O2235" s="91">
        <v>45811</v>
      </c>
      <c r="P2235" s="95" t="str">
        <f ca="1">IF(Proc[[#This Row],[DaysAgeing]]&gt;5,"yep","on track")</f>
        <v>on track</v>
      </c>
      <c r="Q2235" s="3">
        <f ca="1">IF(Proc[[#This Row],[DateClosed]]="",ABS(NETWORKDAYS(Proc[[#This Row],[DateOpened]],TODAY()))-1,ABS(NETWORKDAYS(Proc[[#This Row],[DateOpened]],Proc[[#This Row],[DateClosed]]))-1)</f>
        <v>1</v>
      </c>
      <c r="R2235" s="95" t="s">
        <v>515</v>
      </c>
      <c r="S2235" s="94"/>
    </row>
    <row r="2236" spans="1:19" hidden="1">
      <c r="A2236" s="93" t="s">
        <v>4076</v>
      </c>
      <c r="B2236" s="149" t="str">
        <f>IFERROR(VLOOKUP(Proc[[#This Row],[App]],Table2[],3,0),"open")</f>
        <v>ok</v>
      </c>
      <c r="C2236" s="93" t="s">
        <v>369</v>
      </c>
      <c r="D2236" t="s">
        <v>4078</v>
      </c>
      <c r="E2236" t="s">
        <v>2417</v>
      </c>
      <c r="F2236" s="117" t="s">
        <v>2417</v>
      </c>
      <c r="G2236" s="93" t="s">
        <v>406</v>
      </c>
      <c r="H2236" s="94" t="str">
        <f>IF(Proc[[#This Row],[type]]="LFF (MDG-F)",MID(Proc[[#This Row],[Obj]],13,10),"")</f>
        <v>CZ50GM1000</v>
      </c>
      <c r="I2236" s="93" t="s">
        <v>4082</v>
      </c>
      <c r="J2236" s="94" t="b">
        <f>Proc[[#This Row],[Requested]]=Proc[[#This Row],[CurrentParent]]</f>
        <v>1</v>
      </c>
      <c r="K2236" s="144" t="str">
        <f>IF(Proc[[#This Row],[Author]]="Marcela Urrego",VLOOKUP(LEFT(Proc[[#This Row],[Requested]],1),Table3[#All],2,0),VLOOKUP(Proc[[#This Row],[Author]],Table4[],2,0))</f>
        <v>MGF</v>
      </c>
      <c r="L2236" s="125" t="s">
        <v>2563</v>
      </c>
      <c r="M2236" s="91">
        <v>45810.40115740741</v>
      </c>
      <c r="N2236" s="91">
        <v>45811</v>
      </c>
      <c r="O2236" s="91">
        <v>45811</v>
      </c>
      <c r="P2236" s="95" t="str">
        <f ca="1">IF(Proc[[#This Row],[DaysAgeing]]&gt;5,"yep","on track")</f>
        <v>on track</v>
      </c>
      <c r="Q2236" s="3">
        <f ca="1">IF(Proc[[#This Row],[DateClosed]]="",ABS(NETWORKDAYS(Proc[[#This Row],[DateOpened]],TODAY()))-1,ABS(NETWORKDAYS(Proc[[#This Row],[DateOpened]],Proc[[#This Row],[DateClosed]]))-1)</f>
        <v>1</v>
      </c>
      <c r="R2236" s="95" t="s">
        <v>515</v>
      </c>
      <c r="S2236" s="94"/>
    </row>
    <row r="2237" spans="1:19" hidden="1">
      <c r="A2237" s="93" t="s">
        <v>4076</v>
      </c>
      <c r="B2237" s="149" t="str">
        <f>IFERROR(VLOOKUP(Proc[[#This Row],[App]],Table2[],3,0),"open")</f>
        <v>ok</v>
      </c>
      <c r="C2237" s="93" t="s">
        <v>369</v>
      </c>
      <c r="D2237" t="s">
        <v>4080</v>
      </c>
      <c r="E2237" t="s">
        <v>2417</v>
      </c>
      <c r="F2237" s="117" t="s">
        <v>2417</v>
      </c>
      <c r="G2237" s="93" t="s">
        <v>406</v>
      </c>
      <c r="H2237" s="94" t="str">
        <f>IF(Proc[[#This Row],[type]]="LFF (MDG-F)",MID(Proc[[#This Row],[Obj]],13,10),"")</f>
        <v>CZ50OF0007</v>
      </c>
      <c r="I2237" s="93" t="s">
        <v>4082</v>
      </c>
      <c r="J2237" s="94" t="b">
        <f>Proc[[#This Row],[Requested]]=Proc[[#This Row],[CurrentParent]]</f>
        <v>1</v>
      </c>
      <c r="K2237" s="144" t="str">
        <f>IF(Proc[[#This Row],[Author]]="Marcela Urrego",VLOOKUP(LEFT(Proc[[#This Row],[Requested]],1),Table3[#All],2,0),VLOOKUP(Proc[[#This Row],[Author]],Table4[],2,0))</f>
        <v>MGF</v>
      </c>
      <c r="L2237" s="125" t="s">
        <v>2563</v>
      </c>
      <c r="M2237" s="91">
        <v>45810.40115740741</v>
      </c>
      <c r="N2237" s="91">
        <v>45811</v>
      </c>
      <c r="O2237" s="91">
        <v>45811</v>
      </c>
      <c r="P2237" s="95" t="str">
        <f ca="1">IF(Proc[[#This Row],[DaysAgeing]]&gt;5,"yep","on track")</f>
        <v>on track</v>
      </c>
      <c r="Q2237" s="3">
        <f ca="1">IF(Proc[[#This Row],[DateClosed]]="",ABS(NETWORKDAYS(Proc[[#This Row],[DateOpened]],TODAY()))-1,ABS(NETWORKDAYS(Proc[[#This Row],[DateOpened]],Proc[[#This Row],[DateClosed]]))-1)</f>
        <v>1</v>
      </c>
      <c r="R2237" s="95" t="s">
        <v>515</v>
      </c>
      <c r="S2237" s="94"/>
    </row>
    <row r="2238" spans="1:19" hidden="1">
      <c r="A2238" t="s">
        <v>4083</v>
      </c>
      <c r="B2238" s="149" t="str">
        <f>IFERROR(VLOOKUP(Proc[[#This Row],[App]],Table2[],3,0),"open")</f>
        <v>ok</v>
      </c>
      <c r="C2238" t="s">
        <v>369</v>
      </c>
      <c r="D2238" t="s">
        <v>4091</v>
      </c>
      <c r="E2238" t="s">
        <v>661</v>
      </c>
      <c r="F2238" s="117" t="s">
        <v>661</v>
      </c>
      <c r="G2238" t="s">
        <v>400</v>
      </c>
      <c r="H2238" s="94" t="str">
        <f>IF(Proc[[#This Row],[type]]="LFF (MDG-F)",MID(Proc[[#This Row],[Obj]],13,10),"")</f>
        <v/>
      </c>
      <c r="J2238" s="94" t="b">
        <f>Proc[[#This Row],[Requested]]=Proc[[#This Row],[CurrentParent]]</f>
        <v>1</v>
      </c>
      <c r="K2238" s="144" t="str">
        <f>IF(Proc[[#This Row],[Author]]="Marcela Urrego",VLOOKUP(LEFT(Proc[[#This Row],[Requested]],1),Table3[#All],2,0),VLOOKUP(Proc[[#This Row],[Author]],Table4[],2,0))</f>
        <v>MGF</v>
      </c>
      <c r="L2238" s="125" t="s">
        <v>2563</v>
      </c>
      <c r="M2238" s="91">
        <v>45810.524050925924</v>
      </c>
      <c r="N2238" s="91">
        <v>45811</v>
      </c>
      <c r="O2238" s="91">
        <v>45811</v>
      </c>
      <c r="P2238" s="95" t="str">
        <f ca="1">IF(Proc[[#This Row],[DaysAgeing]]&gt;5,"yep","on track")</f>
        <v>on track</v>
      </c>
      <c r="Q2238" s="3">
        <f ca="1">IF(Proc[[#This Row],[DateClosed]]="",ABS(NETWORKDAYS(Proc[[#This Row],[DateOpened]],TODAY()))-1,ABS(NETWORKDAYS(Proc[[#This Row],[DateOpened]],Proc[[#This Row],[DateClosed]]))-1)</f>
        <v>1</v>
      </c>
      <c r="R2238" s="95" t="s">
        <v>1459</v>
      </c>
      <c r="S2238" s="94"/>
    </row>
    <row r="2239" spans="1:19" hidden="1">
      <c r="A2239" s="93" t="s">
        <v>4083</v>
      </c>
      <c r="B2239" s="149" t="str">
        <f>IFERROR(VLOOKUP(Proc[[#This Row],[App]],Table2[],3,0),"open")</f>
        <v>ok</v>
      </c>
      <c r="C2239" s="93" t="s">
        <v>369</v>
      </c>
      <c r="D2239" t="s">
        <v>4084</v>
      </c>
      <c r="E2239" t="s">
        <v>2616</v>
      </c>
      <c r="F2239" s="117" t="s">
        <v>2616</v>
      </c>
      <c r="G2239" t="s">
        <v>406</v>
      </c>
      <c r="H2239" s="94" t="str">
        <f>IF(Proc[[#This Row],[type]]="LFF (MDG-F)",MID(Proc[[#This Row],[Obj]],13,10),"")</f>
        <v>CH75GIT060</v>
      </c>
      <c r="I2239" t="s">
        <v>4090</v>
      </c>
      <c r="J2239" s="94" t="b">
        <f>Proc[[#This Row],[Requested]]=Proc[[#This Row],[CurrentParent]]</f>
        <v>1</v>
      </c>
      <c r="K2239" s="144" t="str">
        <f>IF(Proc[[#This Row],[Author]]="Marcela Urrego",VLOOKUP(LEFT(Proc[[#This Row],[Requested]],1),Table3[#All],2,0),VLOOKUP(Proc[[#This Row],[Author]],Table4[],2,0))</f>
        <v>MGF</v>
      </c>
      <c r="L2239" s="125" t="s">
        <v>2563</v>
      </c>
      <c r="M2239" s="91">
        <v>45810.524050925924</v>
      </c>
      <c r="N2239" s="91">
        <v>45811</v>
      </c>
      <c r="O2239" s="91">
        <v>45811</v>
      </c>
      <c r="P2239" s="95" t="str">
        <f ca="1">IF(Proc[[#This Row],[DaysAgeing]]&gt;5,"yep","on track")</f>
        <v>on track</v>
      </c>
      <c r="Q2239" s="3">
        <f ca="1">IF(Proc[[#This Row],[DateClosed]]="",ABS(NETWORKDAYS(Proc[[#This Row],[DateOpened]],TODAY()))-1,ABS(NETWORKDAYS(Proc[[#This Row],[DateOpened]],Proc[[#This Row],[DateClosed]]))-1)</f>
        <v>1</v>
      </c>
      <c r="R2239" s="95" t="s">
        <v>1459</v>
      </c>
      <c r="S2239" s="94"/>
    </row>
    <row r="2240" spans="1:19" hidden="1">
      <c r="A2240" s="93" t="s">
        <v>4083</v>
      </c>
      <c r="B2240" s="149" t="str">
        <f>IFERROR(VLOOKUP(Proc[[#This Row],[App]],Table2[],3,0),"open")</f>
        <v>ok</v>
      </c>
      <c r="C2240" s="93" t="s">
        <v>369</v>
      </c>
      <c r="D2240" t="s">
        <v>4085</v>
      </c>
      <c r="E2240" t="s">
        <v>2334</v>
      </c>
      <c r="F2240" s="117" t="s">
        <v>2334</v>
      </c>
      <c r="G2240" s="93" t="s">
        <v>406</v>
      </c>
      <c r="H2240" s="94" t="str">
        <f>IF(Proc[[#This Row],[type]]="LFF (MDG-F)",MID(Proc[[#This Row],[Obj]],13,10),"")</f>
        <v>DE10653700</v>
      </c>
      <c r="I2240" s="93" t="s">
        <v>4090</v>
      </c>
      <c r="J2240" s="94" t="b">
        <f>Proc[[#This Row],[Requested]]=Proc[[#This Row],[CurrentParent]]</f>
        <v>1</v>
      </c>
      <c r="K2240" s="144" t="str">
        <f>IF(Proc[[#This Row],[Author]]="Marcela Urrego",VLOOKUP(LEFT(Proc[[#This Row],[Requested]],1),Table3[#All],2,0),VLOOKUP(Proc[[#This Row],[Author]],Table4[],2,0))</f>
        <v>MGF</v>
      </c>
      <c r="L2240" s="125" t="s">
        <v>2563</v>
      </c>
      <c r="M2240" s="91">
        <v>45810.524050925924</v>
      </c>
      <c r="N2240" s="91">
        <v>45811</v>
      </c>
      <c r="O2240" s="91">
        <v>45811</v>
      </c>
      <c r="P2240" s="95" t="str">
        <f ca="1">IF(Proc[[#This Row],[DaysAgeing]]&gt;5,"yep","on track")</f>
        <v>on track</v>
      </c>
      <c r="Q2240" s="3">
        <f ca="1">IF(Proc[[#This Row],[DateClosed]]="",ABS(NETWORKDAYS(Proc[[#This Row],[DateOpened]],TODAY()))-1,ABS(NETWORKDAYS(Proc[[#This Row],[DateOpened]],Proc[[#This Row],[DateClosed]]))-1)</f>
        <v>1</v>
      </c>
      <c r="R2240" s="95" t="s">
        <v>1459</v>
      </c>
      <c r="S2240" s="94"/>
    </row>
    <row r="2241" spans="1:19" hidden="1">
      <c r="A2241" s="93" t="s">
        <v>4083</v>
      </c>
      <c r="B2241" s="149" t="str">
        <f>IFERROR(VLOOKUP(Proc[[#This Row],[App]],Table2[],3,0),"open")</f>
        <v>ok</v>
      </c>
      <c r="C2241" s="93" t="s">
        <v>369</v>
      </c>
      <c r="D2241" t="s">
        <v>4086</v>
      </c>
      <c r="E2241" t="s">
        <v>2336</v>
      </c>
      <c r="F2241" s="117" t="s">
        <v>2336</v>
      </c>
      <c r="G2241" s="93" t="s">
        <v>400</v>
      </c>
      <c r="H2241" s="94" t="str">
        <f>IF(Proc[[#This Row],[type]]="LFF (MDG-F)",MID(Proc[[#This Row],[Obj]],13,10),"")</f>
        <v/>
      </c>
      <c r="J2241" s="94" t="b">
        <f>Proc[[#This Row],[Requested]]=Proc[[#This Row],[CurrentParent]]</f>
        <v>1</v>
      </c>
      <c r="K2241" s="144" t="str">
        <f>IF(Proc[[#This Row],[Author]]="Marcela Urrego",VLOOKUP(LEFT(Proc[[#This Row],[Requested]],1),Table3[#All],2,0),VLOOKUP(Proc[[#This Row],[Author]],Table4[],2,0))</f>
        <v>MGF</v>
      </c>
      <c r="L2241" s="125" t="s">
        <v>2563</v>
      </c>
      <c r="M2241" s="91">
        <v>45810.524050925924</v>
      </c>
      <c r="N2241" s="91">
        <v>45811</v>
      </c>
      <c r="O2241" s="91">
        <v>45811</v>
      </c>
      <c r="P2241" s="95" t="str">
        <f ca="1">IF(Proc[[#This Row],[DaysAgeing]]&gt;5,"yep","on track")</f>
        <v>on track</v>
      </c>
      <c r="Q2241" s="3">
        <f ca="1">IF(Proc[[#This Row],[DateClosed]]="",ABS(NETWORKDAYS(Proc[[#This Row],[DateOpened]],TODAY()))-1,ABS(NETWORKDAYS(Proc[[#This Row],[DateOpened]],Proc[[#This Row],[DateClosed]]))-1)</f>
        <v>1</v>
      </c>
      <c r="R2241" s="95" t="s">
        <v>1459</v>
      </c>
      <c r="S2241" s="94"/>
    </row>
    <row r="2242" spans="1:19" hidden="1">
      <c r="A2242" s="93" t="s">
        <v>4083</v>
      </c>
      <c r="B2242" s="149" t="str">
        <f>IFERROR(VLOOKUP(Proc[[#This Row],[App]],Table2[],3,0),"open")</f>
        <v>ok</v>
      </c>
      <c r="C2242" s="93" t="s">
        <v>369</v>
      </c>
      <c r="D2242" t="s">
        <v>4087</v>
      </c>
      <c r="E2242" t="s">
        <v>2336</v>
      </c>
      <c r="F2242" s="117" t="s">
        <v>2336</v>
      </c>
      <c r="G2242" s="93" t="s">
        <v>400</v>
      </c>
      <c r="H2242" s="94" t="str">
        <f>IF(Proc[[#This Row],[type]]="LFF (MDG-F)",MID(Proc[[#This Row],[Obj]],13,10),"")</f>
        <v/>
      </c>
      <c r="J2242" s="94" t="b">
        <f>Proc[[#This Row],[Requested]]=Proc[[#This Row],[CurrentParent]]</f>
        <v>1</v>
      </c>
      <c r="K2242" s="144" t="str">
        <f>IF(Proc[[#This Row],[Author]]="Marcela Urrego",VLOOKUP(LEFT(Proc[[#This Row],[Requested]],1),Table3[#All],2,0),VLOOKUP(Proc[[#This Row],[Author]],Table4[],2,0))</f>
        <v>MGF</v>
      </c>
      <c r="L2242" s="125" t="s">
        <v>2563</v>
      </c>
      <c r="M2242" s="91">
        <v>45810.524050925924</v>
      </c>
      <c r="N2242" s="91">
        <v>45811</v>
      </c>
      <c r="O2242" s="91">
        <v>45811</v>
      </c>
      <c r="P2242" s="95" t="str">
        <f ca="1">IF(Proc[[#This Row],[DaysAgeing]]&gt;5,"yep","on track")</f>
        <v>on track</v>
      </c>
      <c r="Q2242" s="3">
        <f ca="1">IF(Proc[[#This Row],[DateClosed]]="",ABS(NETWORKDAYS(Proc[[#This Row],[DateOpened]],TODAY()))-1,ABS(NETWORKDAYS(Proc[[#This Row],[DateOpened]],Proc[[#This Row],[DateClosed]]))-1)</f>
        <v>1</v>
      </c>
      <c r="R2242" s="95" t="s">
        <v>1459</v>
      </c>
      <c r="S2242" s="94"/>
    </row>
    <row r="2243" spans="1:19" hidden="1">
      <c r="A2243" s="93" t="s">
        <v>4083</v>
      </c>
      <c r="B2243" s="149" t="str">
        <f>IFERROR(VLOOKUP(Proc[[#This Row],[App]],Table2[],3,0),"open")</f>
        <v>ok</v>
      </c>
      <c r="C2243" s="93" t="s">
        <v>369</v>
      </c>
      <c r="D2243" t="s">
        <v>4088</v>
      </c>
      <c r="E2243" t="s">
        <v>2336</v>
      </c>
      <c r="F2243" s="117" t="s">
        <v>2336</v>
      </c>
      <c r="G2243" s="93" t="s">
        <v>400</v>
      </c>
      <c r="H2243" s="94" t="str">
        <f>IF(Proc[[#This Row],[type]]="LFF (MDG-F)",MID(Proc[[#This Row],[Obj]],13,10),"")</f>
        <v/>
      </c>
      <c r="J2243" s="94" t="b">
        <f>Proc[[#This Row],[Requested]]=Proc[[#This Row],[CurrentParent]]</f>
        <v>1</v>
      </c>
      <c r="K2243" s="144" t="str">
        <f>IF(Proc[[#This Row],[Author]]="Marcela Urrego",VLOOKUP(LEFT(Proc[[#This Row],[Requested]],1),Table3[#All],2,0),VLOOKUP(Proc[[#This Row],[Author]],Table4[],2,0))</f>
        <v>MGF</v>
      </c>
      <c r="L2243" s="125" t="s">
        <v>2563</v>
      </c>
      <c r="M2243" s="91">
        <v>45810.524050925924</v>
      </c>
      <c r="N2243" s="91">
        <v>45811</v>
      </c>
      <c r="O2243" s="91">
        <v>45811</v>
      </c>
      <c r="P2243" s="95" t="str">
        <f ca="1">IF(Proc[[#This Row],[DaysAgeing]]&gt;5,"yep","on track")</f>
        <v>on track</v>
      </c>
      <c r="Q2243" s="3">
        <f ca="1">IF(Proc[[#This Row],[DateClosed]]="",ABS(NETWORKDAYS(Proc[[#This Row],[DateOpened]],TODAY()))-1,ABS(NETWORKDAYS(Proc[[#This Row],[DateOpened]],Proc[[#This Row],[DateClosed]]))-1)</f>
        <v>1</v>
      </c>
      <c r="R2243" s="95" t="s">
        <v>1459</v>
      </c>
      <c r="S2243" s="94"/>
    </row>
    <row r="2244" spans="1:19" hidden="1">
      <c r="A2244" s="93" t="s">
        <v>4083</v>
      </c>
      <c r="B2244" s="149" t="str">
        <f>IFERROR(VLOOKUP(Proc[[#This Row],[App]],Table2[],3,0),"open")</f>
        <v>ok</v>
      </c>
      <c r="C2244" s="93" t="s">
        <v>369</v>
      </c>
      <c r="D2244" t="s">
        <v>4089</v>
      </c>
      <c r="E2244" t="s">
        <v>425</v>
      </c>
      <c r="F2244" s="117" t="s">
        <v>425</v>
      </c>
      <c r="G2244" s="93" t="s">
        <v>400</v>
      </c>
      <c r="H2244" s="94" t="str">
        <f>IF(Proc[[#This Row],[type]]="LFF (MDG-F)",MID(Proc[[#This Row],[Obj]],13,10),"")</f>
        <v/>
      </c>
      <c r="J2244" s="94" t="b">
        <f>Proc[[#This Row],[Requested]]=Proc[[#This Row],[CurrentParent]]</f>
        <v>1</v>
      </c>
      <c r="K2244" s="144" t="str">
        <f>IF(Proc[[#This Row],[Author]]="Marcela Urrego",VLOOKUP(LEFT(Proc[[#This Row],[Requested]],1),Table3[#All],2,0),VLOOKUP(Proc[[#This Row],[Author]],Table4[],2,0))</f>
        <v>MGF</v>
      </c>
      <c r="L2244" s="125" t="s">
        <v>2563</v>
      </c>
      <c r="M2244" s="91">
        <v>45810.524050925924</v>
      </c>
      <c r="N2244" s="91">
        <v>45811</v>
      </c>
      <c r="O2244" s="91">
        <v>45811</v>
      </c>
      <c r="P2244" s="95" t="str">
        <f ca="1">IF(Proc[[#This Row],[DaysAgeing]]&gt;5,"yep","on track")</f>
        <v>on track</v>
      </c>
      <c r="Q2244" s="3">
        <f ca="1">IF(Proc[[#This Row],[DateClosed]]="",ABS(NETWORKDAYS(Proc[[#This Row],[DateOpened]],TODAY()))-1,ABS(NETWORKDAYS(Proc[[#This Row],[DateOpened]],Proc[[#This Row],[DateClosed]]))-1)</f>
        <v>1</v>
      </c>
      <c r="R2244" s="95" t="s">
        <v>1459</v>
      </c>
      <c r="S2244" s="94"/>
    </row>
    <row r="2245" spans="1:19" hidden="1">
      <c r="A2245" t="s">
        <v>4092</v>
      </c>
      <c r="B2245" s="149" t="str">
        <f>IFERROR(VLOOKUP(Proc[[#This Row],[App]],Table2[],3,0),"open")</f>
        <v>ok</v>
      </c>
      <c r="C2245" t="s">
        <v>369</v>
      </c>
      <c r="D2245" t="s">
        <v>4093</v>
      </c>
      <c r="E2245" t="s">
        <v>4094</v>
      </c>
      <c r="F2245" s="117" t="s">
        <v>4094</v>
      </c>
      <c r="G2245" s="93" t="s">
        <v>400</v>
      </c>
      <c r="H2245" s="94" t="str">
        <f>IF(Proc[[#This Row],[type]]="LFF (MDG-F)",MID(Proc[[#This Row],[Obj]],13,10),"")</f>
        <v/>
      </c>
      <c r="J2245" s="94" t="b">
        <f>Proc[[#This Row],[Requested]]=Proc[[#This Row],[CurrentParent]]</f>
        <v>1</v>
      </c>
      <c r="K2245" s="144" t="str">
        <f>IF(Proc[[#This Row],[Author]]="Marcela Urrego",VLOOKUP(LEFT(Proc[[#This Row],[Requested]],1),Table3[#All],2,0),VLOOKUP(Proc[[#This Row],[Author]],Table4[],2,0))</f>
        <v>HC</v>
      </c>
      <c r="L2245" s="125" t="s">
        <v>2563</v>
      </c>
      <c r="M2245" s="91">
        <v>45811.460358796299</v>
      </c>
      <c r="N2245" s="91"/>
      <c r="O2245" s="91"/>
      <c r="P2245" s="95" t="str">
        <f ca="1">IF(Proc[[#This Row],[DaysAgeing]]&gt;5,"yep","on track")</f>
        <v>yep</v>
      </c>
      <c r="Q2245" s="3">
        <f ca="1">IF(Proc[[#This Row],[DateClosed]]="",ABS(NETWORKDAYS(Proc[[#This Row],[DateOpened]],TODAY()))-1,ABS(NETWORKDAYS(Proc[[#This Row],[DateOpened]],Proc[[#This Row],[DateClosed]]))-1)</f>
        <v>143</v>
      </c>
      <c r="R2245" s="95" t="s">
        <v>764</v>
      </c>
      <c r="S2245" s="94"/>
    </row>
    <row r="2246" spans="1:19" hidden="1">
      <c r="A2246" t="s">
        <v>4097</v>
      </c>
      <c r="B2246" s="149" t="str">
        <f>IFERROR(VLOOKUP(Proc[[#This Row],[App]],Table2[],3,0),"open")</f>
        <v>ok</v>
      </c>
      <c r="C2246" s="97" t="s">
        <v>369</v>
      </c>
      <c r="D2246" s="97" t="s">
        <v>4095</v>
      </c>
      <c r="E2246" s="97" t="s">
        <v>4096</v>
      </c>
      <c r="F2246" s="117" t="s">
        <v>4096</v>
      </c>
      <c r="G2246" s="97" t="s">
        <v>400</v>
      </c>
      <c r="H2246" s="94" t="str">
        <f>IF(Proc[[#This Row],[type]]="LFF (MDG-F)",MID(Proc[[#This Row],[Obj]],13,10),"")</f>
        <v/>
      </c>
      <c r="J2246" s="94" t="b">
        <f>Proc[[#This Row],[Requested]]=Proc[[#This Row],[CurrentParent]]</f>
        <v>1</v>
      </c>
      <c r="K2246" s="144" t="str">
        <f>IF(Proc[[#This Row],[Author]]="Marcela Urrego",VLOOKUP(LEFT(Proc[[#This Row],[Requested]],1),Table3[#All],2,0),VLOOKUP(Proc[[#This Row],[Author]],Table4[],2,0))</f>
        <v>MGF</v>
      </c>
      <c r="L2246" s="125" t="s">
        <v>2563</v>
      </c>
      <c r="M2246" s="95">
        <v>45811.460358796299</v>
      </c>
      <c r="N2246" s="96"/>
      <c r="O2246" s="96"/>
      <c r="P2246" s="95" t="str">
        <f ca="1">IF(Proc[[#This Row],[DaysAgeing]]&gt;5,"yep","on track")</f>
        <v>yep</v>
      </c>
      <c r="Q2246" s="3">
        <f ca="1">IF(Proc[[#This Row],[DateClosed]]="",ABS(NETWORKDAYS(Proc[[#This Row],[DateOpened]],TODAY()))-1,ABS(NETWORKDAYS(Proc[[#This Row],[DateOpened]],Proc[[#This Row],[DateClosed]]))-1)</f>
        <v>143</v>
      </c>
      <c r="R2246" s="95" t="s">
        <v>515</v>
      </c>
      <c r="S2246" s="94"/>
    </row>
    <row r="2247" spans="1:19" hidden="1">
      <c r="A2247" t="s">
        <v>4098</v>
      </c>
      <c r="B2247" s="149" t="str">
        <f>IFERROR(VLOOKUP(Proc[[#This Row],[App]],Table2[],3,0),"open")</f>
        <v>ok</v>
      </c>
      <c r="C2247" s="103" t="s">
        <v>369</v>
      </c>
      <c r="D2247" t="s">
        <v>4099</v>
      </c>
      <c r="E2247" t="s">
        <v>4100</v>
      </c>
      <c r="F2247" s="117" t="s">
        <v>4100</v>
      </c>
      <c r="G2247" s="97" t="s">
        <v>400</v>
      </c>
      <c r="H2247" s="94" t="str">
        <f>IF(Proc[[#This Row],[type]]="LFF (MDG-F)",MID(Proc[[#This Row],[Obj]],13,10),"")</f>
        <v/>
      </c>
      <c r="J2247" s="94" t="b">
        <f>Proc[[#This Row],[Requested]]=Proc[[#This Row],[CurrentParent]]</f>
        <v>1</v>
      </c>
      <c r="K2247" s="144" t="str">
        <f>IF(Proc[[#This Row],[Author]]="Marcela Urrego",VLOOKUP(LEFT(Proc[[#This Row],[Requested]],1),Table3[#All],2,0),VLOOKUP(Proc[[#This Row],[Author]],Table4[],2,0))</f>
        <v>LS</v>
      </c>
      <c r="L2247" s="125" t="s">
        <v>2563</v>
      </c>
      <c r="M2247" s="95">
        <v>45811.460358796299</v>
      </c>
      <c r="N2247" s="96">
        <v>45819</v>
      </c>
      <c r="O2247" s="100">
        <v>45819</v>
      </c>
      <c r="P2247" s="95" t="str">
        <f ca="1">IF(Proc[[#This Row],[DaysAgeing]]&gt;5,"yep","on track")</f>
        <v>yep</v>
      </c>
      <c r="Q2247" s="3">
        <f ca="1">IF(Proc[[#This Row],[DateClosed]]="",ABS(NETWORKDAYS(Proc[[#This Row],[DateOpened]],TODAY()))-1,ABS(NETWORKDAYS(Proc[[#This Row],[DateOpened]],Proc[[#This Row],[DateClosed]]))-1)</f>
        <v>6</v>
      </c>
      <c r="R2247" s="95" t="s">
        <v>489</v>
      </c>
      <c r="S2247" s="94"/>
    </row>
    <row r="2248" spans="1:19" hidden="1">
      <c r="A2248" t="s">
        <v>4103</v>
      </c>
      <c r="B2248" s="149" t="str">
        <f>IFERROR(VLOOKUP(Proc[[#This Row],[App]],Table2[],3,0),"open")</f>
        <v>ok</v>
      </c>
      <c r="C2248" s="97" t="s">
        <v>369</v>
      </c>
      <c r="D2248" t="s">
        <v>4104</v>
      </c>
      <c r="E2248" t="s">
        <v>1236</v>
      </c>
      <c r="F2248" s="117" t="s">
        <v>1236</v>
      </c>
      <c r="G2248" s="97" t="s">
        <v>400</v>
      </c>
      <c r="H2248" s="94" t="str">
        <f>IF(Proc[[#This Row],[type]]="LFF (MDG-F)",MID(Proc[[#This Row],[Obj]],13,10),"")</f>
        <v/>
      </c>
      <c r="J2248" s="94" t="b">
        <f>Proc[[#This Row],[Requested]]=Proc[[#This Row],[CurrentParent]]</f>
        <v>1</v>
      </c>
      <c r="K2248" s="144" t="str">
        <f>IF(Proc[[#This Row],[Author]]="Marcela Urrego",VLOOKUP(LEFT(Proc[[#This Row],[Requested]],1),Table3[#All],2,0),VLOOKUP(Proc[[#This Row],[Author]],Table4[],2,0))</f>
        <v>LS</v>
      </c>
      <c r="L2248" s="125" t="s">
        <v>2563</v>
      </c>
      <c r="M2248" s="95">
        <v>45811.460358796299</v>
      </c>
      <c r="N2248" s="100">
        <v>45819</v>
      </c>
      <c r="O2248" s="100">
        <v>45819</v>
      </c>
      <c r="P2248" s="95" t="str">
        <f ca="1">IF(Proc[[#This Row],[DaysAgeing]]&gt;5,"yep","on track")</f>
        <v>yep</v>
      </c>
      <c r="Q2248" s="3">
        <f ca="1">IF(Proc[[#This Row],[DateClosed]]="",ABS(NETWORKDAYS(Proc[[#This Row],[DateOpened]],TODAY()))-1,ABS(NETWORKDAYS(Proc[[#This Row],[DateOpened]],Proc[[#This Row],[DateClosed]]))-1)</f>
        <v>6</v>
      </c>
      <c r="R2248" s="95" t="s">
        <v>489</v>
      </c>
      <c r="S2248" s="94"/>
    </row>
    <row r="2249" spans="1:19" hidden="1">
      <c r="A2249" t="s">
        <v>4103</v>
      </c>
      <c r="B2249" s="149" t="str">
        <f>IFERROR(VLOOKUP(Proc[[#This Row],[App]],Table2[],3,0),"open")</f>
        <v>ok</v>
      </c>
      <c r="C2249" s="97" t="s">
        <v>377</v>
      </c>
      <c r="D2249" t="s">
        <v>4101</v>
      </c>
      <c r="E2249" t="s">
        <v>4102</v>
      </c>
      <c r="F2249" s="103" t="s">
        <v>4102</v>
      </c>
      <c r="G2249" s="97" t="s">
        <v>400</v>
      </c>
      <c r="H2249" s="94" t="str">
        <f>IF(Proc[[#This Row],[type]]="LFF (MDG-F)",MID(Proc[[#This Row],[Obj]],13,10),"")</f>
        <v/>
      </c>
      <c r="J2249" s="94" t="b">
        <f>Proc[[#This Row],[Requested]]=Proc[[#This Row],[CurrentParent]]</f>
        <v>1</v>
      </c>
      <c r="K2249" s="144" t="str">
        <f>IF(Proc[[#This Row],[Author]]="Marcela Urrego",VLOOKUP(LEFT(Proc[[#This Row],[Requested]],1),Table3[#All],2,0),VLOOKUP(Proc[[#This Row],[Author]],Table4[],2,0))</f>
        <v>LS</v>
      </c>
      <c r="L2249" s="125" t="s">
        <v>2563</v>
      </c>
      <c r="M2249" s="95">
        <v>45811.460358796299</v>
      </c>
      <c r="N2249" s="96"/>
      <c r="O2249" s="96">
        <v>45819</v>
      </c>
      <c r="P2249" s="95" t="str">
        <f ca="1">IF(Proc[[#This Row],[DaysAgeing]]&gt;5,"yep","on track")</f>
        <v>yep</v>
      </c>
      <c r="Q2249" s="3">
        <f ca="1">IF(Proc[[#This Row],[DateClosed]]="",ABS(NETWORKDAYS(Proc[[#This Row],[DateOpened]],TODAY()))-1,ABS(NETWORKDAYS(Proc[[#This Row],[DateOpened]],Proc[[#This Row],[DateClosed]]))-1)</f>
        <v>6</v>
      </c>
      <c r="R2249" s="95" t="s">
        <v>489</v>
      </c>
      <c r="S2249" s="94" t="e">
        <f>VLOOKUP(Proc[[#This Row],[Obj]],#REF!,2,0)</f>
        <v>#REF!</v>
      </c>
    </row>
    <row r="2250" spans="1:19" hidden="1">
      <c r="A2250" t="s">
        <v>4115</v>
      </c>
      <c r="B2250" s="149" t="str">
        <f>IFERROR(VLOOKUP(Proc[[#This Row],[App]],Table2[],3,0),"open")</f>
        <v>ok</v>
      </c>
      <c r="C2250" s="103" t="s">
        <v>369</v>
      </c>
      <c r="D2250" t="s">
        <v>4105</v>
      </c>
      <c r="E2250" t="s">
        <v>4113</v>
      </c>
      <c r="F2250" s="117" t="s">
        <v>4113</v>
      </c>
      <c r="G2250" t="s">
        <v>406</v>
      </c>
      <c r="H2250" s="94" t="str">
        <f>IF(Proc[[#This Row],[type]]="LFF (MDG-F)",MID(Proc[[#This Row],[Obj]],13,10),"")</f>
        <v>DE20538353</v>
      </c>
      <c r="I2250" t="s">
        <v>4116</v>
      </c>
      <c r="J2250" s="94" t="b">
        <f>Proc[[#This Row],[Requested]]=Proc[[#This Row],[CurrentParent]]</f>
        <v>1</v>
      </c>
      <c r="K2250" s="144" t="str">
        <f>IF(Proc[[#This Row],[Author]]="Marcela Urrego",VLOOKUP(LEFT(Proc[[#This Row],[Requested]],1),Table3[#All],2,0),VLOOKUP(Proc[[#This Row],[Author]],Table4[],2,0))</f>
        <v>MGF</v>
      </c>
      <c r="L2250" s="125" t="s">
        <v>2563</v>
      </c>
      <c r="M2250" s="96">
        <v>45814.369039351855</v>
      </c>
      <c r="N2250" s="100">
        <v>45819</v>
      </c>
      <c r="O2250" s="100">
        <v>45819</v>
      </c>
      <c r="P2250" s="98" t="str">
        <f ca="1">IF(Proc[[#This Row],[DaysAgeing]]&gt;5,"yep","on track")</f>
        <v>on track</v>
      </c>
      <c r="Q2250" s="3">
        <f ca="1">IF(Proc[[#This Row],[DateClosed]]="",ABS(NETWORKDAYS(Proc[[#This Row],[DateOpened]],TODAY()))-1,ABS(NETWORKDAYS(Proc[[#This Row],[DateOpened]],Proc[[#This Row],[DateClosed]]))-1)</f>
        <v>3</v>
      </c>
      <c r="R2250" s="98" t="s">
        <v>481</v>
      </c>
      <c r="S2250" s="94"/>
    </row>
    <row r="2251" spans="1:19" hidden="1">
      <c r="A2251" s="97" t="s">
        <v>4115</v>
      </c>
      <c r="B2251" s="149" t="str">
        <f>IFERROR(VLOOKUP(Proc[[#This Row],[App]],Table2[],3,0),"open")</f>
        <v>ok</v>
      </c>
      <c r="C2251" s="103" t="s">
        <v>369</v>
      </c>
      <c r="D2251" t="s">
        <v>4106</v>
      </c>
      <c r="E2251" t="s">
        <v>4114</v>
      </c>
      <c r="F2251" s="117" t="s">
        <v>4114</v>
      </c>
      <c r="G2251" s="97" t="s">
        <v>406</v>
      </c>
      <c r="H2251" s="94" t="str">
        <f>IF(Proc[[#This Row],[type]]="LFF (MDG-F)",MID(Proc[[#This Row],[Obj]],13,10),"")</f>
        <v>DE10538353</v>
      </c>
      <c r="I2251" s="97" t="s">
        <v>4116</v>
      </c>
      <c r="J2251" s="94" t="b">
        <f>Proc[[#This Row],[Requested]]=Proc[[#This Row],[CurrentParent]]</f>
        <v>1</v>
      </c>
      <c r="K2251" s="144" t="str">
        <f>IF(Proc[[#This Row],[Author]]="Marcela Urrego",VLOOKUP(LEFT(Proc[[#This Row],[Requested]],1),Table3[#All],2,0),VLOOKUP(Proc[[#This Row],[Author]],Table4[],2,0))</f>
        <v>MGF</v>
      </c>
      <c r="L2251" s="125" t="s">
        <v>2563</v>
      </c>
      <c r="M2251" s="96">
        <v>45814.369039351855</v>
      </c>
      <c r="N2251" s="100">
        <v>45819</v>
      </c>
      <c r="O2251" s="100">
        <v>45819</v>
      </c>
      <c r="P2251" s="98" t="str">
        <f ca="1">IF(Proc[[#This Row],[DaysAgeing]]&gt;5,"yep","on track")</f>
        <v>on track</v>
      </c>
      <c r="Q2251" s="3">
        <f ca="1">IF(Proc[[#This Row],[DateClosed]]="",ABS(NETWORKDAYS(Proc[[#This Row],[DateOpened]],TODAY()))-1,ABS(NETWORKDAYS(Proc[[#This Row],[DateOpened]],Proc[[#This Row],[DateClosed]]))-1)</f>
        <v>3</v>
      </c>
      <c r="R2251" s="98" t="s">
        <v>481</v>
      </c>
      <c r="S2251" s="94"/>
    </row>
    <row r="2252" spans="1:19" hidden="1">
      <c r="A2252" s="97" t="s">
        <v>4115</v>
      </c>
      <c r="B2252" s="149" t="str">
        <f>IFERROR(VLOOKUP(Proc[[#This Row],[App]],Table2[],3,0),"open")</f>
        <v>ok</v>
      </c>
      <c r="C2252" s="103" t="s">
        <v>369</v>
      </c>
      <c r="D2252" t="s">
        <v>4107</v>
      </c>
      <c r="E2252" t="s">
        <v>3382</v>
      </c>
      <c r="F2252" s="117" t="s">
        <v>3382</v>
      </c>
      <c r="G2252" s="97" t="s">
        <v>406</v>
      </c>
      <c r="H2252" s="94" t="str">
        <f>IF(Proc[[#This Row],[type]]="LFF (MDG-F)",MID(Proc[[#This Row],[Obj]],13,10),"")</f>
        <v>DE10538602</v>
      </c>
      <c r="I2252" s="97" t="s">
        <v>4116</v>
      </c>
      <c r="J2252" s="94" t="b">
        <f>Proc[[#This Row],[Requested]]=Proc[[#This Row],[CurrentParent]]</f>
        <v>1</v>
      </c>
      <c r="K2252" s="144" t="str">
        <f>IF(Proc[[#This Row],[Author]]="Marcela Urrego",VLOOKUP(LEFT(Proc[[#This Row],[Requested]],1),Table3[#All],2,0),VLOOKUP(Proc[[#This Row],[Author]],Table4[],2,0))</f>
        <v>MGF</v>
      </c>
      <c r="L2252" s="125" t="s">
        <v>2563</v>
      </c>
      <c r="M2252" s="96">
        <v>45814.369039351855</v>
      </c>
      <c r="N2252" s="100">
        <v>45819</v>
      </c>
      <c r="O2252" s="100">
        <v>45819</v>
      </c>
      <c r="P2252" s="98" t="str">
        <f ca="1">IF(Proc[[#This Row],[DaysAgeing]]&gt;5,"yep","on track")</f>
        <v>on track</v>
      </c>
      <c r="Q2252" s="3">
        <f ca="1">IF(Proc[[#This Row],[DateClosed]]="",ABS(NETWORKDAYS(Proc[[#This Row],[DateOpened]],TODAY()))-1,ABS(NETWORKDAYS(Proc[[#This Row],[DateOpened]],Proc[[#This Row],[DateClosed]]))-1)</f>
        <v>3</v>
      </c>
      <c r="R2252" s="98" t="s">
        <v>481</v>
      </c>
      <c r="S2252" s="94"/>
    </row>
    <row r="2253" spans="1:19" hidden="1">
      <c r="A2253" s="97" t="s">
        <v>4115</v>
      </c>
      <c r="B2253" s="149" t="str">
        <f>IFERROR(VLOOKUP(Proc[[#This Row],[App]],Table2[],3,0),"open")</f>
        <v>ok</v>
      </c>
      <c r="C2253" s="103" t="s">
        <v>369</v>
      </c>
      <c r="D2253" t="s">
        <v>4108</v>
      </c>
      <c r="E2253" t="s">
        <v>3382</v>
      </c>
      <c r="F2253" s="117" t="s">
        <v>3382</v>
      </c>
      <c r="G2253" s="97" t="s">
        <v>406</v>
      </c>
      <c r="H2253" s="94" t="str">
        <f>IF(Proc[[#This Row],[type]]="LFF (MDG-F)",MID(Proc[[#This Row],[Obj]],13,10),"")</f>
        <v>DE10538603</v>
      </c>
      <c r="I2253" s="97" t="s">
        <v>4116</v>
      </c>
      <c r="J2253" s="94" t="b">
        <f>Proc[[#This Row],[Requested]]=Proc[[#This Row],[CurrentParent]]</f>
        <v>1</v>
      </c>
      <c r="K2253" s="144" t="str">
        <f>IF(Proc[[#This Row],[Author]]="Marcela Urrego",VLOOKUP(LEFT(Proc[[#This Row],[Requested]],1),Table3[#All],2,0),VLOOKUP(Proc[[#This Row],[Author]],Table4[],2,0))</f>
        <v>MGF</v>
      </c>
      <c r="L2253" s="125" t="s">
        <v>2563</v>
      </c>
      <c r="M2253" s="96">
        <v>45814.369039351855</v>
      </c>
      <c r="N2253" s="100">
        <v>45819</v>
      </c>
      <c r="O2253" s="100">
        <v>45819</v>
      </c>
      <c r="P2253" s="98" t="str">
        <f ca="1">IF(Proc[[#This Row],[DaysAgeing]]&gt;5,"yep","on track")</f>
        <v>on track</v>
      </c>
      <c r="Q2253" s="3">
        <f ca="1">IF(Proc[[#This Row],[DateClosed]]="",ABS(NETWORKDAYS(Proc[[#This Row],[DateOpened]],TODAY()))-1,ABS(NETWORKDAYS(Proc[[#This Row],[DateOpened]],Proc[[#This Row],[DateClosed]]))-1)</f>
        <v>3</v>
      </c>
      <c r="R2253" s="98" t="s">
        <v>481</v>
      </c>
      <c r="S2253" s="94"/>
    </row>
    <row r="2254" spans="1:19" hidden="1">
      <c r="A2254" s="97" t="s">
        <v>4115</v>
      </c>
      <c r="B2254" s="149" t="str">
        <f>IFERROR(VLOOKUP(Proc[[#This Row],[App]],Table2[],3,0),"open")</f>
        <v>ok</v>
      </c>
      <c r="C2254" s="103" t="s">
        <v>369</v>
      </c>
      <c r="D2254" t="s">
        <v>4109</v>
      </c>
      <c r="E2254" t="s">
        <v>3382</v>
      </c>
      <c r="F2254" s="117" t="s">
        <v>3382</v>
      </c>
      <c r="G2254" s="97" t="s">
        <v>406</v>
      </c>
      <c r="H2254" s="94" t="str">
        <f>IF(Proc[[#This Row],[type]]="LFF (MDG-F)",MID(Proc[[#This Row],[Obj]],13,10),"")</f>
        <v>DE10538604</v>
      </c>
      <c r="I2254" s="97" t="s">
        <v>4116</v>
      </c>
      <c r="J2254" s="94" t="b">
        <f>Proc[[#This Row],[Requested]]=Proc[[#This Row],[CurrentParent]]</f>
        <v>1</v>
      </c>
      <c r="K2254" s="144" t="str">
        <f>IF(Proc[[#This Row],[Author]]="Marcela Urrego",VLOOKUP(LEFT(Proc[[#This Row],[Requested]],1),Table3[#All],2,0),VLOOKUP(Proc[[#This Row],[Author]],Table4[],2,0))</f>
        <v>MGF</v>
      </c>
      <c r="L2254" s="125" t="s">
        <v>2563</v>
      </c>
      <c r="M2254" s="96">
        <v>45814.369039351855</v>
      </c>
      <c r="N2254" s="100">
        <v>45819</v>
      </c>
      <c r="O2254" s="100">
        <v>45819</v>
      </c>
      <c r="P2254" s="98" t="str">
        <f ca="1">IF(Proc[[#This Row],[DaysAgeing]]&gt;5,"yep","on track")</f>
        <v>on track</v>
      </c>
      <c r="Q2254" s="3">
        <f ca="1">IF(Proc[[#This Row],[DateClosed]]="",ABS(NETWORKDAYS(Proc[[#This Row],[DateOpened]],TODAY()))-1,ABS(NETWORKDAYS(Proc[[#This Row],[DateOpened]],Proc[[#This Row],[DateClosed]]))-1)</f>
        <v>3</v>
      </c>
      <c r="R2254" s="98" t="s">
        <v>481</v>
      </c>
      <c r="S2254" s="94"/>
    </row>
    <row r="2255" spans="1:19" hidden="1">
      <c r="A2255" s="97" t="s">
        <v>4115</v>
      </c>
      <c r="B2255" s="149" t="str">
        <f>IFERROR(VLOOKUP(Proc[[#This Row],[App]],Table2[],3,0),"open")</f>
        <v>ok</v>
      </c>
      <c r="C2255" s="103" t="s">
        <v>369</v>
      </c>
      <c r="D2255" t="s">
        <v>4110</v>
      </c>
      <c r="E2255" t="s">
        <v>3381</v>
      </c>
      <c r="F2255" s="117" t="s">
        <v>3381</v>
      </c>
      <c r="G2255" s="97" t="s">
        <v>406</v>
      </c>
      <c r="H2255" s="94" t="str">
        <f>IF(Proc[[#This Row],[type]]="LFF (MDG-F)",MID(Proc[[#This Row],[Obj]],13,10),"")</f>
        <v>DE20538602</v>
      </c>
      <c r="I2255" s="97" t="s">
        <v>4116</v>
      </c>
      <c r="J2255" s="94" t="b">
        <f>Proc[[#This Row],[Requested]]=Proc[[#This Row],[CurrentParent]]</f>
        <v>1</v>
      </c>
      <c r="K2255" s="144" t="str">
        <f>IF(Proc[[#This Row],[Author]]="Marcela Urrego",VLOOKUP(LEFT(Proc[[#This Row],[Requested]],1),Table3[#All],2,0),VLOOKUP(Proc[[#This Row],[Author]],Table4[],2,0))</f>
        <v>MGF</v>
      </c>
      <c r="L2255" s="125" t="s">
        <v>2563</v>
      </c>
      <c r="M2255" s="96">
        <v>45814.369039351855</v>
      </c>
      <c r="N2255" s="100">
        <v>45819</v>
      </c>
      <c r="O2255" s="100">
        <v>45819</v>
      </c>
      <c r="P2255" s="98" t="str">
        <f ca="1">IF(Proc[[#This Row],[DaysAgeing]]&gt;5,"yep","on track")</f>
        <v>on track</v>
      </c>
      <c r="Q2255" s="3">
        <f ca="1">IF(Proc[[#This Row],[DateClosed]]="",ABS(NETWORKDAYS(Proc[[#This Row],[DateOpened]],TODAY()))-1,ABS(NETWORKDAYS(Proc[[#This Row],[DateOpened]],Proc[[#This Row],[DateClosed]]))-1)</f>
        <v>3</v>
      </c>
      <c r="R2255" s="98" t="s">
        <v>481</v>
      </c>
      <c r="S2255" s="94"/>
    </row>
    <row r="2256" spans="1:19" hidden="1">
      <c r="A2256" s="97" t="s">
        <v>4115</v>
      </c>
      <c r="B2256" s="149" t="str">
        <f>IFERROR(VLOOKUP(Proc[[#This Row],[App]],Table2[],3,0),"open")</f>
        <v>ok</v>
      </c>
      <c r="C2256" s="103" t="s">
        <v>369</v>
      </c>
      <c r="D2256" t="s">
        <v>4111</v>
      </c>
      <c r="E2256" t="s">
        <v>3381</v>
      </c>
      <c r="F2256" s="117" t="s">
        <v>3381</v>
      </c>
      <c r="G2256" s="97" t="s">
        <v>406</v>
      </c>
      <c r="H2256" s="94" t="str">
        <f>IF(Proc[[#This Row],[type]]="LFF (MDG-F)",MID(Proc[[#This Row],[Obj]],13,10),"")</f>
        <v>DE20538603</v>
      </c>
      <c r="I2256" s="97" t="s">
        <v>4116</v>
      </c>
      <c r="J2256" s="94" t="b">
        <f>Proc[[#This Row],[Requested]]=Proc[[#This Row],[CurrentParent]]</f>
        <v>1</v>
      </c>
      <c r="K2256" s="144" t="str">
        <f>IF(Proc[[#This Row],[Author]]="Marcela Urrego",VLOOKUP(LEFT(Proc[[#This Row],[Requested]],1),Table3[#All],2,0),VLOOKUP(Proc[[#This Row],[Author]],Table4[],2,0))</f>
        <v>MGF</v>
      </c>
      <c r="L2256" s="125" t="s">
        <v>2563</v>
      </c>
      <c r="M2256" s="96">
        <v>45814.369039351855</v>
      </c>
      <c r="N2256" s="100">
        <v>45819</v>
      </c>
      <c r="O2256" s="100">
        <v>45819</v>
      </c>
      <c r="P2256" s="98" t="str">
        <f ca="1">IF(Proc[[#This Row],[DaysAgeing]]&gt;5,"yep","on track")</f>
        <v>on track</v>
      </c>
      <c r="Q2256" s="3">
        <f ca="1">IF(Proc[[#This Row],[DateClosed]]="",ABS(NETWORKDAYS(Proc[[#This Row],[DateOpened]],TODAY()))-1,ABS(NETWORKDAYS(Proc[[#This Row],[DateOpened]],Proc[[#This Row],[DateClosed]]))-1)</f>
        <v>3</v>
      </c>
      <c r="R2256" s="98" t="s">
        <v>481</v>
      </c>
      <c r="S2256" s="94"/>
    </row>
    <row r="2257" spans="1:19" hidden="1">
      <c r="A2257" s="97" t="s">
        <v>4115</v>
      </c>
      <c r="B2257" s="149" t="str">
        <f>IFERROR(VLOOKUP(Proc[[#This Row],[App]],Table2[],3,0),"open")</f>
        <v>ok</v>
      </c>
      <c r="C2257" s="103" t="s">
        <v>369</v>
      </c>
      <c r="D2257" t="s">
        <v>4112</v>
      </c>
      <c r="E2257" t="s">
        <v>3381</v>
      </c>
      <c r="F2257" s="117" t="s">
        <v>3381</v>
      </c>
      <c r="G2257" s="97" t="s">
        <v>406</v>
      </c>
      <c r="H2257" s="94" t="str">
        <f>IF(Proc[[#This Row],[type]]="LFF (MDG-F)",MID(Proc[[#This Row],[Obj]],13,10),"")</f>
        <v>DE20538604</v>
      </c>
      <c r="I2257" s="97" t="s">
        <v>4116</v>
      </c>
      <c r="J2257" s="94" t="b">
        <f>Proc[[#This Row],[Requested]]=Proc[[#This Row],[CurrentParent]]</f>
        <v>1</v>
      </c>
      <c r="K2257" s="144" t="str">
        <f>IF(Proc[[#This Row],[Author]]="Marcela Urrego",VLOOKUP(LEFT(Proc[[#This Row],[Requested]],1),Table3[#All],2,0),VLOOKUP(Proc[[#This Row],[Author]],Table4[],2,0))</f>
        <v>MGF</v>
      </c>
      <c r="L2257" s="125" t="s">
        <v>2563</v>
      </c>
      <c r="M2257" s="96">
        <v>45814.369039351855</v>
      </c>
      <c r="N2257" s="100">
        <v>45819</v>
      </c>
      <c r="O2257" s="100">
        <v>45819</v>
      </c>
      <c r="P2257" s="98" t="str">
        <f ca="1">IF(Proc[[#This Row],[DaysAgeing]]&gt;5,"yep","on track")</f>
        <v>on track</v>
      </c>
      <c r="Q2257" s="3">
        <f ca="1">IF(Proc[[#This Row],[DateClosed]]="",ABS(NETWORKDAYS(Proc[[#This Row],[DateOpened]],TODAY()))-1,ABS(NETWORKDAYS(Proc[[#This Row],[DateOpened]],Proc[[#This Row],[DateClosed]]))-1)</f>
        <v>3</v>
      </c>
      <c r="R2257" s="98" t="s">
        <v>481</v>
      </c>
      <c r="S2257" s="94"/>
    </row>
    <row r="2258" spans="1:19" hidden="1">
      <c r="A2258" t="s">
        <v>4118</v>
      </c>
      <c r="B2258" s="149" t="str">
        <f>IFERROR(VLOOKUP(Proc[[#This Row],[App]],Table2[],3,0),"open")</f>
        <v>ok</v>
      </c>
      <c r="C2258" s="103" t="s">
        <v>369</v>
      </c>
      <c r="D2258" s="99" t="s">
        <v>4117</v>
      </c>
      <c r="E2258" t="s">
        <v>4100</v>
      </c>
      <c r="F2258" s="117" t="s">
        <v>4100</v>
      </c>
      <c r="G2258" t="s">
        <v>400</v>
      </c>
      <c r="H2258" s="94" t="str">
        <f>IF(Proc[[#This Row],[type]]="LFF (MDG-F)",MID(Proc[[#This Row],[Obj]],13,10),"")</f>
        <v/>
      </c>
      <c r="J2258" s="94" t="b">
        <f>Proc[[#This Row],[Requested]]=Proc[[#This Row],[CurrentParent]]</f>
        <v>1</v>
      </c>
      <c r="K2258" s="144" t="str">
        <f>IF(Proc[[#This Row],[Author]]="Marcela Urrego",VLOOKUP(LEFT(Proc[[#This Row],[Requested]],1),Table3[#All],2,0),VLOOKUP(Proc[[#This Row],[Author]],Table4[],2,0))</f>
        <v>LS</v>
      </c>
      <c r="L2258" s="125" t="s">
        <v>2563</v>
      </c>
      <c r="M2258" s="98">
        <v>45818.369039351855</v>
      </c>
      <c r="N2258" s="100">
        <v>45819</v>
      </c>
      <c r="O2258" s="100">
        <v>45819</v>
      </c>
      <c r="P2258" s="98" t="str">
        <f ca="1">IF(Proc[[#This Row],[DaysAgeing]]&gt;5,"yep","on track")</f>
        <v>on track</v>
      </c>
      <c r="Q2258" s="3">
        <f ca="1">IF(Proc[[#This Row],[DateClosed]]="",ABS(NETWORKDAYS(Proc[[#This Row],[DateOpened]],TODAY()))-1,ABS(NETWORKDAYS(Proc[[#This Row],[DateOpened]],Proc[[#This Row],[DateClosed]]))-1)</f>
        <v>1</v>
      </c>
      <c r="R2258" s="98" t="s">
        <v>489</v>
      </c>
      <c r="S2258" s="94"/>
    </row>
    <row r="2259" spans="1:19" hidden="1">
      <c r="A2259" t="s">
        <v>4119</v>
      </c>
      <c r="B2259" s="149" t="str">
        <f>IFERROR(VLOOKUP(Proc[[#This Row],[App]],Table2[],3,0),"open")</f>
        <v>ok</v>
      </c>
      <c r="C2259" s="103" t="s">
        <v>369</v>
      </c>
      <c r="D2259" s="101" t="s">
        <v>4179</v>
      </c>
      <c r="E2259" t="s">
        <v>4120</v>
      </c>
      <c r="F2259" s="117" t="s">
        <v>4120</v>
      </c>
      <c r="G2259" s="101" t="s">
        <v>406</v>
      </c>
      <c r="H2259" s="94" t="str">
        <f>IF(Proc[[#This Row],[type]]="LFF (MDG-F)",MID(Proc[[#This Row],[Obj]],13,10),"")</f>
        <v>DE10594600</v>
      </c>
      <c r="J2259" s="94" t="b">
        <f>Proc[[#This Row],[Requested]]=Proc[[#This Row],[CurrentParent]]</f>
        <v>1</v>
      </c>
      <c r="K2259" s="144" t="str">
        <f>IF(Proc[[#This Row],[Author]]="Marcela Urrego",VLOOKUP(LEFT(Proc[[#This Row],[Requested]],1),Table3[#All],2,0),VLOOKUP(Proc[[#This Row],[Author]],Table4[],2,0))</f>
        <v>MGF</v>
      </c>
      <c r="L2259" s="94" t="s">
        <v>2563</v>
      </c>
      <c r="M2259" s="98">
        <v>45818.369039351855</v>
      </c>
      <c r="N2259" s="100"/>
      <c r="O2259" s="100"/>
      <c r="P2259" s="98" t="str">
        <f ca="1">IF(Proc[[#This Row],[DaysAgeing]]&gt;5,"yep","on track")</f>
        <v>yep</v>
      </c>
      <c r="Q2259" s="3">
        <f ca="1">IF(Proc[[#This Row],[DateClosed]]="",ABS(NETWORKDAYS(Proc[[#This Row],[DateOpened]],TODAY()))-1,ABS(NETWORKDAYS(Proc[[#This Row],[DateOpened]],Proc[[#This Row],[DateClosed]]))-1)</f>
        <v>138</v>
      </c>
      <c r="R2259" s="98" t="s">
        <v>515</v>
      </c>
      <c r="S2259" s="94"/>
    </row>
    <row r="2260" spans="1:19" hidden="1">
      <c r="A2260" s="101" t="s">
        <v>4119</v>
      </c>
      <c r="B2260" s="149" t="str">
        <f>IFERROR(VLOOKUP(Proc[[#This Row],[App]],Table2[],3,0),"open")</f>
        <v>ok</v>
      </c>
      <c r="C2260" s="101" t="s">
        <v>369</v>
      </c>
      <c r="D2260" s="102" t="s">
        <v>4178</v>
      </c>
      <c r="E2260" t="s">
        <v>4121</v>
      </c>
      <c r="F2260" s="117" t="s">
        <v>4121</v>
      </c>
      <c r="G2260" s="101" t="s">
        <v>406</v>
      </c>
      <c r="H2260" s="94" t="str">
        <f>IF(Proc[[#This Row],[type]]="LFF (MDG-F)",MID(Proc[[#This Row],[Obj]],13,10),"")</f>
        <v>DE10629410</v>
      </c>
      <c r="J2260" s="94" t="b">
        <f>Proc[[#This Row],[Requested]]=Proc[[#This Row],[CurrentParent]]</f>
        <v>1</v>
      </c>
      <c r="K2260" s="144" t="str">
        <f>IF(Proc[[#This Row],[Author]]="Marcela Urrego",VLOOKUP(LEFT(Proc[[#This Row],[Requested]],1),Table3[#All],2,0),VLOOKUP(Proc[[#This Row],[Author]],Table4[],2,0))</f>
        <v>MGF</v>
      </c>
      <c r="L2260" s="94" t="s">
        <v>2563</v>
      </c>
      <c r="M2260" s="98">
        <v>45818.369039351855</v>
      </c>
      <c r="N2260" s="100"/>
      <c r="O2260" s="100"/>
      <c r="P2260" s="98" t="str">
        <f ca="1">IF(Proc[[#This Row],[DaysAgeing]]&gt;5,"yep","on track")</f>
        <v>yep</v>
      </c>
      <c r="Q2260" s="3">
        <f ca="1">IF(Proc[[#This Row],[DateClosed]]="",ABS(NETWORKDAYS(Proc[[#This Row],[DateOpened]],TODAY()))-1,ABS(NETWORKDAYS(Proc[[#This Row],[DateOpened]],Proc[[#This Row],[DateClosed]]))-1)</f>
        <v>138</v>
      </c>
      <c r="R2260" s="98" t="s">
        <v>515</v>
      </c>
      <c r="S2260" s="94"/>
    </row>
    <row r="2261" spans="1:19" hidden="1">
      <c r="A2261" t="s">
        <v>4123</v>
      </c>
      <c r="B2261" s="149" t="str">
        <f>IFERROR(VLOOKUP(Proc[[#This Row],[App]],Table2[],3,0),"open")</f>
        <v>ok</v>
      </c>
      <c r="C2261" s="103" t="s">
        <v>369</v>
      </c>
      <c r="D2261" s="99" t="s">
        <v>4122</v>
      </c>
      <c r="E2261" s="103" t="s">
        <v>3264</v>
      </c>
      <c r="F2261" s="117" t="s">
        <v>3264</v>
      </c>
      <c r="G2261" t="s">
        <v>400</v>
      </c>
      <c r="H2261" s="94" t="str">
        <f>IF(Proc[[#This Row],[type]]="LFF (MDG-F)",MID(Proc[[#This Row],[Obj]],13,10),"")</f>
        <v/>
      </c>
      <c r="J2261" s="94" t="b">
        <f>Proc[[#This Row],[Requested]]=Proc[[#This Row],[CurrentParent]]</f>
        <v>1</v>
      </c>
      <c r="K2261" s="144" t="str">
        <f>IF(Proc[[#This Row],[Author]]="Marcela Urrego",VLOOKUP(LEFT(Proc[[#This Row],[Requested]],1),Table3[#All],2,0),VLOOKUP(Proc[[#This Row],[Author]],Table4[],2,0))</f>
        <v>LS</v>
      </c>
      <c r="L2261" s="125" t="s">
        <v>2563</v>
      </c>
      <c r="M2261" s="98">
        <v>45818.369039351855</v>
      </c>
      <c r="N2261" s="100">
        <v>45819</v>
      </c>
      <c r="O2261" s="100">
        <v>45819</v>
      </c>
      <c r="P2261" s="98" t="str">
        <f ca="1">IF(Proc[[#This Row],[DaysAgeing]]&gt;5,"yep","on track")</f>
        <v>on track</v>
      </c>
      <c r="Q2261" s="3">
        <f ca="1">IF(Proc[[#This Row],[DateClosed]]="",ABS(NETWORKDAYS(Proc[[#This Row],[DateOpened]],TODAY()))-1,ABS(NETWORKDAYS(Proc[[#This Row],[DateOpened]],Proc[[#This Row],[DateClosed]]))-1)</f>
        <v>1</v>
      </c>
      <c r="R2261" s="98" t="s">
        <v>489</v>
      </c>
      <c r="S2261" s="94"/>
    </row>
    <row r="2262" spans="1:19" hidden="1">
      <c r="A2262" t="s">
        <v>4133</v>
      </c>
      <c r="B2262" s="149" t="str">
        <f>IFERROR(VLOOKUP(Proc[[#This Row],[App]],Table2[],3,0),"open")</f>
        <v>ok</v>
      </c>
      <c r="C2262" t="s">
        <v>369</v>
      </c>
      <c r="D2262" t="s">
        <v>4124</v>
      </c>
      <c r="E2262" t="s">
        <v>1213</v>
      </c>
      <c r="F2262" s="117" t="s">
        <v>1213</v>
      </c>
      <c r="G2262" t="s">
        <v>400</v>
      </c>
      <c r="H2262" s="94" t="str">
        <f>IF(Proc[[#This Row],[type]]="LFF (MDG-F)",MID(Proc[[#This Row],[Obj]],13,10),"")</f>
        <v/>
      </c>
      <c r="J2262" s="94" t="b">
        <f>Proc[[#This Row],[Requested]]=Proc[[#This Row],[CurrentParent]]</f>
        <v>1</v>
      </c>
      <c r="K2262" s="144" t="str">
        <f>IF(Proc[[#This Row],[Author]]="Marcela Urrego",VLOOKUP(LEFT(Proc[[#This Row],[Requested]],1),Table3[#All],2,0),VLOOKUP(Proc[[#This Row],[Author]],Table4[],2,0))</f>
        <v>EL</v>
      </c>
      <c r="L2262" s="94" t="s">
        <v>2563</v>
      </c>
      <c r="M2262" s="100">
        <v>45819.48096064815</v>
      </c>
      <c r="N2262" s="100">
        <v>45825</v>
      </c>
      <c r="O2262" s="100">
        <v>45825</v>
      </c>
      <c r="P2262" s="104" t="str">
        <f ca="1">IF(Proc[[#This Row],[DaysAgeing]]&gt;5,"yep","on track")</f>
        <v>on track</v>
      </c>
      <c r="Q2262" s="3">
        <f ca="1">IF(Proc[[#This Row],[DateClosed]]="",ABS(NETWORKDAYS(Proc[[#This Row],[DateOpened]],TODAY()))-1,ABS(NETWORKDAYS(Proc[[#This Row],[DateOpened]],Proc[[#This Row],[DateClosed]]))-1)</f>
        <v>4</v>
      </c>
      <c r="R2262" s="104" t="s">
        <v>780</v>
      </c>
      <c r="S2262" s="94"/>
    </row>
    <row r="2263" spans="1:19" hidden="1">
      <c r="A2263" s="103" t="s">
        <v>4133</v>
      </c>
      <c r="B2263" s="149" t="str">
        <f>IFERROR(VLOOKUP(Proc[[#This Row],[App]],Table2[],3,0),"open")</f>
        <v>ok</v>
      </c>
      <c r="C2263" s="103" t="s">
        <v>369</v>
      </c>
      <c r="D2263" t="s">
        <v>4125</v>
      </c>
      <c r="E2263" t="s">
        <v>1214</v>
      </c>
      <c r="F2263" s="117" t="s">
        <v>1214</v>
      </c>
      <c r="G2263" s="103" t="s">
        <v>400</v>
      </c>
      <c r="H2263" s="94" t="str">
        <f>IF(Proc[[#This Row],[type]]="LFF (MDG-F)",MID(Proc[[#This Row],[Obj]],13,10),"")</f>
        <v/>
      </c>
      <c r="J2263" s="94" t="b">
        <f>Proc[[#This Row],[Requested]]=Proc[[#This Row],[CurrentParent]]</f>
        <v>1</v>
      </c>
      <c r="K2263" s="144" t="str">
        <f>IF(Proc[[#This Row],[Author]]="Marcela Urrego",VLOOKUP(LEFT(Proc[[#This Row],[Requested]],1),Table3[#All],2,0),VLOOKUP(Proc[[#This Row],[Author]],Table4[],2,0))</f>
        <v>EL</v>
      </c>
      <c r="L2263" s="94" t="s">
        <v>2563</v>
      </c>
      <c r="M2263" s="100">
        <v>45819.48096064815</v>
      </c>
      <c r="N2263" s="100">
        <v>45825</v>
      </c>
      <c r="O2263" s="100">
        <v>45825</v>
      </c>
      <c r="P2263" s="104" t="str">
        <f ca="1">IF(Proc[[#This Row],[DaysAgeing]]&gt;5,"yep","on track")</f>
        <v>on track</v>
      </c>
      <c r="Q2263" s="3">
        <f ca="1">IF(Proc[[#This Row],[DateClosed]]="",ABS(NETWORKDAYS(Proc[[#This Row],[DateOpened]],TODAY()))-1,ABS(NETWORKDAYS(Proc[[#This Row],[DateOpened]],Proc[[#This Row],[DateClosed]]))-1)</f>
        <v>4</v>
      </c>
      <c r="R2263" s="104" t="s">
        <v>780</v>
      </c>
      <c r="S2263" s="94"/>
    </row>
    <row r="2264" spans="1:19" hidden="1">
      <c r="A2264" s="103" t="s">
        <v>4133</v>
      </c>
      <c r="B2264" s="149" t="str">
        <f>IFERROR(VLOOKUP(Proc[[#This Row],[App]],Table2[],3,0),"open")</f>
        <v>ok</v>
      </c>
      <c r="C2264" s="103" t="s">
        <v>369</v>
      </c>
      <c r="D2264" t="s">
        <v>4126</v>
      </c>
      <c r="E2264" t="s">
        <v>1214</v>
      </c>
      <c r="F2264" s="117" t="s">
        <v>1214</v>
      </c>
      <c r="G2264" s="103" t="s">
        <v>400</v>
      </c>
      <c r="H2264" s="94" t="str">
        <f>IF(Proc[[#This Row],[type]]="LFF (MDG-F)",MID(Proc[[#This Row],[Obj]],13,10),"")</f>
        <v/>
      </c>
      <c r="J2264" s="94" t="b">
        <f>Proc[[#This Row],[Requested]]=Proc[[#This Row],[CurrentParent]]</f>
        <v>1</v>
      </c>
      <c r="K2264" s="144" t="str">
        <f>IF(Proc[[#This Row],[Author]]="Marcela Urrego",VLOOKUP(LEFT(Proc[[#This Row],[Requested]],1),Table3[#All],2,0),VLOOKUP(Proc[[#This Row],[Author]],Table4[],2,0))</f>
        <v>EL</v>
      </c>
      <c r="L2264" s="94" t="s">
        <v>2563</v>
      </c>
      <c r="M2264" s="100">
        <v>45819.48096064815</v>
      </c>
      <c r="N2264" s="100">
        <v>45825</v>
      </c>
      <c r="O2264" s="100">
        <v>45825</v>
      </c>
      <c r="P2264" s="104" t="str">
        <f ca="1">IF(Proc[[#This Row],[DaysAgeing]]&gt;5,"yep","on track")</f>
        <v>on track</v>
      </c>
      <c r="Q2264" s="3">
        <f ca="1">IF(Proc[[#This Row],[DateClosed]]="",ABS(NETWORKDAYS(Proc[[#This Row],[DateOpened]],TODAY()))-1,ABS(NETWORKDAYS(Proc[[#This Row],[DateOpened]],Proc[[#This Row],[DateClosed]]))-1)</f>
        <v>4</v>
      </c>
      <c r="R2264" s="104" t="s">
        <v>780</v>
      </c>
      <c r="S2264" s="94"/>
    </row>
    <row r="2265" spans="1:19" hidden="1">
      <c r="A2265" s="103" t="s">
        <v>4133</v>
      </c>
      <c r="B2265" s="149" t="str">
        <f>IFERROR(VLOOKUP(Proc[[#This Row],[App]],Table2[],3,0),"open")</f>
        <v>ok</v>
      </c>
      <c r="C2265" s="103" t="s">
        <v>369</v>
      </c>
      <c r="D2265" t="s">
        <v>4127</v>
      </c>
      <c r="E2265" t="s">
        <v>4131</v>
      </c>
      <c r="F2265" s="117" t="s">
        <v>4131</v>
      </c>
      <c r="G2265" s="103" t="s">
        <v>400</v>
      </c>
      <c r="H2265" s="94" t="str">
        <f>IF(Proc[[#This Row],[type]]="LFF (MDG-F)",MID(Proc[[#This Row],[Obj]],13,10),"")</f>
        <v/>
      </c>
      <c r="J2265" s="94" t="b">
        <f>Proc[[#This Row],[Requested]]=Proc[[#This Row],[CurrentParent]]</f>
        <v>1</v>
      </c>
      <c r="K2265" s="144" t="str">
        <f>IF(Proc[[#This Row],[Author]]="Marcela Urrego",VLOOKUP(LEFT(Proc[[#This Row],[Requested]],1),Table3[#All],2,0),VLOOKUP(Proc[[#This Row],[Author]],Table4[],2,0))</f>
        <v>EL</v>
      </c>
      <c r="L2265" s="94" t="s">
        <v>2563</v>
      </c>
      <c r="M2265" s="100">
        <v>45819.48096064815</v>
      </c>
      <c r="N2265" s="100">
        <v>45825</v>
      </c>
      <c r="O2265" s="100">
        <v>45825</v>
      </c>
      <c r="P2265" s="104" t="str">
        <f ca="1">IF(Proc[[#This Row],[DaysAgeing]]&gt;5,"yep","on track")</f>
        <v>on track</v>
      </c>
      <c r="Q2265" s="3">
        <f ca="1">IF(Proc[[#This Row],[DateClosed]]="",ABS(NETWORKDAYS(Proc[[#This Row],[DateOpened]],TODAY()))-1,ABS(NETWORKDAYS(Proc[[#This Row],[DateOpened]],Proc[[#This Row],[DateClosed]]))-1)</f>
        <v>4</v>
      </c>
      <c r="R2265" s="104" t="s">
        <v>780</v>
      </c>
      <c r="S2265" s="94"/>
    </row>
    <row r="2266" spans="1:19" hidden="1">
      <c r="A2266" s="103" t="s">
        <v>4133</v>
      </c>
      <c r="B2266" s="149" t="str">
        <f>IFERROR(VLOOKUP(Proc[[#This Row],[App]],Table2[],3,0),"open")</f>
        <v>ok</v>
      </c>
      <c r="C2266" s="103" t="s">
        <v>369</v>
      </c>
      <c r="D2266" t="s">
        <v>4128</v>
      </c>
      <c r="E2266" t="s">
        <v>4131</v>
      </c>
      <c r="F2266" s="117" t="s">
        <v>4131</v>
      </c>
      <c r="G2266" s="103" t="s">
        <v>400</v>
      </c>
      <c r="H2266" s="94" t="str">
        <f>IF(Proc[[#This Row],[type]]="LFF (MDG-F)",MID(Proc[[#This Row],[Obj]],13,10),"")</f>
        <v/>
      </c>
      <c r="J2266" s="94" t="b">
        <f>Proc[[#This Row],[Requested]]=Proc[[#This Row],[CurrentParent]]</f>
        <v>1</v>
      </c>
      <c r="K2266" s="144" t="str">
        <f>IF(Proc[[#This Row],[Author]]="Marcela Urrego",VLOOKUP(LEFT(Proc[[#This Row],[Requested]],1),Table3[#All],2,0),VLOOKUP(Proc[[#This Row],[Author]],Table4[],2,0))</f>
        <v>EL</v>
      </c>
      <c r="L2266" s="94" t="s">
        <v>2563</v>
      </c>
      <c r="M2266" s="100">
        <v>45819.48096064815</v>
      </c>
      <c r="N2266" s="100">
        <v>45825</v>
      </c>
      <c r="O2266" s="100">
        <v>45825</v>
      </c>
      <c r="P2266" s="104" t="str">
        <f ca="1">IF(Proc[[#This Row],[DaysAgeing]]&gt;5,"yep","on track")</f>
        <v>on track</v>
      </c>
      <c r="Q2266" s="3">
        <f ca="1">IF(Proc[[#This Row],[DateClosed]]="",ABS(NETWORKDAYS(Proc[[#This Row],[DateOpened]],TODAY()))-1,ABS(NETWORKDAYS(Proc[[#This Row],[DateOpened]],Proc[[#This Row],[DateClosed]]))-1)</f>
        <v>4</v>
      </c>
      <c r="R2266" s="104" t="s">
        <v>780</v>
      </c>
      <c r="S2266" s="94"/>
    </row>
    <row r="2267" spans="1:19" hidden="1">
      <c r="A2267" s="103" t="s">
        <v>4133</v>
      </c>
      <c r="B2267" s="149" t="str">
        <f>IFERROR(VLOOKUP(Proc[[#This Row],[App]],Table2[],3,0),"open")</f>
        <v>ok</v>
      </c>
      <c r="C2267" s="103" t="s">
        <v>369</v>
      </c>
      <c r="D2267" t="s">
        <v>4129</v>
      </c>
      <c r="E2267" t="s">
        <v>4132</v>
      </c>
      <c r="F2267" s="117" t="s">
        <v>4132</v>
      </c>
      <c r="G2267" s="103" t="s">
        <v>400</v>
      </c>
      <c r="H2267" s="94" t="str">
        <f>IF(Proc[[#This Row],[type]]="LFF (MDG-F)",MID(Proc[[#This Row],[Obj]],13,10),"")</f>
        <v/>
      </c>
      <c r="J2267" s="94" t="b">
        <f>Proc[[#This Row],[Requested]]=Proc[[#This Row],[CurrentParent]]</f>
        <v>1</v>
      </c>
      <c r="K2267" s="144" t="str">
        <f>IF(Proc[[#This Row],[Author]]="Marcela Urrego",VLOOKUP(LEFT(Proc[[#This Row],[Requested]],1),Table3[#All],2,0),VLOOKUP(Proc[[#This Row],[Author]],Table4[],2,0))</f>
        <v>EL</v>
      </c>
      <c r="L2267" s="94" t="s">
        <v>2563</v>
      </c>
      <c r="M2267" s="100">
        <v>45819.48096064815</v>
      </c>
      <c r="N2267" s="100">
        <v>45825</v>
      </c>
      <c r="O2267" s="100">
        <v>45825</v>
      </c>
      <c r="P2267" s="104" t="str">
        <f ca="1">IF(Proc[[#This Row],[DaysAgeing]]&gt;5,"yep","on track")</f>
        <v>on track</v>
      </c>
      <c r="Q2267" s="3">
        <f ca="1">IF(Proc[[#This Row],[DateClosed]]="",ABS(NETWORKDAYS(Proc[[#This Row],[DateOpened]],TODAY()))-1,ABS(NETWORKDAYS(Proc[[#This Row],[DateOpened]],Proc[[#This Row],[DateClosed]]))-1)</f>
        <v>4</v>
      </c>
      <c r="R2267" s="104" t="s">
        <v>780</v>
      </c>
      <c r="S2267" s="94"/>
    </row>
    <row r="2268" spans="1:19" hidden="1">
      <c r="A2268" s="103" t="s">
        <v>4133</v>
      </c>
      <c r="B2268" s="149" t="str">
        <f>IFERROR(VLOOKUP(Proc[[#This Row],[App]],Table2[],3,0),"open")</f>
        <v>ok</v>
      </c>
      <c r="C2268" s="103" t="s">
        <v>369</v>
      </c>
      <c r="D2268" t="s">
        <v>4130</v>
      </c>
      <c r="E2268" t="s">
        <v>4132</v>
      </c>
      <c r="F2268" s="117" t="s">
        <v>4132</v>
      </c>
      <c r="G2268" s="103" t="s">
        <v>400</v>
      </c>
      <c r="H2268" s="94" t="str">
        <f>IF(Proc[[#This Row],[type]]="LFF (MDG-F)",MID(Proc[[#This Row],[Obj]],13,10),"")</f>
        <v/>
      </c>
      <c r="J2268" s="94" t="b">
        <f>Proc[[#This Row],[Requested]]=Proc[[#This Row],[CurrentParent]]</f>
        <v>1</v>
      </c>
      <c r="K2268" s="144" t="str">
        <f>IF(Proc[[#This Row],[Author]]="Marcela Urrego",VLOOKUP(LEFT(Proc[[#This Row],[Requested]],1),Table3[#All],2,0),VLOOKUP(Proc[[#This Row],[Author]],Table4[],2,0))</f>
        <v>EL</v>
      </c>
      <c r="L2268" s="94" t="s">
        <v>2563</v>
      </c>
      <c r="M2268" s="100">
        <v>45819.48096064815</v>
      </c>
      <c r="N2268" s="100">
        <v>45825</v>
      </c>
      <c r="O2268" s="100">
        <v>45825</v>
      </c>
      <c r="P2268" s="104" t="str">
        <f ca="1">IF(Proc[[#This Row],[DaysAgeing]]&gt;5,"yep","on track")</f>
        <v>on track</v>
      </c>
      <c r="Q2268" s="3">
        <f ca="1">IF(Proc[[#This Row],[DateClosed]]="",ABS(NETWORKDAYS(Proc[[#This Row],[DateOpened]],TODAY()))-1,ABS(NETWORKDAYS(Proc[[#This Row],[DateOpened]],Proc[[#This Row],[DateClosed]]))-1)</f>
        <v>4</v>
      </c>
      <c r="R2268" s="104" t="s">
        <v>780</v>
      </c>
      <c r="S2268" s="94"/>
    </row>
    <row r="2269" spans="1:19" hidden="1">
      <c r="A2269" t="s">
        <v>4139</v>
      </c>
      <c r="B2269" s="149" t="str">
        <f>IFERROR(VLOOKUP(Proc[[#This Row],[App]],Table2[],3,0),"open")</f>
        <v>ok</v>
      </c>
      <c r="C2269" s="103" t="s">
        <v>369</v>
      </c>
      <c r="D2269" t="s">
        <v>4140</v>
      </c>
      <c r="E2269" t="s">
        <v>4173</v>
      </c>
      <c r="F2269" s="117" t="s">
        <v>4173</v>
      </c>
      <c r="G2269" s="103" t="s">
        <v>400</v>
      </c>
      <c r="H2269" s="94" t="str">
        <f>IF(Proc[[#This Row],[type]]="LFF (MDG-F)",MID(Proc[[#This Row],[Obj]],13,10),"")</f>
        <v/>
      </c>
      <c r="J2269" s="94" t="b">
        <f>Proc[[#This Row],[Requested]]=Proc[[#This Row],[CurrentParent]]</f>
        <v>1</v>
      </c>
      <c r="K2269" s="144" t="str">
        <f>IF(Proc[[#This Row],[Author]]="Marcela Urrego",VLOOKUP(LEFT(Proc[[#This Row],[Requested]],1),Table3[#All],2,0),VLOOKUP(Proc[[#This Row],[Author]],Table4[],2,0))</f>
        <v>HC</v>
      </c>
      <c r="L2269" s="94" t="s">
        <v>2563</v>
      </c>
      <c r="M2269" s="104">
        <v>45825.48096064815</v>
      </c>
      <c r="N2269" s="105">
        <v>45825</v>
      </c>
      <c r="O2269" s="105">
        <v>45825</v>
      </c>
      <c r="P2269" s="104" t="str">
        <f ca="1">IF(Proc[[#This Row],[DaysAgeing]]&gt;5,"yep","on track")</f>
        <v>on track</v>
      </c>
      <c r="Q2269" s="3">
        <f ca="1">IF(Proc[[#This Row],[DateClosed]]="",ABS(NETWORKDAYS(Proc[[#This Row],[DateOpened]],TODAY()))-1,ABS(NETWORKDAYS(Proc[[#This Row],[DateOpened]],Proc[[#This Row],[DateClosed]]))-1)</f>
        <v>0</v>
      </c>
      <c r="R2269" s="104" t="s">
        <v>410</v>
      </c>
      <c r="S2269" s="94"/>
    </row>
    <row r="2270" spans="1:19" hidden="1">
      <c r="A2270" s="103" t="s">
        <v>4139</v>
      </c>
      <c r="B2270" s="149" t="str">
        <f>IFERROR(VLOOKUP(Proc[[#This Row],[App]],Table2[],3,0),"open")</f>
        <v>ok</v>
      </c>
      <c r="C2270" s="103" t="s">
        <v>369</v>
      </c>
      <c r="D2270" t="s">
        <v>4141</v>
      </c>
      <c r="E2270" t="s">
        <v>4174</v>
      </c>
      <c r="F2270" s="117" t="s">
        <v>4174</v>
      </c>
      <c r="G2270" s="103" t="s">
        <v>400</v>
      </c>
      <c r="H2270" s="94" t="str">
        <f>IF(Proc[[#This Row],[type]]="LFF (MDG-F)",MID(Proc[[#This Row],[Obj]],13,10),"")</f>
        <v/>
      </c>
      <c r="J2270" s="94" t="b">
        <f>Proc[[#This Row],[Requested]]=Proc[[#This Row],[CurrentParent]]</f>
        <v>1</v>
      </c>
      <c r="K2270" s="144" t="str">
        <f>IF(Proc[[#This Row],[Author]]="Marcela Urrego",VLOOKUP(LEFT(Proc[[#This Row],[Requested]],1),Table3[#All],2,0),VLOOKUP(Proc[[#This Row],[Author]],Table4[],2,0))</f>
        <v>HC</v>
      </c>
      <c r="L2270" s="94" t="s">
        <v>2563</v>
      </c>
      <c r="M2270" s="104">
        <v>45825.48096064815</v>
      </c>
      <c r="N2270" s="105">
        <v>45825</v>
      </c>
      <c r="O2270" s="105">
        <v>45825</v>
      </c>
      <c r="P2270" s="104" t="str">
        <f ca="1">IF(Proc[[#This Row],[DaysAgeing]]&gt;5,"yep","on track")</f>
        <v>on track</v>
      </c>
      <c r="Q2270" s="3">
        <f ca="1">IF(Proc[[#This Row],[DateClosed]]="",ABS(NETWORKDAYS(Proc[[#This Row],[DateOpened]],TODAY()))-1,ABS(NETWORKDAYS(Proc[[#This Row],[DateOpened]],Proc[[#This Row],[DateClosed]]))-1)</f>
        <v>0</v>
      </c>
      <c r="R2270" s="104" t="s">
        <v>410</v>
      </c>
      <c r="S2270" s="94"/>
    </row>
    <row r="2271" spans="1:19" hidden="1">
      <c r="A2271" s="103" t="s">
        <v>4139</v>
      </c>
      <c r="B2271" s="149" t="str">
        <f>IFERROR(VLOOKUP(Proc[[#This Row],[App]],Table2[],3,0),"open")</f>
        <v>ok</v>
      </c>
      <c r="C2271" s="103" t="s">
        <v>369</v>
      </c>
      <c r="D2271" t="s">
        <v>4142</v>
      </c>
      <c r="E2271" t="s">
        <v>4174</v>
      </c>
      <c r="F2271" s="117" t="s">
        <v>4174</v>
      </c>
      <c r="G2271" s="103" t="s">
        <v>400</v>
      </c>
      <c r="H2271" s="94" t="str">
        <f>IF(Proc[[#This Row],[type]]="LFF (MDG-F)",MID(Proc[[#This Row],[Obj]],13,10),"")</f>
        <v/>
      </c>
      <c r="J2271" s="94" t="b">
        <f>Proc[[#This Row],[Requested]]=Proc[[#This Row],[CurrentParent]]</f>
        <v>1</v>
      </c>
      <c r="K2271" s="144" t="str">
        <f>IF(Proc[[#This Row],[Author]]="Marcela Urrego",VLOOKUP(LEFT(Proc[[#This Row],[Requested]],1),Table3[#All],2,0),VLOOKUP(Proc[[#This Row],[Author]],Table4[],2,0))</f>
        <v>HC</v>
      </c>
      <c r="L2271" s="94" t="s">
        <v>2563</v>
      </c>
      <c r="M2271" s="104">
        <v>45825.48096064815</v>
      </c>
      <c r="N2271" s="105">
        <v>45825</v>
      </c>
      <c r="O2271" s="105">
        <v>45825</v>
      </c>
      <c r="P2271" s="104" t="str">
        <f ca="1">IF(Proc[[#This Row],[DaysAgeing]]&gt;5,"yep","on track")</f>
        <v>on track</v>
      </c>
      <c r="Q2271" s="3">
        <f ca="1">IF(Proc[[#This Row],[DateClosed]]="",ABS(NETWORKDAYS(Proc[[#This Row],[DateOpened]],TODAY()))-1,ABS(NETWORKDAYS(Proc[[#This Row],[DateOpened]],Proc[[#This Row],[DateClosed]]))-1)</f>
        <v>0</v>
      </c>
      <c r="R2271" s="104" t="s">
        <v>410</v>
      </c>
      <c r="S2271" s="94"/>
    </row>
    <row r="2272" spans="1:19" hidden="1">
      <c r="A2272" s="103" t="s">
        <v>4139</v>
      </c>
      <c r="B2272" s="149" t="str">
        <f>IFERROR(VLOOKUP(Proc[[#This Row],[App]],Table2[],3,0),"open")</f>
        <v>ok</v>
      </c>
      <c r="C2272" s="103" t="s">
        <v>369</v>
      </c>
      <c r="D2272" t="s">
        <v>4143</v>
      </c>
      <c r="E2272" t="s">
        <v>4174</v>
      </c>
      <c r="F2272" s="117" t="s">
        <v>4174</v>
      </c>
      <c r="G2272" s="103" t="s">
        <v>400</v>
      </c>
      <c r="H2272" s="94" t="str">
        <f>IF(Proc[[#This Row],[type]]="LFF (MDG-F)",MID(Proc[[#This Row],[Obj]],13,10),"")</f>
        <v/>
      </c>
      <c r="J2272" s="94" t="b">
        <f>Proc[[#This Row],[Requested]]=Proc[[#This Row],[CurrentParent]]</f>
        <v>1</v>
      </c>
      <c r="K2272" s="144" t="str">
        <f>IF(Proc[[#This Row],[Author]]="Marcela Urrego",VLOOKUP(LEFT(Proc[[#This Row],[Requested]],1),Table3[#All],2,0),VLOOKUP(Proc[[#This Row],[Author]],Table4[],2,0))</f>
        <v>HC</v>
      </c>
      <c r="L2272" s="94" t="s">
        <v>2563</v>
      </c>
      <c r="M2272" s="104">
        <v>45825.48096064815</v>
      </c>
      <c r="N2272" s="105">
        <v>45825</v>
      </c>
      <c r="O2272" s="105">
        <v>45825</v>
      </c>
      <c r="P2272" s="104" t="str">
        <f ca="1">IF(Proc[[#This Row],[DaysAgeing]]&gt;5,"yep","on track")</f>
        <v>on track</v>
      </c>
      <c r="Q2272" s="3">
        <f ca="1">IF(Proc[[#This Row],[DateClosed]]="",ABS(NETWORKDAYS(Proc[[#This Row],[DateOpened]],TODAY()))-1,ABS(NETWORKDAYS(Proc[[#This Row],[DateOpened]],Proc[[#This Row],[DateClosed]]))-1)</f>
        <v>0</v>
      </c>
      <c r="R2272" s="104" t="s">
        <v>410</v>
      </c>
      <c r="S2272" s="94"/>
    </row>
    <row r="2273" spans="1:19" hidden="1">
      <c r="A2273" s="103" t="s">
        <v>4139</v>
      </c>
      <c r="B2273" s="149" t="str">
        <f>IFERROR(VLOOKUP(Proc[[#This Row],[App]],Table2[],3,0),"open")</f>
        <v>ok</v>
      </c>
      <c r="C2273" s="103" t="s">
        <v>369</v>
      </c>
      <c r="D2273" t="s">
        <v>4144</v>
      </c>
      <c r="E2273" t="s">
        <v>4173</v>
      </c>
      <c r="F2273" s="117" t="s">
        <v>4173</v>
      </c>
      <c r="G2273" s="103" t="s">
        <v>400</v>
      </c>
      <c r="H2273" s="94" t="str">
        <f>IF(Proc[[#This Row],[type]]="LFF (MDG-F)",MID(Proc[[#This Row],[Obj]],13,10),"")</f>
        <v/>
      </c>
      <c r="J2273" s="94" t="b">
        <f>Proc[[#This Row],[Requested]]=Proc[[#This Row],[CurrentParent]]</f>
        <v>1</v>
      </c>
      <c r="K2273" s="144" t="str">
        <f>IF(Proc[[#This Row],[Author]]="Marcela Urrego",VLOOKUP(LEFT(Proc[[#This Row],[Requested]],1),Table3[#All],2,0),VLOOKUP(Proc[[#This Row],[Author]],Table4[],2,0))</f>
        <v>HC</v>
      </c>
      <c r="L2273" s="94" t="s">
        <v>2563</v>
      </c>
      <c r="M2273" s="104">
        <v>45825.48096064815</v>
      </c>
      <c r="N2273" s="105">
        <v>45825</v>
      </c>
      <c r="O2273" s="105">
        <v>45825</v>
      </c>
      <c r="P2273" s="104" t="str">
        <f ca="1">IF(Proc[[#This Row],[DaysAgeing]]&gt;5,"yep","on track")</f>
        <v>on track</v>
      </c>
      <c r="Q2273" s="3">
        <f ca="1">IF(Proc[[#This Row],[DateClosed]]="",ABS(NETWORKDAYS(Proc[[#This Row],[DateOpened]],TODAY()))-1,ABS(NETWORKDAYS(Proc[[#This Row],[DateOpened]],Proc[[#This Row],[DateClosed]]))-1)</f>
        <v>0</v>
      </c>
      <c r="R2273" s="104" t="s">
        <v>410</v>
      </c>
      <c r="S2273" s="94"/>
    </row>
    <row r="2274" spans="1:19" hidden="1">
      <c r="A2274" s="103" t="s">
        <v>4139</v>
      </c>
      <c r="B2274" s="149" t="str">
        <f>IFERROR(VLOOKUP(Proc[[#This Row],[App]],Table2[],3,0),"open")</f>
        <v>ok</v>
      </c>
      <c r="C2274" s="103" t="s">
        <v>369</v>
      </c>
      <c r="D2274" t="s">
        <v>4145</v>
      </c>
      <c r="E2274" t="s">
        <v>4173</v>
      </c>
      <c r="F2274" s="117" t="s">
        <v>4173</v>
      </c>
      <c r="G2274" s="103" t="s">
        <v>400</v>
      </c>
      <c r="H2274" s="94" t="str">
        <f>IF(Proc[[#This Row],[type]]="LFF (MDG-F)",MID(Proc[[#This Row],[Obj]],13,10),"")</f>
        <v/>
      </c>
      <c r="J2274" s="94" t="b">
        <f>Proc[[#This Row],[Requested]]=Proc[[#This Row],[CurrentParent]]</f>
        <v>1</v>
      </c>
      <c r="K2274" s="144" t="str">
        <f>IF(Proc[[#This Row],[Author]]="Marcela Urrego",VLOOKUP(LEFT(Proc[[#This Row],[Requested]],1),Table3[#All],2,0),VLOOKUP(Proc[[#This Row],[Author]],Table4[],2,0))</f>
        <v>HC</v>
      </c>
      <c r="L2274" s="94" t="s">
        <v>2563</v>
      </c>
      <c r="M2274" s="104">
        <v>45825.48096064815</v>
      </c>
      <c r="N2274" s="105">
        <v>45825</v>
      </c>
      <c r="O2274" s="105">
        <v>45825</v>
      </c>
      <c r="P2274" s="104" t="str">
        <f ca="1">IF(Proc[[#This Row],[DaysAgeing]]&gt;5,"yep","on track")</f>
        <v>on track</v>
      </c>
      <c r="Q2274" s="3">
        <f ca="1">IF(Proc[[#This Row],[DateClosed]]="",ABS(NETWORKDAYS(Proc[[#This Row],[DateOpened]],TODAY()))-1,ABS(NETWORKDAYS(Proc[[#This Row],[DateOpened]],Proc[[#This Row],[DateClosed]]))-1)</f>
        <v>0</v>
      </c>
      <c r="R2274" s="104" t="s">
        <v>410</v>
      </c>
      <c r="S2274" s="94"/>
    </row>
    <row r="2275" spans="1:19" hidden="1">
      <c r="A2275" s="103" t="s">
        <v>4139</v>
      </c>
      <c r="B2275" s="149" t="str">
        <f>IFERROR(VLOOKUP(Proc[[#This Row],[App]],Table2[],3,0),"open")</f>
        <v>ok</v>
      </c>
      <c r="C2275" s="103" t="s">
        <v>369</v>
      </c>
      <c r="D2275" t="s">
        <v>4146</v>
      </c>
      <c r="E2275" t="s">
        <v>4173</v>
      </c>
      <c r="F2275" s="117" t="s">
        <v>4173</v>
      </c>
      <c r="G2275" s="103" t="s">
        <v>400</v>
      </c>
      <c r="H2275" s="94" t="str">
        <f>IF(Proc[[#This Row],[type]]="LFF (MDG-F)",MID(Proc[[#This Row],[Obj]],13,10),"")</f>
        <v/>
      </c>
      <c r="J2275" s="94" t="b">
        <f>Proc[[#This Row],[Requested]]=Proc[[#This Row],[CurrentParent]]</f>
        <v>1</v>
      </c>
      <c r="K2275" s="144" t="str">
        <f>IF(Proc[[#This Row],[Author]]="Marcela Urrego",VLOOKUP(LEFT(Proc[[#This Row],[Requested]],1),Table3[#All],2,0),VLOOKUP(Proc[[#This Row],[Author]],Table4[],2,0))</f>
        <v>HC</v>
      </c>
      <c r="L2275" s="94" t="s">
        <v>2563</v>
      </c>
      <c r="M2275" s="104">
        <v>45825.48096064815</v>
      </c>
      <c r="N2275" s="105">
        <v>45825</v>
      </c>
      <c r="O2275" s="105">
        <v>45825</v>
      </c>
      <c r="P2275" s="104" t="str">
        <f ca="1">IF(Proc[[#This Row],[DaysAgeing]]&gt;5,"yep","on track")</f>
        <v>on track</v>
      </c>
      <c r="Q2275" s="3">
        <f ca="1">IF(Proc[[#This Row],[DateClosed]]="",ABS(NETWORKDAYS(Proc[[#This Row],[DateOpened]],TODAY()))-1,ABS(NETWORKDAYS(Proc[[#This Row],[DateOpened]],Proc[[#This Row],[DateClosed]]))-1)</f>
        <v>0</v>
      </c>
      <c r="R2275" s="104" t="s">
        <v>410</v>
      </c>
      <c r="S2275" s="94"/>
    </row>
    <row r="2276" spans="1:19" hidden="1">
      <c r="A2276" s="103" t="s">
        <v>4139</v>
      </c>
      <c r="B2276" s="149" t="str">
        <f>IFERROR(VLOOKUP(Proc[[#This Row],[App]],Table2[],3,0),"open")</f>
        <v>ok</v>
      </c>
      <c r="C2276" s="103" t="s">
        <v>369</v>
      </c>
      <c r="D2276" t="s">
        <v>4147</v>
      </c>
      <c r="E2276" t="s">
        <v>4081</v>
      </c>
      <c r="F2276" s="117" t="s">
        <v>4081</v>
      </c>
      <c r="G2276" s="103" t="s">
        <v>400</v>
      </c>
      <c r="H2276" s="94" t="str">
        <f>IF(Proc[[#This Row],[type]]="LFF (MDG-F)",MID(Proc[[#This Row],[Obj]],13,10),"")</f>
        <v/>
      </c>
      <c r="J2276" s="94" t="b">
        <f>Proc[[#This Row],[Requested]]=Proc[[#This Row],[CurrentParent]]</f>
        <v>1</v>
      </c>
      <c r="K2276" s="144" t="str">
        <f>IF(Proc[[#This Row],[Author]]="Marcela Urrego",VLOOKUP(LEFT(Proc[[#This Row],[Requested]],1),Table3[#All],2,0),VLOOKUP(Proc[[#This Row],[Author]],Table4[],2,0))</f>
        <v>HC</v>
      </c>
      <c r="L2276" s="94" t="s">
        <v>2563</v>
      </c>
      <c r="M2276" s="104">
        <v>45825.48096064815</v>
      </c>
      <c r="N2276" s="105">
        <v>45825</v>
      </c>
      <c r="O2276" s="105">
        <v>45825</v>
      </c>
      <c r="P2276" s="104" t="str">
        <f ca="1">IF(Proc[[#This Row],[DaysAgeing]]&gt;5,"yep","on track")</f>
        <v>on track</v>
      </c>
      <c r="Q2276" s="3">
        <f ca="1">IF(Proc[[#This Row],[DateClosed]]="",ABS(NETWORKDAYS(Proc[[#This Row],[DateOpened]],TODAY()))-1,ABS(NETWORKDAYS(Proc[[#This Row],[DateOpened]],Proc[[#This Row],[DateClosed]]))-1)</f>
        <v>0</v>
      </c>
      <c r="R2276" s="104" t="s">
        <v>410</v>
      </c>
      <c r="S2276" s="94"/>
    </row>
    <row r="2277" spans="1:19" hidden="1">
      <c r="A2277" s="103" t="s">
        <v>4139</v>
      </c>
      <c r="B2277" s="149" t="str">
        <f>IFERROR(VLOOKUP(Proc[[#This Row],[App]],Table2[],3,0),"open")</f>
        <v>ok</v>
      </c>
      <c r="C2277" s="103" t="s">
        <v>369</v>
      </c>
      <c r="D2277" t="s">
        <v>4148</v>
      </c>
      <c r="E2277" t="s">
        <v>4174</v>
      </c>
      <c r="F2277" s="117" t="s">
        <v>4174</v>
      </c>
      <c r="G2277" s="103" t="s">
        <v>400</v>
      </c>
      <c r="H2277" s="94" t="str">
        <f>IF(Proc[[#This Row],[type]]="LFF (MDG-F)",MID(Proc[[#This Row],[Obj]],13,10),"")</f>
        <v/>
      </c>
      <c r="J2277" s="94" t="b">
        <f>Proc[[#This Row],[Requested]]=Proc[[#This Row],[CurrentParent]]</f>
        <v>1</v>
      </c>
      <c r="K2277" s="144" t="str">
        <f>IF(Proc[[#This Row],[Author]]="Marcela Urrego",VLOOKUP(LEFT(Proc[[#This Row],[Requested]],1),Table3[#All],2,0),VLOOKUP(Proc[[#This Row],[Author]],Table4[],2,0))</f>
        <v>HC</v>
      </c>
      <c r="L2277" s="94" t="s">
        <v>2563</v>
      </c>
      <c r="M2277" s="104">
        <v>45825.48096064815</v>
      </c>
      <c r="N2277" s="105">
        <v>45825</v>
      </c>
      <c r="O2277" s="105">
        <v>45825</v>
      </c>
      <c r="P2277" s="104" t="str">
        <f ca="1">IF(Proc[[#This Row],[DaysAgeing]]&gt;5,"yep","on track")</f>
        <v>on track</v>
      </c>
      <c r="Q2277" s="3">
        <f ca="1">IF(Proc[[#This Row],[DateClosed]]="",ABS(NETWORKDAYS(Proc[[#This Row],[DateOpened]],TODAY()))-1,ABS(NETWORKDAYS(Proc[[#This Row],[DateOpened]],Proc[[#This Row],[DateClosed]]))-1)</f>
        <v>0</v>
      </c>
      <c r="R2277" s="104" t="s">
        <v>410</v>
      </c>
      <c r="S2277" s="94"/>
    </row>
    <row r="2278" spans="1:19" hidden="1">
      <c r="A2278" s="103" t="s">
        <v>4139</v>
      </c>
      <c r="B2278" s="149" t="str">
        <f>IFERROR(VLOOKUP(Proc[[#This Row],[App]],Table2[],3,0),"open")</f>
        <v>ok</v>
      </c>
      <c r="C2278" s="103" t="s">
        <v>369</v>
      </c>
      <c r="D2278" t="s">
        <v>4149</v>
      </c>
      <c r="E2278" t="s">
        <v>4173</v>
      </c>
      <c r="F2278" s="117" t="s">
        <v>4173</v>
      </c>
      <c r="G2278" s="103" t="s">
        <v>400</v>
      </c>
      <c r="H2278" s="94" t="str">
        <f>IF(Proc[[#This Row],[type]]="LFF (MDG-F)",MID(Proc[[#This Row],[Obj]],13,10),"")</f>
        <v/>
      </c>
      <c r="J2278" s="94" t="b">
        <f>Proc[[#This Row],[Requested]]=Proc[[#This Row],[CurrentParent]]</f>
        <v>1</v>
      </c>
      <c r="K2278" s="144" t="str">
        <f>IF(Proc[[#This Row],[Author]]="Marcela Urrego",VLOOKUP(LEFT(Proc[[#This Row],[Requested]],1),Table3[#All],2,0),VLOOKUP(Proc[[#This Row],[Author]],Table4[],2,0))</f>
        <v>HC</v>
      </c>
      <c r="L2278" s="94" t="s">
        <v>2563</v>
      </c>
      <c r="M2278" s="104">
        <v>45825.48096064815</v>
      </c>
      <c r="N2278" s="105">
        <v>45825</v>
      </c>
      <c r="O2278" s="105">
        <v>45825</v>
      </c>
      <c r="P2278" s="104" t="str">
        <f ca="1">IF(Proc[[#This Row],[DaysAgeing]]&gt;5,"yep","on track")</f>
        <v>on track</v>
      </c>
      <c r="Q2278" s="3">
        <f ca="1">IF(Proc[[#This Row],[DateClosed]]="",ABS(NETWORKDAYS(Proc[[#This Row],[DateOpened]],TODAY()))-1,ABS(NETWORKDAYS(Proc[[#This Row],[DateOpened]],Proc[[#This Row],[DateClosed]]))-1)</f>
        <v>0</v>
      </c>
      <c r="R2278" s="104" t="s">
        <v>410</v>
      </c>
      <c r="S2278" s="94"/>
    </row>
    <row r="2279" spans="1:19" hidden="1">
      <c r="A2279" s="103" t="s">
        <v>4139</v>
      </c>
      <c r="B2279" s="149" t="str">
        <f>IFERROR(VLOOKUP(Proc[[#This Row],[App]],Table2[],3,0),"open")</f>
        <v>ok</v>
      </c>
      <c r="C2279" s="103" t="s">
        <v>369</v>
      </c>
      <c r="D2279" t="s">
        <v>4150</v>
      </c>
      <c r="E2279" t="s">
        <v>4173</v>
      </c>
      <c r="F2279" s="117" t="s">
        <v>4173</v>
      </c>
      <c r="G2279" s="103" t="s">
        <v>400</v>
      </c>
      <c r="H2279" s="94" t="str">
        <f>IF(Proc[[#This Row],[type]]="LFF (MDG-F)",MID(Proc[[#This Row],[Obj]],13,10),"")</f>
        <v/>
      </c>
      <c r="J2279" s="94" t="b">
        <f>Proc[[#This Row],[Requested]]=Proc[[#This Row],[CurrentParent]]</f>
        <v>1</v>
      </c>
      <c r="K2279" s="144" t="str">
        <f>IF(Proc[[#This Row],[Author]]="Marcela Urrego",VLOOKUP(LEFT(Proc[[#This Row],[Requested]],1),Table3[#All],2,0),VLOOKUP(Proc[[#This Row],[Author]],Table4[],2,0))</f>
        <v>HC</v>
      </c>
      <c r="L2279" s="94" t="s">
        <v>2563</v>
      </c>
      <c r="M2279" s="104">
        <v>45825.48096064815</v>
      </c>
      <c r="N2279" s="105">
        <v>45825</v>
      </c>
      <c r="O2279" s="105">
        <v>45825</v>
      </c>
      <c r="P2279" s="104" t="str">
        <f ca="1">IF(Proc[[#This Row],[DaysAgeing]]&gt;5,"yep","on track")</f>
        <v>on track</v>
      </c>
      <c r="Q2279" s="3">
        <f ca="1">IF(Proc[[#This Row],[DateClosed]]="",ABS(NETWORKDAYS(Proc[[#This Row],[DateOpened]],TODAY()))-1,ABS(NETWORKDAYS(Proc[[#This Row],[DateOpened]],Proc[[#This Row],[DateClosed]]))-1)</f>
        <v>0</v>
      </c>
      <c r="R2279" s="104" t="s">
        <v>410</v>
      </c>
      <c r="S2279" s="94"/>
    </row>
    <row r="2280" spans="1:19" hidden="1">
      <c r="A2280" s="103" t="s">
        <v>4139</v>
      </c>
      <c r="B2280" s="149" t="str">
        <f>IFERROR(VLOOKUP(Proc[[#This Row],[App]],Table2[],3,0),"open")</f>
        <v>ok</v>
      </c>
      <c r="C2280" s="103" t="s">
        <v>369</v>
      </c>
      <c r="D2280" t="s">
        <v>4151</v>
      </c>
      <c r="E2280" t="s">
        <v>4173</v>
      </c>
      <c r="F2280" s="117" t="s">
        <v>4173</v>
      </c>
      <c r="G2280" s="103" t="s">
        <v>400</v>
      </c>
      <c r="H2280" s="94" t="str">
        <f>IF(Proc[[#This Row],[type]]="LFF (MDG-F)",MID(Proc[[#This Row],[Obj]],13,10),"")</f>
        <v/>
      </c>
      <c r="J2280" s="94" t="b">
        <f>Proc[[#This Row],[Requested]]=Proc[[#This Row],[CurrentParent]]</f>
        <v>1</v>
      </c>
      <c r="K2280" s="144" t="str">
        <f>IF(Proc[[#This Row],[Author]]="Marcela Urrego",VLOOKUP(LEFT(Proc[[#This Row],[Requested]],1),Table3[#All],2,0),VLOOKUP(Proc[[#This Row],[Author]],Table4[],2,0))</f>
        <v>HC</v>
      </c>
      <c r="L2280" s="94" t="s">
        <v>2563</v>
      </c>
      <c r="M2280" s="104">
        <v>45825.48096064815</v>
      </c>
      <c r="N2280" s="105">
        <v>45825</v>
      </c>
      <c r="O2280" s="105">
        <v>45825</v>
      </c>
      <c r="P2280" s="104" t="str">
        <f ca="1">IF(Proc[[#This Row],[DaysAgeing]]&gt;5,"yep","on track")</f>
        <v>on track</v>
      </c>
      <c r="Q2280" s="3">
        <f ca="1">IF(Proc[[#This Row],[DateClosed]]="",ABS(NETWORKDAYS(Proc[[#This Row],[DateOpened]],TODAY()))-1,ABS(NETWORKDAYS(Proc[[#This Row],[DateOpened]],Proc[[#This Row],[DateClosed]]))-1)</f>
        <v>0</v>
      </c>
      <c r="R2280" s="104" t="s">
        <v>410</v>
      </c>
      <c r="S2280" s="94"/>
    </row>
    <row r="2281" spans="1:19" hidden="1">
      <c r="A2281" s="103" t="s">
        <v>4139</v>
      </c>
      <c r="B2281" s="149" t="str">
        <f>IFERROR(VLOOKUP(Proc[[#This Row],[App]],Table2[],3,0),"open")</f>
        <v>ok</v>
      </c>
      <c r="C2281" s="103" t="s">
        <v>369</v>
      </c>
      <c r="D2281" t="s">
        <v>4152</v>
      </c>
      <c r="E2281" t="s">
        <v>4173</v>
      </c>
      <c r="F2281" s="117" t="s">
        <v>4173</v>
      </c>
      <c r="G2281" s="103" t="s">
        <v>400</v>
      </c>
      <c r="H2281" s="94" t="str">
        <f>IF(Proc[[#This Row],[type]]="LFF (MDG-F)",MID(Proc[[#This Row],[Obj]],13,10),"")</f>
        <v/>
      </c>
      <c r="J2281" s="94" t="b">
        <f>Proc[[#This Row],[Requested]]=Proc[[#This Row],[CurrentParent]]</f>
        <v>1</v>
      </c>
      <c r="K2281" s="144" t="str">
        <f>IF(Proc[[#This Row],[Author]]="Marcela Urrego",VLOOKUP(LEFT(Proc[[#This Row],[Requested]],1),Table3[#All],2,0),VLOOKUP(Proc[[#This Row],[Author]],Table4[],2,0))</f>
        <v>HC</v>
      </c>
      <c r="L2281" s="94" t="s">
        <v>2563</v>
      </c>
      <c r="M2281" s="104">
        <v>45825.48096064815</v>
      </c>
      <c r="N2281" s="105">
        <v>45825</v>
      </c>
      <c r="O2281" s="105">
        <v>45825</v>
      </c>
      <c r="P2281" s="104" t="str">
        <f ca="1">IF(Proc[[#This Row],[DaysAgeing]]&gt;5,"yep","on track")</f>
        <v>on track</v>
      </c>
      <c r="Q2281" s="3">
        <f ca="1">IF(Proc[[#This Row],[DateClosed]]="",ABS(NETWORKDAYS(Proc[[#This Row],[DateOpened]],TODAY()))-1,ABS(NETWORKDAYS(Proc[[#This Row],[DateOpened]],Proc[[#This Row],[DateClosed]]))-1)</f>
        <v>0</v>
      </c>
      <c r="R2281" s="104" t="s">
        <v>410</v>
      </c>
      <c r="S2281" s="94"/>
    </row>
    <row r="2282" spans="1:19" hidden="1">
      <c r="A2282" s="103" t="s">
        <v>4139</v>
      </c>
      <c r="B2282" s="149" t="str">
        <f>IFERROR(VLOOKUP(Proc[[#This Row],[App]],Table2[],3,0),"open")</f>
        <v>ok</v>
      </c>
      <c r="C2282" s="103" t="s">
        <v>369</v>
      </c>
      <c r="D2282" t="s">
        <v>4153</v>
      </c>
      <c r="E2282" t="s">
        <v>4173</v>
      </c>
      <c r="F2282" s="117" t="s">
        <v>4173</v>
      </c>
      <c r="G2282" s="103" t="s">
        <v>400</v>
      </c>
      <c r="H2282" s="94" t="str">
        <f>IF(Proc[[#This Row],[type]]="LFF (MDG-F)",MID(Proc[[#This Row],[Obj]],13,10),"")</f>
        <v/>
      </c>
      <c r="J2282" s="94" t="b">
        <f>Proc[[#This Row],[Requested]]=Proc[[#This Row],[CurrentParent]]</f>
        <v>1</v>
      </c>
      <c r="K2282" s="144" t="str">
        <f>IF(Proc[[#This Row],[Author]]="Marcela Urrego",VLOOKUP(LEFT(Proc[[#This Row],[Requested]],1),Table3[#All],2,0),VLOOKUP(Proc[[#This Row],[Author]],Table4[],2,0))</f>
        <v>HC</v>
      </c>
      <c r="L2282" s="94" t="s">
        <v>2563</v>
      </c>
      <c r="M2282" s="104">
        <v>45825.48096064815</v>
      </c>
      <c r="N2282" s="105">
        <v>45825</v>
      </c>
      <c r="O2282" s="105">
        <v>45825</v>
      </c>
      <c r="P2282" s="104" t="str">
        <f ca="1">IF(Proc[[#This Row],[DaysAgeing]]&gt;5,"yep","on track")</f>
        <v>on track</v>
      </c>
      <c r="Q2282" s="3">
        <f ca="1">IF(Proc[[#This Row],[DateClosed]]="",ABS(NETWORKDAYS(Proc[[#This Row],[DateOpened]],TODAY()))-1,ABS(NETWORKDAYS(Proc[[#This Row],[DateOpened]],Proc[[#This Row],[DateClosed]]))-1)</f>
        <v>0</v>
      </c>
      <c r="R2282" s="104" t="s">
        <v>410</v>
      </c>
      <c r="S2282" s="94"/>
    </row>
    <row r="2283" spans="1:19" hidden="1">
      <c r="A2283" s="103" t="s">
        <v>4139</v>
      </c>
      <c r="B2283" s="149" t="str">
        <f>IFERROR(VLOOKUP(Proc[[#This Row],[App]],Table2[],3,0),"open")</f>
        <v>ok</v>
      </c>
      <c r="C2283" s="103" t="s">
        <v>369</v>
      </c>
      <c r="D2283" t="s">
        <v>4154</v>
      </c>
      <c r="E2283" t="s">
        <v>4173</v>
      </c>
      <c r="F2283" s="117" t="s">
        <v>4173</v>
      </c>
      <c r="G2283" s="103" t="s">
        <v>400</v>
      </c>
      <c r="H2283" s="94" t="str">
        <f>IF(Proc[[#This Row],[type]]="LFF (MDG-F)",MID(Proc[[#This Row],[Obj]],13,10),"")</f>
        <v/>
      </c>
      <c r="J2283" s="94" t="b">
        <f>Proc[[#This Row],[Requested]]=Proc[[#This Row],[CurrentParent]]</f>
        <v>1</v>
      </c>
      <c r="K2283" s="144" t="str">
        <f>IF(Proc[[#This Row],[Author]]="Marcela Urrego",VLOOKUP(LEFT(Proc[[#This Row],[Requested]],1),Table3[#All],2,0),VLOOKUP(Proc[[#This Row],[Author]],Table4[],2,0))</f>
        <v>HC</v>
      </c>
      <c r="L2283" s="94" t="s">
        <v>2563</v>
      </c>
      <c r="M2283" s="104">
        <v>45825.48096064815</v>
      </c>
      <c r="N2283" s="105">
        <v>45825</v>
      </c>
      <c r="O2283" s="105">
        <v>45825</v>
      </c>
      <c r="P2283" s="104" t="str">
        <f ca="1">IF(Proc[[#This Row],[DaysAgeing]]&gt;5,"yep","on track")</f>
        <v>on track</v>
      </c>
      <c r="Q2283" s="3">
        <f ca="1">IF(Proc[[#This Row],[DateClosed]]="",ABS(NETWORKDAYS(Proc[[#This Row],[DateOpened]],TODAY()))-1,ABS(NETWORKDAYS(Proc[[#This Row],[DateOpened]],Proc[[#This Row],[DateClosed]]))-1)</f>
        <v>0</v>
      </c>
      <c r="R2283" s="104" t="s">
        <v>410</v>
      </c>
      <c r="S2283" s="94"/>
    </row>
    <row r="2284" spans="1:19" hidden="1">
      <c r="A2284" s="103" t="s">
        <v>4139</v>
      </c>
      <c r="B2284" s="149" t="str">
        <f>IFERROR(VLOOKUP(Proc[[#This Row],[App]],Table2[],3,0),"open")</f>
        <v>ok</v>
      </c>
      <c r="C2284" s="103" t="s">
        <v>369</v>
      </c>
      <c r="D2284" t="s">
        <v>4155</v>
      </c>
      <c r="E2284" t="s">
        <v>4173</v>
      </c>
      <c r="F2284" s="117" t="s">
        <v>4173</v>
      </c>
      <c r="G2284" s="103" t="s">
        <v>400</v>
      </c>
      <c r="H2284" s="94" t="str">
        <f>IF(Proc[[#This Row],[type]]="LFF (MDG-F)",MID(Proc[[#This Row],[Obj]],13,10),"")</f>
        <v/>
      </c>
      <c r="J2284" s="94" t="b">
        <f>Proc[[#This Row],[Requested]]=Proc[[#This Row],[CurrentParent]]</f>
        <v>1</v>
      </c>
      <c r="K2284" s="144" t="str">
        <f>IF(Proc[[#This Row],[Author]]="Marcela Urrego",VLOOKUP(LEFT(Proc[[#This Row],[Requested]],1),Table3[#All],2,0),VLOOKUP(Proc[[#This Row],[Author]],Table4[],2,0))</f>
        <v>HC</v>
      </c>
      <c r="L2284" s="94" t="s">
        <v>2563</v>
      </c>
      <c r="M2284" s="104">
        <v>45825.48096064815</v>
      </c>
      <c r="N2284" s="105">
        <v>45825</v>
      </c>
      <c r="O2284" s="105">
        <v>45825</v>
      </c>
      <c r="P2284" s="104" t="str">
        <f ca="1">IF(Proc[[#This Row],[DaysAgeing]]&gt;5,"yep","on track")</f>
        <v>on track</v>
      </c>
      <c r="Q2284" s="3">
        <f ca="1">IF(Proc[[#This Row],[DateClosed]]="",ABS(NETWORKDAYS(Proc[[#This Row],[DateOpened]],TODAY()))-1,ABS(NETWORKDAYS(Proc[[#This Row],[DateOpened]],Proc[[#This Row],[DateClosed]]))-1)</f>
        <v>0</v>
      </c>
      <c r="R2284" s="104" t="s">
        <v>410</v>
      </c>
      <c r="S2284" s="94"/>
    </row>
    <row r="2285" spans="1:19" hidden="1">
      <c r="A2285" s="103" t="s">
        <v>4139</v>
      </c>
      <c r="B2285" s="149" t="str">
        <f>IFERROR(VLOOKUP(Proc[[#This Row],[App]],Table2[],3,0),"open")</f>
        <v>ok</v>
      </c>
      <c r="C2285" s="103" t="s">
        <v>369</v>
      </c>
      <c r="D2285" t="s">
        <v>4156</v>
      </c>
      <c r="E2285" t="s">
        <v>4173</v>
      </c>
      <c r="F2285" s="117" t="s">
        <v>4173</v>
      </c>
      <c r="G2285" s="103" t="s">
        <v>400</v>
      </c>
      <c r="H2285" s="94" t="str">
        <f>IF(Proc[[#This Row],[type]]="LFF (MDG-F)",MID(Proc[[#This Row],[Obj]],13,10),"")</f>
        <v/>
      </c>
      <c r="J2285" s="94" t="b">
        <f>Proc[[#This Row],[Requested]]=Proc[[#This Row],[CurrentParent]]</f>
        <v>1</v>
      </c>
      <c r="K2285" s="144" t="str">
        <f>IF(Proc[[#This Row],[Author]]="Marcela Urrego",VLOOKUP(LEFT(Proc[[#This Row],[Requested]],1),Table3[#All],2,0),VLOOKUP(Proc[[#This Row],[Author]],Table4[],2,0))</f>
        <v>HC</v>
      </c>
      <c r="L2285" s="94" t="s">
        <v>2563</v>
      </c>
      <c r="M2285" s="104">
        <v>45825.48096064815</v>
      </c>
      <c r="N2285" s="105">
        <v>45825</v>
      </c>
      <c r="O2285" s="105">
        <v>45825</v>
      </c>
      <c r="P2285" s="104" t="str">
        <f ca="1">IF(Proc[[#This Row],[DaysAgeing]]&gt;5,"yep","on track")</f>
        <v>on track</v>
      </c>
      <c r="Q2285" s="3">
        <f ca="1">IF(Proc[[#This Row],[DateClosed]]="",ABS(NETWORKDAYS(Proc[[#This Row],[DateOpened]],TODAY()))-1,ABS(NETWORKDAYS(Proc[[#This Row],[DateOpened]],Proc[[#This Row],[DateClosed]]))-1)</f>
        <v>0</v>
      </c>
      <c r="R2285" s="104" t="s">
        <v>410</v>
      </c>
      <c r="S2285" s="94"/>
    </row>
    <row r="2286" spans="1:19" hidden="1">
      <c r="A2286" s="103" t="s">
        <v>4139</v>
      </c>
      <c r="B2286" s="149" t="str">
        <f>IFERROR(VLOOKUP(Proc[[#This Row],[App]],Table2[],3,0),"open")</f>
        <v>ok</v>
      </c>
      <c r="C2286" s="103" t="s">
        <v>369</v>
      </c>
      <c r="D2286" t="s">
        <v>4157</v>
      </c>
      <c r="E2286" t="s">
        <v>4173</v>
      </c>
      <c r="F2286" s="117" t="s">
        <v>4173</v>
      </c>
      <c r="G2286" s="103" t="s">
        <v>400</v>
      </c>
      <c r="H2286" s="94" t="str">
        <f>IF(Proc[[#This Row],[type]]="LFF (MDG-F)",MID(Proc[[#This Row],[Obj]],13,10),"")</f>
        <v/>
      </c>
      <c r="J2286" s="94" t="b">
        <f>Proc[[#This Row],[Requested]]=Proc[[#This Row],[CurrentParent]]</f>
        <v>1</v>
      </c>
      <c r="K2286" s="144" t="str">
        <f>IF(Proc[[#This Row],[Author]]="Marcela Urrego",VLOOKUP(LEFT(Proc[[#This Row],[Requested]],1),Table3[#All],2,0),VLOOKUP(Proc[[#This Row],[Author]],Table4[],2,0))</f>
        <v>HC</v>
      </c>
      <c r="L2286" s="94" t="s">
        <v>2563</v>
      </c>
      <c r="M2286" s="104">
        <v>45825.48096064815</v>
      </c>
      <c r="N2286" s="105">
        <v>45825</v>
      </c>
      <c r="O2286" s="105">
        <v>45825</v>
      </c>
      <c r="P2286" s="104" t="str">
        <f ca="1">IF(Proc[[#This Row],[DaysAgeing]]&gt;5,"yep","on track")</f>
        <v>on track</v>
      </c>
      <c r="Q2286" s="3">
        <f ca="1">IF(Proc[[#This Row],[DateClosed]]="",ABS(NETWORKDAYS(Proc[[#This Row],[DateOpened]],TODAY()))-1,ABS(NETWORKDAYS(Proc[[#This Row],[DateOpened]],Proc[[#This Row],[DateClosed]]))-1)</f>
        <v>0</v>
      </c>
      <c r="R2286" s="104" t="s">
        <v>410</v>
      </c>
      <c r="S2286" s="94"/>
    </row>
    <row r="2287" spans="1:19" hidden="1">
      <c r="A2287" s="103" t="s">
        <v>4139</v>
      </c>
      <c r="B2287" s="149" t="str">
        <f>IFERROR(VLOOKUP(Proc[[#This Row],[App]],Table2[],3,0),"open")</f>
        <v>ok</v>
      </c>
      <c r="C2287" s="103" t="s">
        <v>369</v>
      </c>
      <c r="D2287" t="s">
        <v>4158</v>
      </c>
      <c r="E2287" t="s">
        <v>4173</v>
      </c>
      <c r="F2287" s="117" t="s">
        <v>4173</v>
      </c>
      <c r="G2287" s="103" t="s">
        <v>400</v>
      </c>
      <c r="H2287" s="94" t="str">
        <f>IF(Proc[[#This Row],[type]]="LFF (MDG-F)",MID(Proc[[#This Row],[Obj]],13,10),"")</f>
        <v/>
      </c>
      <c r="J2287" s="94" t="b">
        <f>Proc[[#This Row],[Requested]]=Proc[[#This Row],[CurrentParent]]</f>
        <v>1</v>
      </c>
      <c r="K2287" s="144" t="str">
        <f>IF(Proc[[#This Row],[Author]]="Marcela Urrego",VLOOKUP(LEFT(Proc[[#This Row],[Requested]],1),Table3[#All],2,0),VLOOKUP(Proc[[#This Row],[Author]],Table4[],2,0))</f>
        <v>HC</v>
      </c>
      <c r="L2287" s="94" t="s">
        <v>2563</v>
      </c>
      <c r="M2287" s="104">
        <v>45825.48096064815</v>
      </c>
      <c r="N2287" s="105">
        <v>45825</v>
      </c>
      <c r="O2287" s="105">
        <v>45825</v>
      </c>
      <c r="P2287" s="104" t="str">
        <f ca="1">IF(Proc[[#This Row],[DaysAgeing]]&gt;5,"yep","on track")</f>
        <v>on track</v>
      </c>
      <c r="Q2287" s="3">
        <f ca="1">IF(Proc[[#This Row],[DateClosed]]="",ABS(NETWORKDAYS(Proc[[#This Row],[DateOpened]],TODAY()))-1,ABS(NETWORKDAYS(Proc[[#This Row],[DateOpened]],Proc[[#This Row],[DateClosed]]))-1)</f>
        <v>0</v>
      </c>
      <c r="R2287" s="104" t="s">
        <v>410</v>
      </c>
      <c r="S2287" s="94"/>
    </row>
    <row r="2288" spans="1:19" hidden="1">
      <c r="A2288" s="103" t="s">
        <v>4139</v>
      </c>
      <c r="B2288" s="149" t="str">
        <f>IFERROR(VLOOKUP(Proc[[#This Row],[App]],Table2[],3,0),"open")</f>
        <v>ok</v>
      </c>
      <c r="C2288" s="103" t="s">
        <v>369</v>
      </c>
      <c r="D2288" t="s">
        <v>4159</v>
      </c>
      <c r="E2288" t="s">
        <v>4173</v>
      </c>
      <c r="F2288" s="117" t="s">
        <v>4173</v>
      </c>
      <c r="G2288" s="103" t="s">
        <v>400</v>
      </c>
      <c r="H2288" s="94" t="str">
        <f>IF(Proc[[#This Row],[type]]="LFF (MDG-F)",MID(Proc[[#This Row],[Obj]],13,10),"")</f>
        <v/>
      </c>
      <c r="J2288" s="94" t="b">
        <f>Proc[[#This Row],[Requested]]=Proc[[#This Row],[CurrentParent]]</f>
        <v>1</v>
      </c>
      <c r="K2288" s="144" t="str">
        <f>IF(Proc[[#This Row],[Author]]="Marcela Urrego",VLOOKUP(LEFT(Proc[[#This Row],[Requested]],1),Table3[#All],2,0),VLOOKUP(Proc[[#This Row],[Author]],Table4[],2,0))</f>
        <v>HC</v>
      </c>
      <c r="L2288" s="94" t="s">
        <v>2563</v>
      </c>
      <c r="M2288" s="104">
        <v>45825.48096064815</v>
      </c>
      <c r="N2288" s="105">
        <v>45825</v>
      </c>
      <c r="O2288" s="105">
        <v>45825</v>
      </c>
      <c r="P2288" s="104" t="str">
        <f ca="1">IF(Proc[[#This Row],[DaysAgeing]]&gt;5,"yep","on track")</f>
        <v>on track</v>
      </c>
      <c r="Q2288" s="3">
        <f ca="1">IF(Proc[[#This Row],[DateClosed]]="",ABS(NETWORKDAYS(Proc[[#This Row],[DateOpened]],TODAY()))-1,ABS(NETWORKDAYS(Proc[[#This Row],[DateOpened]],Proc[[#This Row],[DateClosed]]))-1)</f>
        <v>0</v>
      </c>
      <c r="R2288" s="104" t="s">
        <v>410</v>
      </c>
      <c r="S2288" s="94"/>
    </row>
    <row r="2289" spans="1:19" hidden="1">
      <c r="A2289" s="103" t="s">
        <v>4139</v>
      </c>
      <c r="B2289" s="149" t="str">
        <f>IFERROR(VLOOKUP(Proc[[#This Row],[App]],Table2[],3,0),"open")</f>
        <v>ok</v>
      </c>
      <c r="C2289" s="103" t="s">
        <v>369</v>
      </c>
      <c r="D2289" t="s">
        <v>4160</v>
      </c>
      <c r="E2289" t="s">
        <v>4173</v>
      </c>
      <c r="F2289" s="117" t="s">
        <v>4173</v>
      </c>
      <c r="G2289" s="103" t="s">
        <v>400</v>
      </c>
      <c r="H2289" s="94" t="str">
        <f>IF(Proc[[#This Row],[type]]="LFF (MDG-F)",MID(Proc[[#This Row],[Obj]],13,10),"")</f>
        <v/>
      </c>
      <c r="J2289" s="94" t="b">
        <f>Proc[[#This Row],[Requested]]=Proc[[#This Row],[CurrentParent]]</f>
        <v>1</v>
      </c>
      <c r="K2289" s="144" t="str">
        <f>IF(Proc[[#This Row],[Author]]="Marcela Urrego",VLOOKUP(LEFT(Proc[[#This Row],[Requested]],1),Table3[#All],2,0),VLOOKUP(Proc[[#This Row],[Author]],Table4[],2,0))</f>
        <v>HC</v>
      </c>
      <c r="L2289" s="94" t="s">
        <v>2563</v>
      </c>
      <c r="M2289" s="104">
        <v>45825.48096064815</v>
      </c>
      <c r="N2289" s="105">
        <v>45825</v>
      </c>
      <c r="O2289" s="105">
        <v>45825</v>
      </c>
      <c r="P2289" s="104" t="str">
        <f ca="1">IF(Proc[[#This Row],[DaysAgeing]]&gt;5,"yep","on track")</f>
        <v>on track</v>
      </c>
      <c r="Q2289" s="3">
        <f ca="1">IF(Proc[[#This Row],[DateClosed]]="",ABS(NETWORKDAYS(Proc[[#This Row],[DateOpened]],TODAY()))-1,ABS(NETWORKDAYS(Proc[[#This Row],[DateOpened]],Proc[[#This Row],[DateClosed]]))-1)</f>
        <v>0</v>
      </c>
      <c r="R2289" s="104" t="s">
        <v>410</v>
      </c>
      <c r="S2289" s="94"/>
    </row>
    <row r="2290" spans="1:19" hidden="1">
      <c r="A2290" s="103" t="s">
        <v>4139</v>
      </c>
      <c r="B2290" s="149" t="str">
        <f>IFERROR(VLOOKUP(Proc[[#This Row],[App]],Table2[],3,0),"open")</f>
        <v>ok</v>
      </c>
      <c r="C2290" s="103" t="s">
        <v>369</v>
      </c>
      <c r="D2290" t="s">
        <v>4161</v>
      </c>
      <c r="E2290" t="s">
        <v>4173</v>
      </c>
      <c r="F2290" s="117" t="s">
        <v>4173</v>
      </c>
      <c r="G2290" s="103" t="s">
        <v>400</v>
      </c>
      <c r="H2290" s="94" t="str">
        <f>IF(Proc[[#This Row],[type]]="LFF (MDG-F)",MID(Proc[[#This Row],[Obj]],13,10),"")</f>
        <v/>
      </c>
      <c r="J2290" s="94" t="b">
        <f>Proc[[#This Row],[Requested]]=Proc[[#This Row],[CurrentParent]]</f>
        <v>1</v>
      </c>
      <c r="K2290" s="144" t="str">
        <f>IF(Proc[[#This Row],[Author]]="Marcela Urrego",VLOOKUP(LEFT(Proc[[#This Row],[Requested]],1),Table3[#All],2,0),VLOOKUP(Proc[[#This Row],[Author]],Table4[],2,0))</f>
        <v>HC</v>
      </c>
      <c r="L2290" s="94" t="s">
        <v>2563</v>
      </c>
      <c r="M2290" s="104">
        <v>45825.48096064815</v>
      </c>
      <c r="N2290" s="105">
        <v>45825</v>
      </c>
      <c r="O2290" s="105">
        <v>45825</v>
      </c>
      <c r="P2290" s="104" t="str">
        <f ca="1">IF(Proc[[#This Row],[DaysAgeing]]&gt;5,"yep","on track")</f>
        <v>on track</v>
      </c>
      <c r="Q2290" s="3">
        <f ca="1">IF(Proc[[#This Row],[DateClosed]]="",ABS(NETWORKDAYS(Proc[[#This Row],[DateOpened]],TODAY()))-1,ABS(NETWORKDAYS(Proc[[#This Row],[DateOpened]],Proc[[#This Row],[DateClosed]]))-1)</f>
        <v>0</v>
      </c>
      <c r="R2290" s="104" t="s">
        <v>410</v>
      </c>
      <c r="S2290" s="94"/>
    </row>
    <row r="2291" spans="1:19" hidden="1">
      <c r="A2291" s="103" t="s">
        <v>4139</v>
      </c>
      <c r="B2291" s="149" t="str">
        <f>IFERROR(VLOOKUP(Proc[[#This Row],[App]],Table2[],3,0),"open")</f>
        <v>ok</v>
      </c>
      <c r="C2291" s="103" t="s">
        <v>369</v>
      </c>
      <c r="D2291" t="s">
        <v>4162</v>
      </c>
      <c r="E2291" t="s">
        <v>4173</v>
      </c>
      <c r="F2291" s="117" t="s">
        <v>4173</v>
      </c>
      <c r="G2291" s="103" t="s">
        <v>400</v>
      </c>
      <c r="H2291" s="94" t="str">
        <f>IF(Proc[[#This Row],[type]]="LFF (MDG-F)",MID(Proc[[#This Row],[Obj]],13,10),"")</f>
        <v/>
      </c>
      <c r="J2291" s="94" t="b">
        <f>Proc[[#This Row],[Requested]]=Proc[[#This Row],[CurrentParent]]</f>
        <v>1</v>
      </c>
      <c r="K2291" s="144" t="str">
        <f>IF(Proc[[#This Row],[Author]]="Marcela Urrego",VLOOKUP(LEFT(Proc[[#This Row],[Requested]],1),Table3[#All],2,0),VLOOKUP(Proc[[#This Row],[Author]],Table4[],2,0))</f>
        <v>HC</v>
      </c>
      <c r="L2291" s="94" t="s">
        <v>2563</v>
      </c>
      <c r="M2291" s="104">
        <v>45825.48096064815</v>
      </c>
      <c r="N2291" s="105">
        <v>45825</v>
      </c>
      <c r="O2291" s="105">
        <v>45825</v>
      </c>
      <c r="P2291" s="104" t="str">
        <f ca="1">IF(Proc[[#This Row],[DaysAgeing]]&gt;5,"yep","on track")</f>
        <v>on track</v>
      </c>
      <c r="Q2291" s="3">
        <f ca="1">IF(Proc[[#This Row],[DateClosed]]="",ABS(NETWORKDAYS(Proc[[#This Row],[DateOpened]],TODAY()))-1,ABS(NETWORKDAYS(Proc[[#This Row],[DateOpened]],Proc[[#This Row],[DateClosed]]))-1)</f>
        <v>0</v>
      </c>
      <c r="R2291" s="104" t="s">
        <v>410</v>
      </c>
      <c r="S2291" s="94"/>
    </row>
    <row r="2292" spans="1:19" hidden="1">
      <c r="A2292" s="103" t="s">
        <v>4139</v>
      </c>
      <c r="B2292" s="149" t="str">
        <f>IFERROR(VLOOKUP(Proc[[#This Row],[App]],Table2[],3,0),"open")</f>
        <v>ok</v>
      </c>
      <c r="C2292" s="103" t="s">
        <v>369</v>
      </c>
      <c r="D2292" t="s">
        <v>4163</v>
      </c>
      <c r="E2292" t="s">
        <v>4173</v>
      </c>
      <c r="F2292" s="117" t="s">
        <v>4173</v>
      </c>
      <c r="G2292" s="103" t="s">
        <v>400</v>
      </c>
      <c r="H2292" s="94" t="str">
        <f>IF(Proc[[#This Row],[type]]="LFF (MDG-F)",MID(Proc[[#This Row],[Obj]],13,10),"")</f>
        <v/>
      </c>
      <c r="J2292" s="94" t="b">
        <f>Proc[[#This Row],[Requested]]=Proc[[#This Row],[CurrentParent]]</f>
        <v>1</v>
      </c>
      <c r="K2292" s="144" t="str">
        <f>IF(Proc[[#This Row],[Author]]="Marcela Urrego",VLOOKUP(LEFT(Proc[[#This Row],[Requested]],1),Table3[#All],2,0),VLOOKUP(Proc[[#This Row],[Author]],Table4[],2,0))</f>
        <v>HC</v>
      </c>
      <c r="L2292" s="94" t="s">
        <v>2563</v>
      </c>
      <c r="M2292" s="104">
        <v>45825.48096064815</v>
      </c>
      <c r="N2292" s="105">
        <v>45825</v>
      </c>
      <c r="O2292" s="105">
        <v>45825</v>
      </c>
      <c r="P2292" s="104" t="str">
        <f ca="1">IF(Proc[[#This Row],[DaysAgeing]]&gt;5,"yep","on track")</f>
        <v>on track</v>
      </c>
      <c r="Q2292" s="3">
        <f ca="1">IF(Proc[[#This Row],[DateClosed]]="",ABS(NETWORKDAYS(Proc[[#This Row],[DateOpened]],TODAY()))-1,ABS(NETWORKDAYS(Proc[[#This Row],[DateOpened]],Proc[[#This Row],[DateClosed]]))-1)</f>
        <v>0</v>
      </c>
      <c r="R2292" s="104" t="s">
        <v>410</v>
      </c>
      <c r="S2292" s="94"/>
    </row>
    <row r="2293" spans="1:19" hidden="1">
      <c r="A2293" s="103" t="s">
        <v>4139</v>
      </c>
      <c r="B2293" s="149" t="str">
        <f>IFERROR(VLOOKUP(Proc[[#This Row],[App]],Table2[],3,0),"open")</f>
        <v>ok</v>
      </c>
      <c r="C2293" s="103" t="s">
        <v>369</v>
      </c>
      <c r="D2293" t="s">
        <v>4164</v>
      </c>
      <c r="E2293" t="s">
        <v>4174</v>
      </c>
      <c r="F2293" s="117" t="s">
        <v>4174</v>
      </c>
      <c r="G2293" s="103" t="s">
        <v>400</v>
      </c>
      <c r="H2293" s="94" t="str">
        <f>IF(Proc[[#This Row],[type]]="LFF (MDG-F)",MID(Proc[[#This Row],[Obj]],13,10),"")</f>
        <v/>
      </c>
      <c r="J2293" s="94" t="b">
        <f>Proc[[#This Row],[Requested]]=Proc[[#This Row],[CurrentParent]]</f>
        <v>1</v>
      </c>
      <c r="K2293" s="144" t="str">
        <f>IF(Proc[[#This Row],[Author]]="Marcela Urrego",VLOOKUP(LEFT(Proc[[#This Row],[Requested]],1),Table3[#All],2,0),VLOOKUP(Proc[[#This Row],[Author]],Table4[],2,0))</f>
        <v>HC</v>
      </c>
      <c r="L2293" s="94" t="s">
        <v>2563</v>
      </c>
      <c r="M2293" s="104">
        <v>45825.48096064815</v>
      </c>
      <c r="N2293" s="105">
        <v>45825</v>
      </c>
      <c r="O2293" s="105">
        <v>45825</v>
      </c>
      <c r="P2293" s="104" t="str">
        <f ca="1">IF(Proc[[#This Row],[DaysAgeing]]&gt;5,"yep","on track")</f>
        <v>on track</v>
      </c>
      <c r="Q2293" s="3">
        <f ca="1">IF(Proc[[#This Row],[DateClosed]]="",ABS(NETWORKDAYS(Proc[[#This Row],[DateOpened]],TODAY()))-1,ABS(NETWORKDAYS(Proc[[#This Row],[DateOpened]],Proc[[#This Row],[DateClosed]]))-1)</f>
        <v>0</v>
      </c>
      <c r="R2293" s="104" t="s">
        <v>410</v>
      </c>
      <c r="S2293" s="94"/>
    </row>
    <row r="2294" spans="1:19" hidden="1">
      <c r="A2294" s="103" t="s">
        <v>4139</v>
      </c>
      <c r="B2294" s="149" t="str">
        <f>IFERROR(VLOOKUP(Proc[[#This Row],[App]],Table2[],3,0),"open")</f>
        <v>ok</v>
      </c>
      <c r="C2294" s="103" t="s">
        <v>369</v>
      </c>
      <c r="D2294" t="s">
        <v>4165</v>
      </c>
      <c r="E2294" t="s">
        <v>4174</v>
      </c>
      <c r="F2294" s="117" t="s">
        <v>4174</v>
      </c>
      <c r="G2294" s="103" t="s">
        <v>400</v>
      </c>
      <c r="H2294" s="94" t="str">
        <f>IF(Proc[[#This Row],[type]]="LFF (MDG-F)",MID(Proc[[#This Row],[Obj]],13,10),"")</f>
        <v/>
      </c>
      <c r="J2294" s="94" t="b">
        <f>Proc[[#This Row],[Requested]]=Proc[[#This Row],[CurrentParent]]</f>
        <v>1</v>
      </c>
      <c r="K2294" s="144" t="str">
        <f>IF(Proc[[#This Row],[Author]]="Marcela Urrego",VLOOKUP(LEFT(Proc[[#This Row],[Requested]],1),Table3[#All],2,0),VLOOKUP(Proc[[#This Row],[Author]],Table4[],2,0))</f>
        <v>HC</v>
      </c>
      <c r="L2294" s="94" t="s">
        <v>2563</v>
      </c>
      <c r="M2294" s="104">
        <v>45825.48096064815</v>
      </c>
      <c r="N2294" s="105">
        <v>45825</v>
      </c>
      <c r="O2294" s="105">
        <v>45825</v>
      </c>
      <c r="P2294" s="104" t="str">
        <f ca="1">IF(Proc[[#This Row],[DaysAgeing]]&gt;5,"yep","on track")</f>
        <v>on track</v>
      </c>
      <c r="Q2294" s="3">
        <f ca="1">IF(Proc[[#This Row],[DateClosed]]="",ABS(NETWORKDAYS(Proc[[#This Row],[DateOpened]],TODAY()))-1,ABS(NETWORKDAYS(Proc[[#This Row],[DateOpened]],Proc[[#This Row],[DateClosed]]))-1)</f>
        <v>0</v>
      </c>
      <c r="R2294" s="104" t="s">
        <v>410</v>
      </c>
      <c r="S2294" s="94"/>
    </row>
    <row r="2295" spans="1:19" hidden="1">
      <c r="A2295" s="103" t="s">
        <v>4139</v>
      </c>
      <c r="B2295" s="149" t="str">
        <f>IFERROR(VLOOKUP(Proc[[#This Row],[App]],Table2[],3,0),"open")</f>
        <v>ok</v>
      </c>
      <c r="C2295" s="103" t="s">
        <v>369</v>
      </c>
      <c r="D2295" t="s">
        <v>4166</v>
      </c>
      <c r="E2295" t="s">
        <v>4174</v>
      </c>
      <c r="F2295" s="117" t="s">
        <v>4174</v>
      </c>
      <c r="G2295" s="103" t="s">
        <v>400</v>
      </c>
      <c r="H2295" s="94" t="str">
        <f>IF(Proc[[#This Row],[type]]="LFF (MDG-F)",MID(Proc[[#This Row],[Obj]],13,10),"")</f>
        <v/>
      </c>
      <c r="J2295" s="94" t="b">
        <f>Proc[[#This Row],[Requested]]=Proc[[#This Row],[CurrentParent]]</f>
        <v>1</v>
      </c>
      <c r="K2295" s="144" t="str">
        <f>IF(Proc[[#This Row],[Author]]="Marcela Urrego",VLOOKUP(LEFT(Proc[[#This Row],[Requested]],1),Table3[#All],2,0),VLOOKUP(Proc[[#This Row],[Author]],Table4[],2,0))</f>
        <v>HC</v>
      </c>
      <c r="L2295" s="94" t="s">
        <v>2563</v>
      </c>
      <c r="M2295" s="104">
        <v>45825.48096064815</v>
      </c>
      <c r="N2295" s="105">
        <v>45825</v>
      </c>
      <c r="O2295" s="105">
        <v>45825</v>
      </c>
      <c r="P2295" s="104" t="str">
        <f ca="1">IF(Proc[[#This Row],[DaysAgeing]]&gt;5,"yep","on track")</f>
        <v>on track</v>
      </c>
      <c r="Q2295" s="3">
        <f ca="1">IF(Proc[[#This Row],[DateClosed]]="",ABS(NETWORKDAYS(Proc[[#This Row],[DateOpened]],TODAY()))-1,ABS(NETWORKDAYS(Proc[[#This Row],[DateOpened]],Proc[[#This Row],[DateClosed]]))-1)</f>
        <v>0</v>
      </c>
      <c r="R2295" s="104" t="s">
        <v>410</v>
      </c>
      <c r="S2295" s="94"/>
    </row>
    <row r="2296" spans="1:19" hidden="1">
      <c r="A2296" s="103" t="s">
        <v>4139</v>
      </c>
      <c r="B2296" s="149" t="str">
        <f>IFERROR(VLOOKUP(Proc[[#This Row],[App]],Table2[],3,0),"open")</f>
        <v>ok</v>
      </c>
      <c r="C2296" s="103" t="s">
        <v>369</v>
      </c>
      <c r="D2296" t="s">
        <v>4167</v>
      </c>
      <c r="E2296" t="s">
        <v>4174</v>
      </c>
      <c r="F2296" s="117" t="s">
        <v>4174</v>
      </c>
      <c r="G2296" s="103" t="s">
        <v>400</v>
      </c>
      <c r="H2296" s="94" t="str">
        <f>IF(Proc[[#This Row],[type]]="LFF (MDG-F)",MID(Proc[[#This Row],[Obj]],13,10),"")</f>
        <v/>
      </c>
      <c r="J2296" s="94" t="b">
        <f>Proc[[#This Row],[Requested]]=Proc[[#This Row],[CurrentParent]]</f>
        <v>1</v>
      </c>
      <c r="K2296" s="144" t="str">
        <f>IF(Proc[[#This Row],[Author]]="Marcela Urrego",VLOOKUP(LEFT(Proc[[#This Row],[Requested]],1),Table3[#All],2,0),VLOOKUP(Proc[[#This Row],[Author]],Table4[],2,0))</f>
        <v>HC</v>
      </c>
      <c r="L2296" s="94" t="s">
        <v>2563</v>
      </c>
      <c r="M2296" s="104">
        <v>45825.48096064815</v>
      </c>
      <c r="N2296" s="105">
        <v>45825</v>
      </c>
      <c r="O2296" s="105">
        <v>45825</v>
      </c>
      <c r="P2296" s="104" t="str">
        <f ca="1">IF(Proc[[#This Row],[DaysAgeing]]&gt;5,"yep","on track")</f>
        <v>on track</v>
      </c>
      <c r="Q2296" s="3">
        <f ca="1">IF(Proc[[#This Row],[DateClosed]]="",ABS(NETWORKDAYS(Proc[[#This Row],[DateOpened]],TODAY()))-1,ABS(NETWORKDAYS(Proc[[#This Row],[DateOpened]],Proc[[#This Row],[DateClosed]]))-1)</f>
        <v>0</v>
      </c>
      <c r="R2296" s="104" t="s">
        <v>410</v>
      </c>
      <c r="S2296" s="94"/>
    </row>
    <row r="2297" spans="1:19" hidden="1">
      <c r="A2297" s="103" t="s">
        <v>4139</v>
      </c>
      <c r="B2297" s="149" t="str">
        <f>IFERROR(VLOOKUP(Proc[[#This Row],[App]],Table2[],3,0),"open")</f>
        <v>ok</v>
      </c>
      <c r="C2297" s="103" t="s">
        <v>369</v>
      </c>
      <c r="D2297" t="s">
        <v>4168</v>
      </c>
      <c r="E2297" t="s">
        <v>4174</v>
      </c>
      <c r="F2297" s="117" t="s">
        <v>4174</v>
      </c>
      <c r="G2297" s="103" t="s">
        <v>400</v>
      </c>
      <c r="H2297" s="94" t="str">
        <f>IF(Proc[[#This Row],[type]]="LFF (MDG-F)",MID(Proc[[#This Row],[Obj]],13,10),"")</f>
        <v/>
      </c>
      <c r="J2297" s="94" t="b">
        <f>Proc[[#This Row],[Requested]]=Proc[[#This Row],[CurrentParent]]</f>
        <v>1</v>
      </c>
      <c r="K2297" s="144" t="str">
        <f>IF(Proc[[#This Row],[Author]]="Marcela Urrego",VLOOKUP(LEFT(Proc[[#This Row],[Requested]],1),Table3[#All],2,0),VLOOKUP(Proc[[#This Row],[Author]],Table4[],2,0))</f>
        <v>HC</v>
      </c>
      <c r="L2297" s="94" t="s">
        <v>2563</v>
      </c>
      <c r="M2297" s="104">
        <v>45825.48096064815</v>
      </c>
      <c r="N2297" s="105">
        <v>45825</v>
      </c>
      <c r="O2297" s="105">
        <v>45825</v>
      </c>
      <c r="P2297" s="104" t="str">
        <f ca="1">IF(Proc[[#This Row],[DaysAgeing]]&gt;5,"yep","on track")</f>
        <v>on track</v>
      </c>
      <c r="Q2297" s="3">
        <f ca="1">IF(Proc[[#This Row],[DateClosed]]="",ABS(NETWORKDAYS(Proc[[#This Row],[DateOpened]],TODAY()))-1,ABS(NETWORKDAYS(Proc[[#This Row],[DateOpened]],Proc[[#This Row],[DateClosed]]))-1)</f>
        <v>0</v>
      </c>
      <c r="R2297" s="104" t="s">
        <v>410</v>
      </c>
      <c r="S2297" s="94"/>
    </row>
    <row r="2298" spans="1:19" hidden="1">
      <c r="A2298" s="103" t="s">
        <v>4139</v>
      </c>
      <c r="B2298" s="149" t="str">
        <f>IFERROR(VLOOKUP(Proc[[#This Row],[App]],Table2[],3,0),"open")</f>
        <v>ok</v>
      </c>
      <c r="C2298" s="103" t="s">
        <v>369</v>
      </c>
      <c r="D2298" t="s">
        <v>4169</v>
      </c>
      <c r="E2298" t="s">
        <v>4173</v>
      </c>
      <c r="F2298" s="117" t="s">
        <v>4173</v>
      </c>
      <c r="G2298" s="103" t="s">
        <v>400</v>
      </c>
      <c r="H2298" s="94" t="str">
        <f>IF(Proc[[#This Row],[type]]="LFF (MDG-F)",MID(Proc[[#This Row],[Obj]],13,10),"")</f>
        <v/>
      </c>
      <c r="J2298" s="94" t="b">
        <f>Proc[[#This Row],[Requested]]=Proc[[#This Row],[CurrentParent]]</f>
        <v>1</v>
      </c>
      <c r="K2298" s="144" t="str">
        <f>IF(Proc[[#This Row],[Author]]="Marcela Urrego",VLOOKUP(LEFT(Proc[[#This Row],[Requested]],1),Table3[#All],2,0),VLOOKUP(Proc[[#This Row],[Author]],Table4[],2,0))</f>
        <v>HC</v>
      </c>
      <c r="L2298" s="94" t="s">
        <v>2563</v>
      </c>
      <c r="M2298" s="104">
        <v>45825.48096064815</v>
      </c>
      <c r="N2298" s="105">
        <v>45825</v>
      </c>
      <c r="O2298" s="105">
        <v>45825</v>
      </c>
      <c r="P2298" s="104" t="str">
        <f ca="1">IF(Proc[[#This Row],[DaysAgeing]]&gt;5,"yep","on track")</f>
        <v>on track</v>
      </c>
      <c r="Q2298" s="3">
        <f ca="1">IF(Proc[[#This Row],[DateClosed]]="",ABS(NETWORKDAYS(Proc[[#This Row],[DateOpened]],TODAY()))-1,ABS(NETWORKDAYS(Proc[[#This Row],[DateOpened]],Proc[[#This Row],[DateClosed]]))-1)</f>
        <v>0</v>
      </c>
      <c r="R2298" s="104" t="s">
        <v>410</v>
      </c>
      <c r="S2298" s="94"/>
    </row>
    <row r="2299" spans="1:19" hidden="1">
      <c r="A2299" s="103" t="s">
        <v>4139</v>
      </c>
      <c r="B2299" s="149" t="str">
        <f>IFERROR(VLOOKUP(Proc[[#This Row],[App]],Table2[],3,0),"open")</f>
        <v>ok</v>
      </c>
      <c r="C2299" s="103" t="s">
        <v>369</v>
      </c>
      <c r="D2299" t="s">
        <v>4170</v>
      </c>
      <c r="E2299" t="s">
        <v>4173</v>
      </c>
      <c r="F2299" s="117" t="s">
        <v>4173</v>
      </c>
      <c r="G2299" s="103" t="s">
        <v>400</v>
      </c>
      <c r="H2299" s="94" t="str">
        <f>IF(Proc[[#This Row],[type]]="LFF (MDG-F)",MID(Proc[[#This Row],[Obj]],13,10),"")</f>
        <v/>
      </c>
      <c r="J2299" s="94" t="b">
        <f>Proc[[#This Row],[Requested]]=Proc[[#This Row],[CurrentParent]]</f>
        <v>1</v>
      </c>
      <c r="K2299" s="144" t="str">
        <f>IF(Proc[[#This Row],[Author]]="Marcela Urrego",VLOOKUP(LEFT(Proc[[#This Row],[Requested]],1),Table3[#All],2,0),VLOOKUP(Proc[[#This Row],[Author]],Table4[],2,0))</f>
        <v>HC</v>
      </c>
      <c r="L2299" s="94" t="s">
        <v>2563</v>
      </c>
      <c r="M2299" s="104">
        <v>45825.48096064815</v>
      </c>
      <c r="N2299" s="105">
        <v>45825</v>
      </c>
      <c r="O2299" s="105">
        <v>45825</v>
      </c>
      <c r="P2299" s="104" t="str">
        <f ca="1">IF(Proc[[#This Row],[DaysAgeing]]&gt;5,"yep","on track")</f>
        <v>on track</v>
      </c>
      <c r="Q2299" s="3">
        <f ca="1">IF(Proc[[#This Row],[DateClosed]]="",ABS(NETWORKDAYS(Proc[[#This Row],[DateOpened]],TODAY()))-1,ABS(NETWORKDAYS(Proc[[#This Row],[DateOpened]],Proc[[#This Row],[DateClosed]]))-1)</f>
        <v>0</v>
      </c>
      <c r="R2299" s="104" t="s">
        <v>410</v>
      </c>
      <c r="S2299" s="94"/>
    </row>
    <row r="2300" spans="1:19" hidden="1">
      <c r="A2300" s="103" t="s">
        <v>4139</v>
      </c>
      <c r="B2300" s="149" t="str">
        <f>IFERROR(VLOOKUP(Proc[[#This Row],[App]],Table2[],3,0),"open")</f>
        <v>ok</v>
      </c>
      <c r="C2300" s="103" t="s">
        <v>369</v>
      </c>
      <c r="D2300" t="s">
        <v>4171</v>
      </c>
      <c r="E2300" t="s">
        <v>4174</v>
      </c>
      <c r="F2300" s="117" t="s">
        <v>4174</v>
      </c>
      <c r="G2300" s="103" t="s">
        <v>400</v>
      </c>
      <c r="H2300" s="94" t="str">
        <f>IF(Proc[[#This Row],[type]]="LFF (MDG-F)",MID(Proc[[#This Row],[Obj]],13,10),"")</f>
        <v/>
      </c>
      <c r="J2300" s="94" t="b">
        <f>Proc[[#This Row],[Requested]]=Proc[[#This Row],[CurrentParent]]</f>
        <v>1</v>
      </c>
      <c r="K2300" s="144" t="str">
        <f>IF(Proc[[#This Row],[Author]]="Marcela Urrego",VLOOKUP(LEFT(Proc[[#This Row],[Requested]],1),Table3[#All],2,0),VLOOKUP(Proc[[#This Row],[Author]],Table4[],2,0))</f>
        <v>HC</v>
      </c>
      <c r="L2300" s="94" t="s">
        <v>2563</v>
      </c>
      <c r="M2300" s="104">
        <v>45825.48096064815</v>
      </c>
      <c r="N2300" s="105">
        <v>45825</v>
      </c>
      <c r="O2300" s="105">
        <v>45825</v>
      </c>
      <c r="P2300" s="104" t="str">
        <f ca="1">IF(Proc[[#This Row],[DaysAgeing]]&gt;5,"yep","on track")</f>
        <v>on track</v>
      </c>
      <c r="Q2300" s="3">
        <f ca="1">IF(Proc[[#This Row],[DateClosed]]="",ABS(NETWORKDAYS(Proc[[#This Row],[DateOpened]],TODAY()))-1,ABS(NETWORKDAYS(Proc[[#This Row],[DateOpened]],Proc[[#This Row],[DateClosed]]))-1)</f>
        <v>0</v>
      </c>
      <c r="R2300" s="104" t="s">
        <v>410</v>
      </c>
      <c r="S2300" s="94"/>
    </row>
    <row r="2301" spans="1:19" hidden="1">
      <c r="A2301" s="103" t="s">
        <v>4139</v>
      </c>
      <c r="B2301" s="149" t="str">
        <f>IFERROR(VLOOKUP(Proc[[#This Row],[App]],Table2[],3,0),"open")</f>
        <v>ok</v>
      </c>
      <c r="C2301" s="103" t="s">
        <v>369</v>
      </c>
      <c r="D2301" t="s">
        <v>4172</v>
      </c>
      <c r="E2301" t="s">
        <v>4175</v>
      </c>
      <c r="F2301" s="117" t="s">
        <v>4175</v>
      </c>
      <c r="G2301" s="103" t="s">
        <v>400</v>
      </c>
      <c r="H2301" s="94" t="str">
        <f>IF(Proc[[#This Row],[type]]="LFF (MDG-F)",MID(Proc[[#This Row],[Obj]],13,10),"")</f>
        <v/>
      </c>
      <c r="J2301" s="94" t="b">
        <f>Proc[[#This Row],[Requested]]=Proc[[#This Row],[CurrentParent]]</f>
        <v>1</v>
      </c>
      <c r="K2301" s="144" t="str">
        <f>IF(Proc[[#This Row],[Author]]="Marcela Urrego",VLOOKUP(LEFT(Proc[[#This Row],[Requested]],1),Table3[#All],2,0),VLOOKUP(Proc[[#This Row],[Author]],Table4[],2,0))</f>
        <v>HC</v>
      </c>
      <c r="L2301" s="94" t="s">
        <v>2563</v>
      </c>
      <c r="M2301" s="104">
        <v>45825.48096064815</v>
      </c>
      <c r="N2301" s="105">
        <v>45825</v>
      </c>
      <c r="O2301" s="105">
        <v>45825</v>
      </c>
      <c r="P2301" s="104" t="str">
        <f ca="1">IF(Proc[[#This Row],[DaysAgeing]]&gt;5,"yep","on track")</f>
        <v>on track</v>
      </c>
      <c r="Q2301" s="3">
        <f ca="1">IF(Proc[[#This Row],[DateClosed]]="",ABS(NETWORKDAYS(Proc[[#This Row],[DateOpened]],TODAY()))-1,ABS(NETWORKDAYS(Proc[[#This Row],[DateOpened]],Proc[[#This Row],[DateClosed]]))-1)</f>
        <v>0</v>
      </c>
      <c r="R2301" s="104" t="s">
        <v>410</v>
      </c>
      <c r="S2301" s="94"/>
    </row>
    <row r="2302" spans="1:19" hidden="1">
      <c r="A2302" s="103" t="s">
        <v>4139</v>
      </c>
      <c r="B2302" s="149" t="str">
        <f>IFERROR(VLOOKUP(Proc[[#This Row],[App]],Table2[],3,0),"open")</f>
        <v>ok</v>
      </c>
      <c r="C2302" s="103" t="s">
        <v>369</v>
      </c>
      <c r="D2302" t="s">
        <v>4176</v>
      </c>
      <c r="E2302" t="s">
        <v>4173</v>
      </c>
      <c r="F2302" s="117" t="s">
        <v>4173</v>
      </c>
      <c r="G2302" s="103" t="s">
        <v>406</v>
      </c>
      <c r="H2302" s="94" t="str">
        <f>IF(Proc[[#This Row],[type]]="LFF (MDG-F)",MID(Proc[[#This Row],[Obj]],13,10),"")</f>
        <v>TN50Z01000</v>
      </c>
      <c r="J2302" s="94" t="b">
        <f>Proc[[#This Row],[Requested]]=Proc[[#This Row],[CurrentParent]]</f>
        <v>1</v>
      </c>
      <c r="K2302" s="144" t="str">
        <f>IF(Proc[[#This Row],[Author]]="Marcela Urrego",VLOOKUP(LEFT(Proc[[#This Row],[Requested]],1),Table3[#All],2,0),VLOOKUP(Proc[[#This Row],[Author]],Table4[],2,0))</f>
        <v>HC</v>
      </c>
      <c r="L2302" s="94" t="s">
        <v>2563</v>
      </c>
      <c r="M2302" s="104">
        <v>45825.48096064815</v>
      </c>
      <c r="N2302" s="105"/>
      <c r="O2302" s="105"/>
      <c r="P2302" s="104" t="str">
        <f ca="1">IF(Proc[[#This Row],[DaysAgeing]]&gt;5,"yep","on track")</f>
        <v>yep</v>
      </c>
      <c r="Q2302" s="3">
        <f ca="1">IF(Proc[[#This Row],[DateClosed]]="",ABS(NETWORKDAYS(Proc[[#This Row],[DateOpened]],TODAY()))-1,ABS(NETWORKDAYS(Proc[[#This Row],[DateOpened]],Proc[[#This Row],[DateClosed]]))-1)</f>
        <v>133</v>
      </c>
      <c r="R2302" s="104" t="s">
        <v>410</v>
      </c>
      <c r="S2302" s="94"/>
    </row>
    <row r="2303" spans="1:19" hidden="1">
      <c r="A2303" s="103" t="s">
        <v>4139</v>
      </c>
      <c r="B2303" s="149" t="str">
        <f>IFERROR(VLOOKUP(Proc[[#This Row],[App]],Table2[],3,0),"open")</f>
        <v>ok</v>
      </c>
      <c r="C2303" s="103" t="s">
        <v>369</v>
      </c>
      <c r="D2303" t="s">
        <v>4177</v>
      </c>
      <c r="E2303" t="s">
        <v>4173</v>
      </c>
      <c r="F2303" s="117" t="s">
        <v>4173</v>
      </c>
      <c r="G2303" s="103" t="s">
        <v>406</v>
      </c>
      <c r="H2303" s="94" t="str">
        <f>IF(Proc[[#This Row],[type]]="LFF (MDG-F)",MID(Proc[[#This Row],[Obj]],13,10),"")</f>
        <v>TN60Z01000</v>
      </c>
      <c r="J2303" s="94" t="b">
        <f>Proc[[#This Row],[Requested]]=Proc[[#This Row],[CurrentParent]]</f>
        <v>1</v>
      </c>
      <c r="K2303" s="144" t="str">
        <f>IF(Proc[[#This Row],[Author]]="Marcela Urrego",VLOOKUP(LEFT(Proc[[#This Row],[Requested]],1),Table3[#All],2,0),VLOOKUP(Proc[[#This Row],[Author]],Table4[],2,0))</f>
        <v>HC</v>
      </c>
      <c r="L2303" s="94" t="s">
        <v>2563</v>
      </c>
      <c r="M2303" s="104">
        <v>45825.48096064815</v>
      </c>
      <c r="N2303" s="105"/>
      <c r="O2303" s="105"/>
      <c r="P2303" s="104" t="str">
        <f ca="1">IF(Proc[[#This Row],[DaysAgeing]]&gt;5,"yep","on track")</f>
        <v>yep</v>
      </c>
      <c r="Q2303" s="3">
        <f ca="1">IF(Proc[[#This Row],[DateClosed]]="",ABS(NETWORKDAYS(Proc[[#This Row],[DateOpened]],TODAY()))-1,ABS(NETWORKDAYS(Proc[[#This Row],[DateOpened]],Proc[[#This Row],[DateClosed]]))-1)</f>
        <v>133</v>
      </c>
      <c r="R2303" s="104" t="s">
        <v>410</v>
      </c>
      <c r="S2303" s="94"/>
    </row>
    <row r="2304" spans="1:19" hidden="1">
      <c r="A2304" t="s">
        <v>4180</v>
      </c>
      <c r="B2304" s="149" t="str">
        <f>IFERROR(VLOOKUP(Proc[[#This Row],[App]],Table2[],3,0),"open")</f>
        <v>ok</v>
      </c>
      <c r="C2304" s="103" t="s">
        <v>369</v>
      </c>
      <c r="D2304" t="s">
        <v>4181</v>
      </c>
      <c r="E2304" t="s">
        <v>2506</v>
      </c>
      <c r="F2304" s="117" t="s">
        <v>2506</v>
      </c>
      <c r="G2304" t="s">
        <v>400</v>
      </c>
      <c r="H2304" s="94" t="str">
        <f>IF(Proc[[#This Row],[type]]="LFF (MDG-F)",MID(Proc[[#This Row],[Obj]],13,10),"")</f>
        <v/>
      </c>
      <c r="J2304" s="94" t="b">
        <f>Proc[[#This Row],[Requested]]=Proc[[#This Row],[CurrentParent]]</f>
        <v>1</v>
      </c>
      <c r="K2304" s="144" t="str">
        <f>IF(Proc[[#This Row],[Author]]="Marcela Urrego",VLOOKUP(LEFT(Proc[[#This Row],[Requested]],1),Table3[#All],2,0),VLOOKUP(Proc[[#This Row],[Author]],Table4[],2,0))</f>
        <v>HC</v>
      </c>
      <c r="L2304" s="94" t="s">
        <v>2563</v>
      </c>
      <c r="M2304" s="105">
        <v>45825.147986111115</v>
      </c>
      <c r="N2304" s="105"/>
      <c r="O2304" s="105"/>
      <c r="P2304" s="106" t="str">
        <f ca="1">IF(Proc[[#This Row],[DaysAgeing]]&gt;5,"yep","on track")</f>
        <v>yep</v>
      </c>
      <c r="Q2304" s="3">
        <f ca="1">IF(Proc[[#This Row],[DateClosed]]="",ABS(NETWORKDAYS(Proc[[#This Row],[DateOpened]],TODAY()))-1,ABS(NETWORKDAYS(Proc[[#This Row],[DateOpened]],Proc[[#This Row],[DateClosed]]))-1)</f>
        <v>133</v>
      </c>
      <c r="R2304" s="106" t="s">
        <v>955</v>
      </c>
      <c r="S2304" s="94"/>
    </row>
    <row r="2305" spans="1:19" hidden="1">
      <c r="A2305" t="s">
        <v>4187</v>
      </c>
      <c r="B2305" s="149" t="str">
        <f>IFERROR(VLOOKUP(Proc[[#This Row],[App]],Table2[],3,0),"open")</f>
        <v>ok</v>
      </c>
      <c r="C2305" s="103" t="s">
        <v>369</v>
      </c>
      <c r="D2305" t="s">
        <v>4182</v>
      </c>
      <c r="E2305" t="s">
        <v>480</v>
      </c>
      <c r="F2305" s="117" t="s">
        <v>480</v>
      </c>
      <c r="G2305" s="103" t="s">
        <v>400</v>
      </c>
      <c r="H2305" s="94" t="str">
        <f>IF(Proc[[#This Row],[type]]="LFF (MDG-F)",MID(Proc[[#This Row],[Obj]],13,10),"")</f>
        <v/>
      </c>
      <c r="J2305" s="94" t="b">
        <f>Proc[[#This Row],[Requested]]=Proc[[#This Row],[CurrentParent]]</f>
        <v>1</v>
      </c>
      <c r="K2305" s="144" t="str">
        <f>IF(Proc[[#This Row],[Author]]="Marcela Urrego",VLOOKUP(LEFT(Proc[[#This Row],[Requested]],1),Table3[#All],2,0),VLOOKUP(Proc[[#This Row],[Author]],Table4[],2,0))</f>
        <v>LS</v>
      </c>
      <c r="L2305" s="94" t="s">
        <v>2563</v>
      </c>
      <c r="M2305" s="105">
        <v>45825.378379629627</v>
      </c>
      <c r="N2305" s="105"/>
      <c r="O2305" s="105"/>
      <c r="P2305" s="106" t="str">
        <f ca="1">IF(Proc[[#This Row],[DaysAgeing]]&gt;5,"yep","on track")</f>
        <v>yep</v>
      </c>
      <c r="Q2305" s="3">
        <f ca="1">IF(Proc[[#This Row],[DateClosed]]="",ABS(NETWORKDAYS(Proc[[#This Row],[DateOpened]],TODAY()))-1,ABS(NETWORKDAYS(Proc[[#This Row],[DateOpened]],Proc[[#This Row],[DateClosed]]))-1)</f>
        <v>133</v>
      </c>
      <c r="R2305" s="106" t="s">
        <v>972</v>
      </c>
      <c r="S2305" s="94"/>
    </row>
    <row r="2306" spans="1:19" hidden="1">
      <c r="A2306" s="103" t="s">
        <v>4187</v>
      </c>
      <c r="B2306" s="149" t="str">
        <f>IFERROR(VLOOKUP(Proc[[#This Row],[App]],Table2[],3,0),"open")</f>
        <v>ok</v>
      </c>
      <c r="C2306" s="103" t="s">
        <v>369</v>
      </c>
      <c r="D2306" t="s">
        <v>4183</v>
      </c>
      <c r="E2306" t="s">
        <v>1830</v>
      </c>
      <c r="F2306" s="117" t="s">
        <v>1830</v>
      </c>
      <c r="G2306" s="103" t="s">
        <v>400</v>
      </c>
      <c r="H2306" s="94" t="str">
        <f>IF(Proc[[#This Row],[type]]="LFF (MDG-F)",MID(Proc[[#This Row],[Obj]],13,10),"")</f>
        <v/>
      </c>
      <c r="J2306" s="94" t="b">
        <f>Proc[[#This Row],[Requested]]=Proc[[#This Row],[CurrentParent]]</f>
        <v>1</v>
      </c>
      <c r="K2306" s="144" t="str">
        <f>IF(Proc[[#This Row],[Author]]="Marcela Urrego",VLOOKUP(LEFT(Proc[[#This Row],[Requested]],1),Table3[#All],2,0),VLOOKUP(Proc[[#This Row],[Author]],Table4[],2,0))</f>
        <v>LS</v>
      </c>
      <c r="L2306" s="94" t="s">
        <v>2563</v>
      </c>
      <c r="M2306" s="105">
        <v>45825.378379629627</v>
      </c>
      <c r="N2306" s="105"/>
      <c r="O2306" s="105"/>
      <c r="P2306" s="106" t="str">
        <f ca="1">IF(Proc[[#This Row],[DaysAgeing]]&gt;5,"yep","on track")</f>
        <v>yep</v>
      </c>
      <c r="Q2306" s="3">
        <f ca="1">IF(Proc[[#This Row],[DateClosed]]="",ABS(NETWORKDAYS(Proc[[#This Row],[DateOpened]],TODAY()))-1,ABS(NETWORKDAYS(Proc[[#This Row],[DateOpened]],Proc[[#This Row],[DateClosed]]))-1)</f>
        <v>133</v>
      </c>
      <c r="R2306" s="106" t="s">
        <v>972</v>
      </c>
      <c r="S2306" s="94"/>
    </row>
    <row r="2307" spans="1:19" hidden="1">
      <c r="A2307" s="103" t="s">
        <v>4187</v>
      </c>
      <c r="B2307" s="149" t="str">
        <f>IFERROR(VLOOKUP(Proc[[#This Row],[App]],Table2[],3,0),"open")</f>
        <v>ok</v>
      </c>
      <c r="C2307" s="103" t="s">
        <v>369</v>
      </c>
      <c r="D2307" t="s">
        <v>4184</v>
      </c>
      <c r="E2307" t="s">
        <v>480</v>
      </c>
      <c r="F2307" s="117" t="s">
        <v>480</v>
      </c>
      <c r="G2307" s="103" t="s">
        <v>400</v>
      </c>
      <c r="H2307" s="94" t="str">
        <f>IF(Proc[[#This Row],[type]]="LFF (MDG-F)",MID(Proc[[#This Row],[Obj]],13,10),"")</f>
        <v/>
      </c>
      <c r="J2307" s="94" t="b">
        <f>Proc[[#This Row],[Requested]]=Proc[[#This Row],[CurrentParent]]</f>
        <v>1</v>
      </c>
      <c r="K2307" s="144" t="str">
        <f>IF(Proc[[#This Row],[Author]]="Marcela Urrego",VLOOKUP(LEFT(Proc[[#This Row],[Requested]],1),Table3[#All],2,0),VLOOKUP(Proc[[#This Row],[Author]],Table4[],2,0))</f>
        <v>LS</v>
      </c>
      <c r="L2307" s="94" t="s">
        <v>2563</v>
      </c>
      <c r="M2307" s="105">
        <v>45825.378379629627</v>
      </c>
      <c r="N2307" s="105"/>
      <c r="O2307" s="105"/>
      <c r="P2307" s="106" t="str">
        <f ca="1">IF(Proc[[#This Row],[DaysAgeing]]&gt;5,"yep","on track")</f>
        <v>yep</v>
      </c>
      <c r="Q2307" s="3">
        <f ca="1">IF(Proc[[#This Row],[DateClosed]]="",ABS(NETWORKDAYS(Proc[[#This Row],[DateOpened]],TODAY()))-1,ABS(NETWORKDAYS(Proc[[#This Row],[DateOpened]],Proc[[#This Row],[DateClosed]]))-1)</f>
        <v>133</v>
      </c>
      <c r="R2307" s="106" t="s">
        <v>972</v>
      </c>
      <c r="S2307" s="94"/>
    </row>
    <row r="2308" spans="1:19" hidden="1">
      <c r="A2308" s="103" t="s">
        <v>4187</v>
      </c>
      <c r="B2308" s="149" t="str">
        <f>IFERROR(VLOOKUP(Proc[[#This Row],[App]],Table2[],3,0),"open")</f>
        <v>ok</v>
      </c>
      <c r="C2308" s="103" t="s">
        <v>369</v>
      </c>
      <c r="D2308" t="s">
        <v>4185</v>
      </c>
      <c r="E2308" t="s">
        <v>1830</v>
      </c>
      <c r="F2308" s="117" t="s">
        <v>1830</v>
      </c>
      <c r="G2308" s="103" t="s">
        <v>400</v>
      </c>
      <c r="H2308" s="94" t="str">
        <f>IF(Proc[[#This Row],[type]]="LFF (MDG-F)",MID(Proc[[#This Row],[Obj]],13,10),"")</f>
        <v/>
      </c>
      <c r="J2308" s="94" t="b">
        <f>Proc[[#This Row],[Requested]]=Proc[[#This Row],[CurrentParent]]</f>
        <v>1</v>
      </c>
      <c r="K2308" s="144" t="str">
        <f>IF(Proc[[#This Row],[Author]]="Marcela Urrego",VLOOKUP(LEFT(Proc[[#This Row],[Requested]],1),Table3[#All],2,0),VLOOKUP(Proc[[#This Row],[Author]],Table4[],2,0))</f>
        <v>LS</v>
      </c>
      <c r="L2308" s="94" t="s">
        <v>2563</v>
      </c>
      <c r="M2308" s="105">
        <v>45825.378379629627</v>
      </c>
      <c r="N2308" s="105"/>
      <c r="O2308" s="105"/>
      <c r="P2308" s="106" t="str">
        <f ca="1">IF(Proc[[#This Row],[DaysAgeing]]&gt;5,"yep","on track")</f>
        <v>yep</v>
      </c>
      <c r="Q2308" s="3">
        <f ca="1">IF(Proc[[#This Row],[DateClosed]]="",ABS(NETWORKDAYS(Proc[[#This Row],[DateOpened]],TODAY()))-1,ABS(NETWORKDAYS(Proc[[#This Row],[DateOpened]],Proc[[#This Row],[DateClosed]]))-1)</f>
        <v>133</v>
      </c>
      <c r="R2308" s="106" t="s">
        <v>972</v>
      </c>
      <c r="S2308" s="94"/>
    </row>
    <row r="2309" spans="1:19" hidden="1">
      <c r="A2309" s="103" t="s">
        <v>4187</v>
      </c>
      <c r="B2309" s="149" t="str">
        <f>IFERROR(VLOOKUP(Proc[[#This Row],[App]],Table2[],3,0),"open")</f>
        <v>ok</v>
      </c>
      <c r="C2309" s="103" t="s">
        <v>369</v>
      </c>
      <c r="D2309" t="s">
        <v>4186</v>
      </c>
      <c r="E2309" t="s">
        <v>447</v>
      </c>
      <c r="F2309" s="117" t="s">
        <v>447</v>
      </c>
      <c r="G2309" s="103" t="s">
        <v>400</v>
      </c>
      <c r="H2309" s="94" t="str">
        <f>IF(Proc[[#This Row],[type]]="LFF (MDG-F)",MID(Proc[[#This Row],[Obj]],13,10),"")</f>
        <v/>
      </c>
      <c r="J2309" s="94" t="b">
        <f>Proc[[#This Row],[Requested]]=Proc[[#This Row],[CurrentParent]]</f>
        <v>1</v>
      </c>
      <c r="K2309" s="144" t="str">
        <f>IF(Proc[[#This Row],[Author]]="Marcela Urrego",VLOOKUP(LEFT(Proc[[#This Row],[Requested]],1),Table3[#All],2,0),VLOOKUP(Proc[[#This Row],[Author]],Table4[],2,0))</f>
        <v>LS</v>
      </c>
      <c r="L2309" s="94" t="s">
        <v>2563</v>
      </c>
      <c r="M2309" s="105">
        <v>45825.378379629627</v>
      </c>
      <c r="N2309" s="105"/>
      <c r="O2309" s="105"/>
      <c r="P2309" s="106" t="str">
        <f ca="1">IF(Proc[[#This Row],[DaysAgeing]]&gt;5,"yep","on track")</f>
        <v>yep</v>
      </c>
      <c r="Q2309" s="3">
        <f ca="1">IF(Proc[[#This Row],[DateClosed]]="",ABS(NETWORKDAYS(Proc[[#This Row],[DateOpened]],TODAY()))-1,ABS(NETWORKDAYS(Proc[[#This Row],[DateOpened]],Proc[[#This Row],[DateClosed]]))-1)</f>
        <v>133</v>
      </c>
      <c r="R2309" s="106" t="s">
        <v>972</v>
      </c>
      <c r="S2309" s="94"/>
    </row>
    <row r="2310" spans="1:19" hidden="1">
      <c r="A2310" t="s">
        <v>4188</v>
      </c>
      <c r="B2310" s="149" t="str">
        <f>IFERROR(VLOOKUP(Proc[[#This Row],[App]],Table2[],3,0),"open")</f>
        <v>ok</v>
      </c>
      <c r="C2310" s="103" t="s">
        <v>369</v>
      </c>
      <c r="D2310" t="s">
        <v>4189</v>
      </c>
      <c r="E2310" t="s">
        <v>4245</v>
      </c>
      <c r="F2310" s="117" t="s">
        <v>4245</v>
      </c>
      <c r="G2310" s="103" t="s">
        <v>400</v>
      </c>
      <c r="H2310" s="94" t="str">
        <f>IF(Proc[[#This Row],[type]]="LFF (MDG-F)",MID(Proc[[#This Row],[Obj]],13,10),"")</f>
        <v/>
      </c>
      <c r="J2310" s="94" t="b">
        <f>Proc[[#This Row],[Requested]]=Proc[[#This Row],[CurrentParent]]</f>
        <v>1</v>
      </c>
      <c r="K2310" s="144" t="str">
        <f>IF(Proc[[#This Row],[Author]]="Marcela Urrego",VLOOKUP(LEFT(Proc[[#This Row],[Requested]],1),Table3[#All],2,0),VLOOKUP(Proc[[#This Row],[Author]],Table4[],2,0))</f>
        <v>EL</v>
      </c>
      <c r="L2310" s="94" t="s">
        <v>2563</v>
      </c>
      <c r="M2310" s="105">
        <v>45825.476678240739</v>
      </c>
      <c r="N2310" s="105"/>
      <c r="O2310" s="105"/>
      <c r="P2310" s="106" t="str">
        <f ca="1">IF(Proc[[#This Row],[DaysAgeing]]&gt;5,"yep","on track")</f>
        <v>yep</v>
      </c>
      <c r="Q2310" s="3">
        <f ca="1">IF(Proc[[#This Row],[DateClosed]]="",ABS(NETWORKDAYS(Proc[[#This Row],[DateOpened]],TODAY()))-1,ABS(NETWORKDAYS(Proc[[#This Row],[DateOpened]],Proc[[#This Row],[DateClosed]]))-1)</f>
        <v>133</v>
      </c>
      <c r="R2310" s="106" t="s">
        <v>780</v>
      </c>
      <c r="S2310" s="94"/>
    </row>
    <row r="2311" spans="1:19" hidden="1">
      <c r="A2311" s="103" t="s">
        <v>4188</v>
      </c>
      <c r="B2311" s="149" t="str">
        <f>IFERROR(VLOOKUP(Proc[[#This Row],[App]],Table2[],3,0),"open")</f>
        <v>ok</v>
      </c>
      <c r="C2311" s="103" t="s">
        <v>369</v>
      </c>
      <c r="D2311" t="s">
        <v>4190</v>
      </c>
      <c r="E2311" t="s">
        <v>4245</v>
      </c>
      <c r="F2311" s="117" t="s">
        <v>4245</v>
      </c>
      <c r="G2311" s="103" t="s">
        <v>400</v>
      </c>
      <c r="H2311" s="94" t="str">
        <f>IF(Proc[[#This Row],[type]]="LFF (MDG-F)",MID(Proc[[#This Row],[Obj]],13,10),"")</f>
        <v/>
      </c>
      <c r="J2311" s="94" t="b">
        <f>Proc[[#This Row],[Requested]]=Proc[[#This Row],[CurrentParent]]</f>
        <v>1</v>
      </c>
      <c r="K2311" s="144" t="str">
        <f>IF(Proc[[#This Row],[Author]]="Marcela Urrego",VLOOKUP(LEFT(Proc[[#This Row],[Requested]],1),Table3[#All],2,0),VLOOKUP(Proc[[#This Row],[Author]],Table4[],2,0))</f>
        <v>EL</v>
      </c>
      <c r="L2311" s="94" t="s">
        <v>2563</v>
      </c>
      <c r="M2311" s="105">
        <v>45825.476678240739</v>
      </c>
      <c r="N2311" s="105"/>
      <c r="O2311" s="105"/>
      <c r="P2311" s="106" t="str">
        <f ca="1">IF(Proc[[#This Row],[DaysAgeing]]&gt;5,"yep","on track")</f>
        <v>yep</v>
      </c>
      <c r="Q2311" s="3">
        <f ca="1">IF(Proc[[#This Row],[DateClosed]]="",ABS(NETWORKDAYS(Proc[[#This Row],[DateOpened]],TODAY()))-1,ABS(NETWORKDAYS(Proc[[#This Row],[DateOpened]],Proc[[#This Row],[DateClosed]]))-1)</f>
        <v>133</v>
      </c>
      <c r="R2311" s="106" t="s">
        <v>780</v>
      </c>
      <c r="S2311" s="94"/>
    </row>
    <row r="2312" spans="1:19" hidden="1">
      <c r="A2312" s="103" t="s">
        <v>4188</v>
      </c>
      <c r="B2312" s="149" t="str">
        <f>IFERROR(VLOOKUP(Proc[[#This Row],[App]],Table2[],3,0),"open")</f>
        <v>ok</v>
      </c>
      <c r="C2312" s="103" t="s">
        <v>369</v>
      </c>
      <c r="D2312" t="s">
        <v>4191</v>
      </c>
      <c r="E2312" t="s">
        <v>4245</v>
      </c>
      <c r="F2312" s="117" t="s">
        <v>4245</v>
      </c>
      <c r="G2312" s="103" t="s">
        <v>400</v>
      </c>
      <c r="H2312" s="94" t="str">
        <f>IF(Proc[[#This Row],[type]]="LFF (MDG-F)",MID(Proc[[#This Row],[Obj]],13,10),"")</f>
        <v/>
      </c>
      <c r="J2312" s="94" t="b">
        <f>Proc[[#This Row],[Requested]]=Proc[[#This Row],[CurrentParent]]</f>
        <v>1</v>
      </c>
      <c r="K2312" s="144" t="str">
        <f>IF(Proc[[#This Row],[Author]]="Marcela Urrego",VLOOKUP(LEFT(Proc[[#This Row],[Requested]],1),Table3[#All],2,0),VLOOKUP(Proc[[#This Row],[Author]],Table4[],2,0))</f>
        <v>EL</v>
      </c>
      <c r="L2312" s="94" t="s">
        <v>2563</v>
      </c>
      <c r="M2312" s="105">
        <v>45825.476678240739</v>
      </c>
      <c r="N2312" s="105"/>
      <c r="O2312" s="105"/>
      <c r="P2312" s="106" t="str">
        <f ca="1">IF(Proc[[#This Row],[DaysAgeing]]&gt;5,"yep","on track")</f>
        <v>yep</v>
      </c>
      <c r="Q2312" s="3">
        <f ca="1">IF(Proc[[#This Row],[DateClosed]]="",ABS(NETWORKDAYS(Proc[[#This Row],[DateOpened]],TODAY()))-1,ABS(NETWORKDAYS(Proc[[#This Row],[DateOpened]],Proc[[#This Row],[DateClosed]]))-1)</f>
        <v>133</v>
      </c>
      <c r="R2312" s="106" t="s">
        <v>780</v>
      </c>
      <c r="S2312" s="94"/>
    </row>
    <row r="2313" spans="1:19" hidden="1">
      <c r="A2313" s="103" t="s">
        <v>4188</v>
      </c>
      <c r="B2313" s="149" t="str">
        <f>IFERROR(VLOOKUP(Proc[[#This Row],[App]],Table2[],3,0),"open")</f>
        <v>ok</v>
      </c>
      <c r="C2313" s="103" t="s">
        <v>369</v>
      </c>
      <c r="D2313" t="s">
        <v>4192</v>
      </c>
      <c r="E2313" t="s">
        <v>4245</v>
      </c>
      <c r="F2313" s="117" t="s">
        <v>4245</v>
      </c>
      <c r="G2313" s="103" t="s">
        <v>400</v>
      </c>
      <c r="H2313" s="94" t="str">
        <f>IF(Proc[[#This Row],[type]]="LFF (MDG-F)",MID(Proc[[#This Row],[Obj]],13,10),"")</f>
        <v/>
      </c>
      <c r="J2313" s="94" t="b">
        <f>Proc[[#This Row],[Requested]]=Proc[[#This Row],[CurrentParent]]</f>
        <v>1</v>
      </c>
      <c r="K2313" s="144" t="str">
        <f>IF(Proc[[#This Row],[Author]]="Marcela Urrego",VLOOKUP(LEFT(Proc[[#This Row],[Requested]],1),Table3[#All],2,0),VLOOKUP(Proc[[#This Row],[Author]],Table4[],2,0))</f>
        <v>EL</v>
      </c>
      <c r="L2313" s="94" t="s">
        <v>2563</v>
      </c>
      <c r="M2313" s="105">
        <v>45825.476678240739</v>
      </c>
      <c r="N2313" s="105"/>
      <c r="O2313" s="105"/>
      <c r="P2313" s="106" t="str">
        <f ca="1">IF(Proc[[#This Row],[DaysAgeing]]&gt;5,"yep","on track")</f>
        <v>yep</v>
      </c>
      <c r="Q2313" s="3">
        <f ca="1">IF(Proc[[#This Row],[DateClosed]]="",ABS(NETWORKDAYS(Proc[[#This Row],[DateOpened]],TODAY()))-1,ABS(NETWORKDAYS(Proc[[#This Row],[DateOpened]],Proc[[#This Row],[DateClosed]]))-1)</f>
        <v>133</v>
      </c>
      <c r="R2313" s="106" t="s">
        <v>780</v>
      </c>
      <c r="S2313" s="94"/>
    </row>
    <row r="2314" spans="1:19" hidden="1">
      <c r="A2314" s="103" t="s">
        <v>4188</v>
      </c>
      <c r="B2314" s="149" t="str">
        <f>IFERROR(VLOOKUP(Proc[[#This Row],[App]],Table2[],3,0),"open")</f>
        <v>ok</v>
      </c>
      <c r="C2314" s="103" t="s">
        <v>369</v>
      </c>
      <c r="D2314" t="s">
        <v>4193</v>
      </c>
      <c r="E2314" t="s">
        <v>4245</v>
      </c>
      <c r="F2314" s="117" t="s">
        <v>4245</v>
      </c>
      <c r="G2314" s="103" t="s">
        <v>400</v>
      </c>
      <c r="H2314" s="94" t="str">
        <f>IF(Proc[[#This Row],[type]]="LFF (MDG-F)",MID(Proc[[#This Row],[Obj]],13,10),"")</f>
        <v/>
      </c>
      <c r="J2314" s="94" t="b">
        <f>Proc[[#This Row],[Requested]]=Proc[[#This Row],[CurrentParent]]</f>
        <v>1</v>
      </c>
      <c r="K2314" s="144" t="str">
        <f>IF(Proc[[#This Row],[Author]]="Marcela Urrego",VLOOKUP(LEFT(Proc[[#This Row],[Requested]],1),Table3[#All],2,0),VLOOKUP(Proc[[#This Row],[Author]],Table4[],2,0))</f>
        <v>EL</v>
      </c>
      <c r="L2314" s="94" t="s">
        <v>2563</v>
      </c>
      <c r="M2314" s="105">
        <v>45825.476678240739</v>
      </c>
      <c r="N2314" s="105"/>
      <c r="O2314" s="105"/>
      <c r="P2314" s="106" t="str">
        <f ca="1">IF(Proc[[#This Row],[DaysAgeing]]&gt;5,"yep","on track")</f>
        <v>yep</v>
      </c>
      <c r="Q2314" s="3">
        <f ca="1">IF(Proc[[#This Row],[DateClosed]]="",ABS(NETWORKDAYS(Proc[[#This Row],[DateOpened]],TODAY()))-1,ABS(NETWORKDAYS(Proc[[#This Row],[DateOpened]],Proc[[#This Row],[DateClosed]]))-1)</f>
        <v>133</v>
      </c>
      <c r="R2314" s="106" t="s">
        <v>780</v>
      </c>
      <c r="S2314" s="94"/>
    </row>
    <row r="2315" spans="1:19" hidden="1">
      <c r="A2315" s="103" t="s">
        <v>4188</v>
      </c>
      <c r="B2315" s="149" t="str">
        <f>IFERROR(VLOOKUP(Proc[[#This Row],[App]],Table2[],3,0),"open")</f>
        <v>ok</v>
      </c>
      <c r="C2315" s="103" t="s">
        <v>369</v>
      </c>
      <c r="D2315" t="s">
        <v>4194</v>
      </c>
      <c r="E2315" t="s">
        <v>4245</v>
      </c>
      <c r="F2315" s="117" t="s">
        <v>4245</v>
      </c>
      <c r="G2315" s="103" t="s">
        <v>400</v>
      </c>
      <c r="H2315" s="94" t="str">
        <f>IF(Proc[[#This Row],[type]]="LFF (MDG-F)",MID(Proc[[#This Row],[Obj]],13,10),"")</f>
        <v/>
      </c>
      <c r="J2315" s="94" t="b">
        <f>Proc[[#This Row],[Requested]]=Proc[[#This Row],[CurrentParent]]</f>
        <v>1</v>
      </c>
      <c r="K2315" s="144" t="str">
        <f>IF(Proc[[#This Row],[Author]]="Marcela Urrego",VLOOKUP(LEFT(Proc[[#This Row],[Requested]],1),Table3[#All],2,0),VLOOKUP(Proc[[#This Row],[Author]],Table4[],2,0))</f>
        <v>EL</v>
      </c>
      <c r="L2315" s="94" t="s">
        <v>2563</v>
      </c>
      <c r="M2315" s="105">
        <v>45825.476678240739</v>
      </c>
      <c r="N2315" s="105"/>
      <c r="O2315" s="105"/>
      <c r="P2315" s="106" t="str">
        <f ca="1">IF(Proc[[#This Row],[DaysAgeing]]&gt;5,"yep","on track")</f>
        <v>yep</v>
      </c>
      <c r="Q2315" s="3">
        <f ca="1">IF(Proc[[#This Row],[DateClosed]]="",ABS(NETWORKDAYS(Proc[[#This Row],[DateOpened]],TODAY()))-1,ABS(NETWORKDAYS(Proc[[#This Row],[DateOpened]],Proc[[#This Row],[DateClosed]]))-1)</f>
        <v>133</v>
      </c>
      <c r="R2315" s="106" t="s">
        <v>780</v>
      </c>
      <c r="S2315" s="94"/>
    </row>
    <row r="2316" spans="1:19" hidden="1">
      <c r="A2316" s="103" t="s">
        <v>4188</v>
      </c>
      <c r="B2316" s="149" t="str">
        <f>IFERROR(VLOOKUP(Proc[[#This Row],[App]],Table2[],3,0),"open")</f>
        <v>ok</v>
      </c>
      <c r="C2316" s="103" t="s">
        <v>369</v>
      </c>
      <c r="D2316" t="s">
        <v>4195</v>
      </c>
      <c r="E2316" t="s">
        <v>4245</v>
      </c>
      <c r="F2316" s="117" t="s">
        <v>4245</v>
      </c>
      <c r="G2316" s="103" t="s">
        <v>400</v>
      </c>
      <c r="H2316" s="94" t="str">
        <f>IF(Proc[[#This Row],[type]]="LFF (MDG-F)",MID(Proc[[#This Row],[Obj]],13,10),"")</f>
        <v/>
      </c>
      <c r="J2316" s="94" t="b">
        <f>Proc[[#This Row],[Requested]]=Proc[[#This Row],[CurrentParent]]</f>
        <v>1</v>
      </c>
      <c r="K2316" s="144" t="str">
        <f>IF(Proc[[#This Row],[Author]]="Marcela Urrego",VLOOKUP(LEFT(Proc[[#This Row],[Requested]],1),Table3[#All],2,0),VLOOKUP(Proc[[#This Row],[Author]],Table4[],2,0))</f>
        <v>EL</v>
      </c>
      <c r="L2316" s="94" t="s">
        <v>2563</v>
      </c>
      <c r="M2316" s="105">
        <v>45825.476678240739</v>
      </c>
      <c r="N2316" s="105"/>
      <c r="O2316" s="105"/>
      <c r="P2316" s="106" t="str">
        <f ca="1">IF(Proc[[#This Row],[DaysAgeing]]&gt;5,"yep","on track")</f>
        <v>yep</v>
      </c>
      <c r="Q2316" s="3">
        <f ca="1">IF(Proc[[#This Row],[DateClosed]]="",ABS(NETWORKDAYS(Proc[[#This Row],[DateOpened]],TODAY()))-1,ABS(NETWORKDAYS(Proc[[#This Row],[DateOpened]],Proc[[#This Row],[DateClosed]]))-1)</f>
        <v>133</v>
      </c>
      <c r="R2316" s="106" t="s">
        <v>780</v>
      </c>
      <c r="S2316" s="94"/>
    </row>
    <row r="2317" spans="1:19" hidden="1">
      <c r="A2317" s="103" t="s">
        <v>4188</v>
      </c>
      <c r="B2317" s="149" t="str">
        <f>IFERROR(VLOOKUP(Proc[[#This Row],[App]],Table2[],3,0),"open")</f>
        <v>ok</v>
      </c>
      <c r="C2317" s="103" t="s">
        <v>369</v>
      </c>
      <c r="D2317" t="s">
        <v>4196</v>
      </c>
      <c r="E2317" t="s">
        <v>4246</v>
      </c>
      <c r="F2317" s="117" t="s">
        <v>4246</v>
      </c>
      <c r="G2317" s="103" t="s">
        <v>400</v>
      </c>
      <c r="H2317" s="94" t="str">
        <f>IF(Proc[[#This Row],[type]]="LFF (MDG-F)",MID(Proc[[#This Row],[Obj]],13,10),"")</f>
        <v/>
      </c>
      <c r="J2317" s="94" t="b">
        <f>Proc[[#This Row],[Requested]]=Proc[[#This Row],[CurrentParent]]</f>
        <v>1</v>
      </c>
      <c r="K2317" s="144" t="str">
        <f>IF(Proc[[#This Row],[Author]]="Marcela Urrego",VLOOKUP(LEFT(Proc[[#This Row],[Requested]],1),Table3[#All],2,0),VLOOKUP(Proc[[#This Row],[Author]],Table4[],2,0))</f>
        <v>EL</v>
      </c>
      <c r="L2317" s="94" t="s">
        <v>2563</v>
      </c>
      <c r="M2317" s="105">
        <v>45825.476678240739</v>
      </c>
      <c r="N2317" s="105"/>
      <c r="O2317" s="105"/>
      <c r="P2317" s="106" t="str">
        <f ca="1">IF(Proc[[#This Row],[DaysAgeing]]&gt;5,"yep","on track")</f>
        <v>yep</v>
      </c>
      <c r="Q2317" s="3">
        <f ca="1">IF(Proc[[#This Row],[DateClosed]]="",ABS(NETWORKDAYS(Proc[[#This Row],[DateOpened]],TODAY()))-1,ABS(NETWORKDAYS(Proc[[#This Row],[DateOpened]],Proc[[#This Row],[DateClosed]]))-1)</f>
        <v>133</v>
      </c>
      <c r="R2317" s="106" t="s">
        <v>780</v>
      </c>
      <c r="S2317" s="94"/>
    </row>
    <row r="2318" spans="1:19" hidden="1">
      <c r="A2318" s="103" t="s">
        <v>4188</v>
      </c>
      <c r="B2318" s="149" t="str">
        <f>IFERROR(VLOOKUP(Proc[[#This Row],[App]],Table2[],3,0),"open")</f>
        <v>ok</v>
      </c>
      <c r="C2318" s="103" t="s">
        <v>369</v>
      </c>
      <c r="D2318" t="s">
        <v>4197</v>
      </c>
      <c r="E2318" t="s">
        <v>4246</v>
      </c>
      <c r="F2318" s="117" t="s">
        <v>4246</v>
      </c>
      <c r="G2318" s="103" t="s">
        <v>400</v>
      </c>
      <c r="H2318" s="94" t="str">
        <f>IF(Proc[[#This Row],[type]]="LFF (MDG-F)",MID(Proc[[#This Row],[Obj]],13,10),"")</f>
        <v/>
      </c>
      <c r="J2318" s="94" t="b">
        <f>Proc[[#This Row],[Requested]]=Proc[[#This Row],[CurrentParent]]</f>
        <v>1</v>
      </c>
      <c r="K2318" s="144" t="str">
        <f>IF(Proc[[#This Row],[Author]]="Marcela Urrego",VLOOKUP(LEFT(Proc[[#This Row],[Requested]],1),Table3[#All],2,0),VLOOKUP(Proc[[#This Row],[Author]],Table4[],2,0))</f>
        <v>EL</v>
      </c>
      <c r="L2318" s="94" t="s">
        <v>2563</v>
      </c>
      <c r="M2318" s="105">
        <v>45825.476678240739</v>
      </c>
      <c r="N2318" s="105"/>
      <c r="O2318" s="105"/>
      <c r="P2318" s="106" t="str">
        <f ca="1">IF(Proc[[#This Row],[DaysAgeing]]&gt;5,"yep","on track")</f>
        <v>yep</v>
      </c>
      <c r="Q2318" s="3">
        <f ca="1">IF(Proc[[#This Row],[DateClosed]]="",ABS(NETWORKDAYS(Proc[[#This Row],[DateOpened]],TODAY()))-1,ABS(NETWORKDAYS(Proc[[#This Row],[DateOpened]],Proc[[#This Row],[DateClosed]]))-1)</f>
        <v>133</v>
      </c>
      <c r="R2318" s="106" t="s">
        <v>780</v>
      </c>
      <c r="S2318" s="94"/>
    </row>
    <row r="2319" spans="1:19" hidden="1">
      <c r="A2319" s="103" t="s">
        <v>4188</v>
      </c>
      <c r="B2319" s="149" t="str">
        <f>IFERROR(VLOOKUP(Proc[[#This Row],[App]],Table2[],3,0),"open")</f>
        <v>ok</v>
      </c>
      <c r="C2319" s="103" t="s">
        <v>369</v>
      </c>
      <c r="D2319" t="s">
        <v>4198</v>
      </c>
      <c r="E2319" t="s">
        <v>4246</v>
      </c>
      <c r="F2319" s="117" t="s">
        <v>4246</v>
      </c>
      <c r="G2319" s="103" t="s">
        <v>400</v>
      </c>
      <c r="H2319" s="94" t="str">
        <f>IF(Proc[[#This Row],[type]]="LFF (MDG-F)",MID(Proc[[#This Row],[Obj]],13,10),"")</f>
        <v/>
      </c>
      <c r="J2319" s="94" t="b">
        <f>Proc[[#This Row],[Requested]]=Proc[[#This Row],[CurrentParent]]</f>
        <v>1</v>
      </c>
      <c r="K2319" s="144" t="str">
        <f>IF(Proc[[#This Row],[Author]]="Marcela Urrego",VLOOKUP(LEFT(Proc[[#This Row],[Requested]],1),Table3[#All],2,0),VLOOKUP(Proc[[#This Row],[Author]],Table4[],2,0))</f>
        <v>EL</v>
      </c>
      <c r="L2319" s="94" t="s">
        <v>2563</v>
      </c>
      <c r="M2319" s="105">
        <v>45825.476678240739</v>
      </c>
      <c r="N2319" s="105"/>
      <c r="O2319" s="105"/>
      <c r="P2319" s="106" t="str">
        <f ca="1">IF(Proc[[#This Row],[DaysAgeing]]&gt;5,"yep","on track")</f>
        <v>yep</v>
      </c>
      <c r="Q2319" s="3">
        <f ca="1">IF(Proc[[#This Row],[DateClosed]]="",ABS(NETWORKDAYS(Proc[[#This Row],[DateOpened]],TODAY()))-1,ABS(NETWORKDAYS(Proc[[#This Row],[DateOpened]],Proc[[#This Row],[DateClosed]]))-1)</f>
        <v>133</v>
      </c>
      <c r="R2319" s="106" t="s">
        <v>780</v>
      </c>
      <c r="S2319" s="94"/>
    </row>
    <row r="2320" spans="1:19" hidden="1">
      <c r="A2320" s="103" t="s">
        <v>4188</v>
      </c>
      <c r="B2320" s="149" t="str">
        <f>IFERROR(VLOOKUP(Proc[[#This Row],[App]],Table2[],3,0),"open")</f>
        <v>ok</v>
      </c>
      <c r="C2320" s="103" t="s">
        <v>369</v>
      </c>
      <c r="D2320" t="s">
        <v>4199</v>
      </c>
      <c r="E2320" t="s">
        <v>4246</v>
      </c>
      <c r="F2320" s="117" t="s">
        <v>4246</v>
      </c>
      <c r="G2320" s="103" t="s">
        <v>400</v>
      </c>
      <c r="H2320" s="94" t="str">
        <f>IF(Proc[[#This Row],[type]]="LFF (MDG-F)",MID(Proc[[#This Row],[Obj]],13,10),"")</f>
        <v/>
      </c>
      <c r="J2320" s="94" t="b">
        <f>Proc[[#This Row],[Requested]]=Proc[[#This Row],[CurrentParent]]</f>
        <v>1</v>
      </c>
      <c r="K2320" s="144" t="str">
        <f>IF(Proc[[#This Row],[Author]]="Marcela Urrego",VLOOKUP(LEFT(Proc[[#This Row],[Requested]],1),Table3[#All],2,0),VLOOKUP(Proc[[#This Row],[Author]],Table4[],2,0))</f>
        <v>EL</v>
      </c>
      <c r="L2320" s="94" t="s">
        <v>2563</v>
      </c>
      <c r="M2320" s="105">
        <v>45825.476678240739</v>
      </c>
      <c r="N2320" s="105"/>
      <c r="O2320" s="105"/>
      <c r="P2320" s="106" t="str">
        <f ca="1">IF(Proc[[#This Row],[DaysAgeing]]&gt;5,"yep","on track")</f>
        <v>yep</v>
      </c>
      <c r="Q2320" s="3">
        <f ca="1">IF(Proc[[#This Row],[DateClosed]]="",ABS(NETWORKDAYS(Proc[[#This Row],[DateOpened]],TODAY()))-1,ABS(NETWORKDAYS(Proc[[#This Row],[DateOpened]],Proc[[#This Row],[DateClosed]]))-1)</f>
        <v>133</v>
      </c>
      <c r="R2320" s="106" t="s">
        <v>780</v>
      </c>
      <c r="S2320" s="94"/>
    </row>
    <row r="2321" spans="1:19" hidden="1">
      <c r="A2321" s="103" t="s">
        <v>4188</v>
      </c>
      <c r="B2321" s="149" t="str">
        <f>IFERROR(VLOOKUP(Proc[[#This Row],[App]],Table2[],3,0),"open")</f>
        <v>ok</v>
      </c>
      <c r="C2321" s="103" t="s">
        <v>369</v>
      </c>
      <c r="D2321" t="s">
        <v>4200</v>
      </c>
      <c r="E2321" t="s">
        <v>4246</v>
      </c>
      <c r="F2321" s="117" t="s">
        <v>4246</v>
      </c>
      <c r="G2321" s="103" t="s">
        <v>400</v>
      </c>
      <c r="H2321" s="94" t="str">
        <f>IF(Proc[[#This Row],[type]]="LFF (MDG-F)",MID(Proc[[#This Row],[Obj]],13,10),"")</f>
        <v/>
      </c>
      <c r="J2321" s="94" t="b">
        <f>Proc[[#This Row],[Requested]]=Proc[[#This Row],[CurrentParent]]</f>
        <v>1</v>
      </c>
      <c r="K2321" s="144" t="str">
        <f>IF(Proc[[#This Row],[Author]]="Marcela Urrego",VLOOKUP(LEFT(Proc[[#This Row],[Requested]],1),Table3[#All],2,0),VLOOKUP(Proc[[#This Row],[Author]],Table4[],2,0))</f>
        <v>EL</v>
      </c>
      <c r="L2321" s="94" t="s">
        <v>2563</v>
      </c>
      <c r="M2321" s="105">
        <v>45825.476678240739</v>
      </c>
      <c r="N2321" s="105"/>
      <c r="O2321" s="105"/>
      <c r="P2321" s="106" t="str">
        <f ca="1">IF(Proc[[#This Row],[DaysAgeing]]&gt;5,"yep","on track")</f>
        <v>yep</v>
      </c>
      <c r="Q2321" s="3">
        <f ca="1">IF(Proc[[#This Row],[DateClosed]]="",ABS(NETWORKDAYS(Proc[[#This Row],[DateOpened]],TODAY()))-1,ABS(NETWORKDAYS(Proc[[#This Row],[DateOpened]],Proc[[#This Row],[DateClosed]]))-1)</f>
        <v>133</v>
      </c>
      <c r="R2321" s="106" t="s">
        <v>780</v>
      </c>
      <c r="S2321" s="94"/>
    </row>
    <row r="2322" spans="1:19" hidden="1">
      <c r="A2322" s="103" t="s">
        <v>4188</v>
      </c>
      <c r="B2322" s="149" t="str">
        <f>IFERROR(VLOOKUP(Proc[[#This Row],[App]],Table2[],3,0),"open")</f>
        <v>ok</v>
      </c>
      <c r="C2322" s="103" t="s">
        <v>369</v>
      </c>
      <c r="D2322" t="s">
        <v>4201</v>
      </c>
      <c r="E2322" t="s">
        <v>4246</v>
      </c>
      <c r="F2322" s="117" t="s">
        <v>4246</v>
      </c>
      <c r="G2322" s="103" t="s">
        <v>400</v>
      </c>
      <c r="H2322" s="94" t="str">
        <f>IF(Proc[[#This Row],[type]]="LFF (MDG-F)",MID(Proc[[#This Row],[Obj]],13,10),"")</f>
        <v/>
      </c>
      <c r="J2322" s="94" t="b">
        <f>Proc[[#This Row],[Requested]]=Proc[[#This Row],[CurrentParent]]</f>
        <v>1</v>
      </c>
      <c r="K2322" s="144" t="str">
        <f>IF(Proc[[#This Row],[Author]]="Marcela Urrego",VLOOKUP(LEFT(Proc[[#This Row],[Requested]],1),Table3[#All],2,0),VLOOKUP(Proc[[#This Row],[Author]],Table4[],2,0))</f>
        <v>EL</v>
      </c>
      <c r="L2322" s="94" t="s">
        <v>2563</v>
      </c>
      <c r="M2322" s="105">
        <v>45825.476678240739</v>
      </c>
      <c r="N2322" s="105"/>
      <c r="O2322" s="105"/>
      <c r="P2322" s="106" t="str">
        <f ca="1">IF(Proc[[#This Row],[DaysAgeing]]&gt;5,"yep","on track")</f>
        <v>yep</v>
      </c>
      <c r="Q2322" s="3">
        <f ca="1">IF(Proc[[#This Row],[DateClosed]]="",ABS(NETWORKDAYS(Proc[[#This Row],[DateOpened]],TODAY()))-1,ABS(NETWORKDAYS(Proc[[#This Row],[DateOpened]],Proc[[#This Row],[DateClosed]]))-1)</f>
        <v>133</v>
      </c>
      <c r="R2322" s="106" t="s">
        <v>780</v>
      </c>
      <c r="S2322" s="94"/>
    </row>
    <row r="2323" spans="1:19" hidden="1">
      <c r="A2323" s="103" t="s">
        <v>4188</v>
      </c>
      <c r="B2323" s="149" t="str">
        <f>IFERROR(VLOOKUP(Proc[[#This Row],[App]],Table2[],3,0),"open")</f>
        <v>ok</v>
      </c>
      <c r="C2323" s="103" t="s">
        <v>369</v>
      </c>
      <c r="D2323" t="s">
        <v>4202</v>
      </c>
      <c r="E2323" t="s">
        <v>4246</v>
      </c>
      <c r="F2323" s="117" t="s">
        <v>4246</v>
      </c>
      <c r="G2323" s="103" t="s">
        <v>400</v>
      </c>
      <c r="H2323" s="94" t="str">
        <f>IF(Proc[[#This Row],[type]]="LFF (MDG-F)",MID(Proc[[#This Row],[Obj]],13,10),"")</f>
        <v/>
      </c>
      <c r="J2323" s="94" t="b">
        <f>Proc[[#This Row],[Requested]]=Proc[[#This Row],[CurrentParent]]</f>
        <v>1</v>
      </c>
      <c r="K2323" s="144" t="str">
        <f>IF(Proc[[#This Row],[Author]]="Marcela Urrego",VLOOKUP(LEFT(Proc[[#This Row],[Requested]],1),Table3[#All],2,0),VLOOKUP(Proc[[#This Row],[Author]],Table4[],2,0))</f>
        <v>EL</v>
      </c>
      <c r="L2323" s="94" t="s">
        <v>2563</v>
      </c>
      <c r="M2323" s="105">
        <v>45825.476678240739</v>
      </c>
      <c r="N2323" s="105"/>
      <c r="O2323" s="105"/>
      <c r="P2323" s="106" t="str">
        <f ca="1">IF(Proc[[#This Row],[DaysAgeing]]&gt;5,"yep","on track")</f>
        <v>yep</v>
      </c>
      <c r="Q2323" s="3">
        <f ca="1">IF(Proc[[#This Row],[DateClosed]]="",ABS(NETWORKDAYS(Proc[[#This Row],[DateOpened]],TODAY()))-1,ABS(NETWORKDAYS(Proc[[#This Row],[DateOpened]],Proc[[#This Row],[DateClosed]]))-1)</f>
        <v>133</v>
      </c>
      <c r="R2323" s="106" t="s">
        <v>780</v>
      </c>
      <c r="S2323" s="94"/>
    </row>
    <row r="2324" spans="1:19" hidden="1">
      <c r="A2324" s="103" t="s">
        <v>4188</v>
      </c>
      <c r="B2324" s="149" t="str">
        <f>IFERROR(VLOOKUP(Proc[[#This Row],[App]],Table2[],3,0),"open")</f>
        <v>ok</v>
      </c>
      <c r="C2324" s="103" t="s">
        <v>369</v>
      </c>
      <c r="D2324" t="s">
        <v>4203</v>
      </c>
      <c r="E2324" t="s">
        <v>4246</v>
      </c>
      <c r="F2324" s="117" t="s">
        <v>4246</v>
      </c>
      <c r="G2324" s="103" t="s">
        <v>400</v>
      </c>
      <c r="H2324" s="94" t="str">
        <f>IF(Proc[[#This Row],[type]]="LFF (MDG-F)",MID(Proc[[#This Row],[Obj]],13,10),"")</f>
        <v/>
      </c>
      <c r="J2324" s="94" t="b">
        <f>Proc[[#This Row],[Requested]]=Proc[[#This Row],[CurrentParent]]</f>
        <v>1</v>
      </c>
      <c r="K2324" s="144" t="str">
        <f>IF(Proc[[#This Row],[Author]]="Marcela Urrego",VLOOKUP(LEFT(Proc[[#This Row],[Requested]],1),Table3[#All],2,0),VLOOKUP(Proc[[#This Row],[Author]],Table4[],2,0))</f>
        <v>EL</v>
      </c>
      <c r="L2324" s="94" t="s">
        <v>2563</v>
      </c>
      <c r="M2324" s="105">
        <v>45825.476678240739</v>
      </c>
      <c r="N2324" s="105"/>
      <c r="O2324" s="105"/>
      <c r="P2324" s="106" t="str">
        <f ca="1">IF(Proc[[#This Row],[DaysAgeing]]&gt;5,"yep","on track")</f>
        <v>yep</v>
      </c>
      <c r="Q2324" s="3">
        <f ca="1">IF(Proc[[#This Row],[DateClosed]]="",ABS(NETWORKDAYS(Proc[[#This Row],[DateOpened]],TODAY()))-1,ABS(NETWORKDAYS(Proc[[#This Row],[DateOpened]],Proc[[#This Row],[DateClosed]]))-1)</f>
        <v>133</v>
      </c>
      <c r="R2324" s="106" t="s">
        <v>780</v>
      </c>
      <c r="S2324" s="94"/>
    </row>
    <row r="2325" spans="1:19" hidden="1">
      <c r="A2325" s="103" t="s">
        <v>4188</v>
      </c>
      <c r="B2325" s="149" t="str">
        <f>IFERROR(VLOOKUP(Proc[[#This Row],[App]],Table2[],3,0),"open")</f>
        <v>ok</v>
      </c>
      <c r="C2325" s="103" t="s">
        <v>369</v>
      </c>
      <c r="D2325" t="s">
        <v>4204</v>
      </c>
      <c r="E2325" t="s">
        <v>4246</v>
      </c>
      <c r="F2325" s="117" t="s">
        <v>4246</v>
      </c>
      <c r="G2325" s="103" t="s">
        <v>400</v>
      </c>
      <c r="H2325" s="94" t="str">
        <f>IF(Proc[[#This Row],[type]]="LFF (MDG-F)",MID(Proc[[#This Row],[Obj]],13,10),"")</f>
        <v/>
      </c>
      <c r="J2325" s="94" t="b">
        <f>Proc[[#This Row],[Requested]]=Proc[[#This Row],[CurrentParent]]</f>
        <v>1</v>
      </c>
      <c r="K2325" s="144" t="str">
        <f>IF(Proc[[#This Row],[Author]]="Marcela Urrego",VLOOKUP(LEFT(Proc[[#This Row],[Requested]],1),Table3[#All],2,0),VLOOKUP(Proc[[#This Row],[Author]],Table4[],2,0))</f>
        <v>EL</v>
      </c>
      <c r="L2325" s="94" t="s">
        <v>2563</v>
      </c>
      <c r="M2325" s="105">
        <v>45825.476678240739</v>
      </c>
      <c r="N2325" s="105"/>
      <c r="O2325" s="105"/>
      <c r="P2325" s="106" t="str">
        <f ca="1">IF(Proc[[#This Row],[DaysAgeing]]&gt;5,"yep","on track")</f>
        <v>yep</v>
      </c>
      <c r="Q2325" s="3">
        <f ca="1">IF(Proc[[#This Row],[DateClosed]]="",ABS(NETWORKDAYS(Proc[[#This Row],[DateOpened]],TODAY()))-1,ABS(NETWORKDAYS(Proc[[#This Row],[DateOpened]],Proc[[#This Row],[DateClosed]]))-1)</f>
        <v>133</v>
      </c>
      <c r="R2325" s="106" t="s">
        <v>780</v>
      </c>
      <c r="S2325" s="94"/>
    </row>
    <row r="2326" spans="1:19" hidden="1">
      <c r="A2326" s="103" t="s">
        <v>4188</v>
      </c>
      <c r="B2326" s="149" t="str">
        <f>IFERROR(VLOOKUP(Proc[[#This Row],[App]],Table2[],3,0),"open")</f>
        <v>ok</v>
      </c>
      <c r="C2326" s="103" t="s">
        <v>369</v>
      </c>
      <c r="D2326" t="s">
        <v>4205</v>
      </c>
      <c r="E2326" t="s">
        <v>4246</v>
      </c>
      <c r="F2326" s="117" t="s">
        <v>4246</v>
      </c>
      <c r="G2326" s="103" t="s">
        <v>400</v>
      </c>
      <c r="H2326" s="94" t="str">
        <f>IF(Proc[[#This Row],[type]]="LFF (MDG-F)",MID(Proc[[#This Row],[Obj]],13,10),"")</f>
        <v/>
      </c>
      <c r="J2326" s="94" t="b">
        <f>Proc[[#This Row],[Requested]]=Proc[[#This Row],[CurrentParent]]</f>
        <v>1</v>
      </c>
      <c r="K2326" s="144" t="str">
        <f>IF(Proc[[#This Row],[Author]]="Marcela Urrego",VLOOKUP(LEFT(Proc[[#This Row],[Requested]],1),Table3[#All],2,0),VLOOKUP(Proc[[#This Row],[Author]],Table4[],2,0))</f>
        <v>EL</v>
      </c>
      <c r="L2326" s="94" t="s">
        <v>2563</v>
      </c>
      <c r="M2326" s="105">
        <v>45825.476678240739</v>
      </c>
      <c r="N2326" s="105"/>
      <c r="O2326" s="105"/>
      <c r="P2326" s="106" t="str">
        <f ca="1">IF(Proc[[#This Row],[DaysAgeing]]&gt;5,"yep","on track")</f>
        <v>yep</v>
      </c>
      <c r="Q2326" s="3">
        <f ca="1">IF(Proc[[#This Row],[DateClosed]]="",ABS(NETWORKDAYS(Proc[[#This Row],[DateOpened]],TODAY()))-1,ABS(NETWORKDAYS(Proc[[#This Row],[DateOpened]],Proc[[#This Row],[DateClosed]]))-1)</f>
        <v>133</v>
      </c>
      <c r="R2326" s="106" t="s">
        <v>780</v>
      </c>
      <c r="S2326" s="94"/>
    </row>
    <row r="2327" spans="1:19" hidden="1">
      <c r="A2327" s="103" t="s">
        <v>4188</v>
      </c>
      <c r="B2327" s="149" t="str">
        <f>IFERROR(VLOOKUP(Proc[[#This Row],[App]],Table2[],3,0),"open")</f>
        <v>ok</v>
      </c>
      <c r="C2327" s="103" t="s">
        <v>369</v>
      </c>
      <c r="D2327" t="s">
        <v>4206</v>
      </c>
      <c r="E2327" t="s">
        <v>4246</v>
      </c>
      <c r="F2327" s="117" t="s">
        <v>4246</v>
      </c>
      <c r="G2327" s="103" t="s">
        <v>400</v>
      </c>
      <c r="H2327" s="94" t="str">
        <f>IF(Proc[[#This Row],[type]]="LFF (MDG-F)",MID(Proc[[#This Row],[Obj]],13,10),"")</f>
        <v/>
      </c>
      <c r="J2327" s="94" t="b">
        <f>Proc[[#This Row],[Requested]]=Proc[[#This Row],[CurrentParent]]</f>
        <v>1</v>
      </c>
      <c r="K2327" s="144" t="str">
        <f>IF(Proc[[#This Row],[Author]]="Marcela Urrego",VLOOKUP(LEFT(Proc[[#This Row],[Requested]],1),Table3[#All],2,0),VLOOKUP(Proc[[#This Row],[Author]],Table4[],2,0))</f>
        <v>EL</v>
      </c>
      <c r="L2327" s="94" t="s">
        <v>2563</v>
      </c>
      <c r="M2327" s="105">
        <v>45825.476678240739</v>
      </c>
      <c r="N2327" s="105"/>
      <c r="O2327" s="105"/>
      <c r="P2327" s="106" t="str">
        <f ca="1">IF(Proc[[#This Row],[DaysAgeing]]&gt;5,"yep","on track")</f>
        <v>yep</v>
      </c>
      <c r="Q2327" s="3">
        <f ca="1">IF(Proc[[#This Row],[DateClosed]]="",ABS(NETWORKDAYS(Proc[[#This Row],[DateOpened]],TODAY()))-1,ABS(NETWORKDAYS(Proc[[#This Row],[DateOpened]],Proc[[#This Row],[DateClosed]]))-1)</f>
        <v>133</v>
      </c>
      <c r="R2327" s="106" t="s">
        <v>780</v>
      </c>
      <c r="S2327" s="94"/>
    </row>
    <row r="2328" spans="1:19" hidden="1">
      <c r="A2328" s="103" t="s">
        <v>4188</v>
      </c>
      <c r="B2328" s="149" t="str">
        <f>IFERROR(VLOOKUP(Proc[[#This Row],[App]],Table2[],3,0),"open")</f>
        <v>ok</v>
      </c>
      <c r="C2328" s="103" t="s">
        <v>369</v>
      </c>
      <c r="D2328" t="s">
        <v>4207</v>
      </c>
      <c r="E2328" t="s">
        <v>4246</v>
      </c>
      <c r="F2328" s="117" t="s">
        <v>4246</v>
      </c>
      <c r="G2328" s="103" t="s">
        <v>400</v>
      </c>
      <c r="H2328" s="94" t="str">
        <f>IF(Proc[[#This Row],[type]]="LFF (MDG-F)",MID(Proc[[#This Row],[Obj]],13,10),"")</f>
        <v/>
      </c>
      <c r="J2328" s="94" t="b">
        <f>Proc[[#This Row],[Requested]]=Proc[[#This Row],[CurrentParent]]</f>
        <v>1</v>
      </c>
      <c r="K2328" s="144" t="str">
        <f>IF(Proc[[#This Row],[Author]]="Marcela Urrego",VLOOKUP(LEFT(Proc[[#This Row],[Requested]],1),Table3[#All],2,0),VLOOKUP(Proc[[#This Row],[Author]],Table4[],2,0))</f>
        <v>EL</v>
      </c>
      <c r="L2328" s="94" t="s">
        <v>2563</v>
      </c>
      <c r="M2328" s="105">
        <v>45825.476678240739</v>
      </c>
      <c r="N2328" s="105"/>
      <c r="O2328" s="105"/>
      <c r="P2328" s="106" t="str">
        <f ca="1">IF(Proc[[#This Row],[DaysAgeing]]&gt;5,"yep","on track")</f>
        <v>yep</v>
      </c>
      <c r="Q2328" s="3">
        <f ca="1">IF(Proc[[#This Row],[DateClosed]]="",ABS(NETWORKDAYS(Proc[[#This Row],[DateOpened]],TODAY()))-1,ABS(NETWORKDAYS(Proc[[#This Row],[DateOpened]],Proc[[#This Row],[DateClosed]]))-1)</f>
        <v>133</v>
      </c>
      <c r="R2328" s="106" t="s">
        <v>780</v>
      </c>
      <c r="S2328" s="94"/>
    </row>
    <row r="2329" spans="1:19" hidden="1">
      <c r="A2329" s="103" t="s">
        <v>4188</v>
      </c>
      <c r="B2329" s="149" t="str">
        <f>IFERROR(VLOOKUP(Proc[[#This Row],[App]],Table2[],3,0),"open")</f>
        <v>ok</v>
      </c>
      <c r="C2329" s="103" t="s">
        <v>369</v>
      </c>
      <c r="D2329" t="s">
        <v>4208</v>
      </c>
      <c r="E2329" t="s">
        <v>4246</v>
      </c>
      <c r="F2329" s="117" t="s">
        <v>4246</v>
      </c>
      <c r="G2329" s="103" t="s">
        <v>400</v>
      </c>
      <c r="H2329" s="94" t="str">
        <f>IF(Proc[[#This Row],[type]]="LFF (MDG-F)",MID(Proc[[#This Row],[Obj]],13,10),"")</f>
        <v/>
      </c>
      <c r="J2329" s="94" t="b">
        <f>Proc[[#This Row],[Requested]]=Proc[[#This Row],[CurrentParent]]</f>
        <v>1</v>
      </c>
      <c r="K2329" s="144" t="str">
        <f>IF(Proc[[#This Row],[Author]]="Marcela Urrego",VLOOKUP(LEFT(Proc[[#This Row],[Requested]],1),Table3[#All],2,0),VLOOKUP(Proc[[#This Row],[Author]],Table4[],2,0))</f>
        <v>EL</v>
      </c>
      <c r="L2329" s="94" t="s">
        <v>2563</v>
      </c>
      <c r="M2329" s="105">
        <v>45825.476678240739</v>
      </c>
      <c r="N2329" s="105"/>
      <c r="O2329" s="105"/>
      <c r="P2329" s="106" t="str">
        <f ca="1">IF(Proc[[#This Row],[DaysAgeing]]&gt;5,"yep","on track")</f>
        <v>yep</v>
      </c>
      <c r="Q2329" s="3">
        <f ca="1">IF(Proc[[#This Row],[DateClosed]]="",ABS(NETWORKDAYS(Proc[[#This Row],[DateOpened]],TODAY()))-1,ABS(NETWORKDAYS(Proc[[#This Row],[DateOpened]],Proc[[#This Row],[DateClosed]]))-1)</f>
        <v>133</v>
      </c>
      <c r="R2329" s="106" t="s">
        <v>780</v>
      </c>
      <c r="S2329" s="94"/>
    </row>
    <row r="2330" spans="1:19" hidden="1">
      <c r="A2330" s="103" t="s">
        <v>4188</v>
      </c>
      <c r="B2330" s="149" t="str">
        <f>IFERROR(VLOOKUP(Proc[[#This Row],[App]],Table2[],3,0),"open")</f>
        <v>ok</v>
      </c>
      <c r="C2330" s="103" t="s">
        <v>369</v>
      </c>
      <c r="D2330" t="s">
        <v>4209</v>
      </c>
      <c r="E2330" t="s">
        <v>4246</v>
      </c>
      <c r="F2330" s="117" t="s">
        <v>4246</v>
      </c>
      <c r="G2330" s="103" t="s">
        <v>400</v>
      </c>
      <c r="H2330" s="94" t="str">
        <f>IF(Proc[[#This Row],[type]]="LFF (MDG-F)",MID(Proc[[#This Row],[Obj]],13,10),"")</f>
        <v/>
      </c>
      <c r="J2330" s="94" t="b">
        <f>Proc[[#This Row],[Requested]]=Proc[[#This Row],[CurrentParent]]</f>
        <v>1</v>
      </c>
      <c r="K2330" s="144" t="str">
        <f>IF(Proc[[#This Row],[Author]]="Marcela Urrego",VLOOKUP(LEFT(Proc[[#This Row],[Requested]],1),Table3[#All],2,0),VLOOKUP(Proc[[#This Row],[Author]],Table4[],2,0))</f>
        <v>EL</v>
      </c>
      <c r="L2330" s="94" t="s">
        <v>2563</v>
      </c>
      <c r="M2330" s="105">
        <v>45825.476678240739</v>
      </c>
      <c r="N2330" s="105"/>
      <c r="O2330" s="105"/>
      <c r="P2330" s="106" t="str">
        <f ca="1">IF(Proc[[#This Row],[DaysAgeing]]&gt;5,"yep","on track")</f>
        <v>yep</v>
      </c>
      <c r="Q2330" s="3">
        <f ca="1">IF(Proc[[#This Row],[DateClosed]]="",ABS(NETWORKDAYS(Proc[[#This Row],[DateOpened]],TODAY()))-1,ABS(NETWORKDAYS(Proc[[#This Row],[DateOpened]],Proc[[#This Row],[DateClosed]]))-1)</f>
        <v>133</v>
      </c>
      <c r="R2330" s="106" t="s">
        <v>780</v>
      </c>
      <c r="S2330" s="94"/>
    </row>
    <row r="2331" spans="1:19" hidden="1">
      <c r="A2331" s="103" t="s">
        <v>4188</v>
      </c>
      <c r="B2331" s="149" t="str">
        <f>IFERROR(VLOOKUP(Proc[[#This Row],[App]],Table2[],3,0),"open")</f>
        <v>ok</v>
      </c>
      <c r="C2331" s="103" t="s">
        <v>369</v>
      </c>
      <c r="D2331" t="s">
        <v>4210</v>
      </c>
      <c r="E2331" t="s">
        <v>4246</v>
      </c>
      <c r="F2331" s="117" t="s">
        <v>4246</v>
      </c>
      <c r="G2331" s="103" t="s">
        <v>400</v>
      </c>
      <c r="H2331" s="94" t="str">
        <f>IF(Proc[[#This Row],[type]]="LFF (MDG-F)",MID(Proc[[#This Row],[Obj]],13,10),"")</f>
        <v/>
      </c>
      <c r="J2331" s="94" t="b">
        <f>Proc[[#This Row],[Requested]]=Proc[[#This Row],[CurrentParent]]</f>
        <v>1</v>
      </c>
      <c r="K2331" s="144" t="str">
        <f>IF(Proc[[#This Row],[Author]]="Marcela Urrego",VLOOKUP(LEFT(Proc[[#This Row],[Requested]],1),Table3[#All],2,0),VLOOKUP(Proc[[#This Row],[Author]],Table4[],2,0))</f>
        <v>EL</v>
      </c>
      <c r="L2331" s="94" t="s">
        <v>2563</v>
      </c>
      <c r="M2331" s="105">
        <v>45825.476678240739</v>
      </c>
      <c r="N2331" s="105"/>
      <c r="O2331" s="105"/>
      <c r="P2331" s="106" t="str">
        <f ca="1">IF(Proc[[#This Row],[DaysAgeing]]&gt;5,"yep","on track")</f>
        <v>yep</v>
      </c>
      <c r="Q2331" s="3">
        <f ca="1">IF(Proc[[#This Row],[DateClosed]]="",ABS(NETWORKDAYS(Proc[[#This Row],[DateOpened]],TODAY()))-1,ABS(NETWORKDAYS(Proc[[#This Row],[DateOpened]],Proc[[#This Row],[DateClosed]]))-1)</f>
        <v>133</v>
      </c>
      <c r="R2331" s="106" t="s">
        <v>780</v>
      </c>
      <c r="S2331" s="94"/>
    </row>
    <row r="2332" spans="1:19" hidden="1">
      <c r="A2332" s="103" t="s">
        <v>4188</v>
      </c>
      <c r="B2332" s="149" t="str">
        <f>IFERROR(VLOOKUP(Proc[[#This Row],[App]],Table2[],3,0),"open")</f>
        <v>ok</v>
      </c>
      <c r="C2332" s="103" t="s">
        <v>369</v>
      </c>
      <c r="D2332" t="s">
        <v>4211</v>
      </c>
      <c r="E2332" t="s">
        <v>4246</v>
      </c>
      <c r="F2332" s="117" t="s">
        <v>4246</v>
      </c>
      <c r="G2332" s="103" t="s">
        <v>400</v>
      </c>
      <c r="H2332" s="94" t="str">
        <f>IF(Proc[[#This Row],[type]]="LFF (MDG-F)",MID(Proc[[#This Row],[Obj]],13,10),"")</f>
        <v/>
      </c>
      <c r="J2332" s="94" t="b">
        <f>Proc[[#This Row],[Requested]]=Proc[[#This Row],[CurrentParent]]</f>
        <v>1</v>
      </c>
      <c r="K2332" s="144" t="str">
        <f>IF(Proc[[#This Row],[Author]]="Marcela Urrego",VLOOKUP(LEFT(Proc[[#This Row],[Requested]],1),Table3[#All],2,0),VLOOKUP(Proc[[#This Row],[Author]],Table4[],2,0))</f>
        <v>EL</v>
      </c>
      <c r="L2332" s="94" t="s">
        <v>2563</v>
      </c>
      <c r="M2332" s="105">
        <v>45825.476678240739</v>
      </c>
      <c r="N2332" s="105"/>
      <c r="O2332" s="105"/>
      <c r="P2332" s="106" t="str">
        <f ca="1">IF(Proc[[#This Row],[DaysAgeing]]&gt;5,"yep","on track")</f>
        <v>yep</v>
      </c>
      <c r="Q2332" s="3">
        <f ca="1">IF(Proc[[#This Row],[DateClosed]]="",ABS(NETWORKDAYS(Proc[[#This Row],[DateOpened]],TODAY()))-1,ABS(NETWORKDAYS(Proc[[#This Row],[DateOpened]],Proc[[#This Row],[DateClosed]]))-1)</f>
        <v>133</v>
      </c>
      <c r="R2332" s="106" t="s">
        <v>780</v>
      </c>
      <c r="S2332" s="94"/>
    </row>
    <row r="2333" spans="1:19" hidden="1">
      <c r="A2333" s="103" t="s">
        <v>4188</v>
      </c>
      <c r="B2333" s="149" t="str">
        <f>IFERROR(VLOOKUP(Proc[[#This Row],[App]],Table2[],3,0),"open")</f>
        <v>ok</v>
      </c>
      <c r="C2333" s="103" t="s">
        <v>369</v>
      </c>
      <c r="D2333" t="s">
        <v>4212</v>
      </c>
      <c r="E2333" t="s">
        <v>4246</v>
      </c>
      <c r="F2333" s="117" t="s">
        <v>4246</v>
      </c>
      <c r="G2333" s="103" t="s">
        <v>400</v>
      </c>
      <c r="H2333" s="94" t="str">
        <f>IF(Proc[[#This Row],[type]]="LFF (MDG-F)",MID(Proc[[#This Row],[Obj]],13,10),"")</f>
        <v/>
      </c>
      <c r="J2333" s="94" t="b">
        <f>Proc[[#This Row],[Requested]]=Proc[[#This Row],[CurrentParent]]</f>
        <v>1</v>
      </c>
      <c r="K2333" s="144" t="str">
        <f>IF(Proc[[#This Row],[Author]]="Marcela Urrego",VLOOKUP(LEFT(Proc[[#This Row],[Requested]],1),Table3[#All],2,0),VLOOKUP(Proc[[#This Row],[Author]],Table4[],2,0))</f>
        <v>EL</v>
      </c>
      <c r="L2333" s="94" t="s">
        <v>2563</v>
      </c>
      <c r="M2333" s="105">
        <v>45825.476678240739</v>
      </c>
      <c r="N2333" s="105"/>
      <c r="O2333" s="105"/>
      <c r="P2333" s="106" t="str">
        <f ca="1">IF(Proc[[#This Row],[DaysAgeing]]&gt;5,"yep","on track")</f>
        <v>yep</v>
      </c>
      <c r="Q2333" s="3">
        <f ca="1">IF(Proc[[#This Row],[DateClosed]]="",ABS(NETWORKDAYS(Proc[[#This Row],[DateOpened]],TODAY()))-1,ABS(NETWORKDAYS(Proc[[#This Row],[DateOpened]],Proc[[#This Row],[DateClosed]]))-1)</f>
        <v>133</v>
      </c>
      <c r="R2333" s="106" t="s">
        <v>780</v>
      </c>
      <c r="S2333" s="94"/>
    </row>
    <row r="2334" spans="1:19" hidden="1">
      <c r="A2334" s="103" t="s">
        <v>4188</v>
      </c>
      <c r="B2334" s="149" t="str">
        <f>IFERROR(VLOOKUP(Proc[[#This Row],[App]],Table2[],3,0),"open")</f>
        <v>ok</v>
      </c>
      <c r="C2334" s="103" t="s">
        <v>369</v>
      </c>
      <c r="D2334" t="s">
        <v>4213</v>
      </c>
      <c r="E2334" t="s">
        <v>4246</v>
      </c>
      <c r="F2334" s="117" t="s">
        <v>4246</v>
      </c>
      <c r="G2334" s="103" t="s">
        <v>400</v>
      </c>
      <c r="H2334" s="94" t="str">
        <f>IF(Proc[[#This Row],[type]]="LFF (MDG-F)",MID(Proc[[#This Row],[Obj]],13,10),"")</f>
        <v/>
      </c>
      <c r="J2334" s="94" t="b">
        <f>Proc[[#This Row],[Requested]]=Proc[[#This Row],[CurrentParent]]</f>
        <v>1</v>
      </c>
      <c r="K2334" s="144" t="str">
        <f>IF(Proc[[#This Row],[Author]]="Marcela Urrego",VLOOKUP(LEFT(Proc[[#This Row],[Requested]],1),Table3[#All],2,0),VLOOKUP(Proc[[#This Row],[Author]],Table4[],2,0))</f>
        <v>EL</v>
      </c>
      <c r="L2334" s="94" t="s">
        <v>2563</v>
      </c>
      <c r="M2334" s="105">
        <v>45825.476678240739</v>
      </c>
      <c r="N2334" s="105"/>
      <c r="O2334" s="105"/>
      <c r="P2334" s="106" t="str">
        <f ca="1">IF(Proc[[#This Row],[DaysAgeing]]&gt;5,"yep","on track")</f>
        <v>yep</v>
      </c>
      <c r="Q2334" s="3">
        <f ca="1">IF(Proc[[#This Row],[DateClosed]]="",ABS(NETWORKDAYS(Proc[[#This Row],[DateOpened]],TODAY()))-1,ABS(NETWORKDAYS(Proc[[#This Row],[DateOpened]],Proc[[#This Row],[DateClosed]]))-1)</f>
        <v>133</v>
      </c>
      <c r="R2334" s="106" t="s">
        <v>780</v>
      </c>
      <c r="S2334" s="94"/>
    </row>
    <row r="2335" spans="1:19" hidden="1">
      <c r="A2335" s="103" t="s">
        <v>4188</v>
      </c>
      <c r="B2335" s="149" t="str">
        <f>IFERROR(VLOOKUP(Proc[[#This Row],[App]],Table2[],3,0),"open")</f>
        <v>ok</v>
      </c>
      <c r="C2335" s="103" t="s">
        <v>369</v>
      </c>
      <c r="D2335" t="s">
        <v>4214</v>
      </c>
      <c r="E2335" t="s">
        <v>4245</v>
      </c>
      <c r="F2335" s="117" t="s">
        <v>4245</v>
      </c>
      <c r="G2335" s="103" t="s">
        <v>400</v>
      </c>
      <c r="H2335" s="94" t="str">
        <f>IF(Proc[[#This Row],[type]]="LFF (MDG-F)",MID(Proc[[#This Row],[Obj]],13,10),"")</f>
        <v/>
      </c>
      <c r="J2335" s="94" t="b">
        <f>Proc[[#This Row],[Requested]]=Proc[[#This Row],[CurrentParent]]</f>
        <v>1</v>
      </c>
      <c r="K2335" s="144" t="str">
        <f>IF(Proc[[#This Row],[Author]]="Marcela Urrego",VLOOKUP(LEFT(Proc[[#This Row],[Requested]],1),Table3[#All],2,0),VLOOKUP(Proc[[#This Row],[Author]],Table4[],2,0))</f>
        <v>EL</v>
      </c>
      <c r="L2335" s="94" t="s">
        <v>2563</v>
      </c>
      <c r="M2335" s="105">
        <v>45825.476678240739</v>
      </c>
      <c r="N2335" s="105"/>
      <c r="O2335" s="105"/>
      <c r="P2335" s="106" t="str">
        <f ca="1">IF(Proc[[#This Row],[DaysAgeing]]&gt;5,"yep","on track")</f>
        <v>yep</v>
      </c>
      <c r="Q2335" s="3">
        <f ca="1">IF(Proc[[#This Row],[DateClosed]]="",ABS(NETWORKDAYS(Proc[[#This Row],[DateOpened]],TODAY()))-1,ABS(NETWORKDAYS(Proc[[#This Row],[DateOpened]],Proc[[#This Row],[DateClosed]]))-1)</f>
        <v>133</v>
      </c>
      <c r="R2335" s="106" t="s">
        <v>780</v>
      </c>
      <c r="S2335" s="94"/>
    </row>
    <row r="2336" spans="1:19" hidden="1">
      <c r="A2336" s="103" t="s">
        <v>4188</v>
      </c>
      <c r="B2336" s="149" t="str">
        <f>IFERROR(VLOOKUP(Proc[[#This Row],[App]],Table2[],3,0),"open")</f>
        <v>ok</v>
      </c>
      <c r="C2336" s="103" t="s">
        <v>369</v>
      </c>
      <c r="D2336" t="s">
        <v>4215</v>
      </c>
      <c r="E2336" t="s">
        <v>4245</v>
      </c>
      <c r="F2336" s="117" t="s">
        <v>4245</v>
      </c>
      <c r="G2336" s="103" t="s">
        <v>400</v>
      </c>
      <c r="H2336" s="94" t="str">
        <f>IF(Proc[[#This Row],[type]]="LFF (MDG-F)",MID(Proc[[#This Row],[Obj]],13,10),"")</f>
        <v/>
      </c>
      <c r="J2336" s="94" t="b">
        <f>Proc[[#This Row],[Requested]]=Proc[[#This Row],[CurrentParent]]</f>
        <v>1</v>
      </c>
      <c r="K2336" s="144" t="str">
        <f>IF(Proc[[#This Row],[Author]]="Marcela Urrego",VLOOKUP(LEFT(Proc[[#This Row],[Requested]],1),Table3[#All],2,0),VLOOKUP(Proc[[#This Row],[Author]],Table4[],2,0))</f>
        <v>EL</v>
      </c>
      <c r="L2336" s="94" t="s">
        <v>2563</v>
      </c>
      <c r="M2336" s="105">
        <v>45825.476678240739</v>
      </c>
      <c r="N2336" s="105"/>
      <c r="O2336" s="105"/>
      <c r="P2336" s="106" t="str">
        <f ca="1">IF(Proc[[#This Row],[DaysAgeing]]&gt;5,"yep","on track")</f>
        <v>yep</v>
      </c>
      <c r="Q2336" s="3">
        <f ca="1">IF(Proc[[#This Row],[DateClosed]]="",ABS(NETWORKDAYS(Proc[[#This Row],[DateOpened]],TODAY()))-1,ABS(NETWORKDAYS(Proc[[#This Row],[DateOpened]],Proc[[#This Row],[DateClosed]]))-1)</f>
        <v>133</v>
      </c>
      <c r="R2336" s="106" t="s">
        <v>780</v>
      </c>
      <c r="S2336" s="94"/>
    </row>
    <row r="2337" spans="1:19" hidden="1">
      <c r="A2337" s="103" t="s">
        <v>4188</v>
      </c>
      <c r="B2337" s="149" t="str">
        <f>IFERROR(VLOOKUP(Proc[[#This Row],[App]],Table2[],3,0),"open")</f>
        <v>ok</v>
      </c>
      <c r="C2337" s="103" t="s">
        <v>369</v>
      </c>
      <c r="D2337" t="s">
        <v>4216</v>
      </c>
      <c r="E2337" t="s">
        <v>4245</v>
      </c>
      <c r="F2337" s="117" t="s">
        <v>4245</v>
      </c>
      <c r="G2337" s="103" t="s">
        <v>400</v>
      </c>
      <c r="H2337" s="94" t="str">
        <f>IF(Proc[[#This Row],[type]]="LFF (MDG-F)",MID(Proc[[#This Row],[Obj]],13,10),"")</f>
        <v/>
      </c>
      <c r="J2337" s="94" t="b">
        <f>Proc[[#This Row],[Requested]]=Proc[[#This Row],[CurrentParent]]</f>
        <v>1</v>
      </c>
      <c r="K2337" s="144" t="str">
        <f>IF(Proc[[#This Row],[Author]]="Marcela Urrego",VLOOKUP(LEFT(Proc[[#This Row],[Requested]],1),Table3[#All],2,0),VLOOKUP(Proc[[#This Row],[Author]],Table4[],2,0))</f>
        <v>EL</v>
      </c>
      <c r="L2337" s="94" t="s">
        <v>2563</v>
      </c>
      <c r="M2337" s="105">
        <v>45825.476678240739</v>
      </c>
      <c r="N2337" s="105"/>
      <c r="O2337" s="105"/>
      <c r="P2337" s="106" t="str">
        <f ca="1">IF(Proc[[#This Row],[DaysAgeing]]&gt;5,"yep","on track")</f>
        <v>yep</v>
      </c>
      <c r="Q2337" s="3">
        <f ca="1">IF(Proc[[#This Row],[DateClosed]]="",ABS(NETWORKDAYS(Proc[[#This Row],[DateOpened]],TODAY()))-1,ABS(NETWORKDAYS(Proc[[#This Row],[DateOpened]],Proc[[#This Row],[DateClosed]]))-1)</f>
        <v>133</v>
      </c>
      <c r="R2337" s="106" t="s">
        <v>780</v>
      </c>
      <c r="S2337" s="94"/>
    </row>
    <row r="2338" spans="1:19" hidden="1">
      <c r="A2338" s="103" t="s">
        <v>4188</v>
      </c>
      <c r="B2338" s="149" t="str">
        <f>IFERROR(VLOOKUP(Proc[[#This Row],[App]],Table2[],3,0),"open")</f>
        <v>ok</v>
      </c>
      <c r="C2338" s="103" t="s">
        <v>369</v>
      </c>
      <c r="D2338" t="s">
        <v>4217</v>
      </c>
      <c r="E2338" t="s">
        <v>4245</v>
      </c>
      <c r="F2338" s="117" t="s">
        <v>4245</v>
      </c>
      <c r="G2338" s="103" t="s">
        <v>400</v>
      </c>
      <c r="H2338" s="94" t="str">
        <f>IF(Proc[[#This Row],[type]]="LFF (MDG-F)",MID(Proc[[#This Row],[Obj]],13,10),"")</f>
        <v/>
      </c>
      <c r="J2338" s="94" t="b">
        <f>Proc[[#This Row],[Requested]]=Proc[[#This Row],[CurrentParent]]</f>
        <v>1</v>
      </c>
      <c r="K2338" s="144" t="str">
        <f>IF(Proc[[#This Row],[Author]]="Marcela Urrego",VLOOKUP(LEFT(Proc[[#This Row],[Requested]],1),Table3[#All],2,0),VLOOKUP(Proc[[#This Row],[Author]],Table4[],2,0))</f>
        <v>EL</v>
      </c>
      <c r="L2338" s="94" t="s">
        <v>2563</v>
      </c>
      <c r="M2338" s="105">
        <v>45825.476678240739</v>
      </c>
      <c r="N2338" s="105"/>
      <c r="O2338" s="105"/>
      <c r="P2338" s="106" t="str">
        <f ca="1">IF(Proc[[#This Row],[DaysAgeing]]&gt;5,"yep","on track")</f>
        <v>yep</v>
      </c>
      <c r="Q2338" s="3">
        <f ca="1">IF(Proc[[#This Row],[DateClosed]]="",ABS(NETWORKDAYS(Proc[[#This Row],[DateOpened]],TODAY()))-1,ABS(NETWORKDAYS(Proc[[#This Row],[DateOpened]],Proc[[#This Row],[DateClosed]]))-1)</f>
        <v>133</v>
      </c>
      <c r="R2338" s="106" t="s">
        <v>780</v>
      </c>
      <c r="S2338" s="94"/>
    </row>
    <row r="2339" spans="1:19" hidden="1">
      <c r="A2339" s="103" t="s">
        <v>4188</v>
      </c>
      <c r="B2339" s="149" t="str">
        <f>IFERROR(VLOOKUP(Proc[[#This Row],[App]],Table2[],3,0),"open")</f>
        <v>ok</v>
      </c>
      <c r="C2339" s="103" t="s">
        <v>369</v>
      </c>
      <c r="D2339" t="s">
        <v>4218</v>
      </c>
      <c r="E2339" t="s">
        <v>4245</v>
      </c>
      <c r="F2339" s="117" t="s">
        <v>4245</v>
      </c>
      <c r="G2339" s="103" t="s">
        <v>400</v>
      </c>
      <c r="H2339" s="94" t="str">
        <f>IF(Proc[[#This Row],[type]]="LFF (MDG-F)",MID(Proc[[#This Row],[Obj]],13,10),"")</f>
        <v/>
      </c>
      <c r="J2339" s="94" t="b">
        <f>Proc[[#This Row],[Requested]]=Proc[[#This Row],[CurrentParent]]</f>
        <v>1</v>
      </c>
      <c r="K2339" s="144" t="str">
        <f>IF(Proc[[#This Row],[Author]]="Marcela Urrego",VLOOKUP(LEFT(Proc[[#This Row],[Requested]],1),Table3[#All],2,0),VLOOKUP(Proc[[#This Row],[Author]],Table4[],2,0))</f>
        <v>EL</v>
      </c>
      <c r="L2339" s="94" t="s">
        <v>2563</v>
      </c>
      <c r="M2339" s="105">
        <v>45825.476678240739</v>
      </c>
      <c r="N2339" s="105"/>
      <c r="O2339" s="105"/>
      <c r="P2339" s="106" t="str">
        <f ca="1">IF(Proc[[#This Row],[DaysAgeing]]&gt;5,"yep","on track")</f>
        <v>yep</v>
      </c>
      <c r="Q2339" s="3">
        <f ca="1">IF(Proc[[#This Row],[DateClosed]]="",ABS(NETWORKDAYS(Proc[[#This Row],[DateOpened]],TODAY()))-1,ABS(NETWORKDAYS(Proc[[#This Row],[DateOpened]],Proc[[#This Row],[DateClosed]]))-1)</f>
        <v>133</v>
      </c>
      <c r="R2339" s="106" t="s">
        <v>780</v>
      </c>
      <c r="S2339" s="94"/>
    </row>
    <row r="2340" spans="1:19" hidden="1">
      <c r="A2340" s="103" t="s">
        <v>4188</v>
      </c>
      <c r="B2340" s="149" t="str">
        <f>IFERROR(VLOOKUP(Proc[[#This Row],[App]],Table2[],3,0),"open")</f>
        <v>ok</v>
      </c>
      <c r="C2340" s="103" t="s">
        <v>369</v>
      </c>
      <c r="D2340" t="s">
        <v>4219</v>
      </c>
      <c r="E2340" t="s">
        <v>4245</v>
      </c>
      <c r="F2340" s="117" t="s">
        <v>4245</v>
      </c>
      <c r="G2340" s="103" t="s">
        <v>400</v>
      </c>
      <c r="H2340" s="94" t="str">
        <f>IF(Proc[[#This Row],[type]]="LFF (MDG-F)",MID(Proc[[#This Row],[Obj]],13,10),"")</f>
        <v/>
      </c>
      <c r="J2340" s="94" t="b">
        <f>Proc[[#This Row],[Requested]]=Proc[[#This Row],[CurrentParent]]</f>
        <v>1</v>
      </c>
      <c r="K2340" s="144" t="str">
        <f>IF(Proc[[#This Row],[Author]]="Marcela Urrego",VLOOKUP(LEFT(Proc[[#This Row],[Requested]],1),Table3[#All],2,0),VLOOKUP(Proc[[#This Row],[Author]],Table4[],2,0))</f>
        <v>EL</v>
      </c>
      <c r="L2340" s="94" t="s">
        <v>2563</v>
      </c>
      <c r="M2340" s="105">
        <v>45825.476678240739</v>
      </c>
      <c r="N2340" s="105"/>
      <c r="O2340" s="105"/>
      <c r="P2340" s="106" t="str">
        <f ca="1">IF(Proc[[#This Row],[DaysAgeing]]&gt;5,"yep","on track")</f>
        <v>yep</v>
      </c>
      <c r="Q2340" s="3">
        <f ca="1">IF(Proc[[#This Row],[DateClosed]]="",ABS(NETWORKDAYS(Proc[[#This Row],[DateOpened]],TODAY()))-1,ABS(NETWORKDAYS(Proc[[#This Row],[DateOpened]],Proc[[#This Row],[DateClosed]]))-1)</f>
        <v>133</v>
      </c>
      <c r="R2340" s="106" t="s">
        <v>780</v>
      </c>
      <c r="S2340" s="94"/>
    </row>
    <row r="2341" spans="1:19" hidden="1">
      <c r="A2341" s="103" t="s">
        <v>4188</v>
      </c>
      <c r="B2341" s="149" t="str">
        <f>IFERROR(VLOOKUP(Proc[[#This Row],[App]],Table2[],3,0),"open")</f>
        <v>ok</v>
      </c>
      <c r="C2341" s="103" t="s">
        <v>369</v>
      </c>
      <c r="D2341" t="s">
        <v>4220</v>
      </c>
      <c r="E2341" t="s">
        <v>4245</v>
      </c>
      <c r="F2341" s="117" t="s">
        <v>4245</v>
      </c>
      <c r="G2341" s="103" t="s">
        <v>400</v>
      </c>
      <c r="H2341" s="94" t="str">
        <f>IF(Proc[[#This Row],[type]]="LFF (MDG-F)",MID(Proc[[#This Row],[Obj]],13,10),"")</f>
        <v/>
      </c>
      <c r="J2341" s="94" t="b">
        <f>Proc[[#This Row],[Requested]]=Proc[[#This Row],[CurrentParent]]</f>
        <v>1</v>
      </c>
      <c r="K2341" s="144" t="str">
        <f>IF(Proc[[#This Row],[Author]]="Marcela Urrego",VLOOKUP(LEFT(Proc[[#This Row],[Requested]],1),Table3[#All],2,0),VLOOKUP(Proc[[#This Row],[Author]],Table4[],2,0))</f>
        <v>EL</v>
      </c>
      <c r="L2341" s="94" t="s">
        <v>2563</v>
      </c>
      <c r="M2341" s="105">
        <v>45825.476678240739</v>
      </c>
      <c r="N2341" s="105"/>
      <c r="O2341" s="105"/>
      <c r="P2341" s="106" t="str">
        <f ca="1">IF(Proc[[#This Row],[DaysAgeing]]&gt;5,"yep","on track")</f>
        <v>yep</v>
      </c>
      <c r="Q2341" s="3">
        <f ca="1">IF(Proc[[#This Row],[DateClosed]]="",ABS(NETWORKDAYS(Proc[[#This Row],[DateOpened]],TODAY()))-1,ABS(NETWORKDAYS(Proc[[#This Row],[DateOpened]],Proc[[#This Row],[DateClosed]]))-1)</f>
        <v>133</v>
      </c>
      <c r="R2341" s="106" t="s">
        <v>780</v>
      </c>
      <c r="S2341" s="94"/>
    </row>
    <row r="2342" spans="1:19" hidden="1">
      <c r="A2342" s="103" t="s">
        <v>4188</v>
      </c>
      <c r="B2342" s="149" t="str">
        <f>IFERROR(VLOOKUP(Proc[[#This Row],[App]],Table2[],3,0),"open")</f>
        <v>ok</v>
      </c>
      <c r="C2342" s="103" t="s">
        <v>369</v>
      </c>
      <c r="D2342" t="s">
        <v>4221</v>
      </c>
      <c r="E2342" t="s">
        <v>4245</v>
      </c>
      <c r="F2342" s="117" t="s">
        <v>4245</v>
      </c>
      <c r="G2342" s="103" t="s">
        <v>400</v>
      </c>
      <c r="H2342" s="94" t="str">
        <f>IF(Proc[[#This Row],[type]]="LFF (MDG-F)",MID(Proc[[#This Row],[Obj]],13,10),"")</f>
        <v/>
      </c>
      <c r="J2342" s="94" t="b">
        <f>Proc[[#This Row],[Requested]]=Proc[[#This Row],[CurrentParent]]</f>
        <v>1</v>
      </c>
      <c r="K2342" s="144" t="str">
        <f>IF(Proc[[#This Row],[Author]]="Marcela Urrego",VLOOKUP(LEFT(Proc[[#This Row],[Requested]],1),Table3[#All],2,0),VLOOKUP(Proc[[#This Row],[Author]],Table4[],2,0))</f>
        <v>EL</v>
      </c>
      <c r="L2342" s="94" t="s">
        <v>2563</v>
      </c>
      <c r="M2342" s="105">
        <v>45825.476678240739</v>
      </c>
      <c r="N2342" s="105"/>
      <c r="O2342" s="105"/>
      <c r="P2342" s="106" t="str">
        <f ca="1">IF(Proc[[#This Row],[DaysAgeing]]&gt;5,"yep","on track")</f>
        <v>yep</v>
      </c>
      <c r="Q2342" s="3">
        <f ca="1">IF(Proc[[#This Row],[DateClosed]]="",ABS(NETWORKDAYS(Proc[[#This Row],[DateOpened]],TODAY()))-1,ABS(NETWORKDAYS(Proc[[#This Row],[DateOpened]],Proc[[#This Row],[DateClosed]]))-1)</f>
        <v>133</v>
      </c>
      <c r="R2342" s="106" t="s">
        <v>780</v>
      </c>
      <c r="S2342" s="94"/>
    </row>
    <row r="2343" spans="1:19" hidden="1">
      <c r="A2343" s="103" t="s">
        <v>4188</v>
      </c>
      <c r="B2343" s="149" t="str">
        <f>IFERROR(VLOOKUP(Proc[[#This Row],[App]],Table2[],3,0),"open")</f>
        <v>ok</v>
      </c>
      <c r="C2343" s="103" t="s">
        <v>369</v>
      </c>
      <c r="D2343" t="s">
        <v>4222</v>
      </c>
      <c r="E2343" t="s">
        <v>4246</v>
      </c>
      <c r="F2343" s="117" t="s">
        <v>4246</v>
      </c>
      <c r="G2343" s="103" t="s">
        <v>400</v>
      </c>
      <c r="H2343" s="94" t="str">
        <f>IF(Proc[[#This Row],[type]]="LFF (MDG-F)",MID(Proc[[#This Row],[Obj]],13,10),"")</f>
        <v/>
      </c>
      <c r="J2343" s="94" t="b">
        <f>Proc[[#This Row],[Requested]]=Proc[[#This Row],[CurrentParent]]</f>
        <v>1</v>
      </c>
      <c r="K2343" s="144" t="str">
        <f>IF(Proc[[#This Row],[Author]]="Marcela Urrego",VLOOKUP(LEFT(Proc[[#This Row],[Requested]],1),Table3[#All],2,0),VLOOKUP(Proc[[#This Row],[Author]],Table4[],2,0))</f>
        <v>EL</v>
      </c>
      <c r="L2343" s="94" t="s">
        <v>2563</v>
      </c>
      <c r="M2343" s="105">
        <v>45825.476678240739</v>
      </c>
      <c r="N2343" s="105"/>
      <c r="O2343" s="105"/>
      <c r="P2343" s="106" t="str">
        <f ca="1">IF(Proc[[#This Row],[DaysAgeing]]&gt;5,"yep","on track")</f>
        <v>yep</v>
      </c>
      <c r="Q2343" s="3">
        <f ca="1">IF(Proc[[#This Row],[DateClosed]]="",ABS(NETWORKDAYS(Proc[[#This Row],[DateOpened]],TODAY()))-1,ABS(NETWORKDAYS(Proc[[#This Row],[DateOpened]],Proc[[#This Row],[DateClosed]]))-1)</f>
        <v>133</v>
      </c>
      <c r="R2343" s="106" t="s">
        <v>780</v>
      </c>
      <c r="S2343" s="94"/>
    </row>
    <row r="2344" spans="1:19" hidden="1">
      <c r="A2344" s="103" t="s">
        <v>4188</v>
      </c>
      <c r="B2344" s="149" t="str">
        <f>IFERROR(VLOOKUP(Proc[[#This Row],[App]],Table2[],3,0),"open")</f>
        <v>ok</v>
      </c>
      <c r="C2344" s="103" t="s">
        <v>369</v>
      </c>
      <c r="D2344" t="s">
        <v>4223</v>
      </c>
      <c r="E2344" t="s">
        <v>4246</v>
      </c>
      <c r="F2344" s="117" t="s">
        <v>4246</v>
      </c>
      <c r="G2344" s="103" t="s">
        <v>400</v>
      </c>
      <c r="H2344" s="94" t="str">
        <f>IF(Proc[[#This Row],[type]]="LFF (MDG-F)",MID(Proc[[#This Row],[Obj]],13,10),"")</f>
        <v/>
      </c>
      <c r="J2344" s="94" t="b">
        <f>Proc[[#This Row],[Requested]]=Proc[[#This Row],[CurrentParent]]</f>
        <v>1</v>
      </c>
      <c r="K2344" s="144" t="str">
        <f>IF(Proc[[#This Row],[Author]]="Marcela Urrego",VLOOKUP(LEFT(Proc[[#This Row],[Requested]],1),Table3[#All],2,0),VLOOKUP(Proc[[#This Row],[Author]],Table4[],2,0))</f>
        <v>EL</v>
      </c>
      <c r="L2344" s="94" t="s">
        <v>2563</v>
      </c>
      <c r="M2344" s="105">
        <v>45825.476678240739</v>
      </c>
      <c r="N2344" s="105"/>
      <c r="O2344" s="105"/>
      <c r="P2344" s="106" t="str">
        <f ca="1">IF(Proc[[#This Row],[DaysAgeing]]&gt;5,"yep","on track")</f>
        <v>yep</v>
      </c>
      <c r="Q2344" s="3">
        <f ca="1">IF(Proc[[#This Row],[DateClosed]]="",ABS(NETWORKDAYS(Proc[[#This Row],[DateOpened]],TODAY()))-1,ABS(NETWORKDAYS(Proc[[#This Row],[DateOpened]],Proc[[#This Row],[DateClosed]]))-1)</f>
        <v>133</v>
      </c>
      <c r="R2344" s="106" t="s">
        <v>780</v>
      </c>
      <c r="S2344" s="94"/>
    </row>
    <row r="2345" spans="1:19" hidden="1">
      <c r="A2345" s="103" t="s">
        <v>4188</v>
      </c>
      <c r="B2345" s="149" t="str">
        <f>IFERROR(VLOOKUP(Proc[[#This Row],[App]],Table2[],3,0),"open")</f>
        <v>ok</v>
      </c>
      <c r="C2345" s="103" t="s">
        <v>369</v>
      </c>
      <c r="D2345" t="s">
        <v>4224</v>
      </c>
      <c r="E2345" t="s">
        <v>4246</v>
      </c>
      <c r="F2345" s="117" t="s">
        <v>4246</v>
      </c>
      <c r="G2345" s="103" t="s">
        <v>400</v>
      </c>
      <c r="H2345" s="94" t="str">
        <f>IF(Proc[[#This Row],[type]]="LFF (MDG-F)",MID(Proc[[#This Row],[Obj]],13,10),"")</f>
        <v/>
      </c>
      <c r="J2345" s="94" t="b">
        <f>Proc[[#This Row],[Requested]]=Proc[[#This Row],[CurrentParent]]</f>
        <v>1</v>
      </c>
      <c r="K2345" s="144" t="str">
        <f>IF(Proc[[#This Row],[Author]]="Marcela Urrego",VLOOKUP(LEFT(Proc[[#This Row],[Requested]],1),Table3[#All],2,0),VLOOKUP(Proc[[#This Row],[Author]],Table4[],2,0))</f>
        <v>EL</v>
      </c>
      <c r="L2345" s="94" t="s">
        <v>2563</v>
      </c>
      <c r="M2345" s="105">
        <v>45825.476678240739</v>
      </c>
      <c r="N2345" s="105"/>
      <c r="O2345" s="105"/>
      <c r="P2345" s="106" t="str">
        <f ca="1">IF(Proc[[#This Row],[DaysAgeing]]&gt;5,"yep","on track")</f>
        <v>yep</v>
      </c>
      <c r="Q2345" s="3">
        <f ca="1">IF(Proc[[#This Row],[DateClosed]]="",ABS(NETWORKDAYS(Proc[[#This Row],[DateOpened]],TODAY()))-1,ABS(NETWORKDAYS(Proc[[#This Row],[DateOpened]],Proc[[#This Row],[DateClosed]]))-1)</f>
        <v>133</v>
      </c>
      <c r="R2345" s="106" t="s">
        <v>780</v>
      </c>
      <c r="S2345" s="94"/>
    </row>
    <row r="2346" spans="1:19" hidden="1">
      <c r="A2346" s="103" t="s">
        <v>4188</v>
      </c>
      <c r="B2346" s="149" t="str">
        <f>IFERROR(VLOOKUP(Proc[[#This Row],[App]],Table2[],3,0),"open")</f>
        <v>ok</v>
      </c>
      <c r="C2346" s="103" t="s">
        <v>369</v>
      </c>
      <c r="D2346" t="s">
        <v>4225</v>
      </c>
      <c r="E2346" t="s">
        <v>4246</v>
      </c>
      <c r="F2346" s="117" t="s">
        <v>4246</v>
      </c>
      <c r="G2346" s="103" t="s">
        <v>400</v>
      </c>
      <c r="H2346" s="94" t="str">
        <f>IF(Proc[[#This Row],[type]]="LFF (MDG-F)",MID(Proc[[#This Row],[Obj]],13,10),"")</f>
        <v/>
      </c>
      <c r="J2346" s="94" t="b">
        <f>Proc[[#This Row],[Requested]]=Proc[[#This Row],[CurrentParent]]</f>
        <v>1</v>
      </c>
      <c r="K2346" s="144" t="str">
        <f>IF(Proc[[#This Row],[Author]]="Marcela Urrego",VLOOKUP(LEFT(Proc[[#This Row],[Requested]],1),Table3[#All],2,0),VLOOKUP(Proc[[#This Row],[Author]],Table4[],2,0))</f>
        <v>EL</v>
      </c>
      <c r="L2346" s="94" t="s">
        <v>2563</v>
      </c>
      <c r="M2346" s="105">
        <v>45825.476678240739</v>
      </c>
      <c r="N2346" s="105"/>
      <c r="O2346" s="105"/>
      <c r="P2346" s="106" t="str">
        <f ca="1">IF(Proc[[#This Row],[DaysAgeing]]&gt;5,"yep","on track")</f>
        <v>yep</v>
      </c>
      <c r="Q2346" s="3">
        <f ca="1">IF(Proc[[#This Row],[DateClosed]]="",ABS(NETWORKDAYS(Proc[[#This Row],[DateOpened]],TODAY()))-1,ABS(NETWORKDAYS(Proc[[#This Row],[DateOpened]],Proc[[#This Row],[DateClosed]]))-1)</f>
        <v>133</v>
      </c>
      <c r="R2346" s="106" t="s">
        <v>780</v>
      </c>
      <c r="S2346" s="94"/>
    </row>
    <row r="2347" spans="1:19" hidden="1">
      <c r="A2347" s="103" t="s">
        <v>4188</v>
      </c>
      <c r="B2347" s="149" t="str">
        <f>IFERROR(VLOOKUP(Proc[[#This Row],[App]],Table2[],3,0),"open")</f>
        <v>ok</v>
      </c>
      <c r="C2347" s="103" t="s">
        <v>369</v>
      </c>
      <c r="D2347" t="s">
        <v>4226</v>
      </c>
      <c r="E2347" t="s">
        <v>4246</v>
      </c>
      <c r="F2347" s="117" t="s">
        <v>4246</v>
      </c>
      <c r="G2347" s="103" t="s">
        <v>400</v>
      </c>
      <c r="H2347" s="94" t="str">
        <f>IF(Proc[[#This Row],[type]]="LFF (MDG-F)",MID(Proc[[#This Row],[Obj]],13,10),"")</f>
        <v/>
      </c>
      <c r="J2347" s="94" t="b">
        <f>Proc[[#This Row],[Requested]]=Proc[[#This Row],[CurrentParent]]</f>
        <v>1</v>
      </c>
      <c r="K2347" s="144" t="str">
        <f>IF(Proc[[#This Row],[Author]]="Marcela Urrego",VLOOKUP(LEFT(Proc[[#This Row],[Requested]],1),Table3[#All],2,0),VLOOKUP(Proc[[#This Row],[Author]],Table4[],2,0))</f>
        <v>EL</v>
      </c>
      <c r="L2347" s="94" t="s">
        <v>2563</v>
      </c>
      <c r="M2347" s="105">
        <v>45825.476678240739</v>
      </c>
      <c r="N2347" s="105"/>
      <c r="O2347" s="105"/>
      <c r="P2347" s="106" t="str">
        <f ca="1">IF(Proc[[#This Row],[DaysAgeing]]&gt;5,"yep","on track")</f>
        <v>yep</v>
      </c>
      <c r="Q2347" s="3">
        <f ca="1">IF(Proc[[#This Row],[DateClosed]]="",ABS(NETWORKDAYS(Proc[[#This Row],[DateOpened]],TODAY()))-1,ABS(NETWORKDAYS(Proc[[#This Row],[DateOpened]],Proc[[#This Row],[DateClosed]]))-1)</f>
        <v>133</v>
      </c>
      <c r="R2347" s="106" t="s">
        <v>780</v>
      </c>
      <c r="S2347" s="94"/>
    </row>
    <row r="2348" spans="1:19" hidden="1">
      <c r="A2348" s="103" t="s">
        <v>4188</v>
      </c>
      <c r="B2348" s="149" t="str">
        <f>IFERROR(VLOOKUP(Proc[[#This Row],[App]],Table2[],3,0),"open")</f>
        <v>ok</v>
      </c>
      <c r="C2348" s="103" t="s">
        <v>369</v>
      </c>
      <c r="D2348" t="s">
        <v>4227</v>
      </c>
      <c r="E2348" t="s">
        <v>4246</v>
      </c>
      <c r="F2348" s="117" t="s">
        <v>4246</v>
      </c>
      <c r="G2348" s="103" t="s">
        <v>400</v>
      </c>
      <c r="H2348" s="94" t="str">
        <f>IF(Proc[[#This Row],[type]]="LFF (MDG-F)",MID(Proc[[#This Row],[Obj]],13,10),"")</f>
        <v/>
      </c>
      <c r="J2348" s="94" t="b">
        <f>Proc[[#This Row],[Requested]]=Proc[[#This Row],[CurrentParent]]</f>
        <v>1</v>
      </c>
      <c r="K2348" s="144" t="str">
        <f>IF(Proc[[#This Row],[Author]]="Marcela Urrego",VLOOKUP(LEFT(Proc[[#This Row],[Requested]],1),Table3[#All],2,0),VLOOKUP(Proc[[#This Row],[Author]],Table4[],2,0))</f>
        <v>EL</v>
      </c>
      <c r="L2348" s="94" t="s">
        <v>2563</v>
      </c>
      <c r="M2348" s="105">
        <v>45825.476678240739</v>
      </c>
      <c r="N2348" s="105"/>
      <c r="O2348" s="105"/>
      <c r="P2348" s="106" t="str">
        <f ca="1">IF(Proc[[#This Row],[DaysAgeing]]&gt;5,"yep","on track")</f>
        <v>yep</v>
      </c>
      <c r="Q2348" s="3">
        <f ca="1">IF(Proc[[#This Row],[DateClosed]]="",ABS(NETWORKDAYS(Proc[[#This Row],[DateOpened]],TODAY()))-1,ABS(NETWORKDAYS(Proc[[#This Row],[DateOpened]],Proc[[#This Row],[DateClosed]]))-1)</f>
        <v>133</v>
      </c>
      <c r="R2348" s="106" t="s">
        <v>780</v>
      </c>
      <c r="S2348" s="94"/>
    </row>
    <row r="2349" spans="1:19" hidden="1">
      <c r="A2349" s="103" t="s">
        <v>4188</v>
      </c>
      <c r="B2349" s="149" t="str">
        <f>IFERROR(VLOOKUP(Proc[[#This Row],[App]],Table2[],3,0),"open")</f>
        <v>ok</v>
      </c>
      <c r="C2349" s="103" t="s">
        <v>369</v>
      </c>
      <c r="D2349" t="s">
        <v>4228</v>
      </c>
      <c r="E2349" t="s">
        <v>4246</v>
      </c>
      <c r="F2349" s="117" t="s">
        <v>4246</v>
      </c>
      <c r="G2349" s="103" t="s">
        <v>400</v>
      </c>
      <c r="H2349" s="94" t="str">
        <f>IF(Proc[[#This Row],[type]]="LFF (MDG-F)",MID(Proc[[#This Row],[Obj]],13,10),"")</f>
        <v/>
      </c>
      <c r="J2349" s="94" t="b">
        <f>Proc[[#This Row],[Requested]]=Proc[[#This Row],[CurrentParent]]</f>
        <v>1</v>
      </c>
      <c r="K2349" s="144" t="str">
        <f>IF(Proc[[#This Row],[Author]]="Marcela Urrego",VLOOKUP(LEFT(Proc[[#This Row],[Requested]],1),Table3[#All],2,0),VLOOKUP(Proc[[#This Row],[Author]],Table4[],2,0))</f>
        <v>EL</v>
      </c>
      <c r="L2349" s="94" t="s">
        <v>2563</v>
      </c>
      <c r="M2349" s="105">
        <v>45825.476678240739</v>
      </c>
      <c r="N2349" s="105"/>
      <c r="O2349" s="105"/>
      <c r="P2349" s="106" t="str">
        <f ca="1">IF(Proc[[#This Row],[DaysAgeing]]&gt;5,"yep","on track")</f>
        <v>yep</v>
      </c>
      <c r="Q2349" s="3">
        <f ca="1">IF(Proc[[#This Row],[DateClosed]]="",ABS(NETWORKDAYS(Proc[[#This Row],[DateOpened]],TODAY()))-1,ABS(NETWORKDAYS(Proc[[#This Row],[DateOpened]],Proc[[#This Row],[DateClosed]]))-1)</f>
        <v>133</v>
      </c>
      <c r="R2349" s="106" t="s">
        <v>780</v>
      </c>
      <c r="S2349" s="94"/>
    </row>
    <row r="2350" spans="1:19" hidden="1">
      <c r="A2350" s="103" t="s">
        <v>4188</v>
      </c>
      <c r="B2350" s="149" t="str">
        <f>IFERROR(VLOOKUP(Proc[[#This Row],[App]],Table2[],3,0),"open")</f>
        <v>ok</v>
      </c>
      <c r="C2350" s="103" t="s">
        <v>369</v>
      </c>
      <c r="D2350" t="s">
        <v>4229</v>
      </c>
      <c r="E2350" t="s">
        <v>4246</v>
      </c>
      <c r="F2350" s="117" t="s">
        <v>4246</v>
      </c>
      <c r="G2350" s="103" t="s">
        <v>400</v>
      </c>
      <c r="H2350" s="94" t="str">
        <f>IF(Proc[[#This Row],[type]]="LFF (MDG-F)",MID(Proc[[#This Row],[Obj]],13,10),"")</f>
        <v/>
      </c>
      <c r="J2350" s="94" t="b">
        <f>Proc[[#This Row],[Requested]]=Proc[[#This Row],[CurrentParent]]</f>
        <v>1</v>
      </c>
      <c r="K2350" s="144" t="str">
        <f>IF(Proc[[#This Row],[Author]]="Marcela Urrego",VLOOKUP(LEFT(Proc[[#This Row],[Requested]],1),Table3[#All],2,0),VLOOKUP(Proc[[#This Row],[Author]],Table4[],2,0))</f>
        <v>EL</v>
      </c>
      <c r="L2350" s="94" t="s">
        <v>2563</v>
      </c>
      <c r="M2350" s="105">
        <v>45825.476678240739</v>
      </c>
      <c r="N2350" s="105"/>
      <c r="O2350" s="105"/>
      <c r="P2350" s="106" t="str">
        <f ca="1">IF(Proc[[#This Row],[DaysAgeing]]&gt;5,"yep","on track")</f>
        <v>yep</v>
      </c>
      <c r="Q2350" s="3">
        <f ca="1">IF(Proc[[#This Row],[DateClosed]]="",ABS(NETWORKDAYS(Proc[[#This Row],[DateOpened]],TODAY()))-1,ABS(NETWORKDAYS(Proc[[#This Row],[DateOpened]],Proc[[#This Row],[DateClosed]]))-1)</f>
        <v>133</v>
      </c>
      <c r="R2350" s="106" t="s">
        <v>780</v>
      </c>
      <c r="S2350" s="94"/>
    </row>
    <row r="2351" spans="1:19" hidden="1">
      <c r="A2351" s="103" t="s">
        <v>4188</v>
      </c>
      <c r="B2351" s="149" t="str">
        <f>IFERROR(VLOOKUP(Proc[[#This Row],[App]],Table2[],3,0),"open")</f>
        <v>ok</v>
      </c>
      <c r="C2351" s="103" t="s">
        <v>369</v>
      </c>
      <c r="D2351" t="s">
        <v>4230</v>
      </c>
      <c r="E2351" t="s">
        <v>4246</v>
      </c>
      <c r="F2351" s="117" t="s">
        <v>4246</v>
      </c>
      <c r="G2351" s="103" t="s">
        <v>400</v>
      </c>
      <c r="H2351" s="94" t="str">
        <f>IF(Proc[[#This Row],[type]]="LFF (MDG-F)",MID(Proc[[#This Row],[Obj]],13,10),"")</f>
        <v/>
      </c>
      <c r="J2351" s="94" t="b">
        <f>Proc[[#This Row],[Requested]]=Proc[[#This Row],[CurrentParent]]</f>
        <v>1</v>
      </c>
      <c r="K2351" s="144" t="str">
        <f>IF(Proc[[#This Row],[Author]]="Marcela Urrego",VLOOKUP(LEFT(Proc[[#This Row],[Requested]],1),Table3[#All],2,0),VLOOKUP(Proc[[#This Row],[Author]],Table4[],2,0))</f>
        <v>EL</v>
      </c>
      <c r="L2351" s="94" t="s">
        <v>2563</v>
      </c>
      <c r="M2351" s="105">
        <v>45825.476678240739</v>
      </c>
      <c r="N2351" s="105"/>
      <c r="O2351" s="105"/>
      <c r="P2351" s="106" t="str">
        <f ca="1">IF(Proc[[#This Row],[DaysAgeing]]&gt;5,"yep","on track")</f>
        <v>yep</v>
      </c>
      <c r="Q2351" s="3">
        <f ca="1">IF(Proc[[#This Row],[DateClosed]]="",ABS(NETWORKDAYS(Proc[[#This Row],[DateOpened]],TODAY()))-1,ABS(NETWORKDAYS(Proc[[#This Row],[DateOpened]],Proc[[#This Row],[DateClosed]]))-1)</f>
        <v>133</v>
      </c>
      <c r="R2351" s="106" t="s">
        <v>780</v>
      </c>
      <c r="S2351" s="94"/>
    </row>
    <row r="2352" spans="1:19" hidden="1">
      <c r="A2352" s="103" t="s">
        <v>4188</v>
      </c>
      <c r="B2352" s="149" t="str">
        <f>IFERROR(VLOOKUP(Proc[[#This Row],[App]],Table2[],3,0),"open")</f>
        <v>ok</v>
      </c>
      <c r="C2352" s="103" t="s">
        <v>369</v>
      </c>
      <c r="D2352" t="s">
        <v>4231</v>
      </c>
      <c r="E2352" t="s">
        <v>4246</v>
      </c>
      <c r="F2352" s="117" t="s">
        <v>4246</v>
      </c>
      <c r="G2352" s="103" t="s">
        <v>400</v>
      </c>
      <c r="H2352" s="94" t="str">
        <f>IF(Proc[[#This Row],[type]]="LFF (MDG-F)",MID(Proc[[#This Row],[Obj]],13,10),"")</f>
        <v/>
      </c>
      <c r="J2352" s="94" t="b">
        <f>Proc[[#This Row],[Requested]]=Proc[[#This Row],[CurrentParent]]</f>
        <v>1</v>
      </c>
      <c r="K2352" s="144" t="str">
        <f>IF(Proc[[#This Row],[Author]]="Marcela Urrego",VLOOKUP(LEFT(Proc[[#This Row],[Requested]],1),Table3[#All],2,0),VLOOKUP(Proc[[#This Row],[Author]],Table4[],2,0))</f>
        <v>EL</v>
      </c>
      <c r="L2352" s="94" t="s">
        <v>2563</v>
      </c>
      <c r="M2352" s="105">
        <v>45825.476678240739</v>
      </c>
      <c r="N2352" s="105"/>
      <c r="O2352" s="105"/>
      <c r="P2352" s="106" t="str">
        <f ca="1">IF(Proc[[#This Row],[DaysAgeing]]&gt;5,"yep","on track")</f>
        <v>yep</v>
      </c>
      <c r="Q2352" s="3">
        <f ca="1">IF(Proc[[#This Row],[DateClosed]]="",ABS(NETWORKDAYS(Proc[[#This Row],[DateOpened]],TODAY()))-1,ABS(NETWORKDAYS(Proc[[#This Row],[DateOpened]],Proc[[#This Row],[DateClosed]]))-1)</f>
        <v>133</v>
      </c>
      <c r="R2352" s="106" t="s">
        <v>780</v>
      </c>
      <c r="S2352" s="94"/>
    </row>
    <row r="2353" spans="1:19" hidden="1">
      <c r="A2353" s="103" t="s">
        <v>4188</v>
      </c>
      <c r="B2353" s="149" t="str">
        <f>IFERROR(VLOOKUP(Proc[[#This Row],[App]],Table2[],3,0),"open")</f>
        <v>ok</v>
      </c>
      <c r="C2353" s="103" t="s">
        <v>369</v>
      </c>
      <c r="D2353" t="s">
        <v>4232</v>
      </c>
      <c r="E2353" t="s">
        <v>4246</v>
      </c>
      <c r="F2353" s="117" t="s">
        <v>4246</v>
      </c>
      <c r="G2353" s="103" t="s">
        <v>400</v>
      </c>
      <c r="H2353" s="94" t="str">
        <f>IF(Proc[[#This Row],[type]]="LFF (MDG-F)",MID(Proc[[#This Row],[Obj]],13,10),"")</f>
        <v/>
      </c>
      <c r="J2353" s="94" t="b">
        <f>Proc[[#This Row],[Requested]]=Proc[[#This Row],[CurrentParent]]</f>
        <v>1</v>
      </c>
      <c r="K2353" s="144" t="str">
        <f>IF(Proc[[#This Row],[Author]]="Marcela Urrego",VLOOKUP(LEFT(Proc[[#This Row],[Requested]],1),Table3[#All],2,0),VLOOKUP(Proc[[#This Row],[Author]],Table4[],2,0))</f>
        <v>EL</v>
      </c>
      <c r="L2353" s="94" t="s">
        <v>2563</v>
      </c>
      <c r="M2353" s="105">
        <v>45825.476678240739</v>
      </c>
      <c r="N2353" s="105"/>
      <c r="O2353" s="105"/>
      <c r="P2353" s="106" t="str">
        <f ca="1">IF(Proc[[#This Row],[DaysAgeing]]&gt;5,"yep","on track")</f>
        <v>yep</v>
      </c>
      <c r="Q2353" s="3">
        <f ca="1">IF(Proc[[#This Row],[DateClosed]]="",ABS(NETWORKDAYS(Proc[[#This Row],[DateOpened]],TODAY()))-1,ABS(NETWORKDAYS(Proc[[#This Row],[DateOpened]],Proc[[#This Row],[DateClosed]]))-1)</f>
        <v>133</v>
      </c>
      <c r="R2353" s="106" t="s">
        <v>780</v>
      </c>
      <c r="S2353" s="94"/>
    </row>
    <row r="2354" spans="1:19" hidden="1">
      <c r="A2354" s="103" t="s">
        <v>4188</v>
      </c>
      <c r="B2354" s="149" t="str">
        <f>IFERROR(VLOOKUP(Proc[[#This Row],[App]],Table2[],3,0),"open")</f>
        <v>ok</v>
      </c>
      <c r="C2354" s="103" t="s">
        <v>369</v>
      </c>
      <c r="D2354" t="s">
        <v>4233</v>
      </c>
      <c r="E2354" t="s">
        <v>4246</v>
      </c>
      <c r="F2354" s="117" t="s">
        <v>4246</v>
      </c>
      <c r="G2354" s="103" t="s">
        <v>400</v>
      </c>
      <c r="H2354" s="94" t="str">
        <f>IF(Proc[[#This Row],[type]]="LFF (MDG-F)",MID(Proc[[#This Row],[Obj]],13,10),"")</f>
        <v/>
      </c>
      <c r="J2354" s="94" t="b">
        <f>Proc[[#This Row],[Requested]]=Proc[[#This Row],[CurrentParent]]</f>
        <v>1</v>
      </c>
      <c r="K2354" s="144" t="str">
        <f>IF(Proc[[#This Row],[Author]]="Marcela Urrego",VLOOKUP(LEFT(Proc[[#This Row],[Requested]],1),Table3[#All],2,0),VLOOKUP(Proc[[#This Row],[Author]],Table4[],2,0))</f>
        <v>EL</v>
      </c>
      <c r="L2354" s="94" t="s">
        <v>2563</v>
      </c>
      <c r="M2354" s="105">
        <v>45825.476678240739</v>
      </c>
      <c r="N2354" s="105"/>
      <c r="O2354" s="105"/>
      <c r="P2354" s="106" t="str">
        <f ca="1">IF(Proc[[#This Row],[DaysAgeing]]&gt;5,"yep","on track")</f>
        <v>yep</v>
      </c>
      <c r="Q2354" s="3">
        <f ca="1">IF(Proc[[#This Row],[DateClosed]]="",ABS(NETWORKDAYS(Proc[[#This Row],[DateOpened]],TODAY()))-1,ABS(NETWORKDAYS(Proc[[#This Row],[DateOpened]],Proc[[#This Row],[DateClosed]]))-1)</f>
        <v>133</v>
      </c>
      <c r="R2354" s="106" t="s">
        <v>780</v>
      </c>
      <c r="S2354" s="94"/>
    </row>
    <row r="2355" spans="1:19" hidden="1">
      <c r="A2355" s="103" t="s">
        <v>4188</v>
      </c>
      <c r="B2355" s="149" t="str">
        <f>IFERROR(VLOOKUP(Proc[[#This Row],[App]],Table2[],3,0),"open")</f>
        <v>ok</v>
      </c>
      <c r="C2355" s="103" t="s">
        <v>369</v>
      </c>
      <c r="D2355" t="s">
        <v>4234</v>
      </c>
      <c r="E2355" t="s">
        <v>4246</v>
      </c>
      <c r="F2355" s="117" t="s">
        <v>4246</v>
      </c>
      <c r="G2355" s="103" t="s">
        <v>400</v>
      </c>
      <c r="H2355" s="94" t="str">
        <f>IF(Proc[[#This Row],[type]]="LFF (MDG-F)",MID(Proc[[#This Row],[Obj]],13,10),"")</f>
        <v/>
      </c>
      <c r="J2355" s="94" t="b">
        <f>Proc[[#This Row],[Requested]]=Proc[[#This Row],[CurrentParent]]</f>
        <v>1</v>
      </c>
      <c r="K2355" s="144" t="str">
        <f>IF(Proc[[#This Row],[Author]]="Marcela Urrego",VLOOKUP(LEFT(Proc[[#This Row],[Requested]],1),Table3[#All],2,0),VLOOKUP(Proc[[#This Row],[Author]],Table4[],2,0))</f>
        <v>EL</v>
      </c>
      <c r="L2355" s="94" t="s">
        <v>2563</v>
      </c>
      <c r="M2355" s="105">
        <v>45825.476678240739</v>
      </c>
      <c r="N2355" s="105"/>
      <c r="O2355" s="105"/>
      <c r="P2355" s="106" t="str">
        <f ca="1">IF(Proc[[#This Row],[DaysAgeing]]&gt;5,"yep","on track")</f>
        <v>yep</v>
      </c>
      <c r="Q2355" s="3">
        <f ca="1">IF(Proc[[#This Row],[DateClosed]]="",ABS(NETWORKDAYS(Proc[[#This Row],[DateOpened]],TODAY()))-1,ABS(NETWORKDAYS(Proc[[#This Row],[DateOpened]],Proc[[#This Row],[DateClosed]]))-1)</f>
        <v>133</v>
      </c>
      <c r="R2355" s="106" t="s">
        <v>780</v>
      </c>
      <c r="S2355" s="94"/>
    </row>
    <row r="2356" spans="1:19" hidden="1">
      <c r="A2356" s="103" t="s">
        <v>4188</v>
      </c>
      <c r="B2356" s="149" t="str">
        <f>IFERROR(VLOOKUP(Proc[[#This Row],[App]],Table2[],3,0),"open")</f>
        <v>ok</v>
      </c>
      <c r="C2356" s="103" t="s">
        <v>369</v>
      </c>
      <c r="D2356" t="s">
        <v>4235</v>
      </c>
      <c r="E2356" t="s">
        <v>4246</v>
      </c>
      <c r="F2356" s="117" t="s">
        <v>4246</v>
      </c>
      <c r="G2356" s="103" t="s">
        <v>400</v>
      </c>
      <c r="H2356" s="94" t="str">
        <f>IF(Proc[[#This Row],[type]]="LFF (MDG-F)",MID(Proc[[#This Row],[Obj]],13,10),"")</f>
        <v/>
      </c>
      <c r="J2356" s="94" t="b">
        <f>Proc[[#This Row],[Requested]]=Proc[[#This Row],[CurrentParent]]</f>
        <v>1</v>
      </c>
      <c r="K2356" s="144" t="str">
        <f>IF(Proc[[#This Row],[Author]]="Marcela Urrego",VLOOKUP(LEFT(Proc[[#This Row],[Requested]],1),Table3[#All],2,0),VLOOKUP(Proc[[#This Row],[Author]],Table4[],2,0))</f>
        <v>EL</v>
      </c>
      <c r="L2356" s="94" t="s">
        <v>2563</v>
      </c>
      <c r="M2356" s="105">
        <v>45825.476678240739</v>
      </c>
      <c r="N2356" s="105"/>
      <c r="O2356" s="105"/>
      <c r="P2356" s="106" t="str">
        <f ca="1">IF(Proc[[#This Row],[DaysAgeing]]&gt;5,"yep","on track")</f>
        <v>yep</v>
      </c>
      <c r="Q2356" s="3">
        <f ca="1">IF(Proc[[#This Row],[DateClosed]]="",ABS(NETWORKDAYS(Proc[[#This Row],[DateOpened]],TODAY()))-1,ABS(NETWORKDAYS(Proc[[#This Row],[DateOpened]],Proc[[#This Row],[DateClosed]]))-1)</f>
        <v>133</v>
      </c>
      <c r="R2356" s="106" t="s">
        <v>780</v>
      </c>
      <c r="S2356" s="94"/>
    </row>
    <row r="2357" spans="1:19" hidden="1">
      <c r="A2357" s="103" t="s">
        <v>4188</v>
      </c>
      <c r="B2357" s="149" t="str">
        <f>IFERROR(VLOOKUP(Proc[[#This Row],[App]],Table2[],3,0),"open")</f>
        <v>ok</v>
      </c>
      <c r="C2357" s="103" t="s">
        <v>369</v>
      </c>
      <c r="D2357" t="s">
        <v>4236</v>
      </c>
      <c r="E2357" t="s">
        <v>4246</v>
      </c>
      <c r="F2357" s="117" t="s">
        <v>4246</v>
      </c>
      <c r="G2357" s="103" t="s">
        <v>400</v>
      </c>
      <c r="H2357" s="94" t="str">
        <f>IF(Proc[[#This Row],[type]]="LFF (MDG-F)",MID(Proc[[#This Row],[Obj]],13,10),"")</f>
        <v/>
      </c>
      <c r="J2357" s="94" t="b">
        <f>Proc[[#This Row],[Requested]]=Proc[[#This Row],[CurrentParent]]</f>
        <v>1</v>
      </c>
      <c r="K2357" s="144" t="str">
        <f>IF(Proc[[#This Row],[Author]]="Marcela Urrego",VLOOKUP(LEFT(Proc[[#This Row],[Requested]],1),Table3[#All],2,0),VLOOKUP(Proc[[#This Row],[Author]],Table4[],2,0))</f>
        <v>EL</v>
      </c>
      <c r="L2357" s="94" t="s">
        <v>2563</v>
      </c>
      <c r="M2357" s="105">
        <v>45825.476678240739</v>
      </c>
      <c r="N2357" s="105"/>
      <c r="O2357" s="105"/>
      <c r="P2357" s="106" t="str">
        <f ca="1">IF(Proc[[#This Row],[DaysAgeing]]&gt;5,"yep","on track")</f>
        <v>yep</v>
      </c>
      <c r="Q2357" s="3">
        <f ca="1">IF(Proc[[#This Row],[DateClosed]]="",ABS(NETWORKDAYS(Proc[[#This Row],[DateOpened]],TODAY()))-1,ABS(NETWORKDAYS(Proc[[#This Row],[DateOpened]],Proc[[#This Row],[DateClosed]]))-1)</f>
        <v>133</v>
      </c>
      <c r="R2357" s="106" t="s">
        <v>780</v>
      </c>
      <c r="S2357" s="94"/>
    </row>
    <row r="2358" spans="1:19" hidden="1">
      <c r="A2358" s="103" t="s">
        <v>4188</v>
      </c>
      <c r="B2358" s="149" t="str">
        <f>IFERROR(VLOOKUP(Proc[[#This Row],[App]],Table2[],3,0),"open")</f>
        <v>ok</v>
      </c>
      <c r="C2358" s="103" t="s">
        <v>369</v>
      </c>
      <c r="D2358" t="s">
        <v>4237</v>
      </c>
      <c r="E2358" t="s">
        <v>4246</v>
      </c>
      <c r="F2358" s="117" t="s">
        <v>4246</v>
      </c>
      <c r="G2358" s="103" t="s">
        <v>400</v>
      </c>
      <c r="H2358" s="94" t="str">
        <f>IF(Proc[[#This Row],[type]]="LFF (MDG-F)",MID(Proc[[#This Row],[Obj]],13,10),"")</f>
        <v/>
      </c>
      <c r="J2358" s="94" t="b">
        <f>Proc[[#This Row],[Requested]]=Proc[[#This Row],[CurrentParent]]</f>
        <v>1</v>
      </c>
      <c r="K2358" s="144" t="str">
        <f>IF(Proc[[#This Row],[Author]]="Marcela Urrego",VLOOKUP(LEFT(Proc[[#This Row],[Requested]],1),Table3[#All],2,0),VLOOKUP(Proc[[#This Row],[Author]],Table4[],2,0))</f>
        <v>EL</v>
      </c>
      <c r="L2358" s="94" t="s">
        <v>2563</v>
      </c>
      <c r="M2358" s="105">
        <v>45825.476678240739</v>
      </c>
      <c r="N2358" s="105"/>
      <c r="O2358" s="105"/>
      <c r="P2358" s="106" t="str">
        <f ca="1">IF(Proc[[#This Row],[DaysAgeing]]&gt;5,"yep","on track")</f>
        <v>yep</v>
      </c>
      <c r="Q2358" s="3">
        <f ca="1">IF(Proc[[#This Row],[DateClosed]]="",ABS(NETWORKDAYS(Proc[[#This Row],[DateOpened]],TODAY()))-1,ABS(NETWORKDAYS(Proc[[#This Row],[DateOpened]],Proc[[#This Row],[DateClosed]]))-1)</f>
        <v>133</v>
      </c>
      <c r="R2358" s="106" t="s">
        <v>780</v>
      </c>
      <c r="S2358" s="94"/>
    </row>
    <row r="2359" spans="1:19" hidden="1">
      <c r="A2359" s="103" t="s">
        <v>4188</v>
      </c>
      <c r="B2359" s="149" t="str">
        <f>IFERROR(VLOOKUP(Proc[[#This Row],[App]],Table2[],3,0),"open")</f>
        <v>ok</v>
      </c>
      <c r="C2359" s="103" t="s">
        <v>369</v>
      </c>
      <c r="D2359" t="s">
        <v>4238</v>
      </c>
      <c r="E2359" t="s">
        <v>4246</v>
      </c>
      <c r="F2359" s="117" t="s">
        <v>4246</v>
      </c>
      <c r="G2359" s="103" t="s">
        <v>400</v>
      </c>
      <c r="H2359" s="94" t="str">
        <f>IF(Proc[[#This Row],[type]]="LFF (MDG-F)",MID(Proc[[#This Row],[Obj]],13,10),"")</f>
        <v/>
      </c>
      <c r="J2359" s="94" t="b">
        <f>Proc[[#This Row],[Requested]]=Proc[[#This Row],[CurrentParent]]</f>
        <v>1</v>
      </c>
      <c r="K2359" s="144" t="str">
        <f>IF(Proc[[#This Row],[Author]]="Marcela Urrego",VLOOKUP(LEFT(Proc[[#This Row],[Requested]],1),Table3[#All],2,0),VLOOKUP(Proc[[#This Row],[Author]],Table4[],2,0))</f>
        <v>EL</v>
      </c>
      <c r="L2359" s="94" t="s">
        <v>2563</v>
      </c>
      <c r="M2359" s="105">
        <v>45825.476678240739</v>
      </c>
      <c r="N2359" s="105"/>
      <c r="O2359" s="105"/>
      <c r="P2359" s="106" t="str">
        <f ca="1">IF(Proc[[#This Row],[DaysAgeing]]&gt;5,"yep","on track")</f>
        <v>yep</v>
      </c>
      <c r="Q2359" s="3">
        <f ca="1">IF(Proc[[#This Row],[DateClosed]]="",ABS(NETWORKDAYS(Proc[[#This Row],[DateOpened]],TODAY()))-1,ABS(NETWORKDAYS(Proc[[#This Row],[DateOpened]],Proc[[#This Row],[DateClosed]]))-1)</f>
        <v>133</v>
      </c>
      <c r="R2359" s="106" t="s">
        <v>780</v>
      </c>
      <c r="S2359" s="94"/>
    </row>
    <row r="2360" spans="1:19" hidden="1">
      <c r="A2360" s="103" t="s">
        <v>4188</v>
      </c>
      <c r="B2360" s="149" t="str">
        <f>IFERROR(VLOOKUP(Proc[[#This Row],[App]],Table2[],3,0),"open")</f>
        <v>ok</v>
      </c>
      <c r="C2360" s="103" t="s">
        <v>369</v>
      </c>
      <c r="D2360" t="s">
        <v>4239</v>
      </c>
      <c r="E2360" t="s">
        <v>4246</v>
      </c>
      <c r="F2360" s="117" t="s">
        <v>4246</v>
      </c>
      <c r="G2360" s="103" t="s">
        <v>400</v>
      </c>
      <c r="H2360" s="94" t="str">
        <f>IF(Proc[[#This Row],[type]]="LFF (MDG-F)",MID(Proc[[#This Row],[Obj]],13,10),"")</f>
        <v/>
      </c>
      <c r="J2360" s="94" t="b">
        <f>Proc[[#This Row],[Requested]]=Proc[[#This Row],[CurrentParent]]</f>
        <v>1</v>
      </c>
      <c r="K2360" s="144" t="str">
        <f>IF(Proc[[#This Row],[Author]]="Marcela Urrego",VLOOKUP(LEFT(Proc[[#This Row],[Requested]],1),Table3[#All],2,0),VLOOKUP(Proc[[#This Row],[Author]],Table4[],2,0))</f>
        <v>EL</v>
      </c>
      <c r="L2360" s="94" t="s">
        <v>2563</v>
      </c>
      <c r="M2360" s="105">
        <v>45825.476678240739</v>
      </c>
      <c r="N2360" s="105"/>
      <c r="O2360" s="105"/>
      <c r="P2360" s="106" t="str">
        <f ca="1">IF(Proc[[#This Row],[DaysAgeing]]&gt;5,"yep","on track")</f>
        <v>yep</v>
      </c>
      <c r="Q2360" s="3">
        <f ca="1">IF(Proc[[#This Row],[DateClosed]]="",ABS(NETWORKDAYS(Proc[[#This Row],[DateOpened]],TODAY()))-1,ABS(NETWORKDAYS(Proc[[#This Row],[DateOpened]],Proc[[#This Row],[DateClosed]]))-1)</f>
        <v>133</v>
      </c>
      <c r="R2360" s="106" t="s">
        <v>780</v>
      </c>
      <c r="S2360" s="94"/>
    </row>
    <row r="2361" spans="1:19" hidden="1">
      <c r="A2361" s="103" t="s">
        <v>4188</v>
      </c>
      <c r="B2361" s="149" t="str">
        <f>IFERROR(VLOOKUP(Proc[[#This Row],[App]],Table2[],3,0),"open")</f>
        <v>ok</v>
      </c>
      <c r="C2361" s="103" t="s">
        <v>369</v>
      </c>
      <c r="D2361" t="s">
        <v>4240</v>
      </c>
      <c r="E2361" t="s">
        <v>4246</v>
      </c>
      <c r="F2361" s="117" t="s">
        <v>4246</v>
      </c>
      <c r="G2361" s="103" t="s">
        <v>400</v>
      </c>
      <c r="H2361" s="94" t="str">
        <f>IF(Proc[[#This Row],[type]]="LFF (MDG-F)",MID(Proc[[#This Row],[Obj]],13,10),"")</f>
        <v/>
      </c>
      <c r="J2361" s="94" t="b">
        <f>Proc[[#This Row],[Requested]]=Proc[[#This Row],[CurrentParent]]</f>
        <v>1</v>
      </c>
      <c r="K2361" s="144" t="str">
        <f>IF(Proc[[#This Row],[Author]]="Marcela Urrego",VLOOKUP(LEFT(Proc[[#This Row],[Requested]],1),Table3[#All],2,0),VLOOKUP(Proc[[#This Row],[Author]],Table4[],2,0))</f>
        <v>EL</v>
      </c>
      <c r="L2361" s="94" t="s">
        <v>2563</v>
      </c>
      <c r="M2361" s="105">
        <v>45825.476678240739</v>
      </c>
      <c r="N2361" s="105"/>
      <c r="O2361" s="105"/>
      <c r="P2361" s="106" t="str">
        <f ca="1">IF(Proc[[#This Row],[DaysAgeing]]&gt;5,"yep","on track")</f>
        <v>yep</v>
      </c>
      <c r="Q2361" s="3">
        <f ca="1">IF(Proc[[#This Row],[DateClosed]]="",ABS(NETWORKDAYS(Proc[[#This Row],[DateOpened]],TODAY()))-1,ABS(NETWORKDAYS(Proc[[#This Row],[DateOpened]],Proc[[#This Row],[DateClosed]]))-1)</f>
        <v>133</v>
      </c>
      <c r="R2361" s="106" t="s">
        <v>780</v>
      </c>
      <c r="S2361" s="94"/>
    </row>
    <row r="2362" spans="1:19" hidden="1">
      <c r="A2362" s="103" t="s">
        <v>4188</v>
      </c>
      <c r="B2362" s="149" t="str">
        <f>IFERROR(VLOOKUP(Proc[[#This Row],[App]],Table2[],3,0),"open")</f>
        <v>ok</v>
      </c>
      <c r="C2362" s="103" t="s">
        <v>369</v>
      </c>
      <c r="D2362" t="s">
        <v>4241</v>
      </c>
      <c r="E2362" t="s">
        <v>4246</v>
      </c>
      <c r="F2362" s="117" t="s">
        <v>4246</v>
      </c>
      <c r="G2362" s="103" t="s">
        <v>400</v>
      </c>
      <c r="H2362" s="94" t="str">
        <f>IF(Proc[[#This Row],[type]]="LFF (MDG-F)",MID(Proc[[#This Row],[Obj]],13,10),"")</f>
        <v/>
      </c>
      <c r="J2362" s="94" t="b">
        <f>Proc[[#This Row],[Requested]]=Proc[[#This Row],[CurrentParent]]</f>
        <v>1</v>
      </c>
      <c r="K2362" s="144" t="str">
        <f>IF(Proc[[#This Row],[Author]]="Marcela Urrego",VLOOKUP(LEFT(Proc[[#This Row],[Requested]],1),Table3[#All],2,0),VLOOKUP(Proc[[#This Row],[Author]],Table4[],2,0))</f>
        <v>EL</v>
      </c>
      <c r="L2362" s="94" t="s">
        <v>2563</v>
      </c>
      <c r="M2362" s="105">
        <v>45825.476678240739</v>
      </c>
      <c r="N2362" s="105"/>
      <c r="O2362" s="105"/>
      <c r="P2362" s="106" t="str">
        <f ca="1">IF(Proc[[#This Row],[DaysAgeing]]&gt;5,"yep","on track")</f>
        <v>yep</v>
      </c>
      <c r="Q2362" s="3">
        <f ca="1">IF(Proc[[#This Row],[DateClosed]]="",ABS(NETWORKDAYS(Proc[[#This Row],[DateOpened]],TODAY()))-1,ABS(NETWORKDAYS(Proc[[#This Row],[DateOpened]],Proc[[#This Row],[DateClosed]]))-1)</f>
        <v>133</v>
      </c>
      <c r="R2362" s="106" t="s">
        <v>780</v>
      </c>
      <c r="S2362" s="94"/>
    </row>
    <row r="2363" spans="1:19" hidden="1">
      <c r="A2363" s="103" t="s">
        <v>4188</v>
      </c>
      <c r="B2363" s="149" t="str">
        <f>IFERROR(VLOOKUP(Proc[[#This Row],[App]],Table2[],3,0),"open")</f>
        <v>ok</v>
      </c>
      <c r="C2363" s="103" t="s">
        <v>369</v>
      </c>
      <c r="D2363" t="s">
        <v>4242</v>
      </c>
      <c r="E2363" t="s">
        <v>4246</v>
      </c>
      <c r="F2363" s="117" t="s">
        <v>4246</v>
      </c>
      <c r="G2363" s="103" t="s">
        <v>400</v>
      </c>
      <c r="H2363" s="94" t="str">
        <f>IF(Proc[[#This Row],[type]]="LFF (MDG-F)",MID(Proc[[#This Row],[Obj]],13,10),"")</f>
        <v/>
      </c>
      <c r="J2363" s="94" t="b">
        <f>Proc[[#This Row],[Requested]]=Proc[[#This Row],[CurrentParent]]</f>
        <v>1</v>
      </c>
      <c r="K2363" s="144" t="str">
        <f>IF(Proc[[#This Row],[Author]]="Marcela Urrego",VLOOKUP(LEFT(Proc[[#This Row],[Requested]],1),Table3[#All],2,0),VLOOKUP(Proc[[#This Row],[Author]],Table4[],2,0))</f>
        <v>EL</v>
      </c>
      <c r="L2363" s="94" t="s">
        <v>2563</v>
      </c>
      <c r="M2363" s="105">
        <v>45825.476678240739</v>
      </c>
      <c r="N2363" s="105"/>
      <c r="O2363" s="105"/>
      <c r="P2363" s="106" t="str">
        <f ca="1">IF(Proc[[#This Row],[DaysAgeing]]&gt;5,"yep","on track")</f>
        <v>yep</v>
      </c>
      <c r="Q2363" s="3">
        <f ca="1">IF(Proc[[#This Row],[DateClosed]]="",ABS(NETWORKDAYS(Proc[[#This Row],[DateOpened]],TODAY()))-1,ABS(NETWORKDAYS(Proc[[#This Row],[DateOpened]],Proc[[#This Row],[DateClosed]]))-1)</f>
        <v>133</v>
      </c>
      <c r="R2363" s="106" t="s">
        <v>780</v>
      </c>
      <c r="S2363" s="94"/>
    </row>
    <row r="2364" spans="1:19" hidden="1">
      <c r="A2364" s="103" t="s">
        <v>4188</v>
      </c>
      <c r="B2364" s="149" t="str">
        <f>IFERROR(VLOOKUP(Proc[[#This Row],[App]],Table2[],3,0),"open")</f>
        <v>ok</v>
      </c>
      <c r="C2364" s="103" t="s">
        <v>369</v>
      </c>
      <c r="D2364" t="s">
        <v>4243</v>
      </c>
      <c r="E2364" t="s">
        <v>4245</v>
      </c>
      <c r="F2364" s="117" t="s">
        <v>4245</v>
      </c>
      <c r="G2364" s="103" t="s">
        <v>400</v>
      </c>
      <c r="H2364" s="94" t="str">
        <f>IF(Proc[[#This Row],[type]]="LFF (MDG-F)",MID(Proc[[#This Row],[Obj]],13,10),"")</f>
        <v/>
      </c>
      <c r="J2364" s="94" t="b">
        <f>Proc[[#This Row],[Requested]]=Proc[[#This Row],[CurrentParent]]</f>
        <v>1</v>
      </c>
      <c r="K2364" s="144" t="str">
        <f>IF(Proc[[#This Row],[Author]]="Marcela Urrego",VLOOKUP(LEFT(Proc[[#This Row],[Requested]],1),Table3[#All],2,0),VLOOKUP(Proc[[#This Row],[Author]],Table4[],2,0))</f>
        <v>EL</v>
      </c>
      <c r="L2364" s="94" t="s">
        <v>2563</v>
      </c>
      <c r="M2364" s="105">
        <v>45825.476678240739</v>
      </c>
      <c r="N2364" s="105"/>
      <c r="O2364" s="105"/>
      <c r="P2364" s="106" t="str">
        <f ca="1">IF(Proc[[#This Row],[DaysAgeing]]&gt;5,"yep","on track")</f>
        <v>yep</v>
      </c>
      <c r="Q2364" s="3">
        <f ca="1">IF(Proc[[#This Row],[DateClosed]]="",ABS(NETWORKDAYS(Proc[[#This Row],[DateOpened]],TODAY()))-1,ABS(NETWORKDAYS(Proc[[#This Row],[DateOpened]],Proc[[#This Row],[DateClosed]]))-1)</f>
        <v>133</v>
      </c>
      <c r="R2364" s="106" t="s">
        <v>780</v>
      </c>
      <c r="S2364" s="94"/>
    </row>
    <row r="2365" spans="1:19" hidden="1">
      <c r="A2365" s="103" t="s">
        <v>4188</v>
      </c>
      <c r="B2365" s="149" t="str">
        <f>IFERROR(VLOOKUP(Proc[[#This Row],[App]],Table2[],3,0),"open")</f>
        <v>ok</v>
      </c>
      <c r="C2365" s="103" t="s">
        <v>369</v>
      </c>
      <c r="D2365" t="s">
        <v>4244</v>
      </c>
      <c r="E2365" t="s">
        <v>4246</v>
      </c>
      <c r="F2365" s="117" t="s">
        <v>4246</v>
      </c>
      <c r="G2365" s="103" t="s">
        <v>400</v>
      </c>
      <c r="H2365" s="94" t="str">
        <f>IF(Proc[[#This Row],[type]]="LFF (MDG-F)",MID(Proc[[#This Row],[Obj]],13,10),"")</f>
        <v/>
      </c>
      <c r="J2365" s="94" t="b">
        <f>Proc[[#This Row],[Requested]]=Proc[[#This Row],[CurrentParent]]</f>
        <v>1</v>
      </c>
      <c r="K2365" s="144" t="str">
        <f>IF(Proc[[#This Row],[Author]]="Marcela Urrego",VLOOKUP(LEFT(Proc[[#This Row],[Requested]],1),Table3[#All],2,0),VLOOKUP(Proc[[#This Row],[Author]],Table4[],2,0))</f>
        <v>EL</v>
      </c>
      <c r="L2365" s="94" t="s">
        <v>2563</v>
      </c>
      <c r="M2365" s="105">
        <v>45825.476678240739</v>
      </c>
      <c r="N2365" s="105"/>
      <c r="O2365" s="105"/>
      <c r="P2365" s="106" t="str">
        <f ca="1">IF(Proc[[#This Row],[DaysAgeing]]&gt;5,"yep","on track")</f>
        <v>yep</v>
      </c>
      <c r="Q2365" s="3">
        <f ca="1">IF(Proc[[#This Row],[DateClosed]]="",ABS(NETWORKDAYS(Proc[[#This Row],[DateOpened]],TODAY()))-1,ABS(NETWORKDAYS(Proc[[#This Row],[DateOpened]],Proc[[#This Row],[DateClosed]]))-1)</f>
        <v>133</v>
      </c>
      <c r="R2365" s="106" t="s">
        <v>780</v>
      </c>
      <c r="S2365" s="94"/>
    </row>
    <row r="2366" spans="1:19" hidden="1">
      <c r="A2366" s="103" t="s">
        <v>4188</v>
      </c>
      <c r="B2366" s="149" t="str">
        <f>IFERROR(VLOOKUP(Proc[[#This Row],[App]],Table2[],3,0),"open")</f>
        <v>ok</v>
      </c>
      <c r="C2366" s="103" t="s">
        <v>369</v>
      </c>
      <c r="D2366" t="s">
        <v>4247</v>
      </c>
      <c r="E2366" t="s">
        <v>4245</v>
      </c>
      <c r="F2366" s="117" t="s">
        <v>4245</v>
      </c>
      <c r="G2366" t="s">
        <v>406</v>
      </c>
      <c r="H2366" s="94" t="str">
        <f>IF(Proc[[#This Row],[type]]="LFF (MDG-F)",MID(Proc[[#This Row],[Obj]],13,10),"")</f>
        <v>DE10N11700</v>
      </c>
      <c r="I2366" t="s">
        <v>4288</v>
      </c>
      <c r="J2366" s="94" t="b">
        <f>Proc[[#This Row],[Requested]]=Proc[[#This Row],[CurrentParent]]</f>
        <v>1</v>
      </c>
      <c r="K2366" s="144" t="str">
        <f>IF(Proc[[#This Row],[Author]]="Marcela Urrego",VLOOKUP(LEFT(Proc[[#This Row],[Requested]],1),Table3[#All],2,0),VLOOKUP(Proc[[#This Row],[Author]],Table4[],2,0))</f>
        <v>EL</v>
      </c>
      <c r="L2366" s="94" t="s">
        <v>2563</v>
      </c>
      <c r="M2366" s="105">
        <v>45825.476678240739</v>
      </c>
      <c r="N2366" s="105"/>
      <c r="O2366" s="105"/>
      <c r="P2366" s="106" t="str">
        <f ca="1">IF(Proc[[#This Row],[DaysAgeing]]&gt;5,"yep","on track")</f>
        <v>yep</v>
      </c>
      <c r="Q2366" s="3">
        <f ca="1">IF(Proc[[#This Row],[DateClosed]]="",ABS(NETWORKDAYS(Proc[[#This Row],[DateOpened]],TODAY()))-1,ABS(NETWORKDAYS(Proc[[#This Row],[DateOpened]],Proc[[#This Row],[DateClosed]]))-1)</f>
        <v>133</v>
      </c>
      <c r="R2366" s="106" t="s">
        <v>780</v>
      </c>
      <c r="S2366" s="94"/>
    </row>
    <row r="2367" spans="1:19" hidden="1">
      <c r="A2367" s="103" t="s">
        <v>4188</v>
      </c>
      <c r="B2367" s="149" t="str">
        <f>IFERROR(VLOOKUP(Proc[[#This Row],[App]],Table2[],3,0),"open")</f>
        <v>ok</v>
      </c>
      <c r="C2367" s="103" t="s">
        <v>369</v>
      </c>
      <c r="D2367" t="s">
        <v>4248</v>
      </c>
      <c r="E2367" t="s">
        <v>4245</v>
      </c>
      <c r="F2367" s="117" t="s">
        <v>4245</v>
      </c>
      <c r="G2367" s="103" t="s">
        <v>406</v>
      </c>
      <c r="H2367" s="94" t="str">
        <f>IF(Proc[[#This Row],[type]]="LFF (MDG-F)",MID(Proc[[#This Row],[Obj]],13,10),"")</f>
        <v>DE10N11714</v>
      </c>
      <c r="I2367" s="103" t="s">
        <v>4288</v>
      </c>
      <c r="J2367" s="94" t="b">
        <f>Proc[[#This Row],[Requested]]=Proc[[#This Row],[CurrentParent]]</f>
        <v>1</v>
      </c>
      <c r="K2367" s="144" t="str">
        <f>IF(Proc[[#This Row],[Author]]="Marcela Urrego",VLOOKUP(LEFT(Proc[[#This Row],[Requested]],1),Table3[#All],2,0),VLOOKUP(Proc[[#This Row],[Author]],Table4[],2,0))</f>
        <v>EL</v>
      </c>
      <c r="L2367" s="94" t="s">
        <v>2563</v>
      </c>
      <c r="M2367" s="105">
        <v>45825.476678240739</v>
      </c>
      <c r="N2367" s="105"/>
      <c r="O2367" s="105"/>
      <c r="P2367" s="106" t="str">
        <f ca="1">IF(Proc[[#This Row],[DaysAgeing]]&gt;5,"yep","on track")</f>
        <v>yep</v>
      </c>
      <c r="Q2367" s="3">
        <f ca="1">IF(Proc[[#This Row],[DateClosed]]="",ABS(NETWORKDAYS(Proc[[#This Row],[DateOpened]],TODAY()))-1,ABS(NETWORKDAYS(Proc[[#This Row],[DateOpened]],Proc[[#This Row],[DateClosed]]))-1)</f>
        <v>133</v>
      </c>
      <c r="R2367" s="106" t="s">
        <v>780</v>
      </c>
      <c r="S2367" s="94"/>
    </row>
    <row r="2368" spans="1:19" hidden="1">
      <c r="A2368" s="103" t="s">
        <v>4188</v>
      </c>
      <c r="B2368" s="149" t="str">
        <f>IFERROR(VLOOKUP(Proc[[#This Row],[App]],Table2[],3,0),"open")</f>
        <v>ok</v>
      </c>
      <c r="C2368" s="103" t="s">
        <v>369</v>
      </c>
      <c r="D2368" t="s">
        <v>4249</v>
      </c>
      <c r="E2368" t="s">
        <v>4245</v>
      </c>
      <c r="F2368" s="117" t="s">
        <v>4245</v>
      </c>
      <c r="G2368" s="103" t="s">
        <v>406</v>
      </c>
      <c r="H2368" s="94" t="str">
        <f>IF(Proc[[#This Row],[type]]="LFF (MDG-F)",MID(Proc[[#This Row],[Obj]],13,10),"")</f>
        <v>DE10N11716</v>
      </c>
      <c r="I2368" s="103" t="s">
        <v>4288</v>
      </c>
      <c r="J2368" s="94" t="b">
        <f>Proc[[#This Row],[Requested]]=Proc[[#This Row],[CurrentParent]]</f>
        <v>1</v>
      </c>
      <c r="K2368" s="144" t="str">
        <f>IF(Proc[[#This Row],[Author]]="Marcela Urrego",VLOOKUP(LEFT(Proc[[#This Row],[Requested]],1),Table3[#All],2,0),VLOOKUP(Proc[[#This Row],[Author]],Table4[],2,0))</f>
        <v>EL</v>
      </c>
      <c r="L2368" s="94" t="s">
        <v>2563</v>
      </c>
      <c r="M2368" s="105">
        <v>45825.476678240739</v>
      </c>
      <c r="N2368" s="105"/>
      <c r="O2368" s="105"/>
      <c r="P2368" s="106" t="str">
        <f ca="1">IF(Proc[[#This Row],[DaysAgeing]]&gt;5,"yep","on track")</f>
        <v>yep</v>
      </c>
      <c r="Q2368" s="3">
        <f ca="1">IF(Proc[[#This Row],[DateClosed]]="",ABS(NETWORKDAYS(Proc[[#This Row],[DateOpened]],TODAY()))-1,ABS(NETWORKDAYS(Proc[[#This Row],[DateOpened]],Proc[[#This Row],[DateClosed]]))-1)</f>
        <v>133</v>
      </c>
      <c r="R2368" s="106" t="s">
        <v>780</v>
      </c>
      <c r="S2368" s="94"/>
    </row>
    <row r="2369" spans="1:19" hidden="1">
      <c r="A2369" s="103" t="s">
        <v>4188</v>
      </c>
      <c r="B2369" s="149" t="str">
        <f>IFERROR(VLOOKUP(Proc[[#This Row],[App]],Table2[],3,0),"open")</f>
        <v>ok</v>
      </c>
      <c r="C2369" s="103" t="s">
        <v>369</v>
      </c>
      <c r="D2369" t="s">
        <v>4250</v>
      </c>
      <c r="E2369" t="s">
        <v>4245</v>
      </c>
      <c r="F2369" s="117" t="s">
        <v>4245</v>
      </c>
      <c r="G2369" s="103" t="s">
        <v>406</v>
      </c>
      <c r="H2369" s="94" t="str">
        <f>IF(Proc[[#This Row],[type]]="LFF (MDG-F)",MID(Proc[[#This Row],[Obj]],13,10),"")</f>
        <v>DE10N11720</v>
      </c>
      <c r="I2369" s="103" t="s">
        <v>4288</v>
      </c>
      <c r="J2369" s="94" t="b">
        <f>Proc[[#This Row],[Requested]]=Proc[[#This Row],[CurrentParent]]</f>
        <v>1</v>
      </c>
      <c r="K2369" s="144" t="str">
        <f>IF(Proc[[#This Row],[Author]]="Marcela Urrego",VLOOKUP(LEFT(Proc[[#This Row],[Requested]],1),Table3[#All],2,0),VLOOKUP(Proc[[#This Row],[Author]],Table4[],2,0))</f>
        <v>EL</v>
      </c>
      <c r="L2369" s="94" t="s">
        <v>2563</v>
      </c>
      <c r="M2369" s="105">
        <v>45825.476678240739</v>
      </c>
      <c r="N2369" s="105"/>
      <c r="O2369" s="105"/>
      <c r="P2369" s="106" t="str">
        <f ca="1">IF(Proc[[#This Row],[DaysAgeing]]&gt;5,"yep","on track")</f>
        <v>yep</v>
      </c>
      <c r="Q2369" s="3">
        <f ca="1">IF(Proc[[#This Row],[DateClosed]]="",ABS(NETWORKDAYS(Proc[[#This Row],[DateOpened]],TODAY()))-1,ABS(NETWORKDAYS(Proc[[#This Row],[DateOpened]],Proc[[#This Row],[DateClosed]]))-1)</f>
        <v>133</v>
      </c>
      <c r="R2369" s="106" t="s">
        <v>780</v>
      </c>
      <c r="S2369" s="94"/>
    </row>
    <row r="2370" spans="1:19" hidden="1">
      <c r="A2370" s="103" t="s">
        <v>4188</v>
      </c>
      <c r="B2370" s="149" t="str">
        <f>IFERROR(VLOOKUP(Proc[[#This Row],[App]],Table2[],3,0),"open")</f>
        <v>ok</v>
      </c>
      <c r="C2370" s="103" t="s">
        <v>369</v>
      </c>
      <c r="D2370" t="s">
        <v>4251</v>
      </c>
      <c r="E2370" t="s">
        <v>4245</v>
      </c>
      <c r="F2370" s="117" t="s">
        <v>4245</v>
      </c>
      <c r="G2370" s="103" t="s">
        <v>406</v>
      </c>
      <c r="H2370" s="94" t="str">
        <f>IF(Proc[[#This Row],[type]]="LFF (MDG-F)",MID(Proc[[#This Row],[Obj]],13,10),"")</f>
        <v>DE10N11722</v>
      </c>
      <c r="I2370" s="103" t="s">
        <v>4288</v>
      </c>
      <c r="J2370" s="94" t="b">
        <f>Proc[[#This Row],[Requested]]=Proc[[#This Row],[CurrentParent]]</f>
        <v>1</v>
      </c>
      <c r="K2370" s="144" t="str">
        <f>IF(Proc[[#This Row],[Author]]="Marcela Urrego",VLOOKUP(LEFT(Proc[[#This Row],[Requested]],1),Table3[#All],2,0),VLOOKUP(Proc[[#This Row],[Author]],Table4[],2,0))</f>
        <v>EL</v>
      </c>
      <c r="L2370" s="94" t="s">
        <v>2563</v>
      </c>
      <c r="M2370" s="105">
        <v>45825.476678240739</v>
      </c>
      <c r="N2370" s="105"/>
      <c r="O2370" s="105"/>
      <c r="P2370" s="106" t="str">
        <f ca="1">IF(Proc[[#This Row],[DaysAgeing]]&gt;5,"yep","on track")</f>
        <v>yep</v>
      </c>
      <c r="Q2370" s="3">
        <f ca="1">IF(Proc[[#This Row],[DateClosed]]="",ABS(NETWORKDAYS(Proc[[#This Row],[DateOpened]],TODAY()))-1,ABS(NETWORKDAYS(Proc[[#This Row],[DateOpened]],Proc[[#This Row],[DateClosed]]))-1)</f>
        <v>133</v>
      </c>
      <c r="R2370" s="106" t="s">
        <v>780</v>
      </c>
      <c r="S2370" s="94"/>
    </row>
    <row r="2371" spans="1:19" hidden="1">
      <c r="A2371" s="103" t="s">
        <v>4188</v>
      </c>
      <c r="B2371" s="149" t="str">
        <f>IFERROR(VLOOKUP(Proc[[#This Row],[App]],Table2[],3,0),"open")</f>
        <v>ok</v>
      </c>
      <c r="C2371" s="103" t="s">
        <v>369</v>
      </c>
      <c r="D2371" t="s">
        <v>4252</v>
      </c>
      <c r="E2371" t="s">
        <v>4245</v>
      </c>
      <c r="F2371" s="117" t="s">
        <v>4245</v>
      </c>
      <c r="G2371" s="103" t="s">
        <v>406</v>
      </c>
      <c r="H2371" s="94" t="str">
        <f>IF(Proc[[#This Row],[type]]="LFF (MDG-F)",MID(Proc[[#This Row],[Obj]],13,10),"")</f>
        <v>DE10N11740</v>
      </c>
      <c r="I2371" s="103" t="s">
        <v>4288</v>
      </c>
      <c r="J2371" s="94" t="b">
        <f>Proc[[#This Row],[Requested]]=Proc[[#This Row],[CurrentParent]]</f>
        <v>1</v>
      </c>
      <c r="K2371" s="144" t="str">
        <f>IF(Proc[[#This Row],[Author]]="Marcela Urrego",VLOOKUP(LEFT(Proc[[#This Row],[Requested]],1),Table3[#All],2,0),VLOOKUP(Proc[[#This Row],[Author]],Table4[],2,0))</f>
        <v>EL</v>
      </c>
      <c r="L2371" s="94" t="s">
        <v>2563</v>
      </c>
      <c r="M2371" s="105">
        <v>45825.476678240739</v>
      </c>
      <c r="N2371" s="105"/>
      <c r="O2371" s="105"/>
      <c r="P2371" s="106" t="str">
        <f ca="1">IF(Proc[[#This Row],[DaysAgeing]]&gt;5,"yep","on track")</f>
        <v>yep</v>
      </c>
      <c r="Q2371" s="3">
        <f ca="1">IF(Proc[[#This Row],[DateClosed]]="",ABS(NETWORKDAYS(Proc[[#This Row],[DateOpened]],TODAY()))-1,ABS(NETWORKDAYS(Proc[[#This Row],[DateOpened]],Proc[[#This Row],[DateClosed]]))-1)</f>
        <v>133</v>
      </c>
      <c r="R2371" s="106" t="s">
        <v>780</v>
      </c>
      <c r="S2371" s="94"/>
    </row>
    <row r="2372" spans="1:19" hidden="1">
      <c r="A2372" s="103" t="s">
        <v>4188</v>
      </c>
      <c r="B2372" s="149" t="str">
        <f>IFERROR(VLOOKUP(Proc[[#This Row],[App]],Table2[],3,0),"open")</f>
        <v>ok</v>
      </c>
      <c r="C2372" s="103" t="s">
        <v>369</v>
      </c>
      <c r="D2372" t="s">
        <v>4253</v>
      </c>
      <c r="E2372" t="s">
        <v>4245</v>
      </c>
      <c r="F2372" s="117" t="s">
        <v>4245</v>
      </c>
      <c r="G2372" s="103" t="s">
        <v>406</v>
      </c>
      <c r="H2372" s="94" t="str">
        <f>IF(Proc[[#This Row],[type]]="LFF (MDG-F)",MID(Proc[[#This Row],[Obj]],13,10),"")</f>
        <v>DE10N11750</v>
      </c>
      <c r="I2372" s="103" t="s">
        <v>4288</v>
      </c>
      <c r="J2372" s="94" t="b">
        <f>Proc[[#This Row],[Requested]]=Proc[[#This Row],[CurrentParent]]</f>
        <v>1</v>
      </c>
      <c r="K2372" s="144" t="str">
        <f>IF(Proc[[#This Row],[Author]]="Marcela Urrego",VLOOKUP(LEFT(Proc[[#This Row],[Requested]],1),Table3[#All],2,0),VLOOKUP(Proc[[#This Row],[Author]],Table4[],2,0))</f>
        <v>EL</v>
      </c>
      <c r="L2372" s="94" t="s">
        <v>2563</v>
      </c>
      <c r="M2372" s="105">
        <v>45825.476678240739</v>
      </c>
      <c r="N2372" s="105"/>
      <c r="O2372" s="105"/>
      <c r="P2372" s="106" t="str">
        <f ca="1">IF(Proc[[#This Row],[DaysAgeing]]&gt;5,"yep","on track")</f>
        <v>yep</v>
      </c>
      <c r="Q2372" s="3">
        <f ca="1">IF(Proc[[#This Row],[DateClosed]]="",ABS(NETWORKDAYS(Proc[[#This Row],[DateOpened]],TODAY()))-1,ABS(NETWORKDAYS(Proc[[#This Row],[DateOpened]],Proc[[#This Row],[DateClosed]]))-1)</f>
        <v>133</v>
      </c>
      <c r="R2372" s="106" t="s">
        <v>780</v>
      </c>
      <c r="S2372" s="94"/>
    </row>
    <row r="2373" spans="1:19" hidden="1">
      <c r="A2373" s="103" t="s">
        <v>4188</v>
      </c>
      <c r="B2373" s="149" t="str">
        <f>IFERROR(VLOOKUP(Proc[[#This Row],[App]],Table2[],3,0),"open")</f>
        <v>ok</v>
      </c>
      <c r="C2373" s="103" t="s">
        <v>369</v>
      </c>
      <c r="D2373" t="s">
        <v>4254</v>
      </c>
      <c r="E2373" t="s">
        <v>4245</v>
      </c>
      <c r="F2373" s="117" t="s">
        <v>4245</v>
      </c>
      <c r="G2373" s="103" t="s">
        <v>406</v>
      </c>
      <c r="H2373" s="94" t="str">
        <f>IF(Proc[[#This Row],[type]]="LFF (MDG-F)",MID(Proc[[#This Row],[Obj]],13,10),"")</f>
        <v>DE10N11780</v>
      </c>
      <c r="I2373" s="103" t="s">
        <v>4288</v>
      </c>
      <c r="J2373" s="94" t="b">
        <f>Proc[[#This Row],[Requested]]=Proc[[#This Row],[CurrentParent]]</f>
        <v>1</v>
      </c>
      <c r="K2373" s="144" t="str">
        <f>IF(Proc[[#This Row],[Author]]="Marcela Urrego",VLOOKUP(LEFT(Proc[[#This Row],[Requested]],1),Table3[#All],2,0),VLOOKUP(Proc[[#This Row],[Author]],Table4[],2,0))</f>
        <v>EL</v>
      </c>
      <c r="L2373" s="94" t="s">
        <v>2563</v>
      </c>
      <c r="M2373" s="105">
        <v>45825.476678240739</v>
      </c>
      <c r="N2373" s="105"/>
      <c r="O2373" s="105"/>
      <c r="P2373" s="106" t="str">
        <f ca="1">IF(Proc[[#This Row],[DaysAgeing]]&gt;5,"yep","on track")</f>
        <v>yep</v>
      </c>
      <c r="Q2373" s="3">
        <f ca="1">IF(Proc[[#This Row],[DateClosed]]="",ABS(NETWORKDAYS(Proc[[#This Row],[DateOpened]],TODAY()))-1,ABS(NETWORKDAYS(Proc[[#This Row],[DateOpened]],Proc[[#This Row],[DateClosed]]))-1)</f>
        <v>133</v>
      </c>
      <c r="R2373" s="106" t="s">
        <v>780</v>
      </c>
      <c r="S2373" s="94"/>
    </row>
    <row r="2374" spans="1:19" hidden="1">
      <c r="A2374" s="103" t="s">
        <v>4188</v>
      </c>
      <c r="B2374" s="149" t="str">
        <f>IFERROR(VLOOKUP(Proc[[#This Row],[App]],Table2[],3,0),"open")</f>
        <v>ok</v>
      </c>
      <c r="C2374" s="103" t="s">
        <v>369</v>
      </c>
      <c r="D2374" t="s">
        <v>4255</v>
      </c>
      <c r="E2374" t="s">
        <v>4246</v>
      </c>
      <c r="F2374" s="117" t="s">
        <v>4246</v>
      </c>
      <c r="G2374" s="103" t="s">
        <v>406</v>
      </c>
      <c r="H2374" s="94" t="str">
        <f>IF(Proc[[#This Row],[type]]="LFF (MDG-F)",MID(Proc[[#This Row],[Obj]],13,10),"")</f>
        <v>DE10N11800</v>
      </c>
      <c r="I2374" s="103" t="s">
        <v>4288</v>
      </c>
      <c r="J2374" s="94" t="b">
        <f>Proc[[#This Row],[Requested]]=Proc[[#This Row],[CurrentParent]]</f>
        <v>1</v>
      </c>
      <c r="K2374" s="144" t="str">
        <f>IF(Proc[[#This Row],[Author]]="Marcela Urrego",VLOOKUP(LEFT(Proc[[#This Row],[Requested]],1),Table3[#All],2,0),VLOOKUP(Proc[[#This Row],[Author]],Table4[],2,0))</f>
        <v>EL</v>
      </c>
      <c r="L2374" s="94" t="s">
        <v>2563</v>
      </c>
      <c r="M2374" s="105">
        <v>45825.476678240739</v>
      </c>
      <c r="N2374" s="105"/>
      <c r="O2374" s="105"/>
      <c r="P2374" s="106" t="str">
        <f ca="1">IF(Proc[[#This Row],[DaysAgeing]]&gt;5,"yep","on track")</f>
        <v>yep</v>
      </c>
      <c r="Q2374" s="3">
        <f ca="1">IF(Proc[[#This Row],[DateClosed]]="",ABS(NETWORKDAYS(Proc[[#This Row],[DateOpened]],TODAY()))-1,ABS(NETWORKDAYS(Proc[[#This Row],[DateOpened]],Proc[[#This Row],[DateClosed]]))-1)</f>
        <v>133</v>
      </c>
      <c r="R2374" s="106" t="s">
        <v>780</v>
      </c>
      <c r="S2374" s="94"/>
    </row>
    <row r="2375" spans="1:19" hidden="1">
      <c r="A2375" s="103" t="s">
        <v>4188</v>
      </c>
      <c r="B2375" s="149" t="str">
        <f>IFERROR(VLOOKUP(Proc[[#This Row],[App]],Table2[],3,0),"open")</f>
        <v>ok</v>
      </c>
      <c r="C2375" s="103" t="s">
        <v>369</v>
      </c>
      <c r="D2375" t="s">
        <v>4256</v>
      </c>
      <c r="E2375" t="s">
        <v>4246</v>
      </c>
      <c r="F2375" s="117" t="s">
        <v>4246</v>
      </c>
      <c r="G2375" s="103" t="s">
        <v>406</v>
      </c>
      <c r="H2375" s="94" t="str">
        <f>IF(Proc[[#This Row],[type]]="LFF (MDG-F)",MID(Proc[[#This Row],[Obj]],13,10),"")</f>
        <v>DE10N11812</v>
      </c>
      <c r="I2375" s="103" t="s">
        <v>4288</v>
      </c>
      <c r="J2375" s="94" t="b">
        <f>Proc[[#This Row],[Requested]]=Proc[[#This Row],[CurrentParent]]</f>
        <v>1</v>
      </c>
      <c r="K2375" s="144" t="str">
        <f>IF(Proc[[#This Row],[Author]]="Marcela Urrego",VLOOKUP(LEFT(Proc[[#This Row],[Requested]],1),Table3[#All],2,0),VLOOKUP(Proc[[#This Row],[Author]],Table4[],2,0))</f>
        <v>EL</v>
      </c>
      <c r="L2375" s="94" t="s">
        <v>2563</v>
      </c>
      <c r="M2375" s="105">
        <v>45825.476678240739</v>
      </c>
      <c r="N2375" s="105"/>
      <c r="O2375" s="105"/>
      <c r="P2375" s="106" t="str">
        <f ca="1">IF(Proc[[#This Row],[DaysAgeing]]&gt;5,"yep","on track")</f>
        <v>yep</v>
      </c>
      <c r="Q2375" s="3">
        <f ca="1">IF(Proc[[#This Row],[DateClosed]]="",ABS(NETWORKDAYS(Proc[[#This Row],[DateOpened]],TODAY()))-1,ABS(NETWORKDAYS(Proc[[#This Row],[DateOpened]],Proc[[#This Row],[DateClosed]]))-1)</f>
        <v>133</v>
      </c>
      <c r="R2375" s="106" t="s">
        <v>780</v>
      </c>
      <c r="S2375" s="94"/>
    </row>
    <row r="2376" spans="1:19" hidden="1">
      <c r="A2376" s="103" t="s">
        <v>4188</v>
      </c>
      <c r="B2376" s="149" t="str">
        <f>IFERROR(VLOOKUP(Proc[[#This Row],[App]],Table2[],3,0),"open")</f>
        <v>ok</v>
      </c>
      <c r="C2376" s="103" t="s">
        <v>369</v>
      </c>
      <c r="D2376" t="s">
        <v>4257</v>
      </c>
      <c r="E2376" t="s">
        <v>4246</v>
      </c>
      <c r="F2376" s="117" t="s">
        <v>4246</v>
      </c>
      <c r="G2376" s="103" t="s">
        <v>406</v>
      </c>
      <c r="H2376" s="94" t="str">
        <f>IF(Proc[[#This Row],[type]]="LFF (MDG-F)",MID(Proc[[#This Row],[Obj]],13,10),"")</f>
        <v>DE10N11813</v>
      </c>
      <c r="I2376" s="103" t="s">
        <v>4288</v>
      </c>
      <c r="J2376" s="94" t="b">
        <f>Proc[[#This Row],[Requested]]=Proc[[#This Row],[CurrentParent]]</f>
        <v>1</v>
      </c>
      <c r="K2376" s="144" t="str">
        <f>IF(Proc[[#This Row],[Author]]="Marcela Urrego",VLOOKUP(LEFT(Proc[[#This Row],[Requested]],1),Table3[#All],2,0),VLOOKUP(Proc[[#This Row],[Author]],Table4[],2,0))</f>
        <v>EL</v>
      </c>
      <c r="L2376" s="94" t="s">
        <v>2563</v>
      </c>
      <c r="M2376" s="105">
        <v>45825.476678240739</v>
      </c>
      <c r="N2376" s="105"/>
      <c r="O2376" s="105"/>
      <c r="P2376" s="106" t="str">
        <f ca="1">IF(Proc[[#This Row],[DaysAgeing]]&gt;5,"yep","on track")</f>
        <v>yep</v>
      </c>
      <c r="Q2376" s="3">
        <f ca="1">IF(Proc[[#This Row],[DateClosed]]="",ABS(NETWORKDAYS(Proc[[#This Row],[DateOpened]],TODAY()))-1,ABS(NETWORKDAYS(Proc[[#This Row],[DateOpened]],Proc[[#This Row],[DateClosed]]))-1)</f>
        <v>133</v>
      </c>
      <c r="R2376" s="106" t="s">
        <v>780</v>
      </c>
      <c r="S2376" s="94"/>
    </row>
    <row r="2377" spans="1:19" hidden="1">
      <c r="A2377" s="103" t="s">
        <v>4188</v>
      </c>
      <c r="B2377" s="149" t="str">
        <f>IFERROR(VLOOKUP(Proc[[#This Row],[App]],Table2[],3,0),"open")</f>
        <v>ok</v>
      </c>
      <c r="C2377" s="103" t="s">
        <v>369</v>
      </c>
      <c r="D2377" t="s">
        <v>4258</v>
      </c>
      <c r="E2377" t="s">
        <v>4246</v>
      </c>
      <c r="F2377" s="117" t="s">
        <v>4246</v>
      </c>
      <c r="G2377" s="103" t="s">
        <v>406</v>
      </c>
      <c r="H2377" s="94" t="str">
        <f>IF(Proc[[#This Row],[type]]="LFF (MDG-F)",MID(Proc[[#This Row],[Obj]],13,10),"")</f>
        <v>DE10N11814</v>
      </c>
      <c r="I2377" s="103" t="s">
        <v>4288</v>
      </c>
      <c r="J2377" s="94" t="b">
        <f>Proc[[#This Row],[Requested]]=Proc[[#This Row],[CurrentParent]]</f>
        <v>1</v>
      </c>
      <c r="K2377" s="144" t="str">
        <f>IF(Proc[[#This Row],[Author]]="Marcela Urrego",VLOOKUP(LEFT(Proc[[#This Row],[Requested]],1),Table3[#All],2,0),VLOOKUP(Proc[[#This Row],[Author]],Table4[],2,0))</f>
        <v>EL</v>
      </c>
      <c r="L2377" s="94" t="s">
        <v>2563</v>
      </c>
      <c r="M2377" s="105">
        <v>45825.476678240739</v>
      </c>
      <c r="N2377" s="105"/>
      <c r="O2377" s="105"/>
      <c r="P2377" s="106" t="str">
        <f ca="1">IF(Proc[[#This Row],[DaysAgeing]]&gt;5,"yep","on track")</f>
        <v>yep</v>
      </c>
      <c r="Q2377" s="3">
        <f ca="1">IF(Proc[[#This Row],[DateClosed]]="",ABS(NETWORKDAYS(Proc[[#This Row],[DateOpened]],TODAY()))-1,ABS(NETWORKDAYS(Proc[[#This Row],[DateOpened]],Proc[[#This Row],[DateClosed]]))-1)</f>
        <v>133</v>
      </c>
      <c r="R2377" s="106" t="s">
        <v>780</v>
      </c>
      <c r="S2377" s="94"/>
    </row>
    <row r="2378" spans="1:19" hidden="1">
      <c r="A2378" s="103" t="s">
        <v>4188</v>
      </c>
      <c r="B2378" s="149" t="str">
        <f>IFERROR(VLOOKUP(Proc[[#This Row],[App]],Table2[],3,0),"open")</f>
        <v>ok</v>
      </c>
      <c r="C2378" s="103" t="s">
        <v>369</v>
      </c>
      <c r="D2378" t="s">
        <v>4259</v>
      </c>
      <c r="E2378" t="s">
        <v>4246</v>
      </c>
      <c r="F2378" s="117" t="s">
        <v>4246</v>
      </c>
      <c r="G2378" s="103" t="s">
        <v>406</v>
      </c>
      <c r="H2378" s="94" t="str">
        <f>IF(Proc[[#This Row],[type]]="LFF (MDG-F)",MID(Proc[[#This Row],[Obj]],13,10),"")</f>
        <v>DE10N11816</v>
      </c>
      <c r="I2378" s="103" t="s">
        <v>4288</v>
      </c>
      <c r="J2378" s="94" t="b">
        <f>Proc[[#This Row],[Requested]]=Proc[[#This Row],[CurrentParent]]</f>
        <v>1</v>
      </c>
      <c r="K2378" s="144" t="str">
        <f>IF(Proc[[#This Row],[Author]]="Marcela Urrego",VLOOKUP(LEFT(Proc[[#This Row],[Requested]],1),Table3[#All],2,0),VLOOKUP(Proc[[#This Row],[Author]],Table4[],2,0))</f>
        <v>EL</v>
      </c>
      <c r="L2378" s="94" t="s">
        <v>2563</v>
      </c>
      <c r="M2378" s="105">
        <v>45825.476678240739</v>
      </c>
      <c r="N2378" s="105"/>
      <c r="O2378" s="105"/>
      <c r="P2378" s="106" t="str">
        <f ca="1">IF(Proc[[#This Row],[DaysAgeing]]&gt;5,"yep","on track")</f>
        <v>yep</v>
      </c>
      <c r="Q2378" s="3">
        <f ca="1">IF(Proc[[#This Row],[DateClosed]]="",ABS(NETWORKDAYS(Proc[[#This Row],[DateOpened]],TODAY()))-1,ABS(NETWORKDAYS(Proc[[#This Row],[DateOpened]],Proc[[#This Row],[DateClosed]]))-1)</f>
        <v>133</v>
      </c>
      <c r="R2378" s="106" t="s">
        <v>780</v>
      </c>
      <c r="S2378" s="94"/>
    </row>
    <row r="2379" spans="1:19" hidden="1">
      <c r="A2379" s="103" t="s">
        <v>4188</v>
      </c>
      <c r="B2379" s="149" t="str">
        <f>IFERROR(VLOOKUP(Proc[[#This Row],[App]],Table2[],3,0),"open")</f>
        <v>ok</v>
      </c>
      <c r="C2379" s="103" t="s">
        <v>369</v>
      </c>
      <c r="D2379" t="s">
        <v>4260</v>
      </c>
      <c r="E2379" t="s">
        <v>4246</v>
      </c>
      <c r="F2379" s="117" t="s">
        <v>4246</v>
      </c>
      <c r="G2379" s="103" t="s">
        <v>406</v>
      </c>
      <c r="H2379" s="94" t="str">
        <f>IF(Proc[[#This Row],[type]]="LFF (MDG-F)",MID(Proc[[#This Row],[Obj]],13,10),"")</f>
        <v>DE10N11818</v>
      </c>
      <c r="I2379" s="103" t="s">
        <v>4288</v>
      </c>
      <c r="J2379" s="94" t="b">
        <f>Proc[[#This Row],[Requested]]=Proc[[#This Row],[CurrentParent]]</f>
        <v>1</v>
      </c>
      <c r="K2379" s="144" t="str">
        <f>IF(Proc[[#This Row],[Author]]="Marcela Urrego",VLOOKUP(LEFT(Proc[[#This Row],[Requested]],1),Table3[#All],2,0),VLOOKUP(Proc[[#This Row],[Author]],Table4[],2,0))</f>
        <v>EL</v>
      </c>
      <c r="L2379" s="94" t="s">
        <v>2563</v>
      </c>
      <c r="M2379" s="105">
        <v>45825.476678240739</v>
      </c>
      <c r="N2379" s="105"/>
      <c r="O2379" s="105"/>
      <c r="P2379" s="106" t="str">
        <f ca="1">IF(Proc[[#This Row],[DaysAgeing]]&gt;5,"yep","on track")</f>
        <v>yep</v>
      </c>
      <c r="Q2379" s="3">
        <f ca="1">IF(Proc[[#This Row],[DateClosed]]="",ABS(NETWORKDAYS(Proc[[#This Row],[DateOpened]],TODAY()))-1,ABS(NETWORKDAYS(Proc[[#This Row],[DateOpened]],Proc[[#This Row],[DateClosed]]))-1)</f>
        <v>133</v>
      </c>
      <c r="R2379" s="106" t="s">
        <v>780</v>
      </c>
      <c r="S2379" s="94"/>
    </row>
    <row r="2380" spans="1:19" hidden="1">
      <c r="A2380" s="103" t="s">
        <v>4188</v>
      </c>
      <c r="B2380" s="149" t="str">
        <f>IFERROR(VLOOKUP(Proc[[#This Row],[App]],Table2[],3,0),"open")</f>
        <v>ok</v>
      </c>
      <c r="C2380" s="103" t="s">
        <v>369</v>
      </c>
      <c r="D2380" t="s">
        <v>4261</v>
      </c>
      <c r="E2380" t="s">
        <v>4246</v>
      </c>
      <c r="F2380" s="117" t="s">
        <v>4246</v>
      </c>
      <c r="G2380" s="103" t="s">
        <v>406</v>
      </c>
      <c r="H2380" s="94" t="str">
        <f>IF(Proc[[#This Row],[type]]="LFF (MDG-F)",MID(Proc[[#This Row],[Obj]],13,10),"")</f>
        <v>DE10N11820</v>
      </c>
      <c r="I2380" s="103" t="s">
        <v>4288</v>
      </c>
      <c r="J2380" s="94" t="b">
        <f>Proc[[#This Row],[Requested]]=Proc[[#This Row],[CurrentParent]]</f>
        <v>1</v>
      </c>
      <c r="K2380" s="144" t="str">
        <f>IF(Proc[[#This Row],[Author]]="Marcela Urrego",VLOOKUP(LEFT(Proc[[#This Row],[Requested]],1),Table3[#All],2,0),VLOOKUP(Proc[[#This Row],[Author]],Table4[],2,0))</f>
        <v>EL</v>
      </c>
      <c r="L2380" s="94" t="s">
        <v>2563</v>
      </c>
      <c r="M2380" s="105">
        <v>45825.476678240739</v>
      </c>
      <c r="N2380" s="105"/>
      <c r="O2380" s="105"/>
      <c r="P2380" s="106" t="str">
        <f ca="1">IF(Proc[[#This Row],[DaysAgeing]]&gt;5,"yep","on track")</f>
        <v>yep</v>
      </c>
      <c r="Q2380" s="3">
        <f ca="1">IF(Proc[[#This Row],[DateClosed]]="",ABS(NETWORKDAYS(Proc[[#This Row],[DateOpened]],TODAY()))-1,ABS(NETWORKDAYS(Proc[[#This Row],[DateOpened]],Proc[[#This Row],[DateClosed]]))-1)</f>
        <v>133</v>
      </c>
      <c r="R2380" s="106" t="s">
        <v>780</v>
      </c>
      <c r="S2380" s="94"/>
    </row>
    <row r="2381" spans="1:19" hidden="1">
      <c r="A2381" s="103" t="s">
        <v>4188</v>
      </c>
      <c r="B2381" s="149" t="str">
        <f>IFERROR(VLOOKUP(Proc[[#This Row],[App]],Table2[],3,0),"open")</f>
        <v>ok</v>
      </c>
      <c r="C2381" s="103" t="s">
        <v>369</v>
      </c>
      <c r="D2381" t="s">
        <v>4262</v>
      </c>
      <c r="E2381" t="s">
        <v>4246</v>
      </c>
      <c r="F2381" s="117" t="s">
        <v>4246</v>
      </c>
      <c r="G2381" s="103" t="s">
        <v>406</v>
      </c>
      <c r="H2381" s="94" t="str">
        <f>IF(Proc[[#This Row],[type]]="LFF (MDG-F)",MID(Proc[[#This Row],[Obj]],13,10),"")</f>
        <v>DE10N11826</v>
      </c>
      <c r="I2381" s="103" t="s">
        <v>4288</v>
      </c>
      <c r="J2381" s="94" t="b">
        <f>Proc[[#This Row],[Requested]]=Proc[[#This Row],[CurrentParent]]</f>
        <v>1</v>
      </c>
      <c r="K2381" s="144" t="str">
        <f>IF(Proc[[#This Row],[Author]]="Marcela Urrego",VLOOKUP(LEFT(Proc[[#This Row],[Requested]],1),Table3[#All],2,0),VLOOKUP(Proc[[#This Row],[Author]],Table4[],2,0))</f>
        <v>EL</v>
      </c>
      <c r="L2381" s="94" t="s">
        <v>2563</v>
      </c>
      <c r="M2381" s="105">
        <v>45825.476678240739</v>
      </c>
      <c r="N2381" s="105"/>
      <c r="O2381" s="105"/>
      <c r="P2381" s="106" t="str">
        <f ca="1">IF(Proc[[#This Row],[DaysAgeing]]&gt;5,"yep","on track")</f>
        <v>yep</v>
      </c>
      <c r="Q2381" s="3">
        <f ca="1">IF(Proc[[#This Row],[DateClosed]]="",ABS(NETWORKDAYS(Proc[[#This Row],[DateOpened]],TODAY()))-1,ABS(NETWORKDAYS(Proc[[#This Row],[DateOpened]],Proc[[#This Row],[DateClosed]]))-1)</f>
        <v>133</v>
      </c>
      <c r="R2381" s="106" t="s">
        <v>780</v>
      </c>
      <c r="S2381" s="94"/>
    </row>
    <row r="2382" spans="1:19" hidden="1">
      <c r="A2382" s="103" t="s">
        <v>4188</v>
      </c>
      <c r="B2382" s="149" t="str">
        <f>IFERROR(VLOOKUP(Proc[[#This Row],[App]],Table2[],3,0),"open")</f>
        <v>ok</v>
      </c>
      <c r="C2382" s="103" t="s">
        <v>369</v>
      </c>
      <c r="D2382" t="s">
        <v>4263</v>
      </c>
      <c r="E2382" t="s">
        <v>4246</v>
      </c>
      <c r="F2382" s="117" t="s">
        <v>4246</v>
      </c>
      <c r="G2382" s="103" t="s">
        <v>406</v>
      </c>
      <c r="H2382" s="94" t="str">
        <f>IF(Proc[[#This Row],[type]]="LFF (MDG-F)",MID(Proc[[#This Row],[Obj]],13,10),"")</f>
        <v>DE10N11830</v>
      </c>
      <c r="I2382" s="103" t="s">
        <v>4288</v>
      </c>
      <c r="J2382" s="94" t="b">
        <f>Proc[[#This Row],[Requested]]=Proc[[#This Row],[CurrentParent]]</f>
        <v>1</v>
      </c>
      <c r="K2382" s="144" t="str">
        <f>IF(Proc[[#This Row],[Author]]="Marcela Urrego",VLOOKUP(LEFT(Proc[[#This Row],[Requested]],1),Table3[#All],2,0),VLOOKUP(Proc[[#This Row],[Author]],Table4[],2,0))</f>
        <v>EL</v>
      </c>
      <c r="L2382" s="94" t="s">
        <v>2563</v>
      </c>
      <c r="M2382" s="105">
        <v>45825.476678240739</v>
      </c>
      <c r="N2382" s="105"/>
      <c r="O2382" s="105"/>
      <c r="P2382" s="106" t="str">
        <f ca="1">IF(Proc[[#This Row],[DaysAgeing]]&gt;5,"yep","on track")</f>
        <v>yep</v>
      </c>
      <c r="Q2382" s="3">
        <f ca="1">IF(Proc[[#This Row],[DateClosed]]="",ABS(NETWORKDAYS(Proc[[#This Row],[DateOpened]],TODAY()))-1,ABS(NETWORKDAYS(Proc[[#This Row],[DateOpened]],Proc[[#This Row],[DateClosed]]))-1)</f>
        <v>133</v>
      </c>
      <c r="R2382" s="106" t="s">
        <v>780</v>
      </c>
      <c r="S2382" s="94"/>
    </row>
    <row r="2383" spans="1:19" hidden="1">
      <c r="A2383" s="103" t="s">
        <v>4188</v>
      </c>
      <c r="B2383" s="149" t="str">
        <f>IFERROR(VLOOKUP(Proc[[#This Row],[App]],Table2[],3,0),"open")</f>
        <v>ok</v>
      </c>
      <c r="C2383" s="103" t="s">
        <v>369</v>
      </c>
      <c r="D2383" t="s">
        <v>4264</v>
      </c>
      <c r="E2383" t="s">
        <v>4246</v>
      </c>
      <c r="F2383" s="117" t="s">
        <v>4246</v>
      </c>
      <c r="G2383" s="103" t="s">
        <v>406</v>
      </c>
      <c r="H2383" s="94" t="str">
        <f>IF(Proc[[#This Row],[type]]="LFF (MDG-F)",MID(Proc[[#This Row],[Obj]],13,10),"")</f>
        <v>DE10N11840</v>
      </c>
      <c r="I2383" s="103" t="s">
        <v>4288</v>
      </c>
      <c r="J2383" s="94" t="b">
        <f>Proc[[#This Row],[Requested]]=Proc[[#This Row],[CurrentParent]]</f>
        <v>1</v>
      </c>
      <c r="K2383" s="144" t="str">
        <f>IF(Proc[[#This Row],[Author]]="Marcela Urrego",VLOOKUP(LEFT(Proc[[#This Row],[Requested]],1),Table3[#All],2,0),VLOOKUP(Proc[[#This Row],[Author]],Table4[],2,0))</f>
        <v>EL</v>
      </c>
      <c r="L2383" s="94" t="s">
        <v>2563</v>
      </c>
      <c r="M2383" s="105">
        <v>45825.476678240739</v>
      </c>
      <c r="N2383" s="105"/>
      <c r="O2383" s="105"/>
      <c r="P2383" s="106" t="str">
        <f ca="1">IF(Proc[[#This Row],[DaysAgeing]]&gt;5,"yep","on track")</f>
        <v>yep</v>
      </c>
      <c r="Q2383" s="3">
        <f ca="1">IF(Proc[[#This Row],[DateClosed]]="",ABS(NETWORKDAYS(Proc[[#This Row],[DateOpened]],TODAY()))-1,ABS(NETWORKDAYS(Proc[[#This Row],[DateOpened]],Proc[[#This Row],[DateClosed]]))-1)</f>
        <v>133</v>
      </c>
      <c r="R2383" s="106" t="s">
        <v>780</v>
      </c>
      <c r="S2383" s="94"/>
    </row>
    <row r="2384" spans="1:19" hidden="1">
      <c r="A2384" s="103" t="s">
        <v>4188</v>
      </c>
      <c r="B2384" s="149" t="str">
        <f>IFERROR(VLOOKUP(Proc[[#This Row],[App]],Table2[],3,0),"open")</f>
        <v>ok</v>
      </c>
      <c r="C2384" s="103" t="s">
        <v>369</v>
      </c>
      <c r="D2384" t="s">
        <v>4265</v>
      </c>
      <c r="E2384" t="s">
        <v>4246</v>
      </c>
      <c r="F2384" s="117" t="s">
        <v>4246</v>
      </c>
      <c r="G2384" s="103" t="s">
        <v>406</v>
      </c>
      <c r="H2384" s="94" t="str">
        <f>IF(Proc[[#This Row],[type]]="LFF (MDG-F)",MID(Proc[[#This Row],[Obj]],13,10),"")</f>
        <v>DE10N11850</v>
      </c>
      <c r="I2384" s="103" t="s">
        <v>4288</v>
      </c>
      <c r="J2384" s="94" t="b">
        <f>Proc[[#This Row],[Requested]]=Proc[[#This Row],[CurrentParent]]</f>
        <v>1</v>
      </c>
      <c r="K2384" s="144" t="str">
        <f>IF(Proc[[#This Row],[Author]]="Marcela Urrego",VLOOKUP(LEFT(Proc[[#This Row],[Requested]],1),Table3[#All],2,0),VLOOKUP(Proc[[#This Row],[Author]],Table4[],2,0))</f>
        <v>EL</v>
      </c>
      <c r="L2384" s="94" t="s">
        <v>2563</v>
      </c>
      <c r="M2384" s="105">
        <v>45825.476678240739</v>
      </c>
      <c r="N2384" s="105"/>
      <c r="O2384" s="105"/>
      <c r="P2384" s="106" t="str">
        <f ca="1">IF(Proc[[#This Row],[DaysAgeing]]&gt;5,"yep","on track")</f>
        <v>yep</v>
      </c>
      <c r="Q2384" s="3">
        <f ca="1">IF(Proc[[#This Row],[DateClosed]]="",ABS(NETWORKDAYS(Proc[[#This Row],[DateOpened]],TODAY()))-1,ABS(NETWORKDAYS(Proc[[#This Row],[DateOpened]],Proc[[#This Row],[DateClosed]]))-1)</f>
        <v>133</v>
      </c>
      <c r="R2384" s="106" t="s">
        <v>780</v>
      </c>
      <c r="S2384" s="94"/>
    </row>
    <row r="2385" spans="1:19" hidden="1">
      <c r="A2385" s="103" t="s">
        <v>4188</v>
      </c>
      <c r="B2385" s="149" t="str">
        <f>IFERROR(VLOOKUP(Proc[[#This Row],[App]],Table2[],3,0),"open")</f>
        <v>ok</v>
      </c>
      <c r="C2385" s="103" t="s">
        <v>369</v>
      </c>
      <c r="D2385" t="s">
        <v>4266</v>
      </c>
      <c r="E2385" t="s">
        <v>4246</v>
      </c>
      <c r="F2385" s="117" t="s">
        <v>4246</v>
      </c>
      <c r="G2385" s="103" t="s">
        <v>406</v>
      </c>
      <c r="H2385" s="94" t="str">
        <f>IF(Proc[[#This Row],[type]]="LFF (MDG-F)",MID(Proc[[#This Row],[Obj]],13,10),"")</f>
        <v>DE10N11855</v>
      </c>
      <c r="I2385" s="103" t="s">
        <v>4288</v>
      </c>
      <c r="J2385" s="94" t="b">
        <f>Proc[[#This Row],[Requested]]=Proc[[#This Row],[CurrentParent]]</f>
        <v>1</v>
      </c>
      <c r="K2385" s="144" t="str">
        <f>IF(Proc[[#This Row],[Author]]="Marcela Urrego",VLOOKUP(LEFT(Proc[[#This Row],[Requested]],1),Table3[#All],2,0),VLOOKUP(Proc[[#This Row],[Author]],Table4[],2,0))</f>
        <v>EL</v>
      </c>
      <c r="L2385" s="94" t="s">
        <v>2563</v>
      </c>
      <c r="M2385" s="105">
        <v>45825.476678240739</v>
      </c>
      <c r="N2385" s="105"/>
      <c r="O2385" s="105"/>
      <c r="P2385" s="106" t="str">
        <f ca="1">IF(Proc[[#This Row],[DaysAgeing]]&gt;5,"yep","on track")</f>
        <v>yep</v>
      </c>
      <c r="Q2385" s="3">
        <f ca="1">IF(Proc[[#This Row],[DateClosed]]="",ABS(NETWORKDAYS(Proc[[#This Row],[DateOpened]],TODAY()))-1,ABS(NETWORKDAYS(Proc[[#This Row],[DateOpened]],Proc[[#This Row],[DateClosed]]))-1)</f>
        <v>133</v>
      </c>
      <c r="R2385" s="106" t="s">
        <v>780</v>
      </c>
      <c r="S2385" s="94"/>
    </row>
    <row r="2386" spans="1:19" hidden="1">
      <c r="A2386" s="103" t="s">
        <v>4188</v>
      </c>
      <c r="B2386" s="149" t="str">
        <f>IFERROR(VLOOKUP(Proc[[#This Row],[App]],Table2[],3,0),"open")</f>
        <v>ok</v>
      </c>
      <c r="C2386" s="103" t="s">
        <v>369</v>
      </c>
      <c r="D2386" t="s">
        <v>4267</v>
      </c>
      <c r="E2386" t="s">
        <v>4246</v>
      </c>
      <c r="F2386" s="117" t="s">
        <v>4246</v>
      </c>
      <c r="G2386" s="103" t="s">
        <v>406</v>
      </c>
      <c r="H2386" s="94" t="str">
        <f>IF(Proc[[#This Row],[type]]="LFF (MDG-F)",MID(Proc[[#This Row],[Obj]],13,10),"")</f>
        <v>DE10N11860</v>
      </c>
      <c r="I2386" s="103" t="s">
        <v>4288</v>
      </c>
      <c r="J2386" s="94" t="b">
        <f>Proc[[#This Row],[Requested]]=Proc[[#This Row],[CurrentParent]]</f>
        <v>1</v>
      </c>
      <c r="K2386" s="144" t="str">
        <f>IF(Proc[[#This Row],[Author]]="Marcela Urrego",VLOOKUP(LEFT(Proc[[#This Row],[Requested]],1),Table3[#All],2,0),VLOOKUP(Proc[[#This Row],[Author]],Table4[],2,0))</f>
        <v>EL</v>
      </c>
      <c r="L2386" s="94" t="s">
        <v>2563</v>
      </c>
      <c r="M2386" s="105">
        <v>45825.476678240739</v>
      </c>
      <c r="N2386" s="105"/>
      <c r="O2386" s="105"/>
      <c r="P2386" s="106" t="str">
        <f ca="1">IF(Proc[[#This Row],[DaysAgeing]]&gt;5,"yep","on track")</f>
        <v>yep</v>
      </c>
      <c r="Q2386" s="3">
        <f ca="1">IF(Proc[[#This Row],[DateClosed]]="",ABS(NETWORKDAYS(Proc[[#This Row],[DateOpened]],TODAY()))-1,ABS(NETWORKDAYS(Proc[[#This Row],[DateOpened]],Proc[[#This Row],[DateClosed]]))-1)</f>
        <v>133</v>
      </c>
      <c r="R2386" s="106" t="s">
        <v>780</v>
      </c>
      <c r="S2386" s="94"/>
    </row>
    <row r="2387" spans="1:19" hidden="1">
      <c r="A2387" s="103" t="s">
        <v>4188</v>
      </c>
      <c r="B2387" s="149" t="str">
        <f>IFERROR(VLOOKUP(Proc[[#This Row],[App]],Table2[],3,0),"open")</f>
        <v>ok</v>
      </c>
      <c r="C2387" s="103" t="s">
        <v>369</v>
      </c>
      <c r="D2387" t="s">
        <v>4268</v>
      </c>
      <c r="E2387" t="s">
        <v>4246</v>
      </c>
      <c r="F2387" s="117" t="s">
        <v>4246</v>
      </c>
      <c r="G2387" s="103" t="s">
        <v>406</v>
      </c>
      <c r="H2387" s="94" t="str">
        <f>IF(Proc[[#This Row],[type]]="LFF (MDG-F)",MID(Proc[[#This Row],[Obj]],13,10),"")</f>
        <v>DE10N11863</v>
      </c>
      <c r="I2387" s="103" t="s">
        <v>4288</v>
      </c>
      <c r="J2387" s="94" t="b">
        <f>Proc[[#This Row],[Requested]]=Proc[[#This Row],[CurrentParent]]</f>
        <v>1</v>
      </c>
      <c r="K2387" s="144" t="str">
        <f>IF(Proc[[#This Row],[Author]]="Marcela Urrego",VLOOKUP(LEFT(Proc[[#This Row],[Requested]],1),Table3[#All],2,0),VLOOKUP(Proc[[#This Row],[Author]],Table4[],2,0))</f>
        <v>EL</v>
      </c>
      <c r="L2387" s="94" t="s">
        <v>2563</v>
      </c>
      <c r="M2387" s="105">
        <v>45825.476678240739</v>
      </c>
      <c r="N2387" s="105"/>
      <c r="O2387" s="105"/>
      <c r="P2387" s="106" t="str">
        <f ca="1">IF(Proc[[#This Row],[DaysAgeing]]&gt;5,"yep","on track")</f>
        <v>yep</v>
      </c>
      <c r="Q2387" s="3">
        <f ca="1">IF(Proc[[#This Row],[DateClosed]]="",ABS(NETWORKDAYS(Proc[[#This Row],[DateOpened]],TODAY()))-1,ABS(NETWORKDAYS(Proc[[#This Row],[DateOpened]],Proc[[#This Row],[DateClosed]]))-1)</f>
        <v>133</v>
      </c>
      <c r="R2387" s="106" t="s">
        <v>780</v>
      </c>
      <c r="S2387" s="94"/>
    </row>
    <row r="2388" spans="1:19" hidden="1">
      <c r="A2388" s="103" t="s">
        <v>4188</v>
      </c>
      <c r="B2388" s="149" t="str">
        <f>IFERROR(VLOOKUP(Proc[[#This Row],[App]],Table2[],3,0),"open")</f>
        <v>ok</v>
      </c>
      <c r="C2388" s="103" t="s">
        <v>369</v>
      </c>
      <c r="D2388" t="s">
        <v>4269</v>
      </c>
      <c r="E2388" t="s">
        <v>4246</v>
      </c>
      <c r="F2388" s="117" t="s">
        <v>4246</v>
      </c>
      <c r="G2388" s="103" t="s">
        <v>406</v>
      </c>
      <c r="H2388" s="94" t="str">
        <f>IF(Proc[[#This Row],[type]]="LFF (MDG-F)",MID(Proc[[#This Row],[Obj]],13,10),"")</f>
        <v>DE10N11864</v>
      </c>
      <c r="I2388" s="103" t="s">
        <v>4288</v>
      </c>
      <c r="J2388" s="94" t="b">
        <f>Proc[[#This Row],[Requested]]=Proc[[#This Row],[CurrentParent]]</f>
        <v>1</v>
      </c>
      <c r="K2388" s="144" t="str">
        <f>IF(Proc[[#This Row],[Author]]="Marcela Urrego",VLOOKUP(LEFT(Proc[[#This Row],[Requested]],1),Table3[#All],2,0),VLOOKUP(Proc[[#This Row],[Author]],Table4[],2,0))</f>
        <v>EL</v>
      </c>
      <c r="L2388" s="94" t="s">
        <v>2563</v>
      </c>
      <c r="M2388" s="105">
        <v>45825.476678240739</v>
      </c>
      <c r="N2388" s="105"/>
      <c r="O2388" s="105"/>
      <c r="P2388" s="106" t="str">
        <f ca="1">IF(Proc[[#This Row],[DaysAgeing]]&gt;5,"yep","on track")</f>
        <v>yep</v>
      </c>
      <c r="Q2388" s="3">
        <f ca="1">IF(Proc[[#This Row],[DateClosed]]="",ABS(NETWORKDAYS(Proc[[#This Row],[DateOpened]],TODAY()))-1,ABS(NETWORKDAYS(Proc[[#This Row],[DateOpened]],Proc[[#This Row],[DateClosed]]))-1)</f>
        <v>133</v>
      </c>
      <c r="R2388" s="106" t="s">
        <v>780</v>
      </c>
      <c r="S2388" s="94"/>
    </row>
    <row r="2389" spans="1:19" hidden="1">
      <c r="A2389" s="103" t="s">
        <v>4188</v>
      </c>
      <c r="B2389" s="149" t="str">
        <f>IFERROR(VLOOKUP(Proc[[#This Row],[App]],Table2[],3,0),"open")</f>
        <v>ok</v>
      </c>
      <c r="C2389" s="103" t="s">
        <v>369</v>
      </c>
      <c r="D2389" t="s">
        <v>4270</v>
      </c>
      <c r="E2389" t="s">
        <v>4246</v>
      </c>
      <c r="F2389" s="117" t="s">
        <v>4246</v>
      </c>
      <c r="G2389" s="103" t="s">
        <v>406</v>
      </c>
      <c r="H2389" s="94" t="str">
        <f>IF(Proc[[#This Row],[type]]="LFF (MDG-F)",MID(Proc[[#This Row],[Obj]],13,10),"")</f>
        <v>DE10N11870</v>
      </c>
      <c r="I2389" s="103" t="s">
        <v>4288</v>
      </c>
      <c r="J2389" s="94" t="b">
        <f>Proc[[#This Row],[Requested]]=Proc[[#This Row],[CurrentParent]]</f>
        <v>1</v>
      </c>
      <c r="K2389" s="144" t="str">
        <f>IF(Proc[[#This Row],[Author]]="Marcela Urrego",VLOOKUP(LEFT(Proc[[#This Row],[Requested]],1),Table3[#All],2,0),VLOOKUP(Proc[[#This Row],[Author]],Table4[],2,0))</f>
        <v>EL</v>
      </c>
      <c r="L2389" s="94" t="s">
        <v>2563</v>
      </c>
      <c r="M2389" s="105">
        <v>45825.476678240739</v>
      </c>
      <c r="N2389" s="105"/>
      <c r="O2389" s="105"/>
      <c r="P2389" s="106" t="str">
        <f ca="1">IF(Proc[[#This Row],[DaysAgeing]]&gt;5,"yep","on track")</f>
        <v>yep</v>
      </c>
      <c r="Q2389" s="3">
        <f ca="1">IF(Proc[[#This Row],[DateClosed]]="",ABS(NETWORKDAYS(Proc[[#This Row],[DateOpened]],TODAY()))-1,ABS(NETWORKDAYS(Proc[[#This Row],[DateOpened]],Proc[[#This Row],[DateClosed]]))-1)</f>
        <v>133</v>
      </c>
      <c r="R2389" s="106" t="s">
        <v>780</v>
      </c>
      <c r="S2389" s="94"/>
    </row>
    <row r="2390" spans="1:19" hidden="1">
      <c r="A2390" s="103" t="s">
        <v>4188</v>
      </c>
      <c r="B2390" s="149" t="str">
        <f>IFERROR(VLOOKUP(Proc[[#This Row],[App]],Table2[],3,0),"open")</f>
        <v>ok</v>
      </c>
      <c r="C2390" s="103" t="s">
        <v>369</v>
      </c>
      <c r="D2390" t="s">
        <v>4271</v>
      </c>
      <c r="E2390" t="s">
        <v>4246</v>
      </c>
      <c r="F2390" s="117" t="s">
        <v>4246</v>
      </c>
      <c r="G2390" s="103" t="s">
        <v>406</v>
      </c>
      <c r="H2390" s="94" t="str">
        <f>IF(Proc[[#This Row],[type]]="LFF (MDG-F)",MID(Proc[[#This Row],[Obj]],13,10),"")</f>
        <v>DE10N11880</v>
      </c>
      <c r="I2390" s="103" t="s">
        <v>4288</v>
      </c>
      <c r="J2390" s="94" t="b">
        <f>Proc[[#This Row],[Requested]]=Proc[[#This Row],[CurrentParent]]</f>
        <v>1</v>
      </c>
      <c r="K2390" s="144" t="str">
        <f>IF(Proc[[#This Row],[Author]]="Marcela Urrego",VLOOKUP(LEFT(Proc[[#This Row],[Requested]],1),Table3[#All],2,0),VLOOKUP(Proc[[#This Row],[Author]],Table4[],2,0))</f>
        <v>EL</v>
      </c>
      <c r="L2390" s="94" t="s">
        <v>2563</v>
      </c>
      <c r="M2390" s="105">
        <v>45825.476678240739</v>
      </c>
      <c r="N2390" s="105"/>
      <c r="O2390" s="105"/>
      <c r="P2390" s="106" t="str">
        <f ca="1">IF(Proc[[#This Row],[DaysAgeing]]&gt;5,"yep","on track")</f>
        <v>yep</v>
      </c>
      <c r="Q2390" s="3">
        <f ca="1">IF(Proc[[#This Row],[DateClosed]]="",ABS(NETWORKDAYS(Proc[[#This Row],[DateOpened]],TODAY()))-1,ABS(NETWORKDAYS(Proc[[#This Row],[DateOpened]],Proc[[#This Row],[DateClosed]]))-1)</f>
        <v>133</v>
      </c>
      <c r="R2390" s="106" t="s">
        <v>780</v>
      </c>
      <c r="S2390" s="94"/>
    </row>
    <row r="2391" spans="1:19" hidden="1">
      <c r="A2391" s="103" t="s">
        <v>4188</v>
      </c>
      <c r="B2391" s="149" t="str">
        <f>IFERROR(VLOOKUP(Proc[[#This Row],[App]],Table2[],3,0),"open")</f>
        <v>ok</v>
      </c>
      <c r="C2391" s="103" t="s">
        <v>369</v>
      </c>
      <c r="D2391" t="s">
        <v>4272</v>
      </c>
      <c r="E2391" t="s">
        <v>4246</v>
      </c>
      <c r="F2391" s="117" t="s">
        <v>4246</v>
      </c>
      <c r="G2391" s="103" t="s">
        <v>406</v>
      </c>
      <c r="H2391" s="94" t="str">
        <f>IF(Proc[[#This Row],[type]]="LFF (MDG-F)",MID(Proc[[#This Row],[Obj]],13,10),"")</f>
        <v>DE10N11881</v>
      </c>
      <c r="I2391" s="103" t="s">
        <v>4288</v>
      </c>
      <c r="J2391" s="94" t="b">
        <f>Proc[[#This Row],[Requested]]=Proc[[#This Row],[CurrentParent]]</f>
        <v>1</v>
      </c>
      <c r="K2391" s="144" t="str">
        <f>IF(Proc[[#This Row],[Author]]="Marcela Urrego",VLOOKUP(LEFT(Proc[[#This Row],[Requested]],1),Table3[#All],2,0),VLOOKUP(Proc[[#This Row],[Author]],Table4[],2,0))</f>
        <v>EL</v>
      </c>
      <c r="L2391" s="94" t="s">
        <v>2563</v>
      </c>
      <c r="M2391" s="105">
        <v>45825.476678240739</v>
      </c>
      <c r="N2391" s="105"/>
      <c r="O2391" s="105"/>
      <c r="P2391" s="106" t="str">
        <f ca="1">IF(Proc[[#This Row],[DaysAgeing]]&gt;5,"yep","on track")</f>
        <v>yep</v>
      </c>
      <c r="Q2391" s="3">
        <f ca="1">IF(Proc[[#This Row],[DateClosed]]="",ABS(NETWORKDAYS(Proc[[#This Row],[DateOpened]],TODAY()))-1,ABS(NETWORKDAYS(Proc[[#This Row],[DateOpened]],Proc[[#This Row],[DateClosed]]))-1)</f>
        <v>133</v>
      </c>
      <c r="R2391" s="106" t="s">
        <v>780</v>
      </c>
      <c r="S2391" s="94"/>
    </row>
    <row r="2392" spans="1:19" hidden="1">
      <c r="A2392" t="s">
        <v>4287</v>
      </c>
      <c r="B2392" s="149" t="str">
        <f>IFERROR(VLOOKUP(Proc[[#This Row],[App]],Table2[],3,0),"open")</f>
        <v>ok</v>
      </c>
      <c r="C2392" s="103" t="s">
        <v>369</v>
      </c>
      <c r="D2392" t="s">
        <v>4273</v>
      </c>
      <c r="E2392" t="s">
        <v>419</v>
      </c>
      <c r="F2392" s="117" t="s">
        <v>419</v>
      </c>
      <c r="G2392" t="s">
        <v>400</v>
      </c>
      <c r="H2392" s="94" t="str">
        <f>IF(Proc[[#This Row],[type]]="LFF (MDG-F)",MID(Proc[[#This Row],[Obj]],13,10),"")</f>
        <v/>
      </c>
      <c r="J2392" s="94" t="b">
        <f>Proc[[#This Row],[Requested]]=Proc[[#This Row],[CurrentParent]]</f>
        <v>1</v>
      </c>
      <c r="K2392" s="144" t="str">
        <f>IF(Proc[[#This Row],[Author]]="Marcela Urrego",VLOOKUP(LEFT(Proc[[#This Row],[Requested]],1),Table3[#All],2,0),VLOOKUP(Proc[[#This Row],[Author]],Table4[],2,0))</f>
        <v>EL</v>
      </c>
      <c r="L2392" s="94" t="s">
        <v>2563</v>
      </c>
      <c r="M2392" s="105">
        <v>45825.508958333332</v>
      </c>
      <c r="N2392" s="105"/>
      <c r="O2392" s="105"/>
      <c r="P2392" s="106" t="str">
        <f ca="1">IF(Proc[[#This Row],[DaysAgeing]]&gt;5,"yep","on track")</f>
        <v>yep</v>
      </c>
      <c r="Q2392" s="3">
        <f ca="1">IF(Proc[[#This Row],[DateClosed]]="",ABS(NETWORKDAYS(Proc[[#This Row],[DateOpened]],TODAY()))-1,ABS(NETWORKDAYS(Proc[[#This Row],[DateOpened]],Proc[[#This Row],[DateClosed]]))-1)</f>
        <v>133</v>
      </c>
      <c r="R2392" s="106" t="s">
        <v>780</v>
      </c>
      <c r="S2392" s="94"/>
    </row>
    <row r="2393" spans="1:19" hidden="1">
      <c r="A2393" s="103" t="s">
        <v>4287</v>
      </c>
      <c r="B2393" s="149" t="str">
        <f>IFERROR(VLOOKUP(Proc[[#This Row],[App]],Table2[],3,0),"open")</f>
        <v>ok</v>
      </c>
      <c r="C2393" s="103" t="s">
        <v>369</v>
      </c>
      <c r="D2393" t="s">
        <v>4274</v>
      </c>
      <c r="E2393" t="s">
        <v>419</v>
      </c>
      <c r="F2393" s="117" t="s">
        <v>419</v>
      </c>
      <c r="G2393" s="103" t="s">
        <v>400</v>
      </c>
      <c r="H2393" s="94" t="str">
        <f>IF(Proc[[#This Row],[type]]="LFF (MDG-F)",MID(Proc[[#This Row],[Obj]],13,10),"")</f>
        <v/>
      </c>
      <c r="J2393" s="94" t="b">
        <f>Proc[[#This Row],[Requested]]=Proc[[#This Row],[CurrentParent]]</f>
        <v>1</v>
      </c>
      <c r="K2393" s="144" t="str">
        <f>IF(Proc[[#This Row],[Author]]="Marcela Urrego",VLOOKUP(LEFT(Proc[[#This Row],[Requested]],1),Table3[#All],2,0),VLOOKUP(Proc[[#This Row],[Author]],Table4[],2,0))</f>
        <v>EL</v>
      </c>
      <c r="L2393" s="94" t="s">
        <v>2563</v>
      </c>
      <c r="M2393" s="105">
        <v>45825.508958333332</v>
      </c>
      <c r="N2393" s="105"/>
      <c r="O2393" s="105"/>
      <c r="P2393" s="106" t="str">
        <f ca="1">IF(Proc[[#This Row],[DaysAgeing]]&gt;5,"yep","on track")</f>
        <v>yep</v>
      </c>
      <c r="Q2393" s="3">
        <f ca="1">IF(Proc[[#This Row],[DateClosed]]="",ABS(NETWORKDAYS(Proc[[#This Row],[DateOpened]],TODAY()))-1,ABS(NETWORKDAYS(Proc[[#This Row],[DateOpened]],Proc[[#This Row],[DateClosed]]))-1)</f>
        <v>133</v>
      </c>
      <c r="R2393" s="106" t="s">
        <v>780</v>
      </c>
      <c r="S2393" s="94"/>
    </row>
    <row r="2394" spans="1:19" hidden="1">
      <c r="A2394" s="103" t="s">
        <v>4287</v>
      </c>
      <c r="B2394" s="149" t="str">
        <f>IFERROR(VLOOKUP(Proc[[#This Row],[App]],Table2[],3,0),"open")</f>
        <v>ok</v>
      </c>
      <c r="C2394" s="103" t="s">
        <v>369</v>
      </c>
      <c r="D2394" t="s">
        <v>4275</v>
      </c>
      <c r="E2394" t="s">
        <v>419</v>
      </c>
      <c r="F2394" s="117" t="s">
        <v>419</v>
      </c>
      <c r="G2394" s="103" t="s">
        <v>400</v>
      </c>
      <c r="H2394" s="94" t="str">
        <f>IF(Proc[[#This Row],[type]]="LFF (MDG-F)",MID(Proc[[#This Row],[Obj]],13,10),"")</f>
        <v/>
      </c>
      <c r="J2394" s="94" t="b">
        <f>Proc[[#This Row],[Requested]]=Proc[[#This Row],[CurrentParent]]</f>
        <v>1</v>
      </c>
      <c r="K2394" s="144" t="str">
        <f>IF(Proc[[#This Row],[Author]]="Marcela Urrego",VLOOKUP(LEFT(Proc[[#This Row],[Requested]],1),Table3[#All],2,0),VLOOKUP(Proc[[#This Row],[Author]],Table4[],2,0))</f>
        <v>EL</v>
      </c>
      <c r="L2394" s="94" t="s">
        <v>2563</v>
      </c>
      <c r="M2394" s="105">
        <v>45825.508958333332</v>
      </c>
      <c r="N2394" s="105"/>
      <c r="O2394" s="105"/>
      <c r="P2394" s="106" t="str">
        <f ca="1">IF(Proc[[#This Row],[DaysAgeing]]&gt;5,"yep","on track")</f>
        <v>yep</v>
      </c>
      <c r="Q2394" s="3">
        <f ca="1">IF(Proc[[#This Row],[DateClosed]]="",ABS(NETWORKDAYS(Proc[[#This Row],[DateOpened]],TODAY()))-1,ABS(NETWORKDAYS(Proc[[#This Row],[DateOpened]],Proc[[#This Row],[DateClosed]]))-1)</f>
        <v>133</v>
      </c>
      <c r="R2394" s="106" t="s">
        <v>780</v>
      </c>
      <c r="S2394" s="94"/>
    </row>
    <row r="2395" spans="1:19" hidden="1">
      <c r="A2395" s="103" t="s">
        <v>4287</v>
      </c>
      <c r="B2395" s="149" t="str">
        <f>IFERROR(VLOOKUP(Proc[[#This Row],[App]],Table2[],3,0),"open")</f>
        <v>ok</v>
      </c>
      <c r="C2395" s="103" t="s">
        <v>369</v>
      </c>
      <c r="D2395" t="s">
        <v>4276</v>
      </c>
      <c r="E2395" t="s">
        <v>419</v>
      </c>
      <c r="F2395" s="117" t="s">
        <v>419</v>
      </c>
      <c r="G2395" s="103" t="s">
        <v>400</v>
      </c>
      <c r="H2395" s="94" t="str">
        <f>IF(Proc[[#This Row],[type]]="LFF (MDG-F)",MID(Proc[[#This Row],[Obj]],13,10),"")</f>
        <v/>
      </c>
      <c r="J2395" s="94" t="b">
        <f>Proc[[#This Row],[Requested]]=Proc[[#This Row],[CurrentParent]]</f>
        <v>1</v>
      </c>
      <c r="K2395" s="144" t="str">
        <f>IF(Proc[[#This Row],[Author]]="Marcela Urrego",VLOOKUP(LEFT(Proc[[#This Row],[Requested]],1),Table3[#All],2,0),VLOOKUP(Proc[[#This Row],[Author]],Table4[],2,0))</f>
        <v>EL</v>
      </c>
      <c r="L2395" s="94" t="s">
        <v>2563</v>
      </c>
      <c r="M2395" s="105">
        <v>45825.508958333332</v>
      </c>
      <c r="N2395" s="105"/>
      <c r="O2395" s="105"/>
      <c r="P2395" s="106" t="str">
        <f ca="1">IF(Proc[[#This Row],[DaysAgeing]]&gt;5,"yep","on track")</f>
        <v>yep</v>
      </c>
      <c r="Q2395" s="3">
        <f ca="1">IF(Proc[[#This Row],[DateClosed]]="",ABS(NETWORKDAYS(Proc[[#This Row],[DateOpened]],TODAY()))-1,ABS(NETWORKDAYS(Proc[[#This Row],[DateOpened]],Proc[[#This Row],[DateClosed]]))-1)</f>
        <v>133</v>
      </c>
      <c r="R2395" s="106" t="s">
        <v>780</v>
      </c>
      <c r="S2395" s="94"/>
    </row>
    <row r="2396" spans="1:19" hidden="1">
      <c r="A2396" s="103" t="s">
        <v>4287</v>
      </c>
      <c r="B2396" s="149" t="str">
        <f>IFERROR(VLOOKUP(Proc[[#This Row],[App]],Table2[],3,0),"open")</f>
        <v>ok</v>
      </c>
      <c r="C2396" s="103" t="s">
        <v>369</v>
      </c>
      <c r="D2396" t="s">
        <v>4277</v>
      </c>
      <c r="E2396" t="s">
        <v>419</v>
      </c>
      <c r="F2396" s="117" t="s">
        <v>419</v>
      </c>
      <c r="G2396" s="103" t="s">
        <v>400</v>
      </c>
      <c r="H2396" s="94" t="str">
        <f>IF(Proc[[#This Row],[type]]="LFF (MDG-F)",MID(Proc[[#This Row],[Obj]],13,10),"")</f>
        <v/>
      </c>
      <c r="J2396" s="94" t="b">
        <f>Proc[[#This Row],[Requested]]=Proc[[#This Row],[CurrentParent]]</f>
        <v>1</v>
      </c>
      <c r="K2396" s="144" t="str">
        <f>IF(Proc[[#This Row],[Author]]="Marcela Urrego",VLOOKUP(LEFT(Proc[[#This Row],[Requested]],1),Table3[#All],2,0),VLOOKUP(Proc[[#This Row],[Author]],Table4[],2,0))</f>
        <v>EL</v>
      </c>
      <c r="L2396" s="94" t="s">
        <v>2563</v>
      </c>
      <c r="M2396" s="105">
        <v>45825.508958333332</v>
      </c>
      <c r="N2396" s="105"/>
      <c r="O2396" s="105"/>
      <c r="P2396" s="106" t="str">
        <f ca="1">IF(Proc[[#This Row],[DaysAgeing]]&gt;5,"yep","on track")</f>
        <v>yep</v>
      </c>
      <c r="Q2396" s="3">
        <f ca="1">IF(Proc[[#This Row],[DateClosed]]="",ABS(NETWORKDAYS(Proc[[#This Row],[DateOpened]],TODAY()))-1,ABS(NETWORKDAYS(Proc[[#This Row],[DateOpened]],Proc[[#This Row],[DateClosed]]))-1)</f>
        <v>133</v>
      </c>
      <c r="R2396" s="106" t="s">
        <v>780</v>
      </c>
      <c r="S2396" s="94"/>
    </row>
    <row r="2397" spans="1:19" hidden="1">
      <c r="A2397" s="103" t="s">
        <v>4287</v>
      </c>
      <c r="B2397" s="149" t="str">
        <f>IFERROR(VLOOKUP(Proc[[#This Row],[App]],Table2[],3,0),"open")</f>
        <v>ok</v>
      </c>
      <c r="C2397" s="103" t="s">
        <v>369</v>
      </c>
      <c r="D2397" t="s">
        <v>4278</v>
      </c>
      <c r="E2397" t="s">
        <v>419</v>
      </c>
      <c r="F2397" s="117" t="s">
        <v>419</v>
      </c>
      <c r="G2397" s="103" t="s">
        <v>400</v>
      </c>
      <c r="H2397" s="94" t="str">
        <f>IF(Proc[[#This Row],[type]]="LFF (MDG-F)",MID(Proc[[#This Row],[Obj]],13,10),"")</f>
        <v/>
      </c>
      <c r="J2397" s="94" t="b">
        <f>Proc[[#This Row],[Requested]]=Proc[[#This Row],[CurrentParent]]</f>
        <v>1</v>
      </c>
      <c r="K2397" s="144" t="str">
        <f>IF(Proc[[#This Row],[Author]]="Marcela Urrego",VLOOKUP(LEFT(Proc[[#This Row],[Requested]],1),Table3[#All],2,0),VLOOKUP(Proc[[#This Row],[Author]],Table4[],2,0))</f>
        <v>EL</v>
      </c>
      <c r="L2397" s="94" t="s">
        <v>2563</v>
      </c>
      <c r="M2397" s="105">
        <v>45825.508958333332</v>
      </c>
      <c r="N2397" s="105"/>
      <c r="O2397" s="105"/>
      <c r="P2397" s="106" t="str">
        <f ca="1">IF(Proc[[#This Row],[DaysAgeing]]&gt;5,"yep","on track")</f>
        <v>yep</v>
      </c>
      <c r="Q2397" s="3">
        <f ca="1">IF(Proc[[#This Row],[DateClosed]]="",ABS(NETWORKDAYS(Proc[[#This Row],[DateOpened]],TODAY()))-1,ABS(NETWORKDAYS(Proc[[#This Row],[DateOpened]],Proc[[#This Row],[DateClosed]]))-1)</f>
        <v>133</v>
      </c>
      <c r="R2397" s="106" t="s">
        <v>780</v>
      </c>
      <c r="S2397" s="94"/>
    </row>
    <row r="2398" spans="1:19" hidden="1">
      <c r="A2398" s="103" t="s">
        <v>4287</v>
      </c>
      <c r="B2398" s="149" t="str">
        <f>IFERROR(VLOOKUP(Proc[[#This Row],[App]],Table2[],3,0),"open")</f>
        <v>ok</v>
      </c>
      <c r="C2398" s="103" t="s">
        <v>369</v>
      </c>
      <c r="D2398" t="s">
        <v>4279</v>
      </c>
      <c r="E2398" t="s">
        <v>419</v>
      </c>
      <c r="F2398" s="117" t="s">
        <v>419</v>
      </c>
      <c r="G2398" s="103" t="s">
        <v>400</v>
      </c>
      <c r="H2398" s="94" t="str">
        <f>IF(Proc[[#This Row],[type]]="LFF (MDG-F)",MID(Proc[[#This Row],[Obj]],13,10),"")</f>
        <v/>
      </c>
      <c r="J2398" s="94" t="b">
        <f>Proc[[#This Row],[Requested]]=Proc[[#This Row],[CurrentParent]]</f>
        <v>1</v>
      </c>
      <c r="K2398" s="144" t="str">
        <f>IF(Proc[[#This Row],[Author]]="Marcela Urrego",VLOOKUP(LEFT(Proc[[#This Row],[Requested]],1),Table3[#All],2,0),VLOOKUP(Proc[[#This Row],[Author]],Table4[],2,0))</f>
        <v>EL</v>
      </c>
      <c r="L2398" s="94" t="s">
        <v>2563</v>
      </c>
      <c r="M2398" s="105">
        <v>45825.508958333332</v>
      </c>
      <c r="N2398" s="105"/>
      <c r="O2398" s="105"/>
      <c r="P2398" s="106" t="str">
        <f ca="1">IF(Proc[[#This Row],[DaysAgeing]]&gt;5,"yep","on track")</f>
        <v>yep</v>
      </c>
      <c r="Q2398" s="3">
        <f ca="1">IF(Proc[[#This Row],[DateClosed]]="",ABS(NETWORKDAYS(Proc[[#This Row],[DateOpened]],TODAY()))-1,ABS(NETWORKDAYS(Proc[[#This Row],[DateOpened]],Proc[[#This Row],[DateClosed]]))-1)</f>
        <v>133</v>
      </c>
      <c r="R2398" s="106" t="s">
        <v>780</v>
      </c>
      <c r="S2398" s="94"/>
    </row>
    <row r="2399" spans="1:19" hidden="1">
      <c r="A2399" s="103" t="s">
        <v>4287</v>
      </c>
      <c r="B2399" s="149" t="str">
        <f>IFERROR(VLOOKUP(Proc[[#This Row],[App]],Table2[],3,0),"open")</f>
        <v>ok</v>
      </c>
      <c r="C2399" s="103" t="s">
        <v>369</v>
      </c>
      <c r="D2399" t="s">
        <v>4280</v>
      </c>
      <c r="E2399" t="s">
        <v>419</v>
      </c>
      <c r="F2399" s="117" t="s">
        <v>419</v>
      </c>
      <c r="G2399" s="103" t="s">
        <v>400</v>
      </c>
      <c r="H2399" s="94" t="str">
        <f>IF(Proc[[#This Row],[type]]="LFF (MDG-F)",MID(Proc[[#This Row],[Obj]],13,10),"")</f>
        <v/>
      </c>
      <c r="J2399" s="94" t="b">
        <f>Proc[[#This Row],[Requested]]=Proc[[#This Row],[CurrentParent]]</f>
        <v>1</v>
      </c>
      <c r="K2399" s="144" t="str">
        <f>IF(Proc[[#This Row],[Author]]="Marcela Urrego",VLOOKUP(LEFT(Proc[[#This Row],[Requested]],1),Table3[#All],2,0),VLOOKUP(Proc[[#This Row],[Author]],Table4[],2,0))</f>
        <v>EL</v>
      </c>
      <c r="L2399" s="94" t="s">
        <v>2563</v>
      </c>
      <c r="M2399" s="105">
        <v>45825.508958333332</v>
      </c>
      <c r="N2399" s="105"/>
      <c r="O2399" s="105"/>
      <c r="P2399" s="106" t="str">
        <f ca="1">IF(Proc[[#This Row],[DaysAgeing]]&gt;5,"yep","on track")</f>
        <v>yep</v>
      </c>
      <c r="Q2399" s="3">
        <f ca="1">IF(Proc[[#This Row],[DateClosed]]="",ABS(NETWORKDAYS(Proc[[#This Row],[DateOpened]],TODAY()))-1,ABS(NETWORKDAYS(Proc[[#This Row],[DateOpened]],Proc[[#This Row],[DateClosed]]))-1)</f>
        <v>133</v>
      </c>
      <c r="R2399" s="106" t="s">
        <v>780</v>
      </c>
      <c r="S2399" s="94"/>
    </row>
    <row r="2400" spans="1:19" hidden="1">
      <c r="A2400" s="103" t="s">
        <v>4287</v>
      </c>
      <c r="B2400" s="149" t="str">
        <f>IFERROR(VLOOKUP(Proc[[#This Row],[App]],Table2[],3,0),"open")</f>
        <v>ok</v>
      </c>
      <c r="C2400" s="103" t="s">
        <v>369</v>
      </c>
      <c r="D2400" t="s">
        <v>4281</v>
      </c>
      <c r="E2400" t="s">
        <v>419</v>
      </c>
      <c r="F2400" s="117" t="s">
        <v>419</v>
      </c>
      <c r="G2400" s="103" t="s">
        <v>400</v>
      </c>
      <c r="H2400" s="94" t="str">
        <f>IF(Proc[[#This Row],[type]]="LFF (MDG-F)",MID(Proc[[#This Row],[Obj]],13,10),"")</f>
        <v/>
      </c>
      <c r="J2400" s="94" t="b">
        <f>Proc[[#This Row],[Requested]]=Proc[[#This Row],[CurrentParent]]</f>
        <v>1</v>
      </c>
      <c r="K2400" s="144" t="str">
        <f>IF(Proc[[#This Row],[Author]]="Marcela Urrego",VLOOKUP(LEFT(Proc[[#This Row],[Requested]],1),Table3[#All],2,0),VLOOKUP(Proc[[#This Row],[Author]],Table4[],2,0))</f>
        <v>EL</v>
      </c>
      <c r="L2400" s="94" t="s">
        <v>2563</v>
      </c>
      <c r="M2400" s="105">
        <v>45825.508958333332</v>
      </c>
      <c r="N2400" s="105"/>
      <c r="O2400" s="105"/>
      <c r="P2400" s="106" t="str">
        <f ca="1">IF(Proc[[#This Row],[DaysAgeing]]&gt;5,"yep","on track")</f>
        <v>yep</v>
      </c>
      <c r="Q2400" s="3">
        <f ca="1">IF(Proc[[#This Row],[DateClosed]]="",ABS(NETWORKDAYS(Proc[[#This Row],[DateOpened]],TODAY()))-1,ABS(NETWORKDAYS(Proc[[#This Row],[DateOpened]],Proc[[#This Row],[DateClosed]]))-1)</f>
        <v>133</v>
      </c>
      <c r="R2400" s="106" t="s">
        <v>780</v>
      </c>
      <c r="S2400" s="94"/>
    </row>
    <row r="2401" spans="1:19" hidden="1">
      <c r="A2401" s="103" t="s">
        <v>4287</v>
      </c>
      <c r="B2401" s="149" t="str">
        <f>IFERROR(VLOOKUP(Proc[[#This Row],[App]],Table2[],3,0),"open")</f>
        <v>ok</v>
      </c>
      <c r="C2401" s="103" t="s">
        <v>369</v>
      </c>
      <c r="D2401" t="s">
        <v>4282</v>
      </c>
      <c r="E2401" t="s">
        <v>419</v>
      </c>
      <c r="F2401" s="117" t="s">
        <v>419</v>
      </c>
      <c r="G2401" s="103" t="s">
        <v>400</v>
      </c>
      <c r="H2401" s="94" t="str">
        <f>IF(Proc[[#This Row],[type]]="LFF (MDG-F)",MID(Proc[[#This Row],[Obj]],13,10),"")</f>
        <v/>
      </c>
      <c r="J2401" s="94" t="b">
        <f>Proc[[#This Row],[Requested]]=Proc[[#This Row],[CurrentParent]]</f>
        <v>1</v>
      </c>
      <c r="K2401" s="144" t="str">
        <f>IF(Proc[[#This Row],[Author]]="Marcela Urrego",VLOOKUP(LEFT(Proc[[#This Row],[Requested]],1),Table3[#All],2,0),VLOOKUP(Proc[[#This Row],[Author]],Table4[],2,0))</f>
        <v>EL</v>
      </c>
      <c r="L2401" s="94" t="s">
        <v>2563</v>
      </c>
      <c r="M2401" s="105">
        <v>45825.508958333332</v>
      </c>
      <c r="N2401" s="105"/>
      <c r="O2401" s="105"/>
      <c r="P2401" s="106" t="str">
        <f ca="1">IF(Proc[[#This Row],[DaysAgeing]]&gt;5,"yep","on track")</f>
        <v>yep</v>
      </c>
      <c r="Q2401" s="3">
        <f ca="1">IF(Proc[[#This Row],[DateClosed]]="",ABS(NETWORKDAYS(Proc[[#This Row],[DateOpened]],TODAY()))-1,ABS(NETWORKDAYS(Proc[[#This Row],[DateOpened]],Proc[[#This Row],[DateClosed]]))-1)</f>
        <v>133</v>
      </c>
      <c r="R2401" s="106" t="s">
        <v>780</v>
      </c>
      <c r="S2401" s="94"/>
    </row>
    <row r="2402" spans="1:19" hidden="1">
      <c r="A2402" s="103" t="s">
        <v>4287</v>
      </c>
      <c r="B2402" s="149" t="str">
        <f>IFERROR(VLOOKUP(Proc[[#This Row],[App]],Table2[],3,0),"open")</f>
        <v>ok</v>
      </c>
      <c r="C2402" s="103" t="s">
        <v>369</v>
      </c>
      <c r="D2402" t="s">
        <v>4283</v>
      </c>
      <c r="E2402" t="s">
        <v>2430</v>
      </c>
      <c r="F2402" s="117" t="s">
        <v>2430</v>
      </c>
      <c r="G2402" s="103" t="s">
        <v>400</v>
      </c>
      <c r="H2402" s="94" t="str">
        <f>IF(Proc[[#This Row],[type]]="LFF (MDG-F)",MID(Proc[[#This Row],[Obj]],13,10),"")</f>
        <v/>
      </c>
      <c r="J2402" s="94" t="b">
        <f>Proc[[#This Row],[Requested]]=Proc[[#This Row],[CurrentParent]]</f>
        <v>1</v>
      </c>
      <c r="K2402" s="144" t="str">
        <f>IF(Proc[[#This Row],[Author]]="Marcela Urrego",VLOOKUP(LEFT(Proc[[#This Row],[Requested]],1),Table3[#All],2,0),VLOOKUP(Proc[[#This Row],[Author]],Table4[],2,0))</f>
        <v>EL</v>
      </c>
      <c r="L2402" s="94" t="s">
        <v>2563</v>
      </c>
      <c r="M2402" s="105">
        <v>45825.508958333332</v>
      </c>
      <c r="N2402" s="105"/>
      <c r="O2402" s="105"/>
      <c r="P2402" s="106" t="str">
        <f ca="1">IF(Proc[[#This Row],[DaysAgeing]]&gt;5,"yep","on track")</f>
        <v>yep</v>
      </c>
      <c r="Q2402" s="3">
        <f ca="1">IF(Proc[[#This Row],[DateClosed]]="",ABS(NETWORKDAYS(Proc[[#This Row],[DateOpened]],TODAY()))-1,ABS(NETWORKDAYS(Proc[[#This Row],[DateOpened]],Proc[[#This Row],[DateClosed]]))-1)</f>
        <v>133</v>
      </c>
      <c r="R2402" s="106" t="s">
        <v>780</v>
      </c>
      <c r="S2402" s="94"/>
    </row>
    <row r="2403" spans="1:19" hidden="1">
      <c r="A2403" s="103" t="s">
        <v>4287</v>
      </c>
      <c r="B2403" s="149" t="str">
        <f>IFERROR(VLOOKUP(Proc[[#This Row],[App]],Table2[],3,0),"open")</f>
        <v>ok</v>
      </c>
      <c r="C2403" s="103" t="s">
        <v>369</v>
      </c>
      <c r="D2403" t="s">
        <v>4284</v>
      </c>
      <c r="E2403" t="s">
        <v>2430</v>
      </c>
      <c r="F2403" s="117" t="s">
        <v>2430</v>
      </c>
      <c r="G2403" s="103" t="s">
        <v>400</v>
      </c>
      <c r="H2403" s="94" t="str">
        <f>IF(Proc[[#This Row],[type]]="LFF (MDG-F)",MID(Proc[[#This Row],[Obj]],13,10),"")</f>
        <v/>
      </c>
      <c r="J2403" s="94" t="b">
        <f>Proc[[#This Row],[Requested]]=Proc[[#This Row],[CurrentParent]]</f>
        <v>1</v>
      </c>
      <c r="K2403" s="144" t="str">
        <f>IF(Proc[[#This Row],[Author]]="Marcela Urrego",VLOOKUP(LEFT(Proc[[#This Row],[Requested]],1),Table3[#All],2,0),VLOOKUP(Proc[[#This Row],[Author]],Table4[],2,0))</f>
        <v>EL</v>
      </c>
      <c r="L2403" s="94" t="s">
        <v>2563</v>
      </c>
      <c r="M2403" s="105">
        <v>45825.508958333332</v>
      </c>
      <c r="N2403" s="105"/>
      <c r="O2403" s="105"/>
      <c r="P2403" s="106" t="str">
        <f ca="1">IF(Proc[[#This Row],[DaysAgeing]]&gt;5,"yep","on track")</f>
        <v>yep</v>
      </c>
      <c r="Q2403" s="3">
        <f ca="1">IF(Proc[[#This Row],[DateClosed]]="",ABS(NETWORKDAYS(Proc[[#This Row],[DateOpened]],TODAY()))-1,ABS(NETWORKDAYS(Proc[[#This Row],[DateOpened]],Proc[[#This Row],[DateClosed]]))-1)</f>
        <v>133</v>
      </c>
      <c r="R2403" s="106" t="s">
        <v>780</v>
      </c>
      <c r="S2403" s="94"/>
    </row>
    <row r="2404" spans="1:19" hidden="1">
      <c r="A2404" s="103" t="s">
        <v>4287</v>
      </c>
      <c r="B2404" s="149" t="str">
        <f>IFERROR(VLOOKUP(Proc[[#This Row],[App]],Table2[],3,0),"open")</f>
        <v>ok</v>
      </c>
      <c r="C2404" s="103" t="s">
        <v>369</v>
      </c>
      <c r="D2404" t="s">
        <v>4285</v>
      </c>
      <c r="E2404" t="s">
        <v>2430</v>
      </c>
      <c r="F2404" s="117" t="s">
        <v>2430</v>
      </c>
      <c r="G2404" s="103" t="s">
        <v>400</v>
      </c>
      <c r="H2404" s="94" t="str">
        <f>IF(Proc[[#This Row],[type]]="LFF (MDG-F)",MID(Proc[[#This Row],[Obj]],13,10),"")</f>
        <v/>
      </c>
      <c r="J2404" s="94" t="b">
        <f>Proc[[#This Row],[Requested]]=Proc[[#This Row],[CurrentParent]]</f>
        <v>1</v>
      </c>
      <c r="K2404" s="144" t="str">
        <f>IF(Proc[[#This Row],[Author]]="Marcela Urrego",VLOOKUP(LEFT(Proc[[#This Row],[Requested]],1),Table3[#All],2,0),VLOOKUP(Proc[[#This Row],[Author]],Table4[],2,0))</f>
        <v>EL</v>
      </c>
      <c r="L2404" s="94" t="s">
        <v>2563</v>
      </c>
      <c r="M2404" s="105">
        <v>45825.508958333332</v>
      </c>
      <c r="N2404" s="105"/>
      <c r="O2404" s="105"/>
      <c r="P2404" s="106" t="str">
        <f ca="1">IF(Proc[[#This Row],[DaysAgeing]]&gt;5,"yep","on track")</f>
        <v>yep</v>
      </c>
      <c r="Q2404" s="3">
        <f ca="1">IF(Proc[[#This Row],[DateClosed]]="",ABS(NETWORKDAYS(Proc[[#This Row],[DateOpened]],TODAY()))-1,ABS(NETWORKDAYS(Proc[[#This Row],[DateOpened]],Proc[[#This Row],[DateClosed]]))-1)</f>
        <v>133</v>
      </c>
      <c r="R2404" s="106" t="s">
        <v>780</v>
      </c>
      <c r="S2404" s="94"/>
    </row>
    <row r="2405" spans="1:19" hidden="1">
      <c r="A2405" s="103" t="s">
        <v>4287</v>
      </c>
      <c r="B2405" s="149" t="str">
        <f>IFERROR(VLOOKUP(Proc[[#This Row],[App]],Table2[],3,0),"open")</f>
        <v>ok</v>
      </c>
      <c r="C2405" s="103" t="s">
        <v>369</v>
      </c>
      <c r="D2405" t="s">
        <v>4286</v>
      </c>
      <c r="E2405" t="s">
        <v>2430</v>
      </c>
      <c r="F2405" s="117" t="s">
        <v>2430</v>
      </c>
      <c r="G2405" s="103" t="s">
        <v>400</v>
      </c>
      <c r="H2405" s="94" t="str">
        <f>IF(Proc[[#This Row],[type]]="LFF (MDG-F)",MID(Proc[[#This Row],[Obj]],13,10),"")</f>
        <v/>
      </c>
      <c r="J2405" s="94" t="b">
        <f>Proc[[#This Row],[Requested]]=Proc[[#This Row],[CurrentParent]]</f>
        <v>1</v>
      </c>
      <c r="K2405" s="144" t="str">
        <f>IF(Proc[[#This Row],[Author]]="Marcela Urrego",VLOOKUP(LEFT(Proc[[#This Row],[Requested]],1),Table3[#All],2,0),VLOOKUP(Proc[[#This Row],[Author]],Table4[],2,0))</f>
        <v>EL</v>
      </c>
      <c r="L2405" s="94" t="s">
        <v>2563</v>
      </c>
      <c r="M2405" s="105">
        <v>45825.508958333332</v>
      </c>
      <c r="N2405" s="105"/>
      <c r="O2405" s="105"/>
      <c r="P2405" s="106" t="str">
        <f ca="1">IF(Proc[[#This Row],[DaysAgeing]]&gt;5,"yep","on track")</f>
        <v>yep</v>
      </c>
      <c r="Q2405" s="3">
        <f ca="1">IF(Proc[[#This Row],[DateClosed]]="",ABS(NETWORKDAYS(Proc[[#This Row],[DateOpened]],TODAY()))-1,ABS(NETWORKDAYS(Proc[[#This Row],[DateOpened]],Proc[[#This Row],[DateClosed]]))-1)</f>
        <v>133</v>
      </c>
      <c r="R2405" s="106" t="s">
        <v>780</v>
      </c>
      <c r="S2405" s="94"/>
    </row>
    <row r="2406" spans="1:19" hidden="1">
      <c r="A2406" t="s">
        <v>4290</v>
      </c>
      <c r="B2406" s="149" t="str">
        <f>IFERROR(VLOOKUP(Proc[[#This Row],[App]],Table2[],3,0),"open")</f>
        <v>ok</v>
      </c>
      <c r="C2406" s="103" t="s">
        <v>369</v>
      </c>
      <c r="D2406" t="s">
        <v>4289</v>
      </c>
      <c r="E2406" t="s">
        <v>2561</v>
      </c>
      <c r="F2406" s="117" t="s">
        <v>2561</v>
      </c>
      <c r="G2406" t="s">
        <v>406</v>
      </c>
      <c r="H2406" s="94" t="str">
        <f>IF(Proc[[#This Row],[type]]="LFF (MDG-F)",MID(Proc[[#This Row],[Obj]],13,10),"")</f>
        <v>CH50L95008</v>
      </c>
      <c r="J2406" s="94" t="b">
        <f>Proc[[#This Row],[Requested]]=Proc[[#This Row],[CurrentParent]]</f>
        <v>1</v>
      </c>
      <c r="K2406" s="144" t="str">
        <f>IF(Proc[[#This Row],[Author]]="Marcela Urrego",VLOOKUP(LEFT(Proc[[#This Row],[Requested]],1),Table3[#All],2,0),VLOOKUP(Proc[[#This Row],[Author]],Table4[],2,0))</f>
        <v>HC</v>
      </c>
      <c r="L2406" s="94" t="s">
        <v>2563</v>
      </c>
      <c r="M2406" s="106">
        <v>45825.508958333332</v>
      </c>
      <c r="N2406" s="107"/>
      <c r="O2406" s="107"/>
      <c r="P2406" s="106" t="str">
        <f ca="1">IF(Proc[[#This Row],[DaysAgeing]]&gt;5,"yep","on track")</f>
        <v>yep</v>
      </c>
      <c r="Q2406" s="3">
        <f ca="1">IF(Proc[[#This Row],[DateClosed]]="",ABS(NETWORKDAYS(Proc[[#This Row],[DateOpened]],TODAY()))-1,ABS(NETWORKDAYS(Proc[[#This Row],[DateOpened]],Proc[[#This Row],[DateClosed]]))-1)</f>
        <v>133</v>
      </c>
      <c r="R2406" s="106" t="s">
        <v>3639</v>
      </c>
      <c r="S2406" s="94"/>
    </row>
    <row r="2407" spans="1:19" hidden="1">
      <c r="A2407" t="s">
        <v>4293</v>
      </c>
      <c r="B2407" s="149" t="str">
        <f>IFERROR(VLOOKUP(Proc[[#This Row],[App]],Table2[],3,0),"open")</f>
        <v>ok</v>
      </c>
      <c r="C2407" t="s">
        <v>377</v>
      </c>
      <c r="D2407" t="s">
        <v>4291</v>
      </c>
      <c r="E2407" t="s">
        <v>4292</v>
      </c>
      <c r="F2407" s="94">
        <v>0</v>
      </c>
      <c r="G2407" s="103" t="s">
        <v>400</v>
      </c>
      <c r="H2407" s="94" t="str">
        <f>IF(Proc[[#This Row],[type]]="LFF (MDG-F)",MID(Proc[[#This Row],[Obj]],13,10),"")</f>
        <v/>
      </c>
      <c r="J2407" s="94" t="b">
        <f>Proc[[#This Row],[Requested]]=Proc[[#This Row],[CurrentParent]]</f>
        <v>0</v>
      </c>
      <c r="K2407" s="144" t="str">
        <f>IF(Proc[[#This Row],[Author]]="Marcela Urrego",VLOOKUP(LEFT(Proc[[#This Row],[Requested]],1),Table3[#All],2,0),VLOOKUP(Proc[[#This Row],[Author]],Table4[],2,0))</f>
        <v>LS</v>
      </c>
      <c r="L2407" s="125" t="s">
        <v>2563</v>
      </c>
      <c r="M2407" s="106">
        <v>45828.508958333332</v>
      </c>
      <c r="N2407" s="107"/>
      <c r="O2407" s="107">
        <v>45831</v>
      </c>
      <c r="P2407" s="106" t="str">
        <f ca="1">IF(Proc[[#This Row],[DaysAgeing]]&gt;5,"yep","on track")</f>
        <v>on track</v>
      </c>
      <c r="Q2407" s="3">
        <f ca="1">IF(Proc[[#This Row],[DateClosed]]="",ABS(NETWORKDAYS(Proc[[#This Row],[DateOpened]],TODAY()))-1,ABS(NETWORKDAYS(Proc[[#This Row],[DateOpened]],Proc[[#This Row],[DateClosed]]))-1)</f>
        <v>1</v>
      </c>
      <c r="R2407" s="106" t="s">
        <v>972</v>
      </c>
      <c r="S2407" s="94"/>
    </row>
    <row r="2408" spans="1:19" hidden="1">
      <c r="A2408" t="s">
        <v>4294</v>
      </c>
      <c r="B2408" s="149" t="str">
        <f>IFERROR(VLOOKUP(Proc[[#This Row],[App]],Table2[],3,0),"open")</f>
        <v>ok</v>
      </c>
      <c r="C2408" s="103" t="s">
        <v>369</v>
      </c>
      <c r="D2408" t="s">
        <v>2677</v>
      </c>
      <c r="E2408" t="s">
        <v>2678</v>
      </c>
      <c r="F2408" s="117" t="s">
        <v>2678</v>
      </c>
      <c r="G2408" s="103" t="s">
        <v>400</v>
      </c>
      <c r="H2408" s="94" t="str">
        <f>IF(Proc[[#This Row],[type]]="LFF (MDG-F)",MID(Proc[[#This Row],[Obj]],13,10),"")</f>
        <v/>
      </c>
      <c r="J2408" s="94" t="b">
        <f>Proc[[#This Row],[Requested]]=Proc[[#This Row],[CurrentParent]]</f>
        <v>1</v>
      </c>
      <c r="K2408" s="144" t="str">
        <f>IF(Proc[[#This Row],[Author]]="Marcela Urrego",VLOOKUP(LEFT(Proc[[#This Row],[Requested]],1),Table3[#All],2,0),VLOOKUP(Proc[[#This Row],[Author]],Table4[],2,0))</f>
        <v>LS</v>
      </c>
      <c r="L2408" s="125" t="s">
        <v>2563</v>
      </c>
      <c r="M2408" s="106">
        <v>45828.508958333332</v>
      </c>
      <c r="N2408" s="107">
        <v>45831</v>
      </c>
      <c r="O2408" s="107">
        <v>45831</v>
      </c>
      <c r="P2408" s="106" t="str">
        <f ca="1">IF(Proc[[#This Row],[DaysAgeing]]&gt;5,"yep","on track")</f>
        <v>on track</v>
      </c>
      <c r="Q2408" s="3">
        <f ca="1">IF(Proc[[#This Row],[DateClosed]]="",ABS(NETWORKDAYS(Proc[[#This Row],[DateOpened]],TODAY()))-1,ABS(NETWORKDAYS(Proc[[#This Row],[DateOpened]],Proc[[#This Row],[DateClosed]]))-1)</f>
        <v>1</v>
      </c>
      <c r="R2408" s="106" t="s">
        <v>2679</v>
      </c>
      <c r="S2408" s="94"/>
    </row>
    <row r="2409" spans="1:19" hidden="1">
      <c r="A2409" t="s">
        <v>4301</v>
      </c>
      <c r="B2409" s="149" t="str">
        <f>IFERROR(VLOOKUP(Proc[[#This Row],[App]],Table2[],3,0),"open")</f>
        <v>ok</v>
      </c>
      <c r="C2409" t="s">
        <v>377</v>
      </c>
      <c r="D2409" t="s">
        <v>4295</v>
      </c>
      <c r="E2409" t="s">
        <v>4299</v>
      </c>
      <c r="F2409" s="94"/>
      <c r="G2409" s="103" t="s">
        <v>400</v>
      </c>
      <c r="H2409" s="94" t="str">
        <f>IF(Proc[[#This Row],[type]]="LFF (MDG-F)",MID(Proc[[#This Row],[Obj]],13,10),"")</f>
        <v/>
      </c>
      <c r="I2409" t="s">
        <v>4302</v>
      </c>
      <c r="J2409" s="94" t="b">
        <f>Proc[[#This Row],[Requested]]=Proc[[#This Row],[CurrentParent]]</f>
        <v>0</v>
      </c>
      <c r="K2409" s="144" t="str">
        <f>IF(Proc[[#This Row],[Author]]="Marcela Urrego",VLOOKUP(LEFT(Proc[[#This Row],[Requested]],1),Table3[#All],2,0),VLOOKUP(Proc[[#This Row],[Author]],Table4[],2,0))</f>
        <v>HC</v>
      </c>
      <c r="L2409" s="125" t="s">
        <v>2563</v>
      </c>
      <c r="M2409" s="107">
        <v>45828.384247685186</v>
      </c>
      <c r="N2409" s="107"/>
      <c r="O2409" s="107"/>
      <c r="P2409" s="108" t="str">
        <f ca="1">IF(Proc[[#This Row],[DaysAgeing]]&gt;5,"yep","on track")</f>
        <v>yep</v>
      </c>
      <c r="Q2409" s="3">
        <f ca="1">IF(Proc[[#This Row],[DateClosed]]="",ABS(NETWORKDAYS(Proc[[#This Row],[DateOpened]],TODAY()))-1,ABS(NETWORKDAYS(Proc[[#This Row],[DateOpened]],Proc[[#This Row],[DateClosed]]))-1)</f>
        <v>130</v>
      </c>
      <c r="R2409" s="108" t="s">
        <v>415</v>
      </c>
      <c r="S2409" s="94"/>
    </row>
    <row r="2410" spans="1:19" hidden="1">
      <c r="A2410" s="103" t="s">
        <v>4301</v>
      </c>
      <c r="B2410" s="149" t="str">
        <f>IFERROR(VLOOKUP(Proc[[#This Row],[App]],Table2[],3,0),"open")</f>
        <v>ok</v>
      </c>
      <c r="C2410" s="103" t="s">
        <v>369</v>
      </c>
      <c r="D2410" t="s">
        <v>4296</v>
      </c>
      <c r="E2410" t="s">
        <v>4300</v>
      </c>
      <c r="F2410" s="120" t="s">
        <v>4300</v>
      </c>
      <c r="G2410" s="103" t="s">
        <v>400</v>
      </c>
      <c r="H2410" s="94" t="str">
        <f>IF(Proc[[#This Row],[type]]="LFF (MDG-F)",MID(Proc[[#This Row],[Obj]],13,10),"")</f>
        <v/>
      </c>
      <c r="J2410" s="94" t="b">
        <f>Proc[[#This Row],[Requested]]=Proc[[#This Row],[CurrentParent]]</f>
        <v>1</v>
      </c>
      <c r="K2410" s="144" t="str">
        <f>IF(Proc[[#This Row],[Author]]="Marcela Urrego",VLOOKUP(LEFT(Proc[[#This Row],[Requested]],1),Table3[#All],2,0),VLOOKUP(Proc[[#This Row],[Author]],Table4[],2,0))</f>
        <v>HC</v>
      </c>
      <c r="L2410" s="125" t="s">
        <v>2563</v>
      </c>
      <c r="M2410" s="107">
        <v>45828.384247685186</v>
      </c>
      <c r="N2410" s="107"/>
      <c r="O2410" s="107"/>
      <c r="P2410" s="108" t="str">
        <f ca="1">IF(Proc[[#This Row],[DaysAgeing]]&gt;5,"yep","on track")</f>
        <v>yep</v>
      </c>
      <c r="Q2410" s="3">
        <f ca="1">IF(Proc[[#This Row],[DateClosed]]="",ABS(NETWORKDAYS(Proc[[#This Row],[DateOpened]],TODAY()))-1,ABS(NETWORKDAYS(Proc[[#This Row],[DateOpened]],Proc[[#This Row],[DateClosed]]))-1)</f>
        <v>130</v>
      </c>
      <c r="R2410" s="108" t="s">
        <v>415</v>
      </c>
      <c r="S2410" s="94"/>
    </row>
    <row r="2411" spans="1:19" hidden="1">
      <c r="A2411" s="103" t="s">
        <v>4301</v>
      </c>
      <c r="B2411" s="149" t="str">
        <f>IFERROR(VLOOKUP(Proc[[#This Row],[App]],Table2[],3,0),"open")</f>
        <v>ok</v>
      </c>
      <c r="C2411" s="103" t="s">
        <v>369</v>
      </c>
      <c r="D2411" t="s">
        <v>4297</v>
      </c>
      <c r="E2411" t="s">
        <v>4300</v>
      </c>
      <c r="F2411" s="120" t="s">
        <v>4300</v>
      </c>
      <c r="G2411" s="103" t="s">
        <v>400</v>
      </c>
      <c r="H2411" s="94" t="str">
        <f>IF(Proc[[#This Row],[type]]="LFF (MDG-F)",MID(Proc[[#This Row],[Obj]],13,10),"")</f>
        <v/>
      </c>
      <c r="J2411" s="94" t="b">
        <f>Proc[[#This Row],[Requested]]=Proc[[#This Row],[CurrentParent]]</f>
        <v>1</v>
      </c>
      <c r="K2411" s="144" t="str">
        <f>IF(Proc[[#This Row],[Author]]="Marcela Urrego",VLOOKUP(LEFT(Proc[[#This Row],[Requested]],1),Table3[#All],2,0),VLOOKUP(Proc[[#This Row],[Author]],Table4[],2,0))</f>
        <v>HC</v>
      </c>
      <c r="L2411" s="125" t="s">
        <v>2563</v>
      </c>
      <c r="M2411" s="107">
        <v>45828.384247685186</v>
      </c>
      <c r="N2411" s="107"/>
      <c r="O2411" s="107"/>
      <c r="P2411" s="108" t="str">
        <f ca="1">IF(Proc[[#This Row],[DaysAgeing]]&gt;5,"yep","on track")</f>
        <v>yep</v>
      </c>
      <c r="Q2411" s="3">
        <f ca="1">IF(Proc[[#This Row],[DateClosed]]="",ABS(NETWORKDAYS(Proc[[#This Row],[DateOpened]],TODAY()))-1,ABS(NETWORKDAYS(Proc[[#This Row],[DateOpened]],Proc[[#This Row],[DateClosed]]))-1)</f>
        <v>130</v>
      </c>
      <c r="R2411" s="108" t="s">
        <v>415</v>
      </c>
      <c r="S2411" s="94"/>
    </row>
    <row r="2412" spans="1:19" hidden="1">
      <c r="A2412" s="103" t="s">
        <v>4301</v>
      </c>
      <c r="B2412" s="149" t="str">
        <f>IFERROR(VLOOKUP(Proc[[#This Row],[App]],Table2[],3,0),"open")</f>
        <v>ok</v>
      </c>
      <c r="C2412" s="117" t="s">
        <v>369</v>
      </c>
      <c r="D2412" t="s">
        <v>4298</v>
      </c>
      <c r="E2412" t="s">
        <v>4300</v>
      </c>
      <c r="F2412" s="120" t="s">
        <v>4300</v>
      </c>
      <c r="G2412" s="103" t="s">
        <v>400</v>
      </c>
      <c r="H2412" s="94" t="str">
        <f>IF(Proc[[#This Row],[type]]="LFF (MDG-F)",MID(Proc[[#This Row],[Obj]],13,10),"")</f>
        <v/>
      </c>
      <c r="J2412" s="94" t="b">
        <f>Proc[[#This Row],[Requested]]=Proc[[#This Row],[CurrentParent]]</f>
        <v>1</v>
      </c>
      <c r="K2412" s="144" t="str">
        <f>IF(Proc[[#This Row],[Author]]="Marcela Urrego",VLOOKUP(LEFT(Proc[[#This Row],[Requested]],1),Table3[#All],2,0),VLOOKUP(Proc[[#This Row],[Author]],Table4[],2,0))</f>
        <v>HC</v>
      </c>
      <c r="L2412" s="125" t="s">
        <v>2563</v>
      </c>
      <c r="M2412" s="107">
        <v>45828.384247685186</v>
      </c>
      <c r="N2412" s="107"/>
      <c r="O2412" s="107"/>
      <c r="P2412" s="108" t="str">
        <f ca="1">IF(Proc[[#This Row],[DaysAgeing]]&gt;5,"yep","on track")</f>
        <v>yep</v>
      </c>
      <c r="Q2412" s="3">
        <f ca="1">IF(Proc[[#This Row],[DateClosed]]="",ABS(NETWORKDAYS(Proc[[#This Row],[DateOpened]],TODAY()))-1,ABS(NETWORKDAYS(Proc[[#This Row],[DateOpened]],Proc[[#This Row],[DateClosed]]))-1)</f>
        <v>130</v>
      </c>
      <c r="R2412" s="108" t="s">
        <v>415</v>
      </c>
      <c r="S2412" s="94"/>
    </row>
    <row r="2413" spans="1:19" hidden="1">
      <c r="A2413" t="s">
        <v>4293</v>
      </c>
      <c r="B2413" s="149" t="str">
        <f>IFERROR(VLOOKUP(Proc[[#This Row],[App]],Table2[],3,0),"open")</f>
        <v>ok</v>
      </c>
      <c r="C2413" s="103" t="s">
        <v>369</v>
      </c>
      <c r="D2413" s="103" t="s">
        <v>4303</v>
      </c>
      <c r="E2413" s="103" t="s">
        <v>4292</v>
      </c>
      <c r="F2413" s="120" t="s">
        <v>4292</v>
      </c>
      <c r="G2413" s="103" t="s">
        <v>400</v>
      </c>
      <c r="H2413" s="94" t="str">
        <f>IF(Proc[[#This Row],[type]]="LFF (MDG-F)",MID(Proc[[#This Row],[Obj]],13,10),"")</f>
        <v/>
      </c>
      <c r="J2413" s="94" t="b">
        <f>Proc[[#This Row],[Requested]]=Proc[[#This Row],[CurrentParent]]</f>
        <v>1</v>
      </c>
      <c r="K2413" s="144" t="str">
        <f>IF(Proc[[#This Row],[Author]]="Marcela Urrego",VLOOKUP(LEFT(Proc[[#This Row],[Requested]],1),Table3[#All],2,0),VLOOKUP(Proc[[#This Row],[Author]],Table4[],2,0))</f>
        <v>LS</v>
      </c>
      <c r="L2413" s="125" t="s">
        <v>2563</v>
      </c>
      <c r="M2413" s="108">
        <v>45827.384247685186</v>
      </c>
      <c r="N2413" s="109"/>
      <c r="O2413" s="109"/>
      <c r="P2413" s="108" t="str">
        <f ca="1">IF(Proc[[#This Row],[DaysAgeing]]&gt;5,"yep","on track")</f>
        <v>yep</v>
      </c>
      <c r="Q2413" s="3">
        <f ca="1">IF(Proc[[#This Row],[DateClosed]]="",ABS(NETWORKDAYS(Proc[[#This Row],[DateOpened]],TODAY()))-1,ABS(NETWORKDAYS(Proc[[#This Row],[DateOpened]],Proc[[#This Row],[DateClosed]]))-1)</f>
        <v>131</v>
      </c>
      <c r="R2413" s="108" t="s">
        <v>972</v>
      </c>
      <c r="S2413" s="94"/>
    </row>
    <row r="2414" spans="1:19" hidden="1">
      <c r="A2414" t="s">
        <v>4304</v>
      </c>
      <c r="B2414" s="149" t="str">
        <f>IFERROR(VLOOKUP(Proc[[#This Row],[App]],Table2[],3,0),"open")</f>
        <v>ok</v>
      </c>
      <c r="C2414" t="s">
        <v>369</v>
      </c>
      <c r="D2414" t="s">
        <v>4305</v>
      </c>
      <c r="E2414" t="s">
        <v>4307</v>
      </c>
      <c r="F2414" s="120" t="s">
        <v>4307</v>
      </c>
      <c r="G2414" t="s">
        <v>400</v>
      </c>
      <c r="H2414" s="94" t="str">
        <f>IF(Proc[[#This Row],[type]]="LFF (MDG-F)",MID(Proc[[#This Row],[Obj]],13,10),"")</f>
        <v/>
      </c>
      <c r="J2414" s="94" t="b">
        <f>Proc[[#This Row],[Requested]]=Proc[[#This Row],[CurrentParent]]</f>
        <v>1</v>
      </c>
      <c r="K2414" s="144" t="str">
        <f>IF(Proc[[#This Row],[Author]]="Marcela Urrego",VLOOKUP(LEFT(Proc[[#This Row],[Requested]],1),Table3[#All],2,0),VLOOKUP(Proc[[#This Row],[Author]],Table4[],2,0))</f>
        <v>LS</v>
      </c>
      <c r="L2414" s="125" t="s">
        <v>2563</v>
      </c>
      <c r="M2414" s="108">
        <v>45832.384247685186</v>
      </c>
      <c r="N2414" s="109">
        <v>45839</v>
      </c>
      <c r="O2414" s="109">
        <v>45839</v>
      </c>
      <c r="P2414" s="108" t="str">
        <f ca="1">IF(Proc[[#This Row],[DaysAgeing]]&gt;5,"yep","on track")</f>
        <v>on track</v>
      </c>
      <c r="Q2414" s="3">
        <f ca="1">IF(Proc[[#This Row],[DateClosed]]="",ABS(NETWORKDAYS(Proc[[#This Row],[DateOpened]],TODAY()))-1,ABS(NETWORKDAYS(Proc[[#This Row],[DateOpened]],Proc[[#This Row],[DateClosed]]))-1)</f>
        <v>5</v>
      </c>
      <c r="R2414" s="108" t="s">
        <v>972</v>
      </c>
      <c r="S2414" s="94"/>
    </row>
    <row r="2415" spans="1:19" hidden="1">
      <c r="A2415" s="103" t="s">
        <v>4304</v>
      </c>
      <c r="B2415" s="149" t="str">
        <f>IFERROR(VLOOKUP(Proc[[#This Row],[App]],Table2[],3,0),"open")</f>
        <v>ok</v>
      </c>
      <c r="C2415" s="103" t="s">
        <v>369</v>
      </c>
      <c r="D2415" t="s">
        <v>4306</v>
      </c>
      <c r="E2415" t="s">
        <v>2600</v>
      </c>
      <c r="F2415" s="120" t="s">
        <v>2600</v>
      </c>
      <c r="G2415" t="s">
        <v>406</v>
      </c>
      <c r="H2415" s="94" t="str">
        <f>IF(Proc[[#This Row],[type]]="LFF (MDG-F)",MID(Proc[[#This Row],[Obj]],13,10),"")</f>
        <v>DE10B20210</v>
      </c>
      <c r="J2415" s="94" t="b">
        <f>Proc[[#This Row],[Requested]]=Proc[[#This Row],[CurrentParent]]</f>
        <v>1</v>
      </c>
      <c r="K2415" s="144" t="str">
        <f>IF(Proc[[#This Row],[Author]]="Marcela Urrego",VLOOKUP(LEFT(Proc[[#This Row],[Requested]],1),Table3[#All],2,0),VLOOKUP(Proc[[#This Row],[Author]],Table4[],2,0))</f>
        <v>LS</v>
      </c>
      <c r="L2415" s="125" t="s">
        <v>2563</v>
      </c>
      <c r="M2415" s="108">
        <v>45832.384247685186</v>
      </c>
      <c r="N2415" s="109">
        <v>45839</v>
      </c>
      <c r="O2415" s="109">
        <v>45839</v>
      </c>
      <c r="P2415" s="108" t="str">
        <f ca="1">IF(Proc[[#This Row],[DaysAgeing]]&gt;5,"yep","on track")</f>
        <v>on track</v>
      </c>
      <c r="Q2415" s="3">
        <f ca="1">IF(Proc[[#This Row],[DateClosed]]="",ABS(NETWORKDAYS(Proc[[#This Row],[DateOpened]],TODAY()))-1,ABS(NETWORKDAYS(Proc[[#This Row],[DateOpened]],Proc[[#This Row],[DateClosed]]))-1)</f>
        <v>5</v>
      </c>
      <c r="R2415" s="108" t="s">
        <v>972</v>
      </c>
      <c r="S2415" s="94"/>
    </row>
    <row r="2416" spans="1:19" hidden="1">
      <c r="A2416" t="s">
        <v>4308</v>
      </c>
      <c r="B2416" s="149" t="str">
        <f>IFERROR(VLOOKUP(Proc[[#This Row],[App]],Table2[],3,0),"open")</f>
        <v>ok</v>
      </c>
      <c r="C2416" s="117" t="s">
        <v>369</v>
      </c>
      <c r="D2416" t="s">
        <v>4828</v>
      </c>
      <c r="E2416" t="s">
        <v>4310</v>
      </c>
      <c r="F2416" s="117" t="s">
        <v>4310</v>
      </c>
      <c r="G2416" t="s">
        <v>406</v>
      </c>
      <c r="H2416" s="94" t="str">
        <f>IF(Proc[[#This Row],[type]]="LFF (MDG-F)",MID(Proc[[#This Row],[Obj]],13,10),"")</f>
        <v>2123OF0033</v>
      </c>
      <c r="I2416" t="s">
        <v>4311</v>
      </c>
      <c r="J2416" s="94" t="b">
        <f>Proc[[#This Row],[Requested]]=Proc[[#This Row],[CurrentParent]]</f>
        <v>1</v>
      </c>
      <c r="K2416" s="144" t="str">
        <f>IF(Proc[[#This Row],[Author]]="Marcela Urrego",VLOOKUP(LEFT(Proc[[#This Row],[Requested]],1),Table3[#All],2,0),VLOOKUP(Proc[[#This Row],[Author]],Table4[],2,0))</f>
        <v>MGF</v>
      </c>
      <c r="L2416" s="125" t="s">
        <v>2563</v>
      </c>
      <c r="M2416" s="109">
        <v>45832.666238425925</v>
      </c>
      <c r="N2416" s="109"/>
      <c r="O2416" s="109"/>
      <c r="P2416" s="110" t="str">
        <f ca="1">IF(Proc[[#This Row],[DaysAgeing]]&gt;5,"yep","on track")</f>
        <v>yep</v>
      </c>
      <c r="Q2416" s="3">
        <f ca="1">IF(Proc[[#This Row],[DateClosed]]="",ABS(NETWORKDAYS(Proc[[#This Row],[DateOpened]],TODAY()))-1,ABS(NETWORKDAYS(Proc[[#This Row],[DateOpened]],Proc[[#This Row],[DateClosed]]))-1)</f>
        <v>128</v>
      </c>
      <c r="R2416" s="110" t="s">
        <v>515</v>
      </c>
      <c r="S2416" s="94"/>
    </row>
    <row r="2417" spans="1:19" hidden="1">
      <c r="A2417" s="103" t="s">
        <v>4308</v>
      </c>
      <c r="B2417" s="149" t="str">
        <f>IFERROR(VLOOKUP(Proc[[#This Row],[App]],Table2[],3,0),"open")</f>
        <v>ok</v>
      </c>
      <c r="C2417" s="103" t="s">
        <v>369</v>
      </c>
      <c r="D2417" t="s">
        <v>4309</v>
      </c>
      <c r="E2417" t="s">
        <v>474</v>
      </c>
      <c r="F2417" s="117" t="s">
        <v>474</v>
      </c>
      <c r="G2417" s="103" t="s">
        <v>406</v>
      </c>
      <c r="H2417" s="94" t="str">
        <f>IF(Proc[[#This Row],[type]]="LFF (MDG-F)",MID(Proc[[#This Row],[Obj]],13,10),"")</f>
        <v>CH75GM8300</v>
      </c>
      <c r="I2417" s="103" t="s">
        <v>4311</v>
      </c>
      <c r="J2417" s="94" t="b">
        <f>Proc[[#This Row],[Requested]]=Proc[[#This Row],[CurrentParent]]</f>
        <v>1</v>
      </c>
      <c r="K2417" s="144" t="str">
        <f>IF(Proc[[#This Row],[Author]]="Marcela Urrego",VLOOKUP(LEFT(Proc[[#This Row],[Requested]],1),Table3[#All],2,0),VLOOKUP(Proc[[#This Row],[Author]],Table4[],2,0))</f>
        <v>MGF</v>
      </c>
      <c r="L2417" s="125" t="s">
        <v>2563</v>
      </c>
      <c r="M2417" s="109">
        <v>45832.666238425925</v>
      </c>
      <c r="N2417" s="109"/>
      <c r="O2417" s="109"/>
      <c r="P2417" s="110" t="str">
        <f ca="1">IF(Proc[[#This Row],[DaysAgeing]]&gt;5,"yep","on track")</f>
        <v>yep</v>
      </c>
      <c r="Q2417" s="3">
        <f ca="1">IF(Proc[[#This Row],[DateClosed]]="",ABS(NETWORKDAYS(Proc[[#This Row],[DateOpened]],TODAY()))-1,ABS(NETWORKDAYS(Proc[[#This Row],[DateOpened]],Proc[[#This Row],[DateClosed]]))-1)</f>
        <v>128</v>
      </c>
      <c r="R2417" s="110" t="s">
        <v>515</v>
      </c>
      <c r="S2417" s="94"/>
    </row>
    <row r="2418" spans="1:19" hidden="1">
      <c r="A2418" t="s">
        <v>4312</v>
      </c>
      <c r="B2418" s="149" t="str">
        <f>IFERROR(VLOOKUP(Proc[[#This Row],[App]],Table2[],3,0),"open")</f>
        <v>ok</v>
      </c>
      <c r="C2418" s="103" t="s">
        <v>369</v>
      </c>
      <c r="D2418" t="s">
        <v>4313</v>
      </c>
      <c r="E2418" t="s">
        <v>4322</v>
      </c>
      <c r="F2418" s="120" t="s">
        <v>4322</v>
      </c>
      <c r="G2418" s="103" t="s">
        <v>406</v>
      </c>
      <c r="H2418" s="94" t="str">
        <f>IF(Proc[[#This Row],[type]]="LFF (MDG-F)",MID(Proc[[#This Row],[Obj]],13,10),"")</f>
        <v>2068TAUA00</v>
      </c>
      <c r="I2418" t="s">
        <v>4325</v>
      </c>
      <c r="J2418" s="94" t="b">
        <f>Proc[[#This Row],[Requested]]=Proc[[#This Row],[CurrentParent]]</f>
        <v>1</v>
      </c>
      <c r="K2418" s="144" t="str">
        <f>IF(Proc[[#This Row],[Author]]="Marcela Urrego",VLOOKUP(LEFT(Proc[[#This Row],[Requested]],1),Table3[#All],2,0),VLOOKUP(Proc[[#This Row],[Author]],Table4[],2,0))</f>
        <v>EL</v>
      </c>
      <c r="L2418" s="125" t="s">
        <v>2563</v>
      </c>
      <c r="M2418" s="109">
        <v>45835.60900462963</v>
      </c>
      <c r="N2418" s="109">
        <v>45839</v>
      </c>
      <c r="O2418" s="109">
        <v>45839</v>
      </c>
      <c r="P2418" s="110" t="str">
        <f ca="1">IF(Proc[[#This Row],[DaysAgeing]]&gt;5,"yep","on track")</f>
        <v>on track</v>
      </c>
      <c r="Q2418" s="3">
        <f ca="1">IF(Proc[[#This Row],[DateClosed]]="",ABS(NETWORKDAYS(Proc[[#This Row],[DateOpened]],TODAY()))-1,ABS(NETWORKDAYS(Proc[[#This Row],[DateOpened]],Proc[[#This Row],[DateClosed]]))-1)</f>
        <v>2</v>
      </c>
      <c r="R2418" s="110" t="s">
        <v>780</v>
      </c>
      <c r="S2418" s="94"/>
    </row>
    <row r="2419" spans="1:19" hidden="1">
      <c r="A2419" s="103" t="s">
        <v>4312</v>
      </c>
      <c r="B2419" s="149" t="str">
        <f>IFERROR(VLOOKUP(Proc[[#This Row],[App]],Table2[],3,0),"open")</f>
        <v>ok</v>
      </c>
      <c r="C2419" s="103" t="s">
        <v>369</v>
      </c>
      <c r="D2419" t="s">
        <v>4314</v>
      </c>
      <c r="E2419" t="s">
        <v>4322</v>
      </c>
      <c r="F2419" s="120" t="s">
        <v>4322</v>
      </c>
      <c r="G2419" s="103" t="s">
        <v>406</v>
      </c>
      <c r="H2419" s="94" t="str">
        <f>IF(Proc[[#This Row],[type]]="LFF (MDG-F)",MID(Proc[[#This Row],[Obj]],13,10),"")</f>
        <v>2068TAUA99</v>
      </c>
      <c r="I2419" s="103" t="s">
        <v>4325</v>
      </c>
      <c r="J2419" s="94" t="b">
        <f>Proc[[#This Row],[Requested]]=Proc[[#This Row],[CurrentParent]]</f>
        <v>1</v>
      </c>
      <c r="K2419" s="144" t="str">
        <f>IF(Proc[[#This Row],[Author]]="Marcela Urrego",VLOOKUP(LEFT(Proc[[#This Row],[Requested]],1),Table3[#All],2,0),VLOOKUP(Proc[[#This Row],[Author]],Table4[],2,0))</f>
        <v>EL</v>
      </c>
      <c r="L2419" s="125" t="s">
        <v>2563</v>
      </c>
      <c r="M2419" s="109">
        <v>45835.60900462963</v>
      </c>
      <c r="N2419" s="109">
        <v>45839</v>
      </c>
      <c r="O2419" s="109">
        <v>45839</v>
      </c>
      <c r="P2419" s="110" t="str">
        <f ca="1">IF(Proc[[#This Row],[DaysAgeing]]&gt;5,"yep","on track")</f>
        <v>on track</v>
      </c>
      <c r="Q2419" s="3">
        <f ca="1">IF(Proc[[#This Row],[DateClosed]]="",ABS(NETWORKDAYS(Proc[[#This Row],[DateOpened]],TODAY()))-1,ABS(NETWORKDAYS(Proc[[#This Row],[DateOpened]],Proc[[#This Row],[DateClosed]]))-1)</f>
        <v>2</v>
      </c>
      <c r="R2419" s="110" t="s">
        <v>780</v>
      </c>
      <c r="S2419" s="94"/>
    </row>
    <row r="2420" spans="1:19" hidden="1">
      <c r="A2420" s="103" t="s">
        <v>4312</v>
      </c>
      <c r="B2420" s="149" t="str">
        <f>IFERROR(VLOOKUP(Proc[[#This Row],[App]],Table2[],3,0),"open")</f>
        <v>ok</v>
      </c>
      <c r="C2420" s="103" t="s">
        <v>369</v>
      </c>
      <c r="D2420" t="s">
        <v>4315</v>
      </c>
      <c r="E2420" t="s">
        <v>4322</v>
      </c>
      <c r="F2420" s="120" t="s">
        <v>4322</v>
      </c>
      <c r="G2420" s="103" t="s">
        <v>406</v>
      </c>
      <c r="H2420" s="94" t="str">
        <f>IF(Proc[[#This Row],[type]]="LFF (MDG-F)",MID(Proc[[#This Row],[Obj]],13,10),"")</f>
        <v>2068TBUZ21</v>
      </c>
      <c r="I2420" s="103" t="s">
        <v>4325</v>
      </c>
      <c r="J2420" s="94" t="b">
        <f>Proc[[#This Row],[Requested]]=Proc[[#This Row],[CurrentParent]]</f>
        <v>1</v>
      </c>
      <c r="K2420" s="144" t="str">
        <f>IF(Proc[[#This Row],[Author]]="Marcela Urrego",VLOOKUP(LEFT(Proc[[#This Row],[Requested]],1),Table3[#All],2,0),VLOOKUP(Proc[[#This Row],[Author]],Table4[],2,0))</f>
        <v>EL</v>
      </c>
      <c r="L2420" s="125" t="s">
        <v>2563</v>
      </c>
      <c r="M2420" s="109">
        <v>45835.60900462963</v>
      </c>
      <c r="N2420" s="109">
        <v>45839</v>
      </c>
      <c r="O2420" s="109">
        <v>45839</v>
      </c>
      <c r="P2420" s="110" t="str">
        <f ca="1">IF(Proc[[#This Row],[DaysAgeing]]&gt;5,"yep","on track")</f>
        <v>on track</v>
      </c>
      <c r="Q2420" s="3">
        <f ca="1">IF(Proc[[#This Row],[DateClosed]]="",ABS(NETWORKDAYS(Proc[[#This Row],[DateOpened]],TODAY()))-1,ABS(NETWORKDAYS(Proc[[#This Row],[DateOpened]],Proc[[#This Row],[DateClosed]]))-1)</f>
        <v>2</v>
      </c>
      <c r="R2420" s="110" t="s">
        <v>780</v>
      </c>
      <c r="S2420" s="94"/>
    </row>
    <row r="2421" spans="1:19" hidden="1">
      <c r="A2421" s="103" t="s">
        <v>4312</v>
      </c>
      <c r="B2421" s="149" t="str">
        <f>IFERROR(VLOOKUP(Proc[[#This Row],[App]],Table2[],3,0),"open")</f>
        <v>ok</v>
      </c>
      <c r="C2421" s="103" t="s">
        <v>369</v>
      </c>
      <c r="D2421" t="s">
        <v>4316</v>
      </c>
      <c r="E2421" t="s">
        <v>4322</v>
      </c>
      <c r="F2421" s="120" t="s">
        <v>4322</v>
      </c>
      <c r="G2421" s="103" t="s">
        <v>406</v>
      </c>
      <c r="H2421" s="94" t="str">
        <f>IF(Proc[[#This Row],[type]]="LFF (MDG-F)",MID(Proc[[#This Row],[Obj]],13,10),"")</f>
        <v>2068TFUZ61</v>
      </c>
      <c r="I2421" s="103" t="s">
        <v>4325</v>
      </c>
      <c r="J2421" s="94" t="b">
        <f>Proc[[#This Row],[Requested]]=Proc[[#This Row],[CurrentParent]]</f>
        <v>1</v>
      </c>
      <c r="K2421" s="144" t="str">
        <f>IF(Proc[[#This Row],[Author]]="Marcela Urrego",VLOOKUP(LEFT(Proc[[#This Row],[Requested]],1),Table3[#All],2,0),VLOOKUP(Proc[[#This Row],[Author]],Table4[],2,0))</f>
        <v>EL</v>
      </c>
      <c r="L2421" s="125" t="s">
        <v>2563</v>
      </c>
      <c r="M2421" s="109">
        <v>45835.60900462963</v>
      </c>
      <c r="N2421" s="109">
        <v>45839</v>
      </c>
      <c r="O2421" s="109">
        <v>45839</v>
      </c>
      <c r="P2421" s="110" t="str">
        <f ca="1">IF(Proc[[#This Row],[DaysAgeing]]&gt;5,"yep","on track")</f>
        <v>on track</v>
      </c>
      <c r="Q2421" s="3">
        <f ca="1">IF(Proc[[#This Row],[DateClosed]]="",ABS(NETWORKDAYS(Proc[[#This Row],[DateOpened]],TODAY()))-1,ABS(NETWORKDAYS(Proc[[#This Row],[DateOpened]],Proc[[#This Row],[DateClosed]]))-1)</f>
        <v>2</v>
      </c>
      <c r="R2421" s="110" t="s">
        <v>780</v>
      </c>
      <c r="S2421" s="94"/>
    </row>
    <row r="2422" spans="1:19" hidden="1">
      <c r="A2422" s="103" t="s">
        <v>4312</v>
      </c>
      <c r="B2422" s="149" t="str">
        <f>IFERROR(VLOOKUP(Proc[[#This Row],[App]],Table2[],3,0),"open")</f>
        <v>ok</v>
      </c>
      <c r="C2422" s="103" t="s">
        <v>369</v>
      </c>
      <c r="D2422" t="s">
        <v>4317</v>
      </c>
      <c r="E2422" t="s">
        <v>4322</v>
      </c>
      <c r="F2422" s="120" t="s">
        <v>4322</v>
      </c>
      <c r="G2422" s="103" t="s">
        <v>406</v>
      </c>
      <c r="H2422" s="94" t="str">
        <f>IF(Proc[[#This Row],[type]]="LFF (MDG-F)",MID(Proc[[#This Row],[Obj]],13,10),"")</f>
        <v>2068TKUZ70</v>
      </c>
      <c r="I2422" s="103" t="s">
        <v>4325</v>
      </c>
      <c r="J2422" s="94" t="b">
        <f>Proc[[#This Row],[Requested]]=Proc[[#This Row],[CurrentParent]]</f>
        <v>1</v>
      </c>
      <c r="K2422" s="144" t="str">
        <f>IF(Proc[[#This Row],[Author]]="Marcela Urrego",VLOOKUP(LEFT(Proc[[#This Row],[Requested]],1),Table3[#All],2,0),VLOOKUP(Proc[[#This Row],[Author]],Table4[],2,0))</f>
        <v>EL</v>
      </c>
      <c r="L2422" s="125" t="s">
        <v>2563</v>
      </c>
      <c r="M2422" s="109">
        <v>45835.60900462963</v>
      </c>
      <c r="N2422" s="109">
        <v>45839</v>
      </c>
      <c r="O2422" s="109">
        <v>45839</v>
      </c>
      <c r="P2422" s="110" t="str">
        <f ca="1">IF(Proc[[#This Row],[DaysAgeing]]&gt;5,"yep","on track")</f>
        <v>on track</v>
      </c>
      <c r="Q2422" s="3">
        <f ca="1">IF(Proc[[#This Row],[DateClosed]]="",ABS(NETWORKDAYS(Proc[[#This Row],[DateOpened]],TODAY()))-1,ABS(NETWORKDAYS(Proc[[#This Row],[DateOpened]],Proc[[#This Row],[DateClosed]]))-1)</f>
        <v>2</v>
      </c>
      <c r="R2422" s="110" t="s">
        <v>780</v>
      </c>
      <c r="S2422" s="94"/>
    </row>
    <row r="2423" spans="1:19" hidden="1">
      <c r="A2423" s="103" t="s">
        <v>4312</v>
      </c>
      <c r="B2423" s="149" t="str">
        <f>IFERROR(VLOOKUP(Proc[[#This Row],[App]],Table2[],3,0),"open")</f>
        <v>ok</v>
      </c>
      <c r="C2423" s="103" t="s">
        <v>369</v>
      </c>
      <c r="D2423" t="s">
        <v>4318</v>
      </c>
      <c r="E2423" t="s">
        <v>4322</v>
      </c>
      <c r="F2423" s="120" t="s">
        <v>4322</v>
      </c>
      <c r="G2423" s="103" t="s">
        <v>406</v>
      </c>
      <c r="H2423" s="94" t="str">
        <f>IF(Proc[[#This Row],[type]]="LFF (MDG-F)",MID(Proc[[#This Row],[Obj]],13,10),"")</f>
        <v>2068TQUZ90</v>
      </c>
      <c r="I2423" s="103" t="s">
        <v>4325</v>
      </c>
      <c r="J2423" s="94" t="b">
        <f>Proc[[#This Row],[Requested]]=Proc[[#This Row],[CurrentParent]]</f>
        <v>1</v>
      </c>
      <c r="K2423" s="144" t="str">
        <f>IF(Proc[[#This Row],[Author]]="Marcela Urrego",VLOOKUP(LEFT(Proc[[#This Row],[Requested]],1),Table3[#All],2,0),VLOOKUP(Proc[[#This Row],[Author]],Table4[],2,0))</f>
        <v>EL</v>
      </c>
      <c r="L2423" s="125" t="s">
        <v>2563</v>
      </c>
      <c r="M2423" s="109">
        <v>45835.60900462963</v>
      </c>
      <c r="N2423" s="109">
        <v>45839</v>
      </c>
      <c r="O2423" s="109">
        <v>45839</v>
      </c>
      <c r="P2423" s="110" t="str">
        <f ca="1">IF(Proc[[#This Row],[DaysAgeing]]&gt;5,"yep","on track")</f>
        <v>on track</v>
      </c>
      <c r="Q2423" s="3">
        <f ca="1">IF(Proc[[#This Row],[DateClosed]]="",ABS(NETWORKDAYS(Proc[[#This Row],[DateOpened]],TODAY()))-1,ABS(NETWORKDAYS(Proc[[#This Row],[DateOpened]],Proc[[#This Row],[DateClosed]]))-1)</f>
        <v>2</v>
      </c>
      <c r="R2423" s="110" t="s">
        <v>780</v>
      </c>
      <c r="S2423" s="94"/>
    </row>
    <row r="2424" spans="1:19" hidden="1">
      <c r="A2424" s="103" t="s">
        <v>4312</v>
      </c>
      <c r="B2424" s="149" t="str">
        <f>IFERROR(VLOOKUP(Proc[[#This Row],[App]],Table2[],3,0),"open")</f>
        <v>ok</v>
      </c>
      <c r="C2424" s="103" t="s">
        <v>369</v>
      </c>
      <c r="D2424" t="s">
        <v>4321</v>
      </c>
      <c r="E2424" t="s">
        <v>4322</v>
      </c>
      <c r="F2424" s="120" t="s">
        <v>4322</v>
      </c>
      <c r="G2424" s="103" t="s">
        <v>406</v>
      </c>
      <c r="H2424" s="94" t="str">
        <f>IF(Proc[[#This Row],[type]]="LFF (MDG-F)",MID(Proc[[#This Row],[Obj]],13,10),"")</f>
        <v>2068TAUA01</v>
      </c>
      <c r="I2424" s="103" t="s">
        <v>4325</v>
      </c>
      <c r="J2424" s="94" t="b">
        <f>Proc[[#This Row],[Requested]]=Proc[[#This Row],[CurrentParent]]</f>
        <v>1</v>
      </c>
      <c r="K2424" s="144" t="str">
        <f>IF(Proc[[#This Row],[Author]]="Marcela Urrego",VLOOKUP(LEFT(Proc[[#This Row],[Requested]],1),Table3[#All],2,0),VLOOKUP(Proc[[#This Row],[Author]],Table4[],2,0))</f>
        <v>EL</v>
      </c>
      <c r="L2424" s="125" t="s">
        <v>2563</v>
      </c>
      <c r="M2424" s="109">
        <v>45835.60900462963</v>
      </c>
      <c r="N2424" s="109">
        <v>45839</v>
      </c>
      <c r="O2424" s="109">
        <v>45839</v>
      </c>
      <c r="P2424" s="110" t="str">
        <f ca="1">IF(Proc[[#This Row],[DaysAgeing]]&gt;5,"yep","on track")</f>
        <v>on track</v>
      </c>
      <c r="Q2424" s="3">
        <f ca="1">IF(Proc[[#This Row],[DateClosed]]="",ABS(NETWORKDAYS(Proc[[#This Row],[DateOpened]],TODAY()))-1,ABS(NETWORKDAYS(Proc[[#This Row],[DateOpened]],Proc[[#This Row],[DateClosed]]))-1)</f>
        <v>2</v>
      </c>
      <c r="R2424" s="110" t="s">
        <v>780</v>
      </c>
      <c r="S2424" s="94"/>
    </row>
    <row r="2425" spans="1:19" hidden="1">
      <c r="A2425" s="103" t="s">
        <v>4312</v>
      </c>
      <c r="B2425" s="149" t="str">
        <f>IFERROR(VLOOKUP(Proc[[#This Row],[App]],Table2[],3,0),"open")</f>
        <v>ok</v>
      </c>
      <c r="C2425" s="103" t="s">
        <v>377</v>
      </c>
      <c r="D2425" t="s">
        <v>4319</v>
      </c>
      <c r="E2425" t="s">
        <v>4322</v>
      </c>
      <c r="F2425" s="94" t="s">
        <v>4323</v>
      </c>
      <c r="G2425" s="103" t="s">
        <v>400</v>
      </c>
      <c r="H2425" s="94" t="str">
        <f>IF(Proc[[#This Row],[type]]="LFF (MDG-F)",MID(Proc[[#This Row],[Obj]],13,10),"")</f>
        <v/>
      </c>
      <c r="I2425" t="s">
        <v>4324</v>
      </c>
      <c r="J2425" s="94" t="b">
        <f>Proc[[#This Row],[Requested]]=Proc[[#This Row],[CurrentParent]]</f>
        <v>0</v>
      </c>
      <c r="K2425" s="144" t="str">
        <f>IF(Proc[[#This Row],[Author]]="Marcela Urrego",VLOOKUP(LEFT(Proc[[#This Row],[Requested]],1),Table3[#All],2,0),VLOOKUP(Proc[[#This Row],[Author]],Table4[],2,0))</f>
        <v>EL</v>
      </c>
      <c r="L2425" s="125" t="s">
        <v>2563</v>
      </c>
      <c r="M2425" s="109">
        <v>45835.60900462963</v>
      </c>
      <c r="N2425" s="109"/>
      <c r="O2425" s="109">
        <v>45839</v>
      </c>
      <c r="P2425" s="110" t="str">
        <f ca="1">IF(Proc[[#This Row],[DaysAgeing]]&gt;5,"yep","on track")</f>
        <v>on track</v>
      </c>
      <c r="Q2425" s="3">
        <f ca="1">IF(Proc[[#This Row],[DateClosed]]="",ABS(NETWORKDAYS(Proc[[#This Row],[DateOpened]],TODAY()))-1,ABS(NETWORKDAYS(Proc[[#This Row],[DateOpened]],Proc[[#This Row],[DateClosed]]))-1)</f>
        <v>2</v>
      </c>
      <c r="R2425" s="110" t="s">
        <v>780</v>
      </c>
      <c r="S2425" s="94"/>
    </row>
    <row r="2426" spans="1:19" hidden="1">
      <c r="A2426" s="103" t="s">
        <v>4312</v>
      </c>
      <c r="B2426" s="149" t="str">
        <f>IFERROR(VLOOKUP(Proc[[#This Row],[App]],Table2[],3,0),"open")</f>
        <v>ok</v>
      </c>
      <c r="C2426" s="103" t="s">
        <v>377</v>
      </c>
      <c r="D2426" t="s">
        <v>4320</v>
      </c>
      <c r="E2426" t="s">
        <v>4322</v>
      </c>
      <c r="F2426" s="94" t="s">
        <v>4323</v>
      </c>
      <c r="G2426" s="103" t="s">
        <v>400</v>
      </c>
      <c r="H2426" s="94" t="str">
        <f>IF(Proc[[#This Row],[type]]="LFF (MDG-F)",MID(Proc[[#This Row],[Obj]],13,10),"")</f>
        <v/>
      </c>
      <c r="I2426" s="103" t="s">
        <v>4324</v>
      </c>
      <c r="J2426" s="94" t="b">
        <f>Proc[[#This Row],[Requested]]=Proc[[#This Row],[CurrentParent]]</f>
        <v>0</v>
      </c>
      <c r="K2426" s="144" t="str">
        <f>IF(Proc[[#This Row],[Author]]="Marcela Urrego",VLOOKUP(LEFT(Proc[[#This Row],[Requested]],1),Table3[#All],2,0),VLOOKUP(Proc[[#This Row],[Author]],Table4[],2,0))</f>
        <v>EL</v>
      </c>
      <c r="L2426" s="125" t="s">
        <v>2563</v>
      </c>
      <c r="M2426" s="109">
        <v>45835.60900462963</v>
      </c>
      <c r="N2426" s="109"/>
      <c r="O2426" s="109">
        <v>45839</v>
      </c>
      <c r="P2426" s="110" t="str">
        <f ca="1">IF(Proc[[#This Row],[DaysAgeing]]&gt;5,"yep","on track")</f>
        <v>on track</v>
      </c>
      <c r="Q2426" s="3">
        <f ca="1">IF(Proc[[#This Row],[DateClosed]]="",ABS(NETWORKDAYS(Proc[[#This Row],[DateOpened]],TODAY()))-1,ABS(NETWORKDAYS(Proc[[#This Row],[DateOpened]],Proc[[#This Row],[DateClosed]]))-1)</f>
        <v>2</v>
      </c>
      <c r="R2426" s="110" t="s">
        <v>780</v>
      </c>
      <c r="S2426" s="94"/>
    </row>
    <row r="2427" spans="1:19" hidden="1">
      <c r="A2427" t="s">
        <v>4328</v>
      </c>
      <c r="B2427" s="149" t="str">
        <f>IFERROR(VLOOKUP(Proc[[#This Row],[App]],Table2[],3,0),"open")</f>
        <v>ok</v>
      </c>
      <c r="C2427" t="s">
        <v>369</v>
      </c>
      <c r="D2427" t="s">
        <v>4327</v>
      </c>
      <c r="E2427" t="s">
        <v>4330</v>
      </c>
      <c r="F2427" s="120" t="s">
        <v>4330</v>
      </c>
      <c r="G2427" s="103" t="s">
        <v>400</v>
      </c>
      <c r="H2427" s="94" t="str">
        <f>IF(Proc[[#This Row],[type]]="LFF (MDG-F)",MID(Proc[[#This Row],[Obj]],13,10),"")</f>
        <v/>
      </c>
      <c r="J2427" s="94" t="b">
        <f>Proc[[#This Row],[Requested]]=Proc[[#This Row],[CurrentParent]]</f>
        <v>1</v>
      </c>
      <c r="K2427" s="144" t="str">
        <f>IF(Proc[[#This Row],[Author]]="Marcela Urrego",VLOOKUP(LEFT(Proc[[#This Row],[Requested]],1),Table3[#All],2,0),VLOOKUP(Proc[[#This Row],[Author]],Table4[],2,0))</f>
        <v>MGF</v>
      </c>
      <c r="L2427" s="125" t="s">
        <v>2563</v>
      </c>
      <c r="M2427" s="109">
        <v>45834.753379629627</v>
      </c>
      <c r="N2427" s="109">
        <v>45839</v>
      </c>
      <c r="O2427" s="109">
        <v>45839</v>
      </c>
      <c r="P2427" s="110" t="str">
        <f ca="1">IF(Proc[[#This Row],[DaysAgeing]]&gt;5,"yep","on track")</f>
        <v>on track</v>
      </c>
      <c r="Q2427" s="3">
        <f ca="1">IF(Proc[[#This Row],[DateClosed]]="",ABS(NETWORKDAYS(Proc[[#This Row],[DateOpened]],TODAY()))-1,ABS(NETWORKDAYS(Proc[[#This Row],[DateOpened]],Proc[[#This Row],[DateClosed]]))-1)</f>
        <v>3</v>
      </c>
      <c r="R2427" s="110" t="s">
        <v>542</v>
      </c>
      <c r="S2427" s="94"/>
    </row>
    <row r="2428" spans="1:19" hidden="1">
      <c r="A2428" s="103" t="s">
        <v>4328</v>
      </c>
      <c r="B2428" s="149" t="str">
        <f>IFERROR(VLOOKUP(Proc[[#This Row],[App]],Table2[],3,0),"open")</f>
        <v>ok</v>
      </c>
      <c r="C2428" s="103" t="s">
        <v>369</v>
      </c>
      <c r="D2428" t="s">
        <v>4329</v>
      </c>
      <c r="E2428" t="s">
        <v>4331</v>
      </c>
      <c r="F2428" s="120" t="s">
        <v>4331</v>
      </c>
      <c r="G2428" s="103" t="s">
        <v>400</v>
      </c>
      <c r="H2428" s="94" t="str">
        <f>IF(Proc[[#This Row],[type]]="LFF (MDG-F)",MID(Proc[[#This Row],[Obj]],13,10),"")</f>
        <v/>
      </c>
      <c r="J2428" s="94" t="b">
        <f>Proc[[#This Row],[Requested]]=Proc[[#This Row],[CurrentParent]]</f>
        <v>1</v>
      </c>
      <c r="K2428" s="144" t="str">
        <f>IF(Proc[[#This Row],[Author]]="Marcela Urrego",VLOOKUP(LEFT(Proc[[#This Row],[Requested]],1),Table3[#All],2,0),VLOOKUP(Proc[[#This Row],[Author]],Table4[],2,0))</f>
        <v>MGF</v>
      </c>
      <c r="L2428" s="125" t="s">
        <v>2563</v>
      </c>
      <c r="M2428" s="109">
        <v>45834.753379629627</v>
      </c>
      <c r="N2428" s="109">
        <v>45839</v>
      </c>
      <c r="O2428" s="109">
        <v>45839</v>
      </c>
      <c r="P2428" s="110" t="str">
        <f ca="1">IF(Proc[[#This Row],[DaysAgeing]]&gt;5,"yep","on track")</f>
        <v>on track</v>
      </c>
      <c r="Q2428" s="3">
        <f ca="1">IF(Proc[[#This Row],[DateClosed]]="",ABS(NETWORKDAYS(Proc[[#This Row],[DateOpened]],TODAY()))-1,ABS(NETWORKDAYS(Proc[[#This Row],[DateOpened]],Proc[[#This Row],[DateClosed]]))-1)</f>
        <v>3</v>
      </c>
      <c r="R2428" s="110" t="s">
        <v>542</v>
      </c>
      <c r="S2428" s="94"/>
    </row>
    <row r="2429" spans="1:19" hidden="1">
      <c r="A2429" t="s">
        <v>4334</v>
      </c>
      <c r="B2429" s="149" t="str">
        <f>IFERROR(VLOOKUP(Proc[[#This Row],[App]],Table2[],3,0),"open")</f>
        <v>ok</v>
      </c>
      <c r="C2429" t="s">
        <v>369</v>
      </c>
      <c r="D2429" t="s">
        <v>4332</v>
      </c>
      <c r="E2429" t="s">
        <v>4333</v>
      </c>
      <c r="F2429" s="120" t="s">
        <v>4333</v>
      </c>
      <c r="G2429" s="103" t="s">
        <v>400</v>
      </c>
      <c r="H2429" s="94" t="str">
        <f>IF(Proc[[#This Row],[type]]="LFF (MDG-F)",MID(Proc[[#This Row],[Obj]],13,10),"")</f>
        <v/>
      </c>
      <c r="J2429" s="94" t="b">
        <f>Proc[[#This Row],[Requested]]=Proc[[#This Row],[CurrentParent]]</f>
        <v>1</v>
      </c>
      <c r="K2429" s="144" t="str">
        <f>IF(Proc[[#This Row],[Author]]="Marcela Urrego",VLOOKUP(LEFT(Proc[[#This Row],[Requested]],1),Table3[#All],2,0),VLOOKUP(Proc[[#This Row],[Author]],Table4[],2,0))</f>
        <v>HC</v>
      </c>
      <c r="L2429" s="94" t="s">
        <v>4894</v>
      </c>
      <c r="M2429" s="109">
        <v>45839.405046296299</v>
      </c>
      <c r="N2429" s="109">
        <v>45840</v>
      </c>
      <c r="O2429" s="109">
        <v>45840</v>
      </c>
      <c r="P2429" s="110" t="str">
        <f ca="1">IF(Proc[[#This Row],[DaysAgeing]]&gt;5,"yep","on track")</f>
        <v>on track</v>
      </c>
      <c r="Q2429" s="3">
        <f ca="1">IF(Proc[[#This Row],[DateClosed]]="",ABS(NETWORKDAYS(Proc[[#This Row],[DateOpened]],TODAY()))-1,ABS(NETWORKDAYS(Proc[[#This Row],[DateOpened]],Proc[[#This Row],[DateClosed]]))-1)</f>
        <v>1</v>
      </c>
      <c r="R2429" s="110" t="s">
        <v>410</v>
      </c>
      <c r="S2429" s="94"/>
    </row>
    <row r="2430" spans="1:19" hidden="1">
      <c r="A2430" t="s">
        <v>4335</v>
      </c>
      <c r="B2430" s="149" t="str">
        <f>IFERROR(VLOOKUP(Proc[[#This Row],[App]],Table2[],3,0),"open")</f>
        <v>ok</v>
      </c>
      <c r="C2430" s="103" t="s">
        <v>369</v>
      </c>
      <c r="D2430" t="s">
        <v>4336</v>
      </c>
      <c r="E2430" t="s">
        <v>1830</v>
      </c>
      <c r="F2430" s="120" t="s">
        <v>1830</v>
      </c>
      <c r="G2430" s="103" t="s">
        <v>400</v>
      </c>
      <c r="H2430" s="94" t="str">
        <f>IF(Proc[[#This Row],[type]]="LFF (MDG-F)",MID(Proc[[#This Row],[Obj]],13,10),"")</f>
        <v/>
      </c>
      <c r="J2430" s="94" t="b">
        <f>Proc[[#This Row],[Requested]]=Proc[[#This Row],[CurrentParent]]</f>
        <v>1</v>
      </c>
      <c r="K2430" s="144" t="str">
        <f>IF(Proc[[#This Row],[Author]]="Marcela Urrego",VLOOKUP(LEFT(Proc[[#This Row],[Requested]],1),Table3[#All],2,0),VLOOKUP(Proc[[#This Row],[Author]],Table4[],2,0))</f>
        <v>LS</v>
      </c>
      <c r="L2430" s="125" t="s">
        <v>2563</v>
      </c>
      <c r="M2430" s="109">
        <v>45838.524548611109</v>
      </c>
      <c r="N2430" s="109">
        <v>45840</v>
      </c>
      <c r="O2430" s="109">
        <v>45840</v>
      </c>
      <c r="P2430" s="110" t="str">
        <f ca="1">IF(Proc[[#This Row],[DaysAgeing]]&gt;5,"yep","on track")</f>
        <v>on track</v>
      </c>
      <c r="Q2430" s="3">
        <f ca="1">IF(Proc[[#This Row],[DateClosed]]="",ABS(NETWORKDAYS(Proc[[#This Row],[DateOpened]],TODAY()))-1,ABS(NETWORKDAYS(Proc[[#This Row],[DateOpened]],Proc[[#This Row],[DateClosed]]))-1)</f>
        <v>2</v>
      </c>
      <c r="R2430" s="110" t="s">
        <v>972</v>
      </c>
      <c r="S2430" s="94"/>
    </row>
    <row r="2431" spans="1:19" hidden="1">
      <c r="A2431" s="103" t="s">
        <v>4335</v>
      </c>
      <c r="B2431" s="149" t="str">
        <f>IFERROR(VLOOKUP(Proc[[#This Row],[App]],Table2[],3,0),"open")</f>
        <v>ok</v>
      </c>
      <c r="C2431" s="103" t="s">
        <v>369</v>
      </c>
      <c r="D2431" t="s">
        <v>4337</v>
      </c>
      <c r="E2431" t="s">
        <v>1830</v>
      </c>
      <c r="F2431" s="120" t="s">
        <v>1830</v>
      </c>
      <c r="G2431" s="103" t="s">
        <v>400</v>
      </c>
      <c r="H2431" s="94" t="str">
        <f>IF(Proc[[#This Row],[type]]="LFF (MDG-F)",MID(Proc[[#This Row],[Obj]],13,10),"")</f>
        <v/>
      </c>
      <c r="J2431" s="94" t="b">
        <f>Proc[[#This Row],[Requested]]=Proc[[#This Row],[CurrentParent]]</f>
        <v>1</v>
      </c>
      <c r="K2431" s="144" t="str">
        <f>IF(Proc[[#This Row],[Author]]="Marcela Urrego",VLOOKUP(LEFT(Proc[[#This Row],[Requested]],1),Table3[#All],2,0),VLOOKUP(Proc[[#This Row],[Author]],Table4[],2,0))</f>
        <v>LS</v>
      </c>
      <c r="L2431" s="125" t="s">
        <v>2563</v>
      </c>
      <c r="M2431" s="109">
        <v>45838.524548611109</v>
      </c>
      <c r="N2431" s="109">
        <v>45840</v>
      </c>
      <c r="O2431" s="109">
        <v>45840</v>
      </c>
      <c r="P2431" s="110" t="str">
        <f ca="1">IF(Proc[[#This Row],[DaysAgeing]]&gt;5,"yep","on track")</f>
        <v>on track</v>
      </c>
      <c r="Q2431" s="3">
        <f ca="1">IF(Proc[[#This Row],[DateClosed]]="",ABS(NETWORKDAYS(Proc[[#This Row],[DateOpened]],TODAY()))-1,ABS(NETWORKDAYS(Proc[[#This Row],[DateOpened]],Proc[[#This Row],[DateClosed]]))-1)</f>
        <v>2</v>
      </c>
      <c r="R2431" s="110" t="s">
        <v>972</v>
      </c>
      <c r="S2431" s="94"/>
    </row>
    <row r="2432" spans="1:19" hidden="1">
      <c r="A2432" s="103" t="s">
        <v>4335</v>
      </c>
      <c r="B2432" s="149" t="str">
        <f>IFERROR(VLOOKUP(Proc[[#This Row],[App]],Table2[],3,0),"open")</f>
        <v>ok</v>
      </c>
      <c r="C2432" s="103" t="s">
        <v>369</v>
      </c>
      <c r="D2432" t="s">
        <v>4338</v>
      </c>
      <c r="E2432" t="s">
        <v>1830</v>
      </c>
      <c r="F2432" s="120" t="s">
        <v>1830</v>
      </c>
      <c r="G2432" s="103" t="s">
        <v>400</v>
      </c>
      <c r="H2432" s="94" t="str">
        <f>IF(Proc[[#This Row],[type]]="LFF (MDG-F)",MID(Proc[[#This Row],[Obj]],13,10),"")</f>
        <v/>
      </c>
      <c r="J2432" s="94" t="b">
        <f>Proc[[#This Row],[Requested]]=Proc[[#This Row],[CurrentParent]]</f>
        <v>1</v>
      </c>
      <c r="K2432" s="144" t="str">
        <f>IF(Proc[[#This Row],[Author]]="Marcela Urrego",VLOOKUP(LEFT(Proc[[#This Row],[Requested]],1),Table3[#All],2,0),VLOOKUP(Proc[[#This Row],[Author]],Table4[],2,0))</f>
        <v>LS</v>
      </c>
      <c r="L2432" s="125" t="s">
        <v>2563</v>
      </c>
      <c r="M2432" s="109">
        <v>45838.524548611109</v>
      </c>
      <c r="N2432" s="109">
        <v>45840</v>
      </c>
      <c r="O2432" s="109">
        <v>45840</v>
      </c>
      <c r="P2432" s="110" t="str">
        <f ca="1">IF(Proc[[#This Row],[DaysAgeing]]&gt;5,"yep","on track")</f>
        <v>on track</v>
      </c>
      <c r="Q2432" s="3">
        <f ca="1">IF(Proc[[#This Row],[DateClosed]]="",ABS(NETWORKDAYS(Proc[[#This Row],[DateOpened]],TODAY()))-1,ABS(NETWORKDAYS(Proc[[#This Row],[DateOpened]],Proc[[#This Row],[DateClosed]]))-1)</f>
        <v>2</v>
      </c>
      <c r="R2432" s="110" t="s">
        <v>972</v>
      </c>
      <c r="S2432" s="94"/>
    </row>
    <row r="2433" spans="1:19" hidden="1">
      <c r="A2433" s="103" t="s">
        <v>4335</v>
      </c>
      <c r="B2433" s="149" t="str">
        <f>IFERROR(VLOOKUP(Proc[[#This Row],[App]],Table2[],3,0),"open")</f>
        <v>ok</v>
      </c>
      <c r="C2433" s="103" t="s">
        <v>369</v>
      </c>
      <c r="D2433" t="s">
        <v>4339</v>
      </c>
      <c r="E2433" t="s">
        <v>1830</v>
      </c>
      <c r="F2433" s="120" t="s">
        <v>1830</v>
      </c>
      <c r="G2433" s="103" t="s">
        <v>400</v>
      </c>
      <c r="H2433" s="94" t="str">
        <f>IF(Proc[[#This Row],[type]]="LFF (MDG-F)",MID(Proc[[#This Row],[Obj]],13,10),"")</f>
        <v/>
      </c>
      <c r="J2433" s="94" t="b">
        <f>Proc[[#This Row],[Requested]]=Proc[[#This Row],[CurrentParent]]</f>
        <v>1</v>
      </c>
      <c r="K2433" s="144" t="str">
        <f>IF(Proc[[#This Row],[Author]]="Marcela Urrego",VLOOKUP(LEFT(Proc[[#This Row],[Requested]],1),Table3[#All],2,0),VLOOKUP(Proc[[#This Row],[Author]],Table4[],2,0))</f>
        <v>LS</v>
      </c>
      <c r="L2433" s="125" t="s">
        <v>2563</v>
      </c>
      <c r="M2433" s="109">
        <v>45838.524548611109</v>
      </c>
      <c r="N2433" s="109">
        <v>45840</v>
      </c>
      <c r="O2433" s="109">
        <v>45840</v>
      </c>
      <c r="P2433" s="110" t="str">
        <f ca="1">IF(Proc[[#This Row],[DaysAgeing]]&gt;5,"yep","on track")</f>
        <v>on track</v>
      </c>
      <c r="Q2433" s="3">
        <f ca="1">IF(Proc[[#This Row],[DateClosed]]="",ABS(NETWORKDAYS(Proc[[#This Row],[DateOpened]],TODAY()))-1,ABS(NETWORKDAYS(Proc[[#This Row],[DateOpened]],Proc[[#This Row],[DateClosed]]))-1)</f>
        <v>2</v>
      </c>
      <c r="R2433" s="110" t="s">
        <v>972</v>
      </c>
      <c r="S2433" s="94"/>
    </row>
    <row r="2434" spans="1:19" hidden="1">
      <c r="A2434" s="103" t="s">
        <v>4335</v>
      </c>
      <c r="B2434" s="149" t="str">
        <f>IFERROR(VLOOKUP(Proc[[#This Row],[App]],Table2[],3,0),"open")</f>
        <v>ok</v>
      </c>
      <c r="C2434" s="103" t="s">
        <v>369</v>
      </c>
      <c r="D2434" t="s">
        <v>4340</v>
      </c>
      <c r="E2434" t="s">
        <v>1830</v>
      </c>
      <c r="F2434" s="120" t="s">
        <v>1830</v>
      </c>
      <c r="G2434" s="103" t="s">
        <v>400</v>
      </c>
      <c r="H2434" s="94" t="str">
        <f>IF(Proc[[#This Row],[type]]="LFF (MDG-F)",MID(Proc[[#This Row],[Obj]],13,10),"")</f>
        <v/>
      </c>
      <c r="J2434" s="94" t="b">
        <f>Proc[[#This Row],[Requested]]=Proc[[#This Row],[CurrentParent]]</f>
        <v>1</v>
      </c>
      <c r="K2434" s="144" t="str">
        <f>IF(Proc[[#This Row],[Author]]="Marcela Urrego",VLOOKUP(LEFT(Proc[[#This Row],[Requested]],1),Table3[#All],2,0),VLOOKUP(Proc[[#This Row],[Author]],Table4[],2,0))</f>
        <v>LS</v>
      </c>
      <c r="L2434" s="125" t="s">
        <v>2563</v>
      </c>
      <c r="M2434" s="109">
        <v>45838.524548611109</v>
      </c>
      <c r="N2434" s="109">
        <v>45840</v>
      </c>
      <c r="O2434" s="109">
        <v>45840</v>
      </c>
      <c r="P2434" s="110" t="str">
        <f ca="1">IF(Proc[[#This Row],[DaysAgeing]]&gt;5,"yep","on track")</f>
        <v>on track</v>
      </c>
      <c r="Q2434" s="3">
        <f ca="1">IF(Proc[[#This Row],[DateClosed]]="",ABS(NETWORKDAYS(Proc[[#This Row],[DateOpened]],TODAY()))-1,ABS(NETWORKDAYS(Proc[[#This Row],[DateOpened]],Proc[[#This Row],[DateClosed]]))-1)</f>
        <v>2</v>
      </c>
      <c r="R2434" s="110" t="s">
        <v>972</v>
      </c>
      <c r="S2434" s="94"/>
    </row>
    <row r="2435" spans="1:19" hidden="1">
      <c r="A2435" s="103" t="s">
        <v>4335</v>
      </c>
      <c r="B2435" s="149" t="str">
        <f>IFERROR(VLOOKUP(Proc[[#This Row],[App]],Table2[],3,0),"open")</f>
        <v>ok</v>
      </c>
      <c r="C2435" s="103" t="s">
        <v>369</v>
      </c>
      <c r="D2435" t="s">
        <v>4341</v>
      </c>
      <c r="E2435" t="s">
        <v>1830</v>
      </c>
      <c r="F2435" s="120" t="s">
        <v>1830</v>
      </c>
      <c r="G2435" s="103" t="s">
        <v>400</v>
      </c>
      <c r="H2435" s="94" t="str">
        <f>IF(Proc[[#This Row],[type]]="LFF (MDG-F)",MID(Proc[[#This Row],[Obj]],13,10),"")</f>
        <v/>
      </c>
      <c r="J2435" s="94" t="b">
        <f>Proc[[#This Row],[Requested]]=Proc[[#This Row],[CurrentParent]]</f>
        <v>1</v>
      </c>
      <c r="K2435" s="144" t="str">
        <f>IF(Proc[[#This Row],[Author]]="Marcela Urrego",VLOOKUP(LEFT(Proc[[#This Row],[Requested]],1),Table3[#All],2,0),VLOOKUP(Proc[[#This Row],[Author]],Table4[],2,0))</f>
        <v>LS</v>
      </c>
      <c r="L2435" s="125" t="s">
        <v>2563</v>
      </c>
      <c r="M2435" s="109">
        <v>45838.524548611109</v>
      </c>
      <c r="N2435" s="109">
        <v>45840</v>
      </c>
      <c r="O2435" s="109">
        <v>45840</v>
      </c>
      <c r="P2435" s="110" t="str">
        <f ca="1">IF(Proc[[#This Row],[DaysAgeing]]&gt;5,"yep","on track")</f>
        <v>on track</v>
      </c>
      <c r="Q2435" s="3">
        <f ca="1">IF(Proc[[#This Row],[DateClosed]]="",ABS(NETWORKDAYS(Proc[[#This Row],[DateOpened]],TODAY()))-1,ABS(NETWORKDAYS(Proc[[#This Row],[DateOpened]],Proc[[#This Row],[DateClosed]]))-1)</f>
        <v>2</v>
      </c>
      <c r="R2435" s="110" t="s">
        <v>972</v>
      </c>
      <c r="S2435" s="94"/>
    </row>
    <row r="2436" spans="1:19" hidden="1">
      <c r="A2436" s="103" t="s">
        <v>4335</v>
      </c>
      <c r="B2436" s="149" t="str">
        <f>IFERROR(VLOOKUP(Proc[[#This Row],[App]],Table2[],3,0),"open")</f>
        <v>ok</v>
      </c>
      <c r="C2436" s="103" t="s">
        <v>369</v>
      </c>
      <c r="D2436" t="s">
        <v>4342</v>
      </c>
      <c r="E2436" t="s">
        <v>1830</v>
      </c>
      <c r="F2436" s="120" t="s">
        <v>1830</v>
      </c>
      <c r="G2436" s="103" t="s">
        <v>400</v>
      </c>
      <c r="H2436" s="94" t="str">
        <f>IF(Proc[[#This Row],[type]]="LFF (MDG-F)",MID(Proc[[#This Row],[Obj]],13,10),"")</f>
        <v/>
      </c>
      <c r="J2436" s="94" t="b">
        <f>Proc[[#This Row],[Requested]]=Proc[[#This Row],[CurrentParent]]</f>
        <v>1</v>
      </c>
      <c r="K2436" s="144" t="str">
        <f>IF(Proc[[#This Row],[Author]]="Marcela Urrego",VLOOKUP(LEFT(Proc[[#This Row],[Requested]],1),Table3[#All],2,0),VLOOKUP(Proc[[#This Row],[Author]],Table4[],2,0))</f>
        <v>LS</v>
      </c>
      <c r="L2436" s="125" t="s">
        <v>2563</v>
      </c>
      <c r="M2436" s="109">
        <v>45838.524548611109</v>
      </c>
      <c r="N2436" s="109">
        <v>45840</v>
      </c>
      <c r="O2436" s="109">
        <v>45840</v>
      </c>
      <c r="P2436" s="110" t="str">
        <f ca="1">IF(Proc[[#This Row],[DaysAgeing]]&gt;5,"yep","on track")</f>
        <v>on track</v>
      </c>
      <c r="Q2436" s="3">
        <f ca="1">IF(Proc[[#This Row],[DateClosed]]="",ABS(NETWORKDAYS(Proc[[#This Row],[DateOpened]],TODAY()))-1,ABS(NETWORKDAYS(Proc[[#This Row],[DateOpened]],Proc[[#This Row],[DateClosed]]))-1)</f>
        <v>2</v>
      </c>
      <c r="R2436" s="110" t="s">
        <v>972</v>
      </c>
      <c r="S2436" s="94"/>
    </row>
    <row r="2437" spans="1:19" hidden="1">
      <c r="A2437" s="103" t="s">
        <v>4335</v>
      </c>
      <c r="B2437" s="149" t="str">
        <f>IFERROR(VLOOKUP(Proc[[#This Row],[App]],Table2[],3,0),"open")</f>
        <v>ok</v>
      </c>
      <c r="C2437" s="103" t="s">
        <v>369</v>
      </c>
      <c r="D2437" t="s">
        <v>4343</v>
      </c>
      <c r="E2437" t="s">
        <v>1830</v>
      </c>
      <c r="F2437" s="120" t="s">
        <v>1830</v>
      </c>
      <c r="G2437" s="103" t="s">
        <v>400</v>
      </c>
      <c r="H2437" s="94" t="str">
        <f>IF(Proc[[#This Row],[type]]="LFF (MDG-F)",MID(Proc[[#This Row],[Obj]],13,10),"")</f>
        <v/>
      </c>
      <c r="J2437" s="94" t="b">
        <f>Proc[[#This Row],[Requested]]=Proc[[#This Row],[CurrentParent]]</f>
        <v>1</v>
      </c>
      <c r="K2437" s="144" t="str">
        <f>IF(Proc[[#This Row],[Author]]="Marcela Urrego",VLOOKUP(LEFT(Proc[[#This Row],[Requested]],1),Table3[#All],2,0),VLOOKUP(Proc[[#This Row],[Author]],Table4[],2,0))</f>
        <v>LS</v>
      </c>
      <c r="L2437" s="125" t="s">
        <v>2563</v>
      </c>
      <c r="M2437" s="109">
        <v>45838.524548611109</v>
      </c>
      <c r="N2437" s="109">
        <v>45840</v>
      </c>
      <c r="O2437" s="109">
        <v>45840</v>
      </c>
      <c r="P2437" s="110" t="str">
        <f ca="1">IF(Proc[[#This Row],[DaysAgeing]]&gt;5,"yep","on track")</f>
        <v>on track</v>
      </c>
      <c r="Q2437" s="3">
        <f ca="1">IF(Proc[[#This Row],[DateClosed]]="",ABS(NETWORKDAYS(Proc[[#This Row],[DateOpened]],TODAY()))-1,ABS(NETWORKDAYS(Proc[[#This Row],[DateOpened]],Proc[[#This Row],[DateClosed]]))-1)</f>
        <v>2</v>
      </c>
      <c r="R2437" s="110" t="s">
        <v>972</v>
      </c>
      <c r="S2437" s="94"/>
    </row>
    <row r="2438" spans="1:19" hidden="1">
      <c r="A2438" s="103" t="s">
        <v>4335</v>
      </c>
      <c r="B2438" s="149" t="str">
        <f>IFERROR(VLOOKUP(Proc[[#This Row],[App]],Table2[],3,0),"open")</f>
        <v>ok</v>
      </c>
      <c r="C2438" s="103" t="s">
        <v>369</v>
      </c>
      <c r="D2438" t="s">
        <v>4344</v>
      </c>
      <c r="E2438" t="s">
        <v>1830</v>
      </c>
      <c r="F2438" s="120" t="s">
        <v>1830</v>
      </c>
      <c r="G2438" s="103" t="s">
        <v>400</v>
      </c>
      <c r="H2438" s="94" t="str">
        <f>IF(Proc[[#This Row],[type]]="LFF (MDG-F)",MID(Proc[[#This Row],[Obj]],13,10),"")</f>
        <v/>
      </c>
      <c r="J2438" s="94" t="b">
        <f>Proc[[#This Row],[Requested]]=Proc[[#This Row],[CurrentParent]]</f>
        <v>1</v>
      </c>
      <c r="K2438" s="144" t="str">
        <f>IF(Proc[[#This Row],[Author]]="Marcela Urrego",VLOOKUP(LEFT(Proc[[#This Row],[Requested]],1),Table3[#All],2,0),VLOOKUP(Proc[[#This Row],[Author]],Table4[],2,0))</f>
        <v>LS</v>
      </c>
      <c r="L2438" s="125" t="s">
        <v>2563</v>
      </c>
      <c r="M2438" s="109">
        <v>45838.524548611109</v>
      </c>
      <c r="N2438" s="109">
        <v>45840</v>
      </c>
      <c r="O2438" s="109">
        <v>45840</v>
      </c>
      <c r="P2438" s="110" t="str">
        <f ca="1">IF(Proc[[#This Row],[DaysAgeing]]&gt;5,"yep","on track")</f>
        <v>on track</v>
      </c>
      <c r="Q2438" s="3">
        <f ca="1">IF(Proc[[#This Row],[DateClosed]]="",ABS(NETWORKDAYS(Proc[[#This Row],[DateOpened]],TODAY()))-1,ABS(NETWORKDAYS(Proc[[#This Row],[DateOpened]],Proc[[#This Row],[DateClosed]]))-1)</f>
        <v>2</v>
      </c>
      <c r="R2438" s="110" t="s">
        <v>972</v>
      </c>
      <c r="S2438" s="94"/>
    </row>
    <row r="2439" spans="1:19" hidden="1">
      <c r="A2439" s="103" t="s">
        <v>4335</v>
      </c>
      <c r="B2439" s="149" t="str">
        <f>IFERROR(VLOOKUP(Proc[[#This Row],[App]],Table2[],3,0),"open")</f>
        <v>ok</v>
      </c>
      <c r="C2439" s="103" t="s">
        <v>369</v>
      </c>
      <c r="D2439" t="s">
        <v>4345</v>
      </c>
      <c r="E2439" t="s">
        <v>1830</v>
      </c>
      <c r="F2439" s="120" t="s">
        <v>1830</v>
      </c>
      <c r="G2439" s="103" t="s">
        <v>400</v>
      </c>
      <c r="H2439" s="94" t="str">
        <f>IF(Proc[[#This Row],[type]]="LFF (MDG-F)",MID(Proc[[#This Row],[Obj]],13,10),"")</f>
        <v/>
      </c>
      <c r="J2439" s="94" t="b">
        <f>Proc[[#This Row],[Requested]]=Proc[[#This Row],[CurrentParent]]</f>
        <v>1</v>
      </c>
      <c r="K2439" s="144" t="str">
        <f>IF(Proc[[#This Row],[Author]]="Marcela Urrego",VLOOKUP(LEFT(Proc[[#This Row],[Requested]],1),Table3[#All],2,0),VLOOKUP(Proc[[#This Row],[Author]],Table4[],2,0))</f>
        <v>LS</v>
      </c>
      <c r="L2439" s="125" t="s">
        <v>2563</v>
      </c>
      <c r="M2439" s="109">
        <v>45838.524548611109</v>
      </c>
      <c r="N2439" s="109">
        <v>45840</v>
      </c>
      <c r="O2439" s="109">
        <v>45840</v>
      </c>
      <c r="P2439" s="110" t="str">
        <f ca="1">IF(Proc[[#This Row],[DaysAgeing]]&gt;5,"yep","on track")</f>
        <v>on track</v>
      </c>
      <c r="Q2439" s="3">
        <f ca="1">IF(Proc[[#This Row],[DateClosed]]="",ABS(NETWORKDAYS(Proc[[#This Row],[DateOpened]],TODAY()))-1,ABS(NETWORKDAYS(Proc[[#This Row],[DateOpened]],Proc[[#This Row],[DateClosed]]))-1)</f>
        <v>2</v>
      </c>
      <c r="R2439" s="110" t="s">
        <v>972</v>
      </c>
      <c r="S2439" s="94"/>
    </row>
    <row r="2440" spans="1:19" hidden="1">
      <c r="A2440" s="103" t="s">
        <v>4335</v>
      </c>
      <c r="B2440" s="149" t="str">
        <f>IFERROR(VLOOKUP(Proc[[#This Row],[App]],Table2[],3,0),"open")</f>
        <v>ok</v>
      </c>
      <c r="C2440" s="103" t="s">
        <v>369</v>
      </c>
      <c r="D2440" t="s">
        <v>4346</v>
      </c>
      <c r="E2440" t="s">
        <v>1830</v>
      </c>
      <c r="F2440" s="120" t="s">
        <v>1830</v>
      </c>
      <c r="G2440" s="103" t="s">
        <v>400</v>
      </c>
      <c r="H2440" s="94" t="str">
        <f>IF(Proc[[#This Row],[type]]="LFF (MDG-F)",MID(Proc[[#This Row],[Obj]],13,10),"")</f>
        <v/>
      </c>
      <c r="J2440" s="94" t="b">
        <f>Proc[[#This Row],[Requested]]=Proc[[#This Row],[CurrentParent]]</f>
        <v>1</v>
      </c>
      <c r="K2440" s="144" t="str">
        <f>IF(Proc[[#This Row],[Author]]="Marcela Urrego",VLOOKUP(LEFT(Proc[[#This Row],[Requested]],1),Table3[#All],2,0),VLOOKUP(Proc[[#This Row],[Author]],Table4[],2,0))</f>
        <v>LS</v>
      </c>
      <c r="L2440" s="125" t="s">
        <v>2563</v>
      </c>
      <c r="M2440" s="109">
        <v>45838.524548611109</v>
      </c>
      <c r="N2440" s="109">
        <v>45840</v>
      </c>
      <c r="O2440" s="109">
        <v>45840</v>
      </c>
      <c r="P2440" s="110" t="str">
        <f ca="1">IF(Proc[[#This Row],[DaysAgeing]]&gt;5,"yep","on track")</f>
        <v>on track</v>
      </c>
      <c r="Q2440" s="3">
        <f ca="1">IF(Proc[[#This Row],[DateClosed]]="",ABS(NETWORKDAYS(Proc[[#This Row],[DateOpened]],TODAY()))-1,ABS(NETWORKDAYS(Proc[[#This Row],[DateOpened]],Proc[[#This Row],[DateClosed]]))-1)</f>
        <v>2</v>
      </c>
      <c r="R2440" s="110" t="s">
        <v>972</v>
      </c>
      <c r="S2440" s="94"/>
    </row>
    <row r="2441" spans="1:19" hidden="1">
      <c r="A2441" s="103" t="s">
        <v>4335</v>
      </c>
      <c r="B2441" s="149" t="str">
        <f>IFERROR(VLOOKUP(Proc[[#This Row],[App]],Table2[],3,0),"open")</f>
        <v>ok</v>
      </c>
      <c r="C2441" s="103" t="s">
        <v>369</v>
      </c>
      <c r="D2441" t="s">
        <v>4347</v>
      </c>
      <c r="E2441" t="s">
        <v>1830</v>
      </c>
      <c r="F2441" s="120" t="s">
        <v>1830</v>
      </c>
      <c r="G2441" s="103" t="s">
        <v>400</v>
      </c>
      <c r="H2441" s="94" t="str">
        <f>IF(Proc[[#This Row],[type]]="LFF (MDG-F)",MID(Proc[[#This Row],[Obj]],13,10),"")</f>
        <v/>
      </c>
      <c r="J2441" s="94" t="b">
        <f>Proc[[#This Row],[Requested]]=Proc[[#This Row],[CurrentParent]]</f>
        <v>1</v>
      </c>
      <c r="K2441" s="144" t="str">
        <f>IF(Proc[[#This Row],[Author]]="Marcela Urrego",VLOOKUP(LEFT(Proc[[#This Row],[Requested]],1),Table3[#All],2,0),VLOOKUP(Proc[[#This Row],[Author]],Table4[],2,0))</f>
        <v>LS</v>
      </c>
      <c r="L2441" s="125" t="s">
        <v>2563</v>
      </c>
      <c r="M2441" s="109">
        <v>45838.524548611109</v>
      </c>
      <c r="N2441" s="109">
        <v>45840</v>
      </c>
      <c r="O2441" s="109">
        <v>45840</v>
      </c>
      <c r="P2441" s="110" t="str">
        <f ca="1">IF(Proc[[#This Row],[DaysAgeing]]&gt;5,"yep","on track")</f>
        <v>on track</v>
      </c>
      <c r="Q2441" s="3">
        <f ca="1">IF(Proc[[#This Row],[DateClosed]]="",ABS(NETWORKDAYS(Proc[[#This Row],[DateOpened]],TODAY()))-1,ABS(NETWORKDAYS(Proc[[#This Row],[DateOpened]],Proc[[#This Row],[DateClosed]]))-1)</f>
        <v>2</v>
      </c>
      <c r="R2441" s="110" t="s">
        <v>972</v>
      </c>
      <c r="S2441" s="94"/>
    </row>
    <row r="2442" spans="1:19" hidden="1">
      <c r="A2442" s="103" t="s">
        <v>4335</v>
      </c>
      <c r="B2442" s="149" t="str">
        <f>IFERROR(VLOOKUP(Proc[[#This Row],[App]],Table2[],3,0),"open")</f>
        <v>ok</v>
      </c>
      <c r="C2442" s="103" t="s">
        <v>369</v>
      </c>
      <c r="D2442" t="s">
        <v>4348</v>
      </c>
      <c r="E2442" t="s">
        <v>1830</v>
      </c>
      <c r="F2442" s="120" t="s">
        <v>1830</v>
      </c>
      <c r="G2442" s="103" t="s">
        <v>400</v>
      </c>
      <c r="H2442" s="94" t="str">
        <f>IF(Proc[[#This Row],[type]]="LFF (MDG-F)",MID(Proc[[#This Row],[Obj]],13,10),"")</f>
        <v/>
      </c>
      <c r="J2442" s="94" t="b">
        <f>Proc[[#This Row],[Requested]]=Proc[[#This Row],[CurrentParent]]</f>
        <v>1</v>
      </c>
      <c r="K2442" s="144" t="str">
        <f>IF(Proc[[#This Row],[Author]]="Marcela Urrego",VLOOKUP(LEFT(Proc[[#This Row],[Requested]],1),Table3[#All],2,0),VLOOKUP(Proc[[#This Row],[Author]],Table4[],2,0))</f>
        <v>LS</v>
      </c>
      <c r="L2442" s="125" t="s">
        <v>2563</v>
      </c>
      <c r="M2442" s="109">
        <v>45838.524548611109</v>
      </c>
      <c r="N2442" s="109">
        <v>45840</v>
      </c>
      <c r="O2442" s="109">
        <v>45840</v>
      </c>
      <c r="P2442" s="110" t="str">
        <f ca="1">IF(Proc[[#This Row],[DaysAgeing]]&gt;5,"yep","on track")</f>
        <v>on track</v>
      </c>
      <c r="Q2442" s="3">
        <f ca="1">IF(Proc[[#This Row],[DateClosed]]="",ABS(NETWORKDAYS(Proc[[#This Row],[DateOpened]],TODAY()))-1,ABS(NETWORKDAYS(Proc[[#This Row],[DateOpened]],Proc[[#This Row],[DateClosed]]))-1)</f>
        <v>2</v>
      </c>
      <c r="R2442" s="110" t="s">
        <v>972</v>
      </c>
      <c r="S2442" s="94"/>
    </row>
    <row r="2443" spans="1:19" hidden="1">
      <c r="A2443" s="103" t="s">
        <v>4335</v>
      </c>
      <c r="B2443" s="149" t="str">
        <f>IFERROR(VLOOKUP(Proc[[#This Row],[App]],Table2[],3,0),"open")</f>
        <v>ok</v>
      </c>
      <c r="C2443" s="103" t="s">
        <v>369</v>
      </c>
      <c r="D2443" t="s">
        <v>4349</v>
      </c>
      <c r="E2443" t="s">
        <v>1830</v>
      </c>
      <c r="F2443" s="120" t="s">
        <v>1830</v>
      </c>
      <c r="G2443" s="103" t="s">
        <v>400</v>
      </c>
      <c r="H2443" s="94" t="str">
        <f>IF(Proc[[#This Row],[type]]="LFF (MDG-F)",MID(Proc[[#This Row],[Obj]],13,10),"")</f>
        <v/>
      </c>
      <c r="J2443" s="94" t="b">
        <f>Proc[[#This Row],[Requested]]=Proc[[#This Row],[CurrentParent]]</f>
        <v>1</v>
      </c>
      <c r="K2443" s="144" t="str">
        <f>IF(Proc[[#This Row],[Author]]="Marcela Urrego",VLOOKUP(LEFT(Proc[[#This Row],[Requested]],1),Table3[#All],2,0),VLOOKUP(Proc[[#This Row],[Author]],Table4[],2,0))</f>
        <v>LS</v>
      </c>
      <c r="L2443" s="125" t="s">
        <v>2563</v>
      </c>
      <c r="M2443" s="109">
        <v>45838.524548611109</v>
      </c>
      <c r="N2443" s="109">
        <v>45840</v>
      </c>
      <c r="O2443" s="109">
        <v>45840</v>
      </c>
      <c r="P2443" s="110" t="str">
        <f ca="1">IF(Proc[[#This Row],[DaysAgeing]]&gt;5,"yep","on track")</f>
        <v>on track</v>
      </c>
      <c r="Q2443" s="3">
        <f ca="1">IF(Proc[[#This Row],[DateClosed]]="",ABS(NETWORKDAYS(Proc[[#This Row],[DateOpened]],TODAY()))-1,ABS(NETWORKDAYS(Proc[[#This Row],[DateOpened]],Proc[[#This Row],[DateClosed]]))-1)</f>
        <v>2</v>
      </c>
      <c r="R2443" s="110" t="s">
        <v>972</v>
      </c>
      <c r="S2443" s="94"/>
    </row>
    <row r="2444" spans="1:19" hidden="1">
      <c r="A2444" s="103" t="s">
        <v>4335</v>
      </c>
      <c r="B2444" s="149" t="str">
        <f>IFERROR(VLOOKUP(Proc[[#This Row],[App]],Table2[],3,0),"open")</f>
        <v>ok</v>
      </c>
      <c r="C2444" s="103" t="s">
        <v>369</v>
      </c>
      <c r="D2444" t="s">
        <v>4350</v>
      </c>
      <c r="E2444" t="s">
        <v>1830</v>
      </c>
      <c r="F2444" s="120" t="s">
        <v>1830</v>
      </c>
      <c r="G2444" s="103" t="s">
        <v>400</v>
      </c>
      <c r="H2444" s="94" t="str">
        <f>IF(Proc[[#This Row],[type]]="LFF (MDG-F)",MID(Proc[[#This Row],[Obj]],13,10),"")</f>
        <v/>
      </c>
      <c r="J2444" s="94" t="b">
        <f>Proc[[#This Row],[Requested]]=Proc[[#This Row],[CurrentParent]]</f>
        <v>1</v>
      </c>
      <c r="K2444" s="144" t="str">
        <f>IF(Proc[[#This Row],[Author]]="Marcela Urrego",VLOOKUP(LEFT(Proc[[#This Row],[Requested]],1),Table3[#All],2,0),VLOOKUP(Proc[[#This Row],[Author]],Table4[],2,0))</f>
        <v>LS</v>
      </c>
      <c r="L2444" s="125" t="s">
        <v>2563</v>
      </c>
      <c r="M2444" s="109">
        <v>45838.524548611109</v>
      </c>
      <c r="N2444" s="109">
        <v>45840</v>
      </c>
      <c r="O2444" s="109">
        <v>45840</v>
      </c>
      <c r="P2444" s="110" t="str">
        <f ca="1">IF(Proc[[#This Row],[DaysAgeing]]&gt;5,"yep","on track")</f>
        <v>on track</v>
      </c>
      <c r="Q2444" s="3">
        <f ca="1">IF(Proc[[#This Row],[DateClosed]]="",ABS(NETWORKDAYS(Proc[[#This Row],[DateOpened]],TODAY()))-1,ABS(NETWORKDAYS(Proc[[#This Row],[DateOpened]],Proc[[#This Row],[DateClosed]]))-1)</f>
        <v>2</v>
      </c>
      <c r="R2444" s="110" t="s">
        <v>972</v>
      </c>
      <c r="S2444" s="94"/>
    </row>
    <row r="2445" spans="1:19" hidden="1">
      <c r="A2445" s="103" t="s">
        <v>4335</v>
      </c>
      <c r="B2445" s="149" t="str">
        <f>IFERROR(VLOOKUP(Proc[[#This Row],[App]],Table2[],3,0),"open")</f>
        <v>ok</v>
      </c>
      <c r="C2445" s="103" t="s">
        <v>369</v>
      </c>
      <c r="D2445" t="s">
        <v>4351</v>
      </c>
      <c r="E2445" t="s">
        <v>1830</v>
      </c>
      <c r="F2445" s="120" t="s">
        <v>1830</v>
      </c>
      <c r="G2445" s="103" t="s">
        <v>400</v>
      </c>
      <c r="H2445" s="94" t="str">
        <f>IF(Proc[[#This Row],[type]]="LFF (MDG-F)",MID(Proc[[#This Row],[Obj]],13,10),"")</f>
        <v/>
      </c>
      <c r="J2445" s="94" t="b">
        <f>Proc[[#This Row],[Requested]]=Proc[[#This Row],[CurrentParent]]</f>
        <v>1</v>
      </c>
      <c r="K2445" s="144" t="str">
        <f>IF(Proc[[#This Row],[Author]]="Marcela Urrego",VLOOKUP(LEFT(Proc[[#This Row],[Requested]],1),Table3[#All],2,0),VLOOKUP(Proc[[#This Row],[Author]],Table4[],2,0))</f>
        <v>LS</v>
      </c>
      <c r="L2445" s="125" t="s">
        <v>2563</v>
      </c>
      <c r="M2445" s="109">
        <v>45838.524548611109</v>
      </c>
      <c r="N2445" s="109">
        <v>45840</v>
      </c>
      <c r="O2445" s="109">
        <v>45840</v>
      </c>
      <c r="P2445" s="110" t="str">
        <f ca="1">IF(Proc[[#This Row],[DaysAgeing]]&gt;5,"yep","on track")</f>
        <v>on track</v>
      </c>
      <c r="Q2445" s="3">
        <f ca="1">IF(Proc[[#This Row],[DateClosed]]="",ABS(NETWORKDAYS(Proc[[#This Row],[DateOpened]],TODAY()))-1,ABS(NETWORKDAYS(Proc[[#This Row],[DateOpened]],Proc[[#This Row],[DateClosed]]))-1)</f>
        <v>2</v>
      </c>
      <c r="R2445" s="110" t="s">
        <v>972</v>
      </c>
      <c r="S2445" s="94"/>
    </row>
    <row r="2446" spans="1:19" hidden="1">
      <c r="A2446" s="103" t="s">
        <v>4335</v>
      </c>
      <c r="B2446" s="149" t="str">
        <f>IFERROR(VLOOKUP(Proc[[#This Row],[App]],Table2[],3,0),"open")</f>
        <v>ok</v>
      </c>
      <c r="C2446" s="103" t="s">
        <v>369</v>
      </c>
      <c r="D2446" t="s">
        <v>4352</v>
      </c>
      <c r="E2446" t="s">
        <v>1830</v>
      </c>
      <c r="F2446" s="120" t="s">
        <v>1830</v>
      </c>
      <c r="G2446" s="103" t="s">
        <v>400</v>
      </c>
      <c r="H2446" s="94" t="str">
        <f>IF(Proc[[#This Row],[type]]="LFF (MDG-F)",MID(Proc[[#This Row],[Obj]],13,10),"")</f>
        <v/>
      </c>
      <c r="J2446" s="94" t="b">
        <f>Proc[[#This Row],[Requested]]=Proc[[#This Row],[CurrentParent]]</f>
        <v>1</v>
      </c>
      <c r="K2446" s="144" t="str">
        <f>IF(Proc[[#This Row],[Author]]="Marcela Urrego",VLOOKUP(LEFT(Proc[[#This Row],[Requested]],1),Table3[#All],2,0),VLOOKUP(Proc[[#This Row],[Author]],Table4[],2,0))</f>
        <v>LS</v>
      </c>
      <c r="L2446" s="125" t="s">
        <v>2563</v>
      </c>
      <c r="M2446" s="109">
        <v>45838.524548611109</v>
      </c>
      <c r="N2446" s="109">
        <v>45840</v>
      </c>
      <c r="O2446" s="109">
        <v>45840</v>
      </c>
      <c r="P2446" s="110" t="str">
        <f ca="1">IF(Proc[[#This Row],[DaysAgeing]]&gt;5,"yep","on track")</f>
        <v>on track</v>
      </c>
      <c r="Q2446" s="3">
        <f ca="1">IF(Proc[[#This Row],[DateClosed]]="",ABS(NETWORKDAYS(Proc[[#This Row],[DateOpened]],TODAY()))-1,ABS(NETWORKDAYS(Proc[[#This Row],[DateOpened]],Proc[[#This Row],[DateClosed]]))-1)</f>
        <v>2</v>
      </c>
      <c r="R2446" s="110" t="s">
        <v>972</v>
      </c>
      <c r="S2446" s="94"/>
    </row>
    <row r="2447" spans="1:19" hidden="1">
      <c r="A2447" s="103" t="s">
        <v>4335</v>
      </c>
      <c r="B2447" s="149" t="str">
        <f>IFERROR(VLOOKUP(Proc[[#This Row],[App]],Table2[],3,0),"open")</f>
        <v>ok</v>
      </c>
      <c r="C2447" s="103" t="s">
        <v>369</v>
      </c>
      <c r="D2447" t="s">
        <v>4353</v>
      </c>
      <c r="E2447" t="s">
        <v>1830</v>
      </c>
      <c r="F2447" s="120" t="s">
        <v>1830</v>
      </c>
      <c r="G2447" s="103" t="s">
        <v>400</v>
      </c>
      <c r="H2447" s="94" t="str">
        <f>IF(Proc[[#This Row],[type]]="LFF (MDG-F)",MID(Proc[[#This Row],[Obj]],13,10),"")</f>
        <v/>
      </c>
      <c r="J2447" s="94" t="b">
        <f>Proc[[#This Row],[Requested]]=Proc[[#This Row],[CurrentParent]]</f>
        <v>1</v>
      </c>
      <c r="K2447" s="144" t="str">
        <f>IF(Proc[[#This Row],[Author]]="Marcela Urrego",VLOOKUP(LEFT(Proc[[#This Row],[Requested]],1),Table3[#All],2,0),VLOOKUP(Proc[[#This Row],[Author]],Table4[],2,0))</f>
        <v>LS</v>
      </c>
      <c r="L2447" s="125" t="s">
        <v>2563</v>
      </c>
      <c r="M2447" s="109">
        <v>45838.524548611109</v>
      </c>
      <c r="N2447" s="109">
        <v>45840</v>
      </c>
      <c r="O2447" s="109">
        <v>45840</v>
      </c>
      <c r="P2447" s="110" t="str">
        <f ca="1">IF(Proc[[#This Row],[DaysAgeing]]&gt;5,"yep","on track")</f>
        <v>on track</v>
      </c>
      <c r="Q2447" s="3">
        <f ca="1">IF(Proc[[#This Row],[DateClosed]]="",ABS(NETWORKDAYS(Proc[[#This Row],[DateOpened]],TODAY()))-1,ABS(NETWORKDAYS(Proc[[#This Row],[DateOpened]],Proc[[#This Row],[DateClosed]]))-1)</f>
        <v>2</v>
      </c>
      <c r="R2447" s="110" t="s">
        <v>972</v>
      </c>
      <c r="S2447" s="94"/>
    </row>
    <row r="2448" spans="1:19" hidden="1">
      <c r="A2448" s="103" t="s">
        <v>4335</v>
      </c>
      <c r="B2448" s="149" t="str">
        <f>IFERROR(VLOOKUP(Proc[[#This Row],[App]],Table2[],3,0),"open")</f>
        <v>ok</v>
      </c>
      <c r="C2448" s="103" t="s">
        <v>369</v>
      </c>
      <c r="D2448" t="s">
        <v>4354</v>
      </c>
      <c r="E2448" t="s">
        <v>1830</v>
      </c>
      <c r="F2448" s="120" t="s">
        <v>1830</v>
      </c>
      <c r="G2448" s="103" t="s">
        <v>400</v>
      </c>
      <c r="H2448" s="94" t="str">
        <f>IF(Proc[[#This Row],[type]]="LFF (MDG-F)",MID(Proc[[#This Row],[Obj]],13,10),"")</f>
        <v/>
      </c>
      <c r="J2448" s="94" t="b">
        <f>Proc[[#This Row],[Requested]]=Proc[[#This Row],[CurrentParent]]</f>
        <v>1</v>
      </c>
      <c r="K2448" s="144" t="str">
        <f>IF(Proc[[#This Row],[Author]]="Marcela Urrego",VLOOKUP(LEFT(Proc[[#This Row],[Requested]],1),Table3[#All],2,0),VLOOKUP(Proc[[#This Row],[Author]],Table4[],2,0))</f>
        <v>LS</v>
      </c>
      <c r="L2448" s="125" t="s">
        <v>2563</v>
      </c>
      <c r="M2448" s="109">
        <v>45838.524548611109</v>
      </c>
      <c r="N2448" s="109">
        <v>45840</v>
      </c>
      <c r="O2448" s="109">
        <v>45840</v>
      </c>
      <c r="P2448" s="110" t="str">
        <f ca="1">IF(Proc[[#This Row],[DaysAgeing]]&gt;5,"yep","on track")</f>
        <v>on track</v>
      </c>
      <c r="Q2448" s="3">
        <f ca="1">IF(Proc[[#This Row],[DateClosed]]="",ABS(NETWORKDAYS(Proc[[#This Row],[DateOpened]],TODAY()))-1,ABS(NETWORKDAYS(Proc[[#This Row],[DateOpened]],Proc[[#This Row],[DateClosed]]))-1)</f>
        <v>2</v>
      </c>
      <c r="R2448" s="110" t="s">
        <v>972</v>
      </c>
      <c r="S2448" s="94"/>
    </row>
    <row r="2449" spans="1:19" hidden="1">
      <c r="A2449" s="103" t="s">
        <v>4335</v>
      </c>
      <c r="B2449" s="149" t="str">
        <f>IFERROR(VLOOKUP(Proc[[#This Row],[App]],Table2[],3,0),"open")</f>
        <v>ok</v>
      </c>
      <c r="C2449" s="103" t="s">
        <v>369</v>
      </c>
      <c r="D2449" t="s">
        <v>4355</v>
      </c>
      <c r="E2449" t="s">
        <v>1830</v>
      </c>
      <c r="F2449" s="120" t="s">
        <v>1830</v>
      </c>
      <c r="G2449" s="103" t="s">
        <v>400</v>
      </c>
      <c r="H2449" s="94" t="str">
        <f>IF(Proc[[#This Row],[type]]="LFF (MDG-F)",MID(Proc[[#This Row],[Obj]],13,10),"")</f>
        <v/>
      </c>
      <c r="J2449" s="94" t="b">
        <f>Proc[[#This Row],[Requested]]=Proc[[#This Row],[CurrentParent]]</f>
        <v>1</v>
      </c>
      <c r="K2449" s="144" t="str">
        <f>IF(Proc[[#This Row],[Author]]="Marcela Urrego",VLOOKUP(LEFT(Proc[[#This Row],[Requested]],1),Table3[#All],2,0),VLOOKUP(Proc[[#This Row],[Author]],Table4[],2,0))</f>
        <v>LS</v>
      </c>
      <c r="L2449" s="125" t="s">
        <v>2563</v>
      </c>
      <c r="M2449" s="109">
        <v>45838.524548611109</v>
      </c>
      <c r="N2449" s="109">
        <v>45840</v>
      </c>
      <c r="O2449" s="109">
        <v>45840</v>
      </c>
      <c r="P2449" s="110" t="str">
        <f ca="1">IF(Proc[[#This Row],[DaysAgeing]]&gt;5,"yep","on track")</f>
        <v>on track</v>
      </c>
      <c r="Q2449" s="3">
        <f ca="1">IF(Proc[[#This Row],[DateClosed]]="",ABS(NETWORKDAYS(Proc[[#This Row],[DateOpened]],TODAY()))-1,ABS(NETWORKDAYS(Proc[[#This Row],[DateOpened]],Proc[[#This Row],[DateClosed]]))-1)</f>
        <v>2</v>
      </c>
      <c r="R2449" s="110" t="s">
        <v>972</v>
      </c>
      <c r="S2449" s="94"/>
    </row>
    <row r="2450" spans="1:19" hidden="1">
      <c r="A2450" s="103" t="s">
        <v>4335</v>
      </c>
      <c r="B2450" s="149" t="str">
        <f>IFERROR(VLOOKUP(Proc[[#This Row],[App]],Table2[],3,0),"open")</f>
        <v>ok</v>
      </c>
      <c r="C2450" s="103" t="s">
        <v>369</v>
      </c>
      <c r="D2450" t="s">
        <v>4356</v>
      </c>
      <c r="E2450" t="s">
        <v>1830</v>
      </c>
      <c r="F2450" s="120" t="s">
        <v>1830</v>
      </c>
      <c r="G2450" s="103" t="s">
        <v>400</v>
      </c>
      <c r="H2450" s="94" t="str">
        <f>IF(Proc[[#This Row],[type]]="LFF (MDG-F)",MID(Proc[[#This Row],[Obj]],13,10),"")</f>
        <v/>
      </c>
      <c r="J2450" s="94" t="b">
        <f>Proc[[#This Row],[Requested]]=Proc[[#This Row],[CurrentParent]]</f>
        <v>1</v>
      </c>
      <c r="K2450" s="144" t="str">
        <f>IF(Proc[[#This Row],[Author]]="Marcela Urrego",VLOOKUP(LEFT(Proc[[#This Row],[Requested]],1),Table3[#All],2,0),VLOOKUP(Proc[[#This Row],[Author]],Table4[],2,0))</f>
        <v>LS</v>
      </c>
      <c r="L2450" s="125" t="s">
        <v>2563</v>
      </c>
      <c r="M2450" s="109">
        <v>45838.524548611109</v>
      </c>
      <c r="N2450" s="109">
        <v>45840</v>
      </c>
      <c r="O2450" s="109">
        <v>45840</v>
      </c>
      <c r="P2450" s="110" t="str">
        <f ca="1">IF(Proc[[#This Row],[DaysAgeing]]&gt;5,"yep","on track")</f>
        <v>on track</v>
      </c>
      <c r="Q2450" s="3">
        <f ca="1">IF(Proc[[#This Row],[DateClosed]]="",ABS(NETWORKDAYS(Proc[[#This Row],[DateOpened]],TODAY()))-1,ABS(NETWORKDAYS(Proc[[#This Row],[DateOpened]],Proc[[#This Row],[DateClosed]]))-1)</f>
        <v>2</v>
      </c>
      <c r="R2450" s="110" t="s">
        <v>972</v>
      </c>
      <c r="S2450" s="94"/>
    </row>
    <row r="2451" spans="1:19" hidden="1">
      <c r="A2451" s="103" t="s">
        <v>4335</v>
      </c>
      <c r="B2451" s="149" t="str">
        <f>IFERROR(VLOOKUP(Proc[[#This Row],[App]],Table2[],3,0),"open")</f>
        <v>ok</v>
      </c>
      <c r="C2451" s="103" t="s">
        <v>369</v>
      </c>
      <c r="D2451" t="s">
        <v>4357</v>
      </c>
      <c r="E2451" t="s">
        <v>1830</v>
      </c>
      <c r="F2451" s="120" t="s">
        <v>1830</v>
      </c>
      <c r="G2451" s="103" t="s">
        <v>400</v>
      </c>
      <c r="H2451" s="94" t="str">
        <f>IF(Proc[[#This Row],[type]]="LFF (MDG-F)",MID(Proc[[#This Row],[Obj]],13,10),"")</f>
        <v/>
      </c>
      <c r="J2451" s="94" t="b">
        <f>Proc[[#This Row],[Requested]]=Proc[[#This Row],[CurrentParent]]</f>
        <v>1</v>
      </c>
      <c r="K2451" s="144" t="str">
        <f>IF(Proc[[#This Row],[Author]]="Marcela Urrego",VLOOKUP(LEFT(Proc[[#This Row],[Requested]],1),Table3[#All],2,0),VLOOKUP(Proc[[#This Row],[Author]],Table4[],2,0))</f>
        <v>LS</v>
      </c>
      <c r="L2451" s="125" t="s">
        <v>2563</v>
      </c>
      <c r="M2451" s="109">
        <v>45838.524548611109</v>
      </c>
      <c r="N2451" s="109">
        <v>45840</v>
      </c>
      <c r="O2451" s="109">
        <v>45840</v>
      </c>
      <c r="P2451" s="110" t="str">
        <f ca="1">IF(Proc[[#This Row],[DaysAgeing]]&gt;5,"yep","on track")</f>
        <v>on track</v>
      </c>
      <c r="Q2451" s="3">
        <f ca="1">IF(Proc[[#This Row],[DateClosed]]="",ABS(NETWORKDAYS(Proc[[#This Row],[DateOpened]],TODAY()))-1,ABS(NETWORKDAYS(Proc[[#This Row],[DateOpened]],Proc[[#This Row],[DateClosed]]))-1)</f>
        <v>2</v>
      </c>
      <c r="R2451" s="110" t="s">
        <v>972</v>
      </c>
      <c r="S2451" s="94"/>
    </row>
    <row r="2452" spans="1:19" hidden="1">
      <c r="A2452" s="103" t="s">
        <v>4335</v>
      </c>
      <c r="B2452" s="149" t="str">
        <f>IFERROR(VLOOKUP(Proc[[#This Row],[App]],Table2[],3,0),"open")</f>
        <v>ok</v>
      </c>
      <c r="C2452" s="103" t="s">
        <v>369</v>
      </c>
      <c r="D2452" t="s">
        <v>4358</v>
      </c>
      <c r="E2452" t="s">
        <v>1830</v>
      </c>
      <c r="F2452" s="120" t="s">
        <v>1830</v>
      </c>
      <c r="G2452" s="103" t="s">
        <v>400</v>
      </c>
      <c r="H2452" s="94" t="str">
        <f>IF(Proc[[#This Row],[type]]="LFF (MDG-F)",MID(Proc[[#This Row],[Obj]],13,10),"")</f>
        <v/>
      </c>
      <c r="J2452" s="94" t="b">
        <f>Proc[[#This Row],[Requested]]=Proc[[#This Row],[CurrentParent]]</f>
        <v>1</v>
      </c>
      <c r="K2452" s="144" t="str">
        <f>IF(Proc[[#This Row],[Author]]="Marcela Urrego",VLOOKUP(LEFT(Proc[[#This Row],[Requested]],1),Table3[#All],2,0),VLOOKUP(Proc[[#This Row],[Author]],Table4[],2,0))</f>
        <v>LS</v>
      </c>
      <c r="L2452" s="125" t="s">
        <v>2563</v>
      </c>
      <c r="M2452" s="109">
        <v>45838.524548611109</v>
      </c>
      <c r="N2452" s="109">
        <v>45840</v>
      </c>
      <c r="O2452" s="109">
        <v>45840</v>
      </c>
      <c r="P2452" s="110" t="str">
        <f ca="1">IF(Proc[[#This Row],[DaysAgeing]]&gt;5,"yep","on track")</f>
        <v>on track</v>
      </c>
      <c r="Q2452" s="3">
        <f ca="1">IF(Proc[[#This Row],[DateClosed]]="",ABS(NETWORKDAYS(Proc[[#This Row],[DateOpened]],TODAY()))-1,ABS(NETWORKDAYS(Proc[[#This Row],[DateOpened]],Proc[[#This Row],[DateClosed]]))-1)</f>
        <v>2</v>
      </c>
      <c r="R2452" s="110" t="s">
        <v>972</v>
      </c>
      <c r="S2452" s="94"/>
    </row>
    <row r="2453" spans="1:19" hidden="1">
      <c r="A2453" s="103" t="s">
        <v>4335</v>
      </c>
      <c r="B2453" s="149" t="str">
        <f>IFERROR(VLOOKUP(Proc[[#This Row],[App]],Table2[],3,0),"open")</f>
        <v>ok</v>
      </c>
      <c r="C2453" s="103" t="s">
        <v>369</v>
      </c>
      <c r="D2453" t="s">
        <v>4359</v>
      </c>
      <c r="E2453" t="s">
        <v>1830</v>
      </c>
      <c r="F2453" s="120" t="s">
        <v>1830</v>
      </c>
      <c r="G2453" s="103" t="s">
        <v>400</v>
      </c>
      <c r="H2453" s="94" t="str">
        <f>IF(Proc[[#This Row],[type]]="LFF (MDG-F)",MID(Proc[[#This Row],[Obj]],13,10),"")</f>
        <v/>
      </c>
      <c r="J2453" s="94" t="b">
        <f>Proc[[#This Row],[Requested]]=Proc[[#This Row],[CurrentParent]]</f>
        <v>1</v>
      </c>
      <c r="K2453" s="144" t="str">
        <f>IF(Proc[[#This Row],[Author]]="Marcela Urrego",VLOOKUP(LEFT(Proc[[#This Row],[Requested]],1),Table3[#All],2,0),VLOOKUP(Proc[[#This Row],[Author]],Table4[],2,0))</f>
        <v>LS</v>
      </c>
      <c r="L2453" s="125" t="s">
        <v>2563</v>
      </c>
      <c r="M2453" s="109">
        <v>45838.524548611109</v>
      </c>
      <c r="N2453" s="109">
        <v>45840</v>
      </c>
      <c r="O2453" s="109">
        <v>45840</v>
      </c>
      <c r="P2453" s="110" t="str">
        <f ca="1">IF(Proc[[#This Row],[DaysAgeing]]&gt;5,"yep","on track")</f>
        <v>on track</v>
      </c>
      <c r="Q2453" s="3">
        <f ca="1">IF(Proc[[#This Row],[DateClosed]]="",ABS(NETWORKDAYS(Proc[[#This Row],[DateOpened]],TODAY()))-1,ABS(NETWORKDAYS(Proc[[#This Row],[DateOpened]],Proc[[#This Row],[DateClosed]]))-1)</f>
        <v>2</v>
      </c>
      <c r="R2453" s="110" t="s">
        <v>972</v>
      </c>
      <c r="S2453" s="94"/>
    </row>
    <row r="2454" spans="1:19" hidden="1">
      <c r="A2454" s="103" t="s">
        <v>4335</v>
      </c>
      <c r="B2454" s="149" t="str">
        <f>IFERROR(VLOOKUP(Proc[[#This Row],[App]],Table2[],3,0),"open")</f>
        <v>ok</v>
      </c>
      <c r="C2454" s="103" t="s">
        <v>369</v>
      </c>
      <c r="D2454" t="s">
        <v>4360</v>
      </c>
      <c r="E2454" t="s">
        <v>1830</v>
      </c>
      <c r="F2454" s="120" t="s">
        <v>1830</v>
      </c>
      <c r="G2454" s="103" t="s">
        <v>400</v>
      </c>
      <c r="H2454" s="94" t="str">
        <f>IF(Proc[[#This Row],[type]]="LFF (MDG-F)",MID(Proc[[#This Row],[Obj]],13,10),"")</f>
        <v/>
      </c>
      <c r="J2454" s="94" t="b">
        <f>Proc[[#This Row],[Requested]]=Proc[[#This Row],[CurrentParent]]</f>
        <v>1</v>
      </c>
      <c r="K2454" s="144" t="str">
        <f>IF(Proc[[#This Row],[Author]]="Marcela Urrego",VLOOKUP(LEFT(Proc[[#This Row],[Requested]],1),Table3[#All],2,0),VLOOKUP(Proc[[#This Row],[Author]],Table4[],2,0))</f>
        <v>LS</v>
      </c>
      <c r="L2454" s="125" t="s">
        <v>2563</v>
      </c>
      <c r="M2454" s="109">
        <v>45838.524548611109</v>
      </c>
      <c r="N2454" s="109">
        <v>45840</v>
      </c>
      <c r="O2454" s="109">
        <v>45840</v>
      </c>
      <c r="P2454" s="110" t="str">
        <f ca="1">IF(Proc[[#This Row],[DaysAgeing]]&gt;5,"yep","on track")</f>
        <v>on track</v>
      </c>
      <c r="Q2454" s="3">
        <f ca="1">IF(Proc[[#This Row],[DateClosed]]="",ABS(NETWORKDAYS(Proc[[#This Row],[DateOpened]],TODAY()))-1,ABS(NETWORKDAYS(Proc[[#This Row],[DateOpened]],Proc[[#This Row],[DateClosed]]))-1)</f>
        <v>2</v>
      </c>
      <c r="R2454" s="110" t="s">
        <v>972</v>
      </c>
      <c r="S2454" s="94"/>
    </row>
    <row r="2455" spans="1:19" hidden="1">
      <c r="A2455" s="103" t="s">
        <v>4335</v>
      </c>
      <c r="B2455" s="149" t="str">
        <f>IFERROR(VLOOKUP(Proc[[#This Row],[App]],Table2[],3,0),"open")</f>
        <v>ok</v>
      </c>
      <c r="C2455" s="103" t="s">
        <v>369</v>
      </c>
      <c r="D2455" t="s">
        <v>4361</v>
      </c>
      <c r="E2455" t="s">
        <v>1830</v>
      </c>
      <c r="F2455" s="120" t="s">
        <v>1830</v>
      </c>
      <c r="G2455" s="103" t="s">
        <v>400</v>
      </c>
      <c r="H2455" s="94" t="str">
        <f>IF(Proc[[#This Row],[type]]="LFF (MDG-F)",MID(Proc[[#This Row],[Obj]],13,10),"")</f>
        <v/>
      </c>
      <c r="J2455" s="94" t="b">
        <f>Proc[[#This Row],[Requested]]=Proc[[#This Row],[CurrentParent]]</f>
        <v>1</v>
      </c>
      <c r="K2455" s="144" t="str">
        <f>IF(Proc[[#This Row],[Author]]="Marcela Urrego",VLOOKUP(LEFT(Proc[[#This Row],[Requested]],1),Table3[#All],2,0),VLOOKUP(Proc[[#This Row],[Author]],Table4[],2,0))</f>
        <v>LS</v>
      </c>
      <c r="L2455" s="125" t="s">
        <v>2563</v>
      </c>
      <c r="M2455" s="109">
        <v>45838.524548611109</v>
      </c>
      <c r="N2455" s="109">
        <v>45840</v>
      </c>
      <c r="O2455" s="109">
        <v>45840</v>
      </c>
      <c r="P2455" s="110" t="str">
        <f ca="1">IF(Proc[[#This Row],[DaysAgeing]]&gt;5,"yep","on track")</f>
        <v>on track</v>
      </c>
      <c r="Q2455" s="3">
        <f ca="1">IF(Proc[[#This Row],[DateClosed]]="",ABS(NETWORKDAYS(Proc[[#This Row],[DateOpened]],TODAY()))-1,ABS(NETWORKDAYS(Proc[[#This Row],[DateOpened]],Proc[[#This Row],[DateClosed]]))-1)</f>
        <v>2</v>
      </c>
      <c r="R2455" s="110" t="s">
        <v>972</v>
      </c>
      <c r="S2455" s="94"/>
    </row>
    <row r="2456" spans="1:19" hidden="1">
      <c r="A2456" s="103" t="s">
        <v>4335</v>
      </c>
      <c r="B2456" s="149" t="str">
        <f>IFERROR(VLOOKUP(Proc[[#This Row],[App]],Table2[],3,0),"open")</f>
        <v>ok</v>
      </c>
      <c r="C2456" s="103" t="s">
        <v>369</v>
      </c>
      <c r="D2456" t="s">
        <v>4362</v>
      </c>
      <c r="E2456" t="s">
        <v>1830</v>
      </c>
      <c r="F2456" s="120" t="s">
        <v>1830</v>
      </c>
      <c r="G2456" s="103" t="s">
        <v>400</v>
      </c>
      <c r="H2456" s="94" t="str">
        <f>IF(Proc[[#This Row],[type]]="LFF (MDG-F)",MID(Proc[[#This Row],[Obj]],13,10),"")</f>
        <v/>
      </c>
      <c r="J2456" s="94" t="b">
        <f>Proc[[#This Row],[Requested]]=Proc[[#This Row],[CurrentParent]]</f>
        <v>1</v>
      </c>
      <c r="K2456" s="144" t="str">
        <f>IF(Proc[[#This Row],[Author]]="Marcela Urrego",VLOOKUP(LEFT(Proc[[#This Row],[Requested]],1),Table3[#All],2,0),VLOOKUP(Proc[[#This Row],[Author]],Table4[],2,0))</f>
        <v>LS</v>
      </c>
      <c r="L2456" s="125" t="s">
        <v>2563</v>
      </c>
      <c r="M2456" s="109">
        <v>45838.524548611109</v>
      </c>
      <c r="N2456" s="109">
        <v>45840</v>
      </c>
      <c r="O2456" s="109">
        <v>45840</v>
      </c>
      <c r="P2456" s="110" t="str">
        <f ca="1">IF(Proc[[#This Row],[DaysAgeing]]&gt;5,"yep","on track")</f>
        <v>on track</v>
      </c>
      <c r="Q2456" s="3">
        <f ca="1">IF(Proc[[#This Row],[DateClosed]]="",ABS(NETWORKDAYS(Proc[[#This Row],[DateOpened]],TODAY()))-1,ABS(NETWORKDAYS(Proc[[#This Row],[DateOpened]],Proc[[#This Row],[DateClosed]]))-1)</f>
        <v>2</v>
      </c>
      <c r="R2456" s="110" t="s">
        <v>972</v>
      </c>
      <c r="S2456" s="94"/>
    </row>
    <row r="2457" spans="1:19" hidden="1">
      <c r="A2457" s="103" t="s">
        <v>4335</v>
      </c>
      <c r="B2457" s="149" t="str">
        <f>IFERROR(VLOOKUP(Proc[[#This Row],[App]],Table2[],3,0),"open")</f>
        <v>ok</v>
      </c>
      <c r="C2457" s="103" t="s">
        <v>369</v>
      </c>
      <c r="D2457" t="s">
        <v>4363</v>
      </c>
      <c r="E2457" t="s">
        <v>1830</v>
      </c>
      <c r="F2457" s="120" t="s">
        <v>1830</v>
      </c>
      <c r="G2457" s="103" t="s">
        <v>400</v>
      </c>
      <c r="H2457" s="94" t="str">
        <f>IF(Proc[[#This Row],[type]]="LFF (MDG-F)",MID(Proc[[#This Row],[Obj]],13,10),"")</f>
        <v/>
      </c>
      <c r="J2457" s="94" t="b">
        <f>Proc[[#This Row],[Requested]]=Proc[[#This Row],[CurrentParent]]</f>
        <v>1</v>
      </c>
      <c r="K2457" s="144" t="str">
        <f>IF(Proc[[#This Row],[Author]]="Marcela Urrego",VLOOKUP(LEFT(Proc[[#This Row],[Requested]],1),Table3[#All],2,0),VLOOKUP(Proc[[#This Row],[Author]],Table4[],2,0))</f>
        <v>LS</v>
      </c>
      <c r="L2457" s="125" t="s">
        <v>2563</v>
      </c>
      <c r="M2457" s="109">
        <v>45838.524548611109</v>
      </c>
      <c r="N2457" s="109">
        <v>45840</v>
      </c>
      <c r="O2457" s="109">
        <v>45840</v>
      </c>
      <c r="P2457" s="110" t="str">
        <f ca="1">IF(Proc[[#This Row],[DaysAgeing]]&gt;5,"yep","on track")</f>
        <v>on track</v>
      </c>
      <c r="Q2457" s="3">
        <f ca="1">IF(Proc[[#This Row],[DateClosed]]="",ABS(NETWORKDAYS(Proc[[#This Row],[DateOpened]],TODAY()))-1,ABS(NETWORKDAYS(Proc[[#This Row],[DateOpened]],Proc[[#This Row],[DateClosed]]))-1)</f>
        <v>2</v>
      </c>
      <c r="R2457" s="110" t="s">
        <v>972</v>
      </c>
      <c r="S2457" s="94"/>
    </row>
    <row r="2458" spans="1:19" hidden="1">
      <c r="A2458" s="103" t="s">
        <v>4335</v>
      </c>
      <c r="B2458" s="149" t="str">
        <f>IFERROR(VLOOKUP(Proc[[#This Row],[App]],Table2[],3,0),"open")</f>
        <v>ok</v>
      </c>
      <c r="C2458" s="103" t="s">
        <v>369</v>
      </c>
      <c r="D2458" t="s">
        <v>4364</v>
      </c>
      <c r="E2458" t="s">
        <v>1830</v>
      </c>
      <c r="F2458" s="120" t="s">
        <v>1830</v>
      </c>
      <c r="G2458" s="103" t="s">
        <v>400</v>
      </c>
      <c r="H2458" s="94" t="str">
        <f>IF(Proc[[#This Row],[type]]="LFF (MDG-F)",MID(Proc[[#This Row],[Obj]],13,10),"")</f>
        <v/>
      </c>
      <c r="J2458" s="94" t="b">
        <f>Proc[[#This Row],[Requested]]=Proc[[#This Row],[CurrentParent]]</f>
        <v>1</v>
      </c>
      <c r="K2458" s="144" t="str">
        <f>IF(Proc[[#This Row],[Author]]="Marcela Urrego",VLOOKUP(LEFT(Proc[[#This Row],[Requested]],1),Table3[#All],2,0),VLOOKUP(Proc[[#This Row],[Author]],Table4[],2,0))</f>
        <v>LS</v>
      </c>
      <c r="L2458" s="125" t="s">
        <v>2563</v>
      </c>
      <c r="M2458" s="109">
        <v>45838.524548611109</v>
      </c>
      <c r="N2458" s="109">
        <v>45840</v>
      </c>
      <c r="O2458" s="109">
        <v>45840</v>
      </c>
      <c r="P2458" s="110" t="str">
        <f ca="1">IF(Proc[[#This Row],[DaysAgeing]]&gt;5,"yep","on track")</f>
        <v>on track</v>
      </c>
      <c r="Q2458" s="3">
        <f ca="1">IF(Proc[[#This Row],[DateClosed]]="",ABS(NETWORKDAYS(Proc[[#This Row],[DateOpened]],TODAY()))-1,ABS(NETWORKDAYS(Proc[[#This Row],[DateOpened]],Proc[[#This Row],[DateClosed]]))-1)</f>
        <v>2</v>
      </c>
      <c r="R2458" s="110" t="s">
        <v>972</v>
      </c>
      <c r="S2458" s="94"/>
    </row>
    <row r="2459" spans="1:19" hidden="1">
      <c r="A2459" s="103" t="s">
        <v>4335</v>
      </c>
      <c r="B2459" s="149" t="str">
        <f>IFERROR(VLOOKUP(Proc[[#This Row],[App]],Table2[],3,0),"open")</f>
        <v>ok</v>
      </c>
      <c r="C2459" s="103" t="s">
        <v>369</v>
      </c>
      <c r="D2459" t="s">
        <v>4365</v>
      </c>
      <c r="E2459" t="s">
        <v>1830</v>
      </c>
      <c r="F2459" s="120" t="s">
        <v>1830</v>
      </c>
      <c r="G2459" s="103" t="s">
        <v>400</v>
      </c>
      <c r="H2459" s="94" t="str">
        <f>IF(Proc[[#This Row],[type]]="LFF (MDG-F)",MID(Proc[[#This Row],[Obj]],13,10),"")</f>
        <v/>
      </c>
      <c r="J2459" s="94" t="b">
        <f>Proc[[#This Row],[Requested]]=Proc[[#This Row],[CurrentParent]]</f>
        <v>1</v>
      </c>
      <c r="K2459" s="144" t="str">
        <f>IF(Proc[[#This Row],[Author]]="Marcela Urrego",VLOOKUP(LEFT(Proc[[#This Row],[Requested]],1),Table3[#All],2,0),VLOOKUP(Proc[[#This Row],[Author]],Table4[],2,0))</f>
        <v>LS</v>
      </c>
      <c r="L2459" s="125" t="s">
        <v>2563</v>
      </c>
      <c r="M2459" s="109">
        <v>45838.524548611109</v>
      </c>
      <c r="N2459" s="109">
        <v>45840</v>
      </c>
      <c r="O2459" s="109">
        <v>45840</v>
      </c>
      <c r="P2459" s="110" t="str">
        <f ca="1">IF(Proc[[#This Row],[DaysAgeing]]&gt;5,"yep","on track")</f>
        <v>on track</v>
      </c>
      <c r="Q2459" s="3">
        <f ca="1">IF(Proc[[#This Row],[DateClosed]]="",ABS(NETWORKDAYS(Proc[[#This Row],[DateOpened]],TODAY()))-1,ABS(NETWORKDAYS(Proc[[#This Row],[DateOpened]],Proc[[#This Row],[DateClosed]]))-1)</f>
        <v>2</v>
      </c>
      <c r="R2459" s="110" t="s">
        <v>972</v>
      </c>
      <c r="S2459" s="94"/>
    </row>
    <row r="2460" spans="1:19" hidden="1">
      <c r="A2460" s="103" t="s">
        <v>4335</v>
      </c>
      <c r="B2460" s="149" t="str">
        <f>IFERROR(VLOOKUP(Proc[[#This Row],[App]],Table2[],3,0),"open")</f>
        <v>ok</v>
      </c>
      <c r="C2460" s="103" t="s">
        <v>369</v>
      </c>
      <c r="D2460" t="s">
        <v>4366</v>
      </c>
      <c r="E2460" t="s">
        <v>1830</v>
      </c>
      <c r="F2460" s="120" t="s">
        <v>1830</v>
      </c>
      <c r="G2460" s="103" t="s">
        <v>400</v>
      </c>
      <c r="H2460" s="94" t="str">
        <f>IF(Proc[[#This Row],[type]]="LFF (MDG-F)",MID(Proc[[#This Row],[Obj]],13,10),"")</f>
        <v/>
      </c>
      <c r="J2460" s="94" t="b">
        <f>Proc[[#This Row],[Requested]]=Proc[[#This Row],[CurrentParent]]</f>
        <v>1</v>
      </c>
      <c r="K2460" s="144" t="str">
        <f>IF(Proc[[#This Row],[Author]]="Marcela Urrego",VLOOKUP(LEFT(Proc[[#This Row],[Requested]],1),Table3[#All],2,0),VLOOKUP(Proc[[#This Row],[Author]],Table4[],2,0))</f>
        <v>LS</v>
      </c>
      <c r="L2460" s="125" t="s">
        <v>2563</v>
      </c>
      <c r="M2460" s="109">
        <v>45838.524548611109</v>
      </c>
      <c r="N2460" s="109">
        <v>45840</v>
      </c>
      <c r="O2460" s="109">
        <v>45840</v>
      </c>
      <c r="P2460" s="110" t="str">
        <f ca="1">IF(Proc[[#This Row],[DaysAgeing]]&gt;5,"yep","on track")</f>
        <v>on track</v>
      </c>
      <c r="Q2460" s="3">
        <f ca="1">IF(Proc[[#This Row],[DateClosed]]="",ABS(NETWORKDAYS(Proc[[#This Row],[DateOpened]],TODAY()))-1,ABS(NETWORKDAYS(Proc[[#This Row],[DateOpened]],Proc[[#This Row],[DateClosed]]))-1)</f>
        <v>2</v>
      </c>
      <c r="R2460" s="110" t="s">
        <v>972</v>
      </c>
      <c r="S2460" s="94"/>
    </row>
    <row r="2461" spans="1:19" hidden="1">
      <c r="A2461" s="103" t="s">
        <v>4335</v>
      </c>
      <c r="B2461" s="149" t="str">
        <f>IFERROR(VLOOKUP(Proc[[#This Row],[App]],Table2[],3,0),"open")</f>
        <v>ok</v>
      </c>
      <c r="C2461" s="103" t="s">
        <v>369</v>
      </c>
      <c r="D2461" t="s">
        <v>4367</v>
      </c>
      <c r="E2461" t="s">
        <v>1830</v>
      </c>
      <c r="F2461" s="120" t="s">
        <v>1830</v>
      </c>
      <c r="G2461" s="103" t="s">
        <v>400</v>
      </c>
      <c r="H2461" s="94" t="str">
        <f>IF(Proc[[#This Row],[type]]="LFF (MDG-F)",MID(Proc[[#This Row],[Obj]],13,10),"")</f>
        <v/>
      </c>
      <c r="J2461" s="94" t="b">
        <f>Proc[[#This Row],[Requested]]=Proc[[#This Row],[CurrentParent]]</f>
        <v>1</v>
      </c>
      <c r="K2461" s="144" t="str">
        <f>IF(Proc[[#This Row],[Author]]="Marcela Urrego",VLOOKUP(LEFT(Proc[[#This Row],[Requested]],1),Table3[#All],2,0),VLOOKUP(Proc[[#This Row],[Author]],Table4[],2,0))</f>
        <v>LS</v>
      </c>
      <c r="L2461" s="125" t="s">
        <v>2563</v>
      </c>
      <c r="M2461" s="109">
        <v>45838.524548611109</v>
      </c>
      <c r="N2461" s="109">
        <v>45840</v>
      </c>
      <c r="O2461" s="109">
        <v>45840</v>
      </c>
      <c r="P2461" s="110" t="str">
        <f ca="1">IF(Proc[[#This Row],[DaysAgeing]]&gt;5,"yep","on track")</f>
        <v>on track</v>
      </c>
      <c r="Q2461" s="3">
        <f ca="1">IF(Proc[[#This Row],[DateClosed]]="",ABS(NETWORKDAYS(Proc[[#This Row],[DateOpened]],TODAY()))-1,ABS(NETWORKDAYS(Proc[[#This Row],[DateOpened]],Proc[[#This Row],[DateClosed]]))-1)</f>
        <v>2</v>
      </c>
      <c r="R2461" s="110" t="s">
        <v>972</v>
      </c>
      <c r="S2461" s="94"/>
    </row>
    <row r="2462" spans="1:19" hidden="1">
      <c r="A2462" s="103" t="s">
        <v>4335</v>
      </c>
      <c r="B2462" s="149" t="str">
        <f>IFERROR(VLOOKUP(Proc[[#This Row],[App]],Table2[],3,0),"open")</f>
        <v>ok</v>
      </c>
      <c r="C2462" s="103" t="s">
        <v>369</v>
      </c>
      <c r="D2462" t="s">
        <v>4368</v>
      </c>
      <c r="E2462" t="s">
        <v>1830</v>
      </c>
      <c r="F2462" s="120" t="s">
        <v>1830</v>
      </c>
      <c r="G2462" s="103" t="s">
        <v>400</v>
      </c>
      <c r="H2462" s="94" t="str">
        <f>IF(Proc[[#This Row],[type]]="LFF (MDG-F)",MID(Proc[[#This Row],[Obj]],13,10),"")</f>
        <v/>
      </c>
      <c r="J2462" s="94" t="b">
        <f>Proc[[#This Row],[Requested]]=Proc[[#This Row],[CurrentParent]]</f>
        <v>1</v>
      </c>
      <c r="K2462" s="144" t="str">
        <f>IF(Proc[[#This Row],[Author]]="Marcela Urrego",VLOOKUP(LEFT(Proc[[#This Row],[Requested]],1),Table3[#All],2,0),VLOOKUP(Proc[[#This Row],[Author]],Table4[],2,0))</f>
        <v>LS</v>
      </c>
      <c r="L2462" s="125" t="s">
        <v>2563</v>
      </c>
      <c r="M2462" s="109">
        <v>45838.524548611109</v>
      </c>
      <c r="N2462" s="109">
        <v>45840</v>
      </c>
      <c r="O2462" s="109">
        <v>45840</v>
      </c>
      <c r="P2462" s="110" t="str">
        <f ca="1">IF(Proc[[#This Row],[DaysAgeing]]&gt;5,"yep","on track")</f>
        <v>on track</v>
      </c>
      <c r="Q2462" s="3">
        <f ca="1">IF(Proc[[#This Row],[DateClosed]]="",ABS(NETWORKDAYS(Proc[[#This Row],[DateOpened]],TODAY()))-1,ABS(NETWORKDAYS(Proc[[#This Row],[DateOpened]],Proc[[#This Row],[DateClosed]]))-1)</f>
        <v>2</v>
      </c>
      <c r="R2462" s="110" t="s">
        <v>972</v>
      </c>
      <c r="S2462" s="94"/>
    </row>
    <row r="2463" spans="1:19" hidden="1">
      <c r="A2463" s="103" t="s">
        <v>4335</v>
      </c>
      <c r="B2463" s="149" t="str">
        <f>IFERROR(VLOOKUP(Proc[[#This Row],[App]],Table2[],3,0),"open")</f>
        <v>ok</v>
      </c>
      <c r="C2463" s="103" t="s">
        <v>369</v>
      </c>
      <c r="D2463" t="s">
        <v>4369</v>
      </c>
      <c r="E2463" t="s">
        <v>1830</v>
      </c>
      <c r="F2463" s="120" t="s">
        <v>1830</v>
      </c>
      <c r="G2463" s="103" t="s">
        <v>400</v>
      </c>
      <c r="H2463" s="94" t="str">
        <f>IF(Proc[[#This Row],[type]]="LFF (MDG-F)",MID(Proc[[#This Row],[Obj]],13,10),"")</f>
        <v/>
      </c>
      <c r="J2463" s="94" t="b">
        <f>Proc[[#This Row],[Requested]]=Proc[[#This Row],[CurrentParent]]</f>
        <v>1</v>
      </c>
      <c r="K2463" s="144" t="str">
        <f>IF(Proc[[#This Row],[Author]]="Marcela Urrego",VLOOKUP(LEFT(Proc[[#This Row],[Requested]],1),Table3[#All],2,0),VLOOKUP(Proc[[#This Row],[Author]],Table4[],2,0))</f>
        <v>LS</v>
      </c>
      <c r="L2463" s="125" t="s">
        <v>2563</v>
      </c>
      <c r="M2463" s="109">
        <v>45838.524548611109</v>
      </c>
      <c r="N2463" s="109">
        <v>45840</v>
      </c>
      <c r="O2463" s="109">
        <v>45840</v>
      </c>
      <c r="P2463" s="110" t="str">
        <f ca="1">IF(Proc[[#This Row],[DaysAgeing]]&gt;5,"yep","on track")</f>
        <v>on track</v>
      </c>
      <c r="Q2463" s="3">
        <f ca="1">IF(Proc[[#This Row],[DateClosed]]="",ABS(NETWORKDAYS(Proc[[#This Row],[DateOpened]],TODAY()))-1,ABS(NETWORKDAYS(Proc[[#This Row],[DateOpened]],Proc[[#This Row],[DateClosed]]))-1)</f>
        <v>2</v>
      </c>
      <c r="R2463" s="110" t="s">
        <v>972</v>
      </c>
      <c r="S2463" s="94"/>
    </row>
    <row r="2464" spans="1:19" hidden="1">
      <c r="A2464" s="103" t="s">
        <v>4335</v>
      </c>
      <c r="B2464" s="149" t="str">
        <f>IFERROR(VLOOKUP(Proc[[#This Row],[App]],Table2[],3,0),"open")</f>
        <v>ok</v>
      </c>
      <c r="C2464" s="103" t="s">
        <v>369</v>
      </c>
      <c r="D2464" t="s">
        <v>4370</v>
      </c>
      <c r="E2464" t="s">
        <v>1830</v>
      </c>
      <c r="F2464" s="120" t="s">
        <v>1830</v>
      </c>
      <c r="G2464" s="103" t="s">
        <v>400</v>
      </c>
      <c r="H2464" s="94" t="str">
        <f>IF(Proc[[#This Row],[type]]="LFF (MDG-F)",MID(Proc[[#This Row],[Obj]],13,10),"")</f>
        <v/>
      </c>
      <c r="J2464" s="94" t="b">
        <f>Proc[[#This Row],[Requested]]=Proc[[#This Row],[CurrentParent]]</f>
        <v>1</v>
      </c>
      <c r="K2464" s="144" t="str">
        <f>IF(Proc[[#This Row],[Author]]="Marcela Urrego",VLOOKUP(LEFT(Proc[[#This Row],[Requested]],1),Table3[#All],2,0),VLOOKUP(Proc[[#This Row],[Author]],Table4[],2,0))</f>
        <v>LS</v>
      </c>
      <c r="L2464" s="125" t="s">
        <v>2563</v>
      </c>
      <c r="M2464" s="109">
        <v>45838.524548611109</v>
      </c>
      <c r="N2464" s="109">
        <v>45840</v>
      </c>
      <c r="O2464" s="109">
        <v>45840</v>
      </c>
      <c r="P2464" s="110" t="str">
        <f ca="1">IF(Proc[[#This Row],[DaysAgeing]]&gt;5,"yep","on track")</f>
        <v>on track</v>
      </c>
      <c r="Q2464" s="3">
        <f ca="1">IF(Proc[[#This Row],[DateClosed]]="",ABS(NETWORKDAYS(Proc[[#This Row],[DateOpened]],TODAY()))-1,ABS(NETWORKDAYS(Proc[[#This Row],[DateOpened]],Proc[[#This Row],[DateClosed]]))-1)</f>
        <v>2</v>
      </c>
      <c r="R2464" s="110" t="s">
        <v>972</v>
      </c>
      <c r="S2464" s="94"/>
    </row>
    <row r="2465" spans="1:19" hidden="1">
      <c r="A2465" s="103" t="s">
        <v>4335</v>
      </c>
      <c r="B2465" s="149" t="str">
        <f>IFERROR(VLOOKUP(Proc[[#This Row],[App]],Table2[],3,0),"open")</f>
        <v>ok</v>
      </c>
      <c r="C2465" s="103" t="s">
        <v>369</v>
      </c>
      <c r="D2465" t="s">
        <v>4371</v>
      </c>
      <c r="E2465" t="s">
        <v>1830</v>
      </c>
      <c r="F2465" s="120" t="s">
        <v>1830</v>
      </c>
      <c r="G2465" s="103" t="s">
        <v>400</v>
      </c>
      <c r="H2465" s="94" t="str">
        <f>IF(Proc[[#This Row],[type]]="LFF (MDG-F)",MID(Proc[[#This Row],[Obj]],13,10),"")</f>
        <v/>
      </c>
      <c r="J2465" s="94" t="b">
        <f>Proc[[#This Row],[Requested]]=Proc[[#This Row],[CurrentParent]]</f>
        <v>1</v>
      </c>
      <c r="K2465" s="144" t="str">
        <f>IF(Proc[[#This Row],[Author]]="Marcela Urrego",VLOOKUP(LEFT(Proc[[#This Row],[Requested]],1),Table3[#All],2,0),VLOOKUP(Proc[[#This Row],[Author]],Table4[],2,0))</f>
        <v>LS</v>
      </c>
      <c r="L2465" s="125" t="s">
        <v>2563</v>
      </c>
      <c r="M2465" s="109">
        <v>45838.524548611109</v>
      </c>
      <c r="N2465" s="109">
        <v>45840</v>
      </c>
      <c r="O2465" s="109">
        <v>45840</v>
      </c>
      <c r="P2465" s="110" t="str">
        <f ca="1">IF(Proc[[#This Row],[DaysAgeing]]&gt;5,"yep","on track")</f>
        <v>on track</v>
      </c>
      <c r="Q2465" s="3">
        <f ca="1">IF(Proc[[#This Row],[DateClosed]]="",ABS(NETWORKDAYS(Proc[[#This Row],[DateOpened]],TODAY()))-1,ABS(NETWORKDAYS(Proc[[#This Row],[DateOpened]],Proc[[#This Row],[DateClosed]]))-1)</f>
        <v>2</v>
      </c>
      <c r="R2465" s="110" t="s">
        <v>972</v>
      </c>
      <c r="S2465" s="94"/>
    </row>
    <row r="2466" spans="1:19" hidden="1">
      <c r="A2466" s="103" t="s">
        <v>4335</v>
      </c>
      <c r="B2466" s="149" t="str">
        <f>IFERROR(VLOOKUP(Proc[[#This Row],[App]],Table2[],3,0),"open")</f>
        <v>ok</v>
      </c>
      <c r="C2466" s="103" t="s">
        <v>369</v>
      </c>
      <c r="D2466" t="s">
        <v>4372</v>
      </c>
      <c r="E2466" t="s">
        <v>1830</v>
      </c>
      <c r="F2466" s="120" t="s">
        <v>1830</v>
      </c>
      <c r="G2466" s="103" t="s">
        <v>400</v>
      </c>
      <c r="H2466" s="94" t="str">
        <f>IF(Proc[[#This Row],[type]]="LFF (MDG-F)",MID(Proc[[#This Row],[Obj]],13,10),"")</f>
        <v/>
      </c>
      <c r="J2466" s="94" t="b">
        <f>Proc[[#This Row],[Requested]]=Proc[[#This Row],[CurrentParent]]</f>
        <v>1</v>
      </c>
      <c r="K2466" s="144" t="str">
        <f>IF(Proc[[#This Row],[Author]]="Marcela Urrego",VLOOKUP(LEFT(Proc[[#This Row],[Requested]],1),Table3[#All],2,0),VLOOKUP(Proc[[#This Row],[Author]],Table4[],2,0))</f>
        <v>LS</v>
      </c>
      <c r="L2466" s="125" t="s">
        <v>2563</v>
      </c>
      <c r="M2466" s="109">
        <v>45838.524548611109</v>
      </c>
      <c r="N2466" s="109">
        <v>45840</v>
      </c>
      <c r="O2466" s="109">
        <v>45840</v>
      </c>
      <c r="P2466" s="110" t="str">
        <f ca="1">IF(Proc[[#This Row],[DaysAgeing]]&gt;5,"yep","on track")</f>
        <v>on track</v>
      </c>
      <c r="Q2466" s="3">
        <f ca="1">IF(Proc[[#This Row],[DateClosed]]="",ABS(NETWORKDAYS(Proc[[#This Row],[DateOpened]],TODAY()))-1,ABS(NETWORKDAYS(Proc[[#This Row],[DateOpened]],Proc[[#This Row],[DateClosed]]))-1)</f>
        <v>2</v>
      </c>
      <c r="R2466" s="110" t="s">
        <v>972</v>
      </c>
      <c r="S2466" s="94"/>
    </row>
    <row r="2467" spans="1:19" hidden="1">
      <c r="A2467" s="103" t="s">
        <v>4335</v>
      </c>
      <c r="B2467" s="149" t="str">
        <f>IFERROR(VLOOKUP(Proc[[#This Row],[App]],Table2[],3,0),"open")</f>
        <v>ok</v>
      </c>
      <c r="C2467" s="103" t="s">
        <v>369</v>
      </c>
      <c r="D2467" t="s">
        <v>4373</v>
      </c>
      <c r="E2467" t="s">
        <v>1830</v>
      </c>
      <c r="F2467" s="120" t="s">
        <v>1830</v>
      </c>
      <c r="G2467" s="103" t="s">
        <v>400</v>
      </c>
      <c r="H2467" s="94" t="str">
        <f>IF(Proc[[#This Row],[type]]="LFF (MDG-F)",MID(Proc[[#This Row],[Obj]],13,10),"")</f>
        <v/>
      </c>
      <c r="J2467" s="94" t="b">
        <f>Proc[[#This Row],[Requested]]=Proc[[#This Row],[CurrentParent]]</f>
        <v>1</v>
      </c>
      <c r="K2467" s="144" t="str">
        <f>IF(Proc[[#This Row],[Author]]="Marcela Urrego",VLOOKUP(LEFT(Proc[[#This Row],[Requested]],1),Table3[#All],2,0),VLOOKUP(Proc[[#This Row],[Author]],Table4[],2,0))</f>
        <v>LS</v>
      </c>
      <c r="L2467" s="125" t="s">
        <v>2563</v>
      </c>
      <c r="M2467" s="109">
        <v>45838.524548611109</v>
      </c>
      <c r="N2467" s="109">
        <v>45840</v>
      </c>
      <c r="O2467" s="109">
        <v>45840</v>
      </c>
      <c r="P2467" s="110" t="str">
        <f ca="1">IF(Proc[[#This Row],[DaysAgeing]]&gt;5,"yep","on track")</f>
        <v>on track</v>
      </c>
      <c r="Q2467" s="3">
        <f ca="1">IF(Proc[[#This Row],[DateClosed]]="",ABS(NETWORKDAYS(Proc[[#This Row],[DateOpened]],TODAY()))-1,ABS(NETWORKDAYS(Proc[[#This Row],[DateOpened]],Proc[[#This Row],[DateClosed]]))-1)</f>
        <v>2</v>
      </c>
      <c r="R2467" s="110" t="s">
        <v>972</v>
      </c>
      <c r="S2467" s="94"/>
    </row>
    <row r="2468" spans="1:19" hidden="1">
      <c r="A2468" s="103" t="s">
        <v>4335</v>
      </c>
      <c r="B2468" s="149" t="str">
        <f>IFERROR(VLOOKUP(Proc[[#This Row],[App]],Table2[],3,0),"open")</f>
        <v>ok</v>
      </c>
      <c r="C2468" s="103" t="s">
        <v>369</v>
      </c>
      <c r="D2468" t="s">
        <v>4374</v>
      </c>
      <c r="E2468" t="s">
        <v>1830</v>
      </c>
      <c r="F2468" s="120" t="s">
        <v>1830</v>
      </c>
      <c r="G2468" s="103" t="s">
        <v>400</v>
      </c>
      <c r="H2468" s="94" t="str">
        <f>IF(Proc[[#This Row],[type]]="LFF (MDG-F)",MID(Proc[[#This Row],[Obj]],13,10),"")</f>
        <v/>
      </c>
      <c r="J2468" s="94" t="b">
        <f>Proc[[#This Row],[Requested]]=Proc[[#This Row],[CurrentParent]]</f>
        <v>1</v>
      </c>
      <c r="K2468" s="144" t="str">
        <f>IF(Proc[[#This Row],[Author]]="Marcela Urrego",VLOOKUP(LEFT(Proc[[#This Row],[Requested]],1),Table3[#All],2,0),VLOOKUP(Proc[[#This Row],[Author]],Table4[],2,0))</f>
        <v>LS</v>
      </c>
      <c r="L2468" s="125" t="s">
        <v>2563</v>
      </c>
      <c r="M2468" s="109">
        <v>45838.524548611109</v>
      </c>
      <c r="N2468" s="109">
        <v>45840</v>
      </c>
      <c r="O2468" s="109">
        <v>45840</v>
      </c>
      <c r="P2468" s="110" t="str">
        <f ca="1">IF(Proc[[#This Row],[DaysAgeing]]&gt;5,"yep","on track")</f>
        <v>on track</v>
      </c>
      <c r="Q2468" s="3">
        <f ca="1">IF(Proc[[#This Row],[DateClosed]]="",ABS(NETWORKDAYS(Proc[[#This Row],[DateOpened]],TODAY()))-1,ABS(NETWORKDAYS(Proc[[#This Row],[DateOpened]],Proc[[#This Row],[DateClosed]]))-1)</f>
        <v>2</v>
      </c>
      <c r="R2468" s="110" t="s">
        <v>972</v>
      </c>
      <c r="S2468" s="94"/>
    </row>
    <row r="2469" spans="1:19" hidden="1">
      <c r="A2469" s="103" t="s">
        <v>4335</v>
      </c>
      <c r="B2469" s="149" t="str">
        <f>IFERROR(VLOOKUP(Proc[[#This Row],[App]],Table2[],3,0),"open")</f>
        <v>ok</v>
      </c>
      <c r="C2469" s="103" t="s">
        <v>369</v>
      </c>
      <c r="D2469" t="s">
        <v>4375</v>
      </c>
      <c r="E2469" t="s">
        <v>1830</v>
      </c>
      <c r="F2469" s="120" t="s">
        <v>1830</v>
      </c>
      <c r="G2469" s="103" t="s">
        <v>400</v>
      </c>
      <c r="H2469" s="94" t="str">
        <f>IF(Proc[[#This Row],[type]]="LFF (MDG-F)",MID(Proc[[#This Row],[Obj]],13,10),"")</f>
        <v/>
      </c>
      <c r="J2469" s="94" t="b">
        <f>Proc[[#This Row],[Requested]]=Proc[[#This Row],[CurrentParent]]</f>
        <v>1</v>
      </c>
      <c r="K2469" s="144" t="str">
        <f>IF(Proc[[#This Row],[Author]]="Marcela Urrego",VLOOKUP(LEFT(Proc[[#This Row],[Requested]],1),Table3[#All],2,0),VLOOKUP(Proc[[#This Row],[Author]],Table4[],2,0))</f>
        <v>LS</v>
      </c>
      <c r="L2469" s="125" t="s">
        <v>2563</v>
      </c>
      <c r="M2469" s="109">
        <v>45838.524548611109</v>
      </c>
      <c r="N2469" s="109">
        <v>45840</v>
      </c>
      <c r="O2469" s="109">
        <v>45840</v>
      </c>
      <c r="P2469" s="110" t="str">
        <f ca="1">IF(Proc[[#This Row],[DaysAgeing]]&gt;5,"yep","on track")</f>
        <v>on track</v>
      </c>
      <c r="Q2469" s="3">
        <f ca="1">IF(Proc[[#This Row],[DateClosed]]="",ABS(NETWORKDAYS(Proc[[#This Row],[DateOpened]],TODAY()))-1,ABS(NETWORKDAYS(Proc[[#This Row],[DateOpened]],Proc[[#This Row],[DateClosed]]))-1)</f>
        <v>2</v>
      </c>
      <c r="R2469" s="110" t="s">
        <v>972</v>
      </c>
      <c r="S2469" s="94"/>
    </row>
    <row r="2470" spans="1:19" hidden="1">
      <c r="A2470" s="103" t="s">
        <v>4335</v>
      </c>
      <c r="B2470" s="149" t="str">
        <f>IFERROR(VLOOKUP(Proc[[#This Row],[App]],Table2[],3,0),"open")</f>
        <v>ok</v>
      </c>
      <c r="C2470" s="103" t="s">
        <v>369</v>
      </c>
      <c r="D2470" t="s">
        <v>4376</v>
      </c>
      <c r="E2470" t="s">
        <v>1830</v>
      </c>
      <c r="F2470" s="120" t="s">
        <v>1830</v>
      </c>
      <c r="G2470" s="103" t="s">
        <v>400</v>
      </c>
      <c r="H2470" s="94" t="str">
        <f>IF(Proc[[#This Row],[type]]="LFF (MDG-F)",MID(Proc[[#This Row],[Obj]],13,10),"")</f>
        <v/>
      </c>
      <c r="J2470" s="94" t="b">
        <f>Proc[[#This Row],[Requested]]=Proc[[#This Row],[CurrentParent]]</f>
        <v>1</v>
      </c>
      <c r="K2470" s="144" t="str">
        <f>IF(Proc[[#This Row],[Author]]="Marcela Urrego",VLOOKUP(LEFT(Proc[[#This Row],[Requested]],1),Table3[#All],2,0),VLOOKUP(Proc[[#This Row],[Author]],Table4[],2,0))</f>
        <v>LS</v>
      </c>
      <c r="L2470" s="125" t="s">
        <v>2563</v>
      </c>
      <c r="M2470" s="109">
        <v>45838.524548611109</v>
      </c>
      <c r="N2470" s="109">
        <v>45840</v>
      </c>
      <c r="O2470" s="109">
        <v>45840</v>
      </c>
      <c r="P2470" s="110" t="str">
        <f ca="1">IF(Proc[[#This Row],[DaysAgeing]]&gt;5,"yep","on track")</f>
        <v>on track</v>
      </c>
      <c r="Q2470" s="3">
        <f ca="1">IF(Proc[[#This Row],[DateClosed]]="",ABS(NETWORKDAYS(Proc[[#This Row],[DateOpened]],TODAY()))-1,ABS(NETWORKDAYS(Proc[[#This Row],[DateOpened]],Proc[[#This Row],[DateClosed]]))-1)</f>
        <v>2</v>
      </c>
      <c r="R2470" s="110" t="s">
        <v>972</v>
      </c>
      <c r="S2470" s="94"/>
    </row>
    <row r="2471" spans="1:19" hidden="1">
      <c r="A2471" s="103" t="s">
        <v>4335</v>
      </c>
      <c r="B2471" s="149" t="str">
        <f>IFERROR(VLOOKUP(Proc[[#This Row],[App]],Table2[],3,0),"open")</f>
        <v>ok</v>
      </c>
      <c r="C2471" s="103" t="s">
        <v>369</v>
      </c>
      <c r="D2471" t="s">
        <v>4377</v>
      </c>
      <c r="E2471" t="s">
        <v>1830</v>
      </c>
      <c r="F2471" s="120" t="s">
        <v>1830</v>
      </c>
      <c r="G2471" s="103" t="s">
        <v>400</v>
      </c>
      <c r="H2471" s="94" t="str">
        <f>IF(Proc[[#This Row],[type]]="LFF (MDG-F)",MID(Proc[[#This Row],[Obj]],13,10),"")</f>
        <v/>
      </c>
      <c r="J2471" s="94" t="b">
        <f>Proc[[#This Row],[Requested]]=Proc[[#This Row],[CurrentParent]]</f>
        <v>1</v>
      </c>
      <c r="K2471" s="144" t="str">
        <f>IF(Proc[[#This Row],[Author]]="Marcela Urrego",VLOOKUP(LEFT(Proc[[#This Row],[Requested]],1),Table3[#All],2,0),VLOOKUP(Proc[[#This Row],[Author]],Table4[],2,0))</f>
        <v>LS</v>
      </c>
      <c r="L2471" s="125" t="s">
        <v>2563</v>
      </c>
      <c r="M2471" s="109">
        <v>45838.524548611109</v>
      </c>
      <c r="N2471" s="109">
        <v>45840</v>
      </c>
      <c r="O2471" s="109">
        <v>45840</v>
      </c>
      <c r="P2471" s="110" t="str">
        <f ca="1">IF(Proc[[#This Row],[DaysAgeing]]&gt;5,"yep","on track")</f>
        <v>on track</v>
      </c>
      <c r="Q2471" s="3">
        <f ca="1">IF(Proc[[#This Row],[DateClosed]]="",ABS(NETWORKDAYS(Proc[[#This Row],[DateOpened]],TODAY()))-1,ABS(NETWORKDAYS(Proc[[#This Row],[DateOpened]],Proc[[#This Row],[DateClosed]]))-1)</f>
        <v>2</v>
      </c>
      <c r="R2471" s="110" t="s">
        <v>972</v>
      </c>
      <c r="S2471" s="94"/>
    </row>
    <row r="2472" spans="1:19" hidden="1">
      <c r="A2472" s="103" t="s">
        <v>4335</v>
      </c>
      <c r="B2472" s="149" t="str">
        <f>IFERROR(VLOOKUP(Proc[[#This Row],[App]],Table2[],3,0),"open")</f>
        <v>ok</v>
      </c>
      <c r="C2472" s="103" t="s">
        <v>369</v>
      </c>
      <c r="D2472" t="s">
        <v>4378</v>
      </c>
      <c r="E2472" t="s">
        <v>1830</v>
      </c>
      <c r="F2472" s="120" t="s">
        <v>1830</v>
      </c>
      <c r="G2472" s="103" t="s">
        <v>400</v>
      </c>
      <c r="H2472" s="94" t="str">
        <f>IF(Proc[[#This Row],[type]]="LFF (MDG-F)",MID(Proc[[#This Row],[Obj]],13,10),"")</f>
        <v/>
      </c>
      <c r="J2472" s="94" t="b">
        <f>Proc[[#This Row],[Requested]]=Proc[[#This Row],[CurrentParent]]</f>
        <v>1</v>
      </c>
      <c r="K2472" s="144" t="str">
        <f>IF(Proc[[#This Row],[Author]]="Marcela Urrego",VLOOKUP(LEFT(Proc[[#This Row],[Requested]],1),Table3[#All],2,0),VLOOKUP(Proc[[#This Row],[Author]],Table4[],2,0))</f>
        <v>LS</v>
      </c>
      <c r="L2472" s="125" t="s">
        <v>2563</v>
      </c>
      <c r="M2472" s="109">
        <v>45838.524548611109</v>
      </c>
      <c r="N2472" s="109">
        <v>45840</v>
      </c>
      <c r="O2472" s="109">
        <v>45840</v>
      </c>
      <c r="P2472" s="110" t="str">
        <f ca="1">IF(Proc[[#This Row],[DaysAgeing]]&gt;5,"yep","on track")</f>
        <v>on track</v>
      </c>
      <c r="Q2472" s="3">
        <f ca="1">IF(Proc[[#This Row],[DateClosed]]="",ABS(NETWORKDAYS(Proc[[#This Row],[DateOpened]],TODAY()))-1,ABS(NETWORKDAYS(Proc[[#This Row],[DateOpened]],Proc[[#This Row],[DateClosed]]))-1)</f>
        <v>2</v>
      </c>
      <c r="R2472" s="110" t="s">
        <v>972</v>
      </c>
      <c r="S2472" s="94"/>
    </row>
    <row r="2473" spans="1:19" hidden="1">
      <c r="A2473" s="103" t="s">
        <v>4335</v>
      </c>
      <c r="B2473" s="149" t="str">
        <f>IFERROR(VLOOKUP(Proc[[#This Row],[App]],Table2[],3,0),"open")</f>
        <v>ok</v>
      </c>
      <c r="C2473" s="103" t="s">
        <v>369</v>
      </c>
      <c r="D2473" t="s">
        <v>4379</v>
      </c>
      <c r="E2473" t="s">
        <v>1830</v>
      </c>
      <c r="F2473" s="120" t="s">
        <v>1830</v>
      </c>
      <c r="G2473" s="103" t="s">
        <v>400</v>
      </c>
      <c r="H2473" s="94" t="str">
        <f>IF(Proc[[#This Row],[type]]="LFF (MDG-F)",MID(Proc[[#This Row],[Obj]],13,10),"")</f>
        <v/>
      </c>
      <c r="J2473" s="94" t="b">
        <f>Proc[[#This Row],[Requested]]=Proc[[#This Row],[CurrentParent]]</f>
        <v>1</v>
      </c>
      <c r="K2473" s="144" t="str">
        <f>IF(Proc[[#This Row],[Author]]="Marcela Urrego",VLOOKUP(LEFT(Proc[[#This Row],[Requested]],1),Table3[#All],2,0),VLOOKUP(Proc[[#This Row],[Author]],Table4[],2,0))</f>
        <v>LS</v>
      </c>
      <c r="L2473" s="125" t="s">
        <v>2563</v>
      </c>
      <c r="M2473" s="109">
        <v>45838.524548611109</v>
      </c>
      <c r="N2473" s="109">
        <v>45840</v>
      </c>
      <c r="O2473" s="109">
        <v>45840</v>
      </c>
      <c r="P2473" s="110" t="str">
        <f ca="1">IF(Proc[[#This Row],[DaysAgeing]]&gt;5,"yep","on track")</f>
        <v>on track</v>
      </c>
      <c r="Q2473" s="3">
        <f ca="1">IF(Proc[[#This Row],[DateClosed]]="",ABS(NETWORKDAYS(Proc[[#This Row],[DateOpened]],TODAY()))-1,ABS(NETWORKDAYS(Proc[[#This Row],[DateOpened]],Proc[[#This Row],[DateClosed]]))-1)</f>
        <v>2</v>
      </c>
      <c r="R2473" s="110" t="s">
        <v>972</v>
      </c>
      <c r="S2473" s="94"/>
    </row>
    <row r="2474" spans="1:19" hidden="1">
      <c r="A2474" s="103" t="s">
        <v>4335</v>
      </c>
      <c r="B2474" s="149" t="str">
        <f>IFERROR(VLOOKUP(Proc[[#This Row],[App]],Table2[],3,0),"open")</f>
        <v>ok</v>
      </c>
      <c r="C2474" s="103" t="s">
        <v>369</v>
      </c>
      <c r="D2474" t="s">
        <v>4380</v>
      </c>
      <c r="E2474" t="s">
        <v>1830</v>
      </c>
      <c r="F2474" s="120" t="s">
        <v>1830</v>
      </c>
      <c r="G2474" s="103" t="s">
        <v>400</v>
      </c>
      <c r="H2474" s="94" t="str">
        <f>IF(Proc[[#This Row],[type]]="LFF (MDG-F)",MID(Proc[[#This Row],[Obj]],13,10),"")</f>
        <v/>
      </c>
      <c r="J2474" s="94" t="b">
        <f>Proc[[#This Row],[Requested]]=Proc[[#This Row],[CurrentParent]]</f>
        <v>1</v>
      </c>
      <c r="K2474" s="144" t="str">
        <f>IF(Proc[[#This Row],[Author]]="Marcela Urrego",VLOOKUP(LEFT(Proc[[#This Row],[Requested]],1),Table3[#All],2,0),VLOOKUP(Proc[[#This Row],[Author]],Table4[],2,0))</f>
        <v>LS</v>
      </c>
      <c r="L2474" s="125" t="s">
        <v>2563</v>
      </c>
      <c r="M2474" s="109">
        <v>45838.524548611109</v>
      </c>
      <c r="N2474" s="109">
        <v>45840</v>
      </c>
      <c r="O2474" s="109">
        <v>45840</v>
      </c>
      <c r="P2474" s="110" t="str">
        <f ca="1">IF(Proc[[#This Row],[DaysAgeing]]&gt;5,"yep","on track")</f>
        <v>on track</v>
      </c>
      <c r="Q2474" s="3">
        <f ca="1">IF(Proc[[#This Row],[DateClosed]]="",ABS(NETWORKDAYS(Proc[[#This Row],[DateOpened]],TODAY()))-1,ABS(NETWORKDAYS(Proc[[#This Row],[DateOpened]],Proc[[#This Row],[DateClosed]]))-1)</f>
        <v>2</v>
      </c>
      <c r="R2474" s="110" t="s">
        <v>972</v>
      </c>
      <c r="S2474" s="94"/>
    </row>
    <row r="2475" spans="1:19" hidden="1">
      <c r="A2475" s="103" t="s">
        <v>4335</v>
      </c>
      <c r="B2475" s="149" t="str">
        <f>IFERROR(VLOOKUP(Proc[[#This Row],[App]],Table2[],3,0),"open")</f>
        <v>ok</v>
      </c>
      <c r="C2475" s="103" t="s">
        <v>369</v>
      </c>
      <c r="D2475" t="s">
        <v>4381</v>
      </c>
      <c r="E2475" t="s">
        <v>1830</v>
      </c>
      <c r="F2475" s="120" t="s">
        <v>1830</v>
      </c>
      <c r="G2475" s="103" t="s">
        <v>400</v>
      </c>
      <c r="H2475" s="94" t="str">
        <f>IF(Proc[[#This Row],[type]]="LFF (MDG-F)",MID(Proc[[#This Row],[Obj]],13,10),"")</f>
        <v/>
      </c>
      <c r="J2475" s="94" t="b">
        <f>Proc[[#This Row],[Requested]]=Proc[[#This Row],[CurrentParent]]</f>
        <v>1</v>
      </c>
      <c r="K2475" s="144" t="str">
        <f>IF(Proc[[#This Row],[Author]]="Marcela Urrego",VLOOKUP(LEFT(Proc[[#This Row],[Requested]],1),Table3[#All],2,0),VLOOKUP(Proc[[#This Row],[Author]],Table4[],2,0))</f>
        <v>LS</v>
      </c>
      <c r="L2475" s="125" t="s">
        <v>2563</v>
      </c>
      <c r="M2475" s="109">
        <v>45838.524548611109</v>
      </c>
      <c r="N2475" s="109">
        <v>45840</v>
      </c>
      <c r="O2475" s="109">
        <v>45840</v>
      </c>
      <c r="P2475" s="110" t="str">
        <f ca="1">IF(Proc[[#This Row],[DaysAgeing]]&gt;5,"yep","on track")</f>
        <v>on track</v>
      </c>
      <c r="Q2475" s="3">
        <f ca="1">IF(Proc[[#This Row],[DateClosed]]="",ABS(NETWORKDAYS(Proc[[#This Row],[DateOpened]],TODAY()))-1,ABS(NETWORKDAYS(Proc[[#This Row],[DateOpened]],Proc[[#This Row],[DateClosed]]))-1)</f>
        <v>2</v>
      </c>
      <c r="R2475" s="110" t="s">
        <v>972</v>
      </c>
      <c r="S2475" s="94"/>
    </row>
    <row r="2476" spans="1:19" hidden="1">
      <c r="A2476" s="103" t="s">
        <v>4335</v>
      </c>
      <c r="B2476" s="149" t="str">
        <f>IFERROR(VLOOKUP(Proc[[#This Row],[App]],Table2[],3,0),"open")</f>
        <v>ok</v>
      </c>
      <c r="C2476" s="103" t="s">
        <v>369</v>
      </c>
      <c r="D2476" t="s">
        <v>4382</v>
      </c>
      <c r="E2476" t="s">
        <v>1830</v>
      </c>
      <c r="F2476" s="120" t="s">
        <v>1830</v>
      </c>
      <c r="G2476" s="103" t="s">
        <v>400</v>
      </c>
      <c r="H2476" s="94" t="str">
        <f>IF(Proc[[#This Row],[type]]="LFF (MDG-F)",MID(Proc[[#This Row],[Obj]],13,10),"")</f>
        <v/>
      </c>
      <c r="J2476" s="94" t="b">
        <f>Proc[[#This Row],[Requested]]=Proc[[#This Row],[CurrentParent]]</f>
        <v>1</v>
      </c>
      <c r="K2476" s="144" t="str">
        <f>IF(Proc[[#This Row],[Author]]="Marcela Urrego",VLOOKUP(LEFT(Proc[[#This Row],[Requested]],1),Table3[#All],2,0),VLOOKUP(Proc[[#This Row],[Author]],Table4[],2,0))</f>
        <v>LS</v>
      </c>
      <c r="L2476" s="125" t="s">
        <v>2563</v>
      </c>
      <c r="M2476" s="109">
        <v>45838.524548611109</v>
      </c>
      <c r="N2476" s="109">
        <v>45840</v>
      </c>
      <c r="O2476" s="109">
        <v>45840</v>
      </c>
      <c r="P2476" s="110" t="str">
        <f ca="1">IF(Proc[[#This Row],[DaysAgeing]]&gt;5,"yep","on track")</f>
        <v>on track</v>
      </c>
      <c r="Q2476" s="3">
        <f ca="1">IF(Proc[[#This Row],[DateClosed]]="",ABS(NETWORKDAYS(Proc[[#This Row],[DateOpened]],TODAY()))-1,ABS(NETWORKDAYS(Proc[[#This Row],[DateOpened]],Proc[[#This Row],[DateClosed]]))-1)</f>
        <v>2</v>
      </c>
      <c r="R2476" s="110" t="s">
        <v>972</v>
      </c>
      <c r="S2476" s="94"/>
    </row>
    <row r="2477" spans="1:19" hidden="1">
      <c r="A2477" s="103" t="s">
        <v>4335</v>
      </c>
      <c r="B2477" s="149" t="str">
        <f>IFERROR(VLOOKUP(Proc[[#This Row],[App]],Table2[],3,0),"open")</f>
        <v>ok</v>
      </c>
      <c r="C2477" s="103" t="s">
        <v>369</v>
      </c>
      <c r="D2477" t="s">
        <v>4383</v>
      </c>
      <c r="E2477" t="s">
        <v>4384</v>
      </c>
      <c r="F2477" s="120" t="s">
        <v>4384</v>
      </c>
      <c r="G2477" s="103" t="s">
        <v>400</v>
      </c>
      <c r="H2477" s="94" t="str">
        <f>IF(Proc[[#This Row],[type]]="LFF (MDG-F)",MID(Proc[[#This Row],[Obj]],13,10),"")</f>
        <v/>
      </c>
      <c r="J2477" s="94" t="b">
        <f>Proc[[#This Row],[Requested]]=Proc[[#This Row],[CurrentParent]]</f>
        <v>1</v>
      </c>
      <c r="K2477" s="144" t="str">
        <f>IF(Proc[[#This Row],[Author]]="Marcela Urrego",VLOOKUP(LEFT(Proc[[#This Row],[Requested]],1),Table3[#All],2,0),VLOOKUP(Proc[[#This Row],[Author]],Table4[],2,0))</f>
        <v>LS</v>
      </c>
      <c r="L2477" s="125" t="s">
        <v>2563</v>
      </c>
      <c r="M2477" s="109">
        <v>45838.524548611109</v>
      </c>
      <c r="N2477" s="109">
        <v>45840</v>
      </c>
      <c r="O2477" s="109">
        <v>45840</v>
      </c>
      <c r="P2477" s="110" t="str">
        <f ca="1">IF(Proc[[#This Row],[DaysAgeing]]&gt;5,"yep","on track")</f>
        <v>on track</v>
      </c>
      <c r="Q2477" s="3">
        <f ca="1">IF(Proc[[#This Row],[DateClosed]]="",ABS(NETWORKDAYS(Proc[[#This Row],[DateOpened]],TODAY()))-1,ABS(NETWORKDAYS(Proc[[#This Row],[DateOpened]],Proc[[#This Row],[DateClosed]]))-1)</f>
        <v>2</v>
      </c>
      <c r="R2477" s="110" t="s">
        <v>972</v>
      </c>
      <c r="S2477" s="94"/>
    </row>
    <row r="2478" spans="1:19" hidden="1">
      <c r="A2478" s="103" t="s">
        <v>4335</v>
      </c>
      <c r="B2478" s="149" t="str">
        <f>IFERROR(VLOOKUP(Proc[[#This Row],[App]],Table2[],3,0),"open")</f>
        <v>ok</v>
      </c>
      <c r="C2478" s="103" t="s">
        <v>369</v>
      </c>
      <c r="D2478" t="s">
        <v>4385</v>
      </c>
      <c r="E2478" t="s">
        <v>2370</v>
      </c>
      <c r="F2478" s="120" t="s">
        <v>2370</v>
      </c>
      <c r="G2478" s="103" t="s">
        <v>400</v>
      </c>
      <c r="H2478" s="94" t="str">
        <f>IF(Proc[[#This Row],[type]]="LFF (MDG-F)",MID(Proc[[#This Row],[Obj]],13,10),"")</f>
        <v/>
      </c>
      <c r="J2478" s="94" t="b">
        <f>Proc[[#This Row],[Requested]]=Proc[[#This Row],[CurrentParent]]</f>
        <v>1</v>
      </c>
      <c r="K2478" s="144" t="str">
        <f>IF(Proc[[#This Row],[Author]]="Marcela Urrego",VLOOKUP(LEFT(Proc[[#This Row],[Requested]],1),Table3[#All],2,0),VLOOKUP(Proc[[#This Row],[Author]],Table4[],2,0))</f>
        <v>LS</v>
      </c>
      <c r="L2478" s="125" t="s">
        <v>2563</v>
      </c>
      <c r="M2478" s="109">
        <v>45838.524548611109</v>
      </c>
      <c r="N2478" s="109">
        <v>45840</v>
      </c>
      <c r="O2478" s="109">
        <v>45840</v>
      </c>
      <c r="P2478" s="110" t="str">
        <f ca="1">IF(Proc[[#This Row],[DaysAgeing]]&gt;5,"yep","on track")</f>
        <v>on track</v>
      </c>
      <c r="Q2478" s="3">
        <f ca="1">IF(Proc[[#This Row],[DateClosed]]="",ABS(NETWORKDAYS(Proc[[#This Row],[DateOpened]],TODAY()))-1,ABS(NETWORKDAYS(Proc[[#This Row],[DateOpened]],Proc[[#This Row],[DateClosed]]))-1)</f>
        <v>2</v>
      </c>
      <c r="R2478" s="110" t="s">
        <v>972</v>
      </c>
      <c r="S2478" s="94"/>
    </row>
    <row r="2479" spans="1:19" hidden="1">
      <c r="A2479" s="103" t="s">
        <v>4335</v>
      </c>
      <c r="B2479" s="149" t="str">
        <f>IFERROR(VLOOKUP(Proc[[#This Row],[App]],Table2[],3,0),"open")</f>
        <v>ok</v>
      </c>
      <c r="C2479" s="103" t="s">
        <v>369</v>
      </c>
      <c r="D2479" t="s">
        <v>4386</v>
      </c>
      <c r="E2479" t="s">
        <v>4387</v>
      </c>
      <c r="F2479" s="120" t="s">
        <v>4387</v>
      </c>
      <c r="G2479" s="103" t="s">
        <v>400</v>
      </c>
      <c r="H2479" s="94" t="str">
        <f>IF(Proc[[#This Row],[type]]="LFF (MDG-F)",MID(Proc[[#This Row],[Obj]],13,10),"")</f>
        <v/>
      </c>
      <c r="J2479" s="94" t="b">
        <f>Proc[[#This Row],[Requested]]=Proc[[#This Row],[CurrentParent]]</f>
        <v>1</v>
      </c>
      <c r="K2479" s="144" t="str">
        <f>IF(Proc[[#This Row],[Author]]="Marcela Urrego",VLOOKUP(LEFT(Proc[[#This Row],[Requested]],1),Table3[#All],2,0),VLOOKUP(Proc[[#This Row],[Author]],Table4[],2,0))</f>
        <v>LS</v>
      </c>
      <c r="L2479" s="125" t="s">
        <v>2563</v>
      </c>
      <c r="M2479" s="109">
        <v>45838.524548611109</v>
      </c>
      <c r="N2479" s="109">
        <v>45840</v>
      </c>
      <c r="O2479" s="109">
        <v>45840</v>
      </c>
      <c r="P2479" s="110" t="str">
        <f ca="1">IF(Proc[[#This Row],[DaysAgeing]]&gt;5,"yep","on track")</f>
        <v>on track</v>
      </c>
      <c r="Q2479" s="3">
        <f ca="1">IF(Proc[[#This Row],[DateClosed]]="",ABS(NETWORKDAYS(Proc[[#This Row],[DateOpened]],TODAY()))-1,ABS(NETWORKDAYS(Proc[[#This Row],[DateOpened]],Proc[[#This Row],[DateClosed]]))-1)</f>
        <v>2</v>
      </c>
      <c r="R2479" s="110" t="s">
        <v>972</v>
      </c>
      <c r="S2479" s="94"/>
    </row>
    <row r="2480" spans="1:19" hidden="1">
      <c r="A2480" s="103" t="s">
        <v>4335</v>
      </c>
      <c r="B2480" s="149" t="str">
        <f>IFERROR(VLOOKUP(Proc[[#This Row],[App]],Table2[],3,0),"open")</f>
        <v>ok</v>
      </c>
      <c r="C2480" s="103" t="s">
        <v>369</v>
      </c>
      <c r="D2480" t="s">
        <v>4388</v>
      </c>
      <c r="E2480" t="s">
        <v>4389</v>
      </c>
      <c r="F2480" s="120" t="s">
        <v>4389</v>
      </c>
      <c r="G2480" s="103" t="s">
        <v>400</v>
      </c>
      <c r="H2480" s="94" t="str">
        <f>IF(Proc[[#This Row],[type]]="LFF (MDG-F)",MID(Proc[[#This Row],[Obj]],13,10),"")</f>
        <v/>
      </c>
      <c r="J2480" s="94" t="b">
        <f>Proc[[#This Row],[Requested]]=Proc[[#This Row],[CurrentParent]]</f>
        <v>1</v>
      </c>
      <c r="K2480" s="144" t="str">
        <f>IF(Proc[[#This Row],[Author]]="Marcela Urrego",VLOOKUP(LEFT(Proc[[#This Row],[Requested]],1),Table3[#All],2,0),VLOOKUP(Proc[[#This Row],[Author]],Table4[],2,0))</f>
        <v>LS</v>
      </c>
      <c r="L2480" s="125" t="s">
        <v>2563</v>
      </c>
      <c r="M2480" s="109">
        <v>45838.524548611109</v>
      </c>
      <c r="N2480" s="109">
        <v>45840</v>
      </c>
      <c r="O2480" s="109">
        <v>45840</v>
      </c>
      <c r="P2480" s="110" t="str">
        <f ca="1">IF(Proc[[#This Row],[DaysAgeing]]&gt;5,"yep","on track")</f>
        <v>on track</v>
      </c>
      <c r="Q2480" s="3">
        <f ca="1">IF(Proc[[#This Row],[DateClosed]]="",ABS(NETWORKDAYS(Proc[[#This Row],[DateOpened]],TODAY()))-1,ABS(NETWORKDAYS(Proc[[#This Row],[DateOpened]],Proc[[#This Row],[DateClosed]]))-1)</f>
        <v>2</v>
      </c>
      <c r="R2480" s="110" t="s">
        <v>972</v>
      </c>
      <c r="S2480" s="94"/>
    </row>
    <row r="2481" spans="1:19" hidden="1">
      <c r="A2481" s="103" t="s">
        <v>4335</v>
      </c>
      <c r="B2481" s="149" t="str">
        <f>IFERROR(VLOOKUP(Proc[[#This Row],[App]],Table2[],3,0),"open")</f>
        <v>ok</v>
      </c>
      <c r="C2481" s="103" t="s">
        <v>369</v>
      </c>
      <c r="D2481" t="s">
        <v>4390</v>
      </c>
      <c r="E2481" t="s">
        <v>4391</v>
      </c>
      <c r="F2481" s="120" t="s">
        <v>4391</v>
      </c>
      <c r="G2481" s="103" t="s">
        <v>400</v>
      </c>
      <c r="H2481" s="94" t="str">
        <f>IF(Proc[[#This Row],[type]]="LFF (MDG-F)",MID(Proc[[#This Row],[Obj]],13,10),"")</f>
        <v/>
      </c>
      <c r="J2481" s="94" t="b">
        <f>Proc[[#This Row],[Requested]]=Proc[[#This Row],[CurrentParent]]</f>
        <v>1</v>
      </c>
      <c r="K2481" s="144" t="str">
        <f>IF(Proc[[#This Row],[Author]]="Marcela Urrego",VLOOKUP(LEFT(Proc[[#This Row],[Requested]],1),Table3[#All],2,0),VLOOKUP(Proc[[#This Row],[Author]],Table4[],2,0))</f>
        <v>LS</v>
      </c>
      <c r="L2481" s="125" t="s">
        <v>2563</v>
      </c>
      <c r="M2481" s="109">
        <v>45838.524548611109</v>
      </c>
      <c r="N2481" s="109">
        <v>45840</v>
      </c>
      <c r="O2481" s="109">
        <v>45840</v>
      </c>
      <c r="P2481" s="110" t="str">
        <f ca="1">IF(Proc[[#This Row],[DaysAgeing]]&gt;5,"yep","on track")</f>
        <v>on track</v>
      </c>
      <c r="Q2481" s="3">
        <f ca="1">IF(Proc[[#This Row],[DateClosed]]="",ABS(NETWORKDAYS(Proc[[#This Row],[DateOpened]],TODAY()))-1,ABS(NETWORKDAYS(Proc[[#This Row],[DateOpened]],Proc[[#This Row],[DateClosed]]))-1)</f>
        <v>2</v>
      </c>
      <c r="R2481" s="110" t="s">
        <v>972</v>
      </c>
      <c r="S2481" s="94"/>
    </row>
    <row r="2482" spans="1:19" hidden="1">
      <c r="A2482" s="103" t="s">
        <v>4335</v>
      </c>
      <c r="B2482" s="149" t="str">
        <f>IFERROR(VLOOKUP(Proc[[#This Row],[App]],Table2[],3,0),"open")</f>
        <v>ok</v>
      </c>
      <c r="C2482" s="103" t="s">
        <v>369</v>
      </c>
      <c r="D2482" t="s">
        <v>4392</v>
      </c>
      <c r="E2482" t="s">
        <v>524</v>
      </c>
      <c r="F2482" s="120" t="s">
        <v>524</v>
      </c>
      <c r="G2482" s="103" t="s">
        <v>400</v>
      </c>
      <c r="H2482" s="94" t="str">
        <f>IF(Proc[[#This Row],[type]]="LFF (MDG-F)",MID(Proc[[#This Row],[Obj]],13,10),"")</f>
        <v/>
      </c>
      <c r="J2482" s="94" t="b">
        <f>Proc[[#This Row],[Requested]]=Proc[[#This Row],[CurrentParent]]</f>
        <v>1</v>
      </c>
      <c r="K2482" s="144" t="str">
        <f>IF(Proc[[#This Row],[Author]]="Marcela Urrego",VLOOKUP(LEFT(Proc[[#This Row],[Requested]],1),Table3[#All],2,0),VLOOKUP(Proc[[#This Row],[Author]],Table4[],2,0))</f>
        <v>LS</v>
      </c>
      <c r="L2482" s="125" t="s">
        <v>2563</v>
      </c>
      <c r="M2482" s="109">
        <v>45838.524548611109</v>
      </c>
      <c r="N2482" s="109">
        <v>45840</v>
      </c>
      <c r="O2482" s="109">
        <v>45840</v>
      </c>
      <c r="P2482" s="110" t="str">
        <f ca="1">IF(Proc[[#This Row],[DaysAgeing]]&gt;5,"yep","on track")</f>
        <v>on track</v>
      </c>
      <c r="Q2482" s="3">
        <f ca="1">IF(Proc[[#This Row],[DateClosed]]="",ABS(NETWORKDAYS(Proc[[#This Row],[DateOpened]],TODAY()))-1,ABS(NETWORKDAYS(Proc[[#This Row],[DateOpened]],Proc[[#This Row],[DateClosed]]))-1)</f>
        <v>2</v>
      </c>
      <c r="R2482" s="110" t="s">
        <v>972</v>
      </c>
      <c r="S2482" s="94"/>
    </row>
    <row r="2483" spans="1:19" hidden="1">
      <c r="A2483" s="103" t="s">
        <v>4335</v>
      </c>
      <c r="B2483" s="149" t="str">
        <f>IFERROR(VLOOKUP(Proc[[#This Row],[App]],Table2[],3,0),"open")</f>
        <v>ok</v>
      </c>
      <c r="C2483" s="103" t="s">
        <v>369</v>
      </c>
      <c r="D2483" t="s">
        <v>4393</v>
      </c>
      <c r="E2483" t="s">
        <v>524</v>
      </c>
      <c r="F2483" s="120" t="s">
        <v>524</v>
      </c>
      <c r="G2483" s="103" t="s">
        <v>400</v>
      </c>
      <c r="H2483" s="94" t="str">
        <f>IF(Proc[[#This Row],[type]]="LFF (MDG-F)",MID(Proc[[#This Row],[Obj]],13,10),"")</f>
        <v/>
      </c>
      <c r="J2483" s="94" t="b">
        <f>Proc[[#This Row],[Requested]]=Proc[[#This Row],[CurrentParent]]</f>
        <v>1</v>
      </c>
      <c r="K2483" s="144" t="str">
        <f>IF(Proc[[#This Row],[Author]]="Marcela Urrego",VLOOKUP(LEFT(Proc[[#This Row],[Requested]],1),Table3[#All],2,0),VLOOKUP(Proc[[#This Row],[Author]],Table4[],2,0))</f>
        <v>LS</v>
      </c>
      <c r="L2483" s="125" t="s">
        <v>2563</v>
      </c>
      <c r="M2483" s="109">
        <v>45838.524548611109</v>
      </c>
      <c r="N2483" s="109">
        <v>45840</v>
      </c>
      <c r="O2483" s="109">
        <v>45840</v>
      </c>
      <c r="P2483" s="110" t="str">
        <f ca="1">IF(Proc[[#This Row],[DaysAgeing]]&gt;5,"yep","on track")</f>
        <v>on track</v>
      </c>
      <c r="Q2483" s="3">
        <f ca="1">IF(Proc[[#This Row],[DateClosed]]="",ABS(NETWORKDAYS(Proc[[#This Row],[DateOpened]],TODAY()))-1,ABS(NETWORKDAYS(Proc[[#This Row],[DateOpened]],Proc[[#This Row],[DateClosed]]))-1)</f>
        <v>2</v>
      </c>
      <c r="R2483" s="110" t="s">
        <v>972</v>
      </c>
      <c r="S2483" s="94"/>
    </row>
    <row r="2484" spans="1:19" hidden="1">
      <c r="A2484" s="103" t="s">
        <v>4335</v>
      </c>
      <c r="B2484" s="149" t="str">
        <f>IFERROR(VLOOKUP(Proc[[#This Row],[App]],Table2[],3,0),"open")</f>
        <v>ok</v>
      </c>
      <c r="C2484" s="103" t="s">
        <v>369</v>
      </c>
      <c r="D2484" t="s">
        <v>4394</v>
      </c>
      <c r="E2484" t="s">
        <v>4395</v>
      </c>
      <c r="F2484" s="120" t="s">
        <v>4395</v>
      </c>
      <c r="G2484" s="103" t="s">
        <v>400</v>
      </c>
      <c r="H2484" s="94" t="str">
        <f>IF(Proc[[#This Row],[type]]="LFF (MDG-F)",MID(Proc[[#This Row],[Obj]],13,10),"")</f>
        <v/>
      </c>
      <c r="J2484" s="94" t="b">
        <f>Proc[[#This Row],[Requested]]=Proc[[#This Row],[CurrentParent]]</f>
        <v>1</v>
      </c>
      <c r="K2484" s="144" t="str">
        <f>IF(Proc[[#This Row],[Author]]="Marcela Urrego",VLOOKUP(LEFT(Proc[[#This Row],[Requested]],1),Table3[#All],2,0),VLOOKUP(Proc[[#This Row],[Author]],Table4[],2,0))</f>
        <v>LS</v>
      </c>
      <c r="L2484" s="125" t="s">
        <v>2563</v>
      </c>
      <c r="M2484" s="109">
        <v>45838.524548611109</v>
      </c>
      <c r="N2484" s="109">
        <v>45840</v>
      </c>
      <c r="O2484" s="109">
        <v>45840</v>
      </c>
      <c r="P2484" s="110" t="str">
        <f ca="1">IF(Proc[[#This Row],[DaysAgeing]]&gt;5,"yep","on track")</f>
        <v>on track</v>
      </c>
      <c r="Q2484" s="3">
        <f ca="1">IF(Proc[[#This Row],[DateClosed]]="",ABS(NETWORKDAYS(Proc[[#This Row],[DateOpened]],TODAY()))-1,ABS(NETWORKDAYS(Proc[[#This Row],[DateOpened]],Proc[[#This Row],[DateClosed]]))-1)</f>
        <v>2</v>
      </c>
      <c r="R2484" s="110" t="s">
        <v>972</v>
      </c>
      <c r="S2484" s="94"/>
    </row>
    <row r="2485" spans="1:19" hidden="1">
      <c r="A2485" s="103" t="s">
        <v>4335</v>
      </c>
      <c r="B2485" s="149" t="str">
        <f>IFERROR(VLOOKUP(Proc[[#This Row],[App]],Table2[],3,0),"open")</f>
        <v>ok</v>
      </c>
      <c r="C2485" s="103" t="s">
        <v>369</v>
      </c>
      <c r="D2485" t="s">
        <v>4396</v>
      </c>
      <c r="E2485" t="s">
        <v>3528</v>
      </c>
      <c r="F2485" s="120" t="s">
        <v>3528</v>
      </c>
      <c r="G2485" s="103" t="s">
        <v>400</v>
      </c>
      <c r="H2485" s="94" t="str">
        <f>IF(Proc[[#This Row],[type]]="LFF (MDG-F)",MID(Proc[[#This Row],[Obj]],13,10),"")</f>
        <v/>
      </c>
      <c r="J2485" s="94" t="b">
        <f>Proc[[#This Row],[Requested]]=Proc[[#This Row],[CurrentParent]]</f>
        <v>1</v>
      </c>
      <c r="K2485" s="144" t="str">
        <f>IF(Proc[[#This Row],[Author]]="Marcela Urrego",VLOOKUP(LEFT(Proc[[#This Row],[Requested]],1),Table3[#All],2,0),VLOOKUP(Proc[[#This Row],[Author]],Table4[],2,0))</f>
        <v>LS</v>
      </c>
      <c r="L2485" s="125" t="s">
        <v>2563</v>
      </c>
      <c r="M2485" s="109">
        <v>45838.524548611109</v>
      </c>
      <c r="N2485" s="109">
        <v>45840</v>
      </c>
      <c r="O2485" s="109">
        <v>45840</v>
      </c>
      <c r="P2485" s="110" t="str">
        <f ca="1">IF(Proc[[#This Row],[DaysAgeing]]&gt;5,"yep","on track")</f>
        <v>on track</v>
      </c>
      <c r="Q2485" s="3">
        <f ca="1">IF(Proc[[#This Row],[DateClosed]]="",ABS(NETWORKDAYS(Proc[[#This Row],[DateOpened]],TODAY()))-1,ABS(NETWORKDAYS(Proc[[#This Row],[DateOpened]],Proc[[#This Row],[DateClosed]]))-1)</f>
        <v>2</v>
      </c>
      <c r="R2485" s="110" t="s">
        <v>972</v>
      </c>
      <c r="S2485" s="94"/>
    </row>
    <row r="2486" spans="1:19" hidden="1">
      <c r="A2486" s="103" t="s">
        <v>4335</v>
      </c>
      <c r="B2486" s="149" t="str">
        <f>IFERROR(VLOOKUP(Proc[[#This Row],[App]],Table2[],3,0),"open")</f>
        <v>ok</v>
      </c>
      <c r="C2486" s="103" t="s">
        <v>369</v>
      </c>
      <c r="D2486" t="s">
        <v>4397</v>
      </c>
      <c r="E2486" t="s">
        <v>3528</v>
      </c>
      <c r="F2486" s="120" t="s">
        <v>3528</v>
      </c>
      <c r="G2486" s="103" t="s">
        <v>400</v>
      </c>
      <c r="H2486" s="94" t="str">
        <f>IF(Proc[[#This Row],[type]]="LFF (MDG-F)",MID(Proc[[#This Row],[Obj]],13,10),"")</f>
        <v/>
      </c>
      <c r="J2486" s="94" t="b">
        <f>Proc[[#This Row],[Requested]]=Proc[[#This Row],[CurrentParent]]</f>
        <v>1</v>
      </c>
      <c r="K2486" s="144" t="str">
        <f>IF(Proc[[#This Row],[Author]]="Marcela Urrego",VLOOKUP(LEFT(Proc[[#This Row],[Requested]],1),Table3[#All],2,0),VLOOKUP(Proc[[#This Row],[Author]],Table4[],2,0))</f>
        <v>LS</v>
      </c>
      <c r="L2486" s="125" t="s">
        <v>2563</v>
      </c>
      <c r="M2486" s="109">
        <v>45838.524548611109</v>
      </c>
      <c r="N2486" s="109">
        <v>45840</v>
      </c>
      <c r="O2486" s="109">
        <v>45840</v>
      </c>
      <c r="P2486" s="110" t="str">
        <f ca="1">IF(Proc[[#This Row],[DaysAgeing]]&gt;5,"yep","on track")</f>
        <v>on track</v>
      </c>
      <c r="Q2486" s="3">
        <f ca="1">IF(Proc[[#This Row],[DateClosed]]="",ABS(NETWORKDAYS(Proc[[#This Row],[DateOpened]],TODAY()))-1,ABS(NETWORKDAYS(Proc[[#This Row],[DateOpened]],Proc[[#This Row],[DateClosed]]))-1)</f>
        <v>2</v>
      </c>
      <c r="R2486" s="110" t="s">
        <v>972</v>
      </c>
      <c r="S2486" s="94"/>
    </row>
    <row r="2487" spans="1:19" hidden="1">
      <c r="A2487" s="103" t="s">
        <v>4335</v>
      </c>
      <c r="B2487" s="149" t="str">
        <f>IFERROR(VLOOKUP(Proc[[#This Row],[App]],Table2[],3,0),"open")</f>
        <v>ok</v>
      </c>
      <c r="C2487" s="103" t="s">
        <v>369</v>
      </c>
      <c r="D2487" t="s">
        <v>4398</v>
      </c>
      <c r="E2487" t="s">
        <v>4399</v>
      </c>
      <c r="F2487" s="120" t="s">
        <v>4399</v>
      </c>
      <c r="G2487" s="103" t="s">
        <v>400</v>
      </c>
      <c r="H2487" s="94" t="str">
        <f>IF(Proc[[#This Row],[type]]="LFF (MDG-F)",MID(Proc[[#This Row],[Obj]],13,10),"")</f>
        <v/>
      </c>
      <c r="J2487" s="94" t="b">
        <f>Proc[[#This Row],[Requested]]=Proc[[#This Row],[CurrentParent]]</f>
        <v>1</v>
      </c>
      <c r="K2487" s="144" t="str">
        <f>IF(Proc[[#This Row],[Author]]="Marcela Urrego",VLOOKUP(LEFT(Proc[[#This Row],[Requested]],1),Table3[#All],2,0),VLOOKUP(Proc[[#This Row],[Author]],Table4[],2,0))</f>
        <v>LS</v>
      </c>
      <c r="L2487" s="125" t="s">
        <v>2563</v>
      </c>
      <c r="M2487" s="109">
        <v>45838.524548611109</v>
      </c>
      <c r="N2487" s="109">
        <v>45840</v>
      </c>
      <c r="O2487" s="109">
        <v>45840</v>
      </c>
      <c r="P2487" s="110" t="str">
        <f ca="1">IF(Proc[[#This Row],[DaysAgeing]]&gt;5,"yep","on track")</f>
        <v>on track</v>
      </c>
      <c r="Q2487" s="3">
        <f ca="1">IF(Proc[[#This Row],[DateClosed]]="",ABS(NETWORKDAYS(Proc[[#This Row],[DateOpened]],TODAY()))-1,ABS(NETWORKDAYS(Proc[[#This Row],[DateOpened]],Proc[[#This Row],[DateClosed]]))-1)</f>
        <v>2</v>
      </c>
      <c r="R2487" s="110" t="s">
        <v>972</v>
      </c>
      <c r="S2487" s="94"/>
    </row>
    <row r="2488" spans="1:19" hidden="1">
      <c r="A2488" t="s">
        <v>4412</v>
      </c>
      <c r="B2488" s="149" t="str">
        <f>IFERROR(VLOOKUP(Proc[[#This Row],[App]],Table2[],3,0),"open")</f>
        <v>ok</v>
      </c>
      <c r="C2488" s="117" t="s">
        <v>369</v>
      </c>
      <c r="D2488" t="s">
        <v>4400</v>
      </c>
      <c r="E2488" t="s">
        <v>4409</v>
      </c>
      <c r="F2488" s="117" t="s">
        <v>4409</v>
      </c>
      <c r="G2488" s="103" t="s">
        <v>406</v>
      </c>
      <c r="H2488" s="94" t="str">
        <f>IF(Proc[[#This Row],[type]]="LFF (MDG-F)",MID(Proc[[#This Row],[Obj]],13,10),"")</f>
        <v>DE10677800</v>
      </c>
      <c r="I2488" t="s">
        <v>4413</v>
      </c>
      <c r="J2488" s="94" t="b">
        <f>Proc[[#This Row],[Requested]]=Proc[[#This Row],[CurrentParent]]</f>
        <v>1</v>
      </c>
      <c r="K2488" s="144" t="str">
        <f>IF(Proc[[#This Row],[Author]]="Marcela Urrego",VLOOKUP(LEFT(Proc[[#This Row],[Requested]],1),Table3[#All],2,0),VLOOKUP(Proc[[#This Row],[Author]],Table4[],2,0))</f>
        <v>MGF</v>
      </c>
      <c r="L2488" s="125" t="s">
        <v>4894</v>
      </c>
      <c r="M2488" s="109">
        <v>45839.516793981478</v>
      </c>
      <c r="N2488" s="109">
        <v>45841</v>
      </c>
      <c r="O2488" s="109"/>
      <c r="P2488" s="110" t="str">
        <f ca="1">IF(Proc[[#This Row],[DaysAgeing]]&gt;5,"yep","on track")</f>
        <v>yep</v>
      </c>
      <c r="Q2488" s="3">
        <f ca="1">IF(Proc[[#This Row],[DateClosed]]="",ABS(NETWORKDAYS(Proc[[#This Row],[DateOpened]],TODAY()))-1,ABS(NETWORKDAYS(Proc[[#This Row],[DateOpened]],Proc[[#This Row],[DateClosed]]))-1)</f>
        <v>123</v>
      </c>
      <c r="R2488" s="110" t="s">
        <v>1459</v>
      </c>
      <c r="S2488" s="94"/>
    </row>
    <row r="2489" spans="1:19" hidden="1">
      <c r="A2489" s="103" t="s">
        <v>4412</v>
      </c>
      <c r="B2489" s="149" t="str">
        <f>IFERROR(VLOOKUP(Proc[[#This Row],[App]],Table2[],3,0),"open")</f>
        <v>ok</v>
      </c>
      <c r="C2489" s="117" t="s">
        <v>377</v>
      </c>
      <c r="D2489" t="s">
        <v>2319</v>
      </c>
      <c r="E2489" t="s">
        <v>430</v>
      </c>
      <c r="F2489" s="94" t="s">
        <v>5569</v>
      </c>
      <c r="G2489" s="103" t="s">
        <v>406</v>
      </c>
      <c r="H2489" s="94" t="str">
        <f>IF(Proc[[#This Row],[type]]="LFF (MDG-F)",MID(Proc[[#This Row],[Obj]],13,10),"")</f>
        <v>DE65GIT032</v>
      </c>
      <c r="I2489" s="103" t="s">
        <v>4832</v>
      </c>
      <c r="J2489" s="94" t="b">
        <f>Proc[[#This Row],[Requested]]=Proc[[#This Row],[CurrentParent]]</f>
        <v>0</v>
      </c>
      <c r="K2489" s="144" t="str">
        <f>IF(Proc[[#This Row],[Author]]="Marcela Urrego",VLOOKUP(LEFT(Proc[[#This Row],[Requested]],1),Table3[#All],2,0),VLOOKUP(Proc[[#This Row],[Author]],Table4[],2,0))</f>
        <v>MGF</v>
      </c>
      <c r="L2489" s="125" t="s">
        <v>4894</v>
      </c>
      <c r="M2489" s="109">
        <v>45839.516793981478</v>
      </c>
      <c r="N2489" s="115"/>
      <c r="O2489" s="115"/>
      <c r="P2489" s="110" t="str">
        <f ca="1">IF(Proc[[#This Row],[DaysAgeing]]&gt;5,"yep","on track")</f>
        <v>yep</v>
      </c>
      <c r="Q2489" s="3">
        <f ca="1">IF(Proc[[#This Row],[DateClosed]]="",ABS(NETWORKDAYS(Proc[[#This Row],[DateOpened]],TODAY()))-1,ABS(NETWORKDAYS(Proc[[#This Row],[DateOpened]],Proc[[#This Row],[DateClosed]]))-1)</f>
        <v>123</v>
      </c>
      <c r="R2489" s="110" t="s">
        <v>1459</v>
      </c>
      <c r="S2489" s="94"/>
    </row>
    <row r="2490" spans="1:19" hidden="1">
      <c r="A2490" s="103" t="s">
        <v>4412</v>
      </c>
      <c r="B2490" s="149" t="str">
        <f>IFERROR(VLOOKUP(Proc[[#This Row],[App]],Table2[],3,0),"open")</f>
        <v>ok</v>
      </c>
      <c r="C2490" s="124" t="s">
        <v>369</v>
      </c>
      <c r="D2490" t="s">
        <v>4401</v>
      </c>
      <c r="E2490" t="s">
        <v>4410</v>
      </c>
      <c r="F2490" s="124" t="s">
        <v>4410</v>
      </c>
      <c r="G2490" s="103" t="s">
        <v>406</v>
      </c>
      <c r="H2490" s="94" t="str">
        <f>IF(Proc[[#This Row],[type]]="LFF (MDG-F)",MID(Proc[[#This Row],[Obj]],13,10),"")</f>
        <v>ES50GIT40L</v>
      </c>
      <c r="I2490" s="103" t="s">
        <v>4413</v>
      </c>
      <c r="J2490" s="94" t="b">
        <f>Proc[[#This Row],[Requested]]=Proc[[#This Row],[CurrentParent]]</f>
        <v>1</v>
      </c>
      <c r="K2490" s="144" t="str">
        <f>IF(Proc[[#This Row],[Author]]="Marcela Urrego",VLOOKUP(LEFT(Proc[[#This Row],[Requested]],1),Table3[#All],2,0),VLOOKUP(Proc[[#This Row],[Author]],Table4[],2,0))</f>
        <v>MGF</v>
      </c>
      <c r="L2490" s="125" t="s">
        <v>4894</v>
      </c>
      <c r="M2490" s="109">
        <v>45839.516793981478</v>
      </c>
      <c r="N2490" s="109">
        <v>45841</v>
      </c>
      <c r="O2490" s="109"/>
      <c r="P2490" s="110" t="str">
        <f ca="1">IF(Proc[[#This Row],[DaysAgeing]]&gt;5,"yep","on track")</f>
        <v>yep</v>
      </c>
      <c r="Q2490" s="3">
        <f ca="1">IF(Proc[[#This Row],[DateClosed]]="",ABS(NETWORKDAYS(Proc[[#This Row],[DateOpened]],TODAY()))-1,ABS(NETWORKDAYS(Proc[[#This Row],[DateOpened]],Proc[[#This Row],[DateClosed]]))-1)</f>
        <v>123</v>
      </c>
      <c r="R2490" s="110" t="s">
        <v>1459</v>
      </c>
      <c r="S2490" s="94"/>
    </row>
    <row r="2491" spans="1:19" hidden="1">
      <c r="A2491" s="103" t="s">
        <v>4412</v>
      </c>
      <c r="B2491" s="149" t="str">
        <f>IFERROR(VLOOKUP(Proc[[#This Row],[App]],Table2[],3,0),"open")</f>
        <v>ok</v>
      </c>
      <c r="C2491" s="124" t="s">
        <v>369</v>
      </c>
      <c r="D2491" t="s">
        <v>4402</v>
      </c>
      <c r="E2491" t="s">
        <v>2616</v>
      </c>
      <c r="F2491" s="124" t="s">
        <v>2616</v>
      </c>
      <c r="G2491" t="s">
        <v>406</v>
      </c>
      <c r="H2491" s="94" t="str">
        <f>IF(Proc[[#This Row],[type]]="LFF (MDG-F)",MID(Proc[[#This Row],[Obj]],13,10),"")</f>
        <v>IT50GIT025</v>
      </c>
      <c r="I2491" s="103" t="s">
        <v>4413</v>
      </c>
      <c r="J2491" s="94" t="b">
        <f>Proc[[#This Row],[Requested]]=Proc[[#This Row],[CurrentParent]]</f>
        <v>1</v>
      </c>
      <c r="K2491" s="144" t="str">
        <f>IF(Proc[[#This Row],[Author]]="Marcela Urrego",VLOOKUP(LEFT(Proc[[#This Row],[Requested]],1),Table3[#All],2,0),VLOOKUP(Proc[[#This Row],[Author]],Table4[],2,0))</f>
        <v>MGF</v>
      </c>
      <c r="L2491" s="125" t="s">
        <v>4894</v>
      </c>
      <c r="M2491" s="109">
        <v>45839.516793981478</v>
      </c>
      <c r="N2491" s="109">
        <v>45841</v>
      </c>
      <c r="O2491" s="109"/>
      <c r="P2491" s="110" t="str">
        <f ca="1">IF(Proc[[#This Row],[DaysAgeing]]&gt;5,"yep","on track")</f>
        <v>yep</v>
      </c>
      <c r="Q2491" s="3">
        <f ca="1">IF(Proc[[#This Row],[DateClosed]]="",ABS(NETWORKDAYS(Proc[[#This Row],[DateOpened]],TODAY()))-1,ABS(NETWORKDAYS(Proc[[#This Row],[DateOpened]],Proc[[#This Row],[DateClosed]]))-1)</f>
        <v>123</v>
      </c>
      <c r="R2491" s="110" t="s">
        <v>1459</v>
      </c>
      <c r="S2491" s="94"/>
    </row>
    <row r="2492" spans="1:19" hidden="1">
      <c r="A2492" s="103" t="s">
        <v>4412</v>
      </c>
      <c r="B2492" s="149" t="str">
        <f>IFERROR(VLOOKUP(Proc[[#This Row],[App]],Table2[],3,0),"open")</f>
        <v>ok</v>
      </c>
      <c r="C2492" s="124" t="s">
        <v>369</v>
      </c>
      <c r="D2492" t="s">
        <v>4403</v>
      </c>
      <c r="E2492" t="s">
        <v>427</v>
      </c>
      <c r="F2492" s="124" t="s">
        <v>427</v>
      </c>
      <c r="G2492" t="s">
        <v>400</v>
      </c>
      <c r="H2492" s="94" t="str">
        <f>IF(Proc[[#This Row],[type]]="LFF (MDG-F)",MID(Proc[[#This Row],[Obj]],13,10),"")</f>
        <v/>
      </c>
      <c r="J2492" s="94" t="b">
        <f>Proc[[#This Row],[Requested]]=Proc[[#This Row],[CurrentParent]]</f>
        <v>1</v>
      </c>
      <c r="K2492" s="144" t="str">
        <f>IF(Proc[[#This Row],[Author]]="Marcela Urrego",VLOOKUP(LEFT(Proc[[#This Row],[Requested]],1),Table3[#All],2,0),VLOOKUP(Proc[[#This Row],[Author]],Table4[],2,0))</f>
        <v>MGF</v>
      </c>
      <c r="L2492" s="125" t="s">
        <v>4894</v>
      </c>
      <c r="M2492" s="109">
        <v>45839.516793981478</v>
      </c>
      <c r="N2492" s="109">
        <v>45841</v>
      </c>
      <c r="O2492" s="109"/>
      <c r="P2492" s="110" t="str">
        <f ca="1">IF(Proc[[#This Row],[DaysAgeing]]&gt;5,"yep","on track")</f>
        <v>yep</v>
      </c>
      <c r="Q2492" s="3">
        <f ca="1">IF(Proc[[#This Row],[DateClosed]]="",ABS(NETWORKDAYS(Proc[[#This Row],[DateOpened]],TODAY()))-1,ABS(NETWORKDAYS(Proc[[#This Row],[DateOpened]],Proc[[#This Row],[DateClosed]]))-1)</f>
        <v>123</v>
      </c>
      <c r="R2492" s="110" t="s">
        <v>1459</v>
      </c>
      <c r="S2492" s="94"/>
    </row>
    <row r="2493" spans="1:19" hidden="1">
      <c r="A2493" s="103" t="s">
        <v>4412</v>
      </c>
      <c r="B2493" s="149" t="str">
        <f>IFERROR(VLOOKUP(Proc[[#This Row],[App]],Table2[],3,0),"open")</f>
        <v>ok</v>
      </c>
      <c r="C2493" s="124" t="s">
        <v>369</v>
      </c>
      <c r="D2493" t="s">
        <v>4404</v>
      </c>
      <c r="E2493" t="s">
        <v>4411</v>
      </c>
      <c r="F2493" s="124" t="s">
        <v>4411</v>
      </c>
      <c r="G2493" s="103" t="s">
        <v>400</v>
      </c>
      <c r="H2493" s="94" t="str">
        <f>IF(Proc[[#This Row],[type]]="LFF (MDG-F)",MID(Proc[[#This Row],[Obj]],13,10),"")</f>
        <v/>
      </c>
      <c r="J2493" s="94" t="b">
        <f>Proc[[#This Row],[Requested]]=Proc[[#This Row],[CurrentParent]]</f>
        <v>1</v>
      </c>
      <c r="K2493" s="144" t="str">
        <f>IF(Proc[[#This Row],[Author]]="Marcela Urrego",VLOOKUP(LEFT(Proc[[#This Row],[Requested]],1),Table3[#All],2,0),VLOOKUP(Proc[[#This Row],[Author]],Table4[],2,0))</f>
        <v>MGF</v>
      </c>
      <c r="L2493" s="125" t="s">
        <v>4894</v>
      </c>
      <c r="M2493" s="109">
        <v>45839.516793981478</v>
      </c>
      <c r="N2493" s="109">
        <v>45841</v>
      </c>
      <c r="O2493" s="109"/>
      <c r="P2493" s="110" t="str">
        <f ca="1">IF(Proc[[#This Row],[DaysAgeing]]&gt;5,"yep","on track")</f>
        <v>yep</v>
      </c>
      <c r="Q2493" s="3">
        <f ca="1">IF(Proc[[#This Row],[DateClosed]]="",ABS(NETWORKDAYS(Proc[[#This Row],[DateOpened]],TODAY()))-1,ABS(NETWORKDAYS(Proc[[#This Row],[DateOpened]],Proc[[#This Row],[DateClosed]]))-1)</f>
        <v>123</v>
      </c>
      <c r="R2493" s="110" t="s">
        <v>1459</v>
      </c>
      <c r="S2493" s="94"/>
    </row>
    <row r="2494" spans="1:19" hidden="1">
      <c r="A2494" s="103" t="s">
        <v>4412</v>
      </c>
      <c r="B2494" s="149" t="str">
        <f>IFERROR(VLOOKUP(Proc[[#This Row],[App]],Table2[],3,0),"open")</f>
        <v>ok</v>
      </c>
      <c r="C2494" s="124" t="s">
        <v>369</v>
      </c>
      <c r="D2494" t="s">
        <v>4405</v>
      </c>
      <c r="E2494" t="s">
        <v>427</v>
      </c>
      <c r="F2494" s="124" t="s">
        <v>427</v>
      </c>
      <c r="G2494" s="103" t="s">
        <v>400</v>
      </c>
      <c r="H2494" s="94" t="str">
        <f>IF(Proc[[#This Row],[type]]="LFF (MDG-F)",MID(Proc[[#This Row],[Obj]],13,10),"")</f>
        <v/>
      </c>
      <c r="J2494" s="94" t="b">
        <f>Proc[[#This Row],[Requested]]=Proc[[#This Row],[CurrentParent]]</f>
        <v>1</v>
      </c>
      <c r="K2494" s="144" t="str">
        <f>IF(Proc[[#This Row],[Author]]="Marcela Urrego",VLOOKUP(LEFT(Proc[[#This Row],[Requested]],1),Table3[#All],2,0),VLOOKUP(Proc[[#This Row],[Author]],Table4[],2,0))</f>
        <v>MGF</v>
      </c>
      <c r="L2494" s="125" t="s">
        <v>4894</v>
      </c>
      <c r="M2494" s="109">
        <v>45839.516793981478</v>
      </c>
      <c r="N2494" s="109">
        <v>45841</v>
      </c>
      <c r="O2494" s="109"/>
      <c r="P2494" s="110" t="str">
        <f ca="1">IF(Proc[[#This Row],[DaysAgeing]]&gt;5,"yep","on track")</f>
        <v>yep</v>
      </c>
      <c r="Q2494" s="3">
        <f ca="1">IF(Proc[[#This Row],[DateClosed]]="",ABS(NETWORKDAYS(Proc[[#This Row],[DateOpened]],TODAY()))-1,ABS(NETWORKDAYS(Proc[[#This Row],[DateOpened]],Proc[[#This Row],[DateClosed]]))-1)</f>
        <v>123</v>
      </c>
      <c r="R2494" s="110" t="s">
        <v>1459</v>
      </c>
      <c r="S2494" s="94"/>
    </row>
    <row r="2495" spans="1:19" hidden="1">
      <c r="A2495" s="103" t="s">
        <v>4412</v>
      </c>
      <c r="B2495" s="149" t="str">
        <f>IFERROR(VLOOKUP(Proc[[#This Row],[App]],Table2[],3,0),"open")</f>
        <v>ok</v>
      </c>
      <c r="C2495" s="124" t="s">
        <v>369</v>
      </c>
      <c r="D2495" t="s">
        <v>4406</v>
      </c>
      <c r="E2495" t="s">
        <v>4411</v>
      </c>
      <c r="F2495" s="124" t="s">
        <v>4411</v>
      </c>
      <c r="G2495" s="103" t="s">
        <v>400</v>
      </c>
      <c r="H2495" s="94" t="str">
        <f>IF(Proc[[#This Row],[type]]="LFF (MDG-F)",MID(Proc[[#This Row],[Obj]],13,10),"")</f>
        <v/>
      </c>
      <c r="J2495" s="94" t="b">
        <f>Proc[[#This Row],[Requested]]=Proc[[#This Row],[CurrentParent]]</f>
        <v>1</v>
      </c>
      <c r="K2495" s="144" t="str">
        <f>IF(Proc[[#This Row],[Author]]="Marcela Urrego",VLOOKUP(LEFT(Proc[[#This Row],[Requested]],1),Table3[#All],2,0),VLOOKUP(Proc[[#This Row],[Author]],Table4[],2,0))</f>
        <v>MGF</v>
      </c>
      <c r="L2495" s="125" t="s">
        <v>4894</v>
      </c>
      <c r="M2495" s="109">
        <v>45839.516793981478</v>
      </c>
      <c r="N2495" s="109">
        <v>45841</v>
      </c>
      <c r="O2495" s="109"/>
      <c r="P2495" s="110" t="str">
        <f ca="1">IF(Proc[[#This Row],[DaysAgeing]]&gt;5,"yep","on track")</f>
        <v>yep</v>
      </c>
      <c r="Q2495" s="3">
        <f ca="1">IF(Proc[[#This Row],[DateClosed]]="",ABS(NETWORKDAYS(Proc[[#This Row],[DateOpened]],TODAY()))-1,ABS(NETWORKDAYS(Proc[[#This Row],[DateOpened]],Proc[[#This Row],[DateClosed]]))-1)</f>
        <v>123</v>
      </c>
      <c r="R2495" s="110" t="s">
        <v>1459</v>
      </c>
      <c r="S2495" s="94"/>
    </row>
    <row r="2496" spans="1:19" hidden="1">
      <c r="A2496" s="103" t="s">
        <v>4412</v>
      </c>
      <c r="B2496" s="149" t="str">
        <f>IFERROR(VLOOKUP(Proc[[#This Row],[App]],Table2[],3,0),"open")</f>
        <v>ok</v>
      </c>
      <c r="C2496" s="124" t="s">
        <v>369</v>
      </c>
      <c r="D2496" t="s">
        <v>4407</v>
      </c>
      <c r="E2496" t="s">
        <v>4411</v>
      </c>
      <c r="F2496" s="124" t="s">
        <v>4411</v>
      </c>
      <c r="G2496" s="103" t="s">
        <v>400</v>
      </c>
      <c r="H2496" s="94" t="str">
        <f>IF(Proc[[#This Row],[type]]="LFF (MDG-F)",MID(Proc[[#This Row],[Obj]],13,10),"")</f>
        <v/>
      </c>
      <c r="J2496" s="94" t="b">
        <f>Proc[[#This Row],[Requested]]=Proc[[#This Row],[CurrentParent]]</f>
        <v>1</v>
      </c>
      <c r="K2496" s="144" t="str">
        <f>IF(Proc[[#This Row],[Author]]="Marcela Urrego",VLOOKUP(LEFT(Proc[[#This Row],[Requested]],1),Table3[#All],2,0),VLOOKUP(Proc[[#This Row],[Author]],Table4[],2,0))</f>
        <v>MGF</v>
      </c>
      <c r="L2496" s="125" t="s">
        <v>4894</v>
      </c>
      <c r="M2496" s="109">
        <v>45839.516793981478</v>
      </c>
      <c r="N2496" s="109">
        <v>45841</v>
      </c>
      <c r="O2496" s="109"/>
      <c r="P2496" s="110" t="str">
        <f ca="1">IF(Proc[[#This Row],[DaysAgeing]]&gt;5,"yep","on track")</f>
        <v>yep</v>
      </c>
      <c r="Q2496" s="3">
        <f ca="1">IF(Proc[[#This Row],[DateClosed]]="",ABS(NETWORKDAYS(Proc[[#This Row],[DateOpened]],TODAY()))-1,ABS(NETWORKDAYS(Proc[[#This Row],[DateOpened]],Proc[[#This Row],[DateClosed]]))-1)</f>
        <v>123</v>
      </c>
      <c r="R2496" s="110" t="s">
        <v>1459</v>
      </c>
      <c r="S2496" s="94"/>
    </row>
    <row r="2497" spans="1:19" hidden="1">
      <c r="A2497" s="103" t="s">
        <v>4412</v>
      </c>
      <c r="B2497" s="149" t="str">
        <f>IFERROR(VLOOKUP(Proc[[#This Row],[App]],Table2[],3,0),"open")</f>
        <v>ok</v>
      </c>
      <c r="C2497" s="124" t="s">
        <v>369</v>
      </c>
      <c r="D2497" t="s">
        <v>4408</v>
      </c>
      <c r="E2497" t="s">
        <v>425</v>
      </c>
      <c r="F2497" s="124" t="s">
        <v>425</v>
      </c>
      <c r="G2497" s="103" t="s">
        <v>400</v>
      </c>
      <c r="H2497" s="94" t="str">
        <f>IF(Proc[[#This Row],[type]]="LFF (MDG-F)",MID(Proc[[#This Row],[Obj]],13,10),"")</f>
        <v/>
      </c>
      <c r="J2497" s="94" t="b">
        <f>Proc[[#This Row],[Requested]]=Proc[[#This Row],[CurrentParent]]</f>
        <v>1</v>
      </c>
      <c r="K2497" s="144" t="str">
        <f>IF(Proc[[#This Row],[Author]]="Marcela Urrego",VLOOKUP(LEFT(Proc[[#This Row],[Requested]],1),Table3[#All],2,0),VLOOKUP(Proc[[#This Row],[Author]],Table4[],2,0))</f>
        <v>MGF</v>
      </c>
      <c r="L2497" s="125" t="s">
        <v>4894</v>
      </c>
      <c r="M2497" s="109">
        <v>45839.516793981478</v>
      </c>
      <c r="N2497" s="109">
        <v>45841</v>
      </c>
      <c r="O2497" s="109"/>
      <c r="P2497" s="110" t="str">
        <f ca="1">IF(Proc[[#This Row],[DaysAgeing]]&gt;5,"yep","on track")</f>
        <v>yep</v>
      </c>
      <c r="Q2497" s="3">
        <f ca="1">IF(Proc[[#This Row],[DateClosed]]="",ABS(NETWORKDAYS(Proc[[#This Row],[DateOpened]],TODAY()))-1,ABS(NETWORKDAYS(Proc[[#This Row],[DateOpened]],Proc[[#This Row],[DateClosed]]))-1)</f>
        <v>123</v>
      </c>
      <c r="R2497" s="110" t="s">
        <v>1459</v>
      </c>
      <c r="S2497" s="94"/>
    </row>
    <row r="2498" spans="1:19" hidden="1">
      <c r="A2498" s="103" t="s">
        <v>4412</v>
      </c>
      <c r="B2498" s="149" t="str">
        <f>IFERROR(VLOOKUP(Proc[[#This Row],[App]],Table2[],3,0),"open")</f>
        <v>ok</v>
      </c>
      <c r="C2498" s="124" t="s">
        <v>369</v>
      </c>
      <c r="D2498" t="s">
        <v>2609</v>
      </c>
      <c r="E2498" t="s">
        <v>2616</v>
      </c>
      <c r="F2498" s="124" t="s">
        <v>2616</v>
      </c>
      <c r="G2498" s="103" t="s">
        <v>400</v>
      </c>
      <c r="H2498" s="94" t="str">
        <f>IF(Proc[[#This Row],[type]]="LFF (MDG-F)",MID(Proc[[#This Row],[Obj]],13,10),"")</f>
        <v/>
      </c>
      <c r="J2498" s="94" t="b">
        <f>Proc[[#This Row],[Requested]]=Proc[[#This Row],[CurrentParent]]</f>
        <v>1</v>
      </c>
      <c r="K2498" s="144" t="str">
        <f>IF(Proc[[#This Row],[Author]]="Marcela Urrego",VLOOKUP(LEFT(Proc[[#This Row],[Requested]],1),Table3[#All],2,0),VLOOKUP(Proc[[#This Row],[Author]],Table4[],2,0))</f>
        <v>MGF</v>
      </c>
      <c r="L2498" s="125" t="s">
        <v>4894</v>
      </c>
      <c r="M2498" s="109">
        <v>45839.516793981478</v>
      </c>
      <c r="N2498" s="109">
        <v>45841</v>
      </c>
      <c r="O2498" s="109"/>
      <c r="P2498" s="110" t="str">
        <f ca="1">IF(Proc[[#This Row],[DaysAgeing]]&gt;5,"yep","on track")</f>
        <v>yep</v>
      </c>
      <c r="Q2498" s="3">
        <f ca="1">IF(Proc[[#This Row],[DateClosed]]="",ABS(NETWORKDAYS(Proc[[#This Row],[DateOpened]],TODAY()))-1,ABS(NETWORKDAYS(Proc[[#This Row],[DateOpened]],Proc[[#This Row],[DateClosed]]))-1)</f>
        <v>123</v>
      </c>
      <c r="R2498" s="110" t="s">
        <v>1459</v>
      </c>
      <c r="S2498" s="94"/>
    </row>
    <row r="2499" spans="1:19" hidden="1">
      <c r="A2499" t="s">
        <v>4415</v>
      </c>
      <c r="B2499" s="149" t="str">
        <f>IFERROR(VLOOKUP(Proc[[#This Row],[App]],Table2[],3,0),"open")</f>
        <v>ok</v>
      </c>
      <c r="C2499" s="103" t="s">
        <v>369</v>
      </c>
      <c r="D2499" t="s">
        <v>4414</v>
      </c>
      <c r="E2499" t="s">
        <v>2522</v>
      </c>
      <c r="F2499" s="120" t="s">
        <v>2522</v>
      </c>
      <c r="G2499" s="103" t="s">
        <v>400</v>
      </c>
      <c r="H2499" s="94" t="str">
        <f>IF(Proc[[#This Row],[type]]="LFF (MDG-F)",MID(Proc[[#This Row],[Obj]],13,10),"")</f>
        <v/>
      </c>
      <c r="J2499" s="94" t="b">
        <f>Proc[[#This Row],[Requested]]=Proc[[#This Row],[CurrentParent]]</f>
        <v>1</v>
      </c>
      <c r="K2499" s="144" t="str">
        <f>IF(Proc[[#This Row],[Author]]="Marcela Urrego",VLOOKUP(LEFT(Proc[[#This Row],[Requested]],1),Table3[#All],2,0),VLOOKUP(Proc[[#This Row],[Author]],Table4[],2,0))</f>
        <v>HC</v>
      </c>
      <c r="L2499" s="125" t="s">
        <v>4894</v>
      </c>
      <c r="M2499" s="109">
        <v>45840.384687500002</v>
      </c>
      <c r="N2499" s="109">
        <v>45841</v>
      </c>
      <c r="O2499" s="109">
        <v>45841</v>
      </c>
      <c r="P2499" s="110" t="str">
        <f ca="1">IF(Proc[[#This Row],[DaysAgeing]]&gt;5,"yep","on track")</f>
        <v>on track</v>
      </c>
      <c r="Q2499" s="3">
        <f ca="1">IF(Proc[[#This Row],[DateClosed]]="",ABS(NETWORKDAYS(Proc[[#This Row],[DateOpened]],TODAY()))-1,ABS(NETWORKDAYS(Proc[[#This Row],[DateOpened]],Proc[[#This Row],[DateClosed]]))-1)</f>
        <v>1</v>
      </c>
      <c r="R2499" s="110" t="s">
        <v>4416</v>
      </c>
      <c r="S2499" s="94"/>
    </row>
    <row r="2500" spans="1:19" hidden="1">
      <c r="A2500" t="s">
        <v>4418</v>
      </c>
      <c r="B2500" s="149" t="str">
        <f>IFERROR(VLOOKUP(Proc[[#This Row],[App]],Table2[],3,0),"open")</f>
        <v>ok</v>
      </c>
      <c r="C2500" s="103" t="s">
        <v>369</v>
      </c>
      <c r="D2500" t="s">
        <v>4417</v>
      </c>
      <c r="E2500" t="s">
        <v>4803</v>
      </c>
      <c r="F2500" s="94" t="s">
        <v>4803</v>
      </c>
      <c r="G2500" t="s">
        <v>400</v>
      </c>
      <c r="H2500" s="94" t="str">
        <f>IF(Proc[[#This Row],[type]]="LFF (MDG-F)",MID(Proc[[#This Row],[Obj]],13,10),"")</f>
        <v/>
      </c>
      <c r="J2500" s="94" t="b">
        <f>Proc[[#This Row],[Requested]]=Proc[[#This Row],[CurrentParent]]</f>
        <v>1</v>
      </c>
      <c r="K2500" s="144" t="str">
        <f>IF(Proc[[#This Row],[Author]]="Marcela Urrego",VLOOKUP(LEFT(Proc[[#This Row],[Requested]],1),Table3[#All],2,0),VLOOKUP(Proc[[#This Row],[Author]],Table4[],2,0))</f>
        <v>LS</v>
      </c>
      <c r="L2500" s="125" t="s">
        <v>4894</v>
      </c>
      <c r="M2500" s="109">
        <v>45841.242280092592</v>
      </c>
      <c r="N2500" s="109"/>
      <c r="O2500" s="109"/>
      <c r="P2500" s="110" t="str">
        <f ca="1">IF(Proc[[#This Row],[DaysAgeing]]&gt;5,"yep","on track")</f>
        <v>yep</v>
      </c>
      <c r="Q2500" s="3">
        <f ca="1">IF(Proc[[#This Row],[DateClosed]]="",ABS(NETWORKDAYS(Proc[[#This Row],[DateOpened]],TODAY()))-1,ABS(NETWORKDAYS(Proc[[#This Row],[DateOpened]],Proc[[#This Row],[DateClosed]]))-1)</f>
        <v>121</v>
      </c>
      <c r="R2500" s="110" t="s">
        <v>489</v>
      </c>
      <c r="S2500" s="94"/>
    </row>
    <row r="2501" spans="1:19" hidden="1">
      <c r="A2501" t="s">
        <v>4420</v>
      </c>
      <c r="B2501" s="149" t="str">
        <f>IFERROR(VLOOKUP(Proc[[#This Row],[App]],Table2[],3,0),"open")</f>
        <v>ok</v>
      </c>
      <c r="C2501" s="103" t="s">
        <v>369</v>
      </c>
      <c r="D2501" t="s">
        <v>4419</v>
      </c>
      <c r="E2501" t="s">
        <v>4421</v>
      </c>
      <c r="F2501" s="94" t="s">
        <v>4421</v>
      </c>
      <c r="G2501" s="103" t="s">
        <v>400</v>
      </c>
      <c r="H2501" s="94" t="str">
        <f>IF(Proc[[#This Row],[type]]="LFF (MDG-F)",MID(Proc[[#This Row],[Obj]],13,10),"")</f>
        <v/>
      </c>
      <c r="J2501" s="94" t="b">
        <f>Proc[[#This Row],[Requested]]=Proc[[#This Row],[CurrentParent]]</f>
        <v>1</v>
      </c>
      <c r="K2501" s="144" t="str">
        <f>IF(Proc[[#This Row],[Author]]="Marcela Urrego",VLOOKUP(LEFT(Proc[[#This Row],[Requested]],1),Table3[#All],2,0),VLOOKUP(Proc[[#This Row],[Author]],Table4[],2,0))</f>
        <v>LS</v>
      </c>
      <c r="L2501" s="125" t="s">
        <v>4894</v>
      </c>
      <c r="M2501" s="109">
        <v>45841.224687499998</v>
      </c>
      <c r="N2501" s="109"/>
      <c r="O2501" s="109"/>
      <c r="P2501" s="110" t="str">
        <f ca="1">IF(Proc[[#This Row],[DaysAgeing]]&gt;5,"yep","on track")</f>
        <v>yep</v>
      </c>
      <c r="Q2501" s="3">
        <f ca="1">IF(Proc[[#This Row],[DateClosed]]="",ABS(NETWORKDAYS(Proc[[#This Row],[DateOpened]],TODAY()))-1,ABS(NETWORKDAYS(Proc[[#This Row],[DateOpened]],Proc[[#This Row],[DateClosed]]))-1)</f>
        <v>121</v>
      </c>
      <c r="R2501" s="110" t="s">
        <v>489</v>
      </c>
      <c r="S2501" s="94"/>
    </row>
    <row r="2502" spans="1:19" hidden="1">
      <c r="A2502" t="s">
        <v>4422</v>
      </c>
      <c r="B2502" s="149" t="str">
        <f>IFERROR(VLOOKUP(Proc[[#This Row],[App]],Table2[],3,0),"open")</f>
        <v>ok</v>
      </c>
      <c r="C2502" s="117" t="s">
        <v>369</v>
      </c>
      <c r="D2502" t="s">
        <v>4423</v>
      </c>
      <c r="E2502" t="s">
        <v>4734</v>
      </c>
      <c r="F2502" s="94" t="s">
        <v>4734</v>
      </c>
      <c r="G2502" s="103" t="s">
        <v>406</v>
      </c>
      <c r="H2502" s="94" t="str">
        <f>IF(Proc[[#This Row],[type]]="LFF (MDG-F)",MID(Proc[[#This Row],[Obj]],13,10),"")</f>
        <v>DE20122000</v>
      </c>
      <c r="I2502" t="s">
        <v>4784</v>
      </c>
      <c r="J2502" s="94" t="b">
        <f>Proc[[#This Row],[Requested]]=Proc[[#This Row],[CurrentParent]]</f>
        <v>1</v>
      </c>
      <c r="K2502" s="144" t="str">
        <f>IF(Proc[[#This Row],[Author]]="Marcela Urrego",VLOOKUP(LEFT(Proc[[#This Row],[Requested]],1),Table3[#All],2,0),VLOOKUP(Proc[[#This Row],[Author]],Table4[],2,0))</f>
        <v>MGF</v>
      </c>
      <c r="L2502" s="125" t="s">
        <v>4894</v>
      </c>
      <c r="M2502" s="109">
        <v>45841.453541666669</v>
      </c>
      <c r="N2502" s="109"/>
      <c r="O2502" s="109"/>
      <c r="P2502" s="110" t="str">
        <f ca="1">IF(Proc[[#This Row],[DaysAgeing]]&gt;5,"yep","on track")</f>
        <v>yep</v>
      </c>
      <c r="Q2502" s="3">
        <f ca="1">IF(Proc[[#This Row],[DateClosed]]="",ABS(NETWORKDAYS(Proc[[#This Row],[DateOpened]],TODAY()))-1,ABS(NETWORKDAYS(Proc[[#This Row],[DateOpened]],Proc[[#This Row],[DateClosed]]))-1)</f>
        <v>121</v>
      </c>
      <c r="R2502" s="110" t="s">
        <v>485</v>
      </c>
      <c r="S2502" s="94"/>
    </row>
    <row r="2503" spans="1:19" hidden="1">
      <c r="A2503" s="103" t="s">
        <v>4422</v>
      </c>
      <c r="B2503" s="149" t="str">
        <f>IFERROR(VLOOKUP(Proc[[#This Row],[App]],Table2[],3,0),"open")</f>
        <v>ok</v>
      </c>
      <c r="C2503" s="117" t="s">
        <v>369</v>
      </c>
      <c r="D2503" t="s">
        <v>4424</v>
      </c>
      <c r="E2503" t="s">
        <v>4734</v>
      </c>
      <c r="F2503" s="94" t="s">
        <v>4734</v>
      </c>
      <c r="G2503" s="103" t="s">
        <v>406</v>
      </c>
      <c r="H2503" s="94" t="str">
        <f>IF(Proc[[#This Row],[type]]="LFF (MDG-F)",MID(Proc[[#This Row],[Obj]],13,10),"")</f>
        <v>DE20123000</v>
      </c>
      <c r="I2503" s="103" t="s">
        <v>4784</v>
      </c>
      <c r="J2503" s="94" t="b">
        <f>Proc[[#This Row],[Requested]]=Proc[[#This Row],[CurrentParent]]</f>
        <v>1</v>
      </c>
      <c r="K2503" s="144" t="str">
        <f>IF(Proc[[#This Row],[Author]]="Marcela Urrego",VLOOKUP(LEFT(Proc[[#This Row],[Requested]],1),Table3[#All],2,0),VLOOKUP(Proc[[#This Row],[Author]],Table4[],2,0))</f>
        <v>MGF</v>
      </c>
      <c r="L2503" s="125" t="s">
        <v>4894</v>
      </c>
      <c r="M2503" s="109">
        <v>45841.453541666669</v>
      </c>
      <c r="N2503" s="109"/>
      <c r="O2503" s="109"/>
      <c r="P2503" s="110" t="str">
        <f ca="1">IF(Proc[[#This Row],[DaysAgeing]]&gt;5,"yep","on track")</f>
        <v>yep</v>
      </c>
      <c r="Q2503" s="3">
        <f ca="1">IF(Proc[[#This Row],[DateClosed]]="",ABS(NETWORKDAYS(Proc[[#This Row],[DateOpened]],TODAY()))-1,ABS(NETWORKDAYS(Proc[[#This Row],[DateOpened]],Proc[[#This Row],[DateClosed]]))-1)</f>
        <v>121</v>
      </c>
      <c r="R2503" s="110" t="s">
        <v>485</v>
      </c>
      <c r="S2503" s="94"/>
    </row>
    <row r="2504" spans="1:19" hidden="1">
      <c r="A2504" s="103" t="s">
        <v>4422</v>
      </c>
      <c r="B2504" s="149" t="str">
        <f>IFERROR(VLOOKUP(Proc[[#This Row],[App]],Table2[],3,0),"open")</f>
        <v>ok</v>
      </c>
      <c r="C2504" s="117" t="s">
        <v>369</v>
      </c>
      <c r="D2504" t="s">
        <v>4425</v>
      </c>
      <c r="E2504" t="s">
        <v>4735</v>
      </c>
      <c r="F2504" s="94" t="s">
        <v>4735</v>
      </c>
      <c r="G2504" s="103" t="s">
        <v>406</v>
      </c>
      <c r="H2504" s="94" t="str">
        <f>IF(Proc[[#This Row],[type]]="LFF (MDG-F)",MID(Proc[[#This Row],[Obj]],13,10),"")</f>
        <v>DE10515800</v>
      </c>
      <c r="I2504" s="103" t="s">
        <v>4784</v>
      </c>
      <c r="J2504" s="94" t="b">
        <f>Proc[[#This Row],[Requested]]=Proc[[#This Row],[CurrentParent]]</f>
        <v>1</v>
      </c>
      <c r="K2504" s="144" t="str">
        <f>IF(Proc[[#This Row],[Author]]="Marcela Urrego",VLOOKUP(LEFT(Proc[[#This Row],[Requested]],1),Table3[#All],2,0),VLOOKUP(Proc[[#This Row],[Author]],Table4[],2,0))</f>
        <v>MGF</v>
      </c>
      <c r="L2504" s="125" t="s">
        <v>4894</v>
      </c>
      <c r="M2504" s="109">
        <v>45841.453541666669</v>
      </c>
      <c r="N2504" s="109"/>
      <c r="O2504" s="109"/>
      <c r="P2504" s="110" t="str">
        <f ca="1">IF(Proc[[#This Row],[DaysAgeing]]&gt;5,"yep","on track")</f>
        <v>yep</v>
      </c>
      <c r="Q2504" s="3">
        <f ca="1">IF(Proc[[#This Row],[DateClosed]]="",ABS(NETWORKDAYS(Proc[[#This Row],[DateOpened]],TODAY()))-1,ABS(NETWORKDAYS(Proc[[#This Row],[DateOpened]],Proc[[#This Row],[DateClosed]]))-1)</f>
        <v>121</v>
      </c>
      <c r="R2504" s="110" t="s">
        <v>485</v>
      </c>
      <c r="S2504" s="94"/>
    </row>
    <row r="2505" spans="1:19" hidden="1">
      <c r="A2505" s="103" t="s">
        <v>4422</v>
      </c>
      <c r="B2505" s="149" t="str">
        <f>IFERROR(VLOOKUP(Proc[[#This Row],[App]],Table2[],3,0),"open")</f>
        <v>ok</v>
      </c>
      <c r="C2505" s="117" t="s">
        <v>369</v>
      </c>
      <c r="D2505" t="s">
        <v>4426</v>
      </c>
      <c r="E2505" t="s">
        <v>4735</v>
      </c>
      <c r="F2505" s="94" t="s">
        <v>4735</v>
      </c>
      <c r="G2505" s="103" t="s">
        <v>406</v>
      </c>
      <c r="H2505" s="94" t="str">
        <f>IF(Proc[[#This Row],[type]]="LFF (MDG-F)",MID(Proc[[#This Row],[Obj]],13,10),"")</f>
        <v>DE10538021</v>
      </c>
      <c r="I2505" s="103" t="s">
        <v>4784</v>
      </c>
      <c r="J2505" s="94" t="b">
        <f>Proc[[#This Row],[Requested]]=Proc[[#This Row],[CurrentParent]]</f>
        <v>1</v>
      </c>
      <c r="K2505" s="144" t="str">
        <f>IF(Proc[[#This Row],[Author]]="Marcela Urrego",VLOOKUP(LEFT(Proc[[#This Row],[Requested]],1),Table3[#All],2,0),VLOOKUP(Proc[[#This Row],[Author]],Table4[],2,0))</f>
        <v>MGF</v>
      </c>
      <c r="L2505" s="125" t="s">
        <v>4894</v>
      </c>
      <c r="M2505" s="109">
        <v>45841.453541666669</v>
      </c>
      <c r="N2505" s="109"/>
      <c r="O2505" s="109"/>
      <c r="P2505" s="110" t="str">
        <f ca="1">IF(Proc[[#This Row],[DaysAgeing]]&gt;5,"yep","on track")</f>
        <v>yep</v>
      </c>
      <c r="Q2505" s="3">
        <f ca="1">IF(Proc[[#This Row],[DateClosed]]="",ABS(NETWORKDAYS(Proc[[#This Row],[DateOpened]],TODAY()))-1,ABS(NETWORKDAYS(Proc[[#This Row],[DateOpened]],Proc[[#This Row],[DateClosed]]))-1)</f>
        <v>121</v>
      </c>
      <c r="R2505" s="110" t="s">
        <v>485</v>
      </c>
      <c r="S2505" s="94"/>
    </row>
    <row r="2506" spans="1:19" hidden="1">
      <c r="A2506" s="103" t="s">
        <v>4422</v>
      </c>
      <c r="B2506" s="149" t="str">
        <f>IFERROR(VLOOKUP(Proc[[#This Row],[App]],Table2[],3,0),"open")</f>
        <v>ok</v>
      </c>
      <c r="C2506" s="117" t="s">
        <v>369</v>
      </c>
      <c r="D2506" t="s">
        <v>4427</v>
      </c>
      <c r="E2506" t="s">
        <v>4735</v>
      </c>
      <c r="F2506" s="94" t="s">
        <v>4735</v>
      </c>
      <c r="G2506" s="103" t="s">
        <v>406</v>
      </c>
      <c r="H2506" s="94" t="str">
        <f>IF(Proc[[#This Row],[type]]="LFF (MDG-F)",MID(Proc[[#This Row],[Obj]],13,10),"")</f>
        <v>DE10566000</v>
      </c>
      <c r="I2506" s="103" t="s">
        <v>4784</v>
      </c>
      <c r="J2506" s="94" t="b">
        <f>Proc[[#This Row],[Requested]]=Proc[[#This Row],[CurrentParent]]</f>
        <v>1</v>
      </c>
      <c r="K2506" s="144" t="str">
        <f>IF(Proc[[#This Row],[Author]]="Marcela Urrego",VLOOKUP(LEFT(Proc[[#This Row],[Requested]],1),Table3[#All],2,0),VLOOKUP(Proc[[#This Row],[Author]],Table4[],2,0))</f>
        <v>MGF</v>
      </c>
      <c r="L2506" s="125" t="s">
        <v>4894</v>
      </c>
      <c r="M2506" s="109">
        <v>45841.453541666669</v>
      </c>
      <c r="N2506" s="109"/>
      <c r="O2506" s="109"/>
      <c r="P2506" s="110" t="str">
        <f ca="1">IF(Proc[[#This Row],[DaysAgeing]]&gt;5,"yep","on track")</f>
        <v>yep</v>
      </c>
      <c r="Q2506" s="3">
        <f ca="1">IF(Proc[[#This Row],[DateClosed]]="",ABS(NETWORKDAYS(Proc[[#This Row],[DateOpened]],TODAY()))-1,ABS(NETWORKDAYS(Proc[[#This Row],[DateOpened]],Proc[[#This Row],[DateClosed]]))-1)</f>
        <v>121</v>
      </c>
      <c r="R2506" s="110" t="s">
        <v>485</v>
      </c>
      <c r="S2506" s="94"/>
    </row>
    <row r="2507" spans="1:19" hidden="1">
      <c r="A2507" s="103" t="s">
        <v>4422</v>
      </c>
      <c r="B2507" s="149" t="str">
        <f>IFERROR(VLOOKUP(Proc[[#This Row],[App]],Table2[],3,0),"open")</f>
        <v>ok</v>
      </c>
      <c r="C2507" s="117" t="s">
        <v>369</v>
      </c>
      <c r="D2507" t="s">
        <v>4428</v>
      </c>
      <c r="E2507" t="s">
        <v>4736</v>
      </c>
      <c r="F2507" s="94" t="s">
        <v>4736</v>
      </c>
      <c r="G2507" s="103" t="s">
        <v>406</v>
      </c>
      <c r="H2507" s="94" t="str">
        <f>IF(Proc[[#This Row],[type]]="LFF (MDG-F)",MID(Proc[[#This Row],[Obj]],13,10),"")</f>
        <v>DE10537833</v>
      </c>
      <c r="I2507" s="103" t="s">
        <v>4784</v>
      </c>
      <c r="J2507" s="94" t="b">
        <f>Proc[[#This Row],[Requested]]=Proc[[#This Row],[CurrentParent]]</f>
        <v>1</v>
      </c>
      <c r="K2507" s="144" t="str">
        <f>IF(Proc[[#This Row],[Author]]="Marcela Urrego",VLOOKUP(LEFT(Proc[[#This Row],[Requested]],1),Table3[#All],2,0),VLOOKUP(Proc[[#This Row],[Author]],Table4[],2,0))</f>
        <v>MGF</v>
      </c>
      <c r="L2507" s="125" t="s">
        <v>4894</v>
      </c>
      <c r="M2507" s="109">
        <v>45841.453541666669</v>
      </c>
      <c r="N2507" s="109"/>
      <c r="O2507" s="109"/>
      <c r="P2507" s="110" t="str">
        <f ca="1">IF(Proc[[#This Row],[DaysAgeing]]&gt;5,"yep","on track")</f>
        <v>yep</v>
      </c>
      <c r="Q2507" s="3">
        <f ca="1">IF(Proc[[#This Row],[DateClosed]]="",ABS(NETWORKDAYS(Proc[[#This Row],[DateOpened]],TODAY()))-1,ABS(NETWORKDAYS(Proc[[#This Row],[DateOpened]],Proc[[#This Row],[DateClosed]]))-1)</f>
        <v>121</v>
      </c>
      <c r="R2507" s="110" t="s">
        <v>485</v>
      </c>
      <c r="S2507" s="94"/>
    </row>
    <row r="2508" spans="1:19" hidden="1">
      <c r="A2508" s="103" t="s">
        <v>4422</v>
      </c>
      <c r="B2508" s="149" t="str">
        <f>IFERROR(VLOOKUP(Proc[[#This Row],[App]],Table2[],3,0),"open")</f>
        <v>ok</v>
      </c>
      <c r="C2508" s="117" t="s">
        <v>369</v>
      </c>
      <c r="D2508" t="s">
        <v>4429</v>
      </c>
      <c r="E2508" t="s">
        <v>4736</v>
      </c>
      <c r="F2508" s="94" t="s">
        <v>4736</v>
      </c>
      <c r="G2508" s="103" t="s">
        <v>406</v>
      </c>
      <c r="H2508" s="94" t="str">
        <f>IF(Proc[[#This Row],[type]]="LFF (MDG-F)",MID(Proc[[#This Row],[Obj]],13,10),"")</f>
        <v>DE10538012</v>
      </c>
      <c r="I2508" s="103" t="s">
        <v>4784</v>
      </c>
      <c r="J2508" s="94" t="b">
        <f>Proc[[#This Row],[Requested]]=Proc[[#This Row],[CurrentParent]]</f>
        <v>1</v>
      </c>
      <c r="K2508" s="144" t="str">
        <f>IF(Proc[[#This Row],[Author]]="Marcela Urrego",VLOOKUP(LEFT(Proc[[#This Row],[Requested]],1),Table3[#All],2,0),VLOOKUP(Proc[[#This Row],[Author]],Table4[],2,0))</f>
        <v>MGF</v>
      </c>
      <c r="L2508" s="125" t="s">
        <v>4894</v>
      </c>
      <c r="M2508" s="109">
        <v>45841.453541666669</v>
      </c>
      <c r="N2508" s="109"/>
      <c r="O2508" s="109"/>
      <c r="P2508" s="110" t="str">
        <f ca="1">IF(Proc[[#This Row],[DaysAgeing]]&gt;5,"yep","on track")</f>
        <v>yep</v>
      </c>
      <c r="Q2508" s="3">
        <f ca="1">IF(Proc[[#This Row],[DateClosed]]="",ABS(NETWORKDAYS(Proc[[#This Row],[DateOpened]],TODAY()))-1,ABS(NETWORKDAYS(Proc[[#This Row],[DateOpened]],Proc[[#This Row],[DateClosed]]))-1)</f>
        <v>121</v>
      </c>
      <c r="R2508" s="110" t="s">
        <v>485</v>
      </c>
      <c r="S2508" s="94"/>
    </row>
    <row r="2509" spans="1:19" hidden="1">
      <c r="A2509" s="103" t="s">
        <v>4422</v>
      </c>
      <c r="B2509" s="149" t="str">
        <f>IFERROR(VLOOKUP(Proc[[#This Row],[App]],Table2[],3,0),"open")</f>
        <v>ok</v>
      </c>
      <c r="C2509" s="117" t="s">
        <v>369</v>
      </c>
      <c r="D2509" t="s">
        <v>4430</v>
      </c>
      <c r="E2509" t="s">
        <v>4736</v>
      </c>
      <c r="F2509" s="94" t="s">
        <v>4736</v>
      </c>
      <c r="G2509" s="103" t="s">
        <v>406</v>
      </c>
      <c r="H2509" s="94" t="str">
        <f>IF(Proc[[#This Row],[type]]="LFF (MDG-F)",MID(Proc[[#This Row],[Obj]],13,10),"")</f>
        <v>DE10538014</v>
      </c>
      <c r="I2509" s="103" t="s">
        <v>4784</v>
      </c>
      <c r="J2509" s="94" t="b">
        <f>Proc[[#This Row],[Requested]]=Proc[[#This Row],[CurrentParent]]</f>
        <v>1</v>
      </c>
      <c r="K2509" s="144" t="str">
        <f>IF(Proc[[#This Row],[Author]]="Marcela Urrego",VLOOKUP(LEFT(Proc[[#This Row],[Requested]],1),Table3[#All],2,0),VLOOKUP(Proc[[#This Row],[Author]],Table4[],2,0))</f>
        <v>MGF</v>
      </c>
      <c r="L2509" s="125" t="s">
        <v>4894</v>
      </c>
      <c r="M2509" s="109">
        <v>45841.453541666669</v>
      </c>
      <c r="N2509" s="109"/>
      <c r="O2509" s="109"/>
      <c r="P2509" s="110" t="str">
        <f ca="1">IF(Proc[[#This Row],[DaysAgeing]]&gt;5,"yep","on track")</f>
        <v>yep</v>
      </c>
      <c r="Q2509" s="3">
        <f ca="1">IF(Proc[[#This Row],[DateClosed]]="",ABS(NETWORKDAYS(Proc[[#This Row],[DateOpened]],TODAY()))-1,ABS(NETWORKDAYS(Proc[[#This Row],[DateOpened]],Proc[[#This Row],[DateClosed]]))-1)</f>
        <v>121</v>
      </c>
      <c r="R2509" s="110" t="s">
        <v>485</v>
      </c>
      <c r="S2509" s="94"/>
    </row>
    <row r="2510" spans="1:19" hidden="1">
      <c r="A2510" s="103" t="s">
        <v>4422</v>
      </c>
      <c r="B2510" s="149" t="str">
        <f>IFERROR(VLOOKUP(Proc[[#This Row],[App]],Table2[],3,0),"open")</f>
        <v>ok</v>
      </c>
      <c r="C2510" s="117" t="s">
        <v>369</v>
      </c>
      <c r="D2510" t="s">
        <v>4431</v>
      </c>
      <c r="E2510" t="s">
        <v>4736</v>
      </c>
      <c r="F2510" s="94" t="s">
        <v>4736</v>
      </c>
      <c r="G2510" s="103" t="s">
        <v>406</v>
      </c>
      <c r="H2510" s="94" t="str">
        <f>IF(Proc[[#This Row],[type]]="LFF (MDG-F)",MID(Proc[[#This Row],[Obj]],13,10),"")</f>
        <v>DE10538015</v>
      </c>
      <c r="I2510" s="103" t="s">
        <v>4784</v>
      </c>
      <c r="J2510" s="94" t="b">
        <f>Proc[[#This Row],[Requested]]=Proc[[#This Row],[CurrentParent]]</f>
        <v>1</v>
      </c>
      <c r="K2510" s="144" t="str">
        <f>IF(Proc[[#This Row],[Author]]="Marcela Urrego",VLOOKUP(LEFT(Proc[[#This Row],[Requested]],1),Table3[#All],2,0),VLOOKUP(Proc[[#This Row],[Author]],Table4[],2,0))</f>
        <v>MGF</v>
      </c>
      <c r="L2510" s="125" t="s">
        <v>4894</v>
      </c>
      <c r="M2510" s="109">
        <v>45841.453541666669</v>
      </c>
      <c r="N2510" s="109"/>
      <c r="O2510" s="109"/>
      <c r="P2510" s="110" t="str">
        <f ca="1">IF(Proc[[#This Row],[DaysAgeing]]&gt;5,"yep","on track")</f>
        <v>yep</v>
      </c>
      <c r="Q2510" s="3">
        <f ca="1">IF(Proc[[#This Row],[DateClosed]]="",ABS(NETWORKDAYS(Proc[[#This Row],[DateOpened]],TODAY()))-1,ABS(NETWORKDAYS(Proc[[#This Row],[DateOpened]],Proc[[#This Row],[DateClosed]]))-1)</f>
        <v>121</v>
      </c>
      <c r="R2510" s="110" t="s">
        <v>485</v>
      </c>
      <c r="S2510" s="94"/>
    </row>
    <row r="2511" spans="1:19" hidden="1">
      <c r="A2511" s="103" t="s">
        <v>4422</v>
      </c>
      <c r="B2511" s="149" t="str">
        <f>IFERROR(VLOOKUP(Proc[[#This Row],[App]],Table2[],3,0),"open")</f>
        <v>ok</v>
      </c>
      <c r="C2511" s="117" t="s">
        <v>369</v>
      </c>
      <c r="D2511" t="s">
        <v>4432</v>
      </c>
      <c r="E2511" t="s">
        <v>4736</v>
      </c>
      <c r="F2511" s="94" t="s">
        <v>4736</v>
      </c>
      <c r="G2511" s="103" t="s">
        <v>406</v>
      </c>
      <c r="H2511" s="94" t="str">
        <f>IF(Proc[[#This Row],[type]]="LFF (MDG-F)",MID(Proc[[#This Row],[Obj]],13,10),"")</f>
        <v>DE10538017</v>
      </c>
      <c r="I2511" s="103" t="s">
        <v>4784</v>
      </c>
      <c r="J2511" s="94" t="b">
        <f>Proc[[#This Row],[Requested]]=Proc[[#This Row],[CurrentParent]]</f>
        <v>1</v>
      </c>
      <c r="K2511" s="144" t="str">
        <f>IF(Proc[[#This Row],[Author]]="Marcela Urrego",VLOOKUP(LEFT(Proc[[#This Row],[Requested]],1),Table3[#All],2,0),VLOOKUP(Proc[[#This Row],[Author]],Table4[],2,0))</f>
        <v>MGF</v>
      </c>
      <c r="L2511" s="125" t="s">
        <v>4894</v>
      </c>
      <c r="M2511" s="109">
        <v>45841.453541666669</v>
      </c>
      <c r="N2511" s="109"/>
      <c r="O2511" s="109"/>
      <c r="P2511" s="110" t="str">
        <f ca="1">IF(Proc[[#This Row],[DaysAgeing]]&gt;5,"yep","on track")</f>
        <v>yep</v>
      </c>
      <c r="Q2511" s="3">
        <f ca="1">IF(Proc[[#This Row],[DateClosed]]="",ABS(NETWORKDAYS(Proc[[#This Row],[DateOpened]],TODAY()))-1,ABS(NETWORKDAYS(Proc[[#This Row],[DateOpened]],Proc[[#This Row],[DateClosed]]))-1)</f>
        <v>121</v>
      </c>
      <c r="R2511" s="110" t="s">
        <v>485</v>
      </c>
      <c r="S2511" s="94"/>
    </row>
    <row r="2512" spans="1:19" hidden="1">
      <c r="A2512" s="103" t="s">
        <v>4422</v>
      </c>
      <c r="B2512" s="149" t="str">
        <f>IFERROR(VLOOKUP(Proc[[#This Row],[App]],Table2[],3,0),"open")</f>
        <v>ok</v>
      </c>
      <c r="C2512" s="117" t="s">
        <v>369</v>
      </c>
      <c r="D2512" t="s">
        <v>4433</v>
      </c>
      <c r="E2512" t="s">
        <v>4736</v>
      </c>
      <c r="F2512" s="94" t="s">
        <v>4736</v>
      </c>
      <c r="G2512" s="103" t="s">
        <v>406</v>
      </c>
      <c r="H2512" s="94" t="str">
        <f>IF(Proc[[#This Row],[type]]="LFF (MDG-F)",MID(Proc[[#This Row],[Obj]],13,10),"")</f>
        <v>DE10538018</v>
      </c>
      <c r="I2512" s="103" t="s">
        <v>4784</v>
      </c>
      <c r="J2512" s="94" t="b">
        <f>Proc[[#This Row],[Requested]]=Proc[[#This Row],[CurrentParent]]</f>
        <v>1</v>
      </c>
      <c r="K2512" s="144" t="str">
        <f>IF(Proc[[#This Row],[Author]]="Marcela Urrego",VLOOKUP(LEFT(Proc[[#This Row],[Requested]],1),Table3[#All],2,0),VLOOKUP(Proc[[#This Row],[Author]],Table4[],2,0))</f>
        <v>MGF</v>
      </c>
      <c r="L2512" s="125" t="s">
        <v>4894</v>
      </c>
      <c r="M2512" s="109">
        <v>45841.453541666669</v>
      </c>
      <c r="N2512" s="109"/>
      <c r="O2512" s="109"/>
      <c r="P2512" s="110" t="str">
        <f ca="1">IF(Proc[[#This Row],[DaysAgeing]]&gt;5,"yep","on track")</f>
        <v>yep</v>
      </c>
      <c r="Q2512" s="3">
        <f ca="1">IF(Proc[[#This Row],[DateClosed]]="",ABS(NETWORKDAYS(Proc[[#This Row],[DateOpened]],TODAY()))-1,ABS(NETWORKDAYS(Proc[[#This Row],[DateOpened]],Proc[[#This Row],[DateClosed]]))-1)</f>
        <v>121</v>
      </c>
      <c r="R2512" s="110" t="s">
        <v>485</v>
      </c>
      <c r="S2512" s="94"/>
    </row>
    <row r="2513" spans="1:19" hidden="1">
      <c r="A2513" s="103" t="s">
        <v>4422</v>
      </c>
      <c r="B2513" s="149" t="str">
        <f>IFERROR(VLOOKUP(Proc[[#This Row],[App]],Table2[],3,0),"open")</f>
        <v>ok</v>
      </c>
      <c r="C2513" s="117" t="s">
        <v>369</v>
      </c>
      <c r="D2513" t="s">
        <v>4434</v>
      </c>
      <c r="E2513" t="s">
        <v>4736</v>
      </c>
      <c r="F2513" s="94" t="s">
        <v>4736</v>
      </c>
      <c r="G2513" s="103" t="s">
        <v>406</v>
      </c>
      <c r="H2513" s="94" t="str">
        <f>IF(Proc[[#This Row],[type]]="LFF (MDG-F)",MID(Proc[[#This Row],[Obj]],13,10),"")</f>
        <v>DE10538132</v>
      </c>
      <c r="I2513" s="103" t="s">
        <v>4784</v>
      </c>
      <c r="J2513" s="94" t="b">
        <f>Proc[[#This Row],[Requested]]=Proc[[#This Row],[CurrentParent]]</f>
        <v>1</v>
      </c>
      <c r="K2513" s="144" t="str">
        <f>IF(Proc[[#This Row],[Author]]="Marcela Urrego",VLOOKUP(LEFT(Proc[[#This Row],[Requested]],1),Table3[#All],2,0),VLOOKUP(Proc[[#This Row],[Author]],Table4[],2,0))</f>
        <v>MGF</v>
      </c>
      <c r="L2513" s="125" t="s">
        <v>4894</v>
      </c>
      <c r="M2513" s="109">
        <v>45841.453541666669</v>
      </c>
      <c r="N2513" s="109"/>
      <c r="O2513" s="109"/>
      <c r="P2513" s="110" t="str">
        <f ca="1">IF(Proc[[#This Row],[DaysAgeing]]&gt;5,"yep","on track")</f>
        <v>yep</v>
      </c>
      <c r="Q2513" s="3">
        <f ca="1">IF(Proc[[#This Row],[DateClosed]]="",ABS(NETWORKDAYS(Proc[[#This Row],[DateOpened]],TODAY()))-1,ABS(NETWORKDAYS(Proc[[#This Row],[DateOpened]],Proc[[#This Row],[DateClosed]]))-1)</f>
        <v>121</v>
      </c>
      <c r="R2513" s="110" t="s">
        <v>485</v>
      </c>
      <c r="S2513" s="94"/>
    </row>
    <row r="2514" spans="1:19" hidden="1">
      <c r="A2514" s="103" t="s">
        <v>4422</v>
      </c>
      <c r="B2514" s="149" t="str">
        <f>IFERROR(VLOOKUP(Proc[[#This Row],[App]],Table2[],3,0),"open")</f>
        <v>ok</v>
      </c>
      <c r="C2514" s="117" t="s">
        <v>369</v>
      </c>
      <c r="D2514" t="s">
        <v>4435</v>
      </c>
      <c r="E2514" t="s">
        <v>4737</v>
      </c>
      <c r="F2514" s="94" t="s">
        <v>4737</v>
      </c>
      <c r="G2514" s="103" t="s">
        <v>406</v>
      </c>
      <c r="H2514" s="94" t="str">
        <f>IF(Proc[[#This Row],[type]]="LFF (MDG-F)",MID(Proc[[#This Row],[Obj]],13,10),"")</f>
        <v>DE10538101</v>
      </c>
      <c r="I2514" s="103" t="s">
        <v>4784</v>
      </c>
      <c r="J2514" s="94" t="b">
        <f>Proc[[#This Row],[Requested]]=Proc[[#This Row],[CurrentParent]]</f>
        <v>1</v>
      </c>
      <c r="K2514" s="144" t="str">
        <f>IF(Proc[[#This Row],[Author]]="Marcela Urrego",VLOOKUP(LEFT(Proc[[#This Row],[Requested]],1),Table3[#All],2,0),VLOOKUP(Proc[[#This Row],[Author]],Table4[],2,0))</f>
        <v>MGF</v>
      </c>
      <c r="L2514" s="125" t="s">
        <v>4894</v>
      </c>
      <c r="M2514" s="109">
        <v>45841.453541666669</v>
      </c>
      <c r="N2514" s="109"/>
      <c r="O2514" s="109"/>
      <c r="P2514" s="110" t="str">
        <f ca="1">IF(Proc[[#This Row],[DaysAgeing]]&gt;5,"yep","on track")</f>
        <v>yep</v>
      </c>
      <c r="Q2514" s="3">
        <f ca="1">IF(Proc[[#This Row],[DateClosed]]="",ABS(NETWORKDAYS(Proc[[#This Row],[DateOpened]],TODAY()))-1,ABS(NETWORKDAYS(Proc[[#This Row],[DateOpened]],Proc[[#This Row],[DateClosed]]))-1)</f>
        <v>121</v>
      </c>
      <c r="R2514" s="110" t="s">
        <v>485</v>
      </c>
      <c r="S2514" s="94"/>
    </row>
    <row r="2515" spans="1:19" hidden="1">
      <c r="A2515" s="103" t="s">
        <v>4422</v>
      </c>
      <c r="B2515" s="149" t="str">
        <f>IFERROR(VLOOKUP(Proc[[#This Row],[App]],Table2[],3,0),"open")</f>
        <v>ok</v>
      </c>
      <c r="C2515" s="117" t="s">
        <v>369</v>
      </c>
      <c r="D2515" t="s">
        <v>4436</v>
      </c>
      <c r="E2515" t="s">
        <v>4737</v>
      </c>
      <c r="F2515" s="94" t="s">
        <v>4737</v>
      </c>
      <c r="G2515" s="103" t="s">
        <v>406</v>
      </c>
      <c r="H2515" s="94" t="str">
        <f>IF(Proc[[#This Row],[type]]="LFF (MDG-F)",MID(Proc[[#This Row],[Obj]],13,10),"")</f>
        <v>DE10538102</v>
      </c>
      <c r="I2515" s="103" t="s">
        <v>4784</v>
      </c>
      <c r="J2515" s="94" t="b">
        <f>Proc[[#This Row],[Requested]]=Proc[[#This Row],[CurrentParent]]</f>
        <v>1</v>
      </c>
      <c r="K2515" s="144" t="str">
        <f>IF(Proc[[#This Row],[Author]]="Marcela Urrego",VLOOKUP(LEFT(Proc[[#This Row],[Requested]],1),Table3[#All],2,0),VLOOKUP(Proc[[#This Row],[Author]],Table4[],2,0))</f>
        <v>MGF</v>
      </c>
      <c r="L2515" s="125" t="s">
        <v>4894</v>
      </c>
      <c r="M2515" s="109">
        <v>45841.453541666669</v>
      </c>
      <c r="N2515" s="109"/>
      <c r="O2515" s="109"/>
      <c r="P2515" s="110" t="str">
        <f ca="1">IF(Proc[[#This Row],[DaysAgeing]]&gt;5,"yep","on track")</f>
        <v>yep</v>
      </c>
      <c r="Q2515" s="3">
        <f ca="1">IF(Proc[[#This Row],[DateClosed]]="",ABS(NETWORKDAYS(Proc[[#This Row],[DateOpened]],TODAY()))-1,ABS(NETWORKDAYS(Proc[[#This Row],[DateOpened]],Proc[[#This Row],[DateClosed]]))-1)</f>
        <v>121</v>
      </c>
      <c r="R2515" s="110" t="s">
        <v>485</v>
      </c>
      <c r="S2515" s="94"/>
    </row>
    <row r="2516" spans="1:19" hidden="1">
      <c r="A2516" s="103" t="s">
        <v>4422</v>
      </c>
      <c r="B2516" s="149" t="str">
        <f>IFERROR(VLOOKUP(Proc[[#This Row],[App]],Table2[],3,0),"open")</f>
        <v>ok</v>
      </c>
      <c r="C2516" s="117" t="s">
        <v>369</v>
      </c>
      <c r="D2516" t="s">
        <v>4437</v>
      </c>
      <c r="E2516" t="s">
        <v>4737</v>
      </c>
      <c r="F2516" s="94" t="s">
        <v>4737</v>
      </c>
      <c r="G2516" s="103" t="s">
        <v>406</v>
      </c>
      <c r="H2516" s="94" t="str">
        <f>IF(Proc[[#This Row],[type]]="LFF (MDG-F)",MID(Proc[[#This Row],[Obj]],13,10),"")</f>
        <v>DE10538104</v>
      </c>
      <c r="I2516" s="103" t="s">
        <v>4784</v>
      </c>
      <c r="J2516" s="94" t="b">
        <f>Proc[[#This Row],[Requested]]=Proc[[#This Row],[CurrentParent]]</f>
        <v>1</v>
      </c>
      <c r="K2516" s="144" t="str">
        <f>IF(Proc[[#This Row],[Author]]="Marcela Urrego",VLOOKUP(LEFT(Proc[[#This Row],[Requested]],1),Table3[#All],2,0),VLOOKUP(Proc[[#This Row],[Author]],Table4[],2,0))</f>
        <v>MGF</v>
      </c>
      <c r="L2516" s="125" t="s">
        <v>4894</v>
      </c>
      <c r="M2516" s="109">
        <v>45841.453541666669</v>
      </c>
      <c r="N2516" s="109"/>
      <c r="O2516" s="109"/>
      <c r="P2516" s="110" t="str">
        <f ca="1">IF(Proc[[#This Row],[DaysAgeing]]&gt;5,"yep","on track")</f>
        <v>yep</v>
      </c>
      <c r="Q2516" s="3">
        <f ca="1">IF(Proc[[#This Row],[DateClosed]]="",ABS(NETWORKDAYS(Proc[[#This Row],[DateOpened]],TODAY()))-1,ABS(NETWORKDAYS(Proc[[#This Row],[DateOpened]],Proc[[#This Row],[DateClosed]]))-1)</f>
        <v>121</v>
      </c>
      <c r="R2516" s="110" t="s">
        <v>485</v>
      </c>
      <c r="S2516" s="94"/>
    </row>
    <row r="2517" spans="1:19" hidden="1">
      <c r="A2517" s="103" t="s">
        <v>4422</v>
      </c>
      <c r="B2517" s="149" t="str">
        <f>IFERROR(VLOOKUP(Proc[[#This Row],[App]],Table2[],3,0),"open")</f>
        <v>ok</v>
      </c>
      <c r="C2517" s="117" t="s">
        <v>369</v>
      </c>
      <c r="D2517" t="s">
        <v>4438</v>
      </c>
      <c r="E2517" t="s">
        <v>4738</v>
      </c>
      <c r="F2517" s="94" t="s">
        <v>4738</v>
      </c>
      <c r="G2517" s="103" t="s">
        <v>406</v>
      </c>
      <c r="H2517" s="94" t="str">
        <f>IF(Proc[[#This Row],[type]]="LFF (MDG-F)",MID(Proc[[#This Row],[Obj]],13,10),"")</f>
        <v>DE10538109</v>
      </c>
      <c r="I2517" s="103" t="s">
        <v>4784</v>
      </c>
      <c r="J2517" s="94" t="b">
        <f>Proc[[#This Row],[Requested]]=Proc[[#This Row],[CurrentParent]]</f>
        <v>1</v>
      </c>
      <c r="K2517" s="144" t="str">
        <f>IF(Proc[[#This Row],[Author]]="Marcela Urrego",VLOOKUP(LEFT(Proc[[#This Row],[Requested]],1),Table3[#All],2,0),VLOOKUP(Proc[[#This Row],[Author]],Table4[],2,0))</f>
        <v>MGF</v>
      </c>
      <c r="L2517" s="125" t="s">
        <v>4894</v>
      </c>
      <c r="M2517" s="109">
        <v>45841.453541666669</v>
      </c>
      <c r="N2517" s="109"/>
      <c r="O2517" s="109"/>
      <c r="P2517" s="110" t="str">
        <f ca="1">IF(Proc[[#This Row],[DaysAgeing]]&gt;5,"yep","on track")</f>
        <v>yep</v>
      </c>
      <c r="Q2517" s="3">
        <f ca="1">IF(Proc[[#This Row],[DateClosed]]="",ABS(NETWORKDAYS(Proc[[#This Row],[DateOpened]],TODAY()))-1,ABS(NETWORKDAYS(Proc[[#This Row],[DateOpened]],Proc[[#This Row],[DateClosed]]))-1)</f>
        <v>121</v>
      </c>
      <c r="R2517" s="110" t="s">
        <v>485</v>
      </c>
      <c r="S2517" s="94"/>
    </row>
    <row r="2518" spans="1:19" hidden="1">
      <c r="A2518" s="103" t="s">
        <v>4422</v>
      </c>
      <c r="B2518" s="149" t="str">
        <f>IFERROR(VLOOKUP(Proc[[#This Row],[App]],Table2[],3,0),"open")</f>
        <v>ok</v>
      </c>
      <c r="C2518" s="117" t="s">
        <v>369</v>
      </c>
      <c r="D2518" t="s">
        <v>4439</v>
      </c>
      <c r="E2518" t="s">
        <v>4737</v>
      </c>
      <c r="F2518" s="94" t="s">
        <v>4737</v>
      </c>
      <c r="G2518" s="103" t="s">
        <v>406</v>
      </c>
      <c r="H2518" s="94" t="str">
        <f>IF(Proc[[#This Row],[type]]="LFF (MDG-F)",MID(Proc[[#This Row],[Obj]],13,10),"")</f>
        <v>DE10538116</v>
      </c>
      <c r="I2518" s="103" t="s">
        <v>4784</v>
      </c>
      <c r="J2518" s="94" t="b">
        <f>Proc[[#This Row],[Requested]]=Proc[[#This Row],[CurrentParent]]</f>
        <v>1</v>
      </c>
      <c r="K2518" s="144" t="str">
        <f>IF(Proc[[#This Row],[Author]]="Marcela Urrego",VLOOKUP(LEFT(Proc[[#This Row],[Requested]],1),Table3[#All],2,0),VLOOKUP(Proc[[#This Row],[Author]],Table4[],2,0))</f>
        <v>MGF</v>
      </c>
      <c r="L2518" s="125" t="s">
        <v>4894</v>
      </c>
      <c r="M2518" s="109">
        <v>45841.453541666669</v>
      </c>
      <c r="N2518" s="109"/>
      <c r="O2518" s="109"/>
      <c r="P2518" s="110" t="str">
        <f ca="1">IF(Proc[[#This Row],[DaysAgeing]]&gt;5,"yep","on track")</f>
        <v>yep</v>
      </c>
      <c r="Q2518" s="3">
        <f ca="1">IF(Proc[[#This Row],[DateClosed]]="",ABS(NETWORKDAYS(Proc[[#This Row],[DateOpened]],TODAY()))-1,ABS(NETWORKDAYS(Proc[[#This Row],[DateOpened]],Proc[[#This Row],[DateClosed]]))-1)</f>
        <v>121</v>
      </c>
      <c r="R2518" s="110" t="s">
        <v>485</v>
      </c>
      <c r="S2518" s="94"/>
    </row>
    <row r="2519" spans="1:19" hidden="1">
      <c r="A2519" s="103" t="s">
        <v>4422</v>
      </c>
      <c r="B2519" s="149" t="str">
        <f>IFERROR(VLOOKUP(Proc[[#This Row],[App]],Table2[],3,0),"open")</f>
        <v>ok</v>
      </c>
      <c r="C2519" s="117" t="s">
        <v>369</v>
      </c>
      <c r="D2519" t="s">
        <v>4440</v>
      </c>
      <c r="E2519" t="s">
        <v>4738</v>
      </c>
      <c r="F2519" s="94" t="s">
        <v>4738</v>
      </c>
      <c r="G2519" s="103" t="s">
        <v>406</v>
      </c>
      <c r="H2519" s="94" t="str">
        <f>IF(Proc[[#This Row],[type]]="LFF (MDG-F)",MID(Proc[[#This Row],[Obj]],13,10),"")</f>
        <v>DE10538123</v>
      </c>
      <c r="I2519" s="103" t="s">
        <v>4784</v>
      </c>
      <c r="J2519" s="94" t="b">
        <f>Proc[[#This Row],[Requested]]=Proc[[#This Row],[CurrentParent]]</f>
        <v>1</v>
      </c>
      <c r="K2519" s="144" t="str">
        <f>IF(Proc[[#This Row],[Author]]="Marcela Urrego",VLOOKUP(LEFT(Proc[[#This Row],[Requested]],1),Table3[#All],2,0),VLOOKUP(Proc[[#This Row],[Author]],Table4[],2,0))</f>
        <v>MGF</v>
      </c>
      <c r="L2519" s="125" t="s">
        <v>4894</v>
      </c>
      <c r="M2519" s="109">
        <v>45841.453541666669</v>
      </c>
      <c r="N2519" s="109"/>
      <c r="O2519" s="109"/>
      <c r="P2519" s="110" t="str">
        <f ca="1">IF(Proc[[#This Row],[DaysAgeing]]&gt;5,"yep","on track")</f>
        <v>yep</v>
      </c>
      <c r="Q2519" s="3">
        <f ca="1">IF(Proc[[#This Row],[DateClosed]]="",ABS(NETWORKDAYS(Proc[[#This Row],[DateOpened]],TODAY()))-1,ABS(NETWORKDAYS(Proc[[#This Row],[DateOpened]],Proc[[#This Row],[DateClosed]]))-1)</f>
        <v>121</v>
      </c>
      <c r="R2519" s="110" t="s">
        <v>485</v>
      </c>
      <c r="S2519" s="94"/>
    </row>
    <row r="2520" spans="1:19" hidden="1">
      <c r="A2520" s="103" t="s">
        <v>4422</v>
      </c>
      <c r="B2520" s="149" t="str">
        <f>IFERROR(VLOOKUP(Proc[[#This Row],[App]],Table2[],3,0),"open")</f>
        <v>ok</v>
      </c>
      <c r="C2520" s="117" t="s">
        <v>369</v>
      </c>
      <c r="D2520" t="s">
        <v>4441</v>
      </c>
      <c r="E2520" t="s">
        <v>4739</v>
      </c>
      <c r="F2520" s="94" t="s">
        <v>4739</v>
      </c>
      <c r="G2520" s="103" t="s">
        <v>406</v>
      </c>
      <c r="H2520" s="94" t="str">
        <f>IF(Proc[[#This Row],[type]]="LFF (MDG-F)",MID(Proc[[#This Row],[Obj]],13,10),"")</f>
        <v>DE10538128</v>
      </c>
      <c r="I2520" s="103" t="s">
        <v>4784</v>
      </c>
      <c r="J2520" s="94" t="b">
        <f>Proc[[#This Row],[Requested]]=Proc[[#This Row],[CurrentParent]]</f>
        <v>1</v>
      </c>
      <c r="K2520" s="144" t="str">
        <f>IF(Proc[[#This Row],[Author]]="Marcela Urrego",VLOOKUP(LEFT(Proc[[#This Row],[Requested]],1),Table3[#All],2,0),VLOOKUP(Proc[[#This Row],[Author]],Table4[],2,0))</f>
        <v>MGF</v>
      </c>
      <c r="L2520" s="125" t="s">
        <v>4894</v>
      </c>
      <c r="M2520" s="109">
        <v>45841.453541666669</v>
      </c>
      <c r="N2520" s="109"/>
      <c r="O2520" s="109"/>
      <c r="P2520" s="110" t="str">
        <f ca="1">IF(Proc[[#This Row],[DaysAgeing]]&gt;5,"yep","on track")</f>
        <v>yep</v>
      </c>
      <c r="Q2520" s="3">
        <f ca="1">IF(Proc[[#This Row],[DateClosed]]="",ABS(NETWORKDAYS(Proc[[#This Row],[DateOpened]],TODAY()))-1,ABS(NETWORKDAYS(Proc[[#This Row],[DateOpened]],Proc[[#This Row],[DateClosed]]))-1)</f>
        <v>121</v>
      </c>
      <c r="R2520" s="110" t="s">
        <v>485</v>
      </c>
      <c r="S2520" s="94"/>
    </row>
    <row r="2521" spans="1:19" hidden="1">
      <c r="A2521" s="103" t="s">
        <v>4422</v>
      </c>
      <c r="B2521" s="149" t="str">
        <f>IFERROR(VLOOKUP(Proc[[#This Row],[App]],Table2[],3,0),"open")</f>
        <v>ok</v>
      </c>
      <c r="C2521" s="117" t="s">
        <v>369</v>
      </c>
      <c r="D2521" t="s">
        <v>4442</v>
      </c>
      <c r="E2521" t="s">
        <v>4738</v>
      </c>
      <c r="F2521" s="94" t="s">
        <v>4738</v>
      </c>
      <c r="G2521" s="103" t="s">
        <v>406</v>
      </c>
      <c r="H2521" s="94" t="str">
        <f>IF(Proc[[#This Row],[type]]="LFF (MDG-F)",MID(Proc[[#This Row],[Obj]],13,10),"")</f>
        <v>DE10538146</v>
      </c>
      <c r="I2521" s="103" t="s">
        <v>4784</v>
      </c>
      <c r="J2521" s="94" t="b">
        <f>Proc[[#This Row],[Requested]]=Proc[[#This Row],[CurrentParent]]</f>
        <v>1</v>
      </c>
      <c r="K2521" s="144" t="str">
        <f>IF(Proc[[#This Row],[Author]]="Marcela Urrego",VLOOKUP(LEFT(Proc[[#This Row],[Requested]],1),Table3[#All],2,0),VLOOKUP(Proc[[#This Row],[Author]],Table4[],2,0))</f>
        <v>MGF</v>
      </c>
      <c r="L2521" s="125" t="s">
        <v>4894</v>
      </c>
      <c r="M2521" s="109">
        <v>45841.453541666669</v>
      </c>
      <c r="N2521" s="109"/>
      <c r="O2521" s="109"/>
      <c r="P2521" s="110" t="str">
        <f ca="1">IF(Proc[[#This Row],[DaysAgeing]]&gt;5,"yep","on track")</f>
        <v>yep</v>
      </c>
      <c r="Q2521" s="3">
        <f ca="1">IF(Proc[[#This Row],[DateClosed]]="",ABS(NETWORKDAYS(Proc[[#This Row],[DateOpened]],TODAY()))-1,ABS(NETWORKDAYS(Proc[[#This Row],[DateOpened]],Proc[[#This Row],[DateClosed]]))-1)</f>
        <v>121</v>
      </c>
      <c r="R2521" s="110" t="s">
        <v>485</v>
      </c>
      <c r="S2521" s="94"/>
    </row>
    <row r="2522" spans="1:19" hidden="1">
      <c r="A2522" s="103" t="s">
        <v>4422</v>
      </c>
      <c r="B2522" s="149" t="str">
        <f>IFERROR(VLOOKUP(Proc[[#This Row],[App]],Table2[],3,0),"open")</f>
        <v>ok</v>
      </c>
      <c r="C2522" s="117" t="s">
        <v>369</v>
      </c>
      <c r="D2522" t="s">
        <v>4443</v>
      </c>
      <c r="E2522" t="s">
        <v>4738</v>
      </c>
      <c r="F2522" s="94" t="s">
        <v>4738</v>
      </c>
      <c r="G2522" s="103" t="s">
        <v>406</v>
      </c>
      <c r="H2522" s="94" t="str">
        <f>IF(Proc[[#This Row],[type]]="LFF (MDG-F)",MID(Proc[[#This Row],[Obj]],13,10),"")</f>
        <v>DE10538150</v>
      </c>
      <c r="I2522" s="103" t="s">
        <v>4784</v>
      </c>
      <c r="J2522" s="94" t="b">
        <f>Proc[[#This Row],[Requested]]=Proc[[#This Row],[CurrentParent]]</f>
        <v>1</v>
      </c>
      <c r="K2522" s="144" t="str">
        <f>IF(Proc[[#This Row],[Author]]="Marcela Urrego",VLOOKUP(LEFT(Proc[[#This Row],[Requested]],1),Table3[#All],2,0),VLOOKUP(Proc[[#This Row],[Author]],Table4[],2,0))</f>
        <v>MGF</v>
      </c>
      <c r="L2522" s="125" t="s">
        <v>4894</v>
      </c>
      <c r="M2522" s="109">
        <v>45841.453541666669</v>
      </c>
      <c r="N2522" s="109"/>
      <c r="O2522" s="109"/>
      <c r="P2522" s="110" t="str">
        <f ca="1">IF(Proc[[#This Row],[DaysAgeing]]&gt;5,"yep","on track")</f>
        <v>yep</v>
      </c>
      <c r="Q2522" s="3">
        <f ca="1">IF(Proc[[#This Row],[DateClosed]]="",ABS(NETWORKDAYS(Proc[[#This Row],[DateOpened]],TODAY()))-1,ABS(NETWORKDAYS(Proc[[#This Row],[DateOpened]],Proc[[#This Row],[DateClosed]]))-1)</f>
        <v>121</v>
      </c>
      <c r="R2522" s="110" t="s">
        <v>485</v>
      </c>
      <c r="S2522" s="94"/>
    </row>
    <row r="2523" spans="1:19" hidden="1">
      <c r="A2523" s="103" t="s">
        <v>4422</v>
      </c>
      <c r="B2523" s="149" t="str">
        <f>IFERROR(VLOOKUP(Proc[[#This Row],[App]],Table2[],3,0),"open")</f>
        <v>ok</v>
      </c>
      <c r="C2523" s="117" t="s">
        <v>369</v>
      </c>
      <c r="D2523" t="s">
        <v>4444</v>
      </c>
      <c r="E2523" t="s">
        <v>4737</v>
      </c>
      <c r="F2523" s="94" t="s">
        <v>4737</v>
      </c>
      <c r="G2523" s="103" t="s">
        <v>406</v>
      </c>
      <c r="H2523" s="94" t="str">
        <f>IF(Proc[[#This Row],[type]]="LFF (MDG-F)",MID(Proc[[#This Row],[Obj]],13,10),"")</f>
        <v>DE10538152</v>
      </c>
      <c r="I2523" s="103" t="s">
        <v>4784</v>
      </c>
      <c r="J2523" s="94" t="b">
        <f>Proc[[#This Row],[Requested]]=Proc[[#This Row],[CurrentParent]]</f>
        <v>1</v>
      </c>
      <c r="K2523" s="144" t="str">
        <f>IF(Proc[[#This Row],[Author]]="Marcela Urrego",VLOOKUP(LEFT(Proc[[#This Row],[Requested]],1),Table3[#All],2,0),VLOOKUP(Proc[[#This Row],[Author]],Table4[],2,0))</f>
        <v>MGF</v>
      </c>
      <c r="L2523" s="125" t="s">
        <v>4894</v>
      </c>
      <c r="M2523" s="109">
        <v>45841.453541666669</v>
      </c>
      <c r="N2523" s="109"/>
      <c r="O2523" s="109"/>
      <c r="P2523" s="110" t="str">
        <f ca="1">IF(Proc[[#This Row],[DaysAgeing]]&gt;5,"yep","on track")</f>
        <v>yep</v>
      </c>
      <c r="Q2523" s="3">
        <f ca="1">IF(Proc[[#This Row],[DateClosed]]="",ABS(NETWORKDAYS(Proc[[#This Row],[DateOpened]],TODAY()))-1,ABS(NETWORKDAYS(Proc[[#This Row],[DateOpened]],Proc[[#This Row],[DateClosed]]))-1)</f>
        <v>121</v>
      </c>
      <c r="R2523" s="110" t="s">
        <v>485</v>
      </c>
      <c r="S2523" s="94"/>
    </row>
    <row r="2524" spans="1:19" hidden="1">
      <c r="A2524" s="103" t="s">
        <v>4422</v>
      </c>
      <c r="B2524" s="149" t="str">
        <f>IFERROR(VLOOKUP(Proc[[#This Row],[App]],Table2[],3,0),"open")</f>
        <v>ok</v>
      </c>
      <c r="C2524" s="117" t="s">
        <v>369</v>
      </c>
      <c r="D2524" t="s">
        <v>4445</v>
      </c>
      <c r="E2524" t="s">
        <v>4737</v>
      </c>
      <c r="F2524" s="94" t="s">
        <v>4737</v>
      </c>
      <c r="G2524" s="103" t="s">
        <v>406</v>
      </c>
      <c r="H2524" s="94" t="str">
        <f>IF(Proc[[#This Row],[type]]="LFF (MDG-F)",MID(Proc[[#This Row],[Obj]],13,10),"")</f>
        <v>DE10538157</v>
      </c>
      <c r="I2524" s="103" t="s">
        <v>4784</v>
      </c>
      <c r="J2524" s="94" t="b">
        <f>Proc[[#This Row],[Requested]]=Proc[[#This Row],[CurrentParent]]</f>
        <v>1</v>
      </c>
      <c r="K2524" s="144" t="str">
        <f>IF(Proc[[#This Row],[Author]]="Marcela Urrego",VLOOKUP(LEFT(Proc[[#This Row],[Requested]],1),Table3[#All],2,0),VLOOKUP(Proc[[#This Row],[Author]],Table4[],2,0))</f>
        <v>MGF</v>
      </c>
      <c r="L2524" s="125" t="s">
        <v>4894</v>
      </c>
      <c r="M2524" s="109">
        <v>45841.453541666669</v>
      </c>
      <c r="N2524" s="109"/>
      <c r="O2524" s="109"/>
      <c r="P2524" s="110" t="str">
        <f ca="1">IF(Proc[[#This Row],[DaysAgeing]]&gt;5,"yep","on track")</f>
        <v>yep</v>
      </c>
      <c r="Q2524" s="3">
        <f ca="1">IF(Proc[[#This Row],[DateClosed]]="",ABS(NETWORKDAYS(Proc[[#This Row],[DateOpened]],TODAY()))-1,ABS(NETWORKDAYS(Proc[[#This Row],[DateOpened]],Proc[[#This Row],[DateClosed]]))-1)</f>
        <v>121</v>
      </c>
      <c r="R2524" s="110" t="s">
        <v>485</v>
      </c>
      <c r="S2524" s="94"/>
    </row>
    <row r="2525" spans="1:19" hidden="1">
      <c r="A2525" s="103" t="s">
        <v>4422</v>
      </c>
      <c r="B2525" s="149" t="str">
        <f>IFERROR(VLOOKUP(Proc[[#This Row],[App]],Table2[],3,0),"open")</f>
        <v>ok</v>
      </c>
      <c r="C2525" s="117" t="s">
        <v>369</v>
      </c>
      <c r="D2525" t="s">
        <v>4446</v>
      </c>
      <c r="E2525" t="s">
        <v>4737</v>
      </c>
      <c r="F2525" s="94" t="s">
        <v>4737</v>
      </c>
      <c r="G2525" s="103" t="s">
        <v>406</v>
      </c>
      <c r="H2525" s="94" t="str">
        <f>IF(Proc[[#This Row],[type]]="LFF (MDG-F)",MID(Proc[[#This Row],[Obj]],13,10),"")</f>
        <v>DE10538158</v>
      </c>
      <c r="I2525" s="103" t="s">
        <v>4784</v>
      </c>
      <c r="J2525" s="94" t="b">
        <f>Proc[[#This Row],[Requested]]=Proc[[#This Row],[CurrentParent]]</f>
        <v>1</v>
      </c>
      <c r="K2525" s="144" t="str">
        <f>IF(Proc[[#This Row],[Author]]="Marcela Urrego",VLOOKUP(LEFT(Proc[[#This Row],[Requested]],1),Table3[#All],2,0),VLOOKUP(Proc[[#This Row],[Author]],Table4[],2,0))</f>
        <v>MGF</v>
      </c>
      <c r="L2525" s="125" t="s">
        <v>4894</v>
      </c>
      <c r="M2525" s="109">
        <v>45841.453541666669</v>
      </c>
      <c r="N2525" s="109"/>
      <c r="O2525" s="109"/>
      <c r="P2525" s="110" t="str">
        <f ca="1">IF(Proc[[#This Row],[DaysAgeing]]&gt;5,"yep","on track")</f>
        <v>yep</v>
      </c>
      <c r="Q2525" s="3">
        <f ca="1">IF(Proc[[#This Row],[DateClosed]]="",ABS(NETWORKDAYS(Proc[[#This Row],[DateOpened]],TODAY()))-1,ABS(NETWORKDAYS(Proc[[#This Row],[DateOpened]],Proc[[#This Row],[DateClosed]]))-1)</f>
        <v>121</v>
      </c>
      <c r="R2525" s="110" t="s">
        <v>485</v>
      </c>
      <c r="S2525" s="94"/>
    </row>
    <row r="2526" spans="1:19" hidden="1">
      <c r="A2526" s="103" t="s">
        <v>4422</v>
      </c>
      <c r="B2526" s="149" t="str">
        <f>IFERROR(VLOOKUP(Proc[[#This Row],[App]],Table2[],3,0),"open")</f>
        <v>ok</v>
      </c>
      <c r="C2526" s="117" t="s">
        <v>369</v>
      </c>
      <c r="D2526" t="s">
        <v>4447</v>
      </c>
      <c r="E2526" t="s">
        <v>4737</v>
      </c>
      <c r="F2526" s="94" t="s">
        <v>4737</v>
      </c>
      <c r="G2526" s="103" t="s">
        <v>406</v>
      </c>
      <c r="H2526" s="94" t="str">
        <f>IF(Proc[[#This Row],[type]]="LFF (MDG-F)",MID(Proc[[#This Row],[Obj]],13,10),"")</f>
        <v>DE10538159</v>
      </c>
      <c r="I2526" s="103" t="s">
        <v>4784</v>
      </c>
      <c r="J2526" s="94" t="b">
        <f>Proc[[#This Row],[Requested]]=Proc[[#This Row],[CurrentParent]]</f>
        <v>1</v>
      </c>
      <c r="K2526" s="144" t="str">
        <f>IF(Proc[[#This Row],[Author]]="Marcela Urrego",VLOOKUP(LEFT(Proc[[#This Row],[Requested]],1),Table3[#All],2,0),VLOOKUP(Proc[[#This Row],[Author]],Table4[],2,0))</f>
        <v>MGF</v>
      </c>
      <c r="L2526" s="125" t="s">
        <v>4894</v>
      </c>
      <c r="M2526" s="109">
        <v>45841.453541666669</v>
      </c>
      <c r="N2526" s="109"/>
      <c r="O2526" s="109"/>
      <c r="P2526" s="110" t="str">
        <f ca="1">IF(Proc[[#This Row],[DaysAgeing]]&gt;5,"yep","on track")</f>
        <v>yep</v>
      </c>
      <c r="Q2526" s="3">
        <f ca="1">IF(Proc[[#This Row],[DateClosed]]="",ABS(NETWORKDAYS(Proc[[#This Row],[DateOpened]],TODAY()))-1,ABS(NETWORKDAYS(Proc[[#This Row],[DateOpened]],Proc[[#This Row],[DateClosed]]))-1)</f>
        <v>121</v>
      </c>
      <c r="R2526" s="110" t="s">
        <v>485</v>
      </c>
      <c r="S2526" s="94"/>
    </row>
    <row r="2527" spans="1:19" hidden="1">
      <c r="A2527" s="103" t="s">
        <v>4422</v>
      </c>
      <c r="B2527" s="149" t="str">
        <f>IFERROR(VLOOKUP(Proc[[#This Row],[App]],Table2[],3,0),"open")</f>
        <v>ok</v>
      </c>
      <c r="C2527" s="117" t="s">
        <v>369</v>
      </c>
      <c r="D2527" t="s">
        <v>4448</v>
      </c>
      <c r="E2527" t="s">
        <v>4737</v>
      </c>
      <c r="F2527" s="94" t="s">
        <v>4737</v>
      </c>
      <c r="G2527" s="103" t="s">
        <v>406</v>
      </c>
      <c r="H2527" s="94" t="str">
        <f>IF(Proc[[#This Row],[type]]="LFF (MDG-F)",MID(Proc[[#This Row],[Obj]],13,10),"")</f>
        <v>DE10538179</v>
      </c>
      <c r="I2527" s="103" t="s">
        <v>4784</v>
      </c>
      <c r="J2527" s="94" t="b">
        <f>Proc[[#This Row],[Requested]]=Proc[[#This Row],[CurrentParent]]</f>
        <v>1</v>
      </c>
      <c r="K2527" s="144" t="str">
        <f>IF(Proc[[#This Row],[Author]]="Marcela Urrego",VLOOKUP(LEFT(Proc[[#This Row],[Requested]],1),Table3[#All],2,0),VLOOKUP(Proc[[#This Row],[Author]],Table4[],2,0))</f>
        <v>MGF</v>
      </c>
      <c r="L2527" s="125" t="s">
        <v>4894</v>
      </c>
      <c r="M2527" s="109">
        <v>45841.453541666669</v>
      </c>
      <c r="N2527" s="109"/>
      <c r="O2527" s="109"/>
      <c r="P2527" s="110" t="str">
        <f ca="1">IF(Proc[[#This Row],[DaysAgeing]]&gt;5,"yep","on track")</f>
        <v>yep</v>
      </c>
      <c r="Q2527" s="3">
        <f ca="1">IF(Proc[[#This Row],[DateClosed]]="",ABS(NETWORKDAYS(Proc[[#This Row],[DateOpened]],TODAY()))-1,ABS(NETWORKDAYS(Proc[[#This Row],[DateOpened]],Proc[[#This Row],[DateClosed]]))-1)</f>
        <v>121</v>
      </c>
      <c r="R2527" s="110" t="s">
        <v>485</v>
      </c>
      <c r="S2527" s="94"/>
    </row>
    <row r="2528" spans="1:19" hidden="1">
      <c r="A2528" s="103" t="s">
        <v>4422</v>
      </c>
      <c r="B2528" s="149" t="str">
        <f>IFERROR(VLOOKUP(Proc[[#This Row],[App]],Table2[],3,0),"open")</f>
        <v>ok</v>
      </c>
      <c r="C2528" s="117" t="s">
        <v>369</v>
      </c>
      <c r="D2528" t="s">
        <v>4449</v>
      </c>
      <c r="E2528" t="s">
        <v>4739</v>
      </c>
      <c r="F2528" s="94" t="s">
        <v>4739</v>
      </c>
      <c r="G2528" s="103" t="s">
        <v>406</v>
      </c>
      <c r="H2528" s="94" t="str">
        <f>IF(Proc[[#This Row],[type]]="LFF (MDG-F)",MID(Proc[[#This Row],[Obj]],13,10),"")</f>
        <v>DE10538180</v>
      </c>
      <c r="I2528" s="103" t="s">
        <v>4784</v>
      </c>
      <c r="J2528" s="94" t="b">
        <f>Proc[[#This Row],[Requested]]=Proc[[#This Row],[CurrentParent]]</f>
        <v>1</v>
      </c>
      <c r="K2528" s="144" t="str">
        <f>IF(Proc[[#This Row],[Author]]="Marcela Urrego",VLOOKUP(LEFT(Proc[[#This Row],[Requested]],1),Table3[#All],2,0),VLOOKUP(Proc[[#This Row],[Author]],Table4[],2,0))</f>
        <v>MGF</v>
      </c>
      <c r="L2528" s="125" t="s">
        <v>4894</v>
      </c>
      <c r="M2528" s="109">
        <v>45841.453541666669</v>
      </c>
      <c r="N2528" s="109"/>
      <c r="O2528" s="109"/>
      <c r="P2528" s="110" t="str">
        <f ca="1">IF(Proc[[#This Row],[DaysAgeing]]&gt;5,"yep","on track")</f>
        <v>yep</v>
      </c>
      <c r="Q2528" s="3">
        <f ca="1">IF(Proc[[#This Row],[DateClosed]]="",ABS(NETWORKDAYS(Proc[[#This Row],[DateOpened]],TODAY()))-1,ABS(NETWORKDAYS(Proc[[#This Row],[DateOpened]],Proc[[#This Row],[DateClosed]]))-1)</f>
        <v>121</v>
      </c>
      <c r="R2528" s="110" t="s">
        <v>485</v>
      </c>
      <c r="S2528" s="94"/>
    </row>
    <row r="2529" spans="1:19" hidden="1">
      <c r="A2529" s="103" t="s">
        <v>4422</v>
      </c>
      <c r="B2529" s="149" t="str">
        <f>IFERROR(VLOOKUP(Proc[[#This Row],[App]],Table2[],3,0),"open")</f>
        <v>ok</v>
      </c>
      <c r="C2529" s="117" t="s">
        <v>369</v>
      </c>
      <c r="D2529" t="s">
        <v>4450</v>
      </c>
      <c r="E2529" t="s">
        <v>4737</v>
      </c>
      <c r="F2529" s="94" t="s">
        <v>4737</v>
      </c>
      <c r="G2529" s="103" t="s">
        <v>406</v>
      </c>
      <c r="H2529" s="94" t="str">
        <f>IF(Proc[[#This Row],[type]]="LFF (MDG-F)",MID(Proc[[#This Row],[Obj]],13,10),"")</f>
        <v>DE10538181</v>
      </c>
      <c r="I2529" s="103" t="s">
        <v>4784</v>
      </c>
      <c r="J2529" s="94" t="b">
        <f>Proc[[#This Row],[Requested]]=Proc[[#This Row],[CurrentParent]]</f>
        <v>1</v>
      </c>
      <c r="K2529" s="144" t="str">
        <f>IF(Proc[[#This Row],[Author]]="Marcela Urrego",VLOOKUP(LEFT(Proc[[#This Row],[Requested]],1),Table3[#All],2,0),VLOOKUP(Proc[[#This Row],[Author]],Table4[],2,0))</f>
        <v>MGF</v>
      </c>
      <c r="L2529" s="125" t="s">
        <v>4894</v>
      </c>
      <c r="M2529" s="109">
        <v>45841.453541666669</v>
      </c>
      <c r="N2529" s="109"/>
      <c r="O2529" s="109"/>
      <c r="P2529" s="110" t="str">
        <f ca="1">IF(Proc[[#This Row],[DaysAgeing]]&gt;5,"yep","on track")</f>
        <v>yep</v>
      </c>
      <c r="Q2529" s="3">
        <f ca="1">IF(Proc[[#This Row],[DateClosed]]="",ABS(NETWORKDAYS(Proc[[#This Row],[DateOpened]],TODAY()))-1,ABS(NETWORKDAYS(Proc[[#This Row],[DateOpened]],Proc[[#This Row],[DateClosed]]))-1)</f>
        <v>121</v>
      </c>
      <c r="R2529" s="110" t="s">
        <v>485</v>
      </c>
      <c r="S2529" s="94"/>
    </row>
    <row r="2530" spans="1:19" hidden="1">
      <c r="A2530" s="103" t="s">
        <v>4422</v>
      </c>
      <c r="B2530" s="149" t="str">
        <f>IFERROR(VLOOKUP(Proc[[#This Row],[App]],Table2[],3,0),"open")</f>
        <v>ok</v>
      </c>
      <c r="C2530" s="117" t="s">
        <v>369</v>
      </c>
      <c r="D2530" t="s">
        <v>4451</v>
      </c>
      <c r="E2530" t="s">
        <v>4737</v>
      </c>
      <c r="F2530" s="94" t="s">
        <v>4737</v>
      </c>
      <c r="G2530" s="103" t="s">
        <v>406</v>
      </c>
      <c r="H2530" s="94" t="str">
        <f>IF(Proc[[#This Row],[type]]="LFF (MDG-F)",MID(Proc[[#This Row],[Obj]],13,10),"")</f>
        <v>DE10538182</v>
      </c>
      <c r="I2530" s="103" t="s">
        <v>4784</v>
      </c>
      <c r="J2530" s="94" t="b">
        <f>Proc[[#This Row],[Requested]]=Proc[[#This Row],[CurrentParent]]</f>
        <v>1</v>
      </c>
      <c r="K2530" s="144" t="str">
        <f>IF(Proc[[#This Row],[Author]]="Marcela Urrego",VLOOKUP(LEFT(Proc[[#This Row],[Requested]],1),Table3[#All],2,0),VLOOKUP(Proc[[#This Row],[Author]],Table4[],2,0))</f>
        <v>MGF</v>
      </c>
      <c r="L2530" s="125" t="s">
        <v>4894</v>
      </c>
      <c r="M2530" s="109">
        <v>45841.453541666669</v>
      </c>
      <c r="N2530" s="109"/>
      <c r="O2530" s="109"/>
      <c r="P2530" s="110" t="str">
        <f ca="1">IF(Proc[[#This Row],[DaysAgeing]]&gt;5,"yep","on track")</f>
        <v>yep</v>
      </c>
      <c r="Q2530" s="3">
        <f ca="1">IF(Proc[[#This Row],[DateClosed]]="",ABS(NETWORKDAYS(Proc[[#This Row],[DateOpened]],TODAY()))-1,ABS(NETWORKDAYS(Proc[[#This Row],[DateOpened]],Proc[[#This Row],[DateClosed]]))-1)</f>
        <v>121</v>
      </c>
      <c r="R2530" s="110" t="s">
        <v>485</v>
      </c>
      <c r="S2530" s="94"/>
    </row>
    <row r="2531" spans="1:19" hidden="1">
      <c r="A2531" s="103" t="s">
        <v>4422</v>
      </c>
      <c r="B2531" s="149" t="str">
        <f>IFERROR(VLOOKUP(Proc[[#This Row],[App]],Table2[],3,0),"open")</f>
        <v>ok</v>
      </c>
      <c r="C2531" s="117" t="s">
        <v>369</v>
      </c>
      <c r="D2531" t="s">
        <v>4452</v>
      </c>
      <c r="E2531" t="s">
        <v>4737</v>
      </c>
      <c r="F2531" s="94" t="s">
        <v>4737</v>
      </c>
      <c r="G2531" s="103" t="s">
        <v>406</v>
      </c>
      <c r="H2531" s="94" t="str">
        <f>IF(Proc[[#This Row],[type]]="LFF (MDG-F)",MID(Proc[[#This Row],[Obj]],13,10),"")</f>
        <v>DE10538183</v>
      </c>
      <c r="I2531" s="103" t="s">
        <v>4784</v>
      </c>
      <c r="J2531" s="94" t="b">
        <f>Proc[[#This Row],[Requested]]=Proc[[#This Row],[CurrentParent]]</f>
        <v>1</v>
      </c>
      <c r="K2531" s="144" t="str">
        <f>IF(Proc[[#This Row],[Author]]="Marcela Urrego",VLOOKUP(LEFT(Proc[[#This Row],[Requested]],1),Table3[#All],2,0),VLOOKUP(Proc[[#This Row],[Author]],Table4[],2,0))</f>
        <v>MGF</v>
      </c>
      <c r="L2531" s="125" t="s">
        <v>4894</v>
      </c>
      <c r="M2531" s="109">
        <v>45841.453541666669</v>
      </c>
      <c r="N2531" s="109"/>
      <c r="O2531" s="109"/>
      <c r="P2531" s="110" t="str">
        <f ca="1">IF(Proc[[#This Row],[DaysAgeing]]&gt;5,"yep","on track")</f>
        <v>yep</v>
      </c>
      <c r="Q2531" s="3">
        <f ca="1">IF(Proc[[#This Row],[DateClosed]]="",ABS(NETWORKDAYS(Proc[[#This Row],[DateOpened]],TODAY()))-1,ABS(NETWORKDAYS(Proc[[#This Row],[DateOpened]],Proc[[#This Row],[DateClosed]]))-1)</f>
        <v>121</v>
      </c>
      <c r="R2531" s="110" t="s">
        <v>485</v>
      </c>
      <c r="S2531" s="94"/>
    </row>
    <row r="2532" spans="1:19" hidden="1">
      <c r="A2532" s="103" t="s">
        <v>4422</v>
      </c>
      <c r="B2532" s="149" t="str">
        <f>IFERROR(VLOOKUP(Proc[[#This Row],[App]],Table2[],3,0),"open")</f>
        <v>ok</v>
      </c>
      <c r="C2532" s="117" t="s">
        <v>369</v>
      </c>
      <c r="D2532" t="s">
        <v>4453</v>
      </c>
      <c r="E2532" t="s">
        <v>4739</v>
      </c>
      <c r="F2532" s="94" t="s">
        <v>4739</v>
      </c>
      <c r="G2532" s="103" t="s">
        <v>406</v>
      </c>
      <c r="H2532" s="94" t="str">
        <f>IF(Proc[[#This Row],[type]]="LFF (MDG-F)",MID(Proc[[#This Row],[Obj]],13,10),"")</f>
        <v>DE10538187</v>
      </c>
      <c r="I2532" s="103" t="s">
        <v>4784</v>
      </c>
      <c r="J2532" s="94" t="b">
        <f>Proc[[#This Row],[Requested]]=Proc[[#This Row],[CurrentParent]]</f>
        <v>1</v>
      </c>
      <c r="K2532" s="144" t="str">
        <f>IF(Proc[[#This Row],[Author]]="Marcela Urrego",VLOOKUP(LEFT(Proc[[#This Row],[Requested]],1),Table3[#All],2,0),VLOOKUP(Proc[[#This Row],[Author]],Table4[],2,0))</f>
        <v>MGF</v>
      </c>
      <c r="L2532" s="125" t="s">
        <v>4894</v>
      </c>
      <c r="M2532" s="109">
        <v>45841.453541666669</v>
      </c>
      <c r="N2532" s="109"/>
      <c r="O2532" s="109"/>
      <c r="P2532" s="110" t="str">
        <f ca="1">IF(Proc[[#This Row],[DaysAgeing]]&gt;5,"yep","on track")</f>
        <v>yep</v>
      </c>
      <c r="Q2532" s="3">
        <f ca="1">IF(Proc[[#This Row],[DateClosed]]="",ABS(NETWORKDAYS(Proc[[#This Row],[DateOpened]],TODAY()))-1,ABS(NETWORKDAYS(Proc[[#This Row],[DateOpened]],Proc[[#This Row],[DateClosed]]))-1)</f>
        <v>121</v>
      </c>
      <c r="R2532" s="110" t="s">
        <v>485</v>
      </c>
      <c r="S2532" s="94"/>
    </row>
    <row r="2533" spans="1:19" hidden="1">
      <c r="A2533" s="103" t="s">
        <v>4422</v>
      </c>
      <c r="B2533" s="149" t="str">
        <f>IFERROR(VLOOKUP(Proc[[#This Row],[App]],Table2[],3,0),"open")</f>
        <v>ok</v>
      </c>
      <c r="C2533" s="117" t="s">
        <v>369</v>
      </c>
      <c r="D2533" t="s">
        <v>4454</v>
      </c>
      <c r="E2533" t="s">
        <v>4737</v>
      </c>
      <c r="F2533" s="94" t="s">
        <v>4737</v>
      </c>
      <c r="G2533" s="103" t="s">
        <v>406</v>
      </c>
      <c r="H2533" s="94" t="str">
        <f>IF(Proc[[#This Row],[type]]="LFF (MDG-F)",MID(Proc[[#This Row],[Obj]],13,10),"")</f>
        <v>DE10538188</v>
      </c>
      <c r="I2533" s="103" t="s">
        <v>4784</v>
      </c>
      <c r="J2533" s="94" t="b">
        <f>Proc[[#This Row],[Requested]]=Proc[[#This Row],[CurrentParent]]</f>
        <v>1</v>
      </c>
      <c r="K2533" s="144" t="str">
        <f>IF(Proc[[#This Row],[Author]]="Marcela Urrego",VLOOKUP(LEFT(Proc[[#This Row],[Requested]],1),Table3[#All],2,0),VLOOKUP(Proc[[#This Row],[Author]],Table4[],2,0))</f>
        <v>MGF</v>
      </c>
      <c r="L2533" s="125" t="s">
        <v>4894</v>
      </c>
      <c r="M2533" s="109">
        <v>45841.453541666669</v>
      </c>
      <c r="N2533" s="109"/>
      <c r="O2533" s="109"/>
      <c r="P2533" s="110" t="str">
        <f ca="1">IF(Proc[[#This Row],[DaysAgeing]]&gt;5,"yep","on track")</f>
        <v>yep</v>
      </c>
      <c r="Q2533" s="3">
        <f ca="1">IF(Proc[[#This Row],[DateClosed]]="",ABS(NETWORKDAYS(Proc[[#This Row],[DateOpened]],TODAY()))-1,ABS(NETWORKDAYS(Proc[[#This Row],[DateOpened]],Proc[[#This Row],[DateClosed]]))-1)</f>
        <v>121</v>
      </c>
      <c r="R2533" s="110" t="s">
        <v>485</v>
      </c>
      <c r="S2533" s="94"/>
    </row>
    <row r="2534" spans="1:19" hidden="1">
      <c r="A2534" s="103" t="s">
        <v>4422</v>
      </c>
      <c r="B2534" s="149" t="str">
        <f>IFERROR(VLOOKUP(Proc[[#This Row],[App]],Table2[],3,0),"open")</f>
        <v>ok</v>
      </c>
      <c r="C2534" s="117" t="s">
        <v>369</v>
      </c>
      <c r="D2534" t="s">
        <v>4455</v>
      </c>
      <c r="E2534" t="s">
        <v>4737</v>
      </c>
      <c r="F2534" s="94" t="s">
        <v>4737</v>
      </c>
      <c r="G2534" s="103" t="s">
        <v>406</v>
      </c>
      <c r="H2534" s="94" t="str">
        <f>IF(Proc[[#This Row],[type]]="LFF (MDG-F)",MID(Proc[[#This Row],[Obj]],13,10),"")</f>
        <v>DE10538189</v>
      </c>
      <c r="I2534" s="103" t="s">
        <v>4784</v>
      </c>
      <c r="J2534" s="94" t="b">
        <f>Proc[[#This Row],[Requested]]=Proc[[#This Row],[CurrentParent]]</f>
        <v>1</v>
      </c>
      <c r="K2534" s="144" t="str">
        <f>IF(Proc[[#This Row],[Author]]="Marcela Urrego",VLOOKUP(LEFT(Proc[[#This Row],[Requested]],1),Table3[#All],2,0),VLOOKUP(Proc[[#This Row],[Author]],Table4[],2,0))</f>
        <v>MGF</v>
      </c>
      <c r="L2534" s="125" t="s">
        <v>4894</v>
      </c>
      <c r="M2534" s="109">
        <v>45841.453541666669</v>
      </c>
      <c r="N2534" s="109"/>
      <c r="O2534" s="109"/>
      <c r="P2534" s="110" t="str">
        <f ca="1">IF(Proc[[#This Row],[DaysAgeing]]&gt;5,"yep","on track")</f>
        <v>yep</v>
      </c>
      <c r="Q2534" s="3">
        <f ca="1">IF(Proc[[#This Row],[DateClosed]]="",ABS(NETWORKDAYS(Proc[[#This Row],[DateOpened]],TODAY()))-1,ABS(NETWORKDAYS(Proc[[#This Row],[DateOpened]],Proc[[#This Row],[DateClosed]]))-1)</f>
        <v>121</v>
      </c>
      <c r="R2534" s="110" t="s">
        <v>485</v>
      </c>
      <c r="S2534" s="94"/>
    </row>
    <row r="2535" spans="1:19" hidden="1">
      <c r="A2535" s="103" t="s">
        <v>4422</v>
      </c>
      <c r="B2535" s="149" t="str">
        <f>IFERROR(VLOOKUP(Proc[[#This Row],[App]],Table2[],3,0),"open")</f>
        <v>ok</v>
      </c>
      <c r="C2535" s="117" t="s">
        <v>369</v>
      </c>
      <c r="D2535" t="s">
        <v>4456</v>
      </c>
      <c r="E2535" t="s">
        <v>4737</v>
      </c>
      <c r="F2535" s="94" t="s">
        <v>4737</v>
      </c>
      <c r="G2535" s="103" t="s">
        <v>406</v>
      </c>
      <c r="H2535" s="94" t="str">
        <f>IF(Proc[[#This Row],[type]]="LFF (MDG-F)",MID(Proc[[#This Row],[Obj]],13,10),"")</f>
        <v>DE10538196</v>
      </c>
      <c r="I2535" s="103" t="s">
        <v>4784</v>
      </c>
      <c r="J2535" s="94" t="b">
        <f>Proc[[#This Row],[Requested]]=Proc[[#This Row],[CurrentParent]]</f>
        <v>1</v>
      </c>
      <c r="K2535" s="144" t="str">
        <f>IF(Proc[[#This Row],[Author]]="Marcela Urrego",VLOOKUP(LEFT(Proc[[#This Row],[Requested]],1),Table3[#All],2,0),VLOOKUP(Proc[[#This Row],[Author]],Table4[],2,0))</f>
        <v>MGF</v>
      </c>
      <c r="L2535" s="125" t="s">
        <v>4894</v>
      </c>
      <c r="M2535" s="109">
        <v>45841.453541666669</v>
      </c>
      <c r="N2535" s="109"/>
      <c r="O2535" s="109"/>
      <c r="P2535" s="110" t="str">
        <f ca="1">IF(Proc[[#This Row],[DaysAgeing]]&gt;5,"yep","on track")</f>
        <v>yep</v>
      </c>
      <c r="Q2535" s="3">
        <f ca="1">IF(Proc[[#This Row],[DateClosed]]="",ABS(NETWORKDAYS(Proc[[#This Row],[DateOpened]],TODAY()))-1,ABS(NETWORKDAYS(Proc[[#This Row],[DateOpened]],Proc[[#This Row],[DateClosed]]))-1)</f>
        <v>121</v>
      </c>
      <c r="R2535" s="110" t="s">
        <v>485</v>
      </c>
      <c r="S2535" s="94"/>
    </row>
    <row r="2536" spans="1:19" hidden="1">
      <c r="A2536" s="103" t="s">
        <v>4422</v>
      </c>
      <c r="B2536" s="149" t="str">
        <f>IFERROR(VLOOKUP(Proc[[#This Row],[App]],Table2[],3,0),"open")</f>
        <v>ok</v>
      </c>
      <c r="C2536" s="117" t="s">
        <v>369</v>
      </c>
      <c r="D2536" t="s">
        <v>4457</v>
      </c>
      <c r="E2536" t="s">
        <v>4738</v>
      </c>
      <c r="F2536" s="94" t="s">
        <v>4738</v>
      </c>
      <c r="G2536" s="103" t="s">
        <v>406</v>
      </c>
      <c r="H2536" s="94" t="str">
        <f>IF(Proc[[#This Row],[type]]="LFF (MDG-F)",MID(Proc[[#This Row],[Obj]],13,10),"")</f>
        <v>DE10538236</v>
      </c>
      <c r="I2536" s="103" t="s">
        <v>4784</v>
      </c>
      <c r="J2536" s="94" t="b">
        <f>Proc[[#This Row],[Requested]]=Proc[[#This Row],[CurrentParent]]</f>
        <v>1</v>
      </c>
      <c r="K2536" s="144" t="str">
        <f>IF(Proc[[#This Row],[Author]]="Marcela Urrego",VLOOKUP(LEFT(Proc[[#This Row],[Requested]],1),Table3[#All],2,0),VLOOKUP(Proc[[#This Row],[Author]],Table4[],2,0))</f>
        <v>MGF</v>
      </c>
      <c r="L2536" s="125" t="s">
        <v>4894</v>
      </c>
      <c r="M2536" s="109">
        <v>45841.453541666669</v>
      </c>
      <c r="N2536" s="109"/>
      <c r="O2536" s="109"/>
      <c r="P2536" s="110" t="str">
        <f ca="1">IF(Proc[[#This Row],[DaysAgeing]]&gt;5,"yep","on track")</f>
        <v>yep</v>
      </c>
      <c r="Q2536" s="3">
        <f ca="1">IF(Proc[[#This Row],[DateClosed]]="",ABS(NETWORKDAYS(Proc[[#This Row],[DateOpened]],TODAY()))-1,ABS(NETWORKDAYS(Proc[[#This Row],[DateOpened]],Proc[[#This Row],[DateClosed]]))-1)</f>
        <v>121</v>
      </c>
      <c r="R2536" s="110" t="s">
        <v>485</v>
      </c>
      <c r="S2536" s="94"/>
    </row>
    <row r="2537" spans="1:19" hidden="1">
      <c r="A2537" s="103" t="s">
        <v>4422</v>
      </c>
      <c r="B2537" s="149" t="str">
        <f>IFERROR(VLOOKUP(Proc[[#This Row],[App]],Table2[],3,0),"open")</f>
        <v>ok</v>
      </c>
      <c r="C2537" s="117" t="s">
        <v>369</v>
      </c>
      <c r="D2537" t="s">
        <v>4458</v>
      </c>
      <c r="E2537" t="s">
        <v>4737</v>
      </c>
      <c r="F2537" s="94" t="s">
        <v>4737</v>
      </c>
      <c r="G2537" s="103" t="s">
        <v>406</v>
      </c>
      <c r="H2537" s="94" t="str">
        <f>IF(Proc[[#This Row],[type]]="LFF (MDG-F)",MID(Proc[[#This Row],[Obj]],13,10),"")</f>
        <v>DE10538470</v>
      </c>
      <c r="I2537" s="103" t="s">
        <v>4784</v>
      </c>
      <c r="J2537" s="94" t="b">
        <f>Proc[[#This Row],[Requested]]=Proc[[#This Row],[CurrentParent]]</f>
        <v>1</v>
      </c>
      <c r="K2537" s="144" t="str">
        <f>IF(Proc[[#This Row],[Author]]="Marcela Urrego",VLOOKUP(LEFT(Proc[[#This Row],[Requested]],1),Table3[#All],2,0),VLOOKUP(Proc[[#This Row],[Author]],Table4[],2,0))</f>
        <v>MGF</v>
      </c>
      <c r="L2537" s="125" t="s">
        <v>4894</v>
      </c>
      <c r="M2537" s="109">
        <v>45841.453541666669</v>
      </c>
      <c r="N2537" s="109"/>
      <c r="O2537" s="109"/>
      <c r="P2537" s="110" t="str">
        <f ca="1">IF(Proc[[#This Row],[DaysAgeing]]&gt;5,"yep","on track")</f>
        <v>yep</v>
      </c>
      <c r="Q2537" s="3">
        <f ca="1">IF(Proc[[#This Row],[DateClosed]]="",ABS(NETWORKDAYS(Proc[[#This Row],[DateOpened]],TODAY()))-1,ABS(NETWORKDAYS(Proc[[#This Row],[DateOpened]],Proc[[#This Row],[DateClosed]]))-1)</f>
        <v>121</v>
      </c>
      <c r="R2537" s="110" t="s">
        <v>485</v>
      </c>
      <c r="S2537" s="94"/>
    </row>
    <row r="2538" spans="1:19" hidden="1">
      <c r="A2538" s="103" t="s">
        <v>4422</v>
      </c>
      <c r="B2538" s="149" t="str">
        <f>IFERROR(VLOOKUP(Proc[[#This Row],[App]],Table2[],3,0),"open")</f>
        <v>ok</v>
      </c>
      <c r="C2538" s="117" t="s">
        <v>369</v>
      </c>
      <c r="D2538" t="s">
        <v>4459</v>
      </c>
      <c r="E2538" t="s">
        <v>4739</v>
      </c>
      <c r="F2538" s="94" t="s">
        <v>4739</v>
      </c>
      <c r="G2538" s="103" t="s">
        <v>406</v>
      </c>
      <c r="H2538" s="94" t="str">
        <f>IF(Proc[[#This Row],[type]]="LFF (MDG-F)",MID(Proc[[#This Row],[Obj]],13,10),"")</f>
        <v>DE10538472</v>
      </c>
      <c r="I2538" s="103" t="s">
        <v>4784</v>
      </c>
      <c r="J2538" s="94" t="b">
        <f>Proc[[#This Row],[Requested]]=Proc[[#This Row],[CurrentParent]]</f>
        <v>1</v>
      </c>
      <c r="K2538" s="144" t="str">
        <f>IF(Proc[[#This Row],[Author]]="Marcela Urrego",VLOOKUP(LEFT(Proc[[#This Row],[Requested]],1),Table3[#All],2,0),VLOOKUP(Proc[[#This Row],[Author]],Table4[],2,0))</f>
        <v>MGF</v>
      </c>
      <c r="L2538" s="125" t="s">
        <v>4894</v>
      </c>
      <c r="M2538" s="109">
        <v>45841.453541666669</v>
      </c>
      <c r="N2538" s="109"/>
      <c r="O2538" s="109"/>
      <c r="P2538" s="110" t="str">
        <f ca="1">IF(Proc[[#This Row],[DaysAgeing]]&gt;5,"yep","on track")</f>
        <v>yep</v>
      </c>
      <c r="Q2538" s="3">
        <f ca="1">IF(Proc[[#This Row],[DateClosed]]="",ABS(NETWORKDAYS(Proc[[#This Row],[DateOpened]],TODAY()))-1,ABS(NETWORKDAYS(Proc[[#This Row],[DateOpened]],Proc[[#This Row],[DateClosed]]))-1)</f>
        <v>121</v>
      </c>
      <c r="R2538" s="110" t="s">
        <v>485</v>
      </c>
      <c r="S2538" s="94"/>
    </row>
    <row r="2539" spans="1:19" hidden="1">
      <c r="A2539" s="103" t="s">
        <v>4422</v>
      </c>
      <c r="B2539" s="149" t="str">
        <f>IFERROR(VLOOKUP(Proc[[#This Row],[App]],Table2[],3,0),"open")</f>
        <v>ok</v>
      </c>
      <c r="C2539" s="117" t="s">
        <v>369</v>
      </c>
      <c r="D2539" t="s">
        <v>4460</v>
      </c>
      <c r="E2539" t="s">
        <v>4739</v>
      </c>
      <c r="F2539" s="94" t="s">
        <v>4739</v>
      </c>
      <c r="G2539" s="103" t="s">
        <v>406</v>
      </c>
      <c r="H2539" s="94" t="str">
        <f>IF(Proc[[#This Row],[type]]="LFF (MDG-F)",MID(Proc[[#This Row],[Obj]],13,10),"")</f>
        <v>DE10538473</v>
      </c>
      <c r="I2539" s="103" t="s">
        <v>4784</v>
      </c>
      <c r="J2539" s="94" t="b">
        <f>Proc[[#This Row],[Requested]]=Proc[[#This Row],[CurrentParent]]</f>
        <v>1</v>
      </c>
      <c r="K2539" s="144" t="str">
        <f>IF(Proc[[#This Row],[Author]]="Marcela Urrego",VLOOKUP(LEFT(Proc[[#This Row],[Requested]],1),Table3[#All],2,0),VLOOKUP(Proc[[#This Row],[Author]],Table4[],2,0))</f>
        <v>MGF</v>
      </c>
      <c r="L2539" s="125" t="s">
        <v>4894</v>
      </c>
      <c r="M2539" s="109">
        <v>45841.453541666669</v>
      </c>
      <c r="N2539" s="109"/>
      <c r="O2539" s="109"/>
      <c r="P2539" s="110" t="str">
        <f ca="1">IF(Proc[[#This Row],[DaysAgeing]]&gt;5,"yep","on track")</f>
        <v>yep</v>
      </c>
      <c r="Q2539" s="3">
        <f ca="1">IF(Proc[[#This Row],[DateClosed]]="",ABS(NETWORKDAYS(Proc[[#This Row],[DateOpened]],TODAY()))-1,ABS(NETWORKDAYS(Proc[[#This Row],[DateOpened]],Proc[[#This Row],[DateClosed]]))-1)</f>
        <v>121</v>
      </c>
      <c r="R2539" s="110" t="s">
        <v>485</v>
      </c>
      <c r="S2539" s="94"/>
    </row>
    <row r="2540" spans="1:19" hidden="1">
      <c r="A2540" s="103" t="s">
        <v>4422</v>
      </c>
      <c r="B2540" s="149" t="str">
        <f>IFERROR(VLOOKUP(Proc[[#This Row],[App]],Table2[],3,0),"open")</f>
        <v>ok</v>
      </c>
      <c r="C2540" s="117" t="s">
        <v>369</v>
      </c>
      <c r="D2540" t="s">
        <v>4461</v>
      </c>
      <c r="E2540" t="s">
        <v>4737</v>
      </c>
      <c r="F2540" s="94" t="s">
        <v>4737</v>
      </c>
      <c r="G2540" s="103" t="s">
        <v>406</v>
      </c>
      <c r="H2540" s="94" t="str">
        <f>IF(Proc[[#This Row],[type]]="LFF (MDG-F)",MID(Proc[[#This Row],[Obj]],13,10),"")</f>
        <v>DE10538762</v>
      </c>
      <c r="I2540" s="103" t="s">
        <v>4784</v>
      </c>
      <c r="J2540" s="94" t="b">
        <f>Proc[[#This Row],[Requested]]=Proc[[#This Row],[CurrentParent]]</f>
        <v>1</v>
      </c>
      <c r="K2540" s="144" t="str">
        <f>IF(Proc[[#This Row],[Author]]="Marcela Urrego",VLOOKUP(LEFT(Proc[[#This Row],[Requested]],1),Table3[#All],2,0),VLOOKUP(Proc[[#This Row],[Author]],Table4[],2,0))</f>
        <v>MGF</v>
      </c>
      <c r="L2540" s="125" t="s">
        <v>4894</v>
      </c>
      <c r="M2540" s="109">
        <v>45841.453541666669</v>
      </c>
      <c r="N2540" s="109"/>
      <c r="O2540" s="109"/>
      <c r="P2540" s="110" t="str">
        <f ca="1">IF(Proc[[#This Row],[DaysAgeing]]&gt;5,"yep","on track")</f>
        <v>yep</v>
      </c>
      <c r="Q2540" s="3">
        <f ca="1">IF(Proc[[#This Row],[DateClosed]]="",ABS(NETWORKDAYS(Proc[[#This Row],[DateOpened]],TODAY()))-1,ABS(NETWORKDAYS(Proc[[#This Row],[DateOpened]],Proc[[#This Row],[DateClosed]]))-1)</f>
        <v>121</v>
      </c>
      <c r="R2540" s="110" t="s">
        <v>485</v>
      </c>
      <c r="S2540" s="94"/>
    </row>
    <row r="2541" spans="1:19" hidden="1">
      <c r="A2541" s="103" t="s">
        <v>4422</v>
      </c>
      <c r="B2541" s="149" t="str">
        <f>IFERROR(VLOOKUP(Proc[[#This Row],[App]],Table2[],3,0),"open")</f>
        <v>ok</v>
      </c>
      <c r="C2541" s="117" t="s">
        <v>369</v>
      </c>
      <c r="D2541" t="s">
        <v>4462</v>
      </c>
      <c r="E2541" t="s">
        <v>4737</v>
      </c>
      <c r="F2541" s="94" t="s">
        <v>4737</v>
      </c>
      <c r="G2541" s="103" t="s">
        <v>406</v>
      </c>
      <c r="H2541" s="94" t="str">
        <f>IF(Proc[[#This Row],[type]]="LFF (MDG-F)",MID(Proc[[#This Row],[Obj]],13,10),"")</f>
        <v>DE10538961</v>
      </c>
      <c r="I2541" s="103" t="s">
        <v>4784</v>
      </c>
      <c r="J2541" s="94" t="b">
        <f>Proc[[#This Row],[Requested]]=Proc[[#This Row],[CurrentParent]]</f>
        <v>1</v>
      </c>
      <c r="K2541" s="144" t="str">
        <f>IF(Proc[[#This Row],[Author]]="Marcela Urrego",VLOOKUP(LEFT(Proc[[#This Row],[Requested]],1),Table3[#All],2,0),VLOOKUP(Proc[[#This Row],[Author]],Table4[],2,0))</f>
        <v>MGF</v>
      </c>
      <c r="L2541" s="125" t="s">
        <v>4894</v>
      </c>
      <c r="M2541" s="109">
        <v>45841.453541666669</v>
      </c>
      <c r="N2541" s="109"/>
      <c r="O2541" s="109"/>
      <c r="P2541" s="110" t="str">
        <f ca="1">IF(Proc[[#This Row],[DaysAgeing]]&gt;5,"yep","on track")</f>
        <v>yep</v>
      </c>
      <c r="Q2541" s="3">
        <f ca="1">IF(Proc[[#This Row],[DateClosed]]="",ABS(NETWORKDAYS(Proc[[#This Row],[DateOpened]],TODAY()))-1,ABS(NETWORKDAYS(Proc[[#This Row],[DateOpened]],Proc[[#This Row],[DateClosed]]))-1)</f>
        <v>121</v>
      </c>
      <c r="R2541" s="110" t="s">
        <v>485</v>
      </c>
      <c r="S2541" s="94"/>
    </row>
    <row r="2542" spans="1:19" hidden="1">
      <c r="A2542" s="103" t="s">
        <v>4422</v>
      </c>
      <c r="B2542" s="149" t="str">
        <f>IFERROR(VLOOKUP(Proc[[#This Row],[App]],Table2[],3,0),"open")</f>
        <v>ok</v>
      </c>
      <c r="C2542" s="117" t="s">
        <v>369</v>
      </c>
      <c r="D2542" t="s">
        <v>4463</v>
      </c>
      <c r="E2542" t="s">
        <v>4737</v>
      </c>
      <c r="F2542" s="94" t="s">
        <v>4737</v>
      </c>
      <c r="G2542" s="103" t="s">
        <v>406</v>
      </c>
      <c r="H2542" s="94" t="str">
        <f>IF(Proc[[#This Row],[type]]="LFF (MDG-F)",MID(Proc[[#This Row],[Obj]],13,10),"")</f>
        <v>DE10538962</v>
      </c>
      <c r="I2542" s="103" t="s">
        <v>4784</v>
      </c>
      <c r="J2542" s="94" t="b">
        <f>Proc[[#This Row],[Requested]]=Proc[[#This Row],[CurrentParent]]</f>
        <v>1</v>
      </c>
      <c r="K2542" s="144" t="str">
        <f>IF(Proc[[#This Row],[Author]]="Marcela Urrego",VLOOKUP(LEFT(Proc[[#This Row],[Requested]],1),Table3[#All],2,0),VLOOKUP(Proc[[#This Row],[Author]],Table4[],2,0))</f>
        <v>MGF</v>
      </c>
      <c r="L2542" s="125" t="s">
        <v>4894</v>
      </c>
      <c r="M2542" s="109">
        <v>45841.453541666669</v>
      </c>
      <c r="N2542" s="109"/>
      <c r="O2542" s="109"/>
      <c r="P2542" s="110" t="str">
        <f ca="1">IF(Proc[[#This Row],[DaysAgeing]]&gt;5,"yep","on track")</f>
        <v>yep</v>
      </c>
      <c r="Q2542" s="3">
        <f ca="1">IF(Proc[[#This Row],[DateClosed]]="",ABS(NETWORKDAYS(Proc[[#This Row],[DateOpened]],TODAY()))-1,ABS(NETWORKDAYS(Proc[[#This Row],[DateOpened]],Proc[[#This Row],[DateClosed]]))-1)</f>
        <v>121</v>
      </c>
      <c r="R2542" s="110" t="s">
        <v>485</v>
      </c>
      <c r="S2542" s="94"/>
    </row>
    <row r="2543" spans="1:19" hidden="1">
      <c r="A2543" s="103" t="s">
        <v>4422</v>
      </c>
      <c r="B2543" s="149" t="str">
        <f>IFERROR(VLOOKUP(Proc[[#This Row],[App]],Table2[],3,0),"open")</f>
        <v>ok</v>
      </c>
      <c r="C2543" s="117" t="s">
        <v>369</v>
      </c>
      <c r="D2543" t="s">
        <v>4464</v>
      </c>
      <c r="E2543" t="s">
        <v>4738</v>
      </c>
      <c r="F2543" s="94" t="s">
        <v>4738</v>
      </c>
      <c r="G2543" s="103" t="s">
        <v>406</v>
      </c>
      <c r="H2543" s="94" t="str">
        <f>IF(Proc[[#This Row],[type]]="LFF (MDG-F)",MID(Proc[[#This Row],[Obj]],13,10),"")</f>
        <v>DE10538963</v>
      </c>
      <c r="I2543" s="103" t="s">
        <v>4784</v>
      </c>
      <c r="J2543" s="94" t="b">
        <f>Proc[[#This Row],[Requested]]=Proc[[#This Row],[CurrentParent]]</f>
        <v>1</v>
      </c>
      <c r="K2543" s="144" t="str">
        <f>IF(Proc[[#This Row],[Author]]="Marcela Urrego",VLOOKUP(LEFT(Proc[[#This Row],[Requested]],1),Table3[#All],2,0),VLOOKUP(Proc[[#This Row],[Author]],Table4[],2,0))</f>
        <v>MGF</v>
      </c>
      <c r="L2543" s="125" t="s">
        <v>4894</v>
      </c>
      <c r="M2543" s="109">
        <v>45841.453541666669</v>
      </c>
      <c r="N2543" s="109"/>
      <c r="O2543" s="109"/>
      <c r="P2543" s="110" t="str">
        <f ca="1">IF(Proc[[#This Row],[DaysAgeing]]&gt;5,"yep","on track")</f>
        <v>yep</v>
      </c>
      <c r="Q2543" s="3">
        <f ca="1">IF(Proc[[#This Row],[DateClosed]]="",ABS(NETWORKDAYS(Proc[[#This Row],[DateOpened]],TODAY()))-1,ABS(NETWORKDAYS(Proc[[#This Row],[DateOpened]],Proc[[#This Row],[DateClosed]]))-1)</f>
        <v>121</v>
      </c>
      <c r="R2543" s="110" t="s">
        <v>485</v>
      </c>
      <c r="S2543" s="94"/>
    </row>
    <row r="2544" spans="1:19" hidden="1">
      <c r="A2544" s="103" t="s">
        <v>4422</v>
      </c>
      <c r="B2544" s="149" t="str">
        <f>IFERROR(VLOOKUP(Proc[[#This Row],[App]],Table2[],3,0),"open")</f>
        <v>ok</v>
      </c>
      <c r="C2544" s="117" t="s">
        <v>369</v>
      </c>
      <c r="D2544" t="s">
        <v>4465</v>
      </c>
      <c r="E2544" t="s">
        <v>4738</v>
      </c>
      <c r="F2544" s="94" t="s">
        <v>4738</v>
      </c>
      <c r="G2544" s="103" t="s">
        <v>406</v>
      </c>
      <c r="H2544" s="94" t="str">
        <f>IF(Proc[[#This Row],[type]]="LFF (MDG-F)",MID(Proc[[#This Row],[Obj]],13,10),"")</f>
        <v>DE10538964</v>
      </c>
      <c r="I2544" s="103" t="s">
        <v>4784</v>
      </c>
      <c r="J2544" s="94" t="b">
        <f>Proc[[#This Row],[Requested]]=Proc[[#This Row],[CurrentParent]]</f>
        <v>1</v>
      </c>
      <c r="K2544" s="144" t="str">
        <f>IF(Proc[[#This Row],[Author]]="Marcela Urrego",VLOOKUP(LEFT(Proc[[#This Row],[Requested]],1),Table3[#All],2,0),VLOOKUP(Proc[[#This Row],[Author]],Table4[],2,0))</f>
        <v>MGF</v>
      </c>
      <c r="L2544" s="125" t="s">
        <v>4894</v>
      </c>
      <c r="M2544" s="109">
        <v>45841.453541666669</v>
      </c>
      <c r="N2544" s="109"/>
      <c r="O2544" s="109"/>
      <c r="P2544" s="110" t="str">
        <f ca="1">IF(Proc[[#This Row],[DaysAgeing]]&gt;5,"yep","on track")</f>
        <v>yep</v>
      </c>
      <c r="Q2544" s="3">
        <f ca="1">IF(Proc[[#This Row],[DateClosed]]="",ABS(NETWORKDAYS(Proc[[#This Row],[DateOpened]],TODAY()))-1,ABS(NETWORKDAYS(Proc[[#This Row],[DateOpened]],Proc[[#This Row],[DateClosed]]))-1)</f>
        <v>121</v>
      </c>
      <c r="R2544" s="110" t="s">
        <v>485</v>
      </c>
      <c r="S2544" s="94"/>
    </row>
    <row r="2545" spans="1:19" hidden="1">
      <c r="A2545" s="103" t="s">
        <v>4422</v>
      </c>
      <c r="B2545" s="149" t="str">
        <f>IFERROR(VLOOKUP(Proc[[#This Row],[App]],Table2[],3,0),"open")</f>
        <v>ok</v>
      </c>
      <c r="C2545" s="117" t="s">
        <v>369</v>
      </c>
      <c r="D2545" t="s">
        <v>4466</v>
      </c>
      <c r="E2545" t="s">
        <v>4738</v>
      </c>
      <c r="F2545" s="94" t="s">
        <v>4738</v>
      </c>
      <c r="G2545" s="103" t="s">
        <v>406</v>
      </c>
      <c r="H2545" s="94" t="str">
        <f>IF(Proc[[#This Row],[type]]="LFF (MDG-F)",MID(Proc[[#This Row],[Obj]],13,10),"")</f>
        <v>DE10538965</v>
      </c>
      <c r="I2545" s="103" t="s">
        <v>4784</v>
      </c>
      <c r="J2545" s="94" t="b">
        <f>Proc[[#This Row],[Requested]]=Proc[[#This Row],[CurrentParent]]</f>
        <v>1</v>
      </c>
      <c r="K2545" s="144" t="str">
        <f>IF(Proc[[#This Row],[Author]]="Marcela Urrego",VLOOKUP(LEFT(Proc[[#This Row],[Requested]],1),Table3[#All],2,0),VLOOKUP(Proc[[#This Row],[Author]],Table4[],2,0))</f>
        <v>MGF</v>
      </c>
      <c r="L2545" s="125" t="s">
        <v>4894</v>
      </c>
      <c r="M2545" s="109">
        <v>45841.453541666669</v>
      </c>
      <c r="N2545" s="109"/>
      <c r="O2545" s="109"/>
      <c r="P2545" s="110" t="str">
        <f ca="1">IF(Proc[[#This Row],[DaysAgeing]]&gt;5,"yep","on track")</f>
        <v>yep</v>
      </c>
      <c r="Q2545" s="3">
        <f ca="1">IF(Proc[[#This Row],[DateClosed]]="",ABS(NETWORKDAYS(Proc[[#This Row],[DateOpened]],TODAY()))-1,ABS(NETWORKDAYS(Proc[[#This Row],[DateOpened]],Proc[[#This Row],[DateClosed]]))-1)</f>
        <v>121</v>
      </c>
      <c r="R2545" s="110" t="s">
        <v>485</v>
      </c>
      <c r="S2545" s="94"/>
    </row>
    <row r="2546" spans="1:19" hidden="1">
      <c r="A2546" s="103" t="s">
        <v>4422</v>
      </c>
      <c r="B2546" s="149" t="str">
        <f>IFERROR(VLOOKUP(Proc[[#This Row],[App]],Table2[],3,0),"open")</f>
        <v>ok</v>
      </c>
      <c r="C2546" s="117" t="s">
        <v>369</v>
      </c>
      <c r="D2546" t="s">
        <v>4467</v>
      </c>
      <c r="E2546" t="s">
        <v>4738</v>
      </c>
      <c r="F2546" s="94" t="s">
        <v>4738</v>
      </c>
      <c r="G2546" s="103" t="s">
        <v>406</v>
      </c>
      <c r="H2546" s="94" t="str">
        <f>IF(Proc[[#This Row],[type]]="LFF (MDG-F)",MID(Proc[[#This Row],[Obj]],13,10),"")</f>
        <v>DE10538966</v>
      </c>
      <c r="I2546" s="103" t="s">
        <v>4784</v>
      </c>
      <c r="J2546" s="94" t="b">
        <f>Proc[[#This Row],[Requested]]=Proc[[#This Row],[CurrentParent]]</f>
        <v>1</v>
      </c>
      <c r="K2546" s="144" t="str">
        <f>IF(Proc[[#This Row],[Author]]="Marcela Urrego",VLOOKUP(LEFT(Proc[[#This Row],[Requested]],1),Table3[#All],2,0),VLOOKUP(Proc[[#This Row],[Author]],Table4[],2,0))</f>
        <v>MGF</v>
      </c>
      <c r="L2546" s="125" t="s">
        <v>4894</v>
      </c>
      <c r="M2546" s="109">
        <v>45841.453541666669</v>
      </c>
      <c r="N2546" s="109"/>
      <c r="O2546" s="109"/>
      <c r="P2546" s="110" t="str">
        <f ca="1">IF(Proc[[#This Row],[DaysAgeing]]&gt;5,"yep","on track")</f>
        <v>yep</v>
      </c>
      <c r="Q2546" s="3">
        <f ca="1">IF(Proc[[#This Row],[DateClosed]]="",ABS(NETWORKDAYS(Proc[[#This Row],[DateOpened]],TODAY()))-1,ABS(NETWORKDAYS(Proc[[#This Row],[DateOpened]],Proc[[#This Row],[DateClosed]]))-1)</f>
        <v>121</v>
      </c>
      <c r="R2546" s="110" t="s">
        <v>485</v>
      </c>
      <c r="S2546" s="94"/>
    </row>
    <row r="2547" spans="1:19" hidden="1">
      <c r="A2547" s="103" t="s">
        <v>4422</v>
      </c>
      <c r="B2547" s="149" t="str">
        <f>IFERROR(VLOOKUP(Proc[[#This Row],[App]],Table2[],3,0),"open")</f>
        <v>ok</v>
      </c>
      <c r="C2547" s="117" t="s">
        <v>369</v>
      </c>
      <c r="D2547" t="s">
        <v>4468</v>
      </c>
      <c r="E2547" t="s">
        <v>4738</v>
      </c>
      <c r="F2547" s="94" t="s">
        <v>4738</v>
      </c>
      <c r="G2547" s="103" t="s">
        <v>406</v>
      </c>
      <c r="H2547" s="94" t="str">
        <f>IF(Proc[[#This Row],[type]]="LFF (MDG-F)",MID(Proc[[#This Row],[Obj]],13,10),"")</f>
        <v>DE10538967</v>
      </c>
      <c r="I2547" s="103" t="s">
        <v>4784</v>
      </c>
      <c r="J2547" s="94" t="b">
        <f>Proc[[#This Row],[Requested]]=Proc[[#This Row],[CurrentParent]]</f>
        <v>1</v>
      </c>
      <c r="K2547" s="144" t="str">
        <f>IF(Proc[[#This Row],[Author]]="Marcela Urrego",VLOOKUP(LEFT(Proc[[#This Row],[Requested]],1),Table3[#All],2,0),VLOOKUP(Proc[[#This Row],[Author]],Table4[],2,0))</f>
        <v>MGF</v>
      </c>
      <c r="L2547" s="125" t="s">
        <v>4894</v>
      </c>
      <c r="M2547" s="109">
        <v>45841.453541666669</v>
      </c>
      <c r="N2547" s="109"/>
      <c r="O2547" s="109"/>
      <c r="P2547" s="110" t="str">
        <f ca="1">IF(Proc[[#This Row],[DaysAgeing]]&gt;5,"yep","on track")</f>
        <v>yep</v>
      </c>
      <c r="Q2547" s="3">
        <f ca="1">IF(Proc[[#This Row],[DateClosed]]="",ABS(NETWORKDAYS(Proc[[#This Row],[DateOpened]],TODAY()))-1,ABS(NETWORKDAYS(Proc[[#This Row],[DateOpened]],Proc[[#This Row],[DateClosed]]))-1)</f>
        <v>121</v>
      </c>
      <c r="R2547" s="110" t="s">
        <v>485</v>
      </c>
      <c r="S2547" s="94"/>
    </row>
    <row r="2548" spans="1:19" hidden="1">
      <c r="A2548" s="103" t="s">
        <v>4422</v>
      </c>
      <c r="B2548" s="149" t="str">
        <f>IFERROR(VLOOKUP(Proc[[#This Row],[App]],Table2[],3,0),"open")</f>
        <v>ok</v>
      </c>
      <c r="C2548" s="117" t="s">
        <v>369</v>
      </c>
      <c r="D2548" t="s">
        <v>4469</v>
      </c>
      <c r="E2548" t="s">
        <v>4738</v>
      </c>
      <c r="F2548" s="94" t="s">
        <v>4738</v>
      </c>
      <c r="G2548" s="103" t="s">
        <v>406</v>
      </c>
      <c r="H2548" s="94" t="str">
        <f>IF(Proc[[#This Row],[type]]="LFF (MDG-F)",MID(Proc[[#This Row],[Obj]],13,10),"")</f>
        <v>DE10538968</v>
      </c>
      <c r="I2548" s="103" t="s">
        <v>4784</v>
      </c>
      <c r="J2548" s="94" t="b">
        <f>Proc[[#This Row],[Requested]]=Proc[[#This Row],[CurrentParent]]</f>
        <v>1</v>
      </c>
      <c r="K2548" s="144" t="str">
        <f>IF(Proc[[#This Row],[Author]]="Marcela Urrego",VLOOKUP(LEFT(Proc[[#This Row],[Requested]],1),Table3[#All],2,0),VLOOKUP(Proc[[#This Row],[Author]],Table4[],2,0))</f>
        <v>MGF</v>
      </c>
      <c r="L2548" s="125" t="s">
        <v>4894</v>
      </c>
      <c r="M2548" s="109">
        <v>45841.453541666669</v>
      </c>
      <c r="N2548" s="109"/>
      <c r="O2548" s="109"/>
      <c r="P2548" s="110" t="str">
        <f ca="1">IF(Proc[[#This Row],[DaysAgeing]]&gt;5,"yep","on track")</f>
        <v>yep</v>
      </c>
      <c r="Q2548" s="3">
        <f ca="1">IF(Proc[[#This Row],[DateClosed]]="",ABS(NETWORKDAYS(Proc[[#This Row],[DateOpened]],TODAY()))-1,ABS(NETWORKDAYS(Proc[[#This Row],[DateOpened]],Proc[[#This Row],[DateClosed]]))-1)</f>
        <v>121</v>
      </c>
      <c r="R2548" s="110" t="s">
        <v>485</v>
      </c>
      <c r="S2548" s="94"/>
    </row>
    <row r="2549" spans="1:19" hidden="1">
      <c r="A2549" s="103" t="s">
        <v>4422</v>
      </c>
      <c r="B2549" s="149" t="str">
        <f>IFERROR(VLOOKUP(Proc[[#This Row],[App]],Table2[],3,0),"open")</f>
        <v>ok</v>
      </c>
      <c r="C2549" s="117" t="s">
        <v>369</v>
      </c>
      <c r="D2549" t="s">
        <v>4470</v>
      </c>
      <c r="E2549" t="s">
        <v>4738</v>
      </c>
      <c r="F2549" s="94" t="s">
        <v>4738</v>
      </c>
      <c r="G2549" s="103" t="s">
        <v>406</v>
      </c>
      <c r="H2549" s="94" t="str">
        <f>IF(Proc[[#This Row],[type]]="LFF (MDG-F)",MID(Proc[[#This Row],[Obj]],13,10),"")</f>
        <v>DE10538969</v>
      </c>
      <c r="I2549" s="103" t="s">
        <v>4784</v>
      </c>
      <c r="J2549" s="94" t="b">
        <f>Proc[[#This Row],[Requested]]=Proc[[#This Row],[CurrentParent]]</f>
        <v>1</v>
      </c>
      <c r="K2549" s="144" t="str">
        <f>IF(Proc[[#This Row],[Author]]="Marcela Urrego",VLOOKUP(LEFT(Proc[[#This Row],[Requested]],1),Table3[#All],2,0),VLOOKUP(Proc[[#This Row],[Author]],Table4[],2,0))</f>
        <v>MGF</v>
      </c>
      <c r="L2549" s="125" t="s">
        <v>4894</v>
      </c>
      <c r="M2549" s="109">
        <v>45841.453541666669</v>
      </c>
      <c r="N2549" s="109"/>
      <c r="O2549" s="109"/>
      <c r="P2549" s="110" t="str">
        <f ca="1">IF(Proc[[#This Row],[DaysAgeing]]&gt;5,"yep","on track")</f>
        <v>yep</v>
      </c>
      <c r="Q2549" s="3">
        <f ca="1">IF(Proc[[#This Row],[DateClosed]]="",ABS(NETWORKDAYS(Proc[[#This Row],[DateOpened]],TODAY()))-1,ABS(NETWORKDAYS(Proc[[#This Row],[DateOpened]],Proc[[#This Row],[DateClosed]]))-1)</f>
        <v>121</v>
      </c>
      <c r="R2549" s="110" t="s">
        <v>485</v>
      </c>
      <c r="S2549" s="94"/>
    </row>
    <row r="2550" spans="1:19" hidden="1">
      <c r="A2550" s="103" t="s">
        <v>4422</v>
      </c>
      <c r="B2550" s="149" t="str">
        <f>IFERROR(VLOOKUP(Proc[[#This Row],[App]],Table2[],3,0),"open")</f>
        <v>ok</v>
      </c>
      <c r="C2550" s="117" t="s">
        <v>369</v>
      </c>
      <c r="D2550" t="s">
        <v>4471</v>
      </c>
      <c r="E2550" t="s">
        <v>4738</v>
      </c>
      <c r="F2550" s="94" t="s">
        <v>4738</v>
      </c>
      <c r="G2550" s="103" t="s">
        <v>406</v>
      </c>
      <c r="H2550" s="94" t="str">
        <f>IF(Proc[[#This Row],[type]]="LFF (MDG-F)",MID(Proc[[#This Row],[Obj]],13,10),"")</f>
        <v>DE10538970</v>
      </c>
      <c r="I2550" s="103" t="s">
        <v>4784</v>
      </c>
      <c r="J2550" s="94" t="b">
        <f>Proc[[#This Row],[Requested]]=Proc[[#This Row],[CurrentParent]]</f>
        <v>1</v>
      </c>
      <c r="K2550" s="144" t="str">
        <f>IF(Proc[[#This Row],[Author]]="Marcela Urrego",VLOOKUP(LEFT(Proc[[#This Row],[Requested]],1),Table3[#All],2,0),VLOOKUP(Proc[[#This Row],[Author]],Table4[],2,0))</f>
        <v>MGF</v>
      </c>
      <c r="L2550" s="125" t="s">
        <v>4894</v>
      </c>
      <c r="M2550" s="109">
        <v>45841.453541666669</v>
      </c>
      <c r="N2550" s="109"/>
      <c r="O2550" s="109"/>
      <c r="P2550" s="110" t="str">
        <f ca="1">IF(Proc[[#This Row],[DaysAgeing]]&gt;5,"yep","on track")</f>
        <v>yep</v>
      </c>
      <c r="Q2550" s="3">
        <f ca="1">IF(Proc[[#This Row],[DateClosed]]="",ABS(NETWORKDAYS(Proc[[#This Row],[DateOpened]],TODAY()))-1,ABS(NETWORKDAYS(Proc[[#This Row],[DateOpened]],Proc[[#This Row],[DateClosed]]))-1)</f>
        <v>121</v>
      </c>
      <c r="R2550" s="110" t="s">
        <v>485</v>
      </c>
      <c r="S2550" s="94"/>
    </row>
    <row r="2551" spans="1:19" hidden="1">
      <c r="A2551" s="103" t="s">
        <v>4422</v>
      </c>
      <c r="B2551" s="149" t="str">
        <f>IFERROR(VLOOKUP(Proc[[#This Row],[App]],Table2[],3,0),"open")</f>
        <v>ok</v>
      </c>
      <c r="C2551" s="117" t="s">
        <v>369</v>
      </c>
      <c r="D2551" t="s">
        <v>4472</v>
      </c>
      <c r="E2551" t="s">
        <v>4738</v>
      </c>
      <c r="F2551" s="94" t="s">
        <v>4738</v>
      </c>
      <c r="G2551" s="103" t="s">
        <v>406</v>
      </c>
      <c r="H2551" s="94" t="str">
        <f>IF(Proc[[#This Row],[type]]="LFF (MDG-F)",MID(Proc[[#This Row],[Obj]],13,10),"")</f>
        <v>DE10538971</v>
      </c>
      <c r="I2551" s="103" t="s">
        <v>4784</v>
      </c>
      <c r="J2551" s="94" t="b">
        <f>Proc[[#This Row],[Requested]]=Proc[[#This Row],[CurrentParent]]</f>
        <v>1</v>
      </c>
      <c r="K2551" s="144" t="str">
        <f>IF(Proc[[#This Row],[Author]]="Marcela Urrego",VLOOKUP(LEFT(Proc[[#This Row],[Requested]],1),Table3[#All],2,0),VLOOKUP(Proc[[#This Row],[Author]],Table4[],2,0))</f>
        <v>MGF</v>
      </c>
      <c r="L2551" s="125" t="s">
        <v>4894</v>
      </c>
      <c r="M2551" s="109">
        <v>45841.453541666669</v>
      </c>
      <c r="N2551" s="109"/>
      <c r="O2551" s="109"/>
      <c r="P2551" s="110" t="str">
        <f ca="1">IF(Proc[[#This Row],[DaysAgeing]]&gt;5,"yep","on track")</f>
        <v>yep</v>
      </c>
      <c r="Q2551" s="3">
        <f ca="1">IF(Proc[[#This Row],[DateClosed]]="",ABS(NETWORKDAYS(Proc[[#This Row],[DateOpened]],TODAY()))-1,ABS(NETWORKDAYS(Proc[[#This Row],[DateOpened]],Proc[[#This Row],[DateClosed]]))-1)</f>
        <v>121</v>
      </c>
      <c r="R2551" s="110" t="s">
        <v>485</v>
      </c>
      <c r="S2551" s="94"/>
    </row>
    <row r="2552" spans="1:19" hidden="1">
      <c r="A2552" s="103" t="s">
        <v>4422</v>
      </c>
      <c r="B2552" s="149" t="str">
        <f>IFERROR(VLOOKUP(Proc[[#This Row],[App]],Table2[],3,0),"open")</f>
        <v>ok</v>
      </c>
      <c r="C2552" s="117" t="s">
        <v>369</v>
      </c>
      <c r="D2552" t="s">
        <v>4473</v>
      </c>
      <c r="E2552" t="s">
        <v>4738</v>
      </c>
      <c r="F2552" s="94" t="s">
        <v>4738</v>
      </c>
      <c r="G2552" s="103" t="s">
        <v>406</v>
      </c>
      <c r="H2552" s="94" t="str">
        <f>IF(Proc[[#This Row],[type]]="LFF (MDG-F)",MID(Proc[[#This Row],[Obj]],13,10),"")</f>
        <v>DE10538972</v>
      </c>
      <c r="I2552" s="103" t="s">
        <v>4784</v>
      </c>
      <c r="J2552" s="94" t="b">
        <f>Proc[[#This Row],[Requested]]=Proc[[#This Row],[CurrentParent]]</f>
        <v>1</v>
      </c>
      <c r="K2552" s="144" t="str">
        <f>IF(Proc[[#This Row],[Author]]="Marcela Urrego",VLOOKUP(LEFT(Proc[[#This Row],[Requested]],1),Table3[#All],2,0),VLOOKUP(Proc[[#This Row],[Author]],Table4[],2,0))</f>
        <v>MGF</v>
      </c>
      <c r="L2552" s="125" t="s">
        <v>4894</v>
      </c>
      <c r="M2552" s="109">
        <v>45841.453541666669</v>
      </c>
      <c r="N2552" s="109"/>
      <c r="O2552" s="109"/>
      <c r="P2552" s="110" t="str">
        <f ca="1">IF(Proc[[#This Row],[DaysAgeing]]&gt;5,"yep","on track")</f>
        <v>yep</v>
      </c>
      <c r="Q2552" s="3">
        <f ca="1">IF(Proc[[#This Row],[DateClosed]]="",ABS(NETWORKDAYS(Proc[[#This Row],[DateOpened]],TODAY()))-1,ABS(NETWORKDAYS(Proc[[#This Row],[DateOpened]],Proc[[#This Row],[DateClosed]]))-1)</f>
        <v>121</v>
      </c>
      <c r="R2552" s="110" t="s">
        <v>485</v>
      </c>
      <c r="S2552" s="94"/>
    </row>
    <row r="2553" spans="1:19" hidden="1">
      <c r="A2553" s="103" t="s">
        <v>4422</v>
      </c>
      <c r="B2553" s="149" t="str">
        <f>IFERROR(VLOOKUP(Proc[[#This Row],[App]],Table2[],3,0),"open")</f>
        <v>ok</v>
      </c>
      <c r="C2553" s="117" t="s">
        <v>369</v>
      </c>
      <c r="D2553" t="s">
        <v>4474</v>
      </c>
      <c r="E2553" t="s">
        <v>4738</v>
      </c>
      <c r="F2553" s="94" t="s">
        <v>4738</v>
      </c>
      <c r="G2553" s="103" t="s">
        <v>406</v>
      </c>
      <c r="H2553" s="94" t="str">
        <f>IF(Proc[[#This Row],[type]]="LFF (MDG-F)",MID(Proc[[#This Row],[Obj]],13,10),"")</f>
        <v>DE10538973</v>
      </c>
      <c r="I2553" s="103" t="s">
        <v>4784</v>
      </c>
      <c r="J2553" s="94" t="b">
        <f>Proc[[#This Row],[Requested]]=Proc[[#This Row],[CurrentParent]]</f>
        <v>1</v>
      </c>
      <c r="K2553" s="144" t="str">
        <f>IF(Proc[[#This Row],[Author]]="Marcela Urrego",VLOOKUP(LEFT(Proc[[#This Row],[Requested]],1),Table3[#All],2,0),VLOOKUP(Proc[[#This Row],[Author]],Table4[],2,0))</f>
        <v>MGF</v>
      </c>
      <c r="L2553" s="125" t="s">
        <v>4894</v>
      </c>
      <c r="M2553" s="109">
        <v>45841.453541666669</v>
      </c>
      <c r="N2553" s="109"/>
      <c r="O2553" s="109"/>
      <c r="P2553" s="110" t="str">
        <f ca="1">IF(Proc[[#This Row],[DaysAgeing]]&gt;5,"yep","on track")</f>
        <v>yep</v>
      </c>
      <c r="Q2553" s="3">
        <f ca="1">IF(Proc[[#This Row],[DateClosed]]="",ABS(NETWORKDAYS(Proc[[#This Row],[DateOpened]],TODAY()))-1,ABS(NETWORKDAYS(Proc[[#This Row],[DateOpened]],Proc[[#This Row],[DateClosed]]))-1)</f>
        <v>121</v>
      </c>
      <c r="R2553" s="110" t="s">
        <v>485</v>
      </c>
      <c r="S2553" s="94"/>
    </row>
    <row r="2554" spans="1:19" hidden="1">
      <c r="A2554" s="103" t="s">
        <v>4422</v>
      </c>
      <c r="B2554" s="149" t="str">
        <f>IFERROR(VLOOKUP(Proc[[#This Row],[App]],Table2[],3,0),"open")</f>
        <v>ok</v>
      </c>
      <c r="C2554" s="117" t="s">
        <v>369</v>
      </c>
      <c r="D2554" t="s">
        <v>4475</v>
      </c>
      <c r="E2554" t="s">
        <v>4738</v>
      </c>
      <c r="F2554" s="94" t="s">
        <v>4738</v>
      </c>
      <c r="G2554" s="103" t="s">
        <v>406</v>
      </c>
      <c r="H2554" s="94" t="str">
        <f>IF(Proc[[#This Row],[type]]="LFF (MDG-F)",MID(Proc[[#This Row],[Obj]],13,10),"")</f>
        <v>DE10538974</v>
      </c>
      <c r="I2554" s="103" t="s">
        <v>4784</v>
      </c>
      <c r="J2554" s="94" t="b">
        <f>Proc[[#This Row],[Requested]]=Proc[[#This Row],[CurrentParent]]</f>
        <v>1</v>
      </c>
      <c r="K2554" s="144" t="str">
        <f>IF(Proc[[#This Row],[Author]]="Marcela Urrego",VLOOKUP(LEFT(Proc[[#This Row],[Requested]],1),Table3[#All],2,0),VLOOKUP(Proc[[#This Row],[Author]],Table4[],2,0))</f>
        <v>MGF</v>
      </c>
      <c r="L2554" s="125" t="s">
        <v>4894</v>
      </c>
      <c r="M2554" s="109">
        <v>45841.453541666669</v>
      </c>
      <c r="N2554" s="109"/>
      <c r="O2554" s="109"/>
      <c r="P2554" s="110" t="str">
        <f ca="1">IF(Proc[[#This Row],[DaysAgeing]]&gt;5,"yep","on track")</f>
        <v>yep</v>
      </c>
      <c r="Q2554" s="3">
        <f ca="1">IF(Proc[[#This Row],[DateClosed]]="",ABS(NETWORKDAYS(Proc[[#This Row],[DateOpened]],TODAY()))-1,ABS(NETWORKDAYS(Proc[[#This Row],[DateOpened]],Proc[[#This Row],[DateClosed]]))-1)</f>
        <v>121</v>
      </c>
      <c r="R2554" s="110" t="s">
        <v>485</v>
      </c>
      <c r="S2554" s="94"/>
    </row>
    <row r="2555" spans="1:19" hidden="1">
      <c r="A2555" s="103" t="s">
        <v>4422</v>
      </c>
      <c r="B2555" s="149" t="str">
        <f>IFERROR(VLOOKUP(Proc[[#This Row],[App]],Table2[],3,0),"open")</f>
        <v>ok</v>
      </c>
      <c r="C2555" s="117" t="s">
        <v>369</v>
      </c>
      <c r="D2555" t="s">
        <v>4476</v>
      </c>
      <c r="E2555" t="s">
        <v>4738</v>
      </c>
      <c r="F2555" s="94" t="s">
        <v>4738</v>
      </c>
      <c r="G2555" s="103" t="s">
        <v>406</v>
      </c>
      <c r="H2555" s="94" t="str">
        <f>IF(Proc[[#This Row],[type]]="LFF (MDG-F)",MID(Proc[[#This Row],[Obj]],13,10),"")</f>
        <v>DE10538975</v>
      </c>
      <c r="I2555" s="103" t="s">
        <v>4784</v>
      </c>
      <c r="J2555" s="94" t="b">
        <f>Proc[[#This Row],[Requested]]=Proc[[#This Row],[CurrentParent]]</f>
        <v>1</v>
      </c>
      <c r="K2555" s="144" t="str">
        <f>IF(Proc[[#This Row],[Author]]="Marcela Urrego",VLOOKUP(LEFT(Proc[[#This Row],[Requested]],1),Table3[#All],2,0),VLOOKUP(Proc[[#This Row],[Author]],Table4[],2,0))</f>
        <v>MGF</v>
      </c>
      <c r="L2555" s="125" t="s">
        <v>4894</v>
      </c>
      <c r="M2555" s="109">
        <v>45841.453541666669</v>
      </c>
      <c r="N2555" s="109"/>
      <c r="O2555" s="109"/>
      <c r="P2555" s="110" t="str">
        <f ca="1">IF(Proc[[#This Row],[DaysAgeing]]&gt;5,"yep","on track")</f>
        <v>yep</v>
      </c>
      <c r="Q2555" s="3">
        <f ca="1">IF(Proc[[#This Row],[DateClosed]]="",ABS(NETWORKDAYS(Proc[[#This Row],[DateOpened]],TODAY()))-1,ABS(NETWORKDAYS(Proc[[#This Row],[DateOpened]],Proc[[#This Row],[DateClosed]]))-1)</f>
        <v>121</v>
      </c>
      <c r="R2555" s="110" t="s">
        <v>485</v>
      </c>
      <c r="S2555" s="94"/>
    </row>
    <row r="2556" spans="1:19" hidden="1">
      <c r="A2556" s="103" t="s">
        <v>4422</v>
      </c>
      <c r="B2556" s="149" t="str">
        <f>IFERROR(VLOOKUP(Proc[[#This Row],[App]],Table2[],3,0),"open")</f>
        <v>ok</v>
      </c>
      <c r="C2556" s="117" t="s">
        <v>369</v>
      </c>
      <c r="D2556" t="s">
        <v>4477</v>
      </c>
      <c r="E2556" t="s">
        <v>4738</v>
      </c>
      <c r="F2556" s="94" t="s">
        <v>4738</v>
      </c>
      <c r="G2556" s="103" t="s">
        <v>406</v>
      </c>
      <c r="H2556" s="94" t="str">
        <f>IF(Proc[[#This Row],[type]]="LFF (MDG-F)",MID(Proc[[#This Row],[Obj]],13,10),"")</f>
        <v>DE10538977</v>
      </c>
      <c r="I2556" s="103" t="s">
        <v>4784</v>
      </c>
      <c r="J2556" s="94" t="b">
        <f>Proc[[#This Row],[Requested]]=Proc[[#This Row],[CurrentParent]]</f>
        <v>1</v>
      </c>
      <c r="K2556" s="144" t="str">
        <f>IF(Proc[[#This Row],[Author]]="Marcela Urrego",VLOOKUP(LEFT(Proc[[#This Row],[Requested]],1),Table3[#All],2,0),VLOOKUP(Proc[[#This Row],[Author]],Table4[],2,0))</f>
        <v>MGF</v>
      </c>
      <c r="L2556" s="125" t="s">
        <v>4894</v>
      </c>
      <c r="M2556" s="109">
        <v>45841.453541666669</v>
      </c>
      <c r="N2556" s="109"/>
      <c r="O2556" s="109"/>
      <c r="P2556" s="110" t="str">
        <f ca="1">IF(Proc[[#This Row],[DaysAgeing]]&gt;5,"yep","on track")</f>
        <v>yep</v>
      </c>
      <c r="Q2556" s="3">
        <f ca="1">IF(Proc[[#This Row],[DateClosed]]="",ABS(NETWORKDAYS(Proc[[#This Row],[DateOpened]],TODAY()))-1,ABS(NETWORKDAYS(Proc[[#This Row],[DateOpened]],Proc[[#This Row],[DateClosed]]))-1)</f>
        <v>121</v>
      </c>
      <c r="R2556" s="110" t="s">
        <v>485</v>
      </c>
      <c r="S2556" s="94"/>
    </row>
    <row r="2557" spans="1:19" hidden="1">
      <c r="A2557" s="103" t="s">
        <v>4422</v>
      </c>
      <c r="B2557" s="149" t="str">
        <f>IFERROR(VLOOKUP(Proc[[#This Row],[App]],Table2[],3,0),"open")</f>
        <v>ok</v>
      </c>
      <c r="C2557" s="117" t="s">
        <v>369</v>
      </c>
      <c r="D2557" t="s">
        <v>4478</v>
      </c>
      <c r="E2557" t="s">
        <v>4737</v>
      </c>
      <c r="F2557" s="94" t="s">
        <v>4737</v>
      </c>
      <c r="G2557" s="103" t="s">
        <v>406</v>
      </c>
      <c r="H2557" s="94" t="str">
        <f>IF(Proc[[#This Row],[type]]="LFF (MDG-F)",MID(Proc[[#This Row],[Obj]],13,10),"")</f>
        <v>DE10538979</v>
      </c>
      <c r="I2557" s="103" t="s">
        <v>4784</v>
      </c>
      <c r="J2557" s="94" t="b">
        <f>Proc[[#This Row],[Requested]]=Proc[[#This Row],[CurrentParent]]</f>
        <v>1</v>
      </c>
      <c r="K2557" s="144" t="str">
        <f>IF(Proc[[#This Row],[Author]]="Marcela Urrego",VLOOKUP(LEFT(Proc[[#This Row],[Requested]],1),Table3[#All],2,0),VLOOKUP(Proc[[#This Row],[Author]],Table4[],2,0))</f>
        <v>MGF</v>
      </c>
      <c r="L2557" s="125" t="s">
        <v>4894</v>
      </c>
      <c r="M2557" s="109">
        <v>45841.453541666669</v>
      </c>
      <c r="N2557" s="109"/>
      <c r="O2557" s="109"/>
      <c r="P2557" s="110" t="str">
        <f ca="1">IF(Proc[[#This Row],[DaysAgeing]]&gt;5,"yep","on track")</f>
        <v>yep</v>
      </c>
      <c r="Q2557" s="3">
        <f ca="1">IF(Proc[[#This Row],[DateClosed]]="",ABS(NETWORKDAYS(Proc[[#This Row],[DateOpened]],TODAY()))-1,ABS(NETWORKDAYS(Proc[[#This Row],[DateOpened]],Proc[[#This Row],[DateClosed]]))-1)</f>
        <v>121</v>
      </c>
      <c r="R2557" s="110" t="s">
        <v>485</v>
      </c>
      <c r="S2557" s="94"/>
    </row>
    <row r="2558" spans="1:19" hidden="1">
      <c r="A2558" s="103" t="s">
        <v>4422</v>
      </c>
      <c r="B2558" s="149" t="str">
        <f>IFERROR(VLOOKUP(Proc[[#This Row],[App]],Table2[],3,0),"open")</f>
        <v>ok</v>
      </c>
      <c r="C2558" s="117" t="s">
        <v>369</v>
      </c>
      <c r="D2558" t="s">
        <v>4479</v>
      </c>
      <c r="E2558" t="s">
        <v>4737</v>
      </c>
      <c r="F2558" s="94" t="s">
        <v>4737</v>
      </c>
      <c r="G2558" s="103" t="s">
        <v>406</v>
      </c>
      <c r="H2558" s="94" t="str">
        <f>IF(Proc[[#This Row],[type]]="LFF (MDG-F)",MID(Proc[[#This Row],[Obj]],13,10),"")</f>
        <v>DE10538980</v>
      </c>
      <c r="I2558" s="103" t="s">
        <v>4784</v>
      </c>
      <c r="J2558" s="94" t="b">
        <f>Proc[[#This Row],[Requested]]=Proc[[#This Row],[CurrentParent]]</f>
        <v>1</v>
      </c>
      <c r="K2558" s="144" t="str">
        <f>IF(Proc[[#This Row],[Author]]="Marcela Urrego",VLOOKUP(LEFT(Proc[[#This Row],[Requested]],1),Table3[#All],2,0),VLOOKUP(Proc[[#This Row],[Author]],Table4[],2,0))</f>
        <v>MGF</v>
      </c>
      <c r="L2558" s="125" t="s">
        <v>4894</v>
      </c>
      <c r="M2558" s="109">
        <v>45841.453541666669</v>
      </c>
      <c r="N2558" s="109"/>
      <c r="O2558" s="109"/>
      <c r="P2558" s="110" t="str">
        <f ca="1">IF(Proc[[#This Row],[DaysAgeing]]&gt;5,"yep","on track")</f>
        <v>yep</v>
      </c>
      <c r="Q2558" s="3">
        <f ca="1">IF(Proc[[#This Row],[DateClosed]]="",ABS(NETWORKDAYS(Proc[[#This Row],[DateOpened]],TODAY()))-1,ABS(NETWORKDAYS(Proc[[#This Row],[DateOpened]],Proc[[#This Row],[DateClosed]]))-1)</f>
        <v>121</v>
      </c>
      <c r="R2558" s="110" t="s">
        <v>485</v>
      </c>
      <c r="S2558" s="94"/>
    </row>
    <row r="2559" spans="1:19" hidden="1">
      <c r="A2559" s="103" t="s">
        <v>4422</v>
      </c>
      <c r="B2559" s="149" t="str">
        <f>IFERROR(VLOOKUP(Proc[[#This Row],[App]],Table2[],3,0),"open")</f>
        <v>ok</v>
      </c>
      <c r="C2559" s="117" t="s">
        <v>369</v>
      </c>
      <c r="D2559" t="s">
        <v>4480</v>
      </c>
      <c r="E2559" t="s">
        <v>4737</v>
      </c>
      <c r="F2559" s="94" t="s">
        <v>4737</v>
      </c>
      <c r="G2559" s="103" t="s">
        <v>406</v>
      </c>
      <c r="H2559" s="94" t="str">
        <f>IF(Proc[[#This Row],[type]]="LFF (MDG-F)",MID(Proc[[#This Row],[Obj]],13,10),"")</f>
        <v>DE10538982</v>
      </c>
      <c r="I2559" s="103" t="s">
        <v>4784</v>
      </c>
      <c r="J2559" s="94" t="b">
        <f>Proc[[#This Row],[Requested]]=Proc[[#This Row],[CurrentParent]]</f>
        <v>1</v>
      </c>
      <c r="K2559" s="144" t="str">
        <f>IF(Proc[[#This Row],[Author]]="Marcela Urrego",VLOOKUP(LEFT(Proc[[#This Row],[Requested]],1),Table3[#All],2,0),VLOOKUP(Proc[[#This Row],[Author]],Table4[],2,0))</f>
        <v>MGF</v>
      </c>
      <c r="L2559" s="125" t="s">
        <v>4894</v>
      </c>
      <c r="M2559" s="109">
        <v>45841.453541666669</v>
      </c>
      <c r="N2559" s="109"/>
      <c r="O2559" s="109"/>
      <c r="P2559" s="110" t="str">
        <f ca="1">IF(Proc[[#This Row],[DaysAgeing]]&gt;5,"yep","on track")</f>
        <v>yep</v>
      </c>
      <c r="Q2559" s="3">
        <f ca="1">IF(Proc[[#This Row],[DateClosed]]="",ABS(NETWORKDAYS(Proc[[#This Row],[DateOpened]],TODAY()))-1,ABS(NETWORKDAYS(Proc[[#This Row],[DateOpened]],Proc[[#This Row],[DateClosed]]))-1)</f>
        <v>121</v>
      </c>
      <c r="R2559" s="110" t="s">
        <v>485</v>
      </c>
      <c r="S2559" s="94"/>
    </row>
    <row r="2560" spans="1:19" hidden="1">
      <c r="A2560" s="103" t="s">
        <v>4422</v>
      </c>
      <c r="B2560" s="149" t="str">
        <f>IFERROR(VLOOKUP(Proc[[#This Row],[App]],Table2[],3,0),"open")</f>
        <v>ok</v>
      </c>
      <c r="C2560" s="117" t="s">
        <v>369</v>
      </c>
      <c r="D2560" t="s">
        <v>4481</v>
      </c>
      <c r="E2560" t="s">
        <v>4738</v>
      </c>
      <c r="F2560" s="94" t="s">
        <v>4738</v>
      </c>
      <c r="G2560" s="103" t="s">
        <v>406</v>
      </c>
      <c r="H2560" s="94" t="str">
        <f>IF(Proc[[#This Row],[type]]="LFF (MDG-F)",MID(Proc[[#This Row],[Obj]],13,10),"")</f>
        <v>DE10538984</v>
      </c>
      <c r="I2560" s="103" t="s">
        <v>4784</v>
      </c>
      <c r="J2560" s="94" t="b">
        <f>Proc[[#This Row],[Requested]]=Proc[[#This Row],[CurrentParent]]</f>
        <v>1</v>
      </c>
      <c r="K2560" s="144" t="str">
        <f>IF(Proc[[#This Row],[Author]]="Marcela Urrego",VLOOKUP(LEFT(Proc[[#This Row],[Requested]],1),Table3[#All],2,0),VLOOKUP(Proc[[#This Row],[Author]],Table4[],2,0))</f>
        <v>MGF</v>
      </c>
      <c r="L2560" s="125" t="s">
        <v>4894</v>
      </c>
      <c r="M2560" s="109">
        <v>45841.453541666669</v>
      </c>
      <c r="N2560" s="109"/>
      <c r="O2560" s="109"/>
      <c r="P2560" s="110" t="str">
        <f ca="1">IF(Proc[[#This Row],[DaysAgeing]]&gt;5,"yep","on track")</f>
        <v>yep</v>
      </c>
      <c r="Q2560" s="3">
        <f ca="1">IF(Proc[[#This Row],[DateClosed]]="",ABS(NETWORKDAYS(Proc[[#This Row],[DateOpened]],TODAY()))-1,ABS(NETWORKDAYS(Proc[[#This Row],[DateOpened]],Proc[[#This Row],[DateClosed]]))-1)</f>
        <v>121</v>
      </c>
      <c r="R2560" s="110" t="s">
        <v>485</v>
      </c>
      <c r="S2560" s="94"/>
    </row>
    <row r="2561" spans="1:19" hidden="1">
      <c r="A2561" s="103" t="s">
        <v>4422</v>
      </c>
      <c r="B2561" s="149" t="str">
        <f>IFERROR(VLOOKUP(Proc[[#This Row],[App]],Table2[],3,0),"open")</f>
        <v>ok</v>
      </c>
      <c r="C2561" s="117" t="s">
        <v>369</v>
      </c>
      <c r="D2561" t="s">
        <v>4482</v>
      </c>
      <c r="E2561" t="s">
        <v>4738</v>
      </c>
      <c r="F2561" s="94" t="s">
        <v>4738</v>
      </c>
      <c r="G2561" s="103" t="s">
        <v>406</v>
      </c>
      <c r="H2561" s="94" t="str">
        <f>IF(Proc[[#This Row],[type]]="LFF (MDG-F)",MID(Proc[[#This Row],[Obj]],13,10),"")</f>
        <v>DE10538985</v>
      </c>
      <c r="I2561" s="103" t="s">
        <v>4784</v>
      </c>
      <c r="J2561" s="94" t="b">
        <f>Proc[[#This Row],[Requested]]=Proc[[#This Row],[CurrentParent]]</f>
        <v>1</v>
      </c>
      <c r="K2561" s="144" t="str">
        <f>IF(Proc[[#This Row],[Author]]="Marcela Urrego",VLOOKUP(LEFT(Proc[[#This Row],[Requested]],1),Table3[#All],2,0),VLOOKUP(Proc[[#This Row],[Author]],Table4[],2,0))</f>
        <v>MGF</v>
      </c>
      <c r="L2561" s="125" t="s">
        <v>4894</v>
      </c>
      <c r="M2561" s="109">
        <v>45841.453541666669</v>
      </c>
      <c r="N2561" s="109"/>
      <c r="O2561" s="109"/>
      <c r="P2561" s="110" t="str">
        <f ca="1">IF(Proc[[#This Row],[DaysAgeing]]&gt;5,"yep","on track")</f>
        <v>yep</v>
      </c>
      <c r="Q2561" s="3">
        <f ca="1">IF(Proc[[#This Row],[DateClosed]]="",ABS(NETWORKDAYS(Proc[[#This Row],[DateOpened]],TODAY()))-1,ABS(NETWORKDAYS(Proc[[#This Row],[DateOpened]],Proc[[#This Row],[DateClosed]]))-1)</f>
        <v>121</v>
      </c>
      <c r="R2561" s="110" t="s">
        <v>485</v>
      </c>
      <c r="S2561" s="94"/>
    </row>
    <row r="2562" spans="1:19" hidden="1">
      <c r="A2562" s="103" t="s">
        <v>4422</v>
      </c>
      <c r="B2562" s="149" t="str">
        <f>IFERROR(VLOOKUP(Proc[[#This Row],[App]],Table2[],3,0),"open")</f>
        <v>ok</v>
      </c>
      <c r="C2562" s="117" t="s">
        <v>369</v>
      </c>
      <c r="D2562" t="s">
        <v>4483</v>
      </c>
      <c r="E2562" t="s">
        <v>4738</v>
      </c>
      <c r="F2562" s="94" t="s">
        <v>4738</v>
      </c>
      <c r="G2562" s="103" t="s">
        <v>406</v>
      </c>
      <c r="H2562" s="94" t="str">
        <f>IF(Proc[[#This Row],[type]]="LFF (MDG-F)",MID(Proc[[#This Row],[Obj]],13,10),"")</f>
        <v>DE10538994</v>
      </c>
      <c r="I2562" s="103" t="s">
        <v>4784</v>
      </c>
      <c r="J2562" s="94" t="b">
        <f>Proc[[#This Row],[Requested]]=Proc[[#This Row],[CurrentParent]]</f>
        <v>1</v>
      </c>
      <c r="K2562" s="144" t="str">
        <f>IF(Proc[[#This Row],[Author]]="Marcela Urrego",VLOOKUP(LEFT(Proc[[#This Row],[Requested]],1),Table3[#All],2,0),VLOOKUP(Proc[[#This Row],[Author]],Table4[],2,0))</f>
        <v>MGF</v>
      </c>
      <c r="L2562" s="125" t="s">
        <v>4894</v>
      </c>
      <c r="M2562" s="109">
        <v>45841.453541666669</v>
      </c>
      <c r="N2562" s="109"/>
      <c r="O2562" s="109"/>
      <c r="P2562" s="110" t="str">
        <f ca="1">IF(Proc[[#This Row],[DaysAgeing]]&gt;5,"yep","on track")</f>
        <v>yep</v>
      </c>
      <c r="Q2562" s="3">
        <f ca="1">IF(Proc[[#This Row],[DateClosed]]="",ABS(NETWORKDAYS(Proc[[#This Row],[DateOpened]],TODAY()))-1,ABS(NETWORKDAYS(Proc[[#This Row],[DateOpened]],Proc[[#This Row],[DateClosed]]))-1)</f>
        <v>121</v>
      </c>
      <c r="R2562" s="110" t="s">
        <v>485</v>
      </c>
      <c r="S2562" s="94"/>
    </row>
    <row r="2563" spans="1:19" hidden="1">
      <c r="A2563" s="103" t="s">
        <v>4422</v>
      </c>
      <c r="B2563" s="149" t="str">
        <f>IFERROR(VLOOKUP(Proc[[#This Row],[App]],Table2[],3,0),"open")</f>
        <v>ok</v>
      </c>
      <c r="C2563" s="117" t="s">
        <v>369</v>
      </c>
      <c r="D2563" t="s">
        <v>4484</v>
      </c>
      <c r="E2563" t="s">
        <v>4738</v>
      </c>
      <c r="F2563" s="94" t="s">
        <v>4738</v>
      </c>
      <c r="G2563" s="103" t="s">
        <v>406</v>
      </c>
      <c r="H2563" s="94" t="str">
        <f>IF(Proc[[#This Row],[type]]="LFF (MDG-F)",MID(Proc[[#This Row],[Obj]],13,10),"")</f>
        <v>DE10539930</v>
      </c>
      <c r="I2563" s="103" t="s">
        <v>4784</v>
      </c>
      <c r="J2563" s="94" t="b">
        <f>Proc[[#This Row],[Requested]]=Proc[[#This Row],[CurrentParent]]</f>
        <v>1</v>
      </c>
      <c r="K2563" s="144" t="str">
        <f>IF(Proc[[#This Row],[Author]]="Marcela Urrego",VLOOKUP(LEFT(Proc[[#This Row],[Requested]],1),Table3[#All],2,0),VLOOKUP(Proc[[#This Row],[Author]],Table4[],2,0))</f>
        <v>MGF</v>
      </c>
      <c r="L2563" s="125" t="s">
        <v>4894</v>
      </c>
      <c r="M2563" s="109">
        <v>45841.453541666669</v>
      </c>
      <c r="N2563" s="109"/>
      <c r="O2563" s="109"/>
      <c r="P2563" s="110" t="str">
        <f ca="1">IF(Proc[[#This Row],[DaysAgeing]]&gt;5,"yep","on track")</f>
        <v>yep</v>
      </c>
      <c r="Q2563" s="3">
        <f ca="1">IF(Proc[[#This Row],[DateClosed]]="",ABS(NETWORKDAYS(Proc[[#This Row],[DateOpened]],TODAY()))-1,ABS(NETWORKDAYS(Proc[[#This Row],[DateOpened]],Proc[[#This Row],[DateClosed]]))-1)</f>
        <v>121</v>
      </c>
      <c r="R2563" s="110" t="s">
        <v>485</v>
      </c>
      <c r="S2563" s="94"/>
    </row>
    <row r="2564" spans="1:19" hidden="1">
      <c r="A2564" s="103" t="s">
        <v>4422</v>
      </c>
      <c r="B2564" s="149" t="str">
        <f>IFERROR(VLOOKUP(Proc[[#This Row],[App]],Table2[],3,0),"open")</f>
        <v>ok</v>
      </c>
      <c r="C2564" s="117" t="s">
        <v>369</v>
      </c>
      <c r="D2564" t="s">
        <v>4485</v>
      </c>
      <c r="E2564" t="s">
        <v>4738</v>
      </c>
      <c r="F2564" s="94" t="s">
        <v>4738</v>
      </c>
      <c r="G2564" s="103" t="s">
        <v>406</v>
      </c>
      <c r="H2564" s="94" t="str">
        <f>IF(Proc[[#This Row],[type]]="LFF (MDG-F)",MID(Proc[[#This Row],[Obj]],13,10),"")</f>
        <v>DE10539931</v>
      </c>
      <c r="I2564" s="103" t="s">
        <v>4784</v>
      </c>
      <c r="J2564" s="94" t="b">
        <f>Proc[[#This Row],[Requested]]=Proc[[#This Row],[CurrentParent]]</f>
        <v>1</v>
      </c>
      <c r="K2564" s="144" t="str">
        <f>IF(Proc[[#This Row],[Author]]="Marcela Urrego",VLOOKUP(LEFT(Proc[[#This Row],[Requested]],1),Table3[#All],2,0),VLOOKUP(Proc[[#This Row],[Author]],Table4[],2,0))</f>
        <v>MGF</v>
      </c>
      <c r="L2564" s="125" t="s">
        <v>4894</v>
      </c>
      <c r="M2564" s="109">
        <v>45841.453541666669</v>
      </c>
      <c r="N2564" s="109"/>
      <c r="O2564" s="109"/>
      <c r="P2564" s="110" t="str">
        <f ca="1">IF(Proc[[#This Row],[DaysAgeing]]&gt;5,"yep","on track")</f>
        <v>yep</v>
      </c>
      <c r="Q2564" s="3">
        <f ca="1">IF(Proc[[#This Row],[DateClosed]]="",ABS(NETWORKDAYS(Proc[[#This Row],[DateOpened]],TODAY()))-1,ABS(NETWORKDAYS(Proc[[#This Row],[DateOpened]],Proc[[#This Row],[DateClosed]]))-1)</f>
        <v>121</v>
      </c>
      <c r="R2564" s="110" t="s">
        <v>485</v>
      </c>
      <c r="S2564" s="94"/>
    </row>
    <row r="2565" spans="1:19" hidden="1">
      <c r="A2565" s="103" t="s">
        <v>4422</v>
      </c>
      <c r="B2565" s="149" t="str">
        <f>IFERROR(VLOOKUP(Proc[[#This Row],[App]],Table2[],3,0),"open")</f>
        <v>ok</v>
      </c>
      <c r="C2565" s="117" t="s">
        <v>369</v>
      </c>
      <c r="D2565" t="s">
        <v>4486</v>
      </c>
      <c r="E2565" t="s">
        <v>4738</v>
      </c>
      <c r="F2565" s="94" t="s">
        <v>4738</v>
      </c>
      <c r="G2565" s="103" t="s">
        <v>406</v>
      </c>
      <c r="H2565" s="94" t="str">
        <f>IF(Proc[[#This Row],[type]]="LFF (MDG-F)",MID(Proc[[#This Row],[Obj]],13,10),"")</f>
        <v>DE10539932</v>
      </c>
      <c r="I2565" s="103" t="s">
        <v>4784</v>
      </c>
      <c r="J2565" s="94" t="b">
        <f>Proc[[#This Row],[Requested]]=Proc[[#This Row],[CurrentParent]]</f>
        <v>1</v>
      </c>
      <c r="K2565" s="144" t="str">
        <f>IF(Proc[[#This Row],[Author]]="Marcela Urrego",VLOOKUP(LEFT(Proc[[#This Row],[Requested]],1),Table3[#All],2,0),VLOOKUP(Proc[[#This Row],[Author]],Table4[],2,0))</f>
        <v>MGF</v>
      </c>
      <c r="L2565" s="125" t="s">
        <v>4894</v>
      </c>
      <c r="M2565" s="109">
        <v>45841.453541666669</v>
      </c>
      <c r="N2565" s="109"/>
      <c r="O2565" s="109"/>
      <c r="P2565" s="110" t="str">
        <f ca="1">IF(Proc[[#This Row],[DaysAgeing]]&gt;5,"yep","on track")</f>
        <v>yep</v>
      </c>
      <c r="Q2565" s="3">
        <f ca="1">IF(Proc[[#This Row],[DateClosed]]="",ABS(NETWORKDAYS(Proc[[#This Row],[DateOpened]],TODAY()))-1,ABS(NETWORKDAYS(Proc[[#This Row],[DateOpened]],Proc[[#This Row],[DateClosed]]))-1)</f>
        <v>121</v>
      </c>
      <c r="R2565" s="110" t="s">
        <v>485</v>
      </c>
      <c r="S2565" s="94"/>
    </row>
    <row r="2566" spans="1:19" hidden="1">
      <c r="A2566" s="103" t="s">
        <v>4422</v>
      </c>
      <c r="B2566" s="149" t="str">
        <f>IFERROR(VLOOKUP(Proc[[#This Row],[App]],Table2[],3,0),"open")</f>
        <v>ok</v>
      </c>
      <c r="C2566" s="117" t="s">
        <v>369</v>
      </c>
      <c r="D2566" t="s">
        <v>4487</v>
      </c>
      <c r="E2566" t="s">
        <v>4738</v>
      </c>
      <c r="F2566" s="94" t="s">
        <v>4738</v>
      </c>
      <c r="G2566" s="103" t="s">
        <v>406</v>
      </c>
      <c r="H2566" s="94" t="str">
        <f>IF(Proc[[#This Row],[type]]="LFF (MDG-F)",MID(Proc[[#This Row],[Obj]],13,10),"")</f>
        <v>DE10539934</v>
      </c>
      <c r="I2566" s="103" t="s">
        <v>4784</v>
      </c>
      <c r="J2566" s="94" t="b">
        <f>Proc[[#This Row],[Requested]]=Proc[[#This Row],[CurrentParent]]</f>
        <v>1</v>
      </c>
      <c r="K2566" s="144" t="str">
        <f>IF(Proc[[#This Row],[Author]]="Marcela Urrego",VLOOKUP(LEFT(Proc[[#This Row],[Requested]],1),Table3[#All],2,0),VLOOKUP(Proc[[#This Row],[Author]],Table4[],2,0))</f>
        <v>MGF</v>
      </c>
      <c r="L2566" s="125" t="s">
        <v>4894</v>
      </c>
      <c r="M2566" s="109">
        <v>45841.453541666669</v>
      </c>
      <c r="N2566" s="109"/>
      <c r="O2566" s="109"/>
      <c r="P2566" s="110" t="str">
        <f ca="1">IF(Proc[[#This Row],[DaysAgeing]]&gt;5,"yep","on track")</f>
        <v>yep</v>
      </c>
      <c r="Q2566" s="3">
        <f ca="1">IF(Proc[[#This Row],[DateClosed]]="",ABS(NETWORKDAYS(Proc[[#This Row],[DateOpened]],TODAY()))-1,ABS(NETWORKDAYS(Proc[[#This Row],[DateOpened]],Proc[[#This Row],[DateClosed]]))-1)</f>
        <v>121</v>
      </c>
      <c r="R2566" s="110" t="s">
        <v>485</v>
      </c>
      <c r="S2566" s="94"/>
    </row>
    <row r="2567" spans="1:19" hidden="1">
      <c r="A2567" s="103" t="s">
        <v>4422</v>
      </c>
      <c r="B2567" s="149" t="str">
        <f>IFERROR(VLOOKUP(Proc[[#This Row],[App]],Table2[],3,0),"open")</f>
        <v>ok</v>
      </c>
      <c r="C2567" s="117" t="s">
        <v>369</v>
      </c>
      <c r="D2567" t="s">
        <v>4488</v>
      </c>
      <c r="E2567" t="s">
        <v>4738</v>
      </c>
      <c r="F2567" s="94" t="s">
        <v>4738</v>
      </c>
      <c r="G2567" s="103" t="s">
        <v>406</v>
      </c>
      <c r="H2567" s="94" t="str">
        <f>IF(Proc[[#This Row],[type]]="LFF (MDG-F)",MID(Proc[[#This Row],[Obj]],13,10),"")</f>
        <v>DE10539935</v>
      </c>
      <c r="I2567" s="103" t="s">
        <v>4784</v>
      </c>
      <c r="J2567" s="94" t="b">
        <f>Proc[[#This Row],[Requested]]=Proc[[#This Row],[CurrentParent]]</f>
        <v>1</v>
      </c>
      <c r="K2567" s="144" t="str">
        <f>IF(Proc[[#This Row],[Author]]="Marcela Urrego",VLOOKUP(LEFT(Proc[[#This Row],[Requested]],1),Table3[#All],2,0),VLOOKUP(Proc[[#This Row],[Author]],Table4[],2,0))</f>
        <v>MGF</v>
      </c>
      <c r="L2567" s="125" t="s">
        <v>4894</v>
      </c>
      <c r="M2567" s="109">
        <v>45841.453541666669</v>
      </c>
      <c r="N2567" s="109"/>
      <c r="O2567" s="109"/>
      <c r="P2567" s="110" t="str">
        <f ca="1">IF(Proc[[#This Row],[DaysAgeing]]&gt;5,"yep","on track")</f>
        <v>yep</v>
      </c>
      <c r="Q2567" s="3">
        <f ca="1">IF(Proc[[#This Row],[DateClosed]]="",ABS(NETWORKDAYS(Proc[[#This Row],[DateOpened]],TODAY()))-1,ABS(NETWORKDAYS(Proc[[#This Row],[DateOpened]],Proc[[#This Row],[DateClosed]]))-1)</f>
        <v>121</v>
      </c>
      <c r="R2567" s="110" t="s">
        <v>485</v>
      </c>
      <c r="S2567" s="94"/>
    </row>
    <row r="2568" spans="1:19" hidden="1">
      <c r="A2568" s="103" t="s">
        <v>4422</v>
      </c>
      <c r="B2568" s="149" t="str">
        <f>IFERROR(VLOOKUP(Proc[[#This Row],[App]],Table2[],3,0),"open")</f>
        <v>ok</v>
      </c>
      <c r="C2568" s="117" t="s">
        <v>369</v>
      </c>
      <c r="D2568" t="s">
        <v>4489</v>
      </c>
      <c r="E2568" t="s">
        <v>4738</v>
      </c>
      <c r="F2568" s="94" t="s">
        <v>4738</v>
      </c>
      <c r="G2568" s="103" t="s">
        <v>406</v>
      </c>
      <c r="H2568" s="94" t="str">
        <f>IF(Proc[[#This Row],[type]]="LFF (MDG-F)",MID(Proc[[#This Row],[Obj]],13,10),"")</f>
        <v>DE10539936</v>
      </c>
      <c r="I2568" s="103" t="s">
        <v>4784</v>
      </c>
      <c r="J2568" s="94" t="b">
        <f>Proc[[#This Row],[Requested]]=Proc[[#This Row],[CurrentParent]]</f>
        <v>1</v>
      </c>
      <c r="K2568" s="144" t="str">
        <f>IF(Proc[[#This Row],[Author]]="Marcela Urrego",VLOOKUP(LEFT(Proc[[#This Row],[Requested]],1),Table3[#All],2,0),VLOOKUP(Proc[[#This Row],[Author]],Table4[],2,0))</f>
        <v>MGF</v>
      </c>
      <c r="L2568" s="125" t="s">
        <v>4894</v>
      </c>
      <c r="M2568" s="109">
        <v>45841.453541666669</v>
      </c>
      <c r="N2568" s="109"/>
      <c r="O2568" s="109"/>
      <c r="P2568" s="110" t="str">
        <f ca="1">IF(Proc[[#This Row],[DaysAgeing]]&gt;5,"yep","on track")</f>
        <v>yep</v>
      </c>
      <c r="Q2568" s="3">
        <f ca="1">IF(Proc[[#This Row],[DateClosed]]="",ABS(NETWORKDAYS(Proc[[#This Row],[DateOpened]],TODAY()))-1,ABS(NETWORKDAYS(Proc[[#This Row],[DateOpened]],Proc[[#This Row],[DateClosed]]))-1)</f>
        <v>121</v>
      </c>
      <c r="R2568" s="110" t="s">
        <v>485</v>
      </c>
      <c r="S2568" s="94"/>
    </row>
    <row r="2569" spans="1:19" hidden="1">
      <c r="A2569" s="103" t="s">
        <v>4422</v>
      </c>
      <c r="B2569" s="149" t="str">
        <f>IFERROR(VLOOKUP(Proc[[#This Row],[App]],Table2[],3,0),"open")</f>
        <v>ok</v>
      </c>
      <c r="C2569" s="117" t="s">
        <v>369</v>
      </c>
      <c r="D2569" t="s">
        <v>4490</v>
      </c>
      <c r="E2569" t="s">
        <v>4738</v>
      </c>
      <c r="F2569" s="94" t="s">
        <v>4738</v>
      </c>
      <c r="G2569" s="103" t="s">
        <v>406</v>
      </c>
      <c r="H2569" s="94" t="str">
        <f>IF(Proc[[#This Row],[type]]="LFF (MDG-F)",MID(Proc[[#This Row],[Obj]],13,10),"")</f>
        <v>DE10539937</v>
      </c>
      <c r="I2569" s="103" t="s">
        <v>4784</v>
      </c>
      <c r="J2569" s="94" t="b">
        <f>Proc[[#This Row],[Requested]]=Proc[[#This Row],[CurrentParent]]</f>
        <v>1</v>
      </c>
      <c r="K2569" s="144" t="str">
        <f>IF(Proc[[#This Row],[Author]]="Marcela Urrego",VLOOKUP(LEFT(Proc[[#This Row],[Requested]],1),Table3[#All],2,0),VLOOKUP(Proc[[#This Row],[Author]],Table4[],2,0))</f>
        <v>MGF</v>
      </c>
      <c r="L2569" s="125" t="s">
        <v>4894</v>
      </c>
      <c r="M2569" s="109">
        <v>45841.453541666669</v>
      </c>
      <c r="N2569" s="109"/>
      <c r="O2569" s="109"/>
      <c r="P2569" s="110" t="str">
        <f ca="1">IF(Proc[[#This Row],[DaysAgeing]]&gt;5,"yep","on track")</f>
        <v>yep</v>
      </c>
      <c r="Q2569" s="3">
        <f ca="1">IF(Proc[[#This Row],[DateClosed]]="",ABS(NETWORKDAYS(Proc[[#This Row],[DateOpened]],TODAY()))-1,ABS(NETWORKDAYS(Proc[[#This Row],[DateOpened]],Proc[[#This Row],[DateClosed]]))-1)</f>
        <v>121</v>
      </c>
      <c r="R2569" s="110" t="s">
        <v>485</v>
      </c>
      <c r="S2569" s="94"/>
    </row>
    <row r="2570" spans="1:19" hidden="1">
      <c r="A2570" s="103" t="s">
        <v>4422</v>
      </c>
      <c r="B2570" s="149" t="str">
        <f>IFERROR(VLOOKUP(Proc[[#This Row],[App]],Table2[],3,0),"open")</f>
        <v>ok</v>
      </c>
      <c r="C2570" s="117" t="s">
        <v>369</v>
      </c>
      <c r="D2570" t="s">
        <v>4491</v>
      </c>
      <c r="E2570" t="s">
        <v>4738</v>
      </c>
      <c r="F2570" s="94" t="s">
        <v>4738</v>
      </c>
      <c r="G2570" s="103" t="s">
        <v>406</v>
      </c>
      <c r="H2570" s="94" t="str">
        <f>IF(Proc[[#This Row],[type]]="LFF (MDG-F)",MID(Proc[[#This Row],[Obj]],13,10),"")</f>
        <v>DE10539938</v>
      </c>
      <c r="I2570" s="103" t="s">
        <v>4784</v>
      </c>
      <c r="J2570" s="94" t="b">
        <f>Proc[[#This Row],[Requested]]=Proc[[#This Row],[CurrentParent]]</f>
        <v>1</v>
      </c>
      <c r="K2570" s="144" t="str">
        <f>IF(Proc[[#This Row],[Author]]="Marcela Urrego",VLOOKUP(LEFT(Proc[[#This Row],[Requested]],1),Table3[#All],2,0),VLOOKUP(Proc[[#This Row],[Author]],Table4[],2,0))</f>
        <v>MGF</v>
      </c>
      <c r="L2570" s="125" t="s">
        <v>4894</v>
      </c>
      <c r="M2570" s="109">
        <v>45841.453541666669</v>
      </c>
      <c r="N2570" s="109"/>
      <c r="O2570" s="109"/>
      <c r="P2570" s="110" t="str">
        <f ca="1">IF(Proc[[#This Row],[DaysAgeing]]&gt;5,"yep","on track")</f>
        <v>yep</v>
      </c>
      <c r="Q2570" s="3">
        <f ca="1">IF(Proc[[#This Row],[DateClosed]]="",ABS(NETWORKDAYS(Proc[[#This Row],[DateOpened]],TODAY()))-1,ABS(NETWORKDAYS(Proc[[#This Row],[DateOpened]],Proc[[#This Row],[DateClosed]]))-1)</f>
        <v>121</v>
      </c>
      <c r="R2570" s="110" t="s">
        <v>485</v>
      </c>
      <c r="S2570" s="94"/>
    </row>
    <row r="2571" spans="1:19" hidden="1">
      <c r="A2571" s="103" t="s">
        <v>4422</v>
      </c>
      <c r="B2571" s="149" t="str">
        <f>IFERROR(VLOOKUP(Proc[[#This Row],[App]],Table2[],3,0),"open")</f>
        <v>ok</v>
      </c>
      <c r="C2571" s="117" t="s">
        <v>369</v>
      </c>
      <c r="D2571" t="s">
        <v>4492</v>
      </c>
      <c r="E2571" t="s">
        <v>4738</v>
      </c>
      <c r="F2571" s="94" t="s">
        <v>4738</v>
      </c>
      <c r="G2571" s="103" t="s">
        <v>406</v>
      </c>
      <c r="H2571" s="94" t="str">
        <f>IF(Proc[[#This Row],[type]]="LFF (MDG-F)",MID(Proc[[#This Row],[Obj]],13,10),"")</f>
        <v>DE10539939</v>
      </c>
      <c r="I2571" s="103" t="s">
        <v>4784</v>
      </c>
      <c r="J2571" s="94" t="b">
        <f>Proc[[#This Row],[Requested]]=Proc[[#This Row],[CurrentParent]]</f>
        <v>1</v>
      </c>
      <c r="K2571" s="144" t="str">
        <f>IF(Proc[[#This Row],[Author]]="Marcela Urrego",VLOOKUP(LEFT(Proc[[#This Row],[Requested]],1),Table3[#All],2,0),VLOOKUP(Proc[[#This Row],[Author]],Table4[],2,0))</f>
        <v>MGF</v>
      </c>
      <c r="L2571" s="125" t="s">
        <v>4894</v>
      </c>
      <c r="M2571" s="109">
        <v>45841.453541666669</v>
      </c>
      <c r="N2571" s="109"/>
      <c r="O2571" s="109"/>
      <c r="P2571" s="110" t="str">
        <f ca="1">IF(Proc[[#This Row],[DaysAgeing]]&gt;5,"yep","on track")</f>
        <v>yep</v>
      </c>
      <c r="Q2571" s="3">
        <f ca="1">IF(Proc[[#This Row],[DateClosed]]="",ABS(NETWORKDAYS(Proc[[#This Row],[DateOpened]],TODAY()))-1,ABS(NETWORKDAYS(Proc[[#This Row],[DateOpened]],Proc[[#This Row],[DateClosed]]))-1)</f>
        <v>121</v>
      </c>
      <c r="R2571" s="110" t="s">
        <v>485</v>
      </c>
      <c r="S2571" s="94"/>
    </row>
    <row r="2572" spans="1:19" hidden="1">
      <c r="A2572" s="103" t="s">
        <v>4422</v>
      </c>
      <c r="B2572" s="149" t="str">
        <f>IFERROR(VLOOKUP(Proc[[#This Row],[App]],Table2[],3,0),"open")</f>
        <v>ok</v>
      </c>
      <c r="C2572" s="117" t="s">
        <v>369</v>
      </c>
      <c r="D2572" t="s">
        <v>4493</v>
      </c>
      <c r="E2572" t="s">
        <v>4738</v>
      </c>
      <c r="F2572" s="94" t="s">
        <v>4738</v>
      </c>
      <c r="G2572" s="103" t="s">
        <v>406</v>
      </c>
      <c r="H2572" s="94" t="str">
        <f>IF(Proc[[#This Row],[type]]="LFF (MDG-F)",MID(Proc[[#This Row],[Obj]],13,10),"")</f>
        <v>DE10539940</v>
      </c>
      <c r="I2572" s="103" t="s">
        <v>4784</v>
      </c>
      <c r="J2572" s="94" t="b">
        <f>Proc[[#This Row],[Requested]]=Proc[[#This Row],[CurrentParent]]</f>
        <v>1</v>
      </c>
      <c r="K2572" s="144" t="str">
        <f>IF(Proc[[#This Row],[Author]]="Marcela Urrego",VLOOKUP(LEFT(Proc[[#This Row],[Requested]],1),Table3[#All],2,0),VLOOKUP(Proc[[#This Row],[Author]],Table4[],2,0))</f>
        <v>MGF</v>
      </c>
      <c r="L2572" s="125" t="s">
        <v>4894</v>
      </c>
      <c r="M2572" s="109">
        <v>45841.453541666669</v>
      </c>
      <c r="N2572" s="109"/>
      <c r="O2572" s="109"/>
      <c r="P2572" s="110" t="str">
        <f ca="1">IF(Proc[[#This Row],[DaysAgeing]]&gt;5,"yep","on track")</f>
        <v>yep</v>
      </c>
      <c r="Q2572" s="3">
        <f ca="1">IF(Proc[[#This Row],[DateClosed]]="",ABS(NETWORKDAYS(Proc[[#This Row],[DateOpened]],TODAY()))-1,ABS(NETWORKDAYS(Proc[[#This Row],[DateOpened]],Proc[[#This Row],[DateClosed]]))-1)</f>
        <v>121</v>
      </c>
      <c r="R2572" s="110" t="s">
        <v>485</v>
      </c>
      <c r="S2572" s="94"/>
    </row>
    <row r="2573" spans="1:19" hidden="1">
      <c r="A2573" s="103" t="s">
        <v>4422</v>
      </c>
      <c r="B2573" s="149" t="str">
        <f>IFERROR(VLOOKUP(Proc[[#This Row],[App]],Table2[],3,0),"open")</f>
        <v>ok</v>
      </c>
      <c r="C2573" s="117" t="s">
        <v>369</v>
      </c>
      <c r="D2573" t="s">
        <v>4494</v>
      </c>
      <c r="E2573" t="s">
        <v>4738</v>
      </c>
      <c r="F2573" s="94" t="s">
        <v>4738</v>
      </c>
      <c r="G2573" s="103" t="s">
        <v>406</v>
      </c>
      <c r="H2573" s="94" t="str">
        <f>IF(Proc[[#This Row],[type]]="LFF (MDG-F)",MID(Proc[[#This Row],[Obj]],13,10),"")</f>
        <v>DE10539941</v>
      </c>
      <c r="I2573" s="103" t="s">
        <v>4784</v>
      </c>
      <c r="J2573" s="94" t="b">
        <f>Proc[[#This Row],[Requested]]=Proc[[#This Row],[CurrentParent]]</f>
        <v>1</v>
      </c>
      <c r="K2573" s="144" t="str">
        <f>IF(Proc[[#This Row],[Author]]="Marcela Urrego",VLOOKUP(LEFT(Proc[[#This Row],[Requested]],1),Table3[#All],2,0),VLOOKUP(Proc[[#This Row],[Author]],Table4[],2,0))</f>
        <v>MGF</v>
      </c>
      <c r="L2573" s="125" t="s">
        <v>4894</v>
      </c>
      <c r="M2573" s="109">
        <v>45841.453541666669</v>
      </c>
      <c r="N2573" s="109"/>
      <c r="O2573" s="109"/>
      <c r="P2573" s="110" t="str">
        <f ca="1">IF(Proc[[#This Row],[DaysAgeing]]&gt;5,"yep","on track")</f>
        <v>yep</v>
      </c>
      <c r="Q2573" s="3">
        <f ca="1">IF(Proc[[#This Row],[DateClosed]]="",ABS(NETWORKDAYS(Proc[[#This Row],[DateOpened]],TODAY()))-1,ABS(NETWORKDAYS(Proc[[#This Row],[DateOpened]],Proc[[#This Row],[DateClosed]]))-1)</f>
        <v>121</v>
      </c>
      <c r="R2573" s="110" t="s">
        <v>485</v>
      </c>
      <c r="S2573" s="94"/>
    </row>
    <row r="2574" spans="1:19" hidden="1">
      <c r="A2574" s="103" t="s">
        <v>4422</v>
      </c>
      <c r="B2574" s="149" t="str">
        <f>IFERROR(VLOOKUP(Proc[[#This Row],[App]],Table2[],3,0),"open")</f>
        <v>ok</v>
      </c>
      <c r="C2574" s="117" t="s">
        <v>369</v>
      </c>
      <c r="D2574" t="s">
        <v>4495</v>
      </c>
      <c r="E2574" t="s">
        <v>4738</v>
      </c>
      <c r="F2574" s="94" t="s">
        <v>4738</v>
      </c>
      <c r="G2574" s="103" t="s">
        <v>406</v>
      </c>
      <c r="H2574" s="94" t="str">
        <f>IF(Proc[[#This Row],[type]]="LFF (MDG-F)",MID(Proc[[#This Row],[Obj]],13,10),"")</f>
        <v>DE10539942</v>
      </c>
      <c r="I2574" s="103" t="s">
        <v>4784</v>
      </c>
      <c r="J2574" s="94" t="b">
        <f>Proc[[#This Row],[Requested]]=Proc[[#This Row],[CurrentParent]]</f>
        <v>1</v>
      </c>
      <c r="K2574" s="144" t="str">
        <f>IF(Proc[[#This Row],[Author]]="Marcela Urrego",VLOOKUP(LEFT(Proc[[#This Row],[Requested]],1),Table3[#All],2,0),VLOOKUP(Proc[[#This Row],[Author]],Table4[],2,0))</f>
        <v>MGF</v>
      </c>
      <c r="L2574" s="125" t="s">
        <v>4894</v>
      </c>
      <c r="M2574" s="109">
        <v>45841.453541666669</v>
      </c>
      <c r="N2574" s="109"/>
      <c r="O2574" s="109"/>
      <c r="P2574" s="110" t="str">
        <f ca="1">IF(Proc[[#This Row],[DaysAgeing]]&gt;5,"yep","on track")</f>
        <v>yep</v>
      </c>
      <c r="Q2574" s="3">
        <f ca="1">IF(Proc[[#This Row],[DateClosed]]="",ABS(NETWORKDAYS(Proc[[#This Row],[DateOpened]],TODAY()))-1,ABS(NETWORKDAYS(Proc[[#This Row],[DateOpened]],Proc[[#This Row],[DateClosed]]))-1)</f>
        <v>121</v>
      </c>
      <c r="R2574" s="110" t="s">
        <v>485</v>
      </c>
      <c r="S2574" s="94"/>
    </row>
    <row r="2575" spans="1:19" hidden="1">
      <c r="A2575" s="103" t="s">
        <v>4422</v>
      </c>
      <c r="B2575" s="149" t="str">
        <f>IFERROR(VLOOKUP(Proc[[#This Row],[App]],Table2[],3,0),"open")</f>
        <v>ok</v>
      </c>
      <c r="C2575" s="117" t="s">
        <v>369</v>
      </c>
      <c r="D2575" t="s">
        <v>4496</v>
      </c>
      <c r="E2575" t="s">
        <v>4738</v>
      </c>
      <c r="F2575" s="94" t="s">
        <v>4738</v>
      </c>
      <c r="G2575" s="103" t="s">
        <v>406</v>
      </c>
      <c r="H2575" s="94" t="str">
        <f>IF(Proc[[#This Row],[type]]="LFF (MDG-F)",MID(Proc[[#This Row],[Obj]],13,10),"")</f>
        <v>DE10539943</v>
      </c>
      <c r="I2575" s="103" t="s">
        <v>4784</v>
      </c>
      <c r="J2575" s="94" t="b">
        <f>Proc[[#This Row],[Requested]]=Proc[[#This Row],[CurrentParent]]</f>
        <v>1</v>
      </c>
      <c r="K2575" s="144" t="str">
        <f>IF(Proc[[#This Row],[Author]]="Marcela Urrego",VLOOKUP(LEFT(Proc[[#This Row],[Requested]],1),Table3[#All],2,0),VLOOKUP(Proc[[#This Row],[Author]],Table4[],2,0))</f>
        <v>MGF</v>
      </c>
      <c r="L2575" s="125" t="s">
        <v>4894</v>
      </c>
      <c r="M2575" s="109">
        <v>45841.453541666669</v>
      </c>
      <c r="N2575" s="109"/>
      <c r="O2575" s="109"/>
      <c r="P2575" s="110" t="str">
        <f ca="1">IF(Proc[[#This Row],[DaysAgeing]]&gt;5,"yep","on track")</f>
        <v>yep</v>
      </c>
      <c r="Q2575" s="3">
        <f ca="1">IF(Proc[[#This Row],[DateClosed]]="",ABS(NETWORKDAYS(Proc[[#This Row],[DateOpened]],TODAY()))-1,ABS(NETWORKDAYS(Proc[[#This Row],[DateOpened]],Proc[[#This Row],[DateClosed]]))-1)</f>
        <v>121</v>
      </c>
      <c r="R2575" s="110" t="s">
        <v>485</v>
      </c>
      <c r="S2575" s="94"/>
    </row>
    <row r="2576" spans="1:19" hidden="1">
      <c r="A2576" s="103" t="s">
        <v>4422</v>
      </c>
      <c r="B2576" s="149" t="str">
        <f>IFERROR(VLOOKUP(Proc[[#This Row],[App]],Table2[],3,0),"open")</f>
        <v>ok</v>
      </c>
      <c r="C2576" s="117" t="s">
        <v>369</v>
      </c>
      <c r="D2576" t="s">
        <v>4497</v>
      </c>
      <c r="E2576" t="s">
        <v>4738</v>
      </c>
      <c r="F2576" s="94" t="s">
        <v>4738</v>
      </c>
      <c r="G2576" s="103" t="s">
        <v>406</v>
      </c>
      <c r="H2576" s="94" t="str">
        <f>IF(Proc[[#This Row],[type]]="LFF (MDG-F)",MID(Proc[[#This Row],[Obj]],13,10),"")</f>
        <v>DE10539944</v>
      </c>
      <c r="I2576" s="103" t="s">
        <v>4784</v>
      </c>
      <c r="J2576" s="94" t="b">
        <f>Proc[[#This Row],[Requested]]=Proc[[#This Row],[CurrentParent]]</f>
        <v>1</v>
      </c>
      <c r="K2576" s="144" t="str">
        <f>IF(Proc[[#This Row],[Author]]="Marcela Urrego",VLOOKUP(LEFT(Proc[[#This Row],[Requested]],1),Table3[#All],2,0),VLOOKUP(Proc[[#This Row],[Author]],Table4[],2,0))</f>
        <v>MGF</v>
      </c>
      <c r="L2576" s="125" t="s">
        <v>4894</v>
      </c>
      <c r="M2576" s="109">
        <v>45841.453541666669</v>
      </c>
      <c r="N2576" s="109"/>
      <c r="O2576" s="109"/>
      <c r="P2576" s="110" t="str">
        <f ca="1">IF(Proc[[#This Row],[DaysAgeing]]&gt;5,"yep","on track")</f>
        <v>yep</v>
      </c>
      <c r="Q2576" s="3">
        <f ca="1">IF(Proc[[#This Row],[DateClosed]]="",ABS(NETWORKDAYS(Proc[[#This Row],[DateOpened]],TODAY()))-1,ABS(NETWORKDAYS(Proc[[#This Row],[DateOpened]],Proc[[#This Row],[DateClosed]]))-1)</f>
        <v>121</v>
      </c>
      <c r="R2576" s="110" t="s">
        <v>485</v>
      </c>
      <c r="S2576" s="94"/>
    </row>
    <row r="2577" spans="1:19" hidden="1">
      <c r="A2577" s="103" t="s">
        <v>4422</v>
      </c>
      <c r="B2577" s="149" t="str">
        <f>IFERROR(VLOOKUP(Proc[[#This Row],[App]],Table2[],3,0),"open")</f>
        <v>ok</v>
      </c>
      <c r="C2577" s="117" t="s">
        <v>369</v>
      </c>
      <c r="D2577" t="s">
        <v>4498</v>
      </c>
      <c r="E2577" t="s">
        <v>4738</v>
      </c>
      <c r="F2577" s="94" t="s">
        <v>4738</v>
      </c>
      <c r="G2577" s="103" t="s">
        <v>406</v>
      </c>
      <c r="H2577" s="94" t="str">
        <f>IF(Proc[[#This Row],[type]]="LFF (MDG-F)",MID(Proc[[#This Row],[Obj]],13,10),"")</f>
        <v>DE10539995</v>
      </c>
      <c r="I2577" s="103" t="s">
        <v>4784</v>
      </c>
      <c r="J2577" s="94" t="b">
        <f>Proc[[#This Row],[Requested]]=Proc[[#This Row],[CurrentParent]]</f>
        <v>1</v>
      </c>
      <c r="K2577" s="144" t="str">
        <f>IF(Proc[[#This Row],[Author]]="Marcela Urrego",VLOOKUP(LEFT(Proc[[#This Row],[Requested]],1),Table3[#All],2,0),VLOOKUP(Proc[[#This Row],[Author]],Table4[],2,0))</f>
        <v>MGF</v>
      </c>
      <c r="L2577" s="125" t="s">
        <v>4894</v>
      </c>
      <c r="M2577" s="109">
        <v>45841.453541666669</v>
      </c>
      <c r="N2577" s="109"/>
      <c r="O2577" s="109"/>
      <c r="P2577" s="110" t="str">
        <f ca="1">IF(Proc[[#This Row],[DaysAgeing]]&gt;5,"yep","on track")</f>
        <v>yep</v>
      </c>
      <c r="Q2577" s="3">
        <f ca="1">IF(Proc[[#This Row],[DateClosed]]="",ABS(NETWORKDAYS(Proc[[#This Row],[DateOpened]],TODAY()))-1,ABS(NETWORKDAYS(Proc[[#This Row],[DateOpened]],Proc[[#This Row],[DateClosed]]))-1)</f>
        <v>121</v>
      </c>
      <c r="R2577" s="110" t="s">
        <v>485</v>
      </c>
      <c r="S2577" s="94"/>
    </row>
    <row r="2578" spans="1:19" hidden="1">
      <c r="A2578" s="103" t="s">
        <v>4422</v>
      </c>
      <c r="B2578" s="149" t="str">
        <f>IFERROR(VLOOKUP(Proc[[#This Row],[App]],Table2[],3,0),"open")</f>
        <v>ok</v>
      </c>
      <c r="C2578" s="117" t="s">
        <v>369</v>
      </c>
      <c r="D2578" t="s">
        <v>4499</v>
      </c>
      <c r="E2578" t="s">
        <v>4740</v>
      </c>
      <c r="F2578" s="94" t="s">
        <v>4740</v>
      </c>
      <c r="G2578" s="103" t="s">
        <v>406</v>
      </c>
      <c r="H2578" s="94" t="str">
        <f>IF(Proc[[#This Row],[type]]="LFF (MDG-F)",MID(Proc[[#This Row],[Obj]],13,10),"")</f>
        <v>DE10538103</v>
      </c>
      <c r="I2578" s="103" t="s">
        <v>4784</v>
      </c>
      <c r="J2578" s="94" t="b">
        <f>Proc[[#This Row],[Requested]]=Proc[[#This Row],[CurrentParent]]</f>
        <v>1</v>
      </c>
      <c r="K2578" s="144" t="str">
        <f>IF(Proc[[#This Row],[Author]]="Marcela Urrego",VLOOKUP(LEFT(Proc[[#This Row],[Requested]],1),Table3[#All],2,0),VLOOKUP(Proc[[#This Row],[Author]],Table4[],2,0))</f>
        <v>MGF</v>
      </c>
      <c r="L2578" s="125" t="s">
        <v>4894</v>
      </c>
      <c r="M2578" s="109">
        <v>45841.453541666669</v>
      </c>
      <c r="N2578" s="109"/>
      <c r="O2578" s="109"/>
      <c r="P2578" s="110" t="str">
        <f ca="1">IF(Proc[[#This Row],[DaysAgeing]]&gt;5,"yep","on track")</f>
        <v>yep</v>
      </c>
      <c r="Q2578" s="3">
        <f ca="1">IF(Proc[[#This Row],[DateClosed]]="",ABS(NETWORKDAYS(Proc[[#This Row],[DateOpened]],TODAY()))-1,ABS(NETWORKDAYS(Proc[[#This Row],[DateOpened]],Proc[[#This Row],[DateClosed]]))-1)</f>
        <v>121</v>
      </c>
      <c r="R2578" s="110" t="s">
        <v>485</v>
      </c>
      <c r="S2578" s="94"/>
    </row>
    <row r="2579" spans="1:19" hidden="1">
      <c r="A2579" s="103" t="s">
        <v>4422</v>
      </c>
      <c r="B2579" s="149" t="str">
        <f>IFERROR(VLOOKUP(Proc[[#This Row],[App]],Table2[],3,0),"open")</f>
        <v>ok</v>
      </c>
      <c r="C2579" s="117" t="s">
        <v>369</v>
      </c>
      <c r="D2579" t="s">
        <v>4500</v>
      </c>
      <c r="E2579" t="s">
        <v>4741</v>
      </c>
      <c r="F2579" s="94" t="s">
        <v>4741</v>
      </c>
      <c r="G2579" s="103" t="s">
        <v>406</v>
      </c>
      <c r="H2579" s="94" t="str">
        <f>IF(Proc[[#This Row],[type]]="LFF (MDG-F)",MID(Proc[[#This Row],[Obj]],13,10),"")</f>
        <v>DE10538108</v>
      </c>
      <c r="I2579" s="103" t="s">
        <v>4784</v>
      </c>
      <c r="J2579" s="94" t="b">
        <f>Proc[[#This Row],[Requested]]=Proc[[#This Row],[CurrentParent]]</f>
        <v>1</v>
      </c>
      <c r="K2579" s="144" t="str">
        <f>IF(Proc[[#This Row],[Author]]="Marcela Urrego",VLOOKUP(LEFT(Proc[[#This Row],[Requested]],1),Table3[#All],2,0),VLOOKUP(Proc[[#This Row],[Author]],Table4[],2,0))</f>
        <v>MGF</v>
      </c>
      <c r="L2579" s="125" t="s">
        <v>4894</v>
      </c>
      <c r="M2579" s="109">
        <v>45841.453541666669</v>
      </c>
      <c r="N2579" s="109"/>
      <c r="O2579" s="109"/>
      <c r="P2579" s="110" t="str">
        <f ca="1">IF(Proc[[#This Row],[DaysAgeing]]&gt;5,"yep","on track")</f>
        <v>yep</v>
      </c>
      <c r="Q2579" s="3">
        <f ca="1">IF(Proc[[#This Row],[DateClosed]]="",ABS(NETWORKDAYS(Proc[[#This Row],[DateOpened]],TODAY()))-1,ABS(NETWORKDAYS(Proc[[#This Row],[DateOpened]],Proc[[#This Row],[DateClosed]]))-1)</f>
        <v>121</v>
      </c>
      <c r="R2579" s="110" t="s">
        <v>485</v>
      </c>
      <c r="S2579" s="94"/>
    </row>
    <row r="2580" spans="1:19" hidden="1">
      <c r="A2580" s="103" t="s">
        <v>4422</v>
      </c>
      <c r="B2580" s="149" t="str">
        <f>IFERROR(VLOOKUP(Proc[[#This Row],[App]],Table2[],3,0),"open")</f>
        <v>ok</v>
      </c>
      <c r="C2580" s="117" t="s">
        <v>369</v>
      </c>
      <c r="D2580" t="s">
        <v>4501</v>
      </c>
      <c r="E2580" t="s">
        <v>4740</v>
      </c>
      <c r="F2580" s="94" t="s">
        <v>4740</v>
      </c>
      <c r="G2580" s="103" t="s">
        <v>406</v>
      </c>
      <c r="H2580" s="94" t="str">
        <f>IF(Proc[[#This Row],[type]]="LFF (MDG-F)",MID(Proc[[#This Row],[Obj]],13,10),"")</f>
        <v>DE10538110</v>
      </c>
      <c r="I2580" s="103" t="s">
        <v>4784</v>
      </c>
      <c r="J2580" s="94" t="b">
        <f>Proc[[#This Row],[Requested]]=Proc[[#This Row],[CurrentParent]]</f>
        <v>1</v>
      </c>
      <c r="K2580" s="144" t="str">
        <f>IF(Proc[[#This Row],[Author]]="Marcela Urrego",VLOOKUP(LEFT(Proc[[#This Row],[Requested]],1),Table3[#All],2,0),VLOOKUP(Proc[[#This Row],[Author]],Table4[],2,0))</f>
        <v>MGF</v>
      </c>
      <c r="L2580" s="125" t="s">
        <v>4894</v>
      </c>
      <c r="M2580" s="109">
        <v>45841.453541666669</v>
      </c>
      <c r="N2580" s="109"/>
      <c r="O2580" s="109"/>
      <c r="P2580" s="110" t="str">
        <f ca="1">IF(Proc[[#This Row],[DaysAgeing]]&gt;5,"yep","on track")</f>
        <v>yep</v>
      </c>
      <c r="Q2580" s="3">
        <f ca="1">IF(Proc[[#This Row],[DateClosed]]="",ABS(NETWORKDAYS(Proc[[#This Row],[DateOpened]],TODAY()))-1,ABS(NETWORKDAYS(Proc[[#This Row],[DateOpened]],Proc[[#This Row],[DateClosed]]))-1)</f>
        <v>121</v>
      </c>
      <c r="R2580" s="110" t="s">
        <v>485</v>
      </c>
      <c r="S2580" s="94"/>
    </row>
    <row r="2581" spans="1:19" hidden="1">
      <c r="A2581" s="103" t="s">
        <v>4422</v>
      </c>
      <c r="B2581" s="149" t="str">
        <f>IFERROR(VLOOKUP(Proc[[#This Row],[App]],Table2[],3,0),"open")</f>
        <v>ok</v>
      </c>
      <c r="C2581" s="117" t="s">
        <v>369</v>
      </c>
      <c r="D2581" t="s">
        <v>4502</v>
      </c>
      <c r="E2581" t="s">
        <v>4742</v>
      </c>
      <c r="F2581" s="94" t="s">
        <v>4742</v>
      </c>
      <c r="G2581" s="103" t="s">
        <v>406</v>
      </c>
      <c r="H2581" s="94" t="str">
        <f>IF(Proc[[#This Row],[type]]="LFF (MDG-F)",MID(Proc[[#This Row],[Obj]],13,10),"")</f>
        <v>DE10538111</v>
      </c>
      <c r="I2581" s="103" t="s">
        <v>4784</v>
      </c>
      <c r="J2581" s="94" t="b">
        <f>Proc[[#This Row],[Requested]]=Proc[[#This Row],[CurrentParent]]</f>
        <v>1</v>
      </c>
      <c r="K2581" s="144" t="str">
        <f>IF(Proc[[#This Row],[Author]]="Marcela Urrego",VLOOKUP(LEFT(Proc[[#This Row],[Requested]],1),Table3[#All],2,0),VLOOKUP(Proc[[#This Row],[Author]],Table4[],2,0))</f>
        <v>MGF</v>
      </c>
      <c r="L2581" s="125" t="s">
        <v>4894</v>
      </c>
      <c r="M2581" s="109">
        <v>45841.453541666669</v>
      </c>
      <c r="N2581" s="109"/>
      <c r="O2581" s="109"/>
      <c r="P2581" s="110" t="str">
        <f ca="1">IF(Proc[[#This Row],[DaysAgeing]]&gt;5,"yep","on track")</f>
        <v>yep</v>
      </c>
      <c r="Q2581" s="3">
        <f ca="1">IF(Proc[[#This Row],[DateClosed]]="",ABS(NETWORKDAYS(Proc[[#This Row],[DateOpened]],TODAY()))-1,ABS(NETWORKDAYS(Proc[[#This Row],[DateOpened]],Proc[[#This Row],[DateClosed]]))-1)</f>
        <v>121</v>
      </c>
      <c r="R2581" s="110" t="s">
        <v>485</v>
      </c>
      <c r="S2581" s="94"/>
    </row>
    <row r="2582" spans="1:19" hidden="1">
      <c r="A2582" s="103" t="s">
        <v>4422</v>
      </c>
      <c r="B2582" s="149" t="str">
        <f>IFERROR(VLOOKUP(Proc[[#This Row],[App]],Table2[],3,0),"open")</f>
        <v>ok</v>
      </c>
      <c r="C2582" s="117" t="s">
        <v>369</v>
      </c>
      <c r="D2582" t="s">
        <v>4503</v>
      </c>
      <c r="E2582" t="s">
        <v>4740</v>
      </c>
      <c r="F2582" s="94" t="s">
        <v>4740</v>
      </c>
      <c r="G2582" s="103" t="s">
        <v>406</v>
      </c>
      <c r="H2582" s="94" t="str">
        <f>IF(Proc[[#This Row],[type]]="LFF (MDG-F)",MID(Proc[[#This Row],[Obj]],13,10),"")</f>
        <v>DE10538112</v>
      </c>
      <c r="I2582" s="103" t="s">
        <v>4784</v>
      </c>
      <c r="J2582" s="94" t="b">
        <f>Proc[[#This Row],[Requested]]=Proc[[#This Row],[CurrentParent]]</f>
        <v>1</v>
      </c>
      <c r="K2582" s="144" t="str">
        <f>IF(Proc[[#This Row],[Author]]="Marcela Urrego",VLOOKUP(LEFT(Proc[[#This Row],[Requested]],1),Table3[#All],2,0),VLOOKUP(Proc[[#This Row],[Author]],Table4[],2,0))</f>
        <v>MGF</v>
      </c>
      <c r="L2582" s="125" t="s">
        <v>4894</v>
      </c>
      <c r="M2582" s="109">
        <v>45841.453541666669</v>
      </c>
      <c r="N2582" s="109"/>
      <c r="O2582" s="109"/>
      <c r="P2582" s="110" t="str">
        <f ca="1">IF(Proc[[#This Row],[DaysAgeing]]&gt;5,"yep","on track")</f>
        <v>yep</v>
      </c>
      <c r="Q2582" s="3">
        <f ca="1">IF(Proc[[#This Row],[DateClosed]]="",ABS(NETWORKDAYS(Proc[[#This Row],[DateOpened]],TODAY()))-1,ABS(NETWORKDAYS(Proc[[#This Row],[DateOpened]],Proc[[#This Row],[DateClosed]]))-1)</f>
        <v>121</v>
      </c>
      <c r="R2582" s="110" t="s">
        <v>485</v>
      </c>
      <c r="S2582" s="94"/>
    </row>
    <row r="2583" spans="1:19" hidden="1">
      <c r="A2583" s="103" t="s">
        <v>4422</v>
      </c>
      <c r="B2583" s="149" t="str">
        <f>IFERROR(VLOOKUP(Proc[[#This Row],[App]],Table2[],3,0),"open")</f>
        <v>ok</v>
      </c>
      <c r="C2583" s="117" t="s">
        <v>369</v>
      </c>
      <c r="D2583" t="s">
        <v>4504</v>
      </c>
      <c r="E2583" t="s">
        <v>4740</v>
      </c>
      <c r="F2583" s="94" t="s">
        <v>4740</v>
      </c>
      <c r="G2583" s="103" t="s">
        <v>406</v>
      </c>
      <c r="H2583" s="94" t="str">
        <f>IF(Proc[[#This Row],[type]]="LFF (MDG-F)",MID(Proc[[#This Row],[Obj]],13,10),"")</f>
        <v>DE10538113</v>
      </c>
      <c r="I2583" s="103" t="s">
        <v>4784</v>
      </c>
      <c r="J2583" s="94" t="b">
        <f>Proc[[#This Row],[Requested]]=Proc[[#This Row],[CurrentParent]]</f>
        <v>1</v>
      </c>
      <c r="K2583" s="144" t="str">
        <f>IF(Proc[[#This Row],[Author]]="Marcela Urrego",VLOOKUP(LEFT(Proc[[#This Row],[Requested]],1),Table3[#All],2,0),VLOOKUP(Proc[[#This Row],[Author]],Table4[],2,0))</f>
        <v>MGF</v>
      </c>
      <c r="L2583" s="125" t="s">
        <v>4894</v>
      </c>
      <c r="M2583" s="109">
        <v>45841.453541666669</v>
      </c>
      <c r="N2583" s="109"/>
      <c r="O2583" s="109"/>
      <c r="P2583" s="110" t="str">
        <f ca="1">IF(Proc[[#This Row],[DaysAgeing]]&gt;5,"yep","on track")</f>
        <v>yep</v>
      </c>
      <c r="Q2583" s="3">
        <f ca="1">IF(Proc[[#This Row],[DateClosed]]="",ABS(NETWORKDAYS(Proc[[#This Row],[DateOpened]],TODAY()))-1,ABS(NETWORKDAYS(Proc[[#This Row],[DateOpened]],Proc[[#This Row],[DateClosed]]))-1)</f>
        <v>121</v>
      </c>
      <c r="R2583" s="110" t="s">
        <v>485</v>
      </c>
      <c r="S2583" s="94"/>
    </row>
    <row r="2584" spans="1:19" hidden="1">
      <c r="A2584" s="103" t="s">
        <v>4422</v>
      </c>
      <c r="B2584" s="149" t="str">
        <f>IFERROR(VLOOKUP(Proc[[#This Row],[App]],Table2[],3,0),"open")</f>
        <v>ok</v>
      </c>
      <c r="C2584" s="117" t="s">
        <v>369</v>
      </c>
      <c r="D2584" t="s">
        <v>4505</v>
      </c>
      <c r="E2584" t="s">
        <v>4740</v>
      </c>
      <c r="F2584" s="94" t="s">
        <v>4740</v>
      </c>
      <c r="G2584" s="103" t="s">
        <v>406</v>
      </c>
      <c r="H2584" s="94" t="str">
        <f>IF(Proc[[#This Row],[type]]="LFF (MDG-F)",MID(Proc[[#This Row],[Obj]],13,10),"")</f>
        <v>DE10538114</v>
      </c>
      <c r="I2584" s="103" t="s">
        <v>4784</v>
      </c>
      <c r="J2584" s="94" t="b">
        <f>Proc[[#This Row],[Requested]]=Proc[[#This Row],[CurrentParent]]</f>
        <v>1</v>
      </c>
      <c r="K2584" s="144" t="str">
        <f>IF(Proc[[#This Row],[Author]]="Marcela Urrego",VLOOKUP(LEFT(Proc[[#This Row],[Requested]],1),Table3[#All],2,0),VLOOKUP(Proc[[#This Row],[Author]],Table4[],2,0))</f>
        <v>MGF</v>
      </c>
      <c r="L2584" s="125" t="s">
        <v>4894</v>
      </c>
      <c r="M2584" s="109">
        <v>45841.453541666669</v>
      </c>
      <c r="N2584" s="109"/>
      <c r="O2584" s="109"/>
      <c r="P2584" s="110" t="str">
        <f ca="1">IF(Proc[[#This Row],[DaysAgeing]]&gt;5,"yep","on track")</f>
        <v>yep</v>
      </c>
      <c r="Q2584" s="3">
        <f ca="1">IF(Proc[[#This Row],[DateClosed]]="",ABS(NETWORKDAYS(Proc[[#This Row],[DateOpened]],TODAY()))-1,ABS(NETWORKDAYS(Proc[[#This Row],[DateOpened]],Proc[[#This Row],[DateClosed]]))-1)</f>
        <v>121</v>
      </c>
      <c r="R2584" s="110" t="s">
        <v>485</v>
      </c>
      <c r="S2584" s="94"/>
    </row>
    <row r="2585" spans="1:19" hidden="1">
      <c r="A2585" s="103" t="s">
        <v>4422</v>
      </c>
      <c r="B2585" s="149" t="str">
        <f>IFERROR(VLOOKUP(Proc[[#This Row],[App]],Table2[],3,0),"open")</f>
        <v>ok</v>
      </c>
      <c r="C2585" s="117" t="s">
        <v>369</v>
      </c>
      <c r="D2585" t="s">
        <v>4506</v>
      </c>
      <c r="E2585" t="s">
        <v>4742</v>
      </c>
      <c r="F2585" s="94" t="s">
        <v>4742</v>
      </c>
      <c r="G2585" s="103" t="s">
        <v>406</v>
      </c>
      <c r="H2585" s="94" t="str">
        <f>IF(Proc[[#This Row],[type]]="LFF (MDG-F)",MID(Proc[[#This Row],[Obj]],13,10),"")</f>
        <v>DE10538115</v>
      </c>
      <c r="I2585" s="103" t="s">
        <v>4784</v>
      </c>
      <c r="J2585" s="94" t="b">
        <f>Proc[[#This Row],[Requested]]=Proc[[#This Row],[CurrentParent]]</f>
        <v>1</v>
      </c>
      <c r="K2585" s="144" t="str">
        <f>IF(Proc[[#This Row],[Author]]="Marcela Urrego",VLOOKUP(LEFT(Proc[[#This Row],[Requested]],1),Table3[#All],2,0),VLOOKUP(Proc[[#This Row],[Author]],Table4[],2,0))</f>
        <v>MGF</v>
      </c>
      <c r="L2585" s="125" t="s">
        <v>4894</v>
      </c>
      <c r="M2585" s="109">
        <v>45841.453541666669</v>
      </c>
      <c r="N2585" s="109"/>
      <c r="O2585" s="109"/>
      <c r="P2585" s="110" t="str">
        <f ca="1">IF(Proc[[#This Row],[DaysAgeing]]&gt;5,"yep","on track")</f>
        <v>yep</v>
      </c>
      <c r="Q2585" s="3">
        <f ca="1">IF(Proc[[#This Row],[DateClosed]]="",ABS(NETWORKDAYS(Proc[[#This Row],[DateOpened]],TODAY()))-1,ABS(NETWORKDAYS(Proc[[#This Row],[DateOpened]],Proc[[#This Row],[DateClosed]]))-1)</f>
        <v>121</v>
      </c>
      <c r="R2585" s="110" t="s">
        <v>485</v>
      </c>
      <c r="S2585" s="94"/>
    </row>
    <row r="2586" spans="1:19" hidden="1">
      <c r="A2586" s="103" t="s">
        <v>4422</v>
      </c>
      <c r="B2586" s="149" t="str">
        <f>IFERROR(VLOOKUP(Proc[[#This Row],[App]],Table2[],3,0),"open")</f>
        <v>ok</v>
      </c>
      <c r="C2586" s="117" t="s">
        <v>369</v>
      </c>
      <c r="D2586" t="s">
        <v>4507</v>
      </c>
      <c r="E2586" t="s">
        <v>4741</v>
      </c>
      <c r="F2586" s="94" t="s">
        <v>4741</v>
      </c>
      <c r="G2586" s="103" t="s">
        <v>406</v>
      </c>
      <c r="H2586" s="94" t="str">
        <f>IF(Proc[[#This Row],[type]]="LFF (MDG-F)",MID(Proc[[#This Row],[Obj]],13,10),"")</f>
        <v>DE10538117</v>
      </c>
      <c r="I2586" s="103" t="s">
        <v>4784</v>
      </c>
      <c r="J2586" s="94" t="b">
        <f>Proc[[#This Row],[Requested]]=Proc[[#This Row],[CurrentParent]]</f>
        <v>1</v>
      </c>
      <c r="K2586" s="144" t="str">
        <f>IF(Proc[[#This Row],[Author]]="Marcela Urrego",VLOOKUP(LEFT(Proc[[#This Row],[Requested]],1),Table3[#All],2,0),VLOOKUP(Proc[[#This Row],[Author]],Table4[],2,0))</f>
        <v>MGF</v>
      </c>
      <c r="L2586" s="125" t="s">
        <v>4894</v>
      </c>
      <c r="M2586" s="109">
        <v>45841.453541666669</v>
      </c>
      <c r="N2586" s="109"/>
      <c r="O2586" s="109"/>
      <c r="P2586" s="110" t="str">
        <f ca="1">IF(Proc[[#This Row],[DaysAgeing]]&gt;5,"yep","on track")</f>
        <v>yep</v>
      </c>
      <c r="Q2586" s="3">
        <f ca="1">IF(Proc[[#This Row],[DateClosed]]="",ABS(NETWORKDAYS(Proc[[#This Row],[DateOpened]],TODAY()))-1,ABS(NETWORKDAYS(Proc[[#This Row],[DateOpened]],Proc[[#This Row],[DateClosed]]))-1)</f>
        <v>121</v>
      </c>
      <c r="R2586" s="110" t="s">
        <v>485</v>
      </c>
      <c r="S2586" s="94"/>
    </row>
    <row r="2587" spans="1:19" hidden="1">
      <c r="A2587" s="103" t="s">
        <v>4422</v>
      </c>
      <c r="B2587" s="149" t="str">
        <f>IFERROR(VLOOKUP(Proc[[#This Row],[App]],Table2[],3,0),"open")</f>
        <v>ok</v>
      </c>
      <c r="C2587" s="117" t="s">
        <v>369</v>
      </c>
      <c r="D2587" t="s">
        <v>4508</v>
      </c>
      <c r="E2587" t="s">
        <v>4740</v>
      </c>
      <c r="F2587" s="94" t="s">
        <v>4740</v>
      </c>
      <c r="G2587" s="103" t="s">
        <v>406</v>
      </c>
      <c r="H2587" s="94" t="str">
        <f>IF(Proc[[#This Row],[type]]="LFF (MDG-F)",MID(Proc[[#This Row],[Obj]],13,10),"")</f>
        <v>DE10538119</v>
      </c>
      <c r="I2587" s="103" t="s">
        <v>4784</v>
      </c>
      <c r="J2587" s="94" t="b">
        <f>Proc[[#This Row],[Requested]]=Proc[[#This Row],[CurrentParent]]</f>
        <v>1</v>
      </c>
      <c r="K2587" s="144" t="str">
        <f>IF(Proc[[#This Row],[Author]]="Marcela Urrego",VLOOKUP(LEFT(Proc[[#This Row],[Requested]],1),Table3[#All],2,0),VLOOKUP(Proc[[#This Row],[Author]],Table4[],2,0))</f>
        <v>MGF</v>
      </c>
      <c r="L2587" s="125" t="s">
        <v>4894</v>
      </c>
      <c r="M2587" s="109">
        <v>45841.453541666669</v>
      </c>
      <c r="N2587" s="109"/>
      <c r="O2587" s="109"/>
      <c r="P2587" s="110" t="str">
        <f ca="1">IF(Proc[[#This Row],[DaysAgeing]]&gt;5,"yep","on track")</f>
        <v>yep</v>
      </c>
      <c r="Q2587" s="3">
        <f ca="1">IF(Proc[[#This Row],[DateClosed]]="",ABS(NETWORKDAYS(Proc[[#This Row],[DateOpened]],TODAY()))-1,ABS(NETWORKDAYS(Proc[[#This Row],[DateOpened]],Proc[[#This Row],[DateClosed]]))-1)</f>
        <v>121</v>
      </c>
      <c r="R2587" s="110" t="s">
        <v>485</v>
      </c>
      <c r="S2587" s="94"/>
    </row>
    <row r="2588" spans="1:19" hidden="1">
      <c r="A2588" s="103" t="s">
        <v>4422</v>
      </c>
      <c r="B2588" s="149" t="str">
        <f>IFERROR(VLOOKUP(Proc[[#This Row],[App]],Table2[],3,0),"open")</f>
        <v>ok</v>
      </c>
      <c r="C2588" s="117" t="s">
        <v>369</v>
      </c>
      <c r="D2588" t="s">
        <v>4509</v>
      </c>
      <c r="E2588" t="s">
        <v>4740</v>
      </c>
      <c r="F2588" s="94" t="s">
        <v>4740</v>
      </c>
      <c r="G2588" s="103" t="s">
        <v>406</v>
      </c>
      <c r="H2588" s="94" t="str">
        <f>IF(Proc[[#This Row],[type]]="LFF (MDG-F)",MID(Proc[[#This Row],[Obj]],13,10),"")</f>
        <v>DE10538120</v>
      </c>
      <c r="I2588" s="103" t="s">
        <v>4784</v>
      </c>
      <c r="J2588" s="94" t="b">
        <f>Proc[[#This Row],[Requested]]=Proc[[#This Row],[CurrentParent]]</f>
        <v>1</v>
      </c>
      <c r="K2588" s="144" t="str">
        <f>IF(Proc[[#This Row],[Author]]="Marcela Urrego",VLOOKUP(LEFT(Proc[[#This Row],[Requested]],1),Table3[#All],2,0),VLOOKUP(Proc[[#This Row],[Author]],Table4[],2,0))</f>
        <v>MGF</v>
      </c>
      <c r="L2588" s="125" t="s">
        <v>4894</v>
      </c>
      <c r="M2588" s="109">
        <v>45841.453541666669</v>
      </c>
      <c r="N2588" s="109"/>
      <c r="O2588" s="109"/>
      <c r="P2588" s="110" t="str">
        <f ca="1">IF(Proc[[#This Row],[DaysAgeing]]&gt;5,"yep","on track")</f>
        <v>yep</v>
      </c>
      <c r="Q2588" s="3">
        <f ca="1">IF(Proc[[#This Row],[DateClosed]]="",ABS(NETWORKDAYS(Proc[[#This Row],[DateOpened]],TODAY()))-1,ABS(NETWORKDAYS(Proc[[#This Row],[DateOpened]],Proc[[#This Row],[DateClosed]]))-1)</f>
        <v>121</v>
      </c>
      <c r="R2588" s="110" t="s">
        <v>485</v>
      </c>
      <c r="S2588" s="94"/>
    </row>
    <row r="2589" spans="1:19" hidden="1">
      <c r="A2589" s="103" t="s">
        <v>4422</v>
      </c>
      <c r="B2589" s="149" t="str">
        <f>IFERROR(VLOOKUP(Proc[[#This Row],[App]],Table2[],3,0),"open")</f>
        <v>ok</v>
      </c>
      <c r="C2589" s="117" t="s">
        <v>369</v>
      </c>
      <c r="D2589" t="s">
        <v>4510</v>
      </c>
      <c r="E2589" t="s">
        <v>4740</v>
      </c>
      <c r="F2589" s="94" t="s">
        <v>4740</v>
      </c>
      <c r="G2589" s="103" t="s">
        <v>406</v>
      </c>
      <c r="H2589" s="94" t="str">
        <f>IF(Proc[[#This Row],[type]]="LFF (MDG-F)",MID(Proc[[#This Row],[Obj]],13,10),"")</f>
        <v>DE10538121</v>
      </c>
      <c r="I2589" s="103" t="s">
        <v>4784</v>
      </c>
      <c r="J2589" s="94" t="b">
        <f>Proc[[#This Row],[Requested]]=Proc[[#This Row],[CurrentParent]]</f>
        <v>1</v>
      </c>
      <c r="K2589" s="144" t="str">
        <f>IF(Proc[[#This Row],[Author]]="Marcela Urrego",VLOOKUP(LEFT(Proc[[#This Row],[Requested]],1),Table3[#All],2,0),VLOOKUP(Proc[[#This Row],[Author]],Table4[],2,0))</f>
        <v>MGF</v>
      </c>
      <c r="L2589" s="125" t="s">
        <v>4894</v>
      </c>
      <c r="M2589" s="109">
        <v>45841.453541666669</v>
      </c>
      <c r="N2589" s="109"/>
      <c r="O2589" s="109"/>
      <c r="P2589" s="110" t="str">
        <f ca="1">IF(Proc[[#This Row],[DaysAgeing]]&gt;5,"yep","on track")</f>
        <v>yep</v>
      </c>
      <c r="Q2589" s="3">
        <f ca="1">IF(Proc[[#This Row],[DateClosed]]="",ABS(NETWORKDAYS(Proc[[#This Row],[DateOpened]],TODAY()))-1,ABS(NETWORKDAYS(Proc[[#This Row],[DateOpened]],Proc[[#This Row],[DateClosed]]))-1)</f>
        <v>121</v>
      </c>
      <c r="R2589" s="110" t="s">
        <v>485</v>
      </c>
      <c r="S2589" s="94"/>
    </row>
    <row r="2590" spans="1:19" hidden="1">
      <c r="A2590" s="103" t="s">
        <v>4422</v>
      </c>
      <c r="B2590" s="149" t="str">
        <f>IFERROR(VLOOKUP(Proc[[#This Row],[App]],Table2[],3,0),"open")</f>
        <v>ok</v>
      </c>
      <c r="C2590" s="117" t="s">
        <v>369</v>
      </c>
      <c r="D2590" t="s">
        <v>4511</v>
      </c>
      <c r="E2590" t="s">
        <v>4740</v>
      </c>
      <c r="F2590" s="94" t="s">
        <v>4740</v>
      </c>
      <c r="G2590" s="103" t="s">
        <v>406</v>
      </c>
      <c r="H2590" s="94" t="str">
        <f>IF(Proc[[#This Row],[type]]="LFF (MDG-F)",MID(Proc[[#This Row],[Obj]],13,10),"")</f>
        <v>DE10538122</v>
      </c>
      <c r="I2590" s="103" t="s">
        <v>4784</v>
      </c>
      <c r="J2590" s="94" t="b">
        <f>Proc[[#This Row],[Requested]]=Proc[[#This Row],[CurrentParent]]</f>
        <v>1</v>
      </c>
      <c r="K2590" s="144" t="str">
        <f>IF(Proc[[#This Row],[Author]]="Marcela Urrego",VLOOKUP(LEFT(Proc[[#This Row],[Requested]],1),Table3[#All],2,0),VLOOKUP(Proc[[#This Row],[Author]],Table4[],2,0))</f>
        <v>MGF</v>
      </c>
      <c r="L2590" s="125" t="s">
        <v>4894</v>
      </c>
      <c r="M2590" s="109">
        <v>45841.453541666669</v>
      </c>
      <c r="N2590" s="109"/>
      <c r="O2590" s="109"/>
      <c r="P2590" s="110" t="str">
        <f ca="1">IF(Proc[[#This Row],[DaysAgeing]]&gt;5,"yep","on track")</f>
        <v>yep</v>
      </c>
      <c r="Q2590" s="3">
        <f ca="1">IF(Proc[[#This Row],[DateClosed]]="",ABS(NETWORKDAYS(Proc[[#This Row],[DateOpened]],TODAY()))-1,ABS(NETWORKDAYS(Proc[[#This Row],[DateOpened]],Proc[[#This Row],[DateClosed]]))-1)</f>
        <v>121</v>
      </c>
      <c r="R2590" s="110" t="s">
        <v>485</v>
      </c>
      <c r="S2590" s="94"/>
    </row>
    <row r="2591" spans="1:19" hidden="1">
      <c r="A2591" s="103" t="s">
        <v>4422</v>
      </c>
      <c r="B2591" s="149" t="str">
        <f>IFERROR(VLOOKUP(Proc[[#This Row],[App]],Table2[],3,0),"open")</f>
        <v>ok</v>
      </c>
      <c r="C2591" s="117" t="s">
        <v>369</v>
      </c>
      <c r="D2591" t="s">
        <v>4512</v>
      </c>
      <c r="E2591" t="s">
        <v>4740</v>
      </c>
      <c r="F2591" s="94" t="s">
        <v>4740</v>
      </c>
      <c r="G2591" s="103" t="s">
        <v>406</v>
      </c>
      <c r="H2591" s="94" t="str">
        <f>IF(Proc[[#This Row],[type]]="LFF (MDG-F)",MID(Proc[[#This Row],[Obj]],13,10),"")</f>
        <v>DE10538124</v>
      </c>
      <c r="I2591" s="103" t="s">
        <v>4784</v>
      </c>
      <c r="J2591" s="94" t="b">
        <f>Proc[[#This Row],[Requested]]=Proc[[#This Row],[CurrentParent]]</f>
        <v>1</v>
      </c>
      <c r="K2591" s="144" t="str">
        <f>IF(Proc[[#This Row],[Author]]="Marcela Urrego",VLOOKUP(LEFT(Proc[[#This Row],[Requested]],1),Table3[#All],2,0),VLOOKUP(Proc[[#This Row],[Author]],Table4[],2,0))</f>
        <v>MGF</v>
      </c>
      <c r="L2591" s="125" t="s">
        <v>4894</v>
      </c>
      <c r="M2591" s="109">
        <v>45841.453541666669</v>
      </c>
      <c r="N2591" s="109"/>
      <c r="O2591" s="109"/>
      <c r="P2591" s="110" t="str">
        <f ca="1">IF(Proc[[#This Row],[DaysAgeing]]&gt;5,"yep","on track")</f>
        <v>yep</v>
      </c>
      <c r="Q2591" s="3">
        <f ca="1">IF(Proc[[#This Row],[DateClosed]]="",ABS(NETWORKDAYS(Proc[[#This Row],[DateOpened]],TODAY()))-1,ABS(NETWORKDAYS(Proc[[#This Row],[DateOpened]],Proc[[#This Row],[DateClosed]]))-1)</f>
        <v>121</v>
      </c>
      <c r="R2591" s="110" t="s">
        <v>485</v>
      </c>
      <c r="S2591" s="94"/>
    </row>
    <row r="2592" spans="1:19" hidden="1">
      <c r="A2592" s="103" t="s">
        <v>4422</v>
      </c>
      <c r="B2592" s="149" t="str">
        <f>IFERROR(VLOOKUP(Proc[[#This Row],[App]],Table2[],3,0),"open")</f>
        <v>ok</v>
      </c>
      <c r="C2592" s="117" t="s">
        <v>369</v>
      </c>
      <c r="D2592" t="s">
        <v>4513</v>
      </c>
      <c r="E2592" t="s">
        <v>4740</v>
      </c>
      <c r="F2592" s="94" t="s">
        <v>4740</v>
      </c>
      <c r="G2592" s="103" t="s">
        <v>406</v>
      </c>
      <c r="H2592" s="94" t="str">
        <f>IF(Proc[[#This Row],[type]]="LFF (MDG-F)",MID(Proc[[#This Row],[Obj]],13,10),"")</f>
        <v>DE10538129</v>
      </c>
      <c r="I2592" s="103" t="s">
        <v>4784</v>
      </c>
      <c r="J2592" s="94" t="b">
        <f>Proc[[#This Row],[Requested]]=Proc[[#This Row],[CurrentParent]]</f>
        <v>1</v>
      </c>
      <c r="K2592" s="144" t="str">
        <f>IF(Proc[[#This Row],[Author]]="Marcela Urrego",VLOOKUP(LEFT(Proc[[#This Row],[Requested]],1),Table3[#All],2,0),VLOOKUP(Proc[[#This Row],[Author]],Table4[],2,0))</f>
        <v>MGF</v>
      </c>
      <c r="L2592" s="125" t="s">
        <v>4894</v>
      </c>
      <c r="M2592" s="109">
        <v>45841.453541666669</v>
      </c>
      <c r="N2592" s="109"/>
      <c r="O2592" s="109"/>
      <c r="P2592" s="110" t="str">
        <f ca="1">IF(Proc[[#This Row],[DaysAgeing]]&gt;5,"yep","on track")</f>
        <v>yep</v>
      </c>
      <c r="Q2592" s="3">
        <f ca="1">IF(Proc[[#This Row],[DateClosed]]="",ABS(NETWORKDAYS(Proc[[#This Row],[DateOpened]],TODAY()))-1,ABS(NETWORKDAYS(Proc[[#This Row],[DateOpened]],Proc[[#This Row],[DateClosed]]))-1)</f>
        <v>121</v>
      </c>
      <c r="R2592" s="110" t="s">
        <v>485</v>
      </c>
      <c r="S2592" s="94"/>
    </row>
    <row r="2593" spans="1:19" hidden="1">
      <c r="A2593" s="103" t="s">
        <v>4422</v>
      </c>
      <c r="B2593" s="149" t="str">
        <f>IFERROR(VLOOKUP(Proc[[#This Row],[App]],Table2[],3,0),"open")</f>
        <v>ok</v>
      </c>
      <c r="C2593" s="117" t="s">
        <v>369</v>
      </c>
      <c r="D2593" t="s">
        <v>4514</v>
      </c>
      <c r="E2593" t="s">
        <v>4740</v>
      </c>
      <c r="F2593" s="94" t="s">
        <v>4740</v>
      </c>
      <c r="G2593" s="103" t="s">
        <v>406</v>
      </c>
      <c r="H2593" s="94" t="str">
        <f>IF(Proc[[#This Row],[type]]="LFF (MDG-F)",MID(Proc[[#This Row],[Obj]],13,10),"")</f>
        <v>DE10538130</v>
      </c>
      <c r="I2593" s="103" t="s">
        <v>4784</v>
      </c>
      <c r="J2593" s="94" t="b">
        <f>Proc[[#This Row],[Requested]]=Proc[[#This Row],[CurrentParent]]</f>
        <v>1</v>
      </c>
      <c r="K2593" s="144" t="str">
        <f>IF(Proc[[#This Row],[Author]]="Marcela Urrego",VLOOKUP(LEFT(Proc[[#This Row],[Requested]],1),Table3[#All],2,0),VLOOKUP(Proc[[#This Row],[Author]],Table4[],2,0))</f>
        <v>MGF</v>
      </c>
      <c r="L2593" s="125" t="s">
        <v>4894</v>
      </c>
      <c r="M2593" s="109">
        <v>45841.453541666669</v>
      </c>
      <c r="N2593" s="109"/>
      <c r="O2593" s="109"/>
      <c r="P2593" s="110" t="str">
        <f ca="1">IF(Proc[[#This Row],[DaysAgeing]]&gt;5,"yep","on track")</f>
        <v>yep</v>
      </c>
      <c r="Q2593" s="3">
        <f ca="1">IF(Proc[[#This Row],[DateClosed]]="",ABS(NETWORKDAYS(Proc[[#This Row],[DateOpened]],TODAY()))-1,ABS(NETWORKDAYS(Proc[[#This Row],[DateOpened]],Proc[[#This Row],[DateClosed]]))-1)</f>
        <v>121</v>
      </c>
      <c r="R2593" s="110" t="s">
        <v>485</v>
      </c>
      <c r="S2593" s="94"/>
    </row>
    <row r="2594" spans="1:19" hidden="1">
      <c r="A2594" s="103" t="s">
        <v>4422</v>
      </c>
      <c r="B2594" s="149" t="str">
        <f>IFERROR(VLOOKUP(Proc[[#This Row],[App]],Table2[],3,0),"open")</f>
        <v>ok</v>
      </c>
      <c r="C2594" s="117" t="s">
        <v>369</v>
      </c>
      <c r="D2594" t="s">
        <v>4515</v>
      </c>
      <c r="E2594" t="s">
        <v>4740</v>
      </c>
      <c r="F2594" s="94" t="s">
        <v>4740</v>
      </c>
      <c r="G2594" s="103" t="s">
        <v>406</v>
      </c>
      <c r="H2594" s="94" t="str">
        <f>IF(Proc[[#This Row],[type]]="LFF (MDG-F)",MID(Proc[[#This Row],[Obj]],13,10),"")</f>
        <v>DE10538131</v>
      </c>
      <c r="I2594" s="103" t="s">
        <v>4784</v>
      </c>
      <c r="J2594" s="94" t="b">
        <f>Proc[[#This Row],[Requested]]=Proc[[#This Row],[CurrentParent]]</f>
        <v>1</v>
      </c>
      <c r="K2594" s="144" t="str">
        <f>IF(Proc[[#This Row],[Author]]="Marcela Urrego",VLOOKUP(LEFT(Proc[[#This Row],[Requested]],1),Table3[#All],2,0),VLOOKUP(Proc[[#This Row],[Author]],Table4[],2,0))</f>
        <v>MGF</v>
      </c>
      <c r="L2594" s="125" t="s">
        <v>4894</v>
      </c>
      <c r="M2594" s="109">
        <v>45841.453541666669</v>
      </c>
      <c r="N2594" s="109"/>
      <c r="O2594" s="109"/>
      <c r="P2594" s="110" t="str">
        <f ca="1">IF(Proc[[#This Row],[DaysAgeing]]&gt;5,"yep","on track")</f>
        <v>yep</v>
      </c>
      <c r="Q2594" s="3">
        <f ca="1">IF(Proc[[#This Row],[DateClosed]]="",ABS(NETWORKDAYS(Proc[[#This Row],[DateOpened]],TODAY()))-1,ABS(NETWORKDAYS(Proc[[#This Row],[DateOpened]],Proc[[#This Row],[DateClosed]]))-1)</f>
        <v>121</v>
      </c>
      <c r="R2594" s="110" t="s">
        <v>485</v>
      </c>
      <c r="S2594" s="94"/>
    </row>
    <row r="2595" spans="1:19" hidden="1">
      <c r="A2595" s="103" t="s">
        <v>4422</v>
      </c>
      <c r="B2595" s="149" t="str">
        <f>IFERROR(VLOOKUP(Proc[[#This Row],[App]],Table2[],3,0),"open")</f>
        <v>ok</v>
      </c>
      <c r="C2595" s="117" t="s">
        <v>369</v>
      </c>
      <c r="D2595" t="s">
        <v>4516</v>
      </c>
      <c r="E2595" t="s">
        <v>4740</v>
      </c>
      <c r="F2595" s="94" t="s">
        <v>4740</v>
      </c>
      <c r="G2595" s="103" t="s">
        <v>406</v>
      </c>
      <c r="H2595" s="94" t="str">
        <f>IF(Proc[[#This Row],[type]]="LFF (MDG-F)",MID(Proc[[#This Row],[Obj]],13,10),"")</f>
        <v>DE10538133</v>
      </c>
      <c r="I2595" s="103" t="s">
        <v>4784</v>
      </c>
      <c r="J2595" s="94" t="b">
        <f>Proc[[#This Row],[Requested]]=Proc[[#This Row],[CurrentParent]]</f>
        <v>1</v>
      </c>
      <c r="K2595" s="144" t="str">
        <f>IF(Proc[[#This Row],[Author]]="Marcela Urrego",VLOOKUP(LEFT(Proc[[#This Row],[Requested]],1),Table3[#All],2,0),VLOOKUP(Proc[[#This Row],[Author]],Table4[],2,0))</f>
        <v>MGF</v>
      </c>
      <c r="L2595" s="125" t="s">
        <v>4894</v>
      </c>
      <c r="M2595" s="109">
        <v>45841.453541666669</v>
      </c>
      <c r="N2595" s="109"/>
      <c r="O2595" s="109"/>
      <c r="P2595" s="110" t="str">
        <f ca="1">IF(Proc[[#This Row],[DaysAgeing]]&gt;5,"yep","on track")</f>
        <v>yep</v>
      </c>
      <c r="Q2595" s="3">
        <f ca="1">IF(Proc[[#This Row],[DateClosed]]="",ABS(NETWORKDAYS(Proc[[#This Row],[DateOpened]],TODAY()))-1,ABS(NETWORKDAYS(Proc[[#This Row],[DateOpened]],Proc[[#This Row],[DateClosed]]))-1)</f>
        <v>121</v>
      </c>
      <c r="R2595" s="110" t="s">
        <v>485</v>
      </c>
      <c r="S2595" s="94"/>
    </row>
    <row r="2596" spans="1:19" hidden="1">
      <c r="A2596" s="103" t="s">
        <v>4422</v>
      </c>
      <c r="B2596" s="149" t="str">
        <f>IFERROR(VLOOKUP(Proc[[#This Row],[App]],Table2[],3,0),"open")</f>
        <v>ok</v>
      </c>
      <c r="C2596" s="117" t="s">
        <v>369</v>
      </c>
      <c r="D2596" t="s">
        <v>4517</v>
      </c>
      <c r="E2596" t="s">
        <v>4740</v>
      </c>
      <c r="F2596" s="94" t="s">
        <v>4740</v>
      </c>
      <c r="G2596" s="103" t="s">
        <v>406</v>
      </c>
      <c r="H2596" s="94" t="str">
        <f>IF(Proc[[#This Row],[type]]="LFF (MDG-F)",MID(Proc[[#This Row],[Obj]],13,10),"")</f>
        <v>DE10538134</v>
      </c>
      <c r="I2596" s="103" t="s">
        <v>4784</v>
      </c>
      <c r="J2596" s="94" t="b">
        <f>Proc[[#This Row],[Requested]]=Proc[[#This Row],[CurrentParent]]</f>
        <v>1</v>
      </c>
      <c r="K2596" s="144" t="str">
        <f>IF(Proc[[#This Row],[Author]]="Marcela Urrego",VLOOKUP(LEFT(Proc[[#This Row],[Requested]],1),Table3[#All],2,0),VLOOKUP(Proc[[#This Row],[Author]],Table4[],2,0))</f>
        <v>MGF</v>
      </c>
      <c r="L2596" s="125" t="s">
        <v>4894</v>
      </c>
      <c r="M2596" s="109">
        <v>45841.453541666669</v>
      </c>
      <c r="N2596" s="109"/>
      <c r="O2596" s="109"/>
      <c r="P2596" s="110" t="str">
        <f ca="1">IF(Proc[[#This Row],[DaysAgeing]]&gt;5,"yep","on track")</f>
        <v>yep</v>
      </c>
      <c r="Q2596" s="3">
        <f ca="1">IF(Proc[[#This Row],[DateClosed]]="",ABS(NETWORKDAYS(Proc[[#This Row],[DateOpened]],TODAY()))-1,ABS(NETWORKDAYS(Proc[[#This Row],[DateOpened]],Proc[[#This Row],[DateClosed]]))-1)</f>
        <v>121</v>
      </c>
      <c r="R2596" s="110" t="s">
        <v>485</v>
      </c>
      <c r="S2596" s="94"/>
    </row>
    <row r="2597" spans="1:19" hidden="1">
      <c r="A2597" s="103" t="s">
        <v>4422</v>
      </c>
      <c r="B2597" s="149" t="str">
        <f>IFERROR(VLOOKUP(Proc[[#This Row],[App]],Table2[],3,0),"open")</f>
        <v>ok</v>
      </c>
      <c r="C2597" s="117" t="s">
        <v>369</v>
      </c>
      <c r="D2597" t="s">
        <v>4518</v>
      </c>
      <c r="E2597" t="s">
        <v>4740</v>
      </c>
      <c r="F2597" s="94" t="s">
        <v>4740</v>
      </c>
      <c r="G2597" s="103" t="s">
        <v>406</v>
      </c>
      <c r="H2597" s="94" t="str">
        <f>IF(Proc[[#This Row],[type]]="LFF (MDG-F)",MID(Proc[[#This Row],[Obj]],13,10),"")</f>
        <v>DE10538135</v>
      </c>
      <c r="I2597" s="103" t="s">
        <v>4784</v>
      </c>
      <c r="J2597" s="94" t="b">
        <f>Proc[[#This Row],[Requested]]=Proc[[#This Row],[CurrentParent]]</f>
        <v>1</v>
      </c>
      <c r="K2597" s="144" t="str">
        <f>IF(Proc[[#This Row],[Author]]="Marcela Urrego",VLOOKUP(LEFT(Proc[[#This Row],[Requested]],1),Table3[#All],2,0),VLOOKUP(Proc[[#This Row],[Author]],Table4[],2,0))</f>
        <v>MGF</v>
      </c>
      <c r="L2597" s="125" t="s">
        <v>4894</v>
      </c>
      <c r="M2597" s="109">
        <v>45841.453541666669</v>
      </c>
      <c r="N2597" s="109"/>
      <c r="O2597" s="109"/>
      <c r="P2597" s="110" t="str">
        <f ca="1">IF(Proc[[#This Row],[DaysAgeing]]&gt;5,"yep","on track")</f>
        <v>yep</v>
      </c>
      <c r="Q2597" s="3">
        <f ca="1">IF(Proc[[#This Row],[DateClosed]]="",ABS(NETWORKDAYS(Proc[[#This Row],[DateOpened]],TODAY()))-1,ABS(NETWORKDAYS(Proc[[#This Row],[DateOpened]],Proc[[#This Row],[DateClosed]]))-1)</f>
        <v>121</v>
      </c>
      <c r="R2597" s="110" t="s">
        <v>485</v>
      </c>
      <c r="S2597" s="94"/>
    </row>
    <row r="2598" spans="1:19" hidden="1">
      <c r="A2598" s="103" t="s">
        <v>4422</v>
      </c>
      <c r="B2598" s="149" t="str">
        <f>IFERROR(VLOOKUP(Proc[[#This Row],[App]],Table2[],3,0),"open")</f>
        <v>ok</v>
      </c>
      <c r="C2598" s="117" t="s">
        <v>369</v>
      </c>
      <c r="D2598" t="s">
        <v>4519</v>
      </c>
      <c r="E2598" t="s">
        <v>4740</v>
      </c>
      <c r="F2598" s="94" t="s">
        <v>4740</v>
      </c>
      <c r="G2598" s="103" t="s">
        <v>406</v>
      </c>
      <c r="H2598" s="94" t="str">
        <f>IF(Proc[[#This Row],[type]]="LFF (MDG-F)",MID(Proc[[#This Row],[Obj]],13,10),"")</f>
        <v>DE10538138</v>
      </c>
      <c r="I2598" s="103" t="s">
        <v>4784</v>
      </c>
      <c r="J2598" s="94" t="b">
        <f>Proc[[#This Row],[Requested]]=Proc[[#This Row],[CurrentParent]]</f>
        <v>1</v>
      </c>
      <c r="K2598" s="144" t="str">
        <f>IF(Proc[[#This Row],[Author]]="Marcela Urrego",VLOOKUP(LEFT(Proc[[#This Row],[Requested]],1),Table3[#All],2,0),VLOOKUP(Proc[[#This Row],[Author]],Table4[],2,0))</f>
        <v>MGF</v>
      </c>
      <c r="L2598" s="125" t="s">
        <v>4894</v>
      </c>
      <c r="M2598" s="109">
        <v>45841.453541666669</v>
      </c>
      <c r="N2598" s="109"/>
      <c r="O2598" s="109"/>
      <c r="P2598" s="110" t="str">
        <f ca="1">IF(Proc[[#This Row],[DaysAgeing]]&gt;5,"yep","on track")</f>
        <v>yep</v>
      </c>
      <c r="Q2598" s="3">
        <f ca="1">IF(Proc[[#This Row],[DateClosed]]="",ABS(NETWORKDAYS(Proc[[#This Row],[DateOpened]],TODAY()))-1,ABS(NETWORKDAYS(Proc[[#This Row],[DateOpened]],Proc[[#This Row],[DateClosed]]))-1)</f>
        <v>121</v>
      </c>
      <c r="R2598" s="110" t="s">
        <v>485</v>
      </c>
      <c r="S2598" s="94"/>
    </row>
    <row r="2599" spans="1:19" hidden="1">
      <c r="A2599" s="103" t="s">
        <v>4422</v>
      </c>
      <c r="B2599" s="149" t="str">
        <f>IFERROR(VLOOKUP(Proc[[#This Row],[App]],Table2[],3,0),"open")</f>
        <v>ok</v>
      </c>
      <c r="C2599" s="117" t="s">
        <v>369</v>
      </c>
      <c r="D2599" t="s">
        <v>4520</v>
      </c>
      <c r="E2599" t="s">
        <v>4740</v>
      </c>
      <c r="F2599" s="94" t="s">
        <v>4740</v>
      </c>
      <c r="G2599" s="103" t="s">
        <v>406</v>
      </c>
      <c r="H2599" s="94" t="str">
        <f>IF(Proc[[#This Row],[type]]="LFF (MDG-F)",MID(Proc[[#This Row],[Obj]],13,10),"")</f>
        <v>DE10538139</v>
      </c>
      <c r="I2599" s="103" t="s">
        <v>4784</v>
      </c>
      <c r="J2599" s="94" t="b">
        <f>Proc[[#This Row],[Requested]]=Proc[[#This Row],[CurrentParent]]</f>
        <v>1</v>
      </c>
      <c r="K2599" s="144" t="str">
        <f>IF(Proc[[#This Row],[Author]]="Marcela Urrego",VLOOKUP(LEFT(Proc[[#This Row],[Requested]],1),Table3[#All],2,0),VLOOKUP(Proc[[#This Row],[Author]],Table4[],2,0))</f>
        <v>MGF</v>
      </c>
      <c r="L2599" s="125" t="s">
        <v>4894</v>
      </c>
      <c r="M2599" s="109">
        <v>45841.453541666669</v>
      </c>
      <c r="N2599" s="109"/>
      <c r="O2599" s="109"/>
      <c r="P2599" s="110" t="str">
        <f ca="1">IF(Proc[[#This Row],[DaysAgeing]]&gt;5,"yep","on track")</f>
        <v>yep</v>
      </c>
      <c r="Q2599" s="3">
        <f ca="1">IF(Proc[[#This Row],[DateClosed]]="",ABS(NETWORKDAYS(Proc[[#This Row],[DateOpened]],TODAY()))-1,ABS(NETWORKDAYS(Proc[[#This Row],[DateOpened]],Proc[[#This Row],[DateClosed]]))-1)</f>
        <v>121</v>
      </c>
      <c r="R2599" s="110" t="s">
        <v>485</v>
      </c>
      <c r="S2599" s="94"/>
    </row>
    <row r="2600" spans="1:19" hidden="1">
      <c r="A2600" s="103" t="s">
        <v>4422</v>
      </c>
      <c r="B2600" s="149" t="str">
        <f>IFERROR(VLOOKUP(Proc[[#This Row],[App]],Table2[],3,0),"open")</f>
        <v>ok</v>
      </c>
      <c r="C2600" s="117" t="s">
        <v>369</v>
      </c>
      <c r="D2600" t="s">
        <v>4521</v>
      </c>
      <c r="E2600" t="s">
        <v>4740</v>
      </c>
      <c r="F2600" s="94" t="s">
        <v>4740</v>
      </c>
      <c r="G2600" s="103" t="s">
        <v>406</v>
      </c>
      <c r="H2600" s="94" t="str">
        <f>IF(Proc[[#This Row],[type]]="LFF (MDG-F)",MID(Proc[[#This Row],[Obj]],13,10),"")</f>
        <v>DE10538142</v>
      </c>
      <c r="I2600" s="103" t="s">
        <v>4784</v>
      </c>
      <c r="J2600" s="94" t="b">
        <f>Proc[[#This Row],[Requested]]=Proc[[#This Row],[CurrentParent]]</f>
        <v>1</v>
      </c>
      <c r="K2600" s="144" t="str">
        <f>IF(Proc[[#This Row],[Author]]="Marcela Urrego",VLOOKUP(LEFT(Proc[[#This Row],[Requested]],1),Table3[#All],2,0),VLOOKUP(Proc[[#This Row],[Author]],Table4[],2,0))</f>
        <v>MGF</v>
      </c>
      <c r="L2600" s="125" t="s">
        <v>4894</v>
      </c>
      <c r="M2600" s="109">
        <v>45841.453541666669</v>
      </c>
      <c r="N2600" s="109"/>
      <c r="O2600" s="109"/>
      <c r="P2600" s="110" t="str">
        <f ca="1">IF(Proc[[#This Row],[DaysAgeing]]&gt;5,"yep","on track")</f>
        <v>yep</v>
      </c>
      <c r="Q2600" s="3">
        <f ca="1">IF(Proc[[#This Row],[DateClosed]]="",ABS(NETWORKDAYS(Proc[[#This Row],[DateOpened]],TODAY()))-1,ABS(NETWORKDAYS(Proc[[#This Row],[DateOpened]],Proc[[#This Row],[DateClosed]]))-1)</f>
        <v>121</v>
      </c>
      <c r="R2600" s="110" t="s">
        <v>485</v>
      </c>
      <c r="S2600" s="94"/>
    </row>
    <row r="2601" spans="1:19" hidden="1">
      <c r="A2601" s="103" t="s">
        <v>4422</v>
      </c>
      <c r="B2601" s="149" t="str">
        <f>IFERROR(VLOOKUP(Proc[[#This Row],[App]],Table2[],3,0),"open")</f>
        <v>ok</v>
      </c>
      <c r="C2601" s="117" t="s">
        <v>369</v>
      </c>
      <c r="D2601" t="s">
        <v>4522</v>
      </c>
      <c r="E2601" t="s">
        <v>4740</v>
      </c>
      <c r="F2601" s="94" t="s">
        <v>4740</v>
      </c>
      <c r="G2601" s="103" t="s">
        <v>406</v>
      </c>
      <c r="H2601" s="94" t="str">
        <f>IF(Proc[[#This Row],[type]]="LFF (MDG-F)",MID(Proc[[#This Row],[Obj]],13,10),"")</f>
        <v>DE10538144</v>
      </c>
      <c r="I2601" s="103" t="s">
        <v>4784</v>
      </c>
      <c r="J2601" s="94" t="b">
        <f>Proc[[#This Row],[Requested]]=Proc[[#This Row],[CurrentParent]]</f>
        <v>1</v>
      </c>
      <c r="K2601" s="144" t="str">
        <f>IF(Proc[[#This Row],[Author]]="Marcela Urrego",VLOOKUP(LEFT(Proc[[#This Row],[Requested]],1),Table3[#All],2,0),VLOOKUP(Proc[[#This Row],[Author]],Table4[],2,0))</f>
        <v>MGF</v>
      </c>
      <c r="L2601" s="125" t="s">
        <v>4894</v>
      </c>
      <c r="M2601" s="109">
        <v>45841.453541666669</v>
      </c>
      <c r="N2601" s="109"/>
      <c r="O2601" s="109"/>
      <c r="P2601" s="110" t="str">
        <f ca="1">IF(Proc[[#This Row],[DaysAgeing]]&gt;5,"yep","on track")</f>
        <v>yep</v>
      </c>
      <c r="Q2601" s="3">
        <f ca="1">IF(Proc[[#This Row],[DateClosed]]="",ABS(NETWORKDAYS(Proc[[#This Row],[DateOpened]],TODAY()))-1,ABS(NETWORKDAYS(Proc[[#This Row],[DateOpened]],Proc[[#This Row],[DateClosed]]))-1)</f>
        <v>121</v>
      </c>
      <c r="R2601" s="110" t="s">
        <v>485</v>
      </c>
      <c r="S2601" s="94"/>
    </row>
    <row r="2602" spans="1:19" hidden="1">
      <c r="A2602" s="103" t="s">
        <v>4422</v>
      </c>
      <c r="B2602" s="149" t="str">
        <f>IFERROR(VLOOKUP(Proc[[#This Row],[App]],Table2[],3,0),"open")</f>
        <v>ok</v>
      </c>
      <c r="C2602" s="117" t="s">
        <v>369</v>
      </c>
      <c r="D2602" t="s">
        <v>4523</v>
      </c>
      <c r="E2602" t="s">
        <v>4740</v>
      </c>
      <c r="F2602" s="94" t="s">
        <v>4740</v>
      </c>
      <c r="G2602" s="103" t="s">
        <v>406</v>
      </c>
      <c r="H2602" s="94" t="str">
        <f>IF(Proc[[#This Row],[type]]="LFF (MDG-F)",MID(Proc[[#This Row],[Obj]],13,10),"")</f>
        <v>DE10538161</v>
      </c>
      <c r="I2602" t="s">
        <v>4785</v>
      </c>
      <c r="J2602" s="94" t="b">
        <f>Proc[[#This Row],[Requested]]=Proc[[#This Row],[CurrentParent]]</f>
        <v>1</v>
      </c>
      <c r="K2602" s="144" t="str">
        <f>IF(Proc[[#This Row],[Author]]="Marcela Urrego",VLOOKUP(LEFT(Proc[[#This Row],[Requested]],1),Table3[#All],2,0),VLOOKUP(Proc[[#This Row],[Author]],Table4[],2,0))</f>
        <v>MGF</v>
      </c>
      <c r="L2602" s="125" t="s">
        <v>4894</v>
      </c>
      <c r="M2602" s="109">
        <v>45841.453541666669</v>
      </c>
      <c r="N2602" s="109"/>
      <c r="O2602" s="109"/>
      <c r="P2602" s="110" t="str">
        <f ca="1">IF(Proc[[#This Row],[DaysAgeing]]&gt;5,"yep","on track")</f>
        <v>yep</v>
      </c>
      <c r="Q2602" s="3">
        <f ca="1">IF(Proc[[#This Row],[DateClosed]]="",ABS(NETWORKDAYS(Proc[[#This Row],[DateOpened]],TODAY()))-1,ABS(NETWORKDAYS(Proc[[#This Row],[DateOpened]],Proc[[#This Row],[DateClosed]]))-1)</f>
        <v>121</v>
      </c>
      <c r="R2602" s="110" t="s">
        <v>485</v>
      </c>
      <c r="S2602" s="94"/>
    </row>
    <row r="2603" spans="1:19" hidden="1">
      <c r="A2603" s="103" t="s">
        <v>4422</v>
      </c>
      <c r="B2603" s="149" t="str">
        <f>IFERROR(VLOOKUP(Proc[[#This Row],[App]],Table2[],3,0),"open")</f>
        <v>ok</v>
      </c>
      <c r="C2603" s="117" t="s">
        <v>369</v>
      </c>
      <c r="D2603" t="s">
        <v>4524</v>
      </c>
      <c r="E2603" t="s">
        <v>4741</v>
      </c>
      <c r="F2603" s="94" t="s">
        <v>4741</v>
      </c>
      <c r="G2603" s="103" t="s">
        <v>406</v>
      </c>
      <c r="H2603" s="94" t="str">
        <f>IF(Proc[[#This Row],[type]]="LFF (MDG-F)",MID(Proc[[#This Row],[Obj]],13,10),"")</f>
        <v>DE10538174</v>
      </c>
      <c r="I2603" s="103" t="s">
        <v>4785</v>
      </c>
      <c r="J2603" s="94" t="b">
        <f>Proc[[#This Row],[Requested]]=Proc[[#This Row],[CurrentParent]]</f>
        <v>1</v>
      </c>
      <c r="K2603" s="144" t="str">
        <f>IF(Proc[[#This Row],[Author]]="Marcela Urrego",VLOOKUP(LEFT(Proc[[#This Row],[Requested]],1),Table3[#All],2,0),VLOOKUP(Proc[[#This Row],[Author]],Table4[],2,0))</f>
        <v>MGF</v>
      </c>
      <c r="L2603" s="125" t="s">
        <v>4894</v>
      </c>
      <c r="M2603" s="109">
        <v>45841.453541666669</v>
      </c>
      <c r="N2603" s="109"/>
      <c r="O2603" s="109"/>
      <c r="P2603" s="110" t="str">
        <f ca="1">IF(Proc[[#This Row],[DaysAgeing]]&gt;5,"yep","on track")</f>
        <v>yep</v>
      </c>
      <c r="Q2603" s="3">
        <f ca="1">IF(Proc[[#This Row],[DateClosed]]="",ABS(NETWORKDAYS(Proc[[#This Row],[DateOpened]],TODAY()))-1,ABS(NETWORKDAYS(Proc[[#This Row],[DateOpened]],Proc[[#This Row],[DateClosed]]))-1)</f>
        <v>121</v>
      </c>
      <c r="R2603" s="110" t="s">
        <v>485</v>
      </c>
      <c r="S2603" s="94"/>
    </row>
    <row r="2604" spans="1:19" hidden="1">
      <c r="A2604" s="103" t="s">
        <v>4422</v>
      </c>
      <c r="B2604" s="149" t="str">
        <f>IFERROR(VLOOKUP(Proc[[#This Row],[App]],Table2[],3,0),"open")</f>
        <v>ok</v>
      </c>
      <c r="C2604" s="117" t="s">
        <v>369</v>
      </c>
      <c r="D2604" t="s">
        <v>4525</v>
      </c>
      <c r="E2604" t="s">
        <v>4741</v>
      </c>
      <c r="F2604" s="94" t="s">
        <v>4741</v>
      </c>
      <c r="G2604" s="103" t="s">
        <v>406</v>
      </c>
      <c r="H2604" s="94" t="str">
        <f>IF(Proc[[#This Row],[type]]="LFF (MDG-F)",MID(Proc[[#This Row],[Obj]],13,10),"")</f>
        <v>DE10538178</v>
      </c>
      <c r="I2604" s="103" t="s">
        <v>4785</v>
      </c>
      <c r="J2604" s="94" t="b">
        <f>Proc[[#This Row],[Requested]]=Proc[[#This Row],[CurrentParent]]</f>
        <v>1</v>
      </c>
      <c r="K2604" s="144" t="str">
        <f>IF(Proc[[#This Row],[Author]]="Marcela Urrego",VLOOKUP(LEFT(Proc[[#This Row],[Requested]],1),Table3[#All],2,0),VLOOKUP(Proc[[#This Row],[Author]],Table4[],2,0))</f>
        <v>MGF</v>
      </c>
      <c r="L2604" s="125" t="s">
        <v>4894</v>
      </c>
      <c r="M2604" s="109">
        <v>45841.453541666669</v>
      </c>
      <c r="N2604" s="109"/>
      <c r="O2604" s="109"/>
      <c r="P2604" s="110" t="str">
        <f ca="1">IF(Proc[[#This Row],[DaysAgeing]]&gt;5,"yep","on track")</f>
        <v>yep</v>
      </c>
      <c r="Q2604" s="3">
        <f ca="1">IF(Proc[[#This Row],[DateClosed]]="",ABS(NETWORKDAYS(Proc[[#This Row],[DateOpened]],TODAY()))-1,ABS(NETWORKDAYS(Proc[[#This Row],[DateOpened]],Proc[[#This Row],[DateClosed]]))-1)</f>
        <v>121</v>
      </c>
      <c r="R2604" s="110" t="s">
        <v>485</v>
      </c>
      <c r="S2604" s="94"/>
    </row>
    <row r="2605" spans="1:19" hidden="1">
      <c r="A2605" s="103" t="s">
        <v>4422</v>
      </c>
      <c r="B2605" s="149" t="str">
        <f>IFERROR(VLOOKUP(Proc[[#This Row],[App]],Table2[],3,0),"open")</f>
        <v>ok</v>
      </c>
      <c r="C2605" s="117" t="s">
        <v>369</v>
      </c>
      <c r="D2605" t="s">
        <v>4526</v>
      </c>
      <c r="E2605" t="s">
        <v>4740</v>
      </c>
      <c r="F2605" s="94" t="s">
        <v>4740</v>
      </c>
      <c r="G2605" s="103" t="s">
        <v>406</v>
      </c>
      <c r="H2605" s="94" t="str">
        <f>IF(Proc[[#This Row],[type]]="LFF (MDG-F)",MID(Proc[[#This Row],[Obj]],13,10),"")</f>
        <v>DE10538192</v>
      </c>
      <c r="I2605" s="103" t="s">
        <v>4785</v>
      </c>
      <c r="J2605" s="94" t="b">
        <f>Proc[[#This Row],[Requested]]=Proc[[#This Row],[CurrentParent]]</f>
        <v>1</v>
      </c>
      <c r="K2605" s="144" t="str">
        <f>IF(Proc[[#This Row],[Author]]="Marcela Urrego",VLOOKUP(LEFT(Proc[[#This Row],[Requested]],1),Table3[#All],2,0),VLOOKUP(Proc[[#This Row],[Author]],Table4[],2,0))</f>
        <v>MGF</v>
      </c>
      <c r="L2605" s="125" t="s">
        <v>4894</v>
      </c>
      <c r="M2605" s="109">
        <v>45841.453541666669</v>
      </c>
      <c r="N2605" s="109"/>
      <c r="O2605" s="109"/>
      <c r="P2605" s="110" t="str">
        <f ca="1">IF(Proc[[#This Row],[DaysAgeing]]&gt;5,"yep","on track")</f>
        <v>yep</v>
      </c>
      <c r="Q2605" s="3">
        <f ca="1">IF(Proc[[#This Row],[DateClosed]]="",ABS(NETWORKDAYS(Proc[[#This Row],[DateOpened]],TODAY()))-1,ABS(NETWORKDAYS(Proc[[#This Row],[DateOpened]],Proc[[#This Row],[DateClosed]]))-1)</f>
        <v>121</v>
      </c>
      <c r="R2605" s="110" t="s">
        <v>485</v>
      </c>
      <c r="S2605" s="94"/>
    </row>
    <row r="2606" spans="1:19" hidden="1">
      <c r="A2606" s="103" t="s">
        <v>4422</v>
      </c>
      <c r="B2606" s="149" t="str">
        <f>IFERROR(VLOOKUP(Proc[[#This Row],[App]],Table2[],3,0),"open")</f>
        <v>ok</v>
      </c>
      <c r="C2606" s="117" t="s">
        <v>369</v>
      </c>
      <c r="D2606" t="s">
        <v>4527</v>
      </c>
      <c r="E2606" t="s">
        <v>4741</v>
      </c>
      <c r="F2606" s="94" t="s">
        <v>4741</v>
      </c>
      <c r="G2606" s="103" t="s">
        <v>406</v>
      </c>
      <c r="H2606" s="94" t="str">
        <f>IF(Proc[[#This Row],[type]]="LFF (MDG-F)",MID(Proc[[#This Row],[Obj]],13,10),"")</f>
        <v>DE10538397</v>
      </c>
      <c r="I2606" s="103" t="s">
        <v>4785</v>
      </c>
      <c r="J2606" s="94" t="b">
        <f>Proc[[#This Row],[Requested]]=Proc[[#This Row],[CurrentParent]]</f>
        <v>1</v>
      </c>
      <c r="K2606" s="144" t="str">
        <f>IF(Proc[[#This Row],[Author]]="Marcela Urrego",VLOOKUP(LEFT(Proc[[#This Row],[Requested]],1),Table3[#All],2,0),VLOOKUP(Proc[[#This Row],[Author]],Table4[],2,0))</f>
        <v>MGF</v>
      </c>
      <c r="L2606" s="125" t="s">
        <v>4894</v>
      </c>
      <c r="M2606" s="109">
        <v>45841.453541666669</v>
      </c>
      <c r="N2606" s="109"/>
      <c r="O2606" s="109"/>
      <c r="P2606" s="110" t="str">
        <f ca="1">IF(Proc[[#This Row],[DaysAgeing]]&gt;5,"yep","on track")</f>
        <v>yep</v>
      </c>
      <c r="Q2606" s="3">
        <f ca="1">IF(Proc[[#This Row],[DateClosed]]="",ABS(NETWORKDAYS(Proc[[#This Row],[DateOpened]],TODAY()))-1,ABS(NETWORKDAYS(Proc[[#This Row],[DateOpened]],Proc[[#This Row],[DateClosed]]))-1)</f>
        <v>121</v>
      </c>
      <c r="R2606" s="110" t="s">
        <v>485</v>
      </c>
      <c r="S2606" s="94"/>
    </row>
    <row r="2607" spans="1:19" hidden="1">
      <c r="A2607" s="103" t="s">
        <v>4422</v>
      </c>
      <c r="B2607" s="149" t="str">
        <f>IFERROR(VLOOKUP(Proc[[#This Row],[App]],Table2[],3,0),"open")</f>
        <v>ok</v>
      </c>
      <c r="C2607" s="117" t="s">
        <v>369</v>
      </c>
      <c r="D2607" t="s">
        <v>4528</v>
      </c>
      <c r="E2607" t="s">
        <v>4740</v>
      </c>
      <c r="F2607" s="94" t="s">
        <v>4740</v>
      </c>
      <c r="G2607" s="103" t="s">
        <v>406</v>
      </c>
      <c r="H2607" s="94" t="str">
        <f>IF(Proc[[#This Row],[type]]="LFF (MDG-F)",MID(Proc[[#This Row],[Obj]],13,10),"")</f>
        <v>DE10538556</v>
      </c>
      <c r="I2607" s="103" t="s">
        <v>4785</v>
      </c>
      <c r="J2607" s="94" t="b">
        <f>Proc[[#This Row],[Requested]]=Proc[[#This Row],[CurrentParent]]</f>
        <v>1</v>
      </c>
      <c r="K2607" s="144" t="str">
        <f>IF(Proc[[#This Row],[Author]]="Marcela Urrego",VLOOKUP(LEFT(Proc[[#This Row],[Requested]],1),Table3[#All],2,0),VLOOKUP(Proc[[#This Row],[Author]],Table4[],2,0))</f>
        <v>MGF</v>
      </c>
      <c r="L2607" s="125" t="s">
        <v>4894</v>
      </c>
      <c r="M2607" s="109">
        <v>45841.453541666669</v>
      </c>
      <c r="N2607" s="109"/>
      <c r="O2607" s="109"/>
      <c r="P2607" s="110" t="str">
        <f ca="1">IF(Proc[[#This Row],[DaysAgeing]]&gt;5,"yep","on track")</f>
        <v>yep</v>
      </c>
      <c r="Q2607" s="3">
        <f ca="1">IF(Proc[[#This Row],[DateClosed]]="",ABS(NETWORKDAYS(Proc[[#This Row],[DateOpened]],TODAY()))-1,ABS(NETWORKDAYS(Proc[[#This Row],[DateOpened]],Proc[[#This Row],[DateClosed]]))-1)</f>
        <v>121</v>
      </c>
      <c r="R2607" s="110" t="s">
        <v>485</v>
      </c>
      <c r="S2607" s="94"/>
    </row>
    <row r="2608" spans="1:19" hidden="1">
      <c r="A2608" s="103" t="s">
        <v>4422</v>
      </c>
      <c r="B2608" s="149" t="str">
        <f>IFERROR(VLOOKUP(Proc[[#This Row],[App]],Table2[],3,0),"open")</f>
        <v>ok</v>
      </c>
      <c r="C2608" s="117" t="s">
        <v>369</v>
      </c>
      <c r="D2608" t="s">
        <v>4529</v>
      </c>
      <c r="E2608" t="s">
        <v>4741</v>
      </c>
      <c r="F2608" s="94" t="s">
        <v>4741</v>
      </c>
      <c r="G2608" s="103" t="s">
        <v>406</v>
      </c>
      <c r="H2608" s="94" t="str">
        <f>IF(Proc[[#This Row],[type]]="LFF (MDG-F)",MID(Proc[[#This Row],[Obj]],13,10),"")</f>
        <v>DE10538654</v>
      </c>
      <c r="I2608" s="103" t="s">
        <v>4785</v>
      </c>
      <c r="J2608" s="94" t="b">
        <f>Proc[[#This Row],[Requested]]=Proc[[#This Row],[CurrentParent]]</f>
        <v>1</v>
      </c>
      <c r="K2608" s="144" t="str">
        <f>IF(Proc[[#This Row],[Author]]="Marcela Urrego",VLOOKUP(LEFT(Proc[[#This Row],[Requested]],1),Table3[#All],2,0),VLOOKUP(Proc[[#This Row],[Author]],Table4[],2,0))</f>
        <v>MGF</v>
      </c>
      <c r="L2608" s="125" t="s">
        <v>4894</v>
      </c>
      <c r="M2608" s="109">
        <v>45841.453541666669</v>
      </c>
      <c r="N2608" s="109"/>
      <c r="O2608" s="109"/>
      <c r="P2608" s="110" t="str">
        <f ca="1">IF(Proc[[#This Row],[DaysAgeing]]&gt;5,"yep","on track")</f>
        <v>yep</v>
      </c>
      <c r="Q2608" s="3">
        <f ca="1">IF(Proc[[#This Row],[DateClosed]]="",ABS(NETWORKDAYS(Proc[[#This Row],[DateOpened]],TODAY()))-1,ABS(NETWORKDAYS(Proc[[#This Row],[DateOpened]],Proc[[#This Row],[DateClosed]]))-1)</f>
        <v>121</v>
      </c>
      <c r="R2608" s="110" t="s">
        <v>485</v>
      </c>
      <c r="S2608" s="94"/>
    </row>
    <row r="2609" spans="1:19" hidden="1">
      <c r="A2609" s="103" t="s">
        <v>4422</v>
      </c>
      <c r="B2609" s="149" t="str">
        <f>IFERROR(VLOOKUP(Proc[[#This Row],[App]],Table2[],3,0),"open")</f>
        <v>ok</v>
      </c>
      <c r="C2609" s="117" t="s">
        <v>369</v>
      </c>
      <c r="D2609" t="s">
        <v>4530</v>
      </c>
      <c r="E2609" t="s">
        <v>4740</v>
      </c>
      <c r="F2609" s="94" t="s">
        <v>4740</v>
      </c>
      <c r="G2609" s="103" t="s">
        <v>406</v>
      </c>
      <c r="H2609" s="94" t="str">
        <f>IF(Proc[[#This Row],[type]]="LFF (MDG-F)",MID(Proc[[#This Row],[Obj]],13,10),"")</f>
        <v>DE10579990</v>
      </c>
      <c r="I2609" s="103" t="s">
        <v>4785</v>
      </c>
      <c r="J2609" s="94" t="b">
        <f>Proc[[#This Row],[Requested]]=Proc[[#This Row],[CurrentParent]]</f>
        <v>1</v>
      </c>
      <c r="K2609" s="144" t="str">
        <f>IF(Proc[[#This Row],[Author]]="Marcela Urrego",VLOOKUP(LEFT(Proc[[#This Row],[Requested]],1),Table3[#All],2,0),VLOOKUP(Proc[[#This Row],[Author]],Table4[],2,0))</f>
        <v>MGF</v>
      </c>
      <c r="L2609" s="125" t="s">
        <v>4894</v>
      </c>
      <c r="M2609" s="109">
        <v>45841.453541666669</v>
      </c>
      <c r="N2609" s="109"/>
      <c r="O2609" s="109"/>
      <c r="P2609" s="110" t="str">
        <f ca="1">IF(Proc[[#This Row],[DaysAgeing]]&gt;5,"yep","on track")</f>
        <v>yep</v>
      </c>
      <c r="Q2609" s="3">
        <f ca="1">IF(Proc[[#This Row],[DateClosed]]="",ABS(NETWORKDAYS(Proc[[#This Row],[DateOpened]],TODAY()))-1,ABS(NETWORKDAYS(Proc[[#This Row],[DateOpened]],Proc[[#This Row],[DateClosed]]))-1)</f>
        <v>121</v>
      </c>
      <c r="R2609" s="110" t="s">
        <v>485</v>
      </c>
      <c r="S2609" s="94"/>
    </row>
    <row r="2610" spans="1:19" hidden="1">
      <c r="A2610" s="103" t="s">
        <v>4422</v>
      </c>
      <c r="B2610" s="149" t="str">
        <f>IFERROR(VLOOKUP(Proc[[#This Row],[App]],Table2[],3,0),"open")</f>
        <v>ok</v>
      </c>
      <c r="C2610" s="117" t="s">
        <v>369</v>
      </c>
      <c r="D2610" t="s">
        <v>4531</v>
      </c>
      <c r="E2610" t="s">
        <v>4741</v>
      </c>
      <c r="F2610" s="94" t="s">
        <v>4741</v>
      </c>
      <c r="G2610" s="103" t="s">
        <v>406</v>
      </c>
      <c r="H2610" s="94" t="str">
        <f>IF(Proc[[#This Row],[type]]="LFF (MDG-F)",MID(Proc[[#This Row],[Obj]],13,10),"")</f>
        <v>DE10538107</v>
      </c>
      <c r="I2610" s="103" t="s">
        <v>4785</v>
      </c>
      <c r="J2610" s="94" t="b">
        <f>Proc[[#This Row],[Requested]]=Proc[[#This Row],[CurrentParent]]</f>
        <v>1</v>
      </c>
      <c r="K2610" s="144" t="str">
        <f>IF(Proc[[#This Row],[Author]]="Marcela Urrego",VLOOKUP(LEFT(Proc[[#This Row],[Requested]],1),Table3[#All],2,0),VLOOKUP(Proc[[#This Row],[Author]],Table4[],2,0))</f>
        <v>MGF</v>
      </c>
      <c r="L2610" s="125" t="s">
        <v>4894</v>
      </c>
      <c r="M2610" s="109">
        <v>45841.453541666669</v>
      </c>
      <c r="N2610" s="109"/>
      <c r="O2610" s="109"/>
      <c r="P2610" s="110" t="str">
        <f ca="1">IF(Proc[[#This Row],[DaysAgeing]]&gt;5,"yep","on track")</f>
        <v>yep</v>
      </c>
      <c r="Q2610" s="3">
        <f ca="1">IF(Proc[[#This Row],[DateClosed]]="",ABS(NETWORKDAYS(Proc[[#This Row],[DateOpened]],TODAY()))-1,ABS(NETWORKDAYS(Proc[[#This Row],[DateOpened]],Proc[[#This Row],[DateClosed]]))-1)</f>
        <v>121</v>
      </c>
      <c r="R2610" s="110" t="s">
        <v>485</v>
      </c>
      <c r="S2610" s="94"/>
    </row>
    <row r="2611" spans="1:19" hidden="1">
      <c r="A2611" s="103" t="s">
        <v>4422</v>
      </c>
      <c r="B2611" s="149" t="str">
        <f>IFERROR(VLOOKUP(Proc[[#This Row],[App]],Table2[],3,0),"open")</f>
        <v>ok</v>
      </c>
      <c r="C2611" s="117" t="s">
        <v>369</v>
      </c>
      <c r="D2611" t="s">
        <v>4532</v>
      </c>
      <c r="E2611" t="s">
        <v>4743</v>
      </c>
      <c r="F2611" s="94" t="s">
        <v>4743</v>
      </c>
      <c r="G2611" s="103" t="s">
        <v>406</v>
      </c>
      <c r="H2611" s="94" t="str">
        <f>IF(Proc[[#This Row],[type]]="LFF (MDG-F)",MID(Proc[[#This Row],[Obj]],13,10),"")</f>
        <v>DE10538118</v>
      </c>
      <c r="I2611" s="103" t="s">
        <v>4785</v>
      </c>
      <c r="J2611" s="94" t="b">
        <f>Proc[[#This Row],[Requested]]=Proc[[#This Row],[CurrentParent]]</f>
        <v>1</v>
      </c>
      <c r="K2611" s="144" t="str">
        <f>IF(Proc[[#This Row],[Author]]="Marcela Urrego",VLOOKUP(LEFT(Proc[[#This Row],[Requested]],1),Table3[#All],2,0),VLOOKUP(Proc[[#This Row],[Author]],Table4[],2,0))</f>
        <v>MGF</v>
      </c>
      <c r="L2611" s="125" t="s">
        <v>4894</v>
      </c>
      <c r="M2611" s="109">
        <v>45841.453541666669</v>
      </c>
      <c r="N2611" s="109"/>
      <c r="O2611" s="109"/>
      <c r="P2611" s="110" t="str">
        <f ca="1">IF(Proc[[#This Row],[DaysAgeing]]&gt;5,"yep","on track")</f>
        <v>yep</v>
      </c>
      <c r="Q2611" s="3">
        <f ca="1">IF(Proc[[#This Row],[DateClosed]]="",ABS(NETWORKDAYS(Proc[[#This Row],[DateOpened]],TODAY()))-1,ABS(NETWORKDAYS(Proc[[#This Row],[DateOpened]],Proc[[#This Row],[DateClosed]]))-1)</f>
        <v>121</v>
      </c>
      <c r="R2611" s="110" t="s">
        <v>485</v>
      </c>
      <c r="S2611" s="94"/>
    </row>
    <row r="2612" spans="1:19" hidden="1">
      <c r="A2612" s="103" t="s">
        <v>4422</v>
      </c>
      <c r="B2612" s="149" t="str">
        <f>IFERROR(VLOOKUP(Proc[[#This Row],[App]],Table2[],3,0),"open")</f>
        <v>ok</v>
      </c>
      <c r="C2612" s="117" t="s">
        <v>369</v>
      </c>
      <c r="D2612" t="s">
        <v>4533</v>
      </c>
      <c r="E2612" t="s">
        <v>4741</v>
      </c>
      <c r="F2612" s="94" t="s">
        <v>4741</v>
      </c>
      <c r="G2612" s="103" t="s">
        <v>406</v>
      </c>
      <c r="H2612" s="94" t="str">
        <f>IF(Proc[[#This Row],[type]]="LFF (MDG-F)",MID(Proc[[#This Row],[Obj]],13,10),"")</f>
        <v>DE10538136</v>
      </c>
      <c r="I2612" s="103" t="s">
        <v>4785</v>
      </c>
      <c r="J2612" s="94" t="b">
        <f>Proc[[#This Row],[Requested]]=Proc[[#This Row],[CurrentParent]]</f>
        <v>1</v>
      </c>
      <c r="K2612" s="144" t="str">
        <f>IF(Proc[[#This Row],[Author]]="Marcela Urrego",VLOOKUP(LEFT(Proc[[#This Row],[Requested]],1),Table3[#All],2,0),VLOOKUP(Proc[[#This Row],[Author]],Table4[],2,0))</f>
        <v>MGF</v>
      </c>
      <c r="L2612" s="125" t="s">
        <v>4894</v>
      </c>
      <c r="M2612" s="109">
        <v>45841.453541666669</v>
      </c>
      <c r="N2612" s="109"/>
      <c r="O2612" s="109"/>
      <c r="P2612" s="110" t="str">
        <f ca="1">IF(Proc[[#This Row],[DaysAgeing]]&gt;5,"yep","on track")</f>
        <v>yep</v>
      </c>
      <c r="Q2612" s="3">
        <f ca="1">IF(Proc[[#This Row],[DateClosed]]="",ABS(NETWORKDAYS(Proc[[#This Row],[DateOpened]],TODAY()))-1,ABS(NETWORKDAYS(Proc[[#This Row],[DateOpened]],Proc[[#This Row],[DateClosed]]))-1)</f>
        <v>121</v>
      </c>
      <c r="R2612" s="110" t="s">
        <v>485</v>
      </c>
      <c r="S2612" s="94"/>
    </row>
    <row r="2613" spans="1:19" hidden="1">
      <c r="A2613" s="103" t="s">
        <v>4422</v>
      </c>
      <c r="B2613" s="149" t="str">
        <f>IFERROR(VLOOKUP(Proc[[#This Row],[App]],Table2[],3,0),"open")</f>
        <v>ok</v>
      </c>
      <c r="C2613" s="117" t="s">
        <v>369</v>
      </c>
      <c r="D2613" t="s">
        <v>4534</v>
      </c>
      <c r="E2613" t="s">
        <v>4741</v>
      </c>
      <c r="F2613" s="94" t="s">
        <v>4741</v>
      </c>
      <c r="G2613" s="103" t="s">
        <v>406</v>
      </c>
      <c r="H2613" s="94" t="str">
        <f>IF(Proc[[#This Row],[type]]="LFF (MDG-F)",MID(Proc[[#This Row],[Obj]],13,10),"")</f>
        <v>DE10538137</v>
      </c>
      <c r="I2613" s="103" t="s">
        <v>4785</v>
      </c>
      <c r="J2613" s="94" t="b">
        <f>Proc[[#This Row],[Requested]]=Proc[[#This Row],[CurrentParent]]</f>
        <v>1</v>
      </c>
      <c r="K2613" s="144" t="str">
        <f>IF(Proc[[#This Row],[Author]]="Marcela Urrego",VLOOKUP(LEFT(Proc[[#This Row],[Requested]],1),Table3[#All],2,0),VLOOKUP(Proc[[#This Row],[Author]],Table4[],2,0))</f>
        <v>MGF</v>
      </c>
      <c r="L2613" s="125" t="s">
        <v>4894</v>
      </c>
      <c r="M2613" s="109">
        <v>45841.453541666669</v>
      </c>
      <c r="N2613" s="109"/>
      <c r="O2613" s="109"/>
      <c r="P2613" s="110" t="str">
        <f ca="1">IF(Proc[[#This Row],[DaysAgeing]]&gt;5,"yep","on track")</f>
        <v>yep</v>
      </c>
      <c r="Q2613" s="3">
        <f ca="1">IF(Proc[[#This Row],[DateClosed]]="",ABS(NETWORKDAYS(Proc[[#This Row],[DateOpened]],TODAY()))-1,ABS(NETWORKDAYS(Proc[[#This Row],[DateOpened]],Proc[[#This Row],[DateClosed]]))-1)</f>
        <v>121</v>
      </c>
      <c r="R2613" s="110" t="s">
        <v>485</v>
      </c>
      <c r="S2613" s="94"/>
    </row>
    <row r="2614" spans="1:19" hidden="1">
      <c r="A2614" s="103" t="s">
        <v>4422</v>
      </c>
      <c r="B2614" s="149" t="str">
        <f>IFERROR(VLOOKUP(Proc[[#This Row],[App]],Table2[],3,0),"open")</f>
        <v>ok</v>
      </c>
      <c r="C2614" s="117" t="s">
        <v>369</v>
      </c>
      <c r="D2614" t="s">
        <v>4535</v>
      </c>
      <c r="E2614" t="s">
        <v>4741</v>
      </c>
      <c r="F2614" s="94" t="s">
        <v>4741</v>
      </c>
      <c r="G2614" s="103" t="s">
        <v>406</v>
      </c>
      <c r="H2614" s="94" t="str">
        <f>IF(Proc[[#This Row],[type]]="LFF (MDG-F)",MID(Proc[[#This Row],[Obj]],13,10),"")</f>
        <v>DE10538141</v>
      </c>
      <c r="I2614" s="103" t="s">
        <v>4785</v>
      </c>
      <c r="J2614" s="94" t="b">
        <f>Proc[[#This Row],[Requested]]=Proc[[#This Row],[CurrentParent]]</f>
        <v>1</v>
      </c>
      <c r="K2614" s="144" t="str">
        <f>IF(Proc[[#This Row],[Author]]="Marcela Urrego",VLOOKUP(LEFT(Proc[[#This Row],[Requested]],1),Table3[#All],2,0),VLOOKUP(Proc[[#This Row],[Author]],Table4[],2,0))</f>
        <v>MGF</v>
      </c>
      <c r="L2614" s="125" t="s">
        <v>4894</v>
      </c>
      <c r="M2614" s="109">
        <v>45841.453541666669</v>
      </c>
      <c r="N2614" s="109"/>
      <c r="O2614" s="109"/>
      <c r="P2614" s="110" t="str">
        <f ca="1">IF(Proc[[#This Row],[DaysAgeing]]&gt;5,"yep","on track")</f>
        <v>yep</v>
      </c>
      <c r="Q2614" s="3">
        <f ca="1">IF(Proc[[#This Row],[DateClosed]]="",ABS(NETWORKDAYS(Proc[[#This Row],[DateOpened]],TODAY()))-1,ABS(NETWORKDAYS(Proc[[#This Row],[DateOpened]],Proc[[#This Row],[DateClosed]]))-1)</f>
        <v>121</v>
      </c>
      <c r="R2614" s="110" t="s">
        <v>485</v>
      </c>
      <c r="S2614" s="94"/>
    </row>
    <row r="2615" spans="1:19" hidden="1">
      <c r="A2615" s="103" t="s">
        <v>4422</v>
      </c>
      <c r="B2615" s="149" t="str">
        <f>IFERROR(VLOOKUP(Proc[[#This Row],[App]],Table2[],3,0),"open")</f>
        <v>ok</v>
      </c>
      <c r="C2615" s="117" t="s">
        <v>369</v>
      </c>
      <c r="D2615" t="s">
        <v>4536</v>
      </c>
      <c r="E2615" t="s">
        <v>4741</v>
      </c>
      <c r="F2615" s="94" t="s">
        <v>4741</v>
      </c>
      <c r="G2615" s="103" t="s">
        <v>406</v>
      </c>
      <c r="H2615" s="94" t="str">
        <f>IF(Proc[[#This Row],[type]]="LFF (MDG-F)",MID(Proc[[#This Row],[Obj]],13,10),"")</f>
        <v>DE10538143</v>
      </c>
      <c r="I2615" s="103" t="s">
        <v>4785</v>
      </c>
      <c r="J2615" s="94" t="b">
        <f>Proc[[#This Row],[Requested]]=Proc[[#This Row],[CurrentParent]]</f>
        <v>1</v>
      </c>
      <c r="K2615" s="144" t="str">
        <f>IF(Proc[[#This Row],[Author]]="Marcela Urrego",VLOOKUP(LEFT(Proc[[#This Row],[Requested]],1),Table3[#All],2,0),VLOOKUP(Proc[[#This Row],[Author]],Table4[],2,0))</f>
        <v>MGF</v>
      </c>
      <c r="L2615" s="125" t="s">
        <v>4894</v>
      </c>
      <c r="M2615" s="109">
        <v>45841.453541666669</v>
      </c>
      <c r="N2615" s="109"/>
      <c r="O2615" s="109"/>
      <c r="P2615" s="110" t="str">
        <f ca="1">IF(Proc[[#This Row],[DaysAgeing]]&gt;5,"yep","on track")</f>
        <v>yep</v>
      </c>
      <c r="Q2615" s="3">
        <f ca="1">IF(Proc[[#This Row],[DateClosed]]="",ABS(NETWORKDAYS(Proc[[#This Row],[DateOpened]],TODAY()))-1,ABS(NETWORKDAYS(Proc[[#This Row],[DateOpened]],Proc[[#This Row],[DateClosed]]))-1)</f>
        <v>121</v>
      </c>
      <c r="R2615" s="110" t="s">
        <v>485</v>
      </c>
      <c r="S2615" s="94"/>
    </row>
    <row r="2616" spans="1:19" hidden="1">
      <c r="A2616" s="103" t="s">
        <v>4422</v>
      </c>
      <c r="B2616" s="149" t="str">
        <f>IFERROR(VLOOKUP(Proc[[#This Row],[App]],Table2[],3,0),"open")</f>
        <v>ok</v>
      </c>
      <c r="C2616" s="117" t="s">
        <v>369</v>
      </c>
      <c r="D2616" t="s">
        <v>4537</v>
      </c>
      <c r="E2616" t="s">
        <v>4741</v>
      </c>
      <c r="F2616" s="94" t="s">
        <v>4741</v>
      </c>
      <c r="G2616" s="103" t="s">
        <v>406</v>
      </c>
      <c r="H2616" s="94" t="str">
        <f>IF(Proc[[#This Row],[type]]="LFF (MDG-F)",MID(Proc[[#This Row],[Obj]],13,10),"")</f>
        <v>DE10538147</v>
      </c>
      <c r="I2616" s="103" t="s">
        <v>4785</v>
      </c>
      <c r="J2616" s="94" t="b">
        <f>Proc[[#This Row],[Requested]]=Proc[[#This Row],[CurrentParent]]</f>
        <v>1</v>
      </c>
      <c r="K2616" s="144" t="str">
        <f>IF(Proc[[#This Row],[Author]]="Marcela Urrego",VLOOKUP(LEFT(Proc[[#This Row],[Requested]],1),Table3[#All],2,0),VLOOKUP(Proc[[#This Row],[Author]],Table4[],2,0))</f>
        <v>MGF</v>
      </c>
      <c r="L2616" s="125" t="s">
        <v>4894</v>
      </c>
      <c r="M2616" s="109">
        <v>45841.453541666669</v>
      </c>
      <c r="N2616" s="109"/>
      <c r="O2616" s="109"/>
      <c r="P2616" s="110" t="str">
        <f ca="1">IF(Proc[[#This Row],[DaysAgeing]]&gt;5,"yep","on track")</f>
        <v>yep</v>
      </c>
      <c r="Q2616" s="3">
        <f ca="1">IF(Proc[[#This Row],[DateClosed]]="",ABS(NETWORKDAYS(Proc[[#This Row],[DateOpened]],TODAY()))-1,ABS(NETWORKDAYS(Proc[[#This Row],[DateOpened]],Proc[[#This Row],[DateClosed]]))-1)</f>
        <v>121</v>
      </c>
      <c r="R2616" s="110" t="s">
        <v>485</v>
      </c>
      <c r="S2616" s="94"/>
    </row>
    <row r="2617" spans="1:19" hidden="1">
      <c r="A2617" s="103" t="s">
        <v>4422</v>
      </c>
      <c r="B2617" s="149" t="str">
        <f>IFERROR(VLOOKUP(Proc[[#This Row],[App]],Table2[],3,0),"open")</f>
        <v>ok</v>
      </c>
      <c r="C2617" s="117" t="s">
        <v>369</v>
      </c>
      <c r="D2617" t="s">
        <v>4538</v>
      </c>
      <c r="E2617" t="s">
        <v>4744</v>
      </c>
      <c r="F2617" s="94" t="s">
        <v>4744</v>
      </c>
      <c r="G2617" s="103" t="s">
        <v>406</v>
      </c>
      <c r="H2617" s="94" t="str">
        <f>IF(Proc[[#This Row],[type]]="LFF (MDG-F)",MID(Proc[[#This Row],[Obj]],13,10),"")</f>
        <v>DE10538148</v>
      </c>
      <c r="I2617" s="103" t="s">
        <v>4785</v>
      </c>
      <c r="J2617" s="94" t="b">
        <f>Proc[[#This Row],[Requested]]=Proc[[#This Row],[CurrentParent]]</f>
        <v>1</v>
      </c>
      <c r="K2617" s="144" t="str">
        <f>IF(Proc[[#This Row],[Author]]="Marcela Urrego",VLOOKUP(LEFT(Proc[[#This Row],[Requested]],1),Table3[#All],2,0),VLOOKUP(Proc[[#This Row],[Author]],Table4[],2,0))</f>
        <v>MGF</v>
      </c>
      <c r="L2617" s="125" t="s">
        <v>4894</v>
      </c>
      <c r="M2617" s="109">
        <v>45841.453541666669</v>
      </c>
      <c r="N2617" s="109"/>
      <c r="O2617" s="109"/>
      <c r="P2617" s="110" t="str">
        <f ca="1">IF(Proc[[#This Row],[DaysAgeing]]&gt;5,"yep","on track")</f>
        <v>yep</v>
      </c>
      <c r="Q2617" s="3">
        <f ca="1">IF(Proc[[#This Row],[DateClosed]]="",ABS(NETWORKDAYS(Proc[[#This Row],[DateOpened]],TODAY()))-1,ABS(NETWORKDAYS(Proc[[#This Row],[DateOpened]],Proc[[#This Row],[DateClosed]]))-1)</f>
        <v>121</v>
      </c>
      <c r="R2617" s="110" t="s">
        <v>485</v>
      </c>
      <c r="S2617" s="94"/>
    </row>
    <row r="2618" spans="1:19" hidden="1">
      <c r="A2618" s="103" t="s">
        <v>4422</v>
      </c>
      <c r="B2618" s="149" t="str">
        <f>IFERROR(VLOOKUP(Proc[[#This Row],[App]],Table2[],3,0),"open")</f>
        <v>ok</v>
      </c>
      <c r="C2618" s="117" t="s">
        <v>369</v>
      </c>
      <c r="D2618" t="s">
        <v>4539</v>
      </c>
      <c r="E2618" t="s">
        <v>4741</v>
      </c>
      <c r="F2618" s="94" t="s">
        <v>4741</v>
      </c>
      <c r="G2618" s="103" t="s">
        <v>406</v>
      </c>
      <c r="H2618" s="94" t="str">
        <f>IF(Proc[[#This Row],[type]]="LFF (MDG-F)",MID(Proc[[#This Row],[Obj]],13,10),"")</f>
        <v>DE10538151</v>
      </c>
      <c r="I2618" s="103" t="s">
        <v>4785</v>
      </c>
      <c r="J2618" s="94" t="b">
        <f>Proc[[#This Row],[Requested]]=Proc[[#This Row],[CurrentParent]]</f>
        <v>1</v>
      </c>
      <c r="K2618" s="144" t="str">
        <f>IF(Proc[[#This Row],[Author]]="Marcela Urrego",VLOOKUP(LEFT(Proc[[#This Row],[Requested]],1),Table3[#All],2,0),VLOOKUP(Proc[[#This Row],[Author]],Table4[],2,0))</f>
        <v>MGF</v>
      </c>
      <c r="L2618" s="125" t="s">
        <v>4894</v>
      </c>
      <c r="M2618" s="109">
        <v>45841.453541666669</v>
      </c>
      <c r="N2618" s="109"/>
      <c r="O2618" s="109"/>
      <c r="P2618" s="110" t="str">
        <f ca="1">IF(Proc[[#This Row],[DaysAgeing]]&gt;5,"yep","on track")</f>
        <v>yep</v>
      </c>
      <c r="Q2618" s="3">
        <f ca="1">IF(Proc[[#This Row],[DateClosed]]="",ABS(NETWORKDAYS(Proc[[#This Row],[DateOpened]],TODAY()))-1,ABS(NETWORKDAYS(Proc[[#This Row],[DateOpened]],Proc[[#This Row],[DateClosed]]))-1)</f>
        <v>121</v>
      </c>
      <c r="R2618" s="110" t="s">
        <v>485</v>
      </c>
      <c r="S2618" s="94"/>
    </row>
    <row r="2619" spans="1:19" hidden="1">
      <c r="A2619" s="103" t="s">
        <v>4422</v>
      </c>
      <c r="B2619" s="149" t="str">
        <f>IFERROR(VLOOKUP(Proc[[#This Row],[App]],Table2[],3,0),"open")</f>
        <v>ok</v>
      </c>
      <c r="C2619" s="117" t="s">
        <v>369</v>
      </c>
      <c r="D2619" t="s">
        <v>4540</v>
      </c>
      <c r="E2619" t="s">
        <v>4741</v>
      </c>
      <c r="F2619" s="94" t="s">
        <v>4741</v>
      </c>
      <c r="G2619" s="103" t="s">
        <v>406</v>
      </c>
      <c r="H2619" s="94" t="str">
        <f>IF(Proc[[#This Row],[type]]="LFF (MDG-F)",MID(Proc[[#This Row],[Obj]],13,10),"")</f>
        <v>DE10538153</v>
      </c>
      <c r="I2619" s="103" t="s">
        <v>4785</v>
      </c>
      <c r="J2619" s="94" t="b">
        <f>Proc[[#This Row],[Requested]]=Proc[[#This Row],[CurrentParent]]</f>
        <v>1</v>
      </c>
      <c r="K2619" s="144" t="str">
        <f>IF(Proc[[#This Row],[Author]]="Marcela Urrego",VLOOKUP(LEFT(Proc[[#This Row],[Requested]],1),Table3[#All],2,0),VLOOKUP(Proc[[#This Row],[Author]],Table4[],2,0))</f>
        <v>MGF</v>
      </c>
      <c r="L2619" s="125" t="s">
        <v>4894</v>
      </c>
      <c r="M2619" s="109">
        <v>45841.453541666669</v>
      </c>
      <c r="N2619" s="109"/>
      <c r="O2619" s="109"/>
      <c r="P2619" s="110" t="str">
        <f ca="1">IF(Proc[[#This Row],[DaysAgeing]]&gt;5,"yep","on track")</f>
        <v>yep</v>
      </c>
      <c r="Q2619" s="3">
        <f ca="1">IF(Proc[[#This Row],[DateClosed]]="",ABS(NETWORKDAYS(Proc[[#This Row],[DateOpened]],TODAY()))-1,ABS(NETWORKDAYS(Proc[[#This Row],[DateOpened]],Proc[[#This Row],[DateClosed]]))-1)</f>
        <v>121</v>
      </c>
      <c r="R2619" s="110" t="s">
        <v>485</v>
      </c>
      <c r="S2619" s="94"/>
    </row>
    <row r="2620" spans="1:19" hidden="1">
      <c r="A2620" s="103" t="s">
        <v>4422</v>
      </c>
      <c r="B2620" s="149" t="str">
        <f>IFERROR(VLOOKUP(Proc[[#This Row],[App]],Table2[],3,0),"open")</f>
        <v>ok</v>
      </c>
      <c r="C2620" s="117" t="s">
        <v>369</v>
      </c>
      <c r="D2620" t="s">
        <v>4541</v>
      </c>
      <c r="E2620" t="s">
        <v>4741</v>
      </c>
      <c r="F2620" s="94" t="s">
        <v>4741</v>
      </c>
      <c r="G2620" s="103" t="s">
        <v>406</v>
      </c>
      <c r="H2620" s="94" t="str">
        <f>IF(Proc[[#This Row],[type]]="LFF (MDG-F)",MID(Proc[[#This Row],[Obj]],13,10),"")</f>
        <v>DE10538160</v>
      </c>
      <c r="I2620" s="103" t="s">
        <v>4785</v>
      </c>
      <c r="J2620" s="94" t="b">
        <f>Proc[[#This Row],[Requested]]=Proc[[#This Row],[CurrentParent]]</f>
        <v>1</v>
      </c>
      <c r="K2620" s="144" t="str">
        <f>IF(Proc[[#This Row],[Author]]="Marcela Urrego",VLOOKUP(LEFT(Proc[[#This Row],[Requested]],1),Table3[#All],2,0),VLOOKUP(Proc[[#This Row],[Author]],Table4[],2,0))</f>
        <v>MGF</v>
      </c>
      <c r="L2620" s="125" t="s">
        <v>4894</v>
      </c>
      <c r="M2620" s="109">
        <v>45841.453541666669</v>
      </c>
      <c r="N2620" s="109"/>
      <c r="O2620" s="109"/>
      <c r="P2620" s="110" t="str">
        <f ca="1">IF(Proc[[#This Row],[DaysAgeing]]&gt;5,"yep","on track")</f>
        <v>yep</v>
      </c>
      <c r="Q2620" s="3">
        <f ca="1">IF(Proc[[#This Row],[DateClosed]]="",ABS(NETWORKDAYS(Proc[[#This Row],[DateOpened]],TODAY()))-1,ABS(NETWORKDAYS(Proc[[#This Row],[DateOpened]],Proc[[#This Row],[DateClosed]]))-1)</f>
        <v>121</v>
      </c>
      <c r="R2620" s="110" t="s">
        <v>485</v>
      </c>
      <c r="S2620" s="94"/>
    </row>
    <row r="2621" spans="1:19" hidden="1">
      <c r="A2621" s="103" t="s">
        <v>4422</v>
      </c>
      <c r="B2621" s="149" t="str">
        <f>IFERROR(VLOOKUP(Proc[[#This Row],[App]],Table2[],3,0),"open")</f>
        <v>ok</v>
      </c>
      <c r="C2621" s="117" t="s">
        <v>369</v>
      </c>
      <c r="D2621" t="s">
        <v>4542</v>
      </c>
      <c r="E2621" t="s">
        <v>4741</v>
      </c>
      <c r="F2621" s="94" t="s">
        <v>4741</v>
      </c>
      <c r="G2621" s="103" t="s">
        <v>406</v>
      </c>
      <c r="H2621" s="94" t="str">
        <f>IF(Proc[[#This Row],[type]]="LFF (MDG-F)",MID(Proc[[#This Row],[Obj]],13,10),"")</f>
        <v>DE10538162</v>
      </c>
      <c r="I2621" s="103" t="s">
        <v>4785</v>
      </c>
      <c r="J2621" s="94" t="b">
        <f>Proc[[#This Row],[Requested]]=Proc[[#This Row],[CurrentParent]]</f>
        <v>1</v>
      </c>
      <c r="K2621" s="144" t="str">
        <f>IF(Proc[[#This Row],[Author]]="Marcela Urrego",VLOOKUP(LEFT(Proc[[#This Row],[Requested]],1),Table3[#All],2,0),VLOOKUP(Proc[[#This Row],[Author]],Table4[],2,0))</f>
        <v>MGF</v>
      </c>
      <c r="L2621" s="125" t="s">
        <v>4894</v>
      </c>
      <c r="M2621" s="109">
        <v>45841.453541666669</v>
      </c>
      <c r="N2621" s="109"/>
      <c r="O2621" s="109"/>
      <c r="P2621" s="110" t="str">
        <f ca="1">IF(Proc[[#This Row],[DaysAgeing]]&gt;5,"yep","on track")</f>
        <v>yep</v>
      </c>
      <c r="Q2621" s="3">
        <f ca="1">IF(Proc[[#This Row],[DateClosed]]="",ABS(NETWORKDAYS(Proc[[#This Row],[DateOpened]],TODAY()))-1,ABS(NETWORKDAYS(Proc[[#This Row],[DateOpened]],Proc[[#This Row],[DateClosed]]))-1)</f>
        <v>121</v>
      </c>
      <c r="R2621" s="110" t="s">
        <v>485</v>
      </c>
      <c r="S2621" s="94"/>
    </row>
    <row r="2622" spans="1:19" hidden="1">
      <c r="A2622" s="103" t="s">
        <v>4422</v>
      </c>
      <c r="B2622" s="149" t="str">
        <f>IFERROR(VLOOKUP(Proc[[#This Row],[App]],Table2[],3,0),"open")</f>
        <v>ok</v>
      </c>
      <c r="C2622" s="117" t="s">
        <v>369</v>
      </c>
      <c r="D2622" t="s">
        <v>4543</v>
      </c>
      <c r="E2622" t="s">
        <v>4744</v>
      </c>
      <c r="F2622" s="94" t="s">
        <v>4744</v>
      </c>
      <c r="G2622" s="103" t="s">
        <v>406</v>
      </c>
      <c r="H2622" s="94" t="str">
        <f>IF(Proc[[#This Row],[type]]="LFF (MDG-F)",MID(Proc[[#This Row],[Obj]],13,10),"")</f>
        <v>DE10538163</v>
      </c>
      <c r="I2622" s="103" t="s">
        <v>4785</v>
      </c>
      <c r="J2622" s="94" t="b">
        <f>Proc[[#This Row],[Requested]]=Proc[[#This Row],[CurrentParent]]</f>
        <v>1</v>
      </c>
      <c r="K2622" s="144" t="str">
        <f>IF(Proc[[#This Row],[Author]]="Marcela Urrego",VLOOKUP(LEFT(Proc[[#This Row],[Requested]],1),Table3[#All],2,0),VLOOKUP(Proc[[#This Row],[Author]],Table4[],2,0))</f>
        <v>MGF</v>
      </c>
      <c r="L2622" s="125" t="s">
        <v>4894</v>
      </c>
      <c r="M2622" s="109">
        <v>45841.453541666669</v>
      </c>
      <c r="N2622" s="109"/>
      <c r="O2622" s="109"/>
      <c r="P2622" s="110" t="str">
        <f ca="1">IF(Proc[[#This Row],[DaysAgeing]]&gt;5,"yep","on track")</f>
        <v>yep</v>
      </c>
      <c r="Q2622" s="3">
        <f ca="1">IF(Proc[[#This Row],[DateClosed]]="",ABS(NETWORKDAYS(Proc[[#This Row],[DateOpened]],TODAY()))-1,ABS(NETWORKDAYS(Proc[[#This Row],[DateOpened]],Proc[[#This Row],[DateClosed]]))-1)</f>
        <v>121</v>
      </c>
      <c r="R2622" s="110" t="s">
        <v>485</v>
      </c>
      <c r="S2622" s="94"/>
    </row>
    <row r="2623" spans="1:19" hidden="1">
      <c r="A2623" s="103" t="s">
        <v>4422</v>
      </c>
      <c r="B2623" s="149" t="str">
        <f>IFERROR(VLOOKUP(Proc[[#This Row],[App]],Table2[],3,0),"open")</f>
        <v>ok</v>
      </c>
      <c r="C2623" s="117" t="s">
        <v>369</v>
      </c>
      <c r="D2623" t="s">
        <v>4544</v>
      </c>
      <c r="E2623" t="s">
        <v>4741</v>
      </c>
      <c r="F2623" s="94" t="s">
        <v>4741</v>
      </c>
      <c r="G2623" s="103" t="s">
        <v>406</v>
      </c>
      <c r="H2623" s="94" t="str">
        <f>IF(Proc[[#This Row],[type]]="LFF (MDG-F)",MID(Proc[[#This Row],[Obj]],13,10),"")</f>
        <v>DE10538164</v>
      </c>
      <c r="I2623" s="103" t="s">
        <v>4785</v>
      </c>
      <c r="J2623" s="94" t="b">
        <f>Proc[[#This Row],[Requested]]=Proc[[#This Row],[CurrentParent]]</f>
        <v>1</v>
      </c>
      <c r="K2623" s="144" t="str">
        <f>IF(Proc[[#This Row],[Author]]="Marcela Urrego",VLOOKUP(LEFT(Proc[[#This Row],[Requested]],1),Table3[#All],2,0),VLOOKUP(Proc[[#This Row],[Author]],Table4[],2,0))</f>
        <v>MGF</v>
      </c>
      <c r="L2623" s="125" t="s">
        <v>4894</v>
      </c>
      <c r="M2623" s="109">
        <v>45841.453541666669</v>
      </c>
      <c r="N2623" s="109"/>
      <c r="O2623" s="109"/>
      <c r="P2623" s="110" t="str">
        <f ca="1">IF(Proc[[#This Row],[DaysAgeing]]&gt;5,"yep","on track")</f>
        <v>yep</v>
      </c>
      <c r="Q2623" s="3">
        <f ca="1">IF(Proc[[#This Row],[DateClosed]]="",ABS(NETWORKDAYS(Proc[[#This Row],[DateOpened]],TODAY()))-1,ABS(NETWORKDAYS(Proc[[#This Row],[DateOpened]],Proc[[#This Row],[DateClosed]]))-1)</f>
        <v>121</v>
      </c>
      <c r="R2623" s="110" t="s">
        <v>485</v>
      </c>
      <c r="S2623" s="94"/>
    </row>
    <row r="2624" spans="1:19" hidden="1">
      <c r="A2624" s="103" t="s">
        <v>4422</v>
      </c>
      <c r="B2624" s="149" t="str">
        <f>IFERROR(VLOOKUP(Proc[[#This Row],[App]],Table2[],3,0),"open")</f>
        <v>ok</v>
      </c>
      <c r="C2624" s="117" t="s">
        <v>369</v>
      </c>
      <c r="D2624" t="s">
        <v>4545</v>
      </c>
      <c r="E2624" t="s">
        <v>4741</v>
      </c>
      <c r="F2624" s="94" t="s">
        <v>4741</v>
      </c>
      <c r="G2624" s="103" t="s">
        <v>406</v>
      </c>
      <c r="H2624" s="94" t="str">
        <f>IF(Proc[[#This Row],[type]]="LFF (MDG-F)",MID(Proc[[#This Row],[Obj]],13,10),"")</f>
        <v>DE10538166</v>
      </c>
      <c r="I2624" s="103" t="s">
        <v>4785</v>
      </c>
      <c r="J2624" s="94" t="b">
        <f>Proc[[#This Row],[Requested]]=Proc[[#This Row],[CurrentParent]]</f>
        <v>1</v>
      </c>
      <c r="K2624" s="144" t="str">
        <f>IF(Proc[[#This Row],[Author]]="Marcela Urrego",VLOOKUP(LEFT(Proc[[#This Row],[Requested]],1),Table3[#All],2,0),VLOOKUP(Proc[[#This Row],[Author]],Table4[],2,0))</f>
        <v>MGF</v>
      </c>
      <c r="L2624" s="125" t="s">
        <v>4894</v>
      </c>
      <c r="M2624" s="109">
        <v>45841.453541666669</v>
      </c>
      <c r="N2624" s="109"/>
      <c r="O2624" s="109"/>
      <c r="P2624" s="110" t="str">
        <f ca="1">IF(Proc[[#This Row],[DaysAgeing]]&gt;5,"yep","on track")</f>
        <v>yep</v>
      </c>
      <c r="Q2624" s="3">
        <f ca="1">IF(Proc[[#This Row],[DateClosed]]="",ABS(NETWORKDAYS(Proc[[#This Row],[DateOpened]],TODAY()))-1,ABS(NETWORKDAYS(Proc[[#This Row],[DateOpened]],Proc[[#This Row],[DateClosed]]))-1)</f>
        <v>121</v>
      </c>
      <c r="R2624" s="110" t="s">
        <v>485</v>
      </c>
      <c r="S2624" s="94"/>
    </row>
    <row r="2625" spans="1:19" hidden="1">
      <c r="A2625" s="103" t="s">
        <v>4422</v>
      </c>
      <c r="B2625" s="149" t="str">
        <f>IFERROR(VLOOKUP(Proc[[#This Row],[App]],Table2[],3,0),"open")</f>
        <v>ok</v>
      </c>
      <c r="C2625" s="117" t="s">
        <v>369</v>
      </c>
      <c r="D2625" t="s">
        <v>4546</v>
      </c>
      <c r="E2625" t="s">
        <v>4740</v>
      </c>
      <c r="F2625" s="94" t="s">
        <v>4740</v>
      </c>
      <c r="G2625" s="103" t="s">
        <v>406</v>
      </c>
      <c r="H2625" s="94" t="str">
        <f>IF(Proc[[#This Row],[type]]="LFF (MDG-F)",MID(Proc[[#This Row],[Obj]],13,10),"")</f>
        <v>DE10538167</v>
      </c>
      <c r="I2625" s="103" t="s">
        <v>4785</v>
      </c>
      <c r="J2625" s="94" t="b">
        <f>Proc[[#This Row],[Requested]]=Proc[[#This Row],[CurrentParent]]</f>
        <v>1</v>
      </c>
      <c r="K2625" s="144" t="str">
        <f>IF(Proc[[#This Row],[Author]]="Marcela Urrego",VLOOKUP(LEFT(Proc[[#This Row],[Requested]],1),Table3[#All],2,0),VLOOKUP(Proc[[#This Row],[Author]],Table4[],2,0))</f>
        <v>MGF</v>
      </c>
      <c r="L2625" s="125" t="s">
        <v>4894</v>
      </c>
      <c r="M2625" s="109">
        <v>45841.453541666669</v>
      </c>
      <c r="N2625" s="109"/>
      <c r="O2625" s="109"/>
      <c r="P2625" s="110" t="str">
        <f ca="1">IF(Proc[[#This Row],[DaysAgeing]]&gt;5,"yep","on track")</f>
        <v>yep</v>
      </c>
      <c r="Q2625" s="3">
        <f ca="1">IF(Proc[[#This Row],[DateClosed]]="",ABS(NETWORKDAYS(Proc[[#This Row],[DateOpened]],TODAY()))-1,ABS(NETWORKDAYS(Proc[[#This Row],[DateOpened]],Proc[[#This Row],[DateClosed]]))-1)</f>
        <v>121</v>
      </c>
      <c r="R2625" s="110" t="s">
        <v>485</v>
      </c>
      <c r="S2625" s="94"/>
    </row>
    <row r="2626" spans="1:19" hidden="1">
      <c r="A2626" s="103" t="s">
        <v>4422</v>
      </c>
      <c r="B2626" s="149" t="str">
        <f>IFERROR(VLOOKUP(Proc[[#This Row],[App]],Table2[],3,0),"open")</f>
        <v>ok</v>
      </c>
      <c r="C2626" s="117" t="s">
        <v>369</v>
      </c>
      <c r="D2626" t="s">
        <v>4547</v>
      </c>
      <c r="E2626" t="s">
        <v>4741</v>
      </c>
      <c r="F2626" s="94" t="s">
        <v>4741</v>
      </c>
      <c r="G2626" s="103" t="s">
        <v>406</v>
      </c>
      <c r="H2626" s="94" t="str">
        <f>IF(Proc[[#This Row],[type]]="LFF (MDG-F)",MID(Proc[[#This Row],[Obj]],13,10),"")</f>
        <v>DE10538168</v>
      </c>
      <c r="I2626" s="103" t="s">
        <v>4785</v>
      </c>
      <c r="J2626" s="94" t="b">
        <f>Proc[[#This Row],[Requested]]=Proc[[#This Row],[CurrentParent]]</f>
        <v>1</v>
      </c>
      <c r="K2626" s="144" t="str">
        <f>IF(Proc[[#This Row],[Author]]="Marcela Urrego",VLOOKUP(LEFT(Proc[[#This Row],[Requested]],1),Table3[#All],2,0),VLOOKUP(Proc[[#This Row],[Author]],Table4[],2,0))</f>
        <v>MGF</v>
      </c>
      <c r="L2626" s="125" t="s">
        <v>4894</v>
      </c>
      <c r="M2626" s="109">
        <v>45841.453541666669</v>
      </c>
      <c r="N2626" s="109"/>
      <c r="O2626" s="109"/>
      <c r="P2626" s="110" t="str">
        <f ca="1">IF(Proc[[#This Row],[DaysAgeing]]&gt;5,"yep","on track")</f>
        <v>yep</v>
      </c>
      <c r="Q2626" s="3">
        <f ca="1">IF(Proc[[#This Row],[DateClosed]]="",ABS(NETWORKDAYS(Proc[[#This Row],[DateOpened]],TODAY()))-1,ABS(NETWORKDAYS(Proc[[#This Row],[DateOpened]],Proc[[#This Row],[DateClosed]]))-1)</f>
        <v>121</v>
      </c>
      <c r="R2626" s="110" t="s">
        <v>485</v>
      </c>
      <c r="S2626" s="94"/>
    </row>
    <row r="2627" spans="1:19" hidden="1">
      <c r="A2627" s="103" t="s">
        <v>4422</v>
      </c>
      <c r="B2627" s="149" t="str">
        <f>IFERROR(VLOOKUP(Proc[[#This Row],[App]],Table2[],3,0),"open")</f>
        <v>ok</v>
      </c>
      <c r="C2627" s="117" t="s">
        <v>369</v>
      </c>
      <c r="D2627" t="s">
        <v>4548</v>
      </c>
      <c r="E2627" t="s">
        <v>4741</v>
      </c>
      <c r="F2627" s="94" t="s">
        <v>4741</v>
      </c>
      <c r="G2627" s="103" t="s">
        <v>406</v>
      </c>
      <c r="H2627" s="94" t="str">
        <f>IF(Proc[[#This Row],[type]]="LFF (MDG-F)",MID(Proc[[#This Row],[Obj]],13,10),"")</f>
        <v>DE10538171</v>
      </c>
      <c r="I2627" s="103" t="s">
        <v>4785</v>
      </c>
      <c r="J2627" s="94" t="b">
        <f>Proc[[#This Row],[Requested]]=Proc[[#This Row],[CurrentParent]]</f>
        <v>1</v>
      </c>
      <c r="K2627" s="144" t="str">
        <f>IF(Proc[[#This Row],[Author]]="Marcela Urrego",VLOOKUP(LEFT(Proc[[#This Row],[Requested]],1),Table3[#All],2,0),VLOOKUP(Proc[[#This Row],[Author]],Table4[],2,0))</f>
        <v>MGF</v>
      </c>
      <c r="L2627" s="125" t="s">
        <v>4894</v>
      </c>
      <c r="M2627" s="109">
        <v>45841.453541666669</v>
      </c>
      <c r="N2627" s="109"/>
      <c r="O2627" s="109"/>
      <c r="P2627" s="110" t="str">
        <f ca="1">IF(Proc[[#This Row],[DaysAgeing]]&gt;5,"yep","on track")</f>
        <v>yep</v>
      </c>
      <c r="Q2627" s="3">
        <f ca="1">IF(Proc[[#This Row],[DateClosed]]="",ABS(NETWORKDAYS(Proc[[#This Row],[DateOpened]],TODAY()))-1,ABS(NETWORKDAYS(Proc[[#This Row],[DateOpened]],Proc[[#This Row],[DateClosed]]))-1)</f>
        <v>121</v>
      </c>
      <c r="R2627" s="110" t="s">
        <v>485</v>
      </c>
      <c r="S2627" s="94"/>
    </row>
    <row r="2628" spans="1:19" hidden="1">
      <c r="A2628" s="103" t="s">
        <v>4422</v>
      </c>
      <c r="B2628" s="149" t="str">
        <f>IFERROR(VLOOKUP(Proc[[#This Row],[App]],Table2[],3,0),"open")</f>
        <v>ok</v>
      </c>
      <c r="C2628" s="117" t="s">
        <v>369</v>
      </c>
      <c r="D2628" t="s">
        <v>4549</v>
      </c>
      <c r="E2628" t="s">
        <v>4743</v>
      </c>
      <c r="F2628" s="94" t="s">
        <v>4743</v>
      </c>
      <c r="G2628" s="103" t="s">
        <v>406</v>
      </c>
      <c r="H2628" s="94" t="str">
        <f>IF(Proc[[#This Row],[type]]="LFF (MDG-F)",MID(Proc[[#This Row],[Obj]],13,10),"")</f>
        <v>DE10538175</v>
      </c>
      <c r="I2628" s="103" t="s">
        <v>4785</v>
      </c>
      <c r="J2628" s="94" t="b">
        <f>Proc[[#This Row],[Requested]]=Proc[[#This Row],[CurrentParent]]</f>
        <v>1</v>
      </c>
      <c r="K2628" s="144" t="str">
        <f>IF(Proc[[#This Row],[Author]]="Marcela Urrego",VLOOKUP(LEFT(Proc[[#This Row],[Requested]],1),Table3[#All],2,0),VLOOKUP(Proc[[#This Row],[Author]],Table4[],2,0))</f>
        <v>MGF</v>
      </c>
      <c r="L2628" s="125" t="s">
        <v>4894</v>
      </c>
      <c r="M2628" s="109">
        <v>45841.453541666669</v>
      </c>
      <c r="N2628" s="109"/>
      <c r="O2628" s="109"/>
      <c r="P2628" s="110" t="str">
        <f ca="1">IF(Proc[[#This Row],[DaysAgeing]]&gt;5,"yep","on track")</f>
        <v>yep</v>
      </c>
      <c r="Q2628" s="3">
        <f ca="1">IF(Proc[[#This Row],[DateClosed]]="",ABS(NETWORKDAYS(Proc[[#This Row],[DateOpened]],TODAY()))-1,ABS(NETWORKDAYS(Proc[[#This Row],[DateOpened]],Proc[[#This Row],[DateClosed]]))-1)</f>
        <v>121</v>
      </c>
      <c r="R2628" s="110" t="s">
        <v>485</v>
      </c>
      <c r="S2628" s="94"/>
    </row>
    <row r="2629" spans="1:19" hidden="1">
      <c r="A2629" s="103" t="s">
        <v>4422</v>
      </c>
      <c r="B2629" s="149" t="str">
        <f>IFERROR(VLOOKUP(Proc[[#This Row],[App]],Table2[],3,0),"open")</f>
        <v>ok</v>
      </c>
      <c r="C2629" s="117" t="s">
        <v>369</v>
      </c>
      <c r="D2629" t="s">
        <v>4550</v>
      </c>
      <c r="E2629" t="s">
        <v>4741</v>
      </c>
      <c r="F2629" s="94" t="s">
        <v>4741</v>
      </c>
      <c r="G2629" s="103" t="s">
        <v>406</v>
      </c>
      <c r="H2629" s="94" t="str">
        <f>IF(Proc[[#This Row],[type]]="LFF (MDG-F)",MID(Proc[[#This Row],[Obj]],13,10),"")</f>
        <v>DE10538176</v>
      </c>
      <c r="I2629" s="103" t="s">
        <v>4785</v>
      </c>
      <c r="J2629" s="94" t="b">
        <f>Proc[[#This Row],[Requested]]=Proc[[#This Row],[CurrentParent]]</f>
        <v>1</v>
      </c>
      <c r="K2629" s="144" t="str">
        <f>IF(Proc[[#This Row],[Author]]="Marcela Urrego",VLOOKUP(LEFT(Proc[[#This Row],[Requested]],1),Table3[#All],2,0),VLOOKUP(Proc[[#This Row],[Author]],Table4[],2,0))</f>
        <v>MGF</v>
      </c>
      <c r="L2629" s="125" t="s">
        <v>4894</v>
      </c>
      <c r="M2629" s="109">
        <v>45841.453541666669</v>
      </c>
      <c r="N2629" s="109"/>
      <c r="O2629" s="109"/>
      <c r="P2629" s="110" t="str">
        <f ca="1">IF(Proc[[#This Row],[DaysAgeing]]&gt;5,"yep","on track")</f>
        <v>yep</v>
      </c>
      <c r="Q2629" s="3">
        <f ca="1">IF(Proc[[#This Row],[DateClosed]]="",ABS(NETWORKDAYS(Proc[[#This Row],[DateOpened]],TODAY()))-1,ABS(NETWORKDAYS(Proc[[#This Row],[DateOpened]],Proc[[#This Row],[DateClosed]]))-1)</f>
        <v>121</v>
      </c>
      <c r="R2629" s="110" t="s">
        <v>485</v>
      </c>
      <c r="S2629" s="94"/>
    </row>
    <row r="2630" spans="1:19" hidden="1">
      <c r="A2630" s="103" t="s">
        <v>4422</v>
      </c>
      <c r="B2630" s="149" t="str">
        <f>IFERROR(VLOOKUP(Proc[[#This Row],[App]],Table2[],3,0),"open")</f>
        <v>ok</v>
      </c>
      <c r="C2630" s="117" t="s">
        <v>369</v>
      </c>
      <c r="D2630" t="s">
        <v>4551</v>
      </c>
      <c r="E2630" t="s">
        <v>4741</v>
      </c>
      <c r="F2630" s="94" t="s">
        <v>4741</v>
      </c>
      <c r="G2630" s="103" t="s">
        <v>406</v>
      </c>
      <c r="H2630" s="94" t="str">
        <f>IF(Proc[[#This Row],[type]]="LFF (MDG-F)",MID(Proc[[#This Row],[Obj]],13,10),"")</f>
        <v>DE10538177</v>
      </c>
      <c r="I2630" s="103" t="s">
        <v>4785</v>
      </c>
      <c r="J2630" s="94" t="b">
        <f>Proc[[#This Row],[Requested]]=Proc[[#This Row],[CurrentParent]]</f>
        <v>1</v>
      </c>
      <c r="K2630" s="144" t="str">
        <f>IF(Proc[[#This Row],[Author]]="Marcela Urrego",VLOOKUP(LEFT(Proc[[#This Row],[Requested]],1),Table3[#All],2,0),VLOOKUP(Proc[[#This Row],[Author]],Table4[],2,0))</f>
        <v>MGF</v>
      </c>
      <c r="L2630" s="125" t="s">
        <v>4894</v>
      </c>
      <c r="M2630" s="109">
        <v>45841.453541666669</v>
      </c>
      <c r="N2630" s="109"/>
      <c r="O2630" s="109"/>
      <c r="P2630" s="110" t="str">
        <f ca="1">IF(Proc[[#This Row],[DaysAgeing]]&gt;5,"yep","on track")</f>
        <v>yep</v>
      </c>
      <c r="Q2630" s="3">
        <f ca="1">IF(Proc[[#This Row],[DateClosed]]="",ABS(NETWORKDAYS(Proc[[#This Row],[DateOpened]],TODAY()))-1,ABS(NETWORKDAYS(Proc[[#This Row],[DateOpened]],Proc[[#This Row],[DateClosed]]))-1)</f>
        <v>121</v>
      </c>
      <c r="R2630" s="110" t="s">
        <v>485</v>
      </c>
      <c r="S2630" s="94"/>
    </row>
    <row r="2631" spans="1:19" hidden="1">
      <c r="A2631" s="103" t="s">
        <v>4422</v>
      </c>
      <c r="B2631" s="149" t="str">
        <f>IFERROR(VLOOKUP(Proc[[#This Row],[App]],Table2[],3,0),"open")</f>
        <v>ok</v>
      </c>
      <c r="C2631" s="117" t="s">
        <v>369</v>
      </c>
      <c r="D2631" t="s">
        <v>4552</v>
      </c>
      <c r="E2631" t="s">
        <v>4741</v>
      </c>
      <c r="F2631" s="94" t="s">
        <v>4741</v>
      </c>
      <c r="G2631" s="103" t="s">
        <v>406</v>
      </c>
      <c r="H2631" s="94" t="str">
        <f>IF(Proc[[#This Row],[type]]="LFF (MDG-F)",MID(Proc[[#This Row],[Obj]],13,10),"")</f>
        <v>DE10538184</v>
      </c>
      <c r="I2631" s="103" t="s">
        <v>4785</v>
      </c>
      <c r="J2631" s="94" t="b">
        <f>Proc[[#This Row],[Requested]]=Proc[[#This Row],[CurrentParent]]</f>
        <v>1</v>
      </c>
      <c r="K2631" s="144" t="str">
        <f>IF(Proc[[#This Row],[Author]]="Marcela Urrego",VLOOKUP(LEFT(Proc[[#This Row],[Requested]],1),Table3[#All],2,0),VLOOKUP(Proc[[#This Row],[Author]],Table4[],2,0))</f>
        <v>MGF</v>
      </c>
      <c r="L2631" s="125" t="s">
        <v>4894</v>
      </c>
      <c r="M2631" s="109">
        <v>45841.453541666669</v>
      </c>
      <c r="N2631" s="109"/>
      <c r="O2631" s="109"/>
      <c r="P2631" s="110" t="str">
        <f ca="1">IF(Proc[[#This Row],[DaysAgeing]]&gt;5,"yep","on track")</f>
        <v>yep</v>
      </c>
      <c r="Q2631" s="3">
        <f ca="1">IF(Proc[[#This Row],[DateClosed]]="",ABS(NETWORKDAYS(Proc[[#This Row],[DateOpened]],TODAY()))-1,ABS(NETWORKDAYS(Proc[[#This Row],[DateOpened]],Proc[[#This Row],[DateClosed]]))-1)</f>
        <v>121</v>
      </c>
      <c r="R2631" s="110" t="s">
        <v>485</v>
      </c>
      <c r="S2631" s="94"/>
    </row>
    <row r="2632" spans="1:19" hidden="1">
      <c r="A2632" s="103" t="s">
        <v>4422</v>
      </c>
      <c r="B2632" s="149" t="str">
        <f>IFERROR(VLOOKUP(Proc[[#This Row],[App]],Table2[],3,0),"open")</f>
        <v>ok</v>
      </c>
      <c r="C2632" s="117" t="s">
        <v>369</v>
      </c>
      <c r="D2632" t="s">
        <v>4553</v>
      </c>
      <c r="E2632" t="s">
        <v>4743</v>
      </c>
      <c r="F2632" s="94" t="s">
        <v>4743</v>
      </c>
      <c r="G2632" s="103" t="s">
        <v>406</v>
      </c>
      <c r="H2632" s="94" t="str">
        <f>IF(Proc[[#This Row],[type]]="LFF (MDG-F)",MID(Proc[[#This Row],[Obj]],13,10),"")</f>
        <v>DE10538185</v>
      </c>
      <c r="I2632" s="103" t="s">
        <v>4785</v>
      </c>
      <c r="J2632" s="94" t="b">
        <f>Proc[[#This Row],[Requested]]=Proc[[#This Row],[CurrentParent]]</f>
        <v>1</v>
      </c>
      <c r="K2632" s="144" t="str">
        <f>IF(Proc[[#This Row],[Author]]="Marcela Urrego",VLOOKUP(LEFT(Proc[[#This Row],[Requested]],1),Table3[#All],2,0),VLOOKUP(Proc[[#This Row],[Author]],Table4[],2,0))</f>
        <v>MGF</v>
      </c>
      <c r="L2632" s="125" t="s">
        <v>4894</v>
      </c>
      <c r="M2632" s="109">
        <v>45841.453541666669</v>
      </c>
      <c r="N2632" s="109"/>
      <c r="O2632" s="109"/>
      <c r="P2632" s="110" t="str">
        <f ca="1">IF(Proc[[#This Row],[DaysAgeing]]&gt;5,"yep","on track")</f>
        <v>yep</v>
      </c>
      <c r="Q2632" s="3">
        <f ca="1">IF(Proc[[#This Row],[DateClosed]]="",ABS(NETWORKDAYS(Proc[[#This Row],[DateOpened]],TODAY()))-1,ABS(NETWORKDAYS(Proc[[#This Row],[DateOpened]],Proc[[#This Row],[DateClosed]]))-1)</f>
        <v>121</v>
      </c>
      <c r="R2632" s="110" t="s">
        <v>485</v>
      </c>
      <c r="S2632" s="94"/>
    </row>
    <row r="2633" spans="1:19" hidden="1">
      <c r="A2633" s="103" t="s">
        <v>4422</v>
      </c>
      <c r="B2633" s="149" t="str">
        <f>IFERROR(VLOOKUP(Proc[[#This Row],[App]],Table2[],3,0),"open")</f>
        <v>ok</v>
      </c>
      <c r="C2633" s="117" t="s">
        <v>369</v>
      </c>
      <c r="D2633" t="s">
        <v>4554</v>
      </c>
      <c r="E2633" t="s">
        <v>4743</v>
      </c>
      <c r="F2633" s="94" t="s">
        <v>4743</v>
      </c>
      <c r="G2633" s="103" t="s">
        <v>406</v>
      </c>
      <c r="H2633" s="94" t="str">
        <f>IF(Proc[[#This Row],[type]]="LFF (MDG-F)",MID(Proc[[#This Row],[Obj]],13,10),"")</f>
        <v>DE10538186</v>
      </c>
      <c r="I2633" s="103" t="s">
        <v>4785</v>
      </c>
      <c r="J2633" s="94" t="b">
        <f>Proc[[#This Row],[Requested]]=Proc[[#This Row],[CurrentParent]]</f>
        <v>1</v>
      </c>
      <c r="K2633" s="144" t="str">
        <f>IF(Proc[[#This Row],[Author]]="Marcela Urrego",VLOOKUP(LEFT(Proc[[#This Row],[Requested]],1),Table3[#All],2,0),VLOOKUP(Proc[[#This Row],[Author]],Table4[],2,0))</f>
        <v>MGF</v>
      </c>
      <c r="L2633" s="125" t="s">
        <v>4894</v>
      </c>
      <c r="M2633" s="109">
        <v>45841.453541666669</v>
      </c>
      <c r="N2633" s="109"/>
      <c r="O2633" s="109"/>
      <c r="P2633" s="110" t="str">
        <f ca="1">IF(Proc[[#This Row],[DaysAgeing]]&gt;5,"yep","on track")</f>
        <v>yep</v>
      </c>
      <c r="Q2633" s="3">
        <f ca="1">IF(Proc[[#This Row],[DateClosed]]="",ABS(NETWORKDAYS(Proc[[#This Row],[DateOpened]],TODAY()))-1,ABS(NETWORKDAYS(Proc[[#This Row],[DateOpened]],Proc[[#This Row],[DateClosed]]))-1)</f>
        <v>121</v>
      </c>
      <c r="R2633" s="110" t="s">
        <v>485</v>
      </c>
      <c r="S2633" s="94"/>
    </row>
    <row r="2634" spans="1:19" hidden="1">
      <c r="A2634" s="103" t="s">
        <v>4422</v>
      </c>
      <c r="B2634" s="149" t="str">
        <f>IFERROR(VLOOKUP(Proc[[#This Row],[App]],Table2[],3,0),"open")</f>
        <v>ok</v>
      </c>
      <c r="C2634" s="117" t="s">
        <v>369</v>
      </c>
      <c r="D2634" t="s">
        <v>4555</v>
      </c>
      <c r="E2634" t="s">
        <v>4744</v>
      </c>
      <c r="F2634" s="94" t="s">
        <v>4744</v>
      </c>
      <c r="G2634" s="103" t="s">
        <v>406</v>
      </c>
      <c r="H2634" s="94" t="str">
        <f>IF(Proc[[#This Row],[type]]="LFF (MDG-F)",MID(Proc[[#This Row],[Obj]],13,10),"")</f>
        <v>DE10538193</v>
      </c>
      <c r="I2634" s="103" t="s">
        <v>4785</v>
      </c>
      <c r="J2634" s="94" t="b">
        <f>Proc[[#This Row],[Requested]]=Proc[[#This Row],[CurrentParent]]</f>
        <v>1</v>
      </c>
      <c r="K2634" s="144" t="str">
        <f>IF(Proc[[#This Row],[Author]]="Marcela Urrego",VLOOKUP(LEFT(Proc[[#This Row],[Requested]],1),Table3[#All],2,0),VLOOKUP(Proc[[#This Row],[Author]],Table4[],2,0))</f>
        <v>MGF</v>
      </c>
      <c r="L2634" s="125" t="s">
        <v>4894</v>
      </c>
      <c r="M2634" s="109">
        <v>45841.453541666669</v>
      </c>
      <c r="N2634" s="109"/>
      <c r="O2634" s="109"/>
      <c r="P2634" s="110" t="str">
        <f ca="1">IF(Proc[[#This Row],[DaysAgeing]]&gt;5,"yep","on track")</f>
        <v>yep</v>
      </c>
      <c r="Q2634" s="3">
        <f ca="1">IF(Proc[[#This Row],[DateClosed]]="",ABS(NETWORKDAYS(Proc[[#This Row],[DateOpened]],TODAY()))-1,ABS(NETWORKDAYS(Proc[[#This Row],[DateOpened]],Proc[[#This Row],[DateClosed]]))-1)</f>
        <v>121</v>
      </c>
      <c r="R2634" s="110" t="s">
        <v>485</v>
      </c>
      <c r="S2634" s="94"/>
    </row>
    <row r="2635" spans="1:19" hidden="1">
      <c r="A2635" s="103" t="s">
        <v>4422</v>
      </c>
      <c r="B2635" s="149" t="str">
        <f>IFERROR(VLOOKUP(Proc[[#This Row],[App]],Table2[],3,0),"open")</f>
        <v>ok</v>
      </c>
      <c r="C2635" s="117" t="s">
        <v>369</v>
      </c>
      <c r="D2635" t="s">
        <v>4556</v>
      </c>
      <c r="E2635" t="s">
        <v>4744</v>
      </c>
      <c r="F2635" s="94" t="s">
        <v>4744</v>
      </c>
      <c r="G2635" s="103" t="s">
        <v>406</v>
      </c>
      <c r="H2635" s="94" t="str">
        <f>IF(Proc[[#This Row],[type]]="LFF (MDG-F)",MID(Proc[[#This Row],[Obj]],13,10),"")</f>
        <v>DE10538194</v>
      </c>
      <c r="I2635" s="103" t="s">
        <v>4785</v>
      </c>
      <c r="J2635" s="94" t="b">
        <f>Proc[[#This Row],[Requested]]=Proc[[#This Row],[CurrentParent]]</f>
        <v>1</v>
      </c>
      <c r="K2635" s="144" t="str">
        <f>IF(Proc[[#This Row],[Author]]="Marcela Urrego",VLOOKUP(LEFT(Proc[[#This Row],[Requested]],1),Table3[#All],2,0),VLOOKUP(Proc[[#This Row],[Author]],Table4[],2,0))</f>
        <v>MGF</v>
      </c>
      <c r="L2635" s="125" t="s">
        <v>4894</v>
      </c>
      <c r="M2635" s="109">
        <v>45841.453541666669</v>
      </c>
      <c r="N2635" s="109"/>
      <c r="O2635" s="109"/>
      <c r="P2635" s="110" t="str">
        <f ca="1">IF(Proc[[#This Row],[DaysAgeing]]&gt;5,"yep","on track")</f>
        <v>yep</v>
      </c>
      <c r="Q2635" s="3">
        <f ca="1">IF(Proc[[#This Row],[DateClosed]]="",ABS(NETWORKDAYS(Proc[[#This Row],[DateOpened]],TODAY()))-1,ABS(NETWORKDAYS(Proc[[#This Row],[DateOpened]],Proc[[#This Row],[DateClosed]]))-1)</f>
        <v>121</v>
      </c>
      <c r="R2635" s="110" t="s">
        <v>485</v>
      </c>
      <c r="S2635" s="94"/>
    </row>
    <row r="2636" spans="1:19" hidden="1">
      <c r="A2636" s="103" t="s">
        <v>4422</v>
      </c>
      <c r="B2636" s="149" t="str">
        <f>IFERROR(VLOOKUP(Proc[[#This Row],[App]],Table2[],3,0),"open")</f>
        <v>ok</v>
      </c>
      <c r="C2636" s="117" t="s">
        <v>369</v>
      </c>
      <c r="D2636" t="s">
        <v>4557</v>
      </c>
      <c r="E2636" t="s">
        <v>4744</v>
      </c>
      <c r="F2636" s="94" t="s">
        <v>4744</v>
      </c>
      <c r="G2636" s="103" t="s">
        <v>406</v>
      </c>
      <c r="H2636" s="94" t="str">
        <f>IF(Proc[[#This Row],[type]]="LFF (MDG-F)",MID(Proc[[#This Row],[Obj]],13,10),"")</f>
        <v>DE10538195</v>
      </c>
      <c r="I2636" s="103" t="s">
        <v>4785</v>
      </c>
      <c r="J2636" s="94" t="b">
        <f>Proc[[#This Row],[Requested]]=Proc[[#This Row],[CurrentParent]]</f>
        <v>1</v>
      </c>
      <c r="K2636" s="144" t="str">
        <f>IF(Proc[[#This Row],[Author]]="Marcela Urrego",VLOOKUP(LEFT(Proc[[#This Row],[Requested]],1),Table3[#All],2,0),VLOOKUP(Proc[[#This Row],[Author]],Table4[],2,0))</f>
        <v>MGF</v>
      </c>
      <c r="L2636" s="125" t="s">
        <v>4894</v>
      </c>
      <c r="M2636" s="109">
        <v>45841.453541666669</v>
      </c>
      <c r="N2636" s="109"/>
      <c r="O2636" s="109"/>
      <c r="P2636" s="110" t="str">
        <f ca="1">IF(Proc[[#This Row],[DaysAgeing]]&gt;5,"yep","on track")</f>
        <v>yep</v>
      </c>
      <c r="Q2636" s="3">
        <f ca="1">IF(Proc[[#This Row],[DateClosed]]="",ABS(NETWORKDAYS(Proc[[#This Row],[DateOpened]],TODAY()))-1,ABS(NETWORKDAYS(Proc[[#This Row],[DateOpened]],Proc[[#This Row],[DateClosed]]))-1)</f>
        <v>121</v>
      </c>
      <c r="R2636" s="110" t="s">
        <v>485</v>
      </c>
      <c r="S2636" s="94"/>
    </row>
    <row r="2637" spans="1:19" hidden="1">
      <c r="A2637" s="103" t="s">
        <v>4422</v>
      </c>
      <c r="B2637" s="149" t="str">
        <f>IFERROR(VLOOKUP(Proc[[#This Row],[App]],Table2[],3,0),"open")</f>
        <v>ok</v>
      </c>
      <c r="C2637" s="117" t="s">
        <v>369</v>
      </c>
      <c r="D2637" t="s">
        <v>4558</v>
      </c>
      <c r="E2637" t="s">
        <v>4741</v>
      </c>
      <c r="F2637" s="94" t="s">
        <v>4741</v>
      </c>
      <c r="G2637" s="103" t="s">
        <v>406</v>
      </c>
      <c r="H2637" s="94" t="str">
        <f>IF(Proc[[#This Row],[type]]="LFF (MDG-F)",MID(Proc[[#This Row],[Obj]],13,10),"")</f>
        <v>DE10538197</v>
      </c>
      <c r="I2637" s="103" t="s">
        <v>4785</v>
      </c>
      <c r="J2637" s="94" t="b">
        <f>Proc[[#This Row],[Requested]]=Proc[[#This Row],[CurrentParent]]</f>
        <v>1</v>
      </c>
      <c r="K2637" s="144" t="str">
        <f>IF(Proc[[#This Row],[Author]]="Marcela Urrego",VLOOKUP(LEFT(Proc[[#This Row],[Requested]],1),Table3[#All],2,0),VLOOKUP(Proc[[#This Row],[Author]],Table4[],2,0))</f>
        <v>MGF</v>
      </c>
      <c r="L2637" s="125" t="s">
        <v>4894</v>
      </c>
      <c r="M2637" s="109">
        <v>45841.453541666669</v>
      </c>
      <c r="N2637" s="109"/>
      <c r="O2637" s="109"/>
      <c r="P2637" s="110" t="str">
        <f ca="1">IF(Proc[[#This Row],[DaysAgeing]]&gt;5,"yep","on track")</f>
        <v>yep</v>
      </c>
      <c r="Q2637" s="3">
        <f ca="1">IF(Proc[[#This Row],[DateClosed]]="",ABS(NETWORKDAYS(Proc[[#This Row],[DateOpened]],TODAY()))-1,ABS(NETWORKDAYS(Proc[[#This Row],[DateOpened]],Proc[[#This Row],[DateClosed]]))-1)</f>
        <v>121</v>
      </c>
      <c r="R2637" s="110" t="s">
        <v>485</v>
      </c>
      <c r="S2637" s="94"/>
    </row>
    <row r="2638" spans="1:19" hidden="1">
      <c r="A2638" s="103" t="s">
        <v>4422</v>
      </c>
      <c r="B2638" s="149" t="str">
        <f>IFERROR(VLOOKUP(Proc[[#This Row],[App]],Table2[],3,0),"open")</f>
        <v>ok</v>
      </c>
      <c r="C2638" s="117" t="s">
        <v>369</v>
      </c>
      <c r="D2638" t="s">
        <v>4559</v>
      </c>
      <c r="E2638" t="s">
        <v>4741</v>
      </c>
      <c r="F2638" s="94" t="s">
        <v>4741</v>
      </c>
      <c r="G2638" s="103" t="s">
        <v>406</v>
      </c>
      <c r="H2638" s="94" t="str">
        <f>IF(Proc[[#This Row],[type]]="LFF (MDG-F)",MID(Proc[[#This Row],[Obj]],13,10),"")</f>
        <v>DE10538712</v>
      </c>
      <c r="I2638" s="103" t="s">
        <v>4785</v>
      </c>
      <c r="J2638" s="94" t="b">
        <f>Proc[[#This Row],[Requested]]=Proc[[#This Row],[CurrentParent]]</f>
        <v>1</v>
      </c>
      <c r="K2638" s="144" t="str">
        <f>IF(Proc[[#This Row],[Author]]="Marcela Urrego",VLOOKUP(LEFT(Proc[[#This Row],[Requested]],1),Table3[#All],2,0),VLOOKUP(Proc[[#This Row],[Author]],Table4[],2,0))</f>
        <v>MGF</v>
      </c>
      <c r="L2638" s="125" t="s">
        <v>4894</v>
      </c>
      <c r="M2638" s="109">
        <v>45841.453541666669</v>
      </c>
      <c r="N2638" s="109"/>
      <c r="O2638" s="109"/>
      <c r="P2638" s="110" t="str">
        <f ca="1">IF(Proc[[#This Row],[DaysAgeing]]&gt;5,"yep","on track")</f>
        <v>yep</v>
      </c>
      <c r="Q2638" s="3">
        <f ca="1">IF(Proc[[#This Row],[DateClosed]]="",ABS(NETWORKDAYS(Proc[[#This Row],[DateOpened]],TODAY()))-1,ABS(NETWORKDAYS(Proc[[#This Row],[DateOpened]],Proc[[#This Row],[DateClosed]]))-1)</f>
        <v>121</v>
      </c>
      <c r="R2638" s="110" t="s">
        <v>485</v>
      </c>
      <c r="S2638" s="94"/>
    </row>
    <row r="2639" spans="1:19" hidden="1">
      <c r="A2639" s="103" t="s">
        <v>4422</v>
      </c>
      <c r="B2639" s="149" t="str">
        <f>IFERROR(VLOOKUP(Proc[[#This Row],[App]],Table2[],3,0),"open")</f>
        <v>ok</v>
      </c>
      <c r="C2639" s="117" t="s">
        <v>369</v>
      </c>
      <c r="D2639" t="s">
        <v>4560</v>
      </c>
      <c r="E2639" t="s">
        <v>4743</v>
      </c>
      <c r="F2639" s="94" t="s">
        <v>4743</v>
      </c>
      <c r="G2639" s="103" t="s">
        <v>406</v>
      </c>
      <c r="H2639" s="94" t="str">
        <f>IF(Proc[[#This Row],[type]]="LFF (MDG-F)",MID(Proc[[#This Row],[Obj]],13,10),"")</f>
        <v>DE10538713</v>
      </c>
      <c r="I2639" s="103" t="s">
        <v>4785</v>
      </c>
      <c r="J2639" s="94" t="b">
        <f>Proc[[#This Row],[Requested]]=Proc[[#This Row],[CurrentParent]]</f>
        <v>1</v>
      </c>
      <c r="K2639" s="144" t="str">
        <f>IF(Proc[[#This Row],[Author]]="Marcela Urrego",VLOOKUP(LEFT(Proc[[#This Row],[Requested]],1),Table3[#All],2,0),VLOOKUP(Proc[[#This Row],[Author]],Table4[],2,0))</f>
        <v>MGF</v>
      </c>
      <c r="L2639" s="125" t="s">
        <v>4894</v>
      </c>
      <c r="M2639" s="109">
        <v>45841.453541666669</v>
      </c>
      <c r="N2639" s="109"/>
      <c r="O2639" s="109"/>
      <c r="P2639" s="110" t="str">
        <f ca="1">IF(Proc[[#This Row],[DaysAgeing]]&gt;5,"yep","on track")</f>
        <v>yep</v>
      </c>
      <c r="Q2639" s="3">
        <f ca="1">IF(Proc[[#This Row],[DateClosed]]="",ABS(NETWORKDAYS(Proc[[#This Row],[DateOpened]],TODAY()))-1,ABS(NETWORKDAYS(Proc[[#This Row],[DateOpened]],Proc[[#This Row],[DateClosed]]))-1)</f>
        <v>121</v>
      </c>
      <c r="R2639" s="110" t="s">
        <v>485</v>
      </c>
      <c r="S2639" s="94"/>
    </row>
    <row r="2640" spans="1:19" hidden="1">
      <c r="A2640" s="103" t="s">
        <v>4422</v>
      </c>
      <c r="B2640" s="149" t="str">
        <f>IFERROR(VLOOKUP(Proc[[#This Row],[App]],Table2[],3,0),"open")</f>
        <v>ok</v>
      </c>
      <c r="C2640" s="117" t="s">
        <v>369</v>
      </c>
      <c r="D2640" t="s">
        <v>4561</v>
      </c>
      <c r="E2640" t="s">
        <v>4743</v>
      </c>
      <c r="F2640" s="94" t="s">
        <v>4743</v>
      </c>
      <c r="G2640" s="103" t="s">
        <v>406</v>
      </c>
      <c r="H2640" s="94" t="str">
        <f>IF(Proc[[#This Row],[type]]="LFF (MDG-F)",MID(Proc[[#This Row],[Obj]],13,10),"")</f>
        <v>DE10538714</v>
      </c>
      <c r="I2640" s="103" t="s">
        <v>4785</v>
      </c>
      <c r="J2640" s="94" t="b">
        <f>Proc[[#This Row],[Requested]]=Proc[[#This Row],[CurrentParent]]</f>
        <v>1</v>
      </c>
      <c r="K2640" s="144" t="str">
        <f>IF(Proc[[#This Row],[Author]]="Marcela Urrego",VLOOKUP(LEFT(Proc[[#This Row],[Requested]],1),Table3[#All],2,0),VLOOKUP(Proc[[#This Row],[Author]],Table4[],2,0))</f>
        <v>MGF</v>
      </c>
      <c r="L2640" s="125" t="s">
        <v>4894</v>
      </c>
      <c r="M2640" s="109">
        <v>45841.453541666669</v>
      </c>
      <c r="N2640" s="109"/>
      <c r="O2640" s="109"/>
      <c r="P2640" s="110" t="str">
        <f ca="1">IF(Proc[[#This Row],[DaysAgeing]]&gt;5,"yep","on track")</f>
        <v>yep</v>
      </c>
      <c r="Q2640" s="3">
        <f ca="1">IF(Proc[[#This Row],[DateClosed]]="",ABS(NETWORKDAYS(Proc[[#This Row],[DateOpened]],TODAY()))-1,ABS(NETWORKDAYS(Proc[[#This Row],[DateOpened]],Proc[[#This Row],[DateClosed]]))-1)</f>
        <v>121</v>
      </c>
      <c r="R2640" s="110" t="s">
        <v>485</v>
      </c>
      <c r="S2640" s="94"/>
    </row>
    <row r="2641" spans="1:19" hidden="1">
      <c r="A2641" s="103" t="s">
        <v>4422</v>
      </c>
      <c r="B2641" s="149" t="str">
        <f>IFERROR(VLOOKUP(Proc[[#This Row],[App]],Table2[],3,0),"open")</f>
        <v>ok</v>
      </c>
      <c r="C2641" s="117" t="s">
        <v>369</v>
      </c>
      <c r="D2641" t="s">
        <v>4562</v>
      </c>
      <c r="E2641" t="s">
        <v>4743</v>
      </c>
      <c r="F2641" s="94" t="s">
        <v>4743</v>
      </c>
      <c r="G2641" s="103" t="s">
        <v>406</v>
      </c>
      <c r="H2641" s="94" t="str">
        <f>IF(Proc[[#This Row],[type]]="LFF (MDG-F)",MID(Proc[[#This Row],[Obj]],13,10),"")</f>
        <v>DE10538715</v>
      </c>
      <c r="I2641" s="103" t="s">
        <v>4785</v>
      </c>
      <c r="J2641" s="94" t="b">
        <f>Proc[[#This Row],[Requested]]=Proc[[#This Row],[CurrentParent]]</f>
        <v>1</v>
      </c>
      <c r="K2641" s="144" t="str">
        <f>IF(Proc[[#This Row],[Author]]="Marcela Urrego",VLOOKUP(LEFT(Proc[[#This Row],[Requested]],1),Table3[#All],2,0),VLOOKUP(Proc[[#This Row],[Author]],Table4[],2,0))</f>
        <v>MGF</v>
      </c>
      <c r="L2641" s="125" t="s">
        <v>4894</v>
      </c>
      <c r="M2641" s="109">
        <v>45841.453541666669</v>
      </c>
      <c r="N2641" s="109"/>
      <c r="O2641" s="109"/>
      <c r="P2641" s="110" t="str">
        <f ca="1">IF(Proc[[#This Row],[DaysAgeing]]&gt;5,"yep","on track")</f>
        <v>yep</v>
      </c>
      <c r="Q2641" s="3">
        <f ca="1">IF(Proc[[#This Row],[DateClosed]]="",ABS(NETWORKDAYS(Proc[[#This Row],[DateOpened]],TODAY()))-1,ABS(NETWORKDAYS(Proc[[#This Row],[DateOpened]],Proc[[#This Row],[DateClosed]]))-1)</f>
        <v>121</v>
      </c>
      <c r="R2641" s="110" t="s">
        <v>485</v>
      </c>
      <c r="S2641" s="94"/>
    </row>
    <row r="2642" spans="1:19" hidden="1">
      <c r="A2642" s="103" t="s">
        <v>4422</v>
      </c>
      <c r="B2642" s="149" t="str">
        <f>IFERROR(VLOOKUP(Proc[[#This Row],[App]],Table2[],3,0),"open")</f>
        <v>ok</v>
      </c>
      <c r="C2642" s="117" t="s">
        <v>369</v>
      </c>
      <c r="D2642" t="s">
        <v>4563</v>
      </c>
      <c r="E2642" t="s">
        <v>4743</v>
      </c>
      <c r="F2642" s="94" t="s">
        <v>4743</v>
      </c>
      <c r="G2642" s="103" t="s">
        <v>406</v>
      </c>
      <c r="H2642" s="94" t="str">
        <f>IF(Proc[[#This Row],[type]]="LFF (MDG-F)",MID(Proc[[#This Row],[Obj]],13,10),"")</f>
        <v>DE10538716</v>
      </c>
      <c r="I2642" s="103" t="s">
        <v>4785</v>
      </c>
      <c r="J2642" s="94" t="b">
        <f>Proc[[#This Row],[Requested]]=Proc[[#This Row],[CurrentParent]]</f>
        <v>1</v>
      </c>
      <c r="K2642" s="144" t="str">
        <f>IF(Proc[[#This Row],[Author]]="Marcela Urrego",VLOOKUP(LEFT(Proc[[#This Row],[Requested]],1),Table3[#All],2,0),VLOOKUP(Proc[[#This Row],[Author]],Table4[],2,0))</f>
        <v>MGF</v>
      </c>
      <c r="L2642" s="125" t="s">
        <v>4894</v>
      </c>
      <c r="M2642" s="109">
        <v>45841.453541666669</v>
      </c>
      <c r="N2642" s="109"/>
      <c r="O2642" s="109"/>
      <c r="P2642" s="110" t="str">
        <f ca="1">IF(Proc[[#This Row],[DaysAgeing]]&gt;5,"yep","on track")</f>
        <v>yep</v>
      </c>
      <c r="Q2642" s="3">
        <f ca="1">IF(Proc[[#This Row],[DateClosed]]="",ABS(NETWORKDAYS(Proc[[#This Row],[DateOpened]],TODAY()))-1,ABS(NETWORKDAYS(Proc[[#This Row],[DateOpened]],Proc[[#This Row],[DateClosed]]))-1)</f>
        <v>121</v>
      </c>
      <c r="R2642" s="110" t="s">
        <v>485</v>
      </c>
      <c r="S2642" s="94"/>
    </row>
    <row r="2643" spans="1:19" hidden="1">
      <c r="A2643" s="103" t="s">
        <v>4422</v>
      </c>
      <c r="B2643" s="149" t="str">
        <f>IFERROR(VLOOKUP(Proc[[#This Row],[App]],Table2[],3,0),"open")</f>
        <v>ok</v>
      </c>
      <c r="C2643" s="117" t="s">
        <v>369</v>
      </c>
      <c r="D2643" t="s">
        <v>4564</v>
      </c>
      <c r="E2643" t="s">
        <v>4741</v>
      </c>
      <c r="F2643" s="94" t="s">
        <v>4741</v>
      </c>
      <c r="G2643" s="103" t="s">
        <v>406</v>
      </c>
      <c r="H2643" s="94" t="str">
        <f>IF(Proc[[#This Row],[type]]="LFF (MDG-F)",MID(Proc[[#This Row],[Obj]],13,10),"")</f>
        <v>DE10538717</v>
      </c>
      <c r="I2643" s="103" t="s">
        <v>4785</v>
      </c>
      <c r="J2643" s="94" t="b">
        <f>Proc[[#This Row],[Requested]]=Proc[[#This Row],[CurrentParent]]</f>
        <v>1</v>
      </c>
      <c r="K2643" s="144" t="str">
        <f>IF(Proc[[#This Row],[Author]]="Marcela Urrego",VLOOKUP(LEFT(Proc[[#This Row],[Requested]],1),Table3[#All],2,0),VLOOKUP(Proc[[#This Row],[Author]],Table4[],2,0))</f>
        <v>MGF</v>
      </c>
      <c r="L2643" s="125" t="s">
        <v>4894</v>
      </c>
      <c r="M2643" s="109">
        <v>45841.453541666669</v>
      </c>
      <c r="N2643" s="109"/>
      <c r="O2643" s="109"/>
      <c r="P2643" s="110" t="str">
        <f ca="1">IF(Proc[[#This Row],[DaysAgeing]]&gt;5,"yep","on track")</f>
        <v>yep</v>
      </c>
      <c r="Q2643" s="3">
        <f ca="1">IF(Proc[[#This Row],[DateClosed]]="",ABS(NETWORKDAYS(Proc[[#This Row],[DateOpened]],TODAY()))-1,ABS(NETWORKDAYS(Proc[[#This Row],[DateOpened]],Proc[[#This Row],[DateClosed]]))-1)</f>
        <v>121</v>
      </c>
      <c r="R2643" s="110" t="s">
        <v>485</v>
      </c>
      <c r="S2643" s="94"/>
    </row>
    <row r="2644" spans="1:19" hidden="1">
      <c r="A2644" s="103" t="s">
        <v>4422</v>
      </c>
      <c r="B2644" s="149" t="str">
        <f>IFERROR(VLOOKUP(Proc[[#This Row],[App]],Table2[],3,0),"open")</f>
        <v>ok</v>
      </c>
      <c r="C2644" s="117" t="s">
        <v>369</v>
      </c>
      <c r="D2644" t="s">
        <v>4565</v>
      </c>
      <c r="E2644" t="s">
        <v>4741</v>
      </c>
      <c r="F2644" s="94" t="s">
        <v>4741</v>
      </c>
      <c r="G2644" s="103" t="s">
        <v>406</v>
      </c>
      <c r="H2644" s="94" t="str">
        <f>IF(Proc[[#This Row],[type]]="LFF (MDG-F)",MID(Proc[[#This Row],[Obj]],13,10),"")</f>
        <v>DE10538887</v>
      </c>
      <c r="I2644" s="103" t="s">
        <v>4785</v>
      </c>
      <c r="J2644" s="94" t="b">
        <f>Proc[[#This Row],[Requested]]=Proc[[#This Row],[CurrentParent]]</f>
        <v>1</v>
      </c>
      <c r="K2644" s="144" t="str">
        <f>IF(Proc[[#This Row],[Author]]="Marcela Urrego",VLOOKUP(LEFT(Proc[[#This Row],[Requested]],1),Table3[#All],2,0),VLOOKUP(Proc[[#This Row],[Author]],Table4[],2,0))</f>
        <v>MGF</v>
      </c>
      <c r="L2644" s="125" t="s">
        <v>4894</v>
      </c>
      <c r="M2644" s="109">
        <v>45841.453541666669</v>
      </c>
      <c r="N2644" s="109"/>
      <c r="O2644" s="109"/>
      <c r="P2644" s="110" t="str">
        <f ca="1">IF(Proc[[#This Row],[DaysAgeing]]&gt;5,"yep","on track")</f>
        <v>yep</v>
      </c>
      <c r="Q2644" s="3">
        <f ca="1">IF(Proc[[#This Row],[DateClosed]]="",ABS(NETWORKDAYS(Proc[[#This Row],[DateOpened]],TODAY()))-1,ABS(NETWORKDAYS(Proc[[#This Row],[DateOpened]],Proc[[#This Row],[DateClosed]]))-1)</f>
        <v>121</v>
      </c>
      <c r="R2644" s="110" t="s">
        <v>485</v>
      </c>
      <c r="S2644" s="94"/>
    </row>
    <row r="2645" spans="1:19" hidden="1">
      <c r="A2645" s="103" t="s">
        <v>4422</v>
      </c>
      <c r="B2645" s="149" t="str">
        <f>IFERROR(VLOOKUP(Proc[[#This Row],[App]],Table2[],3,0),"open")</f>
        <v>ok</v>
      </c>
      <c r="C2645" s="117" t="s">
        <v>369</v>
      </c>
      <c r="D2645" t="s">
        <v>4566</v>
      </c>
      <c r="E2645" t="s">
        <v>4741</v>
      </c>
      <c r="F2645" s="94" t="s">
        <v>4741</v>
      </c>
      <c r="G2645" s="103" t="s">
        <v>406</v>
      </c>
      <c r="H2645" s="94" t="str">
        <f>IF(Proc[[#This Row],[type]]="LFF (MDG-F)",MID(Proc[[#This Row],[Obj]],13,10),"")</f>
        <v>DE10538920</v>
      </c>
      <c r="I2645" s="103" t="s">
        <v>4785</v>
      </c>
      <c r="J2645" s="94" t="b">
        <f>Proc[[#This Row],[Requested]]=Proc[[#This Row],[CurrentParent]]</f>
        <v>1</v>
      </c>
      <c r="K2645" s="144" t="str">
        <f>IF(Proc[[#This Row],[Author]]="Marcela Urrego",VLOOKUP(LEFT(Proc[[#This Row],[Requested]],1),Table3[#All],2,0),VLOOKUP(Proc[[#This Row],[Author]],Table4[],2,0))</f>
        <v>MGF</v>
      </c>
      <c r="L2645" s="125" t="s">
        <v>4894</v>
      </c>
      <c r="M2645" s="109">
        <v>45841.453541666669</v>
      </c>
      <c r="N2645" s="109"/>
      <c r="O2645" s="109"/>
      <c r="P2645" s="110" t="str">
        <f ca="1">IF(Proc[[#This Row],[DaysAgeing]]&gt;5,"yep","on track")</f>
        <v>yep</v>
      </c>
      <c r="Q2645" s="3">
        <f ca="1">IF(Proc[[#This Row],[DateClosed]]="",ABS(NETWORKDAYS(Proc[[#This Row],[DateOpened]],TODAY()))-1,ABS(NETWORKDAYS(Proc[[#This Row],[DateOpened]],Proc[[#This Row],[DateClosed]]))-1)</f>
        <v>121</v>
      </c>
      <c r="R2645" s="110" t="s">
        <v>485</v>
      </c>
      <c r="S2645" s="94"/>
    </row>
    <row r="2646" spans="1:19" hidden="1">
      <c r="A2646" s="103" t="s">
        <v>4422</v>
      </c>
      <c r="B2646" s="149" t="str">
        <f>IFERROR(VLOOKUP(Proc[[#This Row],[App]],Table2[],3,0),"open")</f>
        <v>ok</v>
      </c>
      <c r="C2646" s="117" t="s">
        <v>369</v>
      </c>
      <c r="D2646" t="s">
        <v>4567</v>
      </c>
      <c r="E2646" t="s">
        <v>4741</v>
      </c>
      <c r="F2646" s="94" t="s">
        <v>4741</v>
      </c>
      <c r="G2646" s="103" t="s">
        <v>406</v>
      </c>
      <c r="H2646" s="94" t="str">
        <f>IF(Proc[[#This Row],[type]]="LFF (MDG-F)",MID(Proc[[#This Row],[Obj]],13,10),"")</f>
        <v>DE10538921</v>
      </c>
      <c r="I2646" s="103" t="s">
        <v>4785</v>
      </c>
      <c r="J2646" s="94" t="b">
        <f>Proc[[#This Row],[Requested]]=Proc[[#This Row],[CurrentParent]]</f>
        <v>1</v>
      </c>
      <c r="K2646" s="144" t="str">
        <f>IF(Proc[[#This Row],[Author]]="Marcela Urrego",VLOOKUP(LEFT(Proc[[#This Row],[Requested]],1),Table3[#All],2,0),VLOOKUP(Proc[[#This Row],[Author]],Table4[],2,0))</f>
        <v>MGF</v>
      </c>
      <c r="L2646" s="125" t="s">
        <v>4894</v>
      </c>
      <c r="M2646" s="109">
        <v>45841.453541666669</v>
      </c>
      <c r="N2646" s="109"/>
      <c r="O2646" s="109"/>
      <c r="P2646" s="110" t="str">
        <f ca="1">IF(Proc[[#This Row],[DaysAgeing]]&gt;5,"yep","on track")</f>
        <v>yep</v>
      </c>
      <c r="Q2646" s="3">
        <f ca="1">IF(Proc[[#This Row],[DateClosed]]="",ABS(NETWORKDAYS(Proc[[#This Row],[DateOpened]],TODAY()))-1,ABS(NETWORKDAYS(Proc[[#This Row],[DateOpened]],Proc[[#This Row],[DateClosed]]))-1)</f>
        <v>121</v>
      </c>
      <c r="R2646" s="110" t="s">
        <v>485</v>
      </c>
      <c r="S2646" s="94"/>
    </row>
    <row r="2647" spans="1:19" hidden="1">
      <c r="A2647" s="103" t="s">
        <v>4422</v>
      </c>
      <c r="B2647" s="149" t="str">
        <f>IFERROR(VLOOKUP(Proc[[#This Row],[App]],Table2[],3,0),"open")</f>
        <v>ok</v>
      </c>
      <c r="C2647" s="117" t="s">
        <v>369</v>
      </c>
      <c r="D2647" t="s">
        <v>4568</v>
      </c>
      <c r="E2647" t="s">
        <v>4743</v>
      </c>
      <c r="F2647" s="94" t="s">
        <v>4743</v>
      </c>
      <c r="G2647" s="103" t="s">
        <v>406</v>
      </c>
      <c r="H2647" s="94" t="str">
        <f>IF(Proc[[#This Row],[type]]="LFF (MDG-F)",MID(Proc[[#This Row],[Obj]],13,10),"")</f>
        <v>DE10538978</v>
      </c>
      <c r="I2647" s="103" t="s">
        <v>4785</v>
      </c>
      <c r="J2647" s="94" t="b">
        <f>Proc[[#This Row],[Requested]]=Proc[[#This Row],[CurrentParent]]</f>
        <v>1</v>
      </c>
      <c r="K2647" s="144" t="str">
        <f>IF(Proc[[#This Row],[Author]]="Marcela Urrego",VLOOKUP(LEFT(Proc[[#This Row],[Requested]],1),Table3[#All],2,0),VLOOKUP(Proc[[#This Row],[Author]],Table4[],2,0))</f>
        <v>MGF</v>
      </c>
      <c r="L2647" s="125" t="s">
        <v>4894</v>
      </c>
      <c r="M2647" s="109">
        <v>45841.453541666669</v>
      </c>
      <c r="N2647" s="109"/>
      <c r="O2647" s="109"/>
      <c r="P2647" s="110" t="str">
        <f ca="1">IF(Proc[[#This Row],[DaysAgeing]]&gt;5,"yep","on track")</f>
        <v>yep</v>
      </c>
      <c r="Q2647" s="3">
        <f ca="1">IF(Proc[[#This Row],[DateClosed]]="",ABS(NETWORKDAYS(Proc[[#This Row],[DateOpened]],TODAY()))-1,ABS(NETWORKDAYS(Proc[[#This Row],[DateOpened]],Proc[[#This Row],[DateClosed]]))-1)</f>
        <v>121</v>
      </c>
      <c r="R2647" s="110" t="s">
        <v>485</v>
      </c>
      <c r="S2647" s="94"/>
    </row>
    <row r="2648" spans="1:19" hidden="1">
      <c r="A2648" s="103" t="s">
        <v>4422</v>
      </c>
      <c r="B2648" s="149" t="str">
        <f>IFERROR(VLOOKUP(Proc[[#This Row],[App]],Table2[],3,0),"open")</f>
        <v>ok</v>
      </c>
      <c r="C2648" s="117" t="s">
        <v>369</v>
      </c>
      <c r="D2648" t="s">
        <v>4569</v>
      </c>
      <c r="E2648" t="s">
        <v>4744</v>
      </c>
      <c r="F2648" s="94" t="s">
        <v>4744</v>
      </c>
      <c r="G2648" s="103" t="s">
        <v>406</v>
      </c>
      <c r="H2648" s="94" t="str">
        <f>IF(Proc[[#This Row],[type]]="LFF (MDG-F)",MID(Proc[[#This Row],[Obj]],13,10),"")</f>
        <v>DE10539001</v>
      </c>
      <c r="I2648" s="103" t="s">
        <v>4785</v>
      </c>
      <c r="J2648" s="94" t="b">
        <f>Proc[[#This Row],[Requested]]=Proc[[#This Row],[CurrentParent]]</f>
        <v>1</v>
      </c>
      <c r="K2648" s="144" t="str">
        <f>IF(Proc[[#This Row],[Author]]="Marcela Urrego",VLOOKUP(LEFT(Proc[[#This Row],[Requested]],1),Table3[#All],2,0),VLOOKUP(Proc[[#This Row],[Author]],Table4[],2,0))</f>
        <v>MGF</v>
      </c>
      <c r="L2648" s="125" t="s">
        <v>4894</v>
      </c>
      <c r="M2648" s="109">
        <v>45841.453541666669</v>
      </c>
      <c r="N2648" s="109"/>
      <c r="O2648" s="109"/>
      <c r="P2648" s="110" t="str">
        <f ca="1">IF(Proc[[#This Row],[DaysAgeing]]&gt;5,"yep","on track")</f>
        <v>yep</v>
      </c>
      <c r="Q2648" s="3">
        <f ca="1">IF(Proc[[#This Row],[DateClosed]]="",ABS(NETWORKDAYS(Proc[[#This Row],[DateOpened]],TODAY()))-1,ABS(NETWORKDAYS(Proc[[#This Row],[DateOpened]],Proc[[#This Row],[DateClosed]]))-1)</f>
        <v>121</v>
      </c>
      <c r="R2648" s="110" t="s">
        <v>485</v>
      </c>
      <c r="S2648" s="94"/>
    </row>
    <row r="2649" spans="1:19" hidden="1">
      <c r="A2649" s="103" t="s">
        <v>4422</v>
      </c>
      <c r="B2649" s="149" t="str">
        <f>IFERROR(VLOOKUP(Proc[[#This Row],[App]],Table2[],3,0),"open")</f>
        <v>ok</v>
      </c>
      <c r="C2649" s="117" t="s">
        <v>369</v>
      </c>
      <c r="D2649" t="s">
        <v>4570</v>
      </c>
      <c r="E2649" t="s">
        <v>4744</v>
      </c>
      <c r="F2649" s="94" t="s">
        <v>4744</v>
      </c>
      <c r="G2649" s="103" t="s">
        <v>406</v>
      </c>
      <c r="H2649" s="94" t="str">
        <f>IF(Proc[[#This Row],[type]]="LFF (MDG-F)",MID(Proc[[#This Row],[Obj]],13,10),"")</f>
        <v>DE10539002</v>
      </c>
      <c r="I2649" s="103" t="s">
        <v>4785</v>
      </c>
      <c r="J2649" s="94" t="b">
        <f>Proc[[#This Row],[Requested]]=Proc[[#This Row],[CurrentParent]]</f>
        <v>1</v>
      </c>
      <c r="K2649" s="144" t="str">
        <f>IF(Proc[[#This Row],[Author]]="Marcela Urrego",VLOOKUP(LEFT(Proc[[#This Row],[Requested]],1),Table3[#All],2,0),VLOOKUP(Proc[[#This Row],[Author]],Table4[],2,0))</f>
        <v>MGF</v>
      </c>
      <c r="L2649" s="125" t="s">
        <v>4894</v>
      </c>
      <c r="M2649" s="109">
        <v>45841.453541666669</v>
      </c>
      <c r="N2649" s="109"/>
      <c r="O2649" s="109"/>
      <c r="P2649" s="110" t="str">
        <f ca="1">IF(Proc[[#This Row],[DaysAgeing]]&gt;5,"yep","on track")</f>
        <v>yep</v>
      </c>
      <c r="Q2649" s="3">
        <f ca="1">IF(Proc[[#This Row],[DateClosed]]="",ABS(NETWORKDAYS(Proc[[#This Row],[DateOpened]],TODAY()))-1,ABS(NETWORKDAYS(Proc[[#This Row],[DateOpened]],Proc[[#This Row],[DateClosed]]))-1)</f>
        <v>121</v>
      </c>
      <c r="R2649" s="110" t="s">
        <v>485</v>
      </c>
      <c r="S2649" s="94"/>
    </row>
    <row r="2650" spans="1:19" hidden="1">
      <c r="A2650" s="103" t="s">
        <v>4422</v>
      </c>
      <c r="B2650" s="149" t="str">
        <f>IFERROR(VLOOKUP(Proc[[#This Row],[App]],Table2[],3,0),"open")</f>
        <v>ok</v>
      </c>
      <c r="C2650" s="117" t="s">
        <v>369</v>
      </c>
      <c r="D2650" t="s">
        <v>4571</v>
      </c>
      <c r="E2650" t="s">
        <v>4744</v>
      </c>
      <c r="F2650" s="94" t="s">
        <v>4744</v>
      </c>
      <c r="G2650" s="103" t="s">
        <v>406</v>
      </c>
      <c r="H2650" s="94" t="str">
        <f>IF(Proc[[#This Row],[type]]="LFF (MDG-F)",MID(Proc[[#This Row],[Obj]],13,10),"")</f>
        <v>DE10539004</v>
      </c>
      <c r="I2650" s="103" t="s">
        <v>4785</v>
      </c>
      <c r="J2650" s="94" t="b">
        <f>Proc[[#This Row],[Requested]]=Proc[[#This Row],[CurrentParent]]</f>
        <v>1</v>
      </c>
      <c r="K2650" s="144" t="str">
        <f>IF(Proc[[#This Row],[Author]]="Marcela Urrego",VLOOKUP(LEFT(Proc[[#This Row],[Requested]],1),Table3[#All],2,0),VLOOKUP(Proc[[#This Row],[Author]],Table4[],2,0))</f>
        <v>MGF</v>
      </c>
      <c r="L2650" s="125" t="s">
        <v>4894</v>
      </c>
      <c r="M2650" s="109">
        <v>45841.453541666669</v>
      </c>
      <c r="N2650" s="109"/>
      <c r="O2650" s="109"/>
      <c r="P2650" s="110" t="str">
        <f ca="1">IF(Proc[[#This Row],[DaysAgeing]]&gt;5,"yep","on track")</f>
        <v>yep</v>
      </c>
      <c r="Q2650" s="3">
        <f ca="1">IF(Proc[[#This Row],[DateClosed]]="",ABS(NETWORKDAYS(Proc[[#This Row],[DateOpened]],TODAY()))-1,ABS(NETWORKDAYS(Proc[[#This Row],[DateOpened]],Proc[[#This Row],[DateClosed]]))-1)</f>
        <v>121</v>
      </c>
      <c r="R2650" s="110" t="s">
        <v>485</v>
      </c>
      <c r="S2650" s="94"/>
    </row>
    <row r="2651" spans="1:19" hidden="1">
      <c r="A2651" s="103" t="s">
        <v>4422</v>
      </c>
      <c r="B2651" s="149" t="str">
        <f>IFERROR(VLOOKUP(Proc[[#This Row],[App]],Table2[],3,0),"open")</f>
        <v>ok</v>
      </c>
      <c r="C2651" s="117" t="s">
        <v>369</v>
      </c>
      <c r="D2651" t="s">
        <v>4572</v>
      </c>
      <c r="E2651" t="s">
        <v>4744</v>
      </c>
      <c r="F2651" s="94" t="s">
        <v>4744</v>
      </c>
      <c r="G2651" s="103" t="s">
        <v>406</v>
      </c>
      <c r="H2651" s="94" t="str">
        <f>IF(Proc[[#This Row],[type]]="LFF (MDG-F)",MID(Proc[[#This Row],[Obj]],13,10),"")</f>
        <v>DE10567500</v>
      </c>
      <c r="I2651" s="103" t="s">
        <v>4785</v>
      </c>
      <c r="J2651" s="94" t="b">
        <f>Proc[[#This Row],[Requested]]=Proc[[#This Row],[CurrentParent]]</f>
        <v>1</v>
      </c>
      <c r="K2651" s="144" t="str">
        <f>IF(Proc[[#This Row],[Author]]="Marcela Urrego",VLOOKUP(LEFT(Proc[[#This Row],[Requested]],1),Table3[#All],2,0),VLOOKUP(Proc[[#This Row],[Author]],Table4[],2,0))</f>
        <v>MGF</v>
      </c>
      <c r="L2651" s="125" t="s">
        <v>4894</v>
      </c>
      <c r="M2651" s="109">
        <v>45841.453541666669</v>
      </c>
      <c r="N2651" s="109"/>
      <c r="O2651" s="109"/>
      <c r="P2651" s="110" t="str">
        <f ca="1">IF(Proc[[#This Row],[DaysAgeing]]&gt;5,"yep","on track")</f>
        <v>yep</v>
      </c>
      <c r="Q2651" s="3">
        <f ca="1">IF(Proc[[#This Row],[DateClosed]]="",ABS(NETWORKDAYS(Proc[[#This Row],[DateOpened]],TODAY()))-1,ABS(NETWORKDAYS(Proc[[#This Row],[DateOpened]],Proc[[#This Row],[DateClosed]]))-1)</f>
        <v>121</v>
      </c>
      <c r="R2651" s="110" t="s">
        <v>485</v>
      </c>
      <c r="S2651" s="94"/>
    </row>
    <row r="2652" spans="1:19" hidden="1">
      <c r="A2652" s="103" t="s">
        <v>4422</v>
      </c>
      <c r="B2652" s="149" t="str">
        <f>IFERROR(VLOOKUP(Proc[[#This Row],[App]],Table2[],3,0),"open")</f>
        <v>ok</v>
      </c>
      <c r="C2652" s="117" t="s">
        <v>369</v>
      </c>
      <c r="D2652" t="s">
        <v>4573</v>
      </c>
      <c r="E2652" t="s">
        <v>4741</v>
      </c>
      <c r="F2652" s="94" t="s">
        <v>4741</v>
      </c>
      <c r="G2652" s="103" t="s">
        <v>406</v>
      </c>
      <c r="H2652" s="94" t="str">
        <f>IF(Proc[[#This Row],[type]]="LFF (MDG-F)",MID(Proc[[#This Row],[Obj]],13,10),"")</f>
        <v>DE10569401</v>
      </c>
      <c r="I2652" s="103" t="s">
        <v>4785</v>
      </c>
      <c r="J2652" s="94" t="b">
        <f>Proc[[#This Row],[Requested]]=Proc[[#This Row],[CurrentParent]]</f>
        <v>1</v>
      </c>
      <c r="K2652" s="144" t="str">
        <f>IF(Proc[[#This Row],[Author]]="Marcela Urrego",VLOOKUP(LEFT(Proc[[#This Row],[Requested]],1),Table3[#All],2,0),VLOOKUP(Proc[[#This Row],[Author]],Table4[],2,0))</f>
        <v>MGF</v>
      </c>
      <c r="L2652" s="125" t="s">
        <v>4894</v>
      </c>
      <c r="M2652" s="109">
        <v>45841.453541666669</v>
      </c>
      <c r="N2652" s="109"/>
      <c r="O2652" s="109"/>
      <c r="P2652" s="110" t="str">
        <f ca="1">IF(Proc[[#This Row],[DaysAgeing]]&gt;5,"yep","on track")</f>
        <v>yep</v>
      </c>
      <c r="Q2652" s="3">
        <f ca="1">IF(Proc[[#This Row],[DateClosed]]="",ABS(NETWORKDAYS(Proc[[#This Row],[DateOpened]],TODAY()))-1,ABS(NETWORKDAYS(Proc[[#This Row],[DateOpened]],Proc[[#This Row],[DateClosed]]))-1)</f>
        <v>121</v>
      </c>
      <c r="R2652" s="110" t="s">
        <v>485</v>
      </c>
      <c r="S2652" s="94"/>
    </row>
    <row r="2653" spans="1:19" hidden="1">
      <c r="A2653" s="103" t="s">
        <v>4422</v>
      </c>
      <c r="B2653" s="149" t="str">
        <f>IFERROR(VLOOKUP(Proc[[#This Row],[App]],Table2[],3,0),"open")</f>
        <v>ok</v>
      </c>
      <c r="C2653" s="117" t="s">
        <v>369</v>
      </c>
      <c r="D2653" t="s">
        <v>4574</v>
      </c>
      <c r="E2653" t="s">
        <v>4740</v>
      </c>
      <c r="F2653" s="94" t="s">
        <v>4740</v>
      </c>
      <c r="G2653" s="103" t="s">
        <v>406</v>
      </c>
      <c r="H2653" s="94" t="str">
        <f>IF(Proc[[#This Row],[type]]="LFF (MDG-F)",MID(Proc[[#This Row],[Obj]],13,10),"")</f>
        <v>DE10538145</v>
      </c>
      <c r="I2653" s="103" t="s">
        <v>4785</v>
      </c>
      <c r="J2653" s="94" t="b">
        <f>Proc[[#This Row],[Requested]]=Proc[[#This Row],[CurrentParent]]</f>
        <v>1</v>
      </c>
      <c r="K2653" s="144" t="str">
        <f>IF(Proc[[#This Row],[Author]]="Marcela Urrego",VLOOKUP(LEFT(Proc[[#This Row],[Requested]],1),Table3[#All],2,0),VLOOKUP(Proc[[#This Row],[Author]],Table4[],2,0))</f>
        <v>MGF</v>
      </c>
      <c r="L2653" s="125" t="s">
        <v>4894</v>
      </c>
      <c r="M2653" s="109">
        <v>45841.453541666669</v>
      </c>
      <c r="N2653" s="109"/>
      <c r="O2653" s="109"/>
      <c r="P2653" s="110" t="str">
        <f ca="1">IF(Proc[[#This Row],[DaysAgeing]]&gt;5,"yep","on track")</f>
        <v>yep</v>
      </c>
      <c r="Q2653" s="3">
        <f ca="1">IF(Proc[[#This Row],[DateClosed]]="",ABS(NETWORKDAYS(Proc[[#This Row],[DateOpened]],TODAY()))-1,ABS(NETWORKDAYS(Proc[[#This Row],[DateOpened]],Proc[[#This Row],[DateClosed]]))-1)</f>
        <v>121</v>
      </c>
      <c r="R2653" s="110" t="s">
        <v>485</v>
      </c>
      <c r="S2653" s="94"/>
    </row>
    <row r="2654" spans="1:19" hidden="1">
      <c r="A2654" s="103" t="s">
        <v>4422</v>
      </c>
      <c r="B2654" s="149" t="str">
        <f>IFERROR(VLOOKUP(Proc[[#This Row],[App]],Table2[],3,0),"open")</f>
        <v>ok</v>
      </c>
      <c r="C2654" s="117" t="s">
        <v>369</v>
      </c>
      <c r="D2654" t="s">
        <v>4575</v>
      </c>
      <c r="E2654" t="s">
        <v>4740</v>
      </c>
      <c r="F2654" s="94" t="s">
        <v>4740</v>
      </c>
      <c r="G2654" s="103" t="s">
        <v>406</v>
      </c>
      <c r="H2654" s="94" t="str">
        <f>IF(Proc[[#This Row],[type]]="LFF (MDG-F)",MID(Proc[[#This Row],[Obj]],13,10),"")</f>
        <v>DE10538190</v>
      </c>
      <c r="I2654" s="103" t="s">
        <v>4785</v>
      </c>
      <c r="J2654" s="94" t="b">
        <f>Proc[[#This Row],[Requested]]=Proc[[#This Row],[CurrentParent]]</f>
        <v>1</v>
      </c>
      <c r="K2654" s="144" t="str">
        <f>IF(Proc[[#This Row],[Author]]="Marcela Urrego",VLOOKUP(LEFT(Proc[[#This Row],[Requested]],1),Table3[#All],2,0),VLOOKUP(Proc[[#This Row],[Author]],Table4[],2,0))</f>
        <v>MGF</v>
      </c>
      <c r="L2654" s="125" t="s">
        <v>4894</v>
      </c>
      <c r="M2654" s="109">
        <v>45841.453541666669</v>
      </c>
      <c r="N2654" s="109"/>
      <c r="O2654" s="109"/>
      <c r="P2654" s="110" t="str">
        <f ca="1">IF(Proc[[#This Row],[DaysAgeing]]&gt;5,"yep","on track")</f>
        <v>yep</v>
      </c>
      <c r="Q2654" s="3">
        <f ca="1">IF(Proc[[#This Row],[DateClosed]]="",ABS(NETWORKDAYS(Proc[[#This Row],[DateOpened]],TODAY()))-1,ABS(NETWORKDAYS(Proc[[#This Row],[DateOpened]],Proc[[#This Row],[DateClosed]]))-1)</f>
        <v>121</v>
      </c>
      <c r="R2654" s="110" t="s">
        <v>485</v>
      </c>
      <c r="S2654" s="94"/>
    </row>
    <row r="2655" spans="1:19" hidden="1">
      <c r="A2655" s="103" t="s">
        <v>4422</v>
      </c>
      <c r="B2655" s="149" t="str">
        <f>IFERROR(VLOOKUP(Proc[[#This Row],[App]],Table2[],3,0),"open")</f>
        <v>ok</v>
      </c>
      <c r="C2655" s="117" t="s">
        <v>369</v>
      </c>
      <c r="D2655" t="s">
        <v>4576</v>
      </c>
      <c r="E2655" t="s">
        <v>4744</v>
      </c>
      <c r="F2655" s="94" t="s">
        <v>4744</v>
      </c>
      <c r="G2655" s="103" t="s">
        <v>406</v>
      </c>
      <c r="H2655" s="94" t="str">
        <f>IF(Proc[[#This Row],[type]]="LFF (MDG-F)",MID(Proc[[#This Row],[Obj]],13,10),"")</f>
        <v>DE10539003</v>
      </c>
      <c r="I2655" s="103" t="s">
        <v>4785</v>
      </c>
      <c r="J2655" s="94" t="b">
        <f>Proc[[#This Row],[Requested]]=Proc[[#This Row],[CurrentParent]]</f>
        <v>1</v>
      </c>
      <c r="K2655" s="144" t="str">
        <f>IF(Proc[[#This Row],[Author]]="Marcela Urrego",VLOOKUP(LEFT(Proc[[#This Row],[Requested]],1),Table3[#All],2,0),VLOOKUP(Proc[[#This Row],[Author]],Table4[],2,0))</f>
        <v>MGF</v>
      </c>
      <c r="L2655" s="125" t="s">
        <v>4894</v>
      </c>
      <c r="M2655" s="109">
        <v>45841.453541666669</v>
      </c>
      <c r="N2655" s="109"/>
      <c r="O2655" s="109"/>
      <c r="P2655" s="110" t="str">
        <f ca="1">IF(Proc[[#This Row],[DaysAgeing]]&gt;5,"yep","on track")</f>
        <v>yep</v>
      </c>
      <c r="Q2655" s="3">
        <f ca="1">IF(Proc[[#This Row],[DateClosed]]="",ABS(NETWORKDAYS(Proc[[#This Row],[DateOpened]],TODAY()))-1,ABS(NETWORKDAYS(Proc[[#This Row],[DateOpened]],Proc[[#This Row],[DateClosed]]))-1)</f>
        <v>121</v>
      </c>
      <c r="R2655" s="110" t="s">
        <v>485</v>
      </c>
      <c r="S2655" s="94"/>
    </row>
    <row r="2656" spans="1:19" hidden="1">
      <c r="A2656" s="103" t="s">
        <v>4422</v>
      </c>
      <c r="B2656" s="149" t="str">
        <f>IFERROR(VLOOKUP(Proc[[#This Row],[App]],Table2[],3,0),"open")</f>
        <v>ok</v>
      </c>
      <c r="C2656" s="117" t="s">
        <v>369</v>
      </c>
      <c r="D2656" t="s">
        <v>4577</v>
      </c>
      <c r="E2656" t="s">
        <v>4740</v>
      </c>
      <c r="F2656" s="94" t="s">
        <v>4740</v>
      </c>
      <c r="G2656" s="103" t="s">
        <v>406</v>
      </c>
      <c r="H2656" s="94" t="str">
        <f>IF(Proc[[#This Row],[type]]="LFF (MDG-F)",MID(Proc[[#This Row],[Obj]],13,10),"")</f>
        <v>DE10567400</v>
      </c>
      <c r="I2656" s="103" t="s">
        <v>4785</v>
      </c>
      <c r="J2656" s="94" t="b">
        <f>Proc[[#This Row],[Requested]]=Proc[[#This Row],[CurrentParent]]</f>
        <v>1</v>
      </c>
      <c r="K2656" s="144" t="str">
        <f>IF(Proc[[#This Row],[Author]]="Marcela Urrego",VLOOKUP(LEFT(Proc[[#This Row],[Requested]],1),Table3[#All],2,0),VLOOKUP(Proc[[#This Row],[Author]],Table4[],2,0))</f>
        <v>MGF</v>
      </c>
      <c r="L2656" s="125" t="s">
        <v>4894</v>
      </c>
      <c r="M2656" s="109">
        <v>45841.453541666669</v>
      </c>
      <c r="N2656" s="109"/>
      <c r="O2656" s="109"/>
      <c r="P2656" s="110" t="str">
        <f ca="1">IF(Proc[[#This Row],[DaysAgeing]]&gt;5,"yep","on track")</f>
        <v>yep</v>
      </c>
      <c r="Q2656" s="3">
        <f ca="1">IF(Proc[[#This Row],[DateClosed]]="",ABS(NETWORKDAYS(Proc[[#This Row],[DateOpened]],TODAY()))-1,ABS(NETWORKDAYS(Proc[[#This Row],[DateOpened]],Proc[[#This Row],[DateClosed]]))-1)</f>
        <v>121</v>
      </c>
      <c r="R2656" s="110" t="s">
        <v>485</v>
      </c>
      <c r="S2656" s="94"/>
    </row>
    <row r="2657" spans="1:19" hidden="1">
      <c r="A2657" s="103" t="s">
        <v>4422</v>
      </c>
      <c r="B2657" s="149" t="str">
        <f>IFERROR(VLOOKUP(Proc[[#This Row],[App]],Table2[],3,0),"open")</f>
        <v>ok</v>
      </c>
      <c r="C2657" s="117" t="s">
        <v>369</v>
      </c>
      <c r="D2657" t="s">
        <v>4578</v>
      </c>
      <c r="E2657" t="s">
        <v>4745</v>
      </c>
      <c r="F2657" s="94" t="s">
        <v>4745</v>
      </c>
      <c r="G2657" s="103" t="s">
        <v>406</v>
      </c>
      <c r="H2657" s="94" t="str">
        <f>IF(Proc[[#This Row],[type]]="LFF (MDG-F)",MID(Proc[[#This Row],[Obj]],13,10),"")</f>
        <v>DE20510800</v>
      </c>
      <c r="I2657" s="103" t="s">
        <v>4785</v>
      </c>
      <c r="J2657" s="94" t="b">
        <f>Proc[[#This Row],[Requested]]=Proc[[#This Row],[CurrentParent]]</f>
        <v>1</v>
      </c>
      <c r="K2657" s="144" t="str">
        <f>IF(Proc[[#This Row],[Author]]="Marcela Urrego",VLOOKUP(LEFT(Proc[[#This Row],[Requested]],1),Table3[#All],2,0),VLOOKUP(Proc[[#This Row],[Author]],Table4[],2,0))</f>
        <v>MGF</v>
      </c>
      <c r="L2657" s="125" t="s">
        <v>4894</v>
      </c>
      <c r="M2657" s="109">
        <v>45841.453541666669</v>
      </c>
      <c r="N2657" s="109"/>
      <c r="O2657" s="109"/>
      <c r="P2657" s="110" t="str">
        <f ca="1">IF(Proc[[#This Row],[DaysAgeing]]&gt;5,"yep","on track")</f>
        <v>yep</v>
      </c>
      <c r="Q2657" s="3">
        <f ca="1">IF(Proc[[#This Row],[DateClosed]]="",ABS(NETWORKDAYS(Proc[[#This Row],[DateOpened]],TODAY()))-1,ABS(NETWORKDAYS(Proc[[#This Row],[DateOpened]],Proc[[#This Row],[DateClosed]]))-1)</f>
        <v>121</v>
      </c>
      <c r="R2657" s="110" t="s">
        <v>485</v>
      </c>
      <c r="S2657" s="94"/>
    </row>
    <row r="2658" spans="1:19" hidden="1">
      <c r="A2658" s="103" t="s">
        <v>4422</v>
      </c>
      <c r="B2658" s="149" t="str">
        <f>IFERROR(VLOOKUP(Proc[[#This Row],[App]],Table2[],3,0),"open")</f>
        <v>ok</v>
      </c>
      <c r="C2658" s="117" t="s">
        <v>369</v>
      </c>
      <c r="D2658" t="s">
        <v>4579</v>
      </c>
      <c r="E2658" t="s">
        <v>4745</v>
      </c>
      <c r="F2658" s="94" t="s">
        <v>4745</v>
      </c>
      <c r="G2658" s="103" t="s">
        <v>406</v>
      </c>
      <c r="H2658" s="94" t="str">
        <f>IF(Proc[[#This Row],[type]]="LFF (MDG-F)",MID(Proc[[#This Row],[Obj]],13,10),"")</f>
        <v>DE20516800</v>
      </c>
      <c r="I2658" s="103" t="s">
        <v>4785</v>
      </c>
      <c r="J2658" s="94" t="b">
        <f>Proc[[#This Row],[Requested]]=Proc[[#This Row],[CurrentParent]]</f>
        <v>1</v>
      </c>
      <c r="K2658" s="144" t="str">
        <f>IF(Proc[[#This Row],[Author]]="Marcela Urrego",VLOOKUP(LEFT(Proc[[#This Row],[Requested]],1),Table3[#All],2,0),VLOOKUP(Proc[[#This Row],[Author]],Table4[],2,0))</f>
        <v>MGF</v>
      </c>
      <c r="L2658" s="125" t="s">
        <v>4894</v>
      </c>
      <c r="M2658" s="109">
        <v>45841.453541666669</v>
      </c>
      <c r="N2658" s="109"/>
      <c r="O2658" s="109"/>
      <c r="P2658" s="110" t="str">
        <f ca="1">IF(Proc[[#This Row],[DaysAgeing]]&gt;5,"yep","on track")</f>
        <v>yep</v>
      </c>
      <c r="Q2658" s="3">
        <f ca="1">IF(Proc[[#This Row],[DateClosed]]="",ABS(NETWORKDAYS(Proc[[#This Row],[DateOpened]],TODAY()))-1,ABS(NETWORKDAYS(Proc[[#This Row],[DateOpened]],Proc[[#This Row],[DateClosed]]))-1)</f>
        <v>121</v>
      </c>
      <c r="R2658" s="110" t="s">
        <v>485</v>
      </c>
      <c r="S2658" s="94"/>
    </row>
    <row r="2659" spans="1:19" hidden="1">
      <c r="A2659" s="103" t="s">
        <v>4422</v>
      </c>
      <c r="B2659" s="149" t="str">
        <f>IFERROR(VLOOKUP(Proc[[#This Row],[App]],Table2[],3,0),"open")</f>
        <v>ok</v>
      </c>
      <c r="C2659" s="117" t="s">
        <v>369</v>
      </c>
      <c r="D2659" t="s">
        <v>4580</v>
      </c>
      <c r="E2659" t="s">
        <v>4745</v>
      </c>
      <c r="F2659" s="94" t="s">
        <v>4745</v>
      </c>
      <c r="G2659" s="103" t="s">
        <v>406</v>
      </c>
      <c r="H2659" s="94" t="str">
        <f>IF(Proc[[#This Row],[type]]="LFF (MDG-F)",MID(Proc[[#This Row],[Obj]],13,10),"")</f>
        <v>DE20518800</v>
      </c>
      <c r="I2659" s="103" t="s">
        <v>4785</v>
      </c>
      <c r="J2659" s="94" t="b">
        <f>Proc[[#This Row],[Requested]]=Proc[[#This Row],[CurrentParent]]</f>
        <v>1</v>
      </c>
      <c r="K2659" s="144" t="str">
        <f>IF(Proc[[#This Row],[Author]]="Marcela Urrego",VLOOKUP(LEFT(Proc[[#This Row],[Requested]],1),Table3[#All],2,0),VLOOKUP(Proc[[#This Row],[Author]],Table4[],2,0))</f>
        <v>MGF</v>
      </c>
      <c r="L2659" s="125" t="s">
        <v>4894</v>
      </c>
      <c r="M2659" s="109">
        <v>45841.453541666669</v>
      </c>
      <c r="N2659" s="109"/>
      <c r="O2659" s="109"/>
      <c r="P2659" s="110" t="str">
        <f ca="1">IF(Proc[[#This Row],[DaysAgeing]]&gt;5,"yep","on track")</f>
        <v>yep</v>
      </c>
      <c r="Q2659" s="3">
        <f ca="1">IF(Proc[[#This Row],[DateClosed]]="",ABS(NETWORKDAYS(Proc[[#This Row],[DateOpened]],TODAY()))-1,ABS(NETWORKDAYS(Proc[[#This Row],[DateOpened]],Proc[[#This Row],[DateClosed]]))-1)</f>
        <v>121</v>
      </c>
      <c r="R2659" s="110" t="s">
        <v>485</v>
      </c>
      <c r="S2659" s="94"/>
    </row>
    <row r="2660" spans="1:19" hidden="1">
      <c r="A2660" s="103" t="s">
        <v>4422</v>
      </c>
      <c r="B2660" s="149" t="str">
        <f>IFERROR(VLOOKUP(Proc[[#This Row],[App]],Table2[],3,0),"open")</f>
        <v>ok</v>
      </c>
      <c r="C2660" s="117" t="s">
        <v>369</v>
      </c>
      <c r="D2660" t="s">
        <v>4581</v>
      </c>
      <c r="E2660" t="s">
        <v>4745</v>
      </c>
      <c r="F2660" s="94" t="s">
        <v>4745</v>
      </c>
      <c r="G2660" s="103" t="s">
        <v>406</v>
      </c>
      <c r="H2660" s="94" t="str">
        <f>IF(Proc[[#This Row],[type]]="LFF (MDG-F)",MID(Proc[[#This Row],[Obj]],13,10),"")</f>
        <v>DE20518900</v>
      </c>
      <c r="I2660" s="103" t="s">
        <v>4785</v>
      </c>
      <c r="J2660" s="94" t="b">
        <f>Proc[[#This Row],[Requested]]=Proc[[#This Row],[CurrentParent]]</f>
        <v>1</v>
      </c>
      <c r="K2660" s="144" t="str">
        <f>IF(Proc[[#This Row],[Author]]="Marcela Urrego",VLOOKUP(LEFT(Proc[[#This Row],[Requested]],1),Table3[#All],2,0),VLOOKUP(Proc[[#This Row],[Author]],Table4[],2,0))</f>
        <v>MGF</v>
      </c>
      <c r="L2660" s="125" t="s">
        <v>4894</v>
      </c>
      <c r="M2660" s="109">
        <v>45841.453541666669</v>
      </c>
      <c r="N2660" s="109"/>
      <c r="O2660" s="109"/>
      <c r="P2660" s="110" t="str">
        <f ca="1">IF(Proc[[#This Row],[DaysAgeing]]&gt;5,"yep","on track")</f>
        <v>yep</v>
      </c>
      <c r="Q2660" s="3">
        <f ca="1">IF(Proc[[#This Row],[DateClosed]]="",ABS(NETWORKDAYS(Proc[[#This Row],[DateOpened]],TODAY()))-1,ABS(NETWORKDAYS(Proc[[#This Row],[DateOpened]],Proc[[#This Row],[DateClosed]]))-1)</f>
        <v>121</v>
      </c>
      <c r="R2660" s="110" t="s">
        <v>485</v>
      </c>
      <c r="S2660" s="94"/>
    </row>
    <row r="2661" spans="1:19" hidden="1">
      <c r="A2661" s="103" t="s">
        <v>4422</v>
      </c>
      <c r="B2661" s="149" t="str">
        <f>IFERROR(VLOOKUP(Proc[[#This Row],[App]],Table2[],3,0),"open")</f>
        <v>ok</v>
      </c>
      <c r="C2661" s="117" t="s">
        <v>369</v>
      </c>
      <c r="D2661" t="s">
        <v>4582</v>
      </c>
      <c r="E2661" t="s">
        <v>4745</v>
      </c>
      <c r="F2661" s="94" t="s">
        <v>4745</v>
      </c>
      <c r="G2661" s="103" t="s">
        <v>406</v>
      </c>
      <c r="H2661" s="94" t="str">
        <f>IF(Proc[[#This Row],[type]]="LFF (MDG-F)",MID(Proc[[#This Row],[Obj]],13,10),"")</f>
        <v>DE20538199</v>
      </c>
      <c r="I2661" s="103" t="s">
        <v>4785</v>
      </c>
      <c r="J2661" s="94" t="b">
        <f>Proc[[#This Row],[Requested]]=Proc[[#This Row],[CurrentParent]]</f>
        <v>1</v>
      </c>
      <c r="K2661" s="144" t="str">
        <f>IF(Proc[[#This Row],[Author]]="Marcela Urrego",VLOOKUP(LEFT(Proc[[#This Row],[Requested]],1),Table3[#All],2,0),VLOOKUP(Proc[[#This Row],[Author]],Table4[],2,0))</f>
        <v>MGF</v>
      </c>
      <c r="L2661" s="125" t="s">
        <v>4894</v>
      </c>
      <c r="M2661" s="109">
        <v>45841.453541666669</v>
      </c>
      <c r="N2661" s="109"/>
      <c r="O2661" s="109"/>
      <c r="P2661" s="110" t="str">
        <f ca="1">IF(Proc[[#This Row],[DaysAgeing]]&gt;5,"yep","on track")</f>
        <v>yep</v>
      </c>
      <c r="Q2661" s="3">
        <f ca="1">IF(Proc[[#This Row],[DateClosed]]="",ABS(NETWORKDAYS(Proc[[#This Row],[DateOpened]],TODAY()))-1,ABS(NETWORKDAYS(Proc[[#This Row],[DateOpened]],Proc[[#This Row],[DateClosed]]))-1)</f>
        <v>121</v>
      </c>
      <c r="R2661" s="110" t="s">
        <v>485</v>
      </c>
      <c r="S2661" s="94"/>
    </row>
    <row r="2662" spans="1:19" hidden="1">
      <c r="A2662" s="103" t="s">
        <v>4422</v>
      </c>
      <c r="B2662" s="149" t="str">
        <f>IFERROR(VLOOKUP(Proc[[#This Row],[App]],Table2[],3,0),"open")</f>
        <v>ok</v>
      </c>
      <c r="C2662" s="117" t="s">
        <v>369</v>
      </c>
      <c r="D2662" t="s">
        <v>4583</v>
      </c>
      <c r="E2662" t="s">
        <v>4745</v>
      </c>
      <c r="F2662" s="94" t="s">
        <v>4745</v>
      </c>
      <c r="G2662" s="103" t="s">
        <v>406</v>
      </c>
      <c r="H2662" s="94" t="str">
        <f>IF(Proc[[#This Row],[type]]="LFF (MDG-F)",MID(Proc[[#This Row],[Obj]],13,10),"")</f>
        <v>DE20542000</v>
      </c>
      <c r="I2662" s="103" t="s">
        <v>4785</v>
      </c>
      <c r="J2662" s="94" t="b">
        <f>Proc[[#This Row],[Requested]]=Proc[[#This Row],[CurrentParent]]</f>
        <v>1</v>
      </c>
      <c r="K2662" s="144" t="str">
        <f>IF(Proc[[#This Row],[Author]]="Marcela Urrego",VLOOKUP(LEFT(Proc[[#This Row],[Requested]],1),Table3[#All],2,0),VLOOKUP(Proc[[#This Row],[Author]],Table4[],2,0))</f>
        <v>MGF</v>
      </c>
      <c r="L2662" s="125" t="s">
        <v>4894</v>
      </c>
      <c r="M2662" s="109">
        <v>45841.453541666669</v>
      </c>
      <c r="N2662" s="109"/>
      <c r="O2662" s="109"/>
      <c r="P2662" s="110" t="str">
        <f ca="1">IF(Proc[[#This Row],[DaysAgeing]]&gt;5,"yep","on track")</f>
        <v>yep</v>
      </c>
      <c r="Q2662" s="3">
        <f ca="1">IF(Proc[[#This Row],[DateClosed]]="",ABS(NETWORKDAYS(Proc[[#This Row],[DateOpened]],TODAY()))-1,ABS(NETWORKDAYS(Proc[[#This Row],[DateOpened]],Proc[[#This Row],[DateClosed]]))-1)</f>
        <v>121</v>
      </c>
      <c r="R2662" s="110" t="s">
        <v>485</v>
      </c>
      <c r="S2662" s="94"/>
    </row>
    <row r="2663" spans="1:19" hidden="1">
      <c r="A2663" s="103" t="s">
        <v>4422</v>
      </c>
      <c r="B2663" s="149" t="str">
        <f>IFERROR(VLOOKUP(Proc[[#This Row],[App]],Table2[],3,0),"open")</f>
        <v>ok</v>
      </c>
      <c r="C2663" s="117" t="s">
        <v>369</v>
      </c>
      <c r="D2663" t="s">
        <v>4584</v>
      </c>
      <c r="E2663" t="s">
        <v>4746</v>
      </c>
      <c r="F2663" s="94" t="s">
        <v>4746</v>
      </c>
      <c r="G2663" s="103" t="s">
        <v>406</v>
      </c>
      <c r="H2663" s="94" t="str">
        <f>IF(Proc[[#This Row],[type]]="LFF (MDG-F)",MID(Proc[[#This Row],[Obj]],13,10),"")</f>
        <v>DE20537833</v>
      </c>
      <c r="I2663" s="103" t="s">
        <v>4785</v>
      </c>
      <c r="J2663" s="94" t="b">
        <f>Proc[[#This Row],[Requested]]=Proc[[#This Row],[CurrentParent]]</f>
        <v>1</v>
      </c>
      <c r="K2663" s="144" t="str">
        <f>IF(Proc[[#This Row],[Author]]="Marcela Urrego",VLOOKUP(LEFT(Proc[[#This Row],[Requested]],1),Table3[#All],2,0),VLOOKUP(Proc[[#This Row],[Author]],Table4[],2,0))</f>
        <v>MGF</v>
      </c>
      <c r="L2663" s="125" t="s">
        <v>4894</v>
      </c>
      <c r="M2663" s="109">
        <v>45841.453541666669</v>
      </c>
      <c r="N2663" s="109"/>
      <c r="O2663" s="109"/>
      <c r="P2663" s="110" t="str">
        <f ca="1">IF(Proc[[#This Row],[DaysAgeing]]&gt;5,"yep","on track")</f>
        <v>yep</v>
      </c>
      <c r="Q2663" s="3">
        <f ca="1">IF(Proc[[#This Row],[DateClosed]]="",ABS(NETWORKDAYS(Proc[[#This Row],[DateOpened]],TODAY()))-1,ABS(NETWORKDAYS(Proc[[#This Row],[DateOpened]],Proc[[#This Row],[DateClosed]]))-1)</f>
        <v>121</v>
      </c>
      <c r="R2663" s="110" t="s">
        <v>485</v>
      </c>
      <c r="S2663" s="94"/>
    </row>
    <row r="2664" spans="1:19" hidden="1">
      <c r="A2664" s="103" t="s">
        <v>4422</v>
      </c>
      <c r="B2664" s="149" t="str">
        <f>IFERROR(VLOOKUP(Proc[[#This Row],[App]],Table2[],3,0),"open")</f>
        <v>ok</v>
      </c>
      <c r="C2664" s="117" t="s">
        <v>369</v>
      </c>
      <c r="D2664" t="s">
        <v>4585</v>
      </c>
      <c r="E2664" t="s">
        <v>4746</v>
      </c>
      <c r="F2664" s="94" t="s">
        <v>4746</v>
      </c>
      <c r="G2664" s="103" t="s">
        <v>406</v>
      </c>
      <c r="H2664" s="94" t="str">
        <f>IF(Proc[[#This Row],[type]]="LFF (MDG-F)",MID(Proc[[#This Row],[Obj]],13,10),"")</f>
        <v>DE20538012</v>
      </c>
      <c r="I2664" s="103" t="s">
        <v>4785</v>
      </c>
      <c r="J2664" s="94" t="b">
        <f>Proc[[#This Row],[Requested]]=Proc[[#This Row],[CurrentParent]]</f>
        <v>1</v>
      </c>
      <c r="K2664" s="144" t="str">
        <f>IF(Proc[[#This Row],[Author]]="Marcela Urrego",VLOOKUP(LEFT(Proc[[#This Row],[Requested]],1),Table3[#All],2,0),VLOOKUP(Proc[[#This Row],[Author]],Table4[],2,0))</f>
        <v>MGF</v>
      </c>
      <c r="L2664" s="125" t="s">
        <v>4894</v>
      </c>
      <c r="M2664" s="109">
        <v>45841.453541666669</v>
      </c>
      <c r="N2664" s="109"/>
      <c r="O2664" s="109"/>
      <c r="P2664" s="110" t="str">
        <f ca="1">IF(Proc[[#This Row],[DaysAgeing]]&gt;5,"yep","on track")</f>
        <v>yep</v>
      </c>
      <c r="Q2664" s="3">
        <f ca="1">IF(Proc[[#This Row],[DateClosed]]="",ABS(NETWORKDAYS(Proc[[#This Row],[DateOpened]],TODAY()))-1,ABS(NETWORKDAYS(Proc[[#This Row],[DateOpened]],Proc[[#This Row],[DateClosed]]))-1)</f>
        <v>121</v>
      </c>
      <c r="R2664" s="110" t="s">
        <v>485</v>
      </c>
      <c r="S2664" s="94"/>
    </row>
    <row r="2665" spans="1:19" hidden="1">
      <c r="A2665" s="103" t="s">
        <v>4422</v>
      </c>
      <c r="B2665" s="149" t="str">
        <f>IFERROR(VLOOKUP(Proc[[#This Row],[App]],Table2[],3,0),"open")</f>
        <v>ok</v>
      </c>
      <c r="C2665" s="117" t="s">
        <v>369</v>
      </c>
      <c r="D2665" t="s">
        <v>4586</v>
      </c>
      <c r="E2665" t="s">
        <v>4746</v>
      </c>
      <c r="F2665" s="94" t="s">
        <v>4746</v>
      </c>
      <c r="G2665" s="103" t="s">
        <v>406</v>
      </c>
      <c r="H2665" s="94" t="str">
        <f>IF(Proc[[#This Row],[type]]="LFF (MDG-F)",MID(Proc[[#This Row],[Obj]],13,10),"")</f>
        <v>DE20538014</v>
      </c>
      <c r="I2665" s="103" t="s">
        <v>4785</v>
      </c>
      <c r="J2665" s="94" t="b">
        <f>Proc[[#This Row],[Requested]]=Proc[[#This Row],[CurrentParent]]</f>
        <v>1</v>
      </c>
      <c r="K2665" s="144" t="str">
        <f>IF(Proc[[#This Row],[Author]]="Marcela Urrego",VLOOKUP(LEFT(Proc[[#This Row],[Requested]],1),Table3[#All],2,0),VLOOKUP(Proc[[#This Row],[Author]],Table4[],2,0))</f>
        <v>MGF</v>
      </c>
      <c r="L2665" s="125" t="s">
        <v>4894</v>
      </c>
      <c r="M2665" s="109">
        <v>45841.453541666669</v>
      </c>
      <c r="N2665" s="109"/>
      <c r="O2665" s="109"/>
      <c r="P2665" s="110" t="str">
        <f ca="1">IF(Proc[[#This Row],[DaysAgeing]]&gt;5,"yep","on track")</f>
        <v>yep</v>
      </c>
      <c r="Q2665" s="3">
        <f ca="1">IF(Proc[[#This Row],[DateClosed]]="",ABS(NETWORKDAYS(Proc[[#This Row],[DateOpened]],TODAY()))-1,ABS(NETWORKDAYS(Proc[[#This Row],[DateOpened]],Proc[[#This Row],[DateClosed]]))-1)</f>
        <v>121</v>
      </c>
      <c r="R2665" s="110" t="s">
        <v>485</v>
      </c>
      <c r="S2665" s="94"/>
    </row>
    <row r="2666" spans="1:19" hidden="1">
      <c r="A2666" s="103" t="s">
        <v>4422</v>
      </c>
      <c r="B2666" s="149" t="str">
        <f>IFERROR(VLOOKUP(Proc[[#This Row],[App]],Table2[],3,0),"open")</f>
        <v>ok</v>
      </c>
      <c r="C2666" s="117" t="s">
        <v>369</v>
      </c>
      <c r="D2666" t="s">
        <v>4587</v>
      </c>
      <c r="E2666" t="s">
        <v>4746</v>
      </c>
      <c r="F2666" s="94" t="s">
        <v>4746</v>
      </c>
      <c r="G2666" s="103" t="s">
        <v>406</v>
      </c>
      <c r="H2666" s="94" t="str">
        <f>IF(Proc[[#This Row],[type]]="LFF (MDG-F)",MID(Proc[[#This Row],[Obj]],13,10),"")</f>
        <v>DE20538015</v>
      </c>
      <c r="I2666" s="103" t="s">
        <v>4785</v>
      </c>
      <c r="J2666" s="94" t="b">
        <f>Proc[[#This Row],[Requested]]=Proc[[#This Row],[CurrentParent]]</f>
        <v>1</v>
      </c>
      <c r="K2666" s="144" t="str">
        <f>IF(Proc[[#This Row],[Author]]="Marcela Urrego",VLOOKUP(LEFT(Proc[[#This Row],[Requested]],1),Table3[#All],2,0),VLOOKUP(Proc[[#This Row],[Author]],Table4[],2,0))</f>
        <v>MGF</v>
      </c>
      <c r="L2666" s="125" t="s">
        <v>4894</v>
      </c>
      <c r="M2666" s="109">
        <v>45841.453541666669</v>
      </c>
      <c r="N2666" s="109"/>
      <c r="O2666" s="109"/>
      <c r="P2666" s="110" t="str">
        <f ca="1">IF(Proc[[#This Row],[DaysAgeing]]&gt;5,"yep","on track")</f>
        <v>yep</v>
      </c>
      <c r="Q2666" s="3">
        <f ca="1">IF(Proc[[#This Row],[DateClosed]]="",ABS(NETWORKDAYS(Proc[[#This Row],[DateOpened]],TODAY()))-1,ABS(NETWORKDAYS(Proc[[#This Row],[DateOpened]],Proc[[#This Row],[DateClosed]]))-1)</f>
        <v>121</v>
      </c>
      <c r="R2666" s="110" t="s">
        <v>485</v>
      </c>
      <c r="S2666" s="94"/>
    </row>
    <row r="2667" spans="1:19" hidden="1">
      <c r="A2667" s="103" t="s">
        <v>4422</v>
      </c>
      <c r="B2667" s="149" t="str">
        <f>IFERROR(VLOOKUP(Proc[[#This Row],[App]],Table2[],3,0),"open")</f>
        <v>ok</v>
      </c>
      <c r="C2667" s="117" t="s">
        <v>369</v>
      </c>
      <c r="D2667" t="s">
        <v>4588</v>
      </c>
      <c r="E2667" t="s">
        <v>4746</v>
      </c>
      <c r="F2667" s="94" t="s">
        <v>4746</v>
      </c>
      <c r="G2667" s="103" t="s">
        <v>406</v>
      </c>
      <c r="H2667" s="94" t="str">
        <f>IF(Proc[[#This Row],[type]]="LFF (MDG-F)",MID(Proc[[#This Row],[Obj]],13,10),"")</f>
        <v>DE20538017</v>
      </c>
      <c r="I2667" s="103" t="s">
        <v>4785</v>
      </c>
      <c r="J2667" s="94" t="b">
        <f>Proc[[#This Row],[Requested]]=Proc[[#This Row],[CurrentParent]]</f>
        <v>1</v>
      </c>
      <c r="K2667" s="144" t="str">
        <f>IF(Proc[[#This Row],[Author]]="Marcela Urrego",VLOOKUP(LEFT(Proc[[#This Row],[Requested]],1),Table3[#All],2,0),VLOOKUP(Proc[[#This Row],[Author]],Table4[],2,0))</f>
        <v>MGF</v>
      </c>
      <c r="L2667" s="125" t="s">
        <v>4894</v>
      </c>
      <c r="M2667" s="109">
        <v>45841.453541666669</v>
      </c>
      <c r="N2667" s="109"/>
      <c r="O2667" s="109"/>
      <c r="P2667" s="110" t="str">
        <f ca="1">IF(Proc[[#This Row],[DaysAgeing]]&gt;5,"yep","on track")</f>
        <v>yep</v>
      </c>
      <c r="Q2667" s="3">
        <f ca="1">IF(Proc[[#This Row],[DateClosed]]="",ABS(NETWORKDAYS(Proc[[#This Row],[DateOpened]],TODAY()))-1,ABS(NETWORKDAYS(Proc[[#This Row],[DateOpened]],Proc[[#This Row],[DateClosed]]))-1)</f>
        <v>121</v>
      </c>
      <c r="R2667" s="110" t="s">
        <v>485</v>
      </c>
      <c r="S2667" s="94"/>
    </row>
    <row r="2668" spans="1:19" hidden="1">
      <c r="A2668" s="103" t="s">
        <v>4422</v>
      </c>
      <c r="B2668" s="149" t="str">
        <f>IFERROR(VLOOKUP(Proc[[#This Row],[App]],Table2[],3,0),"open")</f>
        <v>ok</v>
      </c>
      <c r="C2668" s="117" t="s">
        <v>369</v>
      </c>
      <c r="D2668" t="s">
        <v>4589</v>
      </c>
      <c r="E2668" t="s">
        <v>4746</v>
      </c>
      <c r="F2668" s="94" t="s">
        <v>4746</v>
      </c>
      <c r="G2668" s="103" t="s">
        <v>406</v>
      </c>
      <c r="H2668" s="94" t="str">
        <f>IF(Proc[[#This Row],[type]]="LFF (MDG-F)",MID(Proc[[#This Row],[Obj]],13,10),"")</f>
        <v>DE20538018</v>
      </c>
      <c r="I2668" s="103" t="s">
        <v>4785</v>
      </c>
      <c r="J2668" s="94" t="b">
        <f>Proc[[#This Row],[Requested]]=Proc[[#This Row],[CurrentParent]]</f>
        <v>1</v>
      </c>
      <c r="K2668" s="144" t="str">
        <f>IF(Proc[[#This Row],[Author]]="Marcela Urrego",VLOOKUP(LEFT(Proc[[#This Row],[Requested]],1),Table3[#All],2,0),VLOOKUP(Proc[[#This Row],[Author]],Table4[],2,0))</f>
        <v>MGF</v>
      </c>
      <c r="L2668" s="125" t="s">
        <v>4894</v>
      </c>
      <c r="M2668" s="109">
        <v>45841.453541666669</v>
      </c>
      <c r="N2668" s="109"/>
      <c r="O2668" s="109"/>
      <c r="P2668" s="110" t="str">
        <f ca="1">IF(Proc[[#This Row],[DaysAgeing]]&gt;5,"yep","on track")</f>
        <v>yep</v>
      </c>
      <c r="Q2668" s="3">
        <f ca="1">IF(Proc[[#This Row],[DateClosed]]="",ABS(NETWORKDAYS(Proc[[#This Row],[DateOpened]],TODAY()))-1,ABS(NETWORKDAYS(Proc[[#This Row],[DateOpened]],Proc[[#This Row],[DateClosed]]))-1)</f>
        <v>121</v>
      </c>
      <c r="R2668" s="110" t="s">
        <v>485</v>
      </c>
      <c r="S2668" s="94"/>
    </row>
    <row r="2669" spans="1:19" hidden="1">
      <c r="A2669" s="103" t="s">
        <v>4422</v>
      </c>
      <c r="B2669" s="149" t="str">
        <f>IFERROR(VLOOKUP(Proc[[#This Row],[App]],Table2[],3,0),"open")</f>
        <v>ok</v>
      </c>
      <c r="C2669" s="117" t="s">
        <v>369</v>
      </c>
      <c r="D2669" t="s">
        <v>4590</v>
      </c>
      <c r="E2669" t="s">
        <v>4746</v>
      </c>
      <c r="F2669" s="94" t="s">
        <v>4746</v>
      </c>
      <c r="G2669" s="103" t="s">
        <v>406</v>
      </c>
      <c r="H2669" s="94" t="str">
        <f>IF(Proc[[#This Row],[type]]="LFF (MDG-F)",MID(Proc[[#This Row],[Obj]],13,10),"")</f>
        <v>DE20538132</v>
      </c>
      <c r="I2669" s="103" t="s">
        <v>4785</v>
      </c>
      <c r="J2669" s="94" t="b">
        <f>Proc[[#This Row],[Requested]]=Proc[[#This Row],[CurrentParent]]</f>
        <v>1</v>
      </c>
      <c r="K2669" s="144" t="str">
        <f>IF(Proc[[#This Row],[Author]]="Marcela Urrego",VLOOKUP(LEFT(Proc[[#This Row],[Requested]],1),Table3[#All],2,0),VLOOKUP(Proc[[#This Row],[Author]],Table4[],2,0))</f>
        <v>MGF</v>
      </c>
      <c r="L2669" s="125" t="s">
        <v>4894</v>
      </c>
      <c r="M2669" s="109">
        <v>45841.453541666669</v>
      </c>
      <c r="N2669" s="109"/>
      <c r="O2669" s="109"/>
      <c r="P2669" s="110" t="str">
        <f ca="1">IF(Proc[[#This Row],[DaysAgeing]]&gt;5,"yep","on track")</f>
        <v>yep</v>
      </c>
      <c r="Q2669" s="3">
        <f ca="1">IF(Proc[[#This Row],[DateClosed]]="",ABS(NETWORKDAYS(Proc[[#This Row],[DateOpened]],TODAY()))-1,ABS(NETWORKDAYS(Proc[[#This Row],[DateOpened]],Proc[[#This Row],[DateClosed]]))-1)</f>
        <v>121</v>
      </c>
      <c r="R2669" s="110" t="s">
        <v>485</v>
      </c>
      <c r="S2669" s="94"/>
    </row>
    <row r="2670" spans="1:19" hidden="1">
      <c r="A2670" s="103" t="s">
        <v>4422</v>
      </c>
      <c r="B2670" s="149" t="str">
        <f>IFERROR(VLOOKUP(Proc[[#This Row],[App]],Table2[],3,0),"open")</f>
        <v>ok</v>
      </c>
      <c r="C2670" s="117" t="s">
        <v>369</v>
      </c>
      <c r="D2670" t="s">
        <v>4591</v>
      </c>
      <c r="E2670" t="s">
        <v>4747</v>
      </c>
      <c r="F2670" s="94" t="s">
        <v>4747</v>
      </c>
      <c r="G2670" s="103" t="s">
        <v>406</v>
      </c>
      <c r="H2670" s="94" t="str">
        <f>IF(Proc[[#This Row],[type]]="LFF (MDG-F)",MID(Proc[[#This Row],[Obj]],13,10),"")</f>
        <v>DE20538101</v>
      </c>
      <c r="I2670" s="103" t="s">
        <v>4785</v>
      </c>
      <c r="J2670" s="94" t="b">
        <f>Proc[[#This Row],[Requested]]=Proc[[#This Row],[CurrentParent]]</f>
        <v>1</v>
      </c>
      <c r="K2670" s="144" t="str">
        <f>IF(Proc[[#This Row],[Author]]="Marcela Urrego",VLOOKUP(LEFT(Proc[[#This Row],[Requested]],1),Table3[#All],2,0),VLOOKUP(Proc[[#This Row],[Author]],Table4[],2,0))</f>
        <v>MGF</v>
      </c>
      <c r="L2670" s="125" t="s">
        <v>4894</v>
      </c>
      <c r="M2670" s="109">
        <v>45841.453541666669</v>
      </c>
      <c r="N2670" s="109"/>
      <c r="O2670" s="109"/>
      <c r="P2670" s="110" t="str">
        <f ca="1">IF(Proc[[#This Row],[DaysAgeing]]&gt;5,"yep","on track")</f>
        <v>yep</v>
      </c>
      <c r="Q2670" s="3">
        <f ca="1">IF(Proc[[#This Row],[DateClosed]]="",ABS(NETWORKDAYS(Proc[[#This Row],[DateOpened]],TODAY()))-1,ABS(NETWORKDAYS(Proc[[#This Row],[DateOpened]],Proc[[#This Row],[DateClosed]]))-1)</f>
        <v>121</v>
      </c>
      <c r="R2670" s="110" t="s">
        <v>485</v>
      </c>
      <c r="S2670" s="94"/>
    </row>
    <row r="2671" spans="1:19" hidden="1">
      <c r="A2671" s="103" t="s">
        <v>4422</v>
      </c>
      <c r="B2671" s="149" t="str">
        <f>IFERROR(VLOOKUP(Proc[[#This Row],[App]],Table2[],3,0),"open")</f>
        <v>ok</v>
      </c>
      <c r="C2671" s="117" t="s">
        <v>369</v>
      </c>
      <c r="D2671" t="s">
        <v>4592</v>
      </c>
      <c r="E2671" t="s">
        <v>4747</v>
      </c>
      <c r="F2671" s="94" t="s">
        <v>4747</v>
      </c>
      <c r="G2671" s="103" t="s">
        <v>406</v>
      </c>
      <c r="H2671" s="94" t="str">
        <f>IF(Proc[[#This Row],[type]]="LFF (MDG-F)",MID(Proc[[#This Row],[Obj]],13,10),"")</f>
        <v>DE20538102</v>
      </c>
      <c r="I2671" s="103" t="s">
        <v>4785</v>
      </c>
      <c r="J2671" s="94" t="b">
        <f>Proc[[#This Row],[Requested]]=Proc[[#This Row],[CurrentParent]]</f>
        <v>1</v>
      </c>
      <c r="K2671" s="144" t="str">
        <f>IF(Proc[[#This Row],[Author]]="Marcela Urrego",VLOOKUP(LEFT(Proc[[#This Row],[Requested]],1),Table3[#All],2,0),VLOOKUP(Proc[[#This Row],[Author]],Table4[],2,0))</f>
        <v>MGF</v>
      </c>
      <c r="L2671" s="125" t="s">
        <v>4894</v>
      </c>
      <c r="M2671" s="109">
        <v>45841.453541666669</v>
      </c>
      <c r="N2671" s="109"/>
      <c r="O2671" s="109"/>
      <c r="P2671" s="110" t="str">
        <f ca="1">IF(Proc[[#This Row],[DaysAgeing]]&gt;5,"yep","on track")</f>
        <v>yep</v>
      </c>
      <c r="Q2671" s="3">
        <f ca="1">IF(Proc[[#This Row],[DateClosed]]="",ABS(NETWORKDAYS(Proc[[#This Row],[DateOpened]],TODAY()))-1,ABS(NETWORKDAYS(Proc[[#This Row],[DateOpened]],Proc[[#This Row],[DateClosed]]))-1)</f>
        <v>121</v>
      </c>
      <c r="R2671" s="110" t="s">
        <v>485</v>
      </c>
      <c r="S2671" s="94"/>
    </row>
    <row r="2672" spans="1:19" hidden="1">
      <c r="A2672" s="103" t="s">
        <v>4422</v>
      </c>
      <c r="B2672" s="149" t="str">
        <f>IFERROR(VLOOKUP(Proc[[#This Row],[App]],Table2[],3,0),"open")</f>
        <v>ok</v>
      </c>
      <c r="C2672" s="117" t="s">
        <v>369</v>
      </c>
      <c r="D2672" t="s">
        <v>4593</v>
      </c>
      <c r="E2672" t="s">
        <v>4747</v>
      </c>
      <c r="F2672" s="94" t="s">
        <v>4747</v>
      </c>
      <c r="G2672" s="103" t="s">
        <v>406</v>
      </c>
      <c r="H2672" s="94" t="str">
        <f>IF(Proc[[#This Row],[type]]="LFF (MDG-F)",MID(Proc[[#This Row],[Obj]],13,10),"")</f>
        <v>DE20538104</v>
      </c>
      <c r="I2672" s="103" t="s">
        <v>4785</v>
      </c>
      <c r="J2672" s="94" t="b">
        <f>Proc[[#This Row],[Requested]]=Proc[[#This Row],[CurrentParent]]</f>
        <v>1</v>
      </c>
      <c r="K2672" s="144" t="str">
        <f>IF(Proc[[#This Row],[Author]]="Marcela Urrego",VLOOKUP(LEFT(Proc[[#This Row],[Requested]],1),Table3[#All],2,0),VLOOKUP(Proc[[#This Row],[Author]],Table4[],2,0))</f>
        <v>MGF</v>
      </c>
      <c r="L2672" s="125" t="s">
        <v>4894</v>
      </c>
      <c r="M2672" s="109">
        <v>45841.453541666669</v>
      </c>
      <c r="N2672" s="109"/>
      <c r="O2672" s="109"/>
      <c r="P2672" s="110" t="str">
        <f ca="1">IF(Proc[[#This Row],[DaysAgeing]]&gt;5,"yep","on track")</f>
        <v>yep</v>
      </c>
      <c r="Q2672" s="3">
        <f ca="1">IF(Proc[[#This Row],[DateClosed]]="",ABS(NETWORKDAYS(Proc[[#This Row],[DateOpened]],TODAY()))-1,ABS(NETWORKDAYS(Proc[[#This Row],[DateOpened]],Proc[[#This Row],[DateClosed]]))-1)</f>
        <v>121</v>
      </c>
      <c r="R2672" s="110" t="s">
        <v>485</v>
      </c>
      <c r="S2672" s="94"/>
    </row>
    <row r="2673" spans="1:19" hidden="1">
      <c r="A2673" s="103" t="s">
        <v>4422</v>
      </c>
      <c r="B2673" s="149" t="str">
        <f>IFERROR(VLOOKUP(Proc[[#This Row],[App]],Table2[],3,0),"open")</f>
        <v>ok</v>
      </c>
      <c r="C2673" s="117" t="s">
        <v>369</v>
      </c>
      <c r="D2673" t="s">
        <v>4594</v>
      </c>
      <c r="E2673" t="s">
        <v>4748</v>
      </c>
      <c r="F2673" s="94" t="s">
        <v>4748</v>
      </c>
      <c r="G2673" s="103" t="s">
        <v>406</v>
      </c>
      <c r="H2673" s="94" t="str">
        <f>IF(Proc[[#This Row],[type]]="LFF (MDG-F)",MID(Proc[[#This Row],[Obj]],13,10),"")</f>
        <v>DE20538109</v>
      </c>
      <c r="I2673" s="103" t="s">
        <v>4785</v>
      </c>
      <c r="J2673" s="94" t="b">
        <f>Proc[[#This Row],[Requested]]=Proc[[#This Row],[CurrentParent]]</f>
        <v>1</v>
      </c>
      <c r="K2673" s="144" t="str">
        <f>IF(Proc[[#This Row],[Author]]="Marcela Urrego",VLOOKUP(LEFT(Proc[[#This Row],[Requested]],1),Table3[#All],2,0),VLOOKUP(Proc[[#This Row],[Author]],Table4[],2,0))</f>
        <v>MGF</v>
      </c>
      <c r="L2673" s="125" t="s">
        <v>4894</v>
      </c>
      <c r="M2673" s="109">
        <v>45841.453541666669</v>
      </c>
      <c r="N2673" s="109"/>
      <c r="O2673" s="109"/>
      <c r="P2673" s="110" t="str">
        <f ca="1">IF(Proc[[#This Row],[DaysAgeing]]&gt;5,"yep","on track")</f>
        <v>yep</v>
      </c>
      <c r="Q2673" s="3">
        <f ca="1">IF(Proc[[#This Row],[DateClosed]]="",ABS(NETWORKDAYS(Proc[[#This Row],[DateOpened]],TODAY()))-1,ABS(NETWORKDAYS(Proc[[#This Row],[DateOpened]],Proc[[#This Row],[DateClosed]]))-1)</f>
        <v>121</v>
      </c>
      <c r="R2673" s="110" t="s">
        <v>485</v>
      </c>
      <c r="S2673" s="94"/>
    </row>
    <row r="2674" spans="1:19" hidden="1">
      <c r="A2674" s="103" t="s">
        <v>4422</v>
      </c>
      <c r="B2674" s="149" t="str">
        <f>IFERROR(VLOOKUP(Proc[[#This Row],[App]],Table2[],3,0),"open")</f>
        <v>ok</v>
      </c>
      <c r="C2674" s="117" t="s">
        <v>369</v>
      </c>
      <c r="D2674" t="s">
        <v>4595</v>
      </c>
      <c r="E2674" t="s">
        <v>4747</v>
      </c>
      <c r="F2674" s="94" t="s">
        <v>4747</v>
      </c>
      <c r="G2674" s="103" t="s">
        <v>406</v>
      </c>
      <c r="H2674" s="94" t="str">
        <f>IF(Proc[[#This Row],[type]]="LFF (MDG-F)",MID(Proc[[#This Row],[Obj]],13,10),"")</f>
        <v>DE20538116</v>
      </c>
      <c r="I2674" s="103" t="s">
        <v>4785</v>
      </c>
      <c r="J2674" s="94" t="b">
        <f>Proc[[#This Row],[Requested]]=Proc[[#This Row],[CurrentParent]]</f>
        <v>1</v>
      </c>
      <c r="K2674" s="144" t="str">
        <f>IF(Proc[[#This Row],[Author]]="Marcela Urrego",VLOOKUP(LEFT(Proc[[#This Row],[Requested]],1),Table3[#All],2,0),VLOOKUP(Proc[[#This Row],[Author]],Table4[],2,0))</f>
        <v>MGF</v>
      </c>
      <c r="L2674" s="125" t="s">
        <v>4894</v>
      </c>
      <c r="M2674" s="109">
        <v>45841.453541666669</v>
      </c>
      <c r="N2674" s="109"/>
      <c r="O2674" s="109"/>
      <c r="P2674" s="110" t="str">
        <f ca="1">IF(Proc[[#This Row],[DaysAgeing]]&gt;5,"yep","on track")</f>
        <v>yep</v>
      </c>
      <c r="Q2674" s="3">
        <f ca="1">IF(Proc[[#This Row],[DateClosed]]="",ABS(NETWORKDAYS(Proc[[#This Row],[DateOpened]],TODAY()))-1,ABS(NETWORKDAYS(Proc[[#This Row],[DateOpened]],Proc[[#This Row],[DateClosed]]))-1)</f>
        <v>121</v>
      </c>
      <c r="R2674" s="110" t="s">
        <v>485</v>
      </c>
      <c r="S2674" s="94"/>
    </row>
    <row r="2675" spans="1:19" hidden="1">
      <c r="A2675" s="103" t="s">
        <v>4422</v>
      </c>
      <c r="B2675" s="149" t="str">
        <f>IFERROR(VLOOKUP(Proc[[#This Row],[App]],Table2[],3,0),"open")</f>
        <v>ok</v>
      </c>
      <c r="C2675" s="117" t="s">
        <v>369</v>
      </c>
      <c r="D2675" t="s">
        <v>4596</v>
      </c>
      <c r="E2675" t="s">
        <v>4748</v>
      </c>
      <c r="F2675" s="94" t="s">
        <v>4748</v>
      </c>
      <c r="G2675" s="103" t="s">
        <v>406</v>
      </c>
      <c r="H2675" s="94" t="str">
        <f>IF(Proc[[#This Row],[type]]="LFF (MDG-F)",MID(Proc[[#This Row],[Obj]],13,10),"")</f>
        <v>DE20538123</v>
      </c>
      <c r="I2675" s="103" t="s">
        <v>4785</v>
      </c>
      <c r="J2675" s="94" t="b">
        <f>Proc[[#This Row],[Requested]]=Proc[[#This Row],[CurrentParent]]</f>
        <v>1</v>
      </c>
      <c r="K2675" s="144" t="str">
        <f>IF(Proc[[#This Row],[Author]]="Marcela Urrego",VLOOKUP(LEFT(Proc[[#This Row],[Requested]],1),Table3[#All],2,0),VLOOKUP(Proc[[#This Row],[Author]],Table4[],2,0))</f>
        <v>MGF</v>
      </c>
      <c r="L2675" s="125" t="s">
        <v>4894</v>
      </c>
      <c r="M2675" s="109">
        <v>45841.453541666669</v>
      </c>
      <c r="N2675" s="109"/>
      <c r="O2675" s="109"/>
      <c r="P2675" s="110" t="str">
        <f ca="1">IF(Proc[[#This Row],[DaysAgeing]]&gt;5,"yep","on track")</f>
        <v>yep</v>
      </c>
      <c r="Q2675" s="3">
        <f ca="1">IF(Proc[[#This Row],[DateClosed]]="",ABS(NETWORKDAYS(Proc[[#This Row],[DateOpened]],TODAY()))-1,ABS(NETWORKDAYS(Proc[[#This Row],[DateOpened]],Proc[[#This Row],[DateClosed]]))-1)</f>
        <v>121</v>
      </c>
      <c r="R2675" s="110" t="s">
        <v>485</v>
      </c>
      <c r="S2675" s="94"/>
    </row>
    <row r="2676" spans="1:19" hidden="1">
      <c r="A2676" s="103" t="s">
        <v>4422</v>
      </c>
      <c r="B2676" s="149" t="str">
        <f>IFERROR(VLOOKUP(Proc[[#This Row],[App]],Table2[],3,0),"open")</f>
        <v>ok</v>
      </c>
      <c r="C2676" s="117" t="s">
        <v>369</v>
      </c>
      <c r="D2676" t="s">
        <v>4597</v>
      </c>
      <c r="E2676" t="s">
        <v>4749</v>
      </c>
      <c r="F2676" s="94" t="s">
        <v>4749</v>
      </c>
      <c r="G2676" s="103" t="s">
        <v>406</v>
      </c>
      <c r="H2676" s="94" t="str">
        <f>IF(Proc[[#This Row],[type]]="LFF (MDG-F)",MID(Proc[[#This Row],[Obj]],13,10),"")</f>
        <v>DE20538128</v>
      </c>
      <c r="I2676" s="103" t="s">
        <v>4785</v>
      </c>
      <c r="J2676" s="94" t="b">
        <f>Proc[[#This Row],[Requested]]=Proc[[#This Row],[CurrentParent]]</f>
        <v>1</v>
      </c>
      <c r="K2676" s="144" t="str">
        <f>IF(Proc[[#This Row],[Author]]="Marcela Urrego",VLOOKUP(LEFT(Proc[[#This Row],[Requested]],1),Table3[#All],2,0),VLOOKUP(Proc[[#This Row],[Author]],Table4[],2,0))</f>
        <v>MGF</v>
      </c>
      <c r="L2676" s="125" t="s">
        <v>4894</v>
      </c>
      <c r="M2676" s="109">
        <v>45841.453541666669</v>
      </c>
      <c r="N2676" s="109"/>
      <c r="O2676" s="109"/>
      <c r="P2676" s="110" t="str">
        <f ca="1">IF(Proc[[#This Row],[DaysAgeing]]&gt;5,"yep","on track")</f>
        <v>yep</v>
      </c>
      <c r="Q2676" s="3">
        <f ca="1">IF(Proc[[#This Row],[DateClosed]]="",ABS(NETWORKDAYS(Proc[[#This Row],[DateOpened]],TODAY()))-1,ABS(NETWORKDAYS(Proc[[#This Row],[DateOpened]],Proc[[#This Row],[DateClosed]]))-1)</f>
        <v>121</v>
      </c>
      <c r="R2676" s="110" t="s">
        <v>485</v>
      </c>
      <c r="S2676" s="94"/>
    </row>
    <row r="2677" spans="1:19" hidden="1">
      <c r="A2677" s="103" t="s">
        <v>4422</v>
      </c>
      <c r="B2677" s="149" t="str">
        <f>IFERROR(VLOOKUP(Proc[[#This Row],[App]],Table2[],3,0),"open")</f>
        <v>ok</v>
      </c>
      <c r="C2677" s="117" t="s">
        <v>369</v>
      </c>
      <c r="D2677" t="s">
        <v>4598</v>
      </c>
      <c r="E2677" t="s">
        <v>4748</v>
      </c>
      <c r="F2677" s="94" t="s">
        <v>4748</v>
      </c>
      <c r="G2677" s="103" t="s">
        <v>406</v>
      </c>
      <c r="H2677" s="94" t="str">
        <f>IF(Proc[[#This Row],[type]]="LFF (MDG-F)",MID(Proc[[#This Row],[Obj]],13,10),"")</f>
        <v>DE20538146</v>
      </c>
      <c r="I2677" s="103" t="s">
        <v>4785</v>
      </c>
      <c r="J2677" s="94" t="b">
        <f>Proc[[#This Row],[Requested]]=Proc[[#This Row],[CurrentParent]]</f>
        <v>1</v>
      </c>
      <c r="K2677" s="144" t="str">
        <f>IF(Proc[[#This Row],[Author]]="Marcela Urrego",VLOOKUP(LEFT(Proc[[#This Row],[Requested]],1),Table3[#All],2,0),VLOOKUP(Proc[[#This Row],[Author]],Table4[],2,0))</f>
        <v>MGF</v>
      </c>
      <c r="L2677" s="125" t="s">
        <v>4894</v>
      </c>
      <c r="M2677" s="109">
        <v>45841.453541666669</v>
      </c>
      <c r="N2677" s="109"/>
      <c r="O2677" s="109"/>
      <c r="P2677" s="110" t="str">
        <f ca="1">IF(Proc[[#This Row],[DaysAgeing]]&gt;5,"yep","on track")</f>
        <v>yep</v>
      </c>
      <c r="Q2677" s="3">
        <f ca="1">IF(Proc[[#This Row],[DateClosed]]="",ABS(NETWORKDAYS(Proc[[#This Row],[DateOpened]],TODAY()))-1,ABS(NETWORKDAYS(Proc[[#This Row],[DateOpened]],Proc[[#This Row],[DateClosed]]))-1)</f>
        <v>121</v>
      </c>
      <c r="R2677" s="110" t="s">
        <v>485</v>
      </c>
      <c r="S2677" s="94"/>
    </row>
    <row r="2678" spans="1:19" hidden="1">
      <c r="A2678" s="103" t="s">
        <v>4422</v>
      </c>
      <c r="B2678" s="149" t="str">
        <f>IFERROR(VLOOKUP(Proc[[#This Row],[App]],Table2[],3,0),"open")</f>
        <v>ok</v>
      </c>
      <c r="C2678" s="117" t="s">
        <v>369</v>
      </c>
      <c r="D2678" t="s">
        <v>4599</v>
      </c>
      <c r="E2678" t="s">
        <v>4748</v>
      </c>
      <c r="F2678" s="94" t="s">
        <v>4748</v>
      </c>
      <c r="G2678" s="103" t="s">
        <v>406</v>
      </c>
      <c r="H2678" s="94" t="str">
        <f>IF(Proc[[#This Row],[type]]="LFF (MDG-F)",MID(Proc[[#This Row],[Obj]],13,10),"")</f>
        <v>DE20538150</v>
      </c>
      <c r="I2678" s="103" t="s">
        <v>4785</v>
      </c>
      <c r="J2678" s="94" t="b">
        <f>Proc[[#This Row],[Requested]]=Proc[[#This Row],[CurrentParent]]</f>
        <v>1</v>
      </c>
      <c r="K2678" s="144" t="str">
        <f>IF(Proc[[#This Row],[Author]]="Marcela Urrego",VLOOKUP(LEFT(Proc[[#This Row],[Requested]],1),Table3[#All],2,0),VLOOKUP(Proc[[#This Row],[Author]],Table4[],2,0))</f>
        <v>MGF</v>
      </c>
      <c r="L2678" s="125" t="s">
        <v>4894</v>
      </c>
      <c r="M2678" s="109">
        <v>45841.453541666669</v>
      </c>
      <c r="N2678" s="109"/>
      <c r="O2678" s="109"/>
      <c r="P2678" s="110" t="str">
        <f ca="1">IF(Proc[[#This Row],[DaysAgeing]]&gt;5,"yep","on track")</f>
        <v>yep</v>
      </c>
      <c r="Q2678" s="3">
        <f ca="1">IF(Proc[[#This Row],[DateClosed]]="",ABS(NETWORKDAYS(Proc[[#This Row],[DateOpened]],TODAY()))-1,ABS(NETWORKDAYS(Proc[[#This Row],[DateOpened]],Proc[[#This Row],[DateClosed]]))-1)</f>
        <v>121</v>
      </c>
      <c r="R2678" s="110" t="s">
        <v>485</v>
      </c>
      <c r="S2678" s="94"/>
    </row>
    <row r="2679" spans="1:19" hidden="1">
      <c r="A2679" s="103" t="s">
        <v>4422</v>
      </c>
      <c r="B2679" s="149" t="str">
        <f>IFERROR(VLOOKUP(Proc[[#This Row],[App]],Table2[],3,0),"open")</f>
        <v>ok</v>
      </c>
      <c r="C2679" s="117" t="s">
        <v>369</v>
      </c>
      <c r="D2679" t="s">
        <v>4600</v>
      </c>
      <c r="E2679" t="s">
        <v>4747</v>
      </c>
      <c r="F2679" s="94" t="s">
        <v>4747</v>
      </c>
      <c r="G2679" s="103" t="s">
        <v>406</v>
      </c>
      <c r="H2679" s="94" t="str">
        <f>IF(Proc[[#This Row],[type]]="LFF (MDG-F)",MID(Proc[[#This Row],[Obj]],13,10),"")</f>
        <v>DE20538152</v>
      </c>
      <c r="I2679" s="103" t="s">
        <v>4785</v>
      </c>
      <c r="J2679" s="94" t="b">
        <f>Proc[[#This Row],[Requested]]=Proc[[#This Row],[CurrentParent]]</f>
        <v>1</v>
      </c>
      <c r="K2679" s="144" t="str">
        <f>IF(Proc[[#This Row],[Author]]="Marcela Urrego",VLOOKUP(LEFT(Proc[[#This Row],[Requested]],1),Table3[#All],2,0),VLOOKUP(Proc[[#This Row],[Author]],Table4[],2,0))</f>
        <v>MGF</v>
      </c>
      <c r="L2679" s="125" t="s">
        <v>4894</v>
      </c>
      <c r="M2679" s="109">
        <v>45841.453541666669</v>
      </c>
      <c r="N2679" s="109"/>
      <c r="O2679" s="109"/>
      <c r="P2679" s="110" t="str">
        <f ca="1">IF(Proc[[#This Row],[DaysAgeing]]&gt;5,"yep","on track")</f>
        <v>yep</v>
      </c>
      <c r="Q2679" s="3">
        <f ca="1">IF(Proc[[#This Row],[DateClosed]]="",ABS(NETWORKDAYS(Proc[[#This Row],[DateOpened]],TODAY()))-1,ABS(NETWORKDAYS(Proc[[#This Row],[DateOpened]],Proc[[#This Row],[DateClosed]]))-1)</f>
        <v>121</v>
      </c>
      <c r="R2679" s="110" t="s">
        <v>485</v>
      </c>
      <c r="S2679" s="94"/>
    </row>
    <row r="2680" spans="1:19" hidden="1">
      <c r="A2680" s="103" t="s">
        <v>4422</v>
      </c>
      <c r="B2680" s="149" t="str">
        <f>IFERROR(VLOOKUP(Proc[[#This Row],[App]],Table2[],3,0),"open")</f>
        <v>ok</v>
      </c>
      <c r="C2680" s="117" t="s">
        <v>369</v>
      </c>
      <c r="D2680" t="s">
        <v>4601</v>
      </c>
      <c r="E2680" t="s">
        <v>4747</v>
      </c>
      <c r="F2680" s="94" t="s">
        <v>4747</v>
      </c>
      <c r="G2680" s="103" t="s">
        <v>406</v>
      </c>
      <c r="H2680" s="94" t="str">
        <f>IF(Proc[[#This Row],[type]]="LFF (MDG-F)",MID(Proc[[#This Row],[Obj]],13,10),"")</f>
        <v>DE20538157</v>
      </c>
      <c r="I2680" s="103" t="s">
        <v>4785</v>
      </c>
      <c r="J2680" s="94" t="b">
        <f>Proc[[#This Row],[Requested]]=Proc[[#This Row],[CurrentParent]]</f>
        <v>1</v>
      </c>
      <c r="K2680" s="144" t="str">
        <f>IF(Proc[[#This Row],[Author]]="Marcela Urrego",VLOOKUP(LEFT(Proc[[#This Row],[Requested]],1),Table3[#All],2,0),VLOOKUP(Proc[[#This Row],[Author]],Table4[],2,0))</f>
        <v>MGF</v>
      </c>
      <c r="L2680" s="125" t="s">
        <v>4894</v>
      </c>
      <c r="M2680" s="109">
        <v>45841.453541666669</v>
      </c>
      <c r="N2680" s="109"/>
      <c r="O2680" s="109"/>
      <c r="P2680" s="110" t="str">
        <f ca="1">IF(Proc[[#This Row],[DaysAgeing]]&gt;5,"yep","on track")</f>
        <v>yep</v>
      </c>
      <c r="Q2680" s="3">
        <f ca="1">IF(Proc[[#This Row],[DateClosed]]="",ABS(NETWORKDAYS(Proc[[#This Row],[DateOpened]],TODAY()))-1,ABS(NETWORKDAYS(Proc[[#This Row],[DateOpened]],Proc[[#This Row],[DateClosed]]))-1)</f>
        <v>121</v>
      </c>
      <c r="R2680" s="110" t="s">
        <v>485</v>
      </c>
      <c r="S2680" s="94"/>
    </row>
    <row r="2681" spans="1:19" hidden="1">
      <c r="A2681" s="103" t="s">
        <v>4422</v>
      </c>
      <c r="B2681" s="149" t="str">
        <f>IFERROR(VLOOKUP(Proc[[#This Row],[App]],Table2[],3,0),"open")</f>
        <v>ok</v>
      </c>
      <c r="C2681" s="117" t="s">
        <v>369</v>
      </c>
      <c r="D2681" t="s">
        <v>4602</v>
      </c>
      <c r="E2681" t="s">
        <v>4747</v>
      </c>
      <c r="F2681" s="94" t="s">
        <v>4747</v>
      </c>
      <c r="G2681" s="103" t="s">
        <v>406</v>
      </c>
      <c r="H2681" s="94" t="str">
        <f>IF(Proc[[#This Row],[type]]="LFF (MDG-F)",MID(Proc[[#This Row],[Obj]],13,10),"")</f>
        <v>DE20538158</v>
      </c>
      <c r="I2681" s="103" t="s">
        <v>4785</v>
      </c>
      <c r="J2681" s="94" t="b">
        <f>Proc[[#This Row],[Requested]]=Proc[[#This Row],[CurrentParent]]</f>
        <v>1</v>
      </c>
      <c r="K2681" s="144" t="str">
        <f>IF(Proc[[#This Row],[Author]]="Marcela Urrego",VLOOKUP(LEFT(Proc[[#This Row],[Requested]],1),Table3[#All],2,0),VLOOKUP(Proc[[#This Row],[Author]],Table4[],2,0))</f>
        <v>MGF</v>
      </c>
      <c r="L2681" s="125" t="s">
        <v>4894</v>
      </c>
      <c r="M2681" s="109">
        <v>45841.453541666669</v>
      </c>
      <c r="N2681" s="109"/>
      <c r="O2681" s="109"/>
      <c r="P2681" s="110" t="str">
        <f ca="1">IF(Proc[[#This Row],[DaysAgeing]]&gt;5,"yep","on track")</f>
        <v>yep</v>
      </c>
      <c r="Q2681" s="3">
        <f ca="1">IF(Proc[[#This Row],[DateClosed]]="",ABS(NETWORKDAYS(Proc[[#This Row],[DateOpened]],TODAY()))-1,ABS(NETWORKDAYS(Proc[[#This Row],[DateOpened]],Proc[[#This Row],[DateClosed]]))-1)</f>
        <v>121</v>
      </c>
      <c r="R2681" s="110" t="s">
        <v>485</v>
      </c>
      <c r="S2681" s="94"/>
    </row>
    <row r="2682" spans="1:19" hidden="1">
      <c r="A2682" s="103" t="s">
        <v>4422</v>
      </c>
      <c r="B2682" s="149" t="str">
        <f>IFERROR(VLOOKUP(Proc[[#This Row],[App]],Table2[],3,0),"open")</f>
        <v>ok</v>
      </c>
      <c r="C2682" s="117" t="s">
        <v>369</v>
      </c>
      <c r="D2682" t="s">
        <v>4603</v>
      </c>
      <c r="E2682" t="s">
        <v>4747</v>
      </c>
      <c r="F2682" s="94" t="s">
        <v>4747</v>
      </c>
      <c r="G2682" s="103" t="s">
        <v>406</v>
      </c>
      <c r="H2682" s="94" t="str">
        <f>IF(Proc[[#This Row],[type]]="LFF (MDG-F)",MID(Proc[[#This Row],[Obj]],13,10),"")</f>
        <v>DE20538159</v>
      </c>
      <c r="I2682" s="103" t="s">
        <v>4785</v>
      </c>
      <c r="J2682" s="94" t="b">
        <f>Proc[[#This Row],[Requested]]=Proc[[#This Row],[CurrentParent]]</f>
        <v>1</v>
      </c>
      <c r="K2682" s="144" t="str">
        <f>IF(Proc[[#This Row],[Author]]="Marcela Urrego",VLOOKUP(LEFT(Proc[[#This Row],[Requested]],1),Table3[#All],2,0),VLOOKUP(Proc[[#This Row],[Author]],Table4[],2,0))</f>
        <v>MGF</v>
      </c>
      <c r="L2682" s="125" t="s">
        <v>4894</v>
      </c>
      <c r="M2682" s="109">
        <v>45841.453541666669</v>
      </c>
      <c r="N2682" s="109"/>
      <c r="O2682" s="109"/>
      <c r="P2682" s="110" t="str">
        <f ca="1">IF(Proc[[#This Row],[DaysAgeing]]&gt;5,"yep","on track")</f>
        <v>yep</v>
      </c>
      <c r="Q2682" s="3">
        <f ca="1">IF(Proc[[#This Row],[DateClosed]]="",ABS(NETWORKDAYS(Proc[[#This Row],[DateOpened]],TODAY()))-1,ABS(NETWORKDAYS(Proc[[#This Row],[DateOpened]],Proc[[#This Row],[DateClosed]]))-1)</f>
        <v>121</v>
      </c>
      <c r="R2682" s="110" t="s">
        <v>485</v>
      </c>
      <c r="S2682" s="94"/>
    </row>
    <row r="2683" spans="1:19" hidden="1">
      <c r="A2683" s="103" t="s">
        <v>4422</v>
      </c>
      <c r="B2683" s="149" t="str">
        <f>IFERROR(VLOOKUP(Proc[[#This Row],[App]],Table2[],3,0),"open")</f>
        <v>ok</v>
      </c>
      <c r="C2683" s="117" t="s">
        <v>369</v>
      </c>
      <c r="D2683" t="s">
        <v>4604</v>
      </c>
      <c r="E2683" t="s">
        <v>4747</v>
      </c>
      <c r="F2683" s="94" t="s">
        <v>4747</v>
      </c>
      <c r="G2683" s="103" t="s">
        <v>406</v>
      </c>
      <c r="H2683" s="94" t="str">
        <f>IF(Proc[[#This Row],[type]]="LFF (MDG-F)",MID(Proc[[#This Row],[Obj]],13,10),"")</f>
        <v>DE20538179</v>
      </c>
      <c r="I2683" s="103" t="s">
        <v>4785</v>
      </c>
      <c r="J2683" s="94" t="b">
        <f>Proc[[#This Row],[Requested]]=Proc[[#This Row],[CurrentParent]]</f>
        <v>1</v>
      </c>
      <c r="K2683" s="144" t="str">
        <f>IF(Proc[[#This Row],[Author]]="Marcela Urrego",VLOOKUP(LEFT(Proc[[#This Row],[Requested]],1),Table3[#All],2,0),VLOOKUP(Proc[[#This Row],[Author]],Table4[],2,0))</f>
        <v>MGF</v>
      </c>
      <c r="L2683" s="125" t="s">
        <v>4894</v>
      </c>
      <c r="M2683" s="109">
        <v>45841.453541666669</v>
      </c>
      <c r="N2683" s="109"/>
      <c r="O2683" s="109"/>
      <c r="P2683" s="110" t="str">
        <f ca="1">IF(Proc[[#This Row],[DaysAgeing]]&gt;5,"yep","on track")</f>
        <v>yep</v>
      </c>
      <c r="Q2683" s="3">
        <f ca="1">IF(Proc[[#This Row],[DateClosed]]="",ABS(NETWORKDAYS(Proc[[#This Row],[DateOpened]],TODAY()))-1,ABS(NETWORKDAYS(Proc[[#This Row],[DateOpened]],Proc[[#This Row],[DateClosed]]))-1)</f>
        <v>121</v>
      </c>
      <c r="R2683" s="110" t="s">
        <v>485</v>
      </c>
      <c r="S2683" s="94"/>
    </row>
    <row r="2684" spans="1:19" hidden="1">
      <c r="A2684" s="103" t="s">
        <v>4422</v>
      </c>
      <c r="B2684" s="149" t="str">
        <f>IFERROR(VLOOKUP(Proc[[#This Row],[App]],Table2[],3,0),"open")</f>
        <v>ok</v>
      </c>
      <c r="C2684" s="117" t="s">
        <v>369</v>
      </c>
      <c r="D2684" t="s">
        <v>4605</v>
      </c>
      <c r="E2684" t="s">
        <v>4749</v>
      </c>
      <c r="F2684" s="94" t="s">
        <v>4749</v>
      </c>
      <c r="G2684" s="103" t="s">
        <v>406</v>
      </c>
      <c r="H2684" s="94" t="str">
        <f>IF(Proc[[#This Row],[type]]="LFF (MDG-F)",MID(Proc[[#This Row],[Obj]],13,10),"")</f>
        <v>DE20538180</v>
      </c>
      <c r="I2684" s="103" t="s">
        <v>4785</v>
      </c>
      <c r="J2684" s="94" t="b">
        <f>Proc[[#This Row],[Requested]]=Proc[[#This Row],[CurrentParent]]</f>
        <v>1</v>
      </c>
      <c r="K2684" s="144" t="str">
        <f>IF(Proc[[#This Row],[Author]]="Marcela Urrego",VLOOKUP(LEFT(Proc[[#This Row],[Requested]],1),Table3[#All],2,0),VLOOKUP(Proc[[#This Row],[Author]],Table4[],2,0))</f>
        <v>MGF</v>
      </c>
      <c r="L2684" s="125" t="s">
        <v>4894</v>
      </c>
      <c r="M2684" s="109">
        <v>45841.453541666669</v>
      </c>
      <c r="N2684" s="109"/>
      <c r="O2684" s="109"/>
      <c r="P2684" s="110" t="str">
        <f ca="1">IF(Proc[[#This Row],[DaysAgeing]]&gt;5,"yep","on track")</f>
        <v>yep</v>
      </c>
      <c r="Q2684" s="3">
        <f ca="1">IF(Proc[[#This Row],[DateClosed]]="",ABS(NETWORKDAYS(Proc[[#This Row],[DateOpened]],TODAY()))-1,ABS(NETWORKDAYS(Proc[[#This Row],[DateOpened]],Proc[[#This Row],[DateClosed]]))-1)</f>
        <v>121</v>
      </c>
      <c r="R2684" s="110" t="s">
        <v>485</v>
      </c>
      <c r="S2684" s="94"/>
    </row>
    <row r="2685" spans="1:19" hidden="1">
      <c r="A2685" s="103" t="s">
        <v>4422</v>
      </c>
      <c r="B2685" s="149" t="str">
        <f>IFERROR(VLOOKUP(Proc[[#This Row],[App]],Table2[],3,0),"open")</f>
        <v>ok</v>
      </c>
      <c r="C2685" s="117" t="s">
        <v>369</v>
      </c>
      <c r="D2685" t="s">
        <v>4606</v>
      </c>
      <c r="E2685" t="s">
        <v>4747</v>
      </c>
      <c r="F2685" s="94" t="s">
        <v>4747</v>
      </c>
      <c r="G2685" s="103" t="s">
        <v>406</v>
      </c>
      <c r="H2685" s="94" t="str">
        <f>IF(Proc[[#This Row],[type]]="LFF (MDG-F)",MID(Proc[[#This Row],[Obj]],13,10),"")</f>
        <v>DE20538181</v>
      </c>
      <c r="I2685" s="103" t="s">
        <v>4785</v>
      </c>
      <c r="J2685" s="94" t="b">
        <f>Proc[[#This Row],[Requested]]=Proc[[#This Row],[CurrentParent]]</f>
        <v>1</v>
      </c>
      <c r="K2685" s="144" t="str">
        <f>IF(Proc[[#This Row],[Author]]="Marcela Urrego",VLOOKUP(LEFT(Proc[[#This Row],[Requested]],1),Table3[#All],2,0),VLOOKUP(Proc[[#This Row],[Author]],Table4[],2,0))</f>
        <v>MGF</v>
      </c>
      <c r="L2685" s="125" t="s">
        <v>4894</v>
      </c>
      <c r="M2685" s="109">
        <v>45841.453541666669</v>
      </c>
      <c r="N2685" s="109"/>
      <c r="O2685" s="109"/>
      <c r="P2685" s="110" t="str">
        <f ca="1">IF(Proc[[#This Row],[DaysAgeing]]&gt;5,"yep","on track")</f>
        <v>yep</v>
      </c>
      <c r="Q2685" s="3">
        <f ca="1">IF(Proc[[#This Row],[DateClosed]]="",ABS(NETWORKDAYS(Proc[[#This Row],[DateOpened]],TODAY()))-1,ABS(NETWORKDAYS(Proc[[#This Row],[DateOpened]],Proc[[#This Row],[DateClosed]]))-1)</f>
        <v>121</v>
      </c>
      <c r="R2685" s="110" t="s">
        <v>485</v>
      </c>
      <c r="S2685" s="94"/>
    </row>
    <row r="2686" spans="1:19" hidden="1">
      <c r="A2686" s="103" t="s">
        <v>4422</v>
      </c>
      <c r="B2686" s="149" t="str">
        <f>IFERROR(VLOOKUP(Proc[[#This Row],[App]],Table2[],3,0),"open")</f>
        <v>ok</v>
      </c>
      <c r="C2686" s="117" t="s">
        <v>369</v>
      </c>
      <c r="D2686" t="s">
        <v>4607</v>
      </c>
      <c r="E2686" t="s">
        <v>4747</v>
      </c>
      <c r="F2686" s="94" t="s">
        <v>4747</v>
      </c>
      <c r="G2686" s="103" t="s">
        <v>406</v>
      </c>
      <c r="H2686" s="94" t="str">
        <f>IF(Proc[[#This Row],[type]]="LFF (MDG-F)",MID(Proc[[#This Row],[Obj]],13,10),"")</f>
        <v>DE20538182</v>
      </c>
      <c r="I2686" s="103" t="s">
        <v>4785</v>
      </c>
      <c r="J2686" s="94" t="b">
        <f>Proc[[#This Row],[Requested]]=Proc[[#This Row],[CurrentParent]]</f>
        <v>1</v>
      </c>
      <c r="K2686" s="144" t="str">
        <f>IF(Proc[[#This Row],[Author]]="Marcela Urrego",VLOOKUP(LEFT(Proc[[#This Row],[Requested]],1),Table3[#All],2,0),VLOOKUP(Proc[[#This Row],[Author]],Table4[],2,0))</f>
        <v>MGF</v>
      </c>
      <c r="L2686" s="125" t="s">
        <v>4894</v>
      </c>
      <c r="M2686" s="109">
        <v>45841.453541666669</v>
      </c>
      <c r="N2686" s="109"/>
      <c r="O2686" s="109"/>
      <c r="P2686" s="110" t="str">
        <f ca="1">IF(Proc[[#This Row],[DaysAgeing]]&gt;5,"yep","on track")</f>
        <v>yep</v>
      </c>
      <c r="Q2686" s="3">
        <f ca="1">IF(Proc[[#This Row],[DateClosed]]="",ABS(NETWORKDAYS(Proc[[#This Row],[DateOpened]],TODAY()))-1,ABS(NETWORKDAYS(Proc[[#This Row],[DateOpened]],Proc[[#This Row],[DateClosed]]))-1)</f>
        <v>121</v>
      </c>
      <c r="R2686" s="110" t="s">
        <v>485</v>
      </c>
      <c r="S2686" s="94"/>
    </row>
    <row r="2687" spans="1:19" hidden="1">
      <c r="A2687" s="103" t="s">
        <v>4422</v>
      </c>
      <c r="B2687" s="149" t="str">
        <f>IFERROR(VLOOKUP(Proc[[#This Row],[App]],Table2[],3,0),"open")</f>
        <v>ok</v>
      </c>
      <c r="C2687" s="117" t="s">
        <v>369</v>
      </c>
      <c r="D2687" t="s">
        <v>4608</v>
      </c>
      <c r="E2687" t="s">
        <v>4747</v>
      </c>
      <c r="F2687" s="94" t="s">
        <v>4747</v>
      </c>
      <c r="G2687" s="103" t="s">
        <v>406</v>
      </c>
      <c r="H2687" s="94" t="str">
        <f>IF(Proc[[#This Row],[type]]="LFF (MDG-F)",MID(Proc[[#This Row],[Obj]],13,10),"")</f>
        <v>DE20538183</v>
      </c>
      <c r="I2687" s="103" t="s">
        <v>4785</v>
      </c>
      <c r="J2687" s="94" t="b">
        <f>Proc[[#This Row],[Requested]]=Proc[[#This Row],[CurrentParent]]</f>
        <v>1</v>
      </c>
      <c r="K2687" s="144" t="str">
        <f>IF(Proc[[#This Row],[Author]]="Marcela Urrego",VLOOKUP(LEFT(Proc[[#This Row],[Requested]],1),Table3[#All],2,0),VLOOKUP(Proc[[#This Row],[Author]],Table4[],2,0))</f>
        <v>MGF</v>
      </c>
      <c r="L2687" s="125" t="s">
        <v>4894</v>
      </c>
      <c r="M2687" s="109">
        <v>45841.453541666669</v>
      </c>
      <c r="N2687" s="109"/>
      <c r="O2687" s="109"/>
      <c r="P2687" s="110" t="str">
        <f ca="1">IF(Proc[[#This Row],[DaysAgeing]]&gt;5,"yep","on track")</f>
        <v>yep</v>
      </c>
      <c r="Q2687" s="3">
        <f ca="1">IF(Proc[[#This Row],[DateClosed]]="",ABS(NETWORKDAYS(Proc[[#This Row],[DateOpened]],TODAY()))-1,ABS(NETWORKDAYS(Proc[[#This Row],[DateOpened]],Proc[[#This Row],[DateClosed]]))-1)</f>
        <v>121</v>
      </c>
      <c r="R2687" s="110" t="s">
        <v>485</v>
      </c>
      <c r="S2687" s="94"/>
    </row>
    <row r="2688" spans="1:19" hidden="1">
      <c r="A2688" s="103" t="s">
        <v>4422</v>
      </c>
      <c r="B2688" s="149" t="str">
        <f>IFERROR(VLOOKUP(Proc[[#This Row],[App]],Table2[],3,0),"open")</f>
        <v>ok</v>
      </c>
      <c r="C2688" s="117" t="s">
        <v>369</v>
      </c>
      <c r="D2688" t="s">
        <v>4609</v>
      </c>
      <c r="E2688" t="s">
        <v>4749</v>
      </c>
      <c r="F2688" s="94" t="s">
        <v>4749</v>
      </c>
      <c r="G2688" s="103" t="s">
        <v>406</v>
      </c>
      <c r="H2688" s="94" t="str">
        <f>IF(Proc[[#This Row],[type]]="LFF (MDG-F)",MID(Proc[[#This Row],[Obj]],13,10),"")</f>
        <v>DE20538187</v>
      </c>
      <c r="I2688" s="103" t="s">
        <v>4785</v>
      </c>
      <c r="J2688" s="94" t="b">
        <f>Proc[[#This Row],[Requested]]=Proc[[#This Row],[CurrentParent]]</f>
        <v>1</v>
      </c>
      <c r="K2688" s="144" t="str">
        <f>IF(Proc[[#This Row],[Author]]="Marcela Urrego",VLOOKUP(LEFT(Proc[[#This Row],[Requested]],1),Table3[#All],2,0),VLOOKUP(Proc[[#This Row],[Author]],Table4[],2,0))</f>
        <v>MGF</v>
      </c>
      <c r="L2688" s="125" t="s">
        <v>4894</v>
      </c>
      <c r="M2688" s="109">
        <v>45841.453541666669</v>
      </c>
      <c r="N2688" s="109"/>
      <c r="O2688" s="109"/>
      <c r="P2688" s="110" t="str">
        <f ca="1">IF(Proc[[#This Row],[DaysAgeing]]&gt;5,"yep","on track")</f>
        <v>yep</v>
      </c>
      <c r="Q2688" s="3">
        <f ca="1">IF(Proc[[#This Row],[DateClosed]]="",ABS(NETWORKDAYS(Proc[[#This Row],[DateOpened]],TODAY()))-1,ABS(NETWORKDAYS(Proc[[#This Row],[DateOpened]],Proc[[#This Row],[DateClosed]]))-1)</f>
        <v>121</v>
      </c>
      <c r="R2688" s="110" t="s">
        <v>485</v>
      </c>
      <c r="S2688" s="94"/>
    </row>
    <row r="2689" spans="1:19" hidden="1">
      <c r="A2689" s="103" t="s">
        <v>4422</v>
      </c>
      <c r="B2689" s="149" t="str">
        <f>IFERROR(VLOOKUP(Proc[[#This Row],[App]],Table2[],3,0),"open")</f>
        <v>ok</v>
      </c>
      <c r="C2689" s="117" t="s">
        <v>369</v>
      </c>
      <c r="D2689" t="s">
        <v>4610</v>
      </c>
      <c r="E2689" t="s">
        <v>4747</v>
      </c>
      <c r="F2689" s="94" t="s">
        <v>4747</v>
      </c>
      <c r="G2689" s="103" t="s">
        <v>406</v>
      </c>
      <c r="H2689" s="94" t="str">
        <f>IF(Proc[[#This Row],[type]]="LFF (MDG-F)",MID(Proc[[#This Row],[Obj]],13,10),"")</f>
        <v>DE20538188</v>
      </c>
      <c r="I2689" s="103" t="s">
        <v>4785</v>
      </c>
      <c r="J2689" s="94" t="b">
        <f>Proc[[#This Row],[Requested]]=Proc[[#This Row],[CurrentParent]]</f>
        <v>1</v>
      </c>
      <c r="K2689" s="144" t="str">
        <f>IF(Proc[[#This Row],[Author]]="Marcela Urrego",VLOOKUP(LEFT(Proc[[#This Row],[Requested]],1),Table3[#All],2,0),VLOOKUP(Proc[[#This Row],[Author]],Table4[],2,0))</f>
        <v>MGF</v>
      </c>
      <c r="L2689" s="125" t="s">
        <v>4894</v>
      </c>
      <c r="M2689" s="109">
        <v>45841.453541666669</v>
      </c>
      <c r="N2689" s="109"/>
      <c r="O2689" s="109"/>
      <c r="P2689" s="110" t="str">
        <f ca="1">IF(Proc[[#This Row],[DaysAgeing]]&gt;5,"yep","on track")</f>
        <v>yep</v>
      </c>
      <c r="Q2689" s="3">
        <f ca="1">IF(Proc[[#This Row],[DateClosed]]="",ABS(NETWORKDAYS(Proc[[#This Row],[DateOpened]],TODAY()))-1,ABS(NETWORKDAYS(Proc[[#This Row],[DateOpened]],Proc[[#This Row],[DateClosed]]))-1)</f>
        <v>121</v>
      </c>
      <c r="R2689" s="110" t="s">
        <v>485</v>
      </c>
      <c r="S2689" s="94"/>
    </row>
    <row r="2690" spans="1:19" hidden="1">
      <c r="A2690" s="103" t="s">
        <v>4422</v>
      </c>
      <c r="B2690" s="149" t="str">
        <f>IFERROR(VLOOKUP(Proc[[#This Row],[App]],Table2[],3,0),"open")</f>
        <v>ok</v>
      </c>
      <c r="C2690" s="117" t="s">
        <v>369</v>
      </c>
      <c r="D2690" t="s">
        <v>4611</v>
      </c>
      <c r="E2690" t="s">
        <v>4747</v>
      </c>
      <c r="F2690" s="94" t="s">
        <v>4747</v>
      </c>
      <c r="G2690" s="103" t="s">
        <v>406</v>
      </c>
      <c r="H2690" s="94" t="str">
        <f>IF(Proc[[#This Row],[type]]="LFF (MDG-F)",MID(Proc[[#This Row],[Obj]],13,10),"")</f>
        <v>DE20538189</v>
      </c>
      <c r="I2690" s="103" t="s">
        <v>4785</v>
      </c>
      <c r="J2690" s="94" t="b">
        <f>Proc[[#This Row],[Requested]]=Proc[[#This Row],[CurrentParent]]</f>
        <v>1</v>
      </c>
      <c r="K2690" s="144" t="str">
        <f>IF(Proc[[#This Row],[Author]]="Marcela Urrego",VLOOKUP(LEFT(Proc[[#This Row],[Requested]],1),Table3[#All],2,0),VLOOKUP(Proc[[#This Row],[Author]],Table4[],2,0))</f>
        <v>MGF</v>
      </c>
      <c r="L2690" s="125" t="s">
        <v>4894</v>
      </c>
      <c r="M2690" s="109">
        <v>45841.453541666669</v>
      </c>
      <c r="N2690" s="109"/>
      <c r="O2690" s="109"/>
      <c r="P2690" s="110" t="str">
        <f ca="1">IF(Proc[[#This Row],[DaysAgeing]]&gt;5,"yep","on track")</f>
        <v>yep</v>
      </c>
      <c r="Q2690" s="3">
        <f ca="1">IF(Proc[[#This Row],[DateClosed]]="",ABS(NETWORKDAYS(Proc[[#This Row],[DateOpened]],TODAY()))-1,ABS(NETWORKDAYS(Proc[[#This Row],[DateOpened]],Proc[[#This Row],[DateClosed]]))-1)</f>
        <v>121</v>
      </c>
      <c r="R2690" s="110" t="s">
        <v>485</v>
      </c>
      <c r="S2690" s="94"/>
    </row>
    <row r="2691" spans="1:19" hidden="1">
      <c r="A2691" s="103" t="s">
        <v>4422</v>
      </c>
      <c r="B2691" s="149" t="str">
        <f>IFERROR(VLOOKUP(Proc[[#This Row],[App]],Table2[],3,0),"open")</f>
        <v>ok</v>
      </c>
      <c r="C2691" s="117" t="s">
        <v>369</v>
      </c>
      <c r="D2691" t="s">
        <v>4612</v>
      </c>
      <c r="E2691" t="s">
        <v>4747</v>
      </c>
      <c r="F2691" s="94" t="s">
        <v>4747</v>
      </c>
      <c r="G2691" s="103" t="s">
        <v>406</v>
      </c>
      <c r="H2691" s="94" t="str">
        <f>IF(Proc[[#This Row],[type]]="LFF (MDG-F)",MID(Proc[[#This Row],[Obj]],13,10),"")</f>
        <v>DE20538196</v>
      </c>
      <c r="I2691" s="103" t="s">
        <v>4785</v>
      </c>
      <c r="J2691" s="94" t="b">
        <f>Proc[[#This Row],[Requested]]=Proc[[#This Row],[CurrentParent]]</f>
        <v>1</v>
      </c>
      <c r="K2691" s="144" t="str">
        <f>IF(Proc[[#This Row],[Author]]="Marcela Urrego",VLOOKUP(LEFT(Proc[[#This Row],[Requested]],1),Table3[#All],2,0),VLOOKUP(Proc[[#This Row],[Author]],Table4[],2,0))</f>
        <v>MGF</v>
      </c>
      <c r="L2691" s="125" t="s">
        <v>4894</v>
      </c>
      <c r="M2691" s="109">
        <v>45841.453541666669</v>
      </c>
      <c r="N2691" s="109"/>
      <c r="O2691" s="109"/>
      <c r="P2691" s="110" t="str">
        <f ca="1">IF(Proc[[#This Row],[DaysAgeing]]&gt;5,"yep","on track")</f>
        <v>yep</v>
      </c>
      <c r="Q2691" s="3">
        <f ca="1">IF(Proc[[#This Row],[DateClosed]]="",ABS(NETWORKDAYS(Proc[[#This Row],[DateOpened]],TODAY()))-1,ABS(NETWORKDAYS(Proc[[#This Row],[DateOpened]],Proc[[#This Row],[DateClosed]]))-1)</f>
        <v>121</v>
      </c>
      <c r="R2691" s="110" t="s">
        <v>485</v>
      </c>
      <c r="S2691" s="94"/>
    </row>
    <row r="2692" spans="1:19" hidden="1">
      <c r="A2692" s="103" t="s">
        <v>4422</v>
      </c>
      <c r="B2692" s="149" t="str">
        <f>IFERROR(VLOOKUP(Proc[[#This Row],[App]],Table2[],3,0),"open")</f>
        <v>ok</v>
      </c>
      <c r="C2692" s="117" t="s">
        <v>369</v>
      </c>
      <c r="D2692" t="s">
        <v>4613</v>
      </c>
      <c r="E2692" t="s">
        <v>4748</v>
      </c>
      <c r="F2692" s="94" t="s">
        <v>4748</v>
      </c>
      <c r="G2692" s="103" t="s">
        <v>406</v>
      </c>
      <c r="H2692" s="94" t="str">
        <f>IF(Proc[[#This Row],[type]]="LFF (MDG-F)",MID(Proc[[#This Row],[Obj]],13,10),"")</f>
        <v>DE20538236</v>
      </c>
      <c r="I2692" s="103" t="s">
        <v>4785</v>
      </c>
      <c r="J2692" s="94" t="b">
        <f>Proc[[#This Row],[Requested]]=Proc[[#This Row],[CurrentParent]]</f>
        <v>1</v>
      </c>
      <c r="K2692" s="144" t="str">
        <f>IF(Proc[[#This Row],[Author]]="Marcela Urrego",VLOOKUP(LEFT(Proc[[#This Row],[Requested]],1),Table3[#All],2,0),VLOOKUP(Proc[[#This Row],[Author]],Table4[],2,0))</f>
        <v>MGF</v>
      </c>
      <c r="L2692" s="125" t="s">
        <v>4894</v>
      </c>
      <c r="M2692" s="109">
        <v>45841.453541666669</v>
      </c>
      <c r="N2692" s="109"/>
      <c r="O2692" s="109"/>
      <c r="P2692" s="110" t="str">
        <f ca="1">IF(Proc[[#This Row],[DaysAgeing]]&gt;5,"yep","on track")</f>
        <v>yep</v>
      </c>
      <c r="Q2692" s="3">
        <f ca="1">IF(Proc[[#This Row],[DateClosed]]="",ABS(NETWORKDAYS(Proc[[#This Row],[DateOpened]],TODAY()))-1,ABS(NETWORKDAYS(Proc[[#This Row],[DateOpened]],Proc[[#This Row],[DateClosed]]))-1)</f>
        <v>121</v>
      </c>
      <c r="R2692" s="110" t="s">
        <v>485</v>
      </c>
      <c r="S2692" s="94"/>
    </row>
    <row r="2693" spans="1:19" hidden="1">
      <c r="A2693" s="103" t="s">
        <v>4422</v>
      </c>
      <c r="B2693" s="149" t="str">
        <f>IFERROR(VLOOKUP(Proc[[#This Row],[App]],Table2[],3,0),"open")</f>
        <v>ok</v>
      </c>
      <c r="C2693" s="117" t="s">
        <v>369</v>
      </c>
      <c r="D2693" t="s">
        <v>4614</v>
      </c>
      <c r="E2693" t="s">
        <v>4747</v>
      </c>
      <c r="F2693" s="94" t="s">
        <v>4747</v>
      </c>
      <c r="G2693" s="103" t="s">
        <v>406</v>
      </c>
      <c r="H2693" s="94" t="str">
        <f>IF(Proc[[#This Row],[type]]="LFF (MDG-F)",MID(Proc[[#This Row],[Obj]],13,10),"")</f>
        <v>DE20538470</v>
      </c>
      <c r="I2693" s="103" t="s">
        <v>4785</v>
      </c>
      <c r="J2693" s="94" t="b">
        <f>Proc[[#This Row],[Requested]]=Proc[[#This Row],[CurrentParent]]</f>
        <v>1</v>
      </c>
      <c r="K2693" s="144" t="str">
        <f>IF(Proc[[#This Row],[Author]]="Marcela Urrego",VLOOKUP(LEFT(Proc[[#This Row],[Requested]],1),Table3[#All],2,0),VLOOKUP(Proc[[#This Row],[Author]],Table4[],2,0))</f>
        <v>MGF</v>
      </c>
      <c r="L2693" s="125" t="s">
        <v>4894</v>
      </c>
      <c r="M2693" s="109">
        <v>45841.453541666669</v>
      </c>
      <c r="N2693" s="109"/>
      <c r="O2693" s="109"/>
      <c r="P2693" s="110" t="str">
        <f ca="1">IF(Proc[[#This Row],[DaysAgeing]]&gt;5,"yep","on track")</f>
        <v>yep</v>
      </c>
      <c r="Q2693" s="3">
        <f ca="1">IF(Proc[[#This Row],[DateClosed]]="",ABS(NETWORKDAYS(Proc[[#This Row],[DateOpened]],TODAY()))-1,ABS(NETWORKDAYS(Proc[[#This Row],[DateOpened]],Proc[[#This Row],[DateClosed]]))-1)</f>
        <v>121</v>
      </c>
      <c r="R2693" s="110" t="s">
        <v>485</v>
      </c>
      <c r="S2693" s="94"/>
    </row>
    <row r="2694" spans="1:19" hidden="1">
      <c r="A2694" s="103" t="s">
        <v>4422</v>
      </c>
      <c r="B2694" s="149" t="str">
        <f>IFERROR(VLOOKUP(Proc[[#This Row],[App]],Table2[],3,0),"open")</f>
        <v>ok</v>
      </c>
      <c r="C2694" s="117" t="s">
        <v>369</v>
      </c>
      <c r="D2694" t="s">
        <v>4615</v>
      </c>
      <c r="E2694" t="s">
        <v>4749</v>
      </c>
      <c r="F2694" s="94" t="s">
        <v>4749</v>
      </c>
      <c r="G2694" s="103" t="s">
        <v>406</v>
      </c>
      <c r="H2694" s="94" t="str">
        <f>IF(Proc[[#This Row],[type]]="LFF (MDG-F)",MID(Proc[[#This Row],[Obj]],13,10),"")</f>
        <v>DE20538472</v>
      </c>
      <c r="I2694" s="103" t="s">
        <v>4785</v>
      </c>
      <c r="J2694" s="94" t="b">
        <f>Proc[[#This Row],[Requested]]=Proc[[#This Row],[CurrentParent]]</f>
        <v>1</v>
      </c>
      <c r="K2694" s="144" t="str">
        <f>IF(Proc[[#This Row],[Author]]="Marcela Urrego",VLOOKUP(LEFT(Proc[[#This Row],[Requested]],1),Table3[#All],2,0),VLOOKUP(Proc[[#This Row],[Author]],Table4[],2,0))</f>
        <v>MGF</v>
      </c>
      <c r="L2694" s="125" t="s">
        <v>4894</v>
      </c>
      <c r="M2694" s="109">
        <v>45841.453541666669</v>
      </c>
      <c r="N2694" s="109"/>
      <c r="O2694" s="109"/>
      <c r="P2694" s="110" t="str">
        <f ca="1">IF(Proc[[#This Row],[DaysAgeing]]&gt;5,"yep","on track")</f>
        <v>yep</v>
      </c>
      <c r="Q2694" s="3">
        <f ca="1">IF(Proc[[#This Row],[DateClosed]]="",ABS(NETWORKDAYS(Proc[[#This Row],[DateOpened]],TODAY()))-1,ABS(NETWORKDAYS(Proc[[#This Row],[DateOpened]],Proc[[#This Row],[DateClosed]]))-1)</f>
        <v>121</v>
      </c>
      <c r="R2694" s="110" t="s">
        <v>485</v>
      </c>
      <c r="S2694" s="94"/>
    </row>
    <row r="2695" spans="1:19" hidden="1">
      <c r="A2695" s="103" t="s">
        <v>4422</v>
      </c>
      <c r="B2695" s="149" t="str">
        <f>IFERROR(VLOOKUP(Proc[[#This Row],[App]],Table2[],3,0),"open")</f>
        <v>ok</v>
      </c>
      <c r="C2695" s="117" t="s">
        <v>369</v>
      </c>
      <c r="D2695" t="s">
        <v>4616</v>
      </c>
      <c r="E2695" t="s">
        <v>4749</v>
      </c>
      <c r="F2695" s="94" t="s">
        <v>4749</v>
      </c>
      <c r="G2695" s="103" t="s">
        <v>406</v>
      </c>
      <c r="H2695" s="94" t="str">
        <f>IF(Proc[[#This Row],[type]]="LFF (MDG-F)",MID(Proc[[#This Row],[Obj]],13,10),"")</f>
        <v>DE20538473</v>
      </c>
      <c r="I2695" s="103" t="s">
        <v>4785</v>
      </c>
      <c r="J2695" s="94" t="b">
        <f>Proc[[#This Row],[Requested]]=Proc[[#This Row],[CurrentParent]]</f>
        <v>1</v>
      </c>
      <c r="K2695" s="144" t="str">
        <f>IF(Proc[[#This Row],[Author]]="Marcela Urrego",VLOOKUP(LEFT(Proc[[#This Row],[Requested]],1),Table3[#All],2,0),VLOOKUP(Proc[[#This Row],[Author]],Table4[],2,0))</f>
        <v>MGF</v>
      </c>
      <c r="L2695" s="125" t="s">
        <v>4894</v>
      </c>
      <c r="M2695" s="109">
        <v>45841.453541666669</v>
      </c>
      <c r="N2695" s="109"/>
      <c r="O2695" s="109"/>
      <c r="P2695" s="110" t="str">
        <f ca="1">IF(Proc[[#This Row],[DaysAgeing]]&gt;5,"yep","on track")</f>
        <v>yep</v>
      </c>
      <c r="Q2695" s="3">
        <f ca="1">IF(Proc[[#This Row],[DateClosed]]="",ABS(NETWORKDAYS(Proc[[#This Row],[DateOpened]],TODAY()))-1,ABS(NETWORKDAYS(Proc[[#This Row],[DateOpened]],Proc[[#This Row],[DateClosed]]))-1)</f>
        <v>121</v>
      </c>
      <c r="R2695" s="110" t="s">
        <v>485</v>
      </c>
      <c r="S2695" s="94"/>
    </row>
    <row r="2696" spans="1:19" hidden="1">
      <c r="A2696" s="103" t="s">
        <v>4422</v>
      </c>
      <c r="B2696" s="149" t="str">
        <f>IFERROR(VLOOKUP(Proc[[#This Row],[App]],Table2[],3,0),"open")</f>
        <v>ok</v>
      </c>
      <c r="C2696" s="117" t="s">
        <v>369</v>
      </c>
      <c r="D2696" t="s">
        <v>4617</v>
      </c>
      <c r="E2696" t="s">
        <v>4747</v>
      </c>
      <c r="F2696" s="94" t="s">
        <v>4747</v>
      </c>
      <c r="G2696" s="103" t="s">
        <v>406</v>
      </c>
      <c r="H2696" s="94" t="str">
        <f>IF(Proc[[#This Row],[type]]="LFF (MDG-F)",MID(Proc[[#This Row],[Obj]],13,10),"")</f>
        <v>DE20538762</v>
      </c>
      <c r="I2696" s="103" t="s">
        <v>4785</v>
      </c>
      <c r="J2696" s="94" t="b">
        <f>Proc[[#This Row],[Requested]]=Proc[[#This Row],[CurrentParent]]</f>
        <v>1</v>
      </c>
      <c r="K2696" s="144" t="str">
        <f>IF(Proc[[#This Row],[Author]]="Marcela Urrego",VLOOKUP(LEFT(Proc[[#This Row],[Requested]],1),Table3[#All],2,0),VLOOKUP(Proc[[#This Row],[Author]],Table4[],2,0))</f>
        <v>MGF</v>
      </c>
      <c r="L2696" s="125" t="s">
        <v>4894</v>
      </c>
      <c r="M2696" s="109">
        <v>45841.453541666669</v>
      </c>
      <c r="N2696" s="109"/>
      <c r="O2696" s="109"/>
      <c r="P2696" s="110" t="str">
        <f ca="1">IF(Proc[[#This Row],[DaysAgeing]]&gt;5,"yep","on track")</f>
        <v>yep</v>
      </c>
      <c r="Q2696" s="3">
        <f ca="1">IF(Proc[[#This Row],[DateClosed]]="",ABS(NETWORKDAYS(Proc[[#This Row],[DateOpened]],TODAY()))-1,ABS(NETWORKDAYS(Proc[[#This Row],[DateOpened]],Proc[[#This Row],[DateClosed]]))-1)</f>
        <v>121</v>
      </c>
      <c r="R2696" s="110" t="s">
        <v>485</v>
      </c>
      <c r="S2696" s="94"/>
    </row>
    <row r="2697" spans="1:19" hidden="1">
      <c r="A2697" s="103" t="s">
        <v>4422</v>
      </c>
      <c r="B2697" s="149" t="str">
        <f>IFERROR(VLOOKUP(Proc[[#This Row],[App]],Table2[],3,0),"open")</f>
        <v>ok</v>
      </c>
      <c r="C2697" s="117" t="s">
        <v>369</v>
      </c>
      <c r="D2697" t="s">
        <v>4618</v>
      </c>
      <c r="E2697" t="s">
        <v>4747</v>
      </c>
      <c r="F2697" s="94" t="s">
        <v>4747</v>
      </c>
      <c r="G2697" s="103" t="s">
        <v>406</v>
      </c>
      <c r="H2697" s="94" t="str">
        <f>IF(Proc[[#This Row],[type]]="LFF (MDG-F)",MID(Proc[[#This Row],[Obj]],13,10),"")</f>
        <v>DE20538961</v>
      </c>
      <c r="I2697" s="103" t="s">
        <v>4785</v>
      </c>
      <c r="J2697" s="94" t="b">
        <f>Proc[[#This Row],[Requested]]=Proc[[#This Row],[CurrentParent]]</f>
        <v>1</v>
      </c>
      <c r="K2697" s="144" t="str">
        <f>IF(Proc[[#This Row],[Author]]="Marcela Urrego",VLOOKUP(LEFT(Proc[[#This Row],[Requested]],1),Table3[#All],2,0),VLOOKUP(Proc[[#This Row],[Author]],Table4[],2,0))</f>
        <v>MGF</v>
      </c>
      <c r="L2697" s="125" t="s">
        <v>4894</v>
      </c>
      <c r="M2697" s="109">
        <v>45841.453541666669</v>
      </c>
      <c r="N2697" s="109"/>
      <c r="O2697" s="109"/>
      <c r="P2697" s="110" t="str">
        <f ca="1">IF(Proc[[#This Row],[DaysAgeing]]&gt;5,"yep","on track")</f>
        <v>yep</v>
      </c>
      <c r="Q2697" s="3">
        <f ca="1">IF(Proc[[#This Row],[DateClosed]]="",ABS(NETWORKDAYS(Proc[[#This Row],[DateOpened]],TODAY()))-1,ABS(NETWORKDAYS(Proc[[#This Row],[DateOpened]],Proc[[#This Row],[DateClosed]]))-1)</f>
        <v>121</v>
      </c>
      <c r="R2697" s="110" t="s">
        <v>485</v>
      </c>
      <c r="S2697" s="94"/>
    </row>
    <row r="2698" spans="1:19" hidden="1">
      <c r="A2698" s="103" t="s">
        <v>4422</v>
      </c>
      <c r="B2698" s="149" t="str">
        <f>IFERROR(VLOOKUP(Proc[[#This Row],[App]],Table2[],3,0),"open")</f>
        <v>ok</v>
      </c>
      <c r="C2698" s="117" t="s">
        <v>369</v>
      </c>
      <c r="D2698" t="s">
        <v>4619</v>
      </c>
      <c r="E2698" t="s">
        <v>4747</v>
      </c>
      <c r="F2698" s="94" t="s">
        <v>4747</v>
      </c>
      <c r="G2698" s="103" t="s">
        <v>406</v>
      </c>
      <c r="H2698" s="94" t="str">
        <f>IF(Proc[[#This Row],[type]]="LFF (MDG-F)",MID(Proc[[#This Row],[Obj]],13,10),"")</f>
        <v>DE20538962</v>
      </c>
      <c r="I2698" s="103" t="s">
        <v>4785</v>
      </c>
      <c r="J2698" s="94" t="b">
        <f>Proc[[#This Row],[Requested]]=Proc[[#This Row],[CurrentParent]]</f>
        <v>1</v>
      </c>
      <c r="K2698" s="144" t="str">
        <f>IF(Proc[[#This Row],[Author]]="Marcela Urrego",VLOOKUP(LEFT(Proc[[#This Row],[Requested]],1),Table3[#All],2,0),VLOOKUP(Proc[[#This Row],[Author]],Table4[],2,0))</f>
        <v>MGF</v>
      </c>
      <c r="L2698" s="125" t="s">
        <v>4894</v>
      </c>
      <c r="M2698" s="109">
        <v>45841.453541666669</v>
      </c>
      <c r="N2698" s="109"/>
      <c r="O2698" s="109"/>
      <c r="P2698" s="110" t="str">
        <f ca="1">IF(Proc[[#This Row],[DaysAgeing]]&gt;5,"yep","on track")</f>
        <v>yep</v>
      </c>
      <c r="Q2698" s="3">
        <f ca="1">IF(Proc[[#This Row],[DateClosed]]="",ABS(NETWORKDAYS(Proc[[#This Row],[DateOpened]],TODAY()))-1,ABS(NETWORKDAYS(Proc[[#This Row],[DateOpened]],Proc[[#This Row],[DateClosed]]))-1)</f>
        <v>121</v>
      </c>
      <c r="R2698" s="110" t="s">
        <v>485</v>
      </c>
      <c r="S2698" s="94"/>
    </row>
    <row r="2699" spans="1:19" hidden="1">
      <c r="A2699" s="103" t="s">
        <v>4422</v>
      </c>
      <c r="B2699" s="149" t="str">
        <f>IFERROR(VLOOKUP(Proc[[#This Row],[App]],Table2[],3,0),"open")</f>
        <v>ok</v>
      </c>
      <c r="C2699" s="117" t="s">
        <v>369</v>
      </c>
      <c r="D2699" t="s">
        <v>4620</v>
      </c>
      <c r="E2699" t="s">
        <v>4748</v>
      </c>
      <c r="F2699" s="94" t="s">
        <v>4748</v>
      </c>
      <c r="G2699" s="103" t="s">
        <v>406</v>
      </c>
      <c r="H2699" s="94" t="str">
        <f>IF(Proc[[#This Row],[type]]="LFF (MDG-F)",MID(Proc[[#This Row],[Obj]],13,10),"")</f>
        <v>DE20538963</v>
      </c>
      <c r="I2699" s="103" t="s">
        <v>4785</v>
      </c>
      <c r="J2699" s="94" t="b">
        <f>Proc[[#This Row],[Requested]]=Proc[[#This Row],[CurrentParent]]</f>
        <v>1</v>
      </c>
      <c r="K2699" s="144" t="str">
        <f>IF(Proc[[#This Row],[Author]]="Marcela Urrego",VLOOKUP(LEFT(Proc[[#This Row],[Requested]],1),Table3[#All],2,0),VLOOKUP(Proc[[#This Row],[Author]],Table4[],2,0))</f>
        <v>MGF</v>
      </c>
      <c r="L2699" s="125" t="s">
        <v>4894</v>
      </c>
      <c r="M2699" s="109">
        <v>45841.453541666669</v>
      </c>
      <c r="N2699" s="109"/>
      <c r="O2699" s="109"/>
      <c r="P2699" s="110" t="str">
        <f ca="1">IF(Proc[[#This Row],[DaysAgeing]]&gt;5,"yep","on track")</f>
        <v>yep</v>
      </c>
      <c r="Q2699" s="3">
        <f ca="1">IF(Proc[[#This Row],[DateClosed]]="",ABS(NETWORKDAYS(Proc[[#This Row],[DateOpened]],TODAY()))-1,ABS(NETWORKDAYS(Proc[[#This Row],[DateOpened]],Proc[[#This Row],[DateClosed]]))-1)</f>
        <v>121</v>
      </c>
      <c r="R2699" s="110" t="s">
        <v>485</v>
      </c>
      <c r="S2699" s="94"/>
    </row>
    <row r="2700" spans="1:19" hidden="1">
      <c r="A2700" s="103" t="s">
        <v>4422</v>
      </c>
      <c r="B2700" s="149" t="str">
        <f>IFERROR(VLOOKUP(Proc[[#This Row],[App]],Table2[],3,0),"open")</f>
        <v>ok</v>
      </c>
      <c r="C2700" s="117" t="s">
        <v>369</v>
      </c>
      <c r="D2700" t="s">
        <v>4621</v>
      </c>
      <c r="E2700" t="s">
        <v>4748</v>
      </c>
      <c r="F2700" s="94" t="s">
        <v>4748</v>
      </c>
      <c r="G2700" s="103" t="s">
        <v>406</v>
      </c>
      <c r="H2700" s="94" t="str">
        <f>IF(Proc[[#This Row],[type]]="LFF (MDG-F)",MID(Proc[[#This Row],[Obj]],13,10),"")</f>
        <v>DE20538964</v>
      </c>
      <c r="I2700" s="103" t="s">
        <v>4785</v>
      </c>
      <c r="J2700" s="94" t="b">
        <f>Proc[[#This Row],[Requested]]=Proc[[#This Row],[CurrentParent]]</f>
        <v>1</v>
      </c>
      <c r="K2700" s="144" t="str">
        <f>IF(Proc[[#This Row],[Author]]="Marcela Urrego",VLOOKUP(LEFT(Proc[[#This Row],[Requested]],1),Table3[#All],2,0),VLOOKUP(Proc[[#This Row],[Author]],Table4[],2,0))</f>
        <v>MGF</v>
      </c>
      <c r="L2700" s="125" t="s">
        <v>4894</v>
      </c>
      <c r="M2700" s="109">
        <v>45841.453541666669</v>
      </c>
      <c r="N2700" s="109"/>
      <c r="O2700" s="109"/>
      <c r="P2700" s="110" t="str">
        <f ca="1">IF(Proc[[#This Row],[DaysAgeing]]&gt;5,"yep","on track")</f>
        <v>yep</v>
      </c>
      <c r="Q2700" s="3">
        <f ca="1">IF(Proc[[#This Row],[DateClosed]]="",ABS(NETWORKDAYS(Proc[[#This Row],[DateOpened]],TODAY()))-1,ABS(NETWORKDAYS(Proc[[#This Row],[DateOpened]],Proc[[#This Row],[DateClosed]]))-1)</f>
        <v>121</v>
      </c>
      <c r="R2700" s="110" t="s">
        <v>485</v>
      </c>
      <c r="S2700" s="94"/>
    </row>
    <row r="2701" spans="1:19" hidden="1">
      <c r="A2701" s="103" t="s">
        <v>4422</v>
      </c>
      <c r="B2701" s="149" t="str">
        <f>IFERROR(VLOOKUP(Proc[[#This Row],[App]],Table2[],3,0),"open")</f>
        <v>ok</v>
      </c>
      <c r="C2701" s="117" t="s">
        <v>369</v>
      </c>
      <c r="D2701" t="s">
        <v>4622</v>
      </c>
      <c r="E2701" t="s">
        <v>4748</v>
      </c>
      <c r="F2701" s="94" t="s">
        <v>4748</v>
      </c>
      <c r="G2701" s="103" t="s">
        <v>406</v>
      </c>
      <c r="H2701" s="94" t="str">
        <f>IF(Proc[[#This Row],[type]]="LFF (MDG-F)",MID(Proc[[#This Row],[Obj]],13,10),"")</f>
        <v>DE20538965</v>
      </c>
      <c r="I2701" s="103" t="s">
        <v>4785</v>
      </c>
      <c r="J2701" s="94" t="b">
        <f>Proc[[#This Row],[Requested]]=Proc[[#This Row],[CurrentParent]]</f>
        <v>1</v>
      </c>
      <c r="K2701" s="144" t="str">
        <f>IF(Proc[[#This Row],[Author]]="Marcela Urrego",VLOOKUP(LEFT(Proc[[#This Row],[Requested]],1),Table3[#All],2,0),VLOOKUP(Proc[[#This Row],[Author]],Table4[],2,0))</f>
        <v>MGF</v>
      </c>
      <c r="L2701" s="125" t="s">
        <v>4894</v>
      </c>
      <c r="M2701" s="109">
        <v>45841.453541666669</v>
      </c>
      <c r="N2701" s="109"/>
      <c r="O2701" s="109"/>
      <c r="P2701" s="110" t="str">
        <f ca="1">IF(Proc[[#This Row],[DaysAgeing]]&gt;5,"yep","on track")</f>
        <v>yep</v>
      </c>
      <c r="Q2701" s="3">
        <f ca="1">IF(Proc[[#This Row],[DateClosed]]="",ABS(NETWORKDAYS(Proc[[#This Row],[DateOpened]],TODAY()))-1,ABS(NETWORKDAYS(Proc[[#This Row],[DateOpened]],Proc[[#This Row],[DateClosed]]))-1)</f>
        <v>121</v>
      </c>
      <c r="R2701" s="110" t="s">
        <v>485</v>
      </c>
      <c r="S2701" s="94"/>
    </row>
    <row r="2702" spans="1:19" hidden="1">
      <c r="A2702" s="103" t="s">
        <v>4422</v>
      </c>
      <c r="B2702" s="149" t="str">
        <f>IFERROR(VLOOKUP(Proc[[#This Row],[App]],Table2[],3,0),"open")</f>
        <v>ok</v>
      </c>
      <c r="C2702" s="117" t="s">
        <v>369</v>
      </c>
      <c r="D2702" t="s">
        <v>4623</v>
      </c>
      <c r="E2702" t="s">
        <v>4748</v>
      </c>
      <c r="F2702" s="94" t="s">
        <v>4748</v>
      </c>
      <c r="G2702" s="103" t="s">
        <v>406</v>
      </c>
      <c r="H2702" s="94" t="str">
        <f>IF(Proc[[#This Row],[type]]="LFF (MDG-F)",MID(Proc[[#This Row],[Obj]],13,10),"")</f>
        <v>DE20538966</v>
      </c>
      <c r="I2702" s="103" t="s">
        <v>4785</v>
      </c>
      <c r="J2702" s="94" t="b">
        <f>Proc[[#This Row],[Requested]]=Proc[[#This Row],[CurrentParent]]</f>
        <v>1</v>
      </c>
      <c r="K2702" s="144" t="str">
        <f>IF(Proc[[#This Row],[Author]]="Marcela Urrego",VLOOKUP(LEFT(Proc[[#This Row],[Requested]],1),Table3[#All],2,0),VLOOKUP(Proc[[#This Row],[Author]],Table4[],2,0))</f>
        <v>MGF</v>
      </c>
      <c r="L2702" s="125" t="s">
        <v>4894</v>
      </c>
      <c r="M2702" s="109">
        <v>45841.453541666669</v>
      </c>
      <c r="N2702" s="109"/>
      <c r="O2702" s="109"/>
      <c r="P2702" s="110" t="str">
        <f ca="1">IF(Proc[[#This Row],[DaysAgeing]]&gt;5,"yep","on track")</f>
        <v>yep</v>
      </c>
      <c r="Q2702" s="3">
        <f ca="1">IF(Proc[[#This Row],[DateClosed]]="",ABS(NETWORKDAYS(Proc[[#This Row],[DateOpened]],TODAY()))-1,ABS(NETWORKDAYS(Proc[[#This Row],[DateOpened]],Proc[[#This Row],[DateClosed]]))-1)</f>
        <v>121</v>
      </c>
      <c r="R2702" s="110" t="s">
        <v>485</v>
      </c>
      <c r="S2702" s="94"/>
    </row>
    <row r="2703" spans="1:19" hidden="1">
      <c r="A2703" s="103" t="s">
        <v>4422</v>
      </c>
      <c r="B2703" s="149" t="str">
        <f>IFERROR(VLOOKUP(Proc[[#This Row],[App]],Table2[],3,0),"open")</f>
        <v>ok</v>
      </c>
      <c r="C2703" s="117" t="s">
        <v>369</v>
      </c>
      <c r="D2703" t="s">
        <v>4624</v>
      </c>
      <c r="E2703" t="s">
        <v>4748</v>
      </c>
      <c r="F2703" s="94" t="s">
        <v>4748</v>
      </c>
      <c r="G2703" s="103" t="s">
        <v>406</v>
      </c>
      <c r="H2703" s="94" t="str">
        <f>IF(Proc[[#This Row],[type]]="LFF (MDG-F)",MID(Proc[[#This Row],[Obj]],13,10),"")</f>
        <v>DE20538967</v>
      </c>
      <c r="I2703" s="103" t="s">
        <v>4785</v>
      </c>
      <c r="J2703" s="94" t="b">
        <f>Proc[[#This Row],[Requested]]=Proc[[#This Row],[CurrentParent]]</f>
        <v>1</v>
      </c>
      <c r="K2703" s="144" t="str">
        <f>IF(Proc[[#This Row],[Author]]="Marcela Urrego",VLOOKUP(LEFT(Proc[[#This Row],[Requested]],1),Table3[#All],2,0),VLOOKUP(Proc[[#This Row],[Author]],Table4[],2,0))</f>
        <v>MGF</v>
      </c>
      <c r="L2703" s="125" t="s">
        <v>4894</v>
      </c>
      <c r="M2703" s="109">
        <v>45841.453541666669</v>
      </c>
      <c r="N2703" s="109"/>
      <c r="O2703" s="109"/>
      <c r="P2703" s="110" t="str">
        <f ca="1">IF(Proc[[#This Row],[DaysAgeing]]&gt;5,"yep","on track")</f>
        <v>yep</v>
      </c>
      <c r="Q2703" s="3">
        <f ca="1">IF(Proc[[#This Row],[DateClosed]]="",ABS(NETWORKDAYS(Proc[[#This Row],[DateOpened]],TODAY()))-1,ABS(NETWORKDAYS(Proc[[#This Row],[DateOpened]],Proc[[#This Row],[DateClosed]]))-1)</f>
        <v>121</v>
      </c>
      <c r="R2703" s="110" t="s">
        <v>485</v>
      </c>
      <c r="S2703" s="94"/>
    </row>
    <row r="2704" spans="1:19" hidden="1">
      <c r="A2704" s="103" t="s">
        <v>4422</v>
      </c>
      <c r="B2704" s="149" t="str">
        <f>IFERROR(VLOOKUP(Proc[[#This Row],[App]],Table2[],3,0),"open")</f>
        <v>ok</v>
      </c>
      <c r="C2704" s="117" t="s">
        <v>369</v>
      </c>
      <c r="D2704" t="s">
        <v>4625</v>
      </c>
      <c r="E2704" t="s">
        <v>4748</v>
      </c>
      <c r="F2704" s="94" t="s">
        <v>4748</v>
      </c>
      <c r="G2704" s="103" t="s">
        <v>406</v>
      </c>
      <c r="H2704" s="94" t="str">
        <f>IF(Proc[[#This Row],[type]]="LFF (MDG-F)",MID(Proc[[#This Row],[Obj]],13,10),"")</f>
        <v>DE20538968</v>
      </c>
      <c r="I2704" s="103" t="s">
        <v>4785</v>
      </c>
      <c r="J2704" s="94" t="b">
        <f>Proc[[#This Row],[Requested]]=Proc[[#This Row],[CurrentParent]]</f>
        <v>1</v>
      </c>
      <c r="K2704" s="144" t="str">
        <f>IF(Proc[[#This Row],[Author]]="Marcela Urrego",VLOOKUP(LEFT(Proc[[#This Row],[Requested]],1),Table3[#All],2,0),VLOOKUP(Proc[[#This Row],[Author]],Table4[],2,0))</f>
        <v>MGF</v>
      </c>
      <c r="L2704" s="125" t="s">
        <v>4894</v>
      </c>
      <c r="M2704" s="109">
        <v>45841.453541666669</v>
      </c>
      <c r="N2704" s="109"/>
      <c r="O2704" s="109"/>
      <c r="P2704" s="110" t="str">
        <f ca="1">IF(Proc[[#This Row],[DaysAgeing]]&gt;5,"yep","on track")</f>
        <v>yep</v>
      </c>
      <c r="Q2704" s="3">
        <f ca="1">IF(Proc[[#This Row],[DateClosed]]="",ABS(NETWORKDAYS(Proc[[#This Row],[DateOpened]],TODAY()))-1,ABS(NETWORKDAYS(Proc[[#This Row],[DateOpened]],Proc[[#This Row],[DateClosed]]))-1)</f>
        <v>121</v>
      </c>
      <c r="R2704" s="110" t="s">
        <v>485</v>
      </c>
      <c r="S2704" s="94"/>
    </row>
    <row r="2705" spans="1:19" hidden="1">
      <c r="A2705" s="103" t="s">
        <v>4422</v>
      </c>
      <c r="B2705" s="149" t="str">
        <f>IFERROR(VLOOKUP(Proc[[#This Row],[App]],Table2[],3,0),"open")</f>
        <v>ok</v>
      </c>
      <c r="C2705" s="117" t="s">
        <v>369</v>
      </c>
      <c r="D2705" t="s">
        <v>4626</v>
      </c>
      <c r="E2705" t="s">
        <v>4748</v>
      </c>
      <c r="F2705" s="94" t="s">
        <v>4748</v>
      </c>
      <c r="G2705" s="103" t="s">
        <v>406</v>
      </c>
      <c r="H2705" s="94" t="str">
        <f>IF(Proc[[#This Row],[type]]="LFF (MDG-F)",MID(Proc[[#This Row],[Obj]],13,10),"")</f>
        <v>DE20538969</v>
      </c>
      <c r="I2705" s="103" t="s">
        <v>4785</v>
      </c>
      <c r="J2705" s="94" t="b">
        <f>Proc[[#This Row],[Requested]]=Proc[[#This Row],[CurrentParent]]</f>
        <v>1</v>
      </c>
      <c r="K2705" s="144" t="str">
        <f>IF(Proc[[#This Row],[Author]]="Marcela Urrego",VLOOKUP(LEFT(Proc[[#This Row],[Requested]],1),Table3[#All],2,0),VLOOKUP(Proc[[#This Row],[Author]],Table4[],2,0))</f>
        <v>MGF</v>
      </c>
      <c r="L2705" s="125" t="s">
        <v>4894</v>
      </c>
      <c r="M2705" s="109">
        <v>45841.453541666669</v>
      </c>
      <c r="N2705" s="109"/>
      <c r="O2705" s="109"/>
      <c r="P2705" s="110" t="str">
        <f ca="1">IF(Proc[[#This Row],[DaysAgeing]]&gt;5,"yep","on track")</f>
        <v>yep</v>
      </c>
      <c r="Q2705" s="3">
        <f ca="1">IF(Proc[[#This Row],[DateClosed]]="",ABS(NETWORKDAYS(Proc[[#This Row],[DateOpened]],TODAY()))-1,ABS(NETWORKDAYS(Proc[[#This Row],[DateOpened]],Proc[[#This Row],[DateClosed]]))-1)</f>
        <v>121</v>
      </c>
      <c r="R2705" s="110" t="s">
        <v>485</v>
      </c>
      <c r="S2705" s="94"/>
    </row>
    <row r="2706" spans="1:19" hidden="1">
      <c r="A2706" s="103" t="s">
        <v>4422</v>
      </c>
      <c r="B2706" s="149" t="str">
        <f>IFERROR(VLOOKUP(Proc[[#This Row],[App]],Table2[],3,0),"open")</f>
        <v>ok</v>
      </c>
      <c r="C2706" s="117" t="s">
        <v>369</v>
      </c>
      <c r="D2706" t="s">
        <v>4627</v>
      </c>
      <c r="E2706" t="s">
        <v>4748</v>
      </c>
      <c r="F2706" s="94" t="s">
        <v>4748</v>
      </c>
      <c r="G2706" s="103" t="s">
        <v>406</v>
      </c>
      <c r="H2706" s="94" t="str">
        <f>IF(Proc[[#This Row],[type]]="LFF (MDG-F)",MID(Proc[[#This Row],[Obj]],13,10),"")</f>
        <v>DE20538970</v>
      </c>
      <c r="I2706" s="103" t="s">
        <v>4785</v>
      </c>
      <c r="J2706" s="94" t="b">
        <f>Proc[[#This Row],[Requested]]=Proc[[#This Row],[CurrentParent]]</f>
        <v>1</v>
      </c>
      <c r="K2706" s="144" t="str">
        <f>IF(Proc[[#This Row],[Author]]="Marcela Urrego",VLOOKUP(LEFT(Proc[[#This Row],[Requested]],1),Table3[#All],2,0),VLOOKUP(Proc[[#This Row],[Author]],Table4[],2,0))</f>
        <v>MGF</v>
      </c>
      <c r="L2706" s="125" t="s">
        <v>4894</v>
      </c>
      <c r="M2706" s="109">
        <v>45841.453541666669</v>
      </c>
      <c r="N2706" s="109"/>
      <c r="O2706" s="109"/>
      <c r="P2706" s="110" t="str">
        <f ca="1">IF(Proc[[#This Row],[DaysAgeing]]&gt;5,"yep","on track")</f>
        <v>yep</v>
      </c>
      <c r="Q2706" s="3">
        <f ca="1">IF(Proc[[#This Row],[DateClosed]]="",ABS(NETWORKDAYS(Proc[[#This Row],[DateOpened]],TODAY()))-1,ABS(NETWORKDAYS(Proc[[#This Row],[DateOpened]],Proc[[#This Row],[DateClosed]]))-1)</f>
        <v>121</v>
      </c>
      <c r="R2706" s="110" t="s">
        <v>485</v>
      </c>
      <c r="S2706" s="94"/>
    </row>
    <row r="2707" spans="1:19" hidden="1">
      <c r="A2707" s="103" t="s">
        <v>4422</v>
      </c>
      <c r="B2707" s="149" t="str">
        <f>IFERROR(VLOOKUP(Proc[[#This Row],[App]],Table2[],3,0),"open")</f>
        <v>ok</v>
      </c>
      <c r="C2707" s="117" t="s">
        <v>369</v>
      </c>
      <c r="D2707" t="s">
        <v>4628</v>
      </c>
      <c r="E2707" t="s">
        <v>4748</v>
      </c>
      <c r="F2707" s="94" t="s">
        <v>4748</v>
      </c>
      <c r="G2707" s="103" t="s">
        <v>406</v>
      </c>
      <c r="H2707" s="94" t="str">
        <f>IF(Proc[[#This Row],[type]]="LFF (MDG-F)",MID(Proc[[#This Row],[Obj]],13,10),"")</f>
        <v>DE20538971</v>
      </c>
      <c r="I2707" s="103" t="s">
        <v>4785</v>
      </c>
      <c r="J2707" s="94" t="b">
        <f>Proc[[#This Row],[Requested]]=Proc[[#This Row],[CurrentParent]]</f>
        <v>1</v>
      </c>
      <c r="K2707" s="144" t="str">
        <f>IF(Proc[[#This Row],[Author]]="Marcela Urrego",VLOOKUP(LEFT(Proc[[#This Row],[Requested]],1),Table3[#All],2,0),VLOOKUP(Proc[[#This Row],[Author]],Table4[],2,0))</f>
        <v>MGF</v>
      </c>
      <c r="L2707" s="125" t="s">
        <v>4894</v>
      </c>
      <c r="M2707" s="109">
        <v>45841.453541666669</v>
      </c>
      <c r="N2707" s="109"/>
      <c r="O2707" s="109"/>
      <c r="P2707" s="110" t="str">
        <f ca="1">IF(Proc[[#This Row],[DaysAgeing]]&gt;5,"yep","on track")</f>
        <v>yep</v>
      </c>
      <c r="Q2707" s="3">
        <f ca="1">IF(Proc[[#This Row],[DateClosed]]="",ABS(NETWORKDAYS(Proc[[#This Row],[DateOpened]],TODAY()))-1,ABS(NETWORKDAYS(Proc[[#This Row],[DateOpened]],Proc[[#This Row],[DateClosed]]))-1)</f>
        <v>121</v>
      </c>
      <c r="R2707" s="110" t="s">
        <v>485</v>
      </c>
      <c r="S2707" s="94"/>
    </row>
    <row r="2708" spans="1:19" hidden="1">
      <c r="A2708" s="103" t="s">
        <v>4422</v>
      </c>
      <c r="B2708" s="149" t="str">
        <f>IFERROR(VLOOKUP(Proc[[#This Row],[App]],Table2[],3,0),"open")</f>
        <v>ok</v>
      </c>
      <c r="C2708" s="117" t="s">
        <v>369</v>
      </c>
      <c r="D2708" t="s">
        <v>4629</v>
      </c>
      <c r="E2708" t="s">
        <v>4748</v>
      </c>
      <c r="F2708" s="94" t="s">
        <v>4748</v>
      </c>
      <c r="G2708" s="103" t="s">
        <v>406</v>
      </c>
      <c r="H2708" s="94" t="str">
        <f>IF(Proc[[#This Row],[type]]="LFF (MDG-F)",MID(Proc[[#This Row],[Obj]],13,10),"")</f>
        <v>DE20538972</v>
      </c>
      <c r="I2708" s="103" t="s">
        <v>4785</v>
      </c>
      <c r="J2708" s="94" t="b">
        <f>Proc[[#This Row],[Requested]]=Proc[[#This Row],[CurrentParent]]</f>
        <v>1</v>
      </c>
      <c r="K2708" s="144" t="str">
        <f>IF(Proc[[#This Row],[Author]]="Marcela Urrego",VLOOKUP(LEFT(Proc[[#This Row],[Requested]],1),Table3[#All],2,0),VLOOKUP(Proc[[#This Row],[Author]],Table4[],2,0))</f>
        <v>MGF</v>
      </c>
      <c r="L2708" s="125" t="s">
        <v>4894</v>
      </c>
      <c r="M2708" s="109">
        <v>45841.453541666669</v>
      </c>
      <c r="N2708" s="109"/>
      <c r="O2708" s="109"/>
      <c r="P2708" s="110" t="str">
        <f ca="1">IF(Proc[[#This Row],[DaysAgeing]]&gt;5,"yep","on track")</f>
        <v>yep</v>
      </c>
      <c r="Q2708" s="3">
        <f ca="1">IF(Proc[[#This Row],[DateClosed]]="",ABS(NETWORKDAYS(Proc[[#This Row],[DateOpened]],TODAY()))-1,ABS(NETWORKDAYS(Proc[[#This Row],[DateOpened]],Proc[[#This Row],[DateClosed]]))-1)</f>
        <v>121</v>
      </c>
      <c r="R2708" s="110" t="s">
        <v>485</v>
      </c>
      <c r="S2708" s="94"/>
    </row>
    <row r="2709" spans="1:19" hidden="1">
      <c r="A2709" s="103" t="s">
        <v>4422</v>
      </c>
      <c r="B2709" s="149" t="str">
        <f>IFERROR(VLOOKUP(Proc[[#This Row],[App]],Table2[],3,0),"open")</f>
        <v>ok</v>
      </c>
      <c r="C2709" s="117" t="s">
        <v>369</v>
      </c>
      <c r="D2709" t="s">
        <v>4630</v>
      </c>
      <c r="E2709" t="s">
        <v>4748</v>
      </c>
      <c r="F2709" s="94" t="s">
        <v>4748</v>
      </c>
      <c r="G2709" s="103" t="s">
        <v>406</v>
      </c>
      <c r="H2709" s="94" t="str">
        <f>IF(Proc[[#This Row],[type]]="LFF (MDG-F)",MID(Proc[[#This Row],[Obj]],13,10),"")</f>
        <v>DE20538973</v>
      </c>
      <c r="I2709" s="103" t="s">
        <v>4785</v>
      </c>
      <c r="J2709" s="94" t="b">
        <f>Proc[[#This Row],[Requested]]=Proc[[#This Row],[CurrentParent]]</f>
        <v>1</v>
      </c>
      <c r="K2709" s="144" t="str">
        <f>IF(Proc[[#This Row],[Author]]="Marcela Urrego",VLOOKUP(LEFT(Proc[[#This Row],[Requested]],1),Table3[#All],2,0),VLOOKUP(Proc[[#This Row],[Author]],Table4[],2,0))</f>
        <v>MGF</v>
      </c>
      <c r="L2709" s="125" t="s">
        <v>4894</v>
      </c>
      <c r="M2709" s="109">
        <v>45841.453541666669</v>
      </c>
      <c r="N2709" s="109"/>
      <c r="O2709" s="109"/>
      <c r="P2709" s="110" t="str">
        <f ca="1">IF(Proc[[#This Row],[DaysAgeing]]&gt;5,"yep","on track")</f>
        <v>yep</v>
      </c>
      <c r="Q2709" s="3">
        <f ca="1">IF(Proc[[#This Row],[DateClosed]]="",ABS(NETWORKDAYS(Proc[[#This Row],[DateOpened]],TODAY()))-1,ABS(NETWORKDAYS(Proc[[#This Row],[DateOpened]],Proc[[#This Row],[DateClosed]]))-1)</f>
        <v>121</v>
      </c>
      <c r="R2709" s="110" t="s">
        <v>485</v>
      </c>
      <c r="S2709" s="94"/>
    </row>
    <row r="2710" spans="1:19" hidden="1">
      <c r="A2710" s="103" t="s">
        <v>4422</v>
      </c>
      <c r="B2710" s="149" t="str">
        <f>IFERROR(VLOOKUP(Proc[[#This Row],[App]],Table2[],3,0),"open")</f>
        <v>ok</v>
      </c>
      <c r="C2710" s="117" t="s">
        <v>369</v>
      </c>
      <c r="D2710" t="s">
        <v>4631</v>
      </c>
      <c r="E2710" t="s">
        <v>4748</v>
      </c>
      <c r="F2710" s="94" t="s">
        <v>4748</v>
      </c>
      <c r="G2710" s="103" t="s">
        <v>406</v>
      </c>
      <c r="H2710" s="94" t="str">
        <f>IF(Proc[[#This Row],[type]]="LFF (MDG-F)",MID(Proc[[#This Row],[Obj]],13,10),"")</f>
        <v>DE20538974</v>
      </c>
      <c r="I2710" s="103" t="s">
        <v>4785</v>
      </c>
      <c r="J2710" s="94" t="b">
        <f>Proc[[#This Row],[Requested]]=Proc[[#This Row],[CurrentParent]]</f>
        <v>1</v>
      </c>
      <c r="K2710" s="144" t="str">
        <f>IF(Proc[[#This Row],[Author]]="Marcela Urrego",VLOOKUP(LEFT(Proc[[#This Row],[Requested]],1),Table3[#All],2,0),VLOOKUP(Proc[[#This Row],[Author]],Table4[],2,0))</f>
        <v>MGF</v>
      </c>
      <c r="L2710" s="125" t="s">
        <v>4894</v>
      </c>
      <c r="M2710" s="109">
        <v>45841.453541666669</v>
      </c>
      <c r="N2710" s="109"/>
      <c r="O2710" s="109"/>
      <c r="P2710" s="110" t="str">
        <f ca="1">IF(Proc[[#This Row],[DaysAgeing]]&gt;5,"yep","on track")</f>
        <v>yep</v>
      </c>
      <c r="Q2710" s="3">
        <f ca="1">IF(Proc[[#This Row],[DateClosed]]="",ABS(NETWORKDAYS(Proc[[#This Row],[DateOpened]],TODAY()))-1,ABS(NETWORKDAYS(Proc[[#This Row],[DateOpened]],Proc[[#This Row],[DateClosed]]))-1)</f>
        <v>121</v>
      </c>
      <c r="R2710" s="110" t="s">
        <v>485</v>
      </c>
      <c r="S2710" s="94"/>
    </row>
    <row r="2711" spans="1:19" hidden="1">
      <c r="A2711" s="103" t="s">
        <v>4422</v>
      </c>
      <c r="B2711" s="149" t="str">
        <f>IFERROR(VLOOKUP(Proc[[#This Row],[App]],Table2[],3,0),"open")</f>
        <v>ok</v>
      </c>
      <c r="C2711" s="117" t="s">
        <v>369</v>
      </c>
      <c r="D2711" t="s">
        <v>4632</v>
      </c>
      <c r="E2711" t="s">
        <v>4748</v>
      </c>
      <c r="F2711" s="94" t="s">
        <v>4748</v>
      </c>
      <c r="G2711" s="103" t="s">
        <v>406</v>
      </c>
      <c r="H2711" s="94" t="str">
        <f>IF(Proc[[#This Row],[type]]="LFF (MDG-F)",MID(Proc[[#This Row],[Obj]],13,10),"")</f>
        <v>DE20538975</v>
      </c>
      <c r="I2711" s="103" t="s">
        <v>4785</v>
      </c>
      <c r="J2711" s="94" t="b">
        <f>Proc[[#This Row],[Requested]]=Proc[[#This Row],[CurrentParent]]</f>
        <v>1</v>
      </c>
      <c r="K2711" s="144" t="str">
        <f>IF(Proc[[#This Row],[Author]]="Marcela Urrego",VLOOKUP(LEFT(Proc[[#This Row],[Requested]],1),Table3[#All],2,0),VLOOKUP(Proc[[#This Row],[Author]],Table4[],2,0))</f>
        <v>MGF</v>
      </c>
      <c r="L2711" s="125" t="s">
        <v>4894</v>
      </c>
      <c r="M2711" s="109">
        <v>45841.453541666669</v>
      </c>
      <c r="N2711" s="109"/>
      <c r="O2711" s="109"/>
      <c r="P2711" s="110" t="str">
        <f ca="1">IF(Proc[[#This Row],[DaysAgeing]]&gt;5,"yep","on track")</f>
        <v>yep</v>
      </c>
      <c r="Q2711" s="3">
        <f ca="1">IF(Proc[[#This Row],[DateClosed]]="",ABS(NETWORKDAYS(Proc[[#This Row],[DateOpened]],TODAY()))-1,ABS(NETWORKDAYS(Proc[[#This Row],[DateOpened]],Proc[[#This Row],[DateClosed]]))-1)</f>
        <v>121</v>
      </c>
      <c r="R2711" s="110" t="s">
        <v>485</v>
      </c>
      <c r="S2711" s="94"/>
    </row>
    <row r="2712" spans="1:19" hidden="1">
      <c r="A2712" s="103" t="s">
        <v>4422</v>
      </c>
      <c r="B2712" s="149" t="str">
        <f>IFERROR(VLOOKUP(Proc[[#This Row],[App]],Table2[],3,0),"open")</f>
        <v>ok</v>
      </c>
      <c r="C2712" s="117" t="s">
        <v>369</v>
      </c>
      <c r="D2712" t="s">
        <v>4633</v>
      </c>
      <c r="E2712" t="s">
        <v>4748</v>
      </c>
      <c r="F2712" s="94" t="s">
        <v>4748</v>
      </c>
      <c r="G2712" s="103" t="s">
        <v>406</v>
      </c>
      <c r="H2712" s="94" t="str">
        <f>IF(Proc[[#This Row],[type]]="LFF (MDG-F)",MID(Proc[[#This Row],[Obj]],13,10),"")</f>
        <v>DE20538977</v>
      </c>
      <c r="I2712" s="103" t="s">
        <v>4785</v>
      </c>
      <c r="J2712" s="94" t="b">
        <f>Proc[[#This Row],[Requested]]=Proc[[#This Row],[CurrentParent]]</f>
        <v>1</v>
      </c>
      <c r="K2712" s="144" t="str">
        <f>IF(Proc[[#This Row],[Author]]="Marcela Urrego",VLOOKUP(LEFT(Proc[[#This Row],[Requested]],1),Table3[#All],2,0),VLOOKUP(Proc[[#This Row],[Author]],Table4[],2,0))</f>
        <v>MGF</v>
      </c>
      <c r="L2712" s="125" t="s">
        <v>4894</v>
      </c>
      <c r="M2712" s="109">
        <v>45841.453541666669</v>
      </c>
      <c r="N2712" s="109"/>
      <c r="O2712" s="109"/>
      <c r="P2712" s="110" t="str">
        <f ca="1">IF(Proc[[#This Row],[DaysAgeing]]&gt;5,"yep","on track")</f>
        <v>yep</v>
      </c>
      <c r="Q2712" s="3">
        <f ca="1">IF(Proc[[#This Row],[DateClosed]]="",ABS(NETWORKDAYS(Proc[[#This Row],[DateOpened]],TODAY()))-1,ABS(NETWORKDAYS(Proc[[#This Row],[DateOpened]],Proc[[#This Row],[DateClosed]]))-1)</f>
        <v>121</v>
      </c>
      <c r="R2712" s="110" t="s">
        <v>485</v>
      </c>
      <c r="S2712" s="94"/>
    </row>
    <row r="2713" spans="1:19" hidden="1">
      <c r="A2713" s="103" t="s">
        <v>4422</v>
      </c>
      <c r="B2713" s="149" t="str">
        <f>IFERROR(VLOOKUP(Proc[[#This Row],[App]],Table2[],3,0),"open")</f>
        <v>ok</v>
      </c>
      <c r="C2713" s="117" t="s">
        <v>369</v>
      </c>
      <c r="D2713" t="s">
        <v>4634</v>
      </c>
      <c r="E2713" t="s">
        <v>4747</v>
      </c>
      <c r="F2713" s="94" t="s">
        <v>4747</v>
      </c>
      <c r="G2713" s="103" t="s">
        <v>406</v>
      </c>
      <c r="H2713" s="94" t="str">
        <f>IF(Proc[[#This Row],[type]]="LFF (MDG-F)",MID(Proc[[#This Row],[Obj]],13,10),"")</f>
        <v>DE20538979</v>
      </c>
      <c r="I2713" s="103" t="s">
        <v>4785</v>
      </c>
      <c r="J2713" s="94" t="b">
        <f>Proc[[#This Row],[Requested]]=Proc[[#This Row],[CurrentParent]]</f>
        <v>1</v>
      </c>
      <c r="K2713" s="144" t="str">
        <f>IF(Proc[[#This Row],[Author]]="Marcela Urrego",VLOOKUP(LEFT(Proc[[#This Row],[Requested]],1),Table3[#All],2,0),VLOOKUP(Proc[[#This Row],[Author]],Table4[],2,0))</f>
        <v>MGF</v>
      </c>
      <c r="L2713" s="125" t="s">
        <v>4894</v>
      </c>
      <c r="M2713" s="109">
        <v>45841.453541666669</v>
      </c>
      <c r="N2713" s="109"/>
      <c r="O2713" s="109"/>
      <c r="P2713" s="110" t="str">
        <f ca="1">IF(Proc[[#This Row],[DaysAgeing]]&gt;5,"yep","on track")</f>
        <v>yep</v>
      </c>
      <c r="Q2713" s="3">
        <f ca="1">IF(Proc[[#This Row],[DateClosed]]="",ABS(NETWORKDAYS(Proc[[#This Row],[DateOpened]],TODAY()))-1,ABS(NETWORKDAYS(Proc[[#This Row],[DateOpened]],Proc[[#This Row],[DateClosed]]))-1)</f>
        <v>121</v>
      </c>
      <c r="R2713" s="110" t="s">
        <v>485</v>
      </c>
      <c r="S2713" s="94"/>
    </row>
    <row r="2714" spans="1:19" hidden="1">
      <c r="A2714" s="103" t="s">
        <v>4422</v>
      </c>
      <c r="B2714" s="149" t="str">
        <f>IFERROR(VLOOKUP(Proc[[#This Row],[App]],Table2[],3,0),"open")</f>
        <v>ok</v>
      </c>
      <c r="C2714" s="117" t="s">
        <v>369</v>
      </c>
      <c r="D2714" t="s">
        <v>4635</v>
      </c>
      <c r="E2714" t="s">
        <v>4747</v>
      </c>
      <c r="F2714" s="94" t="s">
        <v>4747</v>
      </c>
      <c r="G2714" s="103" t="s">
        <v>406</v>
      </c>
      <c r="H2714" s="94" t="str">
        <f>IF(Proc[[#This Row],[type]]="LFF (MDG-F)",MID(Proc[[#This Row],[Obj]],13,10),"")</f>
        <v>DE20538980</v>
      </c>
      <c r="I2714" s="103" t="s">
        <v>4785</v>
      </c>
      <c r="J2714" s="94" t="b">
        <f>Proc[[#This Row],[Requested]]=Proc[[#This Row],[CurrentParent]]</f>
        <v>1</v>
      </c>
      <c r="K2714" s="144" t="str">
        <f>IF(Proc[[#This Row],[Author]]="Marcela Urrego",VLOOKUP(LEFT(Proc[[#This Row],[Requested]],1),Table3[#All],2,0),VLOOKUP(Proc[[#This Row],[Author]],Table4[],2,0))</f>
        <v>MGF</v>
      </c>
      <c r="L2714" s="125" t="s">
        <v>4894</v>
      </c>
      <c r="M2714" s="109">
        <v>45841.453541666669</v>
      </c>
      <c r="N2714" s="109"/>
      <c r="O2714" s="109"/>
      <c r="P2714" s="110" t="str">
        <f ca="1">IF(Proc[[#This Row],[DaysAgeing]]&gt;5,"yep","on track")</f>
        <v>yep</v>
      </c>
      <c r="Q2714" s="3">
        <f ca="1">IF(Proc[[#This Row],[DateClosed]]="",ABS(NETWORKDAYS(Proc[[#This Row],[DateOpened]],TODAY()))-1,ABS(NETWORKDAYS(Proc[[#This Row],[DateOpened]],Proc[[#This Row],[DateClosed]]))-1)</f>
        <v>121</v>
      </c>
      <c r="R2714" s="110" t="s">
        <v>485</v>
      </c>
      <c r="S2714" s="94"/>
    </row>
    <row r="2715" spans="1:19" hidden="1">
      <c r="A2715" s="103" t="s">
        <v>4422</v>
      </c>
      <c r="B2715" s="149" t="str">
        <f>IFERROR(VLOOKUP(Proc[[#This Row],[App]],Table2[],3,0),"open")</f>
        <v>ok</v>
      </c>
      <c r="C2715" s="117" t="s">
        <v>369</v>
      </c>
      <c r="D2715" t="s">
        <v>4636</v>
      </c>
      <c r="E2715" t="s">
        <v>4747</v>
      </c>
      <c r="F2715" s="94" t="s">
        <v>4747</v>
      </c>
      <c r="G2715" s="103" t="s">
        <v>406</v>
      </c>
      <c r="H2715" s="94" t="str">
        <f>IF(Proc[[#This Row],[type]]="LFF (MDG-F)",MID(Proc[[#This Row],[Obj]],13,10),"")</f>
        <v>DE20538982</v>
      </c>
      <c r="I2715" s="103" t="s">
        <v>4785</v>
      </c>
      <c r="J2715" s="94" t="b">
        <f>Proc[[#This Row],[Requested]]=Proc[[#This Row],[CurrentParent]]</f>
        <v>1</v>
      </c>
      <c r="K2715" s="144" t="str">
        <f>IF(Proc[[#This Row],[Author]]="Marcela Urrego",VLOOKUP(LEFT(Proc[[#This Row],[Requested]],1),Table3[#All],2,0),VLOOKUP(Proc[[#This Row],[Author]],Table4[],2,0))</f>
        <v>MGF</v>
      </c>
      <c r="L2715" s="125" t="s">
        <v>4894</v>
      </c>
      <c r="M2715" s="109">
        <v>45841.453541666669</v>
      </c>
      <c r="N2715" s="109"/>
      <c r="O2715" s="109"/>
      <c r="P2715" s="110" t="str">
        <f ca="1">IF(Proc[[#This Row],[DaysAgeing]]&gt;5,"yep","on track")</f>
        <v>yep</v>
      </c>
      <c r="Q2715" s="3">
        <f ca="1">IF(Proc[[#This Row],[DateClosed]]="",ABS(NETWORKDAYS(Proc[[#This Row],[DateOpened]],TODAY()))-1,ABS(NETWORKDAYS(Proc[[#This Row],[DateOpened]],Proc[[#This Row],[DateClosed]]))-1)</f>
        <v>121</v>
      </c>
      <c r="R2715" s="110" t="s">
        <v>485</v>
      </c>
      <c r="S2715" s="94"/>
    </row>
    <row r="2716" spans="1:19" hidden="1">
      <c r="A2716" s="103" t="s">
        <v>4422</v>
      </c>
      <c r="B2716" s="149" t="str">
        <f>IFERROR(VLOOKUP(Proc[[#This Row],[App]],Table2[],3,0),"open")</f>
        <v>ok</v>
      </c>
      <c r="C2716" s="117" t="s">
        <v>369</v>
      </c>
      <c r="D2716" t="s">
        <v>4637</v>
      </c>
      <c r="E2716" t="s">
        <v>4748</v>
      </c>
      <c r="F2716" s="94" t="s">
        <v>4748</v>
      </c>
      <c r="G2716" s="103" t="s">
        <v>406</v>
      </c>
      <c r="H2716" s="94" t="str">
        <f>IF(Proc[[#This Row],[type]]="LFF (MDG-F)",MID(Proc[[#This Row],[Obj]],13,10),"")</f>
        <v>DE20538984</v>
      </c>
      <c r="I2716" s="103" t="s">
        <v>4785</v>
      </c>
      <c r="J2716" s="94" t="b">
        <f>Proc[[#This Row],[Requested]]=Proc[[#This Row],[CurrentParent]]</f>
        <v>1</v>
      </c>
      <c r="K2716" s="144" t="str">
        <f>IF(Proc[[#This Row],[Author]]="Marcela Urrego",VLOOKUP(LEFT(Proc[[#This Row],[Requested]],1),Table3[#All],2,0),VLOOKUP(Proc[[#This Row],[Author]],Table4[],2,0))</f>
        <v>MGF</v>
      </c>
      <c r="L2716" s="125" t="s">
        <v>4894</v>
      </c>
      <c r="M2716" s="109">
        <v>45841.453541666669</v>
      </c>
      <c r="N2716" s="109"/>
      <c r="O2716" s="109"/>
      <c r="P2716" s="110" t="str">
        <f ca="1">IF(Proc[[#This Row],[DaysAgeing]]&gt;5,"yep","on track")</f>
        <v>yep</v>
      </c>
      <c r="Q2716" s="3">
        <f ca="1">IF(Proc[[#This Row],[DateClosed]]="",ABS(NETWORKDAYS(Proc[[#This Row],[DateOpened]],TODAY()))-1,ABS(NETWORKDAYS(Proc[[#This Row],[DateOpened]],Proc[[#This Row],[DateClosed]]))-1)</f>
        <v>121</v>
      </c>
      <c r="R2716" s="110" t="s">
        <v>485</v>
      </c>
      <c r="S2716" s="94"/>
    </row>
    <row r="2717" spans="1:19" hidden="1">
      <c r="A2717" s="103" t="s">
        <v>4422</v>
      </c>
      <c r="B2717" s="149" t="str">
        <f>IFERROR(VLOOKUP(Proc[[#This Row],[App]],Table2[],3,0),"open")</f>
        <v>ok</v>
      </c>
      <c r="C2717" s="117" t="s">
        <v>369</v>
      </c>
      <c r="D2717" t="s">
        <v>4638</v>
      </c>
      <c r="E2717" t="s">
        <v>4748</v>
      </c>
      <c r="F2717" s="94" t="s">
        <v>4748</v>
      </c>
      <c r="G2717" s="103" t="s">
        <v>406</v>
      </c>
      <c r="H2717" s="94" t="str">
        <f>IF(Proc[[#This Row],[type]]="LFF (MDG-F)",MID(Proc[[#This Row],[Obj]],13,10),"")</f>
        <v>DE20538985</v>
      </c>
      <c r="I2717" s="103" t="s">
        <v>4785</v>
      </c>
      <c r="J2717" s="94" t="b">
        <f>Proc[[#This Row],[Requested]]=Proc[[#This Row],[CurrentParent]]</f>
        <v>1</v>
      </c>
      <c r="K2717" s="144" t="str">
        <f>IF(Proc[[#This Row],[Author]]="Marcela Urrego",VLOOKUP(LEFT(Proc[[#This Row],[Requested]],1),Table3[#All],2,0),VLOOKUP(Proc[[#This Row],[Author]],Table4[],2,0))</f>
        <v>MGF</v>
      </c>
      <c r="L2717" s="125" t="s">
        <v>4894</v>
      </c>
      <c r="M2717" s="109">
        <v>45841.453541666669</v>
      </c>
      <c r="N2717" s="109"/>
      <c r="O2717" s="109"/>
      <c r="P2717" s="110" t="str">
        <f ca="1">IF(Proc[[#This Row],[DaysAgeing]]&gt;5,"yep","on track")</f>
        <v>yep</v>
      </c>
      <c r="Q2717" s="3">
        <f ca="1">IF(Proc[[#This Row],[DateClosed]]="",ABS(NETWORKDAYS(Proc[[#This Row],[DateOpened]],TODAY()))-1,ABS(NETWORKDAYS(Proc[[#This Row],[DateOpened]],Proc[[#This Row],[DateClosed]]))-1)</f>
        <v>121</v>
      </c>
      <c r="R2717" s="110" t="s">
        <v>485</v>
      </c>
      <c r="S2717" s="94"/>
    </row>
    <row r="2718" spans="1:19" hidden="1">
      <c r="A2718" s="103" t="s">
        <v>4422</v>
      </c>
      <c r="B2718" s="149" t="str">
        <f>IFERROR(VLOOKUP(Proc[[#This Row],[App]],Table2[],3,0),"open")</f>
        <v>ok</v>
      </c>
      <c r="C2718" s="117" t="s">
        <v>369</v>
      </c>
      <c r="D2718" t="s">
        <v>4639</v>
      </c>
      <c r="E2718" t="s">
        <v>4748</v>
      </c>
      <c r="F2718" s="94" t="s">
        <v>4748</v>
      </c>
      <c r="G2718" s="103" t="s">
        <v>406</v>
      </c>
      <c r="H2718" s="94" t="str">
        <f>IF(Proc[[#This Row],[type]]="LFF (MDG-F)",MID(Proc[[#This Row],[Obj]],13,10),"")</f>
        <v>DE20538994</v>
      </c>
      <c r="I2718" s="103" t="s">
        <v>4785</v>
      </c>
      <c r="J2718" s="94" t="b">
        <f>Proc[[#This Row],[Requested]]=Proc[[#This Row],[CurrentParent]]</f>
        <v>1</v>
      </c>
      <c r="K2718" s="144" t="str">
        <f>IF(Proc[[#This Row],[Author]]="Marcela Urrego",VLOOKUP(LEFT(Proc[[#This Row],[Requested]],1),Table3[#All],2,0),VLOOKUP(Proc[[#This Row],[Author]],Table4[],2,0))</f>
        <v>MGF</v>
      </c>
      <c r="L2718" s="125" t="s">
        <v>4894</v>
      </c>
      <c r="M2718" s="109">
        <v>45841.453541666669</v>
      </c>
      <c r="N2718" s="109"/>
      <c r="O2718" s="109"/>
      <c r="P2718" s="110" t="str">
        <f ca="1">IF(Proc[[#This Row],[DaysAgeing]]&gt;5,"yep","on track")</f>
        <v>yep</v>
      </c>
      <c r="Q2718" s="3">
        <f ca="1">IF(Proc[[#This Row],[DateClosed]]="",ABS(NETWORKDAYS(Proc[[#This Row],[DateOpened]],TODAY()))-1,ABS(NETWORKDAYS(Proc[[#This Row],[DateOpened]],Proc[[#This Row],[DateClosed]]))-1)</f>
        <v>121</v>
      </c>
      <c r="R2718" s="110" t="s">
        <v>485</v>
      </c>
      <c r="S2718" s="94"/>
    </row>
    <row r="2719" spans="1:19" hidden="1">
      <c r="A2719" s="103" t="s">
        <v>4422</v>
      </c>
      <c r="B2719" s="149" t="str">
        <f>IFERROR(VLOOKUP(Proc[[#This Row],[App]],Table2[],3,0),"open")</f>
        <v>ok</v>
      </c>
      <c r="C2719" s="117" t="s">
        <v>369</v>
      </c>
      <c r="D2719" t="s">
        <v>4640</v>
      </c>
      <c r="E2719" t="s">
        <v>4748</v>
      </c>
      <c r="F2719" s="94" t="s">
        <v>4748</v>
      </c>
      <c r="G2719" s="103" t="s">
        <v>406</v>
      </c>
      <c r="H2719" s="94" t="str">
        <f>IF(Proc[[#This Row],[type]]="LFF (MDG-F)",MID(Proc[[#This Row],[Obj]],13,10),"")</f>
        <v>DE20539930</v>
      </c>
      <c r="I2719" s="103" t="s">
        <v>4785</v>
      </c>
      <c r="J2719" s="94" t="b">
        <f>Proc[[#This Row],[Requested]]=Proc[[#This Row],[CurrentParent]]</f>
        <v>1</v>
      </c>
      <c r="K2719" s="144" t="str">
        <f>IF(Proc[[#This Row],[Author]]="Marcela Urrego",VLOOKUP(LEFT(Proc[[#This Row],[Requested]],1),Table3[#All],2,0),VLOOKUP(Proc[[#This Row],[Author]],Table4[],2,0))</f>
        <v>MGF</v>
      </c>
      <c r="L2719" s="125" t="s">
        <v>4894</v>
      </c>
      <c r="M2719" s="109">
        <v>45841.453541666669</v>
      </c>
      <c r="N2719" s="109"/>
      <c r="O2719" s="109"/>
      <c r="P2719" s="110" t="str">
        <f ca="1">IF(Proc[[#This Row],[DaysAgeing]]&gt;5,"yep","on track")</f>
        <v>yep</v>
      </c>
      <c r="Q2719" s="3">
        <f ca="1">IF(Proc[[#This Row],[DateClosed]]="",ABS(NETWORKDAYS(Proc[[#This Row],[DateOpened]],TODAY()))-1,ABS(NETWORKDAYS(Proc[[#This Row],[DateOpened]],Proc[[#This Row],[DateClosed]]))-1)</f>
        <v>121</v>
      </c>
      <c r="R2719" s="110" t="s">
        <v>485</v>
      </c>
      <c r="S2719" s="94"/>
    </row>
    <row r="2720" spans="1:19" hidden="1">
      <c r="A2720" s="103" t="s">
        <v>4422</v>
      </c>
      <c r="B2720" s="149" t="str">
        <f>IFERROR(VLOOKUP(Proc[[#This Row],[App]],Table2[],3,0),"open")</f>
        <v>ok</v>
      </c>
      <c r="C2720" s="117" t="s">
        <v>369</v>
      </c>
      <c r="D2720" t="s">
        <v>4641</v>
      </c>
      <c r="E2720" t="s">
        <v>4748</v>
      </c>
      <c r="F2720" s="94" t="s">
        <v>4748</v>
      </c>
      <c r="G2720" s="103" t="s">
        <v>406</v>
      </c>
      <c r="H2720" s="94" t="str">
        <f>IF(Proc[[#This Row],[type]]="LFF (MDG-F)",MID(Proc[[#This Row],[Obj]],13,10),"")</f>
        <v>DE20539931</v>
      </c>
      <c r="I2720" s="103" t="s">
        <v>4785</v>
      </c>
      <c r="J2720" s="94" t="b">
        <f>Proc[[#This Row],[Requested]]=Proc[[#This Row],[CurrentParent]]</f>
        <v>1</v>
      </c>
      <c r="K2720" s="144" t="str">
        <f>IF(Proc[[#This Row],[Author]]="Marcela Urrego",VLOOKUP(LEFT(Proc[[#This Row],[Requested]],1),Table3[#All],2,0),VLOOKUP(Proc[[#This Row],[Author]],Table4[],2,0))</f>
        <v>MGF</v>
      </c>
      <c r="L2720" s="125" t="s">
        <v>4894</v>
      </c>
      <c r="M2720" s="109">
        <v>45841.453541666669</v>
      </c>
      <c r="N2720" s="109"/>
      <c r="O2720" s="109"/>
      <c r="P2720" s="110" t="str">
        <f ca="1">IF(Proc[[#This Row],[DaysAgeing]]&gt;5,"yep","on track")</f>
        <v>yep</v>
      </c>
      <c r="Q2720" s="3">
        <f ca="1">IF(Proc[[#This Row],[DateClosed]]="",ABS(NETWORKDAYS(Proc[[#This Row],[DateOpened]],TODAY()))-1,ABS(NETWORKDAYS(Proc[[#This Row],[DateOpened]],Proc[[#This Row],[DateClosed]]))-1)</f>
        <v>121</v>
      </c>
      <c r="R2720" s="110" t="s">
        <v>485</v>
      </c>
      <c r="S2720" s="94"/>
    </row>
    <row r="2721" spans="1:19" hidden="1">
      <c r="A2721" s="103" t="s">
        <v>4422</v>
      </c>
      <c r="B2721" s="149" t="str">
        <f>IFERROR(VLOOKUP(Proc[[#This Row],[App]],Table2[],3,0),"open")</f>
        <v>ok</v>
      </c>
      <c r="C2721" s="117" t="s">
        <v>369</v>
      </c>
      <c r="D2721" t="s">
        <v>4642</v>
      </c>
      <c r="E2721" t="s">
        <v>4748</v>
      </c>
      <c r="F2721" s="94" t="s">
        <v>4748</v>
      </c>
      <c r="G2721" s="103" t="s">
        <v>406</v>
      </c>
      <c r="H2721" s="94" t="str">
        <f>IF(Proc[[#This Row],[type]]="LFF (MDG-F)",MID(Proc[[#This Row],[Obj]],13,10),"")</f>
        <v>DE20539932</v>
      </c>
      <c r="I2721" s="103" t="s">
        <v>4785</v>
      </c>
      <c r="J2721" s="94" t="b">
        <f>Proc[[#This Row],[Requested]]=Proc[[#This Row],[CurrentParent]]</f>
        <v>1</v>
      </c>
      <c r="K2721" s="144" t="str">
        <f>IF(Proc[[#This Row],[Author]]="Marcela Urrego",VLOOKUP(LEFT(Proc[[#This Row],[Requested]],1),Table3[#All],2,0),VLOOKUP(Proc[[#This Row],[Author]],Table4[],2,0))</f>
        <v>MGF</v>
      </c>
      <c r="L2721" s="125" t="s">
        <v>4894</v>
      </c>
      <c r="M2721" s="109">
        <v>45841.453541666669</v>
      </c>
      <c r="N2721" s="109"/>
      <c r="O2721" s="109"/>
      <c r="P2721" s="110" t="str">
        <f ca="1">IF(Proc[[#This Row],[DaysAgeing]]&gt;5,"yep","on track")</f>
        <v>yep</v>
      </c>
      <c r="Q2721" s="3">
        <f ca="1">IF(Proc[[#This Row],[DateClosed]]="",ABS(NETWORKDAYS(Proc[[#This Row],[DateOpened]],TODAY()))-1,ABS(NETWORKDAYS(Proc[[#This Row],[DateOpened]],Proc[[#This Row],[DateClosed]]))-1)</f>
        <v>121</v>
      </c>
      <c r="R2721" s="110" t="s">
        <v>485</v>
      </c>
      <c r="S2721" s="94"/>
    </row>
    <row r="2722" spans="1:19" hidden="1">
      <c r="A2722" s="103" t="s">
        <v>4422</v>
      </c>
      <c r="B2722" s="149" t="str">
        <f>IFERROR(VLOOKUP(Proc[[#This Row],[App]],Table2[],3,0),"open")</f>
        <v>ok</v>
      </c>
      <c r="C2722" s="117" t="s">
        <v>369</v>
      </c>
      <c r="D2722" t="s">
        <v>4643</v>
      </c>
      <c r="E2722" t="s">
        <v>4748</v>
      </c>
      <c r="F2722" s="94" t="s">
        <v>4748</v>
      </c>
      <c r="G2722" s="103" t="s">
        <v>406</v>
      </c>
      <c r="H2722" s="94" t="str">
        <f>IF(Proc[[#This Row],[type]]="LFF (MDG-F)",MID(Proc[[#This Row],[Obj]],13,10),"")</f>
        <v>DE20539934</v>
      </c>
      <c r="I2722" s="103" t="s">
        <v>4785</v>
      </c>
      <c r="J2722" s="94" t="b">
        <f>Proc[[#This Row],[Requested]]=Proc[[#This Row],[CurrentParent]]</f>
        <v>1</v>
      </c>
      <c r="K2722" s="144" t="str">
        <f>IF(Proc[[#This Row],[Author]]="Marcela Urrego",VLOOKUP(LEFT(Proc[[#This Row],[Requested]],1),Table3[#All],2,0),VLOOKUP(Proc[[#This Row],[Author]],Table4[],2,0))</f>
        <v>MGF</v>
      </c>
      <c r="L2722" s="125" t="s">
        <v>4894</v>
      </c>
      <c r="M2722" s="109">
        <v>45841.453541666669</v>
      </c>
      <c r="N2722" s="109"/>
      <c r="O2722" s="109"/>
      <c r="P2722" s="110" t="str">
        <f ca="1">IF(Proc[[#This Row],[DaysAgeing]]&gt;5,"yep","on track")</f>
        <v>yep</v>
      </c>
      <c r="Q2722" s="3">
        <f ca="1">IF(Proc[[#This Row],[DateClosed]]="",ABS(NETWORKDAYS(Proc[[#This Row],[DateOpened]],TODAY()))-1,ABS(NETWORKDAYS(Proc[[#This Row],[DateOpened]],Proc[[#This Row],[DateClosed]]))-1)</f>
        <v>121</v>
      </c>
      <c r="R2722" s="110" t="s">
        <v>485</v>
      </c>
      <c r="S2722" s="94"/>
    </row>
    <row r="2723" spans="1:19" hidden="1">
      <c r="A2723" s="103" t="s">
        <v>4422</v>
      </c>
      <c r="B2723" s="149" t="str">
        <f>IFERROR(VLOOKUP(Proc[[#This Row],[App]],Table2[],3,0),"open")</f>
        <v>ok</v>
      </c>
      <c r="C2723" s="117" t="s">
        <v>369</v>
      </c>
      <c r="D2723" t="s">
        <v>4644</v>
      </c>
      <c r="E2723" t="s">
        <v>4748</v>
      </c>
      <c r="F2723" s="94" t="s">
        <v>4748</v>
      </c>
      <c r="G2723" s="103" t="s">
        <v>406</v>
      </c>
      <c r="H2723" s="94" t="str">
        <f>IF(Proc[[#This Row],[type]]="LFF (MDG-F)",MID(Proc[[#This Row],[Obj]],13,10),"")</f>
        <v>DE20539935</v>
      </c>
      <c r="I2723" s="103" t="s">
        <v>4785</v>
      </c>
      <c r="J2723" s="94" t="b">
        <f>Proc[[#This Row],[Requested]]=Proc[[#This Row],[CurrentParent]]</f>
        <v>1</v>
      </c>
      <c r="K2723" s="144" t="str">
        <f>IF(Proc[[#This Row],[Author]]="Marcela Urrego",VLOOKUP(LEFT(Proc[[#This Row],[Requested]],1),Table3[#All],2,0),VLOOKUP(Proc[[#This Row],[Author]],Table4[],2,0))</f>
        <v>MGF</v>
      </c>
      <c r="L2723" s="125" t="s">
        <v>4894</v>
      </c>
      <c r="M2723" s="109">
        <v>45841.453541666669</v>
      </c>
      <c r="N2723" s="109"/>
      <c r="O2723" s="109"/>
      <c r="P2723" s="110" t="str">
        <f ca="1">IF(Proc[[#This Row],[DaysAgeing]]&gt;5,"yep","on track")</f>
        <v>yep</v>
      </c>
      <c r="Q2723" s="3">
        <f ca="1">IF(Proc[[#This Row],[DateClosed]]="",ABS(NETWORKDAYS(Proc[[#This Row],[DateOpened]],TODAY()))-1,ABS(NETWORKDAYS(Proc[[#This Row],[DateOpened]],Proc[[#This Row],[DateClosed]]))-1)</f>
        <v>121</v>
      </c>
      <c r="R2723" s="110" t="s">
        <v>485</v>
      </c>
      <c r="S2723" s="94"/>
    </row>
    <row r="2724" spans="1:19" hidden="1">
      <c r="A2724" s="103" t="s">
        <v>4422</v>
      </c>
      <c r="B2724" s="149" t="str">
        <f>IFERROR(VLOOKUP(Proc[[#This Row],[App]],Table2[],3,0),"open")</f>
        <v>ok</v>
      </c>
      <c r="C2724" s="117" t="s">
        <v>369</v>
      </c>
      <c r="D2724" t="s">
        <v>4645</v>
      </c>
      <c r="E2724" t="s">
        <v>4748</v>
      </c>
      <c r="F2724" s="94" t="s">
        <v>4748</v>
      </c>
      <c r="G2724" s="103" t="s">
        <v>406</v>
      </c>
      <c r="H2724" s="94" t="str">
        <f>IF(Proc[[#This Row],[type]]="LFF (MDG-F)",MID(Proc[[#This Row],[Obj]],13,10),"")</f>
        <v>DE20539936</v>
      </c>
      <c r="I2724" s="103" t="s">
        <v>4785</v>
      </c>
      <c r="J2724" s="94" t="b">
        <f>Proc[[#This Row],[Requested]]=Proc[[#This Row],[CurrentParent]]</f>
        <v>1</v>
      </c>
      <c r="K2724" s="144" t="str">
        <f>IF(Proc[[#This Row],[Author]]="Marcela Urrego",VLOOKUP(LEFT(Proc[[#This Row],[Requested]],1),Table3[#All],2,0),VLOOKUP(Proc[[#This Row],[Author]],Table4[],2,0))</f>
        <v>MGF</v>
      </c>
      <c r="L2724" s="125" t="s">
        <v>4894</v>
      </c>
      <c r="M2724" s="109">
        <v>45841.453541666669</v>
      </c>
      <c r="N2724" s="109"/>
      <c r="O2724" s="109"/>
      <c r="P2724" s="110" t="str">
        <f ca="1">IF(Proc[[#This Row],[DaysAgeing]]&gt;5,"yep","on track")</f>
        <v>yep</v>
      </c>
      <c r="Q2724" s="3">
        <f ca="1">IF(Proc[[#This Row],[DateClosed]]="",ABS(NETWORKDAYS(Proc[[#This Row],[DateOpened]],TODAY()))-1,ABS(NETWORKDAYS(Proc[[#This Row],[DateOpened]],Proc[[#This Row],[DateClosed]]))-1)</f>
        <v>121</v>
      </c>
      <c r="R2724" s="110" t="s">
        <v>485</v>
      </c>
      <c r="S2724" s="94"/>
    </row>
    <row r="2725" spans="1:19" hidden="1">
      <c r="A2725" s="103" t="s">
        <v>4422</v>
      </c>
      <c r="B2725" s="149" t="str">
        <f>IFERROR(VLOOKUP(Proc[[#This Row],[App]],Table2[],3,0),"open")</f>
        <v>ok</v>
      </c>
      <c r="C2725" s="117" t="s">
        <v>369</v>
      </c>
      <c r="D2725" t="s">
        <v>4646</v>
      </c>
      <c r="E2725" t="s">
        <v>4748</v>
      </c>
      <c r="F2725" s="94" t="s">
        <v>4748</v>
      </c>
      <c r="G2725" s="103" t="s">
        <v>406</v>
      </c>
      <c r="H2725" s="94" t="str">
        <f>IF(Proc[[#This Row],[type]]="LFF (MDG-F)",MID(Proc[[#This Row],[Obj]],13,10),"")</f>
        <v>DE20539937</v>
      </c>
      <c r="I2725" s="103" t="s">
        <v>4785</v>
      </c>
      <c r="J2725" s="94" t="b">
        <f>Proc[[#This Row],[Requested]]=Proc[[#This Row],[CurrentParent]]</f>
        <v>1</v>
      </c>
      <c r="K2725" s="144" t="str">
        <f>IF(Proc[[#This Row],[Author]]="Marcela Urrego",VLOOKUP(LEFT(Proc[[#This Row],[Requested]],1),Table3[#All],2,0),VLOOKUP(Proc[[#This Row],[Author]],Table4[],2,0))</f>
        <v>MGF</v>
      </c>
      <c r="L2725" s="125" t="s">
        <v>4894</v>
      </c>
      <c r="M2725" s="109">
        <v>45841.453541666669</v>
      </c>
      <c r="N2725" s="109"/>
      <c r="O2725" s="109"/>
      <c r="P2725" s="110" t="str">
        <f ca="1">IF(Proc[[#This Row],[DaysAgeing]]&gt;5,"yep","on track")</f>
        <v>yep</v>
      </c>
      <c r="Q2725" s="3">
        <f ca="1">IF(Proc[[#This Row],[DateClosed]]="",ABS(NETWORKDAYS(Proc[[#This Row],[DateOpened]],TODAY()))-1,ABS(NETWORKDAYS(Proc[[#This Row],[DateOpened]],Proc[[#This Row],[DateClosed]]))-1)</f>
        <v>121</v>
      </c>
      <c r="R2725" s="110" t="s">
        <v>485</v>
      </c>
      <c r="S2725" s="94"/>
    </row>
    <row r="2726" spans="1:19" hidden="1">
      <c r="A2726" s="103" t="s">
        <v>4422</v>
      </c>
      <c r="B2726" s="149" t="str">
        <f>IFERROR(VLOOKUP(Proc[[#This Row],[App]],Table2[],3,0),"open")</f>
        <v>ok</v>
      </c>
      <c r="C2726" s="117" t="s">
        <v>369</v>
      </c>
      <c r="D2726" t="s">
        <v>4647</v>
      </c>
      <c r="E2726" t="s">
        <v>4748</v>
      </c>
      <c r="F2726" s="94" t="s">
        <v>4748</v>
      </c>
      <c r="G2726" s="103" t="s">
        <v>406</v>
      </c>
      <c r="H2726" s="94" t="str">
        <f>IF(Proc[[#This Row],[type]]="LFF (MDG-F)",MID(Proc[[#This Row],[Obj]],13,10),"")</f>
        <v>DE20539938</v>
      </c>
      <c r="I2726" s="103" t="s">
        <v>4785</v>
      </c>
      <c r="J2726" s="94" t="b">
        <f>Proc[[#This Row],[Requested]]=Proc[[#This Row],[CurrentParent]]</f>
        <v>1</v>
      </c>
      <c r="K2726" s="144" t="str">
        <f>IF(Proc[[#This Row],[Author]]="Marcela Urrego",VLOOKUP(LEFT(Proc[[#This Row],[Requested]],1),Table3[#All],2,0),VLOOKUP(Proc[[#This Row],[Author]],Table4[],2,0))</f>
        <v>MGF</v>
      </c>
      <c r="L2726" s="125" t="s">
        <v>4894</v>
      </c>
      <c r="M2726" s="109">
        <v>45841.453541666669</v>
      </c>
      <c r="N2726" s="109"/>
      <c r="O2726" s="109"/>
      <c r="P2726" s="110" t="str">
        <f ca="1">IF(Proc[[#This Row],[DaysAgeing]]&gt;5,"yep","on track")</f>
        <v>yep</v>
      </c>
      <c r="Q2726" s="3">
        <f ca="1">IF(Proc[[#This Row],[DateClosed]]="",ABS(NETWORKDAYS(Proc[[#This Row],[DateOpened]],TODAY()))-1,ABS(NETWORKDAYS(Proc[[#This Row],[DateOpened]],Proc[[#This Row],[DateClosed]]))-1)</f>
        <v>121</v>
      </c>
      <c r="R2726" s="110" t="s">
        <v>485</v>
      </c>
      <c r="S2726" s="94"/>
    </row>
    <row r="2727" spans="1:19" hidden="1">
      <c r="A2727" s="103" t="s">
        <v>4422</v>
      </c>
      <c r="B2727" s="149" t="str">
        <f>IFERROR(VLOOKUP(Proc[[#This Row],[App]],Table2[],3,0),"open")</f>
        <v>ok</v>
      </c>
      <c r="C2727" s="117" t="s">
        <v>369</v>
      </c>
      <c r="D2727" t="s">
        <v>4648</v>
      </c>
      <c r="E2727" t="s">
        <v>4748</v>
      </c>
      <c r="F2727" s="94" t="s">
        <v>4748</v>
      </c>
      <c r="G2727" s="103" t="s">
        <v>406</v>
      </c>
      <c r="H2727" s="94" t="str">
        <f>IF(Proc[[#This Row],[type]]="LFF (MDG-F)",MID(Proc[[#This Row],[Obj]],13,10),"")</f>
        <v>DE20539939</v>
      </c>
      <c r="I2727" s="103" t="s">
        <v>4785</v>
      </c>
      <c r="J2727" s="94" t="b">
        <f>Proc[[#This Row],[Requested]]=Proc[[#This Row],[CurrentParent]]</f>
        <v>1</v>
      </c>
      <c r="K2727" s="144" t="str">
        <f>IF(Proc[[#This Row],[Author]]="Marcela Urrego",VLOOKUP(LEFT(Proc[[#This Row],[Requested]],1),Table3[#All],2,0),VLOOKUP(Proc[[#This Row],[Author]],Table4[],2,0))</f>
        <v>MGF</v>
      </c>
      <c r="L2727" s="125" t="s">
        <v>4894</v>
      </c>
      <c r="M2727" s="109">
        <v>45841.453541666669</v>
      </c>
      <c r="N2727" s="109"/>
      <c r="O2727" s="109"/>
      <c r="P2727" s="110" t="str">
        <f ca="1">IF(Proc[[#This Row],[DaysAgeing]]&gt;5,"yep","on track")</f>
        <v>yep</v>
      </c>
      <c r="Q2727" s="3">
        <f ca="1">IF(Proc[[#This Row],[DateClosed]]="",ABS(NETWORKDAYS(Proc[[#This Row],[DateOpened]],TODAY()))-1,ABS(NETWORKDAYS(Proc[[#This Row],[DateOpened]],Proc[[#This Row],[DateClosed]]))-1)</f>
        <v>121</v>
      </c>
      <c r="R2727" s="110" t="s">
        <v>485</v>
      </c>
      <c r="S2727" s="94"/>
    </row>
    <row r="2728" spans="1:19" hidden="1">
      <c r="A2728" s="103" t="s">
        <v>4422</v>
      </c>
      <c r="B2728" s="149" t="str">
        <f>IFERROR(VLOOKUP(Proc[[#This Row],[App]],Table2[],3,0),"open")</f>
        <v>ok</v>
      </c>
      <c r="C2728" s="117" t="s">
        <v>369</v>
      </c>
      <c r="D2728" t="s">
        <v>4649</v>
      </c>
      <c r="E2728" t="s">
        <v>4748</v>
      </c>
      <c r="F2728" s="94" t="s">
        <v>4748</v>
      </c>
      <c r="G2728" s="103" t="s">
        <v>406</v>
      </c>
      <c r="H2728" s="94" t="str">
        <f>IF(Proc[[#This Row],[type]]="LFF (MDG-F)",MID(Proc[[#This Row],[Obj]],13,10),"")</f>
        <v>DE20539940</v>
      </c>
      <c r="I2728" s="103" t="s">
        <v>4785</v>
      </c>
      <c r="J2728" s="94" t="b">
        <f>Proc[[#This Row],[Requested]]=Proc[[#This Row],[CurrentParent]]</f>
        <v>1</v>
      </c>
      <c r="K2728" s="144" t="str">
        <f>IF(Proc[[#This Row],[Author]]="Marcela Urrego",VLOOKUP(LEFT(Proc[[#This Row],[Requested]],1),Table3[#All],2,0),VLOOKUP(Proc[[#This Row],[Author]],Table4[],2,0))</f>
        <v>MGF</v>
      </c>
      <c r="L2728" s="125" t="s">
        <v>4894</v>
      </c>
      <c r="M2728" s="109">
        <v>45841.453541666669</v>
      </c>
      <c r="N2728" s="109"/>
      <c r="O2728" s="109"/>
      <c r="P2728" s="110" t="str">
        <f ca="1">IF(Proc[[#This Row],[DaysAgeing]]&gt;5,"yep","on track")</f>
        <v>yep</v>
      </c>
      <c r="Q2728" s="3">
        <f ca="1">IF(Proc[[#This Row],[DateClosed]]="",ABS(NETWORKDAYS(Proc[[#This Row],[DateOpened]],TODAY()))-1,ABS(NETWORKDAYS(Proc[[#This Row],[DateOpened]],Proc[[#This Row],[DateClosed]]))-1)</f>
        <v>121</v>
      </c>
      <c r="R2728" s="110" t="s">
        <v>485</v>
      </c>
      <c r="S2728" s="94"/>
    </row>
    <row r="2729" spans="1:19" hidden="1">
      <c r="A2729" s="103" t="s">
        <v>4422</v>
      </c>
      <c r="B2729" s="149" t="str">
        <f>IFERROR(VLOOKUP(Proc[[#This Row],[App]],Table2[],3,0),"open")</f>
        <v>ok</v>
      </c>
      <c r="C2729" s="117" t="s">
        <v>369</v>
      </c>
      <c r="D2729" t="s">
        <v>4650</v>
      </c>
      <c r="E2729" t="s">
        <v>4748</v>
      </c>
      <c r="F2729" s="94" t="s">
        <v>4748</v>
      </c>
      <c r="G2729" s="103" t="s">
        <v>406</v>
      </c>
      <c r="H2729" s="94" t="str">
        <f>IF(Proc[[#This Row],[type]]="LFF (MDG-F)",MID(Proc[[#This Row],[Obj]],13,10),"")</f>
        <v>DE20539941</v>
      </c>
      <c r="I2729" s="103" t="s">
        <v>4785</v>
      </c>
      <c r="J2729" s="94" t="b">
        <f>Proc[[#This Row],[Requested]]=Proc[[#This Row],[CurrentParent]]</f>
        <v>1</v>
      </c>
      <c r="K2729" s="144" t="str">
        <f>IF(Proc[[#This Row],[Author]]="Marcela Urrego",VLOOKUP(LEFT(Proc[[#This Row],[Requested]],1),Table3[#All],2,0),VLOOKUP(Proc[[#This Row],[Author]],Table4[],2,0))</f>
        <v>MGF</v>
      </c>
      <c r="L2729" s="125" t="s">
        <v>4894</v>
      </c>
      <c r="M2729" s="109">
        <v>45841.453541666669</v>
      </c>
      <c r="N2729" s="109"/>
      <c r="O2729" s="109"/>
      <c r="P2729" s="110" t="str">
        <f ca="1">IF(Proc[[#This Row],[DaysAgeing]]&gt;5,"yep","on track")</f>
        <v>yep</v>
      </c>
      <c r="Q2729" s="3">
        <f ca="1">IF(Proc[[#This Row],[DateClosed]]="",ABS(NETWORKDAYS(Proc[[#This Row],[DateOpened]],TODAY()))-1,ABS(NETWORKDAYS(Proc[[#This Row],[DateOpened]],Proc[[#This Row],[DateClosed]]))-1)</f>
        <v>121</v>
      </c>
      <c r="R2729" s="110" t="s">
        <v>485</v>
      </c>
      <c r="S2729" s="94"/>
    </row>
    <row r="2730" spans="1:19" hidden="1">
      <c r="A2730" s="103" t="s">
        <v>4422</v>
      </c>
      <c r="B2730" s="149" t="str">
        <f>IFERROR(VLOOKUP(Proc[[#This Row],[App]],Table2[],3,0),"open")</f>
        <v>ok</v>
      </c>
      <c r="C2730" s="117" t="s">
        <v>369</v>
      </c>
      <c r="D2730" t="s">
        <v>4651</v>
      </c>
      <c r="E2730" t="s">
        <v>4748</v>
      </c>
      <c r="F2730" s="94" t="s">
        <v>4748</v>
      </c>
      <c r="G2730" s="103" t="s">
        <v>406</v>
      </c>
      <c r="H2730" s="94" t="str">
        <f>IF(Proc[[#This Row],[type]]="LFF (MDG-F)",MID(Proc[[#This Row],[Obj]],13,10),"")</f>
        <v>DE20539942</v>
      </c>
      <c r="I2730" s="103" t="s">
        <v>4785</v>
      </c>
      <c r="J2730" s="94" t="b">
        <f>Proc[[#This Row],[Requested]]=Proc[[#This Row],[CurrentParent]]</f>
        <v>1</v>
      </c>
      <c r="K2730" s="144" t="str">
        <f>IF(Proc[[#This Row],[Author]]="Marcela Urrego",VLOOKUP(LEFT(Proc[[#This Row],[Requested]],1),Table3[#All],2,0),VLOOKUP(Proc[[#This Row],[Author]],Table4[],2,0))</f>
        <v>MGF</v>
      </c>
      <c r="L2730" s="125" t="s">
        <v>4894</v>
      </c>
      <c r="M2730" s="109">
        <v>45841.453541666669</v>
      </c>
      <c r="N2730" s="109"/>
      <c r="O2730" s="109"/>
      <c r="P2730" s="110" t="str">
        <f ca="1">IF(Proc[[#This Row],[DaysAgeing]]&gt;5,"yep","on track")</f>
        <v>yep</v>
      </c>
      <c r="Q2730" s="3">
        <f ca="1">IF(Proc[[#This Row],[DateClosed]]="",ABS(NETWORKDAYS(Proc[[#This Row],[DateOpened]],TODAY()))-1,ABS(NETWORKDAYS(Proc[[#This Row],[DateOpened]],Proc[[#This Row],[DateClosed]]))-1)</f>
        <v>121</v>
      </c>
      <c r="R2730" s="110" t="s">
        <v>485</v>
      </c>
      <c r="S2730" s="94"/>
    </row>
    <row r="2731" spans="1:19" hidden="1">
      <c r="A2731" s="103" t="s">
        <v>4422</v>
      </c>
      <c r="B2731" s="149" t="str">
        <f>IFERROR(VLOOKUP(Proc[[#This Row],[App]],Table2[],3,0),"open")</f>
        <v>ok</v>
      </c>
      <c r="C2731" s="117" t="s">
        <v>369</v>
      </c>
      <c r="D2731" t="s">
        <v>4652</v>
      </c>
      <c r="E2731" t="s">
        <v>4748</v>
      </c>
      <c r="F2731" s="94" t="s">
        <v>4748</v>
      </c>
      <c r="G2731" s="103" t="s">
        <v>406</v>
      </c>
      <c r="H2731" s="94" t="str">
        <f>IF(Proc[[#This Row],[type]]="LFF (MDG-F)",MID(Proc[[#This Row],[Obj]],13,10),"")</f>
        <v>DE20539943</v>
      </c>
      <c r="I2731" s="103" t="s">
        <v>4785</v>
      </c>
      <c r="J2731" s="94" t="b">
        <f>Proc[[#This Row],[Requested]]=Proc[[#This Row],[CurrentParent]]</f>
        <v>1</v>
      </c>
      <c r="K2731" s="144" t="str">
        <f>IF(Proc[[#This Row],[Author]]="Marcela Urrego",VLOOKUP(LEFT(Proc[[#This Row],[Requested]],1),Table3[#All],2,0),VLOOKUP(Proc[[#This Row],[Author]],Table4[],2,0))</f>
        <v>MGF</v>
      </c>
      <c r="L2731" s="125" t="s">
        <v>4894</v>
      </c>
      <c r="M2731" s="109">
        <v>45841.453541666669</v>
      </c>
      <c r="N2731" s="109"/>
      <c r="O2731" s="109"/>
      <c r="P2731" s="110" t="str">
        <f ca="1">IF(Proc[[#This Row],[DaysAgeing]]&gt;5,"yep","on track")</f>
        <v>yep</v>
      </c>
      <c r="Q2731" s="3">
        <f ca="1">IF(Proc[[#This Row],[DateClosed]]="",ABS(NETWORKDAYS(Proc[[#This Row],[DateOpened]],TODAY()))-1,ABS(NETWORKDAYS(Proc[[#This Row],[DateOpened]],Proc[[#This Row],[DateClosed]]))-1)</f>
        <v>121</v>
      </c>
      <c r="R2731" s="110" t="s">
        <v>485</v>
      </c>
      <c r="S2731" s="94"/>
    </row>
    <row r="2732" spans="1:19" hidden="1">
      <c r="A2732" s="103" t="s">
        <v>4422</v>
      </c>
      <c r="B2732" s="149" t="str">
        <f>IFERROR(VLOOKUP(Proc[[#This Row],[App]],Table2[],3,0),"open")</f>
        <v>ok</v>
      </c>
      <c r="C2732" s="117" t="s">
        <v>369</v>
      </c>
      <c r="D2732" t="s">
        <v>4653</v>
      </c>
      <c r="E2732" t="s">
        <v>4748</v>
      </c>
      <c r="F2732" s="94" t="s">
        <v>4748</v>
      </c>
      <c r="G2732" s="103" t="s">
        <v>406</v>
      </c>
      <c r="H2732" s="94" t="str">
        <f>IF(Proc[[#This Row],[type]]="LFF (MDG-F)",MID(Proc[[#This Row],[Obj]],13,10),"")</f>
        <v>DE20539944</v>
      </c>
      <c r="I2732" s="103" t="s">
        <v>4785</v>
      </c>
      <c r="J2732" s="94" t="b">
        <f>Proc[[#This Row],[Requested]]=Proc[[#This Row],[CurrentParent]]</f>
        <v>1</v>
      </c>
      <c r="K2732" s="144" t="str">
        <f>IF(Proc[[#This Row],[Author]]="Marcela Urrego",VLOOKUP(LEFT(Proc[[#This Row],[Requested]],1),Table3[#All],2,0),VLOOKUP(Proc[[#This Row],[Author]],Table4[],2,0))</f>
        <v>MGF</v>
      </c>
      <c r="L2732" s="125" t="s">
        <v>4894</v>
      </c>
      <c r="M2732" s="109">
        <v>45841.453541666669</v>
      </c>
      <c r="N2732" s="109"/>
      <c r="O2732" s="109"/>
      <c r="P2732" s="110" t="str">
        <f ca="1">IF(Proc[[#This Row],[DaysAgeing]]&gt;5,"yep","on track")</f>
        <v>yep</v>
      </c>
      <c r="Q2732" s="3">
        <f ca="1">IF(Proc[[#This Row],[DateClosed]]="",ABS(NETWORKDAYS(Proc[[#This Row],[DateOpened]],TODAY()))-1,ABS(NETWORKDAYS(Proc[[#This Row],[DateOpened]],Proc[[#This Row],[DateClosed]]))-1)</f>
        <v>121</v>
      </c>
      <c r="R2732" s="110" t="s">
        <v>485</v>
      </c>
      <c r="S2732" s="94"/>
    </row>
    <row r="2733" spans="1:19" hidden="1">
      <c r="A2733" s="103" t="s">
        <v>4422</v>
      </c>
      <c r="B2733" s="149" t="str">
        <f>IFERROR(VLOOKUP(Proc[[#This Row],[App]],Table2[],3,0),"open")</f>
        <v>ok</v>
      </c>
      <c r="C2733" s="117" t="s">
        <v>369</v>
      </c>
      <c r="D2733" t="s">
        <v>4654</v>
      </c>
      <c r="E2733" t="s">
        <v>4748</v>
      </c>
      <c r="F2733" s="94" t="s">
        <v>4748</v>
      </c>
      <c r="G2733" s="103" t="s">
        <v>406</v>
      </c>
      <c r="H2733" s="94" t="str">
        <f>IF(Proc[[#This Row],[type]]="LFF (MDG-F)",MID(Proc[[#This Row],[Obj]],13,10),"")</f>
        <v>DE20539995</v>
      </c>
      <c r="I2733" s="103" t="s">
        <v>4785</v>
      </c>
      <c r="J2733" s="94" t="b">
        <f>Proc[[#This Row],[Requested]]=Proc[[#This Row],[CurrentParent]]</f>
        <v>1</v>
      </c>
      <c r="K2733" s="144" t="str">
        <f>IF(Proc[[#This Row],[Author]]="Marcela Urrego",VLOOKUP(LEFT(Proc[[#This Row],[Requested]],1),Table3[#All],2,0),VLOOKUP(Proc[[#This Row],[Author]],Table4[],2,0))</f>
        <v>MGF</v>
      </c>
      <c r="L2733" s="125" t="s">
        <v>4894</v>
      </c>
      <c r="M2733" s="109">
        <v>45841.453541666669</v>
      </c>
      <c r="N2733" s="109"/>
      <c r="O2733" s="109"/>
      <c r="P2733" s="110" t="str">
        <f ca="1">IF(Proc[[#This Row],[DaysAgeing]]&gt;5,"yep","on track")</f>
        <v>yep</v>
      </c>
      <c r="Q2733" s="3">
        <f ca="1">IF(Proc[[#This Row],[DateClosed]]="",ABS(NETWORKDAYS(Proc[[#This Row],[DateOpened]],TODAY()))-1,ABS(NETWORKDAYS(Proc[[#This Row],[DateOpened]],Proc[[#This Row],[DateClosed]]))-1)</f>
        <v>121</v>
      </c>
      <c r="R2733" s="110" t="s">
        <v>485</v>
      </c>
      <c r="S2733" s="94"/>
    </row>
    <row r="2734" spans="1:19" hidden="1">
      <c r="A2734" s="103" t="s">
        <v>4422</v>
      </c>
      <c r="B2734" s="149" t="str">
        <f>IFERROR(VLOOKUP(Proc[[#This Row],[App]],Table2[],3,0),"open")</f>
        <v>ok</v>
      </c>
      <c r="C2734" s="117" t="s">
        <v>369</v>
      </c>
      <c r="D2734" t="s">
        <v>4655</v>
      </c>
      <c r="E2734" t="s">
        <v>4750</v>
      </c>
      <c r="F2734" s="94" t="s">
        <v>4750</v>
      </c>
      <c r="G2734" s="103" t="s">
        <v>406</v>
      </c>
      <c r="H2734" s="94" t="str">
        <f>IF(Proc[[#This Row],[type]]="LFF (MDG-F)",MID(Proc[[#This Row],[Obj]],13,10),"")</f>
        <v>DE20538103</v>
      </c>
      <c r="I2734" s="103" t="s">
        <v>4785</v>
      </c>
      <c r="J2734" s="94" t="b">
        <f>Proc[[#This Row],[Requested]]=Proc[[#This Row],[CurrentParent]]</f>
        <v>1</v>
      </c>
      <c r="K2734" s="144" t="str">
        <f>IF(Proc[[#This Row],[Author]]="Marcela Urrego",VLOOKUP(LEFT(Proc[[#This Row],[Requested]],1),Table3[#All],2,0),VLOOKUP(Proc[[#This Row],[Author]],Table4[],2,0))</f>
        <v>MGF</v>
      </c>
      <c r="L2734" s="125" t="s">
        <v>4894</v>
      </c>
      <c r="M2734" s="109">
        <v>45841.453541666669</v>
      </c>
      <c r="N2734" s="109"/>
      <c r="O2734" s="109"/>
      <c r="P2734" s="110" t="str">
        <f ca="1">IF(Proc[[#This Row],[DaysAgeing]]&gt;5,"yep","on track")</f>
        <v>yep</v>
      </c>
      <c r="Q2734" s="3">
        <f ca="1">IF(Proc[[#This Row],[DateClosed]]="",ABS(NETWORKDAYS(Proc[[#This Row],[DateOpened]],TODAY()))-1,ABS(NETWORKDAYS(Proc[[#This Row],[DateOpened]],Proc[[#This Row],[DateClosed]]))-1)</f>
        <v>121</v>
      </c>
      <c r="R2734" s="110" t="s">
        <v>485</v>
      </c>
      <c r="S2734" s="94"/>
    </row>
    <row r="2735" spans="1:19" hidden="1">
      <c r="A2735" s="103" t="s">
        <v>4422</v>
      </c>
      <c r="B2735" s="149" t="str">
        <f>IFERROR(VLOOKUP(Proc[[#This Row],[App]],Table2[],3,0),"open")</f>
        <v>ok</v>
      </c>
      <c r="C2735" s="117" t="s">
        <v>369</v>
      </c>
      <c r="D2735" t="s">
        <v>4656</v>
      </c>
      <c r="E2735" t="s">
        <v>4751</v>
      </c>
      <c r="F2735" s="94" t="s">
        <v>4751</v>
      </c>
      <c r="G2735" s="103" t="s">
        <v>406</v>
      </c>
      <c r="H2735" s="94" t="str">
        <f>IF(Proc[[#This Row],[type]]="LFF (MDG-F)",MID(Proc[[#This Row],[Obj]],13,10),"")</f>
        <v>DE20538108</v>
      </c>
      <c r="I2735" s="103" t="s">
        <v>4785</v>
      </c>
      <c r="J2735" s="94" t="b">
        <f>Proc[[#This Row],[Requested]]=Proc[[#This Row],[CurrentParent]]</f>
        <v>1</v>
      </c>
      <c r="K2735" s="144" t="str">
        <f>IF(Proc[[#This Row],[Author]]="Marcela Urrego",VLOOKUP(LEFT(Proc[[#This Row],[Requested]],1),Table3[#All],2,0),VLOOKUP(Proc[[#This Row],[Author]],Table4[],2,0))</f>
        <v>MGF</v>
      </c>
      <c r="L2735" s="125" t="s">
        <v>4894</v>
      </c>
      <c r="M2735" s="109">
        <v>45841.453541666669</v>
      </c>
      <c r="N2735" s="109"/>
      <c r="O2735" s="109"/>
      <c r="P2735" s="110" t="str">
        <f ca="1">IF(Proc[[#This Row],[DaysAgeing]]&gt;5,"yep","on track")</f>
        <v>yep</v>
      </c>
      <c r="Q2735" s="3">
        <f ca="1">IF(Proc[[#This Row],[DateClosed]]="",ABS(NETWORKDAYS(Proc[[#This Row],[DateOpened]],TODAY()))-1,ABS(NETWORKDAYS(Proc[[#This Row],[DateOpened]],Proc[[#This Row],[DateClosed]]))-1)</f>
        <v>121</v>
      </c>
      <c r="R2735" s="110" t="s">
        <v>485</v>
      </c>
      <c r="S2735" s="94"/>
    </row>
    <row r="2736" spans="1:19" hidden="1">
      <c r="A2736" s="103" t="s">
        <v>4422</v>
      </c>
      <c r="B2736" s="149" t="str">
        <f>IFERROR(VLOOKUP(Proc[[#This Row],[App]],Table2[],3,0),"open")</f>
        <v>ok</v>
      </c>
      <c r="C2736" s="117" t="s">
        <v>369</v>
      </c>
      <c r="D2736" t="s">
        <v>4657</v>
      </c>
      <c r="E2736" t="s">
        <v>4750</v>
      </c>
      <c r="F2736" s="94" t="s">
        <v>4750</v>
      </c>
      <c r="G2736" s="103" t="s">
        <v>406</v>
      </c>
      <c r="H2736" s="94" t="str">
        <f>IF(Proc[[#This Row],[type]]="LFF (MDG-F)",MID(Proc[[#This Row],[Obj]],13,10),"")</f>
        <v>DE20538110</v>
      </c>
      <c r="I2736" s="103" t="s">
        <v>4785</v>
      </c>
      <c r="J2736" s="94" t="b">
        <f>Proc[[#This Row],[Requested]]=Proc[[#This Row],[CurrentParent]]</f>
        <v>1</v>
      </c>
      <c r="K2736" s="144" t="str">
        <f>IF(Proc[[#This Row],[Author]]="Marcela Urrego",VLOOKUP(LEFT(Proc[[#This Row],[Requested]],1),Table3[#All],2,0),VLOOKUP(Proc[[#This Row],[Author]],Table4[],2,0))</f>
        <v>MGF</v>
      </c>
      <c r="L2736" s="125" t="s">
        <v>4894</v>
      </c>
      <c r="M2736" s="109">
        <v>45841.453541666669</v>
      </c>
      <c r="N2736" s="109"/>
      <c r="O2736" s="109"/>
      <c r="P2736" s="110" t="str">
        <f ca="1">IF(Proc[[#This Row],[DaysAgeing]]&gt;5,"yep","on track")</f>
        <v>yep</v>
      </c>
      <c r="Q2736" s="3">
        <f ca="1">IF(Proc[[#This Row],[DateClosed]]="",ABS(NETWORKDAYS(Proc[[#This Row],[DateOpened]],TODAY()))-1,ABS(NETWORKDAYS(Proc[[#This Row],[DateOpened]],Proc[[#This Row],[DateClosed]]))-1)</f>
        <v>121</v>
      </c>
      <c r="R2736" s="110" t="s">
        <v>485</v>
      </c>
      <c r="S2736" s="94"/>
    </row>
    <row r="2737" spans="1:19" hidden="1">
      <c r="A2737" s="103" t="s">
        <v>4422</v>
      </c>
      <c r="B2737" s="149" t="str">
        <f>IFERROR(VLOOKUP(Proc[[#This Row],[App]],Table2[],3,0),"open")</f>
        <v>ok</v>
      </c>
      <c r="C2737" s="117" t="s">
        <v>369</v>
      </c>
      <c r="D2737" t="s">
        <v>4658</v>
      </c>
      <c r="E2737" t="s">
        <v>4752</v>
      </c>
      <c r="F2737" s="94" t="s">
        <v>4752</v>
      </c>
      <c r="G2737" s="103" t="s">
        <v>406</v>
      </c>
      <c r="H2737" s="94" t="str">
        <f>IF(Proc[[#This Row],[type]]="LFF (MDG-F)",MID(Proc[[#This Row],[Obj]],13,10),"")</f>
        <v>DE20538111</v>
      </c>
      <c r="I2737" s="103" t="s">
        <v>4785</v>
      </c>
      <c r="J2737" s="94" t="b">
        <f>Proc[[#This Row],[Requested]]=Proc[[#This Row],[CurrentParent]]</f>
        <v>1</v>
      </c>
      <c r="K2737" s="144" t="str">
        <f>IF(Proc[[#This Row],[Author]]="Marcela Urrego",VLOOKUP(LEFT(Proc[[#This Row],[Requested]],1),Table3[#All],2,0),VLOOKUP(Proc[[#This Row],[Author]],Table4[],2,0))</f>
        <v>MGF</v>
      </c>
      <c r="L2737" s="125" t="s">
        <v>4894</v>
      </c>
      <c r="M2737" s="109">
        <v>45841.453541666669</v>
      </c>
      <c r="N2737" s="109"/>
      <c r="O2737" s="109"/>
      <c r="P2737" s="110" t="str">
        <f ca="1">IF(Proc[[#This Row],[DaysAgeing]]&gt;5,"yep","on track")</f>
        <v>yep</v>
      </c>
      <c r="Q2737" s="3">
        <f ca="1">IF(Proc[[#This Row],[DateClosed]]="",ABS(NETWORKDAYS(Proc[[#This Row],[DateOpened]],TODAY()))-1,ABS(NETWORKDAYS(Proc[[#This Row],[DateOpened]],Proc[[#This Row],[DateClosed]]))-1)</f>
        <v>121</v>
      </c>
      <c r="R2737" s="110" t="s">
        <v>485</v>
      </c>
      <c r="S2737" s="94"/>
    </row>
    <row r="2738" spans="1:19" hidden="1">
      <c r="A2738" s="103" t="s">
        <v>4422</v>
      </c>
      <c r="B2738" s="149" t="str">
        <f>IFERROR(VLOOKUP(Proc[[#This Row],[App]],Table2[],3,0),"open")</f>
        <v>ok</v>
      </c>
      <c r="C2738" s="117" t="s">
        <v>369</v>
      </c>
      <c r="D2738" t="s">
        <v>4659</v>
      </c>
      <c r="E2738" t="s">
        <v>4750</v>
      </c>
      <c r="F2738" s="94" t="s">
        <v>4750</v>
      </c>
      <c r="G2738" s="103" t="s">
        <v>406</v>
      </c>
      <c r="H2738" s="94" t="str">
        <f>IF(Proc[[#This Row],[type]]="LFF (MDG-F)",MID(Proc[[#This Row],[Obj]],13,10),"")</f>
        <v>DE20538112</v>
      </c>
      <c r="I2738" s="103" t="s">
        <v>4785</v>
      </c>
      <c r="J2738" s="94" t="b">
        <f>Proc[[#This Row],[Requested]]=Proc[[#This Row],[CurrentParent]]</f>
        <v>1</v>
      </c>
      <c r="K2738" s="144" t="str">
        <f>IF(Proc[[#This Row],[Author]]="Marcela Urrego",VLOOKUP(LEFT(Proc[[#This Row],[Requested]],1),Table3[#All],2,0),VLOOKUP(Proc[[#This Row],[Author]],Table4[],2,0))</f>
        <v>MGF</v>
      </c>
      <c r="L2738" s="125" t="s">
        <v>4894</v>
      </c>
      <c r="M2738" s="109">
        <v>45841.453541666669</v>
      </c>
      <c r="N2738" s="109"/>
      <c r="O2738" s="109"/>
      <c r="P2738" s="110" t="str">
        <f ca="1">IF(Proc[[#This Row],[DaysAgeing]]&gt;5,"yep","on track")</f>
        <v>yep</v>
      </c>
      <c r="Q2738" s="3">
        <f ca="1">IF(Proc[[#This Row],[DateClosed]]="",ABS(NETWORKDAYS(Proc[[#This Row],[DateOpened]],TODAY()))-1,ABS(NETWORKDAYS(Proc[[#This Row],[DateOpened]],Proc[[#This Row],[DateClosed]]))-1)</f>
        <v>121</v>
      </c>
      <c r="R2738" s="110" t="s">
        <v>485</v>
      </c>
      <c r="S2738" s="94"/>
    </row>
    <row r="2739" spans="1:19" hidden="1">
      <c r="A2739" s="103" t="s">
        <v>4422</v>
      </c>
      <c r="B2739" s="149" t="str">
        <f>IFERROR(VLOOKUP(Proc[[#This Row],[App]],Table2[],3,0),"open")</f>
        <v>ok</v>
      </c>
      <c r="C2739" s="117" t="s">
        <v>369</v>
      </c>
      <c r="D2739" t="s">
        <v>4660</v>
      </c>
      <c r="E2739" t="s">
        <v>4750</v>
      </c>
      <c r="F2739" s="94" t="s">
        <v>4750</v>
      </c>
      <c r="G2739" s="103" t="s">
        <v>406</v>
      </c>
      <c r="H2739" s="94" t="str">
        <f>IF(Proc[[#This Row],[type]]="LFF (MDG-F)",MID(Proc[[#This Row],[Obj]],13,10),"")</f>
        <v>DE20538113</v>
      </c>
      <c r="I2739" s="103" t="s">
        <v>4785</v>
      </c>
      <c r="J2739" s="94" t="b">
        <f>Proc[[#This Row],[Requested]]=Proc[[#This Row],[CurrentParent]]</f>
        <v>1</v>
      </c>
      <c r="K2739" s="144" t="str">
        <f>IF(Proc[[#This Row],[Author]]="Marcela Urrego",VLOOKUP(LEFT(Proc[[#This Row],[Requested]],1),Table3[#All],2,0),VLOOKUP(Proc[[#This Row],[Author]],Table4[],2,0))</f>
        <v>MGF</v>
      </c>
      <c r="L2739" s="125" t="s">
        <v>4894</v>
      </c>
      <c r="M2739" s="109">
        <v>45841.453541666669</v>
      </c>
      <c r="N2739" s="109"/>
      <c r="O2739" s="109"/>
      <c r="P2739" s="110" t="str">
        <f ca="1">IF(Proc[[#This Row],[DaysAgeing]]&gt;5,"yep","on track")</f>
        <v>yep</v>
      </c>
      <c r="Q2739" s="3">
        <f ca="1">IF(Proc[[#This Row],[DateClosed]]="",ABS(NETWORKDAYS(Proc[[#This Row],[DateOpened]],TODAY()))-1,ABS(NETWORKDAYS(Proc[[#This Row],[DateOpened]],Proc[[#This Row],[DateClosed]]))-1)</f>
        <v>121</v>
      </c>
      <c r="R2739" s="110" t="s">
        <v>485</v>
      </c>
      <c r="S2739" s="94"/>
    </row>
    <row r="2740" spans="1:19" hidden="1">
      <c r="A2740" s="103" t="s">
        <v>4422</v>
      </c>
      <c r="B2740" s="149" t="str">
        <f>IFERROR(VLOOKUP(Proc[[#This Row],[App]],Table2[],3,0),"open")</f>
        <v>ok</v>
      </c>
      <c r="C2740" s="117" t="s">
        <v>369</v>
      </c>
      <c r="D2740" t="s">
        <v>4661</v>
      </c>
      <c r="E2740" t="s">
        <v>4750</v>
      </c>
      <c r="F2740" s="94" t="s">
        <v>4750</v>
      </c>
      <c r="G2740" s="103" t="s">
        <v>406</v>
      </c>
      <c r="H2740" s="94" t="str">
        <f>IF(Proc[[#This Row],[type]]="LFF (MDG-F)",MID(Proc[[#This Row],[Obj]],13,10),"")</f>
        <v>DE20538114</v>
      </c>
      <c r="I2740" s="103" t="s">
        <v>4785</v>
      </c>
      <c r="J2740" s="94" t="b">
        <f>Proc[[#This Row],[Requested]]=Proc[[#This Row],[CurrentParent]]</f>
        <v>1</v>
      </c>
      <c r="K2740" s="144" t="str">
        <f>IF(Proc[[#This Row],[Author]]="Marcela Urrego",VLOOKUP(LEFT(Proc[[#This Row],[Requested]],1),Table3[#All],2,0),VLOOKUP(Proc[[#This Row],[Author]],Table4[],2,0))</f>
        <v>MGF</v>
      </c>
      <c r="L2740" s="125" t="s">
        <v>4894</v>
      </c>
      <c r="M2740" s="109">
        <v>45841.453541666669</v>
      </c>
      <c r="N2740" s="109"/>
      <c r="O2740" s="109"/>
      <c r="P2740" s="110" t="str">
        <f ca="1">IF(Proc[[#This Row],[DaysAgeing]]&gt;5,"yep","on track")</f>
        <v>yep</v>
      </c>
      <c r="Q2740" s="3">
        <f ca="1">IF(Proc[[#This Row],[DateClosed]]="",ABS(NETWORKDAYS(Proc[[#This Row],[DateOpened]],TODAY()))-1,ABS(NETWORKDAYS(Proc[[#This Row],[DateOpened]],Proc[[#This Row],[DateClosed]]))-1)</f>
        <v>121</v>
      </c>
      <c r="R2740" s="110" t="s">
        <v>485</v>
      </c>
      <c r="S2740" s="94"/>
    </row>
    <row r="2741" spans="1:19" hidden="1">
      <c r="A2741" s="103" t="s">
        <v>4422</v>
      </c>
      <c r="B2741" s="149" t="str">
        <f>IFERROR(VLOOKUP(Proc[[#This Row],[App]],Table2[],3,0),"open")</f>
        <v>ok</v>
      </c>
      <c r="C2741" s="117" t="s">
        <v>369</v>
      </c>
      <c r="D2741" t="s">
        <v>4662</v>
      </c>
      <c r="E2741" t="s">
        <v>4752</v>
      </c>
      <c r="F2741" s="94" t="s">
        <v>4752</v>
      </c>
      <c r="G2741" s="103" t="s">
        <v>406</v>
      </c>
      <c r="H2741" s="94" t="str">
        <f>IF(Proc[[#This Row],[type]]="LFF (MDG-F)",MID(Proc[[#This Row],[Obj]],13,10),"")</f>
        <v>DE20538115</v>
      </c>
      <c r="I2741" s="103" t="s">
        <v>4785</v>
      </c>
      <c r="J2741" s="94" t="b">
        <f>Proc[[#This Row],[Requested]]=Proc[[#This Row],[CurrentParent]]</f>
        <v>1</v>
      </c>
      <c r="K2741" s="144" t="str">
        <f>IF(Proc[[#This Row],[Author]]="Marcela Urrego",VLOOKUP(LEFT(Proc[[#This Row],[Requested]],1),Table3[#All],2,0),VLOOKUP(Proc[[#This Row],[Author]],Table4[],2,0))</f>
        <v>MGF</v>
      </c>
      <c r="L2741" s="125" t="s">
        <v>4894</v>
      </c>
      <c r="M2741" s="109">
        <v>45841.453541666669</v>
      </c>
      <c r="N2741" s="109"/>
      <c r="O2741" s="109"/>
      <c r="P2741" s="110" t="str">
        <f ca="1">IF(Proc[[#This Row],[DaysAgeing]]&gt;5,"yep","on track")</f>
        <v>yep</v>
      </c>
      <c r="Q2741" s="3">
        <f ca="1">IF(Proc[[#This Row],[DateClosed]]="",ABS(NETWORKDAYS(Proc[[#This Row],[DateOpened]],TODAY()))-1,ABS(NETWORKDAYS(Proc[[#This Row],[DateOpened]],Proc[[#This Row],[DateClosed]]))-1)</f>
        <v>121</v>
      </c>
      <c r="R2741" s="110" t="s">
        <v>485</v>
      </c>
      <c r="S2741" s="94"/>
    </row>
    <row r="2742" spans="1:19" hidden="1">
      <c r="A2742" s="103" t="s">
        <v>4422</v>
      </c>
      <c r="B2742" s="149" t="str">
        <f>IFERROR(VLOOKUP(Proc[[#This Row],[App]],Table2[],3,0),"open")</f>
        <v>ok</v>
      </c>
      <c r="C2742" s="117" t="s">
        <v>369</v>
      </c>
      <c r="D2742" t="s">
        <v>4663</v>
      </c>
      <c r="E2742" t="s">
        <v>4751</v>
      </c>
      <c r="F2742" s="94" t="s">
        <v>4751</v>
      </c>
      <c r="G2742" s="103" t="s">
        <v>406</v>
      </c>
      <c r="H2742" s="94" t="str">
        <f>IF(Proc[[#This Row],[type]]="LFF (MDG-F)",MID(Proc[[#This Row],[Obj]],13,10),"")</f>
        <v>DE20538117</v>
      </c>
      <c r="I2742" s="103" t="s">
        <v>4785</v>
      </c>
      <c r="J2742" s="94" t="b">
        <f>Proc[[#This Row],[Requested]]=Proc[[#This Row],[CurrentParent]]</f>
        <v>1</v>
      </c>
      <c r="K2742" s="144" t="str">
        <f>IF(Proc[[#This Row],[Author]]="Marcela Urrego",VLOOKUP(LEFT(Proc[[#This Row],[Requested]],1),Table3[#All],2,0),VLOOKUP(Proc[[#This Row],[Author]],Table4[],2,0))</f>
        <v>MGF</v>
      </c>
      <c r="L2742" s="125" t="s">
        <v>4894</v>
      </c>
      <c r="M2742" s="109">
        <v>45841.453541666669</v>
      </c>
      <c r="N2742" s="109"/>
      <c r="O2742" s="109"/>
      <c r="P2742" s="110" t="str">
        <f ca="1">IF(Proc[[#This Row],[DaysAgeing]]&gt;5,"yep","on track")</f>
        <v>yep</v>
      </c>
      <c r="Q2742" s="3">
        <f ca="1">IF(Proc[[#This Row],[DateClosed]]="",ABS(NETWORKDAYS(Proc[[#This Row],[DateOpened]],TODAY()))-1,ABS(NETWORKDAYS(Proc[[#This Row],[DateOpened]],Proc[[#This Row],[DateClosed]]))-1)</f>
        <v>121</v>
      </c>
      <c r="R2742" s="110" t="s">
        <v>485</v>
      </c>
      <c r="S2742" s="94"/>
    </row>
    <row r="2743" spans="1:19" hidden="1">
      <c r="A2743" s="103" t="s">
        <v>4422</v>
      </c>
      <c r="B2743" s="149" t="str">
        <f>IFERROR(VLOOKUP(Proc[[#This Row],[App]],Table2[],3,0),"open")</f>
        <v>ok</v>
      </c>
      <c r="C2743" s="117" t="s">
        <v>369</v>
      </c>
      <c r="D2743" t="s">
        <v>4664</v>
      </c>
      <c r="E2743" t="s">
        <v>4750</v>
      </c>
      <c r="F2743" s="94" t="s">
        <v>4750</v>
      </c>
      <c r="G2743" s="103" t="s">
        <v>406</v>
      </c>
      <c r="H2743" s="94" t="str">
        <f>IF(Proc[[#This Row],[type]]="LFF (MDG-F)",MID(Proc[[#This Row],[Obj]],13,10),"")</f>
        <v>DE20538119</v>
      </c>
      <c r="I2743" s="103" t="s">
        <v>4785</v>
      </c>
      <c r="J2743" s="94" t="b">
        <f>Proc[[#This Row],[Requested]]=Proc[[#This Row],[CurrentParent]]</f>
        <v>1</v>
      </c>
      <c r="K2743" s="144" t="str">
        <f>IF(Proc[[#This Row],[Author]]="Marcela Urrego",VLOOKUP(LEFT(Proc[[#This Row],[Requested]],1),Table3[#All],2,0),VLOOKUP(Proc[[#This Row],[Author]],Table4[],2,0))</f>
        <v>MGF</v>
      </c>
      <c r="L2743" s="125" t="s">
        <v>4894</v>
      </c>
      <c r="M2743" s="109">
        <v>45841.453541666669</v>
      </c>
      <c r="N2743" s="109"/>
      <c r="O2743" s="109"/>
      <c r="P2743" s="110" t="str">
        <f ca="1">IF(Proc[[#This Row],[DaysAgeing]]&gt;5,"yep","on track")</f>
        <v>yep</v>
      </c>
      <c r="Q2743" s="3">
        <f ca="1">IF(Proc[[#This Row],[DateClosed]]="",ABS(NETWORKDAYS(Proc[[#This Row],[DateOpened]],TODAY()))-1,ABS(NETWORKDAYS(Proc[[#This Row],[DateOpened]],Proc[[#This Row],[DateClosed]]))-1)</f>
        <v>121</v>
      </c>
      <c r="R2743" s="110" t="s">
        <v>485</v>
      </c>
      <c r="S2743" s="94"/>
    </row>
    <row r="2744" spans="1:19" hidden="1">
      <c r="A2744" s="103" t="s">
        <v>4422</v>
      </c>
      <c r="B2744" s="149" t="str">
        <f>IFERROR(VLOOKUP(Proc[[#This Row],[App]],Table2[],3,0),"open")</f>
        <v>ok</v>
      </c>
      <c r="C2744" s="117" t="s">
        <v>369</v>
      </c>
      <c r="D2744" t="s">
        <v>4665</v>
      </c>
      <c r="E2744" t="s">
        <v>4750</v>
      </c>
      <c r="F2744" s="94" t="s">
        <v>4750</v>
      </c>
      <c r="G2744" s="103" t="s">
        <v>406</v>
      </c>
      <c r="H2744" s="94" t="str">
        <f>IF(Proc[[#This Row],[type]]="LFF (MDG-F)",MID(Proc[[#This Row],[Obj]],13,10),"")</f>
        <v>DE20538120</v>
      </c>
      <c r="I2744" s="103" t="s">
        <v>4785</v>
      </c>
      <c r="J2744" s="94" t="b">
        <f>Proc[[#This Row],[Requested]]=Proc[[#This Row],[CurrentParent]]</f>
        <v>1</v>
      </c>
      <c r="K2744" s="144" t="str">
        <f>IF(Proc[[#This Row],[Author]]="Marcela Urrego",VLOOKUP(LEFT(Proc[[#This Row],[Requested]],1),Table3[#All],2,0),VLOOKUP(Proc[[#This Row],[Author]],Table4[],2,0))</f>
        <v>MGF</v>
      </c>
      <c r="L2744" s="125" t="s">
        <v>4894</v>
      </c>
      <c r="M2744" s="109">
        <v>45841.453541666669</v>
      </c>
      <c r="N2744" s="109"/>
      <c r="O2744" s="109"/>
      <c r="P2744" s="110" t="str">
        <f ca="1">IF(Proc[[#This Row],[DaysAgeing]]&gt;5,"yep","on track")</f>
        <v>yep</v>
      </c>
      <c r="Q2744" s="3">
        <f ca="1">IF(Proc[[#This Row],[DateClosed]]="",ABS(NETWORKDAYS(Proc[[#This Row],[DateOpened]],TODAY()))-1,ABS(NETWORKDAYS(Proc[[#This Row],[DateOpened]],Proc[[#This Row],[DateClosed]]))-1)</f>
        <v>121</v>
      </c>
      <c r="R2744" s="110" t="s">
        <v>485</v>
      </c>
      <c r="S2744" s="94"/>
    </row>
    <row r="2745" spans="1:19" hidden="1">
      <c r="A2745" s="103" t="s">
        <v>4422</v>
      </c>
      <c r="B2745" s="149" t="str">
        <f>IFERROR(VLOOKUP(Proc[[#This Row],[App]],Table2[],3,0),"open")</f>
        <v>ok</v>
      </c>
      <c r="C2745" s="117" t="s">
        <v>369</v>
      </c>
      <c r="D2745" t="s">
        <v>4666</v>
      </c>
      <c r="E2745" t="s">
        <v>4750</v>
      </c>
      <c r="F2745" s="94" t="s">
        <v>4750</v>
      </c>
      <c r="G2745" s="103" t="s">
        <v>406</v>
      </c>
      <c r="H2745" s="94" t="str">
        <f>IF(Proc[[#This Row],[type]]="LFF (MDG-F)",MID(Proc[[#This Row],[Obj]],13,10),"")</f>
        <v>DE20538121</v>
      </c>
      <c r="I2745" s="103" t="s">
        <v>4785</v>
      </c>
      <c r="J2745" s="94" t="b">
        <f>Proc[[#This Row],[Requested]]=Proc[[#This Row],[CurrentParent]]</f>
        <v>1</v>
      </c>
      <c r="K2745" s="144" t="str">
        <f>IF(Proc[[#This Row],[Author]]="Marcela Urrego",VLOOKUP(LEFT(Proc[[#This Row],[Requested]],1),Table3[#All],2,0),VLOOKUP(Proc[[#This Row],[Author]],Table4[],2,0))</f>
        <v>MGF</v>
      </c>
      <c r="L2745" s="125" t="s">
        <v>4894</v>
      </c>
      <c r="M2745" s="109">
        <v>45841.453541666669</v>
      </c>
      <c r="N2745" s="109"/>
      <c r="O2745" s="109"/>
      <c r="P2745" s="110" t="str">
        <f ca="1">IF(Proc[[#This Row],[DaysAgeing]]&gt;5,"yep","on track")</f>
        <v>yep</v>
      </c>
      <c r="Q2745" s="3">
        <f ca="1">IF(Proc[[#This Row],[DateClosed]]="",ABS(NETWORKDAYS(Proc[[#This Row],[DateOpened]],TODAY()))-1,ABS(NETWORKDAYS(Proc[[#This Row],[DateOpened]],Proc[[#This Row],[DateClosed]]))-1)</f>
        <v>121</v>
      </c>
      <c r="R2745" s="110" t="s">
        <v>485</v>
      </c>
      <c r="S2745" s="94"/>
    </row>
    <row r="2746" spans="1:19" hidden="1">
      <c r="A2746" s="103" t="s">
        <v>4422</v>
      </c>
      <c r="B2746" s="149" t="str">
        <f>IFERROR(VLOOKUP(Proc[[#This Row],[App]],Table2[],3,0),"open")</f>
        <v>ok</v>
      </c>
      <c r="C2746" s="117" t="s">
        <v>369</v>
      </c>
      <c r="D2746" t="s">
        <v>4667</v>
      </c>
      <c r="E2746" t="s">
        <v>4750</v>
      </c>
      <c r="F2746" s="94" t="s">
        <v>4750</v>
      </c>
      <c r="G2746" s="103" t="s">
        <v>406</v>
      </c>
      <c r="H2746" s="94" t="str">
        <f>IF(Proc[[#This Row],[type]]="LFF (MDG-F)",MID(Proc[[#This Row],[Obj]],13,10),"")</f>
        <v>DE20538122</v>
      </c>
      <c r="I2746" s="103" t="s">
        <v>4785</v>
      </c>
      <c r="J2746" s="94" t="b">
        <f>Proc[[#This Row],[Requested]]=Proc[[#This Row],[CurrentParent]]</f>
        <v>1</v>
      </c>
      <c r="K2746" s="144" t="str">
        <f>IF(Proc[[#This Row],[Author]]="Marcela Urrego",VLOOKUP(LEFT(Proc[[#This Row],[Requested]],1),Table3[#All],2,0),VLOOKUP(Proc[[#This Row],[Author]],Table4[],2,0))</f>
        <v>MGF</v>
      </c>
      <c r="L2746" s="125" t="s">
        <v>4894</v>
      </c>
      <c r="M2746" s="109">
        <v>45841.453541666669</v>
      </c>
      <c r="N2746" s="109"/>
      <c r="O2746" s="109"/>
      <c r="P2746" s="110" t="str">
        <f ca="1">IF(Proc[[#This Row],[DaysAgeing]]&gt;5,"yep","on track")</f>
        <v>yep</v>
      </c>
      <c r="Q2746" s="3">
        <f ca="1">IF(Proc[[#This Row],[DateClosed]]="",ABS(NETWORKDAYS(Proc[[#This Row],[DateOpened]],TODAY()))-1,ABS(NETWORKDAYS(Proc[[#This Row],[DateOpened]],Proc[[#This Row],[DateClosed]]))-1)</f>
        <v>121</v>
      </c>
      <c r="R2746" s="110" t="s">
        <v>485</v>
      </c>
      <c r="S2746" s="94"/>
    </row>
    <row r="2747" spans="1:19" hidden="1">
      <c r="A2747" s="103" t="s">
        <v>4422</v>
      </c>
      <c r="B2747" s="149" t="str">
        <f>IFERROR(VLOOKUP(Proc[[#This Row],[App]],Table2[],3,0),"open")</f>
        <v>ok</v>
      </c>
      <c r="C2747" s="117" t="s">
        <v>369</v>
      </c>
      <c r="D2747" t="s">
        <v>4668</v>
      </c>
      <c r="E2747" t="s">
        <v>4750</v>
      </c>
      <c r="F2747" s="94" t="s">
        <v>4750</v>
      </c>
      <c r="G2747" s="103" t="s">
        <v>406</v>
      </c>
      <c r="H2747" s="94" t="str">
        <f>IF(Proc[[#This Row],[type]]="LFF (MDG-F)",MID(Proc[[#This Row],[Obj]],13,10),"")</f>
        <v>DE20538124</v>
      </c>
      <c r="I2747" s="103" t="s">
        <v>4785</v>
      </c>
      <c r="J2747" s="94" t="b">
        <f>Proc[[#This Row],[Requested]]=Proc[[#This Row],[CurrentParent]]</f>
        <v>1</v>
      </c>
      <c r="K2747" s="144" t="str">
        <f>IF(Proc[[#This Row],[Author]]="Marcela Urrego",VLOOKUP(LEFT(Proc[[#This Row],[Requested]],1),Table3[#All],2,0),VLOOKUP(Proc[[#This Row],[Author]],Table4[],2,0))</f>
        <v>MGF</v>
      </c>
      <c r="L2747" s="125" t="s">
        <v>4894</v>
      </c>
      <c r="M2747" s="109">
        <v>45841.453541666669</v>
      </c>
      <c r="N2747" s="109"/>
      <c r="O2747" s="109"/>
      <c r="P2747" s="110" t="str">
        <f ca="1">IF(Proc[[#This Row],[DaysAgeing]]&gt;5,"yep","on track")</f>
        <v>yep</v>
      </c>
      <c r="Q2747" s="3">
        <f ca="1">IF(Proc[[#This Row],[DateClosed]]="",ABS(NETWORKDAYS(Proc[[#This Row],[DateOpened]],TODAY()))-1,ABS(NETWORKDAYS(Proc[[#This Row],[DateOpened]],Proc[[#This Row],[DateClosed]]))-1)</f>
        <v>121</v>
      </c>
      <c r="R2747" s="110" t="s">
        <v>485</v>
      </c>
      <c r="S2747" s="94"/>
    </row>
    <row r="2748" spans="1:19" hidden="1">
      <c r="A2748" s="103" t="s">
        <v>4422</v>
      </c>
      <c r="B2748" s="149" t="str">
        <f>IFERROR(VLOOKUP(Proc[[#This Row],[App]],Table2[],3,0),"open")</f>
        <v>ok</v>
      </c>
      <c r="C2748" s="117" t="s">
        <v>369</v>
      </c>
      <c r="D2748" t="s">
        <v>4669</v>
      </c>
      <c r="E2748" t="s">
        <v>4750</v>
      </c>
      <c r="F2748" s="94" t="s">
        <v>4750</v>
      </c>
      <c r="G2748" s="103" t="s">
        <v>406</v>
      </c>
      <c r="H2748" s="94" t="str">
        <f>IF(Proc[[#This Row],[type]]="LFF (MDG-F)",MID(Proc[[#This Row],[Obj]],13,10),"")</f>
        <v>DE20538129</v>
      </c>
      <c r="I2748" s="103" t="s">
        <v>4785</v>
      </c>
      <c r="J2748" s="94" t="b">
        <f>Proc[[#This Row],[Requested]]=Proc[[#This Row],[CurrentParent]]</f>
        <v>1</v>
      </c>
      <c r="K2748" s="144" t="str">
        <f>IF(Proc[[#This Row],[Author]]="Marcela Urrego",VLOOKUP(LEFT(Proc[[#This Row],[Requested]],1),Table3[#All],2,0),VLOOKUP(Proc[[#This Row],[Author]],Table4[],2,0))</f>
        <v>MGF</v>
      </c>
      <c r="L2748" s="125" t="s">
        <v>4894</v>
      </c>
      <c r="M2748" s="109">
        <v>45841.453541666669</v>
      </c>
      <c r="N2748" s="109"/>
      <c r="O2748" s="109"/>
      <c r="P2748" s="110" t="str">
        <f ca="1">IF(Proc[[#This Row],[DaysAgeing]]&gt;5,"yep","on track")</f>
        <v>yep</v>
      </c>
      <c r="Q2748" s="3">
        <f ca="1">IF(Proc[[#This Row],[DateClosed]]="",ABS(NETWORKDAYS(Proc[[#This Row],[DateOpened]],TODAY()))-1,ABS(NETWORKDAYS(Proc[[#This Row],[DateOpened]],Proc[[#This Row],[DateClosed]]))-1)</f>
        <v>121</v>
      </c>
      <c r="R2748" s="110" t="s">
        <v>485</v>
      </c>
      <c r="S2748" s="94"/>
    </row>
    <row r="2749" spans="1:19" hidden="1">
      <c r="A2749" s="103" t="s">
        <v>4422</v>
      </c>
      <c r="B2749" s="149" t="str">
        <f>IFERROR(VLOOKUP(Proc[[#This Row],[App]],Table2[],3,0),"open")</f>
        <v>ok</v>
      </c>
      <c r="C2749" s="117" t="s">
        <v>369</v>
      </c>
      <c r="D2749" t="s">
        <v>4670</v>
      </c>
      <c r="E2749" t="s">
        <v>4750</v>
      </c>
      <c r="F2749" s="94" t="s">
        <v>4750</v>
      </c>
      <c r="G2749" s="103" t="s">
        <v>406</v>
      </c>
      <c r="H2749" s="94" t="str">
        <f>IF(Proc[[#This Row],[type]]="LFF (MDG-F)",MID(Proc[[#This Row],[Obj]],13,10),"")</f>
        <v>DE20538130</v>
      </c>
      <c r="I2749" s="103" t="s">
        <v>4785</v>
      </c>
      <c r="J2749" s="94" t="b">
        <f>Proc[[#This Row],[Requested]]=Proc[[#This Row],[CurrentParent]]</f>
        <v>1</v>
      </c>
      <c r="K2749" s="144" t="str">
        <f>IF(Proc[[#This Row],[Author]]="Marcela Urrego",VLOOKUP(LEFT(Proc[[#This Row],[Requested]],1),Table3[#All],2,0),VLOOKUP(Proc[[#This Row],[Author]],Table4[],2,0))</f>
        <v>MGF</v>
      </c>
      <c r="L2749" s="125" t="s">
        <v>4894</v>
      </c>
      <c r="M2749" s="109">
        <v>45841.453541666669</v>
      </c>
      <c r="N2749" s="109"/>
      <c r="O2749" s="109"/>
      <c r="P2749" s="110" t="str">
        <f ca="1">IF(Proc[[#This Row],[DaysAgeing]]&gt;5,"yep","on track")</f>
        <v>yep</v>
      </c>
      <c r="Q2749" s="3">
        <f ca="1">IF(Proc[[#This Row],[DateClosed]]="",ABS(NETWORKDAYS(Proc[[#This Row],[DateOpened]],TODAY()))-1,ABS(NETWORKDAYS(Proc[[#This Row],[DateOpened]],Proc[[#This Row],[DateClosed]]))-1)</f>
        <v>121</v>
      </c>
      <c r="R2749" s="110" t="s">
        <v>485</v>
      </c>
      <c r="S2749" s="94"/>
    </row>
    <row r="2750" spans="1:19" hidden="1">
      <c r="A2750" s="103" t="s">
        <v>4422</v>
      </c>
      <c r="B2750" s="149" t="str">
        <f>IFERROR(VLOOKUP(Proc[[#This Row],[App]],Table2[],3,0),"open")</f>
        <v>ok</v>
      </c>
      <c r="C2750" s="117" t="s">
        <v>369</v>
      </c>
      <c r="D2750" t="s">
        <v>4671</v>
      </c>
      <c r="E2750" t="s">
        <v>4750</v>
      </c>
      <c r="F2750" s="94" t="s">
        <v>4750</v>
      </c>
      <c r="G2750" s="103" t="s">
        <v>406</v>
      </c>
      <c r="H2750" s="94" t="str">
        <f>IF(Proc[[#This Row],[type]]="LFF (MDG-F)",MID(Proc[[#This Row],[Obj]],13,10),"")</f>
        <v>DE20538131</v>
      </c>
      <c r="I2750" s="103" t="s">
        <v>4785</v>
      </c>
      <c r="J2750" s="94" t="b">
        <f>Proc[[#This Row],[Requested]]=Proc[[#This Row],[CurrentParent]]</f>
        <v>1</v>
      </c>
      <c r="K2750" s="144" t="str">
        <f>IF(Proc[[#This Row],[Author]]="Marcela Urrego",VLOOKUP(LEFT(Proc[[#This Row],[Requested]],1),Table3[#All],2,0),VLOOKUP(Proc[[#This Row],[Author]],Table4[],2,0))</f>
        <v>MGF</v>
      </c>
      <c r="L2750" s="125" t="s">
        <v>4894</v>
      </c>
      <c r="M2750" s="109">
        <v>45841.453541666669</v>
      </c>
      <c r="N2750" s="109"/>
      <c r="O2750" s="109"/>
      <c r="P2750" s="110" t="str">
        <f ca="1">IF(Proc[[#This Row],[DaysAgeing]]&gt;5,"yep","on track")</f>
        <v>yep</v>
      </c>
      <c r="Q2750" s="3">
        <f ca="1">IF(Proc[[#This Row],[DateClosed]]="",ABS(NETWORKDAYS(Proc[[#This Row],[DateOpened]],TODAY()))-1,ABS(NETWORKDAYS(Proc[[#This Row],[DateOpened]],Proc[[#This Row],[DateClosed]]))-1)</f>
        <v>121</v>
      </c>
      <c r="R2750" s="110" t="s">
        <v>485</v>
      </c>
      <c r="S2750" s="94"/>
    </row>
    <row r="2751" spans="1:19" hidden="1">
      <c r="A2751" s="103" t="s">
        <v>4422</v>
      </c>
      <c r="B2751" s="149" t="str">
        <f>IFERROR(VLOOKUP(Proc[[#This Row],[App]],Table2[],3,0),"open")</f>
        <v>ok</v>
      </c>
      <c r="C2751" s="117" t="s">
        <v>369</v>
      </c>
      <c r="D2751" t="s">
        <v>4672</v>
      </c>
      <c r="E2751" t="s">
        <v>4750</v>
      </c>
      <c r="F2751" s="94" t="s">
        <v>4750</v>
      </c>
      <c r="G2751" s="103" t="s">
        <v>406</v>
      </c>
      <c r="H2751" s="94" t="str">
        <f>IF(Proc[[#This Row],[type]]="LFF (MDG-F)",MID(Proc[[#This Row],[Obj]],13,10),"")</f>
        <v>DE20538133</v>
      </c>
      <c r="I2751" s="103" t="s">
        <v>4785</v>
      </c>
      <c r="J2751" s="94" t="b">
        <f>Proc[[#This Row],[Requested]]=Proc[[#This Row],[CurrentParent]]</f>
        <v>1</v>
      </c>
      <c r="K2751" s="144" t="str">
        <f>IF(Proc[[#This Row],[Author]]="Marcela Urrego",VLOOKUP(LEFT(Proc[[#This Row],[Requested]],1),Table3[#All],2,0),VLOOKUP(Proc[[#This Row],[Author]],Table4[],2,0))</f>
        <v>MGF</v>
      </c>
      <c r="L2751" s="125" t="s">
        <v>4894</v>
      </c>
      <c r="M2751" s="109">
        <v>45841.453541666669</v>
      </c>
      <c r="N2751" s="109"/>
      <c r="O2751" s="109"/>
      <c r="P2751" s="110" t="str">
        <f ca="1">IF(Proc[[#This Row],[DaysAgeing]]&gt;5,"yep","on track")</f>
        <v>yep</v>
      </c>
      <c r="Q2751" s="3">
        <f ca="1">IF(Proc[[#This Row],[DateClosed]]="",ABS(NETWORKDAYS(Proc[[#This Row],[DateOpened]],TODAY()))-1,ABS(NETWORKDAYS(Proc[[#This Row],[DateOpened]],Proc[[#This Row],[DateClosed]]))-1)</f>
        <v>121</v>
      </c>
      <c r="R2751" s="110" t="s">
        <v>485</v>
      </c>
      <c r="S2751" s="94"/>
    </row>
    <row r="2752" spans="1:19" hidden="1">
      <c r="A2752" s="103" t="s">
        <v>4422</v>
      </c>
      <c r="B2752" s="149" t="str">
        <f>IFERROR(VLOOKUP(Proc[[#This Row],[App]],Table2[],3,0),"open")</f>
        <v>ok</v>
      </c>
      <c r="C2752" s="117" t="s">
        <v>369</v>
      </c>
      <c r="D2752" t="s">
        <v>4673</v>
      </c>
      <c r="E2752" t="s">
        <v>4750</v>
      </c>
      <c r="F2752" s="94" t="s">
        <v>4750</v>
      </c>
      <c r="G2752" s="103" t="s">
        <v>406</v>
      </c>
      <c r="H2752" s="94" t="str">
        <f>IF(Proc[[#This Row],[type]]="LFF (MDG-F)",MID(Proc[[#This Row],[Obj]],13,10),"")</f>
        <v>DE20538134</v>
      </c>
      <c r="I2752" s="103" t="s">
        <v>4785</v>
      </c>
      <c r="J2752" s="94" t="b">
        <f>Proc[[#This Row],[Requested]]=Proc[[#This Row],[CurrentParent]]</f>
        <v>1</v>
      </c>
      <c r="K2752" s="144" t="str">
        <f>IF(Proc[[#This Row],[Author]]="Marcela Urrego",VLOOKUP(LEFT(Proc[[#This Row],[Requested]],1),Table3[#All],2,0),VLOOKUP(Proc[[#This Row],[Author]],Table4[],2,0))</f>
        <v>MGF</v>
      </c>
      <c r="L2752" s="125" t="s">
        <v>4894</v>
      </c>
      <c r="M2752" s="109">
        <v>45841.453541666669</v>
      </c>
      <c r="N2752" s="109"/>
      <c r="O2752" s="109"/>
      <c r="P2752" s="110" t="str">
        <f ca="1">IF(Proc[[#This Row],[DaysAgeing]]&gt;5,"yep","on track")</f>
        <v>yep</v>
      </c>
      <c r="Q2752" s="3">
        <f ca="1">IF(Proc[[#This Row],[DateClosed]]="",ABS(NETWORKDAYS(Proc[[#This Row],[DateOpened]],TODAY()))-1,ABS(NETWORKDAYS(Proc[[#This Row],[DateOpened]],Proc[[#This Row],[DateClosed]]))-1)</f>
        <v>121</v>
      </c>
      <c r="R2752" s="110" t="s">
        <v>485</v>
      </c>
      <c r="S2752" s="94"/>
    </row>
    <row r="2753" spans="1:19" hidden="1">
      <c r="A2753" s="103" t="s">
        <v>4422</v>
      </c>
      <c r="B2753" s="149" t="str">
        <f>IFERROR(VLOOKUP(Proc[[#This Row],[App]],Table2[],3,0),"open")</f>
        <v>ok</v>
      </c>
      <c r="C2753" s="117" t="s">
        <v>369</v>
      </c>
      <c r="D2753" t="s">
        <v>4674</v>
      </c>
      <c r="E2753" t="s">
        <v>4750</v>
      </c>
      <c r="F2753" s="94" t="s">
        <v>4750</v>
      </c>
      <c r="G2753" s="103" t="s">
        <v>406</v>
      </c>
      <c r="H2753" s="94" t="str">
        <f>IF(Proc[[#This Row],[type]]="LFF (MDG-F)",MID(Proc[[#This Row],[Obj]],13,10),"")</f>
        <v>DE20538135</v>
      </c>
      <c r="I2753" s="103" t="s">
        <v>4785</v>
      </c>
      <c r="J2753" s="94" t="b">
        <f>Proc[[#This Row],[Requested]]=Proc[[#This Row],[CurrentParent]]</f>
        <v>1</v>
      </c>
      <c r="K2753" s="144" t="str">
        <f>IF(Proc[[#This Row],[Author]]="Marcela Urrego",VLOOKUP(LEFT(Proc[[#This Row],[Requested]],1),Table3[#All],2,0),VLOOKUP(Proc[[#This Row],[Author]],Table4[],2,0))</f>
        <v>MGF</v>
      </c>
      <c r="L2753" s="125" t="s">
        <v>4894</v>
      </c>
      <c r="M2753" s="109">
        <v>45841.453541666669</v>
      </c>
      <c r="N2753" s="109"/>
      <c r="O2753" s="109"/>
      <c r="P2753" s="110" t="str">
        <f ca="1">IF(Proc[[#This Row],[DaysAgeing]]&gt;5,"yep","on track")</f>
        <v>yep</v>
      </c>
      <c r="Q2753" s="3">
        <f ca="1">IF(Proc[[#This Row],[DateClosed]]="",ABS(NETWORKDAYS(Proc[[#This Row],[DateOpened]],TODAY()))-1,ABS(NETWORKDAYS(Proc[[#This Row],[DateOpened]],Proc[[#This Row],[DateClosed]]))-1)</f>
        <v>121</v>
      </c>
      <c r="R2753" s="110" t="s">
        <v>485</v>
      </c>
      <c r="S2753" s="94"/>
    </row>
    <row r="2754" spans="1:19" hidden="1">
      <c r="A2754" s="103" t="s">
        <v>4422</v>
      </c>
      <c r="B2754" s="149" t="str">
        <f>IFERROR(VLOOKUP(Proc[[#This Row],[App]],Table2[],3,0),"open")</f>
        <v>ok</v>
      </c>
      <c r="C2754" s="117" t="s">
        <v>369</v>
      </c>
      <c r="D2754" t="s">
        <v>4675</v>
      </c>
      <c r="E2754" t="s">
        <v>4750</v>
      </c>
      <c r="F2754" s="94" t="s">
        <v>4750</v>
      </c>
      <c r="G2754" s="103" t="s">
        <v>406</v>
      </c>
      <c r="H2754" s="94" t="str">
        <f>IF(Proc[[#This Row],[type]]="LFF (MDG-F)",MID(Proc[[#This Row],[Obj]],13,10),"")</f>
        <v>DE20538138</v>
      </c>
      <c r="I2754" s="103" t="s">
        <v>4785</v>
      </c>
      <c r="J2754" s="94" t="b">
        <f>Proc[[#This Row],[Requested]]=Proc[[#This Row],[CurrentParent]]</f>
        <v>1</v>
      </c>
      <c r="K2754" s="144" t="str">
        <f>IF(Proc[[#This Row],[Author]]="Marcela Urrego",VLOOKUP(LEFT(Proc[[#This Row],[Requested]],1),Table3[#All],2,0),VLOOKUP(Proc[[#This Row],[Author]],Table4[],2,0))</f>
        <v>MGF</v>
      </c>
      <c r="L2754" s="125" t="s">
        <v>4894</v>
      </c>
      <c r="M2754" s="109">
        <v>45841.453541666669</v>
      </c>
      <c r="N2754" s="109"/>
      <c r="O2754" s="109"/>
      <c r="P2754" s="110" t="str">
        <f ca="1">IF(Proc[[#This Row],[DaysAgeing]]&gt;5,"yep","on track")</f>
        <v>yep</v>
      </c>
      <c r="Q2754" s="3">
        <f ca="1">IF(Proc[[#This Row],[DateClosed]]="",ABS(NETWORKDAYS(Proc[[#This Row],[DateOpened]],TODAY()))-1,ABS(NETWORKDAYS(Proc[[#This Row],[DateOpened]],Proc[[#This Row],[DateClosed]]))-1)</f>
        <v>121</v>
      </c>
      <c r="R2754" s="110" t="s">
        <v>485</v>
      </c>
      <c r="S2754" s="94"/>
    </row>
    <row r="2755" spans="1:19" hidden="1">
      <c r="A2755" s="103" t="s">
        <v>4422</v>
      </c>
      <c r="B2755" s="149" t="str">
        <f>IFERROR(VLOOKUP(Proc[[#This Row],[App]],Table2[],3,0),"open")</f>
        <v>ok</v>
      </c>
      <c r="C2755" s="117" t="s">
        <v>369</v>
      </c>
      <c r="D2755" t="s">
        <v>4676</v>
      </c>
      <c r="E2755" t="s">
        <v>4750</v>
      </c>
      <c r="F2755" s="94" t="s">
        <v>4750</v>
      </c>
      <c r="G2755" s="103" t="s">
        <v>406</v>
      </c>
      <c r="H2755" s="94" t="str">
        <f>IF(Proc[[#This Row],[type]]="LFF (MDG-F)",MID(Proc[[#This Row],[Obj]],13,10),"")</f>
        <v>DE20538139</v>
      </c>
      <c r="I2755" s="103" t="s">
        <v>4785</v>
      </c>
      <c r="J2755" s="94" t="b">
        <f>Proc[[#This Row],[Requested]]=Proc[[#This Row],[CurrentParent]]</f>
        <v>1</v>
      </c>
      <c r="K2755" s="144" t="str">
        <f>IF(Proc[[#This Row],[Author]]="Marcela Urrego",VLOOKUP(LEFT(Proc[[#This Row],[Requested]],1),Table3[#All],2,0),VLOOKUP(Proc[[#This Row],[Author]],Table4[],2,0))</f>
        <v>MGF</v>
      </c>
      <c r="L2755" s="125" t="s">
        <v>4894</v>
      </c>
      <c r="M2755" s="109">
        <v>45841.453541666669</v>
      </c>
      <c r="N2755" s="109"/>
      <c r="O2755" s="109"/>
      <c r="P2755" s="110" t="str">
        <f ca="1">IF(Proc[[#This Row],[DaysAgeing]]&gt;5,"yep","on track")</f>
        <v>yep</v>
      </c>
      <c r="Q2755" s="3">
        <f ca="1">IF(Proc[[#This Row],[DateClosed]]="",ABS(NETWORKDAYS(Proc[[#This Row],[DateOpened]],TODAY()))-1,ABS(NETWORKDAYS(Proc[[#This Row],[DateOpened]],Proc[[#This Row],[DateClosed]]))-1)</f>
        <v>121</v>
      </c>
      <c r="R2755" s="110" t="s">
        <v>485</v>
      </c>
      <c r="S2755" s="94"/>
    </row>
    <row r="2756" spans="1:19" hidden="1">
      <c r="A2756" s="103" t="s">
        <v>4422</v>
      </c>
      <c r="B2756" s="149" t="str">
        <f>IFERROR(VLOOKUP(Proc[[#This Row],[App]],Table2[],3,0),"open")</f>
        <v>ok</v>
      </c>
      <c r="C2756" s="117" t="s">
        <v>369</v>
      </c>
      <c r="D2756" t="s">
        <v>4677</v>
      </c>
      <c r="E2756" t="s">
        <v>4750</v>
      </c>
      <c r="F2756" s="94" t="s">
        <v>4750</v>
      </c>
      <c r="G2756" s="103" t="s">
        <v>406</v>
      </c>
      <c r="H2756" s="94" t="str">
        <f>IF(Proc[[#This Row],[type]]="LFF (MDG-F)",MID(Proc[[#This Row],[Obj]],13,10),"")</f>
        <v>DE20538142</v>
      </c>
      <c r="I2756" s="103" t="s">
        <v>4785</v>
      </c>
      <c r="J2756" s="94" t="b">
        <f>Proc[[#This Row],[Requested]]=Proc[[#This Row],[CurrentParent]]</f>
        <v>1</v>
      </c>
      <c r="K2756" s="144" t="str">
        <f>IF(Proc[[#This Row],[Author]]="Marcela Urrego",VLOOKUP(LEFT(Proc[[#This Row],[Requested]],1),Table3[#All],2,0),VLOOKUP(Proc[[#This Row],[Author]],Table4[],2,0))</f>
        <v>MGF</v>
      </c>
      <c r="L2756" s="125" t="s">
        <v>4894</v>
      </c>
      <c r="M2756" s="109">
        <v>45841.453541666669</v>
      </c>
      <c r="N2756" s="109"/>
      <c r="O2756" s="109"/>
      <c r="P2756" s="110" t="str">
        <f ca="1">IF(Proc[[#This Row],[DaysAgeing]]&gt;5,"yep","on track")</f>
        <v>yep</v>
      </c>
      <c r="Q2756" s="3">
        <f ca="1">IF(Proc[[#This Row],[DateClosed]]="",ABS(NETWORKDAYS(Proc[[#This Row],[DateOpened]],TODAY()))-1,ABS(NETWORKDAYS(Proc[[#This Row],[DateOpened]],Proc[[#This Row],[DateClosed]]))-1)</f>
        <v>121</v>
      </c>
      <c r="R2756" s="110" t="s">
        <v>485</v>
      </c>
      <c r="S2756" s="94"/>
    </row>
    <row r="2757" spans="1:19" hidden="1">
      <c r="A2757" s="103" t="s">
        <v>4422</v>
      </c>
      <c r="B2757" s="149" t="str">
        <f>IFERROR(VLOOKUP(Proc[[#This Row],[App]],Table2[],3,0),"open")</f>
        <v>ok</v>
      </c>
      <c r="C2757" s="117" t="s">
        <v>369</v>
      </c>
      <c r="D2757" t="s">
        <v>4678</v>
      </c>
      <c r="E2757" t="s">
        <v>4750</v>
      </c>
      <c r="F2757" s="94" t="s">
        <v>4750</v>
      </c>
      <c r="G2757" s="103" t="s">
        <v>406</v>
      </c>
      <c r="H2757" s="94" t="str">
        <f>IF(Proc[[#This Row],[type]]="LFF (MDG-F)",MID(Proc[[#This Row],[Obj]],13,10),"")</f>
        <v>DE20538144</v>
      </c>
      <c r="I2757" s="103" t="s">
        <v>4785</v>
      </c>
      <c r="J2757" s="94" t="b">
        <f>Proc[[#This Row],[Requested]]=Proc[[#This Row],[CurrentParent]]</f>
        <v>1</v>
      </c>
      <c r="K2757" s="144" t="str">
        <f>IF(Proc[[#This Row],[Author]]="Marcela Urrego",VLOOKUP(LEFT(Proc[[#This Row],[Requested]],1),Table3[#All],2,0),VLOOKUP(Proc[[#This Row],[Author]],Table4[],2,0))</f>
        <v>MGF</v>
      </c>
      <c r="L2757" s="125" t="s">
        <v>4894</v>
      </c>
      <c r="M2757" s="109">
        <v>45841.453541666669</v>
      </c>
      <c r="N2757" s="109"/>
      <c r="O2757" s="109"/>
      <c r="P2757" s="110" t="str">
        <f ca="1">IF(Proc[[#This Row],[DaysAgeing]]&gt;5,"yep","on track")</f>
        <v>yep</v>
      </c>
      <c r="Q2757" s="3">
        <f ca="1">IF(Proc[[#This Row],[DateClosed]]="",ABS(NETWORKDAYS(Proc[[#This Row],[DateOpened]],TODAY()))-1,ABS(NETWORKDAYS(Proc[[#This Row],[DateOpened]],Proc[[#This Row],[DateClosed]]))-1)</f>
        <v>121</v>
      </c>
      <c r="R2757" s="110" t="s">
        <v>485</v>
      </c>
      <c r="S2757" s="94"/>
    </row>
    <row r="2758" spans="1:19" hidden="1">
      <c r="A2758" s="103" t="s">
        <v>4422</v>
      </c>
      <c r="B2758" s="149" t="str">
        <f>IFERROR(VLOOKUP(Proc[[#This Row],[App]],Table2[],3,0),"open")</f>
        <v>ok</v>
      </c>
      <c r="C2758" s="117" t="s">
        <v>369</v>
      </c>
      <c r="D2758" t="s">
        <v>4679</v>
      </c>
      <c r="E2758" t="s">
        <v>4750</v>
      </c>
      <c r="F2758" s="94" t="s">
        <v>4750</v>
      </c>
      <c r="G2758" s="103" t="s">
        <v>406</v>
      </c>
      <c r="H2758" s="94" t="str">
        <f>IF(Proc[[#This Row],[type]]="LFF (MDG-F)",MID(Proc[[#This Row],[Obj]],13,10),"")</f>
        <v>DE20538161</v>
      </c>
      <c r="I2758" s="103" t="s">
        <v>4785</v>
      </c>
      <c r="J2758" s="94" t="b">
        <f>Proc[[#This Row],[Requested]]=Proc[[#This Row],[CurrentParent]]</f>
        <v>1</v>
      </c>
      <c r="K2758" s="144" t="str">
        <f>IF(Proc[[#This Row],[Author]]="Marcela Urrego",VLOOKUP(LEFT(Proc[[#This Row],[Requested]],1),Table3[#All],2,0),VLOOKUP(Proc[[#This Row],[Author]],Table4[],2,0))</f>
        <v>MGF</v>
      </c>
      <c r="L2758" s="125" t="s">
        <v>4894</v>
      </c>
      <c r="M2758" s="109">
        <v>45841.453541666669</v>
      </c>
      <c r="N2758" s="109"/>
      <c r="O2758" s="109"/>
      <c r="P2758" s="110" t="str">
        <f ca="1">IF(Proc[[#This Row],[DaysAgeing]]&gt;5,"yep","on track")</f>
        <v>yep</v>
      </c>
      <c r="Q2758" s="3">
        <f ca="1">IF(Proc[[#This Row],[DateClosed]]="",ABS(NETWORKDAYS(Proc[[#This Row],[DateOpened]],TODAY()))-1,ABS(NETWORKDAYS(Proc[[#This Row],[DateOpened]],Proc[[#This Row],[DateClosed]]))-1)</f>
        <v>121</v>
      </c>
      <c r="R2758" s="110" t="s">
        <v>485</v>
      </c>
      <c r="S2758" s="94"/>
    </row>
    <row r="2759" spans="1:19" hidden="1">
      <c r="A2759" s="103" t="s">
        <v>4422</v>
      </c>
      <c r="B2759" s="149" t="str">
        <f>IFERROR(VLOOKUP(Proc[[#This Row],[App]],Table2[],3,0),"open")</f>
        <v>ok</v>
      </c>
      <c r="C2759" s="117" t="s">
        <v>369</v>
      </c>
      <c r="D2759" t="s">
        <v>4680</v>
      </c>
      <c r="E2759" t="s">
        <v>4751</v>
      </c>
      <c r="F2759" s="94" t="s">
        <v>4751</v>
      </c>
      <c r="G2759" s="103" t="s">
        <v>406</v>
      </c>
      <c r="H2759" s="94" t="str">
        <f>IF(Proc[[#This Row],[type]]="LFF (MDG-F)",MID(Proc[[#This Row],[Obj]],13,10),"")</f>
        <v>DE20538174</v>
      </c>
      <c r="I2759" s="103" t="s">
        <v>4785</v>
      </c>
      <c r="J2759" s="94" t="b">
        <f>Proc[[#This Row],[Requested]]=Proc[[#This Row],[CurrentParent]]</f>
        <v>1</v>
      </c>
      <c r="K2759" s="144" t="str">
        <f>IF(Proc[[#This Row],[Author]]="Marcela Urrego",VLOOKUP(LEFT(Proc[[#This Row],[Requested]],1),Table3[#All],2,0),VLOOKUP(Proc[[#This Row],[Author]],Table4[],2,0))</f>
        <v>MGF</v>
      </c>
      <c r="L2759" s="125" t="s">
        <v>4894</v>
      </c>
      <c r="M2759" s="109">
        <v>45841.453541666669</v>
      </c>
      <c r="N2759" s="109"/>
      <c r="O2759" s="109"/>
      <c r="P2759" s="110" t="str">
        <f ca="1">IF(Proc[[#This Row],[DaysAgeing]]&gt;5,"yep","on track")</f>
        <v>yep</v>
      </c>
      <c r="Q2759" s="3">
        <f ca="1">IF(Proc[[#This Row],[DateClosed]]="",ABS(NETWORKDAYS(Proc[[#This Row],[DateOpened]],TODAY()))-1,ABS(NETWORKDAYS(Proc[[#This Row],[DateOpened]],Proc[[#This Row],[DateClosed]]))-1)</f>
        <v>121</v>
      </c>
      <c r="R2759" s="110" t="s">
        <v>485</v>
      </c>
      <c r="S2759" s="94"/>
    </row>
    <row r="2760" spans="1:19" hidden="1">
      <c r="A2760" s="103" t="s">
        <v>4422</v>
      </c>
      <c r="B2760" s="149" t="str">
        <f>IFERROR(VLOOKUP(Proc[[#This Row],[App]],Table2[],3,0),"open")</f>
        <v>ok</v>
      </c>
      <c r="C2760" s="117" t="s">
        <v>369</v>
      </c>
      <c r="D2760" t="s">
        <v>4681</v>
      </c>
      <c r="E2760" t="s">
        <v>4751</v>
      </c>
      <c r="F2760" s="94" t="s">
        <v>4751</v>
      </c>
      <c r="G2760" s="103" t="s">
        <v>406</v>
      </c>
      <c r="H2760" s="94" t="str">
        <f>IF(Proc[[#This Row],[type]]="LFF (MDG-F)",MID(Proc[[#This Row],[Obj]],13,10),"")</f>
        <v>DE20538178</v>
      </c>
      <c r="I2760" s="103" t="s">
        <v>4785</v>
      </c>
      <c r="J2760" s="94" t="b">
        <f>Proc[[#This Row],[Requested]]=Proc[[#This Row],[CurrentParent]]</f>
        <v>1</v>
      </c>
      <c r="K2760" s="144" t="str">
        <f>IF(Proc[[#This Row],[Author]]="Marcela Urrego",VLOOKUP(LEFT(Proc[[#This Row],[Requested]],1),Table3[#All],2,0),VLOOKUP(Proc[[#This Row],[Author]],Table4[],2,0))</f>
        <v>MGF</v>
      </c>
      <c r="L2760" s="125" t="s">
        <v>4894</v>
      </c>
      <c r="M2760" s="109">
        <v>45841.453541666669</v>
      </c>
      <c r="N2760" s="109"/>
      <c r="O2760" s="109"/>
      <c r="P2760" s="110" t="str">
        <f ca="1">IF(Proc[[#This Row],[DaysAgeing]]&gt;5,"yep","on track")</f>
        <v>yep</v>
      </c>
      <c r="Q2760" s="3">
        <f ca="1">IF(Proc[[#This Row],[DateClosed]]="",ABS(NETWORKDAYS(Proc[[#This Row],[DateOpened]],TODAY()))-1,ABS(NETWORKDAYS(Proc[[#This Row],[DateOpened]],Proc[[#This Row],[DateClosed]]))-1)</f>
        <v>121</v>
      </c>
      <c r="R2760" s="110" t="s">
        <v>485</v>
      </c>
      <c r="S2760" s="94"/>
    </row>
    <row r="2761" spans="1:19" hidden="1">
      <c r="A2761" s="103" t="s">
        <v>4422</v>
      </c>
      <c r="B2761" s="149" t="str">
        <f>IFERROR(VLOOKUP(Proc[[#This Row],[App]],Table2[],3,0),"open")</f>
        <v>ok</v>
      </c>
      <c r="C2761" s="117" t="s">
        <v>369</v>
      </c>
      <c r="D2761" t="s">
        <v>4682</v>
      </c>
      <c r="E2761" t="s">
        <v>4750</v>
      </c>
      <c r="F2761" s="94" t="s">
        <v>4750</v>
      </c>
      <c r="G2761" s="103" t="s">
        <v>406</v>
      </c>
      <c r="H2761" s="94" t="str">
        <f>IF(Proc[[#This Row],[type]]="LFF (MDG-F)",MID(Proc[[#This Row],[Obj]],13,10),"")</f>
        <v>DE20538192</v>
      </c>
      <c r="I2761" s="103" t="s">
        <v>4785</v>
      </c>
      <c r="J2761" s="94" t="b">
        <f>Proc[[#This Row],[Requested]]=Proc[[#This Row],[CurrentParent]]</f>
        <v>1</v>
      </c>
      <c r="K2761" s="144" t="str">
        <f>IF(Proc[[#This Row],[Author]]="Marcela Urrego",VLOOKUP(LEFT(Proc[[#This Row],[Requested]],1),Table3[#All],2,0),VLOOKUP(Proc[[#This Row],[Author]],Table4[],2,0))</f>
        <v>MGF</v>
      </c>
      <c r="L2761" s="125" t="s">
        <v>4894</v>
      </c>
      <c r="M2761" s="109">
        <v>45841.453541666669</v>
      </c>
      <c r="N2761" s="109"/>
      <c r="O2761" s="109"/>
      <c r="P2761" s="110" t="str">
        <f ca="1">IF(Proc[[#This Row],[DaysAgeing]]&gt;5,"yep","on track")</f>
        <v>yep</v>
      </c>
      <c r="Q2761" s="3">
        <f ca="1">IF(Proc[[#This Row],[DateClosed]]="",ABS(NETWORKDAYS(Proc[[#This Row],[DateOpened]],TODAY()))-1,ABS(NETWORKDAYS(Proc[[#This Row],[DateOpened]],Proc[[#This Row],[DateClosed]]))-1)</f>
        <v>121</v>
      </c>
      <c r="R2761" s="110" t="s">
        <v>485</v>
      </c>
      <c r="S2761" s="94"/>
    </row>
    <row r="2762" spans="1:19" hidden="1">
      <c r="A2762" s="103" t="s">
        <v>4422</v>
      </c>
      <c r="B2762" s="149" t="str">
        <f>IFERROR(VLOOKUP(Proc[[#This Row],[App]],Table2[],3,0),"open")</f>
        <v>ok</v>
      </c>
      <c r="C2762" s="117" t="s">
        <v>369</v>
      </c>
      <c r="D2762" t="s">
        <v>4683</v>
      </c>
      <c r="E2762" t="s">
        <v>4751</v>
      </c>
      <c r="F2762" s="94" t="s">
        <v>4751</v>
      </c>
      <c r="G2762" s="103" t="s">
        <v>406</v>
      </c>
      <c r="H2762" s="94" t="str">
        <f>IF(Proc[[#This Row],[type]]="LFF (MDG-F)",MID(Proc[[#This Row],[Obj]],13,10),"")</f>
        <v>DE20538397</v>
      </c>
      <c r="I2762" s="103" t="s">
        <v>4785</v>
      </c>
      <c r="J2762" s="94" t="b">
        <f>Proc[[#This Row],[Requested]]=Proc[[#This Row],[CurrentParent]]</f>
        <v>1</v>
      </c>
      <c r="K2762" s="144" t="str">
        <f>IF(Proc[[#This Row],[Author]]="Marcela Urrego",VLOOKUP(LEFT(Proc[[#This Row],[Requested]],1),Table3[#All],2,0),VLOOKUP(Proc[[#This Row],[Author]],Table4[],2,0))</f>
        <v>MGF</v>
      </c>
      <c r="L2762" s="125" t="s">
        <v>4894</v>
      </c>
      <c r="M2762" s="109">
        <v>45841.453541666669</v>
      </c>
      <c r="N2762" s="109"/>
      <c r="O2762" s="109"/>
      <c r="P2762" s="110" t="str">
        <f ca="1">IF(Proc[[#This Row],[DaysAgeing]]&gt;5,"yep","on track")</f>
        <v>yep</v>
      </c>
      <c r="Q2762" s="3">
        <f ca="1">IF(Proc[[#This Row],[DateClosed]]="",ABS(NETWORKDAYS(Proc[[#This Row],[DateOpened]],TODAY()))-1,ABS(NETWORKDAYS(Proc[[#This Row],[DateOpened]],Proc[[#This Row],[DateClosed]]))-1)</f>
        <v>121</v>
      </c>
      <c r="R2762" s="110" t="s">
        <v>485</v>
      </c>
      <c r="S2762" s="94"/>
    </row>
    <row r="2763" spans="1:19" hidden="1">
      <c r="A2763" s="103" t="s">
        <v>4422</v>
      </c>
      <c r="B2763" s="149" t="str">
        <f>IFERROR(VLOOKUP(Proc[[#This Row],[App]],Table2[],3,0),"open")</f>
        <v>ok</v>
      </c>
      <c r="C2763" s="117" t="s">
        <v>369</v>
      </c>
      <c r="D2763" t="s">
        <v>4684</v>
      </c>
      <c r="E2763" t="s">
        <v>4750</v>
      </c>
      <c r="F2763" s="94" t="s">
        <v>4750</v>
      </c>
      <c r="G2763" s="103" t="s">
        <v>406</v>
      </c>
      <c r="H2763" s="94" t="str">
        <f>IF(Proc[[#This Row],[type]]="LFF (MDG-F)",MID(Proc[[#This Row],[Obj]],13,10),"")</f>
        <v>DE20538556</v>
      </c>
      <c r="I2763" s="103" t="s">
        <v>4785</v>
      </c>
      <c r="J2763" s="94" t="b">
        <f>Proc[[#This Row],[Requested]]=Proc[[#This Row],[CurrentParent]]</f>
        <v>1</v>
      </c>
      <c r="K2763" s="144" t="str">
        <f>IF(Proc[[#This Row],[Author]]="Marcela Urrego",VLOOKUP(LEFT(Proc[[#This Row],[Requested]],1),Table3[#All],2,0),VLOOKUP(Proc[[#This Row],[Author]],Table4[],2,0))</f>
        <v>MGF</v>
      </c>
      <c r="L2763" s="125" t="s">
        <v>4894</v>
      </c>
      <c r="M2763" s="109">
        <v>45841.453541666669</v>
      </c>
      <c r="N2763" s="109"/>
      <c r="O2763" s="109"/>
      <c r="P2763" s="110" t="str">
        <f ca="1">IF(Proc[[#This Row],[DaysAgeing]]&gt;5,"yep","on track")</f>
        <v>yep</v>
      </c>
      <c r="Q2763" s="3">
        <f ca="1">IF(Proc[[#This Row],[DateClosed]]="",ABS(NETWORKDAYS(Proc[[#This Row],[DateOpened]],TODAY()))-1,ABS(NETWORKDAYS(Proc[[#This Row],[DateOpened]],Proc[[#This Row],[DateClosed]]))-1)</f>
        <v>121</v>
      </c>
      <c r="R2763" s="110" t="s">
        <v>485</v>
      </c>
      <c r="S2763" s="94"/>
    </row>
    <row r="2764" spans="1:19" hidden="1">
      <c r="A2764" s="103" t="s">
        <v>4422</v>
      </c>
      <c r="B2764" s="149" t="str">
        <f>IFERROR(VLOOKUP(Proc[[#This Row],[App]],Table2[],3,0),"open")</f>
        <v>ok</v>
      </c>
      <c r="C2764" s="117" t="s">
        <v>369</v>
      </c>
      <c r="D2764" t="s">
        <v>4685</v>
      </c>
      <c r="E2764" t="s">
        <v>4751</v>
      </c>
      <c r="F2764" s="94" t="s">
        <v>4751</v>
      </c>
      <c r="G2764" s="103" t="s">
        <v>406</v>
      </c>
      <c r="H2764" s="94" t="str">
        <f>IF(Proc[[#This Row],[type]]="LFF (MDG-F)",MID(Proc[[#This Row],[Obj]],13,10),"")</f>
        <v>DE20538654</v>
      </c>
      <c r="I2764" s="103" t="s">
        <v>4785</v>
      </c>
      <c r="J2764" s="94" t="b">
        <f>Proc[[#This Row],[Requested]]=Proc[[#This Row],[CurrentParent]]</f>
        <v>1</v>
      </c>
      <c r="K2764" s="144" t="str">
        <f>IF(Proc[[#This Row],[Author]]="Marcela Urrego",VLOOKUP(LEFT(Proc[[#This Row],[Requested]],1),Table3[#All],2,0),VLOOKUP(Proc[[#This Row],[Author]],Table4[],2,0))</f>
        <v>MGF</v>
      </c>
      <c r="L2764" s="125" t="s">
        <v>4894</v>
      </c>
      <c r="M2764" s="109">
        <v>45841.453541666669</v>
      </c>
      <c r="N2764" s="109"/>
      <c r="O2764" s="109"/>
      <c r="P2764" s="110" t="str">
        <f ca="1">IF(Proc[[#This Row],[DaysAgeing]]&gt;5,"yep","on track")</f>
        <v>yep</v>
      </c>
      <c r="Q2764" s="3">
        <f ca="1">IF(Proc[[#This Row],[DateClosed]]="",ABS(NETWORKDAYS(Proc[[#This Row],[DateOpened]],TODAY()))-1,ABS(NETWORKDAYS(Proc[[#This Row],[DateOpened]],Proc[[#This Row],[DateClosed]]))-1)</f>
        <v>121</v>
      </c>
      <c r="R2764" s="110" t="s">
        <v>485</v>
      </c>
      <c r="S2764" s="94"/>
    </row>
    <row r="2765" spans="1:19" hidden="1">
      <c r="A2765" s="103" t="s">
        <v>4422</v>
      </c>
      <c r="B2765" s="149" t="str">
        <f>IFERROR(VLOOKUP(Proc[[#This Row],[App]],Table2[],3,0),"open")</f>
        <v>ok</v>
      </c>
      <c r="C2765" s="117" t="s">
        <v>369</v>
      </c>
      <c r="D2765" t="s">
        <v>4686</v>
      </c>
      <c r="E2765" t="s">
        <v>4750</v>
      </c>
      <c r="F2765" s="94" t="s">
        <v>4750</v>
      </c>
      <c r="G2765" s="103" t="s">
        <v>406</v>
      </c>
      <c r="H2765" s="94" t="str">
        <f>IF(Proc[[#This Row],[type]]="LFF (MDG-F)",MID(Proc[[#This Row],[Obj]],13,10),"")</f>
        <v>DE20579990</v>
      </c>
      <c r="I2765" s="103" t="s">
        <v>4785</v>
      </c>
      <c r="J2765" s="94" t="b">
        <f>Proc[[#This Row],[Requested]]=Proc[[#This Row],[CurrentParent]]</f>
        <v>1</v>
      </c>
      <c r="K2765" s="144" t="str">
        <f>IF(Proc[[#This Row],[Author]]="Marcela Urrego",VLOOKUP(LEFT(Proc[[#This Row],[Requested]],1),Table3[#All],2,0),VLOOKUP(Proc[[#This Row],[Author]],Table4[],2,0))</f>
        <v>MGF</v>
      </c>
      <c r="L2765" s="125" t="s">
        <v>4894</v>
      </c>
      <c r="M2765" s="109">
        <v>45841.453541666669</v>
      </c>
      <c r="N2765" s="109"/>
      <c r="O2765" s="109"/>
      <c r="P2765" s="110" t="str">
        <f ca="1">IF(Proc[[#This Row],[DaysAgeing]]&gt;5,"yep","on track")</f>
        <v>yep</v>
      </c>
      <c r="Q2765" s="3">
        <f ca="1">IF(Proc[[#This Row],[DateClosed]]="",ABS(NETWORKDAYS(Proc[[#This Row],[DateOpened]],TODAY()))-1,ABS(NETWORKDAYS(Proc[[#This Row],[DateOpened]],Proc[[#This Row],[DateClosed]]))-1)</f>
        <v>121</v>
      </c>
      <c r="R2765" s="110" t="s">
        <v>485</v>
      </c>
      <c r="S2765" s="94"/>
    </row>
    <row r="2766" spans="1:19" hidden="1">
      <c r="A2766" s="103" t="s">
        <v>4422</v>
      </c>
      <c r="B2766" s="149" t="str">
        <f>IFERROR(VLOOKUP(Proc[[#This Row],[App]],Table2[],3,0),"open")</f>
        <v>ok</v>
      </c>
      <c r="C2766" s="117" t="s">
        <v>369</v>
      </c>
      <c r="D2766" t="s">
        <v>4687</v>
      </c>
      <c r="E2766" t="s">
        <v>4751</v>
      </c>
      <c r="F2766" s="94" t="s">
        <v>4751</v>
      </c>
      <c r="G2766" s="103" t="s">
        <v>406</v>
      </c>
      <c r="H2766" s="94" t="str">
        <f>IF(Proc[[#This Row],[type]]="LFF (MDG-F)",MID(Proc[[#This Row],[Obj]],13,10),"")</f>
        <v>DE20538107</v>
      </c>
      <c r="I2766" s="103" t="s">
        <v>4785</v>
      </c>
      <c r="J2766" s="94" t="b">
        <f>Proc[[#This Row],[Requested]]=Proc[[#This Row],[CurrentParent]]</f>
        <v>1</v>
      </c>
      <c r="K2766" s="144" t="str">
        <f>IF(Proc[[#This Row],[Author]]="Marcela Urrego",VLOOKUP(LEFT(Proc[[#This Row],[Requested]],1),Table3[#All],2,0),VLOOKUP(Proc[[#This Row],[Author]],Table4[],2,0))</f>
        <v>MGF</v>
      </c>
      <c r="L2766" s="125" t="s">
        <v>4894</v>
      </c>
      <c r="M2766" s="109">
        <v>45841.453541666669</v>
      </c>
      <c r="N2766" s="109"/>
      <c r="O2766" s="109"/>
      <c r="P2766" s="110" t="str">
        <f ca="1">IF(Proc[[#This Row],[DaysAgeing]]&gt;5,"yep","on track")</f>
        <v>yep</v>
      </c>
      <c r="Q2766" s="3">
        <f ca="1">IF(Proc[[#This Row],[DateClosed]]="",ABS(NETWORKDAYS(Proc[[#This Row],[DateOpened]],TODAY()))-1,ABS(NETWORKDAYS(Proc[[#This Row],[DateOpened]],Proc[[#This Row],[DateClosed]]))-1)</f>
        <v>121</v>
      </c>
      <c r="R2766" s="110" t="s">
        <v>485</v>
      </c>
      <c r="S2766" s="94"/>
    </row>
    <row r="2767" spans="1:19" hidden="1">
      <c r="A2767" s="103" t="s">
        <v>4422</v>
      </c>
      <c r="B2767" s="149" t="str">
        <f>IFERROR(VLOOKUP(Proc[[#This Row],[App]],Table2[],3,0),"open")</f>
        <v>ok</v>
      </c>
      <c r="C2767" s="117" t="s">
        <v>369</v>
      </c>
      <c r="D2767" t="s">
        <v>4688</v>
      </c>
      <c r="E2767" t="s">
        <v>4753</v>
      </c>
      <c r="F2767" s="94" t="s">
        <v>4753</v>
      </c>
      <c r="G2767" s="103" t="s">
        <v>406</v>
      </c>
      <c r="H2767" s="94" t="str">
        <f>IF(Proc[[#This Row],[type]]="LFF (MDG-F)",MID(Proc[[#This Row],[Obj]],13,10),"")</f>
        <v>DE20538118</v>
      </c>
      <c r="I2767" s="103" t="s">
        <v>4785</v>
      </c>
      <c r="J2767" s="94" t="b">
        <f>Proc[[#This Row],[Requested]]=Proc[[#This Row],[CurrentParent]]</f>
        <v>1</v>
      </c>
      <c r="K2767" s="144" t="str">
        <f>IF(Proc[[#This Row],[Author]]="Marcela Urrego",VLOOKUP(LEFT(Proc[[#This Row],[Requested]],1),Table3[#All],2,0),VLOOKUP(Proc[[#This Row],[Author]],Table4[],2,0))</f>
        <v>MGF</v>
      </c>
      <c r="L2767" s="125" t="s">
        <v>4894</v>
      </c>
      <c r="M2767" s="109">
        <v>45841.453541666669</v>
      </c>
      <c r="N2767" s="109"/>
      <c r="O2767" s="109"/>
      <c r="P2767" s="110" t="str">
        <f ca="1">IF(Proc[[#This Row],[DaysAgeing]]&gt;5,"yep","on track")</f>
        <v>yep</v>
      </c>
      <c r="Q2767" s="3">
        <f ca="1">IF(Proc[[#This Row],[DateClosed]]="",ABS(NETWORKDAYS(Proc[[#This Row],[DateOpened]],TODAY()))-1,ABS(NETWORKDAYS(Proc[[#This Row],[DateOpened]],Proc[[#This Row],[DateClosed]]))-1)</f>
        <v>121</v>
      </c>
      <c r="R2767" s="110" t="s">
        <v>485</v>
      </c>
      <c r="S2767" s="94"/>
    </row>
    <row r="2768" spans="1:19" hidden="1">
      <c r="A2768" s="103" t="s">
        <v>4422</v>
      </c>
      <c r="B2768" s="149" t="str">
        <f>IFERROR(VLOOKUP(Proc[[#This Row],[App]],Table2[],3,0),"open")</f>
        <v>ok</v>
      </c>
      <c r="C2768" s="117" t="s">
        <v>369</v>
      </c>
      <c r="D2768" t="s">
        <v>4689</v>
      </c>
      <c r="E2768" t="s">
        <v>4751</v>
      </c>
      <c r="F2768" s="94" t="s">
        <v>4751</v>
      </c>
      <c r="G2768" s="103" t="s">
        <v>406</v>
      </c>
      <c r="H2768" s="94" t="str">
        <f>IF(Proc[[#This Row],[type]]="LFF (MDG-F)",MID(Proc[[#This Row],[Obj]],13,10),"")</f>
        <v>DE20538136</v>
      </c>
      <c r="I2768" s="103" t="s">
        <v>4785</v>
      </c>
      <c r="J2768" s="94" t="b">
        <f>Proc[[#This Row],[Requested]]=Proc[[#This Row],[CurrentParent]]</f>
        <v>1</v>
      </c>
      <c r="K2768" s="144" t="str">
        <f>IF(Proc[[#This Row],[Author]]="Marcela Urrego",VLOOKUP(LEFT(Proc[[#This Row],[Requested]],1),Table3[#All],2,0),VLOOKUP(Proc[[#This Row],[Author]],Table4[],2,0))</f>
        <v>MGF</v>
      </c>
      <c r="L2768" s="125" t="s">
        <v>4894</v>
      </c>
      <c r="M2768" s="109">
        <v>45841.453541666669</v>
      </c>
      <c r="N2768" s="109"/>
      <c r="O2768" s="109"/>
      <c r="P2768" s="110" t="str">
        <f ca="1">IF(Proc[[#This Row],[DaysAgeing]]&gt;5,"yep","on track")</f>
        <v>yep</v>
      </c>
      <c r="Q2768" s="3">
        <f ca="1">IF(Proc[[#This Row],[DateClosed]]="",ABS(NETWORKDAYS(Proc[[#This Row],[DateOpened]],TODAY()))-1,ABS(NETWORKDAYS(Proc[[#This Row],[DateOpened]],Proc[[#This Row],[DateClosed]]))-1)</f>
        <v>121</v>
      </c>
      <c r="R2768" s="110" t="s">
        <v>485</v>
      </c>
      <c r="S2768" s="94"/>
    </row>
    <row r="2769" spans="1:19" hidden="1">
      <c r="A2769" s="103" t="s">
        <v>4422</v>
      </c>
      <c r="B2769" s="149" t="str">
        <f>IFERROR(VLOOKUP(Proc[[#This Row],[App]],Table2[],3,0),"open")</f>
        <v>ok</v>
      </c>
      <c r="C2769" s="117" t="s">
        <v>369</v>
      </c>
      <c r="D2769" t="s">
        <v>4690</v>
      </c>
      <c r="E2769" t="s">
        <v>4751</v>
      </c>
      <c r="F2769" s="94" t="s">
        <v>4751</v>
      </c>
      <c r="G2769" s="103" t="s">
        <v>406</v>
      </c>
      <c r="H2769" s="94" t="str">
        <f>IF(Proc[[#This Row],[type]]="LFF (MDG-F)",MID(Proc[[#This Row],[Obj]],13,10),"")</f>
        <v>DE20538137</v>
      </c>
      <c r="I2769" s="103" t="s">
        <v>4785</v>
      </c>
      <c r="J2769" s="94" t="b">
        <f>Proc[[#This Row],[Requested]]=Proc[[#This Row],[CurrentParent]]</f>
        <v>1</v>
      </c>
      <c r="K2769" s="144" t="str">
        <f>IF(Proc[[#This Row],[Author]]="Marcela Urrego",VLOOKUP(LEFT(Proc[[#This Row],[Requested]],1),Table3[#All],2,0),VLOOKUP(Proc[[#This Row],[Author]],Table4[],2,0))</f>
        <v>MGF</v>
      </c>
      <c r="L2769" s="125" t="s">
        <v>4894</v>
      </c>
      <c r="M2769" s="109">
        <v>45841.453541666669</v>
      </c>
      <c r="N2769" s="109"/>
      <c r="O2769" s="109"/>
      <c r="P2769" s="110" t="str">
        <f ca="1">IF(Proc[[#This Row],[DaysAgeing]]&gt;5,"yep","on track")</f>
        <v>yep</v>
      </c>
      <c r="Q2769" s="3">
        <f ca="1">IF(Proc[[#This Row],[DateClosed]]="",ABS(NETWORKDAYS(Proc[[#This Row],[DateOpened]],TODAY()))-1,ABS(NETWORKDAYS(Proc[[#This Row],[DateOpened]],Proc[[#This Row],[DateClosed]]))-1)</f>
        <v>121</v>
      </c>
      <c r="R2769" s="110" t="s">
        <v>485</v>
      </c>
      <c r="S2769" s="94"/>
    </row>
    <row r="2770" spans="1:19" hidden="1">
      <c r="A2770" s="103" t="s">
        <v>4422</v>
      </c>
      <c r="B2770" s="149" t="str">
        <f>IFERROR(VLOOKUP(Proc[[#This Row],[App]],Table2[],3,0),"open")</f>
        <v>ok</v>
      </c>
      <c r="C2770" s="117" t="s">
        <v>369</v>
      </c>
      <c r="D2770" t="s">
        <v>4691</v>
      </c>
      <c r="E2770" t="s">
        <v>4751</v>
      </c>
      <c r="F2770" s="94" t="s">
        <v>4751</v>
      </c>
      <c r="G2770" s="103" t="s">
        <v>406</v>
      </c>
      <c r="H2770" s="94" t="str">
        <f>IF(Proc[[#This Row],[type]]="LFF (MDG-F)",MID(Proc[[#This Row],[Obj]],13,10),"")</f>
        <v>DE20538141</v>
      </c>
      <c r="I2770" s="103" t="s">
        <v>4785</v>
      </c>
      <c r="J2770" s="94" t="b">
        <f>Proc[[#This Row],[Requested]]=Proc[[#This Row],[CurrentParent]]</f>
        <v>1</v>
      </c>
      <c r="K2770" s="144" t="str">
        <f>IF(Proc[[#This Row],[Author]]="Marcela Urrego",VLOOKUP(LEFT(Proc[[#This Row],[Requested]],1),Table3[#All],2,0),VLOOKUP(Proc[[#This Row],[Author]],Table4[],2,0))</f>
        <v>MGF</v>
      </c>
      <c r="L2770" s="125" t="s">
        <v>4894</v>
      </c>
      <c r="M2770" s="109">
        <v>45841.453541666669</v>
      </c>
      <c r="N2770" s="109"/>
      <c r="O2770" s="109"/>
      <c r="P2770" s="110" t="str">
        <f ca="1">IF(Proc[[#This Row],[DaysAgeing]]&gt;5,"yep","on track")</f>
        <v>yep</v>
      </c>
      <c r="Q2770" s="3">
        <f ca="1">IF(Proc[[#This Row],[DateClosed]]="",ABS(NETWORKDAYS(Proc[[#This Row],[DateOpened]],TODAY()))-1,ABS(NETWORKDAYS(Proc[[#This Row],[DateOpened]],Proc[[#This Row],[DateClosed]]))-1)</f>
        <v>121</v>
      </c>
      <c r="R2770" s="110" t="s">
        <v>485</v>
      </c>
      <c r="S2770" s="94"/>
    </row>
    <row r="2771" spans="1:19" hidden="1">
      <c r="A2771" s="103" t="s">
        <v>4422</v>
      </c>
      <c r="B2771" s="149" t="str">
        <f>IFERROR(VLOOKUP(Proc[[#This Row],[App]],Table2[],3,0),"open")</f>
        <v>ok</v>
      </c>
      <c r="C2771" s="117" t="s">
        <v>369</v>
      </c>
      <c r="D2771" t="s">
        <v>4692</v>
      </c>
      <c r="E2771" t="s">
        <v>4751</v>
      </c>
      <c r="F2771" s="94" t="s">
        <v>4751</v>
      </c>
      <c r="G2771" s="103" t="s">
        <v>406</v>
      </c>
      <c r="H2771" s="94" t="str">
        <f>IF(Proc[[#This Row],[type]]="LFF (MDG-F)",MID(Proc[[#This Row],[Obj]],13,10),"")</f>
        <v>DE20538143</v>
      </c>
      <c r="I2771" s="103" t="s">
        <v>4785</v>
      </c>
      <c r="J2771" s="94" t="b">
        <f>Proc[[#This Row],[Requested]]=Proc[[#This Row],[CurrentParent]]</f>
        <v>1</v>
      </c>
      <c r="K2771" s="144" t="str">
        <f>IF(Proc[[#This Row],[Author]]="Marcela Urrego",VLOOKUP(LEFT(Proc[[#This Row],[Requested]],1),Table3[#All],2,0),VLOOKUP(Proc[[#This Row],[Author]],Table4[],2,0))</f>
        <v>MGF</v>
      </c>
      <c r="L2771" s="125" t="s">
        <v>4894</v>
      </c>
      <c r="M2771" s="109">
        <v>45841.453541666669</v>
      </c>
      <c r="N2771" s="109"/>
      <c r="O2771" s="109"/>
      <c r="P2771" s="110" t="str">
        <f ca="1">IF(Proc[[#This Row],[DaysAgeing]]&gt;5,"yep","on track")</f>
        <v>yep</v>
      </c>
      <c r="Q2771" s="3">
        <f ca="1">IF(Proc[[#This Row],[DateClosed]]="",ABS(NETWORKDAYS(Proc[[#This Row],[DateOpened]],TODAY()))-1,ABS(NETWORKDAYS(Proc[[#This Row],[DateOpened]],Proc[[#This Row],[DateClosed]]))-1)</f>
        <v>121</v>
      </c>
      <c r="R2771" s="110" t="s">
        <v>485</v>
      </c>
      <c r="S2771" s="94"/>
    </row>
    <row r="2772" spans="1:19" hidden="1">
      <c r="A2772" s="103" t="s">
        <v>4422</v>
      </c>
      <c r="B2772" s="149" t="str">
        <f>IFERROR(VLOOKUP(Proc[[#This Row],[App]],Table2[],3,0),"open")</f>
        <v>ok</v>
      </c>
      <c r="C2772" s="117" t="s">
        <v>369</v>
      </c>
      <c r="D2772" t="s">
        <v>4693</v>
      </c>
      <c r="E2772" t="s">
        <v>4751</v>
      </c>
      <c r="F2772" s="94" t="s">
        <v>4751</v>
      </c>
      <c r="G2772" s="103" t="s">
        <v>406</v>
      </c>
      <c r="H2772" s="94" t="str">
        <f>IF(Proc[[#This Row],[type]]="LFF (MDG-F)",MID(Proc[[#This Row],[Obj]],13,10),"")</f>
        <v>DE20538147</v>
      </c>
      <c r="I2772" s="103" t="s">
        <v>4785</v>
      </c>
      <c r="J2772" s="94" t="b">
        <f>Proc[[#This Row],[Requested]]=Proc[[#This Row],[CurrentParent]]</f>
        <v>1</v>
      </c>
      <c r="K2772" s="144" t="str">
        <f>IF(Proc[[#This Row],[Author]]="Marcela Urrego",VLOOKUP(LEFT(Proc[[#This Row],[Requested]],1),Table3[#All],2,0),VLOOKUP(Proc[[#This Row],[Author]],Table4[],2,0))</f>
        <v>MGF</v>
      </c>
      <c r="L2772" s="125" t="s">
        <v>4894</v>
      </c>
      <c r="M2772" s="109">
        <v>45841.453541666669</v>
      </c>
      <c r="N2772" s="109"/>
      <c r="O2772" s="109"/>
      <c r="P2772" s="110" t="str">
        <f ca="1">IF(Proc[[#This Row],[DaysAgeing]]&gt;5,"yep","on track")</f>
        <v>yep</v>
      </c>
      <c r="Q2772" s="3">
        <f ca="1">IF(Proc[[#This Row],[DateClosed]]="",ABS(NETWORKDAYS(Proc[[#This Row],[DateOpened]],TODAY()))-1,ABS(NETWORKDAYS(Proc[[#This Row],[DateOpened]],Proc[[#This Row],[DateClosed]]))-1)</f>
        <v>121</v>
      </c>
      <c r="R2772" s="110" t="s">
        <v>485</v>
      </c>
      <c r="S2772" s="94"/>
    </row>
    <row r="2773" spans="1:19" hidden="1">
      <c r="A2773" s="103" t="s">
        <v>4422</v>
      </c>
      <c r="B2773" s="149" t="str">
        <f>IFERROR(VLOOKUP(Proc[[#This Row],[App]],Table2[],3,0),"open")</f>
        <v>ok</v>
      </c>
      <c r="C2773" s="117" t="s">
        <v>369</v>
      </c>
      <c r="D2773" t="s">
        <v>4694</v>
      </c>
      <c r="E2773" t="s">
        <v>4754</v>
      </c>
      <c r="F2773" s="94" t="s">
        <v>4754</v>
      </c>
      <c r="G2773" s="103" t="s">
        <v>406</v>
      </c>
      <c r="H2773" s="94" t="str">
        <f>IF(Proc[[#This Row],[type]]="LFF (MDG-F)",MID(Proc[[#This Row],[Obj]],13,10),"")</f>
        <v>DE20538148</v>
      </c>
      <c r="I2773" s="103" t="s">
        <v>4785</v>
      </c>
      <c r="J2773" s="94" t="b">
        <f>Proc[[#This Row],[Requested]]=Proc[[#This Row],[CurrentParent]]</f>
        <v>1</v>
      </c>
      <c r="K2773" s="144" t="str">
        <f>IF(Proc[[#This Row],[Author]]="Marcela Urrego",VLOOKUP(LEFT(Proc[[#This Row],[Requested]],1),Table3[#All],2,0),VLOOKUP(Proc[[#This Row],[Author]],Table4[],2,0))</f>
        <v>MGF</v>
      </c>
      <c r="L2773" s="125" t="s">
        <v>4894</v>
      </c>
      <c r="M2773" s="109">
        <v>45841.453541666669</v>
      </c>
      <c r="N2773" s="109"/>
      <c r="O2773" s="109"/>
      <c r="P2773" s="110" t="str">
        <f ca="1">IF(Proc[[#This Row],[DaysAgeing]]&gt;5,"yep","on track")</f>
        <v>yep</v>
      </c>
      <c r="Q2773" s="3">
        <f ca="1">IF(Proc[[#This Row],[DateClosed]]="",ABS(NETWORKDAYS(Proc[[#This Row],[DateOpened]],TODAY()))-1,ABS(NETWORKDAYS(Proc[[#This Row],[DateOpened]],Proc[[#This Row],[DateClosed]]))-1)</f>
        <v>121</v>
      </c>
      <c r="R2773" s="110" t="s">
        <v>485</v>
      </c>
      <c r="S2773" s="94"/>
    </row>
    <row r="2774" spans="1:19" hidden="1">
      <c r="A2774" s="103" t="s">
        <v>4422</v>
      </c>
      <c r="B2774" s="149" t="str">
        <f>IFERROR(VLOOKUP(Proc[[#This Row],[App]],Table2[],3,0),"open")</f>
        <v>ok</v>
      </c>
      <c r="C2774" s="117" t="s">
        <v>369</v>
      </c>
      <c r="D2774" t="s">
        <v>4695</v>
      </c>
      <c r="E2774" t="s">
        <v>4751</v>
      </c>
      <c r="F2774" s="94" t="s">
        <v>4751</v>
      </c>
      <c r="G2774" s="103" t="s">
        <v>406</v>
      </c>
      <c r="H2774" s="94" t="str">
        <f>IF(Proc[[#This Row],[type]]="LFF (MDG-F)",MID(Proc[[#This Row],[Obj]],13,10),"")</f>
        <v>DE20538151</v>
      </c>
      <c r="I2774" s="103" t="s">
        <v>4785</v>
      </c>
      <c r="J2774" s="94" t="b">
        <f>Proc[[#This Row],[Requested]]=Proc[[#This Row],[CurrentParent]]</f>
        <v>1</v>
      </c>
      <c r="K2774" s="144" t="str">
        <f>IF(Proc[[#This Row],[Author]]="Marcela Urrego",VLOOKUP(LEFT(Proc[[#This Row],[Requested]],1),Table3[#All],2,0),VLOOKUP(Proc[[#This Row],[Author]],Table4[],2,0))</f>
        <v>MGF</v>
      </c>
      <c r="L2774" s="125" t="s">
        <v>4894</v>
      </c>
      <c r="M2774" s="109">
        <v>45841.453541666669</v>
      </c>
      <c r="N2774" s="109"/>
      <c r="O2774" s="109"/>
      <c r="P2774" s="110" t="str">
        <f ca="1">IF(Proc[[#This Row],[DaysAgeing]]&gt;5,"yep","on track")</f>
        <v>yep</v>
      </c>
      <c r="Q2774" s="3">
        <f ca="1">IF(Proc[[#This Row],[DateClosed]]="",ABS(NETWORKDAYS(Proc[[#This Row],[DateOpened]],TODAY()))-1,ABS(NETWORKDAYS(Proc[[#This Row],[DateOpened]],Proc[[#This Row],[DateClosed]]))-1)</f>
        <v>121</v>
      </c>
      <c r="R2774" s="110" t="s">
        <v>485</v>
      </c>
      <c r="S2774" s="94"/>
    </row>
    <row r="2775" spans="1:19" hidden="1">
      <c r="A2775" s="103" t="s">
        <v>4422</v>
      </c>
      <c r="B2775" s="149" t="str">
        <f>IFERROR(VLOOKUP(Proc[[#This Row],[App]],Table2[],3,0),"open")</f>
        <v>ok</v>
      </c>
      <c r="C2775" s="117" t="s">
        <v>369</v>
      </c>
      <c r="D2775" t="s">
        <v>4696</v>
      </c>
      <c r="E2775" t="s">
        <v>4751</v>
      </c>
      <c r="F2775" s="94" t="s">
        <v>4751</v>
      </c>
      <c r="G2775" s="103" t="s">
        <v>406</v>
      </c>
      <c r="H2775" s="94" t="str">
        <f>IF(Proc[[#This Row],[type]]="LFF (MDG-F)",MID(Proc[[#This Row],[Obj]],13,10),"")</f>
        <v>DE20538153</v>
      </c>
      <c r="I2775" s="103" t="s">
        <v>4785</v>
      </c>
      <c r="J2775" s="94" t="b">
        <f>Proc[[#This Row],[Requested]]=Proc[[#This Row],[CurrentParent]]</f>
        <v>1</v>
      </c>
      <c r="K2775" s="144" t="str">
        <f>IF(Proc[[#This Row],[Author]]="Marcela Urrego",VLOOKUP(LEFT(Proc[[#This Row],[Requested]],1),Table3[#All],2,0),VLOOKUP(Proc[[#This Row],[Author]],Table4[],2,0))</f>
        <v>MGF</v>
      </c>
      <c r="L2775" s="125" t="s">
        <v>4894</v>
      </c>
      <c r="M2775" s="109">
        <v>45841.453541666669</v>
      </c>
      <c r="N2775" s="109"/>
      <c r="O2775" s="109"/>
      <c r="P2775" s="110" t="str">
        <f ca="1">IF(Proc[[#This Row],[DaysAgeing]]&gt;5,"yep","on track")</f>
        <v>yep</v>
      </c>
      <c r="Q2775" s="3">
        <f ca="1">IF(Proc[[#This Row],[DateClosed]]="",ABS(NETWORKDAYS(Proc[[#This Row],[DateOpened]],TODAY()))-1,ABS(NETWORKDAYS(Proc[[#This Row],[DateOpened]],Proc[[#This Row],[DateClosed]]))-1)</f>
        <v>121</v>
      </c>
      <c r="R2775" s="110" t="s">
        <v>485</v>
      </c>
      <c r="S2775" s="94"/>
    </row>
    <row r="2776" spans="1:19" hidden="1">
      <c r="A2776" s="103" t="s">
        <v>4422</v>
      </c>
      <c r="B2776" s="149" t="str">
        <f>IFERROR(VLOOKUP(Proc[[#This Row],[App]],Table2[],3,0),"open")</f>
        <v>ok</v>
      </c>
      <c r="C2776" s="117" t="s">
        <v>369</v>
      </c>
      <c r="D2776" t="s">
        <v>4697</v>
      </c>
      <c r="E2776" t="s">
        <v>4751</v>
      </c>
      <c r="F2776" s="94" t="s">
        <v>4751</v>
      </c>
      <c r="G2776" s="103" t="s">
        <v>406</v>
      </c>
      <c r="H2776" s="94" t="str">
        <f>IF(Proc[[#This Row],[type]]="LFF (MDG-F)",MID(Proc[[#This Row],[Obj]],13,10),"")</f>
        <v>DE20538160</v>
      </c>
      <c r="I2776" s="103" t="s">
        <v>4785</v>
      </c>
      <c r="J2776" s="94" t="b">
        <f>Proc[[#This Row],[Requested]]=Proc[[#This Row],[CurrentParent]]</f>
        <v>1</v>
      </c>
      <c r="K2776" s="144" t="str">
        <f>IF(Proc[[#This Row],[Author]]="Marcela Urrego",VLOOKUP(LEFT(Proc[[#This Row],[Requested]],1),Table3[#All],2,0),VLOOKUP(Proc[[#This Row],[Author]],Table4[],2,0))</f>
        <v>MGF</v>
      </c>
      <c r="L2776" s="125" t="s">
        <v>4894</v>
      </c>
      <c r="M2776" s="109">
        <v>45841.453541666669</v>
      </c>
      <c r="N2776" s="109"/>
      <c r="O2776" s="109"/>
      <c r="P2776" s="110" t="str">
        <f ca="1">IF(Proc[[#This Row],[DaysAgeing]]&gt;5,"yep","on track")</f>
        <v>yep</v>
      </c>
      <c r="Q2776" s="3">
        <f ca="1">IF(Proc[[#This Row],[DateClosed]]="",ABS(NETWORKDAYS(Proc[[#This Row],[DateOpened]],TODAY()))-1,ABS(NETWORKDAYS(Proc[[#This Row],[DateOpened]],Proc[[#This Row],[DateClosed]]))-1)</f>
        <v>121</v>
      </c>
      <c r="R2776" s="110" t="s">
        <v>485</v>
      </c>
      <c r="S2776" s="94"/>
    </row>
    <row r="2777" spans="1:19" hidden="1">
      <c r="A2777" s="103" t="s">
        <v>4422</v>
      </c>
      <c r="B2777" s="149" t="str">
        <f>IFERROR(VLOOKUP(Proc[[#This Row],[App]],Table2[],3,0),"open")</f>
        <v>ok</v>
      </c>
      <c r="C2777" s="117" t="s">
        <v>369</v>
      </c>
      <c r="D2777" t="s">
        <v>4698</v>
      </c>
      <c r="E2777" t="s">
        <v>4751</v>
      </c>
      <c r="F2777" s="94" t="s">
        <v>4751</v>
      </c>
      <c r="G2777" s="103" t="s">
        <v>406</v>
      </c>
      <c r="H2777" s="94" t="str">
        <f>IF(Proc[[#This Row],[type]]="LFF (MDG-F)",MID(Proc[[#This Row],[Obj]],13,10),"")</f>
        <v>DE20538162</v>
      </c>
      <c r="I2777" s="103" t="s">
        <v>4785</v>
      </c>
      <c r="J2777" s="94" t="b">
        <f>Proc[[#This Row],[Requested]]=Proc[[#This Row],[CurrentParent]]</f>
        <v>1</v>
      </c>
      <c r="K2777" s="144" t="str">
        <f>IF(Proc[[#This Row],[Author]]="Marcela Urrego",VLOOKUP(LEFT(Proc[[#This Row],[Requested]],1),Table3[#All],2,0),VLOOKUP(Proc[[#This Row],[Author]],Table4[],2,0))</f>
        <v>MGF</v>
      </c>
      <c r="L2777" s="125" t="s">
        <v>4894</v>
      </c>
      <c r="M2777" s="109">
        <v>45841.453541666669</v>
      </c>
      <c r="N2777" s="109"/>
      <c r="O2777" s="109"/>
      <c r="P2777" s="110" t="str">
        <f ca="1">IF(Proc[[#This Row],[DaysAgeing]]&gt;5,"yep","on track")</f>
        <v>yep</v>
      </c>
      <c r="Q2777" s="3">
        <f ca="1">IF(Proc[[#This Row],[DateClosed]]="",ABS(NETWORKDAYS(Proc[[#This Row],[DateOpened]],TODAY()))-1,ABS(NETWORKDAYS(Proc[[#This Row],[DateOpened]],Proc[[#This Row],[DateClosed]]))-1)</f>
        <v>121</v>
      </c>
      <c r="R2777" s="110" t="s">
        <v>485</v>
      </c>
      <c r="S2777" s="94"/>
    </row>
    <row r="2778" spans="1:19" hidden="1">
      <c r="A2778" s="103" t="s">
        <v>4422</v>
      </c>
      <c r="B2778" s="149" t="str">
        <f>IFERROR(VLOOKUP(Proc[[#This Row],[App]],Table2[],3,0),"open")</f>
        <v>ok</v>
      </c>
      <c r="C2778" s="117" t="s">
        <v>369</v>
      </c>
      <c r="D2778" t="s">
        <v>4699</v>
      </c>
      <c r="E2778" t="s">
        <v>4754</v>
      </c>
      <c r="F2778" s="94" t="s">
        <v>4754</v>
      </c>
      <c r="G2778" s="103" t="s">
        <v>406</v>
      </c>
      <c r="H2778" s="94" t="str">
        <f>IF(Proc[[#This Row],[type]]="LFF (MDG-F)",MID(Proc[[#This Row],[Obj]],13,10),"")</f>
        <v>DE20538163</v>
      </c>
      <c r="I2778" s="103" t="s">
        <v>4785</v>
      </c>
      <c r="J2778" s="94" t="b">
        <f>Proc[[#This Row],[Requested]]=Proc[[#This Row],[CurrentParent]]</f>
        <v>1</v>
      </c>
      <c r="K2778" s="144" t="str">
        <f>IF(Proc[[#This Row],[Author]]="Marcela Urrego",VLOOKUP(LEFT(Proc[[#This Row],[Requested]],1),Table3[#All],2,0),VLOOKUP(Proc[[#This Row],[Author]],Table4[],2,0))</f>
        <v>MGF</v>
      </c>
      <c r="L2778" s="125" t="s">
        <v>4894</v>
      </c>
      <c r="M2778" s="109">
        <v>45841.453541666669</v>
      </c>
      <c r="N2778" s="109"/>
      <c r="O2778" s="109"/>
      <c r="P2778" s="110" t="str">
        <f ca="1">IF(Proc[[#This Row],[DaysAgeing]]&gt;5,"yep","on track")</f>
        <v>yep</v>
      </c>
      <c r="Q2778" s="3">
        <f ca="1">IF(Proc[[#This Row],[DateClosed]]="",ABS(NETWORKDAYS(Proc[[#This Row],[DateOpened]],TODAY()))-1,ABS(NETWORKDAYS(Proc[[#This Row],[DateOpened]],Proc[[#This Row],[DateClosed]]))-1)</f>
        <v>121</v>
      </c>
      <c r="R2778" s="110" t="s">
        <v>485</v>
      </c>
      <c r="S2778" s="94"/>
    </row>
    <row r="2779" spans="1:19" hidden="1">
      <c r="A2779" s="103" t="s">
        <v>4422</v>
      </c>
      <c r="B2779" s="149" t="str">
        <f>IFERROR(VLOOKUP(Proc[[#This Row],[App]],Table2[],3,0),"open")</f>
        <v>ok</v>
      </c>
      <c r="C2779" s="117" t="s">
        <v>369</v>
      </c>
      <c r="D2779" t="s">
        <v>4700</v>
      </c>
      <c r="E2779" t="s">
        <v>4751</v>
      </c>
      <c r="F2779" s="94" t="s">
        <v>4751</v>
      </c>
      <c r="G2779" s="103" t="s">
        <v>406</v>
      </c>
      <c r="H2779" s="94" t="str">
        <f>IF(Proc[[#This Row],[type]]="LFF (MDG-F)",MID(Proc[[#This Row],[Obj]],13,10),"")</f>
        <v>DE20538164</v>
      </c>
      <c r="I2779" s="103" t="s">
        <v>4785</v>
      </c>
      <c r="J2779" s="94" t="b">
        <f>Proc[[#This Row],[Requested]]=Proc[[#This Row],[CurrentParent]]</f>
        <v>1</v>
      </c>
      <c r="K2779" s="144" t="str">
        <f>IF(Proc[[#This Row],[Author]]="Marcela Urrego",VLOOKUP(LEFT(Proc[[#This Row],[Requested]],1),Table3[#All],2,0),VLOOKUP(Proc[[#This Row],[Author]],Table4[],2,0))</f>
        <v>MGF</v>
      </c>
      <c r="L2779" s="125" t="s">
        <v>4894</v>
      </c>
      <c r="M2779" s="109">
        <v>45841.453541666669</v>
      </c>
      <c r="N2779" s="109"/>
      <c r="O2779" s="109"/>
      <c r="P2779" s="110" t="str">
        <f ca="1">IF(Proc[[#This Row],[DaysAgeing]]&gt;5,"yep","on track")</f>
        <v>yep</v>
      </c>
      <c r="Q2779" s="3">
        <f ca="1">IF(Proc[[#This Row],[DateClosed]]="",ABS(NETWORKDAYS(Proc[[#This Row],[DateOpened]],TODAY()))-1,ABS(NETWORKDAYS(Proc[[#This Row],[DateOpened]],Proc[[#This Row],[DateClosed]]))-1)</f>
        <v>121</v>
      </c>
      <c r="R2779" s="110" t="s">
        <v>485</v>
      </c>
      <c r="S2779" s="94"/>
    </row>
    <row r="2780" spans="1:19" hidden="1">
      <c r="A2780" s="103" t="s">
        <v>4422</v>
      </c>
      <c r="B2780" s="149" t="str">
        <f>IFERROR(VLOOKUP(Proc[[#This Row],[App]],Table2[],3,0),"open")</f>
        <v>ok</v>
      </c>
      <c r="C2780" s="117" t="s">
        <v>369</v>
      </c>
      <c r="D2780" t="s">
        <v>4701</v>
      </c>
      <c r="E2780" t="s">
        <v>4751</v>
      </c>
      <c r="F2780" s="94" t="s">
        <v>4751</v>
      </c>
      <c r="G2780" s="103" t="s">
        <v>406</v>
      </c>
      <c r="H2780" s="94" t="str">
        <f>IF(Proc[[#This Row],[type]]="LFF (MDG-F)",MID(Proc[[#This Row],[Obj]],13,10),"")</f>
        <v>DE20538166</v>
      </c>
      <c r="I2780" s="103" t="s">
        <v>4785</v>
      </c>
      <c r="J2780" s="94" t="b">
        <f>Proc[[#This Row],[Requested]]=Proc[[#This Row],[CurrentParent]]</f>
        <v>1</v>
      </c>
      <c r="K2780" s="144" t="str">
        <f>IF(Proc[[#This Row],[Author]]="Marcela Urrego",VLOOKUP(LEFT(Proc[[#This Row],[Requested]],1),Table3[#All],2,0),VLOOKUP(Proc[[#This Row],[Author]],Table4[],2,0))</f>
        <v>MGF</v>
      </c>
      <c r="L2780" s="125" t="s">
        <v>4894</v>
      </c>
      <c r="M2780" s="109">
        <v>45841.453541666669</v>
      </c>
      <c r="N2780" s="109"/>
      <c r="O2780" s="109"/>
      <c r="P2780" s="110" t="str">
        <f ca="1">IF(Proc[[#This Row],[DaysAgeing]]&gt;5,"yep","on track")</f>
        <v>yep</v>
      </c>
      <c r="Q2780" s="3">
        <f ca="1">IF(Proc[[#This Row],[DateClosed]]="",ABS(NETWORKDAYS(Proc[[#This Row],[DateOpened]],TODAY()))-1,ABS(NETWORKDAYS(Proc[[#This Row],[DateOpened]],Proc[[#This Row],[DateClosed]]))-1)</f>
        <v>121</v>
      </c>
      <c r="R2780" s="110" t="s">
        <v>485</v>
      </c>
      <c r="S2780" s="94"/>
    </row>
    <row r="2781" spans="1:19" hidden="1">
      <c r="A2781" s="103" t="s">
        <v>4422</v>
      </c>
      <c r="B2781" s="149" t="str">
        <f>IFERROR(VLOOKUP(Proc[[#This Row],[App]],Table2[],3,0),"open")</f>
        <v>ok</v>
      </c>
      <c r="C2781" s="117" t="s">
        <v>369</v>
      </c>
      <c r="D2781" t="s">
        <v>4702</v>
      </c>
      <c r="E2781" t="s">
        <v>4750</v>
      </c>
      <c r="F2781" s="94" t="s">
        <v>4750</v>
      </c>
      <c r="G2781" s="103" t="s">
        <v>406</v>
      </c>
      <c r="H2781" s="94" t="str">
        <f>IF(Proc[[#This Row],[type]]="LFF (MDG-F)",MID(Proc[[#This Row],[Obj]],13,10),"")</f>
        <v>DE20538167</v>
      </c>
      <c r="I2781" s="103" t="s">
        <v>4785</v>
      </c>
      <c r="J2781" s="94" t="b">
        <f>Proc[[#This Row],[Requested]]=Proc[[#This Row],[CurrentParent]]</f>
        <v>1</v>
      </c>
      <c r="K2781" s="144" t="str">
        <f>IF(Proc[[#This Row],[Author]]="Marcela Urrego",VLOOKUP(LEFT(Proc[[#This Row],[Requested]],1),Table3[#All],2,0),VLOOKUP(Proc[[#This Row],[Author]],Table4[],2,0))</f>
        <v>MGF</v>
      </c>
      <c r="L2781" s="125" t="s">
        <v>4894</v>
      </c>
      <c r="M2781" s="109">
        <v>45841.453541666669</v>
      </c>
      <c r="N2781" s="109"/>
      <c r="O2781" s="109"/>
      <c r="P2781" s="110" t="str">
        <f ca="1">IF(Proc[[#This Row],[DaysAgeing]]&gt;5,"yep","on track")</f>
        <v>yep</v>
      </c>
      <c r="Q2781" s="3">
        <f ca="1">IF(Proc[[#This Row],[DateClosed]]="",ABS(NETWORKDAYS(Proc[[#This Row],[DateOpened]],TODAY()))-1,ABS(NETWORKDAYS(Proc[[#This Row],[DateOpened]],Proc[[#This Row],[DateClosed]]))-1)</f>
        <v>121</v>
      </c>
      <c r="R2781" s="110" t="s">
        <v>485</v>
      </c>
      <c r="S2781" s="94"/>
    </row>
    <row r="2782" spans="1:19" hidden="1">
      <c r="A2782" s="103" t="s">
        <v>4422</v>
      </c>
      <c r="B2782" s="149" t="str">
        <f>IFERROR(VLOOKUP(Proc[[#This Row],[App]],Table2[],3,0),"open")</f>
        <v>ok</v>
      </c>
      <c r="C2782" s="117" t="s">
        <v>369</v>
      </c>
      <c r="D2782" t="s">
        <v>4703</v>
      </c>
      <c r="E2782" t="s">
        <v>4751</v>
      </c>
      <c r="F2782" s="94" t="s">
        <v>4751</v>
      </c>
      <c r="G2782" s="103" t="s">
        <v>406</v>
      </c>
      <c r="H2782" s="94" t="str">
        <f>IF(Proc[[#This Row],[type]]="LFF (MDG-F)",MID(Proc[[#This Row],[Obj]],13,10),"")</f>
        <v>DE20538168</v>
      </c>
      <c r="I2782" s="103" t="s">
        <v>4785</v>
      </c>
      <c r="J2782" s="94" t="b">
        <f>Proc[[#This Row],[Requested]]=Proc[[#This Row],[CurrentParent]]</f>
        <v>1</v>
      </c>
      <c r="K2782" s="144" t="str">
        <f>IF(Proc[[#This Row],[Author]]="Marcela Urrego",VLOOKUP(LEFT(Proc[[#This Row],[Requested]],1),Table3[#All],2,0),VLOOKUP(Proc[[#This Row],[Author]],Table4[],2,0))</f>
        <v>MGF</v>
      </c>
      <c r="L2782" s="125" t="s">
        <v>4894</v>
      </c>
      <c r="M2782" s="109">
        <v>45841.453541666669</v>
      </c>
      <c r="N2782" s="109"/>
      <c r="O2782" s="109"/>
      <c r="P2782" s="110" t="str">
        <f ca="1">IF(Proc[[#This Row],[DaysAgeing]]&gt;5,"yep","on track")</f>
        <v>yep</v>
      </c>
      <c r="Q2782" s="3">
        <f ca="1">IF(Proc[[#This Row],[DateClosed]]="",ABS(NETWORKDAYS(Proc[[#This Row],[DateOpened]],TODAY()))-1,ABS(NETWORKDAYS(Proc[[#This Row],[DateOpened]],Proc[[#This Row],[DateClosed]]))-1)</f>
        <v>121</v>
      </c>
      <c r="R2782" s="110" t="s">
        <v>485</v>
      </c>
      <c r="S2782" s="94"/>
    </row>
    <row r="2783" spans="1:19" hidden="1">
      <c r="A2783" s="103" t="s">
        <v>4422</v>
      </c>
      <c r="B2783" s="149" t="str">
        <f>IFERROR(VLOOKUP(Proc[[#This Row],[App]],Table2[],3,0),"open")</f>
        <v>ok</v>
      </c>
      <c r="C2783" s="117" t="s">
        <v>369</v>
      </c>
      <c r="D2783" t="s">
        <v>4704</v>
      </c>
      <c r="E2783" t="s">
        <v>4751</v>
      </c>
      <c r="F2783" s="94" t="s">
        <v>4751</v>
      </c>
      <c r="G2783" s="103" t="s">
        <v>406</v>
      </c>
      <c r="H2783" s="94" t="str">
        <f>IF(Proc[[#This Row],[type]]="LFF (MDG-F)",MID(Proc[[#This Row],[Obj]],13,10),"")</f>
        <v>DE20538171</v>
      </c>
      <c r="I2783" s="103" t="s">
        <v>4785</v>
      </c>
      <c r="J2783" s="94" t="b">
        <f>Proc[[#This Row],[Requested]]=Proc[[#This Row],[CurrentParent]]</f>
        <v>1</v>
      </c>
      <c r="K2783" s="144" t="str">
        <f>IF(Proc[[#This Row],[Author]]="Marcela Urrego",VLOOKUP(LEFT(Proc[[#This Row],[Requested]],1),Table3[#All],2,0),VLOOKUP(Proc[[#This Row],[Author]],Table4[],2,0))</f>
        <v>MGF</v>
      </c>
      <c r="L2783" s="125" t="s">
        <v>4894</v>
      </c>
      <c r="M2783" s="109">
        <v>45841.453541666669</v>
      </c>
      <c r="N2783" s="109"/>
      <c r="O2783" s="109"/>
      <c r="P2783" s="110" t="str">
        <f ca="1">IF(Proc[[#This Row],[DaysAgeing]]&gt;5,"yep","on track")</f>
        <v>yep</v>
      </c>
      <c r="Q2783" s="3">
        <f ca="1">IF(Proc[[#This Row],[DateClosed]]="",ABS(NETWORKDAYS(Proc[[#This Row],[DateOpened]],TODAY()))-1,ABS(NETWORKDAYS(Proc[[#This Row],[DateOpened]],Proc[[#This Row],[DateClosed]]))-1)</f>
        <v>121</v>
      </c>
      <c r="R2783" s="110" t="s">
        <v>485</v>
      </c>
      <c r="S2783" s="94"/>
    </row>
    <row r="2784" spans="1:19" hidden="1">
      <c r="A2784" s="103" t="s">
        <v>4422</v>
      </c>
      <c r="B2784" s="149" t="str">
        <f>IFERROR(VLOOKUP(Proc[[#This Row],[App]],Table2[],3,0),"open")</f>
        <v>ok</v>
      </c>
      <c r="C2784" s="117" t="s">
        <v>369</v>
      </c>
      <c r="D2784" t="s">
        <v>4705</v>
      </c>
      <c r="E2784" t="s">
        <v>4749</v>
      </c>
      <c r="F2784" s="94" t="s">
        <v>4749</v>
      </c>
      <c r="G2784" s="103" t="s">
        <v>406</v>
      </c>
      <c r="H2784" s="94" t="str">
        <f>IF(Proc[[#This Row],[type]]="LFF (MDG-F)",MID(Proc[[#This Row],[Obj]],13,10),"")</f>
        <v>DE20538175</v>
      </c>
      <c r="I2784" s="103" t="s">
        <v>4785</v>
      </c>
      <c r="J2784" s="94" t="b">
        <f>Proc[[#This Row],[Requested]]=Proc[[#This Row],[CurrentParent]]</f>
        <v>1</v>
      </c>
      <c r="K2784" s="144" t="str">
        <f>IF(Proc[[#This Row],[Author]]="Marcela Urrego",VLOOKUP(LEFT(Proc[[#This Row],[Requested]],1),Table3[#All],2,0),VLOOKUP(Proc[[#This Row],[Author]],Table4[],2,0))</f>
        <v>MGF</v>
      </c>
      <c r="L2784" s="125" t="s">
        <v>4894</v>
      </c>
      <c r="M2784" s="109">
        <v>45841.453541666669</v>
      </c>
      <c r="N2784" s="109"/>
      <c r="O2784" s="109"/>
      <c r="P2784" s="110" t="str">
        <f ca="1">IF(Proc[[#This Row],[DaysAgeing]]&gt;5,"yep","on track")</f>
        <v>yep</v>
      </c>
      <c r="Q2784" s="3">
        <f ca="1">IF(Proc[[#This Row],[DateClosed]]="",ABS(NETWORKDAYS(Proc[[#This Row],[DateOpened]],TODAY()))-1,ABS(NETWORKDAYS(Proc[[#This Row],[DateOpened]],Proc[[#This Row],[DateClosed]]))-1)</f>
        <v>121</v>
      </c>
      <c r="R2784" s="110" t="s">
        <v>485</v>
      </c>
      <c r="S2784" s="94"/>
    </row>
    <row r="2785" spans="1:19" hidden="1">
      <c r="A2785" s="103" t="s">
        <v>4422</v>
      </c>
      <c r="B2785" s="149" t="str">
        <f>IFERROR(VLOOKUP(Proc[[#This Row],[App]],Table2[],3,0),"open")</f>
        <v>ok</v>
      </c>
      <c r="C2785" s="117" t="s">
        <v>369</v>
      </c>
      <c r="D2785" t="s">
        <v>4706</v>
      </c>
      <c r="E2785" t="s">
        <v>4751</v>
      </c>
      <c r="F2785" s="94" t="s">
        <v>4751</v>
      </c>
      <c r="G2785" s="103" t="s">
        <v>406</v>
      </c>
      <c r="H2785" s="94" t="str">
        <f>IF(Proc[[#This Row],[type]]="LFF (MDG-F)",MID(Proc[[#This Row],[Obj]],13,10),"")</f>
        <v>DE20538176</v>
      </c>
      <c r="I2785" s="103" t="s">
        <v>4785</v>
      </c>
      <c r="J2785" s="94" t="b">
        <f>Proc[[#This Row],[Requested]]=Proc[[#This Row],[CurrentParent]]</f>
        <v>1</v>
      </c>
      <c r="K2785" s="144" t="str">
        <f>IF(Proc[[#This Row],[Author]]="Marcela Urrego",VLOOKUP(LEFT(Proc[[#This Row],[Requested]],1),Table3[#All],2,0),VLOOKUP(Proc[[#This Row],[Author]],Table4[],2,0))</f>
        <v>MGF</v>
      </c>
      <c r="L2785" s="125" t="s">
        <v>4894</v>
      </c>
      <c r="M2785" s="109">
        <v>45841.453541666669</v>
      </c>
      <c r="N2785" s="109"/>
      <c r="O2785" s="109"/>
      <c r="P2785" s="110" t="str">
        <f ca="1">IF(Proc[[#This Row],[DaysAgeing]]&gt;5,"yep","on track")</f>
        <v>yep</v>
      </c>
      <c r="Q2785" s="3">
        <f ca="1">IF(Proc[[#This Row],[DateClosed]]="",ABS(NETWORKDAYS(Proc[[#This Row],[DateOpened]],TODAY()))-1,ABS(NETWORKDAYS(Proc[[#This Row],[DateOpened]],Proc[[#This Row],[DateClosed]]))-1)</f>
        <v>121</v>
      </c>
      <c r="R2785" s="110" t="s">
        <v>485</v>
      </c>
      <c r="S2785" s="94"/>
    </row>
    <row r="2786" spans="1:19" hidden="1">
      <c r="A2786" s="103" t="s">
        <v>4422</v>
      </c>
      <c r="B2786" s="149" t="str">
        <f>IFERROR(VLOOKUP(Proc[[#This Row],[App]],Table2[],3,0),"open")</f>
        <v>ok</v>
      </c>
      <c r="C2786" s="117" t="s">
        <v>369</v>
      </c>
      <c r="D2786" t="s">
        <v>4707</v>
      </c>
      <c r="E2786" t="s">
        <v>4751</v>
      </c>
      <c r="F2786" s="94" t="s">
        <v>4751</v>
      </c>
      <c r="G2786" s="103" t="s">
        <v>406</v>
      </c>
      <c r="H2786" s="94" t="str">
        <f>IF(Proc[[#This Row],[type]]="LFF (MDG-F)",MID(Proc[[#This Row],[Obj]],13,10),"")</f>
        <v>DE20538177</v>
      </c>
      <c r="I2786" s="103" t="s">
        <v>4785</v>
      </c>
      <c r="J2786" s="94" t="b">
        <f>Proc[[#This Row],[Requested]]=Proc[[#This Row],[CurrentParent]]</f>
        <v>1</v>
      </c>
      <c r="K2786" s="144" t="str">
        <f>IF(Proc[[#This Row],[Author]]="Marcela Urrego",VLOOKUP(LEFT(Proc[[#This Row],[Requested]],1),Table3[#All],2,0),VLOOKUP(Proc[[#This Row],[Author]],Table4[],2,0))</f>
        <v>MGF</v>
      </c>
      <c r="L2786" s="125" t="s">
        <v>4894</v>
      </c>
      <c r="M2786" s="109">
        <v>45841.453541666669</v>
      </c>
      <c r="N2786" s="109"/>
      <c r="O2786" s="109"/>
      <c r="P2786" s="110" t="str">
        <f ca="1">IF(Proc[[#This Row],[DaysAgeing]]&gt;5,"yep","on track")</f>
        <v>yep</v>
      </c>
      <c r="Q2786" s="3">
        <f ca="1">IF(Proc[[#This Row],[DateClosed]]="",ABS(NETWORKDAYS(Proc[[#This Row],[DateOpened]],TODAY()))-1,ABS(NETWORKDAYS(Proc[[#This Row],[DateOpened]],Proc[[#This Row],[DateClosed]]))-1)</f>
        <v>121</v>
      </c>
      <c r="R2786" s="110" t="s">
        <v>485</v>
      </c>
      <c r="S2786" s="94"/>
    </row>
    <row r="2787" spans="1:19" hidden="1">
      <c r="A2787" s="103" t="s">
        <v>4422</v>
      </c>
      <c r="B2787" s="149" t="str">
        <f>IFERROR(VLOOKUP(Proc[[#This Row],[App]],Table2[],3,0),"open")</f>
        <v>ok</v>
      </c>
      <c r="C2787" s="117" t="s">
        <v>369</v>
      </c>
      <c r="D2787" t="s">
        <v>4708</v>
      </c>
      <c r="E2787" t="s">
        <v>4751</v>
      </c>
      <c r="F2787" s="94" t="s">
        <v>4751</v>
      </c>
      <c r="G2787" s="103" t="s">
        <v>406</v>
      </c>
      <c r="H2787" s="94" t="str">
        <f>IF(Proc[[#This Row],[type]]="LFF (MDG-F)",MID(Proc[[#This Row],[Obj]],13,10),"")</f>
        <v>DE20538184</v>
      </c>
      <c r="I2787" s="103" t="s">
        <v>4785</v>
      </c>
      <c r="J2787" s="94" t="b">
        <f>Proc[[#This Row],[Requested]]=Proc[[#This Row],[CurrentParent]]</f>
        <v>1</v>
      </c>
      <c r="K2787" s="144" t="str">
        <f>IF(Proc[[#This Row],[Author]]="Marcela Urrego",VLOOKUP(LEFT(Proc[[#This Row],[Requested]],1),Table3[#All],2,0),VLOOKUP(Proc[[#This Row],[Author]],Table4[],2,0))</f>
        <v>MGF</v>
      </c>
      <c r="L2787" s="125" t="s">
        <v>4894</v>
      </c>
      <c r="M2787" s="109">
        <v>45841.453541666669</v>
      </c>
      <c r="N2787" s="109"/>
      <c r="O2787" s="109"/>
      <c r="P2787" s="110" t="str">
        <f ca="1">IF(Proc[[#This Row],[DaysAgeing]]&gt;5,"yep","on track")</f>
        <v>yep</v>
      </c>
      <c r="Q2787" s="3">
        <f ca="1">IF(Proc[[#This Row],[DateClosed]]="",ABS(NETWORKDAYS(Proc[[#This Row],[DateOpened]],TODAY()))-1,ABS(NETWORKDAYS(Proc[[#This Row],[DateOpened]],Proc[[#This Row],[DateClosed]]))-1)</f>
        <v>121</v>
      </c>
      <c r="R2787" s="110" t="s">
        <v>485</v>
      </c>
      <c r="S2787" s="94"/>
    </row>
    <row r="2788" spans="1:19" hidden="1">
      <c r="A2788" s="103" t="s">
        <v>4422</v>
      </c>
      <c r="B2788" s="149" t="str">
        <f>IFERROR(VLOOKUP(Proc[[#This Row],[App]],Table2[],3,0),"open")</f>
        <v>ok</v>
      </c>
      <c r="C2788" s="117" t="s">
        <v>369</v>
      </c>
      <c r="D2788" t="s">
        <v>4709</v>
      </c>
      <c r="E2788" t="s">
        <v>4753</v>
      </c>
      <c r="F2788" s="94" t="s">
        <v>4753</v>
      </c>
      <c r="G2788" s="103" t="s">
        <v>406</v>
      </c>
      <c r="H2788" s="94" t="str">
        <f>IF(Proc[[#This Row],[type]]="LFF (MDG-F)",MID(Proc[[#This Row],[Obj]],13,10),"")</f>
        <v>DE20538185</v>
      </c>
      <c r="I2788" s="103" t="s">
        <v>4785</v>
      </c>
      <c r="J2788" s="94" t="b">
        <f>Proc[[#This Row],[Requested]]=Proc[[#This Row],[CurrentParent]]</f>
        <v>1</v>
      </c>
      <c r="K2788" s="144" t="str">
        <f>IF(Proc[[#This Row],[Author]]="Marcela Urrego",VLOOKUP(LEFT(Proc[[#This Row],[Requested]],1),Table3[#All],2,0),VLOOKUP(Proc[[#This Row],[Author]],Table4[],2,0))</f>
        <v>MGF</v>
      </c>
      <c r="L2788" s="125" t="s">
        <v>4894</v>
      </c>
      <c r="M2788" s="109">
        <v>45841.453541666669</v>
      </c>
      <c r="N2788" s="109"/>
      <c r="O2788" s="109"/>
      <c r="P2788" s="110" t="str">
        <f ca="1">IF(Proc[[#This Row],[DaysAgeing]]&gt;5,"yep","on track")</f>
        <v>yep</v>
      </c>
      <c r="Q2788" s="3">
        <f ca="1">IF(Proc[[#This Row],[DateClosed]]="",ABS(NETWORKDAYS(Proc[[#This Row],[DateOpened]],TODAY()))-1,ABS(NETWORKDAYS(Proc[[#This Row],[DateOpened]],Proc[[#This Row],[DateClosed]]))-1)</f>
        <v>121</v>
      </c>
      <c r="R2788" s="110" t="s">
        <v>485</v>
      </c>
      <c r="S2788" s="94"/>
    </row>
    <row r="2789" spans="1:19" hidden="1">
      <c r="A2789" s="103" t="s">
        <v>4422</v>
      </c>
      <c r="B2789" s="149" t="str">
        <f>IFERROR(VLOOKUP(Proc[[#This Row],[App]],Table2[],3,0),"open")</f>
        <v>ok</v>
      </c>
      <c r="C2789" s="117" t="s">
        <v>369</v>
      </c>
      <c r="D2789" t="s">
        <v>4710</v>
      </c>
      <c r="E2789" t="s">
        <v>4753</v>
      </c>
      <c r="F2789" s="94" t="s">
        <v>4753</v>
      </c>
      <c r="G2789" s="103" t="s">
        <v>406</v>
      </c>
      <c r="H2789" s="94" t="str">
        <f>IF(Proc[[#This Row],[type]]="LFF (MDG-F)",MID(Proc[[#This Row],[Obj]],13,10),"")</f>
        <v>DE20538186</v>
      </c>
      <c r="I2789" s="103" t="s">
        <v>4785</v>
      </c>
      <c r="J2789" s="94" t="b">
        <f>Proc[[#This Row],[Requested]]=Proc[[#This Row],[CurrentParent]]</f>
        <v>1</v>
      </c>
      <c r="K2789" s="144" t="str">
        <f>IF(Proc[[#This Row],[Author]]="Marcela Urrego",VLOOKUP(LEFT(Proc[[#This Row],[Requested]],1),Table3[#All],2,0),VLOOKUP(Proc[[#This Row],[Author]],Table4[],2,0))</f>
        <v>MGF</v>
      </c>
      <c r="L2789" s="125" t="s">
        <v>4894</v>
      </c>
      <c r="M2789" s="109">
        <v>45841.453541666669</v>
      </c>
      <c r="N2789" s="109"/>
      <c r="O2789" s="109"/>
      <c r="P2789" s="110" t="str">
        <f ca="1">IF(Proc[[#This Row],[DaysAgeing]]&gt;5,"yep","on track")</f>
        <v>yep</v>
      </c>
      <c r="Q2789" s="3">
        <f ca="1">IF(Proc[[#This Row],[DateClosed]]="",ABS(NETWORKDAYS(Proc[[#This Row],[DateOpened]],TODAY()))-1,ABS(NETWORKDAYS(Proc[[#This Row],[DateOpened]],Proc[[#This Row],[DateClosed]]))-1)</f>
        <v>121</v>
      </c>
      <c r="R2789" s="110" t="s">
        <v>485</v>
      </c>
      <c r="S2789" s="94"/>
    </row>
    <row r="2790" spans="1:19" hidden="1">
      <c r="A2790" s="103" t="s">
        <v>4422</v>
      </c>
      <c r="B2790" s="149" t="str">
        <f>IFERROR(VLOOKUP(Proc[[#This Row],[App]],Table2[],3,0),"open")</f>
        <v>ok</v>
      </c>
      <c r="C2790" s="117" t="s">
        <v>369</v>
      </c>
      <c r="D2790" t="s">
        <v>4711</v>
      </c>
      <c r="E2790" t="s">
        <v>4754</v>
      </c>
      <c r="F2790" s="94" t="s">
        <v>4754</v>
      </c>
      <c r="G2790" s="103" t="s">
        <v>406</v>
      </c>
      <c r="H2790" s="94" t="str">
        <f>IF(Proc[[#This Row],[type]]="LFF (MDG-F)",MID(Proc[[#This Row],[Obj]],13,10),"")</f>
        <v>DE20538193</v>
      </c>
      <c r="I2790" s="103" t="s">
        <v>4785</v>
      </c>
      <c r="J2790" s="94" t="b">
        <f>Proc[[#This Row],[Requested]]=Proc[[#This Row],[CurrentParent]]</f>
        <v>1</v>
      </c>
      <c r="K2790" s="144" t="str">
        <f>IF(Proc[[#This Row],[Author]]="Marcela Urrego",VLOOKUP(LEFT(Proc[[#This Row],[Requested]],1),Table3[#All],2,0),VLOOKUP(Proc[[#This Row],[Author]],Table4[],2,0))</f>
        <v>MGF</v>
      </c>
      <c r="L2790" s="125" t="s">
        <v>4894</v>
      </c>
      <c r="M2790" s="109">
        <v>45841.453541666669</v>
      </c>
      <c r="N2790" s="109"/>
      <c r="O2790" s="109"/>
      <c r="P2790" s="110" t="str">
        <f ca="1">IF(Proc[[#This Row],[DaysAgeing]]&gt;5,"yep","on track")</f>
        <v>yep</v>
      </c>
      <c r="Q2790" s="3">
        <f ca="1">IF(Proc[[#This Row],[DateClosed]]="",ABS(NETWORKDAYS(Proc[[#This Row],[DateOpened]],TODAY()))-1,ABS(NETWORKDAYS(Proc[[#This Row],[DateOpened]],Proc[[#This Row],[DateClosed]]))-1)</f>
        <v>121</v>
      </c>
      <c r="R2790" s="110" t="s">
        <v>485</v>
      </c>
      <c r="S2790" s="94"/>
    </row>
    <row r="2791" spans="1:19" hidden="1">
      <c r="A2791" s="103" t="s">
        <v>4422</v>
      </c>
      <c r="B2791" s="149" t="str">
        <f>IFERROR(VLOOKUP(Proc[[#This Row],[App]],Table2[],3,0),"open")</f>
        <v>ok</v>
      </c>
      <c r="C2791" s="117" t="s">
        <v>369</v>
      </c>
      <c r="D2791" t="s">
        <v>4712</v>
      </c>
      <c r="E2791" t="s">
        <v>4754</v>
      </c>
      <c r="F2791" s="94" t="s">
        <v>4754</v>
      </c>
      <c r="G2791" s="103" t="s">
        <v>406</v>
      </c>
      <c r="H2791" s="94" t="str">
        <f>IF(Proc[[#This Row],[type]]="LFF (MDG-F)",MID(Proc[[#This Row],[Obj]],13,10),"")</f>
        <v>DE20538194</v>
      </c>
      <c r="I2791" s="103" t="s">
        <v>4785</v>
      </c>
      <c r="J2791" s="94" t="b">
        <f>Proc[[#This Row],[Requested]]=Proc[[#This Row],[CurrentParent]]</f>
        <v>1</v>
      </c>
      <c r="K2791" s="144" t="str">
        <f>IF(Proc[[#This Row],[Author]]="Marcela Urrego",VLOOKUP(LEFT(Proc[[#This Row],[Requested]],1),Table3[#All],2,0),VLOOKUP(Proc[[#This Row],[Author]],Table4[],2,0))</f>
        <v>MGF</v>
      </c>
      <c r="L2791" s="125" t="s">
        <v>4894</v>
      </c>
      <c r="M2791" s="109">
        <v>45841.453541666669</v>
      </c>
      <c r="N2791" s="109"/>
      <c r="O2791" s="109"/>
      <c r="P2791" s="110" t="str">
        <f ca="1">IF(Proc[[#This Row],[DaysAgeing]]&gt;5,"yep","on track")</f>
        <v>yep</v>
      </c>
      <c r="Q2791" s="3">
        <f ca="1">IF(Proc[[#This Row],[DateClosed]]="",ABS(NETWORKDAYS(Proc[[#This Row],[DateOpened]],TODAY()))-1,ABS(NETWORKDAYS(Proc[[#This Row],[DateOpened]],Proc[[#This Row],[DateClosed]]))-1)</f>
        <v>121</v>
      </c>
      <c r="R2791" s="110" t="s">
        <v>485</v>
      </c>
      <c r="S2791" s="94"/>
    </row>
    <row r="2792" spans="1:19" hidden="1">
      <c r="A2792" s="103" t="s">
        <v>4422</v>
      </c>
      <c r="B2792" s="149" t="str">
        <f>IFERROR(VLOOKUP(Proc[[#This Row],[App]],Table2[],3,0),"open")</f>
        <v>ok</v>
      </c>
      <c r="C2792" s="117" t="s">
        <v>369</v>
      </c>
      <c r="D2792" t="s">
        <v>4713</v>
      </c>
      <c r="E2792" t="s">
        <v>4744</v>
      </c>
      <c r="F2792" s="94" t="s">
        <v>4744</v>
      </c>
      <c r="G2792" s="103" t="s">
        <v>406</v>
      </c>
      <c r="H2792" s="94" t="str">
        <f>IF(Proc[[#This Row],[type]]="LFF (MDG-F)",MID(Proc[[#This Row],[Obj]],13,10),"")</f>
        <v>DE20538195</v>
      </c>
      <c r="I2792" s="103" t="s">
        <v>4785</v>
      </c>
      <c r="J2792" s="94" t="b">
        <f>Proc[[#This Row],[Requested]]=Proc[[#This Row],[CurrentParent]]</f>
        <v>1</v>
      </c>
      <c r="K2792" s="144" t="str">
        <f>IF(Proc[[#This Row],[Author]]="Marcela Urrego",VLOOKUP(LEFT(Proc[[#This Row],[Requested]],1),Table3[#All],2,0),VLOOKUP(Proc[[#This Row],[Author]],Table4[],2,0))</f>
        <v>MGF</v>
      </c>
      <c r="L2792" s="125" t="s">
        <v>4894</v>
      </c>
      <c r="M2792" s="109">
        <v>45841.453541666669</v>
      </c>
      <c r="N2792" s="109"/>
      <c r="O2792" s="109"/>
      <c r="P2792" s="110" t="str">
        <f ca="1">IF(Proc[[#This Row],[DaysAgeing]]&gt;5,"yep","on track")</f>
        <v>yep</v>
      </c>
      <c r="Q2792" s="3">
        <f ca="1">IF(Proc[[#This Row],[DateClosed]]="",ABS(NETWORKDAYS(Proc[[#This Row],[DateOpened]],TODAY()))-1,ABS(NETWORKDAYS(Proc[[#This Row],[DateOpened]],Proc[[#This Row],[DateClosed]]))-1)</f>
        <v>121</v>
      </c>
      <c r="R2792" s="110" t="s">
        <v>485</v>
      </c>
      <c r="S2792" s="94"/>
    </row>
    <row r="2793" spans="1:19" hidden="1">
      <c r="A2793" s="103" t="s">
        <v>4422</v>
      </c>
      <c r="B2793" s="149" t="str">
        <f>IFERROR(VLOOKUP(Proc[[#This Row],[App]],Table2[],3,0),"open")</f>
        <v>ok</v>
      </c>
      <c r="C2793" s="117" t="s">
        <v>369</v>
      </c>
      <c r="D2793" t="s">
        <v>4714</v>
      </c>
      <c r="E2793" t="s">
        <v>4751</v>
      </c>
      <c r="F2793" s="94" t="s">
        <v>4751</v>
      </c>
      <c r="G2793" s="103" t="s">
        <v>406</v>
      </c>
      <c r="H2793" s="94" t="str">
        <f>IF(Proc[[#This Row],[type]]="LFF (MDG-F)",MID(Proc[[#This Row],[Obj]],13,10),"")</f>
        <v>DE20538197</v>
      </c>
      <c r="I2793" s="103" t="s">
        <v>4785</v>
      </c>
      <c r="J2793" s="94" t="b">
        <f>Proc[[#This Row],[Requested]]=Proc[[#This Row],[CurrentParent]]</f>
        <v>1</v>
      </c>
      <c r="K2793" s="144" t="str">
        <f>IF(Proc[[#This Row],[Author]]="Marcela Urrego",VLOOKUP(LEFT(Proc[[#This Row],[Requested]],1),Table3[#All],2,0),VLOOKUP(Proc[[#This Row],[Author]],Table4[],2,0))</f>
        <v>MGF</v>
      </c>
      <c r="L2793" s="125" t="s">
        <v>4894</v>
      </c>
      <c r="M2793" s="109">
        <v>45841.453541666669</v>
      </c>
      <c r="N2793" s="109"/>
      <c r="O2793" s="109"/>
      <c r="P2793" s="110" t="str">
        <f ca="1">IF(Proc[[#This Row],[DaysAgeing]]&gt;5,"yep","on track")</f>
        <v>yep</v>
      </c>
      <c r="Q2793" s="3">
        <f ca="1">IF(Proc[[#This Row],[DateClosed]]="",ABS(NETWORKDAYS(Proc[[#This Row],[DateOpened]],TODAY()))-1,ABS(NETWORKDAYS(Proc[[#This Row],[DateOpened]],Proc[[#This Row],[DateClosed]]))-1)</f>
        <v>121</v>
      </c>
      <c r="R2793" s="110" t="s">
        <v>485</v>
      </c>
      <c r="S2793" s="94"/>
    </row>
    <row r="2794" spans="1:19" hidden="1">
      <c r="A2794" s="103" t="s">
        <v>4422</v>
      </c>
      <c r="B2794" s="149" t="str">
        <f>IFERROR(VLOOKUP(Proc[[#This Row],[App]],Table2[],3,0),"open")</f>
        <v>ok</v>
      </c>
      <c r="C2794" s="117" t="s">
        <v>369</v>
      </c>
      <c r="D2794" t="s">
        <v>4715</v>
      </c>
      <c r="E2794" t="s">
        <v>4751</v>
      </c>
      <c r="F2794" s="94" t="s">
        <v>4751</v>
      </c>
      <c r="G2794" s="103" t="s">
        <v>406</v>
      </c>
      <c r="H2794" s="94" t="str">
        <f>IF(Proc[[#This Row],[type]]="LFF (MDG-F)",MID(Proc[[#This Row],[Obj]],13,10),"")</f>
        <v>DE20538712</v>
      </c>
      <c r="I2794" s="103" t="s">
        <v>4785</v>
      </c>
      <c r="J2794" s="94" t="b">
        <f>Proc[[#This Row],[Requested]]=Proc[[#This Row],[CurrentParent]]</f>
        <v>1</v>
      </c>
      <c r="K2794" s="144" t="str">
        <f>IF(Proc[[#This Row],[Author]]="Marcela Urrego",VLOOKUP(LEFT(Proc[[#This Row],[Requested]],1),Table3[#All],2,0),VLOOKUP(Proc[[#This Row],[Author]],Table4[],2,0))</f>
        <v>MGF</v>
      </c>
      <c r="L2794" s="125" t="s">
        <v>4894</v>
      </c>
      <c r="M2794" s="109">
        <v>45841.453541666669</v>
      </c>
      <c r="N2794" s="109"/>
      <c r="O2794" s="109"/>
      <c r="P2794" s="110" t="str">
        <f ca="1">IF(Proc[[#This Row],[DaysAgeing]]&gt;5,"yep","on track")</f>
        <v>yep</v>
      </c>
      <c r="Q2794" s="3">
        <f ca="1">IF(Proc[[#This Row],[DateClosed]]="",ABS(NETWORKDAYS(Proc[[#This Row],[DateOpened]],TODAY()))-1,ABS(NETWORKDAYS(Proc[[#This Row],[DateOpened]],Proc[[#This Row],[DateClosed]]))-1)</f>
        <v>121</v>
      </c>
      <c r="R2794" s="110" t="s">
        <v>485</v>
      </c>
      <c r="S2794" s="94"/>
    </row>
    <row r="2795" spans="1:19" hidden="1">
      <c r="A2795" s="103" t="s">
        <v>4422</v>
      </c>
      <c r="B2795" s="149" t="str">
        <f>IFERROR(VLOOKUP(Proc[[#This Row],[App]],Table2[],3,0),"open")</f>
        <v>ok</v>
      </c>
      <c r="C2795" s="117" t="s">
        <v>369</v>
      </c>
      <c r="D2795" t="s">
        <v>4716</v>
      </c>
      <c r="E2795" t="s">
        <v>4749</v>
      </c>
      <c r="F2795" s="94" t="s">
        <v>4749</v>
      </c>
      <c r="G2795" s="103" t="s">
        <v>406</v>
      </c>
      <c r="H2795" s="94" t="str">
        <f>IF(Proc[[#This Row],[type]]="LFF (MDG-F)",MID(Proc[[#This Row],[Obj]],13,10),"")</f>
        <v>DE20538713</v>
      </c>
      <c r="I2795" s="103" t="s">
        <v>4785</v>
      </c>
      <c r="J2795" s="94" t="b">
        <f>Proc[[#This Row],[Requested]]=Proc[[#This Row],[CurrentParent]]</f>
        <v>1</v>
      </c>
      <c r="K2795" s="144" t="str">
        <f>IF(Proc[[#This Row],[Author]]="Marcela Urrego",VLOOKUP(LEFT(Proc[[#This Row],[Requested]],1),Table3[#All],2,0),VLOOKUP(Proc[[#This Row],[Author]],Table4[],2,0))</f>
        <v>MGF</v>
      </c>
      <c r="L2795" s="125" t="s">
        <v>4894</v>
      </c>
      <c r="M2795" s="109">
        <v>45841.453541666669</v>
      </c>
      <c r="N2795" s="109"/>
      <c r="O2795" s="109"/>
      <c r="P2795" s="110" t="str">
        <f ca="1">IF(Proc[[#This Row],[DaysAgeing]]&gt;5,"yep","on track")</f>
        <v>yep</v>
      </c>
      <c r="Q2795" s="3">
        <f ca="1">IF(Proc[[#This Row],[DateClosed]]="",ABS(NETWORKDAYS(Proc[[#This Row],[DateOpened]],TODAY()))-1,ABS(NETWORKDAYS(Proc[[#This Row],[DateOpened]],Proc[[#This Row],[DateClosed]]))-1)</f>
        <v>121</v>
      </c>
      <c r="R2795" s="110" t="s">
        <v>485</v>
      </c>
      <c r="S2795" s="94"/>
    </row>
    <row r="2796" spans="1:19" hidden="1">
      <c r="A2796" s="103" t="s">
        <v>4422</v>
      </c>
      <c r="B2796" s="149" t="str">
        <f>IFERROR(VLOOKUP(Proc[[#This Row],[App]],Table2[],3,0),"open")</f>
        <v>ok</v>
      </c>
      <c r="C2796" s="117" t="s">
        <v>369</v>
      </c>
      <c r="D2796" t="s">
        <v>4717</v>
      </c>
      <c r="E2796" t="s">
        <v>4749</v>
      </c>
      <c r="F2796" s="94" t="s">
        <v>4749</v>
      </c>
      <c r="G2796" s="103" t="s">
        <v>406</v>
      </c>
      <c r="H2796" s="94" t="str">
        <f>IF(Proc[[#This Row],[type]]="LFF (MDG-F)",MID(Proc[[#This Row],[Obj]],13,10),"")</f>
        <v>DE20538714</v>
      </c>
      <c r="I2796" s="103" t="s">
        <v>4785</v>
      </c>
      <c r="J2796" s="94" t="b">
        <f>Proc[[#This Row],[Requested]]=Proc[[#This Row],[CurrentParent]]</f>
        <v>1</v>
      </c>
      <c r="K2796" s="144" t="str">
        <f>IF(Proc[[#This Row],[Author]]="Marcela Urrego",VLOOKUP(LEFT(Proc[[#This Row],[Requested]],1),Table3[#All],2,0),VLOOKUP(Proc[[#This Row],[Author]],Table4[],2,0))</f>
        <v>MGF</v>
      </c>
      <c r="L2796" s="125" t="s">
        <v>4894</v>
      </c>
      <c r="M2796" s="109">
        <v>45841.453541666669</v>
      </c>
      <c r="N2796" s="109"/>
      <c r="O2796" s="109"/>
      <c r="P2796" s="110" t="str">
        <f ca="1">IF(Proc[[#This Row],[DaysAgeing]]&gt;5,"yep","on track")</f>
        <v>yep</v>
      </c>
      <c r="Q2796" s="3">
        <f ca="1">IF(Proc[[#This Row],[DateClosed]]="",ABS(NETWORKDAYS(Proc[[#This Row],[DateOpened]],TODAY()))-1,ABS(NETWORKDAYS(Proc[[#This Row],[DateOpened]],Proc[[#This Row],[DateClosed]]))-1)</f>
        <v>121</v>
      </c>
      <c r="R2796" s="110" t="s">
        <v>485</v>
      </c>
      <c r="S2796" s="94"/>
    </row>
    <row r="2797" spans="1:19" hidden="1">
      <c r="A2797" s="103" t="s">
        <v>4422</v>
      </c>
      <c r="B2797" s="149" t="str">
        <f>IFERROR(VLOOKUP(Proc[[#This Row],[App]],Table2[],3,0),"open")</f>
        <v>ok</v>
      </c>
      <c r="C2797" s="117" t="s">
        <v>369</v>
      </c>
      <c r="D2797" t="s">
        <v>4718</v>
      </c>
      <c r="E2797" t="s">
        <v>4749</v>
      </c>
      <c r="F2797" s="94" t="s">
        <v>4749</v>
      </c>
      <c r="G2797" s="103" t="s">
        <v>406</v>
      </c>
      <c r="H2797" s="94" t="str">
        <f>IF(Proc[[#This Row],[type]]="LFF (MDG-F)",MID(Proc[[#This Row],[Obj]],13,10),"")</f>
        <v>DE20538715</v>
      </c>
      <c r="I2797" s="103" t="s">
        <v>4785</v>
      </c>
      <c r="J2797" s="94" t="b">
        <f>Proc[[#This Row],[Requested]]=Proc[[#This Row],[CurrentParent]]</f>
        <v>1</v>
      </c>
      <c r="K2797" s="144" t="str">
        <f>IF(Proc[[#This Row],[Author]]="Marcela Urrego",VLOOKUP(LEFT(Proc[[#This Row],[Requested]],1),Table3[#All],2,0),VLOOKUP(Proc[[#This Row],[Author]],Table4[],2,0))</f>
        <v>MGF</v>
      </c>
      <c r="L2797" s="125" t="s">
        <v>4894</v>
      </c>
      <c r="M2797" s="109">
        <v>45841.453541666669</v>
      </c>
      <c r="N2797" s="109"/>
      <c r="O2797" s="109"/>
      <c r="P2797" s="110" t="str">
        <f ca="1">IF(Proc[[#This Row],[DaysAgeing]]&gt;5,"yep","on track")</f>
        <v>yep</v>
      </c>
      <c r="Q2797" s="3">
        <f ca="1">IF(Proc[[#This Row],[DateClosed]]="",ABS(NETWORKDAYS(Proc[[#This Row],[DateOpened]],TODAY()))-1,ABS(NETWORKDAYS(Proc[[#This Row],[DateOpened]],Proc[[#This Row],[DateClosed]]))-1)</f>
        <v>121</v>
      </c>
      <c r="R2797" s="110" t="s">
        <v>485</v>
      </c>
      <c r="S2797" s="94"/>
    </row>
    <row r="2798" spans="1:19" hidden="1">
      <c r="A2798" s="103" t="s">
        <v>4422</v>
      </c>
      <c r="B2798" s="149" t="str">
        <f>IFERROR(VLOOKUP(Proc[[#This Row],[App]],Table2[],3,0),"open")</f>
        <v>ok</v>
      </c>
      <c r="C2798" s="117" t="s">
        <v>369</v>
      </c>
      <c r="D2798" t="s">
        <v>4719</v>
      </c>
      <c r="E2798" t="s">
        <v>4749</v>
      </c>
      <c r="F2798" s="94" t="s">
        <v>4749</v>
      </c>
      <c r="G2798" s="103" t="s">
        <v>406</v>
      </c>
      <c r="H2798" s="94" t="str">
        <f>IF(Proc[[#This Row],[type]]="LFF (MDG-F)",MID(Proc[[#This Row],[Obj]],13,10),"")</f>
        <v>DE20538716</v>
      </c>
      <c r="I2798" s="103" t="s">
        <v>4785</v>
      </c>
      <c r="J2798" s="94" t="b">
        <f>Proc[[#This Row],[Requested]]=Proc[[#This Row],[CurrentParent]]</f>
        <v>1</v>
      </c>
      <c r="K2798" s="144" t="str">
        <f>IF(Proc[[#This Row],[Author]]="Marcela Urrego",VLOOKUP(LEFT(Proc[[#This Row],[Requested]],1),Table3[#All],2,0),VLOOKUP(Proc[[#This Row],[Author]],Table4[],2,0))</f>
        <v>MGF</v>
      </c>
      <c r="L2798" s="125" t="s">
        <v>4894</v>
      </c>
      <c r="M2798" s="109">
        <v>45841.453541666669</v>
      </c>
      <c r="N2798" s="109"/>
      <c r="O2798" s="109"/>
      <c r="P2798" s="110" t="str">
        <f ca="1">IF(Proc[[#This Row],[DaysAgeing]]&gt;5,"yep","on track")</f>
        <v>yep</v>
      </c>
      <c r="Q2798" s="3">
        <f ca="1">IF(Proc[[#This Row],[DateClosed]]="",ABS(NETWORKDAYS(Proc[[#This Row],[DateOpened]],TODAY()))-1,ABS(NETWORKDAYS(Proc[[#This Row],[DateOpened]],Proc[[#This Row],[DateClosed]]))-1)</f>
        <v>121</v>
      </c>
      <c r="R2798" s="110" t="s">
        <v>485</v>
      </c>
      <c r="S2798" s="94"/>
    </row>
    <row r="2799" spans="1:19" hidden="1">
      <c r="A2799" s="103" t="s">
        <v>4422</v>
      </c>
      <c r="B2799" s="149" t="str">
        <f>IFERROR(VLOOKUP(Proc[[#This Row],[App]],Table2[],3,0),"open")</f>
        <v>ok</v>
      </c>
      <c r="C2799" s="117" t="s">
        <v>369</v>
      </c>
      <c r="D2799" t="s">
        <v>4720</v>
      </c>
      <c r="E2799" t="s">
        <v>4751</v>
      </c>
      <c r="F2799" s="94" t="s">
        <v>4751</v>
      </c>
      <c r="G2799" s="103" t="s">
        <v>406</v>
      </c>
      <c r="H2799" s="94" t="str">
        <f>IF(Proc[[#This Row],[type]]="LFF (MDG-F)",MID(Proc[[#This Row],[Obj]],13,10),"")</f>
        <v>DE20538717</v>
      </c>
      <c r="I2799" s="103" t="s">
        <v>4785</v>
      </c>
      <c r="J2799" s="94" t="b">
        <f>Proc[[#This Row],[Requested]]=Proc[[#This Row],[CurrentParent]]</f>
        <v>1</v>
      </c>
      <c r="K2799" s="144" t="str">
        <f>IF(Proc[[#This Row],[Author]]="Marcela Urrego",VLOOKUP(LEFT(Proc[[#This Row],[Requested]],1),Table3[#All],2,0),VLOOKUP(Proc[[#This Row],[Author]],Table4[],2,0))</f>
        <v>MGF</v>
      </c>
      <c r="L2799" s="125" t="s">
        <v>4894</v>
      </c>
      <c r="M2799" s="109">
        <v>45841.453541666669</v>
      </c>
      <c r="N2799" s="109"/>
      <c r="O2799" s="109"/>
      <c r="P2799" s="110" t="str">
        <f ca="1">IF(Proc[[#This Row],[DaysAgeing]]&gt;5,"yep","on track")</f>
        <v>yep</v>
      </c>
      <c r="Q2799" s="3">
        <f ca="1">IF(Proc[[#This Row],[DateClosed]]="",ABS(NETWORKDAYS(Proc[[#This Row],[DateOpened]],TODAY()))-1,ABS(NETWORKDAYS(Proc[[#This Row],[DateOpened]],Proc[[#This Row],[DateClosed]]))-1)</f>
        <v>121</v>
      </c>
      <c r="R2799" s="110" t="s">
        <v>485</v>
      </c>
      <c r="S2799" s="94"/>
    </row>
    <row r="2800" spans="1:19" hidden="1">
      <c r="A2800" s="103" t="s">
        <v>4422</v>
      </c>
      <c r="B2800" s="149" t="str">
        <f>IFERROR(VLOOKUP(Proc[[#This Row],[App]],Table2[],3,0),"open")</f>
        <v>ok</v>
      </c>
      <c r="C2800" s="117" t="s">
        <v>369</v>
      </c>
      <c r="D2800" t="s">
        <v>4721</v>
      </c>
      <c r="E2800" t="s">
        <v>4751</v>
      </c>
      <c r="F2800" s="94" t="s">
        <v>4751</v>
      </c>
      <c r="G2800" s="103" t="s">
        <v>406</v>
      </c>
      <c r="H2800" s="94" t="str">
        <f>IF(Proc[[#This Row],[type]]="LFF (MDG-F)",MID(Proc[[#This Row],[Obj]],13,10),"")</f>
        <v>DE20538887</v>
      </c>
      <c r="I2800" s="103" t="s">
        <v>4785</v>
      </c>
      <c r="J2800" s="94" t="b">
        <f>Proc[[#This Row],[Requested]]=Proc[[#This Row],[CurrentParent]]</f>
        <v>1</v>
      </c>
      <c r="K2800" s="144" t="str">
        <f>IF(Proc[[#This Row],[Author]]="Marcela Urrego",VLOOKUP(LEFT(Proc[[#This Row],[Requested]],1),Table3[#All],2,0),VLOOKUP(Proc[[#This Row],[Author]],Table4[],2,0))</f>
        <v>MGF</v>
      </c>
      <c r="L2800" s="125" t="s">
        <v>4894</v>
      </c>
      <c r="M2800" s="109">
        <v>45841.453541666669</v>
      </c>
      <c r="N2800" s="109"/>
      <c r="O2800" s="109"/>
      <c r="P2800" s="110" t="str">
        <f ca="1">IF(Proc[[#This Row],[DaysAgeing]]&gt;5,"yep","on track")</f>
        <v>yep</v>
      </c>
      <c r="Q2800" s="3">
        <f ca="1">IF(Proc[[#This Row],[DateClosed]]="",ABS(NETWORKDAYS(Proc[[#This Row],[DateOpened]],TODAY()))-1,ABS(NETWORKDAYS(Proc[[#This Row],[DateOpened]],Proc[[#This Row],[DateClosed]]))-1)</f>
        <v>121</v>
      </c>
      <c r="R2800" s="110" t="s">
        <v>485</v>
      </c>
      <c r="S2800" s="94"/>
    </row>
    <row r="2801" spans="1:19" hidden="1">
      <c r="A2801" s="103" t="s">
        <v>4422</v>
      </c>
      <c r="B2801" s="149" t="str">
        <f>IFERROR(VLOOKUP(Proc[[#This Row],[App]],Table2[],3,0),"open")</f>
        <v>ok</v>
      </c>
      <c r="C2801" s="117" t="s">
        <v>369</v>
      </c>
      <c r="D2801" t="s">
        <v>4722</v>
      </c>
      <c r="E2801" t="s">
        <v>4751</v>
      </c>
      <c r="F2801" s="94" t="s">
        <v>4751</v>
      </c>
      <c r="G2801" s="103" t="s">
        <v>406</v>
      </c>
      <c r="H2801" s="94" t="str">
        <f>IF(Proc[[#This Row],[type]]="LFF (MDG-F)",MID(Proc[[#This Row],[Obj]],13,10),"")</f>
        <v>DE20538920</v>
      </c>
      <c r="I2801" s="103" t="s">
        <v>4785</v>
      </c>
      <c r="J2801" s="94" t="b">
        <f>Proc[[#This Row],[Requested]]=Proc[[#This Row],[CurrentParent]]</f>
        <v>1</v>
      </c>
      <c r="K2801" s="144" t="str">
        <f>IF(Proc[[#This Row],[Author]]="Marcela Urrego",VLOOKUP(LEFT(Proc[[#This Row],[Requested]],1),Table3[#All],2,0),VLOOKUP(Proc[[#This Row],[Author]],Table4[],2,0))</f>
        <v>MGF</v>
      </c>
      <c r="L2801" s="125" t="s">
        <v>4894</v>
      </c>
      <c r="M2801" s="109">
        <v>45841.453541666669</v>
      </c>
      <c r="N2801" s="109"/>
      <c r="O2801" s="109"/>
      <c r="P2801" s="110" t="str">
        <f ca="1">IF(Proc[[#This Row],[DaysAgeing]]&gt;5,"yep","on track")</f>
        <v>yep</v>
      </c>
      <c r="Q2801" s="3">
        <f ca="1">IF(Proc[[#This Row],[DateClosed]]="",ABS(NETWORKDAYS(Proc[[#This Row],[DateOpened]],TODAY()))-1,ABS(NETWORKDAYS(Proc[[#This Row],[DateOpened]],Proc[[#This Row],[DateClosed]]))-1)</f>
        <v>121</v>
      </c>
      <c r="R2801" s="110" t="s">
        <v>485</v>
      </c>
      <c r="S2801" s="94"/>
    </row>
    <row r="2802" spans="1:19" hidden="1">
      <c r="A2802" s="103" t="s">
        <v>4422</v>
      </c>
      <c r="B2802" s="149" t="str">
        <f>IFERROR(VLOOKUP(Proc[[#This Row],[App]],Table2[],3,0),"open")</f>
        <v>ok</v>
      </c>
      <c r="C2802" s="117" t="s">
        <v>369</v>
      </c>
      <c r="D2802" t="s">
        <v>4723</v>
      </c>
      <c r="E2802" t="s">
        <v>4751</v>
      </c>
      <c r="F2802" s="94" t="s">
        <v>4751</v>
      </c>
      <c r="G2802" s="103" t="s">
        <v>406</v>
      </c>
      <c r="H2802" s="94" t="str">
        <f>IF(Proc[[#This Row],[type]]="LFF (MDG-F)",MID(Proc[[#This Row],[Obj]],13,10),"")</f>
        <v>DE20538921</v>
      </c>
      <c r="I2802" s="103" t="s">
        <v>4785</v>
      </c>
      <c r="J2802" s="94" t="b">
        <f>Proc[[#This Row],[Requested]]=Proc[[#This Row],[CurrentParent]]</f>
        <v>1</v>
      </c>
      <c r="K2802" s="144" t="str">
        <f>IF(Proc[[#This Row],[Author]]="Marcela Urrego",VLOOKUP(LEFT(Proc[[#This Row],[Requested]],1),Table3[#All],2,0),VLOOKUP(Proc[[#This Row],[Author]],Table4[],2,0))</f>
        <v>MGF</v>
      </c>
      <c r="L2802" s="125" t="s">
        <v>4894</v>
      </c>
      <c r="M2802" s="109">
        <v>45841.453541666669</v>
      </c>
      <c r="N2802" s="109"/>
      <c r="O2802" s="109"/>
      <c r="P2802" s="110" t="str">
        <f ca="1">IF(Proc[[#This Row],[DaysAgeing]]&gt;5,"yep","on track")</f>
        <v>yep</v>
      </c>
      <c r="Q2802" s="3">
        <f ca="1">IF(Proc[[#This Row],[DateClosed]]="",ABS(NETWORKDAYS(Proc[[#This Row],[DateOpened]],TODAY()))-1,ABS(NETWORKDAYS(Proc[[#This Row],[DateOpened]],Proc[[#This Row],[DateClosed]]))-1)</f>
        <v>121</v>
      </c>
      <c r="R2802" s="110" t="s">
        <v>485</v>
      </c>
      <c r="S2802" s="94"/>
    </row>
    <row r="2803" spans="1:19" hidden="1">
      <c r="A2803" s="103" t="s">
        <v>4422</v>
      </c>
      <c r="B2803" s="149" t="str">
        <f>IFERROR(VLOOKUP(Proc[[#This Row],[App]],Table2[],3,0),"open")</f>
        <v>ok</v>
      </c>
      <c r="C2803" s="117" t="s">
        <v>369</v>
      </c>
      <c r="D2803" t="s">
        <v>4724</v>
      </c>
      <c r="E2803" t="s">
        <v>4753</v>
      </c>
      <c r="F2803" s="94" t="s">
        <v>4753</v>
      </c>
      <c r="G2803" s="103" t="s">
        <v>406</v>
      </c>
      <c r="H2803" s="94" t="str">
        <f>IF(Proc[[#This Row],[type]]="LFF (MDG-F)",MID(Proc[[#This Row],[Obj]],13,10),"")</f>
        <v>DE20538978</v>
      </c>
      <c r="I2803" s="103" t="s">
        <v>4785</v>
      </c>
      <c r="J2803" s="94" t="b">
        <f>Proc[[#This Row],[Requested]]=Proc[[#This Row],[CurrentParent]]</f>
        <v>1</v>
      </c>
      <c r="K2803" s="144" t="str">
        <f>IF(Proc[[#This Row],[Author]]="Marcela Urrego",VLOOKUP(LEFT(Proc[[#This Row],[Requested]],1),Table3[#All],2,0),VLOOKUP(Proc[[#This Row],[Author]],Table4[],2,0))</f>
        <v>MGF</v>
      </c>
      <c r="L2803" s="125" t="s">
        <v>4894</v>
      </c>
      <c r="M2803" s="109">
        <v>45841.453541666669</v>
      </c>
      <c r="N2803" s="109"/>
      <c r="O2803" s="109"/>
      <c r="P2803" s="110" t="str">
        <f ca="1">IF(Proc[[#This Row],[DaysAgeing]]&gt;5,"yep","on track")</f>
        <v>yep</v>
      </c>
      <c r="Q2803" s="3">
        <f ca="1">IF(Proc[[#This Row],[DateClosed]]="",ABS(NETWORKDAYS(Proc[[#This Row],[DateOpened]],TODAY()))-1,ABS(NETWORKDAYS(Proc[[#This Row],[DateOpened]],Proc[[#This Row],[DateClosed]]))-1)</f>
        <v>121</v>
      </c>
      <c r="R2803" s="110" t="s">
        <v>485</v>
      </c>
      <c r="S2803" s="94"/>
    </row>
    <row r="2804" spans="1:19" hidden="1">
      <c r="A2804" s="103" t="s">
        <v>4422</v>
      </c>
      <c r="B2804" s="149" t="str">
        <f>IFERROR(VLOOKUP(Proc[[#This Row],[App]],Table2[],3,0),"open")</f>
        <v>ok</v>
      </c>
      <c r="C2804" s="117" t="s">
        <v>369</v>
      </c>
      <c r="D2804" t="s">
        <v>4725</v>
      </c>
      <c r="E2804" t="s">
        <v>4754</v>
      </c>
      <c r="F2804" s="94" t="s">
        <v>4754</v>
      </c>
      <c r="G2804" s="103" t="s">
        <v>406</v>
      </c>
      <c r="H2804" s="94" t="str">
        <f>IF(Proc[[#This Row],[type]]="LFF (MDG-F)",MID(Proc[[#This Row],[Obj]],13,10),"")</f>
        <v>DE20539001</v>
      </c>
      <c r="I2804" s="103" t="s">
        <v>4785</v>
      </c>
      <c r="J2804" s="94" t="b">
        <f>Proc[[#This Row],[Requested]]=Proc[[#This Row],[CurrentParent]]</f>
        <v>1</v>
      </c>
      <c r="K2804" s="144" t="str">
        <f>IF(Proc[[#This Row],[Author]]="Marcela Urrego",VLOOKUP(LEFT(Proc[[#This Row],[Requested]],1),Table3[#All],2,0),VLOOKUP(Proc[[#This Row],[Author]],Table4[],2,0))</f>
        <v>MGF</v>
      </c>
      <c r="L2804" s="125" t="s">
        <v>4894</v>
      </c>
      <c r="M2804" s="109">
        <v>45841.453541666669</v>
      </c>
      <c r="N2804" s="109"/>
      <c r="O2804" s="109"/>
      <c r="P2804" s="110" t="str">
        <f ca="1">IF(Proc[[#This Row],[DaysAgeing]]&gt;5,"yep","on track")</f>
        <v>yep</v>
      </c>
      <c r="Q2804" s="3">
        <f ca="1">IF(Proc[[#This Row],[DateClosed]]="",ABS(NETWORKDAYS(Proc[[#This Row],[DateOpened]],TODAY()))-1,ABS(NETWORKDAYS(Proc[[#This Row],[DateOpened]],Proc[[#This Row],[DateClosed]]))-1)</f>
        <v>121</v>
      </c>
      <c r="R2804" s="110" t="s">
        <v>485</v>
      </c>
      <c r="S2804" s="94"/>
    </row>
    <row r="2805" spans="1:19" hidden="1">
      <c r="A2805" s="103" t="s">
        <v>4422</v>
      </c>
      <c r="B2805" s="149" t="str">
        <f>IFERROR(VLOOKUP(Proc[[#This Row],[App]],Table2[],3,0),"open")</f>
        <v>ok</v>
      </c>
      <c r="C2805" s="117" t="s">
        <v>369</v>
      </c>
      <c r="D2805" t="s">
        <v>4726</v>
      </c>
      <c r="E2805" t="s">
        <v>4754</v>
      </c>
      <c r="F2805" s="94" t="s">
        <v>4754</v>
      </c>
      <c r="G2805" s="103" t="s">
        <v>406</v>
      </c>
      <c r="H2805" s="94" t="str">
        <f>IF(Proc[[#This Row],[type]]="LFF (MDG-F)",MID(Proc[[#This Row],[Obj]],13,10),"")</f>
        <v>DE20539002</v>
      </c>
      <c r="I2805" s="103" t="s">
        <v>4785</v>
      </c>
      <c r="J2805" s="94" t="b">
        <f>Proc[[#This Row],[Requested]]=Proc[[#This Row],[CurrentParent]]</f>
        <v>1</v>
      </c>
      <c r="K2805" s="144" t="str">
        <f>IF(Proc[[#This Row],[Author]]="Marcela Urrego",VLOOKUP(LEFT(Proc[[#This Row],[Requested]],1),Table3[#All],2,0),VLOOKUP(Proc[[#This Row],[Author]],Table4[],2,0))</f>
        <v>MGF</v>
      </c>
      <c r="L2805" s="125" t="s">
        <v>4894</v>
      </c>
      <c r="M2805" s="109">
        <v>45841.453541666669</v>
      </c>
      <c r="N2805" s="109"/>
      <c r="O2805" s="109"/>
      <c r="P2805" s="110" t="str">
        <f ca="1">IF(Proc[[#This Row],[DaysAgeing]]&gt;5,"yep","on track")</f>
        <v>yep</v>
      </c>
      <c r="Q2805" s="3">
        <f ca="1">IF(Proc[[#This Row],[DateClosed]]="",ABS(NETWORKDAYS(Proc[[#This Row],[DateOpened]],TODAY()))-1,ABS(NETWORKDAYS(Proc[[#This Row],[DateOpened]],Proc[[#This Row],[DateClosed]]))-1)</f>
        <v>121</v>
      </c>
      <c r="R2805" s="110" t="s">
        <v>485</v>
      </c>
      <c r="S2805" s="94"/>
    </row>
    <row r="2806" spans="1:19" hidden="1">
      <c r="A2806" s="103" t="s">
        <v>4422</v>
      </c>
      <c r="B2806" s="149" t="str">
        <f>IFERROR(VLOOKUP(Proc[[#This Row],[App]],Table2[],3,0),"open")</f>
        <v>ok</v>
      </c>
      <c r="C2806" s="117" t="s">
        <v>369</v>
      </c>
      <c r="D2806" t="s">
        <v>4727</v>
      </c>
      <c r="E2806" t="s">
        <v>4754</v>
      </c>
      <c r="F2806" s="94" t="s">
        <v>4754</v>
      </c>
      <c r="G2806" s="103" t="s">
        <v>406</v>
      </c>
      <c r="H2806" s="94" t="str">
        <f>IF(Proc[[#This Row],[type]]="LFF (MDG-F)",MID(Proc[[#This Row],[Obj]],13,10),"")</f>
        <v>DE20539004</v>
      </c>
      <c r="I2806" s="103" t="s">
        <v>4785</v>
      </c>
      <c r="J2806" s="94" t="b">
        <f>Proc[[#This Row],[Requested]]=Proc[[#This Row],[CurrentParent]]</f>
        <v>1</v>
      </c>
      <c r="K2806" s="144" t="str">
        <f>IF(Proc[[#This Row],[Author]]="Marcela Urrego",VLOOKUP(LEFT(Proc[[#This Row],[Requested]],1),Table3[#All],2,0),VLOOKUP(Proc[[#This Row],[Author]],Table4[],2,0))</f>
        <v>MGF</v>
      </c>
      <c r="L2806" s="125" t="s">
        <v>4894</v>
      </c>
      <c r="M2806" s="109">
        <v>45841.453541666669</v>
      </c>
      <c r="N2806" s="109"/>
      <c r="O2806" s="109"/>
      <c r="P2806" s="110" t="str">
        <f ca="1">IF(Proc[[#This Row],[DaysAgeing]]&gt;5,"yep","on track")</f>
        <v>yep</v>
      </c>
      <c r="Q2806" s="3">
        <f ca="1">IF(Proc[[#This Row],[DateClosed]]="",ABS(NETWORKDAYS(Proc[[#This Row],[DateOpened]],TODAY()))-1,ABS(NETWORKDAYS(Proc[[#This Row],[DateOpened]],Proc[[#This Row],[DateClosed]]))-1)</f>
        <v>121</v>
      </c>
      <c r="R2806" s="110" t="s">
        <v>485</v>
      </c>
      <c r="S2806" s="94"/>
    </row>
    <row r="2807" spans="1:19" hidden="1">
      <c r="A2807" s="103" t="s">
        <v>4422</v>
      </c>
      <c r="B2807" s="149" t="str">
        <f>IFERROR(VLOOKUP(Proc[[#This Row],[App]],Table2[],3,0),"open")</f>
        <v>ok</v>
      </c>
      <c r="C2807" s="117" t="s">
        <v>369</v>
      </c>
      <c r="D2807" t="s">
        <v>4728</v>
      </c>
      <c r="E2807" t="s">
        <v>4754</v>
      </c>
      <c r="F2807" s="94" t="s">
        <v>4754</v>
      </c>
      <c r="G2807" s="103" t="s">
        <v>406</v>
      </c>
      <c r="H2807" s="94" t="str">
        <f>IF(Proc[[#This Row],[type]]="LFF (MDG-F)",MID(Proc[[#This Row],[Obj]],13,10),"")</f>
        <v>DE20567500</v>
      </c>
      <c r="I2807" s="103" t="s">
        <v>4785</v>
      </c>
      <c r="J2807" s="94" t="b">
        <f>Proc[[#This Row],[Requested]]=Proc[[#This Row],[CurrentParent]]</f>
        <v>1</v>
      </c>
      <c r="K2807" s="144" t="str">
        <f>IF(Proc[[#This Row],[Author]]="Marcela Urrego",VLOOKUP(LEFT(Proc[[#This Row],[Requested]],1),Table3[#All],2,0),VLOOKUP(Proc[[#This Row],[Author]],Table4[],2,0))</f>
        <v>MGF</v>
      </c>
      <c r="L2807" s="125" t="s">
        <v>4894</v>
      </c>
      <c r="M2807" s="109">
        <v>45841.453541666669</v>
      </c>
      <c r="N2807" s="109"/>
      <c r="O2807" s="109"/>
      <c r="P2807" s="110" t="str">
        <f ca="1">IF(Proc[[#This Row],[DaysAgeing]]&gt;5,"yep","on track")</f>
        <v>yep</v>
      </c>
      <c r="Q2807" s="3">
        <f ca="1">IF(Proc[[#This Row],[DateClosed]]="",ABS(NETWORKDAYS(Proc[[#This Row],[DateOpened]],TODAY()))-1,ABS(NETWORKDAYS(Proc[[#This Row],[DateOpened]],Proc[[#This Row],[DateClosed]]))-1)</f>
        <v>121</v>
      </c>
      <c r="R2807" s="110" t="s">
        <v>485</v>
      </c>
      <c r="S2807" s="94"/>
    </row>
    <row r="2808" spans="1:19" hidden="1">
      <c r="A2808" s="103" t="s">
        <v>4422</v>
      </c>
      <c r="B2808" s="149" t="str">
        <f>IFERROR(VLOOKUP(Proc[[#This Row],[App]],Table2[],3,0),"open")</f>
        <v>ok</v>
      </c>
      <c r="C2808" s="117" t="s">
        <v>369</v>
      </c>
      <c r="D2808" t="s">
        <v>4729</v>
      </c>
      <c r="E2808" t="s">
        <v>4751</v>
      </c>
      <c r="F2808" s="94" t="s">
        <v>4751</v>
      </c>
      <c r="G2808" s="103" t="s">
        <v>406</v>
      </c>
      <c r="H2808" s="94" t="str">
        <f>IF(Proc[[#This Row],[type]]="LFF (MDG-F)",MID(Proc[[#This Row],[Obj]],13,10),"")</f>
        <v>DE20569401</v>
      </c>
      <c r="I2808" s="103" t="s">
        <v>4785</v>
      </c>
      <c r="J2808" s="94" t="b">
        <f>Proc[[#This Row],[Requested]]=Proc[[#This Row],[CurrentParent]]</f>
        <v>1</v>
      </c>
      <c r="K2808" s="144" t="str">
        <f>IF(Proc[[#This Row],[Author]]="Marcela Urrego",VLOOKUP(LEFT(Proc[[#This Row],[Requested]],1),Table3[#All],2,0),VLOOKUP(Proc[[#This Row],[Author]],Table4[],2,0))</f>
        <v>MGF</v>
      </c>
      <c r="L2808" s="125" t="s">
        <v>4894</v>
      </c>
      <c r="M2808" s="109">
        <v>45841.453541666669</v>
      </c>
      <c r="N2808" s="109"/>
      <c r="O2808" s="109"/>
      <c r="P2808" s="110" t="str">
        <f ca="1">IF(Proc[[#This Row],[DaysAgeing]]&gt;5,"yep","on track")</f>
        <v>yep</v>
      </c>
      <c r="Q2808" s="3">
        <f ca="1">IF(Proc[[#This Row],[DateClosed]]="",ABS(NETWORKDAYS(Proc[[#This Row],[DateOpened]],TODAY()))-1,ABS(NETWORKDAYS(Proc[[#This Row],[DateOpened]],Proc[[#This Row],[DateClosed]]))-1)</f>
        <v>121</v>
      </c>
      <c r="R2808" s="110" t="s">
        <v>485</v>
      </c>
      <c r="S2808" s="94"/>
    </row>
    <row r="2809" spans="1:19" hidden="1">
      <c r="A2809" s="103" t="s">
        <v>4422</v>
      </c>
      <c r="B2809" s="149" t="str">
        <f>IFERROR(VLOOKUP(Proc[[#This Row],[App]],Table2[],3,0),"open")</f>
        <v>ok</v>
      </c>
      <c r="C2809" s="117" t="s">
        <v>369</v>
      </c>
      <c r="D2809" t="s">
        <v>4730</v>
      </c>
      <c r="E2809" t="s">
        <v>4750</v>
      </c>
      <c r="F2809" s="94" t="s">
        <v>4750</v>
      </c>
      <c r="G2809" s="103" t="s">
        <v>406</v>
      </c>
      <c r="H2809" s="94" t="str">
        <f>IF(Proc[[#This Row],[type]]="LFF (MDG-F)",MID(Proc[[#This Row],[Obj]],13,10),"")</f>
        <v>DE20538145</v>
      </c>
      <c r="I2809" s="103" t="s">
        <v>4785</v>
      </c>
      <c r="J2809" s="94" t="b">
        <f>Proc[[#This Row],[Requested]]=Proc[[#This Row],[CurrentParent]]</f>
        <v>1</v>
      </c>
      <c r="K2809" s="144" t="str">
        <f>IF(Proc[[#This Row],[Author]]="Marcela Urrego",VLOOKUP(LEFT(Proc[[#This Row],[Requested]],1),Table3[#All],2,0),VLOOKUP(Proc[[#This Row],[Author]],Table4[],2,0))</f>
        <v>MGF</v>
      </c>
      <c r="L2809" s="125" t="s">
        <v>4894</v>
      </c>
      <c r="M2809" s="109">
        <v>45841.453541666669</v>
      </c>
      <c r="N2809" s="109"/>
      <c r="O2809" s="109"/>
      <c r="P2809" s="110" t="str">
        <f ca="1">IF(Proc[[#This Row],[DaysAgeing]]&gt;5,"yep","on track")</f>
        <v>yep</v>
      </c>
      <c r="Q2809" s="3">
        <f ca="1">IF(Proc[[#This Row],[DateClosed]]="",ABS(NETWORKDAYS(Proc[[#This Row],[DateOpened]],TODAY()))-1,ABS(NETWORKDAYS(Proc[[#This Row],[DateOpened]],Proc[[#This Row],[DateClosed]]))-1)</f>
        <v>121</v>
      </c>
      <c r="R2809" s="110" t="s">
        <v>485</v>
      </c>
      <c r="S2809" s="94"/>
    </row>
    <row r="2810" spans="1:19" hidden="1">
      <c r="A2810" s="103" t="s">
        <v>4422</v>
      </c>
      <c r="B2810" s="149" t="str">
        <f>IFERROR(VLOOKUP(Proc[[#This Row],[App]],Table2[],3,0),"open")</f>
        <v>ok</v>
      </c>
      <c r="C2810" s="117" t="s">
        <v>369</v>
      </c>
      <c r="D2810" t="s">
        <v>4731</v>
      </c>
      <c r="E2810" t="s">
        <v>4750</v>
      </c>
      <c r="F2810" s="94" t="s">
        <v>4750</v>
      </c>
      <c r="G2810" s="103" t="s">
        <v>406</v>
      </c>
      <c r="H2810" s="94" t="str">
        <f>IF(Proc[[#This Row],[type]]="LFF (MDG-F)",MID(Proc[[#This Row],[Obj]],13,10),"")</f>
        <v>DE20538190</v>
      </c>
      <c r="I2810" s="103" t="s">
        <v>4785</v>
      </c>
      <c r="J2810" s="94" t="b">
        <f>Proc[[#This Row],[Requested]]=Proc[[#This Row],[CurrentParent]]</f>
        <v>1</v>
      </c>
      <c r="K2810" s="144" t="str">
        <f>IF(Proc[[#This Row],[Author]]="Marcela Urrego",VLOOKUP(LEFT(Proc[[#This Row],[Requested]],1),Table3[#All],2,0),VLOOKUP(Proc[[#This Row],[Author]],Table4[],2,0))</f>
        <v>MGF</v>
      </c>
      <c r="L2810" s="125" t="s">
        <v>4894</v>
      </c>
      <c r="M2810" s="109">
        <v>45841.453541666669</v>
      </c>
      <c r="N2810" s="109"/>
      <c r="O2810" s="109"/>
      <c r="P2810" s="110" t="str">
        <f ca="1">IF(Proc[[#This Row],[DaysAgeing]]&gt;5,"yep","on track")</f>
        <v>yep</v>
      </c>
      <c r="Q2810" s="3">
        <f ca="1">IF(Proc[[#This Row],[DateClosed]]="",ABS(NETWORKDAYS(Proc[[#This Row],[DateOpened]],TODAY()))-1,ABS(NETWORKDAYS(Proc[[#This Row],[DateOpened]],Proc[[#This Row],[DateClosed]]))-1)</f>
        <v>121</v>
      </c>
      <c r="R2810" s="110" t="s">
        <v>485</v>
      </c>
      <c r="S2810" s="94"/>
    </row>
    <row r="2811" spans="1:19" hidden="1">
      <c r="A2811" s="103" t="s">
        <v>4422</v>
      </c>
      <c r="B2811" s="149" t="str">
        <f>IFERROR(VLOOKUP(Proc[[#This Row],[App]],Table2[],3,0),"open")</f>
        <v>ok</v>
      </c>
      <c r="C2811" s="117" t="s">
        <v>369</v>
      </c>
      <c r="D2811" t="s">
        <v>4732</v>
      </c>
      <c r="E2811" t="s">
        <v>4754</v>
      </c>
      <c r="F2811" s="94" t="s">
        <v>4754</v>
      </c>
      <c r="G2811" s="103" t="s">
        <v>406</v>
      </c>
      <c r="H2811" s="94" t="str">
        <f>IF(Proc[[#This Row],[type]]="LFF (MDG-F)",MID(Proc[[#This Row],[Obj]],13,10),"")</f>
        <v>DE20539003</v>
      </c>
      <c r="I2811" s="103" t="s">
        <v>4785</v>
      </c>
      <c r="J2811" s="94" t="b">
        <f>Proc[[#This Row],[Requested]]=Proc[[#This Row],[CurrentParent]]</f>
        <v>1</v>
      </c>
      <c r="K2811" s="144" t="str">
        <f>IF(Proc[[#This Row],[Author]]="Marcela Urrego",VLOOKUP(LEFT(Proc[[#This Row],[Requested]],1),Table3[#All],2,0),VLOOKUP(Proc[[#This Row],[Author]],Table4[],2,0))</f>
        <v>MGF</v>
      </c>
      <c r="L2811" s="125" t="s">
        <v>4894</v>
      </c>
      <c r="M2811" s="109">
        <v>45841.453541666669</v>
      </c>
      <c r="N2811" s="109"/>
      <c r="O2811" s="109"/>
      <c r="P2811" s="110" t="str">
        <f ca="1">IF(Proc[[#This Row],[DaysAgeing]]&gt;5,"yep","on track")</f>
        <v>yep</v>
      </c>
      <c r="Q2811" s="3">
        <f ca="1">IF(Proc[[#This Row],[DateClosed]]="",ABS(NETWORKDAYS(Proc[[#This Row],[DateOpened]],TODAY()))-1,ABS(NETWORKDAYS(Proc[[#This Row],[DateOpened]],Proc[[#This Row],[DateClosed]]))-1)</f>
        <v>121</v>
      </c>
      <c r="R2811" s="110" t="s">
        <v>485</v>
      </c>
      <c r="S2811" s="94"/>
    </row>
    <row r="2812" spans="1:19" hidden="1">
      <c r="A2812" s="103" t="s">
        <v>4422</v>
      </c>
      <c r="B2812" s="149" t="str">
        <f>IFERROR(VLOOKUP(Proc[[#This Row],[App]],Table2[],3,0),"open")</f>
        <v>ok</v>
      </c>
      <c r="C2812" s="117" t="s">
        <v>369</v>
      </c>
      <c r="D2812" t="s">
        <v>4733</v>
      </c>
      <c r="E2812" t="s">
        <v>4740</v>
      </c>
      <c r="F2812" s="94" t="s">
        <v>4740</v>
      </c>
      <c r="G2812" s="103" t="s">
        <v>406</v>
      </c>
      <c r="H2812" s="94" t="str">
        <f>IF(Proc[[#This Row],[type]]="LFF (MDG-F)",MID(Proc[[#This Row],[Obj]],13,10),"")</f>
        <v>DE20567400</v>
      </c>
      <c r="I2812" s="103" t="s">
        <v>4785</v>
      </c>
      <c r="J2812" s="94" t="b">
        <f>Proc[[#This Row],[Requested]]=Proc[[#This Row],[CurrentParent]]</f>
        <v>1</v>
      </c>
      <c r="K2812" s="144" t="str">
        <f>IF(Proc[[#This Row],[Author]]="Marcela Urrego",VLOOKUP(LEFT(Proc[[#This Row],[Requested]],1),Table3[#All],2,0),VLOOKUP(Proc[[#This Row],[Author]],Table4[],2,0))</f>
        <v>MGF</v>
      </c>
      <c r="L2812" s="125" t="s">
        <v>4894</v>
      </c>
      <c r="M2812" s="109">
        <v>45841.453541666669</v>
      </c>
      <c r="N2812" s="109"/>
      <c r="O2812" s="109"/>
      <c r="P2812" s="110" t="str">
        <f ca="1">IF(Proc[[#This Row],[DaysAgeing]]&gt;5,"yep","on track")</f>
        <v>yep</v>
      </c>
      <c r="Q2812" s="3">
        <f ca="1">IF(Proc[[#This Row],[DateClosed]]="",ABS(NETWORKDAYS(Proc[[#This Row],[DateOpened]],TODAY()))-1,ABS(NETWORKDAYS(Proc[[#This Row],[DateOpened]],Proc[[#This Row],[DateClosed]]))-1)</f>
        <v>121</v>
      </c>
      <c r="R2812" s="110" t="s">
        <v>485</v>
      </c>
      <c r="S2812" s="94"/>
    </row>
    <row r="2813" spans="1:19" hidden="1">
      <c r="A2813" t="s">
        <v>4755</v>
      </c>
      <c r="B2813" s="149" t="str">
        <f>IFERROR(VLOOKUP(Proc[[#This Row],[App]],Table2[],3,0),"open")</f>
        <v>ok</v>
      </c>
      <c r="C2813" s="103" t="s">
        <v>369</v>
      </c>
      <c r="D2813" t="s">
        <v>4756</v>
      </c>
      <c r="E2813" t="s">
        <v>4764</v>
      </c>
      <c r="F2813" s="117" t="s">
        <v>4764</v>
      </c>
      <c r="G2813" s="103" t="s">
        <v>406</v>
      </c>
      <c r="H2813" s="94" t="str">
        <f>IF(Proc[[#This Row],[type]]="LFF (MDG-F)",MID(Proc[[#This Row],[Obj]],13,10),"")</f>
        <v>DE50OF0154</v>
      </c>
      <c r="I2813" s="103" t="s">
        <v>4785</v>
      </c>
      <c r="J2813" s="94" t="b">
        <f>Proc[[#This Row],[Requested]]=Proc[[#This Row],[CurrentParent]]</f>
        <v>1</v>
      </c>
      <c r="K2813" s="144" t="str">
        <f>IF(Proc[[#This Row],[Author]]="Marcela Urrego",VLOOKUP(LEFT(Proc[[#This Row],[Requested]],1),Table3[#All],2,0),VLOOKUP(Proc[[#This Row],[Author]],Table4[],2,0))</f>
        <v>HC</v>
      </c>
      <c r="L2813" s="125" t="s">
        <v>4894</v>
      </c>
      <c r="M2813" s="109">
        <v>45841.580648148149</v>
      </c>
      <c r="N2813" s="109"/>
      <c r="O2813" s="109"/>
      <c r="P2813" s="110" t="str">
        <f ca="1">IF(Proc[[#This Row],[DaysAgeing]]&gt;5,"yep","on track")</f>
        <v>yep</v>
      </c>
      <c r="Q2813" s="3">
        <f ca="1">IF(Proc[[#This Row],[DateClosed]]="",ABS(NETWORKDAYS(Proc[[#This Row],[DateOpened]],TODAY()))-1,ABS(NETWORKDAYS(Proc[[#This Row],[DateOpened]],Proc[[#This Row],[DateClosed]]))-1)</f>
        <v>121</v>
      </c>
      <c r="R2813" s="110" t="s">
        <v>410</v>
      </c>
      <c r="S2813" s="94"/>
    </row>
    <row r="2814" spans="1:19" hidden="1">
      <c r="A2814" s="103" t="s">
        <v>4755</v>
      </c>
      <c r="B2814" s="149" t="str">
        <f>IFERROR(VLOOKUP(Proc[[#This Row],[App]],Table2[],3,0),"open")</f>
        <v>ok</v>
      </c>
      <c r="C2814" s="117" t="s">
        <v>369</v>
      </c>
      <c r="D2814" t="s">
        <v>4757</v>
      </c>
      <c r="E2814" t="s">
        <v>4764</v>
      </c>
      <c r="F2814" s="117" t="s">
        <v>4764</v>
      </c>
      <c r="G2814" s="103" t="s">
        <v>406</v>
      </c>
      <c r="H2814" s="94" t="str">
        <f>IF(Proc[[#This Row],[type]]="LFF (MDG-F)",MID(Proc[[#This Row],[Obj]],13,10),"")</f>
        <v>DE10624416</v>
      </c>
      <c r="I2814" s="103" t="s">
        <v>4785</v>
      </c>
      <c r="J2814" s="94" t="b">
        <f>Proc[[#This Row],[Requested]]=Proc[[#This Row],[CurrentParent]]</f>
        <v>1</v>
      </c>
      <c r="K2814" s="144" t="str">
        <f>IF(Proc[[#This Row],[Author]]="Marcela Urrego",VLOOKUP(LEFT(Proc[[#This Row],[Requested]],1),Table3[#All],2,0),VLOOKUP(Proc[[#This Row],[Author]],Table4[],2,0))</f>
        <v>HC</v>
      </c>
      <c r="L2814" s="125" t="s">
        <v>4894</v>
      </c>
      <c r="M2814" s="109">
        <v>45841.580648148149</v>
      </c>
      <c r="N2814" s="109"/>
      <c r="O2814" s="109"/>
      <c r="P2814" s="110" t="str">
        <f ca="1">IF(Proc[[#This Row],[DaysAgeing]]&gt;5,"yep","on track")</f>
        <v>yep</v>
      </c>
      <c r="Q2814" s="3">
        <f ca="1">IF(Proc[[#This Row],[DateClosed]]="",ABS(NETWORKDAYS(Proc[[#This Row],[DateOpened]],TODAY()))-1,ABS(NETWORKDAYS(Proc[[#This Row],[DateOpened]],Proc[[#This Row],[DateClosed]]))-1)</f>
        <v>121</v>
      </c>
      <c r="R2814" s="110" t="s">
        <v>410</v>
      </c>
      <c r="S2814" s="94"/>
    </row>
    <row r="2815" spans="1:19" hidden="1">
      <c r="A2815" s="103" t="s">
        <v>4755</v>
      </c>
      <c r="B2815" s="149" t="str">
        <f>IFERROR(VLOOKUP(Proc[[#This Row],[App]],Table2[],3,0),"open")</f>
        <v>ok</v>
      </c>
      <c r="C2815" s="117" t="s">
        <v>369</v>
      </c>
      <c r="D2815" t="s">
        <v>4758</v>
      </c>
      <c r="E2815" t="s">
        <v>4764</v>
      </c>
      <c r="F2815" s="117" t="s">
        <v>4764</v>
      </c>
      <c r="G2815" s="103" t="s">
        <v>406</v>
      </c>
      <c r="H2815" s="94" t="str">
        <f>IF(Proc[[#This Row],[type]]="LFF (MDG-F)",MID(Proc[[#This Row],[Obj]],13,10),"")</f>
        <v>CH65GCA008</v>
      </c>
      <c r="I2815" s="103" t="s">
        <v>4785</v>
      </c>
      <c r="J2815" s="94" t="b">
        <f>Proc[[#This Row],[Requested]]=Proc[[#This Row],[CurrentParent]]</f>
        <v>1</v>
      </c>
      <c r="K2815" s="144" t="str">
        <f>IF(Proc[[#This Row],[Author]]="Marcela Urrego",VLOOKUP(LEFT(Proc[[#This Row],[Requested]],1),Table3[#All],2,0),VLOOKUP(Proc[[#This Row],[Author]],Table4[],2,0))</f>
        <v>HC</v>
      </c>
      <c r="L2815" s="125" t="s">
        <v>4894</v>
      </c>
      <c r="M2815" s="109">
        <v>45841.580648148149</v>
      </c>
      <c r="N2815" s="109"/>
      <c r="O2815" s="109"/>
      <c r="P2815" s="110" t="str">
        <f ca="1">IF(Proc[[#This Row],[DaysAgeing]]&gt;5,"yep","on track")</f>
        <v>yep</v>
      </c>
      <c r="Q2815" s="3">
        <f ca="1">IF(Proc[[#This Row],[DateClosed]]="",ABS(NETWORKDAYS(Proc[[#This Row],[DateOpened]],TODAY()))-1,ABS(NETWORKDAYS(Proc[[#This Row],[DateOpened]],Proc[[#This Row],[DateClosed]]))-1)</f>
        <v>121</v>
      </c>
      <c r="R2815" s="110" t="s">
        <v>410</v>
      </c>
      <c r="S2815" s="94"/>
    </row>
    <row r="2816" spans="1:19" hidden="1">
      <c r="A2816" s="103" t="s">
        <v>4755</v>
      </c>
      <c r="B2816" s="149" t="str">
        <f>IFERROR(VLOOKUP(Proc[[#This Row],[App]],Table2[],3,0),"open")</f>
        <v>ok</v>
      </c>
      <c r="C2816" s="117" t="s">
        <v>369</v>
      </c>
      <c r="D2816" t="s">
        <v>4759</v>
      </c>
      <c r="E2816" t="s">
        <v>4764</v>
      </c>
      <c r="F2816" s="117" t="s">
        <v>4764</v>
      </c>
      <c r="G2816" s="103" t="s">
        <v>406</v>
      </c>
      <c r="H2816" s="94" t="str">
        <f>IF(Proc[[#This Row],[type]]="LFF (MDG-F)",MID(Proc[[#This Row],[Obj]],13,10),"")</f>
        <v>CH65GCA010</v>
      </c>
      <c r="I2816" s="103" t="s">
        <v>4785</v>
      </c>
      <c r="J2816" s="94" t="b">
        <f>Proc[[#This Row],[Requested]]=Proc[[#This Row],[CurrentParent]]</f>
        <v>1</v>
      </c>
      <c r="K2816" s="144" t="str">
        <f>IF(Proc[[#This Row],[Author]]="Marcela Urrego",VLOOKUP(LEFT(Proc[[#This Row],[Requested]],1),Table3[#All],2,0),VLOOKUP(Proc[[#This Row],[Author]],Table4[],2,0))</f>
        <v>HC</v>
      </c>
      <c r="L2816" s="125" t="s">
        <v>4894</v>
      </c>
      <c r="M2816" s="109">
        <v>45841.580648148149</v>
      </c>
      <c r="N2816" s="109"/>
      <c r="O2816" s="109"/>
      <c r="P2816" s="110" t="str">
        <f ca="1">IF(Proc[[#This Row],[DaysAgeing]]&gt;5,"yep","on track")</f>
        <v>yep</v>
      </c>
      <c r="Q2816" s="3">
        <f ca="1">IF(Proc[[#This Row],[DateClosed]]="",ABS(NETWORKDAYS(Proc[[#This Row],[DateOpened]],TODAY()))-1,ABS(NETWORKDAYS(Proc[[#This Row],[DateOpened]],Proc[[#This Row],[DateClosed]]))-1)</f>
        <v>121</v>
      </c>
      <c r="R2816" s="110" t="s">
        <v>410</v>
      </c>
      <c r="S2816" s="94"/>
    </row>
    <row r="2817" spans="1:19" hidden="1">
      <c r="A2817" s="103" t="s">
        <v>4755</v>
      </c>
      <c r="B2817" s="149" t="str">
        <f>IFERROR(VLOOKUP(Proc[[#This Row],[App]],Table2[],3,0),"open")</f>
        <v>ok</v>
      </c>
      <c r="C2817" s="117" t="s">
        <v>369</v>
      </c>
      <c r="D2817" t="s">
        <v>4760</v>
      </c>
      <c r="E2817" t="s">
        <v>4764</v>
      </c>
      <c r="F2817" s="117" t="s">
        <v>4764</v>
      </c>
      <c r="G2817" s="103" t="s">
        <v>406</v>
      </c>
      <c r="H2817" s="94" t="str">
        <f>IF(Proc[[#This Row],[type]]="LFF (MDG-F)",MID(Proc[[#This Row],[Obj]],13,10),"")</f>
        <v>CH65GCA001</v>
      </c>
      <c r="I2817" s="103" t="s">
        <v>4785</v>
      </c>
      <c r="J2817" s="94" t="b">
        <f>Proc[[#This Row],[Requested]]=Proc[[#This Row],[CurrentParent]]</f>
        <v>1</v>
      </c>
      <c r="K2817" s="144" t="str">
        <f>IF(Proc[[#This Row],[Author]]="Marcela Urrego",VLOOKUP(LEFT(Proc[[#This Row],[Requested]],1),Table3[#All],2,0),VLOOKUP(Proc[[#This Row],[Author]],Table4[],2,0))</f>
        <v>HC</v>
      </c>
      <c r="L2817" s="125" t="s">
        <v>4894</v>
      </c>
      <c r="M2817" s="109">
        <v>45841.580648148149</v>
      </c>
      <c r="N2817" s="109"/>
      <c r="O2817" s="109"/>
      <c r="P2817" s="110" t="str">
        <f ca="1">IF(Proc[[#This Row],[DaysAgeing]]&gt;5,"yep","on track")</f>
        <v>yep</v>
      </c>
      <c r="Q2817" s="3">
        <f ca="1">IF(Proc[[#This Row],[DateClosed]]="",ABS(NETWORKDAYS(Proc[[#This Row],[DateOpened]],TODAY()))-1,ABS(NETWORKDAYS(Proc[[#This Row],[DateOpened]],Proc[[#This Row],[DateClosed]]))-1)</f>
        <v>121</v>
      </c>
      <c r="R2817" s="110" t="s">
        <v>410</v>
      </c>
      <c r="S2817" s="94"/>
    </row>
    <row r="2818" spans="1:19" hidden="1">
      <c r="A2818" s="103" t="s">
        <v>4755</v>
      </c>
      <c r="B2818" s="149" t="str">
        <f>IFERROR(VLOOKUP(Proc[[#This Row],[App]],Table2[],3,0),"open")</f>
        <v>ok</v>
      </c>
      <c r="C2818" s="117" t="s">
        <v>369</v>
      </c>
      <c r="D2818" t="s">
        <v>4761</v>
      </c>
      <c r="E2818" t="s">
        <v>4764</v>
      </c>
      <c r="F2818" s="117" t="s">
        <v>4764</v>
      </c>
      <c r="G2818" t="s">
        <v>406</v>
      </c>
      <c r="H2818" s="94" t="str">
        <f>IF(Proc[[#This Row],[type]]="LFF (MDG-F)",MID(Proc[[#This Row],[Obj]],13,10),"")</f>
        <v>DE50OF6808</v>
      </c>
      <c r="I2818" s="103" t="s">
        <v>4785</v>
      </c>
      <c r="J2818" s="94" t="b">
        <f>Proc[[#This Row],[Requested]]=Proc[[#This Row],[CurrentParent]]</f>
        <v>1</v>
      </c>
      <c r="K2818" s="144" t="str">
        <f>IF(Proc[[#This Row],[Author]]="Marcela Urrego",VLOOKUP(LEFT(Proc[[#This Row],[Requested]],1),Table3[#All],2,0),VLOOKUP(Proc[[#This Row],[Author]],Table4[],2,0))</f>
        <v>HC</v>
      </c>
      <c r="L2818" s="125" t="s">
        <v>4894</v>
      </c>
      <c r="M2818" s="109">
        <v>45841.580648148149</v>
      </c>
      <c r="N2818" s="109"/>
      <c r="O2818" s="109"/>
      <c r="P2818" s="110" t="str">
        <f ca="1">IF(Proc[[#This Row],[DaysAgeing]]&gt;5,"yep","on track")</f>
        <v>yep</v>
      </c>
      <c r="Q2818" s="3">
        <f ca="1">IF(Proc[[#This Row],[DateClosed]]="",ABS(NETWORKDAYS(Proc[[#This Row],[DateOpened]],TODAY()))-1,ABS(NETWORKDAYS(Proc[[#This Row],[DateOpened]],Proc[[#This Row],[DateClosed]]))-1)</f>
        <v>121</v>
      </c>
      <c r="R2818" s="110" t="s">
        <v>410</v>
      </c>
      <c r="S2818" s="94"/>
    </row>
    <row r="2819" spans="1:19" hidden="1">
      <c r="A2819" s="103" t="s">
        <v>4755</v>
      </c>
      <c r="B2819" s="149" t="str">
        <f>IFERROR(VLOOKUP(Proc[[#This Row],[App]],Table2[],3,0),"open")</f>
        <v>ok</v>
      </c>
      <c r="C2819" s="117" t="s">
        <v>369</v>
      </c>
      <c r="D2819" t="s">
        <v>4762</v>
      </c>
      <c r="E2819" t="s">
        <v>4764</v>
      </c>
      <c r="F2819" s="117" t="s">
        <v>4764</v>
      </c>
      <c r="G2819" t="s">
        <v>400</v>
      </c>
      <c r="H2819" s="94" t="str">
        <f>IF(Proc[[#This Row],[type]]="LFF (MDG-F)",MID(Proc[[#This Row],[Obj]],13,10),"")</f>
        <v/>
      </c>
      <c r="J2819" s="94" t="b">
        <f>Proc[[#This Row],[Requested]]=Proc[[#This Row],[CurrentParent]]</f>
        <v>1</v>
      </c>
      <c r="K2819" s="144" t="str">
        <f>IF(Proc[[#This Row],[Author]]="Marcela Urrego",VLOOKUP(LEFT(Proc[[#This Row],[Requested]],1),Table3[#All],2,0),VLOOKUP(Proc[[#This Row],[Author]],Table4[],2,0))</f>
        <v>HC</v>
      </c>
      <c r="L2819" s="125" t="s">
        <v>4894</v>
      </c>
      <c r="M2819" s="109">
        <v>45841.580648148149</v>
      </c>
      <c r="N2819" s="109"/>
      <c r="O2819" s="109"/>
      <c r="P2819" s="110" t="str">
        <f ca="1">IF(Proc[[#This Row],[DaysAgeing]]&gt;5,"yep","on track")</f>
        <v>yep</v>
      </c>
      <c r="Q2819" s="3">
        <f ca="1">IF(Proc[[#This Row],[DateClosed]]="",ABS(NETWORKDAYS(Proc[[#This Row],[DateOpened]],TODAY()))-1,ABS(NETWORKDAYS(Proc[[#This Row],[DateOpened]],Proc[[#This Row],[DateClosed]]))-1)</f>
        <v>121</v>
      </c>
      <c r="R2819" s="110" t="s">
        <v>410</v>
      </c>
      <c r="S2819" s="94"/>
    </row>
    <row r="2820" spans="1:19" hidden="1">
      <c r="A2820" s="103" t="s">
        <v>4755</v>
      </c>
      <c r="B2820" s="149" t="str">
        <f>IFERROR(VLOOKUP(Proc[[#This Row],[App]],Table2[],3,0),"open")</f>
        <v>ok</v>
      </c>
      <c r="C2820" s="117" t="s">
        <v>369</v>
      </c>
      <c r="D2820" t="s">
        <v>4763</v>
      </c>
      <c r="E2820" t="s">
        <v>4764</v>
      </c>
      <c r="F2820" s="117" t="s">
        <v>4764</v>
      </c>
      <c r="G2820" t="s">
        <v>400</v>
      </c>
      <c r="H2820" s="94" t="str">
        <f>IF(Proc[[#This Row],[type]]="LFF (MDG-F)",MID(Proc[[#This Row],[Obj]],13,10),"")</f>
        <v/>
      </c>
      <c r="J2820" s="94" t="b">
        <f>Proc[[#This Row],[Requested]]=Proc[[#This Row],[CurrentParent]]</f>
        <v>1</v>
      </c>
      <c r="K2820" s="144" t="str">
        <f>IF(Proc[[#This Row],[Author]]="Marcela Urrego",VLOOKUP(LEFT(Proc[[#This Row],[Requested]],1),Table3[#All],2,0),VLOOKUP(Proc[[#This Row],[Author]],Table4[],2,0))</f>
        <v>HC</v>
      </c>
      <c r="L2820" s="125" t="s">
        <v>4894</v>
      </c>
      <c r="M2820" s="109">
        <v>45841.580648148149</v>
      </c>
      <c r="N2820" s="109"/>
      <c r="O2820" s="109"/>
      <c r="P2820" s="110" t="str">
        <f ca="1">IF(Proc[[#This Row],[DaysAgeing]]&gt;5,"yep","on track")</f>
        <v>yep</v>
      </c>
      <c r="Q2820" s="3">
        <f ca="1">IF(Proc[[#This Row],[DateClosed]]="",ABS(NETWORKDAYS(Proc[[#This Row],[DateOpened]],TODAY()))-1,ABS(NETWORKDAYS(Proc[[#This Row],[DateOpened]],Proc[[#This Row],[DateClosed]]))-1)</f>
        <v>121</v>
      </c>
      <c r="R2820" s="110" t="s">
        <v>410</v>
      </c>
      <c r="S2820" s="94"/>
    </row>
    <row r="2821" spans="1:19" hidden="1">
      <c r="A2821" t="s">
        <v>4765</v>
      </c>
      <c r="B2821" s="149" t="str">
        <f>IFERROR(VLOOKUP(Proc[[#This Row],[App]],Table2[],3,0),"open")</f>
        <v>ok</v>
      </c>
      <c r="C2821" s="103" t="s">
        <v>369</v>
      </c>
      <c r="D2821" t="s">
        <v>4766</v>
      </c>
      <c r="E2821" t="s">
        <v>4777</v>
      </c>
      <c r="F2821" s="117" t="s">
        <v>4777</v>
      </c>
      <c r="G2821" s="103" t="s">
        <v>406</v>
      </c>
      <c r="H2821" s="94" t="str">
        <f>IF(Proc[[#This Row],[type]]="LFF (MDG-F)",MID(Proc[[#This Row],[Obj]],13,10),"")</f>
        <v>AT50L93100</v>
      </c>
      <c r="I2821" s="103" t="s">
        <v>4785</v>
      </c>
      <c r="J2821" s="94" t="b">
        <f>Proc[[#This Row],[Requested]]=Proc[[#This Row],[CurrentParent]]</f>
        <v>1</v>
      </c>
      <c r="K2821" s="144" t="str">
        <f>IF(Proc[[#This Row],[Author]]="Marcela Urrego",VLOOKUP(LEFT(Proc[[#This Row],[Requested]],1),Table3[#All],2,0),VLOOKUP(Proc[[#This Row],[Author]],Table4[],2,0))</f>
        <v>MGF</v>
      </c>
      <c r="L2821" s="125" t="s">
        <v>4894</v>
      </c>
      <c r="M2821" s="109">
        <v>45841.629756944443</v>
      </c>
      <c r="N2821" s="109"/>
      <c r="O2821" s="109"/>
      <c r="P2821" s="94" t="str">
        <f ca="1">IF(Proc[[#This Row],[DaysAgeing]]&gt;5,"yep","on track")</f>
        <v>yep</v>
      </c>
      <c r="Q2821" s="3">
        <f ca="1">IF(Proc[[#This Row],[DateClosed]]="",ABS(NETWORKDAYS(Proc[[#This Row],[DateOpened]],TODAY()))-1,ABS(NETWORKDAYS(Proc[[#This Row],[DateOpened]],Proc[[#This Row],[DateClosed]]))-1)</f>
        <v>121</v>
      </c>
      <c r="R2821" s="94" t="s">
        <v>515</v>
      </c>
      <c r="S2821" s="94"/>
    </row>
    <row r="2822" spans="1:19" hidden="1">
      <c r="A2822" s="103" t="s">
        <v>4765</v>
      </c>
      <c r="B2822" s="149" t="str">
        <f>IFERROR(VLOOKUP(Proc[[#This Row],[App]],Table2[],3,0),"open")</f>
        <v>ok</v>
      </c>
      <c r="C2822" s="117" t="s">
        <v>369</v>
      </c>
      <c r="D2822" t="s">
        <v>4767</v>
      </c>
      <c r="E2822" t="s">
        <v>4777</v>
      </c>
      <c r="F2822" s="117" t="s">
        <v>4777</v>
      </c>
      <c r="G2822" s="103" t="s">
        <v>406</v>
      </c>
      <c r="H2822" s="94" t="str">
        <f>IF(Proc[[#This Row],[type]]="LFF (MDG-F)",MID(Proc[[#This Row],[Obj]],13,10),"")</f>
        <v>DK50L93100</v>
      </c>
      <c r="I2822" s="103" t="s">
        <v>4785</v>
      </c>
      <c r="J2822" s="94" t="b">
        <f>Proc[[#This Row],[Requested]]=Proc[[#This Row],[CurrentParent]]</f>
        <v>1</v>
      </c>
      <c r="K2822" s="144" t="str">
        <f>IF(Proc[[#This Row],[Author]]="Marcela Urrego",VLOOKUP(LEFT(Proc[[#This Row],[Requested]],1),Table3[#All],2,0),VLOOKUP(Proc[[#This Row],[Author]],Table4[],2,0))</f>
        <v>MGF</v>
      </c>
      <c r="L2822" s="125" t="s">
        <v>4894</v>
      </c>
      <c r="M2822" s="109">
        <v>45841.629756944443</v>
      </c>
      <c r="N2822" s="109"/>
      <c r="O2822" s="109"/>
      <c r="P2822" s="110" t="str">
        <f ca="1">IF(Proc[[#This Row],[DaysAgeing]]&gt;5,"yep","on track")</f>
        <v>yep</v>
      </c>
      <c r="Q2822" s="3">
        <f ca="1">IF(Proc[[#This Row],[DateClosed]]="",ABS(NETWORKDAYS(Proc[[#This Row],[DateOpened]],TODAY()))-1,ABS(NETWORKDAYS(Proc[[#This Row],[DateOpened]],Proc[[#This Row],[DateClosed]]))-1)</f>
        <v>121</v>
      </c>
      <c r="R2822" s="94" t="s">
        <v>515</v>
      </c>
      <c r="S2822" s="94"/>
    </row>
    <row r="2823" spans="1:19" hidden="1">
      <c r="A2823" s="103" t="s">
        <v>4765</v>
      </c>
      <c r="B2823" s="149" t="str">
        <f>IFERROR(VLOOKUP(Proc[[#This Row],[App]],Table2[],3,0),"open")</f>
        <v>ok</v>
      </c>
      <c r="C2823" s="117" t="s">
        <v>369</v>
      </c>
      <c r="D2823" t="s">
        <v>4768</v>
      </c>
      <c r="E2823" t="s">
        <v>4777</v>
      </c>
      <c r="F2823" s="117" t="s">
        <v>4777</v>
      </c>
      <c r="G2823" s="103" t="s">
        <v>406</v>
      </c>
      <c r="H2823" s="94" t="str">
        <f>IF(Proc[[#This Row],[type]]="LFF (MDG-F)",MID(Proc[[#This Row],[Obj]],13,10),"")</f>
        <v>FI50L93100</v>
      </c>
      <c r="I2823" s="103" t="s">
        <v>4785</v>
      </c>
      <c r="J2823" s="94" t="b">
        <f>Proc[[#This Row],[Requested]]=Proc[[#This Row],[CurrentParent]]</f>
        <v>1</v>
      </c>
      <c r="K2823" s="144" t="str">
        <f>IF(Proc[[#This Row],[Author]]="Marcela Urrego",VLOOKUP(LEFT(Proc[[#This Row],[Requested]],1),Table3[#All],2,0),VLOOKUP(Proc[[#This Row],[Author]],Table4[],2,0))</f>
        <v>MGF</v>
      </c>
      <c r="L2823" s="125" t="s">
        <v>4894</v>
      </c>
      <c r="M2823" s="109">
        <v>45841.629756944443</v>
      </c>
      <c r="N2823" s="109"/>
      <c r="O2823" s="109"/>
      <c r="P2823" s="110" t="str">
        <f ca="1">IF(Proc[[#This Row],[DaysAgeing]]&gt;5,"yep","on track")</f>
        <v>yep</v>
      </c>
      <c r="Q2823" s="3">
        <f ca="1">IF(Proc[[#This Row],[DateClosed]]="",ABS(NETWORKDAYS(Proc[[#This Row],[DateOpened]],TODAY()))-1,ABS(NETWORKDAYS(Proc[[#This Row],[DateOpened]],Proc[[#This Row],[DateClosed]]))-1)</f>
        <v>121</v>
      </c>
      <c r="R2823" s="94" t="s">
        <v>515</v>
      </c>
      <c r="S2823" s="94"/>
    </row>
    <row r="2824" spans="1:19" hidden="1">
      <c r="A2824" s="103" t="s">
        <v>4765</v>
      </c>
      <c r="B2824" s="149" t="str">
        <f>IFERROR(VLOOKUP(Proc[[#This Row],[App]],Table2[],3,0),"open")</f>
        <v>ok</v>
      </c>
      <c r="C2824" s="117" t="s">
        <v>369</v>
      </c>
      <c r="D2824" t="s">
        <v>4769</v>
      </c>
      <c r="E2824" t="s">
        <v>4778</v>
      </c>
      <c r="F2824" s="117" t="s">
        <v>4778</v>
      </c>
      <c r="G2824" s="103" t="s">
        <v>406</v>
      </c>
      <c r="H2824" s="94" t="str">
        <f>IF(Proc[[#This Row],[type]]="LFF (MDG-F)",MID(Proc[[#This Row],[Obj]],13,10),"")</f>
        <v>KR02GHR119</v>
      </c>
      <c r="I2824" s="103" t="s">
        <v>4785</v>
      </c>
      <c r="J2824" s="94" t="b">
        <f>Proc[[#This Row],[Requested]]=Proc[[#This Row],[CurrentParent]]</f>
        <v>1</v>
      </c>
      <c r="K2824" s="144" t="str">
        <f>IF(Proc[[#This Row],[Author]]="Marcela Urrego",VLOOKUP(LEFT(Proc[[#This Row],[Requested]],1),Table3[#All],2,0),VLOOKUP(Proc[[#This Row],[Author]],Table4[],2,0))</f>
        <v>MGF</v>
      </c>
      <c r="L2824" s="125" t="s">
        <v>4894</v>
      </c>
      <c r="M2824" s="109">
        <v>45841.629756944443</v>
      </c>
      <c r="N2824" s="109"/>
      <c r="O2824" s="109"/>
      <c r="P2824" s="110" t="str">
        <f ca="1">IF(Proc[[#This Row],[DaysAgeing]]&gt;5,"yep","on track")</f>
        <v>yep</v>
      </c>
      <c r="Q2824" s="3">
        <f ca="1">IF(Proc[[#This Row],[DateClosed]]="",ABS(NETWORKDAYS(Proc[[#This Row],[DateOpened]],TODAY()))-1,ABS(NETWORKDAYS(Proc[[#This Row],[DateOpened]],Proc[[#This Row],[DateClosed]]))-1)</f>
        <v>121</v>
      </c>
      <c r="R2824" s="94" t="s">
        <v>515</v>
      </c>
      <c r="S2824" s="94"/>
    </row>
    <row r="2825" spans="1:19" hidden="1">
      <c r="A2825" s="103" t="s">
        <v>4765</v>
      </c>
      <c r="B2825" s="149" t="str">
        <f>IFERROR(VLOOKUP(Proc[[#This Row],[App]],Table2[],3,0),"open")</f>
        <v>ok</v>
      </c>
      <c r="C2825" s="117" t="s">
        <v>369</v>
      </c>
      <c r="D2825" t="s">
        <v>4770</v>
      </c>
      <c r="E2825" t="s">
        <v>4777</v>
      </c>
      <c r="F2825" s="117" t="s">
        <v>4777</v>
      </c>
      <c r="G2825" s="103" t="s">
        <v>406</v>
      </c>
      <c r="H2825" s="94" t="str">
        <f>IF(Proc[[#This Row],[type]]="LFF (MDG-F)",MID(Proc[[#This Row],[Obj]],13,10),"")</f>
        <v>MA50GHR018</v>
      </c>
      <c r="I2825" s="103" t="s">
        <v>4785</v>
      </c>
      <c r="J2825" s="94" t="b">
        <f>Proc[[#This Row],[Requested]]=Proc[[#This Row],[CurrentParent]]</f>
        <v>1</v>
      </c>
      <c r="K2825" s="144" t="str">
        <f>IF(Proc[[#This Row],[Author]]="Marcela Urrego",VLOOKUP(LEFT(Proc[[#This Row],[Requested]],1),Table3[#All],2,0),VLOOKUP(Proc[[#This Row],[Author]],Table4[],2,0))</f>
        <v>MGF</v>
      </c>
      <c r="L2825" s="125" t="s">
        <v>4894</v>
      </c>
      <c r="M2825" s="109">
        <v>45841.629756944443</v>
      </c>
      <c r="N2825" s="109"/>
      <c r="O2825" s="109"/>
      <c r="P2825" s="110" t="str">
        <f ca="1">IF(Proc[[#This Row],[DaysAgeing]]&gt;5,"yep","on track")</f>
        <v>yep</v>
      </c>
      <c r="Q2825" s="3">
        <f ca="1">IF(Proc[[#This Row],[DateClosed]]="",ABS(NETWORKDAYS(Proc[[#This Row],[DateOpened]],TODAY()))-1,ABS(NETWORKDAYS(Proc[[#This Row],[DateOpened]],Proc[[#This Row],[DateClosed]]))-1)</f>
        <v>121</v>
      </c>
      <c r="R2825" s="94" t="s">
        <v>515</v>
      </c>
      <c r="S2825" s="94"/>
    </row>
    <row r="2826" spans="1:19" hidden="1">
      <c r="A2826" s="103" t="s">
        <v>4765</v>
      </c>
      <c r="B2826" s="149" t="str">
        <f>IFERROR(VLOOKUP(Proc[[#This Row],[App]],Table2[],3,0),"open")</f>
        <v>ok</v>
      </c>
      <c r="C2826" s="117" t="s">
        <v>369</v>
      </c>
      <c r="D2826" t="s">
        <v>4771</v>
      </c>
      <c r="E2826" t="s">
        <v>4777</v>
      </c>
      <c r="F2826" s="117" t="s">
        <v>4777</v>
      </c>
      <c r="G2826" s="103" t="s">
        <v>406</v>
      </c>
      <c r="H2826" s="94" t="str">
        <f>IF(Proc[[#This Row],[type]]="LFF (MDG-F)",MID(Proc[[#This Row],[Obj]],13,10),"")</f>
        <v>NO50L93100</v>
      </c>
      <c r="I2826" s="103" t="s">
        <v>4785</v>
      </c>
      <c r="J2826" s="94" t="b">
        <f>Proc[[#This Row],[Requested]]=Proc[[#This Row],[CurrentParent]]</f>
        <v>1</v>
      </c>
      <c r="K2826" s="144" t="str">
        <f>IF(Proc[[#This Row],[Author]]="Marcela Urrego",VLOOKUP(LEFT(Proc[[#This Row],[Requested]],1),Table3[#All],2,0),VLOOKUP(Proc[[#This Row],[Author]],Table4[],2,0))</f>
        <v>MGF</v>
      </c>
      <c r="L2826" s="125" t="s">
        <v>4894</v>
      </c>
      <c r="M2826" s="109">
        <v>45841.629756944443</v>
      </c>
      <c r="N2826" s="109"/>
      <c r="O2826" s="109"/>
      <c r="P2826" s="110" t="str">
        <f ca="1">IF(Proc[[#This Row],[DaysAgeing]]&gt;5,"yep","on track")</f>
        <v>yep</v>
      </c>
      <c r="Q2826" s="3">
        <f ca="1">IF(Proc[[#This Row],[DateClosed]]="",ABS(NETWORKDAYS(Proc[[#This Row],[DateOpened]],TODAY()))-1,ABS(NETWORKDAYS(Proc[[#This Row],[DateOpened]],Proc[[#This Row],[DateClosed]]))-1)</f>
        <v>121</v>
      </c>
      <c r="R2826" s="94" t="s">
        <v>515</v>
      </c>
      <c r="S2826" s="94"/>
    </row>
    <row r="2827" spans="1:19" hidden="1">
      <c r="A2827" s="103" t="s">
        <v>4765</v>
      </c>
      <c r="B2827" s="149" t="str">
        <f>IFERROR(VLOOKUP(Proc[[#This Row],[App]],Table2[],3,0),"open")</f>
        <v>ok</v>
      </c>
      <c r="C2827" s="117" t="s">
        <v>369</v>
      </c>
      <c r="D2827" t="s">
        <v>4772</v>
      </c>
      <c r="E2827" t="s">
        <v>4777</v>
      </c>
      <c r="F2827" s="117" t="s">
        <v>4777</v>
      </c>
      <c r="G2827" s="103" t="s">
        <v>406</v>
      </c>
      <c r="H2827" s="94" t="str">
        <f>IF(Proc[[#This Row],[type]]="LFF (MDG-F)",MID(Proc[[#This Row],[Obj]],13,10),"")</f>
        <v>SE50L93100</v>
      </c>
      <c r="I2827" s="103" t="s">
        <v>4785</v>
      </c>
      <c r="J2827" s="94" t="b">
        <f>Proc[[#This Row],[Requested]]=Proc[[#This Row],[CurrentParent]]</f>
        <v>1</v>
      </c>
      <c r="K2827" s="144" t="str">
        <f>IF(Proc[[#This Row],[Author]]="Marcela Urrego",VLOOKUP(LEFT(Proc[[#This Row],[Requested]],1),Table3[#All],2,0),VLOOKUP(Proc[[#This Row],[Author]],Table4[],2,0))</f>
        <v>MGF</v>
      </c>
      <c r="L2827" s="125" t="s">
        <v>4894</v>
      </c>
      <c r="M2827" s="109">
        <v>45841.629756944443</v>
      </c>
      <c r="N2827" s="109"/>
      <c r="O2827" s="109"/>
      <c r="P2827" s="110" t="str">
        <f ca="1">IF(Proc[[#This Row],[DaysAgeing]]&gt;5,"yep","on track")</f>
        <v>yep</v>
      </c>
      <c r="Q2827" s="3">
        <f ca="1">IF(Proc[[#This Row],[DateClosed]]="",ABS(NETWORKDAYS(Proc[[#This Row],[DateOpened]],TODAY()))-1,ABS(NETWORKDAYS(Proc[[#This Row],[DateOpened]],Proc[[#This Row],[DateClosed]]))-1)</f>
        <v>121</v>
      </c>
      <c r="R2827" s="94" t="s">
        <v>515</v>
      </c>
      <c r="S2827" s="94"/>
    </row>
    <row r="2828" spans="1:19" hidden="1">
      <c r="A2828" s="103" t="s">
        <v>4765</v>
      </c>
      <c r="B2828" s="149" t="str">
        <f>IFERROR(VLOOKUP(Proc[[#This Row],[App]],Table2[],3,0),"open")</f>
        <v>ok</v>
      </c>
      <c r="C2828" s="117" t="s">
        <v>369</v>
      </c>
      <c r="D2828" t="s">
        <v>4773</v>
      </c>
      <c r="E2828" t="s">
        <v>4777</v>
      </c>
      <c r="F2828" s="117" t="s">
        <v>4777</v>
      </c>
      <c r="G2828" s="103" t="s">
        <v>406</v>
      </c>
      <c r="H2828" s="94" t="str">
        <f>IF(Proc[[#This Row],[type]]="LFF (MDG-F)",MID(Proc[[#This Row],[Obj]],13,10),"")</f>
        <v>TN50GHR018</v>
      </c>
      <c r="I2828" s="103" t="s">
        <v>4785</v>
      </c>
      <c r="J2828" s="94" t="b">
        <f>Proc[[#This Row],[Requested]]=Proc[[#This Row],[CurrentParent]]</f>
        <v>1</v>
      </c>
      <c r="K2828" s="144" t="str">
        <f>IF(Proc[[#This Row],[Author]]="Marcela Urrego",VLOOKUP(LEFT(Proc[[#This Row],[Requested]],1),Table3[#All],2,0),VLOOKUP(Proc[[#This Row],[Author]],Table4[],2,0))</f>
        <v>MGF</v>
      </c>
      <c r="L2828" s="125" t="s">
        <v>4894</v>
      </c>
      <c r="M2828" s="109">
        <v>45841.629756944443</v>
      </c>
      <c r="N2828" s="109"/>
      <c r="O2828" s="109"/>
      <c r="P2828" s="110" t="str">
        <f ca="1">IF(Proc[[#This Row],[DaysAgeing]]&gt;5,"yep","on track")</f>
        <v>yep</v>
      </c>
      <c r="Q2828" s="3">
        <f ca="1">IF(Proc[[#This Row],[DateClosed]]="",ABS(NETWORKDAYS(Proc[[#This Row],[DateOpened]],TODAY()))-1,ABS(NETWORKDAYS(Proc[[#This Row],[DateOpened]],Proc[[#This Row],[DateClosed]]))-1)</f>
        <v>121</v>
      </c>
      <c r="R2828" s="94" t="s">
        <v>515</v>
      </c>
      <c r="S2828" s="94"/>
    </row>
    <row r="2829" spans="1:19" hidden="1">
      <c r="A2829" s="103" t="s">
        <v>4765</v>
      </c>
      <c r="B2829" s="149" t="str">
        <f>IFERROR(VLOOKUP(Proc[[#This Row],[App]],Table2[],3,0),"open")</f>
        <v>ok</v>
      </c>
      <c r="C2829" s="117" t="s">
        <v>369</v>
      </c>
      <c r="D2829" t="s">
        <v>4774</v>
      </c>
      <c r="E2829" t="s">
        <v>4777</v>
      </c>
      <c r="F2829" s="117" t="s">
        <v>4777</v>
      </c>
      <c r="G2829" s="103" t="s">
        <v>406</v>
      </c>
      <c r="H2829" s="94" t="str">
        <f>IF(Proc[[#This Row],[type]]="LFF (MDG-F)",MID(Proc[[#This Row],[Obj]],13,10),"")</f>
        <v>TN50GHR019</v>
      </c>
      <c r="I2829" s="103" t="s">
        <v>4785</v>
      </c>
      <c r="J2829" s="94" t="b">
        <f>Proc[[#This Row],[Requested]]=Proc[[#This Row],[CurrentParent]]</f>
        <v>1</v>
      </c>
      <c r="K2829" s="144" t="str">
        <f>IF(Proc[[#This Row],[Author]]="Marcela Urrego",VLOOKUP(LEFT(Proc[[#This Row],[Requested]],1),Table3[#All],2,0),VLOOKUP(Proc[[#This Row],[Author]],Table4[],2,0))</f>
        <v>MGF</v>
      </c>
      <c r="L2829" s="125" t="s">
        <v>4894</v>
      </c>
      <c r="M2829" s="109">
        <v>45841.629756944443</v>
      </c>
      <c r="N2829" s="109"/>
      <c r="O2829" s="109"/>
      <c r="P2829" s="110" t="str">
        <f ca="1">IF(Proc[[#This Row],[DaysAgeing]]&gt;5,"yep","on track")</f>
        <v>yep</v>
      </c>
      <c r="Q2829" s="3">
        <f ca="1">IF(Proc[[#This Row],[DateClosed]]="",ABS(NETWORKDAYS(Proc[[#This Row],[DateOpened]],TODAY()))-1,ABS(NETWORKDAYS(Proc[[#This Row],[DateOpened]],Proc[[#This Row],[DateClosed]]))-1)</f>
        <v>121</v>
      </c>
      <c r="R2829" s="94" t="s">
        <v>515</v>
      </c>
      <c r="S2829" s="94"/>
    </row>
    <row r="2830" spans="1:19" hidden="1">
      <c r="A2830" s="103" t="s">
        <v>4765</v>
      </c>
      <c r="B2830" s="149" t="str">
        <f>IFERROR(VLOOKUP(Proc[[#This Row],[App]],Table2[],3,0),"open")</f>
        <v>ok</v>
      </c>
      <c r="C2830" s="117" t="s">
        <v>369</v>
      </c>
      <c r="D2830" t="s">
        <v>4775</v>
      </c>
      <c r="E2830" t="s">
        <v>4777</v>
      </c>
      <c r="F2830" s="117" t="s">
        <v>4777</v>
      </c>
      <c r="G2830" s="103" t="s">
        <v>406</v>
      </c>
      <c r="H2830" s="94" t="str">
        <f>IF(Proc[[#This Row],[type]]="LFF (MDG-F)",MID(Proc[[#This Row],[Obj]],13,10),"")</f>
        <v>TN60GHR018</v>
      </c>
      <c r="I2830" s="103" t="s">
        <v>4785</v>
      </c>
      <c r="J2830" s="94" t="b">
        <f>Proc[[#This Row],[Requested]]=Proc[[#This Row],[CurrentParent]]</f>
        <v>1</v>
      </c>
      <c r="K2830" s="144" t="str">
        <f>IF(Proc[[#This Row],[Author]]="Marcela Urrego",VLOOKUP(LEFT(Proc[[#This Row],[Requested]],1),Table3[#All],2,0),VLOOKUP(Proc[[#This Row],[Author]],Table4[],2,0))</f>
        <v>MGF</v>
      </c>
      <c r="L2830" s="125" t="s">
        <v>4894</v>
      </c>
      <c r="M2830" s="109">
        <v>45841.629756944443</v>
      </c>
      <c r="N2830" s="109"/>
      <c r="O2830" s="109"/>
      <c r="P2830" s="110" t="str">
        <f ca="1">IF(Proc[[#This Row],[DaysAgeing]]&gt;5,"yep","on track")</f>
        <v>yep</v>
      </c>
      <c r="Q2830" s="3">
        <f ca="1">IF(Proc[[#This Row],[DateClosed]]="",ABS(NETWORKDAYS(Proc[[#This Row],[DateOpened]],TODAY()))-1,ABS(NETWORKDAYS(Proc[[#This Row],[DateOpened]],Proc[[#This Row],[DateClosed]]))-1)</f>
        <v>121</v>
      </c>
      <c r="R2830" s="94" t="s">
        <v>515</v>
      </c>
      <c r="S2830" s="94"/>
    </row>
    <row r="2831" spans="1:19" hidden="1">
      <c r="A2831" s="103" t="s">
        <v>4765</v>
      </c>
      <c r="B2831" s="149" t="str">
        <f>IFERROR(VLOOKUP(Proc[[#This Row],[App]],Table2[],3,0),"open")</f>
        <v>ok</v>
      </c>
      <c r="C2831" s="117" t="s">
        <v>369</v>
      </c>
      <c r="D2831" t="s">
        <v>4800</v>
      </c>
      <c r="E2831" t="s">
        <v>4778</v>
      </c>
      <c r="F2831" s="117" t="s">
        <v>4778</v>
      </c>
      <c r="G2831" s="103" t="s">
        <v>406</v>
      </c>
      <c r="H2831" s="94" t="str">
        <f>IF(Proc[[#This Row],[type]]="LFF (MDG-F)",MID(Proc[[#This Row],[Obj]],13,10),"")</f>
        <v>KR03GHR119</v>
      </c>
      <c r="I2831" t="s">
        <v>4783</v>
      </c>
      <c r="J2831" s="94" t="b">
        <f>Proc[[#This Row],[Requested]]=Proc[[#This Row],[CurrentParent]]</f>
        <v>1</v>
      </c>
      <c r="K2831" s="144" t="str">
        <f>IF(Proc[[#This Row],[Author]]="Marcela Urrego",VLOOKUP(LEFT(Proc[[#This Row],[Requested]],1),Table3[#All],2,0),VLOOKUP(Proc[[#This Row],[Author]],Table4[],2,0))</f>
        <v>MGF</v>
      </c>
      <c r="L2831" s="125" t="s">
        <v>4894</v>
      </c>
      <c r="M2831" s="109">
        <v>45841.629756944443</v>
      </c>
      <c r="N2831" s="109"/>
      <c r="O2831" s="109"/>
      <c r="P2831" s="110" t="str">
        <f ca="1">IF(Proc[[#This Row],[DaysAgeing]]&gt;5,"yep","on track")</f>
        <v>yep</v>
      </c>
      <c r="Q2831" s="3">
        <f ca="1">IF(Proc[[#This Row],[DateClosed]]="",ABS(NETWORKDAYS(Proc[[#This Row],[DateOpened]],TODAY()))-1,ABS(NETWORKDAYS(Proc[[#This Row],[DateOpened]],Proc[[#This Row],[DateClosed]]))-1)</f>
        <v>121</v>
      </c>
      <c r="R2831" s="94" t="s">
        <v>515</v>
      </c>
      <c r="S2831" s="94"/>
    </row>
    <row r="2832" spans="1:19" hidden="1">
      <c r="A2832" s="103" t="s">
        <v>4765</v>
      </c>
      <c r="B2832" s="149" t="str">
        <f>IFERROR(VLOOKUP(Proc[[#This Row],[App]],Table2[],3,0),"open")</f>
        <v>ok</v>
      </c>
      <c r="C2832" s="117" t="s">
        <v>369</v>
      </c>
      <c r="D2832" t="s">
        <v>4776</v>
      </c>
      <c r="E2832" t="s">
        <v>4777</v>
      </c>
      <c r="F2832" s="117" t="s">
        <v>4777</v>
      </c>
      <c r="G2832" t="s">
        <v>400</v>
      </c>
      <c r="H2832" s="94" t="str">
        <f>IF(Proc[[#This Row],[type]]="LFF (MDG-F)",MID(Proc[[#This Row],[Obj]],13,10),"")</f>
        <v/>
      </c>
      <c r="J2832" s="94" t="b">
        <f>Proc[[#This Row],[Requested]]=Proc[[#This Row],[CurrentParent]]</f>
        <v>1</v>
      </c>
      <c r="K2832" s="144" t="str">
        <f>IF(Proc[[#This Row],[Author]]="Marcela Urrego",VLOOKUP(LEFT(Proc[[#This Row],[Requested]],1),Table3[#All],2,0),VLOOKUP(Proc[[#This Row],[Author]],Table4[],2,0))</f>
        <v>MGF</v>
      </c>
      <c r="L2832" s="125" t="s">
        <v>4894</v>
      </c>
      <c r="M2832" s="109">
        <v>45841.629756944443</v>
      </c>
      <c r="N2832" s="109"/>
      <c r="O2832" s="109"/>
      <c r="P2832" s="110" t="str">
        <f ca="1">IF(Proc[[#This Row],[DaysAgeing]]&gt;5,"yep","on track")</f>
        <v>yep</v>
      </c>
      <c r="Q2832" s="3">
        <f ca="1">IF(Proc[[#This Row],[DateClosed]]="",ABS(NETWORKDAYS(Proc[[#This Row],[DateOpened]],TODAY()))-1,ABS(NETWORKDAYS(Proc[[#This Row],[DateOpened]],Proc[[#This Row],[DateClosed]]))-1)</f>
        <v>121</v>
      </c>
      <c r="R2832" s="94" t="s">
        <v>515</v>
      </c>
      <c r="S2832" s="94"/>
    </row>
    <row r="2833" spans="1:19" hidden="1">
      <c r="A2833" t="s">
        <v>4782</v>
      </c>
      <c r="B2833" s="149" t="str">
        <f>IFERROR(VLOOKUP(Proc[[#This Row],[App]],Table2[],3,0),"open")</f>
        <v>ok</v>
      </c>
      <c r="C2833" s="117" t="s">
        <v>369</v>
      </c>
      <c r="D2833" t="s">
        <v>4779</v>
      </c>
      <c r="E2833" t="s">
        <v>4322</v>
      </c>
      <c r="F2833" s="120" t="s">
        <v>4322</v>
      </c>
      <c r="G2833" s="103" t="s">
        <v>406</v>
      </c>
      <c r="H2833" s="94" t="str">
        <f>IF(Proc[[#This Row],[type]]="LFF (MDG-F)",MID(Proc[[#This Row],[Obj]],13,10),"")</f>
        <v>2068TAUA01</v>
      </c>
      <c r="I2833" t="s">
        <v>4781</v>
      </c>
      <c r="J2833" s="94" t="b">
        <f>Proc[[#This Row],[Requested]]=Proc[[#This Row],[CurrentParent]]</f>
        <v>1</v>
      </c>
      <c r="K2833" s="144" t="str">
        <f>IF(Proc[[#This Row],[Author]]="Marcela Urrego",VLOOKUP(LEFT(Proc[[#This Row],[Requested]],1),Table3[#All],2,0),VLOOKUP(Proc[[#This Row],[Author]],Table4[],2,0))</f>
        <v>EL</v>
      </c>
      <c r="L2833" s="125" t="s">
        <v>4894</v>
      </c>
      <c r="M2833" s="109">
        <v>45841.910150462965</v>
      </c>
      <c r="N2833" s="109"/>
      <c r="O2833" s="109"/>
      <c r="P2833" s="110" t="str">
        <f ca="1">IF(Proc[[#This Row],[DaysAgeing]]&gt;5,"yep","on track")</f>
        <v>yep</v>
      </c>
      <c r="Q2833" s="3">
        <f ca="1">IF(Proc[[#This Row],[DateClosed]]="",ABS(NETWORKDAYS(Proc[[#This Row],[DateOpened]],TODAY()))-1,ABS(NETWORKDAYS(Proc[[#This Row],[DateOpened]],Proc[[#This Row],[DateClosed]]))-1)</f>
        <v>121</v>
      </c>
      <c r="R2833" s="110" t="s">
        <v>780</v>
      </c>
      <c r="S2833" s="94"/>
    </row>
    <row r="2834" spans="1:19" hidden="1">
      <c r="A2834" s="103" t="s">
        <v>4782</v>
      </c>
      <c r="B2834" s="149" t="str">
        <f>IFERROR(VLOOKUP(Proc[[#This Row],[App]],Table2[],3,0),"open")</f>
        <v>ok</v>
      </c>
      <c r="C2834" t="s">
        <v>369</v>
      </c>
      <c r="D2834" t="s">
        <v>4780</v>
      </c>
      <c r="E2834" t="s">
        <v>4322</v>
      </c>
      <c r="F2834" s="94" t="s">
        <v>4322</v>
      </c>
      <c r="G2834" s="103" t="s">
        <v>406</v>
      </c>
      <c r="H2834" s="94" t="str">
        <f>IF(Proc[[#This Row],[type]]="LFF (MDG-F)",MID(Proc[[#This Row],[Obj]],13,10),"")</f>
        <v>2068TAUA01</v>
      </c>
      <c r="I2834" s="103" t="s">
        <v>4781</v>
      </c>
      <c r="J2834" s="94" t="b">
        <f>Proc[[#This Row],[Requested]]=Proc[[#This Row],[CurrentParent]]</f>
        <v>1</v>
      </c>
      <c r="K2834" s="144" t="str">
        <f>IF(Proc[[#This Row],[Author]]="Marcela Urrego",VLOOKUP(LEFT(Proc[[#This Row],[Requested]],1),Table3[#All],2,0),VLOOKUP(Proc[[#This Row],[Author]],Table4[],2,0))</f>
        <v>EL</v>
      </c>
      <c r="L2834" s="125" t="s">
        <v>4894</v>
      </c>
      <c r="M2834" s="109">
        <v>45841.910150462965</v>
      </c>
      <c r="N2834" s="109"/>
      <c r="O2834" s="109"/>
      <c r="P2834" s="110" t="str">
        <f ca="1">IF(Proc[[#This Row],[DaysAgeing]]&gt;5,"yep","on track")</f>
        <v>yep</v>
      </c>
      <c r="Q2834" s="3">
        <f ca="1">IF(Proc[[#This Row],[DateClosed]]="",ABS(NETWORKDAYS(Proc[[#This Row],[DateOpened]],TODAY()))-1,ABS(NETWORKDAYS(Proc[[#This Row],[DateOpened]],Proc[[#This Row],[DateClosed]]))-1)</f>
        <v>121</v>
      </c>
      <c r="R2834" s="110" t="s">
        <v>780</v>
      </c>
      <c r="S2834" s="94"/>
    </row>
    <row r="2835" spans="1:19" hidden="1">
      <c r="A2835" t="s">
        <v>4786</v>
      </c>
      <c r="B2835" s="149" t="str">
        <f>IFERROR(VLOOKUP(Proc[[#This Row],[App]],Table2[],3,0),"open")</f>
        <v>ok</v>
      </c>
      <c r="C2835" s="117" t="s">
        <v>369</v>
      </c>
      <c r="D2835" t="s">
        <v>4807</v>
      </c>
      <c r="E2835" t="s">
        <v>4787</v>
      </c>
      <c r="F2835" s="94" t="s">
        <v>4787</v>
      </c>
      <c r="G2835" s="117" t="s">
        <v>400</v>
      </c>
      <c r="H2835" s="94" t="str">
        <f>IF(Proc[[#This Row],[type]]="LFF (MDG-F)",MID(Proc[[#This Row],[Obj]],13,10),"")</f>
        <v/>
      </c>
      <c r="I2835" s="114"/>
      <c r="J2835" s="94" t="b">
        <f>Proc[[#This Row],[Requested]]=Proc[[#This Row],[CurrentParent]]</f>
        <v>1</v>
      </c>
      <c r="K2835" s="144" t="str">
        <f>IF(Proc[[#This Row],[Author]]="Marcela Urrego",VLOOKUP(LEFT(Proc[[#This Row],[Requested]],1),Table3[#All],2,0),VLOOKUP(Proc[[#This Row],[Author]],Table4[],2,0))</f>
        <v>MGF</v>
      </c>
      <c r="L2835" s="125" t="s">
        <v>4894</v>
      </c>
      <c r="M2835" s="115">
        <v>45845.910150462965</v>
      </c>
      <c r="N2835" s="113"/>
      <c r="O2835" s="113"/>
      <c r="P2835" s="110" t="str">
        <f ca="1">IF(Proc[[#This Row],[DaysAgeing]]&gt;5,"yep","on track")</f>
        <v>yep</v>
      </c>
      <c r="Q2835" s="3">
        <f ca="1">IF(Proc[[#This Row],[DateClosed]]="",ABS(NETWORKDAYS(Proc[[#This Row],[DateOpened]],TODAY()))-1,ABS(NETWORKDAYS(Proc[[#This Row],[DateOpened]],Proc[[#This Row],[DateClosed]]))-1)</f>
        <v>119</v>
      </c>
      <c r="R2835" s="110" t="s">
        <v>1459</v>
      </c>
      <c r="S2835" s="94"/>
    </row>
    <row r="2836" spans="1:19" hidden="1">
      <c r="A2836" s="114" t="s">
        <v>4788</v>
      </c>
      <c r="B2836" s="149" t="str">
        <f>IFERROR(VLOOKUP(Proc[[#This Row],[App]],Table2[],3,0),"open")</f>
        <v>ok</v>
      </c>
      <c r="C2836" s="117" t="s">
        <v>369</v>
      </c>
      <c r="D2836" s="114" t="s">
        <v>4789</v>
      </c>
      <c r="E2836" s="114" t="s">
        <v>496</v>
      </c>
      <c r="F2836" s="94" t="s">
        <v>496</v>
      </c>
      <c r="G2836" t="s">
        <v>400</v>
      </c>
      <c r="H2836" s="94" t="str">
        <f>IF(Proc[[#This Row],[type]]="LFF (MDG-F)",MID(Proc[[#This Row],[Obj]],13,10),"")</f>
        <v/>
      </c>
      <c r="J2836" s="94" t="b">
        <f>Proc[[#This Row],[Requested]]=Proc[[#This Row],[CurrentParent]]</f>
        <v>1</v>
      </c>
      <c r="K2836" s="144" t="str">
        <f>IF(Proc[[#This Row],[Author]]="Marcela Urrego",VLOOKUP(LEFT(Proc[[#This Row],[Requested]],1),Table3[#All],2,0),VLOOKUP(Proc[[#This Row],[Author]],Table4[],2,0))</f>
        <v>LS</v>
      </c>
      <c r="L2836" s="125" t="s">
        <v>4894</v>
      </c>
      <c r="M2836" s="115">
        <v>45845.910150462965</v>
      </c>
      <c r="N2836" s="113"/>
      <c r="O2836" s="113"/>
      <c r="P2836" s="115" t="str">
        <f ca="1">IF(Proc[[#This Row],[DaysAgeing]]&gt;5,"yep","on track")</f>
        <v>yep</v>
      </c>
      <c r="Q2836" s="3">
        <f ca="1">IF(Proc[[#This Row],[DateClosed]]="",ABS(NETWORKDAYS(Proc[[#This Row],[DateOpened]],TODAY()))-1,ABS(NETWORKDAYS(Proc[[#This Row],[DateOpened]],Proc[[#This Row],[DateClosed]]))-1)</f>
        <v>119</v>
      </c>
      <c r="R2836" s="115" t="s">
        <v>489</v>
      </c>
      <c r="S2836" s="94"/>
    </row>
    <row r="2837" spans="1:19" hidden="1">
      <c r="A2837" s="114" t="s">
        <v>4788</v>
      </c>
      <c r="B2837" s="149" t="str">
        <f>IFERROR(VLOOKUP(Proc[[#This Row],[App]],Table2[],3,0),"open")</f>
        <v>ok</v>
      </c>
      <c r="C2837" s="117" t="s">
        <v>369</v>
      </c>
      <c r="D2837" s="114" t="s">
        <v>4790</v>
      </c>
      <c r="E2837" s="114" t="s">
        <v>3557</v>
      </c>
      <c r="F2837" s="94" t="s">
        <v>3557</v>
      </c>
      <c r="G2837" s="114" t="s">
        <v>400</v>
      </c>
      <c r="H2837" s="94" t="str">
        <f>IF(Proc[[#This Row],[type]]="LFF (MDG-F)",MID(Proc[[#This Row],[Obj]],13,10),"")</f>
        <v/>
      </c>
      <c r="J2837" s="94" t="b">
        <f>Proc[[#This Row],[Requested]]=Proc[[#This Row],[CurrentParent]]</f>
        <v>1</v>
      </c>
      <c r="K2837" s="144" t="str">
        <f>IF(Proc[[#This Row],[Author]]="Marcela Urrego",VLOOKUP(LEFT(Proc[[#This Row],[Requested]],1),Table3[#All],2,0),VLOOKUP(Proc[[#This Row],[Author]],Table4[],2,0))</f>
        <v>LS</v>
      </c>
      <c r="L2837" s="125" t="s">
        <v>4894</v>
      </c>
      <c r="M2837" s="115">
        <v>45845.910150462965</v>
      </c>
      <c r="N2837" s="113"/>
      <c r="O2837" s="113"/>
      <c r="P2837" s="115" t="str">
        <f ca="1">IF(Proc[[#This Row],[DaysAgeing]]&gt;5,"yep","on track")</f>
        <v>yep</v>
      </c>
      <c r="Q2837" s="3">
        <f ca="1">IF(Proc[[#This Row],[DateClosed]]="",ABS(NETWORKDAYS(Proc[[#This Row],[DateOpened]],TODAY()))-1,ABS(NETWORKDAYS(Proc[[#This Row],[DateOpened]],Proc[[#This Row],[DateClosed]]))-1)</f>
        <v>119</v>
      </c>
      <c r="R2837" s="115" t="s">
        <v>489</v>
      </c>
      <c r="S2837" s="94"/>
    </row>
    <row r="2838" spans="1:19" hidden="1">
      <c r="A2838" s="114" t="s">
        <v>4788</v>
      </c>
      <c r="B2838" s="149" t="str">
        <f>IFERROR(VLOOKUP(Proc[[#This Row],[App]],Table2[],3,0),"open")</f>
        <v>ok</v>
      </c>
      <c r="C2838" s="114" t="s">
        <v>377</v>
      </c>
      <c r="D2838" s="114" t="s">
        <v>4791</v>
      </c>
      <c r="E2838" s="114" t="s">
        <v>417</v>
      </c>
      <c r="F2838" s="94" t="s">
        <v>4804</v>
      </c>
      <c r="G2838" s="114" t="s">
        <v>400</v>
      </c>
      <c r="H2838" s="94" t="str">
        <f>IF(Proc[[#This Row],[type]]="LFF (MDG-F)",MID(Proc[[#This Row],[Obj]],13,10),"")</f>
        <v/>
      </c>
      <c r="J2838" s="94" t="b">
        <f>Proc[[#This Row],[Requested]]=Proc[[#This Row],[CurrentParent]]</f>
        <v>0</v>
      </c>
      <c r="K2838" s="144" t="str">
        <f>IF(Proc[[#This Row],[Author]]="Marcela Urrego",VLOOKUP(LEFT(Proc[[#This Row],[Requested]],1),Table3[#All],2,0),VLOOKUP(Proc[[#This Row],[Author]],Table4[],2,0))</f>
        <v>LS</v>
      </c>
      <c r="L2838" s="125" t="s">
        <v>4894</v>
      </c>
      <c r="M2838" s="115">
        <v>45845.910150462965</v>
      </c>
      <c r="N2838" s="113"/>
      <c r="O2838" s="113"/>
      <c r="P2838" s="115" t="str">
        <f ca="1">IF(Proc[[#This Row],[DaysAgeing]]&gt;5,"yep","on track")</f>
        <v>yep</v>
      </c>
      <c r="Q2838" s="3">
        <f ca="1">IF(Proc[[#This Row],[DateClosed]]="",ABS(NETWORKDAYS(Proc[[#This Row],[DateOpened]],TODAY()))-1,ABS(NETWORKDAYS(Proc[[#This Row],[DateOpened]],Proc[[#This Row],[DateClosed]]))-1)</f>
        <v>119</v>
      </c>
      <c r="R2838" s="115" t="s">
        <v>489</v>
      </c>
      <c r="S2838" s="94"/>
    </row>
    <row r="2839" spans="1:19" hidden="1">
      <c r="A2839" s="114" t="s">
        <v>4788</v>
      </c>
      <c r="B2839" s="149" t="str">
        <f>IFERROR(VLOOKUP(Proc[[#This Row],[App]],Table2[],3,0),"open")</f>
        <v>ok</v>
      </c>
      <c r="C2839" s="117" t="s">
        <v>377</v>
      </c>
      <c r="D2839" s="114" t="s">
        <v>4792</v>
      </c>
      <c r="E2839" s="114" t="s">
        <v>417</v>
      </c>
      <c r="F2839" s="94" t="s">
        <v>4804</v>
      </c>
      <c r="G2839" s="114" t="s">
        <v>400</v>
      </c>
      <c r="H2839" s="94" t="str">
        <f>IF(Proc[[#This Row],[type]]="LFF (MDG-F)",MID(Proc[[#This Row],[Obj]],13,10),"")</f>
        <v/>
      </c>
      <c r="J2839" s="94" t="b">
        <f>Proc[[#This Row],[Requested]]=Proc[[#This Row],[CurrentParent]]</f>
        <v>0</v>
      </c>
      <c r="K2839" s="144" t="str">
        <f>IF(Proc[[#This Row],[Author]]="Marcela Urrego",VLOOKUP(LEFT(Proc[[#This Row],[Requested]],1),Table3[#All],2,0),VLOOKUP(Proc[[#This Row],[Author]],Table4[],2,0))</f>
        <v>LS</v>
      </c>
      <c r="L2839" s="125" t="s">
        <v>4894</v>
      </c>
      <c r="M2839" s="115">
        <v>45845.910150462965</v>
      </c>
      <c r="N2839" s="113"/>
      <c r="O2839" s="113"/>
      <c r="P2839" s="115" t="str">
        <f ca="1">IF(Proc[[#This Row],[DaysAgeing]]&gt;5,"yep","on track")</f>
        <v>yep</v>
      </c>
      <c r="Q2839" s="3">
        <f ca="1">IF(Proc[[#This Row],[DateClosed]]="",ABS(NETWORKDAYS(Proc[[#This Row],[DateOpened]],TODAY()))-1,ABS(NETWORKDAYS(Proc[[#This Row],[DateOpened]],Proc[[#This Row],[DateClosed]]))-1)</f>
        <v>119</v>
      </c>
      <c r="R2839" s="115" t="s">
        <v>489</v>
      </c>
      <c r="S2839" s="94"/>
    </row>
    <row r="2840" spans="1:19" hidden="1">
      <c r="A2840" s="114" t="s">
        <v>4788</v>
      </c>
      <c r="B2840" s="149" t="str">
        <f>IFERROR(VLOOKUP(Proc[[#This Row],[App]],Table2[],3,0),"open")</f>
        <v>ok</v>
      </c>
      <c r="C2840" s="117" t="s">
        <v>377</v>
      </c>
      <c r="D2840" s="114" t="s">
        <v>4793</v>
      </c>
      <c r="E2840" s="114" t="s">
        <v>417</v>
      </c>
      <c r="F2840" s="94" t="s">
        <v>4805</v>
      </c>
      <c r="G2840" s="114" t="s">
        <v>400</v>
      </c>
      <c r="H2840" s="94" t="str">
        <f>IF(Proc[[#This Row],[type]]="LFF (MDG-F)",MID(Proc[[#This Row],[Obj]],13,10),"")</f>
        <v/>
      </c>
      <c r="J2840" s="94" t="b">
        <f>Proc[[#This Row],[Requested]]=Proc[[#This Row],[CurrentParent]]</f>
        <v>0</v>
      </c>
      <c r="K2840" s="144" t="str">
        <f>IF(Proc[[#This Row],[Author]]="Marcela Urrego",VLOOKUP(LEFT(Proc[[#This Row],[Requested]],1),Table3[#All],2,0),VLOOKUP(Proc[[#This Row],[Author]],Table4[],2,0))</f>
        <v>LS</v>
      </c>
      <c r="L2840" s="125" t="s">
        <v>4894</v>
      </c>
      <c r="M2840" s="115">
        <v>45845.910150462965</v>
      </c>
      <c r="N2840" s="113"/>
      <c r="O2840" s="113"/>
      <c r="P2840" s="115" t="str">
        <f ca="1">IF(Proc[[#This Row],[DaysAgeing]]&gt;5,"yep","on track")</f>
        <v>yep</v>
      </c>
      <c r="Q2840" s="3">
        <f ca="1">IF(Proc[[#This Row],[DateClosed]]="",ABS(NETWORKDAYS(Proc[[#This Row],[DateOpened]],TODAY()))-1,ABS(NETWORKDAYS(Proc[[#This Row],[DateOpened]],Proc[[#This Row],[DateClosed]]))-1)</f>
        <v>119</v>
      </c>
      <c r="R2840" s="115" t="s">
        <v>489</v>
      </c>
      <c r="S2840" s="94"/>
    </row>
    <row r="2841" spans="1:19" hidden="1">
      <c r="A2841" s="114" t="s">
        <v>4788</v>
      </c>
      <c r="B2841" s="149" t="str">
        <f>IFERROR(VLOOKUP(Proc[[#This Row],[App]],Table2[],3,0),"open")</f>
        <v>ok</v>
      </c>
      <c r="C2841" s="117" t="s">
        <v>377</v>
      </c>
      <c r="D2841" s="114" t="s">
        <v>4794</v>
      </c>
      <c r="E2841" s="114" t="s">
        <v>417</v>
      </c>
      <c r="F2841" s="94" t="s">
        <v>4806</v>
      </c>
      <c r="G2841" s="114" t="s">
        <v>400</v>
      </c>
      <c r="H2841" s="94" t="str">
        <f>IF(Proc[[#This Row],[type]]="LFF (MDG-F)",MID(Proc[[#This Row],[Obj]],13,10),"")</f>
        <v/>
      </c>
      <c r="J2841" s="94" t="b">
        <f>Proc[[#This Row],[Requested]]=Proc[[#This Row],[CurrentParent]]</f>
        <v>0</v>
      </c>
      <c r="K2841" s="144" t="str">
        <f>IF(Proc[[#This Row],[Author]]="Marcela Urrego",VLOOKUP(LEFT(Proc[[#This Row],[Requested]],1),Table3[#All],2,0),VLOOKUP(Proc[[#This Row],[Author]],Table4[],2,0))</f>
        <v>LS</v>
      </c>
      <c r="L2841" s="125" t="s">
        <v>4894</v>
      </c>
      <c r="M2841" s="115">
        <v>45845.910150462965</v>
      </c>
      <c r="N2841" s="113"/>
      <c r="O2841" s="113"/>
      <c r="P2841" s="115" t="str">
        <f ca="1">IF(Proc[[#This Row],[DaysAgeing]]&gt;5,"yep","on track")</f>
        <v>yep</v>
      </c>
      <c r="Q2841" s="3">
        <f ca="1">IF(Proc[[#This Row],[DateClosed]]="",ABS(NETWORKDAYS(Proc[[#This Row],[DateOpened]],TODAY()))-1,ABS(NETWORKDAYS(Proc[[#This Row],[DateOpened]],Proc[[#This Row],[DateClosed]]))-1)</f>
        <v>119</v>
      </c>
      <c r="R2841" s="115" t="s">
        <v>489</v>
      </c>
      <c r="S2841" s="94"/>
    </row>
    <row r="2842" spans="1:19" hidden="1">
      <c r="A2842" s="114" t="s">
        <v>4788</v>
      </c>
      <c r="B2842" s="149" t="str">
        <f>IFERROR(VLOOKUP(Proc[[#This Row],[App]],Table2[],3,0),"open")</f>
        <v>ok</v>
      </c>
      <c r="C2842" s="117" t="s">
        <v>369</v>
      </c>
      <c r="D2842" s="114" t="s">
        <v>4795</v>
      </c>
      <c r="E2842" s="114" t="s">
        <v>1144</v>
      </c>
      <c r="F2842" s="94" t="s">
        <v>1144</v>
      </c>
      <c r="G2842" s="114" t="s">
        <v>400</v>
      </c>
      <c r="H2842" s="94" t="str">
        <f>IF(Proc[[#This Row],[type]]="LFF (MDG-F)",MID(Proc[[#This Row],[Obj]],13,10),"")</f>
        <v/>
      </c>
      <c r="J2842" s="94" t="b">
        <f>Proc[[#This Row],[Requested]]=Proc[[#This Row],[CurrentParent]]</f>
        <v>1</v>
      </c>
      <c r="K2842" s="144" t="str">
        <f>IF(Proc[[#This Row],[Author]]="Marcela Urrego",VLOOKUP(LEFT(Proc[[#This Row],[Requested]],1),Table3[#All],2,0),VLOOKUP(Proc[[#This Row],[Author]],Table4[],2,0))</f>
        <v>LS</v>
      </c>
      <c r="L2842" s="125" t="s">
        <v>4894</v>
      </c>
      <c r="M2842" s="115">
        <v>45845.910150462965</v>
      </c>
      <c r="N2842" s="113"/>
      <c r="O2842" s="113"/>
      <c r="P2842" s="115" t="str">
        <f ca="1">IF(Proc[[#This Row],[DaysAgeing]]&gt;5,"yep","on track")</f>
        <v>yep</v>
      </c>
      <c r="Q2842" s="3">
        <f ca="1">IF(Proc[[#This Row],[DateClosed]]="",ABS(NETWORKDAYS(Proc[[#This Row],[DateOpened]],TODAY()))-1,ABS(NETWORKDAYS(Proc[[#This Row],[DateOpened]],Proc[[#This Row],[DateClosed]]))-1)</f>
        <v>119</v>
      </c>
      <c r="R2842" s="115" t="s">
        <v>489</v>
      </c>
      <c r="S2842" s="94"/>
    </row>
    <row r="2843" spans="1:19" hidden="1">
      <c r="A2843" t="s">
        <v>4796</v>
      </c>
      <c r="B2843" s="149" t="str">
        <f>IFERROR(VLOOKUP(Proc[[#This Row],[App]],Table2[],3,0),"open")</f>
        <v>ok</v>
      </c>
      <c r="C2843" s="114" t="s">
        <v>369</v>
      </c>
      <c r="D2843" t="s">
        <v>4801</v>
      </c>
      <c r="E2843" t="s">
        <v>4797</v>
      </c>
      <c r="F2843" s="94" t="s">
        <v>4797</v>
      </c>
      <c r="G2843" t="s">
        <v>406</v>
      </c>
      <c r="H2843" s="94" t="str">
        <f>IF(Proc[[#This Row],[type]]="LFF (MDG-F)",MID(Proc[[#This Row],[Obj]],13,10),"")</f>
        <v>1937TMCZ80</v>
      </c>
      <c r="I2843" t="s">
        <v>4802</v>
      </c>
      <c r="J2843" s="94" t="b">
        <f>Proc[[#This Row],[Requested]]=Proc[[#This Row],[CurrentParent]]</f>
        <v>1</v>
      </c>
      <c r="K2843" s="144" t="str">
        <f>IF(Proc[[#This Row],[Author]]="Marcela Urrego",VLOOKUP(LEFT(Proc[[#This Row],[Requested]],1),Table3[#All],2,0),VLOOKUP(Proc[[#This Row],[Author]],Table4[],2,0))</f>
        <v>LS</v>
      </c>
      <c r="L2843" s="125" t="s">
        <v>4894</v>
      </c>
      <c r="M2843" s="115">
        <v>45845.910150462965</v>
      </c>
      <c r="N2843" s="113"/>
      <c r="O2843" s="113"/>
      <c r="P2843" s="115" t="str">
        <f ca="1">IF(Proc[[#This Row],[DaysAgeing]]&gt;5,"yep","on track")</f>
        <v>yep</v>
      </c>
      <c r="Q2843" s="3">
        <f ca="1">IF(Proc[[#This Row],[DateClosed]]="",ABS(NETWORKDAYS(Proc[[#This Row],[DateOpened]],TODAY()))-1,ABS(NETWORKDAYS(Proc[[#This Row],[DateOpened]],Proc[[#This Row],[DateClosed]]))-1)</f>
        <v>119</v>
      </c>
      <c r="R2843" s="115" t="s">
        <v>489</v>
      </c>
      <c r="S2843" s="94"/>
    </row>
    <row r="2844" spans="1:19" hidden="1">
      <c r="A2844" t="s">
        <v>4799</v>
      </c>
      <c r="B2844" s="149" t="str">
        <f>IFERROR(VLOOKUP(Proc[[#This Row],[App]],Table2[],3,0),"open")</f>
        <v>ok</v>
      </c>
      <c r="C2844" s="117" t="s">
        <v>369</v>
      </c>
      <c r="D2844" s="116" t="s">
        <v>4798</v>
      </c>
      <c r="E2844" s="118" t="s">
        <v>413</v>
      </c>
      <c r="F2844" s="94" t="s">
        <v>413</v>
      </c>
      <c r="G2844" s="117" t="s">
        <v>400</v>
      </c>
      <c r="H2844" s="94" t="str">
        <f>IF(Proc[[#This Row],[type]]="LFF (MDG-F)",MID(Proc[[#This Row],[Obj]],13,10),"")</f>
        <v/>
      </c>
      <c r="J2844" s="94" t="b">
        <f>Proc[[#This Row],[Requested]]=Proc[[#This Row],[CurrentParent]]</f>
        <v>1</v>
      </c>
      <c r="K2844" s="144" t="str">
        <f>IF(Proc[[#This Row],[Author]]="Marcela Urrego",VLOOKUP(LEFT(Proc[[#This Row],[Requested]],1),Table3[#All],2,0),VLOOKUP(Proc[[#This Row],[Author]],Table4[],2,0))</f>
        <v>MGF</v>
      </c>
      <c r="L2844" s="125" t="s">
        <v>4894</v>
      </c>
      <c r="M2844" s="115">
        <v>45845.910150462965</v>
      </c>
      <c r="N2844" s="113"/>
      <c r="O2844" s="113"/>
      <c r="P2844" s="115" t="str">
        <f ca="1">IF(Proc[[#This Row],[DaysAgeing]]&gt;5,"yep","on track")</f>
        <v>yep</v>
      </c>
      <c r="Q2844" s="3">
        <f ca="1">IF(Proc[[#This Row],[DateClosed]]="",ABS(NETWORKDAYS(Proc[[#This Row],[DateOpened]],TODAY()))-1,ABS(NETWORKDAYS(Proc[[#This Row],[DateOpened]],Proc[[#This Row],[DateClosed]]))-1)</f>
        <v>119</v>
      </c>
      <c r="R2844" s="115" t="s">
        <v>515</v>
      </c>
      <c r="S2844" s="94"/>
    </row>
    <row r="2845" spans="1:19" hidden="1">
      <c r="A2845" t="s">
        <v>4808</v>
      </c>
      <c r="B2845" s="149" t="str">
        <f>IFERROR(VLOOKUP(Proc[[#This Row],[App]],Table2[],3,0),"open")</f>
        <v>ok</v>
      </c>
      <c r="C2845" s="117" t="s">
        <v>369</v>
      </c>
      <c r="D2845" t="s">
        <v>4809</v>
      </c>
      <c r="E2845" t="s">
        <v>417</v>
      </c>
      <c r="F2845" s="94" t="s">
        <v>417</v>
      </c>
      <c r="G2845" s="117" t="s">
        <v>400</v>
      </c>
      <c r="H2845" s="94" t="str">
        <f>IF(Proc[[#This Row],[type]]="LFF (MDG-F)",MID(Proc[[#This Row],[Obj]],13,10),"")</f>
        <v/>
      </c>
      <c r="J2845" s="94" t="b">
        <f>Proc[[#This Row],[Requested]]=Proc[[#This Row],[CurrentParent]]</f>
        <v>1</v>
      </c>
      <c r="K2845" s="144" t="str">
        <f>IF(Proc[[#This Row],[Author]]="Marcela Urrego",VLOOKUP(LEFT(Proc[[#This Row],[Requested]],1),Table3[#All],2,0),VLOOKUP(Proc[[#This Row],[Author]],Table4[],2,0))</f>
        <v>LS</v>
      </c>
      <c r="L2845" s="125" t="s">
        <v>4894</v>
      </c>
      <c r="M2845" s="115">
        <v>45846.910150462965</v>
      </c>
      <c r="N2845" s="113"/>
      <c r="O2845" s="113"/>
      <c r="P2845" s="115" t="str">
        <f ca="1">IF(Proc[[#This Row],[DaysAgeing]]&gt;5,"yep","on track")</f>
        <v>yep</v>
      </c>
      <c r="Q2845" s="3">
        <f ca="1">IF(Proc[[#This Row],[DateClosed]]="",ABS(NETWORKDAYS(Proc[[#This Row],[DateOpened]],TODAY()))-1,ABS(NETWORKDAYS(Proc[[#This Row],[DateOpened]],Proc[[#This Row],[DateClosed]]))-1)</f>
        <v>118</v>
      </c>
      <c r="R2845" s="115" t="s">
        <v>489</v>
      </c>
      <c r="S2845" s="94"/>
    </row>
    <row r="2846" spans="1:19" hidden="1">
      <c r="A2846" s="117" t="s">
        <v>4808</v>
      </c>
      <c r="B2846" s="149" t="str">
        <f>IFERROR(VLOOKUP(Proc[[#This Row],[App]],Table2[],3,0),"open")</f>
        <v>ok</v>
      </c>
      <c r="C2846" s="117" t="s">
        <v>369</v>
      </c>
      <c r="D2846" t="s">
        <v>4810</v>
      </c>
      <c r="E2846" t="s">
        <v>417</v>
      </c>
      <c r="F2846" s="94" t="s">
        <v>417</v>
      </c>
      <c r="G2846" s="117" t="s">
        <v>400</v>
      </c>
      <c r="H2846" s="94" t="str">
        <f>IF(Proc[[#This Row],[type]]="LFF (MDG-F)",MID(Proc[[#This Row],[Obj]],13,10),"")</f>
        <v/>
      </c>
      <c r="J2846" s="94" t="b">
        <f>Proc[[#This Row],[Requested]]=Proc[[#This Row],[CurrentParent]]</f>
        <v>1</v>
      </c>
      <c r="K2846" s="144" t="str">
        <f>IF(Proc[[#This Row],[Author]]="Marcela Urrego",VLOOKUP(LEFT(Proc[[#This Row],[Requested]],1),Table3[#All],2,0),VLOOKUP(Proc[[#This Row],[Author]],Table4[],2,0))</f>
        <v>LS</v>
      </c>
      <c r="L2846" s="125" t="s">
        <v>4894</v>
      </c>
      <c r="M2846" s="115">
        <v>45846.910150462965</v>
      </c>
      <c r="N2846" s="113"/>
      <c r="O2846" s="113"/>
      <c r="P2846" s="115" t="str">
        <f ca="1">IF(Proc[[#This Row],[DaysAgeing]]&gt;5,"yep","on track")</f>
        <v>yep</v>
      </c>
      <c r="Q2846" s="3">
        <f ca="1">IF(Proc[[#This Row],[DateClosed]]="",ABS(NETWORKDAYS(Proc[[#This Row],[DateOpened]],TODAY()))-1,ABS(NETWORKDAYS(Proc[[#This Row],[DateOpened]],Proc[[#This Row],[DateClosed]]))-1)</f>
        <v>118</v>
      </c>
      <c r="R2846" s="115" t="s">
        <v>489</v>
      </c>
      <c r="S2846" s="94"/>
    </row>
    <row r="2847" spans="1:19" hidden="1">
      <c r="A2847" s="117" t="s">
        <v>4808</v>
      </c>
      <c r="B2847" s="149" t="str">
        <f>IFERROR(VLOOKUP(Proc[[#This Row],[App]],Table2[],3,0),"open")</f>
        <v>ok</v>
      </c>
      <c r="C2847" s="117" t="s">
        <v>369</v>
      </c>
      <c r="D2847" t="s">
        <v>4811</v>
      </c>
      <c r="E2847" t="s">
        <v>417</v>
      </c>
      <c r="F2847" s="94" t="s">
        <v>417</v>
      </c>
      <c r="G2847" s="117" t="s">
        <v>400</v>
      </c>
      <c r="H2847" s="94" t="str">
        <f>IF(Proc[[#This Row],[type]]="LFF (MDG-F)",MID(Proc[[#This Row],[Obj]],13,10),"")</f>
        <v/>
      </c>
      <c r="J2847" s="94" t="b">
        <f>Proc[[#This Row],[Requested]]=Proc[[#This Row],[CurrentParent]]</f>
        <v>1</v>
      </c>
      <c r="K2847" s="144" t="str">
        <f>IF(Proc[[#This Row],[Author]]="Marcela Urrego",VLOOKUP(LEFT(Proc[[#This Row],[Requested]],1),Table3[#All],2,0),VLOOKUP(Proc[[#This Row],[Author]],Table4[],2,0))</f>
        <v>LS</v>
      </c>
      <c r="L2847" s="125" t="s">
        <v>4894</v>
      </c>
      <c r="M2847" s="115">
        <v>45846.910150462965</v>
      </c>
      <c r="N2847" s="113"/>
      <c r="O2847" s="113"/>
      <c r="P2847" s="115" t="str">
        <f ca="1">IF(Proc[[#This Row],[DaysAgeing]]&gt;5,"yep","on track")</f>
        <v>yep</v>
      </c>
      <c r="Q2847" s="3">
        <f ca="1">IF(Proc[[#This Row],[DateClosed]]="",ABS(NETWORKDAYS(Proc[[#This Row],[DateOpened]],TODAY()))-1,ABS(NETWORKDAYS(Proc[[#This Row],[DateOpened]],Proc[[#This Row],[DateClosed]]))-1)</f>
        <v>118</v>
      </c>
      <c r="R2847" s="115" t="s">
        <v>489</v>
      </c>
      <c r="S2847" s="94"/>
    </row>
    <row r="2848" spans="1:19" hidden="1">
      <c r="A2848" t="s">
        <v>4812</v>
      </c>
      <c r="B2848" s="149" t="str">
        <f>IFERROR(VLOOKUP(Proc[[#This Row],[App]],Table2[],3,0),"open")</f>
        <v>ok</v>
      </c>
      <c r="C2848" s="117" t="s">
        <v>369</v>
      </c>
      <c r="D2848" t="s">
        <v>4821</v>
      </c>
      <c r="E2848" s="94" t="s">
        <v>4813</v>
      </c>
      <c r="F2848" s="94" t="s">
        <v>4813</v>
      </c>
      <c r="G2848" t="s">
        <v>400</v>
      </c>
      <c r="H2848" s="94" t="str">
        <f>IF(Proc[[#This Row],[type]]="LFF (MDG-F)",MID(Proc[[#This Row],[Obj]],13,10),"")</f>
        <v/>
      </c>
      <c r="J2848" s="94" t="b">
        <f>Proc[[#This Row],[Requested]]=Proc[[#This Row],[CurrentParent]]</f>
        <v>1</v>
      </c>
      <c r="K2848" s="144" t="str">
        <f>IF(Proc[[#This Row],[Author]]="Marcela Urrego",VLOOKUP(LEFT(Proc[[#This Row],[Requested]],1),Table3[#All],2,0),VLOOKUP(Proc[[#This Row],[Author]],Table4[],2,0))</f>
        <v>LS</v>
      </c>
      <c r="L2848" s="125" t="s">
        <v>4894</v>
      </c>
      <c r="M2848" s="115">
        <v>45847.910150462965</v>
      </c>
      <c r="N2848" s="113"/>
      <c r="O2848" s="113"/>
      <c r="P2848" s="115" t="str">
        <f ca="1">IF(Proc[[#This Row],[DaysAgeing]]&gt;5,"yep","on track")</f>
        <v>yep</v>
      </c>
      <c r="Q2848" s="3">
        <f ca="1">IF(Proc[[#This Row],[DateClosed]]="",ABS(NETWORKDAYS(Proc[[#This Row],[DateOpened]],TODAY()))-1,ABS(NETWORKDAYS(Proc[[#This Row],[DateOpened]],Proc[[#This Row],[DateClosed]]))-1)</f>
        <v>117</v>
      </c>
      <c r="R2848" s="115" t="s">
        <v>4820</v>
      </c>
      <c r="S2848" s="94"/>
    </row>
    <row r="2849" spans="1:19" hidden="1">
      <c r="A2849" t="s">
        <v>4814</v>
      </c>
      <c r="B2849" s="149" t="str">
        <f>IFERROR(VLOOKUP(Proc[[#This Row],[App]],Table2[],3,0),"open")</f>
        <v>ok</v>
      </c>
      <c r="C2849" s="117" t="s">
        <v>369</v>
      </c>
      <c r="D2849" t="s">
        <v>2089</v>
      </c>
      <c r="E2849" t="s">
        <v>2092</v>
      </c>
      <c r="F2849" s="94" t="s">
        <v>2092</v>
      </c>
      <c r="G2849" s="117" t="s">
        <v>400</v>
      </c>
      <c r="H2849" s="94" t="str">
        <f>IF(Proc[[#This Row],[type]]="LFF (MDG-F)",MID(Proc[[#This Row],[Obj]],13,10),"")</f>
        <v/>
      </c>
      <c r="J2849" s="94" t="b">
        <f>Proc[[#This Row],[Requested]]=Proc[[#This Row],[CurrentParent]]</f>
        <v>1</v>
      </c>
      <c r="K2849" s="144" t="str">
        <f>IF(Proc[[#This Row],[Author]]="Marcela Urrego",VLOOKUP(LEFT(Proc[[#This Row],[Requested]],1),Table3[#All],2,0),VLOOKUP(Proc[[#This Row],[Author]],Table4[],2,0))</f>
        <v>LS</v>
      </c>
      <c r="L2849" s="125" t="s">
        <v>4894</v>
      </c>
      <c r="M2849" s="115">
        <v>45847.910150462965</v>
      </c>
      <c r="N2849" s="113"/>
      <c r="O2849" s="113"/>
      <c r="P2849" s="115" t="str">
        <f ca="1">IF(Proc[[#This Row],[DaysAgeing]]&gt;5,"yep","on track")</f>
        <v>yep</v>
      </c>
      <c r="Q2849" s="3">
        <f ca="1">IF(Proc[[#This Row],[DateClosed]]="",ABS(NETWORKDAYS(Proc[[#This Row],[DateOpened]],TODAY()))-1,ABS(NETWORKDAYS(Proc[[#This Row],[DateOpened]],Proc[[#This Row],[DateClosed]]))-1)</f>
        <v>117</v>
      </c>
      <c r="R2849" s="115" t="s">
        <v>4819</v>
      </c>
      <c r="S2849" s="94"/>
    </row>
    <row r="2850" spans="1:19" hidden="1">
      <c r="A2850" s="117" t="s">
        <v>4814</v>
      </c>
      <c r="B2850" s="149" t="str">
        <f>IFERROR(VLOOKUP(Proc[[#This Row],[App]],Table2[],3,0),"open")</f>
        <v>ok</v>
      </c>
      <c r="C2850" s="117" t="s">
        <v>369</v>
      </c>
      <c r="D2850" t="s">
        <v>2090</v>
      </c>
      <c r="E2850" t="s">
        <v>2093</v>
      </c>
      <c r="F2850" s="94" t="s">
        <v>2093</v>
      </c>
      <c r="G2850" s="117" t="s">
        <v>400</v>
      </c>
      <c r="H2850" s="94" t="str">
        <f>IF(Proc[[#This Row],[type]]="LFF (MDG-F)",MID(Proc[[#This Row],[Obj]],13,10),"")</f>
        <v/>
      </c>
      <c r="J2850" s="94" t="b">
        <f>Proc[[#This Row],[Requested]]=Proc[[#This Row],[CurrentParent]]</f>
        <v>1</v>
      </c>
      <c r="K2850" s="144" t="str">
        <f>IF(Proc[[#This Row],[Author]]="Marcela Urrego",VLOOKUP(LEFT(Proc[[#This Row],[Requested]],1),Table3[#All],2,0),VLOOKUP(Proc[[#This Row],[Author]],Table4[],2,0))</f>
        <v>LS</v>
      </c>
      <c r="L2850" s="125" t="s">
        <v>4894</v>
      </c>
      <c r="M2850" s="115">
        <v>45847.910150462965</v>
      </c>
      <c r="N2850" s="113"/>
      <c r="O2850" s="113"/>
      <c r="P2850" s="115" t="str">
        <f ca="1">IF(Proc[[#This Row],[DaysAgeing]]&gt;5,"yep","on track")</f>
        <v>yep</v>
      </c>
      <c r="Q2850" s="3">
        <f ca="1">IF(Proc[[#This Row],[DateClosed]]="",ABS(NETWORKDAYS(Proc[[#This Row],[DateOpened]],TODAY()))-1,ABS(NETWORKDAYS(Proc[[#This Row],[DateOpened]],Proc[[#This Row],[DateClosed]]))-1)</f>
        <v>117</v>
      </c>
      <c r="R2850" s="115" t="s">
        <v>4819</v>
      </c>
      <c r="S2850" s="94"/>
    </row>
    <row r="2851" spans="1:19" hidden="1">
      <c r="A2851" s="117" t="s">
        <v>4814</v>
      </c>
      <c r="B2851" s="149" t="str">
        <f>IFERROR(VLOOKUP(Proc[[#This Row],[App]],Table2[],3,0),"open")</f>
        <v>ok</v>
      </c>
      <c r="C2851" s="117" t="s">
        <v>369</v>
      </c>
      <c r="D2851" t="s">
        <v>4822</v>
      </c>
      <c r="E2851" t="s">
        <v>4815</v>
      </c>
      <c r="F2851" s="94" t="s">
        <v>4815</v>
      </c>
      <c r="G2851" s="117" t="s">
        <v>400</v>
      </c>
      <c r="H2851" s="94" t="str">
        <f>IF(Proc[[#This Row],[type]]="LFF (MDG-F)",MID(Proc[[#This Row],[Obj]],13,10),"")</f>
        <v/>
      </c>
      <c r="J2851" s="94" t="b">
        <f>Proc[[#This Row],[Requested]]=Proc[[#This Row],[CurrentParent]]</f>
        <v>1</v>
      </c>
      <c r="K2851" s="144" t="str">
        <f>IF(Proc[[#This Row],[Author]]="Marcela Urrego",VLOOKUP(LEFT(Proc[[#This Row],[Requested]],1),Table3[#All],2,0),VLOOKUP(Proc[[#This Row],[Author]],Table4[],2,0))</f>
        <v>LS</v>
      </c>
      <c r="L2851" s="125" t="s">
        <v>4894</v>
      </c>
      <c r="M2851" s="115">
        <v>45847.910150462965</v>
      </c>
      <c r="N2851" s="113"/>
      <c r="O2851" s="113"/>
      <c r="P2851" s="115" t="str">
        <f ca="1">IF(Proc[[#This Row],[DaysAgeing]]&gt;5,"yep","on track")</f>
        <v>yep</v>
      </c>
      <c r="Q2851" s="3">
        <f ca="1">IF(Proc[[#This Row],[DateClosed]]="",ABS(NETWORKDAYS(Proc[[#This Row],[DateOpened]],TODAY()))-1,ABS(NETWORKDAYS(Proc[[#This Row],[DateOpened]],Proc[[#This Row],[DateClosed]]))-1)</f>
        <v>117</v>
      </c>
      <c r="R2851" s="115" t="s">
        <v>4819</v>
      </c>
      <c r="S2851" s="94"/>
    </row>
    <row r="2852" spans="1:19" hidden="1">
      <c r="A2852" t="s">
        <v>4816</v>
      </c>
      <c r="B2852" s="149" t="str">
        <f>IFERROR(VLOOKUP(Proc[[#This Row],[App]],Table2[],3,0),"open")</f>
        <v>ok</v>
      </c>
      <c r="C2852" s="117" t="s">
        <v>369</v>
      </c>
      <c r="D2852" t="s">
        <v>4817</v>
      </c>
      <c r="E2852" t="s">
        <v>3382</v>
      </c>
      <c r="F2852" s="117" t="s">
        <v>3382</v>
      </c>
      <c r="G2852" t="s">
        <v>406</v>
      </c>
      <c r="H2852" s="94" t="str">
        <f>IF(Proc[[#This Row],[type]]="LFF (MDG-F)",MID(Proc[[#This Row],[Obj]],13,10),"")</f>
        <v>DE10538528</v>
      </c>
      <c r="J2852" s="94" t="b">
        <f>Proc[[#This Row],[Requested]]=Proc[[#This Row],[CurrentParent]]</f>
        <v>1</v>
      </c>
      <c r="K2852" s="144" t="str">
        <f>IF(Proc[[#This Row],[Author]]="Marcela Urrego",VLOOKUP(LEFT(Proc[[#This Row],[Requested]],1),Table3[#All],2,0),VLOOKUP(Proc[[#This Row],[Author]],Table4[],2,0))</f>
        <v>MGF</v>
      </c>
      <c r="L2852" s="125" t="s">
        <v>4894</v>
      </c>
      <c r="M2852" s="115">
        <v>45847.910150462965</v>
      </c>
      <c r="N2852" s="113"/>
      <c r="O2852" s="113"/>
      <c r="P2852" s="115" t="str">
        <f ca="1">IF(Proc[[#This Row],[DaysAgeing]]&gt;5,"yep","on track")</f>
        <v>yep</v>
      </c>
      <c r="Q2852" s="3">
        <f ca="1">IF(Proc[[#This Row],[DateClosed]]="",ABS(NETWORKDAYS(Proc[[#This Row],[DateOpened]],TODAY()))-1,ABS(NETWORKDAYS(Proc[[#This Row],[DateOpened]],Proc[[#This Row],[DateClosed]]))-1)</f>
        <v>117</v>
      </c>
      <c r="R2852" s="115" t="s">
        <v>481</v>
      </c>
      <c r="S2852" s="94"/>
    </row>
    <row r="2853" spans="1:19" hidden="1">
      <c r="A2853" s="117" t="s">
        <v>4816</v>
      </c>
      <c r="B2853" s="149" t="str">
        <f>IFERROR(VLOOKUP(Proc[[#This Row],[App]],Table2[],3,0),"open")</f>
        <v>ok</v>
      </c>
      <c r="C2853" s="117" t="s">
        <v>369</v>
      </c>
      <c r="D2853" t="s">
        <v>4818</v>
      </c>
      <c r="E2853" t="s">
        <v>3381</v>
      </c>
      <c r="F2853" s="117" t="s">
        <v>3381</v>
      </c>
      <c r="G2853" s="117" t="s">
        <v>406</v>
      </c>
      <c r="H2853" s="94" t="str">
        <f>IF(Proc[[#This Row],[type]]="LFF (MDG-F)",MID(Proc[[#This Row],[Obj]],13,10),"")</f>
        <v>DE20538528</v>
      </c>
      <c r="J2853" s="94" t="b">
        <f>Proc[[#This Row],[Requested]]=Proc[[#This Row],[CurrentParent]]</f>
        <v>1</v>
      </c>
      <c r="K2853" s="144" t="str">
        <f>IF(Proc[[#This Row],[Author]]="Marcela Urrego",VLOOKUP(LEFT(Proc[[#This Row],[Requested]],1),Table3[#All],2,0),VLOOKUP(Proc[[#This Row],[Author]],Table4[],2,0))</f>
        <v>MGF</v>
      </c>
      <c r="L2853" s="125" t="s">
        <v>4894</v>
      </c>
      <c r="M2853" s="115">
        <v>45847.910150462965</v>
      </c>
      <c r="N2853" s="113"/>
      <c r="O2853" s="113"/>
      <c r="P2853" s="115" t="str">
        <f ca="1">IF(Proc[[#This Row],[DaysAgeing]]&gt;5,"yep","on track")</f>
        <v>yep</v>
      </c>
      <c r="Q2853" s="3">
        <f ca="1">IF(Proc[[#This Row],[DateClosed]]="",ABS(NETWORKDAYS(Proc[[#This Row],[DateOpened]],TODAY()))-1,ABS(NETWORKDAYS(Proc[[#This Row],[DateOpened]],Proc[[#This Row],[DateClosed]]))-1)</f>
        <v>117</v>
      </c>
      <c r="R2853" s="115" t="s">
        <v>481</v>
      </c>
      <c r="S2853" s="94"/>
    </row>
    <row r="2854" spans="1:19" hidden="1">
      <c r="A2854" t="s">
        <v>4823</v>
      </c>
      <c r="B2854" s="149" t="str">
        <f>IFERROR(VLOOKUP(Proc[[#This Row],[App]],Table2[],3,0),"open")</f>
        <v>ok</v>
      </c>
      <c r="C2854" s="117" t="s">
        <v>369</v>
      </c>
      <c r="D2854" s="99" t="s">
        <v>4824</v>
      </c>
      <c r="E2854" t="s">
        <v>2338</v>
      </c>
      <c r="F2854" s="117" t="s">
        <v>2338</v>
      </c>
      <c r="G2854" s="117" t="s">
        <v>406</v>
      </c>
      <c r="H2854" s="94" t="str">
        <f>IF(Proc[[#This Row],[type]]="LFF (MDG-F)",MID(Proc[[#This Row],[Obj]],13,10),"")</f>
        <v>DE10890000</v>
      </c>
      <c r="J2854" s="94" t="b">
        <f>Proc[[#This Row],[Requested]]=Proc[[#This Row],[CurrentParent]]</f>
        <v>1</v>
      </c>
      <c r="K2854" s="144" t="str">
        <f>IF(Proc[[#This Row],[Author]]="Marcela Urrego",VLOOKUP(LEFT(Proc[[#This Row],[Requested]],1),Table3[#All],2,0),VLOOKUP(Proc[[#This Row],[Author]],Table4[],2,0))</f>
        <v>HC</v>
      </c>
      <c r="L2854" s="125" t="s">
        <v>4894</v>
      </c>
      <c r="M2854" s="115">
        <v>45848.910150462965</v>
      </c>
      <c r="N2854" s="113"/>
      <c r="O2854" s="113"/>
      <c r="P2854" s="115" t="str">
        <f ca="1">IF(Proc[[#This Row],[DaysAgeing]]&gt;5,"yep","on track")</f>
        <v>yep</v>
      </c>
      <c r="Q2854" s="3">
        <f ca="1">IF(Proc[[#This Row],[DateClosed]]="",ABS(NETWORKDAYS(Proc[[#This Row],[DateOpened]],TODAY()))-1,ABS(NETWORKDAYS(Proc[[#This Row],[DateOpened]],Proc[[#This Row],[DateClosed]]))-1)</f>
        <v>116</v>
      </c>
      <c r="R2854" s="115" t="s">
        <v>410</v>
      </c>
      <c r="S2854" s="94"/>
    </row>
    <row r="2855" spans="1:19" hidden="1">
      <c r="A2855" t="s">
        <v>4825</v>
      </c>
      <c r="B2855" s="149" t="str">
        <f>IFERROR(VLOOKUP(Proc[[#This Row],[App]],Table2[],3,0),"open")</f>
        <v>ok</v>
      </c>
      <c r="C2855" s="117" t="s">
        <v>369</v>
      </c>
      <c r="D2855" t="s">
        <v>4826</v>
      </c>
      <c r="E2855" t="s">
        <v>4827</v>
      </c>
      <c r="F2855" s="117" t="s">
        <v>4827</v>
      </c>
      <c r="G2855" s="117" t="s">
        <v>406</v>
      </c>
      <c r="H2855" s="94" t="str">
        <f>IF(Proc[[#This Row],[type]]="LFF (MDG-F)",MID(Proc[[#This Row],[Obj]],13,10),"")</f>
        <v>AE50C0LS07</v>
      </c>
      <c r="J2855" s="94" t="b">
        <f>Proc[[#This Row],[Requested]]=Proc[[#This Row],[CurrentParent]]</f>
        <v>1</v>
      </c>
      <c r="K2855" s="144" t="str">
        <f>IF(Proc[[#This Row],[Author]]="Marcela Urrego",VLOOKUP(LEFT(Proc[[#This Row],[Requested]],1),Table3[#All],2,0),VLOOKUP(Proc[[#This Row],[Author]],Table4[],2,0))</f>
        <v>LS</v>
      </c>
      <c r="L2855" s="125" t="s">
        <v>4894</v>
      </c>
      <c r="M2855" s="115">
        <v>45848.910150462965</v>
      </c>
      <c r="N2855" s="113"/>
      <c r="O2855" s="113"/>
      <c r="P2855" s="115" t="str">
        <f ca="1">IF(Proc[[#This Row],[DaysAgeing]]&gt;5,"yep","on track")</f>
        <v>yep</v>
      </c>
      <c r="Q2855" s="3">
        <f ca="1">IF(Proc[[#This Row],[DateClosed]]="",ABS(NETWORKDAYS(Proc[[#This Row],[DateOpened]],TODAY()))-1,ABS(NETWORKDAYS(Proc[[#This Row],[DateOpened]],Proc[[#This Row],[DateClosed]]))-1)</f>
        <v>116</v>
      </c>
      <c r="R2855" s="115" t="s">
        <v>4819</v>
      </c>
      <c r="S2855" s="94"/>
    </row>
    <row r="2856" spans="1:19" hidden="1">
      <c r="A2856" t="s">
        <v>4830</v>
      </c>
      <c r="B2856" s="149" t="str">
        <f>IFERROR(VLOOKUP(Proc[[#This Row],[App]],Table2[],3,0),"open")</f>
        <v>ok</v>
      </c>
      <c r="C2856" t="s">
        <v>369</v>
      </c>
      <c r="D2856" t="s">
        <v>4831</v>
      </c>
      <c r="E2856" t="s">
        <v>4829</v>
      </c>
      <c r="F2856" s="120" t="s">
        <v>4829</v>
      </c>
      <c r="G2856" s="117" t="s">
        <v>406</v>
      </c>
      <c r="H2856" s="94" t="str">
        <f>IF(Proc[[#This Row],[type]]="LFF (MDG-F)",MID(Proc[[#This Row],[Obj]],13,10),"")</f>
        <v>DE50O00001</v>
      </c>
      <c r="J2856" s="94" t="b">
        <f>Proc[[#This Row],[Requested]]=Proc[[#This Row],[CurrentParent]]</f>
        <v>1</v>
      </c>
      <c r="K2856" s="144" t="str">
        <f>IF(Proc[[#This Row],[Author]]="Marcela Urrego",VLOOKUP(LEFT(Proc[[#This Row],[Requested]],1),Table3[#All],2,0),VLOOKUP(Proc[[#This Row],[Author]],Table4[],2,0))</f>
        <v>HC</v>
      </c>
      <c r="L2856" s="125" t="s">
        <v>4894</v>
      </c>
      <c r="M2856" s="115">
        <v>45852.910150462965</v>
      </c>
      <c r="N2856" s="113"/>
      <c r="O2856" s="113"/>
      <c r="P2856" s="115" t="str">
        <f ca="1">IF(Proc[[#This Row],[DaysAgeing]]&gt;5,"yep","on track")</f>
        <v>yep</v>
      </c>
      <c r="Q2856" s="3">
        <f ca="1">IF(Proc[[#This Row],[DateClosed]]="",ABS(NETWORKDAYS(Proc[[#This Row],[DateOpened]],TODAY()))-1,ABS(NETWORKDAYS(Proc[[#This Row],[DateOpened]],Proc[[#This Row],[DateClosed]]))-1)</f>
        <v>114</v>
      </c>
      <c r="R2856" s="115" t="s">
        <v>410</v>
      </c>
      <c r="S2856" s="94"/>
    </row>
    <row r="2857" spans="1:19" hidden="1">
      <c r="A2857" t="s">
        <v>4834</v>
      </c>
      <c r="B2857" s="149" t="str">
        <f>IFERROR(VLOOKUP(Proc[[#This Row],[App]],Table2[],3,0),"open")</f>
        <v>ok</v>
      </c>
      <c r="C2857" s="121" t="s">
        <v>369</v>
      </c>
      <c r="D2857" s="119" t="s">
        <v>4839</v>
      </c>
      <c r="E2857" t="s">
        <v>4833</v>
      </c>
      <c r="F2857" s="125" t="s">
        <v>4833</v>
      </c>
      <c r="G2857" t="s">
        <v>400</v>
      </c>
      <c r="H2857" s="120" t="str">
        <f>IF(Proc[[#This Row],[type]]="LFF (MDG-F)",MID(Proc[[#This Row],[Obj]],13,10),"")</f>
        <v/>
      </c>
      <c r="J2857" s="120" t="b">
        <f>Proc[[#This Row],[Requested]]=Proc[[#This Row],[CurrentParent]]</f>
        <v>1</v>
      </c>
      <c r="K2857" s="144" t="str">
        <f>IF(Proc[[#This Row],[Author]]="Marcela Urrego",VLOOKUP(LEFT(Proc[[#This Row],[Requested]],1),Table3[#All],2,0),VLOOKUP(Proc[[#This Row],[Author]],Table4[],2,0))</f>
        <v>HC</v>
      </c>
      <c r="L2857" s="125" t="s">
        <v>4894</v>
      </c>
      <c r="M2857" s="115">
        <v>45853.910150462965</v>
      </c>
      <c r="N2857" s="113"/>
      <c r="O2857" s="113"/>
      <c r="P2857" s="115" t="str">
        <f ca="1">IF(Proc[[#This Row],[DaysAgeing]]&gt;5,"yep","on track")</f>
        <v>yep</v>
      </c>
      <c r="Q2857" s="3">
        <f ca="1">IF(Proc[[#This Row],[DateClosed]]="",ABS(NETWORKDAYS(Proc[[#This Row],[DateOpened]],TODAY()))-1,ABS(NETWORKDAYS(Proc[[#This Row],[DateOpened]],Proc[[#This Row],[DateClosed]]))-1)</f>
        <v>113</v>
      </c>
      <c r="R2857" s="115" t="s">
        <v>410</v>
      </c>
      <c r="S2857" s="120"/>
    </row>
    <row r="2858" spans="1:19" hidden="1">
      <c r="A2858" t="s">
        <v>4838</v>
      </c>
      <c r="B2858" s="149" t="str">
        <f>IFERROR(VLOOKUP(Proc[[#This Row],[App]],Table2[],3,0),"open")</f>
        <v>ok</v>
      </c>
      <c r="C2858" s="121" t="s">
        <v>369</v>
      </c>
      <c r="D2858" t="s">
        <v>4835</v>
      </c>
      <c r="E2858" t="s">
        <v>1214</v>
      </c>
      <c r="F2858" s="125" t="s">
        <v>1214</v>
      </c>
      <c r="G2858" s="119" t="s">
        <v>400</v>
      </c>
      <c r="H2858" s="120" t="str">
        <f>IF(Proc[[#This Row],[type]]="LFF (MDG-F)",MID(Proc[[#This Row],[Obj]],13,10),"")</f>
        <v/>
      </c>
      <c r="J2858" s="120" t="b">
        <f>Proc[[#This Row],[Requested]]=Proc[[#This Row],[CurrentParent]]</f>
        <v>1</v>
      </c>
      <c r="K2858" s="144" t="str">
        <f>IF(Proc[[#This Row],[Author]]="Marcela Urrego",VLOOKUP(LEFT(Proc[[#This Row],[Requested]],1),Table3[#All],2,0),VLOOKUP(Proc[[#This Row],[Author]],Table4[],2,0))</f>
        <v>EL</v>
      </c>
      <c r="L2858" s="125" t="s">
        <v>4894</v>
      </c>
      <c r="M2858" s="115">
        <v>45853.910150462965</v>
      </c>
      <c r="N2858" s="113"/>
      <c r="O2858" s="113"/>
      <c r="P2858" s="115" t="str">
        <f ca="1">IF(Proc[[#This Row],[DaysAgeing]]&gt;5,"yep","on track")</f>
        <v>yep</v>
      </c>
      <c r="Q2858" s="3">
        <f ca="1">IF(Proc[[#This Row],[DateClosed]]="",ABS(NETWORKDAYS(Proc[[#This Row],[DateOpened]],TODAY()))-1,ABS(NETWORKDAYS(Proc[[#This Row],[DateOpened]],Proc[[#This Row],[DateClosed]]))-1)</f>
        <v>113</v>
      </c>
      <c r="R2858" s="115" t="s">
        <v>780</v>
      </c>
      <c r="S2858" s="120"/>
    </row>
    <row r="2859" spans="1:19" hidden="1">
      <c r="A2859" s="119" t="s">
        <v>4838</v>
      </c>
      <c r="B2859" s="149" t="str">
        <f>IFERROR(VLOOKUP(Proc[[#This Row],[App]],Table2[],3,0),"open")</f>
        <v>ok</v>
      </c>
      <c r="C2859" s="121" t="s">
        <v>369</v>
      </c>
      <c r="D2859" t="s">
        <v>4836</v>
      </c>
      <c r="E2859" t="s">
        <v>4837</v>
      </c>
      <c r="F2859" s="125" t="s">
        <v>4837</v>
      </c>
      <c r="G2859" s="119" t="s">
        <v>400</v>
      </c>
      <c r="H2859" s="120" t="str">
        <f>IF(Proc[[#This Row],[type]]="LFF (MDG-F)",MID(Proc[[#This Row],[Obj]],13,10),"")</f>
        <v/>
      </c>
      <c r="J2859" s="120" t="b">
        <f>Proc[[#This Row],[Requested]]=Proc[[#This Row],[CurrentParent]]</f>
        <v>1</v>
      </c>
      <c r="K2859" s="144" t="str">
        <f>IF(Proc[[#This Row],[Author]]="Marcela Urrego",VLOOKUP(LEFT(Proc[[#This Row],[Requested]],1),Table3[#All],2,0),VLOOKUP(Proc[[#This Row],[Author]],Table4[],2,0))</f>
        <v>EL</v>
      </c>
      <c r="L2859" s="125" t="s">
        <v>4894</v>
      </c>
      <c r="M2859" s="115">
        <v>45853.910150462965</v>
      </c>
      <c r="N2859" s="113"/>
      <c r="O2859" s="113"/>
      <c r="P2859" s="115" t="str">
        <f ca="1">IF(Proc[[#This Row],[DaysAgeing]]&gt;5,"yep","on track")</f>
        <v>yep</v>
      </c>
      <c r="Q2859" s="3">
        <f ca="1">IF(Proc[[#This Row],[DateClosed]]="",ABS(NETWORKDAYS(Proc[[#This Row],[DateOpened]],TODAY()))-1,ABS(NETWORKDAYS(Proc[[#This Row],[DateOpened]],Proc[[#This Row],[DateClosed]]))-1)</f>
        <v>113</v>
      </c>
      <c r="R2859" s="115" t="s">
        <v>780</v>
      </c>
      <c r="S2859" s="120"/>
    </row>
    <row r="2860" spans="1:19" hidden="1">
      <c r="A2860" t="s">
        <v>4842</v>
      </c>
      <c r="B2860" s="149" t="str">
        <f>IFERROR(VLOOKUP(Proc[[#This Row],[App]],Table2[],3,0),"open")</f>
        <v>ok</v>
      </c>
      <c r="C2860" s="121" t="s">
        <v>369</v>
      </c>
      <c r="D2860" t="s">
        <v>4840</v>
      </c>
      <c r="E2860" t="s">
        <v>4841</v>
      </c>
      <c r="F2860" s="124" t="s">
        <v>4841</v>
      </c>
      <c r="G2860" t="s">
        <v>406</v>
      </c>
      <c r="H2860" s="120" t="str">
        <f>IF(Proc[[#This Row],[type]]="LFF (MDG-F)",MID(Proc[[#This Row],[Obj]],13,10),"")</f>
        <v>DE10674300</v>
      </c>
      <c r="I2860" t="s">
        <v>4843</v>
      </c>
      <c r="J2860" s="120" t="b">
        <f>Proc[[#This Row],[Requested]]=Proc[[#This Row],[CurrentParent]]</f>
        <v>1</v>
      </c>
      <c r="K2860" s="144" t="str">
        <f>IF(Proc[[#This Row],[Author]]="Marcela Urrego",VLOOKUP(LEFT(Proc[[#This Row],[Requested]],1),Table3[#All],2,0),VLOOKUP(Proc[[#This Row],[Author]],Table4[],2,0))</f>
        <v>MGF</v>
      </c>
      <c r="L2860" s="125" t="s">
        <v>4894</v>
      </c>
      <c r="M2860" s="115">
        <v>45854.910150462965</v>
      </c>
      <c r="N2860" s="113"/>
      <c r="O2860" s="113"/>
      <c r="P2860" s="115" t="str">
        <f ca="1">IF(Proc[[#This Row],[DaysAgeing]]&gt;5,"yep","on track")</f>
        <v>yep</v>
      </c>
      <c r="Q2860" s="3">
        <f ca="1">IF(Proc[[#This Row],[DateClosed]]="",ABS(NETWORKDAYS(Proc[[#This Row],[DateOpened]],TODAY()))-1,ABS(NETWORKDAYS(Proc[[#This Row],[DateOpened]],Proc[[#This Row],[DateClosed]]))-1)</f>
        <v>112</v>
      </c>
      <c r="R2860" s="115" t="s">
        <v>856</v>
      </c>
      <c r="S2860" s="120"/>
    </row>
    <row r="2861" spans="1:19" hidden="1">
      <c r="A2861" t="s">
        <v>4844</v>
      </c>
      <c r="B2861" s="149" t="str">
        <f>IFERROR(VLOOKUP(Proc[[#This Row],[App]],Table2[],3,0),"open")</f>
        <v>ok</v>
      </c>
      <c r="C2861" s="121" t="s">
        <v>369</v>
      </c>
      <c r="D2861" t="s">
        <v>4845</v>
      </c>
      <c r="E2861" t="s">
        <v>3534</v>
      </c>
      <c r="F2861" s="125" t="s">
        <v>3534</v>
      </c>
      <c r="G2861" t="s">
        <v>400</v>
      </c>
      <c r="H2861" s="120" t="str">
        <f>IF(Proc[[#This Row],[type]]="LFF (MDG-F)",MID(Proc[[#This Row],[Obj]],13,10),"")</f>
        <v/>
      </c>
      <c r="J2861" s="120" t="b">
        <f>Proc[[#This Row],[Requested]]=Proc[[#This Row],[CurrentParent]]</f>
        <v>1</v>
      </c>
      <c r="K2861" s="144" t="str">
        <f>IF(Proc[[#This Row],[Author]]="Marcela Urrego",VLOOKUP(LEFT(Proc[[#This Row],[Requested]],1),Table3[#All],2,0),VLOOKUP(Proc[[#This Row],[Author]],Table4[],2,0))</f>
        <v>MGF</v>
      </c>
      <c r="L2861" s="125" t="s">
        <v>4894</v>
      </c>
      <c r="M2861" s="115">
        <v>45854.910150462965</v>
      </c>
      <c r="N2861" s="113"/>
      <c r="O2861" s="113"/>
      <c r="P2861" s="115" t="str">
        <f ca="1">IF(Proc[[#This Row],[DaysAgeing]]&gt;5,"yep","on track")</f>
        <v>yep</v>
      </c>
      <c r="Q2861" s="3">
        <f ca="1">IF(Proc[[#This Row],[DateClosed]]="",ABS(NETWORKDAYS(Proc[[#This Row],[DateOpened]],TODAY()))-1,ABS(NETWORKDAYS(Proc[[#This Row],[DateOpened]],Proc[[#This Row],[DateClosed]]))-1)</f>
        <v>112</v>
      </c>
      <c r="R2861" s="115" t="s">
        <v>856</v>
      </c>
      <c r="S2861" s="120"/>
    </row>
    <row r="2862" spans="1:19" hidden="1">
      <c r="A2862" t="s">
        <v>4846</v>
      </c>
      <c r="B2862" s="149" t="str">
        <f>IFERROR(VLOOKUP(Proc[[#This Row],[App]],Table2[],3,0),"open")</f>
        <v>ok</v>
      </c>
      <c r="C2862" s="124" t="s">
        <v>369</v>
      </c>
      <c r="D2862" s="121" t="s">
        <v>2803</v>
      </c>
      <c r="E2862" s="121" t="s">
        <v>2811</v>
      </c>
      <c r="F2862" s="125" t="s">
        <v>2811</v>
      </c>
      <c r="G2862" s="121" t="s">
        <v>406</v>
      </c>
      <c r="H2862" s="120" t="str">
        <f>IF(Proc[[#This Row],[type]]="LFF (MDG-F)",MID(Proc[[#This Row],[Obj]],13,10),"")</f>
        <v>2102TPSZ93</v>
      </c>
      <c r="J2862" s="120" t="b">
        <f>Proc[[#This Row],[Requested]]=Proc[[#This Row],[CurrentParent]]</f>
        <v>1</v>
      </c>
      <c r="K2862" s="144" t="str">
        <f>IF(Proc[[#This Row],[Author]]="Marcela Urrego",VLOOKUP(LEFT(Proc[[#This Row],[Requested]],1),Table3[#All],2,0),VLOOKUP(Proc[[#This Row],[Author]],Table4[],2,0))</f>
        <v>LS</v>
      </c>
      <c r="L2862" s="125" t="s">
        <v>4894</v>
      </c>
      <c r="M2862" s="115">
        <v>45854.910150462965</v>
      </c>
      <c r="N2862" s="113"/>
      <c r="O2862" s="113"/>
      <c r="P2862" s="115" t="str">
        <f ca="1">IF(Proc[[#This Row],[DaysAgeing]]&gt;5,"yep","on track")</f>
        <v>yep</v>
      </c>
      <c r="Q2862" s="3">
        <f ca="1">IF(Proc[[#This Row],[DateClosed]]="",ABS(NETWORKDAYS(Proc[[#This Row],[DateOpened]],TODAY()))-1,ABS(NETWORKDAYS(Proc[[#This Row],[DateOpened]],Proc[[#This Row],[DateClosed]]))-1)</f>
        <v>112</v>
      </c>
      <c r="R2862" s="115" t="s">
        <v>489</v>
      </c>
      <c r="S2862" s="120"/>
    </row>
    <row r="2863" spans="1:19" hidden="1">
      <c r="A2863" t="s">
        <v>4848</v>
      </c>
      <c r="B2863" s="149" t="str">
        <f>IFERROR(VLOOKUP(Proc[[#This Row],[App]],Table2[],3,0),"open")</f>
        <v>ok</v>
      </c>
      <c r="C2863" s="121" t="s">
        <v>369</v>
      </c>
      <c r="D2863" t="s">
        <v>4840</v>
      </c>
      <c r="E2863" t="s">
        <v>4847</v>
      </c>
      <c r="F2863" s="124" t="s">
        <v>4847</v>
      </c>
      <c r="G2863" s="121" t="s">
        <v>406</v>
      </c>
      <c r="H2863" s="120" t="str">
        <f>IF(Proc[[#This Row],[type]]="LFF (MDG-F)",MID(Proc[[#This Row],[Obj]],13,10),"")</f>
        <v>DE10674300</v>
      </c>
      <c r="J2863" s="120" t="b">
        <f>Proc[[#This Row],[Requested]]=Proc[[#This Row],[CurrentParent]]</f>
        <v>1</v>
      </c>
      <c r="K2863" s="144" t="str">
        <f>IF(Proc[[#This Row],[Author]]="Marcela Urrego",VLOOKUP(LEFT(Proc[[#This Row],[Requested]],1),Table3[#All],2,0),VLOOKUP(Proc[[#This Row],[Author]],Table4[],2,0))</f>
        <v>LS</v>
      </c>
      <c r="L2863" s="125" t="s">
        <v>2563</v>
      </c>
      <c r="M2863" s="115">
        <v>45838.524548611109</v>
      </c>
      <c r="N2863" s="115">
        <v>45840</v>
      </c>
      <c r="O2863" s="115">
        <v>45840</v>
      </c>
      <c r="P2863" s="115" t="str">
        <f ca="1">IF(Proc[[#This Row],[DaysAgeing]]&gt;5,"yep","on track")</f>
        <v>on track</v>
      </c>
      <c r="Q2863" s="3">
        <f ca="1">IF(Proc[[#This Row],[DateClosed]]="",ABS(NETWORKDAYS(Proc[[#This Row],[DateOpened]],TODAY()))-1,ABS(NETWORKDAYS(Proc[[#This Row],[DateOpened]],Proc[[#This Row],[DateClosed]]))-1)</f>
        <v>2</v>
      </c>
      <c r="R2863" s="115" t="s">
        <v>972</v>
      </c>
      <c r="S2863" s="120"/>
    </row>
    <row r="2864" spans="1:19" hidden="1">
      <c r="A2864" t="s">
        <v>4853</v>
      </c>
      <c r="B2864" s="149" t="str">
        <f>IFERROR(VLOOKUP(Proc[[#This Row],[App]],Table2[],3,0),"open")</f>
        <v>ok</v>
      </c>
      <c r="C2864" t="s">
        <v>369</v>
      </c>
      <c r="D2864" t="s">
        <v>4849</v>
      </c>
      <c r="E2864" t="s">
        <v>4865</v>
      </c>
      <c r="F2864" s="125" t="s">
        <v>4865</v>
      </c>
      <c r="G2864" s="124" t="s">
        <v>406</v>
      </c>
      <c r="H2864" s="120" t="str">
        <f>IF(Proc[[#This Row],[type]]="LFF (MDG-F)",MID(Proc[[#This Row],[Obj]],13,10),"")</f>
        <v>ZA50GLE005</v>
      </c>
      <c r="J2864" s="120" t="b">
        <f>Proc[[#This Row],[Requested]]=Proc[[#This Row],[CurrentParent]]</f>
        <v>1</v>
      </c>
      <c r="K2864" s="144" t="str">
        <f>IF(Proc[[#This Row],[Author]]="Marcela Urrego",VLOOKUP(LEFT(Proc[[#This Row],[Requested]],1),Table3[#All],2,0),VLOOKUP(Proc[[#This Row],[Author]],Table4[],2,0))</f>
        <v>MGF</v>
      </c>
      <c r="L2864" s="125" t="s">
        <v>4894</v>
      </c>
      <c r="M2864" s="115">
        <v>45856.910150462965</v>
      </c>
      <c r="N2864" s="113"/>
      <c r="O2864" s="113"/>
      <c r="P2864" s="115" t="str">
        <f ca="1">IF(Proc[[#This Row],[DaysAgeing]]&gt;5,"yep","on track")</f>
        <v>yep</v>
      </c>
      <c r="Q2864" s="3">
        <f ca="1">IF(Proc[[#This Row],[DateClosed]]="",ABS(NETWORKDAYS(Proc[[#This Row],[DateOpened]],TODAY()))-1,ABS(NETWORKDAYS(Proc[[#This Row],[DateOpened]],Proc[[#This Row],[DateClosed]]))-1)</f>
        <v>110</v>
      </c>
      <c r="R2864" s="115" t="s">
        <v>515</v>
      </c>
      <c r="S2864" s="120"/>
    </row>
    <row r="2865" spans="1:19" hidden="1">
      <c r="A2865" s="121" t="s">
        <v>4853</v>
      </c>
      <c r="B2865" s="149" t="str">
        <f>IFERROR(VLOOKUP(Proc[[#This Row],[App]],Table2[],3,0),"open")</f>
        <v>ok</v>
      </c>
      <c r="C2865" s="124" t="s">
        <v>369</v>
      </c>
      <c r="D2865" t="s">
        <v>4850</v>
      </c>
      <c r="E2865" t="s">
        <v>4865</v>
      </c>
      <c r="F2865" s="125" t="s">
        <v>4865</v>
      </c>
      <c r="G2865" s="124" t="s">
        <v>406</v>
      </c>
      <c r="H2865" s="120" t="str">
        <f>IF(Proc[[#This Row],[type]]="LFF (MDG-F)",MID(Proc[[#This Row],[Obj]],13,10),"")</f>
        <v>ZA50GLE006</v>
      </c>
      <c r="J2865" s="120" t="b">
        <f>Proc[[#This Row],[Requested]]=Proc[[#This Row],[CurrentParent]]</f>
        <v>1</v>
      </c>
      <c r="K2865" s="144" t="str">
        <f>IF(Proc[[#This Row],[Author]]="Marcela Urrego",VLOOKUP(LEFT(Proc[[#This Row],[Requested]],1),Table3[#All],2,0),VLOOKUP(Proc[[#This Row],[Author]],Table4[],2,0))</f>
        <v>MGF</v>
      </c>
      <c r="L2865" s="125" t="s">
        <v>4894</v>
      </c>
      <c r="M2865" s="115">
        <v>45856.910150462965</v>
      </c>
      <c r="N2865" s="113"/>
      <c r="O2865" s="113"/>
      <c r="P2865" s="115" t="str">
        <f ca="1">IF(Proc[[#This Row],[DaysAgeing]]&gt;5,"yep","on track")</f>
        <v>yep</v>
      </c>
      <c r="Q2865" s="3">
        <f ca="1">IF(Proc[[#This Row],[DateClosed]]="",ABS(NETWORKDAYS(Proc[[#This Row],[DateOpened]],TODAY()))-1,ABS(NETWORKDAYS(Proc[[#This Row],[DateOpened]],Proc[[#This Row],[DateClosed]]))-1)</f>
        <v>110</v>
      </c>
      <c r="R2865" s="115" t="s">
        <v>515</v>
      </c>
      <c r="S2865" s="120"/>
    </row>
    <row r="2866" spans="1:19" hidden="1">
      <c r="A2866" s="121" t="s">
        <v>4853</v>
      </c>
      <c r="B2866" s="149" t="str">
        <f>IFERROR(VLOOKUP(Proc[[#This Row],[App]],Table2[],3,0),"open")</f>
        <v>ok</v>
      </c>
      <c r="C2866" s="121" t="s">
        <v>369</v>
      </c>
      <c r="D2866" t="s">
        <v>4851</v>
      </c>
      <c r="E2866" t="s">
        <v>4864</v>
      </c>
      <c r="F2866" s="124" t="s">
        <v>4864</v>
      </c>
      <c r="G2866" t="s">
        <v>400</v>
      </c>
      <c r="H2866" s="120" t="str">
        <f>IF(Proc[[#This Row],[type]]="LFF (MDG-F)",MID(Proc[[#This Row],[Obj]],13,10),"")</f>
        <v/>
      </c>
      <c r="J2866" s="120" t="b">
        <f>Proc[[#This Row],[Requested]]=Proc[[#This Row],[CurrentParent]]</f>
        <v>1</v>
      </c>
      <c r="K2866" s="144" t="str">
        <f>IF(Proc[[#This Row],[Author]]="Marcela Urrego",VLOOKUP(LEFT(Proc[[#This Row],[Requested]],1),Table3[#All],2,0),VLOOKUP(Proc[[#This Row],[Author]],Table4[],2,0))</f>
        <v>MGF</v>
      </c>
      <c r="L2866" s="125" t="s">
        <v>4894</v>
      </c>
      <c r="M2866" s="115">
        <v>45856.910150462965</v>
      </c>
      <c r="N2866" s="113"/>
      <c r="O2866" s="113"/>
      <c r="P2866" s="115" t="str">
        <f ca="1">IF(Proc[[#This Row],[DaysAgeing]]&gt;5,"yep","on track")</f>
        <v>yep</v>
      </c>
      <c r="Q2866" s="3">
        <f ca="1">IF(Proc[[#This Row],[DateClosed]]="",ABS(NETWORKDAYS(Proc[[#This Row],[DateOpened]],TODAY()))-1,ABS(NETWORKDAYS(Proc[[#This Row],[DateOpened]],Proc[[#This Row],[DateClosed]]))-1)</f>
        <v>110</v>
      </c>
      <c r="R2866" s="115" t="s">
        <v>515</v>
      </c>
      <c r="S2866" s="120"/>
    </row>
    <row r="2867" spans="1:19" hidden="1">
      <c r="A2867" s="121" t="s">
        <v>4853</v>
      </c>
      <c r="B2867" s="149" t="str">
        <f>IFERROR(VLOOKUP(Proc[[#This Row],[App]],Table2[],3,0),"open")</f>
        <v>ok</v>
      </c>
      <c r="C2867" s="124" t="s">
        <v>369</v>
      </c>
      <c r="D2867" t="s">
        <v>4852</v>
      </c>
      <c r="E2867" t="s">
        <v>4864</v>
      </c>
      <c r="F2867" s="124" t="s">
        <v>4864</v>
      </c>
      <c r="G2867" s="124" t="s">
        <v>400</v>
      </c>
      <c r="H2867" s="120" t="str">
        <f>IF(Proc[[#This Row],[type]]="LFF (MDG-F)",MID(Proc[[#This Row],[Obj]],13,10),"")</f>
        <v/>
      </c>
      <c r="J2867" s="120" t="b">
        <f>Proc[[#This Row],[Requested]]=Proc[[#This Row],[CurrentParent]]</f>
        <v>1</v>
      </c>
      <c r="K2867" s="144" t="str">
        <f>IF(Proc[[#This Row],[Author]]="Marcela Urrego",VLOOKUP(LEFT(Proc[[#This Row],[Requested]],1),Table3[#All],2,0),VLOOKUP(Proc[[#This Row],[Author]],Table4[],2,0))</f>
        <v>MGF</v>
      </c>
      <c r="L2867" s="125" t="s">
        <v>4894</v>
      </c>
      <c r="M2867" s="115">
        <v>45856.910150462965</v>
      </c>
      <c r="N2867" s="113"/>
      <c r="O2867" s="113"/>
      <c r="P2867" s="115" t="str">
        <f ca="1">IF(Proc[[#This Row],[DaysAgeing]]&gt;5,"yep","on track")</f>
        <v>yep</v>
      </c>
      <c r="Q2867" s="3">
        <f ca="1">IF(Proc[[#This Row],[DateClosed]]="",ABS(NETWORKDAYS(Proc[[#This Row],[DateOpened]],TODAY()))-1,ABS(NETWORKDAYS(Proc[[#This Row],[DateOpened]],Proc[[#This Row],[DateClosed]]))-1)</f>
        <v>110</v>
      </c>
      <c r="R2867" s="115" t="s">
        <v>515</v>
      </c>
      <c r="S2867" s="120"/>
    </row>
    <row r="2868" spans="1:19" hidden="1">
      <c r="A2868" t="s">
        <v>4854</v>
      </c>
      <c r="B2868" s="149" t="str">
        <f>IFERROR(VLOOKUP(Proc[[#This Row],[App]],Table2[],3,0),"open")</f>
        <v>ok</v>
      </c>
      <c r="C2868" s="124" t="s">
        <v>369</v>
      </c>
      <c r="D2868" t="s">
        <v>4861</v>
      </c>
      <c r="E2868" t="s">
        <v>4855</v>
      </c>
      <c r="F2868" s="124" t="s">
        <v>4855</v>
      </c>
      <c r="G2868" s="124" t="s">
        <v>400</v>
      </c>
      <c r="H2868" s="120" t="str">
        <f>IF(Proc[[#This Row],[type]]="LFF (MDG-F)",MID(Proc[[#This Row],[Obj]],13,10),"")</f>
        <v/>
      </c>
      <c r="J2868" s="120" t="b">
        <f>Proc[[#This Row],[Requested]]=Proc[[#This Row],[CurrentParent]]</f>
        <v>1</v>
      </c>
      <c r="K2868" s="144" t="str">
        <f>IF(Proc[[#This Row],[Author]]="Marcela Urrego",VLOOKUP(LEFT(Proc[[#This Row],[Requested]],1),Table3[#All],2,0),VLOOKUP(Proc[[#This Row],[Author]],Table4[],2,0))</f>
        <v>HC</v>
      </c>
      <c r="L2868" s="125" t="s">
        <v>4894</v>
      </c>
      <c r="M2868" s="115">
        <v>45856.910150462965</v>
      </c>
      <c r="N2868" s="113"/>
      <c r="O2868" s="113"/>
      <c r="P2868" s="115" t="str">
        <f ca="1">IF(Proc[[#This Row],[DaysAgeing]]&gt;5,"yep","on track")</f>
        <v>yep</v>
      </c>
      <c r="Q2868" s="3">
        <f ca="1">IF(Proc[[#This Row],[DateClosed]]="",ABS(NETWORKDAYS(Proc[[#This Row],[DateOpened]],TODAY()))-1,ABS(NETWORKDAYS(Proc[[#This Row],[DateOpened]],Proc[[#This Row],[DateClosed]]))-1)</f>
        <v>110</v>
      </c>
      <c r="R2868" s="115" t="s">
        <v>415</v>
      </c>
      <c r="S2868" s="120"/>
    </row>
    <row r="2869" spans="1:19" hidden="1">
      <c r="A2869" t="s">
        <v>4857</v>
      </c>
      <c r="B2869" s="149" t="str">
        <f>IFERROR(VLOOKUP(Proc[[#This Row],[App]],Table2[],3,0),"open")</f>
        <v>ok</v>
      </c>
      <c r="C2869" s="124" t="s">
        <v>369</v>
      </c>
      <c r="D2869" s="122" t="s">
        <v>4332</v>
      </c>
      <c r="E2869" s="125" t="s">
        <v>4856</v>
      </c>
      <c r="F2869" s="124" t="s">
        <v>4856</v>
      </c>
      <c r="G2869" s="124" t="s">
        <v>400</v>
      </c>
      <c r="H2869" s="123" t="str">
        <f>IF(Proc[[#This Row],[type]]="LFF (MDG-F)",MID(Proc[[#This Row],[Obj]],13,10),"")</f>
        <v/>
      </c>
      <c r="J2869" s="123" t="b">
        <f>Proc[[#This Row],[Requested]]=Proc[[#This Row],[CurrentParent]]</f>
        <v>1</v>
      </c>
      <c r="K2869" s="144" t="str">
        <f>IF(Proc[[#This Row],[Author]]="Marcela Urrego",VLOOKUP(LEFT(Proc[[#This Row],[Requested]],1),Table3[#All],2,0),VLOOKUP(Proc[[#This Row],[Author]],Table4[],2,0))</f>
        <v>HC</v>
      </c>
      <c r="L2869" s="125" t="s">
        <v>4894</v>
      </c>
      <c r="M2869" s="115">
        <v>45856.910150462965</v>
      </c>
      <c r="N2869" s="113"/>
      <c r="O2869" s="113"/>
      <c r="P2869" s="115" t="str">
        <f ca="1">IF(Proc[[#This Row],[DaysAgeing]]&gt;5,"yep","on track")</f>
        <v>yep</v>
      </c>
      <c r="Q2869" s="3">
        <f ca="1">IF(Proc[[#This Row],[DateClosed]]="",ABS(NETWORKDAYS(Proc[[#This Row],[DateOpened]],TODAY()))-1,ABS(NETWORKDAYS(Proc[[#This Row],[DateOpened]],Proc[[#This Row],[DateClosed]]))-1)</f>
        <v>110</v>
      </c>
      <c r="R2869" s="115" t="s">
        <v>410</v>
      </c>
      <c r="S2869" s="123"/>
    </row>
    <row r="2870" spans="1:19" hidden="1">
      <c r="A2870" t="s">
        <v>4858</v>
      </c>
      <c r="B2870" s="149" t="str">
        <f>IFERROR(VLOOKUP(Proc[[#This Row],[App]],Table2[],3,0),"open")</f>
        <v>ok</v>
      </c>
      <c r="C2870" s="124" t="s">
        <v>369</v>
      </c>
      <c r="D2870" t="s">
        <v>4859</v>
      </c>
      <c r="E2870" t="s">
        <v>4860</v>
      </c>
      <c r="F2870" s="124" t="s">
        <v>4860</v>
      </c>
      <c r="G2870" s="124" t="s">
        <v>400</v>
      </c>
      <c r="H2870" s="125" t="str">
        <f>IF(Proc[[#This Row],[type]]="LFF (MDG-F)",MID(Proc[[#This Row],[Obj]],13,10),"")</f>
        <v/>
      </c>
      <c r="J2870" s="125" t="b">
        <f>Proc[[#This Row],[Requested]]=Proc[[#This Row],[CurrentParent]]</f>
        <v>1</v>
      </c>
      <c r="K2870" s="144" t="str">
        <f>IF(Proc[[#This Row],[Author]]="Marcela Urrego",VLOOKUP(LEFT(Proc[[#This Row],[Requested]],1),Table3[#All],2,0),VLOOKUP(Proc[[#This Row],[Author]],Table4[],2,0))</f>
        <v>MGF</v>
      </c>
      <c r="L2870" s="125" t="s">
        <v>4894</v>
      </c>
      <c r="M2870" s="115">
        <v>45856.910150462965</v>
      </c>
      <c r="N2870" s="113"/>
      <c r="O2870" s="113"/>
      <c r="P2870" s="115" t="str">
        <f ca="1">IF(Proc[[#This Row],[DaysAgeing]]&gt;5,"yep","on track")</f>
        <v>yep</v>
      </c>
      <c r="Q2870" s="3">
        <f ca="1">IF(Proc[[#This Row],[DateClosed]]="",ABS(NETWORKDAYS(Proc[[#This Row],[DateOpened]],TODAY()))-1,ABS(NETWORKDAYS(Proc[[#This Row],[DateOpened]],Proc[[#This Row],[DateClosed]]))-1)</f>
        <v>110</v>
      </c>
      <c r="R2870" s="115" t="s">
        <v>856</v>
      </c>
      <c r="S2870" s="125"/>
    </row>
    <row r="2871" spans="1:19" hidden="1">
      <c r="A2871" t="s">
        <v>4862</v>
      </c>
      <c r="B2871" s="149" t="str">
        <f>IFERROR(VLOOKUP(Proc[[#This Row],[App]],Table2[],3,0),"open")</f>
        <v>ok</v>
      </c>
      <c r="C2871" s="124" t="s">
        <v>369</v>
      </c>
      <c r="D2871" t="s">
        <v>4863</v>
      </c>
      <c r="E2871" t="s">
        <v>2174</v>
      </c>
      <c r="F2871" s="125" t="s">
        <v>2174</v>
      </c>
      <c r="G2871" t="s">
        <v>400</v>
      </c>
      <c r="H2871" s="125" t="str">
        <f>IF(Proc[[#This Row],[type]]="LFF (MDG-F)",MID(Proc[[#This Row],[Obj]],13,10),"")</f>
        <v/>
      </c>
      <c r="J2871" s="125" t="b">
        <f>Proc[[#This Row],[Requested]]=Proc[[#This Row],[CurrentParent]]</f>
        <v>1</v>
      </c>
      <c r="K2871" s="144" t="str">
        <f>IF(Proc[[#This Row],[Author]]="Marcela Urrego",VLOOKUP(LEFT(Proc[[#This Row],[Requested]],1),Table3[#All],2,0),VLOOKUP(Proc[[#This Row],[Author]],Table4[],2,0))</f>
        <v>HC</v>
      </c>
      <c r="L2871" s="125" t="s">
        <v>4894</v>
      </c>
      <c r="M2871" s="115">
        <v>45861.910150462965</v>
      </c>
      <c r="N2871" s="113"/>
      <c r="O2871" s="113"/>
      <c r="P2871" s="115" t="str">
        <f ca="1">IF(Proc[[#This Row],[DaysAgeing]]&gt;5,"yep","on track")</f>
        <v>yep</v>
      </c>
      <c r="Q2871" s="3">
        <f ca="1">IF(Proc[[#This Row],[DateClosed]]="",ABS(NETWORKDAYS(Proc[[#This Row],[DateOpened]],TODAY()))-1,ABS(NETWORKDAYS(Proc[[#This Row],[DateOpened]],Proc[[#This Row],[DateClosed]]))-1)</f>
        <v>107</v>
      </c>
      <c r="R2871" s="115" t="s">
        <v>415</v>
      </c>
      <c r="S2871" s="125"/>
    </row>
    <row r="2872" spans="1:19" hidden="1">
      <c r="A2872" t="s">
        <v>4866</v>
      </c>
      <c r="B2872" s="149" t="str">
        <f>IFERROR(VLOOKUP(Proc[[#This Row],[App]],Table2[],3,0),"open")</f>
        <v>ok</v>
      </c>
      <c r="C2872" s="124" t="s">
        <v>369</v>
      </c>
      <c r="D2872" t="s">
        <v>4867</v>
      </c>
      <c r="E2872" s="124" t="s">
        <v>4899</v>
      </c>
      <c r="F2872" s="125" t="s">
        <v>4899</v>
      </c>
      <c r="G2872" t="s">
        <v>406</v>
      </c>
      <c r="H2872" s="125" t="str">
        <f>IF(Proc[[#This Row],[type]]="LFF (MDG-F)",MID(Proc[[#This Row],[Obj]],13,10),"")</f>
        <v>DE73GPS030</v>
      </c>
      <c r="J2872" s="125" t="b">
        <f>Proc[[#This Row],[Requested]]=Proc[[#This Row],[CurrentParent]]</f>
        <v>1</v>
      </c>
      <c r="K2872" s="144" t="str">
        <f>IF(Proc[[#This Row],[Author]]="Marcela Urrego",VLOOKUP(LEFT(Proc[[#This Row],[Requested]],1),Table3[#All],2,0),VLOOKUP(Proc[[#This Row],[Author]],Table4[],2,0))</f>
        <v>MGF</v>
      </c>
      <c r="L2872" s="125" t="s">
        <v>4894</v>
      </c>
      <c r="M2872" s="115">
        <v>45861.910150462965</v>
      </c>
      <c r="N2872" s="113"/>
      <c r="O2872" s="113"/>
      <c r="P2872" s="115" t="str">
        <f ca="1">IF(Proc[[#This Row],[DaysAgeing]]&gt;5,"yep","on track")</f>
        <v>yep</v>
      </c>
      <c r="Q2872" s="3">
        <f ca="1">IF(Proc[[#This Row],[DateClosed]]="",ABS(NETWORKDAYS(Proc[[#This Row],[DateOpened]],TODAY()))-1,ABS(NETWORKDAYS(Proc[[#This Row],[DateOpened]],Proc[[#This Row],[DateClosed]]))-1)</f>
        <v>107</v>
      </c>
      <c r="R2872" s="115" t="s">
        <v>515</v>
      </c>
      <c r="S2872" s="125"/>
    </row>
    <row r="2873" spans="1:19" hidden="1">
      <c r="A2873" s="124" t="s">
        <v>4866</v>
      </c>
      <c r="B2873" s="149" t="str">
        <f>IFERROR(VLOOKUP(Proc[[#This Row],[App]],Table2[],3,0),"open")</f>
        <v>ok</v>
      </c>
      <c r="C2873" s="124" t="s">
        <v>369</v>
      </c>
      <c r="D2873" t="s">
        <v>4868</v>
      </c>
      <c r="E2873" s="124" t="s">
        <v>4899</v>
      </c>
      <c r="F2873" s="125" t="s">
        <v>4899</v>
      </c>
      <c r="G2873" s="124" t="s">
        <v>406</v>
      </c>
      <c r="H2873" s="125" t="str">
        <f>IF(Proc[[#This Row],[type]]="LFF (MDG-F)",MID(Proc[[#This Row],[Obj]],13,10),"")</f>
        <v>DE73GPS031</v>
      </c>
      <c r="J2873" s="125" t="b">
        <f>Proc[[#This Row],[Requested]]=Proc[[#This Row],[CurrentParent]]</f>
        <v>1</v>
      </c>
      <c r="K2873" s="144" t="str">
        <f>IF(Proc[[#This Row],[Author]]="Marcela Urrego",VLOOKUP(LEFT(Proc[[#This Row],[Requested]],1),Table3[#All],2,0),VLOOKUP(Proc[[#This Row],[Author]],Table4[],2,0))</f>
        <v>MGF</v>
      </c>
      <c r="L2873" s="125" t="s">
        <v>4894</v>
      </c>
      <c r="M2873" s="115">
        <v>45861.910150462965</v>
      </c>
      <c r="N2873" s="113"/>
      <c r="O2873" s="113"/>
      <c r="P2873" s="115" t="str">
        <f ca="1">IF(Proc[[#This Row],[DaysAgeing]]&gt;5,"yep","on track")</f>
        <v>yep</v>
      </c>
      <c r="Q2873" s="3">
        <f ca="1">IF(Proc[[#This Row],[DateClosed]]="",ABS(NETWORKDAYS(Proc[[#This Row],[DateOpened]],TODAY()))-1,ABS(NETWORKDAYS(Proc[[#This Row],[DateOpened]],Proc[[#This Row],[DateClosed]]))-1)</f>
        <v>107</v>
      </c>
      <c r="R2873" s="115" t="s">
        <v>515</v>
      </c>
      <c r="S2873" s="125"/>
    </row>
    <row r="2874" spans="1:19" hidden="1">
      <c r="A2874" s="124" t="s">
        <v>4866</v>
      </c>
      <c r="B2874" s="149" t="str">
        <f>IFERROR(VLOOKUP(Proc[[#This Row],[App]],Table2[],3,0),"open")</f>
        <v>ok</v>
      </c>
      <c r="C2874" s="124" t="s">
        <v>369</v>
      </c>
      <c r="D2874" t="s">
        <v>4869</v>
      </c>
      <c r="E2874" s="124" t="s">
        <v>4899</v>
      </c>
      <c r="F2874" s="125" t="s">
        <v>4899</v>
      </c>
      <c r="G2874" s="124" t="s">
        <v>406</v>
      </c>
      <c r="H2874" s="125" t="str">
        <f>IF(Proc[[#This Row],[type]]="LFF (MDG-F)",MID(Proc[[#This Row],[Obj]],13,10),"")</f>
        <v>DE73GPS032</v>
      </c>
      <c r="J2874" s="125" t="b">
        <f>Proc[[#This Row],[Requested]]=Proc[[#This Row],[CurrentParent]]</f>
        <v>1</v>
      </c>
      <c r="K2874" s="144" t="str">
        <f>IF(Proc[[#This Row],[Author]]="Marcela Urrego",VLOOKUP(LEFT(Proc[[#This Row],[Requested]],1),Table3[#All],2,0),VLOOKUP(Proc[[#This Row],[Author]],Table4[],2,0))</f>
        <v>MGF</v>
      </c>
      <c r="L2874" s="125" t="s">
        <v>4894</v>
      </c>
      <c r="M2874" s="115">
        <v>45861.910150462965</v>
      </c>
      <c r="N2874" s="113"/>
      <c r="O2874" s="113"/>
      <c r="P2874" s="115" t="str">
        <f ca="1">IF(Proc[[#This Row],[DaysAgeing]]&gt;5,"yep","on track")</f>
        <v>yep</v>
      </c>
      <c r="Q2874" s="3">
        <f ca="1">IF(Proc[[#This Row],[DateClosed]]="",ABS(NETWORKDAYS(Proc[[#This Row],[DateOpened]],TODAY()))-1,ABS(NETWORKDAYS(Proc[[#This Row],[DateOpened]],Proc[[#This Row],[DateClosed]]))-1)</f>
        <v>107</v>
      </c>
      <c r="R2874" s="115" t="s">
        <v>515</v>
      </c>
      <c r="S2874" s="125"/>
    </row>
    <row r="2875" spans="1:19" hidden="1">
      <c r="A2875" s="124" t="s">
        <v>4866</v>
      </c>
      <c r="B2875" s="149" t="str">
        <f>IFERROR(VLOOKUP(Proc[[#This Row],[App]],Table2[],3,0),"open")</f>
        <v>ok</v>
      </c>
      <c r="C2875" s="124" t="s">
        <v>369</v>
      </c>
      <c r="D2875" t="s">
        <v>4870</v>
      </c>
      <c r="E2875" s="124" t="s">
        <v>4899</v>
      </c>
      <c r="F2875" s="125" t="s">
        <v>4899</v>
      </c>
      <c r="G2875" s="124" t="s">
        <v>406</v>
      </c>
      <c r="H2875" s="125" t="str">
        <f>IF(Proc[[#This Row],[type]]="LFF (MDG-F)",MID(Proc[[#This Row],[Obj]],13,10),"")</f>
        <v>DE73GPS033</v>
      </c>
      <c r="J2875" s="125" t="b">
        <f>Proc[[#This Row],[Requested]]=Proc[[#This Row],[CurrentParent]]</f>
        <v>1</v>
      </c>
      <c r="K2875" s="144" t="str">
        <f>IF(Proc[[#This Row],[Author]]="Marcela Urrego",VLOOKUP(LEFT(Proc[[#This Row],[Requested]],1),Table3[#All],2,0),VLOOKUP(Proc[[#This Row],[Author]],Table4[],2,0))</f>
        <v>MGF</v>
      </c>
      <c r="L2875" s="125" t="s">
        <v>4894</v>
      </c>
      <c r="M2875" s="115">
        <v>45861.910150462965</v>
      </c>
      <c r="N2875" s="113"/>
      <c r="O2875" s="113"/>
      <c r="P2875" s="115" t="str">
        <f ca="1">IF(Proc[[#This Row],[DaysAgeing]]&gt;5,"yep","on track")</f>
        <v>yep</v>
      </c>
      <c r="Q2875" s="3">
        <f ca="1">IF(Proc[[#This Row],[DateClosed]]="",ABS(NETWORKDAYS(Proc[[#This Row],[DateOpened]],TODAY()))-1,ABS(NETWORKDAYS(Proc[[#This Row],[DateOpened]],Proc[[#This Row],[DateClosed]]))-1)</f>
        <v>107</v>
      </c>
      <c r="R2875" s="115" t="s">
        <v>515</v>
      </c>
      <c r="S2875" s="125"/>
    </row>
    <row r="2876" spans="1:19" hidden="1">
      <c r="A2876" s="124" t="s">
        <v>4866</v>
      </c>
      <c r="B2876" s="149" t="str">
        <f>IFERROR(VLOOKUP(Proc[[#This Row],[App]],Table2[],3,0),"open")</f>
        <v>ok</v>
      </c>
      <c r="C2876" s="124" t="s">
        <v>369</v>
      </c>
      <c r="D2876" t="s">
        <v>4871</v>
      </c>
      <c r="E2876" s="124" t="s">
        <v>4899</v>
      </c>
      <c r="F2876" s="125" t="s">
        <v>4899</v>
      </c>
      <c r="G2876" s="124" t="s">
        <v>406</v>
      </c>
      <c r="H2876" s="125" t="str">
        <f>IF(Proc[[#This Row],[type]]="LFF (MDG-F)",MID(Proc[[#This Row],[Obj]],13,10),"")</f>
        <v>DE73GPS034</v>
      </c>
      <c r="J2876" s="125" t="b">
        <f>Proc[[#This Row],[Requested]]=Proc[[#This Row],[CurrentParent]]</f>
        <v>1</v>
      </c>
      <c r="K2876" s="144" t="str">
        <f>IF(Proc[[#This Row],[Author]]="Marcela Urrego",VLOOKUP(LEFT(Proc[[#This Row],[Requested]],1),Table3[#All],2,0),VLOOKUP(Proc[[#This Row],[Author]],Table4[],2,0))</f>
        <v>MGF</v>
      </c>
      <c r="L2876" s="125" t="s">
        <v>4894</v>
      </c>
      <c r="M2876" s="115">
        <v>45861.910150462965</v>
      </c>
      <c r="N2876" s="113"/>
      <c r="O2876" s="113"/>
      <c r="P2876" s="115" t="str">
        <f ca="1">IF(Proc[[#This Row],[DaysAgeing]]&gt;5,"yep","on track")</f>
        <v>yep</v>
      </c>
      <c r="Q2876" s="3">
        <f ca="1">IF(Proc[[#This Row],[DateClosed]]="",ABS(NETWORKDAYS(Proc[[#This Row],[DateOpened]],TODAY()))-1,ABS(NETWORKDAYS(Proc[[#This Row],[DateOpened]],Proc[[#This Row],[DateClosed]]))-1)</f>
        <v>107</v>
      </c>
      <c r="R2876" s="115" t="s">
        <v>515</v>
      </c>
      <c r="S2876" s="125"/>
    </row>
    <row r="2877" spans="1:19" hidden="1">
      <c r="A2877" s="124" t="s">
        <v>4866</v>
      </c>
      <c r="B2877" s="149" t="str">
        <f>IFERROR(VLOOKUP(Proc[[#This Row],[App]],Table2[],3,0),"open")</f>
        <v>ok</v>
      </c>
      <c r="C2877" s="124" t="s">
        <v>369</v>
      </c>
      <c r="D2877" t="s">
        <v>4872</v>
      </c>
      <c r="E2877" s="124" t="s">
        <v>4899</v>
      </c>
      <c r="F2877" s="125" t="s">
        <v>4899</v>
      </c>
      <c r="G2877" s="124" t="s">
        <v>406</v>
      </c>
      <c r="H2877" s="125" t="str">
        <f>IF(Proc[[#This Row],[type]]="LFF (MDG-F)",MID(Proc[[#This Row],[Obj]],13,10),"")</f>
        <v>DE73GPS035</v>
      </c>
      <c r="J2877" s="125" t="b">
        <f>Proc[[#This Row],[Requested]]=Proc[[#This Row],[CurrentParent]]</f>
        <v>1</v>
      </c>
      <c r="K2877" s="144" t="str">
        <f>IF(Proc[[#This Row],[Author]]="Marcela Urrego",VLOOKUP(LEFT(Proc[[#This Row],[Requested]],1),Table3[#All],2,0),VLOOKUP(Proc[[#This Row],[Author]],Table4[],2,0))</f>
        <v>MGF</v>
      </c>
      <c r="L2877" s="125" t="s">
        <v>4894</v>
      </c>
      <c r="M2877" s="115">
        <v>45861.910150462965</v>
      </c>
      <c r="N2877" s="113"/>
      <c r="O2877" s="113"/>
      <c r="P2877" s="115" t="str">
        <f ca="1">IF(Proc[[#This Row],[DaysAgeing]]&gt;5,"yep","on track")</f>
        <v>yep</v>
      </c>
      <c r="Q2877" s="3">
        <f ca="1">IF(Proc[[#This Row],[DateClosed]]="",ABS(NETWORKDAYS(Proc[[#This Row],[DateOpened]],TODAY()))-1,ABS(NETWORKDAYS(Proc[[#This Row],[DateOpened]],Proc[[#This Row],[DateClosed]]))-1)</f>
        <v>107</v>
      </c>
      <c r="R2877" s="115" t="s">
        <v>515</v>
      </c>
      <c r="S2877" s="125"/>
    </row>
    <row r="2878" spans="1:19" hidden="1">
      <c r="A2878" s="124" t="s">
        <v>4866</v>
      </c>
      <c r="B2878" s="149" t="str">
        <f>IFERROR(VLOOKUP(Proc[[#This Row],[App]],Table2[],3,0),"open")</f>
        <v>ok</v>
      </c>
      <c r="C2878" s="124" t="s">
        <v>369</v>
      </c>
      <c r="D2878" t="s">
        <v>4873</v>
      </c>
      <c r="E2878" s="124" t="s">
        <v>4899</v>
      </c>
      <c r="F2878" s="125" t="s">
        <v>4899</v>
      </c>
      <c r="G2878" s="124" t="s">
        <v>406</v>
      </c>
      <c r="H2878" s="125" t="str">
        <f>IF(Proc[[#This Row],[type]]="LFF (MDG-F)",MID(Proc[[#This Row],[Obj]],13,10),"")</f>
        <v>DE73GPS036</v>
      </c>
      <c r="J2878" s="125" t="b">
        <f>Proc[[#This Row],[Requested]]=Proc[[#This Row],[CurrentParent]]</f>
        <v>1</v>
      </c>
      <c r="K2878" s="144" t="str">
        <f>IF(Proc[[#This Row],[Author]]="Marcela Urrego",VLOOKUP(LEFT(Proc[[#This Row],[Requested]],1),Table3[#All],2,0),VLOOKUP(Proc[[#This Row],[Author]],Table4[],2,0))</f>
        <v>MGF</v>
      </c>
      <c r="L2878" s="125" t="s">
        <v>4894</v>
      </c>
      <c r="M2878" s="115">
        <v>45861.910150462965</v>
      </c>
      <c r="N2878" s="113"/>
      <c r="O2878" s="113"/>
      <c r="P2878" s="115" t="str">
        <f ca="1">IF(Proc[[#This Row],[DaysAgeing]]&gt;5,"yep","on track")</f>
        <v>yep</v>
      </c>
      <c r="Q2878" s="3">
        <f ca="1">IF(Proc[[#This Row],[DateClosed]]="",ABS(NETWORKDAYS(Proc[[#This Row],[DateOpened]],TODAY()))-1,ABS(NETWORKDAYS(Proc[[#This Row],[DateOpened]],Proc[[#This Row],[DateClosed]]))-1)</f>
        <v>107</v>
      </c>
      <c r="R2878" s="115" t="s">
        <v>515</v>
      </c>
      <c r="S2878" s="125"/>
    </row>
    <row r="2879" spans="1:19" hidden="1">
      <c r="A2879" s="124" t="s">
        <v>4866</v>
      </c>
      <c r="B2879" s="149" t="str">
        <f>IFERROR(VLOOKUP(Proc[[#This Row],[App]],Table2[],3,0),"open")</f>
        <v>ok</v>
      </c>
      <c r="C2879" s="124" t="s">
        <v>369</v>
      </c>
      <c r="D2879" t="s">
        <v>4874</v>
      </c>
      <c r="E2879" s="124" t="s">
        <v>4899</v>
      </c>
      <c r="F2879" s="125" t="s">
        <v>4899</v>
      </c>
      <c r="G2879" s="124" t="s">
        <v>406</v>
      </c>
      <c r="H2879" s="125" t="str">
        <f>IF(Proc[[#This Row],[type]]="LFF (MDG-F)",MID(Proc[[#This Row],[Obj]],13,10),"")</f>
        <v>DE73GPS037</v>
      </c>
      <c r="J2879" s="125" t="b">
        <f>Proc[[#This Row],[Requested]]=Proc[[#This Row],[CurrentParent]]</f>
        <v>1</v>
      </c>
      <c r="K2879" s="144" t="str">
        <f>IF(Proc[[#This Row],[Author]]="Marcela Urrego",VLOOKUP(LEFT(Proc[[#This Row],[Requested]],1),Table3[#All],2,0),VLOOKUP(Proc[[#This Row],[Author]],Table4[],2,0))</f>
        <v>MGF</v>
      </c>
      <c r="L2879" s="125" t="s">
        <v>4894</v>
      </c>
      <c r="M2879" s="115">
        <v>45861.910150462965</v>
      </c>
      <c r="N2879" s="113"/>
      <c r="O2879" s="113"/>
      <c r="P2879" s="115" t="str">
        <f ca="1">IF(Proc[[#This Row],[DaysAgeing]]&gt;5,"yep","on track")</f>
        <v>yep</v>
      </c>
      <c r="Q2879" s="3">
        <f ca="1">IF(Proc[[#This Row],[DateClosed]]="",ABS(NETWORKDAYS(Proc[[#This Row],[DateOpened]],TODAY()))-1,ABS(NETWORKDAYS(Proc[[#This Row],[DateOpened]],Proc[[#This Row],[DateClosed]]))-1)</f>
        <v>107</v>
      </c>
      <c r="R2879" s="115" t="s">
        <v>515</v>
      </c>
      <c r="S2879" s="125"/>
    </row>
    <row r="2880" spans="1:19" hidden="1">
      <c r="A2880" s="124" t="s">
        <v>4866</v>
      </c>
      <c r="B2880" s="149" t="str">
        <f>IFERROR(VLOOKUP(Proc[[#This Row],[App]],Table2[],3,0),"open")</f>
        <v>ok</v>
      </c>
      <c r="C2880" s="124" t="s">
        <v>369</v>
      </c>
      <c r="D2880" t="s">
        <v>4875</v>
      </c>
      <c r="E2880" s="124" t="s">
        <v>4899</v>
      </c>
      <c r="F2880" s="125" t="s">
        <v>4899</v>
      </c>
      <c r="G2880" s="124" t="s">
        <v>406</v>
      </c>
      <c r="H2880" s="125" t="str">
        <f>IF(Proc[[#This Row],[type]]="LFF (MDG-F)",MID(Proc[[#This Row],[Obj]],13,10),"")</f>
        <v>DE73GPS038</v>
      </c>
      <c r="J2880" s="125" t="b">
        <f>Proc[[#This Row],[Requested]]=Proc[[#This Row],[CurrentParent]]</f>
        <v>1</v>
      </c>
      <c r="K2880" s="144" t="str">
        <f>IF(Proc[[#This Row],[Author]]="Marcela Urrego",VLOOKUP(LEFT(Proc[[#This Row],[Requested]],1),Table3[#All],2,0),VLOOKUP(Proc[[#This Row],[Author]],Table4[],2,0))</f>
        <v>MGF</v>
      </c>
      <c r="L2880" s="125" t="s">
        <v>4894</v>
      </c>
      <c r="M2880" s="115">
        <v>45861.910150462965</v>
      </c>
      <c r="N2880" s="113"/>
      <c r="O2880" s="113"/>
      <c r="P2880" s="115" t="str">
        <f ca="1">IF(Proc[[#This Row],[DaysAgeing]]&gt;5,"yep","on track")</f>
        <v>yep</v>
      </c>
      <c r="Q2880" s="3">
        <f ca="1">IF(Proc[[#This Row],[DateClosed]]="",ABS(NETWORKDAYS(Proc[[#This Row],[DateOpened]],TODAY()))-1,ABS(NETWORKDAYS(Proc[[#This Row],[DateOpened]],Proc[[#This Row],[DateClosed]]))-1)</f>
        <v>107</v>
      </c>
      <c r="R2880" s="115" t="s">
        <v>515</v>
      </c>
      <c r="S2880" s="125"/>
    </row>
    <row r="2881" spans="1:19" hidden="1">
      <c r="A2881" s="124" t="s">
        <v>4866</v>
      </c>
      <c r="B2881" s="149" t="str">
        <f>IFERROR(VLOOKUP(Proc[[#This Row],[App]],Table2[],3,0),"open")</f>
        <v>ok</v>
      </c>
      <c r="C2881" s="124" t="s">
        <v>369</v>
      </c>
      <c r="D2881" t="s">
        <v>4876</v>
      </c>
      <c r="E2881" s="124" t="s">
        <v>4899</v>
      </c>
      <c r="F2881" s="125" t="s">
        <v>4899</v>
      </c>
      <c r="G2881" s="124" t="s">
        <v>406</v>
      </c>
      <c r="H2881" s="125" t="str">
        <f>IF(Proc[[#This Row],[type]]="LFF (MDG-F)",MID(Proc[[#This Row],[Obj]],13,10),"")</f>
        <v>DE73GPS039</v>
      </c>
      <c r="J2881" s="125" t="b">
        <f>Proc[[#This Row],[Requested]]=Proc[[#This Row],[CurrentParent]]</f>
        <v>1</v>
      </c>
      <c r="K2881" s="144" t="str">
        <f>IF(Proc[[#This Row],[Author]]="Marcela Urrego",VLOOKUP(LEFT(Proc[[#This Row],[Requested]],1),Table3[#All],2,0),VLOOKUP(Proc[[#This Row],[Author]],Table4[],2,0))</f>
        <v>MGF</v>
      </c>
      <c r="L2881" s="125" t="s">
        <v>4894</v>
      </c>
      <c r="M2881" s="115">
        <v>45861.910150462965</v>
      </c>
      <c r="N2881" s="113"/>
      <c r="O2881" s="113"/>
      <c r="P2881" s="115" t="str">
        <f ca="1">IF(Proc[[#This Row],[DaysAgeing]]&gt;5,"yep","on track")</f>
        <v>yep</v>
      </c>
      <c r="Q2881" s="3">
        <f ca="1">IF(Proc[[#This Row],[DateClosed]]="",ABS(NETWORKDAYS(Proc[[#This Row],[DateOpened]],TODAY()))-1,ABS(NETWORKDAYS(Proc[[#This Row],[DateOpened]],Proc[[#This Row],[DateClosed]]))-1)</f>
        <v>107</v>
      </c>
      <c r="R2881" s="115" t="s">
        <v>515</v>
      </c>
      <c r="S2881" s="125"/>
    </row>
    <row r="2882" spans="1:19" hidden="1">
      <c r="A2882" s="124" t="s">
        <v>4866</v>
      </c>
      <c r="B2882" s="149" t="str">
        <f>IFERROR(VLOOKUP(Proc[[#This Row],[App]],Table2[],3,0),"open")</f>
        <v>ok</v>
      </c>
      <c r="C2882" s="124" t="s">
        <v>369</v>
      </c>
      <c r="D2882" t="s">
        <v>4877</v>
      </c>
      <c r="E2882" s="124" t="s">
        <v>4899</v>
      </c>
      <c r="F2882" s="125" t="s">
        <v>4899</v>
      </c>
      <c r="G2882" s="124" t="s">
        <v>406</v>
      </c>
      <c r="H2882" s="125" t="str">
        <f>IF(Proc[[#This Row],[type]]="LFF (MDG-F)",MID(Proc[[#This Row],[Obj]],13,10),"")</f>
        <v>DE73GPS040</v>
      </c>
      <c r="J2882" s="125" t="b">
        <f>Proc[[#This Row],[Requested]]=Proc[[#This Row],[CurrentParent]]</f>
        <v>1</v>
      </c>
      <c r="K2882" s="144" t="str">
        <f>IF(Proc[[#This Row],[Author]]="Marcela Urrego",VLOOKUP(LEFT(Proc[[#This Row],[Requested]],1),Table3[#All],2,0),VLOOKUP(Proc[[#This Row],[Author]],Table4[],2,0))</f>
        <v>MGF</v>
      </c>
      <c r="L2882" s="125" t="s">
        <v>4894</v>
      </c>
      <c r="M2882" s="115">
        <v>45861.910150462965</v>
      </c>
      <c r="N2882" s="113"/>
      <c r="O2882" s="113"/>
      <c r="P2882" s="115" t="str">
        <f ca="1">IF(Proc[[#This Row],[DaysAgeing]]&gt;5,"yep","on track")</f>
        <v>yep</v>
      </c>
      <c r="Q2882" s="3">
        <f ca="1">IF(Proc[[#This Row],[DateClosed]]="",ABS(NETWORKDAYS(Proc[[#This Row],[DateOpened]],TODAY()))-1,ABS(NETWORKDAYS(Proc[[#This Row],[DateOpened]],Proc[[#This Row],[DateClosed]]))-1)</f>
        <v>107</v>
      </c>
      <c r="R2882" s="115" t="s">
        <v>515</v>
      </c>
      <c r="S2882" s="125"/>
    </row>
    <row r="2883" spans="1:19" hidden="1">
      <c r="A2883" s="124" t="s">
        <v>4866</v>
      </c>
      <c r="B2883" s="149" t="str">
        <f>IFERROR(VLOOKUP(Proc[[#This Row],[App]],Table2[],3,0),"open")</f>
        <v>ok</v>
      </c>
      <c r="C2883" s="124" t="s">
        <v>369</v>
      </c>
      <c r="D2883" t="s">
        <v>4878</v>
      </c>
      <c r="E2883" s="124" t="s">
        <v>4899</v>
      </c>
      <c r="F2883" s="125" t="s">
        <v>4899</v>
      </c>
      <c r="G2883" s="124" t="s">
        <v>406</v>
      </c>
      <c r="H2883" s="125" t="str">
        <f>IF(Proc[[#This Row],[type]]="LFF (MDG-F)",MID(Proc[[#This Row],[Obj]],13,10),"")</f>
        <v>CH65GPS030</v>
      </c>
      <c r="J2883" s="125" t="b">
        <f>Proc[[#This Row],[Requested]]=Proc[[#This Row],[CurrentParent]]</f>
        <v>1</v>
      </c>
      <c r="K2883" s="144" t="str">
        <f>IF(Proc[[#This Row],[Author]]="Marcela Urrego",VLOOKUP(LEFT(Proc[[#This Row],[Requested]],1),Table3[#All],2,0),VLOOKUP(Proc[[#This Row],[Author]],Table4[],2,0))</f>
        <v>MGF</v>
      </c>
      <c r="L2883" s="125" t="s">
        <v>4894</v>
      </c>
      <c r="M2883" s="115">
        <v>45861.910150462965</v>
      </c>
      <c r="N2883" s="113"/>
      <c r="O2883" s="113"/>
      <c r="P2883" s="115" t="str">
        <f ca="1">IF(Proc[[#This Row],[DaysAgeing]]&gt;5,"yep","on track")</f>
        <v>yep</v>
      </c>
      <c r="Q2883" s="3">
        <f ca="1">IF(Proc[[#This Row],[DateClosed]]="",ABS(NETWORKDAYS(Proc[[#This Row],[DateOpened]],TODAY()))-1,ABS(NETWORKDAYS(Proc[[#This Row],[DateOpened]],Proc[[#This Row],[DateClosed]]))-1)</f>
        <v>107</v>
      </c>
      <c r="R2883" s="115" t="s">
        <v>515</v>
      </c>
      <c r="S2883" s="125"/>
    </row>
    <row r="2884" spans="1:19" hidden="1">
      <c r="A2884" s="124" t="s">
        <v>4866</v>
      </c>
      <c r="B2884" s="149" t="str">
        <f>IFERROR(VLOOKUP(Proc[[#This Row],[App]],Table2[],3,0),"open")</f>
        <v>ok</v>
      </c>
      <c r="C2884" s="124" t="s">
        <v>369</v>
      </c>
      <c r="D2884" t="s">
        <v>4879</v>
      </c>
      <c r="E2884" s="124" t="s">
        <v>4899</v>
      </c>
      <c r="F2884" s="125" t="s">
        <v>4899</v>
      </c>
      <c r="G2884" s="124" t="s">
        <v>406</v>
      </c>
      <c r="H2884" s="125" t="str">
        <f>IF(Proc[[#This Row],[type]]="LFF (MDG-F)",MID(Proc[[#This Row],[Obj]],13,10),"")</f>
        <v>CH65GPS031</v>
      </c>
      <c r="J2884" s="125" t="b">
        <f>Proc[[#This Row],[Requested]]=Proc[[#This Row],[CurrentParent]]</f>
        <v>1</v>
      </c>
      <c r="K2884" s="144" t="str">
        <f>IF(Proc[[#This Row],[Author]]="Marcela Urrego",VLOOKUP(LEFT(Proc[[#This Row],[Requested]],1),Table3[#All],2,0),VLOOKUP(Proc[[#This Row],[Author]],Table4[],2,0))</f>
        <v>MGF</v>
      </c>
      <c r="L2884" s="125" t="s">
        <v>4894</v>
      </c>
      <c r="M2884" s="115">
        <v>45861.910150462965</v>
      </c>
      <c r="N2884" s="113"/>
      <c r="O2884" s="113"/>
      <c r="P2884" s="115" t="str">
        <f ca="1">IF(Proc[[#This Row],[DaysAgeing]]&gt;5,"yep","on track")</f>
        <v>yep</v>
      </c>
      <c r="Q2884" s="3">
        <f ca="1">IF(Proc[[#This Row],[DateClosed]]="",ABS(NETWORKDAYS(Proc[[#This Row],[DateOpened]],TODAY()))-1,ABS(NETWORKDAYS(Proc[[#This Row],[DateOpened]],Proc[[#This Row],[DateClosed]]))-1)</f>
        <v>107</v>
      </c>
      <c r="R2884" s="115" t="s">
        <v>515</v>
      </c>
      <c r="S2884" s="125"/>
    </row>
    <row r="2885" spans="1:19" hidden="1">
      <c r="A2885" s="124" t="s">
        <v>4866</v>
      </c>
      <c r="B2885" s="149" t="str">
        <f>IFERROR(VLOOKUP(Proc[[#This Row],[App]],Table2[],3,0),"open")</f>
        <v>ok</v>
      </c>
      <c r="C2885" s="124" t="s">
        <v>369</v>
      </c>
      <c r="D2885" t="s">
        <v>4880</v>
      </c>
      <c r="E2885" s="124" t="s">
        <v>4899</v>
      </c>
      <c r="F2885" s="125" t="s">
        <v>4899</v>
      </c>
      <c r="G2885" s="124" t="s">
        <v>406</v>
      </c>
      <c r="H2885" s="125" t="str">
        <f>IF(Proc[[#This Row],[type]]="LFF (MDG-F)",MID(Proc[[#This Row],[Obj]],13,10),"")</f>
        <v>CH65GPS032</v>
      </c>
      <c r="J2885" s="125" t="b">
        <f>Proc[[#This Row],[Requested]]=Proc[[#This Row],[CurrentParent]]</f>
        <v>1</v>
      </c>
      <c r="K2885" s="144" t="str">
        <f>IF(Proc[[#This Row],[Author]]="Marcela Urrego",VLOOKUP(LEFT(Proc[[#This Row],[Requested]],1),Table3[#All],2,0),VLOOKUP(Proc[[#This Row],[Author]],Table4[],2,0))</f>
        <v>MGF</v>
      </c>
      <c r="L2885" s="125" t="s">
        <v>4894</v>
      </c>
      <c r="M2885" s="115">
        <v>45861.910150462965</v>
      </c>
      <c r="N2885" s="113"/>
      <c r="O2885" s="113"/>
      <c r="P2885" s="115" t="str">
        <f ca="1">IF(Proc[[#This Row],[DaysAgeing]]&gt;5,"yep","on track")</f>
        <v>yep</v>
      </c>
      <c r="Q2885" s="3">
        <f ca="1">IF(Proc[[#This Row],[DateClosed]]="",ABS(NETWORKDAYS(Proc[[#This Row],[DateOpened]],TODAY()))-1,ABS(NETWORKDAYS(Proc[[#This Row],[DateOpened]],Proc[[#This Row],[DateClosed]]))-1)</f>
        <v>107</v>
      </c>
      <c r="R2885" s="115" t="s">
        <v>515</v>
      </c>
      <c r="S2885" s="125"/>
    </row>
    <row r="2886" spans="1:19" hidden="1">
      <c r="A2886" s="124" t="s">
        <v>4866</v>
      </c>
      <c r="B2886" s="149" t="str">
        <f>IFERROR(VLOOKUP(Proc[[#This Row],[App]],Table2[],3,0),"open")</f>
        <v>ok</v>
      </c>
      <c r="C2886" s="124" t="s">
        <v>369</v>
      </c>
      <c r="D2886" t="s">
        <v>4881</v>
      </c>
      <c r="E2886" s="124" t="s">
        <v>4899</v>
      </c>
      <c r="F2886" s="125" t="s">
        <v>4899</v>
      </c>
      <c r="G2886" s="124" t="s">
        <v>406</v>
      </c>
      <c r="H2886" s="125" t="str">
        <f>IF(Proc[[#This Row],[type]]="LFF (MDG-F)",MID(Proc[[#This Row],[Obj]],13,10),"")</f>
        <v>CH65GPS033</v>
      </c>
      <c r="J2886" s="125" t="b">
        <f>Proc[[#This Row],[Requested]]=Proc[[#This Row],[CurrentParent]]</f>
        <v>1</v>
      </c>
      <c r="K2886" s="144" t="str">
        <f>IF(Proc[[#This Row],[Author]]="Marcela Urrego",VLOOKUP(LEFT(Proc[[#This Row],[Requested]],1),Table3[#All],2,0),VLOOKUP(Proc[[#This Row],[Author]],Table4[],2,0))</f>
        <v>MGF</v>
      </c>
      <c r="L2886" s="125" t="s">
        <v>4894</v>
      </c>
      <c r="M2886" s="115">
        <v>45861.910150462965</v>
      </c>
      <c r="N2886" s="113"/>
      <c r="O2886" s="113"/>
      <c r="P2886" s="115" t="str">
        <f ca="1">IF(Proc[[#This Row],[DaysAgeing]]&gt;5,"yep","on track")</f>
        <v>yep</v>
      </c>
      <c r="Q2886" s="3">
        <f ca="1">IF(Proc[[#This Row],[DateClosed]]="",ABS(NETWORKDAYS(Proc[[#This Row],[DateOpened]],TODAY()))-1,ABS(NETWORKDAYS(Proc[[#This Row],[DateOpened]],Proc[[#This Row],[DateClosed]]))-1)</f>
        <v>107</v>
      </c>
      <c r="R2886" s="115" t="s">
        <v>515</v>
      </c>
      <c r="S2886" s="125"/>
    </row>
    <row r="2887" spans="1:19" hidden="1">
      <c r="A2887" s="124" t="s">
        <v>4866</v>
      </c>
      <c r="B2887" s="149" t="str">
        <f>IFERROR(VLOOKUP(Proc[[#This Row],[App]],Table2[],3,0),"open")</f>
        <v>ok</v>
      </c>
      <c r="C2887" s="124" t="s">
        <v>369</v>
      </c>
      <c r="D2887" t="s">
        <v>4882</v>
      </c>
      <c r="E2887" s="124" t="s">
        <v>4899</v>
      </c>
      <c r="F2887" s="125" t="s">
        <v>4899</v>
      </c>
      <c r="G2887" s="124" t="s">
        <v>406</v>
      </c>
      <c r="H2887" s="125" t="str">
        <f>IF(Proc[[#This Row],[type]]="LFF (MDG-F)",MID(Proc[[#This Row],[Obj]],13,10),"")</f>
        <v>CH65GPS034</v>
      </c>
      <c r="J2887" s="125" t="b">
        <f>Proc[[#This Row],[Requested]]=Proc[[#This Row],[CurrentParent]]</f>
        <v>1</v>
      </c>
      <c r="K2887" s="144" t="str">
        <f>IF(Proc[[#This Row],[Author]]="Marcela Urrego",VLOOKUP(LEFT(Proc[[#This Row],[Requested]],1),Table3[#All],2,0),VLOOKUP(Proc[[#This Row],[Author]],Table4[],2,0))</f>
        <v>MGF</v>
      </c>
      <c r="L2887" s="125" t="s">
        <v>4894</v>
      </c>
      <c r="M2887" s="115">
        <v>45861.910150462965</v>
      </c>
      <c r="N2887" s="113"/>
      <c r="O2887" s="113"/>
      <c r="P2887" s="115" t="str">
        <f ca="1">IF(Proc[[#This Row],[DaysAgeing]]&gt;5,"yep","on track")</f>
        <v>yep</v>
      </c>
      <c r="Q2887" s="3">
        <f ca="1">IF(Proc[[#This Row],[DateClosed]]="",ABS(NETWORKDAYS(Proc[[#This Row],[DateOpened]],TODAY()))-1,ABS(NETWORKDAYS(Proc[[#This Row],[DateOpened]],Proc[[#This Row],[DateClosed]]))-1)</f>
        <v>107</v>
      </c>
      <c r="R2887" s="115" t="s">
        <v>515</v>
      </c>
      <c r="S2887" s="125"/>
    </row>
    <row r="2888" spans="1:19" hidden="1">
      <c r="A2888" s="124" t="s">
        <v>4866</v>
      </c>
      <c r="B2888" s="149" t="str">
        <f>IFERROR(VLOOKUP(Proc[[#This Row],[App]],Table2[],3,0),"open")</f>
        <v>ok</v>
      </c>
      <c r="C2888" s="124" t="s">
        <v>369</v>
      </c>
      <c r="D2888" t="s">
        <v>4883</v>
      </c>
      <c r="E2888" t="s">
        <v>4899</v>
      </c>
      <c r="F2888" s="125" t="s">
        <v>4899</v>
      </c>
      <c r="G2888" s="124" t="s">
        <v>406</v>
      </c>
      <c r="H2888" s="125" t="str">
        <f>IF(Proc[[#This Row],[type]]="LFF (MDG-F)",MID(Proc[[#This Row],[Obj]],13,10),"")</f>
        <v>CH65GPS035</v>
      </c>
      <c r="J2888" s="125" t="b">
        <f>Proc[[#This Row],[Requested]]=Proc[[#This Row],[CurrentParent]]</f>
        <v>1</v>
      </c>
      <c r="K2888" s="144" t="str">
        <f>IF(Proc[[#This Row],[Author]]="Marcela Urrego",VLOOKUP(LEFT(Proc[[#This Row],[Requested]],1),Table3[#All],2,0),VLOOKUP(Proc[[#This Row],[Author]],Table4[],2,0))</f>
        <v>MGF</v>
      </c>
      <c r="L2888" s="125" t="s">
        <v>4894</v>
      </c>
      <c r="M2888" s="115">
        <v>45861.910150462965</v>
      </c>
      <c r="N2888" s="113"/>
      <c r="O2888" s="113"/>
      <c r="P2888" s="115" t="str">
        <f ca="1">IF(Proc[[#This Row],[DaysAgeing]]&gt;5,"yep","on track")</f>
        <v>yep</v>
      </c>
      <c r="Q2888" s="3">
        <f ca="1">IF(Proc[[#This Row],[DateClosed]]="",ABS(NETWORKDAYS(Proc[[#This Row],[DateOpened]],TODAY()))-1,ABS(NETWORKDAYS(Proc[[#This Row],[DateOpened]],Proc[[#This Row],[DateClosed]]))-1)</f>
        <v>107</v>
      </c>
      <c r="R2888" s="115" t="s">
        <v>515</v>
      </c>
      <c r="S2888" s="125"/>
    </row>
    <row r="2889" spans="1:19" hidden="1">
      <c r="A2889" s="124" t="s">
        <v>4866</v>
      </c>
      <c r="B2889" s="149" t="str">
        <f>IFERROR(VLOOKUP(Proc[[#This Row],[App]],Table2[],3,0),"open")</f>
        <v>ok</v>
      </c>
      <c r="C2889" s="124" t="s">
        <v>369</v>
      </c>
      <c r="D2889" t="s">
        <v>4884</v>
      </c>
      <c r="E2889" s="124" t="s">
        <v>4899</v>
      </c>
      <c r="F2889" s="125" t="s">
        <v>4899</v>
      </c>
      <c r="G2889" s="124" t="s">
        <v>406</v>
      </c>
      <c r="H2889" s="125" t="str">
        <f>IF(Proc[[#This Row],[type]]="LFF (MDG-F)",MID(Proc[[#This Row],[Obj]],13,10),"")</f>
        <v>CH65GPS036</v>
      </c>
      <c r="J2889" s="125" t="b">
        <f>Proc[[#This Row],[Requested]]=Proc[[#This Row],[CurrentParent]]</f>
        <v>1</v>
      </c>
      <c r="K2889" s="144" t="str">
        <f>IF(Proc[[#This Row],[Author]]="Marcela Urrego",VLOOKUP(LEFT(Proc[[#This Row],[Requested]],1),Table3[#All],2,0),VLOOKUP(Proc[[#This Row],[Author]],Table4[],2,0))</f>
        <v>MGF</v>
      </c>
      <c r="L2889" s="125" t="s">
        <v>4894</v>
      </c>
      <c r="M2889" s="115">
        <v>45861.910150462965</v>
      </c>
      <c r="N2889" s="113"/>
      <c r="O2889" s="113"/>
      <c r="P2889" s="115" t="str">
        <f ca="1">IF(Proc[[#This Row],[DaysAgeing]]&gt;5,"yep","on track")</f>
        <v>yep</v>
      </c>
      <c r="Q2889" s="3">
        <f ca="1">IF(Proc[[#This Row],[DateClosed]]="",ABS(NETWORKDAYS(Proc[[#This Row],[DateOpened]],TODAY()))-1,ABS(NETWORKDAYS(Proc[[#This Row],[DateOpened]],Proc[[#This Row],[DateClosed]]))-1)</f>
        <v>107</v>
      </c>
      <c r="R2889" s="115" t="s">
        <v>515</v>
      </c>
      <c r="S2889" s="125"/>
    </row>
    <row r="2890" spans="1:19" hidden="1">
      <c r="A2890" t="s">
        <v>4892</v>
      </c>
      <c r="B2890" s="149" t="str">
        <f>IFERROR(VLOOKUP(Proc[[#This Row],[App]],Table2[],3,0),"open")</f>
        <v>ok</v>
      </c>
      <c r="C2890" s="124" t="s">
        <v>369</v>
      </c>
      <c r="D2890" t="s">
        <v>4885</v>
      </c>
      <c r="E2890" t="s">
        <v>2458</v>
      </c>
      <c r="F2890" s="125" t="s">
        <v>2458</v>
      </c>
      <c r="G2890" s="124" t="s">
        <v>406</v>
      </c>
      <c r="H2890" s="125" t="str">
        <f>IF(Proc[[#This Row],[type]]="LFF (MDG-F)",MID(Proc[[#This Row],[Obj]],13,10),"")</f>
        <v>2102TASR00</v>
      </c>
      <c r="J2890" s="125" t="b">
        <f>Proc[[#This Row],[Requested]]=Proc[[#This Row],[CurrentParent]]</f>
        <v>1</v>
      </c>
      <c r="K2890" s="144" t="str">
        <f>IF(Proc[[#This Row],[Author]]="Marcela Urrego",VLOOKUP(LEFT(Proc[[#This Row],[Requested]],1),Table3[#All],2,0),VLOOKUP(Proc[[#This Row],[Author]],Table4[],2,0))</f>
        <v>LS</v>
      </c>
      <c r="L2890" s="125" t="s">
        <v>4894</v>
      </c>
      <c r="M2890" s="113">
        <v>45861</v>
      </c>
      <c r="N2890" s="113"/>
      <c r="O2890" s="113"/>
      <c r="P2890" s="115" t="str">
        <f ca="1">IF(Proc[[#This Row],[DaysAgeing]]&gt;5,"yep","on track")</f>
        <v>yep</v>
      </c>
      <c r="Q2890" s="3">
        <f ca="1">IF(Proc[[#This Row],[DateClosed]]="",ABS(NETWORKDAYS(Proc[[#This Row],[DateOpened]],TODAY()))-1,ABS(NETWORKDAYS(Proc[[#This Row],[DateOpened]],Proc[[#This Row],[DateClosed]]))-1)</f>
        <v>107</v>
      </c>
      <c r="R2890" s="115" t="s">
        <v>489</v>
      </c>
      <c r="S2890" s="125"/>
    </row>
    <row r="2891" spans="1:19" hidden="1">
      <c r="A2891" s="124" t="s">
        <v>4892</v>
      </c>
      <c r="B2891" s="149" t="str">
        <f>IFERROR(VLOOKUP(Proc[[#This Row],[App]],Table2[],3,0),"open")</f>
        <v>ok</v>
      </c>
      <c r="C2891" s="124" t="s">
        <v>369</v>
      </c>
      <c r="D2891" t="s">
        <v>4893</v>
      </c>
      <c r="E2891" s="124" t="s">
        <v>2691</v>
      </c>
      <c r="F2891" s="125" t="s">
        <v>2691</v>
      </c>
      <c r="G2891" t="s">
        <v>400</v>
      </c>
      <c r="H2891" s="125" t="str">
        <f>IF(Proc[[#This Row],[type]]="LFF (MDG-F)",MID(Proc[[#This Row],[Obj]],13,10),"")</f>
        <v/>
      </c>
      <c r="J2891" s="125" t="b">
        <f>Proc[[#This Row],[Requested]]=Proc[[#This Row],[CurrentParent]]</f>
        <v>1</v>
      </c>
      <c r="K2891" s="144" t="str">
        <f>IF(Proc[[#This Row],[Author]]="Marcela Urrego",VLOOKUP(LEFT(Proc[[#This Row],[Requested]],1),Table3[#All],2,0),VLOOKUP(Proc[[#This Row],[Author]],Table4[],2,0))</f>
        <v>LS</v>
      </c>
      <c r="L2891" s="125" t="s">
        <v>4894</v>
      </c>
      <c r="M2891" s="113">
        <v>45861</v>
      </c>
      <c r="N2891" s="113"/>
      <c r="O2891" s="113"/>
      <c r="P2891" s="115" t="str">
        <f ca="1">IF(Proc[[#This Row],[DaysAgeing]]&gt;5,"yep","on track")</f>
        <v>yep</v>
      </c>
      <c r="Q2891" s="3">
        <f ca="1">IF(Proc[[#This Row],[DateClosed]]="",ABS(NETWORKDAYS(Proc[[#This Row],[DateOpened]],TODAY()))-1,ABS(NETWORKDAYS(Proc[[#This Row],[DateOpened]],Proc[[#This Row],[DateClosed]]))-1)</f>
        <v>107</v>
      </c>
      <c r="R2891" s="115" t="s">
        <v>489</v>
      </c>
      <c r="S2891" s="125"/>
    </row>
    <row r="2892" spans="1:19" hidden="1">
      <c r="A2892" s="124" t="s">
        <v>4892</v>
      </c>
      <c r="B2892" s="149" t="str">
        <f>IFERROR(VLOOKUP(Proc[[#This Row],[App]],Table2[],3,0),"open")</f>
        <v>ok</v>
      </c>
      <c r="C2892" s="124" t="s">
        <v>369</v>
      </c>
      <c r="D2892" t="s">
        <v>1402</v>
      </c>
      <c r="E2892" s="124" t="s">
        <v>4890</v>
      </c>
      <c r="F2892" s="125" t="s">
        <v>4890</v>
      </c>
      <c r="G2892" s="124" t="s">
        <v>400</v>
      </c>
      <c r="H2892" s="125" t="str">
        <f>IF(Proc[[#This Row],[type]]="LFF (MDG-F)",MID(Proc[[#This Row],[Obj]],13,10),"")</f>
        <v/>
      </c>
      <c r="I2892" s="124"/>
      <c r="J2892" s="125" t="b">
        <f>Proc[[#This Row],[Requested]]=Proc[[#This Row],[CurrentParent]]</f>
        <v>1</v>
      </c>
      <c r="K2892" s="144" t="str">
        <f>IF(Proc[[#This Row],[Author]]="Marcela Urrego",VLOOKUP(LEFT(Proc[[#This Row],[Requested]],1),Table3[#All],2,0),VLOOKUP(Proc[[#This Row],[Author]],Table4[],2,0))</f>
        <v>LS</v>
      </c>
      <c r="L2892" s="125" t="s">
        <v>4894</v>
      </c>
      <c r="M2892" s="113">
        <v>45861</v>
      </c>
      <c r="N2892" s="113"/>
      <c r="O2892" s="113"/>
      <c r="P2892" s="115" t="str">
        <f ca="1">IF(Proc[[#This Row],[DaysAgeing]]&gt;5,"yep","on track")</f>
        <v>yep</v>
      </c>
      <c r="Q2892" s="3">
        <f ca="1">IF(Proc[[#This Row],[DateClosed]]="",ABS(NETWORKDAYS(Proc[[#This Row],[DateOpened]],TODAY()))-1,ABS(NETWORKDAYS(Proc[[#This Row],[DateOpened]],Proc[[#This Row],[DateClosed]]))-1)</f>
        <v>107</v>
      </c>
      <c r="R2892" s="115" t="s">
        <v>489</v>
      </c>
      <c r="S2892" s="125"/>
    </row>
    <row r="2893" spans="1:19" hidden="1">
      <c r="A2893" s="124" t="s">
        <v>4892</v>
      </c>
      <c r="B2893" s="149" t="str">
        <f>IFERROR(VLOOKUP(Proc[[#This Row],[App]],Table2[],3,0),"open")</f>
        <v>ok</v>
      </c>
      <c r="C2893" s="124" t="s">
        <v>369</v>
      </c>
      <c r="D2893" t="s">
        <v>4886</v>
      </c>
      <c r="E2893" s="124" t="s">
        <v>4389</v>
      </c>
      <c r="F2893" s="125" t="s">
        <v>4389</v>
      </c>
      <c r="G2893" s="124" t="s">
        <v>400</v>
      </c>
      <c r="H2893" s="125" t="str">
        <f>IF(Proc[[#This Row],[type]]="LFF (MDG-F)",MID(Proc[[#This Row],[Obj]],13,10),"")</f>
        <v/>
      </c>
      <c r="I2893" s="124"/>
      <c r="J2893" s="125" t="b">
        <f>Proc[[#This Row],[Requested]]=Proc[[#This Row],[CurrentParent]]</f>
        <v>1</v>
      </c>
      <c r="K2893" s="144" t="str">
        <f>IF(Proc[[#This Row],[Author]]="Marcela Urrego",VLOOKUP(LEFT(Proc[[#This Row],[Requested]],1),Table3[#All],2,0),VLOOKUP(Proc[[#This Row],[Author]],Table4[],2,0))</f>
        <v>LS</v>
      </c>
      <c r="L2893" s="125" t="s">
        <v>4894</v>
      </c>
      <c r="M2893" s="113">
        <v>45861</v>
      </c>
      <c r="N2893" s="113"/>
      <c r="O2893" s="113"/>
      <c r="P2893" s="115" t="str">
        <f ca="1">IF(Proc[[#This Row],[DaysAgeing]]&gt;5,"yep","on track")</f>
        <v>yep</v>
      </c>
      <c r="Q2893" s="3">
        <f ca="1">IF(Proc[[#This Row],[DateClosed]]="",ABS(NETWORKDAYS(Proc[[#This Row],[DateOpened]],TODAY()))-1,ABS(NETWORKDAYS(Proc[[#This Row],[DateOpened]],Proc[[#This Row],[DateClosed]]))-1)</f>
        <v>107</v>
      </c>
      <c r="R2893" s="115" t="s">
        <v>489</v>
      </c>
      <c r="S2893" s="125"/>
    </row>
    <row r="2894" spans="1:19" hidden="1">
      <c r="A2894" s="124" t="s">
        <v>4892</v>
      </c>
      <c r="B2894" s="149" t="str">
        <f>IFERROR(VLOOKUP(Proc[[#This Row],[App]],Table2[],3,0),"open")</f>
        <v>ok</v>
      </c>
      <c r="C2894" s="124" t="s">
        <v>369</v>
      </c>
      <c r="D2894" t="s">
        <v>4887</v>
      </c>
      <c r="E2894" s="124" t="s">
        <v>854</v>
      </c>
      <c r="F2894" s="125" t="s">
        <v>854</v>
      </c>
      <c r="G2894" s="124" t="s">
        <v>400</v>
      </c>
      <c r="H2894" s="125" t="str">
        <f>IF(Proc[[#This Row],[type]]="LFF (MDG-F)",MID(Proc[[#This Row],[Obj]],13,10),"")</f>
        <v/>
      </c>
      <c r="I2894" s="124"/>
      <c r="J2894" s="125" t="b">
        <f>Proc[[#This Row],[Requested]]=Proc[[#This Row],[CurrentParent]]</f>
        <v>1</v>
      </c>
      <c r="K2894" s="144" t="str">
        <f>IF(Proc[[#This Row],[Author]]="Marcela Urrego",VLOOKUP(LEFT(Proc[[#This Row],[Requested]],1),Table3[#All],2,0),VLOOKUP(Proc[[#This Row],[Author]],Table4[],2,0))</f>
        <v>LS</v>
      </c>
      <c r="L2894" s="125" t="s">
        <v>4894</v>
      </c>
      <c r="M2894" s="113">
        <v>45861</v>
      </c>
      <c r="N2894" s="113"/>
      <c r="O2894" s="113"/>
      <c r="P2894" s="115" t="str">
        <f ca="1">IF(Proc[[#This Row],[DaysAgeing]]&gt;5,"yep","on track")</f>
        <v>yep</v>
      </c>
      <c r="Q2894" s="3">
        <f ca="1">IF(Proc[[#This Row],[DateClosed]]="",ABS(NETWORKDAYS(Proc[[#This Row],[DateOpened]],TODAY()))-1,ABS(NETWORKDAYS(Proc[[#This Row],[DateOpened]],Proc[[#This Row],[DateClosed]]))-1)</f>
        <v>107</v>
      </c>
      <c r="R2894" s="115" t="s">
        <v>489</v>
      </c>
      <c r="S2894" s="125"/>
    </row>
    <row r="2895" spans="1:19" hidden="1">
      <c r="A2895" s="124" t="s">
        <v>4892</v>
      </c>
      <c r="B2895" s="149" t="str">
        <f>IFERROR(VLOOKUP(Proc[[#This Row],[App]],Table2[],3,0),"open")</f>
        <v>ok</v>
      </c>
      <c r="C2895" s="124" t="s">
        <v>369</v>
      </c>
      <c r="D2895" t="s">
        <v>4888</v>
      </c>
      <c r="E2895" s="124" t="s">
        <v>854</v>
      </c>
      <c r="F2895" s="125" t="s">
        <v>854</v>
      </c>
      <c r="G2895" s="124" t="s">
        <v>400</v>
      </c>
      <c r="H2895" s="125" t="str">
        <f>IF(Proc[[#This Row],[type]]="LFF (MDG-F)",MID(Proc[[#This Row],[Obj]],13,10),"")</f>
        <v/>
      </c>
      <c r="I2895" s="124"/>
      <c r="J2895" s="125" t="b">
        <f>Proc[[#This Row],[Requested]]=Proc[[#This Row],[CurrentParent]]</f>
        <v>1</v>
      </c>
      <c r="K2895" s="144" t="str">
        <f>IF(Proc[[#This Row],[Author]]="Marcela Urrego",VLOOKUP(LEFT(Proc[[#This Row],[Requested]],1),Table3[#All],2,0),VLOOKUP(Proc[[#This Row],[Author]],Table4[],2,0))</f>
        <v>LS</v>
      </c>
      <c r="L2895" s="125" t="s">
        <v>4894</v>
      </c>
      <c r="M2895" s="113">
        <v>45861</v>
      </c>
      <c r="N2895" s="113"/>
      <c r="O2895" s="113"/>
      <c r="P2895" s="115" t="str">
        <f ca="1">IF(Proc[[#This Row],[DaysAgeing]]&gt;5,"yep","on track")</f>
        <v>yep</v>
      </c>
      <c r="Q2895" s="3">
        <f ca="1">IF(Proc[[#This Row],[DateClosed]]="",ABS(NETWORKDAYS(Proc[[#This Row],[DateOpened]],TODAY()))-1,ABS(NETWORKDAYS(Proc[[#This Row],[DateOpened]],Proc[[#This Row],[DateClosed]]))-1)</f>
        <v>107</v>
      </c>
      <c r="R2895" s="115" t="s">
        <v>489</v>
      </c>
      <c r="S2895" s="125"/>
    </row>
    <row r="2896" spans="1:19" hidden="1">
      <c r="A2896" s="124" t="s">
        <v>4892</v>
      </c>
      <c r="B2896" s="149" t="str">
        <f>IFERROR(VLOOKUP(Proc[[#This Row],[App]],Table2[],3,0),"open")</f>
        <v>ok</v>
      </c>
      <c r="C2896" s="124" t="s">
        <v>369</v>
      </c>
      <c r="D2896" t="s">
        <v>4889</v>
      </c>
      <c r="E2896" s="124" t="s">
        <v>4891</v>
      </c>
      <c r="F2896" s="125" t="s">
        <v>4891</v>
      </c>
      <c r="G2896" s="124" t="s">
        <v>400</v>
      </c>
      <c r="H2896" s="125" t="str">
        <f>IF(Proc[[#This Row],[type]]="LFF (MDG-F)",MID(Proc[[#This Row],[Obj]],13,10),"")</f>
        <v/>
      </c>
      <c r="I2896" s="124"/>
      <c r="J2896" s="125" t="b">
        <f>Proc[[#This Row],[Requested]]=Proc[[#This Row],[CurrentParent]]</f>
        <v>1</v>
      </c>
      <c r="K2896" s="144" t="str">
        <f>IF(Proc[[#This Row],[Author]]="Marcela Urrego",VLOOKUP(LEFT(Proc[[#This Row],[Requested]],1),Table3[#All],2,0),VLOOKUP(Proc[[#This Row],[Author]],Table4[],2,0))</f>
        <v>LS</v>
      </c>
      <c r="L2896" s="125" t="s">
        <v>4894</v>
      </c>
      <c r="M2896" s="113">
        <v>45861</v>
      </c>
      <c r="N2896" s="113"/>
      <c r="O2896" s="113"/>
      <c r="P2896" s="115" t="str">
        <f ca="1">IF(Proc[[#This Row],[DaysAgeing]]&gt;5,"yep","on track")</f>
        <v>yep</v>
      </c>
      <c r="Q2896" s="3">
        <f ca="1">IF(Proc[[#This Row],[DateClosed]]="",ABS(NETWORKDAYS(Proc[[#This Row],[DateOpened]],TODAY()))-1,ABS(NETWORKDAYS(Proc[[#This Row],[DateOpened]],Proc[[#This Row],[DateClosed]]))-1)</f>
        <v>107</v>
      </c>
      <c r="R2896" s="115" t="s">
        <v>489</v>
      </c>
      <c r="S2896" s="125"/>
    </row>
    <row r="2897" spans="1:19" hidden="1">
      <c r="A2897" t="s">
        <v>4895</v>
      </c>
      <c r="B2897" s="149" t="str">
        <f>IFERROR(VLOOKUP(Proc[[#This Row],[App]],Table2[],3,0),"open")</f>
        <v>ok</v>
      </c>
      <c r="C2897" s="124" t="s">
        <v>369</v>
      </c>
      <c r="D2897" t="s">
        <v>4897</v>
      </c>
      <c r="E2897" t="s">
        <v>417</v>
      </c>
      <c r="F2897" s="125" t="s">
        <v>417</v>
      </c>
      <c r="G2897" s="124" t="s">
        <v>400</v>
      </c>
      <c r="H2897" s="125" t="str">
        <f>IF(Proc[[#This Row],[type]]="LFF (MDG-F)",MID(Proc[[#This Row],[Obj]],13,10),"")</f>
        <v/>
      </c>
      <c r="J2897" s="125" t="b">
        <f>Proc[[#This Row],[Requested]]=Proc[[#This Row],[CurrentParent]]</f>
        <v>1</v>
      </c>
      <c r="K2897" s="144" t="str">
        <f>IF(Proc[[#This Row],[Author]]="Marcela Urrego",VLOOKUP(LEFT(Proc[[#This Row],[Requested]],1),Table3[#All],2,0),VLOOKUP(Proc[[#This Row],[Author]],Table4[],2,0))</f>
        <v>LS</v>
      </c>
      <c r="L2897" s="125" t="s">
        <v>4894</v>
      </c>
      <c r="M2897" s="113">
        <v>45861</v>
      </c>
      <c r="N2897" s="113"/>
      <c r="O2897" s="113"/>
      <c r="P2897" s="115" t="str">
        <f ca="1">IF(Proc[[#This Row],[DaysAgeing]]&gt;5,"yep","on track")</f>
        <v>yep</v>
      </c>
      <c r="Q2897" s="3">
        <f ca="1">IF(Proc[[#This Row],[DateClosed]]="",ABS(NETWORKDAYS(Proc[[#This Row],[DateOpened]],TODAY()))-1,ABS(NETWORKDAYS(Proc[[#This Row],[DateOpened]],Proc[[#This Row],[DateClosed]]))-1)</f>
        <v>107</v>
      </c>
      <c r="R2897" s="115" t="s">
        <v>972</v>
      </c>
      <c r="S2897" s="125"/>
    </row>
    <row r="2898" spans="1:19" hidden="1">
      <c r="A2898" s="124" t="s">
        <v>4895</v>
      </c>
      <c r="B2898" s="149" t="str">
        <f>IFERROR(VLOOKUP(Proc[[#This Row],[App]],Table2[],3,0),"open")</f>
        <v>ok</v>
      </c>
      <c r="C2898" s="124" t="s">
        <v>369</v>
      </c>
      <c r="D2898" t="s">
        <v>4898</v>
      </c>
      <c r="E2898" t="s">
        <v>417</v>
      </c>
      <c r="F2898" s="125" t="s">
        <v>417</v>
      </c>
      <c r="G2898" s="124" t="s">
        <v>400</v>
      </c>
      <c r="H2898" s="125" t="str">
        <f>IF(Proc[[#This Row],[type]]="LFF (MDG-F)",MID(Proc[[#This Row],[Obj]],13,10),"")</f>
        <v/>
      </c>
      <c r="J2898" s="125" t="b">
        <f>Proc[[#This Row],[Requested]]=Proc[[#This Row],[CurrentParent]]</f>
        <v>1</v>
      </c>
      <c r="K2898" s="144" t="str">
        <f>IF(Proc[[#This Row],[Author]]="Marcela Urrego",VLOOKUP(LEFT(Proc[[#This Row],[Requested]],1),Table3[#All],2,0),VLOOKUP(Proc[[#This Row],[Author]],Table4[],2,0))</f>
        <v>LS</v>
      </c>
      <c r="L2898" s="125" t="s">
        <v>4894</v>
      </c>
      <c r="M2898" s="113">
        <v>45861</v>
      </c>
      <c r="N2898" s="113"/>
      <c r="O2898" s="113"/>
      <c r="P2898" s="115" t="str">
        <f ca="1">IF(Proc[[#This Row],[DaysAgeing]]&gt;5,"yep","on track")</f>
        <v>yep</v>
      </c>
      <c r="Q2898" s="3">
        <f ca="1">IF(Proc[[#This Row],[DateClosed]]="",ABS(NETWORKDAYS(Proc[[#This Row],[DateOpened]],TODAY()))-1,ABS(NETWORKDAYS(Proc[[#This Row],[DateOpened]],Proc[[#This Row],[DateClosed]]))-1)</f>
        <v>107</v>
      </c>
      <c r="R2898" s="115" t="s">
        <v>972</v>
      </c>
      <c r="S2898" s="125"/>
    </row>
    <row r="2899" spans="1:19" hidden="1">
      <c r="A2899" s="124" t="s">
        <v>4895</v>
      </c>
      <c r="B2899" s="149" t="str">
        <f>IFERROR(VLOOKUP(Proc[[#This Row],[App]],Table2[],3,0),"open")</f>
        <v>ok</v>
      </c>
      <c r="C2899" s="124" t="s">
        <v>369</v>
      </c>
      <c r="D2899" t="s">
        <v>4896</v>
      </c>
      <c r="E2899" t="s">
        <v>2376</v>
      </c>
      <c r="F2899" s="125" t="s">
        <v>2376</v>
      </c>
      <c r="G2899" s="124" t="s">
        <v>400</v>
      </c>
      <c r="H2899" s="125" t="str">
        <f>IF(Proc[[#This Row],[type]]="LFF (MDG-F)",MID(Proc[[#This Row],[Obj]],13,10),"")</f>
        <v/>
      </c>
      <c r="J2899" s="125" t="b">
        <f>Proc[[#This Row],[Requested]]=Proc[[#This Row],[CurrentParent]]</f>
        <v>1</v>
      </c>
      <c r="K2899" s="144" t="str">
        <f>IF(Proc[[#This Row],[Author]]="Marcela Urrego",VLOOKUP(LEFT(Proc[[#This Row],[Requested]],1),Table3[#All],2,0),VLOOKUP(Proc[[#This Row],[Author]],Table4[],2,0))</f>
        <v>LS</v>
      </c>
      <c r="L2899" s="125" t="s">
        <v>4894</v>
      </c>
      <c r="M2899" s="113">
        <v>45861</v>
      </c>
      <c r="N2899" s="113"/>
      <c r="O2899" s="113"/>
      <c r="P2899" s="115" t="str">
        <f ca="1">IF(Proc[[#This Row],[DaysAgeing]]&gt;5,"yep","on track")</f>
        <v>yep</v>
      </c>
      <c r="Q2899" s="3">
        <f ca="1">IF(Proc[[#This Row],[DateClosed]]="",ABS(NETWORKDAYS(Proc[[#This Row],[DateOpened]],TODAY()))-1,ABS(NETWORKDAYS(Proc[[#This Row],[DateOpened]],Proc[[#This Row],[DateClosed]]))-1)</f>
        <v>107</v>
      </c>
      <c r="R2899" s="115" t="s">
        <v>972</v>
      </c>
      <c r="S2899" s="125"/>
    </row>
    <row r="2900" spans="1:19" hidden="1">
      <c r="A2900" t="s">
        <v>4902</v>
      </c>
      <c r="B2900" s="149" t="str">
        <f>IFERROR(VLOOKUP(Proc[[#This Row],[App]],Table2[],3,0),"open")</f>
        <v>ok</v>
      </c>
      <c r="C2900" t="s">
        <v>369</v>
      </c>
      <c r="D2900" t="s">
        <v>4900</v>
      </c>
      <c r="E2900" t="s">
        <v>476</v>
      </c>
      <c r="F2900" s="124" t="s">
        <v>476</v>
      </c>
      <c r="G2900" t="s">
        <v>400</v>
      </c>
      <c r="H2900" s="125" t="str">
        <f>IF(Proc[[#This Row],[type]]="LFF (MDG-F)",MID(Proc[[#This Row],[Obj]],13,10),"")</f>
        <v/>
      </c>
      <c r="I2900" t="s">
        <v>4910</v>
      </c>
      <c r="J2900" s="125" t="b">
        <f>Proc[[#This Row],[Requested]]=Proc[[#This Row],[CurrentParent]]</f>
        <v>1</v>
      </c>
      <c r="K2900" s="144" t="str">
        <f>IF(Proc[[#This Row],[Author]]="Marcela Urrego",VLOOKUP(LEFT(Proc[[#This Row],[Requested]],1),Table3[#All],2,0),VLOOKUP(Proc[[#This Row],[Author]],Table4[],2,0))</f>
        <v>MGF</v>
      </c>
      <c r="L2900" s="125" t="s">
        <v>4894</v>
      </c>
      <c r="M2900" s="115">
        <v>45862.516793981478</v>
      </c>
      <c r="N2900" s="113"/>
      <c r="O2900" s="113"/>
      <c r="P2900" s="115" t="str">
        <f ca="1">IF(Proc[[#This Row],[DaysAgeing]]&gt;5,"yep","on track")</f>
        <v>yep</v>
      </c>
      <c r="Q2900" s="3">
        <f ca="1">IF(Proc[[#This Row],[DateClosed]]="",ABS(NETWORKDAYS(Proc[[#This Row],[DateOpened]],TODAY()))-1,ABS(NETWORKDAYS(Proc[[#This Row],[DateOpened]],Proc[[#This Row],[DateClosed]]))-1)</f>
        <v>106</v>
      </c>
      <c r="R2900" s="115" t="s">
        <v>515</v>
      </c>
      <c r="S2900" s="125"/>
    </row>
    <row r="2901" spans="1:19" hidden="1">
      <c r="A2901" t="s">
        <v>4902</v>
      </c>
      <c r="B2901" s="149" t="str">
        <f>IFERROR(VLOOKUP(Proc[[#This Row],[App]],Table2[],3,0),"open")</f>
        <v>ok</v>
      </c>
      <c r="C2901" s="124" t="s">
        <v>369</v>
      </c>
      <c r="D2901" t="s">
        <v>4901</v>
      </c>
      <c r="E2901" t="s">
        <v>476</v>
      </c>
      <c r="F2901" s="124" t="s">
        <v>476</v>
      </c>
      <c r="G2901" s="124" t="s">
        <v>400</v>
      </c>
      <c r="H2901" s="125" t="str">
        <f>IF(Proc[[#This Row],[type]]="LFF (MDG-F)",MID(Proc[[#This Row],[Obj]],13,10),"")</f>
        <v/>
      </c>
      <c r="I2901" s="124" t="s">
        <v>4910</v>
      </c>
      <c r="J2901" s="125" t="b">
        <f>Proc[[#This Row],[Requested]]=Proc[[#This Row],[CurrentParent]]</f>
        <v>1</v>
      </c>
      <c r="K2901" s="144" t="str">
        <f>IF(Proc[[#This Row],[Author]]="Marcela Urrego",VLOOKUP(LEFT(Proc[[#This Row],[Requested]],1),Table3[#All],2,0),VLOOKUP(Proc[[#This Row],[Author]],Table4[],2,0))</f>
        <v>MGF</v>
      </c>
      <c r="L2901" s="125" t="s">
        <v>4894</v>
      </c>
      <c r="M2901" s="115">
        <v>45862.516793981478</v>
      </c>
      <c r="N2901" s="113"/>
      <c r="O2901" s="113"/>
      <c r="P2901" s="115" t="str">
        <f ca="1">IF(Proc[[#This Row],[DaysAgeing]]&gt;5,"yep","on track")</f>
        <v>yep</v>
      </c>
      <c r="Q2901" s="3">
        <f ca="1">IF(Proc[[#This Row],[DateClosed]]="",ABS(NETWORKDAYS(Proc[[#This Row],[DateOpened]],TODAY()))-1,ABS(NETWORKDAYS(Proc[[#This Row],[DateOpened]],Proc[[#This Row],[DateClosed]]))-1)</f>
        <v>106</v>
      </c>
      <c r="R2901" s="115" t="s">
        <v>515</v>
      </c>
      <c r="S2901" s="125"/>
    </row>
    <row r="2902" spans="1:19" hidden="1">
      <c r="A2902" t="s">
        <v>4903</v>
      </c>
      <c r="B2902" s="149" t="str">
        <f>IFERROR(VLOOKUP(Proc[[#This Row],[App]],Table2[],3,0),"open")</f>
        <v>ok</v>
      </c>
      <c r="C2902" s="124" t="s">
        <v>369</v>
      </c>
      <c r="D2902" t="s">
        <v>4900</v>
      </c>
      <c r="E2902" t="s">
        <v>4905</v>
      </c>
      <c r="F2902" s="125" t="s">
        <v>4905</v>
      </c>
      <c r="G2902" s="124" t="s">
        <v>400</v>
      </c>
      <c r="H2902" s="125" t="str">
        <f>IF(Proc[[#This Row],[type]]="LFF (MDG-F)",MID(Proc[[#This Row],[Obj]],13,10),"")</f>
        <v/>
      </c>
      <c r="J2902" s="125" t="b">
        <f>Proc[[#This Row],[Requested]]=Proc[[#This Row],[CurrentParent]]</f>
        <v>1</v>
      </c>
      <c r="K2902" s="144" t="str">
        <f>IF(Proc[[#This Row],[Author]]="Marcela Urrego",VLOOKUP(LEFT(Proc[[#This Row],[Requested]],1),Table3[#All],2,0),VLOOKUP(Proc[[#This Row],[Author]],Table4[],2,0))</f>
        <v>MGF</v>
      </c>
      <c r="L2902" s="125" t="s">
        <v>4894</v>
      </c>
      <c r="M2902" s="115">
        <v>45866.516793981478</v>
      </c>
      <c r="N2902" s="113"/>
      <c r="O2902" s="113"/>
      <c r="P2902" s="115" t="str">
        <f ca="1">IF(Proc[[#This Row],[DaysAgeing]]&gt;5,"yep","on track")</f>
        <v>yep</v>
      </c>
      <c r="Q2902" s="3">
        <f ca="1">IF(Proc[[#This Row],[DateClosed]]="",ABS(NETWORKDAYS(Proc[[#This Row],[DateOpened]],TODAY()))-1,ABS(NETWORKDAYS(Proc[[#This Row],[DateOpened]],Proc[[#This Row],[DateClosed]]))-1)</f>
        <v>104</v>
      </c>
      <c r="R2902" s="115" t="s">
        <v>515</v>
      </c>
      <c r="S2902" s="125"/>
    </row>
    <row r="2903" spans="1:19" hidden="1">
      <c r="A2903" s="124" t="s">
        <v>4903</v>
      </c>
      <c r="B2903" s="149" t="str">
        <f>IFERROR(VLOOKUP(Proc[[#This Row],[App]],Table2[],3,0),"open")</f>
        <v>ok</v>
      </c>
      <c r="C2903" s="124" t="s">
        <v>369</v>
      </c>
      <c r="D2903" t="s">
        <v>4901</v>
      </c>
      <c r="E2903" t="s">
        <v>4905</v>
      </c>
      <c r="F2903" s="125" t="s">
        <v>4905</v>
      </c>
      <c r="G2903" s="124" t="s">
        <v>400</v>
      </c>
      <c r="H2903" s="125" t="str">
        <f>IF(Proc[[#This Row],[type]]="LFF (MDG-F)",MID(Proc[[#This Row],[Obj]],13,10),"")</f>
        <v/>
      </c>
      <c r="J2903" s="125" t="b">
        <f>Proc[[#This Row],[Requested]]=Proc[[#This Row],[CurrentParent]]</f>
        <v>1</v>
      </c>
      <c r="K2903" s="144" t="str">
        <f>IF(Proc[[#This Row],[Author]]="Marcela Urrego",VLOOKUP(LEFT(Proc[[#This Row],[Requested]],1),Table3[#All],2,0),VLOOKUP(Proc[[#This Row],[Author]],Table4[],2,0))</f>
        <v>MGF</v>
      </c>
      <c r="L2903" s="125" t="s">
        <v>4894</v>
      </c>
      <c r="M2903" s="115">
        <v>45866.516793981478</v>
      </c>
      <c r="N2903" s="113"/>
      <c r="O2903" s="113"/>
      <c r="P2903" s="115" t="str">
        <f ca="1">IF(Proc[[#This Row],[DaysAgeing]]&gt;5,"yep","on track")</f>
        <v>yep</v>
      </c>
      <c r="Q2903" s="3">
        <f ca="1">IF(Proc[[#This Row],[DateClosed]]="",ABS(NETWORKDAYS(Proc[[#This Row],[DateOpened]],TODAY()))-1,ABS(NETWORKDAYS(Proc[[#This Row],[DateOpened]],Proc[[#This Row],[DateClosed]]))-1)</f>
        <v>104</v>
      </c>
      <c r="R2903" s="115" t="s">
        <v>515</v>
      </c>
      <c r="S2903" s="125"/>
    </row>
    <row r="2904" spans="1:19" hidden="1">
      <c r="A2904" s="124" t="s">
        <v>4903</v>
      </c>
      <c r="B2904" s="149" t="str">
        <f>IFERROR(VLOOKUP(Proc[[#This Row],[App]],Table2[],3,0),"open")</f>
        <v>ok</v>
      </c>
      <c r="C2904" s="124" t="s">
        <v>369</v>
      </c>
      <c r="D2904" t="s">
        <v>4904</v>
      </c>
      <c r="E2904" t="s">
        <v>476</v>
      </c>
      <c r="F2904" s="125" t="s">
        <v>476</v>
      </c>
      <c r="G2904" s="124" t="s">
        <v>400</v>
      </c>
      <c r="H2904" s="125" t="str">
        <f>IF(Proc[[#This Row],[type]]="LFF (MDG-F)",MID(Proc[[#This Row],[Obj]],13,10),"")</f>
        <v/>
      </c>
      <c r="J2904" s="125" t="b">
        <f>Proc[[#This Row],[Requested]]=Proc[[#This Row],[CurrentParent]]</f>
        <v>1</v>
      </c>
      <c r="K2904" s="144" t="str">
        <f>IF(Proc[[#This Row],[Author]]="Marcela Urrego",VLOOKUP(LEFT(Proc[[#This Row],[Requested]],1),Table3[#All],2,0),VLOOKUP(Proc[[#This Row],[Author]],Table4[],2,0))</f>
        <v>MGF</v>
      </c>
      <c r="L2904" s="125" t="s">
        <v>4894</v>
      </c>
      <c r="M2904" s="115">
        <v>45866.516793981478</v>
      </c>
      <c r="N2904" s="113"/>
      <c r="O2904" s="113"/>
      <c r="P2904" s="115" t="str">
        <f ca="1">IF(Proc[[#This Row],[DaysAgeing]]&gt;5,"yep","on track")</f>
        <v>yep</v>
      </c>
      <c r="Q2904" s="3">
        <f ca="1">IF(Proc[[#This Row],[DateClosed]]="",ABS(NETWORKDAYS(Proc[[#This Row],[DateOpened]],TODAY()))-1,ABS(NETWORKDAYS(Proc[[#This Row],[DateOpened]],Proc[[#This Row],[DateClosed]]))-1)</f>
        <v>104</v>
      </c>
      <c r="R2904" s="115" t="s">
        <v>515</v>
      </c>
      <c r="S2904" s="125"/>
    </row>
    <row r="2905" spans="1:19" hidden="1">
      <c r="A2905" t="s">
        <v>4906</v>
      </c>
      <c r="B2905" s="149" t="str">
        <f>IFERROR(VLOOKUP(Proc[[#This Row],[App]],Table2[],3,0),"open")</f>
        <v>ok</v>
      </c>
      <c r="C2905" s="124" t="s">
        <v>369</v>
      </c>
      <c r="D2905" t="s">
        <v>3129</v>
      </c>
      <c r="E2905" t="s">
        <v>4920</v>
      </c>
      <c r="F2905" s="125" t="s">
        <v>4920</v>
      </c>
      <c r="G2905" s="124" t="s">
        <v>400</v>
      </c>
      <c r="H2905" s="125" t="str">
        <f>IF(Proc[[#This Row],[type]]="LFF (MDG-F)",MID(Proc[[#This Row],[Obj]],13,10),"")</f>
        <v/>
      </c>
      <c r="J2905" s="125" t="b">
        <f>Proc[[#This Row],[Requested]]=Proc[[#This Row],[CurrentParent]]</f>
        <v>1</v>
      </c>
      <c r="K2905" s="144" t="str">
        <f>IF(Proc[[#This Row],[Author]]="Marcela Urrego",VLOOKUP(LEFT(Proc[[#This Row],[Requested]],1),Table3[#All],2,0),VLOOKUP(Proc[[#This Row],[Author]],Table4[],2,0))</f>
        <v>LS</v>
      </c>
      <c r="L2905" s="125" t="s">
        <v>4894</v>
      </c>
      <c r="M2905" s="115">
        <v>45866.516793981478</v>
      </c>
      <c r="N2905" s="113"/>
      <c r="O2905" s="113"/>
      <c r="P2905" s="115" t="str">
        <f ca="1">IF(Proc[[#This Row],[DaysAgeing]]&gt;5,"yep","on track")</f>
        <v>yep</v>
      </c>
      <c r="Q2905" s="3">
        <f ca="1">IF(Proc[[#This Row],[DateClosed]]="",ABS(NETWORKDAYS(Proc[[#This Row],[DateOpened]],TODAY()))-1,ABS(NETWORKDAYS(Proc[[#This Row],[DateOpened]],Proc[[#This Row],[DateClosed]]))-1)</f>
        <v>104</v>
      </c>
      <c r="R2905" s="115" t="s">
        <v>489</v>
      </c>
      <c r="S2905" s="125"/>
    </row>
    <row r="2906" spans="1:19" hidden="1">
      <c r="A2906" s="124" t="s">
        <v>4906</v>
      </c>
      <c r="B2906" s="149" t="str">
        <f>IFERROR(VLOOKUP(Proc[[#This Row],[App]],Table2[],3,0),"open")</f>
        <v>ok</v>
      </c>
      <c r="C2906" s="124" t="s">
        <v>369</v>
      </c>
      <c r="D2906" t="s">
        <v>3159</v>
      </c>
      <c r="E2906" t="s">
        <v>4920</v>
      </c>
      <c r="F2906" s="125" t="s">
        <v>4920</v>
      </c>
      <c r="G2906" s="124" t="s">
        <v>400</v>
      </c>
      <c r="H2906" s="125" t="str">
        <f>IF(Proc[[#This Row],[type]]="LFF (MDG-F)",MID(Proc[[#This Row],[Obj]],13,10),"")</f>
        <v/>
      </c>
      <c r="J2906" s="125" t="b">
        <f>Proc[[#This Row],[Requested]]=Proc[[#This Row],[CurrentParent]]</f>
        <v>1</v>
      </c>
      <c r="K2906" s="144" t="str">
        <f>IF(Proc[[#This Row],[Author]]="Marcela Urrego",VLOOKUP(LEFT(Proc[[#This Row],[Requested]],1),Table3[#All],2,0),VLOOKUP(Proc[[#This Row],[Author]],Table4[],2,0))</f>
        <v>LS</v>
      </c>
      <c r="L2906" s="125" t="s">
        <v>4894</v>
      </c>
      <c r="M2906" s="115">
        <v>45866.516793981478</v>
      </c>
      <c r="N2906" s="113"/>
      <c r="O2906" s="113"/>
      <c r="P2906" s="115" t="str">
        <f ca="1">IF(Proc[[#This Row],[DaysAgeing]]&gt;5,"yep","on track")</f>
        <v>yep</v>
      </c>
      <c r="Q2906" s="3">
        <f ca="1">IF(Proc[[#This Row],[DateClosed]]="",ABS(NETWORKDAYS(Proc[[#This Row],[DateOpened]],TODAY()))-1,ABS(NETWORKDAYS(Proc[[#This Row],[DateOpened]],Proc[[#This Row],[DateClosed]]))-1)</f>
        <v>104</v>
      </c>
      <c r="R2906" s="115" t="s">
        <v>489</v>
      </c>
      <c r="S2906" s="125"/>
    </row>
    <row r="2907" spans="1:19" hidden="1">
      <c r="A2907" t="s">
        <v>4907</v>
      </c>
      <c r="B2907" s="149" t="str">
        <f>IFERROR(VLOOKUP(Proc[[#This Row],[App]],Table2[],3,0),"open")</f>
        <v>ok</v>
      </c>
      <c r="C2907" s="124" t="s">
        <v>369</v>
      </c>
      <c r="D2907" t="s">
        <v>4908</v>
      </c>
      <c r="E2907" t="s">
        <v>4909</v>
      </c>
      <c r="F2907" s="125" t="s">
        <v>4909</v>
      </c>
      <c r="G2907" s="124" t="s">
        <v>400</v>
      </c>
      <c r="H2907" s="125" t="str">
        <f>IF(Proc[[#This Row],[type]]="LFF (MDG-F)",MID(Proc[[#This Row],[Obj]],13,10),"")</f>
        <v/>
      </c>
      <c r="J2907" s="125" t="b">
        <f>Proc[[#This Row],[Requested]]=Proc[[#This Row],[CurrentParent]]</f>
        <v>1</v>
      </c>
      <c r="K2907" s="144" t="str">
        <f>IF(Proc[[#This Row],[Author]]="Marcela Urrego",VLOOKUP(LEFT(Proc[[#This Row],[Requested]],1),Table3[#All],2,0),VLOOKUP(Proc[[#This Row],[Author]],Table4[],2,0))</f>
        <v>LS</v>
      </c>
      <c r="L2907" s="125" t="s">
        <v>4894</v>
      </c>
      <c r="M2907" s="115">
        <v>45866.516793981478</v>
      </c>
      <c r="N2907" s="113"/>
      <c r="O2907" s="113"/>
      <c r="P2907" s="115" t="str">
        <f ca="1">IF(Proc[[#This Row],[DaysAgeing]]&gt;5,"yep","on track")</f>
        <v>yep</v>
      </c>
      <c r="Q2907" s="3">
        <f ca="1">IF(Proc[[#This Row],[DateClosed]]="",ABS(NETWORKDAYS(Proc[[#This Row],[DateOpened]],TODAY()))-1,ABS(NETWORKDAYS(Proc[[#This Row],[DateOpened]],Proc[[#This Row],[DateClosed]]))-1)</f>
        <v>104</v>
      </c>
      <c r="R2907" s="115" t="s">
        <v>972</v>
      </c>
      <c r="S2907" s="125"/>
    </row>
    <row r="2908" spans="1:19" hidden="1">
      <c r="A2908" t="s">
        <v>4917</v>
      </c>
      <c r="B2908" s="149" t="str">
        <f>IFERROR(VLOOKUP(Proc[[#This Row],[App]],Table2[],3,0),"open")</f>
        <v>ok</v>
      </c>
      <c r="C2908" s="124" t="s">
        <v>369</v>
      </c>
      <c r="D2908" t="s">
        <v>4911</v>
      </c>
      <c r="E2908" t="s">
        <v>4914</v>
      </c>
      <c r="F2908" s="124" t="s">
        <v>4914</v>
      </c>
      <c r="G2908" t="s">
        <v>406</v>
      </c>
      <c r="H2908" s="125" t="str">
        <f>IF(Proc[[#This Row],[type]]="LFF (MDG-F)",MID(Proc[[#This Row],[Obj]],13,10),"")</f>
        <v>NO50R00005</v>
      </c>
      <c r="J2908" s="125" t="b">
        <f>Proc[[#This Row],[Requested]]=Proc[[#This Row],[CurrentParent]]</f>
        <v>1</v>
      </c>
      <c r="K2908" s="144" t="str">
        <f>IF(Proc[[#This Row],[Author]]="Marcela Urrego",VLOOKUP(LEFT(Proc[[#This Row],[Requested]],1),Table3[#All],2,0),VLOOKUP(Proc[[#This Row],[Author]],Table4[],2,0))</f>
        <v>HC</v>
      </c>
      <c r="L2908" s="125" t="s">
        <v>4894</v>
      </c>
      <c r="M2908" s="115">
        <v>45866.516793981478</v>
      </c>
      <c r="N2908" s="113"/>
      <c r="O2908" s="113"/>
      <c r="P2908" s="115" t="str">
        <f ca="1">IF(Proc[[#This Row],[DaysAgeing]]&gt;5,"yep","on track")</f>
        <v>yep</v>
      </c>
      <c r="Q2908" s="3">
        <f ca="1">IF(Proc[[#This Row],[DateClosed]]="",ABS(NETWORKDAYS(Proc[[#This Row],[DateOpened]],TODAY()))-1,ABS(NETWORKDAYS(Proc[[#This Row],[DateOpened]],Proc[[#This Row],[DateClosed]]))-1)</f>
        <v>104</v>
      </c>
      <c r="R2908" s="115" t="s">
        <v>764</v>
      </c>
      <c r="S2908" s="125"/>
    </row>
    <row r="2909" spans="1:19" hidden="1">
      <c r="A2909" s="124" t="s">
        <v>4917</v>
      </c>
      <c r="B2909" s="149" t="str">
        <f>IFERROR(VLOOKUP(Proc[[#This Row],[App]],Table2[],3,0),"open")</f>
        <v>ok</v>
      </c>
      <c r="C2909" s="124" t="s">
        <v>369</v>
      </c>
      <c r="D2909" t="s">
        <v>4912</v>
      </c>
      <c r="E2909" t="s">
        <v>4915</v>
      </c>
      <c r="F2909" s="124" t="s">
        <v>4915</v>
      </c>
      <c r="G2909" s="124" t="s">
        <v>406</v>
      </c>
      <c r="H2909" s="125" t="str">
        <f>IF(Proc[[#This Row],[type]]="LFF (MDG-F)",MID(Proc[[#This Row],[Obj]],13,10),"")</f>
        <v>CH75L70000</v>
      </c>
      <c r="J2909" s="125" t="b">
        <f>Proc[[#This Row],[Requested]]=Proc[[#This Row],[CurrentParent]]</f>
        <v>1</v>
      </c>
      <c r="K2909" s="144" t="str">
        <f>IF(Proc[[#This Row],[Author]]="Marcela Urrego",VLOOKUP(LEFT(Proc[[#This Row],[Requested]],1),Table3[#All],2,0),VLOOKUP(Proc[[#This Row],[Author]],Table4[],2,0))</f>
        <v>HC</v>
      </c>
      <c r="L2909" s="125" t="s">
        <v>4894</v>
      </c>
      <c r="M2909" s="115">
        <v>45866.516793981478</v>
      </c>
      <c r="N2909" s="113"/>
      <c r="O2909" s="113"/>
      <c r="P2909" s="115" t="str">
        <f ca="1">IF(Proc[[#This Row],[DaysAgeing]]&gt;5,"yep","on track")</f>
        <v>yep</v>
      </c>
      <c r="Q2909" s="3">
        <f ca="1">IF(Proc[[#This Row],[DateClosed]]="",ABS(NETWORKDAYS(Proc[[#This Row],[DateOpened]],TODAY()))-1,ABS(NETWORKDAYS(Proc[[#This Row],[DateOpened]],Proc[[#This Row],[DateClosed]]))-1)</f>
        <v>104</v>
      </c>
      <c r="R2909" s="115" t="s">
        <v>764</v>
      </c>
      <c r="S2909" s="125"/>
    </row>
    <row r="2910" spans="1:19" hidden="1">
      <c r="A2910" s="124" t="s">
        <v>4917</v>
      </c>
      <c r="B2910" s="149" t="str">
        <f>IFERROR(VLOOKUP(Proc[[#This Row],[App]],Table2[],3,0),"open")</f>
        <v>ok</v>
      </c>
      <c r="C2910" s="124" t="s">
        <v>369</v>
      </c>
      <c r="D2910" t="s">
        <v>4913</v>
      </c>
      <c r="E2910" t="s">
        <v>4916</v>
      </c>
      <c r="F2910" s="124" t="s">
        <v>4916</v>
      </c>
      <c r="G2910" s="124" t="s">
        <v>406</v>
      </c>
      <c r="H2910" s="125" t="str">
        <f>IF(Proc[[#This Row],[type]]="LFF (MDG-F)",MID(Proc[[#This Row],[Obj]],13,10),"")</f>
        <v>DE50R06355</v>
      </c>
      <c r="J2910" s="125" t="b">
        <f>Proc[[#This Row],[Requested]]=Proc[[#This Row],[CurrentParent]]</f>
        <v>1</v>
      </c>
      <c r="K2910" s="144" t="str">
        <f>IF(Proc[[#This Row],[Author]]="Marcela Urrego",VLOOKUP(LEFT(Proc[[#This Row],[Requested]],1),Table3[#All],2,0),VLOOKUP(Proc[[#This Row],[Author]],Table4[],2,0))</f>
        <v>HC</v>
      </c>
      <c r="L2910" s="125" t="s">
        <v>4894</v>
      </c>
      <c r="M2910" s="115">
        <v>45866.516793981478</v>
      </c>
      <c r="N2910" s="113"/>
      <c r="O2910" s="113"/>
      <c r="P2910" s="115" t="str">
        <f ca="1">IF(Proc[[#This Row],[DaysAgeing]]&gt;5,"yep","on track")</f>
        <v>yep</v>
      </c>
      <c r="Q2910" s="3">
        <f ca="1">IF(Proc[[#This Row],[DateClosed]]="",ABS(NETWORKDAYS(Proc[[#This Row],[DateOpened]],TODAY()))-1,ABS(NETWORKDAYS(Proc[[#This Row],[DateOpened]],Proc[[#This Row],[DateClosed]]))-1)</f>
        <v>104</v>
      </c>
      <c r="R2910" s="115" t="s">
        <v>764</v>
      </c>
      <c r="S2910" s="125"/>
    </row>
    <row r="2911" spans="1:19" hidden="1">
      <c r="A2911" t="s">
        <v>4919</v>
      </c>
      <c r="B2911" s="149" t="str">
        <f>IFERROR(VLOOKUP(Proc[[#This Row],[App]],Table2[],3,0),"open")</f>
        <v>ok</v>
      </c>
      <c r="C2911" s="124" t="s">
        <v>369</v>
      </c>
      <c r="D2911" t="s">
        <v>4918</v>
      </c>
      <c r="E2911" t="s">
        <v>4333</v>
      </c>
      <c r="F2911" s="124" t="s">
        <v>4333</v>
      </c>
      <c r="G2911" t="s">
        <v>400</v>
      </c>
      <c r="H2911" s="125" t="str">
        <f>IF(Proc[[#This Row],[type]]="LFF (MDG-F)",MID(Proc[[#This Row],[Obj]],13,10),"")</f>
        <v/>
      </c>
      <c r="J2911" s="125" t="b">
        <f>Proc[[#This Row],[Requested]]=Proc[[#This Row],[CurrentParent]]</f>
        <v>1</v>
      </c>
      <c r="K2911" s="144" t="str">
        <f>IF(Proc[[#This Row],[Author]]="Marcela Urrego",VLOOKUP(LEFT(Proc[[#This Row],[Requested]],1),Table3[#All],2,0),VLOOKUP(Proc[[#This Row],[Author]],Table4[],2,0))</f>
        <v>HC</v>
      </c>
      <c r="L2911" s="125" t="s">
        <v>4894</v>
      </c>
      <c r="M2911" s="115">
        <v>45866.516793981478</v>
      </c>
      <c r="N2911" s="113"/>
      <c r="O2911" s="113"/>
      <c r="P2911" s="115" t="str">
        <f ca="1">IF(Proc[[#This Row],[DaysAgeing]]&gt;5,"yep","on track")</f>
        <v>yep</v>
      </c>
      <c r="Q2911" s="3">
        <f ca="1">IF(Proc[[#This Row],[DateClosed]]="",ABS(NETWORKDAYS(Proc[[#This Row],[DateOpened]],TODAY()))-1,ABS(NETWORKDAYS(Proc[[#This Row],[DateOpened]],Proc[[#This Row],[DateClosed]]))-1)</f>
        <v>104</v>
      </c>
      <c r="R2911" s="115" t="s">
        <v>410</v>
      </c>
      <c r="S2911" s="125"/>
    </row>
    <row r="2912" spans="1:19" hidden="1">
      <c r="A2912" t="s">
        <v>4933</v>
      </c>
      <c r="B2912" s="149" t="str">
        <f>IFERROR(VLOOKUP(Proc[[#This Row],[App]],Table2[],3,0),"open")</f>
        <v>ok</v>
      </c>
      <c r="C2912" s="124" t="s">
        <v>369</v>
      </c>
      <c r="D2912" t="s">
        <v>4921</v>
      </c>
      <c r="E2912" t="s">
        <v>4927</v>
      </c>
      <c r="F2912" s="125" t="s">
        <v>4927</v>
      </c>
      <c r="G2912" s="124" t="s">
        <v>400</v>
      </c>
      <c r="H2912" s="125" t="str">
        <f>IF(Proc[[#This Row],[type]]="LFF (MDG-F)",MID(Proc[[#This Row],[Obj]],13,10),"")</f>
        <v/>
      </c>
      <c r="J2912" s="125" t="b">
        <f>Proc[[#This Row],[Requested]]=Proc[[#This Row],[CurrentParent]]</f>
        <v>1</v>
      </c>
      <c r="K2912" s="144" t="str">
        <f>IF(Proc[[#This Row],[Author]]="Marcela Urrego",VLOOKUP(LEFT(Proc[[#This Row],[Requested]],1),Table3[#All],2,0),VLOOKUP(Proc[[#This Row],[Author]],Table4[],2,0))</f>
        <v>LS</v>
      </c>
      <c r="L2912" s="125" t="s">
        <v>4894</v>
      </c>
      <c r="M2912" s="113">
        <v>45868</v>
      </c>
      <c r="N2912" s="113"/>
      <c r="O2912" s="113"/>
      <c r="P2912" s="115" t="str">
        <f ca="1">IF(Proc[[#This Row],[DaysAgeing]]&gt;5,"yep","on track")</f>
        <v>yep</v>
      </c>
      <c r="Q2912" s="3">
        <f ca="1">IF(Proc[[#This Row],[DateClosed]]="",ABS(NETWORKDAYS(Proc[[#This Row],[DateOpened]],TODAY()))-1,ABS(NETWORKDAYS(Proc[[#This Row],[DateOpened]],Proc[[#This Row],[DateClosed]]))-1)</f>
        <v>102</v>
      </c>
      <c r="R2912" s="115" t="s">
        <v>972</v>
      </c>
      <c r="S2912" s="125"/>
    </row>
    <row r="2913" spans="1:19" hidden="1">
      <c r="A2913" s="124" t="s">
        <v>4933</v>
      </c>
      <c r="B2913" s="149" t="str">
        <f>IFERROR(VLOOKUP(Proc[[#This Row],[App]],Table2[],3,0),"open")</f>
        <v>ok</v>
      </c>
      <c r="C2913" s="124" t="s">
        <v>369</v>
      </c>
      <c r="D2913" t="s">
        <v>4922</v>
      </c>
      <c r="E2913" t="s">
        <v>4928</v>
      </c>
      <c r="F2913" s="125" t="s">
        <v>4928</v>
      </c>
      <c r="G2913" s="124" t="s">
        <v>400</v>
      </c>
      <c r="H2913" s="125" t="str">
        <f>IF(Proc[[#This Row],[type]]="LFF (MDG-F)",MID(Proc[[#This Row],[Obj]],13,10),"")</f>
        <v/>
      </c>
      <c r="J2913" s="125" t="b">
        <f>Proc[[#This Row],[Requested]]=Proc[[#This Row],[CurrentParent]]</f>
        <v>1</v>
      </c>
      <c r="K2913" s="144" t="str">
        <f>IF(Proc[[#This Row],[Author]]="Marcela Urrego",VLOOKUP(LEFT(Proc[[#This Row],[Requested]],1),Table3[#All],2,0),VLOOKUP(Proc[[#This Row],[Author]],Table4[],2,0))</f>
        <v>LS</v>
      </c>
      <c r="L2913" s="125" t="s">
        <v>4894</v>
      </c>
      <c r="M2913" s="113">
        <v>45868</v>
      </c>
      <c r="N2913" s="113"/>
      <c r="O2913" s="113"/>
      <c r="P2913" s="115" t="str">
        <f ca="1">IF(Proc[[#This Row],[DaysAgeing]]&gt;5,"yep","on track")</f>
        <v>yep</v>
      </c>
      <c r="Q2913" s="3">
        <f ca="1">IF(Proc[[#This Row],[DateClosed]]="",ABS(NETWORKDAYS(Proc[[#This Row],[DateOpened]],TODAY()))-1,ABS(NETWORKDAYS(Proc[[#This Row],[DateOpened]],Proc[[#This Row],[DateClosed]]))-1)</f>
        <v>102</v>
      </c>
      <c r="R2913" s="115" t="s">
        <v>972</v>
      </c>
      <c r="S2913" s="125"/>
    </row>
    <row r="2914" spans="1:19" hidden="1">
      <c r="A2914" s="124" t="s">
        <v>4933</v>
      </c>
      <c r="B2914" s="149" t="str">
        <f>IFERROR(VLOOKUP(Proc[[#This Row],[App]],Table2[],3,0),"open")</f>
        <v>ok</v>
      </c>
      <c r="C2914" s="124" t="s">
        <v>369</v>
      </c>
      <c r="D2914" t="s">
        <v>4923</v>
      </c>
      <c r="E2914" t="s">
        <v>4929</v>
      </c>
      <c r="F2914" s="125" t="s">
        <v>4929</v>
      </c>
      <c r="G2914" s="124" t="s">
        <v>400</v>
      </c>
      <c r="H2914" s="125" t="str">
        <f>IF(Proc[[#This Row],[type]]="LFF (MDG-F)",MID(Proc[[#This Row],[Obj]],13,10),"")</f>
        <v/>
      </c>
      <c r="J2914" s="125" t="b">
        <f>Proc[[#This Row],[Requested]]=Proc[[#This Row],[CurrentParent]]</f>
        <v>1</v>
      </c>
      <c r="K2914" s="144" t="str">
        <f>IF(Proc[[#This Row],[Author]]="Marcela Urrego",VLOOKUP(LEFT(Proc[[#This Row],[Requested]],1),Table3[#All],2,0),VLOOKUP(Proc[[#This Row],[Author]],Table4[],2,0))</f>
        <v>LS</v>
      </c>
      <c r="L2914" s="125" t="s">
        <v>4894</v>
      </c>
      <c r="M2914" s="113">
        <v>45868</v>
      </c>
      <c r="N2914" s="113"/>
      <c r="O2914" s="113"/>
      <c r="P2914" s="115" t="str">
        <f ca="1">IF(Proc[[#This Row],[DaysAgeing]]&gt;5,"yep","on track")</f>
        <v>yep</v>
      </c>
      <c r="Q2914" s="3">
        <f ca="1">IF(Proc[[#This Row],[DateClosed]]="",ABS(NETWORKDAYS(Proc[[#This Row],[DateOpened]],TODAY()))-1,ABS(NETWORKDAYS(Proc[[#This Row],[DateOpened]],Proc[[#This Row],[DateClosed]]))-1)</f>
        <v>102</v>
      </c>
      <c r="R2914" s="115" t="s">
        <v>972</v>
      </c>
      <c r="S2914" s="125"/>
    </row>
    <row r="2915" spans="1:19" hidden="1">
      <c r="A2915" s="124" t="s">
        <v>4933</v>
      </c>
      <c r="B2915" s="149" t="str">
        <f>IFERROR(VLOOKUP(Proc[[#This Row],[App]],Table2[],3,0),"open")</f>
        <v>ok</v>
      </c>
      <c r="C2915" s="124" t="s">
        <v>369</v>
      </c>
      <c r="D2915" t="s">
        <v>4924</v>
      </c>
      <c r="E2915" t="s">
        <v>4930</v>
      </c>
      <c r="F2915" s="125" t="s">
        <v>4930</v>
      </c>
      <c r="G2915" s="124" t="s">
        <v>400</v>
      </c>
      <c r="H2915" s="125" t="str">
        <f>IF(Proc[[#This Row],[type]]="LFF (MDG-F)",MID(Proc[[#This Row],[Obj]],13,10),"")</f>
        <v/>
      </c>
      <c r="J2915" s="125" t="b">
        <f>Proc[[#This Row],[Requested]]=Proc[[#This Row],[CurrentParent]]</f>
        <v>1</v>
      </c>
      <c r="K2915" s="144" t="str">
        <f>IF(Proc[[#This Row],[Author]]="Marcela Urrego",VLOOKUP(LEFT(Proc[[#This Row],[Requested]],1),Table3[#All],2,0),VLOOKUP(Proc[[#This Row],[Author]],Table4[],2,0))</f>
        <v>LS</v>
      </c>
      <c r="L2915" s="125" t="s">
        <v>4894</v>
      </c>
      <c r="M2915" s="113">
        <v>45868</v>
      </c>
      <c r="N2915" s="113"/>
      <c r="O2915" s="113"/>
      <c r="P2915" s="115" t="str">
        <f ca="1">IF(Proc[[#This Row],[DaysAgeing]]&gt;5,"yep","on track")</f>
        <v>yep</v>
      </c>
      <c r="Q2915" s="3">
        <f ca="1">IF(Proc[[#This Row],[DateClosed]]="",ABS(NETWORKDAYS(Proc[[#This Row],[DateOpened]],TODAY()))-1,ABS(NETWORKDAYS(Proc[[#This Row],[DateOpened]],Proc[[#This Row],[DateClosed]]))-1)</f>
        <v>102</v>
      </c>
      <c r="R2915" s="115" t="s">
        <v>972</v>
      </c>
      <c r="S2915" s="125"/>
    </row>
    <row r="2916" spans="1:19" hidden="1">
      <c r="A2916" s="124" t="s">
        <v>4933</v>
      </c>
      <c r="B2916" s="149" t="str">
        <f>IFERROR(VLOOKUP(Proc[[#This Row],[App]],Table2[],3,0),"open")</f>
        <v>ok</v>
      </c>
      <c r="C2916" s="124" t="s">
        <v>369</v>
      </c>
      <c r="D2916" t="s">
        <v>4925</v>
      </c>
      <c r="E2916" t="s">
        <v>2206</v>
      </c>
      <c r="F2916" s="125" t="s">
        <v>2206</v>
      </c>
      <c r="G2916" s="124" t="s">
        <v>400</v>
      </c>
      <c r="H2916" s="125" t="str">
        <f>IF(Proc[[#This Row],[type]]="LFF (MDG-F)",MID(Proc[[#This Row],[Obj]],13,10),"")</f>
        <v/>
      </c>
      <c r="J2916" s="125" t="b">
        <f>Proc[[#This Row],[Requested]]=Proc[[#This Row],[CurrentParent]]</f>
        <v>1</v>
      </c>
      <c r="K2916" s="144" t="str">
        <f>IF(Proc[[#This Row],[Author]]="Marcela Urrego",VLOOKUP(LEFT(Proc[[#This Row],[Requested]],1),Table3[#All],2,0),VLOOKUP(Proc[[#This Row],[Author]],Table4[],2,0))</f>
        <v>LS</v>
      </c>
      <c r="L2916" s="125" t="s">
        <v>4894</v>
      </c>
      <c r="M2916" s="113">
        <v>45868</v>
      </c>
      <c r="N2916" s="113"/>
      <c r="O2916" s="113"/>
      <c r="P2916" s="115" t="str">
        <f ca="1">IF(Proc[[#This Row],[DaysAgeing]]&gt;5,"yep","on track")</f>
        <v>yep</v>
      </c>
      <c r="Q2916" s="3">
        <f ca="1">IF(Proc[[#This Row],[DateClosed]]="",ABS(NETWORKDAYS(Proc[[#This Row],[DateOpened]],TODAY()))-1,ABS(NETWORKDAYS(Proc[[#This Row],[DateOpened]],Proc[[#This Row],[DateClosed]]))-1)</f>
        <v>102</v>
      </c>
      <c r="R2916" s="115" t="s">
        <v>972</v>
      </c>
      <c r="S2916" s="125"/>
    </row>
    <row r="2917" spans="1:19" hidden="1">
      <c r="A2917" s="124" t="s">
        <v>4933</v>
      </c>
      <c r="B2917" s="149" t="str">
        <f>IFERROR(VLOOKUP(Proc[[#This Row],[App]],Table2[],3,0),"open")</f>
        <v>ok</v>
      </c>
      <c r="C2917" s="124" t="s">
        <v>369</v>
      </c>
      <c r="D2917" t="s">
        <v>4926</v>
      </c>
      <c r="E2917" t="s">
        <v>4931</v>
      </c>
      <c r="F2917" s="125" t="s">
        <v>4931</v>
      </c>
      <c r="G2917" s="124" t="s">
        <v>400</v>
      </c>
      <c r="H2917" s="125" t="str">
        <f>IF(Proc[[#This Row],[type]]="LFF (MDG-F)",MID(Proc[[#This Row],[Obj]],13,10),"")</f>
        <v/>
      </c>
      <c r="J2917" s="125" t="b">
        <f>Proc[[#This Row],[Requested]]=Proc[[#This Row],[CurrentParent]]</f>
        <v>1</v>
      </c>
      <c r="K2917" s="144" t="str">
        <f>IF(Proc[[#This Row],[Author]]="Marcela Urrego",VLOOKUP(LEFT(Proc[[#This Row],[Requested]],1),Table3[#All],2,0),VLOOKUP(Proc[[#This Row],[Author]],Table4[],2,0))</f>
        <v>LS</v>
      </c>
      <c r="L2917" s="125" t="s">
        <v>4894</v>
      </c>
      <c r="M2917" s="113">
        <v>45868</v>
      </c>
      <c r="N2917" s="113"/>
      <c r="O2917" s="113"/>
      <c r="P2917" s="115" t="str">
        <f ca="1">IF(Proc[[#This Row],[DaysAgeing]]&gt;5,"yep","on track")</f>
        <v>yep</v>
      </c>
      <c r="Q2917" s="3">
        <f ca="1">IF(Proc[[#This Row],[DateClosed]]="",ABS(NETWORKDAYS(Proc[[#This Row],[DateOpened]],TODAY()))-1,ABS(NETWORKDAYS(Proc[[#This Row],[DateOpened]],Proc[[#This Row],[DateClosed]]))-1)</f>
        <v>102</v>
      </c>
      <c r="R2917" s="115" t="s">
        <v>972</v>
      </c>
      <c r="S2917" s="125"/>
    </row>
    <row r="2918" spans="1:19" hidden="1">
      <c r="A2918" s="124" t="s">
        <v>4933</v>
      </c>
      <c r="B2918" s="149" t="str">
        <f>IFERROR(VLOOKUP(Proc[[#This Row],[App]],Table2[],3,0),"open")</f>
        <v>ok</v>
      </c>
      <c r="C2918" s="124" t="s">
        <v>369</v>
      </c>
      <c r="D2918" t="s">
        <v>4932</v>
      </c>
      <c r="E2918" t="s">
        <v>2815</v>
      </c>
      <c r="F2918" s="125" t="s">
        <v>2815</v>
      </c>
      <c r="G2918" s="124" t="s">
        <v>400</v>
      </c>
      <c r="H2918" s="125" t="str">
        <f>IF(Proc[[#This Row],[type]]="LFF (MDG-F)",MID(Proc[[#This Row],[Obj]],13,10),"")</f>
        <v/>
      </c>
      <c r="J2918" s="125" t="b">
        <f>Proc[[#This Row],[Requested]]=Proc[[#This Row],[CurrentParent]]</f>
        <v>1</v>
      </c>
      <c r="K2918" s="144" t="str">
        <f>IF(Proc[[#This Row],[Author]]="Marcela Urrego",VLOOKUP(LEFT(Proc[[#This Row],[Requested]],1),Table3[#All],2,0),VLOOKUP(Proc[[#This Row],[Author]],Table4[],2,0))</f>
        <v>LS</v>
      </c>
      <c r="L2918" s="125" t="s">
        <v>4894</v>
      </c>
      <c r="M2918" s="113">
        <v>45868</v>
      </c>
      <c r="N2918" s="113"/>
      <c r="O2918" s="113"/>
      <c r="P2918" s="115" t="str">
        <f ca="1">IF(Proc[[#This Row],[DaysAgeing]]&gt;5,"yep","on track")</f>
        <v>yep</v>
      </c>
      <c r="Q2918" s="3">
        <f ca="1">IF(Proc[[#This Row],[DateClosed]]="",ABS(NETWORKDAYS(Proc[[#This Row],[DateOpened]],TODAY()))-1,ABS(NETWORKDAYS(Proc[[#This Row],[DateOpened]],Proc[[#This Row],[DateClosed]]))-1)</f>
        <v>102</v>
      </c>
      <c r="R2918" s="115" t="s">
        <v>972</v>
      </c>
      <c r="S2918" s="125"/>
    </row>
    <row r="2919" spans="1:19" hidden="1">
      <c r="A2919" t="s">
        <v>4934</v>
      </c>
      <c r="B2919" s="149" t="str">
        <f>IFERROR(VLOOKUP(Proc[[#This Row],[App]],Table2[],3,0),"open")</f>
        <v>ok</v>
      </c>
      <c r="C2919" s="124" t="s">
        <v>369</v>
      </c>
      <c r="D2919" t="s">
        <v>4955</v>
      </c>
      <c r="E2919" t="s">
        <v>4935</v>
      </c>
      <c r="F2919" s="125" t="s">
        <v>4935</v>
      </c>
      <c r="G2919" t="s">
        <v>406</v>
      </c>
      <c r="H2919" s="125" t="str">
        <f>IF(Proc[[#This Row],[type]]="LFF (MDG-F)",MID(Proc[[#This Row],[Obj]],13,10),"")</f>
        <v>DE10GTX000</v>
      </c>
      <c r="J2919" s="125" t="b">
        <f>Proc[[#This Row],[Requested]]=Proc[[#This Row],[CurrentParent]]</f>
        <v>1</v>
      </c>
      <c r="K2919" s="144" t="str">
        <f>IF(Proc[[#This Row],[Author]]="Marcela Urrego",VLOOKUP(LEFT(Proc[[#This Row],[Requested]],1),Table3[#All],2,0),VLOOKUP(Proc[[#This Row],[Author]],Table4[],2,0))</f>
        <v>MGF</v>
      </c>
      <c r="L2919" s="125" t="s">
        <v>4894</v>
      </c>
      <c r="M2919" s="113">
        <v>45868</v>
      </c>
      <c r="N2919" s="113"/>
      <c r="O2919" s="113"/>
      <c r="P2919" s="115" t="str">
        <f ca="1">IF(Proc[[#This Row],[DaysAgeing]]&gt;5,"yep","on track")</f>
        <v>yep</v>
      </c>
      <c r="Q2919" s="3">
        <f ca="1">IF(Proc[[#This Row],[DateClosed]]="",ABS(NETWORKDAYS(Proc[[#This Row],[DateOpened]],TODAY()))-1,ABS(NETWORKDAYS(Proc[[#This Row],[DateOpened]],Proc[[#This Row],[DateClosed]]))-1)</f>
        <v>102</v>
      </c>
      <c r="R2919" s="115" t="s">
        <v>515</v>
      </c>
      <c r="S2919" s="125"/>
    </row>
    <row r="2920" spans="1:19" hidden="1">
      <c r="A2920" s="124" t="s">
        <v>4934</v>
      </c>
      <c r="B2920" s="149" t="str">
        <f>IFERROR(VLOOKUP(Proc[[#This Row],[App]],Table2[],3,0),"open")</f>
        <v>ok</v>
      </c>
      <c r="C2920" s="124" t="s">
        <v>369</v>
      </c>
      <c r="D2920" t="s">
        <v>4941</v>
      </c>
      <c r="E2920" t="s">
        <v>4936</v>
      </c>
      <c r="F2920" s="125" t="s">
        <v>4936</v>
      </c>
      <c r="G2920" s="124" t="s">
        <v>400</v>
      </c>
      <c r="H2920" s="125" t="str">
        <f>IF(Proc[[#This Row],[type]]="LFF (MDG-F)",MID(Proc[[#This Row],[Obj]],13,10),"")</f>
        <v/>
      </c>
      <c r="J2920" s="125" t="b">
        <f>Proc[[#This Row],[Requested]]=Proc[[#This Row],[CurrentParent]]</f>
        <v>1</v>
      </c>
      <c r="K2920" s="144" t="str">
        <f>IF(Proc[[#This Row],[Author]]="Marcela Urrego",VLOOKUP(LEFT(Proc[[#This Row],[Requested]],1),Table3[#All],2,0),VLOOKUP(Proc[[#This Row],[Author]],Table4[],2,0))</f>
        <v>HC</v>
      </c>
      <c r="L2920" s="125" t="s">
        <v>4894</v>
      </c>
      <c r="M2920" s="113">
        <v>45869</v>
      </c>
      <c r="N2920" s="113"/>
      <c r="O2920" s="113"/>
      <c r="P2920" s="115" t="str">
        <f ca="1">IF(Proc[[#This Row],[DaysAgeing]]&gt;5,"yep","on track")</f>
        <v>yep</v>
      </c>
      <c r="Q2920" s="3">
        <f ca="1">IF(Proc[[#This Row],[DateClosed]]="",ABS(NETWORKDAYS(Proc[[#This Row],[DateOpened]],TODAY()))-1,ABS(NETWORKDAYS(Proc[[#This Row],[DateOpened]],Proc[[#This Row],[DateClosed]]))-1)</f>
        <v>101</v>
      </c>
      <c r="R2920" s="115" t="s">
        <v>415</v>
      </c>
      <c r="S2920" s="125"/>
    </row>
    <row r="2921" spans="1:19" hidden="1">
      <c r="A2921" s="124" t="s">
        <v>4934</v>
      </c>
      <c r="B2921" s="149" t="str">
        <f>IFERROR(VLOOKUP(Proc[[#This Row],[App]],Table2[],3,0),"open")</f>
        <v>ok</v>
      </c>
      <c r="C2921" s="124" t="s">
        <v>369</v>
      </c>
      <c r="D2921" t="s">
        <v>4942</v>
      </c>
      <c r="E2921" t="s">
        <v>4936</v>
      </c>
      <c r="F2921" s="125" t="s">
        <v>4936</v>
      </c>
      <c r="G2921" s="124" t="s">
        <v>400</v>
      </c>
      <c r="H2921" s="125" t="str">
        <f>IF(Proc[[#This Row],[type]]="LFF (MDG-F)",MID(Proc[[#This Row],[Obj]],13,10),"")</f>
        <v/>
      </c>
      <c r="J2921" s="125" t="b">
        <f>Proc[[#This Row],[Requested]]=Proc[[#This Row],[CurrentParent]]</f>
        <v>1</v>
      </c>
      <c r="K2921" s="144" t="str">
        <f>IF(Proc[[#This Row],[Author]]="Marcela Urrego",VLOOKUP(LEFT(Proc[[#This Row],[Requested]],1),Table3[#All],2,0),VLOOKUP(Proc[[#This Row],[Author]],Table4[],2,0))</f>
        <v>HC</v>
      </c>
      <c r="L2921" s="125" t="s">
        <v>4894</v>
      </c>
      <c r="M2921" s="113">
        <v>45869</v>
      </c>
      <c r="N2921" s="113"/>
      <c r="O2921" s="113"/>
      <c r="P2921" s="115" t="str">
        <f ca="1">IF(Proc[[#This Row],[DaysAgeing]]&gt;5,"yep","on track")</f>
        <v>yep</v>
      </c>
      <c r="Q2921" s="3">
        <f ca="1">IF(Proc[[#This Row],[DateClosed]]="",ABS(NETWORKDAYS(Proc[[#This Row],[DateOpened]],TODAY()))-1,ABS(NETWORKDAYS(Proc[[#This Row],[DateOpened]],Proc[[#This Row],[DateClosed]]))-1)</f>
        <v>101</v>
      </c>
      <c r="R2921" s="115" t="s">
        <v>415</v>
      </c>
      <c r="S2921" s="125"/>
    </row>
    <row r="2922" spans="1:19" hidden="1">
      <c r="A2922" s="124" t="s">
        <v>4934</v>
      </c>
      <c r="B2922" s="149" t="str">
        <f>IFERROR(VLOOKUP(Proc[[#This Row],[App]],Table2[],3,0),"open")</f>
        <v>ok</v>
      </c>
      <c r="C2922" s="124" t="s">
        <v>369</v>
      </c>
      <c r="D2922" t="s">
        <v>4943</v>
      </c>
      <c r="E2922" t="s">
        <v>4937</v>
      </c>
      <c r="F2922" s="125" t="s">
        <v>4937</v>
      </c>
      <c r="G2922" s="124" t="s">
        <v>400</v>
      </c>
      <c r="H2922" s="125" t="str">
        <f>IF(Proc[[#This Row],[type]]="LFF (MDG-F)",MID(Proc[[#This Row],[Obj]],13,10),"")</f>
        <v/>
      </c>
      <c r="J2922" s="125" t="b">
        <f>Proc[[#This Row],[Requested]]=Proc[[#This Row],[CurrentParent]]</f>
        <v>1</v>
      </c>
      <c r="K2922" s="144" t="str">
        <f>IF(Proc[[#This Row],[Author]]="Marcela Urrego",VLOOKUP(LEFT(Proc[[#This Row],[Requested]],1),Table3[#All],2,0),VLOOKUP(Proc[[#This Row],[Author]],Table4[],2,0))</f>
        <v>HC</v>
      </c>
      <c r="L2922" s="125" t="s">
        <v>4894</v>
      </c>
      <c r="M2922" s="113">
        <v>45869</v>
      </c>
      <c r="N2922" s="113"/>
      <c r="O2922" s="113"/>
      <c r="P2922" s="115" t="str">
        <f ca="1">IF(Proc[[#This Row],[DaysAgeing]]&gt;5,"yep","on track")</f>
        <v>yep</v>
      </c>
      <c r="Q2922" s="3">
        <f ca="1">IF(Proc[[#This Row],[DateClosed]]="",ABS(NETWORKDAYS(Proc[[#This Row],[DateOpened]],TODAY()))-1,ABS(NETWORKDAYS(Proc[[#This Row],[DateOpened]],Proc[[#This Row],[DateClosed]]))-1)</f>
        <v>101</v>
      </c>
      <c r="R2922" s="115" t="s">
        <v>415</v>
      </c>
      <c r="S2922" s="125"/>
    </row>
    <row r="2923" spans="1:19" hidden="1">
      <c r="A2923" s="124" t="s">
        <v>4934</v>
      </c>
      <c r="B2923" s="149" t="str">
        <f>IFERROR(VLOOKUP(Proc[[#This Row],[App]],Table2[],3,0),"open")</f>
        <v>ok</v>
      </c>
      <c r="C2923" s="124" t="s">
        <v>369</v>
      </c>
      <c r="D2923" t="s">
        <v>4944</v>
      </c>
      <c r="E2923" t="s">
        <v>4937</v>
      </c>
      <c r="F2923" s="125" t="s">
        <v>4937</v>
      </c>
      <c r="G2923" s="124" t="s">
        <v>400</v>
      </c>
      <c r="H2923" s="125" t="str">
        <f>IF(Proc[[#This Row],[type]]="LFF (MDG-F)",MID(Proc[[#This Row],[Obj]],13,10),"")</f>
        <v/>
      </c>
      <c r="J2923" s="125" t="b">
        <f>Proc[[#This Row],[Requested]]=Proc[[#This Row],[CurrentParent]]</f>
        <v>1</v>
      </c>
      <c r="K2923" s="144" t="str">
        <f>IF(Proc[[#This Row],[Author]]="Marcela Urrego",VLOOKUP(LEFT(Proc[[#This Row],[Requested]],1),Table3[#All],2,0),VLOOKUP(Proc[[#This Row],[Author]],Table4[],2,0))</f>
        <v>HC</v>
      </c>
      <c r="L2923" s="125" t="s">
        <v>4894</v>
      </c>
      <c r="M2923" s="113">
        <v>45869</v>
      </c>
      <c r="N2923" s="113"/>
      <c r="O2923" s="113"/>
      <c r="P2923" s="115" t="str">
        <f ca="1">IF(Proc[[#This Row],[DaysAgeing]]&gt;5,"yep","on track")</f>
        <v>yep</v>
      </c>
      <c r="Q2923" s="3">
        <f ca="1">IF(Proc[[#This Row],[DateClosed]]="",ABS(NETWORKDAYS(Proc[[#This Row],[DateOpened]],TODAY()))-1,ABS(NETWORKDAYS(Proc[[#This Row],[DateOpened]],Proc[[#This Row],[DateClosed]]))-1)</f>
        <v>101</v>
      </c>
      <c r="R2923" s="115" t="s">
        <v>415</v>
      </c>
      <c r="S2923" s="125"/>
    </row>
    <row r="2924" spans="1:19" hidden="1">
      <c r="A2924" s="124" t="s">
        <v>4934</v>
      </c>
      <c r="B2924" s="149" t="str">
        <f>IFERROR(VLOOKUP(Proc[[#This Row],[App]],Table2[],3,0),"open")</f>
        <v>ok</v>
      </c>
      <c r="C2924" s="124" t="s">
        <v>369</v>
      </c>
      <c r="D2924" t="s">
        <v>4945</v>
      </c>
      <c r="E2924" t="s">
        <v>4937</v>
      </c>
      <c r="F2924" s="125" t="s">
        <v>4937</v>
      </c>
      <c r="G2924" s="124" t="s">
        <v>400</v>
      </c>
      <c r="H2924" s="125" t="str">
        <f>IF(Proc[[#This Row],[type]]="LFF (MDG-F)",MID(Proc[[#This Row],[Obj]],13,10),"")</f>
        <v/>
      </c>
      <c r="J2924" s="125" t="b">
        <f>Proc[[#This Row],[Requested]]=Proc[[#This Row],[CurrentParent]]</f>
        <v>1</v>
      </c>
      <c r="K2924" s="144" t="str">
        <f>IF(Proc[[#This Row],[Author]]="Marcela Urrego",VLOOKUP(LEFT(Proc[[#This Row],[Requested]],1),Table3[#All],2,0),VLOOKUP(Proc[[#This Row],[Author]],Table4[],2,0))</f>
        <v>HC</v>
      </c>
      <c r="L2924" s="125" t="s">
        <v>4894</v>
      </c>
      <c r="M2924" s="113">
        <v>45869</v>
      </c>
      <c r="N2924" s="113"/>
      <c r="O2924" s="113"/>
      <c r="P2924" s="115" t="str">
        <f ca="1">IF(Proc[[#This Row],[DaysAgeing]]&gt;5,"yep","on track")</f>
        <v>yep</v>
      </c>
      <c r="Q2924" s="3">
        <f ca="1">IF(Proc[[#This Row],[DateClosed]]="",ABS(NETWORKDAYS(Proc[[#This Row],[DateOpened]],TODAY()))-1,ABS(NETWORKDAYS(Proc[[#This Row],[DateOpened]],Proc[[#This Row],[DateClosed]]))-1)</f>
        <v>101</v>
      </c>
      <c r="R2924" s="115" t="s">
        <v>415</v>
      </c>
      <c r="S2924" s="125"/>
    </row>
    <row r="2925" spans="1:19" hidden="1">
      <c r="A2925" s="124" t="s">
        <v>4934</v>
      </c>
      <c r="B2925" s="149" t="str">
        <f>IFERROR(VLOOKUP(Proc[[#This Row],[App]],Table2[],3,0),"open")</f>
        <v>ok</v>
      </c>
      <c r="C2925" s="124" t="s">
        <v>369</v>
      </c>
      <c r="D2925" t="s">
        <v>4946</v>
      </c>
      <c r="E2925" t="s">
        <v>4937</v>
      </c>
      <c r="F2925" s="125" t="s">
        <v>4937</v>
      </c>
      <c r="G2925" s="124" t="s">
        <v>400</v>
      </c>
      <c r="H2925" s="125" t="str">
        <f>IF(Proc[[#This Row],[type]]="LFF (MDG-F)",MID(Proc[[#This Row],[Obj]],13,10),"")</f>
        <v/>
      </c>
      <c r="J2925" s="125" t="b">
        <f>Proc[[#This Row],[Requested]]=Proc[[#This Row],[CurrentParent]]</f>
        <v>1</v>
      </c>
      <c r="K2925" s="144" t="str">
        <f>IF(Proc[[#This Row],[Author]]="Marcela Urrego",VLOOKUP(LEFT(Proc[[#This Row],[Requested]],1),Table3[#All],2,0),VLOOKUP(Proc[[#This Row],[Author]],Table4[],2,0))</f>
        <v>HC</v>
      </c>
      <c r="L2925" s="125" t="s">
        <v>4894</v>
      </c>
      <c r="M2925" s="113">
        <v>45869</v>
      </c>
      <c r="N2925" s="113"/>
      <c r="O2925" s="113"/>
      <c r="P2925" s="115" t="str">
        <f ca="1">IF(Proc[[#This Row],[DaysAgeing]]&gt;5,"yep","on track")</f>
        <v>yep</v>
      </c>
      <c r="Q2925" s="3">
        <f ca="1">IF(Proc[[#This Row],[DateClosed]]="",ABS(NETWORKDAYS(Proc[[#This Row],[DateOpened]],TODAY()))-1,ABS(NETWORKDAYS(Proc[[#This Row],[DateOpened]],Proc[[#This Row],[DateClosed]]))-1)</f>
        <v>101</v>
      </c>
      <c r="R2925" s="115" t="s">
        <v>415</v>
      </c>
      <c r="S2925" s="125"/>
    </row>
    <row r="2926" spans="1:19" hidden="1">
      <c r="A2926" s="124" t="s">
        <v>4934</v>
      </c>
      <c r="B2926" s="149" t="str">
        <f>IFERROR(VLOOKUP(Proc[[#This Row],[App]],Table2[],3,0),"open")</f>
        <v>ok</v>
      </c>
      <c r="C2926" s="124" t="s">
        <v>369</v>
      </c>
      <c r="D2926" t="s">
        <v>4947</v>
      </c>
      <c r="E2926" t="s">
        <v>4937</v>
      </c>
      <c r="F2926" s="125" t="s">
        <v>4937</v>
      </c>
      <c r="G2926" s="124" t="s">
        <v>400</v>
      </c>
      <c r="H2926" s="125" t="str">
        <f>IF(Proc[[#This Row],[type]]="LFF (MDG-F)",MID(Proc[[#This Row],[Obj]],13,10),"")</f>
        <v/>
      </c>
      <c r="J2926" s="125" t="b">
        <f>Proc[[#This Row],[Requested]]=Proc[[#This Row],[CurrentParent]]</f>
        <v>1</v>
      </c>
      <c r="K2926" s="144" t="str">
        <f>IF(Proc[[#This Row],[Author]]="Marcela Urrego",VLOOKUP(LEFT(Proc[[#This Row],[Requested]],1),Table3[#All],2,0),VLOOKUP(Proc[[#This Row],[Author]],Table4[],2,0))</f>
        <v>HC</v>
      </c>
      <c r="L2926" s="125" t="s">
        <v>4894</v>
      </c>
      <c r="M2926" s="113">
        <v>45869</v>
      </c>
      <c r="N2926" s="113"/>
      <c r="O2926" s="113"/>
      <c r="P2926" s="115" t="str">
        <f ca="1">IF(Proc[[#This Row],[DaysAgeing]]&gt;5,"yep","on track")</f>
        <v>yep</v>
      </c>
      <c r="Q2926" s="3">
        <f ca="1">IF(Proc[[#This Row],[DateClosed]]="",ABS(NETWORKDAYS(Proc[[#This Row],[DateOpened]],TODAY()))-1,ABS(NETWORKDAYS(Proc[[#This Row],[DateOpened]],Proc[[#This Row],[DateClosed]]))-1)</f>
        <v>101</v>
      </c>
      <c r="R2926" s="115" t="s">
        <v>415</v>
      </c>
      <c r="S2926" s="125"/>
    </row>
    <row r="2927" spans="1:19" hidden="1">
      <c r="A2927" s="124" t="s">
        <v>4934</v>
      </c>
      <c r="B2927" s="149" t="str">
        <f>IFERROR(VLOOKUP(Proc[[#This Row],[App]],Table2[],3,0),"open")</f>
        <v>ok</v>
      </c>
      <c r="C2927" s="124" t="s">
        <v>369</v>
      </c>
      <c r="D2927" t="s">
        <v>4948</v>
      </c>
      <c r="E2927" t="s">
        <v>4937</v>
      </c>
      <c r="F2927" s="125" t="s">
        <v>4937</v>
      </c>
      <c r="G2927" s="124" t="s">
        <v>400</v>
      </c>
      <c r="H2927" s="125" t="str">
        <f>IF(Proc[[#This Row],[type]]="LFF (MDG-F)",MID(Proc[[#This Row],[Obj]],13,10),"")</f>
        <v/>
      </c>
      <c r="J2927" s="125" t="b">
        <f>Proc[[#This Row],[Requested]]=Proc[[#This Row],[CurrentParent]]</f>
        <v>1</v>
      </c>
      <c r="K2927" s="144" t="str">
        <f>IF(Proc[[#This Row],[Author]]="Marcela Urrego",VLOOKUP(LEFT(Proc[[#This Row],[Requested]],1),Table3[#All],2,0),VLOOKUP(Proc[[#This Row],[Author]],Table4[],2,0))</f>
        <v>HC</v>
      </c>
      <c r="L2927" s="125" t="s">
        <v>4894</v>
      </c>
      <c r="M2927" s="113">
        <v>45869</v>
      </c>
      <c r="N2927" s="113"/>
      <c r="O2927" s="113"/>
      <c r="P2927" s="115" t="str">
        <f ca="1">IF(Proc[[#This Row],[DaysAgeing]]&gt;5,"yep","on track")</f>
        <v>yep</v>
      </c>
      <c r="Q2927" s="3">
        <f ca="1">IF(Proc[[#This Row],[DateClosed]]="",ABS(NETWORKDAYS(Proc[[#This Row],[DateOpened]],TODAY()))-1,ABS(NETWORKDAYS(Proc[[#This Row],[DateOpened]],Proc[[#This Row],[DateClosed]]))-1)</f>
        <v>101</v>
      </c>
      <c r="R2927" s="115" t="s">
        <v>415</v>
      </c>
      <c r="S2927" s="125"/>
    </row>
    <row r="2928" spans="1:19" hidden="1">
      <c r="A2928" s="124" t="s">
        <v>4934</v>
      </c>
      <c r="B2928" s="149" t="str">
        <f>IFERROR(VLOOKUP(Proc[[#This Row],[App]],Table2[],3,0),"open")</f>
        <v>ok</v>
      </c>
      <c r="C2928" s="124" t="s">
        <v>369</v>
      </c>
      <c r="D2928" t="s">
        <v>4949</v>
      </c>
      <c r="E2928" t="s">
        <v>4937</v>
      </c>
      <c r="F2928" s="125" t="s">
        <v>4937</v>
      </c>
      <c r="G2928" s="124" t="s">
        <v>400</v>
      </c>
      <c r="H2928" s="125" t="str">
        <f>IF(Proc[[#This Row],[type]]="LFF (MDG-F)",MID(Proc[[#This Row],[Obj]],13,10),"")</f>
        <v/>
      </c>
      <c r="J2928" s="125" t="b">
        <f>Proc[[#This Row],[Requested]]=Proc[[#This Row],[CurrentParent]]</f>
        <v>1</v>
      </c>
      <c r="K2928" s="144" t="str">
        <f>IF(Proc[[#This Row],[Author]]="Marcela Urrego",VLOOKUP(LEFT(Proc[[#This Row],[Requested]],1),Table3[#All],2,0),VLOOKUP(Proc[[#This Row],[Author]],Table4[],2,0))</f>
        <v>HC</v>
      </c>
      <c r="L2928" s="125" t="s">
        <v>4894</v>
      </c>
      <c r="M2928" s="113">
        <v>45869</v>
      </c>
      <c r="N2928" s="113"/>
      <c r="O2928" s="113"/>
      <c r="P2928" s="115" t="str">
        <f ca="1">IF(Proc[[#This Row],[DaysAgeing]]&gt;5,"yep","on track")</f>
        <v>yep</v>
      </c>
      <c r="Q2928" s="3">
        <f ca="1">IF(Proc[[#This Row],[DateClosed]]="",ABS(NETWORKDAYS(Proc[[#This Row],[DateOpened]],TODAY()))-1,ABS(NETWORKDAYS(Proc[[#This Row],[DateOpened]],Proc[[#This Row],[DateClosed]]))-1)</f>
        <v>101</v>
      </c>
      <c r="R2928" s="115" t="s">
        <v>415</v>
      </c>
      <c r="S2928" s="125"/>
    </row>
    <row r="2929" spans="1:19" hidden="1">
      <c r="A2929" s="124" t="s">
        <v>4934</v>
      </c>
      <c r="B2929" s="149" t="str">
        <f>IFERROR(VLOOKUP(Proc[[#This Row],[App]],Table2[],3,0),"open")</f>
        <v>ok</v>
      </c>
      <c r="C2929" s="124" t="s">
        <v>369</v>
      </c>
      <c r="D2929" t="s">
        <v>2822</v>
      </c>
      <c r="E2929" t="s">
        <v>4938</v>
      </c>
      <c r="F2929" s="125" t="s">
        <v>4938</v>
      </c>
      <c r="G2929" s="124" t="s">
        <v>400</v>
      </c>
      <c r="H2929" s="125" t="str">
        <f>IF(Proc[[#This Row],[type]]="LFF (MDG-F)",MID(Proc[[#This Row],[Obj]],13,10),"")</f>
        <v/>
      </c>
      <c r="J2929" s="125" t="b">
        <f>Proc[[#This Row],[Requested]]=Proc[[#This Row],[CurrentParent]]</f>
        <v>1</v>
      </c>
      <c r="K2929" s="144" t="str">
        <f>IF(Proc[[#This Row],[Author]]="Marcela Urrego",VLOOKUP(LEFT(Proc[[#This Row],[Requested]],1),Table3[#All],2,0),VLOOKUP(Proc[[#This Row],[Author]],Table4[],2,0))</f>
        <v>HC</v>
      </c>
      <c r="L2929" s="125" t="s">
        <v>4894</v>
      </c>
      <c r="M2929" s="113">
        <v>45869</v>
      </c>
      <c r="N2929" s="113"/>
      <c r="O2929" s="113"/>
      <c r="P2929" s="115" t="str">
        <f ca="1">IF(Proc[[#This Row],[DaysAgeing]]&gt;5,"yep","on track")</f>
        <v>yep</v>
      </c>
      <c r="Q2929" s="3">
        <f ca="1">IF(Proc[[#This Row],[DateClosed]]="",ABS(NETWORKDAYS(Proc[[#This Row],[DateOpened]],TODAY()))-1,ABS(NETWORKDAYS(Proc[[#This Row],[DateOpened]],Proc[[#This Row],[DateClosed]]))-1)</f>
        <v>101</v>
      </c>
      <c r="R2929" s="115" t="s">
        <v>415</v>
      </c>
      <c r="S2929" s="125"/>
    </row>
    <row r="2930" spans="1:19" hidden="1">
      <c r="A2930" s="124" t="s">
        <v>4934</v>
      </c>
      <c r="B2930" s="149" t="str">
        <f>IFERROR(VLOOKUP(Proc[[#This Row],[App]],Table2[],3,0),"open")</f>
        <v>ok</v>
      </c>
      <c r="C2930" s="124" t="s">
        <v>369</v>
      </c>
      <c r="D2930" t="s">
        <v>2823</v>
      </c>
      <c r="E2930" t="s">
        <v>4938</v>
      </c>
      <c r="F2930" s="125" t="s">
        <v>4938</v>
      </c>
      <c r="G2930" s="124" t="s">
        <v>400</v>
      </c>
      <c r="H2930" s="125" t="str">
        <f>IF(Proc[[#This Row],[type]]="LFF (MDG-F)",MID(Proc[[#This Row],[Obj]],13,10),"")</f>
        <v/>
      </c>
      <c r="J2930" s="125" t="b">
        <f>Proc[[#This Row],[Requested]]=Proc[[#This Row],[CurrentParent]]</f>
        <v>1</v>
      </c>
      <c r="K2930" s="144" t="str">
        <f>IF(Proc[[#This Row],[Author]]="Marcela Urrego",VLOOKUP(LEFT(Proc[[#This Row],[Requested]],1),Table3[#All],2,0),VLOOKUP(Proc[[#This Row],[Author]],Table4[],2,0))</f>
        <v>HC</v>
      </c>
      <c r="L2930" s="125" t="s">
        <v>4894</v>
      </c>
      <c r="M2930" s="113">
        <v>45869</v>
      </c>
      <c r="N2930" s="113"/>
      <c r="O2930" s="113"/>
      <c r="P2930" s="115" t="str">
        <f ca="1">IF(Proc[[#This Row],[DaysAgeing]]&gt;5,"yep","on track")</f>
        <v>yep</v>
      </c>
      <c r="Q2930" s="3">
        <f ca="1">IF(Proc[[#This Row],[DateClosed]]="",ABS(NETWORKDAYS(Proc[[#This Row],[DateOpened]],TODAY()))-1,ABS(NETWORKDAYS(Proc[[#This Row],[DateOpened]],Proc[[#This Row],[DateClosed]]))-1)</f>
        <v>101</v>
      </c>
      <c r="R2930" s="115" t="s">
        <v>415</v>
      </c>
      <c r="S2930" s="125"/>
    </row>
    <row r="2931" spans="1:19" hidden="1">
      <c r="A2931" s="124" t="s">
        <v>4934</v>
      </c>
      <c r="B2931" s="149" t="str">
        <f>IFERROR(VLOOKUP(Proc[[#This Row],[App]],Table2[],3,0),"open")</f>
        <v>ok</v>
      </c>
      <c r="C2931" s="124" t="s">
        <v>369</v>
      </c>
      <c r="D2931" t="s">
        <v>2821</v>
      </c>
      <c r="E2931" t="s">
        <v>4938</v>
      </c>
      <c r="F2931" s="125" t="s">
        <v>4938</v>
      </c>
      <c r="G2931" s="124" t="s">
        <v>400</v>
      </c>
      <c r="H2931" s="125" t="str">
        <f>IF(Proc[[#This Row],[type]]="LFF (MDG-F)",MID(Proc[[#This Row],[Obj]],13,10),"")</f>
        <v/>
      </c>
      <c r="J2931" s="125" t="b">
        <f>Proc[[#This Row],[Requested]]=Proc[[#This Row],[CurrentParent]]</f>
        <v>1</v>
      </c>
      <c r="K2931" s="144" t="str">
        <f>IF(Proc[[#This Row],[Author]]="Marcela Urrego",VLOOKUP(LEFT(Proc[[#This Row],[Requested]],1),Table3[#All],2,0),VLOOKUP(Proc[[#This Row],[Author]],Table4[],2,0))</f>
        <v>HC</v>
      </c>
      <c r="L2931" s="125" t="s">
        <v>4894</v>
      </c>
      <c r="M2931" s="113">
        <v>45869</v>
      </c>
      <c r="N2931" s="113"/>
      <c r="O2931" s="113"/>
      <c r="P2931" s="115" t="str">
        <f ca="1">IF(Proc[[#This Row],[DaysAgeing]]&gt;5,"yep","on track")</f>
        <v>yep</v>
      </c>
      <c r="Q2931" s="3">
        <f ca="1">IF(Proc[[#This Row],[DateClosed]]="",ABS(NETWORKDAYS(Proc[[#This Row],[DateOpened]],TODAY()))-1,ABS(NETWORKDAYS(Proc[[#This Row],[DateOpened]],Proc[[#This Row],[DateClosed]]))-1)</f>
        <v>101</v>
      </c>
      <c r="R2931" s="115" t="s">
        <v>415</v>
      </c>
      <c r="S2931" s="125"/>
    </row>
    <row r="2932" spans="1:19" hidden="1">
      <c r="A2932" s="124" t="s">
        <v>4934</v>
      </c>
      <c r="B2932" s="149" t="str">
        <f>IFERROR(VLOOKUP(Proc[[#This Row],[App]],Table2[],3,0),"open")</f>
        <v>ok</v>
      </c>
      <c r="C2932" s="124" t="s">
        <v>369</v>
      </c>
      <c r="D2932" t="s">
        <v>4950</v>
      </c>
      <c r="E2932" t="s">
        <v>4939</v>
      </c>
      <c r="F2932" s="125" t="s">
        <v>4939</v>
      </c>
      <c r="G2932" s="124" t="s">
        <v>400</v>
      </c>
      <c r="H2932" s="125" t="str">
        <f>IF(Proc[[#This Row],[type]]="LFF (MDG-F)",MID(Proc[[#This Row],[Obj]],13,10),"")</f>
        <v/>
      </c>
      <c r="J2932" s="125" t="b">
        <f>Proc[[#This Row],[Requested]]=Proc[[#This Row],[CurrentParent]]</f>
        <v>1</v>
      </c>
      <c r="K2932" s="144" t="str">
        <f>IF(Proc[[#This Row],[Author]]="Marcela Urrego",VLOOKUP(LEFT(Proc[[#This Row],[Requested]],1),Table3[#All],2,0),VLOOKUP(Proc[[#This Row],[Author]],Table4[],2,0))</f>
        <v>HC</v>
      </c>
      <c r="L2932" s="125" t="s">
        <v>4894</v>
      </c>
      <c r="M2932" s="113">
        <v>45869</v>
      </c>
      <c r="N2932" s="113"/>
      <c r="O2932" s="113"/>
      <c r="P2932" s="115" t="str">
        <f ca="1">IF(Proc[[#This Row],[DaysAgeing]]&gt;5,"yep","on track")</f>
        <v>yep</v>
      </c>
      <c r="Q2932" s="3">
        <f ca="1">IF(Proc[[#This Row],[DateClosed]]="",ABS(NETWORKDAYS(Proc[[#This Row],[DateOpened]],TODAY()))-1,ABS(NETWORKDAYS(Proc[[#This Row],[DateOpened]],Proc[[#This Row],[DateClosed]]))-1)</f>
        <v>101</v>
      </c>
      <c r="R2932" s="115" t="s">
        <v>415</v>
      </c>
      <c r="S2932" s="125"/>
    </row>
    <row r="2933" spans="1:19" hidden="1">
      <c r="A2933" s="124" t="s">
        <v>4934</v>
      </c>
      <c r="B2933" s="149" t="str">
        <f>IFERROR(VLOOKUP(Proc[[#This Row],[App]],Table2[],3,0),"open")</f>
        <v>ok</v>
      </c>
      <c r="C2933" s="124" t="s">
        <v>369</v>
      </c>
      <c r="D2933" t="s">
        <v>4951</v>
      </c>
      <c r="E2933" t="s">
        <v>4939</v>
      </c>
      <c r="F2933" s="125" t="s">
        <v>4939</v>
      </c>
      <c r="G2933" s="124" t="s">
        <v>400</v>
      </c>
      <c r="H2933" s="125" t="str">
        <f>IF(Proc[[#This Row],[type]]="LFF (MDG-F)",MID(Proc[[#This Row],[Obj]],13,10),"")</f>
        <v/>
      </c>
      <c r="J2933" s="125" t="b">
        <f>Proc[[#This Row],[Requested]]=Proc[[#This Row],[CurrentParent]]</f>
        <v>1</v>
      </c>
      <c r="K2933" s="144" t="str">
        <f>IF(Proc[[#This Row],[Author]]="Marcela Urrego",VLOOKUP(LEFT(Proc[[#This Row],[Requested]],1),Table3[#All],2,0),VLOOKUP(Proc[[#This Row],[Author]],Table4[],2,0))</f>
        <v>HC</v>
      </c>
      <c r="L2933" s="125" t="s">
        <v>4894</v>
      </c>
      <c r="M2933" s="113">
        <v>45869</v>
      </c>
      <c r="N2933" s="113"/>
      <c r="O2933" s="113"/>
      <c r="P2933" s="115" t="str">
        <f ca="1">IF(Proc[[#This Row],[DaysAgeing]]&gt;5,"yep","on track")</f>
        <v>yep</v>
      </c>
      <c r="Q2933" s="3">
        <f ca="1">IF(Proc[[#This Row],[DateClosed]]="",ABS(NETWORKDAYS(Proc[[#This Row],[DateOpened]],TODAY()))-1,ABS(NETWORKDAYS(Proc[[#This Row],[DateOpened]],Proc[[#This Row],[DateClosed]]))-1)</f>
        <v>101</v>
      </c>
      <c r="R2933" s="115" t="s">
        <v>415</v>
      </c>
      <c r="S2933" s="125"/>
    </row>
    <row r="2934" spans="1:19" hidden="1">
      <c r="A2934" s="124" t="s">
        <v>4934</v>
      </c>
      <c r="B2934" s="149" t="str">
        <f>IFERROR(VLOOKUP(Proc[[#This Row],[App]],Table2[],3,0),"open")</f>
        <v>ok</v>
      </c>
      <c r="C2934" s="124" t="s">
        <v>369</v>
      </c>
      <c r="D2934" t="s">
        <v>4952</v>
      </c>
      <c r="E2934" t="s">
        <v>4937</v>
      </c>
      <c r="F2934" s="125" t="s">
        <v>4937</v>
      </c>
      <c r="G2934" s="124" t="s">
        <v>400</v>
      </c>
      <c r="H2934" s="125" t="str">
        <f>IF(Proc[[#This Row],[type]]="LFF (MDG-F)",MID(Proc[[#This Row],[Obj]],13,10),"")</f>
        <v/>
      </c>
      <c r="J2934" s="125" t="b">
        <f>Proc[[#This Row],[Requested]]=Proc[[#This Row],[CurrentParent]]</f>
        <v>1</v>
      </c>
      <c r="K2934" s="144" t="str">
        <f>IF(Proc[[#This Row],[Author]]="Marcela Urrego",VLOOKUP(LEFT(Proc[[#This Row],[Requested]],1),Table3[#All],2,0),VLOOKUP(Proc[[#This Row],[Author]],Table4[],2,0))</f>
        <v>HC</v>
      </c>
      <c r="L2934" s="125" t="s">
        <v>4894</v>
      </c>
      <c r="M2934" s="113">
        <v>45869</v>
      </c>
      <c r="N2934" s="113"/>
      <c r="O2934" s="113"/>
      <c r="P2934" s="115" t="str">
        <f ca="1">IF(Proc[[#This Row],[DaysAgeing]]&gt;5,"yep","on track")</f>
        <v>yep</v>
      </c>
      <c r="Q2934" s="3">
        <f ca="1">IF(Proc[[#This Row],[DateClosed]]="",ABS(NETWORKDAYS(Proc[[#This Row],[DateOpened]],TODAY()))-1,ABS(NETWORKDAYS(Proc[[#This Row],[DateOpened]],Proc[[#This Row],[DateClosed]]))-1)</f>
        <v>101</v>
      </c>
      <c r="R2934" s="115" t="s">
        <v>415</v>
      </c>
      <c r="S2934" s="125"/>
    </row>
    <row r="2935" spans="1:19" hidden="1">
      <c r="A2935" s="124" t="s">
        <v>4934</v>
      </c>
      <c r="B2935" s="149" t="str">
        <f>IFERROR(VLOOKUP(Proc[[#This Row],[App]],Table2[],3,0),"open")</f>
        <v>ok</v>
      </c>
      <c r="C2935" s="124" t="s">
        <v>369</v>
      </c>
      <c r="D2935" t="s">
        <v>4953</v>
      </c>
      <c r="E2935" t="s">
        <v>4940</v>
      </c>
      <c r="F2935" s="125" t="s">
        <v>4940</v>
      </c>
      <c r="G2935" s="124" t="s">
        <v>400</v>
      </c>
      <c r="H2935" s="125" t="str">
        <f>IF(Proc[[#This Row],[type]]="LFF (MDG-F)",MID(Proc[[#This Row],[Obj]],13,10),"")</f>
        <v/>
      </c>
      <c r="J2935" s="125" t="b">
        <f>Proc[[#This Row],[Requested]]=Proc[[#This Row],[CurrentParent]]</f>
        <v>1</v>
      </c>
      <c r="K2935" s="144" t="str">
        <f>IF(Proc[[#This Row],[Author]]="Marcela Urrego",VLOOKUP(LEFT(Proc[[#This Row],[Requested]],1),Table3[#All],2,0),VLOOKUP(Proc[[#This Row],[Author]],Table4[],2,0))</f>
        <v>HC</v>
      </c>
      <c r="L2935" s="125" t="s">
        <v>4894</v>
      </c>
      <c r="M2935" s="113">
        <v>45869</v>
      </c>
      <c r="N2935" s="113"/>
      <c r="O2935" s="113"/>
      <c r="P2935" s="115" t="str">
        <f ca="1">IF(Proc[[#This Row],[DaysAgeing]]&gt;5,"yep","on track")</f>
        <v>yep</v>
      </c>
      <c r="Q2935" s="3">
        <f ca="1">IF(Proc[[#This Row],[DateClosed]]="",ABS(NETWORKDAYS(Proc[[#This Row],[DateOpened]],TODAY()))-1,ABS(NETWORKDAYS(Proc[[#This Row],[DateOpened]],Proc[[#This Row],[DateClosed]]))-1)</f>
        <v>101</v>
      </c>
      <c r="R2935" s="115" t="s">
        <v>415</v>
      </c>
      <c r="S2935" s="125"/>
    </row>
    <row r="2936" spans="1:19" hidden="1">
      <c r="A2936" s="124" t="s">
        <v>4934</v>
      </c>
      <c r="B2936" s="149" t="str">
        <f>IFERROR(VLOOKUP(Proc[[#This Row],[App]],Table2[],3,0),"open")</f>
        <v>ok</v>
      </c>
      <c r="C2936" s="124" t="s">
        <v>369</v>
      </c>
      <c r="D2936" t="s">
        <v>4954</v>
      </c>
      <c r="E2936" t="s">
        <v>4940</v>
      </c>
      <c r="F2936" s="125" t="s">
        <v>4940</v>
      </c>
      <c r="G2936" s="124" t="s">
        <v>400</v>
      </c>
      <c r="H2936" s="125" t="str">
        <f>IF(Proc[[#This Row],[type]]="LFF (MDG-F)",MID(Proc[[#This Row],[Obj]],13,10),"")</f>
        <v/>
      </c>
      <c r="J2936" s="125" t="b">
        <f>Proc[[#This Row],[Requested]]=Proc[[#This Row],[CurrentParent]]</f>
        <v>1</v>
      </c>
      <c r="K2936" s="144" t="str">
        <f>IF(Proc[[#This Row],[Author]]="Marcela Urrego",VLOOKUP(LEFT(Proc[[#This Row],[Requested]],1),Table3[#All],2,0),VLOOKUP(Proc[[#This Row],[Author]],Table4[],2,0))</f>
        <v>HC</v>
      </c>
      <c r="L2936" s="125" t="s">
        <v>4894</v>
      </c>
      <c r="M2936" s="113">
        <v>45869</v>
      </c>
      <c r="N2936" s="113"/>
      <c r="O2936" s="113"/>
      <c r="P2936" s="115" t="str">
        <f ca="1">IF(Proc[[#This Row],[DaysAgeing]]&gt;5,"yep","on track")</f>
        <v>yep</v>
      </c>
      <c r="Q2936" s="3">
        <f ca="1">IF(Proc[[#This Row],[DateClosed]]="",ABS(NETWORKDAYS(Proc[[#This Row],[DateOpened]],TODAY()))-1,ABS(NETWORKDAYS(Proc[[#This Row],[DateOpened]],Proc[[#This Row],[DateClosed]]))-1)</f>
        <v>101</v>
      </c>
      <c r="R2936" s="115" t="s">
        <v>415</v>
      </c>
      <c r="S2936" s="125"/>
    </row>
    <row r="2937" spans="1:19" hidden="1">
      <c r="A2937" t="s">
        <v>5258</v>
      </c>
      <c r="B2937" s="149" t="str">
        <f>IFERROR(VLOOKUP(Proc[[#This Row],[App]],Table2[],3,0),"open")</f>
        <v>ok</v>
      </c>
      <c r="C2937" s="124" t="s">
        <v>369</v>
      </c>
      <c r="D2937" t="s">
        <v>4956</v>
      </c>
      <c r="E2937" t="s">
        <v>2521</v>
      </c>
      <c r="F2937" s="125" t="s">
        <v>2521</v>
      </c>
      <c r="G2937" s="124" t="s">
        <v>400</v>
      </c>
      <c r="H2937" s="125" t="str">
        <f>IF(Proc[[#This Row],[type]]="LFF (MDG-F)",MID(Proc[[#This Row],[Obj]],13,10),"")</f>
        <v/>
      </c>
      <c r="J2937" s="125" t="b">
        <f>Proc[[#This Row],[Requested]]=Proc[[#This Row],[CurrentParent]]</f>
        <v>1</v>
      </c>
      <c r="K2937" s="144" t="str">
        <f>IF(Proc[[#This Row],[Author]]="Marcela Urrego",VLOOKUP(LEFT(Proc[[#This Row],[Requested]],1),Table3[#All],2,0),VLOOKUP(Proc[[#This Row],[Author]],Table4[],2,0))</f>
        <v>HC</v>
      </c>
      <c r="L2937" s="125" t="s">
        <v>4894</v>
      </c>
      <c r="M2937" s="113">
        <v>45873</v>
      </c>
      <c r="N2937" s="113"/>
      <c r="O2937" s="113"/>
      <c r="P2937" s="115" t="str">
        <f ca="1">IF(Proc[[#This Row],[DaysAgeing]]&gt;5,"yep","on track")</f>
        <v>yep</v>
      </c>
      <c r="Q2937" s="3">
        <f ca="1">IF(Proc[[#This Row],[DateClosed]]="",ABS(NETWORKDAYS(Proc[[#This Row],[DateOpened]],TODAY()))-1,ABS(NETWORKDAYS(Proc[[#This Row],[DateOpened]],Proc[[#This Row],[DateClosed]]))-1)</f>
        <v>99</v>
      </c>
      <c r="R2937" s="115" t="s">
        <v>1013</v>
      </c>
      <c r="S2937" s="125"/>
    </row>
    <row r="2938" spans="1:19" hidden="1">
      <c r="A2938" s="124" t="s">
        <v>5258</v>
      </c>
      <c r="B2938" s="149" t="str">
        <f>IFERROR(VLOOKUP(Proc[[#This Row],[App]],Table2[],3,0),"open")</f>
        <v>ok</v>
      </c>
      <c r="C2938" s="124" t="s">
        <v>369</v>
      </c>
      <c r="D2938" t="s">
        <v>4957</v>
      </c>
      <c r="E2938" t="s">
        <v>2521</v>
      </c>
      <c r="F2938" s="125" t="s">
        <v>2521</v>
      </c>
      <c r="G2938" s="124" t="s">
        <v>400</v>
      </c>
      <c r="H2938" s="125" t="str">
        <f>IF(Proc[[#This Row],[type]]="LFF (MDG-F)",MID(Proc[[#This Row],[Obj]],13,10),"")</f>
        <v/>
      </c>
      <c r="J2938" s="125" t="b">
        <f>Proc[[#This Row],[Requested]]=Proc[[#This Row],[CurrentParent]]</f>
        <v>1</v>
      </c>
      <c r="K2938" s="144" t="str">
        <f>IF(Proc[[#This Row],[Author]]="Marcela Urrego",VLOOKUP(LEFT(Proc[[#This Row],[Requested]],1),Table3[#All],2,0),VLOOKUP(Proc[[#This Row],[Author]],Table4[],2,0))</f>
        <v>HC</v>
      </c>
      <c r="L2938" s="125" t="s">
        <v>4894</v>
      </c>
      <c r="M2938" s="113">
        <v>45873</v>
      </c>
      <c r="N2938" s="113"/>
      <c r="O2938" s="113"/>
      <c r="P2938" s="115" t="str">
        <f ca="1">IF(Proc[[#This Row],[DaysAgeing]]&gt;5,"yep","on track")</f>
        <v>yep</v>
      </c>
      <c r="Q2938" s="3">
        <f ca="1">IF(Proc[[#This Row],[DateClosed]]="",ABS(NETWORKDAYS(Proc[[#This Row],[DateOpened]],TODAY()))-1,ABS(NETWORKDAYS(Proc[[#This Row],[DateOpened]],Proc[[#This Row],[DateClosed]]))-1)</f>
        <v>99</v>
      </c>
      <c r="R2938" s="115" t="s">
        <v>1013</v>
      </c>
      <c r="S2938" s="125"/>
    </row>
    <row r="2939" spans="1:19" hidden="1">
      <c r="A2939" s="124" t="s">
        <v>5258</v>
      </c>
      <c r="B2939" s="149" t="str">
        <f>IFERROR(VLOOKUP(Proc[[#This Row],[App]],Table2[],3,0),"open")</f>
        <v>ok</v>
      </c>
      <c r="C2939" s="124" t="s">
        <v>369</v>
      </c>
      <c r="D2939" t="s">
        <v>4958</v>
      </c>
      <c r="E2939" t="s">
        <v>5251</v>
      </c>
      <c r="F2939" s="125" t="s">
        <v>5251</v>
      </c>
      <c r="G2939" s="124" t="s">
        <v>400</v>
      </c>
      <c r="H2939" s="125" t="str">
        <f>IF(Proc[[#This Row],[type]]="LFF (MDG-F)",MID(Proc[[#This Row],[Obj]],13,10),"")</f>
        <v/>
      </c>
      <c r="J2939" s="125" t="b">
        <f>Proc[[#This Row],[Requested]]=Proc[[#This Row],[CurrentParent]]</f>
        <v>1</v>
      </c>
      <c r="K2939" s="144" t="str">
        <f>IF(Proc[[#This Row],[Author]]="Marcela Urrego",VLOOKUP(LEFT(Proc[[#This Row],[Requested]],1),Table3[#All],2,0),VLOOKUP(Proc[[#This Row],[Author]],Table4[],2,0))</f>
        <v>HC</v>
      </c>
      <c r="L2939" s="125" t="s">
        <v>4894</v>
      </c>
      <c r="M2939" s="113">
        <v>45873</v>
      </c>
      <c r="N2939" s="113"/>
      <c r="O2939" s="113"/>
      <c r="P2939" s="115" t="str">
        <f ca="1">IF(Proc[[#This Row],[DaysAgeing]]&gt;5,"yep","on track")</f>
        <v>yep</v>
      </c>
      <c r="Q2939" s="3">
        <f ca="1">IF(Proc[[#This Row],[DateClosed]]="",ABS(NETWORKDAYS(Proc[[#This Row],[DateOpened]],TODAY()))-1,ABS(NETWORKDAYS(Proc[[#This Row],[DateOpened]],Proc[[#This Row],[DateClosed]]))-1)</f>
        <v>99</v>
      </c>
      <c r="R2939" s="115" t="s">
        <v>1013</v>
      </c>
      <c r="S2939" s="125"/>
    </row>
    <row r="2940" spans="1:19" hidden="1">
      <c r="A2940" s="124" t="s">
        <v>5258</v>
      </c>
      <c r="B2940" s="149" t="str">
        <f>IFERROR(VLOOKUP(Proc[[#This Row],[App]],Table2[],3,0),"open")</f>
        <v>ok</v>
      </c>
      <c r="C2940" s="124" t="s">
        <v>369</v>
      </c>
      <c r="D2940" t="s">
        <v>4959</v>
      </c>
      <c r="E2940" t="s">
        <v>5251</v>
      </c>
      <c r="F2940" s="125" t="s">
        <v>5251</v>
      </c>
      <c r="G2940" s="124" t="s">
        <v>400</v>
      </c>
      <c r="H2940" s="125" t="str">
        <f>IF(Proc[[#This Row],[type]]="LFF (MDG-F)",MID(Proc[[#This Row],[Obj]],13,10),"")</f>
        <v/>
      </c>
      <c r="J2940" s="125" t="b">
        <f>Proc[[#This Row],[Requested]]=Proc[[#This Row],[CurrentParent]]</f>
        <v>1</v>
      </c>
      <c r="K2940" s="144" t="str">
        <f>IF(Proc[[#This Row],[Author]]="Marcela Urrego",VLOOKUP(LEFT(Proc[[#This Row],[Requested]],1),Table3[#All],2,0),VLOOKUP(Proc[[#This Row],[Author]],Table4[],2,0))</f>
        <v>HC</v>
      </c>
      <c r="L2940" s="125" t="s">
        <v>4894</v>
      </c>
      <c r="M2940" s="113">
        <v>45873</v>
      </c>
      <c r="N2940" s="113"/>
      <c r="O2940" s="113"/>
      <c r="P2940" s="115" t="str">
        <f ca="1">IF(Proc[[#This Row],[DaysAgeing]]&gt;5,"yep","on track")</f>
        <v>yep</v>
      </c>
      <c r="Q2940" s="3">
        <f ca="1">IF(Proc[[#This Row],[DateClosed]]="",ABS(NETWORKDAYS(Proc[[#This Row],[DateOpened]],TODAY()))-1,ABS(NETWORKDAYS(Proc[[#This Row],[DateOpened]],Proc[[#This Row],[DateClosed]]))-1)</f>
        <v>99</v>
      </c>
      <c r="R2940" s="115" t="s">
        <v>1013</v>
      </c>
      <c r="S2940" s="125"/>
    </row>
    <row r="2941" spans="1:19" hidden="1">
      <c r="A2941" s="124" t="s">
        <v>5258</v>
      </c>
      <c r="B2941" s="149" t="str">
        <f>IFERROR(VLOOKUP(Proc[[#This Row],[App]],Table2[],3,0),"open")</f>
        <v>ok</v>
      </c>
      <c r="C2941" s="124" t="s">
        <v>369</v>
      </c>
      <c r="D2941" t="s">
        <v>4960</v>
      </c>
      <c r="E2941" t="s">
        <v>5251</v>
      </c>
      <c r="F2941" s="125" t="s">
        <v>5251</v>
      </c>
      <c r="G2941" s="124" t="s">
        <v>400</v>
      </c>
      <c r="H2941" s="125" t="str">
        <f>IF(Proc[[#This Row],[type]]="LFF (MDG-F)",MID(Proc[[#This Row],[Obj]],13,10),"")</f>
        <v/>
      </c>
      <c r="J2941" s="125" t="b">
        <f>Proc[[#This Row],[Requested]]=Proc[[#This Row],[CurrentParent]]</f>
        <v>1</v>
      </c>
      <c r="K2941" s="144" t="str">
        <f>IF(Proc[[#This Row],[Author]]="Marcela Urrego",VLOOKUP(LEFT(Proc[[#This Row],[Requested]],1),Table3[#All],2,0),VLOOKUP(Proc[[#This Row],[Author]],Table4[],2,0))</f>
        <v>HC</v>
      </c>
      <c r="L2941" s="125" t="s">
        <v>4894</v>
      </c>
      <c r="M2941" s="113">
        <v>45873</v>
      </c>
      <c r="N2941" s="113"/>
      <c r="O2941" s="113"/>
      <c r="P2941" s="115" t="str">
        <f ca="1">IF(Proc[[#This Row],[DaysAgeing]]&gt;5,"yep","on track")</f>
        <v>yep</v>
      </c>
      <c r="Q2941" s="3">
        <f ca="1">IF(Proc[[#This Row],[DateClosed]]="",ABS(NETWORKDAYS(Proc[[#This Row],[DateOpened]],TODAY()))-1,ABS(NETWORKDAYS(Proc[[#This Row],[DateOpened]],Proc[[#This Row],[DateClosed]]))-1)</f>
        <v>99</v>
      </c>
      <c r="R2941" s="115" t="s">
        <v>1013</v>
      </c>
      <c r="S2941" s="125"/>
    </row>
    <row r="2942" spans="1:19" hidden="1">
      <c r="A2942" s="124" t="s">
        <v>5258</v>
      </c>
      <c r="B2942" s="149" t="str">
        <f>IFERROR(VLOOKUP(Proc[[#This Row],[App]],Table2[],3,0),"open")</f>
        <v>ok</v>
      </c>
      <c r="C2942" s="124" t="s">
        <v>369</v>
      </c>
      <c r="D2942" t="s">
        <v>4961</v>
      </c>
      <c r="E2942" t="s">
        <v>3002</v>
      </c>
      <c r="F2942" s="125" t="s">
        <v>3002</v>
      </c>
      <c r="G2942" s="124" t="s">
        <v>400</v>
      </c>
      <c r="H2942" s="125" t="str">
        <f>IF(Proc[[#This Row],[type]]="LFF (MDG-F)",MID(Proc[[#This Row],[Obj]],13,10),"")</f>
        <v/>
      </c>
      <c r="J2942" s="125" t="b">
        <f>Proc[[#This Row],[Requested]]=Proc[[#This Row],[CurrentParent]]</f>
        <v>1</v>
      </c>
      <c r="K2942" s="144" t="str">
        <f>IF(Proc[[#This Row],[Author]]="Marcela Urrego",VLOOKUP(LEFT(Proc[[#This Row],[Requested]],1),Table3[#All],2,0),VLOOKUP(Proc[[#This Row],[Author]],Table4[],2,0))</f>
        <v>HC</v>
      </c>
      <c r="L2942" s="125" t="s">
        <v>4894</v>
      </c>
      <c r="M2942" s="113">
        <v>45873</v>
      </c>
      <c r="N2942" s="113"/>
      <c r="O2942" s="113"/>
      <c r="P2942" s="115" t="str">
        <f ca="1">IF(Proc[[#This Row],[DaysAgeing]]&gt;5,"yep","on track")</f>
        <v>yep</v>
      </c>
      <c r="Q2942" s="3">
        <f ca="1">IF(Proc[[#This Row],[DateClosed]]="",ABS(NETWORKDAYS(Proc[[#This Row],[DateOpened]],TODAY()))-1,ABS(NETWORKDAYS(Proc[[#This Row],[DateOpened]],Proc[[#This Row],[DateClosed]]))-1)</f>
        <v>99</v>
      </c>
      <c r="R2942" s="115" t="s">
        <v>1013</v>
      </c>
      <c r="S2942" s="125"/>
    </row>
    <row r="2943" spans="1:19" hidden="1">
      <c r="A2943" s="124" t="s">
        <v>5258</v>
      </c>
      <c r="B2943" s="149" t="str">
        <f>IFERROR(VLOOKUP(Proc[[#This Row],[App]],Table2[],3,0),"open")</f>
        <v>ok</v>
      </c>
      <c r="C2943" s="124" t="s">
        <v>369</v>
      </c>
      <c r="D2943" t="s">
        <v>4962</v>
      </c>
      <c r="E2943" t="s">
        <v>3002</v>
      </c>
      <c r="F2943" s="125" t="s">
        <v>3002</v>
      </c>
      <c r="G2943" s="124" t="s">
        <v>400</v>
      </c>
      <c r="H2943" s="125" t="str">
        <f>IF(Proc[[#This Row],[type]]="LFF (MDG-F)",MID(Proc[[#This Row],[Obj]],13,10),"")</f>
        <v/>
      </c>
      <c r="J2943" s="125" t="b">
        <f>Proc[[#This Row],[Requested]]=Proc[[#This Row],[CurrentParent]]</f>
        <v>1</v>
      </c>
      <c r="K2943" s="144" t="str">
        <f>IF(Proc[[#This Row],[Author]]="Marcela Urrego",VLOOKUP(LEFT(Proc[[#This Row],[Requested]],1),Table3[#All],2,0),VLOOKUP(Proc[[#This Row],[Author]],Table4[],2,0))</f>
        <v>HC</v>
      </c>
      <c r="L2943" s="125" t="s">
        <v>4894</v>
      </c>
      <c r="M2943" s="113">
        <v>45873</v>
      </c>
      <c r="N2943" s="113"/>
      <c r="O2943" s="113"/>
      <c r="P2943" s="115" t="str">
        <f ca="1">IF(Proc[[#This Row],[DaysAgeing]]&gt;5,"yep","on track")</f>
        <v>yep</v>
      </c>
      <c r="Q2943" s="3">
        <f ca="1">IF(Proc[[#This Row],[DateClosed]]="",ABS(NETWORKDAYS(Proc[[#This Row],[DateOpened]],TODAY()))-1,ABS(NETWORKDAYS(Proc[[#This Row],[DateOpened]],Proc[[#This Row],[DateClosed]]))-1)</f>
        <v>99</v>
      </c>
      <c r="R2943" s="115" t="s">
        <v>1013</v>
      </c>
      <c r="S2943" s="125"/>
    </row>
    <row r="2944" spans="1:19" hidden="1">
      <c r="A2944" s="124" t="s">
        <v>5258</v>
      </c>
      <c r="B2944" s="149" t="str">
        <f>IFERROR(VLOOKUP(Proc[[#This Row],[App]],Table2[],3,0),"open")</f>
        <v>ok</v>
      </c>
      <c r="C2944" s="124" t="s">
        <v>369</v>
      </c>
      <c r="D2944" t="s">
        <v>4963</v>
      </c>
      <c r="E2944" t="s">
        <v>3002</v>
      </c>
      <c r="F2944" s="125" t="s">
        <v>3002</v>
      </c>
      <c r="G2944" s="124" t="s">
        <v>400</v>
      </c>
      <c r="H2944" s="125" t="str">
        <f>IF(Proc[[#This Row],[type]]="LFF (MDG-F)",MID(Proc[[#This Row],[Obj]],13,10),"")</f>
        <v/>
      </c>
      <c r="J2944" s="125" t="b">
        <f>Proc[[#This Row],[Requested]]=Proc[[#This Row],[CurrentParent]]</f>
        <v>1</v>
      </c>
      <c r="K2944" s="144" t="str">
        <f>IF(Proc[[#This Row],[Author]]="Marcela Urrego",VLOOKUP(LEFT(Proc[[#This Row],[Requested]],1),Table3[#All],2,0),VLOOKUP(Proc[[#This Row],[Author]],Table4[],2,0))</f>
        <v>HC</v>
      </c>
      <c r="L2944" s="125" t="s">
        <v>4894</v>
      </c>
      <c r="M2944" s="113">
        <v>45873</v>
      </c>
      <c r="N2944" s="113"/>
      <c r="O2944" s="113"/>
      <c r="P2944" s="115" t="str">
        <f ca="1">IF(Proc[[#This Row],[DaysAgeing]]&gt;5,"yep","on track")</f>
        <v>yep</v>
      </c>
      <c r="Q2944" s="3">
        <f ca="1">IF(Proc[[#This Row],[DateClosed]]="",ABS(NETWORKDAYS(Proc[[#This Row],[DateOpened]],TODAY()))-1,ABS(NETWORKDAYS(Proc[[#This Row],[DateOpened]],Proc[[#This Row],[DateClosed]]))-1)</f>
        <v>99</v>
      </c>
      <c r="R2944" s="115" t="s">
        <v>1013</v>
      </c>
      <c r="S2944" s="125"/>
    </row>
    <row r="2945" spans="1:19" hidden="1">
      <c r="A2945" s="124" t="s">
        <v>5258</v>
      </c>
      <c r="B2945" s="149" t="str">
        <f>IFERROR(VLOOKUP(Proc[[#This Row],[App]],Table2[],3,0),"open")</f>
        <v>ok</v>
      </c>
      <c r="C2945" s="124" t="s">
        <v>369</v>
      </c>
      <c r="D2945" t="s">
        <v>4964</v>
      </c>
      <c r="E2945" t="s">
        <v>3007</v>
      </c>
      <c r="F2945" s="125" t="s">
        <v>3007</v>
      </c>
      <c r="G2945" s="124" t="s">
        <v>400</v>
      </c>
      <c r="H2945" s="125" t="str">
        <f>IF(Proc[[#This Row],[type]]="LFF (MDG-F)",MID(Proc[[#This Row],[Obj]],13,10),"")</f>
        <v/>
      </c>
      <c r="J2945" s="125" t="b">
        <f>Proc[[#This Row],[Requested]]=Proc[[#This Row],[CurrentParent]]</f>
        <v>1</v>
      </c>
      <c r="K2945" s="144" t="str">
        <f>IF(Proc[[#This Row],[Author]]="Marcela Urrego",VLOOKUP(LEFT(Proc[[#This Row],[Requested]],1),Table3[#All],2,0),VLOOKUP(Proc[[#This Row],[Author]],Table4[],2,0))</f>
        <v>HC</v>
      </c>
      <c r="L2945" s="125" t="s">
        <v>4894</v>
      </c>
      <c r="M2945" s="113">
        <v>45873</v>
      </c>
      <c r="N2945" s="113"/>
      <c r="O2945" s="113"/>
      <c r="P2945" s="115" t="str">
        <f ca="1">IF(Proc[[#This Row],[DaysAgeing]]&gt;5,"yep","on track")</f>
        <v>yep</v>
      </c>
      <c r="Q2945" s="3">
        <f ca="1">IF(Proc[[#This Row],[DateClosed]]="",ABS(NETWORKDAYS(Proc[[#This Row],[DateOpened]],TODAY()))-1,ABS(NETWORKDAYS(Proc[[#This Row],[DateOpened]],Proc[[#This Row],[DateClosed]]))-1)</f>
        <v>99</v>
      </c>
      <c r="R2945" s="115" t="s">
        <v>1013</v>
      </c>
      <c r="S2945" s="125"/>
    </row>
    <row r="2946" spans="1:19" hidden="1">
      <c r="A2946" s="124" t="s">
        <v>5258</v>
      </c>
      <c r="B2946" s="149" t="str">
        <f>IFERROR(VLOOKUP(Proc[[#This Row],[App]],Table2[],3,0),"open")</f>
        <v>ok</v>
      </c>
      <c r="C2946" s="124" t="s">
        <v>369</v>
      </c>
      <c r="D2946" t="s">
        <v>4965</v>
      </c>
      <c r="E2946" t="s">
        <v>3002</v>
      </c>
      <c r="F2946" s="125" t="s">
        <v>3002</v>
      </c>
      <c r="G2946" s="124" t="s">
        <v>400</v>
      </c>
      <c r="H2946" s="125" t="str">
        <f>IF(Proc[[#This Row],[type]]="LFF (MDG-F)",MID(Proc[[#This Row],[Obj]],13,10),"")</f>
        <v/>
      </c>
      <c r="J2946" s="125" t="b">
        <f>Proc[[#This Row],[Requested]]=Proc[[#This Row],[CurrentParent]]</f>
        <v>1</v>
      </c>
      <c r="K2946" s="144" t="str">
        <f>IF(Proc[[#This Row],[Author]]="Marcela Urrego",VLOOKUP(LEFT(Proc[[#This Row],[Requested]],1),Table3[#All],2,0),VLOOKUP(Proc[[#This Row],[Author]],Table4[],2,0))</f>
        <v>HC</v>
      </c>
      <c r="L2946" s="125" t="s">
        <v>4894</v>
      </c>
      <c r="M2946" s="113">
        <v>45873</v>
      </c>
      <c r="N2946" s="113"/>
      <c r="O2946" s="113"/>
      <c r="P2946" s="115" t="str">
        <f ca="1">IF(Proc[[#This Row],[DaysAgeing]]&gt;5,"yep","on track")</f>
        <v>yep</v>
      </c>
      <c r="Q2946" s="3">
        <f ca="1">IF(Proc[[#This Row],[DateClosed]]="",ABS(NETWORKDAYS(Proc[[#This Row],[DateOpened]],TODAY()))-1,ABS(NETWORKDAYS(Proc[[#This Row],[DateOpened]],Proc[[#This Row],[DateClosed]]))-1)</f>
        <v>99</v>
      </c>
      <c r="R2946" s="115" t="s">
        <v>1013</v>
      </c>
      <c r="S2946" s="125"/>
    </row>
    <row r="2947" spans="1:19" hidden="1">
      <c r="A2947" s="124" t="s">
        <v>5258</v>
      </c>
      <c r="B2947" s="149" t="str">
        <f>IFERROR(VLOOKUP(Proc[[#This Row],[App]],Table2[],3,0),"open")</f>
        <v>ok</v>
      </c>
      <c r="C2947" s="124" t="s">
        <v>369</v>
      </c>
      <c r="D2947" t="s">
        <v>4966</v>
      </c>
      <c r="E2947" t="s">
        <v>3002</v>
      </c>
      <c r="F2947" s="125" t="s">
        <v>3002</v>
      </c>
      <c r="G2947" s="124" t="s">
        <v>400</v>
      </c>
      <c r="H2947" s="125" t="str">
        <f>IF(Proc[[#This Row],[type]]="LFF (MDG-F)",MID(Proc[[#This Row],[Obj]],13,10),"")</f>
        <v/>
      </c>
      <c r="J2947" s="125" t="b">
        <f>Proc[[#This Row],[Requested]]=Proc[[#This Row],[CurrentParent]]</f>
        <v>1</v>
      </c>
      <c r="K2947" s="144" t="str">
        <f>IF(Proc[[#This Row],[Author]]="Marcela Urrego",VLOOKUP(LEFT(Proc[[#This Row],[Requested]],1),Table3[#All],2,0),VLOOKUP(Proc[[#This Row],[Author]],Table4[],2,0))</f>
        <v>HC</v>
      </c>
      <c r="L2947" s="125" t="s">
        <v>4894</v>
      </c>
      <c r="M2947" s="113">
        <v>45873</v>
      </c>
      <c r="N2947" s="113"/>
      <c r="O2947" s="113"/>
      <c r="P2947" s="115" t="str">
        <f ca="1">IF(Proc[[#This Row],[DaysAgeing]]&gt;5,"yep","on track")</f>
        <v>yep</v>
      </c>
      <c r="Q2947" s="3">
        <f ca="1">IF(Proc[[#This Row],[DateClosed]]="",ABS(NETWORKDAYS(Proc[[#This Row],[DateOpened]],TODAY()))-1,ABS(NETWORKDAYS(Proc[[#This Row],[DateOpened]],Proc[[#This Row],[DateClosed]]))-1)</f>
        <v>99</v>
      </c>
      <c r="R2947" s="115" t="s">
        <v>1013</v>
      </c>
      <c r="S2947" s="125"/>
    </row>
    <row r="2948" spans="1:19" hidden="1">
      <c r="A2948" s="124" t="s">
        <v>5258</v>
      </c>
      <c r="B2948" s="149" t="str">
        <f>IFERROR(VLOOKUP(Proc[[#This Row],[App]],Table2[],3,0),"open")</f>
        <v>ok</v>
      </c>
      <c r="C2948" s="124" t="s">
        <v>369</v>
      </c>
      <c r="D2948" t="s">
        <v>4967</v>
      </c>
      <c r="E2948" t="s">
        <v>3002</v>
      </c>
      <c r="F2948" s="125" t="s">
        <v>3002</v>
      </c>
      <c r="G2948" s="124" t="s">
        <v>400</v>
      </c>
      <c r="H2948" s="125" t="str">
        <f>IF(Proc[[#This Row],[type]]="LFF (MDG-F)",MID(Proc[[#This Row],[Obj]],13,10),"")</f>
        <v/>
      </c>
      <c r="J2948" s="125" t="b">
        <f>Proc[[#This Row],[Requested]]=Proc[[#This Row],[CurrentParent]]</f>
        <v>1</v>
      </c>
      <c r="K2948" s="144" t="str">
        <f>IF(Proc[[#This Row],[Author]]="Marcela Urrego",VLOOKUP(LEFT(Proc[[#This Row],[Requested]],1),Table3[#All],2,0),VLOOKUP(Proc[[#This Row],[Author]],Table4[],2,0))</f>
        <v>HC</v>
      </c>
      <c r="L2948" s="125" t="s">
        <v>4894</v>
      </c>
      <c r="M2948" s="113">
        <v>45873</v>
      </c>
      <c r="N2948" s="113"/>
      <c r="O2948" s="113"/>
      <c r="P2948" s="115" t="str">
        <f ca="1">IF(Proc[[#This Row],[DaysAgeing]]&gt;5,"yep","on track")</f>
        <v>yep</v>
      </c>
      <c r="Q2948" s="3">
        <f ca="1">IF(Proc[[#This Row],[DateClosed]]="",ABS(NETWORKDAYS(Proc[[#This Row],[DateOpened]],TODAY()))-1,ABS(NETWORKDAYS(Proc[[#This Row],[DateOpened]],Proc[[#This Row],[DateClosed]]))-1)</f>
        <v>99</v>
      </c>
      <c r="R2948" s="115" t="s">
        <v>1013</v>
      </c>
      <c r="S2948" s="125"/>
    </row>
    <row r="2949" spans="1:19" hidden="1">
      <c r="A2949" s="124" t="s">
        <v>5258</v>
      </c>
      <c r="B2949" s="149" t="str">
        <f>IFERROR(VLOOKUP(Proc[[#This Row],[App]],Table2[],3,0),"open")</f>
        <v>ok</v>
      </c>
      <c r="C2949" s="124" t="s">
        <v>369</v>
      </c>
      <c r="D2949" t="s">
        <v>4968</v>
      </c>
      <c r="E2949" t="s">
        <v>3002</v>
      </c>
      <c r="F2949" s="125" t="s">
        <v>3002</v>
      </c>
      <c r="G2949" s="124" t="s">
        <v>400</v>
      </c>
      <c r="H2949" s="125" t="str">
        <f>IF(Proc[[#This Row],[type]]="LFF (MDG-F)",MID(Proc[[#This Row],[Obj]],13,10),"")</f>
        <v/>
      </c>
      <c r="J2949" s="125" t="b">
        <f>Proc[[#This Row],[Requested]]=Proc[[#This Row],[CurrentParent]]</f>
        <v>1</v>
      </c>
      <c r="K2949" s="144" t="str">
        <f>IF(Proc[[#This Row],[Author]]="Marcela Urrego",VLOOKUP(LEFT(Proc[[#This Row],[Requested]],1),Table3[#All],2,0),VLOOKUP(Proc[[#This Row],[Author]],Table4[],2,0))</f>
        <v>HC</v>
      </c>
      <c r="L2949" s="125" t="s">
        <v>4894</v>
      </c>
      <c r="M2949" s="113">
        <v>45873</v>
      </c>
      <c r="N2949" s="113"/>
      <c r="O2949" s="113"/>
      <c r="P2949" s="115" t="str">
        <f ca="1">IF(Proc[[#This Row],[DaysAgeing]]&gt;5,"yep","on track")</f>
        <v>yep</v>
      </c>
      <c r="Q2949" s="3">
        <f ca="1">IF(Proc[[#This Row],[DateClosed]]="",ABS(NETWORKDAYS(Proc[[#This Row],[DateOpened]],TODAY()))-1,ABS(NETWORKDAYS(Proc[[#This Row],[DateOpened]],Proc[[#This Row],[DateClosed]]))-1)</f>
        <v>99</v>
      </c>
      <c r="R2949" s="115" t="s">
        <v>1013</v>
      </c>
      <c r="S2949" s="125"/>
    </row>
    <row r="2950" spans="1:19" hidden="1">
      <c r="A2950" s="124" t="s">
        <v>5258</v>
      </c>
      <c r="B2950" s="149" t="str">
        <f>IFERROR(VLOOKUP(Proc[[#This Row],[App]],Table2[],3,0),"open")</f>
        <v>ok</v>
      </c>
      <c r="C2950" s="124" t="s">
        <v>369</v>
      </c>
      <c r="D2950" t="s">
        <v>4969</v>
      </c>
      <c r="E2950" t="s">
        <v>3002</v>
      </c>
      <c r="F2950" s="125" t="s">
        <v>3002</v>
      </c>
      <c r="G2950" s="124" t="s">
        <v>400</v>
      </c>
      <c r="H2950" s="125" t="str">
        <f>IF(Proc[[#This Row],[type]]="LFF (MDG-F)",MID(Proc[[#This Row],[Obj]],13,10),"")</f>
        <v/>
      </c>
      <c r="J2950" s="125" t="b">
        <f>Proc[[#This Row],[Requested]]=Proc[[#This Row],[CurrentParent]]</f>
        <v>1</v>
      </c>
      <c r="K2950" s="144" t="str">
        <f>IF(Proc[[#This Row],[Author]]="Marcela Urrego",VLOOKUP(LEFT(Proc[[#This Row],[Requested]],1),Table3[#All],2,0),VLOOKUP(Proc[[#This Row],[Author]],Table4[],2,0))</f>
        <v>HC</v>
      </c>
      <c r="L2950" s="125" t="s">
        <v>4894</v>
      </c>
      <c r="M2950" s="113">
        <v>45873</v>
      </c>
      <c r="N2950" s="113"/>
      <c r="O2950" s="113"/>
      <c r="P2950" s="115" t="str">
        <f ca="1">IF(Proc[[#This Row],[DaysAgeing]]&gt;5,"yep","on track")</f>
        <v>yep</v>
      </c>
      <c r="Q2950" s="3">
        <f ca="1">IF(Proc[[#This Row],[DateClosed]]="",ABS(NETWORKDAYS(Proc[[#This Row],[DateOpened]],TODAY()))-1,ABS(NETWORKDAYS(Proc[[#This Row],[DateOpened]],Proc[[#This Row],[DateClosed]]))-1)</f>
        <v>99</v>
      </c>
      <c r="R2950" s="115" t="s">
        <v>1013</v>
      </c>
      <c r="S2950" s="125"/>
    </row>
    <row r="2951" spans="1:19" hidden="1">
      <c r="A2951" s="124" t="s">
        <v>5258</v>
      </c>
      <c r="B2951" s="149" t="str">
        <f>IFERROR(VLOOKUP(Proc[[#This Row],[App]],Table2[],3,0),"open")</f>
        <v>ok</v>
      </c>
      <c r="C2951" s="124" t="s">
        <v>369</v>
      </c>
      <c r="D2951" t="s">
        <v>4970</v>
      </c>
      <c r="E2951" t="s">
        <v>5251</v>
      </c>
      <c r="F2951" s="125" t="s">
        <v>5251</v>
      </c>
      <c r="G2951" s="124" t="s">
        <v>400</v>
      </c>
      <c r="H2951" s="125" t="str">
        <f>IF(Proc[[#This Row],[type]]="LFF (MDG-F)",MID(Proc[[#This Row],[Obj]],13,10),"")</f>
        <v/>
      </c>
      <c r="J2951" s="125" t="b">
        <f>Proc[[#This Row],[Requested]]=Proc[[#This Row],[CurrentParent]]</f>
        <v>1</v>
      </c>
      <c r="K2951" s="144" t="str">
        <f>IF(Proc[[#This Row],[Author]]="Marcela Urrego",VLOOKUP(LEFT(Proc[[#This Row],[Requested]],1),Table3[#All],2,0),VLOOKUP(Proc[[#This Row],[Author]],Table4[],2,0))</f>
        <v>HC</v>
      </c>
      <c r="L2951" s="125" t="s">
        <v>4894</v>
      </c>
      <c r="M2951" s="113">
        <v>45873</v>
      </c>
      <c r="N2951" s="113"/>
      <c r="O2951" s="113"/>
      <c r="P2951" s="115" t="str">
        <f ca="1">IF(Proc[[#This Row],[DaysAgeing]]&gt;5,"yep","on track")</f>
        <v>yep</v>
      </c>
      <c r="Q2951" s="3">
        <f ca="1">IF(Proc[[#This Row],[DateClosed]]="",ABS(NETWORKDAYS(Proc[[#This Row],[DateOpened]],TODAY()))-1,ABS(NETWORKDAYS(Proc[[#This Row],[DateOpened]],Proc[[#This Row],[DateClosed]]))-1)</f>
        <v>99</v>
      </c>
      <c r="R2951" s="115" t="s">
        <v>1013</v>
      </c>
      <c r="S2951" s="125"/>
    </row>
    <row r="2952" spans="1:19" hidden="1">
      <c r="A2952" s="124" t="s">
        <v>5258</v>
      </c>
      <c r="B2952" s="149" t="str">
        <f>IFERROR(VLOOKUP(Proc[[#This Row],[App]],Table2[],3,0),"open")</f>
        <v>ok</v>
      </c>
      <c r="C2952" s="124" t="s">
        <v>369</v>
      </c>
      <c r="D2952" t="s">
        <v>4971</v>
      </c>
      <c r="E2952" t="s">
        <v>3006</v>
      </c>
      <c r="F2952" s="125" t="s">
        <v>3006</v>
      </c>
      <c r="G2952" s="124" t="s">
        <v>400</v>
      </c>
      <c r="H2952" s="125" t="str">
        <f>IF(Proc[[#This Row],[type]]="LFF (MDG-F)",MID(Proc[[#This Row],[Obj]],13,10),"")</f>
        <v/>
      </c>
      <c r="J2952" s="125" t="b">
        <f>Proc[[#This Row],[Requested]]=Proc[[#This Row],[CurrentParent]]</f>
        <v>1</v>
      </c>
      <c r="K2952" s="144" t="str">
        <f>IF(Proc[[#This Row],[Author]]="Marcela Urrego",VLOOKUP(LEFT(Proc[[#This Row],[Requested]],1),Table3[#All],2,0),VLOOKUP(Proc[[#This Row],[Author]],Table4[],2,0))</f>
        <v>HC</v>
      </c>
      <c r="L2952" s="125" t="s">
        <v>4894</v>
      </c>
      <c r="M2952" s="113">
        <v>45873</v>
      </c>
      <c r="N2952" s="113"/>
      <c r="O2952" s="113"/>
      <c r="P2952" s="115" t="str">
        <f ca="1">IF(Proc[[#This Row],[DaysAgeing]]&gt;5,"yep","on track")</f>
        <v>yep</v>
      </c>
      <c r="Q2952" s="3">
        <f ca="1">IF(Proc[[#This Row],[DateClosed]]="",ABS(NETWORKDAYS(Proc[[#This Row],[DateOpened]],TODAY()))-1,ABS(NETWORKDAYS(Proc[[#This Row],[DateOpened]],Proc[[#This Row],[DateClosed]]))-1)</f>
        <v>99</v>
      </c>
      <c r="R2952" s="115" t="s">
        <v>1013</v>
      </c>
      <c r="S2952" s="125"/>
    </row>
    <row r="2953" spans="1:19" hidden="1">
      <c r="A2953" s="124" t="s">
        <v>5258</v>
      </c>
      <c r="B2953" s="149" t="str">
        <f>IFERROR(VLOOKUP(Proc[[#This Row],[App]],Table2[],3,0),"open")</f>
        <v>ok</v>
      </c>
      <c r="C2953" s="124" t="s">
        <v>369</v>
      </c>
      <c r="D2953" t="s">
        <v>4972</v>
      </c>
      <c r="E2953" t="s">
        <v>3008</v>
      </c>
      <c r="F2953" s="125" t="s">
        <v>3008</v>
      </c>
      <c r="G2953" s="124" t="s">
        <v>400</v>
      </c>
      <c r="H2953" s="125" t="str">
        <f>IF(Proc[[#This Row],[type]]="LFF (MDG-F)",MID(Proc[[#This Row],[Obj]],13,10),"")</f>
        <v/>
      </c>
      <c r="J2953" s="125" t="b">
        <f>Proc[[#This Row],[Requested]]=Proc[[#This Row],[CurrentParent]]</f>
        <v>1</v>
      </c>
      <c r="K2953" s="144" t="str">
        <f>IF(Proc[[#This Row],[Author]]="Marcela Urrego",VLOOKUP(LEFT(Proc[[#This Row],[Requested]],1),Table3[#All],2,0),VLOOKUP(Proc[[#This Row],[Author]],Table4[],2,0))</f>
        <v>HC</v>
      </c>
      <c r="L2953" s="125" t="s">
        <v>4894</v>
      </c>
      <c r="M2953" s="113">
        <v>45873</v>
      </c>
      <c r="N2953" s="113"/>
      <c r="O2953" s="113"/>
      <c r="P2953" s="115" t="str">
        <f ca="1">IF(Proc[[#This Row],[DaysAgeing]]&gt;5,"yep","on track")</f>
        <v>yep</v>
      </c>
      <c r="Q2953" s="3">
        <f ca="1">IF(Proc[[#This Row],[DateClosed]]="",ABS(NETWORKDAYS(Proc[[#This Row],[DateOpened]],TODAY()))-1,ABS(NETWORKDAYS(Proc[[#This Row],[DateOpened]],Proc[[#This Row],[DateClosed]]))-1)</f>
        <v>99</v>
      </c>
      <c r="R2953" s="115" t="s">
        <v>1013</v>
      </c>
      <c r="S2953" s="125"/>
    </row>
    <row r="2954" spans="1:19" hidden="1">
      <c r="A2954" s="124" t="s">
        <v>5258</v>
      </c>
      <c r="B2954" s="149" t="str">
        <f>IFERROR(VLOOKUP(Proc[[#This Row],[App]],Table2[],3,0),"open")</f>
        <v>ok</v>
      </c>
      <c r="C2954" s="124" t="s">
        <v>369</v>
      </c>
      <c r="D2954" t="s">
        <v>4973</v>
      </c>
      <c r="E2954" t="s">
        <v>3002</v>
      </c>
      <c r="F2954" s="125" t="s">
        <v>3002</v>
      </c>
      <c r="G2954" s="124" t="s">
        <v>400</v>
      </c>
      <c r="H2954" s="125" t="str">
        <f>IF(Proc[[#This Row],[type]]="LFF (MDG-F)",MID(Proc[[#This Row],[Obj]],13,10),"")</f>
        <v/>
      </c>
      <c r="J2954" s="125" t="b">
        <f>Proc[[#This Row],[Requested]]=Proc[[#This Row],[CurrentParent]]</f>
        <v>1</v>
      </c>
      <c r="K2954" s="144" t="str">
        <f>IF(Proc[[#This Row],[Author]]="Marcela Urrego",VLOOKUP(LEFT(Proc[[#This Row],[Requested]],1),Table3[#All],2,0),VLOOKUP(Proc[[#This Row],[Author]],Table4[],2,0))</f>
        <v>HC</v>
      </c>
      <c r="L2954" s="125" t="s">
        <v>4894</v>
      </c>
      <c r="M2954" s="113">
        <v>45873</v>
      </c>
      <c r="N2954" s="113"/>
      <c r="O2954" s="113"/>
      <c r="P2954" s="115" t="str">
        <f ca="1">IF(Proc[[#This Row],[DaysAgeing]]&gt;5,"yep","on track")</f>
        <v>yep</v>
      </c>
      <c r="Q2954" s="3">
        <f ca="1">IF(Proc[[#This Row],[DateClosed]]="",ABS(NETWORKDAYS(Proc[[#This Row],[DateOpened]],TODAY()))-1,ABS(NETWORKDAYS(Proc[[#This Row],[DateOpened]],Proc[[#This Row],[DateClosed]]))-1)</f>
        <v>99</v>
      </c>
      <c r="R2954" s="115" t="s">
        <v>1013</v>
      </c>
      <c r="S2954" s="125"/>
    </row>
    <row r="2955" spans="1:19" hidden="1">
      <c r="A2955" s="124" t="s">
        <v>5258</v>
      </c>
      <c r="B2955" s="149" t="str">
        <f>IFERROR(VLOOKUP(Proc[[#This Row],[App]],Table2[],3,0),"open")</f>
        <v>ok</v>
      </c>
      <c r="C2955" s="124" t="s">
        <v>369</v>
      </c>
      <c r="D2955" t="s">
        <v>4974</v>
      </c>
      <c r="E2955" t="s">
        <v>3002</v>
      </c>
      <c r="F2955" s="125" t="s">
        <v>3002</v>
      </c>
      <c r="G2955" s="124" t="s">
        <v>400</v>
      </c>
      <c r="H2955" s="125" t="str">
        <f>IF(Proc[[#This Row],[type]]="LFF (MDG-F)",MID(Proc[[#This Row],[Obj]],13,10),"")</f>
        <v/>
      </c>
      <c r="J2955" s="125" t="b">
        <f>Proc[[#This Row],[Requested]]=Proc[[#This Row],[CurrentParent]]</f>
        <v>1</v>
      </c>
      <c r="K2955" s="144" t="str">
        <f>IF(Proc[[#This Row],[Author]]="Marcela Urrego",VLOOKUP(LEFT(Proc[[#This Row],[Requested]],1),Table3[#All],2,0),VLOOKUP(Proc[[#This Row],[Author]],Table4[],2,0))</f>
        <v>HC</v>
      </c>
      <c r="L2955" s="125" t="s">
        <v>4894</v>
      </c>
      <c r="M2955" s="113">
        <v>45873</v>
      </c>
      <c r="N2955" s="113"/>
      <c r="O2955" s="113"/>
      <c r="P2955" s="115" t="str">
        <f ca="1">IF(Proc[[#This Row],[DaysAgeing]]&gt;5,"yep","on track")</f>
        <v>yep</v>
      </c>
      <c r="Q2955" s="3">
        <f ca="1">IF(Proc[[#This Row],[DateClosed]]="",ABS(NETWORKDAYS(Proc[[#This Row],[DateOpened]],TODAY()))-1,ABS(NETWORKDAYS(Proc[[#This Row],[DateOpened]],Proc[[#This Row],[DateClosed]]))-1)</f>
        <v>99</v>
      </c>
      <c r="R2955" s="115" t="s">
        <v>1013</v>
      </c>
      <c r="S2955" s="125"/>
    </row>
    <row r="2956" spans="1:19" hidden="1">
      <c r="A2956" s="124" t="s">
        <v>5258</v>
      </c>
      <c r="B2956" s="149" t="str">
        <f>IFERROR(VLOOKUP(Proc[[#This Row],[App]],Table2[],3,0),"open")</f>
        <v>ok</v>
      </c>
      <c r="C2956" s="124" t="s">
        <v>369</v>
      </c>
      <c r="D2956" t="s">
        <v>4975</v>
      </c>
      <c r="E2956" t="s">
        <v>3002</v>
      </c>
      <c r="F2956" s="125" t="s">
        <v>3002</v>
      </c>
      <c r="G2956" s="124" t="s">
        <v>400</v>
      </c>
      <c r="H2956" s="125" t="str">
        <f>IF(Proc[[#This Row],[type]]="LFF (MDG-F)",MID(Proc[[#This Row],[Obj]],13,10),"")</f>
        <v/>
      </c>
      <c r="J2956" s="125" t="b">
        <f>Proc[[#This Row],[Requested]]=Proc[[#This Row],[CurrentParent]]</f>
        <v>1</v>
      </c>
      <c r="K2956" s="144" t="str">
        <f>IF(Proc[[#This Row],[Author]]="Marcela Urrego",VLOOKUP(LEFT(Proc[[#This Row],[Requested]],1),Table3[#All],2,0),VLOOKUP(Proc[[#This Row],[Author]],Table4[],2,0))</f>
        <v>HC</v>
      </c>
      <c r="L2956" s="125" t="s">
        <v>4894</v>
      </c>
      <c r="M2956" s="113">
        <v>45873</v>
      </c>
      <c r="N2956" s="113"/>
      <c r="O2956" s="113"/>
      <c r="P2956" s="115" t="str">
        <f ca="1">IF(Proc[[#This Row],[DaysAgeing]]&gt;5,"yep","on track")</f>
        <v>yep</v>
      </c>
      <c r="Q2956" s="3">
        <f ca="1">IF(Proc[[#This Row],[DateClosed]]="",ABS(NETWORKDAYS(Proc[[#This Row],[DateOpened]],TODAY()))-1,ABS(NETWORKDAYS(Proc[[#This Row],[DateOpened]],Proc[[#This Row],[DateClosed]]))-1)</f>
        <v>99</v>
      </c>
      <c r="R2956" s="115" t="s">
        <v>1013</v>
      </c>
      <c r="S2956" s="125"/>
    </row>
    <row r="2957" spans="1:19" hidden="1">
      <c r="A2957" s="124" t="s">
        <v>5258</v>
      </c>
      <c r="B2957" s="149" t="str">
        <f>IFERROR(VLOOKUP(Proc[[#This Row],[App]],Table2[],3,0),"open")</f>
        <v>ok</v>
      </c>
      <c r="C2957" s="124" t="s">
        <v>369</v>
      </c>
      <c r="D2957" t="s">
        <v>4976</v>
      </c>
      <c r="E2957" t="s">
        <v>3008</v>
      </c>
      <c r="F2957" s="125" t="s">
        <v>3008</v>
      </c>
      <c r="G2957" s="124" t="s">
        <v>400</v>
      </c>
      <c r="H2957" s="125" t="str">
        <f>IF(Proc[[#This Row],[type]]="LFF (MDG-F)",MID(Proc[[#This Row],[Obj]],13,10),"")</f>
        <v/>
      </c>
      <c r="J2957" s="125" t="b">
        <f>Proc[[#This Row],[Requested]]=Proc[[#This Row],[CurrentParent]]</f>
        <v>1</v>
      </c>
      <c r="K2957" s="144" t="str">
        <f>IF(Proc[[#This Row],[Author]]="Marcela Urrego",VLOOKUP(LEFT(Proc[[#This Row],[Requested]],1),Table3[#All],2,0),VLOOKUP(Proc[[#This Row],[Author]],Table4[],2,0))</f>
        <v>HC</v>
      </c>
      <c r="L2957" s="125" t="s">
        <v>4894</v>
      </c>
      <c r="M2957" s="113">
        <v>45873</v>
      </c>
      <c r="N2957" s="113"/>
      <c r="O2957" s="113"/>
      <c r="P2957" s="115" t="str">
        <f ca="1">IF(Proc[[#This Row],[DaysAgeing]]&gt;5,"yep","on track")</f>
        <v>yep</v>
      </c>
      <c r="Q2957" s="3">
        <f ca="1">IF(Proc[[#This Row],[DateClosed]]="",ABS(NETWORKDAYS(Proc[[#This Row],[DateOpened]],TODAY()))-1,ABS(NETWORKDAYS(Proc[[#This Row],[DateOpened]],Proc[[#This Row],[DateClosed]]))-1)</f>
        <v>99</v>
      </c>
      <c r="R2957" s="115" t="s">
        <v>1013</v>
      </c>
      <c r="S2957" s="125"/>
    </row>
    <row r="2958" spans="1:19" hidden="1">
      <c r="A2958" s="124" t="s">
        <v>5258</v>
      </c>
      <c r="B2958" s="149" t="str">
        <f>IFERROR(VLOOKUP(Proc[[#This Row],[App]],Table2[],3,0),"open")</f>
        <v>ok</v>
      </c>
      <c r="C2958" s="124" t="s">
        <v>369</v>
      </c>
      <c r="D2958" t="s">
        <v>4977</v>
      </c>
      <c r="E2958" t="s">
        <v>3002</v>
      </c>
      <c r="F2958" s="125" t="s">
        <v>3002</v>
      </c>
      <c r="G2958" s="124" t="s">
        <v>400</v>
      </c>
      <c r="H2958" s="125" t="str">
        <f>IF(Proc[[#This Row],[type]]="LFF (MDG-F)",MID(Proc[[#This Row],[Obj]],13,10),"")</f>
        <v/>
      </c>
      <c r="J2958" s="125" t="b">
        <f>Proc[[#This Row],[Requested]]=Proc[[#This Row],[CurrentParent]]</f>
        <v>1</v>
      </c>
      <c r="K2958" s="144" t="str">
        <f>IF(Proc[[#This Row],[Author]]="Marcela Urrego",VLOOKUP(LEFT(Proc[[#This Row],[Requested]],1),Table3[#All],2,0),VLOOKUP(Proc[[#This Row],[Author]],Table4[],2,0))</f>
        <v>HC</v>
      </c>
      <c r="L2958" s="125" t="s">
        <v>4894</v>
      </c>
      <c r="M2958" s="113">
        <v>45873</v>
      </c>
      <c r="N2958" s="113"/>
      <c r="O2958" s="113"/>
      <c r="P2958" s="115" t="str">
        <f ca="1">IF(Proc[[#This Row],[DaysAgeing]]&gt;5,"yep","on track")</f>
        <v>yep</v>
      </c>
      <c r="Q2958" s="3">
        <f ca="1">IF(Proc[[#This Row],[DateClosed]]="",ABS(NETWORKDAYS(Proc[[#This Row],[DateOpened]],TODAY()))-1,ABS(NETWORKDAYS(Proc[[#This Row],[DateOpened]],Proc[[#This Row],[DateClosed]]))-1)</f>
        <v>99</v>
      </c>
      <c r="R2958" s="115" t="s">
        <v>1013</v>
      </c>
      <c r="S2958" s="125"/>
    </row>
    <row r="2959" spans="1:19" hidden="1">
      <c r="A2959" s="124" t="s">
        <v>5258</v>
      </c>
      <c r="B2959" s="149" t="str">
        <f>IFERROR(VLOOKUP(Proc[[#This Row],[App]],Table2[],3,0),"open")</f>
        <v>ok</v>
      </c>
      <c r="C2959" s="124" t="s">
        <v>369</v>
      </c>
      <c r="D2959" t="s">
        <v>4978</v>
      </c>
      <c r="E2959" t="s">
        <v>3002</v>
      </c>
      <c r="F2959" s="125" t="s">
        <v>3002</v>
      </c>
      <c r="G2959" s="124" t="s">
        <v>400</v>
      </c>
      <c r="H2959" s="125" t="str">
        <f>IF(Proc[[#This Row],[type]]="LFF (MDG-F)",MID(Proc[[#This Row],[Obj]],13,10),"")</f>
        <v/>
      </c>
      <c r="J2959" s="125" t="b">
        <f>Proc[[#This Row],[Requested]]=Proc[[#This Row],[CurrentParent]]</f>
        <v>1</v>
      </c>
      <c r="K2959" s="144" t="str">
        <f>IF(Proc[[#This Row],[Author]]="Marcela Urrego",VLOOKUP(LEFT(Proc[[#This Row],[Requested]],1),Table3[#All],2,0),VLOOKUP(Proc[[#This Row],[Author]],Table4[],2,0))</f>
        <v>HC</v>
      </c>
      <c r="L2959" s="125" t="s">
        <v>4894</v>
      </c>
      <c r="M2959" s="113">
        <v>45873</v>
      </c>
      <c r="N2959" s="113"/>
      <c r="O2959" s="113"/>
      <c r="P2959" s="115" t="str">
        <f ca="1">IF(Proc[[#This Row],[DaysAgeing]]&gt;5,"yep","on track")</f>
        <v>yep</v>
      </c>
      <c r="Q2959" s="3">
        <f ca="1">IF(Proc[[#This Row],[DateClosed]]="",ABS(NETWORKDAYS(Proc[[#This Row],[DateOpened]],TODAY()))-1,ABS(NETWORKDAYS(Proc[[#This Row],[DateOpened]],Proc[[#This Row],[DateClosed]]))-1)</f>
        <v>99</v>
      </c>
      <c r="R2959" s="115" t="s">
        <v>1013</v>
      </c>
      <c r="S2959" s="125"/>
    </row>
    <row r="2960" spans="1:19" hidden="1">
      <c r="A2960" s="124" t="s">
        <v>5258</v>
      </c>
      <c r="B2960" s="149" t="str">
        <f>IFERROR(VLOOKUP(Proc[[#This Row],[App]],Table2[],3,0),"open")</f>
        <v>ok</v>
      </c>
      <c r="C2960" s="124" t="s">
        <v>369</v>
      </c>
      <c r="D2960" t="s">
        <v>4979</v>
      </c>
      <c r="E2960" t="s">
        <v>3008</v>
      </c>
      <c r="F2960" s="125" t="s">
        <v>3008</v>
      </c>
      <c r="G2960" s="124" t="s">
        <v>400</v>
      </c>
      <c r="H2960" s="125" t="str">
        <f>IF(Proc[[#This Row],[type]]="LFF (MDG-F)",MID(Proc[[#This Row],[Obj]],13,10),"")</f>
        <v/>
      </c>
      <c r="J2960" s="125" t="b">
        <f>Proc[[#This Row],[Requested]]=Proc[[#This Row],[CurrentParent]]</f>
        <v>1</v>
      </c>
      <c r="K2960" s="144" t="str">
        <f>IF(Proc[[#This Row],[Author]]="Marcela Urrego",VLOOKUP(LEFT(Proc[[#This Row],[Requested]],1),Table3[#All],2,0),VLOOKUP(Proc[[#This Row],[Author]],Table4[],2,0))</f>
        <v>HC</v>
      </c>
      <c r="L2960" s="125" t="s">
        <v>4894</v>
      </c>
      <c r="M2960" s="113">
        <v>45873</v>
      </c>
      <c r="N2960" s="113"/>
      <c r="O2960" s="113"/>
      <c r="P2960" s="115" t="str">
        <f ca="1">IF(Proc[[#This Row],[DaysAgeing]]&gt;5,"yep","on track")</f>
        <v>yep</v>
      </c>
      <c r="Q2960" s="3">
        <f ca="1">IF(Proc[[#This Row],[DateClosed]]="",ABS(NETWORKDAYS(Proc[[#This Row],[DateOpened]],TODAY()))-1,ABS(NETWORKDAYS(Proc[[#This Row],[DateOpened]],Proc[[#This Row],[DateClosed]]))-1)</f>
        <v>99</v>
      </c>
      <c r="R2960" s="115" t="s">
        <v>1013</v>
      </c>
      <c r="S2960" s="125"/>
    </row>
    <row r="2961" spans="1:19" hidden="1">
      <c r="A2961" s="124" t="s">
        <v>5258</v>
      </c>
      <c r="B2961" s="149" t="str">
        <f>IFERROR(VLOOKUP(Proc[[#This Row],[App]],Table2[],3,0),"open")</f>
        <v>ok</v>
      </c>
      <c r="C2961" s="124" t="s">
        <v>369</v>
      </c>
      <c r="D2961" t="s">
        <v>4980</v>
      </c>
      <c r="E2961" t="s">
        <v>3002</v>
      </c>
      <c r="F2961" s="125" t="s">
        <v>3002</v>
      </c>
      <c r="G2961" s="124" t="s">
        <v>400</v>
      </c>
      <c r="H2961" s="125" t="str">
        <f>IF(Proc[[#This Row],[type]]="LFF (MDG-F)",MID(Proc[[#This Row],[Obj]],13,10),"")</f>
        <v/>
      </c>
      <c r="J2961" s="125" t="b">
        <f>Proc[[#This Row],[Requested]]=Proc[[#This Row],[CurrentParent]]</f>
        <v>1</v>
      </c>
      <c r="K2961" s="144" t="str">
        <f>IF(Proc[[#This Row],[Author]]="Marcela Urrego",VLOOKUP(LEFT(Proc[[#This Row],[Requested]],1),Table3[#All],2,0),VLOOKUP(Proc[[#This Row],[Author]],Table4[],2,0))</f>
        <v>HC</v>
      </c>
      <c r="L2961" s="125" t="s">
        <v>4894</v>
      </c>
      <c r="M2961" s="113">
        <v>45873</v>
      </c>
      <c r="N2961" s="113"/>
      <c r="O2961" s="113"/>
      <c r="P2961" s="115" t="str">
        <f ca="1">IF(Proc[[#This Row],[DaysAgeing]]&gt;5,"yep","on track")</f>
        <v>yep</v>
      </c>
      <c r="Q2961" s="3">
        <f ca="1">IF(Proc[[#This Row],[DateClosed]]="",ABS(NETWORKDAYS(Proc[[#This Row],[DateOpened]],TODAY()))-1,ABS(NETWORKDAYS(Proc[[#This Row],[DateOpened]],Proc[[#This Row],[DateClosed]]))-1)</f>
        <v>99</v>
      </c>
      <c r="R2961" s="115" t="s">
        <v>1013</v>
      </c>
      <c r="S2961" s="125"/>
    </row>
    <row r="2962" spans="1:19" hidden="1">
      <c r="A2962" s="124" t="s">
        <v>5258</v>
      </c>
      <c r="B2962" s="149" t="str">
        <f>IFERROR(VLOOKUP(Proc[[#This Row],[App]],Table2[],3,0),"open")</f>
        <v>ok</v>
      </c>
      <c r="C2962" s="124" t="s">
        <v>369</v>
      </c>
      <c r="D2962" t="s">
        <v>4981</v>
      </c>
      <c r="E2962" t="s">
        <v>3002</v>
      </c>
      <c r="F2962" s="125" t="s">
        <v>3002</v>
      </c>
      <c r="G2962" s="124" t="s">
        <v>400</v>
      </c>
      <c r="H2962" s="125" t="str">
        <f>IF(Proc[[#This Row],[type]]="LFF (MDG-F)",MID(Proc[[#This Row],[Obj]],13,10),"")</f>
        <v/>
      </c>
      <c r="J2962" s="125" t="b">
        <f>Proc[[#This Row],[Requested]]=Proc[[#This Row],[CurrentParent]]</f>
        <v>1</v>
      </c>
      <c r="K2962" s="144" t="str">
        <f>IF(Proc[[#This Row],[Author]]="Marcela Urrego",VLOOKUP(LEFT(Proc[[#This Row],[Requested]],1),Table3[#All],2,0),VLOOKUP(Proc[[#This Row],[Author]],Table4[],2,0))</f>
        <v>HC</v>
      </c>
      <c r="L2962" s="125" t="s">
        <v>4894</v>
      </c>
      <c r="M2962" s="113">
        <v>45873</v>
      </c>
      <c r="N2962" s="113"/>
      <c r="O2962" s="113"/>
      <c r="P2962" s="115" t="str">
        <f ca="1">IF(Proc[[#This Row],[DaysAgeing]]&gt;5,"yep","on track")</f>
        <v>yep</v>
      </c>
      <c r="Q2962" s="3">
        <f ca="1">IF(Proc[[#This Row],[DateClosed]]="",ABS(NETWORKDAYS(Proc[[#This Row],[DateOpened]],TODAY()))-1,ABS(NETWORKDAYS(Proc[[#This Row],[DateOpened]],Proc[[#This Row],[DateClosed]]))-1)</f>
        <v>99</v>
      </c>
      <c r="R2962" s="115" t="s">
        <v>1013</v>
      </c>
      <c r="S2962" s="125"/>
    </row>
    <row r="2963" spans="1:19" hidden="1">
      <c r="A2963" s="124" t="s">
        <v>5258</v>
      </c>
      <c r="B2963" s="149" t="str">
        <f>IFERROR(VLOOKUP(Proc[[#This Row],[App]],Table2[],3,0),"open")</f>
        <v>ok</v>
      </c>
      <c r="C2963" s="124" t="s">
        <v>369</v>
      </c>
      <c r="D2963" t="s">
        <v>4982</v>
      </c>
      <c r="E2963" t="s">
        <v>3003</v>
      </c>
      <c r="F2963" s="125" t="s">
        <v>3003</v>
      </c>
      <c r="G2963" s="124" t="s">
        <v>400</v>
      </c>
      <c r="H2963" s="125" t="str">
        <f>IF(Proc[[#This Row],[type]]="LFF (MDG-F)",MID(Proc[[#This Row],[Obj]],13,10),"")</f>
        <v/>
      </c>
      <c r="J2963" s="125" t="b">
        <f>Proc[[#This Row],[Requested]]=Proc[[#This Row],[CurrentParent]]</f>
        <v>1</v>
      </c>
      <c r="K2963" s="144" t="str">
        <f>IF(Proc[[#This Row],[Author]]="Marcela Urrego",VLOOKUP(LEFT(Proc[[#This Row],[Requested]],1),Table3[#All],2,0),VLOOKUP(Proc[[#This Row],[Author]],Table4[],2,0))</f>
        <v>HC</v>
      </c>
      <c r="L2963" s="125" t="s">
        <v>4894</v>
      </c>
      <c r="M2963" s="113">
        <v>45873</v>
      </c>
      <c r="N2963" s="113"/>
      <c r="O2963" s="113"/>
      <c r="P2963" s="115" t="str">
        <f ca="1">IF(Proc[[#This Row],[DaysAgeing]]&gt;5,"yep","on track")</f>
        <v>yep</v>
      </c>
      <c r="Q2963" s="3">
        <f ca="1">IF(Proc[[#This Row],[DateClosed]]="",ABS(NETWORKDAYS(Proc[[#This Row],[DateOpened]],TODAY()))-1,ABS(NETWORKDAYS(Proc[[#This Row],[DateOpened]],Proc[[#This Row],[DateClosed]]))-1)</f>
        <v>99</v>
      </c>
      <c r="R2963" s="115" t="s">
        <v>1013</v>
      </c>
      <c r="S2963" s="125"/>
    </row>
    <row r="2964" spans="1:19" hidden="1">
      <c r="A2964" s="124" t="s">
        <v>5258</v>
      </c>
      <c r="B2964" s="149" t="str">
        <f>IFERROR(VLOOKUP(Proc[[#This Row],[App]],Table2[],3,0),"open")</f>
        <v>ok</v>
      </c>
      <c r="C2964" s="124" t="s">
        <v>369</v>
      </c>
      <c r="D2964" t="s">
        <v>4983</v>
      </c>
      <c r="E2964" t="s">
        <v>3002</v>
      </c>
      <c r="F2964" s="125" t="s">
        <v>3002</v>
      </c>
      <c r="G2964" s="124" t="s">
        <v>400</v>
      </c>
      <c r="H2964" s="125" t="str">
        <f>IF(Proc[[#This Row],[type]]="LFF (MDG-F)",MID(Proc[[#This Row],[Obj]],13,10),"")</f>
        <v/>
      </c>
      <c r="J2964" s="125" t="b">
        <f>Proc[[#This Row],[Requested]]=Proc[[#This Row],[CurrentParent]]</f>
        <v>1</v>
      </c>
      <c r="K2964" s="144" t="str">
        <f>IF(Proc[[#This Row],[Author]]="Marcela Urrego",VLOOKUP(LEFT(Proc[[#This Row],[Requested]],1),Table3[#All],2,0),VLOOKUP(Proc[[#This Row],[Author]],Table4[],2,0))</f>
        <v>HC</v>
      </c>
      <c r="L2964" s="125" t="s">
        <v>4894</v>
      </c>
      <c r="M2964" s="113">
        <v>45873</v>
      </c>
      <c r="N2964" s="113"/>
      <c r="O2964" s="113"/>
      <c r="P2964" s="115" t="str">
        <f ca="1">IF(Proc[[#This Row],[DaysAgeing]]&gt;5,"yep","on track")</f>
        <v>yep</v>
      </c>
      <c r="Q2964" s="3">
        <f ca="1">IF(Proc[[#This Row],[DateClosed]]="",ABS(NETWORKDAYS(Proc[[#This Row],[DateOpened]],TODAY()))-1,ABS(NETWORKDAYS(Proc[[#This Row],[DateOpened]],Proc[[#This Row],[DateClosed]]))-1)</f>
        <v>99</v>
      </c>
      <c r="R2964" s="115" t="s">
        <v>1013</v>
      </c>
      <c r="S2964" s="125"/>
    </row>
    <row r="2965" spans="1:19" hidden="1">
      <c r="A2965" s="124" t="s">
        <v>5258</v>
      </c>
      <c r="B2965" s="149" t="str">
        <f>IFERROR(VLOOKUP(Proc[[#This Row],[App]],Table2[],3,0),"open")</f>
        <v>ok</v>
      </c>
      <c r="C2965" s="124" t="s">
        <v>369</v>
      </c>
      <c r="D2965" t="s">
        <v>4984</v>
      </c>
      <c r="E2965" t="s">
        <v>3004</v>
      </c>
      <c r="F2965" s="125" t="s">
        <v>3004</v>
      </c>
      <c r="G2965" s="124" t="s">
        <v>400</v>
      </c>
      <c r="H2965" s="125" t="str">
        <f>IF(Proc[[#This Row],[type]]="LFF (MDG-F)",MID(Proc[[#This Row],[Obj]],13,10),"")</f>
        <v/>
      </c>
      <c r="J2965" s="125" t="b">
        <f>Proc[[#This Row],[Requested]]=Proc[[#This Row],[CurrentParent]]</f>
        <v>1</v>
      </c>
      <c r="K2965" s="144" t="str">
        <f>IF(Proc[[#This Row],[Author]]="Marcela Urrego",VLOOKUP(LEFT(Proc[[#This Row],[Requested]],1),Table3[#All],2,0),VLOOKUP(Proc[[#This Row],[Author]],Table4[],2,0))</f>
        <v>HC</v>
      </c>
      <c r="L2965" s="125" t="s">
        <v>4894</v>
      </c>
      <c r="M2965" s="113">
        <v>45873</v>
      </c>
      <c r="N2965" s="113"/>
      <c r="O2965" s="113"/>
      <c r="P2965" s="115" t="str">
        <f ca="1">IF(Proc[[#This Row],[DaysAgeing]]&gt;5,"yep","on track")</f>
        <v>yep</v>
      </c>
      <c r="Q2965" s="3">
        <f ca="1">IF(Proc[[#This Row],[DateClosed]]="",ABS(NETWORKDAYS(Proc[[#This Row],[DateOpened]],TODAY()))-1,ABS(NETWORKDAYS(Proc[[#This Row],[DateOpened]],Proc[[#This Row],[DateClosed]]))-1)</f>
        <v>99</v>
      </c>
      <c r="R2965" s="115" t="s">
        <v>1013</v>
      </c>
      <c r="S2965" s="125"/>
    </row>
    <row r="2966" spans="1:19" hidden="1">
      <c r="A2966" s="124" t="s">
        <v>5258</v>
      </c>
      <c r="B2966" s="149" t="str">
        <f>IFERROR(VLOOKUP(Proc[[#This Row],[App]],Table2[],3,0),"open")</f>
        <v>ok</v>
      </c>
      <c r="C2966" s="124" t="s">
        <v>369</v>
      </c>
      <c r="D2966" t="s">
        <v>4985</v>
      </c>
      <c r="E2966" t="s">
        <v>3003</v>
      </c>
      <c r="F2966" s="125" t="s">
        <v>3003</v>
      </c>
      <c r="G2966" s="124" t="s">
        <v>400</v>
      </c>
      <c r="H2966" s="125" t="str">
        <f>IF(Proc[[#This Row],[type]]="LFF (MDG-F)",MID(Proc[[#This Row],[Obj]],13,10),"")</f>
        <v/>
      </c>
      <c r="J2966" s="125" t="b">
        <f>Proc[[#This Row],[Requested]]=Proc[[#This Row],[CurrentParent]]</f>
        <v>1</v>
      </c>
      <c r="K2966" s="144" t="str">
        <f>IF(Proc[[#This Row],[Author]]="Marcela Urrego",VLOOKUP(LEFT(Proc[[#This Row],[Requested]],1),Table3[#All],2,0),VLOOKUP(Proc[[#This Row],[Author]],Table4[],2,0))</f>
        <v>HC</v>
      </c>
      <c r="L2966" s="125" t="s">
        <v>4894</v>
      </c>
      <c r="M2966" s="113">
        <v>45873</v>
      </c>
      <c r="N2966" s="113"/>
      <c r="O2966" s="113"/>
      <c r="P2966" s="115" t="str">
        <f ca="1">IF(Proc[[#This Row],[DaysAgeing]]&gt;5,"yep","on track")</f>
        <v>yep</v>
      </c>
      <c r="Q2966" s="3">
        <f ca="1">IF(Proc[[#This Row],[DateClosed]]="",ABS(NETWORKDAYS(Proc[[#This Row],[DateOpened]],TODAY()))-1,ABS(NETWORKDAYS(Proc[[#This Row],[DateOpened]],Proc[[#This Row],[DateClosed]]))-1)</f>
        <v>99</v>
      </c>
      <c r="R2966" s="115" t="s">
        <v>1013</v>
      </c>
      <c r="S2966" s="125"/>
    </row>
    <row r="2967" spans="1:19" hidden="1">
      <c r="A2967" s="124" t="s">
        <v>5258</v>
      </c>
      <c r="B2967" s="149" t="str">
        <f>IFERROR(VLOOKUP(Proc[[#This Row],[App]],Table2[],3,0),"open")</f>
        <v>ok</v>
      </c>
      <c r="C2967" s="124" t="s">
        <v>369</v>
      </c>
      <c r="D2967" t="s">
        <v>4986</v>
      </c>
      <c r="E2967" t="s">
        <v>3003</v>
      </c>
      <c r="F2967" s="125" t="s">
        <v>3003</v>
      </c>
      <c r="G2967" s="124" t="s">
        <v>400</v>
      </c>
      <c r="H2967" s="125" t="str">
        <f>IF(Proc[[#This Row],[type]]="LFF (MDG-F)",MID(Proc[[#This Row],[Obj]],13,10),"")</f>
        <v/>
      </c>
      <c r="J2967" s="125" t="b">
        <f>Proc[[#This Row],[Requested]]=Proc[[#This Row],[CurrentParent]]</f>
        <v>1</v>
      </c>
      <c r="K2967" s="144" t="str">
        <f>IF(Proc[[#This Row],[Author]]="Marcela Urrego",VLOOKUP(LEFT(Proc[[#This Row],[Requested]],1),Table3[#All],2,0),VLOOKUP(Proc[[#This Row],[Author]],Table4[],2,0))</f>
        <v>HC</v>
      </c>
      <c r="L2967" s="125" t="s">
        <v>4894</v>
      </c>
      <c r="M2967" s="113">
        <v>45873</v>
      </c>
      <c r="N2967" s="113"/>
      <c r="O2967" s="113"/>
      <c r="P2967" s="115" t="str">
        <f ca="1">IF(Proc[[#This Row],[DaysAgeing]]&gt;5,"yep","on track")</f>
        <v>yep</v>
      </c>
      <c r="Q2967" s="3">
        <f ca="1">IF(Proc[[#This Row],[DateClosed]]="",ABS(NETWORKDAYS(Proc[[#This Row],[DateOpened]],TODAY()))-1,ABS(NETWORKDAYS(Proc[[#This Row],[DateOpened]],Proc[[#This Row],[DateClosed]]))-1)</f>
        <v>99</v>
      </c>
      <c r="R2967" s="115" t="s">
        <v>1013</v>
      </c>
      <c r="S2967" s="125"/>
    </row>
    <row r="2968" spans="1:19" hidden="1">
      <c r="A2968" s="124" t="s">
        <v>5258</v>
      </c>
      <c r="B2968" s="149" t="str">
        <f>IFERROR(VLOOKUP(Proc[[#This Row],[App]],Table2[],3,0),"open")</f>
        <v>ok</v>
      </c>
      <c r="C2968" s="124" t="s">
        <v>369</v>
      </c>
      <c r="D2968" t="s">
        <v>4987</v>
      </c>
      <c r="E2968" t="s">
        <v>3005</v>
      </c>
      <c r="F2968" s="125" t="s">
        <v>3005</v>
      </c>
      <c r="G2968" s="124" t="s">
        <v>400</v>
      </c>
      <c r="H2968" s="125" t="str">
        <f>IF(Proc[[#This Row],[type]]="LFF (MDG-F)",MID(Proc[[#This Row],[Obj]],13,10),"")</f>
        <v/>
      </c>
      <c r="J2968" s="125" t="b">
        <f>Proc[[#This Row],[Requested]]=Proc[[#This Row],[CurrentParent]]</f>
        <v>1</v>
      </c>
      <c r="K2968" s="144" t="str">
        <f>IF(Proc[[#This Row],[Author]]="Marcela Urrego",VLOOKUP(LEFT(Proc[[#This Row],[Requested]],1),Table3[#All],2,0),VLOOKUP(Proc[[#This Row],[Author]],Table4[],2,0))</f>
        <v>HC</v>
      </c>
      <c r="L2968" s="125" t="s">
        <v>4894</v>
      </c>
      <c r="M2968" s="113">
        <v>45873</v>
      </c>
      <c r="N2968" s="113"/>
      <c r="O2968" s="113"/>
      <c r="P2968" s="115" t="str">
        <f ca="1">IF(Proc[[#This Row],[DaysAgeing]]&gt;5,"yep","on track")</f>
        <v>yep</v>
      </c>
      <c r="Q2968" s="3">
        <f ca="1">IF(Proc[[#This Row],[DateClosed]]="",ABS(NETWORKDAYS(Proc[[#This Row],[DateOpened]],TODAY()))-1,ABS(NETWORKDAYS(Proc[[#This Row],[DateOpened]],Proc[[#This Row],[DateClosed]]))-1)</f>
        <v>99</v>
      </c>
      <c r="R2968" s="115" t="s">
        <v>1013</v>
      </c>
      <c r="S2968" s="125"/>
    </row>
    <row r="2969" spans="1:19" hidden="1">
      <c r="A2969" s="124" t="s">
        <v>5258</v>
      </c>
      <c r="B2969" s="149" t="str">
        <f>IFERROR(VLOOKUP(Proc[[#This Row],[App]],Table2[],3,0),"open")</f>
        <v>ok</v>
      </c>
      <c r="C2969" s="124" t="s">
        <v>369</v>
      </c>
      <c r="D2969" t="s">
        <v>4988</v>
      </c>
      <c r="E2969" t="s">
        <v>3003</v>
      </c>
      <c r="F2969" s="125" t="s">
        <v>3003</v>
      </c>
      <c r="G2969" s="124" t="s">
        <v>400</v>
      </c>
      <c r="H2969" s="125" t="str">
        <f>IF(Proc[[#This Row],[type]]="LFF (MDG-F)",MID(Proc[[#This Row],[Obj]],13,10),"")</f>
        <v/>
      </c>
      <c r="J2969" s="125" t="b">
        <f>Proc[[#This Row],[Requested]]=Proc[[#This Row],[CurrentParent]]</f>
        <v>1</v>
      </c>
      <c r="K2969" s="144" t="str">
        <f>IF(Proc[[#This Row],[Author]]="Marcela Urrego",VLOOKUP(LEFT(Proc[[#This Row],[Requested]],1),Table3[#All],2,0),VLOOKUP(Proc[[#This Row],[Author]],Table4[],2,0))</f>
        <v>HC</v>
      </c>
      <c r="L2969" s="125" t="s">
        <v>4894</v>
      </c>
      <c r="M2969" s="113">
        <v>45873</v>
      </c>
      <c r="N2969" s="113"/>
      <c r="O2969" s="113"/>
      <c r="P2969" s="115" t="str">
        <f ca="1">IF(Proc[[#This Row],[DaysAgeing]]&gt;5,"yep","on track")</f>
        <v>yep</v>
      </c>
      <c r="Q2969" s="3">
        <f ca="1">IF(Proc[[#This Row],[DateClosed]]="",ABS(NETWORKDAYS(Proc[[#This Row],[DateOpened]],TODAY()))-1,ABS(NETWORKDAYS(Proc[[#This Row],[DateOpened]],Proc[[#This Row],[DateClosed]]))-1)</f>
        <v>99</v>
      </c>
      <c r="R2969" s="115" t="s">
        <v>1013</v>
      </c>
      <c r="S2969" s="125"/>
    </row>
    <row r="2970" spans="1:19" hidden="1">
      <c r="A2970" s="124" t="s">
        <v>5258</v>
      </c>
      <c r="B2970" s="149" t="str">
        <f>IFERROR(VLOOKUP(Proc[[#This Row],[App]],Table2[],3,0),"open")</f>
        <v>ok</v>
      </c>
      <c r="C2970" s="124" t="s">
        <v>369</v>
      </c>
      <c r="D2970" t="s">
        <v>4989</v>
      </c>
      <c r="E2970" t="s">
        <v>3003</v>
      </c>
      <c r="F2970" s="125" t="s">
        <v>3003</v>
      </c>
      <c r="G2970" s="124" t="s">
        <v>400</v>
      </c>
      <c r="H2970" s="125" t="str">
        <f>IF(Proc[[#This Row],[type]]="LFF (MDG-F)",MID(Proc[[#This Row],[Obj]],13,10),"")</f>
        <v/>
      </c>
      <c r="J2970" s="125" t="b">
        <f>Proc[[#This Row],[Requested]]=Proc[[#This Row],[CurrentParent]]</f>
        <v>1</v>
      </c>
      <c r="K2970" s="144" t="str">
        <f>IF(Proc[[#This Row],[Author]]="Marcela Urrego",VLOOKUP(LEFT(Proc[[#This Row],[Requested]],1),Table3[#All],2,0),VLOOKUP(Proc[[#This Row],[Author]],Table4[],2,0))</f>
        <v>HC</v>
      </c>
      <c r="L2970" s="125" t="s">
        <v>4894</v>
      </c>
      <c r="M2970" s="113">
        <v>45873</v>
      </c>
      <c r="N2970" s="113"/>
      <c r="O2970" s="113"/>
      <c r="P2970" s="115" t="str">
        <f ca="1">IF(Proc[[#This Row],[DaysAgeing]]&gt;5,"yep","on track")</f>
        <v>yep</v>
      </c>
      <c r="Q2970" s="3">
        <f ca="1">IF(Proc[[#This Row],[DateClosed]]="",ABS(NETWORKDAYS(Proc[[#This Row],[DateOpened]],TODAY()))-1,ABS(NETWORKDAYS(Proc[[#This Row],[DateOpened]],Proc[[#This Row],[DateClosed]]))-1)</f>
        <v>99</v>
      </c>
      <c r="R2970" s="115" t="s">
        <v>1013</v>
      </c>
      <c r="S2970" s="125"/>
    </row>
    <row r="2971" spans="1:19" hidden="1">
      <c r="A2971" s="124" t="s">
        <v>5258</v>
      </c>
      <c r="B2971" s="149" t="str">
        <f>IFERROR(VLOOKUP(Proc[[#This Row],[App]],Table2[],3,0),"open")</f>
        <v>ok</v>
      </c>
      <c r="C2971" s="124" t="s">
        <v>369</v>
      </c>
      <c r="D2971" t="s">
        <v>4990</v>
      </c>
      <c r="E2971" t="s">
        <v>5251</v>
      </c>
      <c r="F2971" s="125" t="s">
        <v>5251</v>
      </c>
      <c r="G2971" s="124" t="s">
        <v>400</v>
      </c>
      <c r="H2971" s="125" t="str">
        <f>IF(Proc[[#This Row],[type]]="LFF (MDG-F)",MID(Proc[[#This Row],[Obj]],13,10),"")</f>
        <v/>
      </c>
      <c r="J2971" s="125" t="b">
        <f>Proc[[#This Row],[Requested]]=Proc[[#This Row],[CurrentParent]]</f>
        <v>1</v>
      </c>
      <c r="K2971" s="144" t="str">
        <f>IF(Proc[[#This Row],[Author]]="Marcela Urrego",VLOOKUP(LEFT(Proc[[#This Row],[Requested]],1),Table3[#All],2,0),VLOOKUP(Proc[[#This Row],[Author]],Table4[],2,0))</f>
        <v>HC</v>
      </c>
      <c r="L2971" s="125" t="s">
        <v>4894</v>
      </c>
      <c r="M2971" s="113">
        <v>45873</v>
      </c>
      <c r="N2971" s="113"/>
      <c r="O2971" s="113"/>
      <c r="P2971" s="115" t="str">
        <f ca="1">IF(Proc[[#This Row],[DaysAgeing]]&gt;5,"yep","on track")</f>
        <v>yep</v>
      </c>
      <c r="Q2971" s="3">
        <f ca="1">IF(Proc[[#This Row],[DateClosed]]="",ABS(NETWORKDAYS(Proc[[#This Row],[DateOpened]],TODAY()))-1,ABS(NETWORKDAYS(Proc[[#This Row],[DateOpened]],Proc[[#This Row],[DateClosed]]))-1)</f>
        <v>99</v>
      </c>
      <c r="R2971" s="115" t="s">
        <v>1013</v>
      </c>
      <c r="S2971" s="125"/>
    </row>
    <row r="2972" spans="1:19" hidden="1">
      <c r="A2972" s="124" t="s">
        <v>5258</v>
      </c>
      <c r="B2972" s="149" t="str">
        <f>IFERROR(VLOOKUP(Proc[[#This Row],[App]],Table2[],3,0),"open")</f>
        <v>ok</v>
      </c>
      <c r="C2972" s="124" t="s">
        <v>369</v>
      </c>
      <c r="D2972" t="s">
        <v>4991</v>
      </c>
      <c r="E2972" t="s">
        <v>5252</v>
      </c>
      <c r="F2972" s="125" t="s">
        <v>5252</v>
      </c>
      <c r="G2972" s="124" t="s">
        <v>400</v>
      </c>
      <c r="H2972" s="125" t="str">
        <f>IF(Proc[[#This Row],[type]]="LFF (MDG-F)",MID(Proc[[#This Row],[Obj]],13,10),"")</f>
        <v/>
      </c>
      <c r="J2972" s="125" t="b">
        <f>Proc[[#This Row],[Requested]]=Proc[[#This Row],[CurrentParent]]</f>
        <v>1</v>
      </c>
      <c r="K2972" s="144" t="str">
        <f>IF(Proc[[#This Row],[Author]]="Marcela Urrego",VLOOKUP(LEFT(Proc[[#This Row],[Requested]],1),Table3[#All],2,0),VLOOKUP(Proc[[#This Row],[Author]],Table4[],2,0))</f>
        <v>HC</v>
      </c>
      <c r="L2972" s="125" t="s">
        <v>4894</v>
      </c>
      <c r="M2972" s="113">
        <v>45873</v>
      </c>
      <c r="N2972" s="113"/>
      <c r="O2972" s="113"/>
      <c r="P2972" s="115" t="str">
        <f ca="1">IF(Proc[[#This Row],[DaysAgeing]]&gt;5,"yep","on track")</f>
        <v>yep</v>
      </c>
      <c r="Q2972" s="3">
        <f ca="1">IF(Proc[[#This Row],[DateClosed]]="",ABS(NETWORKDAYS(Proc[[#This Row],[DateOpened]],TODAY()))-1,ABS(NETWORKDAYS(Proc[[#This Row],[DateOpened]],Proc[[#This Row],[DateClosed]]))-1)</f>
        <v>99</v>
      </c>
      <c r="R2972" s="115" t="s">
        <v>1013</v>
      </c>
      <c r="S2972" s="125"/>
    </row>
    <row r="2973" spans="1:19" hidden="1">
      <c r="A2973" s="124" t="s">
        <v>5258</v>
      </c>
      <c r="B2973" s="149" t="str">
        <f>IFERROR(VLOOKUP(Proc[[#This Row],[App]],Table2[],3,0),"open")</f>
        <v>ok</v>
      </c>
      <c r="C2973" s="124" t="s">
        <v>369</v>
      </c>
      <c r="D2973" t="s">
        <v>4992</v>
      </c>
      <c r="E2973" t="s">
        <v>3007</v>
      </c>
      <c r="F2973" s="125" t="s">
        <v>3007</v>
      </c>
      <c r="G2973" s="124" t="s">
        <v>400</v>
      </c>
      <c r="H2973" s="125" t="str">
        <f>IF(Proc[[#This Row],[type]]="LFF (MDG-F)",MID(Proc[[#This Row],[Obj]],13,10),"")</f>
        <v/>
      </c>
      <c r="J2973" s="125" t="b">
        <f>Proc[[#This Row],[Requested]]=Proc[[#This Row],[CurrentParent]]</f>
        <v>1</v>
      </c>
      <c r="K2973" s="144" t="str">
        <f>IF(Proc[[#This Row],[Author]]="Marcela Urrego",VLOOKUP(LEFT(Proc[[#This Row],[Requested]],1),Table3[#All],2,0),VLOOKUP(Proc[[#This Row],[Author]],Table4[],2,0))</f>
        <v>HC</v>
      </c>
      <c r="L2973" s="125" t="s">
        <v>4894</v>
      </c>
      <c r="M2973" s="113">
        <v>45873</v>
      </c>
      <c r="N2973" s="113"/>
      <c r="O2973" s="113"/>
      <c r="P2973" s="115" t="str">
        <f ca="1">IF(Proc[[#This Row],[DaysAgeing]]&gt;5,"yep","on track")</f>
        <v>yep</v>
      </c>
      <c r="Q2973" s="3">
        <f ca="1">IF(Proc[[#This Row],[DateClosed]]="",ABS(NETWORKDAYS(Proc[[#This Row],[DateOpened]],TODAY()))-1,ABS(NETWORKDAYS(Proc[[#This Row],[DateOpened]],Proc[[#This Row],[DateClosed]]))-1)</f>
        <v>99</v>
      </c>
      <c r="R2973" s="115" t="s">
        <v>1013</v>
      </c>
      <c r="S2973" s="125"/>
    </row>
    <row r="2974" spans="1:19" hidden="1">
      <c r="A2974" s="124" t="s">
        <v>5258</v>
      </c>
      <c r="B2974" s="149" t="str">
        <f>IFERROR(VLOOKUP(Proc[[#This Row],[App]],Table2[],3,0),"open")</f>
        <v>ok</v>
      </c>
      <c r="C2974" s="124" t="s">
        <v>369</v>
      </c>
      <c r="D2974" t="s">
        <v>4993</v>
      </c>
      <c r="E2974" t="s">
        <v>3007</v>
      </c>
      <c r="F2974" s="125" t="s">
        <v>3007</v>
      </c>
      <c r="G2974" s="124" t="s">
        <v>400</v>
      </c>
      <c r="H2974" s="125" t="str">
        <f>IF(Proc[[#This Row],[type]]="LFF (MDG-F)",MID(Proc[[#This Row],[Obj]],13,10),"")</f>
        <v/>
      </c>
      <c r="J2974" s="125" t="b">
        <f>Proc[[#This Row],[Requested]]=Proc[[#This Row],[CurrentParent]]</f>
        <v>1</v>
      </c>
      <c r="K2974" s="144" t="str">
        <f>IF(Proc[[#This Row],[Author]]="Marcela Urrego",VLOOKUP(LEFT(Proc[[#This Row],[Requested]],1),Table3[#All],2,0),VLOOKUP(Proc[[#This Row],[Author]],Table4[],2,0))</f>
        <v>HC</v>
      </c>
      <c r="L2974" s="125" t="s">
        <v>4894</v>
      </c>
      <c r="M2974" s="113">
        <v>45873</v>
      </c>
      <c r="N2974" s="113"/>
      <c r="O2974" s="113"/>
      <c r="P2974" s="115" t="str">
        <f ca="1">IF(Proc[[#This Row],[DaysAgeing]]&gt;5,"yep","on track")</f>
        <v>yep</v>
      </c>
      <c r="Q2974" s="3">
        <f ca="1">IF(Proc[[#This Row],[DateClosed]]="",ABS(NETWORKDAYS(Proc[[#This Row],[DateOpened]],TODAY()))-1,ABS(NETWORKDAYS(Proc[[#This Row],[DateOpened]],Proc[[#This Row],[DateClosed]]))-1)</f>
        <v>99</v>
      </c>
      <c r="R2974" s="115" t="s">
        <v>1013</v>
      </c>
      <c r="S2974" s="125"/>
    </row>
    <row r="2975" spans="1:19" hidden="1">
      <c r="A2975" s="124" t="s">
        <v>5258</v>
      </c>
      <c r="B2975" s="149" t="str">
        <f>IFERROR(VLOOKUP(Proc[[#This Row],[App]],Table2[],3,0),"open")</f>
        <v>ok</v>
      </c>
      <c r="C2975" s="124" t="s">
        <v>369</v>
      </c>
      <c r="D2975" t="s">
        <v>4994</v>
      </c>
      <c r="E2975" t="s">
        <v>3006</v>
      </c>
      <c r="F2975" s="125" t="s">
        <v>3006</v>
      </c>
      <c r="G2975" s="124" t="s">
        <v>400</v>
      </c>
      <c r="H2975" s="125" t="str">
        <f>IF(Proc[[#This Row],[type]]="LFF (MDG-F)",MID(Proc[[#This Row],[Obj]],13,10),"")</f>
        <v/>
      </c>
      <c r="J2975" s="125" t="b">
        <f>Proc[[#This Row],[Requested]]=Proc[[#This Row],[CurrentParent]]</f>
        <v>1</v>
      </c>
      <c r="K2975" s="144" t="str">
        <f>IF(Proc[[#This Row],[Author]]="Marcela Urrego",VLOOKUP(LEFT(Proc[[#This Row],[Requested]],1),Table3[#All],2,0),VLOOKUP(Proc[[#This Row],[Author]],Table4[],2,0))</f>
        <v>HC</v>
      </c>
      <c r="L2975" s="125" t="s">
        <v>4894</v>
      </c>
      <c r="M2975" s="113">
        <v>45873</v>
      </c>
      <c r="N2975" s="113"/>
      <c r="O2975" s="113"/>
      <c r="P2975" s="115" t="str">
        <f ca="1">IF(Proc[[#This Row],[DaysAgeing]]&gt;5,"yep","on track")</f>
        <v>yep</v>
      </c>
      <c r="Q2975" s="3">
        <f ca="1">IF(Proc[[#This Row],[DateClosed]]="",ABS(NETWORKDAYS(Proc[[#This Row],[DateOpened]],TODAY()))-1,ABS(NETWORKDAYS(Proc[[#This Row],[DateOpened]],Proc[[#This Row],[DateClosed]]))-1)</f>
        <v>99</v>
      </c>
      <c r="R2975" s="115" t="s">
        <v>1013</v>
      </c>
      <c r="S2975" s="125"/>
    </row>
    <row r="2976" spans="1:19" hidden="1">
      <c r="A2976" s="124" t="s">
        <v>5258</v>
      </c>
      <c r="B2976" s="149" t="str">
        <f>IFERROR(VLOOKUP(Proc[[#This Row],[App]],Table2[],3,0),"open")</f>
        <v>ok</v>
      </c>
      <c r="C2976" s="124" t="s">
        <v>369</v>
      </c>
      <c r="D2976" t="s">
        <v>4995</v>
      </c>
      <c r="E2976" t="s">
        <v>3007</v>
      </c>
      <c r="F2976" s="125" t="s">
        <v>3007</v>
      </c>
      <c r="G2976" s="124" t="s">
        <v>400</v>
      </c>
      <c r="H2976" s="125" t="str">
        <f>IF(Proc[[#This Row],[type]]="LFF (MDG-F)",MID(Proc[[#This Row],[Obj]],13,10),"")</f>
        <v/>
      </c>
      <c r="J2976" s="125" t="b">
        <f>Proc[[#This Row],[Requested]]=Proc[[#This Row],[CurrentParent]]</f>
        <v>1</v>
      </c>
      <c r="K2976" s="144" t="str">
        <f>IF(Proc[[#This Row],[Author]]="Marcela Urrego",VLOOKUP(LEFT(Proc[[#This Row],[Requested]],1),Table3[#All],2,0),VLOOKUP(Proc[[#This Row],[Author]],Table4[],2,0))</f>
        <v>HC</v>
      </c>
      <c r="L2976" s="125" t="s">
        <v>4894</v>
      </c>
      <c r="M2976" s="113">
        <v>45873</v>
      </c>
      <c r="N2976" s="113"/>
      <c r="O2976" s="113"/>
      <c r="P2976" s="115" t="str">
        <f ca="1">IF(Proc[[#This Row],[DaysAgeing]]&gt;5,"yep","on track")</f>
        <v>yep</v>
      </c>
      <c r="Q2976" s="3">
        <f ca="1">IF(Proc[[#This Row],[DateClosed]]="",ABS(NETWORKDAYS(Proc[[#This Row],[DateOpened]],TODAY()))-1,ABS(NETWORKDAYS(Proc[[#This Row],[DateOpened]],Proc[[#This Row],[DateClosed]]))-1)</f>
        <v>99</v>
      </c>
      <c r="R2976" s="115" t="s">
        <v>1013</v>
      </c>
      <c r="S2976" s="125"/>
    </row>
    <row r="2977" spans="1:19" hidden="1">
      <c r="A2977" s="124" t="s">
        <v>5258</v>
      </c>
      <c r="B2977" s="149" t="str">
        <f>IFERROR(VLOOKUP(Proc[[#This Row],[App]],Table2[],3,0),"open")</f>
        <v>ok</v>
      </c>
      <c r="C2977" s="124" t="s">
        <v>369</v>
      </c>
      <c r="D2977" t="s">
        <v>4996</v>
      </c>
      <c r="E2977" t="s">
        <v>3002</v>
      </c>
      <c r="F2977" s="125" t="s">
        <v>3002</v>
      </c>
      <c r="G2977" s="124" t="s">
        <v>400</v>
      </c>
      <c r="H2977" s="125" t="str">
        <f>IF(Proc[[#This Row],[type]]="LFF (MDG-F)",MID(Proc[[#This Row],[Obj]],13,10),"")</f>
        <v/>
      </c>
      <c r="J2977" s="125" t="b">
        <f>Proc[[#This Row],[Requested]]=Proc[[#This Row],[CurrentParent]]</f>
        <v>1</v>
      </c>
      <c r="K2977" s="144" t="str">
        <f>IF(Proc[[#This Row],[Author]]="Marcela Urrego",VLOOKUP(LEFT(Proc[[#This Row],[Requested]],1),Table3[#All],2,0),VLOOKUP(Proc[[#This Row],[Author]],Table4[],2,0))</f>
        <v>HC</v>
      </c>
      <c r="L2977" s="125" t="s">
        <v>4894</v>
      </c>
      <c r="M2977" s="113">
        <v>45873</v>
      </c>
      <c r="N2977" s="113"/>
      <c r="O2977" s="113"/>
      <c r="P2977" s="115" t="str">
        <f ca="1">IF(Proc[[#This Row],[DaysAgeing]]&gt;5,"yep","on track")</f>
        <v>yep</v>
      </c>
      <c r="Q2977" s="3">
        <f ca="1">IF(Proc[[#This Row],[DateClosed]]="",ABS(NETWORKDAYS(Proc[[#This Row],[DateOpened]],TODAY()))-1,ABS(NETWORKDAYS(Proc[[#This Row],[DateOpened]],Proc[[#This Row],[DateClosed]]))-1)</f>
        <v>99</v>
      </c>
      <c r="R2977" s="115" t="s">
        <v>1013</v>
      </c>
      <c r="S2977" s="125"/>
    </row>
    <row r="2978" spans="1:19" hidden="1">
      <c r="A2978" s="124" t="s">
        <v>5258</v>
      </c>
      <c r="B2978" s="149" t="str">
        <f>IFERROR(VLOOKUP(Proc[[#This Row],[App]],Table2[],3,0),"open")</f>
        <v>ok</v>
      </c>
      <c r="C2978" s="124" t="s">
        <v>369</v>
      </c>
      <c r="D2978" t="s">
        <v>4997</v>
      </c>
      <c r="E2978" t="s">
        <v>3004</v>
      </c>
      <c r="F2978" s="125" t="s">
        <v>3004</v>
      </c>
      <c r="G2978" s="124" t="s">
        <v>400</v>
      </c>
      <c r="H2978" s="125" t="str">
        <f>IF(Proc[[#This Row],[type]]="LFF (MDG-F)",MID(Proc[[#This Row],[Obj]],13,10),"")</f>
        <v/>
      </c>
      <c r="J2978" s="125" t="b">
        <f>Proc[[#This Row],[Requested]]=Proc[[#This Row],[CurrentParent]]</f>
        <v>1</v>
      </c>
      <c r="K2978" s="144" t="str">
        <f>IF(Proc[[#This Row],[Author]]="Marcela Urrego",VLOOKUP(LEFT(Proc[[#This Row],[Requested]],1),Table3[#All],2,0),VLOOKUP(Proc[[#This Row],[Author]],Table4[],2,0))</f>
        <v>HC</v>
      </c>
      <c r="L2978" s="125" t="s">
        <v>4894</v>
      </c>
      <c r="M2978" s="113">
        <v>45873</v>
      </c>
      <c r="N2978" s="113"/>
      <c r="O2978" s="113"/>
      <c r="P2978" s="115" t="str">
        <f ca="1">IF(Proc[[#This Row],[DaysAgeing]]&gt;5,"yep","on track")</f>
        <v>yep</v>
      </c>
      <c r="Q2978" s="3">
        <f ca="1">IF(Proc[[#This Row],[DateClosed]]="",ABS(NETWORKDAYS(Proc[[#This Row],[DateOpened]],TODAY()))-1,ABS(NETWORKDAYS(Proc[[#This Row],[DateOpened]],Proc[[#This Row],[DateClosed]]))-1)</f>
        <v>99</v>
      </c>
      <c r="R2978" s="115" t="s">
        <v>1013</v>
      </c>
      <c r="S2978" s="125"/>
    </row>
    <row r="2979" spans="1:19" hidden="1">
      <c r="A2979" s="124" t="s">
        <v>5258</v>
      </c>
      <c r="B2979" s="149" t="str">
        <f>IFERROR(VLOOKUP(Proc[[#This Row],[App]],Table2[],3,0),"open")</f>
        <v>ok</v>
      </c>
      <c r="C2979" s="124" t="s">
        <v>369</v>
      </c>
      <c r="D2979" t="s">
        <v>4998</v>
      </c>
      <c r="E2979" t="s">
        <v>5251</v>
      </c>
      <c r="F2979" s="125" t="s">
        <v>5251</v>
      </c>
      <c r="G2979" s="124" t="s">
        <v>400</v>
      </c>
      <c r="H2979" s="125" t="str">
        <f>IF(Proc[[#This Row],[type]]="LFF (MDG-F)",MID(Proc[[#This Row],[Obj]],13,10),"")</f>
        <v/>
      </c>
      <c r="J2979" s="125" t="b">
        <f>Proc[[#This Row],[Requested]]=Proc[[#This Row],[CurrentParent]]</f>
        <v>1</v>
      </c>
      <c r="K2979" s="144" t="str">
        <f>IF(Proc[[#This Row],[Author]]="Marcela Urrego",VLOOKUP(LEFT(Proc[[#This Row],[Requested]],1),Table3[#All],2,0),VLOOKUP(Proc[[#This Row],[Author]],Table4[],2,0))</f>
        <v>HC</v>
      </c>
      <c r="L2979" s="125" t="s">
        <v>4894</v>
      </c>
      <c r="M2979" s="113">
        <v>45873</v>
      </c>
      <c r="N2979" s="113"/>
      <c r="O2979" s="113"/>
      <c r="P2979" s="115" t="str">
        <f ca="1">IF(Proc[[#This Row],[DaysAgeing]]&gt;5,"yep","on track")</f>
        <v>yep</v>
      </c>
      <c r="Q2979" s="3">
        <f ca="1">IF(Proc[[#This Row],[DateClosed]]="",ABS(NETWORKDAYS(Proc[[#This Row],[DateOpened]],TODAY()))-1,ABS(NETWORKDAYS(Proc[[#This Row],[DateOpened]],Proc[[#This Row],[DateClosed]]))-1)</f>
        <v>99</v>
      </c>
      <c r="R2979" s="115" t="s">
        <v>1013</v>
      </c>
      <c r="S2979" s="125"/>
    </row>
    <row r="2980" spans="1:19" hidden="1">
      <c r="A2980" s="124" t="s">
        <v>5258</v>
      </c>
      <c r="B2980" s="149" t="str">
        <f>IFERROR(VLOOKUP(Proc[[#This Row],[App]],Table2[],3,0),"open")</f>
        <v>ok</v>
      </c>
      <c r="C2980" s="124" t="s">
        <v>369</v>
      </c>
      <c r="D2980" t="s">
        <v>4999</v>
      </c>
      <c r="E2980" t="s">
        <v>3006</v>
      </c>
      <c r="F2980" s="125" t="s">
        <v>3006</v>
      </c>
      <c r="G2980" s="124" t="s">
        <v>400</v>
      </c>
      <c r="H2980" s="125" t="str">
        <f>IF(Proc[[#This Row],[type]]="LFF (MDG-F)",MID(Proc[[#This Row],[Obj]],13,10),"")</f>
        <v/>
      </c>
      <c r="J2980" s="125" t="b">
        <f>Proc[[#This Row],[Requested]]=Proc[[#This Row],[CurrentParent]]</f>
        <v>1</v>
      </c>
      <c r="K2980" s="144" t="str">
        <f>IF(Proc[[#This Row],[Author]]="Marcela Urrego",VLOOKUP(LEFT(Proc[[#This Row],[Requested]],1),Table3[#All],2,0),VLOOKUP(Proc[[#This Row],[Author]],Table4[],2,0))</f>
        <v>HC</v>
      </c>
      <c r="L2980" s="125" t="s">
        <v>4894</v>
      </c>
      <c r="M2980" s="113">
        <v>45873</v>
      </c>
      <c r="N2980" s="113"/>
      <c r="O2980" s="113"/>
      <c r="P2980" s="115" t="str">
        <f ca="1">IF(Proc[[#This Row],[DaysAgeing]]&gt;5,"yep","on track")</f>
        <v>yep</v>
      </c>
      <c r="Q2980" s="3">
        <f ca="1">IF(Proc[[#This Row],[DateClosed]]="",ABS(NETWORKDAYS(Proc[[#This Row],[DateOpened]],TODAY()))-1,ABS(NETWORKDAYS(Proc[[#This Row],[DateOpened]],Proc[[#This Row],[DateClosed]]))-1)</f>
        <v>99</v>
      </c>
      <c r="R2980" s="115" t="s">
        <v>1013</v>
      </c>
      <c r="S2980" s="125"/>
    </row>
    <row r="2981" spans="1:19" hidden="1">
      <c r="A2981" s="124" t="s">
        <v>5258</v>
      </c>
      <c r="B2981" s="149" t="str">
        <f>IFERROR(VLOOKUP(Proc[[#This Row],[App]],Table2[],3,0),"open")</f>
        <v>ok</v>
      </c>
      <c r="C2981" s="124" t="s">
        <v>369</v>
      </c>
      <c r="D2981" t="s">
        <v>5000</v>
      </c>
      <c r="E2981" t="s">
        <v>3003</v>
      </c>
      <c r="F2981" s="125" t="s">
        <v>3003</v>
      </c>
      <c r="G2981" s="124" t="s">
        <v>400</v>
      </c>
      <c r="H2981" s="125" t="str">
        <f>IF(Proc[[#This Row],[type]]="LFF (MDG-F)",MID(Proc[[#This Row],[Obj]],13,10),"")</f>
        <v/>
      </c>
      <c r="J2981" s="125" t="b">
        <f>Proc[[#This Row],[Requested]]=Proc[[#This Row],[CurrentParent]]</f>
        <v>1</v>
      </c>
      <c r="K2981" s="144" t="str">
        <f>IF(Proc[[#This Row],[Author]]="Marcela Urrego",VLOOKUP(LEFT(Proc[[#This Row],[Requested]],1),Table3[#All],2,0),VLOOKUP(Proc[[#This Row],[Author]],Table4[],2,0))</f>
        <v>HC</v>
      </c>
      <c r="L2981" s="125" t="s">
        <v>4894</v>
      </c>
      <c r="M2981" s="113">
        <v>45873</v>
      </c>
      <c r="N2981" s="113"/>
      <c r="O2981" s="113"/>
      <c r="P2981" s="115" t="str">
        <f ca="1">IF(Proc[[#This Row],[DaysAgeing]]&gt;5,"yep","on track")</f>
        <v>yep</v>
      </c>
      <c r="Q2981" s="3">
        <f ca="1">IF(Proc[[#This Row],[DateClosed]]="",ABS(NETWORKDAYS(Proc[[#This Row],[DateOpened]],TODAY()))-1,ABS(NETWORKDAYS(Proc[[#This Row],[DateOpened]],Proc[[#This Row],[DateClosed]]))-1)</f>
        <v>99</v>
      </c>
      <c r="R2981" s="115" t="s">
        <v>1013</v>
      </c>
      <c r="S2981" s="125"/>
    </row>
    <row r="2982" spans="1:19" hidden="1">
      <c r="A2982" s="124" t="s">
        <v>5258</v>
      </c>
      <c r="B2982" s="149" t="str">
        <f>IFERROR(VLOOKUP(Proc[[#This Row],[App]],Table2[],3,0),"open")</f>
        <v>ok</v>
      </c>
      <c r="C2982" s="124" t="s">
        <v>369</v>
      </c>
      <c r="D2982" t="s">
        <v>5001</v>
      </c>
      <c r="E2982" t="s">
        <v>4068</v>
      </c>
      <c r="F2982" s="125" t="s">
        <v>4068</v>
      </c>
      <c r="G2982" s="124" t="s">
        <v>400</v>
      </c>
      <c r="H2982" s="125" t="str">
        <f>IF(Proc[[#This Row],[type]]="LFF (MDG-F)",MID(Proc[[#This Row],[Obj]],13,10),"")</f>
        <v/>
      </c>
      <c r="J2982" s="125" t="b">
        <f>Proc[[#This Row],[Requested]]=Proc[[#This Row],[CurrentParent]]</f>
        <v>1</v>
      </c>
      <c r="K2982" s="144" t="str">
        <f>IF(Proc[[#This Row],[Author]]="Marcela Urrego",VLOOKUP(LEFT(Proc[[#This Row],[Requested]],1),Table3[#All],2,0),VLOOKUP(Proc[[#This Row],[Author]],Table4[],2,0))</f>
        <v>HC</v>
      </c>
      <c r="L2982" s="125" t="s">
        <v>4894</v>
      </c>
      <c r="M2982" s="113">
        <v>45873</v>
      </c>
      <c r="N2982" s="113"/>
      <c r="O2982" s="113"/>
      <c r="P2982" s="115" t="str">
        <f ca="1">IF(Proc[[#This Row],[DaysAgeing]]&gt;5,"yep","on track")</f>
        <v>yep</v>
      </c>
      <c r="Q2982" s="3">
        <f ca="1">IF(Proc[[#This Row],[DateClosed]]="",ABS(NETWORKDAYS(Proc[[#This Row],[DateOpened]],TODAY()))-1,ABS(NETWORKDAYS(Proc[[#This Row],[DateOpened]],Proc[[#This Row],[DateClosed]]))-1)</f>
        <v>99</v>
      </c>
      <c r="R2982" s="115" t="s">
        <v>1013</v>
      </c>
      <c r="S2982" s="125"/>
    </row>
    <row r="2983" spans="1:19" hidden="1">
      <c r="A2983" s="124" t="s">
        <v>5258</v>
      </c>
      <c r="B2983" s="149" t="str">
        <f>IFERROR(VLOOKUP(Proc[[#This Row],[App]],Table2[],3,0),"open")</f>
        <v>ok</v>
      </c>
      <c r="C2983" s="124" t="s">
        <v>369</v>
      </c>
      <c r="D2983" t="s">
        <v>5002</v>
      </c>
      <c r="E2983" t="s">
        <v>4068</v>
      </c>
      <c r="F2983" s="125" t="s">
        <v>4068</v>
      </c>
      <c r="G2983" s="124" t="s">
        <v>400</v>
      </c>
      <c r="H2983" s="125" t="str">
        <f>IF(Proc[[#This Row],[type]]="LFF (MDG-F)",MID(Proc[[#This Row],[Obj]],13,10),"")</f>
        <v/>
      </c>
      <c r="J2983" s="125" t="b">
        <f>Proc[[#This Row],[Requested]]=Proc[[#This Row],[CurrentParent]]</f>
        <v>1</v>
      </c>
      <c r="K2983" s="144" t="str">
        <f>IF(Proc[[#This Row],[Author]]="Marcela Urrego",VLOOKUP(LEFT(Proc[[#This Row],[Requested]],1),Table3[#All],2,0),VLOOKUP(Proc[[#This Row],[Author]],Table4[],2,0))</f>
        <v>HC</v>
      </c>
      <c r="L2983" s="125" t="s">
        <v>4894</v>
      </c>
      <c r="M2983" s="113">
        <v>45873</v>
      </c>
      <c r="N2983" s="113"/>
      <c r="O2983" s="113"/>
      <c r="P2983" s="115" t="str">
        <f ca="1">IF(Proc[[#This Row],[DaysAgeing]]&gt;5,"yep","on track")</f>
        <v>yep</v>
      </c>
      <c r="Q2983" s="3">
        <f ca="1">IF(Proc[[#This Row],[DateClosed]]="",ABS(NETWORKDAYS(Proc[[#This Row],[DateOpened]],TODAY()))-1,ABS(NETWORKDAYS(Proc[[#This Row],[DateOpened]],Proc[[#This Row],[DateClosed]]))-1)</f>
        <v>99</v>
      </c>
      <c r="R2983" s="115" t="s">
        <v>1013</v>
      </c>
      <c r="S2983" s="125"/>
    </row>
    <row r="2984" spans="1:19" hidden="1">
      <c r="A2984" s="124" t="s">
        <v>5258</v>
      </c>
      <c r="B2984" s="149" t="str">
        <f>IFERROR(VLOOKUP(Proc[[#This Row],[App]],Table2[],3,0),"open")</f>
        <v>ok</v>
      </c>
      <c r="C2984" s="124" t="s">
        <v>369</v>
      </c>
      <c r="D2984" t="s">
        <v>5003</v>
      </c>
      <c r="E2984" t="s">
        <v>4068</v>
      </c>
      <c r="F2984" s="125" t="s">
        <v>4068</v>
      </c>
      <c r="G2984" s="124" t="s">
        <v>400</v>
      </c>
      <c r="H2984" s="125" t="str">
        <f>IF(Proc[[#This Row],[type]]="LFF (MDG-F)",MID(Proc[[#This Row],[Obj]],13,10),"")</f>
        <v/>
      </c>
      <c r="J2984" s="125" t="b">
        <f>Proc[[#This Row],[Requested]]=Proc[[#This Row],[CurrentParent]]</f>
        <v>1</v>
      </c>
      <c r="K2984" s="144" t="str">
        <f>IF(Proc[[#This Row],[Author]]="Marcela Urrego",VLOOKUP(LEFT(Proc[[#This Row],[Requested]],1),Table3[#All],2,0),VLOOKUP(Proc[[#This Row],[Author]],Table4[],2,0))</f>
        <v>HC</v>
      </c>
      <c r="L2984" s="125" t="s">
        <v>4894</v>
      </c>
      <c r="M2984" s="113">
        <v>45873</v>
      </c>
      <c r="N2984" s="113"/>
      <c r="O2984" s="113"/>
      <c r="P2984" s="115" t="str">
        <f ca="1">IF(Proc[[#This Row],[DaysAgeing]]&gt;5,"yep","on track")</f>
        <v>yep</v>
      </c>
      <c r="Q2984" s="3">
        <f ca="1">IF(Proc[[#This Row],[DateClosed]]="",ABS(NETWORKDAYS(Proc[[#This Row],[DateOpened]],TODAY()))-1,ABS(NETWORKDAYS(Proc[[#This Row],[DateOpened]],Proc[[#This Row],[DateClosed]]))-1)</f>
        <v>99</v>
      </c>
      <c r="R2984" s="115" t="s">
        <v>1013</v>
      </c>
      <c r="S2984" s="125"/>
    </row>
    <row r="2985" spans="1:19" hidden="1">
      <c r="A2985" s="124" t="s">
        <v>5258</v>
      </c>
      <c r="B2985" s="149" t="str">
        <f>IFERROR(VLOOKUP(Proc[[#This Row],[App]],Table2[],3,0),"open")</f>
        <v>ok</v>
      </c>
      <c r="C2985" s="124" t="s">
        <v>369</v>
      </c>
      <c r="D2985" t="s">
        <v>5004</v>
      </c>
      <c r="E2985" t="s">
        <v>4068</v>
      </c>
      <c r="F2985" s="125" t="s">
        <v>4068</v>
      </c>
      <c r="G2985" s="124" t="s">
        <v>400</v>
      </c>
      <c r="H2985" s="125" t="str">
        <f>IF(Proc[[#This Row],[type]]="LFF (MDG-F)",MID(Proc[[#This Row],[Obj]],13,10),"")</f>
        <v/>
      </c>
      <c r="J2985" s="125" t="b">
        <f>Proc[[#This Row],[Requested]]=Proc[[#This Row],[CurrentParent]]</f>
        <v>1</v>
      </c>
      <c r="K2985" s="144" t="str">
        <f>IF(Proc[[#This Row],[Author]]="Marcela Urrego",VLOOKUP(LEFT(Proc[[#This Row],[Requested]],1),Table3[#All],2,0),VLOOKUP(Proc[[#This Row],[Author]],Table4[],2,0))</f>
        <v>HC</v>
      </c>
      <c r="L2985" s="125" t="s">
        <v>4894</v>
      </c>
      <c r="M2985" s="113">
        <v>45873</v>
      </c>
      <c r="N2985" s="113"/>
      <c r="O2985" s="113"/>
      <c r="P2985" s="115" t="str">
        <f ca="1">IF(Proc[[#This Row],[DaysAgeing]]&gt;5,"yep","on track")</f>
        <v>yep</v>
      </c>
      <c r="Q2985" s="3">
        <f ca="1">IF(Proc[[#This Row],[DateClosed]]="",ABS(NETWORKDAYS(Proc[[#This Row],[DateOpened]],TODAY()))-1,ABS(NETWORKDAYS(Proc[[#This Row],[DateOpened]],Proc[[#This Row],[DateClosed]]))-1)</f>
        <v>99</v>
      </c>
      <c r="R2985" s="115" t="s">
        <v>1013</v>
      </c>
      <c r="S2985" s="125"/>
    </row>
    <row r="2986" spans="1:19" hidden="1">
      <c r="A2986" s="124" t="s">
        <v>5258</v>
      </c>
      <c r="B2986" s="149" t="str">
        <f>IFERROR(VLOOKUP(Proc[[#This Row],[App]],Table2[],3,0),"open")</f>
        <v>ok</v>
      </c>
      <c r="C2986" s="124" t="s">
        <v>369</v>
      </c>
      <c r="D2986" t="s">
        <v>5005</v>
      </c>
      <c r="E2986" t="s">
        <v>4068</v>
      </c>
      <c r="F2986" s="125" t="s">
        <v>4068</v>
      </c>
      <c r="G2986" s="124" t="s">
        <v>400</v>
      </c>
      <c r="H2986" s="125" t="str">
        <f>IF(Proc[[#This Row],[type]]="LFF (MDG-F)",MID(Proc[[#This Row],[Obj]],13,10),"")</f>
        <v/>
      </c>
      <c r="J2986" s="125" t="b">
        <f>Proc[[#This Row],[Requested]]=Proc[[#This Row],[CurrentParent]]</f>
        <v>1</v>
      </c>
      <c r="K2986" s="144" t="str">
        <f>IF(Proc[[#This Row],[Author]]="Marcela Urrego",VLOOKUP(LEFT(Proc[[#This Row],[Requested]],1),Table3[#All],2,0),VLOOKUP(Proc[[#This Row],[Author]],Table4[],2,0))</f>
        <v>HC</v>
      </c>
      <c r="L2986" s="125" t="s">
        <v>4894</v>
      </c>
      <c r="M2986" s="113">
        <v>45873</v>
      </c>
      <c r="N2986" s="113"/>
      <c r="O2986" s="113"/>
      <c r="P2986" s="115" t="str">
        <f ca="1">IF(Proc[[#This Row],[DaysAgeing]]&gt;5,"yep","on track")</f>
        <v>yep</v>
      </c>
      <c r="Q2986" s="3">
        <f ca="1">IF(Proc[[#This Row],[DateClosed]]="",ABS(NETWORKDAYS(Proc[[#This Row],[DateOpened]],TODAY()))-1,ABS(NETWORKDAYS(Proc[[#This Row],[DateOpened]],Proc[[#This Row],[DateClosed]]))-1)</f>
        <v>99</v>
      </c>
      <c r="R2986" s="115" t="s">
        <v>1013</v>
      </c>
      <c r="S2986" s="125"/>
    </row>
    <row r="2987" spans="1:19" hidden="1">
      <c r="A2987" s="124" t="s">
        <v>5258</v>
      </c>
      <c r="B2987" s="149" t="str">
        <f>IFERROR(VLOOKUP(Proc[[#This Row],[App]],Table2[],3,0),"open")</f>
        <v>ok</v>
      </c>
      <c r="C2987" s="124" t="s">
        <v>369</v>
      </c>
      <c r="D2987" t="s">
        <v>5006</v>
      </c>
      <c r="E2987" t="s">
        <v>4068</v>
      </c>
      <c r="F2987" s="125" t="s">
        <v>4068</v>
      </c>
      <c r="G2987" s="124" t="s">
        <v>400</v>
      </c>
      <c r="H2987" s="125" t="str">
        <f>IF(Proc[[#This Row],[type]]="LFF (MDG-F)",MID(Proc[[#This Row],[Obj]],13,10),"")</f>
        <v/>
      </c>
      <c r="J2987" s="125" t="b">
        <f>Proc[[#This Row],[Requested]]=Proc[[#This Row],[CurrentParent]]</f>
        <v>1</v>
      </c>
      <c r="K2987" s="144" t="str">
        <f>IF(Proc[[#This Row],[Author]]="Marcela Urrego",VLOOKUP(LEFT(Proc[[#This Row],[Requested]],1),Table3[#All],2,0),VLOOKUP(Proc[[#This Row],[Author]],Table4[],2,0))</f>
        <v>HC</v>
      </c>
      <c r="L2987" s="125" t="s">
        <v>4894</v>
      </c>
      <c r="M2987" s="113">
        <v>45873</v>
      </c>
      <c r="N2987" s="113"/>
      <c r="O2987" s="113"/>
      <c r="P2987" s="115" t="str">
        <f ca="1">IF(Proc[[#This Row],[DaysAgeing]]&gt;5,"yep","on track")</f>
        <v>yep</v>
      </c>
      <c r="Q2987" s="3">
        <f ca="1">IF(Proc[[#This Row],[DateClosed]]="",ABS(NETWORKDAYS(Proc[[#This Row],[DateOpened]],TODAY()))-1,ABS(NETWORKDAYS(Proc[[#This Row],[DateOpened]],Proc[[#This Row],[DateClosed]]))-1)</f>
        <v>99</v>
      </c>
      <c r="R2987" s="115" t="s">
        <v>1013</v>
      </c>
      <c r="S2987" s="125"/>
    </row>
    <row r="2988" spans="1:19" hidden="1">
      <c r="A2988" s="124" t="s">
        <v>5258</v>
      </c>
      <c r="B2988" s="149" t="str">
        <f>IFERROR(VLOOKUP(Proc[[#This Row],[App]],Table2[],3,0),"open")</f>
        <v>ok</v>
      </c>
      <c r="C2988" s="124" t="s">
        <v>369</v>
      </c>
      <c r="D2988" t="s">
        <v>5007</v>
      </c>
      <c r="E2988" t="s">
        <v>4068</v>
      </c>
      <c r="F2988" s="125" t="s">
        <v>4068</v>
      </c>
      <c r="G2988" s="124" t="s">
        <v>400</v>
      </c>
      <c r="H2988" s="125" t="str">
        <f>IF(Proc[[#This Row],[type]]="LFF (MDG-F)",MID(Proc[[#This Row],[Obj]],13,10),"")</f>
        <v/>
      </c>
      <c r="J2988" s="125" t="b">
        <f>Proc[[#This Row],[Requested]]=Proc[[#This Row],[CurrentParent]]</f>
        <v>1</v>
      </c>
      <c r="K2988" s="144" t="str">
        <f>IF(Proc[[#This Row],[Author]]="Marcela Urrego",VLOOKUP(LEFT(Proc[[#This Row],[Requested]],1),Table3[#All],2,0),VLOOKUP(Proc[[#This Row],[Author]],Table4[],2,0))</f>
        <v>HC</v>
      </c>
      <c r="L2988" s="125" t="s">
        <v>4894</v>
      </c>
      <c r="M2988" s="113">
        <v>45873</v>
      </c>
      <c r="N2988" s="113"/>
      <c r="O2988" s="113"/>
      <c r="P2988" s="115" t="str">
        <f ca="1">IF(Proc[[#This Row],[DaysAgeing]]&gt;5,"yep","on track")</f>
        <v>yep</v>
      </c>
      <c r="Q2988" s="3">
        <f ca="1">IF(Proc[[#This Row],[DateClosed]]="",ABS(NETWORKDAYS(Proc[[#This Row],[DateOpened]],TODAY()))-1,ABS(NETWORKDAYS(Proc[[#This Row],[DateOpened]],Proc[[#This Row],[DateClosed]]))-1)</f>
        <v>99</v>
      </c>
      <c r="R2988" s="115" t="s">
        <v>1013</v>
      </c>
      <c r="S2988" s="125"/>
    </row>
    <row r="2989" spans="1:19" hidden="1">
      <c r="A2989" s="124" t="s">
        <v>5258</v>
      </c>
      <c r="B2989" s="149" t="str">
        <f>IFERROR(VLOOKUP(Proc[[#This Row],[App]],Table2[],3,0),"open")</f>
        <v>ok</v>
      </c>
      <c r="C2989" s="124" t="s">
        <v>369</v>
      </c>
      <c r="D2989" t="s">
        <v>5008</v>
      </c>
      <c r="E2989" t="s">
        <v>4068</v>
      </c>
      <c r="F2989" s="125" t="s">
        <v>4068</v>
      </c>
      <c r="G2989" s="124" t="s">
        <v>400</v>
      </c>
      <c r="H2989" s="125" t="str">
        <f>IF(Proc[[#This Row],[type]]="LFF (MDG-F)",MID(Proc[[#This Row],[Obj]],13,10),"")</f>
        <v/>
      </c>
      <c r="J2989" s="125" t="b">
        <f>Proc[[#This Row],[Requested]]=Proc[[#This Row],[CurrentParent]]</f>
        <v>1</v>
      </c>
      <c r="K2989" s="144" t="str">
        <f>IF(Proc[[#This Row],[Author]]="Marcela Urrego",VLOOKUP(LEFT(Proc[[#This Row],[Requested]],1),Table3[#All],2,0),VLOOKUP(Proc[[#This Row],[Author]],Table4[],2,0))</f>
        <v>HC</v>
      </c>
      <c r="L2989" s="125" t="s">
        <v>4894</v>
      </c>
      <c r="M2989" s="113">
        <v>45873</v>
      </c>
      <c r="N2989" s="113"/>
      <c r="O2989" s="113"/>
      <c r="P2989" s="115" t="str">
        <f ca="1">IF(Proc[[#This Row],[DaysAgeing]]&gt;5,"yep","on track")</f>
        <v>yep</v>
      </c>
      <c r="Q2989" s="3">
        <f ca="1">IF(Proc[[#This Row],[DateClosed]]="",ABS(NETWORKDAYS(Proc[[#This Row],[DateOpened]],TODAY()))-1,ABS(NETWORKDAYS(Proc[[#This Row],[DateOpened]],Proc[[#This Row],[DateClosed]]))-1)</f>
        <v>99</v>
      </c>
      <c r="R2989" s="115" t="s">
        <v>1013</v>
      </c>
      <c r="S2989" s="125"/>
    </row>
    <row r="2990" spans="1:19" hidden="1">
      <c r="A2990" s="124" t="s">
        <v>5258</v>
      </c>
      <c r="B2990" s="149" t="str">
        <f>IFERROR(VLOOKUP(Proc[[#This Row],[App]],Table2[],3,0),"open")</f>
        <v>ok</v>
      </c>
      <c r="C2990" s="124" t="s">
        <v>369</v>
      </c>
      <c r="D2990" t="s">
        <v>5009</v>
      </c>
      <c r="E2990" t="s">
        <v>4068</v>
      </c>
      <c r="F2990" s="125" t="s">
        <v>4068</v>
      </c>
      <c r="G2990" s="124" t="s">
        <v>400</v>
      </c>
      <c r="H2990" s="125" t="str">
        <f>IF(Proc[[#This Row],[type]]="LFF (MDG-F)",MID(Proc[[#This Row],[Obj]],13,10),"")</f>
        <v/>
      </c>
      <c r="J2990" s="125" t="b">
        <f>Proc[[#This Row],[Requested]]=Proc[[#This Row],[CurrentParent]]</f>
        <v>1</v>
      </c>
      <c r="K2990" s="144" t="str">
        <f>IF(Proc[[#This Row],[Author]]="Marcela Urrego",VLOOKUP(LEFT(Proc[[#This Row],[Requested]],1),Table3[#All],2,0),VLOOKUP(Proc[[#This Row],[Author]],Table4[],2,0))</f>
        <v>HC</v>
      </c>
      <c r="L2990" s="125" t="s">
        <v>4894</v>
      </c>
      <c r="M2990" s="113">
        <v>45873</v>
      </c>
      <c r="N2990" s="113"/>
      <c r="O2990" s="113"/>
      <c r="P2990" s="115" t="str">
        <f ca="1">IF(Proc[[#This Row],[DaysAgeing]]&gt;5,"yep","on track")</f>
        <v>yep</v>
      </c>
      <c r="Q2990" s="3">
        <f ca="1">IF(Proc[[#This Row],[DateClosed]]="",ABS(NETWORKDAYS(Proc[[#This Row],[DateOpened]],TODAY()))-1,ABS(NETWORKDAYS(Proc[[#This Row],[DateOpened]],Proc[[#This Row],[DateClosed]]))-1)</f>
        <v>99</v>
      </c>
      <c r="R2990" s="115" t="s">
        <v>1013</v>
      </c>
      <c r="S2990" s="125"/>
    </row>
    <row r="2991" spans="1:19" hidden="1">
      <c r="A2991" s="124" t="s">
        <v>5258</v>
      </c>
      <c r="B2991" s="149" t="str">
        <f>IFERROR(VLOOKUP(Proc[[#This Row],[App]],Table2[],3,0),"open")</f>
        <v>ok</v>
      </c>
      <c r="C2991" s="124" t="s">
        <v>369</v>
      </c>
      <c r="D2991" t="s">
        <v>5010</v>
      </c>
      <c r="E2991" t="s">
        <v>4068</v>
      </c>
      <c r="F2991" s="125" t="s">
        <v>4068</v>
      </c>
      <c r="G2991" s="124" t="s">
        <v>400</v>
      </c>
      <c r="H2991" s="125" t="str">
        <f>IF(Proc[[#This Row],[type]]="LFF (MDG-F)",MID(Proc[[#This Row],[Obj]],13,10),"")</f>
        <v/>
      </c>
      <c r="J2991" s="125" t="b">
        <f>Proc[[#This Row],[Requested]]=Proc[[#This Row],[CurrentParent]]</f>
        <v>1</v>
      </c>
      <c r="K2991" s="144" t="str">
        <f>IF(Proc[[#This Row],[Author]]="Marcela Urrego",VLOOKUP(LEFT(Proc[[#This Row],[Requested]],1),Table3[#All],2,0),VLOOKUP(Proc[[#This Row],[Author]],Table4[],2,0))</f>
        <v>HC</v>
      </c>
      <c r="L2991" s="125" t="s">
        <v>4894</v>
      </c>
      <c r="M2991" s="113">
        <v>45873</v>
      </c>
      <c r="N2991" s="113"/>
      <c r="O2991" s="113"/>
      <c r="P2991" s="115" t="str">
        <f ca="1">IF(Proc[[#This Row],[DaysAgeing]]&gt;5,"yep","on track")</f>
        <v>yep</v>
      </c>
      <c r="Q2991" s="3">
        <f ca="1">IF(Proc[[#This Row],[DateClosed]]="",ABS(NETWORKDAYS(Proc[[#This Row],[DateOpened]],TODAY()))-1,ABS(NETWORKDAYS(Proc[[#This Row],[DateOpened]],Proc[[#This Row],[DateClosed]]))-1)</f>
        <v>99</v>
      </c>
      <c r="R2991" s="115" t="s">
        <v>1013</v>
      </c>
      <c r="S2991" s="125"/>
    </row>
    <row r="2992" spans="1:19" hidden="1">
      <c r="A2992" s="124" t="s">
        <v>5258</v>
      </c>
      <c r="B2992" s="149" t="str">
        <f>IFERROR(VLOOKUP(Proc[[#This Row],[App]],Table2[],3,0),"open")</f>
        <v>ok</v>
      </c>
      <c r="C2992" s="124" t="s">
        <v>369</v>
      </c>
      <c r="D2992" t="s">
        <v>5011</v>
      </c>
      <c r="E2992" t="s">
        <v>4068</v>
      </c>
      <c r="F2992" s="125" t="s">
        <v>4068</v>
      </c>
      <c r="G2992" s="124" t="s">
        <v>400</v>
      </c>
      <c r="H2992" s="125" t="str">
        <f>IF(Proc[[#This Row],[type]]="LFF (MDG-F)",MID(Proc[[#This Row],[Obj]],13,10),"")</f>
        <v/>
      </c>
      <c r="J2992" s="125" t="b">
        <f>Proc[[#This Row],[Requested]]=Proc[[#This Row],[CurrentParent]]</f>
        <v>1</v>
      </c>
      <c r="K2992" s="144" t="str">
        <f>IF(Proc[[#This Row],[Author]]="Marcela Urrego",VLOOKUP(LEFT(Proc[[#This Row],[Requested]],1),Table3[#All],2,0),VLOOKUP(Proc[[#This Row],[Author]],Table4[],2,0))</f>
        <v>HC</v>
      </c>
      <c r="L2992" s="125" t="s">
        <v>4894</v>
      </c>
      <c r="M2992" s="113">
        <v>45873</v>
      </c>
      <c r="N2992" s="113"/>
      <c r="O2992" s="113"/>
      <c r="P2992" s="115" t="str">
        <f ca="1">IF(Proc[[#This Row],[DaysAgeing]]&gt;5,"yep","on track")</f>
        <v>yep</v>
      </c>
      <c r="Q2992" s="3">
        <f ca="1">IF(Proc[[#This Row],[DateClosed]]="",ABS(NETWORKDAYS(Proc[[#This Row],[DateOpened]],TODAY()))-1,ABS(NETWORKDAYS(Proc[[#This Row],[DateOpened]],Proc[[#This Row],[DateClosed]]))-1)</f>
        <v>99</v>
      </c>
      <c r="R2992" s="115" t="s">
        <v>1013</v>
      </c>
      <c r="S2992" s="125"/>
    </row>
    <row r="2993" spans="1:19" hidden="1">
      <c r="A2993" s="124" t="s">
        <v>5258</v>
      </c>
      <c r="B2993" s="149" t="str">
        <f>IFERROR(VLOOKUP(Proc[[#This Row],[App]],Table2[],3,0),"open")</f>
        <v>ok</v>
      </c>
      <c r="C2993" s="124" t="s">
        <v>369</v>
      </c>
      <c r="D2993" t="s">
        <v>5012</v>
      </c>
      <c r="E2993" t="s">
        <v>4068</v>
      </c>
      <c r="F2993" s="125" t="s">
        <v>4068</v>
      </c>
      <c r="G2993" s="124" t="s">
        <v>400</v>
      </c>
      <c r="H2993" s="125" t="str">
        <f>IF(Proc[[#This Row],[type]]="LFF (MDG-F)",MID(Proc[[#This Row],[Obj]],13,10),"")</f>
        <v/>
      </c>
      <c r="J2993" s="125" t="b">
        <f>Proc[[#This Row],[Requested]]=Proc[[#This Row],[CurrentParent]]</f>
        <v>1</v>
      </c>
      <c r="K2993" s="144" t="str">
        <f>IF(Proc[[#This Row],[Author]]="Marcela Urrego",VLOOKUP(LEFT(Proc[[#This Row],[Requested]],1),Table3[#All],2,0),VLOOKUP(Proc[[#This Row],[Author]],Table4[],2,0))</f>
        <v>HC</v>
      </c>
      <c r="L2993" s="125" t="s">
        <v>4894</v>
      </c>
      <c r="M2993" s="113">
        <v>45873</v>
      </c>
      <c r="N2993" s="113"/>
      <c r="O2993" s="113"/>
      <c r="P2993" s="115" t="str">
        <f ca="1">IF(Proc[[#This Row],[DaysAgeing]]&gt;5,"yep","on track")</f>
        <v>yep</v>
      </c>
      <c r="Q2993" s="3">
        <f ca="1">IF(Proc[[#This Row],[DateClosed]]="",ABS(NETWORKDAYS(Proc[[#This Row],[DateOpened]],TODAY()))-1,ABS(NETWORKDAYS(Proc[[#This Row],[DateOpened]],Proc[[#This Row],[DateClosed]]))-1)</f>
        <v>99</v>
      </c>
      <c r="R2993" s="115" t="s">
        <v>1013</v>
      </c>
      <c r="S2993" s="125"/>
    </row>
    <row r="2994" spans="1:19" hidden="1">
      <c r="A2994" s="124" t="s">
        <v>5258</v>
      </c>
      <c r="B2994" s="149" t="str">
        <f>IFERROR(VLOOKUP(Proc[[#This Row],[App]],Table2[],3,0),"open")</f>
        <v>ok</v>
      </c>
      <c r="C2994" s="124" t="s">
        <v>369</v>
      </c>
      <c r="D2994" t="s">
        <v>5013</v>
      </c>
      <c r="E2994" t="s">
        <v>4068</v>
      </c>
      <c r="F2994" s="125" t="s">
        <v>4068</v>
      </c>
      <c r="G2994" s="124" t="s">
        <v>400</v>
      </c>
      <c r="H2994" s="125" t="str">
        <f>IF(Proc[[#This Row],[type]]="LFF (MDG-F)",MID(Proc[[#This Row],[Obj]],13,10),"")</f>
        <v/>
      </c>
      <c r="J2994" s="125" t="b">
        <f>Proc[[#This Row],[Requested]]=Proc[[#This Row],[CurrentParent]]</f>
        <v>1</v>
      </c>
      <c r="K2994" s="144" t="str">
        <f>IF(Proc[[#This Row],[Author]]="Marcela Urrego",VLOOKUP(LEFT(Proc[[#This Row],[Requested]],1),Table3[#All],2,0),VLOOKUP(Proc[[#This Row],[Author]],Table4[],2,0))</f>
        <v>HC</v>
      </c>
      <c r="L2994" s="125" t="s">
        <v>4894</v>
      </c>
      <c r="M2994" s="113">
        <v>45873</v>
      </c>
      <c r="N2994" s="113"/>
      <c r="O2994" s="113"/>
      <c r="P2994" s="115" t="str">
        <f ca="1">IF(Proc[[#This Row],[DaysAgeing]]&gt;5,"yep","on track")</f>
        <v>yep</v>
      </c>
      <c r="Q2994" s="3">
        <f ca="1">IF(Proc[[#This Row],[DateClosed]]="",ABS(NETWORKDAYS(Proc[[#This Row],[DateOpened]],TODAY()))-1,ABS(NETWORKDAYS(Proc[[#This Row],[DateOpened]],Proc[[#This Row],[DateClosed]]))-1)</f>
        <v>99</v>
      </c>
      <c r="R2994" s="115" t="s">
        <v>1013</v>
      </c>
      <c r="S2994" s="125"/>
    </row>
    <row r="2995" spans="1:19" hidden="1">
      <c r="A2995" s="124" t="s">
        <v>5258</v>
      </c>
      <c r="B2995" s="149" t="str">
        <f>IFERROR(VLOOKUP(Proc[[#This Row],[App]],Table2[],3,0),"open")</f>
        <v>ok</v>
      </c>
      <c r="C2995" s="124" t="s">
        <v>369</v>
      </c>
      <c r="D2995" t="s">
        <v>5014</v>
      </c>
      <c r="E2995" t="s">
        <v>4068</v>
      </c>
      <c r="F2995" s="125" t="s">
        <v>4068</v>
      </c>
      <c r="G2995" s="124" t="s">
        <v>400</v>
      </c>
      <c r="H2995" s="125" t="str">
        <f>IF(Proc[[#This Row],[type]]="LFF (MDG-F)",MID(Proc[[#This Row],[Obj]],13,10),"")</f>
        <v/>
      </c>
      <c r="J2995" s="125" t="b">
        <f>Proc[[#This Row],[Requested]]=Proc[[#This Row],[CurrentParent]]</f>
        <v>1</v>
      </c>
      <c r="K2995" s="144" t="str">
        <f>IF(Proc[[#This Row],[Author]]="Marcela Urrego",VLOOKUP(LEFT(Proc[[#This Row],[Requested]],1),Table3[#All],2,0),VLOOKUP(Proc[[#This Row],[Author]],Table4[],2,0))</f>
        <v>HC</v>
      </c>
      <c r="L2995" s="125" t="s">
        <v>4894</v>
      </c>
      <c r="M2995" s="113">
        <v>45873</v>
      </c>
      <c r="N2995" s="113"/>
      <c r="O2995" s="113"/>
      <c r="P2995" s="115" t="str">
        <f ca="1">IF(Proc[[#This Row],[DaysAgeing]]&gt;5,"yep","on track")</f>
        <v>yep</v>
      </c>
      <c r="Q2995" s="3">
        <f ca="1">IF(Proc[[#This Row],[DateClosed]]="",ABS(NETWORKDAYS(Proc[[#This Row],[DateOpened]],TODAY()))-1,ABS(NETWORKDAYS(Proc[[#This Row],[DateOpened]],Proc[[#This Row],[DateClosed]]))-1)</f>
        <v>99</v>
      </c>
      <c r="R2995" s="115" t="s">
        <v>1013</v>
      </c>
      <c r="S2995" s="125"/>
    </row>
    <row r="2996" spans="1:19" hidden="1">
      <c r="A2996" s="124" t="s">
        <v>5258</v>
      </c>
      <c r="B2996" s="149" t="str">
        <f>IFERROR(VLOOKUP(Proc[[#This Row],[App]],Table2[],3,0),"open")</f>
        <v>ok</v>
      </c>
      <c r="C2996" s="124" t="s">
        <v>369</v>
      </c>
      <c r="D2996" t="s">
        <v>5015</v>
      </c>
      <c r="E2996" t="s">
        <v>4068</v>
      </c>
      <c r="F2996" s="125" t="s">
        <v>4068</v>
      </c>
      <c r="G2996" s="124" t="s">
        <v>400</v>
      </c>
      <c r="H2996" s="125" t="str">
        <f>IF(Proc[[#This Row],[type]]="LFF (MDG-F)",MID(Proc[[#This Row],[Obj]],13,10),"")</f>
        <v/>
      </c>
      <c r="J2996" s="125" t="b">
        <f>Proc[[#This Row],[Requested]]=Proc[[#This Row],[CurrentParent]]</f>
        <v>1</v>
      </c>
      <c r="K2996" s="144" t="str">
        <f>IF(Proc[[#This Row],[Author]]="Marcela Urrego",VLOOKUP(LEFT(Proc[[#This Row],[Requested]],1),Table3[#All],2,0),VLOOKUP(Proc[[#This Row],[Author]],Table4[],2,0))</f>
        <v>HC</v>
      </c>
      <c r="L2996" s="125" t="s">
        <v>4894</v>
      </c>
      <c r="M2996" s="113">
        <v>45873</v>
      </c>
      <c r="N2996" s="113"/>
      <c r="O2996" s="113"/>
      <c r="P2996" s="115" t="str">
        <f ca="1">IF(Proc[[#This Row],[DaysAgeing]]&gt;5,"yep","on track")</f>
        <v>yep</v>
      </c>
      <c r="Q2996" s="3">
        <f ca="1">IF(Proc[[#This Row],[DateClosed]]="",ABS(NETWORKDAYS(Proc[[#This Row],[DateOpened]],TODAY()))-1,ABS(NETWORKDAYS(Proc[[#This Row],[DateOpened]],Proc[[#This Row],[DateClosed]]))-1)</f>
        <v>99</v>
      </c>
      <c r="R2996" s="115" t="s">
        <v>1013</v>
      </c>
      <c r="S2996" s="125"/>
    </row>
    <row r="2997" spans="1:19" hidden="1">
      <c r="A2997" s="124" t="s">
        <v>5258</v>
      </c>
      <c r="B2997" s="149" t="str">
        <f>IFERROR(VLOOKUP(Proc[[#This Row],[App]],Table2[],3,0),"open")</f>
        <v>ok</v>
      </c>
      <c r="C2997" s="124" t="s">
        <v>369</v>
      </c>
      <c r="D2997" t="s">
        <v>5016</v>
      </c>
      <c r="E2997" t="s">
        <v>4068</v>
      </c>
      <c r="F2997" s="125" t="s">
        <v>4068</v>
      </c>
      <c r="G2997" s="124" t="s">
        <v>400</v>
      </c>
      <c r="H2997" s="125" t="str">
        <f>IF(Proc[[#This Row],[type]]="LFF (MDG-F)",MID(Proc[[#This Row],[Obj]],13,10),"")</f>
        <v/>
      </c>
      <c r="J2997" s="125" t="b">
        <f>Proc[[#This Row],[Requested]]=Proc[[#This Row],[CurrentParent]]</f>
        <v>1</v>
      </c>
      <c r="K2997" s="144" t="str">
        <f>IF(Proc[[#This Row],[Author]]="Marcela Urrego",VLOOKUP(LEFT(Proc[[#This Row],[Requested]],1),Table3[#All],2,0),VLOOKUP(Proc[[#This Row],[Author]],Table4[],2,0))</f>
        <v>HC</v>
      </c>
      <c r="L2997" s="125" t="s">
        <v>4894</v>
      </c>
      <c r="M2997" s="113">
        <v>45873</v>
      </c>
      <c r="N2997" s="113"/>
      <c r="O2997" s="113"/>
      <c r="P2997" s="115" t="str">
        <f ca="1">IF(Proc[[#This Row],[DaysAgeing]]&gt;5,"yep","on track")</f>
        <v>yep</v>
      </c>
      <c r="Q2997" s="3">
        <f ca="1">IF(Proc[[#This Row],[DateClosed]]="",ABS(NETWORKDAYS(Proc[[#This Row],[DateOpened]],TODAY()))-1,ABS(NETWORKDAYS(Proc[[#This Row],[DateOpened]],Proc[[#This Row],[DateClosed]]))-1)</f>
        <v>99</v>
      </c>
      <c r="R2997" s="115" t="s">
        <v>1013</v>
      </c>
      <c r="S2997" s="125"/>
    </row>
    <row r="2998" spans="1:19" hidden="1">
      <c r="A2998" s="124" t="s">
        <v>5258</v>
      </c>
      <c r="B2998" s="149" t="str">
        <f>IFERROR(VLOOKUP(Proc[[#This Row],[App]],Table2[],3,0),"open")</f>
        <v>ok</v>
      </c>
      <c r="C2998" s="124" t="s">
        <v>369</v>
      </c>
      <c r="D2998" t="s">
        <v>5017</v>
      </c>
      <c r="E2998" t="s">
        <v>4068</v>
      </c>
      <c r="F2998" s="125" t="s">
        <v>4068</v>
      </c>
      <c r="G2998" s="124" t="s">
        <v>400</v>
      </c>
      <c r="H2998" s="125" t="str">
        <f>IF(Proc[[#This Row],[type]]="LFF (MDG-F)",MID(Proc[[#This Row],[Obj]],13,10),"")</f>
        <v/>
      </c>
      <c r="J2998" s="125" t="b">
        <f>Proc[[#This Row],[Requested]]=Proc[[#This Row],[CurrentParent]]</f>
        <v>1</v>
      </c>
      <c r="K2998" s="144" t="str">
        <f>IF(Proc[[#This Row],[Author]]="Marcela Urrego",VLOOKUP(LEFT(Proc[[#This Row],[Requested]],1),Table3[#All],2,0),VLOOKUP(Proc[[#This Row],[Author]],Table4[],2,0))</f>
        <v>HC</v>
      </c>
      <c r="L2998" s="125" t="s">
        <v>4894</v>
      </c>
      <c r="M2998" s="113">
        <v>45873</v>
      </c>
      <c r="N2998" s="113"/>
      <c r="O2998" s="113"/>
      <c r="P2998" s="115" t="str">
        <f ca="1">IF(Proc[[#This Row],[DaysAgeing]]&gt;5,"yep","on track")</f>
        <v>yep</v>
      </c>
      <c r="Q2998" s="3">
        <f ca="1">IF(Proc[[#This Row],[DateClosed]]="",ABS(NETWORKDAYS(Proc[[#This Row],[DateOpened]],TODAY()))-1,ABS(NETWORKDAYS(Proc[[#This Row],[DateOpened]],Proc[[#This Row],[DateClosed]]))-1)</f>
        <v>99</v>
      </c>
      <c r="R2998" s="115" t="s">
        <v>1013</v>
      </c>
      <c r="S2998" s="125"/>
    </row>
    <row r="2999" spans="1:19" hidden="1">
      <c r="A2999" s="124" t="s">
        <v>5258</v>
      </c>
      <c r="B2999" s="149" t="str">
        <f>IFERROR(VLOOKUP(Proc[[#This Row],[App]],Table2[],3,0),"open")</f>
        <v>ok</v>
      </c>
      <c r="C2999" s="124" t="s">
        <v>369</v>
      </c>
      <c r="D2999" t="s">
        <v>5018</v>
      </c>
      <c r="E2999" t="s">
        <v>4068</v>
      </c>
      <c r="F2999" s="125" t="s">
        <v>4068</v>
      </c>
      <c r="G2999" s="124" t="s">
        <v>400</v>
      </c>
      <c r="H2999" s="125" t="str">
        <f>IF(Proc[[#This Row],[type]]="LFF (MDG-F)",MID(Proc[[#This Row],[Obj]],13,10),"")</f>
        <v/>
      </c>
      <c r="J2999" s="125" t="b">
        <f>Proc[[#This Row],[Requested]]=Proc[[#This Row],[CurrentParent]]</f>
        <v>1</v>
      </c>
      <c r="K2999" s="144" t="str">
        <f>IF(Proc[[#This Row],[Author]]="Marcela Urrego",VLOOKUP(LEFT(Proc[[#This Row],[Requested]],1),Table3[#All],2,0),VLOOKUP(Proc[[#This Row],[Author]],Table4[],2,0))</f>
        <v>HC</v>
      </c>
      <c r="L2999" s="125" t="s">
        <v>4894</v>
      </c>
      <c r="M2999" s="113">
        <v>45873</v>
      </c>
      <c r="N2999" s="113"/>
      <c r="O2999" s="113"/>
      <c r="P2999" s="115" t="str">
        <f ca="1">IF(Proc[[#This Row],[DaysAgeing]]&gt;5,"yep","on track")</f>
        <v>yep</v>
      </c>
      <c r="Q2999" s="3">
        <f ca="1">IF(Proc[[#This Row],[DateClosed]]="",ABS(NETWORKDAYS(Proc[[#This Row],[DateOpened]],TODAY()))-1,ABS(NETWORKDAYS(Proc[[#This Row],[DateOpened]],Proc[[#This Row],[DateClosed]]))-1)</f>
        <v>99</v>
      </c>
      <c r="R2999" s="115" t="s">
        <v>1013</v>
      </c>
      <c r="S2999" s="125"/>
    </row>
    <row r="3000" spans="1:19" hidden="1">
      <c r="A3000" s="124" t="s">
        <v>5258</v>
      </c>
      <c r="B3000" s="149" t="str">
        <f>IFERROR(VLOOKUP(Proc[[#This Row],[App]],Table2[],3,0),"open")</f>
        <v>ok</v>
      </c>
      <c r="C3000" s="124" t="s">
        <v>369</v>
      </c>
      <c r="D3000" t="s">
        <v>5019</v>
      </c>
      <c r="E3000" t="s">
        <v>4068</v>
      </c>
      <c r="F3000" s="125" t="s">
        <v>4068</v>
      </c>
      <c r="G3000" s="124" t="s">
        <v>400</v>
      </c>
      <c r="H3000" s="125" t="str">
        <f>IF(Proc[[#This Row],[type]]="LFF (MDG-F)",MID(Proc[[#This Row],[Obj]],13,10),"")</f>
        <v/>
      </c>
      <c r="J3000" s="125" t="b">
        <f>Proc[[#This Row],[Requested]]=Proc[[#This Row],[CurrentParent]]</f>
        <v>1</v>
      </c>
      <c r="K3000" s="144" t="str">
        <f>IF(Proc[[#This Row],[Author]]="Marcela Urrego",VLOOKUP(LEFT(Proc[[#This Row],[Requested]],1),Table3[#All],2,0),VLOOKUP(Proc[[#This Row],[Author]],Table4[],2,0))</f>
        <v>HC</v>
      </c>
      <c r="L3000" s="125" t="s">
        <v>4894</v>
      </c>
      <c r="M3000" s="113">
        <v>45873</v>
      </c>
      <c r="N3000" s="113"/>
      <c r="O3000" s="113"/>
      <c r="P3000" s="115" t="str">
        <f ca="1">IF(Proc[[#This Row],[DaysAgeing]]&gt;5,"yep","on track")</f>
        <v>yep</v>
      </c>
      <c r="Q3000" s="3">
        <f ca="1">IF(Proc[[#This Row],[DateClosed]]="",ABS(NETWORKDAYS(Proc[[#This Row],[DateOpened]],TODAY()))-1,ABS(NETWORKDAYS(Proc[[#This Row],[DateOpened]],Proc[[#This Row],[DateClosed]]))-1)</f>
        <v>99</v>
      </c>
      <c r="R3000" s="115" t="s">
        <v>1013</v>
      </c>
      <c r="S3000" s="125"/>
    </row>
    <row r="3001" spans="1:19" hidden="1">
      <c r="A3001" s="124" t="s">
        <v>5258</v>
      </c>
      <c r="B3001" s="149" t="str">
        <f>IFERROR(VLOOKUP(Proc[[#This Row],[App]],Table2[],3,0),"open")</f>
        <v>ok</v>
      </c>
      <c r="C3001" s="124" t="s">
        <v>369</v>
      </c>
      <c r="D3001" t="s">
        <v>5020</v>
      </c>
      <c r="E3001" t="s">
        <v>4068</v>
      </c>
      <c r="F3001" s="125" t="s">
        <v>4068</v>
      </c>
      <c r="G3001" s="124" t="s">
        <v>400</v>
      </c>
      <c r="H3001" s="125" t="str">
        <f>IF(Proc[[#This Row],[type]]="LFF (MDG-F)",MID(Proc[[#This Row],[Obj]],13,10),"")</f>
        <v/>
      </c>
      <c r="J3001" s="125" t="b">
        <f>Proc[[#This Row],[Requested]]=Proc[[#This Row],[CurrentParent]]</f>
        <v>1</v>
      </c>
      <c r="K3001" s="144" t="str">
        <f>IF(Proc[[#This Row],[Author]]="Marcela Urrego",VLOOKUP(LEFT(Proc[[#This Row],[Requested]],1),Table3[#All],2,0),VLOOKUP(Proc[[#This Row],[Author]],Table4[],2,0))</f>
        <v>HC</v>
      </c>
      <c r="L3001" s="125" t="s">
        <v>4894</v>
      </c>
      <c r="M3001" s="113">
        <v>45873</v>
      </c>
      <c r="N3001" s="113"/>
      <c r="O3001" s="113"/>
      <c r="P3001" s="115" t="str">
        <f ca="1">IF(Proc[[#This Row],[DaysAgeing]]&gt;5,"yep","on track")</f>
        <v>yep</v>
      </c>
      <c r="Q3001" s="3">
        <f ca="1">IF(Proc[[#This Row],[DateClosed]]="",ABS(NETWORKDAYS(Proc[[#This Row],[DateOpened]],TODAY()))-1,ABS(NETWORKDAYS(Proc[[#This Row],[DateOpened]],Proc[[#This Row],[DateClosed]]))-1)</f>
        <v>99</v>
      </c>
      <c r="R3001" s="115" t="s">
        <v>1013</v>
      </c>
      <c r="S3001" s="125"/>
    </row>
    <row r="3002" spans="1:19" hidden="1">
      <c r="A3002" s="124" t="s">
        <v>5258</v>
      </c>
      <c r="B3002" s="149" t="str">
        <f>IFERROR(VLOOKUP(Proc[[#This Row],[App]],Table2[],3,0),"open")</f>
        <v>ok</v>
      </c>
      <c r="C3002" s="124" t="s">
        <v>369</v>
      </c>
      <c r="D3002" t="s">
        <v>5021</v>
      </c>
      <c r="E3002" t="s">
        <v>4068</v>
      </c>
      <c r="F3002" s="125" t="s">
        <v>4068</v>
      </c>
      <c r="G3002" s="124" t="s">
        <v>400</v>
      </c>
      <c r="H3002" s="125" t="str">
        <f>IF(Proc[[#This Row],[type]]="LFF (MDG-F)",MID(Proc[[#This Row],[Obj]],13,10),"")</f>
        <v/>
      </c>
      <c r="J3002" s="125" t="b">
        <f>Proc[[#This Row],[Requested]]=Proc[[#This Row],[CurrentParent]]</f>
        <v>1</v>
      </c>
      <c r="K3002" s="144" t="str">
        <f>IF(Proc[[#This Row],[Author]]="Marcela Urrego",VLOOKUP(LEFT(Proc[[#This Row],[Requested]],1),Table3[#All],2,0),VLOOKUP(Proc[[#This Row],[Author]],Table4[],2,0))</f>
        <v>HC</v>
      </c>
      <c r="L3002" s="125" t="s">
        <v>4894</v>
      </c>
      <c r="M3002" s="113">
        <v>45873</v>
      </c>
      <c r="N3002" s="113"/>
      <c r="O3002" s="113"/>
      <c r="P3002" s="115" t="str">
        <f ca="1">IF(Proc[[#This Row],[DaysAgeing]]&gt;5,"yep","on track")</f>
        <v>yep</v>
      </c>
      <c r="Q3002" s="3">
        <f ca="1">IF(Proc[[#This Row],[DateClosed]]="",ABS(NETWORKDAYS(Proc[[#This Row],[DateOpened]],TODAY()))-1,ABS(NETWORKDAYS(Proc[[#This Row],[DateOpened]],Proc[[#This Row],[DateClosed]]))-1)</f>
        <v>99</v>
      </c>
      <c r="R3002" s="115" t="s">
        <v>1013</v>
      </c>
      <c r="S3002" s="125"/>
    </row>
    <row r="3003" spans="1:19" hidden="1">
      <c r="A3003" s="124" t="s">
        <v>5258</v>
      </c>
      <c r="B3003" s="149" t="str">
        <f>IFERROR(VLOOKUP(Proc[[#This Row],[App]],Table2[],3,0),"open")</f>
        <v>ok</v>
      </c>
      <c r="C3003" s="124" t="s">
        <v>369</v>
      </c>
      <c r="D3003" t="s">
        <v>5022</v>
      </c>
      <c r="E3003" t="s">
        <v>4068</v>
      </c>
      <c r="F3003" s="125" t="s">
        <v>4068</v>
      </c>
      <c r="G3003" s="124" t="s">
        <v>400</v>
      </c>
      <c r="H3003" s="125" t="str">
        <f>IF(Proc[[#This Row],[type]]="LFF (MDG-F)",MID(Proc[[#This Row],[Obj]],13,10),"")</f>
        <v/>
      </c>
      <c r="J3003" s="125" t="b">
        <f>Proc[[#This Row],[Requested]]=Proc[[#This Row],[CurrentParent]]</f>
        <v>1</v>
      </c>
      <c r="K3003" s="144" t="str">
        <f>IF(Proc[[#This Row],[Author]]="Marcela Urrego",VLOOKUP(LEFT(Proc[[#This Row],[Requested]],1),Table3[#All],2,0),VLOOKUP(Proc[[#This Row],[Author]],Table4[],2,0))</f>
        <v>HC</v>
      </c>
      <c r="L3003" s="125" t="s">
        <v>4894</v>
      </c>
      <c r="M3003" s="113">
        <v>45873</v>
      </c>
      <c r="N3003" s="113"/>
      <c r="O3003" s="113"/>
      <c r="P3003" s="115" t="str">
        <f ca="1">IF(Proc[[#This Row],[DaysAgeing]]&gt;5,"yep","on track")</f>
        <v>yep</v>
      </c>
      <c r="Q3003" s="3">
        <f ca="1">IF(Proc[[#This Row],[DateClosed]]="",ABS(NETWORKDAYS(Proc[[#This Row],[DateOpened]],TODAY()))-1,ABS(NETWORKDAYS(Proc[[#This Row],[DateOpened]],Proc[[#This Row],[DateClosed]]))-1)</f>
        <v>99</v>
      </c>
      <c r="R3003" s="115" t="s">
        <v>1013</v>
      </c>
      <c r="S3003" s="125"/>
    </row>
    <row r="3004" spans="1:19" hidden="1">
      <c r="A3004" s="124" t="s">
        <v>5258</v>
      </c>
      <c r="B3004" s="149" t="str">
        <f>IFERROR(VLOOKUP(Proc[[#This Row],[App]],Table2[],3,0),"open")</f>
        <v>ok</v>
      </c>
      <c r="C3004" s="124" t="s">
        <v>369</v>
      </c>
      <c r="D3004" t="s">
        <v>5023</v>
      </c>
      <c r="E3004" t="s">
        <v>4068</v>
      </c>
      <c r="F3004" s="125" t="s">
        <v>4068</v>
      </c>
      <c r="G3004" s="124" t="s">
        <v>400</v>
      </c>
      <c r="H3004" s="125" t="str">
        <f>IF(Proc[[#This Row],[type]]="LFF (MDG-F)",MID(Proc[[#This Row],[Obj]],13,10),"")</f>
        <v/>
      </c>
      <c r="J3004" s="125" t="b">
        <f>Proc[[#This Row],[Requested]]=Proc[[#This Row],[CurrentParent]]</f>
        <v>1</v>
      </c>
      <c r="K3004" s="144" t="str">
        <f>IF(Proc[[#This Row],[Author]]="Marcela Urrego",VLOOKUP(LEFT(Proc[[#This Row],[Requested]],1),Table3[#All],2,0),VLOOKUP(Proc[[#This Row],[Author]],Table4[],2,0))</f>
        <v>HC</v>
      </c>
      <c r="L3004" s="125" t="s">
        <v>4894</v>
      </c>
      <c r="M3004" s="113">
        <v>45873</v>
      </c>
      <c r="N3004" s="113"/>
      <c r="O3004" s="113"/>
      <c r="P3004" s="115" t="str">
        <f ca="1">IF(Proc[[#This Row],[DaysAgeing]]&gt;5,"yep","on track")</f>
        <v>yep</v>
      </c>
      <c r="Q3004" s="3">
        <f ca="1">IF(Proc[[#This Row],[DateClosed]]="",ABS(NETWORKDAYS(Proc[[#This Row],[DateOpened]],TODAY()))-1,ABS(NETWORKDAYS(Proc[[#This Row],[DateOpened]],Proc[[#This Row],[DateClosed]]))-1)</f>
        <v>99</v>
      </c>
      <c r="R3004" s="115" t="s">
        <v>1013</v>
      </c>
      <c r="S3004" s="125"/>
    </row>
    <row r="3005" spans="1:19" hidden="1">
      <c r="A3005" s="124" t="s">
        <v>5258</v>
      </c>
      <c r="B3005" s="149" t="str">
        <f>IFERROR(VLOOKUP(Proc[[#This Row],[App]],Table2[],3,0),"open")</f>
        <v>ok</v>
      </c>
      <c r="C3005" s="124" t="s">
        <v>369</v>
      </c>
      <c r="D3005" t="s">
        <v>5024</v>
      </c>
      <c r="E3005" t="s">
        <v>4068</v>
      </c>
      <c r="F3005" s="125" t="s">
        <v>4068</v>
      </c>
      <c r="G3005" s="124" t="s">
        <v>400</v>
      </c>
      <c r="H3005" s="125" t="str">
        <f>IF(Proc[[#This Row],[type]]="LFF (MDG-F)",MID(Proc[[#This Row],[Obj]],13,10),"")</f>
        <v/>
      </c>
      <c r="J3005" s="125" t="b">
        <f>Proc[[#This Row],[Requested]]=Proc[[#This Row],[CurrentParent]]</f>
        <v>1</v>
      </c>
      <c r="K3005" s="144" t="str">
        <f>IF(Proc[[#This Row],[Author]]="Marcela Urrego",VLOOKUP(LEFT(Proc[[#This Row],[Requested]],1),Table3[#All],2,0),VLOOKUP(Proc[[#This Row],[Author]],Table4[],2,0))</f>
        <v>HC</v>
      </c>
      <c r="L3005" s="125" t="s">
        <v>4894</v>
      </c>
      <c r="M3005" s="113">
        <v>45873</v>
      </c>
      <c r="N3005" s="113"/>
      <c r="O3005" s="113"/>
      <c r="P3005" s="115" t="str">
        <f ca="1">IF(Proc[[#This Row],[DaysAgeing]]&gt;5,"yep","on track")</f>
        <v>yep</v>
      </c>
      <c r="Q3005" s="3">
        <f ca="1">IF(Proc[[#This Row],[DateClosed]]="",ABS(NETWORKDAYS(Proc[[#This Row],[DateOpened]],TODAY()))-1,ABS(NETWORKDAYS(Proc[[#This Row],[DateOpened]],Proc[[#This Row],[DateClosed]]))-1)</f>
        <v>99</v>
      </c>
      <c r="R3005" s="115" t="s">
        <v>1013</v>
      </c>
      <c r="S3005" s="125"/>
    </row>
    <row r="3006" spans="1:19" hidden="1">
      <c r="A3006" s="124" t="s">
        <v>5258</v>
      </c>
      <c r="B3006" s="149" t="str">
        <f>IFERROR(VLOOKUP(Proc[[#This Row],[App]],Table2[],3,0),"open")</f>
        <v>ok</v>
      </c>
      <c r="C3006" s="124" t="s">
        <v>369</v>
      </c>
      <c r="D3006" t="s">
        <v>5025</v>
      </c>
      <c r="E3006" t="s">
        <v>4068</v>
      </c>
      <c r="F3006" s="125" t="s">
        <v>4068</v>
      </c>
      <c r="G3006" s="124" t="s">
        <v>400</v>
      </c>
      <c r="H3006" s="125" t="str">
        <f>IF(Proc[[#This Row],[type]]="LFF (MDG-F)",MID(Proc[[#This Row],[Obj]],13,10),"")</f>
        <v/>
      </c>
      <c r="J3006" s="125" t="b">
        <f>Proc[[#This Row],[Requested]]=Proc[[#This Row],[CurrentParent]]</f>
        <v>1</v>
      </c>
      <c r="K3006" s="144" t="str">
        <f>IF(Proc[[#This Row],[Author]]="Marcela Urrego",VLOOKUP(LEFT(Proc[[#This Row],[Requested]],1),Table3[#All],2,0),VLOOKUP(Proc[[#This Row],[Author]],Table4[],2,0))</f>
        <v>HC</v>
      </c>
      <c r="L3006" s="125" t="s">
        <v>4894</v>
      </c>
      <c r="M3006" s="113">
        <v>45873</v>
      </c>
      <c r="N3006" s="113"/>
      <c r="O3006" s="113"/>
      <c r="P3006" s="115" t="str">
        <f ca="1">IF(Proc[[#This Row],[DaysAgeing]]&gt;5,"yep","on track")</f>
        <v>yep</v>
      </c>
      <c r="Q3006" s="3">
        <f ca="1">IF(Proc[[#This Row],[DateClosed]]="",ABS(NETWORKDAYS(Proc[[#This Row],[DateOpened]],TODAY()))-1,ABS(NETWORKDAYS(Proc[[#This Row],[DateOpened]],Proc[[#This Row],[DateClosed]]))-1)</f>
        <v>99</v>
      </c>
      <c r="R3006" s="115" t="s">
        <v>1013</v>
      </c>
      <c r="S3006" s="125"/>
    </row>
    <row r="3007" spans="1:19" hidden="1">
      <c r="A3007" s="124" t="s">
        <v>5258</v>
      </c>
      <c r="B3007" s="149" t="str">
        <f>IFERROR(VLOOKUP(Proc[[#This Row],[App]],Table2[],3,0),"open")</f>
        <v>ok</v>
      </c>
      <c r="C3007" s="124" t="s">
        <v>369</v>
      </c>
      <c r="D3007" t="s">
        <v>5026</v>
      </c>
      <c r="E3007" t="s">
        <v>4068</v>
      </c>
      <c r="F3007" s="125" t="s">
        <v>4068</v>
      </c>
      <c r="G3007" s="124" t="s">
        <v>400</v>
      </c>
      <c r="H3007" s="125" t="str">
        <f>IF(Proc[[#This Row],[type]]="LFF (MDG-F)",MID(Proc[[#This Row],[Obj]],13,10),"")</f>
        <v/>
      </c>
      <c r="J3007" s="125" t="b">
        <f>Proc[[#This Row],[Requested]]=Proc[[#This Row],[CurrentParent]]</f>
        <v>1</v>
      </c>
      <c r="K3007" s="144" t="str">
        <f>IF(Proc[[#This Row],[Author]]="Marcela Urrego",VLOOKUP(LEFT(Proc[[#This Row],[Requested]],1),Table3[#All],2,0),VLOOKUP(Proc[[#This Row],[Author]],Table4[],2,0))</f>
        <v>HC</v>
      </c>
      <c r="L3007" s="125" t="s">
        <v>4894</v>
      </c>
      <c r="M3007" s="113">
        <v>45873</v>
      </c>
      <c r="N3007" s="113"/>
      <c r="O3007" s="113"/>
      <c r="P3007" s="115" t="str">
        <f ca="1">IF(Proc[[#This Row],[DaysAgeing]]&gt;5,"yep","on track")</f>
        <v>yep</v>
      </c>
      <c r="Q3007" s="3">
        <f ca="1">IF(Proc[[#This Row],[DateClosed]]="",ABS(NETWORKDAYS(Proc[[#This Row],[DateOpened]],TODAY()))-1,ABS(NETWORKDAYS(Proc[[#This Row],[DateOpened]],Proc[[#This Row],[DateClosed]]))-1)</f>
        <v>99</v>
      </c>
      <c r="R3007" s="115" t="s">
        <v>1013</v>
      </c>
      <c r="S3007" s="125"/>
    </row>
    <row r="3008" spans="1:19" hidden="1">
      <c r="A3008" s="124" t="s">
        <v>5258</v>
      </c>
      <c r="B3008" s="149" t="str">
        <f>IFERROR(VLOOKUP(Proc[[#This Row],[App]],Table2[],3,0),"open")</f>
        <v>ok</v>
      </c>
      <c r="C3008" s="124" t="s">
        <v>369</v>
      </c>
      <c r="D3008" t="s">
        <v>5027</v>
      </c>
      <c r="E3008" t="s">
        <v>4068</v>
      </c>
      <c r="F3008" s="125" t="s">
        <v>4068</v>
      </c>
      <c r="G3008" s="124" t="s">
        <v>400</v>
      </c>
      <c r="H3008" s="125" t="str">
        <f>IF(Proc[[#This Row],[type]]="LFF (MDG-F)",MID(Proc[[#This Row],[Obj]],13,10),"")</f>
        <v/>
      </c>
      <c r="J3008" s="125" t="b">
        <f>Proc[[#This Row],[Requested]]=Proc[[#This Row],[CurrentParent]]</f>
        <v>1</v>
      </c>
      <c r="K3008" s="144" t="str">
        <f>IF(Proc[[#This Row],[Author]]="Marcela Urrego",VLOOKUP(LEFT(Proc[[#This Row],[Requested]],1),Table3[#All],2,0),VLOOKUP(Proc[[#This Row],[Author]],Table4[],2,0))</f>
        <v>HC</v>
      </c>
      <c r="L3008" s="125" t="s">
        <v>4894</v>
      </c>
      <c r="M3008" s="113">
        <v>45873</v>
      </c>
      <c r="N3008" s="113"/>
      <c r="O3008" s="113"/>
      <c r="P3008" s="115" t="str">
        <f ca="1">IF(Proc[[#This Row],[DaysAgeing]]&gt;5,"yep","on track")</f>
        <v>yep</v>
      </c>
      <c r="Q3008" s="3">
        <f ca="1">IF(Proc[[#This Row],[DateClosed]]="",ABS(NETWORKDAYS(Proc[[#This Row],[DateOpened]],TODAY()))-1,ABS(NETWORKDAYS(Proc[[#This Row],[DateOpened]],Proc[[#This Row],[DateClosed]]))-1)</f>
        <v>99</v>
      </c>
      <c r="R3008" s="115" t="s">
        <v>1013</v>
      </c>
      <c r="S3008" s="125"/>
    </row>
    <row r="3009" spans="1:19" hidden="1">
      <c r="A3009" s="124" t="s">
        <v>5258</v>
      </c>
      <c r="B3009" s="149" t="str">
        <f>IFERROR(VLOOKUP(Proc[[#This Row],[App]],Table2[],3,0),"open")</f>
        <v>ok</v>
      </c>
      <c r="C3009" s="124" t="s">
        <v>369</v>
      </c>
      <c r="D3009" t="s">
        <v>5028</v>
      </c>
      <c r="E3009" t="s">
        <v>4068</v>
      </c>
      <c r="F3009" s="125" t="s">
        <v>4068</v>
      </c>
      <c r="G3009" s="124" t="s">
        <v>400</v>
      </c>
      <c r="H3009" s="125" t="str">
        <f>IF(Proc[[#This Row],[type]]="LFF (MDG-F)",MID(Proc[[#This Row],[Obj]],13,10),"")</f>
        <v/>
      </c>
      <c r="J3009" s="125" t="b">
        <f>Proc[[#This Row],[Requested]]=Proc[[#This Row],[CurrentParent]]</f>
        <v>1</v>
      </c>
      <c r="K3009" s="144" t="str">
        <f>IF(Proc[[#This Row],[Author]]="Marcela Urrego",VLOOKUP(LEFT(Proc[[#This Row],[Requested]],1),Table3[#All],2,0),VLOOKUP(Proc[[#This Row],[Author]],Table4[],2,0))</f>
        <v>HC</v>
      </c>
      <c r="L3009" s="125" t="s">
        <v>4894</v>
      </c>
      <c r="M3009" s="113">
        <v>45873</v>
      </c>
      <c r="N3009" s="113"/>
      <c r="O3009" s="113"/>
      <c r="P3009" s="115" t="str">
        <f ca="1">IF(Proc[[#This Row],[DaysAgeing]]&gt;5,"yep","on track")</f>
        <v>yep</v>
      </c>
      <c r="Q3009" s="3">
        <f ca="1">IF(Proc[[#This Row],[DateClosed]]="",ABS(NETWORKDAYS(Proc[[#This Row],[DateOpened]],TODAY()))-1,ABS(NETWORKDAYS(Proc[[#This Row],[DateOpened]],Proc[[#This Row],[DateClosed]]))-1)</f>
        <v>99</v>
      </c>
      <c r="R3009" s="115" t="s">
        <v>1013</v>
      </c>
      <c r="S3009" s="125"/>
    </row>
    <row r="3010" spans="1:19" hidden="1">
      <c r="A3010" s="124" t="s">
        <v>5258</v>
      </c>
      <c r="B3010" s="149" t="str">
        <f>IFERROR(VLOOKUP(Proc[[#This Row],[App]],Table2[],3,0),"open")</f>
        <v>ok</v>
      </c>
      <c r="C3010" s="124" t="s">
        <v>369</v>
      </c>
      <c r="D3010" t="s">
        <v>5029</v>
      </c>
      <c r="E3010" t="s">
        <v>4068</v>
      </c>
      <c r="F3010" s="125" t="s">
        <v>4068</v>
      </c>
      <c r="G3010" s="124" t="s">
        <v>400</v>
      </c>
      <c r="H3010" s="125" t="str">
        <f>IF(Proc[[#This Row],[type]]="LFF (MDG-F)",MID(Proc[[#This Row],[Obj]],13,10),"")</f>
        <v/>
      </c>
      <c r="J3010" s="125" t="b">
        <f>Proc[[#This Row],[Requested]]=Proc[[#This Row],[CurrentParent]]</f>
        <v>1</v>
      </c>
      <c r="K3010" s="144" t="str">
        <f>IF(Proc[[#This Row],[Author]]="Marcela Urrego",VLOOKUP(LEFT(Proc[[#This Row],[Requested]],1),Table3[#All],2,0),VLOOKUP(Proc[[#This Row],[Author]],Table4[],2,0))</f>
        <v>HC</v>
      </c>
      <c r="L3010" s="125" t="s">
        <v>4894</v>
      </c>
      <c r="M3010" s="113">
        <v>45873</v>
      </c>
      <c r="N3010" s="113"/>
      <c r="O3010" s="113"/>
      <c r="P3010" s="115" t="str">
        <f ca="1">IF(Proc[[#This Row],[DaysAgeing]]&gt;5,"yep","on track")</f>
        <v>yep</v>
      </c>
      <c r="Q3010" s="3">
        <f ca="1">IF(Proc[[#This Row],[DateClosed]]="",ABS(NETWORKDAYS(Proc[[#This Row],[DateOpened]],TODAY()))-1,ABS(NETWORKDAYS(Proc[[#This Row],[DateOpened]],Proc[[#This Row],[DateClosed]]))-1)</f>
        <v>99</v>
      </c>
      <c r="R3010" s="115" t="s">
        <v>1013</v>
      </c>
      <c r="S3010" s="125"/>
    </row>
    <row r="3011" spans="1:19" hidden="1">
      <c r="A3011" s="124" t="s">
        <v>5258</v>
      </c>
      <c r="B3011" s="149" t="str">
        <f>IFERROR(VLOOKUP(Proc[[#This Row],[App]],Table2[],3,0),"open")</f>
        <v>ok</v>
      </c>
      <c r="C3011" s="124" t="s">
        <v>369</v>
      </c>
      <c r="D3011" t="s">
        <v>5030</v>
      </c>
      <c r="E3011" t="s">
        <v>4068</v>
      </c>
      <c r="F3011" s="125" t="s">
        <v>4068</v>
      </c>
      <c r="G3011" s="124" t="s">
        <v>400</v>
      </c>
      <c r="H3011" s="125" t="str">
        <f>IF(Proc[[#This Row],[type]]="LFF (MDG-F)",MID(Proc[[#This Row],[Obj]],13,10),"")</f>
        <v/>
      </c>
      <c r="J3011" s="125" t="b">
        <f>Proc[[#This Row],[Requested]]=Proc[[#This Row],[CurrentParent]]</f>
        <v>1</v>
      </c>
      <c r="K3011" s="144" t="str">
        <f>IF(Proc[[#This Row],[Author]]="Marcela Urrego",VLOOKUP(LEFT(Proc[[#This Row],[Requested]],1),Table3[#All],2,0),VLOOKUP(Proc[[#This Row],[Author]],Table4[],2,0))</f>
        <v>HC</v>
      </c>
      <c r="L3011" s="125" t="s">
        <v>4894</v>
      </c>
      <c r="M3011" s="113">
        <v>45873</v>
      </c>
      <c r="N3011" s="113"/>
      <c r="O3011" s="113"/>
      <c r="P3011" s="115" t="str">
        <f ca="1">IF(Proc[[#This Row],[DaysAgeing]]&gt;5,"yep","on track")</f>
        <v>yep</v>
      </c>
      <c r="Q3011" s="3">
        <f ca="1">IF(Proc[[#This Row],[DateClosed]]="",ABS(NETWORKDAYS(Proc[[#This Row],[DateOpened]],TODAY()))-1,ABS(NETWORKDAYS(Proc[[#This Row],[DateOpened]],Proc[[#This Row],[DateClosed]]))-1)</f>
        <v>99</v>
      </c>
      <c r="R3011" s="115" t="s">
        <v>1013</v>
      </c>
      <c r="S3011" s="125"/>
    </row>
    <row r="3012" spans="1:19" hidden="1">
      <c r="A3012" s="124" t="s">
        <v>5258</v>
      </c>
      <c r="B3012" s="149" t="str">
        <f>IFERROR(VLOOKUP(Proc[[#This Row],[App]],Table2[],3,0),"open")</f>
        <v>ok</v>
      </c>
      <c r="C3012" s="124" t="s">
        <v>369</v>
      </c>
      <c r="D3012" t="s">
        <v>5031</v>
      </c>
      <c r="E3012" t="s">
        <v>4068</v>
      </c>
      <c r="F3012" s="125" t="s">
        <v>4068</v>
      </c>
      <c r="G3012" s="124" t="s">
        <v>400</v>
      </c>
      <c r="H3012" s="125" t="str">
        <f>IF(Proc[[#This Row],[type]]="LFF (MDG-F)",MID(Proc[[#This Row],[Obj]],13,10),"")</f>
        <v/>
      </c>
      <c r="J3012" s="125" t="b">
        <f>Proc[[#This Row],[Requested]]=Proc[[#This Row],[CurrentParent]]</f>
        <v>1</v>
      </c>
      <c r="K3012" s="144" t="str">
        <f>IF(Proc[[#This Row],[Author]]="Marcela Urrego",VLOOKUP(LEFT(Proc[[#This Row],[Requested]],1),Table3[#All],2,0),VLOOKUP(Proc[[#This Row],[Author]],Table4[],2,0))</f>
        <v>HC</v>
      </c>
      <c r="L3012" s="125" t="s">
        <v>4894</v>
      </c>
      <c r="M3012" s="113">
        <v>45873</v>
      </c>
      <c r="N3012" s="113"/>
      <c r="O3012" s="113"/>
      <c r="P3012" s="115" t="str">
        <f ca="1">IF(Proc[[#This Row],[DaysAgeing]]&gt;5,"yep","on track")</f>
        <v>yep</v>
      </c>
      <c r="Q3012" s="3">
        <f ca="1">IF(Proc[[#This Row],[DateClosed]]="",ABS(NETWORKDAYS(Proc[[#This Row],[DateOpened]],TODAY()))-1,ABS(NETWORKDAYS(Proc[[#This Row],[DateOpened]],Proc[[#This Row],[DateClosed]]))-1)</f>
        <v>99</v>
      </c>
      <c r="R3012" s="115" t="s">
        <v>1013</v>
      </c>
      <c r="S3012" s="125"/>
    </row>
    <row r="3013" spans="1:19" hidden="1">
      <c r="A3013" s="124" t="s">
        <v>5258</v>
      </c>
      <c r="B3013" s="149" t="str">
        <f>IFERROR(VLOOKUP(Proc[[#This Row],[App]],Table2[],3,0),"open")</f>
        <v>ok</v>
      </c>
      <c r="C3013" s="124" t="s">
        <v>369</v>
      </c>
      <c r="D3013" t="s">
        <v>5032</v>
      </c>
      <c r="E3013" t="s">
        <v>4068</v>
      </c>
      <c r="F3013" s="125" t="s">
        <v>4068</v>
      </c>
      <c r="G3013" s="124" t="s">
        <v>400</v>
      </c>
      <c r="H3013" s="125" t="str">
        <f>IF(Proc[[#This Row],[type]]="LFF (MDG-F)",MID(Proc[[#This Row],[Obj]],13,10),"")</f>
        <v/>
      </c>
      <c r="J3013" s="125" t="b">
        <f>Proc[[#This Row],[Requested]]=Proc[[#This Row],[CurrentParent]]</f>
        <v>1</v>
      </c>
      <c r="K3013" s="144" t="str">
        <f>IF(Proc[[#This Row],[Author]]="Marcela Urrego",VLOOKUP(LEFT(Proc[[#This Row],[Requested]],1),Table3[#All],2,0),VLOOKUP(Proc[[#This Row],[Author]],Table4[],2,0))</f>
        <v>HC</v>
      </c>
      <c r="L3013" s="125" t="s">
        <v>4894</v>
      </c>
      <c r="M3013" s="113">
        <v>45873</v>
      </c>
      <c r="N3013" s="113"/>
      <c r="O3013" s="113"/>
      <c r="P3013" s="115" t="str">
        <f ca="1">IF(Proc[[#This Row],[DaysAgeing]]&gt;5,"yep","on track")</f>
        <v>yep</v>
      </c>
      <c r="Q3013" s="3">
        <f ca="1">IF(Proc[[#This Row],[DateClosed]]="",ABS(NETWORKDAYS(Proc[[#This Row],[DateOpened]],TODAY()))-1,ABS(NETWORKDAYS(Proc[[#This Row],[DateOpened]],Proc[[#This Row],[DateClosed]]))-1)</f>
        <v>99</v>
      </c>
      <c r="R3013" s="115" t="s">
        <v>1013</v>
      </c>
      <c r="S3013" s="125"/>
    </row>
    <row r="3014" spans="1:19" hidden="1">
      <c r="A3014" s="124" t="s">
        <v>5258</v>
      </c>
      <c r="B3014" s="149" t="str">
        <f>IFERROR(VLOOKUP(Proc[[#This Row],[App]],Table2[],3,0),"open")</f>
        <v>ok</v>
      </c>
      <c r="C3014" s="124" t="s">
        <v>369</v>
      </c>
      <c r="D3014" t="s">
        <v>5033</v>
      </c>
      <c r="E3014" t="s">
        <v>4068</v>
      </c>
      <c r="F3014" s="125" t="s">
        <v>4068</v>
      </c>
      <c r="G3014" s="124" t="s">
        <v>400</v>
      </c>
      <c r="H3014" s="125" t="str">
        <f>IF(Proc[[#This Row],[type]]="LFF (MDG-F)",MID(Proc[[#This Row],[Obj]],13,10),"")</f>
        <v/>
      </c>
      <c r="J3014" s="125" t="b">
        <f>Proc[[#This Row],[Requested]]=Proc[[#This Row],[CurrentParent]]</f>
        <v>1</v>
      </c>
      <c r="K3014" s="144" t="str">
        <f>IF(Proc[[#This Row],[Author]]="Marcela Urrego",VLOOKUP(LEFT(Proc[[#This Row],[Requested]],1),Table3[#All],2,0),VLOOKUP(Proc[[#This Row],[Author]],Table4[],2,0))</f>
        <v>HC</v>
      </c>
      <c r="L3014" s="125" t="s">
        <v>4894</v>
      </c>
      <c r="M3014" s="113">
        <v>45873</v>
      </c>
      <c r="N3014" s="113"/>
      <c r="O3014" s="113"/>
      <c r="P3014" s="115" t="str">
        <f ca="1">IF(Proc[[#This Row],[DaysAgeing]]&gt;5,"yep","on track")</f>
        <v>yep</v>
      </c>
      <c r="Q3014" s="3">
        <f ca="1">IF(Proc[[#This Row],[DateClosed]]="",ABS(NETWORKDAYS(Proc[[#This Row],[DateOpened]],TODAY()))-1,ABS(NETWORKDAYS(Proc[[#This Row],[DateOpened]],Proc[[#This Row],[DateClosed]]))-1)</f>
        <v>99</v>
      </c>
      <c r="R3014" s="115" t="s">
        <v>1013</v>
      </c>
      <c r="S3014" s="125"/>
    </row>
    <row r="3015" spans="1:19" hidden="1">
      <c r="A3015" s="124" t="s">
        <v>5258</v>
      </c>
      <c r="B3015" s="149" t="str">
        <f>IFERROR(VLOOKUP(Proc[[#This Row],[App]],Table2[],3,0),"open")</f>
        <v>ok</v>
      </c>
      <c r="C3015" s="124" t="s">
        <v>369</v>
      </c>
      <c r="D3015" t="s">
        <v>5034</v>
      </c>
      <c r="E3015" t="s">
        <v>4068</v>
      </c>
      <c r="F3015" s="125" t="s">
        <v>4068</v>
      </c>
      <c r="G3015" s="124" t="s">
        <v>400</v>
      </c>
      <c r="H3015" s="125" t="str">
        <f>IF(Proc[[#This Row],[type]]="LFF (MDG-F)",MID(Proc[[#This Row],[Obj]],13,10),"")</f>
        <v/>
      </c>
      <c r="J3015" s="125" t="b">
        <f>Proc[[#This Row],[Requested]]=Proc[[#This Row],[CurrentParent]]</f>
        <v>1</v>
      </c>
      <c r="K3015" s="144" t="str">
        <f>IF(Proc[[#This Row],[Author]]="Marcela Urrego",VLOOKUP(LEFT(Proc[[#This Row],[Requested]],1),Table3[#All],2,0),VLOOKUP(Proc[[#This Row],[Author]],Table4[],2,0))</f>
        <v>HC</v>
      </c>
      <c r="L3015" s="125" t="s">
        <v>4894</v>
      </c>
      <c r="M3015" s="113">
        <v>45873</v>
      </c>
      <c r="N3015" s="113"/>
      <c r="O3015" s="113"/>
      <c r="P3015" s="115" t="str">
        <f ca="1">IF(Proc[[#This Row],[DaysAgeing]]&gt;5,"yep","on track")</f>
        <v>yep</v>
      </c>
      <c r="Q3015" s="3">
        <f ca="1">IF(Proc[[#This Row],[DateClosed]]="",ABS(NETWORKDAYS(Proc[[#This Row],[DateOpened]],TODAY()))-1,ABS(NETWORKDAYS(Proc[[#This Row],[DateOpened]],Proc[[#This Row],[DateClosed]]))-1)</f>
        <v>99</v>
      </c>
      <c r="R3015" s="115" t="s">
        <v>1013</v>
      </c>
      <c r="S3015" s="125"/>
    </row>
    <row r="3016" spans="1:19" hidden="1">
      <c r="A3016" s="124" t="s">
        <v>5258</v>
      </c>
      <c r="B3016" s="149" t="str">
        <f>IFERROR(VLOOKUP(Proc[[#This Row],[App]],Table2[],3,0),"open")</f>
        <v>ok</v>
      </c>
      <c r="C3016" s="124" t="s">
        <v>369</v>
      </c>
      <c r="D3016" t="s">
        <v>5035</v>
      </c>
      <c r="E3016" t="s">
        <v>4068</v>
      </c>
      <c r="F3016" s="125" t="s">
        <v>4068</v>
      </c>
      <c r="G3016" s="124" t="s">
        <v>400</v>
      </c>
      <c r="H3016" s="125" t="str">
        <f>IF(Proc[[#This Row],[type]]="LFF (MDG-F)",MID(Proc[[#This Row],[Obj]],13,10),"")</f>
        <v/>
      </c>
      <c r="J3016" s="125" t="b">
        <f>Proc[[#This Row],[Requested]]=Proc[[#This Row],[CurrentParent]]</f>
        <v>1</v>
      </c>
      <c r="K3016" s="144" t="str">
        <f>IF(Proc[[#This Row],[Author]]="Marcela Urrego",VLOOKUP(LEFT(Proc[[#This Row],[Requested]],1),Table3[#All],2,0),VLOOKUP(Proc[[#This Row],[Author]],Table4[],2,0))</f>
        <v>HC</v>
      </c>
      <c r="L3016" s="125" t="s">
        <v>4894</v>
      </c>
      <c r="M3016" s="113">
        <v>45873</v>
      </c>
      <c r="N3016" s="113"/>
      <c r="O3016" s="113"/>
      <c r="P3016" s="115" t="str">
        <f ca="1">IF(Proc[[#This Row],[DaysAgeing]]&gt;5,"yep","on track")</f>
        <v>yep</v>
      </c>
      <c r="Q3016" s="3">
        <f ca="1">IF(Proc[[#This Row],[DateClosed]]="",ABS(NETWORKDAYS(Proc[[#This Row],[DateOpened]],TODAY()))-1,ABS(NETWORKDAYS(Proc[[#This Row],[DateOpened]],Proc[[#This Row],[DateClosed]]))-1)</f>
        <v>99</v>
      </c>
      <c r="R3016" s="115" t="s">
        <v>1013</v>
      </c>
      <c r="S3016" s="125"/>
    </row>
    <row r="3017" spans="1:19" hidden="1">
      <c r="A3017" s="124" t="s">
        <v>5258</v>
      </c>
      <c r="B3017" s="149" t="str">
        <f>IFERROR(VLOOKUP(Proc[[#This Row],[App]],Table2[],3,0),"open")</f>
        <v>ok</v>
      </c>
      <c r="C3017" s="124" t="s">
        <v>369</v>
      </c>
      <c r="D3017" t="s">
        <v>5036</v>
      </c>
      <c r="E3017" t="s">
        <v>4068</v>
      </c>
      <c r="F3017" s="125" t="s">
        <v>4068</v>
      </c>
      <c r="G3017" s="124" t="s">
        <v>400</v>
      </c>
      <c r="H3017" s="125" t="str">
        <f>IF(Proc[[#This Row],[type]]="LFF (MDG-F)",MID(Proc[[#This Row],[Obj]],13,10),"")</f>
        <v/>
      </c>
      <c r="J3017" s="125" t="b">
        <f>Proc[[#This Row],[Requested]]=Proc[[#This Row],[CurrentParent]]</f>
        <v>1</v>
      </c>
      <c r="K3017" s="144" t="str">
        <f>IF(Proc[[#This Row],[Author]]="Marcela Urrego",VLOOKUP(LEFT(Proc[[#This Row],[Requested]],1),Table3[#All],2,0),VLOOKUP(Proc[[#This Row],[Author]],Table4[],2,0))</f>
        <v>HC</v>
      </c>
      <c r="L3017" s="125" t="s">
        <v>4894</v>
      </c>
      <c r="M3017" s="113">
        <v>45873</v>
      </c>
      <c r="N3017" s="113"/>
      <c r="O3017" s="113"/>
      <c r="P3017" s="115" t="str">
        <f ca="1">IF(Proc[[#This Row],[DaysAgeing]]&gt;5,"yep","on track")</f>
        <v>yep</v>
      </c>
      <c r="Q3017" s="3">
        <f ca="1">IF(Proc[[#This Row],[DateClosed]]="",ABS(NETWORKDAYS(Proc[[#This Row],[DateOpened]],TODAY()))-1,ABS(NETWORKDAYS(Proc[[#This Row],[DateOpened]],Proc[[#This Row],[DateClosed]]))-1)</f>
        <v>99</v>
      </c>
      <c r="R3017" s="115" t="s">
        <v>1013</v>
      </c>
      <c r="S3017" s="125"/>
    </row>
    <row r="3018" spans="1:19" hidden="1">
      <c r="A3018" s="124" t="s">
        <v>5258</v>
      </c>
      <c r="B3018" s="149" t="str">
        <f>IFERROR(VLOOKUP(Proc[[#This Row],[App]],Table2[],3,0),"open")</f>
        <v>ok</v>
      </c>
      <c r="C3018" s="124" t="s">
        <v>369</v>
      </c>
      <c r="D3018" t="s">
        <v>5037</v>
      </c>
      <c r="E3018" t="s">
        <v>4068</v>
      </c>
      <c r="F3018" s="125" t="s">
        <v>4068</v>
      </c>
      <c r="G3018" s="124" t="s">
        <v>400</v>
      </c>
      <c r="H3018" s="125" t="str">
        <f>IF(Proc[[#This Row],[type]]="LFF (MDG-F)",MID(Proc[[#This Row],[Obj]],13,10),"")</f>
        <v/>
      </c>
      <c r="J3018" s="125" t="b">
        <f>Proc[[#This Row],[Requested]]=Proc[[#This Row],[CurrentParent]]</f>
        <v>1</v>
      </c>
      <c r="K3018" s="144" t="str">
        <f>IF(Proc[[#This Row],[Author]]="Marcela Urrego",VLOOKUP(LEFT(Proc[[#This Row],[Requested]],1),Table3[#All],2,0),VLOOKUP(Proc[[#This Row],[Author]],Table4[],2,0))</f>
        <v>HC</v>
      </c>
      <c r="L3018" s="125" t="s">
        <v>4894</v>
      </c>
      <c r="M3018" s="113">
        <v>45873</v>
      </c>
      <c r="N3018" s="113"/>
      <c r="O3018" s="113"/>
      <c r="P3018" s="115" t="str">
        <f ca="1">IF(Proc[[#This Row],[DaysAgeing]]&gt;5,"yep","on track")</f>
        <v>yep</v>
      </c>
      <c r="Q3018" s="3">
        <f ca="1">IF(Proc[[#This Row],[DateClosed]]="",ABS(NETWORKDAYS(Proc[[#This Row],[DateOpened]],TODAY()))-1,ABS(NETWORKDAYS(Proc[[#This Row],[DateOpened]],Proc[[#This Row],[DateClosed]]))-1)</f>
        <v>99</v>
      </c>
      <c r="R3018" s="115" t="s">
        <v>1013</v>
      </c>
      <c r="S3018" s="125"/>
    </row>
    <row r="3019" spans="1:19" hidden="1">
      <c r="A3019" s="124" t="s">
        <v>5258</v>
      </c>
      <c r="B3019" s="149" t="str">
        <f>IFERROR(VLOOKUP(Proc[[#This Row],[App]],Table2[],3,0),"open")</f>
        <v>ok</v>
      </c>
      <c r="C3019" s="124" t="s">
        <v>369</v>
      </c>
      <c r="D3019" t="s">
        <v>5038</v>
      </c>
      <c r="E3019" t="s">
        <v>4068</v>
      </c>
      <c r="F3019" s="125" t="s">
        <v>4068</v>
      </c>
      <c r="G3019" s="124" t="s">
        <v>400</v>
      </c>
      <c r="H3019" s="125" t="str">
        <f>IF(Proc[[#This Row],[type]]="LFF (MDG-F)",MID(Proc[[#This Row],[Obj]],13,10),"")</f>
        <v/>
      </c>
      <c r="J3019" s="125" t="b">
        <f>Proc[[#This Row],[Requested]]=Proc[[#This Row],[CurrentParent]]</f>
        <v>1</v>
      </c>
      <c r="K3019" s="144" t="str">
        <f>IF(Proc[[#This Row],[Author]]="Marcela Urrego",VLOOKUP(LEFT(Proc[[#This Row],[Requested]],1),Table3[#All],2,0),VLOOKUP(Proc[[#This Row],[Author]],Table4[],2,0))</f>
        <v>HC</v>
      </c>
      <c r="L3019" s="125" t="s">
        <v>4894</v>
      </c>
      <c r="M3019" s="113">
        <v>45873</v>
      </c>
      <c r="N3019" s="113"/>
      <c r="O3019" s="113"/>
      <c r="P3019" s="115" t="str">
        <f ca="1">IF(Proc[[#This Row],[DaysAgeing]]&gt;5,"yep","on track")</f>
        <v>yep</v>
      </c>
      <c r="Q3019" s="3">
        <f ca="1">IF(Proc[[#This Row],[DateClosed]]="",ABS(NETWORKDAYS(Proc[[#This Row],[DateOpened]],TODAY()))-1,ABS(NETWORKDAYS(Proc[[#This Row],[DateOpened]],Proc[[#This Row],[DateClosed]]))-1)</f>
        <v>99</v>
      </c>
      <c r="R3019" s="115" t="s">
        <v>1013</v>
      </c>
      <c r="S3019" s="125"/>
    </row>
    <row r="3020" spans="1:19" hidden="1">
      <c r="A3020" s="124" t="s">
        <v>5258</v>
      </c>
      <c r="B3020" s="149" t="str">
        <f>IFERROR(VLOOKUP(Proc[[#This Row],[App]],Table2[],3,0),"open")</f>
        <v>ok</v>
      </c>
      <c r="C3020" s="124" t="s">
        <v>369</v>
      </c>
      <c r="D3020" t="s">
        <v>5039</v>
      </c>
      <c r="E3020" t="s">
        <v>4068</v>
      </c>
      <c r="F3020" s="125" t="s">
        <v>4068</v>
      </c>
      <c r="G3020" s="124" t="s">
        <v>400</v>
      </c>
      <c r="H3020" s="125" t="str">
        <f>IF(Proc[[#This Row],[type]]="LFF (MDG-F)",MID(Proc[[#This Row],[Obj]],13,10),"")</f>
        <v/>
      </c>
      <c r="J3020" s="125" t="b">
        <f>Proc[[#This Row],[Requested]]=Proc[[#This Row],[CurrentParent]]</f>
        <v>1</v>
      </c>
      <c r="K3020" s="144" t="str">
        <f>IF(Proc[[#This Row],[Author]]="Marcela Urrego",VLOOKUP(LEFT(Proc[[#This Row],[Requested]],1),Table3[#All],2,0),VLOOKUP(Proc[[#This Row],[Author]],Table4[],2,0))</f>
        <v>HC</v>
      </c>
      <c r="L3020" s="125" t="s">
        <v>4894</v>
      </c>
      <c r="M3020" s="113">
        <v>45873</v>
      </c>
      <c r="N3020" s="113"/>
      <c r="O3020" s="113"/>
      <c r="P3020" s="115" t="str">
        <f ca="1">IF(Proc[[#This Row],[DaysAgeing]]&gt;5,"yep","on track")</f>
        <v>yep</v>
      </c>
      <c r="Q3020" s="3">
        <f ca="1">IF(Proc[[#This Row],[DateClosed]]="",ABS(NETWORKDAYS(Proc[[#This Row],[DateOpened]],TODAY()))-1,ABS(NETWORKDAYS(Proc[[#This Row],[DateOpened]],Proc[[#This Row],[DateClosed]]))-1)</f>
        <v>99</v>
      </c>
      <c r="R3020" s="115" t="s">
        <v>1013</v>
      </c>
      <c r="S3020" s="125"/>
    </row>
    <row r="3021" spans="1:19" hidden="1">
      <c r="A3021" s="124" t="s">
        <v>5258</v>
      </c>
      <c r="B3021" s="149" t="str">
        <f>IFERROR(VLOOKUP(Proc[[#This Row],[App]],Table2[],3,0),"open")</f>
        <v>ok</v>
      </c>
      <c r="C3021" s="124" t="s">
        <v>369</v>
      </c>
      <c r="D3021" t="s">
        <v>5040</v>
      </c>
      <c r="E3021" t="s">
        <v>4068</v>
      </c>
      <c r="F3021" s="125" t="s">
        <v>4068</v>
      </c>
      <c r="G3021" s="124" t="s">
        <v>400</v>
      </c>
      <c r="H3021" s="125" t="str">
        <f>IF(Proc[[#This Row],[type]]="LFF (MDG-F)",MID(Proc[[#This Row],[Obj]],13,10),"")</f>
        <v/>
      </c>
      <c r="J3021" s="125" t="b">
        <f>Proc[[#This Row],[Requested]]=Proc[[#This Row],[CurrentParent]]</f>
        <v>1</v>
      </c>
      <c r="K3021" s="144" t="str">
        <f>IF(Proc[[#This Row],[Author]]="Marcela Urrego",VLOOKUP(LEFT(Proc[[#This Row],[Requested]],1),Table3[#All],2,0),VLOOKUP(Proc[[#This Row],[Author]],Table4[],2,0))</f>
        <v>HC</v>
      </c>
      <c r="L3021" s="125" t="s">
        <v>4894</v>
      </c>
      <c r="M3021" s="113">
        <v>45873</v>
      </c>
      <c r="N3021" s="113"/>
      <c r="O3021" s="113"/>
      <c r="P3021" s="115" t="str">
        <f ca="1">IF(Proc[[#This Row],[DaysAgeing]]&gt;5,"yep","on track")</f>
        <v>yep</v>
      </c>
      <c r="Q3021" s="3">
        <f ca="1">IF(Proc[[#This Row],[DateClosed]]="",ABS(NETWORKDAYS(Proc[[#This Row],[DateOpened]],TODAY()))-1,ABS(NETWORKDAYS(Proc[[#This Row],[DateOpened]],Proc[[#This Row],[DateClosed]]))-1)</f>
        <v>99</v>
      </c>
      <c r="R3021" s="115" t="s">
        <v>1013</v>
      </c>
      <c r="S3021" s="125"/>
    </row>
    <row r="3022" spans="1:19" hidden="1">
      <c r="A3022" s="124" t="s">
        <v>5258</v>
      </c>
      <c r="B3022" s="149" t="str">
        <f>IFERROR(VLOOKUP(Proc[[#This Row],[App]],Table2[],3,0),"open")</f>
        <v>ok</v>
      </c>
      <c r="C3022" s="124" t="s">
        <v>369</v>
      </c>
      <c r="D3022" t="s">
        <v>5041</v>
      </c>
      <c r="E3022" t="s">
        <v>4068</v>
      </c>
      <c r="F3022" s="125" t="s">
        <v>4068</v>
      </c>
      <c r="G3022" s="124" t="s">
        <v>400</v>
      </c>
      <c r="H3022" s="125" t="str">
        <f>IF(Proc[[#This Row],[type]]="LFF (MDG-F)",MID(Proc[[#This Row],[Obj]],13,10),"")</f>
        <v/>
      </c>
      <c r="J3022" s="125" t="b">
        <f>Proc[[#This Row],[Requested]]=Proc[[#This Row],[CurrentParent]]</f>
        <v>1</v>
      </c>
      <c r="K3022" s="144" t="str">
        <f>IF(Proc[[#This Row],[Author]]="Marcela Urrego",VLOOKUP(LEFT(Proc[[#This Row],[Requested]],1),Table3[#All],2,0),VLOOKUP(Proc[[#This Row],[Author]],Table4[],2,0))</f>
        <v>HC</v>
      </c>
      <c r="L3022" s="125" t="s">
        <v>4894</v>
      </c>
      <c r="M3022" s="113">
        <v>45873</v>
      </c>
      <c r="N3022" s="113"/>
      <c r="O3022" s="113"/>
      <c r="P3022" s="115" t="str">
        <f ca="1">IF(Proc[[#This Row],[DaysAgeing]]&gt;5,"yep","on track")</f>
        <v>yep</v>
      </c>
      <c r="Q3022" s="3">
        <f ca="1">IF(Proc[[#This Row],[DateClosed]]="",ABS(NETWORKDAYS(Proc[[#This Row],[DateOpened]],TODAY()))-1,ABS(NETWORKDAYS(Proc[[#This Row],[DateOpened]],Proc[[#This Row],[DateClosed]]))-1)</f>
        <v>99</v>
      </c>
      <c r="R3022" s="115" t="s">
        <v>1013</v>
      </c>
      <c r="S3022" s="125"/>
    </row>
    <row r="3023" spans="1:19" hidden="1">
      <c r="A3023" s="124" t="s">
        <v>5258</v>
      </c>
      <c r="B3023" s="149" t="str">
        <f>IFERROR(VLOOKUP(Proc[[#This Row],[App]],Table2[],3,0),"open")</f>
        <v>ok</v>
      </c>
      <c r="C3023" s="124" t="s">
        <v>369</v>
      </c>
      <c r="D3023" t="s">
        <v>5042</v>
      </c>
      <c r="E3023" t="s">
        <v>4068</v>
      </c>
      <c r="F3023" s="125" t="s">
        <v>4068</v>
      </c>
      <c r="G3023" s="124" t="s">
        <v>400</v>
      </c>
      <c r="H3023" s="125" t="str">
        <f>IF(Proc[[#This Row],[type]]="LFF (MDG-F)",MID(Proc[[#This Row],[Obj]],13,10),"")</f>
        <v/>
      </c>
      <c r="J3023" s="125" t="b">
        <f>Proc[[#This Row],[Requested]]=Proc[[#This Row],[CurrentParent]]</f>
        <v>1</v>
      </c>
      <c r="K3023" s="144" t="str">
        <f>IF(Proc[[#This Row],[Author]]="Marcela Urrego",VLOOKUP(LEFT(Proc[[#This Row],[Requested]],1),Table3[#All],2,0),VLOOKUP(Proc[[#This Row],[Author]],Table4[],2,0))</f>
        <v>HC</v>
      </c>
      <c r="L3023" s="125" t="s">
        <v>4894</v>
      </c>
      <c r="M3023" s="113">
        <v>45873</v>
      </c>
      <c r="N3023" s="113"/>
      <c r="O3023" s="113"/>
      <c r="P3023" s="115" t="str">
        <f ca="1">IF(Proc[[#This Row],[DaysAgeing]]&gt;5,"yep","on track")</f>
        <v>yep</v>
      </c>
      <c r="Q3023" s="3">
        <f ca="1">IF(Proc[[#This Row],[DateClosed]]="",ABS(NETWORKDAYS(Proc[[#This Row],[DateOpened]],TODAY()))-1,ABS(NETWORKDAYS(Proc[[#This Row],[DateOpened]],Proc[[#This Row],[DateClosed]]))-1)</f>
        <v>99</v>
      </c>
      <c r="R3023" s="115" t="s">
        <v>1013</v>
      </c>
      <c r="S3023" s="125"/>
    </row>
    <row r="3024" spans="1:19" hidden="1">
      <c r="A3024" s="124" t="s">
        <v>5258</v>
      </c>
      <c r="B3024" s="149" t="str">
        <f>IFERROR(VLOOKUP(Proc[[#This Row],[App]],Table2[],3,0),"open")</f>
        <v>ok</v>
      </c>
      <c r="C3024" s="124" t="s">
        <v>369</v>
      </c>
      <c r="D3024" t="s">
        <v>5043</v>
      </c>
      <c r="E3024" t="s">
        <v>4068</v>
      </c>
      <c r="F3024" s="125" t="s">
        <v>4068</v>
      </c>
      <c r="G3024" s="124" t="s">
        <v>400</v>
      </c>
      <c r="H3024" s="125" t="str">
        <f>IF(Proc[[#This Row],[type]]="LFF (MDG-F)",MID(Proc[[#This Row],[Obj]],13,10),"")</f>
        <v/>
      </c>
      <c r="J3024" s="125" t="b">
        <f>Proc[[#This Row],[Requested]]=Proc[[#This Row],[CurrentParent]]</f>
        <v>1</v>
      </c>
      <c r="K3024" s="144" t="str">
        <f>IF(Proc[[#This Row],[Author]]="Marcela Urrego",VLOOKUP(LEFT(Proc[[#This Row],[Requested]],1),Table3[#All],2,0),VLOOKUP(Proc[[#This Row],[Author]],Table4[],2,0))</f>
        <v>HC</v>
      </c>
      <c r="L3024" s="125" t="s">
        <v>4894</v>
      </c>
      <c r="M3024" s="113">
        <v>45873</v>
      </c>
      <c r="N3024" s="113"/>
      <c r="O3024" s="113"/>
      <c r="P3024" s="115" t="str">
        <f ca="1">IF(Proc[[#This Row],[DaysAgeing]]&gt;5,"yep","on track")</f>
        <v>yep</v>
      </c>
      <c r="Q3024" s="3">
        <f ca="1">IF(Proc[[#This Row],[DateClosed]]="",ABS(NETWORKDAYS(Proc[[#This Row],[DateOpened]],TODAY()))-1,ABS(NETWORKDAYS(Proc[[#This Row],[DateOpened]],Proc[[#This Row],[DateClosed]]))-1)</f>
        <v>99</v>
      </c>
      <c r="R3024" s="115" t="s">
        <v>1013</v>
      </c>
      <c r="S3024" s="125"/>
    </row>
    <row r="3025" spans="1:19" hidden="1">
      <c r="A3025" s="124" t="s">
        <v>5258</v>
      </c>
      <c r="B3025" s="149" t="str">
        <f>IFERROR(VLOOKUP(Proc[[#This Row],[App]],Table2[],3,0),"open")</f>
        <v>ok</v>
      </c>
      <c r="C3025" s="124" t="s">
        <v>369</v>
      </c>
      <c r="D3025" t="s">
        <v>5044</v>
      </c>
      <c r="E3025" t="s">
        <v>4068</v>
      </c>
      <c r="F3025" s="125" t="s">
        <v>4068</v>
      </c>
      <c r="G3025" s="124" t="s">
        <v>400</v>
      </c>
      <c r="H3025" s="125" t="str">
        <f>IF(Proc[[#This Row],[type]]="LFF (MDG-F)",MID(Proc[[#This Row],[Obj]],13,10),"")</f>
        <v/>
      </c>
      <c r="J3025" s="125" t="b">
        <f>Proc[[#This Row],[Requested]]=Proc[[#This Row],[CurrentParent]]</f>
        <v>1</v>
      </c>
      <c r="K3025" s="144" t="str">
        <f>IF(Proc[[#This Row],[Author]]="Marcela Urrego",VLOOKUP(LEFT(Proc[[#This Row],[Requested]],1),Table3[#All],2,0),VLOOKUP(Proc[[#This Row],[Author]],Table4[],2,0))</f>
        <v>HC</v>
      </c>
      <c r="L3025" s="125" t="s">
        <v>4894</v>
      </c>
      <c r="M3025" s="113">
        <v>45873</v>
      </c>
      <c r="N3025" s="113"/>
      <c r="O3025" s="113"/>
      <c r="P3025" s="115" t="str">
        <f ca="1">IF(Proc[[#This Row],[DaysAgeing]]&gt;5,"yep","on track")</f>
        <v>yep</v>
      </c>
      <c r="Q3025" s="3">
        <f ca="1">IF(Proc[[#This Row],[DateClosed]]="",ABS(NETWORKDAYS(Proc[[#This Row],[DateOpened]],TODAY()))-1,ABS(NETWORKDAYS(Proc[[#This Row],[DateOpened]],Proc[[#This Row],[DateClosed]]))-1)</f>
        <v>99</v>
      </c>
      <c r="R3025" s="115" t="s">
        <v>1013</v>
      </c>
      <c r="S3025" s="125"/>
    </row>
    <row r="3026" spans="1:19" hidden="1">
      <c r="A3026" s="124" t="s">
        <v>5258</v>
      </c>
      <c r="B3026" s="149" t="str">
        <f>IFERROR(VLOOKUP(Proc[[#This Row],[App]],Table2[],3,0),"open")</f>
        <v>ok</v>
      </c>
      <c r="C3026" s="124" t="s">
        <v>369</v>
      </c>
      <c r="D3026" t="s">
        <v>5045</v>
      </c>
      <c r="E3026" t="s">
        <v>4068</v>
      </c>
      <c r="F3026" s="125" t="s">
        <v>4068</v>
      </c>
      <c r="G3026" s="124" t="s">
        <v>400</v>
      </c>
      <c r="H3026" s="125" t="str">
        <f>IF(Proc[[#This Row],[type]]="LFF (MDG-F)",MID(Proc[[#This Row],[Obj]],13,10),"")</f>
        <v/>
      </c>
      <c r="J3026" s="125" t="b">
        <f>Proc[[#This Row],[Requested]]=Proc[[#This Row],[CurrentParent]]</f>
        <v>1</v>
      </c>
      <c r="K3026" s="144" t="str">
        <f>IF(Proc[[#This Row],[Author]]="Marcela Urrego",VLOOKUP(LEFT(Proc[[#This Row],[Requested]],1),Table3[#All],2,0),VLOOKUP(Proc[[#This Row],[Author]],Table4[],2,0))</f>
        <v>HC</v>
      </c>
      <c r="L3026" s="125" t="s">
        <v>4894</v>
      </c>
      <c r="M3026" s="113">
        <v>45873</v>
      </c>
      <c r="N3026" s="113"/>
      <c r="O3026" s="113"/>
      <c r="P3026" s="115" t="str">
        <f ca="1">IF(Proc[[#This Row],[DaysAgeing]]&gt;5,"yep","on track")</f>
        <v>yep</v>
      </c>
      <c r="Q3026" s="3">
        <f ca="1">IF(Proc[[#This Row],[DateClosed]]="",ABS(NETWORKDAYS(Proc[[#This Row],[DateOpened]],TODAY()))-1,ABS(NETWORKDAYS(Proc[[#This Row],[DateOpened]],Proc[[#This Row],[DateClosed]]))-1)</f>
        <v>99</v>
      </c>
      <c r="R3026" s="115" t="s">
        <v>1013</v>
      </c>
      <c r="S3026" s="125"/>
    </row>
    <row r="3027" spans="1:19" hidden="1">
      <c r="A3027" s="124" t="s">
        <v>5258</v>
      </c>
      <c r="B3027" s="149" t="str">
        <f>IFERROR(VLOOKUP(Proc[[#This Row],[App]],Table2[],3,0),"open")</f>
        <v>ok</v>
      </c>
      <c r="C3027" s="124" t="s">
        <v>369</v>
      </c>
      <c r="D3027" t="s">
        <v>5046</v>
      </c>
      <c r="E3027" t="s">
        <v>4068</v>
      </c>
      <c r="F3027" s="125" t="s">
        <v>4068</v>
      </c>
      <c r="G3027" s="124" t="s">
        <v>400</v>
      </c>
      <c r="H3027" s="125" t="str">
        <f>IF(Proc[[#This Row],[type]]="LFF (MDG-F)",MID(Proc[[#This Row],[Obj]],13,10),"")</f>
        <v/>
      </c>
      <c r="J3027" s="125" t="b">
        <f>Proc[[#This Row],[Requested]]=Proc[[#This Row],[CurrentParent]]</f>
        <v>1</v>
      </c>
      <c r="K3027" s="144" t="str">
        <f>IF(Proc[[#This Row],[Author]]="Marcela Urrego",VLOOKUP(LEFT(Proc[[#This Row],[Requested]],1),Table3[#All],2,0),VLOOKUP(Proc[[#This Row],[Author]],Table4[],2,0))</f>
        <v>HC</v>
      </c>
      <c r="L3027" s="125" t="s">
        <v>4894</v>
      </c>
      <c r="M3027" s="113">
        <v>45873</v>
      </c>
      <c r="N3027" s="113"/>
      <c r="O3027" s="113"/>
      <c r="P3027" s="115" t="str">
        <f ca="1">IF(Proc[[#This Row],[DaysAgeing]]&gt;5,"yep","on track")</f>
        <v>yep</v>
      </c>
      <c r="Q3027" s="3">
        <f ca="1">IF(Proc[[#This Row],[DateClosed]]="",ABS(NETWORKDAYS(Proc[[#This Row],[DateOpened]],TODAY()))-1,ABS(NETWORKDAYS(Proc[[#This Row],[DateOpened]],Proc[[#This Row],[DateClosed]]))-1)</f>
        <v>99</v>
      </c>
      <c r="R3027" s="115" t="s">
        <v>1013</v>
      </c>
      <c r="S3027" s="125"/>
    </row>
    <row r="3028" spans="1:19" hidden="1">
      <c r="A3028" s="124" t="s">
        <v>5258</v>
      </c>
      <c r="B3028" s="149" t="str">
        <f>IFERROR(VLOOKUP(Proc[[#This Row],[App]],Table2[],3,0),"open")</f>
        <v>ok</v>
      </c>
      <c r="C3028" s="124" t="s">
        <v>369</v>
      </c>
      <c r="D3028" t="s">
        <v>5047</v>
      </c>
      <c r="E3028" t="s">
        <v>4068</v>
      </c>
      <c r="F3028" s="125" t="s">
        <v>4068</v>
      </c>
      <c r="G3028" s="124" t="s">
        <v>400</v>
      </c>
      <c r="H3028" s="125" t="str">
        <f>IF(Proc[[#This Row],[type]]="LFF (MDG-F)",MID(Proc[[#This Row],[Obj]],13,10),"")</f>
        <v/>
      </c>
      <c r="J3028" s="125" t="b">
        <f>Proc[[#This Row],[Requested]]=Proc[[#This Row],[CurrentParent]]</f>
        <v>1</v>
      </c>
      <c r="K3028" s="144" t="str">
        <f>IF(Proc[[#This Row],[Author]]="Marcela Urrego",VLOOKUP(LEFT(Proc[[#This Row],[Requested]],1),Table3[#All],2,0),VLOOKUP(Proc[[#This Row],[Author]],Table4[],2,0))</f>
        <v>HC</v>
      </c>
      <c r="L3028" s="125" t="s">
        <v>4894</v>
      </c>
      <c r="M3028" s="113">
        <v>45873</v>
      </c>
      <c r="N3028" s="113"/>
      <c r="O3028" s="113"/>
      <c r="P3028" s="115" t="str">
        <f ca="1">IF(Proc[[#This Row],[DaysAgeing]]&gt;5,"yep","on track")</f>
        <v>yep</v>
      </c>
      <c r="Q3028" s="3">
        <f ca="1">IF(Proc[[#This Row],[DateClosed]]="",ABS(NETWORKDAYS(Proc[[#This Row],[DateOpened]],TODAY()))-1,ABS(NETWORKDAYS(Proc[[#This Row],[DateOpened]],Proc[[#This Row],[DateClosed]]))-1)</f>
        <v>99</v>
      </c>
      <c r="R3028" s="115" t="s">
        <v>1013</v>
      </c>
      <c r="S3028" s="125"/>
    </row>
    <row r="3029" spans="1:19" hidden="1">
      <c r="A3029" s="124" t="s">
        <v>5258</v>
      </c>
      <c r="B3029" s="149" t="str">
        <f>IFERROR(VLOOKUP(Proc[[#This Row],[App]],Table2[],3,0),"open")</f>
        <v>ok</v>
      </c>
      <c r="C3029" s="124" t="s">
        <v>369</v>
      </c>
      <c r="D3029" t="s">
        <v>5048</v>
      </c>
      <c r="E3029" t="s">
        <v>4068</v>
      </c>
      <c r="F3029" s="125" t="s">
        <v>4068</v>
      </c>
      <c r="G3029" s="124" t="s">
        <v>400</v>
      </c>
      <c r="H3029" s="125" t="str">
        <f>IF(Proc[[#This Row],[type]]="LFF (MDG-F)",MID(Proc[[#This Row],[Obj]],13,10),"")</f>
        <v/>
      </c>
      <c r="J3029" s="125" t="b">
        <f>Proc[[#This Row],[Requested]]=Proc[[#This Row],[CurrentParent]]</f>
        <v>1</v>
      </c>
      <c r="K3029" s="144" t="str">
        <f>IF(Proc[[#This Row],[Author]]="Marcela Urrego",VLOOKUP(LEFT(Proc[[#This Row],[Requested]],1),Table3[#All],2,0),VLOOKUP(Proc[[#This Row],[Author]],Table4[],2,0))</f>
        <v>HC</v>
      </c>
      <c r="L3029" s="125" t="s">
        <v>4894</v>
      </c>
      <c r="M3029" s="113">
        <v>45873</v>
      </c>
      <c r="N3029" s="113"/>
      <c r="O3029" s="113"/>
      <c r="P3029" s="115" t="str">
        <f ca="1">IF(Proc[[#This Row],[DaysAgeing]]&gt;5,"yep","on track")</f>
        <v>yep</v>
      </c>
      <c r="Q3029" s="3">
        <f ca="1">IF(Proc[[#This Row],[DateClosed]]="",ABS(NETWORKDAYS(Proc[[#This Row],[DateOpened]],TODAY()))-1,ABS(NETWORKDAYS(Proc[[#This Row],[DateOpened]],Proc[[#This Row],[DateClosed]]))-1)</f>
        <v>99</v>
      </c>
      <c r="R3029" s="115" t="s">
        <v>1013</v>
      </c>
      <c r="S3029" s="125"/>
    </row>
    <row r="3030" spans="1:19" hidden="1">
      <c r="A3030" s="124" t="s">
        <v>5258</v>
      </c>
      <c r="B3030" s="149" t="str">
        <f>IFERROR(VLOOKUP(Proc[[#This Row],[App]],Table2[],3,0),"open")</f>
        <v>ok</v>
      </c>
      <c r="C3030" s="124" t="s">
        <v>369</v>
      </c>
      <c r="D3030" t="s">
        <v>5049</v>
      </c>
      <c r="E3030" t="s">
        <v>4068</v>
      </c>
      <c r="F3030" s="125" t="s">
        <v>4068</v>
      </c>
      <c r="G3030" s="124" t="s">
        <v>400</v>
      </c>
      <c r="H3030" s="125" t="str">
        <f>IF(Proc[[#This Row],[type]]="LFF (MDG-F)",MID(Proc[[#This Row],[Obj]],13,10),"")</f>
        <v/>
      </c>
      <c r="J3030" s="125" t="b">
        <f>Proc[[#This Row],[Requested]]=Proc[[#This Row],[CurrentParent]]</f>
        <v>1</v>
      </c>
      <c r="K3030" s="144" t="str">
        <f>IF(Proc[[#This Row],[Author]]="Marcela Urrego",VLOOKUP(LEFT(Proc[[#This Row],[Requested]],1),Table3[#All],2,0),VLOOKUP(Proc[[#This Row],[Author]],Table4[],2,0))</f>
        <v>HC</v>
      </c>
      <c r="L3030" s="125" t="s">
        <v>4894</v>
      </c>
      <c r="M3030" s="113">
        <v>45873</v>
      </c>
      <c r="N3030" s="113"/>
      <c r="O3030" s="113"/>
      <c r="P3030" s="115" t="str">
        <f ca="1">IF(Proc[[#This Row],[DaysAgeing]]&gt;5,"yep","on track")</f>
        <v>yep</v>
      </c>
      <c r="Q3030" s="3">
        <f ca="1">IF(Proc[[#This Row],[DateClosed]]="",ABS(NETWORKDAYS(Proc[[#This Row],[DateOpened]],TODAY()))-1,ABS(NETWORKDAYS(Proc[[#This Row],[DateOpened]],Proc[[#This Row],[DateClosed]]))-1)</f>
        <v>99</v>
      </c>
      <c r="R3030" s="115" t="s">
        <v>1013</v>
      </c>
      <c r="S3030" s="125"/>
    </row>
    <row r="3031" spans="1:19" hidden="1">
      <c r="A3031" s="124" t="s">
        <v>5258</v>
      </c>
      <c r="B3031" s="149" t="str">
        <f>IFERROR(VLOOKUP(Proc[[#This Row],[App]],Table2[],3,0),"open")</f>
        <v>ok</v>
      </c>
      <c r="C3031" s="124" t="s">
        <v>369</v>
      </c>
      <c r="D3031" t="s">
        <v>5050</v>
      </c>
      <c r="E3031" t="s">
        <v>4068</v>
      </c>
      <c r="F3031" s="125" t="s">
        <v>4068</v>
      </c>
      <c r="G3031" s="124" t="s">
        <v>400</v>
      </c>
      <c r="H3031" s="125" t="str">
        <f>IF(Proc[[#This Row],[type]]="LFF (MDG-F)",MID(Proc[[#This Row],[Obj]],13,10),"")</f>
        <v/>
      </c>
      <c r="J3031" s="125" t="b">
        <f>Proc[[#This Row],[Requested]]=Proc[[#This Row],[CurrentParent]]</f>
        <v>1</v>
      </c>
      <c r="K3031" s="144" t="str">
        <f>IF(Proc[[#This Row],[Author]]="Marcela Urrego",VLOOKUP(LEFT(Proc[[#This Row],[Requested]],1),Table3[#All],2,0),VLOOKUP(Proc[[#This Row],[Author]],Table4[],2,0))</f>
        <v>HC</v>
      </c>
      <c r="L3031" s="125" t="s">
        <v>4894</v>
      </c>
      <c r="M3031" s="113">
        <v>45873</v>
      </c>
      <c r="N3031" s="113"/>
      <c r="O3031" s="113"/>
      <c r="P3031" s="115" t="str">
        <f ca="1">IF(Proc[[#This Row],[DaysAgeing]]&gt;5,"yep","on track")</f>
        <v>yep</v>
      </c>
      <c r="Q3031" s="3">
        <f ca="1">IF(Proc[[#This Row],[DateClosed]]="",ABS(NETWORKDAYS(Proc[[#This Row],[DateOpened]],TODAY()))-1,ABS(NETWORKDAYS(Proc[[#This Row],[DateOpened]],Proc[[#This Row],[DateClosed]]))-1)</f>
        <v>99</v>
      </c>
      <c r="R3031" s="115" t="s">
        <v>1013</v>
      </c>
      <c r="S3031" s="125"/>
    </row>
    <row r="3032" spans="1:19" hidden="1">
      <c r="A3032" s="124" t="s">
        <v>5258</v>
      </c>
      <c r="B3032" s="149" t="str">
        <f>IFERROR(VLOOKUP(Proc[[#This Row],[App]],Table2[],3,0),"open")</f>
        <v>ok</v>
      </c>
      <c r="C3032" s="124" t="s">
        <v>369</v>
      </c>
      <c r="D3032" t="s">
        <v>5051</v>
      </c>
      <c r="E3032" t="s">
        <v>4068</v>
      </c>
      <c r="F3032" s="125" t="s">
        <v>4068</v>
      </c>
      <c r="G3032" s="124" t="s">
        <v>400</v>
      </c>
      <c r="H3032" s="125" t="str">
        <f>IF(Proc[[#This Row],[type]]="LFF (MDG-F)",MID(Proc[[#This Row],[Obj]],13,10),"")</f>
        <v/>
      </c>
      <c r="J3032" s="125" t="b">
        <f>Proc[[#This Row],[Requested]]=Proc[[#This Row],[CurrentParent]]</f>
        <v>1</v>
      </c>
      <c r="K3032" s="144" t="str">
        <f>IF(Proc[[#This Row],[Author]]="Marcela Urrego",VLOOKUP(LEFT(Proc[[#This Row],[Requested]],1),Table3[#All],2,0),VLOOKUP(Proc[[#This Row],[Author]],Table4[],2,0))</f>
        <v>HC</v>
      </c>
      <c r="L3032" s="125" t="s">
        <v>4894</v>
      </c>
      <c r="M3032" s="113">
        <v>45873</v>
      </c>
      <c r="N3032" s="113"/>
      <c r="O3032" s="113"/>
      <c r="P3032" s="115" t="str">
        <f ca="1">IF(Proc[[#This Row],[DaysAgeing]]&gt;5,"yep","on track")</f>
        <v>yep</v>
      </c>
      <c r="Q3032" s="3">
        <f ca="1">IF(Proc[[#This Row],[DateClosed]]="",ABS(NETWORKDAYS(Proc[[#This Row],[DateOpened]],TODAY()))-1,ABS(NETWORKDAYS(Proc[[#This Row],[DateOpened]],Proc[[#This Row],[DateClosed]]))-1)</f>
        <v>99</v>
      </c>
      <c r="R3032" s="115" t="s">
        <v>1013</v>
      </c>
      <c r="S3032" s="125"/>
    </row>
    <row r="3033" spans="1:19" hidden="1">
      <c r="A3033" s="124" t="s">
        <v>5258</v>
      </c>
      <c r="B3033" s="149" t="str">
        <f>IFERROR(VLOOKUP(Proc[[#This Row],[App]],Table2[],3,0),"open")</f>
        <v>ok</v>
      </c>
      <c r="C3033" s="124" t="s">
        <v>369</v>
      </c>
      <c r="D3033" t="s">
        <v>5052</v>
      </c>
      <c r="E3033" t="s">
        <v>4068</v>
      </c>
      <c r="F3033" s="125" t="s">
        <v>4068</v>
      </c>
      <c r="G3033" s="124" t="s">
        <v>400</v>
      </c>
      <c r="H3033" s="125" t="str">
        <f>IF(Proc[[#This Row],[type]]="LFF (MDG-F)",MID(Proc[[#This Row],[Obj]],13,10),"")</f>
        <v/>
      </c>
      <c r="J3033" s="125" t="b">
        <f>Proc[[#This Row],[Requested]]=Proc[[#This Row],[CurrentParent]]</f>
        <v>1</v>
      </c>
      <c r="K3033" s="144" t="str">
        <f>IF(Proc[[#This Row],[Author]]="Marcela Urrego",VLOOKUP(LEFT(Proc[[#This Row],[Requested]],1),Table3[#All],2,0),VLOOKUP(Proc[[#This Row],[Author]],Table4[],2,0))</f>
        <v>HC</v>
      </c>
      <c r="L3033" s="125" t="s">
        <v>4894</v>
      </c>
      <c r="M3033" s="113">
        <v>45873</v>
      </c>
      <c r="N3033" s="113"/>
      <c r="O3033" s="113"/>
      <c r="P3033" s="115" t="str">
        <f ca="1">IF(Proc[[#This Row],[DaysAgeing]]&gt;5,"yep","on track")</f>
        <v>yep</v>
      </c>
      <c r="Q3033" s="3">
        <f ca="1">IF(Proc[[#This Row],[DateClosed]]="",ABS(NETWORKDAYS(Proc[[#This Row],[DateOpened]],TODAY()))-1,ABS(NETWORKDAYS(Proc[[#This Row],[DateOpened]],Proc[[#This Row],[DateClosed]]))-1)</f>
        <v>99</v>
      </c>
      <c r="R3033" s="115" t="s">
        <v>1013</v>
      </c>
      <c r="S3033" s="125"/>
    </row>
    <row r="3034" spans="1:19" hidden="1">
      <c r="A3034" s="124" t="s">
        <v>5258</v>
      </c>
      <c r="B3034" s="149" t="str">
        <f>IFERROR(VLOOKUP(Proc[[#This Row],[App]],Table2[],3,0),"open")</f>
        <v>ok</v>
      </c>
      <c r="C3034" s="124" t="s">
        <v>369</v>
      </c>
      <c r="D3034" t="s">
        <v>5053</v>
      </c>
      <c r="E3034" t="s">
        <v>4068</v>
      </c>
      <c r="F3034" s="125" t="s">
        <v>4068</v>
      </c>
      <c r="G3034" s="124" t="s">
        <v>400</v>
      </c>
      <c r="H3034" s="125" t="str">
        <f>IF(Proc[[#This Row],[type]]="LFF (MDG-F)",MID(Proc[[#This Row],[Obj]],13,10),"")</f>
        <v/>
      </c>
      <c r="J3034" s="125" t="b">
        <f>Proc[[#This Row],[Requested]]=Proc[[#This Row],[CurrentParent]]</f>
        <v>1</v>
      </c>
      <c r="K3034" s="144" t="str">
        <f>IF(Proc[[#This Row],[Author]]="Marcela Urrego",VLOOKUP(LEFT(Proc[[#This Row],[Requested]],1),Table3[#All],2,0),VLOOKUP(Proc[[#This Row],[Author]],Table4[],2,0))</f>
        <v>HC</v>
      </c>
      <c r="L3034" s="125" t="s">
        <v>4894</v>
      </c>
      <c r="M3034" s="113">
        <v>45873</v>
      </c>
      <c r="N3034" s="113"/>
      <c r="O3034" s="113"/>
      <c r="P3034" s="115" t="str">
        <f ca="1">IF(Proc[[#This Row],[DaysAgeing]]&gt;5,"yep","on track")</f>
        <v>yep</v>
      </c>
      <c r="Q3034" s="3">
        <f ca="1">IF(Proc[[#This Row],[DateClosed]]="",ABS(NETWORKDAYS(Proc[[#This Row],[DateOpened]],TODAY()))-1,ABS(NETWORKDAYS(Proc[[#This Row],[DateOpened]],Proc[[#This Row],[DateClosed]]))-1)</f>
        <v>99</v>
      </c>
      <c r="R3034" s="115" t="s">
        <v>1013</v>
      </c>
      <c r="S3034" s="125"/>
    </row>
    <row r="3035" spans="1:19" hidden="1">
      <c r="A3035" s="124" t="s">
        <v>5258</v>
      </c>
      <c r="B3035" s="149" t="str">
        <f>IFERROR(VLOOKUP(Proc[[#This Row],[App]],Table2[],3,0),"open")</f>
        <v>ok</v>
      </c>
      <c r="C3035" s="124" t="s">
        <v>369</v>
      </c>
      <c r="D3035" t="s">
        <v>5054</v>
      </c>
      <c r="E3035" t="s">
        <v>4068</v>
      </c>
      <c r="F3035" s="125" t="s">
        <v>4068</v>
      </c>
      <c r="G3035" s="124" t="s">
        <v>400</v>
      </c>
      <c r="H3035" s="125" t="str">
        <f>IF(Proc[[#This Row],[type]]="LFF (MDG-F)",MID(Proc[[#This Row],[Obj]],13,10),"")</f>
        <v/>
      </c>
      <c r="J3035" s="125" t="b">
        <f>Proc[[#This Row],[Requested]]=Proc[[#This Row],[CurrentParent]]</f>
        <v>1</v>
      </c>
      <c r="K3035" s="144" t="str">
        <f>IF(Proc[[#This Row],[Author]]="Marcela Urrego",VLOOKUP(LEFT(Proc[[#This Row],[Requested]],1),Table3[#All],2,0),VLOOKUP(Proc[[#This Row],[Author]],Table4[],2,0))</f>
        <v>HC</v>
      </c>
      <c r="L3035" s="125" t="s">
        <v>4894</v>
      </c>
      <c r="M3035" s="113">
        <v>45873</v>
      </c>
      <c r="N3035" s="113"/>
      <c r="O3035" s="113"/>
      <c r="P3035" s="115" t="str">
        <f ca="1">IF(Proc[[#This Row],[DaysAgeing]]&gt;5,"yep","on track")</f>
        <v>yep</v>
      </c>
      <c r="Q3035" s="3">
        <f ca="1">IF(Proc[[#This Row],[DateClosed]]="",ABS(NETWORKDAYS(Proc[[#This Row],[DateOpened]],TODAY()))-1,ABS(NETWORKDAYS(Proc[[#This Row],[DateOpened]],Proc[[#This Row],[DateClosed]]))-1)</f>
        <v>99</v>
      </c>
      <c r="R3035" s="115" t="s">
        <v>1013</v>
      </c>
      <c r="S3035" s="125"/>
    </row>
    <row r="3036" spans="1:19" hidden="1">
      <c r="A3036" s="124" t="s">
        <v>5258</v>
      </c>
      <c r="B3036" s="149" t="str">
        <f>IFERROR(VLOOKUP(Proc[[#This Row],[App]],Table2[],3,0),"open")</f>
        <v>ok</v>
      </c>
      <c r="C3036" s="124" t="s">
        <v>369</v>
      </c>
      <c r="D3036" t="s">
        <v>5055</v>
      </c>
      <c r="E3036" t="s">
        <v>4068</v>
      </c>
      <c r="F3036" s="125" t="s">
        <v>4068</v>
      </c>
      <c r="G3036" s="124" t="s">
        <v>400</v>
      </c>
      <c r="H3036" s="125" t="str">
        <f>IF(Proc[[#This Row],[type]]="LFF (MDG-F)",MID(Proc[[#This Row],[Obj]],13,10),"")</f>
        <v/>
      </c>
      <c r="J3036" s="125" t="b">
        <f>Proc[[#This Row],[Requested]]=Proc[[#This Row],[CurrentParent]]</f>
        <v>1</v>
      </c>
      <c r="K3036" s="144" t="str">
        <f>IF(Proc[[#This Row],[Author]]="Marcela Urrego",VLOOKUP(LEFT(Proc[[#This Row],[Requested]],1),Table3[#All],2,0),VLOOKUP(Proc[[#This Row],[Author]],Table4[],2,0))</f>
        <v>HC</v>
      </c>
      <c r="L3036" s="125" t="s">
        <v>4894</v>
      </c>
      <c r="M3036" s="113">
        <v>45873</v>
      </c>
      <c r="N3036" s="113"/>
      <c r="O3036" s="113"/>
      <c r="P3036" s="115" t="str">
        <f ca="1">IF(Proc[[#This Row],[DaysAgeing]]&gt;5,"yep","on track")</f>
        <v>yep</v>
      </c>
      <c r="Q3036" s="3">
        <f ca="1">IF(Proc[[#This Row],[DateClosed]]="",ABS(NETWORKDAYS(Proc[[#This Row],[DateOpened]],TODAY()))-1,ABS(NETWORKDAYS(Proc[[#This Row],[DateOpened]],Proc[[#This Row],[DateClosed]]))-1)</f>
        <v>99</v>
      </c>
      <c r="R3036" s="115" t="s">
        <v>1013</v>
      </c>
      <c r="S3036" s="125"/>
    </row>
    <row r="3037" spans="1:19" hidden="1">
      <c r="A3037" s="124" t="s">
        <v>5258</v>
      </c>
      <c r="B3037" s="149" t="str">
        <f>IFERROR(VLOOKUP(Proc[[#This Row],[App]],Table2[],3,0),"open")</f>
        <v>ok</v>
      </c>
      <c r="C3037" s="124" t="s">
        <v>369</v>
      </c>
      <c r="D3037" t="s">
        <v>5056</v>
      </c>
      <c r="E3037" t="s">
        <v>4068</v>
      </c>
      <c r="F3037" s="125" t="s">
        <v>4068</v>
      </c>
      <c r="G3037" s="124" t="s">
        <v>400</v>
      </c>
      <c r="H3037" s="125" t="str">
        <f>IF(Proc[[#This Row],[type]]="LFF (MDG-F)",MID(Proc[[#This Row],[Obj]],13,10),"")</f>
        <v/>
      </c>
      <c r="J3037" s="125" t="b">
        <f>Proc[[#This Row],[Requested]]=Proc[[#This Row],[CurrentParent]]</f>
        <v>1</v>
      </c>
      <c r="K3037" s="144" t="str">
        <f>IF(Proc[[#This Row],[Author]]="Marcela Urrego",VLOOKUP(LEFT(Proc[[#This Row],[Requested]],1),Table3[#All],2,0),VLOOKUP(Proc[[#This Row],[Author]],Table4[],2,0))</f>
        <v>HC</v>
      </c>
      <c r="L3037" s="125" t="s">
        <v>4894</v>
      </c>
      <c r="M3037" s="113">
        <v>45873</v>
      </c>
      <c r="N3037" s="113"/>
      <c r="O3037" s="113"/>
      <c r="P3037" s="115" t="str">
        <f ca="1">IF(Proc[[#This Row],[DaysAgeing]]&gt;5,"yep","on track")</f>
        <v>yep</v>
      </c>
      <c r="Q3037" s="3">
        <f ca="1">IF(Proc[[#This Row],[DateClosed]]="",ABS(NETWORKDAYS(Proc[[#This Row],[DateOpened]],TODAY()))-1,ABS(NETWORKDAYS(Proc[[#This Row],[DateOpened]],Proc[[#This Row],[DateClosed]]))-1)</f>
        <v>99</v>
      </c>
      <c r="R3037" s="115" t="s">
        <v>1013</v>
      </c>
      <c r="S3037" s="125"/>
    </row>
    <row r="3038" spans="1:19" hidden="1">
      <c r="A3038" s="124" t="s">
        <v>5258</v>
      </c>
      <c r="B3038" s="149" t="str">
        <f>IFERROR(VLOOKUP(Proc[[#This Row],[App]],Table2[],3,0),"open")</f>
        <v>ok</v>
      </c>
      <c r="C3038" s="124" t="s">
        <v>369</v>
      </c>
      <c r="D3038" t="s">
        <v>5057</v>
      </c>
      <c r="E3038" t="s">
        <v>4068</v>
      </c>
      <c r="F3038" s="125" t="s">
        <v>4068</v>
      </c>
      <c r="G3038" s="124" t="s">
        <v>400</v>
      </c>
      <c r="H3038" s="125" t="str">
        <f>IF(Proc[[#This Row],[type]]="LFF (MDG-F)",MID(Proc[[#This Row],[Obj]],13,10),"")</f>
        <v/>
      </c>
      <c r="J3038" s="125" t="b">
        <f>Proc[[#This Row],[Requested]]=Proc[[#This Row],[CurrentParent]]</f>
        <v>1</v>
      </c>
      <c r="K3038" s="144" t="str">
        <f>IF(Proc[[#This Row],[Author]]="Marcela Urrego",VLOOKUP(LEFT(Proc[[#This Row],[Requested]],1),Table3[#All],2,0),VLOOKUP(Proc[[#This Row],[Author]],Table4[],2,0))</f>
        <v>HC</v>
      </c>
      <c r="L3038" s="125" t="s">
        <v>4894</v>
      </c>
      <c r="M3038" s="113">
        <v>45873</v>
      </c>
      <c r="N3038" s="113"/>
      <c r="O3038" s="113"/>
      <c r="P3038" s="115" t="str">
        <f ca="1">IF(Proc[[#This Row],[DaysAgeing]]&gt;5,"yep","on track")</f>
        <v>yep</v>
      </c>
      <c r="Q3038" s="3">
        <f ca="1">IF(Proc[[#This Row],[DateClosed]]="",ABS(NETWORKDAYS(Proc[[#This Row],[DateOpened]],TODAY()))-1,ABS(NETWORKDAYS(Proc[[#This Row],[DateOpened]],Proc[[#This Row],[DateClosed]]))-1)</f>
        <v>99</v>
      </c>
      <c r="R3038" s="115" t="s">
        <v>1013</v>
      </c>
      <c r="S3038" s="125"/>
    </row>
    <row r="3039" spans="1:19" hidden="1">
      <c r="A3039" s="124" t="s">
        <v>5258</v>
      </c>
      <c r="B3039" s="149" t="str">
        <f>IFERROR(VLOOKUP(Proc[[#This Row],[App]],Table2[],3,0),"open")</f>
        <v>ok</v>
      </c>
      <c r="C3039" s="124" t="s">
        <v>369</v>
      </c>
      <c r="D3039" t="s">
        <v>5058</v>
      </c>
      <c r="E3039" t="s">
        <v>4068</v>
      </c>
      <c r="F3039" s="125" t="s">
        <v>4068</v>
      </c>
      <c r="G3039" s="124" t="s">
        <v>400</v>
      </c>
      <c r="H3039" s="125" t="str">
        <f>IF(Proc[[#This Row],[type]]="LFF (MDG-F)",MID(Proc[[#This Row],[Obj]],13,10),"")</f>
        <v/>
      </c>
      <c r="J3039" s="125" t="b">
        <f>Proc[[#This Row],[Requested]]=Proc[[#This Row],[CurrentParent]]</f>
        <v>1</v>
      </c>
      <c r="K3039" s="144" t="str">
        <f>IF(Proc[[#This Row],[Author]]="Marcela Urrego",VLOOKUP(LEFT(Proc[[#This Row],[Requested]],1),Table3[#All],2,0),VLOOKUP(Proc[[#This Row],[Author]],Table4[],2,0))</f>
        <v>HC</v>
      </c>
      <c r="L3039" s="125" t="s">
        <v>4894</v>
      </c>
      <c r="M3039" s="113">
        <v>45873</v>
      </c>
      <c r="N3039" s="113"/>
      <c r="O3039" s="113"/>
      <c r="P3039" s="115" t="str">
        <f ca="1">IF(Proc[[#This Row],[DaysAgeing]]&gt;5,"yep","on track")</f>
        <v>yep</v>
      </c>
      <c r="Q3039" s="3">
        <f ca="1">IF(Proc[[#This Row],[DateClosed]]="",ABS(NETWORKDAYS(Proc[[#This Row],[DateOpened]],TODAY()))-1,ABS(NETWORKDAYS(Proc[[#This Row],[DateOpened]],Proc[[#This Row],[DateClosed]]))-1)</f>
        <v>99</v>
      </c>
      <c r="R3039" s="115" t="s">
        <v>1013</v>
      </c>
      <c r="S3039" s="125"/>
    </row>
    <row r="3040" spans="1:19" hidden="1">
      <c r="A3040" s="124" t="s">
        <v>5258</v>
      </c>
      <c r="B3040" s="149" t="str">
        <f>IFERROR(VLOOKUP(Proc[[#This Row],[App]],Table2[],3,0),"open")</f>
        <v>ok</v>
      </c>
      <c r="C3040" s="124" t="s">
        <v>369</v>
      </c>
      <c r="D3040" t="s">
        <v>5059</v>
      </c>
      <c r="E3040" t="s">
        <v>4068</v>
      </c>
      <c r="F3040" s="125" t="s">
        <v>4068</v>
      </c>
      <c r="G3040" s="124" t="s">
        <v>400</v>
      </c>
      <c r="H3040" s="125" t="str">
        <f>IF(Proc[[#This Row],[type]]="LFF (MDG-F)",MID(Proc[[#This Row],[Obj]],13,10),"")</f>
        <v/>
      </c>
      <c r="J3040" s="125" t="b">
        <f>Proc[[#This Row],[Requested]]=Proc[[#This Row],[CurrentParent]]</f>
        <v>1</v>
      </c>
      <c r="K3040" s="144" t="str">
        <f>IF(Proc[[#This Row],[Author]]="Marcela Urrego",VLOOKUP(LEFT(Proc[[#This Row],[Requested]],1),Table3[#All],2,0),VLOOKUP(Proc[[#This Row],[Author]],Table4[],2,0))</f>
        <v>HC</v>
      </c>
      <c r="L3040" s="125" t="s">
        <v>4894</v>
      </c>
      <c r="M3040" s="113">
        <v>45873</v>
      </c>
      <c r="N3040" s="113"/>
      <c r="O3040" s="113"/>
      <c r="P3040" s="115" t="str">
        <f ca="1">IF(Proc[[#This Row],[DaysAgeing]]&gt;5,"yep","on track")</f>
        <v>yep</v>
      </c>
      <c r="Q3040" s="3">
        <f ca="1">IF(Proc[[#This Row],[DateClosed]]="",ABS(NETWORKDAYS(Proc[[#This Row],[DateOpened]],TODAY()))-1,ABS(NETWORKDAYS(Proc[[#This Row],[DateOpened]],Proc[[#This Row],[DateClosed]]))-1)</f>
        <v>99</v>
      </c>
      <c r="R3040" s="115" t="s">
        <v>1013</v>
      </c>
      <c r="S3040" s="125"/>
    </row>
    <row r="3041" spans="1:19" hidden="1">
      <c r="A3041" s="124" t="s">
        <v>5258</v>
      </c>
      <c r="B3041" s="149" t="str">
        <f>IFERROR(VLOOKUP(Proc[[#This Row],[App]],Table2[],3,0),"open")</f>
        <v>ok</v>
      </c>
      <c r="C3041" s="124" t="s">
        <v>369</v>
      </c>
      <c r="D3041" t="s">
        <v>5060</v>
      </c>
      <c r="E3041" t="s">
        <v>4068</v>
      </c>
      <c r="F3041" s="125" t="s">
        <v>4068</v>
      </c>
      <c r="G3041" s="124" t="s">
        <v>400</v>
      </c>
      <c r="H3041" s="125" t="str">
        <f>IF(Proc[[#This Row],[type]]="LFF (MDG-F)",MID(Proc[[#This Row],[Obj]],13,10),"")</f>
        <v/>
      </c>
      <c r="J3041" s="125" t="b">
        <f>Proc[[#This Row],[Requested]]=Proc[[#This Row],[CurrentParent]]</f>
        <v>1</v>
      </c>
      <c r="K3041" s="144" t="str">
        <f>IF(Proc[[#This Row],[Author]]="Marcela Urrego",VLOOKUP(LEFT(Proc[[#This Row],[Requested]],1),Table3[#All],2,0),VLOOKUP(Proc[[#This Row],[Author]],Table4[],2,0))</f>
        <v>HC</v>
      </c>
      <c r="L3041" s="125" t="s">
        <v>4894</v>
      </c>
      <c r="M3041" s="113">
        <v>45873</v>
      </c>
      <c r="N3041" s="113"/>
      <c r="O3041" s="113"/>
      <c r="P3041" s="115" t="str">
        <f ca="1">IF(Proc[[#This Row],[DaysAgeing]]&gt;5,"yep","on track")</f>
        <v>yep</v>
      </c>
      <c r="Q3041" s="3">
        <f ca="1">IF(Proc[[#This Row],[DateClosed]]="",ABS(NETWORKDAYS(Proc[[#This Row],[DateOpened]],TODAY()))-1,ABS(NETWORKDAYS(Proc[[#This Row],[DateOpened]],Proc[[#This Row],[DateClosed]]))-1)</f>
        <v>99</v>
      </c>
      <c r="R3041" s="115" t="s">
        <v>1013</v>
      </c>
      <c r="S3041" s="125"/>
    </row>
    <row r="3042" spans="1:19" hidden="1">
      <c r="A3042" s="124" t="s">
        <v>5258</v>
      </c>
      <c r="B3042" s="149" t="str">
        <f>IFERROR(VLOOKUP(Proc[[#This Row],[App]],Table2[],3,0),"open")</f>
        <v>ok</v>
      </c>
      <c r="C3042" s="124" t="s">
        <v>369</v>
      </c>
      <c r="D3042" t="s">
        <v>5061</v>
      </c>
      <c r="E3042" t="s">
        <v>4068</v>
      </c>
      <c r="F3042" s="125" t="s">
        <v>4068</v>
      </c>
      <c r="G3042" s="124" t="s">
        <v>400</v>
      </c>
      <c r="H3042" s="125" t="str">
        <f>IF(Proc[[#This Row],[type]]="LFF (MDG-F)",MID(Proc[[#This Row],[Obj]],13,10),"")</f>
        <v/>
      </c>
      <c r="J3042" s="125" t="b">
        <f>Proc[[#This Row],[Requested]]=Proc[[#This Row],[CurrentParent]]</f>
        <v>1</v>
      </c>
      <c r="K3042" s="144" t="str">
        <f>IF(Proc[[#This Row],[Author]]="Marcela Urrego",VLOOKUP(LEFT(Proc[[#This Row],[Requested]],1),Table3[#All],2,0),VLOOKUP(Proc[[#This Row],[Author]],Table4[],2,0))</f>
        <v>HC</v>
      </c>
      <c r="L3042" s="125" t="s">
        <v>4894</v>
      </c>
      <c r="M3042" s="113">
        <v>45873</v>
      </c>
      <c r="N3042" s="113"/>
      <c r="O3042" s="113"/>
      <c r="P3042" s="115" t="str">
        <f ca="1">IF(Proc[[#This Row],[DaysAgeing]]&gt;5,"yep","on track")</f>
        <v>yep</v>
      </c>
      <c r="Q3042" s="3">
        <f ca="1">IF(Proc[[#This Row],[DateClosed]]="",ABS(NETWORKDAYS(Proc[[#This Row],[DateOpened]],TODAY()))-1,ABS(NETWORKDAYS(Proc[[#This Row],[DateOpened]],Proc[[#This Row],[DateClosed]]))-1)</f>
        <v>99</v>
      </c>
      <c r="R3042" s="115" t="s">
        <v>1013</v>
      </c>
      <c r="S3042" s="125"/>
    </row>
    <row r="3043" spans="1:19" hidden="1">
      <c r="A3043" s="124" t="s">
        <v>5258</v>
      </c>
      <c r="B3043" s="149" t="str">
        <f>IFERROR(VLOOKUP(Proc[[#This Row],[App]],Table2[],3,0),"open")</f>
        <v>ok</v>
      </c>
      <c r="C3043" s="124" t="s">
        <v>369</v>
      </c>
      <c r="D3043" t="s">
        <v>5062</v>
      </c>
      <c r="E3043" t="s">
        <v>4068</v>
      </c>
      <c r="F3043" s="125" t="s">
        <v>4068</v>
      </c>
      <c r="G3043" s="124" t="s">
        <v>400</v>
      </c>
      <c r="H3043" s="125" t="str">
        <f>IF(Proc[[#This Row],[type]]="LFF (MDG-F)",MID(Proc[[#This Row],[Obj]],13,10),"")</f>
        <v/>
      </c>
      <c r="J3043" s="125" t="b">
        <f>Proc[[#This Row],[Requested]]=Proc[[#This Row],[CurrentParent]]</f>
        <v>1</v>
      </c>
      <c r="K3043" s="144" t="str">
        <f>IF(Proc[[#This Row],[Author]]="Marcela Urrego",VLOOKUP(LEFT(Proc[[#This Row],[Requested]],1),Table3[#All],2,0),VLOOKUP(Proc[[#This Row],[Author]],Table4[],2,0))</f>
        <v>HC</v>
      </c>
      <c r="L3043" s="125" t="s">
        <v>4894</v>
      </c>
      <c r="M3043" s="113">
        <v>45873</v>
      </c>
      <c r="N3043" s="113"/>
      <c r="O3043" s="113"/>
      <c r="P3043" s="115" t="str">
        <f ca="1">IF(Proc[[#This Row],[DaysAgeing]]&gt;5,"yep","on track")</f>
        <v>yep</v>
      </c>
      <c r="Q3043" s="3">
        <f ca="1">IF(Proc[[#This Row],[DateClosed]]="",ABS(NETWORKDAYS(Proc[[#This Row],[DateOpened]],TODAY()))-1,ABS(NETWORKDAYS(Proc[[#This Row],[DateOpened]],Proc[[#This Row],[DateClosed]]))-1)</f>
        <v>99</v>
      </c>
      <c r="R3043" s="115" t="s">
        <v>1013</v>
      </c>
      <c r="S3043" s="125"/>
    </row>
    <row r="3044" spans="1:19" hidden="1">
      <c r="A3044" s="124" t="s">
        <v>5258</v>
      </c>
      <c r="B3044" s="149" t="str">
        <f>IFERROR(VLOOKUP(Proc[[#This Row],[App]],Table2[],3,0),"open")</f>
        <v>ok</v>
      </c>
      <c r="C3044" s="124" t="s">
        <v>369</v>
      </c>
      <c r="D3044" t="s">
        <v>5063</v>
      </c>
      <c r="E3044" t="s">
        <v>4068</v>
      </c>
      <c r="F3044" s="125" t="s">
        <v>4068</v>
      </c>
      <c r="G3044" s="124" t="s">
        <v>400</v>
      </c>
      <c r="H3044" s="125" t="str">
        <f>IF(Proc[[#This Row],[type]]="LFF (MDG-F)",MID(Proc[[#This Row],[Obj]],13,10),"")</f>
        <v/>
      </c>
      <c r="J3044" s="125" t="b">
        <f>Proc[[#This Row],[Requested]]=Proc[[#This Row],[CurrentParent]]</f>
        <v>1</v>
      </c>
      <c r="K3044" s="144" t="str">
        <f>IF(Proc[[#This Row],[Author]]="Marcela Urrego",VLOOKUP(LEFT(Proc[[#This Row],[Requested]],1),Table3[#All],2,0),VLOOKUP(Proc[[#This Row],[Author]],Table4[],2,0))</f>
        <v>HC</v>
      </c>
      <c r="L3044" s="125" t="s">
        <v>4894</v>
      </c>
      <c r="M3044" s="113">
        <v>45873</v>
      </c>
      <c r="N3044" s="113"/>
      <c r="O3044" s="113"/>
      <c r="P3044" s="115" t="str">
        <f ca="1">IF(Proc[[#This Row],[DaysAgeing]]&gt;5,"yep","on track")</f>
        <v>yep</v>
      </c>
      <c r="Q3044" s="3">
        <f ca="1">IF(Proc[[#This Row],[DateClosed]]="",ABS(NETWORKDAYS(Proc[[#This Row],[DateOpened]],TODAY()))-1,ABS(NETWORKDAYS(Proc[[#This Row],[DateOpened]],Proc[[#This Row],[DateClosed]]))-1)</f>
        <v>99</v>
      </c>
      <c r="R3044" s="115" t="s">
        <v>1013</v>
      </c>
      <c r="S3044" s="125"/>
    </row>
    <row r="3045" spans="1:19" hidden="1">
      <c r="A3045" s="124" t="s">
        <v>5258</v>
      </c>
      <c r="B3045" s="149" t="str">
        <f>IFERROR(VLOOKUP(Proc[[#This Row],[App]],Table2[],3,0),"open")</f>
        <v>ok</v>
      </c>
      <c r="C3045" s="124" t="s">
        <v>369</v>
      </c>
      <c r="D3045" t="s">
        <v>5064</v>
      </c>
      <c r="E3045" t="s">
        <v>4068</v>
      </c>
      <c r="F3045" s="125" t="s">
        <v>4068</v>
      </c>
      <c r="G3045" s="124" t="s">
        <v>400</v>
      </c>
      <c r="H3045" s="125" t="str">
        <f>IF(Proc[[#This Row],[type]]="LFF (MDG-F)",MID(Proc[[#This Row],[Obj]],13,10),"")</f>
        <v/>
      </c>
      <c r="J3045" s="125" t="b">
        <f>Proc[[#This Row],[Requested]]=Proc[[#This Row],[CurrentParent]]</f>
        <v>1</v>
      </c>
      <c r="K3045" s="144" t="str">
        <f>IF(Proc[[#This Row],[Author]]="Marcela Urrego",VLOOKUP(LEFT(Proc[[#This Row],[Requested]],1),Table3[#All],2,0),VLOOKUP(Proc[[#This Row],[Author]],Table4[],2,0))</f>
        <v>HC</v>
      </c>
      <c r="L3045" s="125" t="s">
        <v>4894</v>
      </c>
      <c r="M3045" s="113">
        <v>45873</v>
      </c>
      <c r="N3045" s="113"/>
      <c r="O3045" s="113"/>
      <c r="P3045" s="115" t="str">
        <f ca="1">IF(Proc[[#This Row],[DaysAgeing]]&gt;5,"yep","on track")</f>
        <v>yep</v>
      </c>
      <c r="Q3045" s="3">
        <f ca="1">IF(Proc[[#This Row],[DateClosed]]="",ABS(NETWORKDAYS(Proc[[#This Row],[DateOpened]],TODAY()))-1,ABS(NETWORKDAYS(Proc[[#This Row],[DateOpened]],Proc[[#This Row],[DateClosed]]))-1)</f>
        <v>99</v>
      </c>
      <c r="R3045" s="115" t="s">
        <v>1013</v>
      </c>
      <c r="S3045" s="125"/>
    </row>
    <row r="3046" spans="1:19" hidden="1">
      <c r="A3046" s="124" t="s">
        <v>5258</v>
      </c>
      <c r="B3046" s="149" t="str">
        <f>IFERROR(VLOOKUP(Proc[[#This Row],[App]],Table2[],3,0),"open")</f>
        <v>ok</v>
      </c>
      <c r="C3046" s="124" t="s">
        <v>369</v>
      </c>
      <c r="D3046" t="s">
        <v>5065</v>
      </c>
      <c r="E3046" t="s">
        <v>4068</v>
      </c>
      <c r="F3046" s="125" t="s">
        <v>4068</v>
      </c>
      <c r="G3046" s="124" t="s">
        <v>400</v>
      </c>
      <c r="H3046" s="125" t="str">
        <f>IF(Proc[[#This Row],[type]]="LFF (MDG-F)",MID(Proc[[#This Row],[Obj]],13,10),"")</f>
        <v/>
      </c>
      <c r="J3046" s="125" t="b">
        <f>Proc[[#This Row],[Requested]]=Proc[[#This Row],[CurrentParent]]</f>
        <v>1</v>
      </c>
      <c r="K3046" s="144" t="str">
        <f>IF(Proc[[#This Row],[Author]]="Marcela Urrego",VLOOKUP(LEFT(Proc[[#This Row],[Requested]],1),Table3[#All],2,0),VLOOKUP(Proc[[#This Row],[Author]],Table4[],2,0))</f>
        <v>HC</v>
      </c>
      <c r="L3046" s="125" t="s">
        <v>4894</v>
      </c>
      <c r="M3046" s="113">
        <v>45873</v>
      </c>
      <c r="N3046" s="113"/>
      <c r="O3046" s="113"/>
      <c r="P3046" s="115" t="str">
        <f ca="1">IF(Proc[[#This Row],[DaysAgeing]]&gt;5,"yep","on track")</f>
        <v>yep</v>
      </c>
      <c r="Q3046" s="3">
        <f ca="1">IF(Proc[[#This Row],[DateClosed]]="",ABS(NETWORKDAYS(Proc[[#This Row],[DateOpened]],TODAY()))-1,ABS(NETWORKDAYS(Proc[[#This Row],[DateOpened]],Proc[[#This Row],[DateClosed]]))-1)</f>
        <v>99</v>
      </c>
      <c r="R3046" s="115" t="s">
        <v>1013</v>
      </c>
      <c r="S3046" s="125"/>
    </row>
    <row r="3047" spans="1:19" hidden="1">
      <c r="A3047" s="124" t="s">
        <v>5258</v>
      </c>
      <c r="B3047" s="149" t="str">
        <f>IFERROR(VLOOKUP(Proc[[#This Row],[App]],Table2[],3,0),"open")</f>
        <v>ok</v>
      </c>
      <c r="C3047" s="124" t="s">
        <v>369</v>
      </c>
      <c r="D3047" t="s">
        <v>5066</v>
      </c>
      <c r="E3047" t="s">
        <v>4068</v>
      </c>
      <c r="F3047" s="125" t="s">
        <v>4068</v>
      </c>
      <c r="G3047" s="124" t="s">
        <v>400</v>
      </c>
      <c r="H3047" s="125" t="str">
        <f>IF(Proc[[#This Row],[type]]="LFF (MDG-F)",MID(Proc[[#This Row],[Obj]],13,10),"")</f>
        <v/>
      </c>
      <c r="J3047" s="125" t="b">
        <f>Proc[[#This Row],[Requested]]=Proc[[#This Row],[CurrentParent]]</f>
        <v>1</v>
      </c>
      <c r="K3047" s="144" t="str">
        <f>IF(Proc[[#This Row],[Author]]="Marcela Urrego",VLOOKUP(LEFT(Proc[[#This Row],[Requested]],1),Table3[#All],2,0),VLOOKUP(Proc[[#This Row],[Author]],Table4[],2,0))</f>
        <v>HC</v>
      </c>
      <c r="L3047" s="125" t="s">
        <v>4894</v>
      </c>
      <c r="M3047" s="113">
        <v>45873</v>
      </c>
      <c r="N3047" s="113"/>
      <c r="O3047" s="113"/>
      <c r="P3047" s="115" t="str">
        <f ca="1">IF(Proc[[#This Row],[DaysAgeing]]&gt;5,"yep","on track")</f>
        <v>yep</v>
      </c>
      <c r="Q3047" s="3">
        <f ca="1">IF(Proc[[#This Row],[DateClosed]]="",ABS(NETWORKDAYS(Proc[[#This Row],[DateOpened]],TODAY()))-1,ABS(NETWORKDAYS(Proc[[#This Row],[DateOpened]],Proc[[#This Row],[DateClosed]]))-1)</f>
        <v>99</v>
      </c>
      <c r="R3047" s="115" t="s">
        <v>1013</v>
      </c>
      <c r="S3047" s="125"/>
    </row>
    <row r="3048" spans="1:19" hidden="1">
      <c r="A3048" s="124" t="s">
        <v>5258</v>
      </c>
      <c r="B3048" s="149" t="str">
        <f>IFERROR(VLOOKUP(Proc[[#This Row],[App]],Table2[],3,0),"open")</f>
        <v>ok</v>
      </c>
      <c r="C3048" s="124" t="s">
        <v>369</v>
      </c>
      <c r="D3048" t="s">
        <v>5067</v>
      </c>
      <c r="E3048" t="s">
        <v>4068</v>
      </c>
      <c r="F3048" s="125" t="s">
        <v>4068</v>
      </c>
      <c r="G3048" s="124" t="s">
        <v>400</v>
      </c>
      <c r="H3048" s="125" t="str">
        <f>IF(Proc[[#This Row],[type]]="LFF (MDG-F)",MID(Proc[[#This Row],[Obj]],13,10),"")</f>
        <v/>
      </c>
      <c r="J3048" s="125" t="b">
        <f>Proc[[#This Row],[Requested]]=Proc[[#This Row],[CurrentParent]]</f>
        <v>1</v>
      </c>
      <c r="K3048" s="144" t="str">
        <f>IF(Proc[[#This Row],[Author]]="Marcela Urrego",VLOOKUP(LEFT(Proc[[#This Row],[Requested]],1),Table3[#All],2,0),VLOOKUP(Proc[[#This Row],[Author]],Table4[],2,0))</f>
        <v>HC</v>
      </c>
      <c r="L3048" s="125" t="s">
        <v>4894</v>
      </c>
      <c r="M3048" s="113">
        <v>45873</v>
      </c>
      <c r="N3048" s="113"/>
      <c r="O3048" s="113"/>
      <c r="P3048" s="115" t="str">
        <f ca="1">IF(Proc[[#This Row],[DaysAgeing]]&gt;5,"yep","on track")</f>
        <v>yep</v>
      </c>
      <c r="Q3048" s="3">
        <f ca="1">IF(Proc[[#This Row],[DateClosed]]="",ABS(NETWORKDAYS(Proc[[#This Row],[DateOpened]],TODAY()))-1,ABS(NETWORKDAYS(Proc[[#This Row],[DateOpened]],Proc[[#This Row],[DateClosed]]))-1)</f>
        <v>99</v>
      </c>
      <c r="R3048" s="115" t="s">
        <v>1013</v>
      </c>
      <c r="S3048" s="125"/>
    </row>
    <row r="3049" spans="1:19" hidden="1">
      <c r="A3049" s="124" t="s">
        <v>5258</v>
      </c>
      <c r="B3049" s="149" t="str">
        <f>IFERROR(VLOOKUP(Proc[[#This Row],[App]],Table2[],3,0),"open")</f>
        <v>ok</v>
      </c>
      <c r="C3049" s="124" t="s">
        <v>369</v>
      </c>
      <c r="D3049" t="s">
        <v>5068</v>
      </c>
      <c r="E3049" t="s">
        <v>4068</v>
      </c>
      <c r="F3049" s="125" t="s">
        <v>4068</v>
      </c>
      <c r="G3049" s="124" t="s">
        <v>400</v>
      </c>
      <c r="H3049" s="125" t="str">
        <f>IF(Proc[[#This Row],[type]]="LFF (MDG-F)",MID(Proc[[#This Row],[Obj]],13,10),"")</f>
        <v/>
      </c>
      <c r="J3049" s="125" t="b">
        <f>Proc[[#This Row],[Requested]]=Proc[[#This Row],[CurrentParent]]</f>
        <v>1</v>
      </c>
      <c r="K3049" s="144" t="str">
        <f>IF(Proc[[#This Row],[Author]]="Marcela Urrego",VLOOKUP(LEFT(Proc[[#This Row],[Requested]],1),Table3[#All],2,0),VLOOKUP(Proc[[#This Row],[Author]],Table4[],2,0))</f>
        <v>HC</v>
      </c>
      <c r="L3049" s="125" t="s">
        <v>4894</v>
      </c>
      <c r="M3049" s="113">
        <v>45873</v>
      </c>
      <c r="N3049" s="113"/>
      <c r="O3049" s="113"/>
      <c r="P3049" s="115" t="str">
        <f ca="1">IF(Proc[[#This Row],[DaysAgeing]]&gt;5,"yep","on track")</f>
        <v>yep</v>
      </c>
      <c r="Q3049" s="3">
        <f ca="1">IF(Proc[[#This Row],[DateClosed]]="",ABS(NETWORKDAYS(Proc[[#This Row],[DateOpened]],TODAY()))-1,ABS(NETWORKDAYS(Proc[[#This Row],[DateOpened]],Proc[[#This Row],[DateClosed]]))-1)</f>
        <v>99</v>
      </c>
      <c r="R3049" s="115" t="s">
        <v>1013</v>
      </c>
      <c r="S3049" s="125"/>
    </row>
    <row r="3050" spans="1:19" hidden="1">
      <c r="A3050" s="124" t="s">
        <v>5258</v>
      </c>
      <c r="B3050" s="149" t="str">
        <f>IFERROR(VLOOKUP(Proc[[#This Row],[App]],Table2[],3,0),"open")</f>
        <v>ok</v>
      </c>
      <c r="C3050" s="124" t="s">
        <v>369</v>
      </c>
      <c r="D3050" t="s">
        <v>5069</v>
      </c>
      <c r="E3050" t="s">
        <v>4068</v>
      </c>
      <c r="F3050" s="125" t="s">
        <v>4068</v>
      </c>
      <c r="G3050" s="124" t="s">
        <v>400</v>
      </c>
      <c r="H3050" s="125" t="str">
        <f>IF(Proc[[#This Row],[type]]="LFF (MDG-F)",MID(Proc[[#This Row],[Obj]],13,10),"")</f>
        <v/>
      </c>
      <c r="J3050" s="125" t="b">
        <f>Proc[[#This Row],[Requested]]=Proc[[#This Row],[CurrentParent]]</f>
        <v>1</v>
      </c>
      <c r="K3050" s="144" t="str">
        <f>IF(Proc[[#This Row],[Author]]="Marcela Urrego",VLOOKUP(LEFT(Proc[[#This Row],[Requested]],1),Table3[#All],2,0),VLOOKUP(Proc[[#This Row],[Author]],Table4[],2,0))</f>
        <v>HC</v>
      </c>
      <c r="L3050" s="125" t="s">
        <v>4894</v>
      </c>
      <c r="M3050" s="113">
        <v>45873</v>
      </c>
      <c r="N3050" s="113"/>
      <c r="O3050" s="113"/>
      <c r="P3050" s="115" t="str">
        <f ca="1">IF(Proc[[#This Row],[DaysAgeing]]&gt;5,"yep","on track")</f>
        <v>yep</v>
      </c>
      <c r="Q3050" s="3">
        <f ca="1">IF(Proc[[#This Row],[DateClosed]]="",ABS(NETWORKDAYS(Proc[[#This Row],[DateOpened]],TODAY()))-1,ABS(NETWORKDAYS(Proc[[#This Row],[DateOpened]],Proc[[#This Row],[DateClosed]]))-1)</f>
        <v>99</v>
      </c>
      <c r="R3050" s="115" t="s">
        <v>1013</v>
      </c>
      <c r="S3050" s="125"/>
    </row>
    <row r="3051" spans="1:19" hidden="1">
      <c r="A3051" s="124" t="s">
        <v>5258</v>
      </c>
      <c r="B3051" s="149" t="str">
        <f>IFERROR(VLOOKUP(Proc[[#This Row],[App]],Table2[],3,0),"open")</f>
        <v>ok</v>
      </c>
      <c r="C3051" s="124" t="s">
        <v>369</v>
      </c>
      <c r="D3051" t="s">
        <v>5070</v>
      </c>
      <c r="E3051" t="s">
        <v>4068</v>
      </c>
      <c r="F3051" s="125" t="s">
        <v>4068</v>
      </c>
      <c r="G3051" s="124" t="s">
        <v>400</v>
      </c>
      <c r="H3051" s="125" t="str">
        <f>IF(Proc[[#This Row],[type]]="LFF (MDG-F)",MID(Proc[[#This Row],[Obj]],13,10),"")</f>
        <v/>
      </c>
      <c r="J3051" s="125" t="b">
        <f>Proc[[#This Row],[Requested]]=Proc[[#This Row],[CurrentParent]]</f>
        <v>1</v>
      </c>
      <c r="K3051" s="144" t="str">
        <f>IF(Proc[[#This Row],[Author]]="Marcela Urrego",VLOOKUP(LEFT(Proc[[#This Row],[Requested]],1),Table3[#All],2,0),VLOOKUP(Proc[[#This Row],[Author]],Table4[],2,0))</f>
        <v>HC</v>
      </c>
      <c r="L3051" s="125" t="s">
        <v>4894</v>
      </c>
      <c r="M3051" s="113">
        <v>45873</v>
      </c>
      <c r="N3051" s="113"/>
      <c r="O3051" s="113"/>
      <c r="P3051" s="115" t="str">
        <f ca="1">IF(Proc[[#This Row],[DaysAgeing]]&gt;5,"yep","on track")</f>
        <v>yep</v>
      </c>
      <c r="Q3051" s="3">
        <f ca="1">IF(Proc[[#This Row],[DateClosed]]="",ABS(NETWORKDAYS(Proc[[#This Row],[DateOpened]],TODAY()))-1,ABS(NETWORKDAYS(Proc[[#This Row],[DateOpened]],Proc[[#This Row],[DateClosed]]))-1)</f>
        <v>99</v>
      </c>
      <c r="R3051" s="115" t="s">
        <v>1013</v>
      </c>
      <c r="S3051" s="125"/>
    </row>
    <row r="3052" spans="1:19" hidden="1">
      <c r="A3052" s="124" t="s">
        <v>5258</v>
      </c>
      <c r="B3052" s="149" t="str">
        <f>IFERROR(VLOOKUP(Proc[[#This Row],[App]],Table2[],3,0),"open")</f>
        <v>ok</v>
      </c>
      <c r="C3052" s="124" t="s">
        <v>369</v>
      </c>
      <c r="D3052" t="s">
        <v>5071</v>
      </c>
      <c r="E3052" t="s">
        <v>4068</v>
      </c>
      <c r="F3052" s="125" t="s">
        <v>4068</v>
      </c>
      <c r="G3052" s="124" t="s">
        <v>400</v>
      </c>
      <c r="H3052" s="125" t="str">
        <f>IF(Proc[[#This Row],[type]]="LFF (MDG-F)",MID(Proc[[#This Row],[Obj]],13,10),"")</f>
        <v/>
      </c>
      <c r="J3052" s="125" t="b">
        <f>Proc[[#This Row],[Requested]]=Proc[[#This Row],[CurrentParent]]</f>
        <v>1</v>
      </c>
      <c r="K3052" s="144" t="str">
        <f>IF(Proc[[#This Row],[Author]]="Marcela Urrego",VLOOKUP(LEFT(Proc[[#This Row],[Requested]],1),Table3[#All],2,0),VLOOKUP(Proc[[#This Row],[Author]],Table4[],2,0))</f>
        <v>HC</v>
      </c>
      <c r="L3052" s="125" t="s">
        <v>4894</v>
      </c>
      <c r="M3052" s="113">
        <v>45873</v>
      </c>
      <c r="N3052" s="113"/>
      <c r="O3052" s="113"/>
      <c r="P3052" s="115" t="str">
        <f ca="1">IF(Proc[[#This Row],[DaysAgeing]]&gt;5,"yep","on track")</f>
        <v>yep</v>
      </c>
      <c r="Q3052" s="3">
        <f ca="1">IF(Proc[[#This Row],[DateClosed]]="",ABS(NETWORKDAYS(Proc[[#This Row],[DateOpened]],TODAY()))-1,ABS(NETWORKDAYS(Proc[[#This Row],[DateOpened]],Proc[[#This Row],[DateClosed]]))-1)</f>
        <v>99</v>
      </c>
      <c r="R3052" s="115" t="s">
        <v>1013</v>
      </c>
      <c r="S3052" s="125"/>
    </row>
    <row r="3053" spans="1:19" hidden="1">
      <c r="A3053" s="124" t="s">
        <v>5258</v>
      </c>
      <c r="B3053" s="149" t="str">
        <f>IFERROR(VLOOKUP(Proc[[#This Row],[App]],Table2[],3,0),"open")</f>
        <v>ok</v>
      </c>
      <c r="C3053" s="124" t="s">
        <v>369</v>
      </c>
      <c r="D3053" t="s">
        <v>5072</v>
      </c>
      <c r="E3053" t="s">
        <v>4068</v>
      </c>
      <c r="F3053" s="125" t="s">
        <v>4068</v>
      </c>
      <c r="G3053" s="124" t="s">
        <v>400</v>
      </c>
      <c r="H3053" s="125" t="str">
        <f>IF(Proc[[#This Row],[type]]="LFF (MDG-F)",MID(Proc[[#This Row],[Obj]],13,10),"")</f>
        <v/>
      </c>
      <c r="J3053" s="125" t="b">
        <f>Proc[[#This Row],[Requested]]=Proc[[#This Row],[CurrentParent]]</f>
        <v>1</v>
      </c>
      <c r="K3053" s="144" t="str">
        <f>IF(Proc[[#This Row],[Author]]="Marcela Urrego",VLOOKUP(LEFT(Proc[[#This Row],[Requested]],1),Table3[#All],2,0),VLOOKUP(Proc[[#This Row],[Author]],Table4[],2,0))</f>
        <v>HC</v>
      </c>
      <c r="L3053" s="125" t="s">
        <v>4894</v>
      </c>
      <c r="M3053" s="113">
        <v>45873</v>
      </c>
      <c r="N3053" s="113"/>
      <c r="O3053" s="113"/>
      <c r="P3053" s="115" t="str">
        <f ca="1">IF(Proc[[#This Row],[DaysAgeing]]&gt;5,"yep","on track")</f>
        <v>yep</v>
      </c>
      <c r="Q3053" s="3">
        <f ca="1">IF(Proc[[#This Row],[DateClosed]]="",ABS(NETWORKDAYS(Proc[[#This Row],[DateOpened]],TODAY()))-1,ABS(NETWORKDAYS(Proc[[#This Row],[DateOpened]],Proc[[#This Row],[DateClosed]]))-1)</f>
        <v>99</v>
      </c>
      <c r="R3053" s="115" t="s">
        <v>1013</v>
      </c>
      <c r="S3053" s="125"/>
    </row>
    <row r="3054" spans="1:19" hidden="1">
      <c r="A3054" s="124" t="s">
        <v>5258</v>
      </c>
      <c r="B3054" s="149" t="str">
        <f>IFERROR(VLOOKUP(Proc[[#This Row],[App]],Table2[],3,0),"open")</f>
        <v>ok</v>
      </c>
      <c r="C3054" s="124" t="s">
        <v>369</v>
      </c>
      <c r="D3054" t="s">
        <v>5073</v>
      </c>
      <c r="E3054" t="s">
        <v>4068</v>
      </c>
      <c r="F3054" s="125" t="s">
        <v>4068</v>
      </c>
      <c r="G3054" s="124" t="s">
        <v>400</v>
      </c>
      <c r="H3054" s="125" t="str">
        <f>IF(Proc[[#This Row],[type]]="LFF (MDG-F)",MID(Proc[[#This Row],[Obj]],13,10),"")</f>
        <v/>
      </c>
      <c r="J3054" s="125" t="b">
        <f>Proc[[#This Row],[Requested]]=Proc[[#This Row],[CurrentParent]]</f>
        <v>1</v>
      </c>
      <c r="K3054" s="144" t="str">
        <f>IF(Proc[[#This Row],[Author]]="Marcela Urrego",VLOOKUP(LEFT(Proc[[#This Row],[Requested]],1),Table3[#All],2,0),VLOOKUP(Proc[[#This Row],[Author]],Table4[],2,0))</f>
        <v>HC</v>
      </c>
      <c r="L3054" s="125" t="s">
        <v>4894</v>
      </c>
      <c r="M3054" s="113">
        <v>45873</v>
      </c>
      <c r="N3054" s="113"/>
      <c r="O3054" s="113"/>
      <c r="P3054" s="115" t="str">
        <f ca="1">IF(Proc[[#This Row],[DaysAgeing]]&gt;5,"yep","on track")</f>
        <v>yep</v>
      </c>
      <c r="Q3054" s="3">
        <f ca="1">IF(Proc[[#This Row],[DateClosed]]="",ABS(NETWORKDAYS(Proc[[#This Row],[DateOpened]],TODAY()))-1,ABS(NETWORKDAYS(Proc[[#This Row],[DateOpened]],Proc[[#This Row],[DateClosed]]))-1)</f>
        <v>99</v>
      </c>
      <c r="R3054" s="115" t="s">
        <v>1013</v>
      </c>
      <c r="S3054" s="125"/>
    </row>
    <row r="3055" spans="1:19" hidden="1">
      <c r="A3055" s="124" t="s">
        <v>5258</v>
      </c>
      <c r="B3055" s="149" t="str">
        <f>IFERROR(VLOOKUP(Proc[[#This Row],[App]],Table2[],3,0),"open")</f>
        <v>ok</v>
      </c>
      <c r="C3055" s="124" t="s">
        <v>369</v>
      </c>
      <c r="D3055" t="s">
        <v>5074</v>
      </c>
      <c r="E3055" t="s">
        <v>4068</v>
      </c>
      <c r="F3055" s="125" t="s">
        <v>4068</v>
      </c>
      <c r="G3055" s="124" t="s">
        <v>400</v>
      </c>
      <c r="H3055" s="125" t="str">
        <f>IF(Proc[[#This Row],[type]]="LFF (MDG-F)",MID(Proc[[#This Row],[Obj]],13,10),"")</f>
        <v/>
      </c>
      <c r="J3055" s="125" t="b">
        <f>Proc[[#This Row],[Requested]]=Proc[[#This Row],[CurrentParent]]</f>
        <v>1</v>
      </c>
      <c r="K3055" s="144" t="str">
        <f>IF(Proc[[#This Row],[Author]]="Marcela Urrego",VLOOKUP(LEFT(Proc[[#This Row],[Requested]],1),Table3[#All],2,0),VLOOKUP(Proc[[#This Row],[Author]],Table4[],2,0))</f>
        <v>HC</v>
      </c>
      <c r="L3055" s="125" t="s">
        <v>4894</v>
      </c>
      <c r="M3055" s="113">
        <v>45873</v>
      </c>
      <c r="N3055" s="113"/>
      <c r="O3055" s="113"/>
      <c r="P3055" s="115" t="str">
        <f ca="1">IF(Proc[[#This Row],[DaysAgeing]]&gt;5,"yep","on track")</f>
        <v>yep</v>
      </c>
      <c r="Q3055" s="3">
        <f ca="1">IF(Proc[[#This Row],[DateClosed]]="",ABS(NETWORKDAYS(Proc[[#This Row],[DateOpened]],TODAY()))-1,ABS(NETWORKDAYS(Proc[[#This Row],[DateOpened]],Proc[[#This Row],[DateClosed]]))-1)</f>
        <v>99</v>
      </c>
      <c r="R3055" s="115" t="s">
        <v>1013</v>
      </c>
      <c r="S3055" s="125"/>
    </row>
    <row r="3056" spans="1:19" hidden="1">
      <c r="A3056" s="124" t="s">
        <v>5258</v>
      </c>
      <c r="B3056" s="149" t="str">
        <f>IFERROR(VLOOKUP(Proc[[#This Row],[App]],Table2[],3,0),"open")</f>
        <v>ok</v>
      </c>
      <c r="C3056" s="124" t="s">
        <v>369</v>
      </c>
      <c r="D3056" t="s">
        <v>5075</v>
      </c>
      <c r="E3056" t="s">
        <v>4068</v>
      </c>
      <c r="F3056" s="125" t="s">
        <v>4068</v>
      </c>
      <c r="G3056" s="124" t="s">
        <v>400</v>
      </c>
      <c r="H3056" s="125" t="str">
        <f>IF(Proc[[#This Row],[type]]="LFF (MDG-F)",MID(Proc[[#This Row],[Obj]],13,10),"")</f>
        <v/>
      </c>
      <c r="J3056" s="125" t="b">
        <f>Proc[[#This Row],[Requested]]=Proc[[#This Row],[CurrentParent]]</f>
        <v>1</v>
      </c>
      <c r="K3056" s="144" t="str">
        <f>IF(Proc[[#This Row],[Author]]="Marcela Urrego",VLOOKUP(LEFT(Proc[[#This Row],[Requested]],1),Table3[#All],2,0),VLOOKUP(Proc[[#This Row],[Author]],Table4[],2,0))</f>
        <v>HC</v>
      </c>
      <c r="L3056" s="125" t="s">
        <v>4894</v>
      </c>
      <c r="M3056" s="113">
        <v>45873</v>
      </c>
      <c r="N3056" s="113"/>
      <c r="O3056" s="113"/>
      <c r="P3056" s="115" t="str">
        <f ca="1">IF(Proc[[#This Row],[DaysAgeing]]&gt;5,"yep","on track")</f>
        <v>yep</v>
      </c>
      <c r="Q3056" s="3">
        <f ca="1">IF(Proc[[#This Row],[DateClosed]]="",ABS(NETWORKDAYS(Proc[[#This Row],[DateOpened]],TODAY()))-1,ABS(NETWORKDAYS(Proc[[#This Row],[DateOpened]],Proc[[#This Row],[DateClosed]]))-1)</f>
        <v>99</v>
      </c>
      <c r="R3056" s="115" t="s">
        <v>1013</v>
      </c>
      <c r="S3056" s="125"/>
    </row>
    <row r="3057" spans="1:19" hidden="1">
      <c r="A3057" s="124" t="s">
        <v>5258</v>
      </c>
      <c r="B3057" s="149" t="str">
        <f>IFERROR(VLOOKUP(Proc[[#This Row],[App]],Table2[],3,0),"open")</f>
        <v>ok</v>
      </c>
      <c r="C3057" s="124" t="s">
        <v>369</v>
      </c>
      <c r="D3057" t="s">
        <v>5076</v>
      </c>
      <c r="E3057" t="s">
        <v>4068</v>
      </c>
      <c r="F3057" s="125" t="s">
        <v>4068</v>
      </c>
      <c r="G3057" s="124" t="s">
        <v>400</v>
      </c>
      <c r="H3057" s="125" t="str">
        <f>IF(Proc[[#This Row],[type]]="LFF (MDG-F)",MID(Proc[[#This Row],[Obj]],13,10),"")</f>
        <v/>
      </c>
      <c r="J3057" s="125" t="b">
        <f>Proc[[#This Row],[Requested]]=Proc[[#This Row],[CurrentParent]]</f>
        <v>1</v>
      </c>
      <c r="K3057" s="144" t="str">
        <f>IF(Proc[[#This Row],[Author]]="Marcela Urrego",VLOOKUP(LEFT(Proc[[#This Row],[Requested]],1),Table3[#All],2,0),VLOOKUP(Proc[[#This Row],[Author]],Table4[],2,0))</f>
        <v>HC</v>
      </c>
      <c r="L3057" s="125" t="s">
        <v>4894</v>
      </c>
      <c r="M3057" s="113">
        <v>45873</v>
      </c>
      <c r="N3057" s="113"/>
      <c r="O3057" s="113"/>
      <c r="P3057" s="115" t="str">
        <f ca="1">IF(Proc[[#This Row],[DaysAgeing]]&gt;5,"yep","on track")</f>
        <v>yep</v>
      </c>
      <c r="Q3057" s="3">
        <f ca="1">IF(Proc[[#This Row],[DateClosed]]="",ABS(NETWORKDAYS(Proc[[#This Row],[DateOpened]],TODAY()))-1,ABS(NETWORKDAYS(Proc[[#This Row],[DateOpened]],Proc[[#This Row],[DateClosed]]))-1)</f>
        <v>99</v>
      </c>
      <c r="R3057" s="115" t="s">
        <v>1013</v>
      </c>
      <c r="S3057" s="125"/>
    </row>
    <row r="3058" spans="1:19" hidden="1">
      <c r="A3058" s="124" t="s">
        <v>5258</v>
      </c>
      <c r="B3058" s="149" t="str">
        <f>IFERROR(VLOOKUP(Proc[[#This Row],[App]],Table2[],3,0),"open")</f>
        <v>ok</v>
      </c>
      <c r="C3058" s="124" t="s">
        <v>369</v>
      </c>
      <c r="D3058" t="s">
        <v>5077</v>
      </c>
      <c r="E3058" t="s">
        <v>4068</v>
      </c>
      <c r="F3058" s="125" t="s">
        <v>4068</v>
      </c>
      <c r="G3058" s="124" t="s">
        <v>400</v>
      </c>
      <c r="H3058" s="125" t="str">
        <f>IF(Proc[[#This Row],[type]]="LFF (MDG-F)",MID(Proc[[#This Row],[Obj]],13,10),"")</f>
        <v/>
      </c>
      <c r="J3058" s="125" t="b">
        <f>Proc[[#This Row],[Requested]]=Proc[[#This Row],[CurrentParent]]</f>
        <v>1</v>
      </c>
      <c r="K3058" s="144" t="str">
        <f>IF(Proc[[#This Row],[Author]]="Marcela Urrego",VLOOKUP(LEFT(Proc[[#This Row],[Requested]],1),Table3[#All],2,0),VLOOKUP(Proc[[#This Row],[Author]],Table4[],2,0))</f>
        <v>HC</v>
      </c>
      <c r="L3058" s="125" t="s">
        <v>4894</v>
      </c>
      <c r="M3058" s="113">
        <v>45873</v>
      </c>
      <c r="N3058" s="113"/>
      <c r="O3058" s="113"/>
      <c r="P3058" s="115" t="str">
        <f ca="1">IF(Proc[[#This Row],[DaysAgeing]]&gt;5,"yep","on track")</f>
        <v>yep</v>
      </c>
      <c r="Q3058" s="3">
        <f ca="1">IF(Proc[[#This Row],[DateClosed]]="",ABS(NETWORKDAYS(Proc[[#This Row],[DateOpened]],TODAY()))-1,ABS(NETWORKDAYS(Proc[[#This Row],[DateOpened]],Proc[[#This Row],[DateClosed]]))-1)</f>
        <v>99</v>
      </c>
      <c r="R3058" s="115" t="s">
        <v>1013</v>
      </c>
      <c r="S3058" s="125"/>
    </row>
    <row r="3059" spans="1:19" hidden="1">
      <c r="A3059" s="124" t="s">
        <v>5258</v>
      </c>
      <c r="B3059" s="149" t="str">
        <f>IFERROR(VLOOKUP(Proc[[#This Row],[App]],Table2[],3,0),"open")</f>
        <v>ok</v>
      </c>
      <c r="C3059" s="124" t="s">
        <v>369</v>
      </c>
      <c r="D3059" t="s">
        <v>5078</v>
      </c>
      <c r="E3059" t="s">
        <v>4068</v>
      </c>
      <c r="F3059" s="125" t="s">
        <v>4068</v>
      </c>
      <c r="G3059" s="124" t="s">
        <v>400</v>
      </c>
      <c r="H3059" s="125" t="str">
        <f>IF(Proc[[#This Row],[type]]="LFF (MDG-F)",MID(Proc[[#This Row],[Obj]],13,10),"")</f>
        <v/>
      </c>
      <c r="J3059" s="125" t="b">
        <f>Proc[[#This Row],[Requested]]=Proc[[#This Row],[CurrentParent]]</f>
        <v>1</v>
      </c>
      <c r="K3059" s="144" t="str">
        <f>IF(Proc[[#This Row],[Author]]="Marcela Urrego",VLOOKUP(LEFT(Proc[[#This Row],[Requested]],1),Table3[#All],2,0),VLOOKUP(Proc[[#This Row],[Author]],Table4[],2,0))</f>
        <v>HC</v>
      </c>
      <c r="L3059" s="125" t="s">
        <v>4894</v>
      </c>
      <c r="M3059" s="113">
        <v>45873</v>
      </c>
      <c r="N3059" s="113"/>
      <c r="O3059" s="113"/>
      <c r="P3059" s="115" t="str">
        <f ca="1">IF(Proc[[#This Row],[DaysAgeing]]&gt;5,"yep","on track")</f>
        <v>yep</v>
      </c>
      <c r="Q3059" s="3">
        <f ca="1">IF(Proc[[#This Row],[DateClosed]]="",ABS(NETWORKDAYS(Proc[[#This Row],[DateOpened]],TODAY()))-1,ABS(NETWORKDAYS(Proc[[#This Row],[DateOpened]],Proc[[#This Row],[DateClosed]]))-1)</f>
        <v>99</v>
      </c>
      <c r="R3059" s="115" t="s">
        <v>1013</v>
      </c>
      <c r="S3059" s="125"/>
    </row>
    <row r="3060" spans="1:19" hidden="1">
      <c r="A3060" s="124" t="s">
        <v>5258</v>
      </c>
      <c r="B3060" s="149" t="str">
        <f>IFERROR(VLOOKUP(Proc[[#This Row],[App]],Table2[],3,0),"open")</f>
        <v>ok</v>
      </c>
      <c r="C3060" s="124" t="s">
        <v>369</v>
      </c>
      <c r="D3060" t="s">
        <v>5079</v>
      </c>
      <c r="E3060" t="s">
        <v>4068</v>
      </c>
      <c r="F3060" s="125" t="s">
        <v>4068</v>
      </c>
      <c r="G3060" s="124" t="s">
        <v>400</v>
      </c>
      <c r="H3060" s="125" t="str">
        <f>IF(Proc[[#This Row],[type]]="LFF (MDG-F)",MID(Proc[[#This Row],[Obj]],13,10),"")</f>
        <v/>
      </c>
      <c r="J3060" s="125" t="b">
        <f>Proc[[#This Row],[Requested]]=Proc[[#This Row],[CurrentParent]]</f>
        <v>1</v>
      </c>
      <c r="K3060" s="144" t="str">
        <f>IF(Proc[[#This Row],[Author]]="Marcela Urrego",VLOOKUP(LEFT(Proc[[#This Row],[Requested]],1),Table3[#All],2,0),VLOOKUP(Proc[[#This Row],[Author]],Table4[],2,0))</f>
        <v>HC</v>
      </c>
      <c r="L3060" s="125" t="s">
        <v>4894</v>
      </c>
      <c r="M3060" s="113">
        <v>45873</v>
      </c>
      <c r="N3060" s="113"/>
      <c r="O3060" s="113"/>
      <c r="P3060" s="115" t="str">
        <f ca="1">IF(Proc[[#This Row],[DaysAgeing]]&gt;5,"yep","on track")</f>
        <v>yep</v>
      </c>
      <c r="Q3060" s="3">
        <f ca="1">IF(Proc[[#This Row],[DateClosed]]="",ABS(NETWORKDAYS(Proc[[#This Row],[DateOpened]],TODAY()))-1,ABS(NETWORKDAYS(Proc[[#This Row],[DateOpened]],Proc[[#This Row],[DateClosed]]))-1)</f>
        <v>99</v>
      </c>
      <c r="R3060" s="115" t="s">
        <v>1013</v>
      </c>
      <c r="S3060" s="125"/>
    </row>
    <row r="3061" spans="1:19" hidden="1">
      <c r="A3061" s="124" t="s">
        <v>5258</v>
      </c>
      <c r="B3061" s="149" t="str">
        <f>IFERROR(VLOOKUP(Proc[[#This Row],[App]],Table2[],3,0),"open")</f>
        <v>ok</v>
      </c>
      <c r="C3061" s="124" t="s">
        <v>369</v>
      </c>
      <c r="D3061" t="s">
        <v>5080</v>
      </c>
      <c r="E3061" t="s">
        <v>4068</v>
      </c>
      <c r="F3061" s="125" t="s">
        <v>4068</v>
      </c>
      <c r="G3061" s="124" t="s">
        <v>400</v>
      </c>
      <c r="H3061" s="125" t="str">
        <f>IF(Proc[[#This Row],[type]]="LFF (MDG-F)",MID(Proc[[#This Row],[Obj]],13,10),"")</f>
        <v/>
      </c>
      <c r="J3061" s="125" t="b">
        <f>Proc[[#This Row],[Requested]]=Proc[[#This Row],[CurrentParent]]</f>
        <v>1</v>
      </c>
      <c r="K3061" s="144" t="str">
        <f>IF(Proc[[#This Row],[Author]]="Marcela Urrego",VLOOKUP(LEFT(Proc[[#This Row],[Requested]],1),Table3[#All],2,0),VLOOKUP(Proc[[#This Row],[Author]],Table4[],2,0))</f>
        <v>HC</v>
      </c>
      <c r="L3061" s="125" t="s">
        <v>4894</v>
      </c>
      <c r="M3061" s="113">
        <v>45873</v>
      </c>
      <c r="N3061" s="113"/>
      <c r="O3061" s="113"/>
      <c r="P3061" s="115" t="str">
        <f ca="1">IF(Proc[[#This Row],[DaysAgeing]]&gt;5,"yep","on track")</f>
        <v>yep</v>
      </c>
      <c r="Q3061" s="3">
        <f ca="1">IF(Proc[[#This Row],[DateClosed]]="",ABS(NETWORKDAYS(Proc[[#This Row],[DateOpened]],TODAY()))-1,ABS(NETWORKDAYS(Proc[[#This Row],[DateOpened]],Proc[[#This Row],[DateClosed]]))-1)</f>
        <v>99</v>
      </c>
      <c r="R3061" s="115" t="s">
        <v>1013</v>
      </c>
      <c r="S3061" s="125"/>
    </row>
    <row r="3062" spans="1:19" hidden="1">
      <c r="A3062" s="124" t="s">
        <v>5258</v>
      </c>
      <c r="B3062" s="149" t="str">
        <f>IFERROR(VLOOKUP(Proc[[#This Row],[App]],Table2[],3,0),"open")</f>
        <v>ok</v>
      </c>
      <c r="C3062" s="124" t="s">
        <v>369</v>
      </c>
      <c r="D3062" t="s">
        <v>5081</v>
      </c>
      <c r="E3062" t="s">
        <v>4068</v>
      </c>
      <c r="F3062" s="125" t="s">
        <v>4068</v>
      </c>
      <c r="G3062" s="124" t="s">
        <v>400</v>
      </c>
      <c r="H3062" s="125" t="str">
        <f>IF(Proc[[#This Row],[type]]="LFF (MDG-F)",MID(Proc[[#This Row],[Obj]],13,10),"")</f>
        <v/>
      </c>
      <c r="J3062" s="125" t="b">
        <f>Proc[[#This Row],[Requested]]=Proc[[#This Row],[CurrentParent]]</f>
        <v>1</v>
      </c>
      <c r="K3062" s="144" t="str">
        <f>IF(Proc[[#This Row],[Author]]="Marcela Urrego",VLOOKUP(LEFT(Proc[[#This Row],[Requested]],1),Table3[#All],2,0),VLOOKUP(Proc[[#This Row],[Author]],Table4[],2,0))</f>
        <v>HC</v>
      </c>
      <c r="L3062" s="125" t="s">
        <v>4894</v>
      </c>
      <c r="M3062" s="113">
        <v>45873</v>
      </c>
      <c r="N3062" s="113"/>
      <c r="O3062" s="113"/>
      <c r="P3062" s="115" t="str">
        <f ca="1">IF(Proc[[#This Row],[DaysAgeing]]&gt;5,"yep","on track")</f>
        <v>yep</v>
      </c>
      <c r="Q3062" s="3">
        <f ca="1">IF(Proc[[#This Row],[DateClosed]]="",ABS(NETWORKDAYS(Proc[[#This Row],[DateOpened]],TODAY()))-1,ABS(NETWORKDAYS(Proc[[#This Row],[DateOpened]],Proc[[#This Row],[DateClosed]]))-1)</f>
        <v>99</v>
      </c>
      <c r="R3062" s="115" t="s">
        <v>1013</v>
      </c>
      <c r="S3062" s="125"/>
    </row>
    <row r="3063" spans="1:19" hidden="1">
      <c r="A3063" s="124" t="s">
        <v>5258</v>
      </c>
      <c r="B3063" s="149" t="str">
        <f>IFERROR(VLOOKUP(Proc[[#This Row],[App]],Table2[],3,0),"open")</f>
        <v>ok</v>
      </c>
      <c r="C3063" s="124" t="s">
        <v>369</v>
      </c>
      <c r="D3063" t="s">
        <v>5082</v>
      </c>
      <c r="E3063" t="s">
        <v>4068</v>
      </c>
      <c r="F3063" s="125" t="s">
        <v>4068</v>
      </c>
      <c r="G3063" s="124" t="s">
        <v>400</v>
      </c>
      <c r="H3063" s="125" t="str">
        <f>IF(Proc[[#This Row],[type]]="LFF (MDG-F)",MID(Proc[[#This Row],[Obj]],13,10),"")</f>
        <v/>
      </c>
      <c r="J3063" s="125" t="b">
        <f>Proc[[#This Row],[Requested]]=Proc[[#This Row],[CurrentParent]]</f>
        <v>1</v>
      </c>
      <c r="K3063" s="144" t="str">
        <f>IF(Proc[[#This Row],[Author]]="Marcela Urrego",VLOOKUP(LEFT(Proc[[#This Row],[Requested]],1),Table3[#All],2,0),VLOOKUP(Proc[[#This Row],[Author]],Table4[],2,0))</f>
        <v>HC</v>
      </c>
      <c r="L3063" s="125" t="s">
        <v>4894</v>
      </c>
      <c r="M3063" s="113">
        <v>45873</v>
      </c>
      <c r="N3063" s="113"/>
      <c r="O3063" s="113"/>
      <c r="P3063" s="115" t="str">
        <f ca="1">IF(Proc[[#This Row],[DaysAgeing]]&gt;5,"yep","on track")</f>
        <v>yep</v>
      </c>
      <c r="Q3063" s="3">
        <f ca="1">IF(Proc[[#This Row],[DateClosed]]="",ABS(NETWORKDAYS(Proc[[#This Row],[DateOpened]],TODAY()))-1,ABS(NETWORKDAYS(Proc[[#This Row],[DateOpened]],Proc[[#This Row],[DateClosed]]))-1)</f>
        <v>99</v>
      </c>
      <c r="R3063" s="115" t="s">
        <v>1013</v>
      </c>
      <c r="S3063" s="125"/>
    </row>
    <row r="3064" spans="1:19" hidden="1">
      <c r="A3064" s="124" t="s">
        <v>5258</v>
      </c>
      <c r="B3064" s="149" t="str">
        <f>IFERROR(VLOOKUP(Proc[[#This Row],[App]],Table2[],3,0),"open")</f>
        <v>ok</v>
      </c>
      <c r="C3064" s="124" t="s">
        <v>369</v>
      </c>
      <c r="D3064" t="s">
        <v>5083</v>
      </c>
      <c r="E3064" t="s">
        <v>4068</v>
      </c>
      <c r="F3064" s="125" t="s">
        <v>4068</v>
      </c>
      <c r="G3064" s="124" t="s">
        <v>400</v>
      </c>
      <c r="H3064" s="125" t="str">
        <f>IF(Proc[[#This Row],[type]]="LFF (MDG-F)",MID(Proc[[#This Row],[Obj]],13,10),"")</f>
        <v/>
      </c>
      <c r="J3064" s="125" t="b">
        <f>Proc[[#This Row],[Requested]]=Proc[[#This Row],[CurrentParent]]</f>
        <v>1</v>
      </c>
      <c r="K3064" s="144" t="str">
        <f>IF(Proc[[#This Row],[Author]]="Marcela Urrego",VLOOKUP(LEFT(Proc[[#This Row],[Requested]],1),Table3[#All],2,0),VLOOKUP(Proc[[#This Row],[Author]],Table4[],2,0))</f>
        <v>HC</v>
      </c>
      <c r="L3064" s="125" t="s">
        <v>4894</v>
      </c>
      <c r="M3064" s="113">
        <v>45873</v>
      </c>
      <c r="N3064" s="113"/>
      <c r="O3064" s="113"/>
      <c r="P3064" s="115" t="str">
        <f ca="1">IF(Proc[[#This Row],[DaysAgeing]]&gt;5,"yep","on track")</f>
        <v>yep</v>
      </c>
      <c r="Q3064" s="3">
        <f ca="1">IF(Proc[[#This Row],[DateClosed]]="",ABS(NETWORKDAYS(Proc[[#This Row],[DateOpened]],TODAY()))-1,ABS(NETWORKDAYS(Proc[[#This Row],[DateOpened]],Proc[[#This Row],[DateClosed]]))-1)</f>
        <v>99</v>
      </c>
      <c r="R3064" s="115" t="s">
        <v>1013</v>
      </c>
      <c r="S3064" s="125"/>
    </row>
    <row r="3065" spans="1:19" hidden="1">
      <c r="A3065" s="124" t="s">
        <v>5258</v>
      </c>
      <c r="B3065" s="149" t="str">
        <f>IFERROR(VLOOKUP(Proc[[#This Row],[App]],Table2[],3,0),"open")</f>
        <v>ok</v>
      </c>
      <c r="C3065" s="124" t="s">
        <v>369</v>
      </c>
      <c r="D3065" t="s">
        <v>5084</v>
      </c>
      <c r="E3065" t="s">
        <v>4068</v>
      </c>
      <c r="F3065" s="125" t="s">
        <v>4068</v>
      </c>
      <c r="G3065" s="124" t="s">
        <v>400</v>
      </c>
      <c r="H3065" s="125" t="str">
        <f>IF(Proc[[#This Row],[type]]="LFF (MDG-F)",MID(Proc[[#This Row],[Obj]],13,10),"")</f>
        <v/>
      </c>
      <c r="J3065" s="125" t="b">
        <f>Proc[[#This Row],[Requested]]=Proc[[#This Row],[CurrentParent]]</f>
        <v>1</v>
      </c>
      <c r="K3065" s="144" t="str">
        <f>IF(Proc[[#This Row],[Author]]="Marcela Urrego",VLOOKUP(LEFT(Proc[[#This Row],[Requested]],1),Table3[#All],2,0),VLOOKUP(Proc[[#This Row],[Author]],Table4[],2,0))</f>
        <v>HC</v>
      </c>
      <c r="L3065" s="125" t="s">
        <v>4894</v>
      </c>
      <c r="M3065" s="113">
        <v>45873</v>
      </c>
      <c r="N3065" s="113"/>
      <c r="O3065" s="113"/>
      <c r="P3065" s="115" t="str">
        <f ca="1">IF(Proc[[#This Row],[DaysAgeing]]&gt;5,"yep","on track")</f>
        <v>yep</v>
      </c>
      <c r="Q3065" s="3">
        <f ca="1">IF(Proc[[#This Row],[DateClosed]]="",ABS(NETWORKDAYS(Proc[[#This Row],[DateOpened]],TODAY()))-1,ABS(NETWORKDAYS(Proc[[#This Row],[DateOpened]],Proc[[#This Row],[DateClosed]]))-1)</f>
        <v>99</v>
      </c>
      <c r="R3065" s="115" t="s">
        <v>1013</v>
      </c>
      <c r="S3065" s="125"/>
    </row>
    <row r="3066" spans="1:19" hidden="1">
      <c r="A3066" s="124" t="s">
        <v>5258</v>
      </c>
      <c r="B3066" s="149" t="str">
        <f>IFERROR(VLOOKUP(Proc[[#This Row],[App]],Table2[],3,0),"open")</f>
        <v>ok</v>
      </c>
      <c r="C3066" s="124" t="s">
        <v>369</v>
      </c>
      <c r="D3066" t="s">
        <v>5085</v>
      </c>
      <c r="E3066" t="s">
        <v>4068</v>
      </c>
      <c r="F3066" s="125" t="s">
        <v>4068</v>
      </c>
      <c r="G3066" s="124" t="s">
        <v>400</v>
      </c>
      <c r="H3066" s="125" t="str">
        <f>IF(Proc[[#This Row],[type]]="LFF (MDG-F)",MID(Proc[[#This Row],[Obj]],13,10),"")</f>
        <v/>
      </c>
      <c r="J3066" s="125" t="b">
        <f>Proc[[#This Row],[Requested]]=Proc[[#This Row],[CurrentParent]]</f>
        <v>1</v>
      </c>
      <c r="K3066" s="144" t="str">
        <f>IF(Proc[[#This Row],[Author]]="Marcela Urrego",VLOOKUP(LEFT(Proc[[#This Row],[Requested]],1),Table3[#All],2,0),VLOOKUP(Proc[[#This Row],[Author]],Table4[],2,0))</f>
        <v>HC</v>
      </c>
      <c r="L3066" s="125" t="s">
        <v>4894</v>
      </c>
      <c r="M3066" s="113">
        <v>45873</v>
      </c>
      <c r="N3066" s="113"/>
      <c r="O3066" s="113"/>
      <c r="P3066" s="115" t="str">
        <f ca="1">IF(Proc[[#This Row],[DaysAgeing]]&gt;5,"yep","on track")</f>
        <v>yep</v>
      </c>
      <c r="Q3066" s="3">
        <f ca="1">IF(Proc[[#This Row],[DateClosed]]="",ABS(NETWORKDAYS(Proc[[#This Row],[DateOpened]],TODAY()))-1,ABS(NETWORKDAYS(Proc[[#This Row],[DateOpened]],Proc[[#This Row],[DateClosed]]))-1)</f>
        <v>99</v>
      </c>
      <c r="R3066" s="115" t="s">
        <v>1013</v>
      </c>
      <c r="S3066" s="125"/>
    </row>
    <row r="3067" spans="1:19" hidden="1">
      <c r="A3067" s="124" t="s">
        <v>5258</v>
      </c>
      <c r="B3067" s="149" t="str">
        <f>IFERROR(VLOOKUP(Proc[[#This Row],[App]],Table2[],3,0),"open")</f>
        <v>ok</v>
      </c>
      <c r="C3067" s="124" t="s">
        <v>369</v>
      </c>
      <c r="D3067" t="s">
        <v>5086</v>
      </c>
      <c r="E3067" t="s">
        <v>4068</v>
      </c>
      <c r="F3067" s="125" t="s">
        <v>4068</v>
      </c>
      <c r="G3067" s="124" t="s">
        <v>400</v>
      </c>
      <c r="H3067" s="125" t="str">
        <f>IF(Proc[[#This Row],[type]]="LFF (MDG-F)",MID(Proc[[#This Row],[Obj]],13,10),"")</f>
        <v/>
      </c>
      <c r="J3067" s="125" t="b">
        <f>Proc[[#This Row],[Requested]]=Proc[[#This Row],[CurrentParent]]</f>
        <v>1</v>
      </c>
      <c r="K3067" s="144" t="str">
        <f>IF(Proc[[#This Row],[Author]]="Marcela Urrego",VLOOKUP(LEFT(Proc[[#This Row],[Requested]],1),Table3[#All],2,0),VLOOKUP(Proc[[#This Row],[Author]],Table4[],2,0))</f>
        <v>HC</v>
      </c>
      <c r="L3067" s="125" t="s">
        <v>4894</v>
      </c>
      <c r="M3067" s="113">
        <v>45873</v>
      </c>
      <c r="N3067" s="113"/>
      <c r="O3067" s="113"/>
      <c r="P3067" s="115" t="str">
        <f ca="1">IF(Proc[[#This Row],[DaysAgeing]]&gt;5,"yep","on track")</f>
        <v>yep</v>
      </c>
      <c r="Q3067" s="3">
        <f ca="1">IF(Proc[[#This Row],[DateClosed]]="",ABS(NETWORKDAYS(Proc[[#This Row],[DateOpened]],TODAY()))-1,ABS(NETWORKDAYS(Proc[[#This Row],[DateOpened]],Proc[[#This Row],[DateClosed]]))-1)</f>
        <v>99</v>
      </c>
      <c r="R3067" s="115" t="s">
        <v>1013</v>
      </c>
      <c r="S3067" s="125"/>
    </row>
    <row r="3068" spans="1:19" hidden="1">
      <c r="A3068" s="124" t="s">
        <v>5258</v>
      </c>
      <c r="B3068" s="149" t="str">
        <f>IFERROR(VLOOKUP(Proc[[#This Row],[App]],Table2[],3,0),"open")</f>
        <v>ok</v>
      </c>
      <c r="C3068" s="124" t="s">
        <v>369</v>
      </c>
      <c r="D3068" t="s">
        <v>5087</v>
      </c>
      <c r="E3068" t="s">
        <v>4068</v>
      </c>
      <c r="F3068" s="125" t="s">
        <v>4068</v>
      </c>
      <c r="G3068" s="124" t="s">
        <v>400</v>
      </c>
      <c r="H3068" s="125" t="str">
        <f>IF(Proc[[#This Row],[type]]="LFF (MDG-F)",MID(Proc[[#This Row],[Obj]],13,10),"")</f>
        <v/>
      </c>
      <c r="J3068" s="125" t="b">
        <f>Proc[[#This Row],[Requested]]=Proc[[#This Row],[CurrentParent]]</f>
        <v>1</v>
      </c>
      <c r="K3068" s="144" t="str">
        <f>IF(Proc[[#This Row],[Author]]="Marcela Urrego",VLOOKUP(LEFT(Proc[[#This Row],[Requested]],1),Table3[#All],2,0),VLOOKUP(Proc[[#This Row],[Author]],Table4[],2,0))</f>
        <v>HC</v>
      </c>
      <c r="L3068" s="125" t="s">
        <v>4894</v>
      </c>
      <c r="M3068" s="113">
        <v>45873</v>
      </c>
      <c r="N3068" s="113"/>
      <c r="O3068" s="113"/>
      <c r="P3068" s="115" t="str">
        <f ca="1">IF(Proc[[#This Row],[DaysAgeing]]&gt;5,"yep","on track")</f>
        <v>yep</v>
      </c>
      <c r="Q3068" s="3">
        <f ca="1">IF(Proc[[#This Row],[DateClosed]]="",ABS(NETWORKDAYS(Proc[[#This Row],[DateOpened]],TODAY()))-1,ABS(NETWORKDAYS(Proc[[#This Row],[DateOpened]],Proc[[#This Row],[DateClosed]]))-1)</f>
        <v>99</v>
      </c>
      <c r="R3068" s="115" t="s">
        <v>1013</v>
      </c>
      <c r="S3068" s="125"/>
    </row>
    <row r="3069" spans="1:19" hidden="1">
      <c r="A3069" s="124" t="s">
        <v>5258</v>
      </c>
      <c r="B3069" s="149" t="str">
        <f>IFERROR(VLOOKUP(Proc[[#This Row],[App]],Table2[],3,0),"open")</f>
        <v>ok</v>
      </c>
      <c r="C3069" s="124" t="s">
        <v>369</v>
      </c>
      <c r="D3069" t="s">
        <v>5088</v>
      </c>
      <c r="E3069" t="s">
        <v>4068</v>
      </c>
      <c r="F3069" s="125" t="s">
        <v>4068</v>
      </c>
      <c r="G3069" s="124" t="s">
        <v>400</v>
      </c>
      <c r="H3069" s="125" t="str">
        <f>IF(Proc[[#This Row],[type]]="LFF (MDG-F)",MID(Proc[[#This Row],[Obj]],13,10),"")</f>
        <v/>
      </c>
      <c r="J3069" s="125" t="b">
        <f>Proc[[#This Row],[Requested]]=Proc[[#This Row],[CurrentParent]]</f>
        <v>1</v>
      </c>
      <c r="K3069" s="144" t="str">
        <f>IF(Proc[[#This Row],[Author]]="Marcela Urrego",VLOOKUP(LEFT(Proc[[#This Row],[Requested]],1),Table3[#All],2,0),VLOOKUP(Proc[[#This Row],[Author]],Table4[],2,0))</f>
        <v>HC</v>
      </c>
      <c r="L3069" s="125" t="s">
        <v>4894</v>
      </c>
      <c r="M3069" s="113">
        <v>45873</v>
      </c>
      <c r="N3069" s="113"/>
      <c r="O3069" s="113"/>
      <c r="P3069" s="115" t="str">
        <f ca="1">IF(Proc[[#This Row],[DaysAgeing]]&gt;5,"yep","on track")</f>
        <v>yep</v>
      </c>
      <c r="Q3069" s="3">
        <f ca="1">IF(Proc[[#This Row],[DateClosed]]="",ABS(NETWORKDAYS(Proc[[#This Row],[DateOpened]],TODAY()))-1,ABS(NETWORKDAYS(Proc[[#This Row],[DateOpened]],Proc[[#This Row],[DateClosed]]))-1)</f>
        <v>99</v>
      </c>
      <c r="R3069" s="115" t="s">
        <v>1013</v>
      </c>
      <c r="S3069" s="125"/>
    </row>
    <row r="3070" spans="1:19" hidden="1">
      <c r="A3070" s="124" t="s">
        <v>5258</v>
      </c>
      <c r="B3070" s="149" t="str">
        <f>IFERROR(VLOOKUP(Proc[[#This Row],[App]],Table2[],3,0),"open")</f>
        <v>ok</v>
      </c>
      <c r="C3070" s="124" t="s">
        <v>369</v>
      </c>
      <c r="D3070" t="s">
        <v>5089</v>
      </c>
      <c r="E3070" t="s">
        <v>4068</v>
      </c>
      <c r="F3070" s="125" t="s">
        <v>4068</v>
      </c>
      <c r="G3070" s="124" t="s">
        <v>400</v>
      </c>
      <c r="H3070" s="125" t="str">
        <f>IF(Proc[[#This Row],[type]]="LFF (MDG-F)",MID(Proc[[#This Row],[Obj]],13,10),"")</f>
        <v/>
      </c>
      <c r="J3070" s="125" t="b">
        <f>Proc[[#This Row],[Requested]]=Proc[[#This Row],[CurrentParent]]</f>
        <v>1</v>
      </c>
      <c r="K3070" s="144" t="str">
        <f>IF(Proc[[#This Row],[Author]]="Marcela Urrego",VLOOKUP(LEFT(Proc[[#This Row],[Requested]],1),Table3[#All],2,0),VLOOKUP(Proc[[#This Row],[Author]],Table4[],2,0))</f>
        <v>HC</v>
      </c>
      <c r="L3070" s="125" t="s">
        <v>4894</v>
      </c>
      <c r="M3070" s="113">
        <v>45873</v>
      </c>
      <c r="N3070" s="113"/>
      <c r="O3070" s="113"/>
      <c r="P3070" s="115" t="str">
        <f ca="1">IF(Proc[[#This Row],[DaysAgeing]]&gt;5,"yep","on track")</f>
        <v>yep</v>
      </c>
      <c r="Q3070" s="3">
        <f ca="1">IF(Proc[[#This Row],[DateClosed]]="",ABS(NETWORKDAYS(Proc[[#This Row],[DateOpened]],TODAY()))-1,ABS(NETWORKDAYS(Proc[[#This Row],[DateOpened]],Proc[[#This Row],[DateClosed]]))-1)</f>
        <v>99</v>
      </c>
      <c r="R3070" s="115" t="s">
        <v>1013</v>
      </c>
      <c r="S3070" s="125"/>
    </row>
    <row r="3071" spans="1:19" hidden="1">
      <c r="A3071" s="124" t="s">
        <v>5258</v>
      </c>
      <c r="B3071" s="149" t="str">
        <f>IFERROR(VLOOKUP(Proc[[#This Row],[App]],Table2[],3,0),"open")</f>
        <v>ok</v>
      </c>
      <c r="C3071" s="124" t="s">
        <v>369</v>
      </c>
      <c r="D3071" t="s">
        <v>5090</v>
      </c>
      <c r="E3071" t="s">
        <v>4068</v>
      </c>
      <c r="F3071" s="125" t="s">
        <v>4068</v>
      </c>
      <c r="G3071" s="124" t="s">
        <v>400</v>
      </c>
      <c r="H3071" s="125" t="str">
        <f>IF(Proc[[#This Row],[type]]="LFF (MDG-F)",MID(Proc[[#This Row],[Obj]],13,10),"")</f>
        <v/>
      </c>
      <c r="J3071" s="125" t="b">
        <f>Proc[[#This Row],[Requested]]=Proc[[#This Row],[CurrentParent]]</f>
        <v>1</v>
      </c>
      <c r="K3071" s="144" t="str">
        <f>IF(Proc[[#This Row],[Author]]="Marcela Urrego",VLOOKUP(LEFT(Proc[[#This Row],[Requested]],1),Table3[#All],2,0),VLOOKUP(Proc[[#This Row],[Author]],Table4[],2,0))</f>
        <v>HC</v>
      </c>
      <c r="L3071" s="125" t="s">
        <v>4894</v>
      </c>
      <c r="M3071" s="113">
        <v>45873</v>
      </c>
      <c r="N3071" s="113"/>
      <c r="O3071" s="113"/>
      <c r="P3071" s="115" t="str">
        <f ca="1">IF(Proc[[#This Row],[DaysAgeing]]&gt;5,"yep","on track")</f>
        <v>yep</v>
      </c>
      <c r="Q3071" s="3">
        <f ca="1">IF(Proc[[#This Row],[DateClosed]]="",ABS(NETWORKDAYS(Proc[[#This Row],[DateOpened]],TODAY()))-1,ABS(NETWORKDAYS(Proc[[#This Row],[DateOpened]],Proc[[#This Row],[DateClosed]]))-1)</f>
        <v>99</v>
      </c>
      <c r="R3071" s="115" t="s">
        <v>1013</v>
      </c>
      <c r="S3071" s="125"/>
    </row>
    <row r="3072" spans="1:19" hidden="1">
      <c r="A3072" s="124" t="s">
        <v>5258</v>
      </c>
      <c r="B3072" s="149" t="str">
        <f>IFERROR(VLOOKUP(Proc[[#This Row],[App]],Table2[],3,0),"open")</f>
        <v>ok</v>
      </c>
      <c r="C3072" s="124" t="s">
        <v>369</v>
      </c>
      <c r="D3072" t="s">
        <v>5091</v>
      </c>
      <c r="E3072" t="s">
        <v>4068</v>
      </c>
      <c r="F3072" s="125" t="s">
        <v>4068</v>
      </c>
      <c r="G3072" s="124" t="s">
        <v>400</v>
      </c>
      <c r="H3072" s="125" t="str">
        <f>IF(Proc[[#This Row],[type]]="LFF (MDG-F)",MID(Proc[[#This Row],[Obj]],13,10),"")</f>
        <v/>
      </c>
      <c r="J3072" s="125" t="b">
        <f>Proc[[#This Row],[Requested]]=Proc[[#This Row],[CurrentParent]]</f>
        <v>1</v>
      </c>
      <c r="K3072" s="144" t="str">
        <f>IF(Proc[[#This Row],[Author]]="Marcela Urrego",VLOOKUP(LEFT(Proc[[#This Row],[Requested]],1),Table3[#All],2,0),VLOOKUP(Proc[[#This Row],[Author]],Table4[],2,0))</f>
        <v>HC</v>
      </c>
      <c r="L3072" s="125" t="s">
        <v>4894</v>
      </c>
      <c r="M3072" s="113">
        <v>45873</v>
      </c>
      <c r="N3072" s="113"/>
      <c r="O3072" s="113"/>
      <c r="P3072" s="115" t="str">
        <f ca="1">IF(Proc[[#This Row],[DaysAgeing]]&gt;5,"yep","on track")</f>
        <v>yep</v>
      </c>
      <c r="Q3072" s="3">
        <f ca="1">IF(Proc[[#This Row],[DateClosed]]="",ABS(NETWORKDAYS(Proc[[#This Row],[DateOpened]],TODAY()))-1,ABS(NETWORKDAYS(Proc[[#This Row],[DateOpened]],Proc[[#This Row],[DateClosed]]))-1)</f>
        <v>99</v>
      </c>
      <c r="R3072" s="115" t="s">
        <v>1013</v>
      </c>
      <c r="S3072" s="125"/>
    </row>
    <row r="3073" spans="1:19" hidden="1">
      <c r="A3073" s="124" t="s">
        <v>5258</v>
      </c>
      <c r="B3073" s="149" t="str">
        <f>IFERROR(VLOOKUP(Proc[[#This Row],[App]],Table2[],3,0),"open")</f>
        <v>ok</v>
      </c>
      <c r="C3073" s="124" t="s">
        <v>369</v>
      </c>
      <c r="D3073" t="s">
        <v>5092</v>
      </c>
      <c r="E3073" t="s">
        <v>4068</v>
      </c>
      <c r="F3073" s="125" t="s">
        <v>4068</v>
      </c>
      <c r="G3073" s="124" t="s">
        <v>400</v>
      </c>
      <c r="H3073" s="125" t="str">
        <f>IF(Proc[[#This Row],[type]]="LFF (MDG-F)",MID(Proc[[#This Row],[Obj]],13,10),"")</f>
        <v/>
      </c>
      <c r="J3073" s="125" t="b">
        <f>Proc[[#This Row],[Requested]]=Proc[[#This Row],[CurrentParent]]</f>
        <v>1</v>
      </c>
      <c r="K3073" s="144" t="str">
        <f>IF(Proc[[#This Row],[Author]]="Marcela Urrego",VLOOKUP(LEFT(Proc[[#This Row],[Requested]],1),Table3[#All],2,0),VLOOKUP(Proc[[#This Row],[Author]],Table4[],2,0))</f>
        <v>HC</v>
      </c>
      <c r="L3073" s="125" t="s">
        <v>4894</v>
      </c>
      <c r="M3073" s="113">
        <v>45873</v>
      </c>
      <c r="N3073" s="113"/>
      <c r="O3073" s="113"/>
      <c r="P3073" s="115" t="str">
        <f ca="1">IF(Proc[[#This Row],[DaysAgeing]]&gt;5,"yep","on track")</f>
        <v>yep</v>
      </c>
      <c r="Q3073" s="3">
        <f ca="1">IF(Proc[[#This Row],[DateClosed]]="",ABS(NETWORKDAYS(Proc[[#This Row],[DateOpened]],TODAY()))-1,ABS(NETWORKDAYS(Proc[[#This Row],[DateOpened]],Proc[[#This Row],[DateClosed]]))-1)</f>
        <v>99</v>
      </c>
      <c r="R3073" s="115" t="s">
        <v>1013</v>
      </c>
      <c r="S3073" s="125"/>
    </row>
    <row r="3074" spans="1:19" hidden="1">
      <c r="A3074" s="124" t="s">
        <v>5258</v>
      </c>
      <c r="B3074" s="149" t="str">
        <f>IFERROR(VLOOKUP(Proc[[#This Row],[App]],Table2[],3,0),"open")</f>
        <v>ok</v>
      </c>
      <c r="C3074" s="124" t="s">
        <v>369</v>
      </c>
      <c r="D3074" t="s">
        <v>5093</v>
      </c>
      <c r="E3074" t="s">
        <v>4068</v>
      </c>
      <c r="F3074" s="125" t="s">
        <v>4068</v>
      </c>
      <c r="G3074" s="124" t="s">
        <v>400</v>
      </c>
      <c r="H3074" s="125" t="str">
        <f>IF(Proc[[#This Row],[type]]="LFF (MDG-F)",MID(Proc[[#This Row],[Obj]],13,10),"")</f>
        <v/>
      </c>
      <c r="J3074" s="125" t="b">
        <f>Proc[[#This Row],[Requested]]=Proc[[#This Row],[CurrentParent]]</f>
        <v>1</v>
      </c>
      <c r="K3074" s="144" t="str">
        <f>IF(Proc[[#This Row],[Author]]="Marcela Urrego",VLOOKUP(LEFT(Proc[[#This Row],[Requested]],1),Table3[#All],2,0),VLOOKUP(Proc[[#This Row],[Author]],Table4[],2,0))</f>
        <v>HC</v>
      </c>
      <c r="L3074" s="125" t="s">
        <v>4894</v>
      </c>
      <c r="M3074" s="113">
        <v>45873</v>
      </c>
      <c r="N3074" s="113"/>
      <c r="O3074" s="113"/>
      <c r="P3074" s="115" t="str">
        <f ca="1">IF(Proc[[#This Row],[DaysAgeing]]&gt;5,"yep","on track")</f>
        <v>yep</v>
      </c>
      <c r="Q3074" s="3">
        <f ca="1">IF(Proc[[#This Row],[DateClosed]]="",ABS(NETWORKDAYS(Proc[[#This Row],[DateOpened]],TODAY()))-1,ABS(NETWORKDAYS(Proc[[#This Row],[DateOpened]],Proc[[#This Row],[DateClosed]]))-1)</f>
        <v>99</v>
      </c>
      <c r="R3074" s="115" t="s">
        <v>1013</v>
      </c>
      <c r="S3074" s="125"/>
    </row>
    <row r="3075" spans="1:19" hidden="1">
      <c r="A3075" s="124" t="s">
        <v>5258</v>
      </c>
      <c r="B3075" s="149" t="str">
        <f>IFERROR(VLOOKUP(Proc[[#This Row],[App]],Table2[],3,0),"open")</f>
        <v>ok</v>
      </c>
      <c r="C3075" s="124" t="s">
        <v>369</v>
      </c>
      <c r="D3075" t="s">
        <v>5094</v>
      </c>
      <c r="E3075" t="s">
        <v>4068</v>
      </c>
      <c r="F3075" s="125" t="s">
        <v>4068</v>
      </c>
      <c r="G3075" s="124" t="s">
        <v>400</v>
      </c>
      <c r="H3075" s="125" t="str">
        <f>IF(Proc[[#This Row],[type]]="LFF (MDG-F)",MID(Proc[[#This Row],[Obj]],13,10),"")</f>
        <v/>
      </c>
      <c r="J3075" s="125" t="b">
        <f>Proc[[#This Row],[Requested]]=Proc[[#This Row],[CurrentParent]]</f>
        <v>1</v>
      </c>
      <c r="K3075" s="144" t="str">
        <f>IF(Proc[[#This Row],[Author]]="Marcela Urrego",VLOOKUP(LEFT(Proc[[#This Row],[Requested]],1),Table3[#All],2,0),VLOOKUP(Proc[[#This Row],[Author]],Table4[],2,0))</f>
        <v>HC</v>
      </c>
      <c r="L3075" s="125" t="s">
        <v>4894</v>
      </c>
      <c r="M3075" s="113">
        <v>45873</v>
      </c>
      <c r="N3075" s="113"/>
      <c r="O3075" s="113"/>
      <c r="P3075" s="115" t="str">
        <f ca="1">IF(Proc[[#This Row],[DaysAgeing]]&gt;5,"yep","on track")</f>
        <v>yep</v>
      </c>
      <c r="Q3075" s="3">
        <f ca="1">IF(Proc[[#This Row],[DateClosed]]="",ABS(NETWORKDAYS(Proc[[#This Row],[DateOpened]],TODAY()))-1,ABS(NETWORKDAYS(Proc[[#This Row],[DateOpened]],Proc[[#This Row],[DateClosed]]))-1)</f>
        <v>99</v>
      </c>
      <c r="R3075" s="115" t="s">
        <v>1013</v>
      </c>
      <c r="S3075" s="125"/>
    </row>
    <row r="3076" spans="1:19" hidden="1">
      <c r="A3076" s="124" t="s">
        <v>5258</v>
      </c>
      <c r="B3076" s="149" t="str">
        <f>IFERROR(VLOOKUP(Proc[[#This Row],[App]],Table2[],3,0),"open")</f>
        <v>ok</v>
      </c>
      <c r="C3076" s="124" t="s">
        <v>369</v>
      </c>
      <c r="D3076" t="s">
        <v>5095</v>
      </c>
      <c r="E3076" t="s">
        <v>4068</v>
      </c>
      <c r="F3076" s="125" t="s">
        <v>4068</v>
      </c>
      <c r="G3076" s="124" t="s">
        <v>400</v>
      </c>
      <c r="H3076" s="125" t="str">
        <f>IF(Proc[[#This Row],[type]]="LFF (MDG-F)",MID(Proc[[#This Row],[Obj]],13,10),"")</f>
        <v/>
      </c>
      <c r="J3076" s="125" t="b">
        <f>Proc[[#This Row],[Requested]]=Proc[[#This Row],[CurrentParent]]</f>
        <v>1</v>
      </c>
      <c r="K3076" s="144" t="str">
        <f>IF(Proc[[#This Row],[Author]]="Marcela Urrego",VLOOKUP(LEFT(Proc[[#This Row],[Requested]],1),Table3[#All],2,0),VLOOKUP(Proc[[#This Row],[Author]],Table4[],2,0))</f>
        <v>HC</v>
      </c>
      <c r="L3076" s="125" t="s">
        <v>4894</v>
      </c>
      <c r="M3076" s="113">
        <v>45873</v>
      </c>
      <c r="N3076" s="113"/>
      <c r="O3076" s="113"/>
      <c r="P3076" s="115" t="str">
        <f ca="1">IF(Proc[[#This Row],[DaysAgeing]]&gt;5,"yep","on track")</f>
        <v>yep</v>
      </c>
      <c r="Q3076" s="3">
        <f ca="1">IF(Proc[[#This Row],[DateClosed]]="",ABS(NETWORKDAYS(Proc[[#This Row],[DateOpened]],TODAY()))-1,ABS(NETWORKDAYS(Proc[[#This Row],[DateOpened]],Proc[[#This Row],[DateClosed]]))-1)</f>
        <v>99</v>
      </c>
      <c r="R3076" s="115" t="s">
        <v>1013</v>
      </c>
      <c r="S3076" s="125"/>
    </row>
    <row r="3077" spans="1:19" hidden="1">
      <c r="A3077" s="124" t="s">
        <v>5258</v>
      </c>
      <c r="B3077" s="149" t="str">
        <f>IFERROR(VLOOKUP(Proc[[#This Row],[App]],Table2[],3,0),"open")</f>
        <v>ok</v>
      </c>
      <c r="C3077" s="124" t="s">
        <v>369</v>
      </c>
      <c r="D3077" t="s">
        <v>5096</v>
      </c>
      <c r="E3077" t="s">
        <v>4068</v>
      </c>
      <c r="F3077" s="125" t="s">
        <v>4068</v>
      </c>
      <c r="G3077" s="124" t="s">
        <v>400</v>
      </c>
      <c r="H3077" s="125" t="str">
        <f>IF(Proc[[#This Row],[type]]="LFF (MDG-F)",MID(Proc[[#This Row],[Obj]],13,10),"")</f>
        <v/>
      </c>
      <c r="J3077" s="125" t="b">
        <f>Proc[[#This Row],[Requested]]=Proc[[#This Row],[CurrentParent]]</f>
        <v>1</v>
      </c>
      <c r="K3077" s="144" t="str">
        <f>IF(Proc[[#This Row],[Author]]="Marcela Urrego",VLOOKUP(LEFT(Proc[[#This Row],[Requested]],1),Table3[#All],2,0),VLOOKUP(Proc[[#This Row],[Author]],Table4[],2,0))</f>
        <v>HC</v>
      </c>
      <c r="L3077" s="125" t="s">
        <v>4894</v>
      </c>
      <c r="M3077" s="113">
        <v>45873</v>
      </c>
      <c r="N3077" s="113"/>
      <c r="O3077" s="113"/>
      <c r="P3077" s="115" t="str">
        <f ca="1">IF(Proc[[#This Row],[DaysAgeing]]&gt;5,"yep","on track")</f>
        <v>yep</v>
      </c>
      <c r="Q3077" s="3">
        <f ca="1">IF(Proc[[#This Row],[DateClosed]]="",ABS(NETWORKDAYS(Proc[[#This Row],[DateOpened]],TODAY()))-1,ABS(NETWORKDAYS(Proc[[#This Row],[DateOpened]],Proc[[#This Row],[DateClosed]]))-1)</f>
        <v>99</v>
      </c>
      <c r="R3077" s="115" t="s">
        <v>1013</v>
      </c>
      <c r="S3077" s="125"/>
    </row>
    <row r="3078" spans="1:19" hidden="1">
      <c r="A3078" s="124" t="s">
        <v>5258</v>
      </c>
      <c r="B3078" s="149" t="str">
        <f>IFERROR(VLOOKUP(Proc[[#This Row],[App]],Table2[],3,0),"open")</f>
        <v>ok</v>
      </c>
      <c r="C3078" s="124" t="s">
        <v>369</v>
      </c>
      <c r="D3078" t="s">
        <v>5097</v>
      </c>
      <c r="E3078" t="s">
        <v>4068</v>
      </c>
      <c r="F3078" s="125" t="s">
        <v>4068</v>
      </c>
      <c r="G3078" s="124" t="s">
        <v>400</v>
      </c>
      <c r="H3078" s="125" t="str">
        <f>IF(Proc[[#This Row],[type]]="LFF (MDG-F)",MID(Proc[[#This Row],[Obj]],13,10),"")</f>
        <v/>
      </c>
      <c r="J3078" s="125" t="b">
        <f>Proc[[#This Row],[Requested]]=Proc[[#This Row],[CurrentParent]]</f>
        <v>1</v>
      </c>
      <c r="K3078" s="144" t="str">
        <f>IF(Proc[[#This Row],[Author]]="Marcela Urrego",VLOOKUP(LEFT(Proc[[#This Row],[Requested]],1),Table3[#All],2,0),VLOOKUP(Proc[[#This Row],[Author]],Table4[],2,0))</f>
        <v>HC</v>
      </c>
      <c r="L3078" s="125" t="s">
        <v>4894</v>
      </c>
      <c r="M3078" s="113">
        <v>45873</v>
      </c>
      <c r="N3078" s="113"/>
      <c r="O3078" s="113"/>
      <c r="P3078" s="115" t="str">
        <f ca="1">IF(Proc[[#This Row],[DaysAgeing]]&gt;5,"yep","on track")</f>
        <v>yep</v>
      </c>
      <c r="Q3078" s="3">
        <f ca="1">IF(Proc[[#This Row],[DateClosed]]="",ABS(NETWORKDAYS(Proc[[#This Row],[DateOpened]],TODAY()))-1,ABS(NETWORKDAYS(Proc[[#This Row],[DateOpened]],Proc[[#This Row],[DateClosed]]))-1)</f>
        <v>99</v>
      </c>
      <c r="R3078" s="115" t="s">
        <v>1013</v>
      </c>
      <c r="S3078" s="125"/>
    </row>
    <row r="3079" spans="1:19" hidden="1">
      <c r="A3079" s="124" t="s">
        <v>5258</v>
      </c>
      <c r="B3079" s="149" t="str">
        <f>IFERROR(VLOOKUP(Proc[[#This Row],[App]],Table2[],3,0),"open")</f>
        <v>ok</v>
      </c>
      <c r="C3079" s="124" t="s">
        <v>369</v>
      </c>
      <c r="D3079" t="s">
        <v>5098</v>
      </c>
      <c r="E3079" t="s">
        <v>4068</v>
      </c>
      <c r="F3079" s="125" t="s">
        <v>4068</v>
      </c>
      <c r="G3079" s="124" t="s">
        <v>400</v>
      </c>
      <c r="H3079" s="125" t="str">
        <f>IF(Proc[[#This Row],[type]]="LFF (MDG-F)",MID(Proc[[#This Row],[Obj]],13,10),"")</f>
        <v/>
      </c>
      <c r="J3079" s="125" t="b">
        <f>Proc[[#This Row],[Requested]]=Proc[[#This Row],[CurrentParent]]</f>
        <v>1</v>
      </c>
      <c r="K3079" s="144" t="str">
        <f>IF(Proc[[#This Row],[Author]]="Marcela Urrego",VLOOKUP(LEFT(Proc[[#This Row],[Requested]],1),Table3[#All],2,0),VLOOKUP(Proc[[#This Row],[Author]],Table4[],2,0))</f>
        <v>HC</v>
      </c>
      <c r="L3079" s="125" t="s">
        <v>4894</v>
      </c>
      <c r="M3079" s="113">
        <v>45873</v>
      </c>
      <c r="N3079" s="113"/>
      <c r="O3079" s="113"/>
      <c r="P3079" s="115" t="str">
        <f ca="1">IF(Proc[[#This Row],[DaysAgeing]]&gt;5,"yep","on track")</f>
        <v>yep</v>
      </c>
      <c r="Q3079" s="3">
        <f ca="1">IF(Proc[[#This Row],[DateClosed]]="",ABS(NETWORKDAYS(Proc[[#This Row],[DateOpened]],TODAY()))-1,ABS(NETWORKDAYS(Proc[[#This Row],[DateOpened]],Proc[[#This Row],[DateClosed]]))-1)</f>
        <v>99</v>
      </c>
      <c r="R3079" s="115" t="s">
        <v>1013</v>
      </c>
      <c r="S3079" s="125"/>
    </row>
    <row r="3080" spans="1:19" hidden="1">
      <c r="A3080" s="124" t="s">
        <v>5258</v>
      </c>
      <c r="B3080" s="149" t="str">
        <f>IFERROR(VLOOKUP(Proc[[#This Row],[App]],Table2[],3,0),"open")</f>
        <v>ok</v>
      </c>
      <c r="C3080" s="124" t="s">
        <v>369</v>
      </c>
      <c r="D3080" t="s">
        <v>5099</v>
      </c>
      <c r="E3080" t="s">
        <v>4068</v>
      </c>
      <c r="F3080" s="125" t="s">
        <v>4068</v>
      </c>
      <c r="G3080" s="124" t="s">
        <v>400</v>
      </c>
      <c r="H3080" s="125" t="str">
        <f>IF(Proc[[#This Row],[type]]="LFF (MDG-F)",MID(Proc[[#This Row],[Obj]],13,10),"")</f>
        <v/>
      </c>
      <c r="J3080" s="125" t="b">
        <f>Proc[[#This Row],[Requested]]=Proc[[#This Row],[CurrentParent]]</f>
        <v>1</v>
      </c>
      <c r="K3080" s="144" t="str">
        <f>IF(Proc[[#This Row],[Author]]="Marcela Urrego",VLOOKUP(LEFT(Proc[[#This Row],[Requested]],1),Table3[#All],2,0),VLOOKUP(Proc[[#This Row],[Author]],Table4[],2,0))</f>
        <v>HC</v>
      </c>
      <c r="L3080" s="125" t="s">
        <v>4894</v>
      </c>
      <c r="M3080" s="113">
        <v>45873</v>
      </c>
      <c r="N3080" s="113"/>
      <c r="O3080" s="113"/>
      <c r="P3080" s="115" t="str">
        <f ca="1">IF(Proc[[#This Row],[DaysAgeing]]&gt;5,"yep","on track")</f>
        <v>yep</v>
      </c>
      <c r="Q3080" s="3">
        <f ca="1">IF(Proc[[#This Row],[DateClosed]]="",ABS(NETWORKDAYS(Proc[[#This Row],[DateOpened]],TODAY()))-1,ABS(NETWORKDAYS(Proc[[#This Row],[DateOpened]],Proc[[#This Row],[DateClosed]]))-1)</f>
        <v>99</v>
      </c>
      <c r="R3080" s="115" t="s">
        <v>1013</v>
      </c>
      <c r="S3080" s="125"/>
    </row>
    <row r="3081" spans="1:19" hidden="1">
      <c r="A3081" s="124" t="s">
        <v>5258</v>
      </c>
      <c r="B3081" s="149" t="str">
        <f>IFERROR(VLOOKUP(Proc[[#This Row],[App]],Table2[],3,0),"open")</f>
        <v>ok</v>
      </c>
      <c r="C3081" s="124" t="s">
        <v>369</v>
      </c>
      <c r="D3081" t="s">
        <v>5100</v>
      </c>
      <c r="E3081" t="s">
        <v>4068</v>
      </c>
      <c r="F3081" s="125" t="s">
        <v>4068</v>
      </c>
      <c r="G3081" s="124" t="s">
        <v>400</v>
      </c>
      <c r="H3081" s="125" t="str">
        <f>IF(Proc[[#This Row],[type]]="LFF (MDG-F)",MID(Proc[[#This Row],[Obj]],13,10),"")</f>
        <v/>
      </c>
      <c r="J3081" s="125" t="b">
        <f>Proc[[#This Row],[Requested]]=Proc[[#This Row],[CurrentParent]]</f>
        <v>1</v>
      </c>
      <c r="K3081" s="144" t="str">
        <f>IF(Proc[[#This Row],[Author]]="Marcela Urrego",VLOOKUP(LEFT(Proc[[#This Row],[Requested]],1),Table3[#All],2,0),VLOOKUP(Proc[[#This Row],[Author]],Table4[],2,0))</f>
        <v>HC</v>
      </c>
      <c r="L3081" s="125" t="s">
        <v>4894</v>
      </c>
      <c r="M3081" s="113">
        <v>45873</v>
      </c>
      <c r="N3081" s="113"/>
      <c r="O3081" s="113"/>
      <c r="P3081" s="115" t="str">
        <f ca="1">IF(Proc[[#This Row],[DaysAgeing]]&gt;5,"yep","on track")</f>
        <v>yep</v>
      </c>
      <c r="Q3081" s="3">
        <f ca="1">IF(Proc[[#This Row],[DateClosed]]="",ABS(NETWORKDAYS(Proc[[#This Row],[DateOpened]],TODAY()))-1,ABS(NETWORKDAYS(Proc[[#This Row],[DateOpened]],Proc[[#This Row],[DateClosed]]))-1)</f>
        <v>99</v>
      </c>
      <c r="R3081" s="115" t="s">
        <v>1013</v>
      </c>
      <c r="S3081" s="125"/>
    </row>
    <row r="3082" spans="1:19" hidden="1">
      <c r="A3082" s="124" t="s">
        <v>5258</v>
      </c>
      <c r="B3082" s="149" t="str">
        <f>IFERROR(VLOOKUP(Proc[[#This Row],[App]],Table2[],3,0),"open")</f>
        <v>ok</v>
      </c>
      <c r="C3082" s="124" t="s">
        <v>369</v>
      </c>
      <c r="D3082" t="s">
        <v>5101</v>
      </c>
      <c r="E3082" t="s">
        <v>4068</v>
      </c>
      <c r="F3082" s="125" t="s">
        <v>4068</v>
      </c>
      <c r="G3082" s="124" t="s">
        <v>400</v>
      </c>
      <c r="H3082" s="125" t="str">
        <f>IF(Proc[[#This Row],[type]]="LFF (MDG-F)",MID(Proc[[#This Row],[Obj]],13,10),"")</f>
        <v/>
      </c>
      <c r="J3082" s="125" t="b">
        <f>Proc[[#This Row],[Requested]]=Proc[[#This Row],[CurrentParent]]</f>
        <v>1</v>
      </c>
      <c r="K3082" s="144" t="str">
        <f>IF(Proc[[#This Row],[Author]]="Marcela Urrego",VLOOKUP(LEFT(Proc[[#This Row],[Requested]],1),Table3[#All],2,0),VLOOKUP(Proc[[#This Row],[Author]],Table4[],2,0))</f>
        <v>HC</v>
      </c>
      <c r="L3082" s="125" t="s">
        <v>4894</v>
      </c>
      <c r="M3082" s="113">
        <v>45873</v>
      </c>
      <c r="N3082" s="113"/>
      <c r="O3082" s="113"/>
      <c r="P3082" s="115" t="str">
        <f ca="1">IF(Proc[[#This Row],[DaysAgeing]]&gt;5,"yep","on track")</f>
        <v>yep</v>
      </c>
      <c r="Q3082" s="3">
        <f ca="1">IF(Proc[[#This Row],[DateClosed]]="",ABS(NETWORKDAYS(Proc[[#This Row],[DateOpened]],TODAY()))-1,ABS(NETWORKDAYS(Proc[[#This Row],[DateOpened]],Proc[[#This Row],[DateClosed]]))-1)</f>
        <v>99</v>
      </c>
      <c r="R3082" s="115" t="s">
        <v>1013</v>
      </c>
      <c r="S3082" s="125"/>
    </row>
    <row r="3083" spans="1:19" hidden="1">
      <c r="A3083" s="124" t="s">
        <v>5258</v>
      </c>
      <c r="B3083" s="149" t="str">
        <f>IFERROR(VLOOKUP(Proc[[#This Row],[App]],Table2[],3,0),"open")</f>
        <v>ok</v>
      </c>
      <c r="C3083" s="124" t="s">
        <v>369</v>
      </c>
      <c r="D3083" t="s">
        <v>5102</v>
      </c>
      <c r="E3083" t="s">
        <v>4068</v>
      </c>
      <c r="F3083" s="125" t="s">
        <v>4068</v>
      </c>
      <c r="G3083" s="124" t="s">
        <v>400</v>
      </c>
      <c r="H3083" s="125" t="str">
        <f>IF(Proc[[#This Row],[type]]="LFF (MDG-F)",MID(Proc[[#This Row],[Obj]],13,10),"")</f>
        <v/>
      </c>
      <c r="J3083" s="125" t="b">
        <f>Proc[[#This Row],[Requested]]=Proc[[#This Row],[CurrentParent]]</f>
        <v>1</v>
      </c>
      <c r="K3083" s="144" t="str">
        <f>IF(Proc[[#This Row],[Author]]="Marcela Urrego",VLOOKUP(LEFT(Proc[[#This Row],[Requested]],1),Table3[#All],2,0),VLOOKUP(Proc[[#This Row],[Author]],Table4[],2,0))</f>
        <v>HC</v>
      </c>
      <c r="L3083" s="125" t="s">
        <v>4894</v>
      </c>
      <c r="M3083" s="113">
        <v>45873</v>
      </c>
      <c r="N3083" s="113"/>
      <c r="O3083" s="113"/>
      <c r="P3083" s="115" t="str">
        <f ca="1">IF(Proc[[#This Row],[DaysAgeing]]&gt;5,"yep","on track")</f>
        <v>yep</v>
      </c>
      <c r="Q3083" s="3">
        <f ca="1">IF(Proc[[#This Row],[DateClosed]]="",ABS(NETWORKDAYS(Proc[[#This Row],[DateOpened]],TODAY()))-1,ABS(NETWORKDAYS(Proc[[#This Row],[DateOpened]],Proc[[#This Row],[DateClosed]]))-1)</f>
        <v>99</v>
      </c>
      <c r="R3083" s="115" t="s">
        <v>1013</v>
      </c>
      <c r="S3083" s="125"/>
    </row>
    <row r="3084" spans="1:19" hidden="1">
      <c r="A3084" s="124" t="s">
        <v>5258</v>
      </c>
      <c r="B3084" s="149" t="str">
        <f>IFERROR(VLOOKUP(Proc[[#This Row],[App]],Table2[],3,0),"open")</f>
        <v>ok</v>
      </c>
      <c r="C3084" s="124" t="s">
        <v>369</v>
      </c>
      <c r="D3084" t="s">
        <v>5103</v>
      </c>
      <c r="E3084" t="s">
        <v>4068</v>
      </c>
      <c r="F3084" s="125" t="s">
        <v>4068</v>
      </c>
      <c r="G3084" s="124" t="s">
        <v>400</v>
      </c>
      <c r="H3084" s="125" t="str">
        <f>IF(Proc[[#This Row],[type]]="LFF (MDG-F)",MID(Proc[[#This Row],[Obj]],13,10),"")</f>
        <v/>
      </c>
      <c r="J3084" s="125" t="b">
        <f>Proc[[#This Row],[Requested]]=Proc[[#This Row],[CurrentParent]]</f>
        <v>1</v>
      </c>
      <c r="K3084" s="144" t="str">
        <f>IF(Proc[[#This Row],[Author]]="Marcela Urrego",VLOOKUP(LEFT(Proc[[#This Row],[Requested]],1),Table3[#All],2,0),VLOOKUP(Proc[[#This Row],[Author]],Table4[],2,0))</f>
        <v>HC</v>
      </c>
      <c r="L3084" s="125" t="s">
        <v>4894</v>
      </c>
      <c r="M3084" s="113">
        <v>45873</v>
      </c>
      <c r="N3084" s="113"/>
      <c r="O3084" s="113"/>
      <c r="P3084" s="115" t="str">
        <f ca="1">IF(Proc[[#This Row],[DaysAgeing]]&gt;5,"yep","on track")</f>
        <v>yep</v>
      </c>
      <c r="Q3084" s="3">
        <f ca="1">IF(Proc[[#This Row],[DateClosed]]="",ABS(NETWORKDAYS(Proc[[#This Row],[DateOpened]],TODAY()))-1,ABS(NETWORKDAYS(Proc[[#This Row],[DateOpened]],Proc[[#This Row],[DateClosed]]))-1)</f>
        <v>99</v>
      </c>
      <c r="R3084" s="115" t="s">
        <v>1013</v>
      </c>
      <c r="S3084" s="125"/>
    </row>
    <row r="3085" spans="1:19" hidden="1">
      <c r="A3085" s="124" t="s">
        <v>5258</v>
      </c>
      <c r="B3085" s="149" t="str">
        <f>IFERROR(VLOOKUP(Proc[[#This Row],[App]],Table2[],3,0),"open")</f>
        <v>ok</v>
      </c>
      <c r="C3085" s="124" t="s">
        <v>369</v>
      </c>
      <c r="D3085" t="s">
        <v>5104</v>
      </c>
      <c r="E3085" t="s">
        <v>4068</v>
      </c>
      <c r="F3085" s="125" t="s">
        <v>4068</v>
      </c>
      <c r="G3085" s="124" t="s">
        <v>400</v>
      </c>
      <c r="H3085" s="125" t="str">
        <f>IF(Proc[[#This Row],[type]]="LFF (MDG-F)",MID(Proc[[#This Row],[Obj]],13,10),"")</f>
        <v/>
      </c>
      <c r="J3085" s="125" t="b">
        <f>Proc[[#This Row],[Requested]]=Proc[[#This Row],[CurrentParent]]</f>
        <v>1</v>
      </c>
      <c r="K3085" s="144" t="str">
        <f>IF(Proc[[#This Row],[Author]]="Marcela Urrego",VLOOKUP(LEFT(Proc[[#This Row],[Requested]],1),Table3[#All],2,0),VLOOKUP(Proc[[#This Row],[Author]],Table4[],2,0))</f>
        <v>HC</v>
      </c>
      <c r="L3085" s="125" t="s">
        <v>4894</v>
      </c>
      <c r="M3085" s="113">
        <v>45873</v>
      </c>
      <c r="N3085" s="113"/>
      <c r="O3085" s="113"/>
      <c r="P3085" s="115" t="str">
        <f ca="1">IF(Proc[[#This Row],[DaysAgeing]]&gt;5,"yep","on track")</f>
        <v>yep</v>
      </c>
      <c r="Q3085" s="3">
        <f ca="1">IF(Proc[[#This Row],[DateClosed]]="",ABS(NETWORKDAYS(Proc[[#This Row],[DateOpened]],TODAY()))-1,ABS(NETWORKDAYS(Proc[[#This Row],[DateOpened]],Proc[[#This Row],[DateClosed]]))-1)</f>
        <v>99</v>
      </c>
      <c r="R3085" s="115" t="s">
        <v>1013</v>
      </c>
      <c r="S3085" s="125"/>
    </row>
    <row r="3086" spans="1:19" hidden="1">
      <c r="A3086" s="124" t="s">
        <v>5258</v>
      </c>
      <c r="B3086" s="149" t="str">
        <f>IFERROR(VLOOKUP(Proc[[#This Row],[App]],Table2[],3,0),"open")</f>
        <v>ok</v>
      </c>
      <c r="C3086" s="124" t="s">
        <v>369</v>
      </c>
      <c r="D3086" t="s">
        <v>5105</v>
      </c>
      <c r="E3086" t="s">
        <v>4068</v>
      </c>
      <c r="F3086" s="125" t="s">
        <v>4068</v>
      </c>
      <c r="G3086" s="124" t="s">
        <v>400</v>
      </c>
      <c r="H3086" s="125" t="str">
        <f>IF(Proc[[#This Row],[type]]="LFF (MDG-F)",MID(Proc[[#This Row],[Obj]],13,10),"")</f>
        <v/>
      </c>
      <c r="J3086" s="125" t="b">
        <f>Proc[[#This Row],[Requested]]=Proc[[#This Row],[CurrentParent]]</f>
        <v>1</v>
      </c>
      <c r="K3086" s="144" t="str">
        <f>IF(Proc[[#This Row],[Author]]="Marcela Urrego",VLOOKUP(LEFT(Proc[[#This Row],[Requested]],1),Table3[#All],2,0),VLOOKUP(Proc[[#This Row],[Author]],Table4[],2,0))</f>
        <v>HC</v>
      </c>
      <c r="L3086" s="125" t="s">
        <v>4894</v>
      </c>
      <c r="M3086" s="113">
        <v>45873</v>
      </c>
      <c r="N3086" s="113"/>
      <c r="O3086" s="113"/>
      <c r="P3086" s="115" t="str">
        <f ca="1">IF(Proc[[#This Row],[DaysAgeing]]&gt;5,"yep","on track")</f>
        <v>yep</v>
      </c>
      <c r="Q3086" s="3">
        <f ca="1">IF(Proc[[#This Row],[DateClosed]]="",ABS(NETWORKDAYS(Proc[[#This Row],[DateOpened]],TODAY()))-1,ABS(NETWORKDAYS(Proc[[#This Row],[DateOpened]],Proc[[#This Row],[DateClosed]]))-1)</f>
        <v>99</v>
      </c>
      <c r="R3086" s="115" t="s">
        <v>1013</v>
      </c>
      <c r="S3086" s="125"/>
    </row>
    <row r="3087" spans="1:19" hidden="1">
      <c r="A3087" s="124" t="s">
        <v>5258</v>
      </c>
      <c r="B3087" s="149" t="str">
        <f>IFERROR(VLOOKUP(Proc[[#This Row],[App]],Table2[],3,0),"open")</f>
        <v>ok</v>
      </c>
      <c r="C3087" s="124" t="s">
        <v>369</v>
      </c>
      <c r="D3087" t="s">
        <v>5106</v>
      </c>
      <c r="E3087" t="s">
        <v>4068</v>
      </c>
      <c r="F3087" s="125" t="s">
        <v>4068</v>
      </c>
      <c r="G3087" s="124" t="s">
        <v>400</v>
      </c>
      <c r="H3087" s="125" t="str">
        <f>IF(Proc[[#This Row],[type]]="LFF (MDG-F)",MID(Proc[[#This Row],[Obj]],13,10),"")</f>
        <v/>
      </c>
      <c r="J3087" s="125" t="b">
        <f>Proc[[#This Row],[Requested]]=Proc[[#This Row],[CurrentParent]]</f>
        <v>1</v>
      </c>
      <c r="K3087" s="144" t="str">
        <f>IF(Proc[[#This Row],[Author]]="Marcela Urrego",VLOOKUP(LEFT(Proc[[#This Row],[Requested]],1),Table3[#All],2,0),VLOOKUP(Proc[[#This Row],[Author]],Table4[],2,0))</f>
        <v>HC</v>
      </c>
      <c r="L3087" s="125" t="s">
        <v>4894</v>
      </c>
      <c r="M3087" s="113">
        <v>45873</v>
      </c>
      <c r="N3087" s="113"/>
      <c r="O3087" s="113"/>
      <c r="P3087" s="115" t="str">
        <f ca="1">IF(Proc[[#This Row],[DaysAgeing]]&gt;5,"yep","on track")</f>
        <v>yep</v>
      </c>
      <c r="Q3087" s="3">
        <f ca="1">IF(Proc[[#This Row],[DateClosed]]="",ABS(NETWORKDAYS(Proc[[#This Row],[DateOpened]],TODAY()))-1,ABS(NETWORKDAYS(Proc[[#This Row],[DateOpened]],Proc[[#This Row],[DateClosed]]))-1)</f>
        <v>99</v>
      </c>
      <c r="R3087" s="115" t="s">
        <v>1013</v>
      </c>
      <c r="S3087" s="125"/>
    </row>
    <row r="3088" spans="1:19" hidden="1">
      <c r="A3088" s="124" t="s">
        <v>5258</v>
      </c>
      <c r="B3088" s="149" t="str">
        <f>IFERROR(VLOOKUP(Proc[[#This Row],[App]],Table2[],3,0),"open")</f>
        <v>ok</v>
      </c>
      <c r="C3088" s="124" t="s">
        <v>369</v>
      </c>
      <c r="D3088" t="s">
        <v>5107</v>
      </c>
      <c r="E3088" t="s">
        <v>4068</v>
      </c>
      <c r="F3088" s="125" t="s">
        <v>4068</v>
      </c>
      <c r="G3088" s="124" t="s">
        <v>400</v>
      </c>
      <c r="H3088" s="125" t="str">
        <f>IF(Proc[[#This Row],[type]]="LFF (MDG-F)",MID(Proc[[#This Row],[Obj]],13,10),"")</f>
        <v/>
      </c>
      <c r="J3088" s="125" t="b">
        <f>Proc[[#This Row],[Requested]]=Proc[[#This Row],[CurrentParent]]</f>
        <v>1</v>
      </c>
      <c r="K3088" s="144" t="str">
        <f>IF(Proc[[#This Row],[Author]]="Marcela Urrego",VLOOKUP(LEFT(Proc[[#This Row],[Requested]],1),Table3[#All],2,0),VLOOKUP(Proc[[#This Row],[Author]],Table4[],2,0))</f>
        <v>HC</v>
      </c>
      <c r="L3088" s="125" t="s">
        <v>4894</v>
      </c>
      <c r="M3088" s="113">
        <v>45873</v>
      </c>
      <c r="N3088" s="113"/>
      <c r="O3088" s="113"/>
      <c r="P3088" s="115" t="str">
        <f ca="1">IF(Proc[[#This Row],[DaysAgeing]]&gt;5,"yep","on track")</f>
        <v>yep</v>
      </c>
      <c r="Q3088" s="3">
        <f ca="1">IF(Proc[[#This Row],[DateClosed]]="",ABS(NETWORKDAYS(Proc[[#This Row],[DateOpened]],TODAY()))-1,ABS(NETWORKDAYS(Proc[[#This Row],[DateOpened]],Proc[[#This Row],[DateClosed]]))-1)</f>
        <v>99</v>
      </c>
      <c r="R3088" s="115" t="s">
        <v>1013</v>
      </c>
      <c r="S3088" s="125"/>
    </row>
    <row r="3089" spans="1:19" hidden="1">
      <c r="A3089" s="124" t="s">
        <v>5258</v>
      </c>
      <c r="B3089" s="149" t="str">
        <f>IFERROR(VLOOKUP(Proc[[#This Row],[App]],Table2[],3,0),"open")</f>
        <v>ok</v>
      </c>
      <c r="C3089" s="124" t="s">
        <v>369</v>
      </c>
      <c r="D3089" t="s">
        <v>5108</v>
      </c>
      <c r="E3089" t="s">
        <v>4068</v>
      </c>
      <c r="F3089" s="125" t="s">
        <v>4068</v>
      </c>
      <c r="G3089" s="124" t="s">
        <v>400</v>
      </c>
      <c r="H3089" s="125" t="str">
        <f>IF(Proc[[#This Row],[type]]="LFF (MDG-F)",MID(Proc[[#This Row],[Obj]],13,10),"")</f>
        <v/>
      </c>
      <c r="J3089" s="125" t="b">
        <f>Proc[[#This Row],[Requested]]=Proc[[#This Row],[CurrentParent]]</f>
        <v>1</v>
      </c>
      <c r="K3089" s="144" t="str">
        <f>IF(Proc[[#This Row],[Author]]="Marcela Urrego",VLOOKUP(LEFT(Proc[[#This Row],[Requested]],1),Table3[#All],2,0),VLOOKUP(Proc[[#This Row],[Author]],Table4[],2,0))</f>
        <v>HC</v>
      </c>
      <c r="L3089" s="125" t="s">
        <v>4894</v>
      </c>
      <c r="M3089" s="113">
        <v>45873</v>
      </c>
      <c r="N3089" s="113"/>
      <c r="O3089" s="113"/>
      <c r="P3089" s="115" t="str">
        <f ca="1">IF(Proc[[#This Row],[DaysAgeing]]&gt;5,"yep","on track")</f>
        <v>yep</v>
      </c>
      <c r="Q3089" s="3">
        <f ca="1">IF(Proc[[#This Row],[DateClosed]]="",ABS(NETWORKDAYS(Proc[[#This Row],[DateOpened]],TODAY()))-1,ABS(NETWORKDAYS(Proc[[#This Row],[DateOpened]],Proc[[#This Row],[DateClosed]]))-1)</f>
        <v>99</v>
      </c>
      <c r="R3089" s="115" t="s">
        <v>1013</v>
      </c>
      <c r="S3089" s="125"/>
    </row>
    <row r="3090" spans="1:19" hidden="1">
      <c r="A3090" s="124" t="s">
        <v>5258</v>
      </c>
      <c r="B3090" s="149" t="str">
        <f>IFERROR(VLOOKUP(Proc[[#This Row],[App]],Table2[],3,0),"open")</f>
        <v>ok</v>
      </c>
      <c r="C3090" s="124" t="s">
        <v>369</v>
      </c>
      <c r="D3090" t="s">
        <v>5109</v>
      </c>
      <c r="E3090" t="s">
        <v>4068</v>
      </c>
      <c r="F3090" s="125" t="s">
        <v>4068</v>
      </c>
      <c r="G3090" s="124" t="s">
        <v>400</v>
      </c>
      <c r="H3090" s="125" t="str">
        <f>IF(Proc[[#This Row],[type]]="LFF (MDG-F)",MID(Proc[[#This Row],[Obj]],13,10),"")</f>
        <v/>
      </c>
      <c r="J3090" s="125" t="b">
        <f>Proc[[#This Row],[Requested]]=Proc[[#This Row],[CurrentParent]]</f>
        <v>1</v>
      </c>
      <c r="K3090" s="144" t="str">
        <f>IF(Proc[[#This Row],[Author]]="Marcela Urrego",VLOOKUP(LEFT(Proc[[#This Row],[Requested]],1),Table3[#All],2,0),VLOOKUP(Proc[[#This Row],[Author]],Table4[],2,0))</f>
        <v>HC</v>
      </c>
      <c r="L3090" s="125" t="s">
        <v>4894</v>
      </c>
      <c r="M3090" s="113">
        <v>45873</v>
      </c>
      <c r="N3090" s="113"/>
      <c r="O3090" s="113"/>
      <c r="P3090" s="115" t="str">
        <f ca="1">IF(Proc[[#This Row],[DaysAgeing]]&gt;5,"yep","on track")</f>
        <v>yep</v>
      </c>
      <c r="Q3090" s="3">
        <f ca="1">IF(Proc[[#This Row],[DateClosed]]="",ABS(NETWORKDAYS(Proc[[#This Row],[DateOpened]],TODAY()))-1,ABS(NETWORKDAYS(Proc[[#This Row],[DateOpened]],Proc[[#This Row],[DateClosed]]))-1)</f>
        <v>99</v>
      </c>
      <c r="R3090" s="115" t="s">
        <v>1013</v>
      </c>
      <c r="S3090" s="125"/>
    </row>
    <row r="3091" spans="1:19" hidden="1">
      <c r="A3091" s="124" t="s">
        <v>5258</v>
      </c>
      <c r="B3091" s="149" t="str">
        <f>IFERROR(VLOOKUP(Proc[[#This Row],[App]],Table2[],3,0),"open")</f>
        <v>ok</v>
      </c>
      <c r="C3091" s="124" t="s">
        <v>369</v>
      </c>
      <c r="D3091" t="s">
        <v>5110</v>
      </c>
      <c r="E3091" t="s">
        <v>4068</v>
      </c>
      <c r="F3091" s="125" t="s">
        <v>4068</v>
      </c>
      <c r="G3091" s="124" t="s">
        <v>400</v>
      </c>
      <c r="H3091" s="125" t="str">
        <f>IF(Proc[[#This Row],[type]]="LFF (MDG-F)",MID(Proc[[#This Row],[Obj]],13,10),"")</f>
        <v/>
      </c>
      <c r="J3091" s="125" t="b">
        <f>Proc[[#This Row],[Requested]]=Proc[[#This Row],[CurrentParent]]</f>
        <v>1</v>
      </c>
      <c r="K3091" s="144" t="str">
        <f>IF(Proc[[#This Row],[Author]]="Marcela Urrego",VLOOKUP(LEFT(Proc[[#This Row],[Requested]],1),Table3[#All],2,0),VLOOKUP(Proc[[#This Row],[Author]],Table4[],2,0))</f>
        <v>HC</v>
      </c>
      <c r="L3091" s="125" t="s">
        <v>4894</v>
      </c>
      <c r="M3091" s="113">
        <v>45873</v>
      </c>
      <c r="N3091" s="113"/>
      <c r="O3091" s="113"/>
      <c r="P3091" s="115" t="str">
        <f ca="1">IF(Proc[[#This Row],[DaysAgeing]]&gt;5,"yep","on track")</f>
        <v>yep</v>
      </c>
      <c r="Q3091" s="3">
        <f ca="1">IF(Proc[[#This Row],[DateClosed]]="",ABS(NETWORKDAYS(Proc[[#This Row],[DateOpened]],TODAY()))-1,ABS(NETWORKDAYS(Proc[[#This Row],[DateOpened]],Proc[[#This Row],[DateClosed]]))-1)</f>
        <v>99</v>
      </c>
      <c r="R3091" s="115" t="s">
        <v>1013</v>
      </c>
      <c r="S3091" s="125"/>
    </row>
    <row r="3092" spans="1:19" hidden="1">
      <c r="A3092" s="124" t="s">
        <v>5258</v>
      </c>
      <c r="B3092" s="149" t="str">
        <f>IFERROR(VLOOKUP(Proc[[#This Row],[App]],Table2[],3,0),"open")</f>
        <v>ok</v>
      </c>
      <c r="C3092" s="124" t="s">
        <v>369</v>
      </c>
      <c r="D3092" t="s">
        <v>5111</v>
      </c>
      <c r="E3092" t="s">
        <v>4068</v>
      </c>
      <c r="F3092" s="125" t="s">
        <v>4068</v>
      </c>
      <c r="G3092" s="124" t="s">
        <v>400</v>
      </c>
      <c r="H3092" s="125" t="str">
        <f>IF(Proc[[#This Row],[type]]="LFF (MDG-F)",MID(Proc[[#This Row],[Obj]],13,10),"")</f>
        <v/>
      </c>
      <c r="J3092" s="125" t="b">
        <f>Proc[[#This Row],[Requested]]=Proc[[#This Row],[CurrentParent]]</f>
        <v>1</v>
      </c>
      <c r="K3092" s="144" t="str">
        <f>IF(Proc[[#This Row],[Author]]="Marcela Urrego",VLOOKUP(LEFT(Proc[[#This Row],[Requested]],1),Table3[#All],2,0),VLOOKUP(Proc[[#This Row],[Author]],Table4[],2,0))</f>
        <v>HC</v>
      </c>
      <c r="L3092" s="125" t="s">
        <v>4894</v>
      </c>
      <c r="M3092" s="113">
        <v>45873</v>
      </c>
      <c r="N3092" s="113"/>
      <c r="O3092" s="113"/>
      <c r="P3092" s="115" t="str">
        <f ca="1">IF(Proc[[#This Row],[DaysAgeing]]&gt;5,"yep","on track")</f>
        <v>yep</v>
      </c>
      <c r="Q3092" s="3">
        <f ca="1">IF(Proc[[#This Row],[DateClosed]]="",ABS(NETWORKDAYS(Proc[[#This Row],[DateOpened]],TODAY()))-1,ABS(NETWORKDAYS(Proc[[#This Row],[DateOpened]],Proc[[#This Row],[DateClosed]]))-1)</f>
        <v>99</v>
      </c>
      <c r="R3092" s="115" t="s">
        <v>1013</v>
      </c>
      <c r="S3092" s="125"/>
    </row>
    <row r="3093" spans="1:19" hidden="1">
      <c r="A3093" s="124" t="s">
        <v>5258</v>
      </c>
      <c r="B3093" s="149" t="str">
        <f>IFERROR(VLOOKUP(Proc[[#This Row],[App]],Table2[],3,0),"open")</f>
        <v>ok</v>
      </c>
      <c r="C3093" s="124" t="s">
        <v>369</v>
      </c>
      <c r="D3093" t="s">
        <v>5112</v>
      </c>
      <c r="E3093" t="s">
        <v>4068</v>
      </c>
      <c r="F3093" s="125" t="s">
        <v>4068</v>
      </c>
      <c r="G3093" s="124" t="s">
        <v>400</v>
      </c>
      <c r="H3093" s="125" t="str">
        <f>IF(Proc[[#This Row],[type]]="LFF (MDG-F)",MID(Proc[[#This Row],[Obj]],13,10),"")</f>
        <v/>
      </c>
      <c r="J3093" s="125" t="b">
        <f>Proc[[#This Row],[Requested]]=Proc[[#This Row],[CurrentParent]]</f>
        <v>1</v>
      </c>
      <c r="K3093" s="144" t="str">
        <f>IF(Proc[[#This Row],[Author]]="Marcela Urrego",VLOOKUP(LEFT(Proc[[#This Row],[Requested]],1),Table3[#All],2,0),VLOOKUP(Proc[[#This Row],[Author]],Table4[],2,0))</f>
        <v>HC</v>
      </c>
      <c r="L3093" s="125" t="s">
        <v>4894</v>
      </c>
      <c r="M3093" s="113">
        <v>45873</v>
      </c>
      <c r="N3093" s="113"/>
      <c r="O3093" s="113"/>
      <c r="P3093" s="115" t="str">
        <f ca="1">IF(Proc[[#This Row],[DaysAgeing]]&gt;5,"yep","on track")</f>
        <v>yep</v>
      </c>
      <c r="Q3093" s="3">
        <f ca="1">IF(Proc[[#This Row],[DateClosed]]="",ABS(NETWORKDAYS(Proc[[#This Row],[DateOpened]],TODAY()))-1,ABS(NETWORKDAYS(Proc[[#This Row],[DateOpened]],Proc[[#This Row],[DateClosed]]))-1)</f>
        <v>99</v>
      </c>
      <c r="R3093" s="115" t="s">
        <v>1013</v>
      </c>
      <c r="S3093" s="125"/>
    </row>
    <row r="3094" spans="1:19" hidden="1">
      <c r="A3094" s="124" t="s">
        <v>5258</v>
      </c>
      <c r="B3094" s="149" t="str">
        <f>IFERROR(VLOOKUP(Proc[[#This Row],[App]],Table2[],3,0),"open")</f>
        <v>ok</v>
      </c>
      <c r="C3094" s="124" t="s">
        <v>369</v>
      </c>
      <c r="D3094" t="s">
        <v>5113</v>
      </c>
      <c r="E3094" t="s">
        <v>4068</v>
      </c>
      <c r="F3094" s="125" t="s">
        <v>4068</v>
      </c>
      <c r="G3094" s="124" t="s">
        <v>400</v>
      </c>
      <c r="H3094" s="125" t="str">
        <f>IF(Proc[[#This Row],[type]]="LFF (MDG-F)",MID(Proc[[#This Row],[Obj]],13,10),"")</f>
        <v/>
      </c>
      <c r="J3094" s="125" t="b">
        <f>Proc[[#This Row],[Requested]]=Proc[[#This Row],[CurrentParent]]</f>
        <v>1</v>
      </c>
      <c r="K3094" s="144" t="str">
        <f>IF(Proc[[#This Row],[Author]]="Marcela Urrego",VLOOKUP(LEFT(Proc[[#This Row],[Requested]],1),Table3[#All],2,0),VLOOKUP(Proc[[#This Row],[Author]],Table4[],2,0))</f>
        <v>HC</v>
      </c>
      <c r="L3094" s="125" t="s">
        <v>4894</v>
      </c>
      <c r="M3094" s="113">
        <v>45873</v>
      </c>
      <c r="N3094" s="113"/>
      <c r="O3094" s="113"/>
      <c r="P3094" s="115" t="str">
        <f ca="1">IF(Proc[[#This Row],[DaysAgeing]]&gt;5,"yep","on track")</f>
        <v>yep</v>
      </c>
      <c r="Q3094" s="3">
        <f ca="1">IF(Proc[[#This Row],[DateClosed]]="",ABS(NETWORKDAYS(Proc[[#This Row],[DateOpened]],TODAY()))-1,ABS(NETWORKDAYS(Proc[[#This Row],[DateOpened]],Proc[[#This Row],[DateClosed]]))-1)</f>
        <v>99</v>
      </c>
      <c r="R3094" s="115" t="s">
        <v>1013</v>
      </c>
      <c r="S3094" s="125"/>
    </row>
    <row r="3095" spans="1:19" hidden="1">
      <c r="A3095" s="124" t="s">
        <v>5258</v>
      </c>
      <c r="B3095" s="149" t="str">
        <f>IFERROR(VLOOKUP(Proc[[#This Row],[App]],Table2[],3,0),"open")</f>
        <v>ok</v>
      </c>
      <c r="C3095" s="124" t="s">
        <v>369</v>
      </c>
      <c r="D3095" t="s">
        <v>5114</v>
      </c>
      <c r="E3095" t="s">
        <v>4068</v>
      </c>
      <c r="F3095" s="125" t="s">
        <v>4068</v>
      </c>
      <c r="G3095" s="124" t="s">
        <v>400</v>
      </c>
      <c r="H3095" s="125" t="str">
        <f>IF(Proc[[#This Row],[type]]="LFF (MDG-F)",MID(Proc[[#This Row],[Obj]],13,10),"")</f>
        <v/>
      </c>
      <c r="J3095" s="125" t="b">
        <f>Proc[[#This Row],[Requested]]=Proc[[#This Row],[CurrentParent]]</f>
        <v>1</v>
      </c>
      <c r="K3095" s="144" t="str">
        <f>IF(Proc[[#This Row],[Author]]="Marcela Urrego",VLOOKUP(LEFT(Proc[[#This Row],[Requested]],1),Table3[#All],2,0),VLOOKUP(Proc[[#This Row],[Author]],Table4[],2,0))</f>
        <v>HC</v>
      </c>
      <c r="L3095" s="125" t="s">
        <v>4894</v>
      </c>
      <c r="M3095" s="113">
        <v>45873</v>
      </c>
      <c r="N3095" s="113"/>
      <c r="O3095" s="113"/>
      <c r="P3095" s="115" t="str">
        <f ca="1">IF(Proc[[#This Row],[DaysAgeing]]&gt;5,"yep","on track")</f>
        <v>yep</v>
      </c>
      <c r="Q3095" s="3">
        <f ca="1">IF(Proc[[#This Row],[DateClosed]]="",ABS(NETWORKDAYS(Proc[[#This Row],[DateOpened]],TODAY()))-1,ABS(NETWORKDAYS(Proc[[#This Row],[DateOpened]],Proc[[#This Row],[DateClosed]]))-1)</f>
        <v>99</v>
      </c>
      <c r="R3095" s="115" t="s">
        <v>1013</v>
      </c>
      <c r="S3095" s="125"/>
    </row>
    <row r="3096" spans="1:19" hidden="1">
      <c r="A3096" s="124" t="s">
        <v>5258</v>
      </c>
      <c r="B3096" s="149" t="str">
        <f>IFERROR(VLOOKUP(Proc[[#This Row],[App]],Table2[],3,0),"open")</f>
        <v>ok</v>
      </c>
      <c r="C3096" s="124" t="s">
        <v>369</v>
      </c>
      <c r="D3096" t="s">
        <v>5115</v>
      </c>
      <c r="E3096" t="s">
        <v>4068</v>
      </c>
      <c r="F3096" s="125" t="s">
        <v>4068</v>
      </c>
      <c r="G3096" s="124" t="s">
        <v>400</v>
      </c>
      <c r="H3096" s="125" t="str">
        <f>IF(Proc[[#This Row],[type]]="LFF (MDG-F)",MID(Proc[[#This Row],[Obj]],13,10),"")</f>
        <v/>
      </c>
      <c r="J3096" s="125" t="b">
        <f>Proc[[#This Row],[Requested]]=Proc[[#This Row],[CurrentParent]]</f>
        <v>1</v>
      </c>
      <c r="K3096" s="144" t="str">
        <f>IF(Proc[[#This Row],[Author]]="Marcela Urrego",VLOOKUP(LEFT(Proc[[#This Row],[Requested]],1),Table3[#All],2,0),VLOOKUP(Proc[[#This Row],[Author]],Table4[],2,0))</f>
        <v>HC</v>
      </c>
      <c r="L3096" s="125" t="s">
        <v>4894</v>
      </c>
      <c r="M3096" s="113">
        <v>45873</v>
      </c>
      <c r="N3096" s="113"/>
      <c r="O3096" s="113"/>
      <c r="P3096" s="115" t="str">
        <f ca="1">IF(Proc[[#This Row],[DaysAgeing]]&gt;5,"yep","on track")</f>
        <v>yep</v>
      </c>
      <c r="Q3096" s="3">
        <f ca="1">IF(Proc[[#This Row],[DateClosed]]="",ABS(NETWORKDAYS(Proc[[#This Row],[DateOpened]],TODAY()))-1,ABS(NETWORKDAYS(Proc[[#This Row],[DateOpened]],Proc[[#This Row],[DateClosed]]))-1)</f>
        <v>99</v>
      </c>
      <c r="R3096" s="115" t="s">
        <v>1013</v>
      </c>
      <c r="S3096" s="125"/>
    </row>
    <row r="3097" spans="1:19" hidden="1">
      <c r="A3097" s="124" t="s">
        <v>5258</v>
      </c>
      <c r="B3097" s="149" t="str">
        <f>IFERROR(VLOOKUP(Proc[[#This Row],[App]],Table2[],3,0),"open")</f>
        <v>ok</v>
      </c>
      <c r="C3097" s="124" t="s">
        <v>369</v>
      </c>
      <c r="D3097" t="s">
        <v>5116</v>
      </c>
      <c r="E3097" t="s">
        <v>4068</v>
      </c>
      <c r="F3097" s="125" t="s">
        <v>4068</v>
      </c>
      <c r="G3097" s="124" t="s">
        <v>400</v>
      </c>
      <c r="H3097" s="125" t="str">
        <f>IF(Proc[[#This Row],[type]]="LFF (MDG-F)",MID(Proc[[#This Row],[Obj]],13,10),"")</f>
        <v/>
      </c>
      <c r="J3097" s="125" t="b">
        <f>Proc[[#This Row],[Requested]]=Proc[[#This Row],[CurrentParent]]</f>
        <v>1</v>
      </c>
      <c r="K3097" s="144" t="str">
        <f>IF(Proc[[#This Row],[Author]]="Marcela Urrego",VLOOKUP(LEFT(Proc[[#This Row],[Requested]],1),Table3[#All],2,0),VLOOKUP(Proc[[#This Row],[Author]],Table4[],2,0))</f>
        <v>HC</v>
      </c>
      <c r="L3097" s="125" t="s">
        <v>4894</v>
      </c>
      <c r="M3097" s="113">
        <v>45873</v>
      </c>
      <c r="N3097" s="113"/>
      <c r="O3097" s="113"/>
      <c r="P3097" s="115" t="str">
        <f ca="1">IF(Proc[[#This Row],[DaysAgeing]]&gt;5,"yep","on track")</f>
        <v>yep</v>
      </c>
      <c r="Q3097" s="3">
        <f ca="1">IF(Proc[[#This Row],[DateClosed]]="",ABS(NETWORKDAYS(Proc[[#This Row],[DateOpened]],TODAY()))-1,ABS(NETWORKDAYS(Proc[[#This Row],[DateOpened]],Proc[[#This Row],[DateClosed]]))-1)</f>
        <v>99</v>
      </c>
      <c r="R3097" s="115" t="s">
        <v>1013</v>
      </c>
      <c r="S3097" s="125"/>
    </row>
    <row r="3098" spans="1:19" hidden="1">
      <c r="A3098" s="124" t="s">
        <v>5258</v>
      </c>
      <c r="B3098" s="149" t="str">
        <f>IFERROR(VLOOKUP(Proc[[#This Row],[App]],Table2[],3,0),"open")</f>
        <v>ok</v>
      </c>
      <c r="C3098" s="124" t="s">
        <v>369</v>
      </c>
      <c r="D3098" t="s">
        <v>5117</v>
      </c>
      <c r="E3098" t="s">
        <v>4068</v>
      </c>
      <c r="F3098" s="125" t="s">
        <v>4068</v>
      </c>
      <c r="G3098" s="124" t="s">
        <v>400</v>
      </c>
      <c r="H3098" s="125" t="str">
        <f>IF(Proc[[#This Row],[type]]="LFF (MDG-F)",MID(Proc[[#This Row],[Obj]],13,10),"")</f>
        <v/>
      </c>
      <c r="J3098" s="125" t="b">
        <f>Proc[[#This Row],[Requested]]=Proc[[#This Row],[CurrentParent]]</f>
        <v>1</v>
      </c>
      <c r="K3098" s="144" t="str">
        <f>IF(Proc[[#This Row],[Author]]="Marcela Urrego",VLOOKUP(LEFT(Proc[[#This Row],[Requested]],1),Table3[#All],2,0),VLOOKUP(Proc[[#This Row],[Author]],Table4[],2,0))</f>
        <v>HC</v>
      </c>
      <c r="L3098" s="125" t="s">
        <v>4894</v>
      </c>
      <c r="M3098" s="113">
        <v>45873</v>
      </c>
      <c r="N3098" s="113"/>
      <c r="O3098" s="113"/>
      <c r="P3098" s="115" t="str">
        <f ca="1">IF(Proc[[#This Row],[DaysAgeing]]&gt;5,"yep","on track")</f>
        <v>yep</v>
      </c>
      <c r="Q3098" s="3">
        <f ca="1">IF(Proc[[#This Row],[DateClosed]]="",ABS(NETWORKDAYS(Proc[[#This Row],[DateOpened]],TODAY()))-1,ABS(NETWORKDAYS(Proc[[#This Row],[DateOpened]],Proc[[#This Row],[DateClosed]]))-1)</f>
        <v>99</v>
      </c>
      <c r="R3098" s="115" t="s">
        <v>1013</v>
      </c>
      <c r="S3098" s="125"/>
    </row>
    <row r="3099" spans="1:19" hidden="1">
      <c r="A3099" s="124" t="s">
        <v>5258</v>
      </c>
      <c r="B3099" s="149" t="str">
        <f>IFERROR(VLOOKUP(Proc[[#This Row],[App]],Table2[],3,0),"open")</f>
        <v>ok</v>
      </c>
      <c r="C3099" s="124" t="s">
        <v>369</v>
      </c>
      <c r="D3099" t="s">
        <v>5118</v>
      </c>
      <c r="E3099" t="s">
        <v>4068</v>
      </c>
      <c r="F3099" s="125" t="s">
        <v>4068</v>
      </c>
      <c r="G3099" s="124" t="s">
        <v>400</v>
      </c>
      <c r="H3099" s="125" t="str">
        <f>IF(Proc[[#This Row],[type]]="LFF (MDG-F)",MID(Proc[[#This Row],[Obj]],13,10),"")</f>
        <v/>
      </c>
      <c r="J3099" s="125" t="b">
        <f>Proc[[#This Row],[Requested]]=Proc[[#This Row],[CurrentParent]]</f>
        <v>1</v>
      </c>
      <c r="K3099" s="144" t="str">
        <f>IF(Proc[[#This Row],[Author]]="Marcela Urrego",VLOOKUP(LEFT(Proc[[#This Row],[Requested]],1),Table3[#All],2,0),VLOOKUP(Proc[[#This Row],[Author]],Table4[],2,0))</f>
        <v>HC</v>
      </c>
      <c r="L3099" s="125" t="s">
        <v>4894</v>
      </c>
      <c r="M3099" s="113">
        <v>45873</v>
      </c>
      <c r="N3099" s="113"/>
      <c r="O3099" s="113"/>
      <c r="P3099" s="115" t="str">
        <f ca="1">IF(Proc[[#This Row],[DaysAgeing]]&gt;5,"yep","on track")</f>
        <v>yep</v>
      </c>
      <c r="Q3099" s="3">
        <f ca="1">IF(Proc[[#This Row],[DateClosed]]="",ABS(NETWORKDAYS(Proc[[#This Row],[DateOpened]],TODAY()))-1,ABS(NETWORKDAYS(Proc[[#This Row],[DateOpened]],Proc[[#This Row],[DateClosed]]))-1)</f>
        <v>99</v>
      </c>
      <c r="R3099" s="115" t="s">
        <v>1013</v>
      </c>
      <c r="S3099" s="125"/>
    </row>
    <row r="3100" spans="1:19" hidden="1">
      <c r="A3100" s="124" t="s">
        <v>5258</v>
      </c>
      <c r="B3100" s="149" t="str">
        <f>IFERROR(VLOOKUP(Proc[[#This Row],[App]],Table2[],3,0),"open")</f>
        <v>ok</v>
      </c>
      <c r="C3100" s="124" t="s">
        <v>369</v>
      </c>
      <c r="D3100" t="s">
        <v>5119</v>
      </c>
      <c r="E3100" t="s">
        <v>4068</v>
      </c>
      <c r="F3100" s="125" t="s">
        <v>4068</v>
      </c>
      <c r="G3100" s="124" t="s">
        <v>400</v>
      </c>
      <c r="H3100" s="125" t="str">
        <f>IF(Proc[[#This Row],[type]]="LFF (MDG-F)",MID(Proc[[#This Row],[Obj]],13,10),"")</f>
        <v/>
      </c>
      <c r="J3100" s="125" t="b">
        <f>Proc[[#This Row],[Requested]]=Proc[[#This Row],[CurrentParent]]</f>
        <v>1</v>
      </c>
      <c r="K3100" s="144" t="str">
        <f>IF(Proc[[#This Row],[Author]]="Marcela Urrego",VLOOKUP(LEFT(Proc[[#This Row],[Requested]],1),Table3[#All],2,0),VLOOKUP(Proc[[#This Row],[Author]],Table4[],2,0))</f>
        <v>HC</v>
      </c>
      <c r="L3100" s="125" t="s">
        <v>4894</v>
      </c>
      <c r="M3100" s="113">
        <v>45873</v>
      </c>
      <c r="N3100" s="113"/>
      <c r="O3100" s="113"/>
      <c r="P3100" s="115" t="str">
        <f ca="1">IF(Proc[[#This Row],[DaysAgeing]]&gt;5,"yep","on track")</f>
        <v>yep</v>
      </c>
      <c r="Q3100" s="3">
        <f ca="1">IF(Proc[[#This Row],[DateClosed]]="",ABS(NETWORKDAYS(Proc[[#This Row],[DateOpened]],TODAY()))-1,ABS(NETWORKDAYS(Proc[[#This Row],[DateOpened]],Proc[[#This Row],[DateClosed]]))-1)</f>
        <v>99</v>
      </c>
      <c r="R3100" s="115" t="s">
        <v>1013</v>
      </c>
      <c r="S3100" s="125"/>
    </row>
    <row r="3101" spans="1:19" hidden="1">
      <c r="A3101" s="124" t="s">
        <v>5258</v>
      </c>
      <c r="B3101" s="149" t="str">
        <f>IFERROR(VLOOKUP(Proc[[#This Row],[App]],Table2[],3,0),"open")</f>
        <v>ok</v>
      </c>
      <c r="C3101" s="124" t="s">
        <v>369</v>
      </c>
      <c r="D3101" t="s">
        <v>5120</v>
      </c>
      <c r="E3101" t="s">
        <v>4068</v>
      </c>
      <c r="F3101" s="125" t="s">
        <v>4068</v>
      </c>
      <c r="G3101" s="124" t="s">
        <v>400</v>
      </c>
      <c r="H3101" s="125" t="str">
        <f>IF(Proc[[#This Row],[type]]="LFF (MDG-F)",MID(Proc[[#This Row],[Obj]],13,10),"")</f>
        <v/>
      </c>
      <c r="J3101" s="125" t="b">
        <f>Proc[[#This Row],[Requested]]=Proc[[#This Row],[CurrentParent]]</f>
        <v>1</v>
      </c>
      <c r="K3101" s="144" t="str">
        <f>IF(Proc[[#This Row],[Author]]="Marcela Urrego",VLOOKUP(LEFT(Proc[[#This Row],[Requested]],1),Table3[#All],2,0),VLOOKUP(Proc[[#This Row],[Author]],Table4[],2,0))</f>
        <v>HC</v>
      </c>
      <c r="L3101" s="125" t="s">
        <v>4894</v>
      </c>
      <c r="M3101" s="113">
        <v>45873</v>
      </c>
      <c r="N3101" s="113"/>
      <c r="O3101" s="113"/>
      <c r="P3101" s="115" t="str">
        <f ca="1">IF(Proc[[#This Row],[DaysAgeing]]&gt;5,"yep","on track")</f>
        <v>yep</v>
      </c>
      <c r="Q3101" s="3">
        <f ca="1">IF(Proc[[#This Row],[DateClosed]]="",ABS(NETWORKDAYS(Proc[[#This Row],[DateOpened]],TODAY()))-1,ABS(NETWORKDAYS(Proc[[#This Row],[DateOpened]],Proc[[#This Row],[DateClosed]]))-1)</f>
        <v>99</v>
      </c>
      <c r="R3101" s="115" t="s">
        <v>1013</v>
      </c>
      <c r="S3101" s="125"/>
    </row>
    <row r="3102" spans="1:19" hidden="1">
      <c r="A3102" s="124" t="s">
        <v>5258</v>
      </c>
      <c r="B3102" s="149" t="str">
        <f>IFERROR(VLOOKUP(Proc[[#This Row],[App]],Table2[],3,0),"open")</f>
        <v>ok</v>
      </c>
      <c r="C3102" s="124" t="s">
        <v>369</v>
      </c>
      <c r="D3102" t="s">
        <v>5121</v>
      </c>
      <c r="E3102" t="s">
        <v>4068</v>
      </c>
      <c r="F3102" s="125" t="s">
        <v>4068</v>
      </c>
      <c r="G3102" s="124" t="s">
        <v>400</v>
      </c>
      <c r="H3102" s="125" t="str">
        <f>IF(Proc[[#This Row],[type]]="LFF (MDG-F)",MID(Proc[[#This Row],[Obj]],13,10),"")</f>
        <v/>
      </c>
      <c r="J3102" s="125" t="b">
        <f>Proc[[#This Row],[Requested]]=Proc[[#This Row],[CurrentParent]]</f>
        <v>1</v>
      </c>
      <c r="K3102" s="144" t="str">
        <f>IF(Proc[[#This Row],[Author]]="Marcela Urrego",VLOOKUP(LEFT(Proc[[#This Row],[Requested]],1),Table3[#All],2,0),VLOOKUP(Proc[[#This Row],[Author]],Table4[],2,0))</f>
        <v>HC</v>
      </c>
      <c r="L3102" s="125" t="s">
        <v>4894</v>
      </c>
      <c r="M3102" s="113">
        <v>45873</v>
      </c>
      <c r="N3102" s="113"/>
      <c r="O3102" s="113"/>
      <c r="P3102" s="115" t="str">
        <f ca="1">IF(Proc[[#This Row],[DaysAgeing]]&gt;5,"yep","on track")</f>
        <v>yep</v>
      </c>
      <c r="Q3102" s="3">
        <f ca="1">IF(Proc[[#This Row],[DateClosed]]="",ABS(NETWORKDAYS(Proc[[#This Row],[DateOpened]],TODAY()))-1,ABS(NETWORKDAYS(Proc[[#This Row],[DateOpened]],Proc[[#This Row],[DateClosed]]))-1)</f>
        <v>99</v>
      </c>
      <c r="R3102" s="115" t="s">
        <v>1013</v>
      </c>
      <c r="S3102" s="125"/>
    </row>
    <row r="3103" spans="1:19" hidden="1">
      <c r="A3103" s="124" t="s">
        <v>5258</v>
      </c>
      <c r="B3103" s="149" t="str">
        <f>IFERROR(VLOOKUP(Proc[[#This Row],[App]],Table2[],3,0),"open")</f>
        <v>ok</v>
      </c>
      <c r="C3103" s="124" t="s">
        <v>369</v>
      </c>
      <c r="D3103" t="s">
        <v>5122</v>
      </c>
      <c r="E3103" t="s">
        <v>4068</v>
      </c>
      <c r="F3103" s="125" t="s">
        <v>4068</v>
      </c>
      <c r="G3103" s="124" t="s">
        <v>400</v>
      </c>
      <c r="H3103" s="125" t="str">
        <f>IF(Proc[[#This Row],[type]]="LFF (MDG-F)",MID(Proc[[#This Row],[Obj]],13,10),"")</f>
        <v/>
      </c>
      <c r="J3103" s="125" t="b">
        <f>Proc[[#This Row],[Requested]]=Proc[[#This Row],[CurrentParent]]</f>
        <v>1</v>
      </c>
      <c r="K3103" s="144" t="str">
        <f>IF(Proc[[#This Row],[Author]]="Marcela Urrego",VLOOKUP(LEFT(Proc[[#This Row],[Requested]],1),Table3[#All],2,0),VLOOKUP(Proc[[#This Row],[Author]],Table4[],2,0))</f>
        <v>HC</v>
      </c>
      <c r="L3103" s="125" t="s">
        <v>4894</v>
      </c>
      <c r="M3103" s="113">
        <v>45873</v>
      </c>
      <c r="N3103" s="113"/>
      <c r="O3103" s="113"/>
      <c r="P3103" s="115" t="str">
        <f ca="1">IF(Proc[[#This Row],[DaysAgeing]]&gt;5,"yep","on track")</f>
        <v>yep</v>
      </c>
      <c r="Q3103" s="3">
        <f ca="1">IF(Proc[[#This Row],[DateClosed]]="",ABS(NETWORKDAYS(Proc[[#This Row],[DateOpened]],TODAY()))-1,ABS(NETWORKDAYS(Proc[[#This Row],[DateOpened]],Proc[[#This Row],[DateClosed]]))-1)</f>
        <v>99</v>
      </c>
      <c r="R3103" s="115" t="s">
        <v>1013</v>
      </c>
      <c r="S3103" s="125"/>
    </row>
    <row r="3104" spans="1:19" hidden="1">
      <c r="A3104" s="124" t="s">
        <v>5258</v>
      </c>
      <c r="B3104" s="149" t="str">
        <f>IFERROR(VLOOKUP(Proc[[#This Row],[App]],Table2[],3,0),"open")</f>
        <v>ok</v>
      </c>
      <c r="C3104" s="124" t="s">
        <v>369</v>
      </c>
      <c r="D3104" t="s">
        <v>5123</v>
      </c>
      <c r="E3104" t="s">
        <v>4068</v>
      </c>
      <c r="F3104" s="125" t="s">
        <v>4068</v>
      </c>
      <c r="G3104" s="124" t="s">
        <v>400</v>
      </c>
      <c r="H3104" s="125" t="str">
        <f>IF(Proc[[#This Row],[type]]="LFF (MDG-F)",MID(Proc[[#This Row],[Obj]],13,10),"")</f>
        <v/>
      </c>
      <c r="J3104" s="125" t="b">
        <f>Proc[[#This Row],[Requested]]=Proc[[#This Row],[CurrentParent]]</f>
        <v>1</v>
      </c>
      <c r="K3104" s="144" t="str">
        <f>IF(Proc[[#This Row],[Author]]="Marcela Urrego",VLOOKUP(LEFT(Proc[[#This Row],[Requested]],1),Table3[#All],2,0),VLOOKUP(Proc[[#This Row],[Author]],Table4[],2,0))</f>
        <v>HC</v>
      </c>
      <c r="L3104" s="125" t="s">
        <v>4894</v>
      </c>
      <c r="M3104" s="113">
        <v>45873</v>
      </c>
      <c r="N3104" s="113"/>
      <c r="O3104" s="113"/>
      <c r="P3104" s="115" t="str">
        <f ca="1">IF(Proc[[#This Row],[DaysAgeing]]&gt;5,"yep","on track")</f>
        <v>yep</v>
      </c>
      <c r="Q3104" s="3">
        <f ca="1">IF(Proc[[#This Row],[DateClosed]]="",ABS(NETWORKDAYS(Proc[[#This Row],[DateOpened]],TODAY()))-1,ABS(NETWORKDAYS(Proc[[#This Row],[DateOpened]],Proc[[#This Row],[DateClosed]]))-1)</f>
        <v>99</v>
      </c>
      <c r="R3104" s="115" t="s">
        <v>1013</v>
      </c>
      <c r="S3104" s="125"/>
    </row>
    <row r="3105" spans="1:19" hidden="1">
      <c r="A3105" s="124" t="s">
        <v>5258</v>
      </c>
      <c r="B3105" s="149" t="str">
        <f>IFERROR(VLOOKUP(Proc[[#This Row],[App]],Table2[],3,0),"open")</f>
        <v>ok</v>
      </c>
      <c r="C3105" s="124" t="s">
        <v>369</v>
      </c>
      <c r="D3105" t="s">
        <v>5124</v>
      </c>
      <c r="E3105" t="s">
        <v>4068</v>
      </c>
      <c r="F3105" s="125" t="s">
        <v>4068</v>
      </c>
      <c r="G3105" s="124" t="s">
        <v>400</v>
      </c>
      <c r="H3105" s="125" t="str">
        <f>IF(Proc[[#This Row],[type]]="LFF (MDG-F)",MID(Proc[[#This Row],[Obj]],13,10),"")</f>
        <v/>
      </c>
      <c r="J3105" s="125" t="b">
        <f>Proc[[#This Row],[Requested]]=Proc[[#This Row],[CurrentParent]]</f>
        <v>1</v>
      </c>
      <c r="K3105" s="144" t="str">
        <f>IF(Proc[[#This Row],[Author]]="Marcela Urrego",VLOOKUP(LEFT(Proc[[#This Row],[Requested]],1),Table3[#All],2,0),VLOOKUP(Proc[[#This Row],[Author]],Table4[],2,0))</f>
        <v>HC</v>
      </c>
      <c r="L3105" s="125" t="s">
        <v>4894</v>
      </c>
      <c r="M3105" s="113">
        <v>45873</v>
      </c>
      <c r="N3105" s="113"/>
      <c r="O3105" s="113"/>
      <c r="P3105" s="115" t="str">
        <f ca="1">IF(Proc[[#This Row],[DaysAgeing]]&gt;5,"yep","on track")</f>
        <v>yep</v>
      </c>
      <c r="Q3105" s="3">
        <f ca="1">IF(Proc[[#This Row],[DateClosed]]="",ABS(NETWORKDAYS(Proc[[#This Row],[DateOpened]],TODAY()))-1,ABS(NETWORKDAYS(Proc[[#This Row],[DateOpened]],Proc[[#This Row],[DateClosed]]))-1)</f>
        <v>99</v>
      </c>
      <c r="R3105" s="115" t="s">
        <v>1013</v>
      </c>
      <c r="S3105" s="125"/>
    </row>
    <row r="3106" spans="1:19" hidden="1">
      <c r="A3106" s="124" t="s">
        <v>5258</v>
      </c>
      <c r="B3106" s="149" t="str">
        <f>IFERROR(VLOOKUP(Proc[[#This Row],[App]],Table2[],3,0),"open")</f>
        <v>ok</v>
      </c>
      <c r="C3106" s="124" t="s">
        <v>369</v>
      </c>
      <c r="D3106" t="s">
        <v>5125</v>
      </c>
      <c r="E3106" t="s">
        <v>4068</v>
      </c>
      <c r="F3106" s="125" t="s">
        <v>4068</v>
      </c>
      <c r="G3106" s="124" t="s">
        <v>400</v>
      </c>
      <c r="H3106" s="125" t="str">
        <f>IF(Proc[[#This Row],[type]]="LFF (MDG-F)",MID(Proc[[#This Row],[Obj]],13,10),"")</f>
        <v/>
      </c>
      <c r="J3106" s="125" t="b">
        <f>Proc[[#This Row],[Requested]]=Proc[[#This Row],[CurrentParent]]</f>
        <v>1</v>
      </c>
      <c r="K3106" s="144" t="str">
        <f>IF(Proc[[#This Row],[Author]]="Marcela Urrego",VLOOKUP(LEFT(Proc[[#This Row],[Requested]],1),Table3[#All],2,0),VLOOKUP(Proc[[#This Row],[Author]],Table4[],2,0))</f>
        <v>HC</v>
      </c>
      <c r="L3106" s="125" t="s">
        <v>4894</v>
      </c>
      <c r="M3106" s="113">
        <v>45873</v>
      </c>
      <c r="N3106" s="113"/>
      <c r="O3106" s="113"/>
      <c r="P3106" s="115" t="str">
        <f ca="1">IF(Proc[[#This Row],[DaysAgeing]]&gt;5,"yep","on track")</f>
        <v>yep</v>
      </c>
      <c r="Q3106" s="3">
        <f ca="1">IF(Proc[[#This Row],[DateClosed]]="",ABS(NETWORKDAYS(Proc[[#This Row],[DateOpened]],TODAY()))-1,ABS(NETWORKDAYS(Proc[[#This Row],[DateOpened]],Proc[[#This Row],[DateClosed]]))-1)</f>
        <v>99</v>
      </c>
      <c r="R3106" s="115" t="s">
        <v>1013</v>
      </c>
      <c r="S3106" s="125"/>
    </row>
    <row r="3107" spans="1:19" hidden="1">
      <c r="A3107" s="124" t="s">
        <v>5258</v>
      </c>
      <c r="B3107" s="149" t="str">
        <f>IFERROR(VLOOKUP(Proc[[#This Row],[App]],Table2[],3,0),"open")</f>
        <v>ok</v>
      </c>
      <c r="C3107" s="124" t="s">
        <v>369</v>
      </c>
      <c r="D3107" t="s">
        <v>5126</v>
      </c>
      <c r="E3107" t="s">
        <v>4068</v>
      </c>
      <c r="F3107" s="125" t="s">
        <v>4068</v>
      </c>
      <c r="G3107" s="124" t="s">
        <v>400</v>
      </c>
      <c r="H3107" s="125" t="str">
        <f>IF(Proc[[#This Row],[type]]="LFF (MDG-F)",MID(Proc[[#This Row],[Obj]],13,10),"")</f>
        <v/>
      </c>
      <c r="J3107" s="125" t="b">
        <f>Proc[[#This Row],[Requested]]=Proc[[#This Row],[CurrentParent]]</f>
        <v>1</v>
      </c>
      <c r="K3107" s="144" t="str">
        <f>IF(Proc[[#This Row],[Author]]="Marcela Urrego",VLOOKUP(LEFT(Proc[[#This Row],[Requested]],1),Table3[#All],2,0),VLOOKUP(Proc[[#This Row],[Author]],Table4[],2,0))</f>
        <v>HC</v>
      </c>
      <c r="L3107" s="125" t="s">
        <v>4894</v>
      </c>
      <c r="M3107" s="113">
        <v>45873</v>
      </c>
      <c r="N3107" s="113"/>
      <c r="O3107" s="113"/>
      <c r="P3107" s="115" t="str">
        <f ca="1">IF(Proc[[#This Row],[DaysAgeing]]&gt;5,"yep","on track")</f>
        <v>yep</v>
      </c>
      <c r="Q3107" s="3">
        <f ca="1">IF(Proc[[#This Row],[DateClosed]]="",ABS(NETWORKDAYS(Proc[[#This Row],[DateOpened]],TODAY()))-1,ABS(NETWORKDAYS(Proc[[#This Row],[DateOpened]],Proc[[#This Row],[DateClosed]]))-1)</f>
        <v>99</v>
      </c>
      <c r="R3107" s="115" t="s">
        <v>1013</v>
      </c>
      <c r="S3107" s="125"/>
    </row>
    <row r="3108" spans="1:19" hidden="1">
      <c r="A3108" s="124" t="s">
        <v>5258</v>
      </c>
      <c r="B3108" s="149" t="str">
        <f>IFERROR(VLOOKUP(Proc[[#This Row],[App]],Table2[],3,0),"open")</f>
        <v>ok</v>
      </c>
      <c r="C3108" s="124" t="s">
        <v>369</v>
      </c>
      <c r="D3108" t="s">
        <v>5127</v>
      </c>
      <c r="E3108" t="s">
        <v>4068</v>
      </c>
      <c r="F3108" s="125" t="s">
        <v>4068</v>
      </c>
      <c r="G3108" s="124" t="s">
        <v>400</v>
      </c>
      <c r="H3108" s="125" t="str">
        <f>IF(Proc[[#This Row],[type]]="LFF (MDG-F)",MID(Proc[[#This Row],[Obj]],13,10),"")</f>
        <v/>
      </c>
      <c r="J3108" s="125" t="b">
        <f>Proc[[#This Row],[Requested]]=Proc[[#This Row],[CurrentParent]]</f>
        <v>1</v>
      </c>
      <c r="K3108" s="144" t="str">
        <f>IF(Proc[[#This Row],[Author]]="Marcela Urrego",VLOOKUP(LEFT(Proc[[#This Row],[Requested]],1),Table3[#All],2,0),VLOOKUP(Proc[[#This Row],[Author]],Table4[],2,0))</f>
        <v>HC</v>
      </c>
      <c r="L3108" s="125" t="s">
        <v>4894</v>
      </c>
      <c r="M3108" s="113">
        <v>45873</v>
      </c>
      <c r="N3108" s="113"/>
      <c r="O3108" s="113"/>
      <c r="P3108" s="115" t="str">
        <f ca="1">IF(Proc[[#This Row],[DaysAgeing]]&gt;5,"yep","on track")</f>
        <v>yep</v>
      </c>
      <c r="Q3108" s="3">
        <f ca="1">IF(Proc[[#This Row],[DateClosed]]="",ABS(NETWORKDAYS(Proc[[#This Row],[DateOpened]],TODAY()))-1,ABS(NETWORKDAYS(Proc[[#This Row],[DateOpened]],Proc[[#This Row],[DateClosed]]))-1)</f>
        <v>99</v>
      </c>
      <c r="R3108" s="115" t="s">
        <v>1013</v>
      </c>
      <c r="S3108" s="125"/>
    </row>
    <row r="3109" spans="1:19" hidden="1">
      <c r="A3109" s="124" t="s">
        <v>5258</v>
      </c>
      <c r="B3109" s="149" t="str">
        <f>IFERROR(VLOOKUP(Proc[[#This Row],[App]],Table2[],3,0),"open")</f>
        <v>ok</v>
      </c>
      <c r="C3109" s="124" t="s">
        <v>369</v>
      </c>
      <c r="D3109" t="s">
        <v>5128</v>
      </c>
      <c r="E3109" t="s">
        <v>4068</v>
      </c>
      <c r="F3109" s="125" t="s">
        <v>4068</v>
      </c>
      <c r="G3109" s="124" t="s">
        <v>400</v>
      </c>
      <c r="H3109" s="125" t="str">
        <f>IF(Proc[[#This Row],[type]]="LFF (MDG-F)",MID(Proc[[#This Row],[Obj]],13,10),"")</f>
        <v/>
      </c>
      <c r="J3109" s="125" t="b">
        <f>Proc[[#This Row],[Requested]]=Proc[[#This Row],[CurrentParent]]</f>
        <v>1</v>
      </c>
      <c r="K3109" s="144" t="str">
        <f>IF(Proc[[#This Row],[Author]]="Marcela Urrego",VLOOKUP(LEFT(Proc[[#This Row],[Requested]],1),Table3[#All],2,0),VLOOKUP(Proc[[#This Row],[Author]],Table4[],2,0))</f>
        <v>HC</v>
      </c>
      <c r="L3109" s="125" t="s">
        <v>4894</v>
      </c>
      <c r="M3109" s="113">
        <v>45873</v>
      </c>
      <c r="N3109" s="113"/>
      <c r="O3109" s="113"/>
      <c r="P3109" s="115" t="str">
        <f ca="1">IF(Proc[[#This Row],[DaysAgeing]]&gt;5,"yep","on track")</f>
        <v>yep</v>
      </c>
      <c r="Q3109" s="3">
        <f ca="1">IF(Proc[[#This Row],[DateClosed]]="",ABS(NETWORKDAYS(Proc[[#This Row],[DateOpened]],TODAY()))-1,ABS(NETWORKDAYS(Proc[[#This Row],[DateOpened]],Proc[[#This Row],[DateClosed]]))-1)</f>
        <v>99</v>
      </c>
      <c r="R3109" s="115" t="s">
        <v>1013</v>
      </c>
      <c r="S3109" s="125"/>
    </row>
    <row r="3110" spans="1:19" hidden="1">
      <c r="A3110" s="124" t="s">
        <v>5258</v>
      </c>
      <c r="B3110" s="149" t="str">
        <f>IFERROR(VLOOKUP(Proc[[#This Row],[App]],Table2[],3,0),"open")</f>
        <v>ok</v>
      </c>
      <c r="C3110" s="124" t="s">
        <v>369</v>
      </c>
      <c r="D3110" t="s">
        <v>5129</v>
      </c>
      <c r="E3110" t="s">
        <v>4068</v>
      </c>
      <c r="F3110" s="125" t="s">
        <v>4068</v>
      </c>
      <c r="G3110" s="124" t="s">
        <v>400</v>
      </c>
      <c r="H3110" s="125" t="str">
        <f>IF(Proc[[#This Row],[type]]="LFF (MDG-F)",MID(Proc[[#This Row],[Obj]],13,10),"")</f>
        <v/>
      </c>
      <c r="J3110" s="125" t="b">
        <f>Proc[[#This Row],[Requested]]=Proc[[#This Row],[CurrentParent]]</f>
        <v>1</v>
      </c>
      <c r="K3110" s="144" t="str">
        <f>IF(Proc[[#This Row],[Author]]="Marcela Urrego",VLOOKUP(LEFT(Proc[[#This Row],[Requested]],1),Table3[#All],2,0),VLOOKUP(Proc[[#This Row],[Author]],Table4[],2,0))</f>
        <v>HC</v>
      </c>
      <c r="L3110" s="125" t="s">
        <v>4894</v>
      </c>
      <c r="M3110" s="113">
        <v>45873</v>
      </c>
      <c r="N3110" s="113"/>
      <c r="O3110" s="113"/>
      <c r="P3110" s="115" t="str">
        <f ca="1">IF(Proc[[#This Row],[DaysAgeing]]&gt;5,"yep","on track")</f>
        <v>yep</v>
      </c>
      <c r="Q3110" s="3">
        <f ca="1">IF(Proc[[#This Row],[DateClosed]]="",ABS(NETWORKDAYS(Proc[[#This Row],[DateOpened]],TODAY()))-1,ABS(NETWORKDAYS(Proc[[#This Row],[DateOpened]],Proc[[#This Row],[DateClosed]]))-1)</f>
        <v>99</v>
      </c>
      <c r="R3110" s="115" t="s">
        <v>1013</v>
      </c>
      <c r="S3110" s="125"/>
    </row>
    <row r="3111" spans="1:19" hidden="1">
      <c r="A3111" s="124" t="s">
        <v>5258</v>
      </c>
      <c r="B3111" s="149" t="str">
        <f>IFERROR(VLOOKUP(Proc[[#This Row],[App]],Table2[],3,0),"open")</f>
        <v>ok</v>
      </c>
      <c r="C3111" s="124" t="s">
        <v>369</v>
      </c>
      <c r="D3111" t="s">
        <v>5130</v>
      </c>
      <c r="E3111" t="s">
        <v>4068</v>
      </c>
      <c r="F3111" s="125" t="s">
        <v>4068</v>
      </c>
      <c r="G3111" s="124" t="s">
        <v>400</v>
      </c>
      <c r="H3111" s="125" t="str">
        <f>IF(Proc[[#This Row],[type]]="LFF (MDG-F)",MID(Proc[[#This Row],[Obj]],13,10),"")</f>
        <v/>
      </c>
      <c r="J3111" s="125" t="b">
        <f>Proc[[#This Row],[Requested]]=Proc[[#This Row],[CurrentParent]]</f>
        <v>1</v>
      </c>
      <c r="K3111" s="144" t="str">
        <f>IF(Proc[[#This Row],[Author]]="Marcela Urrego",VLOOKUP(LEFT(Proc[[#This Row],[Requested]],1),Table3[#All],2,0),VLOOKUP(Proc[[#This Row],[Author]],Table4[],2,0))</f>
        <v>HC</v>
      </c>
      <c r="L3111" s="125" t="s">
        <v>4894</v>
      </c>
      <c r="M3111" s="113">
        <v>45873</v>
      </c>
      <c r="N3111" s="113"/>
      <c r="O3111" s="113"/>
      <c r="P3111" s="115" t="str">
        <f ca="1">IF(Proc[[#This Row],[DaysAgeing]]&gt;5,"yep","on track")</f>
        <v>yep</v>
      </c>
      <c r="Q3111" s="3">
        <f ca="1">IF(Proc[[#This Row],[DateClosed]]="",ABS(NETWORKDAYS(Proc[[#This Row],[DateOpened]],TODAY()))-1,ABS(NETWORKDAYS(Proc[[#This Row],[DateOpened]],Proc[[#This Row],[DateClosed]]))-1)</f>
        <v>99</v>
      </c>
      <c r="R3111" s="115" t="s">
        <v>1013</v>
      </c>
      <c r="S3111" s="125"/>
    </row>
    <row r="3112" spans="1:19" hidden="1">
      <c r="A3112" s="124" t="s">
        <v>5258</v>
      </c>
      <c r="B3112" s="149" t="str">
        <f>IFERROR(VLOOKUP(Proc[[#This Row],[App]],Table2[],3,0),"open")</f>
        <v>ok</v>
      </c>
      <c r="C3112" s="124" t="s">
        <v>369</v>
      </c>
      <c r="D3112" t="s">
        <v>5131</v>
      </c>
      <c r="E3112" t="s">
        <v>4068</v>
      </c>
      <c r="F3112" s="125" t="s">
        <v>4068</v>
      </c>
      <c r="G3112" s="124" t="s">
        <v>400</v>
      </c>
      <c r="H3112" s="125" t="str">
        <f>IF(Proc[[#This Row],[type]]="LFF (MDG-F)",MID(Proc[[#This Row],[Obj]],13,10),"")</f>
        <v/>
      </c>
      <c r="J3112" s="125" t="b">
        <f>Proc[[#This Row],[Requested]]=Proc[[#This Row],[CurrentParent]]</f>
        <v>1</v>
      </c>
      <c r="K3112" s="144" t="str">
        <f>IF(Proc[[#This Row],[Author]]="Marcela Urrego",VLOOKUP(LEFT(Proc[[#This Row],[Requested]],1),Table3[#All],2,0),VLOOKUP(Proc[[#This Row],[Author]],Table4[],2,0))</f>
        <v>HC</v>
      </c>
      <c r="L3112" s="125" t="s">
        <v>4894</v>
      </c>
      <c r="M3112" s="113">
        <v>45873</v>
      </c>
      <c r="N3112" s="113"/>
      <c r="O3112" s="113"/>
      <c r="P3112" s="115" t="str">
        <f ca="1">IF(Proc[[#This Row],[DaysAgeing]]&gt;5,"yep","on track")</f>
        <v>yep</v>
      </c>
      <c r="Q3112" s="3">
        <f ca="1">IF(Proc[[#This Row],[DateClosed]]="",ABS(NETWORKDAYS(Proc[[#This Row],[DateOpened]],TODAY()))-1,ABS(NETWORKDAYS(Proc[[#This Row],[DateOpened]],Proc[[#This Row],[DateClosed]]))-1)</f>
        <v>99</v>
      </c>
      <c r="R3112" s="115" t="s">
        <v>1013</v>
      </c>
      <c r="S3112" s="125"/>
    </row>
    <row r="3113" spans="1:19" hidden="1">
      <c r="A3113" s="124" t="s">
        <v>5258</v>
      </c>
      <c r="B3113" s="149" t="str">
        <f>IFERROR(VLOOKUP(Proc[[#This Row],[App]],Table2[],3,0),"open")</f>
        <v>ok</v>
      </c>
      <c r="C3113" s="124" t="s">
        <v>369</v>
      </c>
      <c r="D3113" t="s">
        <v>5132</v>
      </c>
      <c r="E3113" t="s">
        <v>4068</v>
      </c>
      <c r="F3113" s="125" t="s">
        <v>4068</v>
      </c>
      <c r="G3113" s="124" t="s">
        <v>400</v>
      </c>
      <c r="H3113" s="125" t="str">
        <f>IF(Proc[[#This Row],[type]]="LFF (MDG-F)",MID(Proc[[#This Row],[Obj]],13,10),"")</f>
        <v/>
      </c>
      <c r="J3113" s="125" t="b">
        <f>Proc[[#This Row],[Requested]]=Proc[[#This Row],[CurrentParent]]</f>
        <v>1</v>
      </c>
      <c r="K3113" s="144" t="str">
        <f>IF(Proc[[#This Row],[Author]]="Marcela Urrego",VLOOKUP(LEFT(Proc[[#This Row],[Requested]],1),Table3[#All],2,0),VLOOKUP(Proc[[#This Row],[Author]],Table4[],2,0))</f>
        <v>HC</v>
      </c>
      <c r="L3113" s="125" t="s">
        <v>4894</v>
      </c>
      <c r="M3113" s="113">
        <v>45873</v>
      </c>
      <c r="N3113" s="113"/>
      <c r="O3113" s="113"/>
      <c r="P3113" s="115" t="str">
        <f ca="1">IF(Proc[[#This Row],[DaysAgeing]]&gt;5,"yep","on track")</f>
        <v>yep</v>
      </c>
      <c r="Q3113" s="3">
        <f ca="1">IF(Proc[[#This Row],[DateClosed]]="",ABS(NETWORKDAYS(Proc[[#This Row],[DateOpened]],TODAY()))-1,ABS(NETWORKDAYS(Proc[[#This Row],[DateOpened]],Proc[[#This Row],[DateClosed]]))-1)</f>
        <v>99</v>
      </c>
      <c r="R3113" s="115" t="s">
        <v>1013</v>
      </c>
      <c r="S3113" s="125"/>
    </row>
    <row r="3114" spans="1:19" hidden="1">
      <c r="A3114" s="124" t="s">
        <v>5258</v>
      </c>
      <c r="B3114" s="149" t="str">
        <f>IFERROR(VLOOKUP(Proc[[#This Row],[App]],Table2[],3,0),"open")</f>
        <v>ok</v>
      </c>
      <c r="C3114" s="124" t="s">
        <v>369</v>
      </c>
      <c r="D3114" t="s">
        <v>5133</v>
      </c>
      <c r="E3114" t="s">
        <v>4068</v>
      </c>
      <c r="F3114" s="125" t="s">
        <v>4068</v>
      </c>
      <c r="G3114" s="124" t="s">
        <v>400</v>
      </c>
      <c r="H3114" s="125" t="str">
        <f>IF(Proc[[#This Row],[type]]="LFF (MDG-F)",MID(Proc[[#This Row],[Obj]],13,10),"")</f>
        <v/>
      </c>
      <c r="J3114" s="125" t="b">
        <f>Proc[[#This Row],[Requested]]=Proc[[#This Row],[CurrentParent]]</f>
        <v>1</v>
      </c>
      <c r="K3114" s="144" t="str">
        <f>IF(Proc[[#This Row],[Author]]="Marcela Urrego",VLOOKUP(LEFT(Proc[[#This Row],[Requested]],1),Table3[#All],2,0),VLOOKUP(Proc[[#This Row],[Author]],Table4[],2,0))</f>
        <v>HC</v>
      </c>
      <c r="L3114" s="125" t="s">
        <v>4894</v>
      </c>
      <c r="M3114" s="113">
        <v>45873</v>
      </c>
      <c r="N3114" s="113"/>
      <c r="O3114" s="113"/>
      <c r="P3114" s="115" t="str">
        <f ca="1">IF(Proc[[#This Row],[DaysAgeing]]&gt;5,"yep","on track")</f>
        <v>yep</v>
      </c>
      <c r="Q3114" s="3">
        <f ca="1">IF(Proc[[#This Row],[DateClosed]]="",ABS(NETWORKDAYS(Proc[[#This Row],[DateOpened]],TODAY()))-1,ABS(NETWORKDAYS(Proc[[#This Row],[DateOpened]],Proc[[#This Row],[DateClosed]]))-1)</f>
        <v>99</v>
      </c>
      <c r="R3114" s="115" t="s">
        <v>1013</v>
      </c>
      <c r="S3114" s="125"/>
    </row>
    <row r="3115" spans="1:19" hidden="1">
      <c r="A3115" s="124" t="s">
        <v>5258</v>
      </c>
      <c r="B3115" s="149" t="str">
        <f>IFERROR(VLOOKUP(Proc[[#This Row],[App]],Table2[],3,0),"open")</f>
        <v>ok</v>
      </c>
      <c r="C3115" s="124" t="s">
        <v>369</v>
      </c>
      <c r="D3115" t="s">
        <v>5134</v>
      </c>
      <c r="E3115" t="s">
        <v>4068</v>
      </c>
      <c r="F3115" s="125" t="s">
        <v>4068</v>
      </c>
      <c r="G3115" s="124" t="s">
        <v>400</v>
      </c>
      <c r="H3115" s="125" t="str">
        <f>IF(Proc[[#This Row],[type]]="LFF (MDG-F)",MID(Proc[[#This Row],[Obj]],13,10),"")</f>
        <v/>
      </c>
      <c r="J3115" s="125" t="b">
        <f>Proc[[#This Row],[Requested]]=Proc[[#This Row],[CurrentParent]]</f>
        <v>1</v>
      </c>
      <c r="K3115" s="144" t="str">
        <f>IF(Proc[[#This Row],[Author]]="Marcela Urrego",VLOOKUP(LEFT(Proc[[#This Row],[Requested]],1),Table3[#All],2,0),VLOOKUP(Proc[[#This Row],[Author]],Table4[],2,0))</f>
        <v>HC</v>
      </c>
      <c r="L3115" s="125" t="s">
        <v>4894</v>
      </c>
      <c r="M3115" s="113">
        <v>45873</v>
      </c>
      <c r="N3115" s="113"/>
      <c r="O3115" s="113"/>
      <c r="P3115" s="115" t="str">
        <f ca="1">IF(Proc[[#This Row],[DaysAgeing]]&gt;5,"yep","on track")</f>
        <v>yep</v>
      </c>
      <c r="Q3115" s="3">
        <f ca="1">IF(Proc[[#This Row],[DateClosed]]="",ABS(NETWORKDAYS(Proc[[#This Row],[DateOpened]],TODAY()))-1,ABS(NETWORKDAYS(Proc[[#This Row],[DateOpened]],Proc[[#This Row],[DateClosed]]))-1)</f>
        <v>99</v>
      </c>
      <c r="R3115" s="115" t="s">
        <v>1013</v>
      </c>
      <c r="S3115" s="125"/>
    </row>
    <row r="3116" spans="1:19" hidden="1">
      <c r="A3116" s="124" t="s">
        <v>5258</v>
      </c>
      <c r="B3116" s="149" t="str">
        <f>IFERROR(VLOOKUP(Proc[[#This Row],[App]],Table2[],3,0),"open")</f>
        <v>ok</v>
      </c>
      <c r="C3116" s="124" t="s">
        <v>369</v>
      </c>
      <c r="D3116" t="s">
        <v>5135</v>
      </c>
      <c r="E3116" t="s">
        <v>4068</v>
      </c>
      <c r="F3116" s="125" t="s">
        <v>4068</v>
      </c>
      <c r="G3116" s="124" t="s">
        <v>400</v>
      </c>
      <c r="H3116" s="125" t="str">
        <f>IF(Proc[[#This Row],[type]]="LFF (MDG-F)",MID(Proc[[#This Row],[Obj]],13,10),"")</f>
        <v/>
      </c>
      <c r="J3116" s="125" t="b">
        <f>Proc[[#This Row],[Requested]]=Proc[[#This Row],[CurrentParent]]</f>
        <v>1</v>
      </c>
      <c r="K3116" s="144" t="str">
        <f>IF(Proc[[#This Row],[Author]]="Marcela Urrego",VLOOKUP(LEFT(Proc[[#This Row],[Requested]],1),Table3[#All],2,0),VLOOKUP(Proc[[#This Row],[Author]],Table4[],2,0))</f>
        <v>HC</v>
      </c>
      <c r="L3116" s="125" t="s">
        <v>4894</v>
      </c>
      <c r="M3116" s="113">
        <v>45873</v>
      </c>
      <c r="N3116" s="113"/>
      <c r="O3116" s="113"/>
      <c r="P3116" s="115" t="str">
        <f ca="1">IF(Proc[[#This Row],[DaysAgeing]]&gt;5,"yep","on track")</f>
        <v>yep</v>
      </c>
      <c r="Q3116" s="3">
        <f ca="1">IF(Proc[[#This Row],[DateClosed]]="",ABS(NETWORKDAYS(Proc[[#This Row],[DateOpened]],TODAY()))-1,ABS(NETWORKDAYS(Proc[[#This Row],[DateOpened]],Proc[[#This Row],[DateClosed]]))-1)</f>
        <v>99</v>
      </c>
      <c r="R3116" s="115" t="s">
        <v>1013</v>
      </c>
      <c r="S3116" s="125"/>
    </row>
    <row r="3117" spans="1:19" hidden="1">
      <c r="A3117" s="124" t="s">
        <v>5258</v>
      </c>
      <c r="B3117" s="149" t="str">
        <f>IFERROR(VLOOKUP(Proc[[#This Row],[App]],Table2[],3,0),"open")</f>
        <v>ok</v>
      </c>
      <c r="C3117" s="124" t="s">
        <v>369</v>
      </c>
      <c r="D3117" t="s">
        <v>5136</v>
      </c>
      <c r="E3117" t="s">
        <v>4068</v>
      </c>
      <c r="F3117" s="125" t="s">
        <v>4068</v>
      </c>
      <c r="G3117" s="124" t="s">
        <v>400</v>
      </c>
      <c r="H3117" s="125" t="str">
        <f>IF(Proc[[#This Row],[type]]="LFF (MDG-F)",MID(Proc[[#This Row],[Obj]],13,10),"")</f>
        <v/>
      </c>
      <c r="J3117" s="125" t="b">
        <f>Proc[[#This Row],[Requested]]=Proc[[#This Row],[CurrentParent]]</f>
        <v>1</v>
      </c>
      <c r="K3117" s="144" t="str">
        <f>IF(Proc[[#This Row],[Author]]="Marcela Urrego",VLOOKUP(LEFT(Proc[[#This Row],[Requested]],1),Table3[#All],2,0),VLOOKUP(Proc[[#This Row],[Author]],Table4[],2,0))</f>
        <v>HC</v>
      </c>
      <c r="L3117" s="125" t="s">
        <v>4894</v>
      </c>
      <c r="M3117" s="113">
        <v>45873</v>
      </c>
      <c r="N3117" s="113"/>
      <c r="O3117" s="113"/>
      <c r="P3117" s="115" t="str">
        <f ca="1">IF(Proc[[#This Row],[DaysAgeing]]&gt;5,"yep","on track")</f>
        <v>yep</v>
      </c>
      <c r="Q3117" s="3">
        <f ca="1">IF(Proc[[#This Row],[DateClosed]]="",ABS(NETWORKDAYS(Proc[[#This Row],[DateOpened]],TODAY()))-1,ABS(NETWORKDAYS(Proc[[#This Row],[DateOpened]],Proc[[#This Row],[DateClosed]]))-1)</f>
        <v>99</v>
      </c>
      <c r="R3117" s="115" t="s">
        <v>1013</v>
      </c>
      <c r="S3117" s="125"/>
    </row>
    <row r="3118" spans="1:19" hidden="1">
      <c r="A3118" s="124" t="s">
        <v>5258</v>
      </c>
      <c r="B3118" s="149" t="str">
        <f>IFERROR(VLOOKUP(Proc[[#This Row],[App]],Table2[],3,0),"open")</f>
        <v>ok</v>
      </c>
      <c r="C3118" s="124" t="s">
        <v>369</v>
      </c>
      <c r="D3118" t="s">
        <v>5137</v>
      </c>
      <c r="E3118" t="s">
        <v>4068</v>
      </c>
      <c r="F3118" s="125" t="s">
        <v>4068</v>
      </c>
      <c r="G3118" s="124" t="s">
        <v>400</v>
      </c>
      <c r="H3118" s="125" t="str">
        <f>IF(Proc[[#This Row],[type]]="LFF (MDG-F)",MID(Proc[[#This Row],[Obj]],13,10),"")</f>
        <v/>
      </c>
      <c r="J3118" s="125" t="b">
        <f>Proc[[#This Row],[Requested]]=Proc[[#This Row],[CurrentParent]]</f>
        <v>1</v>
      </c>
      <c r="K3118" s="144" t="str">
        <f>IF(Proc[[#This Row],[Author]]="Marcela Urrego",VLOOKUP(LEFT(Proc[[#This Row],[Requested]],1),Table3[#All],2,0),VLOOKUP(Proc[[#This Row],[Author]],Table4[],2,0))</f>
        <v>HC</v>
      </c>
      <c r="L3118" s="125" t="s">
        <v>4894</v>
      </c>
      <c r="M3118" s="113">
        <v>45873</v>
      </c>
      <c r="N3118" s="113"/>
      <c r="O3118" s="113"/>
      <c r="P3118" s="115" t="str">
        <f ca="1">IF(Proc[[#This Row],[DaysAgeing]]&gt;5,"yep","on track")</f>
        <v>yep</v>
      </c>
      <c r="Q3118" s="3">
        <f ca="1">IF(Proc[[#This Row],[DateClosed]]="",ABS(NETWORKDAYS(Proc[[#This Row],[DateOpened]],TODAY()))-1,ABS(NETWORKDAYS(Proc[[#This Row],[DateOpened]],Proc[[#This Row],[DateClosed]]))-1)</f>
        <v>99</v>
      </c>
      <c r="R3118" s="115" t="s">
        <v>1013</v>
      </c>
      <c r="S3118" s="125"/>
    </row>
    <row r="3119" spans="1:19" hidden="1">
      <c r="A3119" s="124" t="s">
        <v>5258</v>
      </c>
      <c r="B3119" s="149" t="str">
        <f>IFERROR(VLOOKUP(Proc[[#This Row],[App]],Table2[],3,0),"open")</f>
        <v>ok</v>
      </c>
      <c r="C3119" s="124" t="s">
        <v>369</v>
      </c>
      <c r="D3119" t="s">
        <v>5138</v>
      </c>
      <c r="E3119" t="s">
        <v>4068</v>
      </c>
      <c r="F3119" s="125" t="s">
        <v>4068</v>
      </c>
      <c r="G3119" s="124" t="s">
        <v>400</v>
      </c>
      <c r="H3119" s="125" t="str">
        <f>IF(Proc[[#This Row],[type]]="LFF (MDG-F)",MID(Proc[[#This Row],[Obj]],13,10),"")</f>
        <v/>
      </c>
      <c r="J3119" s="125" t="b">
        <f>Proc[[#This Row],[Requested]]=Proc[[#This Row],[CurrentParent]]</f>
        <v>1</v>
      </c>
      <c r="K3119" s="144" t="str">
        <f>IF(Proc[[#This Row],[Author]]="Marcela Urrego",VLOOKUP(LEFT(Proc[[#This Row],[Requested]],1),Table3[#All],2,0),VLOOKUP(Proc[[#This Row],[Author]],Table4[],2,0))</f>
        <v>HC</v>
      </c>
      <c r="L3119" s="125" t="s">
        <v>4894</v>
      </c>
      <c r="M3119" s="113">
        <v>45873</v>
      </c>
      <c r="N3119" s="113"/>
      <c r="O3119" s="113"/>
      <c r="P3119" s="115" t="str">
        <f ca="1">IF(Proc[[#This Row],[DaysAgeing]]&gt;5,"yep","on track")</f>
        <v>yep</v>
      </c>
      <c r="Q3119" s="3">
        <f ca="1">IF(Proc[[#This Row],[DateClosed]]="",ABS(NETWORKDAYS(Proc[[#This Row],[DateOpened]],TODAY()))-1,ABS(NETWORKDAYS(Proc[[#This Row],[DateOpened]],Proc[[#This Row],[DateClosed]]))-1)</f>
        <v>99</v>
      </c>
      <c r="R3119" s="115" t="s">
        <v>1013</v>
      </c>
      <c r="S3119" s="125"/>
    </row>
    <row r="3120" spans="1:19" hidden="1">
      <c r="A3120" s="124" t="s">
        <v>5258</v>
      </c>
      <c r="B3120" s="149" t="str">
        <f>IFERROR(VLOOKUP(Proc[[#This Row],[App]],Table2[],3,0),"open")</f>
        <v>ok</v>
      </c>
      <c r="C3120" s="124" t="s">
        <v>369</v>
      </c>
      <c r="D3120" t="s">
        <v>5139</v>
      </c>
      <c r="E3120" t="s">
        <v>4068</v>
      </c>
      <c r="F3120" s="125" t="s">
        <v>4068</v>
      </c>
      <c r="G3120" s="124" t="s">
        <v>400</v>
      </c>
      <c r="H3120" s="125" t="str">
        <f>IF(Proc[[#This Row],[type]]="LFF (MDG-F)",MID(Proc[[#This Row],[Obj]],13,10),"")</f>
        <v/>
      </c>
      <c r="J3120" s="125" t="b">
        <f>Proc[[#This Row],[Requested]]=Proc[[#This Row],[CurrentParent]]</f>
        <v>1</v>
      </c>
      <c r="K3120" s="144" t="str">
        <f>IF(Proc[[#This Row],[Author]]="Marcela Urrego",VLOOKUP(LEFT(Proc[[#This Row],[Requested]],1),Table3[#All],2,0),VLOOKUP(Proc[[#This Row],[Author]],Table4[],2,0))</f>
        <v>HC</v>
      </c>
      <c r="L3120" s="125" t="s">
        <v>4894</v>
      </c>
      <c r="M3120" s="113">
        <v>45873</v>
      </c>
      <c r="N3120" s="113"/>
      <c r="O3120" s="113"/>
      <c r="P3120" s="115" t="str">
        <f ca="1">IF(Proc[[#This Row],[DaysAgeing]]&gt;5,"yep","on track")</f>
        <v>yep</v>
      </c>
      <c r="Q3120" s="3">
        <f ca="1">IF(Proc[[#This Row],[DateClosed]]="",ABS(NETWORKDAYS(Proc[[#This Row],[DateOpened]],TODAY()))-1,ABS(NETWORKDAYS(Proc[[#This Row],[DateOpened]],Proc[[#This Row],[DateClosed]]))-1)</f>
        <v>99</v>
      </c>
      <c r="R3120" s="115" t="s">
        <v>1013</v>
      </c>
      <c r="S3120" s="125"/>
    </row>
    <row r="3121" spans="1:19" hidden="1">
      <c r="A3121" s="124" t="s">
        <v>5258</v>
      </c>
      <c r="B3121" s="149" t="str">
        <f>IFERROR(VLOOKUP(Proc[[#This Row],[App]],Table2[],3,0),"open")</f>
        <v>ok</v>
      </c>
      <c r="C3121" s="124" t="s">
        <v>369</v>
      </c>
      <c r="D3121" t="s">
        <v>5140</v>
      </c>
      <c r="E3121" t="s">
        <v>4068</v>
      </c>
      <c r="F3121" s="125" t="s">
        <v>4068</v>
      </c>
      <c r="G3121" s="124" t="s">
        <v>400</v>
      </c>
      <c r="H3121" s="125" t="str">
        <f>IF(Proc[[#This Row],[type]]="LFF (MDG-F)",MID(Proc[[#This Row],[Obj]],13,10),"")</f>
        <v/>
      </c>
      <c r="J3121" s="125" t="b">
        <f>Proc[[#This Row],[Requested]]=Proc[[#This Row],[CurrentParent]]</f>
        <v>1</v>
      </c>
      <c r="K3121" s="144" t="str">
        <f>IF(Proc[[#This Row],[Author]]="Marcela Urrego",VLOOKUP(LEFT(Proc[[#This Row],[Requested]],1),Table3[#All],2,0),VLOOKUP(Proc[[#This Row],[Author]],Table4[],2,0))</f>
        <v>HC</v>
      </c>
      <c r="L3121" s="125" t="s">
        <v>4894</v>
      </c>
      <c r="M3121" s="113">
        <v>45873</v>
      </c>
      <c r="N3121" s="113"/>
      <c r="O3121" s="113"/>
      <c r="P3121" s="115" t="str">
        <f ca="1">IF(Proc[[#This Row],[DaysAgeing]]&gt;5,"yep","on track")</f>
        <v>yep</v>
      </c>
      <c r="Q3121" s="3">
        <f ca="1">IF(Proc[[#This Row],[DateClosed]]="",ABS(NETWORKDAYS(Proc[[#This Row],[DateOpened]],TODAY()))-1,ABS(NETWORKDAYS(Proc[[#This Row],[DateOpened]],Proc[[#This Row],[DateClosed]]))-1)</f>
        <v>99</v>
      </c>
      <c r="R3121" s="115" t="s">
        <v>1013</v>
      </c>
      <c r="S3121" s="125"/>
    </row>
    <row r="3122" spans="1:19" hidden="1">
      <c r="A3122" s="124" t="s">
        <v>5258</v>
      </c>
      <c r="B3122" s="149" t="str">
        <f>IFERROR(VLOOKUP(Proc[[#This Row],[App]],Table2[],3,0),"open")</f>
        <v>ok</v>
      </c>
      <c r="C3122" s="124" t="s">
        <v>369</v>
      </c>
      <c r="D3122" t="s">
        <v>5141</v>
      </c>
      <c r="E3122" t="s">
        <v>4068</v>
      </c>
      <c r="F3122" s="125" t="s">
        <v>4068</v>
      </c>
      <c r="G3122" s="124" t="s">
        <v>400</v>
      </c>
      <c r="H3122" s="125" t="str">
        <f>IF(Proc[[#This Row],[type]]="LFF (MDG-F)",MID(Proc[[#This Row],[Obj]],13,10),"")</f>
        <v/>
      </c>
      <c r="J3122" s="125" t="b">
        <f>Proc[[#This Row],[Requested]]=Proc[[#This Row],[CurrentParent]]</f>
        <v>1</v>
      </c>
      <c r="K3122" s="144" t="str">
        <f>IF(Proc[[#This Row],[Author]]="Marcela Urrego",VLOOKUP(LEFT(Proc[[#This Row],[Requested]],1),Table3[#All],2,0),VLOOKUP(Proc[[#This Row],[Author]],Table4[],2,0))</f>
        <v>HC</v>
      </c>
      <c r="L3122" s="125" t="s">
        <v>4894</v>
      </c>
      <c r="M3122" s="113">
        <v>45873</v>
      </c>
      <c r="N3122" s="113"/>
      <c r="O3122" s="113"/>
      <c r="P3122" s="115" t="str">
        <f ca="1">IF(Proc[[#This Row],[DaysAgeing]]&gt;5,"yep","on track")</f>
        <v>yep</v>
      </c>
      <c r="Q3122" s="3">
        <f ca="1">IF(Proc[[#This Row],[DateClosed]]="",ABS(NETWORKDAYS(Proc[[#This Row],[DateOpened]],TODAY()))-1,ABS(NETWORKDAYS(Proc[[#This Row],[DateOpened]],Proc[[#This Row],[DateClosed]]))-1)</f>
        <v>99</v>
      </c>
      <c r="R3122" s="115" t="s">
        <v>1013</v>
      </c>
      <c r="S3122" s="125"/>
    </row>
    <row r="3123" spans="1:19" hidden="1">
      <c r="A3123" s="124" t="s">
        <v>5258</v>
      </c>
      <c r="B3123" s="149" t="str">
        <f>IFERROR(VLOOKUP(Proc[[#This Row],[App]],Table2[],3,0),"open")</f>
        <v>ok</v>
      </c>
      <c r="C3123" s="124" t="s">
        <v>369</v>
      </c>
      <c r="D3123" t="s">
        <v>5142</v>
      </c>
      <c r="E3123" t="s">
        <v>4068</v>
      </c>
      <c r="F3123" s="125" t="s">
        <v>4068</v>
      </c>
      <c r="G3123" s="124" t="s">
        <v>400</v>
      </c>
      <c r="H3123" s="125" t="str">
        <f>IF(Proc[[#This Row],[type]]="LFF (MDG-F)",MID(Proc[[#This Row],[Obj]],13,10),"")</f>
        <v/>
      </c>
      <c r="J3123" s="125" t="b">
        <f>Proc[[#This Row],[Requested]]=Proc[[#This Row],[CurrentParent]]</f>
        <v>1</v>
      </c>
      <c r="K3123" s="144" t="str">
        <f>IF(Proc[[#This Row],[Author]]="Marcela Urrego",VLOOKUP(LEFT(Proc[[#This Row],[Requested]],1),Table3[#All],2,0),VLOOKUP(Proc[[#This Row],[Author]],Table4[],2,0))</f>
        <v>HC</v>
      </c>
      <c r="L3123" s="125" t="s">
        <v>4894</v>
      </c>
      <c r="M3123" s="113">
        <v>45873</v>
      </c>
      <c r="N3123" s="113"/>
      <c r="O3123" s="113"/>
      <c r="P3123" s="115" t="str">
        <f ca="1">IF(Proc[[#This Row],[DaysAgeing]]&gt;5,"yep","on track")</f>
        <v>yep</v>
      </c>
      <c r="Q3123" s="3">
        <f ca="1">IF(Proc[[#This Row],[DateClosed]]="",ABS(NETWORKDAYS(Proc[[#This Row],[DateOpened]],TODAY()))-1,ABS(NETWORKDAYS(Proc[[#This Row],[DateOpened]],Proc[[#This Row],[DateClosed]]))-1)</f>
        <v>99</v>
      </c>
      <c r="R3123" s="115" t="s">
        <v>1013</v>
      </c>
      <c r="S3123" s="125"/>
    </row>
    <row r="3124" spans="1:19" hidden="1">
      <c r="A3124" s="124" t="s">
        <v>5258</v>
      </c>
      <c r="B3124" s="149" t="str">
        <f>IFERROR(VLOOKUP(Proc[[#This Row],[App]],Table2[],3,0),"open")</f>
        <v>ok</v>
      </c>
      <c r="C3124" s="124" t="s">
        <v>369</v>
      </c>
      <c r="D3124" t="s">
        <v>5143</v>
      </c>
      <c r="E3124" t="s">
        <v>4068</v>
      </c>
      <c r="F3124" s="125" t="s">
        <v>4068</v>
      </c>
      <c r="G3124" s="124" t="s">
        <v>400</v>
      </c>
      <c r="H3124" s="125" t="str">
        <f>IF(Proc[[#This Row],[type]]="LFF (MDG-F)",MID(Proc[[#This Row],[Obj]],13,10),"")</f>
        <v/>
      </c>
      <c r="J3124" s="125" t="b">
        <f>Proc[[#This Row],[Requested]]=Proc[[#This Row],[CurrentParent]]</f>
        <v>1</v>
      </c>
      <c r="K3124" s="144" t="str">
        <f>IF(Proc[[#This Row],[Author]]="Marcela Urrego",VLOOKUP(LEFT(Proc[[#This Row],[Requested]],1),Table3[#All],2,0),VLOOKUP(Proc[[#This Row],[Author]],Table4[],2,0))</f>
        <v>HC</v>
      </c>
      <c r="L3124" s="125" t="s">
        <v>4894</v>
      </c>
      <c r="M3124" s="113">
        <v>45873</v>
      </c>
      <c r="N3124" s="113"/>
      <c r="O3124" s="113"/>
      <c r="P3124" s="115" t="str">
        <f ca="1">IF(Proc[[#This Row],[DaysAgeing]]&gt;5,"yep","on track")</f>
        <v>yep</v>
      </c>
      <c r="Q3124" s="3">
        <f ca="1">IF(Proc[[#This Row],[DateClosed]]="",ABS(NETWORKDAYS(Proc[[#This Row],[DateOpened]],TODAY()))-1,ABS(NETWORKDAYS(Proc[[#This Row],[DateOpened]],Proc[[#This Row],[DateClosed]]))-1)</f>
        <v>99</v>
      </c>
      <c r="R3124" s="115" t="s">
        <v>1013</v>
      </c>
      <c r="S3124" s="125"/>
    </row>
    <row r="3125" spans="1:19" hidden="1">
      <c r="A3125" s="124" t="s">
        <v>5258</v>
      </c>
      <c r="B3125" s="149" t="str">
        <f>IFERROR(VLOOKUP(Proc[[#This Row],[App]],Table2[],3,0),"open")</f>
        <v>ok</v>
      </c>
      <c r="C3125" s="124" t="s">
        <v>369</v>
      </c>
      <c r="D3125" t="s">
        <v>5144</v>
      </c>
      <c r="E3125" t="s">
        <v>4068</v>
      </c>
      <c r="F3125" s="125" t="s">
        <v>4068</v>
      </c>
      <c r="G3125" s="124" t="s">
        <v>400</v>
      </c>
      <c r="H3125" s="125" t="str">
        <f>IF(Proc[[#This Row],[type]]="LFF (MDG-F)",MID(Proc[[#This Row],[Obj]],13,10),"")</f>
        <v/>
      </c>
      <c r="J3125" s="125" t="b">
        <f>Proc[[#This Row],[Requested]]=Proc[[#This Row],[CurrentParent]]</f>
        <v>1</v>
      </c>
      <c r="K3125" s="144" t="str">
        <f>IF(Proc[[#This Row],[Author]]="Marcela Urrego",VLOOKUP(LEFT(Proc[[#This Row],[Requested]],1),Table3[#All],2,0),VLOOKUP(Proc[[#This Row],[Author]],Table4[],2,0))</f>
        <v>HC</v>
      </c>
      <c r="L3125" s="125" t="s">
        <v>4894</v>
      </c>
      <c r="M3125" s="113">
        <v>45873</v>
      </c>
      <c r="N3125" s="113"/>
      <c r="O3125" s="113"/>
      <c r="P3125" s="115" t="str">
        <f ca="1">IF(Proc[[#This Row],[DaysAgeing]]&gt;5,"yep","on track")</f>
        <v>yep</v>
      </c>
      <c r="Q3125" s="3">
        <f ca="1">IF(Proc[[#This Row],[DateClosed]]="",ABS(NETWORKDAYS(Proc[[#This Row],[DateOpened]],TODAY()))-1,ABS(NETWORKDAYS(Proc[[#This Row],[DateOpened]],Proc[[#This Row],[DateClosed]]))-1)</f>
        <v>99</v>
      </c>
      <c r="R3125" s="115" t="s">
        <v>1013</v>
      </c>
      <c r="S3125" s="125"/>
    </row>
    <row r="3126" spans="1:19" hidden="1">
      <c r="A3126" s="124" t="s">
        <v>5258</v>
      </c>
      <c r="B3126" s="149" t="str">
        <f>IFERROR(VLOOKUP(Proc[[#This Row],[App]],Table2[],3,0),"open")</f>
        <v>ok</v>
      </c>
      <c r="C3126" s="124" t="s">
        <v>369</v>
      </c>
      <c r="D3126" t="s">
        <v>5145</v>
      </c>
      <c r="E3126" t="s">
        <v>4068</v>
      </c>
      <c r="F3126" s="125" t="s">
        <v>4068</v>
      </c>
      <c r="G3126" s="124" t="s">
        <v>400</v>
      </c>
      <c r="H3126" s="125" t="str">
        <f>IF(Proc[[#This Row],[type]]="LFF (MDG-F)",MID(Proc[[#This Row],[Obj]],13,10),"")</f>
        <v/>
      </c>
      <c r="J3126" s="125" t="b">
        <f>Proc[[#This Row],[Requested]]=Proc[[#This Row],[CurrentParent]]</f>
        <v>1</v>
      </c>
      <c r="K3126" s="144" t="str">
        <f>IF(Proc[[#This Row],[Author]]="Marcela Urrego",VLOOKUP(LEFT(Proc[[#This Row],[Requested]],1),Table3[#All],2,0),VLOOKUP(Proc[[#This Row],[Author]],Table4[],2,0))</f>
        <v>HC</v>
      </c>
      <c r="L3126" s="125" t="s">
        <v>4894</v>
      </c>
      <c r="M3126" s="113">
        <v>45873</v>
      </c>
      <c r="N3126" s="113"/>
      <c r="O3126" s="113"/>
      <c r="P3126" s="115" t="str">
        <f ca="1">IF(Proc[[#This Row],[DaysAgeing]]&gt;5,"yep","on track")</f>
        <v>yep</v>
      </c>
      <c r="Q3126" s="3">
        <f ca="1">IF(Proc[[#This Row],[DateClosed]]="",ABS(NETWORKDAYS(Proc[[#This Row],[DateOpened]],TODAY()))-1,ABS(NETWORKDAYS(Proc[[#This Row],[DateOpened]],Proc[[#This Row],[DateClosed]]))-1)</f>
        <v>99</v>
      </c>
      <c r="R3126" s="115" t="s">
        <v>1013</v>
      </c>
      <c r="S3126" s="125"/>
    </row>
    <row r="3127" spans="1:19" hidden="1">
      <c r="A3127" s="124" t="s">
        <v>5258</v>
      </c>
      <c r="B3127" s="149" t="str">
        <f>IFERROR(VLOOKUP(Proc[[#This Row],[App]],Table2[],3,0),"open")</f>
        <v>ok</v>
      </c>
      <c r="C3127" s="124" t="s">
        <v>369</v>
      </c>
      <c r="D3127" t="s">
        <v>5146</v>
      </c>
      <c r="E3127" t="s">
        <v>4068</v>
      </c>
      <c r="F3127" s="125" t="s">
        <v>4068</v>
      </c>
      <c r="G3127" s="124" t="s">
        <v>400</v>
      </c>
      <c r="H3127" s="125" t="str">
        <f>IF(Proc[[#This Row],[type]]="LFF (MDG-F)",MID(Proc[[#This Row],[Obj]],13,10),"")</f>
        <v/>
      </c>
      <c r="J3127" s="125" t="b">
        <f>Proc[[#This Row],[Requested]]=Proc[[#This Row],[CurrentParent]]</f>
        <v>1</v>
      </c>
      <c r="K3127" s="144" t="str">
        <f>IF(Proc[[#This Row],[Author]]="Marcela Urrego",VLOOKUP(LEFT(Proc[[#This Row],[Requested]],1),Table3[#All],2,0),VLOOKUP(Proc[[#This Row],[Author]],Table4[],2,0))</f>
        <v>HC</v>
      </c>
      <c r="L3127" s="125" t="s">
        <v>4894</v>
      </c>
      <c r="M3127" s="113">
        <v>45873</v>
      </c>
      <c r="N3127" s="113"/>
      <c r="O3127" s="113"/>
      <c r="P3127" s="115" t="str">
        <f ca="1">IF(Proc[[#This Row],[DaysAgeing]]&gt;5,"yep","on track")</f>
        <v>yep</v>
      </c>
      <c r="Q3127" s="3">
        <f ca="1">IF(Proc[[#This Row],[DateClosed]]="",ABS(NETWORKDAYS(Proc[[#This Row],[DateOpened]],TODAY()))-1,ABS(NETWORKDAYS(Proc[[#This Row],[DateOpened]],Proc[[#This Row],[DateClosed]]))-1)</f>
        <v>99</v>
      </c>
      <c r="R3127" s="115" t="s">
        <v>1013</v>
      </c>
      <c r="S3127" s="125"/>
    </row>
    <row r="3128" spans="1:19" hidden="1">
      <c r="A3128" s="124" t="s">
        <v>5258</v>
      </c>
      <c r="B3128" s="149" t="str">
        <f>IFERROR(VLOOKUP(Proc[[#This Row],[App]],Table2[],3,0),"open")</f>
        <v>ok</v>
      </c>
      <c r="C3128" s="124" t="s">
        <v>369</v>
      </c>
      <c r="D3128" t="s">
        <v>5147</v>
      </c>
      <c r="E3128" t="s">
        <v>4068</v>
      </c>
      <c r="F3128" s="125" t="s">
        <v>4068</v>
      </c>
      <c r="G3128" s="124" t="s">
        <v>400</v>
      </c>
      <c r="H3128" s="125" t="str">
        <f>IF(Proc[[#This Row],[type]]="LFF (MDG-F)",MID(Proc[[#This Row],[Obj]],13,10),"")</f>
        <v/>
      </c>
      <c r="J3128" s="125" t="b">
        <f>Proc[[#This Row],[Requested]]=Proc[[#This Row],[CurrentParent]]</f>
        <v>1</v>
      </c>
      <c r="K3128" s="144" t="str">
        <f>IF(Proc[[#This Row],[Author]]="Marcela Urrego",VLOOKUP(LEFT(Proc[[#This Row],[Requested]],1),Table3[#All],2,0),VLOOKUP(Proc[[#This Row],[Author]],Table4[],2,0))</f>
        <v>HC</v>
      </c>
      <c r="L3128" s="125" t="s">
        <v>4894</v>
      </c>
      <c r="M3128" s="113">
        <v>45873</v>
      </c>
      <c r="N3128" s="113"/>
      <c r="O3128" s="113"/>
      <c r="P3128" s="115" t="str">
        <f ca="1">IF(Proc[[#This Row],[DaysAgeing]]&gt;5,"yep","on track")</f>
        <v>yep</v>
      </c>
      <c r="Q3128" s="3">
        <f ca="1">IF(Proc[[#This Row],[DateClosed]]="",ABS(NETWORKDAYS(Proc[[#This Row],[DateOpened]],TODAY()))-1,ABS(NETWORKDAYS(Proc[[#This Row],[DateOpened]],Proc[[#This Row],[DateClosed]]))-1)</f>
        <v>99</v>
      </c>
      <c r="R3128" s="115" t="s">
        <v>1013</v>
      </c>
      <c r="S3128" s="125"/>
    </row>
    <row r="3129" spans="1:19" hidden="1">
      <c r="A3129" s="124" t="s">
        <v>5258</v>
      </c>
      <c r="B3129" s="149" t="str">
        <f>IFERROR(VLOOKUP(Proc[[#This Row],[App]],Table2[],3,0),"open")</f>
        <v>ok</v>
      </c>
      <c r="C3129" s="124" t="s">
        <v>369</v>
      </c>
      <c r="D3129" t="s">
        <v>5148</v>
      </c>
      <c r="E3129" t="s">
        <v>4068</v>
      </c>
      <c r="F3129" s="125" t="s">
        <v>4068</v>
      </c>
      <c r="G3129" s="124" t="s">
        <v>400</v>
      </c>
      <c r="H3129" s="125" t="str">
        <f>IF(Proc[[#This Row],[type]]="LFF (MDG-F)",MID(Proc[[#This Row],[Obj]],13,10),"")</f>
        <v/>
      </c>
      <c r="J3129" s="125" t="b">
        <f>Proc[[#This Row],[Requested]]=Proc[[#This Row],[CurrentParent]]</f>
        <v>1</v>
      </c>
      <c r="K3129" s="144" t="str">
        <f>IF(Proc[[#This Row],[Author]]="Marcela Urrego",VLOOKUP(LEFT(Proc[[#This Row],[Requested]],1),Table3[#All],2,0),VLOOKUP(Proc[[#This Row],[Author]],Table4[],2,0))</f>
        <v>HC</v>
      </c>
      <c r="L3129" s="125" t="s">
        <v>4894</v>
      </c>
      <c r="M3129" s="113">
        <v>45873</v>
      </c>
      <c r="N3129" s="113"/>
      <c r="O3129" s="113"/>
      <c r="P3129" s="115" t="str">
        <f ca="1">IF(Proc[[#This Row],[DaysAgeing]]&gt;5,"yep","on track")</f>
        <v>yep</v>
      </c>
      <c r="Q3129" s="3">
        <f ca="1">IF(Proc[[#This Row],[DateClosed]]="",ABS(NETWORKDAYS(Proc[[#This Row],[DateOpened]],TODAY()))-1,ABS(NETWORKDAYS(Proc[[#This Row],[DateOpened]],Proc[[#This Row],[DateClosed]]))-1)</f>
        <v>99</v>
      </c>
      <c r="R3129" s="115" t="s">
        <v>1013</v>
      </c>
      <c r="S3129" s="125"/>
    </row>
    <row r="3130" spans="1:19" hidden="1">
      <c r="A3130" s="124" t="s">
        <v>5258</v>
      </c>
      <c r="B3130" s="149" t="str">
        <f>IFERROR(VLOOKUP(Proc[[#This Row],[App]],Table2[],3,0),"open")</f>
        <v>ok</v>
      </c>
      <c r="C3130" s="124" t="s">
        <v>369</v>
      </c>
      <c r="D3130" t="s">
        <v>5149</v>
      </c>
      <c r="E3130" t="s">
        <v>4068</v>
      </c>
      <c r="F3130" s="125" t="s">
        <v>4068</v>
      </c>
      <c r="G3130" s="124" t="s">
        <v>400</v>
      </c>
      <c r="H3130" s="125" t="str">
        <f>IF(Proc[[#This Row],[type]]="LFF (MDG-F)",MID(Proc[[#This Row],[Obj]],13,10),"")</f>
        <v/>
      </c>
      <c r="J3130" s="125" t="b">
        <f>Proc[[#This Row],[Requested]]=Proc[[#This Row],[CurrentParent]]</f>
        <v>1</v>
      </c>
      <c r="K3130" s="144" t="str">
        <f>IF(Proc[[#This Row],[Author]]="Marcela Urrego",VLOOKUP(LEFT(Proc[[#This Row],[Requested]],1),Table3[#All],2,0),VLOOKUP(Proc[[#This Row],[Author]],Table4[],2,0))</f>
        <v>HC</v>
      </c>
      <c r="L3130" s="125" t="s">
        <v>4894</v>
      </c>
      <c r="M3130" s="113">
        <v>45873</v>
      </c>
      <c r="N3130" s="113"/>
      <c r="O3130" s="113"/>
      <c r="P3130" s="115" t="str">
        <f ca="1">IF(Proc[[#This Row],[DaysAgeing]]&gt;5,"yep","on track")</f>
        <v>yep</v>
      </c>
      <c r="Q3130" s="3">
        <f ca="1">IF(Proc[[#This Row],[DateClosed]]="",ABS(NETWORKDAYS(Proc[[#This Row],[DateOpened]],TODAY()))-1,ABS(NETWORKDAYS(Proc[[#This Row],[DateOpened]],Proc[[#This Row],[DateClosed]]))-1)</f>
        <v>99</v>
      </c>
      <c r="R3130" s="115" t="s">
        <v>1013</v>
      </c>
      <c r="S3130" s="125"/>
    </row>
    <row r="3131" spans="1:19" hidden="1">
      <c r="A3131" s="124" t="s">
        <v>5258</v>
      </c>
      <c r="B3131" s="149" t="str">
        <f>IFERROR(VLOOKUP(Proc[[#This Row],[App]],Table2[],3,0),"open")</f>
        <v>ok</v>
      </c>
      <c r="C3131" s="124" t="s">
        <v>369</v>
      </c>
      <c r="D3131" t="s">
        <v>5150</v>
      </c>
      <c r="E3131" t="s">
        <v>4068</v>
      </c>
      <c r="F3131" s="125" t="s">
        <v>4068</v>
      </c>
      <c r="G3131" s="124" t="s">
        <v>400</v>
      </c>
      <c r="H3131" s="125" t="str">
        <f>IF(Proc[[#This Row],[type]]="LFF (MDG-F)",MID(Proc[[#This Row],[Obj]],13,10),"")</f>
        <v/>
      </c>
      <c r="J3131" s="125" t="b">
        <f>Proc[[#This Row],[Requested]]=Proc[[#This Row],[CurrentParent]]</f>
        <v>1</v>
      </c>
      <c r="K3131" s="144" t="str">
        <f>IF(Proc[[#This Row],[Author]]="Marcela Urrego",VLOOKUP(LEFT(Proc[[#This Row],[Requested]],1),Table3[#All],2,0),VLOOKUP(Proc[[#This Row],[Author]],Table4[],2,0))</f>
        <v>HC</v>
      </c>
      <c r="L3131" s="125" t="s">
        <v>4894</v>
      </c>
      <c r="M3131" s="113">
        <v>45873</v>
      </c>
      <c r="N3131" s="113"/>
      <c r="O3131" s="113"/>
      <c r="P3131" s="115" t="str">
        <f ca="1">IF(Proc[[#This Row],[DaysAgeing]]&gt;5,"yep","on track")</f>
        <v>yep</v>
      </c>
      <c r="Q3131" s="3">
        <f ca="1">IF(Proc[[#This Row],[DateClosed]]="",ABS(NETWORKDAYS(Proc[[#This Row],[DateOpened]],TODAY()))-1,ABS(NETWORKDAYS(Proc[[#This Row],[DateOpened]],Proc[[#This Row],[DateClosed]]))-1)</f>
        <v>99</v>
      </c>
      <c r="R3131" s="115" t="s">
        <v>1013</v>
      </c>
      <c r="S3131" s="125"/>
    </row>
    <row r="3132" spans="1:19" hidden="1">
      <c r="A3132" s="124" t="s">
        <v>5258</v>
      </c>
      <c r="B3132" s="149" t="str">
        <f>IFERROR(VLOOKUP(Proc[[#This Row],[App]],Table2[],3,0),"open")</f>
        <v>ok</v>
      </c>
      <c r="C3132" s="124" t="s">
        <v>369</v>
      </c>
      <c r="D3132" t="s">
        <v>5151</v>
      </c>
      <c r="E3132" t="s">
        <v>4068</v>
      </c>
      <c r="F3132" s="125" t="s">
        <v>4068</v>
      </c>
      <c r="G3132" s="124" t="s">
        <v>400</v>
      </c>
      <c r="H3132" s="125" t="str">
        <f>IF(Proc[[#This Row],[type]]="LFF (MDG-F)",MID(Proc[[#This Row],[Obj]],13,10),"")</f>
        <v/>
      </c>
      <c r="J3132" s="125" t="b">
        <f>Proc[[#This Row],[Requested]]=Proc[[#This Row],[CurrentParent]]</f>
        <v>1</v>
      </c>
      <c r="K3132" s="144" t="str">
        <f>IF(Proc[[#This Row],[Author]]="Marcela Urrego",VLOOKUP(LEFT(Proc[[#This Row],[Requested]],1),Table3[#All],2,0),VLOOKUP(Proc[[#This Row],[Author]],Table4[],2,0))</f>
        <v>HC</v>
      </c>
      <c r="L3132" s="125" t="s">
        <v>4894</v>
      </c>
      <c r="M3132" s="113">
        <v>45873</v>
      </c>
      <c r="N3132" s="113"/>
      <c r="O3132" s="113"/>
      <c r="P3132" s="115" t="str">
        <f ca="1">IF(Proc[[#This Row],[DaysAgeing]]&gt;5,"yep","on track")</f>
        <v>yep</v>
      </c>
      <c r="Q3132" s="3">
        <f ca="1">IF(Proc[[#This Row],[DateClosed]]="",ABS(NETWORKDAYS(Proc[[#This Row],[DateOpened]],TODAY()))-1,ABS(NETWORKDAYS(Proc[[#This Row],[DateOpened]],Proc[[#This Row],[DateClosed]]))-1)</f>
        <v>99</v>
      </c>
      <c r="R3132" s="115" t="s">
        <v>1013</v>
      </c>
      <c r="S3132" s="125"/>
    </row>
    <row r="3133" spans="1:19" hidden="1">
      <c r="A3133" s="124" t="s">
        <v>5258</v>
      </c>
      <c r="B3133" s="149" t="str">
        <f>IFERROR(VLOOKUP(Proc[[#This Row],[App]],Table2[],3,0),"open")</f>
        <v>ok</v>
      </c>
      <c r="C3133" s="124" t="s">
        <v>369</v>
      </c>
      <c r="D3133" t="s">
        <v>5152</v>
      </c>
      <c r="E3133" t="s">
        <v>4068</v>
      </c>
      <c r="F3133" s="125" t="s">
        <v>4068</v>
      </c>
      <c r="G3133" s="124" t="s">
        <v>400</v>
      </c>
      <c r="H3133" s="125" t="str">
        <f>IF(Proc[[#This Row],[type]]="LFF (MDG-F)",MID(Proc[[#This Row],[Obj]],13,10),"")</f>
        <v/>
      </c>
      <c r="J3133" s="125" t="b">
        <f>Proc[[#This Row],[Requested]]=Proc[[#This Row],[CurrentParent]]</f>
        <v>1</v>
      </c>
      <c r="K3133" s="144" t="str">
        <f>IF(Proc[[#This Row],[Author]]="Marcela Urrego",VLOOKUP(LEFT(Proc[[#This Row],[Requested]],1),Table3[#All],2,0),VLOOKUP(Proc[[#This Row],[Author]],Table4[],2,0))</f>
        <v>HC</v>
      </c>
      <c r="L3133" s="125" t="s">
        <v>4894</v>
      </c>
      <c r="M3133" s="113">
        <v>45873</v>
      </c>
      <c r="N3133" s="113"/>
      <c r="O3133" s="113"/>
      <c r="P3133" s="115" t="str">
        <f ca="1">IF(Proc[[#This Row],[DaysAgeing]]&gt;5,"yep","on track")</f>
        <v>yep</v>
      </c>
      <c r="Q3133" s="3">
        <f ca="1">IF(Proc[[#This Row],[DateClosed]]="",ABS(NETWORKDAYS(Proc[[#This Row],[DateOpened]],TODAY()))-1,ABS(NETWORKDAYS(Proc[[#This Row],[DateOpened]],Proc[[#This Row],[DateClosed]]))-1)</f>
        <v>99</v>
      </c>
      <c r="R3133" s="115" t="s">
        <v>1013</v>
      </c>
      <c r="S3133" s="125"/>
    </row>
    <row r="3134" spans="1:19" hidden="1">
      <c r="A3134" s="124" t="s">
        <v>5258</v>
      </c>
      <c r="B3134" s="149" t="str">
        <f>IFERROR(VLOOKUP(Proc[[#This Row],[App]],Table2[],3,0),"open")</f>
        <v>ok</v>
      </c>
      <c r="C3134" s="124" t="s">
        <v>369</v>
      </c>
      <c r="D3134" t="s">
        <v>5153</v>
      </c>
      <c r="E3134" t="s">
        <v>4068</v>
      </c>
      <c r="F3134" s="125" t="s">
        <v>4068</v>
      </c>
      <c r="G3134" s="124" t="s">
        <v>400</v>
      </c>
      <c r="H3134" s="125" t="str">
        <f>IF(Proc[[#This Row],[type]]="LFF (MDG-F)",MID(Proc[[#This Row],[Obj]],13,10),"")</f>
        <v/>
      </c>
      <c r="J3134" s="125" t="b">
        <f>Proc[[#This Row],[Requested]]=Proc[[#This Row],[CurrentParent]]</f>
        <v>1</v>
      </c>
      <c r="K3134" s="144" t="str">
        <f>IF(Proc[[#This Row],[Author]]="Marcela Urrego",VLOOKUP(LEFT(Proc[[#This Row],[Requested]],1),Table3[#All],2,0),VLOOKUP(Proc[[#This Row],[Author]],Table4[],2,0))</f>
        <v>HC</v>
      </c>
      <c r="L3134" s="125" t="s">
        <v>4894</v>
      </c>
      <c r="M3134" s="113">
        <v>45873</v>
      </c>
      <c r="N3134" s="113"/>
      <c r="O3134" s="113"/>
      <c r="P3134" s="115" t="str">
        <f ca="1">IF(Proc[[#This Row],[DaysAgeing]]&gt;5,"yep","on track")</f>
        <v>yep</v>
      </c>
      <c r="Q3134" s="3">
        <f ca="1">IF(Proc[[#This Row],[DateClosed]]="",ABS(NETWORKDAYS(Proc[[#This Row],[DateOpened]],TODAY()))-1,ABS(NETWORKDAYS(Proc[[#This Row],[DateOpened]],Proc[[#This Row],[DateClosed]]))-1)</f>
        <v>99</v>
      </c>
      <c r="R3134" s="115" t="s">
        <v>1013</v>
      </c>
      <c r="S3134" s="125"/>
    </row>
    <row r="3135" spans="1:19" hidden="1">
      <c r="A3135" s="124" t="s">
        <v>5258</v>
      </c>
      <c r="B3135" s="149" t="str">
        <f>IFERROR(VLOOKUP(Proc[[#This Row],[App]],Table2[],3,0),"open")</f>
        <v>ok</v>
      </c>
      <c r="C3135" s="124" t="s">
        <v>369</v>
      </c>
      <c r="D3135" t="s">
        <v>5154</v>
      </c>
      <c r="E3135" t="s">
        <v>4068</v>
      </c>
      <c r="F3135" s="125" t="s">
        <v>4068</v>
      </c>
      <c r="G3135" s="124" t="s">
        <v>400</v>
      </c>
      <c r="H3135" s="125" t="str">
        <f>IF(Proc[[#This Row],[type]]="LFF (MDG-F)",MID(Proc[[#This Row],[Obj]],13,10),"")</f>
        <v/>
      </c>
      <c r="J3135" s="125" t="b">
        <f>Proc[[#This Row],[Requested]]=Proc[[#This Row],[CurrentParent]]</f>
        <v>1</v>
      </c>
      <c r="K3135" s="144" t="str">
        <f>IF(Proc[[#This Row],[Author]]="Marcela Urrego",VLOOKUP(LEFT(Proc[[#This Row],[Requested]],1),Table3[#All],2,0),VLOOKUP(Proc[[#This Row],[Author]],Table4[],2,0))</f>
        <v>HC</v>
      </c>
      <c r="L3135" s="125" t="s">
        <v>4894</v>
      </c>
      <c r="M3135" s="113">
        <v>45873</v>
      </c>
      <c r="N3135" s="113"/>
      <c r="O3135" s="113"/>
      <c r="P3135" s="115" t="str">
        <f ca="1">IF(Proc[[#This Row],[DaysAgeing]]&gt;5,"yep","on track")</f>
        <v>yep</v>
      </c>
      <c r="Q3135" s="3">
        <f ca="1">IF(Proc[[#This Row],[DateClosed]]="",ABS(NETWORKDAYS(Proc[[#This Row],[DateOpened]],TODAY()))-1,ABS(NETWORKDAYS(Proc[[#This Row],[DateOpened]],Proc[[#This Row],[DateClosed]]))-1)</f>
        <v>99</v>
      </c>
      <c r="R3135" s="115" t="s">
        <v>1013</v>
      </c>
      <c r="S3135" s="125"/>
    </row>
    <row r="3136" spans="1:19" hidden="1">
      <c r="A3136" s="124" t="s">
        <v>5258</v>
      </c>
      <c r="B3136" s="149" t="str">
        <f>IFERROR(VLOOKUP(Proc[[#This Row],[App]],Table2[],3,0),"open")</f>
        <v>ok</v>
      </c>
      <c r="C3136" s="124" t="s">
        <v>369</v>
      </c>
      <c r="D3136" t="s">
        <v>5155</v>
      </c>
      <c r="E3136" t="s">
        <v>4068</v>
      </c>
      <c r="F3136" s="125" t="s">
        <v>4068</v>
      </c>
      <c r="G3136" s="124" t="s">
        <v>400</v>
      </c>
      <c r="H3136" s="125" t="str">
        <f>IF(Proc[[#This Row],[type]]="LFF (MDG-F)",MID(Proc[[#This Row],[Obj]],13,10),"")</f>
        <v/>
      </c>
      <c r="J3136" s="125" t="b">
        <f>Proc[[#This Row],[Requested]]=Proc[[#This Row],[CurrentParent]]</f>
        <v>1</v>
      </c>
      <c r="K3136" s="144" t="str">
        <f>IF(Proc[[#This Row],[Author]]="Marcela Urrego",VLOOKUP(LEFT(Proc[[#This Row],[Requested]],1),Table3[#All],2,0),VLOOKUP(Proc[[#This Row],[Author]],Table4[],2,0))</f>
        <v>HC</v>
      </c>
      <c r="L3136" s="125" t="s">
        <v>4894</v>
      </c>
      <c r="M3136" s="113">
        <v>45873</v>
      </c>
      <c r="N3136" s="113"/>
      <c r="O3136" s="113"/>
      <c r="P3136" s="115" t="str">
        <f ca="1">IF(Proc[[#This Row],[DaysAgeing]]&gt;5,"yep","on track")</f>
        <v>yep</v>
      </c>
      <c r="Q3136" s="3">
        <f ca="1">IF(Proc[[#This Row],[DateClosed]]="",ABS(NETWORKDAYS(Proc[[#This Row],[DateOpened]],TODAY()))-1,ABS(NETWORKDAYS(Proc[[#This Row],[DateOpened]],Proc[[#This Row],[DateClosed]]))-1)</f>
        <v>99</v>
      </c>
      <c r="R3136" s="115" t="s">
        <v>1013</v>
      </c>
      <c r="S3136" s="125"/>
    </row>
    <row r="3137" spans="1:19" hidden="1">
      <c r="A3137" s="124" t="s">
        <v>5258</v>
      </c>
      <c r="B3137" s="149" t="str">
        <f>IFERROR(VLOOKUP(Proc[[#This Row],[App]],Table2[],3,0),"open")</f>
        <v>ok</v>
      </c>
      <c r="C3137" s="124" t="s">
        <v>369</v>
      </c>
      <c r="D3137" t="s">
        <v>5156</v>
      </c>
      <c r="E3137" t="s">
        <v>4068</v>
      </c>
      <c r="F3137" s="125" t="s">
        <v>4068</v>
      </c>
      <c r="G3137" s="124" t="s">
        <v>400</v>
      </c>
      <c r="H3137" s="125" t="str">
        <f>IF(Proc[[#This Row],[type]]="LFF (MDG-F)",MID(Proc[[#This Row],[Obj]],13,10),"")</f>
        <v/>
      </c>
      <c r="J3137" s="125" t="b">
        <f>Proc[[#This Row],[Requested]]=Proc[[#This Row],[CurrentParent]]</f>
        <v>1</v>
      </c>
      <c r="K3137" s="144" t="str">
        <f>IF(Proc[[#This Row],[Author]]="Marcela Urrego",VLOOKUP(LEFT(Proc[[#This Row],[Requested]],1),Table3[#All],2,0),VLOOKUP(Proc[[#This Row],[Author]],Table4[],2,0))</f>
        <v>HC</v>
      </c>
      <c r="L3137" s="125" t="s">
        <v>4894</v>
      </c>
      <c r="M3137" s="113">
        <v>45873</v>
      </c>
      <c r="N3137" s="113"/>
      <c r="O3137" s="113"/>
      <c r="P3137" s="115" t="str">
        <f ca="1">IF(Proc[[#This Row],[DaysAgeing]]&gt;5,"yep","on track")</f>
        <v>yep</v>
      </c>
      <c r="Q3137" s="3">
        <f ca="1">IF(Proc[[#This Row],[DateClosed]]="",ABS(NETWORKDAYS(Proc[[#This Row],[DateOpened]],TODAY()))-1,ABS(NETWORKDAYS(Proc[[#This Row],[DateOpened]],Proc[[#This Row],[DateClosed]]))-1)</f>
        <v>99</v>
      </c>
      <c r="R3137" s="115" t="s">
        <v>1013</v>
      </c>
      <c r="S3137" s="125"/>
    </row>
    <row r="3138" spans="1:19" hidden="1">
      <c r="A3138" s="124" t="s">
        <v>5258</v>
      </c>
      <c r="B3138" s="149" t="str">
        <f>IFERROR(VLOOKUP(Proc[[#This Row],[App]],Table2[],3,0),"open")</f>
        <v>ok</v>
      </c>
      <c r="C3138" s="124" t="s">
        <v>369</v>
      </c>
      <c r="D3138" t="s">
        <v>5157</v>
      </c>
      <c r="E3138" t="s">
        <v>4068</v>
      </c>
      <c r="F3138" s="125" t="s">
        <v>4068</v>
      </c>
      <c r="G3138" s="124" t="s">
        <v>400</v>
      </c>
      <c r="H3138" s="125" t="str">
        <f>IF(Proc[[#This Row],[type]]="LFF (MDG-F)",MID(Proc[[#This Row],[Obj]],13,10),"")</f>
        <v/>
      </c>
      <c r="J3138" s="125" t="b">
        <f>Proc[[#This Row],[Requested]]=Proc[[#This Row],[CurrentParent]]</f>
        <v>1</v>
      </c>
      <c r="K3138" s="144" t="str">
        <f>IF(Proc[[#This Row],[Author]]="Marcela Urrego",VLOOKUP(LEFT(Proc[[#This Row],[Requested]],1),Table3[#All],2,0),VLOOKUP(Proc[[#This Row],[Author]],Table4[],2,0))</f>
        <v>HC</v>
      </c>
      <c r="L3138" s="125" t="s">
        <v>4894</v>
      </c>
      <c r="M3138" s="113">
        <v>45873</v>
      </c>
      <c r="N3138" s="113"/>
      <c r="O3138" s="113"/>
      <c r="P3138" s="115" t="str">
        <f ca="1">IF(Proc[[#This Row],[DaysAgeing]]&gt;5,"yep","on track")</f>
        <v>yep</v>
      </c>
      <c r="Q3138" s="3">
        <f ca="1">IF(Proc[[#This Row],[DateClosed]]="",ABS(NETWORKDAYS(Proc[[#This Row],[DateOpened]],TODAY()))-1,ABS(NETWORKDAYS(Proc[[#This Row],[DateOpened]],Proc[[#This Row],[DateClosed]]))-1)</f>
        <v>99</v>
      </c>
      <c r="R3138" s="115" t="s">
        <v>1013</v>
      </c>
      <c r="S3138" s="125"/>
    </row>
    <row r="3139" spans="1:19" hidden="1">
      <c r="A3139" s="124" t="s">
        <v>5258</v>
      </c>
      <c r="B3139" s="149" t="str">
        <f>IFERROR(VLOOKUP(Proc[[#This Row],[App]],Table2[],3,0),"open")</f>
        <v>ok</v>
      </c>
      <c r="C3139" s="124" t="s">
        <v>369</v>
      </c>
      <c r="D3139" t="s">
        <v>5158</v>
      </c>
      <c r="E3139" t="s">
        <v>4068</v>
      </c>
      <c r="F3139" s="125" t="s">
        <v>4068</v>
      </c>
      <c r="G3139" s="124" t="s">
        <v>400</v>
      </c>
      <c r="H3139" s="125" t="str">
        <f>IF(Proc[[#This Row],[type]]="LFF (MDG-F)",MID(Proc[[#This Row],[Obj]],13,10),"")</f>
        <v/>
      </c>
      <c r="J3139" s="125" t="b">
        <f>Proc[[#This Row],[Requested]]=Proc[[#This Row],[CurrentParent]]</f>
        <v>1</v>
      </c>
      <c r="K3139" s="144" t="str">
        <f>IF(Proc[[#This Row],[Author]]="Marcela Urrego",VLOOKUP(LEFT(Proc[[#This Row],[Requested]],1),Table3[#All],2,0),VLOOKUP(Proc[[#This Row],[Author]],Table4[],2,0))</f>
        <v>HC</v>
      </c>
      <c r="L3139" s="125" t="s">
        <v>4894</v>
      </c>
      <c r="M3139" s="113">
        <v>45873</v>
      </c>
      <c r="N3139" s="113"/>
      <c r="O3139" s="113"/>
      <c r="P3139" s="115" t="str">
        <f ca="1">IF(Proc[[#This Row],[DaysAgeing]]&gt;5,"yep","on track")</f>
        <v>yep</v>
      </c>
      <c r="Q3139" s="3">
        <f ca="1">IF(Proc[[#This Row],[DateClosed]]="",ABS(NETWORKDAYS(Proc[[#This Row],[DateOpened]],TODAY()))-1,ABS(NETWORKDAYS(Proc[[#This Row],[DateOpened]],Proc[[#This Row],[DateClosed]]))-1)</f>
        <v>99</v>
      </c>
      <c r="R3139" s="115" t="s">
        <v>1013</v>
      </c>
      <c r="S3139" s="125"/>
    </row>
    <row r="3140" spans="1:19" hidden="1">
      <c r="A3140" s="124" t="s">
        <v>5258</v>
      </c>
      <c r="B3140" s="149" t="str">
        <f>IFERROR(VLOOKUP(Proc[[#This Row],[App]],Table2[],3,0),"open")</f>
        <v>ok</v>
      </c>
      <c r="C3140" s="124" t="s">
        <v>369</v>
      </c>
      <c r="D3140" t="s">
        <v>5159</v>
      </c>
      <c r="E3140" t="s">
        <v>4068</v>
      </c>
      <c r="F3140" s="125" t="s">
        <v>4068</v>
      </c>
      <c r="G3140" s="124" t="s">
        <v>400</v>
      </c>
      <c r="H3140" s="125" t="str">
        <f>IF(Proc[[#This Row],[type]]="LFF (MDG-F)",MID(Proc[[#This Row],[Obj]],13,10),"")</f>
        <v/>
      </c>
      <c r="J3140" s="125" t="b">
        <f>Proc[[#This Row],[Requested]]=Proc[[#This Row],[CurrentParent]]</f>
        <v>1</v>
      </c>
      <c r="K3140" s="144" t="str">
        <f>IF(Proc[[#This Row],[Author]]="Marcela Urrego",VLOOKUP(LEFT(Proc[[#This Row],[Requested]],1),Table3[#All],2,0),VLOOKUP(Proc[[#This Row],[Author]],Table4[],2,0))</f>
        <v>HC</v>
      </c>
      <c r="L3140" s="125" t="s">
        <v>4894</v>
      </c>
      <c r="M3140" s="113">
        <v>45873</v>
      </c>
      <c r="N3140" s="113"/>
      <c r="O3140" s="113"/>
      <c r="P3140" s="115" t="str">
        <f ca="1">IF(Proc[[#This Row],[DaysAgeing]]&gt;5,"yep","on track")</f>
        <v>yep</v>
      </c>
      <c r="Q3140" s="3">
        <f ca="1">IF(Proc[[#This Row],[DateClosed]]="",ABS(NETWORKDAYS(Proc[[#This Row],[DateOpened]],TODAY()))-1,ABS(NETWORKDAYS(Proc[[#This Row],[DateOpened]],Proc[[#This Row],[DateClosed]]))-1)</f>
        <v>99</v>
      </c>
      <c r="R3140" s="115" t="s">
        <v>1013</v>
      </c>
      <c r="S3140" s="125"/>
    </row>
    <row r="3141" spans="1:19" hidden="1">
      <c r="A3141" s="124" t="s">
        <v>5258</v>
      </c>
      <c r="B3141" s="149" t="str">
        <f>IFERROR(VLOOKUP(Proc[[#This Row],[App]],Table2[],3,0),"open")</f>
        <v>ok</v>
      </c>
      <c r="C3141" s="124" t="s">
        <v>369</v>
      </c>
      <c r="D3141" t="s">
        <v>5160</v>
      </c>
      <c r="E3141" t="s">
        <v>4068</v>
      </c>
      <c r="F3141" s="125" t="s">
        <v>4068</v>
      </c>
      <c r="G3141" s="124" t="s">
        <v>400</v>
      </c>
      <c r="H3141" s="125" t="str">
        <f>IF(Proc[[#This Row],[type]]="LFF (MDG-F)",MID(Proc[[#This Row],[Obj]],13,10),"")</f>
        <v/>
      </c>
      <c r="J3141" s="125" t="b">
        <f>Proc[[#This Row],[Requested]]=Proc[[#This Row],[CurrentParent]]</f>
        <v>1</v>
      </c>
      <c r="K3141" s="144" t="str">
        <f>IF(Proc[[#This Row],[Author]]="Marcela Urrego",VLOOKUP(LEFT(Proc[[#This Row],[Requested]],1),Table3[#All],2,0),VLOOKUP(Proc[[#This Row],[Author]],Table4[],2,0))</f>
        <v>HC</v>
      </c>
      <c r="L3141" s="125" t="s">
        <v>4894</v>
      </c>
      <c r="M3141" s="113">
        <v>45873</v>
      </c>
      <c r="N3141" s="113"/>
      <c r="O3141" s="113"/>
      <c r="P3141" s="115" t="str">
        <f ca="1">IF(Proc[[#This Row],[DaysAgeing]]&gt;5,"yep","on track")</f>
        <v>yep</v>
      </c>
      <c r="Q3141" s="3">
        <f ca="1">IF(Proc[[#This Row],[DateClosed]]="",ABS(NETWORKDAYS(Proc[[#This Row],[DateOpened]],TODAY()))-1,ABS(NETWORKDAYS(Proc[[#This Row],[DateOpened]],Proc[[#This Row],[DateClosed]]))-1)</f>
        <v>99</v>
      </c>
      <c r="R3141" s="115" t="s">
        <v>1013</v>
      </c>
      <c r="S3141" s="125"/>
    </row>
    <row r="3142" spans="1:19" hidden="1">
      <c r="A3142" s="124" t="s">
        <v>5258</v>
      </c>
      <c r="B3142" s="149" t="str">
        <f>IFERROR(VLOOKUP(Proc[[#This Row],[App]],Table2[],3,0),"open")</f>
        <v>ok</v>
      </c>
      <c r="C3142" s="124" t="s">
        <v>369</v>
      </c>
      <c r="D3142" t="s">
        <v>5161</v>
      </c>
      <c r="E3142" t="s">
        <v>4068</v>
      </c>
      <c r="F3142" s="125" t="s">
        <v>4068</v>
      </c>
      <c r="G3142" s="124" t="s">
        <v>400</v>
      </c>
      <c r="H3142" s="125" t="str">
        <f>IF(Proc[[#This Row],[type]]="LFF (MDG-F)",MID(Proc[[#This Row],[Obj]],13,10),"")</f>
        <v/>
      </c>
      <c r="J3142" s="125" t="b">
        <f>Proc[[#This Row],[Requested]]=Proc[[#This Row],[CurrentParent]]</f>
        <v>1</v>
      </c>
      <c r="K3142" s="144" t="str">
        <f>IF(Proc[[#This Row],[Author]]="Marcela Urrego",VLOOKUP(LEFT(Proc[[#This Row],[Requested]],1),Table3[#All],2,0),VLOOKUP(Proc[[#This Row],[Author]],Table4[],2,0))</f>
        <v>HC</v>
      </c>
      <c r="L3142" s="125" t="s">
        <v>4894</v>
      </c>
      <c r="M3142" s="113">
        <v>45873</v>
      </c>
      <c r="N3142" s="113"/>
      <c r="O3142" s="113"/>
      <c r="P3142" s="115" t="str">
        <f ca="1">IF(Proc[[#This Row],[DaysAgeing]]&gt;5,"yep","on track")</f>
        <v>yep</v>
      </c>
      <c r="Q3142" s="3">
        <f ca="1">IF(Proc[[#This Row],[DateClosed]]="",ABS(NETWORKDAYS(Proc[[#This Row],[DateOpened]],TODAY()))-1,ABS(NETWORKDAYS(Proc[[#This Row],[DateOpened]],Proc[[#This Row],[DateClosed]]))-1)</f>
        <v>99</v>
      </c>
      <c r="R3142" s="115" t="s">
        <v>1013</v>
      </c>
      <c r="S3142" s="125"/>
    </row>
    <row r="3143" spans="1:19" hidden="1">
      <c r="A3143" s="124" t="s">
        <v>5258</v>
      </c>
      <c r="B3143" s="149" t="str">
        <f>IFERROR(VLOOKUP(Proc[[#This Row],[App]],Table2[],3,0),"open")</f>
        <v>ok</v>
      </c>
      <c r="C3143" s="124" t="s">
        <v>369</v>
      </c>
      <c r="D3143" t="s">
        <v>5162</v>
      </c>
      <c r="E3143" t="s">
        <v>4068</v>
      </c>
      <c r="F3143" s="125" t="s">
        <v>4068</v>
      </c>
      <c r="G3143" s="124" t="s">
        <v>400</v>
      </c>
      <c r="H3143" s="125" t="str">
        <f>IF(Proc[[#This Row],[type]]="LFF (MDG-F)",MID(Proc[[#This Row],[Obj]],13,10),"")</f>
        <v/>
      </c>
      <c r="J3143" s="125" t="b">
        <f>Proc[[#This Row],[Requested]]=Proc[[#This Row],[CurrentParent]]</f>
        <v>1</v>
      </c>
      <c r="K3143" s="144" t="str">
        <f>IF(Proc[[#This Row],[Author]]="Marcela Urrego",VLOOKUP(LEFT(Proc[[#This Row],[Requested]],1),Table3[#All],2,0),VLOOKUP(Proc[[#This Row],[Author]],Table4[],2,0))</f>
        <v>HC</v>
      </c>
      <c r="L3143" s="125" t="s">
        <v>4894</v>
      </c>
      <c r="M3143" s="113">
        <v>45873</v>
      </c>
      <c r="N3143" s="113"/>
      <c r="O3143" s="113"/>
      <c r="P3143" s="115" t="str">
        <f ca="1">IF(Proc[[#This Row],[DaysAgeing]]&gt;5,"yep","on track")</f>
        <v>yep</v>
      </c>
      <c r="Q3143" s="3">
        <f ca="1">IF(Proc[[#This Row],[DateClosed]]="",ABS(NETWORKDAYS(Proc[[#This Row],[DateOpened]],TODAY()))-1,ABS(NETWORKDAYS(Proc[[#This Row],[DateOpened]],Proc[[#This Row],[DateClosed]]))-1)</f>
        <v>99</v>
      </c>
      <c r="R3143" s="115" t="s">
        <v>1013</v>
      </c>
      <c r="S3143" s="125"/>
    </row>
    <row r="3144" spans="1:19" hidden="1">
      <c r="A3144" s="124" t="s">
        <v>5258</v>
      </c>
      <c r="B3144" s="149" t="str">
        <f>IFERROR(VLOOKUP(Proc[[#This Row],[App]],Table2[],3,0),"open")</f>
        <v>ok</v>
      </c>
      <c r="C3144" s="124" t="s">
        <v>369</v>
      </c>
      <c r="D3144" t="s">
        <v>5163</v>
      </c>
      <c r="E3144" t="s">
        <v>4068</v>
      </c>
      <c r="F3144" s="125" t="s">
        <v>4068</v>
      </c>
      <c r="G3144" s="124" t="s">
        <v>400</v>
      </c>
      <c r="H3144" s="125" t="str">
        <f>IF(Proc[[#This Row],[type]]="LFF (MDG-F)",MID(Proc[[#This Row],[Obj]],13,10),"")</f>
        <v/>
      </c>
      <c r="J3144" s="125" t="b">
        <f>Proc[[#This Row],[Requested]]=Proc[[#This Row],[CurrentParent]]</f>
        <v>1</v>
      </c>
      <c r="K3144" s="144" t="str">
        <f>IF(Proc[[#This Row],[Author]]="Marcela Urrego",VLOOKUP(LEFT(Proc[[#This Row],[Requested]],1),Table3[#All],2,0),VLOOKUP(Proc[[#This Row],[Author]],Table4[],2,0))</f>
        <v>HC</v>
      </c>
      <c r="L3144" s="125" t="s">
        <v>4894</v>
      </c>
      <c r="M3144" s="113">
        <v>45873</v>
      </c>
      <c r="N3144" s="113"/>
      <c r="O3144" s="113"/>
      <c r="P3144" s="115" t="str">
        <f ca="1">IF(Proc[[#This Row],[DaysAgeing]]&gt;5,"yep","on track")</f>
        <v>yep</v>
      </c>
      <c r="Q3144" s="3">
        <f ca="1">IF(Proc[[#This Row],[DateClosed]]="",ABS(NETWORKDAYS(Proc[[#This Row],[DateOpened]],TODAY()))-1,ABS(NETWORKDAYS(Proc[[#This Row],[DateOpened]],Proc[[#This Row],[DateClosed]]))-1)</f>
        <v>99</v>
      </c>
      <c r="R3144" s="115" t="s">
        <v>1013</v>
      </c>
      <c r="S3144" s="125"/>
    </row>
    <row r="3145" spans="1:19" hidden="1">
      <c r="A3145" s="124" t="s">
        <v>5258</v>
      </c>
      <c r="B3145" s="149" t="str">
        <f>IFERROR(VLOOKUP(Proc[[#This Row],[App]],Table2[],3,0),"open")</f>
        <v>ok</v>
      </c>
      <c r="C3145" s="124" t="s">
        <v>369</v>
      </c>
      <c r="D3145" t="s">
        <v>5164</v>
      </c>
      <c r="E3145" t="s">
        <v>4068</v>
      </c>
      <c r="F3145" s="125" t="s">
        <v>4068</v>
      </c>
      <c r="G3145" s="124" t="s">
        <v>400</v>
      </c>
      <c r="H3145" s="125" t="str">
        <f>IF(Proc[[#This Row],[type]]="LFF (MDG-F)",MID(Proc[[#This Row],[Obj]],13,10),"")</f>
        <v/>
      </c>
      <c r="J3145" s="125" t="b">
        <f>Proc[[#This Row],[Requested]]=Proc[[#This Row],[CurrentParent]]</f>
        <v>1</v>
      </c>
      <c r="K3145" s="144" t="str">
        <f>IF(Proc[[#This Row],[Author]]="Marcela Urrego",VLOOKUP(LEFT(Proc[[#This Row],[Requested]],1),Table3[#All],2,0),VLOOKUP(Proc[[#This Row],[Author]],Table4[],2,0))</f>
        <v>HC</v>
      </c>
      <c r="L3145" s="125" t="s">
        <v>4894</v>
      </c>
      <c r="M3145" s="113">
        <v>45873</v>
      </c>
      <c r="N3145" s="113"/>
      <c r="O3145" s="113"/>
      <c r="P3145" s="115" t="str">
        <f ca="1">IF(Proc[[#This Row],[DaysAgeing]]&gt;5,"yep","on track")</f>
        <v>yep</v>
      </c>
      <c r="Q3145" s="3">
        <f ca="1">IF(Proc[[#This Row],[DateClosed]]="",ABS(NETWORKDAYS(Proc[[#This Row],[DateOpened]],TODAY()))-1,ABS(NETWORKDAYS(Proc[[#This Row],[DateOpened]],Proc[[#This Row],[DateClosed]]))-1)</f>
        <v>99</v>
      </c>
      <c r="R3145" s="115" t="s">
        <v>1013</v>
      </c>
      <c r="S3145" s="125"/>
    </row>
    <row r="3146" spans="1:19" hidden="1">
      <c r="A3146" s="124" t="s">
        <v>5258</v>
      </c>
      <c r="B3146" s="149" t="str">
        <f>IFERROR(VLOOKUP(Proc[[#This Row],[App]],Table2[],3,0),"open")</f>
        <v>ok</v>
      </c>
      <c r="C3146" s="124" t="s">
        <v>369</v>
      </c>
      <c r="D3146" t="s">
        <v>5165</v>
      </c>
      <c r="E3146" t="s">
        <v>4068</v>
      </c>
      <c r="F3146" s="125" t="s">
        <v>4068</v>
      </c>
      <c r="G3146" s="124" t="s">
        <v>400</v>
      </c>
      <c r="H3146" s="125" t="str">
        <f>IF(Proc[[#This Row],[type]]="LFF (MDG-F)",MID(Proc[[#This Row],[Obj]],13,10),"")</f>
        <v/>
      </c>
      <c r="J3146" s="125" t="b">
        <f>Proc[[#This Row],[Requested]]=Proc[[#This Row],[CurrentParent]]</f>
        <v>1</v>
      </c>
      <c r="K3146" s="144" t="str">
        <f>IF(Proc[[#This Row],[Author]]="Marcela Urrego",VLOOKUP(LEFT(Proc[[#This Row],[Requested]],1),Table3[#All],2,0),VLOOKUP(Proc[[#This Row],[Author]],Table4[],2,0))</f>
        <v>HC</v>
      </c>
      <c r="L3146" s="125" t="s">
        <v>4894</v>
      </c>
      <c r="M3146" s="113">
        <v>45873</v>
      </c>
      <c r="N3146" s="113"/>
      <c r="O3146" s="113"/>
      <c r="P3146" s="115" t="str">
        <f ca="1">IF(Proc[[#This Row],[DaysAgeing]]&gt;5,"yep","on track")</f>
        <v>yep</v>
      </c>
      <c r="Q3146" s="3">
        <f ca="1">IF(Proc[[#This Row],[DateClosed]]="",ABS(NETWORKDAYS(Proc[[#This Row],[DateOpened]],TODAY()))-1,ABS(NETWORKDAYS(Proc[[#This Row],[DateOpened]],Proc[[#This Row],[DateClosed]]))-1)</f>
        <v>99</v>
      </c>
      <c r="R3146" s="115" t="s">
        <v>1013</v>
      </c>
      <c r="S3146" s="125"/>
    </row>
    <row r="3147" spans="1:19" hidden="1">
      <c r="A3147" s="124" t="s">
        <v>5258</v>
      </c>
      <c r="B3147" s="149" t="str">
        <f>IFERROR(VLOOKUP(Proc[[#This Row],[App]],Table2[],3,0),"open")</f>
        <v>ok</v>
      </c>
      <c r="C3147" s="124" t="s">
        <v>369</v>
      </c>
      <c r="D3147" t="s">
        <v>5166</v>
      </c>
      <c r="E3147" t="s">
        <v>4068</v>
      </c>
      <c r="F3147" s="125" t="s">
        <v>4068</v>
      </c>
      <c r="G3147" s="124" t="s">
        <v>400</v>
      </c>
      <c r="H3147" s="125" t="str">
        <f>IF(Proc[[#This Row],[type]]="LFF (MDG-F)",MID(Proc[[#This Row],[Obj]],13,10),"")</f>
        <v/>
      </c>
      <c r="J3147" s="125" t="b">
        <f>Proc[[#This Row],[Requested]]=Proc[[#This Row],[CurrentParent]]</f>
        <v>1</v>
      </c>
      <c r="K3147" s="144" t="str">
        <f>IF(Proc[[#This Row],[Author]]="Marcela Urrego",VLOOKUP(LEFT(Proc[[#This Row],[Requested]],1),Table3[#All],2,0),VLOOKUP(Proc[[#This Row],[Author]],Table4[],2,0))</f>
        <v>HC</v>
      </c>
      <c r="L3147" s="125" t="s">
        <v>4894</v>
      </c>
      <c r="M3147" s="113">
        <v>45873</v>
      </c>
      <c r="N3147" s="113"/>
      <c r="O3147" s="113"/>
      <c r="P3147" s="115" t="str">
        <f ca="1">IF(Proc[[#This Row],[DaysAgeing]]&gt;5,"yep","on track")</f>
        <v>yep</v>
      </c>
      <c r="Q3147" s="3">
        <f ca="1">IF(Proc[[#This Row],[DateClosed]]="",ABS(NETWORKDAYS(Proc[[#This Row],[DateOpened]],TODAY()))-1,ABS(NETWORKDAYS(Proc[[#This Row],[DateOpened]],Proc[[#This Row],[DateClosed]]))-1)</f>
        <v>99</v>
      </c>
      <c r="R3147" s="115" t="s">
        <v>1013</v>
      </c>
      <c r="S3147" s="125"/>
    </row>
    <row r="3148" spans="1:19" hidden="1">
      <c r="A3148" s="124" t="s">
        <v>5258</v>
      </c>
      <c r="B3148" s="149" t="str">
        <f>IFERROR(VLOOKUP(Proc[[#This Row],[App]],Table2[],3,0),"open")</f>
        <v>ok</v>
      </c>
      <c r="C3148" s="124" t="s">
        <v>369</v>
      </c>
      <c r="D3148" t="s">
        <v>5167</v>
      </c>
      <c r="E3148" t="s">
        <v>4068</v>
      </c>
      <c r="F3148" s="125" t="s">
        <v>4068</v>
      </c>
      <c r="G3148" s="124" t="s">
        <v>400</v>
      </c>
      <c r="H3148" s="125" t="str">
        <f>IF(Proc[[#This Row],[type]]="LFF (MDG-F)",MID(Proc[[#This Row],[Obj]],13,10),"")</f>
        <v/>
      </c>
      <c r="J3148" s="125" t="b">
        <f>Proc[[#This Row],[Requested]]=Proc[[#This Row],[CurrentParent]]</f>
        <v>1</v>
      </c>
      <c r="K3148" s="144" t="str">
        <f>IF(Proc[[#This Row],[Author]]="Marcela Urrego",VLOOKUP(LEFT(Proc[[#This Row],[Requested]],1),Table3[#All],2,0),VLOOKUP(Proc[[#This Row],[Author]],Table4[],2,0))</f>
        <v>HC</v>
      </c>
      <c r="L3148" s="125" t="s">
        <v>4894</v>
      </c>
      <c r="M3148" s="113">
        <v>45873</v>
      </c>
      <c r="N3148" s="113"/>
      <c r="O3148" s="113"/>
      <c r="P3148" s="115" t="str">
        <f ca="1">IF(Proc[[#This Row],[DaysAgeing]]&gt;5,"yep","on track")</f>
        <v>yep</v>
      </c>
      <c r="Q3148" s="3">
        <f ca="1">IF(Proc[[#This Row],[DateClosed]]="",ABS(NETWORKDAYS(Proc[[#This Row],[DateOpened]],TODAY()))-1,ABS(NETWORKDAYS(Proc[[#This Row],[DateOpened]],Proc[[#This Row],[DateClosed]]))-1)</f>
        <v>99</v>
      </c>
      <c r="R3148" s="115" t="s">
        <v>1013</v>
      </c>
      <c r="S3148" s="125"/>
    </row>
    <row r="3149" spans="1:19" hidden="1">
      <c r="A3149" s="124" t="s">
        <v>5258</v>
      </c>
      <c r="B3149" s="149" t="str">
        <f>IFERROR(VLOOKUP(Proc[[#This Row],[App]],Table2[],3,0),"open")</f>
        <v>ok</v>
      </c>
      <c r="C3149" s="124" t="s">
        <v>369</v>
      </c>
      <c r="D3149" t="s">
        <v>5168</v>
      </c>
      <c r="E3149" t="s">
        <v>4068</v>
      </c>
      <c r="F3149" s="125" t="s">
        <v>4068</v>
      </c>
      <c r="G3149" s="124" t="s">
        <v>400</v>
      </c>
      <c r="H3149" s="125" t="str">
        <f>IF(Proc[[#This Row],[type]]="LFF (MDG-F)",MID(Proc[[#This Row],[Obj]],13,10),"")</f>
        <v/>
      </c>
      <c r="J3149" s="125" t="b">
        <f>Proc[[#This Row],[Requested]]=Proc[[#This Row],[CurrentParent]]</f>
        <v>1</v>
      </c>
      <c r="K3149" s="144" t="str">
        <f>IF(Proc[[#This Row],[Author]]="Marcela Urrego",VLOOKUP(LEFT(Proc[[#This Row],[Requested]],1),Table3[#All],2,0),VLOOKUP(Proc[[#This Row],[Author]],Table4[],2,0))</f>
        <v>HC</v>
      </c>
      <c r="L3149" s="125" t="s">
        <v>4894</v>
      </c>
      <c r="M3149" s="113">
        <v>45873</v>
      </c>
      <c r="N3149" s="113"/>
      <c r="O3149" s="113"/>
      <c r="P3149" s="115" t="str">
        <f ca="1">IF(Proc[[#This Row],[DaysAgeing]]&gt;5,"yep","on track")</f>
        <v>yep</v>
      </c>
      <c r="Q3149" s="3">
        <f ca="1">IF(Proc[[#This Row],[DateClosed]]="",ABS(NETWORKDAYS(Proc[[#This Row],[DateOpened]],TODAY()))-1,ABS(NETWORKDAYS(Proc[[#This Row],[DateOpened]],Proc[[#This Row],[DateClosed]]))-1)</f>
        <v>99</v>
      </c>
      <c r="R3149" s="115" t="s">
        <v>1013</v>
      </c>
      <c r="S3149" s="125"/>
    </row>
    <row r="3150" spans="1:19" hidden="1">
      <c r="A3150" s="124" t="s">
        <v>5258</v>
      </c>
      <c r="B3150" s="149" t="str">
        <f>IFERROR(VLOOKUP(Proc[[#This Row],[App]],Table2[],3,0),"open")</f>
        <v>ok</v>
      </c>
      <c r="C3150" s="124" t="s">
        <v>369</v>
      </c>
      <c r="D3150" t="s">
        <v>5169</v>
      </c>
      <c r="E3150" t="s">
        <v>4068</v>
      </c>
      <c r="F3150" s="125" t="s">
        <v>4068</v>
      </c>
      <c r="G3150" s="124" t="s">
        <v>400</v>
      </c>
      <c r="H3150" s="125" t="str">
        <f>IF(Proc[[#This Row],[type]]="LFF (MDG-F)",MID(Proc[[#This Row],[Obj]],13,10),"")</f>
        <v/>
      </c>
      <c r="J3150" s="125" t="b">
        <f>Proc[[#This Row],[Requested]]=Proc[[#This Row],[CurrentParent]]</f>
        <v>1</v>
      </c>
      <c r="K3150" s="144" t="str">
        <f>IF(Proc[[#This Row],[Author]]="Marcela Urrego",VLOOKUP(LEFT(Proc[[#This Row],[Requested]],1),Table3[#All],2,0),VLOOKUP(Proc[[#This Row],[Author]],Table4[],2,0))</f>
        <v>HC</v>
      </c>
      <c r="L3150" s="125" t="s">
        <v>4894</v>
      </c>
      <c r="M3150" s="113">
        <v>45873</v>
      </c>
      <c r="N3150" s="113"/>
      <c r="O3150" s="113"/>
      <c r="P3150" s="115" t="str">
        <f ca="1">IF(Proc[[#This Row],[DaysAgeing]]&gt;5,"yep","on track")</f>
        <v>yep</v>
      </c>
      <c r="Q3150" s="3">
        <f ca="1">IF(Proc[[#This Row],[DateClosed]]="",ABS(NETWORKDAYS(Proc[[#This Row],[DateOpened]],TODAY()))-1,ABS(NETWORKDAYS(Proc[[#This Row],[DateOpened]],Proc[[#This Row],[DateClosed]]))-1)</f>
        <v>99</v>
      </c>
      <c r="R3150" s="115" t="s">
        <v>1013</v>
      </c>
      <c r="S3150" s="125"/>
    </row>
    <row r="3151" spans="1:19" hidden="1">
      <c r="A3151" s="124" t="s">
        <v>5258</v>
      </c>
      <c r="B3151" s="149" t="str">
        <f>IFERROR(VLOOKUP(Proc[[#This Row],[App]],Table2[],3,0),"open")</f>
        <v>ok</v>
      </c>
      <c r="C3151" s="124" t="s">
        <v>369</v>
      </c>
      <c r="D3151" t="s">
        <v>5170</v>
      </c>
      <c r="E3151" t="s">
        <v>4068</v>
      </c>
      <c r="F3151" s="125" t="s">
        <v>4068</v>
      </c>
      <c r="G3151" s="124" t="s">
        <v>400</v>
      </c>
      <c r="H3151" s="125" t="str">
        <f>IF(Proc[[#This Row],[type]]="LFF (MDG-F)",MID(Proc[[#This Row],[Obj]],13,10),"")</f>
        <v/>
      </c>
      <c r="J3151" s="125" t="b">
        <f>Proc[[#This Row],[Requested]]=Proc[[#This Row],[CurrentParent]]</f>
        <v>1</v>
      </c>
      <c r="K3151" s="144" t="str">
        <f>IF(Proc[[#This Row],[Author]]="Marcela Urrego",VLOOKUP(LEFT(Proc[[#This Row],[Requested]],1),Table3[#All],2,0),VLOOKUP(Proc[[#This Row],[Author]],Table4[],2,0))</f>
        <v>HC</v>
      </c>
      <c r="L3151" s="125" t="s">
        <v>4894</v>
      </c>
      <c r="M3151" s="113">
        <v>45873</v>
      </c>
      <c r="N3151" s="113"/>
      <c r="O3151" s="113"/>
      <c r="P3151" s="115" t="str">
        <f ca="1">IF(Proc[[#This Row],[DaysAgeing]]&gt;5,"yep","on track")</f>
        <v>yep</v>
      </c>
      <c r="Q3151" s="3">
        <f ca="1">IF(Proc[[#This Row],[DateClosed]]="",ABS(NETWORKDAYS(Proc[[#This Row],[DateOpened]],TODAY()))-1,ABS(NETWORKDAYS(Proc[[#This Row],[DateOpened]],Proc[[#This Row],[DateClosed]]))-1)</f>
        <v>99</v>
      </c>
      <c r="R3151" s="115" t="s">
        <v>1013</v>
      </c>
      <c r="S3151" s="125"/>
    </row>
    <row r="3152" spans="1:19" hidden="1">
      <c r="A3152" s="124" t="s">
        <v>5258</v>
      </c>
      <c r="B3152" s="149" t="str">
        <f>IFERROR(VLOOKUP(Proc[[#This Row],[App]],Table2[],3,0),"open")</f>
        <v>ok</v>
      </c>
      <c r="C3152" s="124" t="s">
        <v>369</v>
      </c>
      <c r="D3152" t="s">
        <v>5171</v>
      </c>
      <c r="E3152" t="s">
        <v>4068</v>
      </c>
      <c r="F3152" s="125" t="s">
        <v>4068</v>
      </c>
      <c r="G3152" s="124" t="s">
        <v>400</v>
      </c>
      <c r="H3152" s="125" t="str">
        <f>IF(Proc[[#This Row],[type]]="LFF (MDG-F)",MID(Proc[[#This Row],[Obj]],13,10),"")</f>
        <v/>
      </c>
      <c r="J3152" s="125" t="b">
        <f>Proc[[#This Row],[Requested]]=Proc[[#This Row],[CurrentParent]]</f>
        <v>1</v>
      </c>
      <c r="K3152" s="144" t="str">
        <f>IF(Proc[[#This Row],[Author]]="Marcela Urrego",VLOOKUP(LEFT(Proc[[#This Row],[Requested]],1),Table3[#All],2,0),VLOOKUP(Proc[[#This Row],[Author]],Table4[],2,0))</f>
        <v>HC</v>
      </c>
      <c r="L3152" s="125" t="s">
        <v>4894</v>
      </c>
      <c r="M3152" s="113">
        <v>45873</v>
      </c>
      <c r="N3152" s="113"/>
      <c r="O3152" s="113"/>
      <c r="P3152" s="115" t="str">
        <f ca="1">IF(Proc[[#This Row],[DaysAgeing]]&gt;5,"yep","on track")</f>
        <v>yep</v>
      </c>
      <c r="Q3152" s="3">
        <f ca="1">IF(Proc[[#This Row],[DateClosed]]="",ABS(NETWORKDAYS(Proc[[#This Row],[DateOpened]],TODAY()))-1,ABS(NETWORKDAYS(Proc[[#This Row],[DateOpened]],Proc[[#This Row],[DateClosed]]))-1)</f>
        <v>99</v>
      </c>
      <c r="R3152" s="115" t="s">
        <v>1013</v>
      </c>
      <c r="S3152" s="125"/>
    </row>
    <row r="3153" spans="1:19" hidden="1">
      <c r="A3153" s="124" t="s">
        <v>5258</v>
      </c>
      <c r="B3153" s="149" t="str">
        <f>IFERROR(VLOOKUP(Proc[[#This Row],[App]],Table2[],3,0),"open")</f>
        <v>ok</v>
      </c>
      <c r="C3153" s="124" t="s">
        <v>369</v>
      </c>
      <c r="D3153" t="s">
        <v>5172</v>
      </c>
      <c r="E3153" t="s">
        <v>4068</v>
      </c>
      <c r="F3153" s="125" t="s">
        <v>4068</v>
      </c>
      <c r="G3153" s="124" t="s">
        <v>400</v>
      </c>
      <c r="H3153" s="125" t="str">
        <f>IF(Proc[[#This Row],[type]]="LFF (MDG-F)",MID(Proc[[#This Row],[Obj]],13,10),"")</f>
        <v/>
      </c>
      <c r="J3153" s="125" t="b">
        <f>Proc[[#This Row],[Requested]]=Proc[[#This Row],[CurrentParent]]</f>
        <v>1</v>
      </c>
      <c r="K3153" s="144" t="str">
        <f>IF(Proc[[#This Row],[Author]]="Marcela Urrego",VLOOKUP(LEFT(Proc[[#This Row],[Requested]],1),Table3[#All],2,0),VLOOKUP(Proc[[#This Row],[Author]],Table4[],2,0))</f>
        <v>HC</v>
      </c>
      <c r="L3153" s="125" t="s">
        <v>4894</v>
      </c>
      <c r="M3153" s="113">
        <v>45873</v>
      </c>
      <c r="N3153" s="113"/>
      <c r="O3153" s="113"/>
      <c r="P3153" s="115" t="str">
        <f ca="1">IF(Proc[[#This Row],[DaysAgeing]]&gt;5,"yep","on track")</f>
        <v>yep</v>
      </c>
      <c r="Q3153" s="3">
        <f ca="1">IF(Proc[[#This Row],[DateClosed]]="",ABS(NETWORKDAYS(Proc[[#This Row],[DateOpened]],TODAY()))-1,ABS(NETWORKDAYS(Proc[[#This Row],[DateOpened]],Proc[[#This Row],[DateClosed]]))-1)</f>
        <v>99</v>
      </c>
      <c r="R3153" s="115" t="s">
        <v>1013</v>
      </c>
      <c r="S3153" s="125"/>
    </row>
    <row r="3154" spans="1:19" hidden="1">
      <c r="A3154" s="124" t="s">
        <v>5258</v>
      </c>
      <c r="B3154" s="149" t="str">
        <f>IFERROR(VLOOKUP(Proc[[#This Row],[App]],Table2[],3,0),"open")</f>
        <v>ok</v>
      </c>
      <c r="C3154" s="124" t="s">
        <v>369</v>
      </c>
      <c r="D3154" t="s">
        <v>5173</v>
      </c>
      <c r="E3154" t="s">
        <v>4068</v>
      </c>
      <c r="F3154" s="125" t="s">
        <v>4068</v>
      </c>
      <c r="G3154" s="124" t="s">
        <v>400</v>
      </c>
      <c r="H3154" s="125" t="str">
        <f>IF(Proc[[#This Row],[type]]="LFF (MDG-F)",MID(Proc[[#This Row],[Obj]],13,10),"")</f>
        <v/>
      </c>
      <c r="J3154" s="125" t="b">
        <f>Proc[[#This Row],[Requested]]=Proc[[#This Row],[CurrentParent]]</f>
        <v>1</v>
      </c>
      <c r="K3154" s="144" t="str">
        <f>IF(Proc[[#This Row],[Author]]="Marcela Urrego",VLOOKUP(LEFT(Proc[[#This Row],[Requested]],1),Table3[#All],2,0),VLOOKUP(Proc[[#This Row],[Author]],Table4[],2,0))</f>
        <v>HC</v>
      </c>
      <c r="L3154" s="125" t="s">
        <v>4894</v>
      </c>
      <c r="M3154" s="113">
        <v>45873</v>
      </c>
      <c r="N3154" s="113"/>
      <c r="O3154" s="113"/>
      <c r="P3154" s="115" t="str">
        <f ca="1">IF(Proc[[#This Row],[DaysAgeing]]&gt;5,"yep","on track")</f>
        <v>yep</v>
      </c>
      <c r="Q3154" s="3">
        <f ca="1">IF(Proc[[#This Row],[DateClosed]]="",ABS(NETWORKDAYS(Proc[[#This Row],[DateOpened]],TODAY()))-1,ABS(NETWORKDAYS(Proc[[#This Row],[DateOpened]],Proc[[#This Row],[DateClosed]]))-1)</f>
        <v>99</v>
      </c>
      <c r="R3154" s="115" t="s">
        <v>1013</v>
      </c>
      <c r="S3154" s="125"/>
    </row>
    <row r="3155" spans="1:19" hidden="1">
      <c r="A3155" s="124" t="s">
        <v>5258</v>
      </c>
      <c r="B3155" s="149" t="str">
        <f>IFERROR(VLOOKUP(Proc[[#This Row],[App]],Table2[],3,0),"open")</f>
        <v>ok</v>
      </c>
      <c r="C3155" s="124" t="s">
        <v>369</v>
      </c>
      <c r="D3155" t="s">
        <v>5174</v>
      </c>
      <c r="E3155" t="s">
        <v>4068</v>
      </c>
      <c r="F3155" s="125" t="s">
        <v>4068</v>
      </c>
      <c r="G3155" s="124" t="s">
        <v>400</v>
      </c>
      <c r="H3155" s="125" t="str">
        <f>IF(Proc[[#This Row],[type]]="LFF (MDG-F)",MID(Proc[[#This Row],[Obj]],13,10),"")</f>
        <v/>
      </c>
      <c r="J3155" s="125" t="b">
        <f>Proc[[#This Row],[Requested]]=Proc[[#This Row],[CurrentParent]]</f>
        <v>1</v>
      </c>
      <c r="K3155" s="144" t="str">
        <f>IF(Proc[[#This Row],[Author]]="Marcela Urrego",VLOOKUP(LEFT(Proc[[#This Row],[Requested]],1),Table3[#All],2,0),VLOOKUP(Proc[[#This Row],[Author]],Table4[],2,0))</f>
        <v>HC</v>
      </c>
      <c r="L3155" s="125" t="s">
        <v>4894</v>
      </c>
      <c r="M3155" s="113">
        <v>45873</v>
      </c>
      <c r="N3155" s="113"/>
      <c r="O3155" s="113"/>
      <c r="P3155" s="115" t="str">
        <f ca="1">IF(Proc[[#This Row],[DaysAgeing]]&gt;5,"yep","on track")</f>
        <v>yep</v>
      </c>
      <c r="Q3155" s="3">
        <f ca="1">IF(Proc[[#This Row],[DateClosed]]="",ABS(NETWORKDAYS(Proc[[#This Row],[DateOpened]],TODAY()))-1,ABS(NETWORKDAYS(Proc[[#This Row],[DateOpened]],Proc[[#This Row],[DateClosed]]))-1)</f>
        <v>99</v>
      </c>
      <c r="R3155" s="115" t="s">
        <v>1013</v>
      </c>
      <c r="S3155" s="125"/>
    </row>
    <row r="3156" spans="1:19" hidden="1">
      <c r="A3156" s="124" t="s">
        <v>5258</v>
      </c>
      <c r="B3156" s="149" t="str">
        <f>IFERROR(VLOOKUP(Proc[[#This Row],[App]],Table2[],3,0),"open")</f>
        <v>ok</v>
      </c>
      <c r="C3156" s="124" t="s">
        <v>369</v>
      </c>
      <c r="D3156" t="s">
        <v>5175</v>
      </c>
      <c r="E3156" t="s">
        <v>4068</v>
      </c>
      <c r="F3156" s="125" t="s">
        <v>4068</v>
      </c>
      <c r="G3156" s="124" t="s">
        <v>400</v>
      </c>
      <c r="H3156" s="125" t="str">
        <f>IF(Proc[[#This Row],[type]]="LFF (MDG-F)",MID(Proc[[#This Row],[Obj]],13,10),"")</f>
        <v/>
      </c>
      <c r="J3156" s="125" t="b">
        <f>Proc[[#This Row],[Requested]]=Proc[[#This Row],[CurrentParent]]</f>
        <v>1</v>
      </c>
      <c r="K3156" s="144" t="str">
        <f>IF(Proc[[#This Row],[Author]]="Marcela Urrego",VLOOKUP(LEFT(Proc[[#This Row],[Requested]],1),Table3[#All],2,0),VLOOKUP(Proc[[#This Row],[Author]],Table4[],2,0))</f>
        <v>HC</v>
      </c>
      <c r="L3156" s="125" t="s">
        <v>4894</v>
      </c>
      <c r="M3156" s="113">
        <v>45873</v>
      </c>
      <c r="N3156" s="113"/>
      <c r="O3156" s="113"/>
      <c r="P3156" s="115" t="str">
        <f ca="1">IF(Proc[[#This Row],[DaysAgeing]]&gt;5,"yep","on track")</f>
        <v>yep</v>
      </c>
      <c r="Q3156" s="3">
        <f ca="1">IF(Proc[[#This Row],[DateClosed]]="",ABS(NETWORKDAYS(Proc[[#This Row],[DateOpened]],TODAY()))-1,ABS(NETWORKDAYS(Proc[[#This Row],[DateOpened]],Proc[[#This Row],[DateClosed]]))-1)</f>
        <v>99</v>
      </c>
      <c r="R3156" s="115" t="s">
        <v>1013</v>
      </c>
      <c r="S3156" s="125"/>
    </row>
    <row r="3157" spans="1:19" hidden="1">
      <c r="A3157" s="124" t="s">
        <v>5258</v>
      </c>
      <c r="B3157" s="149" t="str">
        <f>IFERROR(VLOOKUP(Proc[[#This Row],[App]],Table2[],3,0),"open")</f>
        <v>ok</v>
      </c>
      <c r="C3157" s="124" t="s">
        <v>369</v>
      </c>
      <c r="D3157" t="s">
        <v>5176</v>
      </c>
      <c r="E3157" t="s">
        <v>4068</v>
      </c>
      <c r="F3157" s="125" t="s">
        <v>4068</v>
      </c>
      <c r="G3157" s="124" t="s">
        <v>400</v>
      </c>
      <c r="H3157" s="125" t="str">
        <f>IF(Proc[[#This Row],[type]]="LFF (MDG-F)",MID(Proc[[#This Row],[Obj]],13,10),"")</f>
        <v/>
      </c>
      <c r="J3157" s="125" t="b">
        <f>Proc[[#This Row],[Requested]]=Proc[[#This Row],[CurrentParent]]</f>
        <v>1</v>
      </c>
      <c r="K3157" s="144" t="str">
        <f>IF(Proc[[#This Row],[Author]]="Marcela Urrego",VLOOKUP(LEFT(Proc[[#This Row],[Requested]],1),Table3[#All],2,0),VLOOKUP(Proc[[#This Row],[Author]],Table4[],2,0))</f>
        <v>HC</v>
      </c>
      <c r="L3157" s="125" t="s">
        <v>4894</v>
      </c>
      <c r="M3157" s="113">
        <v>45873</v>
      </c>
      <c r="N3157" s="113"/>
      <c r="O3157" s="113"/>
      <c r="P3157" s="115" t="str">
        <f ca="1">IF(Proc[[#This Row],[DaysAgeing]]&gt;5,"yep","on track")</f>
        <v>yep</v>
      </c>
      <c r="Q3157" s="3">
        <f ca="1">IF(Proc[[#This Row],[DateClosed]]="",ABS(NETWORKDAYS(Proc[[#This Row],[DateOpened]],TODAY()))-1,ABS(NETWORKDAYS(Proc[[#This Row],[DateOpened]],Proc[[#This Row],[DateClosed]]))-1)</f>
        <v>99</v>
      </c>
      <c r="R3157" s="115" t="s">
        <v>1013</v>
      </c>
      <c r="S3157" s="125"/>
    </row>
    <row r="3158" spans="1:19" hidden="1">
      <c r="A3158" s="124" t="s">
        <v>5258</v>
      </c>
      <c r="B3158" s="149" t="str">
        <f>IFERROR(VLOOKUP(Proc[[#This Row],[App]],Table2[],3,0),"open")</f>
        <v>ok</v>
      </c>
      <c r="C3158" s="124" t="s">
        <v>369</v>
      </c>
      <c r="D3158" t="s">
        <v>5177</v>
      </c>
      <c r="E3158" t="s">
        <v>4068</v>
      </c>
      <c r="F3158" s="125" t="s">
        <v>4068</v>
      </c>
      <c r="G3158" s="124" t="s">
        <v>400</v>
      </c>
      <c r="H3158" s="125" t="str">
        <f>IF(Proc[[#This Row],[type]]="LFF (MDG-F)",MID(Proc[[#This Row],[Obj]],13,10),"")</f>
        <v/>
      </c>
      <c r="J3158" s="125" t="b">
        <f>Proc[[#This Row],[Requested]]=Proc[[#This Row],[CurrentParent]]</f>
        <v>1</v>
      </c>
      <c r="K3158" s="144" t="str">
        <f>IF(Proc[[#This Row],[Author]]="Marcela Urrego",VLOOKUP(LEFT(Proc[[#This Row],[Requested]],1),Table3[#All],2,0),VLOOKUP(Proc[[#This Row],[Author]],Table4[],2,0))</f>
        <v>HC</v>
      </c>
      <c r="L3158" s="125" t="s">
        <v>4894</v>
      </c>
      <c r="M3158" s="113">
        <v>45873</v>
      </c>
      <c r="N3158" s="113"/>
      <c r="O3158" s="113"/>
      <c r="P3158" s="115" t="str">
        <f ca="1">IF(Proc[[#This Row],[DaysAgeing]]&gt;5,"yep","on track")</f>
        <v>yep</v>
      </c>
      <c r="Q3158" s="3">
        <f ca="1">IF(Proc[[#This Row],[DateClosed]]="",ABS(NETWORKDAYS(Proc[[#This Row],[DateOpened]],TODAY()))-1,ABS(NETWORKDAYS(Proc[[#This Row],[DateOpened]],Proc[[#This Row],[DateClosed]]))-1)</f>
        <v>99</v>
      </c>
      <c r="R3158" s="115" t="s">
        <v>1013</v>
      </c>
      <c r="S3158" s="125"/>
    </row>
    <row r="3159" spans="1:19" hidden="1">
      <c r="A3159" s="124" t="s">
        <v>5258</v>
      </c>
      <c r="B3159" s="149" t="str">
        <f>IFERROR(VLOOKUP(Proc[[#This Row],[App]],Table2[],3,0),"open")</f>
        <v>ok</v>
      </c>
      <c r="C3159" s="124" t="s">
        <v>369</v>
      </c>
      <c r="D3159" t="s">
        <v>5178</v>
      </c>
      <c r="E3159" t="s">
        <v>4068</v>
      </c>
      <c r="F3159" s="125" t="s">
        <v>4068</v>
      </c>
      <c r="G3159" s="124" t="s">
        <v>400</v>
      </c>
      <c r="H3159" s="125" t="str">
        <f>IF(Proc[[#This Row],[type]]="LFF (MDG-F)",MID(Proc[[#This Row],[Obj]],13,10),"")</f>
        <v/>
      </c>
      <c r="J3159" s="125" t="b">
        <f>Proc[[#This Row],[Requested]]=Proc[[#This Row],[CurrentParent]]</f>
        <v>1</v>
      </c>
      <c r="K3159" s="144" t="str">
        <f>IF(Proc[[#This Row],[Author]]="Marcela Urrego",VLOOKUP(LEFT(Proc[[#This Row],[Requested]],1),Table3[#All],2,0),VLOOKUP(Proc[[#This Row],[Author]],Table4[],2,0))</f>
        <v>HC</v>
      </c>
      <c r="L3159" s="125" t="s">
        <v>4894</v>
      </c>
      <c r="M3159" s="113">
        <v>45873</v>
      </c>
      <c r="N3159" s="113"/>
      <c r="O3159" s="113"/>
      <c r="P3159" s="115" t="str">
        <f ca="1">IF(Proc[[#This Row],[DaysAgeing]]&gt;5,"yep","on track")</f>
        <v>yep</v>
      </c>
      <c r="Q3159" s="3">
        <f ca="1">IF(Proc[[#This Row],[DateClosed]]="",ABS(NETWORKDAYS(Proc[[#This Row],[DateOpened]],TODAY()))-1,ABS(NETWORKDAYS(Proc[[#This Row],[DateOpened]],Proc[[#This Row],[DateClosed]]))-1)</f>
        <v>99</v>
      </c>
      <c r="R3159" s="115" t="s">
        <v>1013</v>
      </c>
      <c r="S3159" s="125"/>
    </row>
    <row r="3160" spans="1:19" hidden="1">
      <c r="A3160" s="124" t="s">
        <v>5258</v>
      </c>
      <c r="B3160" s="149" t="str">
        <f>IFERROR(VLOOKUP(Proc[[#This Row],[App]],Table2[],3,0),"open")</f>
        <v>ok</v>
      </c>
      <c r="C3160" s="124" t="s">
        <v>369</v>
      </c>
      <c r="D3160" t="s">
        <v>5179</v>
      </c>
      <c r="E3160" t="s">
        <v>4068</v>
      </c>
      <c r="F3160" s="125" t="s">
        <v>4068</v>
      </c>
      <c r="G3160" s="124" t="s">
        <v>400</v>
      </c>
      <c r="H3160" s="125" t="str">
        <f>IF(Proc[[#This Row],[type]]="LFF (MDG-F)",MID(Proc[[#This Row],[Obj]],13,10),"")</f>
        <v/>
      </c>
      <c r="J3160" s="125" t="b">
        <f>Proc[[#This Row],[Requested]]=Proc[[#This Row],[CurrentParent]]</f>
        <v>1</v>
      </c>
      <c r="K3160" s="144" t="str">
        <f>IF(Proc[[#This Row],[Author]]="Marcela Urrego",VLOOKUP(LEFT(Proc[[#This Row],[Requested]],1),Table3[#All],2,0),VLOOKUP(Proc[[#This Row],[Author]],Table4[],2,0))</f>
        <v>HC</v>
      </c>
      <c r="L3160" s="125" t="s">
        <v>4894</v>
      </c>
      <c r="M3160" s="113">
        <v>45873</v>
      </c>
      <c r="N3160" s="113"/>
      <c r="O3160" s="113"/>
      <c r="P3160" s="115" t="str">
        <f ca="1">IF(Proc[[#This Row],[DaysAgeing]]&gt;5,"yep","on track")</f>
        <v>yep</v>
      </c>
      <c r="Q3160" s="3">
        <f ca="1">IF(Proc[[#This Row],[DateClosed]]="",ABS(NETWORKDAYS(Proc[[#This Row],[DateOpened]],TODAY()))-1,ABS(NETWORKDAYS(Proc[[#This Row],[DateOpened]],Proc[[#This Row],[DateClosed]]))-1)</f>
        <v>99</v>
      </c>
      <c r="R3160" s="115" t="s">
        <v>1013</v>
      </c>
      <c r="S3160" s="125"/>
    </row>
    <row r="3161" spans="1:19" hidden="1">
      <c r="A3161" s="124" t="s">
        <v>5258</v>
      </c>
      <c r="B3161" s="149" t="str">
        <f>IFERROR(VLOOKUP(Proc[[#This Row],[App]],Table2[],3,0),"open")</f>
        <v>ok</v>
      </c>
      <c r="C3161" s="124" t="s">
        <v>369</v>
      </c>
      <c r="D3161" t="s">
        <v>5180</v>
      </c>
      <c r="E3161" t="s">
        <v>4068</v>
      </c>
      <c r="F3161" s="125" t="s">
        <v>4068</v>
      </c>
      <c r="G3161" s="124" t="s">
        <v>400</v>
      </c>
      <c r="H3161" s="125" t="str">
        <f>IF(Proc[[#This Row],[type]]="LFF (MDG-F)",MID(Proc[[#This Row],[Obj]],13,10),"")</f>
        <v/>
      </c>
      <c r="J3161" s="125" t="b">
        <f>Proc[[#This Row],[Requested]]=Proc[[#This Row],[CurrentParent]]</f>
        <v>1</v>
      </c>
      <c r="K3161" s="144" t="str">
        <f>IF(Proc[[#This Row],[Author]]="Marcela Urrego",VLOOKUP(LEFT(Proc[[#This Row],[Requested]],1),Table3[#All],2,0),VLOOKUP(Proc[[#This Row],[Author]],Table4[],2,0))</f>
        <v>HC</v>
      </c>
      <c r="L3161" s="125" t="s">
        <v>4894</v>
      </c>
      <c r="M3161" s="113">
        <v>45873</v>
      </c>
      <c r="N3161" s="113"/>
      <c r="O3161" s="113"/>
      <c r="P3161" s="115" t="str">
        <f ca="1">IF(Proc[[#This Row],[DaysAgeing]]&gt;5,"yep","on track")</f>
        <v>yep</v>
      </c>
      <c r="Q3161" s="3">
        <f ca="1">IF(Proc[[#This Row],[DateClosed]]="",ABS(NETWORKDAYS(Proc[[#This Row],[DateOpened]],TODAY()))-1,ABS(NETWORKDAYS(Proc[[#This Row],[DateOpened]],Proc[[#This Row],[DateClosed]]))-1)</f>
        <v>99</v>
      </c>
      <c r="R3161" s="115" t="s">
        <v>1013</v>
      </c>
      <c r="S3161" s="125"/>
    </row>
    <row r="3162" spans="1:19" hidden="1">
      <c r="A3162" s="124" t="s">
        <v>5258</v>
      </c>
      <c r="B3162" s="149" t="str">
        <f>IFERROR(VLOOKUP(Proc[[#This Row],[App]],Table2[],3,0),"open")</f>
        <v>ok</v>
      </c>
      <c r="C3162" s="124" t="s">
        <v>369</v>
      </c>
      <c r="D3162" t="s">
        <v>5181</v>
      </c>
      <c r="E3162" t="s">
        <v>4068</v>
      </c>
      <c r="F3162" s="125" t="s">
        <v>4068</v>
      </c>
      <c r="G3162" s="124" t="s">
        <v>400</v>
      </c>
      <c r="H3162" s="125" t="str">
        <f>IF(Proc[[#This Row],[type]]="LFF (MDG-F)",MID(Proc[[#This Row],[Obj]],13,10),"")</f>
        <v/>
      </c>
      <c r="J3162" s="125" t="b">
        <f>Proc[[#This Row],[Requested]]=Proc[[#This Row],[CurrentParent]]</f>
        <v>1</v>
      </c>
      <c r="K3162" s="144" t="str">
        <f>IF(Proc[[#This Row],[Author]]="Marcela Urrego",VLOOKUP(LEFT(Proc[[#This Row],[Requested]],1),Table3[#All],2,0),VLOOKUP(Proc[[#This Row],[Author]],Table4[],2,0))</f>
        <v>HC</v>
      </c>
      <c r="L3162" s="125" t="s">
        <v>4894</v>
      </c>
      <c r="M3162" s="113">
        <v>45873</v>
      </c>
      <c r="N3162" s="113"/>
      <c r="O3162" s="113"/>
      <c r="P3162" s="115" t="str">
        <f ca="1">IF(Proc[[#This Row],[DaysAgeing]]&gt;5,"yep","on track")</f>
        <v>yep</v>
      </c>
      <c r="Q3162" s="3">
        <f ca="1">IF(Proc[[#This Row],[DateClosed]]="",ABS(NETWORKDAYS(Proc[[#This Row],[DateOpened]],TODAY()))-1,ABS(NETWORKDAYS(Proc[[#This Row],[DateOpened]],Proc[[#This Row],[DateClosed]]))-1)</f>
        <v>99</v>
      </c>
      <c r="R3162" s="115" t="s">
        <v>1013</v>
      </c>
      <c r="S3162" s="125"/>
    </row>
    <row r="3163" spans="1:19" hidden="1">
      <c r="A3163" s="124" t="s">
        <v>5258</v>
      </c>
      <c r="B3163" s="149" t="str">
        <f>IFERROR(VLOOKUP(Proc[[#This Row],[App]],Table2[],3,0),"open")</f>
        <v>ok</v>
      </c>
      <c r="C3163" s="124" t="s">
        <v>369</v>
      </c>
      <c r="D3163" t="s">
        <v>5182</v>
      </c>
      <c r="E3163" t="s">
        <v>4068</v>
      </c>
      <c r="F3163" s="125" t="s">
        <v>4068</v>
      </c>
      <c r="G3163" s="124" t="s">
        <v>400</v>
      </c>
      <c r="H3163" s="125" t="str">
        <f>IF(Proc[[#This Row],[type]]="LFF (MDG-F)",MID(Proc[[#This Row],[Obj]],13,10),"")</f>
        <v/>
      </c>
      <c r="J3163" s="125" t="b">
        <f>Proc[[#This Row],[Requested]]=Proc[[#This Row],[CurrentParent]]</f>
        <v>1</v>
      </c>
      <c r="K3163" s="144" t="str">
        <f>IF(Proc[[#This Row],[Author]]="Marcela Urrego",VLOOKUP(LEFT(Proc[[#This Row],[Requested]],1),Table3[#All],2,0),VLOOKUP(Proc[[#This Row],[Author]],Table4[],2,0))</f>
        <v>HC</v>
      </c>
      <c r="L3163" s="125" t="s">
        <v>4894</v>
      </c>
      <c r="M3163" s="113">
        <v>45873</v>
      </c>
      <c r="N3163" s="113"/>
      <c r="O3163" s="113"/>
      <c r="P3163" s="115" t="str">
        <f ca="1">IF(Proc[[#This Row],[DaysAgeing]]&gt;5,"yep","on track")</f>
        <v>yep</v>
      </c>
      <c r="Q3163" s="3">
        <f ca="1">IF(Proc[[#This Row],[DateClosed]]="",ABS(NETWORKDAYS(Proc[[#This Row],[DateOpened]],TODAY()))-1,ABS(NETWORKDAYS(Proc[[#This Row],[DateOpened]],Proc[[#This Row],[DateClosed]]))-1)</f>
        <v>99</v>
      </c>
      <c r="R3163" s="115" t="s">
        <v>1013</v>
      </c>
      <c r="S3163" s="125"/>
    </row>
    <row r="3164" spans="1:19" hidden="1">
      <c r="A3164" s="124" t="s">
        <v>5258</v>
      </c>
      <c r="B3164" s="149" t="str">
        <f>IFERROR(VLOOKUP(Proc[[#This Row],[App]],Table2[],3,0),"open")</f>
        <v>ok</v>
      </c>
      <c r="C3164" s="124" t="s">
        <v>369</v>
      </c>
      <c r="D3164" t="s">
        <v>5183</v>
      </c>
      <c r="E3164" t="s">
        <v>4068</v>
      </c>
      <c r="F3164" s="125" t="s">
        <v>4068</v>
      </c>
      <c r="G3164" s="124" t="s">
        <v>400</v>
      </c>
      <c r="H3164" s="125" t="str">
        <f>IF(Proc[[#This Row],[type]]="LFF (MDG-F)",MID(Proc[[#This Row],[Obj]],13,10),"")</f>
        <v/>
      </c>
      <c r="J3164" s="125" t="b">
        <f>Proc[[#This Row],[Requested]]=Proc[[#This Row],[CurrentParent]]</f>
        <v>1</v>
      </c>
      <c r="K3164" s="144" t="str">
        <f>IF(Proc[[#This Row],[Author]]="Marcela Urrego",VLOOKUP(LEFT(Proc[[#This Row],[Requested]],1),Table3[#All],2,0),VLOOKUP(Proc[[#This Row],[Author]],Table4[],2,0))</f>
        <v>HC</v>
      </c>
      <c r="L3164" s="125" t="s">
        <v>4894</v>
      </c>
      <c r="M3164" s="113">
        <v>45873</v>
      </c>
      <c r="N3164" s="113"/>
      <c r="O3164" s="113"/>
      <c r="P3164" s="115" t="str">
        <f ca="1">IF(Proc[[#This Row],[DaysAgeing]]&gt;5,"yep","on track")</f>
        <v>yep</v>
      </c>
      <c r="Q3164" s="3">
        <f ca="1">IF(Proc[[#This Row],[DateClosed]]="",ABS(NETWORKDAYS(Proc[[#This Row],[DateOpened]],TODAY()))-1,ABS(NETWORKDAYS(Proc[[#This Row],[DateOpened]],Proc[[#This Row],[DateClosed]]))-1)</f>
        <v>99</v>
      </c>
      <c r="R3164" s="115" t="s">
        <v>1013</v>
      </c>
      <c r="S3164" s="125"/>
    </row>
    <row r="3165" spans="1:19" hidden="1">
      <c r="A3165" s="124" t="s">
        <v>5258</v>
      </c>
      <c r="B3165" s="149" t="str">
        <f>IFERROR(VLOOKUP(Proc[[#This Row],[App]],Table2[],3,0),"open")</f>
        <v>ok</v>
      </c>
      <c r="C3165" s="124" t="s">
        <v>369</v>
      </c>
      <c r="D3165" t="s">
        <v>5184</v>
      </c>
      <c r="E3165" t="s">
        <v>4068</v>
      </c>
      <c r="F3165" s="125" t="s">
        <v>4068</v>
      </c>
      <c r="G3165" s="124" t="s">
        <v>400</v>
      </c>
      <c r="H3165" s="125" t="str">
        <f>IF(Proc[[#This Row],[type]]="LFF (MDG-F)",MID(Proc[[#This Row],[Obj]],13,10),"")</f>
        <v/>
      </c>
      <c r="J3165" s="125" t="b">
        <f>Proc[[#This Row],[Requested]]=Proc[[#This Row],[CurrentParent]]</f>
        <v>1</v>
      </c>
      <c r="K3165" s="144" t="str">
        <f>IF(Proc[[#This Row],[Author]]="Marcela Urrego",VLOOKUP(LEFT(Proc[[#This Row],[Requested]],1),Table3[#All],2,0),VLOOKUP(Proc[[#This Row],[Author]],Table4[],2,0))</f>
        <v>HC</v>
      </c>
      <c r="L3165" s="125" t="s">
        <v>4894</v>
      </c>
      <c r="M3165" s="113">
        <v>45873</v>
      </c>
      <c r="N3165" s="113"/>
      <c r="O3165" s="113"/>
      <c r="P3165" s="115" t="str">
        <f ca="1">IF(Proc[[#This Row],[DaysAgeing]]&gt;5,"yep","on track")</f>
        <v>yep</v>
      </c>
      <c r="Q3165" s="3">
        <f ca="1">IF(Proc[[#This Row],[DateClosed]]="",ABS(NETWORKDAYS(Proc[[#This Row],[DateOpened]],TODAY()))-1,ABS(NETWORKDAYS(Proc[[#This Row],[DateOpened]],Proc[[#This Row],[DateClosed]]))-1)</f>
        <v>99</v>
      </c>
      <c r="R3165" s="115" t="s">
        <v>1013</v>
      </c>
      <c r="S3165" s="125"/>
    </row>
    <row r="3166" spans="1:19" hidden="1">
      <c r="A3166" s="124" t="s">
        <v>5258</v>
      </c>
      <c r="B3166" s="149" t="str">
        <f>IFERROR(VLOOKUP(Proc[[#This Row],[App]],Table2[],3,0),"open")</f>
        <v>ok</v>
      </c>
      <c r="C3166" s="124" t="s">
        <v>369</v>
      </c>
      <c r="D3166" t="s">
        <v>5185</v>
      </c>
      <c r="E3166" t="s">
        <v>4068</v>
      </c>
      <c r="F3166" s="125" t="s">
        <v>4068</v>
      </c>
      <c r="G3166" s="124" t="s">
        <v>400</v>
      </c>
      <c r="H3166" s="125" t="str">
        <f>IF(Proc[[#This Row],[type]]="LFF (MDG-F)",MID(Proc[[#This Row],[Obj]],13,10),"")</f>
        <v/>
      </c>
      <c r="J3166" s="125" t="b">
        <f>Proc[[#This Row],[Requested]]=Proc[[#This Row],[CurrentParent]]</f>
        <v>1</v>
      </c>
      <c r="K3166" s="144" t="str">
        <f>IF(Proc[[#This Row],[Author]]="Marcela Urrego",VLOOKUP(LEFT(Proc[[#This Row],[Requested]],1),Table3[#All],2,0),VLOOKUP(Proc[[#This Row],[Author]],Table4[],2,0))</f>
        <v>HC</v>
      </c>
      <c r="L3166" s="125" t="s">
        <v>4894</v>
      </c>
      <c r="M3166" s="113">
        <v>45873</v>
      </c>
      <c r="N3166" s="113"/>
      <c r="O3166" s="113"/>
      <c r="P3166" s="115" t="str">
        <f ca="1">IF(Proc[[#This Row],[DaysAgeing]]&gt;5,"yep","on track")</f>
        <v>yep</v>
      </c>
      <c r="Q3166" s="3">
        <f ca="1">IF(Proc[[#This Row],[DateClosed]]="",ABS(NETWORKDAYS(Proc[[#This Row],[DateOpened]],TODAY()))-1,ABS(NETWORKDAYS(Proc[[#This Row],[DateOpened]],Proc[[#This Row],[DateClosed]]))-1)</f>
        <v>99</v>
      </c>
      <c r="R3166" s="115" t="s">
        <v>1013</v>
      </c>
      <c r="S3166" s="125"/>
    </row>
    <row r="3167" spans="1:19" hidden="1">
      <c r="A3167" s="124" t="s">
        <v>5258</v>
      </c>
      <c r="B3167" s="149" t="str">
        <f>IFERROR(VLOOKUP(Proc[[#This Row],[App]],Table2[],3,0),"open")</f>
        <v>ok</v>
      </c>
      <c r="C3167" s="124" t="s">
        <v>369</v>
      </c>
      <c r="D3167" t="s">
        <v>5186</v>
      </c>
      <c r="E3167" t="s">
        <v>4068</v>
      </c>
      <c r="F3167" s="125" t="s">
        <v>4068</v>
      </c>
      <c r="G3167" s="124" t="s">
        <v>400</v>
      </c>
      <c r="H3167" s="125" t="str">
        <f>IF(Proc[[#This Row],[type]]="LFF (MDG-F)",MID(Proc[[#This Row],[Obj]],13,10),"")</f>
        <v/>
      </c>
      <c r="J3167" s="125" t="b">
        <f>Proc[[#This Row],[Requested]]=Proc[[#This Row],[CurrentParent]]</f>
        <v>1</v>
      </c>
      <c r="K3167" s="144" t="str">
        <f>IF(Proc[[#This Row],[Author]]="Marcela Urrego",VLOOKUP(LEFT(Proc[[#This Row],[Requested]],1),Table3[#All],2,0),VLOOKUP(Proc[[#This Row],[Author]],Table4[],2,0))</f>
        <v>HC</v>
      </c>
      <c r="L3167" s="125" t="s">
        <v>4894</v>
      </c>
      <c r="M3167" s="113">
        <v>45873</v>
      </c>
      <c r="N3167" s="113"/>
      <c r="O3167" s="113"/>
      <c r="P3167" s="115" t="str">
        <f ca="1">IF(Proc[[#This Row],[DaysAgeing]]&gt;5,"yep","on track")</f>
        <v>yep</v>
      </c>
      <c r="Q3167" s="3">
        <f ca="1">IF(Proc[[#This Row],[DateClosed]]="",ABS(NETWORKDAYS(Proc[[#This Row],[DateOpened]],TODAY()))-1,ABS(NETWORKDAYS(Proc[[#This Row],[DateOpened]],Proc[[#This Row],[DateClosed]]))-1)</f>
        <v>99</v>
      </c>
      <c r="R3167" s="115" t="s">
        <v>1013</v>
      </c>
      <c r="S3167" s="125"/>
    </row>
    <row r="3168" spans="1:19" hidden="1">
      <c r="A3168" s="124" t="s">
        <v>5258</v>
      </c>
      <c r="B3168" s="149" t="str">
        <f>IFERROR(VLOOKUP(Proc[[#This Row],[App]],Table2[],3,0),"open")</f>
        <v>ok</v>
      </c>
      <c r="C3168" s="124" t="s">
        <v>369</v>
      </c>
      <c r="D3168" t="s">
        <v>5187</v>
      </c>
      <c r="E3168" t="s">
        <v>4068</v>
      </c>
      <c r="F3168" s="125" t="s">
        <v>4068</v>
      </c>
      <c r="G3168" s="124" t="s">
        <v>400</v>
      </c>
      <c r="H3168" s="125" t="str">
        <f>IF(Proc[[#This Row],[type]]="LFF (MDG-F)",MID(Proc[[#This Row],[Obj]],13,10),"")</f>
        <v/>
      </c>
      <c r="J3168" s="125" t="b">
        <f>Proc[[#This Row],[Requested]]=Proc[[#This Row],[CurrentParent]]</f>
        <v>1</v>
      </c>
      <c r="K3168" s="144" t="str">
        <f>IF(Proc[[#This Row],[Author]]="Marcela Urrego",VLOOKUP(LEFT(Proc[[#This Row],[Requested]],1),Table3[#All],2,0),VLOOKUP(Proc[[#This Row],[Author]],Table4[],2,0))</f>
        <v>HC</v>
      </c>
      <c r="L3168" s="125" t="s">
        <v>4894</v>
      </c>
      <c r="M3168" s="113">
        <v>45873</v>
      </c>
      <c r="N3168" s="113"/>
      <c r="O3168" s="113"/>
      <c r="P3168" s="115" t="str">
        <f ca="1">IF(Proc[[#This Row],[DaysAgeing]]&gt;5,"yep","on track")</f>
        <v>yep</v>
      </c>
      <c r="Q3168" s="3">
        <f ca="1">IF(Proc[[#This Row],[DateClosed]]="",ABS(NETWORKDAYS(Proc[[#This Row],[DateOpened]],TODAY()))-1,ABS(NETWORKDAYS(Proc[[#This Row],[DateOpened]],Proc[[#This Row],[DateClosed]]))-1)</f>
        <v>99</v>
      </c>
      <c r="R3168" s="115" t="s">
        <v>1013</v>
      </c>
      <c r="S3168" s="125"/>
    </row>
    <row r="3169" spans="1:19" hidden="1">
      <c r="A3169" s="124" t="s">
        <v>5258</v>
      </c>
      <c r="B3169" s="149" t="str">
        <f>IFERROR(VLOOKUP(Proc[[#This Row],[App]],Table2[],3,0),"open")</f>
        <v>ok</v>
      </c>
      <c r="C3169" s="124" t="s">
        <v>369</v>
      </c>
      <c r="D3169" t="s">
        <v>5188</v>
      </c>
      <c r="E3169" t="s">
        <v>4068</v>
      </c>
      <c r="F3169" s="125" t="s">
        <v>4068</v>
      </c>
      <c r="G3169" s="124" t="s">
        <v>400</v>
      </c>
      <c r="H3169" s="125" t="str">
        <f>IF(Proc[[#This Row],[type]]="LFF (MDG-F)",MID(Proc[[#This Row],[Obj]],13,10),"")</f>
        <v/>
      </c>
      <c r="J3169" s="125" t="b">
        <f>Proc[[#This Row],[Requested]]=Proc[[#This Row],[CurrentParent]]</f>
        <v>1</v>
      </c>
      <c r="K3169" s="144" t="str">
        <f>IF(Proc[[#This Row],[Author]]="Marcela Urrego",VLOOKUP(LEFT(Proc[[#This Row],[Requested]],1),Table3[#All],2,0),VLOOKUP(Proc[[#This Row],[Author]],Table4[],2,0))</f>
        <v>HC</v>
      </c>
      <c r="L3169" s="125" t="s">
        <v>4894</v>
      </c>
      <c r="M3169" s="113">
        <v>45873</v>
      </c>
      <c r="N3169" s="113"/>
      <c r="O3169" s="113"/>
      <c r="P3169" s="115" t="str">
        <f ca="1">IF(Proc[[#This Row],[DaysAgeing]]&gt;5,"yep","on track")</f>
        <v>yep</v>
      </c>
      <c r="Q3169" s="3">
        <f ca="1">IF(Proc[[#This Row],[DateClosed]]="",ABS(NETWORKDAYS(Proc[[#This Row],[DateOpened]],TODAY()))-1,ABS(NETWORKDAYS(Proc[[#This Row],[DateOpened]],Proc[[#This Row],[DateClosed]]))-1)</f>
        <v>99</v>
      </c>
      <c r="R3169" s="115" t="s">
        <v>1013</v>
      </c>
      <c r="S3169" s="125"/>
    </row>
    <row r="3170" spans="1:19" hidden="1">
      <c r="A3170" s="124" t="s">
        <v>5258</v>
      </c>
      <c r="B3170" s="149" t="str">
        <f>IFERROR(VLOOKUP(Proc[[#This Row],[App]],Table2[],3,0),"open")</f>
        <v>ok</v>
      </c>
      <c r="C3170" s="124" t="s">
        <v>369</v>
      </c>
      <c r="D3170" t="s">
        <v>5189</v>
      </c>
      <c r="E3170" t="s">
        <v>4068</v>
      </c>
      <c r="F3170" s="125" t="s">
        <v>4068</v>
      </c>
      <c r="G3170" s="124" t="s">
        <v>400</v>
      </c>
      <c r="H3170" s="125" t="str">
        <f>IF(Proc[[#This Row],[type]]="LFF (MDG-F)",MID(Proc[[#This Row],[Obj]],13,10),"")</f>
        <v/>
      </c>
      <c r="J3170" s="125" t="b">
        <f>Proc[[#This Row],[Requested]]=Proc[[#This Row],[CurrentParent]]</f>
        <v>1</v>
      </c>
      <c r="K3170" s="144" t="str">
        <f>IF(Proc[[#This Row],[Author]]="Marcela Urrego",VLOOKUP(LEFT(Proc[[#This Row],[Requested]],1),Table3[#All],2,0),VLOOKUP(Proc[[#This Row],[Author]],Table4[],2,0))</f>
        <v>HC</v>
      </c>
      <c r="L3170" s="125" t="s">
        <v>4894</v>
      </c>
      <c r="M3170" s="113">
        <v>45873</v>
      </c>
      <c r="N3170" s="113"/>
      <c r="O3170" s="113"/>
      <c r="P3170" s="115" t="str">
        <f ca="1">IF(Proc[[#This Row],[DaysAgeing]]&gt;5,"yep","on track")</f>
        <v>yep</v>
      </c>
      <c r="Q3170" s="3">
        <f ca="1">IF(Proc[[#This Row],[DateClosed]]="",ABS(NETWORKDAYS(Proc[[#This Row],[DateOpened]],TODAY()))-1,ABS(NETWORKDAYS(Proc[[#This Row],[DateOpened]],Proc[[#This Row],[DateClosed]]))-1)</f>
        <v>99</v>
      </c>
      <c r="R3170" s="115" t="s">
        <v>1013</v>
      </c>
      <c r="S3170" s="125"/>
    </row>
    <row r="3171" spans="1:19" hidden="1">
      <c r="A3171" s="124" t="s">
        <v>5258</v>
      </c>
      <c r="B3171" s="149" t="str">
        <f>IFERROR(VLOOKUP(Proc[[#This Row],[App]],Table2[],3,0),"open")</f>
        <v>ok</v>
      </c>
      <c r="C3171" s="124" t="s">
        <v>369</v>
      </c>
      <c r="D3171" t="s">
        <v>5190</v>
      </c>
      <c r="E3171" t="s">
        <v>4068</v>
      </c>
      <c r="F3171" s="125" t="s">
        <v>4068</v>
      </c>
      <c r="G3171" s="124" t="s">
        <v>400</v>
      </c>
      <c r="H3171" s="125" t="str">
        <f>IF(Proc[[#This Row],[type]]="LFF (MDG-F)",MID(Proc[[#This Row],[Obj]],13,10),"")</f>
        <v/>
      </c>
      <c r="J3171" s="125" t="b">
        <f>Proc[[#This Row],[Requested]]=Proc[[#This Row],[CurrentParent]]</f>
        <v>1</v>
      </c>
      <c r="K3171" s="144" t="str">
        <f>IF(Proc[[#This Row],[Author]]="Marcela Urrego",VLOOKUP(LEFT(Proc[[#This Row],[Requested]],1),Table3[#All],2,0),VLOOKUP(Proc[[#This Row],[Author]],Table4[],2,0))</f>
        <v>HC</v>
      </c>
      <c r="L3171" s="125" t="s">
        <v>4894</v>
      </c>
      <c r="M3171" s="113">
        <v>45873</v>
      </c>
      <c r="N3171" s="113"/>
      <c r="O3171" s="113"/>
      <c r="P3171" s="115" t="str">
        <f ca="1">IF(Proc[[#This Row],[DaysAgeing]]&gt;5,"yep","on track")</f>
        <v>yep</v>
      </c>
      <c r="Q3171" s="3">
        <f ca="1">IF(Proc[[#This Row],[DateClosed]]="",ABS(NETWORKDAYS(Proc[[#This Row],[DateOpened]],TODAY()))-1,ABS(NETWORKDAYS(Proc[[#This Row],[DateOpened]],Proc[[#This Row],[DateClosed]]))-1)</f>
        <v>99</v>
      </c>
      <c r="R3171" s="115" t="s">
        <v>1013</v>
      </c>
      <c r="S3171" s="125"/>
    </row>
    <row r="3172" spans="1:19" hidden="1">
      <c r="A3172" s="124" t="s">
        <v>5258</v>
      </c>
      <c r="B3172" s="149" t="str">
        <f>IFERROR(VLOOKUP(Proc[[#This Row],[App]],Table2[],3,0),"open")</f>
        <v>ok</v>
      </c>
      <c r="C3172" s="124" t="s">
        <v>369</v>
      </c>
      <c r="D3172" t="s">
        <v>5191</v>
      </c>
      <c r="E3172" t="s">
        <v>4068</v>
      </c>
      <c r="F3172" s="125" t="s">
        <v>4068</v>
      </c>
      <c r="G3172" s="124" t="s">
        <v>400</v>
      </c>
      <c r="H3172" s="125" t="str">
        <f>IF(Proc[[#This Row],[type]]="LFF (MDG-F)",MID(Proc[[#This Row],[Obj]],13,10),"")</f>
        <v/>
      </c>
      <c r="J3172" s="125" t="b">
        <f>Proc[[#This Row],[Requested]]=Proc[[#This Row],[CurrentParent]]</f>
        <v>1</v>
      </c>
      <c r="K3172" s="144" t="str">
        <f>IF(Proc[[#This Row],[Author]]="Marcela Urrego",VLOOKUP(LEFT(Proc[[#This Row],[Requested]],1),Table3[#All],2,0),VLOOKUP(Proc[[#This Row],[Author]],Table4[],2,0))</f>
        <v>HC</v>
      </c>
      <c r="L3172" s="125" t="s">
        <v>4894</v>
      </c>
      <c r="M3172" s="113">
        <v>45873</v>
      </c>
      <c r="N3172" s="113"/>
      <c r="O3172" s="113"/>
      <c r="P3172" s="115" t="str">
        <f ca="1">IF(Proc[[#This Row],[DaysAgeing]]&gt;5,"yep","on track")</f>
        <v>yep</v>
      </c>
      <c r="Q3172" s="3">
        <f ca="1">IF(Proc[[#This Row],[DateClosed]]="",ABS(NETWORKDAYS(Proc[[#This Row],[DateOpened]],TODAY()))-1,ABS(NETWORKDAYS(Proc[[#This Row],[DateOpened]],Proc[[#This Row],[DateClosed]]))-1)</f>
        <v>99</v>
      </c>
      <c r="R3172" s="115" t="s">
        <v>1013</v>
      </c>
      <c r="S3172" s="125"/>
    </row>
    <row r="3173" spans="1:19" hidden="1">
      <c r="A3173" s="124" t="s">
        <v>5258</v>
      </c>
      <c r="B3173" s="149" t="str">
        <f>IFERROR(VLOOKUP(Proc[[#This Row],[App]],Table2[],3,0),"open")</f>
        <v>ok</v>
      </c>
      <c r="C3173" s="124" t="s">
        <v>369</v>
      </c>
      <c r="D3173" t="s">
        <v>5192</v>
      </c>
      <c r="E3173" t="s">
        <v>4068</v>
      </c>
      <c r="F3173" s="125" t="s">
        <v>4068</v>
      </c>
      <c r="G3173" s="124" t="s">
        <v>400</v>
      </c>
      <c r="H3173" s="125" t="str">
        <f>IF(Proc[[#This Row],[type]]="LFF (MDG-F)",MID(Proc[[#This Row],[Obj]],13,10),"")</f>
        <v/>
      </c>
      <c r="J3173" s="125" t="b">
        <f>Proc[[#This Row],[Requested]]=Proc[[#This Row],[CurrentParent]]</f>
        <v>1</v>
      </c>
      <c r="K3173" s="144" t="str">
        <f>IF(Proc[[#This Row],[Author]]="Marcela Urrego",VLOOKUP(LEFT(Proc[[#This Row],[Requested]],1),Table3[#All],2,0),VLOOKUP(Proc[[#This Row],[Author]],Table4[],2,0))</f>
        <v>HC</v>
      </c>
      <c r="L3173" s="125" t="s">
        <v>4894</v>
      </c>
      <c r="M3173" s="113">
        <v>45873</v>
      </c>
      <c r="N3173" s="113"/>
      <c r="O3173" s="113"/>
      <c r="P3173" s="115" t="str">
        <f ca="1">IF(Proc[[#This Row],[DaysAgeing]]&gt;5,"yep","on track")</f>
        <v>yep</v>
      </c>
      <c r="Q3173" s="3">
        <f ca="1">IF(Proc[[#This Row],[DateClosed]]="",ABS(NETWORKDAYS(Proc[[#This Row],[DateOpened]],TODAY()))-1,ABS(NETWORKDAYS(Proc[[#This Row],[DateOpened]],Proc[[#This Row],[DateClosed]]))-1)</f>
        <v>99</v>
      </c>
      <c r="R3173" s="115" t="s">
        <v>1013</v>
      </c>
      <c r="S3173" s="125"/>
    </row>
    <row r="3174" spans="1:19" hidden="1">
      <c r="A3174" s="124" t="s">
        <v>5258</v>
      </c>
      <c r="B3174" s="149" t="str">
        <f>IFERROR(VLOOKUP(Proc[[#This Row],[App]],Table2[],3,0),"open")</f>
        <v>ok</v>
      </c>
      <c r="C3174" s="124" t="s">
        <v>369</v>
      </c>
      <c r="D3174" t="s">
        <v>5193</v>
      </c>
      <c r="E3174" t="s">
        <v>4068</v>
      </c>
      <c r="F3174" s="125" t="s">
        <v>4068</v>
      </c>
      <c r="G3174" s="124" t="s">
        <v>400</v>
      </c>
      <c r="H3174" s="125" t="str">
        <f>IF(Proc[[#This Row],[type]]="LFF (MDG-F)",MID(Proc[[#This Row],[Obj]],13,10),"")</f>
        <v/>
      </c>
      <c r="J3174" s="125" t="b">
        <f>Proc[[#This Row],[Requested]]=Proc[[#This Row],[CurrentParent]]</f>
        <v>1</v>
      </c>
      <c r="K3174" s="144" t="str">
        <f>IF(Proc[[#This Row],[Author]]="Marcela Urrego",VLOOKUP(LEFT(Proc[[#This Row],[Requested]],1),Table3[#All],2,0),VLOOKUP(Proc[[#This Row],[Author]],Table4[],2,0))</f>
        <v>HC</v>
      </c>
      <c r="L3174" s="125" t="s">
        <v>4894</v>
      </c>
      <c r="M3174" s="113">
        <v>45873</v>
      </c>
      <c r="N3174" s="113"/>
      <c r="O3174" s="113"/>
      <c r="P3174" s="115" t="str">
        <f ca="1">IF(Proc[[#This Row],[DaysAgeing]]&gt;5,"yep","on track")</f>
        <v>yep</v>
      </c>
      <c r="Q3174" s="3">
        <f ca="1">IF(Proc[[#This Row],[DateClosed]]="",ABS(NETWORKDAYS(Proc[[#This Row],[DateOpened]],TODAY()))-1,ABS(NETWORKDAYS(Proc[[#This Row],[DateOpened]],Proc[[#This Row],[DateClosed]]))-1)</f>
        <v>99</v>
      </c>
      <c r="R3174" s="115" t="s">
        <v>1013</v>
      </c>
      <c r="S3174" s="125"/>
    </row>
    <row r="3175" spans="1:19" hidden="1">
      <c r="A3175" s="124" t="s">
        <v>5258</v>
      </c>
      <c r="B3175" s="149" t="str">
        <f>IFERROR(VLOOKUP(Proc[[#This Row],[App]],Table2[],3,0),"open")</f>
        <v>ok</v>
      </c>
      <c r="C3175" s="124" t="s">
        <v>369</v>
      </c>
      <c r="D3175" t="s">
        <v>5194</v>
      </c>
      <c r="E3175" t="s">
        <v>4068</v>
      </c>
      <c r="F3175" s="125" t="s">
        <v>4068</v>
      </c>
      <c r="G3175" s="124" t="s">
        <v>400</v>
      </c>
      <c r="H3175" s="125" t="str">
        <f>IF(Proc[[#This Row],[type]]="LFF (MDG-F)",MID(Proc[[#This Row],[Obj]],13,10),"")</f>
        <v/>
      </c>
      <c r="J3175" s="125" t="b">
        <f>Proc[[#This Row],[Requested]]=Proc[[#This Row],[CurrentParent]]</f>
        <v>1</v>
      </c>
      <c r="K3175" s="144" t="str">
        <f>IF(Proc[[#This Row],[Author]]="Marcela Urrego",VLOOKUP(LEFT(Proc[[#This Row],[Requested]],1),Table3[#All],2,0),VLOOKUP(Proc[[#This Row],[Author]],Table4[],2,0))</f>
        <v>HC</v>
      </c>
      <c r="L3175" s="125" t="s">
        <v>4894</v>
      </c>
      <c r="M3175" s="113">
        <v>45873</v>
      </c>
      <c r="N3175" s="113"/>
      <c r="O3175" s="113"/>
      <c r="P3175" s="115" t="str">
        <f ca="1">IF(Proc[[#This Row],[DaysAgeing]]&gt;5,"yep","on track")</f>
        <v>yep</v>
      </c>
      <c r="Q3175" s="3">
        <f ca="1">IF(Proc[[#This Row],[DateClosed]]="",ABS(NETWORKDAYS(Proc[[#This Row],[DateOpened]],TODAY()))-1,ABS(NETWORKDAYS(Proc[[#This Row],[DateOpened]],Proc[[#This Row],[DateClosed]]))-1)</f>
        <v>99</v>
      </c>
      <c r="R3175" s="115" t="s">
        <v>1013</v>
      </c>
      <c r="S3175" s="125"/>
    </row>
    <row r="3176" spans="1:19" hidden="1">
      <c r="A3176" s="124" t="s">
        <v>5258</v>
      </c>
      <c r="B3176" s="149" t="str">
        <f>IFERROR(VLOOKUP(Proc[[#This Row],[App]],Table2[],3,0),"open")</f>
        <v>ok</v>
      </c>
      <c r="C3176" s="124" t="s">
        <v>369</v>
      </c>
      <c r="D3176" t="s">
        <v>5195</v>
      </c>
      <c r="E3176" t="s">
        <v>4068</v>
      </c>
      <c r="F3176" s="125" t="s">
        <v>4068</v>
      </c>
      <c r="G3176" s="124" t="s">
        <v>400</v>
      </c>
      <c r="H3176" s="125" t="str">
        <f>IF(Proc[[#This Row],[type]]="LFF (MDG-F)",MID(Proc[[#This Row],[Obj]],13,10),"")</f>
        <v/>
      </c>
      <c r="J3176" s="125" t="b">
        <f>Proc[[#This Row],[Requested]]=Proc[[#This Row],[CurrentParent]]</f>
        <v>1</v>
      </c>
      <c r="K3176" s="144" t="str">
        <f>IF(Proc[[#This Row],[Author]]="Marcela Urrego",VLOOKUP(LEFT(Proc[[#This Row],[Requested]],1),Table3[#All],2,0),VLOOKUP(Proc[[#This Row],[Author]],Table4[],2,0))</f>
        <v>HC</v>
      </c>
      <c r="L3176" s="125" t="s">
        <v>4894</v>
      </c>
      <c r="M3176" s="113">
        <v>45873</v>
      </c>
      <c r="N3176" s="113"/>
      <c r="O3176" s="113"/>
      <c r="P3176" s="115" t="str">
        <f ca="1">IF(Proc[[#This Row],[DaysAgeing]]&gt;5,"yep","on track")</f>
        <v>yep</v>
      </c>
      <c r="Q3176" s="3">
        <f ca="1">IF(Proc[[#This Row],[DateClosed]]="",ABS(NETWORKDAYS(Proc[[#This Row],[DateOpened]],TODAY()))-1,ABS(NETWORKDAYS(Proc[[#This Row],[DateOpened]],Proc[[#This Row],[DateClosed]]))-1)</f>
        <v>99</v>
      </c>
      <c r="R3176" s="115" t="s">
        <v>1013</v>
      </c>
      <c r="S3176" s="125"/>
    </row>
    <row r="3177" spans="1:19" hidden="1">
      <c r="A3177" s="124" t="s">
        <v>5258</v>
      </c>
      <c r="B3177" s="149" t="str">
        <f>IFERROR(VLOOKUP(Proc[[#This Row],[App]],Table2[],3,0),"open")</f>
        <v>ok</v>
      </c>
      <c r="C3177" s="124" t="s">
        <v>369</v>
      </c>
      <c r="D3177" t="s">
        <v>5196</v>
      </c>
      <c r="E3177" t="s">
        <v>4068</v>
      </c>
      <c r="F3177" s="125" t="s">
        <v>4068</v>
      </c>
      <c r="G3177" s="124" t="s">
        <v>400</v>
      </c>
      <c r="H3177" s="125" t="str">
        <f>IF(Proc[[#This Row],[type]]="LFF (MDG-F)",MID(Proc[[#This Row],[Obj]],13,10),"")</f>
        <v/>
      </c>
      <c r="J3177" s="125" t="b">
        <f>Proc[[#This Row],[Requested]]=Proc[[#This Row],[CurrentParent]]</f>
        <v>1</v>
      </c>
      <c r="K3177" s="144" t="str">
        <f>IF(Proc[[#This Row],[Author]]="Marcela Urrego",VLOOKUP(LEFT(Proc[[#This Row],[Requested]],1),Table3[#All],2,0),VLOOKUP(Proc[[#This Row],[Author]],Table4[],2,0))</f>
        <v>HC</v>
      </c>
      <c r="L3177" s="125" t="s">
        <v>4894</v>
      </c>
      <c r="M3177" s="113">
        <v>45873</v>
      </c>
      <c r="N3177" s="113"/>
      <c r="O3177" s="113"/>
      <c r="P3177" s="115" t="str">
        <f ca="1">IF(Proc[[#This Row],[DaysAgeing]]&gt;5,"yep","on track")</f>
        <v>yep</v>
      </c>
      <c r="Q3177" s="3">
        <f ca="1">IF(Proc[[#This Row],[DateClosed]]="",ABS(NETWORKDAYS(Proc[[#This Row],[DateOpened]],TODAY()))-1,ABS(NETWORKDAYS(Proc[[#This Row],[DateOpened]],Proc[[#This Row],[DateClosed]]))-1)</f>
        <v>99</v>
      </c>
      <c r="R3177" s="115" t="s">
        <v>1013</v>
      </c>
      <c r="S3177" s="125"/>
    </row>
    <row r="3178" spans="1:19" hidden="1">
      <c r="A3178" s="124" t="s">
        <v>5258</v>
      </c>
      <c r="B3178" s="149" t="str">
        <f>IFERROR(VLOOKUP(Proc[[#This Row],[App]],Table2[],3,0),"open")</f>
        <v>ok</v>
      </c>
      <c r="C3178" s="124" t="s">
        <v>369</v>
      </c>
      <c r="D3178" t="s">
        <v>5197</v>
      </c>
      <c r="E3178" t="s">
        <v>4068</v>
      </c>
      <c r="F3178" s="125" t="s">
        <v>4068</v>
      </c>
      <c r="G3178" s="124" t="s">
        <v>400</v>
      </c>
      <c r="H3178" s="125" t="str">
        <f>IF(Proc[[#This Row],[type]]="LFF (MDG-F)",MID(Proc[[#This Row],[Obj]],13,10),"")</f>
        <v/>
      </c>
      <c r="J3178" s="125" t="b">
        <f>Proc[[#This Row],[Requested]]=Proc[[#This Row],[CurrentParent]]</f>
        <v>1</v>
      </c>
      <c r="K3178" s="144" t="str">
        <f>IF(Proc[[#This Row],[Author]]="Marcela Urrego",VLOOKUP(LEFT(Proc[[#This Row],[Requested]],1),Table3[#All],2,0),VLOOKUP(Proc[[#This Row],[Author]],Table4[],2,0))</f>
        <v>HC</v>
      </c>
      <c r="L3178" s="125" t="s">
        <v>4894</v>
      </c>
      <c r="M3178" s="113">
        <v>45873</v>
      </c>
      <c r="N3178" s="113"/>
      <c r="O3178" s="113"/>
      <c r="P3178" s="115" t="str">
        <f ca="1">IF(Proc[[#This Row],[DaysAgeing]]&gt;5,"yep","on track")</f>
        <v>yep</v>
      </c>
      <c r="Q3178" s="3">
        <f ca="1">IF(Proc[[#This Row],[DateClosed]]="",ABS(NETWORKDAYS(Proc[[#This Row],[DateOpened]],TODAY()))-1,ABS(NETWORKDAYS(Proc[[#This Row],[DateOpened]],Proc[[#This Row],[DateClosed]]))-1)</f>
        <v>99</v>
      </c>
      <c r="R3178" s="115" t="s">
        <v>1013</v>
      </c>
      <c r="S3178" s="125"/>
    </row>
    <row r="3179" spans="1:19" hidden="1">
      <c r="A3179" s="124" t="s">
        <v>5258</v>
      </c>
      <c r="B3179" s="149" t="str">
        <f>IFERROR(VLOOKUP(Proc[[#This Row],[App]],Table2[],3,0),"open")</f>
        <v>ok</v>
      </c>
      <c r="C3179" s="124" t="s">
        <v>369</v>
      </c>
      <c r="D3179" t="s">
        <v>5198</v>
      </c>
      <c r="E3179" t="s">
        <v>4068</v>
      </c>
      <c r="F3179" s="125" t="s">
        <v>4068</v>
      </c>
      <c r="G3179" s="124" t="s">
        <v>400</v>
      </c>
      <c r="H3179" s="125" t="str">
        <f>IF(Proc[[#This Row],[type]]="LFF (MDG-F)",MID(Proc[[#This Row],[Obj]],13,10),"")</f>
        <v/>
      </c>
      <c r="J3179" s="125" t="b">
        <f>Proc[[#This Row],[Requested]]=Proc[[#This Row],[CurrentParent]]</f>
        <v>1</v>
      </c>
      <c r="K3179" s="144" t="str">
        <f>IF(Proc[[#This Row],[Author]]="Marcela Urrego",VLOOKUP(LEFT(Proc[[#This Row],[Requested]],1),Table3[#All],2,0),VLOOKUP(Proc[[#This Row],[Author]],Table4[],2,0))</f>
        <v>HC</v>
      </c>
      <c r="L3179" s="125" t="s">
        <v>4894</v>
      </c>
      <c r="M3179" s="113">
        <v>45873</v>
      </c>
      <c r="N3179" s="113"/>
      <c r="O3179" s="113"/>
      <c r="P3179" s="115" t="str">
        <f ca="1">IF(Proc[[#This Row],[DaysAgeing]]&gt;5,"yep","on track")</f>
        <v>yep</v>
      </c>
      <c r="Q3179" s="3">
        <f ca="1">IF(Proc[[#This Row],[DateClosed]]="",ABS(NETWORKDAYS(Proc[[#This Row],[DateOpened]],TODAY()))-1,ABS(NETWORKDAYS(Proc[[#This Row],[DateOpened]],Proc[[#This Row],[DateClosed]]))-1)</f>
        <v>99</v>
      </c>
      <c r="R3179" s="115" t="s">
        <v>1013</v>
      </c>
      <c r="S3179" s="125"/>
    </row>
    <row r="3180" spans="1:19" hidden="1">
      <c r="A3180" s="124" t="s">
        <v>5258</v>
      </c>
      <c r="B3180" s="149" t="str">
        <f>IFERROR(VLOOKUP(Proc[[#This Row],[App]],Table2[],3,0),"open")</f>
        <v>ok</v>
      </c>
      <c r="C3180" s="124" t="s">
        <v>369</v>
      </c>
      <c r="D3180" t="s">
        <v>5199</v>
      </c>
      <c r="E3180" t="s">
        <v>4068</v>
      </c>
      <c r="F3180" s="125" t="s">
        <v>4068</v>
      </c>
      <c r="G3180" s="124" t="s">
        <v>400</v>
      </c>
      <c r="H3180" s="125" t="str">
        <f>IF(Proc[[#This Row],[type]]="LFF (MDG-F)",MID(Proc[[#This Row],[Obj]],13,10),"")</f>
        <v/>
      </c>
      <c r="J3180" s="125" t="b">
        <f>Proc[[#This Row],[Requested]]=Proc[[#This Row],[CurrentParent]]</f>
        <v>1</v>
      </c>
      <c r="K3180" s="144" t="str">
        <f>IF(Proc[[#This Row],[Author]]="Marcela Urrego",VLOOKUP(LEFT(Proc[[#This Row],[Requested]],1),Table3[#All],2,0),VLOOKUP(Proc[[#This Row],[Author]],Table4[],2,0))</f>
        <v>HC</v>
      </c>
      <c r="L3180" s="125" t="s">
        <v>4894</v>
      </c>
      <c r="M3180" s="113">
        <v>45873</v>
      </c>
      <c r="N3180" s="113"/>
      <c r="O3180" s="113"/>
      <c r="P3180" s="115" t="str">
        <f ca="1">IF(Proc[[#This Row],[DaysAgeing]]&gt;5,"yep","on track")</f>
        <v>yep</v>
      </c>
      <c r="Q3180" s="3">
        <f ca="1">IF(Proc[[#This Row],[DateClosed]]="",ABS(NETWORKDAYS(Proc[[#This Row],[DateOpened]],TODAY()))-1,ABS(NETWORKDAYS(Proc[[#This Row],[DateOpened]],Proc[[#This Row],[DateClosed]]))-1)</f>
        <v>99</v>
      </c>
      <c r="R3180" s="115" t="s">
        <v>1013</v>
      </c>
      <c r="S3180" s="125"/>
    </row>
    <row r="3181" spans="1:19" hidden="1">
      <c r="A3181" s="124" t="s">
        <v>5258</v>
      </c>
      <c r="B3181" s="149" t="str">
        <f>IFERROR(VLOOKUP(Proc[[#This Row],[App]],Table2[],3,0),"open")</f>
        <v>ok</v>
      </c>
      <c r="C3181" s="124" t="s">
        <v>369</v>
      </c>
      <c r="D3181" t="s">
        <v>5200</v>
      </c>
      <c r="E3181" t="s">
        <v>4068</v>
      </c>
      <c r="F3181" s="125" t="s">
        <v>4068</v>
      </c>
      <c r="G3181" s="124" t="s">
        <v>400</v>
      </c>
      <c r="H3181" s="125" t="str">
        <f>IF(Proc[[#This Row],[type]]="LFF (MDG-F)",MID(Proc[[#This Row],[Obj]],13,10),"")</f>
        <v/>
      </c>
      <c r="J3181" s="125" t="b">
        <f>Proc[[#This Row],[Requested]]=Proc[[#This Row],[CurrentParent]]</f>
        <v>1</v>
      </c>
      <c r="K3181" s="144" t="str">
        <f>IF(Proc[[#This Row],[Author]]="Marcela Urrego",VLOOKUP(LEFT(Proc[[#This Row],[Requested]],1),Table3[#All],2,0),VLOOKUP(Proc[[#This Row],[Author]],Table4[],2,0))</f>
        <v>HC</v>
      </c>
      <c r="L3181" s="125" t="s">
        <v>4894</v>
      </c>
      <c r="M3181" s="113">
        <v>45873</v>
      </c>
      <c r="N3181" s="113"/>
      <c r="O3181" s="113"/>
      <c r="P3181" s="115" t="str">
        <f ca="1">IF(Proc[[#This Row],[DaysAgeing]]&gt;5,"yep","on track")</f>
        <v>yep</v>
      </c>
      <c r="Q3181" s="3">
        <f ca="1">IF(Proc[[#This Row],[DateClosed]]="",ABS(NETWORKDAYS(Proc[[#This Row],[DateOpened]],TODAY()))-1,ABS(NETWORKDAYS(Proc[[#This Row],[DateOpened]],Proc[[#This Row],[DateClosed]]))-1)</f>
        <v>99</v>
      </c>
      <c r="R3181" s="115" t="s">
        <v>1013</v>
      </c>
      <c r="S3181" s="125"/>
    </row>
    <row r="3182" spans="1:19" hidden="1">
      <c r="A3182" s="124" t="s">
        <v>5258</v>
      </c>
      <c r="B3182" s="149" t="str">
        <f>IFERROR(VLOOKUP(Proc[[#This Row],[App]],Table2[],3,0),"open")</f>
        <v>ok</v>
      </c>
      <c r="C3182" s="124" t="s">
        <v>369</v>
      </c>
      <c r="D3182" t="s">
        <v>5201</v>
      </c>
      <c r="E3182" t="s">
        <v>4068</v>
      </c>
      <c r="F3182" s="125" t="s">
        <v>4068</v>
      </c>
      <c r="G3182" s="124" t="s">
        <v>400</v>
      </c>
      <c r="H3182" s="125" t="str">
        <f>IF(Proc[[#This Row],[type]]="LFF (MDG-F)",MID(Proc[[#This Row],[Obj]],13,10),"")</f>
        <v/>
      </c>
      <c r="J3182" s="125" t="b">
        <f>Proc[[#This Row],[Requested]]=Proc[[#This Row],[CurrentParent]]</f>
        <v>1</v>
      </c>
      <c r="K3182" s="144" t="str">
        <f>IF(Proc[[#This Row],[Author]]="Marcela Urrego",VLOOKUP(LEFT(Proc[[#This Row],[Requested]],1),Table3[#All],2,0),VLOOKUP(Proc[[#This Row],[Author]],Table4[],2,0))</f>
        <v>HC</v>
      </c>
      <c r="L3182" s="125" t="s">
        <v>4894</v>
      </c>
      <c r="M3182" s="113">
        <v>45873</v>
      </c>
      <c r="N3182" s="113"/>
      <c r="O3182" s="113"/>
      <c r="P3182" s="115" t="str">
        <f ca="1">IF(Proc[[#This Row],[DaysAgeing]]&gt;5,"yep","on track")</f>
        <v>yep</v>
      </c>
      <c r="Q3182" s="3">
        <f ca="1">IF(Proc[[#This Row],[DateClosed]]="",ABS(NETWORKDAYS(Proc[[#This Row],[DateOpened]],TODAY()))-1,ABS(NETWORKDAYS(Proc[[#This Row],[DateOpened]],Proc[[#This Row],[DateClosed]]))-1)</f>
        <v>99</v>
      </c>
      <c r="R3182" s="115" t="s">
        <v>1013</v>
      </c>
      <c r="S3182" s="125"/>
    </row>
    <row r="3183" spans="1:19" hidden="1">
      <c r="A3183" s="124" t="s">
        <v>5258</v>
      </c>
      <c r="B3183" s="149" t="str">
        <f>IFERROR(VLOOKUP(Proc[[#This Row],[App]],Table2[],3,0),"open")</f>
        <v>ok</v>
      </c>
      <c r="C3183" s="124" t="s">
        <v>369</v>
      </c>
      <c r="D3183" t="s">
        <v>5202</v>
      </c>
      <c r="E3183" t="s">
        <v>4068</v>
      </c>
      <c r="F3183" s="125" t="s">
        <v>4068</v>
      </c>
      <c r="G3183" s="124" t="s">
        <v>400</v>
      </c>
      <c r="H3183" s="125" t="str">
        <f>IF(Proc[[#This Row],[type]]="LFF (MDG-F)",MID(Proc[[#This Row],[Obj]],13,10),"")</f>
        <v/>
      </c>
      <c r="J3183" s="125" t="b">
        <f>Proc[[#This Row],[Requested]]=Proc[[#This Row],[CurrentParent]]</f>
        <v>1</v>
      </c>
      <c r="K3183" s="144" t="str">
        <f>IF(Proc[[#This Row],[Author]]="Marcela Urrego",VLOOKUP(LEFT(Proc[[#This Row],[Requested]],1),Table3[#All],2,0),VLOOKUP(Proc[[#This Row],[Author]],Table4[],2,0))</f>
        <v>HC</v>
      </c>
      <c r="L3183" s="125" t="s">
        <v>4894</v>
      </c>
      <c r="M3183" s="113">
        <v>45873</v>
      </c>
      <c r="N3183" s="113"/>
      <c r="O3183" s="113"/>
      <c r="P3183" s="115" t="str">
        <f ca="1">IF(Proc[[#This Row],[DaysAgeing]]&gt;5,"yep","on track")</f>
        <v>yep</v>
      </c>
      <c r="Q3183" s="3">
        <f ca="1">IF(Proc[[#This Row],[DateClosed]]="",ABS(NETWORKDAYS(Proc[[#This Row],[DateOpened]],TODAY()))-1,ABS(NETWORKDAYS(Proc[[#This Row],[DateOpened]],Proc[[#This Row],[DateClosed]]))-1)</f>
        <v>99</v>
      </c>
      <c r="R3183" s="115" t="s">
        <v>1013</v>
      </c>
      <c r="S3183" s="125"/>
    </row>
    <row r="3184" spans="1:19" hidden="1">
      <c r="A3184" s="124" t="s">
        <v>5258</v>
      </c>
      <c r="B3184" s="149" t="str">
        <f>IFERROR(VLOOKUP(Proc[[#This Row],[App]],Table2[],3,0),"open")</f>
        <v>ok</v>
      </c>
      <c r="C3184" s="124" t="s">
        <v>369</v>
      </c>
      <c r="D3184" t="s">
        <v>5203</v>
      </c>
      <c r="E3184" t="s">
        <v>4068</v>
      </c>
      <c r="F3184" s="125" t="s">
        <v>4068</v>
      </c>
      <c r="G3184" s="124" t="s">
        <v>400</v>
      </c>
      <c r="H3184" s="125" t="str">
        <f>IF(Proc[[#This Row],[type]]="LFF (MDG-F)",MID(Proc[[#This Row],[Obj]],13,10),"")</f>
        <v/>
      </c>
      <c r="J3184" s="125" t="b">
        <f>Proc[[#This Row],[Requested]]=Proc[[#This Row],[CurrentParent]]</f>
        <v>1</v>
      </c>
      <c r="K3184" s="144" t="str">
        <f>IF(Proc[[#This Row],[Author]]="Marcela Urrego",VLOOKUP(LEFT(Proc[[#This Row],[Requested]],1),Table3[#All],2,0),VLOOKUP(Proc[[#This Row],[Author]],Table4[],2,0))</f>
        <v>HC</v>
      </c>
      <c r="L3184" s="125" t="s">
        <v>4894</v>
      </c>
      <c r="M3184" s="113">
        <v>45873</v>
      </c>
      <c r="N3184" s="113"/>
      <c r="O3184" s="113"/>
      <c r="P3184" s="115" t="str">
        <f ca="1">IF(Proc[[#This Row],[DaysAgeing]]&gt;5,"yep","on track")</f>
        <v>yep</v>
      </c>
      <c r="Q3184" s="3">
        <f ca="1">IF(Proc[[#This Row],[DateClosed]]="",ABS(NETWORKDAYS(Proc[[#This Row],[DateOpened]],TODAY()))-1,ABS(NETWORKDAYS(Proc[[#This Row],[DateOpened]],Proc[[#This Row],[DateClosed]]))-1)</f>
        <v>99</v>
      </c>
      <c r="R3184" s="115" t="s">
        <v>1013</v>
      </c>
      <c r="S3184" s="125"/>
    </row>
    <row r="3185" spans="1:19" hidden="1">
      <c r="A3185" s="124" t="s">
        <v>5258</v>
      </c>
      <c r="B3185" s="149" t="str">
        <f>IFERROR(VLOOKUP(Proc[[#This Row],[App]],Table2[],3,0),"open")</f>
        <v>ok</v>
      </c>
      <c r="C3185" s="124" t="s">
        <v>369</v>
      </c>
      <c r="D3185" t="s">
        <v>5204</v>
      </c>
      <c r="E3185" t="s">
        <v>4068</v>
      </c>
      <c r="F3185" s="125" t="s">
        <v>4068</v>
      </c>
      <c r="G3185" s="124" t="s">
        <v>400</v>
      </c>
      <c r="H3185" s="125" t="str">
        <f>IF(Proc[[#This Row],[type]]="LFF (MDG-F)",MID(Proc[[#This Row],[Obj]],13,10),"")</f>
        <v/>
      </c>
      <c r="J3185" s="125" t="b">
        <f>Proc[[#This Row],[Requested]]=Proc[[#This Row],[CurrentParent]]</f>
        <v>1</v>
      </c>
      <c r="K3185" s="144" t="str">
        <f>IF(Proc[[#This Row],[Author]]="Marcela Urrego",VLOOKUP(LEFT(Proc[[#This Row],[Requested]],1),Table3[#All],2,0),VLOOKUP(Proc[[#This Row],[Author]],Table4[],2,0))</f>
        <v>HC</v>
      </c>
      <c r="L3185" s="125" t="s">
        <v>4894</v>
      </c>
      <c r="M3185" s="113">
        <v>45873</v>
      </c>
      <c r="N3185" s="113"/>
      <c r="O3185" s="113"/>
      <c r="P3185" s="115" t="str">
        <f ca="1">IF(Proc[[#This Row],[DaysAgeing]]&gt;5,"yep","on track")</f>
        <v>yep</v>
      </c>
      <c r="Q3185" s="3">
        <f ca="1">IF(Proc[[#This Row],[DateClosed]]="",ABS(NETWORKDAYS(Proc[[#This Row],[DateOpened]],TODAY()))-1,ABS(NETWORKDAYS(Proc[[#This Row],[DateOpened]],Proc[[#This Row],[DateClosed]]))-1)</f>
        <v>99</v>
      </c>
      <c r="R3185" s="115" t="s">
        <v>1013</v>
      </c>
      <c r="S3185" s="125"/>
    </row>
    <row r="3186" spans="1:19" hidden="1">
      <c r="A3186" s="124" t="s">
        <v>5258</v>
      </c>
      <c r="B3186" s="149" t="str">
        <f>IFERROR(VLOOKUP(Proc[[#This Row],[App]],Table2[],3,0),"open")</f>
        <v>ok</v>
      </c>
      <c r="C3186" s="124" t="s">
        <v>369</v>
      </c>
      <c r="D3186" t="s">
        <v>5205</v>
      </c>
      <c r="E3186" t="s">
        <v>4068</v>
      </c>
      <c r="F3186" s="125" t="s">
        <v>4068</v>
      </c>
      <c r="G3186" s="124" t="s">
        <v>400</v>
      </c>
      <c r="H3186" s="125" t="str">
        <f>IF(Proc[[#This Row],[type]]="LFF (MDG-F)",MID(Proc[[#This Row],[Obj]],13,10),"")</f>
        <v/>
      </c>
      <c r="J3186" s="125" t="b">
        <f>Proc[[#This Row],[Requested]]=Proc[[#This Row],[CurrentParent]]</f>
        <v>1</v>
      </c>
      <c r="K3186" s="144" t="str">
        <f>IF(Proc[[#This Row],[Author]]="Marcela Urrego",VLOOKUP(LEFT(Proc[[#This Row],[Requested]],1),Table3[#All],2,0),VLOOKUP(Proc[[#This Row],[Author]],Table4[],2,0))</f>
        <v>HC</v>
      </c>
      <c r="L3186" s="125" t="s">
        <v>4894</v>
      </c>
      <c r="M3186" s="113">
        <v>45873</v>
      </c>
      <c r="N3186" s="113"/>
      <c r="O3186" s="113"/>
      <c r="P3186" s="115" t="str">
        <f ca="1">IF(Proc[[#This Row],[DaysAgeing]]&gt;5,"yep","on track")</f>
        <v>yep</v>
      </c>
      <c r="Q3186" s="3">
        <f ca="1">IF(Proc[[#This Row],[DateClosed]]="",ABS(NETWORKDAYS(Proc[[#This Row],[DateOpened]],TODAY()))-1,ABS(NETWORKDAYS(Proc[[#This Row],[DateOpened]],Proc[[#This Row],[DateClosed]]))-1)</f>
        <v>99</v>
      </c>
      <c r="R3186" s="115" t="s">
        <v>1013</v>
      </c>
      <c r="S3186" s="125"/>
    </row>
    <row r="3187" spans="1:19" hidden="1">
      <c r="A3187" s="124" t="s">
        <v>5258</v>
      </c>
      <c r="B3187" s="149" t="str">
        <f>IFERROR(VLOOKUP(Proc[[#This Row],[App]],Table2[],3,0),"open")</f>
        <v>ok</v>
      </c>
      <c r="C3187" s="124" t="s">
        <v>369</v>
      </c>
      <c r="D3187" t="s">
        <v>5206</v>
      </c>
      <c r="E3187" t="s">
        <v>4068</v>
      </c>
      <c r="F3187" s="125" t="s">
        <v>4068</v>
      </c>
      <c r="G3187" s="124" t="s">
        <v>400</v>
      </c>
      <c r="H3187" s="125" t="str">
        <f>IF(Proc[[#This Row],[type]]="LFF (MDG-F)",MID(Proc[[#This Row],[Obj]],13,10),"")</f>
        <v/>
      </c>
      <c r="J3187" s="125" t="b">
        <f>Proc[[#This Row],[Requested]]=Proc[[#This Row],[CurrentParent]]</f>
        <v>1</v>
      </c>
      <c r="K3187" s="144" t="str">
        <f>IF(Proc[[#This Row],[Author]]="Marcela Urrego",VLOOKUP(LEFT(Proc[[#This Row],[Requested]],1),Table3[#All],2,0),VLOOKUP(Proc[[#This Row],[Author]],Table4[],2,0))</f>
        <v>HC</v>
      </c>
      <c r="L3187" s="125" t="s">
        <v>4894</v>
      </c>
      <c r="M3187" s="113">
        <v>45873</v>
      </c>
      <c r="N3187" s="113"/>
      <c r="O3187" s="113"/>
      <c r="P3187" s="115" t="str">
        <f ca="1">IF(Proc[[#This Row],[DaysAgeing]]&gt;5,"yep","on track")</f>
        <v>yep</v>
      </c>
      <c r="Q3187" s="3">
        <f ca="1">IF(Proc[[#This Row],[DateClosed]]="",ABS(NETWORKDAYS(Proc[[#This Row],[DateOpened]],TODAY()))-1,ABS(NETWORKDAYS(Proc[[#This Row],[DateOpened]],Proc[[#This Row],[DateClosed]]))-1)</f>
        <v>99</v>
      </c>
      <c r="R3187" s="115" t="s">
        <v>1013</v>
      </c>
      <c r="S3187" s="125"/>
    </row>
    <row r="3188" spans="1:19" hidden="1">
      <c r="A3188" s="124" t="s">
        <v>5258</v>
      </c>
      <c r="B3188" s="149" t="str">
        <f>IFERROR(VLOOKUP(Proc[[#This Row],[App]],Table2[],3,0),"open")</f>
        <v>ok</v>
      </c>
      <c r="C3188" s="124" t="s">
        <v>369</v>
      </c>
      <c r="D3188" t="s">
        <v>5207</v>
      </c>
      <c r="E3188" t="s">
        <v>4068</v>
      </c>
      <c r="F3188" s="125" t="s">
        <v>4068</v>
      </c>
      <c r="G3188" s="124" t="s">
        <v>400</v>
      </c>
      <c r="H3188" s="125" t="str">
        <f>IF(Proc[[#This Row],[type]]="LFF (MDG-F)",MID(Proc[[#This Row],[Obj]],13,10),"")</f>
        <v/>
      </c>
      <c r="J3188" s="125" t="b">
        <f>Proc[[#This Row],[Requested]]=Proc[[#This Row],[CurrentParent]]</f>
        <v>1</v>
      </c>
      <c r="K3188" s="144" t="str">
        <f>IF(Proc[[#This Row],[Author]]="Marcela Urrego",VLOOKUP(LEFT(Proc[[#This Row],[Requested]],1),Table3[#All],2,0),VLOOKUP(Proc[[#This Row],[Author]],Table4[],2,0))</f>
        <v>HC</v>
      </c>
      <c r="L3188" s="125" t="s">
        <v>4894</v>
      </c>
      <c r="M3188" s="113">
        <v>45873</v>
      </c>
      <c r="N3188" s="113"/>
      <c r="O3188" s="113"/>
      <c r="P3188" s="115" t="str">
        <f ca="1">IF(Proc[[#This Row],[DaysAgeing]]&gt;5,"yep","on track")</f>
        <v>yep</v>
      </c>
      <c r="Q3188" s="3">
        <f ca="1">IF(Proc[[#This Row],[DateClosed]]="",ABS(NETWORKDAYS(Proc[[#This Row],[DateOpened]],TODAY()))-1,ABS(NETWORKDAYS(Proc[[#This Row],[DateOpened]],Proc[[#This Row],[DateClosed]]))-1)</f>
        <v>99</v>
      </c>
      <c r="R3188" s="115" t="s">
        <v>1013</v>
      </c>
      <c r="S3188" s="125"/>
    </row>
    <row r="3189" spans="1:19" hidden="1">
      <c r="A3189" s="124" t="s">
        <v>5258</v>
      </c>
      <c r="B3189" s="149" t="str">
        <f>IFERROR(VLOOKUP(Proc[[#This Row],[App]],Table2[],3,0),"open")</f>
        <v>ok</v>
      </c>
      <c r="C3189" s="124" t="s">
        <v>369</v>
      </c>
      <c r="D3189" t="s">
        <v>5208</v>
      </c>
      <c r="E3189" t="s">
        <v>4068</v>
      </c>
      <c r="F3189" s="125" t="s">
        <v>4068</v>
      </c>
      <c r="G3189" s="124" t="s">
        <v>400</v>
      </c>
      <c r="H3189" s="125" t="str">
        <f>IF(Proc[[#This Row],[type]]="LFF (MDG-F)",MID(Proc[[#This Row],[Obj]],13,10),"")</f>
        <v/>
      </c>
      <c r="J3189" s="125" t="b">
        <f>Proc[[#This Row],[Requested]]=Proc[[#This Row],[CurrentParent]]</f>
        <v>1</v>
      </c>
      <c r="K3189" s="144" t="str">
        <f>IF(Proc[[#This Row],[Author]]="Marcela Urrego",VLOOKUP(LEFT(Proc[[#This Row],[Requested]],1),Table3[#All],2,0),VLOOKUP(Proc[[#This Row],[Author]],Table4[],2,0))</f>
        <v>HC</v>
      </c>
      <c r="L3189" s="125" t="s">
        <v>4894</v>
      </c>
      <c r="M3189" s="113">
        <v>45873</v>
      </c>
      <c r="N3189" s="113"/>
      <c r="O3189" s="113"/>
      <c r="P3189" s="115" t="str">
        <f ca="1">IF(Proc[[#This Row],[DaysAgeing]]&gt;5,"yep","on track")</f>
        <v>yep</v>
      </c>
      <c r="Q3189" s="3">
        <f ca="1">IF(Proc[[#This Row],[DateClosed]]="",ABS(NETWORKDAYS(Proc[[#This Row],[DateOpened]],TODAY()))-1,ABS(NETWORKDAYS(Proc[[#This Row],[DateOpened]],Proc[[#This Row],[DateClosed]]))-1)</f>
        <v>99</v>
      </c>
      <c r="R3189" s="115" t="s">
        <v>1013</v>
      </c>
      <c r="S3189" s="125"/>
    </row>
    <row r="3190" spans="1:19" hidden="1">
      <c r="A3190" s="124" t="s">
        <v>5258</v>
      </c>
      <c r="B3190" s="149" t="str">
        <f>IFERROR(VLOOKUP(Proc[[#This Row],[App]],Table2[],3,0),"open")</f>
        <v>ok</v>
      </c>
      <c r="C3190" s="124" t="s">
        <v>369</v>
      </c>
      <c r="D3190" t="s">
        <v>5209</v>
      </c>
      <c r="E3190" t="s">
        <v>4068</v>
      </c>
      <c r="F3190" s="125" t="s">
        <v>4068</v>
      </c>
      <c r="G3190" s="124" t="s">
        <v>400</v>
      </c>
      <c r="H3190" s="125" t="str">
        <f>IF(Proc[[#This Row],[type]]="LFF (MDG-F)",MID(Proc[[#This Row],[Obj]],13,10),"")</f>
        <v/>
      </c>
      <c r="J3190" s="125" t="b">
        <f>Proc[[#This Row],[Requested]]=Proc[[#This Row],[CurrentParent]]</f>
        <v>1</v>
      </c>
      <c r="K3190" s="144" t="str">
        <f>IF(Proc[[#This Row],[Author]]="Marcela Urrego",VLOOKUP(LEFT(Proc[[#This Row],[Requested]],1),Table3[#All],2,0),VLOOKUP(Proc[[#This Row],[Author]],Table4[],2,0))</f>
        <v>HC</v>
      </c>
      <c r="L3190" s="125" t="s">
        <v>4894</v>
      </c>
      <c r="M3190" s="113">
        <v>45873</v>
      </c>
      <c r="N3190" s="113"/>
      <c r="O3190" s="113"/>
      <c r="P3190" s="115" t="str">
        <f ca="1">IF(Proc[[#This Row],[DaysAgeing]]&gt;5,"yep","on track")</f>
        <v>yep</v>
      </c>
      <c r="Q3190" s="3">
        <f ca="1">IF(Proc[[#This Row],[DateClosed]]="",ABS(NETWORKDAYS(Proc[[#This Row],[DateOpened]],TODAY()))-1,ABS(NETWORKDAYS(Proc[[#This Row],[DateOpened]],Proc[[#This Row],[DateClosed]]))-1)</f>
        <v>99</v>
      </c>
      <c r="R3190" s="115" t="s">
        <v>1013</v>
      </c>
      <c r="S3190" s="125"/>
    </row>
    <row r="3191" spans="1:19" hidden="1">
      <c r="A3191" s="124" t="s">
        <v>5258</v>
      </c>
      <c r="B3191" s="149" t="str">
        <f>IFERROR(VLOOKUP(Proc[[#This Row],[App]],Table2[],3,0),"open")</f>
        <v>ok</v>
      </c>
      <c r="C3191" s="124" t="s">
        <v>369</v>
      </c>
      <c r="D3191" t="s">
        <v>5210</v>
      </c>
      <c r="E3191" t="s">
        <v>4068</v>
      </c>
      <c r="F3191" s="125" t="s">
        <v>4068</v>
      </c>
      <c r="G3191" s="124" t="s">
        <v>400</v>
      </c>
      <c r="H3191" s="125" t="str">
        <f>IF(Proc[[#This Row],[type]]="LFF (MDG-F)",MID(Proc[[#This Row],[Obj]],13,10),"")</f>
        <v/>
      </c>
      <c r="J3191" s="125" t="b">
        <f>Proc[[#This Row],[Requested]]=Proc[[#This Row],[CurrentParent]]</f>
        <v>1</v>
      </c>
      <c r="K3191" s="144" t="str">
        <f>IF(Proc[[#This Row],[Author]]="Marcela Urrego",VLOOKUP(LEFT(Proc[[#This Row],[Requested]],1),Table3[#All],2,0),VLOOKUP(Proc[[#This Row],[Author]],Table4[],2,0))</f>
        <v>HC</v>
      </c>
      <c r="L3191" s="125" t="s">
        <v>4894</v>
      </c>
      <c r="M3191" s="113">
        <v>45873</v>
      </c>
      <c r="N3191" s="113"/>
      <c r="O3191" s="113"/>
      <c r="P3191" s="115" t="str">
        <f ca="1">IF(Proc[[#This Row],[DaysAgeing]]&gt;5,"yep","on track")</f>
        <v>yep</v>
      </c>
      <c r="Q3191" s="3">
        <f ca="1">IF(Proc[[#This Row],[DateClosed]]="",ABS(NETWORKDAYS(Proc[[#This Row],[DateOpened]],TODAY()))-1,ABS(NETWORKDAYS(Proc[[#This Row],[DateOpened]],Proc[[#This Row],[DateClosed]]))-1)</f>
        <v>99</v>
      </c>
      <c r="R3191" s="115" t="s">
        <v>1013</v>
      </c>
      <c r="S3191" s="125"/>
    </row>
    <row r="3192" spans="1:19" hidden="1">
      <c r="A3192" s="124" t="s">
        <v>5258</v>
      </c>
      <c r="B3192" s="149" t="str">
        <f>IFERROR(VLOOKUP(Proc[[#This Row],[App]],Table2[],3,0),"open")</f>
        <v>ok</v>
      </c>
      <c r="C3192" s="124" t="s">
        <v>369</v>
      </c>
      <c r="D3192" t="s">
        <v>5211</v>
      </c>
      <c r="E3192" t="s">
        <v>4068</v>
      </c>
      <c r="F3192" s="125" t="s">
        <v>4068</v>
      </c>
      <c r="G3192" s="124" t="s">
        <v>400</v>
      </c>
      <c r="H3192" s="125" t="str">
        <f>IF(Proc[[#This Row],[type]]="LFF (MDG-F)",MID(Proc[[#This Row],[Obj]],13,10),"")</f>
        <v/>
      </c>
      <c r="J3192" s="125" t="b">
        <f>Proc[[#This Row],[Requested]]=Proc[[#This Row],[CurrentParent]]</f>
        <v>1</v>
      </c>
      <c r="K3192" s="144" t="str">
        <f>IF(Proc[[#This Row],[Author]]="Marcela Urrego",VLOOKUP(LEFT(Proc[[#This Row],[Requested]],1),Table3[#All],2,0),VLOOKUP(Proc[[#This Row],[Author]],Table4[],2,0))</f>
        <v>HC</v>
      </c>
      <c r="L3192" s="125" t="s">
        <v>4894</v>
      </c>
      <c r="M3192" s="113">
        <v>45873</v>
      </c>
      <c r="N3192" s="113"/>
      <c r="O3192" s="113"/>
      <c r="P3192" s="115" t="str">
        <f ca="1">IF(Proc[[#This Row],[DaysAgeing]]&gt;5,"yep","on track")</f>
        <v>yep</v>
      </c>
      <c r="Q3192" s="3">
        <f ca="1">IF(Proc[[#This Row],[DateClosed]]="",ABS(NETWORKDAYS(Proc[[#This Row],[DateOpened]],TODAY()))-1,ABS(NETWORKDAYS(Proc[[#This Row],[DateOpened]],Proc[[#This Row],[DateClosed]]))-1)</f>
        <v>99</v>
      </c>
      <c r="R3192" s="115" t="s">
        <v>1013</v>
      </c>
      <c r="S3192" s="125"/>
    </row>
    <row r="3193" spans="1:19" hidden="1">
      <c r="A3193" s="124" t="s">
        <v>5258</v>
      </c>
      <c r="B3193" s="149" t="str">
        <f>IFERROR(VLOOKUP(Proc[[#This Row],[App]],Table2[],3,0),"open")</f>
        <v>ok</v>
      </c>
      <c r="C3193" s="124" t="s">
        <v>369</v>
      </c>
      <c r="D3193" t="s">
        <v>5212</v>
      </c>
      <c r="E3193" t="s">
        <v>4068</v>
      </c>
      <c r="F3193" s="125" t="s">
        <v>4068</v>
      </c>
      <c r="G3193" s="124" t="s">
        <v>400</v>
      </c>
      <c r="H3193" s="125" t="str">
        <f>IF(Proc[[#This Row],[type]]="LFF (MDG-F)",MID(Proc[[#This Row],[Obj]],13,10),"")</f>
        <v/>
      </c>
      <c r="J3193" s="125" t="b">
        <f>Proc[[#This Row],[Requested]]=Proc[[#This Row],[CurrentParent]]</f>
        <v>1</v>
      </c>
      <c r="K3193" s="144" t="str">
        <f>IF(Proc[[#This Row],[Author]]="Marcela Urrego",VLOOKUP(LEFT(Proc[[#This Row],[Requested]],1),Table3[#All],2,0),VLOOKUP(Proc[[#This Row],[Author]],Table4[],2,0))</f>
        <v>HC</v>
      </c>
      <c r="L3193" s="125" t="s">
        <v>4894</v>
      </c>
      <c r="M3193" s="113">
        <v>45873</v>
      </c>
      <c r="N3193" s="113"/>
      <c r="O3193" s="113"/>
      <c r="P3193" s="115" t="str">
        <f ca="1">IF(Proc[[#This Row],[DaysAgeing]]&gt;5,"yep","on track")</f>
        <v>yep</v>
      </c>
      <c r="Q3193" s="3">
        <f ca="1">IF(Proc[[#This Row],[DateClosed]]="",ABS(NETWORKDAYS(Proc[[#This Row],[DateOpened]],TODAY()))-1,ABS(NETWORKDAYS(Proc[[#This Row],[DateOpened]],Proc[[#This Row],[DateClosed]]))-1)</f>
        <v>99</v>
      </c>
      <c r="R3193" s="115" t="s">
        <v>1013</v>
      </c>
      <c r="S3193" s="125"/>
    </row>
    <row r="3194" spans="1:19" hidden="1">
      <c r="A3194" s="124" t="s">
        <v>5258</v>
      </c>
      <c r="B3194" s="149" t="str">
        <f>IFERROR(VLOOKUP(Proc[[#This Row],[App]],Table2[],3,0),"open")</f>
        <v>ok</v>
      </c>
      <c r="C3194" s="124" t="s">
        <v>369</v>
      </c>
      <c r="D3194" t="s">
        <v>5213</v>
      </c>
      <c r="E3194" t="s">
        <v>4068</v>
      </c>
      <c r="F3194" s="125" t="s">
        <v>4068</v>
      </c>
      <c r="G3194" s="124" t="s">
        <v>400</v>
      </c>
      <c r="H3194" s="125" t="str">
        <f>IF(Proc[[#This Row],[type]]="LFF (MDG-F)",MID(Proc[[#This Row],[Obj]],13,10),"")</f>
        <v/>
      </c>
      <c r="J3194" s="125" t="b">
        <f>Proc[[#This Row],[Requested]]=Proc[[#This Row],[CurrentParent]]</f>
        <v>1</v>
      </c>
      <c r="K3194" s="144" t="str">
        <f>IF(Proc[[#This Row],[Author]]="Marcela Urrego",VLOOKUP(LEFT(Proc[[#This Row],[Requested]],1),Table3[#All],2,0),VLOOKUP(Proc[[#This Row],[Author]],Table4[],2,0))</f>
        <v>HC</v>
      </c>
      <c r="L3194" s="125" t="s">
        <v>4894</v>
      </c>
      <c r="M3194" s="113">
        <v>45873</v>
      </c>
      <c r="N3194" s="113"/>
      <c r="O3194" s="113"/>
      <c r="P3194" s="115" t="str">
        <f ca="1">IF(Proc[[#This Row],[DaysAgeing]]&gt;5,"yep","on track")</f>
        <v>yep</v>
      </c>
      <c r="Q3194" s="3">
        <f ca="1">IF(Proc[[#This Row],[DateClosed]]="",ABS(NETWORKDAYS(Proc[[#This Row],[DateOpened]],TODAY()))-1,ABS(NETWORKDAYS(Proc[[#This Row],[DateOpened]],Proc[[#This Row],[DateClosed]]))-1)</f>
        <v>99</v>
      </c>
      <c r="R3194" s="115" t="s">
        <v>1013</v>
      </c>
      <c r="S3194" s="125"/>
    </row>
    <row r="3195" spans="1:19" hidden="1">
      <c r="A3195" s="124" t="s">
        <v>5258</v>
      </c>
      <c r="B3195" s="149" t="str">
        <f>IFERROR(VLOOKUP(Proc[[#This Row],[App]],Table2[],3,0),"open")</f>
        <v>ok</v>
      </c>
      <c r="C3195" s="124" t="s">
        <v>369</v>
      </c>
      <c r="D3195" t="s">
        <v>5214</v>
      </c>
      <c r="E3195" t="s">
        <v>4068</v>
      </c>
      <c r="F3195" s="125" t="s">
        <v>4068</v>
      </c>
      <c r="G3195" s="124" t="s">
        <v>400</v>
      </c>
      <c r="H3195" s="125" t="str">
        <f>IF(Proc[[#This Row],[type]]="LFF (MDG-F)",MID(Proc[[#This Row],[Obj]],13,10),"")</f>
        <v/>
      </c>
      <c r="J3195" s="125" t="b">
        <f>Proc[[#This Row],[Requested]]=Proc[[#This Row],[CurrentParent]]</f>
        <v>1</v>
      </c>
      <c r="K3195" s="144" t="str">
        <f>IF(Proc[[#This Row],[Author]]="Marcela Urrego",VLOOKUP(LEFT(Proc[[#This Row],[Requested]],1),Table3[#All],2,0),VLOOKUP(Proc[[#This Row],[Author]],Table4[],2,0))</f>
        <v>HC</v>
      </c>
      <c r="L3195" s="125" t="s">
        <v>4894</v>
      </c>
      <c r="M3195" s="113">
        <v>45873</v>
      </c>
      <c r="N3195" s="113"/>
      <c r="O3195" s="113"/>
      <c r="P3195" s="115" t="str">
        <f ca="1">IF(Proc[[#This Row],[DaysAgeing]]&gt;5,"yep","on track")</f>
        <v>yep</v>
      </c>
      <c r="Q3195" s="3">
        <f ca="1">IF(Proc[[#This Row],[DateClosed]]="",ABS(NETWORKDAYS(Proc[[#This Row],[DateOpened]],TODAY()))-1,ABS(NETWORKDAYS(Proc[[#This Row],[DateOpened]],Proc[[#This Row],[DateClosed]]))-1)</f>
        <v>99</v>
      </c>
      <c r="R3195" s="115" t="s">
        <v>1013</v>
      </c>
      <c r="S3195" s="125"/>
    </row>
    <row r="3196" spans="1:19" hidden="1">
      <c r="A3196" s="124" t="s">
        <v>5258</v>
      </c>
      <c r="B3196" s="149" t="str">
        <f>IFERROR(VLOOKUP(Proc[[#This Row],[App]],Table2[],3,0),"open")</f>
        <v>ok</v>
      </c>
      <c r="C3196" s="124" t="s">
        <v>369</v>
      </c>
      <c r="D3196" t="s">
        <v>5215</v>
      </c>
      <c r="E3196" t="s">
        <v>4068</v>
      </c>
      <c r="F3196" s="125" t="s">
        <v>4068</v>
      </c>
      <c r="G3196" s="124" t="s">
        <v>400</v>
      </c>
      <c r="H3196" s="125" t="str">
        <f>IF(Proc[[#This Row],[type]]="LFF (MDG-F)",MID(Proc[[#This Row],[Obj]],13,10),"")</f>
        <v/>
      </c>
      <c r="J3196" s="125" t="b">
        <f>Proc[[#This Row],[Requested]]=Proc[[#This Row],[CurrentParent]]</f>
        <v>1</v>
      </c>
      <c r="K3196" s="144" t="str">
        <f>IF(Proc[[#This Row],[Author]]="Marcela Urrego",VLOOKUP(LEFT(Proc[[#This Row],[Requested]],1),Table3[#All],2,0),VLOOKUP(Proc[[#This Row],[Author]],Table4[],2,0))</f>
        <v>HC</v>
      </c>
      <c r="L3196" s="125" t="s">
        <v>4894</v>
      </c>
      <c r="M3196" s="113">
        <v>45873</v>
      </c>
      <c r="N3196" s="113"/>
      <c r="O3196" s="113"/>
      <c r="P3196" s="115" t="str">
        <f ca="1">IF(Proc[[#This Row],[DaysAgeing]]&gt;5,"yep","on track")</f>
        <v>yep</v>
      </c>
      <c r="Q3196" s="3">
        <f ca="1">IF(Proc[[#This Row],[DateClosed]]="",ABS(NETWORKDAYS(Proc[[#This Row],[DateOpened]],TODAY()))-1,ABS(NETWORKDAYS(Proc[[#This Row],[DateOpened]],Proc[[#This Row],[DateClosed]]))-1)</f>
        <v>99</v>
      </c>
      <c r="R3196" s="115" t="s">
        <v>1013</v>
      </c>
      <c r="S3196" s="125"/>
    </row>
    <row r="3197" spans="1:19" hidden="1">
      <c r="A3197" s="124" t="s">
        <v>5258</v>
      </c>
      <c r="B3197" s="149" t="str">
        <f>IFERROR(VLOOKUP(Proc[[#This Row],[App]],Table2[],3,0),"open")</f>
        <v>ok</v>
      </c>
      <c r="C3197" s="124" t="s">
        <v>369</v>
      </c>
      <c r="D3197" t="s">
        <v>5216</v>
      </c>
      <c r="E3197" t="s">
        <v>4068</v>
      </c>
      <c r="F3197" s="125" t="s">
        <v>4068</v>
      </c>
      <c r="G3197" s="124" t="s">
        <v>400</v>
      </c>
      <c r="H3197" s="125" t="str">
        <f>IF(Proc[[#This Row],[type]]="LFF (MDG-F)",MID(Proc[[#This Row],[Obj]],13,10),"")</f>
        <v/>
      </c>
      <c r="J3197" s="125" t="b">
        <f>Proc[[#This Row],[Requested]]=Proc[[#This Row],[CurrentParent]]</f>
        <v>1</v>
      </c>
      <c r="K3197" s="144" t="str">
        <f>IF(Proc[[#This Row],[Author]]="Marcela Urrego",VLOOKUP(LEFT(Proc[[#This Row],[Requested]],1),Table3[#All],2,0),VLOOKUP(Proc[[#This Row],[Author]],Table4[],2,0))</f>
        <v>HC</v>
      </c>
      <c r="L3197" s="125" t="s">
        <v>4894</v>
      </c>
      <c r="M3197" s="113">
        <v>45873</v>
      </c>
      <c r="N3197" s="113"/>
      <c r="O3197" s="113"/>
      <c r="P3197" s="115" t="str">
        <f ca="1">IF(Proc[[#This Row],[DaysAgeing]]&gt;5,"yep","on track")</f>
        <v>yep</v>
      </c>
      <c r="Q3197" s="3">
        <f ca="1">IF(Proc[[#This Row],[DateClosed]]="",ABS(NETWORKDAYS(Proc[[#This Row],[DateOpened]],TODAY()))-1,ABS(NETWORKDAYS(Proc[[#This Row],[DateOpened]],Proc[[#This Row],[DateClosed]]))-1)</f>
        <v>99</v>
      </c>
      <c r="R3197" s="115" t="s">
        <v>1013</v>
      </c>
      <c r="S3197" s="125"/>
    </row>
    <row r="3198" spans="1:19" hidden="1">
      <c r="A3198" s="124" t="s">
        <v>5258</v>
      </c>
      <c r="B3198" s="149" t="str">
        <f>IFERROR(VLOOKUP(Proc[[#This Row],[App]],Table2[],3,0),"open")</f>
        <v>ok</v>
      </c>
      <c r="C3198" s="124" t="s">
        <v>369</v>
      </c>
      <c r="D3198" t="s">
        <v>5217</v>
      </c>
      <c r="E3198" t="s">
        <v>4068</v>
      </c>
      <c r="F3198" s="125" t="s">
        <v>4068</v>
      </c>
      <c r="G3198" s="124" t="s">
        <v>400</v>
      </c>
      <c r="H3198" s="125" t="str">
        <f>IF(Proc[[#This Row],[type]]="LFF (MDG-F)",MID(Proc[[#This Row],[Obj]],13,10),"")</f>
        <v/>
      </c>
      <c r="J3198" s="125" t="b">
        <f>Proc[[#This Row],[Requested]]=Proc[[#This Row],[CurrentParent]]</f>
        <v>1</v>
      </c>
      <c r="K3198" s="144" t="str">
        <f>IF(Proc[[#This Row],[Author]]="Marcela Urrego",VLOOKUP(LEFT(Proc[[#This Row],[Requested]],1),Table3[#All],2,0),VLOOKUP(Proc[[#This Row],[Author]],Table4[],2,0))</f>
        <v>HC</v>
      </c>
      <c r="L3198" s="125" t="s">
        <v>4894</v>
      </c>
      <c r="M3198" s="113">
        <v>45873</v>
      </c>
      <c r="N3198" s="113"/>
      <c r="O3198" s="113"/>
      <c r="P3198" s="115" t="str">
        <f ca="1">IF(Proc[[#This Row],[DaysAgeing]]&gt;5,"yep","on track")</f>
        <v>yep</v>
      </c>
      <c r="Q3198" s="3">
        <f ca="1">IF(Proc[[#This Row],[DateClosed]]="",ABS(NETWORKDAYS(Proc[[#This Row],[DateOpened]],TODAY()))-1,ABS(NETWORKDAYS(Proc[[#This Row],[DateOpened]],Proc[[#This Row],[DateClosed]]))-1)</f>
        <v>99</v>
      </c>
      <c r="R3198" s="115" t="s">
        <v>1013</v>
      </c>
      <c r="S3198" s="125"/>
    </row>
    <row r="3199" spans="1:19" hidden="1">
      <c r="A3199" s="124" t="s">
        <v>5258</v>
      </c>
      <c r="B3199" s="149" t="str">
        <f>IFERROR(VLOOKUP(Proc[[#This Row],[App]],Table2[],3,0),"open")</f>
        <v>ok</v>
      </c>
      <c r="C3199" s="124" t="s">
        <v>369</v>
      </c>
      <c r="D3199" t="s">
        <v>5218</v>
      </c>
      <c r="E3199" t="s">
        <v>4068</v>
      </c>
      <c r="F3199" s="125" t="s">
        <v>4068</v>
      </c>
      <c r="G3199" s="124" t="s">
        <v>400</v>
      </c>
      <c r="H3199" s="125" t="str">
        <f>IF(Proc[[#This Row],[type]]="LFF (MDG-F)",MID(Proc[[#This Row],[Obj]],13,10),"")</f>
        <v/>
      </c>
      <c r="J3199" s="125" t="b">
        <f>Proc[[#This Row],[Requested]]=Proc[[#This Row],[CurrentParent]]</f>
        <v>1</v>
      </c>
      <c r="K3199" s="144" t="str">
        <f>IF(Proc[[#This Row],[Author]]="Marcela Urrego",VLOOKUP(LEFT(Proc[[#This Row],[Requested]],1),Table3[#All],2,0),VLOOKUP(Proc[[#This Row],[Author]],Table4[],2,0))</f>
        <v>HC</v>
      </c>
      <c r="L3199" s="125" t="s">
        <v>4894</v>
      </c>
      <c r="M3199" s="113">
        <v>45873</v>
      </c>
      <c r="N3199" s="113"/>
      <c r="O3199" s="113"/>
      <c r="P3199" s="115" t="str">
        <f ca="1">IF(Proc[[#This Row],[DaysAgeing]]&gt;5,"yep","on track")</f>
        <v>yep</v>
      </c>
      <c r="Q3199" s="3">
        <f ca="1">IF(Proc[[#This Row],[DateClosed]]="",ABS(NETWORKDAYS(Proc[[#This Row],[DateOpened]],TODAY()))-1,ABS(NETWORKDAYS(Proc[[#This Row],[DateOpened]],Proc[[#This Row],[DateClosed]]))-1)</f>
        <v>99</v>
      </c>
      <c r="R3199" s="115" t="s">
        <v>1013</v>
      </c>
      <c r="S3199" s="125"/>
    </row>
    <row r="3200" spans="1:19" hidden="1">
      <c r="A3200" s="124" t="s">
        <v>5258</v>
      </c>
      <c r="B3200" s="149" t="str">
        <f>IFERROR(VLOOKUP(Proc[[#This Row],[App]],Table2[],3,0),"open")</f>
        <v>ok</v>
      </c>
      <c r="C3200" s="124" t="s">
        <v>369</v>
      </c>
      <c r="D3200" t="s">
        <v>5219</v>
      </c>
      <c r="E3200" t="s">
        <v>4068</v>
      </c>
      <c r="F3200" s="125" t="s">
        <v>4068</v>
      </c>
      <c r="G3200" s="124" t="s">
        <v>400</v>
      </c>
      <c r="H3200" s="125" t="str">
        <f>IF(Proc[[#This Row],[type]]="LFF (MDG-F)",MID(Proc[[#This Row],[Obj]],13,10),"")</f>
        <v/>
      </c>
      <c r="J3200" s="125" t="b">
        <f>Proc[[#This Row],[Requested]]=Proc[[#This Row],[CurrentParent]]</f>
        <v>1</v>
      </c>
      <c r="K3200" s="144" t="str">
        <f>IF(Proc[[#This Row],[Author]]="Marcela Urrego",VLOOKUP(LEFT(Proc[[#This Row],[Requested]],1),Table3[#All],2,0),VLOOKUP(Proc[[#This Row],[Author]],Table4[],2,0))</f>
        <v>HC</v>
      </c>
      <c r="L3200" s="125" t="s">
        <v>4894</v>
      </c>
      <c r="M3200" s="113">
        <v>45873</v>
      </c>
      <c r="N3200" s="113"/>
      <c r="O3200" s="113"/>
      <c r="P3200" s="115" t="str">
        <f ca="1">IF(Proc[[#This Row],[DaysAgeing]]&gt;5,"yep","on track")</f>
        <v>yep</v>
      </c>
      <c r="Q3200" s="3">
        <f ca="1">IF(Proc[[#This Row],[DateClosed]]="",ABS(NETWORKDAYS(Proc[[#This Row],[DateOpened]],TODAY()))-1,ABS(NETWORKDAYS(Proc[[#This Row],[DateOpened]],Proc[[#This Row],[DateClosed]]))-1)</f>
        <v>99</v>
      </c>
      <c r="R3200" s="115" t="s">
        <v>1013</v>
      </c>
      <c r="S3200" s="125"/>
    </row>
    <row r="3201" spans="1:19" hidden="1">
      <c r="A3201" s="124" t="s">
        <v>5258</v>
      </c>
      <c r="B3201" s="149" t="str">
        <f>IFERROR(VLOOKUP(Proc[[#This Row],[App]],Table2[],3,0),"open")</f>
        <v>ok</v>
      </c>
      <c r="C3201" s="124" t="s">
        <v>369</v>
      </c>
      <c r="D3201" t="s">
        <v>5220</v>
      </c>
      <c r="E3201" t="s">
        <v>4068</v>
      </c>
      <c r="F3201" s="125" t="s">
        <v>4068</v>
      </c>
      <c r="G3201" s="124" t="s">
        <v>400</v>
      </c>
      <c r="H3201" s="125" t="str">
        <f>IF(Proc[[#This Row],[type]]="LFF (MDG-F)",MID(Proc[[#This Row],[Obj]],13,10),"")</f>
        <v/>
      </c>
      <c r="J3201" s="125" t="b">
        <f>Proc[[#This Row],[Requested]]=Proc[[#This Row],[CurrentParent]]</f>
        <v>1</v>
      </c>
      <c r="K3201" s="144" t="str">
        <f>IF(Proc[[#This Row],[Author]]="Marcela Urrego",VLOOKUP(LEFT(Proc[[#This Row],[Requested]],1),Table3[#All],2,0),VLOOKUP(Proc[[#This Row],[Author]],Table4[],2,0))</f>
        <v>HC</v>
      </c>
      <c r="L3201" s="125" t="s">
        <v>4894</v>
      </c>
      <c r="M3201" s="113">
        <v>45873</v>
      </c>
      <c r="N3201" s="113"/>
      <c r="O3201" s="113"/>
      <c r="P3201" s="115" t="str">
        <f ca="1">IF(Proc[[#This Row],[DaysAgeing]]&gt;5,"yep","on track")</f>
        <v>yep</v>
      </c>
      <c r="Q3201" s="3">
        <f ca="1">IF(Proc[[#This Row],[DateClosed]]="",ABS(NETWORKDAYS(Proc[[#This Row],[DateOpened]],TODAY()))-1,ABS(NETWORKDAYS(Proc[[#This Row],[DateOpened]],Proc[[#This Row],[DateClosed]]))-1)</f>
        <v>99</v>
      </c>
      <c r="R3201" s="115" t="s">
        <v>1013</v>
      </c>
      <c r="S3201" s="125"/>
    </row>
    <row r="3202" spans="1:19" hidden="1">
      <c r="A3202" s="124" t="s">
        <v>5258</v>
      </c>
      <c r="B3202" s="149" t="str">
        <f>IFERROR(VLOOKUP(Proc[[#This Row],[App]],Table2[],3,0),"open")</f>
        <v>ok</v>
      </c>
      <c r="C3202" s="124" t="s">
        <v>369</v>
      </c>
      <c r="D3202" t="s">
        <v>5221</v>
      </c>
      <c r="E3202" t="s">
        <v>4068</v>
      </c>
      <c r="F3202" s="125" t="s">
        <v>4068</v>
      </c>
      <c r="G3202" s="124" t="s">
        <v>400</v>
      </c>
      <c r="H3202" s="125" t="str">
        <f>IF(Proc[[#This Row],[type]]="LFF (MDG-F)",MID(Proc[[#This Row],[Obj]],13,10),"")</f>
        <v/>
      </c>
      <c r="J3202" s="125" t="b">
        <f>Proc[[#This Row],[Requested]]=Proc[[#This Row],[CurrentParent]]</f>
        <v>1</v>
      </c>
      <c r="K3202" s="144" t="str">
        <f>IF(Proc[[#This Row],[Author]]="Marcela Urrego",VLOOKUP(LEFT(Proc[[#This Row],[Requested]],1),Table3[#All],2,0),VLOOKUP(Proc[[#This Row],[Author]],Table4[],2,0))</f>
        <v>HC</v>
      </c>
      <c r="L3202" s="125" t="s">
        <v>4894</v>
      </c>
      <c r="M3202" s="113">
        <v>45873</v>
      </c>
      <c r="N3202" s="113"/>
      <c r="O3202" s="113"/>
      <c r="P3202" s="115" t="str">
        <f ca="1">IF(Proc[[#This Row],[DaysAgeing]]&gt;5,"yep","on track")</f>
        <v>yep</v>
      </c>
      <c r="Q3202" s="3">
        <f ca="1">IF(Proc[[#This Row],[DateClosed]]="",ABS(NETWORKDAYS(Proc[[#This Row],[DateOpened]],TODAY()))-1,ABS(NETWORKDAYS(Proc[[#This Row],[DateOpened]],Proc[[#This Row],[DateClosed]]))-1)</f>
        <v>99</v>
      </c>
      <c r="R3202" s="115" t="s">
        <v>1013</v>
      </c>
      <c r="S3202" s="125"/>
    </row>
    <row r="3203" spans="1:19" hidden="1">
      <c r="A3203" s="124" t="s">
        <v>5258</v>
      </c>
      <c r="B3203" s="149" t="str">
        <f>IFERROR(VLOOKUP(Proc[[#This Row],[App]],Table2[],3,0),"open")</f>
        <v>ok</v>
      </c>
      <c r="C3203" s="124" t="s">
        <v>369</v>
      </c>
      <c r="D3203" t="s">
        <v>5222</v>
      </c>
      <c r="E3203" t="s">
        <v>4068</v>
      </c>
      <c r="F3203" s="125" t="s">
        <v>4068</v>
      </c>
      <c r="G3203" s="124" t="s">
        <v>400</v>
      </c>
      <c r="H3203" s="125" t="str">
        <f>IF(Proc[[#This Row],[type]]="LFF (MDG-F)",MID(Proc[[#This Row],[Obj]],13,10),"")</f>
        <v/>
      </c>
      <c r="J3203" s="125" t="b">
        <f>Proc[[#This Row],[Requested]]=Proc[[#This Row],[CurrentParent]]</f>
        <v>1</v>
      </c>
      <c r="K3203" s="144" t="str">
        <f>IF(Proc[[#This Row],[Author]]="Marcela Urrego",VLOOKUP(LEFT(Proc[[#This Row],[Requested]],1),Table3[#All],2,0),VLOOKUP(Proc[[#This Row],[Author]],Table4[],2,0))</f>
        <v>HC</v>
      </c>
      <c r="L3203" s="125" t="s">
        <v>4894</v>
      </c>
      <c r="M3203" s="113">
        <v>45873</v>
      </c>
      <c r="N3203" s="113"/>
      <c r="O3203" s="113"/>
      <c r="P3203" s="115" t="str">
        <f ca="1">IF(Proc[[#This Row],[DaysAgeing]]&gt;5,"yep","on track")</f>
        <v>yep</v>
      </c>
      <c r="Q3203" s="3">
        <f ca="1">IF(Proc[[#This Row],[DateClosed]]="",ABS(NETWORKDAYS(Proc[[#This Row],[DateOpened]],TODAY()))-1,ABS(NETWORKDAYS(Proc[[#This Row],[DateOpened]],Proc[[#This Row],[DateClosed]]))-1)</f>
        <v>99</v>
      </c>
      <c r="R3203" s="115" t="s">
        <v>1013</v>
      </c>
      <c r="S3203" s="125"/>
    </row>
    <row r="3204" spans="1:19" hidden="1">
      <c r="A3204" s="124" t="s">
        <v>5258</v>
      </c>
      <c r="B3204" s="149" t="str">
        <f>IFERROR(VLOOKUP(Proc[[#This Row],[App]],Table2[],3,0),"open")</f>
        <v>ok</v>
      </c>
      <c r="C3204" s="124" t="s">
        <v>369</v>
      </c>
      <c r="D3204" t="s">
        <v>5223</v>
      </c>
      <c r="E3204" t="s">
        <v>4068</v>
      </c>
      <c r="F3204" s="125" t="s">
        <v>4068</v>
      </c>
      <c r="G3204" s="124" t="s">
        <v>400</v>
      </c>
      <c r="H3204" s="125" t="str">
        <f>IF(Proc[[#This Row],[type]]="LFF (MDG-F)",MID(Proc[[#This Row],[Obj]],13,10),"")</f>
        <v/>
      </c>
      <c r="J3204" s="125" t="b">
        <f>Proc[[#This Row],[Requested]]=Proc[[#This Row],[CurrentParent]]</f>
        <v>1</v>
      </c>
      <c r="K3204" s="144" t="str">
        <f>IF(Proc[[#This Row],[Author]]="Marcela Urrego",VLOOKUP(LEFT(Proc[[#This Row],[Requested]],1),Table3[#All],2,0),VLOOKUP(Proc[[#This Row],[Author]],Table4[],2,0))</f>
        <v>HC</v>
      </c>
      <c r="L3204" s="125" t="s">
        <v>4894</v>
      </c>
      <c r="M3204" s="113">
        <v>45873</v>
      </c>
      <c r="N3204" s="113"/>
      <c r="O3204" s="113"/>
      <c r="P3204" s="115" t="str">
        <f ca="1">IF(Proc[[#This Row],[DaysAgeing]]&gt;5,"yep","on track")</f>
        <v>yep</v>
      </c>
      <c r="Q3204" s="3">
        <f ca="1">IF(Proc[[#This Row],[DateClosed]]="",ABS(NETWORKDAYS(Proc[[#This Row],[DateOpened]],TODAY()))-1,ABS(NETWORKDAYS(Proc[[#This Row],[DateOpened]],Proc[[#This Row],[DateClosed]]))-1)</f>
        <v>99</v>
      </c>
      <c r="R3204" s="115" t="s">
        <v>1013</v>
      </c>
      <c r="S3204" s="125"/>
    </row>
    <row r="3205" spans="1:19" hidden="1">
      <c r="A3205" s="124" t="s">
        <v>5258</v>
      </c>
      <c r="B3205" s="149" t="str">
        <f>IFERROR(VLOOKUP(Proc[[#This Row],[App]],Table2[],3,0),"open")</f>
        <v>ok</v>
      </c>
      <c r="C3205" s="124" t="s">
        <v>369</v>
      </c>
      <c r="D3205" t="s">
        <v>5224</v>
      </c>
      <c r="E3205" t="s">
        <v>4068</v>
      </c>
      <c r="F3205" s="125" t="s">
        <v>4068</v>
      </c>
      <c r="G3205" s="124" t="s">
        <v>400</v>
      </c>
      <c r="H3205" s="125" t="str">
        <f>IF(Proc[[#This Row],[type]]="LFF (MDG-F)",MID(Proc[[#This Row],[Obj]],13,10),"")</f>
        <v/>
      </c>
      <c r="J3205" s="125" t="b">
        <f>Proc[[#This Row],[Requested]]=Proc[[#This Row],[CurrentParent]]</f>
        <v>1</v>
      </c>
      <c r="K3205" s="144" t="str">
        <f>IF(Proc[[#This Row],[Author]]="Marcela Urrego",VLOOKUP(LEFT(Proc[[#This Row],[Requested]],1),Table3[#All],2,0),VLOOKUP(Proc[[#This Row],[Author]],Table4[],2,0))</f>
        <v>HC</v>
      </c>
      <c r="L3205" s="125" t="s">
        <v>4894</v>
      </c>
      <c r="M3205" s="113">
        <v>45873</v>
      </c>
      <c r="N3205" s="113"/>
      <c r="O3205" s="113"/>
      <c r="P3205" s="115" t="str">
        <f ca="1">IF(Proc[[#This Row],[DaysAgeing]]&gt;5,"yep","on track")</f>
        <v>yep</v>
      </c>
      <c r="Q3205" s="3">
        <f ca="1">IF(Proc[[#This Row],[DateClosed]]="",ABS(NETWORKDAYS(Proc[[#This Row],[DateOpened]],TODAY()))-1,ABS(NETWORKDAYS(Proc[[#This Row],[DateOpened]],Proc[[#This Row],[DateClosed]]))-1)</f>
        <v>99</v>
      </c>
      <c r="R3205" s="115" t="s">
        <v>1013</v>
      </c>
      <c r="S3205" s="125"/>
    </row>
    <row r="3206" spans="1:19" hidden="1">
      <c r="A3206" s="124" t="s">
        <v>5258</v>
      </c>
      <c r="B3206" s="149" t="str">
        <f>IFERROR(VLOOKUP(Proc[[#This Row],[App]],Table2[],3,0),"open")</f>
        <v>ok</v>
      </c>
      <c r="C3206" s="124" t="s">
        <v>369</v>
      </c>
      <c r="D3206" t="s">
        <v>5225</v>
      </c>
      <c r="E3206" t="s">
        <v>4068</v>
      </c>
      <c r="F3206" s="125" t="s">
        <v>4068</v>
      </c>
      <c r="G3206" s="124" t="s">
        <v>400</v>
      </c>
      <c r="H3206" s="125" t="str">
        <f>IF(Proc[[#This Row],[type]]="LFF (MDG-F)",MID(Proc[[#This Row],[Obj]],13,10),"")</f>
        <v/>
      </c>
      <c r="J3206" s="125" t="b">
        <f>Proc[[#This Row],[Requested]]=Proc[[#This Row],[CurrentParent]]</f>
        <v>1</v>
      </c>
      <c r="K3206" s="144" t="str">
        <f>IF(Proc[[#This Row],[Author]]="Marcela Urrego",VLOOKUP(LEFT(Proc[[#This Row],[Requested]],1),Table3[#All],2,0),VLOOKUP(Proc[[#This Row],[Author]],Table4[],2,0))</f>
        <v>HC</v>
      </c>
      <c r="L3206" s="125" t="s">
        <v>4894</v>
      </c>
      <c r="M3206" s="113">
        <v>45873</v>
      </c>
      <c r="N3206" s="113"/>
      <c r="O3206" s="113"/>
      <c r="P3206" s="115" t="str">
        <f ca="1">IF(Proc[[#This Row],[DaysAgeing]]&gt;5,"yep","on track")</f>
        <v>yep</v>
      </c>
      <c r="Q3206" s="3">
        <f ca="1">IF(Proc[[#This Row],[DateClosed]]="",ABS(NETWORKDAYS(Proc[[#This Row],[DateOpened]],TODAY()))-1,ABS(NETWORKDAYS(Proc[[#This Row],[DateOpened]],Proc[[#This Row],[DateClosed]]))-1)</f>
        <v>99</v>
      </c>
      <c r="R3206" s="115" t="s">
        <v>1013</v>
      </c>
      <c r="S3206" s="125"/>
    </row>
    <row r="3207" spans="1:19" hidden="1">
      <c r="A3207" s="124" t="s">
        <v>5258</v>
      </c>
      <c r="B3207" s="149" t="str">
        <f>IFERROR(VLOOKUP(Proc[[#This Row],[App]],Table2[],3,0),"open")</f>
        <v>ok</v>
      </c>
      <c r="C3207" s="124" t="s">
        <v>369</v>
      </c>
      <c r="D3207" t="s">
        <v>5226</v>
      </c>
      <c r="E3207" t="s">
        <v>4068</v>
      </c>
      <c r="F3207" s="125" t="s">
        <v>4068</v>
      </c>
      <c r="G3207" s="124" t="s">
        <v>400</v>
      </c>
      <c r="H3207" s="125" t="str">
        <f>IF(Proc[[#This Row],[type]]="LFF (MDG-F)",MID(Proc[[#This Row],[Obj]],13,10),"")</f>
        <v/>
      </c>
      <c r="J3207" s="125" t="b">
        <f>Proc[[#This Row],[Requested]]=Proc[[#This Row],[CurrentParent]]</f>
        <v>1</v>
      </c>
      <c r="K3207" s="144" t="str">
        <f>IF(Proc[[#This Row],[Author]]="Marcela Urrego",VLOOKUP(LEFT(Proc[[#This Row],[Requested]],1),Table3[#All],2,0),VLOOKUP(Proc[[#This Row],[Author]],Table4[],2,0))</f>
        <v>HC</v>
      </c>
      <c r="L3207" s="125" t="s">
        <v>4894</v>
      </c>
      <c r="M3207" s="113">
        <v>45873</v>
      </c>
      <c r="N3207" s="113"/>
      <c r="O3207" s="113"/>
      <c r="P3207" s="115" t="str">
        <f ca="1">IF(Proc[[#This Row],[DaysAgeing]]&gt;5,"yep","on track")</f>
        <v>yep</v>
      </c>
      <c r="Q3207" s="3">
        <f ca="1">IF(Proc[[#This Row],[DateClosed]]="",ABS(NETWORKDAYS(Proc[[#This Row],[DateOpened]],TODAY()))-1,ABS(NETWORKDAYS(Proc[[#This Row],[DateOpened]],Proc[[#This Row],[DateClosed]]))-1)</f>
        <v>99</v>
      </c>
      <c r="R3207" s="115" t="s">
        <v>1013</v>
      </c>
      <c r="S3207" s="125"/>
    </row>
    <row r="3208" spans="1:19" hidden="1">
      <c r="A3208" s="124" t="s">
        <v>5258</v>
      </c>
      <c r="B3208" s="149" t="str">
        <f>IFERROR(VLOOKUP(Proc[[#This Row],[App]],Table2[],3,0),"open")</f>
        <v>ok</v>
      </c>
      <c r="C3208" s="124" t="s">
        <v>369</v>
      </c>
      <c r="D3208" t="s">
        <v>5227</v>
      </c>
      <c r="E3208" t="s">
        <v>5253</v>
      </c>
      <c r="F3208" s="125" t="s">
        <v>5253</v>
      </c>
      <c r="G3208" s="124" t="s">
        <v>400</v>
      </c>
      <c r="H3208" s="125" t="str">
        <f>IF(Proc[[#This Row],[type]]="LFF (MDG-F)",MID(Proc[[#This Row],[Obj]],13,10),"")</f>
        <v/>
      </c>
      <c r="J3208" s="125" t="b">
        <f>Proc[[#This Row],[Requested]]=Proc[[#This Row],[CurrentParent]]</f>
        <v>1</v>
      </c>
      <c r="K3208" s="144" t="str">
        <f>IF(Proc[[#This Row],[Author]]="Marcela Urrego",VLOOKUP(LEFT(Proc[[#This Row],[Requested]],1),Table3[#All],2,0),VLOOKUP(Proc[[#This Row],[Author]],Table4[],2,0))</f>
        <v>HC</v>
      </c>
      <c r="L3208" s="125" t="s">
        <v>4894</v>
      </c>
      <c r="M3208" s="113">
        <v>45873</v>
      </c>
      <c r="N3208" s="113"/>
      <c r="O3208" s="113"/>
      <c r="P3208" s="115" t="str">
        <f ca="1">IF(Proc[[#This Row],[DaysAgeing]]&gt;5,"yep","on track")</f>
        <v>yep</v>
      </c>
      <c r="Q3208" s="3">
        <f ca="1">IF(Proc[[#This Row],[DateClosed]]="",ABS(NETWORKDAYS(Proc[[#This Row],[DateOpened]],TODAY()))-1,ABS(NETWORKDAYS(Proc[[#This Row],[DateOpened]],Proc[[#This Row],[DateClosed]]))-1)</f>
        <v>99</v>
      </c>
      <c r="R3208" s="115" t="s">
        <v>1013</v>
      </c>
      <c r="S3208" s="125"/>
    </row>
    <row r="3209" spans="1:19" hidden="1">
      <c r="A3209" s="124" t="s">
        <v>5258</v>
      </c>
      <c r="B3209" s="149" t="str">
        <f>IFERROR(VLOOKUP(Proc[[#This Row],[App]],Table2[],3,0),"open")</f>
        <v>ok</v>
      </c>
      <c r="C3209" s="124" t="s">
        <v>369</v>
      </c>
      <c r="D3209" t="s">
        <v>5228</v>
      </c>
      <c r="E3209" t="s">
        <v>5253</v>
      </c>
      <c r="F3209" s="125" t="s">
        <v>5253</v>
      </c>
      <c r="G3209" s="124" t="s">
        <v>400</v>
      </c>
      <c r="H3209" s="125" t="str">
        <f>IF(Proc[[#This Row],[type]]="LFF (MDG-F)",MID(Proc[[#This Row],[Obj]],13,10),"")</f>
        <v/>
      </c>
      <c r="J3209" s="125" t="b">
        <f>Proc[[#This Row],[Requested]]=Proc[[#This Row],[CurrentParent]]</f>
        <v>1</v>
      </c>
      <c r="K3209" s="144" t="str">
        <f>IF(Proc[[#This Row],[Author]]="Marcela Urrego",VLOOKUP(LEFT(Proc[[#This Row],[Requested]],1),Table3[#All],2,0),VLOOKUP(Proc[[#This Row],[Author]],Table4[],2,0))</f>
        <v>HC</v>
      </c>
      <c r="L3209" s="125" t="s">
        <v>4894</v>
      </c>
      <c r="M3209" s="113">
        <v>45873</v>
      </c>
      <c r="N3209" s="113"/>
      <c r="O3209" s="113"/>
      <c r="P3209" s="115" t="str">
        <f ca="1">IF(Proc[[#This Row],[DaysAgeing]]&gt;5,"yep","on track")</f>
        <v>yep</v>
      </c>
      <c r="Q3209" s="3">
        <f ca="1">IF(Proc[[#This Row],[DateClosed]]="",ABS(NETWORKDAYS(Proc[[#This Row],[DateOpened]],TODAY()))-1,ABS(NETWORKDAYS(Proc[[#This Row],[DateOpened]],Proc[[#This Row],[DateClosed]]))-1)</f>
        <v>99</v>
      </c>
      <c r="R3209" s="115" t="s">
        <v>1013</v>
      </c>
      <c r="S3209" s="125"/>
    </row>
    <row r="3210" spans="1:19" hidden="1">
      <c r="A3210" s="124" t="s">
        <v>5258</v>
      </c>
      <c r="B3210" s="149" t="str">
        <f>IFERROR(VLOOKUP(Proc[[#This Row],[App]],Table2[],3,0),"open")</f>
        <v>ok</v>
      </c>
      <c r="C3210" s="124" t="s">
        <v>369</v>
      </c>
      <c r="D3210" t="s">
        <v>5229</v>
      </c>
      <c r="E3210" t="s">
        <v>5253</v>
      </c>
      <c r="F3210" s="125" t="s">
        <v>5253</v>
      </c>
      <c r="G3210" s="124" t="s">
        <v>400</v>
      </c>
      <c r="H3210" s="125" t="str">
        <f>IF(Proc[[#This Row],[type]]="LFF (MDG-F)",MID(Proc[[#This Row],[Obj]],13,10),"")</f>
        <v/>
      </c>
      <c r="J3210" s="125" t="b">
        <f>Proc[[#This Row],[Requested]]=Proc[[#This Row],[CurrentParent]]</f>
        <v>1</v>
      </c>
      <c r="K3210" s="144" t="str">
        <f>IF(Proc[[#This Row],[Author]]="Marcela Urrego",VLOOKUP(LEFT(Proc[[#This Row],[Requested]],1),Table3[#All],2,0),VLOOKUP(Proc[[#This Row],[Author]],Table4[],2,0))</f>
        <v>HC</v>
      </c>
      <c r="L3210" s="125" t="s">
        <v>4894</v>
      </c>
      <c r="M3210" s="113">
        <v>45873</v>
      </c>
      <c r="N3210" s="113"/>
      <c r="O3210" s="113"/>
      <c r="P3210" s="115" t="str">
        <f ca="1">IF(Proc[[#This Row],[DaysAgeing]]&gt;5,"yep","on track")</f>
        <v>yep</v>
      </c>
      <c r="Q3210" s="3">
        <f ca="1">IF(Proc[[#This Row],[DateClosed]]="",ABS(NETWORKDAYS(Proc[[#This Row],[DateOpened]],TODAY()))-1,ABS(NETWORKDAYS(Proc[[#This Row],[DateOpened]],Proc[[#This Row],[DateClosed]]))-1)</f>
        <v>99</v>
      </c>
      <c r="R3210" s="115" t="s">
        <v>1013</v>
      </c>
      <c r="S3210" s="125"/>
    </row>
    <row r="3211" spans="1:19" hidden="1">
      <c r="A3211" s="124" t="s">
        <v>5258</v>
      </c>
      <c r="B3211" s="149" t="str">
        <f>IFERROR(VLOOKUP(Proc[[#This Row],[App]],Table2[],3,0),"open")</f>
        <v>ok</v>
      </c>
      <c r="C3211" s="124" t="s">
        <v>369</v>
      </c>
      <c r="D3211" t="s">
        <v>5230</v>
      </c>
      <c r="E3211" t="s">
        <v>3740</v>
      </c>
      <c r="F3211" s="125" t="s">
        <v>3740</v>
      </c>
      <c r="G3211" s="124" t="s">
        <v>400</v>
      </c>
      <c r="H3211" s="125" t="str">
        <f>IF(Proc[[#This Row],[type]]="LFF (MDG-F)",MID(Proc[[#This Row],[Obj]],13,10),"")</f>
        <v/>
      </c>
      <c r="J3211" s="125" t="b">
        <f>Proc[[#This Row],[Requested]]=Proc[[#This Row],[CurrentParent]]</f>
        <v>1</v>
      </c>
      <c r="K3211" s="144" t="str">
        <f>IF(Proc[[#This Row],[Author]]="Marcela Urrego",VLOOKUP(LEFT(Proc[[#This Row],[Requested]],1),Table3[#All],2,0),VLOOKUP(Proc[[#This Row],[Author]],Table4[],2,0))</f>
        <v>HC</v>
      </c>
      <c r="L3211" s="125" t="s">
        <v>4894</v>
      </c>
      <c r="M3211" s="113">
        <v>45873</v>
      </c>
      <c r="N3211" s="113"/>
      <c r="O3211" s="113"/>
      <c r="P3211" s="115" t="str">
        <f ca="1">IF(Proc[[#This Row],[DaysAgeing]]&gt;5,"yep","on track")</f>
        <v>yep</v>
      </c>
      <c r="Q3211" s="3">
        <f ca="1">IF(Proc[[#This Row],[DateClosed]]="",ABS(NETWORKDAYS(Proc[[#This Row],[DateOpened]],TODAY()))-1,ABS(NETWORKDAYS(Proc[[#This Row],[DateOpened]],Proc[[#This Row],[DateClosed]]))-1)</f>
        <v>99</v>
      </c>
      <c r="R3211" s="115" t="s">
        <v>1013</v>
      </c>
      <c r="S3211" s="125"/>
    </row>
    <row r="3212" spans="1:19" hidden="1">
      <c r="A3212" s="124" t="s">
        <v>5258</v>
      </c>
      <c r="B3212" s="149" t="str">
        <f>IFERROR(VLOOKUP(Proc[[#This Row],[App]],Table2[],3,0),"open")</f>
        <v>ok</v>
      </c>
      <c r="C3212" s="124" t="s">
        <v>369</v>
      </c>
      <c r="D3212" t="s">
        <v>5231</v>
      </c>
      <c r="E3212" t="s">
        <v>5253</v>
      </c>
      <c r="F3212" s="125" t="s">
        <v>5253</v>
      </c>
      <c r="G3212" s="124" t="s">
        <v>400</v>
      </c>
      <c r="H3212" s="125" t="str">
        <f>IF(Proc[[#This Row],[type]]="LFF (MDG-F)",MID(Proc[[#This Row],[Obj]],13,10),"")</f>
        <v/>
      </c>
      <c r="J3212" s="125" t="b">
        <f>Proc[[#This Row],[Requested]]=Proc[[#This Row],[CurrentParent]]</f>
        <v>1</v>
      </c>
      <c r="K3212" s="144" t="str">
        <f>IF(Proc[[#This Row],[Author]]="Marcela Urrego",VLOOKUP(LEFT(Proc[[#This Row],[Requested]],1),Table3[#All],2,0),VLOOKUP(Proc[[#This Row],[Author]],Table4[],2,0))</f>
        <v>HC</v>
      </c>
      <c r="L3212" s="125" t="s">
        <v>4894</v>
      </c>
      <c r="M3212" s="113">
        <v>45873</v>
      </c>
      <c r="N3212" s="113"/>
      <c r="O3212" s="113"/>
      <c r="P3212" s="115" t="str">
        <f ca="1">IF(Proc[[#This Row],[DaysAgeing]]&gt;5,"yep","on track")</f>
        <v>yep</v>
      </c>
      <c r="Q3212" s="3">
        <f ca="1">IF(Proc[[#This Row],[DateClosed]]="",ABS(NETWORKDAYS(Proc[[#This Row],[DateOpened]],TODAY()))-1,ABS(NETWORKDAYS(Proc[[#This Row],[DateOpened]],Proc[[#This Row],[DateClosed]]))-1)</f>
        <v>99</v>
      </c>
      <c r="R3212" s="115" t="s">
        <v>1013</v>
      </c>
      <c r="S3212" s="125"/>
    </row>
    <row r="3213" spans="1:19" hidden="1">
      <c r="A3213" s="124" t="s">
        <v>5258</v>
      </c>
      <c r="B3213" s="149" t="str">
        <f>IFERROR(VLOOKUP(Proc[[#This Row],[App]],Table2[],3,0),"open")</f>
        <v>ok</v>
      </c>
      <c r="C3213" s="124" t="s">
        <v>369</v>
      </c>
      <c r="D3213" t="s">
        <v>5232</v>
      </c>
      <c r="E3213" t="s">
        <v>5254</v>
      </c>
      <c r="F3213" s="125" t="s">
        <v>5254</v>
      </c>
      <c r="G3213" s="124" t="s">
        <v>400</v>
      </c>
      <c r="H3213" s="125" t="str">
        <f>IF(Proc[[#This Row],[type]]="LFF (MDG-F)",MID(Proc[[#This Row],[Obj]],13,10),"")</f>
        <v/>
      </c>
      <c r="J3213" s="125" t="b">
        <f>Proc[[#This Row],[Requested]]=Proc[[#This Row],[CurrentParent]]</f>
        <v>1</v>
      </c>
      <c r="K3213" s="144" t="str">
        <f>IF(Proc[[#This Row],[Author]]="Marcela Urrego",VLOOKUP(LEFT(Proc[[#This Row],[Requested]],1),Table3[#All],2,0),VLOOKUP(Proc[[#This Row],[Author]],Table4[],2,0))</f>
        <v>HC</v>
      </c>
      <c r="L3213" s="125" t="s">
        <v>4894</v>
      </c>
      <c r="M3213" s="113">
        <v>45873</v>
      </c>
      <c r="N3213" s="113"/>
      <c r="O3213" s="113"/>
      <c r="P3213" s="115" t="str">
        <f ca="1">IF(Proc[[#This Row],[DaysAgeing]]&gt;5,"yep","on track")</f>
        <v>yep</v>
      </c>
      <c r="Q3213" s="3">
        <f ca="1">IF(Proc[[#This Row],[DateClosed]]="",ABS(NETWORKDAYS(Proc[[#This Row],[DateOpened]],TODAY()))-1,ABS(NETWORKDAYS(Proc[[#This Row],[DateOpened]],Proc[[#This Row],[DateClosed]]))-1)</f>
        <v>99</v>
      </c>
      <c r="R3213" s="115" t="s">
        <v>1013</v>
      </c>
      <c r="S3213" s="125"/>
    </row>
    <row r="3214" spans="1:19" hidden="1">
      <c r="A3214" s="124" t="s">
        <v>5258</v>
      </c>
      <c r="B3214" s="149" t="str">
        <f>IFERROR(VLOOKUP(Proc[[#This Row],[App]],Table2[],3,0),"open")</f>
        <v>ok</v>
      </c>
      <c r="C3214" s="124" t="s">
        <v>369</v>
      </c>
      <c r="D3214" t="s">
        <v>5233</v>
      </c>
      <c r="E3214" t="s">
        <v>5255</v>
      </c>
      <c r="F3214" s="125" t="s">
        <v>5255</v>
      </c>
      <c r="G3214" s="124" t="s">
        <v>400</v>
      </c>
      <c r="H3214" s="125" t="str">
        <f>IF(Proc[[#This Row],[type]]="LFF (MDG-F)",MID(Proc[[#This Row],[Obj]],13,10),"")</f>
        <v/>
      </c>
      <c r="J3214" s="125" t="b">
        <f>Proc[[#This Row],[Requested]]=Proc[[#This Row],[CurrentParent]]</f>
        <v>1</v>
      </c>
      <c r="K3214" s="144" t="str">
        <f>IF(Proc[[#This Row],[Author]]="Marcela Urrego",VLOOKUP(LEFT(Proc[[#This Row],[Requested]],1),Table3[#All],2,0),VLOOKUP(Proc[[#This Row],[Author]],Table4[],2,0))</f>
        <v>HC</v>
      </c>
      <c r="L3214" s="125" t="s">
        <v>4894</v>
      </c>
      <c r="M3214" s="113">
        <v>45873</v>
      </c>
      <c r="N3214" s="113"/>
      <c r="O3214" s="113"/>
      <c r="P3214" s="115" t="str">
        <f ca="1">IF(Proc[[#This Row],[DaysAgeing]]&gt;5,"yep","on track")</f>
        <v>yep</v>
      </c>
      <c r="Q3214" s="3">
        <f ca="1">IF(Proc[[#This Row],[DateClosed]]="",ABS(NETWORKDAYS(Proc[[#This Row],[DateOpened]],TODAY()))-1,ABS(NETWORKDAYS(Proc[[#This Row],[DateOpened]],Proc[[#This Row],[DateClosed]]))-1)</f>
        <v>99</v>
      </c>
      <c r="R3214" s="115" t="s">
        <v>1013</v>
      </c>
      <c r="S3214" s="125"/>
    </row>
    <row r="3215" spans="1:19" hidden="1">
      <c r="A3215" s="124" t="s">
        <v>5258</v>
      </c>
      <c r="B3215" s="149" t="str">
        <f>IFERROR(VLOOKUP(Proc[[#This Row],[App]],Table2[],3,0),"open")</f>
        <v>ok</v>
      </c>
      <c r="C3215" s="124" t="s">
        <v>369</v>
      </c>
      <c r="D3215" t="s">
        <v>5234</v>
      </c>
      <c r="E3215" t="s">
        <v>5255</v>
      </c>
      <c r="F3215" s="125" t="s">
        <v>5255</v>
      </c>
      <c r="G3215" s="124" t="s">
        <v>400</v>
      </c>
      <c r="H3215" s="125" t="str">
        <f>IF(Proc[[#This Row],[type]]="LFF (MDG-F)",MID(Proc[[#This Row],[Obj]],13,10),"")</f>
        <v/>
      </c>
      <c r="J3215" s="125" t="b">
        <f>Proc[[#This Row],[Requested]]=Proc[[#This Row],[CurrentParent]]</f>
        <v>1</v>
      </c>
      <c r="K3215" s="144" t="str">
        <f>IF(Proc[[#This Row],[Author]]="Marcela Urrego",VLOOKUP(LEFT(Proc[[#This Row],[Requested]],1),Table3[#All],2,0),VLOOKUP(Proc[[#This Row],[Author]],Table4[],2,0))</f>
        <v>HC</v>
      </c>
      <c r="L3215" s="125" t="s">
        <v>4894</v>
      </c>
      <c r="M3215" s="113">
        <v>45873</v>
      </c>
      <c r="N3215" s="113"/>
      <c r="O3215" s="113"/>
      <c r="P3215" s="115" t="str">
        <f ca="1">IF(Proc[[#This Row],[DaysAgeing]]&gt;5,"yep","on track")</f>
        <v>yep</v>
      </c>
      <c r="Q3215" s="3">
        <f ca="1">IF(Proc[[#This Row],[DateClosed]]="",ABS(NETWORKDAYS(Proc[[#This Row],[DateOpened]],TODAY()))-1,ABS(NETWORKDAYS(Proc[[#This Row],[DateOpened]],Proc[[#This Row],[DateClosed]]))-1)</f>
        <v>99</v>
      </c>
      <c r="R3215" s="115" t="s">
        <v>1013</v>
      </c>
      <c r="S3215" s="125"/>
    </row>
    <row r="3216" spans="1:19" hidden="1">
      <c r="A3216" s="124" t="s">
        <v>5258</v>
      </c>
      <c r="B3216" s="149" t="str">
        <f>IFERROR(VLOOKUP(Proc[[#This Row],[App]],Table2[],3,0),"open")</f>
        <v>ok</v>
      </c>
      <c r="C3216" s="124" t="s">
        <v>369</v>
      </c>
      <c r="D3216" t="s">
        <v>5235</v>
      </c>
      <c r="E3216" t="s">
        <v>5255</v>
      </c>
      <c r="F3216" s="125" t="s">
        <v>5255</v>
      </c>
      <c r="G3216" s="124" t="s">
        <v>400</v>
      </c>
      <c r="H3216" s="125" t="str">
        <f>IF(Proc[[#This Row],[type]]="LFF (MDG-F)",MID(Proc[[#This Row],[Obj]],13,10),"")</f>
        <v/>
      </c>
      <c r="J3216" s="125" t="b">
        <f>Proc[[#This Row],[Requested]]=Proc[[#This Row],[CurrentParent]]</f>
        <v>1</v>
      </c>
      <c r="K3216" s="144" t="str">
        <f>IF(Proc[[#This Row],[Author]]="Marcela Urrego",VLOOKUP(LEFT(Proc[[#This Row],[Requested]],1),Table3[#All],2,0),VLOOKUP(Proc[[#This Row],[Author]],Table4[],2,0))</f>
        <v>HC</v>
      </c>
      <c r="L3216" s="125" t="s">
        <v>4894</v>
      </c>
      <c r="M3216" s="113">
        <v>45873</v>
      </c>
      <c r="N3216" s="113"/>
      <c r="O3216" s="113"/>
      <c r="P3216" s="115" t="str">
        <f ca="1">IF(Proc[[#This Row],[DaysAgeing]]&gt;5,"yep","on track")</f>
        <v>yep</v>
      </c>
      <c r="Q3216" s="3">
        <f ca="1">IF(Proc[[#This Row],[DateClosed]]="",ABS(NETWORKDAYS(Proc[[#This Row],[DateOpened]],TODAY()))-1,ABS(NETWORKDAYS(Proc[[#This Row],[DateOpened]],Proc[[#This Row],[DateClosed]]))-1)</f>
        <v>99</v>
      </c>
      <c r="R3216" s="115" t="s">
        <v>1013</v>
      </c>
      <c r="S3216" s="125"/>
    </row>
    <row r="3217" spans="1:19" hidden="1">
      <c r="A3217" s="124" t="s">
        <v>5258</v>
      </c>
      <c r="B3217" s="149" t="str">
        <f>IFERROR(VLOOKUP(Proc[[#This Row],[App]],Table2[],3,0),"open")</f>
        <v>ok</v>
      </c>
      <c r="C3217" s="124" t="s">
        <v>369</v>
      </c>
      <c r="D3217" t="s">
        <v>5236</v>
      </c>
      <c r="E3217" t="s">
        <v>5256</v>
      </c>
      <c r="F3217" s="125" t="s">
        <v>5256</v>
      </c>
      <c r="G3217" s="124" t="s">
        <v>400</v>
      </c>
      <c r="H3217" s="125" t="str">
        <f>IF(Proc[[#This Row],[type]]="LFF (MDG-F)",MID(Proc[[#This Row],[Obj]],13,10),"")</f>
        <v/>
      </c>
      <c r="J3217" s="125" t="b">
        <f>Proc[[#This Row],[Requested]]=Proc[[#This Row],[CurrentParent]]</f>
        <v>1</v>
      </c>
      <c r="K3217" s="144" t="str">
        <f>IF(Proc[[#This Row],[Author]]="Marcela Urrego",VLOOKUP(LEFT(Proc[[#This Row],[Requested]],1),Table3[#All],2,0),VLOOKUP(Proc[[#This Row],[Author]],Table4[],2,0))</f>
        <v>HC</v>
      </c>
      <c r="L3217" s="125" t="s">
        <v>4894</v>
      </c>
      <c r="M3217" s="113">
        <v>45873</v>
      </c>
      <c r="N3217" s="113"/>
      <c r="O3217" s="113"/>
      <c r="P3217" s="115" t="str">
        <f ca="1">IF(Proc[[#This Row],[DaysAgeing]]&gt;5,"yep","on track")</f>
        <v>yep</v>
      </c>
      <c r="Q3217" s="3">
        <f ca="1">IF(Proc[[#This Row],[DateClosed]]="",ABS(NETWORKDAYS(Proc[[#This Row],[DateOpened]],TODAY()))-1,ABS(NETWORKDAYS(Proc[[#This Row],[DateOpened]],Proc[[#This Row],[DateClosed]]))-1)</f>
        <v>99</v>
      </c>
      <c r="R3217" s="115" t="s">
        <v>1013</v>
      </c>
      <c r="S3217" s="125"/>
    </row>
    <row r="3218" spans="1:19" hidden="1">
      <c r="A3218" s="124" t="s">
        <v>5258</v>
      </c>
      <c r="B3218" s="149" t="str">
        <f>IFERROR(VLOOKUP(Proc[[#This Row],[App]],Table2[],3,0),"open")</f>
        <v>ok</v>
      </c>
      <c r="C3218" s="124" t="s">
        <v>369</v>
      </c>
      <c r="D3218" t="s">
        <v>5237</v>
      </c>
      <c r="E3218" t="s">
        <v>5256</v>
      </c>
      <c r="F3218" s="125" t="s">
        <v>5256</v>
      </c>
      <c r="G3218" s="124" t="s">
        <v>400</v>
      </c>
      <c r="H3218" s="125" t="str">
        <f>IF(Proc[[#This Row],[type]]="LFF (MDG-F)",MID(Proc[[#This Row],[Obj]],13,10),"")</f>
        <v/>
      </c>
      <c r="J3218" s="125" t="b">
        <f>Proc[[#This Row],[Requested]]=Proc[[#This Row],[CurrentParent]]</f>
        <v>1</v>
      </c>
      <c r="K3218" s="144" t="str">
        <f>IF(Proc[[#This Row],[Author]]="Marcela Urrego",VLOOKUP(LEFT(Proc[[#This Row],[Requested]],1),Table3[#All],2,0),VLOOKUP(Proc[[#This Row],[Author]],Table4[],2,0))</f>
        <v>HC</v>
      </c>
      <c r="L3218" s="125" t="s">
        <v>4894</v>
      </c>
      <c r="M3218" s="113">
        <v>45873</v>
      </c>
      <c r="N3218" s="113"/>
      <c r="O3218" s="113"/>
      <c r="P3218" s="115" t="str">
        <f ca="1">IF(Proc[[#This Row],[DaysAgeing]]&gt;5,"yep","on track")</f>
        <v>yep</v>
      </c>
      <c r="Q3218" s="3">
        <f ca="1">IF(Proc[[#This Row],[DateClosed]]="",ABS(NETWORKDAYS(Proc[[#This Row],[DateOpened]],TODAY()))-1,ABS(NETWORKDAYS(Proc[[#This Row],[DateOpened]],Proc[[#This Row],[DateClosed]]))-1)</f>
        <v>99</v>
      </c>
      <c r="R3218" s="115" t="s">
        <v>1013</v>
      </c>
      <c r="S3218" s="125"/>
    </row>
    <row r="3219" spans="1:19" hidden="1">
      <c r="A3219" s="124" t="s">
        <v>5258</v>
      </c>
      <c r="B3219" s="149" t="str">
        <f>IFERROR(VLOOKUP(Proc[[#This Row],[App]],Table2[],3,0),"open")</f>
        <v>ok</v>
      </c>
      <c r="C3219" s="124" t="s">
        <v>369</v>
      </c>
      <c r="D3219" t="s">
        <v>5238</v>
      </c>
      <c r="E3219" t="s">
        <v>5257</v>
      </c>
      <c r="F3219" s="125" t="s">
        <v>5257</v>
      </c>
      <c r="G3219" s="124" t="s">
        <v>400</v>
      </c>
      <c r="H3219" s="125" t="str">
        <f>IF(Proc[[#This Row],[type]]="LFF (MDG-F)",MID(Proc[[#This Row],[Obj]],13,10),"")</f>
        <v/>
      </c>
      <c r="J3219" s="125" t="b">
        <f>Proc[[#This Row],[Requested]]=Proc[[#This Row],[CurrentParent]]</f>
        <v>1</v>
      </c>
      <c r="K3219" s="144" t="str">
        <f>IF(Proc[[#This Row],[Author]]="Marcela Urrego",VLOOKUP(LEFT(Proc[[#This Row],[Requested]],1),Table3[#All],2,0),VLOOKUP(Proc[[#This Row],[Author]],Table4[],2,0))</f>
        <v>HC</v>
      </c>
      <c r="L3219" s="125" t="s">
        <v>4894</v>
      </c>
      <c r="M3219" s="113">
        <v>45873</v>
      </c>
      <c r="N3219" s="113"/>
      <c r="O3219" s="113"/>
      <c r="P3219" s="115" t="str">
        <f ca="1">IF(Proc[[#This Row],[DaysAgeing]]&gt;5,"yep","on track")</f>
        <v>yep</v>
      </c>
      <c r="Q3219" s="3">
        <f ca="1">IF(Proc[[#This Row],[DateClosed]]="",ABS(NETWORKDAYS(Proc[[#This Row],[DateOpened]],TODAY()))-1,ABS(NETWORKDAYS(Proc[[#This Row],[DateOpened]],Proc[[#This Row],[DateClosed]]))-1)</f>
        <v>99</v>
      </c>
      <c r="R3219" s="115" t="s">
        <v>1013</v>
      </c>
      <c r="S3219" s="125"/>
    </row>
    <row r="3220" spans="1:19" hidden="1">
      <c r="A3220" s="124" t="s">
        <v>5258</v>
      </c>
      <c r="B3220" s="149" t="str">
        <f>IFERROR(VLOOKUP(Proc[[#This Row],[App]],Table2[],3,0),"open")</f>
        <v>ok</v>
      </c>
      <c r="C3220" s="124" t="s">
        <v>369</v>
      </c>
      <c r="D3220" t="s">
        <v>5239</v>
      </c>
      <c r="E3220" t="s">
        <v>5257</v>
      </c>
      <c r="F3220" s="125" t="s">
        <v>5257</v>
      </c>
      <c r="G3220" s="124" t="s">
        <v>400</v>
      </c>
      <c r="H3220" s="125" t="str">
        <f>IF(Proc[[#This Row],[type]]="LFF (MDG-F)",MID(Proc[[#This Row],[Obj]],13,10),"")</f>
        <v/>
      </c>
      <c r="J3220" s="125" t="b">
        <f>Proc[[#This Row],[Requested]]=Proc[[#This Row],[CurrentParent]]</f>
        <v>1</v>
      </c>
      <c r="K3220" s="144" t="str">
        <f>IF(Proc[[#This Row],[Author]]="Marcela Urrego",VLOOKUP(LEFT(Proc[[#This Row],[Requested]],1),Table3[#All],2,0),VLOOKUP(Proc[[#This Row],[Author]],Table4[],2,0))</f>
        <v>HC</v>
      </c>
      <c r="L3220" s="125" t="s">
        <v>4894</v>
      </c>
      <c r="M3220" s="113">
        <v>45873</v>
      </c>
      <c r="N3220" s="113"/>
      <c r="O3220" s="113"/>
      <c r="P3220" s="115" t="str">
        <f ca="1">IF(Proc[[#This Row],[DaysAgeing]]&gt;5,"yep","on track")</f>
        <v>yep</v>
      </c>
      <c r="Q3220" s="3">
        <f ca="1">IF(Proc[[#This Row],[DateClosed]]="",ABS(NETWORKDAYS(Proc[[#This Row],[DateOpened]],TODAY()))-1,ABS(NETWORKDAYS(Proc[[#This Row],[DateOpened]],Proc[[#This Row],[DateClosed]]))-1)</f>
        <v>99</v>
      </c>
      <c r="R3220" s="115" t="s">
        <v>1013</v>
      </c>
      <c r="S3220" s="125"/>
    </row>
    <row r="3221" spans="1:19" hidden="1">
      <c r="A3221" s="124" t="s">
        <v>5258</v>
      </c>
      <c r="B3221" s="149" t="str">
        <f>IFERROR(VLOOKUP(Proc[[#This Row],[App]],Table2[],3,0),"open")</f>
        <v>ok</v>
      </c>
      <c r="C3221" s="124" t="s">
        <v>369</v>
      </c>
      <c r="D3221" t="s">
        <v>5240</v>
      </c>
      <c r="E3221" t="s">
        <v>5257</v>
      </c>
      <c r="F3221" s="125" t="s">
        <v>5257</v>
      </c>
      <c r="G3221" s="124" t="s">
        <v>400</v>
      </c>
      <c r="H3221" s="125" t="str">
        <f>IF(Proc[[#This Row],[type]]="LFF (MDG-F)",MID(Proc[[#This Row],[Obj]],13,10),"")</f>
        <v/>
      </c>
      <c r="J3221" s="125" t="b">
        <f>Proc[[#This Row],[Requested]]=Proc[[#This Row],[CurrentParent]]</f>
        <v>1</v>
      </c>
      <c r="K3221" s="144" t="str">
        <f>IF(Proc[[#This Row],[Author]]="Marcela Urrego",VLOOKUP(LEFT(Proc[[#This Row],[Requested]],1),Table3[#All],2,0),VLOOKUP(Proc[[#This Row],[Author]],Table4[],2,0))</f>
        <v>HC</v>
      </c>
      <c r="L3221" s="125" t="s">
        <v>4894</v>
      </c>
      <c r="M3221" s="113">
        <v>45873</v>
      </c>
      <c r="N3221" s="113"/>
      <c r="O3221" s="113"/>
      <c r="P3221" s="115" t="str">
        <f ca="1">IF(Proc[[#This Row],[DaysAgeing]]&gt;5,"yep","on track")</f>
        <v>yep</v>
      </c>
      <c r="Q3221" s="3">
        <f ca="1">IF(Proc[[#This Row],[DateClosed]]="",ABS(NETWORKDAYS(Proc[[#This Row],[DateOpened]],TODAY()))-1,ABS(NETWORKDAYS(Proc[[#This Row],[DateOpened]],Proc[[#This Row],[DateClosed]]))-1)</f>
        <v>99</v>
      </c>
      <c r="R3221" s="115" t="s">
        <v>1013</v>
      </c>
      <c r="S3221" s="125"/>
    </row>
    <row r="3222" spans="1:19" hidden="1">
      <c r="A3222" s="124" t="s">
        <v>5258</v>
      </c>
      <c r="B3222" s="149" t="str">
        <f>IFERROR(VLOOKUP(Proc[[#This Row],[App]],Table2[],3,0),"open")</f>
        <v>ok</v>
      </c>
      <c r="C3222" s="124" t="s">
        <v>369</v>
      </c>
      <c r="D3222" t="s">
        <v>5241</v>
      </c>
      <c r="E3222" t="s">
        <v>5257</v>
      </c>
      <c r="F3222" s="125" t="s">
        <v>5257</v>
      </c>
      <c r="G3222" s="124" t="s">
        <v>400</v>
      </c>
      <c r="H3222" s="125" t="str">
        <f>IF(Proc[[#This Row],[type]]="LFF (MDG-F)",MID(Proc[[#This Row],[Obj]],13,10),"")</f>
        <v/>
      </c>
      <c r="J3222" s="125" t="b">
        <f>Proc[[#This Row],[Requested]]=Proc[[#This Row],[CurrentParent]]</f>
        <v>1</v>
      </c>
      <c r="K3222" s="144" t="str">
        <f>IF(Proc[[#This Row],[Author]]="Marcela Urrego",VLOOKUP(LEFT(Proc[[#This Row],[Requested]],1),Table3[#All],2,0),VLOOKUP(Proc[[#This Row],[Author]],Table4[],2,0))</f>
        <v>HC</v>
      </c>
      <c r="L3222" s="125" t="s">
        <v>4894</v>
      </c>
      <c r="M3222" s="113">
        <v>45873</v>
      </c>
      <c r="N3222" s="113"/>
      <c r="O3222" s="113"/>
      <c r="P3222" s="115" t="str">
        <f ca="1">IF(Proc[[#This Row],[DaysAgeing]]&gt;5,"yep","on track")</f>
        <v>yep</v>
      </c>
      <c r="Q3222" s="3">
        <f ca="1">IF(Proc[[#This Row],[DateClosed]]="",ABS(NETWORKDAYS(Proc[[#This Row],[DateOpened]],TODAY()))-1,ABS(NETWORKDAYS(Proc[[#This Row],[DateOpened]],Proc[[#This Row],[DateClosed]]))-1)</f>
        <v>99</v>
      </c>
      <c r="R3222" s="115" t="s">
        <v>1013</v>
      </c>
      <c r="S3222" s="125"/>
    </row>
    <row r="3223" spans="1:19" hidden="1">
      <c r="A3223" s="124" t="s">
        <v>5258</v>
      </c>
      <c r="B3223" s="149" t="str">
        <f>IFERROR(VLOOKUP(Proc[[#This Row],[App]],Table2[],3,0),"open")</f>
        <v>ok</v>
      </c>
      <c r="C3223" s="124" t="s">
        <v>369</v>
      </c>
      <c r="D3223" t="s">
        <v>5242</v>
      </c>
      <c r="E3223" t="s">
        <v>3401</v>
      </c>
      <c r="F3223" s="125" t="s">
        <v>3401</v>
      </c>
      <c r="G3223" s="124" t="s">
        <v>400</v>
      </c>
      <c r="H3223" s="125" t="str">
        <f>IF(Proc[[#This Row],[type]]="LFF (MDG-F)",MID(Proc[[#This Row],[Obj]],13,10),"")</f>
        <v/>
      </c>
      <c r="J3223" s="125" t="b">
        <f>Proc[[#This Row],[Requested]]=Proc[[#This Row],[CurrentParent]]</f>
        <v>1</v>
      </c>
      <c r="K3223" s="144" t="str">
        <f>IF(Proc[[#This Row],[Author]]="Marcela Urrego",VLOOKUP(LEFT(Proc[[#This Row],[Requested]],1),Table3[#All],2,0),VLOOKUP(Proc[[#This Row],[Author]],Table4[],2,0))</f>
        <v>HC</v>
      </c>
      <c r="L3223" s="125" t="s">
        <v>4894</v>
      </c>
      <c r="M3223" s="113">
        <v>45873</v>
      </c>
      <c r="N3223" s="113"/>
      <c r="O3223" s="113"/>
      <c r="P3223" s="115" t="str">
        <f ca="1">IF(Proc[[#This Row],[DaysAgeing]]&gt;5,"yep","on track")</f>
        <v>yep</v>
      </c>
      <c r="Q3223" s="3">
        <f ca="1">IF(Proc[[#This Row],[DateClosed]]="",ABS(NETWORKDAYS(Proc[[#This Row],[DateOpened]],TODAY()))-1,ABS(NETWORKDAYS(Proc[[#This Row],[DateOpened]],Proc[[#This Row],[DateClosed]]))-1)</f>
        <v>99</v>
      </c>
      <c r="R3223" s="115" t="s">
        <v>1013</v>
      </c>
      <c r="S3223" s="125"/>
    </row>
    <row r="3224" spans="1:19" hidden="1">
      <c r="A3224" s="124" t="s">
        <v>5258</v>
      </c>
      <c r="B3224" s="149" t="str">
        <f>IFERROR(VLOOKUP(Proc[[#This Row],[App]],Table2[],3,0),"open")</f>
        <v>ok</v>
      </c>
      <c r="C3224" s="124" t="s">
        <v>369</v>
      </c>
      <c r="D3224" t="s">
        <v>5243</v>
      </c>
      <c r="E3224" t="s">
        <v>3401</v>
      </c>
      <c r="F3224" s="125" t="s">
        <v>3401</v>
      </c>
      <c r="G3224" s="124" t="s">
        <v>400</v>
      </c>
      <c r="H3224" s="125" t="str">
        <f>IF(Proc[[#This Row],[type]]="LFF (MDG-F)",MID(Proc[[#This Row],[Obj]],13,10),"")</f>
        <v/>
      </c>
      <c r="J3224" s="125" t="b">
        <f>Proc[[#This Row],[Requested]]=Proc[[#This Row],[CurrentParent]]</f>
        <v>1</v>
      </c>
      <c r="K3224" s="144" t="str">
        <f>IF(Proc[[#This Row],[Author]]="Marcela Urrego",VLOOKUP(LEFT(Proc[[#This Row],[Requested]],1),Table3[#All],2,0),VLOOKUP(Proc[[#This Row],[Author]],Table4[],2,0))</f>
        <v>HC</v>
      </c>
      <c r="L3224" s="125" t="s">
        <v>4894</v>
      </c>
      <c r="M3224" s="113">
        <v>45873</v>
      </c>
      <c r="N3224" s="113"/>
      <c r="O3224" s="113"/>
      <c r="P3224" s="115" t="str">
        <f ca="1">IF(Proc[[#This Row],[DaysAgeing]]&gt;5,"yep","on track")</f>
        <v>yep</v>
      </c>
      <c r="Q3224" s="3">
        <f ca="1">IF(Proc[[#This Row],[DateClosed]]="",ABS(NETWORKDAYS(Proc[[#This Row],[DateOpened]],TODAY()))-1,ABS(NETWORKDAYS(Proc[[#This Row],[DateOpened]],Proc[[#This Row],[DateClosed]]))-1)</f>
        <v>99</v>
      </c>
      <c r="R3224" s="115" t="s">
        <v>1013</v>
      </c>
      <c r="S3224" s="125"/>
    </row>
    <row r="3225" spans="1:19" hidden="1">
      <c r="A3225" s="124" t="s">
        <v>5258</v>
      </c>
      <c r="B3225" s="149" t="str">
        <f>IFERROR(VLOOKUP(Proc[[#This Row],[App]],Table2[],3,0),"open")</f>
        <v>ok</v>
      </c>
      <c r="C3225" s="124" t="s">
        <v>369</v>
      </c>
      <c r="D3225" t="s">
        <v>5244</v>
      </c>
      <c r="E3225" t="s">
        <v>3401</v>
      </c>
      <c r="F3225" s="125" t="s">
        <v>3401</v>
      </c>
      <c r="G3225" s="124" t="s">
        <v>400</v>
      </c>
      <c r="H3225" s="125" t="str">
        <f>IF(Proc[[#This Row],[type]]="LFF (MDG-F)",MID(Proc[[#This Row],[Obj]],13,10),"")</f>
        <v/>
      </c>
      <c r="J3225" s="125" t="b">
        <f>Proc[[#This Row],[Requested]]=Proc[[#This Row],[CurrentParent]]</f>
        <v>1</v>
      </c>
      <c r="K3225" s="144" t="str">
        <f>IF(Proc[[#This Row],[Author]]="Marcela Urrego",VLOOKUP(LEFT(Proc[[#This Row],[Requested]],1),Table3[#All],2,0),VLOOKUP(Proc[[#This Row],[Author]],Table4[],2,0))</f>
        <v>HC</v>
      </c>
      <c r="L3225" s="125" t="s">
        <v>4894</v>
      </c>
      <c r="M3225" s="113">
        <v>45873</v>
      </c>
      <c r="N3225" s="113"/>
      <c r="O3225" s="113"/>
      <c r="P3225" s="115" t="str">
        <f ca="1">IF(Proc[[#This Row],[DaysAgeing]]&gt;5,"yep","on track")</f>
        <v>yep</v>
      </c>
      <c r="Q3225" s="3">
        <f ca="1">IF(Proc[[#This Row],[DateClosed]]="",ABS(NETWORKDAYS(Proc[[#This Row],[DateOpened]],TODAY()))-1,ABS(NETWORKDAYS(Proc[[#This Row],[DateOpened]],Proc[[#This Row],[DateClosed]]))-1)</f>
        <v>99</v>
      </c>
      <c r="R3225" s="115" t="s">
        <v>1013</v>
      </c>
      <c r="S3225" s="125"/>
    </row>
    <row r="3226" spans="1:19" hidden="1">
      <c r="A3226" s="124" t="s">
        <v>5258</v>
      </c>
      <c r="B3226" s="149" t="str">
        <f>IFERROR(VLOOKUP(Proc[[#This Row],[App]],Table2[],3,0),"open")</f>
        <v>ok</v>
      </c>
      <c r="C3226" s="124" t="s">
        <v>369</v>
      </c>
      <c r="D3226" t="s">
        <v>5245</v>
      </c>
      <c r="E3226" t="s">
        <v>3745</v>
      </c>
      <c r="F3226" s="125" t="s">
        <v>3745</v>
      </c>
      <c r="G3226" s="124" t="s">
        <v>400</v>
      </c>
      <c r="H3226" s="125" t="str">
        <f>IF(Proc[[#This Row],[type]]="LFF (MDG-F)",MID(Proc[[#This Row],[Obj]],13,10),"")</f>
        <v/>
      </c>
      <c r="J3226" s="125" t="b">
        <f>Proc[[#This Row],[Requested]]=Proc[[#This Row],[CurrentParent]]</f>
        <v>1</v>
      </c>
      <c r="K3226" s="144" t="str">
        <f>IF(Proc[[#This Row],[Author]]="Marcela Urrego",VLOOKUP(LEFT(Proc[[#This Row],[Requested]],1),Table3[#All],2,0),VLOOKUP(Proc[[#This Row],[Author]],Table4[],2,0))</f>
        <v>HC</v>
      </c>
      <c r="L3226" s="125" t="s">
        <v>4894</v>
      </c>
      <c r="M3226" s="113">
        <v>45873</v>
      </c>
      <c r="N3226" s="113"/>
      <c r="O3226" s="113"/>
      <c r="P3226" s="115" t="str">
        <f ca="1">IF(Proc[[#This Row],[DaysAgeing]]&gt;5,"yep","on track")</f>
        <v>yep</v>
      </c>
      <c r="Q3226" s="3">
        <f ca="1">IF(Proc[[#This Row],[DateClosed]]="",ABS(NETWORKDAYS(Proc[[#This Row],[DateOpened]],TODAY()))-1,ABS(NETWORKDAYS(Proc[[#This Row],[DateOpened]],Proc[[#This Row],[DateClosed]]))-1)</f>
        <v>99</v>
      </c>
      <c r="R3226" s="115" t="s">
        <v>1013</v>
      </c>
      <c r="S3226" s="125"/>
    </row>
    <row r="3227" spans="1:19" hidden="1">
      <c r="A3227" s="124" t="s">
        <v>5258</v>
      </c>
      <c r="B3227" s="149" t="str">
        <f>IFERROR(VLOOKUP(Proc[[#This Row],[App]],Table2[],3,0),"open")</f>
        <v>ok</v>
      </c>
      <c r="C3227" s="124" t="s">
        <v>369</v>
      </c>
      <c r="D3227" t="s">
        <v>5246</v>
      </c>
      <c r="E3227" t="s">
        <v>3401</v>
      </c>
      <c r="F3227" s="125" t="s">
        <v>3401</v>
      </c>
      <c r="G3227" s="124" t="s">
        <v>400</v>
      </c>
      <c r="H3227" s="125" t="str">
        <f>IF(Proc[[#This Row],[type]]="LFF (MDG-F)",MID(Proc[[#This Row],[Obj]],13,10),"")</f>
        <v/>
      </c>
      <c r="J3227" s="125" t="b">
        <f>Proc[[#This Row],[Requested]]=Proc[[#This Row],[CurrentParent]]</f>
        <v>1</v>
      </c>
      <c r="K3227" s="144" t="str">
        <f>IF(Proc[[#This Row],[Author]]="Marcela Urrego",VLOOKUP(LEFT(Proc[[#This Row],[Requested]],1),Table3[#All],2,0),VLOOKUP(Proc[[#This Row],[Author]],Table4[],2,0))</f>
        <v>HC</v>
      </c>
      <c r="L3227" s="125" t="s">
        <v>4894</v>
      </c>
      <c r="M3227" s="113">
        <v>45873</v>
      </c>
      <c r="N3227" s="113"/>
      <c r="O3227" s="113"/>
      <c r="P3227" s="115" t="str">
        <f ca="1">IF(Proc[[#This Row],[DaysAgeing]]&gt;5,"yep","on track")</f>
        <v>yep</v>
      </c>
      <c r="Q3227" s="3">
        <f ca="1">IF(Proc[[#This Row],[DateClosed]]="",ABS(NETWORKDAYS(Proc[[#This Row],[DateOpened]],TODAY()))-1,ABS(NETWORKDAYS(Proc[[#This Row],[DateOpened]],Proc[[#This Row],[DateClosed]]))-1)</f>
        <v>99</v>
      </c>
      <c r="R3227" s="115" t="s">
        <v>1013</v>
      </c>
      <c r="S3227" s="125"/>
    </row>
    <row r="3228" spans="1:19" hidden="1">
      <c r="A3228" s="124" t="s">
        <v>5258</v>
      </c>
      <c r="B3228" s="149" t="str">
        <f>IFERROR(VLOOKUP(Proc[[#This Row],[App]],Table2[],3,0),"open")</f>
        <v>ok</v>
      </c>
      <c r="C3228" s="124" t="s">
        <v>369</v>
      </c>
      <c r="D3228" t="s">
        <v>5247</v>
      </c>
      <c r="E3228" t="s">
        <v>3745</v>
      </c>
      <c r="F3228" s="125" t="s">
        <v>3745</v>
      </c>
      <c r="G3228" s="124" t="s">
        <v>400</v>
      </c>
      <c r="H3228" s="125" t="str">
        <f>IF(Proc[[#This Row],[type]]="LFF (MDG-F)",MID(Proc[[#This Row],[Obj]],13,10),"")</f>
        <v/>
      </c>
      <c r="J3228" s="125" t="b">
        <f>Proc[[#This Row],[Requested]]=Proc[[#This Row],[CurrentParent]]</f>
        <v>1</v>
      </c>
      <c r="K3228" s="144" t="str">
        <f>IF(Proc[[#This Row],[Author]]="Marcela Urrego",VLOOKUP(LEFT(Proc[[#This Row],[Requested]],1),Table3[#All],2,0),VLOOKUP(Proc[[#This Row],[Author]],Table4[],2,0))</f>
        <v>HC</v>
      </c>
      <c r="L3228" s="125" t="s">
        <v>4894</v>
      </c>
      <c r="M3228" s="113">
        <v>45873</v>
      </c>
      <c r="N3228" s="113"/>
      <c r="O3228" s="113"/>
      <c r="P3228" s="115" t="str">
        <f ca="1">IF(Proc[[#This Row],[DaysAgeing]]&gt;5,"yep","on track")</f>
        <v>yep</v>
      </c>
      <c r="Q3228" s="3">
        <f ca="1">IF(Proc[[#This Row],[DateClosed]]="",ABS(NETWORKDAYS(Proc[[#This Row],[DateOpened]],TODAY()))-1,ABS(NETWORKDAYS(Proc[[#This Row],[DateOpened]],Proc[[#This Row],[DateClosed]]))-1)</f>
        <v>99</v>
      </c>
      <c r="R3228" s="115" t="s">
        <v>1013</v>
      </c>
      <c r="S3228" s="125"/>
    </row>
    <row r="3229" spans="1:19" hidden="1">
      <c r="A3229" s="124" t="s">
        <v>5258</v>
      </c>
      <c r="B3229" s="149" t="str">
        <f>IFERROR(VLOOKUP(Proc[[#This Row],[App]],Table2[],3,0),"open")</f>
        <v>ok</v>
      </c>
      <c r="C3229" s="124" t="s">
        <v>369</v>
      </c>
      <c r="D3229" t="s">
        <v>5248</v>
      </c>
      <c r="E3229" t="s">
        <v>3401</v>
      </c>
      <c r="F3229" s="125" t="s">
        <v>3401</v>
      </c>
      <c r="G3229" s="124" t="s">
        <v>400</v>
      </c>
      <c r="H3229" s="125" t="str">
        <f>IF(Proc[[#This Row],[type]]="LFF (MDG-F)",MID(Proc[[#This Row],[Obj]],13,10),"")</f>
        <v/>
      </c>
      <c r="J3229" s="125" t="b">
        <f>Proc[[#This Row],[Requested]]=Proc[[#This Row],[CurrentParent]]</f>
        <v>1</v>
      </c>
      <c r="K3229" s="144" t="str">
        <f>IF(Proc[[#This Row],[Author]]="Marcela Urrego",VLOOKUP(LEFT(Proc[[#This Row],[Requested]],1),Table3[#All],2,0),VLOOKUP(Proc[[#This Row],[Author]],Table4[],2,0))</f>
        <v>HC</v>
      </c>
      <c r="L3229" s="125" t="s">
        <v>4894</v>
      </c>
      <c r="M3229" s="113">
        <v>45873</v>
      </c>
      <c r="N3229" s="113"/>
      <c r="O3229" s="113"/>
      <c r="P3229" s="115" t="str">
        <f ca="1">IF(Proc[[#This Row],[DaysAgeing]]&gt;5,"yep","on track")</f>
        <v>yep</v>
      </c>
      <c r="Q3229" s="3">
        <f ca="1">IF(Proc[[#This Row],[DateClosed]]="",ABS(NETWORKDAYS(Proc[[#This Row],[DateOpened]],TODAY()))-1,ABS(NETWORKDAYS(Proc[[#This Row],[DateOpened]],Proc[[#This Row],[DateClosed]]))-1)</f>
        <v>99</v>
      </c>
      <c r="R3229" s="115" t="s">
        <v>1013</v>
      </c>
      <c r="S3229" s="125"/>
    </row>
    <row r="3230" spans="1:19" hidden="1">
      <c r="A3230" s="124" t="s">
        <v>5258</v>
      </c>
      <c r="B3230" s="149" t="str">
        <f>IFERROR(VLOOKUP(Proc[[#This Row],[App]],Table2[],3,0),"open")</f>
        <v>ok</v>
      </c>
      <c r="C3230" s="124" t="s">
        <v>369</v>
      </c>
      <c r="D3230" t="s">
        <v>5249</v>
      </c>
      <c r="E3230" t="s">
        <v>3401</v>
      </c>
      <c r="F3230" s="125" t="s">
        <v>3401</v>
      </c>
      <c r="G3230" s="124" t="s">
        <v>400</v>
      </c>
      <c r="H3230" s="125" t="str">
        <f>IF(Proc[[#This Row],[type]]="LFF (MDG-F)",MID(Proc[[#This Row],[Obj]],13,10),"")</f>
        <v/>
      </c>
      <c r="J3230" s="125" t="b">
        <f>Proc[[#This Row],[Requested]]=Proc[[#This Row],[CurrentParent]]</f>
        <v>1</v>
      </c>
      <c r="K3230" s="144" t="str">
        <f>IF(Proc[[#This Row],[Author]]="Marcela Urrego",VLOOKUP(LEFT(Proc[[#This Row],[Requested]],1),Table3[#All],2,0),VLOOKUP(Proc[[#This Row],[Author]],Table4[],2,0))</f>
        <v>HC</v>
      </c>
      <c r="L3230" s="125" t="s">
        <v>4894</v>
      </c>
      <c r="M3230" s="113">
        <v>45873</v>
      </c>
      <c r="N3230" s="113"/>
      <c r="O3230" s="113"/>
      <c r="P3230" s="115" t="str">
        <f ca="1">IF(Proc[[#This Row],[DaysAgeing]]&gt;5,"yep","on track")</f>
        <v>yep</v>
      </c>
      <c r="Q3230" s="3">
        <f ca="1">IF(Proc[[#This Row],[DateClosed]]="",ABS(NETWORKDAYS(Proc[[#This Row],[DateOpened]],TODAY()))-1,ABS(NETWORKDAYS(Proc[[#This Row],[DateOpened]],Proc[[#This Row],[DateClosed]]))-1)</f>
        <v>99</v>
      </c>
      <c r="R3230" s="115" t="s">
        <v>1013</v>
      </c>
      <c r="S3230" s="125"/>
    </row>
    <row r="3231" spans="1:19" hidden="1">
      <c r="A3231" s="124" t="s">
        <v>5258</v>
      </c>
      <c r="B3231" s="149" t="str">
        <f>IFERROR(VLOOKUP(Proc[[#This Row],[App]],Table2[],3,0),"open")</f>
        <v>ok</v>
      </c>
      <c r="C3231" s="124" t="s">
        <v>369</v>
      </c>
      <c r="D3231" t="s">
        <v>5250</v>
      </c>
      <c r="E3231" t="s">
        <v>3401</v>
      </c>
      <c r="F3231" s="125" t="s">
        <v>3401</v>
      </c>
      <c r="G3231" s="124" t="s">
        <v>400</v>
      </c>
      <c r="H3231" s="125" t="str">
        <f>IF(Proc[[#This Row],[type]]="LFF (MDG-F)",MID(Proc[[#This Row],[Obj]],13,10),"")</f>
        <v/>
      </c>
      <c r="J3231" s="125" t="b">
        <f>Proc[[#This Row],[Requested]]=Proc[[#This Row],[CurrentParent]]</f>
        <v>1</v>
      </c>
      <c r="K3231" s="144" t="str">
        <f>IF(Proc[[#This Row],[Author]]="Marcela Urrego",VLOOKUP(LEFT(Proc[[#This Row],[Requested]],1),Table3[#All],2,0),VLOOKUP(Proc[[#This Row],[Author]],Table4[],2,0))</f>
        <v>HC</v>
      </c>
      <c r="L3231" s="125" t="s">
        <v>4894</v>
      </c>
      <c r="M3231" s="113">
        <v>45873</v>
      </c>
      <c r="N3231" s="113"/>
      <c r="O3231" s="113"/>
      <c r="P3231" s="115" t="str">
        <f ca="1">IF(Proc[[#This Row],[DaysAgeing]]&gt;5,"yep","on track")</f>
        <v>yep</v>
      </c>
      <c r="Q3231" s="3">
        <f ca="1">IF(Proc[[#This Row],[DateClosed]]="",ABS(NETWORKDAYS(Proc[[#This Row],[DateOpened]],TODAY()))-1,ABS(NETWORKDAYS(Proc[[#This Row],[DateOpened]],Proc[[#This Row],[DateClosed]]))-1)</f>
        <v>99</v>
      </c>
      <c r="R3231" s="115" t="s">
        <v>1013</v>
      </c>
      <c r="S3231" s="125"/>
    </row>
    <row r="3232" spans="1:19" hidden="1">
      <c r="A3232" t="s">
        <v>5271</v>
      </c>
      <c r="B3232" s="149" t="str">
        <f>IFERROR(VLOOKUP(Proc[[#This Row],[App]],Table2[],3,0),"open")</f>
        <v>ok</v>
      </c>
      <c r="C3232" s="124" t="s">
        <v>369</v>
      </c>
      <c r="D3232" t="s">
        <v>5259</v>
      </c>
      <c r="E3232" t="s">
        <v>5270</v>
      </c>
      <c r="F3232" s="125" t="s">
        <v>5270</v>
      </c>
      <c r="G3232" t="s">
        <v>400</v>
      </c>
      <c r="H3232" s="125" t="str">
        <f>IF(Proc[[#This Row],[type]]="LFF (MDG-F)",MID(Proc[[#This Row],[Obj]],13,10),"")</f>
        <v/>
      </c>
      <c r="J3232" s="125" t="b">
        <f>Proc[[#This Row],[Requested]]=Proc[[#This Row],[CurrentParent]]</f>
        <v>1</v>
      </c>
      <c r="K3232" s="144" t="str">
        <f>IF(Proc[[#This Row],[Author]]="Marcela Urrego",VLOOKUP(LEFT(Proc[[#This Row],[Requested]],1),Table3[#All],2,0),VLOOKUP(Proc[[#This Row],[Author]],Table4[],2,0))</f>
        <v>LS</v>
      </c>
      <c r="L3232" s="125" t="s">
        <v>4894</v>
      </c>
      <c r="M3232" s="113">
        <v>45874</v>
      </c>
      <c r="N3232" s="113"/>
      <c r="O3232" s="113"/>
      <c r="P3232" s="115" t="str">
        <f ca="1">IF(Proc[[#This Row],[DaysAgeing]]&gt;5,"yep","on track")</f>
        <v>yep</v>
      </c>
      <c r="Q3232" s="3">
        <f ca="1">IF(Proc[[#This Row],[DateClosed]]="",ABS(NETWORKDAYS(Proc[[#This Row],[DateOpened]],TODAY()))-1,ABS(NETWORKDAYS(Proc[[#This Row],[DateOpened]],Proc[[#This Row],[DateClosed]]))-1)</f>
        <v>98</v>
      </c>
      <c r="R3232" s="115" t="s">
        <v>489</v>
      </c>
      <c r="S3232" s="125"/>
    </row>
    <row r="3233" spans="1:19" hidden="1">
      <c r="A3233" s="124" t="s">
        <v>5271</v>
      </c>
      <c r="B3233" s="149" t="str">
        <f>IFERROR(VLOOKUP(Proc[[#This Row],[App]],Table2[],3,0),"open")</f>
        <v>ok</v>
      </c>
      <c r="C3233" s="124" t="s">
        <v>369</v>
      </c>
      <c r="D3233" t="s">
        <v>5260</v>
      </c>
      <c r="E3233" t="s">
        <v>5270</v>
      </c>
      <c r="F3233" s="125" t="s">
        <v>5270</v>
      </c>
      <c r="G3233" s="124" t="s">
        <v>400</v>
      </c>
      <c r="H3233" s="125" t="str">
        <f>IF(Proc[[#This Row],[type]]="LFF (MDG-F)",MID(Proc[[#This Row],[Obj]],13,10),"")</f>
        <v/>
      </c>
      <c r="J3233" s="125" t="b">
        <f>Proc[[#This Row],[Requested]]=Proc[[#This Row],[CurrentParent]]</f>
        <v>1</v>
      </c>
      <c r="K3233" s="144" t="str">
        <f>IF(Proc[[#This Row],[Author]]="Marcela Urrego",VLOOKUP(LEFT(Proc[[#This Row],[Requested]],1),Table3[#All],2,0),VLOOKUP(Proc[[#This Row],[Author]],Table4[],2,0))</f>
        <v>LS</v>
      </c>
      <c r="L3233" s="125" t="s">
        <v>4894</v>
      </c>
      <c r="M3233" s="113">
        <v>45874</v>
      </c>
      <c r="N3233" s="113"/>
      <c r="O3233" s="113"/>
      <c r="P3233" s="115" t="str">
        <f ca="1">IF(Proc[[#This Row],[DaysAgeing]]&gt;5,"yep","on track")</f>
        <v>yep</v>
      </c>
      <c r="Q3233" s="3">
        <f ca="1">IF(Proc[[#This Row],[DateClosed]]="",ABS(NETWORKDAYS(Proc[[#This Row],[DateOpened]],TODAY()))-1,ABS(NETWORKDAYS(Proc[[#This Row],[DateOpened]],Proc[[#This Row],[DateClosed]]))-1)</f>
        <v>98</v>
      </c>
      <c r="R3233" s="115" t="s">
        <v>489</v>
      </c>
      <c r="S3233" s="125"/>
    </row>
    <row r="3234" spans="1:19" hidden="1">
      <c r="A3234" s="124" t="s">
        <v>5271</v>
      </c>
      <c r="B3234" s="149" t="str">
        <f>IFERROR(VLOOKUP(Proc[[#This Row],[App]],Table2[],3,0),"open")</f>
        <v>ok</v>
      </c>
      <c r="C3234" s="124" t="s">
        <v>369</v>
      </c>
      <c r="D3234" t="s">
        <v>5261</v>
      </c>
      <c r="E3234" t="s">
        <v>5270</v>
      </c>
      <c r="F3234" s="125" t="s">
        <v>5270</v>
      </c>
      <c r="G3234" s="124" t="s">
        <v>400</v>
      </c>
      <c r="H3234" s="125" t="str">
        <f>IF(Proc[[#This Row],[type]]="LFF (MDG-F)",MID(Proc[[#This Row],[Obj]],13,10),"")</f>
        <v/>
      </c>
      <c r="J3234" s="125" t="b">
        <f>Proc[[#This Row],[Requested]]=Proc[[#This Row],[CurrentParent]]</f>
        <v>1</v>
      </c>
      <c r="K3234" s="144" t="str">
        <f>IF(Proc[[#This Row],[Author]]="Marcela Urrego",VLOOKUP(LEFT(Proc[[#This Row],[Requested]],1),Table3[#All],2,0),VLOOKUP(Proc[[#This Row],[Author]],Table4[],2,0))</f>
        <v>LS</v>
      </c>
      <c r="L3234" s="125" t="s">
        <v>4894</v>
      </c>
      <c r="M3234" s="113">
        <v>45874</v>
      </c>
      <c r="N3234" s="113"/>
      <c r="O3234" s="113"/>
      <c r="P3234" s="115" t="str">
        <f ca="1">IF(Proc[[#This Row],[DaysAgeing]]&gt;5,"yep","on track")</f>
        <v>yep</v>
      </c>
      <c r="Q3234" s="3">
        <f ca="1">IF(Proc[[#This Row],[DateClosed]]="",ABS(NETWORKDAYS(Proc[[#This Row],[DateOpened]],TODAY()))-1,ABS(NETWORKDAYS(Proc[[#This Row],[DateOpened]],Proc[[#This Row],[DateClosed]]))-1)</f>
        <v>98</v>
      </c>
      <c r="R3234" s="115" t="s">
        <v>489</v>
      </c>
      <c r="S3234" s="125"/>
    </row>
    <row r="3235" spans="1:19" hidden="1">
      <c r="A3235" s="124" t="s">
        <v>5271</v>
      </c>
      <c r="B3235" s="149" t="str">
        <f>IFERROR(VLOOKUP(Proc[[#This Row],[App]],Table2[],3,0),"open")</f>
        <v>ok</v>
      </c>
      <c r="C3235" s="124" t="s">
        <v>369</v>
      </c>
      <c r="D3235" t="s">
        <v>5262</v>
      </c>
      <c r="E3235" t="s">
        <v>5270</v>
      </c>
      <c r="F3235" s="125" t="s">
        <v>5270</v>
      </c>
      <c r="G3235" s="124" t="s">
        <v>400</v>
      </c>
      <c r="H3235" s="125" t="str">
        <f>IF(Proc[[#This Row],[type]]="LFF (MDG-F)",MID(Proc[[#This Row],[Obj]],13,10),"")</f>
        <v/>
      </c>
      <c r="J3235" s="125" t="b">
        <f>Proc[[#This Row],[Requested]]=Proc[[#This Row],[CurrentParent]]</f>
        <v>1</v>
      </c>
      <c r="K3235" s="144" t="str">
        <f>IF(Proc[[#This Row],[Author]]="Marcela Urrego",VLOOKUP(LEFT(Proc[[#This Row],[Requested]],1),Table3[#All],2,0),VLOOKUP(Proc[[#This Row],[Author]],Table4[],2,0))</f>
        <v>LS</v>
      </c>
      <c r="L3235" s="125" t="s">
        <v>4894</v>
      </c>
      <c r="M3235" s="113">
        <v>45874</v>
      </c>
      <c r="N3235" s="113"/>
      <c r="O3235" s="113"/>
      <c r="P3235" s="115" t="str">
        <f ca="1">IF(Proc[[#This Row],[DaysAgeing]]&gt;5,"yep","on track")</f>
        <v>yep</v>
      </c>
      <c r="Q3235" s="3">
        <f ca="1">IF(Proc[[#This Row],[DateClosed]]="",ABS(NETWORKDAYS(Proc[[#This Row],[DateOpened]],TODAY()))-1,ABS(NETWORKDAYS(Proc[[#This Row],[DateOpened]],Proc[[#This Row],[DateClosed]]))-1)</f>
        <v>98</v>
      </c>
      <c r="R3235" s="115" t="s">
        <v>489</v>
      </c>
      <c r="S3235" s="125"/>
    </row>
    <row r="3236" spans="1:19" hidden="1">
      <c r="A3236" s="124" t="s">
        <v>5271</v>
      </c>
      <c r="B3236" s="149" t="str">
        <f>IFERROR(VLOOKUP(Proc[[#This Row],[App]],Table2[],3,0),"open")</f>
        <v>ok</v>
      </c>
      <c r="C3236" s="124" t="s">
        <v>369</v>
      </c>
      <c r="D3236" t="s">
        <v>5263</v>
      </c>
      <c r="E3236" t="s">
        <v>5270</v>
      </c>
      <c r="F3236" s="125" t="s">
        <v>5270</v>
      </c>
      <c r="G3236" s="124" t="s">
        <v>400</v>
      </c>
      <c r="H3236" s="125" t="str">
        <f>IF(Proc[[#This Row],[type]]="LFF (MDG-F)",MID(Proc[[#This Row],[Obj]],13,10),"")</f>
        <v/>
      </c>
      <c r="J3236" s="125" t="b">
        <f>Proc[[#This Row],[Requested]]=Proc[[#This Row],[CurrentParent]]</f>
        <v>1</v>
      </c>
      <c r="K3236" s="144" t="str">
        <f>IF(Proc[[#This Row],[Author]]="Marcela Urrego",VLOOKUP(LEFT(Proc[[#This Row],[Requested]],1),Table3[#All],2,0),VLOOKUP(Proc[[#This Row],[Author]],Table4[],2,0))</f>
        <v>LS</v>
      </c>
      <c r="L3236" s="125" t="s">
        <v>4894</v>
      </c>
      <c r="M3236" s="113">
        <v>45874</v>
      </c>
      <c r="N3236" s="113"/>
      <c r="O3236" s="113"/>
      <c r="P3236" s="115" t="str">
        <f ca="1">IF(Proc[[#This Row],[DaysAgeing]]&gt;5,"yep","on track")</f>
        <v>yep</v>
      </c>
      <c r="Q3236" s="3">
        <f ca="1">IF(Proc[[#This Row],[DateClosed]]="",ABS(NETWORKDAYS(Proc[[#This Row],[DateOpened]],TODAY()))-1,ABS(NETWORKDAYS(Proc[[#This Row],[DateOpened]],Proc[[#This Row],[DateClosed]]))-1)</f>
        <v>98</v>
      </c>
      <c r="R3236" s="115" t="s">
        <v>489</v>
      </c>
      <c r="S3236" s="125"/>
    </row>
    <row r="3237" spans="1:19" hidden="1">
      <c r="A3237" s="124" t="s">
        <v>5271</v>
      </c>
      <c r="B3237" s="149" t="str">
        <f>IFERROR(VLOOKUP(Proc[[#This Row],[App]],Table2[],3,0),"open")</f>
        <v>ok</v>
      </c>
      <c r="C3237" s="124" t="s">
        <v>369</v>
      </c>
      <c r="D3237" t="s">
        <v>5264</v>
      </c>
      <c r="E3237" t="s">
        <v>5270</v>
      </c>
      <c r="F3237" s="125" t="s">
        <v>5270</v>
      </c>
      <c r="G3237" s="124" t="s">
        <v>400</v>
      </c>
      <c r="H3237" s="125" t="str">
        <f>IF(Proc[[#This Row],[type]]="LFF (MDG-F)",MID(Proc[[#This Row],[Obj]],13,10),"")</f>
        <v/>
      </c>
      <c r="J3237" s="125" t="b">
        <f>Proc[[#This Row],[Requested]]=Proc[[#This Row],[CurrentParent]]</f>
        <v>1</v>
      </c>
      <c r="K3237" s="144" t="str">
        <f>IF(Proc[[#This Row],[Author]]="Marcela Urrego",VLOOKUP(LEFT(Proc[[#This Row],[Requested]],1),Table3[#All],2,0),VLOOKUP(Proc[[#This Row],[Author]],Table4[],2,0))</f>
        <v>LS</v>
      </c>
      <c r="L3237" s="125" t="s">
        <v>4894</v>
      </c>
      <c r="M3237" s="113">
        <v>45874</v>
      </c>
      <c r="N3237" s="113"/>
      <c r="O3237" s="113"/>
      <c r="P3237" s="115" t="str">
        <f ca="1">IF(Proc[[#This Row],[DaysAgeing]]&gt;5,"yep","on track")</f>
        <v>yep</v>
      </c>
      <c r="Q3237" s="3">
        <f ca="1">IF(Proc[[#This Row],[DateClosed]]="",ABS(NETWORKDAYS(Proc[[#This Row],[DateOpened]],TODAY()))-1,ABS(NETWORKDAYS(Proc[[#This Row],[DateOpened]],Proc[[#This Row],[DateClosed]]))-1)</f>
        <v>98</v>
      </c>
      <c r="R3237" s="115" t="s">
        <v>489</v>
      </c>
      <c r="S3237" s="125"/>
    </row>
    <row r="3238" spans="1:19" hidden="1">
      <c r="A3238" s="124" t="s">
        <v>5271</v>
      </c>
      <c r="B3238" s="149" t="str">
        <f>IFERROR(VLOOKUP(Proc[[#This Row],[App]],Table2[],3,0),"open")</f>
        <v>ok</v>
      </c>
      <c r="C3238" s="124" t="s">
        <v>369</v>
      </c>
      <c r="D3238" t="s">
        <v>5265</v>
      </c>
      <c r="E3238" t="s">
        <v>5270</v>
      </c>
      <c r="F3238" s="125" t="s">
        <v>5270</v>
      </c>
      <c r="G3238" s="124" t="s">
        <v>400</v>
      </c>
      <c r="H3238" s="125" t="str">
        <f>IF(Proc[[#This Row],[type]]="LFF (MDG-F)",MID(Proc[[#This Row],[Obj]],13,10),"")</f>
        <v/>
      </c>
      <c r="J3238" s="125" t="b">
        <f>Proc[[#This Row],[Requested]]=Proc[[#This Row],[CurrentParent]]</f>
        <v>1</v>
      </c>
      <c r="K3238" s="144" t="str">
        <f>IF(Proc[[#This Row],[Author]]="Marcela Urrego",VLOOKUP(LEFT(Proc[[#This Row],[Requested]],1),Table3[#All],2,0),VLOOKUP(Proc[[#This Row],[Author]],Table4[],2,0))</f>
        <v>LS</v>
      </c>
      <c r="L3238" s="125" t="s">
        <v>4894</v>
      </c>
      <c r="M3238" s="113">
        <v>45874</v>
      </c>
      <c r="N3238" s="113"/>
      <c r="O3238" s="113"/>
      <c r="P3238" s="115" t="str">
        <f ca="1">IF(Proc[[#This Row],[DaysAgeing]]&gt;5,"yep","on track")</f>
        <v>yep</v>
      </c>
      <c r="Q3238" s="3">
        <f ca="1">IF(Proc[[#This Row],[DateClosed]]="",ABS(NETWORKDAYS(Proc[[#This Row],[DateOpened]],TODAY()))-1,ABS(NETWORKDAYS(Proc[[#This Row],[DateOpened]],Proc[[#This Row],[DateClosed]]))-1)</f>
        <v>98</v>
      </c>
      <c r="R3238" s="115" t="s">
        <v>489</v>
      </c>
      <c r="S3238" s="125"/>
    </row>
    <row r="3239" spans="1:19" hidden="1">
      <c r="A3239" s="124" t="s">
        <v>5271</v>
      </c>
      <c r="B3239" s="149" t="str">
        <f>IFERROR(VLOOKUP(Proc[[#This Row],[App]],Table2[],3,0),"open")</f>
        <v>ok</v>
      </c>
      <c r="C3239" s="124" t="s">
        <v>369</v>
      </c>
      <c r="D3239" t="s">
        <v>5266</v>
      </c>
      <c r="E3239" t="s">
        <v>5270</v>
      </c>
      <c r="F3239" s="125" t="s">
        <v>5270</v>
      </c>
      <c r="G3239" s="124" t="s">
        <v>400</v>
      </c>
      <c r="H3239" s="125" t="str">
        <f>IF(Proc[[#This Row],[type]]="LFF (MDG-F)",MID(Proc[[#This Row],[Obj]],13,10),"")</f>
        <v/>
      </c>
      <c r="J3239" s="125" t="b">
        <f>Proc[[#This Row],[Requested]]=Proc[[#This Row],[CurrentParent]]</f>
        <v>1</v>
      </c>
      <c r="K3239" s="144" t="str">
        <f>IF(Proc[[#This Row],[Author]]="Marcela Urrego",VLOOKUP(LEFT(Proc[[#This Row],[Requested]],1),Table3[#All],2,0),VLOOKUP(Proc[[#This Row],[Author]],Table4[],2,0))</f>
        <v>LS</v>
      </c>
      <c r="L3239" s="125" t="s">
        <v>4894</v>
      </c>
      <c r="M3239" s="113">
        <v>45874</v>
      </c>
      <c r="N3239" s="113"/>
      <c r="O3239" s="113"/>
      <c r="P3239" s="115" t="str">
        <f ca="1">IF(Proc[[#This Row],[DaysAgeing]]&gt;5,"yep","on track")</f>
        <v>yep</v>
      </c>
      <c r="Q3239" s="3">
        <f ca="1">IF(Proc[[#This Row],[DateClosed]]="",ABS(NETWORKDAYS(Proc[[#This Row],[DateOpened]],TODAY()))-1,ABS(NETWORKDAYS(Proc[[#This Row],[DateOpened]],Proc[[#This Row],[DateClosed]]))-1)</f>
        <v>98</v>
      </c>
      <c r="R3239" s="115" t="s">
        <v>489</v>
      </c>
      <c r="S3239" s="125"/>
    </row>
    <row r="3240" spans="1:19" hidden="1">
      <c r="A3240" s="124" t="s">
        <v>5271</v>
      </c>
      <c r="B3240" s="149" t="str">
        <f>IFERROR(VLOOKUP(Proc[[#This Row],[App]],Table2[],3,0),"open")</f>
        <v>ok</v>
      </c>
      <c r="C3240" s="124" t="s">
        <v>369</v>
      </c>
      <c r="D3240" t="s">
        <v>5267</v>
      </c>
      <c r="E3240" t="s">
        <v>5270</v>
      </c>
      <c r="F3240" s="125" t="s">
        <v>5270</v>
      </c>
      <c r="G3240" s="124" t="s">
        <v>400</v>
      </c>
      <c r="H3240" s="125" t="str">
        <f>IF(Proc[[#This Row],[type]]="LFF (MDG-F)",MID(Proc[[#This Row],[Obj]],13,10),"")</f>
        <v/>
      </c>
      <c r="J3240" s="125" t="b">
        <f>Proc[[#This Row],[Requested]]=Proc[[#This Row],[CurrentParent]]</f>
        <v>1</v>
      </c>
      <c r="K3240" s="144" t="str">
        <f>IF(Proc[[#This Row],[Author]]="Marcela Urrego",VLOOKUP(LEFT(Proc[[#This Row],[Requested]],1),Table3[#All],2,0),VLOOKUP(Proc[[#This Row],[Author]],Table4[],2,0))</f>
        <v>LS</v>
      </c>
      <c r="L3240" s="125" t="s">
        <v>4894</v>
      </c>
      <c r="M3240" s="113">
        <v>45874</v>
      </c>
      <c r="N3240" s="113"/>
      <c r="O3240" s="113"/>
      <c r="P3240" s="115" t="str">
        <f ca="1">IF(Proc[[#This Row],[DaysAgeing]]&gt;5,"yep","on track")</f>
        <v>yep</v>
      </c>
      <c r="Q3240" s="3">
        <f ca="1">IF(Proc[[#This Row],[DateClosed]]="",ABS(NETWORKDAYS(Proc[[#This Row],[DateOpened]],TODAY()))-1,ABS(NETWORKDAYS(Proc[[#This Row],[DateOpened]],Proc[[#This Row],[DateClosed]]))-1)</f>
        <v>98</v>
      </c>
      <c r="R3240" s="115" t="s">
        <v>489</v>
      </c>
      <c r="S3240" s="125"/>
    </row>
    <row r="3241" spans="1:19" hidden="1">
      <c r="A3241" s="124" t="s">
        <v>5271</v>
      </c>
      <c r="B3241" s="149" t="str">
        <f>IFERROR(VLOOKUP(Proc[[#This Row],[App]],Table2[],3,0),"open")</f>
        <v>ok</v>
      </c>
      <c r="C3241" s="124" t="s">
        <v>369</v>
      </c>
      <c r="D3241" t="s">
        <v>5268</v>
      </c>
      <c r="E3241" t="s">
        <v>5270</v>
      </c>
      <c r="F3241" s="125" t="s">
        <v>5270</v>
      </c>
      <c r="G3241" s="124" t="s">
        <v>400</v>
      </c>
      <c r="H3241" s="125" t="str">
        <f>IF(Proc[[#This Row],[type]]="LFF (MDG-F)",MID(Proc[[#This Row],[Obj]],13,10),"")</f>
        <v/>
      </c>
      <c r="J3241" s="125" t="b">
        <f>Proc[[#This Row],[Requested]]=Proc[[#This Row],[CurrentParent]]</f>
        <v>1</v>
      </c>
      <c r="K3241" s="144" t="str">
        <f>IF(Proc[[#This Row],[Author]]="Marcela Urrego",VLOOKUP(LEFT(Proc[[#This Row],[Requested]],1),Table3[#All],2,0),VLOOKUP(Proc[[#This Row],[Author]],Table4[],2,0))</f>
        <v>LS</v>
      </c>
      <c r="L3241" s="125" t="s">
        <v>4894</v>
      </c>
      <c r="M3241" s="113">
        <v>45874</v>
      </c>
      <c r="N3241" s="113"/>
      <c r="O3241" s="113"/>
      <c r="P3241" s="115" t="str">
        <f ca="1">IF(Proc[[#This Row],[DaysAgeing]]&gt;5,"yep","on track")</f>
        <v>yep</v>
      </c>
      <c r="Q3241" s="3">
        <f ca="1">IF(Proc[[#This Row],[DateClosed]]="",ABS(NETWORKDAYS(Proc[[#This Row],[DateOpened]],TODAY()))-1,ABS(NETWORKDAYS(Proc[[#This Row],[DateOpened]],Proc[[#This Row],[DateClosed]]))-1)</f>
        <v>98</v>
      </c>
      <c r="R3241" s="115" t="s">
        <v>489</v>
      </c>
      <c r="S3241" s="125"/>
    </row>
    <row r="3242" spans="1:19" hidden="1">
      <c r="A3242" s="124" t="s">
        <v>5271</v>
      </c>
      <c r="B3242" s="149" t="str">
        <f>IFERROR(VLOOKUP(Proc[[#This Row],[App]],Table2[],3,0),"open")</f>
        <v>ok</v>
      </c>
      <c r="C3242" s="124" t="s">
        <v>369</v>
      </c>
      <c r="D3242" t="s">
        <v>5269</v>
      </c>
      <c r="E3242" t="s">
        <v>5270</v>
      </c>
      <c r="F3242" s="125" t="s">
        <v>5270</v>
      </c>
      <c r="G3242" t="s">
        <v>406</v>
      </c>
      <c r="H3242" s="125" t="str">
        <f>IF(Proc[[#This Row],[type]]="LFF (MDG-F)",MID(Proc[[#This Row],[Obj]],13,10),"")</f>
        <v>1937R09209</v>
      </c>
      <c r="J3242" s="125" t="b">
        <f>Proc[[#This Row],[Requested]]=Proc[[#This Row],[CurrentParent]]</f>
        <v>1</v>
      </c>
      <c r="K3242" s="144" t="str">
        <f>IF(Proc[[#This Row],[Author]]="Marcela Urrego",VLOOKUP(LEFT(Proc[[#This Row],[Requested]],1),Table3[#All],2,0),VLOOKUP(Proc[[#This Row],[Author]],Table4[],2,0))</f>
        <v>LS</v>
      </c>
      <c r="L3242" s="125" t="s">
        <v>4894</v>
      </c>
      <c r="M3242" s="113">
        <v>45874</v>
      </c>
      <c r="N3242" s="113"/>
      <c r="O3242" s="113"/>
      <c r="P3242" s="115" t="str">
        <f ca="1">IF(Proc[[#This Row],[DaysAgeing]]&gt;5,"yep","on track")</f>
        <v>yep</v>
      </c>
      <c r="Q3242" s="3">
        <f ca="1">IF(Proc[[#This Row],[DateClosed]]="",ABS(NETWORKDAYS(Proc[[#This Row],[DateOpened]],TODAY()))-1,ABS(NETWORKDAYS(Proc[[#This Row],[DateOpened]],Proc[[#This Row],[DateClosed]]))-1)</f>
        <v>98</v>
      </c>
      <c r="R3242" s="115" t="s">
        <v>489</v>
      </c>
      <c r="S3242" s="125"/>
    </row>
    <row r="3243" spans="1:19" hidden="1">
      <c r="A3243" t="s">
        <v>5478</v>
      </c>
      <c r="B3243" s="149" t="str">
        <f>IFERROR(VLOOKUP(Proc[[#This Row],[App]],Table2[],3,0),"open")</f>
        <v>ok</v>
      </c>
      <c r="C3243" s="124" t="s">
        <v>369</v>
      </c>
      <c r="D3243" t="s">
        <v>5272</v>
      </c>
      <c r="E3243" t="s">
        <v>5444</v>
      </c>
      <c r="F3243" s="125" t="s">
        <v>5444</v>
      </c>
      <c r="G3243" t="s">
        <v>400</v>
      </c>
      <c r="H3243" s="125" t="str">
        <f>IF(Proc[[#This Row],[type]]="LFF (MDG-F)",MID(Proc[[#This Row],[Obj]],13,10),"")</f>
        <v/>
      </c>
      <c r="J3243" s="125" t="b">
        <f>Proc[[#This Row],[Requested]]=Proc[[#This Row],[CurrentParent]]</f>
        <v>1</v>
      </c>
      <c r="K3243" s="144" t="str">
        <f>IF(Proc[[#This Row],[Author]]="Marcela Urrego",VLOOKUP(LEFT(Proc[[#This Row],[Requested]],1),Table3[#All],2,0),VLOOKUP(Proc[[#This Row],[Author]],Table4[],2,0))</f>
        <v>MGF</v>
      </c>
      <c r="L3243" s="125" t="s">
        <v>4894</v>
      </c>
      <c r="M3243" s="113">
        <v>45874</v>
      </c>
      <c r="N3243" s="113"/>
      <c r="O3243" s="113"/>
      <c r="P3243" s="115" t="str">
        <f ca="1">IF(Proc[[#This Row],[DaysAgeing]]&gt;5,"yep","on track")</f>
        <v>yep</v>
      </c>
      <c r="Q3243" s="3">
        <f ca="1">IF(Proc[[#This Row],[DateClosed]]="",ABS(NETWORKDAYS(Proc[[#This Row],[DateOpened]],TODAY()))-1,ABS(NETWORKDAYS(Proc[[#This Row],[DateOpened]],Proc[[#This Row],[DateClosed]]))-1)</f>
        <v>98</v>
      </c>
      <c r="R3243" s="115" t="s">
        <v>1459</v>
      </c>
      <c r="S3243" s="125"/>
    </row>
    <row r="3244" spans="1:19" hidden="1">
      <c r="A3244" s="124" t="s">
        <v>5478</v>
      </c>
      <c r="B3244" s="149" t="str">
        <f>IFERROR(VLOOKUP(Proc[[#This Row],[App]],Table2[],3,0),"open")</f>
        <v>ok</v>
      </c>
      <c r="C3244" s="124" t="s">
        <v>369</v>
      </c>
      <c r="D3244" t="s">
        <v>5273</v>
      </c>
      <c r="E3244" t="s">
        <v>5445</v>
      </c>
      <c r="F3244" s="125" t="s">
        <v>5445</v>
      </c>
      <c r="G3244" s="124" t="s">
        <v>406</v>
      </c>
      <c r="H3244" s="125" t="str">
        <f>IF(Proc[[#This Row],[type]]="LFF (MDG-F)",MID(Proc[[#This Row],[Obj]],13,10),"")</f>
        <v>ZA50GIT10E</v>
      </c>
      <c r="J3244" s="125" t="b">
        <f>Proc[[#This Row],[Requested]]=Proc[[#This Row],[CurrentParent]]</f>
        <v>1</v>
      </c>
      <c r="K3244" s="144" t="str">
        <f>IF(Proc[[#This Row],[Author]]="Marcela Urrego",VLOOKUP(LEFT(Proc[[#This Row],[Requested]],1),Table3[#All],2,0),VLOOKUP(Proc[[#This Row],[Author]],Table4[],2,0))</f>
        <v>MGF</v>
      </c>
      <c r="L3244" s="125" t="s">
        <v>4894</v>
      </c>
      <c r="M3244" s="113">
        <v>45874</v>
      </c>
      <c r="N3244" s="113"/>
      <c r="O3244" s="113"/>
      <c r="P3244" s="115" t="str">
        <f ca="1">IF(Proc[[#This Row],[DaysAgeing]]&gt;5,"yep","on track")</f>
        <v>yep</v>
      </c>
      <c r="Q3244" s="3">
        <f ca="1">IF(Proc[[#This Row],[DateClosed]]="",ABS(NETWORKDAYS(Proc[[#This Row],[DateOpened]],TODAY()))-1,ABS(NETWORKDAYS(Proc[[#This Row],[DateOpened]],Proc[[#This Row],[DateClosed]]))-1)</f>
        <v>98</v>
      </c>
      <c r="R3244" s="115" t="s">
        <v>1459</v>
      </c>
      <c r="S3244" s="125"/>
    </row>
    <row r="3245" spans="1:19" hidden="1">
      <c r="A3245" s="124" t="s">
        <v>5478</v>
      </c>
      <c r="B3245" s="149" t="str">
        <f>IFERROR(VLOOKUP(Proc[[#This Row],[App]],Table2[],3,0),"open")</f>
        <v>ok</v>
      </c>
      <c r="C3245" s="124" t="s">
        <v>369</v>
      </c>
      <c r="D3245" t="s">
        <v>5274</v>
      </c>
      <c r="E3245" t="s">
        <v>5444</v>
      </c>
      <c r="F3245" s="125" t="s">
        <v>5444</v>
      </c>
      <c r="G3245" s="124" t="s">
        <v>400</v>
      </c>
      <c r="H3245" s="125" t="str">
        <f>IF(Proc[[#This Row],[type]]="LFF (MDG-F)",MID(Proc[[#This Row],[Obj]],13,10),"")</f>
        <v/>
      </c>
      <c r="J3245" s="125" t="b">
        <f>Proc[[#This Row],[Requested]]=Proc[[#This Row],[CurrentParent]]</f>
        <v>1</v>
      </c>
      <c r="K3245" s="144" t="str">
        <f>IF(Proc[[#This Row],[Author]]="Marcela Urrego",VLOOKUP(LEFT(Proc[[#This Row],[Requested]],1),Table3[#All],2,0),VLOOKUP(Proc[[#This Row],[Author]],Table4[],2,0))</f>
        <v>MGF</v>
      </c>
      <c r="L3245" s="125" t="s">
        <v>4894</v>
      </c>
      <c r="M3245" s="113">
        <v>45874</v>
      </c>
      <c r="N3245" s="113"/>
      <c r="O3245" s="113"/>
      <c r="P3245" s="115" t="str">
        <f ca="1">IF(Proc[[#This Row],[DaysAgeing]]&gt;5,"yep","on track")</f>
        <v>yep</v>
      </c>
      <c r="Q3245" s="3">
        <f ca="1">IF(Proc[[#This Row],[DateClosed]]="",ABS(NETWORKDAYS(Proc[[#This Row],[DateOpened]],TODAY()))-1,ABS(NETWORKDAYS(Proc[[#This Row],[DateOpened]],Proc[[#This Row],[DateClosed]]))-1)</f>
        <v>98</v>
      </c>
      <c r="R3245" s="115" t="s">
        <v>1459</v>
      </c>
      <c r="S3245" s="125"/>
    </row>
    <row r="3246" spans="1:19" hidden="1">
      <c r="A3246" s="124" t="s">
        <v>5478</v>
      </c>
      <c r="B3246" s="149" t="str">
        <f>IFERROR(VLOOKUP(Proc[[#This Row],[App]],Table2[],3,0),"open")</f>
        <v>ok</v>
      </c>
      <c r="C3246" s="124" t="s">
        <v>369</v>
      </c>
      <c r="D3246" t="s">
        <v>5275</v>
      </c>
      <c r="E3246" t="s">
        <v>5446</v>
      </c>
      <c r="F3246" s="125" t="s">
        <v>5446</v>
      </c>
      <c r="G3246" s="124" t="s">
        <v>406</v>
      </c>
      <c r="H3246" s="125" t="str">
        <f>IF(Proc[[#This Row],[type]]="LFF (MDG-F)",MID(Proc[[#This Row],[Obj]],13,10),"")</f>
        <v>CN90GIT301</v>
      </c>
      <c r="J3246" s="125" t="b">
        <f>Proc[[#This Row],[Requested]]=Proc[[#This Row],[CurrentParent]]</f>
        <v>1</v>
      </c>
      <c r="K3246" s="144" t="str">
        <f>IF(Proc[[#This Row],[Author]]="Marcela Urrego",VLOOKUP(LEFT(Proc[[#This Row],[Requested]],1),Table3[#All],2,0),VLOOKUP(Proc[[#This Row],[Author]],Table4[],2,0))</f>
        <v>MGF</v>
      </c>
      <c r="L3246" s="125" t="s">
        <v>4894</v>
      </c>
      <c r="M3246" s="113">
        <v>45874</v>
      </c>
      <c r="N3246" s="113"/>
      <c r="O3246" s="113"/>
      <c r="P3246" s="115" t="str">
        <f ca="1">IF(Proc[[#This Row],[DaysAgeing]]&gt;5,"yep","on track")</f>
        <v>yep</v>
      </c>
      <c r="Q3246" s="3">
        <f ca="1">IF(Proc[[#This Row],[DateClosed]]="",ABS(NETWORKDAYS(Proc[[#This Row],[DateOpened]],TODAY()))-1,ABS(NETWORKDAYS(Proc[[#This Row],[DateOpened]],Proc[[#This Row],[DateClosed]]))-1)</f>
        <v>98</v>
      </c>
      <c r="R3246" s="115" t="s">
        <v>1459</v>
      </c>
      <c r="S3246" s="125"/>
    </row>
    <row r="3247" spans="1:19" hidden="1">
      <c r="A3247" s="124" t="s">
        <v>5478</v>
      </c>
      <c r="B3247" s="149" t="str">
        <f>IFERROR(VLOOKUP(Proc[[#This Row],[App]],Table2[],3,0),"open")</f>
        <v>ok</v>
      </c>
      <c r="C3247" s="124" t="s">
        <v>369</v>
      </c>
      <c r="D3247" t="s">
        <v>5276</v>
      </c>
      <c r="E3247" t="s">
        <v>5447</v>
      </c>
      <c r="F3247" s="125" t="s">
        <v>5447</v>
      </c>
      <c r="G3247" s="124" t="s">
        <v>406</v>
      </c>
      <c r="H3247" s="125" t="str">
        <f>IF(Proc[[#This Row],[type]]="LFF (MDG-F)",MID(Proc[[#This Row],[Obj]],13,10),"")</f>
        <v>CN90GIT306</v>
      </c>
      <c r="J3247" s="125" t="b">
        <f>Proc[[#This Row],[Requested]]=Proc[[#This Row],[CurrentParent]]</f>
        <v>1</v>
      </c>
      <c r="K3247" s="144" t="str">
        <f>IF(Proc[[#This Row],[Author]]="Marcela Urrego",VLOOKUP(LEFT(Proc[[#This Row],[Requested]],1),Table3[#All],2,0),VLOOKUP(Proc[[#This Row],[Author]],Table4[],2,0))</f>
        <v>MGF</v>
      </c>
      <c r="L3247" s="125" t="s">
        <v>4894</v>
      </c>
      <c r="M3247" s="113">
        <v>45874</v>
      </c>
      <c r="N3247" s="113"/>
      <c r="O3247" s="113"/>
      <c r="P3247" s="115" t="str">
        <f ca="1">IF(Proc[[#This Row],[DaysAgeing]]&gt;5,"yep","on track")</f>
        <v>yep</v>
      </c>
      <c r="Q3247" s="3">
        <f ca="1">IF(Proc[[#This Row],[DateClosed]]="",ABS(NETWORKDAYS(Proc[[#This Row],[DateOpened]],TODAY()))-1,ABS(NETWORKDAYS(Proc[[#This Row],[DateOpened]],Proc[[#This Row],[DateClosed]]))-1)</f>
        <v>98</v>
      </c>
      <c r="R3247" s="115" t="s">
        <v>1459</v>
      </c>
      <c r="S3247" s="125"/>
    </row>
    <row r="3248" spans="1:19" hidden="1">
      <c r="A3248" s="124" t="s">
        <v>5478</v>
      </c>
      <c r="B3248" s="149" t="str">
        <f>IFERROR(VLOOKUP(Proc[[#This Row],[App]],Table2[],3,0),"open")</f>
        <v>ok</v>
      </c>
      <c r="C3248" s="124" t="s">
        <v>369</v>
      </c>
      <c r="D3248" t="s">
        <v>5277</v>
      </c>
      <c r="E3248" t="s">
        <v>5448</v>
      </c>
      <c r="F3248" s="125" t="s">
        <v>5448</v>
      </c>
      <c r="G3248" s="124" t="s">
        <v>406</v>
      </c>
      <c r="H3248" s="125" t="str">
        <f>IF(Proc[[#This Row],[type]]="LFF (MDG-F)",MID(Proc[[#This Row],[Obj]],13,10),"")</f>
        <v>CN90GIT120</v>
      </c>
      <c r="J3248" s="125" t="b">
        <f>Proc[[#This Row],[Requested]]=Proc[[#This Row],[CurrentParent]]</f>
        <v>1</v>
      </c>
      <c r="K3248" s="144" t="str">
        <f>IF(Proc[[#This Row],[Author]]="Marcela Urrego",VLOOKUP(LEFT(Proc[[#This Row],[Requested]],1),Table3[#All],2,0),VLOOKUP(Proc[[#This Row],[Author]],Table4[],2,0))</f>
        <v>MGF</v>
      </c>
      <c r="L3248" s="125" t="s">
        <v>4894</v>
      </c>
      <c r="M3248" s="113">
        <v>45874</v>
      </c>
      <c r="N3248" s="113"/>
      <c r="O3248" s="113"/>
      <c r="P3248" s="115" t="str">
        <f ca="1">IF(Proc[[#This Row],[DaysAgeing]]&gt;5,"yep","on track")</f>
        <v>yep</v>
      </c>
      <c r="Q3248" s="3">
        <f ca="1">IF(Proc[[#This Row],[DateClosed]]="",ABS(NETWORKDAYS(Proc[[#This Row],[DateOpened]],TODAY()))-1,ABS(NETWORKDAYS(Proc[[#This Row],[DateOpened]],Proc[[#This Row],[DateClosed]]))-1)</f>
        <v>98</v>
      </c>
      <c r="R3248" s="115" t="s">
        <v>1459</v>
      </c>
      <c r="S3248" s="125"/>
    </row>
    <row r="3249" spans="1:19" hidden="1">
      <c r="A3249" s="124" t="s">
        <v>5478</v>
      </c>
      <c r="B3249" s="149" t="str">
        <f>IFERROR(VLOOKUP(Proc[[#This Row],[App]],Table2[],3,0),"open")</f>
        <v>ok</v>
      </c>
      <c r="C3249" s="124" t="s">
        <v>369</v>
      </c>
      <c r="D3249" t="s">
        <v>5278</v>
      </c>
      <c r="E3249" t="s">
        <v>5449</v>
      </c>
      <c r="F3249" s="125" t="s">
        <v>5449</v>
      </c>
      <c r="G3249" s="124" t="s">
        <v>406</v>
      </c>
      <c r="H3249" s="125" t="str">
        <f>IF(Proc[[#This Row],[type]]="LFF (MDG-F)",MID(Proc[[#This Row],[Obj]],13,10),"")</f>
        <v>CN90GM4004</v>
      </c>
      <c r="J3249" s="125" t="b">
        <f>Proc[[#This Row],[Requested]]=Proc[[#This Row],[CurrentParent]]</f>
        <v>1</v>
      </c>
      <c r="K3249" s="144" t="str">
        <f>IF(Proc[[#This Row],[Author]]="Marcela Urrego",VLOOKUP(LEFT(Proc[[#This Row],[Requested]],1),Table3[#All],2,0),VLOOKUP(Proc[[#This Row],[Author]],Table4[],2,0))</f>
        <v>MGF</v>
      </c>
      <c r="L3249" s="125" t="s">
        <v>4894</v>
      </c>
      <c r="M3249" s="113">
        <v>45874</v>
      </c>
      <c r="N3249" s="113"/>
      <c r="O3249" s="113"/>
      <c r="P3249" s="115" t="str">
        <f ca="1">IF(Proc[[#This Row],[DaysAgeing]]&gt;5,"yep","on track")</f>
        <v>yep</v>
      </c>
      <c r="Q3249" s="3">
        <f ca="1">IF(Proc[[#This Row],[DateClosed]]="",ABS(NETWORKDAYS(Proc[[#This Row],[DateOpened]],TODAY()))-1,ABS(NETWORKDAYS(Proc[[#This Row],[DateOpened]],Proc[[#This Row],[DateClosed]]))-1)</f>
        <v>98</v>
      </c>
      <c r="R3249" s="115" t="s">
        <v>1459</v>
      </c>
      <c r="S3249" s="125"/>
    </row>
    <row r="3250" spans="1:19" hidden="1">
      <c r="A3250" s="124" t="s">
        <v>5478</v>
      </c>
      <c r="B3250" s="149" t="str">
        <f>IFERROR(VLOOKUP(Proc[[#This Row],[App]],Table2[],3,0),"open")</f>
        <v>ok</v>
      </c>
      <c r="C3250" s="124" t="s">
        <v>369</v>
      </c>
      <c r="D3250" t="s">
        <v>5279</v>
      </c>
      <c r="E3250" t="s">
        <v>424</v>
      </c>
      <c r="F3250" s="125" t="s">
        <v>424</v>
      </c>
      <c r="G3250" s="124" t="s">
        <v>406</v>
      </c>
      <c r="H3250" s="125" t="str">
        <f>IF(Proc[[#This Row],[type]]="LFF (MDG-F)",MID(Proc[[#This Row],[Obj]],13,10),"")</f>
        <v>CN01GIT01B</v>
      </c>
      <c r="J3250" s="125" t="b">
        <f>Proc[[#This Row],[Requested]]=Proc[[#This Row],[CurrentParent]]</f>
        <v>1</v>
      </c>
      <c r="K3250" s="144" t="str">
        <f>IF(Proc[[#This Row],[Author]]="Marcela Urrego",VLOOKUP(LEFT(Proc[[#This Row],[Requested]],1),Table3[#All],2,0),VLOOKUP(Proc[[#This Row],[Author]],Table4[],2,0))</f>
        <v>MGF</v>
      </c>
      <c r="L3250" s="125" t="s">
        <v>4894</v>
      </c>
      <c r="M3250" s="113">
        <v>45874</v>
      </c>
      <c r="N3250" s="113"/>
      <c r="O3250" s="113"/>
      <c r="P3250" s="115" t="str">
        <f ca="1">IF(Proc[[#This Row],[DaysAgeing]]&gt;5,"yep","on track")</f>
        <v>yep</v>
      </c>
      <c r="Q3250" s="3">
        <f ca="1">IF(Proc[[#This Row],[DateClosed]]="",ABS(NETWORKDAYS(Proc[[#This Row],[DateOpened]],TODAY()))-1,ABS(NETWORKDAYS(Proc[[#This Row],[DateOpened]],Proc[[#This Row],[DateClosed]]))-1)</f>
        <v>98</v>
      </c>
      <c r="R3250" s="115" t="s">
        <v>1459</v>
      </c>
      <c r="S3250" s="125"/>
    </row>
    <row r="3251" spans="1:19" hidden="1">
      <c r="A3251" s="124" t="s">
        <v>5478</v>
      </c>
      <c r="B3251" s="149" t="str">
        <f>IFERROR(VLOOKUP(Proc[[#This Row],[App]],Table2[],3,0),"open")</f>
        <v>ok</v>
      </c>
      <c r="C3251" s="124" t="s">
        <v>369</v>
      </c>
      <c r="D3251" t="s">
        <v>5280</v>
      </c>
      <c r="E3251" t="s">
        <v>424</v>
      </c>
      <c r="F3251" s="125" t="s">
        <v>424</v>
      </c>
      <c r="G3251" s="124" t="s">
        <v>406</v>
      </c>
      <c r="H3251" s="125" t="str">
        <f>IF(Proc[[#This Row],[type]]="LFF (MDG-F)",MID(Proc[[#This Row],[Obj]],13,10),"")</f>
        <v>DE04GIT01B</v>
      </c>
      <c r="J3251" s="125" t="b">
        <f>Proc[[#This Row],[Requested]]=Proc[[#This Row],[CurrentParent]]</f>
        <v>1</v>
      </c>
      <c r="K3251" s="144" t="str">
        <f>IF(Proc[[#This Row],[Author]]="Marcela Urrego",VLOOKUP(LEFT(Proc[[#This Row],[Requested]],1),Table3[#All],2,0),VLOOKUP(Proc[[#This Row],[Author]],Table4[],2,0))</f>
        <v>MGF</v>
      </c>
      <c r="L3251" s="125" t="s">
        <v>4894</v>
      </c>
      <c r="M3251" s="113">
        <v>45874</v>
      </c>
      <c r="N3251" s="113"/>
      <c r="O3251" s="113"/>
      <c r="P3251" s="115" t="str">
        <f ca="1">IF(Proc[[#This Row],[DaysAgeing]]&gt;5,"yep","on track")</f>
        <v>yep</v>
      </c>
      <c r="Q3251" s="3">
        <f ca="1">IF(Proc[[#This Row],[DateClosed]]="",ABS(NETWORKDAYS(Proc[[#This Row],[DateOpened]],TODAY()))-1,ABS(NETWORKDAYS(Proc[[#This Row],[DateOpened]],Proc[[#This Row],[DateClosed]]))-1)</f>
        <v>98</v>
      </c>
      <c r="R3251" s="115" t="s">
        <v>1459</v>
      </c>
      <c r="S3251" s="125"/>
    </row>
    <row r="3252" spans="1:19" hidden="1">
      <c r="A3252" s="124" t="s">
        <v>5478</v>
      </c>
      <c r="B3252" s="149" t="str">
        <f>IFERROR(VLOOKUP(Proc[[#This Row],[App]],Table2[],3,0),"open")</f>
        <v>ok</v>
      </c>
      <c r="C3252" s="124" t="s">
        <v>369</v>
      </c>
      <c r="D3252" t="s">
        <v>5281</v>
      </c>
      <c r="E3252" t="s">
        <v>5450</v>
      </c>
      <c r="F3252" s="125" t="s">
        <v>5450</v>
      </c>
      <c r="G3252" s="124" t="s">
        <v>400</v>
      </c>
      <c r="H3252" s="125" t="str">
        <f>IF(Proc[[#This Row],[type]]="LFF (MDG-F)",MID(Proc[[#This Row],[Obj]],13,10),"")</f>
        <v/>
      </c>
      <c r="J3252" s="125" t="b">
        <f>Proc[[#This Row],[Requested]]=Proc[[#This Row],[CurrentParent]]</f>
        <v>1</v>
      </c>
      <c r="K3252" s="144" t="str">
        <f>IF(Proc[[#This Row],[Author]]="Marcela Urrego",VLOOKUP(LEFT(Proc[[#This Row],[Requested]],1),Table3[#All],2,0),VLOOKUP(Proc[[#This Row],[Author]],Table4[],2,0))</f>
        <v>MGF</v>
      </c>
      <c r="L3252" s="125" t="s">
        <v>4894</v>
      </c>
      <c r="M3252" s="113">
        <v>45874</v>
      </c>
      <c r="N3252" s="113"/>
      <c r="O3252" s="113"/>
      <c r="P3252" s="115" t="str">
        <f ca="1">IF(Proc[[#This Row],[DaysAgeing]]&gt;5,"yep","on track")</f>
        <v>yep</v>
      </c>
      <c r="Q3252" s="3">
        <f ca="1">IF(Proc[[#This Row],[DateClosed]]="",ABS(NETWORKDAYS(Proc[[#This Row],[DateOpened]],TODAY()))-1,ABS(NETWORKDAYS(Proc[[#This Row],[DateOpened]],Proc[[#This Row],[DateClosed]]))-1)</f>
        <v>98</v>
      </c>
      <c r="R3252" s="115" t="s">
        <v>1459</v>
      </c>
      <c r="S3252" s="125"/>
    </row>
    <row r="3253" spans="1:19" hidden="1">
      <c r="A3253" s="124" t="s">
        <v>5478</v>
      </c>
      <c r="B3253" s="149" t="str">
        <f>IFERROR(VLOOKUP(Proc[[#This Row],[App]],Table2[],3,0),"open")</f>
        <v>ok</v>
      </c>
      <c r="C3253" s="124" t="s">
        <v>369</v>
      </c>
      <c r="D3253" t="s">
        <v>5282</v>
      </c>
      <c r="E3253" t="s">
        <v>5451</v>
      </c>
      <c r="F3253" s="125" t="s">
        <v>5451</v>
      </c>
      <c r="G3253" s="124" t="s">
        <v>400</v>
      </c>
      <c r="H3253" s="125" t="str">
        <f>IF(Proc[[#This Row],[type]]="LFF (MDG-F)",MID(Proc[[#This Row],[Obj]],13,10),"")</f>
        <v/>
      </c>
      <c r="J3253" s="125" t="b">
        <f>Proc[[#This Row],[Requested]]=Proc[[#This Row],[CurrentParent]]</f>
        <v>1</v>
      </c>
      <c r="K3253" s="144" t="str">
        <f>IF(Proc[[#This Row],[Author]]="Marcela Urrego",VLOOKUP(LEFT(Proc[[#This Row],[Requested]],1),Table3[#All],2,0),VLOOKUP(Proc[[#This Row],[Author]],Table4[],2,0))</f>
        <v>MGF</v>
      </c>
      <c r="L3253" s="125" t="s">
        <v>4894</v>
      </c>
      <c r="M3253" s="113">
        <v>45874</v>
      </c>
      <c r="N3253" s="113"/>
      <c r="O3253" s="113"/>
      <c r="P3253" s="115" t="str">
        <f ca="1">IF(Proc[[#This Row],[DaysAgeing]]&gt;5,"yep","on track")</f>
        <v>yep</v>
      </c>
      <c r="Q3253" s="3">
        <f ca="1">IF(Proc[[#This Row],[DateClosed]]="",ABS(NETWORKDAYS(Proc[[#This Row],[DateOpened]],TODAY()))-1,ABS(NETWORKDAYS(Proc[[#This Row],[DateOpened]],Proc[[#This Row],[DateClosed]]))-1)</f>
        <v>98</v>
      </c>
      <c r="R3253" s="115" t="s">
        <v>1459</v>
      </c>
      <c r="S3253" s="125"/>
    </row>
    <row r="3254" spans="1:19" hidden="1">
      <c r="A3254" s="124" t="s">
        <v>5478</v>
      </c>
      <c r="B3254" s="149" t="str">
        <f>IFERROR(VLOOKUP(Proc[[#This Row],[App]],Table2[],3,0),"open")</f>
        <v>ok</v>
      </c>
      <c r="C3254" s="124" t="s">
        <v>369</v>
      </c>
      <c r="D3254" t="s">
        <v>5283</v>
      </c>
      <c r="E3254" t="s">
        <v>5452</v>
      </c>
      <c r="F3254" s="125" t="s">
        <v>5452</v>
      </c>
      <c r="G3254" s="124" t="s">
        <v>400</v>
      </c>
      <c r="H3254" s="125" t="str">
        <f>IF(Proc[[#This Row],[type]]="LFF (MDG-F)",MID(Proc[[#This Row],[Obj]],13,10),"")</f>
        <v/>
      </c>
      <c r="J3254" s="125" t="b">
        <f>Proc[[#This Row],[Requested]]=Proc[[#This Row],[CurrentParent]]</f>
        <v>1</v>
      </c>
      <c r="K3254" s="144" t="str">
        <f>IF(Proc[[#This Row],[Author]]="Marcela Urrego",VLOOKUP(LEFT(Proc[[#This Row],[Requested]],1),Table3[#All],2,0),VLOOKUP(Proc[[#This Row],[Author]],Table4[],2,0))</f>
        <v>MGF</v>
      </c>
      <c r="L3254" s="125" t="s">
        <v>4894</v>
      </c>
      <c r="M3254" s="113">
        <v>45874</v>
      </c>
      <c r="N3254" s="113"/>
      <c r="O3254" s="113"/>
      <c r="P3254" s="115" t="str">
        <f ca="1">IF(Proc[[#This Row],[DaysAgeing]]&gt;5,"yep","on track")</f>
        <v>yep</v>
      </c>
      <c r="Q3254" s="3">
        <f ca="1">IF(Proc[[#This Row],[DateClosed]]="",ABS(NETWORKDAYS(Proc[[#This Row],[DateOpened]],TODAY()))-1,ABS(NETWORKDAYS(Proc[[#This Row],[DateOpened]],Proc[[#This Row],[DateClosed]]))-1)</f>
        <v>98</v>
      </c>
      <c r="R3254" s="115" t="s">
        <v>1459</v>
      </c>
      <c r="S3254" s="125"/>
    </row>
    <row r="3255" spans="1:19" hidden="1">
      <c r="A3255" s="124" t="s">
        <v>5478</v>
      </c>
      <c r="B3255" s="149" t="str">
        <f>IFERROR(VLOOKUP(Proc[[#This Row],[App]],Table2[],3,0),"open")</f>
        <v>ok</v>
      </c>
      <c r="C3255" s="124" t="s">
        <v>369</v>
      </c>
      <c r="D3255" t="s">
        <v>5284</v>
      </c>
      <c r="E3255" t="s">
        <v>5453</v>
      </c>
      <c r="F3255" s="125" t="s">
        <v>5453</v>
      </c>
      <c r="G3255" s="124" t="s">
        <v>400</v>
      </c>
      <c r="H3255" s="125" t="str">
        <f>IF(Proc[[#This Row],[type]]="LFF (MDG-F)",MID(Proc[[#This Row],[Obj]],13,10),"")</f>
        <v/>
      </c>
      <c r="J3255" s="125" t="b">
        <f>Proc[[#This Row],[Requested]]=Proc[[#This Row],[CurrentParent]]</f>
        <v>1</v>
      </c>
      <c r="K3255" s="144" t="str">
        <f>IF(Proc[[#This Row],[Author]]="Marcela Urrego",VLOOKUP(LEFT(Proc[[#This Row],[Requested]],1),Table3[#All],2,0),VLOOKUP(Proc[[#This Row],[Author]],Table4[],2,0))</f>
        <v>MGF</v>
      </c>
      <c r="L3255" s="125" t="s">
        <v>4894</v>
      </c>
      <c r="M3255" s="113">
        <v>45874</v>
      </c>
      <c r="N3255" s="113"/>
      <c r="O3255" s="113"/>
      <c r="P3255" s="115" t="str">
        <f ca="1">IF(Proc[[#This Row],[DaysAgeing]]&gt;5,"yep","on track")</f>
        <v>yep</v>
      </c>
      <c r="Q3255" s="3">
        <f ca="1">IF(Proc[[#This Row],[DateClosed]]="",ABS(NETWORKDAYS(Proc[[#This Row],[DateOpened]],TODAY()))-1,ABS(NETWORKDAYS(Proc[[#This Row],[DateOpened]],Proc[[#This Row],[DateClosed]]))-1)</f>
        <v>98</v>
      </c>
      <c r="R3255" s="115" t="s">
        <v>1459</v>
      </c>
      <c r="S3255" s="125"/>
    </row>
    <row r="3256" spans="1:19" hidden="1">
      <c r="A3256" s="124" t="s">
        <v>5478</v>
      </c>
      <c r="B3256" s="149" t="str">
        <f>IFERROR(VLOOKUP(Proc[[#This Row],[App]],Table2[],3,0),"open")</f>
        <v>ok</v>
      </c>
      <c r="C3256" s="124" t="s">
        <v>369</v>
      </c>
      <c r="D3256" t="s">
        <v>5285</v>
      </c>
      <c r="E3256" t="s">
        <v>5453</v>
      </c>
      <c r="F3256" s="125" t="s">
        <v>5453</v>
      </c>
      <c r="G3256" s="124" t="s">
        <v>406</v>
      </c>
      <c r="H3256" s="125" t="str">
        <f>IF(Proc[[#This Row],[type]]="LFF (MDG-F)",MID(Proc[[#This Row],[Obj]],13,10),"")</f>
        <v>ES50GIT208</v>
      </c>
      <c r="J3256" s="125" t="b">
        <f>Proc[[#This Row],[Requested]]=Proc[[#This Row],[CurrentParent]]</f>
        <v>1</v>
      </c>
      <c r="K3256" s="144" t="str">
        <f>IF(Proc[[#This Row],[Author]]="Marcela Urrego",VLOOKUP(LEFT(Proc[[#This Row],[Requested]],1),Table3[#All],2,0),VLOOKUP(Proc[[#This Row],[Author]],Table4[],2,0))</f>
        <v>MGF</v>
      </c>
      <c r="L3256" s="125" t="s">
        <v>4894</v>
      </c>
      <c r="M3256" s="113">
        <v>45874</v>
      </c>
      <c r="N3256" s="113"/>
      <c r="O3256" s="113"/>
      <c r="P3256" s="115" t="str">
        <f ca="1">IF(Proc[[#This Row],[DaysAgeing]]&gt;5,"yep","on track")</f>
        <v>yep</v>
      </c>
      <c r="Q3256" s="3">
        <f ca="1">IF(Proc[[#This Row],[DateClosed]]="",ABS(NETWORKDAYS(Proc[[#This Row],[DateOpened]],TODAY()))-1,ABS(NETWORKDAYS(Proc[[#This Row],[DateOpened]],Proc[[#This Row],[DateClosed]]))-1)</f>
        <v>98</v>
      </c>
      <c r="R3256" s="115" t="s">
        <v>1459</v>
      </c>
      <c r="S3256" s="125"/>
    </row>
    <row r="3257" spans="1:19" hidden="1">
      <c r="A3257" s="124" t="s">
        <v>5478</v>
      </c>
      <c r="B3257" s="149" t="str">
        <f>IFERROR(VLOOKUP(Proc[[#This Row],[App]],Table2[],3,0),"open")</f>
        <v>ok</v>
      </c>
      <c r="C3257" s="124" t="s">
        <v>369</v>
      </c>
      <c r="D3257" t="s">
        <v>5286</v>
      </c>
      <c r="E3257" t="s">
        <v>5453</v>
      </c>
      <c r="F3257" s="125" t="s">
        <v>5453</v>
      </c>
      <c r="G3257" s="124" t="s">
        <v>406</v>
      </c>
      <c r="H3257" s="125" t="str">
        <f>IF(Proc[[#This Row],[type]]="LFF (MDG-F)",MID(Proc[[#This Row],[Obj]],13,10),"")</f>
        <v>ES50GIT220</v>
      </c>
      <c r="J3257" s="125" t="b">
        <f>Proc[[#This Row],[Requested]]=Proc[[#This Row],[CurrentParent]]</f>
        <v>1</v>
      </c>
      <c r="K3257" s="144" t="str">
        <f>IF(Proc[[#This Row],[Author]]="Marcela Urrego",VLOOKUP(LEFT(Proc[[#This Row],[Requested]],1),Table3[#All],2,0),VLOOKUP(Proc[[#This Row],[Author]],Table4[],2,0))</f>
        <v>MGF</v>
      </c>
      <c r="L3257" s="125" t="s">
        <v>4894</v>
      </c>
      <c r="M3257" s="113">
        <v>45874</v>
      </c>
      <c r="N3257" s="113"/>
      <c r="O3257" s="113"/>
      <c r="P3257" s="115" t="str">
        <f ca="1">IF(Proc[[#This Row],[DaysAgeing]]&gt;5,"yep","on track")</f>
        <v>yep</v>
      </c>
      <c r="Q3257" s="3">
        <f ca="1">IF(Proc[[#This Row],[DateClosed]]="",ABS(NETWORKDAYS(Proc[[#This Row],[DateOpened]],TODAY()))-1,ABS(NETWORKDAYS(Proc[[#This Row],[DateOpened]],Proc[[#This Row],[DateClosed]]))-1)</f>
        <v>98</v>
      </c>
      <c r="R3257" s="115" t="s">
        <v>1459</v>
      </c>
      <c r="S3257" s="125"/>
    </row>
    <row r="3258" spans="1:19" hidden="1">
      <c r="A3258" s="124" t="s">
        <v>5478</v>
      </c>
      <c r="B3258" s="149" t="str">
        <f>IFERROR(VLOOKUP(Proc[[#This Row],[App]],Table2[],3,0),"open")</f>
        <v>ok</v>
      </c>
      <c r="C3258" s="124" t="s">
        <v>369</v>
      </c>
      <c r="D3258" t="s">
        <v>5287</v>
      </c>
      <c r="E3258" t="s">
        <v>5454</v>
      </c>
      <c r="F3258" s="125" t="s">
        <v>5454</v>
      </c>
      <c r="G3258" s="124" t="s">
        <v>406</v>
      </c>
      <c r="H3258" s="125" t="str">
        <f>IF(Proc[[#This Row],[type]]="LFF (MDG-F)",MID(Proc[[#This Row],[Obj]],13,10),"")</f>
        <v>ES50GIT60L</v>
      </c>
      <c r="J3258" s="125" t="b">
        <f>Proc[[#This Row],[Requested]]=Proc[[#This Row],[CurrentParent]]</f>
        <v>1</v>
      </c>
      <c r="K3258" s="144" t="str">
        <f>IF(Proc[[#This Row],[Author]]="Marcela Urrego",VLOOKUP(LEFT(Proc[[#This Row],[Requested]],1),Table3[#All],2,0),VLOOKUP(Proc[[#This Row],[Author]],Table4[],2,0))</f>
        <v>MGF</v>
      </c>
      <c r="L3258" s="125" t="s">
        <v>4894</v>
      </c>
      <c r="M3258" s="113">
        <v>45874</v>
      </c>
      <c r="N3258" s="113"/>
      <c r="O3258" s="113"/>
      <c r="P3258" s="115" t="str">
        <f ca="1">IF(Proc[[#This Row],[DaysAgeing]]&gt;5,"yep","on track")</f>
        <v>yep</v>
      </c>
      <c r="Q3258" s="3">
        <f ca="1">IF(Proc[[#This Row],[DateClosed]]="",ABS(NETWORKDAYS(Proc[[#This Row],[DateOpened]],TODAY()))-1,ABS(NETWORKDAYS(Proc[[#This Row],[DateOpened]],Proc[[#This Row],[DateClosed]]))-1)</f>
        <v>98</v>
      </c>
      <c r="R3258" s="115" t="s">
        <v>1459</v>
      </c>
      <c r="S3258" s="125"/>
    </row>
    <row r="3259" spans="1:19" hidden="1">
      <c r="A3259" s="124" t="s">
        <v>5478</v>
      </c>
      <c r="B3259" s="149" t="str">
        <f>IFERROR(VLOOKUP(Proc[[#This Row],[App]],Table2[],3,0),"open")</f>
        <v>ok</v>
      </c>
      <c r="C3259" s="124" t="s">
        <v>369</v>
      </c>
      <c r="D3259" t="s">
        <v>5288</v>
      </c>
      <c r="E3259" t="s">
        <v>5450</v>
      </c>
      <c r="F3259" s="125" t="s">
        <v>5450</v>
      </c>
      <c r="G3259" s="124" t="s">
        <v>406</v>
      </c>
      <c r="H3259" s="125" t="str">
        <f>IF(Proc[[#This Row],[type]]="LFF (MDG-F)",MID(Proc[[#This Row],[Obj]],13,10),"")</f>
        <v>NL50GMS010</v>
      </c>
      <c r="J3259" s="125" t="b">
        <f>Proc[[#This Row],[Requested]]=Proc[[#This Row],[CurrentParent]]</f>
        <v>1</v>
      </c>
      <c r="K3259" s="144" t="str">
        <f>IF(Proc[[#This Row],[Author]]="Marcela Urrego",VLOOKUP(LEFT(Proc[[#This Row],[Requested]],1),Table3[#All],2,0),VLOOKUP(Proc[[#This Row],[Author]],Table4[],2,0))</f>
        <v>MGF</v>
      </c>
      <c r="L3259" s="125" t="s">
        <v>4894</v>
      </c>
      <c r="M3259" s="113">
        <v>45874</v>
      </c>
      <c r="N3259" s="113"/>
      <c r="O3259" s="113"/>
      <c r="P3259" s="115" t="str">
        <f ca="1">IF(Proc[[#This Row],[DaysAgeing]]&gt;5,"yep","on track")</f>
        <v>yep</v>
      </c>
      <c r="Q3259" s="3">
        <f ca="1">IF(Proc[[#This Row],[DateClosed]]="",ABS(NETWORKDAYS(Proc[[#This Row],[DateOpened]],TODAY()))-1,ABS(NETWORKDAYS(Proc[[#This Row],[DateOpened]],Proc[[#This Row],[DateClosed]]))-1)</f>
        <v>98</v>
      </c>
      <c r="R3259" s="115" t="s">
        <v>1459</v>
      </c>
      <c r="S3259" s="125"/>
    </row>
    <row r="3260" spans="1:19" hidden="1">
      <c r="A3260" s="124" t="s">
        <v>5478</v>
      </c>
      <c r="B3260" s="149" t="str">
        <f>IFERROR(VLOOKUP(Proc[[#This Row],[App]],Table2[],3,0),"open")</f>
        <v>ok</v>
      </c>
      <c r="C3260" s="124" t="s">
        <v>369</v>
      </c>
      <c r="D3260" t="s">
        <v>5289</v>
      </c>
      <c r="E3260" t="s">
        <v>5455</v>
      </c>
      <c r="F3260" s="125" t="s">
        <v>5455</v>
      </c>
      <c r="G3260" s="124" t="s">
        <v>400</v>
      </c>
      <c r="H3260" s="125" t="str">
        <f>IF(Proc[[#This Row],[type]]="LFF (MDG-F)",MID(Proc[[#This Row],[Obj]],13,10),"")</f>
        <v/>
      </c>
      <c r="J3260" s="125" t="b">
        <f>Proc[[#This Row],[Requested]]=Proc[[#This Row],[CurrentParent]]</f>
        <v>1</v>
      </c>
      <c r="K3260" s="144" t="str">
        <f>IF(Proc[[#This Row],[Author]]="Marcela Urrego",VLOOKUP(LEFT(Proc[[#This Row],[Requested]],1),Table3[#All],2,0),VLOOKUP(Proc[[#This Row],[Author]],Table4[],2,0))</f>
        <v>MGF</v>
      </c>
      <c r="L3260" s="125" t="s">
        <v>4894</v>
      </c>
      <c r="M3260" s="113">
        <v>45874</v>
      </c>
      <c r="N3260" s="113"/>
      <c r="O3260" s="113"/>
      <c r="P3260" s="115" t="str">
        <f ca="1">IF(Proc[[#This Row],[DaysAgeing]]&gt;5,"yep","on track")</f>
        <v>yep</v>
      </c>
      <c r="Q3260" s="3">
        <f ca="1">IF(Proc[[#This Row],[DateClosed]]="",ABS(NETWORKDAYS(Proc[[#This Row],[DateOpened]],TODAY()))-1,ABS(NETWORKDAYS(Proc[[#This Row],[DateOpened]],Proc[[#This Row],[DateClosed]]))-1)</f>
        <v>98</v>
      </c>
      <c r="R3260" s="115" t="s">
        <v>1459</v>
      </c>
      <c r="S3260" s="125"/>
    </row>
    <row r="3261" spans="1:19" hidden="1">
      <c r="A3261" s="124" t="s">
        <v>5478</v>
      </c>
      <c r="B3261" s="149" t="str">
        <f>IFERROR(VLOOKUP(Proc[[#This Row],[App]],Table2[],3,0),"open")</f>
        <v>ok</v>
      </c>
      <c r="C3261" s="124" t="s">
        <v>369</v>
      </c>
      <c r="D3261" t="s">
        <v>5290</v>
      </c>
      <c r="E3261" t="s">
        <v>5455</v>
      </c>
      <c r="F3261" s="125" t="s">
        <v>5455</v>
      </c>
      <c r="G3261" s="124" t="s">
        <v>400</v>
      </c>
      <c r="H3261" s="125" t="str">
        <f>IF(Proc[[#This Row],[type]]="LFF (MDG-F)",MID(Proc[[#This Row],[Obj]],13,10),"")</f>
        <v/>
      </c>
      <c r="J3261" s="125" t="b">
        <f>Proc[[#This Row],[Requested]]=Proc[[#This Row],[CurrentParent]]</f>
        <v>1</v>
      </c>
      <c r="K3261" s="144" t="str">
        <f>IF(Proc[[#This Row],[Author]]="Marcela Urrego",VLOOKUP(LEFT(Proc[[#This Row],[Requested]],1),Table3[#All],2,0),VLOOKUP(Proc[[#This Row],[Author]],Table4[],2,0))</f>
        <v>MGF</v>
      </c>
      <c r="L3261" s="125" t="s">
        <v>4894</v>
      </c>
      <c r="M3261" s="113">
        <v>45874</v>
      </c>
      <c r="N3261" s="113"/>
      <c r="O3261" s="113"/>
      <c r="P3261" s="115" t="str">
        <f ca="1">IF(Proc[[#This Row],[DaysAgeing]]&gt;5,"yep","on track")</f>
        <v>yep</v>
      </c>
      <c r="Q3261" s="3">
        <f ca="1">IF(Proc[[#This Row],[DateClosed]]="",ABS(NETWORKDAYS(Proc[[#This Row],[DateOpened]],TODAY()))-1,ABS(NETWORKDAYS(Proc[[#This Row],[DateOpened]],Proc[[#This Row],[DateClosed]]))-1)</f>
        <v>98</v>
      </c>
      <c r="R3261" s="115" t="s">
        <v>1459</v>
      </c>
      <c r="S3261" s="125"/>
    </row>
    <row r="3262" spans="1:19" hidden="1">
      <c r="A3262" s="124" t="s">
        <v>5478</v>
      </c>
      <c r="B3262" s="149" t="str">
        <f>IFERROR(VLOOKUP(Proc[[#This Row],[App]],Table2[],3,0),"open")</f>
        <v>ok</v>
      </c>
      <c r="C3262" s="124" t="s">
        <v>369</v>
      </c>
      <c r="D3262" t="s">
        <v>5291</v>
      </c>
      <c r="E3262" t="s">
        <v>5453</v>
      </c>
      <c r="F3262" s="125" t="s">
        <v>5453</v>
      </c>
      <c r="G3262" s="124" t="s">
        <v>400</v>
      </c>
      <c r="H3262" s="125" t="str">
        <f>IF(Proc[[#This Row],[type]]="LFF (MDG-F)",MID(Proc[[#This Row],[Obj]],13,10),"")</f>
        <v/>
      </c>
      <c r="J3262" s="125" t="b">
        <f>Proc[[#This Row],[Requested]]=Proc[[#This Row],[CurrentParent]]</f>
        <v>1</v>
      </c>
      <c r="K3262" s="144" t="str">
        <f>IF(Proc[[#This Row],[Author]]="Marcela Urrego",VLOOKUP(LEFT(Proc[[#This Row],[Requested]],1),Table3[#All],2,0),VLOOKUP(Proc[[#This Row],[Author]],Table4[],2,0))</f>
        <v>MGF</v>
      </c>
      <c r="L3262" s="125" t="s">
        <v>4894</v>
      </c>
      <c r="M3262" s="113">
        <v>45874</v>
      </c>
      <c r="N3262" s="113"/>
      <c r="O3262" s="113"/>
      <c r="P3262" s="115" t="str">
        <f ca="1">IF(Proc[[#This Row],[DaysAgeing]]&gt;5,"yep","on track")</f>
        <v>yep</v>
      </c>
      <c r="Q3262" s="3">
        <f ca="1">IF(Proc[[#This Row],[DateClosed]]="",ABS(NETWORKDAYS(Proc[[#This Row],[DateOpened]],TODAY()))-1,ABS(NETWORKDAYS(Proc[[#This Row],[DateOpened]],Proc[[#This Row],[DateClosed]]))-1)</f>
        <v>98</v>
      </c>
      <c r="R3262" s="115" t="s">
        <v>1459</v>
      </c>
      <c r="S3262" s="125"/>
    </row>
    <row r="3263" spans="1:19" hidden="1">
      <c r="A3263" s="124" t="s">
        <v>5478</v>
      </c>
      <c r="B3263" s="149" t="str">
        <f>IFERROR(VLOOKUP(Proc[[#This Row],[App]],Table2[],3,0),"open")</f>
        <v>ok</v>
      </c>
      <c r="C3263" s="124" t="s">
        <v>369</v>
      </c>
      <c r="D3263" t="s">
        <v>5292</v>
      </c>
      <c r="E3263" t="s">
        <v>5456</v>
      </c>
      <c r="F3263" s="125" t="s">
        <v>5456</v>
      </c>
      <c r="G3263" s="124" t="s">
        <v>400</v>
      </c>
      <c r="H3263" s="125" t="str">
        <f>IF(Proc[[#This Row],[type]]="LFF (MDG-F)",MID(Proc[[#This Row],[Obj]],13,10),"")</f>
        <v/>
      </c>
      <c r="J3263" s="125" t="b">
        <f>Proc[[#This Row],[Requested]]=Proc[[#This Row],[CurrentParent]]</f>
        <v>1</v>
      </c>
      <c r="K3263" s="144" t="str">
        <f>IF(Proc[[#This Row],[Author]]="Marcela Urrego",VLOOKUP(LEFT(Proc[[#This Row],[Requested]],1),Table3[#All],2,0),VLOOKUP(Proc[[#This Row],[Author]],Table4[],2,0))</f>
        <v>MGF</v>
      </c>
      <c r="L3263" s="125" t="s">
        <v>4894</v>
      </c>
      <c r="M3263" s="113">
        <v>45874</v>
      </c>
      <c r="N3263" s="113"/>
      <c r="O3263" s="113"/>
      <c r="P3263" s="115" t="str">
        <f ca="1">IF(Proc[[#This Row],[DaysAgeing]]&gt;5,"yep","on track")</f>
        <v>yep</v>
      </c>
      <c r="Q3263" s="3">
        <f ca="1">IF(Proc[[#This Row],[DateClosed]]="",ABS(NETWORKDAYS(Proc[[#This Row],[DateOpened]],TODAY()))-1,ABS(NETWORKDAYS(Proc[[#This Row],[DateOpened]],Proc[[#This Row],[DateClosed]]))-1)</f>
        <v>98</v>
      </c>
      <c r="R3263" s="115" t="s">
        <v>1459</v>
      </c>
      <c r="S3263" s="125"/>
    </row>
    <row r="3264" spans="1:19" hidden="1">
      <c r="A3264" s="124" t="s">
        <v>5478</v>
      </c>
      <c r="B3264" s="149" t="str">
        <f>IFERROR(VLOOKUP(Proc[[#This Row],[App]],Table2[],3,0),"open")</f>
        <v>ok</v>
      </c>
      <c r="C3264" s="124" t="s">
        <v>369</v>
      </c>
      <c r="D3264" t="s">
        <v>5293</v>
      </c>
      <c r="E3264" t="s">
        <v>5449</v>
      </c>
      <c r="F3264" s="125" t="s">
        <v>5449</v>
      </c>
      <c r="G3264" s="124" t="s">
        <v>400</v>
      </c>
      <c r="H3264" s="125" t="str">
        <f>IF(Proc[[#This Row],[type]]="LFF (MDG-F)",MID(Proc[[#This Row],[Obj]],13,10),"")</f>
        <v/>
      </c>
      <c r="J3264" s="125" t="b">
        <f>Proc[[#This Row],[Requested]]=Proc[[#This Row],[CurrentParent]]</f>
        <v>1</v>
      </c>
      <c r="K3264" s="144" t="str">
        <f>IF(Proc[[#This Row],[Author]]="Marcela Urrego",VLOOKUP(LEFT(Proc[[#This Row],[Requested]],1),Table3[#All],2,0),VLOOKUP(Proc[[#This Row],[Author]],Table4[],2,0))</f>
        <v>MGF</v>
      </c>
      <c r="L3264" s="125" t="s">
        <v>4894</v>
      </c>
      <c r="M3264" s="113">
        <v>45874</v>
      </c>
      <c r="N3264" s="113"/>
      <c r="O3264" s="113"/>
      <c r="P3264" s="115" t="str">
        <f ca="1">IF(Proc[[#This Row],[DaysAgeing]]&gt;5,"yep","on track")</f>
        <v>yep</v>
      </c>
      <c r="Q3264" s="3">
        <f ca="1">IF(Proc[[#This Row],[DateClosed]]="",ABS(NETWORKDAYS(Proc[[#This Row],[DateOpened]],TODAY()))-1,ABS(NETWORKDAYS(Proc[[#This Row],[DateOpened]],Proc[[#This Row],[DateClosed]]))-1)</f>
        <v>98</v>
      </c>
      <c r="R3264" s="115" t="s">
        <v>1459</v>
      </c>
      <c r="S3264" s="125"/>
    </row>
    <row r="3265" spans="1:19" hidden="1">
      <c r="A3265" s="124" t="s">
        <v>5478</v>
      </c>
      <c r="B3265" s="149" t="str">
        <f>IFERROR(VLOOKUP(Proc[[#This Row],[App]],Table2[],3,0),"open")</f>
        <v>ok</v>
      </c>
      <c r="C3265" s="124" t="s">
        <v>369</v>
      </c>
      <c r="D3265" t="s">
        <v>5294</v>
      </c>
      <c r="E3265" t="s">
        <v>5456</v>
      </c>
      <c r="F3265" s="125" t="s">
        <v>5456</v>
      </c>
      <c r="G3265" s="124" t="s">
        <v>400</v>
      </c>
      <c r="H3265" s="125" t="str">
        <f>IF(Proc[[#This Row],[type]]="LFF (MDG-F)",MID(Proc[[#This Row],[Obj]],13,10),"")</f>
        <v/>
      </c>
      <c r="J3265" s="125" t="b">
        <f>Proc[[#This Row],[Requested]]=Proc[[#This Row],[CurrentParent]]</f>
        <v>1</v>
      </c>
      <c r="K3265" s="144" t="str">
        <f>IF(Proc[[#This Row],[Author]]="Marcela Urrego",VLOOKUP(LEFT(Proc[[#This Row],[Requested]],1),Table3[#All],2,0),VLOOKUP(Proc[[#This Row],[Author]],Table4[],2,0))</f>
        <v>MGF</v>
      </c>
      <c r="L3265" s="125" t="s">
        <v>4894</v>
      </c>
      <c r="M3265" s="113">
        <v>45874</v>
      </c>
      <c r="N3265" s="113"/>
      <c r="O3265" s="113"/>
      <c r="P3265" s="115" t="str">
        <f ca="1">IF(Proc[[#This Row],[DaysAgeing]]&gt;5,"yep","on track")</f>
        <v>yep</v>
      </c>
      <c r="Q3265" s="3">
        <f ca="1">IF(Proc[[#This Row],[DateClosed]]="",ABS(NETWORKDAYS(Proc[[#This Row],[DateOpened]],TODAY()))-1,ABS(NETWORKDAYS(Proc[[#This Row],[DateOpened]],Proc[[#This Row],[DateClosed]]))-1)</f>
        <v>98</v>
      </c>
      <c r="R3265" s="115" t="s">
        <v>1459</v>
      </c>
      <c r="S3265" s="125"/>
    </row>
    <row r="3266" spans="1:19" hidden="1">
      <c r="A3266" s="124" t="s">
        <v>5478</v>
      </c>
      <c r="B3266" s="149" t="str">
        <f>IFERROR(VLOOKUP(Proc[[#This Row],[App]],Table2[],3,0),"open")</f>
        <v>ok</v>
      </c>
      <c r="C3266" s="124" t="s">
        <v>369</v>
      </c>
      <c r="D3266" t="s">
        <v>5295</v>
      </c>
      <c r="E3266" t="s">
        <v>5457</v>
      </c>
      <c r="F3266" s="125" t="s">
        <v>5457</v>
      </c>
      <c r="G3266" s="124" t="s">
        <v>400</v>
      </c>
      <c r="H3266" s="125" t="str">
        <f>IF(Proc[[#This Row],[type]]="LFF (MDG-F)",MID(Proc[[#This Row],[Obj]],13,10),"")</f>
        <v/>
      </c>
      <c r="J3266" s="125" t="b">
        <f>Proc[[#This Row],[Requested]]=Proc[[#This Row],[CurrentParent]]</f>
        <v>1</v>
      </c>
      <c r="K3266" s="144" t="str">
        <f>IF(Proc[[#This Row],[Author]]="Marcela Urrego",VLOOKUP(LEFT(Proc[[#This Row],[Requested]],1),Table3[#All],2,0),VLOOKUP(Proc[[#This Row],[Author]],Table4[],2,0))</f>
        <v>MGF</v>
      </c>
      <c r="L3266" s="125" t="s">
        <v>4894</v>
      </c>
      <c r="M3266" s="113">
        <v>45874</v>
      </c>
      <c r="N3266" s="113"/>
      <c r="O3266" s="113"/>
      <c r="P3266" s="115" t="str">
        <f ca="1">IF(Proc[[#This Row],[DaysAgeing]]&gt;5,"yep","on track")</f>
        <v>yep</v>
      </c>
      <c r="Q3266" s="3">
        <f ca="1">IF(Proc[[#This Row],[DateClosed]]="",ABS(NETWORKDAYS(Proc[[#This Row],[DateOpened]],TODAY()))-1,ABS(NETWORKDAYS(Proc[[#This Row],[DateOpened]],Proc[[#This Row],[DateClosed]]))-1)</f>
        <v>98</v>
      </c>
      <c r="R3266" s="115" t="s">
        <v>1459</v>
      </c>
      <c r="S3266" s="125"/>
    </row>
    <row r="3267" spans="1:19" hidden="1">
      <c r="A3267" s="124" t="s">
        <v>5478</v>
      </c>
      <c r="B3267" s="149" t="str">
        <f>IFERROR(VLOOKUP(Proc[[#This Row],[App]],Table2[],3,0),"open")</f>
        <v>ok</v>
      </c>
      <c r="C3267" s="124" t="s">
        <v>369</v>
      </c>
      <c r="D3267" t="s">
        <v>5296</v>
      </c>
      <c r="E3267" t="s">
        <v>5449</v>
      </c>
      <c r="F3267" s="125" t="s">
        <v>5449</v>
      </c>
      <c r="G3267" s="124" t="s">
        <v>400</v>
      </c>
      <c r="H3267" s="125" t="str">
        <f>IF(Proc[[#This Row],[type]]="LFF (MDG-F)",MID(Proc[[#This Row],[Obj]],13,10),"")</f>
        <v/>
      </c>
      <c r="J3267" s="125" t="b">
        <f>Proc[[#This Row],[Requested]]=Proc[[#This Row],[CurrentParent]]</f>
        <v>1</v>
      </c>
      <c r="K3267" s="144" t="str">
        <f>IF(Proc[[#This Row],[Author]]="Marcela Urrego",VLOOKUP(LEFT(Proc[[#This Row],[Requested]],1),Table3[#All],2,0),VLOOKUP(Proc[[#This Row],[Author]],Table4[],2,0))</f>
        <v>MGF</v>
      </c>
      <c r="L3267" s="125" t="s">
        <v>4894</v>
      </c>
      <c r="M3267" s="113">
        <v>45874</v>
      </c>
      <c r="N3267" s="113"/>
      <c r="O3267" s="113"/>
      <c r="P3267" s="115" t="str">
        <f ca="1">IF(Proc[[#This Row],[DaysAgeing]]&gt;5,"yep","on track")</f>
        <v>yep</v>
      </c>
      <c r="Q3267" s="3">
        <f ca="1">IF(Proc[[#This Row],[DateClosed]]="",ABS(NETWORKDAYS(Proc[[#This Row],[DateOpened]],TODAY()))-1,ABS(NETWORKDAYS(Proc[[#This Row],[DateOpened]],Proc[[#This Row],[DateClosed]]))-1)</f>
        <v>98</v>
      </c>
      <c r="R3267" s="115" t="s">
        <v>1459</v>
      </c>
      <c r="S3267" s="125"/>
    </row>
    <row r="3268" spans="1:19" hidden="1">
      <c r="A3268" s="124" t="s">
        <v>5478</v>
      </c>
      <c r="B3268" s="149" t="str">
        <f>IFERROR(VLOOKUP(Proc[[#This Row],[App]],Table2[],3,0),"open")</f>
        <v>ok</v>
      </c>
      <c r="C3268" s="124" t="s">
        <v>369</v>
      </c>
      <c r="D3268" t="s">
        <v>4807</v>
      </c>
      <c r="E3268" t="s">
        <v>4410</v>
      </c>
      <c r="F3268" s="125" t="s">
        <v>4410</v>
      </c>
      <c r="G3268" s="124" t="s">
        <v>400</v>
      </c>
      <c r="H3268" s="125" t="str">
        <f>IF(Proc[[#This Row],[type]]="LFF (MDG-F)",MID(Proc[[#This Row],[Obj]],13,10),"")</f>
        <v/>
      </c>
      <c r="J3268" s="125" t="b">
        <f>Proc[[#This Row],[Requested]]=Proc[[#This Row],[CurrentParent]]</f>
        <v>1</v>
      </c>
      <c r="K3268" s="144" t="str">
        <f>IF(Proc[[#This Row],[Author]]="Marcela Urrego",VLOOKUP(LEFT(Proc[[#This Row],[Requested]],1),Table3[#All],2,0),VLOOKUP(Proc[[#This Row],[Author]],Table4[],2,0))</f>
        <v>MGF</v>
      </c>
      <c r="L3268" s="125" t="s">
        <v>4894</v>
      </c>
      <c r="M3268" s="113">
        <v>45874</v>
      </c>
      <c r="N3268" s="113"/>
      <c r="O3268" s="113"/>
      <c r="P3268" s="115" t="str">
        <f ca="1">IF(Proc[[#This Row],[DaysAgeing]]&gt;5,"yep","on track")</f>
        <v>yep</v>
      </c>
      <c r="Q3268" s="3">
        <f ca="1">IF(Proc[[#This Row],[DateClosed]]="",ABS(NETWORKDAYS(Proc[[#This Row],[DateOpened]],TODAY()))-1,ABS(NETWORKDAYS(Proc[[#This Row],[DateOpened]],Proc[[#This Row],[DateClosed]]))-1)</f>
        <v>98</v>
      </c>
      <c r="R3268" s="115" t="s">
        <v>1459</v>
      </c>
      <c r="S3268" s="125"/>
    </row>
    <row r="3269" spans="1:19" hidden="1">
      <c r="A3269" s="124" t="s">
        <v>5478</v>
      </c>
      <c r="B3269" s="149" t="str">
        <f>IFERROR(VLOOKUP(Proc[[#This Row],[App]],Table2[],3,0),"open")</f>
        <v>ok</v>
      </c>
      <c r="C3269" s="124" t="s">
        <v>369</v>
      </c>
      <c r="D3269" t="s">
        <v>5297</v>
      </c>
      <c r="E3269" t="s">
        <v>5449</v>
      </c>
      <c r="F3269" s="125" t="s">
        <v>5449</v>
      </c>
      <c r="G3269" s="124" t="s">
        <v>400</v>
      </c>
      <c r="H3269" s="125" t="str">
        <f>IF(Proc[[#This Row],[type]]="LFF (MDG-F)",MID(Proc[[#This Row],[Obj]],13,10),"")</f>
        <v/>
      </c>
      <c r="J3269" s="125" t="b">
        <f>Proc[[#This Row],[Requested]]=Proc[[#This Row],[CurrentParent]]</f>
        <v>1</v>
      </c>
      <c r="K3269" s="144" t="str">
        <f>IF(Proc[[#This Row],[Author]]="Marcela Urrego",VLOOKUP(LEFT(Proc[[#This Row],[Requested]],1),Table3[#All],2,0),VLOOKUP(Proc[[#This Row],[Author]],Table4[],2,0))</f>
        <v>MGF</v>
      </c>
      <c r="L3269" s="125" t="s">
        <v>4894</v>
      </c>
      <c r="M3269" s="113">
        <v>45874</v>
      </c>
      <c r="N3269" s="113"/>
      <c r="O3269" s="113"/>
      <c r="P3269" s="115" t="str">
        <f ca="1">IF(Proc[[#This Row],[DaysAgeing]]&gt;5,"yep","on track")</f>
        <v>yep</v>
      </c>
      <c r="Q3269" s="3">
        <f ca="1">IF(Proc[[#This Row],[DateClosed]]="",ABS(NETWORKDAYS(Proc[[#This Row],[DateOpened]],TODAY()))-1,ABS(NETWORKDAYS(Proc[[#This Row],[DateOpened]],Proc[[#This Row],[DateClosed]]))-1)</f>
        <v>98</v>
      </c>
      <c r="R3269" s="115" t="s">
        <v>1459</v>
      </c>
      <c r="S3269" s="125"/>
    </row>
    <row r="3270" spans="1:19" hidden="1">
      <c r="A3270" s="124" t="s">
        <v>5478</v>
      </c>
      <c r="B3270" s="149" t="str">
        <f>IFERROR(VLOOKUP(Proc[[#This Row],[App]],Table2[],3,0),"open")</f>
        <v>ok</v>
      </c>
      <c r="C3270" s="124" t="s">
        <v>369</v>
      </c>
      <c r="D3270" t="s">
        <v>5298</v>
      </c>
      <c r="E3270" t="s">
        <v>5458</v>
      </c>
      <c r="F3270" s="125" t="s">
        <v>5458</v>
      </c>
      <c r="G3270" s="124" t="s">
        <v>400</v>
      </c>
      <c r="H3270" s="125" t="str">
        <f>IF(Proc[[#This Row],[type]]="LFF (MDG-F)",MID(Proc[[#This Row],[Obj]],13,10),"")</f>
        <v/>
      </c>
      <c r="J3270" s="125" t="b">
        <f>Proc[[#This Row],[Requested]]=Proc[[#This Row],[CurrentParent]]</f>
        <v>1</v>
      </c>
      <c r="K3270" s="144" t="str">
        <f>IF(Proc[[#This Row],[Author]]="Marcela Urrego",VLOOKUP(LEFT(Proc[[#This Row],[Requested]],1),Table3[#All],2,0),VLOOKUP(Proc[[#This Row],[Author]],Table4[],2,0))</f>
        <v>MGF</v>
      </c>
      <c r="L3270" s="125" t="s">
        <v>4894</v>
      </c>
      <c r="M3270" s="113">
        <v>45874</v>
      </c>
      <c r="N3270" s="113"/>
      <c r="O3270" s="113"/>
      <c r="P3270" s="115" t="str">
        <f ca="1">IF(Proc[[#This Row],[DaysAgeing]]&gt;5,"yep","on track")</f>
        <v>yep</v>
      </c>
      <c r="Q3270" s="3">
        <f ca="1">IF(Proc[[#This Row],[DateClosed]]="",ABS(NETWORKDAYS(Proc[[#This Row],[DateOpened]],TODAY()))-1,ABS(NETWORKDAYS(Proc[[#This Row],[DateOpened]],Proc[[#This Row],[DateClosed]]))-1)</f>
        <v>98</v>
      </c>
      <c r="R3270" s="115" t="s">
        <v>1459</v>
      </c>
      <c r="S3270" s="125"/>
    </row>
    <row r="3271" spans="1:19" hidden="1">
      <c r="A3271" s="124" t="s">
        <v>5478</v>
      </c>
      <c r="B3271" s="149" t="str">
        <f>IFERROR(VLOOKUP(Proc[[#This Row],[App]],Table2[],3,0),"open")</f>
        <v>ok</v>
      </c>
      <c r="C3271" s="124" t="s">
        <v>369</v>
      </c>
      <c r="D3271" t="s">
        <v>5299</v>
      </c>
      <c r="E3271" t="s">
        <v>5459</v>
      </c>
      <c r="F3271" s="125" t="s">
        <v>5459</v>
      </c>
      <c r="G3271" s="124" t="s">
        <v>400</v>
      </c>
      <c r="H3271" s="125" t="str">
        <f>IF(Proc[[#This Row],[type]]="LFF (MDG-F)",MID(Proc[[#This Row],[Obj]],13,10),"")</f>
        <v/>
      </c>
      <c r="J3271" s="125" t="b">
        <f>Proc[[#This Row],[Requested]]=Proc[[#This Row],[CurrentParent]]</f>
        <v>1</v>
      </c>
      <c r="K3271" s="144" t="str">
        <f>IF(Proc[[#This Row],[Author]]="Marcela Urrego",VLOOKUP(LEFT(Proc[[#This Row],[Requested]],1),Table3[#All],2,0),VLOOKUP(Proc[[#This Row],[Author]],Table4[],2,0))</f>
        <v>MGF</v>
      </c>
      <c r="L3271" s="125" t="s">
        <v>4894</v>
      </c>
      <c r="M3271" s="113">
        <v>45874</v>
      </c>
      <c r="N3271" s="113"/>
      <c r="O3271" s="113"/>
      <c r="P3271" s="115" t="str">
        <f ca="1">IF(Proc[[#This Row],[DaysAgeing]]&gt;5,"yep","on track")</f>
        <v>yep</v>
      </c>
      <c r="Q3271" s="3">
        <f ca="1">IF(Proc[[#This Row],[DateClosed]]="",ABS(NETWORKDAYS(Proc[[#This Row],[DateOpened]],TODAY()))-1,ABS(NETWORKDAYS(Proc[[#This Row],[DateOpened]],Proc[[#This Row],[DateClosed]]))-1)</f>
        <v>98</v>
      </c>
      <c r="R3271" s="115" t="s">
        <v>1459</v>
      </c>
      <c r="S3271" s="125"/>
    </row>
    <row r="3272" spans="1:19" hidden="1">
      <c r="A3272" s="124" t="s">
        <v>5478</v>
      </c>
      <c r="B3272" s="149" t="str">
        <f>IFERROR(VLOOKUP(Proc[[#This Row],[App]],Table2[],3,0),"open")</f>
        <v>ok</v>
      </c>
      <c r="C3272" s="124" t="s">
        <v>369</v>
      </c>
      <c r="D3272" t="s">
        <v>5300</v>
      </c>
      <c r="E3272" t="s">
        <v>5460</v>
      </c>
      <c r="F3272" s="125" t="s">
        <v>5460</v>
      </c>
      <c r="G3272" s="124" t="s">
        <v>400</v>
      </c>
      <c r="H3272" s="125" t="str">
        <f>IF(Proc[[#This Row],[type]]="LFF (MDG-F)",MID(Proc[[#This Row],[Obj]],13,10),"")</f>
        <v/>
      </c>
      <c r="J3272" s="125" t="b">
        <f>Proc[[#This Row],[Requested]]=Proc[[#This Row],[CurrentParent]]</f>
        <v>1</v>
      </c>
      <c r="K3272" s="144" t="str">
        <f>IF(Proc[[#This Row],[Author]]="Marcela Urrego",VLOOKUP(LEFT(Proc[[#This Row],[Requested]],1),Table3[#All],2,0),VLOOKUP(Proc[[#This Row],[Author]],Table4[],2,0))</f>
        <v>MGF</v>
      </c>
      <c r="L3272" s="125" t="s">
        <v>4894</v>
      </c>
      <c r="M3272" s="113">
        <v>45874</v>
      </c>
      <c r="N3272" s="113"/>
      <c r="O3272" s="113"/>
      <c r="P3272" s="115" t="str">
        <f ca="1">IF(Proc[[#This Row],[DaysAgeing]]&gt;5,"yep","on track")</f>
        <v>yep</v>
      </c>
      <c r="Q3272" s="3">
        <f ca="1">IF(Proc[[#This Row],[DateClosed]]="",ABS(NETWORKDAYS(Proc[[#This Row],[DateOpened]],TODAY()))-1,ABS(NETWORKDAYS(Proc[[#This Row],[DateOpened]],Proc[[#This Row],[DateClosed]]))-1)</f>
        <v>98</v>
      </c>
      <c r="R3272" s="115" t="s">
        <v>1459</v>
      </c>
      <c r="S3272" s="125"/>
    </row>
    <row r="3273" spans="1:19" hidden="1">
      <c r="A3273" s="124" t="s">
        <v>5478</v>
      </c>
      <c r="B3273" s="149" t="str">
        <f>IFERROR(VLOOKUP(Proc[[#This Row],[App]],Table2[],3,0),"open")</f>
        <v>ok</v>
      </c>
      <c r="C3273" s="124" t="s">
        <v>369</v>
      </c>
      <c r="D3273" t="s">
        <v>3370</v>
      </c>
      <c r="E3273" t="s">
        <v>5457</v>
      </c>
      <c r="F3273" s="125" t="s">
        <v>5457</v>
      </c>
      <c r="G3273" s="124" t="s">
        <v>400</v>
      </c>
      <c r="H3273" s="125" t="str">
        <f>IF(Proc[[#This Row],[type]]="LFF (MDG-F)",MID(Proc[[#This Row],[Obj]],13,10),"")</f>
        <v/>
      </c>
      <c r="J3273" s="125" t="b">
        <f>Proc[[#This Row],[Requested]]=Proc[[#This Row],[CurrentParent]]</f>
        <v>1</v>
      </c>
      <c r="K3273" s="144" t="str">
        <f>IF(Proc[[#This Row],[Author]]="Marcela Urrego",VLOOKUP(LEFT(Proc[[#This Row],[Requested]],1),Table3[#All],2,0),VLOOKUP(Proc[[#This Row],[Author]],Table4[],2,0))</f>
        <v>MGF</v>
      </c>
      <c r="L3273" s="125" t="s">
        <v>4894</v>
      </c>
      <c r="M3273" s="113">
        <v>45874</v>
      </c>
      <c r="N3273" s="113"/>
      <c r="O3273" s="113"/>
      <c r="P3273" s="115" t="str">
        <f ca="1">IF(Proc[[#This Row],[DaysAgeing]]&gt;5,"yep","on track")</f>
        <v>yep</v>
      </c>
      <c r="Q3273" s="3">
        <f ca="1">IF(Proc[[#This Row],[DateClosed]]="",ABS(NETWORKDAYS(Proc[[#This Row],[DateOpened]],TODAY()))-1,ABS(NETWORKDAYS(Proc[[#This Row],[DateOpened]],Proc[[#This Row],[DateClosed]]))-1)</f>
        <v>98</v>
      </c>
      <c r="R3273" s="115" t="s">
        <v>1459</v>
      </c>
      <c r="S3273" s="125"/>
    </row>
    <row r="3274" spans="1:19" hidden="1">
      <c r="A3274" s="124" t="s">
        <v>5478</v>
      </c>
      <c r="B3274" s="149" t="str">
        <f>IFERROR(VLOOKUP(Proc[[#This Row],[App]],Table2[],3,0),"open")</f>
        <v>ok</v>
      </c>
      <c r="C3274" s="124" t="s">
        <v>369</v>
      </c>
      <c r="D3274" t="s">
        <v>5301</v>
      </c>
      <c r="E3274" t="s">
        <v>5459</v>
      </c>
      <c r="F3274" s="125" t="s">
        <v>5459</v>
      </c>
      <c r="G3274" s="124" t="s">
        <v>400</v>
      </c>
      <c r="H3274" s="125" t="str">
        <f>IF(Proc[[#This Row],[type]]="LFF (MDG-F)",MID(Proc[[#This Row],[Obj]],13,10),"")</f>
        <v/>
      </c>
      <c r="J3274" s="125" t="b">
        <f>Proc[[#This Row],[Requested]]=Proc[[#This Row],[CurrentParent]]</f>
        <v>1</v>
      </c>
      <c r="K3274" s="144" t="str">
        <f>IF(Proc[[#This Row],[Author]]="Marcela Urrego",VLOOKUP(LEFT(Proc[[#This Row],[Requested]],1),Table3[#All],2,0),VLOOKUP(Proc[[#This Row],[Author]],Table4[],2,0))</f>
        <v>MGF</v>
      </c>
      <c r="L3274" s="125" t="s">
        <v>4894</v>
      </c>
      <c r="M3274" s="113">
        <v>45874</v>
      </c>
      <c r="N3274" s="113"/>
      <c r="O3274" s="113"/>
      <c r="P3274" s="115" t="str">
        <f ca="1">IF(Proc[[#This Row],[DaysAgeing]]&gt;5,"yep","on track")</f>
        <v>yep</v>
      </c>
      <c r="Q3274" s="3">
        <f ca="1">IF(Proc[[#This Row],[DateClosed]]="",ABS(NETWORKDAYS(Proc[[#This Row],[DateOpened]],TODAY()))-1,ABS(NETWORKDAYS(Proc[[#This Row],[DateOpened]],Proc[[#This Row],[DateClosed]]))-1)</f>
        <v>98</v>
      </c>
      <c r="R3274" s="115" t="s">
        <v>1459</v>
      </c>
      <c r="S3274" s="125"/>
    </row>
    <row r="3275" spans="1:19" hidden="1">
      <c r="A3275" s="124" t="s">
        <v>5478</v>
      </c>
      <c r="B3275" s="149" t="str">
        <f>IFERROR(VLOOKUP(Proc[[#This Row],[App]],Table2[],3,0),"open")</f>
        <v>ok</v>
      </c>
      <c r="C3275" s="124" t="s">
        <v>369</v>
      </c>
      <c r="D3275" t="s">
        <v>5302</v>
      </c>
      <c r="E3275" t="s">
        <v>5449</v>
      </c>
      <c r="F3275" s="125" t="s">
        <v>5449</v>
      </c>
      <c r="G3275" s="124" t="s">
        <v>400</v>
      </c>
      <c r="H3275" s="125" t="str">
        <f>IF(Proc[[#This Row],[type]]="LFF (MDG-F)",MID(Proc[[#This Row],[Obj]],13,10),"")</f>
        <v/>
      </c>
      <c r="J3275" s="125" t="b">
        <f>Proc[[#This Row],[Requested]]=Proc[[#This Row],[CurrentParent]]</f>
        <v>1</v>
      </c>
      <c r="K3275" s="144" t="str">
        <f>IF(Proc[[#This Row],[Author]]="Marcela Urrego",VLOOKUP(LEFT(Proc[[#This Row],[Requested]],1),Table3[#All],2,0),VLOOKUP(Proc[[#This Row],[Author]],Table4[],2,0))</f>
        <v>MGF</v>
      </c>
      <c r="L3275" s="125" t="s">
        <v>4894</v>
      </c>
      <c r="M3275" s="113">
        <v>45874</v>
      </c>
      <c r="N3275" s="113"/>
      <c r="O3275" s="113"/>
      <c r="P3275" s="115" t="str">
        <f ca="1">IF(Proc[[#This Row],[DaysAgeing]]&gt;5,"yep","on track")</f>
        <v>yep</v>
      </c>
      <c r="Q3275" s="3">
        <f ca="1">IF(Proc[[#This Row],[DateClosed]]="",ABS(NETWORKDAYS(Proc[[#This Row],[DateOpened]],TODAY()))-1,ABS(NETWORKDAYS(Proc[[#This Row],[DateOpened]],Proc[[#This Row],[DateClosed]]))-1)</f>
        <v>98</v>
      </c>
      <c r="R3275" s="115" t="s">
        <v>1459</v>
      </c>
      <c r="S3275" s="125"/>
    </row>
    <row r="3276" spans="1:19" hidden="1">
      <c r="A3276" s="124" t="s">
        <v>5478</v>
      </c>
      <c r="B3276" s="149" t="str">
        <f>IFERROR(VLOOKUP(Proc[[#This Row],[App]],Table2[],3,0),"open")</f>
        <v>ok</v>
      </c>
      <c r="C3276" s="124" t="s">
        <v>369</v>
      </c>
      <c r="D3276" t="s">
        <v>5303</v>
      </c>
      <c r="E3276" t="s">
        <v>5461</v>
      </c>
      <c r="F3276" s="125" t="s">
        <v>5461</v>
      </c>
      <c r="G3276" s="124" t="s">
        <v>400</v>
      </c>
      <c r="H3276" s="125" t="str">
        <f>IF(Proc[[#This Row],[type]]="LFF (MDG-F)",MID(Proc[[#This Row],[Obj]],13,10),"")</f>
        <v/>
      </c>
      <c r="J3276" s="125" t="b">
        <f>Proc[[#This Row],[Requested]]=Proc[[#This Row],[CurrentParent]]</f>
        <v>1</v>
      </c>
      <c r="K3276" s="144" t="str">
        <f>IF(Proc[[#This Row],[Author]]="Marcela Urrego",VLOOKUP(LEFT(Proc[[#This Row],[Requested]],1),Table3[#All],2,0),VLOOKUP(Proc[[#This Row],[Author]],Table4[],2,0))</f>
        <v>MGF</v>
      </c>
      <c r="L3276" s="125" t="s">
        <v>4894</v>
      </c>
      <c r="M3276" s="113">
        <v>45874</v>
      </c>
      <c r="N3276" s="113"/>
      <c r="O3276" s="113"/>
      <c r="P3276" s="115" t="str">
        <f ca="1">IF(Proc[[#This Row],[DaysAgeing]]&gt;5,"yep","on track")</f>
        <v>yep</v>
      </c>
      <c r="Q3276" s="3">
        <f ca="1">IF(Proc[[#This Row],[DateClosed]]="",ABS(NETWORKDAYS(Proc[[#This Row],[DateOpened]],TODAY()))-1,ABS(NETWORKDAYS(Proc[[#This Row],[DateOpened]],Proc[[#This Row],[DateClosed]]))-1)</f>
        <v>98</v>
      </c>
      <c r="R3276" s="115" t="s">
        <v>1459</v>
      </c>
      <c r="S3276" s="125"/>
    </row>
    <row r="3277" spans="1:19" hidden="1">
      <c r="A3277" s="124" t="s">
        <v>5478</v>
      </c>
      <c r="B3277" s="149" t="str">
        <f>IFERROR(VLOOKUP(Proc[[#This Row],[App]],Table2[],3,0),"open")</f>
        <v>ok</v>
      </c>
      <c r="C3277" s="124" t="s">
        <v>369</v>
      </c>
      <c r="D3277" t="s">
        <v>5304</v>
      </c>
      <c r="E3277" t="s">
        <v>5462</v>
      </c>
      <c r="F3277" s="125" t="s">
        <v>5462</v>
      </c>
      <c r="G3277" s="124" t="s">
        <v>400</v>
      </c>
      <c r="H3277" s="125" t="str">
        <f>IF(Proc[[#This Row],[type]]="LFF (MDG-F)",MID(Proc[[#This Row],[Obj]],13,10),"")</f>
        <v/>
      </c>
      <c r="J3277" s="125" t="b">
        <f>Proc[[#This Row],[Requested]]=Proc[[#This Row],[CurrentParent]]</f>
        <v>1</v>
      </c>
      <c r="K3277" s="144" t="str">
        <f>IF(Proc[[#This Row],[Author]]="Marcela Urrego",VLOOKUP(LEFT(Proc[[#This Row],[Requested]],1),Table3[#All],2,0),VLOOKUP(Proc[[#This Row],[Author]],Table4[],2,0))</f>
        <v>MGF</v>
      </c>
      <c r="L3277" s="125" t="s">
        <v>4894</v>
      </c>
      <c r="M3277" s="113">
        <v>45874</v>
      </c>
      <c r="N3277" s="113"/>
      <c r="O3277" s="113"/>
      <c r="P3277" s="115" t="str">
        <f ca="1">IF(Proc[[#This Row],[DaysAgeing]]&gt;5,"yep","on track")</f>
        <v>yep</v>
      </c>
      <c r="Q3277" s="3">
        <f ca="1">IF(Proc[[#This Row],[DateClosed]]="",ABS(NETWORKDAYS(Proc[[#This Row],[DateOpened]],TODAY()))-1,ABS(NETWORKDAYS(Proc[[#This Row],[DateOpened]],Proc[[#This Row],[DateClosed]]))-1)</f>
        <v>98</v>
      </c>
      <c r="R3277" s="115" t="s">
        <v>1459</v>
      </c>
      <c r="S3277" s="125"/>
    </row>
    <row r="3278" spans="1:19" hidden="1">
      <c r="A3278" s="124" t="s">
        <v>5478</v>
      </c>
      <c r="B3278" s="149" t="str">
        <f>IFERROR(VLOOKUP(Proc[[#This Row],[App]],Table2[],3,0),"open")</f>
        <v>ok</v>
      </c>
      <c r="C3278" s="124" t="s">
        <v>369</v>
      </c>
      <c r="D3278" t="s">
        <v>5305</v>
      </c>
      <c r="E3278" t="s">
        <v>5449</v>
      </c>
      <c r="F3278" s="125" t="s">
        <v>5449</v>
      </c>
      <c r="G3278" s="124" t="s">
        <v>400</v>
      </c>
      <c r="H3278" s="125" t="str">
        <f>IF(Proc[[#This Row],[type]]="LFF (MDG-F)",MID(Proc[[#This Row],[Obj]],13,10),"")</f>
        <v/>
      </c>
      <c r="J3278" s="125" t="b">
        <f>Proc[[#This Row],[Requested]]=Proc[[#This Row],[CurrentParent]]</f>
        <v>1</v>
      </c>
      <c r="K3278" s="144" t="str">
        <f>IF(Proc[[#This Row],[Author]]="Marcela Urrego",VLOOKUP(LEFT(Proc[[#This Row],[Requested]],1),Table3[#All],2,0),VLOOKUP(Proc[[#This Row],[Author]],Table4[],2,0))</f>
        <v>MGF</v>
      </c>
      <c r="L3278" s="125" t="s">
        <v>4894</v>
      </c>
      <c r="M3278" s="113">
        <v>45874</v>
      </c>
      <c r="N3278" s="113"/>
      <c r="O3278" s="113"/>
      <c r="P3278" s="115" t="str">
        <f ca="1">IF(Proc[[#This Row],[DaysAgeing]]&gt;5,"yep","on track")</f>
        <v>yep</v>
      </c>
      <c r="Q3278" s="3">
        <f ca="1">IF(Proc[[#This Row],[DateClosed]]="",ABS(NETWORKDAYS(Proc[[#This Row],[DateOpened]],TODAY()))-1,ABS(NETWORKDAYS(Proc[[#This Row],[DateOpened]],Proc[[#This Row],[DateClosed]]))-1)</f>
        <v>98</v>
      </c>
      <c r="R3278" s="115" t="s">
        <v>1459</v>
      </c>
      <c r="S3278" s="125"/>
    </row>
    <row r="3279" spans="1:19" hidden="1">
      <c r="A3279" s="124" t="s">
        <v>5478</v>
      </c>
      <c r="B3279" s="149" t="str">
        <f>IFERROR(VLOOKUP(Proc[[#This Row],[App]],Table2[],3,0),"open")</f>
        <v>ok</v>
      </c>
      <c r="C3279" s="124" t="s">
        <v>369</v>
      </c>
      <c r="D3279" t="s">
        <v>5306</v>
      </c>
      <c r="E3279" t="s">
        <v>5456</v>
      </c>
      <c r="F3279" s="125" t="s">
        <v>5456</v>
      </c>
      <c r="G3279" s="124" t="s">
        <v>400</v>
      </c>
      <c r="H3279" s="125" t="str">
        <f>IF(Proc[[#This Row],[type]]="LFF (MDG-F)",MID(Proc[[#This Row],[Obj]],13,10),"")</f>
        <v/>
      </c>
      <c r="J3279" s="125" t="b">
        <f>Proc[[#This Row],[Requested]]=Proc[[#This Row],[CurrentParent]]</f>
        <v>1</v>
      </c>
      <c r="K3279" s="144" t="str">
        <f>IF(Proc[[#This Row],[Author]]="Marcela Urrego",VLOOKUP(LEFT(Proc[[#This Row],[Requested]],1),Table3[#All],2,0),VLOOKUP(Proc[[#This Row],[Author]],Table4[],2,0))</f>
        <v>MGF</v>
      </c>
      <c r="L3279" s="125" t="s">
        <v>4894</v>
      </c>
      <c r="M3279" s="113">
        <v>45874</v>
      </c>
      <c r="N3279" s="113"/>
      <c r="O3279" s="113"/>
      <c r="P3279" s="115" t="str">
        <f ca="1">IF(Proc[[#This Row],[DaysAgeing]]&gt;5,"yep","on track")</f>
        <v>yep</v>
      </c>
      <c r="Q3279" s="3">
        <f ca="1">IF(Proc[[#This Row],[DateClosed]]="",ABS(NETWORKDAYS(Proc[[#This Row],[DateOpened]],TODAY()))-1,ABS(NETWORKDAYS(Proc[[#This Row],[DateOpened]],Proc[[#This Row],[DateClosed]]))-1)</f>
        <v>98</v>
      </c>
      <c r="R3279" s="115" t="s">
        <v>1459</v>
      </c>
      <c r="S3279" s="125"/>
    </row>
    <row r="3280" spans="1:19" hidden="1">
      <c r="A3280" s="124" t="s">
        <v>5478</v>
      </c>
      <c r="B3280" s="149" t="str">
        <f>IFERROR(VLOOKUP(Proc[[#This Row],[App]],Table2[],3,0),"open")</f>
        <v>ok</v>
      </c>
      <c r="C3280" s="124" t="s">
        <v>369</v>
      </c>
      <c r="D3280" t="s">
        <v>5307</v>
      </c>
      <c r="E3280" t="s">
        <v>5456</v>
      </c>
      <c r="F3280" s="125" t="s">
        <v>5456</v>
      </c>
      <c r="G3280" s="124" t="s">
        <v>400</v>
      </c>
      <c r="H3280" s="125" t="str">
        <f>IF(Proc[[#This Row],[type]]="LFF (MDG-F)",MID(Proc[[#This Row],[Obj]],13,10),"")</f>
        <v/>
      </c>
      <c r="J3280" s="125" t="b">
        <f>Proc[[#This Row],[Requested]]=Proc[[#This Row],[CurrentParent]]</f>
        <v>1</v>
      </c>
      <c r="K3280" s="144" t="str">
        <f>IF(Proc[[#This Row],[Author]]="Marcela Urrego",VLOOKUP(LEFT(Proc[[#This Row],[Requested]],1),Table3[#All],2,0),VLOOKUP(Proc[[#This Row],[Author]],Table4[],2,0))</f>
        <v>MGF</v>
      </c>
      <c r="L3280" s="125" t="s">
        <v>4894</v>
      </c>
      <c r="M3280" s="113">
        <v>45874</v>
      </c>
      <c r="N3280" s="113"/>
      <c r="O3280" s="113"/>
      <c r="P3280" s="115" t="str">
        <f ca="1">IF(Proc[[#This Row],[DaysAgeing]]&gt;5,"yep","on track")</f>
        <v>yep</v>
      </c>
      <c r="Q3280" s="3">
        <f ca="1">IF(Proc[[#This Row],[DateClosed]]="",ABS(NETWORKDAYS(Proc[[#This Row],[DateOpened]],TODAY()))-1,ABS(NETWORKDAYS(Proc[[#This Row],[DateOpened]],Proc[[#This Row],[DateClosed]]))-1)</f>
        <v>98</v>
      </c>
      <c r="R3280" s="115" t="s">
        <v>1459</v>
      </c>
      <c r="S3280" s="125"/>
    </row>
    <row r="3281" spans="1:19" hidden="1">
      <c r="A3281" s="124" t="s">
        <v>5478</v>
      </c>
      <c r="B3281" s="149" t="str">
        <f>IFERROR(VLOOKUP(Proc[[#This Row],[App]],Table2[],3,0),"open")</f>
        <v>ok</v>
      </c>
      <c r="C3281" s="124" t="s">
        <v>369</v>
      </c>
      <c r="D3281" t="s">
        <v>5308</v>
      </c>
      <c r="E3281" t="s">
        <v>5463</v>
      </c>
      <c r="F3281" s="125" t="s">
        <v>5463</v>
      </c>
      <c r="G3281" s="124" t="s">
        <v>400</v>
      </c>
      <c r="H3281" s="125" t="str">
        <f>IF(Proc[[#This Row],[type]]="LFF (MDG-F)",MID(Proc[[#This Row],[Obj]],13,10),"")</f>
        <v/>
      </c>
      <c r="J3281" s="125" t="b">
        <f>Proc[[#This Row],[Requested]]=Proc[[#This Row],[CurrentParent]]</f>
        <v>1</v>
      </c>
      <c r="K3281" s="144" t="str">
        <f>IF(Proc[[#This Row],[Author]]="Marcela Urrego",VLOOKUP(LEFT(Proc[[#This Row],[Requested]],1),Table3[#All],2,0),VLOOKUP(Proc[[#This Row],[Author]],Table4[],2,0))</f>
        <v>MGF</v>
      </c>
      <c r="L3281" s="125" t="s">
        <v>4894</v>
      </c>
      <c r="M3281" s="113">
        <v>45874</v>
      </c>
      <c r="N3281" s="113"/>
      <c r="O3281" s="113"/>
      <c r="P3281" s="115" t="str">
        <f ca="1">IF(Proc[[#This Row],[DaysAgeing]]&gt;5,"yep","on track")</f>
        <v>yep</v>
      </c>
      <c r="Q3281" s="3">
        <f ca="1">IF(Proc[[#This Row],[DateClosed]]="",ABS(NETWORKDAYS(Proc[[#This Row],[DateOpened]],TODAY()))-1,ABS(NETWORKDAYS(Proc[[#This Row],[DateOpened]],Proc[[#This Row],[DateClosed]]))-1)</f>
        <v>98</v>
      </c>
      <c r="R3281" s="115" t="s">
        <v>1459</v>
      </c>
      <c r="S3281" s="125"/>
    </row>
    <row r="3282" spans="1:19" hidden="1">
      <c r="A3282" s="124" t="s">
        <v>5478</v>
      </c>
      <c r="B3282" s="149" t="str">
        <f>IFERROR(VLOOKUP(Proc[[#This Row],[App]],Table2[],3,0),"open")</f>
        <v>ok</v>
      </c>
      <c r="C3282" s="124" t="s">
        <v>369</v>
      </c>
      <c r="D3282" t="s">
        <v>5309</v>
      </c>
      <c r="E3282" t="s">
        <v>5459</v>
      </c>
      <c r="F3282" s="125" t="s">
        <v>5459</v>
      </c>
      <c r="G3282" s="124" t="s">
        <v>400</v>
      </c>
      <c r="H3282" s="125" t="str">
        <f>IF(Proc[[#This Row],[type]]="LFF (MDG-F)",MID(Proc[[#This Row],[Obj]],13,10),"")</f>
        <v/>
      </c>
      <c r="J3282" s="125" t="b">
        <f>Proc[[#This Row],[Requested]]=Proc[[#This Row],[CurrentParent]]</f>
        <v>1</v>
      </c>
      <c r="K3282" s="144" t="str">
        <f>IF(Proc[[#This Row],[Author]]="Marcela Urrego",VLOOKUP(LEFT(Proc[[#This Row],[Requested]],1),Table3[#All],2,0),VLOOKUP(Proc[[#This Row],[Author]],Table4[],2,0))</f>
        <v>MGF</v>
      </c>
      <c r="L3282" s="125" t="s">
        <v>4894</v>
      </c>
      <c r="M3282" s="113">
        <v>45874</v>
      </c>
      <c r="N3282" s="113"/>
      <c r="O3282" s="113"/>
      <c r="P3282" s="115" t="str">
        <f ca="1">IF(Proc[[#This Row],[DaysAgeing]]&gt;5,"yep","on track")</f>
        <v>yep</v>
      </c>
      <c r="Q3282" s="3">
        <f ca="1">IF(Proc[[#This Row],[DateClosed]]="",ABS(NETWORKDAYS(Proc[[#This Row],[DateOpened]],TODAY()))-1,ABS(NETWORKDAYS(Proc[[#This Row],[DateOpened]],Proc[[#This Row],[DateClosed]]))-1)</f>
        <v>98</v>
      </c>
      <c r="R3282" s="115" t="s">
        <v>1459</v>
      </c>
      <c r="S3282" s="125"/>
    </row>
    <row r="3283" spans="1:19" hidden="1">
      <c r="A3283" s="124" t="s">
        <v>5478</v>
      </c>
      <c r="B3283" s="149" t="str">
        <f>IFERROR(VLOOKUP(Proc[[#This Row],[App]],Table2[],3,0),"open")</f>
        <v>ok</v>
      </c>
      <c r="C3283" s="149" t="s">
        <v>377</v>
      </c>
      <c r="D3283" t="s">
        <v>2319</v>
      </c>
      <c r="E3283" t="s">
        <v>430</v>
      </c>
      <c r="F3283" s="150" t="s">
        <v>5569</v>
      </c>
      <c r="G3283" s="124" t="s">
        <v>406</v>
      </c>
      <c r="H3283" s="125" t="str">
        <f>IF(Proc[[#This Row],[type]]="LFF (MDG-F)",MID(Proc[[#This Row],[Obj]],13,10),"")</f>
        <v>DE65GIT032</v>
      </c>
      <c r="I3283" s="124" t="s">
        <v>4832</v>
      </c>
      <c r="J3283" s="125" t="b">
        <f>Proc[[#This Row],[Requested]]=Proc[[#This Row],[CurrentParent]]</f>
        <v>0</v>
      </c>
      <c r="K3283" s="144" t="str">
        <f>IF(Proc[[#This Row],[Author]]="Marcela Urrego",VLOOKUP(LEFT(Proc[[#This Row],[Requested]],1),Table3[#All],2,0),VLOOKUP(Proc[[#This Row],[Author]],Table4[],2,0))</f>
        <v>MGF</v>
      </c>
      <c r="L3283" s="125" t="s">
        <v>4894</v>
      </c>
      <c r="M3283" s="113">
        <v>45874</v>
      </c>
      <c r="N3283" s="113"/>
      <c r="O3283" s="113"/>
      <c r="P3283" s="115" t="str">
        <f ca="1">IF(Proc[[#This Row],[DaysAgeing]]&gt;5,"yep","on track")</f>
        <v>yep</v>
      </c>
      <c r="Q3283" s="3">
        <f ca="1">IF(Proc[[#This Row],[DateClosed]]="",ABS(NETWORKDAYS(Proc[[#This Row],[DateOpened]],TODAY()))-1,ABS(NETWORKDAYS(Proc[[#This Row],[DateOpened]],Proc[[#This Row],[DateClosed]]))-1)</f>
        <v>98</v>
      </c>
      <c r="R3283" s="115" t="s">
        <v>1459</v>
      </c>
      <c r="S3283" s="125"/>
    </row>
    <row r="3284" spans="1:19" hidden="1">
      <c r="A3284" s="124" t="s">
        <v>5478</v>
      </c>
      <c r="B3284" s="149" t="str">
        <f>IFERROR(VLOOKUP(Proc[[#This Row],[App]],Table2[],3,0),"open")</f>
        <v>ok</v>
      </c>
      <c r="C3284" s="124" t="s">
        <v>369</v>
      </c>
      <c r="D3284" t="s">
        <v>5310</v>
      </c>
      <c r="E3284" t="s">
        <v>5464</v>
      </c>
      <c r="F3284" s="125" t="s">
        <v>5464</v>
      </c>
      <c r="G3284" s="124" t="s">
        <v>406</v>
      </c>
      <c r="H3284" s="125" t="str">
        <f>IF(Proc[[#This Row],[type]]="LFF (MDG-F)",MID(Proc[[#This Row],[Obj]],13,10),"")</f>
        <v>DE65GIT033</v>
      </c>
      <c r="J3284" s="125" t="b">
        <f>Proc[[#This Row],[Requested]]=Proc[[#This Row],[CurrentParent]]</f>
        <v>1</v>
      </c>
      <c r="K3284" s="144" t="str">
        <f>IF(Proc[[#This Row],[Author]]="Marcela Urrego",VLOOKUP(LEFT(Proc[[#This Row],[Requested]],1),Table3[#All],2,0),VLOOKUP(Proc[[#This Row],[Author]],Table4[],2,0))</f>
        <v>MGF</v>
      </c>
      <c r="L3284" s="125" t="s">
        <v>4894</v>
      </c>
      <c r="M3284" s="113">
        <v>45874</v>
      </c>
      <c r="N3284" s="113"/>
      <c r="O3284" s="113"/>
      <c r="P3284" s="115" t="str">
        <f ca="1">IF(Proc[[#This Row],[DaysAgeing]]&gt;5,"yep","on track")</f>
        <v>yep</v>
      </c>
      <c r="Q3284" s="3">
        <f ca="1">IF(Proc[[#This Row],[DateClosed]]="",ABS(NETWORKDAYS(Proc[[#This Row],[DateOpened]],TODAY()))-1,ABS(NETWORKDAYS(Proc[[#This Row],[DateOpened]],Proc[[#This Row],[DateClosed]]))-1)</f>
        <v>98</v>
      </c>
      <c r="R3284" s="115" t="s">
        <v>1459</v>
      </c>
      <c r="S3284" s="125"/>
    </row>
    <row r="3285" spans="1:19" hidden="1">
      <c r="A3285" s="124" t="s">
        <v>5478</v>
      </c>
      <c r="B3285" s="149" t="str">
        <f>IFERROR(VLOOKUP(Proc[[#This Row],[App]],Table2[],3,0),"open")</f>
        <v>ok</v>
      </c>
      <c r="C3285" s="124" t="s">
        <v>369</v>
      </c>
      <c r="D3285" t="s">
        <v>5311</v>
      </c>
      <c r="E3285" t="s">
        <v>5456</v>
      </c>
      <c r="F3285" s="125" t="s">
        <v>5456</v>
      </c>
      <c r="G3285" s="124" t="s">
        <v>400</v>
      </c>
      <c r="H3285" s="125" t="str">
        <f>IF(Proc[[#This Row],[type]]="LFF (MDG-F)",MID(Proc[[#This Row],[Obj]],13,10),"")</f>
        <v/>
      </c>
      <c r="J3285" s="125" t="b">
        <f>Proc[[#This Row],[Requested]]=Proc[[#This Row],[CurrentParent]]</f>
        <v>1</v>
      </c>
      <c r="K3285" s="144" t="str">
        <f>IF(Proc[[#This Row],[Author]]="Marcela Urrego",VLOOKUP(LEFT(Proc[[#This Row],[Requested]],1),Table3[#All],2,0),VLOOKUP(Proc[[#This Row],[Author]],Table4[],2,0))</f>
        <v>MGF</v>
      </c>
      <c r="L3285" s="125" t="s">
        <v>4894</v>
      </c>
      <c r="M3285" s="113">
        <v>45874</v>
      </c>
      <c r="N3285" s="113"/>
      <c r="O3285" s="113"/>
      <c r="P3285" s="115" t="str">
        <f ca="1">IF(Proc[[#This Row],[DaysAgeing]]&gt;5,"yep","on track")</f>
        <v>yep</v>
      </c>
      <c r="Q3285" s="3">
        <f ca="1">IF(Proc[[#This Row],[DateClosed]]="",ABS(NETWORKDAYS(Proc[[#This Row],[DateOpened]],TODAY()))-1,ABS(NETWORKDAYS(Proc[[#This Row],[DateOpened]],Proc[[#This Row],[DateClosed]]))-1)</f>
        <v>98</v>
      </c>
      <c r="R3285" s="115" t="s">
        <v>1459</v>
      </c>
      <c r="S3285" s="125"/>
    </row>
    <row r="3286" spans="1:19" hidden="1">
      <c r="A3286" s="124" t="s">
        <v>5478</v>
      </c>
      <c r="B3286" s="149" t="str">
        <f>IFERROR(VLOOKUP(Proc[[#This Row],[App]],Table2[],3,0),"open")</f>
        <v>ok</v>
      </c>
      <c r="C3286" s="124" t="s">
        <v>369</v>
      </c>
      <c r="D3286" t="s">
        <v>5312</v>
      </c>
      <c r="E3286" t="s">
        <v>5464</v>
      </c>
      <c r="F3286" s="125" t="s">
        <v>5464</v>
      </c>
      <c r="G3286" s="124" t="s">
        <v>406</v>
      </c>
      <c r="H3286" s="125" t="str">
        <f>IF(Proc[[#This Row],[type]]="LFF (MDG-F)",MID(Proc[[#This Row],[Obj]],13,10),"")</f>
        <v>IT50GIT01C</v>
      </c>
      <c r="J3286" s="125" t="b">
        <f>Proc[[#This Row],[Requested]]=Proc[[#This Row],[CurrentParent]]</f>
        <v>1</v>
      </c>
      <c r="K3286" s="144" t="str">
        <f>IF(Proc[[#This Row],[Author]]="Marcela Urrego",VLOOKUP(LEFT(Proc[[#This Row],[Requested]],1),Table3[#All],2,0),VLOOKUP(Proc[[#This Row],[Author]],Table4[],2,0))</f>
        <v>MGF</v>
      </c>
      <c r="L3286" s="125" t="s">
        <v>4894</v>
      </c>
      <c r="M3286" s="113">
        <v>45874</v>
      </c>
      <c r="N3286" s="113"/>
      <c r="O3286" s="113"/>
      <c r="P3286" s="115" t="str">
        <f ca="1">IF(Proc[[#This Row],[DaysAgeing]]&gt;5,"yep","on track")</f>
        <v>yep</v>
      </c>
      <c r="Q3286" s="3">
        <f ca="1">IF(Proc[[#This Row],[DateClosed]]="",ABS(NETWORKDAYS(Proc[[#This Row],[DateOpened]],TODAY()))-1,ABS(NETWORKDAYS(Proc[[#This Row],[DateOpened]],Proc[[#This Row],[DateClosed]]))-1)</f>
        <v>98</v>
      </c>
      <c r="R3286" s="115" t="s">
        <v>1459</v>
      </c>
      <c r="S3286" s="125"/>
    </row>
    <row r="3287" spans="1:19" hidden="1">
      <c r="A3287" s="124" t="s">
        <v>5478</v>
      </c>
      <c r="B3287" s="149" t="str">
        <f>IFERROR(VLOOKUP(Proc[[#This Row],[App]],Table2[],3,0),"open")</f>
        <v>ok</v>
      </c>
      <c r="C3287" s="124" t="s">
        <v>369</v>
      </c>
      <c r="D3287" t="s">
        <v>5313</v>
      </c>
      <c r="E3287" t="s">
        <v>5456</v>
      </c>
      <c r="F3287" s="125" t="s">
        <v>5456</v>
      </c>
      <c r="G3287" s="124" t="s">
        <v>406</v>
      </c>
      <c r="H3287" s="125" t="str">
        <f>IF(Proc[[#This Row],[type]]="LFF (MDG-F)",MID(Proc[[#This Row],[Obj]],13,10),"")</f>
        <v>IT50GM9100</v>
      </c>
      <c r="J3287" s="125" t="b">
        <f>Proc[[#This Row],[Requested]]=Proc[[#This Row],[CurrentParent]]</f>
        <v>1</v>
      </c>
      <c r="K3287" s="144" t="str">
        <f>IF(Proc[[#This Row],[Author]]="Marcela Urrego",VLOOKUP(LEFT(Proc[[#This Row],[Requested]],1),Table3[#All],2,0),VLOOKUP(Proc[[#This Row],[Author]],Table4[],2,0))</f>
        <v>MGF</v>
      </c>
      <c r="L3287" s="125" t="s">
        <v>4894</v>
      </c>
      <c r="M3287" s="113">
        <v>45874</v>
      </c>
      <c r="N3287" s="113"/>
      <c r="O3287" s="113"/>
      <c r="P3287" s="115" t="str">
        <f ca="1">IF(Proc[[#This Row],[DaysAgeing]]&gt;5,"yep","on track")</f>
        <v>yep</v>
      </c>
      <c r="Q3287" s="3">
        <f ca="1">IF(Proc[[#This Row],[DateClosed]]="",ABS(NETWORKDAYS(Proc[[#This Row],[DateOpened]],TODAY()))-1,ABS(NETWORKDAYS(Proc[[#This Row],[DateOpened]],Proc[[#This Row],[DateClosed]]))-1)</f>
        <v>98</v>
      </c>
      <c r="R3287" s="115" t="s">
        <v>1459</v>
      </c>
      <c r="S3287" s="125"/>
    </row>
    <row r="3288" spans="1:19" hidden="1">
      <c r="A3288" s="124" t="s">
        <v>5478</v>
      </c>
      <c r="B3288" s="149" t="str">
        <f>IFERROR(VLOOKUP(Proc[[#This Row],[App]],Table2[],3,0),"open")</f>
        <v>ok</v>
      </c>
      <c r="C3288" s="124" t="s">
        <v>369</v>
      </c>
      <c r="D3288" t="s">
        <v>5314</v>
      </c>
      <c r="E3288" t="s">
        <v>5453</v>
      </c>
      <c r="F3288" s="125" t="s">
        <v>5453</v>
      </c>
      <c r="G3288" s="124" t="s">
        <v>400</v>
      </c>
      <c r="H3288" s="125" t="str">
        <f>IF(Proc[[#This Row],[type]]="LFF (MDG-F)",MID(Proc[[#This Row],[Obj]],13,10),"")</f>
        <v/>
      </c>
      <c r="J3288" s="125" t="b">
        <f>Proc[[#This Row],[Requested]]=Proc[[#This Row],[CurrentParent]]</f>
        <v>1</v>
      </c>
      <c r="K3288" s="144" t="str">
        <f>IF(Proc[[#This Row],[Author]]="Marcela Urrego",VLOOKUP(LEFT(Proc[[#This Row],[Requested]],1),Table3[#All],2,0),VLOOKUP(Proc[[#This Row],[Author]],Table4[],2,0))</f>
        <v>MGF</v>
      </c>
      <c r="L3288" s="125" t="s">
        <v>4894</v>
      </c>
      <c r="M3288" s="113">
        <v>45874</v>
      </c>
      <c r="N3288" s="113"/>
      <c r="O3288" s="113"/>
      <c r="P3288" s="115" t="str">
        <f ca="1">IF(Proc[[#This Row],[DaysAgeing]]&gt;5,"yep","on track")</f>
        <v>yep</v>
      </c>
      <c r="Q3288" s="3">
        <f ca="1">IF(Proc[[#This Row],[DateClosed]]="",ABS(NETWORKDAYS(Proc[[#This Row],[DateOpened]],TODAY()))-1,ABS(NETWORKDAYS(Proc[[#This Row],[DateOpened]],Proc[[#This Row],[DateClosed]]))-1)</f>
        <v>98</v>
      </c>
      <c r="R3288" s="115" t="s">
        <v>1459</v>
      </c>
      <c r="S3288" s="125"/>
    </row>
    <row r="3289" spans="1:19" hidden="1">
      <c r="A3289" s="124" t="s">
        <v>5478</v>
      </c>
      <c r="B3289" s="149" t="str">
        <f>IFERROR(VLOOKUP(Proc[[#This Row],[App]],Table2[],3,0),"open")</f>
        <v>ok</v>
      </c>
      <c r="C3289" s="124" t="s">
        <v>369</v>
      </c>
      <c r="D3289" t="s">
        <v>5315</v>
      </c>
      <c r="E3289" t="s">
        <v>424</v>
      </c>
      <c r="F3289" s="125" t="s">
        <v>424</v>
      </c>
      <c r="G3289" s="124" t="s">
        <v>406</v>
      </c>
      <c r="H3289" s="125" t="str">
        <f>IF(Proc[[#This Row],[type]]="LFF (MDG-F)",MID(Proc[[#This Row],[Obj]],13,10),"")</f>
        <v>US01GIT01B</v>
      </c>
      <c r="J3289" s="125" t="b">
        <f>Proc[[#This Row],[Requested]]=Proc[[#This Row],[CurrentParent]]</f>
        <v>1</v>
      </c>
      <c r="K3289" s="144" t="str">
        <f>IF(Proc[[#This Row],[Author]]="Marcela Urrego",VLOOKUP(LEFT(Proc[[#This Row],[Requested]],1),Table3[#All],2,0),VLOOKUP(Proc[[#This Row],[Author]],Table4[],2,0))</f>
        <v>MGF</v>
      </c>
      <c r="L3289" s="125" t="s">
        <v>4894</v>
      </c>
      <c r="M3289" s="113">
        <v>45874</v>
      </c>
      <c r="N3289" s="113"/>
      <c r="O3289" s="113"/>
      <c r="P3289" s="115" t="str">
        <f ca="1">IF(Proc[[#This Row],[DaysAgeing]]&gt;5,"yep","on track")</f>
        <v>yep</v>
      </c>
      <c r="Q3289" s="3">
        <f ca="1">IF(Proc[[#This Row],[DateClosed]]="",ABS(NETWORKDAYS(Proc[[#This Row],[DateOpened]],TODAY()))-1,ABS(NETWORKDAYS(Proc[[#This Row],[DateOpened]],Proc[[#This Row],[DateClosed]]))-1)</f>
        <v>98</v>
      </c>
      <c r="R3289" s="115" t="s">
        <v>1459</v>
      </c>
      <c r="S3289" s="125"/>
    </row>
    <row r="3290" spans="1:19" hidden="1">
      <c r="A3290" s="124" t="s">
        <v>5478</v>
      </c>
      <c r="B3290" s="149" t="str">
        <f>IFERROR(VLOOKUP(Proc[[#This Row],[App]],Table2[],3,0),"open")</f>
        <v>ok</v>
      </c>
      <c r="C3290" s="124" t="s">
        <v>369</v>
      </c>
      <c r="D3290" t="s">
        <v>5316</v>
      </c>
      <c r="E3290" t="s">
        <v>5452</v>
      </c>
      <c r="F3290" s="125" t="s">
        <v>5452</v>
      </c>
      <c r="G3290" s="124" t="s">
        <v>406</v>
      </c>
      <c r="H3290" s="125" t="str">
        <f>IF(Proc[[#This Row],[type]]="LFF (MDG-F)",MID(Proc[[#This Row],[Obj]],13,10),"")</f>
        <v>DE10518000</v>
      </c>
      <c r="J3290" s="125" t="b">
        <f>Proc[[#This Row],[Requested]]=Proc[[#This Row],[CurrentParent]]</f>
        <v>1</v>
      </c>
      <c r="K3290" s="144" t="str">
        <f>IF(Proc[[#This Row],[Author]]="Marcela Urrego",VLOOKUP(LEFT(Proc[[#This Row],[Requested]],1),Table3[#All],2,0),VLOOKUP(Proc[[#This Row],[Author]],Table4[],2,0))</f>
        <v>MGF</v>
      </c>
      <c r="L3290" s="125" t="s">
        <v>4894</v>
      </c>
      <c r="M3290" s="113">
        <v>45874</v>
      </c>
      <c r="N3290" s="113"/>
      <c r="O3290" s="113"/>
      <c r="P3290" s="115" t="str">
        <f ca="1">IF(Proc[[#This Row],[DaysAgeing]]&gt;5,"yep","on track")</f>
        <v>yep</v>
      </c>
      <c r="Q3290" s="3">
        <f ca="1">IF(Proc[[#This Row],[DateClosed]]="",ABS(NETWORKDAYS(Proc[[#This Row],[DateOpened]],TODAY()))-1,ABS(NETWORKDAYS(Proc[[#This Row],[DateOpened]],Proc[[#This Row],[DateClosed]]))-1)</f>
        <v>98</v>
      </c>
      <c r="R3290" s="115" t="s">
        <v>1459</v>
      </c>
      <c r="S3290" s="125"/>
    </row>
    <row r="3291" spans="1:19" hidden="1">
      <c r="A3291" s="124" t="s">
        <v>5478</v>
      </c>
      <c r="B3291" s="149" t="str">
        <f>IFERROR(VLOOKUP(Proc[[#This Row],[App]],Table2[],3,0),"open")</f>
        <v>ok</v>
      </c>
      <c r="C3291" s="124" t="s">
        <v>369</v>
      </c>
      <c r="D3291" t="s">
        <v>5317</v>
      </c>
      <c r="E3291" t="s">
        <v>5452</v>
      </c>
      <c r="F3291" s="125" t="s">
        <v>5452</v>
      </c>
      <c r="G3291" s="124" t="s">
        <v>406</v>
      </c>
      <c r="H3291" s="125" t="str">
        <f>IF(Proc[[#This Row],[type]]="LFF (MDG-F)",MID(Proc[[#This Row],[Obj]],13,10),"")</f>
        <v>DE10519000</v>
      </c>
      <c r="J3291" s="125" t="b">
        <f>Proc[[#This Row],[Requested]]=Proc[[#This Row],[CurrentParent]]</f>
        <v>1</v>
      </c>
      <c r="K3291" s="144" t="str">
        <f>IF(Proc[[#This Row],[Author]]="Marcela Urrego",VLOOKUP(LEFT(Proc[[#This Row],[Requested]],1),Table3[#All],2,0),VLOOKUP(Proc[[#This Row],[Author]],Table4[],2,0))</f>
        <v>MGF</v>
      </c>
      <c r="L3291" s="125" t="s">
        <v>4894</v>
      </c>
      <c r="M3291" s="113">
        <v>45874</v>
      </c>
      <c r="N3291" s="113"/>
      <c r="O3291" s="113"/>
      <c r="P3291" s="115" t="str">
        <f ca="1">IF(Proc[[#This Row],[DaysAgeing]]&gt;5,"yep","on track")</f>
        <v>yep</v>
      </c>
      <c r="Q3291" s="3">
        <f ca="1">IF(Proc[[#This Row],[DateClosed]]="",ABS(NETWORKDAYS(Proc[[#This Row],[DateOpened]],TODAY()))-1,ABS(NETWORKDAYS(Proc[[#This Row],[DateOpened]],Proc[[#This Row],[DateClosed]]))-1)</f>
        <v>98</v>
      </c>
      <c r="R3291" s="115" t="s">
        <v>1459</v>
      </c>
      <c r="S3291" s="125"/>
    </row>
    <row r="3292" spans="1:19" hidden="1">
      <c r="A3292" s="124" t="s">
        <v>5478</v>
      </c>
      <c r="B3292" s="149" t="str">
        <f>IFERROR(VLOOKUP(Proc[[#This Row],[App]],Table2[],3,0),"open")</f>
        <v>ok</v>
      </c>
      <c r="C3292" s="124" t="s">
        <v>369</v>
      </c>
      <c r="D3292" t="s">
        <v>5318</v>
      </c>
      <c r="E3292" t="s">
        <v>5444</v>
      </c>
      <c r="F3292" s="125" t="s">
        <v>5444</v>
      </c>
      <c r="G3292" s="124" t="s">
        <v>406</v>
      </c>
      <c r="H3292" s="125" t="str">
        <f>IF(Proc[[#This Row],[type]]="LFF (MDG-F)",MID(Proc[[#This Row],[Obj]],13,10),"")</f>
        <v>DE10643112</v>
      </c>
      <c r="J3292" s="125" t="b">
        <f>Proc[[#This Row],[Requested]]=Proc[[#This Row],[CurrentParent]]</f>
        <v>1</v>
      </c>
      <c r="K3292" s="144" t="str">
        <f>IF(Proc[[#This Row],[Author]]="Marcela Urrego",VLOOKUP(LEFT(Proc[[#This Row],[Requested]],1),Table3[#All],2,0),VLOOKUP(Proc[[#This Row],[Author]],Table4[],2,0))</f>
        <v>MGF</v>
      </c>
      <c r="L3292" s="125" t="s">
        <v>4894</v>
      </c>
      <c r="M3292" s="113">
        <v>45874</v>
      </c>
      <c r="N3292" s="113"/>
      <c r="O3292" s="113"/>
      <c r="P3292" s="115" t="str">
        <f ca="1">IF(Proc[[#This Row],[DaysAgeing]]&gt;5,"yep","on track")</f>
        <v>yep</v>
      </c>
      <c r="Q3292" s="3">
        <f ca="1">IF(Proc[[#This Row],[DateClosed]]="",ABS(NETWORKDAYS(Proc[[#This Row],[DateOpened]],TODAY()))-1,ABS(NETWORKDAYS(Proc[[#This Row],[DateOpened]],Proc[[#This Row],[DateClosed]]))-1)</f>
        <v>98</v>
      </c>
      <c r="R3292" s="115" t="s">
        <v>1459</v>
      </c>
      <c r="S3292" s="125"/>
    </row>
    <row r="3293" spans="1:19" hidden="1">
      <c r="A3293" s="124" t="s">
        <v>5478</v>
      </c>
      <c r="B3293" s="149" t="str">
        <f>IFERROR(VLOOKUP(Proc[[#This Row],[App]],Table2[],3,0),"open")</f>
        <v>ok</v>
      </c>
      <c r="C3293" s="124" t="s">
        <v>369</v>
      </c>
      <c r="D3293" t="s">
        <v>5319</v>
      </c>
      <c r="E3293" t="s">
        <v>5445</v>
      </c>
      <c r="F3293" s="125" t="s">
        <v>5445</v>
      </c>
      <c r="G3293" s="124" t="s">
        <v>406</v>
      </c>
      <c r="H3293" s="125" t="str">
        <f>IF(Proc[[#This Row],[type]]="LFF (MDG-F)",MID(Proc[[#This Row],[Obj]],13,10),"")</f>
        <v>DE10677003</v>
      </c>
      <c r="J3293" s="125" t="b">
        <f>Proc[[#This Row],[Requested]]=Proc[[#This Row],[CurrentParent]]</f>
        <v>1</v>
      </c>
      <c r="K3293" s="144" t="str">
        <f>IF(Proc[[#This Row],[Author]]="Marcela Urrego",VLOOKUP(LEFT(Proc[[#This Row],[Requested]],1),Table3[#All],2,0),VLOOKUP(Proc[[#This Row],[Author]],Table4[],2,0))</f>
        <v>MGF</v>
      </c>
      <c r="L3293" s="125" t="s">
        <v>4894</v>
      </c>
      <c r="M3293" s="113">
        <v>45874</v>
      </c>
      <c r="N3293" s="113"/>
      <c r="O3293" s="113"/>
      <c r="P3293" s="115" t="str">
        <f ca="1">IF(Proc[[#This Row],[DaysAgeing]]&gt;5,"yep","on track")</f>
        <v>yep</v>
      </c>
      <c r="Q3293" s="3">
        <f ca="1">IF(Proc[[#This Row],[DateClosed]]="",ABS(NETWORKDAYS(Proc[[#This Row],[DateOpened]],TODAY()))-1,ABS(NETWORKDAYS(Proc[[#This Row],[DateOpened]],Proc[[#This Row],[DateClosed]]))-1)</f>
        <v>98</v>
      </c>
      <c r="R3293" s="115" t="s">
        <v>1459</v>
      </c>
      <c r="S3293" s="125"/>
    </row>
    <row r="3294" spans="1:19" hidden="1">
      <c r="A3294" s="124" t="s">
        <v>5478</v>
      </c>
      <c r="B3294" s="149" t="str">
        <f>IFERROR(VLOOKUP(Proc[[#This Row],[App]],Table2[],3,0),"open")</f>
        <v>ok</v>
      </c>
      <c r="C3294" s="124" t="s">
        <v>369</v>
      </c>
      <c r="D3294" t="s">
        <v>5320</v>
      </c>
      <c r="E3294" t="s">
        <v>5452</v>
      </c>
      <c r="F3294" s="125" t="s">
        <v>5452</v>
      </c>
      <c r="G3294" s="124" t="s">
        <v>406</v>
      </c>
      <c r="H3294" s="125" t="str">
        <f>IF(Proc[[#This Row],[type]]="LFF (MDG-F)",MID(Proc[[#This Row],[Obj]],13,10),"")</f>
        <v>DE10517000</v>
      </c>
      <c r="J3294" s="125" t="b">
        <f>Proc[[#This Row],[Requested]]=Proc[[#This Row],[CurrentParent]]</f>
        <v>1</v>
      </c>
      <c r="K3294" s="144" t="str">
        <f>IF(Proc[[#This Row],[Author]]="Marcela Urrego",VLOOKUP(LEFT(Proc[[#This Row],[Requested]],1),Table3[#All],2,0),VLOOKUP(Proc[[#This Row],[Author]],Table4[],2,0))</f>
        <v>MGF</v>
      </c>
      <c r="L3294" s="125" t="s">
        <v>4894</v>
      </c>
      <c r="M3294" s="113">
        <v>45874</v>
      </c>
      <c r="N3294" s="113"/>
      <c r="O3294" s="113"/>
      <c r="P3294" s="115" t="str">
        <f ca="1">IF(Proc[[#This Row],[DaysAgeing]]&gt;5,"yep","on track")</f>
        <v>yep</v>
      </c>
      <c r="Q3294" s="3">
        <f ca="1">IF(Proc[[#This Row],[DateClosed]]="",ABS(NETWORKDAYS(Proc[[#This Row],[DateOpened]],TODAY()))-1,ABS(NETWORKDAYS(Proc[[#This Row],[DateOpened]],Proc[[#This Row],[DateClosed]]))-1)</f>
        <v>98</v>
      </c>
      <c r="R3294" s="115" t="s">
        <v>1459</v>
      </c>
      <c r="S3294" s="125"/>
    </row>
    <row r="3295" spans="1:19" hidden="1">
      <c r="A3295" s="124" t="s">
        <v>5478</v>
      </c>
      <c r="B3295" s="149" t="str">
        <f>IFERROR(VLOOKUP(Proc[[#This Row],[App]],Table2[],3,0),"open")</f>
        <v>ok</v>
      </c>
      <c r="C3295" s="124" t="s">
        <v>369</v>
      </c>
      <c r="D3295" t="s">
        <v>5321</v>
      </c>
      <c r="E3295" t="s">
        <v>5446</v>
      </c>
      <c r="F3295" s="125" t="s">
        <v>5446</v>
      </c>
      <c r="G3295" s="124" t="s">
        <v>406</v>
      </c>
      <c r="H3295" s="125" t="str">
        <f>IF(Proc[[#This Row],[type]]="LFF (MDG-F)",MID(Proc[[#This Row],[Obj]],13,10),"")</f>
        <v>DE10574000</v>
      </c>
      <c r="J3295" s="125" t="b">
        <f>Proc[[#This Row],[Requested]]=Proc[[#This Row],[CurrentParent]]</f>
        <v>1</v>
      </c>
      <c r="K3295" s="144" t="str">
        <f>IF(Proc[[#This Row],[Author]]="Marcela Urrego",VLOOKUP(LEFT(Proc[[#This Row],[Requested]],1),Table3[#All],2,0),VLOOKUP(Proc[[#This Row],[Author]],Table4[],2,0))</f>
        <v>MGF</v>
      </c>
      <c r="L3295" s="125" t="s">
        <v>4894</v>
      </c>
      <c r="M3295" s="113">
        <v>45874</v>
      </c>
      <c r="N3295" s="113"/>
      <c r="O3295" s="113"/>
      <c r="P3295" s="115" t="str">
        <f ca="1">IF(Proc[[#This Row],[DaysAgeing]]&gt;5,"yep","on track")</f>
        <v>yep</v>
      </c>
      <c r="Q3295" s="3">
        <f ca="1">IF(Proc[[#This Row],[DateClosed]]="",ABS(NETWORKDAYS(Proc[[#This Row],[DateOpened]],TODAY()))-1,ABS(NETWORKDAYS(Proc[[#This Row],[DateOpened]],Proc[[#This Row],[DateClosed]]))-1)</f>
        <v>98</v>
      </c>
      <c r="R3295" s="115" t="s">
        <v>1459</v>
      </c>
      <c r="S3295" s="125"/>
    </row>
    <row r="3296" spans="1:19" hidden="1">
      <c r="A3296" s="124" t="s">
        <v>5478</v>
      </c>
      <c r="B3296" s="149" t="str">
        <f>IFERROR(VLOOKUP(Proc[[#This Row],[App]],Table2[],3,0),"open")</f>
        <v>ok</v>
      </c>
      <c r="C3296" s="124" t="s">
        <v>369</v>
      </c>
      <c r="D3296" t="s">
        <v>5322</v>
      </c>
      <c r="E3296" t="s">
        <v>5464</v>
      </c>
      <c r="F3296" s="125" t="s">
        <v>5464</v>
      </c>
      <c r="G3296" s="124" t="s">
        <v>406</v>
      </c>
      <c r="H3296" s="125" t="str">
        <f>IF(Proc[[#This Row],[type]]="LFF (MDG-F)",MID(Proc[[#This Row],[Obj]],13,10),"")</f>
        <v>DE10679600</v>
      </c>
      <c r="J3296" s="125" t="b">
        <f>Proc[[#This Row],[Requested]]=Proc[[#This Row],[CurrentParent]]</f>
        <v>1</v>
      </c>
      <c r="K3296" s="144" t="str">
        <f>IF(Proc[[#This Row],[Author]]="Marcela Urrego",VLOOKUP(LEFT(Proc[[#This Row],[Requested]],1),Table3[#All],2,0),VLOOKUP(Proc[[#This Row],[Author]],Table4[],2,0))</f>
        <v>MGF</v>
      </c>
      <c r="L3296" s="125" t="s">
        <v>4894</v>
      </c>
      <c r="M3296" s="113">
        <v>45874</v>
      </c>
      <c r="N3296" s="113"/>
      <c r="O3296" s="113"/>
      <c r="P3296" s="115" t="str">
        <f ca="1">IF(Proc[[#This Row],[DaysAgeing]]&gt;5,"yep","on track")</f>
        <v>yep</v>
      </c>
      <c r="Q3296" s="3">
        <f ca="1">IF(Proc[[#This Row],[DateClosed]]="",ABS(NETWORKDAYS(Proc[[#This Row],[DateOpened]],TODAY()))-1,ABS(NETWORKDAYS(Proc[[#This Row],[DateOpened]],Proc[[#This Row],[DateClosed]]))-1)</f>
        <v>98</v>
      </c>
      <c r="R3296" s="115" t="s">
        <v>1459</v>
      </c>
      <c r="S3296" s="125"/>
    </row>
    <row r="3297" spans="1:19" hidden="1">
      <c r="A3297" s="124" t="s">
        <v>5478</v>
      </c>
      <c r="B3297" s="149" t="str">
        <f>IFERROR(VLOOKUP(Proc[[#This Row],[App]],Table2[],3,0),"open")</f>
        <v>ok</v>
      </c>
      <c r="C3297" s="124" t="s">
        <v>369</v>
      </c>
      <c r="D3297" t="s">
        <v>5323</v>
      </c>
      <c r="E3297" t="s">
        <v>5452</v>
      </c>
      <c r="F3297" s="125" t="s">
        <v>5452</v>
      </c>
      <c r="G3297" s="124" t="s">
        <v>406</v>
      </c>
      <c r="H3297" s="125" t="str">
        <f>IF(Proc[[#This Row],[type]]="LFF (MDG-F)",MID(Proc[[#This Row],[Obj]],13,10),"")</f>
        <v>DE10512500</v>
      </c>
      <c r="J3297" s="125" t="b">
        <f>Proc[[#This Row],[Requested]]=Proc[[#This Row],[CurrentParent]]</f>
        <v>1</v>
      </c>
      <c r="K3297" s="144" t="str">
        <f>IF(Proc[[#This Row],[Author]]="Marcela Urrego",VLOOKUP(LEFT(Proc[[#This Row],[Requested]],1),Table3[#All],2,0),VLOOKUP(Proc[[#This Row],[Author]],Table4[],2,0))</f>
        <v>MGF</v>
      </c>
      <c r="L3297" s="125" t="s">
        <v>4894</v>
      </c>
      <c r="M3297" s="113">
        <v>45874</v>
      </c>
      <c r="N3297" s="113"/>
      <c r="O3297" s="113"/>
      <c r="P3297" s="115" t="str">
        <f ca="1">IF(Proc[[#This Row],[DaysAgeing]]&gt;5,"yep","on track")</f>
        <v>yep</v>
      </c>
      <c r="Q3297" s="3">
        <f ca="1">IF(Proc[[#This Row],[DateClosed]]="",ABS(NETWORKDAYS(Proc[[#This Row],[DateOpened]],TODAY()))-1,ABS(NETWORKDAYS(Proc[[#This Row],[DateOpened]],Proc[[#This Row],[DateClosed]]))-1)</f>
        <v>98</v>
      </c>
      <c r="R3297" s="115" t="s">
        <v>1459</v>
      </c>
      <c r="S3297" s="125"/>
    </row>
    <row r="3298" spans="1:19" hidden="1">
      <c r="A3298" s="124" t="s">
        <v>5478</v>
      </c>
      <c r="B3298" s="149" t="str">
        <f>IFERROR(VLOOKUP(Proc[[#This Row],[App]],Table2[],3,0),"open")</f>
        <v>ok</v>
      </c>
      <c r="C3298" s="124" t="s">
        <v>369</v>
      </c>
      <c r="D3298" t="s">
        <v>5324</v>
      </c>
      <c r="E3298" t="s">
        <v>5444</v>
      </c>
      <c r="F3298" s="125" t="s">
        <v>5444</v>
      </c>
      <c r="G3298" s="124" t="s">
        <v>406</v>
      </c>
      <c r="H3298" s="125" t="str">
        <f>IF(Proc[[#This Row],[type]]="LFF (MDG-F)",MID(Proc[[#This Row],[Obj]],13,10),"")</f>
        <v>DE10656400</v>
      </c>
      <c r="J3298" s="125" t="b">
        <f>Proc[[#This Row],[Requested]]=Proc[[#This Row],[CurrentParent]]</f>
        <v>1</v>
      </c>
      <c r="K3298" s="144" t="str">
        <f>IF(Proc[[#This Row],[Author]]="Marcela Urrego",VLOOKUP(LEFT(Proc[[#This Row],[Requested]],1),Table3[#All],2,0),VLOOKUP(Proc[[#This Row],[Author]],Table4[],2,0))</f>
        <v>MGF</v>
      </c>
      <c r="L3298" s="125" t="s">
        <v>4894</v>
      </c>
      <c r="M3298" s="113">
        <v>45874</v>
      </c>
      <c r="N3298" s="113"/>
      <c r="O3298" s="113"/>
      <c r="P3298" s="115" t="str">
        <f ca="1">IF(Proc[[#This Row],[DaysAgeing]]&gt;5,"yep","on track")</f>
        <v>yep</v>
      </c>
      <c r="Q3298" s="3">
        <f ca="1">IF(Proc[[#This Row],[DateClosed]]="",ABS(NETWORKDAYS(Proc[[#This Row],[DateOpened]],TODAY()))-1,ABS(NETWORKDAYS(Proc[[#This Row],[DateOpened]],Proc[[#This Row],[DateClosed]]))-1)</f>
        <v>98</v>
      </c>
      <c r="R3298" s="115" t="s">
        <v>1459</v>
      </c>
      <c r="S3298" s="125"/>
    </row>
    <row r="3299" spans="1:19" hidden="1">
      <c r="A3299" s="124" t="s">
        <v>5478</v>
      </c>
      <c r="B3299" s="149" t="str">
        <f>IFERROR(VLOOKUP(Proc[[#This Row],[App]],Table2[],3,0),"open")</f>
        <v>ok</v>
      </c>
      <c r="C3299" s="124" t="s">
        <v>369</v>
      </c>
      <c r="D3299" t="s">
        <v>5325</v>
      </c>
      <c r="E3299" t="s">
        <v>5464</v>
      </c>
      <c r="F3299" s="125" t="s">
        <v>5464</v>
      </c>
      <c r="G3299" s="124" t="s">
        <v>406</v>
      </c>
      <c r="H3299" s="125" t="str">
        <f>IF(Proc[[#This Row],[type]]="LFF (MDG-F)",MID(Proc[[#This Row],[Obj]],13,10),"")</f>
        <v>DE10677200</v>
      </c>
      <c r="J3299" s="125" t="b">
        <f>Proc[[#This Row],[Requested]]=Proc[[#This Row],[CurrentParent]]</f>
        <v>1</v>
      </c>
      <c r="K3299" s="144" t="str">
        <f>IF(Proc[[#This Row],[Author]]="Marcela Urrego",VLOOKUP(LEFT(Proc[[#This Row],[Requested]],1),Table3[#All],2,0),VLOOKUP(Proc[[#This Row],[Author]],Table4[],2,0))</f>
        <v>MGF</v>
      </c>
      <c r="L3299" s="125" t="s">
        <v>4894</v>
      </c>
      <c r="M3299" s="113">
        <v>45874</v>
      </c>
      <c r="N3299" s="113"/>
      <c r="O3299" s="113"/>
      <c r="P3299" s="115" t="str">
        <f ca="1">IF(Proc[[#This Row],[DaysAgeing]]&gt;5,"yep","on track")</f>
        <v>yep</v>
      </c>
      <c r="Q3299" s="3">
        <f ca="1">IF(Proc[[#This Row],[DateClosed]]="",ABS(NETWORKDAYS(Proc[[#This Row],[DateOpened]],TODAY()))-1,ABS(NETWORKDAYS(Proc[[#This Row],[DateOpened]],Proc[[#This Row],[DateClosed]]))-1)</f>
        <v>98</v>
      </c>
      <c r="R3299" s="115" t="s">
        <v>1459</v>
      </c>
      <c r="S3299" s="125"/>
    </row>
    <row r="3300" spans="1:19" hidden="1">
      <c r="A3300" s="124" t="s">
        <v>5478</v>
      </c>
      <c r="B3300" s="149" t="str">
        <f>IFERROR(VLOOKUP(Proc[[#This Row],[App]],Table2[],3,0),"open")</f>
        <v>ok</v>
      </c>
      <c r="C3300" s="124" t="s">
        <v>369</v>
      </c>
      <c r="D3300" t="s">
        <v>5326</v>
      </c>
      <c r="E3300" t="s">
        <v>4410</v>
      </c>
      <c r="F3300" s="140" t="s">
        <v>4410</v>
      </c>
      <c r="G3300" s="124" t="s">
        <v>406</v>
      </c>
      <c r="H3300" s="125" t="str">
        <f>IF(Proc[[#This Row],[type]]="LFF (MDG-F)",MID(Proc[[#This Row],[Obj]],13,10),"")</f>
        <v>DE10685700</v>
      </c>
      <c r="I3300" t="s">
        <v>5479</v>
      </c>
      <c r="J3300" s="125" t="b">
        <f>Proc[[#This Row],[Requested]]=Proc[[#This Row],[CurrentParent]]</f>
        <v>1</v>
      </c>
      <c r="K3300" s="144" t="str">
        <f>IF(Proc[[#This Row],[Author]]="Marcela Urrego",VLOOKUP(LEFT(Proc[[#This Row],[Requested]],1),Table3[#All],2,0),VLOOKUP(Proc[[#This Row],[Author]],Table4[],2,0))</f>
        <v>MGF</v>
      </c>
      <c r="L3300" s="125" t="s">
        <v>4894</v>
      </c>
      <c r="M3300" s="113">
        <v>45874</v>
      </c>
      <c r="N3300" s="113"/>
      <c r="O3300" s="113"/>
      <c r="P3300" s="115" t="str">
        <f ca="1">IF(Proc[[#This Row],[DaysAgeing]]&gt;5,"yep","on track")</f>
        <v>yep</v>
      </c>
      <c r="Q3300" s="3">
        <f ca="1">IF(Proc[[#This Row],[DateClosed]]="",ABS(NETWORKDAYS(Proc[[#This Row],[DateOpened]],TODAY()))-1,ABS(NETWORKDAYS(Proc[[#This Row],[DateOpened]],Proc[[#This Row],[DateClosed]]))-1)</f>
        <v>98</v>
      </c>
      <c r="R3300" s="115" t="s">
        <v>1459</v>
      </c>
      <c r="S3300" s="125"/>
    </row>
    <row r="3301" spans="1:19" hidden="1">
      <c r="A3301" s="124" t="s">
        <v>5478</v>
      </c>
      <c r="B3301" s="149" t="str">
        <f>IFERROR(VLOOKUP(Proc[[#This Row],[App]],Table2[],3,0),"open")</f>
        <v>ok</v>
      </c>
      <c r="C3301" s="124" t="s">
        <v>369</v>
      </c>
      <c r="D3301" t="s">
        <v>5327</v>
      </c>
      <c r="E3301" t="s">
        <v>5444</v>
      </c>
      <c r="F3301" s="125" t="s">
        <v>5444</v>
      </c>
      <c r="G3301" s="124" t="s">
        <v>406</v>
      </c>
      <c r="H3301" s="125" t="str">
        <f>IF(Proc[[#This Row],[type]]="LFF (MDG-F)",MID(Proc[[#This Row],[Obj]],13,10),"")</f>
        <v>DE10643100</v>
      </c>
      <c r="J3301" s="125" t="b">
        <f>Proc[[#This Row],[Requested]]=Proc[[#This Row],[CurrentParent]]</f>
        <v>1</v>
      </c>
      <c r="K3301" s="144" t="str">
        <f>IF(Proc[[#This Row],[Author]]="Marcela Urrego",VLOOKUP(LEFT(Proc[[#This Row],[Requested]],1),Table3[#All],2,0),VLOOKUP(Proc[[#This Row],[Author]],Table4[],2,0))</f>
        <v>MGF</v>
      </c>
      <c r="L3301" s="125" t="s">
        <v>4894</v>
      </c>
      <c r="M3301" s="113">
        <v>45874</v>
      </c>
      <c r="N3301" s="113"/>
      <c r="O3301" s="113"/>
      <c r="P3301" s="115" t="str">
        <f ca="1">IF(Proc[[#This Row],[DaysAgeing]]&gt;5,"yep","on track")</f>
        <v>yep</v>
      </c>
      <c r="Q3301" s="3">
        <f ca="1">IF(Proc[[#This Row],[DateClosed]]="",ABS(NETWORKDAYS(Proc[[#This Row],[DateOpened]],TODAY()))-1,ABS(NETWORKDAYS(Proc[[#This Row],[DateOpened]],Proc[[#This Row],[DateClosed]]))-1)</f>
        <v>98</v>
      </c>
      <c r="R3301" s="115" t="s">
        <v>1459</v>
      </c>
      <c r="S3301" s="125"/>
    </row>
    <row r="3302" spans="1:19" hidden="1">
      <c r="A3302" s="124" t="s">
        <v>5478</v>
      </c>
      <c r="B3302" s="149" t="str">
        <f>IFERROR(VLOOKUP(Proc[[#This Row],[App]],Table2[],3,0),"open")</f>
        <v>ok</v>
      </c>
      <c r="C3302" s="124" t="s">
        <v>369</v>
      </c>
      <c r="D3302" t="s">
        <v>5328</v>
      </c>
      <c r="E3302" t="s">
        <v>5456</v>
      </c>
      <c r="F3302" s="125" t="s">
        <v>5456</v>
      </c>
      <c r="G3302" s="124" t="s">
        <v>406</v>
      </c>
      <c r="H3302" s="125" t="str">
        <f>IF(Proc[[#This Row],[type]]="LFF (MDG-F)",MID(Proc[[#This Row],[Obj]],13,10),"")</f>
        <v>DE10669636</v>
      </c>
      <c r="J3302" s="125" t="b">
        <f>Proc[[#This Row],[Requested]]=Proc[[#This Row],[CurrentParent]]</f>
        <v>1</v>
      </c>
      <c r="K3302" s="144" t="str">
        <f>IF(Proc[[#This Row],[Author]]="Marcela Urrego",VLOOKUP(LEFT(Proc[[#This Row],[Requested]],1),Table3[#All],2,0),VLOOKUP(Proc[[#This Row],[Author]],Table4[],2,0))</f>
        <v>MGF</v>
      </c>
      <c r="L3302" s="125" t="s">
        <v>4894</v>
      </c>
      <c r="M3302" s="113">
        <v>45874</v>
      </c>
      <c r="N3302" s="113"/>
      <c r="O3302" s="113"/>
      <c r="P3302" s="115" t="str">
        <f ca="1">IF(Proc[[#This Row],[DaysAgeing]]&gt;5,"yep","on track")</f>
        <v>yep</v>
      </c>
      <c r="Q3302" s="3">
        <f ca="1">IF(Proc[[#This Row],[DateClosed]]="",ABS(NETWORKDAYS(Proc[[#This Row],[DateOpened]],TODAY()))-1,ABS(NETWORKDAYS(Proc[[#This Row],[DateOpened]],Proc[[#This Row],[DateClosed]]))-1)</f>
        <v>98</v>
      </c>
      <c r="R3302" s="115" t="s">
        <v>1459</v>
      </c>
      <c r="S3302" s="125"/>
    </row>
    <row r="3303" spans="1:19" hidden="1">
      <c r="A3303" s="124" t="s">
        <v>5478</v>
      </c>
      <c r="B3303" s="149" t="str">
        <f>IFERROR(VLOOKUP(Proc[[#This Row],[App]],Table2[],3,0),"open")</f>
        <v>ok</v>
      </c>
      <c r="C3303" s="124" t="s">
        <v>369</v>
      </c>
      <c r="D3303" t="s">
        <v>5329</v>
      </c>
      <c r="E3303" t="s">
        <v>5452</v>
      </c>
      <c r="F3303" s="125" t="s">
        <v>5452</v>
      </c>
      <c r="G3303" s="124" t="s">
        <v>406</v>
      </c>
      <c r="H3303" s="125" t="str">
        <f>IF(Proc[[#This Row],[type]]="LFF (MDG-F)",MID(Proc[[#This Row],[Obj]],13,10),"")</f>
        <v>DE10635800</v>
      </c>
      <c r="J3303" s="125" t="b">
        <f>Proc[[#This Row],[Requested]]=Proc[[#This Row],[CurrentParent]]</f>
        <v>1</v>
      </c>
      <c r="K3303" s="144" t="str">
        <f>IF(Proc[[#This Row],[Author]]="Marcela Urrego",VLOOKUP(LEFT(Proc[[#This Row],[Requested]],1),Table3[#All],2,0),VLOOKUP(Proc[[#This Row],[Author]],Table4[],2,0))</f>
        <v>MGF</v>
      </c>
      <c r="L3303" s="125" t="s">
        <v>4894</v>
      </c>
      <c r="M3303" s="113">
        <v>45874</v>
      </c>
      <c r="N3303" s="113"/>
      <c r="O3303" s="113"/>
      <c r="P3303" s="115" t="str">
        <f ca="1">IF(Proc[[#This Row],[DaysAgeing]]&gt;5,"yep","on track")</f>
        <v>yep</v>
      </c>
      <c r="Q3303" s="3">
        <f ca="1">IF(Proc[[#This Row],[DateClosed]]="",ABS(NETWORKDAYS(Proc[[#This Row],[DateOpened]],TODAY()))-1,ABS(NETWORKDAYS(Proc[[#This Row],[DateOpened]],Proc[[#This Row],[DateClosed]]))-1)</f>
        <v>98</v>
      </c>
      <c r="R3303" s="115" t="s">
        <v>1459</v>
      </c>
      <c r="S3303" s="125"/>
    </row>
    <row r="3304" spans="1:19" hidden="1">
      <c r="A3304" s="124" t="s">
        <v>5478</v>
      </c>
      <c r="B3304" s="149" t="str">
        <f>IFERROR(VLOOKUP(Proc[[#This Row],[App]],Table2[],3,0),"open")</f>
        <v>ok</v>
      </c>
      <c r="C3304" s="124" t="s">
        <v>369</v>
      </c>
      <c r="D3304" t="s">
        <v>5330</v>
      </c>
      <c r="E3304" t="s">
        <v>5452</v>
      </c>
      <c r="F3304" s="125" t="s">
        <v>5452</v>
      </c>
      <c r="G3304" s="124" t="s">
        <v>406</v>
      </c>
      <c r="H3304" s="125" t="str">
        <f>IF(Proc[[#This Row],[type]]="LFF (MDG-F)",MID(Proc[[#This Row],[Obj]],13,10),"")</f>
        <v>DE10561800</v>
      </c>
      <c r="J3304" s="125" t="b">
        <f>Proc[[#This Row],[Requested]]=Proc[[#This Row],[CurrentParent]]</f>
        <v>1</v>
      </c>
      <c r="K3304" s="144" t="str">
        <f>IF(Proc[[#This Row],[Author]]="Marcela Urrego",VLOOKUP(LEFT(Proc[[#This Row],[Requested]],1),Table3[#All],2,0),VLOOKUP(Proc[[#This Row],[Author]],Table4[],2,0))</f>
        <v>MGF</v>
      </c>
      <c r="L3304" s="125" t="s">
        <v>4894</v>
      </c>
      <c r="M3304" s="113">
        <v>45874</v>
      </c>
      <c r="N3304" s="113"/>
      <c r="O3304" s="113"/>
      <c r="P3304" s="115" t="str">
        <f ca="1">IF(Proc[[#This Row],[DaysAgeing]]&gt;5,"yep","on track")</f>
        <v>yep</v>
      </c>
      <c r="Q3304" s="3">
        <f ca="1">IF(Proc[[#This Row],[DateClosed]]="",ABS(NETWORKDAYS(Proc[[#This Row],[DateOpened]],TODAY()))-1,ABS(NETWORKDAYS(Proc[[#This Row],[DateOpened]],Proc[[#This Row],[DateClosed]]))-1)</f>
        <v>98</v>
      </c>
      <c r="R3304" s="115" t="s">
        <v>1459</v>
      </c>
      <c r="S3304" s="125"/>
    </row>
    <row r="3305" spans="1:19" hidden="1">
      <c r="A3305" s="124" t="s">
        <v>5478</v>
      </c>
      <c r="B3305" s="149" t="str">
        <f>IFERROR(VLOOKUP(Proc[[#This Row],[App]],Table2[],3,0),"open")</f>
        <v>ok</v>
      </c>
      <c r="C3305" s="124" t="s">
        <v>369</v>
      </c>
      <c r="D3305" t="s">
        <v>5331</v>
      </c>
      <c r="E3305" t="s">
        <v>5445</v>
      </c>
      <c r="F3305" s="125" t="s">
        <v>5445</v>
      </c>
      <c r="G3305" s="124" t="s">
        <v>406</v>
      </c>
      <c r="H3305" s="125" t="str">
        <f>IF(Proc[[#This Row],[type]]="LFF (MDG-F)",MID(Proc[[#This Row],[Obj]],13,10),"")</f>
        <v>DE10GIT706</v>
      </c>
      <c r="J3305" s="125" t="b">
        <f>Proc[[#This Row],[Requested]]=Proc[[#This Row],[CurrentParent]]</f>
        <v>1</v>
      </c>
      <c r="K3305" s="144" t="str">
        <f>IF(Proc[[#This Row],[Author]]="Marcela Urrego",VLOOKUP(LEFT(Proc[[#This Row],[Requested]],1),Table3[#All],2,0),VLOOKUP(Proc[[#This Row],[Author]],Table4[],2,0))</f>
        <v>MGF</v>
      </c>
      <c r="L3305" s="125" t="s">
        <v>4894</v>
      </c>
      <c r="M3305" s="113">
        <v>45874</v>
      </c>
      <c r="N3305" s="113"/>
      <c r="O3305" s="113"/>
      <c r="P3305" s="115" t="str">
        <f ca="1">IF(Proc[[#This Row],[DaysAgeing]]&gt;5,"yep","on track")</f>
        <v>yep</v>
      </c>
      <c r="Q3305" s="3">
        <f ca="1">IF(Proc[[#This Row],[DateClosed]]="",ABS(NETWORKDAYS(Proc[[#This Row],[DateOpened]],TODAY()))-1,ABS(NETWORKDAYS(Proc[[#This Row],[DateOpened]],Proc[[#This Row],[DateClosed]]))-1)</f>
        <v>98</v>
      </c>
      <c r="R3305" s="115" t="s">
        <v>1459</v>
      </c>
      <c r="S3305" s="125"/>
    </row>
    <row r="3306" spans="1:19" hidden="1">
      <c r="A3306" s="124" t="s">
        <v>5478</v>
      </c>
      <c r="B3306" s="149" t="str">
        <f>IFERROR(VLOOKUP(Proc[[#This Row],[App]],Table2[],3,0),"open")</f>
        <v>ok</v>
      </c>
      <c r="C3306" s="124" t="s">
        <v>369</v>
      </c>
      <c r="D3306" t="s">
        <v>5332</v>
      </c>
      <c r="E3306" t="s">
        <v>5457</v>
      </c>
      <c r="F3306" s="125" t="s">
        <v>5457</v>
      </c>
      <c r="G3306" s="124" t="s">
        <v>406</v>
      </c>
      <c r="H3306" s="125" t="str">
        <f>IF(Proc[[#This Row],[type]]="LFF (MDG-F)",MID(Proc[[#This Row],[Obj]],13,10),"")</f>
        <v>DE10669635</v>
      </c>
      <c r="J3306" s="125" t="b">
        <f>Proc[[#This Row],[Requested]]=Proc[[#This Row],[CurrentParent]]</f>
        <v>1</v>
      </c>
      <c r="K3306" s="144" t="str">
        <f>IF(Proc[[#This Row],[Author]]="Marcela Urrego",VLOOKUP(LEFT(Proc[[#This Row],[Requested]],1),Table3[#All],2,0),VLOOKUP(Proc[[#This Row],[Author]],Table4[],2,0))</f>
        <v>MGF</v>
      </c>
      <c r="L3306" s="125" t="s">
        <v>4894</v>
      </c>
      <c r="M3306" s="113">
        <v>45874</v>
      </c>
      <c r="N3306" s="113"/>
      <c r="O3306" s="113"/>
      <c r="P3306" s="115" t="str">
        <f ca="1">IF(Proc[[#This Row],[DaysAgeing]]&gt;5,"yep","on track")</f>
        <v>yep</v>
      </c>
      <c r="Q3306" s="3">
        <f ca="1">IF(Proc[[#This Row],[DateClosed]]="",ABS(NETWORKDAYS(Proc[[#This Row],[DateOpened]],TODAY()))-1,ABS(NETWORKDAYS(Proc[[#This Row],[DateOpened]],Proc[[#This Row],[DateClosed]]))-1)</f>
        <v>98</v>
      </c>
      <c r="R3306" s="115" t="s">
        <v>1459</v>
      </c>
      <c r="S3306" s="125"/>
    </row>
    <row r="3307" spans="1:19" hidden="1">
      <c r="A3307" s="124" t="s">
        <v>5478</v>
      </c>
      <c r="B3307" s="149" t="str">
        <f>IFERROR(VLOOKUP(Proc[[#This Row],[App]],Table2[],3,0),"open")</f>
        <v>ok</v>
      </c>
      <c r="C3307" s="124" t="s">
        <v>369</v>
      </c>
      <c r="D3307" t="s">
        <v>5333</v>
      </c>
      <c r="E3307" t="s">
        <v>5444</v>
      </c>
      <c r="F3307" s="125" t="s">
        <v>5444</v>
      </c>
      <c r="G3307" s="124" t="s">
        <v>406</v>
      </c>
      <c r="H3307" s="125" t="str">
        <f>IF(Proc[[#This Row],[type]]="LFF (MDG-F)",MID(Proc[[#This Row],[Obj]],13,10),"")</f>
        <v>DE10GIT06A</v>
      </c>
      <c r="J3307" s="125" t="b">
        <f>Proc[[#This Row],[Requested]]=Proc[[#This Row],[CurrentParent]]</f>
        <v>1</v>
      </c>
      <c r="K3307" s="144" t="str">
        <f>IF(Proc[[#This Row],[Author]]="Marcela Urrego",VLOOKUP(LEFT(Proc[[#This Row],[Requested]],1),Table3[#All],2,0),VLOOKUP(Proc[[#This Row],[Author]],Table4[],2,0))</f>
        <v>MGF</v>
      </c>
      <c r="L3307" s="125" t="s">
        <v>4894</v>
      </c>
      <c r="M3307" s="113">
        <v>45874</v>
      </c>
      <c r="N3307" s="113"/>
      <c r="O3307" s="113"/>
      <c r="P3307" s="115" t="str">
        <f ca="1">IF(Proc[[#This Row],[DaysAgeing]]&gt;5,"yep","on track")</f>
        <v>yep</v>
      </c>
      <c r="Q3307" s="3">
        <f ca="1">IF(Proc[[#This Row],[DateClosed]]="",ABS(NETWORKDAYS(Proc[[#This Row],[DateOpened]],TODAY()))-1,ABS(NETWORKDAYS(Proc[[#This Row],[DateOpened]],Proc[[#This Row],[DateClosed]]))-1)</f>
        <v>98</v>
      </c>
      <c r="R3307" s="115" t="s">
        <v>1459</v>
      </c>
      <c r="S3307" s="125"/>
    </row>
    <row r="3308" spans="1:19" hidden="1">
      <c r="A3308" s="124" t="s">
        <v>5478</v>
      </c>
      <c r="B3308" s="149" t="str">
        <f>IFERROR(VLOOKUP(Proc[[#This Row],[App]],Table2[],3,0),"open")</f>
        <v>ok</v>
      </c>
      <c r="C3308" s="124" t="s">
        <v>369</v>
      </c>
      <c r="D3308" t="s">
        <v>1457</v>
      </c>
      <c r="E3308" t="s">
        <v>5444</v>
      </c>
      <c r="F3308" s="125" t="s">
        <v>5444</v>
      </c>
      <c r="G3308" s="124" t="s">
        <v>406</v>
      </c>
      <c r="H3308" s="125" t="str">
        <f>IF(Proc[[#This Row],[type]]="LFF (MDG-F)",MID(Proc[[#This Row],[Obj]],13,10),"")</f>
        <v>DE10GIT05A</v>
      </c>
      <c r="J3308" s="125" t="b">
        <f>Proc[[#This Row],[Requested]]=Proc[[#This Row],[CurrentParent]]</f>
        <v>1</v>
      </c>
      <c r="K3308" s="144" t="str">
        <f>IF(Proc[[#This Row],[Author]]="Marcela Urrego",VLOOKUP(LEFT(Proc[[#This Row],[Requested]],1),Table3[#All],2,0),VLOOKUP(Proc[[#This Row],[Author]],Table4[],2,0))</f>
        <v>MGF</v>
      </c>
      <c r="L3308" s="125" t="s">
        <v>4894</v>
      </c>
      <c r="M3308" s="113">
        <v>45874</v>
      </c>
      <c r="N3308" s="113"/>
      <c r="O3308" s="113"/>
      <c r="P3308" s="115" t="str">
        <f ca="1">IF(Proc[[#This Row],[DaysAgeing]]&gt;5,"yep","on track")</f>
        <v>yep</v>
      </c>
      <c r="Q3308" s="3">
        <f ca="1">IF(Proc[[#This Row],[DateClosed]]="",ABS(NETWORKDAYS(Proc[[#This Row],[DateOpened]],TODAY()))-1,ABS(NETWORKDAYS(Proc[[#This Row],[DateOpened]],Proc[[#This Row],[DateClosed]]))-1)</f>
        <v>98</v>
      </c>
      <c r="R3308" s="115" t="s">
        <v>1459</v>
      </c>
      <c r="S3308" s="125"/>
    </row>
    <row r="3309" spans="1:19" hidden="1">
      <c r="A3309" s="124" t="s">
        <v>5478</v>
      </c>
      <c r="B3309" s="149" t="str">
        <f>IFERROR(VLOOKUP(Proc[[#This Row],[App]],Table2[],3,0),"open")</f>
        <v>ok</v>
      </c>
      <c r="C3309" s="124" t="s">
        <v>369</v>
      </c>
      <c r="D3309" t="s">
        <v>5334</v>
      </c>
      <c r="E3309" t="s">
        <v>662</v>
      </c>
      <c r="F3309" s="125" t="s">
        <v>662</v>
      </c>
      <c r="G3309" s="124" t="s">
        <v>406</v>
      </c>
      <c r="H3309" s="125" t="str">
        <f>IF(Proc[[#This Row],[type]]="LFF (MDG-F)",MID(Proc[[#This Row],[Obj]],13,10),"")</f>
        <v>DE10YIT009</v>
      </c>
      <c r="J3309" s="125" t="b">
        <f>Proc[[#This Row],[Requested]]=Proc[[#This Row],[CurrentParent]]</f>
        <v>1</v>
      </c>
      <c r="K3309" s="144" t="str">
        <f>IF(Proc[[#This Row],[Author]]="Marcela Urrego",VLOOKUP(LEFT(Proc[[#This Row],[Requested]],1),Table3[#All],2,0),VLOOKUP(Proc[[#This Row],[Author]],Table4[],2,0))</f>
        <v>MGF</v>
      </c>
      <c r="L3309" s="125" t="s">
        <v>4894</v>
      </c>
      <c r="M3309" s="113">
        <v>45874</v>
      </c>
      <c r="N3309" s="113"/>
      <c r="O3309" s="113"/>
      <c r="P3309" s="115" t="str">
        <f ca="1">IF(Proc[[#This Row],[DaysAgeing]]&gt;5,"yep","on track")</f>
        <v>yep</v>
      </c>
      <c r="Q3309" s="3">
        <f ca="1">IF(Proc[[#This Row],[DateClosed]]="",ABS(NETWORKDAYS(Proc[[#This Row],[DateOpened]],TODAY()))-1,ABS(NETWORKDAYS(Proc[[#This Row],[DateOpened]],Proc[[#This Row],[DateClosed]]))-1)</f>
        <v>98</v>
      </c>
      <c r="R3309" s="115" t="s">
        <v>1459</v>
      </c>
      <c r="S3309" s="125"/>
    </row>
    <row r="3310" spans="1:19" hidden="1">
      <c r="A3310" s="124" t="s">
        <v>5478</v>
      </c>
      <c r="B3310" s="149" t="str">
        <f>IFERROR(VLOOKUP(Proc[[#This Row],[App]],Table2[],3,0),"open")</f>
        <v>ok</v>
      </c>
      <c r="C3310" s="124" t="s">
        <v>369</v>
      </c>
      <c r="D3310" t="s">
        <v>5335</v>
      </c>
      <c r="E3310" t="s">
        <v>661</v>
      </c>
      <c r="F3310" s="125" t="s">
        <v>661</v>
      </c>
      <c r="G3310" s="124" t="s">
        <v>406</v>
      </c>
      <c r="H3310" s="125" t="str">
        <f>IF(Proc[[#This Row],[type]]="LFF (MDG-F)",MID(Proc[[#This Row],[Obj]],13,10),"")</f>
        <v>DE10YIT008</v>
      </c>
      <c r="J3310" s="125" t="b">
        <f>Proc[[#This Row],[Requested]]=Proc[[#This Row],[CurrentParent]]</f>
        <v>1</v>
      </c>
      <c r="K3310" s="144" t="str">
        <f>IF(Proc[[#This Row],[Author]]="Marcela Urrego",VLOOKUP(LEFT(Proc[[#This Row],[Requested]],1),Table3[#All],2,0),VLOOKUP(Proc[[#This Row],[Author]],Table4[],2,0))</f>
        <v>MGF</v>
      </c>
      <c r="L3310" s="125" t="s">
        <v>4894</v>
      </c>
      <c r="M3310" s="113">
        <v>45874</v>
      </c>
      <c r="N3310" s="113"/>
      <c r="O3310" s="113"/>
      <c r="P3310" s="115" t="str">
        <f ca="1">IF(Proc[[#This Row],[DaysAgeing]]&gt;5,"yep","on track")</f>
        <v>yep</v>
      </c>
      <c r="Q3310" s="3">
        <f ca="1">IF(Proc[[#This Row],[DateClosed]]="",ABS(NETWORKDAYS(Proc[[#This Row],[DateOpened]],TODAY()))-1,ABS(NETWORKDAYS(Proc[[#This Row],[DateOpened]],Proc[[#This Row],[DateClosed]]))-1)</f>
        <v>98</v>
      </c>
      <c r="R3310" s="115" t="s">
        <v>1459</v>
      </c>
      <c r="S3310" s="125"/>
    </row>
    <row r="3311" spans="1:19" hidden="1">
      <c r="A3311" s="124" t="s">
        <v>5478</v>
      </c>
      <c r="B3311" s="149" t="str">
        <f>IFERROR(VLOOKUP(Proc[[#This Row],[App]],Table2[],3,0),"open")</f>
        <v>ok</v>
      </c>
      <c r="C3311" s="124" t="s">
        <v>369</v>
      </c>
      <c r="D3311" t="s">
        <v>5336</v>
      </c>
      <c r="E3311" t="s">
        <v>5465</v>
      </c>
      <c r="F3311" s="125" t="s">
        <v>5465</v>
      </c>
      <c r="G3311" s="124" t="s">
        <v>406</v>
      </c>
      <c r="H3311" s="125" t="str">
        <f>IF(Proc[[#This Row],[type]]="LFF (MDG-F)",MID(Proc[[#This Row],[Obj]],13,10),"")</f>
        <v>DE10YIT012</v>
      </c>
      <c r="J3311" s="125" t="b">
        <f>Proc[[#This Row],[Requested]]=Proc[[#This Row],[CurrentParent]]</f>
        <v>1</v>
      </c>
      <c r="K3311" s="144" t="str">
        <f>IF(Proc[[#This Row],[Author]]="Marcela Urrego",VLOOKUP(LEFT(Proc[[#This Row],[Requested]],1),Table3[#All],2,0),VLOOKUP(Proc[[#This Row],[Author]],Table4[],2,0))</f>
        <v>MGF</v>
      </c>
      <c r="L3311" s="125" t="s">
        <v>4894</v>
      </c>
      <c r="M3311" s="113">
        <v>45874</v>
      </c>
      <c r="N3311" s="113"/>
      <c r="O3311" s="113"/>
      <c r="P3311" s="115" t="str">
        <f ca="1">IF(Proc[[#This Row],[DaysAgeing]]&gt;5,"yep","on track")</f>
        <v>yep</v>
      </c>
      <c r="Q3311" s="3">
        <f ca="1">IF(Proc[[#This Row],[DateClosed]]="",ABS(NETWORKDAYS(Proc[[#This Row],[DateOpened]],TODAY()))-1,ABS(NETWORKDAYS(Proc[[#This Row],[DateOpened]],Proc[[#This Row],[DateClosed]]))-1)</f>
        <v>98</v>
      </c>
      <c r="R3311" s="115" t="s">
        <v>1459</v>
      </c>
      <c r="S3311" s="125"/>
    </row>
    <row r="3312" spans="1:19" hidden="1">
      <c r="A3312" s="124" t="s">
        <v>5478</v>
      </c>
      <c r="B3312" s="149" t="str">
        <f>IFERROR(VLOOKUP(Proc[[#This Row],[App]],Table2[],3,0),"open")</f>
        <v>ok</v>
      </c>
      <c r="C3312" s="124" t="s">
        <v>369</v>
      </c>
      <c r="D3312" t="s">
        <v>5337</v>
      </c>
      <c r="E3312" t="s">
        <v>5466</v>
      </c>
      <c r="F3312" s="125" t="s">
        <v>5466</v>
      </c>
      <c r="G3312" s="124" t="s">
        <v>406</v>
      </c>
      <c r="H3312" s="125" t="str">
        <f>IF(Proc[[#This Row],[type]]="LFF (MDG-F)",MID(Proc[[#This Row],[Obj]],13,10),"")</f>
        <v>DE10YIT011</v>
      </c>
      <c r="J3312" s="125" t="b">
        <f>Proc[[#This Row],[Requested]]=Proc[[#This Row],[CurrentParent]]</f>
        <v>1</v>
      </c>
      <c r="K3312" s="144" t="str">
        <f>IF(Proc[[#This Row],[Author]]="Marcela Urrego",VLOOKUP(LEFT(Proc[[#This Row],[Requested]],1),Table3[#All],2,0),VLOOKUP(Proc[[#This Row],[Author]],Table4[],2,0))</f>
        <v>MGF</v>
      </c>
      <c r="L3312" s="125" t="s">
        <v>4894</v>
      </c>
      <c r="M3312" s="113">
        <v>45874</v>
      </c>
      <c r="N3312" s="113"/>
      <c r="O3312" s="113"/>
      <c r="P3312" s="115" t="str">
        <f ca="1">IF(Proc[[#This Row],[DaysAgeing]]&gt;5,"yep","on track")</f>
        <v>yep</v>
      </c>
      <c r="Q3312" s="3">
        <f ca="1">IF(Proc[[#This Row],[DateClosed]]="",ABS(NETWORKDAYS(Proc[[#This Row],[DateOpened]],TODAY()))-1,ABS(NETWORKDAYS(Proc[[#This Row],[DateOpened]],Proc[[#This Row],[DateClosed]]))-1)</f>
        <v>98</v>
      </c>
      <c r="R3312" s="115" t="s">
        <v>1459</v>
      </c>
      <c r="S3312" s="125"/>
    </row>
    <row r="3313" spans="1:19" hidden="1">
      <c r="A3313" s="124" t="s">
        <v>5478</v>
      </c>
      <c r="B3313" s="149" t="str">
        <f>IFERROR(VLOOKUP(Proc[[#This Row],[App]],Table2[],3,0),"open")</f>
        <v>ok</v>
      </c>
      <c r="C3313" s="124" t="s">
        <v>369</v>
      </c>
      <c r="D3313" t="s">
        <v>5338</v>
      </c>
      <c r="E3313" t="s">
        <v>5449</v>
      </c>
      <c r="F3313" s="125" t="s">
        <v>5449</v>
      </c>
      <c r="G3313" s="124" t="s">
        <v>406</v>
      </c>
      <c r="H3313" s="125" t="str">
        <f>IF(Proc[[#This Row],[type]]="LFF (MDG-F)",MID(Proc[[#This Row],[Obj]],13,10),"")</f>
        <v>DE10669632</v>
      </c>
      <c r="J3313" s="125" t="b">
        <f>Proc[[#This Row],[Requested]]=Proc[[#This Row],[CurrentParent]]</f>
        <v>1</v>
      </c>
      <c r="K3313" s="144" t="str">
        <f>IF(Proc[[#This Row],[Author]]="Marcela Urrego",VLOOKUP(LEFT(Proc[[#This Row],[Requested]],1),Table3[#All],2,0),VLOOKUP(Proc[[#This Row],[Author]],Table4[],2,0))</f>
        <v>MGF</v>
      </c>
      <c r="L3313" s="125" t="s">
        <v>4894</v>
      </c>
      <c r="M3313" s="113">
        <v>45874</v>
      </c>
      <c r="N3313" s="113"/>
      <c r="O3313" s="113"/>
      <c r="P3313" s="115" t="str">
        <f ca="1">IF(Proc[[#This Row],[DaysAgeing]]&gt;5,"yep","on track")</f>
        <v>yep</v>
      </c>
      <c r="Q3313" s="3">
        <f ca="1">IF(Proc[[#This Row],[DateClosed]]="",ABS(NETWORKDAYS(Proc[[#This Row],[DateOpened]],TODAY()))-1,ABS(NETWORKDAYS(Proc[[#This Row],[DateOpened]],Proc[[#This Row],[DateClosed]]))-1)</f>
        <v>98</v>
      </c>
      <c r="R3313" s="115" t="s">
        <v>1459</v>
      </c>
      <c r="S3313" s="125"/>
    </row>
    <row r="3314" spans="1:19" hidden="1">
      <c r="A3314" s="124" t="s">
        <v>5478</v>
      </c>
      <c r="B3314" s="149" t="str">
        <f>IFERROR(VLOOKUP(Proc[[#This Row],[App]],Table2[],3,0),"open")</f>
        <v>ok</v>
      </c>
      <c r="C3314" s="124" t="s">
        <v>369</v>
      </c>
      <c r="D3314" t="s">
        <v>5339</v>
      </c>
      <c r="E3314" t="s">
        <v>5458</v>
      </c>
      <c r="F3314" s="125" t="s">
        <v>5458</v>
      </c>
      <c r="G3314" s="124" t="s">
        <v>406</v>
      </c>
      <c r="H3314" s="125" t="str">
        <f>IF(Proc[[#This Row],[type]]="LFF (MDG-F)",MID(Proc[[#This Row],[Obj]],13,10),"")</f>
        <v>DE10669646</v>
      </c>
      <c r="J3314" s="125" t="b">
        <f>Proc[[#This Row],[Requested]]=Proc[[#This Row],[CurrentParent]]</f>
        <v>1</v>
      </c>
      <c r="K3314" s="144" t="str">
        <f>IF(Proc[[#This Row],[Author]]="Marcela Urrego",VLOOKUP(LEFT(Proc[[#This Row],[Requested]],1),Table3[#All],2,0),VLOOKUP(Proc[[#This Row],[Author]],Table4[],2,0))</f>
        <v>MGF</v>
      </c>
      <c r="L3314" s="125" t="s">
        <v>4894</v>
      </c>
      <c r="M3314" s="113">
        <v>45874</v>
      </c>
      <c r="N3314" s="113"/>
      <c r="O3314" s="113"/>
      <c r="P3314" s="115" t="str">
        <f ca="1">IF(Proc[[#This Row],[DaysAgeing]]&gt;5,"yep","on track")</f>
        <v>yep</v>
      </c>
      <c r="Q3314" s="3">
        <f ca="1">IF(Proc[[#This Row],[DateClosed]]="",ABS(NETWORKDAYS(Proc[[#This Row],[DateOpened]],TODAY()))-1,ABS(NETWORKDAYS(Proc[[#This Row],[DateOpened]],Proc[[#This Row],[DateClosed]]))-1)</f>
        <v>98</v>
      </c>
      <c r="R3314" s="115" t="s">
        <v>1459</v>
      </c>
      <c r="S3314" s="125"/>
    </row>
    <row r="3315" spans="1:19" hidden="1">
      <c r="A3315" s="124" t="s">
        <v>5478</v>
      </c>
      <c r="B3315" s="149" t="str">
        <f>IFERROR(VLOOKUP(Proc[[#This Row],[App]],Table2[],3,0),"open")</f>
        <v>ok</v>
      </c>
      <c r="C3315" s="124" t="s">
        <v>369</v>
      </c>
      <c r="D3315" t="s">
        <v>5340</v>
      </c>
      <c r="E3315" t="s">
        <v>5460</v>
      </c>
      <c r="F3315" s="125" t="s">
        <v>5460</v>
      </c>
      <c r="G3315" s="124" t="s">
        <v>406</v>
      </c>
      <c r="H3315" s="125" t="str">
        <f>IF(Proc[[#This Row],[type]]="LFF (MDG-F)",MID(Proc[[#This Row],[Obj]],13,10),"")</f>
        <v>DE10669656</v>
      </c>
      <c r="J3315" s="125" t="b">
        <f>Proc[[#This Row],[Requested]]=Proc[[#This Row],[CurrentParent]]</f>
        <v>1</v>
      </c>
      <c r="K3315" s="144" t="str">
        <f>IF(Proc[[#This Row],[Author]]="Marcela Urrego",VLOOKUP(LEFT(Proc[[#This Row],[Requested]],1),Table3[#All],2,0),VLOOKUP(Proc[[#This Row],[Author]],Table4[],2,0))</f>
        <v>MGF</v>
      </c>
      <c r="L3315" s="125" t="s">
        <v>4894</v>
      </c>
      <c r="M3315" s="113">
        <v>45874</v>
      </c>
      <c r="N3315" s="113"/>
      <c r="O3315" s="113"/>
      <c r="P3315" s="115" t="str">
        <f ca="1">IF(Proc[[#This Row],[DaysAgeing]]&gt;5,"yep","on track")</f>
        <v>yep</v>
      </c>
      <c r="Q3315" s="3">
        <f ca="1">IF(Proc[[#This Row],[DateClosed]]="",ABS(NETWORKDAYS(Proc[[#This Row],[DateOpened]],TODAY()))-1,ABS(NETWORKDAYS(Proc[[#This Row],[DateOpened]],Proc[[#This Row],[DateClosed]]))-1)</f>
        <v>98</v>
      </c>
      <c r="R3315" s="115" t="s">
        <v>1459</v>
      </c>
      <c r="S3315" s="125"/>
    </row>
    <row r="3316" spans="1:19" hidden="1">
      <c r="A3316" s="124" t="s">
        <v>5478</v>
      </c>
      <c r="B3316" s="149" t="str">
        <f>IFERROR(VLOOKUP(Proc[[#This Row],[App]],Table2[],3,0),"open")</f>
        <v>ok</v>
      </c>
      <c r="C3316" s="124" t="s">
        <v>369</v>
      </c>
      <c r="D3316" t="s">
        <v>5341</v>
      </c>
      <c r="E3316" t="s">
        <v>5459</v>
      </c>
      <c r="F3316" s="125" t="s">
        <v>5459</v>
      </c>
      <c r="G3316" s="124" t="s">
        <v>406</v>
      </c>
      <c r="H3316" s="125" t="str">
        <f>IF(Proc[[#This Row],[type]]="LFF (MDG-F)",MID(Proc[[#This Row],[Obj]],13,10),"")</f>
        <v>DE10YIT013</v>
      </c>
      <c r="J3316" s="125" t="b">
        <f>Proc[[#This Row],[Requested]]=Proc[[#This Row],[CurrentParent]]</f>
        <v>1</v>
      </c>
      <c r="K3316" s="144" t="str">
        <f>IF(Proc[[#This Row],[Author]]="Marcela Urrego",VLOOKUP(LEFT(Proc[[#This Row],[Requested]],1),Table3[#All],2,0),VLOOKUP(Proc[[#This Row],[Author]],Table4[],2,0))</f>
        <v>MGF</v>
      </c>
      <c r="L3316" s="125" t="s">
        <v>4894</v>
      </c>
      <c r="M3316" s="113">
        <v>45874</v>
      </c>
      <c r="N3316" s="113"/>
      <c r="O3316" s="113"/>
      <c r="P3316" s="115" t="str">
        <f ca="1">IF(Proc[[#This Row],[DaysAgeing]]&gt;5,"yep","on track")</f>
        <v>yep</v>
      </c>
      <c r="Q3316" s="3">
        <f ca="1">IF(Proc[[#This Row],[DateClosed]]="",ABS(NETWORKDAYS(Proc[[#This Row],[DateOpened]],TODAY()))-1,ABS(NETWORKDAYS(Proc[[#This Row],[DateOpened]],Proc[[#This Row],[DateClosed]]))-1)</f>
        <v>98</v>
      </c>
      <c r="R3316" s="115" t="s">
        <v>1459</v>
      </c>
      <c r="S3316" s="125"/>
    </row>
    <row r="3317" spans="1:19" hidden="1">
      <c r="A3317" s="124" t="s">
        <v>5478</v>
      </c>
      <c r="B3317" s="149" t="str">
        <f>IFERROR(VLOOKUP(Proc[[#This Row],[App]],Table2[],3,0),"open")</f>
        <v>ok</v>
      </c>
      <c r="C3317" s="124" t="s">
        <v>369</v>
      </c>
      <c r="D3317" t="s">
        <v>5342</v>
      </c>
      <c r="E3317" t="s">
        <v>5452</v>
      </c>
      <c r="F3317" s="125" t="s">
        <v>5452</v>
      </c>
      <c r="G3317" s="124" t="s">
        <v>406</v>
      </c>
      <c r="H3317" s="125" t="str">
        <f>IF(Proc[[#This Row],[type]]="LFF (MDG-F)",MID(Proc[[#This Row],[Obj]],13,10),"")</f>
        <v>DE10638480</v>
      </c>
      <c r="J3317" s="125" t="b">
        <f>Proc[[#This Row],[Requested]]=Proc[[#This Row],[CurrentParent]]</f>
        <v>1</v>
      </c>
      <c r="K3317" s="144" t="str">
        <f>IF(Proc[[#This Row],[Author]]="Marcela Urrego",VLOOKUP(LEFT(Proc[[#This Row],[Requested]],1),Table3[#All],2,0),VLOOKUP(Proc[[#This Row],[Author]],Table4[],2,0))</f>
        <v>MGF</v>
      </c>
      <c r="L3317" s="125" t="s">
        <v>4894</v>
      </c>
      <c r="M3317" s="113">
        <v>45874</v>
      </c>
      <c r="N3317" s="113"/>
      <c r="O3317" s="113"/>
      <c r="P3317" s="115" t="str">
        <f ca="1">IF(Proc[[#This Row],[DaysAgeing]]&gt;5,"yep","on track")</f>
        <v>yep</v>
      </c>
      <c r="Q3317" s="3">
        <f ca="1">IF(Proc[[#This Row],[DateClosed]]="",ABS(NETWORKDAYS(Proc[[#This Row],[DateOpened]],TODAY()))-1,ABS(NETWORKDAYS(Proc[[#This Row],[DateOpened]],Proc[[#This Row],[DateClosed]]))-1)</f>
        <v>98</v>
      </c>
      <c r="R3317" s="115" t="s">
        <v>1459</v>
      </c>
      <c r="S3317" s="125"/>
    </row>
    <row r="3318" spans="1:19" hidden="1">
      <c r="A3318" s="124" t="s">
        <v>5478</v>
      </c>
      <c r="B3318" s="149" t="str">
        <f>IFERROR(VLOOKUP(Proc[[#This Row],[App]],Table2[],3,0),"open")</f>
        <v>ok</v>
      </c>
      <c r="C3318" s="124" t="s">
        <v>369</v>
      </c>
      <c r="D3318" t="s">
        <v>5343</v>
      </c>
      <c r="E3318" t="s">
        <v>5452</v>
      </c>
      <c r="F3318" s="125" t="s">
        <v>5452</v>
      </c>
      <c r="G3318" s="124" t="s">
        <v>406</v>
      </c>
      <c r="H3318" s="125" t="str">
        <f>IF(Proc[[#This Row],[type]]="LFF (MDG-F)",MID(Proc[[#This Row],[Obj]],13,10),"")</f>
        <v>DE10638470</v>
      </c>
      <c r="J3318" s="125" t="b">
        <f>Proc[[#This Row],[Requested]]=Proc[[#This Row],[CurrentParent]]</f>
        <v>1</v>
      </c>
      <c r="K3318" s="144" t="str">
        <f>IF(Proc[[#This Row],[Author]]="Marcela Urrego",VLOOKUP(LEFT(Proc[[#This Row],[Requested]],1),Table3[#All],2,0),VLOOKUP(Proc[[#This Row],[Author]],Table4[],2,0))</f>
        <v>MGF</v>
      </c>
      <c r="L3318" s="125" t="s">
        <v>4894</v>
      </c>
      <c r="M3318" s="113">
        <v>45874</v>
      </c>
      <c r="N3318" s="113"/>
      <c r="O3318" s="113"/>
      <c r="P3318" s="115" t="str">
        <f ca="1">IF(Proc[[#This Row],[DaysAgeing]]&gt;5,"yep","on track")</f>
        <v>yep</v>
      </c>
      <c r="Q3318" s="3">
        <f ca="1">IF(Proc[[#This Row],[DateClosed]]="",ABS(NETWORKDAYS(Proc[[#This Row],[DateOpened]],TODAY()))-1,ABS(NETWORKDAYS(Proc[[#This Row],[DateOpened]],Proc[[#This Row],[DateClosed]]))-1)</f>
        <v>98</v>
      </c>
      <c r="R3318" s="115" t="s">
        <v>1459</v>
      </c>
      <c r="S3318" s="125"/>
    </row>
    <row r="3319" spans="1:19" hidden="1">
      <c r="A3319" s="124" t="s">
        <v>5478</v>
      </c>
      <c r="B3319" s="149" t="str">
        <f>IFERROR(VLOOKUP(Proc[[#This Row],[App]],Table2[],3,0),"open")</f>
        <v>ok</v>
      </c>
      <c r="C3319" s="124" t="s">
        <v>369</v>
      </c>
      <c r="D3319" t="s">
        <v>5344</v>
      </c>
      <c r="E3319" t="s">
        <v>5452</v>
      </c>
      <c r="F3319" s="125" t="s">
        <v>5452</v>
      </c>
      <c r="G3319" s="124" t="s">
        <v>406</v>
      </c>
      <c r="H3319" s="125" t="str">
        <f>IF(Proc[[#This Row],[type]]="LFF (MDG-F)",MID(Proc[[#This Row],[Obj]],13,10),"")</f>
        <v>DE10512503</v>
      </c>
      <c r="J3319" s="125" t="b">
        <f>Proc[[#This Row],[Requested]]=Proc[[#This Row],[CurrentParent]]</f>
        <v>1</v>
      </c>
      <c r="K3319" s="144" t="str">
        <f>IF(Proc[[#This Row],[Author]]="Marcela Urrego",VLOOKUP(LEFT(Proc[[#This Row],[Requested]],1),Table3[#All],2,0),VLOOKUP(Proc[[#This Row],[Author]],Table4[],2,0))</f>
        <v>MGF</v>
      </c>
      <c r="L3319" s="125" t="s">
        <v>4894</v>
      </c>
      <c r="M3319" s="113">
        <v>45874</v>
      </c>
      <c r="N3319" s="113"/>
      <c r="O3319" s="113"/>
      <c r="P3319" s="115" t="str">
        <f ca="1">IF(Proc[[#This Row],[DaysAgeing]]&gt;5,"yep","on track")</f>
        <v>yep</v>
      </c>
      <c r="Q3319" s="3">
        <f ca="1">IF(Proc[[#This Row],[DateClosed]]="",ABS(NETWORKDAYS(Proc[[#This Row],[DateOpened]],TODAY()))-1,ABS(NETWORKDAYS(Proc[[#This Row],[DateOpened]],Proc[[#This Row],[DateClosed]]))-1)</f>
        <v>98</v>
      </c>
      <c r="R3319" s="115" t="s">
        <v>1459</v>
      </c>
      <c r="S3319" s="125"/>
    </row>
    <row r="3320" spans="1:19" hidden="1">
      <c r="A3320" s="124" t="s">
        <v>5478</v>
      </c>
      <c r="B3320" s="149" t="str">
        <f>IFERROR(VLOOKUP(Proc[[#This Row],[App]],Table2[],3,0),"open")</f>
        <v>ok</v>
      </c>
      <c r="C3320" s="124" t="s">
        <v>369</v>
      </c>
      <c r="D3320" t="s">
        <v>5345</v>
      </c>
      <c r="E3320" t="s">
        <v>5452</v>
      </c>
      <c r="F3320" s="125" t="s">
        <v>5452</v>
      </c>
      <c r="G3320" s="124" t="s">
        <v>406</v>
      </c>
      <c r="H3320" s="125" t="str">
        <f>IF(Proc[[#This Row],[type]]="LFF (MDG-F)",MID(Proc[[#This Row],[Obj]],13,10),"")</f>
        <v>DE10638460</v>
      </c>
      <c r="J3320" s="125" t="b">
        <f>Proc[[#This Row],[Requested]]=Proc[[#This Row],[CurrentParent]]</f>
        <v>1</v>
      </c>
      <c r="K3320" s="144" t="str">
        <f>IF(Proc[[#This Row],[Author]]="Marcela Urrego",VLOOKUP(LEFT(Proc[[#This Row],[Requested]],1),Table3[#All],2,0),VLOOKUP(Proc[[#This Row],[Author]],Table4[],2,0))</f>
        <v>MGF</v>
      </c>
      <c r="L3320" s="125" t="s">
        <v>4894</v>
      </c>
      <c r="M3320" s="113">
        <v>45874</v>
      </c>
      <c r="N3320" s="113"/>
      <c r="O3320" s="113"/>
      <c r="P3320" s="115" t="str">
        <f ca="1">IF(Proc[[#This Row],[DaysAgeing]]&gt;5,"yep","on track")</f>
        <v>yep</v>
      </c>
      <c r="Q3320" s="3">
        <f ca="1">IF(Proc[[#This Row],[DateClosed]]="",ABS(NETWORKDAYS(Proc[[#This Row],[DateOpened]],TODAY()))-1,ABS(NETWORKDAYS(Proc[[#This Row],[DateOpened]],Proc[[#This Row],[DateClosed]]))-1)</f>
        <v>98</v>
      </c>
      <c r="R3320" s="115" t="s">
        <v>1459</v>
      </c>
      <c r="S3320" s="125"/>
    </row>
    <row r="3321" spans="1:19" hidden="1">
      <c r="A3321" s="124" t="s">
        <v>5478</v>
      </c>
      <c r="B3321" s="149" t="str">
        <f>IFERROR(VLOOKUP(Proc[[#This Row],[App]],Table2[],3,0),"open")</f>
        <v>ok</v>
      </c>
      <c r="C3321" s="124" t="s">
        <v>369</v>
      </c>
      <c r="D3321" t="s">
        <v>5346</v>
      </c>
      <c r="E3321" t="s">
        <v>5452</v>
      </c>
      <c r="F3321" s="125" t="s">
        <v>5452</v>
      </c>
      <c r="G3321" s="124" t="s">
        <v>406</v>
      </c>
      <c r="H3321" s="125" t="str">
        <f>IF(Proc[[#This Row],[type]]="LFF (MDG-F)",MID(Proc[[#This Row],[Obj]],13,10),"")</f>
        <v>DE10512502</v>
      </c>
      <c r="J3321" s="125" t="b">
        <f>Proc[[#This Row],[Requested]]=Proc[[#This Row],[CurrentParent]]</f>
        <v>1</v>
      </c>
      <c r="K3321" s="144" t="str">
        <f>IF(Proc[[#This Row],[Author]]="Marcela Urrego",VLOOKUP(LEFT(Proc[[#This Row],[Requested]],1),Table3[#All],2,0),VLOOKUP(Proc[[#This Row],[Author]],Table4[],2,0))</f>
        <v>MGF</v>
      </c>
      <c r="L3321" s="125" t="s">
        <v>4894</v>
      </c>
      <c r="M3321" s="113">
        <v>45874</v>
      </c>
      <c r="N3321" s="113"/>
      <c r="O3321" s="113"/>
      <c r="P3321" s="115" t="str">
        <f ca="1">IF(Proc[[#This Row],[DaysAgeing]]&gt;5,"yep","on track")</f>
        <v>yep</v>
      </c>
      <c r="Q3321" s="3">
        <f ca="1">IF(Proc[[#This Row],[DateClosed]]="",ABS(NETWORKDAYS(Proc[[#This Row],[DateOpened]],TODAY()))-1,ABS(NETWORKDAYS(Proc[[#This Row],[DateOpened]],Proc[[#This Row],[DateClosed]]))-1)</f>
        <v>98</v>
      </c>
      <c r="R3321" s="115" t="s">
        <v>1459</v>
      </c>
      <c r="S3321" s="125"/>
    </row>
    <row r="3322" spans="1:19" hidden="1">
      <c r="A3322" s="124" t="s">
        <v>5478</v>
      </c>
      <c r="B3322" s="149" t="str">
        <f>IFERROR(VLOOKUP(Proc[[#This Row],[App]],Table2[],3,0),"open")</f>
        <v>ok</v>
      </c>
      <c r="C3322" s="124" t="s">
        <v>369</v>
      </c>
      <c r="D3322" t="s">
        <v>5347</v>
      </c>
      <c r="E3322" t="s">
        <v>5452</v>
      </c>
      <c r="F3322" s="125" t="s">
        <v>5452</v>
      </c>
      <c r="G3322" s="124" t="s">
        <v>406</v>
      </c>
      <c r="H3322" s="125" t="str">
        <f>IF(Proc[[#This Row],[type]]="LFF (MDG-F)",MID(Proc[[#This Row],[Obj]],13,10),"")</f>
        <v>DE10512501</v>
      </c>
      <c r="J3322" s="125" t="b">
        <f>Proc[[#This Row],[Requested]]=Proc[[#This Row],[CurrentParent]]</f>
        <v>1</v>
      </c>
      <c r="K3322" s="144" t="str">
        <f>IF(Proc[[#This Row],[Author]]="Marcela Urrego",VLOOKUP(LEFT(Proc[[#This Row],[Requested]],1),Table3[#All],2,0),VLOOKUP(Proc[[#This Row],[Author]],Table4[],2,0))</f>
        <v>MGF</v>
      </c>
      <c r="L3322" s="125" t="s">
        <v>4894</v>
      </c>
      <c r="M3322" s="113">
        <v>45874</v>
      </c>
      <c r="N3322" s="113"/>
      <c r="O3322" s="113"/>
      <c r="P3322" s="115" t="str">
        <f ca="1">IF(Proc[[#This Row],[DaysAgeing]]&gt;5,"yep","on track")</f>
        <v>yep</v>
      </c>
      <c r="Q3322" s="3">
        <f ca="1">IF(Proc[[#This Row],[DateClosed]]="",ABS(NETWORKDAYS(Proc[[#This Row],[DateOpened]],TODAY()))-1,ABS(NETWORKDAYS(Proc[[#This Row],[DateOpened]],Proc[[#This Row],[DateClosed]]))-1)</f>
        <v>98</v>
      </c>
      <c r="R3322" s="115" t="s">
        <v>1459</v>
      </c>
      <c r="S3322" s="125"/>
    </row>
    <row r="3323" spans="1:19" hidden="1">
      <c r="A3323" s="124" t="s">
        <v>5478</v>
      </c>
      <c r="B3323" s="149" t="str">
        <f>IFERROR(VLOOKUP(Proc[[#This Row],[App]],Table2[],3,0),"open")</f>
        <v>ok</v>
      </c>
      <c r="C3323" s="124" t="s">
        <v>369</v>
      </c>
      <c r="D3323" t="s">
        <v>5348</v>
      </c>
      <c r="E3323" t="s">
        <v>5452</v>
      </c>
      <c r="F3323" s="125" t="s">
        <v>5452</v>
      </c>
      <c r="G3323" s="124" t="s">
        <v>406</v>
      </c>
      <c r="H3323" s="125" t="str">
        <f>IF(Proc[[#This Row],[type]]="LFF (MDG-F)",MID(Proc[[#This Row],[Obj]],13,10),"")</f>
        <v>DE10638450</v>
      </c>
      <c r="J3323" s="125" t="b">
        <f>Proc[[#This Row],[Requested]]=Proc[[#This Row],[CurrentParent]]</f>
        <v>1</v>
      </c>
      <c r="K3323" s="144" t="str">
        <f>IF(Proc[[#This Row],[Author]]="Marcela Urrego",VLOOKUP(LEFT(Proc[[#This Row],[Requested]],1),Table3[#All],2,0),VLOOKUP(Proc[[#This Row],[Author]],Table4[],2,0))</f>
        <v>MGF</v>
      </c>
      <c r="L3323" s="125" t="s">
        <v>4894</v>
      </c>
      <c r="M3323" s="113">
        <v>45874</v>
      </c>
      <c r="N3323" s="113"/>
      <c r="O3323" s="113"/>
      <c r="P3323" s="115" t="str">
        <f ca="1">IF(Proc[[#This Row],[DaysAgeing]]&gt;5,"yep","on track")</f>
        <v>yep</v>
      </c>
      <c r="Q3323" s="3">
        <f ca="1">IF(Proc[[#This Row],[DateClosed]]="",ABS(NETWORKDAYS(Proc[[#This Row],[DateOpened]],TODAY()))-1,ABS(NETWORKDAYS(Proc[[#This Row],[DateOpened]],Proc[[#This Row],[DateClosed]]))-1)</f>
        <v>98</v>
      </c>
      <c r="R3323" s="115" t="s">
        <v>1459</v>
      </c>
      <c r="S3323" s="125"/>
    </row>
    <row r="3324" spans="1:19" hidden="1">
      <c r="A3324" s="124" t="s">
        <v>5478</v>
      </c>
      <c r="B3324" s="149" t="str">
        <f>IFERROR(VLOOKUP(Proc[[#This Row],[App]],Table2[],3,0),"open")</f>
        <v>ok</v>
      </c>
      <c r="C3324" s="124" t="s">
        <v>369</v>
      </c>
      <c r="D3324" t="s">
        <v>5349</v>
      </c>
      <c r="E3324" t="s">
        <v>5450</v>
      </c>
      <c r="F3324" s="125" t="s">
        <v>5450</v>
      </c>
      <c r="G3324" s="124" t="s">
        <v>406</v>
      </c>
      <c r="H3324" s="125" t="str">
        <f>IF(Proc[[#This Row],[type]]="LFF (MDG-F)",MID(Proc[[#This Row],[Obj]],13,10),"")</f>
        <v>DE10GMS020</v>
      </c>
      <c r="J3324" s="125" t="b">
        <f>Proc[[#This Row],[Requested]]=Proc[[#This Row],[CurrentParent]]</f>
        <v>1</v>
      </c>
      <c r="K3324" s="144" t="str">
        <f>IF(Proc[[#This Row],[Author]]="Marcela Urrego",VLOOKUP(LEFT(Proc[[#This Row],[Requested]],1),Table3[#All],2,0),VLOOKUP(Proc[[#This Row],[Author]],Table4[],2,0))</f>
        <v>MGF</v>
      </c>
      <c r="L3324" s="125" t="s">
        <v>4894</v>
      </c>
      <c r="M3324" s="113">
        <v>45874</v>
      </c>
      <c r="N3324" s="113"/>
      <c r="O3324" s="113"/>
      <c r="P3324" s="115" t="str">
        <f ca="1">IF(Proc[[#This Row],[DaysAgeing]]&gt;5,"yep","on track")</f>
        <v>yep</v>
      </c>
      <c r="Q3324" s="3">
        <f ca="1">IF(Proc[[#This Row],[DateClosed]]="",ABS(NETWORKDAYS(Proc[[#This Row],[DateOpened]],TODAY()))-1,ABS(NETWORKDAYS(Proc[[#This Row],[DateOpened]],Proc[[#This Row],[DateClosed]]))-1)</f>
        <v>98</v>
      </c>
      <c r="R3324" s="115" t="s">
        <v>1459</v>
      </c>
      <c r="S3324" s="125"/>
    </row>
    <row r="3325" spans="1:19" hidden="1">
      <c r="A3325" s="124" t="s">
        <v>5478</v>
      </c>
      <c r="B3325" s="149" t="str">
        <f>IFERROR(VLOOKUP(Proc[[#This Row],[App]],Table2[],3,0),"open")</f>
        <v>ok</v>
      </c>
      <c r="C3325" s="124" t="s">
        <v>369</v>
      </c>
      <c r="D3325" t="s">
        <v>5350</v>
      </c>
      <c r="E3325" t="s">
        <v>5449</v>
      </c>
      <c r="F3325" s="125" t="s">
        <v>5449</v>
      </c>
      <c r="G3325" s="124" t="s">
        <v>406</v>
      </c>
      <c r="H3325" s="125" t="str">
        <f>IF(Proc[[#This Row],[type]]="LFF (MDG-F)",MID(Proc[[#This Row],[Obj]],13,10),"")</f>
        <v>DE10GMS041</v>
      </c>
      <c r="J3325" s="125" t="b">
        <f>Proc[[#This Row],[Requested]]=Proc[[#This Row],[CurrentParent]]</f>
        <v>1</v>
      </c>
      <c r="K3325" s="144" t="str">
        <f>IF(Proc[[#This Row],[Author]]="Marcela Urrego",VLOOKUP(LEFT(Proc[[#This Row],[Requested]],1),Table3[#All],2,0),VLOOKUP(Proc[[#This Row],[Author]],Table4[],2,0))</f>
        <v>MGF</v>
      </c>
      <c r="L3325" s="125" t="s">
        <v>4894</v>
      </c>
      <c r="M3325" s="113">
        <v>45874</v>
      </c>
      <c r="N3325" s="113"/>
      <c r="O3325" s="113"/>
      <c r="P3325" s="115" t="str">
        <f ca="1">IF(Proc[[#This Row],[DaysAgeing]]&gt;5,"yep","on track")</f>
        <v>yep</v>
      </c>
      <c r="Q3325" s="3">
        <f ca="1">IF(Proc[[#This Row],[DateClosed]]="",ABS(NETWORKDAYS(Proc[[#This Row],[DateOpened]],TODAY()))-1,ABS(NETWORKDAYS(Proc[[#This Row],[DateOpened]],Proc[[#This Row],[DateClosed]]))-1)</f>
        <v>98</v>
      </c>
      <c r="R3325" s="115" t="s">
        <v>1459</v>
      </c>
      <c r="S3325" s="125"/>
    </row>
    <row r="3326" spans="1:19" hidden="1">
      <c r="A3326" s="124" t="s">
        <v>5478</v>
      </c>
      <c r="B3326" s="149" t="str">
        <f>IFERROR(VLOOKUP(Proc[[#This Row],[App]],Table2[],3,0),"open")</f>
        <v>ok</v>
      </c>
      <c r="C3326" s="124" t="s">
        <v>369</v>
      </c>
      <c r="D3326" t="s">
        <v>5351</v>
      </c>
      <c r="E3326" t="s">
        <v>5450</v>
      </c>
      <c r="F3326" s="125" t="s">
        <v>5450</v>
      </c>
      <c r="G3326" s="124" t="s">
        <v>406</v>
      </c>
      <c r="H3326" s="125" t="str">
        <f>IF(Proc[[#This Row],[type]]="LFF (MDG-F)",MID(Proc[[#This Row],[Obj]],13,10),"")</f>
        <v>DE10698300</v>
      </c>
      <c r="J3326" s="125" t="b">
        <f>Proc[[#This Row],[Requested]]=Proc[[#This Row],[CurrentParent]]</f>
        <v>1</v>
      </c>
      <c r="K3326" s="144" t="str">
        <f>IF(Proc[[#This Row],[Author]]="Marcela Urrego",VLOOKUP(LEFT(Proc[[#This Row],[Requested]],1),Table3[#All],2,0),VLOOKUP(Proc[[#This Row],[Author]],Table4[],2,0))</f>
        <v>MGF</v>
      </c>
      <c r="L3326" s="125" t="s">
        <v>4894</v>
      </c>
      <c r="M3326" s="113">
        <v>45874</v>
      </c>
      <c r="N3326" s="113"/>
      <c r="O3326" s="113"/>
      <c r="P3326" s="115" t="str">
        <f ca="1">IF(Proc[[#This Row],[DaysAgeing]]&gt;5,"yep","on track")</f>
        <v>yep</v>
      </c>
      <c r="Q3326" s="3">
        <f ca="1">IF(Proc[[#This Row],[DateClosed]]="",ABS(NETWORKDAYS(Proc[[#This Row],[DateOpened]],TODAY()))-1,ABS(NETWORKDAYS(Proc[[#This Row],[DateOpened]],Proc[[#This Row],[DateClosed]]))-1)</f>
        <v>98</v>
      </c>
      <c r="R3326" s="115" t="s">
        <v>1459</v>
      </c>
      <c r="S3326" s="125"/>
    </row>
    <row r="3327" spans="1:19" hidden="1">
      <c r="A3327" s="124" t="s">
        <v>5478</v>
      </c>
      <c r="B3327" s="149" t="str">
        <f>IFERROR(VLOOKUP(Proc[[#This Row],[App]],Table2[],3,0),"open")</f>
        <v>ok</v>
      </c>
      <c r="C3327" s="124" t="s">
        <v>369</v>
      </c>
      <c r="D3327" t="s">
        <v>5352</v>
      </c>
      <c r="E3327" t="s">
        <v>5450</v>
      </c>
      <c r="F3327" s="125" t="s">
        <v>5450</v>
      </c>
      <c r="G3327" s="124" t="s">
        <v>406</v>
      </c>
      <c r="H3327" s="125" t="str">
        <f>IF(Proc[[#This Row],[type]]="LFF (MDG-F)",MID(Proc[[#This Row],[Obj]],13,10),"")</f>
        <v>DE10669630</v>
      </c>
      <c r="J3327" s="125" t="b">
        <f>Proc[[#This Row],[Requested]]=Proc[[#This Row],[CurrentParent]]</f>
        <v>1</v>
      </c>
      <c r="K3327" s="144" t="str">
        <f>IF(Proc[[#This Row],[Author]]="Marcela Urrego",VLOOKUP(LEFT(Proc[[#This Row],[Requested]],1),Table3[#All],2,0),VLOOKUP(Proc[[#This Row],[Author]],Table4[],2,0))</f>
        <v>MGF</v>
      </c>
      <c r="L3327" s="125" t="s">
        <v>4894</v>
      </c>
      <c r="M3327" s="113">
        <v>45874</v>
      </c>
      <c r="N3327" s="113"/>
      <c r="O3327" s="113"/>
      <c r="P3327" s="115" t="str">
        <f ca="1">IF(Proc[[#This Row],[DaysAgeing]]&gt;5,"yep","on track")</f>
        <v>yep</v>
      </c>
      <c r="Q3327" s="3">
        <f ca="1">IF(Proc[[#This Row],[DateClosed]]="",ABS(NETWORKDAYS(Proc[[#This Row],[DateOpened]],TODAY()))-1,ABS(NETWORKDAYS(Proc[[#This Row],[DateOpened]],Proc[[#This Row],[DateClosed]]))-1)</f>
        <v>98</v>
      </c>
      <c r="R3327" s="115" t="s">
        <v>1459</v>
      </c>
      <c r="S3327" s="125"/>
    </row>
    <row r="3328" spans="1:19" hidden="1">
      <c r="A3328" s="124" t="s">
        <v>5478</v>
      </c>
      <c r="B3328" s="149" t="str">
        <f>IFERROR(VLOOKUP(Proc[[#This Row],[App]],Table2[],3,0),"open")</f>
        <v>ok</v>
      </c>
      <c r="C3328" s="124" t="s">
        <v>369</v>
      </c>
      <c r="D3328" t="s">
        <v>5353</v>
      </c>
      <c r="E3328" t="s">
        <v>5450</v>
      </c>
      <c r="F3328" s="125" t="s">
        <v>5450</v>
      </c>
      <c r="G3328" s="124" t="s">
        <v>406</v>
      </c>
      <c r="H3328" s="125" t="str">
        <f>IF(Proc[[#This Row],[type]]="LFF (MDG-F)",MID(Proc[[#This Row],[Obj]],13,10),"")</f>
        <v>DE10669642</v>
      </c>
      <c r="J3328" s="125" t="b">
        <f>Proc[[#This Row],[Requested]]=Proc[[#This Row],[CurrentParent]]</f>
        <v>1</v>
      </c>
      <c r="K3328" s="144" t="str">
        <f>IF(Proc[[#This Row],[Author]]="Marcela Urrego",VLOOKUP(LEFT(Proc[[#This Row],[Requested]],1),Table3[#All],2,0),VLOOKUP(Proc[[#This Row],[Author]],Table4[],2,0))</f>
        <v>MGF</v>
      </c>
      <c r="L3328" s="125" t="s">
        <v>4894</v>
      </c>
      <c r="M3328" s="113">
        <v>45874</v>
      </c>
      <c r="N3328" s="113"/>
      <c r="O3328" s="113"/>
      <c r="P3328" s="115" t="str">
        <f ca="1">IF(Proc[[#This Row],[DaysAgeing]]&gt;5,"yep","on track")</f>
        <v>yep</v>
      </c>
      <c r="Q3328" s="3">
        <f ca="1">IF(Proc[[#This Row],[DateClosed]]="",ABS(NETWORKDAYS(Proc[[#This Row],[DateOpened]],TODAY()))-1,ABS(NETWORKDAYS(Proc[[#This Row],[DateOpened]],Proc[[#This Row],[DateClosed]]))-1)</f>
        <v>98</v>
      </c>
      <c r="R3328" s="115" t="s">
        <v>1459</v>
      </c>
      <c r="S3328" s="125"/>
    </row>
    <row r="3329" spans="1:19" hidden="1">
      <c r="A3329" s="124" t="s">
        <v>5478</v>
      </c>
      <c r="B3329" s="149" t="str">
        <f>IFERROR(VLOOKUP(Proc[[#This Row],[App]],Table2[],3,0),"open")</f>
        <v>ok</v>
      </c>
      <c r="C3329" s="124" t="s">
        <v>369</v>
      </c>
      <c r="D3329" t="s">
        <v>5354</v>
      </c>
      <c r="E3329" t="s">
        <v>5450</v>
      </c>
      <c r="F3329" s="125" t="s">
        <v>5450</v>
      </c>
      <c r="G3329" s="124" t="s">
        <v>406</v>
      </c>
      <c r="H3329" s="125" t="str">
        <f>IF(Proc[[#This Row],[type]]="LFF (MDG-F)",MID(Proc[[#This Row],[Obj]],13,10),"")</f>
        <v>DE10Y00008</v>
      </c>
      <c r="J3329" s="125" t="b">
        <f>Proc[[#This Row],[Requested]]=Proc[[#This Row],[CurrentParent]]</f>
        <v>1</v>
      </c>
      <c r="K3329" s="144" t="str">
        <f>IF(Proc[[#This Row],[Author]]="Marcela Urrego",VLOOKUP(LEFT(Proc[[#This Row],[Requested]],1),Table3[#All],2,0),VLOOKUP(Proc[[#This Row],[Author]],Table4[],2,0))</f>
        <v>MGF</v>
      </c>
      <c r="L3329" s="125" t="s">
        <v>4894</v>
      </c>
      <c r="M3329" s="113">
        <v>45874</v>
      </c>
      <c r="N3329" s="113"/>
      <c r="O3329" s="113"/>
      <c r="P3329" s="115" t="str">
        <f ca="1">IF(Proc[[#This Row],[DaysAgeing]]&gt;5,"yep","on track")</f>
        <v>yep</v>
      </c>
      <c r="Q3329" s="3">
        <f ca="1">IF(Proc[[#This Row],[DateClosed]]="",ABS(NETWORKDAYS(Proc[[#This Row],[DateOpened]],TODAY()))-1,ABS(NETWORKDAYS(Proc[[#This Row],[DateOpened]],Proc[[#This Row],[DateClosed]]))-1)</f>
        <v>98</v>
      </c>
      <c r="R3329" s="115" t="s">
        <v>1459</v>
      </c>
      <c r="S3329" s="125"/>
    </row>
    <row r="3330" spans="1:19" hidden="1">
      <c r="A3330" s="124" t="s">
        <v>5478</v>
      </c>
      <c r="B3330" s="149" t="str">
        <f>IFERROR(VLOOKUP(Proc[[#This Row],[App]],Table2[],3,0),"open")</f>
        <v>ok</v>
      </c>
      <c r="C3330" s="124" t="s">
        <v>369</v>
      </c>
      <c r="D3330" t="s">
        <v>5355</v>
      </c>
      <c r="E3330" t="s">
        <v>5446</v>
      </c>
      <c r="F3330" s="125" t="s">
        <v>5446</v>
      </c>
      <c r="G3330" s="124" t="s">
        <v>400</v>
      </c>
      <c r="H3330" s="125" t="str">
        <f>IF(Proc[[#This Row],[type]]="LFF (MDG-F)",MID(Proc[[#This Row],[Obj]],13,10),"")</f>
        <v/>
      </c>
      <c r="J3330" s="125" t="b">
        <f>Proc[[#This Row],[Requested]]=Proc[[#This Row],[CurrentParent]]</f>
        <v>1</v>
      </c>
      <c r="K3330" s="144" t="str">
        <f>IF(Proc[[#This Row],[Author]]="Marcela Urrego",VLOOKUP(LEFT(Proc[[#This Row],[Requested]],1),Table3[#All],2,0),VLOOKUP(Proc[[#This Row],[Author]],Table4[],2,0))</f>
        <v>MGF</v>
      </c>
      <c r="L3330" s="125" t="s">
        <v>4894</v>
      </c>
      <c r="M3330" s="113">
        <v>45874</v>
      </c>
      <c r="N3330" s="113"/>
      <c r="O3330" s="113"/>
      <c r="P3330" s="115" t="str">
        <f ca="1">IF(Proc[[#This Row],[DaysAgeing]]&gt;5,"yep","on track")</f>
        <v>yep</v>
      </c>
      <c r="Q3330" s="3">
        <f ca="1">IF(Proc[[#This Row],[DateClosed]]="",ABS(NETWORKDAYS(Proc[[#This Row],[DateOpened]],TODAY()))-1,ABS(NETWORKDAYS(Proc[[#This Row],[DateOpened]],Proc[[#This Row],[DateClosed]]))-1)</f>
        <v>98</v>
      </c>
      <c r="R3330" s="115" t="s">
        <v>1459</v>
      </c>
      <c r="S3330" s="125"/>
    </row>
    <row r="3331" spans="1:19" hidden="1">
      <c r="A3331" s="124" t="s">
        <v>5478</v>
      </c>
      <c r="B3331" s="149" t="str">
        <f>IFERROR(VLOOKUP(Proc[[#This Row],[App]],Table2[],3,0),"open")</f>
        <v>ok</v>
      </c>
      <c r="C3331" s="124" t="s">
        <v>369</v>
      </c>
      <c r="D3331" t="s">
        <v>5356</v>
      </c>
      <c r="E3331" t="s">
        <v>5446</v>
      </c>
      <c r="F3331" s="125" t="s">
        <v>5446</v>
      </c>
      <c r="G3331" s="124" t="s">
        <v>406</v>
      </c>
      <c r="H3331" s="125" t="str">
        <f>IF(Proc[[#This Row],[type]]="LFF (MDG-F)",MID(Proc[[#This Row],[Obj]],13,10),"")</f>
        <v>CN70GIT301</v>
      </c>
      <c r="J3331" s="125" t="b">
        <f>Proc[[#This Row],[Requested]]=Proc[[#This Row],[CurrentParent]]</f>
        <v>1</v>
      </c>
      <c r="K3331" s="144" t="str">
        <f>IF(Proc[[#This Row],[Author]]="Marcela Urrego",VLOOKUP(LEFT(Proc[[#This Row],[Requested]],1),Table3[#All],2,0),VLOOKUP(Proc[[#This Row],[Author]],Table4[],2,0))</f>
        <v>MGF</v>
      </c>
      <c r="L3331" s="125" t="s">
        <v>4894</v>
      </c>
      <c r="M3331" s="113">
        <v>45874</v>
      </c>
      <c r="N3331" s="113"/>
      <c r="O3331" s="113"/>
      <c r="P3331" s="115" t="str">
        <f ca="1">IF(Proc[[#This Row],[DaysAgeing]]&gt;5,"yep","on track")</f>
        <v>yep</v>
      </c>
      <c r="Q3331" s="3">
        <f ca="1">IF(Proc[[#This Row],[DateClosed]]="",ABS(NETWORKDAYS(Proc[[#This Row],[DateOpened]],TODAY()))-1,ABS(NETWORKDAYS(Proc[[#This Row],[DateOpened]],Proc[[#This Row],[DateClosed]]))-1)</f>
        <v>98</v>
      </c>
      <c r="R3331" s="115" t="s">
        <v>1459</v>
      </c>
      <c r="S3331" s="125"/>
    </row>
    <row r="3332" spans="1:19" hidden="1">
      <c r="A3332" s="124" t="s">
        <v>5478</v>
      </c>
      <c r="B3332" s="149" t="str">
        <f>IFERROR(VLOOKUP(Proc[[#This Row],[App]],Table2[],3,0),"open")</f>
        <v>ok</v>
      </c>
      <c r="C3332" s="124" t="s">
        <v>369</v>
      </c>
      <c r="D3332" t="s">
        <v>5357</v>
      </c>
      <c r="E3332" t="s">
        <v>5452</v>
      </c>
      <c r="F3332" s="125" t="s">
        <v>5452</v>
      </c>
      <c r="G3332" s="124" t="s">
        <v>400</v>
      </c>
      <c r="H3332" s="125" t="str">
        <f>IF(Proc[[#This Row],[type]]="LFF (MDG-F)",MID(Proc[[#This Row],[Obj]],13,10),"")</f>
        <v/>
      </c>
      <c r="J3332" s="125" t="b">
        <f>Proc[[#This Row],[Requested]]=Proc[[#This Row],[CurrentParent]]</f>
        <v>1</v>
      </c>
      <c r="K3332" s="144" t="str">
        <f>IF(Proc[[#This Row],[Author]]="Marcela Urrego",VLOOKUP(LEFT(Proc[[#This Row],[Requested]],1),Table3[#All],2,0),VLOOKUP(Proc[[#This Row],[Author]],Table4[],2,0))</f>
        <v>MGF</v>
      </c>
      <c r="L3332" s="125" t="s">
        <v>4894</v>
      </c>
      <c r="M3332" s="113">
        <v>45874</v>
      </c>
      <c r="N3332" s="113"/>
      <c r="O3332" s="113"/>
      <c r="P3332" s="115" t="str">
        <f ca="1">IF(Proc[[#This Row],[DaysAgeing]]&gt;5,"yep","on track")</f>
        <v>yep</v>
      </c>
      <c r="Q3332" s="3">
        <f ca="1">IF(Proc[[#This Row],[DateClosed]]="",ABS(NETWORKDAYS(Proc[[#This Row],[DateOpened]],TODAY()))-1,ABS(NETWORKDAYS(Proc[[#This Row],[DateOpened]],Proc[[#This Row],[DateClosed]]))-1)</f>
        <v>98</v>
      </c>
      <c r="R3332" s="115" t="s">
        <v>1459</v>
      </c>
      <c r="S3332" s="125"/>
    </row>
    <row r="3333" spans="1:19" hidden="1">
      <c r="A3333" s="124" t="s">
        <v>5478</v>
      </c>
      <c r="B3333" s="149" t="str">
        <f>IFERROR(VLOOKUP(Proc[[#This Row],[App]],Table2[],3,0),"open")</f>
        <v>ok</v>
      </c>
      <c r="C3333" s="124" t="s">
        <v>369</v>
      </c>
      <c r="D3333" t="s">
        <v>5358</v>
      </c>
      <c r="E3333" t="s">
        <v>5467</v>
      </c>
      <c r="F3333" s="125" t="s">
        <v>5467</v>
      </c>
      <c r="G3333" s="124" t="s">
        <v>406</v>
      </c>
      <c r="H3333" s="125" t="str">
        <f>IF(Proc[[#This Row],[type]]="LFF (MDG-F)",MID(Proc[[#This Row],[Obj]],13,10),"")</f>
        <v>EG50GIT051</v>
      </c>
      <c r="J3333" s="125" t="b">
        <f>Proc[[#This Row],[Requested]]=Proc[[#This Row],[CurrentParent]]</f>
        <v>1</v>
      </c>
      <c r="K3333" s="144" t="str">
        <f>IF(Proc[[#This Row],[Author]]="Marcela Urrego",VLOOKUP(LEFT(Proc[[#This Row],[Requested]],1),Table3[#All],2,0),VLOOKUP(Proc[[#This Row],[Author]],Table4[],2,0))</f>
        <v>MGF</v>
      </c>
      <c r="L3333" s="125" t="s">
        <v>4894</v>
      </c>
      <c r="M3333" s="113">
        <v>45874</v>
      </c>
      <c r="N3333" s="113"/>
      <c r="O3333" s="113"/>
      <c r="P3333" s="115" t="str">
        <f ca="1">IF(Proc[[#This Row],[DaysAgeing]]&gt;5,"yep","on track")</f>
        <v>yep</v>
      </c>
      <c r="Q3333" s="3">
        <f ca="1">IF(Proc[[#This Row],[DateClosed]]="",ABS(NETWORKDAYS(Proc[[#This Row],[DateOpened]],TODAY()))-1,ABS(NETWORKDAYS(Proc[[#This Row],[DateOpened]],Proc[[#This Row],[DateClosed]]))-1)</f>
        <v>98</v>
      </c>
      <c r="R3333" s="115" t="s">
        <v>1459</v>
      </c>
      <c r="S3333" s="125"/>
    </row>
    <row r="3334" spans="1:19" hidden="1">
      <c r="A3334" s="124" t="s">
        <v>5478</v>
      </c>
      <c r="B3334" s="149" t="str">
        <f>IFERROR(VLOOKUP(Proc[[#This Row],[App]],Table2[],3,0),"open")</f>
        <v>ok</v>
      </c>
      <c r="C3334" s="124" t="s">
        <v>369</v>
      </c>
      <c r="D3334" t="s">
        <v>5359</v>
      </c>
      <c r="E3334" t="s">
        <v>5468</v>
      </c>
      <c r="F3334" s="125" t="s">
        <v>5468</v>
      </c>
      <c r="G3334" s="124" t="s">
        <v>406</v>
      </c>
      <c r="H3334" s="125" t="str">
        <f>IF(Proc[[#This Row],[type]]="LFF (MDG-F)",MID(Proc[[#This Row],[Obj]],13,10),"")</f>
        <v>EG50GIT030</v>
      </c>
      <c r="J3334" s="125" t="b">
        <f>Proc[[#This Row],[Requested]]=Proc[[#This Row],[CurrentParent]]</f>
        <v>1</v>
      </c>
      <c r="K3334" s="144" t="str">
        <f>IF(Proc[[#This Row],[Author]]="Marcela Urrego",VLOOKUP(LEFT(Proc[[#This Row],[Requested]],1),Table3[#All],2,0),VLOOKUP(Proc[[#This Row],[Author]],Table4[],2,0))</f>
        <v>MGF</v>
      </c>
      <c r="L3334" s="125" t="s">
        <v>4894</v>
      </c>
      <c r="M3334" s="113">
        <v>45874</v>
      </c>
      <c r="N3334" s="113"/>
      <c r="O3334" s="113"/>
      <c r="P3334" s="115" t="str">
        <f ca="1">IF(Proc[[#This Row],[DaysAgeing]]&gt;5,"yep","on track")</f>
        <v>yep</v>
      </c>
      <c r="Q3334" s="3">
        <f ca="1">IF(Proc[[#This Row],[DateClosed]]="",ABS(NETWORKDAYS(Proc[[#This Row],[DateOpened]],TODAY()))-1,ABS(NETWORKDAYS(Proc[[#This Row],[DateOpened]],Proc[[#This Row],[DateClosed]]))-1)</f>
        <v>98</v>
      </c>
      <c r="R3334" s="115" t="s">
        <v>1459</v>
      </c>
      <c r="S3334" s="125"/>
    </row>
    <row r="3335" spans="1:19" hidden="1">
      <c r="A3335" s="124" t="s">
        <v>5478</v>
      </c>
      <c r="B3335" s="149" t="str">
        <f>IFERROR(VLOOKUP(Proc[[#This Row],[App]],Table2[],3,0),"open")</f>
        <v>ok</v>
      </c>
      <c r="C3335" s="124" t="s">
        <v>369</v>
      </c>
      <c r="D3335" t="s">
        <v>5360</v>
      </c>
      <c r="E3335" t="s">
        <v>5445</v>
      </c>
      <c r="F3335" s="125" t="s">
        <v>5445</v>
      </c>
      <c r="G3335" s="124" t="s">
        <v>400</v>
      </c>
      <c r="H3335" s="125" t="str">
        <f>IF(Proc[[#This Row],[type]]="LFF (MDG-F)",MID(Proc[[#This Row],[Obj]],13,10),"")</f>
        <v/>
      </c>
      <c r="J3335" s="125" t="b">
        <f>Proc[[#This Row],[Requested]]=Proc[[#This Row],[CurrentParent]]</f>
        <v>1</v>
      </c>
      <c r="K3335" s="144" t="str">
        <f>IF(Proc[[#This Row],[Author]]="Marcela Urrego",VLOOKUP(LEFT(Proc[[#This Row],[Requested]],1),Table3[#All],2,0),VLOOKUP(Proc[[#This Row],[Author]],Table4[],2,0))</f>
        <v>MGF</v>
      </c>
      <c r="L3335" s="125" t="s">
        <v>4894</v>
      </c>
      <c r="M3335" s="113">
        <v>45874</v>
      </c>
      <c r="N3335" s="113"/>
      <c r="O3335" s="113"/>
      <c r="P3335" s="115" t="str">
        <f ca="1">IF(Proc[[#This Row],[DaysAgeing]]&gt;5,"yep","on track")</f>
        <v>yep</v>
      </c>
      <c r="Q3335" s="3">
        <f ca="1">IF(Proc[[#This Row],[DateClosed]]="",ABS(NETWORKDAYS(Proc[[#This Row],[DateOpened]],TODAY()))-1,ABS(NETWORKDAYS(Proc[[#This Row],[DateOpened]],Proc[[#This Row],[DateClosed]]))-1)</f>
        <v>98</v>
      </c>
      <c r="R3335" s="115" t="s">
        <v>1459</v>
      </c>
      <c r="S3335" s="125"/>
    </row>
    <row r="3336" spans="1:19" hidden="1">
      <c r="A3336" s="124" t="s">
        <v>5478</v>
      </c>
      <c r="B3336" s="149" t="str">
        <f>IFERROR(VLOOKUP(Proc[[#This Row],[App]],Table2[],3,0),"open")</f>
        <v>ok</v>
      </c>
      <c r="C3336" s="124" t="s">
        <v>369</v>
      </c>
      <c r="D3336" t="s">
        <v>5361</v>
      </c>
      <c r="E3336" t="s">
        <v>5449</v>
      </c>
      <c r="F3336" s="125" t="s">
        <v>5449</v>
      </c>
      <c r="G3336" s="124" t="s">
        <v>400</v>
      </c>
      <c r="H3336" s="125" t="str">
        <f>IF(Proc[[#This Row],[type]]="LFF (MDG-F)",MID(Proc[[#This Row],[Obj]],13,10),"")</f>
        <v/>
      </c>
      <c r="J3336" s="125" t="b">
        <f>Proc[[#This Row],[Requested]]=Proc[[#This Row],[CurrentParent]]</f>
        <v>1</v>
      </c>
      <c r="K3336" s="144" t="str">
        <f>IF(Proc[[#This Row],[Author]]="Marcela Urrego",VLOOKUP(LEFT(Proc[[#This Row],[Requested]],1),Table3[#All],2,0),VLOOKUP(Proc[[#This Row],[Author]],Table4[],2,0))</f>
        <v>MGF</v>
      </c>
      <c r="L3336" s="125" t="s">
        <v>4894</v>
      </c>
      <c r="M3336" s="113">
        <v>45874</v>
      </c>
      <c r="N3336" s="113"/>
      <c r="O3336" s="113"/>
      <c r="P3336" s="115" t="str">
        <f ca="1">IF(Proc[[#This Row],[DaysAgeing]]&gt;5,"yep","on track")</f>
        <v>yep</v>
      </c>
      <c r="Q3336" s="3">
        <f ca="1">IF(Proc[[#This Row],[DateClosed]]="",ABS(NETWORKDAYS(Proc[[#This Row],[DateOpened]],TODAY()))-1,ABS(NETWORKDAYS(Proc[[#This Row],[DateOpened]],Proc[[#This Row],[DateClosed]]))-1)</f>
        <v>98</v>
      </c>
      <c r="R3336" s="115" t="s">
        <v>1459</v>
      </c>
      <c r="S3336" s="125"/>
    </row>
    <row r="3337" spans="1:19" hidden="1">
      <c r="A3337" s="124" t="s">
        <v>5478</v>
      </c>
      <c r="B3337" s="149" t="str">
        <f>IFERROR(VLOOKUP(Proc[[#This Row],[App]],Table2[],3,0),"open")</f>
        <v>ok</v>
      </c>
      <c r="C3337" s="124" t="s">
        <v>369</v>
      </c>
      <c r="D3337" t="s">
        <v>5362</v>
      </c>
      <c r="E3337" t="s">
        <v>5449</v>
      </c>
      <c r="F3337" s="125" t="s">
        <v>5449</v>
      </c>
      <c r="G3337" s="124" t="s">
        <v>400</v>
      </c>
      <c r="H3337" s="125" t="str">
        <f>IF(Proc[[#This Row],[type]]="LFF (MDG-F)",MID(Proc[[#This Row],[Obj]],13,10),"")</f>
        <v/>
      </c>
      <c r="J3337" s="125" t="b">
        <f>Proc[[#This Row],[Requested]]=Proc[[#This Row],[CurrentParent]]</f>
        <v>1</v>
      </c>
      <c r="K3337" s="144" t="str">
        <f>IF(Proc[[#This Row],[Author]]="Marcela Urrego",VLOOKUP(LEFT(Proc[[#This Row],[Requested]],1),Table3[#All],2,0),VLOOKUP(Proc[[#This Row],[Author]],Table4[],2,0))</f>
        <v>MGF</v>
      </c>
      <c r="L3337" s="125" t="s">
        <v>4894</v>
      </c>
      <c r="M3337" s="113">
        <v>45874</v>
      </c>
      <c r="N3337" s="113"/>
      <c r="O3337" s="113"/>
      <c r="P3337" s="115" t="str">
        <f ca="1">IF(Proc[[#This Row],[DaysAgeing]]&gt;5,"yep","on track")</f>
        <v>yep</v>
      </c>
      <c r="Q3337" s="3">
        <f ca="1">IF(Proc[[#This Row],[DateClosed]]="",ABS(NETWORKDAYS(Proc[[#This Row],[DateOpened]],TODAY()))-1,ABS(NETWORKDAYS(Proc[[#This Row],[DateOpened]],Proc[[#This Row],[DateClosed]]))-1)</f>
        <v>98</v>
      </c>
      <c r="R3337" s="115" t="s">
        <v>1459</v>
      </c>
      <c r="S3337" s="125"/>
    </row>
    <row r="3338" spans="1:19" hidden="1">
      <c r="A3338" s="124" t="s">
        <v>5478</v>
      </c>
      <c r="B3338" s="149" t="str">
        <f>IFERROR(VLOOKUP(Proc[[#This Row],[App]],Table2[],3,0),"open")</f>
        <v>ok</v>
      </c>
      <c r="C3338" s="124" t="s">
        <v>369</v>
      </c>
      <c r="D3338" t="s">
        <v>5363</v>
      </c>
      <c r="E3338" t="s">
        <v>5457</v>
      </c>
      <c r="F3338" s="125" t="s">
        <v>5457</v>
      </c>
      <c r="G3338" s="124" t="s">
        <v>400</v>
      </c>
      <c r="H3338" s="125" t="str">
        <f>IF(Proc[[#This Row],[type]]="LFF (MDG-F)",MID(Proc[[#This Row],[Obj]],13,10),"")</f>
        <v/>
      </c>
      <c r="J3338" s="125" t="b">
        <f>Proc[[#This Row],[Requested]]=Proc[[#This Row],[CurrentParent]]</f>
        <v>1</v>
      </c>
      <c r="K3338" s="144" t="str">
        <f>IF(Proc[[#This Row],[Author]]="Marcela Urrego",VLOOKUP(LEFT(Proc[[#This Row],[Requested]],1),Table3[#All],2,0),VLOOKUP(Proc[[#This Row],[Author]],Table4[],2,0))</f>
        <v>MGF</v>
      </c>
      <c r="L3338" s="125" t="s">
        <v>4894</v>
      </c>
      <c r="M3338" s="113">
        <v>45874</v>
      </c>
      <c r="N3338" s="113"/>
      <c r="O3338" s="113"/>
      <c r="P3338" s="115" t="str">
        <f ca="1">IF(Proc[[#This Row],[DaysAgeing]]&gt;5,"yep","on track")</f>
        <v>yep</v>
      </c>
      <c r="Q3338" s="3">
        <f ca="1">IF(Proc[[#This Row],[DateClosed]]="",ABS(NETWORKDAYS(Proc[[#This Row],[DateOpened]],TODAY()))-1,ABS(NETWORKDAYS(Proc[[#This Row],[DateOpened]],Proc[[#This Row],[DateClosed]]))-1)</f>
        <v>98</v>
      </c>
      <c r="R3338" s="115" t="s">
        <v>1459</v>
      </c>
      <c r="S3338" s="125"/>
    </row>
    <row r="3339" spans="1:19" hidden="1">
      <c r="A3339" s="124" t="s">
        <v>5478</v>
      </c>
      <c r="B3339" s="149" t="str">
        <f>IFERROR(VLOOKUP(Proc[[#This Row],[App]],Table2[],3,0),"open")</f>
        <v>ok</v>
      </c>
      <c r="C3339" s="124" t="s">
        <v>369</v>
      </c>
      <c r="D3339" t="s">
        <v>5364</v>
      </c>
      <c r="E3339" t="s">
        <v>5446</v>
      </c>
      <c r="F3339" s="125" t="s">
        <v>5446</v>
      </c>
      <c r="G3339" s="124" t="s">
        <v>400</v>
      </c>
      <c r="H3339" s="125" t="str">
        <f>IF(Proc[[#This Row],[type]]="LFF (MDG-F)",MID(Proc[[#This Row],[Obj]],13,10),"")</f>
        <v/>
      </c>
      <c r="J3339" s="125" t="b">
        <f>Proc[[#This Row],[Requested]]=Proc[[#This Row],[CurrentParent]]</f>
        <v>1</v>
      </c>
      <c r="K3339" s="144" t="str">
        <f>IF(Proc[[#This Row],[Author]]="Marcela Urrego",VLOOKUP(LEFT(Proc[[#This Row],[Requested]],1),Table3[#All],2,0),VLOOKUP(Proc[[#This Row],[Author]],Table4[],2,0))</f>
        <v>MGF</v>
      </c>
      <c r="L3339" s="125" t="s">
        <v>4894</v>
      </c>
      <c r="M3339" s="113">
        <v>45874</v>
      </c>
      <c r="N3339" s="113"/>
      <c r="O3339" s="113"/>
      <c r="P3339" s="115" t="str">
        <f ca="1">IF(Proc[[#This Row],[DaysAgeing]]&gt;5,"yep","on track")</f>
        <v>yep</v>
      </c>
      <c r="Q3339" s="3">
        <f ca="1">IF(Proc[[#This Row],[DateClosed]]="",ABS(NETWORKDAYS(Proc[[#This Row],[DateOpened]],TODAY()))-1,ABS(NETWORKDAYS(Proc[[#This Row],[DateOpened]],Proc[[#This Row],[DateClosed]]))-1)</f>
        <v>98</v>
      </c>
      <c r="R3339" s="115" t="s">
        <v>1459</v>
      </c>
      <c r="S3339" s="125"/>
    </row>
    <row r="3340" spans="1:19" hidden="1">
      <c r="A3340" s="124" t="s">
        <v>5478</v>
      </c>
      <c r="B3340" s="149" t="str">
        <f>IFERROR(VLOOKUP(Proc[[#This Row],[App]],Table2[],3,0),"open")</f>
        <v>ok</v>
      </c>
      <c r="C3340" s="124" t="s">
        <v>369</v>
      </c>
      <c r="D3340" t="s">
        <v>5365</v>
      </c>
      <c r="E3340" t="s">
        <v>5469</v>
      </c>
      <c r="F3340" s="125" t="s">
        <v>5469</v>
      </c>
      <c r="G3340" s="124" t="s">
        <v>400</v>
      </c>
      <c r="H3340" s="125" t="str">
        <f>IF(Proc[[#This Row],[type]]="LFF (MDG-F)",MID(Proc[[#This Row],[Obj]],13,10),"")</f>
        <v/>
      </c>
      <c r="J3340" s="125" t="b">
        <f>Proc[[#This Row],[Requested]]=Proc[[#This Row],[CurrentParent]]</f>
        <v>1</v>
      </c>
      <c r="K3340" s="144" t="str">
        <f>IF(Proc[[#This Row],[Author]]="Marcela Urrego",VLOOKUP(LEFT(Proc[[#This Row],[Requested]],1),Table3[#All],2,0),VLOOKUP(Proc[[#This Row],[Author]],Table4[],2,0))</f>
        <v>MGF</v>
      </c>
      <c r="L3340" s="125" t="s">
        <v>4894</v>
      </c>
      <c r="M3340" s="113">
        <v>45874</v>
      </c>
      <c r="N3340" s="113"/>
      <c r="O3340" s="113"/>
      <c r="P3340" s="115" t="str">
        <f ca="1">IF(Proc[[#This Row],[DaysAgeing]]&gt;5,"yep","on track")</f>
        <v>yep</v>
      </c>
      <c r="Q3340" s="3">
        <f ca="1">IF(Proc[[#This Row],[DateClosed]]="",ABS(NETWORKDAYS(Proc[[#This Row],[DateOpened]],TODAY()))-1,ABS(NETWORKDAYS(Proc[[#This Row],[DateOpened]],Proc[[#This Row],[DateClosed]]))-1)</f>
        <v>98</v>
      </c>
      <c r="R3340" s="115" t="s">
        <v>1459</v>
      </c>
      <c r="S3340" s="125"/>
    </row>
    <row r="3341" spans="1:19" hidden="1">
      <c r="A3341" s="124" t="s">
        <v>5478</v>
      </c>
      <c r="B3341" s="149" t="str">
        <f>IFERROR(VLOOKUP(Proc[[#This Row],[App]],Table2[],3,0),"open")</f>
        <v>ok</v>
      </c>
      <c r="C3341" s="124" t="s">
        <v>369</v>
      </c>
      <c r="D3341" t="s">
        <v>5366</v>
      </c>
      <c r="E3341" t="s">
        <v>5456</v>
      </c>
      <c r="F3341" s="125" t="s">
        <v>5456</v>
      </c>
      <c r="G3341" s="124" t="s">
        <v>400</v>
      </c>
      <c r="H3341" s="125" t="str">
        <f>IF(Proc[[#This Row],[type]]="LFF (MDG-F)",MID(Proc[[#This Row],[Obj]],13,10),"")</f>
        <v/>
      </c>
      <c r="J3341" s="125" t="b">
        <f>Proc[[#This Row],[Requested]]=Proc[[#This Row],[CurrentParent]]</f>
        <v>1</v>
      </c>
      <c r="K3341" s="144" t="str">
        <f>IF(Proc[[#This Row],[Author]]="Marcela Urrego",VLOOKUP(LEFT(Proc[[#This Row],[Requested]],1),Table3[#All],2,0),VLOOKUP(Proc[[#This Row],[Author]],Table4[],2,0))</f>
        <v>MGF</v>
      </c>
      <c r="L3341" s="125" t="s">
        <v>4894</v>
      </c>
      <c r="M3341" s="113">
        <v>45874</v>
      </c>
      <c r="N3341" s="113"/>
      <c r="O3341" s="113"/>
      <c r="P3341" s="115" t="str">
        <f ca="1">IF(Proc[[#This Row],[DaysAgeing]]&gt;5,"yep","on track")</f>
        <v>yep</v>
      </c>
      <c r="Q3341" s="3">
        <f ca="1">IF(Proc[[#This Row],[DateClosed]]="",ABS(NETWORKDAYS(Proc[[#This Row],[DateOpened]],TODAY()))-1,ABS(NETWORKDAYS(Proc[[#This Row],[DateOpened]],Proc[[#This Row],[DateClosed]]))-1)</f>
        <v>98</v>
      </c>
      <c r="R3341" s="115" t="s">
        <v>1459</v>
      </c>
      <c r="S3341" s="125"/>
    </row>
    <row r="3342" spans="1:19" hidden="1">
      <c r="A3342" s="124" t="s">
        <v>5478</v>
      </c>
      <c r="B3342" s="149" t="str">
        <f>IFERROR(VLOOKUP(Proc[[#This Row],[App]],Table2[],3,0),"open")</f>
        <v>ok</v>
      </c>
      <c r="C3342" s="124" t="s">
        <v>369</v>
      </c>
      <c r="D3342" t="s">
        <v>5367</v>
      </c>
      <c r="E3342" t="s">
        <v>5452</v>
      </c>
      <c r="F3342" s="125" t="s">
        <v>5452</v>
      </c>
      <c r="G3342" s="124" t="s">
        <v>400</v>
      </c>
      <c r="H3342" s="125" t="str">
        <f>IF(Proc[[#This Row],[type]]="LFF (MDG-F)",MID(Proc[[#This Row],[Obj]],13,10),"")</f>
        <v/>
      </c>
      <c r="J3342" s="125" t="b">
        <f>Proc[[#This Row],[Requested]]=Proc[[#This Row],[CurrentParent]]</f>
        <v>1</v>
      </c>
      <c r="K3342" s="144" t="str">
        <f>IF(Proc[[#This Row],[Author]]="Marcela Urrego",VLOOKUP(LEFT(Proc[[#This Row],[Requested]],1),Table3[#All],2,0),VLOOKUP(Proc[[#This Row],[Author]],Table4[],2,0))</f>
        <v>MGF</v>
      </c>
      <c r="L3342" s="125" t="s">
        <v>4894</v>
      </c>
      <c r="M3342" s="113">
        <v>45874</v>
      </c>
      <c r="N3342" s="113"/>
      <c r="O3342" s="113"/>
      <c r="P3342" s="115" t="str">
        <f ca="1">IF(Proc[[#This Row],[DaysAgeing]]&gt;5,"yep","on track")</f>
        <v>yep</v>
      </c>
      <c r="Q3342" s="3">
        <f ca="1">IF(Proc[[#This Row],[DateClosed]]="",ABS(NETWORKDAYS(Proc[[#This Row],[DateOpened]],TODAY()))-1,ABS(NETWORKDAYS(Proc[[#This Row],[DateOpened]],Proc[[#This Row],[DateClosed]]))-1)</f>
        <v>98</v>
      </c>
      <c r="R3342" s="115" t="s">
        <v>1459</v>
      </c>
      <c r="S3342" s="125"/>
    </row>
    <row r="3343" spans="1:19" hidden="1">
      <c r="A3343" s="124" t="s">
        <v>5478</v>
      </c>
      <c r="B3343" s="149" t="str">
        <f>IFERROR(VLOOKUP(Proc[[#This Row],[App]],Table2[],3,0),"open")</f>
        <v>ok</v>
      </c>
      <c r="C3343" s="124" t="s">
        <v>369</v>
      </c>
      <c r="D3343" t="s">
        <v>5368</v>
      </c>
      <c r="E3343" t="s">
        <v>661</v>
      </c>
      <c r="F3343" s="125" t="s">
        <v>661</v>
      </c>
      <c r="G3343" s="124" t="s">
        <v>406</v>
      </c>
      <c r="H3343" s="125" t="str">
        <f>IF(Proc[[#This Row],[type]]="LFF (MDG-F)",MID(Proc[[#This Row],[Obj]],13,10),"")</f>
        <v>CH65YIT001</v>
      </c>
      <c r="J3343" s="125" t="b">
        <f>Proc[[#This Row],[Requested]]=Proc[[#This Row],[CurrentParent]]</f>
        <v>1</v>
      </c>
      <c r="K3343" s="144" t="str">
        <f>IF(Proc[[#This Row],[Author]]="Marcela Urrego",VLOOKUP(LEFT(Proc[[#This Row],[Requested]],1),Table3[#All],2,0),VLOOKUP(Proc[[#This Row],[Author]],Table4[],2,0))</f>
        <v>MGF</v>
      </c>
      <c r="L3343" s="125" t="s">
        <v>4894</v>
      </c>
      <c r="M3343" s="113">
        <v>45874</v>
      </c>
      <c r="N3343" s="113"/>
      <c r="O3343" s="113"/>
      <c r="P3343" s="115" t="str">
        <f ca="1">IF(Proc[[#This Row],[DaysAgeing]]&gt;5,"yep","on track")</f>
        <v>yep</v>
      </c>
      <c r="Q3343" s="3">
        <f ca="1">IF(Proc[[#This Row],[DateClosed]]="",ABS(NETWORKDAYS(Proc[[#This Row],[DateOpened]],TODAY()))-1,ABS(NETWORKDAYS(Proc[[#This Row],[DateOpened]],Proc[[#This Row],[DateClosed]]))-1)</f>
        <v>98</v>
      </c>
      <c r="R3343" s="115" t="s">
        <v>1459</v>
      </c>
      <c r="S3343" s="125"/>
    </row>
    <row r="3344" spans="1:19" hidden="1">
      <c r="A3344" s="124" t="s">
        <v>5478</v>
      </c>
      <c r="B3344" s="149" t="str">
        <f>IFERROR(VLOOKUP(Proc[[#This Row],[App]],Table2[],3,0),"open")</f>
        <v>ok</v>
      </c>
      <c r="C3344" s="124" t="s">
        <v>369</v>
      </c>
      <c r="D3344" t="s">
        <v>5369</v>
      </c>
      <c r="E3344" t="s">
        <v>5444</v>
      </c>
      <c r="F3344" s="125" t="s">
        <v>5444</v>
      </c>
      <c r="G3344" s="124" t="s">
        <v>406</v>
      </c>
      <c r="H3344" s="125" t="str">
        <f>IF(Proc[[#This Row],[type]]="LFF (MDG-F)",MID(Proc[[#This Row],[Obj]],13,10),"")</f>
        <v>CH65GIT011</v>
      </c>
      <c r="J3344" s="125" t="b">
        <f>Proc[[#This Row],[Requested]]=Proc[[#This Row],[CurrentParent]]</f>
        <v>1</v>
      </c>
      <c r="K3344" s="144" t="str">
        <f>IF(Proc[[#This Row],[Author]]="Marcela Urrego",VLOOKUP(LEFT(Proc[[#This Row],[Requested]],1),Table3[#All],2,0),VLOOKUP(Proc[[#This Row],[Author]],Table4[],2,0))</f>
        <v>MGF</v>
      </c>
      <c r="L3344" s="125" t="s">
        <v>4894</v>
      </c>
      <c r="M3344" s="113">
        <v>45874</v>
      </c>
      <c r="N3344" s="113"/>
      <c r="O3344" s="113"/>
      <c r="P3344" s="115" t="str">
        <f ca="1">IF(Proc[[#This Row],[DaysAgeing]]&gt;5,"yep","on track")</f>
        <v>yep</v>
      </c>
      <c r="Q3344" s="3">
        <f ca="1">IF(Proc[[#This Row],[DateClosed]]="",ABS(NETWORKDAYS(Proc[[#This Row],[DateOpened]],TODAY()))-1,ABS(NETWORKDAYS(Proc[[#This Row],[DateOpened]],Proc[[#This Row],[DateClosed]]))-1)</f>
        <v>98</v>
      </c>
      <c r="R3344" s="115" t="s">
        <v>1459</v>
      </c>
      <c r="S3344" s="125"/>
    </row>
    <row r="3345" spans="1:19" hidden="1">
      <c r="A3345" s="124" t="s">
        <v>5478</v>
      </c>
      <c r="B3345" s="149" t="str">
        <f>IFERROR(VLOOKUP(Proc[[#This Row],[App]],Table2[],3,0),"open")</f>
        <v>ok</v>
      </c>
      <c r="C3345" s="124" t="s">
        <v>369</v>
      </c>
      <c r="D3345" t="s">
        <v>5370</v>
      </c>
      <c r="E3345" t="s">
        <v>5445</v>
      </c>
      <c r="F3345" s="125" t="s">
        <v>5445</v>
      </c>
      <c r="G3345" s="124" t="s">
        <v>400</v>
      </c>
      <c r="H3345" s="125" t="str">
        <f>IF(Proc[[#This Row],[type]]="LFF (MDG-F)",MID(Proc[[#This Row],[Obj]],13,10),"")</f>
        <v/>
      </c>
      <c r="J3345" s="125" t="b">
        <f>Proc[[#This Row],[Requested]]=Proc[[#This Row],[CurrentParent]]</f>
        <v>1</v>
      </c>
      <c r="K3345" s="144" t="str">
        <f>IF(Proc[[#This Row],[Author]]="Marcela Urrego",VLOOKUP(LEFT(Proc[[#This Row],[Requested]],1),Table3[#All],2,0),VLOOKUP(Proc[[#This Row],[Author]],Table4[],2,0))</f>
        <v>MGF</v>
      </c>
      <c r="L3345" s="125" t="s">
        <v>4894</v>
      </c>
      <c r="M3345" s="113">
        <v>45874</v>
      </c>
      <c r="N3345" s="113"/>
      <c r="O3345" s="113"/>
      <c r="P3345" s="115" t="str">
        <f ca="1">IF(Proc[[#This Row],[DaysAgeing]]&gt;5,"yep","on track")</f>
        <v>yep</v>
      </c>
      <c r="Q3345" s="3">
        <f ca="1">IF(Proc[[#This Row],[DateClosed]]="",ABS(NETWORKDAYS(Proc[[#This Row],[DateOpened]],TODAY()))-1,ABS(NETWORKDAYS(Proc[[#This Row],[DateOpened]],Proc[[#This Row],[DateClosed]]))-1)</f>
        <v>98</v>
      </c>
      <c r="R3345" s="115" t="s">
        <v>1459</v>
      </c>
      <c r="S3345" s="125"/>
    </row>
    <row r="3346" spans="1:19" hidden="1">
      <c r="A3346" s="124" t="s">
        <v>5478</v>
      </c>
      <c r="B3346" s="149" t="str">
        <f>IFERROR(VLOOKUP(Proc[[#This Row],[App]],Table2[],3,0),"open")</f>
        <v>ok</v>
      </c>
      <c r="C3346" s="124" t="s">
        <v>369</v>
      </c>
      <c r="D3346" t="s">
        <v>5371</v>
      </c>
      <c r="E3346" t="s">
        <v>5446</v>
      </c>
      <c r="F3346" s="125" t="s">
        <v>5446</v>
      </c>
      <c r="G3346" s="124" t="s">
        <v>400</v>
      </c>
      <c r="H3346" s="125" t="str">
        <f>IF(Proc[[#This Row],[type]]="LFF (MDG-F)",MID(Proc[[#This Row],[Obj]],13,10),"")</f>
        <v/>
      </c>
      <c r="J3346" s="125" t="b">
        <f>Proc[[#This Row],[Requested]]=Proc[[#This Row],[CurrentParent]]</f>
        <v>1</v>
      </c>
      <c r="K3346" s="144" t="str">
        <f>IF(Proc[[#This Row],[Author]]="Marcela Urrego",VLOOKUP(LEFT(Proc[[#This Row],[Requested]],1),Table3[#All],2,0),VLOOKUP(Proc[[#This Row],[Author]],Table4[],2,0))</f>
        <v>MGF</v>
      </c>
      <c r="L3346" s="125" t="s">
        <v>4894</v>
      </c>
      <c r="M3346" s="113">
        <v>45874</v>
      </c>
      <c r="N3346" s="113"/>
      <c r="O3346" s="113"/>
      <c r="P3346" s="115" t="str">
        <f ca="1">IF(Proc[[#This Row],[DaysAgeing]]&gt;5,"yep","on track")</f>
        <v>yep</v>
      </c>
      <c r="Q3346" s="3">
        <f ca="1">IF(Proc[[#This Row],[DateClosed]]="",ABS(NETWORKDAYS(Proc[[#This Row],[DateOpened]],TODAY()))-1,ABS(NETWORKDAYS(Proc[[#This Row],[DateOpened]],Proc[[#This Row],[DateClosed]]))-1)</f>
        <v>98</v>
      </c>
      <c r="R3346" s="115" t="s">
        <v>1459</v>
      </c>
      <c r="S3346" s="125"/>
    </row>
    <row r="3347" spans="1:19" hidden="1">
      <c r="A3347" s="124" t="s">
        <v>5478</v>
      </c>
      <c r="B3347" s="149" t="str">
        <f>IFERROR(VLOOKUP(Proc[[#This Row],[App]],Table2[],3,0),"open")</f>
        <v>ok</v>
      </c>
      <c r="C3347" s="124" t="s">
        <v>369</v>
      </c>
      <c r="D3347" t="s">
        <v>2569</v>
      </c>
      <c r="E3347" t="s">
        <v>5453</v>
      </c>
      <c r="F3347" s="125" t="s">
        <v>5453</v>
      </c>
      <c r="G3347" s="124" t="s">
        <v>406</v>
      </c>
      <c r="H3347" s="125" t="str">
        <f>IF(Proc[[#This Row],[type]]="LFF (MDG-F)",MID(Proc[[#This Row],[Obj]],13,10),"")</f>
        <v>CH50GIT032</v>
      </c>
      <c r="J3347" s="125" t="b">
        <f>Proc[[#This Row],[Requested]]=Proc[[#This Row],[CurrentParent]]</f>
        <v>1</v>
      </c>
      <c r="K3347" s="144" t="str">
        <f>IF(Proc[[#This Row],[Author]]="Marcela Urrego",VLOOKUP(LEFT(Proc[[#This Row],[Requested]],1),Table3[#All],2,0),VLOOKUP(Proc[[#This Row],[Author]],Table4[],2,0))</f>
        <v>MGF</v>
      </c>
      <c r="L3347" s="125" t="s">
        <v>4894</v>
      </c>
      <c r="M3347" s="113">
        <v>45874</v>
      </c>
      <c r="N3347" s="113"/>
      <c r="O3347" s="113"/>
      <c r="P3347" s="115" t="str">
        <f ca="1">IF(Proc[[#This Row],[DaysAgeing]]&gt;5,"yep","on track")</f>
        <v>yep</v>
      </c>
      <c r="Q3347" s="3">
        <f ca="1">IF(Proc[[#This Row],[DateClosed]]="",ABS(NETWORKDAYS(Proc[[#This Row],[DateOpened]],TODAY()))-1,ABS(NETWORKDAYS(Proc[[#This Row],[DateOpened]],Proc[[#This Row],[DateClosed]]))-1)</f>
        <v>98</v>
      </c>
      <c r="R3347" s="115" t="s">
        <v>1459</v>
      </c>
      <c r="S3347" s="125"/>
    </row>
    <row r="3348" spans="1:19" hidden="1">
      <c r="A3348" s="124" t="s">
        <v>5478</v>
      </c>
      <c r="B3348" s="149" t="str">
        <f>IFERROR(VLOOKUP(Proc[[#This Row],[App]],Table2[],3,0),"open")</f>
        <v>ok</v>
      </c>
      <c r="C3348" s="124" t="s">
        <v>369</v>
      </c>
      <c r="D3348" t="s">
        <v>5372</v>
      </c>
      <c r="E3348" t="s">
        <v>424</v>
      </c>
      <c r="F3348" s="125" t="s">
        <v>424</v>
      </c>
      <c r="G3348" s="124" t="s">
        <v>406</v>
      </c>
      <c r="H3348" s="125" t="str">
        <f>IF(Proc[[#This Row],[type]]="LFF (MDG-F)",MID(Proc[[#This Row],[Obj]],13,10),"")</f>
        <v>KR03GIT01B</v>
      </c>
      <c r="J3348" s="125" t="b">
        <f>Proc[[#This Row],[Requested]]=Proc[[#This Row],[CurrentParent]]</f>
        <v>1</v>
      </c>
      <c r="K3348" s="144" t="str">
        <f>IF(Proc[[#This Row],[Author]]="Marcela Urrego",VLOOKUP(LEFT(Proc[[#This Row],[Requested]],1),Table3[#All],2,0),VLOOKUP(Proc[[#This Row],[Author]],Table4[],2,0))</f>
        <v>MGF</v>
      </c>
      <c r="L3348" s="125" t="s">
        <v>4894</v>
      </c>
      <c r="M3348" s="113">
        <v>45874</v>
      </c>
      <c r="N3348" s="113"/>
      <c r="O3348" s="113"/>
      <c r="P3348" s="115" t="str">
        <f ca="1">IF(Proc[[#This Row],[DaysAgeing]]&gt;5,"yep","on track")</f>
        <v>yep</v>
      </c>
      <c r="Q3348" s="3">
        <f ca="1">IF(Proc[[#This Row],[DateClosed]]="",ABS(NETWORKDAYS(Proc[[#This Row],[DateOpened]],TODAY()))-1,ABS(NETWORKDAYS(Proc[[#This Row],[DateOpened]],Proc[[#This Row],[DateClosed]]))-1)</f>
        <v>98</v>
      </c>
      <c r="R3348" s="115" t="s">
        <v>1459</v>
      </c>
      <c r="S3348" s="125"/>
    </row>
    <row r="3349" spans="1:19" hidden="1">
      <c r="A3349" s="124" t="s">
        <v>5478</v>
      </c>
      <c r="B3349" s="149" t="str">
        <f>IFERROR(VLOOKUP(Proc[[#This Row],[App]],Table2[],3,0),"open")</f>
        <v>ok</v>
      </c>
      <c r="C3349" s="124" t="s">
        <v>369</v>
      </c>
      <c r="D3349" t="s">
        <v>5373</v>
      </c>
      <c r="E3349" t="s">
        <v>5446</v>
      </c>
      <c r="F3349" s="125" t="s">
        <v>5446</v>
      </c>
      <c r="G3349" s="124" t="s">
        <v>400</v>
      </c>
      <c r="H3349" s="125" t="str">
        <f>IF(Proc[[#This Row],[type]]="LFF (MDG-F)",MID(Proc[[#This Row],[Obj]],13,10),"")</f>
        <v/>
      </c>
      <c r="J3349" s="125" t="b">
        <f>Proc[[#This Row],[Requested]]=Proc[[#This Row],[CurrentParent]]</f>
        <v>1</v>
      </c>
      <c r="K3349" s="144" t="str">
        <f>IF(Proc[[#This Row],[Author]]="Marcela Urrego",VLOOKUP(LEFT(Proc[[#This Row],[Requested]],1),Table3[#All],2,0),VLOOKUP(Proc[[#This Row],[Author]],Table4[],2,0))</f>
        <v>MGF</v>
      </c>
      <c r="L3349" s="125" t="s">
        <v>4894</v>
      </c>
      <c r="M3349" s="113">
        <v>45874</v>
      </c>
      <c r="N3349" s="113"/>
      <c r="O3349" s="113"/>
      <c r="P3349" s="115" t="str">
        <f ca="1">IF(Proc[[#This Row],[DaysAgeing]]&gt;5,"yep","on track")</f>
        <v>yep</v>
      </c>
      <c r="Q3349" s="3">
        <f ca="1">IF(Proc[[#This Row],[DateClosed]]="",ABS(NETWORKDAYS(Proc[[#This Row],[DateOpened]],TODAY()))-1,ABS(NETWORKDAYS(Proc[[#This Row],[DateOpened]],Proc[[#This Row],[DateClosed]]))-1)</f>
        <v>98</v>
      </c>
      <c r="R3349" s="115" t="s">
        <v>1459</v>
      </c>
      <c r="S3349" s="125"/>
    </row>
    <row r="3350" spans="1:19" hidden="1">
      <c r="A3350" s="124" t="s">
        <v>5478</v>
      </c>
      <c r="B3350" s="149" t="str">
        <f>IFERROR(VLOOKUP(Proc[[#This Row],[App]],Table2[],3,0),"open")</f>
        <v>ok</v>
      </c>
      <c r="C3350" s="124" t="s">
        <v>369</v>
      </c>
      <c r="D3350" t="s">
        <v>5374</v>
      </c>
      <c r="E3350" t="s">
        <v>5445</v>
      </c>
      <c r="F3350" s="125" t="s">
        <v>5445</v>
      </c>
      <c r="G3350" s="124" t="s">
        <v>400</v>
      </c>
      <c r="H3350" s="125" t="str">
        <f>IF(Proc[[#This Row],[type]]="LFF (MDG-F)",MID(Proc[[#This Row],[Obj]],13,10),"")</f>
        <v/>
      </c>
      <c r="J3350" s="125" t="b">
        <f>Proc[[#This Row],[Requested]]=Proc[[#This Row],[CurrentParent]]</f>
        <v>1</v>
      </c>
      <c r="K3350" s="144" t="str">
        <f>IF(Proc[[#This Row],[Author]]="Marcela Urrego",VLOOKUP(LEFT(Proc[[#This Row],[Requested]],1),Table3[#All],2,0),VLOOKUP(Proc[[#This Row],[Author]],Table4[],2,0))</f>
        <v>MGF</v>
      </c>
      <c r="L3350" s="125" t="s">
        <v>4894</v>
      </c>
      <c r="M3350" s="113">
        <v>45874</v>
      </c>
      <c r="N3350" s="113"/>
      <c r="O3350" s="113"/>
      <c r="P3350" s="115" t="str">
        <f ca="1">IF(Proc[[#This Row],[DaysAgeing]]&gt;5,"yep","on track")</f>
        <v>yep</v>
      </c>
      <c r="Q3350" s="3">
        <f ca="1">IF(Proc[[#This Row],[DateClosed]]="",ABS(NETWORKDAYS(Proc[[#This Row],[DateOpened]],TODAY()))-1,ABS(NETWORKDAYS(Proc[[#This Row],[DateOpened]],Proc[[#This Row],[DateClosed]]))-1)</f>
        <v>98</v>
      </c>
      <c r="R3350" s="115" t="s">
        <v>1459</v>
      </c>
      <c r="S3350" s="125"/>
    </row>
    <row r="3351" spans="1:19" hidden="1">
      <c r="A3351" s="124" t="s">
        <v>5478</v>
      </c>
      <c r="B3351" s="149" t="str">
        <f>IFERROR(VLOOKUP(Proc[[#This Row],[App]],Table2[],3,0),"open")</f>
        <v>ok</v>
      </c>
      <c r="C3351" s="124" t="s">
        <v>369</v>
      </c>
      <c r="D3351" t="s">
        <v>5375</v>
      </c>
      <c r="E3351" t="s">
        <v>5470</v>
      </c>
      <c r="F3351" s="125" t="s">
        <v>5470</v>
      </c>
      <c r="G3351" s="124" t="s">
        <v>400</v>
      </c>
      <c r="H3351" s="125" t="str">
        <f>IF(Proc[[#This Row],[type]]="LFF (MDG-F)",MID(Proc[[#This Row],[Obj]],13,10),"")</f>
        <v/>
      </c>
      <c r="J3351" s="125" t="b">
        <f>Proc[[#This Row],[Requested]]=Proc[[#This Row],[CurrentParent]]</f>
        <v>1</v>
      </c>
      <c r="K3351" s="144" t="str">
        <f>IF(Proc[[#This Row],[Author]]="Marcela Urrego",VLOOKUP(LEFT(Proc[[#This Row],[Requested]],1),Table3[#All],2,0),VLOOKUP(Proc[[#This Row],[Author]],Table4[],2,0))</f>
        <v>MGF</v>
      </c>
      <c r="L3351" s="125" t="s">
        <v>4894</v>
      </c>
      <c r="M3351" s="113">
        <v>45874</v>
      </c>
      <c r="N3351" s="113"/>
      <c r="O3351" s="113"/>
      <c r="P3351" s="115" t="str">
        <f ca="1">IF(Proc[[#This Row],[DaysAgeing]]&gt;5,"yep","on track")</f>
        <v>yep</v>
      </c>
      <c r="Q3351" s="3">
        <f ca="1">IF(Proc[[#This Row],[DateClosed]]="",ABS(NETWORKDAYS(Proc[[#This Row],[DateOpened]],TODAY()))-1,ABS(NETWORKDAYS(Proc[[#This Row],[DateOpened]],Proc[[#This Row],[DateClosed]]))-1)</f>
        <v>98</v>
      </c>
      <c r="R3351" s="115" t="s">
        <v>1459</v>
      </c>
      <c r="S3351" s="125"/>
    </row>
    <row r="3352" spans="1:19" hidden="1">
      <c r="A3352" s="124" t="s">
        <v>5478</v>
      </c>
      <c r="B3352" s="149" t="str">
        <f>IFERROR(VLOOKUP(Proc[[#This Row],[App]],Table2[],3,0),"open")</f>
        <v>ok</v>
      </c>
      <c r="C3352" s="124" t="s">
        <v>369</v>
      </c>
      <c r="D3352" t="s">
        <v>5376</v>
      </c>
      <c r="E3352" t="s">
        <v>5444</v>
      </c>
      <c r="F3352" s="125" t="s">
        <v>5444</v>
      </c>
      <c r="G3352" s="124" t="s">
        <v>400</v>
      </c>
      <c r="H3352" s="125" t="str">
        <f>IF(Proc[[#This Row],[type]]="LFF (MDG-F)",MID(Proc[[#This Row],[Obj]],13,10),"")</f>
        <v/>
      </c>
      <c r="J3352" s="125" t="b">
        <f>Proc[[#This Row],[Requested]]=Proc[[#This Row],[CurrentParent]]</f>
        <v>1</v>
      </c>
      <c r="K3352" s="144" t="str">
        <f>IF(Proc[[#This Row],[Author]]="Marcela Urrego",VLOOKUP(LEFT(Proc[[#This Row],[Requested]],1),Table3[#All],2,0),VLOOKUP(Proc[[#This Row],[Author]],Table4[],2,0))</f>
        <v>MGF</v>
      </c>
      <c r="L3352" s="125" t="s">
        <v>4894</v>
      </c>
      <c r="M3352" s="113">
        <v>45874</v>
      </c>
      <c r="N3352" s="113"/>
      <c r="O3352" s="113"/>
      <c r="P3352" s="115" t="str">
        <f ca="1">IF(Proc[[#This Row],[DaysAgeing]]&gt;5,"yep","on track")</f>
        <v>yep</v>
      </c>
      <c r="Q3352" s="3">
        <f ca="1">IF(Proc[[#This Row],[DateClosed]]="",ABS(NETWORKDAYS(Proc[[#This Row],[DateOpened]],TODAY()))-1,ABS(NETWORKDAYS(Proc[[#This Row],[DateOpened]],Proc[[#This Row],[DateClosed]]))-1)</f>
        <v>98</v>
      </c>
      <c r="R3352" s="115" t="s">
        <v>1459</v>
      </c>
      <c r="S3352" s="125"/>
    </row>
    <row r="3353" spans="1:19" hidden="1">
      <c r="A3353" s="124" t="s">
        <v>5478</v>
      </c>
      <c r="B3353" s="149" t="str">
        <f>IFERROR(VLOOKUP(Proc[[#This Row],[App]],Table2[],3,0),"open")</f>
        <v>ok</v>
      </c>
      <c r="C3353" s="124" t="s">
        <v>369</v>
      </c>
      <c r="D3353" t="s">
        <v>5377</v>
      </c>
      <c r="E3353" t="s">
        <v>5464</v>
      </c>
      <c r="F3353" s="125" t="s">
        <v>5464</v>
      </c>
      <c r="G3353" s="124" t="s">
        <v>400</v>
      </c>
      <c r="H3353" s="125" t="str">
        <f>IF(Proc[[#This Row],[type]]="LFF (MDG-F)",MID(Proc[[#This Row],[Obj]],13,10),"")</f>
        <v/>
      </c>
      <c r="J3353" s="125" t="b">
        <f>Proc[[#This Row],[Requested]]=Proc[[#This Row],[CurrentParent]]</f>
        <v>1</v>
      </c>
      <c r="K3353" s="144" t="str">
        <f>IF(Proc[[#This Row],[Author]]="Marcela Urrego",VLOOKUP(LEFT(Proc[[#This Row],[Requested]],1),Table3[#All],2,0),VLOOKUP(Proc[[#This Row],[Author]],Table4[],2,0))</f>
        <v>MGF</v>
      </c>
      <c r="L3353" s="125" t="s">
        <v>4894</v>
      </c>
      <c r="M3353" s="113">
        <v>45874</v>
      </c>
      <c r="N3353" s="113"/>
      <c r="O3353" s="113"/>
      <c r="P3353" s="115" t="str">
        <f ca="1">IF(Proc[[#This Row],[DaysAgeing]]&gt;5,"yep","on track")</f>
        <v>yep</v>
      </c>
      <c r="Q3353" s="3">
        <f ca="1">IF(Proc[[#This Row],[DateClosed]]="",ABS(NETWORKDAYS(Proc[[#This Row],[DateOpened]],TODAY()))-1,ABS(NETWORKDAYS(Proc[[#This Row],[DateOpened]],Proc[[#This Row],[DateClosed]]))-1)</f>
        <v>98</v>
      </c>
      <c r="R3353" s="115" t="s">
        <v>1459</v>
      </c>
      <c r="S3353" s="125"/>
    </row>
    <row r="3354" spans="1:19" hidden="1">
      <c r="A3354" s="124" t="s">
        <v>5478</v>
      </c>
      <c r="B3354" s="149" t="str">
        <f>IFERROR(VLOOKUP(Proc[[#This Row],[App]],Table2[],3,0),"open")</f>
        <v>ok</v>
      </c>
      <c r="C3354" s="124" t="s">
        <v>369</v>
      </c>
      <c r="D3354" t="s">
        <v>5378</v>
      </c>
      <c r="E3354" t="s">
        <v>5446</v>
      </c>
      <c r="F3354" s="125" t="s">
        <v>5446</v>
      </c>
      <c r="G3354" s="124" t="s">
        <v>400</v>
      </c>
      <c r="H3354" s="125" t="str">
        <f>IF(Proc[[#This Row],[type]]="LFF (MDG-F)",MID(Proc[[#This Row],[Obj]],13,10),"")</f>
        <v/>
      </c>
      <c r="J3354" s="125" t="b">
        <f>Proc[[#This Row],[Requested]]=Proc[[#This Row],[CurrentParent]]</f>
        <v>1</v>
      </c>
      <c r="K3354" s="144" t="str">
        <f>IF(Proc[[#This Row],[Author]]="Marcela Urrego",VLOOKUP(LEFT(Proc[[#This Row],[Requested]],1),Table3[#All],2,0),VLOOKUP(Proc[[#This Row],[Author]],Table4[],2,0))</f>
        <v>MGF</v>
      </c>
      <c r="L3354" s="125" t="s">
        <v>4894</v>
      </c>
      <c r="M3354" s="113">
        <v>45874</v>
      </c>
      <c r="N3354" s="113"/>
      <c r="O3354" s="113"/>
      <c r="P3354" s="115" t="str">
        <f ca="1">IF(Proc[[#This Row],[DaysAgeing]]&gt;5,"yep","on track")</f>
        <v>yep</v>
      </c>
      <c r="Q3354" s="3">
        <f ca="1">IF(Proc[[#This Row],[DateClosed]]="",ABS(NETWORKDAYS(Proc[[#This Row],[DateOpened]],TODAY()))-1,ABS(NETWORKDAYS(Proc[[#This Row],[DateOpened]],Proc[[#This Row],[DateClosed]]))-1)</f>
        <v>98</v>
      </c>
      <c r="R3354" s="115" t="s">
        <v>1459</v>
      </c>
      <c r="S3354" s="125"/>
    </row>
    <row r="3355" spans="1:19" hidden="1">
      <c r="A3355" s="124" t="s">
        <v>5478</v>
      </c>
      <c r="B3355" s="149" t="str">
        <f>IFERROR(VLOOKUP(Proc[[#This Row],[App]],Table2[],3,0),"open")</f>
        <v>ok</v>
      </c>
      <c r="C3355" s="124" t="s">
        <v>369</v>
      </c>
      <c r="D3355" t="s">
        <v>5379</v>
      </c>
      <c r="E3355" t="s">
        <v>5455</v>
      </c>
      <c r="F3355" s="125" t="s">
        <v>5455</v>
      </c>
      <c r="G3355" s="124" t="s">
        <v>400</v>
      </c>
      <c r="H3355" s="125" t="str">
        <f>IF(Proc[[#This Row],[type]]="LFF (MDG-F)",MID(Proc[[#This Row],[Obj]],13,10),"")</f>
        <v/>
      </c>
      <c r="J3355" s="125" t="b">
        <f>Proc[[#This Row],[Requested]]=Proc[[#This Row],[CurrentParent]]</f>
        <v>1</v>
      </c>
      <c r="K3355" s="144" t="str">
        <f>IF(Proc[[#This Row],[Author]]="Marcela Urrego",VLOOKUP(LEFT(Proc[[#This Row],[Requested]],1),Table3[#All],2,0),VLOOKUP(Proc[[#This Row],[Author]],Table4[],2,0))</f>
        <v>MGF</v>
      </c>
      <c r="L3355" s="125" t="s">
        <v>4894</v>
      </c>
      <c r="M3355" s="113">
        <v>45874</v>
      </c>
      <c r="N3355" s="113"/>
      <c r="O3355" s="113"/>
      <c r="P3355" s="115" t="str">
        <f ca="1">IF(Proc[[#This Row],[DaysAgeing]]&gt;5,"yep","on track")</f>
        <v>yep</v>
      </c>
      <c r="Q3355" s="3">
        <f ca="1">IF(Proc[[#This Row],[DateClosed]]="",ABS(NETWORKDAYS(Proc[[#This Row],[DateOpened]],TODAY()))-1,ABS(NETWORKDAYS(Proc[[#This Row],[DateOpened]],Proc[[#This Row],[DateClosed]]))-1)</f>
        <v>98</v>
      </c>
      <c r="R3355" s="115" t="s">
        <v>1459</v>
      </c>
      <c r="S3355" s="125"/>
    </row>
    <row r="3356" spans="1:19" hidden="1">
      <c r="A3356" s="124" t="s">
        <v>5478</v>
      </c>
      <c r="B3356" s="149" t="str">
        <f>IFERROR(VLOOKUP(Proc[[#This Row],[App]],Table2[],3,0),"open")</f>
        <v>ok</v>
      </c>
      <c r="C3356" s="124" t="s">
        <v>369</v>
      </c>
      <c r="D3356" t="s">
        <v>5380</v>
      </c>
      <c r="E3356" t="s">
        <v>5445</v>
      </c>
      <c r="F3356" s="125" t="s">
        <v>5445</v>
      </c>
      <c r="G3356" s="124" t="s">
        <v>400</v>
      </c>
      <c r="H3356" s="125" t="str">
        <f>IF(Proc[[#This Row],[type]]="LFF (MDG-F)",MID(Proc[[#This Row],[Obj]],13,10),"")</f>
        <v/>
      </c>
      <c r="J3356" s="125" t="b">
        <f>Proc[[#This Row],[Requested]]=Proc[[#This Row],[CurrentParent]]</f>
        <v>1</v>
      </c>
      <c r="K3356" s="144" t="str">
        <f>IF(Proc[[#This Row],[Author]]="Marcela Urrego",VLOOKUP(LEFT(Proc[[#This Row],[Requested]],1),Table3[#All],2,0),VLOOKUP(Proc[[#This Row],[Author]],Table4[],2,0))</f>
        <v>MGF</v>
      </c>
      <c r="L3356" s="125" t="s">
        <v>4894</v>
      </c>
      <c r="M3356" s="113">
        <v>45874</v>
      </c>
      <c r="N3356" s="113"/>
      <c r="O3356" s="113"/>
      <c r="P3356" s="115" t="str">
        <f ca="1">IF(Proc[[#This Row],[DaysAgeing]]&gt;5,"yep","on track")</f>
        <v>yep</v>
      </c>
      <c r="Q3356" s="3">
        <f ca="1">IF(Proc[[#This Row],[DateClosed]]="",ABS(NETWORKDAYS(Proc[[#This Row],[DateOpened]],TODAY()))-1,ABS(NETWORKDAYS(Proc[[#This Row],[DateOpened]],Proc[[#This Row],[DateClosed]]))-1)</f>
        <v>98</v>
      </c>
      <c r="R3356" s="115" t="s">
        <v>1459</v>
      </c>
      <c r="S3356" s="125"/>
    </row>
    <row r="3357" spans="1:19" hidden="1">
      <c r="A3357" s="124" t="s">
        <v>5478</v>
      </c>
      <c r="B3357" s="149" t="str">
        <f>IFERROR(VLOOKUP(Proc[[#This Row],[App]],Table2[],3,0),"open")</f>
        <v>ok</v>
      </c>
      <c r="C3357" s="124" t="s">
        <v>369</v>
      </c>
      <c r="D3357" t="s">
        <v>5381</v>
      </c>
      <c r="E3357" t="s">
        <v>5453</v>
      </c>
      <c r="F3357" s="125" t="s">
        <v>5453</v>
      </c>
      <c r="G3357" s="124" t="s">
        <v>400</v>
      </c>
      <c r="H3357" s="125" t="str">
        <f>IF(Proc[[#This Row],[type]]="LFF (MDG-F)",MID(Proc[[#This Row],[Obj]],13,10),"")</f>
        <v/>
      </c>
      <c r="J3357" s="125" t="b">
        <f>Proc[[#This Row],[Requested]]=Proc[[#This Row],[CurrentParent]]</f>
        <v>1</v>
      </c>
      <c r="K3357" s="144" t="str">
        <f>IF(Proc[[#This Row],[Author]]="Marcela Urrego",VLOOKUP(LEFT(Proc[[#This Row],[Requested]],1),Table3[#All],2,0),VLOOKUP(Proc[[#This Row],[Author]],Table4[],2,0))</f>
        <v>MGF</v>
      </c>
      <c r="L3357" s="125" t="s">
        <v>4894</v>
      </c>
      <c r="M3357" s="113">
        <v>45874</v>
      </c>
      <c r="N3357" s="113"/>
      <c r="O3357" s="113"/>
      <c r="P3357" s="115" t="str">
        <f ca="1">IF(Proc[[#This Row],[DaysAgeing]]&gt;5,"yep","on track")</f>
        <v>yep</v>
      </c>
      <c r="Q3357" s="3">
        <f ca="1">IF(Proc[[#This Row],[DateClosed]]="",ABS(NETWORKDAYS(Proc[[#This Row],[DateOpened]],TODAY()))-1,ABS(NETWORKDAYS(Proc[[#This Row],[DateOpened]],Proc[[#This Row],[DateClosed]]))-1)</f>
        <v>98</v>
      </c>
      <c r="R3357" s="115" t="s">
        <v>1459</v>
      </c>
      <c r="S3357" s="125"/>
    </row>
    <row r="3358" spans="1:19" hidden="1">
      <c r="A3358" s="124" t="s">
        <v>5478</v>
      </c>
      <c r="B3358" s="149" t="str">
        <f>IFERROR(VLOOKUP(Proc[[#This Row],[App]],Table2[],3,0),"open")</f>
        <v>ok</v>
      </c>
      <c r="C3358" s="124" t="s">
        <v>369</v>
      </c>
      <c r="D3358" t="s">
        <v>5382</v>
      </c>
      <c r="E3358" t="s">
        <v>5448</v>
      </c>
      <c r="F3358" s="125" t="s">
        <v>5448</v>
      </c>
      <c r="G3358" s="124" t="s">
        <v>400</v>
      </c>
      <c r="H3358" s="125" t="str">
        <f>IF(Proc[[#This Row],[type]]="LFF (MDG-F)",MID(Proc[[#This Row],[Obj]],13,10),"")</f>
        <v/>
      </c>
      <c r="J3358" s="125" t="b">
        <f>Proc[[#This Row],[Requested]]=Proc[[#This Row],[CurrentParent]]</f>
        <v>1</v>
      </c>
      <c r="K3358" s="144" t="str">
        <f>IF(Proc[[#This Row],[Author]]="Marcela Urrego",VLOOKUP(LEFT(Proc[[#This Row],[Requested]],1),Table3[#All],2,0),VLOOKUP(Proc[[#This Row],[Author]],Table4[],2,0))</f>
        <v>MGF</v>
      </c>
      <c r="L3358" s="125" t="s">
        <v>4894</v>
      </c>
      <c r="M3358" s="113">
        <v>45874</v>
      </c>
      <c r="N3358" s="113"/>
      <c r="O3358" s="113"/>
      <c r="P3358" s="115" t="str">
        <f ca="1">IF(Proc[[#This Row],[DaysAgeing]]&gt;5,"yep","on track")</f>
        <v>yep</v>
      </c>
      <c r="Q3358" s="3">
        <f ca="1">IF(Proc[[#This Row],[DateClosed]]="",ABS(NETWORKDAYS(Proc[[#This Row],[DateOpened]],TODAY()))-1,ABS(NETWORKDAYS(Proc[[#This Row],[DateOpened]],Proc[[#This Row],[DateClosed]]))-1)</f>
        <v>98</v>
      </c>
      <c r="R3358" s="115" t="s">
        <v>1459</v>
      </c>
      <c r="S3358" s="125"/>
    </row>
    <row r="3359" spans="1:19" hidden="1">
      <c r="A3359" s="124" t="s">
        <v>5478</v>
      </c>
      <c r="B3359" s="149" t="str">
        <f>IFERROR(VLOOKUP(Proc[[#This Row],[App]],Table2[],3,0),"open")</f>
        <v>ok</v>
      </c>
      <c r="C3359" s="124" t="s">
        <v>369</v>
      </c>
      <c r="D3359" t="s">
        <v>5383</v>
      </c>
      <c r="E3359" t="s">
        <v>5455</v>
      </c>
      <c r="F3359" s="125" t="s">
        <v>5455</v>
      </c>
      <c r="G3359" s="124" t="s">
        <v>406</v>
      </c>
      <c r="H3359" s="125" t="str">
        <f>IF(Proc[[#This Row],[type]]="LFF (MDG-F)",MID(Proc[[#This Row],[Obj]],13,10),"")</f>
        <v>2029GIT120</v>
      </c>
      <c r="J3359" s="125" t="b">
        <f>Proc[[#This Row],[Requested]]=Proc[[#This Row],[CurrentParent]]</f>
        <v>1</v>
      </c>
      <c r="K3359" s="144" t="str">
        <f>IF(Proc[[#This Row],[Author]]="Marcela Urrego",VLOOKUP(LEFT(Proc[[#This Row],[Requested]],1),Table3[#All],2,0),VLOOKUP(Proc[[#This Row],[Author]],Table4[],2,0))</f>
        <v>MGF</v>
      </c>
      <c r="L3359" s="125" t="s">
        <v>4894</v>
      </c>
      <c r="M3359" s="113">
        <v>45874</v>
      </c>
      <c r="N3359" s="113"/>
      <c r="O3359" s="113"/>
      <c r="P3359" s="115" t="str">
        <f ca="1">IF(Proc[[#This Row],[DaysAgeing]]&gt;5,"yep","on track")</f>
        <v>yep</v>
      </c>
      <c r="Q3359" s="3">
        <f ca="1">IF(Proc[[#This Row],[DateClosed]]="",ABS(NETWORKDAYS(Proc[[#This Row],[DateOpened]],TODAY()))-1,ABS(NETWORKDAYS(Proc[[#This Row],[DateOpened]],Proc[[#This Row],[DateClosed]]))-1)</f>
        <v>98</v>
      </c>
      <c r="R3359" s="115" t="s">
        <v>1459</v>
      </c>
      <c r="S3359" s="125"/>
    </row>
    <row r="3360" spans="1:19" hidden="1">
      <c r="A3360" s="124" t="s">
        <v>5478</v>
      </c>
      <c r="B3360" s="149" t="str">
        <f>IFERROR(VLOOKUP(Proc[[#This Row],[App]],Table2[],3,0),"open")</f>
        <v>ok</v>
      </c>
      <c r="C3360" s="124" t="s">
        <v>369</v>
      </c>
      <c r="D3360" t="s">
        <v>5384</v>
      </c>
      <c r="E3360" t="s">
        <v>5445</v>
      </c>
      <c r="F3360" s="125" t="s">
        <v>5445</v>
      </c>
      <c r="G3360" s="124" t="s">
        <v>406</v>
      </c>
      <c r="H3360" s="125" t="str">
        <f>IF(Proc[[#This Row],[type]]="LFF (MDG-F)",MID(Proc[[#This Row],[Obj]],13,10),"")</f>
        <v>2034GIT120</v>
      </c>
      <c r="J3360" s="125" t="b">
        <f>Proc[[#This Row],[Requested]]=Proc[[#This Row],[CurrentParent]]</f>
        <v>1</v>
      </c>
      <c r="K3360" s="144" t="str">
        <f>IF(Proc[[#This Row],[Author]]="Marcela Urrego",VLOOKUP(LEFT(Proc[[#This Row],[Requested]],1),Table3[#All],2,0),VLOOKUP(Proc[[#This Row],[Author]],Table4[],2,0))</f>
        <v>MGF</v>
      </c>
      <c r="L3360" s="125" t="s">
        <v>4894</v>
      </c>
      <c r="M3360" s="113">
        <v>45874</v>
      </c>
      <c r="N3360" s="113"/>
      <c r="O3360" s="113"/>
      <c r="P3360" s="115" t="str">
        <f ca="1">IF(Proc[[#This Row],[DaysAgeing]]&gt;5,"yep","on track")</f>
        <v>yep</v>
      </c>
      <c r="Q3360" s="3">
        <f ca="1">IF(Proc[[#This Row],[DateClosed]]="",ABS(NETWORKDAYS(Proc[[#This Row],[DateOpened]],TODAY()))-1,ABS(NETWORKDAYS(Proc[[#This Row],[DateOpened]],Proc[[#This Row],[DateClosed]]))-1)</f>
        <v>98</v>
      </c>
      <c r="R3360" s="115" t="s">
        <v>1459</v>
      </c>
      <c r="S3360" s="125"/>
    </row>
    <row r="3361" spans="1:19" hidden="1">
      <c r="A3361" s="124" t="s">
        <v>5478</v>
      </c>
      <c r="B3361" s="149" t="str">
        <f>IFERROR(VLOOKUP(Proc[[#This Row],[App]],Table2[],3,0),"open")</f>
        <v>ok</v>
      </c>
      <c r="C3361" s="124" t="s">
        <v>369</v>
      </c>
      <c r="D3361" t="s">
        <v>5385</v>
      </c>
      <c r="E3361" t="s">
        <v>661</v>
      </c>
      <c r="F3361" s="125" t="s">
        <v>661</v>
      </c>
      <c r="G3361" s="124" t="s">
        <v>400</v>
      </c>
      <c r="H3361" s="125" t="str">
        <f>IF(Proc[[#This Row],[type]]="LFF (MDG-F)",MID(Proc[[#This Row],[Obj]],13,10),"")</f>
        <v/>
      </c>
      <c r="J3361" s="125" t="b">
        <f>Proc[[#This Row],[Requested]]=Proc[[#This Row],[CurrentParent]]</f>
        <v>1</v>
      </c>
      <c r="K3361" s="144" t="str">
        <f>IF(Proc[[#This Row],[Author]]="Marcela Urrego",VLOOKUP(LEFT(Proc[[#This Row],[Requested]],1),Table3[#All],2,0),VLOOKUP(Proc[[#This Row],[Author]],Table4[],2,0))</f>
        <v>MGF</v>
      </c>
      <c r="L3361" s="125" t="s">
        <v>4894</v>
      </c>
      <c r="M3361" s="113">
        <v>45874</v>
      </c>
      <c r="N3361" s="113"/>
      <c r="O3361" s="113"/>
      <c r="P3361" s="115" t="str">
        <f ca="1">IF(Proc[[#This Row],[DaysAgeing]]&gt;5,"yep","on track")</f>
        <v>yep</v>
      </c>
      <c r="Q3361" s="3">
        <f ca="1">IF(Proc[[#This Row],[DateClosed]]="",ABS(NETWORKDAYS(Proc[[#This Row],[DateOpened]],TODAY()))-1,ABS(NETWORKDAYS(Proc[[#This Row],[DateOpened]],Proc[[#This Row],[DateClosed]]))-1)</f>
        <v>98</v>
      </c>
      <c r="R3361" s="115" t="s">
        <v>1459</v>
      </c>
      <c r="S3361" s="125"/>
    </row>
    <row r="3362" spans="1:19" hidden="1">
      <c r="A3362" s="124" t="s">
        <v>5478</v>
      </c>
      <c r="B3362" s="149" t="str">
        <f>IFERROR(VLOOKUP(Proc[[#This Row],[App]],Table2[],3,0),"open")</f>
        <v>ok</v>
      </c>
      <c r="C3362" s="124" t="s">
        <v>369</v>
      </c>
      <c r="D3362" t="s">
        <v>5386</v>
      </c>
      <c r="E3362" t="s">
        <v>5445</v>
      </c>
      <c r="F3362" s="125" t="s">
        <v>5445</v>
      </c>
      <c r="G3362" s="124" t="s">
        <v>400</v>
      </c>
      <c r="H3362" s="125" t="str">
        <f>IF(Proc[[#This Row],[type]]="LFF (MDG-F)",MID(Proc[[#This Row],[Obj]],13,10),"")</f>
        <v/>
      </c>
      <c r="J3362" s="125" t="b">
        <f>Proc[[#This Row],[Requested]]=Proc[[#This Row],[CurrentParent]]</f>
        <v>1</v>
      </c>
      <c r="K3362" s="144" t="str">
        <f>IF(Proc[[#This Row],[Author]]="Marcela Urrego",VLOOKUP(LEFT(Proc[[#This Row],[Requested]],1),Table3[#All],2,0),VLOOKUP(Proc[[#This Row],[Author]],Table4[],2,0))</f>
        <v>MGF</v>
      </c>
      <c r="L3362" s="125" t="s">
        <v>4894</v>
      </c>
      <c r="M3362" s="113">
        <v>45874</v>
      </c>
      <c r="N3362" s="113"/>
      <c r="O3362" s="113"/>
      <c r="P3362" s="115" t="str">
        <f ca="1">IF(Proc[[#This Row],[DaysAgeing]]&gt;5,"yep","on track")</f>
        <v>yep</v>
      </c>
      <c r="Q3362" s="3">
        <f ca="1">IF(Proc[[#This Row],[DateClosed]]="",ABS(NETWORKDAYS(Proc[[#This Row],[DateOpened]],TODAY()))-1,ABS(NETWORKDAYS(Proc[[#This Row],[DateOpened]],Proc[[#This Row],[DateClosed]]))-1)</f>
        <v>98</v>
      </c>
      <c r="R3362" s="115" t="s">
        <v>1459</v>
      </c>
      <c r="S3362" s="125"/>
    </row>
    <row r="3363" spans="1:19" hidden="1">
      <c r="A3363" s="124" t="s">
        <v>5478</v>
      </c>
      <c r="B3363" s="149" t="str">
        <f>IFERROR(VLOOKUP(Proc[[#This Row],[App]],Table2[],3,0),"open")</f>
        <v>ok</v>
      </c>
      <c r="C3363" s="124" t="s">
        <v>369</v>
      </c>
      <c r="D3363" t="s">
        <v>5387</v>
      </c>
      <c r="E3363" t="s">
        <v>5471</v>
      </c>
      <c r="F3363" s="125" t="s">
        <v>5471</v>
      </c>
      <c r="G3363" s="124" t="s">
        <v>400</v>
      </c>
      <c r="H3363" s="125" t="str">
        <f>IF(Proc[[#This Row],[type]]="LFF (MDG-F)",MID(Proc[[#This Row],[Obj]],13,10),"")</f>
        <v/>
      </c>
      <c r="J3363" s="125" t="b">
        <f>Proc[[#This Row],[Requested]]=Proc[[#This Row],[CurrentParent]]</f>
        <v>1</v>
      </c>
      <c r="K3363" s="144" t="str">
        <f>IF(Proc[[#This Row],[Author]]="Marcela Urrego",VLOOKUP(LEFT(Proc[[#This Row],[Requested]],1),Table3[#All],2,0),VLOOKUP(Proc[[#This Row],[Author]],Table4[],2,0))</f>
        <v>MGF</v>
      </c>
      <c r="L3363" s="125" t="s">
        <v>4894</v>
      </c>
      <c r="M3363" s="113">
        <v>45874</v>
      </c>
      <c r="N3363" s="113"/>
      <c r="O3363" s="113"/>
      <c r="P3363" s="115" t="str">
        <f ca="1">IF(Proc[[#This Row],[DaysAgeing]]&gt;5,"yep","on track")</f>
        <v>yep</v>
      </c>
      <c r="Q3363" s="3">
        <f ca="1">IF(Proc[[#This Row],[DateClosed]]="",ABS(NETWORKDAYS(Proc[[#This Row],[DateOpened]],TODAY()))-1,ABS(NETWORKDAYS(Proc[[#This Row],[DateOpened]],Proc[[#This Row],[DateClosed]]))-1)</f>
        <v>98</v>
      </c>
      <c r="R3363" s="115" t="s">
        <v>1459</v>
      </c>
      <c r="S3363" s="125"/>
    </row>
    <row r="3364" spans="1:19" hidden="1">
      <c r="A3364" s="124" t="s">
        <v>5478</v>
      </c>
      <c r="B3364" s="149" t="str">
        <f>IFERROR(VLOOKUP(Proc[[#This Row],[App]],Table2[],3,0),"open")</f>
        <v>ok</v>
      </c>
      <c r="C3364" s="124" t="s">
        <v>369</v>
      </c>
      <c r="D3364" t="s">
        <v>5388</v>
      </c>
      <c r="E3364" t="s">
        <v>5472</v>
      </c>
      <c r="F3364" s="125" t="s">
        <v>5472</v>
      </c>
      <c r="G3364" s="124" t="s">
        <v>400</v>
      </c>
      <c r="H3364" s="125" t="str">
        <f>IF(Proc[[#This Row],[type]]="LFF (MDG-F)",MID(Proc[[#This Row],[Obj]],13,10),"")</f>
        <v/>
      </c>
      <c r="J3364" s="125" t="b">
        <f>Proc[[#This Row],[Requested]]=Proc[[#This Row],[CurrentParent]]</f>
        <v>1</v>
      </c>
      <c r="K3364" s="144" t="str">
        <f>IF(Proc[[#This Row],[Author]]="Marcela Urrego",VLOOKUP(LEFT(Proc[[#This Row],[Requested]],1),Table3[#All],2,0),VLOOKUP(Proc[[#This Row],[Author]],Table4[],2,0))</f>
        <v>MGF</v>
      </c>
      <c r="L3364" s="125" t="s">
        <v>4894</v>
      </c>
      <c r="M3364" s="113">
        <v>45874</v>
      </c>
      <c r="N3364" s="113"/>
      <c r="O3364" s="113"/>
      <c r="P3364" s="115" t="str">
        <f ca="1">IF(Proc[[#This Row],[DaysAgeing]]&gt;5,"yep","on track")</f>
        <v>yep</v>
      </c>
      <c r="Q3364" s="3">
        <f ca="1">IF(Proc[[#This Row],[DateClosed]]="",ABS(NETWORKDAYS(Proc[[#This Row],[DateOpened]],TODAY()))-1,ABS(NETWORKDAYS(Proc[[#This Row],[DateOpened]],Proc[[#This Row],[DateClosed]]))-1)</f>
        <v>98</v>
      </c>
      <c r="R3364" s="115" t="s">
        <v>1459</v>
      </c>
      <c r="S3364" s="125"/>
    </row>
    <row r="3365" spans="1:19" hidden="1">
      <c r="A3365" s="124" t="s">
        <v>5478</v>
      </c>
      <c r="B3365" s="149" t="str">
        <f>IFERROR(VLOOKUP(Proc[[#This Row],[App]],Table2[],3,0),"open")</f>
        <v>ok</v>
      </c>
      <c r="C3365" s="124" t="s">
        <v>369</v>
      </c>
      <c r="D3365" t="s">
        <v>5389</v>
      </c>
      <c r="E3365" t="s">
        <v>5453</v>
      </c>
      <c r="F3365" s="125" t="s">
        <v>5453</v>
      </c>
      <c r="G3365" s="124" t="s">
        <v>400</v>
      </c>
      <c r="H3365" s="125" t="str">
        <f>IF(Proc[[#This Row],[type]]="LFF (MDG-F)",MID(Proc[[#This Row],[Obj]],13,10),"")</f>
        <v/>
      </c>
      <c r="J3365" s="125" t="b">
        <f>Proc[[#This Row],[Requested]]=Proc[[#This Row],[CurrentParent]]</f>
        <v>1</v>
      </c>
      <c r="K3365" s="144" t="str">
        <f>IF(Proc[[#This Row],[Author]]="Marcela Urrego",VLOOKUP(LEFT(Proc[[#This Row],[Requested]],1),Table3[#All],2,0),VLOOKUP(Proc[[#This Row],[Author]],Table4[],2,0))</f>
        <v>MGF</v>
      </c>
      <c r="L3365" s="125" t="s">
        <v>4894</v>
      </c>
      <c r="M3365" s="113">
        <v>45874</v>
      </c>
      <c r="N3365" s="113"/>
      <c r="O3365" s="113"/>
      <c r="P3365" s="115" t="str">
        <f ca="1">IF(Proc[[#This Row],[DaysAgeing]]&gt;5,"yep","on track")</f>
        <v>yep</v>
      </c>
      <c r="Q3365" s="3">
        <f ca="1">IF(Proc[[#This Row],[DateClosed]]="",ABS(NETWORKDAYS(Proc[[#This Row],[DateOpened]],TODAY()))-1,ABS(NETWORKDAYS(Proc[[#This Row],[DateOpened]],Proc[[#This Row],[DateClosed]]))-1)</f>
        <v>98</v>
      </c>
      <c r="R3365" s="115" t="s">
        <v>1459</v>
      </c>
      <c r="S3365" s="125"/>
    </row>
    <row r="3366" spans="1:19" hidden="1">
      <c r="A3366" s="124" t="s">
        <v>5478</v>
      </c>
      <c r="B3366" s="149" t="str">
        <f>IFERROR(VLOOKUP(Proc[[#This Row],[App]],Table2[],3,0),"open")</f>
        <v>ok</v>
      </c>
      <c r="C3366" s="124" t="s">
        <v>369</v>
      </c>
      <c r="D3366" t="s">
        <v>5390</v>
      </c>
      <c r="E3366" t="s">
        <v>5446</v>
      </c>
      <c r="F3366" s="125" t="s">
        <v>5446</v>
      </c>
      <c r="G3366" s="124" t="s">
        <v>400</v>
      </c>
      <c r="H3366" s="125" t="str">
        <f>IF(Proc[[#This Row],[type]]="LFF (MDG-F)",MID(Proc[[#This Row],[Obj]],13,10),"")</f>
        <v/>
      </c>
      <c r="J3366" s="125" t="b">
        <f>Proc[[#This Row],[Requested]]=Proc[[#This Row],[CurrentParent]]</f>
        <v>1</v>
      </c>
      <c r="K3366" s="144" t="str">
        <f>IF(Proc[[#This Row],[Author]]="Marcela Urrego",VLOOKUP(LEFT(Proc[[#This Row],[Requested]],1),Table3[#All],2,0),VLOOKUP(Proc[[#This Row],[Author]],Table4[],2,0))</f>
        <v>MGF</v>
      </c>
      <c r="L3366" s="125" t="s">
        <v>4894</v>
      </c>
      <c r="M3366" s="113">
        <v>45874</v>
      </c>
      <c r="N3366" s="113"/>
      <c r="O3366" s="113"/>
      <c r="P3366" s="115" t="str">
        <f ca="1">IF(Proc[[#This Row],[DaysAgeing]]&gt;5,"yep","on track")</f>
        <v>yep</v>
      </c>
      <c r="Q3366" s="3">
        <f ca="1">IF(Proc[[#This Row],[DateClosed]]="",ABS(NETWORKDAYS(Proc[[#This Row],[DateOpened]],TODAY()))-1,ABS(NETWORKDAYS(Proc[[#This Row],[DateOpened]],Proc[[#This Row],[DateClosed]]))-1)</f>
        <v>98</v>
      </c>
      <c r="R3366" s="115" t="s">
        <v>1459</v>
      </c>
      <c r="S3366" s="125"/>
    </row>
    <row r="3367" spans="1:19" hidden="1">
      <c r="A3367" s="124" t="s">
        <v>5478</v>
      </c>
      <c r="B3367" s="149" t="str">
        <f>IFERROR(VLOOKUP(Proc[[#This Row],[App]],Table2[],3,0),"open")</f>
        <v>ok</v>
      </c>
      <c r="C3367" s="124" t="s">
        <v>369</v>
      </c>
      <c r="D3367" t="s">
        <v>5391</v>
      </c>
      <c r="E3367" t="s">
        <v>5455</v>
      </c>
      <c r="F3367" s="125" t="s">
        <v>5455</v>
      </c>
      <c r="G3367" s="124" t="s">
        <v>400</v>
      </c>
      <c r="H3367" s="125" t="str">
        <f>IF(Proc[[#This Row],[type]]="LFF (MDG-F)",MID(Proc[[#This Row],[Obj]],13,10),"")</f>
        <v/>
      </c>
      <c r="J3367" s="125" t="b">
        <f>Proc[[#This Row],[Requested]]=Proc[[#This Row],[CurrentParent]]</f>
        <v>1</v>
      </c>
      <c r="K3367" s="144" t="str">
        <f>IF(Proc[[#This Row],[Author]]="Marcela Urrego",VLOOKUP(LEFT(Proc[[#This Row],[Requested]],1),Table3[#All],2,0),VLOOKUP(Proc[[#This Row],[Author]],Table4[],2,0))</f>
        <v>MGF</v>
      </c>
      <c r="L3367" s="125" t="s">
        <v>4894</v>
      </c>
      <c r="M3367" s="113">
        <v>45874</v>
      </c>
      <c r="N3367" s="113"/>
      <c r="O3367" s="113"/>
      <c r="P3367" s="115" t="str">
        <f ca="1">IF(Proc[[#This Row],[DaysAgeing]]&gt;5,"yep","on track")</f>
        <v>yep</v>
      </c>
      <c r="Q3367" s="3">
        <f ca="1">IF(Proc[[#This Row],[DateClosed]]="",ABS(NETWORKDAYS(Proc[[#This Row],[DateOpened]],TODAY()))-1,ABS(NETWORKDAYS(Proc[[#This Row],[DateOpened]],Proc[[#This Row],[DateClosed]]))-1)</f>
        <v>98</v>
      </c>
      <c r="R3367" s="115" t="s">
        <v>1459</v>
      </c>
      <c r="S3367" s="125"/>
    </row>
    <row r="3368" spans="1:19" hidden="1">
      <c r="A3368" s="124" t="s">
        <v>5478</v>
      </c>
      <c r="B3368" s="149" t="str">
        <f>IFERROR(VLOOKUP(Proc[[#This Row],[App]],Table2[],3,0),"open")</f>
        <v>ok</v>
      </c>
      <c r="C3368" s="124" t="s">
        <v>369</v>
      </c>
      <c r="D3368" t="s">
        <v>5392</v>
      </c>
      <c r="E3368" t="s">
        <v>5453</v>
      </c>
      <c r="F3368" s="125" t="s">
        <v>5453</v>
      </c>
      <c r="G3368" s="124" t="s">
        <v>400</v>
      </c>
      <c r="H3368" s="125" t="str">
        <f>IF(Proc[[#This Row],[type]]="LFF (MDG-F)",MID(Proc[[#This Row],[Obj]],13,10),"")</f>
        <v/>
      </c>
      <c r="J3368" s="125" t="b">
        <f>Proc[[#This Row],[Requested]]=Proc[[#This Row],[CurrentParent]]</f>
        <v>1</v>
      </c>
      <c r="K3368" s="144" t="str">
        <f>IF(Proc[[#This Row],[Author]]="Marcela Urrego",VLOOKUP(LEFT(Proc[[#This Row],[Requested]],1),Table3[#All],2,0),VLOOKUP(Proc[[#This Row],[Author]],Table4[],2,0))</f>
        <v>MGF</v>
      </c>
      <c r="L3368" s="125" t="s">
        <v>4894</v>
      </c>
      <c r="M3368" s="113">
        <v>45874</v>
      </c>
      <c r="N3368" s="113"/>
      <c r="O3368" s="113"/>
      <c r="P3368" s="115" t="str">
        <f ca="1">IF(Proc[[#This Row],[DaysAgeing]]&gt;5,"yep","on track")</f>
        <v>yep</v>
      </c>
      <c r="Q3368" s="3">
        <f ca="1">IF(Proc[[#This Row],[DateClosed]]="",ABS(NETWORKDAYS(Proc[[#This Row],[DateOpened]],TODAY()))-1,ABS(NETWORKDAYS(Proc[[#This Row],[DateOpened]],Proc[[#This Row],[DateClosed]]))-1)</f>
        <v>98</v>
      </c>
      <c r="R3368" s="115" t="s">
        <v>1459</v>
      </c>
      <c r="S3368" s="125"/>
    </row>
    <row r="3369" spans="1:19" hidden="1">
      <c r="A3369" s="124" t="s">
        <v>5478</v>
      </c>
      <c r="B3369" s="149" t="str">
        <f>IFERROR(VLOOKUP(Proc[[#This Row],[App]],Table2[],3,0),"open")</f>
        <v>ok</v>
      </c>
      <c r="C3369" s="124" t="s">
        <v>369</v>
      </c>
      <c r="D3369" t="s">
        <v>5393</v>
      </c>
      <c r="E3369" t="s">
        <v>5445</v>
      </c>
      <c r="F3369" s="125" t="s">
        <v>5445</v>
      </c>
      <c r="G3369" s="124" t="s">
        <v>400</v>
      </c>
      <c r="H3369" s="125" t="str">
        <f>IF(Proc[[#This Row],[type]]="LFF (MDG-F)",MID(Proc[[#This Row],[Obj]],13,10),"")</f>
        <v/>
      </c>
      <c r="J3369" s="125" t="b">
        <f>Proc[[#This Row],[Requested]]=Proc[[#This Row],[CurrentParent]]</f>
        <v>1</v>
      </c>
      <c r="K3369" s="144" t="str">
        <f>IF(Proc[[#This Row],[Author]]="Marcela Urrego",VLOOKUP(LEFT(Proc[[#This Row],[Requested]],1),Table3[#All],2,0),VLOOKUP(Proc[[#This Row],[Author]],Table4[],2,0))</f>
        <v>MGF</v>
      </c>
      <c r="L3369" s="125" t="s">
        <v>4894</v>
      </c>
      <c r="M3369" s="113">
        <v>45874</v>
      </c>
      <c r="N3369" s="113"/>
      <c r="O3369" s="113"/>
      <c r="P3369" s="115" t="str">
        <f ca="1">IF(Proc[[#This Row],[DaysAgeing]]&gt;5,"yep","on track")</f>
        <v>yep</v>
      </c>
      <c r="Q3369" s="3">
        <f ca="1">IF(Proc[[#This Row],[DateClosed]]="",ABS(NETWORKDAYS(Proc[[#This Row],[DateOpened]],TODAY()))-1,ABS(NETWORKDAYS(Proc[[#This Row],[DateOpened]],Proc[[#This Row],[DateClosed]]))-1)</f>
        <v>98</v>
      </c>
      <c r="R3369" s="115" t="s">
        <v>1459</v>
      </c>
      <c r="S3369" s="125"/>
    </row>
    <row r="3370" spans="1:19" hidden="1">
      <c r="A3370" s="124" t="s">
        <v>5478</v>
      </c>
      <c r="B3370" s="149" t="str">
        <f>IFERROR(VLOOKUP(Proc[[#This Row],[App]],Table2[],3,0),"open")</f>
        <v>ok</v>
      </c>
      <c r="C3370" s="124" t="s">
        <v>369</v>
      </c>
      <c r="D3370" t="s">
        <v>5394</v>
      </c>
      <c r="E3370" t="s">
        <v>5452</v>
      </c>
      <c r="F3370" s="125" t="s">
        <v>5452</v>
      </c>
      <c r="G3370" s="124" t="s">
        <v>400</v>
      </c>
      <c r="H3370" s="125" t="str">
        <f>IF(Proc[[#This Row],[type]]="LFF (MDG-F)",MID(Proc[[#This Row],[Obj]],13,10),"")</f>
        <v/>
      </c>
      <c r="J3370" s="125" t="b">
        <f>Proc[[#This Row],[Requested]]=Proc[[#This Row],[CurrentParent]]</f>
        <v>1</v>
      </c>
      <c r="K3370" s="144" t="str">
        <f>IF(Proc[[#This Row],[Author]]="Marcela Urrego",VLOOKUP(LEFT(Proc[[#This Row],[Requested]],1),Table3[#All],2,0),VLOOKUP(Proc[[#This Row],[Author]],Table4[],2,0))</f>
        <v>MGF</v>
      </c>
      <c r="L3370" s="125" t="s">
        <v>4894</v>
      </c>
      <c r="M3370" s="113">
        <v>45874</v>
      </c>
      <c r="N3370" s="113"/>
      <c r="O3370" s="113"/>
      <c r="P3370" s="115" t="str">
        <f ca="1">IF(Proc[[#This Row],[DaysAgeing]]&gt;5,"yep","on track")</f>
        <v>yep</v>
      </c>
      <c r="Q3370" s="3">
        <f ca="1">IF(Proc[[#This Row],[DateClosed]]="",ABS(NETWORKDAYS(Proc[[#This Row],[DateOpened]],TODAY()))-1,ABS(NETWORKDAYS(Proc[[#This Row],[DateOpened]],Proc[[#This Row],[DateClosed]]))-1)</f>
        <v>98</v>
      </c>
      <c r="R3370" s="115" t="s">
        <v>1459</v>
      </c>
      <c r="S3370" s="125"/>
    </row>
    <row r="3371" spans="1:19" hidden="1">
      <c r="A3371" s="124" t="s">
        <v>5478</v>
      </c>
      <c r="B3371" s="149" t="str">
        <f>IFERROR(VLOOKUP(Proc[[#This Row],[App]],Table2[],3,0),"open")</f>
        <v>ok</v>
      </c>
      <c r="C3371" s="124" t="s">
        <v>369</v>
      </c>
      <c r="D3371" t="s">
        <v>5395</v>
      </c>
      <c r="E3371" t="s">
        <v>5446</v>
      </c>
      <c r="F3371" s="125" t="s">
        <v>5446</v>
      </c>
      <c r="G3371" s="124" t="s">
        <v>400</v>
      </c>
      <c r="H3371" s="125" t="str">
        <f>IF(Proc[[#This Row],[type]]="LFF (MDG-F)",MID(Proc[[#This Row],[Obj]],13,10),"")</f>
        <v/>
      </c>
      <c r="J3371" s="125" t="b">
        <f>Proc[[#This Row],[Requested]]=Proc[[#This Row],[CurrentParent]]</f>
        <v>1</v>
      </c>
      <c r="K3371" s="144" t="str">
        <f>IF(Proc[[#This Row],[Author]]="Marcela Urrego",VLOOKUP(LEFT(Proc[[#This Row],[Requested]],1),Table3[#All],2,0),VLOOKUP(Proc[[#This Row],[Author]],Table4[],2,0))</f>
        <v>MGF</v>
      </c>
      <c r="L3371" s="125" t="s">
        <v>4894</v>
      </c>
      <c r="M3371" s="113">
        <v>45874</v>
      </c>
      <c r="N3371" s="113"/>
      <c r="O3371" s="113"/>
      <c r="P3371" s="115" t="str">
        <f ca="1">IF(Proc[[#This Row],[DaysAgeing]]&gt;5,"yep","on track")</f>
        <v>yep</v>
      </c>
      <c r="Q3371" s="3">
        <f ca="1">IF(Proc[[#This Row],[DateClosed]]="",ABS(NETWORKDAYS(Proc[[#This Row],[DateOpened]],TODAY()))-1,ABS(NETWORKDAYS(Proc[[#This Row],[DateOpened]],Proc[[#This Row],[DateClosed]]))-1)</f>
        <v>98</v>
      </c>
      <c r="R3371" s="115" t="s">
        <v>1459</v>
      </c>
      <c r="S3371" s="125"/>
    </row>
    <row r="3372" spans="1:19" hidden="1">
      <c r="A3372" s="124" t="s">
        <v>5478</v>
      </c>
      <c r="B3372" s="149" t="str">
        <f>IFERROR(VLOOKUP(Proc[[#This Row],[App]],Table2[],3,0),"open")</f>
        <v>ok</v>
      </c>
      <c r="C3372" s="124" t="s">
        <v>369</v>
      </c>
      <c r="D3372" t="s">
        <v>5396</v>
      </c>
      <c r="E3372" t="s">
        <v>5445</v>
      </c>
      <c r="F3372" s="125" t="s">
        <v>5445</v>
      </c>
      <c r="G3372" s="124" t="s">
        <v>400</v>
      </c>
      <c r="H3372" s="125" t="str">
        <f>IF(Proc[[#This Row],[type]]="LFF (MDG-F)",MID(Proc[[#This Row],[Obj]],13,10),"")</f>
        <v/>
      </c>
      <c r="J3372" s="125" t="b">
        <f>Proc[[#This Row],[Requested]]=Proc[[#This Row],[CurrentParent]]</f>
        <v>1</v>
      </c>
      <c r="K3372" s="144" t="str">
        <f>IF(Proc[[#This Row],[Author]]="Marcela Urrego",VLOOKUP(LEFT(Proc[[#This Row],[Requested]],1),Table3[#All],2,0),VLOOKUP(Proc[[#This Row],[Author]],Table4[],2,0))</f>
        <v>MGF</v>
      </c>
      <c r="L3372" s="125" t="s">
        <v>4894</v>
      </c>
      <c r="M3372" s="113">
        <v>45874</v>
      </c>
      <c r="N3372" s="113"/>
      <c r="O3372" s="113"/>
      <c r="P3372" s="115" t="str">
        <f ca="1">IF(Proc[[#This Row],[DaysAgeing]]&gt;5,"yep","on track")</f>
        <v>yep</v>
      </c>
      <c r="Q3372" s="3">
        <f ca="1">IF(Proc[[#This Row],[DateClosed]]="",ABS(NETWORKDAYS(Proc[[#This Row],[DateOpened]],TODAY()))-1,ABS(NETWORKDAYS(Proc[[#This Row],[DateOpened]],Proc[[#This Row],[DateClosed]]))-1)</f>
        <v>98</v>
      </c>
      <c r="R3372" s="115" t="s">
        <v>1459</v>
      </c>
      <c r="S3372" s="125"/>
    </row>
    <row r="3373" spans="1:19" hidden="1">
      <c r="A3373" s="124" t="s">
        <v>5478</v>
      </c>
      <c r="B3373" s="149" t="str">
        <f>IFERROR(VLOOKUP(Proc[[#This Row],[App]],Table2[],3,0),"open")</f>
        <v>ok</v>
      </c>
      <c r="C3373" s="124" t="s">
        <v>369</v>
      </c>
      <c r="D3373" t="s">
        <v>5397</v>
      </c>
      <c r="E3373" t="s">
        <v>5445</v>
      </c>
      <c r="F3373" s="125" t="s">
        <v>5445</v>
      </c>
      <c r="G3373" s="124" t="s">
        <v>400</v>
      </c>
      <c r="H3373" s="125" t="str">
        <f>IF(Proc[[#This Row],[type]]="LFF (MDG-F)",MID(Proc[[#This Row],[Obj]],13,10),"")</f>
        <v/>
      </c>
      <c r="J3373" s="125" t="b">
        <f>Proc[[#This Row],[Requested]]=Proc[[#This Row],[CurrentParent]]</f>
        <v>1</v>
      </c>
      <c r="K3373" s="144" t="str">
        <f>IF(Proc[[#This Row],[Author]]="Marcela Urrego",VLOOKUP(LEFT(Proc[[#This Row],[Requested]],1),Table3[#All],2,0),VLOOKUP(Proc[[#This Row],[Author]],Table4[],2,0))</f>
        <v>MGF</v>
      </c>
      <c r="L3373" s="125" t="s">
        <v>4894</v>
      </c>
      <c r="M3373" s="113">
        <v>45874</v>
      </c>
      <c r="N3373" s="113"/>
      <c r="O3373" s="113"/>
      <c r="P3373" s="115" t="str">
        <f ca="1">IF(Proc[[#This Row],[DaysAgeing]]&gt;5,"yep","on track")</f>
        <v>yep</v>
      </c>
      <c r="Q3373" s="3">
        <f ca="1">IF(Proc[[#This Row],[DateClosed]]="",ABS(NETWORKDAYS(Proc[[#This Row],[DateOpened]],TODAY()))-1,ABS(NETWORKDAYS(Proc[[#This Row],[DateOpened]],Proc[[#This Row],[DateClosed]]))-1)</f>
        <v>98</v>
      </c>
      <c r="R3373" s="115" t="s">
        <v>1459</v>
      </c>
      <c r="S3373" s="125"/>
    </row>
    <row r="3374" spans="1:19" hidden="1">
      <c r="A3374" s="124" t="s">
        <v>5478</v>
      </c>
      <c r="B3374" s="149" t="str">
        <f>IFERROR(VLOOKUP(Proc[[#This Row],[App]],Table2[],3,0),"open")</f>
        <v>ok</v>
      </c>
      <c r="C3374" s="124" t="s">
        <v>369</v>
      </c>
      <c r="D3374" t="s">
        <v>5398</v>
      </c>
      <c r="E3374" t="s">
        <v>5448</v>
      </c>
      <c r="F3374" s="125" t="s">
        <v>5448</v>
      </c>
      <c r="G3374" s="124" t="s">
        <v>400</v>
      </c>
      <c r="H3374" s="125" t="str">
        <f>IF(Proc[[#This Row],[type]]="LFF (MDG-F)",MID(Proc[[#This Row],[Obj]],13,10),"")</f>
        <v/>
      </c>
      <c r="J3374" s="125" t="b">
        <f>Proc[[#This Row],[Requested]]=Proc[[#This Row],[CurrentParent]]</f>
        <v>1</v>
      </c>
      <c r="K3374" s="144" t="str">
        <f>IF(Proc[[#This Row],[Author]]="Marcela Urrego",VLOOKUP(LEFT(Proc[[#This Row],[Requested]],1),Table3[#All],2,0),VLOOKUP(Proc[[#This Row],[Author]],Table4[],2,0))</f>
        <v>MGF</v>
      </c>
      <c r="L3374" s="125" t="s">
        <v>4894</v>
      </c>
      <c r="M3374" s="113">
        <v>45874</v>
      </c>
      <c r="N3374" s="113"/>
      <c r="O3374" s="113"/>
      <c r="P3374" s="115" t="str">
        <f ca="1">IF(Proc[[#This Row],[DaysAgeing]]&gt;5,"yep","on track")</f>
        <v>yep</v>
      </c>
      <c r="Q3374" s="3">
        <f ca="1">IF(Proc[[#This Row],[DateClosed]]="",ABS(NETWORKDAYS(Proc[[#This Row],[DateOpened]],TODAY()))-1,ABS(NETWORKDAYS(Proc[[#This Row],[DateOpened]],Proc[[#This Row],[DateClosed]]))-1)</f>
        <v>98</v>
      </c>
      <c r="R3374" s="115" t="s">
        <v>1459</v>
      </c>
      <c r="S3374" s="125"/>
    </row>
    <row r="3375" spans="1:19" hidden="1">
      <c r="A3375" s="124" t="s">
        <v>5478</v>
      </c>
      <c r="B3375" s="149" t="str">
        <f>IFERROR(VLOOKUP(Proc[[#This Row],[App]],Table2[],3,0),"open")</f>
        <v>ok</v>
      </c>
      <c r="C3375" s="124" t="s">
        <v>369</v>
      </c>
      <c r="D3375" t="s">
        <v>5399</v>
      </c>
      <c r="E3375" t="s">
        <v>5448</v>
      </c>
      <c r="F3375" s="125" t="s">
        <v>5448</v>
      </c>
      <c r="G3375" s="124" t="s">
        <v>400</v>
      </c>
      <c r="H3375" s="125" t="str">
        <f>IF(Proc[[#This Row],[type]]="LFF (MDG-F)",MID(Proc[[#This Row],[Obj]],13,10),"")</f>
        <v/>
      </c>
      <c r="J3375" s="125" t="b">
        <f>Proc[[#This Row],[Requested]]=Proc[[#This Row],[CurrentParent]]</f>
        <v>1</v>
      </c>
      <c r="K3375" s="144" t="str">
        <f>IF(Proc[[#This Row],[Author]]="Marcela Urrego",VLOOKUP(LEFT(Proc[[#This Row],[Requested]],1),Table3[#All],2,0),VLOOKUP(Proc[[#This Row],[Author]],Table4[],2,0))</f>
        <v>MGF</v>
      </c>
      <c r="L3375" s="125" t="s">
        <v>4894</v>
      </c>
      <c r="M3375" s="113">
        <v>45874</v>
      </c>
      <c r="N3375" s="113"/>
      <c r="O3375" s="113"/>
      <c r="P3375" s="115" t="str">
        <f ca="1">IF(Proc[[#This Row],[DaysAgeing]]&gt;5,"yep","on track")</f>
        <v>yep</v>
      </c>
      <c r="Q3375" s="3">
        <f ca="1">IF(Proc[[#This Row],[DateClosed]]="",ABS(NETWORKDAYS(Proc[[#This Row],[DateOpened]],TODAY()))-1,ABS(NETWORKDAYS(Proc[[#This Row],[DateOpened]],Proc[[#This Row],[DateClosed]]))-1)</f>
        <v>98</v>
      </c>
      <c r="R3375" s="115" t="s">
        <v>1459</v>
      </c>
      <c r="S3375" s="125"/>
    </row>
    <row r="3376" spans="1:19" hidden="1">
      <c r="A3376" s="124" t="s">
        <v>5478</v>
      </c>
      <c r="B3376" s="149" t="str">
        <f>IFERROR(VLOOKUP(Proc[[#This Row],[App]],Table2[],3,0),"open")</f>
        <v>ok</v>
      </c>
      <c r="C3376" s="124" t="s">
        <v>369</v>
      </c>
      <c r="D3376" t="s">
        <v>5400</v>
      </c>
      <c r="E3376" t="s">
        <v>5456</v>
      </c>
      <c r="F3376" s="125" t="s">
        <v>5456</v>
      </c>
      <c r="G3376" s="124" t="s">
        <v>406</v>
      </c>
      <c r="H3376" s="125" t="str">
        <f>IF(Proc[[#This Row],[type]]="LFF (MDG-F)",MID(Proc[[#This Row],[Obj]],13,10),"")</f>
        <v>2123TQJZ94</v>
      </c>
      <c r="J3376" s="125" t="b">
        <f>Proc[[#This Row],[Requested]]=Proc[[#This Row],[CurrentParent]]</f>
        <v>1</v>
      </c>
      <c r="K3376" s="144" t="str">
        <f>IF(Proc[[#This Row],[Author]]="Marcela Urrego",VLOOKUP(LEFT(Proc[[#This Row],[Requested]],1),Table3[#All],2,0),VLOOKUP(Proc[[#This Row],[Author]],Table4[],2,0))</f>
        <v>MGF</v>
      </c>
      <c r="L3376" s="125" t="s">
        <v>4894</v>
      </c>
      <c r="M3376" s="113">
        <v>45874</v>
      </c>
      <c r="N3376" s="113"/>
      <c r="O3376" s="113"/>
      <c r="P3376" s="115" t="str">
        <f ca="1">IF(Proc[[#This Row],[DaysAgeing]]&gt;5,"yep","on track")</f>
        <v>yep</v>
      </c>
      <c r="Q3376" s="3">
        <f ca="1">IF(Proc[[#This Row],[DateClosed]]="",ABS(NETWORKDAYS(Proc[[#This Row],[DateOpened]],TODAY()))-1,ABS(NETWORKDAYS(Proc[[#This Row],[DateOpened]],Proc[[#This Row],[DateClosed]]))-1)</f>
        <v>98</v>
      </c>
      <c r="R3376" s="115" t="s">
        <v>1459</v>
      </c>
      <c r="S3376" s="125"/>
    </row>
    <row r="3377" spans="1:19" hidden="1">
      <c r="A3377" s="124" t="s">
        <v>5478</v>
      </c>
      <c r="B3377" s="149" t="str">
        <f>IFERROR(VLOOKUP(Proc[[#This Row],[App]],Table2[],3,0),"open")</f>
        <v>ok</v>
      </c>
      <c r="C3377" s="124" t="s">
        <v>369</v>
      </c>
      <c r="D3377" t="s">
        <v>5401</v>
      </c>
      <c r="E3377" t="s">
        <v>5464</v>
      </c>
      <c r="F3377" s="125" t="s">
        <v>5464</v>
      </c>
      <c r="G3377" s="124" t="s">
        <v>406</v>
      </c>
      <c r="H3377" s="125" t="str">
        <f>IF(Proc[[#This Row],[type]]="LFF (MDG-F)",MID(Proc[[#This Row],[Obj]],13,10),"")</f>
        <v>2123GIT126</v>
      </c>
      <c r="J3377" s="125" t="b">
        <f>Proc[[#This Row],[Requested]]=Proc[[#This Row],[CurrentParent]]</f>
        <v>1</v>
      </c>
      <c r="K3377" s="144" t="str">
        <f>IF(Proc[[#This Row],[Author]]="Marcela Urrego",VLOOKUP(LEFT(Proc[[#This Row],[Requested]],1),Table3[#All],2,0),VLOOKUP(Proc[[#This Row],[Author]],Table4[],2,0))</f>
        <v>MGF</v>
      </c>
      <c r="L3377" s="125" t="s">
        <v>4894</v>
      </c>
      <c r="M3377" s="113">
        <v>45874</v>
      </c>
      <c r="N3377" s="113"/>
      <c r="O3377" s="113"/>
      <c r="P3377" s="115" t="str">
        <f ca="1">IF(Proc[[#This Row],[DaysAgeing]]&gt;5,"yep","on track")</f>
        <v>yep</v>
      </c>
      <c r="Q3377" s="3">
        <f ca="1">IF(Proc[[#This Row],[DateClosed]]="",ABS(NETWORKDAYS(Proc[[#This Row],[DateOpened]],TODAY()))-1,ABS(NETWORKDAYS(Proc[[#This Row],[DateOpened]],Proc[[#This Row],[DateClosed]]))-1)</f>
        <v>98</v>
      </c>
      <c r="R3377" s="115" t="s">
        <v>1459</v>
      </c>
      <c r="S3377" s="125"/>
    </row>
    <row r="3378" spans="1:19" hidden="1">
      <c r="A3378" s="124" t="s">
        <v>5478</v>
      </c>
      <c r="B3378" s="149" t="str">
        <f>IFERROR(VLOOKUP(Proc[[#This Row],[App]],Table2[],3,0),"open")</f>
        <v>ok</v>
      </c>
      <c r="C3378" s="124" t="s">
        <v>369</v>
      </c>
      <c r="D3378" t="s">
        <v>5402</v>
      </c>
      <c r="E3378" t="s">
        <v>5456</v>
      </c>
      <c r="F3378" s="125" t="s">
        <v>5456</v>
      </c>
      <c r="G3378" s="124" t="s">
        <v>406</v>
      </c>
      <c r="H3378" s="125" t="str">
        <f>IF(Proc[[#This Row],[type]]="LFF (MDG-F)",MID(Proc[[#This Row],[Obj]],13,10),"")</f>
        <v>2123GMI020</v>
      </c>
      <c r="J3378" s="125" t="b">
        <f>Proc[[#This Row],[Requested]]=Proc[[#This Row],[CurrentParent]]</f>
        <v>1</v>
      </c>
      <c r="K3378" s="144" t="str">
        <f>IF(Proc[[#This Row],[Author]]="Marcela Urrego",VLOOKUP(LEFT(Proc[[#This Row],[Requested]],1),Table3[#All],2,0),VLOOKUP(Proc[[#This Row],[Author]],Table4[],2,0))</f>
        <v>MGF</v>
      </c>
      <c r="L3378" s="125" t="s">
        <v>4894</v>
      </c>
      <c r="M3378" s="113">
        <v>45874</v>
      </c>
      <c r="N3378" s="113"/>
      <c r="O3378" s="113"/>
      <c r="P3378" s="115" t="str">
        <f ca="1">IF(Proc[[#This Row],[DaysAgeing]]&gt;5,"yep","on track")</f>
        <v>yep</v>
      </c>
      <c r="Q3378" s="3">
        <f ca="1">IF(Proc[[#This Row],[DateClosed]]="",ABS(NETWORKDAYS(Proc[[#This Row],[DateOpened]],TODAY()))-1,ABS(NETWORKDAYS(Proc[[#This Row],[DateOpened]],Proc[[#This Row],[DateClosed]]))-1)</f>
        <v>98</v>
      </c>
      <c r="R3378" s="115" t="s">
        <v>1459</v>
      </c>
      <c r="S3378" s="125"/>
    </row>
    <row r="3379" spans="1:19" hidden="1">
      <c r="A3379" s="124" t="s">
        <v>5478</v>
      </c>
      <c r="B3379" s="149" t="str">
        <f>IFERROR(VLOOKUP(Proc[[#This Row],[App]],Table2[],3,0),"open")</f>
        <v>ok</v>
      </c>
      <c r="C3379" s="124" t="s">
        <v>369</v>
      </c>
      <c r="D3379" t="s">
        <v>4828</v>
      </c>
      <c r="E3379" t="s">
        <v>5473</v>
      </c>
      <c r="F3379" s="125" t="s">
        <v>5473</v>
      </c>
      <c r="G3379" s="124" t="s">
        <v>406</v>
      </c>
      <c r="H3379" s="125" t="str">
        <f>IF(Proc[[#This Row],[type]]="LFF (MDG-F)",MID(Proc[[#This Row],[Obj]],13,10),"")</f>
        <v>2123OF0033</v>
      </c>
      <c r="J3379" s="125" t="b">
        <f>Proc[[#This Row],[Requested]]=Proc[[#This Row],[CurrentParent]]</f>
        <v>1</v>
      </c>
      <c r="K3379" s="144" t="str">
        <f>IF(Proc[[#This Row],[Author]]="Marcela Urrego",VLOOKUP(LEFT(Proc[[#This Row],[Requested]],1),Table3[#All],2,0),VLOOKUP(Proc[[#This Row],[Author]],Table4[],2,0))</f>
        <v>MGF</v>
      </c>
      <c r="L3379" s="125" t="s">
        <v>4894</v>
      </c>
      <c r="M3379" s="113">
        <v>45874</v>
      </c>
      <c r="N3379" s="113"/>
      <c r="O3379" s="113"/>
      <c r="P3379" s="115" t="str">
        <f ca="1">IF(Proc[[#This Row],[DaysAgeing]]&gt;5,"yep","on track")</f>
        <v>yep</v>
      </c>
      <c r="Q3379" s="3">
        <f ca="1">IF(Proc[[#This Row],[DateClosed]]="",ABS(NETWORKDAYS(Proc[[#This Row],[DateOpened]],TODAY()))-1,ABS(NETWORKDAYS(Proc[[#This Row],[DateOpened]],Proc[[#This Row],[DateClosed]]))-1)</f>
        <v>98</v>
      </c>
      <c r="R3379" s="115" t="s">
        <v>1459</v>
      </c>
      <c r="S3379" s="125"/>
    </row>
    <row r="3380" spans="1:19" hidden="1">
      <c r="A3380" s="124" t="s">
        <v>5478</v>
      </c>
      <c r="B3380" s="149" t="str">
        <f>IFERROR(VLOOKUP(Proc[[#This Row],[App]],Table2[],3,0),"open")</f>
        <v>ok</v>
      </c>
      <c r="C3380" s="124" t="s">
        <v>369</v>
      </c>
      <c r="D3380" t="s">
        <v>5403</v>
      </c>
      <c r="E3380" t="s">
        <v>5473</v>
      </c>
      <c r="F3380" s="125" t="s">
        <v>5473</v>
      </c>
      <c r="G3380" s="124" t="s">
        <v>406</v>
      </c>
      <c r="H3380" s="125" t="str">
        <f>IF(Proc[[#This Row],[type]]="LFF (MDG-F)",MID(Proc[[#This Row],[Obj]],13,10),"")</f>
        <v>2123OF0027</v>
      </c>
      <c r="J3380" s="125" t="b">
        <f>Proc[[#This Row],[Requested]]=Proc[[#This Row],[CurrentParent]]</f>
        <v>1</v>
      </c>
      <c r="K3380" s="144" t="str">
        <f>IF(Proc[[#This Row],[Author]]="Marcela Urrego",VLOOKUP(LEFT(Proc[[#This Row],[Requested]],1),Table3[#All],2,0),VLOOKUP(Proc[[#This Row],[Author]],Table4[],2,0))</f>
        <v>MGF</v>
      </c>
      <c r="L3380" s="125" t="s">
        <v>4894</v>
      </c>
      <c r="M3380" s="113">
        <v>45874</v>
      </c>
      <c r="N3380" s="113"/>
      <c r="O3380" s="113"/>
      <c r="P3380" s="115" t="str">
        <f ca="1">IF(Proc[[#This Row],[DaysAgeing]]&gt;5,"yep","on track")</f>
        <v>yep</v>
      </c>
      <c r="Q3380" s="3">
        <f ca="1">IF(Proc[[#This Row],[DateClosed]]="",ABS(NETWORKDAYS(Proc[[#This Row],[DateOpened]],TODAY()))-1,ABS(NETWORKDAYS(Proc[[#This Row],[DateOpened]],Proc[[#This Row],[DateClosed]]))-1)</f>
        <v>98</v>
      </c>
      <c r="R3380" s="115" t="s">
        <v>1459</v>
      </c>
      <c r="S3380" s="125"/>
    </row>
    <row r="3381" spans="1:19" hidden="1">
      <c r="A3381" s="124" t="s">
        <v>5478</v>
      </c>
      <c r="B3381" s="149" t="str">
        <f>IFERROR(VLOOKUP(Proc[[#This Row],[App]],Table2[],3,0),"open")</f>
        <v>ok</v>
      </c>
      <c r="C3381" s="124" t="s">
        <v>369</v>
      </c>
      <c r="D3381" t="s">
        <v>5404</v>
      </c>
      <c r="E3381" t="s">
        <v>5449</v>
      </c>
      <c r="F3381" s="125" t="s">
        <v>5449</v>
      </c>
      <c r="G3381" s="124" t="s">
        <v>406</v>
      </c>
      <c r="H3381" s="125" t="str">
        <f>IF(Proc[[#This Row],[type]]="LFF (MDG-F)",MID(Proc[[#This Row],[Obj]],13,10),"")</f>
        <v>2123GMS040</v>
      </c>
      <c r="J3381" s="125" t="b">
        <f>Proc[[#This Row],[Requested]]=Proc[[#This Row],[CurrentParent]]</f>
        <v>1</v>
      </c>
      <c r="K3381" s="144" t="str">
        <f>IF(Proc[[#This Row],[Author]]="Marcela Urrego",VLOOKUP(LEFT(Proc[[#This Row],[Requested]],1),Table3[#All],2,0),VLOOKUP(Proc[[#This Row],[Author]],Table4[],2,0))</f>
        <v>MGF</v>
      </c>
      <c r="L3381" s="125" t="s">
        <v>4894</v>
      </c>
      <c r="M3381" s="113">
        <v>45874</v>
      </c>
      <c r="N3381" s="113"/>
      <c r="O3381" s="113"/>
      <c r="P3381" s="115" t="str">
        <f ca="1">IF(Proc[[#This Row],[DaysAgeing]]&gt;5,"yep","on track")</f>
        <v>yep</v>
      </c>
      <c r="Q3381" s="3">
        <f ca="1">IF(Proc[[#This Row],[DateClosed]]="",ABS(NETWORKDAYS(Proc[[#This Row],[DateOpened]],TODAY()))-1,ABS(NETWORKDAYS(Proc[[#This Row],[DateOpened]],Proc[[#This Row],[DateClosed]]))-1)</f>
        <v>98</v>
      </c>
      <c r="R3381" s="115" t="s">
        <v>1459</v>
      </c>
      <c r="S3381" s="125"/>
    </row>
    <row r="3382" spans="1:19" hidden="1">
      <c r="A3382" s="124" t="s">
        <v>5478</v>
      </c>
      <c r="B3382" s="149" t="str">
        <f>IFERROR(VLOOKUP(Proc[[#This Row],[App]],Table2[],3,0),"open")</f>
        <v>ok</v>
      </c>
      <c r="C3382" s="124" t="s">
        <v>369</v>
      </c>
      <c r="D3382" t="s">
        <v>5405</v>
      </c>
      <c r="E3382" t="s">
        <v>5457</v>
      </c>
      <c r="F3382" s="125" t="s">
        <v>5457</v>
      </c>
      <c r="G3382" s="124" t="s">
        <v>406</v>
      </c>
      <c r="H3382" s="125" t="str">
        <f>IF(Proc[[#This Row],[type]]="LFF (MDG-F)",MID(Proc[[#This Row],[Obj]],13,10),"")</f>
        <v>2123GMS030</v>
      </c>
      <c r="J3382" s="125" t="b">
        <f>Proc[[#This Row],[Requested]]=Proc[[#This Row],[CurrentParent]]</f>
        <v>1</v>
      </c>
      <c r="K3382" s="144" t="str">
        <f>IF(Proc[[#This Row],[Author]]="Marcela Urrego",VLOOKUP(LEFT(Proc[[#This Row],[Requested]],1),Table3[#All],2,0),VLOOKUP(Proc[[#This Row],[Author]],Table4[],2,0))</f>
        <v>MGF</v>
      </c>
      <c r="L3382" s="125" t="s">
        <v>4894</v>
      </c>
      <c r="M3382" s="113">
        <v>45874</v>
      </c>
      <c r="N3382" s="113"/>
      <c r="O3382" s="113"/>
      <c r="P3382" s="115" t="str">
        <f ca="1">IF(Proc[[#This Row],[DaysAgeing]]&gt;5,"yep","on track")</f>
        <v>yep</v>
      </c>
      <c r="Q3382" s="3">
        <f ca="1">IF(Proc[[#This Row],[DateClosed]]="",ABS(NETWORKDAYS(Proc[[#This Row],[DateOpened]],TODAY()))-1,ABS(NETWORKDAYS(Proc[[#This Row],[DateOpened]],Proc[[#This Row],[DateClosed]]))-1)</f>
        <v>98</v>
      </c>
      <c r="R3382" s="115" t="s">
        <v>1459</v>
      </c>
      <c r="S3382" s="125"/>
    </row>
    <row r="3383" spans="1:19" hidden="1">
      <c r="A3383" s="124" t="s">
        <v>5478</v>
      </c>
      <c r="B3383" s="149" t="str">
        <f>IFERROR(VLOOKUP(Proc[[#This Row],[App]],Table2[],3,0),"open")</f>
        <v>ok</v>
      </c>
      <c r="C3383" s="124" t="s">
        <v>369</v>
      </c>
      <c r="D3383" t="s">
        <v>5406</v>
      </c>
      <c r="E3383" t="s">
        <v>5473</v>
      </c>
      <c r="F3383" s="125" t="s">
        <v>5473</v>
      </c>
      <c r="G3383" s="124" t="s">
        <v>406</v>
      </c>
      <c r="H3383" s="125" t="str">
        <f>IF(Proc[[#This Row],[type]]="LFF (MDG-F)",MID(Proc[[#This Row],[Obj]],13,10),"")</f>
        <v>2123C00009</v>
      </c>
      <c r="J3383" s="125" t="b">
        <f>Proc[[#This Row],[Requested]]=Proc[[#This Row],[CurrentParent]]</f>
        <v>1</v>
      </c>
      <c r="K3383" s="144" t="str">
        <f>IF(Proc[[#This Row],[Author]]="Marcela Urrego",VLOOKUP(LEFT(Proc[[#This Row],[Requested]],1),Table3[#All],2,0),VLOOKUP(Proc[[#This Row],[Author]],Table4[],2,0))</f>
        <v>MGF</v>
      </c>
      <c r="L3383" s="125" t="s">
        <v>4894</v>
      </c>
      <c r="M3383" s="113">
        <v>45874</v>
      </c>
      <c r="N3383" s="113"/>
      <c r="O3383" s="113"/>
      <c r="P3383" s="115" t="str">
        <f ca="1">IF(Proc[[#This Row],[DaysAgeing]]&gt;5,"yep","on track")</f>
        <v>yep</v>
      </c>
      <c r="Q3383" s="3">
        <f ca="1">IF(Proc[[#This Row],[DateClosed]]="",ABS(NETWORKDAYS(Proc[[#This Row],[DateOpened]],TODAY()))-1,ABS(NETWORKDAYS(Proc[[#This Row],[DateOpened]],Proc[[#This Row],[DateClosed]]))-1)</f>
        <v>98</v>
      </c>
      <c r="R3383" s="115" t="s">
        <v>1459</v>
      </c>
      <c r="S3383" s="125"/>
    </row>
    <row r="3384" spans="1:19" hidden="1">
      <c r="A3384" s="124" t="s">
        <v>5478</v>
      </c>
      <c r="B3384" s="149" t="str">
        <f>IFERROR(VLOOKUP(Proc[[#This Row],[App]],Table2[],3,0),"open")</f>
        <v>ok</v>
      </c>
      <c r="C3384" s="124" t="s">
        <v>369</v>
      </c>
      <c r="D3384" t="s">
        <v>5407</v>
      </c>
      <c r="E3384" t="s">
        <v>5455</v>
      </c>
      <c r="F3384" s="125" t="s">
        <v>5455</v>
      </c>
      <c r="G3384" s="124" t="s">
        <v>406</v>
      </c>
      <c r="H3384" s="125" t="str">
        <f>IF(Proc[[#This Row],[type]]="LFF (MDG-F)",MID(Proc[[#This Row],[Obj]],13,10),"")</f>
        <v>2123GIT127</v>
      </c>
      <c r="J3384" s="125" t="b">
        <f>Proc[[#This Row],[Requested]]=Proc[[#This Row],[CurrentParent]]</f>
        <v>1</v>
      </c>
      <c r="K3384" s="144" t="str">
        <f>IF(Proc[[#This Row],[Author]]="Marcela Urrego",VLOOKUP(LEFT(Proc[[#This Row],[Requested]],1),Table3[#All],2,0),VLOOKUP(Proc[[#This Row],[Author]],Table4[],2,0))</f>
        <v>MGF</v>
      </c>
      <c r="L3384" s="125" t="s">
        <v>4894</v>
      </c>
      <c r="M3384" s="113">
        <v>45874</v>
      </c>
      <c r="N3384" s="113"/>
      <c r="O3384" s="113"/>
      <c r="P3384" s="115" t="str">
        <f ca="1">IF(Proc[[#This Row],[DaysAgeing]]&gt;5,"yep","on track")</f>
        <v>yep</v>
      </c>
      <c r="Q3384" s="3">
        <f ca="1">IF(Proc[[#This Row],[DateClosed]]="",ABS(NETWORKDAYS(Proc[[#This Row],[DateOpened]],TODAY()))-1,ABS(NETWORKDAYS(Proc[[#This Row],[DateOpened]],Proc[[#This Row],[DateClosed]]))-1)</f>
        <v>98</v>
      </c>
      <c r="R3384" s="115" t="s">
        <v>1459</v>
      </c>
      <c r="S3384" s="125"/>
    </row>
    <row r="3385" spans="1:19" hidden="1">
      <c r="A3385" s="124" t="s">
        <v>5478</v>
      </c>
      <c r="B3385" s="149" t="str">
        <f>IFERROR(VLOOKUP(Proc[[#This Row],[App]],Table2[],3,0),"open")</f>
        <v>ok</v>
      </c>
      <c r="C3385" s="124" t="s">
        <v>369</v>
      </c>
      <c r="D3385" t="s">
        <v>5408</v>
      </c>
      <c r="E3385" t="s">
        <v>5450</v>
      </c>
      <c r="F3385" s="125" t="s">
        <v>5450</v>
      </c>
      <c r="G3385" s="124" t="s">
        <v>406</v>
      </c>
      <c r="H3385" s="125" t="str">
        <f>IF(Proc[[#This Row],[type]]="LFF (MDG-F)",MID(Proc[[#This Row],[Obj]],13,10),"")</f>
        <v>2123GMB010</v>
      </c>
      <c r="J3385" s="125" t="b">
        <f>Proc[[#This Row],[Requested]]=Proc[[#This Row],[CurrentParent]]</f>
        <v>1</v>
      </c>
      <c r="K3385" s="144" t="str">
        <f>IF(Proc[[#This Row],[Author]]="Marcela Urrego",VLOOKUP(LEFT(Proc[[#This Row],[Requested]],1),Table3[#All],2,0),VLOOKUP(Proc[[#This Row],[Author]],Table4[],2,0))</f>
        <v>MGF</v>
      </c>
      <c r="L3385" s="125" t="s">
        <v>4894</v>
      </c>
      <c r="M3385" s="113">
        <v>45874</v>
      </c>
      <c r="N3385" s="113"/>
      <c r="O3385" s="113"/>
      <c r="P3385" s="115" t="str">
        <f ca="1">IF(Proc[[#This Row],[DaysAgeing]]&gt;5,"yep","on track")</f>
        <v>yep</v>
      </c>
      <c r="Q3385" s="3">
        <f ca="1">IF(Proc[[#This Row],[DateClosed]]="",ABS(NETWORKDAYS(Proc[[#This Row],[DateOpened]],TODAY()))-1,ABS(NETWORKDAYS(Proc[[#This Row],[DateOpened]],Proc[[#This Row],[DateClosed]]))-1)</f>
        <v>98</v>
      </c>
      <c r="R3385" s="115" t="s">
        <v>1459</v>
      </c>
      <c r="S3385" s="125"/>
    </row>
    <row r="3386" spans="1:19" hidden="1">
      <c r="A3386" s="124" t="s">
        <v>5478</v>
      </c>
      <c r="B3386" s="149" t="str">
        <f>IFERROR(VLOOKUP(Proc[[#This Row],[App]],Table2[],3,0),"open")</f>
        <v>ok</v>
      </c>
      <c r="C3386" s="124" t="s">
        <v>369</v>
      </c>
      <c r="D3386" t="s">
        <v>5409</v>
      </c>
      <c r="E3386" t="s">
        <v>5456</v>
      </c>
      <c r="F3386" s="125" t="s">
        <v>5456</v>
      </c>
      <c r="G3386" s="124" t="s">
        <v>406</v>
      </c>
      <c r="H3386" s="125" t="str">
        <f>IF(Proc[[#This Row],[type]]="LFF (MDG-F)",MID(Proc[[#This Row],[Obj]],13,10),"")</f>
        <v>2123OF0010</v>
      </c>
      <c r="J3386" s="125" t="b">
        <f>Proc[[#This Row],[Requested]]=Proc[[#This Row],[CurrentParent]]</f>
        <v>1</v>
      </c>
      <c r="K3386" s="144" t="str">
        <f>IF(Proc[[#This Row],[Author]]="Marcela Urrego",VLOOKUP(LEFT(Proc[[#This Row],[Requested]],1),Table3[#All],2,0),VLOOKUP(Proc[[#This Row],[Author]],Table4[],2,0))</f>
        <v>MGF</v>
      </c>
      <c r="L3386" s="125" t="s">
        <v>4894</v>
      </c>
      <c r="M3386" s="113">
        <v>45874</v>
      </c>
      <c r="N3386" s="113"/>
      <c r="O3386" s="113"/>
      <c r="P3386" s="115" t="str">
        <f ca="1">IF(Proc[[#This Row],[DaysAgeing]]&gt;5,"yep","on track")</f>
        <v>yep</v>
      </c>
      <c r="Q3386" s="3">
        <f ca="1">IF(Proc[[#This Row],[DateClosed]]="",ABS(NETWORKDAYS(Proc[[#This Row],[DateOpened]],TODAY()))-1,ABS(NETWORKDAYS(Proc[[#This Row],[DateOpened]],Proc[[#This Row],[DateClosed]]))-1)</f>
        <v>98</v>
      </c>
      <c r="R3386" s="115" t="s">
        <v>1459</v>
      </c>
      <c r="S3386" s="125"/>
    </row>
    <row r="3387" spans="1:19" hidden="1">
      <c r="A3387" s="124" t="s">
        <v>5478</v>
      </c>
      <c r="B3387" s="149" t="str">
        <f>IFERROR(VLOOKUP(Proc[[#This Row],[App]],Table2[],3,0),"open")</f>
        <v>ok</v>
      </c>
      <c r="C3387" s="124" t="s">
        <v>369</v>
      </c>
      <c r="D3387" t="s">
        <v>5410</v>
      </c>
      <c r="E3387" t="s">
        <v>5456</v>
      </c>
      <c r="F3387" s="125" t="s">
        <v>5456</v>
      </c>
      <c r="G3387" s="124" t="s">
        <v>406</v>
      </c>
      <c r="H3387" s="125" t="str">
        <f>IF(Proc[[#This Row],[type]]="LFF (MDG-F)",MID(Proc[[#This Row],[Obj]],13,10),"")</f>
        <v>2123GM1110</v>
      </c>
      <c r="J3387" s="125" t="b">
        <f>Proc[[#This Row],[Requested]]=Proc[[#This Row],[CurrentParent]]</f>
        <v>1</v>
      </c>
      <c r="K3387" s="144" t="str">
        <f>IF(Proc[[#This Row],[Author]]="Marcela Urrego",VLOOKUP(LEFT(Proc[[#This Row],[Requested]],1),Table3[#All],2,0),VLOOKUP(Proc[[#This Row],[Author]],Table4[],2,0))</f>
        <v>MGF</v>
      </c>
      <c r="L3387" s="125" t="s">
        <v>4894</v>
      </c>
      <c r="M3387" s="113">
        <v>45874</v>
      </c>
      <c r="N3387" s="113"/>
      <c r="O3387" s="113"/>
      <c r="P3387" s="115" t="str">
        <f ca="1">IF(Proc[[#This Row],[DaysAgeing]]&gt;5,"yep","on track")</f>
        <v>yep</v>
      </c>
      <c r="Q3387" s="3">
        <f ca="1">IF(Proc[[#This Row],[DateClosed]]="",ABS(NETWORKDAYS(Proc[[#This Row],[DateOpened]],TODAY()))-1,ABS(NETWORKDAYS(Proc[[#This Row],[DateOpened]],Proc[[#This Row],[DateClosed]]))-1)</f>
        <v>98</v>
      </c>
      <c r="R3387" s="115" t="s">
        <v>1459</v>
      </c>
      <c r="S3387" s="125"/>
    </row>
    <row r="3388" spans="1:19" hidden="1">
      <c r="A3388" s="124" t="s">
        <v>5478</v>
      </c>
      <c r="B3388" s="149" t="str">
        <f>IFERROR(VLOOKUP(Proc[[#This Row],[App]],Table2[],3,0),"open")</f>
        <v>ok</v>
      </c>
      <c r="C3388" s="124" t="s">
        <v>369</v>
      </c>
      <c r="D3388" t="s">
        <v>5411</v>
      </c>
      <c r="E3388" t="s">
        <v>5474</v>
      </c>
      <c r="F3388" s="125" t="s">
        <v>5474</v>
      </c>
      <c r="G3388" s="124" t="s">
        <v>406</v>
      </c>
      <c r="H3388" s="125" t="str">
        <f>IF(Proc[[#This Row],[type]]="LFF (MDG-F)",MID(Proc[[#This Row],[Obj]],13,10),"")</f>
        <v>2123GMI021</v>
      </c>
      <c r="J3388" s="125" t="b">
        <f>Proc[[#This Row],[Requested]]=Proc[[#This Row],[CurrentParent]]</f>
        <v>1</v>
      </c>
      <c r="K3388" s="144" t="str">
        <f>IF(Proc[[#This Row],[Author]]="Marcela Urrego",VLOOKUP(LEFT(Proc[[#This Row],[Requested]],1),Table3[#All],2,0),VLOOKUP(Proc[[#This Row],[Author]],Table4[],2,0))</f>
        <v>MGF</v>
      </c>
      <c r="L3388" s="125" t="s">
        <v>4894</v>
      </c>
      <c r="M3388" s="113">
        <v>45874</v>
      </c>
      <c r="N3388" s="113"/>
      <c r="O3388" s="113"/>
      <c r="P3388" s="115" t="str">
        <f ca="1">IF(Proc[[#This Row],[DaysAgeing]]&gt;5,"yep","on track")</f>
        <v>yep</v>
      </c>
      <c r="Q3388" s="3">
        <f ca="1">IF(Proc[[#This Row],[DateClosed]]="",ABS(NETWORKDAYS(Proc[[#This Row],[DateOpened]],TODAY()))-1,ABS(NETWORKDAYS(Proc[[#This Row],[DateOpened]],Proc[[#This Row],[DateClosed]]))-1)</f>
        <v>98</v>
      </c>
      <c r="R3388" s="115" t="s">
        <v>1459</v>
      </c>
      <c r="S3388" s="125"/>
    </row>
    <row r="3389" spans="1:19" hidden="1">
      <c r="A3389" s="124" t="s">
        <v>5478</v>
      </c>
      <c r="B3389" s="149" t="str">
        <f>IFERROR(VLOOKUP(Proc[[#This Row],[App]],Table2[],3,0),"open")</f>
        <v>ok</v>
      </c>
      <c r="C3389" s="124" t="s">
        <v>369</v>
      </c>
      <c r="D3389" t="s">
        <v>5412</v>
      </c>
      <c r="E3389" t="s">
        <v>5456</v>
      </c>
      <c r="F3389" s="125" t="s">
        <v>5456</v>
      </c>
      <c r="G3389" s="124" t="s">
        <v>406</v>
      </c>
      <c r="H3389" s="125" t="str">
        <f>IF(Proc[[#This Row],[type]]="LFF (MDG-F)",MID(Proc[[#This Row],[Obj]],13,10),"")</f>
        <v>2123L50005</v>
      </c>
      <c r="J3389" s="125" t="b">
        <f>Proc[[#This Row],[Requested]]=Proc[[#This Row],[CurrentParent]]</f>
        <v>1</v>
      </c>
      <c r="K3389" s="144" t="str">
        <f>IF(Proc[[#This Row],[Author]]="Marcela Urrego",VLOOKUP(LEFT(Proc[[#This Row],[Requested]],1),Table3[#All],2,0),VLOOKUP(Proc[[#This Row],[Author]],Table4[],2,0))</f>
        <v>MGF</v>
      </c>
      <c r="L3389" s="125" t="s">
        <v>4894</v>
      </c>
      <c r="M3389" s="113">
        <v>45874</v>
      </c>
      <c r="N3389" s="113"/>
      <c r="O3389" s="113"/>
      <c r="P3389" s="115" t="str">
        <f ca="1">IF(Proc[[#This Row],[DaysAgeing]]&gt;5,"yep","on track")</f>
        <v>yep</v>
      </c>
      <c r="Q3389" s="3">
        <f ca="1">IF(Proc[[#This Row],[DateClosed]]="",ABS(NETWORKDAYS(Proc[[#This Row],[DateOpened]],TODAY()))-1,ABS(NETWORKDAYS(Proc[[#This Row],[DateOpened]],Proc[[#This Row],[DateClosed]]))-1)</f>
        <v>98</v>
      </c>
      <c r="R3389" s="115" t="s">
        <v>1459</v>
      </c>
      <c r="S3389" s="125"/>
    </row>
    <row r="3390" spans="1:19" hidden="1">
      <c r="A3390" s="124" t="s">
        <v>5478</v>
      </c>
      <c r="B3390" s="149" t="str">
        <f>IFERROR(VLOOKUP(Proc[[#This Row],[App]],Table2[],3,0),"open")</f>
        <v>ok</v>
      </c>
      <c r="C3390" s="124" t="s">
        <v>369</v>
      </c>
      <c r="D3390" t="s">
        <v>5413</v>
      </c>
      <c r="E3390" t="s">
        <v>5456</v>
      </c>
      <c r="F3390" s="125" t="s">
        <v>5456</v>
      </c>
      <c r="G3390" s="124" t="s">
        <v>406</v>
      </c>
      <c r="H3390" s="125" t="str">
        <f>IF(Proc[[#This Row],[type]]="LFF (MDG-F)",MID(Proc[[#This Row],[Obj]],13,10),"")</f>
        <v>2123YIT005</v>
      </c>
      <c r="J3390" s="125" t="b">
        <f>Proc[[#This Row],[Requested]]=Proc[[#This Row],[CurrentParent]]</f>
        <v>1</v>
      </c>
      <c r="K3390" s="144" t="str">
        <f>IF(Proc[[#This Row],[Author]]="Marcela Urrego",VLOOKUP(LEFT(Proc[[#This Row],[Requested]],1),Table3[#All],2,0),VLOOKUP(Proc[[#This Row],[Author]],Table4[],2,0))</f>
        <v>MGF</v>
      </c>
      <c r="L3390" s="125" t="s">
        <v>4894</v>
      </c>
      <c r="M3390" s="113">
        <v>45874</v>
      </c>
      <c r="N3390" s="113"/>
      <c r="O3390" s="113"/>
      <c r="P3390" s="115" t="str">
        <f ca="1">IF(Proc[[#This Row],[DaysAgeing]]&gt;5,"yep","on track")</f>
        <v>yep</v>
      </c>
      <c r="Q3390" s="3">
        <f ca="1">IF(Proc[[#This Row],[DateClosed]]="",ABS(NETWORKDAYS(Proc[[#This Row],[DateOpened]],TODAY()))-1,ABS(NETWORKDAYS(Proc[[#This Row],[DateOpened]],Proc[[#This Row],[DateClosed]]))-1)</f>
        <v>98</v>
      </c>
      <c r="R3390" s="115" t="s">
        <v>1459</v>
      </c>
      <c r="S3390" s="125"/>
    </row>
    <row r="3391" spans="1:19" hidden="1">
      <c r="A3391" s="124" t="s">
        <v>5478</v>
      </c>
      <c r="B3391" s="149" t="str">
        <f>IFERROR(VLOOKUP(Proc[[#This Row],[App]],Table2[],3,0),"open")</f>
        <v>ok</v>
      </c>
      <c r="C3391" s="124" t="s">
        <v>369</v>
      </c>
      <c r="D3391" t="s">
        <v>5414</v>
      </c>
      <c r="E3391" t="s">
        <v>5456</v>
      </c>
      <c r="F3391" s="125" t="s">
        <v>5456</v>
      </c>
      <c r="G3391" s="124" t="s">
        <v>406</v>
      </c>
      <c r="H3391" s="125" t="str">
        <f>IF(Proc[[#This Row],[type]]="LFF (MDG-F)",MID(Proc[[#This Row],[Obj]],13,10),"")</f>
        <v>2123YIT004</v>
      </c>
      <c r="J3391" s="125" t="b">
        <f>Proc[[#This Row],[Requested]]=Proc[[#This Row],[CurrentParent]]</f>
        <v>1</v>
      </c>
      <c r="K3391" s="144" t="str">
        <f>IF(Proc[[#This Row],[Author]]="Marcela Urrego",VLOOKUP(LEFT(Proc[[#This Row],[Requested]],1),Table3[#All],2,0),VLOOKUP(Proc[[#This Row],[Author]],Table4[],2,0))</f>
        <v>MGF</v>
      </c>
      <c r="L3391" s="125" t="s">
        <v>4894</v>
      </c>
      <c r="M3391" s="113">
        <v>45874</v>
      </c>
      <c r="N3391" s="113"/>
      <c r="O3391" s="113"/>
      <c r="P3391" s="115" t="str">
        <f ca="1">IF(Proc[[#This Row],[DaysAgeing]]&gt;5,"yep","on track")</f>
        <v>yep</v>
      </c>
      <c r="Q3391" s="3">
        <f ca="1">IF(Proc[[#This Row],[DateClosed]]="",ABS(NETWORKDAYS(Proc[[#This Row],[DateOpened]],TODAY()))-1,ABS(NETWORKDAYS(Proc[[#This Row],[DateOpened]],Proc[[#This Row],[DateClosed]]))-1)</f>
        <v>98</v>
      </c>
      <c r="R3391" s="115" t="s">
        <v>1459</v>
      </c>
      <c r="S3391" s="125"/>
    </row>
    <row r="3392" spans="1:19" hidden="1">
      <c r="A3392" s="124" t="s">
        <v>5478</v>
      </c>
      <c r="B3392" s="149" t="str">
        <f>IFERROR(VLOOKUP(Proc[[#This Row],[App]],Table2[],3,0),"open")</f>
        <v>ok</v>
      </c>
      <c r="C3392" s="124" t="s">
        <v>369</v>
      </c>
      <c r="D3392" t="s">
        <v>5415</v>
      </c>
      <c r="E3392" t="s">
        <v>5475</v>
      </c>
      <c r="F3392" s="125" t="s">
        <v>5475</v>
      </c>
      <c r="G3392" s="124" t="s">
        <v>406</v>
      </c>
      <c r="H3392" s="125" t="str">
        <f>IF(Proc[[#This Row],[type]]="LFF (MDG-F)",MID(Proc[[#This Row],[Obj]],13,10),"")</f>
        <v>2123C00028</v>
      </c>
      <c r="J3392" s="125" t="b">
        <f>Proc[[#This Row],[Requested]]=Proc[[#This Row],[CurrentParent]]</f>
        <v>1</v>
      </c>
      <c r="K3392" s="144" t="str">
        <f>IF(Proc[[#This Row],[Author]]="Marcela Urrego",VLOOKUP(LEFT(Proc[[#This Row],[Requested]],1),Table3[#All],2,0),VLOOKUP(Proc[[#This Row],[Author]],Table4[],2,0))</f>
        <v>MGF</v>
      </c>
      <c r="L3392" s="125" t="s">
        <v>4894</v>
      </c>
      <c r="M3392" s="113">
        <v>45874</v>
      </c>
      <c r="N3392" s="113"/>
      <c r="O3392" s="113"/>
      <c r="P3392" s="115" t="str">
        <f ca="1">IF(Proc[[#This Row],[DaysAgeing]]&gt;5,"yep","on track")</f>
        <v>yep</v>
      </c>
      <c r="Q3392" s="3">
        <f ca="1">IF(Proc[[#This Row],[DateClosed]]="",ABS(NETWORKDAYS(Proc[[#This Row],[DateOpened]],TODAY()))-1,ABS(NETWORKDAYS(Proc[[#This Row],[DateOpened]],Proc[[#This Row],[DateClosed]]))-1)</f>
        <v>98</v>
      </c>
      <c r="R3392" s="115" t="s">
        <v>1459</v>
      </c>
      <c r="S3392" s="125"/>
    </row>
    <row r="3393" spans="1:19" hidden="1">
      <c r="A3393" s="124" t="s">
        <v>5478</v>
      </c>
      <c r="B3393" s="149" t="str">
        <f>IFERROR(VLOOKUP(Proc[[#This Row],[App]],Table2[],3,0),"open")</f>
        <v>ok</v>
      </c>
      <c r="C3393" s="124" t="s">
        <v>369</v>
      </c>
      <c r="D3393" t="s">
        <v>5416</v>
      </c>
      <c r="E3393" t="s">
        <v>5456</v>
      </c>
      <c r="F3393" s="125" t="s">
        <v>5456</v>
      </c>
      <c r="G3393" s="124" t="s">
        <v>406</v>
      </c>
      <c r="H3393" s="125" t="str">
        <f>IF(Proc[[#This Row],[type]]="LFF (MDG-F)",MID(Proc[[#This Row],[Obj]],13,10),"")</f>
        <v>2123TPSZ93</v>
      </c>
      <c r="J3393" s="125" t="b">
        <f>Proc[[#This Row],[Requested]]=Proc[[#This Row],[CurrentParent]]</f>
        <v>1</v>
      </c>
      <c r="K3393" s="144" t="str">
        <f>IF(Proc[[#This Row],[Author]]="Marcela Urrego",VLOOKUP(LEFT(Proc[[#This Row],[Requested]],1),Table3[#All],2,0),VLOOKUP(Proc[[#This Row],[Author]],Table4[],2,0))</f>
        <v>MGF</v>
      </c>
      <c r="L3393" s="125" t="s">
        <v>4894</v>
      </c>
      <c r="M3393" s="113">
        <v>45874</v>
      </c>
      <c r="N3393" s="113"/>
      <c r="O3393" s="113"/>
      <c r="P3393" s="115" t="str">
        <f ca="1">IF(Proc[[#This Row],[DaysAgeing]]&gt;5,"yep","on track")</f>
        <v>yep</v>
      </c>
      <c r="Q3393" s="3">
        <f ca="1">IF(Proc[[#This Row],[DateClosed]]="",ABS(NETWORKDAYS(Proc[[#This Row],[DateOpened]],TODAY()))-1,ABS(NETWORKDAYS(Proc[[#This Row],[DateOpened]],Proc[[#This Row],[DateClosed]]))-1)</f>
        <v>98</v>
      </c>
      <c r="R3393" s="115" t="s">
        <v>1459</v>
      </c>
      <c r="S3393" s="125"/>
    </row>
    <row r="3394" spans="1:19" hidden="1">
      <c r="A3394" s="124" t="s">
        <v>5478</v>
      </c>
      <c r="B3394" s="149" t="str">
        <f>IFERROR(VLOOKUP(Proc[[#This Row],[App]],Table2[],3,0),"open")</f>
        <v>ok</v>
      </c>
      <c r="C3394" s="124" t="s">
        <v>369</v>
      </c>
      <c r="D3394" t="s">
        <v>5417</v>
      </c>
      <c r="E3394" t="s">
        <v>5456</v>
      </c>
      <c r="F3394" s="125" t="s">
        <v>5456</v>
      </c>
      <c r="G3394" s="124" t="s">
        <v>406</v>
      </c>
      <c r="H3394" s="125" t="str">
        <f>IF(Proc[[#This Row],[type]]="LFF (MDG-F)",MID(Proc[[#This Row],[Obj]],13,10),"")</f>
        <v>2123C00103</v>
      </c>
      <c r="J3394" s="125" t="b">
        <f>Proc[[#This Row],[Requested]]=Proc[[#This Row],[CurrentParent]]</f>
        <v>1</v>
      </c>
      <c r="K3394" s="144" t="str">
        <f>IF(Proc[[#This Row],[Author]]="Marcela Urrego",VLOOKUP(LEFT(Proc[[#This Row],[Requested]],1),Table3[#All],2,0),VLOOKUP(Proc[[#This Row],[Author]],Table4[],2,0))</f>
        <v>MGF</v>
      </c>
      <c r="L3394" s="125" t="s">
        <v>4894</v>
      </c>
      <c r="M3394" s="113">
        <v>45874</v>
      </c>
      <c r="N3394" s="113"/>
      <c r="O3394" s="113"/>
      <c r="P3394" s="115" t="str">
        <f ca="1">IF(Proc[[#This Row],[DaysAgeing]]&gt;5,"yep","on track")</f>
        <v>yep</v>
      </c>
      <c r="Q3394" s="3">
        <f ca="1">IF(Proc[[#This Row],[DateClosed]]="",ABS(NETWORKDAYS(Proc[[#This Row],[DateOpened]],TODAY()))-1,ABS(NETWORKDAYS(Proc[[#This Row],[DateOpened]],Proc[[#This Row],[DateClosed]]))-1)</f>
        <v>98</v>
      </c>
      <c r="R3394" s="115" t="s">
        <v>1459</v>
      </c>
      <c r="S3394" s="125"/>
    </row>
    <row r="3395" spans="1:19" hidden="1">
      <c r="A3395" s="124" t="s">
        <v>5478</v>
      </c>
      <c r="B3395" s="149" t="str">
        <f>IFERROR(VLOOKUP(Proc[[#This Row],[App]],Table2[],3,0),"open")</f>
        <v>ok</v>
      </c>
      <c r="C3395" s="124" t="s">
        <v>369</v>
      </c>
      <c r="D3395" t="s">
        <v>5418</v>
      </c>
      <c r="E3395" t="s">
        <v>5448</v>
      </c>
      <c r="F3395" s="125" t="s">
        <v>5448</v>
      </c>
      <c r="G3395" s="124" t="s">
        <v>406</v>
      </c>
      <c r="H3395" s="125" t="str">
        <f>IF(Proc[[#This Row],[type]]="LFF (MDG-F)",MID(Proc[[#This Row],[Obj]],13,10),"")</f>
        <v>2123GIT129</v>
      </c>
      <c r="J3395" s="125" t="b">
        <f>Proc[[#This Row],[Requested]]=Proc[[#This Row],[CurrentParent]]</f>
        <v>1</v>
      </c>
      <c r="K3395" s="144" t="str">
        <f>IF(Proc[[#This Row],[Author]]="Marcela Urrego",VLOOKUP(LEFT(Proc[[#This Row],[Requested]],1),Table3[#All],2,0),VLOOKUP(Proc[[#This Row],[Author]],Table4[],2,0))</f>
        <v>MGF</v>
      </c>
      <c r="L3395" s="125" t="s">
        <v>4894</v>
      </c>
      <c r="M3395" s="113">
        <v>45874</v>
      </c>
      <c r="N3395" s="113"/>
      <c r="O3395" s="113"/>
      <c r="P3395" s="115" t="str">
        <f ca="1">IF(Proc[[#This Row],[DaysAgeing]]&gt;5,"yep","on track")</f>
        <v>yep</v>
      </c>
      <c r="Q3395" s="3">
        <f ca="1">IF(Proc[[#This Row],[DateClosed]]="",ABS(NETWORKDAYS(Proc[[#This Row],[DateOpened]],TODAY()))-1,ABS(NETWORKDAYS(Proc[[#This Row],[DateOpened]],Proc[[#This Row],[DateClosed]]))-1)</f>
        <v>98</v>
      </c>
      <c r="R3395" s="115" t="s">
        <v>1459</v>
      </c>
      <c r="S3395" s="125"/>
    </row>
    <row r="3396" spans="1:19" hidden="1">
      <c r="A3396" s="124" t="s">
        <v>5478</v>
      </c>
      <c r="B3396" s="149" t="str">
        <f>IFERROR(VLOOKUP(Proc[[#This Row],[App]],Table2[],3,0),"open")</f>
        <v>ok</v>
      </c>
      <c r="C3396" s="124" t="s">
        <v>369</v>
      </c>
      <c r="D3396" t="s">
        <v>5419</v>
      </c>
      <c r="E3396" t="s">
        <v>5464</v>
      </c>
      <c r="F3396" s="125" t="s">
        <v>5464</v>
      </c>
      <c r="G3396" s="124" t="s">
        <v>406</v>
      </c>
      <c r="H3396" s="125" t="str">
        <f>IF(Proc[[#This Row],[type]]="LFF (MDG-F)",MID(Proc[[#This Row],[Obj]],13,10),"")</f>
        <v>2123GIT027</v>
      </c>
      <c r="J3396" s="125" t="b">
        <f>Proc[[#This Row],[Requested]]=Proc[[#This Row],[CurrentParent]]</f>
        <v>1</v>
      </c>
      <c r="K3396" s="144" t="str">
        <f>IF(Proc[[#This Row],[Author]]="Marcela Urrego",VLOOKUP(LEFT(Proc[[#This Row],[Requested]],1),Table3[#All],2,0),VLOOKUP(Proc[[#This Row],[Author]],Table4[],2,0))</f>
        <v>MGF</v>
      </c>
      <c r="L3396" s="125" t="s">
        <v>4894</v>
      </c>
      <c r="M3396" s="113">
        <v>45874</v>
      </c>
      <c r="N3396" s="113"/>
      <c r="O3396" s="113"/>
      <c r="P3396" s="115" t="str">
        <f ca="1">IF(Proc[[#This Row],[DaysAgeing]]&gt;5,"yep","on track")</f>
        <v>yep</v>
      </c>
      <c r="Q3396" s="3">
        <f ca="1">IF(Proc[[#This Row],[DateClosed]]="",ABS(NETWORKDAYS(Proc[[#This Row],[DateOpened]],TODAY()))-1,ABS(NETWORKDAYS(Proc[[#This Row],[DateOpened]],Proc[[#This Row],[DateClosed]]))-1)</f>
        <v>98</v>
      </c>
      <c r="R3396" s="115" t="s">
        <v>1459</v>
      </c>
      <c r="S3396" s="125"/>
    </row>
    <row r="3397" spans="1:19" hidden="1">
      <c r="A3397" s="124" t="s">
        <v>5478</v>
      </c>
      <c r="B3397" s="149" t="str">
        <f>IFERROR(VLOOKUP(Proc[[#This Row],[App]],Table2[],3,0),"open")</f>
        <v>ok</v>
      </c>
      <c r="C3397" s="124" t="s">
        <v>369</v>
      </c>
      <c r="D3397" t="s">
        <v>5420</v>
      </c>
      <c r="E3397" t="s">
        <v>5447</v>
      </c>
      <c r="F3397" s="125" t="s">
        <v>5447</v>
      </c>
      <c r="G3397" s="124" t="s">
        <v>406</v>
      </c>
      <c r="H3397" s="125" t="str">
        <f>IF(Proc[[#This Row],[type]]="LFF (MDG-F)",MID(Proc[[#This Row],[Obj]],13,10),"")</f>
        <v>2123GIT212</v>
      </c>
      <c r="J3397" s="125" t="b">
        <f>Proc[[#This Row],[Requested]]=Proc[[#This Row],[CurrentParent]]</f>
        <v>1</v>
      </c>
      <c r="K3397" s="144" t="str">
        <f>IF(Proc[[#This Row],[Author]]="Marcela Urrego",VLOOKUP(LEFT(Proc[[#This Row],[Requested]],1),Table3[#All],2,0),VLOOKUP(Proc[[#This Row],[Author]],Table4[],2,0))</f>
        <v>MGF</v>
      </c>
      <c r="L3397" s="125" t="s">
        <v>4894</v>
      </c>
      <c r="M3397" s="113">
        <v>45874</v>
      </c>
      <c r="N3397" s="113"/>
      <c r="O3397" s="113"/>
      <c r="P3397" s="115" t="str">
        <f ca="1">IF(Proc[[#This Row],[DaysAgeing]]&gt;5,"yep","on track")</f>
        <v>yep</v>
      </c>
      <c r="Q3397" s="3">
        <f ca="1">IF(Proc[[#This Row],[DateClosed]]="",ABS(NETWORKDAYS(Proc[[#This Row],[DateOpened]],TODAY()))-1,ABS(NETWORKDAYS(Proc[[#This Row],[DateOpened]],Proc[[#This Row],[DateClosed]]))-1)</f>
        <v>98</v>
      </c>
      <c r="R3397" s="115" t="s">
        <v>1459</v>
      </c>
      <c r="S3397" s="125"/>
    </row>
    <row r="3398" spans="1:19" hidden="1">
      <c r="A3398" s="124" t="s">
        <v>5478</v>
      </c>
      <c r="B3398" s="149" t="str">
        <f>IFERROR(VLOOKUP(Proc[[#This Row],[App]],Table2[],3,0),"open")</f>
        <v>ok</v>
      </c>
      <c r="C3398" s="124" t="s">
        <v>369</v>
      </c>
      <c r="D3398" t="s">
        <v>5421</v>
      </c>
      <c r="E3398" t="s">
        <v>5464</v>
      </c>
      <c r="F3398" s="125" t="s">
        <v>5464</v>
      </c>
      <c r="G3398" s="124" t="s">
        <v>406</v>
      </c>
      <c r="H3398" s="125" t="str">
        <f>IF(Proc[[#This Row],[type]]="LFF (MDG-F)",MID(Proc[[#This Row],[Obj]],13,10),"")</f>
        <v>2123GIT448</v>
      </c>
      <c r="J3398" s="125" t="b">
        <f>Proc[[#This Row],[Requested]]=Proc[[#This Row],[CurrentParent]]</f>
        <v>1</v>
      </c>
      <c r="K3398" s="144" t="str">
        <f>IF(Proc[[#This Row],[Author]]="Marcela Urrego",VLOOKUP(LEFT(Proc[[#This Row],[Requested]],1),Table3[#All],2,0),VLOOKUP(Proc[[#This Row],[Author]],Table4[],2,0))</f>
        <v>MGF</v>
      </c>
      <c r="L3398" s="125" t="s">
        <v>4894</v>
      </c>
      <c r="M3398" s="113">
        <v>45874</v>
      </c>
      <c r="N3398" s="113"/>
      <c r="O3398" s="113"/>
      <c r="P3398" s="115" t="str">
        <f ca="1">IF(Proc[[#This Row],[DaysAgeing]]&gt;5,"yep","on track")</f>
        <v>yep</v>
      </c>
      <c r="Q3398" s="3">
        <f ca="1">IF(Proc[[#This Row],[DateClosed]]="",ABS(NETWORKDAYS(Proc[[#This Row],[DateOpened]],TODAY()))-1,ABS(NETWORKDAYS(Proc[[#This Row],[DateOpened]],Proc[[#This Row],[DateClosed]]))-1)</f>
        <v>98</v>
      </c>
      <c r="R3398" s="115" t="s">
        <v>1459</v>
      </c>
      <c r="S3398" s="125"/>
    </row>
    <row r="3399" spans="1:19" hidden="1">
      <c r="A3399" s="124" t="s">
        <v>5478</v>
      </c>
      <c r="B3399" s="149" t="str">
        <f>IFERROR(VLOOKUP(Proc[[#This Row],[App]],Table2[],3,0),"open")</f>
        <v>ok</v>
      </c>
      <c r="C3399" s="124" t="s">
        <v>369</v>
      </c>
      <c r="D3399" t="s">
        <v>5422</v>
      </c>
      <c r="E3399" t="s">
        <v>5446</v>
      </c>
      <c r="F3399" s="125" t="s">
        <v>5446</v>
      </c>
      <c r="G3399" s="124" t="s">
        <v>406</v>
      </c>
      <c r="H3399" s="125" t="str">
        <f>IF(Proc[[#This Row],[type]]="LFF (MDG-F)",MID(Proc[[#This Row],[Obj]],13,10),"")</f>
        <v>2123GIT520</v>
      </c>
      <c r="J3399" s="125" t="b">
        <f>Proc[[#This Row],[Requested]]=Proc[[#This Row],[CurrentParent]]</f>
        <v>1</v>
      </c>
      <c r="K3399" s="144" t="str">
        <f>IF(Proc[[#This Row],[Author]]="Marcela Urrego",VLOOKUP(LEFT(Proc[[#This Row],[Requested]],1),Table3[#All],2,0),VLOOKUP(Proc[[#This Row],[Author]],Table4[],2,0))</f>
        <v>MGF</v>
      </c>
      <c r="L3399" s="125" t="s">
        <v>4894</v>
      </c>
      <c r="M3399" s="113">
        <v>45874</v>
      </c>
      <c r="N3399" s="113"/>
      <c r="O3399" s="113"/>
      <c r="P3399" s="115" t="str">
        <f ca="1">IF(Proc[[#This Row],[DaysAgeing]]&gt;5,"yep","on track")</f>
        <v>yep</v>
      </c>
      <c r="Q3399" s="3">
        <f ca="1">IF(Proc[[#This Row],[DateClosed]]="",ABS(NETWORKDAYS(Proc[[#This Row],[DateOpened]],TODAY()))-1,ABS(NETWORKDAYS(Proc[[#This Row],[DateOpened]],Proc[[#This Row],[DateClosed]]))-1)</f>
        <v>98</v>
      </c>
      <c r="R3399" s="115" t="s">
        <v>1459</v>
      </c>
      <c r="S3399" s="125"/>
    </row>
    <row r="3400" spans="1:19" hidden="1">
      <c r="A3400" s="124" t="s">
        <v>5478</v>
      </c>
      <c r="B3400" s="149" t="str">
        <f>IFERROR(VLOOKUP(Proc[[#This Row],[App]],Table2[],3,0),"open")</f>
        <v>ok</v>
      </c>
      <c r="C3400" s="124" t="s">
        <v>369</v>
      </c>
      <c r="D3400" t="s">
        <v>5423</v>
      </c>
      <c r="E3400" t="s">
        <v>5467</v>
      </c>
      <c r="F3400" s="125" t="s">
        <v>5467</v>
      </c>
      <c r="G3400" s="124" t="s">
        <v>406</v>
      </c>
      <c r="H3400" s="125" t="str">
        <f>IF(Proc[[#This Row],[type]]="LFF (MDG-F)",MID(Proc[[#This Row],[Obj]],13,10),"")</f>
        <v>2123GST008</v>
      </c>
      <c r="J3400" s="125" t="b">
        <f>Proc[[#This Row],[Requested]]=Proc[[#This Row],[CurrentParent]]</f>
        <v>1</v>
      </c>
      <c r="K3400" s="144" t="str">
        <f>IF(Proc[[#This Row],[Author]]="Marcela Urrego",VLOOKUP(LEFT(Proc[[#This Row],[Requested]],1),Table3[#All],2,0),VLOOKUP(Proc[[#This Row],[Author]],Table4[],2,0))</f>
        <v>MGF</v>
      </c>
      <c r="L3400" s="125" t="s">
        <v>4894</v>
      </c>
      <c r="M3400" s="113">
        <v>45874</v>
      </c>
      <c r="N3400" s="113"/>
      <c r="O3400" s="113"/>
      <c r="P3400" s="115" t="str">
        <f ca="1">IF(Proc[[#This Row],[DaysAgeing]]&gt;5,"yep","on track")</f>
        <v>yep</v>
      </c>
      <c r="Q3400" s="3">
        <f ca="1">IF(Proc[[#This Row],[DateClosed]]="",ABS(NETWORKDAYS(Proc[[#This Row],[DateOpened]],TODAY()))-1,ABS(NETWORKDAYS(Proc[[#This Row],[DateOpened]],Proc[[#This Row],[DateClosed]]))-1)</f>
        <v>98</v>
      </c>
      <c r="R3400" s="115" t="s">
        <v>1459</v>
      </c>
      <c r="S3400" s="125"/>
    </row>
    <row r="3401" spans="1:19" hidden="1">
      <c r="A3401" s="124" t="s">
        <v>5478</v>
      </c>
      <c r="B3401" s="149" t="str">
        <f>IFERROR(VLOOKUP(Proc[[#This Row],[App]],Table2[],3,0),"open")</f>
        <v>ok</v>
      </c>
      <c r="C3401" s="124" t="s">
        <v>369</v>
      </c>
      <c r="D3401" t="s">
        <v>5424</v>
      </c>
      <c r="E3401" t="s">
        <v>5445</v>
      </c>
      <c r="F3401" s="125" t="s">
        <v>5445</v>
      </c>
      <c r="G3401" s="124" t="s">
        <v>406</v>
      </c>
      <c r="H3401" s="125" t="str">
        <f>IF(Proc[[#This Row],[type]]="LFF (MDG-F)",MID(Proc[[#This Row],[Obj]],13,10),"")</f>
        <v>2123GIT098</v>
      </c>
      <c r="J3401" s="125" t="b">
        <f>Proc[[#This Row],[Requested]]=Proc[[#This Row],[CurrentParent]]</f>
        <v>1</v>
      </c>
      <c r="K3401" s="144" t="str">
        <f>IF(Proc[[#This Row],[Author]]="Marcela Urrego",VLOOKUP(LEFT(Proc[[#This Row],[Requested]],1),Table3[#All],2,0),VLOOKUP(Proc[[#This Row],[Author]],Table4[],2,0))</f>
        <v>MGF</v>
      </c>
      <c r="L3401" s="125" t="s">
        <v>4894</v>
      </c>
      <c r="M3401" s="113">
        <v>45874</v>
      </c>
      <c r="N3401" s="113"/>
      <c r="O3401" s="113"/>
      <c r="P3401" s="115" t="str">
        <f ca="1">IF(Proc[[#This Row],[DaysAgeing]]&gt;5,"yep","on track")</f>
        <v>yep</v>
      </c>
      <c r="Q3401" s="3">
        <f ca="1">IF(Proc[[#This Row],[DateClosed]]="",ABS(NETWORKDAYS(Proc[[#This Row],[DateOpened]],TODAY()))-1,ABS(NETWORKDAYS(Proc[[#This Row],[DateOpened]],Proc[[#This Row],[DateClosed]]))-1)</f>
        <v>98</v>
      </c>
      <c r="R3401" s="115" t="s">
        <v>1459</v>
      </c>
      <c r="S3401" s="125"/>
    </row>
    <row r="3402" spans="1:19" hidden="1">
      <c r="A3402" s="124" t="s">
        <v>5478</v>
      </c>
      <c r="B3402" s="149" t="str">
        <f>IFERROR(VLOOKUP(Proc[[#This Row],[App]],Table2[],3,0),"open")</f>
        <v>ok</v>
      </c>
      <c r="C3402" s="124" t="s">
        <v>369</v>
      </c>
      <c r="D3402" t="s">
        <v>5425</v>
      </c>
      <c r="E3402" t="s">
        <v>5464</v>
      </c>
      <c r="F3402" s="125" t="s">
        <v>5464</v>
      </c>
      <c r="G3402" s="124" t="s">
        <v>406</v>
      </c>
      <c r="H3402" s="125" t="str">
        <f>IF(Proc[[#This Row],[type]]="LFF (MDG-F)",MID(Proc[[#This Row],[Obj]],13,10),"")</f>
        <v>2123GIT096</v>
      </c>
      <c r="J3402" s="125" t="b">
        <f>Proc[[#This Row],[Requested]]=Proc[[#This Row],[CurrentParent]]</f>
        <v>1</v>
      </c>
      <c r="K3402" s="144" t="str">
        <f>IF(Proc[[#This Row],[Author]]="Marcela Urrego",VLOOKUP(LEFT(Proc[[#This Row],[Requested]],1),Table3[#All],2,0),VLOOKUP(Proc[[#This Row],[Author]],Table4[],2,0))</f>
        <v>MGF</v>
      </c>
      <c r="L3402" s="125" t="s">
        <v>4894</v>
      </c>
      <c r="M3402" s="113">
        <v>45874</v>
      </c>
      <c r="N3402" s="113"/>
      <c r="O3402" s="113"/>
      <c r="P3402" s="115" t="str">
        <f ca="1">IF(Proc[[#This Row],[DaysAgeing]]&gt;5,"yep","on track")</f>
        <v>yep</v>
      </c>
      <c r="Q3402" s="3">
        <f ca="1">IF(Proc[[#This Row],[DateClosed]]="",ABS(NETWORKDAYS(Proc[[#This Row],[DateOpened]],TODAY()))-1,ABS(NETWORKDAYS(Proc[[#This Row],[DateOpened]],Proc[[#This Row],[DateClosed]]))-1)</f>
        <v>98</v>
      </c>
      <c r="R3402" s="115" t="s">
        <v>1459</v>
      </c>
      <c r="S3402" s="125"/>
    </row>
    <row r="3403" spans="1:19" hidden="1">
      <c r="A3403" s="124" t="s">
        <v>5478</v>
      </c>
      <c r="B3403" s="149" t="str">
        <f>IFERROR(VLOOKUP(Proc[[#This Row],[App]],Table2[],3,0),"open")</f>
        <v>ok</v>
      </c>
      <c r="C3403" s="124" t="s">
        <v>369</v>
      </c>
      <c r="D3403" t="s">
        <v>5426</v>
      </c>
      <c r="E3403" t="s">
        <v>5473</v>
      </c>
      <c r="F3403" s="125" t="s">
        <v>5473</v>
      </c>
      <c r="G3403" s="124" t="s">
        <v>406</v>
      </c>
      <c r="H3403" s="125" t="str">
        <f>IF(Proc[[#This Row],[type]]="LFF (MDG-F)",MID(Proc[[#This Row],[Obj]],13,10),"")</f>
        <v>2123C00079</v>
      </c>
      <c r="J3403" s="125" t="b">
        <f>Proc[[#This Row],[Requested]]=Proc[[#This Row],[CurrentParent]]</f>
        <v>1</v>
      </c>
      <c r="K3403" s="144" t="str">
        <f>IF(Proc[[#This Row],[Author]]="Marcela Urrego",VLOOKUP(LEFT(Proc[[#This Row],[Requested]],1),Table3[#All],2,0),VLOOKUP(Proc[[#This Row],[Author]],Table4[],2,0))</f>
        <v>MGF</v>
      </c>
      <c r="L3403" s="125" t="s">
        <v>4894</v>
      </c>
      <c r="M3403" s="113">
        <v>45874</v>
      </c>
      <c r="N3403" s="113"/>
      <c r="O3403" s="113"/>
      <c r="P3403" s="115" t="str">
        <f ca="1">IF(Proc[[#This Row],[DaysAgeing]]&gt;5,"yep","on track")</f>
        <v>yep</v>
      </c>
      <c r="Q3403" s="3">
        <f ca="1">IF(Proc[[#This Row],[DateClosed]]="",ABS(NETWORKDAYS(Proc[[#This Row],[DateOpened]],TODAY()))-1,ABS(NETWORKDAYS(Proc[[#This Row],[DateOpened]],Proc[[#This Row],[DateClosed]]))-1)</f>
        <v>98</v>
      </c>
      <c r="R3403" s="115" t="s">
        <v>1459</v>
      </c>
      <c r="S3403" s="125"/>
    </row>
    <row r="3404" spans="1:19" hidden="1">
      <c r="A3404" s="124" t="s">
        <v>5478</v>
      </c>
      <c r="B3404" s="149" t="str">
        <f>IFERROR(VLOOKUP(Proc[[#This Row],[App]],Table2[],3,0),"open")</f>
        <v>ok</v>
      </c>
      <c r="C3404" s="124" t="s">
        <v>369</v>
      </c>
      <c r="D3404" t="s">
        <v>5427</v>
      </c>
      <c r="E3404" t="s">
        <v>5446</v>
      </c>
      <c r="F3404" s="125" t="s">
        <v>5446</v>
      </c>
      <c r="G3404" s="124" t="s">
        <v>406</v>
      </c>
      <c r="H3404" s="125" t="str">
        <f>IF(Proc[[#This Row],[type]]="LFF (MDG-F)",MID(Proc[[#This Row],[Obj]],13,10),"")</f>
        <v>2123GIT135</v>
      </c>
      <c r="J3404" s="125" t="b">
        <f>Proc[[#This Row],[Requested]]=Proc[[#This Row],[CurrentParent]]</f>
        <v>1</v>
      </c>
      <c r="K3404" s="144" t="str">
        <f>IF(Proc[[#This Row],[Author]]="Marcela Urrego",VLOOKUP(LEFT(Proc[[#This Row],[Requested]],1),Table3[#All],2,0),VLOOKUP(Proc[[#This Row],[Author]],Table4[],2,0))</f>
        <v>MGF</v>
      </c>
      <c r="L3404" s="125" t="s">
        <v>4894</v>
      </c>
      <c r="M3404" s="113">
        <v>45874</v>
      </c>
      <c r="N3404" s="113"/>
      <c r="O3404" s="113"/>
      <c r="P3404" s="115" t="str">
        <f ca="1">IF(Proc[[#This Row],[DaysAgeing]]&gt;5,"yep","on track")</f>
        <v>yep</v>
      </c>
      <c r="Q3404" s="3">
        <f ca="1">IF(Proc[[#This Row],[DateClosed]]="",ABS(NETWORKDAYS(Proc[[#This Row],[DateOpened]],TODAY()))-1,ABS(NETWORKDAYS(Proc[[#This Row],[DateOpened]],Proc[[#This Row],[DateClosed]]))-1)</f>
        <v>98</v>
      </c>
      <c r="R3404" s="115" t="s">
        <v>1459</v>
      </c>
      <c r="S3404" s="125"/>
    </row>
    <row r="3405" spans="1:19" hidden="1">
      <c r="A3405" s="124" t="s">
        <v>5478</v>
      </c>
      <c r="B3405" s="149" t="str">
        <f>IFERROR(VLOOKUP(Proc[[#This Row],[App]],Table2[],3,0),"open")</f>
        <v>ok</v>
      </c>
      <c r="C3405" s="124" t="s">
        <v>369</v>
      </c>
      <c r="D3405" t="s">
        <v>5428</v>
      </c>
      <c r="E3405" t="s">
        <v>5453</v>
      </c>
      <c r="F3405" s="125" t="s">
        <v>5453</v>
      </c>
      <c r="G3405" s="124" t="s">
        <v>406</v>
      </c>
      <c r="H3405" s="125" t="str">
        <f>IF(Proc[[#This Row],[type]]="LFF (MDG-F)",MID(Proc[[#This Row],[Obj]],13,10),"")</f>
        <v>2123GIT085</v>
      </c>
      <c r="J3405" s="125" t="b">
        <f>Proc[[#This Row],[Requested]]=Proc[[#This Row],[CurrentParent]]</f>
        <v>1</v>
      </c>
      <c r="K3405" s="144" t="str">
        <f>IF(Proc[[#This Row],[Author]]="Marcela Urrego",VLOOKUP(LEFT(Proc[[#This Row],[Requested]],1),Table3[#All],2,0),VLOOKUP(Proc[[#This Row],[Author]],Table4[],2,0))</f>
        <v>MGF</v>
      </c>
      <c r="L3405" s="125" t="s">
        <v>4894</v>
      </c>
      <c r="M3405" s="113">
        <v>45874</v>
      </c>
      <c r="N3405" s="113"/>
      <c r="O3405" s="113"/>
      <c r="P3405" s="115" t="str">
        <f ca="1">IF(Proc[[#This Row],[DaysAgeing]]&gt;5,"yep","on track")</f>
        <v>yep</v>
      </c>
      <c r="Q3405" s="3">
        <f ca="1">IF(Proc[[#This Row],[DateClosed]]="",ABS(NETWORKDAYS(Proc[[#This Row],[DateOpened]],TODAY()))-1,ABS(NETWORKDAYS(Proc[[#This Row],[DateOpened]],Proc[[#This Row],[DateClosed]]))-1)</f>
        <v>98</v>
      </c>
      <c r="R3405" s="115" t="s">
        <v>1459</v>
      </c>
      <c r="S3405" s="125"/>
    </row>
    <row r="3406" spans="1:19" hidden="1">
      <c r="A3406" s="124" t="s">
        <v>5478</v>
      </c>
      <c r="B3406" s="149" t="str">
        <f>IFERROR(VLOOKUP(Proc[[#This Row],[App]],Table2[],3,0),"open")</f>
        <v>ok</v>
      </c>
      <c r="C3406" s="124" t="s">
        <v>369</v>
      </c>
      <c r="D3406" t="s">
        <v>5429</v>
      </c>
      <c r="E3406" t="s">
        <v>5453</v>
      </c>
      <c r="F3406" s="125" t="s">
        <v>5453</v>
      </c>
      <c r="G3406" s="124" t="s">
        <v>406</v>
      </c>
      <c r="H3406" s="125" t="str">
        <f>IF(Proc[[#This Row],[type]]="LFF (MDG-F)",MID(Proc[[#This Row],[Obj]],13,10),"")</f>
        <v>2123GIT097</v>
      </c>
      <c r="J3406" s="125" t="b">
        <f>Proc[[#This Row],[Requested]]=Proc[[#This Row],[CurrentParent]]</f>
        <v>1</v>
      </c>
      <c r="K3406" s="144" t="str">
        <f>IF(Proc[[#This Row],[Author]]="Marcela Urrego",VLOOKUP(LEFT(Proc[[#This Row],[Requested]],1),Table3[#All],2,0),VLOOKUP(Proc[[#This Row],[Author]],Table4[],2,0))</f>
        <v>MGF</v>
      </c>
      <c r="L3406" s="125" t="s">
        <v>4894</v>
      </c>
      <c r="M3406" s="113">
        <v>45874</v>
      </c>
      <c r="N3406" s="113"/>
      <c r="O3406" s="113"/>
      <c r="P3406" s="115" t="str">
        <f ca="1">IF(Proc[[#This Row],[DaysAgeing]]&gt;5,"yep","on track")</f>
        <v>yep</v>
      </c>
      <c r="Q3406" s="3">
        <f ca="1">IF(Proc[[#This Row],[DateClosed]]="",ABS(NETWORKDAYS(Proc[[#This Row],[DateOpened]],TODAY()))-1,ABS(NETWORKDAYS(Proc[[#This Row],[DateOpened]],Proc[[#This Row],[DateClosed]]))-1)</f>
        <v>98</v>
      </c>
      <c r="R3406" s="115" t="s">
        <v>1459</v>
      </c>
      <c r="S3406" s="125"/>
    </row>
    <row r="3407" spans="1:19" hidden="1">
      <c r="A3407" s="124" t="s">
        <v>5478</v>
      </c>
      <c r="B3407" s="149" t="str">
        <f>IFERROR(VLOOKUP(Proc[[#This Row],[App]],Table2[],3,0),"open")</f>
        <v>ok</v>
      </c>
      <c r="C3407" s="124" t="s">
        <v>369</v>
      </c>
      <c r="D3407" t="s">
        <v>5430</v>
      </c>
      <c r="E3407" t="s">
        <v>5464</v>
      </c>
      <c r="F3407" s="125" t="s">
        <v>5464</v>
      </c>
      <c r="G3407" s="124" t="s">
        <v>406</v>
      </c>
      <c r="H3407" s="125" t="str">
        <f>IF(Proc[[#This Row],[type]]="LFF (MDG-F)",MID(Proc[[#This Row],[Obj]],13,10),"")</f>
        <v>2123GIT025</v>
      </c>
      <c r="J3407" s="125" t="b">
        <f>Proc[[#This Row],[Requested]]=Proc[[#This Row],[CurrentParent]]</f>
        <v>1</v>
      </c>
      <c r="K3407" s="144" t="str">
        <f>IF(Proc[[#This Row],[Author]]="Marcela Urrego",VLOOKUP(LEFT(Proc[[#This Row],[Requested]],1),Table3[#All],2,0),VLOOKUP(Proc[[#This Row],[Author]],Table4[],2,0))</f>
        <v>MGF</v>
      </c>
      <c r="L3407" s="125" t="s">
        <v>4894</v>
      </c>
      <c r="M3407" s="113">
        <v>45874</v>
      </c>
      <c r="N3407" s="113"/>
      <c r="O3407" s="113"/>
      <c r="P3407" s="115" t="str">
        <f ca="1">IF(Proc[[#This Row],[DaysAgeing]]&gt;5,"yep","on track")</f>
        <v>yep</v>
      </c>
      <c r="Q3407" s="3">
        <f ca="1">IF(Proc[[#This Row],[DateClosed]]="",ABS(NETWORKDAYS(Proc[[#This Row],[DateOpened]],TODAY()))-1,ABS(NETWORKDAYS(Proc[[#This Row],[DateOpened]],Proc[[#This Row],[DateClosed]]))-1)</f>
        <v>98</v>
      </c>
      <c r="R3407" s="115" t="s">
        <v>1459</v>
      </c>
      <c r="S3407" s="125"/>
    </row>
    <row r="3408" spans="1:19" hidden="1">
      <c r="A3408" s="124" t="s">
        <v>5478</v>
      </c>
      <c r="B3408" s="149" t="str">
        <f>IFERROR(VLOOKUP(Proc[[#This Row],[App]],Table2[],3,0),"open")</f>
        <v>ok</v>
      </c>
      <c r="C3408" s="124" t="s">
        <v>369</v>
      </c>
      <c r="D3408" t="s">
        <v>5431</v>
      </c>
      <c r="E3408" t="s">
        <v>5453</v>
      </c>
      <c r="F3408" s="125" t="s">
        <v>5453</v>
      </c>
      <c r="G3408" s="124" t="s">
        <v>406</v>
      </c>
      <c r="H3408" s="125" t="str">
        <f>IF(Proc[[#This Row],[type]]="LFF (MDG-F)",MID(Proc[[#This Row],[Obj]],13,10),"")</f>
        <v>2123GIT311</v>
      </c>
      <c r="J3408" s="125" t="b">
        <f>Proc[[#This Row],[Requested]]=Proc[[#This Row],[CurrentParent]]</f>
        <v>1</v>
      </c>
      <c r="K3408" s="144" t="str">
        <f>IF(Proc[[#This Row],[Author]]="Marcela Urrego",VLOOKUP(LEFT(Proc[[#This Row],[Requested]],1),Table3[#All],2,0),VLOOKUP(Proc[[#This Row],[Author]],Table4[],2,0))</f>
        <v>MGF</v>
      </c>
      <c r="L3408" s="125" t="s">
        <v>4894</v>
      </c>
      <c r="M3408" s="113">
        <v>45874</v>
      </c>
      <c r="N3408" s="113"/>
      <c r="O3408" s="113"/>
      <c r="P3408" s="115" t="str">
        <f ca="1">IF(Proc[[#This Row],[DaysAgeing]]&gt;5,"yep","on track")</f>
        <v>yep</v>
      </c>
      <c r="Q3408" s="3">
        <f ca="1">IF(Proc[[#This Row],[DateClosed]]="",ABS(NETWORKDAYS(Proc[[#This Row],[DateOpened]],TODAY()))-1,ABS(NETWORKDAYS(Proc[[#This Row],[DateOpened]],Proc[[#This Row],[DateClosed]]))-1)</f>
        <v>98</v>
      </c>
      <c r="R3408" s="115" t="s">
        <v>1459</v>
      </c>
      <c r="S3408" s="125"/>
    </row>
    <row r="3409" spans="1:19" hidden="1">
      <c r="A3409" s="124" t="s">
        <v>5478</v>
      </c>
      <c r="B3409" s="149" t="str">
        <f>IFERROR(VLOOKUP(Proc[[#This Row],[App]],Table2[],3,0),"open")</f>
        <v>ok</v>
      </c>
      <c r="C3409" s="124" t="s">
        <v>369</v>
      </c>
      <c r="D3409" t="s">
        <v>5432</v>
      </c>
      <c r="E3409" t="s">
        <v>5447</v>
      </c>
      <c r="F3409" s="125" t="s">
        <v>5447</v>
      </c>
      <c r="G3409" s="124" t="s">
        <v>406</v>
      </c>
      <c r="H3409" s="125" t="str">
        <f>IF(Proc[[#This Row],[type]]="LFF (MDG-F)",MID(Proc[[#This Row],[Obj]],13,10),"")</f>
        <v>2123GIT312</v>
      </c>
      <c r="J3409" s="125" t="b">
        <f>Proc[[#This Row],[Requested]]=Proc[[#This Row],[CurrentParent]]</f>
        <v>1</v>
      </c>
      <c r="K3409" s="144" t="str">
        <f>IF(Proc[[#This Row],[Author]]="Marcela Urrego",VLOOKUP(LEFT(Proc[[#This Row],[Requested]],1),Table3[#All],2,0),VLOOKUP(Proc[[#This Row],[Author]],Table4[],2,0))</f>
        <v>MGF</v>
      </c>
      <c r="L3409" s="125" t="s">
        <v>4894</v>
      </c>
      <c r="M3409" s="113">
        <v>45874</v>
      </c>
      <c r="N3409" s="113"/>
      <c r="O3409" s="113"/>
      <c r="P3409" s="115" t="str">
        <f ca="1">IF(Proc[[#This Row],[DaysAgeing]]&gt;5,"yep","on track")</f>
        <v>yep</v>
      </c>
      <c r="Q3409" s="3">
        <f ca="1">IF(Proc[[#This Row],[DateClosed]]="",ABS(NETWORKDAYS(Proc[[#This Row],[DateOpened]],TODAY()))-1,ABS(NETWORKDAYS(Proc[[#This Row],[DateOpened]],Proc[[#This Row],[DateClosed]]))-1)</f>
        <v>98</v>
      </c>
      <c r="R3409" s="115" t="s">
        <v>1459</v>
      </c>
      <c r="S3409" s="125"/>
    </row>
    <row r="3410" spans="1:19" hidden="1">
      <c r="A3410" s="124" t="s">
        <v>5478</v>
      </c>
      <c r="B3410" s="149" t="str">
        <f>IFERROR(VLOOKUP(Proc[[#This Row],[App]],Table2[],3,0),"open")</f>
        <v>ok</v>
      </c>
      <c r="C3410" s="124" t="s">
        <v>369</v>
      </c>
      <c r="D3410" t="s">
        <v>5433</v>
      </c>
      <c r="E3410" t="s">
        <v>5447</v>
      </c>
      <c r="F3410" s="125" t="s">
        <v>5447</v>
      </c>
      <c r="G3410" s="124" t="s">
        <v>406</v>
      </c>
      <c r="H3410" s="125" t="str">
        <f>IF(Proc[[#This Row],[type]]="LFF (MDG-F)",MID(Proc[[#This Row],[Obj]],13,10),"")</f>
        <v>2123GIT313</v>
      </c>
      <c r="J3410" s="125" t="b">
        <f>Proc[[#This Row],[Requested]]=Proc[[#This Row],[CurrentParent]]</f>
        <v>1</v>
      </c>
      <c r="K3410" s="144" t="str">
        <f>IF(Proc[[#This Row],[Author]]="Marcela Urrego",VLOOKUP(LEFT(Proc[[#This Row],[Requested]],1),Table3[#All],2,0),VLOOKUP(Proc[[#This Row],[Author]],Table4[],2,0))</f>
        <v>MGF</v>
      </c>
      <c r="L3410" s="125" t="s">
        <v>4894</v>
      </c>
      <c r="M3410" s="113">
        <v>45874</v>
      </c>
      <c r="N3410" s="113"/>
      <c r="O3410" s="113"/>
      <c r="P3410" s="115" t="str">
        <f ca="1">IF(Proc[[#This Row],[DaysAgeing]]&gt;5,"yep","on track")</f>
        <v>yep</v>
      </c>
      <c r="Q3410" s="3">
        <f ca="1">IF(Proc[[#This Row],[DateClosed]]="",ABS(NETWORKDAYS(Proc[[#This Row],[DateOpened]],TODAY()))-1,ABS(NETWORKDAYS(Proc[[#This Row],[DateOpened]],Proc[[#This Row],[DateClosed]]))-1)</f>
        <v>98</v>
      </c>
      <c r="R3410" s="115" t="s">
        <v>1459</v>
      </c>
      <c r="S3410" s="125"/>
    </row>
    <row r="3411" spans="1:19" hidden="1">
      <c r="A3411" s="124" t="s">
        <v>5478</v>
      </c>
      <c r="B3411" s="149" t="str">
        <f>IFERROR(VLOOKUP(Proc[[#This Row],[App]],Table2[],3,0),"open")</f>
        <v>ok</v>
      </c>
      <c r="C3411" s="124" t="s">
        <v>369</v>
      </c>
      <c r="D3411" t="s">
        <v>5434</v>
      </c>
      <c r="E3411" t="s">
        <v>427</v>
      </c>
      <c r="F3411" s="125" t="s">
        <v>427</v>
      </c>
      <c r="G3411" s="124" t="s">
        <v>400</v>
      </c>
      <c r="H3411" s="125" t="str">
        <f>IF(Proc[[#This Row],[type]]="LFF (MDG-F)",MID(Proc[[#This Row],[Obj]],13,10),"")</f>
        <v/>
      </c>
      <c r="J3411" s="125" t="b">
        <f>Proc[[#This Row],[Requested]]=Proc[[#This Row],[CurrentParent]]</f>
        <v>1</v>
      </c>
      <c r="K3411" s="144" t="str">
        <f>IF(Proc[[#This Row],[Author]]="Marcela Urrego",VLOOKUP(LEFT(Proc[[#This Row],[Requested]],1),Table3[#All],2,0),VLOOKUP(Proc[[#This Row],[Author]],Table4[],2,0))</f>
        <v>MGF</v>
      </c>
      <c r="L3411" s="125" t="s">
        <v>4894</v>
      </c>
      <c r="M3411" s="113">
        <v>45874</v>
      </c>
      <c r="N3411" s="113"/>
      <c r="O3411" s="113"/>
      <c r="P3411" s="115" t="str">
        <f ca="1">IF(Proc[[#This Row],[DaysAgeing]]&gt;5,"yep","on track")</f>
        <v>yep</v>
      </c>
      <c r="Q3411" s="3">
        <f ca="1">IF(Proc[[#This Row],[DateClosed]]="",ABS(NETWORKDAYS(Proc[[#This Row],[DateOpened]],TODAY()))-1,ABS(NETWORKDAYS(Proc[[#This Row],[DateOpened]],Proc[[#This Row],[DateClosed]]))-1)</f>
        <v>98</v>
      </c>
      <c r="R3411" s="115" t="s">
        <v>1459</v>
      </c>
      <c r="S3411" s="125"/>
    </row>
    <row r="3412" spans="1:19" hidden="1">
      <c r="A3412" s="124" t="s">
        <v>5478</v>
      </c>
      <c r="B3412" s="149" t="str">
        <f>IFERROR(VLOOKUP(Proc[[#This Row],[App]],Table2[],3,0),"open")</f>
        <v>ok</v>
      </c>
      <c r="C3412" s="124" t="s">
        <v>369</v>
      </c>
      <c r="D3412" t="s">
        <v>5435</v>
      </c>
      <c r="E3412" t="s">
        <v>5446</v>
      </c>
      <c r="F3412" s="125" t="s">
        <v>5446</v>
      </c>
      <c r="G3412" s="124" t="s">
        <v>400</v>
      </c>
      <c r="H3412" s="125" t="str">
        <f>IF(Proc[[#This Row],[type]]="LFF (MDG-F)",MID(Proc[[#This Row],[Obj]],13,10),"")</f>
        <v/>
      </c>
      <c r="J3412" s="125" t="b">
        <f>Proc[[#This Row],[Requested]]=Proc[[#This Row],[CurrentParent]]</f>
        <v>1</v>
      </c>
      <c r="K3412" s="144" t="str">
        <f>IF(Proc[[#This Row],[Author]]="Marcela Urrego",VLOOKUP(LEFT(Proc[[#This Row],[Requested]],1),Table3[#All],2,0),VLOOKUP(Proc[[#This Row],[Author]],Table4[],2,0))</f>
        <v>MGF</v>
      </c>
      <c r="L3412" s="125" t="s">
        <v>4894</v>
      </c>
      <c r="M3412" s="113">
        <v>45874</v>
      </c>
      <c r="N3412" s="113"/>
      <c r="O3412" s="113"/>
      <c r="P3412" s="115" t="str">
        <f ca="1">IF(Proc[[#This Row],[DaysAgeing]]&gt;5,"yep","on track")</f>
        <v>yep</v>
      </c>
      <c r="Q3412" s="3">
        <f ca="1">IF(Proc[[#This Row],[DateClosed]]="",ABS(NETWORKDAYS(Proc[[#This Row],[DateOpened]],TODAY()))-1,ABS(NETWORKDAYS(Proc[[#This Row],[DateOpened]],Proc[[#This Row],[DateClosed]]))-1)</f>
        <v>98</v>
      </c>
      <c r="R3412" s="115" t="s">
        <v>1459</v>
      </c>
      <c r="S3412" s="125"/>
    </row>
    <row r="3413" spans="1:19" hidden="1">
      <c r="A3413" s="124" t="s">
        <v>5478</v>
      </c>
      <c r="B3413" s="149" t="str">
        <f>IFERROR(VLOOKUP(Proc[[#This Row],[App]],Table2[],3,0),"open")</f>
        <v>ok</v>
      </c>
      <c r="C3413" s="124" t="s">
        <v>369</v>
      </c>
      <c r="D3413" t="s">
        <v>5436</v>
      </c>
      <c r="E3413" t="s">
        <v>5476</v>
      </c>
      <c r="F3413" s="125" t="s">
        <v>5476</v>
      </c>
      <c r="G3413" s="124" t="s">
        <v>406</v>
      </c>
      <c r="H3413" s="125" t="str">
        <f>IF(Proc[[#This Row],[type]]="LFF (MDG-F)",MID(Proc[[#This Row],[Obj]],13,10),"")</f>
        <v>DE10669638</v>
      </c>
      <c r="J3413" s="125" t="b">
        <f>Proc[[#This Row],[Requested]]=Proc[[#This Row],[CurrentParent]]</f>
        <v>1</v>
      </c>
      <c r="K3413" s="144" t="str">
        <f>IF(Proc[[#This Row],[Author]]="Marcela Urrego",VLOOKUP(LEFT(Proc[[#This Row],[Requested]],1),Table3[#All],2,0),VLOOKUP(Proc[[#This Row],[Author]],Table4[],2,0))</f>
        <v>MGF</v>
      </c>
      <c r="L3413" s="125" t="s">
        <v>4894</v>
      </c>
      <c r="M3413" s="113">
        <v>45874</v>
      </c>
      <c r="N3413" s="113"/>
      <c r="O3413" s="113"/>
      <c r="P3413" s="115" t="str">
        <f ca="1">IF(Proc[[#This Row],[DaysAgeing]]&gt;5,"yep","on track")</f>
        <v>yep</v>
      </c>
      <c r="Q3413" s="3">
        <f ca="1">IF(Proc[[#This Row],[DateClosed]]="",ABS(NETWORKDAYS(Proc[[#This Row],[DateOpened]],TODAY()))-1,ABS(NETWORKDAYS(Proc[[#This Row],[DateOpened]],Proc[[#This Row],[DateClosed]]))-1)</f>
        <v>98</v>
      </c>
      <c r="R3413" s="115" t="s">
        <v>1459</v>
      </c>
      <c r="S3413" s="125"/>
    </row>
    <row r="3414" spans="1:19" hidden="1">
      <c r="A3414" s="124" t="s">
        <v>5478</v>
      </c>
      <c r="B3414" s="149" t="str">
        <f>IFERROR(VLOOKUP(Proc[[#This Row],[App]],Table2[],3,0),"open")</f>
        <v>ok</v>
      </c>
      <c r="C3414" s="124" t="s">
        <v>369</v>
      </c>
      <c r="D3414" t="s">
        <v>5437</v>
      </c>
      <c r="E3414" t="s">
        <v>5477</v>
      </c>
      <c r="F3414" s="125" t="s">
        <v>5477</v>
      </c>
      <c r="G3414" s="124" t="s">
        <v>406</v>
      </c>
      <c r="H3414" s="125" t="str">
        <f>IF(Proc[[#This Row],[type]]="LFF (MDG-F)",MID(Proc[[#This Row],[Obj]],13,10),"")</f>
        <v>DE10YIT014</v>
      </c>
      <c r="J3414" s="125" t="b">
        <f>Proc[[#This Row],[Requested]]=Proc[[#This Row],[CurrentParent]]</f>
        <v>1</v>
      </c>
      <c r="K3414" s="144" t="str">
        <f>IF(Proc[[#This Row],[Author]]="Marcela Urrego",VLOOKUP(LEFT(Proc[[#This Row],[Requested]],1),Table3[#All],2,0),VLOOKUP(Proc[[#This Row],[Author]],Table4[],2,0))</f>
        <v>MGF</v>
      </c>
      <c r="L3414" s="125" t="s">
        <v>4894</v>
      </c>
      <c r="M3414" s="113">
        <v>45874</v>
      </c>
      <c r="N3414" s="113"/>
      <c r="O3414" s="113"/>
      <c r="P3414" s="115" t="str">
        <f ca="1">IF(Proc[[#This Row],[DaysAgeing]]&gt;5,"yep","on track")</f>
        <v>yep</v>
      </c>
      <c r="Q3414" s="3">
        <f ca="1">IF(Proc[[#This Row],[DateClosed]]="",ABS(NETWORKDAYS(Proc[[#This Row],[DateOpened]],TODAY()))-1,ABS(NETWORKDAYS(Proc[[#This Row],[DateOpened]],Proc[[#This Row],[DateClosed]]))-1)</f>
        <v>98</v>
      </c>
      <c r="R3414" s="115" t="s">
        <v>1459</v>
      </c>
      <c r="S3414" s="125"/>
    </row>
    <row r="3415" spans="1:19" hidden="1">
      <c r="A3415" s="124" t="s">
        <v>5478</v>
      </c>
      <c r="B3415" s="149" t="str">
        <f>IFERROR(VLOOKUP(Proc[[#This Row],[App]],Table2[],3,0),"open")</f>
        <v>ok</v>
      </c>
      <c r="C3415" s="124" t="s">
        <v>369</v>
      </c>
      <c r="D3415" t="s">
        <v>5438</v>
      </c>
      <c r="E3415" t="s">
        <v>5476</v>
      </c>
      <c r="F3415" s="125" t="s">
        <v>5476</v>
      </c>
      <c r="G3415" s="124" t="s">
        <v>406</v>
      </c>
      <c r="H3415" s="125" t="str">
        <f>IF(Proc[[#This Row],[type]]="LFF (MDG-F)",MID(Proc[[#This Row],[Obj]],13,10),"")</f>
        <v>DE10GMS070</v>
      </c>
      <c r="J3415" s="125" t="b">
        <f>Proc[[#This Row],[Requested]]=Proc[[#This Row],[CurrentParent]]</f>
        <v>1</v>
      </c>
      <c r="K3415" s="144" t="str">
        <f>IF(Proc[[#This Row],[Author]]="Marcela Urrego",VLOOKUP(LEFT(Proc[[#This Row],[Requested]],1),Table3[#All],2,0),VLOOKUP(Proc[[#This Row],[Author]],Table4[],2,0))</f>
        <v>MGF</v>
      </c>
      <c r="L3415" s="125" t="s">
        <v>4894</v>
      </c>
      <c r="M3415" s="113">
        <v>45874</v>
      </c>
      <c r="N3415" s="113"/>
      <c r="O3415" s="113"/>
      <c r="P3415" s="115" t="str">
        <f ca="1">IF(Proc[[#This Row],[DaysAgeing]]&gt;5,"yep","on track")</f>
        <v>yep</v>
      </c>
      <c r="Q3415" s="3">
        <f ca="1">IF(Proc[[#This Row],[DateClosed]]="",ABS(NETWORKDAYS(Proc[[#This Row],[DateOpened]],TODAY()))-1,ABS(NETWORKDAYS(Proc[[#This Row],[DateOpened]],Proc[[#This Row],[DateClosed]]))-1)</f>
        <v>98</v>
      </c>
      <c r="R3415" s="115" t="s">
        <v>1459</v>
      </c>
      <c r="S3415" s="125"/>
    </row>
    <row r="3416" spans="1:19" hidden="1">
      <c r="A3416" s="124" t="s">
        <v>5478</v>
      </c>
      <c r="B3416" s="149" t="str">
        <f>IFERROR(VLOOKUP(Proc[[#This Row],[App]],Table2[],3,0),"open")</f>
        <v>ok</v>
      </c>
      <c r="C3416" s="124" t="s">
        <v>369</v>
      </c>
      <c r="D3416" t="s">
        <v>5439</v>
      </c>
      <c r="E3416" t="s">
        <v>5476</v>
      </c>
      <c r="F3416" s="125" t="s">
        <v>5476</v>
      </c>
      <c r="G3416" s="124" t="s">
        <v>400</v>
      </c>
      <c r="H3416" s="125" t="str">
        <f>IF(Proc[[#This Row],[type]]="LFF (MDG-F)",MID(Proc[[#This Row],[Obj]],13,10),"")</f>
        <v/>
      </c>
      <c r="J3416" s="125" t="b">
        <f>Proc[[#This Row],[Requested]]=Proc[[#This Row],[CurrentParent]]</f>
        <v>1</v>
      </c>
      <c r="K3416" s="144" t="str">
        <f>IF(Proc[[#This Row],[Author]]="Marcela Urrego",VLOOKUP(LEFT(Proc[[#This Row],[Requested]],1),Table3[#All],2,0),VLOOKUP(Proc[[#This Row],[Author]],Table4[],2,0))</f>
        <v>MGF</v>
      </c>
      <c r="L3416" s="125" t="s">
        <v>4894</v>
      </c>
      <c r="M3416" s="113">
        <v>45874</v>
      </c>
      <c r="N3416" s="113"/>
      <c r="O3416" s="113"/>
      <c r="P3416" s="115" t="str">
        <f ca="1">IF(Proc[[#This Row],[DaysAgeing]]&gt;5,"yep","on track")</f>
        <v>yep</v>
      </c>
      <c r="Q3416" s="3">
        <f ca="1">IF(Proc[[#This Row],[DateClosed]]="",ABS(NETWORKDAYS(Proc[[#This Row],[DateOpened]],TODAY()))-1,ABS(NETWORKDAYS(Proc[[#This Row],[DateOpened]],Proc[[#This Row],[DateClosed]]))-1)</f>
        <v>98</v>
      </c>
      <c r="R3416" s="115" t="s">
        <v>1459</v>
      </c>
      <c r="S3416" s="125"/>
    </row>
    <row r="3417" spans="1:19" hidden="1">
      <c r="A3417" s="124" t="s">
        <v>5478</v>
      </c>
      <c r="B3417" s="149" t="str">
        <f>IFERROR(VLOOKUP(Proc[[#This Row],[App]],Table2[],3,0),"open")</f>
        <v>ok</v>
      </c>
      <c r="C3417" s="124" t="s">
        <v>369</v>
      </c>
      <c r="D3417" t="s">
        <v>5440</v>
      </c>
      <c r="E3417" t="s">
        <v>5476</v>
      </c>
      <c r="F3417" s="125" t="s">
        <v>5476</v>
      </c>
      <c r="G3417" s="124" t="s">
        <v>400</v>
      </c>
      <c r="H3417" s="125" t="str">
        <f>IF(Proc[[#This Row],[type]]="LFF (MDG-F)",MID(Proc[[#This Row],[Obj]],13,10),"")</f>
        <v/>
      </c>
      <c r="J3417" s="125" t="b">
        <f>Proc[[#This Row],[Requested]]=Proc[[#This Row],[CurrentParent]]</f>
        <v>1</v>
      </c>
      <c r="K3417" s="144" t="str">
        <f>IF(Proc[[#This Row],[Author]]="Marcela Urrego",VLOOKUP(LEFT(Proc[[#This Row],[Requested]],1),Table3[#All],2,0),VLOOKUP(Proc[[#This Row],[Author]],Table4[],2,0))</f>
        <v>MGF</v>
      </c>
      <c r="L3417" s="125" t="s">
        <v>4894</v>
      </c>
      <c r="M3417" s="113">
        <v>45874</v>
      </c>
      <c r="N3417" s="113"/>
      <c r="O3417" s="113"/>
      <c r="P3417" s="115" t="str">
        <f ca="1">IF(Proc[[#This Row],[DaysAgeing]]&gt;5,"yep","on track")</f>
        <v>yep</v>
      </c>
      <c r="Q3417" s="3">
        <f ca="1">IF(Proc[[#This Row],[DateClosed]]="",ABS(NETWORKDAYS(Proc[[#This Row],[DateOpened]],TODAY()))-1,ABS(NETWORKDAYS(Proc[[#This Row],[DateOpened]],Proc[[#This Row],[DateClosed]]))-1)</f>
        <v>98</v>
      </c>
      <c r="R3417" s="115" t="s">
        <v>1459</v>
      </c>
      <c r="S3417" s="125"/>
    </row>
    <row r="3418" spans="1:19" hidden="1">
      <c r="A3418" s="124" t="s">
        <v>5478</v>
      </c>
      <c r="B3418" s="149" t="str">
        <f>IFERROR(VLOOKUP(Proc[[#This Row],[App]],Table2[],3,0),"open")</f>
        <v>ok</v>
      </c>
      <c r="C3418" s="124" t="s">
        <v>369</v>
      </c>
      <c r="D3418" t="s">
        <v>5441</v>
      </c>
      <c r="E3418" t="s">
        <v>5476</v>
      </c>
      <c r="F3418" s="125" t="s">
        <v>5476</v>
      </c>
      <c r="G3418" s="124" t="s">
        <v>400</v>
      </c>
      <c r="H3418" s="125" t="str">
        <f>IF(Proc[[#This Row],[type]]="LFF (MDG-F)",MID(Proc[[#This Row],[Obj]],13,10),"")</f>
        <v/>
      </c>
      <c r="J3418" s="125" t="b">
        <f>Proc[[#This Row],[Requested]]=Proc[[#This Row],[CurrentParent]]</f>
        <v>1</v>
      </c>
      <c r="K3418" s="144" t="str">
        <f>IF(Proc[[#This Row],[Author]]="Marcela Urrego",VLOOKUP(LEFT(Proc[[#This Row],[Requested]],1),Table3[#All],2,0),VLOOKUP(Proc[[#This Row],[Author]],Table4[],2,0))</f>
        <v>MGF</v>
      </c>
      <c r="L3418" s="125" t="s">
        <v>4894</v>
      </c>
      <c r="M3418" s="113">
        <v>45874</v>
      </c>
      <c r="N3418" s="113"/>
      <c r="O3418" s="113"/>
      <c r="P3418" s="115" t="str">
        <f ca="1">IF(Proc[[#This Row],[DaysAgeing]]&gt;5,"yep","on track")</f>
        <v>yep</v>
      </c>
      <c r="Q3418" s="3">
        <f ca="1">IF(Proc[[#This Row],[DateClosed]]="",ABS(NETWORKDAYS(Proc[[#This Row],[DateOpened]],TODAY()))-1,ABS(NETWORKDAYS(Proc[[#This Row],[DateOpened]],Proc[[#This Row],[DateClosed]]))-1)</f>
        <v>98</v>
      </c>
      <c r="R3418" s="115" t="s">
        <v>1459</v>
      </c>
      <c r="S3418" s="125"/>
    </row>
    <row r="3419" spans="1:19" hidden="1">
      <c r="A3419" s="124" t="s">
        <v>5478</v>
      </c>
      <c r="B3419" s="149" t="str">
        <f>IFERROR(VLOOKUP(Proc[[#This Row],[App]],Table2[],3,0),"open")</f>
        <v>ok</v>
      </c>
      <c r="C3419" s="124" t="s">
        <v>369</v>
      </c>
      <c r="D3419" t="s">
        <v>5442</v>
      </c>
      <c r="E3419" t="s">
        <v>5476</v>
      </c>
      <c r="F3419" s="125" t="s">
        <v>5476</v>
      </c>
      <c r="G3419" s="124" t="s">
        <v>406</v>
      </c>
      <c r="H3419" s="125" t="str">
        <f>IF(Proc[[#This Row],[type]]="LFF (MDG-F)",MID(Proc[[#This Row],[Obj]],13,10),"")</f>
        <v>2123GMS050</v>
      </c>
      <c r="J3419" s="125" t="b">
        <f>Proc[[#This Row],[Requested]]=Proc[[#This Row],[CurrentParent]]</f>
        <v>1</v>
      </c>
      <c r="K3419" s="144" t="str">
        <f>IF(Proc[[#This Row],[Author]]="Marcela Urrego",VLOOKUP(LEFT(Proc[[#This Row],[Requested]],1),Table3[#All],2,0),VLOOKUP(Proc[[#This Row],[Author]],Table4[],2,0))</f>
        <v>MGF</v>
      </c>
      <c r="L3419" s="125" t="s">
        <v>4894</v>
      </c>
      <c r="M3419" s="113">
        <v>45874</v>
      </c>
      <c r="N3419" s="113"/>
      <c r="O3419" s="113"/>
      <c r="P3419" s="115" t="str">
        <f ca="1">IF(Proc[[#This Row],[DaysAgeing]]&gt;5,"yep","on track")</f>
        <v>yep</v>
      </c>
      <c r="Q3419" s="3">
        <f ca="1">IF(Proc[[#This Row],[DateClosed]]="",ABS(NETWORKDAYS(Proc[[#This Row],[DateOpened]],TODAY()))-1,ABS(NETWORKDAYS(Proc[[#This Row],[DateOpened]],Proc[[#This Row],[DateClosed]]))-1)</f>
        <v>98</v>
      </c>
      <c r="R3419" s="115" t="s">
        <v>1459</v>
      </c>
      <c r="S3419" s="125"/>
    </row>
    <row r="3420" spans="1:19" hidden="1">
      <c r="A3420" s="124" t="s">
        <v>5478</v>
      </c>
      <c r="B3420" s="149" t="str">
        <f>IFERROR(VLOOKUP(Proc[[#This Row],[App]],Table2[],3,0),"open")</f>
        <v>ok</v>
      </c>
      <c r="C3420" s="124" t="s">
        <v>369</v>
      </c>
      <c r="D3420" t="s">
        <v>5443</v>
      </c>
      <c r="E3420" t="s">
        <v>5476</v>
      </c>
      <c r="F3420" s="125" t="s">
        <v>5476</v>
      </c>
      <c r="G3420" s="124" t="s">
        <v>406</v>
      </c>
      <c r="H3420" s="125" t="str">
        <f>IF(Proc[[#This Row],[type]]="LFF (MDG-F)",MID(Proc[[#This Row],[Obj]],13,10),"")</f>
        <v>2123GMS080</v>
      </c>
      <c r="J3420" s="125" t="b">
        <f>Proc[[#This Row],[Requested]]=Proc[[#This Row],[CurrentParent]]</f>
        <v>1</v>
      </c>
      <c r="K3420" s="144" t="str">
        <f>IF(Proc[[#This Row],[Author]]="Marcela Urrego",VLOOKUP(LEFT(Proc[[#This Row],[Requested]],1),Table3[#All],2,0),VLOOKUP(Proc[[#This Row],[Author]],Table4[],2,0))</f>
        <v>MGF</v>
      </c>
      <c r="L3420" s="125" t="s">
        <v>4894</v>
      </c>
      <c r="M3420" s="113">
        <v>45874</v>
      </c>
      <c r="N3420" s="113"/>
      <c r="O3420" s="113"/>
      <c r="P3420" s="115" t="str">
        <f ca="1">IF(Proc[[#This Row],[DaysAgeing]]&gt;5,"yep","on track")</f>
        <v>yep</v>
      </c>
      <c r="Q3420" s="3">
        <f ca="1">IF(Proc[[#This Row],[DateClosed]]="",ABS(NETWORKDAYS(Proc[[#This Row],[DateOpened]],TODAY()))-1,ABS(NETWORKDAYS(Proc[[#This Row],[DateOpened]],Proc[[#This Row],[DateClosed]]))-1)</f>
        <v>98</v>
      </c>
      <c r="R3420" s="115" t="s">
        <v>1459</v>
      </c>
      <c r="S3420" s="125"/>
    </row>
    <row r="3421" spans="1:19" hidden="1">
      <c r="A3421" t="s">
        <v>5493</v>
      </c>
      <c r="B3421" s="149" t="str">
        <f>IFERROR(VLOOKUP(Proc[[#This Row],[App]],Table2[],3,0),"open")</f>
        <v>ok</v>
      </c>
      <c r="C3421" s="124" t="s">
        <v>369</v>
      </c>
      <c r="D3421" t="s">
        <v>5480</v>
      </c>
      <c r="E3421" t="s">
        <v>5494</v>
      </c>
      <c r="F3421" s="125" t="s">
        <v>5494</v>
      </c>
      <c r="G3421" s="124" t="s">
        <v>400</v>
      </c>
      <c r="H3421" s="125" t="str">
        <f>IF(Proc[[#This Row],[type]]="LFF (MDG-F)",MID(Proc[[#This Row],[Obj]],13,10),"")</f>
        <v/>
      </c>
      <c r="J3421" s="125" t="b">
        <f>Proc[[#This Row],[Requested]]=Proc[[#This Row],[CurrentParent]]</f>
        <v>1</v>
      </c>
      <c r="K3421" s="144" t="str">
        <f>IF(Proc[[#This Row],[Author]]="Marcela Urrego",VLOOKUP(LEFT(Proc[[#This Row],[Requested]],1),Table3[#All],2,0),VLOOKUP(Proc[[#This Row],[Author]],Table4[],2,0))</f>
        <v>HC</v>
      </c>
      <c r="L3421" s="125" t="s">
        <v>4894</v>
      </c>
      <c r="M3421" s="113">
        <v>45874</v>
      </c>
      <c r="N3421" s="113"/>
      <c r="O3421" s="113"/>
      <c r="P3421" s="115" t="str">
        <f ca="1">IF(Proc[[#This Row],[DaysAgeing]]&gt;5,"yep","on track")</f>
        <v>yep</v>
      </c>
      <c r="Q3421" s="3">
        <f ca="1">IF(Proc[[#This Row],[DateClosed]]="",ABS(NETWORKDAYS(Proc[[#This Row],[DateOpened]],TODAY()))-1,ABS(NETWORKDAYS(Proc[[#This Row],[DateOpened]],Proc[[#This Row],[DateClosed]]))-1)</f>
        <v>98</v>
      </c>
      <c r="R3421" s="115" t="s">
        <v>1013</v>
      </c>
      <c r="S3421" s="125"/>
    </row>
    <row r="3422" spans="1:19" hidden="1">
      <c r="A3422" s="124" t="s">
        <v>5493</v>
      </c>
      <c r="B3422" s="149" t="str">
        <f>IFERROR(VLOOKUP(Proc[[#This Row],[App]],Table2[],3,0),"open")</f>
        <v>ok</v>
      </c>
      <c r="C3422" s="124" t="s">
        <v>369</v>
      </c>
      <c r="D3422" t="s">
        <v>5481</v>
      </c>
      <c r="E3422" t="s">
        <v>5495</v>
      </c>
      <c r="F3422" s="125" t="s">
        <v>5495</v>
      </c>
      <c r="G3422" s="124" t="s">
        <v>400</v>
      </c>
      <c r="H3422" s="125" t="str">
        <f>IF(Proc[[#This Row],[type]]="LFF (MDG-F)",MID(Proc[[#This Row],[Obj]],13,10),"")</f>
        <v/>
      </c>
      <c r="J3422" s="125" t="b">
        <f>Proc[[#This Row],[Requested]]=Proc[[#This Row],[CurrentParent]]</f>
        <v>1</v>
      </c>
      <c r="K3422" s="144" t="str">
        <f>IF(Proc[[#This Row],[Author]]="Marcela Urrego",VLOOKUP(LEFT(Proc[[#This Row],[Requested]],1),Table3[#All],2,0),VLOOKUP(Proc[[#This Row],[Author]],Table4[],2,0))</f>
        <v>HC</v>
      </c>
      <c r="L3422" s="125" t="s">
        <v>4894</v>
      </c>
      <c r="M3422" s="113">
        <v>45874</v>
      </c>
      <c r="N3422" s="113"/>
      <c r="O3422" s="113"/>
      <c r="P3422" s="115" t="str">
        <f ca="1">IF(Proc[[#This Row],[DaysAgeing]]&gt;5,"yep","on track")</f>
        <v>yep</v>
      </c>
      <c r="Q3422" s="3">
        <f ca="1">IF(Proc[[#This Row],[DateClosed]]="",ABS(NETWORKDAYS(Proc[[#This Row],[DateOpened]],TODAY()))-1,ABS(NETWORKDAYS(Proc[[#This Row],[DateOpened]],Proc[[#This Row],[DateClosed]]))-1)</f>
        <v>98</v>
      </c>
      <c r="R3422" s="115" t="s">
        <v>1013</v>
      </c>
      <c r="S3422" s="125"/>
    </row>
    <row r="3423" spans="1:19" hidden="1">
      <c r="A3423" s="124" t="s">
        <v>5493</v>
      </c>
      <c r="B3423" s="149" t="str">
        <f>IFERROR(VLOOKUP(Proc[[#This Row],[App]],Table2[],3,0),"open")</f>
        <v>ok</v>
      </c>
      <c r="C3423" s="124" t="s">
        <v>369</v>
      </c>
      <c r="D3423" t="s">
        <v>5482</v>
      </c>
      <c r="E3423" t="s">
        <v>5496</v>
      </c>
      <c r="F3423" s="125" t="s">
        <v>5496</v>
      </c>
      <c r="G3423" s="124" t="s">
        <v>400</v>
      </c>
      <c r="H3423" s="125" t="str">
        <f>IF(Proc[[#This Row],[type]]="LFF (MDG-F)",MID(Proc[[#This Row],[Obj]],13,10),"")</f>
        <v/>
      </c>
      <c r="J3423" s="125" t="b">
        <f>Proc[[#This Row],[Requested]]=Proc[[#This Row],[CurrentParent]]</f>
        <v>1</v>
      </c>
      <c r="K3423" s="144" t="str">
        <f>IF(Proc[[#This Row],[Author]]="Marcela Urrego",VLOOKUP(LEFT(Proc[[#This Row],[Requested]],1),Table3[#All],2,0),VLOOKUP(Proc[[#This Row],[Author]],Table4[],2,0))</f>
        <v>HC</v>
      </c>
      <c r="L3423" s="125" t="s">
        <v>4894</v>
      </c>
      <c r="M3423" s="113">
        <v>45874</v>
      </c>
      <c r="N3423" s="113"/>
      <c r="O3423" s="113"/>
      <c r="P3423" s="115" t="str">
        <f ca="1">IF(Proc[[#This Row],[DaysAgeing]]&gt;5,"yep","on track")</f>
        <v>yep</v>
      </c>
      <c r="Q3423" s="3">
        <f ca="1">IF(Proc[[#This Row],[DateClosed]]="",ABS(NETWORKDAYS(Proc[[#This Row],[DateOpened]],TODAY()))-1,ABS(NETWORKDAYS(Proc[[#This Row],[DateOpened]],Proc[[#This Row],[DateClosed]]))-1)</f>
        <v>98</v>
      </c>
      <c r="R3423" s="115" t="s">
        <v>1013</v>
      </c>
      <c r="S3423" s="125"/>
    </row>
    <row r="3424" spans="1:19" hidden="1">
      <c r="A3424" s="124" t="s">
        <v>5493</v>
      </c>
      <c r="B3424" s="149" t="str">
        <f>IFERROR(VLOOKUP(Proc[[#This Row],[App]],Table2[],3,0),"open")</f>
        <v>ok</v>
      </c>
      <c r="C3424" s="124" t="s">
        <v>369</v>
      </c>
      <c r="D3424" t="s">
        <v>5483</v>
      </c>
      <c r="E3424" t="s">
        <v>5497</v>
      </c>
      <c r="F3424" s="125" t="s">
        <v>5497</v>
      </c>
      <c r="G3424" s="124" t="s">
        <v>400</v>
      </c>
      <c r="H3424" s="125" t="str">
        <f>IF(Proc[[#This Row],[type]]="LFF (MDG-F)",MID(Proc[[#This Row],[Obj]],13,10),"")</f>
        <v/>
      </c>
      <c r="J3424" s="125" t="b">
        <f>Proc[[#This Row],[Requested]]=Proc[[#This Row],[CurrentParent]]</f>
        <v>1</v>
      </c>
      <c r="K3424" s="144" t="str">
        <f>IF(Proc[[#This Row],[Author]]="Marcela Urrego",VLOOKUP(LEFT(Proc[[#This Row],[Requested]],1),Table3[#All],2,0),VLOOKUP(Proc[[#This Row],[Author]],Table4[],2,0))</f>
        <v>HC</v>
      </c>
      <c r="L3424" s="125" t="s">
        <v>4894</v>
      </c>
      <c r="M3424" s="113">
        <v>45874</v>
      </c>
      <c r="N3424" s="113"/>
      <c r="O3424" s="113"/>
      <c r="P3424" s="115" t="str">
        <f ca="1">IF(Proc[[#This Row],[DaysAgeing]]&gt;5,"yep","on track")</f>
        <v>yep</v>
      </c>
      <c r="Q3424" s="3">
        <f ca="1">IF(Proc[[#This Row],[DateClosed]]="",ABS(NETWORKDAYS(Proc[[#This Row],[DateOpened]],TODAY()))-1,ABS(NETWORKDAYS(Proc[[#This Row],[DateOpened]],Proc[[#This Row],[DateClosed]]))-1)</f>
        <v>98</v>
      </c>
      <c r="R3424" s="115" t="s">
        <v>1013</v>
      </c>
      <c r="S3424" s="125"/>
    </row>
    <row r="3425" spans="1:19" hidden="1">
      <c r="A3425" s="124" t="s">
        <v>5493</v>
      </c>
      <c r="B3425" s="149" t="str">
        <f>IFERROR(VLOOKUP(Proc[[#This Row],[App]],Table2[],3,0),"open")</f>
        <v>ok</v>
      </c>
      <c r="C3425" s="124" t="s">
        <v>369</v>
      </c>
      <c r="D3425" t="s">
        <v>5484</v>
      </c>
      <c r="E3425" t="s">
        <v>5497</v>
      </c>
      <c r="F3425" s="125" t="s">
        <v>5497</v>
      </c>
      <c r="G3425" s="124" t="s">
        <v>400</v>
      </c>
      <c r="H3425" s="125" t="str">
        <f>IF(Proc[[#This Row],[type]]="LFF (MDG-F)",MID(Proc[[#This Row],[Obj]],13,10),"")</f>
        <v/>
      </c>
      <c r="J3425" s="125" t="b">
        <f>Proc[[#This Row],[Requested]]=Proc[[#This Row],[CurrentParent]]</f>
        <v>1</v>
      </c>
      <c r="K3425" s="144" t="str">
        <f>IF(Proc[[#This Row],[Author]]="Marcela Urrego",VLOOKUP(LEFT(Proc[[#This Row],[Requested]],1),Table3[#All],2,0),VLOOKUP(Proc[[#This Row],[Author]],Table4[],2,0))</f>
        <v>HC</v>
      </c>
      <c r="L3425" s="125" t="s">
        <v>4894</v>
      </c>
      <c r="M3425" s="113">
        <v>45874</v>
      </c>
      <c r="N3425" s="113"/>
      <c r="O3425" s="113"/>
      <c r="P3425" s="115" t="str">
        <f ca="1">IF(Proc[[#This Row],[DaysAgeing]]&gt;5,"yep","on track")</f>
        <v>yep</v>
      </c>
      <c r="Q3425" s="3">
        <f ca="1">IF(Proc[[#This Row],[DateClosed]]="",ABS(NETWORKDAYS(Proc[[#This Row],[DateOpened]],TODAY()))-1,ABS(NETWORKDAYS(Proc[[#This Row],[DateOpened]],Proc[[#This Row],[DateClosed]]))-1)</f>
        <v>98</v>
      </c>
      <c r="R3425" s="115" t="s">
        <v>1013</v>
      </c>
      <c r="S3425" s="125"/>
    </row>
    <row r="3426" spans="1:19" hidden="1">
      <c r="A3426" s="124" t="s">
        <v>5493</v>
      </c>
      <c r="B3426" s="149" t="str">
        <f>IFERROR(VLOOKUP(Proc[[#This Row],[App]],Table2[],3,0),"open")</f>
        <v>ok</v>
      </c>
      <c r="C3426" s="124" t="s">
        <v>369</v>
      </c>
      <c r="D3426" t="s">
        <v>5485</v>
      </c>
      <c r="E3426" t="s">
        <v>5494</v>
      </c>
      <c r="F3426" s="125" t="s">
        <v>5494</v>
      </c>
      <c r="G3426" s="124" t="s">
        <v>400</v>
      </c>
      <c r="H3426" s="125" t="str">
        <f>IF(Proc[[#This Row],[type]]="LFF (MDG-F)",MID(Proc[[#This Row],[Obj]],13,10),"")</f>
        <v/>
      </c>
      <c r="J3426" s="125" t="b">
        <f>Proc[[#This Row],[Requested]]=Proc[[#This Row],[CurrentParent]]</f>
        <v>1</v>
      </c>
      <c r="K3426" s="144" t="str">
        <f>IF(Proc[[#This Row],[Author]]="Marcela Urrego",VLOOKUP(LEFT(Proc[[#This Row],[Requested]],1),Table3[#All],2,0),VLOOKUP(Proc[[#This Row],[Author]],Table4[],2,0))</f>
        <v>HC</v>
      </c>
      <c r="L3426" s="125" t="s">
        <v>4894</v>
      </c>
      <c r="M3426" s="113">
        <v>45874</v>
      </c>
      <c r="N3426" s="113"/>
      <c r="O3426" s="113"/>
      <c r="P3426" s="115" t="str">
        <f ca="1">IF(Proc[[#This Row],[DaysAgeing]]&gt;5,"yep","on track")</f>
        <v>yep</v>
      </c>
      <c r="Q3426" s="3">
        <f ca="1">IF(Proc[[#This Row],[DateClosed]]="",ABS(NETWORKDAYS(Proc[[#This Row],[DateOpened]],TODAY()))-1,ABS(NETWORKDAYS(Proc[[#This Row],[DateOpened]],Proc[[#This Row],[DateClosed]]))-1)</f>
        <v>98</v>
      </c>
      <c r="R3426" s="115" t="s">
        <v>1013</v>
      </c>
      <c r="S3426" s="125"/>
    </row>
    <row r="3427" spans="1:19" hidden="1">
      <c r="A3427" s="124" t="s">
        <v>5493</v>
      </c>
      <c r="B3427" s="149" t="str">
        <f>IFERROR(VLOOKUP(Proc[[#This Row],[App]],Table2[],3,0),"open")</f>
        <v>ok</v>
      </c>
      <c r="C3427" s="124" t="s">
        <v>369</v>
      </c>
      <c r="D3427" t="s">
        <v>5486</v>
      </c>
      <c r="E3427" t="s">
        <v>5495</v>
      </c>
      <c r="F3427" s="125" t="s">
        <v>5495</v>
      </c>
      <c r="G3427" s="124" t="s">
        <v>400</v>
      </c>
      <c r="H3427" s="125" t="str">
        <f>IF(Proc[[#This Row],[type]]="LFF (MDG-F)",MID(Proc[[#This Row],[Obj]],13,10),"")</f>
        <v/>
      </c>
      <c r="J3427" s="125" t="b">
        <f>Proc[[#This Row],[Requested]]=Proc[[#This Row],[CurrentParent]]</f>
        <v>1</v>
      </c>
      <c r="K3427" s="144" t="str">
        <f>IF(Proc[[#This Row],[Author]]="Marcela Urrego",VLOOKUP(LEFT(Proc[[#This Row],[Requested]],1),Table3[#All],2,0),VLOOKUP(Proc[[#This Row],[Author]],Table4[],2,0))</f>
        <v>HC</v>
      </c>
      <c r="L3427" s="125" t="s">
        <v>4894</v>
      </c>
      <c r="M3427" s="113">
        <v>45874</v>
      </c>
      <c r="N3427" s="113"/>
      <c r="O3427" s="113"/>
      <c r="P3427" s="115" t="str">
        <f ca="1">IF(Proc[[#This Row],[DaysAgeing]]&gt;5,"yep","on track")</f>
        <v>yep</v>
      </c>
      <c r="Q3427" s="3">
        <f ca="1">IF(Proc[[#This Row],[DateClosed]]="",ABS(NETWORKDAYS(Proc[[#This Row],[DateOpened]],TODAY()))-1,ABS(NETWORKDAYS(Proc[[#This Row],[DateOpened]],Proc[[#This Row],[DateClosed]]))-1)</f>
        <v>98</v>
      </c>
      <c r="R3427" s="115" t="s">
        <v>1013</v>
      </c>
      <c r="S3427" s="125"/>
    </row>
    <row r="3428" spans="1:19" hidden="1">
      <c r="A3428" s="124" t="s">
        <v>5493</v>
      </c>
      <c r="B3428" s="149" t="str">
        <f>IFERROR(VLOOKUP(Proc[[#This Row],[App]],Table2[],3,0),"open")</f>
        <v>ok</v>
      </c>
      <c r="C3428" s="124" t="s">
        <v>369</v>
      </c>
      <c r="D3428" t="s">
        <v>5487</v>
      </c>
      <c r="E3428" t="s">
        <v>2222</v>
      </c>
      <c r="F3428" s="125" t="s">
        <v>2222</v>
      </c>
      <c r="G3428" s="124" t="s">
        <v>400</v>
      </c>
      <c r="H3428" s="125" t="str">
        <f>IF(Proc[[#This Row],[type]]="LFF (MDG-F)",MID(Proc[[#This Row],[Obj]],13,10),"")</f>
        <v/>
      </c>
      <c r="J3428" s="125" t="b">
        <f>Proc[[#This Row],[Requested]]=Proc[[#This Row],[CurrentParent]]</f>
        <v>1</v>
      </c>
      <c r="K3428" s="144" t="str">
        <f>IF(Proc[[#This Row],[Author]]="Marcela Urrego",VLOOKUP(LEFT(Proc[[#This Row],[Requested]],1),Table3[#All],2,0),VLOOKUP(Proc[[#This Row],[Author]],Table4[],2,0))</f>
        <v>HC</v>
      </c>
      <c r="L3428" s="125" t="s">
        <v>4894</v>
      </c>
      <c r="M3428" s="113">
        <v>45874</v>
      </c>
      <c r="N3428" s="113"/>
      <c r="O3428" s="113"/>
      <c r="P3428" s="115" t="str">
        <f ca="1">IF(Proc[[#This Row],[DaysAgeing]]&gt;5,"yep","on track")</f>
        <v>yep</v>
      </c>
      <c r="Q3428" s="3">
        <f ca="1">IF(Proc[[#This Row],[DateClosed]]="",ABS(NETWORKDAYS(Proc[[#This Row],[DateOpened]],TODAY()))-1,ABS(NETWORKDAYS(Proc[[#This Row],[DateOpened]],Proc[[#This Row],[DateClosed]]))-1)</f>
        <v>98</v>
      </c>
      <c r="R3428" s="115" t="s">
        <v>1013</v>
      </c>
      <c r="S3428" s="125"/>
    </row>
    <row r="3429" spans="1:19" hidden="1">
      <c r="A3429" s="124" t="s">
        <v>5493</v>
      </c>
      <c r="B3429" s="149" t="str">
        <f>IFERROR(VLOOKUP(Proc[[#This Row],[App]],Table2[],3,0),"open")</f>
        <v>ok</v>
      </c>
      <c r="C3429" s="124" t="s">
        <v>369</v>
      </c>
      <c r="D3429" t="s">
        <v>5488</v>
      </c>
      <c r="E3429" t="s">
        <v>2222</v>
      </c>
      <c r="F3429" s="125" t="s">
        <v>2222</v>
      </c>
      <c r="G3429" s="124" t="s">
        <v>400</v>
      </c>
      <c r="H3429" s="125" t="str">
        <f>IF(Proc[[#This Row],[type]]="LFF (MDG-F)",MID(Proc[[#This Row],[Obj]],13,10),"")</f>
        <v/>
      </c>
      <c r="J3429" s="125" t="b">
        <f>Proc[[#This Row],[Requested]]=Proc[[#This Row],[CurrentParent]]</f>
        <v>1</v>
      </c>
      <c r="K3429" s="144" t="str">
        <f>IF(Proc[[#This Row],[Author]]="Marcela Urrego",VLOOKUP(LEFT(Proc[[#This Row],[Requested]],1),Table3[#All],2,0),VLOOKUP(Proc[[#This Row],[Author]],Table4[],2,0))</f>
        <v>HC</v>
      </c>
      <c r="L3429" s="125" t="s">
        <v>4894</v>
      </c>
      <c r="M3429" s="113">
        <v>45874</v>
      </c>
      <c r="N3429" s="113"/>
      <c r="O3429" s="113"/>
      <c r="P3429" s="115" t="str">
        <f ca="1">IF(Proc[[#This Row],[DaysAgeing]]&gt;5,"yep","on track")</f>
        <v>yep</v>
      </c>
      <c r="Q3429" s="3">
        <f ca="1">IF(Proc[[#This Row],[DateClosed]]="",ABS(NETWORKDAYS(Proc[[#This Row],[DateOpened]],TODAY()))-1,ABS(NETWORKDAYS(Proc[[#This Row],[DateOpened]],Proc[[#This Row],[DateClosed]]))-1)</f>
        <v>98</v>
      </c>
      <c r="R3429" s="115" t="s">
        <v>1013</v>
      </c>
      <c r="S3429" s="125"/>
    </row>
    <row r="3430" spans="1:19" hidden="1">
      <c r="A3430" s="124" t="s">
        <v>5493</v>
      </c>
      <c r="B3430" s="149" t="str">
        <f>IFERROR(VLOOKUP(Proc[[#This Row],[App]],Table2[],3,0),"open")</f>
        <v>ok</v>
      </c>
      <c r="C3430" s="124" t="s">
        <v>369</v>
      </c>
      <c r="D3430" t="s">
        <v>5489</v>
      </c>
      <c r="E3430" t="s">
        <v>2224</v>
      </c>
      <c r="F3430" s="125" t="s">
        <v>2224</v>
      </c>
      <c r="G3430" s="124" t="s">
        <v>400</v>
      </c>
      <c r="H3430" s="125" t="str">
        <f>IF(Proc[[#This Row],[type]]="LFF (MDG-F)",MID(Proc[[#This Row],[Obj]],13,10),"")</f>
        <v/>
      </c>
      <c r="J3430" s="125" t="b">
        <f>Proc[[#This Row],[Requested]]=Proc[[#This Row],[CurrentParent]]</f>
        <v>1</v>
      </c>
      <c r="K3430" s="144" t="str">
        <f>IF(Proc[[#This Row],[Author]]="Marcela Urrego",VLOOKUP(LEFT(Proc[[#This Row],[Requested]],1),Table3[#All],2,0),VLOOKUP(Proc[[#This Row],[Author]],Table4[],2,0))</f>
        <v>HC</v>
      </c>
      <c r="L3430" s="125" t="s">
        <v>4894</v>
      </c>
      <c r="M3430" s="113">
        <v>45874</v>
      </c>
      <c r="N3430" s="113"/>
      <c r="O3430" s="113"/>
      <c r="P3430" s="115" t="str">
        <f ca="1">IF(Proc[[#This Row],[DaysAgeing]]&gt;5,"yep","on track")</f>
        <v>yep</v>
      </c>
      <c r="Q3430" s="3">
        <f ca="1">IF(Proc[[#This Row],[DateClosed]]="",ABS(NETWORKDAYS(Proc[[#This Row],[DateOpened]],TODAY()))-1,ABS(NETWORKDAYS(Proc[[#This Row],[DateOpened]],Proc[[#This Row],[DateClosed]]))-1)</f>
        <v>98</v>
      </c>
      <c r="R3430" s="115" t="s">
        <v>1013</v>
      </c>
      <c r="S3430" s="125"/>
    </row>
    <row r="3431" spans="1:19" hidden="1">
      <c r="A3431" s="124" t="s">
        <v>5493</v>
      </c>
      <c r="B3431" s="149" t="str">
        <f>IFERROR(VLOOKUP(Proc[[#This Row],[App]],Table2[],3,0),"open")</f>
        <v>ok</v>
      </c>
      <c r="C3431" s="124" t="s">
        <v>369</v>
      </c>
      <c r="D3431" t="s">
        <v>5490</v>
      </c>
      <c r="E3431" t="s">
        <v>5497</v>
      </c>
      <c r="F3431" s="125" t="s">
        <v>5497</v>
      </c>
      <c r="G3431" t="s">
        <v>400</v>
      </c>
      <c r="H3431" s="125" t="str">
        <f>IF(Proc[[#This Row],[type]]="LFF (MDG-F)",MID(Proc[[#This Row],[Obj]],13,10),"")</f>
        <v/>
      </c>
      <c r="J3431" s="125" t="b">
        <f>Proc[[#This Row],[Requested]]=Proc[[#This Row],[CurrentParent]]</f>
        <v>1</v>
      </c>
      <c r="K3431" s="144" t="str">
        <f>IF(Proc[[#This Row],[Author]]="Marcela Urrego",VLOOKUP(LEFT(Proc[[#This Row],[Requested]],1),Table3[#All],2,0),VLOOKUP(Proc[[#This Row],[Author]],Table4[],2,0))</f>
        <v>HC</v>
      </c>
      <c r="L3431" s="125" t="s">
        <v>4894</v>
      </c>
      <c r="M3431" s="113">
        <v>45874</v>
      </c>
      <c r="N3431" s="113"/>
      <c r="O3431" s="113"/>
      <c r="P3431" s="115" t="str">
        <f ca="1">IF(Proc[[#This Row],[DaysAgeing]]&gt;5,"yep","on track")</f>
        <v>yep</v>
      </c>
      <c r="Q3431" s="3">
        <f ca="1">IF(Proc[[#This Row],[DateClosed]]="",ABS(NETWORKDAYS(Proc[[#This Row],[DateOpened]],TODAY()))-1,ABS(NETWORKDAYS(Proc[[#This Row],[DateOpened]],Proc[[#This Row],[DateClosed]]))-1)</f>
        <v>98</v>
      </c>
      <c r="R3431" s="115" t="s">
        <v>1013</v>
      </c>
      <c r="S3431" s="125"/>
    </row>
    <row r="3432" spans="1:19" hidden="1">
      <c r="A3432" s="124" t="s">
        <v>5493</v>
      </c>
      <c r="B3432" s="149" t="str">
        <f>IFERROR(VLOOKUP(Proc[[#This Row],[App]],Table2[],3,0),"open")</f>
        <v>ok</v>
      </c>
      <c r="C3432" s="124" t="s">
        <v>369</v>
      </c>
      <c r="D3432" t="s">
        <v>5491</v>
      </c>
      <c r="E3432" t="s">
        <v>5497</v>
      </c>
      <c r="F3432" s="125" t="s">
        <v>5497</v>
      </c>
      <c r="G3432" t="s">
        <v>406</v>
      </c>
      <c r="H3432" s="125" t="str">
        <f>IF(Proc[[#This Row],[type]]="LFF (MDG-F)",MID(Proc[[#This Row],[Obj]],13,10),"")</f>
        <v>NL50C06884</v>
      </c>
      <c r="J3432" s="125" t="b">
        <f>Proc[[#This Row],[Requested]]=Proc[[#This Row],[CurrentParent]]</f>
        <v>1</v>
      </c>
      <c r="K3432" s="144" t="str">
        <f>IF(Proc[[#This Row],[Author]]="Marcela Urrego",VLOOKUP(LEFT(Proc[[#This Row],[Requested]],1),Table3[#All],2,0),VLOOKUP(Proc[[#This Row],[Author]],Table4[],2,0))</f>
        <v>HC</v>
      </c>
      <c r="L3432" s="125" t="s">
        <v>4894</v>
      </c>
      <c r="M3432" s="113">
        <v>45874</v>
      </c>
      <c r="N3432" s="113"/>
      <c r="O3432" s="113"/>
      <c r="P3432" s="115" t="str">
        <f ca="1">IF(Proc[[#This Row],[DaysAgeing]]&gt;5,"yep","on track")</f>
        <v>yep</v>
      </c>
      <c r="Q3432" s="3">
        <f ca="1">IF(Proc[[#This Row],[DateClosed]]="",ABS(NETWORKDAYS(Proc[[#This Row],[DateOpened]],TODAY()))-1,ABS(NETWORKDAYS(Proc[[#This Row],[DateOpened]],Proc[[#This Row],[DateClosed]]))-1)</f>
        <v>98</v>
      </c>
      <c r="R3432" s="115" t="s">
        <v>1013</v>
      </c>
      <c r="S3432" s="125"/>
    </row>
    <row r="3433" spans="1:19" hidden="1">
      <c r="A3433" s="124" t="s">
        <v>5493</v>
      </c>
      <c r="B3433" s="149" t="str">
        <f>IFERROR(VLOOKUP(Proc[[#This Row],[App]],Table2[],3,0),"open")</f>
        <v>ok</v>
      </c>
      <c r="C3433" s="124" t="s">
        <v>369</v>
      </c>
      <c r="D3433" t="s">
        <v>5492</v>
      </c>
      <c r="E3433" t="s">
        <v>5498</v>
      </c>
      <c r="F3433" s="125" t="s">
        <v>5498</v>
      </c>
      <c r="G3433" s="124" t="s">
        <v>400</v>
      </c>
      <c r="H3433" s="125" t="str">
        <f>IF(Proc[[#This Row],[type]]="LFF (MDG-F)",MID(Proc[[#This Row],[Obj]],13,10),"")</f>
        <v/>
      </c>
      <c r="J3433" s="125" t="b">
        <f>Proc[[#This Row],[Requested]]=Proc[[#This Row],[CurrentParent]]</f>
        <v>1</v>
      </c>
      <c r="K3433" s="144" t="str">
        <f>IF(Proc[[#This Row],[Author]]="Marcela Urrego",VLOOKUP(LEFT(Proc[[#This Row],[Requested]],1),Table3[#All],2,0),VLOOKUP(Proc[[#This Row],[Author]],Table4[],2,0))</f>
        <v>HC</v>
      </c>
      <c r="L3433" s="125" t="s">
        <v>4894</v>
      </c>
      <c r="M3433" s="113">
        <v>45874</v>
      </c>
      <c r="N3433" s="113"/>
      <c r="O3433" s="113"/>
      <c r="P3433" s="115" t="str">
        <f ca="1">IF(Proc[[#This Row],[DaysAgeing]]&gt;5,"yep","on track")</f>
        <v>yep</v>
      </c>
      <c r="Q3433" s="3">
        <f ca="1">IF(Proc[[#This Row],[DateClosed]]="",ABS(NETWORKDAYS(Proc[[#This Row],[DateOpened]],TODAY()))-1,ABS(NETWORKDAYS(Proc[[#This Row],[DateOpened]],Proc[[#This Row],[DateClosed]]))-1)</f>
        <v>98</v>
      </c>
      <c r="R3433" s="115" t="s">
        <v>1013</v>
      </c>
      <c r="S3433" s="125"/>
    </row>
    <row r="3434" spans="1:19" hidden="1">
      <c r="A3434" t="s">
        <v>5499</v>
      </c>
      <c r="B3434" s="149" t="str">
        <f>IFERROR(VLOOKUP(Proc[[#This Row],[App]],Table2[],3,0),"open")</f>
        <v>ok</v>
      </c>
      <c r="C3434" s="124" t="s">
        <v>369</v>
      </c>
      <c r="D3434" t="s">
        <v>5544</v>
      </c>
      <c r="E3434" t="s">
        <v>5500</v>
      </c>
      <c r="F3434" s="125" t="s">
        <v>5500</v>
      </c>
      <c r="G3434" t="s">
        <v>400</v>
      </c>
      <c r="H3434" s="125" t="str">
        <f>IF(Proc[[#This Row],[type]]="LFF (MDG-F)",MID(Proc[[#This Row],[Obj]],13,10),"")</f>
        <v/>
      </c>
      <c r="J3434" s="125" t="b">
        <f>Proc[[#This Row],[Requested]]=Proc[[#This Row],[CurrentParent]]</f>
        <v>1</v>
      </c>
      <c r="K3434" s="144" t="str">
        <f>IF(Proc[[#This Row],[Author]]="Marcela Urrego",VLOOKUP(LEFT(Proc[[#This Row],[Requested]],1),Table3[#All],2,0),VLOOKUP(Proc[[#This Row],[Author]],Table4[],2,0))</f>
        <v>EL</v>
      </c>
      <c r="L3434" s="125" t="s">
        <v>4894</v>
      </c>
      <c r="M3434" s="127">
        <v>45877</v>
      </c>
      <c r="N3434" s="127"/>
      <c r="O3434" s="127"/>
      <c r="P3434" s="115" t="str">
        <f ca="1">IF(Proc[[#This Row],[DaysAgeing]]&gt;5,"yep","on track")</f>
        <v>yep</v>
      </c>
      <c r="Q3434" s="3">
        <f ca="1">IF(Proc[[#This Row],[DateClosed]]="",ABS(NETWORKDAYS(Proc[[#This Row],[DateOpened]],TODAY()))-1,ABS(NETWORKDAYS(Proc[[#This Row],[DateOpened]],Proc[[#This Row],[DateClosed]]))-1)</f>
        <v>95</v>
      </c>
      <c r="R3434" s="115" t="s">
        <v>5501</v>
      </c>
      <c r="S3434" s="125"/>
    </row>
    <row r="3435" spans="1:19" hidden="1">
      <c r="A3435" s="124" t="s">
        <v>5499</v>
      </c>
      <c r="B3435" s="149" t="str">
        <f>IFERROR(VLOOKUP(Proc[[#This Row],[App]],Table2[],3,0),"open")</f>
        <v>ok</v>
      </c>
      <c r="C3435" s="124" t="s">
        <v>369</v>
      </c>
      <c r="D3435" t="s">
        <v>5545</v>
      </c>
      <c r="E3435" t="s">
        <v>5500</v>
      </c>
      <c r="F3435" s="125" t="s">
        <v>5500</v>
      </c>
      <c r="G3435" s="124" t="s">
        <v>400</v>
      </c>
      <c r="H3435" s="125" t="str">
        <f>IF(Proc[[#This Row],[type]]="LFF (MDG-F)",MID(Proc[[#This Row],[Obj]],13,10),"")</f>
        <v/>
      </c>
      <c r="J3435" s="125" t="b">
        <f>Proc[[#This Row],[Requested]]=Proc[[#This Row],[CurrentParent]]</f>
        <v>1</v>
      </c>
      <c r="K3435" s="144" t="str">
        <f>IF(Proc[[#This Row],[Author]]="Marcela Urrego",VLOOKUP(LEFT(Proc[[#This Row],[Requested]],1),Table3[#All],2,0),VLOOKUP(Proc[[#This Row],[Author]],Table4[],2,0))</f>
        <v>EL</v>
      </c>
      <c r="L3435" s="125" t="s">
        <v>4894</v>
      </c>
      <c r="M3435" s="127">
        <v>45877</v>
      </c>
      <c r="N3435" s="127"/>
      <c r="O3435" s="127"/>
      <c r="P3435" s="115" t="str">
        <f ca="1">IF(Proc[[#This Row],[DaysAgeing]]&gt;5,"yep","on track")</f>
        <v>yep</v>
      </c>
      <c r="Q3435" s="3">
        <f ca="1">IF(Proc[[#This Row],[DateClosed]]="",ABS(NETWORKDAYS(Proc[[#This Row],[DateOpened]],TODAY()))-1,ABS(NETWORKDAYS(Proc[[#This Row],[DateOpened]],Proc[[#This Row],[DateClosed]]))-1)</f>
        <v>95</v>
      </c>
      <c r="R3435" s="115" t="s">
        <v>5501</v>
      </c>
      <c r="S3435" s="125"/>
    </row>
    <row r="3436" spans="1:19" hidden="1">
      <c r="A3436" t="s">
        <v>5502</v>
      </c>
      <c r="B3436" s="149" t="str">
        <f>IFERROR(VLOOKUP(Proc[[#This Row],[App]],Table2[],3,0),"open")</f>
        <v>ok</v>
      </c>
      <c r="C3436" s="124" t="s">
        <v>369</v>
      </c>
      <c r="D3436" t="s">
        <v>5503</v>
      </c>
      <c r="E3436" t="s">
        <v>5551</v>
      </c>
      <c r="F3436" s="125" t="s">
        <v>5551</v>
      </c>
      <c r="G3436" s="124" t="s">
        <v>400</v>
      </c>
      <c r="H3436" s="125" t="str">
        <f>IF(Proc[[#This Row],[type]]="LFF (MDG-F)",MID(Proc[[#This Row],[Obj]],13,10),"")</f>
        <v/>
      </c>
      <c r="J3436" s="125" t="b">
        <f>Proc[[#This Row],[Requested]]=Proc[[#This Row],[CurrentParent]]</f>
        <v>1</v>
      </c>
      <c r="K3436" s="144" t="str">
        <f>IF(Proc[[#This Row],[Author]]="Marcela Urrego",VLOOKUP(LEFT(Proc[[#This Row],[Requested]],1),Table3[#All],2,0),VLOOKUP(Proc[[#This Row],[Author]],Table4[],2,0))</f>
        <v>LS</v>
      </c>
      <c r="L3436" s="125" t="s">
        <v>4894</v>
      </c>
      <c r="M3436" s="127">
        <v>45877</v>
      </c>
      <c r="N3436" s="127"/>
      <c r="O3436" s="127"/>
      <c r="P3436" s="115" t="str">
        <f ca="1">IF(Proc[[#This Row],[DaysAgeing]]&gt;5,"yep","on track")</f>
        <v>yep</v>
      </c>
      <c r="Q3436" s="3">
        <f ca="1">IF(Proc[[#This Row],[DateClosed]]="",ABS(NETWORKDAYS(Proc[[#This Row],[DateOpened]],TODAY()))-1,ABS(NETWORKDAYS(Proc[[#This Row],[DateOpened]],Proc[[#This Row],[DateClosed]]))-1)</f>
        <v>95</v>
      </c>
      <c r="R3436" s="115" t="s">
        <v>489</v>
      </c>
      <c r="S3436" s="125"/>
    </row>
    <row r="3437" spans="1:19" hidden="1">
      <c r="A3437" s="124" t="s">
        <v>5502</v>
      </c>
      <c r="B3437" s="149" t="str">
        <f>IFERROR(VLOOKUP(Proc[[#This Row],[App]],Table2[],3,0),"open")</f>
        <v>ok</v>
      </c>
      <c r="C3437" s="124" t="s">
        <v>369</v>
      </c>
      <c r="D3437" t="s">
        <v>5504</v>
      </c>
      <c r="E3437" t="s">
        <v>5551</v>
      </c>
      <c r="F3437" s="125" t="s">
        <v>5551</v>
      </c>
      <c r="G3437" s="124" t="s">
        <v>400</v>
      </c>
      <c r="H3437" s="125" t="str">
        <f>IF(Proc[[#This Row],[type]]="LFF (MDG-F)",MID(Proc[[#This Row],[Obj]],13,10),"")</f>
        <v/>
      </c>
      <c r="J3437" s="125" t="b">
        <f>Proc[[#This Row],[Requested]]=Proc[[#This Row],[CurrentParent]]</f>
        <v>1</v>
      </c>
      <c r="K3437" s="144" t="str">
        <f>IF(Proc[[#This Row],[Author]]="Marcela Urrego",VLOOKUP(LEFT(Proc[[#This Row],[Requested]],1),Table3[#All],2,0),VLOOKUP(Proc[[#This Row],[Author]],Table4[],2,0))</f>
        <v>LS</v>
      </c>
      <c r="L3437" s="125" t="s">
        <v>4894</v>
      </c>
      <c r="M3437" s="127">
        <v>45877</v>
      </c>
      <c r="N3437" s="127"/>
      <c r="O3437" s="127"/>
      <c r="P3437" s="115" t="str">
        <f ca="1">IF(Proc[[#This Row],[DaysAgeing]]&gt;5,"yep","on track")</f>
        <v>yep</v>
      </c>
      <c r="Q3437" s="3">
        <f ca="1">IF(Proc[[#This Row],[DateClosed]]="",ABS(NETWORKDAYS(Proc[[#This Row],[DateOpened]],TODAY()))-1,ABS(NETWORKDAYS(Proc[[#This Row],[DateOpened]],Proc[[#This Row],[DateClosed]]))-1)</f>
        <v>95</v>
      </c>
      <c r="R3437" s="115" t="s">
        <v>489</v>
      </c>
      <c r="S3437" s="125"/>
    </row>
    <row r="3438" spans="1:19" hidden="1">
      <c r="A3438" s="124" t="s">
        <v>5502</v>
      </c>
      <c r="B3438" s="149" t="str">
        <f>IFERROR(VLOOKUP(Proc[[#This Row],[App]],Table2[],3,0),"open")</f>
        <v>ok</v>
      </c>
      <c r="C3438" s="124" t="s">
        <v>369</v>
      </c>
      <c r="D3438" t="s">
        <v>5505</v>
      </c>
      <c r="E3438" t="s">
        <v>5551</v>
      </c>
      <c r="F3438" s="125" t="s">
        <v>5551</v>
      </c>
      <c r="G3438" s="124" t="s">
        <v>400</v>
      </c>
      <c r="H3438" s="125" t="str">
        <f>IF(Proc[[#This Row],[type]]="LFF (MDG-F)",MID(Proc[[#This Row],[Obj]],13,10),"")</f>
        <v/>
      </c>
      <c r="J3438" s="125" t="b">
        <f>Proc[[#This Row],[Requested]]=Proc[[#This Row],[CurrentParent]]</f>
        <v>1</v>
      </c>
      <c r="K3438" s="144" t="str">
        <f>IF(Proc[[#This Row],[Author]]="Marcela Urrego",VLOOKUP(LEFT(Proc[[#This Row],[Requested]],1),Table3[#All],2,0),VLOOKUP(Proc[[#This Row],[Author]],Table4[],2,0))</f>
        <v>LS</v>
      </c>
      <c r="L3438" s="125" t="s">
        <v>4894</v>
      </c>
      <c r="M3438" s="127">
        <v>45877</v>
      </c>
      <c r="N3438" s="127"/>
      <c r="O3438" s="127"/>
      <c r="P3438" s="115" t="str">
        <f ca="1">IF(Proc[[#This Row],[DaysAgeing]]&gt;5,"yep","on track")</f>
        <v>yep</v>
      </c>
      <c r="Q3438" s="3">
        <f ca="1">IF(Proc[[#This Row],[DateClosed]]="",ABS(NETWORKDAYS(Proc[[#This Row],[DateOpened]],TODAY()))-1,ABS(NETWORKDAYS(Proc[[#This Row],[DateOpened]],Proc[[#This Row],[DateClosed]]))-1)</f>
        <v>95</v>
      </c>
      <c r="R3438" s="115" t="s">
        <v>489</v>
      </c>
      <c r="S3438" s="125"/>
    </row>
    <row r="3439" spans="1:19" hidden="1">
      <c r="A3439" s="124" t="s">
        <v>5502</v>
      </c>
      <c r="B3439" s="149" t="str">
        <f>IFERROR(VLOOKUP(Proc[[#This Row],[App]],Table2[],3,0),"open")</f>
        <v>ok</v>
      </c>
      <c r="C3439" s="124" t="s">
        <v>369</v>
      </c>
      <c r="D3439" t="s">
        <v>5506</v>
      </c>
      <c r="E3439" t="s">
        <v>5551</v>
      </c>
      <c r="F3439" s="125" t="s">
        <v>5551</v>
      </c>
      <c r="G3439" s="124" t="s">
        <v>400</v>
      </c>
      <c r="H3439" s="125" t="str">
        <f>IF(Proc[[#This Row],[type]]="LFF (MDG-F)",MID(Proc[[#This Row],[Obj]],13,10),"")</f>
        <v/>
      </c>
      <c r="J3439" s="125" t="b">
        <f>Proc[[#This Row],[Requested]]=Proc[[#This Row],[CurrentParent]]</f>
        <v>1</v>
      </c>
      <c r="K3439" s="144" t="str">
        <f>IF(Proc[[#This Row],[Author]]="Marcela Urrego",VLOOKUP(LEFT(Proc[[#This Row],[Requested]],1),Table3[#All],2,0),VLOOKUP(Proc[[#This Row],[Author]],Table4[],2,0))</f>
        <v>LS</v>
      </c>
      <c r="L3439" s="125" t="s">
        <v>4894</v>
      </c>
      <c r="M3439" s="127">
        <v>45877</v>
      </c>
      <c r="N3439" s="127"/>
      <c r="O3439" s="127"/>
      <c r="P3439" s="115" t="str">
        <f ca="1">IF(Proc[[#This Row],[DaysAgeing]]&gt;5,"yep","on track")</f>
        <v>yep</v>
      </c>
      <c r="Q3439" s="3">
        <f ca="1">IF(Proc[[#This Row],[DateClosed]]="",ABS(NETWORKDAYS(Proc[[#This Row],[DateOpened]],TODAY()))-1,ABS(NETWORKDAYS(Proc[[#This Row],[DateOpened]],Proc[[#This Row],[DateClosed]]))-1)</f>
        <v>95</v>
      </c>
      <c r="R3439" s="115" t="s">
        <v>489</v>
      </c>
      <c r="S3439" s="125"/>
    </row>
    <row r="3440" spans="1:19" hidden="1">
      <c r="A3440" s="124" t="s">
        <v>5502</v>
      </c>
      <c r="B3440" s="149" t="str">
        <f>IFERROR(VLOOKUP(Proc[[#This Row],[App]],Table2[],3,0),"open")</f>
        <v>ok</v>
      </c>
      <c r="C3440" s="124" t="s">
        <v>369</v>
      </c>
      <c r="D3440" t="s">
        <v>5507</v>
      </c>
      <c r="E3440" t="s">
        <v>5551</v>
      </c>
      <c r="F3440" s="125" t="s">
        <v>5551</v>
      </c>
      <c r="G3440" s="124" t="s">
        <v>400</v>
      </c>
      <c r="H3440" s="125" t="str">
        <f>IF(Proc[[#This Row],[type]]="LFF (MDG-F)",MID(Proc[[#This Row],[Obj]],13,10),"")</f>
        <v/>
      </c>
      <c r="J3440" s="125" t="b">
        <f>Proc[[#This Row],[Requested]]=Proc[[#This Row],[CurrentParent]]</f>
        <v>1</v>
      </c>
      <c r="K3440" s="144" t="str">
        <f>IF(Proc[[#This Row],[Author]]="Marcela Urrego",VLOOKUP(LEFT(Proc[[#This Row],[Requested]],1),Table3[#All],2,0),VLOOKUP(Proc[[#This Row],[Author]],Table4[],2,0))</f>
        <v>LS</v>
      </c>
      <c r="L3440" s="125" t="s">
        <v>4894</v>
      </c>
      <c r="M3440" s="127">
        <v>45877</v>
      </c>
      <c r="N3440" s="127"/>
      <c r="O3440" s="127"/>
      <c r="P3440" s="115" t="str">
        <f ca="1">IF(Proc[[#This Row],[DaysAgeing]]&gt;5,"yep","on track")</f>
        <v>yep</v>
      </c>
      <c r="Q3440" s="3">
        <f ca="1">IF(Proc[[#This Row],[DateClosed]]="",ABS(NETWORKDAYS(Proc[[#This Row],[DateOpened]],TODAY()))-1,ABS(NETWORKDAYS(Proc[[#This Row],[DateOpened]],Proc[[#This Row],[DateClosed]]))-1)</f>
        <v>95</v>
      </c>
      <c r="R3440" s="115" t="s">
        <v>489</v>
      </c>
      <c r="S3440" s="125"/>
    </row>
    <row r="3441" spans="1:19" hidden="1">
      <c r="A3441" s="124" t="s">
        <v>5502</v>
      </c>
      <c r="B3441" s="149" t="str">
        <f>IFERROR(VLOOKUP(Proc[[#This Row],[App]],Table2[],3,0),"open")</f>
        <v>ok</v>
      </c>
      <c r="C3441" s="124" t="s">
        <v>369</v>
      </c>
      <c r="D3441" t="s">
        <v>5508</v>
      </c>
      <c r="E3441" t="s">
        <v>5551</v>
      </c>
      <c r="F3441" s="125" t="s">
        <v>5551</v>
      </c>
      <c r="G3441" s="124" t="s">
        <v>400</v>
      </c>
      <c r="H3441" s="125" t="str">
        <f>IF(Proc[[#This Row],[type]]="LFF (MDG-F)",MID(Proc[[#This Row],[Obj]],13,10),"")</f>
        <v/>
      </c>
      <c r="J3441" s="125" t="b">
        <f>Proc[[#This Row],[Requested]]=Proc[[#This Row],[CurrentParent]]</f>
        <v>1</v>
      </c>
      <c r="K3441" s="144" t="str">
        <f>IF(Proc[[#This Row],[Author]]="Marcela Urrego",VLOOKUP(LEFT(Proc[[#This Row],[Requested]],1),Table3[#All],2,0),VLOOKUP(Proc[[#This Row],[Author]],Table4[],2,0))</f>
        <v>LS</v>
      </c>
      <c r="L3441" s="125" t="s">
        <v>4894</v>
      </c>
      <c r="M3441" s="127">
        <v>45877</v>
      </c>
      <c r="N3441" s="127"/>
      <c r="O3441" s="127"/>
      <c r="P3441" s="115" t="str">
        <f ca="1">IF(Proc[[#This Row],[DaysAgeing]]&gt;5,"yep","on track")</f>
        <v>yep</v>
      </c>
      <c r="Q3441" s="3">
        <f ca="1">IF(Proc[[#This Row],[DateClosed]]="",ABS(NETWORKDAYS(Proc[[#This Row],[DateOpened]],TODAY()))-1,ABS(NETWORKDAYS(Proc[[#This Row],[DateOpened]],Proc[[#This Row],[DateClosed]]))-1)</f>
        <v>95</v>
      </c>
      <c r="R3441" s="115" t="s">
        <v>489</v>
      </c>
      <c r="S3441" s="125"/>
    </row>
    <row r="3442" spans="1:19" hidden="1">
      <c r="A3442" s="124" t="s">
        <v>5502</v>
      </c>
      <c r="B3442" s="149" t="str">
        <f>IFERROR(VLOOKUP(Proc[[#This Row],[App]],Table2[],3,0),"open")</f>
        <v>ok</v>
      </c>
      <c r="C3442" s="124" t="s">
        <v>369</v>
      </c>
      <c r="D3442" t="s">
        <v>5509</v>
      </c>
      <c r="E3442" t="s">
        <v>5551</v>
      </c>
      <c r="F3442" s="125" t="s">
        <v>5551</v>
      </c>
      <c r="G3442" s="124" t="s">
        <v>400</v>
      </c>
      <c r="H3442" s="125" t="str">
        <f>IF(Proc[[#This Row],[type]]="LFF (MDG-F)",MID(Proc[[#This Row],[Obj]],13,10),"")</f>
        <v/>
      </c>
      <c r="J3442" s="125" t="b">
        <f>Proc[[#This Row],[Requested]]=Proc[[#This Row],[CurrentParent]]</f>
        <v>1</v>
      </c>
      <c r="K3442" s="144" t="str">
        <f>IF(Proc[[#This Row],[Author]]="Marcela Urrego",VLOOKUP(LEFT(Proc[[#This Row],[Requested]],1),Table3[#All],2,0),VLOOKUP(Proc[[#This Row],[Author]],Table4[],2,0))</f>
        <v>LS</v>
      </c>
      <c r="L3442" s="125" t="s">
        <v>4894</v>
      </c>
      <c r="M3442" s="127">
        <v>45877</v>
      </c>
      <c r="N3442" s="127"/>
      <c r="O3442" s="127"/>
      <c r="P3442" s="115" t="str">
        <f ca="1">IF(Proc[[#This Row],[DaysAgeing]]&gt;5,"yep","on track")</f>
        <v>yep</v>
      </c>
      <c r="Q3442" s="3">
        <f ca="1">IF(Proc[[#This Row],[DateClosed]]="",ABS(NETWORKDAYS(Proc[[#This Row],[DateOpened]],TODAY()))-1,ABS(NETWORKDAYS(Proc[[#This Row],[DateOpened]],Proc[[#This Row],[DateClosed]]))-1)</f>
        <v>95</v>
      </c>
      <c r="R3442" s="115" t="s">
        <v>489</v>
      </c>
      <c r="S3442" s="125"/>
    </row>
    <row r="3443" spans="1:19" hidden="1">
      <c r="A3443" s="124" t="s">
        <v>5502</v>
      </c>
      <c r="B3443" s="149" t="str">
        <f>IFERROR(VLOOKUP(Proc[[#This Row],[App]],Table2[],3,0),"open")</f>
        <v>ok</v>
      </c>
      <c r="C3443" s="124" t="s">
        <v>369</v>
      </c>
      <c r="D3443" t="s">
        <v>5510</v>
      </c>
      <c r="E3443" t="s">
        <v>5551</v>
      </c>
      <c r="F3443" s="125" t="s">
        <v>5551</v>
      </c>
      <c r="G3443" s="124" t="s">
        <v>400</v>
      </c>
      <c r="H3443" s="125" t="str">
        <f>IF(Proc[[#This Row],[type]]="LFF (MDG-F)",MID(Proc[[#This Row],[Obj]],13,10),"")</f>
        <v/>
      </c>
      <c r="J3443" s="125" t="b">
        <f>Proc[[#This Row],[Requested]]=Proc[[#This Row],[CurrentParent]]</f>
        <v>1</v>
      </c>
      <c r="K3443" s="144" t="str">
        <f>IF(Proc[[#This Row],[Author]]="Marcela Urrego",VLOOKUP(LEFT(Proc[[#This Row],[Requested]],1),Table3[#All],2,0),VLOOKUP(Proc[[#This Row],[Author]],Table4[],2,0))</f>
        <v>LS</v>
      </c>
      <c r="L3443" s="125" t="s">
        <v>4894</v>
      </c>
      <c r="M3443" s="127">
        <v>45877</v>
      </c>
      <c r="N3443" s="127"/>
      <c r="O3443" s="127"/>
      <c r="P3443" s="115" t="str">
        <f ca="1">IF(Proc[[#This Row],[DaysAgeing]]&gt;5,"yep","on track")</f>
        <v>yep</v>
      </c>
      <c r="Q3443" s="3">
        <f ca="1">IF(Proc[[#This Row],[DateClosed]]="",ABS(NETWORKDAYS(Proc[[#This Row],[DateOpened]],TODAY()))-1,ABS(NETWORKDAYS(Proc[[#This Row],[DateOpened]],Proc[[#This Row],[DateClosed]]))-1)</f>
        <v>95</v>
      </c>
      <c r="R3443" s="115" t="s">
        <v>489</v>
      </c>
      <c r="S3443" s="125"/>
    </row>
    <row r="3444" spans="1:19" hidden="1">
      <c r="A3444" s="124" t="s">
        <v>5502</v>
      </c>
      <c r="B3444" s="149" t="str">
        <f>IFERROR(VLOOKUP(Proc[[#This Row],[App]],Table2[],3,0),"open")</f>
        <v>ok</v>
      </c>
      <c r="C3444" s="124" t="s">
        <v>369</v>
      </c>
      <c r="D3444" t="s">
        <v>5511</v>
      </c>
      <c r="E3444" t="s">
        <v>5551</v>
      </c>
      <c r="F3444" s="125" t="s">
        <v>5551</v>
      </c>
      <c r="G3444" s="124" t="s">
        <v>400</v>
      </c>
      <c r="H3444" s="125" t="str">
        <f>IF(Proc[[#This Row],[type]]="LFF (MDG-F)",MID(Proc[[#This Row],[Obj]],13,10),"")</f>
        <v/>
      </c>
      <c r="J3444" s="125" t="b">
        <f>Proc[[#This Row],[Requested]]=Proc[[#This Row],[CurrentParent]]</f>
        <v>1</v>
      </c>
      <c r="K3444" s="144" t="str">
        <f>IF(Proc[[#This Row],[Author]]="Marcela Urrego",VLOOKUP(LEFT(Proc[[#This Row],[Requested]],1),Table3[#All],2,0),VLOOKUP(Proc[[#This Row],[Author]],Table4[],2,0))</f>
        <v>LS</v>
      </c>
      <c r="L3444" s="125" t="s">
        <v>4894</v>
      </c>
      <c r="M3444" s="127">
        <v>45877</v>
      </c>
      <c r="N3444" s="127"/>
      <c r="O3444" s="127"/>
      <c r="P3444" s="115" t="str">
        <f ca="1">IF(Proc[[#This Row],[DaysAgeing]]&gt;5,"yep","on track")</f>
        <v>yep</v>
      </c>
      <c r="Q3444" s="3">
        <f ca="1">IF(Proc[[#This Row],[DateClosed]]="",ABS(NETWORKDAYS(Proc[[#This Row],[DateOpened]],TODAY()))-1,ABS(NETWORKDAYS(Proc[[#This Row],[DateOpened]],Proc[[#This Row],[DateClosed]]))-1)</f>
        <v>95</v>
      </c>
      <c r="R3444" s="115" t="s">
        <v>489</v>
      </c>
      <c r="S3444" s="125"/>
    </row>
    <row r="3445" spans="1:19" hidden="1">
      <c r="A3445" s="124" t="s">
        <v>5502</v>
      </c>
      <c r="B3445" s="149" t="str">
        <f>IFERROR(VLOOKUP(Proc[[#This Row],[App]],Table2[],3,0),"open")</f>
        <v>ok</v>
      </c>
      <c r="C3445" s="124" t="s">
        <v>369</v>
      </c>
      <c r="D3445" t="s">
        <v>5512</v>
      </c>
      <c r="E3445" t="s">
        <v>5551</v>
      </c>
      <c r="F3445" s="125" t="s">
        <v>5551</v>
      </c>
      <c r="G3445" s="124" t="s">
        <v>400</v>
      </c>
      <c r="H3445" s="125" t="str">
        <f>IF(Proc[[#This Row],[type]]="LFF (MDG-F)",MID(Proc[[#This Row],[Obj]],13,10),"")</f>
        <v/>
      </c>
      <c r="J3445" s="125" t="b">
        <f>Proc[[#This Row],[Requested]]=Proc[[#This Row],[CurrentParent]]</f>
        <v>1</v>
      </c>
      <c r="K3445" s="144" t="str">
        <f>IF(Proc[[#This Row],[Author]]="Marcela Urrego",VLOOKUP(LEFT(Proc[[#This Row],[Requested]],1),Table3[#All],2,0),VLOOKUP(Proc[[#This Row],[Author]],Table4[],2,0))</f>
        <v>LS</v>
      </c>
      <c r="L3445" s="125" t="s">
        <v>4894</v>
      </c>
      <c r="M3445" s="127">
        <v>45877</v>
      </c>
      <c r="N3445" s="127"/>
      <c r="O3445" s="127"/>
      <c r="P3445" s="115" t="str">
        <f ca="1">IF(Proc[[#This Row],[DaysAgeing]]&gt;5,"yep","on track")</f>
        <v>yep</v>
      </c>
      <c r="Q3445" s="3">
        <f ca="1">IF(Proc[[#This Row],[DateClosed]]="",ABS(NETWORKDAYS(Proc[[#This Row],[DateOpened]],TODAY()))-1,ABS(NETWORKDAYS(Proc[[#This Row],[DateOpened]],Proc[[#This Row],[DateClosed]]))-1)</f>
        <v>95</v>
      </c>
      <c r="R3445" s="115" t="s">
        <v>489</v>
      </c>
      <c r="S3445" s="125"/>
    </row>
    <row r="3446" spans="1:19" hidden="1">
      <c r="A3446" s="124" t="s">
        <v>5502</v>
      </c>
      <c r="B3446" s="149" t="str">
        <f>IFERROR(VLOOKUP(Proc[[#This Row],[App]],Table2[],3,0),"open")</f>
        <v>ok</v>
      </c>
      <c r="C3446" s="124" t="s">
        <v>369</v>
      </c>
      <c r="D3446" t="s">
        <v>5513</v>
      </c>
      <c r="E3446" t="s">
        <v>5551</v>
      </c>
      <c r="F3446" s="125" t="s">
        <v>5551</v>
      </c>
      <c r="G3446" s="124" t="s">
        <v>400</v>
      </c>
      <c r="H3446" s="125" t="str">
        <f>IF(Proc[[#This Row],[type]]="LFF (MDG-F)",MID(Proc[[#This Row],[Obj]],13,10),"")</f>
        <v/>
      </c>
      <c r="J3446" s="125" t="b">
        <f>Proc[[#This Row],[Requested]]=Proc[[#This Row],[CurrentParent]]</f>
        <v>1</v>
      </c>
      <c r="K3446" s="144" t="str">
        <f>IF(Proc[[#This Row],[Author]]="Marcela Urrego",VLOOKUP(LEFT(Proc[[#This Row],[Requested]],1),Table3[#All],2,0),VLOOKUP(Proc[[#This Row],[Author]],Table4[],2,0))</f>
        <v>LS</v>
      </c>
      <c r="L3446" s="125" t="s">
        <v>4894</v>
      </c>
      <c r="M3446" s="127">
        <v>45877</v>
      </c>
      <c r="N3446" s="127"/>
      <c r="O3446" s="127"/>
      <c r="P3446" s="115" t="str">
        <f ca="1">IF(Proc[[#This Row],[DaysAgeing]]&gt;5,"yep","on track")</f>
        <v>yep</v>
      </c>
      <c r="Q3446" s="3">
        <f ca="1">IF(Proc[[#This Row],[DateClosed]]="",ABS(NETWORKDAYS(Proc[[#This Row],[DateOpened]],TODAY()))-1,ABS(NETWORKDAYS(Proc[[#This Row],[DateOpened]],Proc[[#This Row],[DateClosed]]))-1)</f>
        <v>95</v>
      </c>
      <c r="R3446" s="115" t="s">
        <v>489</v>
      </c>
      <c r="S3446" s="125"/>
    </row>
    <row r="3447" spans="1:19" hidden="1">
      <c r="A3447" s="124" t="s">
        <v>5502</v>
      </c>
      <c r="B3447" s="149" t="str">
        <f>IFERROR(VLOOKUP(Proc[[#This Row],[App]],Table2[],3,0),"open")</f>
        <v>ok</v>
      </c>
      <c r="C3447" s="124" t="s">
        <v>369</v>
      </c>
      <c r="D3447" t="s">
        <v>5514</v>
      </c>
      <c r="E3447" t="s">
        <v>5551</v>
      </c>
      <c r="F3447" s="125" t="s">
        <v>5551</v>
      </c>
      <c r="G3447" s="124" t="s">
        <v>400</v>
      </c>
      <c r="H3447" s="125" t="str">
        <f>IF(Proc[[#This Row],[type]]="LFF (MDG-F)",MID(Proc[[#This Row],[Obj]],13,10),"")</f>
        <v/>
      </c>
      <c r="J3447" s="125" t="b">
        <f>Proc[[#This Row],[Requested]]=Proc[[#This Row],[CurrentParent]]</f>
        <v>1</v>
      </c>
      <c r="K3447" s="144" t="str">
        <f>IF(Proc[[#This Row],[Author]]="Marcela Urrego",VLOOKUP(LEFT(Proc[[#This Row],[Requested]],1),Table3[#All],2,0),VLOOKUP(Proc[[#This Row],[Author]],Table4[],2,0))</f>
        <v>LS</v>
      </c>
      <c r="L3447" s="125" t="s">
        <v>4894</v>
      </c>
      <c r="M3447" s="127">
        <v>45877</v>
      </c>
      <c r="N3447" s="127"/>
      <c r="O3447" s="127"/>
      <c r="P3447" s="115" t="str">
        <f ca="1">IF(Proc[[#This Row],[DaysAgeing]]&gt;5,"yep","on track")</f>
        <v>yep</v>
      </c>
      <c r="Q3447" s="3">
        <f ca="1">IF(Proc[[#This Row],[DateClosed]]="",ABS(NETWORKDAYS(Proc[[#This Row],[DateOpened]],TODAY()))-1,ABS(NETWORKDAYS(Proc[[#This Row],[DateOpened]],Proc[[#This Row],[DateClosed]]))-1)</f>
        <v>95</v>
      </c>
      <c r="R3447" s="115" t="s">
        <v>489</v>
      </c>
      <c r="S3447" s="125"/>
    </row>
    <row r="3448" spans="1:19" hidden="1">
      <c r="A3448" s="124" t="s">
        <v>5502</v>
      </c>
      <c r="B3448" s="149" t="str">
        <f>IFERROR(VLOOKUP(Proc[[#This Row],[App]],Table2[],3,0),"open")</f>
        <v>ok</v>
      </c>
      <c r="C3448" s="124" t="s">
        <v>369</v>
      </c>
      <c r="D3448" t="s">
        <v>5515</v>
      </c>
      <c r="E3448" t="s">
        <v>5551</v>
      </c>
      <c r="F3448" s="125" t="s">
        <v>5551</v>
      </c>
      <c r="G3448" s="124" t="s">
        <v>400</v>
      </c>
      <c r="H3448" s="125" t="str">
        <f>IF(Proc[[#This Row],[type]]="LFF (MDG-F)",MID(Proc[[#This Row],[Obj]],13,10),"")</f>
        <v/>
      </c>
      <c r="J3448" s="125" t="b">
        <f>Proc[[#This Row],[Requested]]=Proc[[#This Row],[CurrentParent]]</f>
        <v>1</v>
      </c>
      <c r="K3448" s="144" t="str">
        <f>IF(Proc[[#This Row],[Author]]="Marcela Urrego",VLOOKUP(LEFT(Proc[[#This Row],[Requested]],1),Table3[#All],2,0),VLOOKUP(Proc[[#This Row],[Author]],Table4[],2,0))</f>
        <v>LS</v>
      </c>
      <c r="L3448" s="125" t="s">
        <v>4894</v>
      </c>
      <c r="M3448" s="127">
        <v>45877</v>
      </c>
      <c r="N3448" s="127"/>
      <c r="O3448" s="127"/>
      <c r="P3448" s="115" t="str">
        <f ca="1">IF(Proc[[#This Row],[DaysAgeing]]&gt;5,"yep","on track")</f>
        <v>yep</v>
      </c>
      <c r="Q3448" s="3">
        <f ca="1">IF(Proc[[#This Row],[DateClosed]]="",ABS(NETWORKDAYS(Proc[[#This Row],[DateOpened]],TODAY()))-1,ABS(NETWORKDAYS(Proc[[#This Row],[DateOpened]],Proc[[#This Row],[DateClosed]]))-1)</f>
        <v>95</v>
      </c>
      <c r="R3448" s="115" t="s">
        <v>489</v>
      </c>
      <c r="S3448" s="125"/>
    </row>
    <row r="3449" spans="1:19" hidden="1">
      <c r="A3449" s="124" t="s">
        <v>5502</v>
      </c>
      <c r="B3449" s="149" t="str">
        <f>IFERROR(VLOOKUP(Proc[[#This Row],[App]],Table2[],3,0),"open")</f>
        <v>ok</v>
      </c>
      <c r="C3449" s="124" t="s">
        <v>369</v>
      </c>
      <c r="D3449" t="s">
        <v>5516</v>
      </c>
      <c r="E3449" t="s">
        <v>5551</v>
      </c>
      <c r="F3449" s="125" t="s">
        <v>5551</v>
      </c>
      <c r="G3449" s="124" t="s">
        <v>400</v>
      </c>
      <c r="H3449" s="125" t="str">
        <f>IF(Proc[[#This Row],[type]]="LFF (MDG-F)",MID(Proc[[#This Row],[Obj]],13,10),"")</f>
        <v/>
      </c>
      <c r="J3449" s="125" t="b">
        <f>Proc[[#This Row],[Requested]]=Proc[[#This Row],[CurrentParent]]</f>
        <v>1</v>
      </c>
      <c r="K3449" s="144" t="str">
        <f>IF(Proc[[#This Row],[Author]]="Marcela Urrego",VLOOKUP(LEFT(Proc[[#This Row],[Requested]],1),Table3[#All],2,0),VLOOKUP(Proc[[#This Row],[Author]],Table4[],2,0))</f>
        <v>LS</v>
      </c>
      <c r="L3449" s="125" t="s">
        <v>4894</v>
      </c>
      <c r="M3449" s="127">
        <v>45877</v>
      </c>
      <c r="N3449" s="127"/>
      <c r="O3449" s="127"/>
      <c r="P3449" s="115" t="str">
        <f ca="1">IF(Proc[[#This Row],[DaysAgeing]]&gt;5,"yep","on track")</f>
        <v>yep</v>
      </c>
      <c r="Q3449" s="3">
        <f ca="1">IF(Proc[[#This Row],[DateClosed]]="",ABS(NETWORKDAYS(Proc[[#This Row],[DateOpened]],TODAY()))-1,ABS(NETWORKDAYS(Proc[[#This Row],[DateOpened]],Proc[[#This Row],[DateClosed]]))-1)</f>
        <v>95</v>
      </c>
      <c r="R3449" s="115" t="s">
        <v>489</v>
      </c>
      <c r="S3449" s="125"/>
    </row>
    <row r="3450" spans="1:19" hidden="1">
      <c r="A3450" s="124" t="s">
        <v>5502</v>
      </c>
      <c r="B3450" s="149" t="str">
        <f>IFERROR(VLOOKUP(Proc[[#This Row],[App]],Table2[],3,0),"open")</f>
        <v>ok</v>
      </c>
      <c r="C3450" s="124" t="s">
        <v>369</v>
      </c>
      <c r="D3450" t="s">
        <v>5517</v>
      </c>
      <c r="E3450" t="s">
        <v>5551</v>
      </c>
      <c r="F3450" s="125" t="s">
        <v>5551</v>
      </c>
      <c r="G3450" s="124" t="s">
        <v>400</v>
      </c>
      <c r="H3450" s="125" t="str">
        <f>IF(Proc[[#This Row],[type]]="LFF (MDG-F)",MID(Proc[[#This Row],[Obj]],13,10),"")</f>
        <v/>
      </c>
      <c r="J3450" s="125" t="b">
        <f>Proc[[#This Row],[Requested]]=Proc[[#This Row],[CurrentParent]]</f>
        <v>1</v>
      </c>
      <c r="K3450" s="144" t="str">
        <f>IF(Proc[[#This Row],[Author]]="Marcela Urrego",VLOOKUP(LEFT(Proc[[#This Row],[Requested]],1),Table3[#All],2,0),VLOOKUP(Proc[[#This Row],[Author]],Table4[],2,0))</f>
        <v>LS</v>
      </c>
      <c r="L3450" s="125" t="s">
        <v>4894</v>
      </c>
      <c r="M3450" s="127">
        <v>45877</v>
      </c>
      <c r="N3450" s="127"/>
      <c r="O3450" s="127"/>
      <c r="P3450" s="115" t="str">
        <f ca="1">IF(Proc[[#This Row],[DaysAgeing]]&gt;5,"yep","on track")</f>
        <v>yep</v>
      </c>
      <c r="Q3450" s="3">
        <f ca="1">IF(Proc[[#This Row],[DateClosed]]="",ABS(NETWORKDAYS(Proc[[#This Row],[DateOpened]],TODAY()))-1,ABS(NETWORKDAYS(Proc[[#This Row],[DateOpened]],Proc[[#This Row],[DateClosed]]))-1)</f>
        <v>95</v>
      </c>
      <c r="R3450" s="115" t="s">
        <v>489</v>
      </c>
      <c r="S3450" s="125"/>
    </row>
    <row r="3451" spans="1:19" hidden="1">
      <c r="A3451" s="124" t="s">
        <v>5502</v>
      </c>
      <c r="B3451" s="149" t="str">
        <f>IFERROR(VLOOKUP(Proc[[#This Row],[App]],Table2[],3,0),"open")</f>
        <v>ok</v>
      </c>
      <c r="C3451" s="124" t="s">
        <v>369</v>
      </c>
      <c r="D3451" t="s">
        <v>5518</v>
      </c>
      <c r="E3451" t="s">
        <v>5551</v>
      </c>
      <c r="F3451" s="125" t="s">
        <v>5551</v>
      </c>
      <c r="G3451" s="124" t="s">
        <v>400</v>
      </c>
      <c r="H3451" s="125" t="str">
        <f>IF(Proc[[#This Row],[type]]="LFF (MDG-F)",MID(Proc[[#This Row],[Obj]],13,10),"")</f>
        <v/>
      </c>
      <c r="J3451" s="125" t="b">
        <f>Proc[[#This Row],[Requested]]=Proc[[#This Row],[CurrentParent]]</f>
        <v>1</v>
      </c>
      <c r="K3451" s="144" t="str">
        <f>IF(Proc[[#This Row],[Author]]="Marcela Urrego",VLOOKUP(LEFT(Proc[[#This Row],[Requested]],1),Table3[#All],2,0),VLOOKUP(Proc[[#This Row],[Author]],Table4[],2,0))</f>
        <v>LS</v>
      </c>
      <c r="L3451" s="125" t="s">
        <v>4894</v>
      </c>
      <c r="M3451" s="127">
        <v>45877</v>
      </c>
      <c r="N3451" s="127"/>
      <c r="O3451" s="127"/>
      <c r="P3451" s="115" t="str">
        <f ca="1">IF(Proc[[#This Row],[DaysAgeing]]&gt;5,"yep","on track")</f>
        <v>yep</v>
      </c>
      <c r="Q3451" s="3">
        <f ca="1">IF(Proc[[#This Row],[DateClosed]]="",ABS(NETWORKDAYS(Proc[[#This Row],[DateOpened]],TODAY()))-1,ABS(NETWORKDAYS(Proc[[#This Row],[DateOpened]],Proc[[#This Row],[DateClosed]]))-1)</f>
        <v>95</v>
      </c>
      <c r="R3451" s="115" t="s">
        <v>489</v>
      </c>
      <c r="S3451" s="125"/>
    </row>
    <row r="3452" spans="1:19" hidden="1">
      <c r="A3452" s="124" t="s">
        <v>5502</v>
      </c>
      <c r="B3452" s="149" t="str">
        <f>IFERROR(VLOOKUP(Proc[[#This Row],[App]],Table2[],3,0),"open")</f>
        <v>ok</v>
      </c>
      <c r="C3452" s="124" t="s">
        <v>369</v>
      </c>
      <c r="D3452" t="s">
        <v>5519</v>
      </c>
      <c r="E3452" t="s">
        <v>5551</v>
      </c>
      <c r="F3452" s="125" t="s">
        <v>5551</v>
      </c>
      <c r="G3452" s="124" t="s">
        <v>400</v>
      </c>
      <c r="H3452" s="125" t="str">
        <f>IF(Proc[[#This Row],[type]]="LFF (MDG-F)",MID(Proc[[#This Row],[Obj]],13,10),"")</f>
        <v/>
      </c>
      <c r="J3452" s="125" t="b">
        <f>Proc[[#This Row],[Requested]]=Proc[[#This Row],[CurrentParent]]</f>
        <v>1</v>
      </c>
      <c r="K3452" s="144" t="str">
        <f>IF(Proc[[#This Row],[Author]]="Marcela Urrego",VLOOKUP(LEFT(Proc[[#This Row],[Requested]],1),Table3[#All],2,0),VLOOKUP(Proc[[#This Row],[Author]],Table4[],2,0))</f>
        <v>LS</v>
      </c>
      <c r="L3452" s="125" t="s">
        <v>4894</v>
      </c>
      <c r="M3452" s="127">
        <v>45877</v>
      </c>
      <c r="N3452" s="127"/>
      <c r="O3452" s="127"/>
      <c r="P3452" s="115" t="str">
        <f ca="1">IF(Proc[[#This Row],[DaysAgeing]]&gt;5,"yep","on track")</f>
        <v>yep</v>
      </c>
      <c r="Q3452" s="3">
        <f ca="1">IF(Proc[[#This Row],[DateClosed]]="",ABS(NETWORKDAYS(Proc[[#This Row],[DateOpened]],TODAY()))-1,ABS(NETWORKDAYS(Proc[[#This Row],[DateOpened]],Proc[[#This Row],[DateClosed]]))-1)</f>
        <v>95</v>
      </c>
      <c r="R3452" s="115" t="s">
        <v>489</v>
      </c>
      <c r="S3452" s="125"/>
    </row>
    <row r="3453" spans="1:19" hidden="1">
      <c r="A3453" s="124" t="s">
        <v>5502</v>
      </c>
      <c r="B3453" s="149" t="str">
        <f>IFERROR(VLOOKUP(Proc[[#This Row],[App]],Table2[],3,0),"open")</f>
        <v>ok</v>
      </c>
      <c r="C3453" s="124" t="s">
        <v>369</v>
      </c>
      <c r="D3453" t="s">
        <v>5520</v>
      </c>
      <c r="E3453" t="s">
        <v>5551</v>
      </c>
      <c r="F3453" s="125" t="s">
        <v>5551</v>
      </c>
      <c r="G3453" s="124" t="s">
        <v>400</v>
      </c>
      <c r="H3453" s="125" t="str">
        <f>IF(Proc[[#This Row],[type]]="LFF (MDG-F)",MID(Proc[[#This Row],[Obj]],13,10),"")</f>
        <v/>
      </c>
      <c r="J3453" s="125" t="b">
        <f>Proc[[#This Row],[Requested]]=Proc[[#This Row],[CurrentParent]]</f>
        <v>1</v>
      </c>
      <c r="K3453" s="144" t="str">
        <f>IF(Proc[[#This Row],[Author]]="Marcela Urrego",VLOOKUP(LEFT(Proc[[#This Row],[Requested]],1),Table3[#All],2,0),VLOOKUP(Proc[[#This Row],[Author]],Table4[],2,0))</f>
        <v>LS</v>
      </c>
      <c r="L3453" s="125" t="s">
        <v>4894</v>
      </c>
      <c r="M3453" s="127">
        <v>45877</v>
      </c>
      <c r="N3453" s="127"/>
      <c r="O3453" s="127"/>
      <c r="P3453" s="115" t="str">
        <f ca="1">IF(Proc[[#This Row],[DaysAgeing]]&gt;5,"yep","on track")</f>
        <v>yep</v>
      </c>
      <c r="Q3453" s="3">
        <f ca="1">IF(Proc[[#This Row],[DateClosed]]="",ABS(NETWORKDAYS(Proc[[#This Row],[DateOpened]],TODAY()))-1,ABS(NETWORKDAYS(Proc[[#This Row],[DateOpened]],Proc[[#This Row],[DateClosed]]))-1)</f>
        <v>95</v>
      </c>
      <c r="R3453" s="115" t="s">
        <v>489</v>
      </c>
      <c r="S3453" s="125"/>
    </row>
    <row r="3454" spans="1:19" hidden="1">
      <c r="A3454" s="124" t="s">
        <v>5502</v>
      </c>
      <c r="B3454" s="149" t="str">
        <f>IFERROR(VLOOKUP(Proc[[#This Row],[App]],Table2[],3,0),"open")</f>
        <v>ok</v>
      </c>
      <c r="C3454" s="124" t="s">
        <v>369</v>
      </c>
      <c r="D3454" t="s">
        <v>5521</v>
      </c>
      <c r="E3454" t="s">
        <v>5551</v>
      </c>
      <c r="F3454" s="125" t="s">
        <v>5551</v>
      </c>
      <c r="G3454" s="124" t="s">
        <v>400</v>
      </c>
      <c r="H3454" s="125" t="str">
        <f>IF(Proc[[#This Row],[type]]="LFF (MDG-F)",MID(Proc[[#This Row],[Obj]],13,10),"")</f>
        <v/>
      </c>
      <c r="J3454" s="125" t="b">
        <f>Proc[[#This Row],[Requested]]=Proc[[#This Row],[CurrentParent]]</f>
        <v>1</v>
      </c>
      <c r="K3454" s="144" t="str">
        <f>IF(Proc[[#This Row],[Author]]="Marcela Urrego",VLOOKUP(LEFT(Proc[[#This Row],[Requested]],1),Table3[#All],2,0),VLOOKUP(Proc[[#This Row],[Author]],Table4[],2,0))</f>
        <v>LS</v>
      </c>
      <c r="L3454" s="125" t="s">
        <v>4894</v>
      </c>
      <c r="M3454" s="127">
        <v>45877</v>
      </c>
      <c r="N3454" s="127"/>
      <c r="O3454" s="127"/>
      <c r="P3454" s="115" t="str">
        <f ca="1">IF(Proc[[#This Row],[DaysAgeing]]&gt;5,"yep","on track")</f>
        <v>yep</v>
      </c>
      <c r="Q3454" s="3">
        <f ca="1">IF(Proc[[#This Row],[DateClosed]]="",ABS(NETWORKDAYS(Proc[[#This Row],[DateOpened]],TODAY()))-1,ABS(NETWORKDAYS(Proc[[#This Row],[DateOpened]],Proc[[#This Row],[DateClosed]]))-1)</f>
        <v>95</v>
      </c>
      <c r="R3454" s="115" t="s">
        <v>489</v>
      </c>
      <c r="S3454" s="125"/>
    </row>
    <row r="3455" spans="1:19" hidden="1">
      <c r="A3455" t="s">
        <v>5522</v>
      </c>
      <c r="B3455" s="149" t="str">
        <f>IFERROR(VLOOKUP(Proc[[#This Row],[App]],Table2[],3,0),"open")</f>
        <v>ok</v>
      </c>
      <c r="C3455" s="124" t="s">
        <v>369</v>
      </c>
      <c r="D3455" t="s">
        <v>5523</v>
      </c>
      <c r="E3455" t="s">
        <v>1251</v>
      </c>
      <c r="F3455" s="125" t="s">
        <v>1251</v>
      </c>
      <c r="G3455" s="124" t="s">
        <v>406</v>
      </c>
      <c r="H3455" s="125" t="str">
        <f>IF(Proc[[#This Row],[type]]="LFF (MDG-F)",MID(Proc[[#This Row],[Obj]],13,10),"")</f>
        <v>DE10Z03112</v>
      </c>
      <c r="J3455" s="125" t="b">
        <f>Proc[[#This Row],[Requested]]=Proc[[#This Row],[CurrentParent]]</f>
        <v>1</v>
      </c>
      <c r="K3455" s="144" t="str">
        <f>IF(Proc[[#This Row],[Author]]="Marcela Urrego",VLOOKUP(LEFT(Proc[[#This Row],[Requested]],1),Table3[#All],2,0),VLOOKUP(Proc[[#This Row],[Author]],Table4[],2,0))</f>
        <v>MGF</v>
      </c>
      <c r="L3455" s="125" t="s">
        <v>4894</v>
      </c>
      <c r="M3455" s="127">
        <v>45877</v>
      </c>
      <c r="N3455" s="127"/>
      <c r="O3455" s="127"/>
      <c r="P3455" s="115" t="str">
        <f ca="1">IF(Proc[[#This Row],[DaysAgeing]]&gt;5,"yep","on track")</f>
        <v>yep</v>
      </c>
      <c r="Q3455" s="3">
        <f ca="1">IF(Proc[[#This Row],[DateClosed]]="",ABS(NETWORKDAYS(Proc[[#This Row],[DateOpened]],TODAY()))-1,ABS(NETWORKDAYS(Proc[[#This Row],[DateOpened]],Proc[[#This Row],[DateClosed]]))-1)</f>
        <v>95</v>
      </c>
      <c r="R3455" s="115" t="s">
        <v>1459</v>
      </c>
      <c r="S3455" s="125"/>
    </row>
    <row r="3456" spans="1:19" hidden="1">
      <c r="A3456" t="s">
        <v>5524</v>
      </c>
      <c r="B3456" s="149" t="str">
        <f>IFERROR(VLOOKUP(Proc[[#This Row],[App]],Table2[],3,0),"open")</f>
        <v>ok</v>
      </c>
      <c r="C3456" s="124" t="s">
        <v>369</v>
      </c>
      <c r="D3456" t="s">
        <v>5525</v>
      </c>
      <c r="E3456" t="s">
        <v>5527</v>
      </c>
      <c r="F3456" s="124" t="s">
        <v>5527</v>
      </c>
      <c r="G3456" s="124" t="s">
        <v>400</v>
      </c>
      <c r="H3456" s="125" t="str">
        <f>IF(Proc[[#This Row],[type]]="LFF (MDG-F)",MID(Proc[[#This Row],[Obj]],13,10),"")</f>
        <v/>
      </c>
      <c r="J3456" s="125" t="b">
        <f>Proc[[#This Row],[Requested]]=Proc[[#This Row],[CurrentParent]]</f>
        <v>1</v>
      </c>
      <c r="K3456" s="144" t="str">
        <f>IF(Proc[[#This Row],[Author]]="Marcela Urrego",VLOOKUP(LEFT(Proc[[#This Row],[Requested]],1),Table3[#All],2,0),VLOOKUP(Proc[[#This Row],[Author]],Table4[],2,0))</f>
        <v>LS</v>
      </c>
      <c r="L3456" s="125" t="s">
        <v>4894</v>
      </c>
      <c r="M3456" s="127">
        <v>45877</v>
      </c>
      <c r="N3456" s="127"/>
      <c r="O3456" s="127"/>
      <c r="P3456" s="115" t="str">
        <f ca="1">IF(Proc[[#This Row],[DaysAgeing]]&gt;5,"yep","on track")</f>
        <v>yep</v>
      </c>
      <c r="Q3456" s="3">
        <f ca="1">IF(Proc[[#This Row],[DateClosed]]="",ABS(NETWORKDAYS(Proc[[#This Row],[DateOpened]],TODAY()))-1,ABS(NETWORKDAYS(Proc[[#This Row],[DateOpened]],Proc[[#This Row],[DateClosed]]))-1)</f>
        <v>95</v>
      </c>
      <c r="R3456" s="115" t="s">
        <v>489</v>
      </c>
      <c r="S3456" s="125"/>
    </row>
    <row r="3457" spans="1:19" hidden="1">
      <c r="A3457" s="124" t="s">
        <v>5524</v>
      </c>
      <c r="B3457" s="149" t="str">
        <f>IFERROR(VLOOKUP(Proc[[#This Row],[App]],Table2[],3,0),"open")</f>
        <v>ok</v>
      </c>
      <c r="C3457" s="124" t="s">
        <v>369</v>
      </c>
      <c r="D3457" t="s">
        <v>5526</v>
      </c>
      <c r="E3457" t="s">
        <v>5528</v>
      </c>
      <c r="F3457" s="124" t="s">
        <v>5528</v>
      </c>
      <c r="G3457" s="124" t="s">
        <v>400</v>
      </c>
      <c r="H3457" s="125" t="str">
        <f>IF(Proc[[#This Row],[type]]="LFF (MDG-F)",MID(Proc[[#This Row],[Obj]],13,10),"")</f>
        <v/>
      </c>
      <c r="J3457" s="125" t="b">
        <f>Proc[[#This Row],[Requested]]=Proc[[#This Row],[CurrentParent]]</f>
        <v>1</v>
      </c>
      <c r="K3457" s="144" t="str">
        <f>IF(Proc[[#This Row],[Author]]="Marcela Urrego",VLOOKUP(LEFT(Proc[[#This Row],[Requested]],1),Table3[#All],2,0),VLOOKUP(Proc[[#This Row],[Author]],Table4[],2,0))</f>
        <v>LS</v>
      </c>
      <c r="L3457" s="125" t="s">
        <v>4894</v>
      </c>
      <c r="M3457" s="127">
        <v>45877</v>
      </c>
      <c r="N3457" s="127"/>
      <c r="O3457" s="127"/>
      <c r="P3457" s="115" t="str">
        <f ca="1">IF(Proc[[#This Row],[DaysAgeing]]&gt;5,"yep","on track")</f>
        <v>yep</v>
      </c>
      <c r="Q3457" s="3">
        <f ca="1">IF(Proc[[#This Row],[DateClosed]]="",ABS(NETWORKDAYS(Proc[[#This Row],[DateOpened]],TODAY()))-1,ABS(NETWORKDAYS(Proc[[#This Row],[DateOpened]],Proc[[#This Row],[DateClosed]]))-1)</f>
        <v>95</v>
      </c>
      <c r="R3457" s="115" t="s">
        <v>489</v>
      </c>
      <c r="S3457" s="125"/>
    </row>
    <row r="3458" spans="1:19" hidden="1">
      <c r="A3458" t="s">
        <v>5529</v>
      </c>
      <c r="B3458" s="149" t="str">
        <f>IFERROR(VLOOKUP(Proc[[#This Row],[App]],Table2[],3,0),"open")</f>
        <v>ok</v>
      </c>
      <c r="C3458" s="124" t="s">
        <v>369</v>
      </c>
      <c r="D3458" t="s">
        <v>4321</v>
      </c>
      <c r="E3458" t="s">
        <v>5552</v>
      </c>
      <c r="F3458" s="125" t="s">
        <v>5552</v>
      </c>
      <c r="G3458" s="124" t="s">
        <v>406</v>
      </c>
      <c r="H3458" s="125" t="str">
        <f>IF(Proc[[#This Row],[type]]="LFF (MDG-F)",MID(Proc[[#This Row],[Obj]],13,10),"")</f>
        <v>2068TAUA01</v>
      </c>
      <c r="J3458" s="125" t="b">
        <f>Proc[[#This Row],[Requested]]=Proc[[#This Row],[CurrentParent]]</f>
        <v>1</v>
      </c>
      <c r="K3458" s="144" t="str">
        <f>IF(Proc[[#This Row],[Author]]="Marcela Urrego",VLOOKUP(LEFT(Proc[[#This Row],[Requested]],1),Table3[#All],2,0),VLOOKUP(Proc[[#This Row],[Author]],Table4[],2,0))</f>
        <v>LS</v>
      </c>
      <c r="L3458" s="125" t="s">
        <v>4894</v>
      </c>
      <c r="M3458" s="127">
        <v>45877</v>
      </c>
      <c r="N3458" s="127"/>
      <c r="O3458" s="127"/>
      <c r="P3458" s="115" t="str">
        <f ca="1">IF(Proc[[#This Row],[DaysAgeing]]&gt;5,"yep","on track")</f>
        <v>yep</v>
      </c>
      <c r="Q3458" s="3">
        <f ca="1">IF(Proc[[#This Row],[DateClosed]]="",ABS(NETWORKDAYS(Proc[[#This Row],[DateOpened]],TODAY()))-1,ABS(NETWORKDAYS(Proc[[#This Row],[DateOpened]],Proc[[#This Row],[DateClosed]]))-1)</f>
        <v>95</v>
      </c>
      <c r="R3458" s="115" t="s">
        <v>489</v>
      </c>
      <c r="S3458" s="125"/>
    </row>
    <row r="3459" spans="1:19" hidden="1">
      <c r="A3459" t="s">
        <v>5530</v>
      </c>
      <c r="B3459" s="149" t="str">
        <f>IFERROR(VLOOKUP(Proc[[#This Row],[App]],Table2[],3,0),"open")</f>
        <v>ok</v>
      </c>
      <c r="C3459" s="124" t="s">
        <v>369</v>
      </c>
      <c r="D3459" t="s">
        <v>5557</v>
      </c>
      <c r="E3459" t="s">
        <v>5552</v>
      </c>
      <c r="F3459" s="125" t="s">
        <v>5552</v>
      </c>
      <c r="G3459" s="124" t="s">
        <v>406</v>
      </c>
      <c r="H3459" s="125" t="str">
        <f>IF(Proc[[#This Row],[type]]="LFF (MDG-F)",MID(Proc[[#This Row],[Obj]],13,10),"")</f>
        <v>2068TAUA00</v>
      </c>
      <c r="J3459" s="125" t="b">
        <f>Proc[[#This Row],[Requested]]=Proc[[#This Row],[CurrentParent]]</f>
        <v>1</v>
      </c>
      <c r="K3459" s="144" t="str">
        <f>IF(Proc[[#This Row],[Author]]="Marcela Urrego",VLOOKUP(LEFT(Proc[[#This Row],[Requested]],1),Table3[#All],2,0),VLOOKUP(Proc[[#This Row],[Author]],Table4[],2,0))</f>
        <v>LS</v>
      </c>
      <c r="L3459" s="125" t="s">
        <v>4894</v>
      </c>
      <c r="M3459" s="127">
        <v>45877</v>
      </c>
      <c r="N3459" s="127"/>
      <c r="O3459" s="127"/>
      <c r="P3459" s="115" t="str">
        <f ca="1">IF(Proc[[#This Row],[DaysAgeing]]&gt;5,"yep","on track")</f>
        <v>yep</v>
      </c>
      <c r="Q3459" s="3">
        <f ca="1">IF(Proc[[#This Row],[DateClosed]]="",ABS(NETWORKDAYS(Proc[[#This Row],[DateOpened]],TODAY()))-1,ABS(NETWORKDAYS(Proc[[#This Row],[DateOpened]],Proc[[#This Row],[DateClosed]]))-1)</f>
        <v>95</v>
      </c>
      <c r="R3459" s="115" t="s">
        <v>489</v>
      </c>
      <c r="S3459" s="125"/>
    </row>
    <row r="3460" spans="1:19" hidden="1">
      <c r="A3460" s="124" t="s">
        <v>5530</v>
      </c>
      <c r="B3460" s="149" t="str">
        <f>IFERROR(VLOOKUP(Proc[[#This Row],[App]],Table2[],3,0),"open")</f>
        <v>ok</v>
      </c>
      <c r="C3460" s="124" t="s">
        <v>369</v>
      </c>
      <c r="D3460" t="s">
        <v>5558</v>
      </c>
      <c r="E3460" t="s">
        <v>5552</v>
      </c>
      <c r="F3460" s="125" t="s">
        <v>5552</v>
      </c>
      <c r="G3460" s="124" t="s">
        <v>406</v>
      </c>
      <c r="H3460" s="125" t="str">
        <f>IF(Proc[[#This Row],[type]]="LFF (MDG-F)",MID(Proc[[#This Row],[Obj]],13,10),"")</f>
        <v>2068TAUA99</v>
      </c>
      <c r="J3460" s="125" t="b">
        <f>Proc[[#This Row],[Requested]]=Proc[[#This Row],[CurrentParent]]</f>
        <v>1</v>
      </c>
      <c r="K3460" s="144" t="str">
        <f>IF(Proc[[#This Row],[Author]]="Marcela Urrego",VLOOKUP(LEFT(Proc[[#This Row],[Requested]],1),Table3[#All],2,0),VLOOKUP(Proc[[#This Row],[Author]],Table4[],2,0))</f>
        <v>LS</v>
      </c>
      <c r="L3460" s="125" t="s">
        <v>4894</v>
      </c>
      <c r="M3460" s="127">
        <v>45877</v>
      </c>
      <c r="N3460" s="127"/>
      <c r="O3460" s="127"/>
      <c r="P3460" s="115" t="str">
        <f ca="1">IF(Proc[[#This Row],[DaysAgeing]]&gt;5,"yep","on track")</f>
        <v>yep</v>
      </c>
      <c r="Q3460" s="3">
        <f ca="1">IF(Proc[[#This Row],[DateClosed]]="",ABS(NETWORKDAYS(Proc[[#This Row],[DateOpened]],TODAY()))-1,ABS(NETWORKDAYS(Proc[[#This Row],[DateOpened]],Proc[[#This Row],[DateClosed]]))-1)</f>
        <v>95</v>
      </c>
      <c r="R3460" s="115" t="s">
        <v>489</v>
      </c>
      <c r="S3460" s="125"/>
    </row>
    <row r="3461" spans="1:19" hidden="1">
      <c r="A3461" s="124" t="s">
        <v>5530</v>
      </c>
      <c r="B3461" s="149" t="str">
        <f>IFERROR(VLOOKUP(Proc[[#This Row],[App]],Table2[],3,0),"open")</f>
        <v>ok</v>
      </c>
      <c r="C3461" s="124" t="s">
        <v>369</v>
      </c>
      <c r="D3461" t="s">
        <v>5559</v>
      </c>
      <c r="E3461" t="s">
        <v>5552</v>
      </c>
      <c r="F3461" s="125" t="s">
        <v>5552</v>
      </c>
      <c r="G3461" s="124" t="s">
        <v>406</v>
      </c>
      <c r="H3461" s="125" t="str">
        <f>IF(Proc[[#This Row],[type]]="LFF (MDG-F)",MID(Proc[[#This Row],[Obj]],13,10),"")</f>
        <v>2068TBUZ21</v>
      </c>
      <c r="J3461" s="125" t="b">
        <f>Proc[[#This Row],[Requested]]=Proc[[#This Row],[CurrentParent]]</f>
        <v>1</v>
      </c>
      <c r="K3461" s="144" t="str">
        <f>IF(Proc[[#This Row],[Author]]="Marcela Urrego",VLOOKUP(LEFT(Proc[[#This Row],[Requested]],1),Table3[#All],2,0),VLOOKUP(Proc[[#This Row],[Author]],Table4[],2,0))</f>
        <v>LS</v>
      </c>
      <c r="L3461" s="125" t="s">
        <v>4894</v>
      </c>
      <c r="M3461" s="127">
        <v>45877</v>
      </c>
      <c r="N3461" s="127"/>
      <c r="O3461" s="127"/>
      <c r="P3461" s="115" t="str">
        <f ca="1">IF(Proc[[#This Row],[DaysAgeing]]&gt;5,"yep","on track")</f>
        <v>yep</v>
      </c>
      <c r="Q3461" s="3">
        <f ca="1">IF(Proc[[#This Row],[DateClosed]]="",ABS(NETWORKDAYS(Proc[[#This Row],[DateOpened]],TODAY()))-1,ABS(NETWORKDAYS(Proc[[#This Row],[DateOpened]],Proc[[#This Row],[DateClosed]]))-1)</f>
        <v>95</v>
      </c>
      <c r="R3461" s="115" t="s">
        <v>489</v>
      </c>
      <c r="S3461" s="125"/>
    </row>
    <row r="3462" spans="1:19" hidden="1">
      <c r="A3462" s="124" t="s">
        <v>5530</v>
      </c>
      <c r="B3462" s="149" t="str">
        <f>IFERROR(VLOOKUP(Proc[[#This Row],[App]],Table2[],3,0),"open")</f>
        <v>ok</v>
      </c>
      <c r="C3462" s="124" t="s">
        <v>369</v>
      </c>
      <c r="D3462" t="s">
        <v>5560</v>
      </c>
      <c r="E3462" t="s">
        <v>5552</v>
      </c>
      <c r="F3462" s="125" t="s">
        <v>5552</v>
      </c>
      <c r="G3462" s="124" t="s">
        <v>406</v>
      </c>
      <c r="H3462" s="125" t="str">
        <f>IF(Proc[[#This Row],[type]]="LFF (MDG-F)",MID(Proc[[#This Row],[Obj]],13,10),"")</f>
        <v>2068TFUZ61</v>
      </c>
      <c r="J3462" s="125" t="b">
        <f>Proc[[#This Row],[Requested]]=Proc[[#This Row],[CurrentParent]]</f>
        <v>1</v>
      </c>
      <c r="K3462" s="144" t="str">
        <f>IF(Proc[[#This Row],[Author]]="Marcela Urrego",VLOOKUP(LEFT(Proc[[#This Row],[Requested]],1),Table3[#All],2,0),VLOOKUP(Proc[[#This Row],[Author]],Table4[],2,0))</f>
        <v>LS</v>
      </c>
      <c r="L3462" s="125" t="s">
        <v>4894</v>
      </c>
      <c r="M3462" s="127">
        <v>45877</v>
      </c>
      <c r="N3462" s="127"/>
      <c r="O3462" s="127"/>
      <c r="P3462" s="115" t="str">
        <f ca="1">IF(Proc[[#This Row],[DaysAgeing]]&gt;5,"yep","on track")</f>
        <v>yep</v>
      </c>
      <c r="Q3462" s="3">
        <f ca="1">IF(Proc[[#This Row],[DateClosed]]="",ABS(NETWORKDAYS(Proc[[#This Row],[DateOpened]],TODAY()))-1,ABS(NETWORKDAYS(Proc[[#This Row],[DateOpened]],Proc[[#This Row],[DateClosed]]))-1)</f>
        <v>95</v>
      </c>
      <c r="R3462" s="115" t="s">
        <v>489</v>
      </c>
      <c r="S3462" s="125"/>
    </row>
    <row r="3463" spans="1:19" hidden="1">
      <c r="A3463" s="124" t="s">
        <v>5530</v>
      </c>
      <c r="B3463" s="149" t="str">
        <f>IFERROR(VLOOKUP(Proc[[#This Row],[App]],Table2[],3,0),"open")</f>
        <v>ok</v>
      </c>
      <c r="C3463" s="124" t="s">
        <v>369</v>
      </c>
      <c r="D3463" t="s">
        <v>5561</v>
      </c>
      <c r="E3463" t="s">
        <v>5552</v>
      </c>
      <c r="F3463" s="125" t="s">
        <v>5552</v>
      </c>
      <c r="G3463" s="124" t="s">
        <v>406</v>
      </c>
      <c r="H3463" s="125" t="str">
        <f>IF(Proc[[#This Row],[type]]="LFF (MDG-F)",MID(Proc[[#This Row],[Obj]],13,10),"")</f>
        <v>2068TKUZ70</v>
      </c>
      <c r="J3463" s="125" t="b">
        <f>Proc[[#This Row],[Requested]]=Proc[[#This Row],[CurrentParent]]</f>
        <v>1</v>
      </c>
      <c r="K3463" s="144" t="str">
        <f>IF(Proc[[#This Row],[Author]]="Marcela Urrego",VLOOKUP(LEFT(Proc[[#This Row],[Requested]],1),Table3[#All],2,0),VLOOKUP(Proc[[#This Row],[Author]],Table4[],2,0))</f>
        <v>LS</v>
      </c>
      <c r="L3463" s="125" t="s">
        <v>4894</v>
      </c>
      <c r="M3463" s="127">
        <v>45877</v>
      </c>
      <c r="N3463" s="127"/>
      <c r="O3463" s="127"/>
      <c r="P3463" s="115" t="str">
        <f ca="1">IF(Proc[[#This Row],[DaysAgeing]]&gt;5,"yep","on track")</f>
        <v>yep</v>
      </c>
      <c r="Q3463" s="3">
        <f ca="1">IF(Proc[[#This Row],[DateClosed]]="",ABS(NETWORKDAYS(Proc[[#This Row],[DateOpened]],TODAY()))-1,ABS(NETWORKDAYS(Proc[[#This Row],[DateOpened]],Proc[[#This Row],[DateClosed]]))-1)</f>
        <v>95</v>
      </c>
      <c r="R3463" s="115" t="s">
        <v>489</v>
      </c>
      <c r="S3463" s="125"/>
    </row>
    <row r="3464" spans="1:19" hidden="1">
      <c r="A3464" s="124" t="s">
        <v>5530</v>
      </c>
      <c r="B3464" s="149" t="str">
        <f>IFERROR(VLOOKUP(Proc[[#This Row],[App]],Table2[],3,0),"open")</f>
        <v>ok</v>
      </c>
      <c r="C3464" s="124" t="s">
        <v>369</v>
      </c>
      <c r="D3464" t="s">
        <v>5562</v>
      </c>
      <c r="E3464" t="s">
        <v>5552</v>
      </c>
      <c r="F3464" s="125" t="s">
        <v>5552</v>
      </c>
      <c r="G3464" s="124" t="s">
        <v>406</v>
      </c>
      <c r="H3464" s="125" t="str">
        <f>IF(Proc[[#This Row],[type]]="LFF (MDG-F)",MID(Proc[[#This Row],[Obj]],13,10),"")</f>
        <v>2068TQUZ90</v>
      </c>
      <c r="J3464" s="125" t="b">
        <f>Proc[[#This Row],[Requested]]=Proc[[#This Row],[CurrentParent]]</f>
        <v>1</v>
      </c>
      <c r="K3464" s="144" t="str">
        <f>IF(Proc[[#This Row],[Author]]="Marcela Urrego",VLOOKUP(LEFT(Proc[[#This Row],[Requested]],1),Table3[#All],2,0),VLOOKUP(Proc[[#This Row],[Author]],Table4[],2,0))</f>
        <v>LS</v>
      </c>
      <c r="L3464" s="125" t="s">
        <v>4894</v>
      </c>
      <c r="M3464" s="127">
        <v>45877</v>
      </c>
      <c r="N3464" s="127"/>
      <c r="O3464" s="127"/>
      <c r="P3464" s="115" t="str">
        <f ca="1">IF(Proc[[#This Row],[DaysAgeing]]&gt;5,"yep","on track")</f>
        <v>yep</v>
      </c>
      <c r="Q3464" s="3">
        <f ca="1">IF(Proc[[#This Row],[DateClosed]]="",ABS(NETWORKDAYS(Proc[[#This Row],[DateOpened]],TODAY()))-1,ABS(NETWORKDAYS(Proc[[#This Row],[DateOpened]],Proc[[#This Row],[DateClosed]]))-1)</f>
        <v>95</v>
      </c>
      <c r="R3464" s="115" t="s">
        <v>489</v>
      </c>
      <c r="S3464" s="125"/>
    </row>
    <row r="3465" spans="1:19" hidden="1">
      <c r="A3465" s="124" t="s">
        <v>5530</v>
      </c>
      <c r="B3465" s="149" t="str">
        <f>IFERROR(VLOOKUP(Proc[[#This Row],[App]],Table2[],3,0),"open")</f>
        <v>ok</v>
      </c>
      <c r="C3465" s="124" t="s">
        <v>369</v>
      </c>
      <c r="D3465" t="s">
        <v>5563</v>
      </c>
      <c r="E3465" t="s">
        <v>5531</v>
      </c>
      <c r="F3465" s="125" t="s">
        <v>5531</v>
      </c>
      <c r="G3465" s="124" t="s">
        <v>406</v>
      </c>
      <c r="H3465" s="125" t="str">
        <f>IF(Proc[[#This Row],[type]]="LFF (MDG-F)",MID(Proc[[#This Row],[Obj]],13,10),"")</f>
        <v>2148TFCZ62</v>
      </c>
      <c r="J3465" s="125" t="b">
        <f>Proc[[#This Row],[Requested]]=Proc[[#This Row],[CurrentParent]]</f>
        <v>1</v>
      </c>
      <c r="K3465" s="144" t="str">
        <f>IF(Proc[[#This Row],[Author]]="Marcela Urrego",VLOOKUP(LEFT(Proc[[#This Row],[Requested]],1),Table3[#All],2,0),VLOOKUP(Proc[[#This Row],[Author]],Table4[],2,0))</f>
        <v>LS</v>
      </c>
      <c r="L3465" s="125" t="s">
        <v>4894</v>
      </c>
      <c r="M3465" s="127">
        <v>45877</v>
      </c>
      <c r="N3465" s="127"/>
      <c r="O3465" s="127"/>
      <c r="P3465" s="115" t="str">
        <f ca="1">IF(Proc[[#This Row],[DaysAgeing]]&gt;5,"yep","on track")</f>
        <v>yep</v>
      </c>
      <c r="Q3465" s="3">
        <f ca="1">IF(Proc[[#This Row],[DateClosed]]="",ABS(NETWORKDAYS(Proc[[#This Row],[DateOpened]],TODAY()))-1,ABS(NETWORKDAYS(Proc[[#This Row],[DateOpened]],Proc[[#This Row],[DateClosed]]))-1)</f>
        <v>95</v>
      </c>
      <c r="R3465" s="115" t="s">
        <v>489</v>
      </c>
      <c r="S3465" s="125"/>
    </row>
    <row r="3466" spans="1:19" hidden="1">
      <c r="A3466" s="124" t="s">
        <v>5530</v>
      </c>
      <c r="B3466" s="149" t="str">
        <f>IFERROR(VLOOKUP(Proc[[#This Row],[App]],Table2[],3,0),"open")</f>
        <v>ok</v>
      </c>
      <c r="C3466" s="124" t="s">
        <v>369</v>
      </c>
      <c r="D3466" t="s">
        <v>5564</v>
      </c>
      <c r="E3466" t="s">
        <v>5531</v>
      </c>
      <c r="F3466" s="125" t="s">
        <v>5531</v>
      </c>
      <c r="G3466" s="124" t="s">
        <v>406</v>
      </c>
      <c r="H3466" s="125" t="str">
        <f>IF(Proc[[#This Row],[type]]="LFF (MDG-F)",MID(Proc[[#This Row],[Obj]],13,10),"")</f>
        <v>2148TFSZ62</v>
      </c>
      <c r="J3466" s="125" t="b">
        <f>Proc[[#This Row],[Requested]]=Proc[[#This Row],[CurrentParent]]</f>
        <v>1</v>
      </c>
      <c r="K3466" s="144" t="str">
        <f>IF(Proc[[#This Row],[Author]]="Marcela Urrego",VLOOKUP(LEFT(Proc[[#This Row],[Requested]],1),Table3[#All],2,0),VLOOKUP(Proc[[#This Row],[Author]],Table4[],2,0))</f>
        <v>LS</v>
      </c>
      <c r="L3466" s="125" t="s">
        <v>4894</v>
      </c>
      <c r="M3466" s="127">
        <v>45877</v>
      </c>
      <c r="N3466" s="127"/>
      <c r="O3466" s="127"/>
      <c r="P3466" s="115" t="str">
        <f ca="1">IF(Proc[[#This Row],[DaysAgeing]]&gt;5,"yep","on track")</f>
        <v>yep</v>
      </c>
      <c r="Q3466" s="3">
        <f ca="1">IF(Proc[[#This Row],[DateClosed]]="",ABS(NETWORKDAYS(Proc[[#This Row],[DateOpened]],TODAY()))-1,ABS(NETWORKDAYS(Proc[[#This Row],[DateOpened]],Proc[[#This Row],[DateClosed]]))-1)</f>
        <v>95</v>
      </c>
      <c r="R3466" s="115" t="s">
        <v>489</v>
      </c>
      <c r="S3466" s="125"/>
    </row>
    <row r="3467" spans="1:19" hidden="1">
      <c r="A3467" t="s">
        <v>5533</v>
      </c>
      <c r="B3467" s="149" t="str">
        <f>IFERROR(VLOOKUP(Proc[[#This Row],[App]],Table2[],3,0),"open")</f>
        <v>ok</v>
      </c>
      <c r="C3467" s="124" t="s">
        <v>369</v>
      </c>
      <c r="D3467" t="s">
        <v>5534</v>
      </c>
      <c r="E3467" t="s">
        <v>5532</v>
      </c>
      <c r="F3467" s="125" t="s">
        <v>5532</v>
      </c>
      <c r="G3467" s="124" t="s">
        <v>400</v>
      </c>
      <c r="H3467" s="125" t="str">
        <f>IF(Proc[[#This Row],[type]]="LFF (MDG-F)",MID(Proc[[#This Row],[Obj]],13,10),"")</f>
        <v/>
      </c>
      <c r="J3467" s="125" t="b">
        <f>Proc[[#This Row],[Requested]]=Proc[[#This Row],[CurrentParent]]</f>
        <v>1</v>
      </c>
      <c r="K3467" s="144" t="str">
        <f>IF(Proc[[#This Row],[Author]]="Marcela Urrego",VLOOKUP(LEFT(Proc[[#This Row],[Requested]],1),Table3[#All],2,0),VLOOKUP(Proc[[#This Row],[Author]],Table4[],2,0))</f>
        <v>HC</v>
      </c>
      <c r="L3467" s="125" t="s">
        <v>4894</v>
      </c>
      <c r="M3467" s="127">
        <v>45877</v>
      </c>
      <c r="N3467" s="127"/>
      <c r="O3467" s="127"/>
      <c r="P3467" s="115" t="str">
        <f ca="1">IF(Proc[[#This Row],[DaysAgeing]]&gt;5,"yep","on track")</f>
        <v>yep</v>
      </c>
      <c r="Q3467" s="3">
        <f ca="1">IF(Proc[[#This Row],[DateClosed]]="",ABS(NETWORKDAYS(Proc[[#This Row],[DateOpened]],TODAY()))-1,ABS(NETWORKDAYS(Proc[[#This Row],[DateOpened]],Proc[[#This Row],[DateClosed]]))-1)</f>
        <v>95</v>
      </c>
      <c r="R3467" s="115" t="s">
        <v>415</v>
      </c>
      <c r="S3467" s="125"/>
    </row>
    <row r="3468" spans="1:19" hidden="1">
      <c r="A3468" s="124" t="s">
        <v>5533</v>
      </c>
      <c r="B3468" s="149" t="str">
        <f>IFERROR(VLOOKUP(Proc[[#This Row],[App]],Table2[],3,0),"open")</f>
        <v>ok</v>
      </c>
      <c r="C3468" s="124" t="s">
        <v>369</v>
      </c>
      <c r="D3468" t="s">
        <v>5535</v>
      </c>
      <c r="E3468" t="s">
        <v>5532</v>
      </c>
      <c r="F3468" s="125" t="s">
        <v>5532</v>
      </c>
      <c r="G3468" s="124" t="s">
        <v>400</v>
      </c>
      <c r="H3468" s="125" t="str">
        <f>IF(Proc[[#This Row],[type]]="LFF (MDG-F)",MID(Proc[[#This Row],[Obj]],13,10),"")</f>
        <v/>
      </c>
      <c r="J3468" s="125" t="b">
        <f>Proc[[#This Row],[Requested]]=Proc[[#This Row],[CurrentParent]]</f>
        <v>1</v>
      </c>
      <c r="K3468" s="144" t="str">
        <f>IF(Proc[[#This Row],[Author]]="Marcela Urrego",VLOOKUP(LEFT(Proc[[#This Row],[Requested]],1),Table3[#All],2,0),VLOOKUP(Proc[[#This Row],[Author]],Table4[],2,0))</f>
        <v>HC</v>
      </c>
      <c r="L3468" s="125" t="s">
        <v>4894</v>
      </c>
      <c r="M3468" s="127">
        <v>45877</v>
      </c>
      <c r="N3468" s="127"/>
      <c r="O3468" s="127"/>
      <c r="P3468" s="115" t="str">
        <f ca="1">IF(Proc[[#This Row],[DaysAgeing]]&gt;5,"yep","on track")</f>
        <v>yep</v>
      </c>
      <c r="Q3468" s="3">
        <f ca="1">IF(Proc[[#This Row],[DateClosed]]="",ABS(NETWORKDAYS(Proc[[#This Row],[DateOpened]],TODAY()))-1,ABS(NETWORKDAYS(Proc[[#This Row],[DateOpened]],Proc[[#This Row],[DateClosed]]))-1)</f>
        <v>95</v>
      </c>
      <c r="R3468" s="115" t="s">
        <v>415</v>
      </c>
      <c r="S3468" s="125"/>
    </row>
    <row r="3469" spans="1:19" hidden="1">
      <c r="A3469" s="124" t="s">
        <v>5533</v>
      </c>
      <c r="B3469" s="149" t="str">
        <f>IFERROR(VLOOKUP(Proc[[#This Row],[App]],Table2[],3,0),"open")</f>
        <v>ok</v>
      </c>
      <c r="C3469" s="124" t="s">
        <v>369</v>
      </c>
      <c r="D3469" t="s">
        <v>5536</v>
      </c>
      <c r="E3469" t="s">
        <v>5532</v>
      </c>
      <c r="F3469" s="125" t="s">
        <v>5532</v>
      </c>
      <c r="G3469" s="124" t="s">
        <v>400</v>
      </c>
      <c r="H3469" s="125" t="str">
        <f>IF(Proc[[#This Row],[type]]="LFF (MDG-F)",MID(Proc[[#This Row],[Obj]],13,10),"")</f>
        <v/>
      </c>
      <c r="J3469" s="125" t="b">
        <f>Proc[[#This Row],[Requested]]=Proc[[#This Row],[CurrentParent]]</f>
        <v>1</v>
      </c>
      <c r="K3469" s="144" t="str">
        <f>IF(Proc[[#This Row],[Author]]="Marcela Urrego",VLOOKUP(LEFT(Proc[[#This Row],[Requested]],1),Table3[#All],2,0),VLOOKUP(Proc[[#This Row],[Author]],Table4[],2,0))</f>
        <v>HC</v>
      </c>
      <c r="L3469" s="125" t="s">
        <v>4894</v>
      </c>
      <c r="M3469" s="127">
        <v>45877</v>
      </c>
      <c r="N3469" s="127"/>
      <c r="O3469" s="127"/>
      <c r="P3469" s="115" t="str">
        <f ca="1">IF(Proc[[#This Row],[DaysAgeing]]&gt;5,"yep","on track")</f>
        <v>yep</v>
      </c>
      <c r="Q3469" s="3">
        <f ca="1">IF(Proc[[#This Row],[DateClosed]]="",ABS(NETWORKDAYS(Proc[[#This Row],[DateOpened]],TODAY()))-1,ABS(NETWORKDAYS(Proc[[#This Row],[DateOpened]],Proc[[#This Row],[DateClosed]]))-1)</f>
        <v>95</v>
      </c>
      <c r="R3469" s="115" t="s">
        <v>415</v>
      </c>
      <c r="S3469" s="125"/>
    </row>
    <row r="3470" spans="1:19" hidden="1">
      <c r="A3470" s="124" t="s">
        <v>5533</v>
      </c>
      <c r="B3470" s="149" t="str">
        <f>IFERROR(VLOOKUP(Proc[[#This Row],[App]],Table2[],3,0),"open")</f>
        <v>ok</v>
      </c>
      <c r="C3470" s="124" t="s">
        <v>369</v>
      </c>
      <c r="D3470" t="s">
        <v>5537</v>
      </c>
      <c r="E3470" t="s">
        <v>5532</v>
      </c>
      <c r="F3470" s="125" t="s">
        <v>5532</v>
      </c>
      <c r="G3470" s="124" t="s">
        <v>400</v>
      </c>
      <c r="H3470" s="125" t="str">
        <f>IF(Proc[[#This Row],[type]]="LFF (MDG-F)",MID(Proc[[#This Row],[Obj]],13,10),"")</f>
        <v/>
      </c>
      <c r="J3470" s="125" t="b">
        <f>Proc[[#This Row],[Requested]]=Proc[[#This Row],[CurrentParent]]</f>
        <v>1</v>
      </c>
      <c r="K3470" s="144" t="str">
        <f>IF(Proc[[#This Row],[Author]]="Marcela Urrego",VLOOKUP(LEFT(Proc[[#This Row],[Requested]],1),Table3[#All],2,0),VLOOKUP(Proc[[#This Row],[Author]],Table4[],2,0))</f>
        <v>HC</v>
      </c>
      <c r="L3470" s="125" t="s">
        <v>4894</v>
      </c>
      <c r="M3470" s="127">
        <v>45877</v>
      </c>
      <c r="N3470" s="127"/>
      <c r="O3470" s="127"/>
      <c r="P3470" s="115" t="str">
        <f ca="1">IF(Proc[[#This Row],[DaysAgeing]]&gt;5,"yep","on track")</f>
        <v>yep</v>
      </c>
      <c r="Q3470" s="3">
        <f ca="1">IF(Proc[[#This Row],[DateClosed]]="",ABS(NETWORKDAYS(Proc[[#This Row],[DateOpened]],TODAY()))-1,ABS(NETWORKDAYS(Proc[[#This Row],[DateOpened]],Proc[[#This Row],[DateClosed]]))-1)</f>
        <v>95</v>
      </c>
      <c r="R3470" s="115" t="s">
        <v>415</v>
      </c>
      <c r="S3470" s="125"/>
    </row>
    <row r="3471" spans="1:19" hidden="1">
      <c r="A3471" s="124" t="s">
        <v>5533</v>
      </c>
      <c r="B3471" s="149" t="str">
        <f>IFERROR(VLOOKUP(Proc[[#This Row],[App]],Table2[],3,0),"open")</f>
        <v>ok</v>
      </c>
      <c r="C3471" s="124" t="s">
        <v>369</v>
      </c>
      <c r="D3471" t="s">
        <v>5538</v>
      </c>
      <c r="E3471" t="s">
        <v>5532</v>
      </c>
      <c r="F3471" s="125" t="s">
        <v>5532</v>
      </c>
      <c r="G3471" s="124" t="s">
        <v>400</v>
      </c>
      <c r="H3471" s="125" t="str">
        <f>IF(Proc[[#This Row],[type]]="LFF (MDG-F)",MID(Proc[[#This Row],[Obj]],13,10),"")</f>
        <v/>
      </c>
      <c r="J3471" s="125" t="b">
        <f>Proc[[#This Row],[Requested]]=Proc[[#This Row],[CurrentParent]]</f>
        <v>1</v>
      </c>
      <c r="K3471" s="144" t="str">
        <f>IF(Proc[[#This Row],[Author]]="Marcela Urrego",VLOOKUP(LEFT(Proc[[#This Row],[Requested]],1),Table3[#All],2,0),VLOOKUP(Proc[[#This Row],[Author]],Table4[],2,0))</f>
        <v>HC</v>
      </c>
      <c r="L3471" s="125" t="s">
        <v>4894</v>
      </c>
      <c r="M3471" s="127">
        <v>45877</v>
      </c>
      <c r="N3471" s="127"/>
      <c r="O3471" s="127"/>
      <c r="P3471" s="115" t="str">
        <f ca="1">IF(Proc[[#This Row],[DaysAgeing]]&gt;5,"yep","on track")</f>
        <v>yep</v>
      </c>
      <c r="Q3471" s="3">
        <f ca="1">IF(Proc[[#This Row],[DateClosed]]="",ABS(NETWORKDAYS(Proc[[#This Row],[DateOpened]],TODAY()))-1,ABS(NETWORKDAYS(Proc[[#This Row],[DateOpened]],Proc[[#This Row],[DateClosed]]))-1)</f>
        <v>95</v>
      </c>
      <c r="R3471" s="115" t="s">
        <v>415</v>
      </c>
      <c r="S3471" s="125"/>
    </row>
    <row r="3472" spans="1:19" hidden="1">
      <c r="A3472" s="124" t="s">
        <v>5533</v>
      </c>
      <c r="B3472" s="149" t="str">
        <f>IFERROR(VLOOKUP(Proc[[#This Row],[App]],Table2[],3,0),"open")</f>
        <v>ok</v>
      </c>
      <c r="C3472" s="124" t="s">
        <v>369</v>
      </c>
      <c r="D3472" t="s">
        <v>5539</v>
      </c>
      <c r="E3472" t="s">
        <v>5532</v>
      </c>
      <c r="F3472" s="125" t="s">
        <v>5532</v>
      </c>
      <c r="G3472" s="124" t="s">
        <v>400</v>
      </c>
      <c r="H3472" s="125" t="str">
        <f>IF(Proc[[#This Row],[type]]="LFF (MDG-F)",MID(Proc[[#This Row],[Obj]],13,10),"")</f>
        <v/>
      </c>
      <c r="J3472" s="125" t="b">
        <f>Proc[[#This Row],[Requested]]=Proc[[#This Row],[CurrentParent]]</f>
        <v>1</v>
      </c>
      <c r="K3472" s="144" t="str">
        <f>IF(Proc[[#This Row],[Author]]="Marcela Urrego",VLOOKUP(LEFT(Proc[[#This Row],[Requested]],1),Table3[#All],2,0),VLOOKUP(Proc[[#This Row],[Author]],Table4[],2,0))</f>
        <v>HC</v>
      </c>
      <c r="L3472" s="125" t="s">
        <v>4894</v>
      </c>
      <c r="M3472" s="127">
        <v>45877</v>
      </c>
      <c r="N3472" s="127"/>
      <c r="O3472" s="127"/>
      <c r="P3472" s="115" t="str">
        <f ca="1">IF(Proc[[#This Row],[DaysAgeing]]&gt;5,"yep","on track")</f>
        <v>yep</v>
      </c>
      <c r="Q3472" s="3">
        <f ca="1">IF(Proc[[#This Row],[DateClosed]]="",ABS(NETWORKDAYS(Proc[[#This Row],[DateOpened]],TODAY()))-1,ABS(NETWORKDAYS(Proc[[#This Row],[DateOpened]],Proc[[#This Row],[DateClosed]]))-1)</f>
        <v>95</v>
      </c>
      <c r="R3472" s="115" t="s">
        <v>415</v>
      </c>
      <c r="S3472" s="125"/>
    </row>
    <row r="3473" spans="1:19" hidden="1">
      <c r="A3473" s="124" t="s">
        <v>5533</v>
      </c>
      <c r="B3473" s="149" t="str">
        <f>IFERROR(VLOOKUP(Proc[[#This Row],[App]],Table2[],3,0),"open")</f>
        <v>ok</v>
      </c>
      <c r="C3473" s="124" t="s">
        <v>369</v>
      </c>
      <c r="D3473" t="s">
        <v>5540</v>
      </c>
      <c r="E3473" t="s">
        <v>5532</v>
      </c>
      <c r="F3473" s="125" t="s">
        <v>5532</v>
      </c>
      <c r="G3473" s="124" t="s">
        <v>400</v>
      </c>
      <c r="H3473" s="125" t="str">
        <f>IF(Proc[[#This Row],[type]]="LFF (MDG-F)",MID(Proc[[#This Row],[Obj]],13,10),"")</f>
        <v/>
      </c>
      <c r="J3473" s="125" t="b">
        <f>Proc[[#This Row],[Requested]]=Proc[[#This Row],[CurrentParent]]</f>
        <v>1</v>
      </c>
      <c r="K3473" s="144" t="str">
        <f>IF(Proc[[#This Row],[Author]]="Marcela Urrego",VLOOKUP(LEFT(Proc[[#This Row],[Requested]],1),Table3[#All],2,0),VLOOKUP(Proc[[#This Row],[Author]],Table4[],2,0))</f>
        <v>HC</v>
      </c>
      <c r="L3473" s="125" t="s">
        <v>4894</v>
      </c>
      <c r="M3473" s="127">
        <v>45877</v>
      </c>
      <c r="N3473" s="127"/>
      <c r="O3473" s="127"/>
      <c r="P3473" s="115" t="str">
        <f ca="1">IF(Proc[[#This Row],[DaysAgeing]]&gt;5,"yep","on track")</f>
        <v>yep</v>
      </c>
      <c r="Q3473" s="3">
        <f ca="1">IF(Proc[[#This Row],[DateClosed]]="",ABS(NETWORKDAYS(Proc[[#This Row],[DateOpened]],TODAY()))-1,ABS(NETWORKDAYS(Proc[[#This Row],[DateOpened]],Proc[[#This Row],[DateClosed]]))-1)</f>
        <v>95</v>
      </c>
      <c r="R3473" s="115" t="s">
        <v>415</v>
      </c>
      <c r="S3473" s="125"/>
    </row>
    <row r="3474" spans="1:19" hidden="1">
      <c r="A3474" s="124" t="s">
        <v>5533</v>
      </c>
      <c r="B3474" s="149" t="str">
        <f>IFERROR(VLOOKUP(Proc[[#This Row],[App]],Table2[],3,0),"open")</f>
        <v>ok</v>
      </c>
      <c r="C3474" s="124" t="s">
        <v>369</v>
      </c>
      <c r="D3474" t="s">
        <v>5541</v>
      </c>
      <c r="E3474" t="s">
        <v>5532</v>
      </c>
      <c r="F3474" s="125" t="s">
        <v>5532</v>
      </c>
      <c r="G3474" s="124" t="s">
        <v>400</v>
      </c>
      <c r="H3474" s="125" t="str">
        <f>IF(Proc[[#This Row],[type]]="LFF (MDG-F)",MID(Proc[[#This Row],[Obj]],13,10),"")</f>
        <v/>
      </c>
      <c r="J3474" s="125" t="b">
        <f>Proc[[#This Row],[Requested]]=Proc[[#This Row],[CurrentParent]]</f>
        <v>1</v>
      </c>
      <c r="K3474" s="144" t="str">
        <f>IF(Proc[[#This Row],[Author]]="Marcela Urrego",VLOOKUP(LEFT(Proc[[#This Row],[Requested]],1),Table3[#All],2,0),VLOOKUP(Proc[[#This Row],[Author]],Table4[],2,0))</f>
        <v>HC</v>
      </c>
      <c r="L3474" s="125" t="s">
        <v>4894</v>
      </c>
      <c r="M3474" s="127">
        <v>45877</v>
      </c>
      <c r="N3474" s="127"/>
      <c r="O3474" s="127"/>
      <c r="P3474" s="115" t="str">
        <f ca="1">IF(Proc[[#This Row],[DaysAgeing]]&gt;5,"yep","on track")</f>
        <v>yep</v>
      </c>
      <c r="Q3474" s="3">
        <f ca="1">IF(Proc[[#This Row],[DateClosed]]="",ABS(NETWORKDAYS(Proc[[#This Row],[DateOpened]],TODAY()))-1,ABS(NETWORKDAYS(Proc[[#This Row],[DateOpened]],Proc[[#This Row],[DateClosed]]))-1)</f>
        <v>95</v>
      </c>
      <c r="R3474" s="115" t="s">
        <v>415</v>
      </c>
      <c r="S3474" s="125"/>
    </row>
    <row r="3475" spans="1:19" hidden="1">
      <c r="A3475" s="124" t="s">
        <v>5533</v>
      </c>
      <c r="B3475" s="149" t="str">
        <f>IFERROR(VLOOKUP(Proc[[#This Row],[App]],Table2[],3,0),"open")</f>
        <v>ok</v>
      </c>
      <c r="C3475" s="124" t="s">
        <v>369</v>
      </c>
      <c r="D3475" t="s">
        <v>5542</v>
      </c>
      <c r="E3475" t="s">
        <v>5532</v>
      </c>
      <c r="F3475" s="125" t="s">
        <v>5532</v>
      </c>
      <c r="G3475" s="124" t="s">
        <v>400</v>
      </c>
      <c r="H3475" s="125" t="str">
        <f>IF(Proc[[#This Row],[type]]="LFF (MDG-F)",MID(Proc[[#This Row],[Obj]],13,10),"")</f>
        <v/>
      </c>
      <c r="J3475" s="125" t="b">
        <f>Proc[[#This Row],[Requested]]=Proc[[#This Row],[CurrentParent]]</f>
        <v>1</v>
      </c>
      <c r="K3475" s="144" t="str">
        <f>IF(Proc[[#This Row],[Author]]="Marcela Urrego",VLOOKUP(LEFT(Proc[[#This Row],[Requested]],1),Table3[#All],2,0),VLOOKUP(Proc[[#This Row],[Author]],Table4[],2,0))</f>
        <v>HC</v>
      </c>
      <c r="L3475" s="125" t="s">
        <v>4894</v>
      </c>
      <c r="M3475" s="127">
        <v>45877</v>
      </c>
      <c r="N3475" s="127"/>
      <c r="O3475" s="127"/>
      <c r="P3475" s="115" t="str">
        <f ca="1">IF(Proc[[#This Row],[DaysAgeing]]&gt;5,"yep","on track")</f>
        <v>yep</v>
      </c>
      <c r="Q3475" s="3">
        <f ca="1">IF(Proc[[#This Row],[DateClosed]]="",ABS(NETWORKDAYS(Proc[[#This Row],[DateOpened]],TODAY()))-1,ABS(NETWORKDAYS(Proc[[#This Row],[DateOpened]],Proc[[#This Row],[DateClosed]]))-1)</f>
        <v>95</v>
      </c>
      <c r="R3475" s="115" t="s">
        <v>415</v>
      </c>
      <c r="S3475" s="125"/>
    </row>
    <row r="3476" spans="1:19" hidden="1">
      <c r="A3476" s="124" t="s">
        <v>5533</v>
      </c>
      <c r="B3476" s="149" t="str">
        <f>IFERROR(VLOOKUP(Proc[[#This Row],[App]],Table2[],3,0),"open")</f>
        <v>ok</v>
      </c>
      <c r="C3476" s="124" t="s">
        <v>369</v>
      </c>
      <c r="D3476" t="s">
        <v>5543</v>
      </c>
      <c r="E3476" t="s">
        <v>5532</v>
      </c>
      <c r="F3476" s="125" t="s">
        <v>5532</v>
      </c>
      <c r="G3476" s="124" t="s">
        <v>400</v>
      </c>
      <c r="H3476" s="125" t="str">
        <f>IF(Proc[[#This Row],[type]]="LFF (MDG-F)",MID(Proc[[#This Row],[Obj]],13,10),"")</f>
        <v/>
      </c>
      <c r="J3476" s="125" t="b">
        <f>Proc[[#This Row],[Requested]]=Proc[[#This Row],[CurrentParent]]</f>
        <v>1</v>
      </c>
      <c r="K3476" s="144" t="str">
        <f>IF(Proc[[#This Row],[Author]]="Marcela Urrego",VLOOKUP(LEFT(Proc[[#This Row],[Requested]],1),Table3[#All],2,0),VLOOKUP(Proc[[#This Row],[Author]],Table4[],2,0))</f>
        <v>HC</v>
      </c>
      <c r="L3476" s="125" t="s">
        <v>4894</v>
      </c>
      <c r="M3476" s="127">
        <v>45877</v>
      </c>
      <c r="N3476" s="127"/>
      <c r="O3476" s="127"/>
      <c r="P3476" s="115" t="str">
        <f ca="1">IF(Proc[[#This Row],[DaysAgeing]]&gt;5,"yep","on track")</f>
        <v>yep</v>
      </c>
      <c r="Q3476" s="3">
        <f ca="1">IF(Proc[[#This Row],[DateClosed]]="",ABS(NETWORKDAYS(Proc[[#This Row],[DateOpened]],TODAY()))-1,ABS(NETWORKDAYS(Proc[[#This Row],[DateOpened]],Proc[[#This Row],[DateClosed]]))-1)</f>
        <v>95</v>
      </c>
      <c r="R3476" s="115" t="s">
        <v>415</v>
      </c>
      <c r="S3476" s="125"/>
    </row>
    <row r="3477" spans="1:19" hidden="1">
      <c r="A3477" t="s">
        <v>5546</v>
      </c>
      <c r="B3477" s="149" t="str">
        <f>IFERROR(VLOOKUP(Proc[[#This Row],[App]],Table2[],3,0),"open")</f>
        <v>ok</v>
      </c>
      <c r="C3477" s="124" t="s">
        <v>369</v>
      </c>
      <c r="D3477" t="s">
        <v>5547</v>
      </c>
      <c r="E3477" s="124" t="s">
        <v>5548</v>
      </c>
      <c r="F3477" s="125" t="s">
        <v>5548</v>
      </c>
      <c r="G3477" t="s">
        <v>400</v>
      </c>
      <c r="H3477" s="125" t="str">
        <f>IF(Proc[[#This Row],[type]]="LFF (MDG-F)",MID(Proc[[#This Row],[Obj]],13,10),"")</f>
        <v/>
      </c>
      <c r="J3477" s="125" t="b">
        <f>Proc[[#This Row],[Requested]]=Proc[[#This Row],[CurrentParent]]</f>
        <v>1</v>
      </c>
      <c r="K3477" s="144" t="str">
        <f>IF(Proc[[#This Row],[Author]]="Marcela Urrego",VLOOKUP(LEFT(Proc[[#This Row],[Requested]],1),Table3[#All],2,0),VLOOKUP(Proc[[#This Row],[Author]],Table4[],2,0))</f>
        <v>HC</v>
      </c>
      <c r="L3477" s="125" t="s">
        <v>4894</v>
      </c>
      <c r="M3477" s="127">
        <v>45880</v>
      </c>
      <c r="N3477" s="127"/>
      <c r="O3477" s="127"/>
      <c r="P3477" s="115" t="str">
        <f ca="1">IF(Proc[[#This Row],[DaysAgeing]]&gt;5,"yep","on track")</f>
        <v>yep</v>
      </c>
      <c r="Q3477" s="3">
        <f ca="1">IF(Proc[[#This Row],[DateClosed]]="",ABS(NETWORKDAYS(Proc[[#This Row],[DateOpened]],TODAY()))-1,ABS(NETWORKDAYS(Proc[[#This Row],[DateOpened]],Proc[[#This Row],[DateClosed]]))-1)</f>
        <v>94</v>
      </c>
      <c r="R3477" s="115" t="s">
        <v>410</v>
      </c>
      <c r="S3477" s="125"/>
    </row>
    <row r="3478" spans="1:19" hidden="1">
      <c r="A3478" t="s">
        <v>5549</v>
      </c>
      <c r="B3478" s="149" t="str">
        <f>IFERROR(VLOOKUP(Proc[[#This Row],[App]],Table2[],3,0),"open")</f>
        <v>ok</v>
      </c>
      <c r="C3478" s="124" t="s">
        <v>369</v>
      </c>
      <c r="D3478" t="s">
        <v>5550</v>
      </c>
      <c r="E3478" t="s">
        <v>5553</v>
      </c>
      <c r="F3478" s="125" t="s">
        <v>5553</v>
      </c>
      <c r="G3478" s="124" t="s">
        <v>400</v>
      </c>
      <c r="H3478" s="125" t="str">
        <f>IF(Proc[[#This Row],[type]]="LFF (MDG-F)",MID(Proc[[#This Row],[Obj]],13,10),"")</f>
        <v/>
      </c>
      <c r="J3478" s="125" t="b">
        <f>Proc[[#This Row],[Requested]]=Proc[[#This Row],[CurrentParent]]</f>
        <v>1</v>
      </c>
      <c r="K3478" s="144" t="str">
        <f>IF(Proc[[#This Row],[Author]]="Marcela Urrego",VLOOKUP(LEFT(Proc[[#This Row],[Requested]],1),Table3[#All],2,0),VLOOKUP(Proc[[#This Row],[Author]],Table4[],2,0))</f>
        <v>MGF</v>
      </c>
      <c r="L3478" s="125" t="s">
        <v>4894</v>
      </c>
      <c r="M3478" s="127">
        <v>45880</v>
      </c>
      <c r="N3478" s="127"/>
      <c r="O3478" s="127"/>
      <c r="P3478" s="115" t="str">
        <f ca="1">IF(Proc[[#This Row],[DaysAgeing]]&gt;5,"yep","on track")</f>
        <v>yep</v>
      </c>
      <c r="Q3478" s="3">
        <f ca="1">IF(Proc[[#This Row],[DateClosed]]="",ABS(NETWORKDAYS(Proc[[#This Row],[DateOpened]],TODAY()))-1,ABS(NETWORKDAYS(Proc[[#This Row],[DateOpened]],Proc[[#This Row],[DateClosed]]))-1)</f>
        <v>94</v>
      </c>
      <c r="R3478" s="115" t="s">
        <v>515</v>
      </c>
      <c r="S3478" s="125"/>
    </row>
    <row r="3479" spans="1:19" hidden="1">
      <c r="A3479" t="s">
        <v>5554</v>
      </c>
      <c r="B3479" s="149" t="str">
        <f>IFERROR(VLOOKUP(Proc[[#This Row],[App]],Table2[],3,0),"open")</f>
        <v>ok</v>
      </c>
      <c r="C3479" t="s">
        <v>369</v>
      </c>
      <c r="D3479" t="s">
        <v>5565</v>
      </c>
      <c r="E3479" t="s">
        <v>5555</v>
      </c>
      <c r="F3479" s="129" t="s">
        <v>5555</v>
      </c>
      <c r="G3479" s="124" t="s">
        <v>406</v>
      </c>
      <c r="H3479" s="125" t="str">
        <f>IF(Proc[[#This Row],[type]]="LFF (MDG-F)",MID(Proc[[#This Row],[Obj]],13,10),"")</f>
        <v>CN70R03104</v>
      </c>
      <c r="J3479" s="125" t="b">
        <f>Proc[[#This Row],[Requested]]=Proc[[#This Row],[CurrentParent]]</f>
        <v>1</v>
      </c>
      <c r="K3479" s="144" t="str">
        <f>IF(Proc[[#This Row],[Author]]="Marcela Urrego",VLOOKUP(LEFT(Proc[[#This Row],[Requested]],1),Table3[#All],2,0),VLOOKUP(Proc[[#This Row],[Author]],Table4[],2,0))</f>
        <v>HC</v>
      </c>
      <c r="L3479" s="129" t="s">
        <v>4894</v>
      </c>
      <c r="M3479" s="127">
        <v>45881</v>
      </c>
      <c r="N3479" s="127"/>
      <c r="O3479" s="127"/>
      <c r="P3479" s="115" t="str">
        <f ca="1">IF(Proc[[#This Row],[DaysAgeing]]&gt;5,"yep","on track")</f>
        <v>yep</v>
      </c>
      <c r="Q3479" s="3">
        <f ca="1">IF(Proc[[#This Row],[DateClosed]]="",ABS(NETWORKDAYS(Proc[[#This Row],[DateOpened]],TODAY()))-1,ABS(NETWORKDAYS(Proc[[#This Row],[DateOpened]],Proc[[#This Row],[DateClosed]]))-1)</f>
        <v>93</v>
      </c>
      <c r="R3479" s="115" t="s">
        <v>410</v>
      </c>
      <c r="S3479" s="125"/>
    </row>
    <row r="3480" spans="1:19" hidden="1">
      <c r="A3480" s="124" t="s">
        <v>5554</v>
      </c>
      <c r="B3480" s="149" t="str">
        <f>IFERROR(VLOOKUP(Proc[[#This Row],[App]],Table2[],3,0),"open")</f>
        <v>ok</v>
      </c>
      <c r="C3480" s="128" t="s">
        <v>369</v>
      </c>
      <c r="D3480" t="s">
        <v>5566</v>
      </c>
      <c r="E3480" t="s">
        <v>5555</v>
      </c>
      <c r="F3480" s="129" t="s">
        <v>5555</v>
      </c>
      <c r="G3480" s="124" t="s">
        <v>406</v>
      </c>
      <c r="H3480" s="125" t="str">
        <f>IF(Proc[[#This Row],[type]]="LFF (MDG-F)",MID(Proc[[#This Row],[Obj]],13,10),"")</f>
        <v>DE50TMDA06</v>
      </c>
      <c r="J3480" s="125" t="b">
        <f>Proc[[#This Row],[Requested]]=Proc[[#This Row],[CurrentParent]]</f>
        <v>1</v>
      </c>
      <c r="K3480" s="144" t="str">
        <f>IF(Proc[[#This Row],[Author]]="Marcela Urrego",VLOOKUP(LEFT(Proc[[#This Row],[Requested]],1),Table3[#All],2,0),VLOOKUP(Proc[[#This Row],[Author]],Table4[],2,0))</f>
        <v>HC</v>
      </c>
      <c r="L3480" s="129" t="s">
        <v>4894</v>
      </c>
      <c r="M3480" s="127">
        <v>45881</v>
      </c>
      <c r="N3480" s="127"/>
      <c r="O3480" s="127"/>
      <c r="P3480" s="115" t="str">
        <f ca="1">IF(Proc[[#This Row],[DaysAgeing]]&gt;5,"yep","on track")</f>
        <v>yep</v>
      </c>
      <c r="Q3480" s="3">
        <f ca="1">IF(Proc[[#This Row],[DateClosed]]="",ABS(NETWORKDAYS(Proc[[#This Row],[DateOpened]],TODAY()))-1,ABS(NETWORKDAYS(Proc[[#This Row],[DateOpened]],Proc[[#This Row],[DateClosed]]))-1)</f>
        <v>93</v>
      </c>
      <c r="R3480" s="115" t="s">
        <v>410</v>
      </c>
      <c r="S3480" s="125"/>
    </row>
    <row r="3481" spans="1:19" hidden="1">
      <c r="A3481" s="124" t="s">
        <v>5554</v>
      </c>
      <c r="B3481" s="149" t="str">
        <f>IFERROR(VLOOKUP(Proc[[#This Row],[App]],Table2[],3,0),"open")</f>
        <v>ok</v>
      </c>
      <c r="C3481" s="128" t="s">
        <v>369</v>
      </c>
      <c r="D3481" t="s">
        <v>2394</v>
      </c>
      <c r="E3481" t="s">
        <v>2391</v>
      </c>
      <c r="F3481" s="129" t="s">
        <v>2391</v>
      </c>
      <c r="G3481" s="124" t="s">
        <v>406</v>
      </c>
      <c r="H3481" s="125" t="str">
        <f>IF(Proc[[#This Row],[type]]="LFF (MDG-F)",MID(Proc[[#This Row],[Obj]],13,10),"")</f>
        <v>CH65R00046</v>
      </c>
      <c r="J3481" s="125" t="b">
        <f>Proc[[#This Row],[Requested]]=Proc[[#This Row],[CurrentParent]]</f>
        <v>1</v>
      </c>
      <c r="K3481" s="144" t="str">
        <f>IF(Proc[[#This Row],[Author]]="Marcela Urrego",VLOOKUP(LEFT(Proc[[#This Row],[Requested]],1),Table3[#All],2,0),VLOOKUP(Proc[[#This Row],[Author]],Table4[],2,0))</f>
        <v>HC</v>
      </c>
      <c r="L3481" s="129" t="s">
        <v>4894</v>
      </c>
      <c r="M3481" s="127">
        <v>45881</v>
      </c>
      <c r="N3481" s="127"/>
      <c r="O3481" s="127"/>
      <c r="P3481" s="115" t="str">
        <f ca="1">IF(Proc[[#This Row],[DaysAgeing]]&gt;5,"yep","on track")</f>
        <v>yep</v>
      </c>
      <c r="Q3481" s="3">
        <f ca="1">IF(Proc[[#This Row],[DateClosed]]="",ABS(NETWORKDAYS(Proc[[#This Row],[DateOpened]],TODAY()))-1,ABS(NETWORKDAYS(Proc[[#This Row],[DateOpened]],Proc[[#This Row],[DateClosed]]))-1)</f>
        <v>93</v>
      </c>
      <c r="R3481" s="115" t="s">
        <v>410</v>
      </c>
      <c r="S3481" s="125"/>
    </row>
    <row r="3482" spans="1:19" hidden="1">
      <c r="A3482" s="124" t="s">
        <v>5554</v>
      </c>
      <c r="B3482" s="149" t="str">
        <f>IFERROR(VLOOKUP(Proc[[#This Row],[App]],Table2[],3,0),"open")</f>
        <v>ok</v>
      </c>
      <c r="C3482" s="128" t="s">
        <v>369</v>
      </c>
      <c r="D3482" t="s">
        <v>2393</v>
      </c>
      <c r="E3482" t="s">
        <v>2391</v>
      </c>
      <c r="F3482" s="129" t="s">
        <v>2391</v>
      </c>
      <c r="G3482" s="124" t="s">
        <v>406</v>
      </c>
      <c r="H3482" s="125" t="str">
        <f>IF(Proc[[#This Row],[type]]="LFF (MDG-F)",MID(Proc[[#This Row],[Obj]],13,10),"")</f>
        <v>CH65R00045</v>
      </c>
      <c r="J3482" s="125" t="b">
        <f>Proc[[#This Row],[Requested]]=Proc[[#This Row],[CurrentParent]]</f>
        <v>1</v>
      </c>
      <c r="K3482" s="144" t="str">
        <f>IF(Proc[[#This Row],[Author]]="Marcela Urrego",VLOOKUP(LEFT(Proc[[#This Row],[Requested]],1),Table3[#All],2,0),VLOOKUP(Proc[[#This Row],[Author]],Table4[],2,0))</f>
        <v>HC</v>
      </c>
      <c r="L3482" s="129" t="s">
        <v>4894</v>
      </c>
      <c r="M3482" s="127">
        <v>45881</v>
      </c>
      <c r="N3482" s="127"/>
      <c r="O3482" s="127"/>
      <c r="P3482" s="115" t="str">
        <f ca="1">IF(Proc[[#This Row],[DaysAgeing]]&gt;5,"yep","on track")</f>
        <v>yep</v>
      </c>
      <c r="Q3482" s="3">
        <f ca="1">IF(Proc[[#This Row],[DateClosed]]="",ABS(NETWORKDAYS(Proc[[#This Row],[DateOpened]],TODAY()))-1,ABS(NETWORKDAYS(Proc[[#This Row],[DateOpened]],Proc[[#This Row],[DateClosed]]))-1)</f>
        <v>93</v>
      </c>
      <c r="R3482" s="115" t="s">
        <v>410</v>
      </c>
      <c r="S3482" s="125"/>
    </row>
    <row r="3483" spans="1:19" hidden="1">
      <c r="A3483" s="124" t="s">
        <v>5554</v>
      </c>
      <c r="B3483" s="149" t="str">
        <f>IFERROR(VLOOKUP(Proc[[#This Row],[App]],Table2[],3,0),"open")</f>
        <v>ok</v>
      </c>
      <c r="C3483" s="128" t="s">
        <v>369</v>
      </c>
      <c r="D3483" t="s">
        <v>2392</v>
      </c>
      <c r="E3483" t="s">
        <v>2391</v>
      </c>
      <c r="F3483" s="129" t="s">
        <v>2391</v>
      </c>
      <c r="G3483" s="124" t="s">
        <v>406</v>
      </c>
      <c r="H3483" s="125" t="str">
        <f>IF(Proc[[#This Row],[type]]="LFF (MDG-F)",MID(Proc[[#This Row],[Obj]],13,10),"")</f>
        <v>CH65R00044</v>
      </c>
      <c r="J3483" s="125" t="b">
        <f>Proc[[#This Row],[Requested]]=Proc[[#This Row],[CurrentParent]]</f>
        <v>1</v>
      </c>
      <c r="K3483" s="144" t="str">
        <f>IF(Proc[[#This Row],[Author]]="Marcela Urrego",VLOOKUP(LEFT(Proc[[#This Row],[Requested]],1),Table3[#All],2,0),VLOOKUP(Proc[[#This Row],[Author]],Table4[],2,0))</f>
        <v>HC</v>
      </c>
      <c r="L3483" s="129" t="s">
        <v>4894</v>
      </c>
      <c r="M3483" s="127">
        <v>45881</v>
      </c>
      <c r="N3483" s="127"/>
      <c r="O3483" s="127"/>
      <c r="P3483" s="115" t="str">
        <f ca="1">IF(Proc[[#This Row],[DaysAgeing]]&gt;5,"yep","on track")</f>
        <v>yep</v>
      </c>
      <c r="Q3483" s="3">
        <f ca="1">IF(Proc[[#This Row],[DateClosed]]="",ABS(NETWORKDAYS(Proc[[#This Row],[DateOpened]],TODAY()))-1,ABS(NETWORKDAYS(Proc[[#This Row],[DateOpened]],Proc[[#This Row],[DateClosed]]))-1)</f>
        <v>93</v>
      </c>
      <c r="R3483" s="115" t="s">
        <v>410</v>
      </c>
      <c r="S3483" s="125"/>
    </row>
    <row r="3484" spans="1:19" hidden="1">
      <c r="A3484" s="124" t="s">
        <v>5554</v>
      </c>
      <c r="B3484" s="149" t="str">
        <f>IFERROR(VLOOKUP(Proc[[#This Row],[App]],Table2[],3,0),"open")</f>
        <v>ok</v>
      </c>
      <c r="C3484" s="128" t="s">
        <v>369</v>
      </c>
      <c r="D3484" t="s">
        <v>5567</v>
      </c>
      <c r="E3484" t="s">
        <v>5556</v>
      </c>
      <c r="F3484" s="129" t="s">
        <v>5556</v>
      </c>
      <c r="G3484" s="124" t="s">
        <v>406</v>
      </c>
      <c r="H3484" s="125" t="str">
        <f>IF(Proc[[#This Row],[type]]="LFF (MDG-F)",MID(Proc[[#This Row],[Obj]],13,10),"")</f>
        <v>IT50R02001</v>
      </c>
      <c r="J3484" s="125" t="b">
        <f>Proc[[#This Row],[Requested]]=Proc[[#This Row],[CurrentParent]]</f>
        <v>1</v>
      </c>
      <c r="K3484" s="144" t="str">
        <f>IF(Proc[[#This Row],[Author]]="Marcela Urrego",VLOOKUP(LEFT(Proc[[#This Row],[Requested]],1),Table3[#All],2,0),VLOOKUP(Proc[[#This Row],[Author]],Table4[],2,0))</f>
        <v>HC</v>
      </c>
      <c r="L3484" s="129" t="s">
        <v>4894</v>
      </c>
      <c r="M3484" s="127">
        <v>45881</v>
      </c>
      <c r="N3484" s="127"/>
      <c r="O3484" s="127"/>
      <c r="P3484" s="115" t="str">
        <f ca="1">IF(Proc[[#This Row],[DaysAgeing]]&gt;5,"yep","on track")</f>
        <v>yep</v>
      </c>
      <c r="Q3484" s="3">
        <f ca="1">IF(Proc[[#This Row],[DateClosed]]="",ABS(NETWORKDAYS(Proc[[#This Row],[DateOpened]],TODAY()))-1,ABS(NETWORKDAYS(Proc[[#This Row],[DateOpened]],Proc[[#This Row],[DateClosed]]))-1)</f>
        <v>93</v>
      </c>
      <c r="R3484" s="115" t="s">
        <v>410</v>
      </c>
      <c r="S3484" s="125"/>
    </row>
    <row r="3485" spans="1:19" hidden="1">
      <c r="A3485" s="124" t="s">
        <v>5554</v>
      </c>
      <c r="B3485" s="149" t="str">
        <f>IFERROR(VLOOKUP(Proc[[#This Row],[App]],Table2[],3,0),"open")</f>
        <v>ok</v>
      </c>
      <c r="C3485" s="128" t="s">
        <v>369</v>
      </c>
      <c r="D3485" t="s">
        <v>5568</v>
      </c>
      <c r="E3485" t="s">
        <v>5556</v>
      </c>
      <c r="F3485" s="129" t="s">
        <v>5556</v>
      </c>
      <c r="G3485" s="124" t="s">
        <v>406</v>
      </c>
      <c r="H3485" s="125" t="str">
        <f>IF(Proc[[#This Row],[type]]="LFF (MDG-F)",MID(Proc[[#This Row],[Obj]],13,10),"")</f>
        <v>IT50R02002</v>
      </c>
      <c r="J3485" s="125" t="b">
        <f>Proc[[#This Row],[Requested]]=Proc[[#This Row],[CurrentParent]]</f>
        <v>1</v>
      </c>
      <c r="K3485" s="144" t="str">
        <f>IF(Proc[[#This Row],[Author]]="Marcela Urrego",VLOOKUP(LEFT(Proc[[#This Row],[Requested]],1),Table3[#All],2,0),VLOOKUP(Proc[[#This Row],[Author]],Table4[],2,0))</f>
        <v>HC</v>
      </c>
      <c r="L3485" s="129" t="s">
        <v>4894</v>
      </c>
      <c r="M3485" s="127">
        <v>45881</v>
      </c>
      <c r="N3485" s="127"/>
      <c r="O3485" s="127"/>
      <c r="P3485" s="115" t="str">
        <f ca="1">IF(Proc[[#This Row],[DaysAgeing]]&gt;5,"yep","on track")</f>
        <v>yep</v>
      </c>
      <c r="Q3485" s="3">
        <f ca="1">IF(Proc[[#This Row],[DateClosed]]="",ABS(NETWORKDAYS(Proc[[#This Row],[DateOpened]],TODAY()))-1,ABS(NETWORKDAYS(Proc[[#This Row],[DateOpened]],Proc[[#This Row],[DateClosed]]))-1)</f>
        <v>93</v>
      </c>
      <c r="R3485" s="115" t="s">
        <v>410</v>
      </c>
      <c r="S3485" s="125"/>
    </row>
    <row r="3486" spans="1:19" hidden="1">
      <c r="A3486" t="s">
        <v>5571</v>
      </c>
      <c r="B3486" s="149" t="str">
        <f>IFERROR(VLOOKUP(Proc[[#This Row],[App]],Table2[],3,0),"open")</f>
        <v>ok</v>
      </c>
      <c r="C3486" s="128" t="s">
        <v>369</v>
      </c>
      <c r="D3486" t="s">
        <v>5575</v>
      </c>
      <c r="E3486" s="128" t="s">
        <v>5570</v>
      </c>
      <c r="F3486" s="129" t="s">
        <v>5570</v>
      </c>
      <c r="G3486" t="s">
        <v>400</v>
      </c>
      <c r="H3486" s="125" t="str">
        <f>IF(Proc[[#This Row],[type]]="LFF (MDG-F)",MID(Proc[[#This Row],[Obj]],13,10),"")</f>
        <v/>
      </c>
      <c r="J3486" s="125" t="b">
        <f>Proc[[#This Row],[Requested]]=Proc[[#This Row],[CurrentParent]]</f>
        <v>1</v>
      </c>
      <c r="K3486" s="144" t="str">
        <f>IF(Proc[[#This Row],[Author]]="Marcela Urrego",VLOOKUP(LEFT(Proc[[#This Row],[Requested]],1),Table3[#All],2,0),VLOOKUP(Proc[[#This Row],[Author]],Table4[],2,0))</f>
        <v>LS</v>
      </c>
      <c r="L3486" s="129" t="s">
        <v>4894</v>
      </c>
      <c r="M3486" s="127">
        <v>45882</v>
      </c>
      <c r="N3486" s="127"/>
      <c r="O3486" s="127"/>
      <c r="P3486" s="115" t="str">
        <f ca="1">IF(Proc[[#This Row],[DaysAgeing]]&gt;5,"yep","on track")</f>
        <v>yep</v>
      </c>
      <c r="Q3486" s="3">
        <f ca="1">IF(Proc[[#This Row],[DateClosed]]="",ABS(NETWORKDAYS(Proc[[#This Row],[DateOpened]],TODAY()))-1,ABS(NETWORKDAYS(Proc[[#This Row],[DateOpened]],Proc[[#This Row],[DateClosed]]))-1)</f>
        <v>92</v>
      </c>
      <c r="R3486" s="115" t="s">
        <v>1262</v>
      </c>
      <c r="S3486" s="125"/>
    </row>
    <row r="3487" spans="1:19" hidden="1">
      <c r="A3487" t="s">
        <v>5574</v>
      </c>
      <c r="B3487" s="149" t="str">
        <f>IFERROR(VLOOKUP(Proc[[#This Row],[App]],Table2[],3,0),"open")</f>
        <v>ok</v>
      </c>
      <c r="C3487" s="128" t="s">
        <v>369</v>
      </c>
      <c r="D3487" t="s">
        <v>5572</v>
      </c>
      <c r="E3487" t="s">
        <v>2416</v>
      </c>
      <c r="F3487" s="129" t="s">
        <v>2416</v>
      </c>
      <c r="G3487" t="s">
        <v>406</v>
      </c>
      <c r="H3487" s="129" t="str">
        <f>IF(Proc[[#This Row],[type]]="LFF (MDG-F)",MID(Proc[[#This Row],[Obj]],13,10),"")</f>
        <v>DK50GEQ010</v>
      </c>
      <c r="J3487" s="129" t="b">
        <f>Proc[[#This Row],[Requested]]=Proc[[#This Row],[CurrentParent]]</f>
        <v>1</v>
      </c>
      <c r="K3487" s="144" t="str">
        <f>IF(Proc[[#This Row],[Author]]="Marcela Urrego",VLOOKUP(LEFT(Proc[[#This Row],[Requested]],1),Table3[#All],2,0),VLOOKUP(Proc[[#This Row],[Author]],Table4[],2,0))</f>
        <v>MGF</v>
      </c>
      <c r="L3487" s="129" t="s">
        <v>4894</v>
      </c>
      <c r="M3487" s="127">
        <v>45882</v>
      </c>
      <c r="N3487" s="127"/>
      <c r="O3487" s="127"/>
      <c r="P3487" s="115" t="str">
        <f ca="1">IF(Proc[[#This Row],[DaysAgeing]]&gt;5,"yep","on track")</f>
        <v>yep</v>
      </c>
      <c r="Q3487" s="3">
        <f ca="1">IF(Proc[[#This Row],[DateClosed]]="",ABS(NETWORKDAYS(Proc[[#This Row],[DateOpened]],TODAY()))-1,ABS(NETWORKDAYS(Proc[[#This Row],[DateOpened]],Proc[[#This Row],[DateClosed]]))-1)</f>
        <v>92</v>
      </c>
      <c r="R3487" s="115" t="s">
        <v>515</v>
      </c>
      <c r="S3487" s="129"/>
    </row>
    <row r="3488" spans="1:19" hidden="1">
      <c r="A3488" s="128" t="s">
        <v>5574</v>
      </c>
      <c r="B3488" s="149" t="str">
        <f>IFERROR(VLOOKUP(Proc[[#This Row],[App]],Table2[],3,0),"open")</f>
        <v>ok</v>
      </c>
      <c r="C3488" s="128" t="s">
        <v>369</v>
      </c>
      <c r="D3488" t="s">
        <v>5573</v>
      </c>
      <c r="E3488" t="s">
        <v>2416</v>
      </c>
      <c r="F3488" s="129" t="s">
        <v>2416</v>
      </c>
      <c r="G3488" s="128" t="s">
        <v>400</v>
      </c>
      <c r="H3488" s="129" t="str">
        <f>IF(Proc[[#This Row],[type]]="LFF (MDG-F)",MID(Proc[[#This Row],[Obj]],13,10),"")</f>
        <v/>
      </c>
      <c r="J3488" s="129" t="b">
        <f>Proc[[#This Row],[Requested]]=Proc[[#This Row],[CurrentParent]]</f>
        <v>1</v>
      </c>
      <c r="K3488" s="144" t="str">
        <f>IF(Proc[[#This Row],[Author]]="Marcela Urrego",VLOOKUP(LEFT(Proc[[#This Row],[Requested]],1),Table3[#All],2,0),VLOOKUP(Proc[[#This Row],[Author]],Table4[],2,0))</f>
        <v>MGF</v>
      </c>
      <c r="L3488" s="129" t="s">
        <v>4894</v>
      </c>
      <c r="M3488" s="127">
        <v>45882</v>
      </c>
      <c r="N3488" s="127"/>
      <c r="O3488" s="127"/>
      <c r="P3488" s="115" t="str">
        <f ca="1">IF(Proc[[#This Row],[DaysAgeing]]&gt;5,"yep","on track")</f>
        <v>yep</v>
      </c>
      <c r="Q3488" s="3">
        <f ca="1">IF(Proc[[#This Row],[DateClosed]]="",ABS(NETWORKDAYS(Proc[[#This Row],[DateOpened]],TODAY()))-1,ABS(NETWORKDAYS(Proc[[#This Row],[DateOpened]],Proc[[#This Row],[DateClosed]]))-1)</f>
        <v>92</v>
      </c>
      <c r="R3488" s="115" t="s">
        <v>515</v>
      </c>
      <c r="S3488" s="129"/>
    </row>
    <row r="3489" spans="1:19" hidden="1">
      <c r="A3489" t="s">
        <v>5669</v>
      </c>
      <c r="B3489" s="149" t="str">
        <f>IFERROR(VLOOKUP(Proc[[#This Row],[App]],Table2[],3,0),"open")</f>
        <v>ok</v>
      </c>
      <c r="C3489" s="128" t="s">
        <v>369</v>
      </c>
      <c r="D3489" t="s">
        <v>5576</v>
      </c>
      <c r="E3489" t="s">
        <v>5668</v>
      </c>
      <c r="F3489" s="129" t="s">
        <v>5668</v>
      </c>
      <c r="G3489" t="s">
        <v>400</v>
      </c>
      <c r="H3489" s="129" t="str">
        <f>IF(Proc[[#This Row],[type]]="LFF (MDG-F)",MID(Proc[[#This Row],[Obj]],13,10),"")</f>
        <v/>
      </c>
      <c r="J3489" s="129" t="b">
        <f>Proc[[#This Row],[Requested]]=Proc[[#This Row],[CurrentParent]]</f>
        <v>1</v>
      </c>
      <c r="K3489" s="144" t="str">
        <f>IF(Proc[[#This Row],[Author]]="Marcela Urrego",VLOOKUP(LEFT(Proc[[#This Row],[Requested]],1),Table3[#All],2,0),VLOOKUP(Proc[[#This Row],[Author]],Table4[],2,0))</f>
        <v>MGF</v>
      </c>
      <c r="L3489" s="129" t="s">
        <v>4894</v>
      </c>
      <c r="M3489" s="127">
        <v>45883</v>
      </c>
      <c r="N3489" s="127"/>
      <c r="O3489" s="127"/>
      <c r="P3489" s="115" t="str">
        <f ca="1">IF(Proc[[#This Row],[DaysAgeing]]&gt;5,"yep","on track")</f>
        <v>yep</v>
      </c>
      <c r="Q3489" s="3">
        <f ca="1">IF(Proc[[#This Row],[DateClosed]]="",ABS(NETWORKDAYS(Proc[[#This Row],[DateOpened]],TODAY()))-1,ABS(NETWORKDAYS(Proc[[#This Row],[DateOpened]],Proc[[#This Row],[DateClosed]]))-1)</f>
        <v>91</v>
      </c>
      <c r="R3489" s="115" t="s">
        <v>515</v>
      </c>
      <c r="S3489" s="129"/>
    </row>
    <row r="3490" spans="1:19" hidden="1">
      <c r="A3490" s="128" t="s">
        <v>5669</v>
      </c>
      <c r="B3490" s="149" t="str">
        <f>IFERROR(VLOOKUP(Proc[[#This Row],[App]],Table2[],3,0),"open")</f>
        <v>ok</v>
      </c>
      <c r="C3490" s="128" t="s">
        <v>369</v>
      </c>
      <c r="D3490" t="s">
        <v>5577</v>
      </c>
      <c r="E3490" t="s">
        <v>5668</v>
      </c>
      <c r="F3490" s="129" t="s">
        <v>5668</v>
      </c>
      <c r="G3490" s="128" t="s">
        <v>400</v>
      </c>
      <c r="H3490" s="129" t="str">
        <f>IF(Proc[[#This Row],[type]]="LFF (MDG-F)",MID(Proc[[#This Row],[Obj]],13,10),"")</f>
        <v/>
      </c>
      <c r="J3490" s="129" t="b">
        <f>Proc[[#This Row],[Requested]]=Proc[[#This Row],[CurrentParent]]</f>
        <v>1</v>
      </c>
      <c r="K3490" s="144" t="str">
        <f>IF(Proc[[#This Row],[Author]]="Marcela Urrego",VLOOKUP(LEFT(Proc[[#This Row],[Requested]],1),Table3[#All],2,0),VLOOKUP(Proc[[#This Row],[Author]],Table4[],2,0))</f>
        <v>MGF</v>
      </c>
      <c r="L3490" s="129" t="s">
        <v>4894</v>
      </c>
      <c r="M3490" s="127">
        <v>45883</v>
      </c>
      <c r="N3490" s="127"/>
      <c r="O3490" s="127"/>
      <c r="P3490" s="115" t="str">
        <f ca="1">IF(Proc[[#This Row],[DaysAgeing]]&gt;5,"yep","on track")</f>
        <v>yep</v>
      </c>
      <c r="Q3490" s="3">
        <f ca="1">IF(Proc[[#This Row],[DateClosed]]="",ABS(NETWORKDAYS(Proc[[#This Row],[DateOpened]],TODAY()))-1,ABS(NETWORKDAYS(Proc[[#This Row],[DateOpened]],Proc[[#This Row],[DateClosed]]))-1)</f>
        <v>91</v>
      </c>
      <c r="R3490" s="115" t="s">
        <v>515</v>
      </c>
      <c r="S3490" s="129"/>
    </row>
    <row r="3491" spans="1:19" hidden="1">
      <c r="A3491" s="128" t="s">
        <v>5669</v>
      </c>
      <c r="B3491" s="149" t="str">
        <f>IFERROR(VLOOKUP(Proc[[#This Row],[App]],Table2[],3,0),"open")</f>
        <v>ok</v>
      </c>
      <c r="C3491" s="128" t="s">
        <v>369</v>
      </c>
      <c r="D3491" t="s">
        <v>5578</v>
      </c>
      <c r="E3491" t="s">
        <v>5668</v>
      </c>
      <c r="F3491" s="129" t="s">
        <v>5668</v>
      </c>
      <c r="G3491" s="128" t="s">
        <v>400</v>
      </c>
      <c r="H3491" s="129" t="str">
        <f>IF(Proc[[#This Row],[type]]="LFF (MDG-F)",MID(Proc[[#This Row],[Obj]],13,10),"")</f>
        <v/>
      </c>
      <c r="J3491" s="129" t="b">
        <f>Proc[[#This Row],[Requested]]=Proc[[#This Row],[CurrentParent]]</f>
        <v>1</v>
      </c>
      <c r="K3491" s="144" t="str">
        <f>IF(Proc[[#This Row],[Author]]="Marcela Urrego",VLOOKUP(LEFT(Proc[[#This Row],[Requested]],1),Table3[#All],2,0),VLOOKUP(Proc[[#This Row],[Author]],Table4[],2,0))</f>
        <v>MGF</v>
      </c>
      <c r="L3491" s="129" t="s">
        <v>4894</v>
      </c>
      <c r="M3491" s="127">
        <v>45883</v>
      </c>
      <c r="N3491" s="127"/>
      <c r="O3491" s="127"/>
      <c r="P3491" s="115" t="str">
        <f ca="1">IF(Proc[[#This Row],[DaysAgeing]]&gt;5,"yep","on track")</f>
        <v>yep</v>
      </c>
      <c r="Q3491" s="3">
        <f ca="1">IF(Proc[[#This Row],[DateClosed]]="",ABS(NETWORKDAYS(Proc[[#This Row],[DateOpened]],TODAY()))-1,ABS(NETWORKDAYS(Proc[[#This Row],[DateOpened]],Proc[[#This Row],[DateClosed]]))-1)</f>
        <v>91</v>
      </c>
      <c r="R3491" s="115" t="s">
        <v>515</v>
      </c>
      <c r="S3491" s="129"/>
    </row>
    <row r="3492" spans="1:19" hidden="1">
      <c r="A3492" s="128" t="s">
        <v>5669</v>
      </c>
      <c r="B3492" s="149" t="str">
        <f>IFERROR(VLOOKUP(Proc[[#This Row],[App]],Table2[],3,0),"open")</f>
        <v>ok</v>
      </c>
      <c r="C3492" s="128" t="s">
        <v>369</v>
      </c>
      <c r="D3492" t="s">
        <v>5579</v>
      </c>
      <c r="E3492" t="s">
        <v>5668</v>
      </c>
      <c r="F3492" s="129" t="s">
        <v>5668</v>
      </c>
      <c r="G3492" s="128" t="s">
        <v>400</v>
      </c>
      <c r="H3492" s="129" t="str">
        <f>IF(Proc[[#This Row],[type]]="LFF (MDG-F)",MID(Proc[[#This Row],[Obj]],13,10),"")</f>
        <v/>
      </c>
      <c r="J3492" s="129" t="b">
        <f>Proc[[#This Row],[Requested]]=Proc[[#This Row],[CurrentParent]]</f>
        <v>1</v>
      </c>
      <c r="K3492" s="144" t="str">
        <f>IF(Proc[[#This Row],[Author]]="Marcela Urrego",VLOOKUP(LEFT(Proc[[#This Row],[Requested]],1),Table3[#All],2,0),VLOOKUP(Proc[[#This Row],[Author]],Table4[],2,0))</f>
        <v>MGF</v>
      </c>
      <c r="L3492" s="129" t="s">
        <v>4894</v>
      </c>
      <c r="M3492" s="127">
        <v>45883</v>
      </c>
      <c r="N3492" s="127"/>
      <c r="O3492" s="127"/>
      <c r="P3492" s="115" t="str">
        <f ca="1">IF(Proc[[#This Row],[DaysAgeing]]&gt;5,"yep","on track")</f>
        <v>yep</v>
      </c>
      <c r="Q3492" s="3">
        <f ca="1">IF(Proc[[#This Row],[DateClosed]]="",ABS(NETWORKDAYS(Proc[[#This Row],[DateOpened]],TODAY()))-1,ABS(NETWORKDAYS(Proc[[#This Row],[DateOpened]],Proc[[#This Row],[DateClosed]]))-1)</f>
        <v>91</v>
      </c>
      <c r="R3492" s="115" t="s">
        <v>515</v>
      </c>
      <c r="S3492" s="129"/>
    </row>
    <row r="3493" spans="1:19" hidden="1">
      <c r="A3493" s="128" t="s">
        <v>5669</v>
      </c>
      <c r="B3493" s="149" t="str">
        <f>IFERROR(VLOOKUP(Proc[[#This Row],[App]],Table2[],3,0),"open")</f>
        <v>ok</v>
      </c>
      <c r="C3493" s="128" t="s">
        <v>369</v>
      </c>
      <c r="D3493" t="s">
        <v>5580</v>
      </c>
      <c r="E3493" t="s">
        <v>5668</v>
      </c>
      <c r="F3493" s="129" t="s">
        <v>5668</v>
      </c>
      <c r="G3493" s="128" t="s">
        <v>400</v>
      </c>
      <c r="H3493" s="129" t="str">
        <f>IF(Proc[[#This Row],[type]]="LFF (MDG-F)",MID(Proc[[#This Row],[Obj]],13,10),"")</f>
        <v/>
      </c>
      <c r="J3493" s="129" t="b">
        <f>Proc[[#This Row],[Requested]]=Proc[[#This Row],[CurrentParent]]</f>
        <v>1</v>
      </c>
      <c r="K3493" s="144" t="str">
        <f>IF(Proc[[#This Row],[Author]]="Marcela Urrego",VLOOKUP(LEFT(Proc[[#This Row],[Requested]],1),Table3[#All],2,0),VLOOKUP(Proc[[#This Row],[Author]],Table4[],2,0))</f>
        <v>MGF</v>
      </c>
      <c r="L3493" s="129" t="s">
        <v>4894</v>
      </c>
      <c r="M3493" s="127">
        <v>45883</v>
      </c>
      <c r="N3493" s="127"/>
      <c r="O3493" s="127"/>
      <c r="P3493" s="115" t="str">
        <f ca="1">IF(Proc[[#This Row],[DaysAgeing]]&gt;5,"yep","on track")</f>
        <v>yep</v>
      </c>
      <c r="Q3493" s="3">
        <f ca="1">IF(Proc[[#This Row],[DateClosed]]="",ABS(NETWORKDAYS(Proc[[#This Row],[DateOpened]],TODAY()))-1,ABS(NETWORKDAYS(Proc[[#This Row],[DateOpened]],Proc[[#This Row],[DateClosed]]))-1)</f>
        <v>91</v>
      </c>
      <c r="R3493" s="115" t="s">
        <v>515</v>
      </c>
      <c r="S3493" s="129"/>
    </row>
    <row r="3494" spans="1:19" hidden="1">
      <c r="A3494" s="128" t="s">
        <v>5669</v>
      </c>
      <c r="B3494" s="149" t="str">
        <f>IFERROR(VLOOKUP(Proc[[#This Row],[App]],Table2[],3,0),"open")</f>
        <v>ok</v>
      </c>
      <c r="C3494" s="128" t="s">
        <v>369</v>
      </c>
      <c r="D3494" t="s">
        <v>5581</v>
      </c>
      <c r="E3494" t="s">
        <v>5668</v>
      </c>
      <c r="F3494" s="129" t="s">
        <v>5668</v>
      </c>
      <c r="G3494" s="128" t="s">
        <v>400</v>
      </c>
      <c r="H3494" s="129" t="str">
        <f>IF(Proc[[#This Row],[type]]="LFF (MDG-F)",MID(Proc[[#This Row],[Obj]],13,10),"")</f>
        <v/>
      </c>
      <c r="J3494" s="129" t="b">
        <f>Proc[[#This Row],[Requested]]=Proc[[#This Row],[CurrentParent]]</f>
        <v>1</v>
      </c>
      <c r="K3494" s="144" t="str">
        <f>IF(Proc[[#This Row],[Author]]="Marcela Urrego",VLOOKUP(LEFT(Proc[[#This Row],[Requested]],1),Table3[#All],2,0),VLOOKUP(Proc[[#This Row],[Author]],Table4[],2,0))</f>
        <v>MGF</v>
      </c>
      <c r="L3494" s="129" t="s">
        <v>4894</v>
      </c>
      <c r="M3494" s="127">
        <v>45883</v>
      </c>
      <c r="N3494" s="127"/>
      <c r="O3494" s="127"/>
      <c r="P3494" s="115" t="str">
        <f ca="1">IF(Proc[[#This Row],[DaysAgeing]]&gt;5,"yep","on track")</f>
        <v>yep</v>
      </c>
      <c r="Q3494" s="3">
        <f ca="1">IF(Proc[[#This Row],[DateClosed]]="",ABS(NETWORKDAYS(Proc[[#This Row],[DateOpened]],TODAY()))-1,ABS(NETWORKDAYS(Proc[[#This Row],[DateOpened]],Proc[[#This Row],[DateClosed]]))-1)</f>
        <v>91</v>
      </c>
      <c r="R3494" s="115" t="s">
        <v>515</v>
      </c>
      <c r="S3494" s="129"/>
    </row>
    <row r="3495" spans="1:19" hidden="1">
      <c r="A3495" s="128" t="s">
        <v>5669</v>
      </c>
      <c r="B3495" s="149" t="str">
        <f>IFERROR(VLOOKUP(Proc[[#This Row],[App]],Table2[],3,0),"open")</f>
        <v>ok</v>
      </c>
      <c r="C3495" s="128" t="s">
        <v>369</v>
      </c>
      <c r="D3495" t="s">
        <v>5582</v>
      </c>
      <c r="E3495" t="s">
        <v>5668</v>
      </c>
      <c r="F3495" s="129" t="s">
        <v>5668</v>
      </c>
      <c r="G3495" s="128" t="s">
        <v>400</v>
      </c>
      <c r="H3495" s="129" t="str">
        <f>IF(Proc[[#This Row],[type]]="LFF (MDG-F)",MID(Proc[[#This Row],[Obj]],13,10),"")</f>
        <v/>
      </c>
      <c r="J3495" s="129" t="b">
        <f>Proc[[#This Row],[Requested]]=Proc[[#This Row],[CurrentParent]]</f>
        <v>1</v>
      </c>
      <c r="K3495" s="144" t="str">
        <f>IF(Proc[[#This Row],[Author]]="Marcela Urrego",VLOOKUP(LEFT(Proc[[#This Row],[Requested]],1),Table3[#All],2,0),VLOOKUP(Proc[[#This Row],[Author]],Table4[],2,0))</f>
        <v>MGF</v>
      </c>
      <c r="L3495" s="129" t="s">
        <v>4894</v>
      </c>
      <c r="M3495" s="127">
        <v>45883</v>
      </c>
      <c r="N3495" s="127"/>
      <c r="O3495" s="127"/>
      <c r="P3495" s="115" t="str">
        <f ca="1">IF(Proc[[#This Row],[DaysAgeing]]&gt;5,"yep","on track")</f>
        <v>yep</v>
      </c>
      <c r="Q3495" s="3">
        <f ca="1">IF(Proc[[#This Row],[DateClosed]]="",ABS(NETWORKDAYS(Proc[[#This Row],[DateOpened]],TODAY()))-1,ABS(NETWORKDAYS(Proc[[#This Row],[DateOpened]],Proc[[#This Row],[DateClosed]]))-1)</f>
        <v>91</v>
      </c>
      <c r="R3495" s="115" t="s">
        <v>515</v>
      </c>
      <c r="S3495" s="129"/>
    </row>
    <row r="3496" spans="1:19" hidden="1">
      <c r="A3496" s="128" t="s">
        <v>5669</v>
      </c>
      <c r="B3496" s="149" t="str">
        <f>IFERROR(VLOOKUP(Proc[[#This Row],[App]],Table2[],3,0),"open")</f>
        <v>ok</v>
      </c>
      <c r="C3496" s="128" t="s">
        <v>369</v>
      </c>
      <c r="D3496" t="s">
        <v>5583</v>
      </c>
      <c r="E3496" t="s">
        <v>5668</v>
      </c>
      <c r="F3496" s="129" t="s">
        <v>5668</v>
      </c>
      <c r="G3496" s="128" t="s">
        <v>400</v>
      </c>
      <c r="H3496" s="129" t="str">
        <f>IF(Proc[[#This Row],[type]]="LFF (MDG-F)",MID(Proc[[#This Row],[Obj]],13,10),"")</f>
        <v/>
      </c>
      <c r="J3496" s="129" t="b">
        <f>Proc[[#This Row],[Requested]]=Proc[[#This Row],[CurrentParent]]</f>
        <v>1</v>
      </c>
      <c r="K3496" s="144" t="str">
        <f>IF(Proc[[#This Row],[Author]]="Marcela Urrego",VLOOKUP(LEFT(Proc[[#This Row],[Requested]],1),Table3[#All],2,0),VLOOKUP(Proc[[#This Row],[Author]],Table4[],2,0))</f>
        <v>MGF</v>
      </c>
      <c r="L3496" s="129" t="s">
        <v>4894</v>
      </c>
      <c r="M3496" s="127">
        <v>45883</v>
      </c>
      <c r="N3496" s="127"/>
      <c r="O3496" s="127"/>
      <c r="P3496" s="115" t="str">
        <f ca="1">IF(Proc[[#This Row],[DaysAgeing]]&gt;5,"yep","on track")</f>
        <v>yep</v>
      </c>
      <c r="Q3496" s="3">
        <f ca="1">IF(Proc[[#This Row],[DateClosed]]="",ABS(NETWORKDAYS(Proc[[#This Row],[DateOpened]],TODAY()))-1,ABS(NETWORKDAYS(Proc[[#This Row],[DateOpened]],Proc[[#This Row],[DateClosed]]))-1)</f>
        <v>91</v>
      </c>
      <c r="R3496" s="115" t="s">
        <v>515</v>
      </c>
      <c r="S3496" s="129"/>
    </row>
    <row r="3497" spans="1:19" hidden="1">
      <c r="A3497" s="128" t="s">
        <v>5669</v>
      </c>
      <c r="B3497" s="149" t="str">
        <f>IFERROR(VLOOKUP(Proc[[#This Row],[App]],Table2[],3,0),"open")</f>
        <v>ok</v>
      </c>
      <c r="C3497" s="128" t="s">
        <v>369</v>
      </c>
      <c r="D3497" t="s">
        <v>5584</v>
      </c>
      <c r="E3497" t="s">
        <v>5668</v>
      </c>
      <c r="F3497" s="129" t="s">
        <v>5668</v>
      </c>
      <c r="G3497" s="128" t="s">
        <v>400</v>
      </c>
      <c r="H3497" s="129" t="str">
        <f>IF(Proc[[#This Row],[type]]="LFF (MDG-F)",MID(Proc[[#This Row],[Obj]],13,10),"")</f>
        <v/>
      </c>
      <c r="J3497" s="129" t="b">
        <f>Proc[[#This Row],[Requested]]=Proc[[#This Row],[CurrentParent]]</f>
        <v>1</v>
      </c>
      <c r="K3497" s="144" t="str">
        <f>IF(Proc[[#This Row],[Author]]="Marcela Urrego",VLOOKUP(LEFT(Proc[[#This Row],[Requested]],1),Table3[#All],2,0),VLOOKUP(Proc[[#This Row],[Author]],Table4[],2,0))</f>
        <v>MGF</v>
      </c>
      <c r="L3497" s="129" t="s">
        <v>4894</v>
      </c>
      <c r="M3497" s="127">
        <v>45883</v>
      </c>
      <c r="N3497" s="127"/>
      <c r="O3497" s="127"/>
      <c r="P3497" s="115" t="str">
        <f ca="1">IF(Proc[[#This Row],[DaysAgeing]]&gt;5,"yep","on track")</f>
        <v>yep</v>
      </c>
      <c r="Q3497" s="3">
        <f ca="1">IF(Proc[[#This Row],[DateClosed]]="",ABS(NETWORKDAYS(Proc[[#This Row],[DateOpened]],TODAY()))-1,ABS(NETWORKDAYS(Proc[[#This Row],[DateOpened]],Proc[[#This Row],[DateClosed]]))-1)</f>
        <v>91</v>
      </c>
      <c r="R3497" s="115" t="s">
        <v>515</v>
      </c>
      <c r="S3497" s="129"/>
    </row>
    <row r="3498" spans="1:19" hidden="1">
      <c r="A3498" s="128" t="s">
        <v>5669</v>
      </c>
      <c r="B3498" s="149" t="str">
        <f>IFERROR(VLOOKUP(Proc[[#This Row],[App]],Table2[],3,0),"open")</f>
        <v>ok</v>
      </c>
      <c r="C3498" s="128" t="s">
        <v>369</v>
      </c>
      <c r="D3498" t="s">
        <v>5585</v>
      </c>
      <c r="E3498" t="s">
        <v>5668</v>
      </c>
      <c r="F3498" s="129" t="s">
        <v>5668</v>
      </c>
      <c r="G3498" s="128" t="s">
        <v>400</v>
      </c>
      <c r="H3498" s="129" t="str">
        <f>IF(Proc[[#This Row],[type]]="LFF (MDG-F)",MID(Proc[[#This Row],[Obj]],13,10),"")</f>
        <v/>
      </c>
      <c r="J3498" s="129" t="b">
        <f>Proc[[#This Row],[Requested]]=Proc[[#This Row],[CurrentParent]]</f>
        <v>1</v>
      </c>
      <c r="K3498" s="144" t="str">
        <f>IF(Proc[[#This Row],[Author]]="Marcela Urrego",VLOOKUP(LEFT(Proc[[#This Row],[Requested]],1),Table3[#All],2,0),VLOOKUP(Proc[[#This Row],[Author]],Table4[],2,0))</f>
        <v>MGF</v>
      </c>
      <c r="L3498" s="129" t="s">
        <v>4894</v>
      </c>
      <c r="M3498" s="127">
        <v>45883</v>
      </c>
      <c r="N3498" s="127"/>
      <c r="O3498" s="127"/>
      <c r="P3498" s="115" t="str">
        <f ca="1">IF(Proc[[#This Row],[DaysAgeing]]&gt;5,"yep","on track")</f>
        <v>yep</v>
      </c>
      <c r="Q3498" s="3">
        <f ca="1">IF(Proc[[#This Row],[DateClosed]]="",ABS(NETWORKDAYS(Proc[[#This Row],[DateOpened]],TODAY()))-1,ABS(NETWORKDAYS(Proc[[#This Row],[DateOpened]],Proc[[#This Row],[DateClosed]]))-1)</f>
        <v>91</v>
      </c>
      <c r="R3498" s="115" t="s">
        <v>515</v>
      </c>
      <c r="S3498" s="129"/>
    </row>
    <row r="3499" spans="1:19" hidden="1">
      <c r="A3499" s="128" t="s">
        <v>5669</v>
      </c>
      <c r="B3499" s="149" t="str">
        <f>IFERROR(VLOOKUP(Proc[[#This Row],[App]],Table2[],3,0),"open")</f>
        <v>ok</v>
      </c>
      <c r="C3499" s="128" t="s">
        <v>369</v>
      </c>
      <c r="D3499" t="s">
        <v>5586</v>
      </c>
      <c r="E3499" t="s">
        <v>5668</v>
      </c>
      <c r="F3499" s="129" t="s">
        <v>5668</v>
      </c>
      <c r="G3499" s="128" t="s">
        <v>400</v>
      </c>
      <c r="H3499" s="129" t="str">
        <f>IF(Proc[[#This Row],[type]]="LFF (MDG-F)",MID(Proc[[#This Row],[Obj]],13,10),"")</f>
        <v/>
      </c>
      <c r="J3499" s="129" t="b">
        <f>Proc[[#This Row],[Requested]]=Proc[[#This Row],[CurrentParent]]</f>
        <v>1</v>
      </c>
      <c r="K3499" s="144" t="str">
        <f>IF(Proc[[#This Row],[Author]]="Marcela Urrego",VLOOKUP(LEFT(Proc[[#This Row],[Requested]],1),Table3[#All],2,0),VLOOKUP(Proc[[#This Row],[Author]],Table4[],2,0))</f>
        <v>MGF</v>
      </c>
      <c r="L3499" s="129" t="s">
        <v>4894</v>
      </c>
      <c r="M3499" s="127">
        <v>45883</v>
      </c>
      <c r="N3499" s="127"/>
      <c r="O3499" s="127"/>
      <c r="P3499" s="115" t="str">
        <f ca="1">IF(Proc[[#This Row],[DaysAgeing]]&gt;5,"yep","on track")</f>
        <v>yep</v>
      </c>
      <c r="Q3499" s="3">
        <f ca="1">IF(Proc[[#This Row],[DateClosed]]="",ABS(NETWORKDAYS(Proc[[#This Row],[DateOpened]],TODAY()))-1,ABS(NETWORKDAYS(Proc[[#This Row],[DateOpened]],Proc[[#This Row],[DateClosed]]))-1)</f>
        <v>91</v>
      </c>
      <c r="R3499" s="115" t="s">
        <v>515</v>
      </c>
      <c r="S3499" s="129"/>
    </row>
    <row r="3500" spans="1:19" hidden="1">
      <c r="A3500" s="128" t="s">
        <v>5669</v>
      </c>
      <c r="B3500" s="149" t="str">
        <f>IFERROR(VLOOKUP(Proc[[#This Row],[App]],Table2[],3,0),"open")</f>
        <v>ok</v>
      </c>
      <c r="C3500" s="128" t="s">
        <v>369</v>
      </c>
      <c r="D3500" t="s">
        <v>5587</v>
      </c>
      <c r="E3500" t="s">
        <v>5668</v>
      </c>
      <c r="F3500" s="129" t="s">
        <v>5668</v>
      </c>
      <c r="G3500" s="128" t="s">
        <v>400</v>
      </c>
      <c r="H3500" s="129" t="str">
        <f>IF(Proc[[#This Row],[type]]="LFF (MDG-F)",MID(Proc[[#This Row],[Obj]],13,10),"")</f>
        <v/>
      </c>
      <c r="J3500" s="129" t="b">
        <f>Proc[[#This Row],[Requested]]=Proc[[#This Row],[CurrentParent]]</f>
        <v>1</v>
      </c>
      <c r="K3500" s="144" t="str">
        <f>IF(Proc[[#This Row],[Author]]="Marcela Urrego",VLOOKUP(LEFT(Proc[[#This Row],[Requested]],1),Table3[#All],2,0),VLOOKUP(Proc[[#This Row],[Author]],Table4[],2,0))</f>
        <v>MGF</v>
      </c>
      <c r="L3500" s="129" t="s">
        <v>4894</v>
      </c>
      <c r="M3500" s="127">
        <v>45883</v>
      </c>
      <c r="N3500" s="127"/>
      <c r="O3500" s="127"/>
      <c r="P3500" s="115" t="str">
        <f ca="1">IF(Proc[[#This Row],[DaysAgeing]]&gt;5,"yep","on track")</f>
        <v>yep</v>
      </c>
      <c r="Q3500" s="3">
        <f ca="1">IF(Proc[[#This Row],[DateClosed]]="",ABS(NETWORKDAYS(Proc[[#This Row],[DateOpened]],TODAY()))-1,ABS(NETWORKDAYS(Proc[[#This Row],[DateOpened]],Proc[[#This Row],[DateClosed]]))-1)</f>
        <v>91</v>
      </c>
      <c r="R3500" s="115" t="s">
        <v>515</v>
      </c>
      <c r="S3500" s="129"/>
    </row>
    <row r="3501" spans="1:19" hidden="1">
      <c r="A3501" s="128" t="s">
        <v>5669</v>
      </c>
      <c r="B3501" s="149" t="str">
        <f>IFERROR(VLOOKUP(Proc[[#This Row],[App]],Table2[],3,0),"open")</f>
        <v>ok</v>
      </c>
      <c r="C3501" s="128" t="s">
        <v>369</v>
      </c>
      <c r="D3501" t="s">
        <v>5588</v>
      </c>
      <c r="E3501" t="s">
        <v>5668</v>
      </c>
      <c r="F3501" s="129" t="s">
        <v>5668</v>
      </c>
      <c r="G3501" s="128" t="s">
        <v>400</v>
      </c>
      <c r="H3501" s="129" t="str">
        <f>IF(Proc[[#This Row],[type]]="LFF (MDG-F)",MID(Proc[[#This Row],[Obj]],13,10),"")</f>
        <v/>
      </c>
      <c r="J3501" s="129" t="b">
        <f>Proc[[#This Row],[Requested]]=Proc[[#This Row],[CurrentParent]]</f>
        <v>1</v>
      </c>
      <c r="K3501" s="144" t="str">
        <f>IF(Proc[[#This Row],[Author]]="Marcela Urrego",VLOOKUP(LEFT(Proc[[#This Row],[Requested]],1),Table3[#All],2,0),VLOOKUP(Proc[[#This Row],[Author]],Table4[],2,0))</f>
        <v>MGF</v>
      </c>
      <c r="L3501" s="129" t="s">
        <v>4894</v>
      </c>
      <c r="M3501" s="127">
        <v>45883</v>
      </c>
      <c r="N3501" s="127"/>
      <c r="O3501" s="127"/>
      <c r="P3501" s="115" t="str">
        <f ca="1">IF(Proc[[#This Row],[DaysAgeing]]&gt;5,"yep","on track")</f>
        <v>yep</v>
      </c>
      <c r="Q3501" s="3">
        <f ca="1">IF(Proc[[#This Row],[DateClosed]]="",ABS(NETWORKDAYS(Proc[[#This Row],[DateOpened]],TODAY()))-1,ABS(NETWORKDAYS(Proc[[#This Row],[DateOpened]],Proc[[#This Row],[DateClosed]]))-1)</f>
        <v>91</v>
      </c>
      <c r="R3501" s="115" t="s">
        <v>515</v>
      </c>
      <c r="S3501" s="129"/>
    </row>
    <row r="3502" spans="1:19" hidden="1">
      <c r="A3502" s="128" t="s">
        <v>5669</v>
      </c>
      <c r="B3502" s="149" t="str">
        <f>IFERROR(VLOOKUP(Proc[[#This Row],[App]],Table2[],3,0),"open")</f>
        <v>ok</v>
      </c>
      <c r="C3502" s="128" t="s">
        <v>369</v>
      </c>
      <c r="D3502" t="s">
        <v>5589</v>
      </c>
      <c r="E3502" t="s">
        <v>5668</v>
      </c>
      <c r="F3502" s="129" t="s">
        <v>5668</v>
      </c>
      <c r="G3502" s="128" t="s">
        <v>400</v>
      </c>
      <c r="H3502" s="129" t="str">
        <f>IF(Proc[[#This Row],[type]]="LFF (MDG-F)",MID(Proc[[#This Row],[Obj]],13,10),"")</f>
        <v/>
      </c>
      <c r="J3502" s="129" t="b">
        <f>Proc[[#This Row],[Requested]]=Proc[[#This Row],[CurrentParent]]</f>
        <v>1</v>
      </c>
      <c r="K3502" s="144" t="str">
        <f>IF(Proc[[#This Row],[Author]]="Marcela Urrego",VLOOKUP(LEFT(Proc[[#This Row],[Requested]],1),Table3[#All],2,0),VLOOKUP(Proc[[#This Row],[Author]],Table4[],2,0))</f>
        <v>MGF</v>
      </c>
      <c r="L3502" s="129" t="s">
        <v>4894</v>
      </c>
      <c r="M3502" s="127">
        <v>45883</v>
      </c>
      <c r="N3502" s="127"/>
      <c r="O3502" s="127"/>
      <c r="P3502" s="115" t="str">
        <f ca="1">IF(Proc[[#This Row],[DaysAgeing]]&gt;5,"yep","on track")</f>
        <v>yep</v>
      </c>
      <c r="Q3502" s="3">
        <f ca="1">IF(Proc[[#This Row],[DateClosed]]="",ABS(NETWORKDAYS(Proc[[#This Row],[DateOpened]],TODAY()))-1,ABS(NETWORKDAYS(Proc[[#This Row],[DateOpened]],Proc[[#This Row],[DateClosed]]))-1)</f>
        <v>91</v>
      </c>
      <c r="R3502" s="115" t="s">
        <v>515</v>
      </c>
      <c r="S3502" s="129"/>
    </row>
    <row r="3503" spans="1:19" hidden="1">
      <c r="A3503" s="128" t="s">
        <v>5669</v>
      </c>
      <c r="B3503" s="149" t="str">
        <f>IFERROR(VLOOKUP(Proc[[#This Row],[App]],Table2[],3,0),"open")</f>
        <v>ok</v>
      </c>
      <c r="C3503" s="128" t="s">
        <v>369</v>
      </c>
      <c r="D3503" t="s">
        <v>5590</v>
      </c>
      <c r="E3503" t="s">
        <v>5668</v>
      </c>
      <c r="F3503" s="129" t="s">
        <v>5668</v>
      </c>
      <c r="G3503" s="128" t="s">
        <v>406</v>
      </c>
      <c r="H3503" s="129" t="str">
        <f>IF(Proc[[#This Row],[type]]="LFF (MDG-F)",MID(Proc[[#This Row],[Obj]],13,10),"")</f>
        <v>CH50GPO004</v>
      </c>
      <c r="J3503" s="129" t="b">
        <f>Proc[[#This Row],[Requested]]=Proc[[#This Row],[CurrentParent]]</f>
        <v>1</v>
      </c>
      <c r="K3503" s="144" t="str">
        <f>IF(Proc[[#This Row],[Author]]="Marcela Urrego",VLOOKUP(LEFT(Proc[[#This Row],[Requested]],1),Table3[#All],2,0),VLOOKUP(Proc[[#This Row],[Author]],Table4[],2,0))</f>
        <v>MGF</v>
      </c>
      <c r="L3503" s="129" t="s">
        <v>4894</v>
      </c>
      <c r="M3503" s="127">
        <v>45883</v>
      </c>
      <c r="N3503" s="127"/>
      <c r="O3503" s="127"/>
      <c r="P3503" s="115" t="str">
        <f ca="1">IF(Proc[[#This Row],[DaysAgeing]]&gt;5,"yep","on track")</f>
        <v>yep</v>
      </c>
      <c r="Q3503" s="3">
        <f ca="1">IF(Proc[[#This Row],[DateClosed]]="",ABS(NETWORKDAYS(Proc[[#This Row],[DateOpened]],TODAY()))-1,ABS(NETWORKDAYS(Proc[[#This Row],[DateOpened]],Proc[[#This Row],[DateClosed]]))-1)</f>
        <v>91</v>
      </c>
      <c r="R3503" s="115" t="s">
        <v>515</v>
      </c>
      <c r="S3503" s="129"/>
    </row>
    <row r="3504" spans="1:19" hidden="1">
      <c r="A3504" s="128" t="s">
        <v>5669</v>
      </c>
      <c r="B3504" s="149" t="str">
        <f>IFERROR(VLOOKUP(Proc[[#This Row],[App]],Table2[],3,0),"open")</f>
        <v>ok</v>
      </c>
      <c r="C3504" s="128" t="s">
        <v>369</v>
      </c>
      <c r="D3504" t="s">
        <v>5591</v>
      </c>
      <c r="E3504" t="s">
        <v>5668</v>
      </c>
      <c r="F3504" s="129" t="s">
        <v>5668</v>
      </c>
      <c r="G3504" s="128" t="s">
        <v>406</v>
      </c>
      <c r="H3504" s="129" t="str">
        <f>IF(Proc[[#This Row],[type]]="LFF (MDG-F)",MID(Proc[[#This Row],[Obj]],13,10),"")</f>
        <v>CH50GPO101</v>
      </c>
      <c r="J3504" s="129" t="b">
        <f>Proc[[#This Row],[Requested]]=Proc[[#This Row],[CurrentParent]]</f>
        <v>1</v>
      </c>
      <c r="K3504" s="144" t="str">
        <f>IF(Proc[[#This Row],[Author]]="Marcela Urrego",VLOOKUP(LEFT(Proc[[#This Row],[Requested]],1),Table3[#All],2,0),VLOOKUP(Proc[[#This Row],[Author]],Table4[],2,0))</f>
        <v>MGF</v>
      </c>
      <c r="L3504" s="129" t="s">
        <v>4894</v>
      </c>
      <c r="M3504" s="127">
        <v>45883</v>
      </c>
      <c r="N3504" s="127"/>
      <c r="O3504" s="127"/>
      <c r="P3504" s="115" t="str">
        <f ca="1">IF(Proc[[#This Row],[DaysAgeing]]&gt;5,"yep","on track")</f>
        <v>yep</v>
      </c>
      <c r="Q3504" s="3">
        <f ca="1">IF(Proc[[#This Row],[DateClosed]]="",ABS(NETWORKDAYS(Proc[[#This Row],[DateOpened]],TODAY()))-1,ABS(NETWORKDAYS(Proc[[#This Row],[DateOpened]],Proc[[#This Row],[DateClosed]]))-1)</f>
        <v>91</v>
      </c>
      <c r="R3504" s="115" t="s">
        <v>515</v>
      </c>
      <c r="S3504" s="129"/>
    </row>
    <row r="3505" spans="1:19" hidden="1">
      <c r="A3505" s="128" t="s">
        <v>5669</v>
      </c>
      <c r="B3505" s="149" t="str">
        <f>IFERROR(VLOOKUP(Proc[[#This Row],[App]],Table2[],3,0),"open")</f>
        <v>ok</v>
      </c>
      <c r="C3505" s="128" t="s">
        <v>369</v>
      </c>
      <c r="D3505" t="s">
        <v>5592</v>
      </c>
      <c r="E3505" t="s">
        <v>5668</v>
      </c>
      <c r="F3505" s="129" t="s">
        <v>5668</v>
      </c>
      <c r="G3505" s="128" t="s">
        <v>406</v>
      </c>
      <c r="H3505" s="129" t="str">
        <f>IF(Proc[[#This Row],[type]]="LFF (MDG-F)",MID(Proc[[#This Row],[Obj]],13,10),"")</f>
        <v>CH50GPO204</v>
      </c>
      <c r="J3505" s="129" t="b">
        <f>Proc[[#This Row],[Requested]]=Proc[[#This Row],[CurrentParent]]</f>
        <v>1</v>
      </c>
      <c r="K3505" s="144" t="str">
        <f>IF(Proc[[#This Row],[Author]]="Marcela Urrego",VLOOKUP(LEFT(Proc[[#This Row],[Requested]],1),Table3[#All],2,0),VLOOKUP(Proc[[#This Row],[Author]],Table4[],2,0))</f>
        <v>MGF</v>
      </c>
      <c r="L3505" s="129" t="s">
        <v>4894</v>
      </c>
      <c r="M3505" s="127">
        <v>45883</v>
      </c>
      <c r="N3505" s="127"/>
      <c r="O3505" s="127"/>
      <c r="P3505" s="115" t="str">
        <f ca="1">IF(Proc[[#This Row],[DaysAgeing]]&gt;5,"yep","on track")</f>
        <v>yep</v>
      </c>
      <c r="Q3505" s="3">
        <f ca="1">IF(Proc[[#This Row],[DateClosed]]="",ABS(NETWORKDAYS(Proc[[#This Row],[DateOpened]],TODAY()))-1,ABS(NETWORKDAYS(Proc[[#This Row],[DateOpened]],Proc[[#This Row],[DateClosed]]))-1)</f>
        <v>91</v>
      </c>
      <c r="R3505" s="115" t="s">
        <v>515</v>
      </c>
      <c r="S3505" s="129"/>
    </row>
    <row r="3506" spans="1:19" hidden="1">
      <c r="A3506" s="128" t="s">
        <v>5669</v>
      </c>
      <c r="B3506" s="149" t="str">
        <f>IFERROR(VLOOKUP(Proc[[#This Row],[App]],Table2[],3,0),"open")</f>
        <v>ok</v>
      </c>
      <c r="C3506" s="128" t="s">
        <v>369</v>
      </c>
      <c r="D3506" t="s">
        <v>5593</v>
      </c>
      <c r="E3506" t="s">
        <v>5668</v>
      </c>
      <c r="F3506" s="129" t="s">
        <v>5668</v>
      </c>
      <c r="G3506" s="128" t="s">
        <v>406</v>
      </c>
      <c r="H3506" s="129" t="str">
        <f>IF(Proc[[#This Row],[type]]="LFF (MDG-F)",MID(Proc[[#This Row],[Obj]],13,10),"")</f>
        <v>CH65GPO001</v>
      </c>
      <c r="J3506" s="129" t="b">
        <f>Proc[[#This Row],[Requested]]=Proc[[#This Row],[CurrentParent]]</f>
        <v>1</v>
      </c>
      <c r="K3506" s="144" t="str">
        <f>IF(Proc[[#This Row],[Author]]="Marcela Urrego",VLOOKUP(LEFT(Proc[[#This Row],[Requested]],1),Table3[#All],2,0),VLOOKUP(Proc[[#This Row],[Author]],Table4[],2,0))</f>
        <v>MGF</v>
      </c>
      <c r="L3506" s="129" t="s">
        <v>4894</v>
      </c>
      <c r="M3506" s="127">
        <v>45883</v>
      </c>
      <c r="N3506" s="127"/>
      <c r="O3506" s="127"/>
      <c r="P3506" s="115" t="str">
        <f ca="1">IF(Proc[[#This Row],[DaysAgeing]]&gt;5,"yep","on track")</f>
        <v>yep</v>
      </c>
      <c r="Q3506" s="3">
        <f ca="1">IF(Proc[[#This Row],[DateClosed]]="",ABS(NETWORKDAYS(Proc[[#This Row],[DateOpened]],TODAY()))-1,ABS(NETWORKDAYS(Proc[[#This Row],[DateOpened]],Proc[[#This Row],[DateClosed]]))-1)</f>
        <v>91</v>
      </c>
      <c r="R3506" s="115" t="s">
        <v>515</v>
      </c>
      <c r="S3506" s="129"/>
    </row>
    <row r="3507" spans="1:19" hidden="1">
      <c r="A3507" s="128" t="s">
        <v>5669</v>
      </c>
      <c r="B3507" s="149" t="str">
        <f>IFERROR(VLOOKUP(Proc[[#This Row],[App]],Table2[],3,0),"open")</f>
        <v>ok</v>
      </c>
      <c r="C3507" s="128" t="s">
        <v>369</v>
      </c>
      <c r="D3507" t="s">
        <v>5594</v>
      </c>
      <c r="E3507" t="s">
        <v>5668</v>
      </c>
      <c r="F3507" s="129" t="s">
        <v>5668</v>
      </c>
      <c r="G3507" s="128" t="s">
        <v>406</v>
      </c>
      <c r="H3507" s="129" t="str">
        <f>IF(Proc[[#This Row],[type]]="LFF (MDG-F)",MID(Proc[[#This Row],[Obj]],13,10),"")</f>
        <v>CN90GPO005</v>
      </c>
      <c r="J3507" s="129" t="b">
        <f>Proc[[#This Row],[Requested]]=Proc[[#This Row],[CurrentParent]]</f>
        <v>1</v>
      </c>
      <c r="K3507" s="144" t="str">
        <f>IF(Proc[[#This Row],[Author]]="Marcela Urrego",VLOOKUP(LEFT(Proc[[#This Row],[Requested]],1),Table3[#All],2,0),VLOOKUP(Proc[[#This Row],[Author]],Table4[],2,0))</f>
        <v>MGF</v>
      </c>
      <c r="L3507" s="129" t="s">
        <v>4894</v>
      </c>
      <c r="M3507" s="127">
        <v>45883</v>
      </c>
      <c r="N3507" s="127"/>
      <c r="O3507" s="127"/>
      <c r="P3507" s="115" t="str">
        <f ca="1">IF(Proc[[#This Row],[DaysAgeing]]&gt;5,"yep","on track")</f>
        <v>yep</v>
      </c>
      <c r="Q3507" s="3">
        <f ca="1">IF(Proc[[#This Row],[DateClosed]]="",ABS(NETWORKDAYS(Proc[[#This Row],[DateOpened]],TODAY()))-1,ABS(NETWORKDAYS(Proc[[#This Row],[DateOpened]],Proc[[#This Row],[DateClosed]]))-1)</f>
        <v>91</v>
      </c>
      <c r="R3507" s="115" t="s">
        <v>515</v>
      </c>
      <c r="S3507" s="129"/>
    </row>
    <row r="3508" spans="1:19" hidden="1">
      <c r="A3508" s="128" t="s">
        <v>5669</v>
      </c>
      <c r="B3508" s="149" t="str">
        <f>IFERROR(VLOOKUP(Proc[[#This Row],[App]],Table2[],3,0),"open")</f>
        <v>ok</v>
      </c>
      <c r="C3508" s="128" t="s">
        <v>369</v>
      </c>
      <c r="D3508" t="s">
        <v>5595</v>
      </c>
      <c r="E3508" t="s">
        <v>5668</v>
      </c>
      <c r="F3508" s="129" t="s">
        <v>5668</v>
      </c>
      <c r="G3508" s="128" t="s">
        <v>406</v>
      </c>
      <c r="H3508" s="129" t="str">
        <f>IF(Proc[[#This Row],[type]]="LFF (MDG-F)",MID(Proc[[#This Row],[Obj]],13,10),"")</f>
        <v>DE10560000</v>
      </c>
      <c r="J3508" s="129" t="b">
        <f>Proc[[#This Row],[Requested]]=Proc[[#This Row],[CurrentParent]]</f>
        <v>1</v>
      </c>
      <c r="K3508" s="144" t="str">
        <f>IF(Proc[[#This Row],[Author]]="Marcela Urrego",VLOOKUP(LEFT(Proc[[#This Row],[Requested]],1),Table3[#All],2,0),VLOOKUP(Proc[[#This Row],[Author]],Table4[],2,0))</f>
        <v>MGF</v>
      </c>
      <c r="L3508" s="129" t="s">
        <v>4894</v>
      </c>
      <c r="M3508" s="127">
        <v>45883</v>
      </c>
      <c r="N3508" s="127"/>
      <c r="O3508" s="127"/>
      <c r="P3508" s="115" t="str">
        <f ca="1">IF(Proc[[#This Row],[DaysAgeing]]&gt;5,"yep","on track")</f>
        <v>yep</v>
      </c>
      <c r="Q3508" s="3">
        <f ca="1">IF(Proc[[#This Row],[DateClosed]]="",ABS(NETWORKDAYS(Proc[[#This Row],[DateOpened]],TODAY()))-1,ABS(NETWORKDAYS(Proc[[#This Row],[DateOpened]],Proc[[#This Row],[DateClosed]]))-1)</f>
        <v>91</v>
      </c>
      <c r="R3508" s="115" t="s">
        <v>515</v>
      </c>
      <c r="S3508" s="129"/>
    </row>
    <row r="3509" spans="1:19" hidden="1">
      <c r="A3509" s="128" t="s">
        <v>5669</v>
      </c>
      <c r="B3509" s="149" t="str">
        <f>IFERROR(VLOOKUP(Proc[[#This Row],[App]],Table2[],3,0),"open")</f>
        <v>ok</v>
      </c>
      <c r="C3509" s="128" t="s">
        <v>369</v>
      </c>
      <c r="D3509" t="s">
        <v>5596</v>
      </c>
      <c r="E3509" t="s">
        <v>5668</v>
      </c>
      <c r="F3509" s="129" t="s">
        <v>5668</v>
      </c>
      <c r="G3509" s="128" t="s">
        <v>406</v>
      </c>
      <c r="H3509" s="129" t="str">
        <f>IF(Proc[[#This Row],[type]]="LFF (MDG-F)",MID(Proc[[#This Row],[Obj]],13,10),"")</f>
        <v>DE10661200</v>
      </c>
      <c r="J3509" s="129" t="b">
        <f>Proc[[#This Row],[Requested]]=Proc[[#This Row],[CurrentParent]]</f>
        <v>1</v>
      </c>
      <c r="K3509" s="144" t="str">
        <f>IF(Proc[[#This Row],[Author]]="Marcela Urrego",VLOOKUP(LEFT(Proc[[#This Row],[Requested]],1),Table3[#All],2,0),VLOOKUP(Proc[[#This Row],[Author]],Table4[],2,0))</f>
        <v>MGF</v>
      </c>
      <c r="L3509" s="129" t="s">
        <v>4894</v>
      </c>
      <c r="M3509" s="127">
        <v>45883</v>
      </c>
      <c r="N3509" s="127"/>
      <c r="O3509" s="127"/>
      <c r="P3509" s="115" t="str">
        <f ca="1">IF(Proc[[#This Row],[DaysAgeing]]&gt;5,"yep","on track")</f>
        <v>yep</v>
      </c>
      <c r="Q3509" s="3">
        <f ca="1">IF(Proc[[#This Row],[DateClosed]]="",ABS(NETWORKDAYS(Proc[[#This Row],[DateOpened]],TODAY()))-1,ABS(NETWORKDAYS(Proc[[#This Row],[DateOpened]],Proc[[#This Row],[DateClosed]]))-1)</f>
        <v>91</v>
      </c>
      <c r="R3509" s="115" t="s">
        <v>515</v>
      </c>
      <c r="S3509" s="129"/>
    </row>
    <row r="3510" spans="1:19" hidden="1">
      <c r="A3510" s="128" t="s">
        <v>5669</v>
      </c>
      <c r="B3510" s="149" t="str">
        <f>IFERROR(VLOOKUP(Proc[[#This Row],[App]],Table2[],3,0),"open")</f>
        <v>ok</v>
      </c>
      <c r="C3510" s="128" t="s">
        <v>369</v>
      </c>
      <c r="D3510" t="s">
        <v>5597</v>
      </c>
      <c r="E3510" t="s">
        <v>5668</v>
      </c>
      <c r="F3510" s="129" t="s">
        <v>5668</v>
      </c>
      <c r="G3510" s="128" t="s">
        <v>406</v>
      </c>
      <c r="H3510" s="129" t="str">
        <f>IF(Proc[[#This Row],[type]]="LFF (MDG-F)",MID(Proc[[#This Row],[Obj]],13,10),"")</f>
        <v>DE10667900</v>
      </c>
      <c r="J3510" s="129" t="b">
        <f>Proc[[#This Row],[Requested]]=Proc[[#This Row],[CurrentParent]]</f>
        <v>1</v>
      </c>
      <c r="K3510" s="144" t="str">
        <f>IF(Proc[[#This Row],[Author]]="Marcela Urrego",VLOOKUP(LEFT(Proc[[#This Row],[Requested]],1),Table3[#All],2,0),VLOOKUP(Proc[[#This Row],[Author]],Table4[],2,0))</f>
        <v>MGF</v>
      </c>
      <c r="L3510" s="129" t="s">
        <v>4894</v>
      </c>
      <c r="M3510" s="127">
        <v>45883</v>
      </c>
      <c r="N3510" s="127"/>
      <c r="O3510" s="127"/>
      <c r="P3510" s="115" t="str">
        <f ca="1">IF(Proc[[#This Row],[DaysAgeing]]&gt;5,"yep","on track")</f>
        <v>yep</v>
      </c>
      <c r="Q3510" s="3">
        <f ca="1">IF(Proc[[#This Row],[DateClosed]]="",ABS(NETWORKDAYS(Proc[[#This Row],[DateOpened]],TODAY()))-1,ABS(NETWORKDAYS(Proc[[#This Row],[DateOpened]],Proc[[#This Row],[DateClosed]]))-1)</f>
        <v>91</v>
      </c>
      <c r="R3510" s="115" t="s">
        <v>515</v>
      </c>
      <c r="S3510" s="129"/>
    </row>
    <row r="3511" spans="1:19" hidden="1">
      <c r="A3511" s="128" t="s">
        <v>5669</v>
      </c>
      <c r="B3511" s="149" t="str">
        <f>IFERROR(VLOOKUP(Proc[[#This Row],[App]],Table2[],3,0),"open")</f>
        <v>ok</v>
      </c>
      <c r="C3511" s="128" t="s">
        <v>369</v>
      </c>
      <c r="D3511" t="s">
        <v>5598</v>
      </c>
      <c r="E3511" t="s">
        <v>5668</v>
      </c>
      <c r="F3511" s="129" t="s">
        <v>5668</v>
      </c>
      <c r="G3511" s="128" t="s">
        <v>406</v>
      </c>
      <c r="H3511" s="129" t="str">
        <f>IF(Proc[[#This Row],[type]]="LFF (MDG-F)",MID(Proc[[#This Row],[Obj]],13,10),"")</f>
        <v>DE10672010</v>
      </c>
      <c r="J3511" s="129" t="b">
        <f>Proc[[#This Row],[Requested]]=Proc[[#This Row],[CurrentParent]]</f>
        <v>1</v>
      </c>
      <c r="K3511" s="144" t="str">
        <f>IF(Proc[[#This Row],[Author]]="Marcela Urrego",VLOOKUP(LEFT(Proc[[#This Row],[Requested]],1),Table3[#All],2,0),VLOOKUP(Proc[[#This Row],[Author]],Table4[],2,0))</f>
        <v>MGF</v>
      </c>
      <c r="L3511" s="129" t="s">
        <v>4894</v>
      </c>
      <c r="M3511" s="127">
        <v>45883</v>
      </c>
      <c r="N3511" s="127"/>
      <c r="O3511" s="127"/>
      <c r="P3511" s="115" t="str">
        <f ca="1">IF(Proc[[#This Row],[DaysAgeing]]&gt;5,"yep","on track")</f>
        <v>yep</v>
      </c>
      <c r="Q3511" s="3">
        <f ca="1">IF(Proc[[#This Row],[DateClosed]]="",ABS(NETWORKDAYS(Proc[[#This Row],[DateOpened]],TODAY()))-1,ABS(NETWORKDAYS(Proc[[#This Row],[DateOpened]],Proc[[#This Row],[DateClosed]]))-1)</f>
        <v>91</v>
      </c>
      <c r="R3511" s="115" t="s">
        <v>515</v>
      </c>
      <c r="S3511" s="129"/>
    </row>
    <row r="3512" spans="1:19" hidden="1">
      <c r="A3512" s="128" t="s">
        <v>5669</v>
      </c>
      <c r="B3512" s="149" t="str">
        <f>IFERROR(VLOOKUP(Proc[[#This Row],[App]],Table2[],3,0),"open")</f>
        <v>ok</v>
      </c>
      <c r="C3512" s="128" t="s">
        <v>369</v>
      </c>
      <c r="D3512" t="s">
        <v>5599</v>
      </c>
      <c r="E3512" t="s">
        <v>5668</v>
      </c>
      <c r="F3512" s="129" t="s">
        <v>5668</v>
      </c>
      <c r="G3512" s="128" t="s">
        <v>406</v>
      </c>
      <c r="H3512" s="129" t="str">
        <f>IF(Proc[[#This Row],[type]]="LFF (MDG-F)",MID(Proc[[#This Row],[Obj]],13,10),"")</f>
        <v>DE65GPO001</v>
      </c>
      <c r="J3512" s="129" t="b">
        <f>Proc[[#This Row],[Requested]]=Proc[[#This Row],[CurrentParent]]</f>
        <v>1</v>
      </c>
      <c r="K3512" s="144" t="str">
        <f>IF(Proc[[#This Row],[Author]]="Marcela Urrego",VLOOKUP(LEFT(Proc[[#This Row],[Requested]],1),Table3[#All],2,0),VLOOKUP(Proc[[#This Row],[Author]],Table4[],2,0))</f>
        <v>MGF</v>
      </c>
      <c r="L3512" s="129" t="s">
        <v>4894</v>
      </c>
      <c r="M3512" s="127">
        <v>45883</v>
      </c>
      <c r="N3512" s="127"/>
      <c r="O3512" s="127"/>
      <c r="P3512" s="115" t="str">
        <f ca="1">IF(Proc[[#This Row],[DaysAgeing]]&gt;5,"yep","on track")</f>
        <v>yep</v>
      </c>
      <c r="Q3512" s="3">
        <f ca="1">IF(Proc[[#This Row],[DateClosed]]="",ABS(NETWORKDAYS(Proc[[#This Row],[DateOpened]],TODAY()))-1,ABS(NETWORKDAYS(Proc[[#This Row],[DateOpened]],Proc[[#This Row],[DateClosed]]))-1)</f>
        <v>91</v>
      </c>
      <c r="R3512" s="115" t="s">
        <v>515</v>
      </c>
      <c r="S3512" s="129"/>
    </row>
    <row r="3513" spans="1:19" hidden="1">
      <c r="A3513" s="128" t="s">
        <v>5669</v>
      </c>
      <c r="B3513" s="149" t="str">
        <f>IFERROR(VLOOKUP(Proc[[#This Row],[App]],Table2[],3,0),"open")</f>
        <v>ok</v>
      </c>
      <c r="C3513" s="128" t="s">
        <v>369</v>
      </c>
      <c r="D3513" t="s">
        <v>5600</v>
      </c>
      <c r="E3513" t="s">
        <v>5668</v>
      </c>
      <c r="F3513" s="129" t="s">
        <v>5668</v>
      </c>
      <c r="G3513" s="128" t="s">
        <v>406</v>
      </c>
      <c r="H3513" s="129" t="str">
        <f>IF(Proc[[#This Row],[type]]="LFF (MDG-F)",MID(Proc[[#This Row],[Obj]],13,10),"")</f>
        <v>DK50GPO004</v>
      </c>
      <c r="J3513" s="129" t="b">
        <f>Proc[[#This Row],[Requested]]=Proc[[#This Row],[CurrentParent]]</f>
        <v>1</v>
      </c>
      <c r="K3513" s="144" t="str">
        <f>IF(Proc[[#This Row],[Author]]="Marcela Urrego",VLOOKUP(LEFT(Proc[[#This Row],[Requested]],1),Table3[#All],2,0),VLOOKUP(Proc[[#This Row],[Author]],Table4[],2,0))</f>
        <v>MGF</v>
      </c>
      <c r="L3513" s="129" t="s">
        <v>4894</v>
      </c>
      <c r="M3513" s="127">
        <v>45883</v>
      </c>
      <c r="N3513" s="127"/>
      <c r="O3513" s="127"/>
      <c r="P3513" s="115" t="str">
        <f ca="1">IF(Proc[[#This Row],[DaysAgeing]]&gt;5,"yep","on track")</f>
        <v>yep</v>
      </c>
      <c r="Q3513" s="3">
        <f ca="1">IF(Proc[[#This Row],[DateClosed]]="",ABS(NETWORKDAYS(Proc[[#This Row],[DateOpened]],TODAY()))-1,ABS(NETWORKDAYS(Proc[[#This Row],[DateOpened]],Proc[[#This Row],[DateClosed]]))-1)</f>
        <v>91</v>
      </c>
      <c r="R3513" s="115" t="s">
        <v>515</v>
      </c>
      <c r="S3513" s="129"/>
    </row>
    <row r="3514" spans="1:19" hidden="1">
      <c r="A3514" s="128" t="s">
        <v>5669</v>
      </c>
      <c r="B3514" s="149" t="str">
        <f>IFERROR(VLOOKUP(Proc[[#This Row],[App]],Table2[],3,0),"open")</f>
        <v>ok</v>
      </c>
      <c r="C3514" s="128" t="s">
        <v>369</v>
      </c>
      <c r="D3514" t="s">
        <v>5601</v>
      </c>
      <c r="E3514" t="s">
        <v>5668</v>
      </c>
      <c r="F3514" s="129" t="s">
        <v>5668</v>
      </c>
      <c r="G3514" s="128" t="s">
        <v>406</v>
      </c>
      <c r="H3514" s="129" t="str">
        <f>IF(Proc[[#This Row],[type]]="LFF (MDG-F)",MID(Proc[[#This Row],[Obj]],13,10),"")</f>
        <v>ES50GPO792</v>
      </c>
      <c r="J3514" s="129" t="b">
        <f>Proc[[#This Row],[Requested]]=Proc[[#This Row],[CurrentParent]]</f>
        <v>1</v>
      </c>
      <c r="K3514" s="144" t="str">
        <f>IF(Proc[[#This Row],[Author]]="Marcela Urrego",VLOOKUP(LEFT(Proc[[#This Row],[Requested]],1),Table3[#All],2,0),VLOOKUP(Proc[[#This Row],[Author]],Table4[],2,0))</f>
        <v>MGF</v>
      </c>
      <c r="L3514" s="129" t="s">
        <v>4894</v>
      </c>
      <c r="M3514" s="127">
        <v>45883</v>
      </c>
      <c r="N3514" s="127"/>
      <c r="O3514" s="127"/>
      <c r="P3514" s="115" t="str">
        <f ca="1">IF(Proc[[#This Row],[DaysAgeing]]&gt;5,"yep","on track")</f>
        <v>yep</v>
      </c>
      <c r="Q3514" s="3">
        <f ca="1">IF(Proc[[#This Row],[DateClosed]]="",ABS(NETWORKDAYS(Proc[[#This Row],[DateOpened]],TODAY()))-1,ABS(NETWORKDAYS(Proc[[#This Row],[DateOpened]],Proc[[#This Row],[DateClosed]]))-1)</f>
        <v>91</v>
      </c>
      <c r="R3514" s="115" t="s">
        <v>515</v>
      </c>
      <c r="S3514" s="129"/>
    </row>
    <row r="3515" spans="1:19" hidden="1">
      <c r="A3515" s="128" t="s">
        <v>5669</v>
      </c>
      <c r="B3515" s="149" t="str">
        <f>IFERROR(VLOOKUP(Proc[[#This Row],[App]],Table2[],3,0),"open")</f>
        <v>ok</v>
      </c>
      <c r="C3515" s="128" t="s">
        <v>369</v>
      </c>
      <c r="D3515" t="s">
        <v>5602</v>
      </c>
      <c r="E3515" t="s">
        <v>5668</v>
      </c>
      <c r="F3515" s="129" t="s">
        <v>5668</v>
      </c>
      <c r="G3515" s="128" t="s">
        <v>406</v>
      </c>
      <c r="H3515" s="129" t="str">
        <f>IF(Proc[[#This Row],[type]]="LFF (MDG-F)",MID(Proc[[#This Row],[Obj]],13,10),"")</f>
        <v>FR01GPO004</v>
      </c>
      <c r="J3515" s="129" t="b">
        <f>Proc[[#This Row],[Requested]]=Proc[[#This Row],[CurrentParent]]</f>
        <v>1</v>
      </c>
      <c r="K3515" s="144" t="str">
        <f>IF(Proc[[#This Row],[Author]]="Marcela Urrego",VLOOKUP(LEFT(Proc[[#This Row],[Requested]],1),Table3[#All],2,0),VLOOKUP(Proc[[#This Row],[Author]],Table4[],2,0))</f>
        <v>MGF</v>
      </c>
      <c r="L3515" s="129" t="s">
        <v>4894</v>
      </c>
      <c r="M3515" s="127">
        <v>45883</v>
      </c>
      <c r="N3515" s="127"/>
      <c r="O3515" s="127"/>
      <c r="P3515" s="115" t="str">
        <f ca="1">IF(Proc[[#This Row],[DaysAgeing]]&gt;5,"yep","on track")</f>
        <v>yep</v>
      </c>
      <c r="Q3515" s="3">
        <f ca="1">IF(Proc[[#This Row],[DateClosed]]="",ABS(NETWORKDAYS(Proc[[#This Row],[DateOpened]],TODAY()))-1,ABS(NETWORKDAYS(Proc[[#This Row],[DateOpened]],Proc[[#This Row],[DateClosed]]))-1)</f>
        <v>91</v>
      </c>
      <c r="R3515" s="115" t="s">
        <v>515</v>
      </c>
      <c r="S3515" s="129"/>
    </row>
    <row r="3516" spans="1:19" hidden="1">
      <c r="A3516" s="128" t="s">
        <v>5669</v>
      </c>
      <c r="B3516" s="149" t="str">
        <f>IFERROR(VLOOKUP(Proc[[#This Row],[App]],Table2[],3,0),"open")</f>
        <v>ok</v>
      </c>
      <c r="C3516" s="128" t="s">
        <v>369</v>
      </c>
      <c r="D3516" t="s">
        <v>5603</v>
      </c>
      <c r="E3516" t="s">
        <v>5668</v>
      </c>
      <c r="F3516" s="129" t="s">
        <v>5668</v>
      </c>
      <c r="G3516" s="128" t="s">
        <v>406</v>
      </c>
      <c r="H3516" s="129" t="str">
        <f>IF(Proc[[#This Row],[type]]="LFF (MDG-F)",MID(Proc[[#This Row],[Obj]],13,10),"")</f>
        <v>IT50GPO004</v>
      </c>
      <c r="J3516" s="129" t="b">
        <f>Proc[[#This Row],[Requested]]=Proc[[#This Row],[CurrentParent]]</f>
        <v>1</v>
      </c>
      <c r="K3516" s="144" t="str">
        <f>IF(Proc[[#This Row],[Author]]="Marcela Urrego",VLOOKUP(LEFT(Proc[[#This Row],[Requested]],1),Table3[#All],2,0),VLOOKUP(Proc[[#This Row],[Author]],Table4[],2,0))</f>
        <v>MGF</v>
      </c>
      <c r="L3516" s="129" t="s">
        <v>4894</v>
      </c>
      <c r="M3516" s="127">
        <v>45883</v>
      </c>
      <c r="N3516" s="127"/>
      <c r="O3516" s="127"/>
      <c r="P3516" s="115" t="str">
        <f ca="1">IF(Proc[[#This Row],[DaysAgeing]]&gt;5,"yep","on track")</f>
        <v>yep</v>
      </c>
      <c r="Q3516" s="3">
        <f ca="1">IF(Proc[[#This Row],[DateClosed]]="",ABS(NETWORKDAYS(Proc[[#This Row],[DateOpened]],TODAY()))-1,ABS(NETWORKDAYS(Proc[[#This Row],[DateOpened]],Proc[[#This Row],[DateClosed]]))-1)</f>
        <v>91</v>
      </c>
      <c r="R3516" s="115" t="s">
        <v>515</v>
      </c>
      <c r="S3516" s="129"/>
    </row>
    <row r="3517" spans="1:19" hidden="1">
      <c r="A3517" s="128" t="s">
        <v>5669</v>
      </c>
      <c r="B3517" s="149" t="str">
        <f>IFERROR(VLOOKUP(Proc[[#This Row],[App]],Table2[],3,0),"open")</f>
        <v>ok</v>
      </c>
      <c r="C3517" s="128" t="s">
        <v>369</v>
      </c>
      <c r="D3517" t="s">
        <v>5604</v>
      </c>
      <c r="E3517" t="s">
        <v>5668</v>
      </c>
      <c r="F3517" s="129" t="s">
        <v>5668</v>
      </c>
      <c r="G3517" s="128" t="s">
        <v>406</v>
      </c>
      <c r="H3517" s="129" t="str">
        <f>IF(Proc[[#This Row],[type]]="LFF (MDG-F)",MID(Proc[[#This Row],[Obj]],13,10),"")</f>
        <v>IT50GPO0C3</v>
      </c>
      <c r="J3517" s="129" t="b">
        <f>Proc[[#This Row],[Requested]]=Proc[[#This Row],[CurrentParent]]</f>
        <v>1</v>
      </c>
      <c r="K3517" s="144" t="str">
        <f>IF(Proc[[#This Row],[Author]]="Marcela Urrego",VLOOKUP(LEFT(Proc[[#This Row],[Requested]],1),Table3[#All],2,0),VLOOKUP(Proc[[#This Row],[Author]],Table4[],2,0))</f>
        <v>MGF</v>
      </c>
      <c r="L3517" s="129" t="s">
        <v>4894</v>
      </c>
      <c r="M3517" s="127">
        <v>45883</v>
      </c>
      <c r="N3517" s="127"/>
      <c r="O3517" s="127"/>
      <c r="P3517" s="115" t="str">
        <f ca="1">IF(Proc[[#This Row],[DaysAgeing]]&gt;5,"yep","on track")</f>
        <v>yep</v>
      </c>
      <c r="Q3517" s="3">
        <f ca="1">IF(Proc[[#This Row],[DateClosed]]="",ABS(NETWORKDAYS(Proc[[#This Row],[DateOpened]],TODAY()))-1,ABS(NETWORKDAYS(Proc[[#This Row],[DateOpened]],Proc[[#This Row],[DateClosed]]))-1)</f>
        <v>91</v>
      </c>
      <c r="R3517" s="115" t="s">
        <v>515</v>
      </c>
      <c r="S3517" s="129"/>
    </row>
    <row r="3518" spans="1:19" hidden="1">
      <c r="A3518" s="128" t="s">
        <v>5669</v>
      </c>
      <c r="B3518" s="149" t="str">
        <f>IFERROR(VLOOKUP(Proc[[#This Row],[App]],Table2[],3,0),"open")</f>
        <v>ok</v>
      </c>
      <c r="C3518" s="128" t="s">
        <v>369</v>
      </c>
      <c r="D3518" t="s">
        <v>5605</v>
      </c>
      <c r="E3518" t="s">
        <v>5668</v>
      </c>
      <c r="F3518" s="129" t="s">
        <v>5668</v>
      </c>
      <c r="G3518" s="128" t="s">
        <v>406</v>
      </c>
      <c r="H3518" s="129" t="str">
        <f>IF(Proc[[#This Row],[type]]="LFF (MDG-F)",MID(Proc[[#This Row],[Obj]],13,10),"")</f>
        <v>JP01GPO302</v>
      </c>
      <c r="J3518" s="129" t="b">
        <f>Proc[[#This Row],[Requested]]=Proc[[#This Row],[CurrentParent]]</f>
        <v>1</v>
      </c>
      <c r="K3518" s="144" t="str">
        <f>IF(Proc[[#This Row],[Author]]="Marcela Urrego",VLOOKUP(LEFT(Proc[[#This Row],[Requested]],1),Table3[#All],2,0),VLOOKUP(Proc[[#This Row],[Author]],Table4[],2,0))</f>
        <v>MGF</v>
      </c>
      <c r="L3518" s="129" t="s">
        <v>4894</v>
      </c>
      <c r="M3518" s="127">
        <v>45883</v>
      </c>
      <c r="N3518" s="127"/>
      <c r="O3518" s="127"/>
      <c r="P3518" s="115" t="str">
        <f ca="1">IF(Proc[[#This Row],[DaysAgeing]]&gt;5,"yep","on track")</f>
        <v>yep</v>
      </c>
      <c r="Q3518" s="3">
        <f ca="1">IF(Proc[[#This Row],[DateClosed]]="",ABS(NETWORKDAYS(Proc[[#This Row],[DateOpened]],TODAY()))-1,ABS(NETWORKDAYS(Proc[[#This Row],[DateOpened]],Proc[[#This Row],[DateClosed]]))-1)</f>
        <v>91</v>
      </c>
      <c r="R3518" s="115" t="s">
        <v>515</v>
      </c>
      <c r="S3518" s="129"/>
    </row>
    <row r="3519" spans="1:19" hidden="1">
      <c r="A3519" s="128" t="s">
        <v>5669</v>
      </c>
      <c r="B3519" s="149" t="str">
        <f>IFERROR(VLOOKUP(Proc[[#This Row],[App]],Table2[],3,0),"open")</f>
        <v>ok</v>
      </c>
      <c r="C3519" s="128" t="s">
        <v>369</v>
      </c>
      <c r="D3519" t="s">
        <v>5606</v>
      </c>
      <c r="E3519" t="s">
        <v>5668</v>
      </c>
      <c r="F3519" s="129" t="s">
        <v>5668</v>
      </c>
      <c r="G3519" s="128" t="s">
        <v>406</v>
      </c>
      <c r="H3519" s="129" t="str">
        <f>IF(Proc[[#This Row],[type]]="LFF (MDG-F)",MID(Proc[[#This Row],[Obj]],13,10),"")</f>
        <v>JP02GPO302</v>
      </c>
      <c r="J3519" s="129" t="b">
        <f>Proc[[#This Row],[Requested]]=Proc[[#This Row],[CurrentParent]]</f>
        <v>1</v>
      </c>
      <c r="K3519" s="144" t="str">
        <f>IF(Proc[[#This Row],[Author]]="Marcela Urrego",VLOOKUP(LEFT(Proc[[#This Row],[Requested]],1),Table3[#All],2,0),VLOOKUP(Proc[[#This Row],[Author]],Table4[],2,0))</f>
        <v>MGF</v>
      </c>
      <c r="L3519" s="129" t="s">
        <v>4894</v>
      </c>
      <c r="M3519" s="127">
        <v>45883</v>
      </c>
      <c r="N3519" s="127"/>
      <c r="O3519" s="127"/>
      <c r="P3519" s="115" t="str">
        <f ca="1">IF(Proc[[#This Row],[DaysAgeing]]&gt;5,"yep","on track")</f>
        <v>yep</v>
      </c>
      <c r="Q3519" s="3">
        <f ca="1">IF(Proc[[#This Row],[DateClosed]]="",ABS(NETWORKDAYS(Proc[[#This Row],[DateOpened]],TODAY()))-1,ABS(NETWORKDAYS(Proc[[#This Row],[DateOpened]],Proc[[#This Row],[DateClosed]]))-1)</f>
        <v>91</v>
      </c>
      <c r="R3519" s="115" t="s">
        <v>515</v>
      </c>
      <c r="S3519" s="129"/>
    </row>
    <row r="3520" spans="1:19" hidden="1">
      <c r="A3520" s="128" t="s">
        <v>5669</v>
      </c>
      <c r="B3520" s="149" t="str">
        <f>IFERROR(VLOOKUP(Proc[[#This Row],[App]],Table2[],3,0),"open")</f>
        <v>ok</v>
      </c>
      <c r="C3520" s="128" t="s">
        <v>369</v>
      </c>
      <c r="D3520" t="s">
        <v>5607</v>
      </c>
      <c r="E3520" t="s">
        <v>5668</v>
      </c>
      <c r="F3520" s="129" t="s">
        <v>5668</v>
      </c>
      <c r="G3520" s="128" t="s">
        <v>406</v>
      </c>
      <c r="H3520" s="129" t="str">
        <f>IF(Proc[[#This Row],[type]]="LFF (MDG-F)",MID(Proc[[#This Row],[Obj]],13,10),"")</f>
        <v>KE50GPO004</v>
      </c>
      <c r="J3520" s="129" t="b">
        <f>Proc[[#This Row],[Requested]]=Proc[[#This Row],[CurrentParent]]</f>
        <v>1</v>
      </c>
      <c r="K3520" s="144" t="str">
        <f>IF(Proc[[#This Row],[Author]]="Marcela Urrego",VLOOKUP(LEFT(Proc[[#This Row],[Requested]],1),Table3[#All],2,0),VLOOKUP(Proc[[#This Row],[Author]],Table4[],2,0))</f>
        <v>MGF</v>
      </c>
      <c r="L3520" s="129" t="s">
        <v>4894</v>
      </c>
      <c r="M3520" s="127">
        <v>45883</v>
      </c>
      <c r="N3520" s="127"/>
      <c r="O3520" s="127"/>
      <c r="P3520" s="115" t="str">
        <f ca="1">IF(Proc[[#This Row],[DaysAgeing]]&gt;5,"yep","on track")</f>
        <v>yep</v>
      </c>
      <c r="Q3520" s="3">
        <f ca="1">IF(Proc[[#This Row],[DateClosed]]="",ABS(NETWORKDAYS(Proc[[#This Row],[DateOpened]],TODAY()))-1,ABS(NETWORKDAYS(Proc[[#This Row],[DateOpened]],Proc[[#This Row],[DateClosed]]))-1)</f>
        <v>91</v>
      </c>
      <c r="R3520" s="115" t="s">
        <v>515</v>
      </c>
      <c r="S3520" s="129"/>
    </row>
    <row r="3521" spans="1:19" hidden="1">
      <c r="A3521" s="128" t="s">
        <v>5669</v>
      </c>
      <c r="B3521" s="149" t="str">
        <f>IFERROR(VLOOKUP(Proc[[#This Row],[App]],Table2[],3,0),"open")</f>
        <v>ok</v>
      </c>
      <c r="C3521" s="128" t="s">
        <v>369</v>
      </c>
      <c r="D3521" t="s">
        <v>5608</v>
      </c>
      <c r="E3521" t="s">
        <v>5668</v>
      </c>
      <c r="F3521" s="129" t="s">
        <v>5668</v>
      </c>
      <c r="G3521" s="128" t="s">
        <v>406</v>
      </c>
      <c r="H3521" s="129" t="str">
        <f>IF(Proc[[#This Row],[type]]="LFF (MDG-F)",MID(Proc[[#This Row],[Obj]],13,10),"")</f>
        <v>KR02GPO001</v>
      </c>
      <c r="J3521" s="129" t="b">
        <f>Proc[[#This Row],[Requested]]=Proc[[#This Row],[CurrentParent]]</f>
        <v>1</v>
      </c>
      <c r="K3521" s="144" t="str">
        <f>IF(Proc[[#This Row],[Author]]="Marcela Urrego",VLOOKUP(LEFT(Proc[[#This Row],[Requested]],1),Table3[#All],2,0),VLOOKUP(Proc[[#This Row],[Author]],Table4[],2,0))</f>
        <v>MGF</v>
      </c>
      <c r="L3521" s="129" t="s">
        <v>4894</v>
      </c>
      <c r="M3521" s="127">
        <v>45883</v>
      </c>
      <c r="N3521" s="127"/>
      <c r="O3521" s="127"/>
      <c r="P3521" s="115" t="str">
        <f ca="1">IF(Proc[[#This Row],[DaysAgeing]]&gt;5,"yep","on track")</f>
        <v>yep</v>
      </c>
      <c r="Q3521" s="3">
        <f ca="1">IF(Proc[[#This Row],[DateClosed]]="",ABS(NETWORKDAYS(Proc[[#This Row],[DateOpened]],TODAY()))-1,ABS(NETWORKDAYS(Proc[[#This Row],[DateOpened]],Proc[[#This Row],[DateClosed]]))-1)</f>
        <v>91</v>
      </c>
      <c r="R3521" s="115" t="s">
        <v>515</v>
      </c>
      <c r="S3521" s="129"/>
    </row>
    <row r="3522" spans="1:19" hidden="1">
      <c r="A3522" s="128" t="s">
        <v>5669</v>
      </c>
      <c r="B3522" s="149" t="str">
        <f>IFERROR(VLOOKUP(Proc[[#This Row],[App]],Table2[],3,0),"open")</f>
        <v>ok</v>
      </c>
      <c r="C3522" s="128" t="s">
        <v>369</v>
      </c>
      <c r="D3522" t="s">
        <v>5609</v>
      </c>
      <c r="E3522" t="s">
        <v>5668</v>
      </c>
      <c r="F3522" s="129" t="s">
        <v>5668</v>
      </c>
      <c r="G3522" s="128" t="s">
        <v>406</v>
      </c>
      <c r="H3522" s="129" t="str">
        <f>IF(Proc[[#This Row],[type]]="LFF (MDG-F)",MID(Proc[[#This Row],[Obj]],13,10),"")</f>
        <v>TW02GPO004</v>
      </c>
      <c r="J3522" s="129" t="b">
        <f>Proc[[#This Row],[Requested]]=Proc[[#This Row],[CurrentParent]]</f>
        <v>1</v>
      </c>
      <c r="K3522" s="144" t="str">
        <f>IF(Proc[[#This Row],[Author]]="Marcela Urrego",VLOOKUP(LEFT(Proc[[#This Row],[Requested]],1),Table3[#All],2,0),VLOOKUP(Proc[[#This Row],[Author]],Table4[],2,0))</f>
        <v>MGF</v>
      </c>
      <c r="L3522" s="129" t="s">
        <v>4894</v>
      </c>
      <c r="M3522" s="127">
        <v>45883</v>
      </c>
      <c r="N3522" s="127"/>
      <c r="O3522" s="127"/>
      <c r="P3522" s="115" t="str">
        <f ca="1">IF(Proc[[#This Row],[DaysAgeing]]&gt;5,"yep","on track")</f>
        <v>yep</v>
      </c>
      <c r="Q3522" s="3">
        <f ca="1">IF(Proc[[#This Row],[DateClosed]]="",ABS(NETWORKDAYS(Proc[[#This Row],[DateOpened]],TODAY()))-1,ABS(NETWORKDAYS(Proc[[#This Row],[DateOpened]],Proc[[#This Row],[DateClosed]]))-1)</f>
        <v>91</v>
      </c>
      <c r="R3522" s="115" t="s">
        <v>515</v>
      </c>
      <c r="S3522" s="129"/>
    </row>
    <row r="3523" spans="1:19" hidden="1">
      <c r="A3523" s="128" t="s">
        <v>5669</v>
      </c>
      <c r="B3523" s="149" t="str">
        <f>IFERROR(VLOOKUP(Proc[[#This Row],[App]],Table2[],3,0),"open")</f>
        <v>ok</v>
      </c>
      <c r="C3523" s="128" t="s">
        <v>369</v>
      </c>
      <c r="D3523" t="s">
        <v>5610</v>
      </c>
      <c r="E3523" t="s">
        <v>5668</v>
      </c>
      <c r="F3523" s="129" t="s">
        <v>5668</v>
      </c>
      <c r="G3523" s="128" t="s">
        <v>406</v>
      </c>
      <c r="H3523" s="129" t="str">
        <f>IF(Proc[[#This Row],[type]]="LFF (MDG-F)",MID(Proc[[#This Row],[Obj]],13,10),"")</f>
        <v>TW03GPO005</v>
      </c>
      <c r="J3523" s="129" t="b">
        <f>Proc[[#This Row],[Requested]]=Proc[[#This Row],[CurrentParent]]</f>
        <v>1</v>
      </c>
      <c r="K3523" s="144" t="str">
        <f>IF(Proc[[#This Row],[Author]]="Marcela Urrego",VLOOKUP(LEFT(Proc[[#This Row],[Requested]],1),Table3[#All],2,0),VLOOKUP(Proc[[#This Row],[Author]],Table4[],2,0))</f>
        <v>MGF</v>
      </c>
      <c r="L3523" s="129" t="s">
        <v>4894</v>
      </c>
      <c r="M3523" s="127">
        <v>45883</v>
      </c>
      <c r="N3523" s="127"/>
      <c r="O3523" s="127"/>
      <c r="P3523" s="115" t="str">
        <f ca="1">IF(Proc[[#This Row],[DaysAgeing]]&gt;5,"yep","on track")</f>
        <v>yep</v>
      </c>
      <c r="Q3523" s="3">
        <f ca="1">IF(Proc[[#This Row],[DateClosed]]="",ABS(NETWORKDAYS(Proc[[#This Row],[DateOpened]],TODAY()))-1,ABS(NETWORKDAYS(Proc[[#This Row],[DateOpened]],Proc[[#This Row],[DateClosed]]))-1)</f>
        <v>91</v>
      </c>
      <c r="R3523" s="115" t="s">
        <v>515</v>
      </c>
      <c r="S3523" s="129"/>
    </row>
    <row r="3524" spans="1:19" hidden="1">
      <c r="A3524" s="128" t="s">
        <v>5669</v>
      </c>
      <c r="B3524" s="149" t="str">
        <f>IFERROR(VLOOKUP(Proc[[#This Row],[App]],Table2[],3,0),"open")</f>
        <v>ok</v>
      </c>
      <c r="C3524" s="128" t="s">
        <v>369</v>
      </c>
      <c r="D3524" t="s">
        <v>5611</v>
      </c>
      <c r="E3524" t="s">
        <v>5668</v>
      </c>
      <c r="F3524" s="129" t="s">
        <v>5668</v>
      </c>
      <c r="G3524" s="128" t="s">
        <v>406</v>
      </c>
      <c r="H3524" s="129" t="str">
        <f>IF(Proc[[#This Row],[type]]="LFF (MDG-F)",MID(Proc[[#This Row],[Obj]],13,10),"")</f>
        <v>US01GPO004</v>
      </c>
      <c r="J3524" s="129" t="b">
        <f>Proc[[#This Row],[Requested]]=Proc[[#This Row],[CurrentParent]]</f>
        <v>1</v>
      </c>
      <c r="K3524" s="144" t="str">
        <f>IF(Proc[[#This Row],[Author]]="Marcela Urrego",VLOOKUP(LEFT(Proc[[#This Row],[Requested]],1),Table3[#All],2,0),VLOOKUP(Proc[[#This Row],[Author]],Table4[],2,0))</f>
        <v>MGF</v>
      </c>
      <c r="L3524" s="129" t="s">
        <v>4894</v>
      </c>
      <c r="M3524" s="127">
        <v>45883</v>
      </c>
      <c r="N3524" s="127"/>
      <c r="O3524" s="127"/>
      <c r="P3524" s="115" t="str">
        <f ca="1">IF(Proc[[#This Row],[DaysAgeing]]&gt;5,"yep","on track")</f>
        <v>yep</v>
      </c>
      <c r="Q3524" s="3">
        <f ca="1">IF(Proc[[#This Row],[DateClosed]]="",ABS(NETWORKDAYS(Proc[[#This Row],[DateOpened]],TODAY()))-1,ABS(NETWORKDAYS(Proc[[#This Row],[DateOpened]],Proc[[#This Row],[DateClosed]]))-1)</f>
        <v>91</v>
      </c>
      <c r="R3524" s="115" t="s">
        <v>515</v>
      </c>
      <c r="S3524" s="129"/>
    </row>
    <row r="3525" spans="1:19" hidden="1">
      <c r="A3525" s="128" t="s">
        <v>5669</v>
      </c>
      <c r="B3525" s="149" t="str">
        <f>IFERROR(VLOOKUP(Proc[[#This Row],[App]],Table2[],3,0),"open")</f>
        <v>ok</v>
      </c>
      <c r="C3525" s="128" t="s">
        <v>369</v>
      </c>
      <c r="D3525" t="s">
        <v>5612</v>
      </c>
      <c r="E3525" t="s">
        <v>5668</v>
      </c>
      <c r="F3525" s="129" t="s">
        <v>5668</v>
      </c>
      <c r="G3525" s="128" t="s">
        <v>406</v>
      </c>
      <c r="H3525" s="129" t="str">
        <f>IF(Proc[[#This Row],[type]]="LFF (MDG-F)",MID(Proc[[#This Row],[Obj]],13,10),"")</f>
        <v>US01GPO101</v>
      </c>
      <c r="J3525" s="129" t="b">
        <f>Proc[[#This Row],[Requested]]=Proc[[#This Row],[CurrentParent]]</f>
        <v>1</v>
      </c>
      <c r="K3525" s="144" t="str">
        <f>IF(Proc[[#This Row],[Author]]="Marcela Urrego",VLOOKUP(LEFT(Proc[[#This Row],[Requested]],1),Table3[#All],2,0),VLOOKUP(Proc[[#This Row],[Author]],Table4[],2,0))</f>
        <v>MGF</v>
      </c>
      <c r="L3525" s="129" t="s">
        <v>4894</v>
      </c>
      <c r="M3525" s="127">
        <v>45883</v>
      </c>
      <c r="N3525" s="127"/>
      <c r="O3525" s="127"/>
      <c r="P3525" s="115" t="str">
        <f ca="1">IF(Proc[[#This Row],[DaysAgeing]]&gt;5,"yep","on track")</f>
        <v>yep</v>
      </c>
      <c r="Q3525" s="3">
        <f ca="1">IF(Proc[[#This Row],[DateClosed]]="",ABS(NETWORKDAYS(Proc[[#This Row],[DateOpened]],TODAY()))-1,ABS(NETWORKDAYS(Proc[[#This Row],[DateOpened]],Proc[[#This Row],[DateClosed]]))-1)</f>
        <v>91</v>
      </c>
      <c r="R3525" s="115" t="s">
        <v>515</v>
      </c>
      <c r="S3525" s="129"/>
    </row>
    <row r="3526" spans="1:19" hidden="1">
      <c r="A3526" s="128" t="s">
        <v>5669</v>
      </c>
      <c r="B3526" s="149" t="str">
        <f>IFERROR(VLOOKUP(Proc[[#This Row],[App]],Table2[],3,0),"open")</f>
        <v>ok</v>
      </c>
      <c r="C3526" s="128" t="s">
        <v>369</v>
      </c>
      <c r="D3526" t="s">
        <v>5613</v>
      </c>
      <c r="E3526" t="s">
        <v>5668</v>
      </c>
      <c r="F3526" s="129" t="s">
        <v>5668</v>
      </c>
      <c r="G3526" s="128" t="s">
        <v>406</v>
      </c>
      <c r="H3526" s="129" t="str">
        <f>IF(Proc[[#This Row],[type]]="LFF (MDG-F)",MID(Proc[[#This Row],[Obj]],13,10),"")</f>
        <v>US01GPO401</v>
      </c>
      <c r="J3526" s="129" t="b">
        <f>Proc[[#This Row],[Requested]]=Proc[[#This Row],[CurrentParent]]</f>
        <v>1</v>
      </c>
      <c r="K3526" s="144" t="str">
        <f>IF(Proc[[#This Row],[Author]]="Marcela Urrego",VLOOKUP(LEFT(Proc[[#This Row],[Requested]],1),Table3[#All],2,0),VLOOKUP(Proc[[#This Row],[Author]],Table4[],2,0))</f>
        <v>MGF</v>
      </c>
      <c r="L3526" s="129" t="s">
        <v>4894</v>
      </c>
      <c r="M3526" s="127">
        <v>45883</v>
      </c>
      <c r="N3526" s="127"/>
      <c r="O3526" s="127"/>
      <c r="P3526" s="115" t="str">
        <f ca="1">IF(Proc[[#This Row],[DaysAgeing]]&gt;5,"yep","on track")</f>
        <v>yep</v>
      </c>
      <c r="Q3526" s="3">
        <f ca="1">IF(Proc[[#This Row],[DateClosed]]="",ABS(NETWORKDAYS(Proc[[#This Row],[DateOpened]],TODAY()))-1,ABS(NETWORKDAYS(Proc[[#This Row],[DateOpened]],Proc[[#This Row],[DateClosed]]))-1)</f>
        <v>91</v>
      </c>
      <c r="R3526" s="115" t="s">
        <v>515</v>
      </c>
      <c r="S3526" s="129"/>
    </row>
    <row r="3527" spans="1:19" hidden="1">
      <c r="A3527" s="128" t="s">
        <v>5669</v>
      </c>
      <c r="B3527" s="149" t="str">
        <f>IFERROR(VLOOKUP(Proc[[#This Row],[App]],Table2[],3,0),"open")</f>
        <v>ok</v>
      </c>
      <c r="C3527" s="128" t="s">
        <v>369</v>
      </c>
      <c r="D3527" t="s">
        <v>5614</v>
      </c>
      <c r="E3527" t="s">
        <v>5668</v>
      </c>
      <c r="F3527" s="129" t="s">
        <v>5668</v>
      </c>
      <c r="G3527" s="128" t="s">
        <v>406</v>
      </c>
      <c r="H3527" s="129" t="str">
        <f>IF(Proc[[#This Row],[type]]="LFF (MDG-F)",MID(Proc[[#This Row],[Obj]],13,10),"")</f>
        <v>VN50GPO005</v>
      </c>
      <c r="J3527" s="129" t="b">
        <f>Proc[[#This Row],[Requested]]=Proc[[#This Row],[CurrentParent]]</f>
        <v>1</v>
      </c>
      <c r="K3527" s="144" t="str">
        <f>IF(Proc[[#This Row],[Author]]="Marcela Urrego",VLOOKUP(LEFT(Proc[[#This Row],[Requested]],1),Table3[#All],2,0),VLOOKUP(Proc[[#This Row],[Author]],Table4[],2,0))</f>
        <v>MGF</v>
      </c>
      <c r="L3527" s="129" t="s">
        <v>4894</v>
      </c>
      <c r="M3527" s="127">
        <v>45883</v>
      </c>
      <c r="N3527" s="127"/>
      <c r="O3527" s="127"/>
      <c r="P3527" s="115" t="str">
        <f ca="1">IF(Proc[[#This Row],[DaysAgeing]]&gt;5,"yep","on track")</f>
        <v>yep</v>
      </c>
      <c r="Q3527" s="3">
        <f ca="1">IF(Proc[[#This Row],[DateClosed]]="",ABS(NETWORKDAYS(Proc[[#This Row],[DateOpened]],TODAY()))-1,ABS(NETWORKDAYS(Proc[[#This Row],[DateOpened]],Proc[[#This Row],[DateClosed]]))-1)</f>
        <v>91</v>
      </c>
      <c r="R3527" s="115" t="s">
        <v>515</v>
      </c>
      <c r="S3527" s="129"/>
    </row>
    <row r="3528" spans="1:19" hidden="1">
      <c r="A3528" s="128" t="s">
        <v>5669</v>
      </c>
      <c r="B3528" s="149" t="str">
        <f>IFERROR(VLOOKUP(Proc[[#This Row],[App]],Table2[],3,0),"open")</f>
        <v>ok</v>
      </c>
      <c r="C3528" s="128" t="s">
        <v>369</v>
      </c>
      <c r="D3528" t="s">
        <v>5615</v>
      </c>
      <c r="E3528" t="s">
        <v>5668</v>
      </c>
      <c r="F3528" s="129" t="s">
        <v>5668</v>
      </c>
      <c r="G3528" s="128" t="s">
        <v>406</v>
      </c>
      <c r="H3528" s="129" t="str">
        <f>IF(Proc[[#This Row],[type]]="LFF (MDG-F)",MID(Proc[[#This Row],[Obj]],13,10),"")</f>
        <v>ZA50GPO004</v>
      </c>
      <c r="J3528" s="129" t="b">
        <f>Proc[[#This Row],[Requested]]=Proc[[#This Row],[CurrentParent]]</f>
        <v>1</v>
      </c>
      <c r="K3528" s="144" t="str">
        <f>IF(Proc[[#This Row],[Author]]="Marcela Urrego",VLOOKUP(LEFT(Proc[[#This Row],[Requested]],1),Table3[#All],2,0),VLOOKUP(Proc[[#This Row],[Author]],Table4[],2,0))</f>
        <v>MGF</v>
      </c>
      <c r="L3528" s="129" t="s">
        <v>4894</v>
      </c>
      <c r="M3528" s="127">
        <v>45883</v>
      </c>
      <c r="N3528" s="127"/>
      <c r="O3528" s="127"/>
      <c r="P3528" s="115" t="str">
        <f ca="1">IF(Proc[[#This Row],[DaysAgeing]]&gt;5,"yep","on track")</f>
        <v>yep</v>
      </c>
      <c r="Q3528" s="3">
        <f ca="1">IF(Proc[[#This Row],[DateClosed]]="",ABS(NETWORKDAYS(Proc[[#This Row],[DateOpened]],TODAY()))-1,ABS(NETWORKDAYS(Proc[[#This Row],[DateOpened]],Proc[[#This Row],[DateClosed]]))-1)</f>
        <v>91</v>
      </c>
      <c r="R3528" s="115" t="s">
        <v>515</v>
      </c>
      <c r="S3528" s="129"/>
    </row>
    <row r="3529" spans="1:19" hidden="1">
      <c r="A3529" s="128" t="s">
        <v>5669</v>
      </c>
      <c r="B3529" s="149" t="str">
        <f>IFERROR(VLOOKUP(Proc[[#This Row],[App]],Table2[],3,0),"open")</f>
        <v>ok</v>
      </c>
      <c r="C3529" s="128" t="s">
        <v>369</v>
      </c>
      <c r="D3529" t="s">
        <v>5616</v>
      </c>
      <c r="E3529" t="s">
        <v>5668</v>
      </c>
      <c r="F3529" s="129" t="s">
        <v>5668</v>
      </c>
      <c r="G3529" s="128" t="s">
        <v>406</v>
      </c>
      <c r="H3529" s="129" t="str">
        <f>IF(Proc[[#This Row],[type]]="LFF (MDG-F)",MID(Proc[[#This Row],[Obj]],13,10),"")</f>
        <v>2031GPO004</v>
      </c>
      <c r="J3529" s="129" t="b">
        <f>Proc[[#This Row],[Requested]]=Proc[[#This Row],[CurrentParent]]</f>
        <v>1</v>
      </c>
      <c r="K3529" s="144" t="str">
        <f>IF(Proc[[#This Row],[Author]]="Marcela Urrego",VLOOKUP(LEFT(Proc[[#This Row],[Requested]],1),Table3[#All],2,0),VLOOKUP(Proc[[#This Row],[Author]],Table4[],2,0))</f>
        <v>MGF</v>
      </c>
      <c r="L3529" s="129" t="s">
        <v>4894</v>
      </c>
      <c r="M3529" s="127">
        <v>45883</v>
      </c>
      <c r="N3529" s="127"/>
      <c r="O3529" s="127"/>
      <c r="P3529" s="115" t="str">
        <f ca="1">IF(Proc[[#This Row],[DaysAgeing]]&gt;5,"yep","on track")</f>
        <v>yep</v>
      </c>
      <c r="Q3529" s="3">
        <f ca="1">IF(Proc[[#This Row],[DateClosed]]="",ABS(NETWORKDAYS(Proc[[#This Row],[DateOpened]],TODAY()))-1,ABS(NETWORKDAYS(Proc[[#This Row],[DateOpened]],Proc[[#This Row],[DateClosed]]))-1)</f>
        <v>91</v>
      </c>
      <c r="R3529" s="115" t="s">
        <v>515</v>
      </c>
      <c r="S3529" s="129"/>
    </row>
    <row r="3530" spans="1:19" hidden="1">
      <c r="A3530" s="128" t="s">
        <v>5669</v>
      </c>
      <c r="B3530" s="149" t="str">
        <f>IFERROR(VLOOKUP(Proc[[#This Row],[App]],Table2[],3,0),"open")</f>
        <v>ok</v>
      </c>
      <c r="C3530" s="128" t="s">
        <v>369</v>
      </c>
      <c r="D3530" t="s">
        <v>5617</v>
      </c>
      <c r="E3530" t="s">
        <v>5668</v>
      </c>
      <c r="F3530" s="129" t="s">
        <v>5668</v>
      </c>
      <c r="G3530" s="128" t="s">
        <v>406</v>
      </c>
      <c r="H3530" s="129" t="str">
        <f>IF(Proc[[#This Row],[type]]="LFF (MDG-F)",MID(Proc[[#This Row],[Obj]],13,10),"")</f>
        <v>2057GPO008</v>
      </c>
      <c r="J3530" s="129" t="b">
        <f>Proc[[#This Row],[Requested]]=Proc[[#This Row],[CurrentParent]]</f>
        <v>1</v>
      </c>
      <c r="K3530" s="144" t="str">
        <f>IF(Proc[[#This Row],[Author]]="Marcela Urrego",VLOOKUP(LEFT(Proc[[#This Row],[Requested]],1),Table3[#All],2,0),VLOOKUP(Proc[[#This Row],[Author]],Table4[],2,0))</f>
        <v>MGF</v>
      </c>
      <c r="L3530" s="129" t="s">
        <v>4894</v>
      </c>
      <c r="M3530" s="127">
        <v>45883</v>
      </c>
      <c r="N3530" s="127"/>
      <c r="O3530" s="127"/>
      <c r="P3530" s="115" t="str">
        <f ca="1">IF(Proc[[#This Row],[DaysAgeing]]&gt;5,"yep","on track")</f>
        <v>yep</v>
      </c>
      <c r="Q3530" s="3">
        <f ca="1">IF(Proc[[#This Row],[DateClosed]]="",ABS(NETWORKDAYS(Proc[[#This Row],[DateOpened]],TODAY()))-1,ABS(NETWORKDAYS(Proc[[#This Row],[DateOpened]],Proc[[#This Row],[DateClosed]]))-1)</f>
        <v>91</v>
      </c>
      <c r="R3530" s="115" t="s">
        <v>515</v>
      </c>
      <c r="S3530" s="129"/>
    </row>
    <row r="3531" spans="1:19" hidden="1">
      <c r="A3531" s="128" t="s">
        <v>5669</v>
      </c>
      <c r="B3531" s="149" t="str">
        <f>IFERROR(VLOOKUP(Proc[[#This Row],[App]],Table2[],3,0),"open")</f>
        <v>ok</v>
      </c>
      <c r="C3531" s="128" t="s">
        <v>369</v>
      </c>
      <c r="D3531" t="s">
        <v>5618</v>
      </c>
      <c r="E3531" t="s">
        <v>5668</v>
      </c>
      <c r="F3531" s="129" t="s">
        <v>5668</v>
      </c>
      <c r="G3531" s="128" t="s">
        <v>406</v>
      </c>
      <c r="H3531" s="129" t="str">
        <f>IF(Proc[[#This Row],[type]]="LFF (MDG-F)",MID(Proc[[#This Row],[Obj]],13,10),"")</f>
        <v>2102GPO003</v>
      </c>
      <c r="J3531" s="129" t="b">
        <f>Proc[[#This Row],[Requested]]=Proc[[#This Row],[CurrentParent]]</f>
        <v>1</v>
      </c>
      <c r="K3531" s="144" t="str">
        <f>IF(Proc[[#This Row],[Author]]="Marcela Urrego",VLOOKUP(LEFT(Proc[[#This Row],[Requested]],1),Table3[#All],2,0),VLOOKUP(Proc[[#This Row],[Author]],Table4[],2,0))</f>
        <v>MGF</v>
      </c>
      <c r="L3531" s="129" t="s">
        <v>4894</v>
      </c>
      <c r="M3531" s="127">
        <v>45883</v>
      </c>
      <c r="N3531" s="127"/>
      <c r="O3531" s="127"/>
      <c r="P3531" s="115" t="str">
        <f ca="1">IF(Proc[[#This Row],[DaysAgeing]]&gt;5,"yep","on track")</f>
        <v>yep</v>
      </c>
      <c r="Q3531" s="3">
        <f ca="1">IF(Proc[[#This Row],[DateClosed]]="",ABS(NETWORKDAYS(Proc[[#This Row],[DateOpened]],TODAY()))-1,ABS(NETWORKDAYS(Proc[[#This Row],[DateOpened]],Proc[[#This Row],[DateClosed]]))-1)</f>
        <v>91</v>
      </c>
      <c r="R3531" s="115" t="s">
        <v>515</v>
      </c>
      <c r="S3531" s="129"/>
    </row>
    <row r="3532" spans="1:19" hidden="1">
      <c r="A3532" s="128" t="s">
        <v>5669</v>
      </c>
      <c r="B3532" s="149" t="str">
        <f>IFERROR(VLOOKUP(Proc[[#This Row],[App]],Table2[],3,0),"open")</f>
        <v>ok</v>
      </c>
      <c r="C3532" s="128" t="s">
        <v>369</v>
      </c>
      <c r="D3532" t="s">
        <v>5619</v>
      </c>
      <c r="E3532" t="s">
        <v>5668</v>
      </c>
      <c r="F3532" s="129" t="s">
        <v>5668</v>
      </c>
      <c r="G3532" s="128" t="s">
        <v>406</v>
      </c>
      <c r="H3532" s="129" t="str">
        <f>IF(Proc[[#This Row],[type]]="LFF (MDG-F)",MID(Proc[[#This Row],[Obj]],13,10),"")</f>
        <v>2123GPO001</v>
      </c>
      <c r="J3532" s="129" t="b">
        <f>Proc[[#This Row],[Requested]]=Proc[[#This Row],[CurrentParent]]</f>
        <v>1</v>
      </c>
      <c r="K3532" s="144" t="str">
        <f>IF(Proc[[#This Row],[Author]]="Marcela Urrego",VLOOKUP(LEFT(Proc[[#This Row],[Requested]],1),Table3[#All],2,0),VLOOKUP(Proc[[#This Row],[Author]],Table4[],2,0))</f>
        <v>MGF</v>
      </c>
      <c r="L3532" s="129" t="s">
        <v>4894</v>
      </c>
      <c r="M3532" s="127">
        <v>45883</v>
      </c>
      <c r="N3532" s="127"/>
      <c r="O3532" s="127"/>
      <c r="P3532" s="115" t="str">
        <f ca="1">IF(Proc[[#This Row],[DaysAgeing]]&gt;5,"yep","on track")</f>
        <v>yep</v>
      </c>
      <c r="Q3532" s="3">
        <f ca="1">IF(Proc[[#This Row],[DateClosed]]="",ABS(NETWORKDAYS(Proc[[#This Row],[DateOpened]],TODAY()))-1,ABS(NETWORKDAYS(Proc[[#This Row],[DateOpened]],Proc[[#This Row],[DateClosed]]))-1)</f>
        <v>91</v>
      </c>
      <c r="R3532" s="115" t="s">
        <v>515</v>
      </c>
      <c r="S3532" s="129"/>
    </row>
    <row r="3533" spans="1:19" hidden="1">
      <c r="A3533" s="128" t="s">
        <v>5669</v>
      </c>
      <c r="B3533" s="149" t="str">
        <f>IFERROR(VLOOKUP(Proc[[#This Row],[App]],Table2[],3,0),"open")</f>
        <v>ok</v>
      </c>
      <c r="C3533" s="128" t="s">
        <v>369</v>
      </c>
      <c r="D3533" t="s">
        <v>5620</v>
      </c>
      <c r="E3533" t="s">
        <v>5668</v>
      </c>
      <c r="F3533" s="129" t="s">
        <v>5668</v>
      </c>
      <c r="G3533" s="128" t="s">
        <v>406</v>
      </c>
      <c r="H3533" s="129" t="str">
        <f>IF(Proc[[#This Row],[type]]="LFF (MDG-F)",MID(Proc[[#This Row],[Obj]],13,10),"")</f>
        <v>2128L40014</v>
      </c>
      <c r="J3533" s="129" t="b">
        <f>Proc[[#This Row],[Requested]]=Proc[[#This Row],[CurrentParent]]</f>
        <v>1</v>
      </c>
      <c r="K3533" s="144" t="str">
        <f>IF(Proc[[#This Row],[Author]]="Marcela Urrego",VLOOKUP(LEFT(Proc[[#This Row],[Requested]],1),Table3[#All],2,0),VLOOKUP(Proc[[#This Row],[Author]],Table4[],2,0))</f>
        <v>MGF</v>
      </c>
      <c r="L3533" s="129" t="s">
        <v>4894</v>
      </c>
      <c r="M3533" s="127">
        <v>45883</v>
      </c>
      <c r="N3533" s="127"/>
      <c r="O3533" s="127"/>
      <c r="P3533" s="115" t="str">
        <f ca="1">IF(Proc[[#This Row],[DaysAgeing]]&gt;5,"yep","on track")</f>
        <v>yep</v>
      </c>
      <c r="Q3533" s="3">
        <f ca="1">IF(Proc[[#This Row],[DateClosed]]="",ABS(NETWORKDAYS(Proc[[#This Row],[DateOpened]],TODAY()))-1,ABS(NETWORKDAYS(Proc[[#This Row],[DateOpened]],Proc[[#This Row],[DateClosed]]))-1)</f>
        <v>91</v>
      </c>
      <c r="R3533" s="115" t="s">
        <v>515</v>
      </c>
      <c r="S3533" s="129"/>
    </row>
    <row r="3534" spans="1:19" hidden="1">
      <c r="A3534" s="128" t="s">
        <v>5669</v>
      </c>
      <c r="B3534" s="149" t="str">
        <f>IFERROR(VLOOKUP(Proc[[#This Row],[App]],Table2[],3,0),"open")</f>
        <v>ok</v>
      </c>
      <c r="C3534" s="128" t="s">
        <v>369</v>
      </c>
      <c r="D3534" t="s">
        <v>5621</v>
      </c>
      <c r="E3534" t="s">
        <v>5668</v>
      </c>
      <c r="F3534" s="129" t="s">
        <v>5668</v>
      </c>
      <c r="G3534" s="128" t="s">
        <v>406</v>
      </c>
      <c r="H3534" s="129" t="str">
        <f>IF(Proc[[#This Row],[type]]="LFF (MDG-F)",MID(Proc[[#This Row],[Obj]],13,10),"")</f>
        <v>2131GPO821</v>
      </c>
      <c r="J3534" s="129" t="b">
        <f>Proc[[#This Row],[Requested]]=Proc[[#This Row],[CurrentParent]]</f>
        <v>1</v>
      </c>
      <c r="K3534" s="144" t="str">
        <f>IF(Proc[[#This Row],[Author]]="Marcela Urrego",VLOOKUP(LEFT(Proc[[#This Row],[Requested]],1),Table3[#All],2,0),VLOOKUP(Proc[[#This Row],[Author]],Table4[],2,0))</f>
        <v>MGF</v>
      </c>
      <c r="L3534" s="129" t="s">
        <v>4894</v>
      </c>
      <c r="M3534" s="127">
        <v>45883</v>
      </c>
      <c r="N3534" s="127"/>
      <c r="O3534" s="127"/>
      <c r="P3534" s="115" t="str">
        <f ca="1">IF(Proc[[#This Row],[DaysAgeing]]&gt;5,"yep","on track")</f>
        <v>yep</v>
      </c>
      <c r="Q3534" s="3">
        <f ca="1">IF(Proc[[#This Row],[DateClosed]]="",ABS(NETWORKDAYS(Proc[[#This Row],[DateOpened]],TODAY()))-1,ABS(NETWORKDAYS(Proc[[#This Row],[DateOpened]],Proc[[#This Row],[DateClosed]]))-1)</f>
        <v>91</v>
      </c>
      <c r="R3534" s="115" t="s">
        <v>515</v>
      </c>
      <c r="S3534" s="129"/>
    </row>
    <row r="3535" spans="1:19" hidden="1">
      <c r="A3535" s="128" t="s">
        <v>5669</v>
      </c>
      <c r="B3535" s="149" t="str">
        <f>IFERROR(VLOOKUP(Proc[[#This Row],[App]],Table2[],3,0),"open")</f>
        <v>ok</v>
      </c>
      <c r="C3535" s="128" t="s">
        <v>369</v>
      </c>
      <c r="D3535" t="s">
        <v>5622</v>
      </c>
      <c r="E3535" t="s">
        <v>5668</v>
      </c>
      <c r="F3535" s="129" t="s">
        <v>5668</v>
      </c>
      <c r="G3535" s="128" t="s">
        <v>406</v>
      </c>
      <c r="H3535" s="129" t="str">
        <f>IF(Proc[[#This Row],[type]]="LFF (MDG-F)",MID(Proc[[#This Row],[Obj]],13,10),"")</f>
        <v>KR03GPO001</v>
      </c>
      <c r="J3535" s="129" t="b">
        <f>Proc[[#This Row],[Requested]]=Proc[[#This Row],[CurrentParent]]</f>
        <v>1</v>
      </c>
      <c r="K3535" s="144" t="str">
        <f>IF(Proc[[#This Row],[Author]]="Marcela Urrego",VLOOKUP(LEFT(Proc[[#This Row],[Requested]],1),Table3[#All],2,0),VLOOKUP(Proc[[#This Row],[Author]],Table4[],2,0))</f>
        <v>MGF</v>
      </c>
      <c r="L3535" s="129" t="s">
        <v>4894</v>
      </c>
      <c r="M3535" s="127">
        <v>45883</v>
      </c>
      <c r="N3535" s="127"/>
      <c r="O3535" s="127"/>
      <c r="P3535" s="115" t="str">
        <f ca="1">IF(Proc[[#This Row],[DaysAgeing]]&gt;5,"yep","on track")</f>
        <v>yep</v>
      </c>
      <c r="Q3535" s="3">
        <f ca="1">IF(Proc[[#This Row],[DateClosed]]="",ABS(NETWORKDAYS(Proc[[#This Row],[DateOpened]],TODAY()))-1,ABS(NETWORKDAYS(Proc[[#This Row],[DateOpened]],Proc[[#This Row],[DateClosed]]))-1)</f>
        <v>91</v>
      </c>
      <c r="R3535" s="115" t="s">
        <v>515</v>
      </c>
      <c r="S3535" s="129"/>
    </row>
    <row r="3536" spans="1:19" hidden="1">
      <c r="A3536" s="128" t="s">
        <v>5669</v>
      </c>
      <c r="B3536" s="149" t="str">
        <f>IFERROR(VLOOKUP(Proc[[#This Row],[App]],Table2[],3,0),"open")</f>
        <v>ok</v>
      </c>
      <c r="C3536" s="128" t="s">
        <v>369</v>
      </c>
      <c r="D3536" t="s">
        <v>5735</v>
      </c>
      <c r="E3536" t="s">
        <v>5668</v>
      </c>
      <c r="F3536" s="133" t="s">
        <v>5668</v>
      </c>
      <c r="G3536" s="128" t="s">
        <v>406</v>
      </c>
      <c r="H3536" s="129" t="str">
        <f>IF(Proc[[#This Row],[type]]="LFF (MDG-F)",MID(Proc[[#This Row],[Obj]],13,10),"")</f>
        <v>TW91GPO013</v>
      </c>
      <c r="J3536" s="129" t="b">
        <f>Proc[[#This Row],[Requested]]=Proc[[#This Row],[CurrentParent]]</f>
        <v>1</v>
      </c>
      <c r="K3536" s="144" t="str">
        <f>IF(Proc[[#This Row],[Author]]="Marcela Urrego",VLOOKUP(LEFT(Proc[[#This Row],[Requested]],1),Table3[#All],2,0),VLOOKUP(Proc[[#This Row],[Author]],Table4[],2,0))</f>
        <v>MGF</v>
      </c>
      <c r="L3536" s="129" t="s">
        <v>4894</v>
      </c>
      <c r="M3536" s="127">
        <v>45883</v>
      </c>
      <c r="N3536" s="127"/>
      <c r="O3536" s="127"/>
      <c r="P3536" s="115" t="str">
        <f ca="1">IF(Proc[[#This Row],[DaysAgeing]]&gt;5,"yep","on track")</f>
        <v>yep</v>
      </c>
      <c r="Q3536" s="3">
        <f ca="1">IF(Proc[[#This Row],[DateClosed]]="",ABS(NETWORKDAYS(Proc[[#This Row],[DateOpened]],TODAY()))-1,ABS(NETWORKDAYS(Proc[[#This Row],[DateOpened]],Proc[[#This Row],[DateClosed]]))-1)</f>
        <v>91</v>
      </c>
      <c r="R3536" s="115" t="s">
        <v>515</v>
      </c>
      <c r="S3536" s="129"/>
    </row>
    <row r="3537" spans="1:19" hidden="1">
      <c r="A3537" s="128" t="s">
        <v>5669</v>
      </c>
      <c r="B3537" s="149" t="str">
        <f>IFERROR(VLOOKUP(Proc[[#This Row],[App]],Table2[],3,0),"open")</f>
        <v>ok</v>
      </c>
      <c r="C3537" s="133" t="s">
        <v>369</v>
      </c>
      <c r="D3537" t="s">
        <v>5623</v>
      </c>
      <c r="E3537" t="s">
        <v>5668</v>
      </c>
      <c r="F3537" s="129" t="s">
        <v>5668</v>
      </c>
      <c r="G3537" s="128" t="s">
        <v>406</v>
      </c>
      <c r="H3537" s="129" t="str">
        <f>IF(Proc[[#This Row],[type]]="LFF (MDG-F)",MID(Proc[[#This Row],[Obj]],13,10),"")</f>
        <v>US10GPO022</v>
      </c>
      <c r="J3537" s="129" t="b">
        <f>Proc[[#This Row],[Requested]]=Proc[[#This Row],[CurrentParent]]</f>
        <v>1</v>
      </c>
      <c r="K3537" s="144" t="str">
        <f>IF(Proc[[#This Row],[Author]]="Marcela Urrego",VLOOKUP(LEFT(Proc[[#This Row],[Requested]],1),Table3[#All],2,0),VLOOKUP(Proc[[#This Row],[Author]],Table4[],2,0))</f>
        <v>MGF</v>
      </c>
      <c r="L3537" s="129" t="s">
        <v>4894</v>
      </c>
      <c r="M3537" s="127">
        <v>45883</v>
      </c>
      <c r="N3537" s="127"/>
      <c r="O3537" s="127"/>
      <c r="P3537" s="115" t="str">
        <f ca="1">IF(Proc[[#This Row],[DaysAgeing]]&gt;5,"yep","on track")</f>
        <v>yep</v>
      </c>
      <c r="Q3537" s="3">
        <f ca="1">IF(Proc[[#This Row],[DateClosed]]="",ABS(NETWORKDAYS(Proc[[#This Row],[DateOpened]],TODAY()))-1,ABS(NETWORKDAYS(Proc[[#This Row],[DateOpened]],Proc[[#This Row],[DateClosed]]))-1)</f>
        <v>91</v>
      </c>
      <c r="R3537" s="115" t="s">
        <v>515</v>
      </c>
      <c r="S3537" s="129"/>
    </row>
    <row r="3538" spans="1:19" hidden="1">
      <c r="A3538" s="128" t="s">
        <v>5669</v>
      </c>
      <c r="B3538" s="149" t="str">
        <f>IFERROR(VLOOKUP(Proc[[#This Row],[App]],Table2[],3,0),"open")</f>
        <v>ok</v>
      </c>
      <c r="C3538" s="133" t="s">
        <v>369</v>
      </c>
      <c r="D3538" t="s">
        <v>5624</v>
      </c>
      <c r="E3538" t="s">
        <v>5668</v>
      </c>
      <c r="F3538" s="129" t="s">
        <v>5668</v>
      </c>
      <c r="G3538" s="128" t="s">
        <v>406</v>
      </c>
      <c r="H3538" s="129" t="str">
        <f>IF(Proc[[#This Row],[type]]="LFF (MDG-F)",MID(Proc[[#This Row],[Obj]],13,10),"")</f>
        <v>US10GPO024</v>
      </c>
      <c r="J3538" s="129" t="b">
        <f>Proc[[#This Row],[Requested]]=Proc[[#This Row],[CurrentParent]]</f>
        <v>1</v>
      </c>
      <c r="K3538" s="144" t="str">
        <f>IF(Proc[[#This Row],[Author]]="Marcela Urrego",VLOOKUP(LEFT(Proc[[#This Row],[Requested]],1),Table3[#All],2,0),VLOOKUP(Proc[[#This Row],[Author]],Table4[],2,0))</f>
        <v>MGF</v>
      </c>
      <c r="L3538" s="129" t="s">
        <v>4894</v>
      </c>
      <c r="M3538" s="127">
        <v>45883</v>
      </c>
      <c r="N3538" s="127"/>
      <c r="O3538" s="127"/>
      <c r="P3538" s="115" t="str">
        <f ca="1">IF(Proc[[#This Row],[DaysAgeing]]&gt;5,"yep","on track")</f>
        <v>yep</v>
      </c>
      <c r="Q3538" s="3">
        <f ca="1">IF(Proc[[#This Row],[DateClosed]]="",ABS(NETWORKDAYS(Proc[[#This Row],[DateOpened]],TODAY()))-1,ABS(NETWORKDAYS(Proc[[#This Row],[DateOpened]],Proc[[#This Row],[DateClosed]]))-1)</f>
        <v>91</v>
      </c>
      <c r="R3538" s="115" t="s">
        <v>515</v>
      </c>
      <c r="S3538" s="129"/>
    </row>
    <row r="3539" spans="1:19" hidden="1">
      <c r="A3539" s="128" t="s">
        <v>5669</v>
      </c>
      <c r="B3539" s="149" t="str">
        <f>IFERROR(VLOOKUP(Proc[[#This Row],[App]],Table2[],3,0),"open")</f>
        <v>ok</v>
      </c>
      <c r="C3539" s="128" t="s">
        <v>369</v>
      </c>
      <c r="D3539" t="s">
        <v>5625</v>
      </c>
      <c r="E3539" t="s">
        <v>5668</v>
      </c>
      <c r="F3539" s="129" t="s">
        <v>5668</v>
      </c>
      <c r="G3539" s="128" t="s">
        <v>400</v>
      </c>
      <c r="H3539" s="129" t="str">
        <f>IF(Proc[[#This Row],[type]]="LFF (MDG-F)",MID(Proc[[#This Row],[Obj]],13,10),"")</f>
        <v/>
      </c>
      <c r="J3539" s="129" t="b">
        <f>Proc[[#This Row],[Requested]]=Proc[[#This Row],[CurrentParent]]</f>
        <v>1</v>
      </c>
      <c r="K3539" s="144" t="str">
        <f>IF(Proc[[#This Row],[Author]]="Marcela Urrego",VLOOKUP(LEFT(Proc[[#This Row],[Requested]],1),Table3[#All],2,0),VLOOKUP(Proc[[#This Row],[Author]],Table4[],2,0))</f>
        <v>MGF</v>
      </c>
      <c r="L3539" s="129" t="s">
        <v>4894</v>
      </c>
      <c r="M3539" s="127">
        <v>45883</v>
      </c>
      <c r="N3539" s="127"/>
      <c r="O3539" s="127"/>
      <c r="P3539" s="115" t="str">
        <f ca="1">IF(Proc[[#This Row],[DaysAgeing]]&gt;5,"yep","on track")</f>
        <v>yep</v>
      </c>
      <c r="Q3539" s="3">
        <f ca="1">IF(Proc[[#This Row],[DateClosed]]="",ABS(NETWORKDAYS(Proc[[#This Row],[DateOpened]],TODAY()))-1,ABS(NETWORKDAYS(Proc[[#This Row],[DateOpened]],Proc[[#This Row],[DateClosed]]))-1)</f>
        <v>91</v>
      </c>
      <c r="R3539" s="115" t="s">
        <v>515</v>
      </c>
      <c r="S3539" s="129"/>
    </row>
    <row r="3540" spans="1:19" hidden="1">
      <c r="A3540" s="128" t="s">
        <v>5669</v>
      </c>
      <c r="B3540" s="149" t="str">
        <f>IFERROR(VLOOKUP(Proc[[#This Row],[App]],Table2[],3,0),"open")</f>
        <v>ok</v>
      </c>
      <c r="C3540" s="128" t="s">
        <v>369</v>
      </c>
      <c r="D3540" t="s">
        <v>5626</v>
      </c>
      <c r="E3540" t="s">
        <v>5668</v>
      </c>
      <c r="F3540" s="129" t="s">
        <v>5668</v>
      </c>
      <c r="G3540" s="128" t="s">
        <v>400</v>
      </c>
      <c r="H3540" s="129" t="str">
        <f>IF(Proc[[#This Row],[type]]="LFF (MDG-F)",MID(Proc[[#This Row],[Obj]],13,10),"")</f>
        <v/>
      </c>
      <c r="J3540" s="129" t="b">
        <f>Proc[[#This Row],[Requested]]=Proc[[#This Row],[CurrentParent]]</f>
        <v>1</v>
      </c>
      <c r="K3540" s="144" t="str">
        <f>IF(Proc[[#This Row],[Author]]="Marcela Urrego",VLOOKUP(LEFT(Proc[[#This Row],[Requested]],1),Table3[#All],2,0),VLOOKUP(Proc[[#This Row],[Author]],Table4[],2,0))</f>
        <v>MGF</v>
      </c>
      <c r="L3540" s="129" t="s">
        <v>4894</v>
      </c>
      <c r="M3540" s="127">
        <v>45883</v>
      </c>
      <c r="N3540" s="127"/>
      <c r="O3540" s="127"/>
      <c r="P3540" s="115" t="str">
        <f ca="1">IF(Proc[[#This Row],[DaysAgeing]]&gt;5,"yep","on track")</f>
        <v>yep</v>
      </c>
      <c r="Q3540" s="3">
        <f ca="1">IF(Proc[[#This Row],[DateClosed]]="",ABS(NETWORKDAYS(Proc[[#This Row],[DateOpened]],TODAY()))-1,ABS(NETWORKDAYS(Proc[[#This Row],[DateOpened]],Proc[[#This Row],[DateClosed]]))-1)</f>
        <v>91</v>
      </c>
      <c r="R3540" s="115" t="s">
        <v>515</v>
      </c>
      <c r="S3540" s="129"/>
    </row>
    <row r="3541" spans="1:19" hidden="1">
      <c r="A3541" s="128" t="s">
        <v>5669</v>
      </c>
      <c r="B3541" s="149" t="str">
        <f>IFERROR(VLOOKUP(Proc[[#This Row],[App]],Table2[],3,0),"open")</f>
        <v>ok</v>
      </c>
      <c r="C3541" s="128" t="s">
        <v>369</v>
      </c>
      <c r="D3541" t="s">
        <v>5627</v>
      </c>
      <c r="E3541" t="s">
        <v>5668</v>
      </c>
      <c r="F3541" s="129" t="s">
        <v>5668</v>
      </c>
      <c r="G3541" s="128" t="s">
        <v>400</v>
      </c>
      <c r="H3541" s="129" t="str">
        <f>IF(Proc[[#This Row],[type]]="LFF (MDG-F)",MID(Proc[[#This Row],[Obj]],13,10),"")</f>
        <v/>
      </c>
      <c r="J3541" s="129" t="b">
        <f>Proc[[#This Row],[Requested]]=Proc[[#This Row],[CurrentParent]]</f>
        <v>1</v>
      </c>
      <c r="K3541" s="144" t="str">
        <f>IF(Proc[[#This Row],[Author]]="Marcela Urrego",VLOOKUP(LEFT(Proc[[#This Row],[Requested]],1),Table3[#All],2,0),VLOOKUP(Proc[[#This Row],[Author]],Table4[],2,0))</f>
        <v>MGF</v>
      </c>
      <c r="L3541" s="129" t="s">
        <v>4894</v>
      </c>
      <c r="M3541" s="127">
        <v>45883</v>
      </c>
      <c r="N3541" s="127"/>
      <c r="O3541" s="127"/>
      <c r="P3541" s="115" t="str">
        <f ca="1">IF(Proc[[#This Row],[DaysAgeing]]&gt;5,"yep","on track")</f>
        <v>yep</v>
      </c>
      <c r="Q3541" s="3">
        <f ca="1">IF(Proc[[#This Row],[DateClosed]]="",ABS(NETWORKDAYS(Proc[[#This Row],[DateOpened]],TODAY()))-1,ABS(NETWORKDAYS(Proc[[#This Row],[DateOpened]],Proc[[#This Row],[DateClosed]]))-1)</f>
        <v>91</v>
      </c>
      <c r="R3541" s="115" t="s">
        <v>515</v>
      </c>
      <c r="S3541" s="129"/>
    </row>
    <row r="3542" spans="1:19" hidden="1">
      <c r="A3542" s="128" t="s">
        <v>5669</v>
      </c>
      <c r="B3542" s="149" t="str">
        <f>IFERROR(VLOOKUP(Proc[[#This Row],[App]],Table2[],3,0),"open")</f>
        <v>ok</v>
      </c>
      <c r="C3542" s="128" t="s">
        <v>369</v>
      </c>
      <c r="D3542" t="s">
        <v>5628</v>
      </c>
      <c r="E3542" t="s">
        <v>5668</v>
      </c>
      <c r="F3542" s="129" t="s">
        <v>5668</v>
      </c>
      <c r="G3542" s="128" t="s">
        <v>400</v>
      </c>
      <c r="H3542" s="129" t="str">
        <f>IF(Proc[[#This Row],[type]]="LFF (MDG-F)",MID(Proc[[#This Row],[Obj]],13,10),"")</f>
        <v/>
      </c>
      <c r="J3542" s="129" t="b">
        <f>Proc[[#This Row],[Requested]]=Proc[[#This Row],[CurrentParent]]</f>
        <v>1</v>
      </c>
      <c r="K3542" s="144" t="str">
        <f>IF(Proc[[#This Row],[Author]]="Marcela Urrego",VLOOKUP(LEFT(Proc[[#This Row],[Requested]],1),Table3[#All],2,0),VLOOKUP(Proc[[#This Row],[Author]],Table4[],2,0))</f>
        <v>MGF</v>
      </c>
      <c r="L3542" s="129" t="s">
        <v>4894</v>
      </c>
      <c r="M3542" s="127">
        <v>45883</v>
      </c>
      <c r="N3542" s="127"/>
      <c r="O3542" s="127"/>
      <c r="P3542" s="115" t="str">
        <f ca="1">IF(Proc[[#This Row],[DaysAgeing]]&gt;5,"yep","on track")</f>
        <v>yep</v>
      </c>
      <c r="Q3542" s="3">
        <f ca="1">IF(Proc[[#This Row],[DateClosed]]="",ABS(NETWORKDAYS(Proc[[#This Row],[DateOpened]],TODAY()))-1,ABS(NETWORKDAYS(Proc[[#This Row],[DateOpened]],Proc[[#This Row],[DateClosed]]))-1)</f>
        <v>91</v>
      </c>
      <c r="R3542" s="115" t="s">
        <v>515</v>
      </c>
      <c r="S3542" s="129"/>
    </row>
    <row r="3543" spans="1:19" hidden="1">
      <c r="A3543" s="128" t="s">
        <v>5669</v>
      </c>
      <c r="B3543" s="149" t="str">
        <f>IFERROR(VLOOKUP(Proc[[#This Row],[App]],Table2[],3,0),"open")</f>
        <v>ok</v>
      </c>
      <c r="C3543" s="128" t="s">
        <v>369</v>
      </c>
      <c r="D3543" t="s">
        <v>5629</v>
      </c>
      <c r="E3543" t="s">
        <v>5668</v>
      </c>
      <c r="F3543" s="129" t="s">
        <v>5668</v>
      </c>
      <c r="G3543" s="128" t="s">
        <v>400</v>
      </c>
      <c r="H3543" s="129" t="str">
        <f>IF(Proc[[#This Row],[type]]="LFF (MDG-F)",MID(Proc[[#This Row],[Obj]],13,10),"")</f>
        <v/>
      </c>
      <c r="J3543" s="129" t="b">
        <f>Proc[[#This Row],[Requested]]=Proc[[#This Row],[CurrentParent]]</f>
        <v>1</v>
      </c>
      <c r="K3543" s="144" t="str">
        <f>IF(Proc[[#This Row],[Author]]="Marcela Urrego",VLOOKUP(LEFT(Proc[[#This Row],[Requested]],1),Table3[#All],2,0),VLOOKUP(Proc[[#This Row],[Author]],Table4[],2,0))</f>
        <v>MGF</v>
      </c>
      <c r="L3543" s="129" t="s">
        <v>4894</v>
      </c>
      <c r="M3543" s="127">
        <v>45883</v>
      </c>
      <c r="N3543" s="127"/>
      <c r="O3543" s="127"/>
      <c r="P3543" s="115" t="str">
        <f ca="1">IF(Proc[[#This Row],[DaysAgeing]]&gt;5,"yep","on track")</f>
        <v>yep</v>
      </c>
      <c r="Q3543" s="3">
        <f ca="1">IF(Proc[[#This Row],[DateClosed]]="",ABS(NETWORKDAYS(Proc[[#This Row],[DateOpened]],TODAY()))-1,ABS(NETWORKDAYS(Proc[[#This Row],[DateOpened]],Proc[[#This Row],[DateClosed]]))-1)</f>
        <v>91</v>
      </c>
      <c r="R3543" s="115" t="s">
        <v>515</v>
      </c>
      <c r="S3543" s="129"/>
    </row>
    <row r="3544" spans="1:19" hidden="1">
      <c r="A3544" s="128" t="s">
        <v>5669</v>
      </c>
      <c r="B3544" s="149" t="str">
        <f>IFERROR(VLOOKUP(Proc[[#This Row],[App]],Table2[],3,0),"open")</f>
        <v>ok</v>
      </c>
      <c r="C3544" s="128" t="s">
        <v>369</v>
      </c>
      <c r="D3544" t="s">
        <v>5630</v>
      </c>
      <c r="E3544" t="s">
        <v>5668</v>
      </c>
      <c r="F3544" s="129" t="s">
        <v>5668</v>
      </c>
      <c r="G3544" s="128" t="s">
        <v>400</v>
      </c>
      <c r="H3544" s="129" t="str">
        <f>IF(Proc[[#This Row],[type]]="LFF (MDG-F)",MID(Proc[[#This Row],[Obj]],13,10),"")</f>
        <v/>
      </c>
      <c r="J3544" s="129" t="b">
        <f>Proc[[#This Row],[Requested]]=Proc[[#This Row],[CurrentParent]]</f>
        <v>1</v>
      </c>
      <c r="K3544" s="144" t="str">
        <f>IF(Proc[[#This Row],[Author]]="Marcela Urrego",VLOOKUP(LEFT(Proc[[#This Row],[Requested]],1),Table3[#All],2,0),VLOOKUP(Proc[[#This Row],[Author]],Table4[],2,0))</f>
        <v>MGF</v>
      </c>
      <c r="L3544" s="129" t="s">
        <v>4894</v>
      </c>
      <c r="M3544" s="127">
        <v>45883</v>
      </c>
      <c r="N3544" s="127"/>
      <c r="O3544" s="127"/>
      <c r="P3544" s="115" t="str">
        <f ca="1">IF(Proc[[#This Row],[DaysAgeing]]&gt;5,"yep","on track")</f>
        <v>yep</v>
      </c>
      <c r="Q3544" s="3">
        <f ca="1">IF(Proc[[#This Row],[DateClosed]]="",ABS(NETWORKDAYS(Proc[[#This Row],[DateOpened]],TODAY()))-1,ABS(NETWORKDAYS(Proc[[#This Row],[DateOpened]],Proc[[#This Row],[DateClosed]]))-1)</f>
        <v>91</v>
      </c>
      <c r="R3544" s="115" t="s">
        <v>515</v>
      </c>
      <c r="S3544" s="129"/>
    </row>
    <row r="3545" spans="1:19" hidden="1">
      <c r="A3545" s="128" t="s">
        <v>5669</v>
      </c>
      <c r="B3545" s="149" t="str">
        <f>IFERROR(VLOOKUP(Proc[[#This Row],[App]],Table2[],3,0),"open")</f>
        <v>ok</v>
      </c>
      <c r="C3545" s="128" t="s">
        <v>369</v>
      </c>
      <c r="D3545" t="s">
        <v>5631</v>
      </c>
      <c r="E3545" t="s">
        <v>5668</v>
      </c>
      <c r="F3545" s="129" t="s">
        <v>5668</v>
      </c>
      <c r="G3545" s="128" t="s">
        <v>400</v>
      </c>
      <c r="H3545" s="129" t="str">
        <f>IF(Proc[[#This Row],[type]]="LFF (MDG-F)",MID(Proc[[#This Row],[Obj]],13,10),"")</f>
        <v/>
      </c>
      <c r="J3545" s="129" t="b">
        <f>Proc[[#This Row],[Requested]]=Proc[[#This Row],[CurrentParent]]</f>
        <v>1</v>
      </c>
      <c r="K3545" s="144" t="str">
        <f>IF(Proc[[#This Row],[Author]]="Marcela Urrego",VLOOKUP(LEFT(Proc[[#This Row],[Requested]],1),Table3[#All],2,0),VLOOKUP(Proc[[#This Row],[Author]],Table4[],2,0))</f>
        <v>MGF</v>
      </c>
      <c r="L3545" s="129" t="s">
        <v>4894</v>
      </c>
      <c r="M3545" s="127">
        <v>45883</v>
      </c>
      <c r="N3545" s="127"/>
      <c r="O3545" s="127"/>
      <c r="P3545" s="115" t="str">
        <f ca="1">IF(Proc[[#This Row],[DaysAgeing]]&gt;5,"yep","on track")</f>
        <v>yep</v>
      </c>
      <c r="Q3545" s="3">
        <f ca="1">IF(Proc[[#This Row],[DateClosed]]="",ABS(NETWORKDAYS(Proc[[#This Row],[DateOpened]],TODAY()))-1,ABS(NETWORKDAYS(Proc[[#This Row],[DateOpened]],Proc[[#This Row],[DateClosed]]))-1)</f>
        <v>91</v>
      </c>
      <c r="R3545" s="115" t="s">
        <v>515</v>
      </c>
      <c r="S3545" s="129"/>
    </row>
    <row r="3546" spans="1:19" hidden="1">
      <c r="A3546" s="128" t="s">
        <v>5669</v>
      </c>
      <c r="B3546" s="149" t="str">
        <f>IFERROR(VLOOKUP(Proc[[#This Row],[App]],Table2[],3,0),"open")</f>
        <v>ok</v>
      </c>
      <c r="C3546" s="128" t="s">
        <v>369</v>
      </c>
      <c r="D3546" t="s">
        <v>5632</v>
      </c>
      <c r="E3546" t="s">
        <v>5668</v>
      </c>
      <c r="F3546" s="129" t="s">
        <v>5668</v>
      </c>
      <c r="G3546" s="128" t="s">
        <v>400</v>
      </c>
      <c r="H3546" s="129" t="str">
        <f>IF(Proc[[#This Row],[type]]="LFF (MDG-F)",MID(Proc[[#This Row],[Obj]],13,10),"")</f>
        <v/>
      </c>
      <c r="J3546" s="129" t="b">
        <f>Proc[[#This Row],[Requested]]=Proc[[#This Row],[CurrentParent]]</f>
        <v>1</v>
      </c>
      <c r="K3546" s="144" t="str">
        <f>IF(Proc[[#This Row],[Author]]="Marcela Urrego",VLOOKUP(LEFT(Proc[[#This Row],[Requested]],1),Table3[#All],2,0),VLOOKUP(Proc[[#This Row],[Author]],Table4[],2,0))</f>
        <v>MGF</v>
      </c>
      <c r="L3546" s="129" t="s">
        <v>4894</v>
      </c>
      <c r="M3546" s="127">
        <v>45883</v>
      </c>
      <c r="N3546" s="127"/>
      <c r="O3546" s="127"/>
      <c r="P3546" s="115" t="str">
        <f ca="1">IF(Proc[[#This Row],[DaysAgeing]]&gt;5,"yep","on track")</f>
        <v>yep</v>
      </c>
      <c r="Q3546" s="3">
        <f ca="1">IF(Proc[[#This Row],[DateClosed]]="",ABS(NETWORKDAYS(Proc[[#This Row],[DateOpened]],TODAY()))-1,ABS(NETWORKDAYS(Proc[[#This Row],[DateOpened]],Proc[[#This Row],[DateClosed]]))-1)</f>
        <v>91</v>
      </c>
      <c r="R3546" s="115" t="s">
        <v>515</v>
      </c>
      <c r="S3546" s="129"/>
    </row>
    <row r="3547" spans="1:19" hidden="1">
      <c r="A3547" s="128" t="s">
        <v>5669</v>
      </c>
      <c r="B3547" s="149" t="str">
        <f>IFERROR(VLOOKUP(Proc[[#This Row],[App]],Table2[],3,0),"open")</f>
        <v>ok</v>
      </c>
      <c r="C3547" s="128" t="s">
        <v>369</v>
      </c>
      <c r="D3547" t="s">
        <v>5633</v>
      </c>
      <c r="E3547" t="s">
        <v>5668</v>
      </c>
      <c r="F3547" s="129" t="s">
        <v>5668</v>
      </c>
      <c r="G3547" s="128" t="s">
        <v>400</v>
      </c>
      <c r="H3547" s="129" t="str">
        <f>IF(Proc[[#This Row],[type]]="LFF (MDG-F)",MID(Proc[[#This Row],[Obj]],13,10),"")</f>
        <v/>
      </c>
      <c r="J3547" s="129" t="b">
        <f>Proc[[#This Row],[Requested]]=Proc[[#This Row],[CurrentParent]]</f>
        <v>1</v>
      </c>
      <c r="K3547" s="144" t="str">
        <f>IF(Proc[[#This Row],[Author]]="Marcela Urrego",VLOOKUP(LEFT(Proc[[#This Row],[Requested]],1),Table3[#All],2,0),VLOOKUP(Proc[[#This Row],[Author]],Table4[],2,0))</f>
        <v>MGF</v>
      </c>
      <c r="L3547" s="129" t="s">
        <v>4894</v>
      </c>
      <c r="M3547" s="127">
        <v>45883</v>
      </c>
      <c r="N3547" s="127"/>
      <c r="O3547" s="127"/>
      <c r="P3547" s="115" t="str">
        <f ca="1">IF(Proc[[#This Row],[DaysAgeing]]&gt;5,"yep","on track")</f>
        <v>yep</v>
      </c>
      <c r="Q3547" s="3">
        <f ca="1">IF(Proc[[#This Row],[DateClosed]]="",ABS(NETWORKDAYS(Proc[[#This Row],[DateOpened]],TODAY()))-1,ABS(NETWORKDAYS(Proc[[#This Row],[DateOpened]],Proc[[#This Row],[DateClosed]]))-1)</f>
        <v>91</v>
      </c>
      <c r="R3547" s="115" t="s">
        <v>515</v>
      </c>
      <c r="S3547" s="129"/>
    </row>
    <row r="3548" spans="1:19" hidden="1">
      <c r="A3548" s="128" t="s">
        <v>5669</v>
      </c>
      <c r="B3548" s="149" t="str">
        <f>IFERROR(VLOOKUP(Proc[[#This Row],[App]],Table2[],3,0),"open")</f>
        <v>ok</v>
      </c>
      <c r="C3548" s="128" t="s">
        <v>369</v>
      </c>
      <c r="D3548" t="s">
        <v>5634</v>
      </c>
      <c r="E3548" t="s">
        <v>5668</v>
      </c>
      <c r="F3548" s="129" t="s">
        <v>5668</v>
      </c>
      <c r="G3548" s="128" t="s">
        <v>400</v>
      </c>
      <c r="H3548" s="129" t="str">
        <f>IF(Proc[[#This Row],[type]]="LFF (MDG-F)",MID(Proc[[#This Row],[Obj]],13,10),"")</f>
        <v/>
      </c>
      <c r="J3548" s="129" t="b">
        <f>Proc[[#This Row],[Requested]]=Proc[[#This Row],[CurrentParent]]</f>
        <v>1</v>
      </c>
      <c r="K3548" s="144" t="str">
        <f>IF(Proc[[#This Row],[Author]]="Marcela Urrego",VLOOKUP(LEFT(Proc[[#This Row],[Requested]],1),Table3[#All],2,0),VLOOKUP(Proc[[#This Row],[Author]],Table4[],2,0))</f>
        <v>MGF</v>
      </c>
      <c r="L3548" s="129" t="s">
        <v>4894</v>
      </c>
      <c r="M3548" s="127">
        <v>45883</v>
      </c>
      <c r="N3548" s="127"/>
      <c r="O3548" s="127"/>
      <c r="P3548" s="115" t="str">
        <f ca="1">IF(Proc[[#This Row],[DaysAgeing]]&gt;5,"yep","on track")</f>
        <v>yep</v>
      </c>
      <c r="Q3548" s="3">
        <f ca="1">IF(Proc[[#This Row],[DateClosed]]="",ABS(NETWORKDAYS(Proc[[#This Row],[DateOpened]],TODAY()))-1,ABS(NETWORKDAYS(Proc[[#This Row],[DateOpened]],Proc[[#This Row],[DateClosed]]))-1)</f>
        <v>91</v>
      </c>
      <c r="R3548" s="115" t="s">
        <v>515</v>
      </c>
      <c r="S3548" s="129"/>
    </row>
    <row r="3549" spans="1:19" hidden="1">
      <c r="A3549" s="128" t="s">
        <v>5669</v>
      </c>
      <c r="B3549" s="149" t="str">
        <f>IFERROR(VLOOKUP(Proc[[#This Row],[App]],Table2[],3,0),"open")</f>
        <v>ok</v>
      </c>
      <c r="C3549" s="128" t="s">
        <v>369</v>
      </c>
      <c r="D3549" t="s">
        <v>5635</v>
      </c>
      <c r="E3549" t="s">
        <v>5668</v>
      </c>
      <c r="F3549" s="129" t="s">
        <v>5668</v>
      </c>
      <c r="G3549" s="128" t="s">
        <v>400</v>
      </c>
      <c r="H3549" s="129" t="str">
        <f>IF(Proc[[#This Row],[type]]="LFF (MDG-F)",MID(Proc[[#This Row],[Obj]],13,10),"")</f>
        <v/>
      </c>
      <c r="J3549" s="129" t="b">
        <f>Proc[[#This Row],[Requested]]=Proc[[#This Row],[CurrentParent]]</f>
        <v>1</v>
      </c>
      <c r="K3549" s="144" t="str">
        <f>IF(Proc[[#This Row],[Author]]="Marcela Urrego",VLOOKUP(LEFT(Proc[[#This Row],[Requested]],1),Table3[#All],2,0),VLOOKUP(Proc[[#This Row],[Author]],Table4[],2,0))</f>
        <v>MGF</v>
      </c>
      <c r="L3549" s="129" t="s">
        <v>4894</v>
      </c>
      <c r="M3549" s="127">
        <v>45883</v>
      </c>
      <c r="N3549" s="127"/>
      <c r="O3549" s="127"/>
      <c r="P3549" s="115" t="str">
        <f ca="1">IF(Proc[[#This Row],[DaysAgeing]]&gt;5,"yep","on track")</f>
        <v>yep</v>
      </c>
      <c r="Q3549" s="3">
        <f ca="1">IF(Proc[[#This Row],[DateClosed]]="",ABS(NETWORKDAYS(Proc[[#This Row],[DateOpened]],TODAY()))-1,ABS(NETWORKDAYS(Proc[[#This Row],[DateOpened]],Proc[[#This Row],[DateClosed]]))-1)</f>
        <v>91</v>
      </c>
      <c r="R3549" s="115" t="s">
        <v>515</v>
      </c>
      <c r="S3549" s="129"/>
    </row>
    <row r="3550" spans="1:19" hidden="1">
      <c r="A3550" s="128" t="s">
        <v>5669</v>
      </c>
      <c r="B3550" s="149" t="str">
        <f>IFERROR(VLOOKUP(Proc[[#This Row],[App]],Table2[],3,0),"open")</f>
        <v>ok</v>
      </c>
      <c r="C3550" s="128" t="s">
        <v>369</v>
      </c>
      <c r="D3550" t="s">
        <v>5636</v>
      </c>
      <c r="E3550" t="s">
        <v>5668</v>
      </c>
      <c r="F3550" s="129" t="s">
        <v>5668</v>
      </c>
      <c r="G3550" s="128" t="s">
        <v>400</v>
      </c>
      <c r="H3550" s="129" t="str">
        <f>IF(Proc[[#This Row],[type]]="LFF (MDG-F)",MID(Proc[[#This Row],[Obj]],13,10),"")</f>
        <v/>
      </c>
      <c r="J3550" s="129" t="b">
        <f>Proc[[#This Row],[Requested]]=Proc[[#This Row],[CurrentParent]]</f>
        <v>1</v>
      </c>
      <c r="K3550" s="144" t="str">
        <f>IF(Proc[[#This Row],[Author]]="Marcela Urrego",VLOOKUP(LEFT(Proc[[#This Row],[Requested]],1),Table3[#All],2,0),VLOOKUP(Proc[[#This Row],[Author]],Table4[],2,0))</f>
        <v>MGF</v>
      </c>
      <c r="L3550" s="129" t="s">
        <v>4894</v>
      </c>
      <c r="M3550" s="127">
        <v>45883</v>
      </c>
      <c r="N3550" s="127"/>
      <c r="O3550" s="127"/>
      <c r="P3550" s="115" t="str">
        <f ca="1">IF(Proc[[#This Row],[DaysAgeing]]&gt;5,"yep","on track")</f>
        <v>yep</v>
      </c>
      <c r="Q3550" s="3">
        <f ca="1">IF(Proc[[#This Row],[DateClosed]]="",ABS(NETWORKDAYS(Proc[[#This Row],[DateOpened]],TODAY()))-1,ABS(NETWORKDAYS(Proc[[#This Row],[DateOpened]],Proc[[#This Row],[DateClosed]]))-1)</f>
        <v>91</v>
      </c>
      <c r="R3550" s="115" t="s">
        <v>515</v>
      </c>
      <c r="S3550" s="129"/>
    </row>
    <row r="3551" spans="1:19" hidden="1">
      <c r="A3551" s="128" t="s">
        <v>5669</v>
      </c>
      <c r="B3551" s="149" t="str">
        <f>IFERROR(VLOOKUP(Proc[[#This Row],[App]],Table2[],3,0),"open")</f>
        <v>ok</v>
      </c>
      <c r="C3551" s="128" t="s">
        <v>369</v>
      </c>
      <c r="D3551" t="s">
        <v>5637</v>
      </c>
      <c r="E3551" t="s">
        <v>5668</v>
      </c>
      <c r="F3551" s="129" t="s">
        <v>5668</v>
      </c>
      <c r="G3551" s="128" t="s">
        <v>400</v>
      </c>
      <c r="H3551" s="129" t="str">
        <f>IF(Proc[[#This Row],[type]]="LFF (MDG-F)",MID(Proc[[#This Row],[Obj]],13,10),"")</f>
        <v/>
      </c>
      <c r="J3551" s="129" t="b">
        <f>Proc[[#This Row],[Requested]]=Proc[[#This Row],[CurrentParent]]</f>
        <v>1</v>
      </c>
      <c r="K3551" s="144" t="str">
        <f>IF(Proc[[#This Row],[Author]]="Marcela Urrego",VLOOKUP(LEFT(Proc[[#This Row],[Requested]],1),Table3[#All],2,0),VLOOKUP(Proc[[#This Row],[Author]],Table4[],2,0))</f>
        <v>MGF</v>
      </c>
      <c r="L3551" s="129" t="s">
        <v>4894</v>
      </c>
      <c r="M3551" s="127">
        <v>45883</v>
      </c>
      <c r="N3551" s="127"/>
      <c r="O3551" s="127"/>
      <c r="P3551" s="115" t="str">
        <f ca="1">IF(Proc[[#This Row],[DaysAgeing]]&gt;5,"yep","on track")</f>
        <v>yep</v>
      </c>
      <c r="Q3551" s="3">
        <f ca="1">IF(Proc[[#This Row],[DateClosed]]="",ABS(NETWORKDAYS(Proc[[#This Row],[DateOpened]],TODAY()))-1,ABS(NETWORKDAYS(Proc[[#This Row],[DateOpened]],Proc[[#This Row],[DateClosed]]))-1)</f>
        <v>91</v>
      </c>
      <c r="R3551" s="115" t="s">
        <v>515</v>
      </c>
      <c r="S3551" s="129"/>
    </row>
    <row r="3552" spans="1:19" hidden="1">
      <c r="A3552" s="128" t="s">
        <v>5669</v>
      </c>
      <c r="B3552" s="149" t="str">
        <f>IFERROR(VLOOKUP(Proc[[#This Row],[App]],Table2[],3,0),"open")</f>
        <v>ok</v>
      </c>
      <c r="C3552" s="128" t="s">
        <v>369</v>
      </c>
      <c r="D3552" t="s">
        <v>5638</v>
      </c>
      <c r="E3552" t="s">
        <v>5668</v>
      </c>
      <c r="F3552" s="129" t="s">
        <v>5668</v>
      </c>
      <c r="G3552" s="128" t="s">
        <v>400</v>
      </c>
      <c r="H3552" s="129" t="str">
        <f>IF(Proc[[#This Row],[type]]="LFF (MDG-F)",MID(Proc[[#This Row],[Obj]],13,10),"")</f>
        <v/>
      </c>
      <c r="J3552" s="129" t="b">
        <f>Proc[[#This Row],[Requested]]=Proc[[#This Row],[CurrentParent]]</f>
        <v>1</v>
      </c>
      <c r="K3552" s="144" t="str">
        <f>IF(Proc[[#This Row],[Author]]="Marcela Urrego",VLOOKUP(LEFT(Proc[[#This Row],[Requested]],1),Table3[#All],2,0),VLOOKUP(Proc[[#This Row],[Author]],Table4[],2,0))</f>
        <v>MGF</v>
      </c>
      <c r="L3552" s="129" t="s">
        <v>4894</v>
      </c>
      <c r="M3552" s="127">
        <v>45883</v>
      </c>
      <c r="N3552" s="127"/>
      <c r="O3552" s="127"/>
      <c r="P3552" s="115" t="str">
        <f ca="1">IF(Proc[[#This Row],[DaysAgeing]]&gt;5,"yep","on track")</f>
        <v>yep</v>
      </c>
      <c r="Q3552" s="3">
        <f ca="1">IF(Proc[[#This Row],[DateClosed]]="",ABS(NETWORKDAYS(Proc[[#This Row],[DateOpened]],TODAY()))-1,ABS(NETWORKDAYS(Proc[[#This Row],[DateOpened]],Proc[[#This Row],[DateClosed]]))-1)</f>
        <v>91</v>
      </c>
      <c r="R3552" s="115" t="s">
        <v>515</v>
      </c>
      <c r="S3552" s="129"/>
    </row>
    <row r="3553" spans="1:19" hidden="1">
      <c r="A3553" s="128" t="s">
        <v>5669</v>
      </c>
      <c r="B3553" s="149" t="str">
        <f>IFERROR(VLOOKUP(Proc[[#This Row],[App]],Table2[],3,0),"open")</f>
        <v>ok</v>
      </c>
      <c r="C3553" s="128" t="s">
        <v>369</v>
      </c>
      <c r="D3553" t="s">
        <v>5639</v>
      </c>
      <c r="E3553" t="s">
        <v>5668</v>
      </c>
      <c r="F3553" s="129" t="s">
        <v>5668</v>
      </c>
      <c r="G3553" s="128" t="s">
        <v>400</v>
      </c>
      <c r="H3553" s="129" t="str">
        <f>IF(Proc[[#This Row],[type]]="LFF (MDG-F)",MID(Proc[[#This Row],[Obj]],13,10),"")</f>
        <v/>
      </c>
      <c r="J3553" s="129" t="b">
        <f>Proc[[#This Row],[Requested]]=Proc[[#This Row],[CurrentParent]]</f>
        <v>1</v>
      </c>
      <c r="K3553" s="144" t="str">
        <f>IF(Proc[[#This Row],[Author]]="Marcela Urrego",VLOOKUP(LEFT(Proc[[#This Row],[Requested]],1),Table3[#All],2,0),VLOOKUP(Proc[[#This Row],[Author]],Table4[],2,0))</f>
        <v>MGF</v>
      </c>
      <c r="L3553" s="129" t="s">
        <v>4894</v>
      </c>
      <c r="M3553" s="127">
        <v>45883</v>
      </c>
      <c r="N3553" s="127"/>
      <c r="O3553" s="127"/>
      <c r="P3553" s="115" t="str">
        <f ca="1">IF(Proc[[#This Row],[DaysAgeing]]&gt;5,"yep","on track")</f>
        <v>yep</v>
      </c>
      <c r="Q3553" s="3">
        <f ca="1">IF(Proc[[#This Row],[DateClosed]]="",ABS(NETWORKDAYS(Proc[[#This Row],[DateOpened]],TODAY()))-1,ABS(NETWORKDAYS(Proc[[#This Row],[DateOpened]],Proc[[#This Row],[DateClosed]]))-1)</f>
        <v>91</v>
      </c>
      <c r="R3553" s="115" t="s">
        <v>515</v>
      </c>
      <c r="S3553" s="129"/>
    </row>
    <row r="3554" spans="1:19" hidden="1">
      <c r="A3554" s="128" t="s">
        <v>5669</v>
      </c>
      <c r="B3554" s="149" t="str">
        <f>IFERROR(VLOOKUP(Proc[[#This Row],[App]],Table2[],3,0),"open")</f>
        <v>ok</v>
      </c>
      <c r="C3554" s="128" t="s">
        <v>369</v>
      </c>
      <c r="D3554" t="s">
        <v>5640</v>
      </c>
      <c r="E3554" t="s">
        <v>5668</v>
      </c>
      <c r="F3554" s="129" t="s">
        <v>5668</v>
      </c>
      <c r="G3554" s="128" t="s">
        <v>400</v>
      </c>
      <c r="H3554" s="129" t="str">
        <f>IF(Proc[[#This Row],[type]]="LFF (MDG-F)",MID(Proc[[#This Row],[Obj]],13,10),"")</f>
        <v/>
      </c>
      <c r="J3554" s="129" t="b">
        <f>Proc[[#This Row],[Requested]]=Proc[[#This Row],[CurrentParent]]</f>
        <v>1</v>
      </c>
      <c r="K3554" s="144" t="str">
        <f>IF(Proc[[#This Row],[Author]]="Marcela Urrego",VLOOKUP(LEFT(Proc[[#This Row],[Requested]],1),Table3[#All],2,0),VLOOKUP(Proc[[#This Row],[Author]],Table4[],2,0))</f>
        <v>MGF</v>
      </c>
      <c r="L3554" s="129" t="s">
        <v>4894</v>
      </c>
      <c r="M3554" s="127">
        <v>45883</v>
      </c>
      <c r="N3554" s="127"/>
      <c r="O3554" s="127"/>
      <c r="P3554" s="115" t="str">
        <f ca="1">IF(Proc[[#This Row],[DaysAgeing]]&gt;5,"yep","on track")</f>
        <v>yep</v>
      </c>
      <c r="Q3554" s="3">
        <f ca="1">IF(Proc[[#This Row],[DateClosed]]="",ABS(NETWORKDAYS(Proc[[#This Row],[DateOpened]],TODAY()))-1,ABS(NETWORKDAYS(Proc[[#This Row],[DateOpened]],Proc[[#This Row],[DateClosed]]))-1)</f>
        <v>91</v>
      </c>
      <c r="R3554" s="115" t="s">
        <v>515</v>
      </c>
      <c r="S3554" s="129"/>
    </row>
    <row r="3555" spans="1:19" hidden="1">
      <c r="A3555" s="128" t="s">
        <v>5669</v>
      </c>
      <c r="B3555" s="149" t="str">
        <f>IFERROR(VLOOKUP(Proc[[#This Row],[App]],Table2[],3,0),"open")</f>
        <v>ok</v>
      </c>
      <c r="C3555" s="128" t="s">
        <v>369</v>
      </c>
      <c r="D3555" t="s">
        <v>5641</v>
      </c>
      <c r="E3555" t="s">
        <v>5668</v>
      </c>
      <c r="F3555" s="129" t="s">
        <v>5668</v>
      </c>
      <c r="G3555" s="128" t="s">
        <v>400</v>
      </c>
      <c r="H3555" s="129" t="str">
        <f>IF(Proc[[#This Row],[type]]="LFF (MDG-F)",MID(Proc[[#This Row],[Obj]],13,10),"")</f>
        <v/>
      </c>
      <c r="J3555" s="129" t="b">
        <f>Proc[[#This Row],[Requested]]=Proc[[#This Row],[CurrentParent]]</f>
        <v>1</v>
      </c>
      <c r="K3555" s="144" t="str">
        <f>IF(Proc[[#This Row],[Author]]="Marcela Urrego",VLOOKUP(LEFT(Proc[[#This Row],[Requested]],1),Table3[#All],2,0),VLOOKUP(Proc[[#This Row],[Author]],Table4[],2,0))</f>
        <v>MGF</v>
      </c>
      <c r="L3555" s="129" t="s">
        <v>4894</v>
      </c>
      <c r="M3555" s="127">
        <v>45883</v>
      </c>
      <c r="N3555" s="127"/>
      <c r="O3555" s="127"/>
      <c r="P3555" s="115" t="str">
        <f ca="1">IF(Proc[[#This Row],[DaysAgeing]]&gt;5,"yep","on track")</f>
        <v>yep</v>
      </c>
      <c r="Q3555" s="3">
        <f ca="1">IF(Proc[[#This Row],[DateClosed]]="",ABS(NETWORKDAYS(Proc[[#This Row],[DateOpened]],TODAY()))-1,ABS(NETWORKDAYS(Proc[[#This Row],[DateOpened]],Proc[[#This Row],[DateClosed]]))-1)</f>
        <v>91</v>
      </c>
      <c r="R3555" s="115" t="s">
        <v>515</v>
      </c>
      <c r="S3555" s="129"/>
    </row>
    <row r="3556" spans="1:19" hidden="1">
      <c r="A3556" s="128" t="s">
        <v>5669</v>
      </c>
      <c r="B3556" s="149" t="str">
        <f>IFERROR(VLOOKUP(Proc[[#This Row],[App]],Table2[],3,0),"open")</f>
        <v>ok</v>
      </c>
      <c r="C3556" s="128" t="s">
        <v>369</v>
      </c>
      <c r="D3556" t="s">
        <v>5642</v>
      </c>
      <c r="E3556" t="s">
        <v>5668</v>
      </c>
      <c r="F3556" s="129" t="s">
        <v>5668</v>
      </c>
      <c r="G3556" s="128" t="s">
        <v>400</v>
      </c>
      <c r="H3556" s="129" t="str">
        <f>IF(Proc[[#This Row],[type]]="LFF (MDG-F)",MID(Proc[[#This Row],[Obj]],13,10),"")</f>
        <v/>
      </c>
      <c r="J3556" s="129" t="b">
        <f>Proc[[#This Row],[Requested]]=Proc[[#This Row],[CurrentParent]]</f>
        <v>1</v>
      </c>
      <c r="K3556" s="144" t="str">
        <f>IF(Proc[[#This Row],[Author]]="Marcela Urrego",VLOOKUP(LEFT(Proc[[#This Row],[Requested]],1),Table3[#All],2,0),VLOOKUP(Proc[[#This Row],[Author]],Table4[],2,0))</f>
        <v>MGF</v>
      </c>
      <c r="L3556" s="129" t="s">
        <v>4894</v>
      </c>
      <c r="M3556" s="127">
        <v>45883</v>
      </c>
      <c r="N3556" s="127"/>
      <c r="O3556" s="127"/>
      <c r="P3556" s="115" t="str">
        <f ca="1">IF(Proc[[#This Row],[DaysAgeing]]&gt;5,"yep","on track")</f>
        <v>yep</v>
      </c>
      <c r="Q3556" s="3">
        <f ca="1">IF(Proc[[#This Row],[DateClosed]]="",ABS(NETWORKDAYS(Proc[[#This Row],[DateOpened]],TODAY()))-1,ABS(NETWORKDAYS(Proc[[#This Row],[DateOpened]],Proc[[#This Row],[DateClosed]]))-1)</f>
        <v>91</v>
      </c>
      <c r="R3556" s="115" t="s">
        <v>515</v>
      </c>
      <c r="S3556" s="129"/>
    </row>
    <row r="3557" spans="1:19" hidden="1">
      <c r="A3557" s="128" t="s">
        <v>5669</v>
      </c>
      <c r="B3557" s="149" t="str">
        <f>IFERROR(VLOOKUP(Proc[[#This Row],[App]],Table2[],3,0),"open")</f>
        <v>ok</v>
      </c>
      <c r="C3557" s="128" t="s">
        <v>369</v>
      </c>
      <c r="D3557" t="s">
        <v>5643</v>
      </c>
      <c r="E3557" t="s">
        <v>5668</v>
      </c>
      <c r="F3557" s="129" t="s">
        <v>5668</v>
      </c>
      <c r="G3557" s="128" t="s">
        <v>400</v>
      </c>
      <c r="H3557" s="129" t="str">
        <f>IF(Proc[[#This Row],[type]]="LFF (MDG-F)",MID(Proc[[#This Row],[Obj]],13,10),"")</f>
        <v/>
      </c>
      <c r="J3557" s="129" t="b">
        <f>Proc[[#This Row],[Requested]]=Proc[[#This Row],[CurrentParent]]</f>
        <v>1</v>
      </c>
      <c r="K3557" s="144" t="str">
        <f>IF(Proc[[#This Row],[Author]]="Marcela Urrego",VLOOKUP(LEFT(Proc[[#This Row],[Requested]],1),Table3[#All],2,0),VLOOKUP(Proc[[#This Row],[Author]],Table4[],2,0))</f>
        <v>MGF</v>
      </c>
      <c r="L3557" s="129" t="s">
        <v>4894</v>
      </c>
      <c r="M3557" s="127">
        <v>45883</v>
      </c>
      <c r="N3557" s="127"/>
      <c r="O3557" s="127"/>
      <c r="P3557" s="115" t="str">
        <f ca="1">IF(Proc[[#This Row],[DaysAgeing]]&gt;5,"yep","on track")</f>
        <v>yep</v>
      </c>
      <c r="Q3557" s="3">
        <f ca="1">IF(Proc[[#This Row],[DateClosed]]="",ABS(NETWORKDAYS(Proc[[#This Row],[DateOpened]],TODAY()))-1,ABS(NETWORKDAYS(Proc[[#This Row],[DateOpened]],Proc[[#This Row],[DateClosed]]))-1)</f>
        <v>91</v>
      </c>
      <c r="R3557" s="115" t="s">
        <v>515</v>
      </c>
      <c r="S3557" s="129"/>
    </row>
    <row r="3558" spans="1:19" hidden="1">
      <c r="A3558" s="128" t="s">
        <v>5669</v>
      </c>
      <c r="B3558" s="149" t="str">
        <f>IFERROR(VLOOKUP(Proc[[#This Row],[App]],Table2[],3,0),"open")</f>
        <v>ok</v>
      </c>
      <c r="C3558" s="128" t="s">
        <v>369</v>
      </c>
      <c r="D3558" t="s">
        <v>5644</v>
      </c>
      <c r="E3558" t="s">
        <v>5668</v>
      </c>
      <c r="F3558" s="129" t="s">
        <v>5668</v>
      </c>
      <c r="G3558" s="128" t="s">
        <v>400</v>
      </c>
      <c r="H3558" s="129" t="str">
        <f>IF(Proc[[#This Row],[type]]="LFF (MDG-F)",MID(Proc[[#This Row],[Obj]],13,10),"")</f>
        <v/>
      </c>
      <c r="J3558" s="129" t="b">
        <f>Proc[[#This Row],[Requested]]=Proc[[#This Row],[CurrentParent]]</f>
        <v>1</v>
      </c>
      <c r="K3558" s="144" t="str">
        <f>IF(Proc[[#This Row],[Author]]="Marcela Urrego",VLOOKUP(LEFT(Proc[[#This Row],[Requested]],1),Table3[#All],2,0),VLOOKUP(Proc[[#This Row],[Author]],Table4[],2,0))</f>
        <v>MGF</v>
      </c>
      <c r="L3558" s="129" t="s">
        <v>4894</v>
      </c>
      <c r="M3558" s="127">
        <v>45883</v>
      </c>
      <c r="N3558" s="127"/>
      <c r="O3558" s="127"/>
      <c r="P3558" s="115" t="str">
        <f ca="1">IF(Proc[[#This Row],[DaysAgeing]]&gt;5,"yep","on track")</f>
        <v>yep</v>
      </c>
      <c r="Q3558" s="3">
        <f ca="1">IF(Proc[[#This Row],[DateClosed]]="",ABS(NETWORKDAYS(Proc[[#This Row],[DateOpened]],TODAY()))-1,ABS(NETWORKDAYS(Proc[[#This Row],[DateOpened]],Proc[[#This Row],[DateClosed]]))-1)</f>
        <v>91</v>
      </c>
      <c r="R3558" s="115" t="s">
        <v>515</v>
      </c>
      <c r="S3558" s="129"/>
    </row>
    <row r="3559" spans="1:19" hidden="1">
      <c r="A3559" s="128" t="s">
        <v>5669</v>
      </c>
      <c r="B3559" s="149" t="str">
        <f>IFERROR(VLOOKUP(Proc[[#This Row],[App]],Table2[],3,0),"open")</f>
        <v>ok</v>
      </c>
      <c r="C3559" s="128" t="s">
        <v>369</v>
      </c>
      <c r="D3559" t="s">
        <v>5645</v>
      </c>
      <c r="E3559" t="s">
        <v>5668</v>
      </c>
      <c r="F3559" s="129" t="s">
        <v>5668</v>
      </c>
      <c r="G3559" s="128" t="s">
        <v>400</v>
      </c>
      <c r="H3559" s="129" t="str">
        <f>IF(Proc[[#This Row],[type]]="LFF (MDG-F)",MID(Proc[[#This Row],[Obj]],13,10),"")</f>
        <v/>
      </c>
      <c r="J3559" s="129" t="b">
        <f>Proc[[#This Row],[Requested]]=Proc[[#This Row],[CurrentParent]]</f>
        <v>1</v>
      </c>
      <c r="K3559" s="144" t="str">
        <f>IF(Proc[[#This Row],[Author]]="Marcela Urrego",VLOOKUP(LEFT(Proc[[#This Row],[Requested]],1),Table3[#All],2,0),VLOOKUP(Proc[[#This Row],[Author]],Table4[],2,0))</f>
        <v>MGF</v>
      </c>
      <c r="L3559" s="129" t="s">
        <v>4894</v>
      </c>
      <c r="M3559" s="127">
        <v>45883</v>
      </c>
      <c r="N3559" s="127"/>
      <c r="O3559" s="127"/>
      <c r="P3559" s="115" t="str">
        <f ca="1">IF(Proc[[#This Row],[DaysAgeing]]&gt;5,"yep","on track")</f>
        <v>yep</v>
      </c>
      <c r="Q3559" s="3">
        <f ca="1">IF(Proc[[#This Row],[DateClosed]]="",ABS(NETWORKDAYS(Proc[[#This Row],[DateOpened]],TODAY()))-1,ABS(NETWORKDAYS(Proc[[#This Row],[DateOpened]],Proc[[#This Row],[DateClosed]]))-1)</f>
        <v>91</v>
      </c>
      <c r="R3559" s="115" t="s">
        <v>515</v>
      </c>
      <c r="S3559" s="129"/>
    </row>
    <row r="3560" spans="1:19" hidden="1">
      <c r="A3560" s="128" t="s">
        <v>5669</v>
      </c>
      <c r="B3560" s="149" t="str">
        <f>IFERROR(VLOOKUP(Proc[[#This Row],[App]],Table2[],3,0),"open")</f>
        <v>ok</v>
      </c>
      <c r="C3560" s="128" t="s">
        <v>369</v>
      </c>
      <c r="D3560" t="s">
        <v>5646</v>
      </c>
      <c r="E3560" t="s">
        <v>5668</v>
      </c>
      <c r="F3560" s="129" t="s">
        <v>5668</v>
      </c>
      <c r="G3560" s="128" t="s">
        <v>400</v>
      </c>
      <c r="H3560" s="129" t="str">
        <f>IF(Proc[[#This Row],[type]]="LFF (MDG-F)",MID(Proc[[#This Row],[Obj]],13,10),"")</f>
        <v/>
      </c>
      <c r="J3560" s="129" t="b">
        <f>Proc[[#This Row],[Requested]]=Proc[[#This Row],[CurrentParent]]</f>
        <v>1</v>
      </c>
      <c r="K3560" s="144" t="str">
        <f>IF(Proc[[#This Row],[Author]]="Marcela Urrego",VLOOKUP(LEFT(Proc[[#This Row],[Requested]],1),Table3[#All],2,0),VLOOKUP(Proc[[#This Row],[Author]],Table4[],2,0))</f>
        <v>MGF</v>
      </c>
      <c r="L3560" s="129" t="s">
        <v>4894</v>
      </c>
      <c r="M3560" s="127">
        <v>45883</v>
      </c>
      <c r="N3560" s="127"/>
      <c r="O3560" s="127"/>
      <c r="P3560" s="115" t="str">
        <f ca="1">IF(Proc[[#This Row],[DaysAgeing]]&gt;5,"yep","on track")</f>
        <v>yep</v>
      </c>
      <c r="Q3560" s="3">
        <f ca="1">IF(Proc[[#This Row],[DateClosed]]="",ABS(NETWORKDAYS(Proc[[#This Row],[DateOpened]],TODAY()))-1,ABS(NETWORKDAYS(Proc[[#This Row],[DateOpened]],Proc[[#This Row],[DateClosed]]))-1)</f>
        <v>91</v>
      </c>
      <c r="R3560" s="115" t="s">
        <v>515</v>
      </c>
      <c r="S3560" s="129"/>
    </row>
    <row r="3561" spans="1:19" hidden="1">
      <c r="A3561" s="128" t="s">
        <v>5669</v>
      </c>
      <c r="B3561" s="149" t="str">
        <f>IFERROR(VLOOKUP(Proc[[#This Row],[App]],Table2[],3,0),"open")</f>
        <v>ok</v>
      </c>
      <c r="C3561" s="128" t="s">
        <v>369</v>
      </c>
      <c r="D3561" t="s">
        <v>5647</v>
      </c>
      <c r="E3561" t="s">
        <v>5668</v>
      </c>
      <c r="F3561" s="129" t="s">
        <v>5668</v>
      </c>
      <c r="G3561" s="128" t="s">
        <v>400</v>
      </c>
      <c r="H3561" s="129" t="str">
        <f>IF(Proc[[#This Row],[type]]="LFF (MDG-F)",MID(Proc[[#This Row],[Obj]],13,10),"")</f>
        <v/>
      </c>
      <c r="J3561" s="129" t="b">
        <f>Proc[[#This Row],[Requested]]=Proc[[#This Row],[CurrentParent]]</f>
        <v>1</v>
      </c>
      <c r="K3561" s="144" t="str">
        <f>IF(Proc[[#This Row],[Author]]="Marcela Urrego",VLOOKUP(LEFT(Proc[[#This Row],[Requested]],1),Table3[#All],2,0),VLOOKUP(Proc[[#This Row],[Author]],Table4[],2,0))</f>
        <v>MGF</v>
      </c>
      <c r="L3561" s="129" t="s">
        <v>4894</v>
      </c>
      <c r="M3561" s="127">
        <v>45883</v>
      </c>
      <c r="N3561" s="127"/>
      <c r="O3561" s="127"/>
      <c r="P3561" s="115" t="str">
        <f ca="1">IF(Proc[[#This Row],[DaysAgeing]]&gt;5,"yep","on track")</f>
        <v>yep</v>
      </c>
      <c r="Q3561" s="3">
        <f ca="1">IF(Proc[[#This Row],[DateClosed]]="",ABS(NETWORKDAYS(Proc[[#This Row],[DateOpened]],TODAY()))-1,ABS(NETWORKDAYS(Proc[[#This Row],[DateOpened]],Proc[[#This Row],[DateClosed]]))-1)</f>
        <v>91</v>
      </c>
      <c r="R3561" s="115" t="s">
        <v>515</v>
      </c>
      <c r="S3561" s="129"/>
    </row>
    <row r="3562" spans="1:19" hidden="1">
      <c r="A3562" s="128" t="s">
        <v>5669</v>
      </c>
      <c r="B3562" s="149" t="str">
        <f>IFERROR(VLOOKUP(Proc[[#This Row],[App]],Table2[],3,0),"open")</f>
        <v>ok</v>
      </c>
      <c r="C3562" s="128" t="s">
        <v>369</v>
      </c>
      <c r="D3562" t="s">
        <v>5648</v>
      </c>
      <c r="E3562" t="s">
        <v>5668</v>
      </c>
      <c r="F3562" s="129" t="s">
        <v>5668</v>
      </c>
      <c r="G3562" s="128" t="s">
        <v>400</v>
      </c>
      <c r="H3562" s="129" t="str">
        <f>IF(Proc[[#This Row],[type]]="LFF (MDG-F)",MID(Proc[[#This Row],[Obj]],13,10),"")</f>
        <v/>
      </c>
      <c r="J3562" s="129" t="b">
        <f>Proc[[#This Row],[Requested]]=Proc[[#This Row],[CurrentParent]]</f>
        <v>1</v>
      </c>
      <c r="K3562" s="144" t="str">
        <f>IF(Proc[[#This Row],[Author]]="Marcela Urrego",VLOOKUP(LEFT(Proc[[#This Row],[Requested]],1),Table3[#All],2,0),VLOOKUP(Proc[[#This Row],[Author]],Table4[],2,0))</f>
        <v>MGF</v>
      </c>
      <c r="L3562" s="129" t="s">
        <v>4894</v>
      </c>
      <c r="M3562" s="127">
        <v>45883</v>
      </c>
      <c r="N3562" s="127"/>
      <c r="O3562" s="127"/>
      <c r="P3562" s="115" t="str">
        <f ca="1">IF(Proc[[#This Row],[DaysAgeing]]&gt;5,"yep","on track")</f>
        <v>yep</v>
      </c>
      <c r="Q3562" s="3">
        <f ca="1">IF(Proc[[#This Row],[DateClosed]]="",ABS(NETWORKDAYS(Proc[[#This Row],[DateOpened]],TODAY()))-1,ABS(NETWORKDAYS(Proc[[#This Row],[DateOpened]],Proc[[#This Row],[DateClosed]]))-1)</f>
        <v>91</v>
      </c>
      <c r="R3562" s="115" t="s">
        <v>515</v>
      </c>
      <c r="S3562" s="129"/>
    </row>
    <row r="3563" spans="1:19" hidden="1">
      <c r="A3563" s="128" t="s">
        <v>5669</v>
      </c>
      <c r="B3563" s="149" t="str">
        <f>IFERROR(VLOOKUP(Proc[[#This Row],[App]],Table2[],3,0),"open")</f>
        <v>ok</v>
      </c>
      <c r="C3563" s="128" t="s">
        <v>369</v>
      </c>
      <c r="D3563" t="s">
        <v>5649</v>
      </c>
      <c r="E3563" t="s">
        <v>5668</v>
      </c>
      <c r="F3563" s="129" t="s">
        <v>5668</v>
      </c>
      <c r="G3563" s="128" t="s">
        <v>400</v>
      </c>
      <c r="H3563" s="129" t="str">
        <f>IF(Proc[[#This Row],[type]]="LFF (MDG-F)",MID(Proc[[#This Row],[Obj]],13,10),"")</f>
        <v/>
      </c>
      <c r="J3563" s="129" t="b">
        <f>Proc[[#This Row],[Requested]]=Proc[[#This Row],[CurrentParent]]</f>
        <v>1</v>
      </c>
      <c r="K3563" s="144" t="str">
        <f>IF(Proc[[#This Row],[Author]]="Marcela Urrego",VLOOKUP(LEFT(Proc[[#This Row],[Requested]],1),Table3[#All],2,0),VLOOKUP(Proc[[#This Row],[Author]],Table4[],2,0))</f>
        <v>MGF</v>
      </c>
      <c r="L3563" s="129" t="s">
        <v>4894</v>
      </c>
      <c r="M3563" s="127">
        <v>45883</v>
      </c>
      <c r="N3563" s="127"/>
      <c r="O3563" s="127"/>
      <c r="P3563" s="115" t="str">
        <f ca="1">IF(Proc[[#This Row],[DaysAgeing]]&gt;5,"yep","on track")</f>
        <v>yep</v>
      </c>
      <c r="Q3563" s="3">
        <f ca="1">IF(Proc[[#This Row],[DateClosed]]="",ABS(NETWORKDAYS(Proc[[#This Row],[DateOpened]],TODAY()))-1,ABS(NETWORKDAYS(Proc[[#This Row],[DateOpened]],Proc[[#This Row],[DateClosed]]))-1)</f>
        <v>91</v>
      </c>
      <c r="R3563" s="115" t="s">
        <v>515</v>
      </c>
      <c r="S3563" s="129"/>
    </row>
    <row r="3564" spans="1:19" hidden="1">
      <c r="A3564" s="128" t="s">
        <v>5669</v>
      </c>
      <c r="B3564" s="149" t="str">
        <f>IFERROR(VLOOKUP(Proc[[#This Row],[App]],Table2[],3,0),"open")</f>
        <v>ok</v>
      </c>
      <c r="C3564" s="128" t="s">
        <v>369</v>
      </c>
      <c r="D3564" t="s">
        <v>5650</v>
      </c>
      <c r="E3564" t="s">
        <v>5668</v>
      </c>
      <c r="F3564" s="129" t="s">
        <v>5668</v>
      </c>
      <c r="G3564" s="128" t="s">
        <v>400</v>
      </c>
      <c r="H3564" s="129" t="str">
        <f>IF(Proc[[#This Row],[type]]="LFF (MDG-F)",MID(Proc[[#This Row],[Obj]],13,10),"")</f>
        <v/>
      </c>
      <c r="J3564" s="129" t="b">
        <f>Proc[[#This Row],[Requested]]=Proc[[#This Row],[CurrentParent]]</f>
        <v>1</v>
      </c>
      <c r="K3564" s="144" t="str">
        <f>IF(Proc[[#This Row],[Author]]="Marcela Urrego",VLOOKUP(LEFT(Proc[[#This Row],[Requested]],1),Table3[#All],2,0),VLOOKUP(Proc[[#This Row],[Author]],Table4[],2,0))</f>
        <v>MGF</v>
      </c>
      <c r="L3564" s="129" t="s">
        <v>4894</v>
      </c>
      <c r="M3564" s="127">
        <v>45883</v>
      </c>
      <c r="N3564" s="127"/>
      <c r="O3564" s="127"/>
      <c r="P3564" s="115" t="str">
        <f ca="1">IF(Proc[[#This Row],[DaysAgeing]]&gt;5,"yep","on track")</f>
        <v>yep</v>
      </c>
      <c r="Q3564" s="3">
        <f ca="1">IF(Proc[[#This Row],[DateClosed]]="",ABS(NETWORKDAYS(Proc[[#This Row],[DateOpened]],TODAY()))-1,ABS(NETWORKDAYS(Proc[[#This Row],[DateOpened]],Proc[[#This Row],[DateClosed]]))-1)</f>
        <v>91</v>
      </c>
      <c r="R3564" s="115" t="s">
        <v>515</v>
      </c>
      <c r="S3564" s="129"/>
    </row>
    <row r="3565" spans="1:19" hidden="1">
      <c r="A3565" s="128" t="s">
        <v>5669</v>
      </c>
      <c r="B3565" s="149" t="str">
        <f>IFERROR(VLOOKUP(Proc[[#This Row],[App]],Table2[],3,0),"open")</f>
        <v>ok</v>
      </c>
      <c r="C3565" s="128" t="s">
        <v>369</v>
      </c>
      <c r="D3565" t="s">
        <v>5651</v>
      </c>
      <c r="E3565" t="s">
        <v>5668</v>
      </c>
      <c r="F3565" s="129" t="s">
        <v>5668</v>
      </c>
      <c r="G3565" s="128" t="s">
        <v>400</v>
      </c>
      <c r="H3565" s="129" t="str">
        <f>IF(Proc[[#This Row],[type]]="LFF (MDG-F)",MID(Proc[[#This Row],[Obj]],13,10),"")</f>
        <v/>
      </c>
      <c r="J3565" s="129" t="b">
        <f>Proc[[#This Row],[Requested]]=Proc[[#This Row],[CurrentParent]]</f>
        <v>1</v>
      </c>
      <c r="K3565" s="144" t="str">
        <f>IF(Proc[[#This Row],[Author]]="Marcela Urrego",VLOOKUP(LEFT(Proc[[#This Row],[Requested]],1),Table3[#All],2,0),VLOOKUP(Proc[[#This Row],[Author]],Table4[],2,0))</f>
        <v>MGF</v>
      </c>
      <c r="L3565" s="129" t="s">
        <v>4894</v>
      </c>
      <c r="M3565" s="127">
        <v>45883</v>
      </c>
      <c r="N3565" s="127"/>
      <c r="O3565" s="127"/>
      <c r="P3565" s="115" t="str">
        <f ca="1">IF(Proc[[#This Row],[DaysAgeing]]&gt;5,"yep","on track")</f>
        <v>yep</v>
      </c>
      <c r="Q3565" s="3">
        <f ca="1">IF(Proc[[#This Row],[DateClosed]]="",ABS(NETWORKDAYS(Proc[[#This Row],[DateOpened]],TODAY()))-1,ABS(NETWORKDAYS(Proc[[#This Row],[DateOpened]],Proc[[#This Row],[DateClosed]]))-1)</f>
        <v>91</v>
      </c>
      <c r="R3565" s="115" t="s">
        <v>515</v>
      </c>
      <c r="S3565" s="129"/>
    </row>
    <row r="3566" spans="1:19" hidden="1">
      <c r="A3566" s="128" t="s">
        <v>5669</v>
      </c>
      <c r="B3566" s="149" t="str">
        <f>IFERROR(VLOOKUP(Proc[[#This Row],[App]],Table2[],3,0),"open")</f>
        <v>ok</v>
      </c>
      <c r="C3566" s="128" t="s">
        <v>369</v>
      </c>
      <c r="D3566" t="s">
        <v>5652</v>
      </c>
      <c r="E3566" t="s">
        <v>5668</v>
      </c>
      <c r="F3566" s="129" t="s">
        <v>5668</v>
      </c>
      <c r="G3566" s="128" t="s">
        <v>400</v>
      </c>
      <c r="H3566" s="129" t="str">
        <f>IF(Proc[[#This Row],[type]]="LFF (MDG-F)",MID(Proc[[#This Row],[Obj]],13,10),"")</f>
        <v/>
      </c>
      <c r="J3566" s="129" t="b">
        <f>Proc[[#This Row],[Requested]]=Proc[[#This Row],[CurrentParent]]</f>
        <v>1</v>
      </c>
      <c r="K3566" s="144" t="str">
        <f>IF(Proc[[#This Row],[Author]]="Marcela Urrego",VLOOKUP(LEFT(Proc[[#This Row],[Requested]],1),Table3[#All],2,0),VLOOKUP(Proc[[#This Row],[Author]],Table4[],2,0))</f>
        <v>MGF</v>
      </c>
      <c r="L3566" s="129" t="s">
        <v>4894</v>
      </c>
      <c r="M3566" s="127">
        <v>45883</v>
      </c>
      <c r="N3566" s="127"/>
      <c r="O3566" s="127"/>
      <c r="P3566" s="115" t="str">
        <f ca="1">IF(Proc[[#This Row],[DaysAgeing]]&gt;5,"yep","on track")</f>
        <v>yep</v>
      </c>
      <c r="Q3566" s="3">
        <f ca="1">IF(Proc[[#This Row],[DateClosed]]="",ABS(NETWORKDAYS(Proc[[#This Row],[DateOpened]],TODAY()))-1,ABS(NETWORKDAYS(Proc[[#This Row],[DateOpened]],Proc[[#This Row],[DateClosed]]))-1)</f>
        <v>91</v>
      </c>
      <c r="R3566" s="115" t="s">
        <v>515</v>
      </c>
      <c r="S3566" s="129"/>
    </row>
    <row r="3567" spans="1:19" hidden="1">
      <c r="A3567" s="128" t="s">
        <v>5669</v>
      </c>
      <c r="B3567" s="149" t="str">
        <f>IFERROR(VLOOKUP(Proc[[#This Row],[App]],Table2[],3,0),"open")</f>
        <v>ok</v>
      </c>
      <c r="C3567" s="128" t="s">
        <v>369</v>
      </c>
      <c r="D3567" t="s">
        <v>5653</v>
      </c>
      <c r="E3567" t="s">
        <v>5668</v>
      </c>
      <c r="F3567" s="129" t="s">
        <v>5668</v>
      </c>
      <c r="G3567" s="128" t="s">
        <v>400</v>
      </c>
      <c r="H3567" s="129" t="str">
        <f>IF(Proc[[#This Row],[type]]="LFF (MDG-F)",MID(Proc[[#This Row],[Obj]],13,10),"")</f>
        <v/>
      </c>
      <c r="J3567" s="129" t="b">
        <f>Proc[[#This Row],[Requested]]=Proc[[#This Row],[CurrentParent]]</f>
        <v>1</v>
      </c>
      <c r="K3567" s="144" t="str">
        <f>IF(Proc[[#This Row],[Author]]="Marcela Urrego",VLOOKUP(LEFT(Proc[[#This Row],[Requested]],1),Table3[#All],2,0),VLOOKUP(Proc[[#This Row],[Author]],Table4[],2,0))</f>
        <v>MGF</v>
      </c>
      <c r="L3567" s="129" t="s">
        <v>4894</v>
      </c>
      <c r="M3567" s="127">
        <v>45883</v>
      </c>
      <c r="N3567" s="127"/>
      <c r="O3567" s="127"/>
      <c r="P3567" s="115" t="str">
        <f ca="1">IF(Proc[[#This Row],[DaysAgeing]]&gt;5,"yep","on track")</f>
        <v>yep</v>
      </c>
      <c r="Q3567" s="3">
        <f ca="1">IF(Proc[[#This Row],[DateClosed]]="",ABS(NETWORKDAYS(Proc[[#This Row],[DateOpened]],TODAY()))-1,ABS(NETWORKDAYS(Proc[[#This Row],[DateOpened]],Proc[[#This Row],[DateClosed]]))-1)</f>
        <v>91</v>
      </c>
      <c r="R3567" s="115" t="s">
        <v>515</v>
      </c>
      <c r="S3567" s="129"/>
    </row>
    <row r="3568" spans="1:19" hidden="1">
      <c r="A3568" s="128" t="s">
        <v>5669</v>
      </c>
      <c r="B3568" s="149" t="str">
        <f>IFERROR(VLOOKUP(Proc[[#This Row],[App]],Table2[],3,0),"open")</f>
        <v>ok</v>
      </c>
      <c r="C3568" s="128" t="s">
        <v>369</v>
      </c>
      <c r="D3568" t="s">
        <v>5654</v>
      </c>
      <c r="E3568" t="s">
        <v>5668</v>
      </c>
      <c r="F3568" s="129" t="s">
        <v>5668</v>
      </c>
      <c r="G3568" s="128" t="s">
        <v>400</v>
      </c>
      <c r="H3568" s="129" t="str">
        <f>IF(Proc[[#This Row],[type]]="LFF (MDG-F)",MID(Proc[[#This Row],[Obj]],13,10),"")</f>
        <v/>
      </c>
      <c r="J3568" s="129" t="b">
        <f>Proc[[#This Row],[Requested]]=Proc[[#This Row],[CurrentParent]]</f>
        <v>1</v>
      </c>
      <c r="K3568" s="144" t="str">
        <f>IF(Proc[[#This Row],[Author]]="Marcela Urrego",VLOOKUP(LEFT(Proc[[#This Row],[Requested]],1),Table3[#All],2,0),VLOOKUP(Proc[[#This Row],[Author]],Table4[],2,0))</f>
        <v>MGF</v>
      </c>
      <c r="L3568" s="129" t="s">
        <v>4894</v>
      </c>
      <c r="M3568" s="127">
        <v>45883</v>
      </c>
      <c r="N3568" s="127"/>
      <c r="O3568" s="127"/>
      <c r="P3568" s="115" t="str">
        <f ca="1">IF(Proc[[#This Row],[DaysAgeing]]&gt;5,"yep","on track")</f>
        <v>yep</v>
      </c>
      <c r="Q3568" s="3">
        <f ca="1">IF(Proc[[#This Row],[DateClosed]]="",ABS(NETWORKDAYS(Proc[[#This Row],[DateOpened]],TODAY()))-1,ABS(NETWORKDAYS(Proc[[#This Row],[DateOpened]],Proc[[#This Row],[DateClosed]]))-1)</f>
        <v>91</v>
      </c>
      <c r="R3568" s="115" t="s">
        <v>515</v>
      </c>
      <c r="S3568" s="129"/>
    </row>
    <row r="3569" spans="1:19" hidden="1">
      <c r="A3569" s="128" t="s">
        <v>5669</v>
      </c>
      <c r="B3569" s="149" t="str">
        <f>IFERROR(VLOOKUP(Proc[[#This Row],[App]],Table2[],3,0),"open")</f>
        <v>ok</v>
      </c>
      <c r="C3569" s="128" t="s">
        <v>369</v>
      </c>
      <c r="D3569" t="s">
        <v>5655</v>
      </c>
      <c r="E3569" t="s">
        <v>5668</v>
      </c>
      <c r="F3569" s="129" t="s">
        <v>5668</v>
      </c>
      <c r="G3569" s="128" t="s">
        <v>400</v>
      </c>
      <c r="H3569" s="129" t="str">
        <f>IF(Proc[[#This Row],[type]]="LFF (MDG-F)",MID(Proc[[#This Row],[Obj]],13,10),"")</f>
        <v/>
      </c>
      <c r="J3569" s="129" t="b">
        <f>Proc[[#This Row],[Requested]]=Proc[[#This Row],[CurrentParent]]</f>
        <v>1</v>
      </c>
      <c r="K3569" s="144" t="str">
        <f>IF(Proc[[#This Row],[Author]]="Marcela Urrego",VLOOKUP(LEFT(Proc[[#This Row],[Requested]],1),Table3[#All],2,0),VLOOKUP(Proc[[#This Row],[Author]],Table4[],2,0))</f>
        <v>MGF</v>
      </c>
      <c r="L3569" s="129" t="s">
        <v>4894</v>
      </c>
      <c r="M3569" s="127">
        <v>45883</v>
      </c>
      <c r="N3569" s="127"/>
      <c r="O3569" s="127"/>
      <c r="P3569" s="115" t="str">
        <f ca="1">IF(Proc[[#This Row],[DaysAgeing]]&gt;5,"yep","on track")</f>
        <v>yep</v>
      </c>
      <c r="Q3569" s="3">
        <f ca="1">IF(Proc[[#This Row],[DateClosed]]="",ABS(NETWORKDAYS(Proc[[#This Row],[DateOpened]],TODAY()))-1,ABS(NETWORKDAYS(Proc[[#This Row],[DateOpened]],Proc[[#This Row],[DateClosed]]))-1)</f>
        <v>91</v>
      </c>
      <c r="R3569" s="115" t="s">
        <v>515</v>
      </c>
      <c r="S3569" s="129"/>
    </row>
    <row r="3570" spans="1:19" hidden="1">
      <c r="A3570" s="128" t="s">
        <v>5669</v>
      </c>
      <c r="B3570" s="149" t="str">
        <f>IFERROR(VLOOKUP(Proc[[#This Row],[App]],Table2[],3,0),"open")</f>
        <v>ok</v>
      </c>
      <c r="C3570" s="128" t="s">
        <v>369</v>
      </c>
      <c r="D3570" t="s">
        <v>5656</v>
      </c>
      <c r="E3570" t="s">
        <v>5668</v>
      </c>
      <c r="F3570" s="129" t="s">
        <v>5668</v>
      </c>
      <c r="G3570" s="128" t="s">
        <v>400</v>
      </c>
      <c r="H3570" s="129" t="str">
        <f>IF(Proc[[#This Row],[type]]="LFF (MDG-F)",MID(Proc[[#This Row],[Obj]],13,10),"")</f>
        <v/>
      </c>
      <c r="J3570" s="129" t="b">
        <f>Proc[[#This Row],[Requested]]=Proc[[#This Row],[CurrentParent]]</f>
        <v>1</v>
      </c>
      <c r="K3570" s="144" t="str">
        <f>IF(Proc[[#This Row],[Author]]="Marcela Urrego",VLOOKUP(LEFT(Proc[[#This Row],[Requested]],1),Table3[#All],2,0),VLOOKUP(Proc[[#This Row],[Author]],Table4[],2,0))</f>
        <v>MGF</v>
      </c>
      <c r="L3570" s="129" t="s">
        <v>4894</v>
      </c>
      <c r="M3570" s="127">
        <v>45883</v>
      </c>
      <c r="N3570" s="127"/>
      <c r="O3570" s="127"/>
      <c r="P3570" s="115" t="str">
        <f ca="1">IF(Proc[[#This Row],[DaysAgeing]]&gt;5,"yep","on track")</f>
        <v>yep</v>
      </c>
      <c r="Q3570" s="3">
        <f ca="1">IF(Proc[[#This Row],[DateClosed]]="",ABS(NETWORKDAYS(Proc[[#This Row],[DateOpened]],TODAY()))-1,ABS(NETWORKDAYS(Proc[[#This Row],[DateOpened]],Proc[[#This Row],[DateClosed]]))-1)</f>
        <v>91</v>
      </c>
      <c r="R3570" s="115" t="s">
        <v>515</v>
      </c>
      <c r="S3570" s="129"/>
    </row>
    <row r="3571" spans="1:19" hidden="1">
      <c r="A3571" s="128" t="s">
        <v>5669</v>
      </c>
      <c r="B3571" s="149" t="str">
        <f>IFERROR(VLOOKUP(Proc[[#This Row],[App]],Table2[],3,0),"open")</f>
        <v>ok</v>
      </c>
      <c r="C3571" s="128" t="s">
        <v>369</v>
      </c>
      <c r="D3571" t="s">
        <v>5657</v>
      </c>
      <c r="E3571" t="s">
        <v>5668</v>
      </c>
      <c r="F3571" s="129" t="s">
        <v>5668</v>
      </c>
      <c r="G3571" s="128" t="s">
        <v>400</v>
      </c>
      <c r="H3571" s="129" t="str">
        <f>IF(Proc[[#This Row],[type]]="LFF (MDG-F)",MID(Proc[[#This Row],[Obj]],13,10),"")</f>
        <v/>
      </c>
      <c r="J3571" s="129" t="b">
        <f>Proc[[#This Row],[Requested]]=Proc[[#This Row],[CurrentParent]]</f>
        <v>1</v>
      </c>
      <c r="K3571" s="144" t="str">
        <f>IF(Proc[[#This Row],[Author]]="Marcela Urrego",VLOOKUP(LEFT(Proc[[#This Row],[Requested]],1),Table3[#All],2,0),VLOOKUP(Proc[[#This Row],[Author]],Table4[],2,0))</f>
        <v>MGF</v>
      </c>
      <c r="L3571" s="129" t="s">
        <v>4894</v>
      </c>
      <c r="M3571" s="127">
        <v>45883</v>
      </c>
      <c r="N3571" s="127"/>
      <c r="O3571" s="127"/>
      <c r="P3571" s="115" t="str">
        <f ca="1">IF(Proc[[#This Row],[DaysAgeing]]&gt;5,"yep","on track")</f>
        <v>yep</v>
      </c>
      <c r="Q3571" s="3">
        <f ca="1">IF(Proc[[#This Row],[DateClosed]]="",ABS(NETWORKDAYS(Proc[[#This Row],[DateOpened]],TODAY()))-1,ABS(NETWORKDAYS(Proc[[#This Row],[DateOpened]],Proc[[#This Row],[DateClosed]]))-1)</f>
        <v>91</v>
      </c>
      <c r="R3571" s="115" t="s">
        <v>515</v>
      </c>
      <c r="S3571" s="129"/>
    </row>
    <row r="3572" spans="1:19" hidden="1">
      <c r="A3572" s="128" t="s">
        <v>5669</v>
      </c>
      <c r="B3572" s="149" t="str">
        <f>IFERROR(VLOOKUP(Proc[[#This Row],[App]],Table2[],3,0),"open")</f>
        <v>ok</v>
      </c>
      <c r="C3572" s="128" t="s">
        <v>369</v>
      </c>
      <c r="D3572" t="s">
        <v>5658</v>
      </c>
      <c r="E3572" t="s">
        <v>5668</v>
      </c>
      <c r="F3572" s="129" t="s">
        <v>5668</v>
      </c>
      <c r="G3572" s="128" t="s">
        <v>400</v>
      </c>
      <c r="H3572" s="129" t="str">
        <f>IF(Proc[[#This Row],[type]]="LFF (MDG-F)",MID(Proc[[#This Row],[Obj]],13,10),"")</f>
        <v/>
      </c>
      <c r="J3572" s="129" t="b">
        <f>Proc[[#This Row],[Requested]]=Proc[[#This Row],[CurrentParent]]</f>
        <v>1</v>
      </c>
      <c r="K3572" s="144" t="str">
        <f>IF(Proc[[#This Row],[Author]]="Marcela Urrego",VLOOKUP(LEFT(Proc[[#This Row],[Requested]],1),Table3[#All],2,0),VLOOKUP(Proc[[#This Row],[Author]],Table4[],2,0))</f>
        <v>MGF</v>
      </c>
      <c r="L3572" s="129" t="s">
        <v>4894</v>
      </c>
      <c r="M3572" s="127">
        <v>45883</v>
      </c>
      <c r="N3572" s="127"/>
      <c r="O3572" s="127"/>
      <c r="P3572" s="115" t="str">
        <f ca="1">IF(Proc[[#This Row],[DaysAgeing]]&gt;5,"yep","on track")</f>
        <v>yep</v>
      </c>
      <c r="Q3572" s="3">
        <f ca="1">IF(Proc[[#This Row],[DateClosed]]="",ABS(NETWORKDAYS(Proc[[#This Row],[DateOpened]],TODAY()))-1,ABS(NETWORKDAYS(Proc[[#This Row],[DateOpened]],Proc[[#This Row],[DateClosed]]))-1)</f>
        <v>91</v>
      </c>
      <c r="R3572" s="115" t="s">
        <v>515</v>
      </c>
      <c r="S3572" s="129"/>
    </row>
    <row r="3573" spans="1:19" hidden="1">
      <c r="A3573" s="128" t="s">
        <v>5669</v>
      </c>
      <c r="B3573" s="149" t="str">
        <f>IFERROR(VLOOKUP(Proc[[#This Row],[App]],Table2[],3,0),"open")</f>
        <v>ok</v>
      </c>
      <c r="C3573" s="128" t="s">
        <v>369</v>
      </c>
      <c r="D3573" t="s">
        <v>5659</v>
      </c>
      <c r="E3573" t="s">
        <v>5668</v>
      </c>
      <c r="F3573" s="129" t="s">
        <v>5668</v>
      </c>
      <c r="G3573" s="128" t="s">
        <v>400</v>
      </c>
      <c r="H3573" s="129" t="str">
        <f>IF(Proc[[#This Row],[type]]="LFF (MDG-F)",MID(Proc[[#This Row],[Obj]],13,10),"")</f>
        <v/>
      </c>
      <c r="J3573" s="129" t="b">
        <f>Proc[[#This Row],[Requested]]=Proc[[#This Row],[CurrentParent]]</f>
        <v>1</v>
      </c>
      <c r="K3573" s="144" t="str">
        <f>IF(Proc[[#This Row],[Author]]="Marcela Urrego",VLOOKUP(LEFT(Proc[[#This Row],[Requested]],1),Table3[#All],2,0),VLOOKUP(Proc[[#This Row],[Author]],Table4[],2,0))</f>
        <v>MGF</v>
      </c>
      <c r="L3573" s="129" t="s">
        <v>4894</v>
      </c>
      <c r="M3573" s="127">
        <v>45883</v>
      </c>
      <c r="N3573" s="127"/>
      <c r="O3573" s="127"/>
      <c r="P3573" s="115" t="str">
        <f ca="1">IF(Proc[[#This Row],[DaysAgeing]]&gt;5,"yep","on track")</f>
        <v>yep</v>
      </c>
      <c r="Q3573" s="3">
        <f ca="1">IF(Proc[[#This Row],[DateClosed]]="",ABS(NETWORKDAYS(Proc[[#This Row],[DateOpened]],TODAY()))-1,ABS(NETWORKDAYS(Proc[[#This Row],[DateOpened]],Proc[[#This Row],[DateClosed]]))-1)</f>
        <v>91</v>
      </c>
      <c r="R3573" s="115" t="s">
        <v>515</v>
      </c>
      <c r="S3573" s="129"/>
    </row>
    <row r="3574" spans="1:19" hidden="1">
      <c r="A3574" s="128" t="s">
        <v>5669</v>
      </c>
      <c r="B3574" s="149" t="str">
        <f>IFERROR(VLOOKUP(Proc[[#This Row],[App]],Table2[],3,0),"open")</f>
        <v>ok</v>
      </c>
      <c r="C3574" s="128" t="s">
        <v>369</v>
      </c>
      <c r="D3574" t="s">
        <v>5660</v>
      </c>
      <c r="E3574" t="s">
        <v>5668</v>
      </c>
      <c r="F3574" s="129" t="s">
        <v>5668</v>
      </c>
      <c r="G3574" s="128" t="s">
        <v>400</v>
      </c>
      <c r="H3574" s="129" t="str">
        <f>IF(Proc[[#This Row],[type]]="LFF (MDG-F)",MID(Proc[[#This Row],[Obj]],13,10),"")</f>
        <v/>
      </c>
      <c r="J3574" s="129" t="b">
        <f>Proc[[#This Row],[Requested]]=Proc[[#This Row],[CurrentParent]]</f>
        <v>1</v>
      </c>
      <c r="K3574" s="144" t="str">
        <f>IF(Proc[[#This Row],[Author]]="Marcela Urrego",VLOOKUP(LEFT(Proc[[#This Row],[Requested]],1),Table3[#All],2,0),VLOOKUP(Proc[[#This Row],[Author]],Table4[],2,0))</f>
        <v>MGF</v>
      </c>
      <c r="L3574" s="129" t="s">
        <v>4894</v>
      </c>
      <c r="M3574" s="127">
        <v>45883</v>
      </c>
      <c r="N3574" s="127"/>
      <c r="O3574" s="127"/>
      <c r="P3574" s="115" t="str">
        <f ca="1">IF(Proc[[#This Row],[DaysAgeing]]&gt;5,"yep","on track")</f>
        <v>yep</v>
      </c>
      <c r="Q3574" s="3">
        <f ca="1">IF(Proc[[#This Row],[DateClosed]]="",ABS(NETWORKDAYS(Proc[[#This Row],[DateOpened]],TODAY()))-1,ABS(NETWORKDAYS(Proc[[#This Row],[DateOpened]],Proc[[#This Row],[DateClosed]]))-1)</f>
        <v>91</v>
      </c>
      <c r="R3574" s="115" t="s">
        <v>515</v>
      </c>
      <c r="S3574" s="129"/>
    </row>
    <row r="3575" spans="1:19" hidden="1">
      <c r="A3575" s="128" t="s">
        <v>5669</v>
      </c>
      <c r="B3575" s="149" t="str">
        <f>IFERROR(VLOOKUP(Proc[[#This Row],[App]],Table2[],3,0),"open")</f>
        <v>ok</v>
      </c>
      <c r="C3575" s="128" t="s">
        <v>369</v>
      </c>
      <c r="D3575" t="s">
        <v>5661</v>
      </c>
      <c r="E3575" t="s">
        <v>5668</v>
      </c>
      <c r="F3575" s="129" t="s">
        <v>5668</v>
      </c>
      <c r="G3575" s="128" t="s">
        <v>400</v>
      </c>
      <c r="H3575" s="129" t="str">
        <f>IF(Proc[[#This Row],[type]]="LFF (MDG-F)",MID(Proc[[#This Row],[Obj]],13,10),"")</f>
        <v/>
      </c>
      <c r="J3575" s="129" t="b">
        <f>Proc[[#This Row],[Requested]]=Proc[[#This Row],[CurrentParent]]</f>
        <v>1</v>
      </c>
      <c r="K3575" s="144" t="str">
        <f>IF(Proc[[#This Row],[Author]]="Marcela Urrego",VLOOKUP(LEFT(Proc[[#This Row],[Requested]],1),Table3[#All],2,0),VLOOKUP(Proc[[#This Row],[Author]],Table4[],2,0))</f>
        <v>MGF</v>
      </c>
      <c r="L3575" s="129" t="s">
        <v>4894</v>
      </c>
      <c r="M3575" s="127">
        <v>45883</v>
      </c>
      <c r="N3575" s="127"/>
      <c r="O3575" s="127"/>
      <c r="P3575" s="115" t="str">
        <f ca="1">IF(Proc[[#This Row],[DaysAgeing]]&gt;5,"yep","on track")</f>
        <v>yep</v>
      </c>
      <c r="Q3575" s="3">
        <f ca="1">IF(Proc[[#This Row],[DateClosed]]="",ABS(NETWORKDAYS(Proc[[#This Row],[DateOpened]],TODAY()))-1,ABS(NETWORKDAYS(Proc[[#This Row],[DateOpened]],Proc[[#This Row],[DateClosed]]))-1)</f>
        <v>91</v>
      </c>
      <c r="R3575" s="115" t="s">
        <v>515</v>
      </c>
      <c r="S3575" s="129"/>
    </row>
    <row r="3576" spans="1:19" hidden="1">
      <c r="A3576" s="128" t="s">
        <v>5669</v>
      </c>
      <c r="B3576" s="149" t="str">
        <f>IFERROR(VLOOKUP(Proc[[#This Row],[App]],Table2[],3,0),"open")</f>
        <v>ok</v>
      </c>
      <c r="C3576" s="128" t="s">
        <v>369</v>
      </c>
      <c r="D3576" t="s">
        <v>5662</v>
      </c>
      <c r="E3576" t="s">
        <v>5668</v>
      </c>
      <c r="F3576" s="129" t="s">
        <v>5668</v>
      </c>
      <c r="G3576" s="128" t="s">
        <v>400</v>
      </c>
      <c r="H3576" s="129" t="str">
        <f>IF(Proc[[#This Row],[type]]="LFF (MDG-F)",MID(Proc[[#This Row],[Obj]],13,10),"")</f>
        <v/>
      </c>
      <c r="J3576" s="129" t="b">
        <f>Proc[[#This Row],[Requested]]=Proc[[#This Row],[CurrentParent]]</f>
        <v>1</v>
      </c>
      <c r="K3576" s="144" t="str">
        <f>IF(Proc[[#This Row],[Author]]="Marcela Urrego",VLOOKUP(LEFT(Proc[[#This Row],[Requested]],1),Table3[#All],2,0),VLOOKUP(Proc[[#This Row],[Author]],Table4[],2,0))</f>
        <v>MGF</v>
      </c>
      <c r="L3576" s="129" t="s">
        <v>4894</v>
      </c>
      <c r="M3576" s="127">
        <v>45883</v>
      </c>
      <c r="N3576" s="127"/>
      <c r="O3576" s="127"/>
      <c r="P3576" s="115" t="str">
        <f ca="1">IF(Proc[[#This Row],[DaysAgeing]]&gt;5,"yep","on track")</f>
        <v>yep</v>
      </c>
      <c r="Q3576" s="3">
        <f ca="1">IF(Proc[[#This Row],[DateClosed]]="",ABS(NETWORKDAYS(Proc[[#This Row],[DateOpened]],TODAY()))-1,ABS(NETWORKDAYS(Proc[[#This Row],[DateOpened]],Proc[[#This Row],[DateClosed]]))-1)</f>
        <v>91</v>
      </c>
      <c r="R3576" s="115" t="s">
        <v>515</v>
      </c>
      <c r="S3576" s="129"/>
    </row>
    <row r="3577" spans="1:19" hidden="1">
      <c r="A3577" s="128" t="s">
        <v>5669</v>
      </c>
      <c r="B3577" s="149" t="str">
        <f>IFERROR(VLOOKUP(Proc[[#This Row],[App]],Table2[],3,0),"open")</f>
        <v>ok</v>
      </c>
      <c r="C3577" s="128" t="s">
        <v>369</v>
      </c>
      <c r="D3577" t="s">
        <v>5663</v>
      </c>
      <c r="E3577" t="s">
        <v>5668</v>
      </c>
      <c r="F3577" s="129" t="s">
        <v>5668</v>
      </c>
      <c r="G3577" s="128" t="s">
        <v>400</v>
      </c>
      <c r="H3577" s="129" t="str">
        <f>IF(Proc[[#This Row],[type]]="LFF (MDG-F)",MID(Proc[[#This Row],[Obj]],13,10),"")</f>
        <v/>
      </c>
      <c r="J3577" s="129" t="b">
        <f>Proc[[#This Row],[Requested]]=Proc[[#This Row],[CurrentParent]]</f>
        <v>1</v>
      </c>
      <c r="K3577" s="144" t="str">
        <f>IF(Proc[[#This Row],[Author]]="Marcela Urrego",VLOOKUP(LEFT(Proc[[#This Row],[Requested]],1),Table3[#All],2,0),VLOOKUP(Proc[[#This Row],[Author]],Table4[],2,0))</f>
        <v>MGF</v>
      </c>
      <c r="L3577" s="129" t="s">
        <v>4894</v>
      </c>
      <c r="M3577" s="127">
        <v>45883</v>
      </c>
      <c r="N3577" s="127"/>
      <c r="O3577" s="127"/>
      <c r="P3577" s="115" t="str">
        <f ca="1">IF(Proc[[#This Row],[DaysAgeing]]&gt;5,"yep","on track")</f>
        <v>yep</v>
      </c>
      <c r="Q3577" s="3">
        <f ca="1">IF(Proc[[#This Row],[DateClosed]]="",ABS(NETWORKDAYS(Proc[[#This Row],[DateOpened]],TODAY()))-1,ABS(NETWORKDAYS(Proc[[#This Row],[DateOpened]],Proc[[#This Row],[DateClosed]]))-1)</f>
        <v>91</v>
      </c>
      <c r="R3577" s="115" t="s">
        <v>515</v>
      </c>
      <c r="S3577" s="129"/>
    </row>
    <row r="3578" spans="1:19" hidden="1">
      <c r="A3578" s="128" t="s">
        <v>5669</v>
      </c>
      <c r="B3578" s="149" t="str">
        <f>IFERROR(VLOOKUP(Proc[[#This Row],[App]],Table2[],3,0),"open")</f>
        <v>ok</v>
      </c>
      <c r="C3578" s="128" t="s">
        <v>369</v>
      </c>
      <c r="D3578" t="s">
        <v>5664</v>
      </c>
      <c r="E3578" t="s">
        <v>5668</v>
      </c>
      <c r="F3578" s="129" t="s">
        <v>5668</v>
      </c>
      <c r="G3578" s="128" t="s">
        <v>400</v>
      </c>
      <c r="H3578" s="129" t="str">
        <f>IF(Proc[[#This Row],[type]]="LFF (MDG-F)",MID(Proc[[#This Row],[Obj]],13,10),"")</f>
        <v/>
      </c>
      <c r="J3578" s="129" t="b">
        <f>Proc[[#This Row],[Requested]]=Proc[[#This Row],[CurrentParent]]</f>
        <v>1</v>
      </c>
      <c r="K3578" s="144" t="str">
        <f>IF(Proc[[#This Row],[Author]]="Marcela Urrego",VLOOKUP(LEFT(Proc[[#This Row],[Requested]],1),Table3[#All],2,0),VLOOKUP(Proc[[#This Row],[Author]],Table4[],2,0))</f>
        <v>MGF</v>
      </c>
      <c r="L3578" s="129" t="s">
        <v>4894</v>
      </c>
      <c r="M3578" s="127">
        <v>45883</v>
      </c>
      <c r="N3578" s="127"/>
      <c r="O3578" s="127"/>
      <c r="P3578" s="115" t="str">
        <f ca="1">IF(Proc[[#This Row],[DaysAgeing]]&gt;5,"yep","on track")</f>
        <v>yep</v>
      </c>
      <c r="Q3578" s="3">
        <f ca="1">IF(Proc[[#This Row],[DateClosed]]="",ABS(NETWORKDAYS(Proc[[#This Row],[DateOpened]],TODAY()))-1,ABS(NETWORKDAYS(Proc[[#This Row],[DateOpened]],Proc[[#This Row],[DateClosed]]))-1)</f>
        <v>91</v>
      </c>
      <c r="R3578" s="115" t="s">
        <v>515</v>
      </c>
      <c r="S3578" s="129"/>
    </row>
    <row r="3579" spans="1:19" hidden="1">
      <c r="A3579" s="128" t="s">
        <v>5669</v>
      </c>
      <c r="B3579" s="149" t="str">
        <f>IFERROR(VLOOKUP(Proc[[#This Row],[App]],Table2[],3,0),"open")</f>
        <v>ok</v>
      </c>
      <c r="C3579" s="128" t="s">
        <v>369</v>
      </c>
      <c r="D3579" t="s">
        <v>5665</v>
      </c>
      <c r="E3579" t="s">
        <v>5668</v>
      </c>
      <c r="F3579" s="129" t="s">
        <v>5668</v>
      </c>
      <c r="G3579" s="128" t="s">
        <v>400</v>
      </c>
      <c r="H3579" s="129" t="str">
        <f>IF(Proc[[#This Row],[type]]="LFF (MDG-F)",MID(Proc[[#This Row],[Obj]],13,10),"")</f>
        <v/>
      </c>
      <c r="J3579" s="129" t="b">
        <f>Proc[[#This Row],[Requested]]=Proc[[#This Row],[CurrentParent]]</f>
        <v>1</v>
      </c>
      <c r="K3579" s="144" t="str">
        <f>IF(Proc[[#This Row],[Author]]="Marcela Urrego",VLOOKUP(LEFT(Proc[[#This Row],[Requested]],1),Table3[#All],2,0),VLOOKUP(Proc[[#This Row],[Author]],Table4[],2,0))</f>
        <v>MGF</v>
      </c>
      <c r="L3579" s="129" t="s">
        <v>4894</v>
      </c>
      <c r="M3579" s="127">
        <v>45883</v>
      </c>
      <c r="N3579" s="127"/>
      <c r="O3579" s="127"/>
      <c r="P3579" s="115" t="str">
        <f ca="1">IF(Proc[[#This Row],[DaysAgeing]]&gt;5,"yep","on track")</f>
        <v>yep</v>
      </c>
      <c r="Q3579" s="3">
        <f ca="1">IF(Proc[[#This Row],[DateClosed]]="",ABS(NETWORKDAYS(Proc[[#This Row],[DateOpened]],TODAY()))-1,ABS(NETWORKDAYS(Proc[[#This Row],[DateOpened]],Proc[[#This Row],[DateClosed]]))-1)</f>
        <v>91</v>
      </c>
      <c r="R3579" s="115" t="s">
        <v>515</v>
      </c>
      <c r="S3579" s="129"/>
    </row>
    <row r="3580" spans="1:19" hidden="1">
      <c r="A3580" s="128" t="s">
        <v>5669</v>
      </c>
      <c r="B3580" s="149" t="str">
        <f>IFERROR(VLOOKUP(Proc[[#This Row],[App]],Table2[],3,0),"open")</f>
        <v>ok</v>
      </c>
      <c r="C3580" s="128" t="s">
        <v>369</v>
      </c>
      <c r="D3580" t="s">
        <v>5666</v>
      </c>
      <c r="E3580" t="s">
        <v>5668</v>
      </c>
      <c r="F3580" s="129" t="s">
        <v>5668</v>
      </c>
      <c r="G3580" s="128" t="s">
        <v>400</v>
      </c>
      <c r="H3580" s="129" t="str">
        <f>IF(Proc[[#This Row],[type]]="LFF (MDG-F)",MID(Proc[[#This Row],[Obj]],13,10),"")</f>
        <v/>
      </c>
      <c r="J3580" s="129" t="b">
        <f>Proc[[#This Row],[Requested]]=Proc[[#This Row],[CurrentParent]]</f>
        <v>1</v>
      </c>
      <c r="K3580" s="144" t="str">
        <f>IF(Proc[[#This Row],[Author]]="Marcela Urrego",VLOOKUP(LEFT(Proc[[#This Row],[Requested]],1),Table3[#All],2,0),VLOOKUP(Proc[[#This Row],[Author]],Table4[],2,0))</f>
        <v>MGF</v>
      </c>
      <c r="L3580" s="129" t="s">
        <v>4894</v>
      </c>
      <c r="M3580" s="127">
        <v>45883</v>
      </c>
      <c r="N3580" s="127"/>
      <c r="O3580" s="127"/>
      <c r="P3580" s="115" t="str">
        <f ca="1">IF(Proc[[#This Row],[DaysAgeing]]&gt;5,"yep","on track")</f>
        <v>yep</v>
      </c>
      <c r="Q3580" s="3">
        <f ca="1">IF(Proc[[#This Row],[DateClosed]]="",ABS(NETWORKDAYS(Proc[[#This Row],[DateOpened]],TODAY()))-1,ABS(NETWORKDAYS(Proc[[#This Row],[DateOpened]],Proc[[#This Row],[DateClosed]]))-1)</f>
        <v>91</v>
      </c>
      <c r="R3580" s="115" t="s">
        <v>515</v>
      </c>
      <c r="S3580" s="129"/>
    </row>
    <row r="3581" spans="1:19" hidden="1">
      <c r="A3581" s="128" t="s">
        <v>5669</v>
      </c>
      <c r="B3581" s="149" t="str">
        <f>IFERROR(VLOOKUP(Proc[[#This Row],[App]],Table2[],3,0),"open")</f>
        <v>ok</v>
      </c>
      <c r="C3581" s="128" t="s">
        <v>369</v>
      </c>
      <c r="D3581" t="s">
        <v>5667</v>
      </c>
      <c r="E3581" t="s">
        <v>5668</v>
      </c>
      <c r="F3581" s="129" t="s">
        <v>5668</v>
      </c>
      <c r="G3581" s="128" t="s">
        <v>400</v>
      </c>
      <c r="H3581" s="129" t="str">
        <f>IF(Proc[[#This Row],[type]]="LFF (MDG-F)",MID(Proc[[#This Row],[Obj]],13,10),"")</f>
        <v/>
      </c>
      <c r="J3581" s="129" t="b">
        <f>Proc[[#This Row],[Requested]]=Proc[[#This Row],[CurrentParent]]</f>
        <v>1</v>
      </c>
      <c r="K3581" s="144" t="str">
        <f>IF(Proc[[#This Row],[Author]]="Marcela Urrego",VLOOKUP(LEFT(Proc[[#This Row],[Requested]],1),Table3[#All],2,0),VLOOKUP(Proc[[#This Row],[Author]],Table4[],2,0))</f>
        <v>MGF</v>
      </c>
      <c r="L3581" s="129" t="s">
        <v>4894</v>
      </c>
      <c r="M3581" s="127">
        <v>45883</v>
      </c>
      <c r="N3581" s="127"/>
      <c r="O3581" s="127"/>
      <c r="P3581" s="115" t="str">
        <f ca="1">IF(Proc[[#This Row],[DaysAgeing]]&gt;5,"yep","on track")</f>
        <v>yep</v>
      </c>
      <c r="Q3581" s="3">
        <f ca="1">IF(Proc[[#This Row],[DateClosed]]="",ABS(NETWORKDAYS(Proc[[#This Row],[DateOpened]],TODAY()))-1,ABS(NETWORKDAYS(Proc[[#This Row],[DateOpened]],Proc[[#This Row],[DateClosed]]))-1)</f>
        <v>91</v>
      </c>
      <c r="R3581" s="115" t="s">
        <v>515</v>
      </c>
      <c r="S3581" s="129"/>
    </row>
    <row r="3582" spans="1:19" hidden="1">
      <c r="A3582" t="s">
        <v>5670</v>
      </c>
      <c r="B3582" s="149" t="str">
        <f>IFERROR(VLOOKUP(Proc[[#This Row],[App]],Table2[],3,0),"open")</f>
        <v>ok</v>
      </c>
      <c r="C3582" s="128" t="s">
        <v>369</v>
      </c>
      <c r="D3582" t="s">
        <v>5699</v>
      </c>
      <c r="E3582" t="s">
        <v>5671</v>
      </c>
      <c r="F3582" s="129" t="s">
        <v>5671</v>
      </c>
      <c r="G3582" s="128" t="s">
        <v>400</v>
      </c>
      <c r="H3582" s="129" t="str">
        <f>IF(Proc[[#This Row],[type]]="LFF (MDG-F)",MID(Proc[[#This Row],[Obj]],13,10),"")</f>
        <v/>
      </c>
      <c r="J3582" s="129" t="b">
        <f>Proc[[#This Row],[Requested]]=Proc[[#This Row],[CurrentParent]]</f>
        <v>1</v>
      </c>
      <c r="K3582" s="144" t="str">
        <f>IF(Proc[[#This Row],[Author]]="Marcela Urrego",VLOOKUP(LEFT(Proc[[#This Row],[Requested]],1),Table3[#All],2,0),VLOOKUP(Proc[[#This Row],[Author]],Table4[],2,0))</f>
        <v>LS</v>
      </c>
      <c r="L3582" s="129" t="s">
        <v>4894</v>
      </c>
      <c r="M3582" s="127">
        <v>45883</v>
      </c>
      <c r="N3582" s="127"/>
      <c r="O3582" s="127"/>
      <c r="P3582" s="115" t="str">
        <f ca="1">IF(Proc[[#This Row],[DaysAgeing]]&gt;5,"yep","on track")</f>
        <v>yep</v>
      </c>
      <c r="Q3582" s="3">
        <f ca="1">IF(Proc[[#This Row],[DateClosed]]="",ABS(NETWORKDAYS(Proc[[#This Row],[DateOpened]],TODAY()))-1,ABS(NETWORKDAYS(Proc[[#This Row],[DateOpened]],Proc[[#This Row],[DateClosed]]))-1)</f>
        <v>91</v>
      </c>
      <c r="R3582" s="115" t="s">
        <v>1262</v>
      </c>
      <c r="S3582" s="129"/>
    </row>
    <row r="3583" spans="1:19" hidden="1">
      <c r="A3583" t="s">
        <v>5672</v>
      </c>
      <c r="B3583" s="149" t="str">
        <f>IFERROR(VLOOKUP(Proc[[#This Row],[App]],Table2[],3,0),"open")</f>
        <v>ok</v>
      </c>
      <c r="C3583" s="128" t="s">
        <v>369</v>
      </c>
      <c r="D3583" t="s">
        <v>5673</v>
      </c>
      <c r="E3583" t="s">
        <v>5679</v>
      </c>
      <c r="F3583" s="129" t="s">
        <v>5679</v>
      </c>
      <c r="G3583" t="s">
        <v>400</v>
      </c>
      <c r="H3583" s="129" t="str">
        <f>IF(Proc[[#This Row],[type]]="LFF (MDG-F)",MID(Proc[[#This Row],[Obj]],13,10),"")</f>
        <v/>
      </c>
      <c r="J3583" s="129" t="b">
        <f>Proc[[#This Row],[Requested]]=Proc[[#This Row],[CurrentParent]]</f>
        <v>1</v>
      </c>
      <c r="K3583" s="144" t="str">
        <f>IF(Proc[[#This Row],[Author]]="Marcela Urrego",VLOOKUP(LEFT(Proc[[#This Row],[Requested]],1),Table3[#All],2,0),VLOOKUP(Proc[[#This Row],[Author]],Table4[],2,0))</f>
        <v>HC</v>
      </c>
      <c r="L3583" s="129" t="s">
        <v>4894</v>
      </c>
      <c r="M3583" s="127">
        <v>45884</v>
      </c>
      <c r="N3583" s="127"/>
      <c r="O3583" s="127"/>
      <c r="P3583" s="130" t="str">
        <f ca="1">IF(Proc[[#This Row],[DaysAgeing]]&gt;5,"yep","on track")</f>
        <v>yep</v>
      </c>
      <c r="Q3583" s="3">
        <f ca="1">IF(Proc[[#This Row],[DateClosed]]="",ABS(NETWORKDAYS(Proc[[#This Row],[DateOpened]],TODAY()))-1,ABS(NETWORKDAYS(Proc[[#This Row],[DateOpened]],Proc[[#This Row],[DateClosed]]))-1)</f>
        <v>90</v>
      </c>
      <c r="R3583" s="130" t="s">
        <v>5682</v>
      </c>
      <c r="S3583" s="129"/>
    </row>
    <row r="3584" spans="1:19" hidden="1">
      <c r="A3584" s="128" t="s">
        <v>5672</v>
      </c>
      <c r="B3584" s="149" t="str">
        <f>IFERROR(VLOOKUP(Proc[[#This Row],[App]],Table2[],3,0),"open")</f>
        <v>ok</v>
      </c>
      <c r="C3584" s="128" t="s">
        <v>369</v>
      </c>
      <c r="D3584" t="s">
        <v>5674</v>
      </c>
      <c r="E3584" t="s">
        <v>5680</v>
      </c>
      <c r="F3584" s="129" t="s">
        <v>5680</v>
      </c>
      <c r="G3584" s="128" t="s">
        <v>400</v>
      </c>
      <c r="H3584" s="129" t="str">
        <f>IF(Proc[[#This Row],[type]]="LFF (MDG-F)",MID(Proc[[#This Row],[Obj]],13,10),"")</f>
        <v/>
      </c>
      <c r="J3584" s="129" t="b">
        <f>Proc[[#This Row],[Requested]]=Proc[[#This Row],[CurrentParent]]</f>
        <v>1</v>
      </c>
      <c r="K3584" s="144" t="str">
        <f>IF(Proc[[#This Row],[Author]]="Marcela Urrego",VLOOKUP(LEFT(Proc[[#This Row],[Requested]],1),Table3[#All],2,0),VLOOKUP(Proc[[#This Row],[Author]],Table4[],2,0))</f>
        <v>HC</v>
      </c>
      <c r="L3584" s="129" t="s">
        <v>4894</v>
      </c>
      <c r="M3584" s="127">
        <v>45884</v>
      </c>
      <c r="N3584" s="127"/>
      <c r="O3584" s="127"/>
      <c r="P3584" s="130" t="str">
        <f ca="1">IF(Proc[[#This Row],[DaysAgeing]]&gt;5,"yep","on track")</f>
        <v>yep</v>
      </c>
      <c r="Q3584" s="3">
        <f ca="1">IF(Proc[[#This Row],[DateClosed]]="",ABS(NETWORKDAYS(Proc[[#This Row],[DateOpened]],TODAY()))-1,ABS(NETWORKDAYS(Proc[[#This Row],[DateOpened]],Proc[[#This Row],[DateClosed]]))-1)</f>
        <v>90</v>
      </c>
      <c r="R3584" s="130" t="s">
        <v>5682</v>
      </c>
      <c r="S3584" s="129"/>
    </row>
    <row r="3585" spans="1:19" hidden="1">
      <c r="A3585" s="128" t="s">
        <v>5672</v>
      </c>
      <c r="B3585" s="149" t="str">
        <f>IFERROR(VLOOKUP(Proc[[#This Row],[App]],Table2[],3,0),"open")</f>
        <v>ok</v>
      </c>
      <c r="C3585" s="128" t="s">
        <v>369</v>
      </c>
      <c r="D3585" t="s">
        <v>5675</v>
      </c>
      <c r="E3585" t="s">
        <v>5680</v>
      </c>
      <c r="F3585" s="129" t="s">
        <v>5680</v>
      </c>
      <c r="G3585" s="128" t="s">
        <v>400</v>
      </c>
      <c r="H3585" s="129" t="str">
        <f>IF(Proc[[#This Row],[type]]="LFF (MDG-F)",MID(Proc[[#This Row],[Obj]],13,10),"")</f>
        <v/>
      </c>
      <c r="J3585" s="129" t="b">
        <f>Proc[[#This Row],[Requested]]=Proc[[#This Row],[CurrentParent]]</f>
        <v>1</v>
      </c>
      <c r="K3585" s="144" t="str">
        <f>IF(Proc[[#This Row],[Author]]="Marcela Urrego",VLOOKUP(LEFT(Proc[[#This Row],[Requested]],1),Table3[#All],2,0),VLOOKUP(Proc[[#This Row],[Author]],Table4[],2,0))</f>
        <v>HC</v>
      </c>
      <c r="L3585" s="129" t="s">
        <v>4894</v>
      </c>
      <c r="M3585" s="127">
        <v>45884</v>
      </c>
      <c r="N3585" s="127"/>
      <c r="O3585" s="127"/>
      <c r="P3585" s="130" t="str">
        <f ca="1">IF(Proc[[#This Row],[DaysAgeing]]&gt;5,"yep","on track")</f>
        <v>yep</v>
      </c>
      <c r="Q3585" s="3">
        <f ca="1">IF(Proc[[#This Row],[DateClosed]]="",ABS(NETWORKDAYS(Proc[[#This Row],[DateOpened]],TODAY()))-1,ABS(NETWORKDAYS(Proc[[#This Row],[DateOpened]],Proc[[#This Row],[DateClosed]]))-1)</f>
        <v>90</v>
      </c>
      <c r="R3585" s="130" t="s">
        <v>5682</v>
      </c>
      <c r="S3585" s="129"/>
    </row>
    <row r="3586" spans="1:19" hidden="1">
      <c r="A3586" s="128" t="s">
        <v>5672</v>
      </c>
      <c r="B3586" s="149" t="str">
        <f>IFERROR(VLOOKUP(Proc[[#This Row],[App]],Table2[],3,0),"open")</f>
        <v>ok</v>
      </c>
      <c r="C3586" s="128" t="s">
        <v>369</v>
      </c>
      <c r="D3586" t="s">
        <v>5676</v>
      </c>
      <c r="E3586" t="s">
        <v>5681</v>
      </c>
      <c r="F3586" s="129" t="s">
        <v>5681</v>
      </c>
      <c r="G3586" s="128" t="s">
        <v>400</v>
      </c>
      <c r="H3586" s="129" t="str">
        <f>IF(Proc[[#This Row],[type]]="LFF (MDG-F)",MID(Proc[[#This Row],[Obj]],13,10),"")</f>
        <v/>
      </c>
      <c r="J3586" s="129" t="b">
        <f>Proc[[#This Row],[Requested]]=Proc[[#This Row],[CurrentParent]]</f>
        <v>1</v>
      </c>
      <c r="K3586" s="144" t="str">
        <f>IF(Proc[[#This Row],[Author]]="Marcela Urrego",VLOOKUP(LEFT(Proc[[#This Row],[Requested]],1),Table3[#All],2,0),VLOOKUP(Proc[[#This Row],[Author]],Table4[],2,0))</f>
        <v>HC</v>
      </c>
      <c r="L3586" s="129" t="s">
        <v>4894</v>
      </c>
      <c r="M3586" s="127">
        <v>45884</v>
      </c>
      <c r="N3586" s="127"/>
      <c r="O3586" s="127"/>
      <c r="P3586" s="130" t="str">
        <f ca="1">IF(Proc[[#This Row],[DaysAgeing]]&gt;5,"yep","on track")</f>
        <v>yep</v>
      </c>
      <c r="Q3586" s="3">
        <f ca="1">IF(Proc[[#This Row],[DateClosed]]="",ABS(NETWORKDAYS(Proc[[#This Row],[DateOpened]],TODAY()))-1,ABS(NETWORKDAYS(Proc[[#This Row],[DateOpened]],Proc[[#This Row],[DateClosed]]))-1)</f>
        <v>90</v>
      </c>
      <c r="R3586" s="130" t="s">
        <v>5682</v>
      </c>
      <c r="S3586" s="129"/>
    </row>
    <row r="3587" spans="1:19" hidden="1">
      <c r="A3587" s="128" t="s">
        <v>5672</v>
      </c>
      <c r="B3587" s="149" t="str">
        <f>IFERROR(VLOOKUP(Proc[[#This Row],[App]],Table2[],3,0),"open")</f>
        <v>ok</v>
      </c>
      <c r="C3587" s="128" t="s">
        <v>369</v>
      </c>
      <c r="D3587" t="s">
        <v>5677</v>
      </c>
      <c r="E3587" t="s">
        <v>5679</v>
      </c>
      <c r="F3587" s="129" t="s">
        <v>5679</v>
      </c>
      <c r="G3587" s="128" t="s">
        <v>400</v>
      </c>
      <c r="H3587" s="129" t="str">
        <f>IF(Proc[[#This Row],[type]]="LFF (MDG-F)",MID(Proc[[#This Row],[Obj]],13,10),"")</f>
        <v/>
      </c>
      <c r="J3587" s="129" t="b">
        <f>Proc[[#This Row],[Requested]]=Proc[[#This Row],[CurrentParent]]</f>
        <v>1</v>
      </c>
      <c r="K3587" s="144" t="str">
        <f>IF(Proc[[#This Row],[Author]]="Marcela Urrego",VLOOKUP(LEFT(Proc[[#This Row],[Requested]],1),Table3[#All],2,0),VLOOKUP(Proc[[#This Row],[Author]],Table4[],2,0))</f>
        <v>HC</v>
      </c>
      <c r="L3587" s="129" t="s">
        <v>4894</v>
      </c>
      <c r="M3587" s="127">
        <v>45884</v>
      </c>
      <c r="N3587" s="127"/>
      <c r="O3587" s="127"/>
      <c r="P3587" s="130" t="str">
        <f ca="1">IF(Proc[[#This Row],[DaysAgeing]]&gt;5,"yep","on track")</f>
        <v>yep</v>
      </c>
      <c r="Q3587" s="3">
        <f ca="1">IF(Proc[[#This Row],[DateClosed]]="",ABS(NETWORKDAYS(Proc[[#This Row],[DateOpened]],TODAY()))-1,ABS(NETWORKDAYS(Proc[[#This Row],[DateOpened]],Proc[[#This Row],[DateClosed]]))-1)</f>
        <v>90</v>
      </c>
      <c r="R3587" s="130" t="s">
        <v>5682</v>
      </c>
      <c r="S3587" s="129"/>
    </row>
    <row r="3588" spans="1:19" hidden="1">
      <c r="A3588" s="128" t="s">
        <v>5672</v>
      </c>
      <c r="B3588" s="149" t="str">
        <f>IFERROR(VLOOKUP(Proc[[#This Row],[App]],Table2[],3,0),"open")</f>
        <v>ok</v>
      </c>
      <c r="C3588" s="128" t="s">
        <v>369</v>
      </c>
      <c r="D3588" t="s">
        <v>5678</v>
      </c>
      <c r="E3588" t="s">
        <v>5679</v>
      </c>
      <c r="F3588" s="129" t="s">
        <v>5679</v>
      </c>
      <c r="G3588" s="128" t="s">
        <v>400</v>
      </c>
      <c r="H3588" s="129" t="str">
        <f>IF(Proc[[#This Row],[type]]="LFF (MDG-F)",MID(Proc[[#This Row],[Obj]],13,10),"")</f>
        <v/>
      </c>
      <c r="J3588" s="129" t="b">
        <f>Proc[[#This Row],[Requested]]=Proc[[#This Row],[CurrentParent]]</f>
        <v>1</v>
      </c>
      <c r="K3588" s="144" t="str">
        <f>IF(Proc[[#This Row],[Author]]="Marcela Urrego",VLOOKUP(LEFT(Proc[[#This Row],[Requested]],1),Table3[#All],2,0),VLOOKUP(Proc[[#This Row],[Author]],Table4[],2,0))</f>
        <v>HC</v>
      </c>
      <c r="L3588" s="129" t="s">
        <v>4894</v>
      </c>
      <c r="M3588" s="127">
        <v>45884</v>
      </c>
      <c r="N3588" s="127"/>
      <c r="O3588" s="127"/>
      <c r="P3588" s="130" t="str">
        <f ca="1">IF(Proc[[#This Row],[DaysAgeing]]&gt;5,"yep","on track")</f>
        <v>yep</v>
      </c>
      <c r="Q3588" s="3">
        <f ca="1">IF(Proc[[#This Row],[DateClosed]]="",ABS(NETWORKDAYS(Proc[[#This Row],[DateOpened]],TODAY()))-1,ABS(NETWORKDAYS(Proc[[#This Row],[DateOpened]],Proc[[#This Row],[DateClosed]]))-1)</f>
        <v>90</v>
      </c>
      <c r="R3588" s="130" t="s">
        <v>5682</v>
      </c>
      <c r="S3588" s="129"/>
    </row>
    <row r="3589" spans="1:19" hidden="1">
      <c r="A3589" t="s">
        <v>5683</v>
      </c>
      <c r="B3589" s="149" t="str">
        <f>IFERROR(VLOOKUP(Proc[[#This Row],[App]],Table2[],3,0),"open")</f>
        <v>ok</v>
      </c>
      <c r="C3589" s="128" t="s">
        <v>369</v>
      </c>
      <c r="D3589" t="s">
        <v>5684</v>
      </c>
      <c r="E3589" t="s">
        <v>2161</v>
      </c>
      <c r="F3589" s="129" t="s">
        <v>2161</v>
      </c>
      <c r="G3589" s="128" t="s">
        <v>400</v>
      </c>
      <c r="H3589" s="129" t="str">
        <f>IF(Proc[[#This Row],[type]]="LFF (MDG-F)",MID(Proc[[#This Row],[Obj]],13,10),"")</f>
        <v/>
      </c>
      <c r="J3589" s="129" t="b">
        <f>Proc[[#This Row],[Requested]]=Proc[[#This Row],[CurrentParent]]</f>
        <v>1</v>
      </c>
      <c r="K3589" s="144" t="str">
        <f>IF(Proc[[#This Row],[Author]]="Marcela Urrego",VLOOKUP(LEFT(Proc[[#This Row],[Requested]],1),Table3[#All],2,0),VLOOKUP(Proc[[#This Row],[Author]],Table4[],2,0))</f>
        <v>HC</v>
      </c>
      <c r="L3589" s="129" t="s">
        <v>4894</v>
      </c>
      <c r="M3589" s="127">
        <v>45884</v>
      </c>
      <c r="N3589" s="127"/>
      <c r="O3589" s="127"/>
      <c r="P3589" s="130" t="str">
        <f ca="1">IF(Proc[[#This Row],[DaysAgeing]]&gt;5,"yep","on track")</f>
        <v>yep</v>
      </c>
      <c r="Q3589" s="3">
        <f ca="1">IF(Proc[[#This Row],[DateClosed]]="",ABS(NETWORKDAYS(Proc[[#This Row],[DateOpened]],TODAY()))-1,ABS(NETWORKDAYS(Proc[[#This Row],[DateOpened]],Proc[[#This Row],[DateClosed]]))-1)</f>
        <v>90</v>
      </c>
      <c r="R3589" s="130" t="s">
        <v>5682</v>
      </c>
      <c r="S3589" s="129"/>
    </row>
    <row r="3590" spans="1:19" hidden="1">
      <c r="A3590" s="128" t="s">
        <v>5683</v>
      </c>
      <c r="B3590" s="149" t="str">
        <f>IFERROR(VLOOKUP(Proc[[#This Row],[App]],Table2[],3,0),"open")</f>
        <v>ok</v>
      </c>
      <c r="C3590" s="128" t="s">
        <v>369</v>
      </c>
      <c r="D3590" t="s">
        <v>5685</v>
      </c>
      <c r="E3590" t="s">
        <v>2161</v>
      </c>
      <c r="F3590" s="129" t="s">
        <v>2161</v>
      </c>
      <c r="G3590" s="128" t="s">
        <v>400</v>
      </c>
      <c r="H3590" s="129" t="str">
        <f>IF(Proc[[#This Row],[type]]="LFF (MDG-F)",MID(Proc[[#This Row],[Obj]],13,10),"")</f>
        <v/>
      </c>
      <c r="J3590" s="129" t="b">
        <f>Proc[[#This Row],[Requested]]=Proc[[#This Row],[CurrentParent]]</f>
        <v>1</v>
      </c>
      <c r="K3590" s="144" t="str">
        <f>IF(Proc[[#This Row],[Author]]="Marcela Urrego",VLOOKUP(LEFT(Proc[[#This Row],[Requested]],1),Table3[#All],2,0),VLOOKUP(Proc[[#This Row],[Author]],Table4[],2,0))</f>
        <v>HC</v>
      </c>
      <c r="L3590" s="129" t="s">
        <v>4894</v>
      </c>
      <c r="M3590" s="127">
        <v>45884</v>
      </c>
      <c r="N3590" s="127"/>
      <c r="O3590" s="127"/>
      <c r="P3590" s="130" t="str">
        <f ca="1">IF(Proc[[#This Row],[DaysAgeing]]&gt;5,"yep","on track")</f>
        <v>yep</v>
      </c>
      <c r="Q3590" s="3">
        <f ca="1">IF(Proc[[#This Row],[DateClosed]]="",ABS(NETWORKDAYS(Proc[[#This Row],[DateOpened]],TODAY()))-1,ABS(NETWORKDAYS(Proc[[#This Row],[DateOpened]],Proc[[#This Row],[DateClosed]]))-1)</f>
        <v>90</v>
      </c>
      <c r="R3590" s="130" t="s">
        <v>5682</v>
      </c>
      <c r="S3590" s="129"/>
    </row>
    <row r="3591" spans="1:19" hidden="1">
      <c r="A3591" s="128" t="s">
        <v>5683</v>
      </c>
      <c r="B3591" s="149" t="str">
        <f>IFERROR(VLOOKUP(Proc[[#This Row],[App]],Table2[],3,0),"open")</f>
        <v>ok</v>
      </c>
      <c r="C3591" s="128" t="s">
        <v>369</v>
      </c>
      <c r="D3591" t="s">
        <v>5686</v>
      </c>
      <c r="E3591" t="s">
        <v>2161</v>
      </c>
      <c r="F3591" s="129" t="s">
        <v>2161</v>
      </c>
      <c r="G3591" s="128" t="s">
        <v>400</v>
      </c>
      <c r="H3591" s="129" t="str">
        <f>IF(Proc[[#This Row],[type]]="LFF (MDG-F)",MID(Proc[[#This Row],[Obj]],13,10),"")</f>
        <v/>
      </c>
      <c r="J3591" s="129" t="b">
        <f>Proc[[#This Row],[Requested]]=Proc[[#This Row],[CurrentParent]]</f>
        <v>1</v>
      </c>
      <c r="K3591" s="144" t="str">
        <f>IF(Proc[[#This Row],[Author]]="Marcela Urrego",VLOOKUP(LEFT(Proc[[#This Row],[Requested]],1),Table3[#All],2,0),VLOOKUP(Proc[[#This Row],[Author]],Table4[],2,0))</f>
        <v>HC</v>
      </c>
      <c r="L3591" s="129" t="s">
        <v>4894</v>
      </c>
      <c r="M3591" s="127">
        <v>45884</v>
      </c>
      <c r="N3591" s="127"/>
      <c r="O3591" s="127"/>
      <c r="P3591" s="130" t="str">
        <f ca="1">IF(Proc[[#This Row],[DaysAgeing]]&gt;5,"yep","on track")</f>
        <v>yep</v>
      </c>
      <c r="Q3591" s="3">
        <f ca="1">IF(Proc[[#This Row],[DateClosed]]="",ABS(NETWORKDAYS(Proc[[#This Row],[DateOpened]],TODAY()))-1,ABS(NETWORKDAYS(Proc[[#This Row],[DateOpened]],Proc[[#This Row],[DateClosed]]))-1)</f>
        <v>90</v>
      </c>
      <c r="R3591" s="130" t="s">
        <v>5682</v>
      </c>
      <c r="S3591" s="129"/>
    </row>
    <row r="3592" spans="1:19" hidden="1">
      <c r="A3592" s="128" t="s">
        <v>5683</v>
      </c>
      <c r="B3592" s="149" t="str">
        <f>IFERROR(VLOOKUP(Proc[[#This Row],[App]],Table2[],3,0),"open")</f>
        <v>ok</v>
      </c>
      <c r="C3592" s="128" t="s">
        <v>369</v>
      </c>
      <c r="D3592" t="s">
        <v>5687</v>
      </c>
      <c r="E3592" t="s">
        <v>2161</v>
      </c>
      <c r="F3592" s="129" t="s">
        <v>2161</v>
      </c>
      <c r="G3592" s="128" t="s">
        <v>400</v>
      </c>
      <c r="H3592" s="129" t="str">
        <f>IF(Proc[[#This Row],[type]]="LFF (MDG-F)",MID(Proc[[#This Row],[Obj]],13,10),"")</f>
        <v/>
      </c>
      <c r="J3592" s="129" t="b">
        <f>Proc[[#This Row],[Requested]]=Proc[[#This Row],[CurrentParent]]</f>
        <v>1</v>
      </c>
      <c r="K3592" s="144" t="str">
        <f>IF(Proc[[#This Row],[Author]]="Marcela Urrego",VLOOKUP(LEFT(Proc[[#This Row],[Requested]],1),Table3[#All],2,0),VLOOKUP(Proc[[#This Row],[Author]],Table4[],2,0))</f>
        <v>HC</v>
      </c>
      <c r="L3592" s="129" t="s">
        <v>4894</v>
      </c>
      <c r="M3592" s="127">
        <v>45884</v>
      </c>
      <c r="N3592" s="127"/>
      <c r="O3592" s="127"/>
      <c r="P3592" s="130" t="str">
        <f ca="1">IF(Proc[[#This Row],[DaysAgeing]]&gt;5,"yep","on track")</f>
        <v>yep</v>
      </c>
      <c r="Q3592" s="3">
        <f ca="1">IF(Proc[[#This Row],[DateClosed]]="",ABS(NETWORKDAYS(Proc[[#This Row],[DateOpened]],TODAY()))-1,ABS(NETWORKDAYS(Proc[[#This Row],[DateOpened]],Proc[[#This Row],[DateClosed]]))-1)</f>
        <v>90</v>
      </c>
      <c r="R3592" s="130" t="s">
        <v>5682</v>
      </c>
      <c r="S3592" s="129"/>
    </row>
    <row r="3593" spans="1:19" hidden="1">
      <c r="A3593" s="128" t="s">
        <v>5683</v>
      </c>
      <c r="B3593" s="149" t="str">
        <f>IFERROR(VLOOKUP(Proc[[#This Row],[App]],Table2[],3,0),"open")</f>
        <v>ok</v>
      </c>
      <c r="C3593" s="128" t="s">
        <v>369</v>
      </c>
      <c r="D3593" t="s">
        <v>5688</v>
      </c>
      <c r="E3593" t="s">
        <v>2161</v>
      </c>
      <c r="F3593" s="129" t="s">
        <v>2161</v>
      </c>
      <c r="G3593" s="128" t="s">
        <v>400</v>
      </c>
      <c r="H3593" s="129" t="str">
        <f>IF(Proc[[#This Row],[type]]="LFF (MDG-F)",MID(Proc[[#This Row],[Obj]],13,10),"")</f>
        <v/>
      </c>
      <c r="J3593" s="129" t="b">
        <f>Proc[[#This Row],[Requested]]=Proc[[#This Row],[CurrentParent]]</f>
        <v>1</v>
      </c>
      <c r="K3593" s="144" t="str">
        <f>IF(Proc[[#This Row],[Author]]="Marcela Urrego",VLOOKUP(LEFT(Proc[[#This Row],[Requested]],1),Table3[#All],2,0),VLOOKUP(Proc[[#This Row],[Author]],Table4[],2,0))</f>
        <v>HC</v>
      </c>
      <c r="L3593" s="129" t="s">
        <v>4894</v>
      </c>
      <c r="M3593" s="127">
        <v>45884</v>
      </c>
      <c r="N3593" s="127"/>
      <c r="O3593" s="127"/>
      <c r="P3593" s="130" t="str">
        <f ca="1">IF(Proc[[#This Row],[DaysAgeing]]&gt;5,"yep","on track")</f>
        <v>yep</v>
      </c>
      <c r="Q3593" s="3">
        <f ca="1">IF(Proc[[#This Row],[DateClosed]]="",ABS(NETWORKDAYS(Proc[[#This Row],[DateOpened]],TODAY()))-1,ABS(NETWORKDAYS(Proc[[#This Row],[DateOpened]],Proc[[#This Row],[DateClosed]]))-1)</f>
        <v>90</v>
      </c>
      <c r="R3593" s="130" t="s">
        <v>5682</v>
      </c>
      <c r="S3593" s="129"/>
    </row>
    <row r="3594" spans="1:19" hidden="1">
      <c r="A3594" s="128" t="s">
        <v>5683</v>
      </c>
      <c r="B3594" s="149" t="str">
        <f>IFERROR(VLOOKUP(Proc[[#This Row],[App]],Table2[],3,0),"open")</f>
        <v>ok</v>
      </c>
      <c r="C3594" s="128" t="s">
        <v>369</v>
      </c>
      <c r="D3594" t="s">
        <v>5689</v>
      </c>
      <c r="E3594" t="s">
        <v>2161</v>
      </c>
      <c r="F3594" s="129" t="s">
        <v>2161</v>
      </c>
      <c r="G3594" s="128" t="s">
        <v>400</v>
      </c>
      <c r="H3594" s="129" t="str">
        <f>IF(Proc[[#This Row],[type]]="LFF (MDG-F)",MID(Proc[[#This Row],[Obj]],13,10),"")</f>
        <v/>
      </c>
      <c r="J3594" s="129" t="b">
        <f>Proc[[#This Row],[Requested]]=Proc[[#This Row],[CurrentParent]]</f>
        <v>1</v>
      </c>
      <c r="K3594" s="144" t="str">
        <f>IF(Proc[[#This Row],[Author]]="Marcela Urrego",VLOOKUP(LEFT(Proc[[#This Row],[Requested]],1),Table3[#All],2,0),VLOOKUP(Proc[[#This Row],[Author]],Table4[],2,0))</f>
        <v>HC</v>
      </c>
      <c r="L3594" s="129" t="s">
        <v>4894</v>
      </c>
      <c r="M3594" s="127">
        <v>45884</v>
      </c>
      <c r="N3594" s="127"/>
      <c r="O3594" s="127"/>
      <c r="P3594" s="130" t="str">
        <f ca="1">IF(Proc[[#This Row],[DaysAgeing]]&gt;5,"yep","on track")</f>
        <v>yep</v>
      </c>
      <c r="Q3594" s="3">
        <f ca="1">IF(Proc[[#This Row],[DateClosed]]="",ABS(NETWORKDAYS(Proc[[#This Row],[DateOpened]],TODAY()))-1,ABS(NETWORKDAYS(Proc[[#This Row],[DateOpened]],Proc[[#This Row],[DateClosed]]))-1)</f>
        <v>90</v>
      </c>
      <c r="R3594" s="130" t="s">
        <v>5682</v>
      </c>
      <c r="S3594" s="129"/>
    </row>
    <row r="3595" spans="1:19" hidden="1">
      <c r="A3595" s="128" t="s">
        <v>5683</v>
      </c>
      <c r="B3595" s="149" t="str">
        <f>IFERROR(VLOOKUP(Proc[[#This Row],[App]],Table2[],3,0),"open")</f>
        <v>ok</v>
      </c>
      <c r="C3595" s="128" t="s">
        <v>369</v>
      </c>
      <c r="D3595" t="s">
        <v>5690</v>
      </c>
      <c r="E3595" t="s">
        <v>2161</v>
      </c>
      <c r="F3595" s="129" t="s">
        <v>2161</v>
      </c>
      <c r="G3595" s="128" t="s">
        <v>400</v>
      </c>
      <c r="H3595" s="129" t="str">
        <f>IF(Proc[[#This Row],[type]]="LFF (MDG-F)",MID(Proc[[#This Row],[Obj]],13,10),"")</f>
        <v/>
      </c>
      <c r="J3595" s="129" t="b">
        <f>Proc[[#This Row],[Requested]]=Proc[[#This Row],[CurrentParent]]</f>
        <v>1</v>
      </c>
      <c r="K3595" s="144" t="str">
        <f>IF(Proc[[#This Row],[Author]]="Marcela Urrego",VLOOKUP(LEFT(Proc[[#This Row],[Requested]],1),Table3[#All],2,0),VLOOKUP(Proc[[#This Row],[Author]],Table4[],2,0))</f>
        <v>HC</v>
      </c>
      <c r="L3595" s="129" t="s">
        <v>4894</v>
      </c>
      <c r="M3595" s="127">
        <v>45884</v>
      </c>
      <c r="N3595" s="127"/>
      <c r="O3595" s="127"/>
      <c r="P3595" s="130" t="str">
        <f ca="1">IF(Proc[[#This Row],[DaysAgeing]]&gt;5,"yep","on track")</f>
        <v>yep</v>
      </c>
      <c r="Q3595" s="3">
        <f ca="1">IF(Proc[[#This Row],[DateClosed]]="",ABS(NETWORKDAYS(Proc[[#This Row],[DateOpened]],TODAY()))-1,ABS(NETWORKDAYS(Proc[[#This Row],[DateOpened]],Proc[[#This Row],[DateClosed]]))-1)</f>
        <v>90</v>
      </c>
      <c r="R3595" s="130" t="s">
        <v>5682</v>
      </c>
      <c r="S3595" s="129"/>
    </row>
    <row r="3596" spans="1:19" hidden="1">
      <c r="A3596" s="128" t="s">
        <v>5683</v>
      </c>
      <c r="B3596" s="149" t="str">
        <f>IFERROR(VLOOKUP(Proc[[#This Row],[App]],Table2[],3,0),"open")</f>
        <v>ok</v>
      </c>
      <c r="C3596" s="128" t="s">
        <v>369</v>
      </c>
      <c r="D3596" t="s">
        <v>5691</v>
      </c>
      <c r="E3596" t="s">
        <v>2161</v>
      </c>
      <c r="F3596" s="129" t="s">
        <v>2161</v>
      </c>
      <c r="G3596" s="128" t="s">
        <v>400</v>
      </c>
      <c r="H3596" s="129" t="str">
        <f>IF(Proc[[#This Row],[type]]="LFF (MDG-F)",MID(Proc[[#This Row],[Obj]],13,10),"")</f>
        <v/>
      </c>
      <c r="J3596" s="129" t="b">
        <f>Proc[[#This Row],[Requested]]=Proc[[#This Row],[CurrentParent]]</f>
        <v>1</v>
      </c>
      <c r="K3596" s="144" t="str">
        <f>IF(Proc[[#This Row],[Author]]="Marcela Urrego",VLOOKUP(LEFT(Proc[[#This Row],[Requested]],1),Table3[#All],2,0),VLOOKUP(Proc[[#This Row],[Author]],Table4[],2,0))</f>
        <v>HC</v>
      </c>
      <c r="L3596" s="129" t="s">
        <v>4894</v>
      </c>
      <c r="M3596" s="127">
        <v>45884</v>
      </c>
      <c r="N3596" s="127"/>
      <c r="O3596" s="127"/>
      <c r="P3596" s="130" t="str">
        <f ca="1">IF(Proc[[#This Row],[DaysAgeing]]&gt;5,"yep","on track")</f>
        <v>yep</v>
      </c>
      <c r="Q3596" s="3">
        <f ca="1">IF(Proc[[#This Row],[DateClosed]]="",ABS(NETWORKDAYS(Proc[[#This Row],[DateOpened]],TODAY()))-1,ABS(NETWORKDAYS(Proc[[#This Row],[DateOpened]],Proc[[#This Row],[DateClosed]]))-1)</f>
        <v>90</v>
      </c>
      <c r="R3596" s="130" t="s">
        <v>5682</v>
      </c>
      <c r="S3596" s="129"/>
    </row>
    <row r="3597" spans="1:19" hidden="1">
      <c r="A3597" s="128" t="s">
        <v>5683</v>
      </c>
      <c r="B3597" s="149" t="str">
        <f>IFERROR(VLOOKUP(Proc[[#This Row],[App]],Table2[],3,0),"open")</f>
        <v>ok</v>
      </c>
      <c r="C3597" s="128" t="s">
        <v>369</v>
      </c>
      <c r="D3597" t="s">
        <v>5692</v>
      </c>
      <c r="E3597" t="s">
        <v>2161</v>
      </c>
      <c r="F3597" s="129" t="s">
        <v>2161</v>
      </c>
      <c r="G3597" s="128" t="s">
        <v>400</v>
      </c>
      <c r="H3597" s="129" t="str">
        <f>IF(Proc[[#This Row],[type]]="LFF (MDG-F)",MID(Proc[[#This Row],[Obj]],13,10),"")</f>
        <v/>
      </c>
      <c r="J3597" s="129" t="b">
        <f>Proc[[#This Row],[Requested]]=Proc[[#This Row],[CurrentParent]]</f>
        <v>1</v>
      </c>
      <c r="K3597" s="144" t="str">
        <f>IF(Proc[[#This Row],[Author]]="Marcela Urrego",VLOOKUP(LEFT(Proc[[#This Row],[Requested]],1),Table3[#All],2,0),VLOOKUP(Proc[[#This Row],[Author]],Table4[],2,0))</f>
        <v>HC</v>
      </c>
      <c r="L3597" s="129" t="s">
        <v>4894</v>
      </c>
      <c r="M3597" s="127">
        <v>45884</v>
      </c>
      <c r="N3597" s="127"/>
      <c r="O3597" s="127"/>
      <c r="P3597" s="130" t="str">
        <f ca="1">IF(Proc[[#This Row],[DaysAgeing]]&gt;5,"yep","on track")</f>
        <v>yep</v>
      </c>
      <c r="Q3597" s="3">
        <f ca="1">IF(Proc[[#This Row],[DateClosed]]="",ABS(NETWORKDAYS(Proc[[#This Row],[DateOpened]],TODAY()))-1,ABS(NETWORKDAYS(Proc[[#This Row],[DateOpened]],Proc[[#This Row],[DateClosed]]))-1)</f>
        <v>90</v>
      </c>
      <c r="R3597" s="130" t="s">
        <v>5682</v>
      </c>
      <c r="S3597" s="129"/>
    </row>
    <row r="3598" spans="1:19" hidden="1">
      <c r="A3598" s="128" t="s">
        <v>5683</v>
      </c>
      <c r="B3598" s="149" t="str">
        <f>IFERROR(VLOOKUP(Proc[[#This Row],[App]],Table2[],3,0),"open")</f>
        <v>ok</v>
      </c>
      <c r="C3598" s="128" t="s">
        <v>369</v>
      </c>
      <c r="D3598" t="s">
        <v>5693</v>
      </c>
      <c r="E3598" t="s">
        <v>2161</v>
      </c>
      <c r="F3598" s="129" t="s">
        <v>2161</v>
      </c>
      <c r="G3598" s="128" t="s">
        <v>400</v>
      </c>
      <c r="H3598" s="129" t="str">
        <f>IF(Proc[[#This Row],[type]]="LFF (MDG-F)",MID(Proc[[#This Row],[Obj]],13,10),"")</f>
        <v/>
      </c>
      <c r="J3598" s="129" t="b">
        <f>Proc[[#This Row],[Requested]]=Proc[[#This Row],[CurrentParent]]</f>
        <v>1</v>
      </c>
      <c r="K3598" s="144" t="str">
        <f>IF(Proc[[#This Row],[Author]]="Marcela Urrego",VLOOKUP(LEFT(Proc[[#This Row],[Requested]],1),Table3[#All],2,0),VLOOKUP(Proc[[#This Row],[Author]],Table4[],2,0))</f>
        <v>HC</v>
      </c>
      <c r="L3598" s="129" t="s">
        <v>4894</v>
      </c>
      <c r="M3598" s="127">
        <v>45884</v>
      </c>
      <c r="N3598" s="127"/>
      <c r="O3598" s="127"/>
      <c r="P3598" s="130" t="str">
        <f ca="1">IF(Proc[[#This Row],[DaysAgeing]]&gt;5,"yep","on track")</f>
        <v>yep</v>
      </c>
      <c r="Q3598" s="3">
        <f ca="1">IF(Proc[[#This Row],[DateClosed]]="",ABS(NETWORKDAYS(Proc[[#This Row],[DateOpened]],TODAY()))-1,ABS(NETWORKDAYS(Proc[[#This Row],[DateOpened]],Proc[[#This Row],[DateClosed]]))-1)</f>
        <v>90</v>
      </c>
      <c r="R3598" s="130" t="s">
        <v>5682</v>
      </c>
      <c r="S3598" s="129"/>
    </row>
    <row r="3599" spans="1:19" hidden="1">
      <c r="A3599" s="128" t="s">
        <v>5683</v>
      </c>
      <c r="B3599" s="149" t="str">
        <f>IFERROR(VLOOKUP(Proc[[#This Row],[App]],Table2[],3,0),"open")</f>
        <v>ok</v>
      </c>
      <c r="C3599" s="128" t="s">
        <v>369</v>
      </c>
      <c r="D3599" t="s">
        <v>5694</v>
      </c>
      <c r="E3599" t="s">
        <v>2161</v>
      </c>
      <c r="F3599" s="129" t="s">
        <v>2161</v>
      </c>
      <c r="G3599" s="128" t="s">
        <v>400</v>
      </c>
      <c r="H3599" s="129" t="str">
        <f>IF(Proc[[#This Row],[type]]="LFF (MDG-F)",MID(Proc[[#This Row],[Obj]],13,10),"")</f>
        <v/>
      </c>
      <c r="J3599" s="129" t="b">
        <f>Proc[[#This Row],[Requested]]=Proc[[#This Row],[CurrentParent]]</f>
        <v>1</v>
      </c>
      <c r="K3599" s="144" t="str">
        <f>IF(Proc[[#This Row],[Author]]="Marcela Urrego",VLOOKUP(LEFT(Proc[[#This Row],[Requested]],1),Table3[#All],2,0),VLOOKUP(Proc[[#This Row],[Author]],Table4[],2,0))</f>
        <v>HC</v>
      </c>
      <c r="L3599" s="129" t="s">
        <v>4894</v>
      </c>
      <c r="M3599" s="127">
        <v>45884</v>
      </c>
      <c r="N3599" s="127"/>
      <c r="O3599" s="127"/>
      <c r="P3599" s="130" t="str">
        <f ca="1">IF(Proc[[#This Row],[DaysAgeing]]&gt;5,"yep","on track")</f>
        <v>yep</v>
      </c>
      <c r="Q3599" s="3">
        <f ca="1">IF(Proc[[#This Row],[DateClosed]]="",ABS(NETWORKDAYS(Proc[[#This Row],[DateOpened]],TODAY()))-1,ABS(NETWORKDAYS(Proc[[#This Row],[DateOpened]],Proc[[#This Row],[DateClosed]]))-1)</f>
        <v>90</v>
      </c>
      <c r="R3599" s="130" t="s">
        <v>5682</v>
      </c>
      <c r="S3599" s="129"/>
    </row>
    <row r="3600" spans="1:19" hidden="1">
      <c r="A3600" s="128" t="s">
        <v>5683</v>
      </c>
      <c r="B3600" s="149" t="str">
        <f>IFERROR(VLOOKUP(Proc[[#This Row],[App]],Table2[],3,0),"open")</f>
        <v>ok</v>
      </c>
      <c r="C3600" s="128" t="s">
        <v>369</v>
      </c>
      <c r="D3600" t="s">
        <v>5695</v>
      </c>
      <c r="E3600" t="s">
        <v>2161</v>
      </c>
      <c r="F3600" s="129" t="s">
        <v>2161</v>
      </c>
      <c r="G3600" s="128" t="s">
        <v>400</v>
      </c>
      <c r="H3600" s="129" t="str">
        <f>IF(Proc[[#This Row],[type]]="LFF (MDG-F)",MID(Proc[[#This Row],[Obj]],13,10),"")</f>
        <v/>
      </c>
      <c r="J3600" s="129" t="b">
        <f>Proc[[#This Row],[Requested]]=Proc[[#This Row],[CurrentParent]]</f>
        <v>1</v>
      </c>
      <c r="K3600" s="144" t="str">
        <f>IF(Proc[[#This Row],[Author]]="Marcela Urrego",VLOOKUP(LEFT(Proc[[#This Row],[Requested]],1),Table3[#All],2,0),VLOOKUP(Proc[[#This Row],[Author]],Table4[],2,0))</f>
        <v>HC</v>
      </c>
      <c r="L3600" s="129" t="s">
        <v>4894</v>
      </c>
      <c r="M3600" s="127">
        <v>45884</v>
      </c>
      <c r="N3600" s="127"/>
      <c r="O3600" s="127"/>
      <c r="P3600" s="130" t="str">
        <f ca="1">IF(Proc[[#This Row],[DaysAgeing]]&gt;5,"yep","on track")</f>
        <v>yep</v>
      </c>
      <c r="Q3600" s="3">
        <f ca="1">IF(Proc[[#This Row],[DateClosed]]="",ABS(NETWORKDAYS(Proc[[#This Row],[DateOpened]],TODAY()))-1,ABS(NETWORKDAYS(Proc[[#This Row],[DateOpened]],Proc[[#This Row],[DateClosed]]))-1)</f>
        <v>90</v>
      </c>
      <c r="R3600" s="130" t="s">
        <v>5682</v>
      </c>
      <c r="S3600" s="129"/>
    </row>
    <row r="3601" spans="1:19" hidden="1">
      <c r="A3601" t="s">
        <v>5696</v>
      </c>
      <c r="B3601" s="149" t="str">
        <f>IFERROR(VLOOKUP(Proc[[#This Row],[App]],Table2[],3,0),"open")</f>
        <v>ok</v>
      </c>
      <c r="C3601" s="128" t="s">
        <v>369</v>
      </c>
      <c r="D3601" t="s">
        <v>5697</v>
      </c>
      <c r="E3601" t="s">
        <v>5698</v>
      </c>
      <c r="F3601" s="129" t="s">
        <v>5698</v>
      </c>
      <c r="G3601" s="128" t="s">
        <v>400</v>
      </c>
      <c r="H3601" s="129" t="str">
        <f>IF(Proc[[#This Row],[type]]="LFF (MDG-F)",MID(Proc[[#This Row],[Obj]],13,10),"")</f>
        <v/>
      </c>
      <c r="J3601" s="129" t="b">
        <f>Proc[[#This Row],[Requested]]=Proc[[#This Row],[CurrentParent]]</f>
        <v>1</v>
      </c>
      <c r="K3601" s="144" t="str">
        <f>IF(Proc[[#This Row],[Author]]="Marcela Urrego",VLOOKUP(LEFT(Proc[[#This Row],[Requested]],1),Table3[#All],2,0),VLOOKUP(Proc[[#This Row],[Author]],Table4[],2,0))</f>
        <v>HC</v>
      </c>
      <c r="L3601" s="129" t="s">
        <v>4894</v>
      </c>
      <c r="M3601" s="127">
        <v>45884</v>
      </c>
      <c r="N3601" s="127"/>
      <c r="O3601" s="127"/>
      <c r="P3601" s="130" t="str">
        <f ca="1">IF(Proc[[#This Row],[DaysAgeing]]&gt;5,"yep","on track")</f>
        <v>yep</v>
      </c>
      <c r="Q3601" s="3">
        <f ca="1">IF(Proc[[#This Row],[DateClosed]]="",ABS(NETWORKDAYS(Proc[[#This Row],[DateOpened]],TODAY()))-1,ABS(NETWORKDAYS(Proc[[#This Row],[DateOpened]],Proc[[#This Row],[DateClosed]]))-1)</f>
        <v>90</v>
      </c>
      <c r="R3601" s="130" t="s">
        <v>5682</v>
      </c>
      <c r="S3601" s="129"/>
    </row>
    <row r="3602" spans="1:19" hidden="1">
      <c r="A3602" t="s">
        <v>5700</v>
      </c>
      <c r="B3602" s="149" t="str">
        <f>IFERROR(VLOOKUP(Proc[[#This Row],[App]],Table2[],3,0),"open")</f>
        <v>ok</v>
      </c>
      <c r="C3602" s="133" t="s">
        <v>369</v>
      </c>
      <c r="D3602" t="s">
        <v>5702</v>
      </c>
      <c r="E3602" t="s">
        <v>419</v>
      </c>
      <c r="F3602" s="129" t="s">
        <v>419</v>
      </c>
      <c r="G3602" s="128" t="s">
        <v>400</v>
      </c>
      <c r="H3602" s="129" t="str">
        <f>IF(Proc[[#This Row],[type]]="LFF (MDG-F)",MID(Proc[[#This Row],[Obj]],13,10),"")</f>
        <v/>
      </c>
      <c r="J3602" s="129" t="b">
        <f>Proc[[#This Row],[Requested]]=Proc[[#This Row],[CurrentParent]]</f>
        <v>1</v>
      </c>
      <c r="K3602" s="144" t="str">
        <f>IF(Proc[[#This Row],[Author]]="Marcela Urrego",VLOOKUP(LEFT(Proc[[#This Row],[Requested]],1),Table3[#All],2,0),VLOOKUP(Proc[[#This Row],[Author]],Table4[],2,0))</f>
        <v>EL</v>
      </c>
      <c r="L3602" s="129" t="s">
        <v>4894</v>
      </c>
      <c r="M3602" s="130">
        <v>45887</v>
      </c>
      <c r="N3602" s="131"/>
      <c r="O3602" s="131"/>
      <c r="P3602" s="130" t="str">
        <f ca="1">IF(Proc[[#This Row],[DaysAgeing]]&gt;5,"yep","on track")</f>
        <v>yep</v>
      </c>
      <c r="Q3602" s="3">
        <f ca="1">IF(Proc[[#This Row],[DateClosed]]="",ABS(NETWORKDAYS(Proc[[#This Row],[DateOpened]],TODAY()))-1,ABS(NETWORKDAYS(Proc[[#This Row],[DateOpened]],Proc[[#This Row],[DateClosed]]))-1)</f>
        <v>89</v>
      </c>
      <c r="R3602" s="130" t="s">
        <v>780</v>
      </c>
      <c r="S3602" s="129"/>
    </row>
    <row r="3603" spans="1:19" hidden="1">
      <c r="A3603" s="128" t="s">
        <v>5700</v>
      </c>
      <c r="B3603" s="149" t="str">
        <f>IFERROR(VLOOKUP(Proc[[#This Row],[App]],Table2[],3,0),"open")</f>
        <v>ok</v>
      </c>
      <c r="C3603" s="133" t="s">
        <v>369</v>
      </c>
      <c r="D3603" t="s">
        <v>5703</v>
      </c>
      <c r="E3603" t="s">
        <v>418</v>
      </c>
      <c r="F3603" s="129" t="s">
        <v>418</v>
      </c>
      <c r="G3603" s="128" t="s">
        <v>400</v>
      </c>
      <c r="H3603" s="129" t="str">
        <f>IF(Proc[[#This Row],[type]]="LFF (MDG-F)",MID(Proc[[#This Row],[Obj]],13,10),"")</f>
        <v/>
      </c>
      <c r="J3603" s="129" t="b">
        <f>Proc[[#This Row],[Requested]]=Proc[[#This Row],[CurrentParent]]</f>
        <v>1</v>
      </c>
      <c r="K3603" s="144" t="str">
        <f>IF(Proc[[#This Row],[Author]]="Marcela Urrego",VLOOKUP(LEFT(Proc[[#This Row],[Requested]],1),Table3[#All],2,0),VLOOKUP(Proc[[#This Row],[Author]],Table4[],2,0))</f>
        <v>EL</v>
      </c>
      <c r="L3603" s="129" t="s">
        <v>4894</v>
      </c>
      <c r="M3603" s="130">
        <v>45887</v>
      </c>
      <c r="N3603" s="131"/>
      <c r="O3603" s="131"/>
      <c r="P3603" s="130" t="str">
        <f ca="1">IF(Proc[[#This Row],[DaysAgeing]]&gt;5,"yep","on track")</f>
        <v>yep</v>
      </c>
      <c r="Q3603" s="3">
        <f ca="1">IF(Proc[[#This Row],[DateClosed]]="",ABS(NETWORKDAYS(Proc[[#This Row],[DateOpened]],TODAY()))-1,ABS(NETWORKDAYS(Proc[[#This Row],[DateOpened]],Proc[[#This Row],[DateClosed]]))-1)</f>
        <v>89</v>
      </c>
      <c r="R3603" s="130" t="s">
        <v>780</v>
      </c>
      <c r="S3603" s="129"/>
    </row>
    <row r="3604" spans="1:19" hidden="1">
      <c r="A3604" s="128" t="s">
        <v>5700</v>
      </c>
      <c r="B3604" s="149" t="str">
        <f>IFERROR(VLOOKUP(Proc[[#This Row],[App]],Table2[],3,0),"open")</f>
        <v>ok</v>
      </c>
      <c r="C3604" s="133" t="s">
        <v>369</v>
      </c>
      <c r="D3604" t="s">
        <v>5704</v>
      </c>
      <c r="E3604" t="s">
        <v>418</v>
      </c>
      <c r="F3604" s="129" t="s">
        <v>418</v>
      </c>
      <c r="G3604" s="128" t="s">
        <v>400</v>
      </c>
      <c r="H3604" s="129" t="str">
        <f>IF(Proc[[#This Row],[type]]="LFF (MDG-F)",MID(Proc[[#This Row],[Obj]],13,10),"")</f>
        <v/>
      </c>
      <c r="J3604" s="129" t="b">
        <f>Proc[[#This Row],[Requested]]=Proc[[#This Row],[CurrentParent]]</f>
        <v>1</v>
      </c>
      <c r="K3604" s="144" t="str">
        <f>IF(Proc[[#This Row],[Author]]="Marcela Urrego",VLOOKUP(LEFT(Proc[[#This Row],[Requested]],1),Table3[#All],2,0),VLOOKUP(Proc[[#This Row],[Author]],Table4[],2,0))</f>
        <v>EL</v>
      </c>
      <c r="L3604" s="129" t="s">
        <v>4894</v>
      </c>
      <c r="M3604" s="130">
        <v>45887</v>
      </c>
      <c r="N3604" s="131"/>
      <c r="O3604" s="131"/>
      <c r="P3604" s="130" t="str">
        <f ca="1">IF(Proc[[#This Row],[DaysAgeing]]&gt;5,"yep","on track")</f>
        <v>yep</v>
      </c>
      <c r="Q3604" s="3">
        <f ca="1">IF(Proc[[#This Row],[DateClosed]]="",ABS(NETWORKDAYS(Proc[[#This Row],[DateOpened]],TODAY()))-1,ABS(NETWORKDAYS(Proc[[#This Row],[DateOpened]],Proc[[#This Row],[DateClosed]]))-1)</f>
        <v>89</v>
      </c>
      <c r="R3604" s="130" t="s">
        <v>780</v>
      </c>
      <c r="S3604" s="129"/>
    </row>
    <row r="3605" spans="1:19" hidden="1">
      <c r="A3605" s="128" t="s">
        <v>5700</v>
      </c>
      <c r="B3605" s="149" t="str">
        <f>IFERROR(VLOOKUP(Proc[[#This Row],[App]],Table2[],3,0),"open")</f>
        <v>ok</v>
      </c>
      <c r="C3605" s="133" t="s">
        <v>369</v>
      </c>
      <c r="D3605" t="s">
        <v>5705</v>
      </c>
      <c r="E3605" t="s">
        <v>2430</v>
      </c>
      <c r="F3605" s="129" t="s">
        <v>2430</v>
      </c>
      <c r="G3605" s="128" t="s">
        <v>400</v>
      </c>
      <c r="H3605" s="129" t="str">
        <f>IF(Proc[[#This Row],[type]]="LFF (MDG-F)",MID(Proc[[#This Row],[Obj]],13,10),"")</f>
        <v/>
      </c>
      <c r="J3605" s="129" t="b">
        <f>Proc[[#This Row],[Requested]]=Proc[[#This Row],[CurrentParent]]</f>
        <v>1</v>
      </c>
      <c r="K3605" s="144" t="str">
        <f>IF(Proc[[#This Row],[Author]]="Marcela Urrego",VLOOKUP(LEFT(Proc[[#This Row],[Requested]],1),Table3[#All],2,0),VLOOKUP(Proc[[#This Row],[Author]],Table4[],2,0))</f>
        <v>EL</v>
      </c>
      <c r="L3605" s="129" t="s">
        <v>4894</v>
      </c>
      <c r="M3605" s="130">
        <v>45887</v>
      </c>
      <c r="N3605" s="131"/>
      <c r="O3605" s="131"/>
      <c r="P3605" s="130" t="str">
        <f ca="1">IF(Proc[[#This Row],[DaysAgeing]]&gt;5,"yep","on track")</f>
        <v>yep</v>
      </c>
      <c r="Q3605" s="3">
        <f ca="1">IF(Proc[[#This Row],[DateClosed]]="",ABS(NETWORKDAYS(Proc[[#This Row],[DateOpened]],TODAY()))-1,ABS(NETWORKDAYS(Proc[[#This Row],[DateOpened]],Proc[[#This Row],[DateClosed]]))-1)</f>
        <v>89</v>
      </c>
      <c r="R3605" s="130" t="s">
        <v>780</v>
      </c>
      <c r="S3605" s="129"/>
    </row>
    <row r="3606" spans="1:19" hidden="1">
      <c r="A3606" s="128" t="s">
        <v>5700</v>
      </c>
      <c r="B3606" s="149" t="str">
        <f>IFERROR(VLOOKUP(Proc[[#This Row],[App]],Table2[],3,0),"open")</f>
        <v>ok</v>
      </c>
      <c r="C3606" s="133" t="s">
        <v>369</v>
      </c>
      <c r="D3606" t="s">
        <v>5701</v>
      </c>
      <c r="E3606" t="s">
        <v>4132</v>
      </c>
      <c r="F3606" s="129" t="s">
        <v>4132</v>
      </c>
      <c r="G3606" s="128" t="s">
        <v>400</v>
      </c>
      <c r="H3606" s="129" t="str">
        <f>IF(Proc[[#This Row],[type]]="LFF (MDG-F)",MID(Proc[[#This Row],[Obj]],13,10),"")</f>
        <v/>
      </c>
      <c r="J3606" s="129" t="b">
        <f>Proc[[#This Row],[Requested]]=Proc[[#This Row],[CurrentParent]]</f>
        <v>1</v>
      </c>
      <c r="K3606" s="144" t="str">
        <f>IF(Proc[[#This Row],[Author]]="Marcela Urrego",VLOOKUP(LEFT(Proc[[#This Row],[Requested]],1),Table3[#All],2,0),VLOOKUP(Proc[[#This Row],[Author]],Table4[],2,0))</f>
        <v>EL</v>
      </c>
      <c r="L3606" s="129" t="s">
        <v>4894</v>
      </c>
      <c r="M3606" s="130">
        <v>45887</v>
      </c>
      <c r="N3606" s="131"/>
      <c r="O3606" s="131"/>
      <c r="P3606" s="130" t="str">
        <f ca="1">IF(Proc[[#This Row],[DaysAgeing]]&gt;5,"yep","on track")</f>
        <v>yep</v>
      </c>
      <c r="Q3606" s="3">
        <f ca="1">IF(Proc[[#This Row],[DateClosed]]="",ABS(NETWORKDAYS(Proc[[#This Row],[DateOpened]],TODAY()))-1,ABS(NETWORKDAYS(Proc[[#This Row],[DateOpened]],Proc[[#This Row],[DateClosed]]))-1)</f>
        <v>89</v>
      </c>
      <c r="R3606" s="130" t="s">
        <v>780</v>
      </c>
      <c r="S3606" s="129"/>
    </row>
    <row r="3607" spans="1:19" hidden="1">
      <c r="A3607" t="s">
        <v>5708</v>
      </c>
      <c r="B3607" s="149" t="str">
        <f>IFERROR(VLOOKUP(Proc[[#This Row],[App]],Table2[],3,0),"open")</f>
        <v>ok</v>
      </c>
      <c r="C3607" t="s">
        <v>369</v>
      </c>
      <c r="D3607" t="s">
        <v>5706</v>
      </c>
      <c r="E3607" t="s">
        <v>5707</v>
      </c>
      <c r="F3607" s="129" t="s">
        <v>5707</v>
      </c>
      <c r="G3607" t="s">
        <v>406</v>
      </c>
      <c r="H3607" s="129" t="str">
        <f>IF(Proc[[#This Row],[type]]="LFF (MDG-F)",MID(Proc[[#This Row],[Obj]],13,10),"")</f>
        <v>TW03TATA02</v>
      </c>
      <c r="J3607" s="129" t="b">
        <f>Proc[[#This Row],[Requested]]=Proc[[#This Row],[CurrentParent]]</f>
        <v>1</v>
      </c>
      <c r="K3607" s="144" t="str">
        <f>IF(Proc[[#This Row],[Author]]="Marcela Urrego",VLOOKUP(LEFT(Proc[[#This Row],[Requested]],1),Table3[#All],2,0),VLOOKUP(Proc[[#This Row],[Author]],Table4[],2,0))</f>
        <v>EL</v>
      </c>
      <c r="L3607" s="129" t="s">
        <v>4894</v>
      </c>
      <c r="M3607" s="130">
        <v>45887</v>
      </c>
      <c r="N3607" s="131"/>
      <c r="O3607" s="131"/>
      <c r="P3607" s="130" t="str">
        <f ca="1">IF(Proc[[#This Row],[DaysAgeing]]&gt;5,"yep","on track")</f>
        <v>yep</v>
      </c>
      <c r="Q3607" s="3">
        <f ca="1">IF(Proc[[#This Row],[DateClosed]]="",ABS(NETWORKDAYS(Proc[[#This Row],[DateOpened]],TODAY()))-1,ABS(NETWORKDAYS(Proc[[#This Row],[DateOpened]],Proc[[#This Row],[DateClosed]]))-1)</f>
        <v>89</v>
      </c>
      <c r="R3607" s="130" t="s">
        <v>5709</v>
      </c>
      <c r="S3607" s="129"/>
    </row>
    <row r="3608" spans="1:19" hidden="1">
      <c r="A3608" t="s">
        <v>5710</v>
      </c>
      <c r="B3608" s="149" t="str">
        <f>IFERROR(VLOOKUP(Proc[[#This Row],[App]],Table2[],3,0),"open")</f>
        <v>ok</v>
      </c>
      <c r="C3608" t="s">
        <v>369</v>
      </c>
      <c r="D3608" t="s">
        <v>5711</v>
      </c>
      <c r="E3608" t="s">
        <v>2109</v>
      </c>
      <c r="F3608" s="129" t="s">
        <v>2109</v>
      </c>
      <c r="G3608" s="128" t="s">
        <v>400</v>
      </c>
      <c r="H3608" s="129" t="str">
        <f>IF(Proc[[#This Row],[type]]="LFF (MDG-F)",MID(Proc[[#This Row],[Obj]],13,10),"")</f>
        <v/>
      </c>
      <c r="J3608" s="129" t="b">
        <f>Proc[[#This Row],[Requested]]=Proc[[#This Row],[CurrentParent]]</f>
        <v>1</v>
      </c>
      <c r="K3608" s="144" t="str">
        <f>IF(Proc[[#This Row],[Author]]="Marcela Urrego",VLOOKUP(LEFT(Proc[[#This Row],[Requested]],1),Table3[#All],2,0),VLOOKUP(Proc[[#This Row],[Author]],Table4[],2,0))</f>
        <v>HC</v>
      </c>
      <c r="L3608" s="129" t="s">
        <v>4894</v>
      </c>
      <c r="M3608" s="130">
        <v>45887</v>
      </c>
      <c r="N3608" s="131"/>
      <c r="O3608" s="131"/>
      <c r="P3608" s="130" t="str">
        <f ca="1">IF(Proc[[#This Row],[DaysAgeing]]&gt;5,"yep","on track")</f>
        <v>yep</v>
      </c>
      <c r="Q3608" s="3">
        <f ca="1">IF(Proc[[#This Row],[DateClosed]]="",ABS(NETWORKDAYS(Proc[[#This Row],[DateOpened]],TODAY()))-1,ABS(NETWORKDAYS(Proc[[#This Row],[DateOpened]],Proc[[#This Row],[DateClosed]]))-1)</f>
        <v>89</v>
      </c>
      <c r="R3608" s="130" t="s">
        <v>738</v>
      </c>
      <c r="S3608" s="129"/>
    </row>
    <row r="3609" spans="1:19" hidden="1">
      <c r="A3609" s="128" t="s">
        <v>5710</v>
      </c>
      <c r="B3609" s="149" t="str">
        <f>IFERROR(VLOOKUP(Proc[[#This Row],[App]],Table2[],3,0),"open")</f>
        <v>ok</v>
      </c>
      <c r="C3609" s="135" t="s">
        <v>369</v>
      </c>
      <c r="D3609" t="s">
        <v>5712</v>
      </c>
      <c r="E3609" t="s">
        <v>2117</v>
      </c>
      <c r="F3609" s="129" t="s">
        <v>2117</v>
      </c>
      <c r="G3609" s="128" t="s">
        <v>400</v>
      </c>
      <c r="H3609" s="129" t="str">
        <f>IF(Proc[[#This Row],[type]]="LFF (MDG-F)",MID(Proc[[#This Row],[Obj]],13,10),"")</f>
        <v/>
      </c>
      <c r="I3609" s="128"/>
      <c r="J3609" s="129" t="b">
        <f>Proc[[#This Row],[Requested]]=Proc[[#This Row],[CurrentParent]]</f>
        <v>1</v>
      </c>
      <c r="K3609" s="144" t="str">
        <f>IF(Proc[[#This Row],[Author]]="Marcela Urrego",VLOOKUP(LEFT(Proc[[#This Row],[Requested]],1),Table3[#All],2,0),VLOOKUP(Proc[[#This Row],[Author]],Table4[],2,0))</f>
        <v>HC</v>
      </c>
      <c r="L3609" s="129" t="s">
        <v>4894</v>
      </c>
      <c r="M3609" s="130">
        <v>45887</v>
      </c>
      <c r="N3609" s="131"/>
      <c r="O3609" s="131"/>
      <c r="P3609" s="130" t="str">
        <f ca="1">IF(Proc[[#This Row],[DaysAgeing]]&gt;5,"yep","on track")</f>
        <v>yep</v>
      </c>
      <c r="Q3609" s="3">
        <f ca="1">IF(Proc[[#This Row],[DateClosed]]="",ABS(NETWORKDAYS(Proc[[#This Row],[DateOpened]],TODAY()))-1,ABS(NETWORKDAYS(Proc[[#This Row],[DateOpened]],Proc[[#This Row],[DateClosed]]))-1)</f>
        <v>89</v>
      </c>
      <c r="R3609" s="130" t="s">
        <v>738</v>
      </c>
      <c r="S3609" s="129"/>
    </row>
    <row r="3610" spans="1:19" hidden="1">
      <c r="A3610" s="128" t="s">
        <v>5710</v>
      </c>
      <c r="B3610" s="149" t="str">
        <f>IFERROR(VLOOKUP(Proc[[#This Row],[App]],Table2[],3,0),"open")</f>
        <v>ok</v>
      </c>
      <c r="C3610" s="135" t="s">
        <v>369</v>
      </c>
      <c r="D3610" t="s">
        <v>5713</v>
      </c>
      <c r="E3610" t="s">
        <v>2117</v>
      </c>
      <c r="F3610" s="129" t="s">
        <v>2117</v>
      </c>
      <c r="G3610" s="128" t="s">
        <v>400</v>
      </c>
      <c r="H3610" s="129" t="str">
        <f>IF(Proc[[#This Row],[type]]="LFF (MDG-F)",MID(Proc[[#This Row],[Obj]],13,10),"")</f>
        <v/>
      </c>
      <c r="I3610" s="128"/>
      <c r="J3610" s="129" t="b">
        <f>Proc[[#This Row],[Requested]]=Proc[[#This Row],[CurrentParent]]</f>
        <v>1</v>
      </c>
      <c r="K3610" s="144" t="str">
        <f>IF(Proc[[#This Row],[Author]]="Marcela Urrego",VLOOKUP(LEFT(Proc[[#This Row],[Requested]],1),Table3[#All],2,0),VLOOKUP(Proc[[#This Row],[Author]],Table4[],2,0))</f>
        <v>HC</v>
      </c>
      <c r="L3610" s="129" t="s">
        <v>4894</v>
      </c>
      <c r="M3610" s="130">
        <v>45887</v>
      </c>
      <c r="N3610" s="131"/>
      <c r="O3610" s="131"/>
      <c r="P3610" s="130" t="str">
        <f ca="1">IF(Proc[[#This Row],[DaysAgeing]]&gt;5,"yep","on track")</f>
        <v>yep</v>
      </c>
      <c r="Q3610" s="3">
        <f ca="1">IF(Proc[[#This Row],[DateClosed]]="",ABS(NETWORKDAYS(Proc[[#This Row],[DateOpened]],TODAY()))-1,ABS(NETWORKDAYS(Proc[[#This Row],[DateOpened]],Proc[[#This Row],[DateClosed]]))-1)</f>
        <v>89</v>
      </c>
      <c r="R3610" s="130" t="s">
        <v>738</v>
      </c>
      <c r="S3610" s="129"/>
    </row>
    <row r="3611" spans="1:19" hidden="1">
      <c r="A3611" s="128" t="s">
        <v>5710</v>
      </c>
      <c r="B3611" s="149" t="str">
        <f>IFERROR(VLOOKUP(Proc[[#This Row],[App]],Table2[],3,0),"open")</f>
        <v>ok</v>
      </c>
      <c r="C3611" s="135" t="s">
        <v>369</v>
      </c>
      <c r="D3611" t="s">
        <v>5714</v>
      </c>
      <c r="E3611" t="s">
        <v>2117</v>
      </c>
      <c r="F3611" s="129" t="s">
        <v>2117</v>
      </c>
      <c r="G3611" s="128" t="s">
        <v>400</v>
      </c>
      <c r="H3611" s="129" t="str">
        <f>IF(Proc[[#This Row],[type]]="LFF (MDG-F)",MID(Proc[[#This Row],[Obj]],13,10),"")</f>
        <v/>
      </c>
      <c r="I3611" s="128"/>
      <c r="J3611" s="129" t="b">
        <f>Proc[[#This Row],[Requested]]=Proc[[#This Row],[CurrentParent]]</f>
        <v>1</v>
      </c>
      <c r="K3611" s="144" t="str">
        <f>IF(Proc[[#This Row],[Author]]="Marcela Urrego",VLOOKUP(LEFT(Proc[[#This Row],[Requested]],1),Table3[#All],2,0),VLOOKUP(Proc[[#This Row],[Author]],Table4[],2,0))</f>
        <v>HC</v>
      </c>
      <c r="L3611" s="129" t="s">
        <v>4894</v>
      </c>
      <c r="M3611" s="130">
        <v>45887</v>
      </c>
      <c r="N3611" s="131"/>
      <c r="O3611" s="131"/>
      <c r="P3611" s="130" t="str">
        <f ca="1">IF(Proc[[#This Row],[DaysAgeing]]&gt;5,"yep","on track")</f>
        <v>yep</v>
      </c>
      <c r="Q3611" s="3">
        <f ca="1">IF(Proc[[#This Row],[DateClosed]]="",ABS(NETWORKDAYS(Proc[[#This Row],[DateOpened]],TODAY()))-1,ABS(NETWORKDAYS(Proc[[#This Row],[DateOpened]],Proc[[#This Row],[DateClosed]]))-1)</f>
        <v>89</v>
      </c>
      <c r="R3611" s="130" t="s">
        <v>738</v>
      </c>
      <c r="S3611" s="129"/>
    </row>
    <row r="3612" spans="1:19" hidden="1">
      <c r="A3612" s="128" t="s">
        <v>5710</v>
      </c>
      <c r="B3612" s="149" t="str">
        <f>IFERROR(VLOOKUP(Proc[[#This Row],[App]],Table2[],3,0),"open")</f>
        <v>ok</v>
      </c>
      <c r="C3612" s="135" t="s">
        <v>369</v>
      </c>
      <c r="D3612" t="s">
        <v>5715</v>
      </c>
      <c r="E3612" t="s">
        <v>2117</v>
      </c>
      <c r="F3612" s="129" t="s">
        <v>2117</v>
      </c>
      <c r="G3612" s="128" t="s">
        <v>400</v>
      </c>
      <c r="H3612" s="129" t="str">
        <f>IF(Proc[[#This Row],[type]]="LFF (MDG-F)",MID(Proc[[#This Row],[Obj]],13,10),"")</f>
        <v/>
      </c>
      <c r="I3612" s="128"/>
      <c r="J3612" s="129" t="b">
        <f>Proc[[#This Row],[Requested]]=Proc[[#This Row],[CurrentParent]]</f>
        <v>1</v>
      </c>
      <c r="K3612" s="144" t="str">
        <f>IF(Proc[[#This Row],[Author]]="Marcela Urrego",VLOOKUP(LEFT(Proc[[#This Row],[Requested]],1),Table3[#All],2,0),VLOOKUP(Proc[[#This Row],[Author]],Table4[],2,0))</f>
        <v>HC</v>
      </c>
      <c r="L3612" s="129" t="s">
        <v>4894</v>
      </c>
      <c r="M3612" s="130">
        <v>45887</v>
      </c>
      <c r="N3612" s="131"/>
      <c r="O3612" s="131"/>
      <c r="P3612" s="130" t="str">
        <f ca="1">IF(Proc[[#This Row],[DaysAgeing]]&gt;5,"yep","on track")</f>
        <v>yep</v>
      </c>
      <c r="Q3612" s="3">
        <f ca="1">IF(Proc[[#This Row],[DateClosed]]="",ABS(NETWORKDAYS(Proc[[#This Row],[DateOpened]],TODAY()))-1,ABS(NETWORKDAYS(Proc[[#This Row],[DateOpened]],Proc[[#This Row],[DateClosed]]))-1)</f>
        <v>89</v>
      </c>
      <c r="R3612" s="130" t="s">
        <v>738</v>
      </c>
      <c r="S3612" s="129"/>
    </row>
    <row r="3613" spans="1:19" hidden="1">
      <c r="A3613" s="128" t="s">
        <v>5710</v>
      </c>
      <c r="B3613" s="149" t="str">
        <f>IFERROR(VLOOKUP(Proc[[#This Row],[App]],Table2[],3,0),"open")</f>
        <v>ok</v>
      </c>
      <c r="C3613" s="135" t="s">
        <v>369</v>
      </c>
      <c r="D3613" t="s">
        <v>5738</v>
      </c>
      <c r="E3613" t="s">
        <v>5720</v>
      </c>
      <c r="F3613" s="129" t="s">
        <v>5720</v>
      </c>
      <c r="G3613" s="128" t="s">
        <v>400</v>
      </c>
      <c r="H3613" s="129" t="str">
        <f>IF(Proc[[#This Row],[type]]="LFF (MDG-F)",MID(Proc[[#This Row],[Obj]],13,10),"")</f>
        <v/>
      </c>
      <c r="I3613" s="128"/>
      <c r="J3613" s="129" t="b">
        <f>Proc[[#This Row],[Requested]]=Proc[[#This Row],[CurrentParent]]</f>
        <v>1</v>
      </c>
      <c r="K3613" s="144" t="str">
        <f>IF(Proc[[#This Row],[Author]]="Marcela Urrego",VLOOKUP(LEFT(Proc[[#This Row],[Requested]],1),Table3[#All],2,0),VLOOKUP(Proc[[#This Row],[Author]],Table4[],2,0))</f>
        <v>HC</v>
      </c>
      <c r="L3613" s="129" t="s">
        <v>4894</v>
      </c>
      <c r="M3613" s="130">
        <v>45887</v>
      </c>
      <c r="N3613" s="131"/>
      <c r="O3613" s="131"/>
      <c r="P3613" s="130" t="str">
        <f ca="1">IF(Proc[[#This Row],[DaysAgeing]]&gt;5,"yep","on track")</f>
        <v>yep</v>
      </c>
      <c r="Q3613" s="3">
        <f ca="1">IF(Proc[[#This Row],[DateClosed]]="",ABS(NETWORKDAYS(Proc[[#This Row],[DateOpened]],TODAY()))-1,ABS(NETWORKDAYS(Proc[[#This Row],[DateOpened]],Proc[[#This Row],[DateClosed]]))-1)</f>
        <v>89</v>
      </c>
      <c r="R3613" s="130" t="s">
        <v>738</v>
      </c>
      <c r="S3613" s="129"/>
    </row>
    <row r="3614" spans="1:19" hidden="1">
      <c r="A3614" s="128" t="s">
        <v>5710</v>
      </c>
      <c r="B3614" s="149" t="str">
        <f>IFERROR(VLOOKUP(Proc[[#This Row],[App]],Table2[],3,0),"open")</f>
        <v>ok</v>
      </c>
      <c r="C3614" s="135" t="s">
        <v>369</v>
      </c>
      <c r="D3614" t="s">
        <v>5716</v>
      </c>
      <c r="E3614" t="s">
        <v>5720</v>
      </c>
      <c r="F3614" s="129" t="s">
        <v>5720</v>
      </c>
      <c r="G3614" s="128" t="s">
        <v>400</v>
      </c>
      <c r="H3614" s="129" t="str">
        <f>IF(Proc[[#This Row],[type]]="LFF (MDG-F)",MID(Proc[[#This Row],[Obj]],13,10),"")</f>
        <v/>
      </c>
      <c r="I3614" s="128"/>
      <c r="J3614" s="129" t="b">
        <f>Proc[[#This Row],[Requested]]=Proc[[#This Row],[CurrentParent]]</f>
        <v>1</v>
      </c>
      <c r="K3614" s="144" t="str">
        <f>IF(Proc[[#This Row],[Author]]="Marcela Urrego",VLOOKUP(LEFT(Proc[[#This Row],[Requested]],1),Table3[#All],2,0),VLOOKUP(Proc[[#This Row],[Author]],Table4[],2,0))</f>
        <v>HC</v>
      </c>
      <c r="L3614" s="129" t="s">
        <v>4894</v>
      </c>
      <c r="M3614" s="130">
        <v>45887</v>
      </c>
      <c r="N3614" s="131"/>
      <c r="O3614" s="131"/>
      <c r="P3614" s="130" t="str">
        <f ca="1">IF(Proc[[#This Row],[DaysAgeing]]&gt;5,"yep","on track")</f>
        <v>yep</v>
      </c>
      <c r="Q3614" s="3">
        <f ca="1">IF(Proc[[#This Row],[DateClosed]]="",ABS(NETWORKDAYS(Proc[[#This Row],[DateOpened]],TODAY()))-1,ABS(NETWORKDAYS(Proc[[#This Row],[DateOpened]],Proc[[#This Row],[DateClosed]]))-1)</f>
        <v>89</v>
      </c>
      <c r="R3614" s="130" t="s">
        <v>738</v>
      </c>
      <c r="S3614" s="129"/>
    </row>
    <row r="3615" spans="1:19" hidden="1">
      <c r="A3615" s="128" t="s">
        <v>5710</v>
      </c>
      <c r="B3615" s="149" t="str">
        <f>IFERROR(VLOOKUP(Proc[[#This Row],[App]],Table2[],3,0),"open")</f>
        <v>ok</v>
      </c>
      <c r="C3615" s="135" t="s">
        <v>369</v>
      </c>
      <c r="D3615" t="s">
        <v>5717</v>
      </c>
      <c r="E3615" t="s">
        <v>5720</v>
      </c>
      <c r="F3615" s="129" t="s">
        <v>5720</v>
      </c>
      <c r="G3615" s="128" t="s">
        <v>400</v>
      </c>
      <c r="H3615" s="129" t="str">
        <f>IF(Proc[[#This Row],[type]]="LFF (MDG-F)",MID(Proc[[#This Row],[Obj]],13,10),"")</f>
        <v/>
      </c>
      <c r="I3615" s="128"/>
      <c r="J3615" s="129" t="b">
        <f>Proc[[#This Row],[Requested]]=Proc[[#This Row],[CurrentParent]]</f>
        <v>1</v>
      </c>
      <c r="K3615" s="144" t="str">
        <f>IF(Proc[[#This Row],[Author]]="Marcela Urrego",VLOOKUP(LEFT(Proc[[#This Row],[Requested]],1),Table3[#All],2,0),VLOOKUP(Proc[[#This Row],[Author]],Table4[],2,0))</f>
        <v>HC</v>
      </c>
      <c r="L3615" s="129" t="s">
        <v>4894</v>
      </c>
      <c r="M3615" s="130">
        <v>45887</v>
      </c>
      <c r="N3615" s="131"/>
      <c r="O3615" s="131"/>
      <c r="P3615" s="130" t="str">
        <f ca="1">IF(Proc[[#This Row],[DaysAgeing]]&gt;5,"yep","on track")</f>
        <v>yep</v>
      </c>
      <c r="Q3615" s="3">
        <f ca="1">IF(Proc[[#This Row],[DateClosed]]="",ABS(NETWORKDAYS(Proc[[#This Row],[DateOpened]],TODAY()))-1,ABS(NETWORKDAYS(Proc[[#This Row],[DateOpened]],Proc[[#This Row],[DateClosed]]))-1)</f>
        <v>89</v>
      </c>
      <c r="R3615" s="130" t="s">
        <v>738</v>
      </c>
      <c r="S3615" s="129"/>
    </row>
    <row r="3616" spans="1:19" hidden="1">
      <c r="A3616" s="128" t="s">
        <v>5710</v>
      </c>
      <c r="B3616" s="149" t="str">
        <f>IFERROR(VLOOKUP(Proc[[#This Row],[App]],Table2[],3,0),"open")</f>
        <v>ok</v>
      </c>
      <c r="C3616" s="135" t="s">
        <v>369</v>
      </c>
      <c r="D3616" t="s">
        <v>5718</v>
      </c>
      <c r="E3616" t="s">
        <v>5720</v>
      </c>
      <c r="F3616" s="129" t="s">
        <v>5720</v>
      </c>
      <c r="G3616" s="128" t="s">
        <v>400</v>
      </c>
      <c r="H3616" s="129" t="str">
        <f>IF(Proc[[#This Row],[type]]="LFF (MDG-F)",MID(Proc[[#This Row],[Obj]],13,10),"")</f>
        <v/>
      </c>
      <c r="I3616" s="128"/>
      <c r="J3616" s="129" t="b">
        <f>Proc[[#This Row],[Requested]]=Proc[[#This Row],[CurrentParent]]</f>
        <v>1</v>
      </c>
      <c r="K3616" s="144" t="str">
        <f>IF(Proc[[#This Row],[Author]]="Marcela Urrego",VLOOKUP(LEFT(Proc[[#This Row],[Requested]],1),Table3[#All],2,0),VLOOKUP(Proc[[#This Row],[Author]],Table4[],2,0))</f>
        <v>HC</v>
      </c>
      <c r="L3616" s="129" t="s">
        <v>4894</v>
      </c>
      <c r="M3616" s="130">
        <v>45887</v>
      </c>
      <c r="N3616" s="131"/>
      <c r="O3616" s="131"/>
      <c r="P3616" s="130" t="str">
        <f ca="1">IF(Proc[[#This Row],[DaysAgeing]]&gt;5,"yep","on track")</f>
        <v>yep</v>
      </c>
      <c r="Q3616" s="3">
        <f ca="1">IF(Proc[[#This Row],[DateClosed]]="",ABS(NETWORKDAYS(Proc[[#This Row],[DateOpened]],TODAY()))-1,ABS(NETWORKDAYS(Proc[[#This Row],[DateOpened]],Proc[[#This Row],[DateClosed]]))-1)</f>
        <v>89</v>
      </c>
      <c r="R3616" s="130" t="s">
        <v>738</v>
      </c>
      <c r="S3616" s="129"/>
    </row>
    <row r="3617" spans="1:19" hidden="1">
      <c r="A3617" s="128" t="s">
        <v>5710</v>
      </c>
      <c r="B3617" s="149" t="str">
        <f>IFERROR(VLOOKUP(Proc[[#This Row],[App]],Table2[],3,0),"open")</f>
        <v>ok</v>
      </c>
      <c r="C3617" s="135" t="s">
        <v>369</v>
      </c>
      <c r="D3617" t="s">
        <v>5739</v>
      </c>
      <c r="E3617" t="s">
        <v>5720</v>
      </c>
      <c r="F3617" s="129" t="s">
        <v>5720</v>
      </c>
      <c r="G3617" s="128" t="s">
        <v>400</v>
      </c>
      <c r="H3617" s="129" t="str">
        <f>IF(Proc[[#This Row],[type]]="LFF (MDG-F)",MID(Proc[[#This Row],[Obj]],13,10),"")</f>
        <v/>
      </c>
      <c r="I3617" s="128"/>
      <c r="J3617" s="129" t="b">
        <f>Proc[[#This Row],[Requested]]=Proc[[#This Row],[CurrentParent]]</f>
        <v>1</v>
      </c>
      <c r="K3617" s="144" t="str">
        <f>IF(Proc[[#This Row],[Author]]="Marcela Urrego",VLOOKUP(LEFT(Proc[[#This Row],[Requested]],1),Table3[#All],2,0),VLOOKUP(Proc[[#This Row],[Author]],Table4[],2,0))</f>
        <v>HC</v>
      </c>
      <c r="L3617" s="129" t="s">
        <v>4894</v>
      </c>
      <c r="M3617" s="130">
        <v>45887</v>
      </c>
      <c r="N3617" s="131"/>
      <c r="O3617" s="131"/>
      <c r="P3617" s="130" t="str">
        <f ca="1">IF(Proc[[#This Row],[DaysAgeing]]&gt;5,"yep","on track")</f>
        <v>yep</v>
      </c>
      <c r="Q3617" s="3">
        <f ca="1">IF(Proc[[#This Row],[DateClosed]]="",ABS(NETWORKDAYS(Proc[[#This Row],[DateOpened]],TODAY()))-1,ABS(NETWORKDAYS(Proc[[#This Row],[DateOpened]],Proc[[#This Row],[DateClosed]]))-1)</f>
        <v>89</v>
      </c>
      <c r="R3617" s="130" t="s">
        <v>738</v>
      </c>
      <c r="S3617" s="129"/>
    </row>
    <row r="3618" spans="1:19" hidden="1">
      <c r="A3618" s="128" t="s">
        <v>5710</v>
      </c>
      <c r="B3618" s="149" t="str">
        <f>IFERROR(VLOOKUP(Proc[[#This Row],[App]],Table2[],3,0),"open")</f>
        <v>ok</v>
      </c>
      <c r="C3618" s="135" t="s">
        <v>369</v>
      </c>
      <c r="D3618" t="s">
        <v>5719</v>
      </c>
      <c r="E3618" t="s">
        <v>5720</v>
      </c>
      <c r="F3618" s="129" t="s">
        <v>5720</v>
      </c>
      <c r="G3618" s="128" t="s">
        <v>400</v>
      </c>
      <c r="H3618" s="129" t="str">
        <f>IF(Proc[[#This Row],[type]]="LFF (MDG-F)",MID(Proc[[#This Row],[Obj]],13,10),"")</f>
        <v/>
      </c>
      <c r="I3618" s="128"/>
      <c r="J3618" s="129" t="b">
        <f>Proc[[#This Row],[Requested]]=Proc[[#This Row],[CurrentParent]]</f>
        <v>1</v>
      </c>
      <c r="K3618" s="144" t="str">
        <f>IF(Proc[[#This Row],[Author]]="Marcela Urrego",VLOOKUP(LEFT(Proc[[#This Row],[Requested]],1),Table3[#All],2,0),VLOOKUP(Proc[[#This Row],[Author]],Table4[],2,0))</f>
        <v>HC</v>
      </c>
      <c r="L3618" s="129" t="s">
        <v>4894</v>
      </c>
      <c r="M3618" s="130">
        <v>45887</v>
      </c>
      <c r="N3618" s="131"/>
      <c r="O3618" s="131"/>
      <c r="P3618" s="130" t="str">
        <f ca="1">IF(Proc[[#This Row],[DaysAgeing]]&gt;5,"yep","on track")</f>
        <v>yep</v>
      </c>
      <c r="Q3618" s="3">
        <f ca="1">IF(Proc[[#This Row],[DateClosed]]="",ABS(NETWORKDAYS(Proc[[#This Row],[DateOpened]],TODAY()))-1,ABS(NETWORKDAYS(Proc[[#This Row],[DateOpened]],Proc[[#This Row],[DateClosed]]))-1)</f>
        <v>89</v>
      </c>
      <c r="R3618" s="130" t="s">
        <v>738</v>
      </c>
      <c r="S3618" s="129"/>
    </row>
    <row r="3619" spans="1:19" hidden="1">
      <c r="A3619" s="128" t="s">
        <v>5710</v>
      </c>
      <c r="B3619" s="149" t="str">
        <f>IFERROR(VLOOKUP(Proc[[#This Row],[App]],Table2[],3,0),"open")</f>
        <v>ok</v>
      </c>
      <c r="C3619" s="135" t="s">
        <v>369</v>
      </c>
      <c r="D3619" t="s">
        <v>5740</v>
      </c>
      <c r="E3619" t="s">
        <v>5720</v>
      </c>
      <c r="F3619" s="129" t="s">
        <v>5720</v>
      </c>
      <c r="G3619" s="128" t="s">
        <v>400</v>
      </c>
      <c r="H3619" s="129" t="str">
        <f>IF(Proc[[#This Row],[type]]="LFF (MDG-F)",MID(Proc[[#This Row],[Obj]],13,10),"")</f>
        <v/>
      </c>
      <c r="I3619" s="128"/>
      <c r="J3619" s="129" t="b">
        <f>Proc[[#This Row],[Requested]]=Proc[[#This Row],[CurrentParent]]</f>
        <v>1</v>
      </c>
      <c r="K3619" s="144" t="str">
        <f>IF(Proc[[#This Row],[Author]]="Marcela Urrego",VLOOKUP(LEFT(Proc[[#This Row],[Requested]],1),Table3[#All],2,0),VLOOKUP(Proc[[#This Row],[Author]],Table4[],2,0))</f>
        <v>HC</v>
      </c>
      <c r="L3619" s="129" t="s">
        <v>4894</v>
      </c>
      <c r="M3619" s="130">
        <v>45887</v>
      </c>
      <c r="N3619" s="131"/>
      <c r="O3619" s="131"/>
      <c r="P3619" s="130" t="str">
        <f ca="1">IF(Proc[[#This Row],[DaysAgeing]]&gt;5,"yep","on track")</f>
        <v>yep</v>
      </c>
      <c r="Q3619" s="3">
        <f ca="1">IF(Proc[[#This Row],[DateClosed]]="",ABS(NETWORKDAYS(Proc[[#This Row],[DateOpened]],TODAY()))-1,ABS(NETWORKDAYS(Proc[[#This Row],[DateOpened]],Proc[[#This Row],[DateClosed]]))-1)</f>
        <v>89</v>
      </c>
      <c r="R3619" s="130" t="s">
        <v>738</v>
      </c>
      <c r="S3619" s="129"/>
    </row>
    <row r="3620" spans="1:19" hidden="1">
      <c r="A3620" t="s">
        <v>5721</v>
      </c>
      <c r="B3620" s="149" t="str">
        <f>IFERROR(VLOOKUP(Proc[[#This Row],[App]],Table2[],3,0),"open")</f>
        <v>ok</v>
      </c>
      <c r="C3620" s="135" t="s">
        <v>369</v>
      </c>
      <c r="D3620" t="s">
        <v>5722</v>
      </c>
      <c r="E3620" s="134" t="s">
        <v>3602</v>
      </c>
      <c r="F3620" s="129" t="s">
        <v>3602</v>
      </c>
      <c r="G3620" s="133" t="s">
        <v>400</v>
      </c>
      <c r="H3620" s="129" t="str">
        <f>IF(Proc[[#This Row],[type]]="LFF (MDG-F)",MID(Proc[[#This Row],[Obj]],13,10),"")</f>
        <v/>
      </c>
      <c r="J3620" s="129" t="b">
        <f>Proc[[#This Row],[Requested]]=Proc[[#This Row],[CurrentParent]]</f>
        <v>1</v>
      </c>
      <c r="K3620" s="144" t="str">
        <f>IF(Proc[[#This Row],[Author]]="Marcela Urrego",VLOOKUP(LEFT(Proc[[#This Row],[Requested]],1),Table3[#All],2,0),VLOOKUP(Proc[[#This Row],[Author]],Table4[],2,0))</f>
        <v>HC</v>
      </c>
      <c r="L3620" s="129" t="s">
        <v>4894</v>
      </c>
      <c r="M3620" s="130">
        <v>45888</v>
      </c>
      <c r="N3620" s="131"/>
      <c r="O3620" s="131"/>
      <c r="P3620" s="130" t="str">
        <f ca="1">IF(Proc[[#This Row],[DaysAgeing]]&gt;5,"yep","on track")</f>
        <v>yep</v>
      </c>
      <c r="Q3620" s="3">
        <f ca="1">IF(Proc[[#This Row],[DateClosed]]="",ABS(NETWORKDAYS(Proc[[#This Row],[DateOpened]],TODAY()))-1,ABS(NETWORKDAYS(Proc[[#This Row],[DateOpened]],Proc[[#This Row],[DateClosed]]))-1)</f>
        <v>88</v>
      </c>
      <c r="R3620" s="130" t="s">
        <v>738</v>
      </c>
      <c r="S3620" s="129"/>
    </row>
    <row r="3621" spans="1:19" hidden="1">
      <c r="A3621" s="132" t="s">
        <v>5721</v>
      </c>
      <c r="B3621" s="149" t="str">
        <f>IFERROR(VLOOKUP(Proc[[#This Row],[App]],Table2[],3,0),"open")</f>
        <v>ok</v>
      </c>
      <c r="C3621" s="135" t="s">
        <v>369</v>
      </c>
      <c r="D3621" t="s">
        <v>5723</v>
      </c>
      <c r="E3621" t="s">
        <v>5724</v>
      </c>
      <c r="F3621" s="129" t="s">
        <v>5724</v>
      </c>
      <c r="G3621" s="133" t="s">
        <v>400</v>
      </c>
      <c r="H3621" s="129" t="str">
        <f>IF(Proc[[#This Row],[type]]="LFF (MDG-F)",MID(Proc[[#This Row],[Obj]],13,10),"")</f>
        <v/>
      </c>
      <c r="J3621" s="129" t="b">
        <f>Proc[[#This Row],[Requested]]=Proc[[#This Row],[CurrentParent]]</f>
        <v>1</v>
      </c>
      <c r="K3621" s="144" t="str">
        <f>IF(Proc[[#This Row],[Author]]="Marcela Urrego",VLOOKUP(LEFT(Proc[[#This Row],[Requested]],1),Table3[#All],2,0),VLOOKUP(Proc[[#This Row],[Author]],Table4[],2,0))</f>
        <v>HC</v>
      </c>
      <c r="L3621" s="129" t="s">
        <v>4894</v>
      </c>
      <c r="M3621" s="130">
        <v>45888</v>
      </c>
      <c r="N3621" s="131"/>
      <c r="O3621" s="131"/>
      <c r="P3621" s="130" t="str">
        <f ca="1">IF(Proc[[#This Row],[DaysAgeing]]&gt;5,"yep","on track")</f>
        <v>yep</v>
      </c>
      <c r="Q3621" s="3">
        <f ca="1">IF(Proc[[#This Row],[DateClosed]]="",ABS(NETWORKDAYS(Proc[[#This Row],[DateOpened]],TODAY()))-1,ABS(NETWORKDAYS(Proc[[#This Row],[DateOpened]],Proc[[#This Row],[DateClosed]]))-1)</f>
        <v>88</v>
      </c>
      <c r="R3621" s="130" t="s">
        <v>738</v>
      </c>
      <c r="S3621" s="129"/>
    </row>
    <row r="3622" spans="1:19" hidden="1">
      <c r="A3622" s="132" t="s">
        <v>5721</v>
      </c>
      <c r="B3622" s="149" t="str">
        <f>IFERROR(VLOOKUP(Proc[[#This Row],[App]],Table2[],3,0),"open")</f>
        <v>ok</v>
      </c>
      <c r="C3622" s="135" t="s">
        <v>369</v>
      </c>
      <c r="D3622" t="s">
        <v>5725</v>
      </c>
      <c r="E3622" t="s">
        <v>2161</v>
      </c>
      <c r="F3622" s="129" t="s">
        <v>2161</v>
      </c>
      <c r="G3622" s="133" t="s">
        <v>400</v>
      </c>
      <c r="H3622" s="129" t="str">
        <f>IF(Proc[[#This Row],[type]]="LFF (MDG-F)",MID(Proc[[#This Row],[Obj]],13,10),"")</f>
        <v/>
      </c>
      <c r="J3622" s="129" t="b">
        <f>Proc[[#This Row],[Requested]]=Proc[[#This Row],[CurrentParent]]</f>
        <v>1</v>
      </c>
      <c r="K3622" s="144" t="str">
        <f>IF(Proc[[#This Row],[Author]]="Marcela Urrego",VLOOKUP(LEFT(Proc[[#This Row],[Requested]],1),Table3[#All],2,0),VLOOKUP(Proc[[#This Row],[Author]],Table4[],2,0))</f>
        <v>HC</v>
      </c>
      <c r="L3622" s="129" t="s">
        <v>4894</v>
      </c>
      <c r="M3622" s="130">
        <v>45888</v>
      </c>
      <c r="N3622" s="131"/>
      <c r="O3622" s="131"/>
      <c r="P3622" s="130" t="str">
        <f ca="1">IF(Proc[[#This Row],[DaysAgeing]]&gt;5,"yep","on track")</f>
        <v>yep</v>
      </c>
      <c r="Q3622" s="3">
        <f ca="1">IF(Proc[[#This Row],[DateClosed]]="",ABS(NETWORKDAYS(Proc[[#This Row],[DateOpened]],TODAY()))-1,ABS(NETWORKDAYS(Proc[[#This Row],[DateOpened]],Proc[[#This Row],[DateClosed]]))-1)</f>
        <v>88</v>
      </c>
      <c r="R3622" s="130" t="s">
        <v>738</v>
      </c>
      <c r="S3622" s="129"/>
    </row>
    <row r="3623" spans="1:19" hidden="1">
      <c r="A3623" s="132" t="s">
        <v>5721</v>
      </c>
      <c r="B3623" s="149" t="str">
        <f>IFERROR(VLOOKUP(Proc[[#This Row],[App]],Table2[],3,0),"open")</f>
        <v>ok</v>
      </c>
      <c r="C3623" s="135" t="s">
        <v>369</v>
      </c>
      <c r="D3623" t="s">
        <v>5726</v>
      </c>
      <c r="E3623" t="s">
        <v>2161</v>
      </c>
      <c r="F3623" s="129" t="s">
        <v>2161</v>
      </c>
      <c r="G3623" s="133" t="s">
        <v>400</v>
      </c>
      <c r="H3623" s="129" t="str">
        <f>IF(Proc[[#This Row],[type]]="LFF (MDG-F)",MID(Proc[[#This Row],[Obj]],13,10),"")</f>
        <v/>
      </c>
      <c r="J3623" s="129" t="b">
        <f>Proc[[#This Row],[Requested]]=Proc[[#This Row],[CurrentParent]]</f>
        <v>1</v>
      </c>
      <c r="K3623" s="144" t="str">
        <f>IF(Proc[[#This Row],[Author]]="Marcela Urrego",VLOOKUP(LEFT(Proc[[#This Row],[Requested]],1),Table3[#All],2,0),VLOOKUP(Proc[[#This Row],[Author]],Table4[],2,0))</f>
        <v>HC</v>
      </c>
      <c r="L3623" s="129" t="s">
        <v>4894</v>
      </c>
      <c r="M3623" s="130">
        <v>45888</v>
      </c>
      <c r="N3623" s="131"/>
      <c r="O3623" s="131"/>
      <c r="P3623" s="130" t="str">
        <f ca="1">IF(Proc[[#This Row],[DaysAgeing]]&gt;5,"yep","on track")</f>
        <v>yep</v>
      </c>
      <c r="Q3623" s="3">
        <f ca="1">IF(Proc[[#This Row],[DateClosed]]="",ABS(NETWORKDAYS(Proc[[#This Row],[DateOpened]],TODAY()))-1,ABS(NETWORKDAYS(Proc[[#This Row],[DateOpened]],Proc[[#This Row],[DateClosed]]))-1)</f>
        <v>88</v>
      </c>
      <c r="R3623" s="130" t="s">
        <v>738</v>
      </c>
      <c r="S3623" s="129"/>
    </row>
    <row r="3624" spans="1:19" hidden="1">
      <c r="A3624" s="132" t="s">
        <v>5721</v>
      </c>
      <c r="B3624" s="149" t="str">
        <f>IFERROR(VLOOKUP(Proc[[#This Row],[App]],Table2[],3,0),"open")</f>
        <v>ok</v>
      </c>
      <c r="C3624" s="135" t="s">
        <v>369</v>
      </c>
      <c r="D3624" t="s">
        <v>5727</v>
      </c>
      <c r="E3624" t="s">
        <v>2161</v>
      </c>
      <c r="F3624" s="129" t="s">
        <v>2161</v>
      </c>
      <c r="G3624" s="133" t="s">
        <v>400</v>
      </c>
      <c r="H3624" s="129" t="str">
        <f>IF(Proc[[#This Row],[type]]="LFF (MDG-F)",MID(Proc[[#This Row],[Obj]],13,10),"")</f>
        <v/>
      </c>
      <c r="J3624" s="129" t="b">
        <f>Proc[[#This Row],[Requested]]=Proc[[#This Row],[CurrentParent]]</f>
        <v>1</v>
      </c>
      <c r="K3624" s="144" t="str">
        <f>IF(Proc[[#This Row],[Author]]="Marcela Urrego",VLOOKUP(LEFT(Proc[[#This Row],[Requested]],1),Table3[#All],2,0),VLOOKUP(Proc[[#This Row],[Author]],Table4[],2,0))</f>
        <v>HC</v>
      </c>
      <c r="L3624" s="129" t="s">
        <v>4894</v>
      </c>
      <c r="M3624" s="130">
        <v>45888</v>
      </c>
      <c r="N3624" s="131"/>
      <c r="O3624" s="131"/>
      <c r="P3624" s="130" t="str">
        <f ca="1">IF(Proc[[#This Row],[DaysAgeing]]&gt;5,"yep","on track")</f>
        <v>yep</v>
      </c>
      <c r="Q3624" s="3">
        <f ca="1">IF(Proc[[#This Row],[DateClosed]]="",ABS(NETWORKDAYS(Proc[[#This Row],[DateOpened]],TODAY()))-1,ABS(NETWORKDAYS(Proc[[#This Row],[DateOpened]],Proc[[#This Row],[DateClosed]]))-1)</f>
        <v>88</v>
      </c>
      <c r="R3624" s="130" t="s">
        <v>738</v>
      </c>
      <c r="S3624" s="129"/>
    </row>
    <row r="3625" spans="1:19" hidden="1">
      <c r="A3625" s="132" t="s">
        <v>5721</v>
      </c>
      <c r="B3625" s="149" t="str">
        <f>IFERROR(VLOOKUP(Proc[[#This Row],[App]],Table2[],3,0),"open")</f>
        <v>ok</v>
      </c>
      <c r="C3625" s="135" t="s">
        <v>369</v>
      </c>
      <c r="D3625" t="s">
        <v>5728</v>
      </c>
      <c r="E3625" t="s">
        <v>2161</v>
      </c>
      <c r="F3625" s="129" t="s">
        <v>2161</v>
      </c>
      <c r="G3625" s="133" t="s">
        <v>400</v>
      </c>
      <c r="H3625" s="129" t="str">
        <f>IF(Proc[[#This Row],[type]]="LFF (MDG-F)",MID(Proc[[#This Row],[Obj]],13,10),"")</f>
        <v/>
      </c>
      <c r="J3625" s="129" t="b">
        <f>Proc[[#This Row],[Requested]]=Proc[[#This Row],[CurrentParent]]</f>
        <v>1</v>
      </c>
      <c r="K3625" s="144" t="str">
        <f>IF(Proc[[#This Row],[Author]]="Marcela Urrego",VLOOKUP(LEFT(Proc[[#This Row],[Requested]],1),Table3[#All],2,0),VLOOKUP(Proc[[#This Row],[Author]],Table4[],2,0))</f>
        <v>HC</v>
      </c>
      <c r="L3625" s="129" t="s">
        <v>4894</v>
      </c>
      <c r="M3625" s="130">
        <v>45888</v>
      </c>
      <c r="N3625" s="131"/>
      <c r="O3625" s="131"/>
      <c r="P3625" s="130" t="str">
        <f ca="1">IF(Proc[[#This Row],[DaysAgeing]]&gt;5,"yep","on track")</f>
        <v>yep</v>
      </c>
      <c r="Q3625" s="3">
        <f ca="1">IF(Proc[[#This Row],[DateClosed]]="",ABS(NETWORKDAYS(Proc[[#This Row],[DateOpened]],TODAY()))-1,ABS(NETWORKDAYS(Proc[[#This Row],[DateOpened]],Proc[[#This Row],[DateClosed]]))-1)</f>
        <v>88</v>
      </c>
      <c r="R3625" s="130" t="s">
        <v>738</v>
      </c>
      <c r="S3625" s="129"/>
    </row>
    <row r="3626" spans="1:19" hidden="1">
      <c r="A3626" s="132" t="s">
        <v>5721</v>
      </c>
      <c r="B3626" s="149" t="str">
        <f>IFERROR(VLOOKUP(Proc[[#This Row],[App]],Table2[],3,0),"open")</f>
        <v>ok</v>
      </c>
      <c r="C3626" s="135" t="s">
        <v>369</v>
      </c>
      <c r="D3626" t="s">
        <v>5729</v>
      </c>
      <c r="E3626" t="s">
        <v>2161</v>
      </c>
      <c r="F3626" s="129" t="s">
        <v>2161</v>
      </c>
      <c r="G3626" s="133" t="s">
        <v>400</v>
      </c>
      <c r="H3626" s="129" t="str">
        <f>IF(Proc[[#This Row],[type]]="LFF (MDG-F)",MID(Proc[[#This Row],[Obj]],13,10),"")</f>
        <v/>
      </c>
      <c r="J3626" s="129" t="b">
        <f>Proc[[#This Row],[Requested]]=Proc[[#This Row],[CurrentParent]]</f>
        <v>1</v>
      </c>
      <c r="K3626" s="144" t="str">
        <f>IF(Proc[[#This Row],[Author]]="Marcela Urrego",VLOOKUP(LEFT(Proc[[#This Row],[Requested]],1),Table3[#All],2,0),VLOOKUP(Proc[[#This Row],[Author]],Table4[],2,0))</f>
        <v>HC</v>
      </c>
      <c r="L3626" s="129" t="s">
        <v>4894</v>
      </c>
      <c r="M3626" s="130">
        <v>45888</v>
      </c>
      <c r="N3626" s="131"/>
      <c r="O3626" s="131"/>
      <c r="P3626" s="130" t="str">
        <f ca="1">IF(Proc[[#This Row],[DaysAgeing]]&gt;5,"yep","on track")</f>
        <v>yep</v>
      </c>
      <c r="Q3626" s="3">
        <f ca="1">IF(Proc[[#This Row],[DateClosed]]="",ABS(NETWORKDAYS(Proc[[#This Row],[DateOpened]],TODAY()))-1,ABS(NETWORKDAYS(Proc[[#This Row],[DateOpened]],Proc[[#This Row],[DateClosed]]))-1)</f>
        <v>88</v>
      </c>
      <c r="R3626" s="130" t="s">
        <v>738</v>
      </c>
      <c r="S3626" s="129"/>
    </row>
    <row r="3627" spans="1:19" hidden="1">
      <c r="A3627" s="132" t="s">
        <v>5721</v>
      </c>
      <c r="B3627" s="149" t="str">
        <f>IFERROR(VLOOKUP(Proc[[#This Row],[App]],Table2[],3,0),"open")</f>
        <v>ok</v>
      </c>
      <c r="C3627" s="135" t="s">
        <v>369</v>
      </c>
      <c r="D3627" t="s">
        <v>5730</v>
      </c>
      <c r="E3627" t="s">
        <v>2161</v>
      </c>
      <c r="F3627" s="129" t="s">
        <v>2161</v>
      </c>
      <c r="G3627" s="133" t="s">
        <v>400</v>
      </c>
      <c r="H3627" s="129" t="str">
        <f>IF(Proc[[#This Row],[type]]="LFF (MDG-F)",MID(Proc[[#This Row],[Obj]],13,10),"")</f>
        <v/>
      </c>
      <c r="J3627" s="129" t="b">
        <f>Proc[[#This Row],[Requested]]=Proc[[#This Row],[CurrentParent]]</f>
        <v>1</v>
      </c>
      <c r="K3627" s="144" t="str">
        <f>IF(Proc[[#This Row],[Author]]="Marcela Urrego",VLOOKUP(LEFT(Proc[[#This Row],[Requested]],1),Table3[#All],2,0),VLOOKUP(Proc[[#This Row],[Author]],Table4[],2,0))</f>
        <v>HC</v>
      </c>
      <c r="L3627" s="129" t="s">
        <v>4894</v>
      </c>
      <c r="M3627" s="130">
        <v>45888</v>
      </c>
      <c r="N3627" s="131"/>
      <c r="O3627" s="131"/>
      <c r="P3627" s="130" t="str">
        <f ca="1">IF(Proc[[#This Row],[DaysAgeing]]&gt;5,"yep","on track")</f>
        <v>yep</v>
      </c>
      <c r="Q3627" s="3">
        <f ca="1">IF(Proc[[#This Row],[DateClosed]]="",ABS(NETWORKDAYS(Proc[[#This Row],[DateOpened]],TODAY()))-1,ABS(NETWORKDAYS(Proc[[#This Row],[DateOpened]],Proc[[#This Row],[DateClosed]]))-1)</f>
        <v>88</v>
      </c>
      <c r="R3627" s="130" t="s">
        <v>738</v>
      </c>
      <c r="S3627" s="129"/>
    </row>
    <row r="3628" spans="1:19" hidden="1">
      <c r="A3628" t="s">
        <v>5731</v>
      </c>
      <c r="B3628" s="149" t="str">
        <f>IFERROR(VLOOKUP(Proc[[#This Row],[App]],Table2[],3,0),"open")</f>
        <v>ok</v>
      </c>
      <c r="C3628" s="135" t="s">
        <v>369</v>
      </c>
      <c r="D3628" t="s">
        <v>5732</v>
      </c>
      <c r="E3628" t="s">
        <v>496</v>
      </c>
      <c r="F3628" s="135" t="s">
        <v>496</v>
      </c>
      <c r="G3628" s="133" t="s">
        <v>400</v>
      </c>
      <c r="H3628" s="129" t="str">
        <f>IF(Proc[[#This Row],[type]]="LFF (MDG-F)",MID(Proc[[#This Row],[Obj]],13,10),"")</f>
        <v/>
      </c>
      <c r="J3628" s="129" t="b">
        <f>Proc[[#This Row],[Requested]]=Proc[[#This Row],[CurrentParent]]</f>
        <v>1</v>
      </c>
      <c r="K3628" s="144" t="str">
        <f>IF(Proc[[#This Row],[Author]]="Marcela Urrego",VLOOKUP(LEFT(Proc[[#This Row],[Requested]],1),Table3[#All],2,0),VLOOKUP(Proc[[#This Row],[Author]],Table4[],2,0))</f>
        <v>LS</v>
      </c>
      <c r="L3628" s="129" t="s">
        <v>4894</v>
      </c>
      <c r="M3628" s="130">
        <v>45888</v>
      </c>
      <c r="N3628" s="131"/>
      <c r="O3628" s="131"/>
      <c r="P3628" s="130" t="str">
        <f ca="1">IF(Proc[[#This Row],[DaysAgeing]]&gt;5,"yep","on track")</f>
        <v>yep</v>
      </c>
      <c r="Q3628" s="3">
        <f ca="1">IF(Proc[[#This Row],[DateClosed]]="",ABS(NETWORKDAYS(Proc[[#This Row],[DateOpened]],TODAY()))-1,ABS(NETWORKDAYS(Proc[[#This Row],[DateOpened]],Proc[[#This Row],[DateClosed]]))-1)</f>
        <v>88</v>
      </c>
      <c r="R3628" s="130" t="s">
        <v>489</v>
      </c>
      <c r="S3628" s="129"/>
    </row>
    <row r="3629" spans="1:19" hidden="1">
      <c r="A3629" s="133" t="s">
        <v>5731</v>
      </c>
      <c r="B3629" s="149" t="str">
        <f>IFERROR(VLOOKUP(Proc[[#This Row],[App]],Table2[],3,0),"open")</f>
        <v>ok</v>
      </c>
      <c r="C3629" s="135" t="s">
        <v>369</v>
      </c>
      <c r="D3629" t="s">
        <v>5733</v>
      </c>
      <c r="E3629" t="s">
        <v>496</v>
      </c>
      <c r="F3629" s="135" t="s">
        <v>496</v>
      </c>
      <c r="G3629" s="133" t="s">
        <v>400</v>
      </c>
      <c r="H3629" s="129" t="str">
        <f>IF(Proc[[#This Row],[type]]="LFF (MDG-F)",MID(Proc[[#This Row],[Obj]],13,10),"")</f>
        <v/>
      </c>
      <c r="J3629" s="129" t="b">
        <f>Proc[[#This Row],[Requested]]=Proc[[#This Row],[CurrentParent]]</f>
        <v>1</v>
      </c>
      <c r="K3629" s="144" t="str">
        <f>IF(Proc[[#This Row],[Author]]="Marcela Urrego",VLOOKUP(LEFT(Proc[[#This Row],[Requested]],1),Table3[#All],2,0),VLOOKUP(Proc[[#This Row],[Author]],Table4[],2,0))</f>
        <v>LS</v>
      </c>
      <c r="L3629" s="129" t="s">
        <v>4894</v>
      </c>
      <c r="M3629" s="130">
        <v>45888</v>
      </c>
      <c r="N3629" s="131"/>
      <c r="O3629" s="131"/>
      <c r="P3629" s="130" t="str">
        <f ca="1">IF(Proc[[#This Row],[DaysAgeing]]&gt;5,"yep","on track")</f>
        <v>yep</v>
      </c>
      <c r="Q3629" s="3">
        <f ca="1">IF(Proc[[#This Row],[DateClosed]]="",ABS(NETWORKDAYS(Proc[[#This Row],[DateOpened]],TODAY()))-1,ABS(NETWORKDAYS(Proc[[#This Row],[DateOpened]],Proc[[#This Row],[DateClosed]]))-1)</f>
        <v>88</v>
      </c>
      <c r="R3629" s="130" t="s">
        <v>489</v>
      </c>
      <c r="S3629" s="129"/>
    </row>
    <row r="3630" spans="1:19" hidden="1">
      <c r="A3630" t="s">
        <v>5734</v>
      </c>
      <c r="B3630" s="149" t="str">
        <f>IFERROR(VLOOKUP(Proc[[#This Row],[App]],Table2[],3,0),"open")</f>
        <v>ok</v>
      </c>
      <c r="C3630" s="135" t="s">
        <v>369</v>
      </c>
      <c r="D3630" t="s">
        <v>5575</v>
      </c>
      <c r="E3630" t="s">
        <v>3522</v>
      </c>
      <c r="F3630" s="129" t="s">
        <v>3522</v>
      </c>
      <c r="G3630" s="133" t="s">
        <v>400</v>
      </c>
      <c r="H3630" s="129" t="str">
        <f>IF(Proc[[#This Row],[type]]="LFF (MDG-F)",MID(Proc[[#This Row],[Obj]],13,10),"")</f>
        <v/>
      </c>
      <c r="J3630" s="129" t="b">
        <f>Proc[[#This Row],[Requested]]=Proc[[#This Row],[CurrentParent]]</f>
        <v>1</v>
      </c>
      <c r="K3630" s="144" t="str">
        <f>IF(Proc[[#This Row],[Author]]="Marcela Urrego",VLOOKUP(LEFT(Proc[[#This Row],[Requested]],1),Table3[#All],2,0),VLOOKUP(Proc[[#This Row],[Author]],Table4[],2,0))</f>
        <v>LS</v>
      </c>
      <c r="L3630" s="129" t="s">
        <v>4894</v>
      </c>
      <c r="M3630" s="130">
        <v>45888</v>
      </c>
      <c r="N3630" s="131"/>
      <c r="O3630" s="131"/>
      <c r="P3630" s="130" t="str">
        <f ca="1">IF(Proc[[#This Row],[DaysAgeing]]&gt;5,"yep","on track")</f>
        <v>yep</v>
      </c>
      <c r="Q3630" s="3">
        <f ca="1">IF(Proc[[#This Row],[DateClosed]]="",ABS(NETWORKDAYS(Proc[[#This Row],[DateOpened]],TODAY()))-1,ABS(NETWORKDAYS(Proc[[#This Row],[DateOpened]],Proc[[#This Row],[DateClosed]]))-1)</f>
        <v>88</v>
      </c>
      <c r="R3630" s="130" t="s">
        <v>1262</v>
      </c>
      <c r="S3630" s="129"/>
    </row>
    <row r="3631" spans="1:19" hidden="1">
      <c r="A3631" t="s">
        <v>5737</v>
      </c>
      <c r="B3631" s="149" t="str">
        <f>IFERROR(VLOOKUP(Proc[[#This Row],[App]],Table2[],3,0),"open")</f>
        <v>ok</v>
      </c>
      <c r="C3631" s="135" t="s">
        <v>369</v>
      </c>
      <c r="D3631" s="135" t="s">
        <v>5736</v>
      </c>
      <c r="E3631" t="s">
        <v>3514</v>
      </c>
      <c r="F3631" s="129" t="s">
        <v>3514</v>
      </c>
      <c r="G3631" s="135" t="s">
        <v>400</v>
      </c>
      <c r="H3631" s="129" t="str">
        <f>IF(Proc[[#This Row],[type]]="LFF (MDG-F)",MID(Proc[[#This Row],[Obj]],13,10),"")</f>
        <v/>
      </c>
      <c r="J3631" s="129" t="b">
        <f>Proc[[#This Row],[Requested]]=Proc[[#This Row],[CurrentParent]]</f>
        <v>1</v>
      </c>
      <c r="K3631" s="144" t="str">
        <f>IF(Proc[[#This Row],[Author]]="Marcela Urrego",VLOOKUP(LEFT(Proc[[#This Row],[Requested]],1),Table3[#All],2,0),VLOOKUP(Proc[[#This Row],[Author]],Table4[],2,0))</f>
        <v>LS</v>
      </c>
      <c r="L3631" s="129" t="s">
        <v>4894</v>
      </c>
      <c r="M3631" s="130">
        <v>45888</v>
      </c>
      <c r="N3631" s="131"/>
      <c r="O3631" s="131"/>
      <c r="P3631" s="130" t="str">
        <f ca="1">IF(Proc[[#This Row],[DaysAgeing]]&gt;5,"yep","on track")</f>
        <v>yep</v>
      </c>
      <c r="Q3631" s="3">
        <f ca="1">IF(Proc[[#This Row],[DateClosed]]="",ABS(NETWORKDAYS(Proc[[#This Row],[DateOpened]],TODAY()))-1,ABS(NETWORKDAYS(Proc[[#This Row],[DateOpened]],Proc[[#This Row],[DateClosed]]))-1)</f>
        <v>88</v>
      </c>
      <c r="R3631" s="130" t="s">
        <v>972</v>
      </c>
      <c r="S3631" s="129"/>
    </row>
    <row r="3632" spans="1:19" hidden="1">
      <c r="A3632" t="s">
        <v>5741</v>
      </c>
      <c r="B3632" s="149" t="str">
        <f>IFERROR(VLOOKUP(Proc[[#This Row],[App]],Table2[],3,0),"open")</f>
        <v>ok</v>
      </c>
      <c r="C3632" s="135" t="s">
        <v>369</v>
      </c>
      <c r="D3632" t="s">
        <v>5742</v>
      </c>
      <c r="E3632" t="s">
        <v>5270</v>
      </c>
      <c r="F3632" s="129" t="s">
        <v>5270</v>
      </c>
      <c r="G3632" t="s">
        <v>400</v>
      </c>
      <c r="H3632" s="129" t="str">
        <f>IF(Proc[[#This Row],[type]]="LFF (MDG-F)",MID(Proc[[#This Row],[Obj]],13,10),"")</f>
        <v/>
      </c>
      <c r="J3632" s="129" t="b">
        <f>Proc[[#This Row],[Requested]]=Proc[[#This Row],[CurrentParent]]</f>
        <v>1</v>
      </c>
      <c r="K3632" s="144" t="str">
        <f>IF(Proc[[#This Row],[Author]]="Marcela Urrego",VLOOKUP(LEFT(Proc[[#This Row],[Requested]],1),Table3[#All],2,0),VLOOKUP(Proc[[#This Row],[Author]],Table4[],2,0))</f>
        <v>LS</v>
      </c>
      <c r="L3632" s="129" t="s">
        <v>4894</v>
      </c>
      <c r="M3632" s="130">
        <v>45891</v>
      </c>
      <c r="N3632" s="131"/>
      <c r="O3632" s="131"/>
      <c r="P3632" s="130" t="str">
        <f ca="1">IF(Proc[[#This Row],[DaysAgeing]]&gt;5,"yep","on track")</f>
        <v>yep</v>
      </c>
      <c r="Q3632" s="3">
        <f ca="1">IF(Proc[[#This Row],[DateClosed]]="",ABS(NETWORKDAYS(Proc[[#This Row],[DateOpened]],TODAY()))-1,ABS(NETWORKDAYS(Proc[[#This Row],[DateOpened]],Proc[[#This Row],[DateClosed]]))-1)</f>
        <v>85</v>
      </c>
      <c r="R3632" s="130" t="s">
        <v>489</v>
      </c>
      <c r="S3632" s="129"/>
    </row>
    <row r="3633" spans="1:19" hidden="1">
      <c r="A3633" s="135" t="s">
        <v>5741</v>
      </c>
      <c r="B3633" s="149" t="str">
        <f>IFERROR(VLOOKUP(Proc[[#This Row],[App]],Table2[],3,0),"open")</f>
        <v>ok</v>
      </c>
      <c r="C3633" s="135" t="s">
        <v>369</v>
      </c>
      <c r="D3633" t="s">
        <v>5743</v>
      </c>
      <c r="E3633" t="s">
        <v>5270</v>
      </c>
      <c r="F3633" s="129" t="s">
        <v>5270</v>
      </c>
      <c r="G3633" s="135" t="s">
        <v>400</v>
      </c>
      <c r="H3633" s="129" t="str">
        <f>IF(Proc[[#This Row],[type]]="LFF (MDG-F)",MID(Proc[[#This Row],[Obj]],13,10),"")</f>
        <v/>
      </c>
      <c r="J3633" s="129" t="b">
        <f>Proc[[#This Row],[Requested]]=Proc[[#This Row],[CurrentParent]]</f>
        <v>1</v>
      </c>
      <c r="K3633" s="144" t="str">
        <f>IF(Proc[[#This Row],[Author]]="Marcela Urrego",VLOOKUP(LEFT(Proc[[#This Row],[Requested]],1),Table3[#All],2,0),VLOOKUP(Proc[[#This Row],[Author]],Table4[],2,0))</f>
        <v>LS</v>
      </c>
      <c r="L3633" s="129" t="s">
        <v>4894</v>
      </c>
      <c r="M3633" s="130">
        <v>45891</v>
      </c>
      <c r="N3633" s="131"/>
      <c r="O3633" s="131"/>
      <c r="P3633" s="130" t="str">
        <f ca="1">IF(Proc[[#This Row],[DaysAgeing]]&gt;5,"yep","on track")</f>
        <v>yep</v>
      </c>
      <c r="Q3633" s="3">
        <f ca="1">IF(Proc[[#This Row],[DateClosed]]="",ABS(NETWORKDAYS(Proc[[#This Row],[DateOpened]],TODAY()))-1,ABS(NETWORKDAYS(Proc[[#This Row],[DateOpened]],Proc[[#This Row],[DateClosed]]))-1)</f>
        <v>85</v>
      </c>
      <c r="R3633" s="130" t="s">
        <v>489</v>
      </c>
      <c r="S3633" s="129"/>
    </row>
    <row r="3634" spans="1:19" hidden="1">
      <c r="A3634" s="135" t="s">
        <v>5741</v>
      </c>
      <c r="B3634" s="149" t="str">
        <f>IFERROR(VLOOKUP(Proc[[#This Row],[App]],Table2[],3,0),"open")</f>
        <v>ok</v>
      </c>
      <c r="C3634" s="135" t="s">
        <v>369</v>
      </c>
      <c r="D3634" t="s">
        <v>5744</v>
      </c>
      <c r="E3634" t="s">
        <v>5270</v>
      </c>
      <c r="F3634" s="129" t="s">
        <v>5270</v>
      </c>
      <c r="G3634" s="135" t="s">
        <v>400</v>
      </c>
      <c r="H3634" s="129" t="str">
        <f>IF(Proc[[#This Row],[type]]="LFF (MDG-F)",MID(Proc[[#This Row],[Obj]],13,10),"")</f>
        <v/>
      </c>
      <c r="J3634" s="129" t="b">
        <f>Proc[[#This Row],[Requested]]=Proc[[#This Row],[CurrentParent]]</f>
        <v>1</v>
      </c>
      <c r="K3634" s="144" t="str">
        <f>IF(Proc[[#This Row],[Author]]="Marcela Urrego",VLOOKUP(LEFT(Proc[[#This Row],[Requested]],1),Table3[#All],2,0),VLOOKUP(Proc[[#This Row],[Author]],Table4[],2,0))</f>
        <v>LS</v>
      </c>
      <c r="L3634" s="129" t="s">
        <v>4894</v>
      </c>
      <c r="M3634" s="130">
        <v>45891</v>
      </c>
      <c r="N3634" s="131"/>
      <c r="O3634" s="131"/>
      <c r="P3634" s="130" t="str">
        <f ca="1">IF(Proc[[#This Row],[DaysAgeing]]&gt;5,"yep","on track")</f>
        <v>yep</v>
      </c>
      <c r="Q3634" s="3">
        <f ca="1">IF(Proc[[#This Row],[DateClosed]]="",ABS(NETWORKDAYS(Proc[[#This Row],[DateOpened]],TODAY()))-1,ABS(NETWORKDAYS(Proc[[#This Row],[DateOpened]],Proc[[#This Row],[DateClosed]]))-1)</f>
        <v>85</v>
      </c>
      <c r="R3634" s="130" t="s">
        <v>489</v>
      </c>
      <c r="S3634" s="129"/>
    </row>
    <row r="3635" spans="1:19" hidden="1">
      <c r="A3635" s="135" t="s">
        <v>5741</v>
      </c>
      <c r="B3635" s="149" t="str">
        <f>IFERROR(VLOOKUP(Proc[[#This Row],[App]],Table2[],3,0),"open")</f>
        <v>ok</v>
      </c>
      <c r="C3635" s="135" t="s">
        <v>369</v>
      </c>
      <c r="D3635" t="s">
        <v>5745</v>
      </c>
      <c r="E3635" t="s">
        <v>5270</v>
      </c>
      <c r="F3635" s="129" t="s">
        <v>5270</v>
      </c>
      <c r="G3635" s="135" t="s">
        <v>400</v>
      </c>
      <c r="H3635" s="129" t="str">
        <f>IF(Proc[[#This Row],[type]]="LFF (MDG-F)",MID(Proc[[#This Row],[Obj]],13,10),"")</f>
        <v/>
      </c>
      <c r="J3635" s="129" t="b">
        <f>Proc[[#This Row],[Requested]]=Proc[[#This Row],[CurrentParent]]</f>
        <v>1</v>
      </c>
      <c r="K3635" s="144" t="str">
        <f>IF(Proc[[#This Row],[Author]]="Marcela Urrego",VLOOKUP(LEFT(Proc[[#This Row],[Requested]],1),Table3[#All],2,0),VLOOKUP(Proc[[#This Row],[Author]],Table4[],2,0))</f>
        <v>LS</v>
      </c>
      <c r="L3635" s="129" t="s">
        <v>4894</v>
      </c>
      <c r="M3635" s="130">
        <v>45891</v>
      </c>
      <c r="N3635" s="131"/>
      <c r="O3635" s="131"/>
      <c r="P3635" s="130" t="str">
        <f ca="1">IF(Proc[[#This Row],[DaysAgeing]]&gt;5,"yep","on track")</f>
        <v>yep</v>
      </c>
      <c r="Q3635" s="3">
        <f ca="1">IF(Proc[[#This Row],[DateClosed]]="",ABS(NETWORKDAYS(Proc[[#This Row],[DateOpened]],TODAY()))-1,ABS(NETWORKDAYS(Proc[[#This Row],[DateOpened]],Proc[[#This Row],[DateClosed]]))-1)</f>
        <v>85</v>
      </c>
      <c r="R3635" s="130" t="s">
        <v>489</v>
      </c>
      <c r="S3635" s="129"/>
    </row>
    <row r="3636" spans="1:19" hidden="1">
      <c r="A3636" s="135" t="s">
        <v>5741</v>
      </c>
      <c r="B3636" s="149" t="str">
        <f>IFERROR(VLOOKUP(Proc[[#This Row],[App]],Table2[],3,0),"open")</f>
        <v>ok</v>
      </c>
      <c r="C3636" s="135" t="s">
        <v>369</v>
      </c>
      <c r="D3636" t="s">
        <v>5746</v>
      </c>
      <c r="E3636" t="s">
        <v>5270</v>
      </c>
      <c r="F3636" s="129" t="s">
        <v>5270</v>
      </c>
      <c r="G3636" s="135" t="s">
        <v>400</v>
      </c>
      <c r="H3636" s="129" t="str">
        <f>IF(Proc[[#This Row],[type]]="LFF (MDG-F)",MID(Proc[[#This Row],[Obj]],13,10),"")</f>
        <v/>
      </c>
      <c r="J3636" s="129" t="b">
        <f>Proc[[#This Row],[Requested]]=Proc[[#This Row],[CurrentParent]]</f>
        <v>1</v>
      </c>
      <c r="K3636" s="144" t="str">
        <f>IF(Proc[[#This Row],[Author]]="Marcela Urrego",VLOOKUP(LEFT(Proc[[#This Row],[Requested]],1),Table3[#All],2,0),VLOOKUP(Proc[[#This Row],[Author]],Table4[],2,0))</f>
        <v>LS</v>
      </c>
      <c r="L3636" s="129" t="s">
        <v>4894</v>
      </c>
      <c r="M3636" s="130">
        <v>45891</v>
      </c>
      <c r="N3636" s="131"/>
      <c r="O3636" s="131"/>
      <c r="P3636" s="130" t="str">
        <f ca="1">IF(Proc[[#This Row],[DaysAgeing]]&gt;5,"yep","on track")</f>
        <v>yep</v>
      </c>
      <c r="Q3636" s="3">
        <f ca="1">IF(Proc[[#This Row],[DateClosed]]="",ABS(NETWORKDAYS(Proc[[#This Row],[DateOpened]],TODAY()))-1,ABS(NETWORKDAYS(Proc[[#This Row],[DateOpened]],Proc[[#This Row],[DateClosed]]))-1)</f>
        <v>85</v>
      </c>
      <c r="R3636" s="130" t="s">
        <v>489</v>
      </c>
      <c r="S3636" s="129"/>
    </row>
    <row r="3637" spans="1:19" hidden="1">
      <c r="A3637" s="135" t="s">
        <v>5741</v>
      </c>
      <c r="B3637" s="149" t="str">
        <f>IFERROR(VLOOKUP(Proc[[#This Row],[App]],Table2[],3,0),"open")</f>
        <v>ok</v>
      </c>
      <c r="C3637" s="135" t="s">
        <v>369</v>
      </c>
      <c r="D3637" t="s">
        <v>5747</v>
      </c>
      <c r="E3637" t="s">
        <v>5270</v>
      </c>
      <c r="F3637" s="129" t="s">
        <v>5270</v>
      </c>
      <c r="G3637" s="135" t="s">
        <v>400</v>
      </c>
      <c r="H3637" s="129" t="str">
        <f>IF(Proc[[#This Row],[type]]="LFF (MDG-F)",MID(Proc[[#This Row],[Obj]],13,10),"")</f>
        <v/>
      </c>
      <c r="J3637" s="129" t="b">
        <f>Proc[[#This Row],[Requested]]=Proc[[#This Row],[CurrentParent]]</f>
        <v>1</v>
      </c>
      <c r="K3637" s="144" t="str">
        <f>IF(Proc[[#This Row],[Author]]="Marcela Urrego",VLOOKUP(LEFT(Proc[[#This Row],[Requested]],1),Table3[#All],2,0),VLOOKUP(Proc[[#This Row],[Author]],Table4[],2,0))</f>
        <v>LS</v>
      </c>
      <c r="L3637" s="129" t="s">
        <v>4894</v>
      </c>
      <c r="M3637" s="130">
        <v>45891</v>
      </c>
      <c r="N3637" s="131"/>
      <c r="O3637" s="131"/>
      <c r="P3637" s="130" t="str">
        <f ca="1">IF(Proc[[#This Row],[DaysAgeing]]&gt;5,"yep","on track")</f>
        <v>yep</v>
      </c>
      <c r="Q3637" s="3">
        <f ca="1">IF(Proc[[#This Row],[DateClosed]]="",ABS(NETWORKDAYS(Proc[[#This Row],[DateOpened]],TODAY()))-1,ABS(NETWORKDAYS(Proc[[#This Row],[DateOpened]],Proc[[#This Row],[DateClosed]]))-1)</f>
        <v>85</v>
      </c>
      <c r="R3637" s="130" t="s">
        <v>489</v>
      </c>
      <c r="S3637" s="129"/>
    </row>
    <row r="3638" spans="1:19" hidden="1">
      <c r="A3638" s="135" t="s">
        <v>5741</v>
      </c>
      <c r="B3638" s="149" t="str">
        <f>IFERROR(VLOOKUP(Proc[[#This Row],[App]],Table2[],3,0),"open")</f>
        <v>ok</v>
      </c>
      <c r="C3638" s="135" t="s">
        <v>369</v>
      </c>
      <c r="D3638" t="s">
        <v>5748</v>
      </c>
      <c r="E3638" t="s">
        <v>5270</v>
      </c>
      <c r="F3638" s="129" t="s">
        <v>5270</v>
      </c>
      <c r="G3638" s="135" t="s">
        <v>400</v>
      </c>
      <c r="H3638" s="129" t="str">
        <f>IF(Proc[[#This Row],[type]]="LFF (MDG-F)",MID(Proc[[#This Row],[Obj]],13,10),"")</f>
        <v/>
      </c>
      <c r="J3638" s="129" t="b">
        <f>Proc[[#This Row],[Requested]]=Proc[[#This Row],[CurrentParent]]</f>
        <v>1</v>
      </c>
      <c r="K3638" s="144" t="str">
        <f>IF(Proc[[#This Row],[Author]]="Marcela Urrego",VLOOKUP(LEFT(Proc[[#This Row],[Requested]],1),Table3[#All],2,0),VLOOKUP(Proc[[#This Row],[Author]],Table4[],2,0))</f>
        <v>LS</v>
      </c>
      <c r="L3638" s="129" t="s">
        <v>4894</v>
      </c>
      <c r="M3638" s="130">
        <v>45891</v>
      </c>
      <c r="N3638" s="131"/>
      <c r="O3638" s="131"/>
      <c r="P3638" s="130" t="str">
        <f ca="1">IF(Proc[[#This Row],[DaysAgeing]]&gt;5,"yep","on track")</f>
        <v>yep</v>
      </c>
      <c r="Q3638" s="3">
        <f ca="1">IF(Proc[[#This Row],[DateClosed]]="",ABS(NETWORKDAYS(Proc[[#This Row],[DateOpened]],TODAY()))-1,ABS(NETWORKDAYS(Proc[[#This Row],[DateOpened]],Proc[[#This Row],[DateClosed]]))-1)</f>
        <v>85</v>
      </c>
      <c r="R3638" s="130" t="s">
        <v>489</v>
      </c>
      <c r="S3638" s="129"/>
    </row>
    <row r="3639" spans="1:19" hidden="1">
      <c r="A3639" s="135" t="s">
        <v>5741</v>
      </c>
      <c r="B3639" s="149" t="str">
        <f>IFERROR(VLOOKUP(Proc[[#This Row],[App]],Table2[],3,0),"open")</f>
        <v>ok</v>
      </c>
      <c r="C3639" s="135" t="s">
        <v>369</v>
      </c>
      <c r="D3639" t="s">
        <v>5749</v>
      </c>
      <c r="E3639" t="s">
        <v>5270</v>
      </c>
      <c r="F3639" s="129" t="s">
        <v>5270</v>
      </c>
      <c r="G3639" s="135" t="s">
        <v>400</v>
      </c>
      <c r="H3639" s="129" t="str">
        <f>IF(Proc[[#This Row],[type]]="LFF (MDG-F)",MID(Proc[[#This Row],[Obj]],13,10),"")</f>
        <v/>
      </c>
      <c r="J3639" s="129" t="b">
        <f>Proc[[#This Row],[Requested]]=Proc[[#This Row],[CurrentParent]]</f>
        <v>1</v>
      </c>
      <c r="K3639" s="144" t="str">
        <f>IF(Proc[[#This Row],[Author]]="Marcela Urrego",VLOOKUP(LEFT(Proc[[#This Row],[Requested]],1),Table3[#All],2,0),VLOOKUP(Proc[[#This Row],[Author]],Table4[],2,0))</f>
        <v>LS</v>
      </c>
      <c r="L3639" s="129" t="s">
        <v>4894</v>
      </c>
      <c r="M3639" s="130">
        <v>45891</v>
      </c>
      <c r="N3639" s="131"/>
      <c r="O3639" s="131"/>
      <c r="P3639" s="130" t="str">
        <f ca="1">IF(Proc[[#This Row],[DaysAgeing]]&gt;5,"yep","on track")</f>
        <v>yep</v>
      </c>
      <c r="Q3639" s="3">
        <f ca="1">IF(Proc[[#This Row],[DateClosed]]="",ABS(NETWORKDAYS(Proc[[#This Row],[DateOpened]],TODAY()))-1,ABS(NETWORKDAYS(Proc[[#This Row],[DateOpened]],Proc[[#This Row],[DateClosed]]))-1)</f>
        <v>85</v>
      </c>
      <c r="R3639" s="130" t="s">
        <v>489</v>
      </c>
      <c r="S3639" s="129"/>
    </row>
    <row r="3640" spans="1:19" hidden="1">
      <c r="A3640" s="135" t="s">
        <v>5741</v>
      </c>
      <c r="B3640" s="149" t="str">
        <f>IFERROR(VLOOKUP(Proc[[#This Row],[App]],Table2[],3,0),"open")</f>
        <v>ok</v>
      </c>
      <c r="C3640" s="135" t="s">
        <v>369</v>
      </c>
      <c r="D3640" t="s">
        <v>5750</v>
      </c>
      <c r="E3640" t="s">
        <v>5270</v>
      </c>
      <c r="F3640" s="129" t="s">
        <v>5270</v>
      </c>
      <c r="G3640" s="135" t="s">
        <v>400</v>
      </c>
      <c r="H3640" s="129" t="str">
        <f>IF(Proc[[#This Row],[type]]="LFF (MDG-F)",MID(Proc[[#This Row],[Obj]],13,10),"")</f>
        <v/>
      </c>
      <c r="J3640" s="129" t="b">
        <f>Proc[[#This Row],[Requested]]=Proc[[#This Row],[CurrentParent]]</f>
        <v>1</v>
      </c>
      <c r="K3640" s="144" t="str">
        <f>IF(Proc[[#This Row],[Author]]="Marcela Urrego",VLOOKUP(LEFT(Proc[[#This Row],[Requested]],1),Table3[#All],2,0),VLOOKUP(Proc[[#This Row],[Author]],Table4[],2,0))</f>
        <v>LS</v>
      </c>
      <c r="L3640" s="129" t="s">
        <v>4894</v>
      </c>
      <c r="M3640" s="130">
        <v>45891</v>
      </c>
      <c r="N3640" s="131"/>
      <c r="O3640" s="131"/>
      <c r="P3640" s="130" t="str">
        <f ca="1">IF(Proc[[#This Row],[DaysAgeing]]&gt;5,"yep","on track")</f>
        <v>yep</v>
      </c>
      <c r="Q3640" s="3">
        <f ca="1">IF(Proc[[#This Row],[DateClosed]]="",ABS(NETWORKDAYS(Proc[[#This Row],[DateOpened]],TODAY()))-1,ABS(NETWORKDAYS(Proc[[#This Row],[DateOpened]],Proc[[#This Row],[DateClosed]]))-1)</f>
        <v>85</v>
      </c>
      <c r="R3640" s="130" t="s">
        <v>489</v>
      </c>
      <c r="S3640" s="129"/>
    </row>
    <row r="3641" spans="1:19" hidden="1">
      <c r="A3641" s="135" t="s">
        <v>5741</v>
      </c>
      <c r="B3641" s="149" t="str">
        <f>IFERROR(VLOOKUP(Proc[[#This Row],[App]],Table2[],3,0),"open")</f>
        <v>ok</v>
      </c>
      <c r="C3641" s="135" t="s">
        <v>369</v>
      </c>
      <c r="D3641" t="s">
        <v>5751</v>
      </c>
      <c r="E3641" t="s">
        <v>5270</v>
      </c>
      <c r="F3641" s="129" t="s">
        <v>5270</v>
      </c>
      <c r="G3641" s="135" t="s">
        <v>400</v>
      </c>
      <c r="H3641" s="129" t="str">
        <f>IF(Proc[[#This Row],[type]]="LFF (MDG-F)",MID(Proc[[#This Row],[Obj]],13,10),"")</f>
        <v/>
      </c>
      <c r="J3641" s="129" t="b">
        <f>Proc[[#This Row],[Requested]]=Proc[[#This Row],[CurrentParent]]</f>
        <v>1</v>
      </c>
      <c r="K3641" s="144" t="str">
        <f>IF(Proc[[#This Row],[Author]]="Marcela Urrego",VLOOKUP(LEFT(Proc[[#This Row],[Requested]],1),Table3[#All],2,0),VLOOKUP(Proc[[#This Row],[Author]],Table4[],2,0))</f>
        <v>LS</v>
      </c>
      <c r="L3641" s="129" t="s">
        <v>4894</v>
      </c>
      <c r="M3641" s="130">
        <v>45891</v>
      </c>
      <c r="N3641" s="131"/>
      <c r="O3641" s="131"/>
      <c r="P3641" s="130" t="str">
        <f ca="1">IF(Proc[[#This Row],[DaysAgeing]]&gt;5,"yep","on track")</f>
        <v>yep</v>
      </c>
      <c r="Q3641" s="3">
        <f ca="1">IF(Proc[[#This Row],[DateClosed]]="",ABS(NETWORKDAYS(Proc[[#This Row],[DateOpened]],TODAY()))-1,ABS(NETWORKDAYS(Proc[[#This Row],[DateOpened]],Proc[[#This Row],[DateClosed]]))-1)</f>
        <v>85</v>
      </c>
      <c r="R3641" s="130" t="s">
        <v>489</v>
      </c>
      <c r="S3641" s="129"/>
    </row>
    <row r="3642" spans="1:19" hidden="1">
      <c r="A3642" s="135" t="s">
        <v>5741</v>
      </c>
      <c r="B3642" s="149" t="str">
        <f>IFERROR(VLOOKUP(Proc[[#This Row],[App]],Table2[],3,0),"open")</f>
        <v>ok</v>
      </c>
      <c r="C3642" s="135" t="s">
        <v>369</v>
      </c>
      <c r="D3642" t="s">
        <v>5752</v>
      </c>
      <c r="E3642" t="s">
        <v>5270</v>
      </c>
      <c r="F3642" s="129" t="s">
        <v>5270</v>
      </c>
      <c r="G3642" s="135" t="s">
        <v>400</v>
      </c>
      <c r="H3642" s="129" t="str">
        <f>IF(Proc[[#This Row],[type]]="LFF (MDG-F)",MID(Proc[[#This Row],[Obj]],13,10),"")</f>
        <v/>
      </c>
      <c r="J3642" s="129" t="b">
        <f>Proc[[#This Row],[Requested]]=Proc[[#This Row],[CurrentParent]]</f>
        <v>1</v>
      </c>
      <c r="K3642" s="144" t="str">
        <f>IF(Proc[[#This Row],[Author]]="Marcela Urrego",VLOOKUP(LEFT(Proc[[#This Row],[Requested]],1),Table3[#All],2,0),VLOOKUP(Proc[[#This Row],[Author]],Table4[],2,0))</f>
        <v>LS</v>
      </c>
      <c r="L3642" s="129" t="s">
        <v>4894</v>
      </c>
      <c r="M3642" s="130">
        <v>45891</v>
      </c>
      <c r="N3642" s="131"/>
      <c r="O3642" s="131"/>
      <c r="P3642" s="130" t="str">
        <f ca="1">IF(Proc[[#This Row],[DaysAgeing]]&gt;5,"yep","on track")</f>
        <v>yep</v>
      </c>
      <c r="Q3642" s="3">
        <f ca="1">IF(Proc[[#This Row],[DateClosed]]="",ABS(NETWORKDAYS(Proc[[#This Row],[DateOpened]],TODAY()))-1,ABS(NETWORKDAYS(Proc[[#This Row],[DateOpened]],Proc[[#This Row],[DateClosed]]))-1)</f>
        <v>85</v>
      </c>
      <c r="R3642" s="130" t="s">
        <v>489</v>
      </c>
      <c r="S3642" s="129"/>
    </row>
    <row r="3643" spans="1:19" hidden="1">
      <c r="A3643" s="135" t="s">
        <v>5741</v>
      </c>
      <c r="B3643" s="149" t="str">
        <f>IFERROR(VLOOKUP(Proc[[#This Row],[App]],Table2[],3,0),"open")</f>
        <v>ok</v>
      </c>
      <c r="C3643" s="135" t="s">
        <v>369</v>
      </c>
      <c r="D3643" t="s">
        <v>5753</v>
      </c>
      <c r="E3643" t="s">
        <v>5270</v>
      </c>
      <c r="F3643" s="129" t="s">
        <v>5270</v>
      </c>
      <c r="G3643" s="135" t="s">
        <v>400</v>
      </c>
      <c r="H3643" s="129" t="str">
        <f>IF(Proc[[#This Row],[type]]="LFF (MDG-F)",MID(Proc[[#This Row],[Obj]],13,10),"")</f>
        <v/>
      </c>
      <c r="J3643" s="129" t="b">
        <f>Proc[[#This Row],[Requested]]=Proc[[#This Row],[CurrentParent]]</f>
        <v>1</v>
      </c>
      <c r="K3643" s="144" t="str">
        <f>IF(Proc[[#This Row],[Author]]="Marcela Urrego",VLOOKUP(LEFT(Proc[[#This Row],[Requested]],1),Table3[#All],2,0),VLOOKUP(Proc[[#This Row],[Author]],Table4[],2,0))</f>
        <v>LS</v>
      </c>
      <c r="L3643" s="129" t="s">
        <v>4894</v>
      </c>
      <c r="M3643" s="130">
        <v>45891</v>
      </c>
      <c r="N3643" s="131"/>
      <c r="O3643" s="131"/>
      <c r="P3643" s="130" t="str">
        <f ca="1">IF(Proc[[#This Row],[DaysAgeing]]&gt;5,"yep","on track")</f>
        <v>yep</v>
      </c>
      <c r="Q3643" s="3">
        <f ca="1">IF(Proc[[#This Row],[DateClosed]]="",ABS(NETWORKDAYS(Proc[[#This Row],[DateOpened]],TODAY()))-1,ABS(NETWORKDAYS(Proc[[#This Row],[DateOpened]],Proc[[#This Row],[DateClosed]]))-1)</f>
        <v>85</v>
      </c>
      <c r="R3643" s="130" t="s">
        <v>489</v>
      </c>
      <c r="S3643" s="129"/>
    </row>
    <row r="3644" spans="1:19" hidden="1">
      <c r="A3644" s="135" t="s">
        <v>5741</v>
      </c>
      <c r="B3644" s="149" t="str">
        <f>IFERROR(VLOOKUP(Proc[[#This Row],[App]],Table2[],3,0),"open")</f>
        <v>ok</v>
      </c>
      <c r="C3644" s="135" t="s">
        <v>369</v>
      </c>
      <c r="D3644" t="s">
        <v>5754</v>
      </c>
      <c r="E3644" t="s">
        <v>5270</v>
      </c>
      <c r="F3644" s="129" t="s">
        <v>5270</v>
      </c>
      <c r="G3644" s="135" t="s">
        <v>400</v>
      </c>
      <c r="H3644" s="129" t="str">
        <f>IF(Proc[[#This Row],[type]]="LFF (MDG-F)",MID(Proc[[#This Row],[Obj]],13,10),"")</f>
        <v/>
      </c>
      <c r="J3644" s="129" t="b">
        <f>Proc[[#This Row],[Requested]]=Proc[[#This Row],[CurrentParent]]</f>
        <v>1</v>
      </c>
      <c r="K3644" s="144" t="str">
        <f>IF(Proc[[#This Row],[Author]]="Marcela Urrego",VLOOKUP(LEFT(Proc[[#This Row],[Requested]],1),Table3[#All],2,0),VLOOKUP(Proc[[#This Row],[Author]],Table4[],2,0))</f>
        <v>LS</v>
      </c>
      <c r="L3644" s="129" t="s">
        <v>4894</v>
      </c>
      <c r="M3644" s="130">
        <v>45891</v>
      </c>
      <c r="N3644" s="131"/>
      <c r="O3644" s="131"/>
      <c r="P3644" s="130" t="str">
        <f ca="1">IF(Proc[[#This Row],[DaysAgeing]]&gt;5,"yep","on track")</f>
        <v>yep</v>
      </c>
      <c r="Q3644" s="3">
        <f ca="1">IF(Proc[[#This Row],[DateClosed]]="",ABS(NETWORKDAYS(Proc[[#This Row],[DateOpened]],TODAY()))-1,ABS(NETWORKDAYS(Proc[[#This Row],[DateOpened]],Proc[[#This Row],[DateClosed]]))-1)</f>
        <v>85</v>
      </c>
      <c r="R3644" s="130" t="s">
        <v>489</v>
      </c>
      <c r="S3644" s="129"/>
    </row>
    <row r="3645" spans="1:19" hidden="1">
      <c r="A3645" s="135" t="s">
        <v>5741</v>
      </c>
      <c r="B3645" s="149" t="str">
        <f>IFERROR(VLOOKUP(Proc[[#This Row],[App]],Table2[],3,0),"open")</f>
        <v>ok</v>
      </c>
      <c r="C3645" s="135" t="s">
        <v>369</v>
      </c>
      <c r="D3645" t="s">
        <v>5755</v>
      </c>
      <c r="E3645" t="s">
        <v>5270</v>
      </c>
      <c r="F3645" s="129" t="s">
        <v>5270</v>
      </c>
      <c r="G3645" s="135" t="s">
        <v>400</v>
      </c>
      <c r="H3645" s="129" t="str">
        <f>IF(Proc[[#This Row],[type]]="LFF (MDG-F)",MID(Proc[[#This Row],[Obj]],13,10),"")</f>
        <v/>
      </c>
      <c r="J3645" s="129" t="b">
        <f>Proc[[#This Row],[Requested]]=Proc[[#This Row],[CurrentParent]]</f>
        <v>1</v>
      </c>
      <c r="K3645" s="144" t="str">
        <f>IF(Proc[[#This Row],[Author]]="Marcela Urrego",VLOOKUP(LEFT(Proc[[#This Row],[Requested]],1),Table3[#All],2,0),VLOOKUP(Proc[[#This Row],[Author]],Table4[],2,0))</f>
        <v>LS</v>
      </c>
      <c r="L3645" s="129" t="s">
        <v>4894</v>
      </c>
      <c r="M3645" s="130">
        <v>45891</v>
      </c>
      <c r="N3645" s="131"/>
      <c r="O3645" s="131"/>
      <c r="P3645" s="130" t="str">
        <f ca="1">IF(Proc[[#This Row],[DaysAgeing]]&gt;5,"yep","on track")</f>
        <v>yep</v>
      </c>
      <c r="Q3645" s="3">
        <f ca="1">IF(Proc[[#This Row],[DateClosed]]="",ABS(NETWORKDAYS(Proc[[#This Row],[DateOpened]],TODAY()))-1,ABS(NETWORKDAYS(Proc[[#This Row],[DateOpened]],Proc[[#This Row],[DateClosed]]))-1)</f>
        <v>85</v>
      </c>
      <c r="R3645" s="130" t="s">
        <v>489</v>
      </c>
      <c r="S3645" s="129"/>
    </row>
    <row r="3646" spans="1:19" hidden="1">
      <c r="A3646" s="135" t="s">
        <v>5741</v>
      </c>
      <c r="B3646" s="149" t="str">
        <f>IFERROR(VLOOKUP(Proc[[#This Row],[App]],Table2[],3,0),"open")</f>
        <v>ok</v>
      </c>
      <c r="C3646" s="135" t="s">
        <v>369</v>
      </c>
      <c r="D3646" t="s">
        <v>5756</v>
      </c>
      <c r="E3646" t="s">
        <v>5270</v>
      </c>
      <c r="F3646" s="129" t="s">
        <v>5270</v>
      </c>
      <c r="G3646" s="135" t="s">
        <v>406</v>
      </c>
      <c r="H3646" s="129" t="str">
        <f>IF(Proc[[#This Row],[type]]="LFF (MDG-F)",MID(Proc[[#This Row],[Obj]],13,10),"")</f>
        <v>DE73R00021</v>
      </c>
      <c r="J3646" s="129" t="b">
        <f>Proc[[#This Row],[Requested]]=Proc[[#This Row],[CurrentParent]]</f>
        <v>1</v>
      </c>
      <c r="K3646" s="144" t="str">
        <f>IF(Proc[[#This Row],[Author]]="Marcela Urrego",VLOOKUP(LEFT(Proc[[#This Row],[Requested]],1),Table3[#All],2,0),VLOOKUP(Proc[[#This Row],[Author]],Table4[],2,0))</f>
        <v>LS</v>
      </c>
      <c r="L3646" s="129" t="s">
        <v>4894</v>
      </c>
      <c r="M3646" s="130">
        <v>45891</v>
      </c>
      <c r="N3646" s="131"/>
      <c r="O3646" s="131"/>
      <c r="P3646" s="130" t="str">
        <f ca="1">IF(Proc[[#This Row],[DaysAgeing]]&gt;5,"yep","on track")</f>
        <v>yep</v>
      </c>
      <c r="Q3646" s="3">
        <f ca="1">IF(Proc[[#This Row],[DateClosed]]="",ABS(NETWORKDAYS(Proc[[#This Row],[DateOpened]],TODAY()))-1,ABS(NETWORKDAYS(Proc[[#This Row],[DateOpened]],Proc[[#This Row],[DateClosed]]))-1)</f>
        <v>85</v>
      </c>
      <c r="R3646" s="130" t="s">
        <v>489</v>
      </c>
      <c r="S3646" s="129"/>
    </row>
    <row r="3647" spans="1:19" hidden="1">
      <c r="A3647" s="135" t="s">
        <v>5741</v>
      </c>
      <c r="B3647" s="149" t="str">
        <f>IFERROR(VLOOKUP(Proc[[#This Row],[App]],Table2[],3,0),"open")</f>
        <v>ok</v>
      </c>
      <c r="C3647" s="135" t="s">
        <v>369</v>
      </c>
      <c r="D3647" t="s">
        <v>5757</v>
      </c>
      <c r="E3647" t="s">
        <v>5270</v>
      </c>
      <c r="F3647" s="129" t="s">
        <v>5270</v>
      </c>
      <c r="G3647" s="135" t="s">
        <v>400</v>
      </c>
      <c r="H3647" s="129" t="str">
        <f>IF(Proc[[#This Row],[type]]="LFF (MDG-F)",MID(Proc[[#This Row],[Obj]],13,10),"")</f>
        <v/>
      </c>
      <c r="J3647" s="129" t="b">
        <f>Proc[[#This Row],[Requested]]=Proc[[#This Row],[CurrentParent]]</f>
        <v>1</v>
      </c>
      <c r="K3647" s="144" t="str">
        <f>IF(Proc[[#This Row],[Author]]="Marcela Urrego",VLOOKUP(LEFT(Proc[[#This Row],[Requested]],1),Table3[#All],2,0),VLOOKUP(Proc[[#This Row],[Author]],Table4[],2,0))</f>
        <v>LS</v>
      </c>
      <c r="L3647" s="129" t="s">
        <v>4894</v>
      </c>
      <c r="M3647" s="130">
        <v>45891</v>
      </c>
      <c r="N3647" s="131"/>
      <c r="O3647" s="131"/>
      <c r="P3647" s="130" t="str">
        <f ca="1">IF(Proc[[#This Row],[DaysAgeing]]&gt;5,"yep","on track")</f>
        <v>yep</v>
      </c>
      <c r="Q3647" s="3">
        <f ca="1">IF(Proc[[#This Row],[DateClosed]]="",ABS(NETWORKDAYS(Proc[[#This Row],[DateOpened]],TODAY()))-1,ABS(NETWORKDAYS(Proc[[#This Row],[DateOpened]],Proc[[#This Row],[DateClosed]]))-1)</f>
        <v>85</v>
      </c>
      <c r="R3647" s="130" t="s">
        <v>489</v>
      </c>
      <c r="S3647" s="129"/>
    </row>
    <row r="3648" spans="1:19" hidden="1">
      <c r="A3648" s="135" t="s">
        <v>5741</v>
      </c>
      <c r="B3648" s="149" t="str">
        <f>IFERROR(VLOOKUP(Proc[[#This Row],[App]],Table2[],3,0),"open")</f>
        <v>ok</v>
      </c>
      <c r="C3648" s="135" t="s">
        <v>369</v>
      </c>
      <c r="D3648" t="s">
        <v>5758</v>
      </c>
      <c r="E3648" t="s">
        <v>5270</v>
      </c>
      <c r="F3648" s="129" t="s">
        <v>5270</v>
      </c>
      <c r="G3648" s="135" t="s">
        <v>406</v>
      </c>
      <c r="H3648" s="129" t="str">
        <f>IF(Proc[[#This Row],[type]]="LFF (MDG-F)",MID(Proc[[#This Row],[Obj]],13,10),"")</f>
        <v>DE73R00013</v>
      </c>
      <c r="J3648" s="129" t="b">
        <f>Proc[[#This Row],[Requested]]=Proc[[#This Row],[CurrentParent]]</f>
        <v>1</v>
      </c>
      <c r="K3648" s="144" t="str">
        <f>IF(Proc[[#This Row],[Author]]="Marcela Urrego",VLOOKUP(LEFT(Proc[[#This Row],[Requested]],1),Table3[#All],2,0),VLOOKUP(Proc[[#This Row],[Author]],Table4[],2,0))</f>
        <v>LS</v>
      </c>
      <c r="L3648" s="129" t="s">
        <v>4894</v>
      </c>
      <c r="M3648" s="130">
        <v>45891</v>
      </c>
      <c r="N3648" s="131"/>
      <c r="O3648" s="131"/>
      <c r="P3648" s="130" t="str">
        <f ca="1">IF(Proc[[#This Row],[DaysAgeing]]&gt;5,"yep","on track")</f>
        <v>yep</v>
      </c>
      <c r="Q3648" s="3">
        <f ca="1">IF(Proc[[#This Row],[DateClosed]]="",ABS(NETWORKDAYS(Proc[[#This Row],[DateOpened]],TODAY()))-1,ABS(NETWORKDAYS(Proc[[#This Row],[DateOpened]],Proc[[#This Row],[DateClosed]]))-1)</f>
        <v>85</v>
      </c>
      <c r="R3648" s="130" t="s">
        <v>489</v>
      </c>
      <c r="S3648" s="129"/>
    </row>
    <row r="3649" spans="1:19" hidden="1">
      <c r="A3649" s="135" t="s">
        <v>5741</v>
      </c>
      <c r="B3649" s="149" t="str">
        <f>IFERROR(VLOOKUP(Proc[[#This Row],[App]],Table2[],3,0),"open")</f>
        <v>ok</v>
      </c>
      <c r="C3649" s="135" t="s">
        <v>369</v>
      </c>
      <c r="D3649" t="s">
        <v>5759</v>
      </c>
      <c r="E3649" t="s">
        <v>5270</v>
      </c>
      <c r="F3649" s="129" t="s">
        <v>5270</v>
      </c>
      <c r="G3649" s="135" t="s">
        <v>400</v>
      </c>
      <c r="H3649" s="129" t="str">
        <f>IF(Proc[[#This Row],[type]]="LFF (MDG-F)",MID(Proc[[#This Row],[Obj]],13,10),"")</f>
        <v/>
      </c>
      <c r="J3649" s="129" t="b">
        <f>Proc[[#This Row],[Requested]]=Proc[[#This Row],[CurrentParent]]</f>
        <v>1</v>
      </c>
      <c r="K3649" s="144" t="str">
        <f>IF(Proc[[#This Row],[Author]]="Marcela Urrego",VLOOKUP(LEFT(Proc[[#This Row],[Requested]],1),Table3[#All],2,0),VLOOKUP(Proc[[#This Row],[Author]],Table4[],2,0))</f>
        <v>LS</v>
      </c>
      <c r="L3649" s="129" t="s">
        <v>4894</v>
      </c>
      <c r="M3649" s="130">
        <v>45891</v>
      </c>
      <c r="N3649" s="131"/>
      <c r="O3649" s="131"/>
      <c r="P3649" s="130" t="str">
        <f ca="1">IF(Proc[[#This Row],[DaysAgeing]]&gt;5,"yep","on track")</f>
        <v>yep</v>
      </c>
      <c r="Q3649" s="3">
        <f ca="1">IF(Proc[[#This Row],[DateClosed]]="",ABS(NETWORKDAYS(Proc[[#This Row],[DateOpened]],TODAY()))-1,ABS(NETWORKDAYS(Proc[[#This Row],[DateOpened]],Proc[[#This Row],[DateClosed]]))-1)</f>
        <v>85</v>
      </c>
      <c r="R3649" s="130" t="s">
        <v>489</v>
      </c>
      <c r="S3649" s="129"/>
    </row>
    <row r="3650" spans="1:19" hidden="1">
      <c r="A3650" t="s">
        <v>5772</v>
      </c>
      <c r="B3650" s="149" t="str">
        <f>IFERROR(VLOOKUP(Proc[[#This Row],[App]],Table2[],3,0),"open")</f>
        <v>ok</v>
      </c>
      <c r="C3650" s="135" t="s">
        <v>377</v>
      </c>
      <c r="D3650" t="s">
        <v>6149</v>
      </c>
      <c r="E3650" t="s">
        <v>5770</v>
      </c>
      <c r="F3650" s="150" t="s">
        <v>6275</v>
      </c>
      <c r="G3650" s="135" t="s">
        <v>406</v>
      </c>
      <c r="H3650" s="129" t="str">
        <f>IF(Proc[[#This Row],[type]]="LFF (MDG-F)",MID(Proc[[#This Row],[Obj]],13,10),"")</f>
        <v>DE10TM4000</v>
      </c>
      <c r="I3650" t="s">
        <v>5773</v>
      </c>
      <c r="J3650" s="129" t="b">
        <f>Proc[[#This Row],[Requested]]=Proc[[#This Row],[CurrentParent]]</f>
        <v>0</v>
      </c>
      <c r="K3650" s="144" t="str">
        <f>IF(Proc[[#This Row],[Author]]="Marcela Urrego",VLOOKUP(LEFT(Proc[[#This Row],[Requested]],1),Table3[#All],2,0),VLOOKUP(Proc[[#This Row],[Author]],Table4[],2,0))</f>
        <v>HC</v>
      </c>
      <c r="L3650" s="129" t="s">
        <v>4894</v>
      </c>
      <c r="M3650" s="130">
        <v>45891</v>
      </c>
      <c r="N3650" s="131"/>
      <c r="O3650" s="131"/>
      <c r="P3650" s="130" t="str">
        <f ca="1">IF(Proc[[#This Row],[DaysAgeing]]&gt;5,"yep","on track")</f>
        <v>yep</v>
      </c>
      <c r="Q3650" s="3">
        <f ca="1">IF(Proc[[#This Row],[DateClosed]]="",ABS(NETWORKDAYS(Proc[[#This Row],[DateOpened]],TODAY()))-1,ABS(NETWORKDAYS(Proc[[#This Row],[DateOpened]],Proc[[#This Row],[DateClosed]]))-1)</f>
        <v>85</v>
      </c>
      <c r="R3650" s="130" t="s">
        <v>746</v>
      </c>
      <c r="S3650" s="129"/>
    </row>
    <row r="3651" spans="1:19" hidden="1">
      <c r="A3651" s="135" t="s">
        <v>5772</v>
      </c>
      <c r="B3651" s="149" t="str">
        <f>IFERROR(VLOOKUP(Proc[[#This Row],[App]],Table2[],3,0),"open")</f>
        <v>ok</v>
      </c>
      <c r="C3651" s="135" t="s">
        <v>369</v>
      </c>
      <c r="D3651" t="s">
        <v>5760</v>
      </c>
      <c r="E3651" t="s">
        <v>5770</v>
      </c>
      <c r="F3651" s="129" t="s">
        <v>5770</v>
      </c>
      <c r="G3651" s="135" t="s">
        <v>406</v>
      </c>
      <c r="H3651" s="129" t="str">
        <f>IF(Proc[[#This Row],[type]]="LFF (MDG-F)",MID(Proc[[#This Row],[Obj]],13,10),"")</f>
        <v>BE10DB3600</v>
      </c>
      <c r="J3651" s="129" t="b">
        <f>Proc[[#This Row],[Requested]]=Proc[[#This Row],[CurrentParent]]</f>
        <v>1</v>
      </c>
      <c r="K3651" s="144" t="str">
        <f>IF(Proc[[#This Row],[Author]]="Marcela Urrego",VLOOKUP(LEFT(Proc[[#This Row],[Requested]],1),Table3[#All],2,0),VLOOKUP(Proc[[#This Row],[Author]],Table4[],2,0))</f>
        <v>HC</v>
      </c>
      <c r="L3651" s="129" t="s">
        <v>4894</v>
      </c>
      <c r="M3651" s="130">
        <v>45891</v>
      </c>
      <c r="N3651" s="131"/>
      <c r="O3651" s="131"/>
      <c r="P3651" s="130" t="str">
        <f ca="1">IF(Proc[[#This Row],[DaysAgeing]]&gt;5,"yep","on track")</f>
        <v>yep</v>
      </c>
      <c r="Q3651" s="3">
        <f ca="1">IF(Proc[[#This Row],[DateClosed]]="",ABS(NETWORKDAYS(Proc[[#This Row],[DateOpened]],TODAY()))-1,ABS(NETWORKDAYS(Proc[[#This Row],[DateOpened]],Proc[[#This Row],[DateClosed]]))-1)</f>
        <v>85</v>
      </c>
      <c r="R3651" s="130" t="s">
        <v>746</v>
      </c>
      <c r="S3651" s="129"/>
    </row>
    <row r="3652" spans="1:19" hidden="1">
      <c r="A3652" s="135" t="s">
        <v>5772</v>
      </c>
      <c r="B3652" s="149" t="str">
        <f>IFERROR(VLOOKUP(Proc[[#This Row],[App]],Table2[],3,0),"open")</f>
        <v>ok</v>
      </c>
      <c r="C3652" s="138" t="s">
        <v>369</v>
      </c>
      <c r="D3652" t="s">
        <v>5761</v>
      </c>
      <c r="E3652" t="s">
        <v>5770</v>
      </c>
      <c r="F3652" s="129" t="s">
        <v>5770</v>
      </c>
      <c r="G3652" s="135" t="s">
        <v>406</v>
      </c>
      <c r="H3652" s="129" t="str">
        <f>IF(Proc[[#This Row],[type]]="LFF (MDG-F)",MID(Proc[[#This Row],[Obj]],13,10),"")</f>
        <v>FR10DB3600</v>
      </c>
      <c r="J3652" s="129" t="b">
        <f>Proc[[#This Row],[Requested]]=Proc[[#This Row],[CurrentParent]]</f>
        <v>1</v>
      </c>
      <c r="K3652" s="144" t="str">
        <f>IF(Proc[[#This Row],[Author]]="Marcela Urrego",VLOOKUP(LEFT(Proc[[#This Row],[Requested]],1),Table3[#All],2,0),VLOOKUP(Proc[[#This Row],[Author]],Table4[],2,0))</f>
        <v>HC</v>
      </c>
      <c r="L3652" s="129" t="s">
        <v>4894</v>
      </c>
      <c r="M3652" s="130">
        <v>45891</v>
      </c>
      <c r="N3652" s="131"/>
      <c r="O3652" s="131"/>
      <c r="P3652" s="130" t="str">
        <f ca="1">IF(Proc[[#This Row],[DaysAgeing]]&gt;5,"yep","on track")</f>
        <v>yep</v>
      </c>
      <c r="Q3652" s="3">
        <f ca="1">IF(Proc[[#This Row],[DateClosed]]="",ABS(NETWORKDAYS(Proc[[#This Row],[DateOpened]],TODAY()))-1,ABS(NETWORKDAYS(Proc[[#This Row],[DateOpened]],Proc[[#This Row],[DateClosed]]))-1)</f>
        <v>85</v>
      </c>
      <c r="R3652" s="130" t="s">
        <v>746</v>
      </c>
      <c r="S3652" s="129"/>
    </row>
    <row r="3653" spans="1:19" hidden="1">
      <c r="A3653" s="135" t="s">
        <v>5772</v>
      </c>
      <c r="B3653" s="149" t="str">
        <f>IFERROR(VLOOKUP(Proc[[#This Row],[App]],Table2[],3,0),"open")</f>
        <v>ok</v>
      </c>
      <c r="C3653" s="138" t="s">
        <v>369</v>
      </c>
      <c r="D3653" t="s">
        <v>5762</v>
      </c>
      <c r="E3653" t="s">
        <v>5770</v>
      </c>
      <c r="F3653" s="129" t="s">
        <v>5770</v>
      </c>
      <c r="G3653" s="135" t="s">
        <v>406</v>
      </c>
      <c r="H3653" s="129" t="str">
        <f>IF(Proc[[#This Row],[type]]="LFF (MDG-F)",MID(Proc[[#This Row],[Obj]],13,10),"")</f>
        <v>GB10DB3600</v>
      </c>
      <c r="J3653" s="129" t="b">
        <f>Proc[[#This Row],[Requested]]=Proc[[#This Row],[CurrentParent]]</f>
        <v>1</v>
      </c>
      <c r="K3653" s="144" t="str">
        <f>IF(Proc[[#This Row],[Author]]="Marcela Urrego",VLOOKUP(LEFT(Proc[[#This Row],[Requested]],1),Table3[#All],2,0),VLOOKUP(Proc[[#This Row],[Author]],Table4[],2,0))</f>
        <v>HC</v>
      </c>
      <c r="L3653" s="129" t="s">
        <v>4894</v>
      </c>
      <c r="M3653" s="130">
        <v>45891</v>
      </c>
      <c r="N3653" s="131"/>
      <c r="O3653" s="131"/>
      <c r="P3653" s="130" t="str">
        <f ca="1">IF(Proc[[#This Row],[DaysAgeing]]&gt;5,"yep","on track")</f>
        <v>yep</v>
      </c>
      <c r="Q3653" s="3">
        <f ca="1">IF(Proc[[#This Row],[DateClosed]]="",ABS(NETWORKDAYS(Proc[[#This Row],[DateOpened]],TODAY()))-1,ABS(NETWORKDAYS(Proc[[#This Row],[DateOpened]],Proc[[#This Row],[DateClosed]]))-1)</f>
        <v>85</v>
      </c>
      <c r="R3653" s="130" t="s">
        <v>746</v>
      </c>
      <c r="S3653" s="129"/>
    </row>
    <row r="3654" spans="1:19" hidden="1">
      <c r="A3654" s="135" t="s">
        <v>5772</v>
      </c>
      <c r="B3654" s="149" t="str">
        <f>IFERROR(VLOOKUP(Proc[[#This Row],[App]],Table2[],3,0),"open")</f>
        <v>ok</v>
      </c>
      <c r="C3654" s="138" t="s">
        <v>369</v>
      </c>
      <c r="D3654" t="s">
        <v>5763</v>
      </c>
      <c r="E3654" t="s">
        <v>5770</v>
      </c>
      <c r="F3654" s="129" t="s">
        <v>5770</v>
      </c>
      <c r="G3654" s="135" t="s">
        <v>406</v>
      </c>
      <c r="H3654" s="129" t="str">
        <f>IF(Proc[[#This Row],[type]]="LFF (MDG-F)",MID(Proc[[#This Row],[Obj]],13,10),"")</f>
        <v>IE10DB3600</v>
      </c>
      <c r="J3654" s="129" t="b">
        <f>Proc[[#This Row],[Requested]]=Proc[[#This Row],[CurrentParent]]</f>
        <v>1</v>
      </c>
      <c r="K3654" s="144" t="str">
        <f>IF(Proc[[#This Row],[Author]]="Marcela Urrego",VLOOKUP(LEFT(Proc[[#This Row],[Requested]],1),Table3[#All],2,0),VLOOKUP(Proc[[#This Row],[Author]],Table4[],2,0))</f>
        <v>HC</v>
      </c>
      <c r="L3654" s="129" t="s">
        <v>4894</v>
      </c>
      <c r="M3654" s="130">
        <v>45891</v>
      </c>
      <c r="N3654" s="131"/>
      <c r="O3654" s="131"/>
      <c r="P3654" s="130" t="str">
        <f ca="1">IF(Proc[[#This Row],[DaysAgeing]]&gt;5,"yep","on track")</f>
        <v>yep</v>
      </c>
      <c r="Q3654" s="3">
        <f ca="1">IF(Proc[[#This Row],[DateClosed]]="",ABS(NETWORKDAYS(Proc[[#This Row],[DateOpened]],TODAY()))-1,ABS(NETWORKDAYS(Proc[[#This Row],[DateOpened]],Proc[[#This Row],[DateClosed]]))-1)</f>
        <v>85</v>
      </c>
      <c r="R3654" s="130" t="s">
        <v>746</v>
      </c>
      <c r="S3654" s="129"/>
    </row>
    <row r="3655" spans="1:19" hidden="1">
      <c r="A3655" s="135" t="s">
        <v>5772</v>
      </c>
      <c r="B3655" s="149" t="str">
        <f>IFERROR(VLOOKUP(Proc[[#This Row],[App]],Table2[],3,0),"open")</f>
        <v>ok</v>
      </c>
      <c r="C3655" s="138" t="s">
        <v>369</v>
      </c>
      <c r="D3655" t="s">
        <v>5764</v>
      </c>
      <c r="E3655" t="s">
        <v>5770</v>
      </c>
      <c r="F3655" s="129" t="s">
        <v>5770</v>
      </c>
      <c r="G3655" s="135" t="s">
        <v>406</v>
      </c>
      <c r="H3655" s="129" t="str">
        <f>IF(Proc[[#This Row],[type]]="LFF (MDG-F)",MID(Proc[[#This Row],[Obj]],13,10),"")</f>
        <v>IL10DB3600</v>
      </c>
      <c r="J3655" s="129" t="b">
        <f>Proc[[#This Row],[Requested]]=Proc[[#This Row],[CurrentParent]]</f>
        <v>1</v>
      </c>
      <c r="K3655" s="144" t="str">
        <f>IF(Proc[[#This Row],[Author]]="Marcela Urrego",VLOOKUP(LEFT(Proc[[#This Row],[Requested]],1),Table3[#All],2,0),VLOOKUP(Proc[[#This Row],[Author]],Table4[],2,0))</f>
        <v>HC</v>
      </c>
      <c r="L3655" s="129" t="s">
        <v>4894</v>
      </c>
      <c r="M3655" s="130">
        <v>45891</v>
      </c>
      <c r="N3655" s="131"/>
      <c r="O3655" s="131"/>
      <c r="P3655" s="130" t="str">
        <f ca="1">IF(Proc[[#This Row],[DaysAgeing]]&gt;5,"yep","on track")</f>
        <v>yep</v>
      </c>
      <c r="Q3655" s="3">
        <f ca="1">IF(Proc[[#This Row],[DateClosed]]="",ABS(NETWORKDAYS(Proc[[#This Row],[DateOpened]],TODAY()))-1,ABS(NETWORKDAYS(Proc[[#This Row],[DateOpened]],Proc[[#This Row],[DateClosed]]))-1)</f>
        <v>85</v>
      </c>
      <c r="R3655" s="130" t="s">
        <v>746</v>
      </c>
      <c r="S3655" s="129"/>
    </row>
    <row r="3656" spans="1:19" hidden="1">
      <c r="A3656" s="135" t="s">
        <v>5772</v>
      </c>
      <c r="B3656" s="149" t="str">
        <f>IFERROR(VLOOKUP(Proc[[#This Row],[App]],Table2[],3,0),"open")</f>
        <v>ok</v>
      </c>
      <c r="C3656" s="138" t="s">
        <v>369</v>
      </c>
      <c r="D3656" t="s">
        <v>5765</v>
      </c>
      <c r="E3656" t="s">
        <v>5770</v>
      </c>
      <c r="F3656" s="129" t="s">
        <v>5770</v>
      </c>
      <c r="G3656" s="135" t="s">
        <v>406</v>
      </c>
      <c r="H3656" s="129" t="str">
        <f>IF(Proc[[#This Row],[type]]="LFF (MDG-F)",MID(Proc[[#This Row],[Obj]],13,10),"")</f>
        <v>IT07DB3600</v>
      </c>
      <c r="J3656" s="129" t="b">
        <f>Proc[[#This Row],[Requested]]=Proc[[#This Row],[CurrentParent]]</f>
        <v>1</v>
      </c>
      <c r="K3656" s="144" t="str">
        <f>IF(Proc[[#This Row],[Author]]="Marcela Urrego",VLOOKUP(LEFT(Proc[[#This Row],[Requested]],1),Table3[#All],2,0),VLOOKUP(Proc[[#This Row],[Author]],Table4[],2,0))</f>
        <v>HC</v>
      </c>
      <c r="L3656" s="129" t="s">
        <v>4894</v>
      </c>
      <c r="M3656" s="130">
        <v>45891</v>
      </c>
      <c r="N3656" s="131"/>
      <c r="O3656" s="131"/>
      <c r="P3656" s="130" t="str">
        <f ca="1">IF(Proc[[#This Row],[DaysAgeing]]&gt;5,"yep","on track")</f>
        <v>yep</v>
      </c>
      <c r="Q3656" s="3">
        <f ca="1">IF(Proc[[#This Row],[DateClosed]]="",ABS(NETWORKDAYS(Proc[[#This Row],[DateOpened]],TODAY()))-1,ABS(NETWORKDAYS(Proc[[#This Row],[DateOpened]],Proc[[#This Row],[DateClosed]]))-1)</f>
        <v>85</v>
      </c>
      <c r="R3656" s="130" t="s">
        <v>746</v>
      </c>
      <c r="S3656" s="129"/>
    </row>
    <row r="3657" spans="1:19" hidden="1">
      <c r="A3657" s="135" t="s">
        <v>5772</v>
      </c>
      <c r="B3657" s="149" t="str">
        <f>IFERROR(VLOOKUP(Proc[[#This Row],[App]],Table2[],3,0),"open")</f>
        <v>ok</v>
      </c>
      <c r="C3657" s="138" t="s">
        <v>369</v>
      </c>
      <c r="D3657" t="s">
        <v>5766</v>
      </c>
      <c r="E3657" t="s">
        <v>5770</v>
      </c>
      <c r="F3657" s="129" t="s">
        <v>5770</v>
      </c>
      <c r="G3657" s="135" t="s">
        <v>406</v>
      </c>
      <c r="H3657" s="129" t="str">
        <f>IF(Proc[[#This Row],[type]]="LFF (MDG-F)",MID(Proc[[#This Row],[Obj]],13,10),"")</f>
        <v>NL10DB3600</v>
      </c>
      <c r="J3657" s="129" t="b">
        <f>Proc[[#This Row],[Requested]]=Proc[[#This Row],[CurrentParent]]</f>
        <v>1</v>
      </c>
      <c r="K3657" s="144" t="str">
        <f>IF(Proc[[#This Row],[Author]]="Marcela Urrego",VLOOKUP(LEFT(Proc[[#This Row],[Requested]],1),Table3[#All],2,0),VLOOKUP(Proc[[#This Row],[Author]],Table4[],2,0))</f>
        <v>HC</v>
      </c>
      <c r="L3657" s="129" t="s">
        <v>4894</v>
      </c>
      <c r="M3657" s="130">
        <v>45891</v>
      </c>
      <c r="N3657" s="131"/>
      <c r="O3657" s="131"/>
      <c r="P3657" s="130" t="str">
        <f ca="1">IF(Proc[[#This Row],[DaysAgeing]]&gt;5,"yep","on track")</f>
        <v>yep</v>
      </c>
      <c r="Q3657" s="3">
        <f ca="1">IF(Proc[[#This Row],[DateClosed]]="",ABS(NETWORKDAYS(Proc[[#This Row],[DateOpened]],TODAY()))-1,ABS(NETWORKDAYS(Proc[[#This Row],[DateOpened]],Proc[[#This Row],[DateClosed]]))-1)</f>
        <v>85</v>
      </c>
      <c r="R3657" s="130" t="s">
        <v>746</v>
      </c>
      <c r="S3657" s="129"/>
    </row>
    <row r="3658" spans="1:19" hidden="1">
      <c r="A3658" s="135" t="s">
        <v>5772</v>
      </c>
      <c r="B3658" s="149" t="str">
        <f>IFERROR(VLOOKUP(Proc[[#This Row],[App]],Table2[],3,0),"open")</f>
        <v>ok</v>
      </c>
      <c r="C3658" s="135" t="s">
        <v>369</v>
      </c>
      <c r="D3658" t="s">
        <v>5767</v>
      </c>
      <c r="E3658" t="s">
        <v>5771</v>
      </c>
      <c r="F3658" s="129" t="s">
        <v>5771</v>
      </c>
      <c r="G3658" s="135" t="s">
        <v>406</v>
      </c>
      <c r="H3658" s="129" t="str">
        <f>IF(Proc[[#This Row],[type]]="LFF (MDG-F)",MID(Proc[[#This Row],[Obj]],13,10),"")</f>
        <v>DE01OF0303</v>
      </c>
      <c r="J3658" s="129" t="b">
        <f>Proc[[#This Row],[Requested]]=Proc[[#This Row],[CurrentParent]]</f>
        <v>1</v>
      </c>
      <c r="K3658" s="144" t="str">
        <f>IF(Proc[[#This Row],[Author]]="Marcela Urrego",VLOOKUP(LEFT(Proc[[#This Row],[Requested]],1),Table3[#All],2,0),VLOOKUP(Proc[[#This Row],[Author]],Table4[],2,0))</f>
        <v>HC</v>
      </c>
      <c r="L3658" s="129" t="s">
        <v>4894</v>
      </c>
      <c r="M3658" s="130">
        <v>45891</v>
      </c>
      <c r="N3658" s="131"/>
      <c r="O3658" s="131"/>
      <c r="P3658" s="130" t="str">
        <f ca="1">IF(Proc[[#This Row],[DaysAgeing]]&gt;5,"yep","on track")</f>
        <v>yep</v>
      </c>
      <c r="Q3658" s="3">
        <f ca="1">IF(Proc[[#This Row],[DateClosed]]="",ABS(NETWORKDAYS(Proc[[#This Row],[DateOpened]],TODAY()))-1,ABS(NETWORKDAYS(Proc[[#This Row],[DateOpened]],Proc[[#This Row],[DateClosed]]))-1)</f>
        <v>85</v>
      </c>
      <c r="R3658" s="130" t="s">
        <v>746</v>
      </c>
      <c r="S3658" s="129"/>
    </row>
    <row r="3659" spans="1:19" hidden="1">
      <c r="A3659" s="135" t="s">
        <v>5772</v>
      </c>
      <c r="B3659" s="149" t="str">
        <f>IFERROR(VLOOKUP(Proc[[#This Row],[App]],Table2[],3,0),"open")</f>
        <v>ok</v>
      </c>
      <c r="C3659" s="135" t="s">
        <v>369</v>
      </c>
      <c r="D3659" t="s">
        <v>5768</v>
      </c>
      <c r="E3659" t="s">
        <v>5771</v>
      </c>
      <c r="F3659" s="129" t="s">
        <v>5771</v>
      </c>
      <c r="G3659" s="135" t="s">
        <v>406</v>
      </c>
      <c r="H3659" s="129" t="str">
        <f>IF(Proc[[#This Row],[type]]="LFF (MDG-F)",MID(Proc[[#This Row],[Obj]],13,10),"")</f>
        <v>DE04OFHQ02</v>
      </c>
      <c r="J3659" s="129" t="b">
        <f>Proc[[#This Row],[Requested]]=Proc[[#This Row],[CurrentParent]]</f>
        <v>1</v>
      </c>
      <c r="K3659" s="144" t="str">
        <f>IF(Proc[[#This Row],[Author]]="Marcela Urrego",VLOOKUP(LEFT(Proc[[#This Row],[Requested]],1),Table3[#All],2,0),VLOOKUP(Proc[[#This Row],[Author]],Table4[],2,0))</f>
        <v>HC</v>
      </c>
      <c r="L3659" s="129" t="s">
        <v>4894</v>
      </c>
      <c r="M3659" s="130">
        <v>45891</v>
      </c>
      <c r="N3659" s="131"/>
      <c r="O3659" s="131"/>
      <c r="P3659" s="130" t="str">
        <f ca="1">IF(Proc[[#This Row],[DaysAgeing]]&gt;5,"yep","on track")</f>
        <v>yep</v>
      </c>
      <c r="Q3659" s="3">
        <f ca="1">IF(Proc[[#This Row],[DateClosed]]="",ABS(NETWORKDAYS(Proc[[#This Row],[DateOpened]],TODAY()))-1,ABS(NETWORKDAYS(Proc[[#This Row],[DateOpened]],Proc[[#This Row],[DateClosed]]))-1)</f>
        <v>85</v>
      </c>
      <c r="R3659" s="130" t="s">
        <v>746</v>
      </c>
      <c r="S3659" s="129"/>
    </row>
    <row r="3660" spans="1:19" hidden="1">
      <c r="A3660" s="135" t="s">
        <v>5772</v>
      </c>
      <c r="B3660" s="149" t="str">
        <f>IFERROR(VLOOKUP(Proc[[#This Row],[App]],Table2[],3,0),"open")</f>
        <v>ok</v>
      </c>
      <c r="C3660" s="135" t="s">
        <v>369</v>
      </c>
      <c r="D3660" t="s">
        <v>5769</v>
      </c>
      <c r="E3660" t="s">
        <v>5771</v>
      </c>
      <c r="F3660" s="129" t="s">
        <v>5771</v>
      </c>
      <c r="G3660" s="135" t="s">
        <v>406</v>
      </c>
      <c r="H3660" s="129" t="str">
        <f>IF(Proc[[#This Row],[type]]="LFF (MDG-F)",MID(Proc[[#This Row],[Obj]],13,10),"")</f>
        <v>DE04TP5000</v>
      </c>
      <c r="J3660" s="129" t="b">
        <f>Proc[[#This Row],[Requested]]=Proc[[#This Row],[CurrentParent]]</f>
        <v>1</v>
      </c>
      <c r="K3660" s="144" t="str">
        <f>IF(Proc[[#This Row],[Author]]="Marcela Urrego",VLOOKUP(LEFT(Proc[[#This Row],[Requested]],1),Table3[#All],2,0),VLOOKUP(Proc[[#This Row],[Author]],Table4[],2,0))</f>
        <v>HC</v>
      </c>
      <c r="L3660" s="129" t="s">
        <v>4894</v>
      </c>
      <c r="M3660" s="130">
        <v>45891</v>
      </c>
      <c r="N3660" s="131"/>
      <c r="O3660" s="131"/>
      <c r="P3660" s="130" t="str">
        <f ca="1">IF(Proc[[#This Row],[DaysAgeing]]&gt;5,"yep","on track")</f>
        <v>yep</v>
      </c>
      <c r="Q3660" s="3">
        <f ca="1">IF(Proc[[#This Row],[DateClosed]]="",ABS(NETWORKDAYS(Proc[[#This Row],[DateOpened]],TODAY()))-1,ABS(NETWORKDAYS(Proc[[#This Row],[DateOpened]],Proc[[#This Row],[DateClosed]]))-1)</f>
        <v>85</v>
      </c>
      <c r="R3660" s="130" t="s">
        <v>746</v>
      </c>
      <c r="S3660" s="129"/>
    </row>
    <row r="3661" spans="1:19" hidden="1">
      <c r="A3661" t="s">
        <v>5774</v>
      </c>
      <c r="B3661" s="149" t="str">
        <f>IFERROR(VLOOKUP(Proc[[#This Row],[App]],Table2[],3,0),"open")</f>
        <v>ok</v>
      </c>
      <c r="C3661" s="138" t="s">
        <v>369</v>
      </c>
      <c r="D3661" t="s">
        <v>5775</v>
      </c>
      <c r="E3661" t="s">
        <v>5551</v>
      </c>
      <c r="F3661" s="129" t="s">
        <v>5551</v>
      </c>
      <c r="G3661" s="135" t="s">
        <v>400</v>
      </c>
      <c r="H3661" s="129" t="str">
        <f>IF(Proc[[#This Row],[type]]="LFF (MDG-F)",MID(Proc[[#This Row],[Obj]],13,10),"")</f>
        <v/>
      </c>
      <c r="J3661" s="129" t="b">
        <f>Proc[[#This Row],[Requested]]=Proc[[#This Row],[CurrentParent]]</f>
        <v>1</v>
      </c>
      <c r="K3661" s="144" t="str">
        <f>IF(Proc[[#This Row],[Author]]="Marcela Urrego",VLOOKUP(LEFT(Proc[[#This Row],[Requested]],1),Table3[#All],2,0),VLOOKUP(Proc[[#This Row],[Author]],Table4[],2,0))</f>
        <v>LS</v>
      </c>
      <c r="L3661" s="129" t="s">
        <v>4894</v>
      </c>
      <c r="M3661" s="130">
        <v>45894</v>
      </c>
      <c r="N3661" s="131"/>
      <c r="O3661" s="131"/>
      <c r="P3661" s="130" t="str">
        <f ca="1">IF(Proc[[#This Row],[DaysAgeing]]&gt;5,"yep","on track")</f>
        <v>yep</v>
      </c>
      <c r="Q3661" s="3">
        <f ca="1">IF(Proc[[#This Row],[DateClosed]]="",ABS(NETWORKDAYS(Proc[[#This Row],[DateOpened]],TODAY()))-1,ABS(NETWORKDAYS(Proc[[#This Row],[DateOpened]],Proc[[#This Row],[DateClosed]]))-1)</f>
        <v>84</v>
      </c>
      <c r="R3661" s="130" t="s">
        <v>489</v>
      </c>
      <c r="S3661" s="129"/>
    </row>
    <row r="3662" spans="1:19" hidden="1">
      <c r="A3662" s="135" t="s">
        <v>5774</v>
      </c>
      <c r="B3662" s="149" t="str">
        <f>IFERROR(VLOOKUP(Proc[[#This Row],[App]],Table2[],3,0),"open")</f>
        <v>ok</v>
      </c>
      <c r="C3662" s="138" t="s">
        <v>369</v>
      </c>
      <c r="D3662" t="s">
        <v>5776</v>
      </c>
      <c r="E3662" t="s">
        <v>5802</v>
      </c>
      <c r="F3662" s="129" t="s">
        <v>5802</v>
      </c>
      <c r="G3662" t="s">
        <v>400</v>
      </c>
      <c r="H3662" s="129" t="str">
        <f>IF(Proc[[#This Row],[type]]="LFF (MDG-F)",MID(Proc[[#This Row],[Obj]],13,10),"")</f>
        <v/>
      </c>
      <c r="J3662" s="129" t="b">
        <f>Proc[[#This Row],[Requested]]=Proc[[#This Row],[CurrentParent]]</f>
        <v>1</v>
      </c>
      <c r="K3662" s="144" t="str">
        <f>IF(Proc[[#This Row],[Author]]="Marcela Urrego",VLOOKUP(LEFT(Proc[[#This Row],[Requested]],1),Table3[#All],2,0),VLOOKUP(Proc[[#This Row],[Author]],Table4[],2,0))</f>
        <v>LS</v>
      </c>
      <c r="L3662" s="129" t="s">
        <v>4894</v>
      </c>
      <c r="M3662" s="131">
        <v>45894</v>
      </c>
      <c r="N3662" s="131"/>
      <c r="O3662" s="131"/>
      <c r="P3662" s="130" t="str">
        <f ca="1">IF(Proc[[#This Row],[DaysAgeing]]&gt;5,"yep","on track")</f>
        <v>yep</v>
      </c>
      <c r="Q3662" s="3">
        <f ca="1">IF(Proc[[#This Row],[DateClosed]]="",ABS(NETWORKDAYS(Proc[[#This Row],[DateOpened]],TODAY()))-1,ABS(NETWORKDAYS(Proc[[#This Row],[DateOpened]],Proc[[#This Row],[DateClosed]]))-1)</f>
        <v>84</v>
      </c>
      <c r="R3662" s="131" t="s">
        <v>489</v>
      </c>
      <c r="S3662" s="129"/>
    </row>
    <row r="3663" spans="1:19" hidden="1">
      <c r="A3663" s="135" t="s">
        <v>5774</v>
      </c>
      <c r="B3663" s="149" t="str">
        <f>IFERROR(VLOOKUP(Proc[[#This Row],[App]],Table2[],3,0),"open")</f>
        <v>ok</v>
      </c>
      <c r="C3663" s="138" t="s">
        <v>369</v>
      </c>
      <c r="D3663" t="s">
        <v>5777</v>
      </c>
      <c r="E3663" t="s">
        <v>5803</v>
      </c>
      <c r="F3663" s="129" t="s">
        <v>5803</v>
      </c>
      <c r="G3663" s="135" t="s">
        <v>400</v>
      </c>
      <c r="H3663" s="129" t="str">
        <f>IF(Proc[[#This Row],[type]]="LFF (MDG-F)",MID(Proc[[#This Row],[Obj]],13,10),"")</f>
        <v/>
      </c>
      <c r="J3663" s="129" t="b">
        <f>Proc[[#This Row],[Requested]]=Proc[[#This Row],[CurrentParent]]</f>
        <v>1</v>
      </c>
      <c r="K3663" s="144" t="str">
        <f>IF(Proc[[#This Row],[Author]]="Marcela Urrego",VLOOKUP(LEFT(Proc[[#This Row],[Requested]],1),Table3[#All],2,0),VLOOKUP(Proc[[#This Row],[Author]],Table4[],2,0))</f>
        <v>LS</v>
      </c>
      <c r="L3663" s="129" t="s">
        <v>4894</v>
      </c>
      <c r="M3663" s="131">
        <v>45894</v>
      </c>
      <c r="N3663" s="131"/>
      <c r="O3663" s="131"/>
      <c r="P3663" s="130" t="str">
        <f ca="1">IF(Proc[[#This Row],[DaysAgeing]]&gt;5,"yep","on track")</f>
        <v>yep</v>
      </c>
      <c r="Q3663" s="3">
        <f ca="1">IF(Proc[[#This Row],[DateClosed]]="",ABS(NETWORKDAYS(Proc[[#This Row],[DateOpened]],TODAY()))-1,ABS(NETWORKDAYS(Proc[[#This Row],[DateOpened]],Proc[[#This Row],[DateClosed]]))-1)</f>
        <v>84</v>
      </c>
      <c r="R3663" s="131" t="s">
        <v>489</v>
      </c>
      <c r="S3663" s="129"/>
    </row>
    <row r="3664" spans="1:19" hidden="1">
      <c r="A3664" s="135" t="s">
        <v>5774</v>
      </c>
      <c r="B3664" s="149" t="str">
        <f>IFERROR(VLOOKUP(Proc[[#This Row],[App]],Table2[],3,0),"open")</f>
        <v>ok</v>
      </c>
      <c r="C3664" s="138" t="s">
        <v>369</v>
      </c>
      <c r="D3664" t="s">
        <v>5778</v>
      </c>
      <c r="E3664" t="s">
        <v>5803</v>
      </c>
      <c r="F3664" s="129" t="s">
        <v>5803</v>
      </c>
      <c r="G3664" s="135" t="s">
        <v>400</v>
      </c>
      <c r="H3664" s="129" t="str">
        <f>IF(Proc[[#This Row],[type]]="LFF (MDG-F)",MID(Proc[[#This Row],[Obj]],13,10),"")</f>
        <v/>
      </c>
      <c r="J3664" s="129" t="b">
        <f>Proc[[#This Row],[Requested]]=Proc[[#This Row],[CurrentParent]]</f>
        <v>1</v>
      </c>
      <c r="K3664" s="144" t="str">
        <f>IF(Proc[[#This Row],[Author]]="Marcela Urrego",VLOOKUP(LEFT(Proc[[#This Row],[Requested]],1),Table3[#All],2,0),VLOOKUP(Proc[[#This Row],[Author]],Table4[],2,0))</f>
        <v>LS</v>
      </c>
      <c r="L3664" s="129" t="s">
        <v>4894</v>
      </c>
      <c r="M3664" s="131">
        <v>45894</v>
      </c>
      <c r="N3664" s="131"/>
      <c r="O3664" s="131"/>
      <c r="P3664" s="130" t="str">
        <f ca="1">IF(Proc[[#This Row],[DaysAgeing]]&gt;5,"yep","on track")</f>
        <v>yep</v>
      </c>
      <c r="Q3664" s="3">
        <f ca="1">IF(Proc[[#This Row],[DateClosed]]="",ABS(NETWORKDAYS(Proc[[#This Row],[DateOpened]],TODAY()))-1,ABS(NETWORKDAYS(Proc[[#This Row],[DateOpened]],Proc[[#This Row],[DateClosed]]))-1)</f>
        <v>84</v>
      </c>
      <c r="R3664" s="131" t="s">
        <v>489</v>
      </c>
      <c r="S3664" s="129"/>
    </row>
    <row r="3665" spans="1:19" hidden="1">
      <c r="A3665" s="135" t="s">
        <v>5774</v>
      </c>
      <c r="B3665" s="149" t="str">
        <f>IFERROR(VLOOKUP(Proc[[#This Row],[App]],Table2[],3,0),"open")</f>
        <v>ok</v>
      </c>
      <c r="C3665" s="138" t="s">
        <v>369</v>
      </c>
      <c r="D3665" t="s">
        <v>5779</v>
      </c>
      <c r="E3665" t="s">
        <v>5803</v>
      </c>
      <c r="F3665" s="129" t="s">
        <v>5803</v>
      </c>
      <c r="G3665" s="135" t="s">
        <v>400</v>
      </c>
      <c r="H3665" s="129" t="str">
        <f>IF(Proc[[#This Row],[type]]="LFF (MDG-F)",MID(Proc[[#This Row],[Obj]],13,10),"")</f>
        <v/>
      </c>
      <c r="J3665" s="129" t="b">
        <f>Proc[[#This Row],[Requested]]=Proc[[#This Row],[CurrentParent]]</f>
        <v>1</v>
      </c>
      <c r="K3665" s="144" t="str">
        <f>IF(Proc[[#This Row],[Author]]="Marcela Urrego",VLOOKUP(LEFT(Proc[[#This Row],[Requested]],1),Table3[#All],2,0),VLOOKUP(Proc[[#This Row],[Author]],Table4[],2,0))</f>
        <v>LS</v>
      </c>
      <c r="L3665" s="129" t="s">
        <v>4894</v>
      </c>
      <c r="M3665" s="131">
        <v>45894</v>
      </c>
      <c r="N3665" s="131"/>
      <c r="O3665" s="131"/>
      <c r="P3665" s="130" t="str">
        <f ca="1">IF(Proc[[#This Row],[DaysAgeing]]&gt;5,"yep","on track")</f>
        <v>yep</v>
      </c>
      <c r="Q3665" s="3">
        <f ca="1">IF(Proc[[#This Row],[DateClosed]]="",ABS(NETWORKDAYS(Proc[[#This Row],[DateOpened]],TODAY()))-1,ABS(NETWORKDAYS(Proc[[#This Row],[DateOpened]],Proc[[#This Row],[DateClosed]]))-1)</f>
        <v>84</v>
      </c>
      <c r="R3665" s="131" t="s">
        <v>489</v>
      </c>
      <c r="S3665" s="129"/>
    </row>
    <row r="3666" spans="1:19" hidden="1">
      <c r="A3666" s="135" t="s">
        <v>5774</v>
      </c>
      <c r="B3666" s="149" t="str">
        <f>IFERROR(VLOOKUP(Proc[[#This Row],[App]],Table2[],3,0),"open")</f>
        <v>ok</v>
      </c>
      <c r="C3666" s="138" t="s">
        <v>369</v>
      </c>
      <c r="D3666" t="s">
        <v>5780</v>
      </c>
      <c r="E3666" t="s">
        <v>5804</v>
      </c>
      <c r="F3666" s="129" t="s">
        <v>5804</v>
      </c>
      <c r="G3666" s="135" t="s">
        <v>400</v>
      </c>
      <c r="H3666" s="129" t="str">
        <f>IF(Proc[[#This Row],[type]]="LFF (MDG-F)",MID(Proc[[#This Row],[Obj]],13,10),"")</f>
        <v/>
      </c>
      <c r="J3666" s="129" t="b">
        <f>Proc[[#This Row],[Requested]]=Proc[[#This Row],[CurrentParent]]</f>
        <v>1</v>
      </c>
      <c r="K3666" s="144" t="str">
        <f>IF(Proc[[#This Row],[Author]]="Marcela Urrego",VLOOKUP(LEFT(Proc[[#This Row],[Requested]],1),Table3[#All],2,0),VLOOKUP(Proc[[#This Row],[Author]],Table4[],2,0))</f>
        <v>LS</v>
      </c>
      <c r="L3666" s="129" t="s">
        <v>4894</v>
      </c>
      <c r="M3666" s="131">
        <v>45894</v>
      </c>
      <c r="N3666" s="131"/>
      <c r="O3666" s="131"/>
      <c r="P3666" s="130" t="str">
        <f ca="1">IF(Proc[[#This Row],[DaysAgeing]]&gt;5,"yep","on track")</f>
        <v>yep</v>
      </c>
      <c r="Q3666" s="3">
        <f ca="1">IF(Proc[[#This Row],[DateClosed]]="",ABS(NETWORKDAYS(Proc[[#This Row],[DateOpened]],TODAY()))-1,ABS(NETWORKDAYS(Proc[[#This Row],[DateOpened]],Proc[[#This Row],[DateClosed]]))-1)</f>
        <v>84</v>
      </c>
      <c r="R3666" s="131" t="s">
        <v>489</v>
      </c>
      <c r="S3666" s="129"/>
    </row>
    <row r="3667" spans="1:19" hidden="1">
      <c r="A3667" s="135" t="s">
        <v>5774</v>
      </c>
      <c r="B3667" s="149" t="str">
        <f>IFERROR(VLOOKUP(Proc[[#This Row],[App]],Table2[],3,0),"open")</f>
        <v>ok</v>
      </c>
      <c r="C3667" s="138" t="s">
        <v>369</v>
      </c>
      <c r="D3667" t="s">
        <v>5781</v>
      </c>
      <c r="E3667" t="s">
        <v>5804</v>
      </c>
      <c r="F3667" s="129" t="s">
        <v>5804</v>
      </c>
      <c r="G3667" s="135" t="s">
        <v>400</v>
      </c>
      <c r="H3667" s="129" t="str">
        <f>IF(Proc[[#This Row],[type]]="LFF (MDG-F)",MID(Proc[[#This Row],[Obj]],13,10),"")</f>
        <v/>
      </c>
      <c r="J3667" s="129" t="b">
        <f>Proc[[#This Row],[Requested]]=Proc[[#This Row],[CurrentParent]]</f>
        <v>1</v>
      </c>
      <c r="K3667" s="144" t="str">
        <f>IF(Proc[[#This Row],[Author]]="Marcela Urrego",VLOOKUP(LEFT(Proc[[#This Row],[Requested]],1),Table3[#All],2,0),VLOOKUP(Proc[[#This Row],[Author]],Table4[],2,0))</f>
        <v>LS</v>
      </c>
      <c r="L3667" s="129" t="s">
        <v>4894</v>
      </c>
      <c r="M3667" s="131">
        <v>45894</v>
      </c>
      <c r="N3667" s="131"/>
      <c r="O3667" s="131"/>
      <c r="P3667" s="130" t="str">
        <f ca="1">IF(Proc[[#This Row],[DaysAgeing]]&gt;5,"yep","on track")</f>
        <v>yep</v>
      </c>
      <c r="Q3667" s="3">
        <f ca="1">IF(Proc[[#This Row],[DateClosed]]="",ABS(NETWORKDAYS(Proc[[#This Row],[DateOpened]],TODAY()))-1,ABS(NETWORKDAYS(Proc[[#This Row],[DateOpened]],Proc[[#This Row],[DateClosed]]))-1)</f>
        <v>84</v>
      </c>
      <c r="R3667" s="131" t="s">
        <v>489</v>
      </c>
      <c r="S3667" s="129"/>
    </row>
    <row r="3668" spans="1:19" hidden="1">
      <c r="A3668" s="135" t="s">
        <v>5774</v>
      </c>
      <c r="B3668" s="149" t="str">
        <f>IFERROR(VLOOKUP(Proc[[#This Row],[App]],Table2[],3,0),"open")</f>
        <v>ok</v>
      </c>
      <c r="C3668" s="138" t="s">
        <v>369</v>
      </c>
      <c r="D3668" t="s">
        <v>5782</v>
      </c>
      <c r="E3668" t="s">
        <v>5805</v>
      </c>
      <c r="F3668" s="129" t="s">
        <v>5805</v>
      </c>
      <c r="G3668" s="135" t="s">
        <v>400</v>
      </c>
      <c r="H3668" s="129" t="str">
        <f>IF(Proc[[#This Row],[type]]="LFF (MDG-F)",MID(Proc[[#This Row],[Obj]],13,10),"")</f>
        <v/>
      </c>
      <c r="J3668" s="129" t="b">
        <f>Proc[[#This Row],[Requested]]=Proc[[#This Row],[CurrentParent]]</f>
        <v>1</v>
      </c>
      <c r="K3668" s="144" t="str">
        <f>IF(Proc[[#This Row],[Author]]="Marcela Urrego",VLOOKUP(LEFT(Proc[[#This Row],[Requested]],1),Table3[#All],2,0),VLOOKUP(Proc[[#This Row],[Author]],Table4[],2,0))</f>
        <v>LS</v>
      </c>
      <c r="L3668" s="129" t="s">
        <v>4894</v>
      </c>
      <c r="M3668" s="131">
        <v>45894</v>
      </c>
      <c r="N3668" s="131"/>
      <c r="O3668" s="131"/>
      <c r="P3668" s="130" t="str">
        <f ca="1">IF(Proc[[#This Row],[DaysAgeing]]&gt;5,"yep","on track")</f>
        <v>yep</v>
      </c>
      <c r="Q3668" s="3">
        <f ca="1">IF(Proc[[#This Row],[DateClosed]]="",ABS(NETWORKDAYS(Proc[[#This Row],[DateOpened]],TODAY()))-1,ABS(NETWORKDAYS(Proc[[#This Row],[DateOpened]],Proc[[#This Row],[DateClosed]]))-1)</f>
        <v>84</v>
      </c>
      <c r="R3668" s="131" t="s">
        <v>489</v>
      </c>
      <c r="S3668" s="129"/>
    </row>
    <row r="3669" spans="1:19" hidden="1">
      <c r="A3669" s="135" t="s">
        <v>5774</v>
      </c>
      <c r="B3669" s="149" t="str">
        <f>IFERROR(VLOOKUP(Proc[[#This Row],[App]],Table2[],3,0),"open")</f>
        <v>ok</v>
      </c>
      <c r="C3669" s="138" t="s">
        <v>369</v>
      </c>
      <c r="D3669" t="s">
        <v>5783</v>
      </c>
      <c r="E3669" t="s">
        <v>5805</v>
      </c>
      <c r="F3669" s="129" t="s">
        <v>5805</v>
      </c>
      <c r="G3669" s="135" t="s">
        <v>400</v>
      </c>
      <c r="H3669" s="129" t="str">
        <f>IF(Proc[[#This Row],[type]]="LFF (MDG-F)",MID(Proc[[#This Row],[Obj]],13,10),"")</f>
        <v/>
      </c>
      <c r="J3669" s="129" t="b">
        <f>Proc[[#This Row],[Requested]]=Proc[[#This Row],[CurrentParent]]</f>
        <v>1</v>
      </c>
      <c r="K3669" s="144" t="str">
        <f>IF(Proc[[#This Row],[Author]]="Marcela Urrego",VLOOKUP(LEFT(Proc[[#This Row],[Requested]],1),Table3[#All],2,0),VLOOKUP(Proc[[#This Row],[Author]],Table4[],2,0))</f>
        <v>LS</v>
      </c>
      <c r="L3669" s="129" t="s">
        <v>4894</v>
      </c>
      <c r="M3669" s="131">
        <v>45894</v>
      </c>
      <c r="N3669" s="131"/>
      <c r="O3669" s="131"/>
      <c r="P3669" s="130" t="str">
        <f ca="1">IF(Proc[[#This Row],[DaysAgeing]]&gt;5,"yep","on track")</f>
        <v>yep</v>
      </c>
      <c r="Q3669" s="3">
        <f ca="1">IF(Proc[[#This Row],[DateClosed]]="",ABS(NETWORKDAYS(Proc[[#This Row],[DateOpened]],TODAY()))-1,ABS(NETWORKDAYS(Proc[[#This Row],[DateOpened]],Proc[[#This Row],[DateClosed]]))-1)</f>
        <v>84</v>
      </c>
      <c r="R3669" s="131" t="s">
        <v>489</v>
      </c>
      <c r="S3669" s="129"/>
    </row>
    <row r="3670" spans="1:19" hidden="1">
      <c r="A3670" s="135" t="s">
        <v>5774</v>
      </c>
      <c r="B3670" s="149" t="str">
        <f>IFERROR(VLOOKUP(Proc[[#This Row],[App]],Table2[],3,0),"open")</f>
        <v>ok</v>
      </c>
      <c r="C3670" s="138" t="s">
        <v>369</v>
      </c>
      <c r="D3670" t="s">
        <v>5784</v>
      </c>
      <c r="E3670" t="s">
        <v>5806</v>
      </c>
      <c r="F3670" s="129" t="s">
        <v>5806</v>
      </c>
      <c r="G3670" s="135" t="s">
        <v>400</v>
      </c>
      <c r="H3670" s="129" t="str">
        <f>IF(Proc[[#This Row],[type]]="LFF (MDG-F)",MID(Proc[[#This Row],[Obj]],13,10),"")</f>
        <v/>
      </c>
      <c r="J3670" s="129" t="b">
        <f>Proc[[#This Row],[Requested]]=Proc[[#This Row],[CurrentParent]]</f>
        <v>1</v>
      </c>
      <c r="K3670" s="144" t="str">
        <f>IF(Proc[[#This Row],[Author]]="Marcela Urrego",VLOOKUP(LEFT(Proc[[#This Row],[Requested]],1),Table3[#All],2,0),VLOOKUP(Proc[[#This Row],[Author]],Table4[],2,0))</f>
        <v>LS</v>
      </c>
      <c r="L3670" s="129" t="s">
        <v>4894</v>
      </c>
      <c r="M3670" s="131">
        <v>45894</v>
      </c>
      <c r="N3670" s="131"/>
      <c r="O3670" s="131"/>
      <c r="P3670" s="130" t="str">
        <f ca="1">IF(Proc[[#This Row],[DaysAgeing]]&gt;5,"yep","on track")</f>
        <v>yep</v>
      </c>
      <c r="Q3670" s="3">
        <f ca="1">IF(Proc[[#This Row],[DateClosed]]="",ABS(NETWORKDAYS(Proc[[#This Row],[DateOpened]],TODAY()))-1,ABS(NETWORKDAYS(Proc[[#This Row],[DateOpened]],Proc[[#This Row],[DateClosed]]))-1)</f>
        <v>84</v>
      </c>
      <c r="R3670" s="131" t="s">
        <v>489</v>
      </c>
      <c r="S3670" s="129"/>
    </row>
    <row r="3671" spans="1:19" hidden="1">
      <c r="A3671" s="135" t="s">
        <v>5774</v>
      </c>
      <c r="B3671" s="149" t="str">
        <f>IFERROR(VLOOKUP(Proc[[#This Row],[App]],Table2[],3,0),"open")</f>
        <v>ok</v>
      </c>
      <c r="C3671" s="138" t="s">
        <v>369</v>
      </c>
      <c r="D3671" t="s">
        <v>5785</v>
      </c>
      <c r="E3671" t="s">
        <v>5807</v>
      </c>
      <c r="F3671" s="129" t="s">
        <v>5807</v>
      </c>
      <c r="G3671" s="135" t="s">
        <v>400</v>
      </c>
      <c r="H3671" s="129" t="str">
        <f>IF(Proc[[#This Row],[type]]="LFF (MDG-F)",MID(Proc[[#This Row],[Obj]],13,10),"")</f>
        <v/>
      </c>
      <c r="J3671" s="129" t="b">
        <f>Proc[[#This Row],[Requested]]=Proc[[#This Row],[CurrentParent]]</f>
        <v>1</v>
      </c>
      <c r="K3671" s="144" t="str">
        <f>IF(Proc[[#This Row],[Author]]="Marcela Urrego",VLOOKUP(LEFT(Proc[[#This Row],[Requested]],1),Table3[#All],2,0),VLOOKUP(Proc[[#This Row],[Author]],Table4[],2,0))</f>
        <v>LS</v>
      </c>
      <c r="L3671" s="129" t="s">
        <v>4894</v>
      </c>
      <c r="M3671" s="131">
        <v>45894</v>
      </c>
      <c r="N3671" s="131"/>
      <c r="O3671" s="131"/>
      <c r="P3671" s="130" t="str">
        <f ca="1">IF(Proc[[#This Row],[DaysAgeing]]&gt;5,"yep","on track")</f>
        <v>yep</v>
      </c>
      <c r="Q3671" s="3">
        <f ca="1">IF(Proc[[#This Row],[DateClosed]]="",ABS(NETWORKDAYS(Proc[[#This Row],[DateOpened]],TODAY()))-1,ABS(NETWORKDAYS(Proc[[#This Row],[DateOpened]],Proc[[#This Row],[DateClosed]]))-1)</f>
        <v>84</v>
      </c>
      <c r="R3671" s="131" t="s">
        <v>489</v>
      </c>
      <c r="S3671" s="129"/>
    </row>
    <row r="3672" spans="1:19" hidden="1">
      <c r="A3672" s="135" t="s">
        <v>5774</v>
      </c>
      <c r="B3672" s="149" t="str">
        <f>IFERROR(VLOOKUP(Proc[[#This Row],[App]],Table2[],3,0),"open")</f>
        <v>ok</v>
      </c>
      <c r="C3672" s="138" t="s">
        <v>369</v>
      </c>
      <c r="D3672" t="s">
        <v>5786</v>
      </c>
      <c r="E3672" t="s">
        <v>4384</v>
      </c>
      <c r="F3672" s="129" t="s">
        <v>4384</v>
      </c>
      <c r="G3672" s="135" t="s">
        <v>400</v>
      </c>
      <c r="H3672" s="129" t="str">
        <f>IF(Proc[[#This Row],[type]]="LFF (MDG-F)",MID(Proc[[#This Row],[Obj]],13,10),"")</f>
        <v/>
      </c>
      <c r="J3672" s="129" t="b">
        <f>Proc[[#This Row],[Requested]]=Proc[[#This Row],[CurrentParent]]</f>
        <v>1</v>
      </c>
      <c r="K3672" s="144" t="str">
        <f>IF(Proc[[#This Row],[Author]]="Marcela Urrego",VLOOKUP(LEFT(Proc[[#This Row],[Requested]],1),Table3[#All],2,0),VLOOKUP(Proc[[#This Row],[Author]],Table4[],2,0))</f>
        <v>LS</v>
      </c>
      <c r="L3672" s="129" t="s">
        <v>4894</v>
      </c>
      <c r="M3672" s="131">
        <v>45894</v>
      </c>
      <c r="N3672" s="131"/>
      <c r="O3672" s="131"/>
      <c r="P3672" s="130" t="str">
        <f ca="1">IF(Proc[[#This Row],[DaysAgeing]]&gt;5,"yep","on track")</f>
        <v>yep</v>
      </c>
      <c r="Q3672" s="3">
        <f ca="1">IF(Proc[[#This Row],[DateClosed]]="",ABS(NETWORKDAYS(Proc[[#This Row],[DateOpened]],TODAY()))-1,ABS(NETWORKDAYS(Proc[[#This Row],[DateOpened]],Proc[[#This Row],[DateClosed]]))-1)</f>
        <v>84</v>
      </c>
      <c r="R3672" s="131" t="s">
        <v>489</v>
      </c>
      <c r="S3672" s="129"/>
    </row>
    <row r="3673" spans="1:19" hidden="1">
      <c r="A3673" s="135" t="s">
        <v>5774</v>
      </c>
      <c r="B3673" s="149" t="str">
        <f>IFERROR(VLOOKUP(Proc[[#This Row],[App]],Table2[],3,0),"open")</f>
        <v>ok</v>
      </c>
      <c r="C3673" s="138" t="s">
        <v>369</v>
      </c>
      <c r="D3673" t="s">
        <v>3090</v>
      </c>
      <c r="E3673" t="s">
        <v>5808</v>
      </c>
      <c r="F3673" s="129" t="s">
        <v>5808</v>
      </c>
      <c r="G3673" s="135" t="s">
        <v>400</v>
      </c>
      <c r="H3673" s="129" t="str">
        <f>IF(Proc[[#This Row],[type]]="LFF (MDG-F)",MID(Proc[[#This Row],[Obj]],13,10),"")</f>
        <v/>
      </c>
      <c r="J3673" s="129" t="b">
        <f>Proc[[#This Row],[Requested]]=Proc[[#This Row],[CurrentParent]]</f>
        <v>1</v>
      </c>
      <c r="K3673" s="144" t="str">
        <f>IF(Proc[[#This Row],[Author]]="Marcela Urrego",VLOOKUP(LEFT(Proc[[#This Row],[Requested]],1),Table3[#All],2,0),VLOOKUP(Proc[[#This Row],[Author]],Table4[],2,0))</f>
        <v>LS</v>
      </c>
      <c r="L3673" s="129" t="s">
        <v>4894</v>
      </c>
      <c r="M3673" s="131">
        <v>45894</v>
      </c>
      <c r="N3673" s="131"/>
      <c r="O3673" s="131"/>
      <c r="P3673" s="130" t="str">
        <f ca="1">IF(Proc[[#This Row],[DaysAgeing]]&gt;5,"yep","on track")</f>
        <v>yep</v>
      </c>
      <c r="Q3673" s="3">
        <f ca="1">IF(Proc[[#This Row],[DateClosed]]="",ABS(NETWORKDAYS(Proc[[#This Row],[DateOpened]],TODAY()))-1,ABS(NETWORKDAYS(Proc[[#This Row],[DateOpened]],Proc[[#This Row],[DateClosed]]))-1)</f>
        <v>84</v>
      </c>
      <c r="R3673" s="131" t="s">
        <v>489</v>
      </c>
      <c r="S3673" s="129"/>
    </row>
    <row r="3674" spans="1:19" hidden="1">
      <c r="A3674" s="135" t="s">
        <v>5774</v>
      </c>
      <c r="B3674" s="149" t="str">
        <f>IFERROR(VLOOKUP(Proc[[#This Row],[App]],Table2[],3,0),"open")</f>
        <v>ok</v>
      </c>
      <c r="C3674" s="138" t="s">
        <v>369</v>
      </c>
      <c r="D3674" t="s">
        <v>5787</v>
      </c>
      <c r="E3674" t="s">
        <v>5809</v>
      </c>
      <c r="F3674" s="129" t="s">
        <v>5809</v>
      </c>
      <c r="G3674" s="135" t="s">
        <v>400</v>
      </c>
      <c r="H3674" s="129" t="str">
        <f>IF(Proc[[#This Row],[type]]="LFF (MDG-F)",MID(Proc[[#This Row],[Obj]],13,10),"")</f>
        <v/>
      </c>
      <c r="J3674" s="129" t="b">
        <f>Proc[[#This Row],[Requested]]=Proc[[#This Row],[CurrentParent]]</f>
        <v>1</v>
      </c>
      <c r="K3674" s="144" t="str">
        <f>IF(Proc[[#This Row],[Author]]="Marcela Urrego",VLOOKUP(LEFT(Proc[[#This Row],[Requested]],1),Table3[#All],2,0),VLOOKUP(Proc[[#This Row],[Author]],Table4[],2,0))</f>
        <v>LS</v>
      </c>
      <c r="L3674" s="129" t="s">
        <v>4894</v>
      </c>
      <c r="M3674" s="131">
        <v>45894</v>
      </c>
      <c r="N3674" s="131"/>
      <c r="O3674" s="131"/>
      <c r="P3674" s="130" t="str">
        <f ca="1">IF(Proc[[#This Row],[DaysAgeing]]&gt;5,"yep","on track")</f>
        <v>yep</v>
      </c>
      <c r="Q3674" s="3">
        <f ca="1">IF(Proc[[#This Row],[DateClosed]]="",ABS(NETWORKDAYS(Proc[[#This Row],[DateOpened]],TODAY()))-1,ABS(NETWORKDAYS(Proc[[#This Row],[DateOpened]],Proc[[#This Row],[DateClosed]]))-1)</f>
        <v>84</v>
      </c>
      <c r="R3674" s="131" t="s">
        <v>489</v>
      </c>
      <c r="S3674" s="129"/>
    </row>
    <row r="3675" spans="1:19" hidden="1">
      <c r="A3675" s="135" t="s">
        <v>5774</v>
      </c>
      <c r="B3675" s="149" t="str">
        <f>IFERROR(VLOOKUP(Proc[[#This Row],[App]],Table2[],3,0),"open")</f>
        <v>ok</v>
      </c>
      <c r="C3675" s="138" t="s">
        <v>369</v>
      </c>
      <c r="D3675" t="s">
        <v>5788</v>
      </c>
      <c r="E3675" t="s">
        <v>3544</v>
      </c>
      <c r="F3675" s="129" t="s">
        <v>3544</v>
      </c>
      <c r="G3675" s="135" t="s">
        <v>400</v>
      </c>
      <c r="H3675" s="129" t="str">
        <f>IF(Proc[[#This Row],[type]]="LFF (MDG-F)",MID(Proc[[#This Row],[Obj]],13,10),"")</f>
        <v/>
      </c>
      <c r="J3675" s="129" t="b">
        <f>Proc[[#This Row],[Requested]]=Proc[[#This Row],[CurrentParent]]</f>
        <v>1</v>
      </c>
      <c r="K3675" s="144" t="str">
        <f>IF(Proc[[#This Row],[Author]]="Marcela Urrego",VLOOKUP(LEFT(Proc[[#This Row],[Requested]],1),Table3[#All],2,0),VLOOKUP(Proc[[#This Row],[Author]],Table4[],2,0))</f>
        <v>LS</v>
      </c>
      <c r="L3675" s="129" t="s">
        <v>4894</v>
      </c>
      <c r="M3675" s="131">
        <v>45894</v>
      </c>
      <c r="N3675" s="131"/>
      <c r="O3675" s="131"/>
      <c r="P3675" s="130" t="str">
        <f ca="1">IF(Proc[[#This Row],[DaysAgeing]]&gt;5,"yep","on track")</f>
        <v>yep</v>
      </c>
      <c r="Q3675" s="3">
        <f ca="1">IF(Proc[[#This Row],[DateClosed]]="",ABS(NETWORKDAYS(Proc[[#This Row],[DateOpened]],TODAY()))-1,ABS(NETWORKDAYS(Proc[[#This Row],[DateOpened]],Proc[[#This Row],[DateClosed]]))-1)</f>
        <v>84</v>
      </c>
      <c r="R3675" s="131" t="s">
        <v>489</v>
      </c>
      <c r="S3675" s="129"/>
    </row>
    <row r="3676" spans="1:19" hidden="1">
      <c r="A3676" s="135" t="s">
        <v>5774</v>
      </c>
      <c r="B3676" s="149" t="str">
        <f>IFERROR(VLOOKUP(Proc[[#This Row],[App]],Table2[],3,0),"open")</f>
        <v>ok</v>
      </c>
      <c r="C3676" s="138" t="s">
        <v>369</v>
      </c>
      <c r="D3676" t="s">
        <v>5789</v>
      </c>
      <c r="E3676" t="s">
        <v>3544</v>
      </c>
      <c r="F3676" s="129" t="s">
        <v>3544</v>
      </c>
      <c r="G3676" s="135" t="s">
        <v>400</v>
      </c>
      <c r="H3676" s="129" t="str">
        <f>IF(Proc[[#This Row],[type]]="LFF (MDG-F)",MID(Proc[[#This Row],[Obj]],13,10),"")</f>
        <v/>
      </c>
      <c r="J3676" s="129" t="b">
        <f>Proc[[#This Row],[Requested]]=Proc[[#This Row],[CurrentParent]]</f>
        <v>1</v>
      </c>
      <c r="K3676" s="144" t="str">
        <f>IF(Proc[[#This Row],[Author]]="Marcela Urrego",VLOOKUP(LEFT(Proc[[#This Row],[Requested]],1),Table3[#All],2,0),VLOOKUP(Proc[[#This Row],[Author]],Table4[],2,0))</f>
        <v>LS</v>
      </c>
      <c r="L3676" s="129" t="s">
        <v>4894</v>
      </c>
      <c r="M3676" s="131">
        <v>45894</v>
      </c>
      <c r="N3676" s="131"/>
      <c r="O3676" s="131"/>
      <c r="P3676" s="130" t="str">
        <f ca="1">IF(Proc[[#This Row],[DaysAgeing]]&gt;5,"yep","on track")</f>
        <v>yep</v>
      </c>
      <c r="Q3676" s="3">
        <f ca="1">IF(Proc[[#This Row],[DateClosed]]="",ABS(NETWORKDAYS(Proc[[#This Row],[DateOpened]],TODAY()))-1,ABS(NETWORKDAYS(Proc[[#This Row],[DateOpened]],Proc[[#This Row],[DateClosed]]))-1)</f>
        <v>84</v>
      </c>
      <c r="R3676" s="131" t="s">
        <v>489</v>
      </c>
      <c r="S3676" s="129"/>
    </row>
    <row r="3677" spans="1:19" hidden="1">
      <c r="A3677" s="135" t="s">
        <v>5774</v>
      </c>
      <c r="B3677" s="149" t="str">
        <f>IFERROR(VLOOKUP(Proc[[#This Row],[App]],Table2[],3,0),"open")</f>
        <v>ok</v>
      </c>
      <c r="C3677" s="138" t="s">
        <v>369</v>
      </c>
      <c r="D3677" t="s">
        <v>5790</v>
      </c>
      <c r="E3677" t="s">
        <v>3544</v>
      </c>
      <c r="F3677" s="129" t="s">
        <v>3544</v>
      </c>
      <c r="G3677" s="135" t="s">
        <v>400</v>
      </c>
      <c r="H3677" s="129" t="str">
        <f>IF(Proc[[#This Row],[type]]="LFF (MDG-F)",MID(Proc[[#This Row],[Obj]],13,10),"")</f>
        <v/>
      </c>
      <c r="J3677" s="129" t="b">
        <f>Proc[[#This Row],[Requested]]=Proc[[#This Row],[CurrentParent]]</f>
        <v>1</v>
      </c>
      <c r="K3677" s="144" t="str">
        <f>IF(Proc[[#This Row],[Author]]="Marcela Urrego",VLOOKUP(LEFT(Proc[[#This Row],[Requested]],1),Table3[#All],2,0),VLOOKUP(Proc[[#This Row],[Author]],Table4[],2,0))</f>
        <v>LS</v>
      </c>
      <c r="L3677" s="129" t="s">
        <v>4894</v>
      </c>
      <c r="M3677" s="131">
        <v>45894</v>
      </c>
      <c r="N3677" s="131"/>
      <c r="O3677" s="131"/>
      <c r="P3677" s="130" t="str">
        <f ca="1">IF(Proc[[#This Row],[DaysAgeing]]&gt;5,"yep","on track")</f>
        <v>yep</v>
      </c>
      <c r="Q3677" s="3">
        <f ca="1">IF(Proc[[#This Row],[DateClosed]]="",ABS(NETWORKDAYS(Proc[[#This Row],[DateOpened]],TODAY()))-1,ABS(NETWORKDAYS(Proc[[#This Row],[DateOpened]],Proc[[#This Row],[DateClosed]]))-1)</f>
        <v>84</v>
      </c>
      <c r="R3677" s="131" t="s">
        <v>489</v>
      </c>
      <c r="S3677" s="129"/>
    </row>
    <row r="3678" spans="1:19" hidden="1">
      <c r="A3678" s="135" t="s">
        <v>5774</v>
      </c>
      <c r="B3678" s="149" t="str">
        <f>IFERROR(VLOOKUP(Proc[[#This Row],[App]],Table2[],3,0),"open")</f>
        <v>ok</v>
      </c>
      <c r="C3678" s="138" t="s">
        <v>369</v>
      </c>
      <c r="D3678" t="s">
        <v>5791</v>
      </c>
      <c r="E3678" t="s">
        <v>5810</v>
      </c>
      <c r="F3678" s="129" t="s">
        <v>5810</v>
      </c>
      <c r="G3678" s="135" t="s">
        <v>400</v>
      </c>
      <c r="H3678" s="129" t="str">
        <f>IF(Proc[[#This Row],[type]]="LFF (MDG-F)",MID(Proc[[#This Row],[Obj]],13,10),"")</f>
        <v/>
      </c>
      <c r="J3678" s="129" t="b">
        <f>Proc[[#This Row],[Requested]]=Proc[[#This Row],[CurrentParent]]</f>
        <v>1</v>
      </c>
      <c r="K3678" s="144" t="str">
        <f>IF(Proc[[#This Row],[Author]]="Marcela Urrego",VLOOKUP(LEFT(Proc[[#This Row],[Requested]],1),Table3[#All],2,0),VLOOKUP(Proc[[#This Row],[Author]],Table4[],2,0))</f>
        <v>LS</v>
      </c>
      <c r="L3678" s="129" t="s">
        <v>4894</v>
      </c>
      <c r="M3678" s="131">
        <v>45894</v>
      </c>
      <c r="N3678" s="131"/>
      <c r="O3678" s="131"/>
      <c r="P3678" s="130" t="str">
        <f ca="1">IF(Proc[[#This Row],[DaysAgeing]]&gt;5,"yep","on track")</f>
        <v>yep</v>
      </c>
      <c r="Q3678" s="3">
        <f ca="1">IF(Proc[[#This Row],[DateClosed]]="",ABS(NETWORKDAYS(Proc[[#This Row],[DateOpened]],TODAY()))-1,ABS(NETWORKDAYS(Proc[[#This Row],[DateOpened]],Proc[[#This Row],[DateClosed]]))-1)</f>
        <v>84</v>
      </c>
      <c r="R3678" s="131" t="s">
        <v>489</v>
      </c>
      <c r="S3678" s="129"/>
    </row>
    <row r="3679" spans="1:19" hidden="1">
      <c r="A3679" s="135" t="s">
        <v>5774</v>
      </c>
      <c r="B3679" s="149" t="str">
        <f>IFERROR(VLOOKUP(Proc[[#This Row],[App]],Table2[],3,0),"open")</f>
        <v>ok</v>
      </c>
      <c r="C3679" s="138" t="s">
        <v>369</v>
      </c>
      <c r="D3679" t="s">
        <v>5792</v>
      </c>
      <c r="E3679" t="s">
        <v>5810</v>
      </c>
      <c r="F3679" s="129" t="s">
        <v>5810</v>
      </c>
      <c r="G3679" s="135" t="s">
        <v>400</v>
      </c>
      <c r="H3679" s="129" t="str">
        <f>IF(Proc[[#This Row],[type]]="LFF (MDG-F)",MID(Proc[[#This Row],[Obj]],13,10),"")</f>
        <v/>
      </c>
      <c r="J3679" s="129" t="b">
        <f>Proc[[#This Row],[Requested]]=Proc[[#This Row],[CurrentParent]]</f>
        <v>1</v>
      </c>
      <c r="K3679" s="144" t="str">
        <f>IF(Proc[[#This Row],[Author]]="Marcela Urrego",VLOOKUP(LEFT(Proc[[#This Row],[Requested]],1),Table3[#All],2,0),VLOOKUP(Proc[[#This Row],[Author]],Table4[],2,0))</f>
        <v>LS</v>
      </c>
      <c r="L3679" s="129" t="s">
        <v>4894</v>
      </c>
      <c r="M3679" s="131">
        <v>45894</v>
      </c>
      <c r="N3679" s="131"/>
      <c r="O3679" s="131"/>
      <c r="P3679" s="130" t="str">
        <f ca="1">IF(Proc[[#This Row],[DaysAgeing]]&gt;5,"yep","on track")</f>
        <v>yep</v>
      </c>
      <c r="Q3679" s="3">
        <f ca="1">IF(Proc[[#This Row],[DateClosed]]="",ABS(NETWORKDAYS(Proc[[#This Row],[DateOpened]],TODAY()))-1,ABS(NETWORKDAYS(Proc[[#This Row],[DateOpened]],Proc[[#This Row],[DateClosed]]))-1)</f>
        <v>84</v>
      </c>
      <c r="R3679" s="131" t="s">
        <v>489</v>
      </c>
      <c r="S3679" s="129"/>
    </row>
    <row r="3680" spans="1:19" hidden="1">
      <c r="A3680" s="135" t="s">
        <v>5774</v>
      </c>
      <c r="B3680" s="149" t="str">
        <f>IFERROR(VLOOKUP(Proc[[#This Row],[App]],Table2[],3,0),"open")</f>
        <v>ok</v>
      </c>
      <c r="C3680" s="138" t="s">
        <v>369</v>
      </c>
      <c r="D3680" t="s">
        <v>3480</v>
      </c>
      <c r="E3680" t="s">
        <v>3544</v>
      </c>
      <c r="F3680" s="129" t="s">
        <v>3544</v>
      </c>
      <c r="G3680" s="135" t="s">
        <v>400</v>
      </c>
      <c r="H3680" s="129" t="str">
        <f>IF(Proc[[#This Row],[type]]="LFF (MDG-F)",MID(Proc[[#This Row],[Obj]],13,10),"")</f>
        <v/>
      </c>
      <c r="J3680" s="129" t="b">
        <f>Proc[[#This Row],[Requested]]=Proc[[#This Row],[CurrentParent]]</f>
        <v>1</v>
      </c>
      <c r="K3680" s="144" t="str">
        <f>IF(Proc[[#This Row],[Author]]="Marcela Urrego",VLOOKUP(LEFT(Proc[[#This Row],[Requested]],1),Table3[#All],2,0),VLOOKUP(Proc[[#This Row],[Author]],Table4[],2,0))</f>
        <v>LS</v>
      </c>
      <c r="L3680" s="129" t="s">
        <v>4894</v>
      </c>
      <c r="M3680" s="131">
        <v>45894</v>
      </c>
      <c r="N3680" s="131"/>
      <c r="O3680" s="131"/>
      <c r="P3680" s="130" t="str">
        <f ca="1">IF(Proc[[#This Row],[DaysAgeing]]&gt;5,"yep","on track")</f>
        <v>yep</v>
      </c>
      <c r="Q3680" s="3">
        <f ca="1">IF(Proc[[#This Row],[DateClosed]]="",ABS(NETWORKDAYS(Proc[[#This Row],[DateOpened]],TODAY()))-1,ABS(NETWORKDAYS(Proc[[#This Row],[DateOpened]],Proc[[#This Row],[DateClosed]]))-1)</f>
        <v>84</v>
      </c>
      <c r="R3680" s="131" t="s">
        <v>489</v>
      </c>
      <c r="S3680" s="129"/>
    </row>
    <row r="3681" spans="1:19" hidden="1">
      <c r="A3681" s="135" t="s">
        <v>5774</v>
      </c>
      <c r="B3681" s="149" t="str">
        <f>IFERROR(VLOOKUP(Proc[[#This Row],[App]],Table2[],3,0),"open")</f>
        <v>ok</v>
      </c>
      <c r="C3681" s="138" t="s">
        <v>369</v>
      </c>
      <c r="D3681" t="s">
        <v>3489</v>
      </c>
      <c r="E3681" t="s">
        <v>3527</v>
      </c>
      <c r="F3681" s="129" t="s">
        <v>3527</v>
      </c>
      <c r="G3681" s="135" t="s">
        <v>400</v>
      </c>
      <c r="H3681" s="129" t="str">
        <f>IF(Proc[[#This Row],[type]]="LFF (MDG-F)",MID(Proc[[#This Row],[Obj]],13,10),"")</f>
        <v/>
      </c>
      <c r="J3681" s="129" t="b">
        <f>Proc[[#This Row],[Requested]]=Proc[[#This Row],[CurrentParent]]</f>
        <v>1</v>
      </c>
      <c r="K3681" s="144" t="str">
        <f>IF(Proc[[#This Row],[Author]]="Marcela Urrego",VLOOKUP(LEFT(Proc[[#This Row],[Requested]],1),Table3[#All],2,0),VLOOKUP(Proc[[#This Row],[Author]],Table4[],2,0))</f>
        <v>LS</v>
      </c>
      <c r="L3681" s="129" t="s">
        <v>4894</v>
      </c>
      <c r="M3681" s="131">
        <v>45894</v>
      </c>
      <c r="N3681" s="131"/>
      <c r="O3681" s="131"/>
      <c r="P3681" s="130" t="str">
        <f ca="1">IF(Proc[[#This Row],[DaysAgeing]]&gt;5,"yep","on track")</f>
        <v>yep</v>
      </c>
      <c r="Q3681" s="3">
        <f ca="1">IF(Proc[[#This Row],[DateClosed]]="",ABS(NETWORKDAYS(Proc[[#This Row],[DateOpened]],TODAY()))-1,ABS(NETWORKDAYS(Proc[[#This Row],[DateOpened]],Proc[[#This Row],[DateClosed]]))-1)</f>
        <v>84</v>
      </c>
      <c r="R3681" s="131" t="s">
        <v>489</v>
      </c>
      <c r="S3681" s="129"/>
    </row>
    <row r="3682" spans="1:19" hidden="1">
      <c r="A3682" s="135" t="s">
        <v>5774</v>
      </c>
      <c r="B3682" s="149" t="str">
        <f>IFERROR(VLOOKUP(Proc[[#This Row],[App]],Table2[],3,0),"open")</f>
        <v>ok</v>
      </c>
      <c r="C3682" s="138" t="s">
        <v>369</v>
      </c>
      <c r="D3682" t="s">
        <v>5793</v>
      </c>
      <c r="E3682" t="s">
        <v>3544</v>
      </c>
      <c r="F3682" s="129" t="s">
        <v>3544</v>
      </c>
      <c r="G3682" s="135" t="s">
        <v>400</v>
      </c>
      <c r="H3682" s="129" t="str">
        <f>IF(Proc[[#This Row],[type]]="LFF (MDG-F)",MID(Proc[[#This Row],[Obj]],13,10),"")</f>
        <v/>
      </c>
      <c r="J3682" s="129" t="b">
        <f>Proc[[#This Row],[Requested]]=Proc[[#This Row],[CurrentParent]]</f>
        <v>1</v>
      </c>
      <c r="K3682" s="144" t="str">
        <f>IF(Proc[[#This Row],[Author]]="Marcela Urrego",VLOOKUP(LEFT(Proc[[#This Row],[Requested]],1),Table3[#All],2,0),VLOOKUP(Proc[[#This Row],[Author]],Table4[],2,0))</f>
        <v>LS</v>
      </c>
      <c r="L3682" s="129" t="s">
        <v>4894</v>
      </c>
      <c r="M3682" s="131">
        <v>45894</v>
      </c>
      <c r="N3682" s="131"/>
      <c r="O3682" s="131"/>
      <c r="P3682" s="130" t="str">
        <f ca="1">IF(Proc[[#This Row],[DaysAgeing]]&gt;5,"yep","on track")</f>
        <v>yep</v>
      </c>
      <c r="Q3682" s="3">
        <f ca="1">IF(Proc[[#This Row],[DateClosed]]="",ABS(NETWORKDAYS(Proc[[#This Row],[DateOpened]],TODAY()))-1,ABS(NETWORKDAYS(Proc[[#This Row],[DateOpened]],Proc[[#This Row],[DateClosed]]))-1)</f>
        <v>84</v>
      </c>
      <c r="R3682" s="131" t="s">
        <v>489</v>
      </c>
      <c r="S3682" s="129"/>
    </row>
    <row r="3683" spans="1:19" hidden="1">
      <c r="A3683" s="135" t="s">
        <v>5774</v>
      </c>
      <c r="B3683" s="149" t="str">
        <f>IFERROR(VLOOKUP(Proc[[#This Row],[App]],Table2[],3,0),"open")</f>
        <v>ok</v>
      </c>
      <c r="C3683" s="138" t="s">
        <v>369</v>
      </c>
      <c r="D3683" t="s">
        <v>5794</v>
      </c>
      <c r="E3683" t="s">
        <v>3527</v>
      </c>
      <c r="F3683" s="129" t="s">
        <v>3527</v>
      </c>
      <c r="G3683" s="135" t="s">
        <v>400</v>
      </c>
      <c r="H3683" s="129" t="str">
        <f>IF(Proc[[#This Row],[type]]="LFF (MDG-F)",MID(Proc[[#This Row],[Obj]],13,10),"")</f>
        <v/>
      </c>
      <c r="J3683" s="129" t="b">
        <f>Proc[[#This Row],[Requested]]=Proc[[#This Row],[CurrentParent]]</f>
        <v>1</v>
      </c>
      <c r="K3683" s="144" t="str">
        <f>IF(Proc[[#This Row],[Author]]="Marcela Urrego",VLOOKUP(LEFT(Proc[[#This Row],[Requested]],1),Table3[#All],2,0),VLOOKUP(Proc[[#This Row],[Author]],Table4[],2,0))</f>
        <v>LS</v>
      </c>
      <c r="L3683" s="129" t="s">
        <v>4894</v>
      </c>
      <c r="M3683" s="131">
        <v>45894</v>
      </c>
      <c r="N3683" s="131"/>
      <c r="O3683" s="131"/>
      <c r="P3683" s="130" t="str">
        <f ca="1">IF(Proc[[#This Row],[DaysAgeing]]&gt;5,"yep","on track")</f>
        <v>yep</v>
      </c>
      <c r="Q3683" s="3">
        <f ca="1">IF(Proc[[#This Row],[DateClosed]]="",ABS(NETWORKDAYS(Proc[[#This Row],[DateOpened]],TODAY()))-1,ABS(NETWORKDAYS(Proc[[#This Row],[DateOpened]],Proc[[#This Row],[DateClosed]]))-1)</f>
        <v>84</v>
      </c>
      <c r="R3683" s="131" t="s">
        <v>489</v>
      </c>
      <c r="S3683" s="129"/>
    </row>
    <row r="3684" spans="1:19" hidden="1">
      <c r="A3684" s="135" t="s">
        <v>5774</v>
      </c>
      <c r="B3684" s="149" t="str">
        <f>IFERROR(VLOOKUP(Proc[[#This Row],[App]],Table2[],3,0),"open")</f>
        <v>ok</v>
      </c>
      <c r="C3684" s="138" t="s">
        <v>369</v>
      </c>
      <c r="D3684" t="s">
        <v>5795</v>
      </c>
      <c r="E3684" t="s">
        <v>3527</v>
      </c>
      <c r="F3684" s="129" t="s">
        <v>3527</v>
      </c>
      <c r="G3684" s="135" t="s">
        <v>400</v>
      </c>
      <c r="H3684" s="129" t="str">
        <f>IF(Proc[[#This Row],[type]]="LFF (MDG-F)",MID(Proc[[#This Row],[Obj]],13,10),"")</f>
        <v/>
      </c>
      <c r="J3684" s="129" t="b">
        <f>Proc[[#This Row],[Requested]]=Proc[[#This Row],[CurrentParent]]</f>
        <v>1</v>
      </c>
      <c r="K3684" s="144" t="str">
        <f>IF(Proc[[#This Row],[Author]]="Marcela Urrego",VLOOKUP(LEFT(Proc[[#This Row],[Requested]],1),Table3[#All],2,0),VLOOKUP(Proc[[#This Row],[Author]],Table4[],2,0))</f>
        <v>LS</v>
      </c>
      <c r="L3684" s="129" t="s">
        <v>4894</v>
      </c>
      <c r="M3684" s="131">
        <v>45894</v>
      </c>
      <c r="N3684" s="131"/>
      <c r="O3684" s="131"/>
      <c r="P3684" s="130" t="str">
        <f ca="1">IF(Proc[[#This Row],[DaysAgeing]]&gt;5,"yep","on track")</f>
        <v>yep</v>
      </c>
      <c r="Q3684" s="3">
        <f ca="1">IF(Proc[[#This Row],[DateClosed]]="",ABS(NETWORKDAYS(Proc[[#This Row],[DateOpened]],TODAY()))-1,ABS(NETWORKDAYS(Proc[[#This Row],[DateOpened]],Proc[[#This Row],[DateClosed]]))-1)</f>
        <v>84</v>
      </c>
      <c r="R3684" s="131" t="s">
        <v>489</v>
      </c>
      <c r="S3684" s="129"/>
    </row>
    <row r="3685" spans="1:19" hidden="1">
      <c r="A3685" s="135" t="s">
        <v>5774</v>
      </c>
      <c r="B3685" s="149" t="str">
        <f>IFERROR(VLOOKUP(Proc[[#This Row],[App]],Table2[],3,0),"open")</f>
        <v>ok</v>
      </c>
      <c r="C3685" s="138" t="s">
        <v>369</v>
      </c>
      <c r="D3685" t="s">
        <v>5796</v>
      </c>
      <c r="E3685" t="s">
        <v>5811</v>
      </c>
      <c r="F3685" s="129" t="s">
        <v>5811</v>
      </c>
      <c r="G3685" s="135" t="s">
        <v>400</v>
      </c>
      <c r="H3685" s="129" t="str">
        <f>IF(Proc[[#This Row],[type]]="LFF (MDG-F)",MID(Proc[[#This Row],[Obj]],13,10),"")</f>
        <v/>
      </c>
      <c r="J3685" s="129" t="b">
        <f>Proc[[#This Row],[Requested]]=Proc[[#This Row],[CurrentParent]]</f>
        <v>1</v>
      </c>
      <c r="K3685" s="144" t="str">
        <f>IF(Proc[[#This Row],[Author]]="Marcela Urrego",VLOOKUP(LEFT(Proc[[#This Row],[Requested]],1),Table3[#All],2,0),VLOOKUP(Proc[[#This Row],[Author]],Table4[],2,0))</f>
        <v>LS</v>
      </c>
      <c r="L3685" s="129" t="s">
        <v>4894</v>
      </c>
      <c r="M3685" s="131">
        <v>45894</v>
      </c>
      <c r="N3685" s="131"/>
      <c r="O3685" s="131"/>
      <c r="P3685" s="130" t="str">
        <f ca="1">IF(Proc[[#This Row],[DaysAgeing]]&gt;5,"yep","on track")</f>
        <v>yep</v>
      </c>
      <c r="Q3685" s="3">
        <f ca="1">IF(Proc[[#This Row],[DateClosed]]="",ABS(NETWORKDAYS(Proc[[#This Row],[DateOpened]],TODAY()))-1,ABS(NETWORKDAYS(Proc[[#This Row],[DateOpened]],Proc[[#This Row],[DateClosed]]))-1)</f>
        <v>84</v>
      </c>
      <c r="R3685" s="131" t="s">
        <v>489</v>
      </c>
      <c r="S3685" s="129"/>
    </row>
    <row r="3686" spans="1:19" hidden="1">
      <c r="A3686" s="135" t="s">
        <v>5774</v>
      </c>
      <c r="B3686" s="149" t="str">
        <f>IFERROR(VLOOKUP(Proc[[#This Row],[App]],Table2[],3,0),"open")</f>
        <v>ok</v>
      </c>
      <c r="C3686" s="138" t="s">
        <v>369</v>
      </c>
      <c r="D3686" t="s">
        <v>5797</v>
      </c>
      <c r="E3686" t="s">
        <v>5812</v>
      </c>
      <c r="F3686" s="129" t="s">
        <v>5812</v>
      </c>
      <c r="G3686" s="135" t="s">
        <v>400</v>
      </c>
      <c r="H3686" s="129" t="str">
        <f>IF(Proc[[#This Row],[type]]="LFF (MDG-F)",MID(Proc[[#This Row],[Obj]],13,10),"")</f>
        <v/>
      </c>
      <c r="J3686" s="129" t="b">
        <f>Proc[[#This Row],[Requested]]=Proc[[#This Row],[CurrentParent]]</f>
        <v>1</v>
      </c>
      <c r="K3686" s="144" t="str">
        <f>IF(Proc[[#This Row],[Author]]="Marcela Urrego",VLOOKUP(LEFT(Proc[[#This Row],[Requested]],1),Table3[#All],2,0),VLOOKUP(Proc[[#This Row],[Author]],Table4[],2,0))</f>
        <v>LS</v>
      </c>
      <c r="L3686" s="129" t="s">
        <v>4894</v>
      </c>
      <c r="M3686" s="131">
        <v>45894</v>
      </c>
      <c r="N3686" s="131"/>
      <c r="O3686" s="131"/>
      <c r="P3686" s="130" t="str">
        <f ca="1">IF(Proc[[#This Row],[DaysAgeing]]&gt;5,"yep","on track")</f>
        <v>yep</v>
      </c>
      <c r="Q3686" s="3">
        <f ca="1">IF(Proc[[#This Row],[DateClosed]]="",ABS(NETWORKDAYS(Proc[[#This Row],[DateOpened]],TODAY()))-1,ABS(NETWORKDAYS(Proc[[#This Row],[DateOpened]],Proc[[#This Row],[DateClosed]]))-1)</f>
        <v>84</v>
      </c>
      <c r="R3686" s="131" t="s">
        <v>489</v>
      </c>
      <c r="S3686" s="129"/>
    </row>
    <row r="3687" spans="1:19" hidden="1">
      <c r="A3687" s="135" t="s">
        <v>5774</v>
      </c>
      <c r="B3687" s="149" t="str">
        <f>IFERROR(VLOOKUP(Proc[[#This Row],[App]],Table2[],3,0),"open")</f>
        <v>ok</v>
      </c>
      <c r="C3687" s="138" t="s">
        <v>369</v>
      </c>
      <c r="D3687" t="s">
        <v>5798</v>
      </c>
      <c r="E3687" t="s">
        <v>5812</v>
      </c>
      <c r="F3687" s="129" t="s">
        <v>5812</v>
      </c>
      <c r="G3687" s="135" t="s">
        <v>400</v>
      </c>
      <c r="H3687" s="129" t="str">
        <f>IF(Proc[[#This Row],[type]]="LFF (MDG-F)",MID(Proc[[#This Row],[Obj]],13,10),"")</f>
        <v/>
      </c>
      <c r="J3687" s="129" t="b">
        <f>Proc[[#This Row],[Requested]]=Proc[[#This Row],[CurrentParent]]</f>
        <v>1</v>
      </c>
      <c r="K3687" s="144" t="str">
        <f>IF(Proc[[#This Row],[Author]]="Marcela Urrego",VLOOKUP(LEFT(Proc[[#This Row],[Requested]],1),Table3[#All],2,0),VLOOKUP(Proc[[#This Row],[Author]],Table4[],2,0))</f>
        <v>LS</v>
      </c>
      <c r="L3687" s="129" t="s">
        <v>4894</v>
      </c>
      <c r="M3687" s="131">
        <v>45894</v>
      </c>
      <c r="N3687" s="131"/>
      <c r="O3687" s="131"/>
      <c r="P3687" s="130" t="str">
        <f ca="1">IF(Proc[[#This Row],[DaysAgeing]]&gt;5,"yep","on track")</f>
        <v>yep</v>
      </c>
      <c r="Q3687" s="3">
        <f ca="1">IF(Proc[[#This Row],[DateClosed]]="",ABS(NETWORKDAYS(Proc[[#This Row],[DateOpened]],TODAY()))-1,ABS(NETWORKDAYS(Proc[[#This Row],[DateOpened]],Proc[[#This Row],[DateClosed]]))-1)</f>
        <v>84</v>
      </c>
      <c r="R3687" s="131" t="s">
        <v>489</v>
      </c>
      <c r="S3687" s="129"/>
    </row>
    <row r="3688" spans="1:19" hidden="1">
      <c r="A3688" s="135" t="s">
        <v>5774</v>
      </c>
      <c r="B3688" s="149" t="str">
        <f>IFERROR(VLOOKUP(Proc[[#This Row],[App]],Table2[],3,0),"open")</f>
        <v>ok</v>
      </c>
      <c r="C3688" s="138" t="s">
        <v>369</v>
      </c>
      <c r="D3688" t="s">
        <v>5799</v>
      </c>
      <c r="E3688" t="s">
        <v>5813</v>
      </c>
      <c r="F3688" s="129" t="s">
        <v>5813</v>
      </c>
      <c r="G3688" s="135" t="s">
        <v>400</v>
      </c>
      <c r="H3688" s="129" t="str">
        <f>IF(Proc[[#This Row],[type]]="LFF (MDG-F)",MID(Proc[[#This Row],[Obj]],13,10),"")</f>
        <v/>
      </c>
      <c r="J3688" s="129" t="b">
        <f>Proc[[#This Row],[Requested]]=Proc[[#This Row],[CurrentParent]]</f>
        <v>1</v>
      </c>
      <c r="K3688" s="144" t="str">
        <f>IF(Proc[[#This Row],[Author]]="Marcela Urrego",VLOOKUP(LEFT(Proc[[#This Row],[Requested]],1),Table3[#All],2,0),VLOOKUP(Proc[[#This Row],[Author]],Table4[],2,0))</f>
        <v>LS</v>
      </c>
      <c r="L3688" s="129" t="s">
        <v>4894</v>
      </c>
      <c r="M3688" s="131">
        <v>45894</v>
      </c>
      <c r="N3688" s="131"/>
      <c r="O3688" s="131"/>
      <c r="P3688" s="130" t="str">
        <f ca="1">IF(Proc[[#This Row],[DaysAgeing]]&gt;5,"yep","on track")</f>
        <v>yep</v>
      </c>
      <c r="Q3688" s="3">
        <f ca="1">IF(Proc[[#This Row],[DateClosed]]="",ABS(NETWORKDAYS(Proc[[#This Row],[DateOpened]],TODAY()))-1,ABS(NETWORKDAYS(Proc[[#This Row],[DateOpened]],Proc[[#This Row],[DateClosed]]))-1)</f>
        <v>84</v>
      </c>
      <c r="R3688" s="131" t="s">
        <v>489</v>
      </c>
      <c r="S3688" s="129"/>
    </row>
    <row r="3689" spans="1:19" hidden="1">
      <c r="A3689" s="135" t="s">
        <v>5774</v>
      </c>
      <c r="B3689" s="149" t="str">
        <f>IFERROR(VLOOKUP(Proc[[#This Row],[App]],Table2[],3,0),"open")</f>
        <v>ok</v>
      </c>
      <c r="C3689" s="138" t="s">
        <v>369</v>
      </c>
      <c r="D3689" t="s">
        <v>5800</v>
      </c>
      <c r="E3689" t="s">
        <v>1236</v>
      </c>
      <c r="F3689" s="129" t="s">
        <v>1236</v>
      </c>
      <c r="G3689" s="135" t="s">
        <v>400</v>
      </c>
      <c r="H3689" s="129" t="str">
        <f>IF(Proc[[#This Row],[type]]="LFF (MDG-F)",MID(Proc[[#This Row],[Obj]],13,10),"")</f>
        <v/>
      </c>
      <c r="J3689" s="129" t="b">
        <f>Proc[[#This Row],[Requested]]=Proc[[#This Row],[CurrentParent]]</f>
        <v>1</v>
      </c>
      <c r="K3689" s="144" t="str">
        <f>IF(Proc[[#This Row],[Author]]="Marcela Urrego",VLOOKUP(LEFT(Proc[[#This Row],[Requested]],1),Table3[#All],2,0),VLOOKUP(Proc[[#This Row],[Author]],Table4[],2,0))</f>
        <v>LS</v>
      </c>
      <c r="L3689" s="129" t="s">
        <v>4894</v>
      </c>
      <c r="M3689" s="131">
        <v>45894</v>
      </c>
      <c r="N3689" s="131"/>
      <c r="O3689" s="131"/>
      <c r="P3689" s="130" t="str">
        <f ca="1">IF(Proc[[#This Row],[DaysAgeing]]&gt;5,"yep","on track")</f>
        <v>yep</v>
      </c>
      <c r="Q3689" s="3">
        <f ca="1">IF(Proc[[#This Row],[DateClosed]]="",ABS(NETWORKDAYS(Proc[[#This Row],[DateOpened]],TODAY()))-1,ABS(NETWORKDAYS(Proc[[#This Row],[DateOpened]],Proc[[#This Row],[DateClosed]]))-1)</f>
        <v>84</v>
      </c>
      <c r="R3689" s="131" t="s">
        <v>489</v>
      </c>
      <c r="S3689" s="129"/>
    </row>
    <row r="3690" spans="1:19" hidden="1">
      <c r="A3690" s="135" t="s">
        <v>5774</v>
      </c>
      <c r="B3690" s="149" t="str">
        <f>IFERROR(VLOOKUP(Proc[[#This Row],[App]],Table2[],3,0),"open")</f>
        <v>ok</v>
      </c>
      <c r="C3690" s="138" t="s">
        <v>369</v>
      </c>
      <c r="D3690" t="s">
        <v>2061</v>
      </c>
      <c r="E3690" t="s">
        <v>5814</v>
      </c>
      <c r="F3690" s="129" t="s">
        <v>5814</v>
      </c>
      <c r="G3690" s="135" t="s">
        <v>400</v>
      </c>
      <c r="H3690" s="129" t="str">
        <f>IF(Proc[[#This Row],[type]]="LFF (MDG-F)",MID(Proc[[#This Row],[Obj]],13,10),"")</f>
        <v/>
      </c>
      <c r="J3690" s="129" t="b">
        <f>Proc[[#This Row],[Requested]]=Proc[[#This Row],[CurrentParent]]</f>
        <v>1</v>
      </c>
      <c r="K3690" s="144" t="str">
        <f>IF(Proc[[#This Row],[Author]]="Marcela Urrego",VLOOKUP(LEFT(Proc[[#This Row],[Requested]],1),Table3[#All],2,0),VLOOKUP(Proc[[#This Row],[Author]],Table4[],2,0))</f>
        <v>LS</v>
      </c>
      <c r="L3690" s="129" t="s">
        <v>4894</v>
      </c>
      <c r="M3690" s="131">
        <v>45894</v>
      </c>
      <c r="N3690" s="131"/>
      <c r="O3690" s="131"/>
      <c r="P3690" s="130" t="str">
        <f ca="1">IF(Proc[[#This Row],[DaysAgeing]]&gt;5,"yep","on track")</f>
        <v>yep</v>
      </c>
      <c r="Q3690" s="3">
        <f ca="1">IF(Proc[[#This Row],[DateClosed]]="",ABS(NETWORKDAYS(Proc[[#This Row],[DateOpened]],TODAY()))-1,ABS(NETWORKDAYS(Proc[[#This Row],[DateOpened]],Proc[[#This Row],[DateClosed]]))-1)</f>
        <v>84</v>
      </c>
      <c r="R3690" s="131" t="s">
        <v>489</v>
      </c>
      <c r="S3690" s="129"/>
    </row>
    <row r="3691" spans="1:19" hidden="1">
      <c r="A3691" s="135" t="s">
        <v>5774</v>
      </c>
      <c r="B3691" s="149" t="str">
        <f>IFERROR(VLOOKUP(Proc[[#This Row],[App]],Table2[],3,0),"open")</f>
        <v>ok</v>
      </c>
      <c r="C3691" s="135" t="s">
        <v>369</v>
      </c>
      <c r="D3691" t="s">
        <v>3550</v>
      </c>
      <c r="E3691" t="s">
        <v>3556</v>
      </c>
      <c r="F3691" s="129" t="s">
        <v>3556</v>
      </c>
      <c r="G3691" s="135" t="s">
        <v>406</v>
      </c>
      <c r="H3691" s="129" t="str">
        <f>IF(Proc[[#This Row],[type]]="LFF (MDG-F)",MID(Proc[[#This Row],[Obj]],13,10),"")</f>
        <v>DE10OF0005</v>
      </c>
      <c r="J3691" s="129" t="b">
        <f>Proc[[#This Row],[Requested]]=Proc[[#This Row],[CurrentParent]]</f>
        <v>1</v>
      </c>
      <c r="K3691" s="144" t="str">
        <f>IF(Proc[[#This Row],[Author]]="Marcela Urrego",VLOOKUP(LEFT(Proc[[#This Row],[Requested]],1),Table3[#All],2,0),VLOOKUP(Proc[[#This Row],[Author]],Table4[],2,0))</f>
        <v>LS</v>
      </c>
      <c r="L3691" s="129" t="s">
        <v>4894</v>
      </c>
      <c r="M3691" s="131">
        <v>45894</v>
      </c>
      <c r="N3691" s="131"/>
      <c r="O3691" s="131"/>
      <c r="P3691" s="130" t="str">
        <f ca="1">IF(Proc[[#This Row],[DaysAgeing]]&gt;5,"yep","on track")</f>
        <v>yep</v>
      </c>
      <c r="Q3691" s="3">
        <f ca="1">IF(Proc[[#This Row],[DateClosed]]="",ABS(NETWORKDAYS(Proc[[#This Row],[DateOpened]],TODAY()))-1,ABS(NETWORKDAYS(Proc[[#This Row],[DateOpened]],Proc[[#This Row],[DateClosed]]))-1)</f>
        <v>84</v>
      </c>
      <c r="R3691" s="131" t="s">
        <v>489</v>
      </c>
      <c r="S3691" s="129"/>
    </row>
    <row r="3692" spans="1:19" hidden="1">
      <c r="A3692" s="135" t="s">
        <v>5774</v>
      </c>
      <c r="B3692" s="149" t="str">
        <f>IFERROR(VLOOKUP(Proc[[#This Row],[App]],Table2[],3,0),"open")</f>
        <v>ok</v>
      </c>
      <c r="C3692" s="138" t="s">
        <v>369</v>
      </c>
      <c r="D3692" t="s">
        <v>5801</v>
      </c>
      <c r="E3692" t="s">
        <v>3556</v>
      </c>
      <c r="F3692" s="129" t="s">
        <v>3556</v>
      </c>
      <c r="G3692" s="135" t="s">
        <v>406</v>
      </c>
      <c r="H3692" s="129" t="str">
        <f>IF(Proc[[#This Row],[type]]="LFF (MDG-F)",MID(Proc[[#This Row],[Obj]],13,10),"")</f>
        <v>DE10OF0007</v>
      </c>
      <c r="J3692" s="129" t="b">
        <f>Proc[[#This Row],[Requested]]=Proc[[#This Row],[CurrentParent]]</f>
        <v>1</v>
      </c>
      <c r="K3692" s="144" t="str">
        <f>IF(Proc[[#This Row],[Author]]="Marcela Urrego",VLOOKUP(LEFT(Proc[[#This Row],[Requested]],1),Table3[#All],2,0),VLOOKUP(Proc[[#This Row],[Author]],Table4[],2,0))</f>
        <v>LS</v>
      </c>
      <c r="L3692" s="129" t="s">
        <v>4894</v>
      </c>
      <c r="M3692" s="131">
        <v>45894</v>
      </c>
      <c r="N3692" s="131"/>
      <c r="O3692" s="131"/>
      <c r="P3692" s="130" t="str">
        <f ca="1">IF(Proc[[#This Row],[DaysAgeing]]&gt;5,"yep","on track")</f>
        <v>yep</v>
      </c>
      <c r="Q3692" s="3">
        <f ca="1">IF(Proc[[#This Row],[DateClosed]]="",ABS(NETWORKDAYS(Proc[[#This Row],[DateOpened]],TODAY()))-1,ABS(NETWORKDAYS(Proc[[#This Row],[DateOpened]],Proc[[#This Row],[DateClosed]]))-1)</f>
        <v>84</v>
      </c>
      <c r="R3692" s="131" t="s">
        <v>489</v>
      </c>
      <c r="S3692" s="129"/>
    </row>
    <row r="3693" spans="1:19" hidden="1">
      <c r="A3693" s="135" t="s">
        <v>5774</v>
      </c>
      <c r="B3693" s="149" t="str">
        <f>IFERROR(VLOOKUP(Proc[[#This Row],[App]],Table2[],3,0),"open")</f>
        <v>ok</v>
      </c>
      <c r="C3693" s="138" t="s">
        <v>369</v>
      </c>
      <c r="D3693" t="s">
        <v>2057</v>
      </c>
      <c r="E3693" t="s">
        <v>3556</v>
      </c>
      <c r="F3693" s="129" t="s">
        <v>3556</v>
      </c>
      <c r="G3693" s="135" t="s">
        <v>406</v>
      </c>
      <c r="H3693" s="129" t="str">
        <f>IF(Proc[[#This Row],[type]]="LFF (MDG-F)",MID(Proc[[#This Row],[Obj]],13,10),"")</f>
        <v>2123OF0029</v>
      </c>
      <c r="J3693" s="129" t="b">
        <f>Proc[[#This Row],[Requested]]=Proc[[#This Row],[CurrentParent]]</f>
        <v>1</v>
      </c>
      <c r="K3693" s="144" t="str">
        <f>IF(Proc[[#This Row],[Author]]="Marcela Urrego",VLOOKUP(LEFT(Proc[[#This Row],[Requested]],1),Table3[#All],2,0),VLOOKUP(Proc[[#This Row],[Author]],Table4[],2,0))</f>
        <v>LS</v>
      </c>
      <c r="L3693" s="129" t="s">
        <v>4894</v>
      </c>
      <c r="M3693" s="131">
        <v>45894</v>
      </c>
      <c r="N3693" s="131"/>
      <c r="O3693" s="131"/>
      <c r="P3693" s="131" t="str">
        <f ca="1">IF(Proc[[#This Row],[DaysAgeing]]&gt;5,"yep","on track")</f>
        <v>yep</v>
      </c>
      <c r="Q3693" s="3">
        <f ca="1">IF(Proc[[#This Row],[DateClosed]]="",ABS(NETWORKDAYS(Proc[[#This Row],[DateOpened]],TODAY()))-1,ABS(NETWORKDAYS(Proc[[#This Row],[DateOpened]],Proc[[#This Row],[DateClosed]]))-1)</f>
        <v>84</v>
      </c>
      <c r="R3693" s="131" t="s">
        <v>489</v>
      </c>
      <c r="S3693" s="129"/>
    </row>
    <row r="3694" spans="1:19" hidden="1">
      <c r="A3694" s="135" t="s">
        <v>5774</v>
      </c>
      <c r="B3694" s="149" t="str">
        <f>IFERROR(VLOOKUP(Proc[[#This Row],[App]],Table2[],3,0),"open")</f>
        <v>ok</v>
      </c>
      <c r="C3694" s="138" t="s">
        <v>369</v>
      </c>
      <c r="D3694" t="s">
        <v>2060</v>
      </c>
      <c r="E3694" t="s">
        <v>3556</v>
      </c>
      <c r="F3694" s="129" t="s">
        <v>3556</v>
      </c>
      <c r="G3694" s="135" t="s">
        <v>400</v>
      </c>
      <c r="H3694" s="129" t="str">
        <f>IF(Proc[[#This Row],[type]]="LFF (MDG-F)",MID(Proc[[#This Row],[Obj]],13,10),"")</f>
        <v/>
      </c>
      <c r="J3694" s="129" t="b">
        <f>Proc[[#This Row],[Requested]]=Proc[[#This Row],[CurrentParent]]</f>
        <v>1</v>
      </c>
      <c r="K3694" s="144" t="str">
        <f>IF(Proc[[#This Row],[Author]]="Marcela Urrego",VLOOKUP(LEFT(Proc[[#This Row],[Requested]],1),Table3[#All],2,0),VLOOKUP(Proc[[#This Row],[Author]],Table4[],2,0))</f>
        <v>LS</v>
      </c>
      <c r="L3694" s="129" t="s">
        <v>4894</v>
      </c>
      <c r="M3694" s="131">
        <v>45894</v>
      </c>
      <c r="N3694" s="131"/>
      <c r="O3694" s="131"/>
      <c r="P3694" s="130" t="str">
        <f ca="1">IF(Proc[[#This Row],[DaysAgeing]]&gt;5,"yep","on track")</f>
        <v>yep</v>
      </c>
      <c r="Q3694" s="3">
        <f ca="1">IF(Proc[[#This Row],[DateClosed]]="",ABS(NETWORKDAYS(Proc[[#This Row],[DateOpened]],TODAY()))-1,ABS(NETWORKDAYS(Proc[[#This Row],[DateOpened]],Proc[[#This Row],[DateClosed]]))-1)</f>
        <v>84</v>
      </c>
      <c r="R3694" s="131" t="s">
        <v>489</v>
      </c>
      <c r="S3694" s="129"/>
    </row>
    <row r="3695" spans="1:19" hidden="1">
      <c r="A3695" s="135" t="s">
        <v>5774</v>
      </c>
      <c r="B3695" s="149" t="str">
        <f>IFERROR(VLOOKUP(Proc[[#This Row],[App]],Table2[],3,0),"open")</f>
        <v>ok</v>
      </c>
      <c r="C3695" s="138" t="s">
        <v>369</v>
      </c>
      <c r="D3695" t="s">
        <v>2058</v>
      </c>
      <c r="E3695" t="s">
        <v>3556</v>
      </c>
      <c r="F3695" s="129" t="s">
        <v>3556</v>
      </c>
      <c r="G3695" s="135" t="s">
        <v>400</v>
      </c>
      <c r="H3695" s="129" t="str">
        <f>IF(Proc[[#This Row],[type]]="LFF (MDG-F)",MID(Proc[[#This Row],[Obj]],13,10),"")</f>
        <v/>
      </c>
      <c r="J3695" s="129" t="b">
        <f>Proc[[#This Row],[Requested]]=Proc[[#This Row],[CurrentParent]]</f>
        <v>1</v>
      </c>
      <c r="K3695" s="144" t="str">
        <f>IF(Proc[[#This Row],[Author]]="Marcela Urrego",VLOOKUP(LEFT(Proc[[#This Row],[Requested]],1),Table3[#All],2,0),VLOOKUP(Proc[[#This Row],[Author]],Table4[],2,0))</f>
        <v>LS</v>
      </c>
      <c r="L3695" s="129" t="s">
        <v>4894</v>
      </c>
      <c r="M3695" s="131">
        <v>45894</v>
      </c>
      <c r="N3695" s="131"/>
      <c r="O3695" s="131"/>
      <c r="P3695" s="131" t="str">
        <f ca="1">IF(Proc[[#This Row],[DaysAgeing]]&gt;5,"yep","on track")</f>
        <v>yep</v>
      </c>
      <c r="Q3695" s="3">
        <f ca="1">IF(Proc[[#This Row],[DateClosed]]="",ABS(NETWORKDAYS(Proc[[#This Row],[DateOpened]],TODAY()))-1,ABS(NETWORKDAYS(Proc[[#This Row],[DateOpened]],Proc[[#This Row],[DateClosed]]))-1)</f>
        <v>84</v>
      </c>
      <c r="R3695" s="131" t="s">
        <v>489</v>
      </c>
      <c r="S3695" s="129"/>
    </row>
    <row r="3696" spans="1:19" hidden="1">
      <c r="A3696" t="s">
        <v>5815</v>
      </c>
      <c r="B3696" s="149" t="str">
        <f>IFERROR(VLOOKUP(Proc[[#This Row],[App]],Table2[],3,0),"open")</f>
        <v>ok</v>
      </c>
      <c r="C3696" s="138" t="s">
        <v>369</v>
      </c>
      <c r="D3696" t="s">
        <v>5816</v>
      </c>
      <c r="E3696" t="s">
        <v>5848</v>
      </c>
      <c r="F3696" s="129" t="s">
        <v>5848</v>
      </c>
      <c r="G3696" s="135" t="s">
        <v>406</v>
      </c>
      <c r="H3696" s="129" t="str">
        <f>IF(Proc[[#This Row],[type]]="LFF (MDG-F)",MID(Proc[[#This Row],[Obj]],13,10),"")</f>
        <v>2123C00057</v>
      </c>
      <c r="J3696" s="129" t="b">
        <f>Proc[[#This Row],[Requested]]=Proc[[#This Row],[CurrentParent]]</f>
        <v>1</v>
      </c>
      <c r="K3696" s="144" t="str">
        <f>IF(Proc[[#This Row],[Author]]="Marcela Urrego",VLOOKUP(LEFT(Proc[[#This Row],[Requested]],1),Table3[#All],2,0),VLOOKUP(Proc[[#This Row],[Author]],Table4[],2,0))</f>
        <v>LS</v>
      </c>
      <c r="L3696" s="129" t="s">
        <v>4894</v>
      </c>
      <c r="M3696" s="131">
        <v>45895</v>
      </c>
      <c r="N3696" s="131"/>
      <c r="O3696" s="131"/>
      <c r="P3696" s="131" t="str">
        <f ca="1">IF(Proc[[#This Row],[DaysAgeing]]&gt;5,"yep","on track")</f>
        <v>yep</v>
      </c>
      <c r="Q3696" s="3">
        <f ca="1">IF(Proc[[#This Row],[DateClosed]]="",ABS(NETWORKDAYS(Proc[[#This Row],[DateOpened]],TODAY()))-1,ABS(NETWORKDAYS(Proc[[#This Row],[DateOpened]],Proc[[#This Row],[DateClosed]]))-1)</f>
        <v>83</v>
      </c>
      <c r="R3696" s="131" t="s">
        <v>489</v>
      </c>
      <c r="S3696" s="129"/>
    </row>
    <row r="3697" spans="1:19" hidden="1">
      <c r="A3697" s="135" t="s">
        <v>5815</v>
      </c>
      <c r="B3697" s="149" t="str">
        <f>IFERROR(VLOOKUP(Proc[[#This Row],[App]],Table2[],3,0),"open")</f>
        <v>ok</v>
      </c>
      <c r="C3697" s="138" t="s">
        <v>369</v>
      </c>
      <c r="D3697" t="s">
        <v>5817</v>
      </c>
      <c r="E3697" t="s">
        <v>5848</v>
      </c>
      <c r="F3697" s="129" t="s">
        <v>5848</v>
      </c>
      <c r="G3697" s="135" t="s">
        <v>400</v>
      </c>
      <c r="H3697" s="129"/>
      <c r="J3697" s="129" t="b">
        <f>Proc[[#This Row],[Requested]]=Proc[[#This Row],[CurrentParent]]</f>
        <v>1</v>
      </c>
      <c r="K3697" s="144" t="str">
        <f>IF(Proc[[#This Row],[Author]]="Marcela Urrego",VLOOKUP(LEFT(Proc[[#This Row],[Requested]],1),Table3[#All],2,0),VLOOKUP(Proc[[#This Row],[Author]],Table4[],2,0))</f>
        <v>LS</v>
      </c>
      <c r="L3697" s="129" t="s">
        <v>4894</v>
      </c>
      <c r="M3697" s="131">
        <v>45895</v>
      </c>
      <c r="N3697" s="131"/>
      <c r="O3697" s="131"/>
      <c r="P3697" s="131" t="str">
        <f ca="1">IF(Proc[[#This Row],[DaysAgeing]]&gt;5,"yep","on track")</f>
        <v>yep</v>
      </c>
      <c r="Q3697" s="3">
        <f ca="1">IF(Proc[[#This Row],[DateClosed]]="",ABS(NETWORKDAYS(Proc[[#This Row],[DateOpened]],TODAY()))-1,ABS(NETWORKDAYS(Proc[[#This Row],[DateOpened]],Proc[[#This Row],[DateClosed]]))-1)</f>
        <v>83</v>
      </c>
      <c r="R3697" s="131" t="s">
        <v>489</v>
      </c>
      <c r="S3697" s="129"/>
    </row>
    <row r="3698" spans="1:19" hidden="1">
      <c r="A3698" s="135" t="s">
        <v>5815</v>
      </c>
      <c r="B3698" s="149" t="str">
        <f>IFERROR(VLOOKUP(Proc[[#This Row],[App]],Table2[],3,0),"open")</f>
        <v>ok</v>
      </c>
      <c r="C3698" s="138" t="s">
        <v>369</v>
      </c>
      <c r="D3698" t="s">
        <v>5818</v>
      </c>
      <c r="E3698" t="s">
        <v>5849</v>
      </c>
      <c r="F3698" s="129" t="s">
        <v>5849</v>
      </c>
      <c r="G3698" s="135" t="s">
        <v>400</v>
      </c>
      <c r="H3698" s="129"/>
      <c r="J3698" s="129" t="b">
        <f>Proc[[#This Row],[Requested]]=Proc[[#This Row],[CurrentParent]]</f>
        <v>1</v>
      </c>
      <c r="K3698" s="144" t="str">
        <f>IF(Proc[[#This Row],[Author]]="Marcela Urrego",VLOOKUP(LEFT(Proc[[#This Row],[Requested]],1),Table3[#All],2,0),VLOOKUP(Proc[[#This Row],[Author]],Table4[],2,0))</f>
        <v>LS</v>
      </c>
      <c r="L3698" s="129" t="s">
        <v>4894</v>
      </c>
      <c r="M3698" s="131">
        <v>45895</v>
      </c>
      <c r="N3698" s="131"/>
      <c r="O3698" s="131"/>
      <c r="P3698" s="131" t="str">
        <f ca="1">IF(Proc[[#This Row],[DaysAgeing]]&gt;5,"yep","on track")</f>
        <v>yep</v>
      </c>
      <c r="Q3698" s="3">
        <f ca="1">IF(Proc[[#This Row],[DateClosed]]="",ABS(NETWORKDAYS(Proc[[#This Row],[DateOpened]],TODAY()))-1,ABS(NETWORKDAYS(Proc[[#This Row],[DateOpened]],Proc[[#This Row],[DateClosed]]))-1)</f>
        <v>83</v>
      </c>
      <c r="R3698" s="131" t="s">
        <v>489</v>
      </c>
      <c r="S3698" s="129"/>
    </row>
    <row r="3699" spans="1:19" hidden="1">
      <c r="A3699" s="135" t="s">
        <v>5815</v>
      </c>
      <c r="B3699" s="149" t="str">
        <f>IFERROR(VLOOKUP(Proc[[#This Row],[App]],Table2[],3,0),"open")</f>
        <v>ok</v>
      </c>
      <c r="C3699" s="138" t="s">
        <v>369</v>
      </c>
      <c r="D3699" t="s">
        <v>5819</v>
      </c>
      <c r="E3699" t="s">
        <v>5850</v>
      </c>
      <c r="F3699" s="129" t="s">
        <v>5850</v>
      </c>
      <c r="G3699" s="135" t="s">
        <v>400</v>
      </c>
      <c r="H3699" s="129"/>
      <c r="J3699" s="129" t="b">
        <f>Proc[[#This Row],[Requested]]=Proc[[#This Row],[CurrentParent]]</f>
        <v>1</v>
      </c>
      <c r="K3699" s="144" t="str">
        <f>IF(Proc[[#This Row],[Author]]="Marcela Urrego",VLOOKUP(LEFT(Proc[[#This Row],[Requested]],1),Table3[#All],2,0),VLOOKUP(Proc[[#This Row],[Author]],Table4[],2,0))</f>
        <v>LS</v>
      </c>
      <c r="L3699" s="129" t="s">
        <v>4894</v>
      </c>
      <c r="M3699" s="131">
        <v>45895</v>
      </c>
      <c r="N3699" s="131"/>
      <c r="O3699" s="131"/>
      <c r="P3699" s="131" t="str">
        <f ca="1">IF(Proc[[#This Row],[DaysAgeing]]&gt;5,"yep","on track")</f>
        <v>yep</v>
      </c>
      <c r="Q3699" s="3">
        <f ca="1">IF(Proc[[#This Row],[DateClosed]]="",ABS(NETWORKDAYS(Proc[[#This Row],[DateOpened]],TODAY()))-1,ABS(NETWORKDAYS(Proc[[#This Row],[DateOpened]],Proc[[#This Row],[DateClosed]]))-1)</f>
        <v>83</v>
      </c>
      <c r="R3699" s="131" t="s">
        <v>489</v>
      </c>
      <c r="S3699" s="129"/>
    </row>
    <row r="3700" spans="1:19" hidden="1">
      <c r="A3700" s="135" t="s">
        <v>5815</v>
      </c>
      <c r="B3700" s="149" t="str">
        <f>IFERROR(VLOOKUP(Proc[[#This Row],[App]],Table2[],3,0),"open")</f>
        <v>ok</v>
      </c>
      <c r="C3700" s="138" t="s">
        <v>369</v>
      </c>
      <c r="D3700" t="s">
        <v>5820</v>
      </c>
      <c r="E3700" t="s">
        <v>5850</v>
      </c>
      <c r="F3700" s="129" t="s">
        <v>5850</v>
      </c>
      <c r="G3700" s="135" t="s">
        <v>400</v>
      </c>
      <c r="H3700" s="129"/>
      <c r="J3700" s="129" t="b">
        <f>Proc[[#This Row],[Requested]]=Proc[[#This Row],[CurrentParent]]</f>
        <v>1</v>
      </c>
      <c r="K3700" s="144" t="str">
        <f>IF(Proc[[#This Row],[Author]]="Marcela Urrego",VLOOKUP(LEFT(Proc[[#This Row],[Requested]],1),Table3[#All],2,0),VLOOKUP(Proc[[#This Row],[Author]],Table4[],2,0))</f>
        <v>LS</v>
      </c>
      <c r="L3700" s="129" t="s">
        <v>4894</v>
      </c>
      <c r="M3700" s="131">
        <v>45895</v>
      </c>
      <c r="N3700" s="131"/>
      <c r="O3700" s="131"/>
      <c r="P3700" s="131" t="str">
        <f ca="1">IF(Proc[[#This Row],[DaysAgeing]]&gt;5,"yep","on track")</f>
        <v>yep</v>
      </c>
      <c r="Q3700" s="3">
        <f ca="1">IF(Proc[[#This Row],[DateClosed]]="",ABS(NETWORKDAYS(Proc[[#This Row],[DateOpened]],TODAY()))-1,ABS(NETWORKDAYS(Proc[[#This Row],[DateOpened]],Proc[[#This Row],[DateClosed]]))-1)</f>
        <v>83</v>
      </c>
      <c r="R3700" s="131" t="s">
        <v>489</v>
      </c>
      <c r="S3700" s="129"/>
    </row>
    <row r="3701" spans="1:19" hidden="1">
      <c r="A3701" s="135" t="s">
        <v>5815</v>
      </c>
      <c r="B3701" s="149" t="str">
        <f>IFERROR(VLOOKUP(Proc[[#This Row],[App]],Table2[],3,0),"open")</f>
        <v>ok</v>
      </c>
      <c r="C3701" s="138" t="s">
        <v>369</v>
      </c>
      <c r="D3701" t="s">
        <v>5821</v>
      </c>
      <c r="E3701" t="s">
        <v>5850</v>
      </c>
      <c r="F3701" s="129" t="s">
        <v>5850</v>
      </c>
      <c r="G3701" s="135" t="s">
        <v>400</v>
      </c>
      <c r="H3701" s="129"/>
      <c r="J3701" s="129" t="b">
        <f>Proc[[#This Row],[Requested]]=Proc[[#This Row],[CurrentParent]]</f>
        <v>1</v>
      </c>
      <c r="K3701" s="144" t="str">
        <f>IF(Proc[[#This Row],[Author]]="Marcela Urrego",VLOOKUP(LEFT(Proc[[#This Row],[Requested]],1),Table3[#All],2,0),VLOOKUP(Proc[[#This Row],[Author]],Table4[],2,0))</f>
        <v>LS</v>
      </c>
      <c r="L3701" s="129" t="s">
        <v>4894</v>
      </c>
      <c r="M3701" s="131">
        <v>45895</v>
      </c>
      <c r="N3701" s="131"/>
      <c r="O3701" s="131"/>
      <c r="P3701" s="131" t="str">
        <f ca="1">IF(Proc[[#This Row],[DaysAgeing]]&gt;5,"yep","on track")</f>
        <v>yep</v>
      </c>
      <c r="Q3701" s="3">
        <f ca="1">IF(Proc[[#This Row],[DateClosed]]="",ABS(NETWORKDAYS(Proc[[#This Row],[DateOpened]],TODAY()))-1,ABS(NETWORKDAYS(Proc[[#This Row],[DateOpened]],Proc[[#This Row],[DateClosed]]))-1)</f>
        <v>83</v>
      </c>
      <c r="R3701" s="131" t="s">
        <v>489</v>
      </c>
      <c r="S3701" s="129"/>
    </row>
    <row r="3702" spans="1:19" hidden="1">
      <c r="A3702" s="135" t="s">
        <v>5815</v>
      </c>
      <c r="B3702" s="149" t="str">
        <f>IFERROR(VLOOKUP(Proc[[#This Row],[App]],Table2[],3,0),"open")</f>
        <v>ok</v>
      </c>
      <c r="C3702" s="138" t="s">
        <v>369</v>
      </c>
      <c r="D3702" t="s">
        <v>5822</v>
      </c>
      <c r="E3702" t="s">
        <v>5850</v>
      </c>
      <c r="F3702" s="129" t="s">
        <v>5850</v>
      </c>
      <c r="G3702" s="135" t="s">
        <v>400</v>
      </c>
      <c r="H3702" s="129"/>
      <c r="J3702" s="129" t="b">
        <f>Proc[[#This Row],[Requested]]=Proc[[#This Row],[CurrentParent]]</f>
        <v>1</v>
      </c>
      <c r="K3702" s="144" t="str">
        <f>IF(Proc[[#This Row],[Author]]="Marcela Urrego",VLOOKUP(LEFT(Proc[[#This Row],[Requested]],1),Table3[#All],2,0),VLOOKUP(Proc[[#This Row],[Author]],Table4[],2,0))</f>
        <v>LS</v>
      </c>
      <c r="L3702" s="129" t="s">
        <v>4894</v>
      </c>
      <c r="M3702" s="131">
        <v>45895</v>
      </c>
      <c r="N3702" s="131"/>
      <c r="O3702" s="131"/>
      <c r="P3702" s="131" t="str">
        <f ca="1">IF(Proc[[#This Row],[DaysAgeing]]&gt;5,"yep","on track")</f>
        <v>yep</v>
      </c>
      <c r="Q3702" s="3">
        <f ca="1">IF(Proc[[#This Row],[DateClosed]]="",ABS(NETWORKDAYS(Proc[[#This Row],[DateOpened]],TODAY()))-1,ABS(NETWORKDAYS(Proc[[#This Row],[DateOpened]],Proc[[#This Row],[DateClosed]]))-1)</f>
        <v>83</v>
      </c>
      <c r="R3702" s="131" t="s">
        <v>489</v>
      </c>
      <c r="S3702" s="129"/>
    </row>
    <row r="3703" spans="1:19" hidden="1">
      <c r="A3703" s="135" t="s">
        <v>5815</v>
      </c>
      <c r="B3703" s="149" t="str">
        <f>IFERROR(VLOOKUP(Proc[[#This Row],[App]],Table2[],3,0),"open")</f>
        <v>ok</v>
      </c>
      <c r="C3703" s="138" t="s">
        <v>369</v>
      </c>
      <c r="D3703" t="s">
        <v>5823</v>
      </c>
      <c r="E3703" t="s">
        <v>5850</v>
      </c>
      <c r="F3703" s="129" t="s">
        <v>5850</v>
      </c>
      <c r="G3703" s="135" t="s">
        <v>400</v>
      </c>
      <c r="H3703" s="129"/>
      <c r="J3703" s="129" t="b">
        <f>Proc[[#This Row],[Requested]]=Proc[[#This Row],[CurrentParent]]</f>
        <v>1</v>
      </c>
      <c r="K3703" s="144" t="str">
        <f>IF(Proc[[#This Row],[Author]]="Marcela Urrego",VLOOKUP(LEFT(Proc[[#This Row],[Requested]],1),Table3[#All],2,0),VLOOKUP(Proc[[#This Row],[Author]],Table4[],2,0))</f>
        <v>LS</v>
      </c>
      <c r="L3703" s="129" t="s">
        <v>4894</v>
      </c>
      <c r="M3703" s="131">
        <v>45895</v>
      </c>
      <c r="N3703" s="131"/>
      <c r="O3703" s="131"/>
      <c r="P3703" s="131" t="str">
        <f ca="1">IF(Proc[[#This Row],[DaysAgeing]]&gt;5,"yep","on track")</f>
        <v>yep</v>
      </c>
      <c r="Q3703" s="3">
        <f ca="1">IF(Proc[[#This Row],[DateClosed]]="",ABS(NETWORKDAYS(Proc[[#This Row],[DateOpened]],TODAY()))-1,ABS(NETWORKDAYS(Proc[[#This Row],[DateOpened]],Proc[[#This Row],[DateClosed]]))-1)</f>
        <v>83</v>
      </c>
      <c r="R3703" s="131" t="s">
        <v>489</v>
      </c>
      <c r="S3703" s="129"/>
    </row>
    <row r="3704" spans="1:19" hidden="1">
      <c r="A3704" s="135" t="s">
        <v>5815</v>
      </c>
      <c r="B3704" s="149" t="str">
        <f>IFERROR(VLOOKUP(Proc[[#This Row],[App]],Table2[],3,0),"open")</f>
        <v>ok</v>
      </c>
      <c r="C3704" s="138" t="s">
        <v>369</v>
      </c>
      <c r="D3704" t="s">
        <v>5824</v>
      </c>
      <c r="E3704" t="s">
        <v>5850</v>
      </c>
      <c r="F3704" s="129" t="s">
        <v>5850</v>
      </c>
      <c r="G3704" s="135" t="s">
        <v>400</v>
      </c>
      <c r="H3704" s="129"/>
      <c r="J3704" s="129" t="b">
        <f>Proc[[#This Row],[Requested]]=Proc[[#This Row],[CurrentParent]]</f>
        <v>1</v>
      </c>
      <c r="K3704" s="144" t="str">
        <f>IF(Proc[[#This Row],[Author]]="Marcela Urrego",VLOOKUP(LEFT(Proc[[#This Row],[Requested]],1),Table3[#All],2,0),VLOOKUP(Proc[[#This Row],[Author]],Table4[],2,0))</f>
        <v>LS</v>
      </c>
      <c r="L3704" s="129" t="s">
        <v>4894</v>
      </c>
      <c r="M3704" s="131">
        <v>45895</v>
      </c>
      <c r="N3704" s="131"/>
      <c r="O3704" s="131"/>
      <c r="P3704" s="131" t="str">
        <f ca="1">IF(Proc[[#This Row],[DaysAgeing]]&gt;5,"yep","on track")</f>
        <v>yep</v>
      </c>
      <c r="Q3704" s="3">
        <f ca="1">IF(Proc[[#This Row],[DateClosed]]="",ABS(NETWORKDAYS(Proc[[#This Row],[DateOpened]],TODAY()))-1,ABS(NETWORKDAYS(Proc[[#This Row],[DateOpened]],Proc[[#This Row],[DateClosed]]))-1)</f>
        <v>83</v>
      </c>
      <c r="R3704" s="131" t="s">
        <v>489</v>
      </c>
      <c r="S3704" s="129"/>
    </row>
    <row r="3705" spans="1:19" hidden="1">
      <c r="A3705" s="135" t="s">
        <v>5815</v>
      </c>
      <c r="B3705" s="149" t="str">
        <f>IFERROR(VLOOKUP(Proc[[#This Row],[App]],Table2[],3,0),"open")</f>
        <v>ok</v>
      </c>
      <c r="C3705" s="138" t="s">
        <v>369</v>
      </c>
      <c r="D3705" t="s">
        <v>5825</v>
      </c>
      <c r="E3705" t="s">
        <v>5850</v>
      </c>
      <c r="F3705" s="129" t="s">
        <v>5850</v>
      </c>
      <c r="G3705" s="135" t="s">
        <v>400</v>
      </c>
      <c r="H3705" s="129"/>
      <c r="J3705" s="129" t="b">
        <f>Proc[[#This Row],[Requested]]=Proc[[#This Row],[CurrentParent]]</f>
        <v>1</v>
      </c>
      <c r="K3705" s="144" t="str">
        <f>IF(Proc[[#This Row],[Author]]="Marcela Urrego",VLOOKUP(LEFT(Proc[[#This Row],[Requested]],1),Table3[#All],2,0),VLOOKUP(Proc[[#This Row],[Author]],Table4[],2,0))</f>
        <v>LS</v>
      </c>
      <c r="L3705" s="129" t="s">
        <v>4894</v>
      </c>
      <c r="M3705" s="131">
        <v>45895</v>
      </c>
      <c r="N3705" s="131"/>
      <c r="O3705" s="131"/>
      <c r="P3705" s="131" t="str">
        <f ca="1">IF(Proc[[#This Row],[DaysAgeing]]&gt;5,"yep","on track")</f>
        <v>yep</v>
      </c>
      <c r="Q3705" s="3">
        <f ca="1">IF(Proc[[#This Row],[DateClosed]]="",ABS(NETWORKDAYS(Proc[[#This Row],[DateOpened]],TODAY()))-1,ABS(NETWORKDAYS(Proc[[#This Row],[DateOpened]],Proc[[#This Row],[DateClosed]]))-1)</f>
        <v>83</v>
      </c>
      <c r="R3705" s="131" t="s">
        <v>489</v>
      </c>
      <c r="S3705" s="129"/>
    </row>
    <row r="3706" spans="1:19" hidden="1">
      <c r="A3706" s="135" t="s">
        <v>5815</v>
      </c>
      <c r="B3706" s="149" t="str">
        <f>IFERROR(VLOOKUP(Proc[[#This Row],[App]],Table2[],3,0),"open")</f>
        <v>ok</v>
      </c>
      <c r="C3706" s="138" t="s">
        <v>369</v>
      </c>
      <c r="D3706" t="s">
        <v>5826</v>
      </c>
      <c r="E3706" t="s">
        <v>5850</v>
      </c>
      <c r="F3706" s="129" t="s">
        <v>5850</v>
      </c>
      <c r="G3706" s="135" t="s">
        <v>400</v>
      </c>
      <c r="H3706" s="129"/>
      <c r="J3706" s="129" t="b">
        <f>Proc[[#This Row],[Requested]]=Proc[[#This Row],[CurrentParent]]</f>
        <v>1</v>
      </c>
      <c r="K3706" s="144" t="str">
        <f>IF(Proc[[#This Row],[Author]]="Marcela Urrego",VLOOKUP(LEFT(Proc[[#This Row],[Requested]],1),Table3[#All],2,0),VLOOKUP(Proc[[#This Row],[Author]],Table4[],2,0))</f>
        <v>LS</v>
      </c>
      <c r="L3706" s="129" t="s">
        <v>4894</v>
      </c>
      <c r="M3706" s="131">
        <v>45895</v>
      </c>
      <c r="N3706" s="131"/>
      <c r="O3706" s="131"/>
      <c r="P3706" s="131" t="str">
        <f ca="1">IF(Proc[[#This Row],[DaysAgeing]]&gt;5,"yep","on track")</f>
        <v>yep</v>
      </c>
      <c r="Q3706" s="3">
        <f ca="1">IF(Proc[[#This Row],[DateClosed]]="",ABS(NETWORKDAYS(Proc[[#This Row],[DateOpened]],TODAY()))-1,ABS(NETWORKDAYS(Proc[[#This Row],[DateOpened]],Proc[[#This Row],[DateClosed]]))-1)</f>
        <v>83</v>
      </c>
      <c r="R3706" s="131" t="s">
        <v>489</v>
      </c>
      <c r="S3706" s="129"/>
    </row>
    <row r="3707" spans="1:19" hidden="1">
      <c r="A3707" s="135" t="s">
        <v>5815</v>
      </c>
      <c r="B3707" s="149" t="str">
        <f>IFERROR(VLOOKUP(Proc[[#This Row],[App]],Table2[],3,0),"open")</f>
        <v>ok</v>
      </c>
      <c r="C3707" s="138" t="s">
        <v>369</v>
      </c>
      <c r="D3707" t="s">
        <v>5827</v>
      </c>
      <c r="E3707" t="s">
        <v>5850</v>
      </c>
      <c r="F3707" s="129" t="s">
        <v>5850</v>
      </c>
      <c r="G3707" s="135" t="s">
        <v>400</v>
      </c>
      <c r="H3707" s="129"/>
      <c r="J3707" s="129" t="b">
        <f>Proc[[#This Row],[Requested]]=Proc[[#This Row],[CurrentParent]]</f>
        <v>1</v>
      </c>
      <c r="K3707" s="144" t="str">
        <f>IF(Proc[[#This Row],[Author]]="Marcela Urrego",VLOOKUP(LEFT(Proc[[#This Row],[Requested]],1),Table3[#All],2,0),VLOOKUP(Proc[[#This Row],[Author]],Table4[],2,0))</f>
        <v>LS</v>
      </c>
      <c r="L3707" s="129" t="s">
        <v>4894</v>
      </c>
      <c r="M3707" s="131">
        <v>45895</v>
      </c>
      <c r="N3707" s="131"/>
      <c r="O3707" s="131"/>
      <c r="P3707" s="131" t="str">
        <f ca="1">IF(Proc[[#This Row],[DaysAgeing]]&gt;5,"yep","on track")</f>
        <v>yep</v>
      </c>
      <c r="Q3707" s="3">
        <f ca="1">IF(Proc[[#This Row],[DateClosed]]="",ABS(NETWORKDAYS(Proc[[#This Row],[DateOpened]],TODAY()))-1,ABS(NETWORKDAYS(Proc[[#This Row],[DateOpened]],Proc[[#This Row],[DateClosed]]))-1)</f>
        <v>83</v>
      </c>
      <c r="R3707" s="131" t="s">
        <v>489</v>
      </c>
      <c r="S3707" s="129"/>
    </row>
    <row r="3708" spans="1:19" hidden="1">
      <c r="A3708" s="135" t="s">
        <v>5815</v>
      </c>
      <c r="B3708" s="149" t="str">
        <f>IFERROR(VLOOKUP(Proc[[#This Row],[App]],Table2[],3,0),"open")</f>
        <v>ok</v>
      </c>
      <c r="C3708" s="138" t="s">
        <v>369</v>
      </c>
      <c r="D3708" t="s">
        <v>5828</v>
      </c>
      <c r="E3708" t="s">
        <v>5850</v>
      </c>
      <c r="F3708" s="129" t="s">
        <v>5850</v>
      </c>
      <c r="G3708" s="135" t="s">
        <v>400</v>
      </c>
      <c r="H3708" s="129"/>
      <c r="J3708" s="129" t="b">
        <f>Proc[[#This Row],[Requested]]=Proc[[#This Row],[CurrentParent]]</f>
        <v>1</v>
      </c>
      <c r="K3708" s="144" t="str">
        <f>IF(Proc[[#This Row],[Author]]="Marcela Urrego",VLOOKUP(LEFT(Proc[[#This Row],[Requested]],1),Table3[#All],2,0),VLOOKUP(Proc[[#This Row],[Author]],Table4[],2,0))</f>
        <v>LS</v>
      </c>
      <c r="L3708" s="129" t="s">
        <v>4894</v>
      </c>
      <c r="M3708" s="131">
        <v>45895</v>
      </c>
      <c r="N3708" s="131"/>
      <c r="O3708" s="131"/>
      <c r="P3708" s="131" t="str">
        <f ca="1">IF(Proc[[#This Row],[DaysAgeing]]&gt;5,"yep","on track")</f>
        <v>yep</v>
      </c>
      <c r="Q3708" s="3">
        <f ca="1">IF(Proc[[#This Row],[DateClosed]]="",ABS(NETWORKDAYS(Proc[[#This Row],[DateOpened]],TODAY()))-1,ABS(NETWORKDAYS(Proc[[#This Row],[DateOpened]],Proc[[#This Row],[DateClosed]]))-1)</f>
        <v>83</v>
      </c>
      <c r="R3708" s="131" t="s">
        <v>489</v>
      </c>
      <c r="S3708" s="129"/>
    </row>
    <row r="3709" spans="1:19" hidden="1">
      <c r="A3709" s="135" t="s">
        <v>5815</v>
      </c>
      <c r="B3709" s="149" t="str">
        <f>IFERROR(VLOOKUP(Proc[[#This Row],[App]],Table2[],3,0),"open")</f>
        <v>ok</v>
      </c>
      <c r="C3709" s="138" t="s">
        <v>369</v>
      </c>
      <c r="D3709" t="s">
        <v>5829</v>
      </c>
      <c r="E3709" t="s">
        <v>5850</v>
      </c>
      <c r="F3709" s="129" t="s">
        <v>5850</v>
      </c>
      <c r="G3709" s="135" t="s">
        <v>400</v>
      </c>
      <c r="H3709" s="129"/>
      <c r="J3709" s="129" t="b">
        <f>Proc[[#This Row],[Requested]]=Proc[[#This Row],[CurrentParent]]</f>
        <v>1</v>
      </c>
      <c r="K3709" s="144" t="str">
        <f>IF(Proc[[#This Row],[Author]]="Marcela Urrego",VLOOKUP(LEFT(Proc[[#This Row],[Requested]],1),Table3[#All],2,0),VLOOKUP(Proc[[#This Row],[Author]],Table4[],2,0))</f>
        <v>LS</v>
      </c>
      <c r="L3709" s="129" t="s">
        <v>4894</v>
      </c>
      <c r="M3709" s="131">
        <v>45895</v>
      </c>
      <c r="N3709" s="131"/>
      <c r="O3709" s="131"/>
      <c r="P3709" s="131" t="str">
        <f ca="1">IF(Proc[[#This Row],[DaysAgeing]]&gt;5,"yep","on track")</f>
        <v>yep</v>
      </c>
      <c r="Q3709" s="3">
        <f ca="1">IF(Proc[[#This Row],[DateClosed]]="",ABS(NETWORKDAYS(Proc[[#This Row],[DateOpened]],TODAY()))-1,ABS(NETWORKDAYS(Proc[[#This Row],[DateOpened]],Proc[[#This Row],[DateClosed]]))-1)</f>
        <v>83</v>
      </c>
      <c r="R3709" s="131" t="s">
        <v>489</v>
      </c>
      <c r="S3709" s="129"/>
    </row>
    <row r="3710" spans="1:19" hidden="1">
      <c r="A3710" s="135" t="s">
        <v>5815</v>
      </c>
      <c r="B3710" s="149" t="str">
        <f>IFERROR(VLOOKUP(Proc[[#This Row],[App]],Table2[],3,0),"open")</f>
        <v>ok</v>
      </c>
      <c r="C3710" s="138" t="s">
        <v>369</v>
      </c>
      <c r="D3710" t="s">
        <v>5830</v>
      </c>
      <c r="E3710" t="s">
        <v>5850</v>
      </c>
      <c r="F3710" s="129" t="s">
        <v>5850</v>
      </c>
      <c r="G3710" s="135" t="s">
        <v>400</v>
      </c>
      <c r="H3710" s="129"/>
      <c r="J3710" s="129" t="b">
        <f>Proc[[#This Row],[Requested]]=Proc[[#This Row],[CurrentParent]]</f>
        <v>1</v>
      </c>
      <c r="K3710" s="144" t="str">
        <f>IF(Proc[[#This Row],[Author]]="Marcela Urrego",VLOOKUP(LEFT(Proc[[#This Row],[Requested]],1),Table3[#All],2,0),VLOOKUP(Proc[[#This Row],[Author]],Table4[],2,0))</f>
        <v>LS</v>
      </c>
      <c r="L3710" s="129" t="s">
        <v>4894</v>
      </c>
      <c r="M3710" s="131">
        <v>45895</v>
      </c>
      <c r="N3710" s="131"/>
      <c r="O3710" s="131"/>
      <c r="P3710" s="131" t="str">
        <f ca="1">IF(Proc[[#This Row],[DaysAgeing]]&gt;5,"yep","on track")</f>
        <v>yep</v>
      </c>
      <c r="Q3710" s="3">
        <f ca="1">IF(Proc[[#This Row],[DateClosed]]="",ABS(NETWORKDAYS(Proc[[#This Row],[DateOpened]],TODAY()))-1,ABS(NETWORKDAYS(Proc[[#This Row],[DateOpened]],Proc[[#This Row],[DateClosed]]))-1)</f>
        <v>83</v>
      </c>
      <c r="R3710" s="131" t="s">
        <v>489</v>
      </c>
      <c r="S3710" s="129"/>
    </row>
    <row r="3711" spans="1:19" hidden="1">
      <c r="A3711" s="135" t="s">
        <v>5815</v>
      </c>
      <c r="B3711" s="149" t="str">
        <f>IFERROR(VLOOKUP(Proc[[#This Row],[App]],Table2[],3,0),"open")</f>
        <v>ok</v>
      </c>
      <c r="C3711" s="138" t="s">
        <v>369</v>
      </c>
      <c r="D3711" t="s">
        <v>5831</v>
      </c>
      <c r="E3711" t="s">
        <v>5850</v>
      </c>
      <c r="F3711" s="129" t="s">
        <v>5850</v>
      </c>
      <c r="G3711" s="135" t="s">
        <v>400</v>
      </c>
      <c r="H3711" s="129"/>
      <c r="J3711" s="129" t="b">
        <f>Proc[[#This Row],[Requested]]=Proc[[#This Row],[CurrentParent]]</f>
        <v>1</v>
      </c>
      <c r="K3711" s="144" t="str">
        <f>IF(Proc[[#This Row],[Author]]="Marcela Urrego",VLOOKUP(LEFT(Proc[[#This Row],[Requested]],1),Table3[#All],2,0),VLOOKUP(Proc[[#This Row],[Author]],Table4[],2,0))</f>
        <v>LS</v>
      </c>
      <c r="L3711" s="129" t="s">
        <v>4894</v>
      </c>
      <c r="M3711" s="131">
        <v>45895</v>
      </c>
      <c r="N3711" s="131"/>
      <c r="O3711" s="131"/>
      <c r="P3711" s="131" t="str">
        <f ca="1">IF(Proc[[#This Row],[DaysAgeing]]&gt;5,"yep","on track")</f>
        <v>yep</v>
      </c>
      <c r="Q3711" s="3">
        <f ca="1">IF(Proc[[#This Row],[DateClosed]]="",ABS(NETWORKDAYS(Proc[[#This Row],[DateOpened]],TODAY()))-1,ABS(NETWORKDAYS(Proc[[#This Row],[DateOpened]],Proc[[#This Row],[DateClosed]]))-1)</f>
        <v>83</v>
      </c>
      <c r="R3711" s="131" t="s">
        <v>489</v>
      </c>
      <c r="S3711" s="129"/>
    </row>
    <row r="3712" spans="1:19" hidden="1">
      <c r="A3712" s="135" t="s">
        <v>5815</v>
      </c>
      <c r="B3712" s="149" t="str">
        <f>IFERROR(VLOOKUP(Proc[[#This Row],[App]],Table2[],3,0),"open")</f>
        <v>ok</v>
      </c>
      <c r="C3712" s="138" t="s">
        <v>369</v>
      </c>
      <c r="D3712" t="s">
        <v>5832</v>
      </c>
      <c r="E3712" t="s">
        <v>5850</v>
      </c>
      <c r="F3712" s="129" t="s">
        <v>5850</v>
      </c>
      <c r="G3712" s="135" t="s">
        <v>400</v>
      </c>
      <c r="H3712" s="129"/>
      <c r="J3712" s="129" t="b">
        <f>Proc[[#This Row],[Requested]]=Proc[[#This Row],[CurrentParent]]</f>
        <v>1</v>
      </c>
      <c r="K3712" s="144" t="str">
        <f>IF(Proc[[#This Row],[Author]]="Marcela Urrego",VLOOKUP(LEFT(Proc[[#This Row],[Requested]],1),Table3[#All],2,0),VLOOKUP(Proc[[#This Row],[Author]],Table4[],2,0))</f>
        <v>LS</v>
      </c>
      <c r="L3712" s="129" t="s">
        <v>4894</v>
      </c>
      <c r="M3712" s="131">
        <v>45895</v>
      </c>
      <c r="N3712" s="131"/>
      <c r="O3712" s="131"/>
      <c r="P3712" s="131" t="str">
        <f ca="1">IF(Proc[[#This Row],[DaysAgeing]]&gt;5,"yep","on track")</f>
        <v>yep</v>
      </c>
      <c r="Q3712" s="3">
        <f ca="1">IF(Proc[[#This Row],[DateClosed]]="",ABS(NETWORKDAYS(Proc[[#This Row],[DateOpened]],TODAY()))-1,ABS(NETWORKDAYS(Proc[[#This Row],[DateOpened]],Proc[[#This Row],[DateClosed]]))-1)</f>
        <v>83</v>
      </c>
      <c r="R3712" s="131" t="s">
        <v>489</v>
      </c>
      <c r="S3712" s="129"/>
    </row>
    <row r="3713" spans="1:19" hidden="1">
      <c r="A3713" s="135" t="s">
        <v>5815</v>
      </c>
      <c r="B3713" s="149" t="str">
        <f>IFERROR(VLOOKUP(Proc[[#This Row],[App]],Table2[],3,0),"open")</f>
        <v>ok</v>
      </c>
      <c r="C3713" s="138" t="s">
        <v>369</v>
      </c>
      <c r="D3713" t="s">
        <v>5824</v>
      </c>
      <c r="E3713" t="s">
        <v>5850</v>
      </c>
      <c r="F3713" s="129" t="s">
        <v>5850</v>
      </c>
      <c r="G3713" s="135" t="s">
        <v>400</v>
      </c>
      <c r="H3713" s="129"/>
      <c r="J3713" s="129" t="b">
        <f>Proc[[#This Row],[Requested]]=Proc[[#This Row],[CurrentParent]]</f>
        <v>1</v>
      </c>
      <c r="K3713" s="144" t="str">
        <f>IF(Proc[[#This Row],[Author]]="Marcela Urrego",VLOOKUP(LEFT(Proc[[#This Row],[Requested]],1),Table3[#All],2,0),VLOOKUP(Proc[[#This Row],[Author]],Table4[],2,0))</f>
        <v>LS</v>
      </c>
      <c r="L3713" s="129" t="s">
        <v>4894</v>
      </c>
      <c r="M3713" s="131">
        <v>45895</v>
      </c>
      <c r="N3713" s="131"/>
      <c r="O3713" s="131"/>
      <c r="P3713" s="131" t="str">
        <f ca="1">IF(Proc[[#This Row],[DaysAgeing]]&gt;5,"yep","on track")</f>
        <v>yep</v>
      </c>
      <c r="Q3713" s="3">
        <f ca="1">IF(Proc[[#This Row],[DateClosed]]="",ABS(NETWORKDAYS(Proc[[#This Row],[DateOpened]],TODAY()))-1,ABS(NETWORKDAYS(Proc[[#This Row],[DateOpened]],Proc[[#This Row],[DateClosed]]))-1)</f>
        <v>83</v>
      </c>
      <c r="R3713" s="131" t="s">
        <v>489</v>
      </c>
      <c r="S3713" s="129"/>
    </row>
    <row r="3714" spans="1:19" hidden="1">
      <c r="A3714" s="135" t="s">
        <v>5815</v>
      </c>
      <c r="B3714" s="149" t="str">
        <f>IFERROR(VLOOKUP(Proc[[#This Row],[App]],Table2[],3,0),"open")</f>
        <v>ok</v>
      </c>
      <c r="C3714" s="138" t="s">
        <v>369</v>
      </c>
      <c r="D3714" t="s">
        <v>5833</v>
      </c>
      <c r="E3714" t="s">
        <v>5850</v>
      </c>
      <c r="F3714" s="129" t="s">
        <v>5850</v>
      </c>
      <c r="G3714" s="135" t="s">
        <v>400</v>
      </c>
      <c r="H3714" s="129"/>
      <c r="J3714" s="129" t="b">
        <f>Proc[[#This Row],[Requested]]=Proc[[#This Row],[CurrentParent]]</f>
        <v>1</v>
      </c>
      <c r="K3714" s="144" t="str">
        <f>IF(Proc[[#This Row],[Author]]="Marcela Urrego",VLOOKUP(LEFT(Proc[[#This Row],[Requested]],1),Table3[#All],2,0),VLOOKUP(Proc[[#This Row],[Author]],Table4[],2,0))</f>
        <v>LS</v>
      </c>
      <c r="L3714" s="129" t="s">
        <v>4894</v>
      </c>
      <c r="M3714" s="131">
        <v>45895</v>
      </c>
      <c r="N3714" s="131"/>
      <c r="O3714" s="131"/>
      <c r="P3714" s="131" t="str">
        <f ca="1">IF(Proc[[#This Row],[DaysAgeing]]&gt;5,"yep","on track")</f>
        <v>yep</v>
      </c>
      <c r="Q3714" s="3">
        <f ca="1">IF(Proc[[#This Row],[DateClosed]]="",ABS(NETWORKDAYS(Proc[[#This Row],[DateOpened]],TODAY()))-1,ABS(NETWORKDAYS(Proc[[#This Row],[DateOpened]],Proc[[#This Row],[DateClosed]]))-1)</f>
        <v>83</v>
      </c>
      <c r="R3714" s="131" t="s">
        <v>489</v>
      </c>
      <c r="S3714" s="129"/>
    </row>
    <row r="3715" spans="1:19" hidden="1">
      <c r="A3715" s="135" t="s">
        <v>5815</v>
      </c>
      <c r="B3715" s="149" t="str">
        <f>IFERROR(VLOOKUP(Proc[[#This Row],[App]],Table2[],3,0),"open")</f>
        <v>ok</v>
      </c>
      <c r="C3715" s="138" t="s">
        <v>369</v>
      </c>
      <c r="D3715" t="s">
        <v>5834</v>
      </c>
      <c r="E3715" t="s">
        <v>5850</v>
      </c>
      <c r="F3715" s="129" t="s">
        <v>5850</v>
      </c>
      <c r="G3715" s="135" t="s">
        <v>400</v>
      </c>
      <c r="H3715" s="129"/>
      <c r="J3715" s="129" t="b">
        <f>Proc[[#This Row],[Requested]]=Proc[[#This Row],[CurrentParent]]</f>
        <v>1</v>
      </c>
      <c r="K3715" s="144" t="str">
        <f>IF(Proc[[#This Row],[Author]]="Marcela Urrego",VLOOKUP(LEFT(Proc[[#This Row],[Requested]],1),Table3[#All],2,0),VLOOKUP(Proc[[#This Row],[Author]],Table4[],2,0))</f>
        <v>LS</v>
      </c>
      <c r="L3715" s="129" t="s">
        <v>4894</v>
      </c>
      <c r="M3715" s="131">
        <v>45895</v>
      </c>
      <c r="N3715" s="131"/>
      <c r="O3715" s="131"/>
      <c r="P3715" s="131" t="str">
        <f ca="1">IF(Proc[[#This Row],[DaysAgeing]]&gt;5,"yep","on track")</f>
        <v>yep</v>
      </c>
      <c r="Q3715" s="3">
        <f ca="1">IF(Proc[[#This Row],[DateClosed]]="",ABS(NETWORKDAYS(Proc[[#This Row],[DateOpened]],TODAY()))-1,ABS(NETWORKDAYS(Proc[[#This Row],[DateOpened]],Proc[[#This Row],[DateClosed]]))-1)</f>
        <v>83</v>
      </c>
      <c r="R3715" s="131" t="s">
        <v>489</v>
      </c>
      <c r="S3715" s="129"/>
    </row>
    <row r="3716" spans="1:19" hidden="1">
      <c r="A3716" s="135" t="s">
        <v>5815</v>
      </c>
      <c r="B3716" s="149" t="str">
        <f>IFERROR(VLOOKUP(Proc[[#This Row],[App]],Table2[],3,0),"open")</f>
        <v>ok</v>
      </c>
      <c r="C3716" s="138" t="s">
        <v>369</v>
      </c>
      <c r="D3716" t="s">
        <v>5835</v>
      </c>
      <c r="E3716" t="s">
        <v>5851</v>
      </c>
      <c r="F3716" s="129" t="s">
        <v>5851</v>
      </c>
      <c r="G3716" s="135" t="s">
        <v>400</v>
      </c>
      <c r="H3716" s="129"/>
      <c r="J3716" s="129" t="b">
        <f>Proc[[#This Row],[Requested]]=Proc[[#This Row],[CurrentParent]]</f>
        <v>1</v>
      </c>
      <c r="K3716" s="144" t="str">
        <f>IF(Proc[[#This Row],[Author]]="Marcela Urrego",VLOOKUP(LEFT(Proc[[#This Row],[Requested]],1),Table3[#All],2,0),VLOOKUP(Proc[[#This Row],[Author]],Table4[],2,0))</f>
        <v>LS</v>
      </c>
      <c r="L3716" s="129" t="s">
        <v>4894</v>
      </c>
      <c r="M3716" s="131">
        <v>45895</v>
      </c>
      <c r="N3716" s="131"/>
      <c r="O3716" s="131"/>
      <c r="P3716" s="131" t="str">
        <f ca="1">IF(Proc[[#This Row],[DaysAgeing]]&gt;5,"yep","on track")</f>
        <v>yep</v>
      </c>
      <c r="Q3716" s="3">
        <f ca="1">IF(Proc[[#This Row],[DateClosed]]="",ABS(NETWORKDAYS(Proc[[#This Row],[DateOpened]],TODAY()))-1,ABS(NETWORKDAYS(Proc[[#This Row],[DateOpened]],Proc[[#This Row],[DateClosed]]))-1)</f>
        <v>83</v>
      </c>
      <c r="R3716" s="131" t="s">
        <v>489</v>
      </c>
      <c r="S3716" s="129"/>
    </row>
    <row r="3717" spans="1:19" hidden="1">
      <c r="A3717" s="135" t="s">
        <v>5815</v>
      </c>
      <c r="B3717" s="149" t="str">
        <f>IFERROR(VLOOKUP(Proc[[#This Row],[App]],Table2[],3,0),"open")</f>
        <v>ok</v>
      </c>
      <c r="C3717" s="138" t="s">
        <v>369</v>
      </c>
      <c r="D3717" t="s">
        <v>5836</v>
      </c>
      <c r="E3717" t="s">
        <v>5852</v>
      </c>
      <c r="F3717" s="129" t="s">
        <v>5852</v>
      </c>
      <c r="G3717" s="135" t="s">
        <v>400</v>
      </c>
      <c r="H3717" s="129"/>
      <c r="J3717" s="129" t="b">
        <f>Proc[[#This Row],[Requested]]=Proc[[#This Row],[CurrentParent]]</f>
        <v>1</v>
      </c>
      <c r="K3717" s="144" t="str">
        <f>IF(Proc[[#This Row],[Author]]="Marcela Urrego",VLOOKUP(LEFT(Proc[[#This Row],[Requested]],1),Table3[#All],2,0),VLOOKUP(Proc[[#This Row],[Author]],Table4[],2,0))</f>
        <v>LS</v>
      </c>
      <c r="L3717" s="129" t="s">
        <v>4894</v>
      </c>
      <c r="M3717" s="131">
        <v>45895</v>
      </c>
      <c r="N3717" s="131"/>
      <c r="O3717" s="131"/>
      <c r="P3717" s="131" t="str">
        <f ca="1">IF(Proc[[#This Row],[DaysAgeing]]&gt;5,"yep","on track")</f>
        <v>yep</v>
      </c>
      <c r="Q3717" s="3">
        <f ca="1">IF(Proc[[#This Row],[DateClosed]]="",ABS(NETWORKDAYS(Proc[[#This Row],[DateOpened]],TODAY()))-1,ABS(NETWORKDAYS(Proc[[#This Row],[DateOpened]],Proc[[#This Row],[DateClosed]]))-1)</f>
        <v>83</v>
      </c>
      <c r="R3717" s="131" t="s">
        <v>489</v>
      </c>
      <c r="S3717" s="129"/>
    </row>
    <row r="3718" spans="1:19" hidden="1">
      <c r="A3718" s="135" t="s">
        <v>5815</v>
      </c>
      <c r="B3718" s="149" t="str">
        <f>IFERROR(VLOOKUP(Proc[[#This Row],[App]],Table2[],3,0),"open")</f>
        <v>ok</v>
      </c>
      <c r="C3718" s="138" t="s">
        <v>369</v>
      </c>
      <c r="D3718" t="s">
        <v>5837</v>
      </c>
      <c r="E3718" t="s">
        <v>5850</v>
      </c>
      <c r="F3718" s="129" t="s">
        <v>5850</v>
      </c>
      <c r="G3718" s="135" t="s">
        <v>400</v>
      </c>
      <c r="H3718" s="129"/>
      <c r="J3718" s="129" t="b">
        <f>Proc[[#This Row],[Requested]]=Proc[[#This Row],[CurrentParent]]</f>
        <v>1</v>
      </c>
      <c r="K3718" s="144" t="str">
        <f>IF(Proc[[#This Row],[Author]]="Marcela Urrego",VLOOKUP(LEFT(Proc[[#This Row],[Requested]],1),Table3[#All],2,0),VLOOKUP(Proc[[#This Row],[Author]],Table4[],2,0))</f>
        <v>LS</v>
      </c>
      <c r="L3718" s="129" t="s">
        <v>4894</v>
      </c>
      <c r="M3718" s="131">
        <v>45895</v>
      </c>
      <c r="N3718" s="131"/>
      <c r="O3718" s="131"/>
      <c r="P3718" s="131" t="str">
        <f ca="1">IF(Proc[[#This Row],[DaysAgeing]]&gt;5,"yep","on track")</f>
        <v>yep</v>
      </c>
      <c r="Q3718" s="3">
        <f ca="1">IF(Proc[[#This Row],[DateClosed]]="",ABS(NETWORKDAYS(Proc[[#This Row],[DateOpened]],TODAY()))-1,ABS(NETWORKDAYS(Proc[[#This Row],[DateOpened]],Proc[[#This Row],[DateClosed]]))-1)</f>
        <v>83</v>
      </c>
      <c r="R3718" s="131" t="s">
        <v>489</v>
      </c>
      <c r="S3718" s="129"/>
    </row>
    <row r="3719" spans="1:19" hidden="1">
      <c r="A3719" s="135" t="s">
        <v>5815</v>
      </c>
      <c r="B3719" s="149" t="str">
        <f>IFERROR(VLOOKUP(Proc[[#This Row],[App]],Table2[],3,0),"open")</f>
        <v>ok</v>
      </c>
      <c r="C3719" s="138" t="s">
        <v>369</v>
      </c>
      <c r="D3719" t="s">
        <v>5838</v>
      </c>
      <c r="E3719" t="s">
        <v>5850</v>
      </c>
      <c r="F3719" s="129" t="s">
        <v>5850</v>
      </c>
      <c r="G3719" s="135" t="s">
        <v>400</v>
      </c>
      <c r="H3719" s="129"/>
      <c r="J3719" s="129" t="b">
        <f>Proc[[#This Row],[Requested]]=Proc[[#This Row],[CurrentParent]]</f>
        <v>1</v>
      </c>
      <c r="K3719" s="144" t="str">
        <f>IF(Proc[[#This Row],[Author]]="Marcela Urrego",VLOOKUP(LEFT(Proc[[#This Row],[Requested]],1),Table3[#All],2,0),VLOOKUP(Proc[[#This Row],[Author]],Table4[],2,0))</f>
        <v>LS</v>
      </c>
      <c r="L3719" s="129" t="s">
        <v>4894</v>
      </c>
      <c r="M3719" s="131">
        <v>45895</v>
      </c>
      <c r="N3719" s="131"/>
      <c r="O3719" s="131"/>
      <c r="P3719" s="131" t="str">
        <f ca="1">IF(Proc[[#This Row],[DaysAgeing]]&gt;5,"yep","on track")</f>
        <v>yep</v>
      </c>
      <c r="Q3719" s="3">
        <f ca="1">IF(Proc[[#This Row],[DateClosed]]="",ABS(NETWORKDAYS(Proc[[#This Row],[DateOpened]],TODAY()))-1,ABS(NETWORKDAYS(Proc[[#This Row],[DateOpened]],Proc[[#This Row],[DateClosed]]))-1)</f>
        <v>83</v>
      </c>
      <c r="R3719" s="131" t="s">
        <v>489</v>
      </c>
      <c r="S3719" s="129"/>
    </row>
    <row r="3720" spans="1:19" hidden="1">
      <c r="A3720" s="135" t="s">
        <v>5815</v>
      </c>
      <c r="B3720" s="149" t="str">
        <f>IFERROR(VLOOKUP(Proc[[#This Row],[App]],Table2[],3,0),"open")</f>
        <v>ok</v>
      </c>
      <c r="C3720" s="138" t="s">
        <v>369</v>
      </c>
      <c r="D3720" t="s">
        <v>5828</v>
      </c>
      <c r="E3720" t="s">
        <v>5850</v>
      </c>
      <c r="F3720" s="129" t="s">
        <v>5850</v>
      </c>
      <c r="G3720" s="135" t="s">
        <v>400</v>
      </c>
      <c r="H3720" s="129"/>
      <c r="J3720" s="129" t="b">
        <f>Proc[[#This Row],[Requested]]=Proc[[#This Row],[CurrentParent]]</f>
        <v>1</v>
      </c>
      <c r="K3720" s="144" t="str">
        <f>IF(Proc[[#This Row],[Author]]="Marcela Urrego",VLOOKUP(LEFT(Proc[[#This Row],[Requested]],1),Table3[#All],2,0),VLOOKUP(Proc[[#This Row],[Author]],Table4[],2,0))</f>
        <v>LS</v>
      </c>
      <c r="L3720" s="129" t="s">
        <v>4894</v>
      </c>
      <c r="M3720" s="131">
        <v>45895</v>
      </c>
      <c r="N3720" s="131"/>
      <c r="O3720" s="131"/>
      <c r="P3720" s="131" t="str">
        <f ca="1">IF(Proc[[#This Row],[DaysAgeing]]&gt;5,"yep","on track")</f>
        <v>yep</v>
      </c>
      <c r="Q3720" s="3">
        <f ca="1">IF(Proc[[#This Row],[DateClosed]]="",ABS(NETWORKDAYS(Proc[[#This Row],[DateOpened]],TODAY()))-1,ABS(NETWORKDAYS(Proc[[#This Row],[DateOpened]],Proc[[#This Row],[DateClosed]]))-1)</f>
        <v>83</v>
      </c>
      <c r="R3720" s="131" t="s">
        <v>489</v>
      </c>
      <c r="S3720" s="129"/>
    </row>
    <row r="3721" spans="1:19" hidden="1">
      <c r="A3721" s="135" t="s">
        <v>5815</v>
      </c>
      <c r="B3721" s="149" t="str">
        <f>IFERROR(VLOOKUP(Proc[[#This Row],[App]],Table2[],3,0),"open")</f>
        <v>ok</v>
      </c>
      <c r="C3721" s="138" t="s">
        <v>369</v>
      </c>
      <c r="D3721" t="s">
        <v>5839</v>
      </c>
      <c r="E3721" t="s">
        <v>5850</v>
      </c>
      <c r="F3721" s="129" t="s">
        <v>5850</v>
      </c>
      <c r="G3721" s="135" t="s">
        <v>406</v>
      </c>
      <c r="H3721" s="129" t="str">
        <f>IF(Proc[[#This Row],[type]]="LFF (MDG-F)",MID(Proc[[#This Row],[Obj]],13,10),"")</f>
        <v>2025C03513</v>
      </c>
      <c r="J3721" s="129" t="b">
        <f>Proc[[#This Row],[Requested]]=Proc[[#This Row],[CurrentParent]]</f>
        <v>1</v>
      </c>
      <c r="K3721" s="144" t="str">
        <f>IF(Proc[[#This Row],[Author]]="Marcela Urrego",VLOOKUP(LEFT(Proc[[#This Row],[Requested]],1),Table3[#All],2,0),VLOOKUP(Proc[[#This Row],[Author]],Table4[],2,0))</f>
        <v>LS</v>
      </c>
      <c r="L3721" s="129" t="s">
        <v>4894</v>
      </c>
      <c r="M3721" s="131">
        <v>45895</v>
      </c>
      <c r="N3721" s="131"/>
      <c r="O3721" s="131"/>
      <c r="P3721" s="131" t="str">
        <f ca="1">IF(Proc[[#This Row],[DaysAgeing]]&gt;5,"yep","on track")</f>
        <v>yep</v>
      </c>
      <c r="Q3721" s="3">
        <f ca="1">IF(Proc[[#This Row],[DateClosed]]="",ABS(NETWORKDAYS(Proc[[#This Row],[DateOpened]],TODAY()))-1,ABS(NETWORKDAYS(Proc[[#This Row],[DateOpened]],Proc[[#This Row],[DateClosed]]))-1)</f>
        <v>83</v>
      </c>
      <c r="R3721" s="131" t="s">
        <v>489</v>
      </c>
      <c r="S3721" s="129"/>
    </row>
    <row r="3722" spans="1:19" hidden="1">
      <c r="A3722" s="135" t="s">
        <v>5815</v>
      </c>
      <c r="B3722" s="149" t="str">
        <f>IFERROR(VLOOKUP(Proc[[#This Row],[App]],Table2[],3,0),"open")</f>
        <v>ok</v>
      </c>
      <c r="C3722" s="138" t="s">
        <v>369</v>
      </c>
      <c r="D3722" t="s">
        <v>5840</v>
      </c>
      <c r="E3722" t="s">
        <v>5850</v>
      </c>
      <c r="F3722" s="129" t="s">
        <v>5850</v>
      </c>
      <c r="G3722" s="135" t="s">
        <v>400</v>
      </c>
      <c r="H3722" s="129"/>
      <c r="J3722" s="129" t="b">
        <f>Proc[[#This Row],[Requested]]=Proc[[#This Row],[CurrentParent]]</f>
        <v>1</v>
      </c>
      <c r="K3722" s="144" t="str">
        <f>IF(Proc[[#This Row],[Author]]="Marcela Urrego",VLOOKUP(LEFT(Proc[[#This Row],[Requested]],1),Table3[#All],2,0),VLOOKUP(Proc[[#This Row],[Author]],Table4[],2,0))</f>
        <v>LS</v>
      </c>
      <c r="L3722" s="129" t="s">
        <v>4894</v>
      </c>
      <c r="M3722" s="131">
        <v>45895</v>
      </c>
      <c r="N3722" s="131"/>
      <c r="O3722" s="131"/>
      <c r="P3722" s="131" t="str">
        <f ca="1">IF(Proc[[#This Row],[DaysAgeing]]&gt;5,"yep","on track")</f>
        <v>yep</v>
      </c>
      <c r="Q3722" s="3">
        <f ca="1">IF(Proc[[#This Row],[DateClosed]]="",ABS(NETWORKDAYS(Proc[[#This Row],[DateOpened]],TODAY()))-1,ABS(NETWORKDAYS(Proc[[#This Row],[DateOpened]],Proc[[#This Row],[DateClosed]]))-1)</f>
        <v>83</v>
      </c>
      <c r="R3722" s="131" t="s">
        <v>489</v>
      </c>
      <c r="S3722" s="129"/>
    </row>
    <row r="3723" spans="1:19" hidden="1">
      <c r="A3723" s="135" t="s">
        <v>5815</v>
      </c>
      <c r="B3723" s="149" t="str">
        <f>IFERROR(VLOOKUP(Proc[[#This Row],[App]],Table2[],3,0),"open")</f>
        <v>ok</v>
      </c>
      <c r="C3723" s="138" t="s">
        <v>369</v>
      </c>
      <c r="D3723" t="s">
        <v>5830</v>
      </c>
      <c r="E3723" t="s">
        <v>5850</v>
      </c>
      <c r="F3723" s="129" t="s">
        <v>5850</v>
      </c>
      <c r="G3723" s="135" t="s">
        <v>400</v>
      </c>
      <c r="H3723" s="129"/>
      <c r="J3723" s="129" t="b">
        <f>Proc[[#This Row],[Requested]]=Proc[[#This Row],[CurrentParent]]</f>
        <v>1</v>
      </c>
      <c r="K3723" s="144" t="str">
        <f>IF(Proc[[#This Row],[Author]]="Marcela Urrego",VLOOKUP(LEFT(Proc[[#This Row],[Requested]],1),Table3[#All],2,0),VLOOKUP(Proc[[#This Row],[Author]],Table4[],2,0))</f>
        <v>LS</v>
      </c>
      <c r="L3723" s="129" t="s">
        <v>4894</v>
      </c>
      <c r="M3723" s="131">
        <v>45895</v>
      </c>
      <c r="N3723" s="131"/>
      <c r="O3723" s="131"/>
      <c r="P3723" s="131" t="str">
        <f ca="1">IF(Proc[[#This Row],[DaysAgeing]]&gt;5,"yep","on track")</f>
        <v>yep</v>
      </c>
      <c r="Q3723" s="3">
        <f ca="1">IF(Proc[[#This Row],[DateClosed]]="",ABS(NETWORKDAYS(Proc[[#This Row],[DateOpened]],TODAY()))-1,ABS(NETWORKDAYS(Proc[[#This Row],[DateOpened]],Proc[[#This Row],[DateClosed]]))-1)</f>
        <v>83</v>
      </c>
      <c r="R3723" s="131" t="s">
        <v>489</v>
      </c>
      <c r="S3723" s="129"/>
    </row>
    <row r="3724" spans="1:19" hidden="1">
      <c r="A3724" s="135" t="s">
        <v>5815</v>
      </c>
      <c r="B3724" s="149" t="str">
        <f>IFERROR(VLOOKUP(Proc[[#This Row],[App]],Table2[],3,0),"open")</f>
        <v>ok</v>
      </c>
      <c r="C3724" s="138" t="s">
        <v>369</v>
      </c>
      <c r="D3724" t="s">
        <v>5841</v>
      </c>
      <c r="E3724" t="s">
        <v>5850</v>
      </c>
      <c r="F3724" s="129" t="s">
        <v>5850</v>
      </c>
      <c r="G3724" s="135" t="s">
        <v>400</v>
      </c>
      <c r="H3724" s="129"/>
      <c r="J3724" s="129" t="b">
        <f>Proc[[#This Row],[Requested]]=Proc[[#This Row],[CurrentParent]]</f>
        <v>1</v>
      </c>
      <c r="K3724" s="144" t="str">
        <f>IF(Proc[[#This Row],[Author]]="Marcela Urrego",VLOOKUP(LEFT(Proc[[#This Row],[Requested]],1),Table3[#All],2,0),VLOOKUP(Proc[[#This Row],[Author]],Table4[],2,0))</f>
        <v>LS</v>
      </c>
      <c r="L3724" s="129" t="s">
        <v>4894</v>
      </c>
      <c r="M3724" s="131">
        <v>45895</v>
      </c>
      <c r="N3724" s="131"/>
      <c r="O3724" s="131"/>
      <c r="P3724" s="131" t="str">
        <f ca="1">IF(Proc[[#This Row],[DaysAgeing]]&gt;5,"yep","on track")</f>
        <v>yep</v>
      </c>
      <c r="Q3724" s="3">
        <f ca="1">IF(Proc[[#This Row],[DateClosed]]="",ABS(NETWORKDAYS(Proc[[#This Row],[DateOpened]],TODAY()))-1,ABS(NETWORKDAYS(Proc[[#This Row],[DateOpened]],Proc[[#This Row],[DateClosed]]))-1)</f>
        <v>83</v>
      </c>
      <c r="R3724" s="131" t="s">
        <v>489</v>
      </c>
      <c r="S3724" s="129"/>
    </row>
    <row r="3725" spans="1:19" hidden="1">
      <c r="A3725" s="135" t="s">
        <v>5815</v>
      </c>
      <c r="B3725" s="149" t="str">
        <f>IFERROR(VLOOKUP(Proc[[#This Row],[App]],Table2[],3,0),"open")</f>
        <v>ok</v>
      </c>
      <c r="C3725" s="138" t="s">
        <v>369</v>
      </c>
      <c r="D3725" t="s">
        <v>5820</v>
      </c>
      <c r="E3725" t="s">
        <v>5850</v>
      </c>
      <c r="F3725" s="129" t="s">
        <v>5850</v>
      </c>
      <c r="G3725" s="135" t="s">
        <v>400</v>
      </c>
      <c r="H3725" s="129"/>
      <c r="J3725" s="129" t="b">
        <f>Proc[[#This Row],[Requested]]=Proc[[#This Row],[CurrentParent]]</f>
        <v>1</v>
      </c>
      <c r="K3725" s="144" t="str">
        <f>IF(Proc[[#This Row],[Author]]="Marcela Urrego",VLOOKUP(LEFT(Proc[[#This Row],[Requested]],1),Table3[#All],2,0),VLOOKUP(Proc[[#This Row],[Author]],Table4[],2,0))</f>
        <v>LS</v>
      </c>
      <c r="L3725" s="129" t="s">
        <v>4894</v>
      </c>
      <c r="M3725" s="131">
        <v>45895</v>
      </c>
      <c r="N3725" s="131"/>
      <c r="O3725" s="131"/>
      <c r="P3725" s="131" t="str">
        <f ca="1">IF(Proc[[#This Row],[DaysAgeing]]&gt;5,"yep","on track")</f>
        <v>yep</v>
      </c>
      <c r="Q3725" s="3">
        <f ca="1">IF(Proc[[#This Row],[DateClosed]]="",ABS(NETWORKDAYS(Proc[[#This Row],[DateOpened]],TODAY()))-1,ABS(NETWORKDAYS(Proc[[#This Row],[DateOpened]],Proc[[#This Row],[DateClosed]]))-1)</f>
        <v>83</v>
      </c>
      <c r="R3725" s="131" t="s">
        <v>489</v>
      </c>
      <c r="S3725" s="129"/>
    </row>
    <row r="3726" spans="1:19" hidden="1">
      <c r="A3726" s="135" t="s">
        <v>5815</v>
      </c>
      <c r="B3726" s="149" t="str">
        <f>IFERROR(VLOOKUP(Proc[[#This Row],[App]],Table2[],3,0),"open")</f>
        <v>ok</v>
      </c>
      <c r="C3726" s="138" t="s">
        <v>369</v>
      </c>
      <c r="D3726" t="s">
        <v>5842</v>
      </c>
      <c r="E3726" t="s">
        <v>5850</v>
      </c>
      <c r="F3726" s="129" t="s">
        <v>5850</v>
      </c>
      <c r="G3726" s="135" t="s">
        <v>400</v>
      </c>
      <c r="H3726" s="129"/>
      <c r="J3726" s="129" t="b">
        <f>Proc[[#This Row],[Requested]]=Proc[[#This Row],[CurrentParent]]</f>
        <v>1</v>
      </c>
      <c r="K3726" s="144" t="str">
        <f>IF(Proc[[#This Row],[Author]]="Marcela Urrego",VLOOKUP(LEFT(Proc[[#This Row],[Requested]],1),Table3[#All],2,0),VLOOKUP(Proc[[#This Row],[Author]],Table4[],2,0))</f>
        <v>LS</v>
      </c>
      <c r="L3726" s="129" t="s">
        <v>4894</v>
      </c>
      <c r="M3726" s="131">
        <v>45895</v>
      </c>
      <c r="N3726" s="131"/>
      <c r="O3726" s="131"/>
      <c r="P3726" s="131" t="str">
        <f ca="1">IF(Proc[[#This Row],[DaysAgeing]]&gt;5,"yep","on track")</f>
        <v>yep</v>
      </c>
      <c r="Q3726" s="3">
        <f ca="1">IF(Proc[[#This Row],[DateClosed]]="",ABS(NETWORKDAYS(Proc[[#This Row],[DateOpened]],TODAY()))-1,ABS(NETWORKDAYS(Proc[[#This Row],[DateOpened]],Proc[[#This Row],[DateClosed]]))-1)</f>
        <v>83</v>
      </c>
      <c r="R3726" s="131" t="s">
        <v>489</v>
      </c>
      <c r="S3726" s="129"/>
    </row>
    <row r="3727" spans="1:19" hidden="1">
      <c r="A3727" s="135" t="s">
        <v>5815</v>
      </c>
      <c r="B3727" s="149" t="str">
        <f>IFERROR(VLOOKUP(Proc[[#This Row],[App]],Table2[],3,0),"open")</f>
        <v>ok</v>
      </c>
      <c r="C3727" s="138" t="s">
        <v>369</v>
      </c>
      <c r="D3727" t="s">
        <v>5843</v>
      </c>
      <c r="E3727" t="s">
        <v>5850</v>
      </c>
      <c r="F3727" s="129" t="s">
        <v>5850</v>
      </c>
      <c r="G3727" s="135" t="s">
        <v>400</v>
      </c>
      <c r="H3727" s="129"/>
      <c r="J3727" s="129" t="b">
        <f>Proc[[#This Row],[Requested]]=Proc[[#This Row],[CurrentParent]]</f>
        <v>1</v>
      </c>
      <c r="K3727" s="144" t="str">
        <f>IF(Proc[[#This Row],[Author]]="Marcela Urrego",VLOOKUP(LEFT(Proc[[#This Row],[Requested]],1),Table3[#All],2,0),VLOOKUP(Proc[[#This Row],[Author]],Table4[],2,0))</f>
        <v>LS</v>
      </c>
      <c r="L3727" s="129" t="s">
        <v>4894</v>
      </c>
      <c r="M3727" s="131">
        <v>45895</v>
      </c>
      <c r="N3727" s="131"/>
      <c r="O3727" s="131"/>
      <c r="P3727" s="131" t="str">
        <f ca="1">IF(Proc[[#This Row],[DaysAgeing]]&gt;5,"yep","on track")</f>
        <v>yep</v>
      </c>
      <c r="Q3727" s="3">
        <f ca="1">IF(Proc[[#This Row],[DateClosed]]="",ABS(NETWORKDAYS(Proc[[#This Row],[DateOpened]],TODAY()))-1,ABS(NETWORKDAYS(Proc[[#This Row],[DateOpened]],Proc[[#This Row],[DateClosed]]))-1)</f>
        <v>83</v>
      </c>
      <c r="R3727" s="131" t="s">
        <v>489</v>
      </c>
      <c r="S3727" s="129"/>
    </row>
    <row r="3728" spans="1:19" hidden="1">
      <c r="A3728" s="135" t="s">
        <v>5815</v>
      </c>
      <c r="B3728" s="149" t="str">
        <f>IFERROR(VLOOKUP(Proc[[#This Row],[App]],Table2[],3,0),"open")</f>
        <v>ok</v>
      </c>
      <c r="C3728" s="138" t="s">
        <v>369</v>
      </c>
      <c r="D3728" t="s">
        <v>5844</v>
      </c>
      <c r="E3728" t="s">
        <v>5853</v>
      </c>
      <c r="F3728" s="129" t="s">
        <v>5853</v>
      </c>
      <c r="G3728" s="135" t="s">
        <v>400</v>
      </c>
      <c r="H3728" s="129"/>
      <c r="J3728" s="129" t="b">
        <f>Proc[[#This Row],[Requested]]=Proc[[#This Row],[CurrentParent]]</f>
        <v>1</v>
      </c>
      <c r="K3728" s="144" t="str">
        <f>IF(Proc[[#This Row],[Author]]="Marcela Urrego",VLOOKUP(LEFT(Proc[[#This Row],[Requested]],1),Table3[#All],2,0),VLOOKUP(Proc[[#This Row],[Author]],Table4[],2,0))</f>
        <v>LS</v>
      </c>
      <c r="L3728" s="129" t="s">
        <v>4894</v>
      </c>
      <c r="M3728" s="131">
        <v>45895</v>
      </c>
      <c r="N3728" s="131"/>
      <c r="O3728" s="131"/>
      <c r="P3728" s="131" t="str">
        <f ca="1">IF(Proc[[#This Row],[DaysAgeing]]&gt;5,"yep","on track")</f>
        <v>yep</v>
      </c>
      <c r="Q3728" s="3">
        <f ca="1">IF(Proc[[#This Row],[DateClosed]]="",ABS(NETWORKDAYS(Proc[[#This Row],[DateOpened]],TODAY()))-1,ABS(NETWORKDAYS(Proc[[#This Row],[DateOpened]],Proc[[#This Row],[DateClosed]]))-1)</f>
        <v>83</v>
      </c>
      <c r="R3728" s="131" t="s">
        <v>489</v>
      </c>
      <c r="S3728" s="129"/>
    </row>
    <row r="3729" spans="1:19" hidden="1">
      <c r="A3729" s="135" t="s">
        <v>5815</v>
      </c>
      <c r="B3729" s="149" t="str">
        <f>IFERROR(VLOOKUP(Proc[[#This Row],[App]],Table2[],3,0),"open")</f>
        <v>ok</v>
      </c>
      <c r="C3729" s="138" t="s">
        <v>369</v>
      </c>
      <c r="D3729" t="s">
        <v>5845</v>
      </c>
      <c r="E3729" t="s">
        <v>5850</v>
      </c>
      <c r="F3729" s="129" t="s">
        <v>5850</v>
      </c>
      <c r="G3729" s="135" t="s">
        <v>400</v>
      </c>
      <c r="H3729" s="129"/>
      <c r="J3729" s="129" t="b">
        <f>Proc[[#This Row],[Requested]]=Proc[[#This Row],[CurrentParent]]</f>
        <v>1</v>
      </c>
      <c r="K3729" s="144" t="str">
        <f>IF(Proc[[#This Row],[Author]]="Marcela Urrego",VLOOKUP(LEFT(Proc[[#This Row],[Requested]],1),Table3[#All],2,0),VLOOKUP(Proc[[#This Row],[Author]],Table4[],2,0))</f>
        <v>LS</v>
      </c>
      <c r="L3729" s="129" t="s">
        <v>4894</v>
      </c>
      <c r="M3729" s="131">
        <v>45895</v>
      </c>
      <c r="N3729" s="131"/>
      <c r="O3729" s="131"/>
      <c r="P3729" s="131" t="str">
        <f ca="1">IF(Proc[[#This Row],[DaysAgeing]]&gt;5,"yep","on track")</f>
        <v>yep</v>
      </c>
      <c r="Q3729" s="3">
        <f ca="1">IF(Proc[[#This Row],[DateClosed]]="",ABS(NETWORKDAYS(Proc[[#This Row],[DateOpened]],TODAY()))-1,ABS(NETWORKDAYS(Proc[[#This Row],[DateOpened]],Proc[[#This Row],[DateClosed]]))-1)</f>
        <v>83</v>
      </c>
      <c r="R3729" s="131" t="s">
        <v>489</v>
      </c>
      <c r="S3729" s="129"/>
    </row>
    <row r="3730" spans="1:19" hidden="1">
      <c r="A3730" s="135" t="s">
        <v>5815</v>
      </c>
      <c r="B3730" s="149" t="str">
        <f>IFERROR(VLOOKUP(Proc[[#This Row],[App]],Table2[],3,0),"open")</f>
        <v>ok</v>
      </c>
      <c r="C3730" s="138" t="s">
        <v>369</v>
      </c>
      <c r="D3730" t="s">
        <v>5846</v>
      </c>
      <c r="E3730" t="s">
        <v>5854</v>
      </c>
      <c r="F3730" s="129" t="s">
        <v>5854</v>
      </c>
      <c r="G3730" s="135" t="s">
        <v>400</v>
      </c>
      <c r="H3730" s="129"/>
      <c r="J3730" s="129" t="b">
        <f>Proc[[#This Row],[Requested]]=Proc[[#This Row],[CurrentParent]]</f>
        <v>1</v>
      </c>
      <c r="K3730" s="144" t="str">
        <f>IF(Proc[[#This Row],[Author]]="Marcela Urrego",VLOOKUP(LEFT(Proc[[#This Row],[Requested]],1),Table3[#All],2,0),VLOOKUP(Proc[[#This Row],[Author]],Table4[],2,0))</f>
        <v>LS</v>
      </c>
      <c r="L3730" s="129" t="s">
        <v>4894</v>
      </c>
      <c r="M3730" s="131">
        <v>45895</v>
      </c>
      <c r="N3730" s="131"/>
      <c r="O3730" s="131"/>
      <c r="P3730" s="131" t="str">
        <f ca="1">IF(Proc[[#This Row],[DaysAgeing]]&gt;5,"yep","on track")</f>
        <v>yep</v>
      </c>
      <c r="Q3730" s="3">
        <f ca="1">IF(Proc[[#This Row],[DateClosed]]="",ABS(NETWORKDAYS(Proc[[#This Row],[DateOpened]],TODAY()))-1,ABS(NETWORKDAYS(Proc[[#This Row],[DateOpened]],Proc[[#This Row],[DateClosed]]))-1)</f>
        <v>83</v>
      </c>
      <c r="R3730" s="131" t="s">
        <v>489</v>
      </c>
      <c r="S3730" s="129"/>
    </row>
    <row r="3731" spans="1:19" hidden="1">
      <c r="A3731" s="135" t="s">
        <v>5815</v>
      </c>
      <c r="B3731" s="149" t="str">
        <f>IFERROR(VLOOKUP(Proc[[#This Row],[App]],Table2[],3,0),"open")</f>
        <v>ok</v>
      </c>
      <c r="C3731" s="138" t="s">
        <v>369</v>
      </c>
      <c r="D3731" t="s">
        <v>5847</v>
      </c>
      <c r="E3731" t="s">
        <v>5854</v>
      </c>
      <c r="F3731" s="129" t="s">
        <v>5854</v>
      </c>
      <c r="G3731" s="135" t="s">
        <v>400</v>
      </c>
      <c r="H3731" s="129" t="str">
        <f>IF(Proc[[#This Row],[type]]="LFF (MDG-F)",MID(Proc[[#This Row],[Obj]],13,10),"")</f>
        <v/>
      </c>
      <c r="J3731" s="129" t="b">
        <f>Proc[[#This Row],[Requested]]=Proc[[#This Row],[CurrentParent]]</f>
        <v>1</v>
      </c>
      <c r="K3731" s="144" t="str">
        <f>IF(Proc[[#This Row],[Author]]="Marcela Urrego",VLOOKUP(LEFT(Proc[[#This Row],[Requested]],1),Table3[#All],2,0),VLOOKUP(Proc[[#This Row],[Author]],Table4[],2,0))</f>
        <v>LS</v>
      </c>
      <c r="L3731" s="129" t="s">
        <v>4894</v>
      </c>
      <c r="M3731" s="131">
        <v>45895</v>
      </c>
      <c r="N3731" s="131"/>
      <c r="O3731" s="131"/>
      <c r="P3731" s="136" t="str">
        <f ca="1">IF(Proc[[#This Row],[DaysAgeing]]&gt;5,"yep","on track")</f>
        <v>yep</v>
      </c>
      <c r="Q3731" s="3">
        <f ca="1">IF(Proc[[#This Row],[DateClosed]]="",ABS(NETWORKDAYS(Proc[[#This Row],[DateOpened]],TODAY()))-1,ABS(NETWORKDAYS(Proc[[#This Row],[DateOpened]],Proc[[#This Row],[DateClosed]]))-1)</f>
        <v>83</v>
      </c>
      <c r="R3731" s="131" t="s">
        <v>489</v>
      </c>
      <c r="S3731" s="129"/>
    </row>
    <row r="3732" spans="1:19" hidden="1">
      <c r="A3732" t="s">
        <v>5855</v>
      </c>
      <c r="B3732" s="149" t="str">
        <f>IFERROR(VLOOKUP(Proc[[#This Row],[App]],Table2[],3,0),"open")</f>
        <v>ok</v>
      </c>
      <c r="C3732" s="135" t="s">
        <v>369</v>
      </c>
      <c r="D3732" s="45" t="s">
        <v>5756</v>
      </c>
      <c r="E3732" t="s">
        <v>5270</v>
      </c>
      <c r="F3732" s="129" t="s">
        <v>5270</v>
      </c>
      <c r="G3732" s="135" t="s">
        <v>406</v>
      </c>
      <c r="H3732" s="129" t="str">
        <f>IF(Proc[[#This Row],[type]]="LFF (MDG-F)",MID(Proc[[#This Row],[Obj]],13,10),"")</f>
        <v>DE73R00021</v>
      </c>
      <c r="J3732" s="129" t="b">
        <f>Proc[[#This Row],[Requested]]=Proc[[#This Row],[CurrentParent]]</f>
        <v>1</v>
      </c>
      <c r="K3732" s="144" t="str">
        <f>IF(Proc[[#This Row],[Author]]="Marcela Urrego",VLOOKUP(LEFT(Proc[[#This Row],[Requested]],1),Table3[#All],2,0),VLOOKUP(Proc[[#This Row],[Author]],Table4[],2,0))</f>
        <v>LS</v>
      </c>
      <c r="L3732" s="129" t="s">
        <v>4894</v>
      </c>
      <c r="M3732" s="131">
        <v>45895</v>
      </c>
      <c r="N3732" s="131"/>
      <c r="O3732" s="131"/>
      <c r="P3732" s="136" t="str">
        <f ca="1">IF(Proc[[#This Row],[DaysAgeing]]&gt;5,"yep","on track")</f>
        <v>yep</v>
      </c>
      <c r="Q3732" s="3">
        <f ca="1">IF(Proc[[#This Row],[DateClosed]]="",ABS(NETWORKDAYS(Proc[[#This Row],[DateOpened]],TODAY()))-1,ABS(NETWORKDAYS(Proc[[#This Row],[DateOpened]],Proc[[#This Row],[DateClosed]]))-1)</f>
        <v>83</v>
      </c>
      <c r="R3732" s="131" t="s">
        <v>489</v>
      </c>
      <c r="S3732" s="129"/>
    </row>
    <row r="3733" spans="1:19" hidden="1">
      <c r="A3733" s="135" t="s">
        <v>5855</v>
      </c>
      <c r="B3733" s="149" t="str">
        <f>IFERROR(VLOOKUP(Proc[[#This Row],[App]],Table2[],3,0),"open")</f>
        <v>ok</v>
      </c>
      <c r="C3733" s="135" t="s">
        <v>369</v>
      </c>
      <c r="D3733" s="45" t="s">
        <v>5758</v>
      </c>
      <c r="E3733" t="s">
        <v>5270</v>
      </c>
      <c r="F3733" s="129" t="s">
        <v>5270</v>
      </c>
      <c r="G3733" s="135" t="s">
        <v>406</v>
      </c>
      <c r="H3733" s="129" t="str">
        <f>IF(Proc[[#This Row],[type]]="LFF (MDG-F)",MID(Proc[[#This Row],[Obj]],13,10),"")</f>
        <v>DE73R00013</v>
      </c>
      <c r="J3733" s="129" t="b">
        <f>Proc[[#This Row],[Requested]]=Proc[[#This Row],[CurrentParent]]</f>
        <v>1</v>
      </c>
      <c r="K3733" s="144" t="str">
        <f>IF(Proc[[#This Row],[Author]]="Marcela Urrego",VLOOKUP(LEFT(Proc[[#This Row],[Requested]],1),Table3[#All],2,0),VLOOKUP(Proc[[#This Row],[Author]],Table4[],2,0))</f>
        <v>LS</v>
      </c>
      <c r="L3733" s="129" t="s">
        <v>4894</v>
      </c>
      <c r="M3733" s="131">
        <v>45895</v>
      </c>
      <c r="N3733" s="131"/>
      <c r="O3733" s="131"/>
      <c r="P3733" s="136" t="str">
        <f ca="1">IF(Proc[[#This Row],[DaysAgeing]]&gt;5,"yep","on track")</f>
        <v>yep</v>
      </c>
      <c r="Q3733" s="3">
        <f ca="1">IF(Proc[[#This Row],[DateClosed]]="",ABS(NETWORKDAYS(Proc[[#This Row],[DateOpened]],TODAY()))-1,ABS(NETWORKDAYS(Proc[[#This Row],[DateOpened]],Proc[[#This Row],[DateClosed]]))-1)</f>
        <v>83</v>
      </c>
      <c r="R3733" s="131" t="s">
        <v>489</v>
      </c>
      <c r="S3733" s="129"/>
    </row>
    <row r="3734" spans="1:19" hidden="1">
      <c r="A3734" t="s">
        <v>5856</v>
      </c>
      <c r="B3734" s="149" t="str">
        <f>IFERROR(VLOOKUP(Proc[[#This Row],[App]],Table2[],3,0),"open")</f>
        <v>ok</v>
      </c>
      <c r="C3734" s="138" t="s">
        <v>369</v>
      </c>
      <c r="D3734" t="s">
        <v>5857</v>
      </c>
      <c r="E3734" t="s">
        <v>2274</v>
      </c>
      <c r="F3734" s="129" t="s">
        <v>2274</v>
      </c>
      <c r="G3734" t="s">
        <v>400</v>
      </c>
      <c r="H3734" s="129" t="str">
        <f>IF(Proc[[#This Row],[type]]="LFF (MDG-F)",MID(Proc[[#This Row],[Obj]],13,10),"")</f>
        <v/>
      </c>
      <c r="J3734" s="129" t="b">
        <f>Proc[[#This Row],[Requested]]=Proc[[#This Row],[CurrentParent]]</f>
        <v>1</v>
      </c>
      <c r="K3734" s="144" t="str">
        <f>IF(Proc[[#This Row],[Author]]="Marcela Urrego",VLOOKUP(LEFT(Proc[[#This Row],[Requested]],1),Table3[#All],2,0),VLOOKUP(Proc[[#This Row],[Author]],Table4[],2,0))</f>
        <v>HC</v>
      </c>
      <c r="L3734" s="129" t="s">
        <v>4894</v>
      </c>
      <c r="M3734" s="131">
        <v>45895</v>
      </c>
      <c r="N3734" s="131"/>
      <c r="O3734" s="131"/>
      <c r="P3734" s="136" t="str">
        <f ca="1">IF(Proc[[#This Row],[DaysAgeing]]&gt;5,"yep","on track")</f>
        <v>yep</v>
      </c>
      <c r="Q3734" s="3">
        <f ca="1">IF(Proc[[#This Row],[DateClosed]]="",ABS(NETWORKDAYS(Proc[[#This Row],[DateOpened]],TODAY()))-1,ABS(NETWORKDAYS(Proc[[#This Row],[DateOpened]],Proc[[#This Row],[DateClosed]]))-1)</f>
        <v>83</v>
      </c>
      <c r="R3734" s="136" t="s">
        <v>1013</v>
      </c>
      <c r="S3734" s="129"/>
    </row>
    <row r="3735" spans="1:19" hidden="1">
      <c r="A3735" s="135" t="s">
        <v>5856</v>
      </c>
      <c r="B3735" s="149" t="str">
        <f>IFERROR(VLOOKUP(Proc[[#This Row],[App]],Table2[],3,0),"open")</f>
        <v>ok</v>
      </c>
      <c r="C3735" s="138" t="s">
        <v>369</v>
      </c>
      <c r="D3735" t="s">
        <v>5858</v>
      </c>
      <c r="E3735" t="s">
        <v>2274</v>
      </c>
      <c r="F3735" s="129" t="s">
        <v>2274</v>
      </c>
      <c r="G3735" s="135" t="s">
        <v>400</v>
      </c>
      <c r="H3735" s="129" t="str">
        <f>IF(Proc[[#This Row],[type]]="LFF (MDG-F)",MID(Proc[[#This Row],[Obj]],13,10),"")</f>
        <v/>
      </c>
      <c r="J3735" s="129" t="b">
        <f>Proc[[#This Row],[Requested]]=Proc[[#This Row],[CurrentParent]]</f>
        <v>1</v>
      </c>
      <c r="K3735" s="144" t="str">
        <f>IF(Proc[[#This Row],[Author]]="Marcela Urrego",VLOOKUP(LEFT(Proc[[#This Row],[Requested]],1),Table3[#All],2,0),VLOOKUP(Proc[[#This Row],[Author]],Table4[],2,0))</f>
        <v>HC</v>
      </c>
      <c r="L3735" s="129" t="s">
        <v>4894</v>
      </c>
      <c r="M3735" s="131">
        <v>45895</v>
      </c>
      <c r="N3735" s="131"/>
      <c r="O3735" s="131"/>
      <c r="P3735" s="136" t="str">
        <f ca="1">IF(Proc[[#This Row],[DaysAgeing]]&gt;5,"yep","on track")</f>
        <v>yep</v>
      </c>
      <c r="Q3735" s="3">
        <f ca="1">IF(Proc[[#This Row],[DateClosed]]="",ABS(NETWORKDAYS(Proc[[#This Row],[DateOpened]],TODAY()))-1,ABS(NETWORKDAYS(Proc[[#This Row],[DateOpened]],Proc[[#This Row],[DateClosed]]))-1)</f>
        <v>83</v>
      </c>
      <c r="R3735" s="136" t="s">
        <v>1013</v>
      </c>
      <c r="S3735" s="129"/>
    </row>
    <row r="3736" spans="1:19" hidden="1">
      <c r="A3736" s="135" t="s">
        <v>5856</v>
      </c>
      <c r="B3736" s="149" t="str">
        <f>IFERROR(VLOOKUP(Proc[[#This Row],[App]],Table2[],3,0),"open")</f>
        <v>ok</v>
      </c>
      <c r="C3736" s="138" t="s">
        <v>369</v>
      </c>
      <c r="D3736" t="s">
        <v>5859</v>
      </c>
      <c r="E3736" t="s">
        <v>3004</v>
      </c>
      <c r="F3736" s="129" t="s">
        <v>3004</v>
      </c>
      <c r="G3736" s="135" t="s">
        <v>400</v>
      </c>
      <c r="H3736" s="129" t="str">
        <f>IF(Proc[[#This Row],[type]]="LFF (MDG-F)",MID(Proc[[#This Row],[Obj]],13,10),"")</f>
        <v/>
      </c>
      <c r="J3736" s="129" t="b">
        <f>Proc[[#This Row],[Requested]]=Proc[[#This Row],[CurrentParent]]</f>
        <v>1</v>
      </c>
      <c r="K3736" s="144" t="str">
        <f>IF(Proc[[#This Row],[Author]]="Marcela Urrego",VLOOKUP(LEFT(Proc[[#This Row],[Requested]],1),Table3[#All],2,0),VLOOKUP(Proc[[#This Row],[Author]],Table4[],2,0))</f>
        <v>HC</v>
      </c>
      <c r="L3736" s="129" t="s">
        <v>4894</v>
      </c>
      <c r="M3736" s="131">
        <v>45895</v>
      </c>
      <c r="N3736" s="131"/>
      <c r="O3736" s="131"/>
      <c r="P3736" s="136" t="str">
        <f ca="1">IF(Proc[[#This Row],[DaysAgeing]]&gt;5,"yep","on track")</f>
        <v>yep</v>
      </c>
      <c r="Q3736" s="3">
        <f ca="1">IF(Proc[[#This Row],[DateClosed]]="",ABS(NETWORKDAYS(Proc[[#This Row],[DateOpened]],TODAY()))-1,ABS(NETWORKDAYS(Proc[[#This Row],[DateOpened]],Proc[[#This Row],[DateClosed]]))-1)</f>
        <v>83</v>
      </c>
      <c r="R3736" s="136" t="s">
        <v>1013</v>
      </c>
      <c r="S3736" s="129"/>
    </row>
    <row r="3737" spans="1:19" hidden="1">
      <c r="A3737" s="135" t="s">
        <v>5856</v>
      </c>
      <c r="B3737" s="149" t="str">
        <f>IFERROR(VLOOKUP(Proc[[#This Row],[App]],Table2[],3,0),"open")</f>
        <v>ok</v>
      </c>
      <c r="C3737" s="138" t="s">
        <v>369</v>
      </c>
      <c r="D3737" t="s">
        <v>5860</v>
      </c>
      <c r="E3737" t="s">
        <v>4068</v>
      </c>
      <c r="F3737" s="129" t="s">
        <v>4068</v>
      </c>
      <c r="G3737" s="135" t="s">
        <v>400</v>
      </c>
      <c r="H3737" s="129" t="str">
        <f>IF(Proc[[#This Row],[type]]="LFF (MDG-F)",MID(Proc[[#This Row],[Obj]],13,10),"")</f>
        <v/>
      </c>
      <c r="J3737" s="129" t="b">
        <f>Proc[[#This Row],[Requested]]=Proc[[#This Row],[CurrentParent]]</f>
        <v>1</v>
      </c>
      <c r="K3737" s="144" t="str">
        <f>IF(Proc[[#This Row],[Author]]="Marcela Urrego",VLOOKUP(LEFT(Proc[[#This Row],[Requested]],1),Table3[#All],2,0),VLOOKUP(Proc[[#This Row],[Author]],Table4[],2,0))</f>
        <v>HC</v>
      </c>
      <c r="L3737" s="129" t="s">
        <v>4894</v>
      </c>
      <c r="M3737" s="131">
        <v>45895</v>
      </c>
      <c r="N3737" s="131"/>
      <c r="O3737" s="131"/>
      <c r="P3737" s="136" t="str">
        <f ca="1">IF(Proc[[#This Row],[DaysAgeing]]&gt;5,"yep","on track")</f>
        <v>yep</v>
      </c>
      <c r="Q3737" s="3">
        <f ca="1">IF(Proc[[#This Row],[DateClosed]]="",ABS(NETWORKDAYS(Proc[[#This Row],[DateOpened]],TODAY()))-1,ABS(NETWORKDAYS(Proc[[#This Row],[DateOpened]],Proc[[#This Row],[DateClosed]]))-1)</f>
        <v>83</v>
      </c>
      <c r="R3737" s="136" t="s">
        <v>1013</v>
      </c>
      <c r="S3737" s="129"/>
    </row>
    <row r="3738" spans="1:19" hidden="1">
      <c r="A3738" s="135" t="s">
        <v>5856</v>
      </c>
      <c r="B3738" s="149" t="str">
        <f>IFERROR(VLOOKUP(Proc[[#This Row],[App]],Table2[],3,0),"open")</f>
        <v>ok</v>
      </c>
      <c r="C3738" s="138" t="s">
        <v>369</v>
      </c>
      <c r="D3738" t="s">
        <v>5861</v>
      </c>
      <c r="E3738" t="s">
        <v>4068</v>
      </c>
      <c r="F3738" s="129" t="s">
        <v>4068</v>
      </c>
      <c r="G3738" s="135" t="s">
        <v>400</v>
      </c>
      <c r="H3738" s="129" t="str">
        <f>IF(Proc[[#This Row],[type]]="LFF (MDG-F)",MID(Proc[[#This Row],[Obj]],13,10),"")</f>
        <v/>
      </c>
      <c r="J3738" s="129" t="b">
        <f>Proc[[#This Row],[Requested]]=Proc[[#This Row],[CurrentParent]]</f>
        <v>1</v>
      </c>
      <c r="K3738" s="144" t="str">
        <f>IF(Proc[[#This Row],[Author]]="Marcela Urrego",VLOOKUP(LEFT(Proc[[#This Row],[Requested]],1),Table3[#All],2,0),VLOOKUP(Proc[[#This Row],[Author]],Table4[],2,0))</f>
        <v>HC</v>
      </c>
      <c r="L3738" s="129" t="s">
        <v>4894</v>
      </c>
      <c r="M3738" s="131">
        <v>45895</v>
      </c>
      <c r="N3738" s="131"/>
      <c r="O3738" s="131"/>
      <c r="P3738" s="136" t="str">
        <f ca="1">IF(Proc[[#This Row],[DaysAgeing]]&gt;5,"yep","on track")</f>
        <v>yep</v>
      </c>
      <c r="Q3738" s="3">
        <f ca="1">IF(Proc[[#This Row],[DateClosed]]="",ABS(NETWORKDAYS(Proc[[#This Row],[DateOpened]],TODAY()))-1,ABS(NETWORKDAYS(Proc[[#This Row],[DateOpened]],Proc[[#This Row],[DateClosed]]))-1)</f>
        <v>83</v>
      </c>
      <c r="R3738" s="136" t="s">
        <v>1013</v>
      </c>
      <c r="S3738" s="129"/>
    </row>
    <row r="3739" spans="1:19" hidden="1">
      <c r="A3739" s="135" t="s">
        <v>5856</v>
      </c>
      <c r="B3739" s="149" t="str">
        <f>IFERROR(VLOOKUP(Proc[[#This Row],[App]],Table2[],3,0),"open")</f>
        <v>ok</v>
      </c>
      <c r="C3739" s="138" t="s">
        <v>369</v>
      </c>
      <c r="D3739" t="s">
        <v>5862</v>
      </c>
      <c r="E3739" t="s">
        <v>4068</v>
      </c>
      <c r="F3739" s="129" t="s">
        <v>4068</v>
      </c>
      <c r="G3739" s="135" t="s">
        <v>400</v>
      </c>
      <c r="H3739" s="129" t="str">
        <f>IF(Proc[[#This Row],[type]]="LFF (MDG-F)",MID(Proc[[#This Row],[Obj]],13,10),"")</f>
        <v/>
      </c>
      <c r="J3739" s="129" t="b">
        <f>Proc[[#This Row],[Requested]]=Proc[[#This Row],[CurrentParent]]</f>
        <v>1</v>
      </c>
      <c r="K3739" s="144" t="str">
        <f>IF(Proc[[#This Row],[Author]]="Marcela Urrego",VLOOKUP(LEFT(Proc[[#This Row],[Requested]],1),Table3[#All],2,0),VLOOKUP(Proc[[#This Row],[Author]],Table4[],2,0))</f>
        <v>HC</v>
      </c>
      <c r="L3739" s="129" t="s">
        <v>4894</v>
      </c>
      <c r="M3739" s="131">
        <v>45895</v>
      </c>
      <c r="N3739" s="131"/>
      <c r="O3739" s="131"/>
      <c r="P3739" s="136" t="str">
        <f ca="1">IF(Proc[[#This Row],[DaysAgeing]]&gt;5,"yep","on track")</f>
        <v>yep</v>
      </c>
      <c r="Q3739" s="3">
        <f ca="1">IF(Proc[[#This Row],[DateClosed]]="",ABS(NETWORKDAYS(Proc[[#This Row],[DateOpened]],TODAY()))-1,ABS(NETWORKDAYS(Proc[[#This Row],[DateOpened]],Proc[[#This Row],[DateClosed]]))-1)</f>
        <v>83</v>
      </c>
      <c r="R3739" s="136" t="s">
        <v>1013</v>
      </c>
      <c r="S3739" s="129"/>
    </row>
    <row r="3740" spans="1:19" hidden="1">
      <c r="A3740" s="135" t="s">
        <v>5856</v>
      </c>
      <c r="B3740" s="149" t="str">
        <f>IFERROR(VLOOKUP(Proc[[#This Row],[App]],Table2[],3,0),"open")</f>
        <v>ok</v>
      </c>
      <c r="C3740" s="138" t="s">
        <v>369</v>
      </c>
      <c r="D3740" t="s">
        <v>5863</v>
      </c>
      <c r="E3740" t="s">
        <v>4068</v>
      </c>
      <c r="F3740" s="129" t="s">
        <v>4068</v>
      </c>
      <c r="G3740" s="135" t="s">
        <v>400</v>
      </c>
      <c r="H3740" s="129" t="str">
        <f>IF(Proc[[#This Row],[type]]="LFF (MDG-F)",MID(Proc[[#This Row],[Obj]],13,10),"")</f>
        <v/>
      </c>
      <c r="J3740" s="129" t="b">
        <f>Proc[[#This Row],[Requested]]=Proc[[#This Row],[CurrentParent]]</f>
        <v>1</v>
      </c>
      <c r="K3740" s="144" t="str">
        <f>IF(Proc[[#This Row],[Author]]="Marcela Urrego",VLOOKUP(LEFT(Proc[[#This Row],[Requested]],1),Table3[#All],2,0),VLOOKUP(Proc[[#This Row],[Author]],Table4[],2,0))</f>
        <v>HC</v>
      </c>
      <c r="L3740" s="129" t="s">
        <v>4894</v>
      </c>
      <c r="M3740" s="131">
        <v>45895</v>
      </c>
      <c r="N3740" s="131"/>
      <c r="O3740" s="131"/>
      <c r="P3740" s="136" t="str">
        <f ca="1">IF(Proc[[#This Row],[DaysAgeing]]&gt;5,"yep","on track")</f>
        <v>yep</v>
      </c>
      <c r="Q3740" s="3">
        <f ca="1">IF(Proc[[#This Row],[DateClosed]]="",ABS(NETWORKDAYS(Proc[[#This Row],[DateOpened]],TODAY()))-1,ABS(NETWORKDAYS(Proc[[#This Row],[DateOpened]],Proc[[#This Row],[DateClosed]]))-1)</f>
        <v>83</v>
      </c>
      <c r="R3740" s="136" t="s">
        <v>1013</v>
      </c>
      <c r="S3740" s="129"/>
    </row>
    <row r="3741" spans="1:19" hidden="1">
      <c r="A3741" s="135" t="s">
        <v>5856</v>
      </c>
      <c r="B3741" s="149" t="str">
        <f>IFERROR(VLOOKUP(Proc[[#This Row],[App]],Table2[],3,0),"open")</f>
        <v>ok</v>
      </c>
      <c r="C3741" s="138" t="s">
        <v>369</v>
      </c>
      <c r="D3741" t="s">
        <v>5864</v>
      </c>
      <c r="E3741" t="s">
        <v>4068</v>
      </c>
      <c r="F3741" s="129" t="s">
        <v>4068</v>
      </c>
      <c r="G3741" s="135" t="s">
        <v>400</v>
      </c>
      <c r="H3741" s="129" t="str">
        <f>IF(Proc[[#This Row],[type]]="LFF (MDG-F)",MID(Proc[[#This Row],[Obj]],13,10),"")</f>
        <v/>
      </c>
      <c r="J3741" s="129" t="b">
        <f>Proc[[#This Row],[Requested]]=Proc[[#This Row],[CurrentParent]]</f>
        <v>1</v>
      </c>
      <c r="K3741" s="144" t="str">
        <f>IF(Proc[[#This Row],[Author]]="Marcela Urrego",VLOOKUP(LEFT(Proc[[#This Row],[Requested]],1),Table3[#All],2,0),VLOOKUP(Proc[[#This Row],[Author]],Table4[],2,0))</f>
        <v>HC</v>
      </c>
      <c r="L3741" s="129" t="s">
        <v>4894</v>
      </c>
      <c r="M3741" s="131">
        <v>45895</v>
      </c>
      <c r="N3741" s="131"/>
      <c r="O3741" s="131"/>
      <c r="P3741" s="136" t="str">
        <f ca="1">IF(Proc[[#This Row],[DaysAgeing]]&gt;5,"yep","on track")</f>
        <v>yep</v>
      </c>
      <c r="Q3741" s="3">
        <f ca="1">IF(Proc[[#This Row],[DateClosed]]="",ABS(NETWORKDAYS(Proc[[#This Row],[DateOpened]],TODAY()))-1,ABS(NETWORKDAYS(Proc[[#This Row],[DateOpened]],Proc[[#This Row],[DateClosed]]))-1)</f>
        <v>83</v>
      </c>
      <c r="R3741" s="136" t="s">
        <v>1013</v>
      </c>
      <c r="S3741" s="129"/>
    </row>
    <row r="3742" spans="1:19" hidden="1">
      <c r="A3742" s="135" t="s">
        <v>5856</v>
      </c>
      <c r="B3742" s="149" t="str">
        <f>IFERROR(VLOOKUP(Proc[[#This Row],[App]],Table2[],3,0),"open")</f>
        <v>ok</v>
      </c>
      <c r="C3742" s="138" t="s">
        <v>369</v>
      </c>
      <c r="D3742" t="s">
        <v>5865</v>
      </c>
      <c r="E3742" t="s">
        <v>4068</v>
      </c>
      <c r="F3742" s="129" t="s">
        <v>4068</v>
      </c>
      <c r="G3742" s="135" t="s">
        <v>400</v>
      </c>
      <c r="H3742" s="129" t="str">
        <f>IF(Proc[[#This Row],[type]]="LFF (MDG-F)",MID(Proc[[#This Row],[Obj]],13,10),"")</f>
        <v/>
      </c>
      <c r="J3742" s="129" t="b">
        <f>Proc[[#This Row],[Requested]]=Proc[[#This Row],[CurrentParent]]</f>
        <v>1</v>
      </c>
      <c r="K3742" s="144" t="str">
        <f>IF(Proc[[#This Row],[Author]]="Marcela Urrego",VLOOKUP(LEFT(Proc[[#This Row],[Requested]],1),Table3[#All],2,0),VLOOKUP(Proc[[#This Row],[Author]],Table4[],2,0))</f>
        <v>HC</v>
      </c>
      <c r="L3742" s="129" t="s">
        <v>4894</v>
      </c>
      <c r="M3742" s="131">
        <v>45895</v>
      </c>
      <c r="N3742" s="131"/>
      <c r="O3742" s="131"/>
      <c r="P3742" s="136" t="str">
        <f ca="1">IF(Proc[[#This Row],[DaysAgeing]]&gt;5,"yep","on track")</f>
        <v>yep</v>
      </c>
      <c r="Q3742" s="3">
        <f ca="1">IF(Proc[[#This Row],[DateClosed]]="",ABS(NETWORKDAYS(Proc[[#This Row],[DateOpened]],TODAY()))-1,ABS(NETWORKDAYS(Proc[[#This Row],[DateOpened]],Proc[[#This Row],[DateClosed]]))-1)</f>
        <v>83</v>
      </c>
      <c r="R3742" s="136" t="s">
        <v>1013</v>
      </c>
      <c r="S3742" s="129"/>
    </row>
    <row r="3743" spans="1:19" hidden="1">
      <c r="A3743" s="135" t="s">
        <v>5856</v>
      </c>
      <c r="B3743" s="149" t="str">
        <f>IFERROR(VLOOKUP(Proc[[#This Row],[App]],Table2[],3,0),"open")</f>
        <v>ok</v>
      </c>
      <c r="C3743" s="138" t="s">
        <v>369</v>
      </c>
      <c r="D3743" t="s">
        <v>5866</v>
      </c>
      <c r="E3743" t="s">
        <v>2274</v>
      </c>
      <c r="F3743" s="129" t="s">
        <v>2274</v>
      </c>
      <c r="G3743" s="135" t="s">
        <v>400</v>
      </c>
      <c r="H3743" s="129" t="str">
        <f>IF(Proc[[#This Row],[type]]="LFF (MDG-F)",MID(Proc[[#This Row],[Obj]],13,10),"")</f>
        <v/>
      </c>
      <c r="J3743" s="129" t="b">
        <f>Proc[[#This Row],[Requested]]=Proc[[#This Row],[CurrentParent]]</f>
        <v>1</v>
      </c>
      <c r="K3743" s="144" t="str">
        <f>IF(Proc[[#This Row],[Author]]="Marcela Urrego",VLOOKUP(LEFT(Proc[[#This Row],[Requested]],1),Table3[#All],2,0),VLOOKUP(Proc[[#This Row],[Author]],Table4[],2,0))</f>
        <v>HC</v>
      </c>
      <c r="L3743" s="129" t="s">
        <v>4894</v>
      </c>
      <c r="M3743" s="131">
        <v>45895</v>
      </c>
      <c r="N3743" s="131"/>
      <c r="O3743" s="131"/>
      <c r="P3743" s="136" t="str">
        <f ca="1">IF(Proc[[#This Row],[DaysAgeing]]&gt;5,"yep","on track")</f>
        <v>yep</v>
      </c>
      <c r="Q3743" s="3">
        <f ca="1">IF(Proc[[#This Row],[DateClosed]]="",ABS(NETWORKDAYS(Proc[[#This Row],[DateOpened]],TODAY()))-1,ABS(NETWORKDAYS(Proc[[#This Row],[DateOpened]],Proc[[#This Row],[DateClosed]]))-1)</f>
        <v>83</v>
      </c>
      <c r="R3743" s="136" t="s">
        <v>1013</v>
      </c>
      <c r="S3743" s="129"/>
    </row>
    <row r="3744" spans="1:19" hidden="1">
      <c r="A3744" s="135" t="s">
        <v>5856</v>
      </c>
      <c r="B3744" s="149" t="str">
        <f>IFERROR(VLOOKUP(Proc[[#This Row],[App]],Table2[],3,0),"open")</f>
        <v>ok</v>
      </c>
      <c r="C3744" s="138" t="s">
        <v>369</v>
      </c>
      <c r="D3744" t="s">
        <v>5867</v>
      </c>
      <c r="E3744" t="s">
        <v>4068</v>
      </c>
      <c r="F3744" s="129" t="s">
        <v>4068</v>
      </c>
      <c r="G3744" s="135" t="s">
        <v>400</v>
      </c>
      <c r="H3744" s="129" t="str">
        <f>IF(Proc[[#This Row],[type]]="LFF (MDG-F)",MID(Proc[[#This Row],[Obj]],13,10),"")</f>
        <v/>
      </c>
      <c r="J3744" s="129" t="b">
        <f>Proc[[#This Row],[Requested]]=Proc[[#This Row],[CurrentParent]]</f>
        <v>1</v>
      </c>
      <c r="K3744" s="144" t="str">
        <f>IF(Proc[[#This Row],[Author]]="Marcela Urrego",VLOOKUP(LEFT(Proc[[#This Row],[Requested]],1),Table3[#All],2,0),VLOOKUP(Proc[[#This Row],[Author]],Table4[],2,0))</f>
        <v>HC</v>
      </c>
      <c r="L3744" s="129" t="s">
        <v>4894</v>
      </c>
      <c r="M3744" s="131">
        <v>45895</v>
      </c>
      <c r="N3744" s="131"/>
      <c r="O3744" s="131"/>
      <c r="P3744" s="136" t="str">
        <f ca="1">IF(Proc[[#This Row],[DaysAgeing]]&gt;5,"yep","on track")</f>
        <v>yep</v>
      </c>
      <c r="Q3744" s="3">
        <f ca="1">IF(Proc[[#This Row],[DateClosed]]="",ABS(NETWORKDAYS(Proc[[#This Row],[DateOpened]],TODAY()))-1,ABS(NETWORKDAYS(Proc[[#This Row],[DateOpened]],Proc[[#This Row],[DateClosed]]))-1)</f>
        <v>83</v>
      </c>
      <c r="R3744" s="136" t="s">
        <v>1013</v>
      </c>
      <c r="S3744" s="129"/>
    </row>
    <row r="3745" spans="1:19" hidden="1">
      <c r="A3745" s="135" t="s">
        <v>5856</v>
      </c>
      <c r="B3745" s="149" t="str">
        <f>IFERROR(VLOOKUP(Proc[[#This Row],[App]],Table2[],3,0),"open")</f>
        <v>ok</v>
      </c>
      <c r="C3745" s="138" t="s">
        <v>369</v>
      </c>
      <c r="D3745" t="s">
        <v>5868</v>
      </c>
      <c r="E3745" t="s">
        <v>4068</v>
      </c>
      <c r="F3745" s="129" t="s">
        <v>4068</v>
      </c>
      <c r="G3745" s="135" t="s">
        <v>400</v>
      </c>
      <c r="H3745" s="129" t="str">
        <f>IF(Proc[[#This Row],[type]]="LFF (MDG-F)",MID(Proc[[#This Row],[Obj]],13,10),"")</f>
        <v/>
      </c>
      <c r="J3745" s="129" t="b">
        <f>Proc[[#This Row],[Requested]]=Proc[[#This Row],[CurrentParent]]</f>
        <v>1</v>
      </c>
      <c r="K3745" s="144" t="str">
        <f>IF(Proc[[#This Row],[Author]]="Marcela Urrego",VLOOKUP(LEFT(Proc[[#This Row],[Requested]],1),Table3[#All],2,0),VLOOKUP(Proc[[#This Row],[Author]],Table4[],2,0))</f>
        <v>HC</v>
      </c>
      <c r="L3745" s="129" t="s">
        <v>4894</v>
      </c>
      <c r="M3745" s="131">
        <v>45895</v>
      </c>
      <c r="N3745" s="131"/>
      <c r="O3745" s="131"/>
      <c r="P3745" s="136" t="str">
        <f ca="1">IF(Proc[[#This Row],[DaysAgeing]]&gt;5,"yep","on track")</f>
        <v>yep</v>
      </c>
      <c r="Q3745" s="3">
        <f ca="1">IF(Proc[[#This Row],[DateClosed]]="",ABS(NETWORKDAYS(Proc[[#This Row],[DateOpened]],TODAY()))-1,ABS(NETWORKDAYS(Proc[[#This Row],[DateOpened]],Proc[[#This Row],[DateClosed]]))-1)</f>
        <v>83</v>
      </c>
      <c r="R3745" s="136" t="s">
        <v>1013</v>
      </c>
      <c r="S3745" s="129"/>
    </row>
    <row r="3746" spans="1:19" hidden="1">
      <c r="A3746" s="135" t="s">
        <v>5856</v>
      </c>
      <c r="B3746" s="149" t="str">
        <f>IFERROR(VLOOKUP(Proc[[#This Row],[App]],Table2[],3,0),"open")</f>
        <v>ok</v>
      </c>
      <c r="C3746" s="138" t="s">
        <v>369</v>
      </c>
      <c r="D3746" t="s">
        <v>5869</v>
      </c>
      <c r="E3746" t="s">
        <v>4068</v>
      </c>
      <c r="F3746" s="129" t="s">
        <v>4068</v>
      </c>
      <c r="G3746" s="135" t="s">
        <v>400</v>
      </c>
      <c r="H3746" s="129" t="str">
        <f>IF(Proc[[#This Row],[type]]="LFF (MDG-F)",MID(Proc[[#This Row],[Obj]],13,10),"")</f>
        <v/>
      </c>
      <c r="J3746" s="129" t="b">
        <f>Proc[[#This Row],[Requested]]=Proc[[#This Row],[CurrentParent]]</f>
        <v>1</v>
      </c>
      <c r="K3746" s="144" t="str">
        <f>IF(Proc[[#This Row],[Author]]="Marcela Urrego",VLOOKUP(LEFT(Proc[[#This Row],[Requested]],1),Table3[#All],2,0),VLOOKUP(Proc[[#This Row],[Author]],Table4[],2,0))</f>
        <v>HC</v>
      </c>
      <c r="L3746" s="129" t="s">
        <v>4894</v>
      </c>
      <c r="M3746" s="131">
        <v>45895</v>
      </c>
      <c r="N3746" s="131"/>
      <c r="O3746" s="131"/>
      <c r="P3746" s="136" t="str">
        <f ca="1">IF(Proc[[#This Row],[DaysAgeing]]&gt;5,"yep","on track")</f>
        <v>yep</v>
      </c>
      <c r="Q3746" s="3">
        <f ca="1">IF(Proc[[#This Row],[DateClosed]]="",ABS(NETWORKDAYS(Proc[[#This Row],[DateOpened]],TODAY()))-1,ABS(NETWORKDAYS(Proc[[#This Row],[DateOpened]],Proc[[#This Row],[DateClosed]]))-1)</f>
        <v>83</v>
      </c>
      <c r="R3746" s="136" t="s">
        <v>1013</v>
      </c>
      <c r="S3746" s="129"/>
    </row>
    <row r="3747" spans="1:19" hidden="1">
      <c r="A3747" s="135" t="s">
        <v>5856</v>
      </c>
      <c r="B3747" s="149" t="str">
        <f>IFERROR(VLOOKUP(Proc[[#This Row],[App]],Table2[],3,0),"open")</f>
        <v>ok</v>
      </c>
      <c r="C3747" s="138" t="s">
        <v>369</v>
      </c>
      <c r="D3747" t="s">
        <v>5870</v>
      </c>
      <c r="E3747" t="s">
        <v>4068</v>
      </c>
      <c r="F3747" s="129" t="s">
        <v>4068</v>
      </c>
      <c r="G3747" s="135" t="s">
        <v>400</v>
      </c>
      <c r="H3747" s="129" t="str">
        <f>IF(Proc[[#This Row],[type]]="LFF (MDG-F)",MID(Proc[[#This Row],[Obj]],13,10),"")</f>
        <v/>
      </c>
      <c r="J3747" s="129" t="b">
        <f>Proc[[#This Row],[Requested]]=Proc[[#This Row],[CurrentParent]]</f>
        <v>1</v>
      </c>
      <c r="K3747" s="144" t="str">
        <f>IF(Proc[[#This Row],[Author]]="Marcela Urrego",VLOOKUP(LEFT(Proc[[#This Row],[Requested]],1),Table3[#All],2,0),VLOOKUP(Proc[[#This Row],[Author]],Table4[],2,0))</f>
        <v>HC</v>
      </c>
      <c r="L3747" s="129" t="s">
        <v>4894</v>
      </c>
      <c r="M3747" s="131">
        <v>45895</v>
      </c>
      <c r="N3747" s="131"/>
      <c r="O3747" s="131"/>
      <c r="P3747" s="136" t="str">
        <f ca="1">IF(Proc[[#This Row],[DaysAgeing]]&gt;5,"yep","on track")</f>
        <v>yep</v>
      </c>
      <c r="Q3747" s="3">
        <f ca="1">IF(Proc[[#This Row],[DateClosed]]="",ABS(NETWORKDAYS(Proc[[#This Row],[DateOpened]],TODAY()))-1,ABS(NETWORKDAYS(Proc[[#This Row],[DateOpened]],Proc[[#This Row],[DateClosed]]))-1)</f>
        <v>83</v>
      </c>
      <c r="R3747" s="136" t="s">
        <v>1013</v>
      </c>
      <c r="S3747" s="129"/>
    </row>
    <row r="3748" spans="1:19" hidden="1">
      <c r="A3748" s="135" t="s">
        <v>5856</v>
      </c>
      <c r="B3748" s="149" t="str">
        <f>IFERROR(VLOOKUP(Proc[[#This Row],[App]],Table2[],3,0),"open")</f>
        <v>ok</v>
      </c>
      <c r="C3748" s="138" t="s">
        <v>369</v>
      </c>
      <c r="D3748" t="s">
        <v>5871</v>
      </c>
      <c r="E3748" t="s">
        <v>4068</v>
      </c>
      <c r="F3748" s="129" t="s">
        <v>4068</v>
      </c>
      <c r="G3748" s="135" t="s">
        <v>400</v>
      </c>
      <c r="H3748" s="129" t="str">
        <f>IF(Proc[[#This Row],[type]]="LFF (MDG-F)",MID(Proc[[#This Row],[Obj]],13,10),"")</f>
        <v/>
      </c>
      <c r="J3748" s="129" t="b">
        <f>Proc[[#This Row],[Requested]]=Proc[[#This Row],[CurrentParent]]</f>
        <v>1</v>
      </c>
      <c r="K3748" s="144" t="str">
        <f>IF(Proc[[#This Row],[Author]]="Marcela Urrego",VLOOKUP(LEFT(Proc[[#This Row],[Requested]],1),Table3[#All],2,0),VLOOKUP(Proc[[#This Row],[Author]],Table4[],2,0))</f>
        <v>HC</v>
      </c>
      <c r="L3748" s="129" t="s">
        <v>4894</v>
      </c>
      <c r="M3748" s="131">
        <v>45895</v>
      </c>
      <c r="N3748" s="131"/>
      <c r="O3748" s="131"/>
      <c r="P3748" s="136" t="str">
        <f ca="1">IF(Proc[[#This Row],[DaysAgeing]]&gt;5,"yep","on track")</f>
        <v>yep</v>
      </c>
      <c r="Q3748" s="3">
        <f ca="1">IF(Proc[[#This Row],[DateClosed]]="",ABS(NETWORKDAYS(Proc[[#This Row],[DateOpened]],TODAY()))-1,ABS(NETWORKDAYS(Proc[[#This Row],[DateOpened]],Proc[[#This Row],[DateClosed]]))-1)</f>
        <v>83</v>
      </c>
      <c r="R3748" s="136" t="s">
        <v>1013</v>
      </c>
      <c r="S3748" s="129"/>
    </row>
    <row r="3749" spans="1:19" hidden="1">
      <c r="A3749" s="135" t="s">
        <v>5856</v>
      </c>
      <c r="B3749" s="149" t="str">
        <f>IFERROR(VLOOKUP(Proc[[#This Row],[App]],Table2[],3,0),"open")</f>
        <v>ok</v>
      </c>
      <c r="C3749" s="138" t="s">
        <v>369</v>
      </c>
      <c r="D3749" t="s">
        <v>5872</v>
      </c>
      <c r="E3749" t="s">
        <v>3740</v>
      </c>
      <c r="F3749" s="129" t="s">
        <v>3740</v>
      </c>
      <c r="G3749" s="135" t="s">
        <v>400</v>
      </c>
      <c r="H3749" s="129" t="str">
        <f>IF(Proc[[#This Row],[type]]="LFF (MDG-F)",MID(Proc[[#This Row],[Obj]],13,10),"")</f>
        <v/>
      </c>
      <c r="J3749" s="129" t="b">
        <f>Proc[[#This Row],[Requested]]=Proc[[#This Row],[CurrentParent]]</f>
        <v>1</v>
      </c>
      <c r="K3749" s="144" t="str">
        <f>IF(Proc[[#This Row],[Author]]="Marcela Urrego",VLOOKUP(LEFT(Proc[[#This Row],[Requested]],1),Table3[#All],2,0),VLOOKUP(Proc[[#This Row],[Author]],Table4[],2,0))</f>
        <v>HC</v>
      </c>
      <c r="L3749" s="129" t="s">
        <v>4894</v>
      </c>
      <c r="M3749" s="131">
        <v>45895</v>
      </c>
      <c r="N3749" s="131"/>
      <c r="O3749" s="131"/>
      <c r="P3749" s="136" t="str">
        <f ca="1">IF(Proc[[#This Row],[DaysAgeing]]&gt;5,"yep","on track")</f>
        <v>yep</v>
      </c>
      <c r="Q3749" s="3">
        <f ca="1">IF(Proc[[#This Row],[DateClosed]]="",ABS(NETWORKDAYS(Proc[[#This Row],[DateOpened]],TODAY()))-1,ABS(NETWORKDAYS(Proc[[#This Row],[DateOpened]],Proc[[#This Row],[DateClosed]]))-1)</f>
        <v>83</v>
      </c>
      <c r="R3749" s="136" t="s">
        <v>1013</v>
      </c>
      <c r="S3749" s="129"/>
    </row>
    <row r="3750" spans="1:19" hidden="1">
      <c r="A3750" s="135" t="s">
        <v>5856</v>
      </c>
      <c r="B3750" s="149" t="str">
        <f>IFERROR(VLOOKUP(Proc[[#This Row],[App]],Table2[],3,0),"open")</f>
        <v>ok</v>
      </c>
      <c r="C3750" s="138" t="s">
        <v>369</v>
      </c>
      <c r="D3750" t="s">
        <v>5873</v>
      </c>
      <c r="E3750" t="s">
        <v>4068</v>
      </c>
      <c r="F3750" s="129" t="s">
        <v>4068</v>
      </c>
      <c r="G3750" s="135" t="s">
        <v>400</v>
      </c>
      <c r="H3750" s="129" t="str">
        <f>IF(Proc[[#This Row],[type]]="LFF (MDG-F)",MID(Proc[[#This Row],[Obj]],13,10),"")</f>
        <v/>
      </c>
      <c r="J3750" s="129" t="b">
        <f>Proc[[#This Row],[Requested]]=Proc[[#This Row],[CurrentParent]]</f>
        <v>1</v>
      </c>
      <c r="K3750" s="144" t="str">
        <f>IF(Proc[[#This Row],[Author]]="Marcela Urrego",VLOOKUP(LEFT(Proc[[#This Row],[Requested]],1),Table3[#All],2,0),VLOOKUP(Proc[[#This Row],[Author]],Table4[],2,0))</f>
        <v>HC</v>
      </c>
      <c r="L3750" s="129" t="s">
        <v>4894</v>
      </c>
      <c r="M3750" s="131">
        <v>45895</v>
      </c>
      <c r="N3750" s="131"/>
      <c r="O3750" s="131"/>
      <c r="P3750" s="136" t="str">
        <f ca="1">IF(Proc[[#This Row],[DaysAgeing]]&gt;5,"yep","on track")</f>
        <v>yep</v>
      </c>
      <c r="Q3750" s="3">
        <f ca="1">IF(Proc[[#This Row],[DateClosed]]="",ABS(NETWORKDAYS(Proc[[#This Row],[DateOpened]],TODAY()))-1,ABS(NETWORKDAYS(Proc[[#This Row],[DateOpened]],Proc[[#This Row],[DateClosed]]))-1)</f>
        <v>83</v>
      </c>
      <c r="R3750" s="136" t="s">
        <v>1013</v>
      </c>
      <c r="S3750" s="129"/>
    </row>
    <row r="3751" spans="1:19" hidden="1">
      <c r="A3751" s="135" t="s">
        <v>5856</v>
      </c>
      <c r="B3751" s="149" t="str">
        <f>IFERROR(VLOOKUP(Proc[[#This Row],[App]],Table2[],3,0),"open")</f>
        <v>ok</v>
      </c>
      <c r="C3751" s="138" t="s">
        <v>369</v>
      </c>
      <c r="D3751" t="s">
        <v>5874</v>
      </c>
      <c r="E3751" t="s">
        <v>3004</v>
      </c>
      <c r="F3751" s="129" t="s">
        <v>3004</v>
      </c>
      <c r="G3751" s="135" t="s">
        <v>400</v>
      </c>
      <c r="H3751" s="129" t="str">
        <f>IF(Proc[[#This Row],[type]]="LFF (MDG-F)",MID(Proc[[#This Row],[Obj]],13,10),"")</f>
        <v/>
      </c>
      <c r="J3751" s="129" t="b">
        <f>Proc[[#This Row],[Requested]]=Proc[[#This Row],[CurrentParent]]</f>
        <v>1</v>
      </c>
      <c r="K3751" s="144" t="str">
        <f>IF(Proc[[#This Row],[Author]]="Marcela Urrego",VLOOKUP(LEFT(Proc[[#This Row],[Requested]],1),Table3[#All],2,0),VLOOKUP(Proc[[#This Row],[Author]],Table4[],2,0))</f>
        <v>HC</v>
      </c>
      <c r="L3751" s="129" t="s">
        <v>4894</v>
      </c>
      <c r="M3751" s="131">
        <v>45895</v>
      </c>
      <c r="N3751" s="131"/>
      <c r="O3751" s="131"/>
      <c r="P3751" s="136" t="str">
        <f ca="1">IF(Proc[[#This Row],[DaysAgeing]]&gt;5,"yep","on track")</f>
        <v>yep</v>
      </c>
      <c r="Q3751" s="3">
        <f ca="1">IF(Proc[[#This Row],[DateClosed]]="",ABS(NETWORKDAYS(Proc[[#This Row],[DateOpened]],TODAY()))-1,ABS(NETWORKDAYS(Proc[[#This Row],[DateOpened]],Proc[[#This Row],[DateClosed]]))-1)</f>
        <v>83</v>
      </c>
      <c r="R3751" s="136" t="s">
        <v>1013</v>
      </c>
      <c r="S3751" s="129"/>
    </row>
    <row r="3752" spans="1:19" hidden="1">
      <c r="A3752" s="135" t="s">
        <v>5856</v>
      </c>
      <c r="B3752" s="149" t="str">
        <f>IFERROR(VLOOKUP(Proc[[#This Row],[App]],Table2[],3,0),"open")</f>
        <v>ok</v>
      </c>
      <c r="C3752" s="138" t="s">
        <v>369</v>
      </c>
      <c r="D3752" t="s">
        <v>5875</v>
      </c>
      <c r="E3752" t="s">
        <v>3004</v>
      </c>
      <c r="F3752" s="129" t="s">
        <v>3004</v>
      </c>
      <c r="G3752" s="135" t="s">
        <v>400</v>
      </c>
      <c r="H3752" s="129" t="str">
        <f>IF(Proc[[#This Row],[type]]="LFF (MDG-F)",MID(Proc[[#This Row],[Obj]],13,10),"")</f>
        <v/>
      </c>
      <c r="J3752" s="129" t="b">
        <f>Proc[[#This Row],[Requested]]=Proc[[#This Row],[CurrentParent]]</f>
        <v>1</v>
      </c>
      <c r="K3752" s="144" t="str">
        <f>IF(Proc[[#This Row],[Author]]="Marcela Urrego",VLOOKUP(LEFT(Proc[[#This Row],[Requested]],1),Table3[#All],2,0),VLOOKUP(Proc[[#This Row],[Author]],Table4[],2,0))</f>
        <v>HC</v>
      </c>
      <c r="L3752" s="129" t="s">
        <v>4894</v>
      </c>
      <c r="M3752" s="131">
        <v>45895</v>
      </c>
      <c r="N3752" s="131"/>
      <c r="O3752" s="131"/>
      <c r="P3752" s="136" t="str">
        <f ca="1">IF(Proc[[#This Row],[DaysAgeing]]&gt;5,"yep","on track")</f>
        <v>yep</v>
      </c>
      <c r="Q3752" s="3">
        <f ca="1">IF(Proc[[#This Row],[DateClosed]]="",ABS(NETWORKDAYS(Proc[[#This Row],[DateOpened]],TODAY()))-1,ABS(NETWORKDAYS(Proc[[#This Row],[DateOpened]],Proc[[#This Row],[DateClosed]]))-1)</f>
        <v>83</v>
      </c>
      <c r="R3752" s="136" t="s">
        <v>1013</v>
      </c>
      <c r="S3752" s="129"/>
    </row>
    <row r="3753" spans="1:19" hidden="1">
      <c r="A3753" s="135" t="s">
        <v>5856</v>
      </c>
      <c r="B3753" s="149" t="str">
        <f>IFERROR(VLOOKUP(Proc[[#This Row],[App]],Table2[],3,0),"open")</f>
        <v>ok</v>
      </c>
      <c r="C3753" s="138" t="s">
        <v>369</v>
      </c>
      <c r="D3753" t="s">
        <v>5876</v>
      </c>
      <c r="E3753" t="s">
        <v>3004</v>
      </c>
      <c r="F3753" s="129" t="s">
        <v>3004</v>
      </c>
      <c r="G3753" s="135" t="s">
        <v>400</v>
      </c>
      <c r="H3753" s="129" t="str">
        <f>IF(Proc[[#This Row],[type]]="LFF (MDG-F)",MID(Proc[[#This Row],[Obj]],13,10),"")</f>
        <v/>
      </c>
      <c r="J3753" s="129" t="b">
        <f>Proc[[#This Row],[Requested]]=Proc[[#This Row],[CurrentParent]]</f>
        <v>1</v>
      </c>
      <c r="K3753" s="144" t="str">
        <f>IF(Proc[[#This Row],[Author]]="Marcela Urrego",VLOOKUP(LEFT(Proc[[#This Row],[Requested]],1),Table3[#All],2,0),VLOOKUP(Proc[[#This Row],[Author]],Table4[],2,0))</f>
        <v>HC</v>
      </c>
      <c r="L3753" s="129" t="s">
        <v>4894</v>
      </c>
      <c r="M3753" s="131">
        <v>45895</v>
      </c>
      <c r="N3753" s="131"/>
      <c r="O3753" s="131"/>
      <c r="P3753" s="136" t="str">
        <f ca="1">IF(Proc[[#This Row],[DaysAgeing]]&gt;5,"yep","on track")</f>
        <v>yep</v>
      </c>
      <c r="Q3753" s="3">
        <f ca="1">IF(Proc[[#This Row],[DateClosed]]="",ABS(NETWORKDAYS(Proc[[#This Row],[DateOpened]],TODAY()))-1,ABS(NETWORKDAYS(Proc[[#This Row],[DateOpened]],Proc[[#This Row],[DateClosed]]))-1)</f>
        <v>83</v>
      </c>
      <c r="R3753" s="136" t="s">
        <v>1013</v>
      </c>
      <c r="S3753" s="129"/>
    </row>
    <row r="3754" spans="1:19" hidden="1">
      <c r="A3754" s="135" t="s">
        <v>5856</v>
      </c>
      <c r="B3754" s="149" t="str">
        <f>IFERROR(VLOOKUP(Proc[[#This Row],[App]],Table2[],3,0),"open")</f>
        <v>ok</v>
      </c>
      <c r="C3754" s="138" t="s">
        <v>369</v>
      </c>
      <c r="D3754" t="s">
        <v>5877</v>
      </c>
      <c r="E3754" t="s">
        <v>3006</v>
      </c>
      <c r="F3754" s="129" t="s">
        <v>3006</v>
      </c>
      <c r="G3754" s="135" t="s">
        <v>400</v>
      </c>
      <c r="H3754" s="129" t="str">
        <f>IF(Proc[[#This Row],[type]]="LFF (MDG-F)",MID(Proc[[#This Row],[Obj]],13,10),"")</f>
        <v/>
      </c>
      <c r="J3754" s="129" t="b">
        <f>Proc[[#This Row],[Requested]]=Proc[[#This Row],[CurrentParent]]</f>
        <v>1</v>
      </c>
      <c r="K3754" s="144" t="str">
        <f>IF(Proc[[#This Row],[Author]]="Marcela Urrego",VLOOKUP(LEFT(Proc[[#This Row],[Requested]],1),Table3[#All],2,0),VLOOKUP(Proc[[#This Row],[Author]],Table4[],2,0))</f>
        <v>HC</v>
      </c>
      <c r="L3754" s="129" t="s">
        <v>4894</v>
      </c>
      <c r="M3754" s="131">
        <v>45895</v>
      </c>
      <c r="N3754" s="131"/>
      <c r="O3754" s="131"/>
      <c r="P3754" s="136" t="str">
        <f ca="1">IF(Proc[[#This Row],[DaysAgeing]]&gt;5,"yep","on track")</f>
        <v>yep</v>
      </c>
      <c r="Q3754" s="3">
        <f ca="1">IF(Proc[[#This Row],[DateClosed]]="",ABS(NETWORKDAYS(Proc[[#This Row],[DateOpened]],TODAY()))-1,ABS(NETWORKDAYS(Proc[[#This Row],[DateOpened]],Proc[[#This Row],[DateClosed]]))-1)</f>
        <v>83</v>
      </c>
      <c r="R3754" s="136" t="s">
        <v>1013</v>
      </c>
      <c r="S3754" s="129"/>
    </row>
    <row r="3755" spans="1:19" hidden="1">
      <c r="A3755" s="135" t="s">
        <v>5856</v>
      </c>
      <c r="B3755" s="149" t="str">
        <f>IFERROR(VLOOKUP(Proc[[#This Row],[App]],Table2[],3,0),"open")</f>
        <v>ok</v>
      </c>
      <c r="C3755" s="138" t="s">
        <v>369</v>
      </c>
      <c r="D3755" t="s">
        <v>5878</v>
      </c>
      <c r="E3755" t="s">
        <v>3003</v>
      </c>
      <c r="F3755" s="129" t="s">
        <v>3003</v>
      </c>
      <c r="G3755" s="135" t="s">
        <v>400</v>
      </c>
      <c r="H3755" s="129" t="str">
        <f>IF(Proc[[#This Row],[type]]="LFF (MDG-F)",MID(Proc[[#This Row],[Obj]],13,10),"")</f>
        <v/>
      </c>
      <c r="J3755" s="129" t="b">
        <f>Proc[[#This Row],[Requested]]=Proc[[#This Row],[CurrentParent]]</f>
        <v>1</v>
      </c>
      <c r="K3755" s="144" t="str">
        <f>IF(Proc[[#This Row],[Author]]="Marcela Urrego",VLOOKUP(LEFT(Proc[[#This Row],[Requested]],1),Table3[#All],2,0),VLOOKUP(Proc[[#This Row],[Author]],Table4[],2,0))</f>
        <v>HC</v>
      </c>
      <c r="L3755" s="129" t="s">
        <v>4894</v>
      </c>
      <c r="M3755" s="131">
        <v>45895</v>
      </c>
      <c r="N3755" s="131"/>
      <c r="O3755" s="131"/>
      <c r="P3755" s="136" t="str">
        <f ca="1">IF(Proc[[#This Row],[DaysAgeing]]&gt;5,"yep","on track")</f>
        <v>yep</v>
      </c>
      <c r="Q3755" s="3">
        <f ca="1">IF(Proc[[#This Row],[DateClosed]]="",ABS(NETWORKDAYS(Proc[[#This Row],[DateOpened]],TODAY()))-1,ABS(NETWORKDAYS(Proc[[#This Row],[DateOpened]],Proc[[#This Row],[DateClosed]]))-1)</f>
        <v>83</v>
      </c>
      <c r="R3755" s="136" t="s">
        <v>1013</v>
      </c>
      <c r="S3755" s="129"/>
    </row>
    <row r="3756" spans="1:19" hidden="1">
      <c r="A3756" s="135" t="s">
        <v>5856</v>
      </c>
      <c r="B3756" s="149" t="str">
        <f>IFERROR(VLOOKUP(Proc[[#This Row],[App]],Table2[],3,0),"open")</f>
        <v>ok</v>
      </c>
      <c r="C3756" s="138" t="s">
        <v>369</v>
      </c>
      <c r="D3756" t="s">
        <v>5879</v>
      </c>
      <c r="E3756" t="s">
        <v>3003</v>
      </c>
      <c r="F3756" s="129" t="s">
        <v>3003</v>
      </c>
      <c r="G3756" s="135" t="s">
        <v>400</v>
      </c>
      <c r="H3756" s="129" t="str">
        <f>IF(Proc[[#This Row],[type]]="LFF (MDG-F)",MID(Proc[[#This Row],[Obj]],13,10),"")</f>
        <v/>
      </c>
      <c r="J3756" s="129" t="b">
        <f>Proc[[#This Row],[Requested]]=Proc[[#This Row],[CurrentParent]]</f>
        <v>1</v>
      </c>
      <c r="K3756" s="144" t="str">
        <f>IF(Proc[[#This Row],[Author]]="Marcela Urrego",VLOOKUP(LEFT(Proc[[#This Row],[Requested]],1),Table3[#All],2,0),VLOOKUP(Proc[[#This Row],[Author]],Table4[],2,0))</f>
        <v>HC</v>
      </c>
      <c r="L3756" s="129" t="s">
        <v>4894</v>
      </c>
      <c r="M3756" s="131">
        <v>45895</v>
      </c>
      <c r="N3756" s="131"/>
      <c r="O3756" s="131"/>
      <c r="P3756" s="136" t="str">
        <f ca="1">IF(Proc[[#This Row],[DaysAgeing]]&gt;5,"yep","on track")</f>
        <v>yep</v>
      </c>
      <c r="Q3756" s="3">
        <f ca="1">IF(Proc[[#This Row],[DateClosed]]="",ABS(NETWORKDAYS(Proc[[#This Row],[DateOpened]],TODAY()))-1,ABS(NETWORKDAYS(Proc[[#This Row],[DateOpened]],Proc[[#This Row],[DateClosed]]))-1)</f>
        <v>83</v>
      </c>
      <c r="R3756" s="136" t="s">
        <v>1013</v>
      </c>
      <c r="S3756" s="129"/>
    </row>
    <row r="3757" spans="1:19" hidden="1">
      <c r="A3757" s="135" t="s">
        <v>5856</v>
      </c>
      <c r="B3757" s="149" t="str">
        <f>IFERROR(VLOOKUP(Proc[[#This Row],[App]],Table2[],3,0),"open")</f>
        <v>ok</v>
      </c>
      <c r="C3757" s="138" t="s">
        <v>369</v>
      </c>
      <c r="D3757" t="s">
        <v>5880</v>
      </c>
      <c r="E3757" t="s">
        <v>3007</v>
      </c>
      <c r="F3757" s="129" t="s">
        <v>3007</v>
      </c>
      <c r="G3757" s="135" t="s">
        <v>400</v>
      </c>
      <c r="H3757" s="129" t="str">
        <f>IF(Proc[[#This Row],[type]]="LFF (MDG-F)",MID(Proc[[#This Row],[Obj]],13,10),"")</f>
        <v/>
      </c>
      <c r="J3757" s="129" t="b">
        <f>Proc[[#This Row],[Requested]]=Proc[[#This Row],[CurrentParent]]</f>
        <v>1</v>
      </c>
      <c r="K3757" s="144" t="str">
        <f>IF(Proc[[#This Row],[Author]]="Marcela Urrego",VLOOKUP(LEFT(Proc[[#This Row],[Requested]],1),Table3[#All],2,0),VLOOKUP(Proc[[#This Row],[Author]],Table4[],2,0))</f>
        <v>HC</v>
      </c>
      <c r="L3757" s="129" t="s">
        <v>4894</v>
      </c>
      <c r="M3757" s="131">
        <v>45895</v>
      </c>
      <c r="N3757" s="131"/>
      <c r="O3757" s="131"/>
      <c r="P3757" s="136" t="str">
        <f ca="1">IF(Proc[[#This Row],[DaysAgeing]]&gt;5,"yep","on track")</f>
        <v>yep</v>
      </c>
      <c r="Q3757" s="3">
        <f ca="1">IF(Proc[[#This Row],[DateClosed]]="",ABS(NETWORKDAYS(Proc[[#This Row],[DateOpened]],TODAY()))-1,ABS(NETWORKDAYS(Proc[[#This Row],[DateOpened]],Proc[[#This Row],[DateClosed]]))-1)</f>
        <v>83</v>
      </c>
      <c r="R3757" s="136" t="s">
        <v>1013</v>
      </c>
      <c r="S3757" s="129"/>
    </row>
    <row r="3758" spans="1:19" hidden="1">
      <c r="A3758" s="135" t="s">
        <v>5856</v>
      </c>
      <c r="B3758" s="149" t="str">
        <f>IFERROR(VLOOKUP(Proc[[#This Row],[App]],Table2[],3,0),"open")</f>
        <v>ok</v>
      </c>
      <c r="C3758" s="138" t="s">
        <v>369</v>
      </c>
      <c r="D3758" t="s">
        <v>5881</v>
      </c>
      <c r="E3758" t="s">
        <v>3007</v>
      </c>
      <c r="F3758" s="129" t="s">
        <v>3007</v>
      </c>
      <c r="G3758" s="135" t="s">
        <v>400</v>
      </c>
      <c r="H3758" s="129" t="str">
        <f>IF(Proc[[#This Row],[type]]="LFF (MDG-F)",MID(Proc[[#This Row],[Obj]],13,10),"")</f>
        <v/>
      </c>
      <c r="J3758" s="129" t="b">
        <f>Proc[[#This Row],[Requested]]=Proc[[#This Row],[CurrentParent]]</f>
        <v>1</v>
      </c>
      <c r="K3758" s="144" t="str">
        <f>IF(Proc[[#This Row],[Author]]="Marcela Urrego",VLOOKUP(LEFT(Proc[[#This Row],[Requested]],1),Table3[#All],2,0),VLOOKUP(Proc[[#This Row],[Author]],Table4[],2,0))</f>
        <v>HC</v>
      </c>
      <c r="L3758" s="129" t="s">
        <v>4894</v>
      </c>
      <c r="M3758" s="131">
        <v>45895</v>
      </c>
      <c r="N3758" s="131"/>
      <c r="O3758" s="131"/>
      <c r="P3758" s="136" t="str">
        <f ca="1">IF(Proc[[#This Row],[DaysAgeing]]&gt;5,"yep","on track")</f>
        <v>yep</v>
      </c>
      <c r="Q3758" s="3">
        <f ca="1">IF(Proc[[#This Row],[DateClosed]]="",ABS(NETWORKDAYS(Proc[[#This Row],[DateOpened]],TODAY()))-1,ABS(NETWORKDAYS(Proc[[#This Row],[DateOpened]],Proc[[#This Row],[DateClosed]]))-1)</f>
        <v>83</v>
      </c>
      <c r="R3758" s="136" t="s">
        <v>1013</v>
      </c>
      <c r="S3758" s="129"/>
    </row>
    <row r="3759" spans="1:19" hidden="1">
      <c r="A3759" s="135" t="s">
        <v>5856</v>
      </c>
      <c r="B3759" s="149" t="str">
        <f>IFERROR(VLOOKUP(Proc[[#This Row],[App]],Table2[],3,0),"open")</f>
        <v>ok</v>
      </c>
      <c r="C3759" s="138" t="s">
        <v>369</v>
      </c>
      <c r="D3759" t="s">
        <v>5882</v>
      </c>
      <c r="E3759" t="s">
        <v>3007</v>
      </c>
      <c r="F3759" s="129" t="s">
        <v>3007</v>
      </c>
      <c r="G3759" s="135" t="s">
        <v>400</v>
      </c>
      <c r="H3759" s="129" t="str">
        <f>IF(Proc[[#This Row],[type]]="LFF (MDG-F)",MID(Proc[[#This Row],[Obj]],13,10),"")</f>
        <v/>
      </c>
      <c r="J3759" s="129" t="b">
        <f>Proc[[#This Row],[Requested]]=Proc[[#This Row],[CurrentParent]]</f>
        <v>1</v>
      </c>
      <c r="K3759" s="144" t="str">
        <f>IF(Proc[[#This Row],[Author]]="Marcela Urrego",VLOOKUP(LEFT(Proc[[#This Row],[Requested]],1),Table3[#All],2,0),VLOOKUP(Proc[[#This Row],[Author]],Table4[],2,0))</f>
        <v>HC</v>
      </c>
      <c r="L3759" s="129" t="s">
        <v>4894</v>
      </c>
      <c r="M3759" s="131">
        <v>45895</v>
      </c>
      <c r="N3759" s="131"/>
      <c r="O3759" s="131"/>
      <c r="P3759" s="136" t="str">
        <f ca="1">IF(Proc[[#This Row],[DaysAgeing]]&gt;5,"yep","on track")</f>
        <v>yep</v>
      </c>
      <c r="Q3759" s="3">
        <f ca="1">IF(Proc[[#This Row],[DateClosed]]="",ABS(NETWORKDAYS(Proc[[#This Row],[DateOpened]],TODAY()))-1,ABS(NETWORKDAYS(Proc[[#This Row],[DateOpened]],Proc[[#This Row],[DateClosed]]))-1)</f>
        <v>83</v>
      </c>
      <c r="R3759" s="136" t="s">
        <v>1013</v>
      </c>
      <c r="S3759" s="129"/>
    </row>
    <row r="3760" spans="1:19" hidden="1">
      <c r="A3760" s="135" t="s">
        <v>5856</v>
      </c>
      <c r="B3760" s="149" t="str">
        <f>IFERROR(VLOOKUP(Proc[[#This Row],[App]],Table2[],3,0),"open")</f>
        <v>ok</v>
      </c>
      <c r="C3760" s="138" t="s">
        <v>369</v>
      </c>
      <c r="D3760" t="s">
        <v>5883</v>
      </c>
      <c r="E3760" t="s">
        <v>3008</v>
      </c>
      <c r="F3760" s="129" t="s">
        <v>3008</v>
      </c>
      <c r="G3760" s="135" t="s">
        <v>400</v>
      </c>
      <c r="H3760" s="129" t="str">
        <f>IF(Proc[[#This Row],[type]]="LFF (MDG-F)",MID(Proc[[#This Row],[Obj]],13,10),"")</f>
        <v/>
      </c>
      <c r="J3760" s="129" t="b">
        <f>Proc[[#This Row],[Requested]]=Proc[[#This Row],[CurrentParent]]</f>
        <v>1</v>
      </c>
      <c r="K3760" s="144" t="str">
        <f>IF(Proc[[#This Row],[Author]]="Marcela Urrego",VLOOKUP(LEFT(Proc[[#This Row],[Requested]],1),Table3[#All],2,0),VLOOKUP(Proc[[#This Row],[Author]],Table4[],2,0))</f>
        <v>HC</v>
      </c>
      <c r="L3760" s="129" t="s">
        <v>4894</v>
      </c>
      <c r="M3760" s="131">
        <v>45895</v>
      </c>
      <c r="N3760" s="131"/>
      <c r="O3760" s="131"/>
      <c r="P3760" s="136" t="str">
        <f ca="1">IF(Proc[[#This Row],[DaysAgeing]]&gt;5,"yep","on track")</f>
        <v>yep</v>
      </c>
      <c r="Q3760" s="3">
        <f ca="1">IF(Proc[[#This Row],[DateClosed]]="",ABS(NETWORKDAYS(Proc[[#This Row],[DateOpened]],TODAY()))-1,ABS(NETWORKDAYS(Proc[[#This Row],[DateOpened]],Proc[[#This Row],[DateClosed]]))-1)</f>
        <v>83</v>
      </c>
      <c r="R3760" s="136" t="s">
        <v>1013</v>
      </c>
      <c r="S3760" s="129"/>
    </row>
    <row r="3761" spans="1:19" hidden="1">
      <c r="A3761" s="135" t="s">
        <v>5856</v>
      </c>
      <c r="B3761" s="149" t="str">
        <f>IFERROR(VLOOKUP(Proc[[#This Row],[App]],Table2[],3,0),"open")</f>
        <v>ok</v>
      </c>
      <c r="C3761" s="138" t="s">
        <v>369</v>
      </c>
      <c r="D3761" t="s">
        <v>5884</v>
      </c>
      <c r="E3761" t="s">
        <v>3002</v>
      </c>
      <c r="F3761" s="129" t="s">
        <v>3002</v>
      </c>
      <c r="G3761" s="135" t="s">
        <v>400</v>
      </c>
      <c r="H3761" s="129" t="str">
        <f>IF(Proc[[#This Row],[type]]="LFF (MDG-F)",MID(Proc[[#This Row],[Obj]],13,10),"")</f>
        <v/>
      </c>
      <c r="J3761" s="129" t="b">
        <f>Proc[[#This Row],[Requested]]=Proc[[#This Row],[CurrentParent]]</f>
        <v>1</v>
      </c>
      <c r="K3761" s="144" t="str">
        <f>IF(Proc[[#This Row],[Author]]="Marcela Urrego",VLOOKUP(LEFT(Proc[[#This Row],[Requested]],1),Table3[#All],2,0),VLOOKUP(Proc[[#This Row],[Author]],Table4[],2,0))</f>
        <v>HC</v>
      </c>
      <c r="L3761" s="129" t="s">
        <v>4894</v>
      </c>
      <c r="M3761" s="131">
        <v>45895</v>
      </c>
      <c r="N3761" s="131"/>
      <c r="O3761" s="131"/>
      <c r="P3761" s="136" t="str">
        <f ca="1">IF(Proc[[#This Row],[DaysAgeing]]&gt;5,"yep","on track")</f>
        <v>yep</v>
      </c>
      <c r="Q3761" s="3">
        <f ca="1">IF(Proc[[#This Row],[DateClosed]]="",ABS(NETWORKDAYS(Proc[[#This Row],[DateOpened]],TODAY()))-1,ABS(NETWORKDAYS(Proc[[#This Row],[DateOpened]],Proc[[#This Row],[DateClosed]]))-1)</f>
        <v>83</v>
      </c>
      <c r="R3761" s="136" t="s">
        <v>1013</v>
      </c>
      <c r="S3761" s="129"/>
    </row>
    <row r="3762" spans="1:19" hidden="1">
      <c r="A3762" s="135" t="s">
        <v>5856</v>
      </c>
      <c r="B3762" s="149" t="str">
        <f>IFERROR(VLOOKUP(Proc[[#This Row],[App]],Table2[],3,0),"open")</f>
        <v>ok</v>
      </c>
      <c r="C3762" s="138" t="s">
        <v>369</v>
      </c>
      <c r="D3762" t="s">
        <v>5885</v>
      </c>
      <c r="E3762" t="s">
        <v>3008</v>
      </c>
      <c r="F3762" s="129" t="s">
        <v>3008</v>
      </c>
      <c r="G3762" s="135" t="s">
        <v>400</v>
      </c>
      <c r="H3762" s="129" t="str">
        <f>IF(Proc[[#This Row],[type]]="LFF (MDG-F)",MID(Proc[[#This Row],[Obj]],13,10),"")</f>
        <v/>
      </c>
      <c r="J3762" s="129" t="b">
        <f>Proc[[#This Row],[Requested]]=Proc[[#This Row],[CurrentParent]]</f>
        <v>1</v>
      </c>
      <c r="K3762" s="144" t="str">
        <f>IF(Proc[[#This Row],[Author]]="Marcela Urrego",VLOOKUP(LEFT(Proc[[#This Row],[Requested]],1),Table3[#All],2,0),VLOOKUP(Proc[[#This Row],[Author]],Table4[],2,0))</f>
        <v>HC</v>
      </c>
      <c r="L3762" s="129" t="s">
        <v>4894</v>
      </c>
      <c r="M3762" s="131">
        <v>45895</v>
      </c>
      <c r="N3762" s="131"/>
      <c r="O3762" s="131"/>
      <c r="P3762" s="136" t="str">
        <f ca="1">IF(Proc[[#This Row],[DaysAgeing]]&gt;5,"yep","on track")</f>
        <v>yep</v>
      </c>
      <c r="Q3762" s="3">
        <f ca="1">IF(Proc[[#This Row],[DateClosed]]="",ABS(NETWORKDAYS(Proc[[#This Row],[DateOpened]],TODAY()))-1,ABS(NETWORKDAYS(Proc[[#This Row],[DateOpened]],Proc[[#This Row],[DateClosed]]))-1)</f>
        <v>83</v>
      </c>
      <c r="R3762" s="136" t="s">
        <v>1013</v>
      </c>
      <c r="S3762" s="129"/>
    </row>
    <row r="3763" spans="1:19" hidden="1">
      <c r="A3763" s="135" t="s">
        <v>5856</v>
      </c>
      <c r="B3763" s="149" t="str">
        <f>IFERROR(VLOOKUP(Proc[[#This Row],[App]],Table2[],3,0),"open")</f>
        <v>ok</v>
      </c>
      <c r="C3763" s="138" t="s">
        <v>369</v>
      </c>
      <c r="D3763" t="s">
        <v>5886</v>
      </c>
      <c r="E3763" t="s">
        <v>3007</v>
      </c>
      <c r="F3763" s="129" t="s">
        <v>3007</v>
      </c>
      <c r="G3763" s="135" t="s">
        <v>400</v>
      </c>
      <c r="H3763" s="129" t="str">
        <f>IF(Proc[[#This Row],[type]]="LFF (MDG-F)",MID(Proc[[#This Row],[Obj]],13,10),"")</f>
        <v/>
      </c>
      <c r="J3763" s="129" t="b">
        <f>Proc[[#This Row],[Requested]]=Proc[[#This Row],[CurrentParent]]</f>
        <v>1</v>
      </c>
      <c r="K3763" s="144" t="str">
        <f>IF(Proc[[#This Row],[Author]]="Marcela Urrego",VLOOKUP(LEFT(Proc[[#This Row],[Requested]],1),Table3[#All],2,0),VLOOKUP(Proc[[#This Row],[Author]],Table4[],2,0))</f>
        <v>HC</v>
      </c>
      <c r="L3763" s="129" t="s">
        <v>4894</v>
      </c>
      <c r="M3763" s="131">
        <v>45895</v>
      </c>
      <c r="N3763" s="131"/>
      <c r="O3763" s="131"/>
      <c r="P3763" s="136" t="str">
        <f ca="1">IF(Proc[[#This Row],[DaysAgeing]]&gt;5,"yep","on track")</f>
        <v>yep</v>
      </c>
      <c r="Q3763" s="3">
        <f ca="1">IF(Proc[[#This Row],[DateClosed]]="",ABS(NETWORKDAYS(Proc[[#This Row],[DateOpened]],TODAY()))-1,ABS(NETWORKDAYS(Proc[[#This Row],[DateOpened]],Proc[[#This Row],[DateClosed]]))-1)</f>
        <v>83</v>
      </c>
      <c r="R3763" s="136" t="s">
        <v>1013</v>
      </c>
      <c r="S3763" s="129"/>
    </row>
    <row r="3764" spans="1:19" hidden="1">
      <c r="A3764" s="135" t="s">
        <v>5856</v>
      </c>
      <c r="B3764" s="149" t="str">
        <f>IFERROR(VLOOKUP(Proc[[#This Row],[App]],Table2[],3,0),"open")</f>
        <v>ok</v>
      </c>
      <c r="C3764" s="138" t="s">
        <v>369</v>
      </c>
      <c r="D3764" t="s">
        <v>5887</v>
      </c>
      <c r="E3764" t="s">
        <v>3003</v>
      </c>
      <c r="F3764" s="129" t="s">
        <v>3003</v>
      </c>
      <c r="G3764" s="135" t="s">
        <v>400</v>
      </c>
      <c r="H3764" s="129" t="str">
        <f>IF(Proc[[#This Row],[type]]="LFF (MDG-F)",MID(Proc[[#This Row],[Obj]],13,10),"")</f>
        <v/>
      </c>
      <c r="J3764" s="129" t="b">
        <f>Proc[[#This Row],[Requested]]=Proc[[#This Row],[CurrentParent]]</f>
        <v>1</v>
      </c>
      <c r="K3764" s="144" t="str">
        <f>IF(Proc[[#This Row],[Author]]="Marcela Urrego",VLOOKUP(LEFT(Proc[[#This Row],[Requested]],1),Table3[#All],2,0),VLOOKUP(Proc[[#This Row],[Author]],Table4[],2,0))</f>
        <v>HC</v>
      </c>
      <c r="L3764" s="129" t="s">
        <v>4894</v>
      </c>
      <c r="M3764" s="131">
        <v>45895</v>
      </c>
      <c r="N3764" s="131"/>
      <c r="O3764" s="131"/>
      <c r="P3764" s="136" t="str">
        <f ca="1">IF(Proc[[#This Row],[DaysAgeing]]&gt;5,"yep","on track")</f>
        <v>yep</v>
      </c>
      <c r="Q3764" s="3">
        <f ca="1">IF(Proc[[#This Row],[DateClosed]]="",ABS(NETWORKDAYS(Proc[[#This Row],[DateOpened]],TODAY()))-1,ABS(NETWORKDAYS(Proc[[#This Row],[DateOpened]],Proc[[#This Row],[DateClosed]]))-1)</f>
        <v>83</v>
      </c>
      <c r="R3764" s="136" t="s">
        <v>1013</v>
      </c>
      <c r="S3764" s="129"/>
    </row>
    <row r="3765" spans="1:19" hidden="1">
      <c r="A3765" s="135" t="s">
        <v>5856</v>
      </c>
      <c r="B3765" s="149" t="str">
        <f>IFERROR(VLOOKUP(Proc[[#This Row],[App]],Table2[],3,0),"open")</f>
        <v>ok</v>
      </c>
      <c r="C3765" s="138" t="s">
        <v>369</v>
      </c>
      <c r="D3765" t="s">
        <v>5888</v>
      </c>
      <c r="E3765" t="s">
        <v>3005</v>
      </c>
      <c r="F3765" s="129" t="s">
        <v>3005</v>
      </c>
      <c r="G3765" s="135" t="s">
        <v>400</v>
      </c>
      <c r="H3765" s="129" t="str">
        <f>IF(Proc[[#This Row],[type]]="LFF (MDG-F)",MID(Proc[[#This Row],[Obj]],13,10),"")</f>
        <v/>
      </c>
      <c r="J3765" s="129" t="b">
        <f>Proc[[#This Row],[Requested]]=Proc[[#This Row],[CurrentParent]]</f>
        <v>1</v>
      </c>
      <c r="K3765" s="144" t="str">
        <f>IF(Proc[[#This Row],[Author]]="Marcela Urrego",VLOOKUP(LEFT(Proc[[#This Row],[Requested]],1),Table3[#All],2,0),VLOOKUP(Proc[[#This Row],[Author]],Table4[],2,0))</f>
        <v>HC</v>
      </c>
      <c r="L3765" s="129" t="s">
        <v>4894</v>
      </c>
      <c r="M3765" s="131">
        <v>45895</v>
      </c>
      <c r="N3765" s="131"/>
      <c r="O3765" s="131"/>
      <c r="P3765" s="136" t="str">
        <f ca="1">IF(Proc[[#This Row],[DaysAgeing]]&gt;5,"yep","on track")</f>
        <v>yep</v>
      </c>
      <c r="Q3765" s="3">
        <f ca="1">IF(Proc[[#This Row],[DateClosed]]="",ABS(NETWORKDAYS(Proc[[#This Row],[DateOpened]],TODAY()))-1,ABS(NETWORKDAYS(Proc[[#This Row],[DateOpened]],Proc[[#This Row],[DateClosed]]))-1)</f>
        <v>83</v>
      </c>
      <c r="R3765" s="136" t="s">
        <v>1013</v>
      </c>
      <c r="S3765" s="129"/>
    </row>
    <row r="3766" spans="1:19" hidden="1">
      <c r="A3766" s="135" t="s">
        <v>5856</v>
      </c>
      <c r="B3766" s="149" t="str">
        <f>IFERROR(VLOOKUP(Proc[[#This Row],[App]],Table2[],3,0),"open")</f>
        <v>ok</v>
      </c>
      <c r="C3766" s="138" t="s">
        <v>369</v>
      </c>
      <c r="D3766" t="s">
        <v>5889</v>
      </c>
      <c r="E3766" t="s">
        <v>3002</v>
      </c>
      <c r="F3766" s="129" t="s">
        <v>3002</v>
      </c>
      <c r="G3766" s="135" t="s">
        <v>400</v>
      </c>
      <c r="H3766" s="129" t="str">
        <f>IF(Proc[[#This Row],[type]]="LFF (MDG-F)",MID(Proc[[#This Row],[Obj]],13,10),"")</f>
        <v/>
      </c>
      <c r="J3766" s="129" t="b">
        <f>Proc[[#This Row],[Requested]]=Proc[[#This Row],[CurrentParent]]</f>
        <v>1</v>
      </c>
      <c r="K3766" s="144" t="str">
        <f>IF(Proc[[#This Row],[Author]]="Marcela Urrego",VLOOKUP(LEFT(Proc[[#This Row],[Requested]],1),Table3[#All],2,0),VLOOKUP(Proc[[#This Row],[Author]],Table4[],2,0))</f>
        <v>HC</v>
      </c>
      <c r="L3766" s="129" t="s">
        <v>4894</v>
      </c>
      <c r="M3766" s="131">
        <v>45895</v>
      </c>
      <c r="N3766" s="131"/>
      <c r="O3766" s="131"/>
      <c r="P3766" s="136" t="str">
        <f ca="1">IF(Proc[[#This Row],[DaysAgeing]]&gt;5,"yep","on track")</f>
        <v>yep</v>
      </c>
      <c r="Q3766" s="3">
        <f ca="1">IF(Proc[[#This Row],[DateClosed]]="",ABS(NETWORKDAYS(Proc[[#This Row],[DateOpened]],TODAY()))-1,ABS(NETWORKDAYS(Proc[[#This Row],[DateOpened]],Proc[[#This Row],[DateClosed]]))-1)</f>
        <v>83</v>
      </c>
      <c r="R3766" s="136" t="s">
        <v>1013</v>
      </c>
      <c r="S3766" s="129"/>
    </row>
    <row r="3767" spans="1:19" hidden="1">
      <c r="A3767" s="135" t="s">
        <v>5856</v>
      </c>
      <c r="B3767" s="149" t="str">
        <f>IFERROR(VLOOKUP(Proc[[#This Row],[App]],Table2[],3,0),"open")</f>
        <v>ok</v>
      </c>
      <c r="C3767" s="138" t="s">
        <v>369</v>
      </c>
      <c r="D3767" t="s">
        <v>5890</v>
      </c>
      <c r="E3767" t="s">
        <v>3004</v>
      </c>
      <c r="F3767" s="129" t="s">
        <v>3004</v>
      </c>
      <c r="G3767" s="135" t="s">
        <v>400</v>
      </c>
      <c r="H3767" s="129" t="str">
        <f>IF(Proc[[#This Row],[type]]="LFF (MDG-F)",MID(Proc[[#This Row],[Obj]],13,10),"")</f>
        <v/>
      </c>
      <c r="J3767" s="129" t="b">
        <f>Proc[[#This Row],[Requested]]=Proc[[#This Row],[CurrentParent]]</f>
        <v>1</v>
      </c>
      <c r="K3767" s="144" t="str">
        <f>IF(Proc[[#This Row],[Author]]="Marcela Urrego",VLOOKUP(LEFT(Proc[[#This Row],[Requested]],1),Table3[#All],2,0),VLOOKUP(Proc[[#This Row],[Author]],Table4[],2,0))</f>
        <v>HC</v>
      </c>
      <c r="L3767" s="129" t="s">
        <v>4894</v>
      </c>
      <c r="M3767" s="131">
        <v>45895</v>
      </c>
      <c r="N3767" s="131"/>
      <c r="O3767" s="131"/>
      <c r="P3767" s="136" t="str">
        <f ca="1">IF(Proc[[#This Row],[DaysAgeing]]&gt;5,"yep","on track")</f>
        <v>yep</v>
      </c>
      <c r="Q3767" s="3">
        <f ca="1">IF(Proc[[#This Row],[DateClosed]]="",ABS(NETWORKDAYS(Proc[[#This Row],[DateOpened]],TODAY()))-1,ABS(NETWORKDAYS(Proc[[#This Row],[DateOpened]],Proc[[#This Row],[DateClosed]]))-1)</f>
        <v>83</v>
      </c>
      <c r="R3767" s="136" t="s">
        <v>1013</v>
      </c>
      <c r="S3767" s="129"/>
    </row>
    <row r="3768" spans="1:19" hidden="1">
      <c r="A3768" s="135" t="s">
        <v>5856</v>
      </c>
      <c r="B3768" s="149" t="str">
        <f>IFERROR(VLOOKUP(Proc[[#This Row],[App]],Table2[],3,0),"open")</f>
        <v>ok</v>
      </c>
      <c r="C3768" s="138" t="s">
        <v>369</v>
      </c>
      <c r="D3768" t="s">
        <v>5891</v>
      </c>
      <c r="E3768" t="s">
        <v>3004</v>
      </c>
      <c r="F3768" s="129" t="s">
        <v>3004</v>
      </c>
      <c r="G3768" s="135" t="s">
        <v>400</v>
      </c>
      <c r="H3768" s="129" t="str">
        <f>IF(Proc[[#This Row],[type]]="LFF (MDG-F)",MID(Proc[[#This Row],[Obj]],13,10),"")</f>
        <v/>
      </c>
      <c r="J3768" s="129" t="b">
        <f>Proc[[#This Row],[Requested]]=Proc[[#This Row],[CurrentParent]]</f>
        <v>1</v>
      </c>
      <c r="K3768" s="144" t="str">
        <f>IF(Proc[[#This Row],[Author]]="Marcela Urrego",VLOOKUP(LEFT(Proc[[#This Row],[Requested]],1),Table3[#All],2,0),VLOOKUP(Proc[[#This Row],[Author]],Table4[],2,0))</f>
        <v>HC</v>
      </c>
      <c r="L3768" s="129" t="s">
        <v>4894</v>
      </c>
      <c r="M3768" s="131">
        <v>45895</v>
      </c>
      <c r="N3768" s="131"/>
      <c r="O3768" s="131"/>
      <c r="P3768" s="136" t="str">
        <f ca="1">IF(Proc[[#This Row],[DaysAgeing]]&gt;5,"yep","on track")</f>
        <v>yep</v>
      </c>
      <c r="Q3768" s="3">
        <f ca="1">IF(Proc[[#This Row],[DateClosed]]="",ABS(NETWORKDAYS(Proc[[#This Row],[DateOpened]],TODAY()))-1,ABS(NETWORKDAYS(Proc[[#This Row],[DateOpened]],Proc[[#This Row],[DateClosed]]))-1)</f>
        <v>83</v>
      </c>
      <c r="R3768" s="136" t="s">
        <v>1013</v>
      </c>
      <c r="S3768" s="129"/>
    </row>
    <row r="3769" spans="1:19" hidden="1">
      <c r="A3769" s="135" t="s">
        <v>5856</v>
      </c>
      <c r="B3769" s="149" t="str">
        <f>IFERROR(VLOOKUP(Proc[[#This Row],[App]],Table2[],3,0),"open")</f>
        <v>ok</v>
      </c>
      <c r="C3769" s="138" t="s">
        <v>369</v>
      </c>
      <c r="D3769" t="s">
        <v>5892</v>
      </c>
      <c r="E3769" t="s">
        <v>3006</v>
      </c>
      <c r="F3769" s="129" t="s">
        <v>3006</v>
      </c>
      <c r="G3769" s="135" t="s">
        <v>400</v>
      </c>
      <c r="H3769" s="129" t="str">
        <f>IF(Proc[[#This Row],[type]]="LFF (MDG-F)",MID(Proc[[#This Row],[Obj]],13,10),"")</f>
        <v/>
      </c>
      <c r="J3769" s="129" t="b">
        <f>Proc[[#This Row],[Requested]]=Proc[[#This Row],[CurrentParent]]</f>
        <v>1</v>
      </c>
      <c r="K3769" s="144" t="str">
        <f>IF(Proc[[#This Row],[Author]]="Marcela Urrego",VLOOKUP(LEFT(Proc[[#This Row],[Requested]],1),Table3[#All],2,0),VLOOKUP(Proc[[#This Row],[Author]],Table4[],2,0))</f>
        <v>HC</v>
      </c>
      <c r="L3769" s="129" t="s">
        <v>4894</v>
      </c>
      <c r="M3769" s="131">
        <v>45895</v>
      </c>
      <c r="N3769" s="131"/>
      <c r="O3769" s="131"/>
      <c r="P3769" s="136" t="str">
        <f ca="1">IF(Proc[[#This Row],[DaysAgeing]]&gt;5,"yep","on track")</f>
        <v>yep</v>
      </c>
      <c r="Q3769" s="3">
        <f ca="1">IF(Proc[[#This Row],[DateClosed]]="",ABS(NETWORKDAYS(Proc[[#This Row],[DateOpened]],TODAY()))-1,ABS(NETWORKDAYS(Proc[[#This Row],[DateOpened]],Proc[[#This Row],[DateClosed]]))-1)</f>
        <v>83</v>
      </c>
      <c r="R3769" s="136" t="s">
        <v>1013</v>
      </c>
      <c r="S3769" s="129"/>
    </row>
    <row r="3770" spans="1:19" hidden="1">
      <c r="A3770" s="135" t="s">
        <v>5856</v>
      </c>
      <c r="B3770" s="149" t="str">
        <f>IFERROR(VLOOKUP(Proc[[#This Row],[App]],Table2[],3,0),"open")</f>
        <v>ok</v>
      </c>
      <c r="C3770" s="138" t="s">
        <v>369</v>
      </c>
      <c r="D3770" t="s">
        <v>5893</v>
      </c>
      <c r="E3770" t="s">
        <v>3007</v>
      </c>
      <c r="F3770" s="129" t="s">
        <v>3007</v>
      </c>
      <c r="G3770" s="135" t="s">
        <v>400</v>
      </c>
      <c r="H3770" s="129" t="str">
        <f>IF(Proc[[#This Row],[type]]="LFF (MDG-F)",MID(Proc[[#This Row],[Obj]],13,10),"")</f>
        <v/>
      </c>
      <c r="J3770" s="129" t="b">
        <f>Proc[[#This Row],[Requested]]=Proc[[#This Row],[CurrentParent]]</f>
        <v>1</v>
      </c>
      <c r="K3770" s="144" t="str">
        <f>IF(Proc[[#This Row],[Author]]="Marcela Urrego",VLOOKUP(LEFT(Proc[[#This Row],[Requested]],1),Table3[#All],2,0),VLOOKUP(Proc[[#This Row],[Author]],Table4[],2,0))</f>
        <v>HC</v>
      </c>
      <c r="L3770" s="129" t="s">
        <v>4894</v>
      </c>
      <c r="M3770" s="131">
        <v>45895</v>
      </c>
      <c r="N3770" s="131"/>
      <c r="O3770" s="131"/>
      <c r="P3770" s="136" t="str">
        <f ca="1">IF(Proc[[#This Row],[DaysAgeing]]&gt;5,"yep","on track")</f>
        <v>yep</v>
      </c>
      <c r="Q3770" s="3">
        <f ca="1">IF(Proc[[#This Row],[DateClosed]]="",ABS(NETWORKDAYS(Proc[[#This Row],[DateOpened]],TODAY()))-1,ABS(NETWORKDAYS(Proc[[#This Row],[DateOpened]],Proc[[#This Row],[DateClosed]]))-1)</f>
        <v>83</v>
      </c>
      <c r="R3770" s="136" t="s">
        <v>1013</v>
      </c>
      <c r="S3770" s="129"/>
    </row>
    <row r="3771" spans="1:19" hidden="1">
      <c r="A3771" s="135" t="s">
        <v>5856</v>
      </c>
      <c r="B3771" s="149" t="str">
        <f>IFERROR(VLOOKUP(Proc[[#This Row],[App]],Table2[],3,0),"open")</f>
        <v>ok</v>
      </c>
      <c r="C3771" s="138" t="s">
        <v>369</v>
      </c>
      <c r="D3771" t="s">
        <v>5894</v>
      </c>
      <c r="E3771" t="s">
        <v>3007</v>
      </c>
      <c r="F3771" s="129" t="s">
        <v>3007</v>
      </c>
      <c r="G3771" s="135" t="s">
        <v>400</v>
      </c>
      <c r="H3771" s="129" t="str">
        <f>IF(Proc[[#This Row],[type]]="LFF (MDG-F)",MID(Proc[[#This Row],[Obj]],13,10),"")</f>
        <v/>
      </c>
      <c r="J3771" s="129" t="b">
        <f>Proc[[#This Row],[Requested]]=Proc[[#This Row],[CurrentParent]]</f>
        <v>1</v>
      </c>
      <c r="K3771" s="144" t="str">
        <f>IF(Proc[[#This Row],[Author]]="Marcela Urrego",VLOOKUP(LEFT(Proc[[#This Row],[Requested]],1),Table3[#All],2,0),VLOOKUP(Proc[[#This Row],[Author]],Table4[],2,0))</f>
        <v>HC</v>
      </c>
      <c r="L3771" s="129" t="s">
        <v>4894</v>
      </c>
      <c r="M3771" s="131">
        <v>45895</v>
      </c>
      <c r="N3771" s="131"/>
      <c r="O3771" s="131"/>
      <c r="P3771" s="136" t="str">
        <f ca="1">IF(Proc[[#This Row],[DaysAgeing]]&gt;5,"yep","on track")</f>
        <v>yep</v>
      </c>
      <c r="Q3771" s="3">
        <f ca="1">IF(Proc[[#This Row],[DateClosed]]="",ABS(NETWORKDAYS(Proc[[#This Row],[DateOpened]],TODAY()))-1,ABS(NETWORKDAYS(Proc[[#This Row],[DateOpened]],Proc[[#This Row],[DateClosed]]))-1)</f>
        <v>83</v>
      </c>
      <c r="R3771" s="136" t="s">
        <v>1013</v>
      </c>
      <c r="S3771" s="129"/>
    </row>
    <row r="3772" spans="1:19" hidden="1">
      <c r="A3772" s="135" t="s">
        <v>5856</v>
      </c>
      <c r="B3772" s="149" t="str">
        <f>IFERROR(VLOOKUP(Proc[[#This Row],[App]],Table2[],3,0),"open")</f>
        <v>ok</v>
      </c>
      <c r="C3772" s="138" t="s">
        <v>369</v>
      </c>
      <c r="D3772" t="s">
        <v>5895</v>
      </c>
      <c r="E3772" t="s">
        <v>3007</v>
      </c>
      <c r="F3772" s="129" t="s">
        <v>3007</v>
      </c>
      <c r="G3772" s="135" t="s">
        <v>400</v>
      </c>
      <c r="H3772" s="129" t="str">
        <f>IF(Proc[[#This Row],[type]]="LFF (MDG-F)",MID(Proc[[#This Row],[Obj]],13,10),"")</f>
        <v/>
      </c>
      <c r="J3772" s="129" t="b">
        <f>Proc[[#This Row],[Requested]]=Proc[[#This Row],[CurrentParent]]</f>
        <v>1</v>
      </c>
      <c r="K3772" s="144" t="str">
        <f>IF(Proc[[#This Row],[Author]]="Marcela Urrego",VLOOKUP(LEFT(Proc[[#This Row],[Requested]],1),Table3[#All],2,0),VLOOKUP(Proc[[#This Row],[Author]],Table4[],2,0))</f>
        <v>HC</v>
      </c>
      <c r="L3772" s="129" t="s">
        <v>4894</v>
      </c>
      <c r="M3772" s="131">
        <v>45895</v>
      </c>
      <c r="N3772" s="131"/>
      <c r="O3772" s="131"/>
      <c r="P3772" s="136" t="str">
        <f ca="1">IF(Proc[[#This Row],[DaysAgeing]]&gt;5,"yep","on track")</f>
        <v>yep</v>
      </c>
      <c r="Q3772" s="3">
        <f ca="1">IF(Proc[[#This Row],[DateClosed]]="",ABS(NETWORKDAYS(Proc[[#This Row],[DateOpened]],TODAY()))-1,ABS(NETWORKDAYS(Proc[[#This Row],[DateOpened]],Proc[[#This Row],[DateClosed]]))-1)</f>
        <v>83</v>
      </c>
      <c r="R3772" s="136" t="s">
        <v>1013</v>
      </c>
      <c r="S3772" s="129"/>
    </row>
    <row r="3773" spans="1:19" hidden="1">
      <c r="A3773" s="135" t="s">
        <v>5856</v>
      </c>
      <c r="B3773" s="149" t="str">
        <f>IFERROR(VLOOKUP(Proc[[#This Row],[App]],Table2[],3,0),"open")</f>
        <v>ok</v>
      </c>
      <c r="C3773" s="138" t="s">
        <v>369</v>
      </c>
      <c r="D3773" t="s">
        <v>5896</v>
      </c>
      <c r="E3773" t="s">
        <v>3008</v>
      </c>
      <c r="F3773" s="129" t="s">
        <v>3008</v>
      </c>
      <c r="G3773" s="135" t="s">
        <v>400</v>
      </c>
      <c r="H3773" s="129" t="str">
        <f>IF(Proc[[#This Row],[type]]="LFF (MDG-F)",MID(Proc[[#This Row],[Obj]],13,10),"")</f>
        <v/>
      </c>
      <c r="J3773" s="129" t="b">
        <f>Proc[[#This Row],[Requested]]=Proc[[#This Row],[CurrentParent]]</f>
        <v>1</v>
      </c>
      <c r="K3773" s="144" t="str">
        <f>IF(Proc[[#This Row],[Author]]="Marcela Urrego",VLOOKUP(LEFT(Proc[[#This Row],[Requested]],1),Table3[#All],2,0),VLOOKUP(Proc[[#This Row],[Author]],Table4[],2,0))</f>
        <v>HC</v>
      </c>
      <c r="L3773" s="129" t="s">
        <v>4894</v>
      </c>
      <c r="M3773" s="131">
        <v>45895</v>
      </c>
      <c r="N3773" s="131"/>
      <c r="O3773" s="131"/>
      <c r="P3773" s="136" t="str">
        <f ca="1">IF(Proc[[#This Row],[DaysAgeing]]&gt;5,"yep","on track")</f>
        <v>yep</v>
      </c>
      <c r="Q3773" s="3">
        <f ca="1">IF(Proc[[#This Row],[DateClosed]]="",ABS(NETWORKDAYS(Proc[[#This Row],[DateOpened]],TODAY()))-1,ABS(NETWORKDAYS(Proc[[#This Row],[DateOpened]],Proc[[#This Row],[DateClosed]]))-1)</f>
        <v>83</v>
      </c>
      <c r="R3773" s="136" t="s">
        <v>1013</v>
      </c>
      <c r="S3773" s="129"/>
    </row>
    <row r="3774" spans="1:19" hidden="1">
      <c r="A3774" s="135" t="s">
        <v>5856</v>
      </c>
      <c r="B3774" s="149" t="str">
        <f>IFERROR(VLOOKUP(Proc[[#This Row],[App]],Table2[],3,0),"open")</f>
        <v>ok</v>
      </c>
      <c r="C3774" s="138" t="s">
        <v>369</v>
      </c>
      <c r="D3774" t="s">
        <v>5897</v>
      </c>
      <c r="E3774" t="s">
        <v>3005</v>
      </c>
      <c r="F3774" s="129" t="s">
        <v>3005</v>
      </c>
      <c r="G3774" s="135" t="s">
        <v>400</v>
      </c>
      <c r="H3774" s="129" t="str">
        <f>IF(Proc[[#This Row],[type]]="LFF (MDG-F)",MID(Proc[[#This Row],[Obj]],13,10),"")</f>
        <v/>
      </c>
      <c r="J3774" s="129" t="b">
        <f>Proc[[#This Row],[Requested]]=Proc[[#This Row],[CurrentParent]]</f>
        <v>1</v>
      </c>
      <c r="K3774" s="144" t="str">
        <f>IF(Proc[[#This Row],[Author]]="Marcela Urrego",VLOOKUP(LEFT(Proc[[#This Row],[Requested]],1),Table3[#All],2,0),VLOOKUP(Proc[[#This Row],[Author]],Table4[],2,0))</f>
        <v>HC</v>
      </c>
      <c r="L3774" s="129" t="s">
        <v>4894</v>
      </c>
      <c r="M3774" s="131">
        <v>45895</v>
      </c>
      <c r="N3774" s="131"/>
      <c r="O3774" s="131"/>
      <c r="P3774" s="136" t="str">
        <f ca="1">IF(Proc[[#This Row],[DaysAgeing]]&gt;5,"yep","on track")</f>
        <v>yep</v>
      </c>
      <c r="Q3774" s="3">
        <f ca="1">IF(Proc[[#This Row],[DateClosed]]="",ABS(NETWORKDAYS(Proc[[#This Row],[DateOpened]],TODAY()))-1,ABS(NETWORKDAYS(Proc[[#This Row],[DateOpened]],Proc[[#This Row],[DateClosed]]))-1)</f>
        <v>83</v>
      </c>
      <c r="R3774" s="136" t="s">
        <v>1013</v>
      </c>
      <c r="S3774" s="129"/>
    </row>
    <row r="3775" spans="1:19" hidden="1">
      <c r="A3775" s="135" t="s">
        <v>5856</v>
      </c>
      <c r="B3775" s="149" t="str">
        <f>IFERROR(VLOOKUP(Proc[[#This Row],[App]],Table2[],3,0),"open")</f>
        <v>ok</v>
      </c>
      <c r="C3775" s="138" t="s">
        <v>369</v>
      </c>
      <c r="D3775" t="s">
        <v>5898</v>
      </c>
      <c r="E3775" t="s">
        <v>3005</v>
      </c>
      <c r="F3775" s="129" t="s">
        <v>3005</v>
      </c>
      <c r="G3775" s="135" t="s">
        <v>400</v>
      </c>
      <c r="H3775" s="129" t="str">
        <f>IF(Proc[[#This Row],[type]]="LFF (MDG-F)",MID(Proc[[#This Row],[Obj]],13,10),"")</f>
        <v/>
      </c>
      <c r="J3775" s="129" t="b">
        <f>Proc[[#This Row],[Requested]]=Proc[[#This Row],[CurrentParent]]</f>
        <v>1</v>
      </c>
      <c r="K3775" s="144" t="str">
        <f>IF(Proc[[#This Row],[Author]]="Marcela Urrego",VLOOKUP(LEFT(Proc[[#This Row],[Requested]],1),Table3[#All],2,0),VLOOKUP(Proc[[#This Row],[Author]],Table4[],2,0))</f>
        <v>HC</v>
      </c>
      <c r="L3775" s="129" t="s">
        <v>4894</v>
      </c>
      <c r="M3775" s="131">
        <v>45895</v>
      </c>
      <c r="N3775" s="131"/>
      <c r="O3775" s="131"/>
      <c r="P3775" s="136" t="str">
        <f ca="1">IF(Proc[[#This Row],[DaysAgeing]]&gt;5,"yep","on track")</f>
        <v>yep</v>
      </c>
      <c r="Q3775" s="3">
        <f ca="1">IF(Proc[[#This Row],[DateClosed]]="",ABS(NETWORKDAYS(Proc[[#This Row],[DateOpened]],TODAY()))-1,ABS(NETWORKDAYS(Proc[[#This Row],[DateOpened]],Proc[[#This Row],[DateClosed]]))-1)</f>
        <v>83</v>
      </c>
      <c r="R3775" s="136" t="s">
        <v>1013</v>
      </c>
      <c r="S3775" s="129"/>
    </row>
    <row r="3776" spans="1:19" hidden="1">
      <c r="A3776" s="135" t="s">
        <v>5856</v>
      </c>
      <c r="B3776" s="149" t="str">
        <f>IFERROR(VLOOKUP(Proc[[#This Row],[App]],Table2[],3,0),"open")</f>
        <v>ok</v>
      </c>
      <c r="C3776" s="138" t="s">
        <v>369</v>
      </c>
      <c r="D3776" t="s">
        <v>5899</v>
      </c>
      <c r="E3776" t="s">
        <v>3002</v>
      </c>
      <c r="F3776" s="129" t="s">
        <v>3002</v>
      </c>
      <c r="G3776" s="135" t="s">
        <v>400</v>
      </c>
      <c r="H3776" s="129" t="str">
        <f>IF(Proc[[#This Row],[type]]="LFF (MDG-F)",MID(Proc[[#This Row],[Obj]],13,10),"")</f>
        <v/>
      </c>
      <c r="J3776" s="129" t="b">
        <f>Proc[[#This Row],[Requested]]=Proc[[#This Row],[CurrentParent]]</f>
        <v>1</v>
      </c>
      <c r="K3776" s="144" t="str">
        <f>IF(Proc[[#This Row],[Author]]="Marcela Urrego",VLOOKUP(LEFT(Proc[[#This Row],[Requested]],1),Table3[#All],2,0),VLOOKUP(Proc[[#This Row],[Author]],Table4[],2,0))</f>
        <v>HC</v>
      </c>
      <c r="L3776" s="129" t="s">
        <v>4894</v>
      </c>
      <c r="M3776" s="131">
        <v>45895</v>
      </c>
      <c r="N3776" s="131"/>
      <c r="O3776" s="131"/>
      <c r="P3776" s="136" t="str">
        <f ca="1">IF(Proc[[#This Row],[DaysAgeing]]&gt;5,"yep","on track")</f>
        <v>yep</v>
      </c>
      <c r="Q3776" s="3">
        <f ca="1">IF(Proc[[#This Row],[DateClosed]]="",ABS(NETWORKDAYS(Proc[[#This Row],[DateOpened]],TODAY()))-1,ABS(NETWORKDAYS(Proc[[#This Row],[DateOpened]],Proc[[#This Row],[DateClosed]]))-1)</f>
        <v>83</v>
      </c>
      <c r="R3776" s="136" t="s">
        <v>1013</v>
      </c>
      <c r="S3776" s="129"/>
    </row>
    <row r="3777" spans="1:19" hidden="1">
      <c r="A3777" s="135" t="s">
        <v>5856</v>
      </c>
      <c r="B3777" s="149" t="str">
        <f>IFERROR(VLOOKUP(Proc[[#This Row],[App]],Table2[],3,0),"open")</f>
        <v>ok</v>
      </c>
      <c r="C3777" s="138" t="s">
        <v>369</v>
      </c>
      <c r="D3777" t="s">
        <v>5900</v>
      </c>
      <c r="E3777" t="s">
        <v>5917</v>
      </c>
      <c r="F3777" s="129" t="s">
        <v>5917</v>
      </c>
      <c r="G3777" s="135" t="s">
        <v>400</v>
      </c>
      <c r="H3777" s="129" t="str">
        <f>IF(Proc[[#This Row],[type]]="LFF (MDG-F)",MID(Proc[[#This Row],[Obj]],13,10),"")</f>
        <v/>
      </c>
      <c r="J3777" s="129" t="b">
        <f>Proc[[#This Row],[Requested]]=Proc[[#This Row],[CurrentParent]]</f>
        <v>1</v>
      </c>
      <c r="K3777" s="144" t="str">
        <f>IF(Proc[[#This Row],[Author]]="Marcela Urrego",VLOOKUP(LEFT(Proc[[#This Row],[Requested]],1),Table3[#All],2,0),VLOOKUP(Proc[[#This Row],[Author]],Table4[],2,0))</f>
        <v>HC</v>
      </c>
      <c r="L3777" s="129" t="s">
        <v>4894</v>
      </c>
      <c r="M3777" s="131">
        <v>45895</v>
      </c>
      <c r="N3777" s="131"/>
      <c r="O3777" s="131"/>
      <c r="P3777" s="136" t="str">
        <f ca="1">IF(Proc[[#This Row],[DaysAgeing]]&gt;5,"yep","on track")</f>
        <v>yep</v>
      </c>
      <c r="Q3777" s="3">
        <f ca="1">IF(Proc[[#This Row],[DateClosed]]="",ABS(NETWORKDAYS(Proc[[#This Row],[DateOpened]],TODAY()))-1,ABS(NETWORKDAYS(Proc[[#This Row],[DateOpened]],Proc[[#This Row],[DateClosed]]))-1)</f>
        <v>83</v>
      </c>
      <c r="R3777" s="136" t="s">
        <v>1013</v>
      </c>
      <c r="S3777" s="129"/>
    </row>
    <row r="3778" spans="1:19" hidden="1">
      <c r="A3778" s="135" t="s">
        <v>5856</v>
      </c>
      <c r="B3778" s="149" t="str">
        <f>IFERROR(VLOOKUP(Proc[[#This Row],[App]],Table2[],3,0),"open")</f>
        <v>ok</v>
      </c>
      <c r="C3778" s="138" t="s">
        <v>369</v>
      </c>
      <c r="D3778" t="s">
        <v>5901</v>
      </c>
      <c r="E3778" t="s">
        <v>3399</v>
      </c>
      <c r="F3778" s="129" t="s">
        <v>3399</v>
      </c>
      <c r="G3778" s="135" t="s">
        <v>400</v>
      </c>
      <c r="H3778" s="129" t="str">
        <f>IF(Proc[[#This Row],[type]]="LFF (MDG-F)",MID(Proc[[#This Row],[Obj]],13,10),"")</f>
        <v/>
      </c>
      <c r="J3778" s="129" t="b">
        <f>Proc[[#This Row],[Requested]]=Proc[[#This Row],[CurrentParent]]</f>
        <v>1</v>
      </c>
      <c r="K3778" s="144" t="str">
        <f>IF(Proc[[#This Row],[Author]]="Marcela Urrego",VLOOKUP(LEFT(Proc[[#This Row],[Requested]],1),Table3[#All],2,0),VLOOKUP(Proc[[#This Row],[Author]],Table4[],2,0))</f>
        <v>HC</v>
      </c>
      <c r="L3778" s="129" t="s">
        <v>4894</v>
      </c>
      <c r="M3778" s="131">
        <v>45895</v>
      </c>
      <c r="N3778" s="131"/>
      <c r="O3778" s="131"/>
      <c r="P3778" s="136" t="str">
        <f ca="1">IF(Proc[[#This Row],[DaysAgeing]]&gt;5,"yep","on track")</f>
        <v>yep</v>
      </c>
      <c r="Q3778" s="3">
        <f ca="1">IF(Proc[[#This Row],[DateClosed]]="",ABS(NETWORKDAYS(Proc[[#This Row],[DateOpened]],TODAY()))-1,ABS(NETWORKDAYS(Proc[[#This Row],[DateOpened]],Proc[[#This Row],[DateClosed]]))-1)</f>
        <v>83</v>
      </c>
      <c r="R3778" s="136" t="s">
        <v>1013</v>
      </c>
      <c r="S3778" s="129"/>
    </row>
    <row r="3779" spans="1:19" hidden="1">
      <c r="A3779" s="135" t="s">
        <v>5856</v>
      </c>
      <c r="B3779" s="149" t="str">
        <f>IFERROR(VLOOKUP(Proc[[#This Row],[App]],Table2[],3,0),"open")</f>
        <v>ok</v>
      </c>
      <c r="C3779" s="138" t="s">
        <v>369</v>
      </c>
      <c r="D3779" t="s">
        <v>5902</v>
      </c>
      <c r="E3779" t="s">
        <v>3399</v>
      </c>
      <c r="F3779" s="129" t="s">
        <v>3399</v>
      </c>
      <c r="G3779" s="135" t="s">
        <v>400</v>
      </c>
      <c r="H3779" s="129" t="str">
        <f>IF(Proc[[#This Row],[type]]="LFF (MDG-F)",MID(Proc[[#This Row],[Obj]],13,10),"")</f>
        <v/>
      </c>
      <c r="J3779" s="129" t="b">
        <f>Proc[[#This Row],[Requested]]=Proc[[#This Row],[CurrentParent]]</f>
        <v>1</v>
      </c>
      <c r="K3779" s="144" t="str">
        <f>IF(Proc[[#This Row],[Author]]="Marcela Urrego",VLOOKUP(LEFT(Proc[[#This Row],[Requested]],1),Table3[#All],2,0),VLOOKUP(Proc[[#This Row],[Author]],Table4[],2,0))</f>
        <v>HC</v>
      </c>
      <c r="L3779" s="129" t="s">
        <v>4894</v>
      </c>
      <c r="M3779" s="131">
        <v>45895</v>
      </c>
      <c r="N3779" s="131"/>
      <c r="O3779" s="131"/>
      <c r="P3779" s="136" t="str">
        <f ca="1">IF(Proc[[#This Row],[DaysAgeing]]&gt;5,"yep","on track")</f>
        <v>yep</v>
      </c>
      <c r="Q3779" s="3">
        <f ca="1">IF(Proc[[#This Row],[DateClosed]]="",ABS(NETWORKDAYS(Proc[[#This Row],[DateOpened]],TODAY()))-1,ABS(NETWORKDAYS(Proc[[#This Row],[DateOpened]],Proc[[#This Row],[DateClosed]]))-1)</f>
        <v>83</v>
      </c>
      <c r="R3779" s="136" t="s">
        <v>1013</v>
      </c>
      <c r="S3779" s="129"/>
    </row>
    <row r="3780" spans="1:19" hidden="1">
      <c r="A3780" s="135" t="s">
        <v>5856</v>
      </c>
      <c r="B3780" s="149" t="str">
        <f>IFERROR(VLOOKUP(Proc[[#This Row],[App]],Table2[],3,0),"open")</f>
        <v>ok</v>
      </c>
      <c r="C3780" s="138" t="s">
        <v>369</v>
      </c>
      <c r="D3780" t="s">
        <v>5903</v>
      </c>
      <c r="E3780" t="s">
        <v>3399</v>
      </c>
      <c r="F3780" s="129" t="s">
        <v>3399</v>
      </c>
      <c r="G3780" s="135" t="s">
        <v>400</v>
      </c>
      <c r="H3780" s="129" t="str">
        <f>IF(Proc[[#This Row],[type]]="LFF (MDG-F)",MID(Proc[[#This Row],[Obj]],13,10),"")</f>
        <v/>
      </c>
      <c r="J3780" s="129" t="b">
        <f>Proc[[#This Row],[Requested]]=Proc[[#This Row],[CurrentParent]]</f>
        <v>1</v>
      </c>
      <c r="K3780" s="144" t="str">
        <f>IF(Proc[[#This Row],[Author]]="Marcela Urrego",VLOOKUP(LEFT(Proc[[#This Row],[Requested]],1),Table3[#All],2,0),VLOOKUP(Proc[[#This Row],[Author]],Table4[],2,0))</f>
        <v>HC</v>
      </c>
      <c r="L3780" s="129" t="s">
        <v>4894</v>
      </c>
      <c r="M3780" s="131">
        <v>45895</v>
      </c>
      <c r="N3780" s="131"/>
      <c r="O3780" s="131"/>
      <c r="P3780" s="136" t="str">
        <f ca="1">IF(Proc[[#This Row],[DaysAgeing]]&gt;5,"yep","on track")</f>
        <v>yep</v>
      </c>
      <c r="Q3780" s="3">
        <f ca="1">IF(Proc[[#This Row],[DateClosed]]="",ABS(NETWORKDAYS(Proc[[#This Row],[DateOpened]],TODAY()))-1,ABS(NETWORKDAYS(Proc[[#This Row],[DateOpened]],Proc[[#This Row],[DateClosed]]))-1)</f>
        <v>83</v>
      </c>
      <c r="R3780" s="136" t="s">
        <v>1013</v>
      </c>
      <c r="S3780" s="129"/>
    </row>
    <row r="3781" spans="1:19" hidden="1">
      <c r="A3781" s="135" t="s">
        <v>5856</v>
      </c>
      <c r="B3781" s="149" t="str">
        <f>IFERROR(VLOOKUP(Proc[[#This Row],[App]],Table2[],3,0),"open")</f>
        <v>ok</v>
      </c>
      <c r="C3781" s="138" t="s">
        <v>369</v>
      </c>
      <c r="D3781" t="s">
        <v>5904</v>
      </c>
      <c r="E3781" t="s">
        <v>3399</v>
      </c>
      <c r="F3781" s="129" t="s">
        <v>3399</v>
      </c>
      <c r="G3781" s="135" t="s">
        <v>400</v>
      </c>
      <c r="H3781" s="129" t="str">
        <f>IF(Proc[[#This Row],[type]]="LFF (MDG-F)",MID(Proc[[#This Row],[Obj]],13,10),"")</f>
        <v/>
      </c>
      <c r="J3781" s="129" t="b">
        <f>Proc[[#This Row],[Requested]]=Proc[[#This Row],[CurrentParent]]</f>
        <v>1</v>
      </c>
      <c r="K3781" s="144" t="str">
        <f>IF(Proc[[#This Row],[Author]]="Marcela Urrego",VLOOKUP(LEFT(Proc[[#This Row],[Requested]],1),Table3[#All],2,0),VLOOKUP(Proc[[#This Row],[Author]],Table4[],2,0))</f>
        <v>HC</v>
      </c>
      <c r="L3781" s="129" t="s">
        <v>4894</v>
      </c>
      <c r="M3781" s="131">
        <v>45895</v>
      </c>
      <c r="N3781" s="131"/>
      <c r="O3781" s="131"/>
      <c r="P3781" s="136" t="str">
        <f ca="1">IF(Proc[[#This Row],[DaysAgeing]]&gt;5,"yep","on track")</f>
        <v>yep</v>
      </c>
      <c r="Q3781" s="3">
        <f ca="1">IF(Proc[[#This Row],[DateClosed]]="",ABS(NETWORKDAYS(Proc[[#This Row],[DateOpened]],TODAY()))-1,ABS(NETWORKDAYS(Proc[[#This Row],[DateOpened]],Proc[[#This Row],[DateClosed]]))-1)</f>
        <v>83</v>
      </c>
      <c r="R3781" s="136" t="s">
        <v>1013</v>
      </c>
      <c r="S3781" s="129"/>
    </row>
    <row r="3782" spans="1:19" hidden="1">
      <c r="A3782" s="135" t="s">
        <v>5856</v>
      </c>
      <c r="B3782" s="149" t="str">
        <f>IFERROR(VLOOKUP(Proc[[#This Row],[App]],Table2[],3,0),"open")</f>
        <v>ok</v>
      </c>
      <c r="C3782" s="138" t="s">
        <v>369</v>
      </c>
      <c r="D3782" t="s">
        <v>5905</v>
      </c>
      <c r="E3782" t="s">
        <v>3397</v>
      </c>
      <c r="F3782" s="129" t="s">
        <v>3397</v>
      </c>
      <c r="G3782" s="135" t="s">
        <v>400</v>
      </c>
      <c r="H3782" s="129" t="str">
        <f>IF(Proc[[#This Row],[type]]="LFF (MDG-F)",MID(Proc[[#This Row],[Obj]],13,10),"")</f>
        <v/>
      </c>
      <c r="J3782" s="129" t="b">
        <f>Proc[[#This Row],[Requested]]=Proc[[#This Row],[CurrentParent]]</f>
        <v>1</v>
      </c>
      <c r="K3782" s="144" t="str">
        <f>IF(Proc[[#This Row],[Author]]="Marcela Urrego",VLOOKUP(LEFT(Proc[[#This Row],[Requested]],1),Table3[#All],2,0),VLOOKUP(Proc[[#This Row],[Author]],Table4[],2,0))</f>
        <v>HC</v>
      </c>
      <c r="L3782" s="129" t="s">
        <v>4894</v>
      </c>
      <c r="M3782" s="131">
        <v>45895</v>
      </c>
      <c r="N3782" s="131"/>
      <c r="O3782" s="131"/>
      <c r="P3782" s="136" t="str">
        <f ca="1">IF(Proc[[#This Row],[DaysAgeing]]&gt;5,"yep","on track")</f>
        <v>yep</v>
      </c>
      <c r="Q3782" s="3">
        <f ca="1">IF(Proc[[#This Row],[DateClosed]]="",ABS(NETWORKDAYS(Proc[[#This Row],[DateOpened]],TODAY()))-1,ABS(NETWORKDAYS(Proc[[#This Row],[DateOpened]],Proc[[#This Row],[DateClosed]]))-1)</f>
        <v>83</v>
      </c>
      <c r="R3782" s="136" t="s">
        <v>1013</v>
      </c>
      <c r="S3782" s="129"/>
    </row>
    <row r="3783" spans="1:19" hidden="1">
      <c r="A3783" s="135" t="s">
        <v>5856</v>
      </c>
      <c r="B3783" s="149" t="str">
        <f>IFERROR(VLOOKUP(Proc[[#This Row],[App]],Table2[],3,0),"open")</f>
        <v>ok</v>
      </c>
      <c r="C3783" s="138" t="s">
        <v>369</v>
      </c>
      <c r="D3783" t="s">
        <v>5906</v>
      </c>
      <c r="E3783" t="s">
        <v>3401</v>
      </c>
      <c r="F3783" s="129" t="s">
        <v>3401</v>
      </c>
      <c r="G3783" s="135" t="s">
        <v>400</v>
      </c>
      <c r="H3783" s="129" t="str">
        <f>IF(Proc[[#This Row],[type]]="LFF (MDG-F)",MID(Proc[[#This Row],[Obj]],13,10),"")</f>
        <v/>
      </c>
      <c r="J3783" s="129" t="b">
        <f>Proc[[#This Row],[Requested]]=Proc[[#This Row],[CurrentParent]]</f>
        <v>1</v>
      </c>
      <c r="K3783" s="144" t="str">
        <f>IF(Proc[[#This Row],[Author]]="Marcela Urrego",VLOOKUP(LEFT(Proc[[#This Row],[Requested]],1),Table3[#All],2,0),VLOOKUP(Proc[[#This Row],[Author]],Table4[],2,0))</f>
        <v>HC</v>
      </c>
      <c r="L3783" s="129" t="s">
        <v>4894</v>
      </c>
      <c r="M3783" s="131">
        <v>45895</v>
      </c>
      <c r="N3783" s="131"/>
      <c r="O3783" s="131"/>
      <c r="P3783" s="136" t="str">
        <f ca="1">IF(Proc[[#This Row],[DaysAgeing]]&gt;5,"yep","on track")</f>
        <v>yep</v>
      </c>
      <c r="Q3783" s="3">
        <f ca="1">IF(Proc[[#This Row],[DateClosed]]="",ABS(NETWORKDAYS(Proc[[#This Row],[DateOpened]],TODAY()))-1,ABS(NETWORKDAYS(Proc[[#This Row],[DateOpened]],Proc[[#This Row],[DateClosed]]))-1)</f>
        <v>83</v>
      </c>
      <c r="R3783" s="136" t="s">
        <v>1013</v>
      </c>
      <c r="S3783" s="129"/>
    </row>
    <row r="3784" spans="1:19" hidden="1">
      <c r="A3784" s="135" t="s">
        <v>5856</v>
      </c>
      <c r="B3784" s="149" t="str">
        <f>IFERROR(VLOOKUP(Proc[[#This Row],[App]],Table2[],3,0),"open")</f>
        <v>ok</v>
      </c>
      <c r="C3784" s="138" t="s">
        <v>369</v>
      </c>
      <c r="D3784" t="s">
        <v>5907</v>
      </c>
      <c r="E3784" t="s">
        <v>3401</v>
      </c>
      <c r="F3784" s="129" t="s">
        <v>3401</v>
      </c>
      <c r="G3784" s="135" t="s">
        <v>400</v>
      </c>
      <c r="H3784" s="129" t="str">
        <f>IF(Proc[[#This Row],[type]]="LFF (MDG-F)",MID(Proc[[#This Row],[Obj]],13,10),"")</f>
        <v/>
      </c>
      <c r="J3784" s="129" t="b">
        <f>Proc[[#This Row],[Requested]]=Proc[[#This Row],[CurrentParent]]</f>
        <v>1</v>
      </c>
      <c r="K3784" s="144" t="str">
        <f>IF(Proc[[#This Row],[Author]]="Marcela Urrego",VLOOKUP(LEFT(Proc[[#This Row],[Requested]],1),Table3[#All],2,0),VLOOKUP(Proc[[#This Row],[Author]],Table4[],2,0))</f>
        <v>HC</v>
      </c>
      <c r="L3784" s="129" t="s">
        <v>4894</v>
      </c>
      <c r="M3784" s="131">
        <v>45895</v>
      </c>
      <c r="N3784" s="131"/>
      <c r="O3784" s="131"/>
      <c r="P3784" s="136" t="str">
        <f ca="1">IF(Proc[[#This Row],[DaysAgeing]]&gt;5,"yep","on track")</f>
        <v>yep</v>
      </c>
      <c r="Q3784" s="3">
        <f ca="1">IF(Proc[[#This Row],[DateClosed]]="",ABS(NETWORKDAYS(Proc[[#This Row],[DateOpened]],TODAY()))-1,ABS(NETWORKDAYS(Proc[[#This Row],[DateOpened]],Proc[[#This Row],[DateClosed]]))-1)</f>
        <v>83</v>
      </c>
      <c r="R3784" s="136" t="s">
        <v>1013</v>
      </c>
      <c r="S3784" s="129"/>
    </row>
    <row r="3785" spans="1:19" hidden="1">
      <c r="A3785" s="135" t="s">
        <v>5856</v>
      </c>
      <c r="B3785" s="149" t="str">
        <f>IFERROR(VLOOKUP(Proc[[#This Row],[App]],Table2[],3,0),"open")</f>
        <v>ok</v>
      </c>
      <c r="C3785" s="138" t="s">
        <v>369</v>
      </c>
      <c r="D3785" t="s">
        <v>5908</v>
      </c>
      <c r="E3785" t="s">
        <v>3401</v>
      </c>
      <c r="F3785" s="129" t="s">
        <v>3401</v>
      </c>
      <c r="G3785" s="135" t="s">
        <v>400</v>
      </c>
      <c r="H3785" s="129" t="str">
        <f>IF(Proc[[#This Row],[type]]="LFF (MDG-F)",MID(Proc[[#This Row],[Obj]],13,10),"")</f>
        <v/>
      </c>
      <c r="J3785" s="129" t="b">
        <f>Proc[[#This Row],[Requested]]=Proc[[#This Row],[CurrentParent]]</f>
        <v>1</v>
      </c>
      <c r="K3785" s="144" t="str">
        <f>IF(Proc[[#This Row],[Author]]="Marcela Urrego",VLOOKUP(LEFT(Proc[[#This Row],[Requested]],1),Table3[#All],2,0),VLOOKUP(Proc[[#This Row],[Author]],Table4[],2,0))</f>
        <v>HC</v>
      </c>
      <c r="L3785" s="129" t="s">
        <v>4894</v>
      </c>
      <c r="M3785" s="131">
        <v>45895</v>
      </c>
      <c r="N3785" s="131"/>
      <c r="O3785" s="131"/>
      <c r="P3785" s="136" t="str">
        <f ca="1">IF(Proc[[#This Row],[DaysAgeing]]&gt;5,"yep","on track")</f>
        <v>yep</v>
      </c>
      <c r="Q3785" s="3">
        <f ca="1">IF(Proc[[#This Row],[DateClosed]]="",ABS(NETWORKDAYS(Proc[[#This Row],[DateOpened]],TODAY()))-1,ABS(NETWORKDAYS(Proc[[#This Row],[DateOpened]],Proc[[#This Row],[DateClosed]]))-1)</f>
        <v>83</v>
      </c>
      <c r="R3785" s="136" t="s">
        <v>1013</v>
      </c>
      <c r="S3785" s="129"/>
    </row>
    <row r="3786" spans="1:19" hidden="1">
      <c r="A3786" s="135" t="s">
        <v>5856</v>
      </c>
      <c r="B3786" s="149" t="str">
        <f>IFERROR(VLOOKUP(Proc[[#This Row],[App]],Table2[],3,0),"open")</f>
        <v>ok</v>
      </c>
      <c r="C3786" s="138" t="s">
        <v>369</v>
      </c>
      <c r="D3786" t="s">
        <v>5909</v>
      </c>
      <c r="E3786" t="s">
        <v>3401</v>
      </c>
      <c r="F3786" s="129" t="s">
        <v>3401</v>
      </c>
      <c r="G3786" s="135" t="s">
        <v>400</v>
      </c>
      <c r="H3786" s="129" t="str">
        <f>IF(Proc[[#This Row],[type]]="LFF (MDG-F)",MID(Proc[[#This Row],[Obj]],13,10),"")</f>
        <v/>
      </c>
      <c r="J3786" s="129" t="b">
        <f>Proc[[#This Row],[Requested]]=Proc[[#This Row],[CurrentParent]]</f>
        <v>1</v>
      </c>
      <c r="K3786" s="144" t="str">
        <f>IF(Proc[[#This Row],[Author]]="Marcela Urrego",VLOOKUP(LEFT(Proc[[#This Row],[Requested]],1),Table3[#All],2,0),VLOOKUP(Proc[[#This Row],[Author]],Table4[],2,0))</f>
        <v>HC</v>
      </c>
      <c r="L3786" s="129" t="s">
        <v>4894</v>
      </c>
      <c r="M3786" s="131">
        <v>45895</v>
      </c>
      <c r="N3786" s="131"/>
      <c r="O3786" s="131"/>
      <c r="P3786" s="136" t="str">
        <f ca="1">IF(Proc[[#This Row],[DaysAgeing]]&gt;5,"yep","on track")</f>
        <v>yep</v>
      </c>
      <c r="Q3786" s="3">
        <f ca="1">IF(Proc[[#This Row],[DateClosed]]="",ABS(NETWORKDAYS(Proc[[#This Row],[DateOpened]],TODAY()))-1,ABS(NETWORKDAYS(Proc[[#This Row],[DateOpened]],Proc[[#This Row],[DateClosed]]))-1)</f>
        <v>83</v>
      </c>
      <c r="R3786" s="136" t="s">
        <v>1013</v>
      </c>
      <c r="S3786" s="129"/>
    </row>
    <row r="3787" spans="1:19" hidden="1">
      <c r="A3787" s="135" t="s">
        <v>5856</v>
      </c>
      <c r="B3787" s="149" t="str">
        <f>IFERROR(VLOOKUP(Proc[[#This Row],[App]],Table2[],3,0),"open")</f>
        <v>ok</v>
      </c>
      <c r="C3787" s="138" t="s">
        <v>369</v>
      </c>
      <c r="D3787" t="s">
        <v>5910</v>
      </c>
      <c r="E3787" t="s">
        <v>3401</v>
      </c>
      <c r="F3787" s="129" t="s">
        <v>3401</v>
      </c>
      <c r="G3787" s="135" t="s">
        <v>400</v>
      </c>
      <c r="H3787" s="129" t="str">
        <f>IF(Proc[[#This Row],[type]]="LFF (MDG-F)",MID(Proc[[#This Row],[Obj]],13,10),"")</f>
        <v/>
      </c>
      <c r="J3787" s="129" t="b">
        <f>Proc[[#This Row],[Requested]]=Proc[[#This Row],[CurrentParent]]</f>
        <v>1</v>
      </c>
      <c r="K3787" s="144" t="str">
        <f>IF(Proc[[#This Row],[Author]]="Marcela Urrego",VLOOKUP(LEFT(Proc[[#This Row],[Requested]],1),Table3[#All],2,0),VLOOKUP(Proc[[#This Row],[Author]],Table4[],2,0))</f>
        <v>HC</v>
      </c>
      <c r="L3787" s="129" t="s">
        <v>4894</v>
      </c>
      <c r="M3787" s="131">
        <v>45895</v>
      </c>
      <c r="N3787" s="131"/>
      <c r="O3787" s="131"/>
      <c r="P3787" s="136" t="str">
        <f ca="1">IF(Proc[[#This Row],[DaysAgeing]]&gt;5,"yep","on track")</f>
        <v>yep</v>
      </c>
      <c r="Q3787" s="3">
        <f ca="1">IF(Proc[[#This Row],[DateClosed]]="",ABS(NETWORKDAYS(Proc[[#This Row],[DateOpened]],TODAY()))-1,ABS(NETWORKDAYS(Proc[[#This Row],[DateOpened]],Proc[[#This Row],[DateClosed]]))-1)</f>
        <v>83</v>
      </c>
      <c r="R3787" s="136" t="s">
        <v>1013</v>
      </c>
      <c r="S3787" s="129"/>
    </row>
    <row r="3788" spans="1:19" hidden="1">
      <c r="A3788" s="135" t="s">
        <v>5856</v>
      </c>
      <c r="B3788" s="149" t="str">
        <f>IFERROR(VLOOKUP(Proc[[#This Row],[App]],Table2[],3,0),"open")</f>
        <v>ok</v>
      </c>
      <c r="C3788" s="138" t="s">
        <v>369</v>
      </c>
      <c r="D3788" t="s">
        <v>5911</v>
      </c>
      <c r="E3788" t="s">
        <v>3401</v>
      </c>
      <c r="F3788" s="129" t="s">
        <v>3401</v>
      </c>
      <c r="G3788" s="135" t="s">
        <v>400</v>
      </c>
      <c r="H3788" s="129" t="str">
        <f>IF(Proc[[#This Row],[type]]="LFF (MDG-F)",MID(Proc[[#This Row],[Obj]],13,10),"")</f>
        <v/>
      </c>
      <c r="J3788" s="129" t="b">
        <f>Proc[[#This Row],[Requested]]=Proc[[#This Row],[CurrentParent]]</f>
        <v>1</v>
      </c>
      <c r="K3788" s="144" t="str">
        <f>IF(Proc[[#This Row],[Author]]="Marcela Urrego",VLOOKUP(LEFT(Proc[[#This Row],[Requested]],1),Table3[#All],2,0),VLOOKUP(Proc[[#This Row],[Author]],Table4[],2,0))</f>
        <v>HC</v>
      </c>
      <c r="L3788" s="129" t="s">
        <v>4894</v>
      </c>
      <c r="M3788" s="131">
        <v>45895</v>
      </c>
      <c r="N3788" s="131"/>
      <c r="O3788" s="131"/>
      <c r="P3788" s="136" t="str">
        <f ca="1">IF(Proc[[#This Row],[DaysAgeing]]&gt;5,"yep","on track")</f>
        <v>yep</v>
      </c>
      <c r="Q3788" s="3">
        <f ca="1">IF(Proc[[#This Row],[DateClosed]]="",ABS(NETWORKDAYS(Proc[[#This Row],[DateOpened]],TODAY()))-1,ABS(NETWORKDAYS(Proc[[#This Row],[DateOpened]],Proc[[#This Row],[DateClosed]]))-1)</f>
        <v>83</v>
      </c>
      <c r="R3788" s="136" t="s">
        <v>1013</v>
      </c>
      <c r="S3788" s="129"/>
    </row>
    <row r="3789" spans="1:19" hidden="1">
      <c r="A3789" s="135" t="s">
        <v>5856</v>
      </c>
      <c r="B3789" s="149" t="str">
        <f>IFERROR(VLOOKUP(Proc[[#This Row],[App]],Table2[],3,0),"open")</f>
        <v>ok</v>
      </c>
      <c r="C3789" s="138" t="s">
        <v>369</v>
      </c>
      <c r="D3789" t="s">
        <v>5912</v>
      </c>
      <c r="E3789" t="s">
        <v>3401</v>
      </c>
      <c r="F3789" s="129" t="s">
        <v>3401</v>
      </c>
      <c r="G3789" s="135" t="s">
        <v>400</v>
      </c>
      <c r="H3789" s="129" t="str">
        <f>IF(Proc[[#This Row],[type]]="LFF (MDG-F)",MID(Proc[[#This Row],[Obj]],13,10),"")</f>
        <v/>
      </c>
      <c r="J3789" s="129" t="b">
        <f>Proc[[#This Row],[Requested]]=Proc[[#This Row],[CurrentParent]]</f>
        <v>1</v>
      </c>
      <c r="K3789" s="144" t="str">
        <f>IF(Proc[[#This Row],[Author]]="Marcela Urrego",VLOOKUP(LEFT(Proc[[#This Row],[Requested]],1),Table3[#All],2,0),VLOOKUP(Proc[[#This Row],[Author]],Table4[],2,0))</f>
        <v>HC</v>
      </c>
      <c r="L3789" s="129" t="s">
        <v>4894</v>
      </c>
      <c r="M3789" s="131">
        <v>45895</v>
      </c>
      <c r="N3789" s="131"/>
      <c r="O3789" s="131"/>
      <c r="P3789" s="136" t="str">
        <f ca="1">IF(Proc[[#This Row],[DaysAgeing]]&gt;5,"yep","on track")</f>
        <v>yep</v>
      </c>
      <c r="Q3789" s="3">
        <f ca="1">IF(Proc[[#This Row],[DateClosed]]="",ABS(NETWORKDAYS(Proc[[#This Row],[DateOpened]],TODAY()))-1,ABS(NETWORKDAYS(Proc[[#This Row],[DateOpened]],Proc[[#This Row],[DateClosed]]))-1)</f>
        <v>83</v>
      </c>
      <c r="R3789" s="136" t="s">
        <v>1013</v>
      </c>
      <c r="S3789" s="129"/>
    </row>
    <row r="3790" spans="1:19" hidden="1">
      <c r="A3790" s="135" t="s">
        <v>5856</v>
      </c>
      <c r="B3790" s="149" t="str">
        <f>IFERROR(VLOOKUP(Proc[[#This Row],[App]],Table2[],3,0),"open")</f>
        <v>ok</v>
      </c>
      <c r="C3790" s="138" t="s">
        <v>369</v>
      </c>
      <c r="D3790" t="s">
        <v>5913</v>
      </c>
      <c r="E3790" t="s">
        <v>3397</v>
      </c>
      <c r="F3790" s="129" t="s">
        <v>3397</v>
      </c>
      <c r="G3790" s="135" t="s">
        <v>400</v>
      </c>
      <c r="H3790" s="129" t="str">
        <f>IF(Proc[[#This Row],[type]]="LFF (MDG-F)",MID(Proc[[#This Row],[Obj]],13,10),"")</f>
        <v/>
      </c>
      <c r="J3790" s="129" t="b">
        <f>Proc[[#This Row],[Requested]]=Proc[[#This Row],[CurrentParent]]</f>
        <v>1</v>
      </c>
      <c r="K3790" s="144" t="str">
        <f>IF(Proc[[#This Row],[Author]]="Marcela Urrego",VLOOKUP(LEFT(Proc[[#This Row],[Requested]],1),Table3[#All],2,0),VLOOKUP(Proc[[#This Row],[Author]],Table4[],2,0))</f>
        <v>HC</v>
      </c>
      <c r="L3790" s="129" t="s">
        <v>4894</v>
      </c>
      <c r="M3790" s="131">
        <v>45895</v>
      </c>
      <c r="N3790" s="131"/>
      <c r="O3790" s="131"/>
      <c r="P3790" s="136" t="str">
        <f ca="1">IF(Proc[[#This Row],[DaysAgeing]]&gt;5,"yep","on track")</f>
        <v>yep</v>
      </c>
      <c r="Q3790" s="3">
        <f ca="1">IF(Proc[[#This Row],[DateClosed]]="",ABS(NETWORKDAYS(Proc[[#This Row],[DateOpened]],TODAY()))-1,ABS(NETWORKDAYS(Proc[[#This Row],[DateOpened]],Proc[[#This Row],[DateClosed]]))-1)</f>
        <v>83</v>
      </c>
      <c r="R3790" s="136" t="s">
        <v>1013</v>
      </c>
      <c r="S3790" s="129"/>
    </row>
    <row r="3791" spans="1:19" hidden="1">
      <c r="A3791" s="135" t="s">
        <v>5856</v>
      </c>
      <c r="B3791" s="149" t="str">
        <f>IFERROR(VLOOKUP(Proc[[#This Row],[App]],Table2[],3,0),"open")</f>
        <v>ok</v>
      </c>
      <c r="C3791" s="138" t="s">
        <v>369</v>
      </c>
      <c r="D3791" t="s">
        <v>5914</v>
      </c>
      <c r="E3791" t="s">
        <v>3401</v>
      </c>
      <c r="F3791" s="129" t="s">
        <v>3401</v>
      </c>
      <c r="G3791" s="135" t="s">
        <v>400</v>
      </c>
      <c r="H3791" s="129" t="str">
        <f>IF(Proc[[#This Row],[type]]="LFF (MDG-F)",MID(Proc[[#This Row],[Obj]],13,10),"")</f>
        <v/>
      </c>
      <c r="J3791" s="129" t="b">
        <f>Proc[[#This Row],[Requested]]=Proc[[#This Row],[CurrentParent]]</f>
        <v>1</v>
      </c>
      <c r="K3791" s="144" t="str">
        <f>IF(Proc[[#This Row],[Author]]="Marcela Urrego",VLOOKUP(LEFT(Proc[[#This Row],[Requested]],1),Table3[#All],2,0),VLOOKUP(Proc[[#This Row],[Author]],Table4[],2,0))</f>
        <v>HC</v>
      </c>
      <c r="L3791" s="129" t="s">
        <v>4894</v>
      </c>
      <c r="M3791" s="131">
        <v>45895</v>
      </c>
      <c r="N3791" s="131"/>
      <c r="O3791" s="131"/>
      <c r="P3791" s="136" t="str">
        <f ca="1">IF(Proc[[#This Row],[DaysAgeing]]&gt;5,"yep","on track")</f>
        <v>yep</v>
      </c>
      <c r="Q3791" s="3">
        <f ca="1">IF(Proc[[#This Row],[DateClosed]]="",ABS(NETWORKDAYS(Proc[[#This Row],[DateOpened]],TODAY()))-1,ABS(NETWORKDAYS(Proc[[#This Row],[DateOpened]],Proc[[#This Row],[DateClosed]]))-1)</f>
        <v>83</v>
      </c>
      <c r="R3791" s="136" t="s">
        <v>1013</v>
      </c>
      <c r="S3791" s="129"/>
    </row>
    <row r="3792" spans="1:19" hidden="1">
      <c r="A3792" s="135" t="s">
        <v>5856</v>
      </c>
      <c r="B3792" s="149" t="str">
        <f>IFERROR(VLOOKUP(Proc[[#This Row],[App]],Table2[],3,0),"open")</f>
        <v>ok</v>
      </c>
      <c r="C3792" s="138" t="s">
        <v>369</v>
      </c>
      <c r="D3792" t="s">
        <v>5915</v>
      </c>
      <c r="E3792" t="s">
        <v>3401</v>
      </c>
      <c r="F3792" s="129" t="s">
        <v>3401</v>
      </c>
      <c r="G3792" s="135" t="s">
        <v>400</v>
      </c>
      <c r="H3792" s="129" t="str">
        <f>IF(Proc[[#This Row],[type]]="LFF (MDG-F)",MID(Proc[[#This Row],[Obj]],13,10),"")</f>
        <v/>
      </c>
      <c r="J3792" s="129" t="b">
        <f>Proc[[#This Row],[Requested]]=Proc[[#This Row],[CurrentParent]]</f>
        <v>1</v>
      </c>
      <c r="K3792" s="144" t="str">
        <f>IF(Proc[[#This Row],[Author]]="Marcela Urrego",VLOOKUP(LEFT(Proc[[#This Row],[Requested]],1),Table3[#All],2,0),VLOOKUP(Proc[[#This Row],[Author]],Table4[],2,0))</f>
        <v>HC</v>
      </c>
      <c r="L3792" s="129" t="s">
        <v>4894</v>
      </c>
      <c r="M3792" s="131">
        <v>45895</v>
      </c>
      <c r="N3792" s="131"/>
      <c r="O3792" s="131"/>
      <c r="P3792" s="136" t="str">
        <f ca="1">IF(Proc[[#This Row],[DaysAgeing]]&gt;5,"yep","on track")</f>
        <v>yep</v>
      </c>
      <c r="Q3792" s="3">
        <f ca="1">IF(Proc[[#This Row],[DateClosed]]="",ABS(NETWORKDAYS(Proc[[#This Row],[DateOpened]],TODAY()))-1,ABS(NETWORKDAYS(Proc[[#This Row],[DateOpened]],Proc[[#This Row],[DateClosed]]))-1)</f>
        <v>83</v>
      </c>
      <c r="R3792" s="136" t="s">
        <v>1013</v>
      </c>
      <c r="S3792" s="129"/>
    </row>
    <row r="3793" spans="1:19" hidden="1">
      <c r="A3793" s="135" t="s">
        <v>5856</v>
      </c>
      <c r="B3793" s="149" t="str">
        <f>IFERROR(VLOOKUP(Proc[[#This Row],[App]],Table2[],3,0),"open")</f>
        <v>ok</v>
      </c>
      <c r="C3793" s="138" t="s">
        <v>369</v>
      </c>
      <c r="D3793" t="s">
        <v>5916</v>
      </c>
      <c r="E3793" t="s">
        <v>3401</v>
      </c>
      <c r="F3793" s="129" t="s">
        <v>3401</v>
      </c>
      <c r="G3793" s="135" t="s">
        <v>400</v>
      </c>
      <c r="H3793" s="129" t="str">
        <f>IF(Proc[[#This Row],[type]]="LFF (MDG-F)",MID(Proc[[#This Row],[Obj]],13,10),"")</f>
        <v/>
      </c>
      <c r="J3793" s="129" t="b">
        <f>Proc[[#This Row],[Requested]]=Proc[[#This Row],[CurrentParent]]</f>
        <v>1</v>
      </c>
      <c r="K3793" s="144" t="str">
        <f>IF(Proc[[#This Row],[Author]]="Marcela Urrego",VLOOKUP(LEFT(Proc[[#This Row],[Requested]],1),Table3[#All],2,0),VLOOKUP(Proc[[#This Row],[Author]],Table4[],2,0))</f>
        <v>HC</v>
      </c>
      <c r="L3793" s="129" t="s">
        <v>4894</v>
      </c>
      <c r="M3793" s="131">
        <v>45895</v>
      </c>
      <c r="N3793" s="131"/>
      <c r="O3793" s="131"/>
      <c r="P3793" s="136" t="str">
        <f ca="1">IF(Proc[[#This Row],[DaysAgeing]]&gt;5,"yep","on track")</f>
        <v>yep</v>
      </c>
      <c r="Q3793" s="3">
        <f ca="1">IF(Proc[[#This Row],[DateClosed]]="",ABS(NETWORKDAYS(Proc[[#This Row],[DateOpened]],TODAY()))-1,ABS(NETWORKDAYS(Proc[[#This Row],[DateOpened]],Proc[[#This Row],[DateClosed]]))-1)</f>
        <v>83</v>
      </c>
      <c r="R3793" s="136" t="s">
        <v>1013</v>
      </c>
      <c r="S3793" s="129"/>
    </row>
    <row r="3794" spans="1:19" hidden="1">
      <c r="A3794" s="135" t="s">
        <v>5918</v>
      </c>
      <c r="B3794" s="149" t="str">
        <f>IFERROR(VLOOKUP(Proc[[#This Row],[App]],Table2[],3,0),"open")</f>
        <v>ok</v>
      </c>
      <c r="C3794" s="138" t="s">
        <v>369</v>
      </c>
      <c r="D3794" s="135" t="s">
        <v>5923</v>
      </c>
      <c r="E3794" t="s">
        <v>1590</v>
      </c>
      <c r="F3794" s="129" t="s">
        <v>1590</v>
      </c>
      <c r="G3794" s="135" t="s">
        <v>406</v>
      </c>
      <c r="H3794" s="129" t="str">
        <f>IF(Proc[[#This Row],[type]]="LFF (MDG-F)",MID(Proc[[#This Row],[Obj]],13,10),"")</f>
        <v>DE10523400</v>
      </c>
      <c r="J3794" s="129" t="b">
        <f>Proc[[#This Row],[Requested]]=Proc[[#This Row],[CurrentParent]]</f>
        <v>1</v>
      </c>
      <c r="K3794" s="144" t="str">
        <f>IF(Proc[[#This Row],[Author]]="Marcela Urrego",VLOOKUP(LEFT(Proc[[#This Row],[Requested]],1),Table3[#All],2,0),VLOOKUP(Proc[[#This Row],[Author]],Table4[],2,0))</f>
        <v>MGF</v>
      </c>
      <c r="L3794" s="129" t="s">
        <v>4894</v>
      </c>
      <c r="M3794" s="131">
        <v>45895</v>
      </c>
      <c r="N3794" s="131"/>
      <c r="O3794" s="131"/>
      <c r="P3794" s="136" t="str">
        <f ca="1">IF(Proc[[#This Row],[DaysAgeing]]&gt;5,"yep","on track")</f>
        <v>yep</v>
      </c>
      <c r="Q3794" s="3">
        <f ca="1">IF(Proc[[#This Row],[DateClosed]]="",ABS(NETWORKDAYS(Proc[[#This Row],[DateOpened]],TODAY()))-1,ABS(NETWORKDAYS(Proc[[#This Row],[DateOpened]],Proc[[#This Row],[DateClosed]]))-1)</f>
        <v>83</v>
      </c>
      <c r="R3794" s="136" t="s">
        <v>452</v>
      </c>
      <c r="S3794" s="129"/>
    </row>
    <row r="3795" spans="1:19" hidden="1">
      <c r="A3795" s="135" t="s">
        <v>5918</v>
      </c>
      <c r="B3795" s="149" t="str">
        <f>IFERROR(VLOOKUP(Proc[[#This Row],[App]],Table2[],3,0),"open")</f>
        <v>ok</v>
      </c>
      <c r="C3795" s="138" t="s">
        <v>369</v>
      </c>
      <c r="D3795" s="135" t="s">
        <v>5924</v>
      </c>
      <c r="E3795" t="s">
        <v>1590</v>
      </c>
      <c r="F3795" s="129" t="s">
        <v>1590</v>
      </c>
      <c r="G3795" s="135" t="s">
        <v>406</v>
      </c>
      <c r="H3795" s="129" t="str">
        <f>IF(Proc[[#This Row],[type]]="LFF (MDG-F)",MID(Proc[[#This Row],[Obj]],13,10),"")</f>
        <v>DE10524300</v>
      </c>
      <c r="J3795" s="129" t="b">
        <f>Proc[[#This Row],[Requested]]=Proc[[#This Row],[CurrentParent]]</f>
        <v>1</v>
      </c>
      <c r="K3795" s="144" t="str">
        <f>IF(Proc[[#This Row],[Author]]="Marcela Urrego",VLOOKUP(LEFT(Proc[[#This Row],[Requested]],1),Table3[#All],2,0),VLOOKUP(Proc[[#This Row],[Author]],Table4[],2,0))</f>
        <v>MGF</v>
      </c>
      <c r="L3795" s="129" t="s">
        <v>4894</v>
      </c>
      <c r="M3795" s="131">
        <v>45895</v>
      </c>
      <c r="N3795" s="131"/>
      <c r="O3795" s="131"/>
      <c r="P3795" s="136" t="str">
        <f ca="1">IF(Proc[[#This Row],[DaysAgeing]]&gt;5,"yep","on track")</f>
        <v>yep</v>
      </c>
      <c r="Q3795" s="3">
        <f ca="1">IF(Proc[[#This Row],[DateClosed]]="",ABS(NETWORKDAYS(Proc[[#This Row],[DateOpened]],TODAY()))-1,ABS(NETWORKDAYS(Proc[[#This Row],[DateOpened]],Proc[[#This Row],[DateClosed]]))-1)</f>
        <v>83</v>
      </c>
      <c r="R3795" s="136" t="s">
        <v>452</v>
      </c>
      <c r="S3795" s="129"/>
    </row>
    <row r="3796" spans="1:19" hidden="1">
      <c r="A3796" s="135" t="s">
        <v>5918</v>
      </c>
      <c r="B3796" s="149" t="str">
        <f>IFERROR(VLOOKUP(Proc[[#This Row],[App]],Table2[],3,0),"open")</f>
        <v>ok</v>
      </c>
      <c r="C3796" s="138" t="s">
        <v>369</v>
      </c>
      <c r="D3796" s="135" t="s">
        <v>5925</v>
      </c>
      <c r="E3796" t="s">
        <v>5919</v>
      </c>
      <c r="F3796" s="129" t="s">
        <v>5919</v>
      </c>
      <c r="G3796" s="135" t="s">
        <v>406</v>
      </c>
      <c r="H3796" s="129" t="str">
        <f>IF(Proc[[#This Row],[type]]="LFF (MDG-F)",MID(Proc[[#This Row],[Obj]],13,10),"")</f>
        <v>DE10625700</v>
      </c>
      <c r="J3796" s="129" t="b">
        <f>Proc[[#This Row],[Requested]]=Proc[[#This Row],[CurrentParent]]</f>
        <v>1</v>
      </c>
      <c r="K3796" s="144" t="str">
        <f>IF(Proc[[#This Row],[Author]]="Marcela Urrego",VLOOKUP(LEFT(Proc[[#This Row],[Requested]],1),Table3[#All],2,0),VLOOKUP(Proc[[#This Row],[Author]],Table4[],2,0))</f>
        <v>MGF</v>
      </c>
      <c r="L3796" s="129" t="s">
        <v>4894</v>
      </c>
      <c r="M3796" s="131">
        <v>45895</v>
      </c>
      <c r="N3796" s="131"/>
      <c r="O3796" s="131"/>
      <c r="P3796" s="136" t="str">
        <f ca="1">IF(Proc[[#This Row],[DaysAgeing]]&gt;5,"yep","on track")</f>
        <v>yep</v>
      </c>
      <c r="Q3796" s="3">
        <f ca="1">IF(Proc[[#This Row],[DateClosed]]="",ABS(NETWORKDAYS(Proc[[#This Row],[DateOpened]],TODAY()))-1,ABS(NETWORKDAYS(Proc[[#This Row],[DateOpened]],Proc[[#This Row],[DateClosed]]))-1)</f>
        <v>83</v>
      </c>
      <c r="R3796" s="136" t="s">
        <v>452</v>
      </c>
      <c r="S3796" s="129"/>
    </row>
    <row r="3797" spans="1:19" hidden="1">
      <c r="A3797" s="135" t="s">
        <v>5918</v>
      </c>
      <c r="B3797" s="149" t="str">
        <f>IFERROR(VLOOKUP(Proc[[#This Row],[App]],Table2[],3,0),"open")</f>
        <v>ok</v>
      </c>
      <c r="C3797" s="138" t="s">
        <v>369</v>
      </c>
      <c r="D3797" s="135" t="s">
        <v>5926</v>
      </c>
      <c r="E3797" t="s">
        <v>5919</v>
      </c>
      <c r="F3797" s="129" t="s">
        <v>5919</v>
      </c>
      <c r="G3797" s="135" t="s">
        <v>406</v>
      </c>
      <c r="H3797" s="129" t="str">
        <f>IF(Proc[[#This Row],[type]]="LFF (MDG-F)",MID(Proc[[#This Row],[Obj]],13,10),"")</f>
        <v>DE10510000</v>
      </c>
      <c r="J3797" s="129" t="b">
        <f>Proc[[#This Row],[Requested]]=Proc[[#This Row],[CurrentParent]]</f>
        <v>1</v>
      </c>
      <c r="K3797" s="144" t="str">
        <f>IF(Proc[[#This Row],[Author]]="Marcela Urrego",VLOOKUP(LEFT(Proc[[#This Row],[Requested]],1),Table3[#All],2,0),VLOOKUP(Proc[[#This Row],[Author]],Table4[],2,0))</f>
        <v>MGF</v>
      </c>
      <c r="L3797" s="129" t="s">
        <v>4894</v>
      </c>
      <c r="M3797" s="131">
        <v>45895</v>
      </c>
      <c r="N3797" s="131"/>
      <c r="O3797" s="131"/>
      <c r="P3797" s="136" t="str">
        <f ca="1">IF(Proc[[#This Row],[DaysAgeing]]&gt;5,"yep","on track")</f>
        <v>yep</v>
      </c>
      <c r="Q3797" s="3">
        <f ca="1">IF(Proc[[#This Row],[DateClosed]]="",ABS(NETWORKDAYS(Proc[[#This Row],[DateOpened]],TODAY()))-1,ABS(NETWORKDAYS(Proc[[#This Row],[DateOpened]],Proc[[#This Row],[DateClosed]]))-1)</f>
        <v>83</v>
      </c>
      <c r="R3797" s="136" t="s">
        <v>452</v>
      </c>
      <c r="S3797" s="129"/>
    </row>
    <row r="3798" spans="1:19" hidden="1">
      <c r="A3798" s="135" t="s">
        <v>5918</v>
      </c>
      <c r="B3798" s="149" t="str">
        <f>IFERROR(VLOOKUP(Proc[[#This Row],[App]],Table2[],3,0),"open")</f>
        <v>ok</v>
      </c>
      <c r="C3798" s="138" t="s">
        <v>369</v>
      </c>
      <c r="D3798" s="135" t="s">
        <v>5927</v>
      </c>
      <c r="E3798" t="s">
        <v>5919</v>
      </c>
      <c r="F3798" s="129" t="s">
        <v>5919</v>
      </c>
      <c r="G3798" s="135" t="s">
        <v>406</v>
      </c>
      <c r="H3798" s="129" t="str">
        <f>IF(Proc[[#This Row],[type]]="LFF (MDG-F)",MID(Proc[[#This Row],[Obj]],13,10),"")</f>
        <v>DE10551100</v>
      </c>
      <c r="J3798" s="129" t="b">
        <f>Proc[[#This Row],[Requested]]=Proc[[#This Row],[CurrentParent]]</f>
        <v>1</v>
      </c>
      <c r="K3798" s="144" t="str">
        <f>IF(Proc[[#This Row],[Author]]="Marcela Urrego",VLOOKUP(LEFT(Proc[[#This Row],[Requested]],1),Table3[#All],2,0),VLOOKUP(Proc[[#This Row],[Author]],Table4[],2,0))</f>
        <v>MGF</v>
      </c>
      <c r="L3798" s="129" t="s">
        <v>4894</v>
      </c>
      <c r="M3798" s="131">
        <v>45895</v>
      </c>
      <c r="N3798" s="131"/>
      <c r="O3798" s="131"/>
      <c r="P3798" s="136" t="str">
        <f ca="1">IF(Proc[[#This Row],[DaysAgeing]]&gt;5,"yep","on track")</f>
        <v>yep</v>
      </c>
      <c r="Q3798" s="3">
        <f ca="1">IF(Proc[[#This Row],[DateClosed]]="",ABS(NETWORKDAYS(Proc[[#This Row],[DateOpened]],TODAY()))-1,ABS(NETWORKDAYS(Proc[[#This Row],[DateOpened]],Proc[[#This Row],[DateClosed]]))-1)</f>
        <v>83</v>
      </c>
      <c r="R3798" s="136" t="s">
        <v>452</v>
      </c>
      <c r="S3798" s="129"/>
    </row>
    <row r="3799" spans="1:19" hidden="1">
      <c r="A3799" t="s">
        <v>5920</v>
      </c>
      <c r="B3799" s="149" t="str">
        <f>IFERROR(VLOOKUP(Proc[[#This Row],[App]],Table2[],3,0),"open")</f>
        <v>ok</v>
      </c>
      <c r="C3799" s="138" t="s">
        <v>369</v>
      </c>
      <c r="D3799" t="s">
        <v>5928</v>
      </c>
      <c r="E3799" t="s">
        <v>3401</v>
      </c>
      <c r="F3799" s="129" t="s">
        <v>3401</v>
      </c>
      <c r="G3799" s="135" t="s">
        <v>400</v>
      </c>
      <c r="H3799" s="129" t="str">
        <f>IF(Proc[[#This Row],[type]]="LFF (MDG-F)",MID(Proc[[#This Row],[Obj]],13,10),"")</f>
        <v/>
      </c>
      <c r="J3799" s="129" t="b">
        <f>Proc[[#This Row],[Requested]]=Proc[[#This Row],[CurrentParent]]</f>
        <v>1</v>
      </c>
      <c r="K3799" s="144" t="str">
        <f>IF(Proc[[#This Row],[Author]]="Marcela Urrego",VLOOKUP(LEFT(Proc[[#This Row],[Requested]],1),Table3[#All],2,0),VLOOKUP(Proc[[#This Row],[Author]],Table4[],2,0))</f>
        <v>HC</v>
      </c>
      <c r="L3799" s="129" t="s">
        <v>4894</v>
      </c>
      <c r="M3799" s="131">
        <v>45895</v>
      </c>
      <c r="N3799" s="131"/>
      <c r="O3799" s="131"/>
      <c r="P3799" s="136" t="str">
        <f ca="1">IF(Proc[[#This Row],[DaysAgeing]]&gt;5,"yep","on track")</f>
        <v>yep</v>
      </c>
      <c r="Q3799" s="3">
        <f ca="1">IF(Proc[[#This Row],[DateClosed]]="",ABS(NETWORKDAYS(Proc[[#This Row],[DateOpened]],TODAY()))-1,ABS(NETWORKDAYS(Proc[[#This Row],[DateOpened]],Proc[[#This Row],[DateClosed]]))-1)</f>
        <v>83</v>
      </c>
      <c r="R3799" s="136" t="s">
        <v>1013</v>
      </c>
      <c r="S3799" s="129"/>
    </row>
    <row r="3800" spans="1:19" hidden="1">
      <c r="A3800" s="135" t="s">
        <v>5920</v>
      </c>
      <c r="B3800" s="149" t="str">
        <f>IFERROR(VLOOKUP(Proc[[#This Row],[App]],Table2[],3,0),"open")</f>
        <v>ok</v>
      </c>
      <c r="C3800" s="138" t="s">
        <v>369</v>
      </c>
      <c r="D3800" t="s">
        <v>5929</v>
      </c>
      <c r="E3800" s="135" t="s">
        <v>3401</v>
      </c>
      <c r="F3800" s="129" t="s">
        <v>3401</v>
      </c>
      <c r="G3800" s="135" t="s">
        <v>400</v>
      </c>
      <c r="H3800" s="129" t="str">
        <f>IF(Proc[[#This Row],[type]]="LFF (MDG-F)",MID(Proc[[#This Row],[Obj]],13,10),"")</f>
        <v/>
      </c>
      <c r="J3800" s="129" t="b">
        <f>Proc[[#This Row],[Requested]]=Proc[[#This Row],[CurrentParent]]</f>
        <v>1</v>
      </c>
      <c r="K3800" s="144" t="str">
        <f>IF(Proc[[#This Row],[Author]]="Marcela Urrego",VLOOKUP(LEFT(Proc[[#This Row],[Requested]],1),Table3[#All],2,0),VLOOKUP(Proc[[#This Row],[Author]],Table4[],2,0))</f>
        <v>HC</v>
      </c>
      <c r="L3800" s="129" t="s">
        <v>4894</v>
      </c>
      <c r="M3800" s="131">
        <v>45895</v>
      </c>
      <c r="N3800" s="131"/>
      <c r="O3800" s="131"/>
      <c r="P3800" s="136" t="str">
        <f ca="1">IF(Proc[[#This Row],[DaysAgeing]]&gt;5,"yep","on track")</f>
        <v>yep</v>
      </c>
      <c r="Q3800" s="3">
        <f ca="1">IF(Proc[[#This Row],[DateClosed]]="",ABS(NETWORKDAYS(Proc[[#This Row],[DateOpened]],TODAY()))-1,ABS(NETWORKDAYS(Proc[[#This Row],[DateOpened]],Proc[[#This Row],[DateClosed]]))-1)</f>
        <v>83</v>
      </c>
      <c r="R3800" s="136" t="s">
        <v>1013</v>
      </c>
      <c r="S3800" s="129"/>
    </row>
    <row r="3801" spans="1:19" hidden="1">
      <c r="A3801" s="135" t="s">
        <v>5920</v>
      </c>
      <c r="B3801" s="149" t="str">
        <f>IFERROR(VLOOKUP(Proc[[#This Row],[App]],Table2[],3,0),"open")</f>
        <v>ok</v>
      </c>
      <c r="C3801" s="138" t="s">
        <v>369</v>
      </c>
      <c r="D3801" t="s">
        <v>5930</v>
      </c>
      <c r="E3801" s="135" t="s">
        <v>3401</v>
      </c>
      <c r="F3801" s="129" t="s">
        <v>3401</v>
      </c>
      <c r="G3801" s="135" t="s">
        <v>400</v>
      </c>
      <c r="H3801" s="129" t="str">
        <f>IF(Proc[[#This Row],[type]]="LFF (MDG-F)",MID(Proc[[#This Row],[Obj]],13,10),"")</f>
        <v/>
      </c>
      <c r="J3801" s="129" t="b">
        <f>Proc[[#This Row],[Requested]]=Proc[[#This Row],[CurrentParent]]</f>
        <v>1</v>
      </c>
      <c r="K3801" s="144" t="str">
        <f>IF(Proc[[#This Row],[Author]]="Marcela Urrego",VLOOKUP(LEFT(Proc[[#This Row],[Requested]],1),Table3[#All],2,0),VLOOKUP(Proc[[#This Row],[Author]],Table4[],2,0))</f>
        <v>HC</v>
      </c>
      <c r="L3801" s="129" t="s">
        <v>4894</v>
      </c>
      <c r="M3801" s="131">
        <v>45895</v>
      </c>
      <c r="N3801" s="131"/>
      <c r="O3801" s="131"/>
      <c r="P3801" s="136" t="str">
        <f ca="1">IF(Proc[[#This Row],[DaysAgeing]]&gt;5,"yep","on track")</f>
        <v>yep</v>
      </c>
      <c r="Q3801" s="3">
        <f ca="1">IF(Proc[[#This Row],[DateClosed]]="",ABS(NETWORKDAYS(Proc[[#This Row],[DateOpened]],TODAY()))-1,ABS(NETWORKDAYS(Proc[[#This Row],[DateOpened]],Proc[[#This Row],[DateClosed]]))-1)</f>
        <v>83</v>
      </c>
      <c r="R3801" s="136" t="s">
        <v>1013</v>
      </c>
      <c r="S3801" s="129"/>
    </row>
    <row r="3802" spans="1:19" hidden="1">
      <c r="A3802" s="135" t="s">
        <v>5920</v>
      </c>
      <c r="B3802" s="149" t="str">
        <f>IFERROR(VLOOKUP(Proc[[#This Row],[App]],Table2[],3,0),"open")</f>
        <v>ok</v>
      </c>
      <c r="C3802" s="138" t="s">
        <v>369</v>
      </c>
      <c r="D3802" t="s">
        <v>5931</v>
      </c>
      <c r="E3802" s="135" t="s">
        <v>3401</v>
      </c>
      <c r="F3802" s="129" t="s">
        <v>3401</v>
      </c>
      <c r="G3802" s="135" t="s">
        <v>400</v>
      </c>
      <c r="H3802" s="129" t="str">
        <f>IF(Proc[[#This Row],[type]]="LFF (MDG-F)",MID(Proc[[#This Row],[Obj]],13,10),"")</f>
        <v/>
      </c>
      <c r="I3802" s="135"/>
      <c r="J3802" s="129" t="b">
        <f>Proc[[#This Row],[Requested]]=Proc[[#This Row],[CurrentParent]]</f>
        <v>1</v>
      </c>
      <c r="K3802" s="144" t="str">
        <f>IF(Proc[[#This Row],[Author]]="Marcela Urrego",VLOOKUP(LEFT(Proc[[#This Row],[Requested]],1),Table3[#All],2,0),VLOOKUP(Proc[[#This Row],[Author]],Table4[],2,0))</f>
        <v>HC</v>
      </c>
      <c r="L3802" s="129" t="s">
        <v>4894</v>
      </c>
      <c r="M3802" s="131">
        <v>45895</v>
      </c>
      <c r="N3802" s="131"/>
      <c r="O3802" s="131"/>
      <c r="P3802" s="136" t="str">
        <f ca="1">IF(Proc[[#This Row],[DaysAgeing]]&gt;5,"yep","on track")</f>
        <v>yep</v>
      </c>
      <c r="Q3802" s="3">
        <f ca="1">IF(Proc[[#This Row],[DateClosed]]="",ABS(NETWORKDAYS(Proc[[#This Row],[DateOpened]],TODAY()))-1,ABS(NETWORKDAYS(Proc[[#This Row],[DateOpened]],Proc[[#This Row],[DateClosed]]))-1)</f>
        <v>83</v>
      </c>
      <c r="R3802" s="136" t="s">
        <v>1013</v>
      </c>
      <c r="S3802" s="129"/>
    </row>
    <row r="3803" spans="1:19" hidden="1">
      <c r="A3803" s="135" t="s">
        <v>5920</v>
      </c>
      <c r="B3803" s="149" t="str">
        <f>IFERROR(VLOOKUP(Proc[[#This Row],[App]],Table2[],3,0),"open")</f>
        <v>ok</v>
      </c>
      <c r="C3803" s="138" t="s">
        <v>369</v>
      </c>
      <c r="D3803" t="s">
        <v>5932</v>
      </c>
      <c r="E3803" s="135" t="s">
        <v>3401</v>
      </c>
      <c r="F3803" s="129" t="s">
        <v>3401</v>
      </c>
      <c r="G3803" s="135" t="s">
        <v>400</v>
      </c>
      <c r="H3803" s="129" t="str">
        <f>IF(Proc[[#This Row],[type]]="LFF (MDG-F)",MID(Proc[[#This Row],[Obj]],13,10),"")</f>
        <v/>
      </c>
      <c r="I3803" s="135"/>
      <c r="J3803" s="129" t="b">
        <f>Proc[[#This Row],[Requested]]=Proc[[#This Row],[CurrentParent]]</f>
        <v>1</v>
      </c>
      <c r="K3803" s="144" t="str">
        <f>IF(Proc[[#This Row],[Author]]="Marcela Urrego",VLOOKUP(LEFT(Proc[[#This Row],[Requested]],1),Table3[#All],2,0),VLOOKUP(Proc[[#This Row],[Author]],Table4[],2,0))</f>
        <v>HC</v>
      </c>
      <c r="L3803" s="129" t="s">
        <v>4894</v>
      </c>
      <c r="M3803" s="131">
        <v>45895</v>
      </c>
      <c r="N3803" s="131"/>
      <c r="O3803" s="131"/>
      <c r="P3803" s="136" t="str">
        <f ca="1">IF(Proc[[#This Row],[DaysAgeing]]&gt;5,"yep","on track")</f>
        <v>yep</v>
      </c>
      <c r="Q3803" s="3">
        <f ca="1">IF(Proc[[#This Row],[DateClosed]]="",ABS(NETWORKDAYS(Proc[[#This Row],[DateOpened]],TODAY()))-1,ABS(NETWORKDAYS(Proc[[#This Row],[DateOpened]],Proc[[#This Row],[DateClosed]]))-1)</f>
        <v>83</v>
      </c>
      <c r="R3803" s="136" t="s">
        <v>1013</v>
      </c>
      <c r="S3803" s="129"/>
    </row>
    <row r="3804" spans="1:19" hidden="1">
      <c r="A3804" s="135" t="s">
        <v>5920</v>
      </c>
      <c r="B3804" s="149" t="str">
        <f>IFERROR(VLOOKUP(Proc[[#This Row],[App]],Table2[],3,0),"open")</f>
        <v>ok</v>
      </c>
      <c r="C3804" s="138" t="s">
        <v>369</v>
      </c>
      <c r="D3804" t="s">
        <v>5933</v>
      </c>
      <c r="E3804" s="135" t="s">
        <v>3401</v>
      </c>
      <c r="F3804" s="129" t="s">
        <v>3401</v>
      </c>
      <c r="G3804" s="135" t="s">
        <v>400</v>
      </c>
      <c r="H3804" s="129" t="str">
        <f>IF(Proc[[#This Row],[type]]="LFF (MDG-F)",MID(Proc[[#This Row],[Obj]],13,10),"")</f>
        <v/>
      </c>
      <c r="I3804" s="135"/>
      <c r="J3804" s="129" t="b">
        <f>Proc[[#This Row],[Requested]]=Proc[[#This Row],[CurrentParent]]</f>
        <v>1</v>
      </c>
      <c r="K3804" s="144" t="str">
        <f>IF(Proc[[#This Row],[Author]]="Marcela Urrego",VLOOKUP(LEFT(Proc[[#This Row],[Requested]],1),Table3[#All],2,0),VLOOKUP(Proc[[#This Row],[Author]],Table4[],2,0))</f>
        <v>HC</v>
      </c>
      <c r="L3804" s="129" t="s">
        <v>4894</v>
      </c>
      <c r="M3804" s="131">
        <v>45895</v>
      </c>
      <c r="N3804" s="131"/>
      <c r="O3804" s="131"/>
      <c r="P3804" s="136" t="str">
        <f ca="1">IF(Proc[[#This Row],[DaysAgeing]]&gt;5,"yep","on track")</f>
        <v>yep</v>
      </c>
      <c r="Q3804" s="3">
        <f ca="1">IF(Proc[[#This Row],[DateClosed]]="",ABS(NETWORKDAYS(Proc[[#This Row],[DateOpened]],TODAY()))-1,ABS(NETWORKDAYS(Proc[[#This Row],[DateOpened]],Proc[[#This Row],[DateClosed]]))-1)</f>
        <v>83</v>
      </c>
      <c r="R3804" s="136" t="s">
        <v>1013</v>
      </c>
      <c r="S3804" s="129"/>
    </row>
    <row r="3805" spans="1:19" hidden="1">
      <c r="A3805" s="135" t="s">
        <v>5920</v>
      </c>
      <c r="B3805" s="149" t="str">
        <f>IFERROR(VLOOKUP(Proc[[#This Row],[App]],Table2[],3,0),"open")</f>
        <v>ok</v>
      </c>
      <c r="C3805" s="138" t="s">
        <v>369</v>
      </c>
      <c r="D3805" t="s">
        <v>5934</v>
      </c>
      <c r="E3805" s="135" t="s">
        <v>3401</v>
      </c>
      <c r="F3805" s="129" t="s">
        <v>3401</v>
      </c>
      <c r="G3805" s="135" t="s">
        <v>400</v>
      </c>
      <c r="H3805" s="129" t="str">
        <f>IF(Proc[[#This Row],[type]]="LFF (MDG-F)",MID(Proc[[#This Row],[Obj]],13,10),"")</f>
        <v/>
      </c>
      <c r="I3805" s="135"/>
      <c r="J3805" s="129" t="b">
        <f>Proc[[#This Row],[Requested]]=Proc[[#This Row],[CurrentParent]]</f>
        <v>1</v>
      </c>
      <c r="K3805" s="144" t="str">
        <f>IF(Proc[[#This Row],[Author]]="Marcela Urrego",VLOOKUP(LEFT(Proc[[#This Row],[Requested]],1),Table3[#All],2,0),VLOOKUP(Proc[[#This Row],[Author]],Table4[],2,0))</f>
        <v>HC</v>
      </c>
      <c r="L3805" s="129" t="s">
        <v>4894</v>
      </c>
      <c r="M3805" s="131">
        <v>45895</v>
      </c>
      <c r="N3805" s="131"/>
      <c r="O3805" s="131"/>
      <c r="P3805" s="136" t="str">
        <f ca="1">IF(Proc[[#This Row],[DaysAgeing]]&gt;5,"yep","on track")</f>
        <v>yep</v>
      </c>
      <c r="Q3805" s="3">
        <f ca="1">IF(Proc[[#This Row],[DateClosed]]="",ABS(NETWORKDAYS(Proc[[#This Row],[DateOpened]],TODAY()))-1,ABS(NETWORKDAYS(Proc[[#This Row],[DateOpened]],Proc[[#This Row],[DateClosed]]))-1)</f>
        <v>83</v>
      </c>
      <c r="R3805" s="136" t="s">
        <v>1013</v>
      </c>
      <c r="S3805" s="129"/>
    </row>
    <row r="3806" spans="1:19" hidden="1">
      <c r="A3806" s="135" t="s">
        <v>5920</v>
      </c>
      <c r="B3806" s="149" t="str">
        <f>IFERROR(VLOOKUP(Proc[[#This Row],[App]],Table2[],3,0),"open")</f>
        <v>ok</v>
      </c>
      <c r="C3806" s="138" t="s">
        <v>369</v>
      </c>
      <c r="D3806" t="s">
        <v>5935</v>
      </c>
      <c r="E3806" s="135" t="s">
        <v>3401</v>
      </c>
      <c r="F3806" s="129" t="s">
        <v>3401</v>
      </c>
      <c r="G3806" s="135" t="s">
        <v>400</v>
      </c>
      <c r="H3806" s="129" t="str">
        <f>IF(Proc[[#This Row],[type]]="LFF (MDG-F)",MID(Proc[[#This Row],[Obj]],13,10),"")</f>
        <v/>
      </c>
      <c r="I3806" s="135"/>
      <c r="J3806" s="129" t="b">
        <f>Proc[[#This Row],[Requested]]=Proc[[#This Row],[CurrentParent]]</f>
        <v>1</v>
      </c>
      <c r="K3806" s="144" t="str">
        <f>IF(Proc[[#This Row],[Author]]="Marcela Urrego",VLOOKUP(LEFT(Proc[[#This Row],[Requested]],1),Table3[#All],2,0),VLOOKUP(Proc[[#This Row],[Author]],Table4[],2,0))</f>
        <v>HC</v>
      </c>
      <c r="L3806" s="129" t="s">
        <v>4894</v>
      </c>
      <c r="M3806" s="131">
        <v>45895</v>
      </c>
      <c r="N3806" s="131"/>
      <c r="O3806" s="131"/>
      <c r="P3806" s="136" t="str">
        <f ca="1">IF(Proc[[#This Row],[DaysAgeing]]&gt;5,"yep","on track")</f>
        <v>yep</v>
      </c>
      <c r="Q3806" s="3">
        <f ca="1">IF(Proc[[#This Row],[DateClosed]]="",ABS(NETWORKDAYS(Proc[[#This Row],[DateOpened]],TODAY()))-1,ABS(NETWORKDAYS(Proc[[#This Row],[DateOpened]],Proc[[#This Row],[DateClosed]]))-1)</f>
        <v>83</v>
      </c>
      <c r="R3806" s="136" t="s">
        <v>1013</v>
      </c>
      <c r="S3806" s="129"/>
    </row>
    <row r="3807" spans="1:19" hidden="1">
      <c r="A3807" s="135" t="s">
        <v>5920</v>
      </c>
      <c r="B3807" s="149" t="str">
        <f>IFERROR(VLOOKUP(Proc[[#This Row],[App]],Table2[],3,0),"open")</f>
        <v>ok</v>
      </c>
      <c r="C3807" s="138" t="s">
        <v>369</v>
      </c>
      <c r="D3807" t="s">
        <v>5936</v>
      </c>
      <c r="E3807" s="135" t="s">
        <v>3401</v>
      </c>
      <c r="F3807" s="129" t="s">
        <v>3401</v>
      </c>
      <c r="G3807" s="135" t="s">
        <v>400</v>
      </c>
      <c r="H3807" s="129" t="str">
        <f>IF(Proc[[#This Row],[type]]="LFF (MDG-F)",MID(Proc[[#This Row],[Obj]],13,10),"")</f>
        <v/>
      </c>
      <c r="I3807" s="135"/>
      <c r="J3807" s="129" t="b">
        <f>Proc[[#This Row],[Requested]]=Proc[[#This Row],[CurrentParent]]</f>
        <v>1</v>
      </c>
      <c r="K3807" s="144" t="str">
        <f>IF(Proc[[#This Row],[Author]]="Marcela Urrego",VLOOKUP(LEFT(Proc[[#This Row],[Requested]],1),Table3[#All],2,0),VLOOKUP(Proc[[#This Row],[Author]],Table4[],2,0))</f>
        <v>HC</v>
      </c>
      <c r="L3807" s="129" t="s">
        <v>4894</v>
      </c>
      <c r="M3807" s="131">
        <v>45895</v>
      </c>
      <c r="N3807" s="131"/>
      <c r="O3807" s="131"/>
      <c r="P3807" s="136" t="str">
        <f ca="1">IF(Proc[[#This Row],[DaysAgeing]]&gt;5,"yep","on track")</f>
        <v>yep</v>
      </c>
      <c r="Q3807" s="3">
        <f ca="1">IF(Proc[[#This Row],[DateClosed]]="",ABS(NETWORKDAYS(Proc[[#This Row],[DateOpened]],TODAY()))-1,ABS(NETWORKDAYS(Proc[[#This Row],[DateOpened]],Proc[[#This Row],[DateClosed]]))-1)</f>
        <v>83</v>
      </c>
      <c r="R3807" s="136" t="s">
        <v>1013</v>
      </c>
      <c r="S3807" s="129"/>
    </row>
    <row r="3808" spans="1:19" hidden="1">
      <c r="A3808" s="135" t="s">
        <v>5920</v>
      </c>
      <c r="B3808" s="149" t="str">
        <f>IFERROR(VLOOKUP(Proc[[#This Row],[App]],Table2[],3,0),"open")</f>
        <v>ok</v>
      </c>
      <c r="C3808" s="138" t="s">
        <v>369</v>
      </c>
      <c r="D3808" t="s">
        <v>5937</v>
      </c>
      <c r="E3808" s="135" t="s">
        <v>3401</v>
      </c>
      <c r="F3808" s="129" t="s">
        <v>3401</v>
      </c>
      <c r="G3808" s="135" t="s">
        <v>400</v>
      </c>
      <c r="H3808" s="129" t="str">
        <f>IF(Proc[[#This Row],[type]]="LFF (MDG-F)",MID(Proc[[#This Row],[Obj]],13,10),"")</f>
        <v/>
      </c>
      <c r="I3808" s="135"/>
      <c r="J3808" s="129" t="b">
        <f>Proc[[#This Row],[Requested]]=Proc[[#This Row],[CurrentParent]]</f>
        <v>1</v>
      </c>
      <c r="K3808" s="144" t="str">
        <f>IF(Proc[[#This Row],[Author]]="Marcela Urrego",VLOOKUP(LEFT(Proc[[#This Row],[Requested]],1),Table3[#All],2,0),VLOOKUP(Proc[[#This Row],[Author]],Table4[],2,0))</f>
        <v>HC</v>
      </c>
      <c r="L3808" s="129" t="s">
        <v>4894</v>
      </c>
      <c r="M3808" s="131">
        <v>45895</v>
      </c>
      <c r="N3808" s="131"/>
      <c r="O3808" s="131"/>
      <c r="P3808" s="136" t="str">
        <f ca="1">IF(Proc[[#This Row],[DaysAgeing]]&gt;5,"yep","on track")</f>
        <v>yep</v>
      </c>
      <c r="Q3808" s="3">
        <f ca="1">IF(Proc[[#This Row],[DateClosed]]="",ABS(NETWORKDAYS(Proc[[#This Row],[DateOpened]],TODAY()))-1,ABS(NETWORKDAYS(Proc[[#This Row],[DateOpened]],Proc[[#This Row],[DateClosed]]))-1)</f>
        <v>83</v>
      </c>
      <c r="R3808" s="136" t="s">
        <v>1013</v>
      </c>
      <c r="S3808" s="129"/>
    </row>
    <row r="3809" spans="1:19" hidden="1">
      <c r="A3809" s="135" t="s">
        <v>5920</v>
      </c>
      <c r="B3809" s="149" t="str">
        <f>IFERROR(VLOOKUP(Proc[[#This Row],[App]],Table2[],3,0),"open")</f>
        <v>ok</v>
      </c>
      <c r="C3809" s="138" t="s">
        <v>369</v>
      </c>
      <c r="D3809" t="s">
        <v>5938</v>
      </c>
      <c r="E3809" s="135" t="s">
        <v>3401</v>
      </c>
      <c r="F3809" s="129" t="s">
        <v>3401</v>
      </c>
      <c r="G3809" s="135" t="s">
        <v>400</v>
      </c>
      <c r="H3809" s="129" t="str">
        <f>IF(Proc[[#This Row],[type]]="LFF (MDG-F)",MID(Proc[[#This Row],[Obj]],13,10),"")</f>
        <v/>
      </c>
      <c r="I3809" s="135"/>
      <c r="J3809" s="129" t="b">
        <f>Proc[[#This Row],[Requested]]=Proc[[#This Row],[CurrentParent]]</f>
        <v>1</v>
      </c>
      <c r="K3809" s="144" t="str">
        <f>IF(Proc[[#This Row],[Author]]="Marcela Urrego",VLOOKUP(LEFT(Proc[[#This Row],[Requested]],1),Table3[#All],2,0),VLOOKUP(Proc[[#This Row],[Author]],Table4[],2,0))</f>
        <v>HC</v>
      </c>
      <c r="L3809" s="129" t="s">
        <v>4894</v>
      </c>
      <c r="M3809" s="131">
        <v>45895</v>
      </c>
      <c r="N3809" s="131"/>
      <c r="O3809" s="131"/>
      <c r="P3809" s="136" t="str">
        <f ca="1">IF(Proc[[#This Row],[DaysAgeing]]&gt;5,"yep","on track")</f>
        <v>yep</v>
      </c>
      <c r="Q3809" s="3">
        <f ca="1">IF(Proc[[#This Row],[DateClosed]]="",ABS(NETWORKDAYS(Proc[[#This Row],[DateOpened]],TODAY()))-1,ABS(NETWORKDAYS(Proc[[#This Row],[DateOpened]],Proc[[#This Row],[DateClosed]]))-1)</f>
        <v>83</v>
      </c>
      <c r="R3809" s="136" t="s">
        <v>1013</v>
      </c>
      <c r="S3809" s="129"/>
    </row>
    <row r="3810" spans="1:19" hidden="1">
      <c r="A3810" s="135" t="s">
        <v>5920</v>
      </c>
      <c r="B3810" s="149" t="str">
        <f>IFERROR(VLOOKUP(Proc[[#This Row],[App]],Table2[],3,0),"open")</f>
        <v>ok</v>
      </c>
      <c r="C3810" s="138" t="s">
        <v>369</v>
      </c>
      <c r="D3810" t="s">
        <v>5939</v>
      </c>
      <c r="E3810" s="135" t="s">
        <v>3401</v>
      </c>
      <c r="F3810" s="129" t="s">
        <v>3401</v>
      </c>
      <c r="G3810" s="135" t="s">
        <v>400</v>
      </c>
      <c r="H3810" s="129" t="str">
        <f>IF(Proc[[#This Row],[type]]="LFF (MDG-F)",MID(Proc[[#This Row],[Obj]],13,10),"")</f>
        <v/>
      </c>
      <c r="I3810" s="135"/>
      <c r="J3810" s="129" t="b">
        <f>Proc[[#This Row],[Requested]]=Proc[[#This Row],[CurrentParent]]</f>
        <v>1</v>
      </c>
      <c r="K3810" s="144" t="str">
        <f>IF(Proc[[#This Row],[Author]]="Marcela Urrego",VLOOKUP(LEFT(Proc[[#This Row],[Requested]],1),Table3[#All],2,0),VLOOKUP(Proc[[#This Row],[Author]],Table4[],2,0))</f>
        <v>HC</v>
      </c>
      <c r="L3810" s="129" t="s">
        <v>4894</v>
      </c>
      <c r="M3810" s="131">
        <v>45895</v>
      </c>
      <c r="N3810" s="131"/>
      <c r="O3810" s="131"/>
      <c r="P3810" s="136" t="str">
        <f ca="1">IF(Proc[[#This Row],[DaysAgeing]]&gt;5,"yep","on track")</f>
        <v>yep</v>
      </c>
      <c r="Q3810" s="3">
        <f ca="1">IF(Proc[[#This Row],[DateClosed]]="",ABS(NETWORKDAYS(Proc[[#This Row],[DateOpened]],TODAY()))-1,ABS(NETWORKDAYS(Proc[[#This Row],[DateOpened]],Proc[[#This Row],[DateClosed]]))-1)</f>
        <v>83</v>
      </c>
      <c r="R3810" s="136" t="s">
        <v>1013</v>
      </c>
      <c r="S3810" s="129"/>
    </row>
    <row r="3811" spans="1:19" hidden="1">
      <c r="A3811" s="135" t="s">
        <v>5920</v>
      </c>
      <c r="B3811" s="149" t="str">
        <f>IFERROR(VLOOKUP(Proc[[#This Row],[App]],Table2[],3,0),"open")</f>
        <v>ok</v>
      </c>
      <c r="C3811" s="138" t="s">
        <v>369</v>
      </c>
      <c r="D3811" t="s">
        <v>5940</v>
      </c>
      <c r="E3811" s="135" t="s">
        <v>3401</v>
      </c>
      <c r="F3811" s="129" t="s">
        <v>3401</v>
      </c>
      <c r="G3811" s="135" t="s">
        <v>400</v>
      </c>
      <c r="H3811" s="129" t="str">
        <f>IF(Proc[[#This Row],[type]]="LFF (MDG-F)",MID(Proc[[#This Row],[Obj]],13,10),"")</f>
        <v/>
      </c>
      <c r="I3811" s="135"/>
      <c r="J3811" s="129" t="b">
        <f>Proc[[#This Row],[Requested]]=Proc[[#This Row],[CurrentParent]]</f>
        <v>1</v>
      </c>
      <c r="K3811" s="144" t="str">
        <f>IF(Proc[[#This Row],[Author]]="Marcela Urrego",VLOOKUP(LEFT(Proc[[#This Row],[Requested]],1),Table3[#All],2,0),VLOOKUP(Proc[[#This Row],[Author]],Table4[],2,0))</f>
        <v>HC</v>
      </c>
      <c r="L3811" s="129" t="s">
        <v>4894</v>
      </c>
      <c r="M3811" s="131">
        <v>45895</v>
      </c>
      <c r="N3811" s="131"/>
      <c r="O3811" s="131"/>
      <c r="P3811" s="136" t="str">
        <f ca="1">IF(Proc[[#This Row],[DaysAgeing]]&gt;5,"yep","on track")</f>
        <v>yep</v>
      </c>
      <c r="Q3811" s="3">
        <f ca="1">IF(Proc[[#This Row],[DateClosed]]="",ABS(NETWORKDAYS(Proc[[#This Row],[DateOpened]],TODAY()))-1,ABS(NETWORKDAYS(Proc[[#This Row],[DateOpened]],Proc[[#This Row],[DateClosed]]))-1)</f>
        <v>83</v>
      </c>
      <c r="R3811" s="136" t="s">
        <v>1013</v>
      </c>
      <c r="S3811" s="129"/>
    </row>
    <row r="3812" spans="1:19" hidden="1">
      <c r="A3812" s="135" t="s">
        <v>5920</v>
      </c>
      <c r="B3812" s="149" t="str">
        <f>IFERROR(VLOOKUP(Proc[[#This Row],[App]],Table2[],3,0),"open")</f>
        <v>ok</v>
      </c>
      <c r="C3812" s="138" t="s">
        <v>369</v>
      </c>
      <c r="D3812" t="s">
        <v>5941</v>
      </c>
      <c r="E3812" s="135" t="s">
        <v>3401</v>
      </c>
      <c r="F3812" s="129" t="s">
        <v>3401</v>
      </c>
      <c r="G3812" s="135" t="s">
        <v>400</v>
      </c>
      <c r="H3812" s="129" t="str">
        <f>IF(Proc[[#This Row],[type]]="LFF (MDG-F)",MID(Proc[[#This Row],[Obj]],13,10),"")</f>
        <v/>
      </c>
      <c r="I3812" s="135"/>
      <c r="J3812" s="129" t="b">
        <f>Proc[[#This Row],[Requested]]=Proc[[#This Row],[CurrentParent]]</f>
        <v>1</v>
      </c>
      <c r="K3812" s="144" t="str">
        <f>IF(Proc[[#This Row],[Author]]="Marcela Urrego",VLOOKUP(LEFT(Proc[[#This Row],[Requested]],1),Table3[#All],2,0),VLOOKUP(Proc[[#This Row],[Author]],Table4[],2,0))</f>
        <v>HC</v>
      </c>
      <c r="L3812" s="129" t="s">
        <v>4894</v>
      </c>
      <c r="M3812" s="131">
        <v>45895</v>
      </c>
      <c r="N3812" s="131"/>
      <c r="O3812" s="131"/>
      <c r="P3812" s="136" t="str">
        <f ca="1">IF(Proc[[#This Row],[DaysAgeing]]&gt;5,"yep","on track")</f>
        <v>yep</v>
      </c>
      <c r="Q3812" s="3">
        <f ca="1">IF(Proc[[#This Row],[DateClosed]]="",ABS(NETWORKDAYS(Proc[[#This Row],[DateOpened]],TODAY()))-1,ABS(NETWORKDAYS(Proc[[#This Row],[DateOpened]],Proc[[#This Row],[DateClosed]]))-1)</f>
        <v>83</v>
      </c>
      <c r="R3812" s="136" t="s">
        <v>1013</v>
      </c>
      <c r="S3812" s="129"/>
    </row>
    <row r="3813" spans="1:19" hidden="1">
      <c r="A3813" s="135" t="s">
        <v>5920</v>
      </c>
      <c r="B3813" s="149" t="str">
        <f>IFERROR(VLOOKUP(Proc[[#This Row],[App]],Table2[],3,0),"open")</f>
        <v>ok</v>
      </c>
      <c r="C3813" s="138" t="s">
        <v>369</v>
      </c>
      <c r="D3813" t="s">
        <v>5942</v>
      </c>
      <c r="E3813" s="135" t="s">
        <v>3401</v>
      </c>
      <c r="F3813" s="129" t="s">
        <v>3401</v>
      </c>
      <c r="G3813" s="135" t="s">
        <v>400</v>
      </c>
      <c r="H3813" s="129" t="str">
        <f>IF(Proc[[#This Row],[type]]="LFF (MDG-F)",MID(Proc[[#This Row],[Obj]],13,10),"")</f>
        <v/>
      </c>
      <c r="I3813" s="135"/>
      <c r="J3813" s="129" t="b">
        <f>Proc[[#This Row],[Requested]]=Proc[[#This Row],[CurrentParent]]</f>
        <v>1</v>
      </c>
      <c r="K3813" s="144" t="str">
        <f>IF(Proc[[#This Row],[Author]]="Marcela Urrego",VLOOKUP(LEFT(Proc[[#This Row],[Requested]],1),Table3[#All],2,0),VLOOKUP(Proc[[#This Row],[Author]],Table4[],2,0))</f>
        <v>HC</v>
      </c>
      <c r="L3813" s="129" t="s">
        <v>4894</v>
      </c>
      <c r="M3813" s="131">
        <v>45895</v>
      </c>
      <c r="N3813" s="131"/>
      <c r="O3813" s="131"/>
      <c r="P3813" s="136" t="str">
        <f ca="1">IF(Proc[[#This Row],[DaysAgeing]]&gt;5,"yep","on track")</f>
        <v>yep</v>
      </c>
      <c r="Q3813" s="3">
        <f ca="1">IF(Proc[[#This Row],[DateClosed]]="",ABS(NETWORKDAYS(Proc[[#This Row],[DateOpened]],TODAY()))-1,ABS(NETWORKDAYS(Proc[[#This Row],[DateOpened]],Proc[[#This Row],[DateClosed]]))-1)</f>
        <v>83</v>
      </c>
      <c r="R3813" s="136" t="s">
        <v>1013</v>
      </c>
      <c r="S3813" s="129"/>
    </row>
    <row r="3814" spans="1:19" hidden="1">
      <c r="A3814" s="135" t="s">
        <v>5920</v>
      </c>
      <c r="B3814" s="149" t="str">
        <f>IFERROR(VLOOKUP(Proc[[#This Row],[App]],Table2[],3,0),"open")</f>
        <v>ok</v>
      </c>
      <c r="C3814" s="138" t="s">
        <v>369</v>
      </c>
      <c r="D3814" t="s">
        <v>5943</v>
      </c>
      <c r="E3814" s="135" t="s">
        <v>3401</v>
      </c>
      <c r="F3814" s="129" t="s">
        <v>3401</v>
      </c>
      <c r="G3814" s="135" t="s">
        <v>400</v>
      </c>
      <c r="H3814" s="129" t="str">
        <f>IF(Proc[[#This Row],[type]]="LFF (MDG-F)",MID(Proc[[#This Row],[Obj]],13,10),"")</f>
        <v/>
      </c>
      <c r="I3814" s="135"/>
      <c r="J3814" s="129" t="b">
        <f>Proc[[#This Row],[Requested]]=Proc[[#This Row],[CurrentParent]]</f>
        <v>1</v>
      </c>
      <c r="K3814" s="144" t="str">
        <f>IF(Proc[[#This Row],[Author]]="Marcela Urrego",VLOOKUP(LEFT(Proc[[#This Row],[Requested]],1),Table3[#All],2,0),VLOOKUP(Proc[[#This Row],[Author]],Table4[],2,0))</f>
        <v>HC</v>
      </c>
      <c r="L3814" s="129" t="s">
        <v>4894</v>
      </c>
      <c r="M3814" s="131">
        <v>45895</v>
      </c>
      <c r="N3814" s="131"/>
      <c r="O3814" s="131"/>
      <c r="P3814" s="136" t="str">
        <f ca="1">IF(Proc[[#This Row],[DaysAgeing]]&gt;5,"yep","on track")</f>
        <v>yep</v>
      </c>
      <c r="Q3814" s="3">
        <f ca="1">IF(Proc[[#This Row],[DateClosed]]="",ABS(NETWORKDAYS(Proc[[#This Row],[DateOpened]],TODAY()))-1,ABS(NETWORKDAYS(Proc[[#This Row],[DateOpened]],Proc[[#This Row],[DateClosed]]))-1)</f>
        <v>83</v>
      </c>
      <c r="R3814" s="136" t="s">
        <v>1013</v>
      </c>
      <c r="S3814" s="129"/>
    </row>
    <row r="3815" spans="1:19" hidden="1">
      <c r="A3815" s="135" t="s">
        <v>5920</v>
      </c>
      <c r="B3815" s="149" t="str">
        <f>IFERROR(VLOOKUP(Proc[[#This Row],[App]],Table2[],3,0),"open")</f>
        <v>ok</v>
      </c>
      <c r="C3815" s="138" t="s">
        <v>369</v>
      </c>
      <c r="D3815" t="s">
        <v>5944</v>
      </c>
      <c r="E3815" s="135" t="s">
        <v>3401</v>
      </c>
      <c r="F3815" s="129" t="s">
        <v>3401</v>
      </c>
      <c r="G3815" s="135" t="s">
        <v>400</v>
      </c>
      <c r="H3815" s="129" t="str">
        <f>IF(Proc[[#This Row],[type]]="LFF (MDG-F)",MID(Proc[[#This Row],[Obj]],13,10),"")</f>
        <v/>
      </c>
      <c r="I3815" s="135"/>
      <c r="J3815" s="129" t="b">
        <f>Proc[[#This Row],[Requested]]=Proc[[#This Row],[CurrentParent]]</f>
        <v>1</v>
      </c>
      <c r="K3815" s="144" t="str">
        <f>IF(Proc[[#This Row],[Author]]="Marcela Urrego",VLOOKUP(LEFT(Proc[[#This Row],[Requested]],1),Table3[#All],2,0),VLOOKUP(Proc[[#This Row],[Author]],Table4[],2,0))</f>
        <v>HC</v>
      </c>
      <c r="L3815" s="129" t="s">
        <v>4894</v>
      </c>
      <c r="M3815" s="131">
        <v>45895</v>
      </c>
      <c r="N3815" s="131"/>
      <c r="O3815" s="131"/>
      <c r="P3815" s="136" t="str">
        <f ca="1">IF(Proc[[#This Row],[DaysAgeing]]&gt;5,"yep","on track")</f>
        <v>yep</v>
      </c>
      <c r="Q3815" s="3">
        <f ca="1">IF(Proc[[#This Row],[DateClosed]]="",ABS(NETWORKDAYS(Proc[[#This Row],[DateOpened]],TODAY()))-1,ABS(NETWORKDAYS(Proc[[#This Row],[DateOpened]],Proc[[#This Row],[DateClosed]]))-1)</f>
        <v>83</v>
      </c>
      <c r="R3815" s="136" t="s">
        <v>1013</v>
      </c>
      <c r="S3815" s="129"/>
    </row>
    <row r="3816" spans="1:19" hidden="1">
      <c r="A3816" s="135" t="s">
        <v>5920</v>
      </c>
      <c r="B3816" s="149" t="str">
        <f>IFERROR(VLOOKUP(Proc[[#This Row],[App]],Table2[],3,0),"open")</f>
        <v>ok</v>
      </c>
      <c r="C3816" s="138" t="s">
        <v>369</v>
      </c>
      <c r="D3816" t="s">
        <v>5921</v>
      </c>
      <c r="E3816" s="135" t="s">
        <v>3401</v>
      </c>
      <c r="F3816" s="129" t="s">
        <v>3401</v>
      </c>
      <c r="G3816" s="135" t="s">
        <v>406</v>
      </c>
      <c r="H3816" s="129" t="str">
        <f>IF(Proc[[#This Row],[type]]="LFF (MDG-F)",MID(Proc[[#This Row],[Obj]],13,10),"")</f>
        <v>CZ50GEQ001</v>
      </c>
      <c r="J3816" s="129" t="b">
        <f>Proc[[#This Row],[Requested]]=Proc[[#This Row],[CurrentParent]]</f>
        <v>1</v>
      </c>
      <c r="K3816" s="144" t="str">
        <f>IF(Proc[[#This Row],[Author]]="Marcela Urrego",VLOOKUP(LEFT(Proc[[#This Row],[Requested]],1),Table3[#All],2,0),VLOOKUP(Proc[[#This Row],[Author]],Table4[],2,0))</f>
        <v>HC</v>
      </c>
      <c r="L3816" s="129" t="s">
        <v>4894</v>
      </c>
      <c r="M3816" s="131">
        <v>45895</v>
      </c>
      <c r="N3816" s="131"/>
      <c r="O3816" s="131"/>
      <c r="P3816" s="136" t="str">
        <f ca="1">IF(Proc[[#This Row],[DaysAgeing]]&gt;5,"yep","on track")</f>
        <v>yep</v>
      </c>
      <c r="Q3816" s="3">
        <f ca="1">IF(Proc[[#This Row],[DateClosed]]="",ABS(NETWORKDAYS(Proc[[#This Row],[DateOpened]],TODAY()))-1,ABS(NETWORKDAYS(Proc[[#This Row],[DateOpened]],Proc[[#This Row],[DateClosed]]))-1)</f>
        <v>83</v>
      </c>
      <c r="R3816" s="136" t="s">
        <v>1013</v>
      </c>
      <c r="S3816" s="129"/>
    </row>
    <row r="3817" spans="1:19" hidden="1">
      <c r="A3817" s="135" t="s">
        <v>5920</v>
      </c>
      <c r="B3817" s="149" t="str">
        <f>IFERROR(VLOOKUP(Proc[[#This Row],[App]],Table2[],3,0),"open")</f>
        <v>ok</v>
      </c>
      <c r="C3817" s="135" t="s">
        <v>369</v>
      </c>
      <c r="D3817" t="s">
        <v>5922</v>
      </c>
      <c r="E3817" s="135" t="s">
        <v>3401</v>
      </c>
      <c r="F3817" s="138" t="s">
        <v>3401</v>
      </c>
      <c r="G3817" s="135" t="s">
        <v>406</v>
      </c>
      <c r="H3817" s="129" t="str">
        <f>IF(Proc[[#This Row],[type]]="LFF (MDG-F)",MID(Proc[[#This Row],[Obj]],13,10),"")</f>
        <v>CZ50Z02185</v>
      </c>
      <c r="J3817" s="129" t="b">
        <f>Proc[[#This Row],[Requested]]=Proc[[#This Row],[CurrentParent]]</f>
        <v>1</v>
      </c>
      <c r="K3817" s="144" t="str">
        <f>IF(Proc[[#This Row],[Author]]="Marcela Urrego",VLOOKUP(LEFT(Proc[[#This Row],[Requested]],1),Table3[#All],2,0),VLOOKUP(Proc[[#This Row],[Author]],Table4[],2,0))</f>
        <v>HC</v>
      </c>
      <c r="L3817" s="129" t="s">
        <v>4894</v>
      </c>
      <c r="M3817" s="131">
        <v>45895</v>
      </c>
      <c r="N3817" s="131"/>
      <c r="O3817" s="131"/>
      <c r="P3817" s="136" t="str">
        <f ca="1">IF(Proc[[#This Row],[DaysAgeing]]&gt;5,"yep","on track")</f>
        <v>yep</v>
      </c>
      <c r="Q3817" s="3">
        <f ca="1">IF(Proc[[#This Row],[DateClosed]]="",ABS(NETWORKDAYS(Proc[[#This Row],[DateOpened]],TODAY()))-1,ABS(NETWORKDAYS(Proc[[#This Row],[DateOpened]],Proc[[#This Row],[DateClosed]]))-1)</f>
        <v>83</v>
      </c>
      <c r="R3817" s="136" t="s">
        <v>1013</v>
      </c>
      <c r="S3817" s="129"/>
    </row>
    <row r="3818" spans="1:19" hidden="1">
      <c r="A3818" s="135" t="s">
        <v>6086</v>
      </c>
      <c r="B3818" s="149" t="str">
        <f>IFERROR(VLOOKUP(Proc[[#This Row],[App]],Table2[],3,0),"open")</f>
        <v>ok</v>
      </c>
      <c r="C3818" s="138" t="s">
        <v>369</v>
      </c>
      <c r="D3818" t="s">
        <v>5945</v>
      </c>
      <c r="E3818" t="s">
        <v>6059</v>
      </c>
      <c r="F3818" s="129" t="s">
        <v>6059</v>
      </c>
      <c r="G3818" s="135" t="s">
        <v>406</v>
      </c>
      <c r="H3818" s="129" t="str">
        <f>IF(Proc[[#This Row],[type]]="LFF (MDG-F)",MID(Proc[[#This Row],[Obj]],13,10),"")</f>
        <v>JP01C00020</v>
      </c>
      <c r="J3818" s="129" t="b">
        <f>Proc[[#This Row],[Requested]]=Proc[[#This Row],[CurrentParent]]</f>
        <v>1</v>
      </c>
      <c r="K3818" s="144" t="str">
        <f>IF(Proc[[#This Row],[Author]]="Marcela Urrego",VLOOKUP(LEFT(Proc[[#This Row],[Requested]],1),Table3[#All],2,0),VLOOKUP(Proc[[#This Row],[Author]],Table4[],2,0))</f>
        <v>EL</v>
      </c>
      <c r="L3818" s="129" t="s">
        <v>4894</v>
      </c>
      <c r="M3818" s="136">
        <v>45895</v>
      </c>
      <c r="N3818" s="137"/>
      <c r="O3818" s="137"/>
      <c r="P3818" s="136" t="str">
        <f ca="1">IF(Proc[[#This Row],[DaysAgeing]]&gt;5,"yep","on track")</f>
        <v>yep</v>
      </c>
      <c r="Q3818" s="3">
        <f ca="1">IF(Proc[[#This Row],[DateClosed]]="",ABS(NETWORKDAYS(Proc[[#This Row],[DateOpened]],TODAY()))-1,ABS(NETWORKDAYS(Proc[[#This Row],[DateOpened]],Proc[[#This Row],[DateClosed]]))-1)</f>
        <v>83</v>
      </c>
      <c r="R3818" s="136" t="s">
        <v>6087</v>
      </c>
      <c r="S3818" s="129"/>
    </row>
    <row r="3819" spans="1:19" hidden="1">
      <c r="A3819" s="135" t="s">
        <v>6086</v>
      </c>
      <c r="B3819" s="149" t="str">
        <f>IFERROR(VLOOKUP(Proc[[#This Row],[App]],Table2[],3,0),"open")</f>
        <v>ok</v>
      </c>
      <c r="C3819" s="138" t="s">
        <v>369</v>
      </c>
      <c r="D3819" t="s">
        <v>5946</v>
      </c>
      <c r="E3819" t="s">
        <v>6059</v>
      </c>
      <c r="F3819" s="129" t="s">
        <v>6059</v>
      </c>
      <c r="G3819" s="135" t="s">
        <v>406</v>
      </c>
      <c r="H3819" s="129" t="str">
        <f>IF(Proc[[#This Row],[type]]="LFF (MDG-F)",MID(Proc[[#This Row],[Obj]],13,10),"")</f>
        <v>JP01C00301</v>
      </c>
      <c r="J3819" s="129" t="b">
        <f>Proc[[#This Row],[Requested]]=Proc[[#This Row],[CurrentParent]]</f>
        <v>1</v>
      </c>
      <c r="K3819" s="144" t="str">
        <f>IF(Proc[[#This Row],[Author]]="Marcela Urrego",VLOOKUP(LEFT(Proc[[#This Row],[Requested]],1),Table3[#All],2,0),VLOOKUP(Proc[[#This Row],[Author]],Table4[],2,0))</f>
        <v>EL</v>
      </c>
      <c r="L3819" s="129" t="s">
        <v>4894</v>
      </c>
      <c r="M3819" s="136">
        <v>45895</v>
      </c>
      <c r="N3819" s="137"/>
      <c r="O3819" s="137"/>
      <c r="P3819" s="136" t="str">
        <f ca="1">IF(Proc[[#This Row],[DaysAgeing]]&gt;5,"yep","on track")</f>
        <v>yep</v>
      </c>
      <c r="Q3819" s="3">
        <f ca="1">IF(Proc[[#This Row],[DateClosed]]="",ABS(NETWORKDAYS(Proc[[#This Row],[DateOpened]],TODAY()))-1,ABS(NETWORKDAYS(Proc[[#This Row],[DateOpened]],Proc[[#This Row],[DateClosed]]))-1)</f>
        <v>83</v>
      </c>
      <c r="R3819" s="136" t="s">
        <v>6087</v>
      </c>
      <c r="S3819" s="129"/>
    </row>
    <row r="3820" spans="1:19" hidden="1">
      <c r="A3820" s="135" t="s">
        <v>6086</v>
      </c>
      <c r="B3820" s="149" t="str">
        <f>IFERROR(VLOOKUP(Proc[[#This Row],[App]],Table2[],3,0),"open")</f>
        <v>ok</v>
      </c>
      <c r="C3820" s="138" t="s">
        <v>369</v>
      </c>
      <c r="D3820" t="s">
        <v>5947</v>
      </c>
      <c r="E3820" t="s">
        <v>6059</v>
      </c>
      <c r="F3820" s="129" t="s">
        <v>6059</v>
      </c>
      <c r="G3820" s="135" t="s">
        <v>406</v>
      </c>
      <c r="H3820" s="129" t="str">
        <f>IF(Proc[[#This Row],[type]]="LFF (MDG-F)",MID(Proc[[#This Row],[Obj]],13,10),"")</f>
        <v>JP01C00401</v>
      </c>
      <c r="J3820" s="129" t="b">
        <f>Proc[[#This Row],[Requested]]=Proc[[#This Row],[CurrentParent]]</f>
        <v>1</v>
      </c>
      <c r="K3820" s="144" t="str">
        <f>IF(Proc[[#This Row],[Author]]="Marcela Urrego",VLOOKUP(LEFT(Proc[[#This Row],[Requested]],1),Table3[#All],2,0),VLOOKUP(Proc[[#This Row],[Author]],Table4[],2,0))</f>
        <v>EL</v>
      </c>
      <c r="L3820" s="129" t="s">
        <v>4894</v>
      </c>
      <c r="M3820" s="136">
        <v>45895</v>
      </c>
      <c r="N3820" s="137"/>
      <c r="O3820" s="137"/>
      <c r="P3820" s="136" t="str">
        <f ca="1">IF(Proc[[#This Row],[DaysAgeing]]&gt;5,"yep","on track")</f>
        <v>yep</v>
      </c>
      <c r="Q3820" s="3">
        <f ca="1">IF(Proc[[#This Row],[DateClosed]]="",ABS(NETWORKDAYS(Proc[[#This Row],[DateOpened]],TODAY()))-1,ABS(NETWORKDAYS(Proc[[#This Row],[DateOpened]],Proc[[#This Row],[DateClosed]]))-1)</f>
        <v>83</v>
      </c>
      <c r="R3820" s="136" t="s">
        <v>6087</v>
      </c>
      <c r="S3820" s="129"/>
    </row>
    <row r="3821" spans="1:19" hidden="1">
      <c r="A3821" s="135" t="s">
        <v>6086</v>
      </c>
      <c r="B3821" s="149" t="str">
        <f>IFERROR(VLOOKUP(Proc[[#This Row],[App]],Table2[],3,0),"open")</f>
        <v>ok</v>
      </c>
      <c r="C3821" s="138" t="s">
        <v>369</v>
      </c>
      <c r="D3821" t="s">
        <v>5948</v>
      </c>
      <c r="E3821" t="s">
        <v>6060</v>
      </c>
      <c r="F3821" s="129" t="s">
        <v>6060</v>
      </c>
      <c r="G3821" s="135" t="s">
        <v>406</v>
      </c>
      <c r="H3821" s="129" t="str">
        <f>IF(Proc[[#This Row],[type]]="LFF (MDG-F)",MID(Proc[[#This Row],[Obj]],13,10),"")</f>
        <v>JP01C0M121</v>
      </c>
      <c r="J3821" s="129" t="b">
        <f>Proc[[#This Row],[Requested]]=Proc[[#This Row],[CurrentParent]]</f>
        <v>1</v>
      </c>
      <c r="K3821" s="144" t="str">
        <f>IF(Proc[[#This Row],[Author]]="Marcela Urrego",VLOOKUP(LEFT(Proc[[#This Row],[Requested]],1),Table3[#All],2,0),VLOOKUP(Proc[[#This Row],[Author]],Table4[],2,0))</f>
        <v>EL</v>
      </c>
      <c r="L3821" s="129" t="s">
        <v>4894</v>
      </c>
      <c r="M3821" s="136">
        <v>45895</v>
      </c>
      <c r="N3821" s="137"/>
      <c r="O3821" s="137"/>
      <c r="P3821" s="136" t="str">
        <f ca="1">IF(Proc[[#This Row],[DaysAgeing]]&gt;5,"yep","on track")</f>
        <v>yep</v>
      </c>
      <c r="Q3821" s="3">
        <f ca="1">IF(Proc[[#This Row],[DateClosed]]="",ABS(NETWORKDAYS(Proc[[#This Row],[DateOpened]],TODAY()))-1,ABS(NETWORKDAYS(Proc[[#This Row],[DateOpened]],Proc[[#This Row],[DateClosed]]))-1)</f>
        <v>83</v>
      </c>
      <c r="R3821" s="136" t="s">
        <v>6087</v>
      </c>
      <c r="S3821" s="129"/>
    </row>
    <row r="3822" spans="1:19" hidden="1">
      <c r="A3822" s="135" t="s">
        <v>6086</v>
      </c>
      <c r="B3822" s="149" t="str">
        <f>IFERROR(VLOOKUP(Proc[[#This Row],[App]],Table2[],3,0),"open")</f>
        <v>ok</v>
      </c>
      <c r="C3822" s="138" t="s">
        <v>369</v>
      </c>
      <c r="D3822" t="s">
        <v>5949</v>
      </c>
      <c r="E3822" t="s">
        <v>6061</v>
      </c>
      <c r="F3822" s="129" t="s">
        <v>6061</v>
      </c>
      <c r="G3822" s="135" t="s">
        <v>406</v>
      </c>
      <c r="H3822" s="129" t="str">
        <f>IF(Proc[[#This Row],[type]]="LFF (MDG-F)",MID(Proc[[#This Row],[Obj]],13,10),"")</f>
        <v>JP01C0M600</v>
      </c>
      <c r="J3822" s="129" t="b">
        <f>Proc[[#This Row],[Requested]]=Proc[[#This Row],[CurrentParent]]</f>
        <v>1</v>
      </c>
      <c r="K3822" s="144" t="str">
        <f>IF(Proc[[#This Row],[Author]]="Marcela Urrego",VLOOKUP(LEFT(Proc[[#This Row],[Requested]],1),Table3[#All],2,0),VLOOKUP(Proc[[#This Row],[Author]],Table4[],2,0))</f>
        <v>EL</v>
      </c>
      <c r="L3822" s="129" t="s">
        <v>4894</v>
      </c>
      <c r="M3822" s="136">
        <v>45895</v>
      </c>
      <c r="N3822" s="137"/>
      <c r="O3822" s="137"/>
      <c r="P3822" s="136" t="str">
        <f ca="1">IF(Proc[[#This Row],[DaysAgeing]]&gt;5,"yep","on track")</f>
        <v>yep</v>
      </c>
      <c r="Q3822" s="3">
        <f ca="1">IF(Proc[[#This Row],[DateClosed]]="",ABS(NETWORKDAYS(Proc[[#This Row],[DateOpened]],TODAY()))-1,ABS(NETWORKDAYS(Proc[[#This Row],[DateOpened]],Proc[[#This Row],[DateClosed]]))-1)</f>
        <v>83</v>
      </c>
      <c r="R3822" s="136" t="s">
        <v>6087</v>
      </c>
      <c r="S3822" s="129"/>
    </row>
    <row r="3823" spans="1:19" hidden="1">
      <c r="A3823" s="135" t="s">
        <v>6086</v>
      </c>
      <c r="B3823" s="149" t="str">
        <f>IFERROR(VLOOKUP(Proc[[#This Row],[App]],Table2[],3,0),"open")</f>
        <v>ok</v>
      </c>
      <c r="C3823" s="138" t="s">
        <v>369</v>
      </c>
      <c r="D3823" t="s">
        <v>5950</v>
      </c>
      <c r="E3823" t="s">
        <v>6061</v>
      </c>
      <c r="F3823" s="129" t="s">
        <v>6061</v>
      </c>
      <c r="G3823" s="135" t="s">
        <v>406</v>
      </c>
      <c r="H3823" s="129" t="str">
        <f>IF(Proc[[#This Row],[type]]="LFF (MDG-F)",MID(Proc[[#This Row],[Obj]],13,10),"")</f>
        <v>JP01C0M621</v>
      </c>
      <c r="J3823" s="129" t="b">
        <f>Proc[[#This Row],[Requested]]=Proc[[#This Row],[CurrentParent]]</f>
        <v>1</v>
      </c>
      <c r="K3823" s="144" t="str">
        <f>IF(Proc[[#This Row],[Author]]="Marcela Urrego",VLOOKUP(LEFT(Proc[[#This Row],[Requested]],1),Table3[#All],2,0),VLOOKUP(Proc[[#This Row],[Author]],Table4[],2,0))</f>
        <v>EL</v>
      </c>
      <c r="L3823" s="129" t="s">
        <v>4894</v>
      </c>
      <c r="M3823" s="136">
        <v>45895</v>
      </c>
      <c r="N3823" s="137"/>
      <c r="O3823" s="137"/>
      <c r="P3823" s="136" t="str">
        <f ca="1">IF(Proc[[#This Row],[DaysAgeing]]&gt;5,"yep","on track")</f>
        <v>yep</v>
      </c>
      <c r="Q3823" s="3">
        <f ca="1">IF(Proc[[#This Row],[DateClosed]]="",ABS(NETWORKDAYS(Proc[[#This Row],[DateOpened]],TODAY()))-1,ABS(NETWORKDAYS(Proc[[#This Row],[DateOpened]],Proc[[#This Row],[DateClosed]]))-1)</f>
        <v>83</v>
      </c>
      <c r="R3823" s="136" t="s">
        <v>6087</v>
      </c>
      <c r="S3823" s="129"/>
    </row>
    <row r="3824" spans="1:19" hidden="1">
      <c r="A3824" s="135" t="s">
        <v>6086</v>
      </c>
      <c r="B3824" s="149" t="str">
        <f>IFERROR(VLOOKUP(Proc[[#This Row],[App]],Table2[],3,0),"open")</f>
        <v>ok</v>
      </c>
      <c r="C3824" s="138" t="s">
        <v>369</v>
      </c>
      <c r="D3824" t="s">
        <v>5951</v>
      </c>
      <c r="E3824" t="s">
        <v>6062</v>
      </c>
      <c r="F3824" s="129" t="s">
        <v>6062</v>
      </c>
      <c r="G3824" s="135" t="s">
        <v>406</v>
      </c>
      <c r="H3824" s="129" t="str">
        <f>IF(Proc[[#This Row],[type]]="LFF (MDG-F)",MID(Proc[[#This Row],[Obj]],13,10),"")</f>
        <v>JP01C0M821</v>
      </c>
      <c r="J3824" s="129" t="b">
        <f>Proc[[#This Row],[Requested]]=Proc[[#This Row],[CurrentParent]]</f>
        <v>1</v>
      </c>
      <c r="K3824" s="144" t="str">
        <f>IF(Proc[[#This Row],[Author]]="Marcela Urrego",VLOOKUP(LEFT(Proc[[#This Row],[Requested]],1),Table3[#All],2,0),VLOOKUP(Proc[[#This Row],[Author]],Table4[],2,0))</f>
        <v>EL</v>
      </c>
      <c r="L3824" s="129" t="s">
        <v>4894</v>
      </c>
      <c r="M3824" s="136">
        <v>45895</v>
      </c>
      <c r="N3824" s="137"/>
      <c r="O3824" s="137"/>
      <c r="P3824" s="136" t="str">
        <f ca="1">IF(Proc[[#This Row],[DaysAgeing]]&gt;5,"yep","on track")</f>
        <v>yep</v>
      </c>
      <c r="Q3824" s="3">
        <f ca="1">IF(Proc[[#This Row],[DateClosed]]="",ABS(NETWORKDAYS(Proc[[#This Row],[DateOpened]],TODAY()))-1,ABS(NETWORKDAYS(Proc[[#This Row],[DateOpened]],Proc[[#This Row],[DateClosed]]))-1)</f>
        <v>83</v>
      </c>
      <c r="R3824" s="136" t="s">
        <v>6087</v>
      </c>
      <c r="S3824" s="129"/>
    </row>
    <row r="3825" spans="1:19" hidden="1">
      <c r="A3825" s="135" t="s">
        <v>6086</v>
      </c>
      <c r="B3825" s="149" t="str">
        <f>IFERROR(VLOOKUP(Proc[[#This Row],[App]],Table2[],3,0),"open")</f>
        <v>ok</v>
      </c>
      <c r="C3825" s="138" t="s">
        <v>369</v>
      </c>
      <c r="D3825" t="s">
        <v>5952</v>
      </c>
      <c r="E3825" t="s">
        <v>6062</v>
      </c>
      <c r="F3825" s="129" t="s">
        <v>6062</v>
      </c>
      <c r="G3825" s="135" t="s">
        <v>406</v>
      </c>
      <c r="H3825" s="129" t="str">
        <f>IF(Proc[[#This Row],[type]]="LFF (MDG-F)",MID(Proc[[#This Row],[Obj]],13,10),"")</f>
        <v>JP01C0M822</v>
      </c>
      <c r="J3825" s="129" t="b">
        <f>Proc[[#This Row],[Requested]]=Proc[[#This Row],[CurrentParent]]</f>
        <v>1</v>
      </c>
      <c r="K3825" s="144" t="str">
        <f>IF(Proc[[#This Row],[Author]]="Marcela Urrego",VLOOKUP(LEFT(Proc[[#This Row],[Requested]],1),Table3[#All],2,0),VLOOKUP(Proc[[#This Row],[Author]],Table4[],2,0))</f>
        <v>EL</v>
      </c>
      <c r="L3825" s="129" t="s">
        <v>4894</v>
      </c>
      <c r="M3825" s="136">
        <v>45895</v>
      </c>
      <c r="N3825" s="137"/>
      <c r="O3825" s="137"/>
      <c r="P3825" s="136" t="str">
        <f ca="1">IF(Proc[[#This Row],[DaysAgeing]]&gt;5,"yep","on track")</f>
        <v>yep</v>
      </c>
      <c r="Q3825" s="3">
        <f ca="1">IF(Proc[[#This Row],[DateClosed]]="",ABS(NETWORKDAYS(Proc[[#This Row],[DateOpened]],TODAY()))-1,ABS(NETWORKDAYS(Proc[[#This Row],[DateOpened]],Proc[[#This Row],[DateClosed]]))-1)</f>
        <v>83</v>
      </c>
      <c r="R3825" s="136" t="s">
        <v>6087</v>
      </c>
      <c r="S3825" s="129"/>
    </row>
    <row r="3826" spans="1:19" hidden="1">
      <c r="A3826" s="135" t="s">
        <v>6086</v>
      </c>
      <c r="B3826" s="149" t="str">
        <f>IFERROR(VLOOKUP(Proc[[#This Row],[App]],Table2[],3,0),"open")</f>
        <v>ok</v>
      </c>
      <c r="C3826" s="144" t="s">
        <v>369</v>
      </c>
      <c r="D3826" t="s">
        <v>5953</v>
      </c>
      <c r="E3826" t="s">
        <v>6063</v>
      </c>
      <c r="F3826" s="150" t="s">
        <v>6063</v>
      </c>
      <c r="G3826" s="135" t="s">
        <v>406</v>
      </c>
      <c r="H3826" s="129" t="str">
        <f>IF(Proc[[#This Row],[type]]="LFF (MDG-F)",MID(Proc[[#This Row],[Obj]],13,10),"")</f>
        <v>JP01C0M825</v>
      </c>
      <c r="J3826" s="129" t="b">
        <f>Proc[[#This Row],[Requested]]=Proc[[#This Row],[CurrentParent]]</f>
        <v>1</v>
      </c>
      <c r="K3826" s="144" t="str">
        <f>IF(Proc[[#This Row],[Author]]="Marcela Urrego",VLOOKUP(LEFT(Proc[[#This Row],[Requested]],1),Table3[#All],2,0),VLOOKUP(Proc[[#This Row],[Author]],Table4[],2,0))</f>
        <v>EL</v>
      </c>
      <c r="L3826" s="129" t="s">
        <v>4894</v>
      </c>
      <c r="M3826" s="136">
        <v>45895</v>
      </c>
      <c r="N3826" s="137"/>
      <c r="O3826" s="137"/>
      <c r="P3826" s="136" t="str">
        <f ca="1">IF(Proc[[#This Row],[DaysAgeing]]&gt;5,"yep","on track")</f>
        <v>yep</v>
      </c>
      <c r="Q3826" s="3">
        <f ca="1">IF(Proc[[#This Row],[DateClosed]]="",ABS(NETWORKDAYS(Proc[[#This Row],[DateOpened]],TODAY()))-1,ABS(NETWORKDAYS(Proc[[#This Row],[DateOpened]],Proc[[#This Row],[DateClosed]]))-1)</f>
        <v>83</v>
      </c>
      <c r="R3826" s="136" t="s">
        <v>6087</v>
      </c>
      <c r="S3826" s="129"/>
    </row>
    <row r="3827" spans="1:19" hidden="1">
      <c r="A3827" s="135" t="s">
        <v>6086</v>
      </c>
      <c r="B3827" s="149" t="str">
        <f>IFERROR(VLOOKUP(Proc[[#This Row],[App]],Table2[],3,0),"open")</f>
        <v>ok</v>
      </c>
      <c r="C3827" s="138" t="s">
        <v>369</v>
      </c>
      <c r="D3827" t="s">
        <v>5954</v>
      </c>
      <c r="E3827" t="s">
        <v>6064</v>
      </c>
      <c r="F3827" s="138" t="s">
        <v>6064</v>
      </c>
      <c r="G3827" s="135" t="s">
        <v>406</v>
      </c>
      <c r="H3827" s="129" t="str">
        <f>IF(Proc[[#This Row],[type]]="LFF (MDG-F)",MID(Proc[[#This Row],[Obj]],13,10),"")</f>
        <v>JP01C0M921</v>
      </c>
      <c r="J3827" s="129" t="b">
        <f>Proc[[#This Row],[Requested]]=Proc[[#This Row],[CurrentParent]]</f>
        <v>1</v>
      </c>
      <c r="K3827" s="144" t="str">
        <f>IF(Proc[[#This Row],[Author]]="Marcela Urrego",VLOOKUP(LEFT(Proc[[#This Row],[Requested]],1),Table3[#All],2,0),VLOOKUP(Proc[[#This Row],[Author]],Table4[],2,0))</f>
        <v>EL</v>
      </c>
      <c r="L3827" s="129" t="s">
        <v>4894</v>
      </c>
      <c r="M3827" s="136">
        <v>45895</v>
      </c>
      <c r="N3827" s="137"/>
      <c r="O3827" s="137"/>
      <c r="P3827" s="136" t="str">
        <f ca="1">IF(Proc[[#This Row],[DaysAgeing]]&gt;5,"yep","on track")</f>
        <v>yep</v>
      </c>
      <c r="Q3827" s="3">
        <f ca="1">IF(Proc[[#This Row],[DateClosed]]="",ABS(NETWORKDAYS(Proc[[#This Row],[DateOpened]],TODAY()))-1,ABS(NETWORKDAYS(Proc[[#This Row],[DateOpened]],Proc[[#This Row],[DateClosed]]))-1)</f>
        <v>83</v>
      </c>
      <c r="R3827" s="136" t="s">
        <v>6087</v>
      </c>
      <c r="S3827" s="129"/>
    </row>
    <row r="3828" spans="1:19" hidden="1">
      <c r="A3828" s="135" t="s">
        <v>6086</v>
      </c>
      <c r="B3828" s="149" t="str">
        <f>IFERROR(VLOOKUP(Proc[[#This Row],[App]],Table2[],3,0),"open")</f>
        <v>ok</v>
      </c>
      <c r="C3828" s="138" t="s">
        <v>369</v>
      </c>
      <c r="D3828" t="s">
        <v>5955</v>
      </c>
      <c r="E3828" t="s">
        <v>6065</v>
      </c>
      <c r="F3828" s="129" t="s">
        <v>6065</v>
      </c>
      <c r="G3828" s="135" t="s">
        <v>406</v>
      </c>
      <c r="H3828" s="129" t="str">
        <f>IF(Proc[[#This Row],[type]]="LFF (MDG-F)",MID(Proc[[#This Row],[Obj]],13,10),"")</f>
        <v>JP01C0O921</v>
      </c>
      <c r="J3828" s="129" t="b">
        <f>Proc[[#This Row],[Requested]]=Proc[[#This Row],[CurrentParent]]</f>
        <v>1</v>
      </c>
      <c r="K3828" s="144" t="str">
        <f>IF(Proc[[#This Row],[Author]]="Marcela Urrego",VLOOKUP(LEFT(Proc[[#This Row],[Requested]],1),Table3[#All],2,0),VLOOKUP(Proc[[#This Row],[Author]],Table4[],2,0))</f>
        <v>EL</v>
      </c>
      <c r="L3828" s="129" t="s">
        <v>4894</v>
      </c>
      <c r="M3828" s="136">
        <v>45895</v>
      </c>
      <c r="N3828" s="137"/>
      <c r="O3828" s="137"/>
      <c r="P3828" s="136" t="str">
        <f ca="1">IF(Proc[[#This Row],[DaysAgeing]]&gt;5,"yep","on track")</f>
        <v>yep</v>
      </c>
      <c r="Q3828" s="3">
        <f ca="1">IF(Proc[[#This Row],[DateClosed]]="",ABS(NETWORKDAYS(Proc[[#This Row],[DateOpened]],TODAY()))-1,ABS(NETWORKDAYS(Proc[[#This Row],[DateOpened]],Proc[[#This Row],[DateClosed]]))-1)</f>
        <v>83</v>
      </c>
      <c r="R3828" s="136" t="s">
        <v>6087</v>
      </c>
      <c r="S3828" s="129"/>
    </row>
    <row r="3829" spans="1:19" hidden="1">
      <c r="A3829" s="135" t="s">
        <v>6086</v>
      </c>
      <c r="B3829" s="149" t="str">
        <f>IFERROR(VLOOKUP(Proc[[#This Row],[App]],Table2[],3,0),"open")</f>
        <v>ok</v>
      </c>
      <c r="C3829" s="138" t="s">
        <v>369</v>
      </c>
      <c r="D3829" t="s">
        <v>5956</v>
      </c>
      <c r="E3829" t="s">
        <v>6062</v>
      </c>
      <c r="F3829" s="129" t="s">
        <v>6062</v>
      </c>
      <c r="G3829" s="135" t="s">
        <v>406</v>
      </c>
      <c r="H3829" s="129" t="str">
        <f>IF(Proc[[#This Row],[type]]="LFF (MDG-F)",MID(Proc[[#This Row],[Obj]],13,10),"")</f>
        <v>JP01C0O999</v>
      </c>
      <c r="J3829" s="129" t="b">
        <f>Proc[[#This Row],[Requested]]=Proc[[#This Row],[CurrentParent]]</f>
        <v>1</v>
      </c>
      <c r="K3829" s="144" t="str">
        <f>IF(Proc[[#This Row],[Author]]="Marcela Urrego",VLOOKUP(LEFT(Proc[[#This Row],[Requested]],1),Table3[#All],2,0),VLOOKUP(Proc[[#This Row],[Author]],Table4[],2,0))</f>
        <v>EL</v>
      </c>
      <c r="L3829" s="129" t="s">
        <v>4894</v>
      </c>
      <c r="M3829" s="136">
        <v>45895</v>
      </c>
      <c r="N3829" s="137"/>
      <c r="O3829" s="137"/>
      <c r="P3829" s="136" t="str">
        <f ca="1">IF(Proc[[#This Row],[DaysAgeing]]&gt;5,"yep","on track")</f>
        <v>yep</v>
      </c>
      <c r="Q3829" s="3">
        <f ca="1">IF(Proc[[#This Row],[DateClosed]]="",ABS(NETWORKDAYS(Proc[[#This Row],[DateOpened]],TODAY()))-1,ABS(NETWORKDAYS(Proc[[#This Row],[DateOpened]],Proc[[#This Row],[DateClosed]]))-1)</f>
        <v>83</v>
      </c>
      <c r="R3829" s="136" t="s">
        <v>6087</v>
      </c>
      <c r="S3829" s="129"/>
    </row>
    <row r="3830" spans="1:19" hidden="1">
      <c r="A3830" s="135" t="s">
        <v>6086</v>
      </c>
      <c r="B3830" s="149" t="str">
        <f>IFERROR(VLOOKUP(Proc[[#This Row],[App]],Table2[],3,0),"open")</f>
        <v>ok</v>
      </c>
      <c r="C3830" s="138" t="s">
        <v>369</v>
      </c>
      <c r="D3830" t="s">
        <v>5957</v>
      </c>
      <c r="E3830" t="s">
        <v>6066</v>
      </c>
      <c r="F3830" s="129" t="s">
        <v>6066</v>
      </c>
      <c r="G3830" s="135" t="s">
        <v>406</v>
      </c>
      <c r="H3830" s="129" t="str">
        <f>IF(Proc[[#This Row],[type]]="LFF (MDG-F)",MID(Proc[[#This Row],[Obj]],13,10),"")</f>
        <v>JP01GBT301</v>
      </c>
      <c r="J3830" s="129" t="b">
        <f>Proc[[#This Row],[Requested]]=Proc[[#This Row],[CurrentParent]]</f>
        <v>1</v>
      </c>
      <c r="K3830" s="144" t="str">
        <f>IF(Proc[[#This Row],[Author]]="Marcela Urrego",VLOOKUP(LEFT(Proc[[#This Row],[Requested]],1),Table3[#All],2,0),VLOOKUP(Proc[[#This Row],[Author]],Table4[],2,0))</f>
        <v>EL</v>
      </c>
      <c r="L3830" s="129" t="s">
        <v>4894</v>
      </c>
      <c r="M3830" s="136">
        <v>45895</v>
      </c>
      <c r="N3830" s="137"/>
      <c r="O3830" s="137"/>
      <c r="P3830" s="136" t="str">
        <f ca="1">IF(Proc[[#This Row],[DaysAgeing]]&gt;5,"yep","on track")</f>
        <v>yep</v>
      </c>
      <c r="Q3830" s="3">
        <f ca="1">IF(Proc[[#This Row],[DateClosed]]="",ABS(NETWORKDAYS(Proc[[#This Row],[DateOpened]],TODAY()))-1,ABS(NETWORKDAYS(Proc[[#This Row],[DateOpened]],Proc[[#This Row],[DateClosed]]))-1)</f>
        <v>83</v>
      </c>
      <c r="R3830" s="136" t="s">
        <v>6087</v>
      </c>
      <c r="S3830" s="129"/>
    </row>
    <row r="3831" spans="1:19" hidden="1">
      <c r="A3831" s="135" t="s">
        <v>6086</v>
      </c>
      <c r="B3831" s="149" t="str">
        <f>IFERROR(VLOOKUP(Proc[[#This Row],[App]],Table2[],3,0),"open")</f>
        <v>ok</v>
      </c>
      <c r="C3831" s="138" t="s">
        <v>369</v>
      </c>
      <c r="D3831" t="s">
        <v>5958</v>
      </c>
      <c r="E3831" t="s">
        <v>6066</v>
      </c>
      <c r="F3831" s="129" t="s">
        <v>6066</v>
      </c>
      <c r="G3831" s="135" t="s">
        <v>406</v>
      </c>
      <c r="H3831" s="129" t="str">
        <f>IF(Proc[[#This Row],[type]]="LFF (MDG-F)",MID(Proc[[#This Row],[Obj]],13,10),"")</f>
        <v>JP01GBT303</v>
      </c>
      <c r="J3831" s="129" t="b">
        <f>Proc[[#This Row],[Requested]]=Proc[[#This Row],[CurrentParent]]</f>
        <v>1</v>
      </c>
      <c r="K3831" s="144" t="str">
        <f>IF(Proc[[#This Row],[Author]]="Marcela Urrego",VLOOKUP(LEFT(Proc[[#This Row],[Requested]],1),Table3[#All],2,0),VLOOKUP(Proc[[#This Row],[Author]],Table4[],2,0))</f>
        <v>EL</v>
      </c>
      <c r="L3831" s="129" t="s">
        <v>4894</v>
      </c>
      <c r="M3831" s="136">
        <v>45895</v>
      </c>
      <c r="N3831" s="137"/>
      <c r="O3831" s="137"/>
      <c r="P3831" s="136" t="str">
        <f ca="1">IF(Proc[[#This Row],[DaysAgeing]]&gt;5,"yep","on track")</f>
        <v>yep</v>
      </c>
      <c r="Q3831" s="3">
        <f ca="1">IF(Proc[[#This Row],[DateClosed]]="",ABS(NETWORKDAYS(Proc[[#This Row],[DateOpened]],TODAY()))-1,ABS(NETWORKDAYS(Proc[[#This Row],[DateOpened]],Proc[[#This Row],[DateClosed]]))-1)</f>
        <v>83</v>
      </c>
      <c r="R3831" s="136" t="s">
        <v>6087</v>
      </c>
      <c r="S3831" s="129"/>
    </row>
    <row r="3832" spans="1:19" hidden="1">
      <c r="A3832" s="135" t="s">
        <v>6086</v>
      </c>
      <c r="B3832" s="149" t="str">
        <f>IFERROR(VLOOKUP(Proc[[#This Row],[App]],Table2[],3,0),"open")</f>
        <v>ok</v>
      </c>
      <c r="C3832" s="138" t="s">
        <v>369</v>
      </c>
      <c r="D3832" t="s">
        <v>5959</v>
      </c>
      <c r="E3832" t="s">
        <v>6066</v>
      </c>
      <c r="F3832" s="129" t="s">
        <v>6066</v>
      </c>
      <c r="G3832" s="135" t="s">
        <v>406</v>
      </c>
      <c r="H3832" s="129" t="str">
        <f>IF(Proc[[#This Row],[type]]="LFF (MDG-F)",MID(Proc[[#This Row],[Obj]],13,10),"")</f>
        <v>JP01GBT304</v>
      </c>
      <c r="J3832" s="129" t="b">
        <f>Proc[[#This Row],[Requested]]=Proc[[#This Row],[CurrentParent]]</f>
        <v>1</v>
      </c>
      <c r="K3832" s="144" t="str">
        <f>IF(Proc[[#This Row],[Author]]="Marcela Urrego",VLOOKUP(LEFT(Proc[[#This Row],[Requested]],1),Table3[#All],2,0),VLOOKUP(Proc[[#This Row],[Author]],Table4[],2,0))</f>
        <v>EL</v>
      </c>
      <c r="L3832" s="129" t="s">
        <v>4894</v>
      </c>
      <c r="M3832" s="136">
        <v>45895</v>
      </c>
      <c r="N3832" s="137"/>
      <c r="O3832" s="137"/>
      <c r="P3832" s="136" t="str">
        <f ca="1">IF(Proc[[#This Row],[DaysAgeing]]&gt;5,"yep","on track")</f>
        <v>yep</v>
      </c>
      <c r="Q3832" s="3">
        <f ca="1">IF(Proc[[#This Row],[DateClosed]]="",ABS(NETWORKDAYS(Proc[[#This Row],[DateOpened]],TODAY()))-1,ABS(NETWORKDAYS(Proc[[#This Row],[DateOpened]],Proc[[#This Row],[DateClosed]]))-1)</f>
        <v>83</v>
      </c>
      <c r="R3832" s="136" t="s">
        <v>6087</v>
      </c>
      <c r="S3832" s="129"/>
    </row>
    <row r="3833" spans="1:19" hidden="1">
      <c r="A3833" s="135" t="s">
        <v>6086</v>
      </c>
      <c r="B3833" s="149" t="str">
        <f>IFERROR(VLOOKUP(Proc[[#This Row],[App]],Table2[],3,0),"open")</f>
        <v>ok</v>
      </c>
      <c r="C3833" s="138" t="s">
        <v>369</v>
      </c>
      <c r="D3833" t="s">
        <v>5960</v>
      </c>
      <c r="E3833" t="s">
        <v>6066</v>
      </c>
      <c r="F3833" s="129" t="s">
        <v>6066</v>
      </c>
      <c r="G3833" s="135" t="s">
        <v>406</v>
      </c>
      <c r="H3833" s="129" t="str">
        <f>IF(Proc[[#This Row],[type]]="LFF (MDG-F)",MID(Proc[[#This Row],[Obj]],13,10),"")</f>
        <v>JP01GBT305</v>
      </c>
      <c r="J3833" s="129" t="b">
        <f>Proc[[#This Row],[Requested]]=Proc[[#This Row],[CurrentParent]]</f>
        <v>1</v>
      </c>
      <c r="K3833" s="144" t="str">
        <f>IF(Proc[[#This Row],[Author]]="Marcela Urrego",VLOOKUP(LEFT(Proc[[#This Row],[Requested]],1),Table3[#All],2,0),VLOOKUP(Proc[[#This Row],[Author]],Table4[],2,0))</f>
        <v>EL</v>
      </c>
      <c r="L3833" s="129" t="s">
        <v>4894</v>
      </c>
      <c r="M3833" s="136">
        <v>45895</v>
      </c>
      <c r="N3833" s="137"/>
      <c r="O3833" s="137"/>
      <c r="P3833" s="136" t="str">
        <f ca="1">IF(Proc[[#This Row],[DaysAgeing]]&gt;5,"yep","on track")</f>
        <v>yep</v>
      </c>
      <c r="Q3833" s="3">
        <f ca="1">IF(Proc[[#This Row],[DateClosed]]="",ABS(NETWORKDAYS(Proc[[#This Row],[DateOpened]],TODAY()))-1,ABS(NETWORKDAYS(Proc[[#This Row],[DateOpened]],Proc[[#This Row],[DateClosed]]))-1)</f>
        <v>83</v>
      </c>
      <c r="R3833" s="136" t="s">
        <v>6087</v>
      </c>
      <c r="S3833" s="129"/>
    </row>
    <row r="3834" spans="1:19" hidden="1">
      <c r="A3834" s="135" t="s">
        <v>6086</v>
      </c>
      <c r="B3834" s="149" t="str">
        <f>IFERROR(VLOOKUP(Proc[[#This Row],[App]],Table2[],3,0),"open")</f>
        <v>ok</v>
      </c>
      <c r="C3834" s="138" t="s">
        <v>369</v>
      </c>
      <c r="D3834" t="s">
        <v>5961</v>
      </c>
      <c r="E3834" t="s">
        <v>6067</v>
      </c>
      <c r="F3834" s="129" t="s">
        <v>6067</v>
      </c>
      <c r="G3834" s="135" t="s">
        <v>406</v>
      </c>
      <c r="H3834" s="129" t="str">
        <f>IF(Proc[[#This Row],[type]]="LFF (MDG-F)",MID(Proc[[#This Row],[Obj]],13,10),"")</f>
        <v>JP01GCM301</v>
      </c>
      <c r="J3834" s="129" t="b">
        <f>Proc[[#This Row],[Requested]]=Proc[[#This Row],[CurrentParent]]</f>
        <v>1</v>
      </c>
      <c r="K3834" s="144" t="str">
        <f>IF(Proc[[#This Row],[Author]]="Marcela Urrego",VLOOKUP(LEFT(Proc[[#This Row],[Requested]],1),Table3[#All],2,0),VLOOKUP(Proc[[#This Row],[Author]],Table4[],2,0))</f>
        <v>EL</v>
      </c>
      <c r="L3834" s="129" t="s">
        <v>4894</v>
      </c>
      <c r="M3834" s="136">
        <v>45895</v>
      </c>
      <c r="N3834" s="137"/>
      <c r="O3834" s="137"/>
      <c r="P3834" s="136" t="str">
        <f ca="1">IF(Proc[[#This Row],[DaysAgeing]]&gt;5,"yep","on track")</f>
        <v>yep</v>
      </c>
      <c r="Q3834" s="3">
        <f ca="1">IF(Proc[[#This Row],[DateClosed]]="",ABS(NETWORKDAYS(Proc[[#This Row],[DateOpened]],TODAY()))-1,ABS(NETWORKDAYS(Proc[[#This Row],[DateOpened]],Proc[[#This Row],[DateClosed]]))-1)</f>
        <v>83</v>
      </c>
      <c r="R3834" s="136" t="s">
        <v>6087</v>
      </c>
      <c r="S3834" s="129"/>
    </row>
    <row r="3835" spans="1:19" hidden="1">
      <c r="A3835" s="135" t="s">
        <v>6086</v>
      </c>
      <c r="B3835" s="149" t="str">
        <f>IFERROR(VLOOKUP(Proc[[#This Row],[App]],Table2[],3,0),"open")</f>
        <v>ok</v>
      </c>
      <c r="C3835" s="138" t="s">
        <v>369</v>
      </c>
      <c r="D3835" t="s">
        <v>5962</v>
      </c>
      <c r="E3835" t="s">
        <v>6068</v>
      </c>
      <c r="F3835" s="129" t="s">
        <v>6068</v>
      </c>
      <c r="G3835" s="135" t="s">
        <v>406</v>
      </c>
      <c r="H3835" s="129" t="str">
        <f>IF(Proc[[#This Row],[type]]="LFF (MDG-F)",MID(Proc[[#This Row],[Obj]],13,10),"")</f>
        <v>JP01GCO301</v>
      </c>
      <c r="J3835" s="129" t="b">
        <f>Proc[[#This Row],[Requested]]=Proc[[#This Row],[CurrentParent]]</f>
        <v>1</v>
      </c>
      <c r="K3835" s="144" t="str">
        <f>IF(Proc[[#This Row],[Author]]="Marcela Urrego",VLOOKUP(LEFT(Proc[[#This Row],[Requested]],1),Table3[#All],2,0),VLOOKUP(Proc[[#This Row],[Author]],Table4[],2,0))</f>
        <v>EL</v>
      </c>
      <c r="L3835" s="129" t="s">
        <v>4894</v>
      </c>
      <c r="M3835" s="136">
        <v>45895</v>
      </c>
      <c r="N3835" s="137"/>
      <c r="O3835" s="137"/>
      <c r="P3835" s="136" t="str">
        <f ca="1">IF(Proc[[#This Row],[DaysAgeing]]&gt;5,"yep","on track")</f>
        <v>yep</v>
      </c>
      <c r="Q3835" s="3">
        <f ca="1">IF(Proc[[#This Row],[DateClosed]]="",ABS(NETWORKDAYS(Proc[[#This Row],[DateOpened]],TODAY()))-1,ABS(NETWORKDAYS(Proc[[#This Row],[DateOpened]],Proc[[#This Row],[DateClosed]]))-1)</f>
        <v>83</v>
      </c>
      <c r="R3835" s="136" t="s">
        <v>6087</v>
      </c>
      <c r="S3835" s="129"/>
    </row>
    <row r="3836" spans="1:19" hidden="1">
      <c r="A3836" s="135" t="s">
        <v>6086</v>
      </c>
      <c r="B3836" s="149" t="str">
        <f>IFERROR(VLOOKUP(Proc[[#This Row],[App]],Table2[],3,0),"open")</f>
        <v>ok</v>
      </c>
      <c r="C3836" s="138" t="s">
        <v>369</v>
      </c>
      <c r="D3836" t="s">
        <v>5963</v>
      </c>
      <c r="E3836" t="s">
        <v>6067</v>
      </c>
      <c r="F3836" s="129" t="s">
        <v>6067</v>
      </c>
      <c r="G3836" s="135" t="s">
        <v>406</v>
      </c>
      <c r="H3836" s="129" t="str">
        <f>IF(Proc[[#This Row],[type]]="LFF (MDG-F)",MID(Proc[[#This Row],[Obj]],13,10),"")</f>
        <v>JP01GFO300</v>
      </c>
      <c r="J3836" s="129" t="b">
        <f>Proc[[#This Row],[Requested]]=Proc[[#This Row],[CurrentParent]]</f>
        <v>1</v>
      </c>
      <c r="K3836" s="144" t="str">
        <f>IF(Proc[[#This Row],[Author]]="Marcela Urrego",VLOOKUP(LEFT(Proc[[#This Row],[Requested]],1),Table3[#All],2,0),VLOOKUP(Proc[[#This Row],[Author]],Table4[],2,0))</f>
        <v>EL</v>
      </c>
      <c r="L3836" s="129" t="s">
        <v>4894</v>
      </c>
      <c r="M3836" s="136">
        <v>45895</v>
      </c>
      <c r="N3836" s="137"/>
      <c r="O3836" s="137"/>
      <c r="P3836" s="136" t="str">
        <f ca="1">IF(Proc[[#This Row],[DaysAgeing]]&gt;5,"yep","on track")</f>
        <v>yep</v>
      </c>
      <c r="Q3836" s="3">
        <f ca="1">IF(Proc[[#This Row],[DateClosed]]="",ABS(NETWORKDAYS(Proc[[#This Row],[DateOpened]],TODAY()))-1,ABS(NETWORKDAYS(Proc[[#This Row],[DateOpened]],Proc[[#This Row],[DateClosed]]))-1)</f>
        <v>83</v>
      </c>
      <c r="R3836" s="136" t="s">
        <v>6087</v>
      </c>
      <c r="S3836" s="129"/>
    </row>
    <row r="3837" spans="1:19" hidden="1">
      <c r="A3837" s="135" t="s">
        <v>6086</v>
      </c>
      <c r="B3837" s="149" t="str">
        <f>IFERROR(VLOOKUP(Proc[[#This Row],[App]],Table2[],3,0),"open")</f>
        <v>ok</v>
      </c>
      <c r="C3837" s="138" t="s">
        <v>369</v>
      </c>
      <c r="D3837" t="s">
        <v>5964</v>
      </c>
      <c r="E3837" t="s">
        <v>6067</v>
      </c>
      <c r="F3837" s="129" t="s">
        <v>6067</v>
      </c>
      <c r="G3837" s="135" t="s">
        <v>406</v>
      </c>
      <c r="H3837" s="129" t="str">
        <f>IF(Proc[[#This Row],[type]]="LFF (MDG-F)",MID(Proc[[#This Row],[Obj]],13,10),"")</f>
        <v>JP01GFO301</v>
      </c>
      <c r="J3837" s="129" t="b">
        <f>Proc[[#This Row],[Requested]]=Proc[[#This Row],[CurrentParent]]</f>
        <v>1</v>
      </c>
      <c r="K3837" s="144" t="str">
        <f>IF(Proc[[#This Row],[Author]]="Marcela Urrego",VLOOKUP(LEFT(Proc[[#This Row],[Requested]],1),Table3[#All],2,0),VLOOKUP(Proc[[#This Row],[Author]],Table4[],2,0))</f>
        <v>EL</v>
      </c>
      <c r="L3837" s="129" t="s">
        <v>4894</v>
      </c>
      <c r="M3837" s="136">
        <v>45895</v>
      </c>
      <c r="N3837" s="137"/>
      <c r="O3837" s="137"/>
      <c r="P3837" s="136" t="str">
        <f ca="1">IF(Proc[[#This Row],[DaysAgeing]]&gt;5,"yep","on track")</f>
        <v>yep</v>
      </c>
      <c r="Q3837" s="3">
        <f ca="1">IF(Proc[[#This Row],[DateClosed]]="",ABS(NETWORKDAYS(Proc[[#This Row],[DateOpened]],TODAY()))-1,ABS(NETWORKDAYS(Proc[[#This Row],[DateOpened]],Proc[[#This Row],[DateClosed]]))-1)</f>
        <v>83</v>
      </c>
      <c r="R3837" s="136" t="s">
        <v>6087</v>
      </c>
      <c r="S3837" s="129"/>
    </row>
    <row r="3838" spans="1:19" hidden="1">
      <c r="A3838" s="135" t="s">
        <v>6086</v>
      </c>
      <c r="B3838" s="149" t="str">
        <f>IFERROR(VLOOKUP(Proc[[#This Row],[App]],Table2[],3,0),"open")</f>
        <v>ok</v>
      </c>
      <c r="C3838" s="138" t="s">
        <v>369</v>
      </c>
      <c r="D3838" t="s">
        <v>5965</v>
      </c>
      <c r="E3838" t="s">
        <v>6069</v>
      </c>
      <c r="F3838" s="129" t="s">
        <v>6069</v>
      </c>
      <c r="G3838" s="135" t="s">
        <v>406</v>
      </c>
      <c r="H3838" s="129" t="str">
        <f>IF(Proc[[#This Row],[type]]="LFF (MDG-F)",MID(Proc[[#This Row],[Obj]],13,10),"")</f>
        <v>JP01GHR301</v>
      </c>
      <c r="J3838" s="129" t="b">
        <f>Proc[[#This Row],[Requested]]=Proc[[#This Row],[CurrentParent]]</f>
        <v>1</v>
      </c>
      <c r="K3838" s="144" t="str">
        <f>IF(Proc[[#This Row],[Author]]="Marcela Urrego",VLOOKUP(LEFT(Proc[[#This Row],[Requested]],1),Table3[#All],2,0),VLOOKUP(Proc[[#This Row],[Author]],Table4[],2,0))</f>
        <v>EL</v>
      </c>
      <c r="L3838" s="129" t="s">
        <v>4894</v>
      </c>
      <c r="M3838" s="136">
        <v>45895</v>
      </c>
      <c r="N3838" s="137"/>
      <c r="O3838" s="137"/>
      <c r="P3838" s="136" t="str">
        <f ca="1">IF(Proc[[#This Row],[DaysAgeing]]&gt;5,"yep","on track")</f>
        <v>yep</v>
      </c>
      <c r="Q3838" s="3">
        <f ca="1">IF(Proc[[#This Row],[DateClosed]]="",ABS(NETWORKDAYS(Proc[[#This Row],[DateOpened]],TODAY()))-1,ABS(NETWORKDAYS(Proc[[#This Row],[DateOpened]],Proc[[#This Row],[DateClosed]]))-1)</f>
        <v>83</v>
      </c>
      <c r="R3838" s="136" t="s">
        <v>6087</v>
      </c>
      <c r="S3838" s="129"/>
    </row>
    <row r="3839" spans="1:19" hidden="1">
      <c r="A3839" s="135" t="s">
        <v>6086</v>
      </c>
      <c r="B3839" s="149" t="str">
        <f>IFERROR(VLOOKUP(Proc[[#This Row],[App]],Table2[],3,0),"open")</f>
        <v>ok</v>
      </c>
      <c r="C3839" s="138" t="s">
        <v>369</v>
      </c>
      <c r="D3839" t="s">
        <v>5966</v>
      </c>
      <c r="E3839" t="s">
        <v>6069</v>
      </c>
      <c r="F3839" s="129" t="s">
        <v>6069</v>
      </c>
      <c r="G3839" s="135" t="s">
        <v>406</v>
      </c>
      <c r="H3839" s="129" t="str">
        <f>IF(Proc[[#This Row],[type]]="LFF (MDG-F)",MID(Proc[[#This Row],[Obj]],13,10),"")</f>
        <v>JP01GHR303</v>
      </c>
      <c r="J3839" s="129" t="b">
        <f>Proc[[#This Row],[Requested]]=Proc[[#This Row],[CurrentParent]]</f>
        <v>1</v>
      </c>
      <c r="K3839" s="144" t="str">
        <f>IF(Proc[[#This Row],[Author]]="Marcela Urrego",VLOOKUP(LEFT(Proc[[#This Row],[Requested]],1),Table3[#All],2,0),VLOOKUP(Proc[[#This Row],[Author]],Table4[],2,0))</f>
        <v>EL</v>
      </c>
      <c r="L3839" s="129" t="s">
        <v>4894</v>
      </c>
      <c r="M3839" s="136">
        <v>45895</v>
      </c>
      <c r="N3839" s="137"/>
      <c r="O3839" s="137"/>
      <c r="P3839" s="136" t="str">
        <f ca="1">IF(Proc[[#This Row],[DaysAgeing]]&gt;5,"yep","on track")</f>
        <v>yep</v>
      </c>
      <c r="Q3839" s="3">
        <f ca="1">IF(Proc[[#This Row],[DateClosed]]="",ABS(NETWORKDAYS(Proc[[#This Row],[DateOpened]],TODAY()))-1,ABS(NETWORKDAYS(Proc[[#This Row],[DateOpened]],Proc[[#This Row],[DateClosed]]))-1)</f>
        <v>83</v>
      </c>
      <c r="R3839" s="136" t="s">
        <v>6087</v>
      </c>
      <c r="S3839" s="129"/>
    </row>
    <row r="3840" spans="1:19" hidden="1">
      <c r="A3840" s="135" t="s">
        <v>6086</v>
      </c>
      <c r="B3840" s="149" t="str">
        <f>IFERROR(VLOOKUP(Proc[[#This Row],[App]],Table2[],3,0),"open")</f>
        <v>ok</v>
      </c>
      <c r="C3840" s="138" t="s">
        <v>369</v>
      </c>
      <c r="D3840" t="s">
        <v>5967</v>
      </c>
      <c r="E3840" t="s">
        <v>6066</v>
      </c>
      <c r="F3840" s="129" t="s">
        <v>6066</v>
      </c>
      <c r="G3840" s="135" t="s">
        <v>406</v>
      </c>
      <c r="H3840" s="129" t="str">
        <f>IF(Proc[[#This Row],[type]]="LFF (MDG-F)",MID(Proc[[#This Row],[Obj]],13,10),"")</f>
        <v>JP01GIT01B</v>
      </c>
      <c r="J3840" s="129" t="b">
        <f>Proc[[#This Row],[Requested]]=Proc[[#This Row],[CurrentParent]]</f>
        <v>1</v>
      </c>
      <c r="K3840" s="144" t="str">
        <f>IF(Proc[[#This Row],[Author]]="Marcela Urrego",VLOOKUP(LEFT(Proc[[#This Row],[Requested]],1),Table3[#All],2,0),VLOOKUP(Proc[[#This Row],[Author]],Table4[],2,0))</f>
        <v>EL</v>
      </c>
      <c r="L3840" s="129" t="s">
        <v>4894</v>
      </c>
      <c r="M3840" s="136">
        <v>45895</v>
      </c>
      <c r="N3840" s="137"/>
      <c r="O3840" s="137"/>
      <c r="P3840" s="136" t="str">
        <f ca="1">IF(Proc[[#This Row],[DaysAgeing]]&gt;5,"yep","on track")</f>
        <v>yep</v>
      </c>
      <c r="Q3840" s="3">
        <f ca="1">IF(Proc[[#This Row],[DateClosed]]="",ABS(NETWORKDAYS(Proc[[#This Row],[DateOpened]],TODAY()))-1,ABS(NETWORKDAYS(Proc[[#This Row],[DateOpened]],Proc[[#This Row],[DateClosed]]))-1)</f>
        <v>83</v>
      </c>
      <c r="R3840" s="136" t="s">
        <v>6087</v>
      </c>
      <c r="S3840" s="129"/>
    </row>
    <row r="3841" spans="1:19" hidden="1">
      <c r="A3841" s="135" t="s">
        <v>6086</v>
      </c>
      <c r="B3841" s="149" t="str">
        <f>IFERROR(VLOOKUP(Proc[[#This Row],[App]],Table2[],3,0),"open")</f>
        <v>ok</v>
      </c>
      <c r="C3841" s="138" t="s">
        <v>369</v>
      </c>
      <c r="D3841" t="s">
        <v>5968</v>
      </c>
      <c r="E3841" t="s">
        <v>6070</v>
      </c>
      <c r="F3841" s="129" t="s">
        <v>6070</v>
      </c>
      <c r="G3841" s="135" t="s">
        <v>406</v>
      </c>
      <c r="H3841" s="129" t="str">
        <f>IF(Proc[[#This Row],[type]]="LFF (MDG-F)",MID(Proc[[#This Row],[Obj]],13,10),"")</f>
        <v>JP01GLE301</v>
      </c>
      <c r="J3841" s="129" t="b">
        <f>Proc[[#This Row],[Requested]]=Proc[[#This Row],[CurrentParent]]</f>
        <v>1</v>
      </c>
      <c r="K3841" s="144" t="str">
        <f>IF(Proc[[#This Row],[Author]]="Marcela Urrego",VLOOKUP(LEFT(Proc[[#This Row],[Requested]],1),Table3[#All],2,0),VLOOKUP(Proc[[#This Row],[Author]],Table4[],2,0))</f>
        <v>EL</v>
      </c>
      <c r="L3841" s="129" t="s">
        <v>4894</v>
      </c>
      <c r="M3841" s="136">
        <v>45895</v>
      </c>
      <c r="N3841" s="137"/>
      <c r="O3841" s="137"/>
      <c r="P3841" s="136" t="str">
        <f ca="1">IF(Proc[[#This Row],[DaysAgeing]]&gt;5,"yep","on track")</f>
        <v>yep</v>
      </c>
      <c r="Q3841" s="3">
        <f ca="1">IF(Proc[[#This Row],[DateClosed]]="",ABS(NETWORKDAYS(Proc[[#This Row],[DateOpened]],TODAY()))-1,ABS(NETWORKDAYS(Proc[[#This Row],[DateOpened]],Proc[[#This Row],[DateClosed]]))-1)</f>
        <v>83</v>
      </c>
      <c r="R3841" s="136" t="s">
        <v>6087</v>
      </c>
      <c r="S3841" s="129"/>
    </row>
    <row r="3842" spans="1:19" hidden="1">
      <c r="A3842" s="135" t="s">
        <v>6086</v>
      </c>
      <c r="B3842" s="149" t="str">
        <f>IFERROR(VLOOKUP(Proc[[#This Row],[App]],Table2[],3,0),"open")</f>
        <v>ok</v>
      </c>
      <c r="C3842" s="138" t="s">
        <v>369</v>
      </c>
      <c r="D3842" t="s">
        <v>5969</v>
      </c>
      <c r="E3842" t="s">
        <v>6070</v>
      </c>
      <c r="F3842" s="129" t="s">
        <v>6070</v>
      </c>
      <c r="G3842" s="135" t="s">
        <v>406</v>
      </c>
      <c r="H3842" s="129" t="str">
        <f>IF(Proc[[#This Row],[type]]="LFF (MDG-F)",MID(Proc[[#This Row],[Obj]],13,10),"")</f>
        <v>JP01GLE302</v>
      </c>
      <c r="J3842" s="129" t="b">
        <f>Proc[[#This Row],[Requested]]=Proc[[#This Row],[CurrentParent]]</f>
        <v>1</v>
      </c>
      <c r="K3842" s="144" t="str">
        <f>IF(Proc[[#This Row],[Author]]="Marcela Urrego",VLOOKUP(LEFT(Proc[[#This Row],[Requested]],1),Table3[#All],2,0),VLOOKUP(Proc[[#This Row],[Author]],Table4[],2,0))</f>
        <v>EL</v>
      </c>
      <c r="L3842" s="129" t="s">
        <v>4894</v>
      </c>
      <c r="M3842" s="136">
        <v>45895</v>
      </c>
      <c r="N3842" s="137"/>
      <c r="O3842" s="137"/>
      <c r="P3842" s="136" t="str">
        <f ca="1">IF(Proc[[#This Row],[DaysAgeing]]&gt;5,"yep","on track")</f>
        <v>yep</v>
      </c>
      <c r="Q3842" s="3">
        <f ca="1">IF(Proc[[#This Row],[DateClosed]]="",ABS(NETWORKDAYS(Proc[[#This Row],[DateOpened]],TODAY()))-1,ABS(NETWORKDAYS(Proc[[#This Row],[DateOpened]],Proc[[#This Row],[DateClosed]]))-1)</f>
        <v>83</v>
      </c>
      <c r="R3842" s="136" t="s">
        <v>6087</v>
      </c>
      <c r="S3842" s="129"/>
    </row>
    <row r="3843" spans="1:19" hidden="1">
      <c r="A3843" s="135" t="s">
        <v>6086</v>
      </c>
      <c r="B3843" s="149" t="str">
        <f>IFERROR(VLOOKUP(Proc[[#This Row],[App]],Table2[],3,0),"open")</f>
        <v>ok</v>
      </c>
      <c r="C3843" s="138" t="s">
        <v>369</v>
      </c>
      <c r="D3843" t="s">
        <v>5970</v>
      </c>
      <c r="E3843" t="s">
        <v>6059</v>
      </c>
      <c r="F3843" s="129" t="s">
        <v>6059</v>
      </c>
      <c r="G3843" s="135" t="s">
        <v>406</v>
      </c>
      <c r="H3843" s="129" t="str">
        <f>IF(Proc[[#This Row],[type]]="LFF (MDG-F)",MID(Proc[[#This Row],[Obj]],13,10),"")</f>
        <v>JP01GM1002</v>
      </c>
      <c r="J3843" s="129" t="b">
        <f>Proc[[#This Row],[Requested]]=Proc[[#This Row],[CurrentParent]]</f>
        <v>1</v>
      </c>
      <c r="K3843" s="144" t="str">
        <f>IF(Proc[[#This Row],[Author]]="Marcela Urrego",VLOOKUP(LEFT(Proc[[#This Row],[Requested]],1),Table3[#All],2,0),VLOOKUP(Proc[[#This Row],[Author]],Table4[],2,0))</f>
        <v>EL</v>
      </c>
      <c r="L3843" s="129" t="s">
        <v>4894</v>
      </c>
      <c r="M3843" s="136">
        <v>45895</v>
      </c>
      <c r="N3843" s="137"/>
      <c r="O3843" s="137"/>
      <c r="P3843" s="136" t="str">
        <f ca="1">IF(Proc[[#This Row],[DaysAgeing]]&gt;5,"yep","on track")</f>
        <v>yep</v>
      </c>
      <c r="Q3843" s="3">
        <f ca="1">IF(Proc[[#This Row],[DateClosed]]="",ABS(NETWORKDAYS(Proc[[#This Row],[DateOpened]],TODAY()))-1,ABS(NETWORKDAYS(Proc[[#This Row],[DateOpened]],Proc[[#This Row],[DateClosed]]))-1)</f>
        <v>83</v>
      </c>
      <c r="R3843" s="136" t="s">
        <v>6087</v>
      </c>
      <c r="S3843" s="129"/>
    </row>
    <row r="3844" spans="1:19" hidden="1">
      <c r="A3844" s="135" t="s">
        <v>6086</v>
      </c>
      <c r="B3844" s="149" t="str">
        <f>IFERROR(VLOOKUP(Proc[[#This Row],[App]],Table2[],3,0),"open")</f>
        <v>ok</v>
      </c>
      <c r="C3844" s="138" t="s">
        <v>369</v>
      </c>
      <c r="D3844" t="s">
        <v>5971</v>
      </c>
      <c r="E3844" t="s">
        <v>6059</v>
      </c>
      <c r="F3844" s="129" t="s">
        <v>6059</v>
      </c>
      <c r="G3844" s="135" t="s">
        <v>406</v>
      </c>
      <c r="H3844" s="129" t="str">
        <f>IF(Proc[[#This Row],[type]]="LFF (MDG-F)",MID(Proc[[#This Row],[Obj]],13,10),"")</f>
        <v>JP01GM4001</v>
      </c>
      <c r="J3844" s="129" t="b">
        <f>Proc[[#This Row],[Requested]]=Proc[[#This Row],[CurrentParent]]</f>
        <v>1</v>
      </c>
      <c r="K3844" s="144" t="str">
        <f>IF(Proc[[#This Row],[Author]]="Marcela Urrego",VLOOKUP(LEFT(Proc[[#This Row],[Requested]],1),Table3[#All],2,0),VLOOKUP(Proc[[#This Row],[Author]],Table4[],2,0))</f>
        <v>EL</v>
      </c>
      <c r="L3844" s="129" t="s">
        <v>4894</v>
      </c>
      <c r="M3844" s="136">
        <v>45895</v>
      </c>
      <c r="N3844" s="137"/>
      <c r="O3844" s="137"/>
      <c r="P3844" s="136" t="str">
        <f ca="1">IF(Proc[[#This Row],[DaysAgeing]]&gt;5,"yep","on track")</f>
        <v>yep</v>
      </c>
      <c r="Q3844" s="3">
        <f ca="1">IF(Proc[[#This Row],[DateClosed]]="",ABS(NETWORKDAYS(Proc[[#This Row],[DateOpened]],TODAY()))-1,ABS(NETWORKDAYS(Proc[[#This Row],[DateOpened]],Proc[[#This Row],[DateClosed]]))-1)</f>
        <v>83</v>
      </c>
      <c r="R3844" s="136" t="s">
        <v>6087</v>
      </c>
      <c r="S3844" s="129"/>
    </row>
    <row r="3845" spans="1:19" hidden="1">
      <c r="A3845" s="135" t="s">
        <v>6086</v>
      </c>
      <c r="B3845" s="149" t="str">
        <f>IFERROR(VLOOKUP(Proc[[#This Row],[App]],Table2[],3,0),"open")</f>
        <v>ok</v>
      </c>
      <c r="C3845" s="138" t="s">
        <v>369</v>
      </c>
      <c r="D3845" t="s">
        <v>5972</v>
      </c>
      <c r="E3845" t="s">
        <v>6059</v>
      </c>
      <c r="F3845" s="129" t="s">
        <v>6059</v>
      </c>
      <c r="G3845" s="135" t="s">
        <v>406</v>
      </c>
      <c r="H3845" s="129" t="str">
        <f>IF(Proc[[#This Row],[type]]="LFF (MDG-F)",MID(Proc[[#This Row],[Obj]],13,10),"")</f>
        <v>JP01GM4002</v>
      </c>
      <c r="J3845" s="129" t="b">
        <f>Proc[[#This Row],[Requested]]=Proc[[#This Row],[CurrentParent]]</f>
        <v>1</v>
      </c>
      <c r="K3845" s="144" t="str">
        <f>IF(Proc[[#This Row],[Author]]="Marcela Urrego",VLOOKUP(LEFT(Proc[[#This Row],[Requested]],1),Table3[#All],2,0),VLOOKUP(Proc[[#This Row],[Author]],Table4[],2,0))</f>
        <v>EL</v>
      </c>
      <c r="L3845" s="129" t="s">
        <v>4894</v>
      </c>
      <c r="M3845" s="136">
        <v>45895</v>
      </c>
      <c r="N3845" s="137"/>
      <c r="O3845" s="137"/>
      <c r="P3845" s="136" t="str">
        <f ca="1">IF(Proc[[#This Row],[DaysAgeing]]&gt;5,"yep","on track")</f>
        <v>yep</v>
      </c>
      <c r="Q3845" s="3">
        <f ca="1">IF(Proc[[#This Row],[DateClosed]]="",ABS(NETWORKDAYS(Proc[[#This Row],[DateOpened]],TODAY()))-1,ABS(NETWORKDAYS(Proc[[#This Row],[DateOpened]],Proc[[#This Row],[DateClosed]]))-1)</f>
        <v>83</v>
      </c>
      <c r="R3845" s="136" t="s">
        <v>6087</v>
      </c>
      <c r="S3845" s="129"/>
    </row>
    <row r="3846" spans="1:19" hidden="1">
      <c r="A3846" s="135" t="s">
        <v>6086</v>
      </c>
      <c r="B3846" s="149" t="str">
        <f>IFERROR(VLOOKUP(Proc[[#This Row],[App]],Table2[],3,0),"open")</f>
        <v>ok</v>
      </c>
      <c r="C3846" s="138" t="s">
        <v>369</v>
      </c>
      <c r="D3846" t="s">
        <v>5973</v>
      </c>
      <c r="E3846" t="s">
        <v>6067</v>
      </c>
      <c r="F3846" s="129" t="s">
        <v>6067</v>
      </c>
      <c r="G3846" s="135" t="s">
        <v>406</v>
      </c>
      <c r="H3846" s="129" t="str">
        <f>IF(Proc[[#This Row],[type]]="LFF (MDG-F)",MID(Proc[[#This Row],[Obj]],13,10),"")</f>
        <v>JP01GM8001</v>
      </c>
      <c r="J3846" s="129" t="b">
        <f>Proc[[#This Row],[Requested]]=Proc[[#This Row],[CurrentParent]]</f>
        <v>1</v>
      </c>
      <c r="K3846" s="144" t="str">
        <f>IF(Proc[[#This Row],[Author]]="Marcela Urrego",VLOOKUP(LEFT(Proc[[#This Row],[Requested]],1),Table3[#All],2,0),VLOOKUP(Proc[[#This Row],[Author]],Table4[],2,0))</f>
        <v>EL</v>
      </c>
      <c r="L3846" s="129" t="s">
        <v>4894</v>
      </c>
      <c r="M3846" s="136">
        <v>45895</v>
      </c>
      <c r="N3846" s="137"/>
      <c r="O3846" s="137"/>
      <c r="P3846" s="136" t="str">
        <f ca="1">IF(Proc[[#This Row],[DaysAgeing]]&gt;5,"yep","on track")</f>
        <v>yep</v>
      </c>
      <c r="Q3846" s="3">
        <f ca="1">IF(Proc[[#This Row],[DateClosed]]="",ABS(NETWORKDAYS(Proc[[#This Row],[DateOpened]],TODAY()))-1,ABS(NETWORKDAYS(Proc[[#This Row],[DateOpened]],Proc[[#This Row],[DateClosed]]))-1)</f>
        <v>83</v>
      </c>
      <c r="R3846" s="136" t="s">
        <v>6087</v>
      </c>
      <c r="S3846" s="129"/>
    </row>
    <row r="3847" spans="1:19" hidden="1">
      <c r="A3847" s="135" t="s">
        <v>6086</v>
      </c>
      <c r="B3847" s="149" t="str">
        <f>IFERROR(VLOOKUP(Proc[[#This Row],[App]],Table2[],3,0),"open")</f>
        <v>ok</v>
      </c>
      <c r="C3847" s="138" t="s">
        <v>369</v>
      </c>
      <c r="D3847" t="s">
        <v>5974</v>
      </c>
      <c r="E3847" t="s">
        <v>6059</v>
      </c>
      <c r="F3847" s="129" t="s">
        <v>6059</v>
      </c>
      <c r="G3847" s="135" t="s">
        <v>406</v>
      </c>
      <c r="H3847" s="129" t="str">
        <f>IF(Proc[[#This Row],[type]]="LFF (MDG-F)",MID(Proc[[#This Row],[Obj]],13,10),"")</f>
        <v>JP01GM8002</v>
      </c>
      <c r="J3847" s="129" t="b">
        <f>Proc[[#This Row],[Requested]]=Proc[[#This Row],[CurrentParent]]</f>
        <v>1</v>
      </c>
      <c r="K3847" s="144" t="str">
        <f>IF(Proc[[#This Row],[Author]]="Marcela Urrego",VLOOKUP(LEFT(Proc[[#This Row],[Requested]],1),Table3[#All],2,0),VLOOKUP(Proc[[#This Row],[Author]],Table4[],2,0))</f>
        <v>EL</v>
      </c>
      <c r="L3847" s="129" t="s">
        <v>4894</v>
      </c>
      <c r="M3847" s="136">
        <v>45895</v>
      </c>
      <c r="N3847" s="137"/>
      <c r="O3847" s="137"/>
      <c r="P3847" s="136" t="str">
        <f ca="1">IF(Proc[[#This Row],[DaysAgeing]]&gt;5,"yep","on track")</f>
        <v>yep</v>
      </c>
      <c r="Q3847" s="3">
        <f ca="1">IF(Proc[[#This Row],[DateClosed]]="",ABS(NETWORKDAYS(Proc[[#This Row],[DateOpened]],TODAY()))-1,ABS(NETWORKDAYS(Proc[[#This Row],[DateOpened]],Proc[[#This Row],[DateClosed]]))-1)</f>
        <v>83</v>
      </c>
      <c r="R3847" s="136" t="s">
        <v>6087</v>
      </c>
      <c r="S3847" s="129"/>
    </row>
    <row r="3848" spans="1:19" hidden="1">
      <c r="A3848" s="135" t="s">
        <v>6086</v>
      </c>
      <c r="B3848" s="149" t="str">
        <f>IFERROR(VLOOKUP(Proc[[#This Row],[App]],Table2[],3,0),"open")</f>
        <v>ok</v>
      </c>
      <c r="C3848" s="138" t="s">
        <v>369</v>
      </c>
      <c r="D3848" t="s">
        <v>5975</v>
      </c>
      <c r="E3848" t="s">
        <v>6059</v>
      </c>
      <c r="F3848" s="129" t="s">
        <v>6059</v>
      </c>
      <c r="G3848" s="135" t="s">
        <v>406</v>
      </c>
      <c r="H3848" s="129" t="str">
        <f>IF(Proc[[#This Row],[type]]="LFF (MDG-F)",MID(Proc[[#This Row],[Obj]],13,10),"")</f>
        <v>JP01GMB040</v>
      </c>
      <c r="J3848" s="129" t="b">
        <f>Proc[[#This Row],[Requested]]=Proc[[#This Row],[CurrentParent]]</f>
        <v>1</v>
      </c>
      <c r="K3848" s="144" t="str">
        <f>IF(Proc[[#This Row],[Author]]="Marcela Urrego",VLOOKUP(LEFT(Proc[[#This Row],[Requested]],1),Table3[#All],2,0),VLOOKUP(Proc[[#This Row],[Author]],Table4[],2,0))</f>
        <v>EL</v>
      </c>
      <c r="L3848" s="129" t="s">
        <v>4894</v>
      </c>
      <c r="M3848" s="136">
        <v>45895</v>
      </c>
      <c r="N3848" s="137"/>
      <c r="O3848" s="137"/>
      <c r="P3848" s="136" t="str">
        <f ca="1">IF(Proc[[#This Row],[DaysAgeing]]&gt;5,"yep","on track")</f>
        <v>yep</v>
      </c>
      <c r="Q3848" s="3">
        <f ca="1">IF(Proc[[#This Row],[DateClosed]]="",ABS(NETWORKDAYS(Proc[[#This Row],[DateOpened]],TODAY()))-1,ABS(NETWORKDAYS(Proc[[#This Row],[DateOpened]],Proc[[#This Row],[DateClosed]]))-1)</f>
        <v>83</v>
      </c>
      <c r="R3848" s="136" t="s">
        <v>6087</v>
      </c>
      <c r="S3848" s="129"/>
    </row>
    <row r="3849" spans="1:19" hidden="1">
      <c r="A3849" s="135" t="s">
        <v>6086</v>
      </c>
      <c r="B3849" s="149" t="str">
        <f>IFERROR(VLOOKUP(Proc[[#This Row],[App]],Table2[],3,0),"open")</f>
        <v>ok</v>
      </c>
      <c r="C3849" s="138" t="s">
        <v>369</v>
      </c>
      <c r="D3849" t="s">
        <v>5976</v>
      </c>
      <c r="E3849" t="s">
        <v>6059</v>
      </c>
      <c r="F3849" s="129" t="s">
        <v>6059</v>
      </c>
      <c r="G3849" s="135" t="s">
        <v>406</v>
      </c>
      <c r="H3849" s="129" t="str">
        <f>IF(Proc[[#This Row],[type]]="LFF (MDG-F)",MID(Proc[[#This Row],[Obj]],13,10),"")</f>
        <v>JP01GMW080</v>
      </c>
      <c r="J3849" s="129" t="b">
        <f>Proc[[#This Row],[Requested]]=Proc[[#This Row],[CurrentParent]]</f>
        <v>1</v>
      </c>
      <c r="K3849" s="144" t="str">
        <f>IF(Proc[[#This Row],[Author]]="Marcela Urrego",VLOOKUP(LEFT(Proc[[#This Row],[Requested]],1),Table3[#All],2,0),VLOOKUP(Proc[[#This Row],[Author]],Table4[],2,0))</f>
        <v>EL</v>
      </c>
      <c r="L3849" s="129" t="s">
        <v>4894</v>
      </c>
      <c r="M3849" s="136">
        <v>45895</v>
      </c>
      <c r="N3849" s="137"/>
      <c r="O3849" s="137"/>
      <c r="P3849" s="136" t="str">
        <f ca="1">IF(Proc[[#This Row],[DaysAgeing]]&gt;5,"yep","on track")</f>
        <v>yep</v>
      </c>
      <c r="Q3849" s="3">
        <f ca="1">IF(Proc[[#This Row],[DateClosed]]="",ABS(NETWORKDAYS(Proc[[#This Row],[DateOpened]],TODAY()))-1,ABS(NETWORKDAYS(Proc[[#This Row],[DateOpened]],Proc[[#This Row],[DateClosed]]))-1)</f>
        <v>83</v>
      </c>
      <c r="R3849" s="136" t="s">
        <v>6087</v>
      </c>
      <c r="S3849" s="129"/>
    </row>
    <row r="3850" spans="1:19" hidden="1">
      <c r="A3850" s="135" t="s">
        <v>6086</v>
      </c>
      <c r="B3850" s="149" t="str">
        <f>IFERROR(VLOOKUP(Proc[[#This Row],[App]],Table2[],3,0),"open")</f>
        <v>ok</v>
      </c>
      <c r="C3850" s="138" t="s">
        <v>369</v>
      </c>
      <c r="D3850" t="s">
        <v>5977</v>
      </c>
      <c r="E3850" t="s">
        <v>6071</v>
      </c>
      <c r="F3850" s="129" t="s">
        <v>6071</v>
      </c>
      <c r="G3850" s="135" t="s">
        <v>406</v>
      </c>
      <c r="H3850" s="129" t="str">
        <f>IF(Proc[[#This Row],[type]]="LFF (MDG-F)",MID(Proc[[#This Row],[Obj]],13,10),"")</f>
        <v>JP01GPO301</v>
      </c>
      <c r="J3850" s="129" t="b">
        <f>Proc[[#This Row],[Requested]]=Proc[[#This Row],[CurrentParent]]</f>
        <v>1</v>
      </c>
      <c r="K3850" s="144" t="str">
        <f>IF(Proc[[#This Row],[Author]]="Marcela Urrego",VLOOKUP(LEFT(Proc[[#This Row],[Requested]],1),Table3[#All],2,0),VLOOKUP(Proc[[#This Row],[Author]],Table4[],2,0))</f>
        <v>EL</v>
      </c>
      <c r="L3850" s="129" t="s">
        <v>4894</v>
      </c>
      <c r="M3850" s="136">
        <v>45895</v>
      </c>
      <c r="N3850" s="137"/>
      <c r="O3850" s="137"/>
      <c r="P3850" s="136" t="str">
        <f ca="1">IF(Proc[[#This Row],[DaysAgeing]]&gt;5,"yep","on track")</f>
        <v>yep</v>
      </c>
      <c r="Q3850" s="3">
        <f ca="1">IF(Proc[[#This Row],[DateClosed]]="",ABS(NETWORKDAYS(Proc[[#This Row],[DateOpened]],TODAY()))-1,ABS(NETWORKDAYS(Proc[[#This Row],[DateOpened]],Proc[[#This Row],[DateClosed]]))-1)</f>
        <v>83</v>
      </c>
      <c r="R3850" s="136" t="s">
        <v>6087</v>
      </c>
      <c r="S3850" s="129"/>
    </row>
    <row r="3851" spans="1:19" hidden="1">
      <c r="A3851" s="135" t="s">
        <v>6086</v>
      </c>
      <c r="B3851" s="149" t="str">
        <f>IFERROR(VLOOKUP(Proc[[#This Row],[App]],Table2[],3,0),"open")</f>
        <v>ok</v>
      </c>
      <c r="C3851" s="138" t="s">
        <v>369</v>
      </c>
      <c r="D3851" t="s">
        <v>5978</v>
      </c>
      <c r="E3851" t="s">
        <v>6071</v>
      </c>
      <c r="F3851" s="129" t="s">
        <v>6071</v>
      </c>
      <c r="G3851" s="135" t="s">
        <v>406</v>
      </c>
      <c r="H3851" s="129" t="str">
        <f>IF(Proc[[#This Row],[type]]="LFF (MDG-F)",MID(Proc[[#This Row],[Obj]],13,10),"")</f>
        <v>JP01GPO302</v>
      </c>
      <c r="J3851" s="129" t="b">
        <f>Proc[[#This Row],[Requested]]=Proc[[#This Row],[CurrentParent]]</f>
        <v>1</v>
      </c>
      <c r="K3851" s="144" t="str">
        <f>IF(Proc[[#This Row],[Author]]="Marcela Urrego",VLOOKUP(LEFT(Proc[[#This Row],[Requested]],1),Table3[#All],2,0),VLOOKUP(Proc[[#This Row],[Author]],Table4[],2,0))</f>
        <v>EL</v>
      </c>
      <c r="L3851" s="129" t="s">
        <v>4894</v>
      </c>
      <c r="M3851" s="136">
        <v>45895</v>
      </c>
      <c r="N3851" s="137"/>
      <c r="O3851" s="137"/>
      <c r="P3851" s="136" t="str">
        <f ca="1">IF(Proc[[#This Row],[DaysAgeing]]&gt;5,"yep","on track")</f>
        <v>yep</v>
      </c>
      <c r="Q3851" s="3">
        <f ca="1">IF(Proc[[#This Row],[DateClosed]]="",ABS(NETWORKDAYS(Proc[[#This Row],[DateOpened]],TODAY()))-1,ABS(NETWORKDAYS(Proc[[#This Row],[DateOpened]],Proc[[#This Row],[DateClosed]]))-1)</f>
        <v>83</v>
      </c>
      <c r="R3851" s="136" t="s">
        <v>6087</v>
      </c>
      <c r="S3851" s="129"/>
    </row>
    <row r="3852" spans="1:19" hidden="1">
      <c r="A3852" s="135" t="s">
        <v>6086</v>
      </c>
      <c r="B3852" s="149" t="str">
        <f>IFERROR(VLOOKUP(Proc[[#This Row],[App]],Table2[],3,0),"open")</f>
        <v>ok</v>
      </c>
      <c r="C3852" s="138" t="s">
        <v>369</v>
      </c>
      <c r="D3852" t="s">
        <v>5979</v>
      </c>
      <c r="E3852" t="s">
        <v>6067</v>
      </c>
      <c r="F3852" s="129" t="s">
        <v>6067</v>
      </c>
      <c r="G3852" s="135" t="s">
        <v>406</v>
      </c>
      <c r="H3852" s="129" t="str">
        <f>IF(Proc[[#This Row],[type]]="LFF (MDG-F)",MID(Proc[[#This Row],[Obj]],13,10),"")</f>
        <v>JP01GPO303</v>
      </c>
      <c r="J3852" s="129" t="b">
        <f>Proc[[#This Row],[Requested]]=Proc[[#This Row],[CurrentParent]]</f>
        <v>1</v>
      </c>
      <c r="K3852" s="144" t="str">
        <f>IF(Proc[[#This Row],[Author]]="Marcela Urrego",VLOOKUP(LEFT(Proc[[#This Row],[Requested]],1),Table3[#All],2,0),VLOOKUP(Proc[[#This Row],[Author]],Table4[],2,0))</f>
        <v>EL</v>
      </c>
      <c r="L3852" s="129" t="s">
        <v>4894</v>
      </c>
      <c r="M3852" s="136">
        <v>45895</v>
      </c>
      <c r="N3852" s="137"/>
      <c r="O3852" s="137"/>
      <c r="P3852" s="136" t="str">
        <f ca="1">IF(Proc[[#This Row],[DaysAgeing]]&gt;5,"yep","on track")</f>
        <v>yep</v>
      </c>
      <c r="Q3852" s="3">
        <f ca="1">IF(Proc[[#This Row],[DateClosed]]="",ABS(NETWORKDAYS(Proc[[#This Row],[DateOpened]],TODAY()))-1,ABS(NETWORKDAYS(Proc[[#This Row],[DateOpened]],Proc[[#This Row],[DateClosed]]))-1)</f>
        <v>83</v>
      </c>
      <c r="R3852" s="136" t="s">
        <v>6087</v>
      </c>
      <c r="S3852" s="129"/>
    </row>
    <row r="3853" spans="1:19" hidden="1">
      <c r="A3853" s="135" t="s">
        <v>6086</v>
      </c>
      <c r="B3853" s="149" t="str">
        <f>IFERROR(VLOOKUP(Proc[[#This Row],[App]],Table2[],3,0),"open")</f>
        <v>ok</v>
      </c>
      <c r="C3853" s="138" t="s">
        <v>369</v>
      </c>
      <c r="D3853" t="s">
        <v>5980</v>
      </c>
      <c r="E3853" t="s">
        <v>6072</v>
      </c>
      <c r="F3853" s="129" t="s">
        <v>6072</v>
      </c>
      <c r="G3853" s="135" t="s">
        <v>406</v>
      </c>
      <c r="H3853" s="129" t="str">
        <f>IF(Proc[[#This Row],[type]]="LFF (MDG-F)",MID(Proc[[#This Row],[Obj]],13,10),"")</f>
        <v>JP01GPS302</v>
      </c>
      <c r="J3853" s="129" t="b">
        <f>Proc[[#This Row],[Requested]]=Proc[[#This Row],[CurrentParent]]</f>
        <v>1</v>
      </c>
      <c r="K3853" s="144" t="str">
        <f>IF(Proc[[#This Row],[Author]]="Marcela Urrego",VLOOKUP(LEFT(Proc[[#This Row],[Requested]],1),Table3[#All],2,0),VLOOKUP(Proc[[#This Row],[Author]],Table4[],2,0))</f>
        <v>EL</v>
      </c>
      <c r="L3853" s="129" t="s">
        <v>4894</v>
      </c>
      <c r="M3853" s="136">
        <v>45895</v>
      </c>
      <c r="N3853" s="137"/>
      <c r="O3853" s="137"/>
      <c r="P3853" s="136" t="str">
        <f ca="1">IF(Proc[[#This Row],[DaysAgeing]]&gt;5,"yep","on track")</f>
        <v>yep</v>
      </c>
      <c r="Q3853" s="3">
        <f ca="1">IF(Proc[[#This Row],[DateClosed]]="",ABS(NETWORKDAYS(Proc[[#This Row],[DateOpened]],TODAY()))-1,ABS(NETWORKDAYS(Proc[[#This Row],[DateOpened]],Proc[[#This Row],[DateClosed]]))-1)</f>
        <v>83</v>
      </c>
      <c r="R3853" s="136" t="s">
        <v>6087</v>
      </c>
      <c r="S3853" s="129"/>
    </row>
    <row r="3854" spans="1:19" hidden="1">
      <c r="A3854" s="135" t="s">
        <v>6086</v>
      </c>
      <c r="B3854" s="149" t="str">
        <f>IFERROR(VLOOKUP(Proc[[#This Row],[App]],Table2[],3,0),"open")</f>
        <v>ok</v>
      </c>
      <c r="C3854" s="138" t="s">
        <v>369</v>
      </c>
      <c r="D3854" t="s">
        <v>5981</v>
      </c>
      <c r="E3854" t="s">
        <v>6066</v>
      </c>
      <c r="F3854" s="129" t="s">
        <v>6066</v>
      </c>
      <c r="G3854" s="135" t="s">
        <v>406</v>
      </c>
      <c r="H3854" s="129" t="str">
        <f>IF(Proc[[#This Row],[type]]="LFF (MDG-F)",MID(Proc[[#This Row],[Obj]],13,10),"")</f>
        <v>JP01GSQ013</v>
      </c>
      <c r="J3854" s="129" t="b">
        <f>Proc[[#This Row],[Requested]]=Proc[[#This Row],[CurrentParent]]</f>
        <v>1</v>
      </c>
      <c r="K3854" s="144" t="str">
        <f>IF(Proc[[#This Row],[Author]]="Marcela Urrego",VLOOKUP(LEFT(Proc[[#This Row],[Requested]],1),Table3[#All],2,0),VLOOKUP(Proc[[#This Row],[Author]],Table4[],2,0))</f>
        <v>EL</v>
      </c>
      <c r="L3854" s="129" t="s">
        <v>4894</v>
      </c>
      <c r="M3854" s="136">
        <v>45895</v>
      </c>
      <c r="N3854" s="137"/>
      <c r="O3854" s="137"/>
      <c r="P3854" s="136" t="str">
        <f ca="1">IF(Proc[[#This Row],[DaysAgeing]]&gt;5,"yep","on track")</f>
        <v>yep</v>
      </c>
      <c r="Q3854" s="3">
        <f ca="1">IF(Proc[[#This Row],[DateClosed]]="",ABS(NETWORKDAYS(Proc[[#This Row],[DateOpened]],TODAY()))-1,ABS(NETWORKDAYS(Proc[[#This Row],[DateOpened]],Proc[[#This Row],[DateClosed]]))-1)</f>
        <v>83</v>
      </c>
      <c r="R3854" s="136" t="s">
        <v>6087</v>
      </c>
      <c r="S3854" s="129"/>
    </row>
    <row r="3855" spans="1:19" hidden="1">
      <c r="A3855" s="135" t="s">
        <v>6086</v>
      </c>
      <c r="B3855" s="149" t="str">
        <f>IFERROR(VLOOKUP(Proc[[#This Row],[App]],Table2[],3,0),"open")</f>
        <v>ok</v>
      </c>
      <c r="C3855" s="138" t="s">
        <v>369</v>
      </c>
      <c r="D3855" t="s">
        <v>5982</v>
      </c>
      <c r="E3855" t="s">
        <v>6067</v>
      </c>
      <c r="F3855" s="129" t="s">
        <v>6067</v>
      </c>
      <c r="G3855" s="135" t="s">
        <v>406</v>
      </c>
      <c r="H3855" s="129" t="str">
        <f>IF(Proc[[#This Row],[type]]="LFF (MDG-F)",MID(Proc[[#This Row],[Obj]],13,10),"")</f>
        <v>JP01L1M001</v>
      </c>
      <c r="J3855" s="129" t="b">
        <f>Proc[[#This Row],[Requested]]=Proc[[#This Row],[CurrentParent]]</f>
        <v>1</v>
      </c>
      <c r="K3855" s="144" t="str">
        <f>IF(Proc[[#This Row],[Author]]="Marcela Urrego",VLOOKUP(LEFT(Proc[[#This Row],[Requested]],1),Table3[#All],2,0),VLOOKUP(Proc[[#This Row],[Author]],Table4[],2,0))</f>
        <v>EL</v>
      </c>
      <c r="L3855" s="129" t="s">
        <v>4894</v>
      </c>
      <c r="M3855" s="136">
        <v>45895</v>
      </c>
      <c r="N3855" s="137"/>
      <c r="O3855" s="137"/>
      <c r="P3855" s="136" t="str">
        <f ca="1">IF(Proc[[#This Row],[DaysAgeing]]&gt;5,"yep","on track")</f>
        <v>yep</v>
      </c>
      <c r="Q3855" s="3">
        <f ca="1">IF(Proc[[#This Row],[DateClosed]]="",ABS(NETWORKDAYS(Proc[[#This Row],[DateOpened]],TODAY()))-1,ABS(NETWORKDAYS(Proc[[#This Row],[DateOpened]],Proc[[#This Row],[DateClosed]]))-1)</f>
        <v>83</v>
      </c>
      <c r="R3855" s="136" t="s">
        <v>6087</v>
      </c>
      <c r="S3855" s="129"/>
    </row>
    <row r="3856" spans="1:19" hidden="1">
      <c r="A3856" s="135" t="s">
        <v>6086</v>
      </c>
      <c r="B3856" s="149" t="str">
        <f>IFERROR(VLOOKUP(Proc[[#This Row],[App]],Table2[],3,0),"open")</f>
        <v>ok</v>
      </c>
      <c r="C3856" s="138" t="s">
        <v>369</v>
      </c>
      <c r="D3856" t="s">
        <v>5983</v>
      </c>
      <c r="E3856" t="s">
        <v>6067</v>
      </c>
      <c r="F3856" s="129" t="s">
        <v>6067</v>
      </c>
      <c r="G3856" s="135" t="s">
        <v>406</v>
      </c>
      <c r="H3856" s="129" t="str">
        <f>IF(Proc[[#This Row],[type]]="LFF (MDG-F)",MID(Proc[[#This Row],[Obj]],13,10),"")</f>
        <v>JP01L3K302</v>
      </c>
      <c r="J3856" s="129" t="b">
        <f>Proc[[#This Row],[Requested]]=Proc[[#This Row],[CurrentParent]]</f>
        <v>1</v>
      </c>
      <c r="K3856" s="144" t="str">
        <f>IF(Proc[[#This Row],[Author]]="Marcela Urrego",VLOOKUP(LEFT(Proc[[#This Row],[Requested]],1),Table3[#All],2,0),VLOOKUP(Proc[[#This Row],[Author]],Table4[],2,0))</f>
        <v>EL</v>
      </c>
      <c r="L3856" s="129" t="s">
        <v>4894</v>
      </c>
      <c r="M3856" s="136">
        <v>45895</v>
      </c>
      <c r="N3856" s="137"/>
      <c r="O3856" s="137"/>
      <c r="P3856" s="136" t="str">
        <f ca="1">IF(Proc[[#This Row],[DaysAgeing]]&gt;5,"yep","on track")</f>
        <v>yep</v>
      </c>
      <c r="Q3856" s="3">
        <f ca="1">IF(Proc[[#This Row],[DateClosed]]="",ABS(NETWORKDAYS(Proc[[#This Row],[DateOpened]],TODAY()))-1,ABS(NETWORKDAYS(Proc[[#This Row],[DateOpened]],Proc[[#This Row],[DateClosed]]))-1)</f>
        <v>83</v>
      </c>
      <c r="R3856" s="136" t="s">
        <v>6087</v>
      </c>
      <c r="S3856" s="129"/>
    </row>
    <row r="3857" spans="1:19" hidden="1">
      <c r="A3857" s="135" t="s">
        <v>6086</v>
      </c>
      <c r="B3857" s="149" t="str">
        <f>IFERROR(VLOOKUP(Proc[[#This Row],[App]],Table2[],3,0),"open")</f>
        <v>ok</v>
      </c>
      <c r="C3857" s="138" t="s">
        <v>369</v>
      </c>
      <c r="D3857" t="s">
        <v>5984</v>
      </c>
      <c r="E3857" t="s">
        <v>6067</v>
      </c>
      <c r="F3857" s="129" t="s">
        <v>6067</v>
      </c>
      <c r="G3857" s="135" t="s">
        <v>406</v>
      </c>
      <c r="H3857" s="129" t="str">
        <f>IF(Proc[[#This Row],[type]]="LFF (MDG-F)",MID(Proc[[#This Row],[Obj]],13,10),"")</f>
        <v>JP01L3K304</v>
      </c>
      <c r="J3857" s="129" t="b">
        <f>Proc[[#This Row],[Requested]]=Proc[[#This Row],[CurrentParent]]</f>
        <v>1</v>
      </c>
      <c r="K3857" s="144" t="str">
        <f>IF(Proc[[#This Row],[Author]]="Marcela Urrego",VLOOKUP(LEFT(Proc[[#This Row],[Requested]],1),Table3[#All],2,0),VLOOKUP(Proc[[#This Row],[Author]],Table4[],2,0))</f>
        <v>EL</v>
      </c>
      <c r="L3857" s="129" t="s">
        <v>4894</v>
      </c>
      <c r="M3857" s="136">
        <v>45895</v>
      </c>
      <c r="N3857" s="137"/>
      <c r="O3857" s="137"/>
      <c r="P3857" s="136" t="str">
        <f ca="1">IF(Proc[[#This Row],[DaysAgeing]]&gt;5,"yep","on track")</f>
        <v>yep</v>
      </c>
      <c r="Q3857" s="3">
        <f ca="1">IF(Proc[[#This Row],[DateClosed]]="",ABS(NETWORKDAYS(Proc[[#This Row],[DateOpened]],TODAY()))-1,ABS(NETWORKDAYS(Proc[[#This Row],[DateOpened]],Proc[[#This Row],[DateClosed]]))-1)</f>
        <v>83</v>
      </c>
      <c r="R3857" s="136" t="s">
        <v>6087</v>
      </c>
      <c r="S3857" s="129"/>
    </row>
    <row r="3858" spans="1:19" hidden="1">
      <c r="A3858" s="135" t="s">
        <v>6086</v>
      </c>
      <c r="B3858" s="149" t="str">
        <f>IFERROR(VLOOKUP(Proc[[#This Row],[App]],Table2[],3,0),"open")</f>
        <v>ok</v>
      </c>
      <c r="C3858" s="138" t="s">
        <v>369</v>
      </c>
      <c r="D3858" t="s">
        <v>5985</v>
      </c>
      <c r="E3858" t="s">
        <v>6067</v>
      </c>
      <c r="F3858" s="129" t="s">
        <v>6067</v>
      </c>
      <c r="G3858" s="135" t="s">
        <v>406</v>
      </c>
      <c r="H3858" s="129" t="str">
        <f>IF(Proc[[#This Row],[type]]="LFF (MDG-F)",MID(Proc[[#This Row],[Obj]],13,10),"")</f>
        <v>JP01L3M301</v>
      </c>
      <c r="J3858" s="129" t="b">
        <f>Proc[[#This Row],[Requested]]=Proc[[#This Row],[CurrentParent]]</f>
        <v>1</v>
      </c>
      <c r="K3858" s="144" t="str">
        <f>IF(Proc[[#This Row],[Author]]="Marcela Urrego",VLOOKUP(LEFT(Proc[[#This Row],[Requested]],1),Table3[#All],2,0),VLOOKUP(Proc[[#This Row],[Author]],Table4[],2,0))</f>
        <v>EL</v>
      </c>
      <c r="L3858" s="129" t="s">
        <v>4894</v>
      </c>
      <c r="M3858" s="136">
        <v>45895</v>
      </c>
      <c r="N3858" s="137"/>
      <c r="O3858" s="137"/>
      <c r="P3858" s="136" t="str">
        <f ca="1">IF(Proc[[#This Row],[DaysAgeing]]&gt;5,"yep","on track")</f>
        <v>yep</v>
      </c>
      <c r="Q3858" s="3">
        <f ca="1">IF(Proc[[#This Row],[DateClosed]]="",ABS(NETWORKDAYS(Proc[[#This Row],[DateOpened]],TODAY()))-1,ABS(NETWORKDAYS(Proc[[#This Row],[DateOpened]],Proc[[#This Row],[DateClosed]]))-1)</f>
        <v>83</v>
      </c>
      <c r="R3858" s="136" t="s">
        <v>6087</v>
      </c>
      <c r="S3858" s="129"/>
    </row>
    <row r="3859" spans="1:19" hidden="1">
      <c r="A3859" s="135" t="s">
        <v>6086</v>
      </c>
      <c r="B3859" s="149" t="str">
        <f>IFERROR(VLOOKUP(Proc[[#This Row],[App]],Table2[],3,0),"open")</f>
        <v>ok</v>
      </c>
      <c r="C3859" s="138" t="s">
        <v>369</v>
      </c>
      <c r="D3859" t="s">
        <v>5986</v>
      </c>
      <c r="E3859" t="s">
        <v>6067</v>
      </c>
      <c r="F3859" s="129" t="s">
        <v>6067</v>
      </c>
      <c r="G3859" s="135" t="s">
        <v>406</v>
      </c>
      <c r="H3859" s="129" t="str">
        <f>IF(Proc[[#This Row],[type]]="LFF (MDG-F)",MID(Proc[[#This Row],[Obj]],13,10),"")</f>
        <v>JP01L3M303</v>
      </c>
      <c r="J3859" s="129" t="b">
        <f>Proc[[#This Row],[Requested]]=Proc[[#This Row],[CurrentParent]]</f>
        <v>1</v>
      </c>
      <c r="K3859" s="144" t="str">
        <f>IF(Proc[[#This Row],[Author]]="Marcela Urrego",VLOOKUP(LEFT(Proc[[#This Row],[Requested]],1),Table3[#All],2,0),VLOOKUP(Proc[[#This Row],[Author]],Table4[],2,0))</f>
        <v>EL</v>
      </c>
      <c r="L3859" s="129" t="s">
        <v>4894</v>
      </c>
      <c r="M3859" s="136">
        <v>45895</v>
      </c>
      <c r="N3859" s="137"/>
      <c r="O3859" s="137"/>
      <c r="P3859" s="136" t="str">
        <f ca="1">IF(Proc[[#This Row],[DaysAgeing]]&gt;5,"yep","on track")</f>
        <v>yep</v>
      </c>
      <c r="Q3859" s="3">
        <f ca="1">IF(Proc[[#This Row],[DateClosed]]="",ABS(NETWORKDAYS(Proc[[#This Row],[DateOpened]],TODAY()))-1,ABS(NETWORKDAYS(Proc[[#This Row],[DateOpened]],Proc[[#This Row],[DateClosed]]))-1)</f>
        <v>83</v>
      </c>
      <c r="R3859" s="136" t="s">
        <v>6087</v>
      </c>
      <c r="S3859" s="129"/>
    </row>
    <row r="3860" spans="1:19" hidden="1">
      <c r="A3860" s="135" t="s">
        <v>6086</v>
      </c>
      <c r="B3860" s="149" t="str">
        <f>IFERROR(VLOOKUP(Proc[[#This Row],[App]],Table2[],3,0),"open")</f>
        <v>ok</v>
      </c>
      <c r="C3860" s="138" t="s">
        <v>369</v>
      </c>
      <c r="D3860" t="s">
        <v>5987</v>
      </c>
      <c r="E3860" t="s">
        <v>6067</v>
      </c>
      <c r="F3860" s="129" t="s">
        <v>6067</v>
      </c>
      <c r="G3860" s="135" t="s">
        <v>406</v>
      </c>
      <c r="H3860" s="129" t="str">
        <f>IF(Proc[[#This Row],[type]]="LFF (MDG-F)",MID(Proc[[#This Row],[Obj]],13,10),"")</f>
        <v>JP01L4M301</v>
      </c>
      <c r="J3860" s="129" t="b">
        <f>Proc[[#This Row],[Requested]]=Proc[[#This Row],[CurrentParent]]</f>
        <v>1</v>
      </c>
      <c r="K3860" s="144" t="str">
        <f>IF(Proc[[#This Row],[Author]]="Marcela Urrego",VLOOKUP(LEFT(Proc[[#This Row],[Requested]],1),Table3[#All],2,0),VLOOKUP(Proc[[#This Row],[Author]],Table4[],2,0))</f>
        <v>EL</v>
      </c>
      <c r="L3860" s="129" t="s">
        <v>4894</v>
      </c>
      <c r="M3860" s="136">
        <v>45895</v>
      </c>
      <c r="N3860" s="137"/>
      <c r="O3860" s="137"/>
      <c r="P3860" s="136" t="str">
        <f ca="1">IF(Proc[[#This Row],[DaysAgeing]]&gt;5,"yep","on track")</f>
        <v>yep</v>
      </c>
      <c r="Q3860" s="3">
        <f ca="1">IF(Proc[[#This Row],[DateClosed]]="",ABS(NETWORKDAYS(Proc[[#This Row],[DateOpened]],TODAY()))-1,ABS(NETWORKDAYS(Proc[[#This Row],[DateOpened]],Proc[[#This Row],[DateClosed]]))-1)</f>
        <v>83</v>
      </c>
      <c r="R3860" s="136" t="s">
        <v>6087</v>
      </c>
      <c r="S3860" s="129"/>
    </row>
    <row r="3861" spans="1:19" hidden="1">
      <c r="A3861" s="135" t="s">
        <v>6086</v>
      </c>
      <c r="B3861" s="149" t="str">
        <f>IFERROR(VLOOKUP(Proc[[#This Row],[App]],Table2[],3,0),"open")</f>
        <v>ok</v>
      </c>
      <c r="C3861" s="138" t="s">
        <v>369</v>
      </c>
      <c r="D3861" t="s">
        <v>5988</v>
      </c>
      <c r="E3861" t="s">
        <v>6069</v>
      </c>
      <c r="F3861" s="129" t="s">
        <v>6069</v>
      </c>
      <c r="G3861" s="135" t="s">
        <v>406</v>
      </c>
      <c r="H3861" s="129" t="str">
        <f>IF(Proc[[#This Row],[type]]="LFF (MDG-F)",MID(Proc[[#This Row],[Obj]],13,10),"")</f>
        <v>JP01L4M302</v>
      </c>
      <c r="J3861" s="129" t="b">
        <f>Proc[[#This Row],[Requested]]=Proc[[#This Row],[CurrentParent]]</f>
        <v>1</v>
      </c>
      <c r="K3861" s="144" t="str">
        <f>IF(Proc[[#This Row],[Author]]="Marcela Urrego",VLOOKUP(LEFT(Proc[[#This Row],[Requested]],1),Table3[#All],2,0),VLOOKUP(Proc[[#This Row],[Author]],Table4[],2,0))</f>
        <v>EL</v>
      </c>
      <c r="L3861" s="129" t="s">
        <v>4894</v>
      </c>
      <c r="M3861" s="136">
        <v>45895</v>
      </c>
      <c r="N3861" s="137"/>
      <c r="O3861" s="137"/>
      <c r="P3861" s="136" t="str">
        <f ca="1">IF(Proc[[#This Row],[DaysAgeing]]&gt;5,"yep","on track")</f>
        <v>yep</v>
      </c>
      <c r="Q3861" s="3">
        <f ca="1">IF(Proc[[#This Row],[DateClosed]]="",ABS(NETWORKDAYS(Proc[[#This Row],[DateOpened]],TODAY()))-1,ABS(NETWORKDAYS(Proc[[#This Row],[DateOpened]],Proc[[#This Row],[DateClosed]]))-1)</f>
        <v>83</v>
      </c>
      <c r="R3861" s="136" t="s">
        <v>6087</v>
      </c>
      <c r="S3861" s="129"/>
    </row>
    <row r="3862" spans="1:19" hidden="1">
      <c r="A3862" s="135" t="s">
        <v>6086</v>
      </c>
      <c r="B3862" s="149" t="str">
        <f>IFERROR(VLOOKUP(Proc[[#This Row],[App]],Table2[],3,0),"open")</f>
        <v>ok</v>
      </c>
      <c r="C3862" s="138" t="s">
        <v>369</v>
      </c>
      <c r="D3862" t="s">
        <v>5989</v>
      </c>
      <c r="E3862" t="s">
        <v>6067</v>
      </c>
      <c r="F3862" s="129" t="s">
        <v>6067</v>
      </c>
      <c r="G3862" s="135" t="s">
        <v>406</v>
      </c>
      <c r="H3862" s="129" t="str">
        <f>IF(Proc[[#This Row],[type]]="LFF (MDG-F)",MID(Proc[[#This Row],[Obj]],13,10),"")</f>
        <v>JP01L5M301</v>
      </c>
      <c r="J3862" s="129" t="b">
        <f>Proc[[#This Row],[Requested]]=Proc[[#This Row],[CurrentParent]]</f>
        <v>1</v>
      </c>
      <c r="K3862" s="144" t="str">
        <f>IF(Proc[[#This Row],[Author]]="Marcela Urrego",VLOOKUP(LEFT(Proc[[#This Row],[Requested]],1),Table3[#All],2,0),VLOOKUP(Proc[[#This Row],[Author]],Table4[],2,0))</f>
        <v>EL</v>
      </c>
      <c r="L3862" s="129" t="s">
        <v>4894</v>
      </c>
      <c r="M3862" s="136">
        <v>45895</v>
      </c>
      <c r="N3862" s="137"/>
      <c r="O3862" s="137"/>
      <c r="P3862" s="136" t="str">
        <f ca="1">IF(Proc[[#This Row],[DaysAgeing]]&gt;5,"yep","on track")</f>
        <v>yep</v>
      </c>
      <c r="Q3862" s="3">
        <f ca="1">IF(Proc[[#This Row],[DateClosed]]="",ABS(NETWORKDAYS(Proc[[#This Row],[DateOpened]],TODAY()))-1,ABS(NETWORKDAYS(Proc[[#This Row],[DateOpened]],Proc[[#This Row],[DateClosed]]))-1)</f>
        <v>83</v>
      </c>
      <c r="R3862" s="136" t="s">
        <v>6087</v>
      </c>
      <c r="S3862" s="129"/>
    </row>
    <row r="3863" spans="1:19" hidden="1">
      <c r="A3863" s="135" t="s">
        <v>6086</v>
      </c>
      <c r="B3863" s="149" t="str">
        <f>IFERROR(VLOOKUP(Proc[[#This Row],[App]],Table2[],3,0),"open")</f>
        <v>ok</v>
      </c>
      <c r="C3863" s="138" t="s">
        <v>369</v>
      </c>
      <c r="D3863" t="s">
        <v>5990</v>
      </c>
      <c r="E3863" t="s">
        <v>6067</v>
      </c>
      <c r="F3863" s="129" t="s">
        <v>6067</v>
      </c>
      <c r="G3863" s="135" t="s">
        <v>406</v>
      </c>
      <c r="H3863" s="129" t="str">
        <f>IF(Proc[[#This Row],[type]]="LFF (MDG-F)",MID(Proc[[#This Row],[Obj]],13,10),"")</f>
        <v>JP01L5M302</v>
      </c>
      <c r="J3863" s="129" t="b">
        <f>Proc[[#This Row],[Requested]]=Proc[[#This Row],[CurrentParent]]</f>
        <v>1</v>
      </c>
      <c r="K3863" s="144" t="str">
        <f>IF(Proc[[#This Row],[Author]]="Marcela Urrego",VLOOKUP(LEFT(Proc[[#This Row],[Requested]],1),Table3[#All],2,0),VLOOKUP(Proc[[#This Row],[Author]],Table4[],2,0))</f>
        <v>EL</v>
      </c>
      <c r="L3863" s="129" t="s">
        <v>4894</v>
      </c>
      <c r="M3863" s="136">
        <v>45895</v>
      </c>
      <c r="N3863" s="137"/>
      <c r="O3863" s="137"/>
      <c r="P3863" s="136" t="str">
        <f ca="1">IF(Proc[[#This Row],[DaysAgeing]]&gt;5,"yep","on track")</f>
        <v>yep</v>
      </c>
      <c r="Q3863" s="3">
        <f ca="1">IF(Proc[[#This Row],[DateClosed]]="",ABS(NETWORKDAYS(Proc[[#This Row],[DateOpened]],TODAY()))-1,ABS(NETWORKDAYS(Proc[[#This Row],[DateOpened]],Proc[[#This Row],[DateClosed]]))-1)</f>
        <v>83</v>
      </c>
      <c r="R3863" s="136" t="s">
        <v>6087</v>
      </c>
      <c r="S3863" s="129"/>
    </row>
    <row r="3864" spans="1:19" hidden="1">
      <c r="A3864" s="135" t="s">
        <v>6086</v>
      </c>
      <c r="B3864" s="149" t="str">
        <f>IFERROR(VLOOKUP(Proc[[#This Row],[App]],Table2[],3,0),"open")</f>
        <v>ok</v>
      </c>
      <c r="C3864" s="138" t="s">
        <v>369</v>
      </c>
      <c r="D3864" t="s">
        <v>5991</v>
      </c>
      <c r="E3864" t="s">
        <v>6067</v>
      </c>
      <c r="F3864" s="129" t="s">
        <v>6067</v>
      </c>
      <c r="G3864" s="135" t="s">
        <v>406</v>
      </c>
      <c r="H3864" s="129" t="str">
        <f>IF(Proc[[#This Row],[type]]="LFF (MDG-F)",MID(Proc[[#This Row],[Obj]],13,10),"")</f>
        <v>JP01L7M301</v>
      </c>
      <c r="J3864" s="129" t="b">
        <f>Proc[[#This Row],[Requested]]=Proc[[#This Row],[CurrentParent]]</f>
        <v>1</v>
      </c>
      <c r="K3864" s="144" t="str">
        <f>IF(Proc[[#This Row],[Author]]="Marcela Urrego",VLOOKUP(LEFT(Proc[[#This Row],[Requested]],1),Table3[#All],2,0),VLOOKUP(Proc[[#This Row],[Author]],Table4[],2,0))</f>
        <v>EL</v>
      </c>
      <c r="L3864" s="129" t="s">
        <v>4894</v>
      </c>
      <c r="M3864" s="136">
        <v>45895</v>
      </c>
      <c r="N3864" s="137"/>
      <c r="O3864" s="137"/>
      <c r="P3864" s="136" t="str">
        <f ca="1">IF(Proc[[#This Row],[DaysAgeing]]&gt;5,"yep","on track")</f>
        <v>yep</v>
      </c>
      <c r="Q3864" s="3">
        <f ca="1">IF(Proc[[#This Row],[DateClosed]]="",ABS(NETWORKDAYS(Proc[[#This Row],[DateOpened]],TODAY()))-1,ABS(NETWORKDAYS(Proc[[#This Row],[DateOpened]],Proc[[#This Row],[DateClosed]]))-1)</f>
        <v>83</v>
      </c>
      <c r="R3864" s="136" t="s">
        <v>6087</v>
      </c>
      <c r="S3864" s="129"/>
    </row>
    <row r="3865" spans="1:19" hidden="1">
      <c r="A3865" s="135" t="s">
        <v>6086</v>
      </c>
      <c r="B3865" s="149" t="str">
        <f>IFERROR(VLOOKUP(Proc[[#This Row],[App]],Table2[],3,0),"open")</f>
        <v>ok</v>
      </c>
      <c r="C3865" s="138" t="s">
        <v>369</v>
      </c>
      <c r="D3865" t="s">
        <v>5992</v>
      </c>
      <c r="E3865" t="s">
        <v>6067</v>
      </c>
      <c r="F3865" s="129" t="s">
        <v>6067</v>
      </c>
      <c r="G3865" s="135" t="s">
        <v>406</v>
      </c>
      <c r="H3865" s="129" t="str">
        <f>IF(Proc[[#This Row],[type]]="LFF (MDG-F)",MID(Proc[[#This Row],[Obj]],13,10),"")</f>
        <v>JP01L7M302</v>
      </c>
      <c r="J3865" s="129" t="b">
        <f>Proc[[#This Row],[Requested]]=Proc[[#This Row],[CurrentParent]]</f>
        <v>1</v>
      </c>
      <c r="K3865" s="144" t="str">
        <f>IF(Proc[[#This Row],[Author]]="Marcela Urrego",VLOOKUP(LEFT(Proc[[#This Row],[Requested]],1),Table3[#All],2,0),VLOOKUP(Proc[[#This Row],[Author]],Table4[],2,0))</f>
        <v>EL</v>
      </c>
      <c r="L3865" s="129" t="s">
        <v>4894</v>
      </c>
      <c r="M3865" s="136">
        <v>45895</v>
      </c>
      <c r="N3865" s="137"/>
      <c r="O3865" s="137"/>
      <c r="P3865" s="136" t="str">
        <f ca="1">IF(Proc[[#This Row],[DaysAgeing]]&gt;5,"yep","on track")</f>
        <v>yep</v>
      </c>
      <c r="Q3865" s="3">
        <f ca="1">IF(Proc[[#This Row],[DateClosed]]="",ABS(NETWORKDAYS(Proc[[#This Row],[DateOpened]],TODAY()))-1,ABS(NETWORKDAYS(Proc[[#This Row],[DateOpened]],Proc[[#This Row],[DateClosed]]))-1)</f>
        <v>83</v>
      </c>
      <c r="R3865" s="136" t="s">
        <v>6087</v>
      </c>
      <c r="S3865" s="129"/>
    </row>
    <row r="3866" spans="1:19" hidden="1">
      <c r="A3866" s="135" t="s">
        <v>6086</v>
      </c>
      <c r="B3866" s="149" t="str">
        <f>IFERROR(VLOOKUP(Proc[[#This Row],[App]],Table2[],3,0),"open")</f>
        <v>ok</v>
      </c>
      <c r="C3866" s="138" t="s">
        <v>369</v>
      </c>
      <c r="D3866" t="s">
        <v>5993</v>
      </c>
      <c r="E3866" t="s">
        <v>6067</v>
      </c>
      <c r="F3866" s="129" t="s">
        <v>6067</v>
      </c>
      <c r="G3866" s="135" t="s">
        <v>406</v>
      </c>
      <c r="H3866" s="129" t="str">
        <f>IF(Proc[[#This Row],[type]]="LFF (MDG-F)",MID(Proc[[#This Row],[Obj]],13,10),"")</f>
        <v>JP01L7M303</v>
      </c>
      <c r="J3866" s="129" t="b">
        <f>Proc[[#This Row],[Requested]]=Proc[[#This Row],[CurrentParent]]</f>
        <v>1</v>
      </c>
      <c r="K3866" s="144" t="str">
        <f>IF(Proc[[#This Row],[Author]]="Marcela Urrego",VLOOKUP(LEFT(Proc[[#This Row],[Requested]],1),Table3[#All],2,0),VLOOKUP(Proc[[#This Row],[Author]],Table4[],2,0))</f>
        <v>EL</v>
      </c>
      <c r="L3866" s="129" t="s">
        <v>4894</v>
      </c>
      <c r="M3866" s="136">
        <v>45895</v>
      </c>
      <c r="N3866" s="137"/>
      <c r="O3866" s="137"/>
      <c r="P3866" s="136" t="str">
        <f ca="1">IF(Proc[[#This Row],[DaysAgeing]]&gt;5,"yep","on track")</f>
        <v>yep</v>
      </c>
      <c r="Q3866" s="3">
        <f ca="1">IF(Proc[[#This Row],[DateClosed]]="",ABS(NETWORKDAYS(Proc[[#This Row],[DateOpened]],TODAY()))-1,ABS(NETWORKDAYS(Proc[[#This Row],[DateOpened]],Proc[[#This Row],[DateClosed]]))-1)</f>
        <v>83</v>
      </c>
      <c r="R3866" s="136" t="s">
        <v>6087</v>
      </c>
      <c r="S3866" s="129"/>
    </row>
    <row r="3867" spans="1:19" hidden="1">
      <c r="A3867" s="135" t="s">
        <v>6086</v>
      </c>
      <c r="B3867" s="149" t="str">
        <f>IFERROR(VLOOKUP(Proc[[#This Row],[App]],Table2[],3,0),"open")</f>
        <v>ok</v>
      </c>
      <c r="C3867" s="138" t="s">
        <v>369</v>
      </c>
      <c r="D3867" t="s">
        <v>5994</v>
      </c>
      <c r="E3867" t="s">
        <v>6066</v>
      </c>
      <c r="F3867" s="129" t="s">
        <v>6066</v>
      </c>
      <c r="G3867" s="135" t="s">
        <v>406</v>
      </c>
      <c r="H3867" s="129" t="str">
        <f>IF(Proc[[#This Row],[type]]="LFF (MDG-F)",MID(Proc[[#This Row],[Obj]],13,10),"")</f>
        <v>JP01O05000</v>
      </c>
      <c r="J3867" s="129" t="b">
        <f>Proc[[#This Row],[Requested]]=Proc[[#This Row],[CurrentParent]]</f>
        <v>1</v>
      </c>
      <c r="K3867" s="144" t="str">
        <f>IF(Proc[[#This Row],[Author]]="Marcela Urrego",VLOOKUP(LEFT(Proc[[#This Row],[Requested]],1),Table3[#All],2,0),VLOOKUP(Proc[[#This Row],[Author]],Table4[],2,0))</f>
        <v>EL</v>
      </c>
      <c r="L3867" s="129" t="s">
        <v>4894</v>
      </c>
      <c r="M3867" s="136">
        <v>45895</v>
      </c>
      <c r="N3867" s="137"/>
      <c r="O3867" s="137"/>
      <c r="P3867" s="136" t="str">
        <f ca="1">IF(Proc[[#This Row],[DaysAgeing]]&gt;5,"yep","on track")</f>
        <v>yep</v>
      </c>
      <c r="Q3867" s="3">
        <f ca="1">IF(Proc[[#This Row],[DateClosed]]="",ABS(NETWORKDAYS(Proc[[#This Row],[DateOpened]],TODAY()))-1,ABS(NETWORKDAYS(Proc[[#This Row],[DateOpened]],Proc[[#This Row],[DateClosed]]))-1)</f>
        <v>83</v>
      </c>
      <c r="R3867" s="136" t="s">
        <v>6087</v>
      </c>
      <c r="S3867" s="129"/>
    </row>
    <row r="3868" spans="1:19" hidden="1">
      <c r="A3868" s="135" t="s">
        <v>6086</v>
      </c>
      <c r="B3868" s="149" t="str">
        <f>IFERROR(VLOOKUP(Proc[[#This Row],[App]],Table2[],3,0),"open")</f>
        <v>ok</v>
      </c>
      <c r="C3868" s="138" t="s">
        <v>369</v>
      </c>
      <c r="D3868" t="s">
        <v>5995</v>
      </c>
      <c r="E3868" t="s">
        <v>6066</v>
      </c>
      <c r="F3868" s="129" t="s">
        <v>6066</v>
      </c>
      <c r="G3868" s="135" t="s">
        <v>406</v>
      </c>
      <c r="H3868" s="129" t="str">
        <f>IF(Proc[[#This Row],[type]]="LFF (MDG-F)",MID(Proc[[#This Row],[Obj]],13,10),"")</f>
        <v>JP01O05001</v>
      </c>
      <c r="J3868" s="129" t="b">
        <f>Proc[[#This Row],[Requested]]=Proc[[#This Row],[CurrentParent]]</f>
        <v>1</v>
      </c>
      <c r="K3868" s="144" t="str">
        <f>IF(Proc[[#This Row],[Author]]="Marcela Urrego",VLOOKUP(LEFT(Proc[[#This Row],[Requested]],1),Table3[#All],2,0),VLOOKUP(Proc[[#This Row],[Author]],Table4[],2,0))</f>
        <v>EL</v>
      </c>
      <c r="L3868" s="129" t="s">
        <v>4894</v>
      </c>
      <c r="M3868" s="136">
        <v>45895</v>
      </c>
      <c r="N3868" s="137"/>
      <c r="O3868" s="137"/>
      <c r="P3868" s="136" t="str">
        <f ca="1">IF(Proc[[#This Row],[DaysAgeing]]&gt;5,"yep","on track")</f>
        <v>yep</v>
      </c>
      <c r="Q3868" s="3">
        <f ca="1">IF(Proc[[#This Row],[DateClosed]]="",ABS(NETWORKDAYS(Proc[[#This Row],[DateOpened]],TODAY()))-1,ABS(NETWORKDAYS(Proc[[#This Row],[DateOpened]],Proc[[#This Row],[DateClosed]]))-1)</f>
        <v>83</v>
      </c>
      <c r="R3868" s="136" t="s">
        <v>6087</v>
      </c>
      <c r="S3868" s="129"/>
    </row>
    <row r="3869" spans="1:19" hidden="1">
      <c r="A3869" s="135" t="s">
        <v>6086</v>
      </c>
      <c r="B3869" s="149" t="str">
        <f>IFERROR(VLOOKUP(Proc[[#This Row],[App]],Table2[],3,0),"open")</f>
        <v>ok</v>
      </c>
      <c r="C3869" s="138" t="s">
        <v>369</v>
      </c>
      <c r="D3869" t="s">
        <v>5996</v>
      </c>
      <c r="E3869" t="s">
        <v>6066</v>
      </c>
      <c r="F3869" s="129" t="s">
        <v>6066</v>
      </c>
      <c r="G3869" s="135" t="s">
        <v>406</v>
      </c>
      <c r="H3869" s="129" t="str">
        <f>IF(Proc[[#This Row],[type]]="LFF (MDG-F)",MID(Proc[[#This Row],[Obj]],13,10),"")</f>
        <v>JP01O05002</v>
      </c>
      <c r="J3869" s="129" t="b">
        <f>Proc[[#This Row],[Requested]]=Proc[[#This Row],[CurrentParent]]</f>
        <v>1</v>
      </c>
      <c r="K3869" s="144" t="str">
        <f>IF(Proc[[#This Row],[Author]]="Marcela Urrego",VLOOKUP(LEFT(Proc[[#This Row],[Requested]],1),Table3[#All],2,0),VLOOKUP(Proc[[#This Row],[Author]],Table4[],2,0))</f>
        <v>EL</v>
      </c>
      <c r="L3869" s="129" t="s">
        <v>4894</v>
      </c>
      <c r="M3869" s="136">
        <v>45895</v>
      </c>
      <c r="N3869" s="137"/>
      <c r="O3869" s="137"/>
      <c r="P3869" s="136" t="str">
        <f ca="1">IF(Proc[[#This Row],[DaysAgeing]]&gt;5,"yep","on track")</f>
        <v>yep</v>
      </c>
      <c r="Q3869" s="3">
        <f ca="1">IF(Proc[[#This Row],[DateClosed]]="",ABS(NETWORKDAYS(Proc[[#This Row],[DateOpened]],TODAY()))-1,ABS(NETWORKDAYS(Proc[[#This Row],[DateOpened]],Proc[[#This Row],[DateClosed]]))-1)</f>
        <v>83</v>
      </c>
      <c r="R3869" s="136" t="s">
        <v>6087</v>
      </c>
      <c r="S3869" s="129"/>
    </row>
    <row r="3870" spans="1:19" hidden="1">
      <c r="A3870" s="135" t="s">
        <v>6086</v>
      </c>
      <c r="B3870" s="149" t="str">
        <f>IFERROR(VLOOKUP(Proc[[#This Row],[App]],Table2[],3,0),"open")</f>
        <v>ok</v>
      </c>
      <c r="C3870" s="138" t="s">
        <v>369</v>
      </c>
      <c r="D3870" t="s">
        <v>5997</v>
      </c>
      <c r="E3870" t="s">
        <v>6066</v>
      </c>
      <c r="F3870" s="129" t="s">
        <v>6066</v>
      </c>
      <c r="G3870" s="135" t="s">
        <v>406</v>
      </c>
      <c r="H3870" s="129" t="str">
        <f>IF(Proc[[#This Row],[type]]="LFF (MDG-F)",MID(Proc[[#This Row],[Obj]],13,10),"")</f>
        <v>JP01O05003</v>
      </c>
      <c r="J3870" s="129" t="b">
        <f>Proc[[#This Row],[Requested]]=Proc[[#This Row],[CurrentParent]]</f>
        <v>1</v>
      </c>
      <c r="K3870" s="144" t="str">
        <f>IF(Proc[[#This Row],[Author]]="Marcela Urrego",VLOOKUP(LEFT(Proc[[#This Row],[Requested]],1),Table3[#All],2,0),VLOOKUP(Proc[[#This Row],[Author]],Table4[],2,0))</f>
        <v>EL</v>
      </c>
      <c r="L3870" s="129" t="s">
        <v>4894</v>
      </c>
      <c r="M3870" s="136">
        <v>45895</v>
      </c>
      <c r="N3870" s="137"/>
      <c r="O3870" s="137"/>
      <c r="P3870" s="136" t="str">
        <f ca="1">IF(Proc[[#This Row],[DaysAgeing]]&gt;5,"yep","on track")</f>
        <v>yep</v>
      </c>
      <c r="Q3870" s="3">
        <f ca="1">IF(Proc[[#This Row],[DateClosed]]="",ABS(NETWORKDAYS(Proc[[#This Row],[DateOpened]],TODAY()))-1,ABS(NETWORKDAYS(Proc[[#This Row],[DateOpened]],Proc[[#This Row],[DateClosed]]))-1)</f>
        <v>83</v>
      </c>
      <c r="R3870" s="136" t="s">
        <v>6087</v>
      </c>
      <c r="S3870" s="129"/>
    </row>
    <row r="3871" spans="1:19" hidden="1">
      <c r="A3871" s="135" t="s">
        <v>6086</v>
      </c>
      <c r="B3871" s="149" t="str">
        <f>IFERROR(VLOOKUP(Proc[[#This Row],[App]],Table2[],3,0),"open")</f>
        <v>ok</v>
      </c>
      <c r="C3871" s="138" t="s">
        <v>369</v>
      </c>
      <c r="D3871" t="s">
        <v>5998</v>
      </c>
      <c r="E3871" t="s">
        <v>6066</v>
      </c>
      <c r="F3871" s="129" t="s">
        <v>6066</v>
      </c>
      <c r="G3871" s="135" t="s">
        <v>406</v>
      </c>
      <c r="H3871" s="129" t="str">
        <f>IF(Proc[[#This Row],[type]]="LFF (MDG-F)",MID(Proc[[#This Row],[Obj]],13,10),"")</f>
        <v>JP01O05004</v>
      </c>
      <c r="J3871" s="129" t="b">
        <f>Proc[[#This Row],[Requested]]=Proc[[#This Row],[CurrentParent]]</f>
        <v>1</v>
      </c>
      <c r="K3871" s="144" t="str">
        <f>IF(Proc[[#This Row],[Author]]="Marcela Urrego",VLOOKUP(LEFT(Proc[[#This Row],[Requested]],1),Table3[#All],2,0),VLOOKUP(Proc[[#This Row],[Author]],Table4[],2,0))</f>
        <v>EL</v>
      </c>
      <c r="L3871" s="129" t="s">
        <v>4894</v>
      </c>
      <c r="M3871" s="136">
        <v>45895</v>
      </c>
      <c r="N3871" s="137"/>
      <c r="O3871" s="137"/>
      <c r="P3871" s="136" t="str">
        <f ca="1">IF(Proc[[#This Row],[DaysAgeing]]&gt;5,"yep","on track")</f>
        <v>yep</v>
      </c>
      <c r="Q3871" s="3">
        <f ca="1">IF(Proc[[#This Row],[DateClosed]]="",ABS(NETWORKDAYS(Proc[[#This Row],[DateOpened]],TODAY()))-1,ABS(NETWORKDAYS(Proc[[#This Row],[DateOpened]],Proc[[#This Row],[DateClosed]]))-1)</f>
        <v>83</v>
      </c>
      <c r="R3871" s="136" t="s">
        <v>6087</v>
      </c>
      <c r="S3871" s="129"/>
    </row>
    <row r="3872" spans="1:19" hidden="1">
      <c r="A3872" s="135" t="s">
        <v>6086</v>
      </c>
      <c r="B3872" s="149" t="str">
        <f>IFERROR(VLOOKUP(Proc[[#This Row],[App]],Table2[],3,0),"open")</f>
        <v>ok</v>
      </c>
      <c r="C3872" s="138" t="s">
        <v>369</v>
      </c>
      <c r="D3872" t="s">
        <v>5999</v>
      </c>
      <c r="E3872" t="s">
        <v>6072</v>
      </c>
      <c r="F3872" s="129" t="s">
        <v>6072</v>
      </c>
      <c r="G3872" s="135" t="s">
        <v>406</v>
      </c>
      <c r="H3872" s="129" t="str">
        <f>IF(Proc[[#This Row],[type]]="LFF (MDG-F)",MID(Proc[[#This Row],[Obj]],13,10),"")</f>
        <v>JP01OF0203</v>
      </c>
      <c r="J3872" s="129" t="b">
        <f>Proc[[#This Row],[Requested]]=Proc[[#This Row],[CurrentParent]]</f>
        <v>1</v>
      </c>
      <c r="K3872" s="144" t="str">
        <f>IF(Proc[[#This Row],[Author]]="Marcela Urrego",VLOOKUP(LEFT(Proc[[#This Row],[Requested]],1),Table3[#All],2,0),VLOOKUP(Proc[[#This Row],[Author]],Table4[],2,0))</f>
        <v>EL</v>
      </c>
      <c r="L3872" s="129" t="s">
        <v>4894</v>
      </c>
      <c r="M3872" s="136">
        <v>45895</v>
      </c>
      <c r="N3872" s="137"/>
      <c r="O3872" s="137"/>
      <c r="P3872" s="136" t="str">
        <f ca="1">IF(Proc[[#This Row],[DaysAgeing]]&gt;5,"yep","on track")</f>
        <v>yep</v>
      </c>
      <c r="Q3872" s="3">
        <f ca="1">IF(Proc[[#This Row],[DateClosed]]="",ABS(NETWORKDAYS(Proc[[#This Row],[DateOpened]],TODAY()))-1,ABS(NETWORKDAYS(Proc[[#This Row],[DateOpened]],Proc[[#This Row],[DateClosed]]))-1)</f>
        <v>83</v>
      </c>
      <c r="R3872" s="136" t="s">
        <v>6087</v>
      </c>
      <c r="S3872" s="129"/>
    </row>
    <row r="3873" spans="1:19" hidden="1">
      <c r="A3873" s="135" t="s">
        <v>6086</v>
      </c>
      <c r="B3873" s="149" t="str">
        <f>IFERROR(VLOOKUP(Proc[[#This Row],[App]],Table2[],3,0),"open")</f>
        <v>ok</v>
      </c>
      <c r="C3873" s="138" t="s">
        <v>369</v>
      </c>
      <c r="D3873" t="s">
        <v>6000</v>
      </c>
      <c r="E3873" t="s">
        <v>6065</v>
      </c>
      <c r="F3873" s="129" t="s">
        <v>6065</v>
      </c>
      <c r="G3873" s="135" t="s">
        <v>406</v>
      </c>
      <c r="H3873" s="129" t="str">
        <f>IF(Proc[[#This Row],[type]]="LFF (MDG-F)",MID(Proc[[#This Row],[Obj]],13,10),"")</f>
        <v>JP01R0O721</v>
      </c>
      <c r="J3873" s="129" t="b">
        <f>Proc[[#This Row],[Requested]]=Proc[[#This Row],[CurrentParent]]</f>
        <v>1</v>
      </c>
      <c r="K3873" s="144" t="str">
        <f>IF(Proc[[#This Row],[Author]]="Marcela Urrego",VLOOKUP(LEFT(Proc[[#This Row],[Requested]],1),Table3[#All],2,0),VLOOKUP(Proc[[#This Row],[Author]],Table4[],2,0))</f>
        <v>EL</v>
      </c>
      <c r="L3873" s="129" t="s">
        <v>4894</v>
      </c>
      <c r="M3873" s="136">
        <v>45895</v>
      </c>
      <c r="N3873" s="137"/>
      <c r="O3873" s="137"/>
      <c r="P3873" s="136" t="str">
        <f ca="1">IF(Proc[[#This Row],[DaysAgeing]]&gt;5,"yep","on track")</f>
        <v>yep</v>
      </c>
      <c r="Q3873" s="3">
        <f ca="1">IF(Proc[[#This Row],[DateClosed]]="",ABS(NETWORKDAYS(Proc[[#This Row],[DateOpened]],TODAY()))-1,ABS(NETWORKDAYS(Proc[[#This Row],[DateOpened]],Proc[[#This Row],[DateClosed]]))-1)</f>
        <v>83</v>
      </c>
      <c r="R3873" s="136" t="s">
        <v>6087</v>
      </c>
      <c r="S3873" s="129"/>
    </row>
    <row r="3874" spans="1:19" hidden="1">
      <c r="A3874" s="135" t="s">
        <v>6086</v>
      </c>
      <c r="B3874" s="149" t="str">
        <f>IFERROR(VLOOKUP(Proc[[#This Row],[App]],Table2[],3,0),"open")</f>
        <v>ok</v>
      </c>
      <c r="C3874" s="138" t="s">
        <v>369</v>
      </c>
      <c r="D3874" t="s">
        <v>6001</v>
      </c>
      <c r="E3874" t="s">
        <v>6073</v>
      </c>
      <c r="F3874" s="129" t="s">
        <v>6073</v>
      </c>
      <c r="G3874" s="135" t="s">
        <v>406</v>
      </c>
      <c r="H3874" s="129" t="str">
        <f>IF(Proc[[#This Row],[type]]="LFF (MDG-F)",MID(Proc[[#This Row],[Obj]],13,10),"")</f>
        <v>JP01TAOA00</v>
      </c>
      <c r="J3874" s="129" t="b">
        <f>Proc[[#This Row],[Requested]]=Proc[[#This Row],[CurrentParent]]</f>
        <v>1</v>
      </c>
      <c r="K3874" s="144" t="str">
        <f>IF(Proc[[#This Row],[Author]]="Marcela Urrego",VLOOKUP(LEFT(Proc[[#This Row],[Requested]],1),Table3[#All],2,0),VLOOKUP(Proc[[#This Row],[Author]],Table4[],2,0))</f>
        <v>EL</v>
      </c>
      <c r="L3874" s="129" t="s">
        <v>4894</v>
      </c>
      <c r="M3874" s="136">
        <v>45895</v>
      </c>
      <c r="N3874" s="137"/>
      <c r="O3874" s="137"/>
      <c r="P3874" s="136" t="str">
        <f ca="1">IF(Proc[[#This Row],[DaysAgeing]]&gt;5,"yep","on track")</f>
        <v>yep</v>
      </c>
      <c r="Q3874" s="3">
        <f ca="1">IF(Proc[[#This Row],[DateClosed]]="",ABS(NETWORKDAYS(Proc[[#This Row],[DateOpened]],TODAY()))-1,ABS(NETWORKDAYS(Proc[[#This Row],[DateOpened]],Proc[[#This Row],[DateClosed]]))-1)</f>
        <v>83</v>
      </c>
      <c r="R3874" s="136" t="s">
        <v>6087</v>
      </c>
      <c r="S3874" s="129"/>
    </row>
    <row r="3875" spans="1:19" hidden="1">
      <c r="A3875" s="135" t="s">
        <v>6086</v>
      </c>
      <c r="B3875" s="149" t="str">
        <f>IFERROR(VLOOKUP(Proc[[#This Row],[App]],Table2[],3,0),"open")</f>
        <v>ok</v>
      </c>
      <c r="C3875" s="138" t="s">
        <v>369</v>
      </c>
      <c r="D3875" t="s">
        <v>6002</v>
      </c>
      <c r="E3875" t="s">
        <v>6073</v>
      </c>
      <c r="F3875" s="129" t="s">
        <v>6073</v>
      </c>
      <c r="G3875" s="135" t="s">
        <v>406</v>
      </c>
      <c r="H3875" s="129" t="str">
        <f>IF(Proc[[#This Row],[type]]="LFF (MDG-F)",MID(Proc[[#This Row],[Obj]],13,10),"")</f>
        <v>JP01TAOA01</v>
      </c>
      <c r="J3875" s="129" t="b">
        <f>Proc[[#This Row],[Requested]]=Proc[[#This Row],[CurrentParent]]</f>
        <v>1</v>
      </c>
      <c r="K3875" s="144" t="str">
        <f>IF(Proc[[#This Row],[Author]]="Marcela Urrego",VLOOKUP(LEFT(Proc[[#This Row],[Requested]],1),Table3[#All],2,0),VLOOKUP(Proc[[#This Row],[Author]],Table4[],2,0))</f>
        <v>EL</v>
      </c>
      <c r="L3875" s="129" t="s">
        <v>4894</v>
      </c>
      <c r="M3875" s="136">
        <v>45895</v>
      </c>
      <c r="N3875" s="137"/>
      <c r="O3875" s="137"/>
      <c r="P3875" s="136" t="str">
        <f ca="1">IF(Proc[[#This Row],[DaysAgeing]]&gt;5,"yep","on track")</f>
        <v>yep</v>
      </c>
      <c r="Q3875" s="3">
        <f ca="1">IF(Proc[[#This Row],[DateClosed]]="",ABS(NETWORKDAYS(Proc[[#This Row],[DateOpened]],TODAY()))-1,ABS(NETWORKDAYS(Proc[[#This Row],[DateOpened]],Proc[[#This Row],[DateClosed]]))-1)</f>
        <v>83</v>
      </c>
      <c r="R3875" s="136" t="s">
        <v>6087</v>
      </c>
      <c r="S3875" s="129"/>
    </row>
    <row r="3876" spans="1:19" hidden="1">
      <c r="A3876" s="135" t="s">
        <v>6086</v>
      </c>
      <c r="B3876" s="149" t="str">
        <f>IFERROR(VLOOKUP(Proc[[#This Row],[App]],Table2[],3,0),"open")</f>
        <v>ok</v>
      </c>
      <c r="C3876" s="138" t="s">
        <v>369</v>
      </c>
      <c r="D3876" t="s">
        <v>6003</v>
      </c>
      <c r="E3876" t="s">
        <v>6073</v>
      </c>
      <c r="F3876" s="129" t="s">
        <v>6073</v>
      </c>
      <c r="G3876" s="135" t="s">
        <v>406</v>
      </c>
      <c r="H3876" s="129" t="str">
        <f>IF(Proc[[#This Row],[type]]="LFF (MDG-F)",MID(Proc[[#This Row],[Obj]],13,10),"")</f>
        <v>JP01TAOA99</v>
      </c>
      <c r="J3876" s="129" t="b">
        <f>Proc[[#This Row],[Requested]]=Proc[[#This Row],[CurrentParent]]</f>
        <v>1</v>
      </c>
      <c r="K3876" s="144" t="str">
        <f>IF(Proc[[#This Row],[Author]]="Marcela Urrego",VLOOKUP(LEFT(Proc[[#This Row],[Requested]],1),Table3[#All],2,0),VLOOKUP(Proc[[#This Row],[Author]],Table4[],2,0))</f>
        <v>EL</v>
      </c>
      <c r="L3876" s="129" t="s">
        <v>4894</v>
      </c>
      <c r="M3876" s="136">
        <v>45895</v>
      </c>
      <c r="N3876" s="137"/>
      <c r="O3876" s="137"/>
      <c r="P3876" s="136" t="str">
        <f ca="1">IF(Proc[[#This Row],[DaysAgeing]]&gt;5,"yep","on track")</f>
        <v>yep</v>
      </c>
      <c r="Q3876" s="3">
        <f ca="1">IF(Proc[[#This Row],[DateClosed]]="",ABS(NETWORKDAYS(Proc[[#This Row],[DateOpened]],TODAY()))-1,ABS(NETWORKDAYS(Proc[[#This Row],[DateOpened]],Proc[[#This Row],[DateClosed]]))-1)</f>
        <v>83</v>
      </c>
      <c r="R3876" s="136" t="s">
        <v>6087</v>
      </c>
      <c r="S3876" s="129"/>
    </row>
    <row r="3877" spans="1:19" hidden="1">
      <c r="A3877" s="135" t="s">
        <v>6086</v>
      </c>
      <c r="B3877" s="149" t="str">
        <f>IFERROR(VLOOKUP(Proc[[#This Row],[App]],Table2[],3,0),"open")</f>
        <v>ok</v>
      </c>
      <c r="C3877" s="138" t="s">
        <v>369</v>
      </c>
      <c r="D3877" t="s">
        <v>6004</v>
      </c>
      <c r="E3877" t="s">
        <v>6073</v>
      </c>
      <c r="F3877" s="129" t="s">
        <v>6073</v>
      </c>
      <c r="G3877" s="135" t="s">
        <v>406</v>
      </c>
      <c r="H3877" s="129" t="str">
        <f>IF(Proc[[#This Row],[type]]="LFF (MDG-F)",MID(Proc[[#This Row],[Obj]],13,10),"")</f>
        <v>JP01TAOB00</v>
      </c>
      <c r="J3877" s="129" t="b">
        <f>Proc[[#This Row],[Requested]]=Proc[[#This Row],[CurrentParent]]</f>
        <v>1</v>
      </c>
      <c r="K3877" s="144" t="str">
        <f>IF(Proc[[#This Row],[Author]]="Marcela Urrego",VLOOKUP(LEFT(Proc[[#This Row],[Requested]],1),Table3[#All],2,0),VLOOKUP(Proc[[#This Row],[Author]],Table4[],2,0))</f>
        <v>EL</v>
      </c>
      <c r="L3877" s="129" t="s">
        <v>4894</v>
      </c>
      <c r="M3877" s="136">
        <v>45895</v>
      </c>
      <c r="N3877" s="137"/>
      <c r="O3877" s="137"/>
      <c r="P3877" s="136" t="str">
        <f ca="1">IF(Proc[[#This Row],[DaysAgeing]]&gt;5,"yep","on track")</f>
        <v>yep</v>
      </c>
      <c r="Q3877" s="3">
        <f ca="1">IF(Proc[[#This Row],[DateClosed]]="",ABS(NETWORKDAYS(Proc[[#This Row],[DateOpened]],TODAY()))-1,ABS(NETWORKDAYS(Proc[[#This Row],[DateOpened]],Proc[[#This Row],[DateClosed]]))-1)</f>
        <v>83</v>
      </c>
      <c r="R3877" s="136" t="s">
        <v>6087</v>
      </c>
      <c r="S3877" s="129"/>
    </row>
    <row r="3878" spans="1:19" hidden="1">
      <c r="A3878" s="135" t="s">
        <v>6086</v>
      </c>
      <c r="B3878" s="149" t="str">
        <f>IFERROR(VLOOKUP(Proc[[#This Row],[App]],Table2[],3,0),"open")</f>
        <v>ok</v>
      </c>
      <c r="C3878" s="138" t="s">
        <v>369</v>
      </c>
      <c r="D3878" t="s">
        <v>6005</v>
      </c>
      <c r="E3878" t="s">
        <v>6073</v>
      </c>
      <c r="F3878" s="129" t="s">
        <v>6073</v>
      </c>
      <c r="G3878" s="135" t="s">
        <v>406</v>
      </c>
      <c r="H3878" s="129" t="str">
        <f>IF(Proc[[#This Row],[type]]="LFF (MDG-F)",MID(Proc[[#This Row],[Obj]],13,10),"")</f>
        <v>JP01TAOB01</v>
      </c>
      <c r="J3878" s="129" t="b">
        <f>Proc[[#This Row],[Requested]]=Proc[[#This Row],[CurrentParent]]</f>
        <v>1</v>
      </c>
      <c r="K3878" s="144" t="str">
        <f>IF(Proc[[#This Row],[Author]]="Marcela Urrego",VLOOKUP(LEFT(Proc[[#This Row],[Requested]],1),Table3[#All],2,0),VLOOKUP(Proc[[#This Row],[Author]],Table4[],2,0))</f>
        <v>EL</v>
      </c>
      <c r="L3878" s="129" t="s">
        <v>4894</v>
      </c>
      <c r="M3878" s="136">
        <v>45895</v>
      </c>
      <c r="N3878" s="137"/>
      <c r="O3878" s="137"/>
      <c r="P3878" s="136" t="str">
        <f ca="1">IF(Proc[[#This Row],[DaysAgeing]]&gt;5,"yep","on track")</f>
        <v>yep</v>
      </c>
      <c r="Q3878" s="3">
        <f ca="1">IF(Proc[[#This Row],[DateClosed]]="",ABS(NETWORKDAYS(Proc[[#This Row],[DateOpened]],TODAY()))-1,ABS(NETWORKDAYS(Proc[[#This Row],[DateOpened]],Proc[[#This Row],[DateClosed]]))-1)</f>
        <v>83</v>
      </c>
      <c r="R3878" s="136" t="s">
        <v>6087</v>
      </c>
      <c r="S3878" s="129"/>
    </row>
    <row r="3879" spans="1:19" hidden="1">
      <c r="A3879" s="135" t="s">
        <v>6086</v>
      </c>
      <c r="B3879" s="149" t="str">
        <f>IFERROR(VLOOKUP(Proc[[#This Row],[App]],Table2[],3,0),"open")</f>
        <v>ok</v>
      </c>
      <c r="C3879" s="138" t="s">
        <v>369</v>
      </c>
      <c r="D3879" t="s">
        <v>6006</v>
      </c>
      <c r="E3879" t="s">
        <v>6073</v>
      </c>
      <c r="F3879" s="129" t="s">
        <v>6073</v>
      </c>
      <c r="G3879" s="135" t="s">
        <v>406</v>
      </c>
      <c r="H3879" s="129" t="str">
        <f>IF(Proc[[#This Row],[type]]="LFF (MDG-F)",MID(Proc[[#This Row],[Obj]],13,10),"")</f>
        <v>JP01TAOB02</v>
      </c>
      <c r="J3879" s="129" t="b">
        <f>Proc[[#This Row],[Requested]]=Proc[[#This Row],[CurrentParent]]</f>
        <v>1</v>
      </c>
      <c r="K3879" s="144" t="str">
        <f>IF(Proc[[#This Row],[Author]]="Marcela Urrego",VLOOKUP(LEFT(Proc[[#This Row],[Requested]],1),Table3[#All],2,0),VLOOKUP(Proc[[#This Row],[Author]],Table4[],2,0))</f>
        <v>EL</v>
      </c>
      <c r="L3879" s="129" t="s">
        <v>4894</v>
      </c>
      <c r="M3879" s="136">
        <v>45895</v>
      </c>
      <c r="N3879" s="137"/>
      <c r="O3879" s="137"/>
      <c r="P3879" s="136" t="str">
        <f ca="1">IF(Proc[[#This Row],[DaysAgeing]]&gt;5,"yep","on track")</f>
        <v>yep</v>
      </c>
      <c r="Q3879" s="3">
        <f ca="1">IF(Proc[[#This Row],[DateClosed]]="",ABS(NETWORKDAYS(Proc[[#This Row],[DateOpened]],TODAY()))-1,ABS(NETWORKDAYS(Proc[[#This Row],[DateOpened]],Proc[[#This Row],[DateClosed]]))-1)</f>
        <v>83</v>
      </c>
      <c r="R3879" s="136" t="s">
        <v>6087</v>
      </c>
      <c r="S3879" s="129"/>
    </row>
    <row r="3880" spans="1:19" hidden="1">
      <c r="A3880" s="135" t="s">
        <v>6086</v>
      </c>
      <c r="B3880" s="149" t="str">
        <f>IFERROR(VLOOKUP(Proc[[#This Row],[App]],Table2[],3,0),"open")</f>
        <v>ok</v>
      </c>
      <c r="C3880" s="138" t="s">
        <v>369</v>
      </c>
      <c r="D3880" t="s">
        <v>6007</v>
      </c>
      <c r="E3880" t="s">
        <v>6073</v>
      </c>
      <c r="F3880" s="129" t="s">
        <v>6073</v>
      </c>
      <c r="G3880" s="135" t="s">
        <v>406</v>
      </c>
      <c r="H3880" s="129" t="str">
        <f>IF(Proc[[#This Row],[type]]="LFF (MDG-F)",MID(Proc[[#This Row],[Obj]],13,10),"")</f>
        <v>JP01TAOB99</v>
      </c>
      <c r="J3880" s="129" t="b">
        <f>Proc[[#This Row],[Requested]]=Proc[[#This Row],[CurrentParent]]</f>
        <v>1</v>
      </c>
      <c r="K3880" s="144" t="str">
        <f>IF(Proc[[#This Row],[Author]]="Marcela Urrego",VLOOKUP(LEFT(Proc[[#This Row],[Requested]],1),Table3[#All],2,0),VLOOKUP(Proc[[#This Row],[Author]],Table4[],2,0))</f>
        <v>EL</v>
      </c>
      <c r="L3880" s="129" t="s">
        <v>4894</v>
      </c>
      <c r="M3880" s="136">
        <v>45895</v>
      </c>
      <c r="N3880" s="137"/>
      <c r="O3880" s="137"/>
      <c r="P3880" s="136" t="str">
        <f ca="1">IF(Proc[[#This Row],[DaysAgeing]]&gt;5,"yep","on track")</f>
        <v>yep</v>
      </c>
      <c r="Q3880" s="3">
        <f ca="1">IF(Proc[[#This Row],[DateClosed]]="",ABS(NETWORKDAYS(Proc[[#This Row],[DateOpened]],TODAY()))-1,ABS(NETWORKDAYS(Proc[[#This Row],[DateOpened]],Proc[[#This Row],[DateClosed]]))-1)</f>
        <v>83</v>
      </c>
      <c r="R3880" s="136" t="s">
        <v>6087</v>
      </c>
      <c r="S3880" s="129"/>
    </row>
    <row r="3881" spans="1:19" hidden="1">
      <c r="A3881" s="135" t="s">
        <v>6086</v>
      </c>
      <c r="B3881" s="149" t="str">
        <f>IFERROR(VLOOKUP(Proc[[#This Row],[App]],Table2[],3,0),"open")</f>
        <v>ok</v>
      </c>
      <c r="C3881" s="138" t="s">
        <v>369</v>
      </c>
      <c r="D3881" t="s">
        <v>6008</v>
      </c>
      <c r="E3881" t="s">
        <v>6073</v>
      </c>
      <c r="F3881" s="129" t="s">
        <v>6073</v>
      </c>
      <c r="G3881" s="135" t="s">
        <v>406</v>
      </c>
      <c r="H3881" s="129" t="str">
        <f>IF(Proc[[#This Row],[type]]="LFF (MDG-F)",MID(Proc[[#This Row],[Obj]],13,10),"")</f>
        <v>JP01TAOC00</v>
      </c>
      <c r="J3881" s="129" t="b">
        <f>Proc[[#This Row],[Requested]]=Proc[[#This Row],[CurrentParent]]</f>
        <v>1</v>
      </c>
      <c r="K3881" s="144" t="str">
        <f>IF(Proc[[#This Row],[Author]]="Marcela Urrego",VLOOKUP(LEFT(Proc[[#This Row],[Requested]],1),Table3[#All],2,0),VLOOKUP(Proc[[#This Row],[Author]],Table4[],2,0))</f>
        <v>EL</v>
      </c>
      <c r="L3881" s="129" t="s">
        <v>4894</v>
      </c>
      <c r="M3881" s="136">
        <v>45895</v>
      </c>
      <c r="N3881" s="137"/>
      <c r="O3881" s="137"/>
      <c r="P3881" s="136" t="str">
        <f ca="1">IF(Proc[[#This Row],[DaysAgeing]]&gt;5,"yep","on track")</f>
        <v>yep</v>
      </c>
      <c r="Q3881" s="3">
        <f ca="1">IF(Proc[[#This Row],[DateClosed]]="",ABS(NETWORKDAYS(Proc[[#This Row],[DateOpened]],TODAY()))-1,ABS(NETWORKDAYS(Proc[[#This Row],[DateOpened]],Proc[[#This Row],[DateClosed]]))-1)</f>
        <v>83</v>
      </c>
      <c r="R3881" s="136" t="s">
        <v>6087</v>
      </c>
      <c r="S3881" s="129"/>
    </row>
    <row r="3882" spans="1:19" hidden="1">
      <c r="A3882" s="135" t="s">
        <v>6086</v>
      </c>
      <c r="B3882" s="149" t="str">
        <f>IFERROR(VLOOKUP(Proc[[#This Row],[App]],Table2[],3,0),"open")</f>
        <v>ok</v>
      </c>
      <c r="C3882" s="138" t="s">
        <v>369</v>
      </c>
      <c r="D3882" t="s">
        <v>6009</v>
      </c>
      <c r="E3882" t="s">
        <v>6073</v>
      </c>
      <c r="F3882" s="129" t="s">
        <v>6073</v>
      </c>
      <c r="G3882" s="135" t="s">
        <v>406</v>
      </c>
      <c r="H3882" s="129" t="str">
        <f>IF(Proc[[#This Row],[type]]="LFF (MDG-F)",MID(Proc[[#This Row],[Obj]],13,10),"")</f>
        <v>JP01TAOC01</v>
      </c>
      <c r="J3882" s="129" t="b">
        <f>Proc[[#This Row],[Requested]]=Proc[[#This Row],[CurrentParent]]</f>
        <v>1</v>
      </c>
      <c r="K3882" s="144" t="str">
        <f>IF(Proc[[#This Row],[Author]]="Marcela Urrego",VLOOKUP(LEFT(Proc[[#This Row],[Requested]],1),Table3[#All],2,0),VLOOKUP(Proc[[#This Row],[Author]],Table4[],2,0))</f>
        <v>EL</v>
      </c>
      <c r="L3882" s="129" t="s">
        <v>4894</v>
      </c>
      <c r="M3882" s="136">
        <v>45895</v>
      </c>
      <c r="N3882" s="137"/>
      <c r="O3882" s="137"/>
      <c r="P3882" s="136" t="str">
        <f ca="1">IF(Proc[[#This Row],[DaysAgeing]]&gt;5,"yep","on track")</f>
        <v>yep</v>
      </c>
      <c r="Q3882" s="3">
        <f ca="1">IF(Proc[[#This Row],[DateClosed]]="",ABS(NETWORKDAYS(Proc[[#This Row],[DateOpened]],TODAY()))-1,ABS(NETWORKDAYS(Proc[[#This Row],[DateOpened]],Proc[[#This Row],[DateClosed]]))-1)</f>
        <v>83</v>
      </c>
      <c r="R3882" s="136" t="s">
        <v>6087</v>
      </c>
      <c r="S3882" s="129"/>
    </row>
    <row r="3883" spans="1:19" hidden="1">
      <c r="A3883" s="135" t="s">
        <v>6086</v>
      </c>
      <c r="B3883" s="149" t="str">
        <f>IFERROR(VLOOKUP(Proc[[#This Row],[App]],Table2[],3,0),"open")</f>
        <v>ok</v>
      </c>
      <c r="C3883" s="138" t="s">
        <v>369</v>
      </c>
      <c r="D3883" t="s">
        <v>6010</v>
      </c>
      <c r="E3883" t="s">
        <v>6073</v>
      </c>
      <c r="F3883" s="129" t="s">
        <v>6073</v>
      </c>
      <c r="G3883" s="135" t="s">
        <v>406</v>
      </c>
      <c r="H3883" s="129" t="str">
        <f>IF(Proc[[#This Row],[type]]="LFF (MDG-F)",MID(Proc[[#This Row],[Obj]],13,10),"")</f>
        <v>JP01TAOC02</v>
      </c>
      <c r="J3883" s="129" t="b">
        <f>Proc[[#This Row],[Requested]]=Proc[[#This Row],[CurrentParent]]</f>
        <v>1</v>
      </c>
      <c r="K3883" s="144" t="str">
        <f>IF(Proc[[#This Row],[Author]]="Marcela Urrego",VLOOKUP(LEFT(Proc[[#This Row],[Requested]],1),Table3[#All],2,0),VLOOKUP(Proc[[#This Row],[Author]],Table4[],2,0))</f>
        <v>EL</v>
      </c>
      <c r="L3883" s="129" t="s">
        <v>4894</v>
      </c>
      <c r="M3883" s="136">
        <v>45895</v>
      </c>
      <c r="N3883" s="137"/>
      <c r="O3883" s="137"/>
      <c r="P3883" s="136" t="str">
        <f ca="1">IF(Proc[[#This Row],[DaysAgeing]]&gt;5,"yep","on track")</f>
        <v>yep</v>
      </c>
      <c r="Q3883" s="3">
        <f ca="1">IF(Proc[[#This Row],[DateClosed]]="",ABS(NETWORKDAYS(Proc[[#This Row],[DateOpened]],TODAY()))-1,ABS(NETWORKDAYS(Proc[[#This Row],[DateOpened]],Proc[[#This Row],[DateClosed]]))-1)</f>
        <v>83</v>
      </c>
      <c r="R3883" s="136" t="s">
        <v>6087</v>
      </c>
      <c r="S3883" s="129"/>
    </row>
    <row r="3884" spans="1:19" hidden="1">
      <c r="A3884" s="135" t="s">
        <v>6086</v>
      </c>
      <c r="B3884" s="149" t="str">
        <f>IFERROR(VLOOKUP(Proc[[#This Row],[App]],Table2[],3,0),"open")</f>
        <v>ok</v>
      </c>
      <c r="C3884" s="138" t="s">
        <v>369</v>
      </c>
      <c r="D3884" t="s">
        <v>6011</v>
      </c>
      <c r="E3884" t="s">
        <v>6073</v>
      </c>
      <c r="F3884" s="129" t="s">
        <v>6073</v>
      </c>
      <c r="G3884" s="135" t="s">
        <v>406</v>
      </c>
      <c r="H3884" s="129" t="str">
        <f>IF(Proc[[#This Row],[type]]="LFF (MDG-F)",MID(Proc[[#This Row],[Obj]],13,10),"")</f>
        <v>JP01TAOC03</v>
      </c>
      <c r="J3884" s="129" t="b">
        <f>Proc[[#This Row],[Requested]]=Proc[[#This Row],[CurrentParent]]</f>
        <v>1</v>
      </c>
      <c r="K3884" s="144" t="str">
        <f>IF(Proc[[#This Row],[Author]]="Marcela Urrego",VLOOKUP(LEFT(Proc[[#This Row],[Requested]],1),Table3[#All],2,0),VLOOKUP(Proc[[#This Row],[Author]],Table4[],2,0))</f>
        <v>EL</v>
      </c>
      <c r="L3884" s="129" t="s">
        <v>4894</v>
      </c>
      <c r="M3884" s="136">
        <v>45895</v>
      </c>
      <c r="N3884" s="137"/>
      <c r="O3884" s="137"/>
      <c r="P3884" s="136" t="str">
        <f ca="1">IF(Proc[[#This Row],[DaysAgeing]]&gt;5,"yep","on track")</f>
        <v>yep</v>
      </c>
      <c r="Q3884" s="3">
        <f ca="1">IF(Proc[[#This Row],[DateClosed]]="",ABS(NETWORKDAYS(Proc[[#This Row],[DateOpened]],TODAY()))-1,ABS(NETWORKDAYS(Proc[[#This Row],[DateOpened]],Proc[[#This Row],[DateClosed]]))-1)</f>
        <v>83</v>
      </c>
      <c r="R3884" s="136" t="s">
        <v>6087</v>
      </c>
      <c r="S3884" s="129"/>
    </row>
    <row r="3885" spans="1:19" hidden="1">
      <c r="A3885" s="135" t="s">
        <v>6086</v>
      </c>
      <c r="B3885" s="149" t="str">
        <f>IFERROR(VLOOKUP(Proc[[#This Row],[App]],Table2[],3,0),"open")</f>
        <v>ok</v>
      </c>
      <c r="C3885" s="138" t="s">
        <v>369</v>
      </c>
      <c r="D3885" t="s">
        <v>6012</v>
      </c>
      <c r="E3885" t="s">
        <v>6073</v>
      </c>
      <c r="F3885" s="129" t="s">
        <v>6073</v>
      </c>
      <c r="G3885" s="135" t="s">
        <v>406</v>
      </c>
      <c r="H3885" s="129" t="str">
        <f>IF(Proc[[#This Row],[type]]="LFF (MDG-F)",MID(Proc[[#This Row],[Obj]],13,10),"")</f>
        <v>JP01TAOC99</v>
      </c>
      <c r="J3885" s="129" t="b">
        <f>Proc[[#This Row],[Requested]]=Proc[[#This Row],[CurrentParent]]</f>
        <v>1</v>
      </c>
      <c r="K3885" s="144" t="str">
        <f>IF(Proc[[#This Row],[Author]]="Marcela Urrego",VLOOKUP(LEFT(Proc[[#This Row],[Requested]],1),Table3[#All],2,0),VLOOKUP(Proc[[#This Row],[Author]],Table4[],2,0))</f>
        <v>EL</v>
      </c>
      <c r="L3885" s="129" t="s">
        <v>4894</v>
      </c>
      <c r="M3885" s="136">
        <v>45895</v>
      </c>
      <c r="N3885" s="137"/>
      <c r="O3885" s="137"/>
      <c r="P3885" s="136" t="str">
        <f ca="1">IF(Proc[[#This Row],[DaysAgeing]]&gt;5,"yep","on track")</f>
        <v>yep</v>
      </c>
      <c r="Q3885" s="3">
        <f ca="1">IF(Proc[[#This Row],[DateClosed]]="",ABS(NETWORKDAYS(Proc[[#This Row],[DateOpened]],TODAY()))-1,ABS(NETWORKDAYS(Proc[[#This Row],[DateOpened]],Proc[[#This Row],[DateClosed]]))-1)</f>
        <v>83</v>
      </c>
      <c r="R3885" s="136" t="s">
        <v>6087</v>
      </c>
      <c r="S3885" s="129"/>
    </row>
    <row r="3886" spans="1:19" hidden="1">
      <c r="A3886" s="135" t="s">
        <v>6086</v>
      </c>
      <c r="B3886" s="149" t="str">
        <f>IFERROR(VLOOKUP(Proc[[#This Row],[App]],Table2[],3,0),"open")</f>
        <v>ok</v>
      </c>
      <c r="C3886" s="138" t="s">
        <v>369</v>
      </c>
      <c r="D3886" t="s">
        <v>6013</v>
      </c>
      <c r="E3886" t="s">
        <v>6073</v>
      </c>
      <c r="F3886" s="129" t="s">
        <v>6073</v>
      </c>
      <c r="G3886" s="135" t="s">
        <v>406</v>
      </c>
      <c r="H3886" s="129" t="str">
        <f>IF(Proc[[#This Row],[type]]="LFF (MDG-F)",MID(Proc[[#This Row],[Obj]],13,10),"")</f>
        <v>JP01TAOD00</v>
      </c>
      <c r="J3886" s="129" t="b">
        <f>Proc[[#This Row],[Requested]]=Proc[[#This Row],[CurrentParent]]</f>
        <v>1</v>
      </c>
      <c r="K3886" s="144" t="str">
        <f>IF(Proc[[#This Row],[Author]]="Marcela Urrego",VLOOKUP(LEFT(Proc[[#This Row],[Requested]],1),Table3[#All],2,0),VLOOKUP(Proc[[#This Row],[Author]],Table4[],2,0))</f>
        <v>EL</v>
      </c>
      <c r="L3886" s="129" t="s">
        <v>4894</v>
      </c>
      <c r="M3886" s="136">
        <v>45895</v>
      </c>
      <c r="N3886" s="137"/>
      <c r="O3886" s="137"/>
      <c r="P3886" s="136" t="str">
        <f ca="1">IF(Proc[[#This Row],[DaysAgeing]]&gt;5,"yep","on track")</f>
        <v>yep</v>
      </c>
      <c r="Q3886" s="3">
        <f ca="1">IF(Proc[[#This Row],[DateClosed]]="",ABS(NETWORKDAYS(Proc[[#This Row],[DateOpened]],TODAY()))-1,ABS(NETWORKDAYS(Proc[[#This Row],[DateOpened]],Proc[[#This Row],[DateClosed]]))-1)</f>
        <v>83</v>
      </c>
      <c r="R3886" s="136" t="s">
        <v>6087</v>
      </c>
      <c r="S3886" s="129"/>
    </row>
    <row r="3887" spans="1:19" hidden="1">
      <c r="A3887" s="135" t="s">
        <v>6086</v>
      </c>
      <c r="B3887" s="149" t="str">
        <f>IFERROR(VLOOKUP(Proc[[#This Row],[App]],Table2[],3,0),"open")</f>
        <v>ok</v>
      </c>
      <c r="C3887" s="138" t="s">
        <v>369</v>
      </c>
      <c r="D3887" t="s">
        <v>6014</v>
      </c>
      <c r="E3887" t="s">
        <v>6073</v>
      </c>
      <c r="F3887" s="129" t="s">
        <v>6073</v>
      </c>
      <c r="G3887" s="135" t="s">
        <v>406</v>
      </c>
      <c r="H3887" s="129" t="str">
        <f>IF(Proc[[#This Row],[type]]="LFF (MDG-F)",MID(Proc[[#This Row],[Obj]],13,10),"")</f>
        <v>JP01TAOD01</v>
      </c>
      <c r="J3887" s="129" t="b">
        <f>Proc[[#This Row],[Requested]]=Proc[[#This Row],[CurrentParent]]</f>
        <v>1</v>
      </c>
      <c r="K3887" s="144" t="str">
        <f>IF(Proc[[#This Row],[Author]]="Marcela Urrego",VLOOKUP(LEFT(Proc[[#This Row],[Requested]],1),Table3[#All],2,0),VLOOKUP(Proc[[#This Row],[Author]],Table4[],2,0))</f>
        <v>EL</v>
      </c>
      <c r="L3887" s="129" t="s">
        <v>4894</v>
      </c>
      <c r="M3887" s="136">
        <v>45895</v>
      </c>
      <c r="N3887" s="137"/>
      <c r="O3887" s="137"/>
      <c r="P3887" s="136" t="str">
        <f ca="1">IF(Proc[[#This Row],[DaysAgeing]]&gt;5,"yep","on track")</f>
        <v>yep</v>
      </c>
      <c r="Q3887" s="3">
        <f ca="1">IF(Proc[[#This Row],[DateClosed]]="",ABS(NETWORKDAYS(Proc[[#This Row],[DateOpened]],TODAY()))-1,ABS(NETWORKDAYS(Proc[[#This Row],[DateOpened]],Proc[[#This Row],[DateClosed]]))-1)</f>
        <v>83</v>
      </c>
      <c r="R3887" s="136" t="s">
        <v>6087</v>
      </c>
      <c r="S3887" s="129"/>
    </row>
    <row r="3888" spans="1:19" hidden="1">
      <c r="A3888" s="135" t="s">
        <v>6086</v>
      </c>
      <c r="B3888" s="149" t="str">
        <f>IFERROR(VLOOKUP(Proc[[#This Row],[App]],Table2[],3,0),"open")</f>
        <v>ok</v>
      </c>
      <c r="C3888" s="138" t="s">
        <v>369</v>
      </c>
      <c r="D3888" t="s">
        <v>6015</v>
      </c>
      <c r="E3888" t="s">
        <v>6073</v>
      </c>
      <c r="F3888" s="129" t="s">
        <v>6073</v>
      </c>
      <c r="G3888" s="135" t="s">
        <v>406</v>
      </c>
      <c r="H3888" s="129" t="str">
        <f>IF(Proc[[#This Row],[type]]="LFF (MDG-F)",MID(Proc[[#This Row],[Obj]],13,10),"")</f>
        <v>JP01TAOD02</v>
      </c>
      <c r="J3888" s="129" t="b">
        <f>Proc[[#This Row],[Requested]]=Proc[[#This Row],[CurrentParent]]</f>
        <v>1</v>
      </c>
      <c r="K3888" s="144" t="str">
        <f>IF(Proc[[#This Row],[Author]]="Marcela Urrego",VLOOKUP(LEFT(Proc[[#This Row],[Requested]],1),Table3[#All],2,0),VLOOKUP(Proc[[#This Row],[Author]],Table4[],2,0))</f>
        <v>EL</v>
      </c>
      <c r="L3888" s="129" t="s">
        <v>4894</v>
      </c>
      <c r="M3888" s="136">
        <v>45895</v>
      </c>
      <c r="N3888" s="137"/>
      <c r="O3888" s="137"/>
      <c r="P3888" s="136" t="str">
        <f ca="1">IF(Proc[[#This Row],[DaysAgeing]]&gt;5,"yep","on track")</f>
        <v>yep</v>
      </c>
      <c r="Q3888" s="3">
        <f ca="1">IF(Proc[[#This Row],[DateClosed]]="",ABS(NETWORKDAYS(Proc[[#This Row],[DateOpened]],TODAY()))-1,ABS(NETWORKDAYS(Proc[[#This Row],[DateOpened]],Proc[[#This Row],[DateClosed]]))-1)</f>
        <v>83</v>
      </c>
      <c r="R3888" s="136" t="s">
        <v>6087</v>
      </c>
      <c r="S3888" s="129"/>
    </row>
    <row r="3889" spans="1:19" hidden="1">
      <c r="A3889" s="135" t="s">
        <v>6086</v>
      </c>
      <c r="B3889" s="149" t="str">
        <f>IFERROR(VLOOKUP(Proc[[#This Row],[App]],Table2[],3,0),"open")</f>
        <v>ok</v>
      </c>
      <c r="C3889" s="138" t="s">
        <v>369</v>
      </c>
      <c r="D3889" t="s">
        <v>6016</v>
      </c>
      <c r="E3889" t="s">
        <v>6073</v>
      </c>
      <c r="F3889" s="129" t="s">
        <v>6073</v>
      </c>
      <c r="G3889" s="135" t="s">
        <v>406</v>
      </c>
      <c r="H3889" s="129" t="str">
        <f>IF(Proc[[#This Row],[type]]="LFF (MDG-F)",MID(Proc[[#This Row],[Obj]],13,10),"")</f>
        <v>JP01TAOD99</v>
      </c>
      <c r="J3889" s="129" t="b">
        <f>Proc[[#This Row],[Requested]]=Proc[[#This Row],[CurrentParent]]</f>
        <v>1</v>
      </c>
      <c r="K3889" s="144" t="str">
        <f>IF(Proc[[#This Row],[Author]]="Marcela Urrego",VLOOKUP(LEFT(Proc[[#This Row],[Requested]],1),Table3[#All],2,0),VLOOKUP(Proc[[#This Row],[Author]],Table4[],2,0))</f>
        <v>EL</v>
      </c>
      <c r="L3889" s="129" t="s">
        <v>4894</v>
      </c>
      <c r="M3889" s="136">
        <v>45895</v>
      </c>
      <c r="N3889" s="137"/>
      <c r="O3889" s="137"/>
      <c r="P3889" s="136" t="str">
        <f ca="1">IF(Proc[[#This Row],[DaysAgeing]]&gt;5,"yep","on track")</f>
        <v>yep</v>
      </c>
      <c r="Q3889" s="3">
        <f ca="1">IF(Proc[[#This Row],[DateClosed]]="",ABS(NETWORKDAYS(Proc[[#This Row],[DateOpened]],TODAY()))-1,ABS(NETWORKDAYS(Proc[[#This Row],[DateOpened]],Proc[[#This Row],[DateClosed]]))-1)</f>
        <v>83</v>
      </c>
      <c r="R3889" s="136" t="s">
        <v>6087</v>
      </c>
      <c r="S3889" s="129"/>
    </row>
    <row r="3890" spans="1:19" hidden="1">
      <c r="A3890" s="135" t="s">
        <v>6086</v>
      </c>
      <c r="B3890" s="149" t="str">
        <f>IFERROR(VLOOKUP(Proc[[#This Row],[App]],Table2[],3,0),"open")</f>
        <v>ok</v>
      </c>
      <c r="C3890" s="138" t="s">
        <v>369</v>
      </c>
      <c r="D3890" t="s">
        <v>6017</v>
      </c>
      <c r="E3890" t="s">
        <v>6073</v>
      </c>
      <c r="F3890" s="129" t="s">
        <v>6073</v>
      </c>
      <c r="G3890" s="135" t="s">
        <v>406</v>
      </c>
      <c r="H3890" s="129" t="str">
        <f>IF(Proc[[#This Row],[type]]="LFF (MDG-F)",MID(Proc[[#This Row],[Obj]],13,10),"")</f>
        <v>JP01TAOE00</v>
      </c>
      <c r="J3890" s="129" t="b">
        <f>Proc[[#This Row],[Requested]]=Proc[[#This Row],[CurrentParent]]</f>
        <v>1</v>
      </c>
      <c r="K3890" s="144" t="str">
        <f>IF(Proc[[#This Row],[Author]]="Marcela Urrego",VLOOKUP(LEFT(Proc[[#This Row],[Requested]],1),Table3[#All],2,0),VLOOKUP(Proc[[#This Row],[Author]],Table4[],2,0))</f>
        <v>EL</v>
      </c>
      <c r="L3890" s="129" t="s">
        <v>4894</v>
      </c>
      <c r="M3890" s="136">
        <v>45895</v>
      </c>
      <c r="N3890" s="137"/>
      <c r="O3890" s="137"/>
      <c r="P3890" s="136" t="str">
        <f ca="1">IF(Proc[[#This Row],[DaysAgeing]]&gt;5,"yep","on track")</f>
        <v>yep</v>
      </c>
      <c r="Q3890" s="3">
        <f ca="1">IF(Proc[[#This Row],[DateClosed]]="",ABS(NETWORKDAYS(Proc[[#This Row],[DateOpened]],TODAY()))-1,ABS(NETWORKDAYS(Proc[[#This Row],[DateOpened]],Proc[[#This Row],[DateClosed]]))-1)</f>
        <v>83</v>
      </c>
      <c r="R3890" s="136" t="s">
        <v>6087</v>
      </c>
      <c r="S3890" s="129"/>
    </row>
    <row r="3891" spans="1:19" hidden="1">
      <c r="A3891" s="135" t="s">
        <v>6086</v>
      </c>
      <c r="B3891" s="149" t="str">
        <f>IFERROR(VLOOKUP(Proc[[#This Row],[App]],Table2[],3,0),"open")</f>
        <v>ok</v>
      </c>
      <c r="C3891" s="138" t="s">
        <v>369</v>
      </c>
      <c r="D3891" t="s">
        <v>6018</v>
      </c>
      <c r="E3891" t="s">
        <v>6073</v>
      </c>
      <c r="F3891" s="129" t="s">
        <v>6073</v>
      </c>
      <c r="G3891" s="135" t="s">
        <v>406</v>
      </c>
      <c r="H3891" s="129" t="str">
        <f>IF(Proc[[#This Row],[type]]="LFF (MDG-F)",MID(Proc[[#This Row],[Obj]],13,10),"")</f>
        <v>JP01TAOE01</v>
      </c>
      <c r="J3891" s="129" t="b">
        <f>Proc[[#This Row],[Requested]]=Proc[[#This Row],[CurrentParent]]</f>
        <v>1</v>
      </c>
      <c r="K3891" s="144" t="str">
        <f>IF(Proc[[#This Row],[Author]]="Marcela Urrego",VLOOKUP(LEFT(Proc[[#This Row],[Requested]],1),Table3[#All],2,0),VLOOKUP(Proc[[#This Row],[Author]],Table4[],2,0))</f>
        <v>EL</v>
      </c>
      <c r="L3891" s="129" t="s">
        <v>4894</v>
      </c>
      <c r="M3891" s="136">
        <v>45895</v>
      </c>
      <c r="N3891" s="137"/>
      <c r="O3891" s="137"/>
      <c r="P3891" s="136" t="str">
        <f ca="1">IF(Proc[[#This Row],[DaysAgeing]]&gt;5,"yep","on track")</f>
        <v>yep</v>
      </c>
      <c r="Q3891" s="3">
        <f ca="1">IF(Proc[[#This Row],[DateClosed]]="",ABS(NETWORKDAYS(Proc[[#This Row],[DateOpened]],TODAY()))-1,ABS(NETWORKDAYS(Proc[[#This Row],[DateOpened]],Proc[[#This Row],[DateClosed]]))-1)</f>
        <v>83</v>
      </c>
      <c r="R3891" s="136" t="s">
        <v>6087</v>
      </c>
      <c r="S3891" s="129"/>
    </row>
    <row r="3892" spans="1:19" hidden="1">
      <c r="A3892" s="135" t="s">
        <v>6086</v>
      </c>
      <c r="B3892" s="149" t="str">
        <f>IFERROR(VLOOKUP(Proc[[#This Row],[App]],Table2[],3,0),"open")</f>
        <v>ok</v>
      </c>
      <c r="C3892" s="138" t="s">
        <v>369</v>
      </c>
      <c r="D3892" t="s">
        <v>6019</v>
      </c>
      <c r="E3892" t="s">
        <v>6073</v>
      </c>
      <c r="F3892" s="129" t="s">
        <v>6073</v>
      </c>
      <c r="G3892" s="135" t="s">
        <v>406</v>
      </c>
      <c r="H3892" s="129" t="str">
        <f>IF(Proc[[#This Row],[type]]="LFF (MDG-F)",MID(Proc[[#This Row],[Obj]],13,10),"")</f>
        <v>JP01TAOE99</v>
      </c>
      <c r="J3892" s="129" t="b">
        <f>Proc[[#This Row],[Requested]]=Proc[[#This Row],[CurrentParent]]</f>
        <v>1</v>
      </c>
      <c r="K3892" s="144" t="str">
        <f>IF(Proc[[#This Row],[Author]]="Marcela Urrego",VLOOKUP(LEFT(Proc[[#This Row],[Requested]],1),Table3[#All],2,0),VLOOKUP(Proc[[#This Row],[Author]],Table4[],2,0))</f>
        <v>EL</v>
      </c>
      <c r="L3892" s="129" t="s">
        <v>4894</v>
      </c>
      <c r="M3892" s="136">
        <v>45895</v>
      </c>
      <c r="N3892" s="137"/>
      <c r="O3892" s="137"/>
      <c r="P3892" s="136" t="str">
        <f ca="1">IF(Proc[[#This Row],[DaysAgeing]]&gt;5,"yep","on track")</f>
        <v>yep</v>
      </c>
      <c r="Q3892" s="3">
        <f ca="1">IF(Proc[[#This Row],[DateClosed]]="",ABS(NETWORKDAYS(Proc[[#This Row],[DateOpened]],TODAY()))-1,ABS(NETWORKDAYS(Proc[[#This Row],[DateOpened]],Proc[[#This Row],[DateClosed]]))-1)</f>
        <v>83</v>
      </c>
      <c r="R3892" s="136" t="s">
        <v>6087</v>
      </c>
      <c r="S3892" s="129"/>
    </row>
    <row r="3893" spans="1:19" hidden="1">
      <c r="A3893" s="135" t="s">
        <v>6086</v>
      </c>
      <c r="B3893" s="149" t="str">
        <f>IFERROR(VLOOKUP(Proc[[#This Row],[App]],Table2[],3,0),"open")</f>
        <v>ok</v>
      </c>
      <c r="C3893" s="138" t="s">
        <v>369</v>
      </c>
      <c r="D3893" t="s">
        <v>6020</v>
      </c>
      <c r="E3893" t="s">
        <v>6073</v>
      </c>
      <c r="F3893" s="129" t="s">
        <v>6073</v>
      </c>
      <c r="G3893" s="135" t="s">
        <v>406</v>
      </c>
      <c r="H3893" s="129" t="str">
        <f>IF(Proc[[#This Row],[type]]="LFF (MDG-F)",MID(Proc[[#This Row],[Obj]],13,10),"")</f>
        <v>JP01TAOZ01</v>
      </c>
      <c r="J3893" s="129" t="b">
        <f>Proc[[#This Row],[Requested]]=Proc[[#This Row],[CurrentParent]]</f>
        <v>1</v>
      </c>
      <c r="K3893" s="144" t="str">
        <f>IF(Proc[[#This Row],[Author]]="Marcela Urrego",VLOOKUP(LEFT(Proc[[#This Row],[Requested]],1),Table3[#All],2,0),VLOOKUP(Proc[[#This Row],[Author]],Table4[],2,0))</f>
        <v>EL</v>
      </c>
      <c r="L3893" s="129" t="s">
        <v>4894</v>
      </c>
      <c r="M3893" s="136">
        <v>45895</v>
      </c>
      <c r="N3893" s="137"/>
      <c r="O3893" s="137"/>
      <c r="P3893" s="136" t="str">
        <f ca="1">IF(Proc[[#This Row],[DaysAgeing]]&gt;5,"yep","on track")</f>
        <v>yep</v>
      </c>
      <c r="Q3893" s="3">
        <f ca="1">IF(Proc[[#This Row],[DateClosed]]="",ABS(NETWORKDAYS(Proc[[#This Row],[DateOpened]],TODAY()))-1,ABS(NETWORKDAYS(Proc[[#This Row],[DateOpened]],Proc[[#This Row],[DateClosed]]))-1)</f>
        <v>83</v>
      </c>
      <c r="R3893" s="136" t="s">
        <v>6087</v>
      </c>
      <c r="S3893" s="129"/>
    </row>
    <row r="3894" spans="1:19" hidden="1">
      <c r="A3894" s="135" t="s">
        <v>6086</v>
      </c>
      <c r="B3894" s="149" t="str">
        <f>IFERROR(VLOOKUP(Proc[[#This Row],[App]],Table2[],3,0),"open")</f>
        <v>ok</v>
      </c>
      <c r="C3894" s="138" t="s">
        <v>369</v>
      </c>
      <c r="D3894" t="s">
        <v>6021</v>
      </c>
      <c r="E3894" t="s">
        <v>6073</v>
      </c>
      <c r="F3894" s="129" t="s">
        <v>6073</v>
      </c>
      <c r="G3894" s="135" t="s">
        <v>406</v>
      </c>
      <c r="H3894" s="129" t="str">
        <f>IF(Proc[[#This Row],[type]]="LFF (MDG-F)",MID(Proc[[#This Row],[Obj]],13,10),"")</f>
        <v>JP01TAOZ02</v>
      </c>
      <c r="J3894" s="129" t="b">
        <f>Proc[[#This Row],[Requested]]=Proc[[#This Row],[CurrentParent]]</f>
        <v>1</v>
      </c>
      <c r="K3894" s="144" t="str">
        <f>IF(Proc[[#This Row],[Author]]="Marcela Urrego",VLOOKUP(LEFT(Proc[[#This Row],[Requested]],1),Table3[#All],2,0),VLOOKUP(Proc[[#This Row],[Author]],Table4[],2,0))</f>
        <v>EL</v>
      </c>
      <c r="L3894" s="129" t="s">
        <v>4894</v>
      </c>
      <c r="M3894" s="136">
        <v>45895</v>
      </c>
      <c r="N3894" s="137"/>
      <c r="O3894" s="137"/>
      <c r="P3894" s="136" t="str">
        <f ca="1">IF(Proc[[#This Row],[DaysAgeing]]&gt;5,"yep","on track")</f>
        <v>yep</v>
      </c>
      <c r="Q3894" s="3">
        <f ca="1">IF(Proc[[#This Row],[DateClosed]]="",ABS(NETWORKDAYS(Proc[[#This Row],[DateOpened]],TODAY()))-1,ABS(NETWORKDAYS(Proc[[#This Row],[DateOpened]],Proc[[#This Row],[DateClosed]]))-1)</f>
        <v>83</v>
      </c>
      <c r="R3894" s="136" t="s">
        <v>6087</v>
      </c>
      <c r="S3894" s="129"/>
    </row>
    <row r="3895" spans="1:19" hidden="1">
      <c r="A3895" s="135" t="s">
        <v>6086</v>
      </c>
      <c r="B3895" s="149" t="str">
        <f>IFERROR(VLOOKUP(Proc[[#This Row],[App]],Table2[],3,0),"open")</f>
        <v>ok</v>
      </c>
      <c r="C3895" s="138" t="s">
        <v>369</v>
      </c>
      <c r="D3895" t="s">
        <v>6022</v>
      </c>
      <c r="E3895" t="s">
        <v>6073</v>
      </c>
      <c r="F3895" s="129" t="s">
        <v>6073</v>
      </c>
      <c r="G3895" s="135" t="s">
        <v>406</v>
      </c>
      <c r="H3895" s="129" t="str">
        <f>IF(Proc[[#This Row],[type]]="LFF (MDG-F)",MID(Proc[[#This Row],[Obj]],13,10),"")</f>
        <v>JP01TAOZ03</v>
      </c>
      <c r="J3895" s="129" t="b">
        <f>Proc[[#This Row],[Requested]]=Proc[[#This Row],[CurrentParent]]</f>
        <v>1</v>
      </c>
      <c r="K3895" s="144" t="str">
        <f>IF(Proc[[#This Row],[Author]]="Marcela Urrego",VLOOKUP(LEFT(Proc[[#This Row],[Requested]],1),Table3[#All],2,0),VLOOKUP(Proc[[#This Row],[Author]],Table4[],2,0))</f>
        <v>EL</v>
      </c>
      <c r="L3895" s="129" t="s">
        <v>4894</v>
      </c>
      <c r="M3895" s="136">
        <v>45895</v>
      </c>
      <c r="N3895" s="137"/>
      <c r="O3895" s="137"/>
      <c r="P3895" s="136" t="str">
        <f ca="1">IF(Proc[[#This Row],[DaysAgeing]]&gt;5,"yep","on track")</f>
        <v>yep</v>
      </c>
      <c r="Q3895" s="3">
        <f ca="1">IF(Proc[[#This Row],[DateClosed]]="",ABS(NETWORKDAYS(Proc[[#This Row],[DateOpened]],TODAY()))-1,ABS(NETWORKDAYS(Proc[[#This Row],[DateOpened]],Proc[[#This Row],[DateClosed]]))-1)</f>
        <v>83</v>
      </c>
      <c r="R3895" s="136" t="s">
        <v>6087</v>
      </c>
      <c r="S3895" s="129"/>
    </row>
    <row r="3896" spans="1:19" hidden="1">
      <c r="A3896" s="135" t="s">
        <v>6086</v>
      </c>
      <c r="B3896" s="149" t="str">
        <f>IFERROR(VLOOKUP(Proc[[#This Row],[App]],Table2[],3,0),"open")</f>
        <v>ok</v>
      </c>
      <c r="C3896" s="138" t="s">
        <v>369</v>
      </c>
      <c r="D3896" t="s">
        <v>6023</v>
      </c>
      <c r="E3896" t="s">
        <v>6073</v>
      </c>
      <c r="F3896" s="129" t="s">
        <v>6073</v>
      </c>
      <c r="G3896" s="135" t="s">
        <v>406</v>
      </c>
      <c r="H3896" s="129" t="str">
        <f>IF(Proc[[#This Row],[type]]="LFF (MDG-F)",MID(Proc[[#This Row],[Obj]],13,10),"")</f>
        <v>JP01TAOZ04</v>
      </c>
      <c r="J3896" s="129" t="b">
        <f>Proc[[#This Row],[Requested]]=Proc[[#This Row],[CurrentParent]]</f>
        <v>1</v>
      </c>
      <c r="K3896" s="144" t="str">
        <f>IF(Proc[[#This Row],[Author]]="Marcela Urrego",VLOOKUP(LEFT(Proc[[#This Row],[Requested]],1),Table3[#All],2,0),VLOOKUP(Proc[[#This Row],[Author]],Table4[],2,0))</f>
        <v>EL</v>
      </c>
      <c r="L3896" s="129" t="s">
        <v>4894</v>
      </c>
      <c r="M3896" s="136">
        <v>45895</v>
      </c>
      <c r="N3896" s="137"/>
      <c r="O3896" s="137"/>
      <c r="P3896" s="136" t="str">
        <f ca="1">IF(Proc[[#This Row],[DaysAgeing]]&gt;5,"yep","on track")</f>
        <v>yep</v>
      </c>
      <c r="Q3896" s="3">
        <f ca="1">IF(Proc[[#This Row],[DateClosed]]="",ABS(NETWORKDAYS(Proc[[#This Row],[DateOpened]],TODAY()))-1,ABS(NETWORKDAYS(Proc[[#This Row],[DateOpened]],Proc[[#This Row],[DateClosed]]))-1)</f>
        <v>83</v>
      </c>
      <c r="R3896" s="136" t="s">
        <v>6087</v>
      </c>
      <c r="S3896" s="129"/>
    </row>
    <row r="3897" spans="1:19" hidden="1">
      <c r="A3897" s="135" t="s">
        <v>6086</v>
      </c>
      <c r="B3897" s="149" t="str">
        <f>IFERROR(VLOOKUP(Proc[[#This Row],[App]],Table2[],3,0),"open")</f>
        <v>ok</v>
      </c>
      <c r="C3897" s="138" t="s">
        <v>369</v>
      </c>
      <c r="D3897" t="s">
        <v>6024</v>
      </c>
      <c r="E3897" t="s">
        <v>6074</v>
      </c>
      <c r="F3897" s="129" t="s">
        <v>6074</v>
      </c>
      <c r="G3897" s="135" t="s">
        <v>406</v>
      </c>
      <c r="H3897" s="129" t="str">
        <f>IF(Proc[[#This Row],[type]]="LFF (MDG-F)",MID(Proc[[#This Row],[Obj]],13,10),"")</f>
        <v>JP01TAOZ05</v>
      </c>
      <c r="J3897" s="129" t="b">
        <f>Proc[[#This Row],[Requested]]=Proc[[#This Row],[CurrentParent]]</f>
        <v>1</v>
      </c>
      <c r="K3897" s="144" t="str">
        <f>IF(Proc[[#This Row],[Author]]="Marcela Urrego",VLOOKUP(LEFT(Proc[[#This Row],[Requested]],1),Table3[#All],2,0),VLOOKUP(Proc[[#This Row],[Author]],Table4[],2,0))</f>
        <v>EL</v>
      </c>
      <c r="L3897" s="129" t="s">
        <v>4894</v>
      </c>
      <c r="M3897" s="136">
        <v>45895</v>
      </c>
      <c r="N3897" s="137"/>
      <c r="O3897" s="137"/>
      <c r="P3897" s="136" t="str">
        <f ca="1">IF(Proc[[#This Row],[DaysAgeing]]&gt;5,"yep","on track")</f>
        <v>yep</v>
      </c>
      <c r="Q3897" s="3">
        <f ca="1">IF(Proc[[#This Row],[DateClosed]]="",ABS(NETWORKDAYS(Proc[[#This Row],[DateOpened]],TODAY()))-1,ABS(NETWORKDAYS(Proc[[#This Row],[DateOpened]],Proc[[#This Row],[DateClosed]]))-1)</f>
        <v>83</v>
      </c>
      <c r="R3897" s="136" t="s">
        <v>6087</v>
      </c>
      <c r="S3897" s="129"/>
    </row>
    <row r="3898" spans="1:19" hidden="1">
      <c r="A3898" s="135" t="s">
        <v>6086</v>
      </c>
      <c r="B3898" s="149" t="str">
        <f>IFERROR(VLOOKUP(Proc[[#This Row],[App]],Table2[],3,0),"open")</f>
        <v>ok</v>
      </c>
      <c r="C3898" s="138" t="s">
        <v>369</v>
      </c>
      <c r="D3898" t="s">
        <v>6025</v>
      </c>
      <c r="E3898" t="s">
        <v>6073</v>
      </c>
      <c r="F3898" s="129" t="s">
        <v>6073</v>
      </c>
      <c r="G3898" s="135" t="s">
        <v>406</v>
      </c>
      <c r="H3898" s="129" t="str">
        <f>IF(Proc[[#This Row],[type]]="LFF (MDG-F)",MID(Proc[[#This Row],[Obj]],13,10),"")</f>
        <v>JP01TAOZ06</v>
      </c>
      <c r="J3898" s="129" t="b">
        <f>Proc[[#This Row],[Requested]]=Proc[[#This Row],[CurrentParent]]</f>
        <v>1</v>
      </c>
      <c r="K3898" s="144" t="str">
        <f>IF(Proc[[#This Row],[Author]]="Marcela Urrego",VLOOKUP(LEFT(Proc[[#This Row],[Requested]],1),Table3[#All],2,0),VLOOKUP(Proc[[#This Row],[Author]],Table4[],2,0))</f>
        <v>EL</v>
      </c>
      <c r="L3898" s="129" t="s">
        <v>4894</v>
      </c>
      <c r="M3898" s="136">
        <v>45895</v>
      </c>
      <c r="N3898" s="137"/>
      <c r="O3898" s="137"/>
      <c r="P3898" s="136" t="str">
        <f ca="1">IF(Proc[[#This Row],[DaysAgeing]]&gt;5,"yep","on track")</f>
        <v>yep</v>
      </c>
      <c r="Q3898" s="3">
        <f ca="1">IF(Proc[[#This Row],[DateClosed]]="",ABS(NETWORKDAYS(Proc[[#This Row],[DateOpened]],TODAY()))-1,ABS(NETWORKDAYS(Proc[[#This Row],[DateOpened]],Proc[[#This Row],[DateClosed]]))-1)</f>
        <v>83</v>
      </c>
      <c r="R3898" s="136" t="s">
        <v>6087</v>
      </c>
      <c r="S3898" s="129"/>
    </row>
    <row r="3899" spans="1:19" hidden="1">
      <c r="A3899" s="135" t="s">
        <v>6086</v>
      </c>
      <c r="B3899" s="149" t="str">
        <f>IFERROR(VLOOKUP(Proc[[#This Row],[App]],Table2[],3,0),"open")</f>
        <v>ok</v>
      </c>
      <c r="C3899" s="138" t="s">
        <v>369</v>
      </c>
      <c r="D3899" t="s">
        <v>6026</v>
      </c>
      <c r="E3899" t="s">
        <v>6075</v>
      </c>
      <c r="F3899" s="129" t="s">
        <v>6075</v>
      </c>
      <c r="G3899" s="135" t="s">
        <v>406</v>
      </c>
      <c r="H3899" s="129" t="str">
        <f>IF(Proc[[#This Row],[type]]="LFF (MDG-F)",MID(Proc[[#This Row],[Obj]],13,10),"")</f>
        <v>JP01TBOZ01</v>
      </c>
      <c r="J3899" s="129" t="b">
        <f>Proc[[#This Row],[Requested]]=Proc[[#This Row],[CurrentParent]]</f>
        <v>1</v>
      </c>
      <c r="K3899" s="144" t="str">
        <f>IF(Proc[[#This Row],[Author]]="Marcela Urrego",VLOOKUP(LEFT(Proc[[#This Row],[Requested]],1),Table3[#All],2,0),VLOOKUP(Proc[[#This Row],[Author]],Table4[],2,0))</f>
        <v>EL</v>
      </c>
      <c r="L3899" s="129" t="s">
        <v>4894</v>
      </c>
      <c r="M3899" s="136">
        <v>45895</v>
      </c>
      <c r="N3899" s="137"/>
      <c r="O3899" s="137"/>
      <c r="P3899" s="136" t="str">
        <f ca="1">IF(Proc[[#This Row],[DaysAgeing]]&gt;5,"yep","on track")</f>
        <v>yep</v>
      </c>
      <c r="Q3899" s="3">
        <f ca="1">IF(Proc[[#This Row],[DateClosed]]="",ABS(NETWORKDAYS(Proc[[#This Row],[DateOpened]],TODAY()))-1,ABS(NETWORKDAYS(Proc[[#This Row],[DateOpened]],Proc[[#This Row],[DateClosed]]))-1)</f>
        <v>83</v>
      </c>
      <c r="R3899" s="136" t="s">
        <v>6087</v>
      </c>
      <c r="S3899" s="129"/>
    </row>
    <row r="3900" spans="1:19" hidden="1">
      <c r="A3900" s="135" t="s">
        <v>6086</v>
      </c>
      <c r="B3900" s="149" t="str">
        <f>IFERROR(VLOOKUP(Proc[[#This Row],[App]],Table2[],3,0),"open")</f>
        <v>ok</v>
      </c>
      <c r="C3900" s="138" t="s">
        <v>369</v>
      </c>
      <c r="D3900" t="s">
        <v>6027</v>
      </c>
      <c r="E3900" t="s">
        <v>6076</v>
      </c>
      <c r="F3900" s="129" t="s">
        <v>6076</v>
      </c>
      <c r="G3900" s="135" t="s">
        <v>406</v>
      </c>
      <c r="H3900" s="129" t="str">
        <f>IF(Proc[[#This Row],[type]]="LFF (MDG-F)",MID(Proc[[#This Row],[Obj]],13,10),"")</f>
        <v>JP01TBOZ05</v>
      </c>
      <c r="J3900" s="129" t="b">
        <f>Proc[[#This Row],[Requested]]=Proc[[#This Row],[CurrentParent]]</f>
        <v>1</v>
      </c>
      <c r="K3900" s="144" t="str">
        <f>IF(Proc[[#This Row],[Author]]="Marcela Urrego",VLOOKUP(LEFT(Proc[[#This Row],[Requested]],1),Table3[#All],2,0),VLOOKUP(Proc[[#This Row],[Author]],Table4[],2,0))</f>
        <v>EL</v>
      </c>
      <c r="L3900" s="129" t="s">
        <v>4894</v>
      </c>
      <c r="M3900" s="136">
        <v>45895</v>
      </c>
      <c r="N3900" s="137"/>
      <c r="O3900" s="137"/>
      <c r="P3900" s="136" t="str">
        <f ca="1">IF(Proc[[#This Row],[DaysAgeing]]&gt;5,"yep","on track")</f>
        <v>yep</v>
      </c>
      <c r="Q3900" s="3">
        <f ca="1">IF(Proc[[#This Row],[DateClosed]]="",ABS(NETWORKDAYS(Proc[[#This Row],[DateOpened]],TODAY()))-1,ABS(NETWORKDAYS(Proc[[#This Row],[DateOpened]],Proc[[#This Row],[DateClosed]]))-1)</f>
        <v>83</v>
      </c>
      <c r="R3900" s="136" t="s">
        <v>6087</v>
      </c>
      <c r="S3900" s="129"/>
    </row>
    <row r="3901" spans="1:19" hidden="1">
      <c r="A3901" s="135" t="s">
        <v>6086</v>
      </c>
      <c r="B3901" s="149" t="str">
        <f>IFERROR(VLOOKUP(Proc[[#This Row],[App]],Table2[],3,0),"open")</f>
        <v>ok</v>
      </c>
      <c r="C3901" s="138" t="s">
        <v>369</v>
      </c>
      <c r="D3901" t="s">
        <v>6028</v>
      </c>
      <c r="E3901" t="s">
        <v>6077</v>
      </c>
      <c r="F3901" s="129" t="s">
        <v>6077</v>
      </c>
      <c r="G3901" s="135" t="s">
        <v>406</v>
      </c>
      <c r="H3901" s="129" t="str">
        <f>IF(Proc[[#This Row],[type]]="LFF (MDG-F)",MID(Proc[[#This Row],[Obj]],13,10),"")</f>
        <v>JP01TCOZ01</v>
      </c>
      <c r="J3901" s="129" t="b">
        <f>Proc[[#This Row],[Requested]]=Proc[[#This Row],[CurrentParent]]</f>
        <v>1</v>
      </c>
      <c r="K3901" s="144" t="str">
        <f>IF(Proc[[#This Row],[Author]]="Marcela Urrego",VLOOKUP(LEFT(Proc[[#This Row],[Requested]],1),Table3[#All],2,0),VLOOKUP(Proc[[#This Row],[Author]],Table4[],2,0))</f>
        <v>EL</v>
      </c>
      <c r="L3901" s="129" t="s">
        <v>4894</v>
      </c>
      <c r="M3901" s="136">
        <v>45895</v>
      </c>
      <c r="N3901" s="137"/>
      <c r="O3901" s="137"/>
      <c r="P3901" s="136" t="str">
        <f ca="1">IF(Proc[[#This Row],[DaysAgeing]]&gt;5,"yep","on track")</f>
        <v>yep</v>
      </c>
      <c r="Q3901" s="3">
        <f ca="1">IF(Proc[[#This Row],[DateClosed]]="",ABS(NETWORKDAYS(Proc[[#This Row],[DateOpened]],TODAY()))-1,ABS(NETWORKDAYS(Proc[[#This Row],[DateOpened]],Proc[[#This Row],[DateClosed]]))-1)</f>
        <v>83</v>
      </c>
      <c r="R3901" s="136" t="s">
        <v>6087</v>
      </c>
      <c r="S3901" s="129"/>
    </row>
    <row r="3902" spans="1:19" hidden="1">
      <c r="A3902" s="135" t="s">
        <v>6086</v>
      </c>
      <c r="B3902" s="149" t="str">
        <f>IFERROR(VLOOKUP(Proc[[#This Row],[App]],Table2[],3,0),"open")</f>
        <v>ok</v>
      </c>
      <c r="C3902" s="138" t="s">
        <v>369</v>
      </c>
      <c r="D3902" t="s">
        <v>6029</v>
      </c>
      <c r="E3902" t="s">
        <v>6078</v>
      </c>
      <c r="F3902" s="129" t="s">
        <v>6078</v>
      </c>
      <c r="G3902" s="135" t="s">
        <v>406</v>
      </c>
      <c r="H3902" s="129" t="str">
        <f>IF(Proc[[#This Row],[type]]="LFF (MDG-F)",MID(Proc[[#This Row],[Obj]],13,10),"")</f>
        <v>JP01TDOZ01</v>
      </c>
      <c r="J3902" s="129" t="b">
        <f>Proc[[#This Row],[Requested]]=Proc[[#This Row],[CurrentParent]]</f>
        <v>1</v>
      </c>
      <c r="K3902" s="144" t="str">
        <f>IF(Proc[[#This Row],[Author]]="Marcela Urrego",VLOOKUP(LEFT(Proc[[#This Row],[Requested]],1),Table3[#All],2,0),VLOOKUP(Proc[[#This Row],[Author]],Table4[],2,0))</f>
        <v>EL</v>
      </c>
      <c r="L3902" s="129" t="s">
        <v>4894</v>
      </c>
      <c r="M3902" s="136">
        <v>45895</v>
      </c>
      <c r="N3902" s="137"/>
      <c r="O3902" s="137"/>
      <c r="P3902" s="136" t="str">
        <f ca="1">IF(Proc[[#This Row],[DaysAgeing]]&gt;5,"yep","on track")</f>
        <v>yep</v>
      </c>
      <c r="Q3902" s="3">
        <f ca="1">IF(Proc[[#This Row],[DateClosed]]="",ABS(NETWORKDAYS(Proc[[#This Row],[DateOpened]],TODAY()))-1,ABS(NETWORKDAYS(Proc[[#This Row],[DateOpened]],Proc[[#This Row],[DateClosed]]))-1)</f>
        <v>83</v>
      </c>
      <c r="R3902" s="136" t="s">
        <v>6087</v>
      </c>
      <c r="S3902" s="129"/>
    </row>
    <row r="3903" spans="1:19" hidden="1">
      <c r="A3903" s="135" t="s">
        <v>6086</v>
      </c>
      <c r="B3903" s="149" t="str">
        <f>IFERROR(VLOOKUP(Proc[[#This Row],[App]],Table2[],3,0),"open")</f>
        <v>ok</v>
      </c>
      <c r="C3903" s="138" t="s">
        <v>369</v>
      </c>
      <c r="D3903" t="s">
        <v>6030</v>
      </c>
      <c r="E3903" t="s">
        <v>6078</v>
      </c>
      <c r="F3903" s="129" t="s">
        <v>6078</v>
      </c>
      <c r="G3903" s="135" t="s">
        <v>406</v>
      </c>
      <c r="H3903" s="129" t="str">
        <f>IF(Proc[[#This Row],[type]]="LFF (MDG-F)",MID(Proc[[#This Row],[Obj]],13,10),"")</f>
        <v>JP01TDOZ02</v>
      </c>
      <c r="J3903" s="129" t="b">
        <f>Proc[[#This Row],[Requested]]=Proc[[#This Row],[CurrentParent]]</f>
        <v>1</v>
      </c>
      <c r="K3903" s="144" t="str">
        <f>IF(Proc[[#This Row],[Author]]="Marcela Urrego",VLOOKUP(LEFT(Proc[[#This Row],[Requested]],1),Table3[#All],2,0),VLOOKUP(Proc[[#This Row],[Author]],Table4[],2,0))</f>
        <v>EL</v>
      </c>
      <c r="L3903" s="129" t="s">
        <v>4894</v>
      </c>
      <c r="M3903" s="136">
        <v>45895</v>
      </c>
      <c r="N3903" s="137"/>
      <c r="O3903" s="137"/>
      <c r="P3903" s="136" t="str">
        <f ca="1">IF(Proc[[#This Row],[DaysAgeing]]&gt;5,"yep","on track")</f>
        <v>yep</v>
      </c>
      <c r="Q3903" s="3">
        <f ca="1">IF(Proc[[#This Row],[DateClosed]]="",ABS(NETWORKDAYS(Proc[[#This Row],[DateOpened]],TODAY()))-1,ABS(NETWORKDAYS(Proc[[#This Row],[DateOpened]],Proc[[#This Row],[DateClosed]]))-1)</f>
        <v>83</v>
      </c>
      <c r="R3903" s="136" t="s">
        <v>6087</v>
      </c>
      <c r="S3903" s="129"/>
    </row>
    <row r="3904" spans="1:19" hidden="1">
      <c r="A3904" s="135" t="s">
        <v>6086</v>
      </c>
      <c r="B3904" s="149" t="str">
        <f>IFERROR(VLOOKUP(Proc[[#This Row],[App]],Table2[],3,0),"open")</f>
        <v>ok</v>
      </c>
      <c r="C3904" s="138" t="s">
        <v>369</v>
      </c>
      <c r="D3904" t="s">
        <v>6031</v>
      </c>
      <c r="E3904" t="s">
        <v>6078</v>
      </c>
      <c r="F3904" s="129" t="s">
        <v>6078</v>
      </c>
      <c r="G3904" s="135" t="s">
        <v>406</v>
      </c>
      <c r="H3904" s="129" t="str">
        <f>IF(Proc[[#This Row],[type]]="LFF (MDG-F)",MID(Proc[[#This Row],[Obj]],13,10),"")</f>
        <v>JP01TDOZ03</v>
      </c>
      <c r="J3904" s="129" t="b">
        <f>Proc[[#This Row],[Requested]]=Proc[[#This Row],[CurrentParent]]</f>
        <v>1</v>
      </c>
      <c r="K3904" s="144" t="str">
        <f>IF(Proc[[#This Row],[Author]]="Marcela Urrego",VLOOKUP(LEFT(Proc[[#This Row],[Requested]],1),Table3[#All],2,0),VLOOKUP(Proc[[#This Row],[Author]],Table4[],2,0))</f>
        <v>EL</v>
      </c>
      <c r="L3904" s="129" t="s">
        <v>4894</v>
      </c>
      <c r="M3904" s="136">
        <v>45895</v>
      </c>
      <c r="N3904" s="137"/>
      <c r="O3904" s="137"/>
      <c r="P3904" s="136" t="str">
        <f ca="1">IF(Proc[[#This Row],[DaysAgeing]]&gt;5,"yep","on track")</f>
        <v>yep</v>
      </c>
      <c r="Q3904" s="3">
        <f ca="1">IF(Proc[[#This Row],[DateClosed]]="",ABS(NETWORKDAYS(Proc[[#This Row],[DateOpened]],TODAY()))-1,ABS(NETWORKDAYS(Proc[[#This Row],[DateOpened]],Proc[[#This Row],[DateClosed]]))-1)</f>
        <v>83</v>
      </c>
      <c r="R3904" s="136" t="s">
        <v>6087</v>
      </c>
      <c r="S3904" s="129"/>
    </row>
    <row r="3905" spans="1:19" hidden="1">
      <c r="A3905" s="135" t="s">
        <v>6086</v>
      </c>
      <c r="B3905" s="149" t="str">
        <f>IFERROR(VLOOKUP(Proc[[#This Row],[App]],Table2[],3,0),"open")</f>
        <v>ok</v>
      </c>
      <c r="C3905" s="138" t="s">
        <v>369</v>
      </c>
      <c r="D3905" t="s">
        <v>6032</v>
      </c>
      <c r="E3905" t="s">
        <v>6078</v>
      </c>
      <c r="F3905" s="129" t="s">
        <v>6078</v>
      </c>
      <c r="G3905" s="135" t="s">
        <v>406</v>
      </c>
      <c r="H3905" s="129" t="str">
        <f>IF(Proc[[#This Row],[type]]="LFF (MDG-F)",MID(Proc[[#This Row],[Obj]],13,10),"")</f>
        <v>JP01TDOZ04</v>
      </c>
      <c r="J3905" s="129" t="b">
        <f>Proc[[#This Row],[Requested]]=Proc[[#This Row],[CurrentParent]]</f>
        <v>1</v>
      </c>
      <c r="K3905" s="144" t="str">
        <f>IF(Proc[[#This Row],[Author]]="Marcela Urrego",VLOOKUP(LEFT(Proc[[#This Row],[Requested]],1),Table3[#All],2,0),VLOOKUP(Proc[[#This Row],[Author]],Table4[],2,0))</f>
        <v>EL</v>
      </c>
      <c r="L3905" s="129" t="s">
        <v>4894</v>
      </c>
      <c r="M3905" s="136">
        <v>45895</v>
      </c>
      <c r="N3905" s="137"/>
      <c r="O3905" s="137"/>
      <c r="P3905" s="136" t="str">
        <f ca="1">IF(Proc[[#This Row],[DaysAgeing]]&gt;5,"yep","on track")</f>
        <v>yep</v>
      </c>
      <c r="Q3905" s="3">
        <f ca="1">IF(Proc[[#This Row],[DateClosed]]="",ABS(NETWORKDAYS(Proc[[#This Row],[DateOpened]],TODAY()))-1,ABS(NETWORKDAYS(Proc[[#This Row],[DateOpened]],Proc[[#This Row],[DateClosed]]))-1)</f>
        <v>83</v>
      </c>
      <c r="R3905" s="136" t="s">
        <v>6087</v>
      </c>
      <c r="S3905" s="129"/>
    </row>
    <row r="3906" spans="1:19" hidden="1">
      <c r="A3906" s="135" t="s">
        <v>6086</v>
      </c>
      <c r="B3906" s="149" t="str">
        <f>IFERROR(VLOOKUP(Proc[[#This Row],[App]],Table2[],3,0),"open")</f>
        <v>ok</v>
      </c>
      <c r="C3906" s="138" t="s">
        <v>369</v>
      </c>
      <c r="D3906" t="s">
        <v>6033</v>
      </c>
      <c r="E3906" t="s">
        <v>6078</v>
      </c>
      <c r="F3906" s="129" t="s">
        <v>6078</v>
      </c>
      <c r="G3906" s="135" t="s">
        <v>406</v>
      </c>
      <c r="H3906" s="129" t="str">
        <f>IF(Proc[[#This Row],[type]]="LFF (MDG-F)",MID(Proc[[#This Row],[Obj]],13,10),"")</f>
        <v>JP01TDOZ05</v>
      </c>
      <c r="J3906" s="129" t="b">
        <f>Proc[[#This Row],[Requested]]=Proc[[#This Row],[CurrentParent]]</f>
        <v>1</v>
      </c>
      <c r="K3906" s="144" t="str">
        <f>IF(Proc[[#This Row],[Author]]="Marcela Urrego",VLOOKUP(LEFT(Proc[[#This Row],[Requested]],1),Table3[#All],2,0),VLOOKUP(Proc[[#This Row],[Author]],Table4[],2,0))</f>
        <v>EL</v>
      </c>
      <c r="L3906" s="129" t="s">
        <v>4894</v>
      </c>
      <c r="M3906" s="136">
        <v>45895</v>
      </c>
      <c r="N3906" s="137"/>
      <c r="O3906" s="137"/>
      <c r="P3906" s="136" t="str">
        <f ca="1">IF(Proc[[#This Row],[DaysAgeing]]&gt;5,"yep","on track")</f>
        <v>yep</v>
      </c>
      <c r="Q3906" s="3">
        <f ca="1">IF(Proc[[#This Row],[DateClosed]]="",ABS(NETWORKDAYS(Proc[[#This Row],[DateOpened]],TODAY()))-1,ABS(NETWORKDAYS(Proc[[#This Row],[DateOpened]],Proc[[#This Row],[DateClosed]]))-1)</f>
        <v>83</v>
      </c>
      <c r="R3906" s="136" t="s">
        <v>6087</v>
      </c>
      <c r="S3906" s="129"/>
    </row>
    <row r="3907" spans="1:19" hidden="1">
      <c r="A3907" s="135" t="s">
        <v>6086</v>
      </c>
      <c r="B3907" s="149" t="str">
        <f>IFERROR(VLOOKUP(Proc[[#This Row],[App]],Table2[],3,0),"open")</f>
        <v>ok</v>
      </c>
      <c r="C3907" s="138" t="s">
        <v>369</v>
      </c>
      <c r="D3907" t="s">
        <v>6034</v>
      </c>
      <c r="E3907" t="s">
        <v>6078</v>
      </c>
      <c r="F3907" s="129" t="s">
        <v>6078</v>
      </c>
      <c r="G3907" s="135" t="s">
        <v>406</v>
      </c>
      <c r="H3907" s="129" t="str">
        <f>IF(Proc[[#This Row],[type]]="LFF (MDG-F)",MID(Proc[[#This Row],[Obj]],13,10),"")</f>
        <v>JP01TDOZ06</v>
      </c>
      <c r="J3907" s="129" t="b">
        <f>Proc[[#This Row],[Requested]]=Proc[[#This Row],[CurrentParent]]</f>
        <v>1</v>
      </c>
      <c r="K3907" s="144" t="str">
        <f>IF(Proc[[#This Row],[Author]]="Marcela Urrego",VLOOKUP(LEFT(Proc[[#This Row],[Requested]],1),Table3[#All],2,0),VLOOKUP(Proc[[#This Row],[Author]],Table4[],2,0))</f>
        <v>EL</v>
      </c>
      <c r="L3907" s="129" t="s">
        <v>4894</v>
      </c>
      <c r="M3907" s="136">
        <v>45895</v>
      </c>
      <c r="N3907" s="137"/>
      <c r="O3907" s="137"/>
      <c r="P3907" s="136" t="str">
        <f ca="1">IF(Proc[[#This Row],[DaysAgeing]]&gt;5,"yep","on track")</f>
        <v>yep</v>
      </c>
      <c r="Q3907" s="3">
        <f ca="1">IF(Proc[[#This Row],[DateClosed]]="",ABS(NETWORKDAYS(Proc[[#This Row],[DateOpened]],TODAY()))-1,ABS(NETWORKDAYS(Proc[[#This Row],[DateOpened]],Proc[[#This Row],[DateClosed]]))-1)</f>
        <v>83</v>
      </c>
      <c r="R3907" s="136" t="s">
        <v>6087</v>
      </c>
      <c r="S3907" s="129"/>
    </row>
    <row r="3908" spans="1:19" hidden="1">
      <c r="A3908" s="135" t="s">
        <v>6086</v>
      </c>
      <c r="B3908" s="149" t="str">
        <f>IFERROR(VLOOKUP(Proc[[#This Row],[App]],Table2[],3,0),"open")</f>
        <v>ok</v>
      </c>
      <c r="C3908" s="138" t="s">
        <v>369</v>
      </c>
      <c r="D3908" t="s">
        <v>6035</v>
      </c>
      <c r="E3908" t="s">
        <v>6079</v>
      </c>
      <c r="F3908" s="129" t="s">
        <v>6079</v>
      </c>
      <c r="G3908" s="135" t="s">
        <v>406</v>
      </c>
      <c r="H3908" s="129" t="str">
        <f>IF(Proc[[#This Row],[type]]="LFF (MDG-F)",MID(Proc[[#This Row],[Obj]],13,10),"")</f>
        <v>JP01TEOZ01</v>
      </c>
      <c r="J3908" s="129" t="b">
        <f>Proc[[#This Row],[Requested]]=Proc[[#This Row],[CurrentParent]]</f>
        <v>1</v>
      </c>
      <c r="K3908" s="144" t="str">
        <f>IF(Proc[[#This Row],[Author]]="Marcela Urrego",VLOOKUP(LEFT(Proc[[#This Row],[Requested]],1),Table3[#All],2,0),VLOOKUP(Proc[[#This Row],[Author]],Table4[],2,0))</f>
        <v>EL</v>
      </c>
      <c r="L3908" s="129" t="s">
        <v>4894</v>
      </c>
      <c r="M3908" s="136">
        <v>45895</v>
      </c>
      <c r="N3908" s="137"/>
      <c r="O3908" s="137"/>
      <c r="P3908" s="136" t="str">
        <f ca="1">IF(Proc[[#This Row],[DaysAgeing]]&gt;5,"yep","on track")</f>
        <v>yep</v>
      </c>
      <c r="Q3908" s="3">
        <f ca="1">IF(Proc[[#This Row],[DateClosed]]="",ABS(NETWORKDAYS(Proc[[#This Row],[DateOpened]],TODAY()))-1,ABS(NETWORKDAYS(Proc[[#This Row],[DateOpened]],Proc[[#This Row],[DateClosed]]))-1)</f>
        <v>83</v>
      </c>
      <c r="R3908" s="136" t="s">
        <v>6087</v>
      </c>
      <c r="S3908" s="129"/>
    </row>
    <row r="3909" spans="1:19" hidden="1">
      <c r="A3909" s="135" t="s">
        <v>6086</v>
      </c>
      <c r="B3909" s="149" t="str">
        <f>IFERROR(VLOOKUP(Proc[[#This Row],[App]],Table2[],3,0),"open")</f>
        <v>ok</v>
      </c>
      <c r="C3909" s="138" t="s">
        <v>369</v>
      </c>
      <c r="D3909" t="s">
        <v>6036</v>
      </c>
      <c r="E3909" t="s">
        <v>6074</v>
      </c>
      <c r="F3909" s="129" t="s">
        <v>6074</v>
      </c>
      <c r="G3909" s="135" t="s">
        <v>406</v>
      </c>
      <c r="H3909" s="129" t="str">
        <f>IF(Proc[[#This Row],[type]]="LFF (MDG-F)",MID(Proc[[#This Row],[Obj]],13,10),"")</f>
        <v>JP01TFOZ01</v>
      </c>
      <c r="J3909" s="129" t="b">
        <f>Proc[[#This Row],[Requested]]=Proc[[#This Row],[CurrentParent]]</f>
        <v>1</v>
      </c>
      <c r="K3909" s="144" t="str">
        <f>IF(Proc[[#This Row],[Author]]="Marcela Urrego",VLOOKUP(LEFT(Proc[[#This Row],[Requested]],1),Table3[#All],2,0),VLOOKUP(Proc[[#This Row],[Author]],Table4[],2,0))</f>
        <v>EL</v>
      </c>
      <c r="L3909" s="129" t="s">
        <v>4894</v>
      </c>
      <c r="M3909" s="136">
        <v>45895</v>
      </c>
      <c r="N3909" s="137"/>
      <c r="O3909" s="137"/>
      <c r="P3909" s="136" t="str">
        <f ca="1">IF(Proc[[#This Row],[DaysAgeing]]&gt;5,"yep","on track")</f>
        <v>yep</v>
      </c>
      <c r="Q3909" s="3">
        <f ca="1">IF(Proc[[#This Row],[DateClosed]]="",ABS(NETWORKDAYS(Proc[[#This Row],[DateOpened]],TODAY()))-1,ABS(NETWORKDAYS(Proc[[#This Row],[DateOpened]],Proc[[#This Row],[DateClosed]]))-1)</f>
        <v>83</v>
      </c>
      <c r="R3909" s="136" t="s">
        <v>6087</v>
      </c>
      <c r="S3909" s="129"/>
    </row>
    <row r="3910" spans="1:19" hidden="1">
      <c r="A3910" s="135" t="s">
        <v>6086</v>
      </c>
      <c r="B3910" s="149" t="str">
        <f>IFERROR(VLOOKUP(Proc[[#This Row],[App]],Table2[],3,0),"open")</f>
        <v>ok</v>
      </c>
      <c r="C3910" s="138" t="s">
        <v>369</v>
      </c>
      <c r="D3910" t="s">
        <v>6037</v>
      </c>
      <c r="E3910" t="s">
        <v>6074</v>
      </c>
      <c r="F3910" s="129" t="s">
        <v>6074</v>
      </c>
      <c r="G3910" s="135" t="s">
        <v>406</v>
      </c>
      <c r="H3910" s="129" t="str">
        <f>IF(Proc[[#This Row],[type]]="LFF (MDG-F)",MID(Proc[[#This Row],[Obj]],13,10),"")</f>
        <v>JP01TFOZ02</v>
      </c>
      <c r="J3910" s="129" t="b">
        <f>Proc[[#This Row],[Requested]]=Proc[[#This Row],[CurrentParent]]</f>
        <v>1</v>
      </c>
      <c r="K3910" s="144" t="str">
        <f>IF(Proc[[#This Row],[Author]]="Marcela Urrego",VLOOKUP(LEFT(Proc[[#This Row],[Requested]],1),Table3[#All],2,0),VLOOKUP(Proc[[#This Row],[Author]],Table4[],2,0))</f>
        <v>EL</v>
      </c>
      <c r="L3910" s="129" t="s">
        <v>4894</v>
      </c>
      <c r="M3910" s="136">
        <v>45895</v>
      </c>
      <c r="N3910" s="137"/>
      <c r="O3910" s="137"/>
      <c r="P3910" s="136" t="str">
        <f ca="1">IF(Proc[[#This Row],[DaysAgeing]]&gt;5,"yep","on track")</f>
        <v>yep</v>
      </c>
      <c r="Q3910" s="3">
        <f ca="1">IF(Proc[[#This Row],[DateClosed]]="",ABS(NETWORKDAYS(Proc[[#This Row],[DateOpened]],TODAY()))-1,ABS(NETWORKDAYS(Proc[[#This Row],[DateOpened]],Proc[[#This Row],[DateClosed]]))-1)</f>
        <v>83</v>
      </c>
      <c r="R3910" s="136" t="s">
        <v>6087</v>
      </c>
      <c r="S3910" s="129"/>
    </row>
    <row r="3911" spans="1:19" hidden="1">
      <c r="A3911" s="135" t="s">
        <v>6086</v>
      </c>
      <c r="B3911" s="149" t="str">
        <f>IFERROR(VLOOKUP(Proc[[#This Row],[App]],Table2[],3,0),"open")</f>
        <v>ok</v>
      </c>
      <c r="C3911" s="138" t="s">
        <v>369</v>
      </c>
      <c r="D3911" t="s">
        <v>6038</v>
      </c>
      <c r="E3911" t="s">
        <v>6074</v>
      </c>
      <c r="F3911" s="129" t="s">
        <v>6074</v>
      </c>
      <c r="G3911" s="135" t="s">
        <v>406</v>
      </c>
      <c r="H3911" s="129" t="str">
        <f>IF(Proc[[#This Row],[type]]="LFF (MDG-F)",MID(Proc[[#This Row],[Obj]],13,10),"")</f>
        <v>JP01TFOZ03</v>
      </c>
      <c r="J3911" s="129" t="b">
        <f>Proc[[#This Row],[Requested]]=Proc[[#This Row],[CurrentParent]]</f>
        <v>1</v>
      </c>
      <c r="K3911" s="144" t="str">
        <f>IF(Proc[[#This Row],[Author]]="Marcela Urrego",VLOOKUP(LEFT(Proc[[#This Row],[Requested]],1),Table3[#All],2,0),VLOOKUP(Proc[[#This Row],[Author]],Table4[],2,0))</f>
        <v>EL</v>
      </c>
      <c r="L3911" s="129" t="s">
        <v>4894</v>
      </c>
      <c r="M3911" s="136">
        <v>45895</v>
      </c>
      <c r="N3911" s="137"/>
      <c r="O3911" s="137"/>
      <c r="P3911" s="136" t="str">
        <f ca="1">IF(Proc[[#This Row],[DaysAgeing]]&gt;5,"yep","on track")</f>
        <v>yep</v>
      </c>
      <c r="Q3911" s="3">
        <f ca="1">IF(Proc[[#This Row],[DateClosed]]="",ABS(NETWORKDAYS(Proc[[#This Row],[DateOpened]],TODAY()))-1,ABS(NETWORKDAYS(Proc[[#This Row],[DateOpened]],Proc[[#This Row],[DateClosed]]))-1)</f>
        <v>83</v>
      </c>
      <c r="R3911" s="136" t="s">
        <v>6087</v>
      </c>
      <c r="S3911" s="129"/>
    </row>
    <row r="3912" spans="1:19" hidden="1">
      <c r="A3912" s="135" t="s">
        <v>6086</v>
      </c>
      <c r="B3912" s="149" t="str">
        <f>IFERROR(VLOOKUP(Proc[[#This Row],[App]],Table2[],3,0),"open")</f>
        <v>ok</v>
      </c>
      <c r="C3912" s="138" t="s">
        <v>369</v>
      </c>
      <c r="D3912" t="s">
        <v>6039</v>
      </c>
      <c r="E3912" t="s">
        <v>6080</v>
      </c>
      <c r="F3912" s="129" t="s">
        <v>6080</v>
      </c>
      <c r="G3912" s="135" t="s">
        <v>406</v>
      </c>
      <c r="H3912" s="129" t="str">
        <f>IF(Proc[[#This Row],[type]]="LFF (MDG-F)",MID(Proc[[#This Row],[Obj]],13,10),"")</f>
        <v>JP01TKOZ00</v>
      </c>
      <c r="J3912" s="129" t="b">
        <f>Proc[[#This Row],[Requested]]=Proc[[#This Row],[CurrentParent]]</f>
        <v>1</v>
      </c>
      <c r="K3912" s="144" t="str">
        <f>IF(Proc[[#This Row],[Author]]="Marcela Urrego",VLOOKUP(LEFT(Proc[[#This Row],[Requested]],1),Table3[#All],2,0),VLOOKUP(Proc[[#This Row],[Author]],Table4[],2,0))</f>
        <v>EL</v>
      </c>
      <c r="L3912" s="129" t="s">
        <v>4894</v>
      </c>
      <c r="M3912" s="136">
        <v>45895</v>
      </c>
      <c r="N3912" s="137"/>
      <c r="O3912" s="137"/>
      <c r="P3912" s="136" t="str">
        <f ca="1">IF(Proc[[#This Row],[DaysAgeing]]&gt;5,"yep","on track")</f>
        <v>yep</v>
      </c>
      <c r="Q3912" s="3">
        <f ca="1">IF(Proc[[#This Row],[DateClosed]]="",ABS(NETWORKDAYS(Proc[[#This Row],[DateOpened]],TODAY()))-1,ABS(NETWORKDAYS(Proc[[#This Row],[DateOpened]],Proc[[#This Row],[DateClosed]]))-1)</f>
        <v>83</v>
      </c>
      <c r="R3912" s="136" t="s">
        <v>6087</v>
      </c>
      <c r="S3912" s="129"/>
    </row>
    <row r="3913" spans="1:19" hidden="1">
      <c r="A3913" s="135" t="s">
        <v>6086</v>
      </c>
      <c r="B3913" s="149" t="str">
        <f>IFERROR(VLOOKUP(Proc[[#This Row],[App]],Table2[],3,0),"open")</f>
        <v>ok</v>
      </c>
      <c r="C3913" s="138" t="s">
        <v>369</v>
      </c>
      <c r="D3913" t="s">
        <v>6040</v>
      </c>
      <c r="E3913" t="s">
        <v>6081</v>
      </c>
      <c r="F3913" s="129" t="s">
        <v>6081</v>
      </c>
      <c r="G3913" s="135" t="s">
        <v>406</v>
      </c>
      <c r="H3913" s="129" t="str">
        <f>IF(Proc[[#This Row],[type]]="LFF (MDG-F)",MID(Proc[[#This Row],[Obj]],13,10),"")</f>
        <v>JP01TLOZ01</v>
      </c>
      <c r="J3913" s="129" t="b">
        <f>Proc[[#This Row],[Requested]]=Proc[[#This Row],[CurrentParent]]</f>
        <v>1</v>
      </c>
      <c r="K3913" s="144" t="str">
        <f>IF(Proc[[#This Row],[Author]]="Marcela Urrego",VLOOKUP(LEFT(Proc[[#This Row],[Requested]],1),Table3[#All],2,0),VLOOKUP(Proc[[#This Row],[Author]],Table4[],2,0))</f>
        <v>EL</v>
      </c>
      <c r="L3913" s="129" t="s">
        <v>4894</v>
      </c>
      <c r="M3913" s="136">
        <v>45895</v>
      </c>
      <c r="N3913" s="137"/>
      <c r="O3913" s="137"/>
      <c r="P3913" s="136" t="str">
        <f ca="1">IF(Proc[[#This Row],[DaysAgeing]]&gt;5,"yep","on track")</f>
        <v>yep</v>
      </c>
      <c r="Q3913" s="3">
        <f ca="1">IF(Proc[[#This Row],[DateClosed]]="",ABS(NETWORKDAYS(Proc[[#This Row],[DateOpened]],TODAY()))-1,ABS(NETWORKDAYS(Proc[[#This Row],[DateOpened]],Proc[[#This Row],[DateClosed]]))-1)</f>
        <v>83</v>
      </c>
      <c r="R3913" s="136" t="s">
        <v>6087</v>
      </c>
      <c r="S3913" s="129"/>
    </row>
    <row r="3914" spans="1:19" hidden="1">
      <c r="A3914" s="135" t="s">
        <v>6086</v>
      </c>
      <c r="B3914" s="149" t="str">
        <f>IFERROR(VLOOKUP(Proc[[#This Row],[App]],Table2[],3,0),"open")</f>
        <v>ok</v>
      </c>
      <c r="C3914" s="138" t="s">
        <v>369</v>
      </c>
      <c r="D3914" t="s">
        <v>6041</v>
      </c>
      <c r="E3914" t="s">
        <v>6082</v>
      </c>
      <c r="F3914" s="129" t="s">
        <v>6082</v>
      </c>
      <c r="G3914" s="135" t="s">
        <v>406</v>
      </c>
      <c r="H3914" s="129" t="str">
        <f>IF(Proc[[#This Row],[type]]="LFF (MDG-F)",MID(Proc[[#This Row],[Obj]],13,10),"")</f>
        <v>JP01TNMZ04</v>
      </c>
      <c r="J3914" s="129" t="b">
        <f>Proc[[#This Row],[Requested]]=Proc[[#This Row],[CurrentParent]]</f>
        <v>1</v>
      </c>
      <c r="K3914" s="144" t="str">
        <f>IF(Proc[[#This Row],[Author]]="Marcela Urrego",VLOOKUP(LEFT(Proc[[#This Row],[Requested]],1),Table3[#All],2,0),VLOOKUP(Proc[[#This Row],[Author]],Table4[],2,0))</f>
        <v>EL</v>
      </c>
      <c r="L3914" s="129" t="s">
        <v>4894</v>
      </c>
      <c r="M3914" s="136">
        <v>45895</v>
      </c>
      <c r="N3914" s="137"/>
      <c r="O3914" s="137"/>
      <c r="P3914" s="136" t="str">
        <f ca="1">IF(Proc[[#This Row],[DaysAgeing]]&gt;5,"yep","on track")</f>
        <v>yep</v>
      </c>
      <c r="Q3914" s="3">
        <f ca="1">IF(Proc[[#This Row],[DateClosed]]="",ABS(NETWORKDAYS(Proc[[#This Row],[DateOpened]],TODAY()))-1,ABS(NETWORKDAYS(Proc[[#This Row],[DateOpened]],Proc[[#This Row],[DateClosed]]))-1)</f>
        <v>83</v>
      </c>
      <c r="R3914" s="136" t="s">
        <v>6087</v>
      </c>
      <c r="S3914" s="129"/>
    </row>
    <row r="3915" spans="1:19" hidden="1">
      <c r="A3915" s="135" t="s">
        <v>6086</v>
      </c>
      <c r="B3915" s="149" t="str">
        <f>IFERROR(VLOOKUP(Proc[[#This Row],[App]],Table2[],3,0),"open")</f>
        <v>ok</v>
      </c>
      <c r="C3915" s="138" t="s">
        <v>369</v>
      </c>
      <c r="D3915" t="s">
        <v>6042</v>
      </c>
      <c r="E3915" t="s">
        <v>6083</v>
      </c>
      <c r="F3915" s="129" t="s">
        <v>6083</v>
      </c>
      <c r="G3915" s="135" t="s">
        <v>406</v>
      </c>
      <c r="H3915" s="129" t="str">
        <f>IF(Proc[[#This Row],[type]]="LFF (MDG-F)",MID(Proc[[#This Row],[Obj]],13,10),"")</f>
        <v>JP01TPOZ01</v>
      </c>
      <c r="J3915" s="129" t="b">
        <f>Proc[[#This Row],[Requested]]=Proc[[#This Row],[CurrentParent]]</f>
        <v>1</v>
      </c>
      <c r="K3915" s="144" t="str">
        <f>IF(Proc[[#This Row],[Author]]="Marcela Urrego",VLOOKUP(LEFT(Proc[[#This Row],[Requested]],1),Table3[#All],2,0),VLOOKUP(Proc[[#This Row],[Author]],Table4[],2,0))</f>
        <v>EL</v>
      </c>
      <c r="L3915" s="129" t="s">
        <v>4894</v>
      </c>
      <c r="M3915" s="136">
        <v>45895</v>
      </c>
      <c r="N3915" s="137"/>
      <c r="O3915" s="137"/>
      <c r="P3915" s="136" t="str">
        <f ca="1">IF(Proc[[#This Row],[DaysAgeing]]&gt;5,"yep","on track")</f>
        <v>yep</v>
      </c>
      <c r="Q3915" s="3">
        <f ca="1">IF(Proc[[#This Row],[DateClosed]]="",ABS(NETWORKDAYS(Proc[[#This Row],[DateOpened]],TODAY()))-1,ABS(NETWORKDAYS(Proc[[#This Row],[DateOpened]],Proc[[#This Row],[DateClosed]]))-1)</f>
        <v>83</v>
      </c>
      <c r="R3915" s="136" t="s">
        <v>6087</v>
      </c>
      <c r="S3915" s="129"/>
    </row>
    <row r="3916" spans="1:19" hidden="1">
      <c r="A3916" s="135" t="s">
        <v>6086</v>
      </c>
      <c r="B3916" s="149" t="str">
        <f>IFERROR(VLOOKUP(Proc[[#This Row],[App]],Table2[],3,0),"open")</f>
        <v>ok</v>
      </c>
      <c r="C3916" s="138" t="s">
        <v>369</v>
      </c>
      <c r="D3916" t="s">
        <v>6043</v>
      </c>
      <c r="E3916" t="s">
        <v>6084</v>
      </c>
      <c r="F3916" s="129" t="s">
        <v>6084</v>
      </c>
      <c r="G3916" s="135" t="s">
        <v>406</v>
      </c>
      <c r="H3916" s="129" t="str">
        <f>IF(Proc[[#This Row],[type]]="LFF (MDG-F)",MID(Proc[[#This Row],[Obj]],13,10),"")</f>
        <v>JP01TQOZ01</v>
      </c>
      <c r="J3916" s="129" t="b">
        <f>Proc[[#This Row],[Requested]]=Proc[[#This Row],[CurrentParent]]</f>
        <v>1</v>
      </c>
      <c r="K3916" s="144" t="str">
        <f>IF(Proc[[#This Row],[Author]]="Marcela Urrego",VLOOKUP(LEFT(Proc[[#This Row],[Requested]],1),Table3[#All],2,0),VLOOKUP(Proc[[#This Row],[Author]],Table4[],2,0))</f>
        <v>EL</v>
      </c>
      <c r="L3916" s="129" t="s">
        <v>4894</v>
      </c>
      <c r="M3916" s="136">
        <v>45895</v>
      </c>
      <c r="N3916" s="137"/>
      <c r="O3916" s="137"/>
      <c r="P3916" s="136" t="str">
        <f ca="1">IF(Proc[[#This Row],[DaysAgeing]]&gt;5,"yep","on track")</f>
        <v>yep</v>
      </c>
      <c r="Q3916" s="3">
        <f ca="1">IF(Proc[[#This Row],[DateClosed]]="",ABS(NETWORKDAYS(Proc[[#This Row],[DateOpened]],TODAY()))-1,ABS(NETWORKDAYS(Proc[[#This Row],[DateOpened]],Proc[[#This Row],[DateClosed]]))-1)</f>
        <v>83</v>
      </c>
      <c r="R3916" s="136" t="s">
        <v>6087</v>
      </c>
      <c r="S3916" s="129"/>
    </row>
    <row r="3917" spans="1:19" hidden="1">
      <c r="A3917" s="135" t="s">
        <v>6086</v>
      </c>
      <c r="B3917" s="149" t="str">
        <f>IFERROR(VLOOKUP(Proc[[#This Row],[App]],Table2[],3,0),"open")</f>
        <v>ok</v>
      </c>
      <c r="C3917" s="138" t="s">
        <v>369</v>
      </c>
      <c r="D3917" t="s">
        <v>6044</v>
      </c>
      <c r="E3917" t="s">
        <v>6085</v>
      </c>
      <c r="F3917" s="129" t="s">
        <v>6085</v>
      </c>
      <c r="G3917" s="135" t="s">
        <v>406</v>
      </c>
      <c r="H3917" s="129" t="str">
        <f>IF(Proc[[#This Row],[type]]="LFF (MDG-F)",MID(Proc[[#This Row],[Obj]],13,10),"")</f>
        <v>JP01TQOZ03</v>
      </c>
      <c r="J3917" s="129" t="b">
        <f>Proc[[#This Row],[Requested]]=Proc[[#This Row],[CurrentParent]]</f>
        <v>1</v>
      </c>
      <c r="K3917" s="144" t="str">
        <f>IF(Proc[[#This Row],[Author]]="Marcela Urrego",VLOOKUP(LEFT(Proc[[#This Row],[Requested]],1),Table3[#All],2,0),VLOOKUP(Proc[[#This Row],[Author]],Table4[],2,0))</f>
        <v>EL</v>
      </c>
      <c r="L3917" s="129" t="s">
        <v>4894</v>
      </c>
      <c r="M3917" s="136">
        <v>45895</v>
      </c>
      <c r="N3917" s="137"/>
      <c r="O3917" s="137"/>
      <c r="P3917" s="136" t="str">
        <f ca="1">IF(Proc[[#This Row],[DaysAgeing]]&gt;5,"yep","on track")</f>
        <v>yep</v>
      </c>
      <c r="Q3917" s="3">
        <f ca="1">IF(Proc[[#This Row],[DateClosed]]="",ABS(NETWORKDAYS(Proc[[#This Row],[DateOpened]],TODAY()))-1,ABS(NETWORKDAYS(Proc[[#This Row],[DateOpened]],Proc[[#This Row],[DateClosed]]))-1)</f>
        <v>83</v>
      </c>
      <c r="R3917" s="136" t="s">
        <v>6087</v>
      </c>
      <c r="S3917" s="129"/>
    </row>
    <row r="3918" spans="1:19" hidden="1">
      <c r="A3918" s="135" t="s">
        <v>6086</v>
      </c>
      <c r="B3918" s="149" t="str">
        <f>IFERROR(VLOOKUP(Proc[[#This Row],[App]],Table2[],3,0),"open")</f>
        <v>ok</v>
      </c>
      <c r="C3918" s="138" t="s">
        <v>369</v>
      </c>
      <c r="D3918" t="s">
        <v>6045</v>
      </c>
      <c r="E3918" t="s">
        <v>6085</v>
      </c>
      <c r="F3918" s="129" t="s">
        <v>6085</v>
      </c>
      <c r="G3918" s="135" t="s">
        <v>406</v>
      </c>
      <c r="H3918" s="129" t="str">
        <f>IF(Proc[[#This Row],[type]]="LFF (MDG-F)",MID(Proc[[#This Row],[Obj]],13,10),"")</f>
        <v>JP01TQOZ04</v>
      </c>
      <c r="J3918" s="129" t="b">
        <f>Proc[[#This Row],[Requested]]=Proc[[#This Row],[CurrentParent]]</f>
        <v>1</v>
      </c>
      <c r="K3918" s="144" t="str">
        <f>IF(Proc[[#This Row],[Author]]="Marcela Urrego",VLOOKUP(LEFT(Proc[[#This Row],[Requested]],1),Table3[#All],2,0),VLOOKUP(Proc[[#This Row],[Author]],Table4[],2,0))</f>
        <v>EL</v>
      </c>
      <c r="L3918" s="129" t="s">
        <v>4894</v>
      </c>
      <c r="M3918" s="136">
        <v>45895</v>
      </c>
      <c r="N3918" s="137"/>
      <c r="O3918" s="137"/>
      <c r="P3918" s="136" t="str">
        <f ca="1">IF(Proc[[#This Row],[DaysAgeing]]&gt;5,"yep","on track")</f>
        <v>yep</v>
      </c>
      <c r="Q3918" s="3">
        <f ca="1">IF(Proc[[#This Row],[DateClosed]]="",ABS(NETWORKDAYS(Proc[[#This Row],[DateOpened]],TODAY()))-1,ABS(NETWORKDAYS(Proc[[#This Row],[DateOpened]],Proc[[#This Row],[DateClosed]]))-1)</f>
        <v>83</v>
      </c>
      <c r="R3918" s="136" t="s">
        <v>6087</v>
      </c>
      <c r="S3918" s="129"/>
    </row>
    <row r="3919" spans="1:19" hidden="1">
      <c r="A3919" s="135" t="s">
        <v>6086</v>
      </c>
      <c r="B3919" s="149" t="str">
        <f>IFERROR(VLOOKUP(Proc[[#This Row],[App]],Table2[],3,0),"open")</f>
        <v>ok</v>
      </c>
      <c r="C3919" s="138" t="s">
        <v>369</v>
      </c>
      <c r="D3919" t="s">
        <v>6046</v>
      </c>
      <c r="E3919" t="s">
        <v>6059</v>
      </c>
      <c r="F3919" s="129" t="s">
        <v>6059</v>
      </c>
      <c r="G3919" s="135" t="s">
        <v>406</v>
      </c>
      <c r="H3919" s="129" t="str">
        <f>IF(Proc[[#This Row],[type]]="LFF (MDG-F)",MID(Proc[[#This Row],[Obj]],13,10),"")</f>
        <v>JP01Z01000</v>
      </c>
      <c r="J3919" s="129" t="b">
        <f>Proc[[#This Row],[Requested]]=Proc[[#This Row],[CurrentParent]]</f>
        <v>1</v>
      </c>
      <c r="K3919" s="144" t="str">
        <f>IF(Proc[[#This Row],[Author]]="Marcela Urrego",VLOOKUP(LEFT(Proc[[#This Row],[Requested]],1),Table3[#All],2,0),VLOOKUP(Proc[[#This Row],[Author]],Table4[],2,0))</f>
        <v>EL</v>
      </c>
      <c r="L3919" s="129" t="s">
        <v>4894</v>
      </c>
      <c r="M3919" s="136">
        <v>45895</v>
      </c>
      <c r="N3919" s="137"/>
      <c r="O3919" s="137"/>
      <c r="P3919" s="136" t="str">
        <f ca="1">IF(Proc[[#This Row],[DaysAgeing]]&gt;5,"yep","on track")</f>
        <v>yep</v>
      </c>
      <c r="Q3919" s="3">
        <f ca="1">IF(Proc[[#This Row],[DateClosed]]="",ABS(NETWORKDAYS(Proc[[#This Row],[DateOpened]],TODAY()))-1,ABS(NETWORKDAYS(Proc[[#This Row],[DateOpened]],Proc[[#This Row],[DateClosed]]))-1)</f>
        <v>83</v>
      </c>
      <c r="R3919" s="136" t="s">
        <v>6087</v>
      </c>
      <c r="S3919" s="129"/>
    </row>
    <row r="3920" spans="1:19" hidden="1">
      <c r="A3920" s="135" t="s">
        <v>6086</v>
      </c>
      <c r="B3920" s="149" t="str">
        <f>IFERROR(VLOOKUP(Proc[[#This Row],[App]],Table2[],3,0),"open")</f>
        <v>ok</v>
      </c>
      <c r="C3920" s="138" t="s">
        <v>369</v>
      </c>
      <c r="D3920" t="s">
        <v>6047</v>
      </c>
      <c r="E3920" t="s">
        <v>6059</v>
      </c>
      <c r="F3920" s="129" t="s">
        <v>6059</v>
      </c>
      <c r="G3920" s="135" t="s">
        <v>406</v>
      </c>
      <c r="H3920" s="129" t="str">
        <f>IF(Proc[[#This Row],[type]]="LFF (MDG-F)",MID(Proc[[#This Row],[Obj]],13,10),"")</f>
        <v>JP01Z01IF9</v>
      </c>
      <c r="J3920" s="129" t="b">
        <f>Proc[[#This Row],[Requested]]=Proc[[#This Row],[CurrentParent]]</f>
        <v>1</v>
      </c>
      <c r="K3920" s="144" t="str">
        <f>IF(Proc[[#This Row],[Author]]="Marcela Urrego",VLOOKUP(LEFT(Proc[[#This Row],[Requested]],1),Table3[#All],2,0),VLOOKUP(Proc[[#This Row],[Author]],Table4[],2,0))</f>
        <v>EL</v>
      </c>
      <c r="L3920" s="129" t="s">
        <v>4894</v>
      </c>
      <c r="M3920" s="136">
        <v>45895</v>
      </c>
      <c r="N3920" s="137"/>
      <c r="O3920" s="137"/>
      <c r="P3920" s="136" t="str">
        <f ca="1">IF(Proc[[#This Row],[DaysAgeing]]&gt;5,"yep","on track")</f>
        <v>yep</v>
      </c>
      <c r="Q3920" s="3">
        <f ca="1">IF(Proc[[#This Row],[DateClosed]]="",ABS(NETWORKDAYS(Proc[[#This Row],[DateOpened]],TODAY()))-1,ABS(NETWORKDAYS(Proc[[#This Row],[DateOpened]],Proc[[#This Row],[DateClosed]]))-1)</f>
        <v>83</v>
      </c>
      <c r="R3920" s="136" t="s">
        <v>6087</v>
      </c>
      <c r="S3920" s="129"/>
    </row>
    <row r="3921" spans="1:19" hidden="1">
      <c r="A3921" s="135" t="s">
        <v>6086</v>
      </c>
      <c r="B3921" s="149" t="str">
        <f>IFERROR(VLOOKUP(Proc[[#This Row],[App]],Table2[],3,0),"open")</f>
        <v>ok</v>
      </c>
      <c r="C3921" s="138" t="s">
        <v>369</v>
      </c>
      <c r="D3921" t="s">
        <v>6048</v>
      </c>
      <c r="E3921" t="s">
        <v>6059</v>
      </c>
      <c r="F3921" s="129" t="s">
        <v>6059</v>
      </c>
      <c r="G3921" s="135" t="s">
        <v>406</v>
      </c>
      <c r="H3921" s="129" t="str">
        <f>IF(Proc[[#This Row],[type]]="LFF (MDG-F)",MID(Proc[[#This Row],[Obj]],13,10),"")</f>
        <v>JP01Z02141</v>
      </c>
      <c r="J3921" s="129" t="b">
        <f>Proc[[#This Row],[Requested]]=Proc[[#This Row],[CurrentParent]]</f>
        <v>1</v>
      </c>
      <c r="K3921" s="144" t="str">
        <f>IF(Proc[[#This Row],[Author]]="Marcela Urrego",VLOOKUP(LEFT(Proc[[#This Row],[Requested]],1),Table3[#All],2,0),VLOOKUP(Proc[[#This Row],[Author]],Table4[],2,0))</f>
        <v>EL</v>
      </c>
      <c r="L3921" s="129" t="s">
        <v>4894</v>
      </c>
      <c r="M3921" s="136">
        <v>45895</v>
      </c>
      <c r="N3921" s="137"/>
      <c r="O3921" s="137"/>
      <c r="P3921" s="136" t="str">
        <f ca="1">IF(Proc[[#This Row],[DaysAgeing]]&gt;5,"yep","on track")</f>
        <v>yep</v>
      </c>
      <c r="Q3921" s="3">
        <f ca="1">IF(Proc[[#This Row],[DateClosed]]="",ABS(NETWORKDAYS(Proc[[#This Row],[DateOpened]],TODAY()))-1,ABS(NETWORKDAYS(Proc[[#This Row],[DateOpened]],Proc[[#This Row],[DateClosed]]))-1)</f>
        <v>83</v>
      </c>
      <c r="R3921" s="136" t="s">
        <v>6087</v>
      </c>
      <c r="S3921" s="129"/>
    </row>
    <row r="3922" spans="1:19" hidden="1">
      <c r="A3922" s="135" t="s">
        <v>6086</v>
      </c>
      <c r="B3922" s="149" t="str">
        <f>IFERROR(VLOOKUP(Proc[[#This Row],[App]],Table2[],3,0),"open")</f>
        <v>ok</v>
      </c>
      <c r="C3922" s="138" t="s">
        <v>369</v>
      </c>
      <c r="D3922" t="s">
        <v>6049</v>
      </c>
      <c r="E3922" t="s">
        <v>6059</v>
      </c>
      <c r="F3922" s="129" t="s">
        <v>6059</v>
      </c>
      <c r="G3922" s="135" t="s">
        <v>406</v>
      </c>
      <c r="H3922" s="129" t="str">
        <f>IF(Proc[[#This Row],[type]]="LFF (MDG-F)",MID(Proc[[#This Row],[Obj]],13,10),"")</f>
        <v>JP01Z02171</v>
      </c>
      <c r="J3922" s="129" t="b">
        <f>Proc[[#This Row],[Requested]]=Proc[[#This Row],[CurrentParent]]</f>
        <v>1</v>
      </c>
      <c r="K3922" s="144" t="str">
        <f>IF(Proc[[#This Row],[Author]]="Marcela Urrego",VLOOKUP(LEFT(Proc[[#This Row],[Requested]],1),Table3[#All],2,0),VLOOKUP(Proc[[#This Row],[Author]],Table4[],2,0))</f>
        <v>EL</v>
      </c>
      <c r="L3922" s="129" t="s">
        <v>4894</v>
      </c>
      <c r="M3922" s="136">
        <v>45895</v>
      </c>
      <c r="N3922" s="137"/>
      <c r="O3922" s="137"/>
      <c r="P3922" s="136" t="str">
        <f ca="1">IF(Proc[[#This Row],[DaysAgeing]]&gt;5,"yep","on track")</f>
        <v>yep</v>
      </c>
      <c r="Q3922" s="3">
        <f ca="1">IF(Proc[[#This Row],[DateClosed]]="",ABS(NETWORKDAYS(Proc[[#This Row],[DateOpened]],TODAY()))-1,ABS(NETWORKDAYS(Proc[[#This Row],[DateOpened]],Proc[[#This Row],[DateClosed]]))-1)</f>
        <v>83</v>
      </c>
      <c r="R3922" s="136" t="s">
        <v>6087</v>
      </c>
      <c r="S3922" s="129"/>
    </row>
    <row r="3923" spans="1:19" hidden="1">
      <c r="A3923" s="135" t="s">
        <v>6086</v>
      </c>
      <c r="B3923" s="149" t="str">
        <f>IFERROR(VLOOKUP(Proc[[#This Row],[App]],Table2[],3,0),"open")</f>
        <v>ok</v>
      </c>
      <c r="C3923" s="138" t="s">
        <v>369</v>
      </c>
      <c r="D3923" t="s">
        <v>6050</v>
      </c>
      <c r="E3923" t="s">
        <v>6059</v>
      </c>
      <c r="F3923" s="129" t="s">
        <v>6059</v>
      </c>
      <c r="G3923" s="135" t="s">
        <v>406</v>
      </c>
      <c r="H3923" s="129" t="str">
        <f>IF(Proc[[#This Row],[type]]="LFF (MDG-F)",MID(Proc[[#This Row],[Obj]],13,10),"")</f>
        <v>JP01Z02173</v>
      </c>
      <c r="J3923" s="129" t="b">
        <f>Proc[[#This Row],[Requested]]=Proc[[#This Row],[CurrentParent]]</f>
        <v>1</v>
      </c>
      <c r="K3923" s="144" t="str">
        <f>IF(Proc[[#This Row],[Author]]="Marcela Urrego",VLOOKUP(LEFT(Proc[[#This Row],[Requested]],1),Table3[#All],2,0),VLOOKUP(Proc[[#This Row],[Author]],Table4[],2,0))</f>
        <v>EL</v>
      </c>
      <c r="L3923" s="129" t="s">
        <v>4894</v>
      </c>
      <c r="M3923" s="136">
        <v>45895</v>
      </c>
      <c r="N3923" s="137"/>
      <c r="O3923" s="137"/>
      <c r="P3923" s="136" t="str">
        <f ca="1">IF(Proc[[#This Row],[DaysAgeing]]&gt;5,"yep","on track")</f>
        <v>yep</v>
      </c>
      <c r="Q3923" s="3">
        <f ca="1">IF(Proc[[#This Row],[DateClosed]]="",ABS(NETWORKDAYS(Proc[[#This Row],[DateOpened]],TODAY()))-1,ABS(NETWORKDAYS(Proc[[#This Row],[DateOpened]],Proc[[#This Row],[DateClosed]]))-1)</f>
        <v>83</v>
      </c>
      <c r="R3923" s="136" t="s">
        <v>6087</v>
      </c>
      <c r="S3923" s="129"/>
    </row>
    <row r="3924" spans="1:19" hidden="1">
      <c r="A3924" s="135" t="s">
        <v>6086</v>
      </c>
      <c r="B3924" s="149" t="str">
        <f>IFERROR(VLOOKUP(Proc[[#This Row],[App]],Table2[],3,0),"open")</f>
        <v>ok</v>
      </c>
      <c r="C3924" s="138" t="s">
        <v>369</v>
      </c>
      <c r="D3924" t="s">
        <v>6051</v>
      </c>
      <c r="E3924" t="s">
        <v>6059</v>
      </c>
      <c r="F3924" s="129" t="s">
        <v>6059</v>
      </c>
      <c r="G3924" s="135" t="s">
        <v>406</v>
      </c>
      <c r="H3924" s="129" t="str">
        <f>IF(Proc[[#This Row],[type]]="LFF (MDG-F)",MID(Proc[[#This Row],[Obj]],13,10),"")</f>
        <v>JP01Z02174</v>
      </c>
      <c r="J3924" s="129" t="b">
        <f>Proc[[#This Row],[Requested]]=Proc[[#This Row],[CurrentParent]]</f>
        <v>1</v>
      </c>
      <c r="K3924" s="144" t="str">
        <f>IF(Proc[[#This Row],[Author]]="Marcela Urrego",VLOOKUP(LEFT(Proc[[#This Row],[Requested]],1),Table3[#All],2,0),VLOOKUP(Proc[[#This Row],[Author]],Table4[],2,0))</f>
        <v>EL</v>
      </c>
      <c r="L3924" s="129" t="s">
        <v>4894</v>
      </c>
      <c r="M3924" s="136">
        <v>45895</v>
      </c>
      <c r="N3924" s="137"/>
      <c r="O3924" s="137"/>
      <c r="P3924" s="136" t="str">
        <f ca="1">IF(Proc[[#This Row],[DaysAgeing]]&gt;5,"yep","on track")</f>
        <v>yep</v>
      </c>
      <c r="Q3924" s="3">
        <f ca="1">IF(Proc[[#This Row],[DateClosed]]="",ABS(NETWORKDAYS(Proc[[#This Row],[DateOpened]],TODAY()))-1,ABS(NETWORKDAYS(Proc[[#This Row],[DateOpened]],Proc[[#This Row],[DateClosed]]))-1)</f>
        <v>83</v>
      </c>
      <c r="R3924" s="136" t="s">
        <v>6087</v>
      </c>
      <c r="S3924" s="129"/>
    </row>
    <row r="3925" spans="1:19" hidden="1">
      <c r="A3925" s="135" t="s">
        <v>6086</v>
      </c>
      <c r="B3925" s="149" t="str">
        <f>IFERROR(VLOOKUP(Proc[[#This Row],[App]],Table2[],3,0),"open")</f>
        <v>ok</v>
      </c>
      <c r="C3925" s="138" t="s">
        <v>369</v>
      </c>
      <c r="D3925" t="s">
        <v>6052</v>
      </c>
      <c r="E3925" t="s">
        <v>6059</v>
      </c>
      <c r="F3925" s="129" t="s">
        <v>6059</v>
      </c>
      <c r="G3925" s="135" t="s">
        <v>406</v>
      </c>
      <c r="H3925" s="129" t="str">
        <f>IF(Proc[[#This Row],[type]]="LFF (MDG-F)",MID(Proc[[#This Row],[Obj]],13,10),"")</f>
        <v>JP01Z02175</v>
      </c>
      <c r="J3925" s="129" t="b">
        <f>Proc[[#This Row],[Requested]]=Proc[[#This Row],[CurrentParent]]</f>
        <v>1</v>
      </c>
      <c r="K3925" s="144" t="str">
        <f>IF(Proc[[#This Row],[Author]]="Marcela Urrego",VLOOKUP(LEFT(Proc[[#This Row],[Requested]],1),Table3[#All],2,0),VLOOKUP(Proc[[#This Row],[Author]],Table4[],2,0))</f>
        <v>EL</v>
      </c>
      <c r="L3925" s="129" t="s">
        <v>4894</v>
      </c>
      <c r="M3925" s="136">
        <v>45895</v>
      </c>
      <c r="N3925" s="137"/>
      <c r="O3925" s="137"/>
      <c r="P3925" s="136" t="str">
        <f ca="1">IF(Proc[[#This Row],[DaysAgeing]]&gt;5,"yep","on track")</f>
        <v>yep</v>
      </c>
      <c r="Q3925" s="3">
        <f ca="1">IF(Proc[[#This Row],[DateClosed]]="",ABS(NETWORKDAYS(Proc[[#This Row],[DateOpened]],TODAY()))-1,ABS(NETWORKDAYS(Proc[[#This Row],[DateOpened]],Proc[[#This Row],[DateClosed]]))-1)</f>
        <v>83</v>
      </c>
      <c r="R3925" s="136" t="s">
        <v>6087</v>
      </c>
      <c r="S3925" s="129"/>
    </row>
    <row r="3926" spans="1:19" hidden="1">
      <c r="A3926" s="135" t="s">
        <v>6086</v>
      </c>
      <c r="B3926" s="149" t="str">
        <f>IFERROR(VLOOKUP(Proc[[#This Row],[App]],Table2[],3,0),"open")</f>
        <v>ok</v>
      </c>
      <c r="C3926" s="138" t="s">
        <v>369</v>
      </c>
      <c r="D3926" t="s">
        <v>6053</v>
      </c>
      <c r="E3926" t="s">
        <v>6059</v>
      </c>
      <c r="F3926" s="129" t="s">
        <v>6059</v>
      </c>
      <c r="G3926" s="135" t="s">
        <v>406</v>
      </c>
      <c r="H3926" s="129" t="str">
        <f>IF(Proc[[#This Row],[type]]="LFF (MDG-F)",MID(Proc[[#This Row],[Obj]],13,10),"")</f>
        <v>JP01Z02183</v>
      </c>
      <c r="J3926" s="129" t="b">
        <f>Proc[[#This Row],[Requested]]=Proc[[#This Row],[CurrentParent]]</f>
        <v>1</v>
      </c>
      <c r="K3926" s="144" t="str">
        <f>IF(Proc[[#This Row],[Author]]="Marcela Urrego",VLOOKUP(LEFT(Proc[[#This Row],[Requested]],1),Table3[#All],2,0),VLOOKUP(Proc[[#This Row],[Author]],Table4[],2,0))</f>
        <v>EL</v>
      </c>
      <c r="L3926" s="129" t="s">
        <v>4894</v>
      </c>
      <c r="M3926" s="136">
        <v>45895</v>
      </c>
      <c r="N3926" s="137"/>
      <c r="O3926" s="137"/>
      <c r="P3926" s="136" t="str">
        <f ca="1">IF(Proc[[#This Row],[DaysAgeing]]&gt;5,"yep","on track")</f>
        <v>yep</v>
      </c>
      <c r="Q3926" s="3">
        <f ca="1">IF(Proc[[#This Row],[DateClosed]]="",ABS(NETWORKDAYS(Proc[[#This Row],[DateOpened]],TODAY()))-1,ABS(NETWORKDAYS(Proc[[#This Row],[DateOpened]],Proc[[#This Row],[DateClosed]]))-1)</f>
        <v>83</v>
      </c>
      <c r="R3926" s="136" t="s">
        <v>6087</v>
      </c>
      <c r="S3926" s="129"/>
    </row>
    <row r="3927" spans="1:19" hidden="1">
      <c r="A3927" s="135" t="s">
        <v>6086</v>
      </c>
      <c r="B3927" s="149" t="str">
        <f>IFERROR(VLOOKUP(Proc[[#This Row],[App]],Table2[],3,0),"open")</f>
        <v>ok</v>
      </c>
      <c r="C3927" s="138" t="s">
        <v>369</v>
      </c>
      <c r="D3927" t="s">
        <v>6054</v>
      </c>
      <c r="E3927" t="s">
        <v>6069</v>
      </c>
      <c r="F3927" s="129" t="s">
        <v>6069</v>
      </c>
      <c r="G3927" s="135" t="s">
        <v>406</v>
      </c>
      <c r="H3927" s="129" t="str">
        <f>IF(Proc[[#This Row],[type]]="LFF (MDG-F)",MID(Proc[[#This Row],[Obj]],13,10),"")</f>
        <v>JP01Z03103</v>
      </c>
      <c r="J3927" s="129" t="b">
        <f>Proc[[#This Row],[Requested]]=Proc[[#This Row],[CurrentParent]]</f>
        <v>1</v>
      </c>
      <c r="K3927" s="144" t="str">
        <f>IF(Proc[[#This Row],[Author]]="Marcela Urrego",VLOOKUP(LEFT(Proc[[#This Row],[Requested]],1),Table3[#All],2,0),VLOOKUP(Proc[[#This Row],[Author]],Table4[],2,0))</f>
        <v>EL</v>
      </c>
      <c r="L3927" s="129" t="s">
        <v>4894</v>
      </c>
      <c r="M3927" s="136">
        <v>45895</v>
      </c>
      <c r="N3927" s="137"/>
      <c r="O3927" s="137"/>
      <c r="P3927" s="136" t="str">
        <f ca="1">IF(Proc[[#This Row],[DaysAgeing]]&gt;5,"yep","on track")</f>
        <v>yep</v>
      </c>
      <c r="Q3927" s="3">
        <f ca="1">IF(Proc[[#This Row],[DateClosed]]="",ABS(NETWORKDAYS(Proc[[#This Row],[DateOpened]],TODAY()))-1,ABS(NETWORKDAYS(Proc[[#This Row],[DateOpened]],Proc[[#This Row],[DateClosed]]))-1)</f>
        <v>83</v>
      </c>
      <c r="R3927" s="136" t="s">
        <v>6087</v>
      </c>
      <c r="S3927" s="129"/>
    </row>
    <row r="3928" spans="1:19" hidden="1">
      <c r="A3928" s="135" t="s">
        <v>6086</v>
      </c>
      <c r="B3928" s="149" t="str">
        <f>IFERROR(VLOOKUP(Proc[[#This Row],[App]],Table2[],3,0),"open")</f>
        <v>ok</v>
      </c>
      <c r="C3928" s="138" t="s">
        <v>369</v>
      </c>
      <c r="D3928" t="s">
        <v>6055</v>
      </c>
      <c r="E3928" t="s">
        <v>6059</v>
      </c>
      <c r="F3928" s="129" t="s">
        <v>6059</v>
      </c>
      <c r="G3928" s="135" t="s">
        <v>406</v>
      </c>
      <c r="H3928" s="129" t="str">
        <f>IF(Proc[[#This Row],[type]]="LFF (MDG-F)",MID(Proc[[#This Row],[Obj]],13,10),"")</f>
        <v>JP01Z03104</v>
      </c>
      <c r="J3928" s="129" t="b">
        <f>Proc[[#This Row],[Requested]]=Proc[[#This Row],[CurrentParent]]</f>
        <v>1</v>
      </c>
      <c r="K3928" s="144" t="str">
        <f>IF(Proc[[#This Row],[Author]]="Marcela Urrego",VLOOKUP(LEFT(Proc[[#This Row],[Requested]],1),Table3[#All],2,0),VLOOKUP(Proc[[#This Row],[Author]],Table4[],2,0))</f>
        <v>EL</v>
      </c>
      <c r="L3928" s="129" t="s">
        <v>4894</v>
      </c>
      <c r="M3928" s="136">
        <v>45895</v>
      </c>
      <c r="N3928" s="137"/>
      <c r="O3928" s="137"/>
      <c r="P3928" s="136" t="str">
        <f ca="1">IF(Proc[[#This Row],[DaysAgeing]]&gt;5,"yep","on track")</f>
        <v>yep</v>
      </c>
      <c r="Q3928" s="3">
        <f ca="1">IF(Proc[[#This Row],[DateClosed]]="",ABS(NETWORKDAYS(Proc[[#This Row],[DateOpened]],TODAY()))-1,ABS(NETWORKDAYS(Proc[[#This Row],[DateOpened]],Proc[[#This Row],[DateClosed]]))-1)</f>
        <v>83</v>
      </c>
      <c r="R3928" s="136" t="s">
        <v>6087</v>
      </c>
      <c r="S3928" s="129"/>
    </row>
    <row r="3929" spans="1:19" hidden="1">
      <c r="A3929" s="135" t="s">
        <v>6086</v>
      </c>
      <c r="B3929" s="149" t="str">
        <f>IFERROR(VLOOKUP(Proc[[#This Row],[App]],Table2[],3,0),"open")</f>
        <v>ok</v>
      </c>
      <c r="C3929" s="138" t="s">
        <v>369</v>
      </c>
      <c r="D3929" t="s">
        <v>6056</v>
      </c>
      <c r="E3929" t="s">
        <v>6059</v>
      </c>
      <c r="F3929" s="129" t="s">
        <v>6059</v>
      </c>
      <c r="G3929" s="135" t="s">
        <v>406</v>
      </c>
      <c r="H3929" s="129" t="str">
        <f>IF(Proc[[#This Row],[type]]="LFF (MDG-F)",MID(Proc[[#This Row],[Obj]],13,10),"")</f>
        <v>JP01Z03105</v>
      </c>
      <c r="J3929" s="129" t="b">
        <f>Proc[[#This Row],[Requested]]=Proc[[#This Row],[CurrentParent]]</f>
        <v>1</v>
      </c>
      <c r="K3929" s="144" t="str">
        <f>IF(Proc[[#This Row],[Author]]="Marcela Urrego",VLOOKUP(LEFT(Proc[[#This Row],[Requested]],1),Table3[#All],2,0),VLOOKUP(Proc[[#This Row],[Author]],Table4[],2,0))</f>
        <v>EL</v>
      </c>
      <c r="L3929" s="129" t="s">
        <v>4894</v>
      </c>
      <c r="M3929" s="136">
        <v>45895</v>
      </c>
      <c r="N3929" s="137"/>
      <c r="O3929" s="137"/>
      <c r="P3929" s="136" t="str">
        <f ca="1">IF(Proc[[#This Row],[DaysAgeing]]&gt;5,"yep","on track")</f>
        <v>yep</v>
      </c>
      <c r="Q3929" s="3">
        <f ca="1">IF(Proc[[#This Row],[DateClosed]]="",ABS(NETWORKDAYS(Proc[[#This Row],[DateOpened]],TODAY()))-1,ABS(NETWORKDAYS(Proc[[#This Row],[DateOpened]],Proc[[#This Row],[DateClosed]]))-1)</f>
        <v>83</v>
      </c>
      <c r="R3929" s="136" t="s">
        <v>6087</v>
      </c>
      <c r="S3929" s="129"/>
    </row>
    <row r="3930" spans="1:19" hidden="1">
      <c r="A3930" s="135" t="s">
        <v>6086</v>
      </c>
      <c r="B3930" s="149" t="str">
        <f>IFERROR(VLOOKUP(Proc[[#This Row],[App]],Table2[],3,0),"open")</f>
        <v>ok</v>
      </c>
      <c r="C3930" s="138" t="s">
        <v>369</v>
      </c>
      <c r="D3930" t="s">
        <v>6057</v>
      </c>
      <c r="E3930" t="s">
        <v>6059</v>
      </c>
      <c r="F3930" s="129" t="s">
        <v>6059</v>
      </c>
      <c r="G3930" s="135" t="s">
        <v>406</v>
      </c>
      <c r="H3930" s="129" t="str">
        <f>IF(Proc[[#This Row],[type]]="LFF (MDG-F)",MID(Proc[[#This Row],[Obj]],13,10),"")</f>
        <v>JP01Z03700</v>
      </c>
      <c r="J3930" s="129" t="b">
        <f>Proc[[#This Row],[Requested]]=Proc[[#This Row],[CurrentParent]]</f>
        <v>1</v>
      </c>
      <c r="K3930" s="144" t="str">
        <f>IF(Proc[[#This Row],[Author]]="Marcela Urrego",VLOOKUP(LEFT(Proc[[#This Row],[Requested]],1),Table3[#All],2,0),VLOOKUP(Proc[[#This Row],[Author]],Table4[],2,0))</f>
        <v>EL</v>
      </c>
      <c r="L3930" s="129" t="s">
        <v>4894</v>
      </c>
      <c r="M3930" s="136">
        <v>45895</v>
      </c>
      <c r="N3930" s="137"/>
      <c r="O3930" s="137"/>
      <c r="P3930" s="136" t="str">
        <f ca="1">IF(Proc[[#This Row],[DaysAgeing]]&gt;5,"yep","on track")</f>
        <v>yep</v>
      </c>
      <c r="Q3930" s="3">
        <f ca="1">IF(Proc[[#This Row],[DateClosed]]="",ABS(NETWORKDAYS(Proc[[#This Row],[DateOpened]],TODAY()))-1,ABS(NETWORKDAYS(Proc[[#This Row],[DateOpened]],Proc[[#This Row],[DateClosed]]))-1)</f>
        <v>83</v>
      </c>
      <c r="R3930" s="136" t="s">
        <v>6087</v>
      </c>
      <c r="S3930" s="129"/>
    </row>
    <row r="3931" spans="1:19" hidden="1">
      <c r="A3931" s="135" t="s">
        <v>6086</v>
      </c>
      <c r="B3931" s="149" t="str">
        <f>IFERROR(VLOOKUP(Proc[[#This Row],[App]],Table2[],3,0),"open")</f>
        <v>ok</v>
      </c>
      <c r="C3931" s="138" t="s">
        <v>369</v>
      </c>
      <c r="D3931" t="s">
        <v>6058</v>
      </c>
      <c r="E3931" t="s">
        <v>6059</v>
      </c>
      <c r="F3931" s="129" t="s">
        <v>6059</v>
      </c>
      <c r="G3931" s="135" t="s">
        <v>406</v>
      </c>
      <c r="H3931" s="129" t="str">
        <f>IF(Proc[[#This Row],[type]]="LFF (MDG-F)",MID(Proc[[#This Row],[Obj]],13,10),"")</f>
        <v>JP01Z03725</v>
      </c>
      <c r="J3931" s="129" t="b">
        <f>Proc[[#This Row],[Requested]]=Proc[[#This Row],[CurrentParent]]</f>
        <v>1</v>
      </c>
      <c r="K3931" s="144" t="str">
        <f>IF(Proc[[#This Row],[Author]]="Marcela Urrego",VLOOKUP(LEFT(Proc[[#This Row],[Requested]],1),Table3[#All],2,0),VLOOKUP(Proc[[#This Row],[Author]],Table4[],2,0))</f>
        <v>EL</v>
      </c>
      <c r="L3931" s="129" t="s">
        <v>4894</v>
      </c>
      <c r="M3931" s="136">
        <v>45895</v>
      </c>
      <c r="N3931" s="137"/>
      <c r="O3931" s="137"/>
      <c r="P3931" s="136" t="str">
        <f ca="1">IF(Proc[[#This Row],[DaysAgeing]]&gt;5,"yep","on track")</f>
        <v>yep</v>
      </c>
      <c r="Q3931" s="3">
        <f ca="1">IF(Proc[[#This Row],[DateClosed]]="",ABS(NETWORKDAYS(Proc[[#This Row],[DateOpened]],TODAY()))-1,ABS(NETWORKDAYS(Proc[[#This Row],[DateOpened]],Proc[[#This Row],[DateClosed]]))-1)</f>
        <v>83</v>
      </c>
      <c r="R3931" s="136" t="s">
        <v>6087</v>
      </c>
      <c r="S3931" s="129"/>
    </row>
    <row r="3932" spans="1:19" hidden="1">
      <c r="A3932" t="s">
        <v>6089</v>
      </c>
      <c r="B3932" s="149" t="str">
        <f>IFERROR(VLOOKUP(Proc[[#This Row],[App]],Table2[],3,0),"open")</f>
        <v>ok</v>
      </c>
      <c r="C3932" t="s">
        <v>369</v>
      </c>
      <c r="D3932" t="s">
        <v>5337</v>
      </c>
      <c r="E3932" t="s">
        <v>6088</v>
      </c>
      <c r="F3932" s="129" t="s">
        <v>6088</v>
      </c>
      <c r="G3932" t="s">
        <v>406</v>
      </c>
      <c r="H3932" s="129" t="str">
        <f>IF(Proc[[#This Row],[type]]="LFF (MDG-F)",MID(Proc[[#This Row],[Obj]],13,10),"")</f>
        <v>DE10YIT011</v>
      </c>
      <c r="J3932" s="129" t="b">
        <f>Proc[[#This Row],[Requested]]=Proc[[#This Row],[CurrentParent]]</f>
        <v>1</v>
      </c>
      <c r="K3932" s="144" t="str">
        <f>IF(Proc[[#This Row],[Author]]="Marcela Urrego",VLOOKUP(LEFT(Proc[[#This Row],[Requested]],1),Table3[#All],2,0),VLOOKUP(Proc[[#This Row],[Author]],Table4[],2,0))</f>
        <v>MGF</v>
      </c>
      <c r="L3932" s="129" t="s">
        <v>4894</v>
      </c>
      <c r="M3932" s="136">
        <v>45897</v>
      </c>
      <c r="N3932" s="137"/>
      <c r="O3932" s="137"/>
      <c r="P3932" s="136" t="str">
        <f ca="1">IF(Proc[[#This Row],[DaysAgeing]]&gt;5,"yep","on track")</f>
        <v>yep</v>
      </c>
      <c r="Q3932" s="3">
        <f ca="1">IF(Proc[[#This Row],[DateClosed]]="",ABS(NETWORKDAYS(Proc[[#This Row],[DateOpened]],TODAY()))-1,ABS(NETWORKDAYS(Proc[[#This Row],[DateOpened]],Proc[[#This Row],[DateClosed]]))-1)</f>
        <v>81</v>
      </c>
      <c r="R3932" s="136" t="s">
        <v>1459</v>
      </c>
      <c r="S3932" s="129"/>
    </row>
    <row r="3933" spans="1:19" hidden="1">
      <c r="A3933" s="135" t="s">
        <v>6089</v>
      </c>
      <c r="B3933" s="149" t="str">
        <f>IFERROR(VLOOKUP(Proc[[#This Row],[App]],Table2[],3,0),"open")</f>
        <v>ok</v>
      </c>
      <c r="C3933" s="138" t="s">
        <v>369</v>
      </c>
      <c r="D3933" t="s">
        <v>5336</v>
      </c>
      <c r="E3933" t="s">
        <v>6088</v>
      </c>
      <c r="F3933" s="129" t="s">
        <v>6088</v>
      </c>
      <c r="G3933" s="135" t="s">
        <v>406</v>
      </c>
      <c r="H3933" s="129" t="str">
        <f>IF(Proc[[#This Row],[type]]="LFF (MDG-F)",MID(Proc[[#This Row],[Obj]],13,10),"")</f>
        <v>DE10YIT012</v>
      </c>
      <c r="J3933" s="129" t="b">
        <f>Proc[[#This Row],[Requested]]=Proc[[#This Row],[CurrentParent]]</f>
        <v>1</v>
      </c>
      <c r="K3933" s="144" t="str">
        <f>IF(Proc[[#This Row],[Author]]="Marcela Urrego",VLOOKUP(LEFT(Proc[[#This Row],[Requested]],1),Table3[#All],2,0),VLOOKUP(Proc[[#This Row],[Author]],Table4[],2,0))</f>
        <v>MGF</v>
      </c>
      <c r="L3933" s="129" t="s">
        <v>4894</v>
      </c>
      <c r="M3933" s="136">
        <v>45897</v>
      </c>
      <c r="N3933" s="137"/>
      <c r="O3933" s="137"/>
      <c r="P3933" s="136" t="str">
        <f ca="1">IF(Proc[[#This Row],[DaysAgeing]]&gt;5,"yep","on track")</f>
        <v>yep</v>
      </c>
      <c r="Q3933" s="3">
        <f ca="1">IF(Proc[[#This Row],[DateClosed]]="",ABS(NETWORKDAYS(Proc[[#This Row],[DateOpened]],TODAY()))-1,ABS(NETWORKDAYS(Proc[[#This Row],[DateOpened]],Proc[[#This Row],[DateClosed]]))-1)</f>
        <v>81</v>
      </c>
      <c r="R3933" s="136" t="s">
        <v>1459</v>
      </c>
      <c r="S3933" s="129"/>
    </row>
    <row r="3934" spans="1:19" hidden="1">
      <c r="A3934" s="135" t="s">
        <v>6089</v>
      </c>
      <c r="B3934" s="149" t="str">
        <f>IFERROR(VLOOKUP(Proc[[#This Row],[App]],Table2[],3,0),"open")</f>
        <v>ok</v>
      </c>
      <c r="C3934" s="138" t="s">
        <v>369</v>
      </c>
      <c r="D3934" t="s">
        <v>5334</v>
      </c>
      <c r="E3934" t="s">
        <v>6088</v>
      </c>
      <c r="F3934" s="129" t="s">
        <v>6088</v>
      </c>
      <c r="G3934" s="135" t="s">
        <v>406</v>
      </c>
      <c r="H3934" s="129" t="str">
        <f>IF(Proc[[#This Row],[type]]="LFF (MDG-F)",MID(Proc[[#This Row],[Obj]],13,10),"")</f>
        <v>DE10YIT009</v>
      </c>
      <c r="J3934" s="129" t="b">
        <f>Proc[[#This Row],[Requested]]=Proc[[#This Row],[CurrentParent]]</f>
        <v>1</v>
      </c>
      <c r="K3934" s="144" t="str">
        <f>IF(Proc[[#This Row],[Author]]="Marcela Urrego",VLOOKUP(LEFT(Proc[[#This Row],[Requested]],1),Table3[#All],2,0),VLOOKUP(Proc[[#This Row],[Author]],Table4[],2,0))</f>
        <v>MGF</v>
      </c>
      <c r="L3934" s="129" t="s">
        <v>4894</v>
      </c>
      <c r="M3934" s="136">
        <v>45897</v>
      </c>
      <c r="N3934" s="137"/>
      <c r="O3934" s="137"/>
      <c r="P3934" s="136" t="str">
        <f ca="1">IF(Proc[[#This Row],[DaysAgeing]]&gt;5,"yep","on track")</f>
        <v>yep</v>
      </c>
      <c r="Q3934" s="3">
        <f ca="1">IF(Proc[[#This Row],[DateClosed]]="",ABS(NETWORKDAYS(Proc[[#This Row],[DateOpened]],TODAY()))-1,ABS(NETWORKDAYS(Proc[[#This Row],[DateOpened]],Proc[[#This Row],[DateClosed]]))-1)</f>
        <v>81</v>
      </c>
      <c r="R3934" s="136" t="s">
        <v>1459</v>
      </c>
      <c r="S3934" s="129"/>
    </row>
    <row r="3935" spans="1:19" hidden="1">
      <c r="A3935" s="135" t="s">
        <v>6089</v>
      </c>
      <c r="B3935" s="149" t="str">
        <f>IFERROR(VLOOKUP(Proc[[#This Row],[App]],Table2[],3,0),"open")</f>
        <v>ok</v>
      </c>
      <c r="C3935" s="138" t="s">
        <v>369</v>
      </c>
      <c r="D3935" t="s">
        <v>5368</v>
      </c>
      <c r="E3935" t="s">
        <v>6088</v>
      </c>
      <c r="F3935" s="129" t="s">
        <v>6088</v>
      </c>
      <c r="G3935" s="135" t="s">
        <v>406</v>
      </c>
      <c r="H3935" s="129" t="str">
        <f>IF(Proc[[#This Row],[type]]="LFF (MDG-F)",MID(Proc[[#This Row],[Obj]],13,10),"")</f>
        <v>CH65YIT001</v>
      </c>
      <c r="J3935" s="129" t="b">
        <f>Proc[[#This Row],[Requested]]=Proc[[#This Row],[CurrentParent]]</f>
        <v>1</v>
      </c>
      <c r="K3935" s="144" t="str">
        <f>IF(Proc[[#This Row],[Author]]="Marcela Urrego",VLOOKUP(LEFT(Proc[[#This Row],[Requested]],1),Table3[#All],2,0),VLOOKUP(Proc[[#This Row],[Author]],Table4[],2,0))</f>
        <v>MGF</v>
      </c>
      <c r="L3935" s="129" t="s">
        <v>4894</v>
      </c>
      <c r="M3935" s="136">
        <v>45897</v>
      </c>
      <c r="N3935" s="137"/>
      <c r="O3935" s="137"/>
      <c r="P3935" s="136" t="str">
        <f ca="1">IF(Proc[[#This Row],[DaysAgeing]]&gt;5,"yep","on track")</f>
        <v>yep</v>
      </c>
      <c r="Q3935" s="3">
        <f ca="1">IF(Proc[[#This Row],[DateClosed]]="",ABS(NETWORKDAYS(Proc[[#This Row],[DateOpened]],TODAY()))-1,ABS(NETWORKDAYS(Proc[[#This Row],[DateOpened]],Proc[[#This Row],[DateClosed]]))-1)</f>
        <v>81</v>
      </c>
      <c r="R3935" s="136" t="s">
        <v>1459</v>
      </c>
      <c r="S3935" s="129"/>
    </row>
    <row r="3936" spans="1:19" hidden="1">
      <c r="A3936" s="135" t="s">
        <v>6089</v>
      </c>
      <c r="B3936" s="149" t="str">
        <f>IFERROR(VLOOKUP(Proc[[#This Row],[App]],Table2[],3,0),"open")</f>
        <v>ok</v>
      </c>
      <c r="C3936" s="138" t="s">
        <v>369</v>
      </c>
      <c r="D3936" t="s">
        <v>5335</v>
      </c>
      <c r="E3936" t="s">
        <v>6088</v>
      </c>
      <c r="F3936" s="129" t="s">
        <v>6088</v>
      </c>
      <c r="G3936" s="135" t="s">
        <v>406</v>
      </c>
      <c r="H3936" s="129" t="str">
        <f>IF(Proc[[#This Row],[type]]="LFF (MDG-F)",MID(Proc[[#This Row],[Obj]],13,10),"")</f>
        <v>DE10YIT008</v>
      </c>
      <c r="J3936" s="129" t="b">
        <f>Proc[[#This Row],[Requested]]=Proc[[#This Row],[CurrentParent]]</f>
        <v>1</v>
      </c>
      <c r="K3936" s="144" t="str">
        <f>IF(Proc[[#This Row],[Author]]="Marcela Urrego",VLOOKUP(LEFT(Proc[[#This Row],[Requested]],1),Table3[#All],2,0),VLOOKUP(Proc[[#This Row],[Author]],Table4[],2,0))</f>
        <v>MGF</v>
      </c>
      <c r="L3936" s="129" t="s">
        <v>4894</v>
      </c>
      <c r="M3936" s="136">
        <v>45897</v>
      </c>
      <c r="N3936" s="137"/>
      <c r="O3936" s="137"/>
      <c r="P3936" s="136" t="str">
        <f ca="1">IF(Proc[[#This Row],[DaysAgeing]]&gt;5,"yep","on track")</f>
        <v>yep</v>
      </c>
      <c r="Q3936" s="3">
        <f ca="1">IF(Proc[[#This Row],[DateClosed]]="",ABS(NETWORKDAYS(Proc[[#This Row],[DateOpened]],TODAY()))-1,ABS(NETWORKDAYS(Proc[[#This Row],[DateOpened]],Proc[[#This Row],[DateClosed]]))-1)</f>
        <v>81</v>
      </c>
      <c r="R3936" s="136" t="s">
        <v>1459</v>
      </c>
      <c r="S3936" s="129"/>
    </row>
    <row r="3937" spans="1:19" hidden="1">
      <c r="A3937" t="s">
        <v>6098</v>
      </c>
      <c r="B3937" s="149" t="str">
        <f>IFERROR(VLOOKUP(Proc[[#This Row],[App]],Table2[],3,0),"open")</f>
        <v>ok</v>
      </c>
      <c r="C3937" s="138" t="s">
        <v>369</v>
      </c>
      <c r="D3937" t="s">
        <v>6090</v>
      </c>
      <c r="E3937" t="s">
        <v>496</v>
      </c>
      <c r="F3937" s="129" t="s">
        <v>496</v>
      </c>
      <c r="G3937" s="135" t="s">
        <v>406</v>
      </c>
      <c r="H3937" s="129" t="str">
        <f>IF(Proc[[#This Row],[type]]="LFF (MDG-F)",MID(Proc[[#This Row],[Obj]],13,10),"")</f>
        <v>DE10GM8401</v>
      </c>
      <c r="J3937" s="129" t="b">
        <f>Proc[[#This Row],[Requested]]=Proc[[#This Row],[CurrentParent]]</f>
        <v>1</v>
      </c>
      <c r="K3937" s="144" t="str">
        <f>IF(Proc[[#This Row],[Author]]="Marcela Urrego",VLOOKUP(LEFT(Proc[[#This Row],[Requested]],1),Table3[#All],2,0),VLOOKUP(Proc[[#This Row],[Author]],Table4[],2,0))</f>
        <v>LS</v>
      </c>
      <c r="L3937" s="129" t="s">
        <v>4894</v>
      </c>
      <c r="M3937" s="136">
        <v>45897</v>
      </c>
      <c r="N3937" s="137"/>
      <c r="O3937" s="137"/>
      <c r="P3937" s="136" t="str">
        <f ca="1">IF(Proc[[#This Row],[DaysAgeing]]&gt;5,"yep","on track")</f>
        <v>yep</v>
      </c>
      <c r="Q3937" s="3">
        <f ca="1">IF(Proc[[#This Row],[DateClosed]]="",ABS(NETWORKDAYS(Proc[[#This Row],[DateOpened]],TODAY()))-1,ABS(NETWORKDAYS(Proc[[#This Row],[DateOpened]],Proc[[#This Row],[DateClosed]]))-1)</f>
        <v>81</v>
      </c>
      <c r="R3937" s="136" t="s">
        <v>972</v>
      </c>
      <c r="S3937" s="129"/>
    </row>
    <row r="3938" spans="1:19" hidden="1">
      <c r="A3938" s="135" t="s">
        <v>6098</v>
      </c>
      <c r="B3938" s="149" t="str">
        <f>IFERROR(VLOOKUP(Proc[[#This Row],[App]],Table2[],3,0),"open")</f>
        <v>ok</v>
      </c>
      <c r="C3938" s="138" t="s">
        <v>369</v>
      </c>
      <c r="D3938" t="s">
        <v>6091</v>
      </c>
      <c r="E3938" t="s">
        <v>6097</v>
      </c>
      <c r="F3938" s="129" t="s">
        <v>6097</v>
      </c>
      <c r="G3938" t="s">
        <v>400</v>
      </c>
      <c r="H3938" s="129" t="str">
        <f>IF(Proc[[#This Row],[type]]="LFF (MDG-F)",MID(Proc[[#This Row],[Obj]],13,10),"")</f>
        <v/>
      </c>
      <c r="J3938" s="129" t="b">
        <f>Proc[[#This Row],[Requested]]=Proc[[#This Row],[CurrentParent]]</f>
        <v>1</v>
      </c>
      <c r="K3938" s="144" t="str">
        <f>IF(Proc[[#This Row],[Author]]="Marcela Urrego",VLOOKUP(LEFT(Proc[[#This Row],[Requested]],1),Table3[#All],2,0),VLOOKUP(Proc[[#This Row],[Author]],Table4[],2,0))</f>
        <v>LS</v>
      </c>
      <c r="L3938" s="129" t="s">
        <v>4894</v>
      </c>
      <c r="M3938" s="136">
        <v>45897</v>
      </c>
      <c r="N3938" s="137"/>
      <c r="O3938" s="137"/>
      <c r="P3938" s="136" t="str">
        <f ca="1">IF(Proc[[#This Row],[DaysAgeing]]&gt;5,"yep","on track")</f>
        <v>yep</v>
      </c>
      <c r="Q3938" s="3">
        <f ca="1">IF(Proc[[#This Row],[DateClosed]]="",ABS(NETWORKDAYS(Proc[[#This Row],[DateOpened]],TODAY()))-1,ABS(NETWORKDAYS(Proc[[#This Row],[DateOpened]],Proc[[#This Row],[DateClosed]]))-1)</f>
        <v>81</v>
      </c>
      <c r="R3938" s="136" t="s">
        <v>972</v>
      </c>
      <c r="S3938" s="129"/>
    </row>
    <row r="3939" spans="1:19" hidden="1">
      <c r="A3939" s="135" t="s">
        <v>6098</v>
      </c>
      <c r="B3939" s="149" t="str">
        <f>IFERROR(VLOOKUP(Proc[[#This Row],[App]],Table2[],3,0),"open")</f>
        <v>ok</v>
      </c>
      <c r="C3939" s="138" t="s">
        <v>369</v>
      </c>
      <c r="D3939" t="s">
        <v>6092</v>
      </c>
      <c r="E3939" t="s">
        <v>2813</v>
      </c>
      <c r="F3939" s="129" t="s">
        <v>2813</v>
      </c>
      <c r="G3939" s="135" t="s">
        <v>400</v>
      </c>
      <c r="H3939" s="129" t="str">
        <f>IF(Proc[[#This Row],[type]]="LFF (MDG-F)",MID(Proc[[#This Row],[Obj]],13,10),"")</f>
        <v/>
      </c>
      <c r="J3939" s="129" t="b">
        <f>Proc[[#This Row],[Requested]]=Proc[[#This Row],[CurrentParent]]</f>
        <v>1</v>
      </c>
      <c r="K3939" s="144" t="str">
        <f>IF(Proc[[#This Row],[Author]]="Marcela Urrego",VLOOKUP(LEFT(Proc[[#This Row],[Requested]],1),Table3[#All],2,0),VLOOKUP(Proc[[#This Row],[Author]],Table4[],2,0))</f>
        <v>LS</v>
      </c>
      <c r="L3939" s="129" t="s">
        <v>4894</v>
      </c>
      <c r="M3939" s="136">
        <v>45897</v>
      </c>
      <c r="N3939" s="137"/>
      <c r="O3939" s="137"/>
      <c r="P3939" s="136" t="str">
        <f ca="1">IF(Proc[[#This Row],[DaysAgeing]]&gt;5,"yep","on track")</f>
        <v>yep</v>
      </c>
      <c r="Q3939" s="3">
        <f ca="1">IF(Proc[[#This Row],[DateClosed]]="",ABS(NETWORKDAYS(Proc[[#This Row],[DateOpened]],TODAY()))-1,ABS(NETWORKDAYS(Proc[[#This Row],[DateOpened]],Proc[[#This Row],[DateClosed]]))-1)</f>
        <v>81</v>
      </c>
      <c r="R3939" s="136" t="s">
        <v>972</v>
      </c>
      <c r="S3939" s="129"/>
    </row>
    <row r="3940" spans="1:19" hidden="1">
      <c r="A3940" s="135" t="s">
        <v>6098</v>
      </c>
      <c r="B3940" s="149" t="str">
        <f>IFERROR(VLOOKUP(Proc[[#This Row],[App]],Table2[],3,0),"open")</f>
        <v>ok</v>
      </c>
      <c r="C3940" s="138" t="s">
        <v>369</v>
      </c>
      <c r="D3940" t="s">
        <v>6093</v>
      </c>
      <c r="E3940" t="s">
        <v>2813</v>
      </c>
      <c r="F3940" s="129" t="s">
        <v>2813</v>
      </c>
      <c r="G3940" s="135" t="s">
        <v>400</v>
      </c>
      <c r="H3940" s="129" t="str">
        <f>IF(Proc[[#This Row],[type]]="LFF (MDG-F)",MID(Proc[[#This Row],[Obj]],13,10),"")</f>
        <v/>
      </c>
      <c r="J3940" s="129" t="b">
        <f>Proc[[#This Row],[Requested]]=Proc[[#This Row],[CurrentParent]]</f>
        <v>1</v>
      </c>
      <c r="K3940" s="144" t="str">
        <f>IF(Proc[[#This Row],[Author]]="Marcela Urrego",VLOOKUP(LEFT(Proc[[#This Row],[Requested]],1),Table3[#All],2,0),VLOOKUP(Proc[[#This Row],[Author]],Table4[],2,0))</f>
        <v>LS</v>
      </c>
      <c r="L3940" s="129" t="s">
        <v>4894</v>
      </c>
      <c r="M3940" s="136">
        <v>45897</v>
      </c>
      <c r="N3940" s="137"/>
      <c r="O3940" s="137"/>
      <c r="P3940" s="136" t="str">
        <f ca="1">IF(Proc[[#This Row],[DaysAgeing]]&gt;5,"yep","on track")</f>
        <v>yep</v>
      </c>
      <c r="Q3940" s="3">
        <f ca="1">IF(Proc[[#This Row],[DateClosed]]="",ABS(NETWORKDAYS(Proc[[#This Row],[DateOpened]],TODAY()))-1,ABS(NETWORKDAYS(Proc[[#This Row],[DateOpened]],Proc[[#This Row],[DateClosed]]))-1)</f>
        <v>81</v>
      </c>
      <c r="R3940" s="136" t="s">
        <v>972</v>
      </c>
      <c r="S3940" s="129"/>
    </row>
    <row r="3941" spans="1:19" hidden="1">
      <c r="A3941" s="135" t="s">
        <v>6098</v>
      </c>
      <c r="B3941" s="149" t="str">
        <f>IFERROR(VLOOKUP(Proc[[#This Row],[App]],Table2[],3,0),"open")</f>
        <v>ok</v>
      </c>
      <c r="C3941" s="138" t="s">
        <v>369</v>
      </c>
      <c r="D3941" t="s">
        <v>6094</v>
      </c>
      <c r="E3941" t="s">
        <v>2813</v>
      </c>
      <c r="F3941" s="129" t="s">
        <v>2813</v>
      </c>
      <c r="G3941" s="135" t="s">
        <v>400</v>
      </c>
      <c r="H3941" s="129" t="str">
        <f>IF(Proc[[#This Row],[type]]="LFF (MDG-F)",MID(Proc[[#This Row],[Obj]],13,10),"")</f>
        <v/>
      </c>
      <c r="J3941" s="129" t="b">
        <f>Proc[[#This Row],[Requested]]=Proc[[#This Row],[CurrentParent]]</f>
        <v>1</v>
      </c>
      <c r="K3941" s="144" t="str">
        <f>IF(Proc[[#This Row],[Author]]="Marcela Urrego",VLOOKUP(LEFT(Proc[[#This Row],[Requested]],1),Table3[#All],2,0),VLOOKUP(Proc[[#This Row],[Author]],Table4[],2,0))</f>
        <v>LS</v>
      </c>
      <c r="L3941" s="129" t="s">
        <v>4894</v>
      </c>
      <c r="M3941" s="136">
        <v>45897</v>
      </c>
      <c r="N3941" s="137"/>
      <c r="O3941" s="137"/>
      <c r="P3941" s="136" t="str">
        <f ca="1">IF(Proc[[#This Row],[DaysAgeing]]&gt;5,"yep","on track")</f>
        <v>yep</v>
      </c>
      <c r="Q3941" s="3">
        <f ca="1">IF(Proc[[#This Row],[DateClosed]]="",ABS(NETWORKDAYS(Proc[[#This Row],[DateOpened]],TODAY()))-1,ABS(NETWORKDAYS(Proc[[#This Row],[DateOpened]],Proc[[#This Row],[DateClosed]]))-1)</f>
        <v>81</v>
      </c>
      <c r="R3941" s="136" t="s">
        <v>972</v>
      </c>
      <c r="S3941" s="129"/>
    </row>
    <row r="3942" spans="1:19" hidden="1">
      <c r="A3942" s="135" t="s">
        <v>6098</v>
      </c>
      <c r="B3942" s="149" t="str">
        <f>IFERROR(VLOOKUP(Proc[[#This Row],[App]],Table2[],3,0),"open")</f>
        <v>ok</v>
      </c>
      <c r="C3942" s="138" t="s">
        <v>369</v>
      </c>
      <c r="D3942" t="s">
        <v>6095</v>
      </c>
      <c r="E3942" t="s">
        <v>2813</v>
      </c>
      <c r="F3942" s="129" t="s">
        <v>2813</v>
      </c>
      <c r="G3942" s="135" t="s">
        <v>400</v>
      </c>
      <c r="H3942" s="129" t="str">
        <f>IF(Proc[[#This Row],[type]]="LFF (MDG-F)",MID(Proc[[#This Row],[Obj]],13,10),"")</f>
        <v/>
      </c>
      <c r="J3942" s="129" t="b">
        <f>Proc[[#This Row],[Requested]]=Proc[[#This Row],[CurrentParent]]</f>
        <v>1</v>
      </c>
      <c r="K3942" s="144" t="str">
        <f>IF(Proc[[#This Row],[Author]]="Marcela Urrego",VLOOKUP(LEFT(Proc[[#This Row],[Requested]],1),Table3[#All],2,0),VLOOKUP(Proc[[#This Row],[Author]],Table4[],2,0))</f>
        <v>LS</v>
      </c>
      <c r="L3942" s="129" t="s">
        <v>4894</v>
      </c>
      <c r="M3942" s="136">
        <v>45897</v>
      </c>
      <c r="N3942" s="137"/>
      <c r="O3942" s="137"/>
      <c r="P3942" s="136" t="str">
        <f ca="1">IF(Proc[[#This Row],[DaysAgeing]]&gt;5,"yep","on track")</f>
        <v>yep</v>
      </c>
      <c r="Q3942" s="3">
        <f ca="1">IF(Proc[[#This Row],[DateClosed]]="",ABS(NETWORKDAYS(Proc[[#This Row],[DateOpened]],TODAY()))-1,ABS(NETWORKDAYS(Proc[[#This Row],[DateOpened]],Proc[[#This Row],[DateClosed]]))-1)</f>
        <v>81</v>
      </c>
      <c r="R3942" s="136" t="s">
        <v>972</v>
      </c>
      <c r="S3942" s="129"/>
    </row>
    <row r="3943" spans="1:19" hidden="1">
      <c r="A3943" s="135" t="s">
        <v>6098</v>
      </c>
      <c r="B3943" s="149" t="str">
        <f>IFERROR(VLOOKUP(Proc[[#This Row],[App]],Table2[],3,0),"open")</f>
        <v>ok</v>
      </c>
      <c r="C3943" s="138" t="s">
        <v>369</v>
      </c>
      <c r="D3943" t="s">
        <v>6096</v>
      </c>
      <c r="E3943" t="s">
        <v>2813</v>
      </c>
      <c r="F3943" s="129" t="s">
        <v>2813</v>
      </c>
      <c r="G3943" s="135" t="s">
        <v>400</v>
      </c>
      <c r="H3943" s="129" t="str">
        <f>IF(Proc[[#This Row],[type]]="LFF (MDG-F)",MID(Proc[[#This Row],[Obj]],13,10),"")</f>
        <v/>
      </c>
      <c r="J3943" s="129" t="b">
        <f>Proc[[#This Row],[Requested]]=Proc[[#This Row],[CurrentParent]]</f>
        <v>1</v>
      </c>
      <c r="K3943" s="144" t="str">
        <f>IF(Proc[[#This Row],[Author]]="Marcela Urrego",VLOOKUP(LEFT(Proc[[#This Row],[Requested]],1),Table3[#All],2,0),VLOOKUP(Proc[[#This Row],[Author]],Table4[],2,0))</f>
        <v>LS</v>
      </c>
      <c r="L3943" s="129" t="s">
        <v>4894</v>
      </c>
      <c r="M3943" s="136">
        <v>45897</v>
      </c>
      <c r="N3943" s="137"/>
      <c r="O3943" s="137"/>
      <c r="P3943" s="136" t="str">
        <f ca="1">IF(Proc[[#This Row],[DaysAgeing]]&gt;5,"yep","on track")</f>
        <v>yep</v>
      </c>
      <c r="Q3943" s="3">
        <f ca="1">IF(Proc[[#This Row],[DateClosed]]="",ABS(NETWORKDAYS(Proc[[#This Row],[DateOpened]],TODAY()))-1,ABS(NETWORKDAYS(Proc[[#This Row],[DateOpened]],Proc[[#This Row],[DateClosed]]))-1)</f>
        <v>81</v>
      </c>
      <c r="R3943" s="136" t="s">
        <v>972</v>
      </c>
      <c r="S3943" s="129"/>
    </row>
    <row r="3944" spans="1:19" hidden="1">
      <c r="A3944" t="s">
        <v>6099</v>
      </c>
      <c r="B3944" s="149" t="str">
        <f>IFERROR(VLOOKUP(Proc[[#This Row],[App]],Table2[],3,0),"open")</f>
        <v>ok</v>
      </c>
      <c r="C3944" s="138" t="s">
        <v>369</v>
      </c>
      <c r="D3944" t="s">
        <v>6100</v>
      </c>
      <c r="E3944" t="s">
        <v>5668</v>
      </c>
      <c r="F3944" s="142" t="s">
        <v>5668</v>
      </c>
      <c r="G3944" s="138" t="s">
        <v>400</v>
      </c>
      <c r="H3944" s="129" t="str">
        <f>IF(Proc[[#This Row],[type]]="LFF (MDG-F)",MID(Proc[[#This Row],[Obj]],13,10),"")</f>
        <v/>
      </c>
      <c r="J3944" s="129" t="b">
        <f>Proc[[#This Row],[Requested]]=Proc[[#This Row],[CurrentParent]]</f>
        <v>1</v>
      </c>
      <c r="K3944" s="144" t="str">
        <f>IF(Proc[[#This Row],[Author]]="Marcela Urrego",VLOOKUP(LEFT(Proc[[#This Row],[Requested]],1),Table3[#All],2,0),VLOOKUP(Proc[[#This Row],[Author]],Table4[],2,0))</f>
        <v>MGF</v>
      </c>
      <c r="L3944" s="129" t="s">
        <v>4894</v>
      </c>
      <c r="M3944" s="136">
        <v>45897</v>
      </c>
      <c r="N3944" s="137"/>
      <c r="O3944" s="137"/>
      <c r="P3944" s="136" t="str">
        <f ca="1">IF(Proc[[#This Row],[DaysAgeing]]&gt;5,"yep","on track")</f>
        <v>yep</v>
      </c>
      <c r="Q3944" s="3">
        <f ca="1">IF(Proc[[#This Row],[DateClosed]]="",ABS(NETWORKDAYS(Proc[[#This Row],[DateOpened]],TODAY()))-1,ABS(NETWORKDAYS(Proc[[#This Row],[DateOpened]],Proc[[#This Row],[DateClosed]]))-1)</f>
        <v>81</v>
      </c>
      <c r="R3944" s="136" t="s">
        <v>515</v>
      </c>
      <c r="S3944" s="129"/>
    </row>
    <row r="3945" spans="1:19" hidden="1">
      <c r="A3945" s="138" t="s">
        <v>6099</v>
      </c>
      <c r="B3945" s="149" t="str">
        <f>IFERROR(VLOOKUP(Proc[[#This Row],[App]],Table2[],3,0),"open")</f>
        <v>ok</v>
      </c>
      <c r="C3945" s="138" t="s">
        <v>369</v>
      </c>
      <c r="D3945" t="s">
        <v>6101</v>
      </c>
      <c r="E3945" t="s">
        <v>5668</v>
      </c>
      <c r="F3945" s="129" t="s">
        <v>5668</v>
      </c>
      <c r="G3945" t="s">
        <v>406</v>
      </c>
      <c r="H3945" s="129" t="str">
        <f>IF(Proc[[#This Row],[type]]="LFF (MDG-F)",MID(Proc[[#This Row],[Obj]],13,10),"")</f>
        <v>NL50GPO180</v>
      </c>
      <c r="J3945" s="129" t="b">
        <f>Proc[[#This Row],[Requested]]=Proc[[#This Row],[CurrentParent]]</f>
        <v>1</v>
      </c>
      <c r="K3945" s="144" t="str">
        <f>IF(Proc[[#This Row],[Author]]="Marcela Urrego",VLOOKUP(LEFT(Proc[[#This Row],[Requested]],1),Table3[#All],2,0),VLOOKUP(Proc[[#This Row],[Author]],Table4[],2,0))</f>
        <v>MGF</v>
      </c>
      <c r="L3945" s="129" t="s">
        <v>4894</v>
      </c>
      <c r="M3945" s="136">
        <v>45897</v>
      </c>
      <c r="N3945" s="137"/>
      <c r="O3945" s="137"/>
      <c r="P3945" s="136" t="str">
        <f ca="1">IF(Proc[[#This Row],[DaysAgeing]]&gt;5,"yep","on track")</f>
        <v>yep</v>
      </c>
      <c r="Q3945" s="3">
        <f ca="1">IF(Proc[[#This Row],[DateClosed]]="",ABS(NETWORKDAYS(Proc[[#This Row],[DateOpened]],TODAY()))-1,ABS(NETWORKDAYS(Proc[[#This Row],[DateOpened]],Proc[[#This Row],[DateClosed]]))-1)</f>
        <v>81</v>
      </c>
      <c r="R3945" s="136" t="s">
        <v>515</v>
      </c>
      <c r="S3945" s="129"/>
    </row>
    <row r="3946" spans="1:19" hidden="1">
      <c r="A3946" s="138" t="s">
        <v>6099</v>
      </c>
      <c r="B3946" s="149" t="str">
        <f>IFERROR(VLOOKUP(Proc[[#This Row],[App]],Table2[],3,0),"open")</f>
        <v>ok</v>
      </c>
      <c r="C3946" s="142" t="s">
        <v>369</v>
      </c>
      <c r="D3946" t="s">
        <v>6102</v>
      </c>
      <c r="E3946" t="s">
        <v>5668</v>
      </c>
      <c r="F3946" s="142" t="s">
        <v>5668</v>
      </c>
      <c r="G3946" s="138" t="s">
        <v>400</v>
      </c>
      <c r="H3946" s="129" t="str">
        <f>IF(Proc[[#This Row],[type]]="LFF (MDG-F)",MID(Proc[[#This Row],[Obj]],13,10),"")</f>
        <v/>
      </c>
      <c r="J3946" s="129" t="b">
        <f>Proc[[#This Row],[Requested]]=Proc[[#This Row],[CurrentParent]]</f>
        <v>1</v>
      </c>
      <c r="K3946" s="144" t="str">
        <f>IF(Proc[[#This Row],[Author]]="Marcela Urrego",VLOOKUP(LEFT(Proc[[#This Row],[Requested]],1),Table3[#All],2,0),VLOOKUP(Proc[[#This Row],[Author]],Table4[],2,0))</f>
        <v>MGF</v>
      </c>
      <c r="L3946" s="129" t="s">
        <v>4894</v>
      </c>
      <c r="M3946" s="136">
        <v>45897</v>
      </c>
      <c r="N3946" s="137"/>
      <c r="O3946" s="137"/>
      <c r="P3946" s="136" t="str">
        <f ca="1">IF(Proc[[#This Row],[DaysAgeing]]&gt;5,"yep","on track")</f>
        <v>yep</v>
      </c>
      <c r="Q3946" s="3">
        <f ca="1">IF(Proc[[#This Row],[DateClosed]]="",ABS(NETWORKDAYS(Proc[[#This Row],[DateOpened]],TODAY()))-1,ABS(NETWORKDAYS(Proc[[#This Row],[DateOpened]],Proc[[#This Row],[DateClosed]]))-1)</f>
        <v>81</v>
      </c>
      <c r="R3946" s="136" t="s">
        <v>515</v>
      </c>
      <c r="S3946" s="129"/>
    </row>
    <row r="3947" spans="1:19" hidden="1">
      <c r="A3947" t="s">
        <v>6105</v>
      </c>
      <c r="B3947" s="149" t="str">
        <f>IFERROR(VLOOKUP(Proc[[#This Row],[App]],Table2[],3,0),"open")</f>
        <v>ok</v>
      </c>
      <c r="C3947" s="149" t="s">
        <v>369</v>
      </c>
      <c r="D3947" s="138" t="s">
        <v>5953</v>
      </c>
      <c r="E3947" s="138" t="s">
        <v>6063</v>
      </c>
      <c r="F3947" s="150" t="s">
        <v>6063</v>
      </c>
      <c r="G3947" t="s">
        <v>406</v>
      </c>
      <c r="H3947" s="129" t="str">
        <f>IF(Proc[[#This Row],[type]]="LFF (MDG-F)",MID(Proc[[#This Row],[Obj]],13,10),"")</f>
        <v>JP01C0M825</v>
      </c>
      <c r="J3947" s="129" t="b">
        <f>Proc[[#This Row],[Requested]]=Proc[[#This Row],[CurrentParent]]</f>
        <v>1</v>
      </c>
      <c r="K3947" s="144" t="str">
        <f>IF(Proc[[#This Row],[Author]]="Marcela Urrego",VLOOKUP(LEFT(Proc[[#This Row],[Requested]],1),Table3[#All],2,0),VLOOKUP(Proc[[#This Row],[Author]],Table4[],2,0))</f>
        <v>EL</v>
      </c>
      <c r="L3947" s="129" t="s">
        <v>4894</v>
      </c>
      <c r="M3947" s="136">
        <v>45897</v>
      </c>
      <c r="N3947" s="137"/>
      <c r="O3947" s="137"/>
      <c r="P3947" s="136" t="str">
        <f ca="1">IF(Proc[[#This Row],[DaysAgeing]]&gt;5,"yep","on track")</f>
        <v>yep</v>
      </c>
      <c r="Q3947" s="3">
        <f ca="1">IF(Proc[[#This Row],[DateClosed]]="",ABS(NETWORKDAYS(Proc[[#This Row],[DateOpened]],TODAY()))-1,ABS(NETWORKDAYS(Proc[[#This Row],[DateOpened]],Proc[[#This Row],[DateClosed]]))-1)</f>
        <v>81</v>
      </c>
      <c r="R3947" s="136" t="s">
        <v>6087</v>
      </c>
      <c r="S3947" s="129"/>
    </row>
    <row r="3948" spans="1:19" hidden="1">
      <c r="A3948" t="s">
        <v>6106</v>
      </c>
      <c r="B3948" s="149" t="str">
        <f>IFERROR(VLOOKUP(Proc[[#This Row],[App]],Table2[],3,0),"open")</f>
        <v>ok</v>
      </c>
      <c r="C3948" s="138" t="s">
        <v>369</v>
      </c>
      <c r="D3948" t="s">
        <v>6107</v>
      </c>
      <c r="E3948" t="s">
        <v>555</v>
      </c>
      <c r="F3948" s="129" t="s">
        <v>555</v>
      </c>
      <c r="G3948" s="138" t="s">
        <v>400</v>
      </c>
      <c r="H3948" s="129" t="str">
        <f>IF(Proc[[#This Row],[type]]="LFF (MDG-F)",MID(Proc[[#This Row],[Obj]],13,10),"")</f>
        <v/>
      </c>
      <c r="J3948" s="129" t="b">
        <f>Proc[[#This Row],[Requested]]=Proc[[#This Row],[CurrentParent]]</f>
        <v>1</v>
      </c>
      <c r="K3948" s="144" t="str">
        <f>IF(Proc[[#This Row],[Author]]="Marcela Urrego",VLOOKUP(LEFT(Proc[[#This Row],[Requested]],1),Table3[#All],2,0),VLOOKUP(Proc[[#This Row],[Author]],Table4[],2,0))</f>
        <v>HC</v>
      </c>
      <c r="L3948" s="129" t="s">
        <v>4894</v>
      </c>
      <c r="M3948" s="136">
        <v>45898</v>
      </c>
      <c r="N3948" s="137"/>
      <c r="O3948" s="137"/>
      <c r="P3948" s="136" t="str">
        <f ca="1">IF(Proc[[#This Row],[DaysAgeing]]&gt;5,"yep","on track")</f>
        <v>yep</v>
      </c>
      <c r="Q3948" s="3">
        <f ca="1">IF(Proc[[#This Row],[DateClosed]]="",ABS(NETWORKDAYS(Proc[[#This Row],[DateOpened]],TODAY()))-1,ABS(NETWORKDAYS(Proc[[#This Row],[DateOpened]],Proc[[#This Row],[DateClosed]]))-1)</f>
        <v>80</v>
      </c>
      <c r="R3948" s="136" t="s">
        <v>1013</v>
      </c>
      <c r="S3948" s="129"/>
    </row>
    <row r="3949" spans="1:19" hidden="1">
      <c r="A3949" s="138" t="s">
        <v>6106</v>
      </c>
      <c r="B3949" s="149" t="str">
        <f>IFERROR(VLOOKUP(Proc[[#This Row],[App]],Table2[],3,0),"open")</f>
        <v>ok</v>
      </c>
      <c r="C3949" s="138" t="s">
        <v>369</v>
      </c>
      <c r="D3949" t="s">
        <v>6108</v>
      </c>
      <c r="E3949" t="s">
        <v>555</v>
      </c>
      <c r="F3949" s="129" t="s">
        <v>555</v>
      </c>
      <c r="G3949" s="138" t="s">
        <v>400</v>
      </c>
      <c r="H3949" s="129" t="str">
        <f>IF(Proc[[#This Row],[type]]="LFF (MDG-F)",MID(Proc[[#This Row],[Obj]],13,10),"")</f>
        <v/>
      </c>
      <c r="J3949" s="129" t="b">
        <f>Proc[[#This Row],[Requested]]=Proc[[#This Row],[CurrentParent]]</f>
        <v>1</v>
      </c>
      <c r="K3949" s="144" t="str">
        <f>IF(Proc[[#This Row],[Author]]="Marcela Urrego",VLOOKUP(LEFT(Proc[[#This Row],[Requested]],1),Table3[#All],2,0),VLOOKUP(Proc[[#This Row],[Author]],Table4[],2,0))</f>
        <v>HC</v>
      </c>
      <c r="L3949" s="129" t="s">
        <v>4894</v>
      </c>
      <c r="M3949" s="136">
        <v>45898</v>
      </c>
      <c r="N3949" s="137"/>
      <c r="O3949" s="137"/>
      <c r="P3949" s="136" t="str">
        <f ca="1">IF(Proc[[#This Row],[DaysAgeing]]&gt;5,"yep","on track")</f>
        <v>yep</v>
      </c>
      <c r="Q3949" s="3">
        <f ca="1">IF(Proc[[#This Row],[DateClosed]]="",ABS(NETWORKDAYS(Proc[[#This Row],[DateOpened]],TODAY()))-1,ABS(NETWORKDAYS(Proc[[#This Row],[DateOpened]],Proc[[#This Row],[DateClosed]]))-1)</f>
        <v>80</v>
      </c>
      <c r="R3949" s="136" t="s">
        <v>1013</v>
      </c>
      <c r="S3949" s="129"/>
    </row>
    <row r="3950" spans="1:19" hidden="1">
      <c r="A3950" s="138" t="s">
        <v>6106</v>
      </c>
      <c r="B3950" s="149" t="str">
        <f>IFERROR(VLOOKUP(Proc[[#This Row],[App]],Table2[],3,0),"open")</f>
        <v>ok</v>
      </c>
      <c r="C3950" s="138" t="s">
        <v>369</v>
      </c>
      <c r="D3950" t="s">
        <v>6109</v>
      </c>
      <c r="E3950" t="s">
        <v>1012</v>
      </c>
      <c r="F3950" s="129" t="s">
        <v>1012</v>
      </c>
      <c r="G3950" s="138" t="s">
        <v>400</v>
      </c>
      <c r="H3950" s="129" t="str">
        <f>IF(Proc[[#This Row],[type]]="LFF (MDG-F)",MID(Proc[[#This Row],[Obj]],13,10),"")</f>
        <v/>
      </c>
      <c r="J3950" s="129" t="b">
        <f>Proc[[#This Row],[Requested]]=Proc[[#This Row],[CurrentParent]]</f>
        <v>1</v>
      </c>
      <c r="K3950" s="144" t="str">
        <f>IF(Proc[[#This Row],[Author]]="Marcela Urrego",VLOOKUP(LEFT(Proc[[#This Row],[Requested]],1),Table3[#All],2,0),VLOOKUP(Proc[[#This Row],[Author]],Table4[],2,0))</f>
        <v>HC</v>
      </c>
      <c r="L3950" s="129" t="s">
        <v>4894</v>
      </c>
      <c r="M3950" s="136">
        <v>45898</v>
      </c>
      <c r="N3950" s="137"/>
      <c r="O3950" s="137"/>
      <c r="P3950" s="136" t="str">
        <f ca="1">IF(Proc[[#This Row],[DaysAgeing]]&gt;5,"yep","on track")</f>
        <v>yep</v>
      </c>
      <c r="Q3950" s="3">
        <f ca="1">IF(Proc[[#This Row],[DateClosed]]="",ABS(NETWORKDAYS(Proc[[#This Row],[DateOpened]],TODAY()))-1,ABS(NETWORKDAYS(Proc[[#This Row],[DateOpened]],Proc[[#This Row],[DateClosed]]))-1)</f>
        <v>80</v>
      </c>
      <c r="R3950" s="136" t="s">
        <v>1013</v>
      </c>
      <c r="S3950" s="129"/>
    </row>
    <row r="3951" spans="1:19" hidden="1">
      <c r="A3951" s="138" t="s">
        <v>6106</v>
      </c>
      <c r="B3951" s="149" t="str">
        <f>IFERROR(VLOOKUP(Proc[[#This Row],[App]],Table2[],3,0),"open")</f>
        <v>ok</v>
      </c>
      <c r="C3951" s="138" t="s">
        <v>369</v>
      </c>
      <c r="D3951" t="s">
        <v>6110</v>
      </c>
      <c r="E3951" t="s">
        <v>555</v>
      </c>
      <c r="F3951" s="129" t="s">
        <v>555</v>
      </c>
      <c r="G3951" s="138" t="s">
        <v>400</v>
      </c>
      <c r="H3951" s="129" t="str">
        <f>IF(Proc[[#This Row],[type]]="LFF (MDG-F)",MID(Proc[[#This Row],[Obj]],13,10),"")</f>
        <v/>
      </c>
      <c r="J3951" s="129" t="b">
        <f>Proc[[#This Row],[Requested]]=Proc[[#This Row],[CurrentParent]]</f>
        <v>1</v>
      </c>
      <c r="K3951" s="144" t="str">
        <f>IF(Proc[[#This Row],[Author]]="Marcela Urrego",VLOOKUP(LEFT(Proc[[#This Row],[Requested]],1),Table3[#All],2,0),VLOOKUP(Proc[[#This Row],[Author]],Table4[],2,0))</f>
        <v>HC</v>
      </c>
      <c r="L3951" s="129" t="s">
        <v>4894</v>
      </c>
      <c r="M3951" s="136">
        <v>45898</v>
      </c>
      <c r="N3951" s="137"/>
      <c r="O3951" s="137"/>
      <c r="P3951" s="136" t="str">
        <f ca="1">IF(Proc[[#This Row],[DaysAgeing]]&gt;5,"yep","on track")</f>
        <v>yep</v>
      </c>
      <c r="Q3951" s="3">
        <f ca="1">IF(Proc[[#This Row],[DateClosed]]="",ABS(NETWORKDAYS(Proc[[#This Row],[DateOpened]],TODAY()))-1,ABS(NETWORKDAYS(Proc[[#This Row],[DateOpened]],Proc[[#This Row],[DateClosed]]))-1)</f>
        <v>80</v>
      </c>
      <c r="R3951" s="136" t="s">
        <v>1013</v>
      </c>
      <c r="S3951" s="129"/>
    </row>
    <row r="3952" spans="1:19" hidden="1">
      <c r="A3952" s="138" t="s">
        <v>6106</v>
      </c>
      <c r="B3952" s="149" t="str">
        <f>IFERROR(VLOOKUP(Proc[[#This Row],[App]],Table2[],3,0),"open")</f>
        <v>ok</v>
      </c>
      <c r="C3952" s="138" t="s">
        <v>369</v>
      </c>
      <c r="D3952" t="s">
        <v>6111</v>
      </c>
      <c r="E3952" t="s">
        <v>1012</v>
      </c>
      <c r="F3952" s="129" t="s">
        <v>1012</v>
      </c>
      <c r="G3952" s="138" t="s">
        <v>400</v>
      </c>
      <c r="H3952" s="129" t="str">
        <f>IF(Proc[[#This Row],[type]]="LFF (MDG-F)",MID(Proc[[#This Row],[Obj]],13,10),"")</f>
        <v/>
      </c>
      <c r="J3952" s="129" t="b">
        <f>Proc[[#This Row],[Requested]]=Proc[[#This Row],[CurrentParent]]</f>
        <v>1</v>
      </c>
      <c r="K3952" s="144" t="str">
        <f>IF(Proc[[#This Row],[Author]]="Marcela Urrego",VLOOKUP(LEFT(Proc[[#This Row],[Requested]],1),Table3[#All],2,0),VLOOKUP(Proc[[#This Row],[Author]],Table4[],2,0))</f>
        <v>HC</v>
      </c>
      <c r="L3952" s="129" t="s">
        <v>4894</v>
      </c>
      <c r="M3952" s="136">
        <v>45898</v>
      </c>
      <c r="N3952" s="137"/>
      <c r="O3952" s="137"/>
      <c r="P3952" s="136" t="str">
        <f ca="1">IF(Proc[[#This Row],[DaysAgeing]]&gt;5,"yep","on track")</f>
        <v>yep</v>
      </c>
      <c r="Q3952" s="3">
        <f ca="1">IF(Proc[[#This Row],[DateClosed]]="",ABS(NETWORKDAYS(Proc[[#This Row],[DateOpened]],TODAY()))-1,ABS(NETWORKDAYS(Proc[[#This Row],[DateOpened]],Proc[[#This Row],[DateClosed]]))-1)</f>
        <v>80</v>
      </c>
      <c r="R3952" s="136" t="s">
        <v>1013</v>
      </c>
      <c r="S3952" s="129"/>
    </row>
    <row r="3953" spans="1:19" hidden="1">
      <c r="A3953" s="138" t="s">
        <v>6106</v>
      </c>
      <c r="B3953" s="149" t="str">
        <f>IFERROR(VLOOKUP(Proc[[#This Row],[App]],Table2[],3,0),"open")</f>
        <v>ok</v>
      </c>
      <c r="C3953" s="138" t="s">
        <v>369</v>
      </c>
      <c r="D3953" t="s">
        <v>6112</v>
      </c>
      <c r="E3953" t="s">
        <v>555</v>
      </c>
      <c r="F3953" s="129" t="s">
        <v>555</v>
      </c>
      <c r="G3953" s="138" t="s">
        <v>400</v>
      </c>
      <c r="H3953" s="129" t="str">
        <f>IF(Proc[[#This Row],[type]]="LFF (MDG-F)",MID(Proc[[#This Row],[Obj]],13,10),"")</f>
        <v/>
      </c>
      <c r="J3953" s="129" t="b">
        <f>Proc[[#This Row],[Requested]]=Proc[[#This Row],[CurrentParent]]</f>
        <v>1</v>
      </c>
      <c r="K3953" s="144" t="str">
        <f>IF(Proc[[#This Row],[Author]]="Marcela Urrego",VLOOKUP(LEFT(Proc[[#This Row],[Requested]],1),Table3[#All],2,0),VLOOKUP(Proc[[#This Row],[Author]],Table4[],2,0))</f>
        <v>HC</v>
      </c>
      <c r="L3953" s="129" t="s">
        <v>4894</v>
      </c>
      <c r="M3953" s="136">
        <v>45898</v>
      </c>
      <c r="N3953" s="137"/>
      <c r="O3953" s="137"/>
      <c r="P3953" s="136" t="str">
        <f ca="1">IF(Proc[[#This Row],[DaysAgeing]]&gt;5,"yep","on track")</f>
        <v>yep</v>
      </c>
      <c r="Q3953" s="3">
        <f ca="1">IF(Proc[[#This Row],[DateClosed]]="",ABS(NETWORKDAYS(Proc[[#This Row],[DateOpened]],TODAY()))-1,ABS(NETWORKDAYS(Proc[[#This Row],[DateOpened]],Proc[[#This Row],[DateClosed]]))-1)</f>
        <v>80</v>
      </c>
      <c r="R3953" s="136" t="s">
        <v>1013</v>
      </c>
      <c r="S3953" s="129"/>
    </row>
    <row r="3954" spans="1:19" hidden="1">
      <c r="A3954" s="138" t="s">
        <v>6106</v>
      </c>
      <c r="B3954" s="149" t="str">
        <f>IFERROR(VLOOKUP(Proc[[#This Row],[App]],Table2[],3,0),"open")</f>
        <v>ok</v>
      </c>
      <c r="C3954" s="138" t="s">
        <v>369</v>
      </c>
      <c r="D3954" t="s">
        <v>6113</v>
      </c>
      <c r="E3954" t="s">
        <v>555</v>
      </c>
      <c r="F3954" s="129" t="s">
        <v>555</v>
      </c>
      <c r="G3954" s="138" t="s">
        <v>400</v>
      </c>
      <c r="H3954" s="129" t="str">
        <f>IF(Proc[[#This Row],[type]]="LFF (MDG-F)",MID(Proc[[#This Row],[Obj]],13,10),"")</f>
        <v/>
      </c>
      <c r="J3954" s="129" t="b">
        <f>Proc[[#This Row],[Requested]]=Proc[[#This Row],[CurrentParent]]</f>
        <v>1</v>
      </c>
      <c r="K3954" s="144" t="str">
        <f>IF(Proc[[#This Row],[Author]]="Marcela Urrego",VLOOKUP(LEFT(Proc[[#This Row],[Requested]],1),Table3[#All],2,0),VLOOKUP(Proc[[#This Row],[Author]],Table4[],2,0))</f>
        <v>HC</v>
      </c>
      <c r="L3954" s="129" t="s">
        <v>4894</v>
      </c>
      <c r="M3954" s="136">
        <v>45898</v>
      </c>
      <c r="N3954" s="137"/>
      <c r="O3954" s="137"/>
      <c r="P3954" s="136" t="str">
        <f ca="1">IF(Proc[[#This Row],[DaysAgeing]]&gt;5,"yep","on track")</f>
        <v>yep</v>
      </c>
      <c r="Q3954" s="3">
        <f ca="1">IF(Proc[[#This Row],[DateClosed]]="",ABS(NETWORKDAYS(Proc[[#This Row],[DateOpened]],TODAY()))-1,ABS(NETWORKDAYS(Proc[[#This Row],[DateOpened]],Proc[[#This Row],[DateClosed]]))-1)</f>
        <v>80</v>
      </c>
      <c r="R3954" s="136" t="s">
        <v>1013</v>
      </c>
      <c r="S3954" s="129"/>
    </row>
    <row r="3955" spans="1:19" hidden="1">
      <c r="A3955" s="138" t="s">
        <v>6106</v>
      </c>
      <c r="B3955" s="149" t="str">
        <f>IFERROR(VLOOKUP(Proc[[#This Row],[App]],Table2[],3,0),"open")</f>
        <v>ok</v>
      </c>
      <c r="C3955" s="138" t="s">
        <v>369</v>
      </c>
      <c r="D3955" t="s">
        <v>6114</v>
      </c>
      <c r="E3955" t="s">
        <v>1012</v>
      </c>
      <c r="F3955" s="129" t="s">
        <v>1012</v>
      </c>
      <c r="G3955" s="138" t="s">
        <v>400</v>
      </c>
      <c r="H3955" s="129" t="str">
        <f>IF(Proc[[#This Row],[type]]="LFF (MDG-F)",MID(Proc[[#This Row],[Obj]],13,10),"")</f>
        <v/>
      </c>
      <c r="J3955" s="129" t="b">
        <f>Proc[[#This Row],[Requested]]=Proc[[#This Row],[CurrentParent]]</f>
        <v>1</v>
      </c>
      <c r="K3955" s="144" t="str">
        <f>IF(Proc[[#This Row],[Author]]="Marcela Urrego",VLOOKUP(LEFT(Proc[[#This Row],[Requested]],1),Table3[#All],2,0),VLOOKUP(Proc[[#This Row],[Author]],Table4[],2,0))</f>
        <v>HC</v>
      </c>
      <c r="L3955" s="129" t="s">
        <v>4894</v>
      </c>
      <c r="M3955" s="136">
        <v>45898</v>
      </c>
      <c r="N3955" s="137"/>
      <c r="O3955" s="137"/>
      <c r="P3955" s="136" t="str">
        <f ca="1">IF(Proc[[#This Row],[DaysAgeing]]&gt;5,"yep","on track")</f>
        <v>yep</v>
      </c>
      <c r="Q3955" s="3">
        <f ca="1">IF(Proc[[#This Row],[DateClosed]]="",ABS(NETWORKDAYS(Proc[[#This Row],[DateOpened]],TODAY()))-1,ABS(NETWORKDAYS(Proc[[#This Row],[DateOpened]],Proc[[#This Row],[DateClosed]]))-1)</f>
        <v>80</v>
      </c>
      <c r="R3955" s="136" t="s">
        <v>1013</v>
      </c>
      <c r="S3955" s="129"/>
    </row>
    <row r="3956" spans="1:19" hidden="1">
      <c r="A3956" s="138" t="s">
        <v>6106</v>
      </c>
      <c r="B3956" s="149" t="str">
        <f>IFERROR(VLOOKUP(Proc[[#This Row],[App]],Table2[],3,0),"open")</f>
        <v>ok</v>
      </c>
      <c r="C3956" s="138" t="s">
        <v>369</v>
      </c>
      <c r="D3956" t="s">
        <v>6115</v>
      </c>
      <c r="E3956" t="s">
        <v>556</v>
      </c>
      <c r="F3956" s="129" t="s">
        <v>556</v>
      </c>
      <c r="G3956" s="138" t="s">
        <v>400</v>
      </c>
      <c r="H3956" s="129" t="str">
        <f>IF(Proc[[#This Row],[type]]="LFF (MDG-F)",MID(Proc[[#This Row],[Obj]],13,10),"")</f>
        <v/>
      </c>
      <c r="J3956" s="129" t="b">
        <f>Proc[[#This Row],[Requested]]=Proc[[#This Row],[CurrentParent]]</f>
        <v>1</v>
      </c>
      <c r="K3956" s="144" t="str">
        <f>IF(Proc[[#This Row],[Author]]="Marcela Urrego",VLOOKUP(LEFT(Proc[[#This Row],[Requested]],1),Table3[#All],2,0),VLOOKUP(Proc[[#This Row],[Author]],Table4[],2,0))</f>
        <v>HC</v>
      </c>
      <c r="L3956" s="129" t="s">
        <v>4894</v>
      </c>
      <c r="M3956" s="136">
        <v>45898</v>
      </c>
      <c r="N3956" s="137"/>
      <c r="O3956" s="137"/>
      <c r="P3956" s="136" t="str">
        <f ca="1">IF(Proc[[#This Row],[DaysAgeing]]&gt;5,"yep","on track")</f>
        <v>yep</v>
      </c>
      <c r="Q3956" s="3">
        <f ca="1">IF(Proc[[#This Row],[DateClosed]]="",ABS(NETWORKDAYS(Proc[[#This Row],[DateOpened]],TODAY()))-1,ABS(NETWORKDAYS(Proc[[#This Row],[DateOpened]],Proc[[#This Row],[DateClosed]]))-1)</f>
        <v>80</v>
      </c>
      <c r="R3956" s="136" t="s">
        <v>1013</v>
      </c>
      <c r="S3956" s="129"/>
    </row>
    <row r="3957" spans="1:19" hidden="1">
      <c r="A3957" s="138" t="s">
        <v>6106</v>
      </c>
      <c r="B3957" s="149" t="str">
        <f>IFERROR(VLOOKUP(Proc[[#This Row],[App]],Table2[],3,0),"open")</f>
        <v>ok</v>
      </c>
      <c r="C3957" s="138" t="s">
        <v>369</v>
      </c>
      <c r="D3957" t="s">
        <v>6116</v>
      </c>
      <c r="E3957" t="s">
        <v>1012</v>
      </c>
      <c r="F3957" s="129" t="s">
        <v>1012</v>
      </c>
      <c r="G3957" s="138" t="s">
        <v>400</v>
      </c>
      <c r="H3957" s="129" t="str">
        <f>IF(Proc[[#This Row],[type]]="LFF (MDG-F)",MID(Proc[[#This Row],[Obj]],13,10),"")</f>
        <v/>
      </c>
      <c r="J3957" s="129" t="b">
        <f>Proc[[#This Row],[Requested]]=Proc[[#This Row],[CurrentParent]]</f>
        <v>1</v>
      </c>
      <c r="K3957" s="144" t="str">
        <f>IF(Proc[[#This Row],[Author]]="Marcela Urrego",VLOOKUP(LEFT(Proc[[#This Row],[Requested]],1),Table3[#All],2,0),VLOOKUP(Proc[[#This Row],[Author]],Table4[],2,0))</f>
        <v>HC</v>
      </c>
      <c r="L3957" s="129" t="s">
        <v>4894</v>
      </c>
      <c r="M3957" s="136">
        <v>45898</v>
      </c>
      <c r="N3957" s="137"/>
      <c r="O3957" s="137"/>
      <c r="P3957" s="136" t="str">
        <f ca="1">IF(Proc[[#This Row],[DaysAgeing]]&gt;5,"yep","on track")</f>
        <v>yep</v>
      </c>
      <c r="Q3957" s="3">
        <f ca="1">IF(Proc[[#This Row],[DateClosed]]="",ABS(NETWORKDAYS(Proc[[#This Row],[DateOpened]],TODAY()))-1,ABS(NETWORKDAYS(Proc[[#This Row],[DateOpened]],Proc[[#This Row],[DateClosed]]))-1)</f>
        <v>80</v>
      </c>
      <c r="R3957" s="136" t="s">
        <v>1013</v>
      </c>
      <c r="S3957" s="129"/>
    </row>
    <row r="3958" spans="1:19" hidden="1">
      <c r="A3958" s="138" t="s">
        <v>6106</v>
      </c>
      <c r="B3958" s="149" t="str">
        <f>IFERROR(VLOOKUP(Proc[[#This Row],[App]],Table2[],3,0),"open")</f>
        <v>ok</v>
      </c>
      <c r="C3958" s="138" t="s">
        <v>369</v>
      </c>
      <c r="D3958" t="s">
        <v>6117</v>
      </c>
      <c r="E3958" t="s">
        <v>1012</v>
      </c>
      <c r="F3958" s="129" t="s">
        <v>1012</v>
      </c>
      <c r="G3958" s="138" t="s">
        <v>400</v>
      </c>
      <c r="H3958" s="129" t="str">
        <f>IF(Proc[[#This Row],[type]]="LFF (MDG-F)",MID(Proc[[#This Row],[Obj]],13,10),"")</f>
        <v/>
      </c>
      <c r="J3958" s="129" t="b">
        <f>Proc[[#This Row],[Requested]]=Proc[[#This Row],[CurrentParent]]</f>
        <v>1</v>
      </c>
      <c r="K3958" s="144" t="str">
        <f>IF(Proc[[#This Row],[Author]]="Marcela Urrego",VLOOKUP(LEFT(Proc[[#This Row],[Requested]],1),Table3[#All],2,0),VLOOKUP(Proc[[#This Row],[Author]],Table4[],2,0))</f>
        <v>HC</v>
      </c>
      <c r="L3958" s="129" t="s">
        <v>4894</v>
      </c>
      <c r="M3958" s="136">
        <v>45898</v>
      </c>
      <c r="N3958" s="137"/>
      <c r="O3958" s="137"/>
      <c r="P3958" s="136" t="str">
        <f ca="1">IF(Proc[[#This Row],[DaysAgeing]]&gt;5,"yep","on track")</f>
        <v>yep</v>
      </c>
      <c r="Q3958" s="3">
        <f ca="1">IF(Proc[[#This Row],[DateClosed]]="",ABS(NETWORKDAYS(Proc[[#This Row],[DateOpened]],TODAY()))-1,ABS(NETWORKDAYS(Proc[[#This Row],[DateOpened]],Proc[[#This Row],[DateClosed]]))-1)</f>
        <v>80</v>
      </c>
      <c r="R3958" s="136" t="s">
        <v>1013</v>
      </c>
      <c r="S3958" s="129"/>
    </row>
    <row r="3959" spans="1:19" hidden="1">
      <c r="A3959" s="138" t="s">
        <v>6106</v>
      </c>
      <c r="B3959" s="149" t="str">
        <f>IFERROR(VLOOKUP(Proc[[#This Row],[App]],Table2[],3,0),"open")</f>
        <v>ok</v>
      </c>
      <c r="C3959" s="138" t="s">
        <v>369</v>
      </c>
      <c r="D3959" t="s">
        <v>6118</v>
      </c>
      <c r="E3959" t="s">
        <v>1012</v>
      </c>
      <c r="F3959" s="129" t="s">
        <v>1012</v>
      </c>
      <c r="G3959" s="138" t="s">
        <v>400</v>
      </c>
      <c r="H3959" s="129" t="str">
        <f>IF(Proc[[#This Row],[type]]="LFF (MDG-F)",MID(Proc[[#This Row],[Obj]],13,10),"")</f>
        <v/>
      </c>
      <c r="J3959" s="129" t="b">
        <f>Proc[[#This Row],[Requested]]=Proc[[#This Row],[CurrentParent]]</f>
        <v>1</v>
      </c>
      <c r="K3959" s="144" t="str">
        <f>IF(Proc[[#This Row],[Author]]="Marcela Urrego",VLOOKUP(LEFT(Proc[[#This Row],[Requested]],1),Table3[#All],2,0),VLOOKUP(Proc[[#This Row],[Author]],Table4[],2,0))</f>
        <v>HC</v>
      </c>
      <c r="L3959" s="129" t="s">
        <v>4894</v>
      </c>
      <c r="M3959" s="136">
        <v>45898</v>
      </c>
      <c r="N3959" s="137"/>
      <c r="O3959" s="137"/>
      <c r="P3959" s="136" t="str">
        <f ca="1">IF(Proc[[#This Row],[DaysAgeing]]&gt;5,"yep","on track")</f>
        <v>yep</v>
      </c>
      <c r="Q3959" s="3">
        <f ca="1">IF(Proc[[#This Row],[DateClosed]]="",ABS(NETWORKDAYS(Proc[[#This Row],[DateOpened]],TODAY()))-1,ABS(NETWORKDAYS(Proc[[#This Row],[DateOpened]],Proc[[#This Row],[DateClosed]]))-1)</f>
        <v>80</v>
      </c>
      <c r="R3959" s="136" t="s">
        <v>1013</v>
      </c>
      <c r="S3959" s="129"/>
    </row>
    <row r="3960" spans="1:19" hidden="1">
      <c r="A3960" s="138" t="s">
        <v>6106</v>
      </c>
      <c r="B3960" s="149" t="str">
        <f>IFERROR(VLOOKUP(Proc[[#This Row],[App]],Table2[],3,0),"open")</f>
        <v>ok</v>
      </c>
      <c r="C3960" s="138" t="s">
        <v>369</v>
      </c>
      <c r="D3960" t="s">
        <v>6119</v>
      </c>
      <c r="E3960" t="s">
        <v>555</v>
      </c>
      <c r="F3960" s="129" t="s">
        <v>555</v>
      </c>
      <c r="G3960" s="138" t="s">
        <v>400</v>
      </c>
      <c r="H3960" s="129" t="str">
        <f>IF(Proc[[#This Row],[type]]="LFF (MDG-F)",MID(Proc[[#This Row],[Obj]],13,10),"")</f>
        <v/>
      </c>
      <c r="J3960" s="129" t="b">
        <f>Proc[[#This Row],[Requested]]=Proc[[#This Row],[CurrentParent]]</f>
        <v>1</v>
      </c>
      <c r="K3960" s="144" t="str">
        <f>IF(Proc[[#This Row],[Author]]="Marcela Urrego",VLOOKUP(LEFT(Proc[[#This Row],[Requested]],1),Table3[#All],2,0),VLOOKUP(Proc[[#This Row],[Author]],Table4[],2,0))</f>
        <v>HC</v>
      </c>
      <c r="L3960" s="129" t="s">
        <v>4894</v>
      </c>
      <c r="M3960" s="136">
        <v>45898</v>
      </c>
      <c r="N3960" s="137"/>
      <c r="O3960" s="137"/>
      <c r="P3960" s="136" t="str">
        <f ca="1">IF(Proc[[#This Row],[DaysAgeing]]&gt;5,"yep","on track")</f>
        <v>yep</v>
      </c>
      <c r="Q3960" s="3">
        <f ca="1">IF(Proc[[#This Row],[DateClosed]]="",ABS(NETWORKDAYS(Proc[[#This Row],[DateOpened]],TODAY()))-1,ABS(NETWORKDAYS(Proc[[#This Row],[DateOpened]],Proc[[#This Row],[DateClosed]]))-1)</f>
        <v>80</v>
      </c>
      <c r="R3960" s="136" t="s">
        <v>1013</v>
      </c>
      <c r="S3960" s="129"/>
    </row>
    <row r="3961" spans="1:19" hidden="1">
      <c r="A3961" s="138" t="s">
        <v>6106</v>
      </c>
      <c r="B3961" s="149" t="str">
        <f>IFERROR(VLOOKUP(Proc[[#This Row],[App]],Table2[],3,0),"open")</f>
        <v>ok</v>
      </c>
      <c r="C3961" s="138" t="s">
        <v>369</v>
      </c>
      <c r="D3961" t="s">
        <v>6120</v>
      </c>
      <c r="E3961" t="s">
        <v>554</v>
      </c>
      <c r="F3961" s="129" t="s">
        <v>554</v>
      </c>
      <c r="G3961" s="138" t="s">
        <v>400</v>
      </c>
      <c r="H3961" s="129" t="str">
        <f>IF(Proc[[#This Row],[type]]="LFF (MDG-F)",MID(Proc[[#This Row],[Obj]],13,10),"")</f>
        <v/>
      </c>
      <c r="J3961" s="129" t="b">
        <f>Proc[[#This Row],[Requested]]=Proc[[#This Row],[CurrentParent]]</f>
        <v>1</v>
      </c>
      <c r="K3961" s="144" t="str">
        <f>IF(Proc[[#This Row],[Author]]="Marcela Urrego",VLOOKUP(LEFT(Proc[[#This Row],[Requested]],1),Table3[#All],2,0),VLOOKUP(Proc[[#This Row],[Author]],Table4[],2,0))</f>
        <v>HC</v>
      </c>
      <c r="L3961" s="129" t="s">
        <v>4894</v>
      </c>
      <c r="M3961" s="136">
        <v>45898</v>
      </c>
      <c r="N3961" s="137"/>
      <c r="O3961" s="137"/>
      <c r="P3961" s="136" t="str">
        <f ca="1">IF(Proc[[#This Row],[DaysAgeing]]&gt;5,"yep","on track")</f>
        <v>yep</v>
      </c>
      <c r="Q3961" s="3">
        <f ca="1">IF(Proc[[#This Row],[DateClosed]]="",ABS(NETWORKDAYS(Proc[[#This Row],[DateOpened]],TODAY()))-1,ABS(NETWORKDAYS(Proc[[#This Row],[DateOpened]],Proc[[#This Row],[DateClosed]]))-1)</f>
        <v>80</v>
      </c>
      <c r="R3961" s="136" t="s">
        <v>1013</v>
      </c>
      <c r="S3961" s="129"/>
    </row>
    <row r="3962" spans="1:19" hidden="1">
      <c r="A3962" s="138" t="s">
        <v>6106</v>
      </c>
      <c r="B3962" s="149" t="str">
        <f>IFERROR(VLOOKUP(Proc[[#This Row],[App]],Table2[],3,0),"open")</f>
        <v>ok</v>
      </c>
      <c r="C3962" s="138" t="s">
        <v>369</v>
      </c>
      <c r="D3962" t="s">
        <v>6121</v>
      </c>
      <c r="E3962" t="s">
        <v>554</v>
      </c>
      <c r="F3962" s="129" t="s">
        <v>554</v>
      </c>
      <c r="G3962" s="138" t="s">
        <v>400</v>
      </c>
      <c r="H3962" s="129" t="str">
        <f>IF(Proc[[#This Row],[type]]="LFF (MDG-F)",MID(Proc[[#This Row],[Obj]],13,10),"")</f>
        <v/>
      </c>
      <c r="J3962" s="129" t="b">
        <f>Proc[[#This Row],[Requested]]=Proc[[#This Row],[CurrentParent]]</f>
        <v>1</v>
      </c>
      <c r="K3962" s="144" t="str">
        <f>IF(Proc[[#This Row],[Author]]="Marcela Urrego",VLOOKUP(LEFT(Proc[[#This Row],[Requested]],1),Table3[#All],2,0),VLOOKUP(Proc[[#This Row],[Author]],Table4[],2,0))</f>
        <v>HC</v>
      </c>
      <c r="L3962" s="129" t="s">
        <v>4894</v>
      </c>
      <c r="M3962" s="136">
        <v>45898</v>
      </c>
      <c r="N3962" s="137"/>
      <c r="O3962" s="137"/>
      <c r="P3962" s="136" t="str">
        <f ca="1">IF(Proc[[#This Row],[DaysAgeing]]&gt;5,"yep","on track")</f>
        <v>yep</v>
      </c>
      <c r="Q3962" s="3">
        <f ca="1">IF(Proc[[#This Row],[DateClosed]]="",ABS(NETWORKDAYS(Proc[[#This Row],[DateOpened]],TODAY()))-1,ABS(NETWORKDAYS(Proc[[#This Row],[DateOpened]],Proc[[#This Row],[DateClosed]]))-1)</f>
        <v>80</v>
      </c>
      <c r="R3962" s="136" t="s">
        <v>1013</v>
      </c>
      <c r="S3962" s="129"/>
    </row>
    <row r="3963" spans="1:19" hidden="1">
      <c r="A3963" s="138" t="s">
        <v>6106</v>
      </c>
      <c r="B3963" s="149" t="str">
        <f>IFERROR(VLOOKUP(Proc[[#This Row],[App]],Table2[],3,0),"open")</f>
        <v>ok</v>
      </c>
      <c r="C3963" s="138" t="s">
        <v>369</v>
      </c>
      <c r="D3963" t="s">
        <v>6122</v>
      </c>
      <c r="E3963" t="s">
        <v>554</v>
      </c>
      <c r="F3963" s="129" t="s">
        <v>554</v>
      </c>
      <c r="G3963" s="138" t="s">
        <v>400</v>
      </c>
      <c r="H3963" s="129" t="str">
        <f>IF(Proc[[#This Row],[type]]="LFF (MDG-F)",MID(Proc[[#This Row],[Obj]],13,10),"")</f>
        <v/>
      </c>
      <c r="J3963" s="129" t="b">
        <f>Proc[[#This Row],[Requested]]=Proc[[#This Row],[CurrentParent]]</f>
        <v>1</v>
      </c>
      <c r="K3963" s="144" t="str">
        <f>IF(Proc[[#This Row],[Author]]="Marcela Urrego",VLOOKUP(LEFT(Proc[[#This Row],[Requested]],1),Table3[#All],2,0),VLOOKUP(Proc[[#This Row],[Author]],Table4[],2,0))</f>
        <v>HC</v>
      </c>
      <c r="L3963" s="129" t="s">
        <v>4894</v>
      </c>
      <c r="M3963" s="136">
        <v>45898</v>
      </c>
      <c r="N3963" s="137"/>
      <c r="O3963" s="137"/>
      <c r="P3963" s="136" t="str">
        <f ca="1">IF(Proc[[#This Row],[DaysAgeing]]&gt;5,"yep","on track")</f>
        <v>yep</v>
      </c>
      <c r="Q3963" s="3">
        <f ca="1">IF(Proc[[#This Row],[DateClosed]]="",ABS(NETWORKDAYS(Proc[[#This Row],[DateOpened]],TODAY()))-1,ABS(NETWORKDAYS(Proc[[#This Row],[DateOpened]],Proc[[#This Row],[DateClosed]]))-1)</f>
        <v>80</v>
      </c>
      <c r="R3963" s="136" t="s">
        <v>1013</v>
      </c>
      <c r="S3963" s="129"/>
    </row>
    <row r="3964" spans="1:19" hidden="1">
      <c r="A3964" s="138" t="s">
        <v>6106</v>
      </c>
      <c r="B3964" s="149" t="str">
        <f>IFERROR(VLOOKUP(Proc[[#This Row],[App]],Table2[],3,0),"open")</f>
        <v>ok</v>
      </c>
      <c r="C3964" s="138" t="s">
        <v>369</v>
      </c>
      <c r="D3964" t="s">
        <v>6123</v>
      </c>
      <c r="E3964" t="s">
        <v>557</v>
      </c>
      <c r="F3964" s="129" t="s">
        <v>557</v>
      </c>
      <c r="G3964" s="138" t="s">
        <v>400</v>
      </c>
      <c r="H3964" s="129" t="str">
        <f>IF(Proc[[#This Row],[type]]="LFF (MDG-F)",MID(Proc[[#This Row],[Obj]],13,10),"")</f>
        <v/>
      </c>
      <c r="J3964" s="129" t="b">
        <f>Proc[[#This Row],[Requested]]=Proc[[#This Row],[CurrentParent]]</f>
        <v>1</v>
      </c>
      <c r="K3964" s="144" t="str">
        <f>IF(Proc[[#This Row],[Author]]="Marcela Urrego",VLOOKUP(LEFT(Proc[[#This Row],[Requested]],1),Table3[#All],2,0),VLOOKUP(Proc[[#This Row],[Author]],Table4[],2,0))</f>
        <v>HC</v>
      </c>
      <c r="L3964" s="129" t="s">
        <v>4894</v>
      </c>
      <c r="M3964" s="136">
        <v>45898</v>
      </c>
      <c r="N3964" s="137"/>
      <c r="O3964" s="137"/>
      <c r="P3964" s="136" t="str">
        <f ca="1">IF(Proc[[#This Row],[DaysAgeing]]&gt;5,"yep","on track")</f>
        <v>yep</v>
      </c>
      <c r="Q3964" s="3">
        <f ca="1">IF(Proc[[#This Row],[DateClosed]]="",ABS(NETWORKDAYS(Proc[[#This Row],[DateOpened]],TODAY()))-1,ABS(NETWORKDAYS(Proc[[#This Row],[DateOpened]],Proc[[#This Row],[DateClosed]]))-1)</f>
        <v>80</v>
      </c>
      <c r="R3964" s="136" t="s">
        <v>1013</v>
      </c>
      <c r="S3964" s="129"/>
    </row>
    <row r="3965" spans="1:19" hidden="1">
      <c r="A3965" s="138" t="s">
        <v>6106</v>
      </c>
      <c r="B3965" s="149" t="str">
        <f>IFERROR(VLOOKUP(Proc[[#This Row],[App]],Table2[],3,0),"open")</f>
        <v>ok</v>
      </c>
      <c r="C3965" s="138" t="s">
        <v>369</v>
      </c>
      <c r="D3965" t="s">
        <v>6124</v>
      </c>
      <c r="E3965" t="s">
        <v>557</v>
      </c>
      <c r="F3965" s="129" t="s">
        <v>557</v>
      </c>
      <c r="G3965" s="138" t="s">
        <v>400</v>
      </c>
      <c r="H3965" s="129" t="str">
        <f>IF(Proc[[#This Row],[type]]="LFF (MDG-F)",MID(Proc[[#This Row],[Obj]],13,10),"")</f>
        <v/>
      </c>
      <c r="J3965" s="129" t="b">
        <f>Proc[[#This Row],[Requested]]=Proc[[#This Row],[CurrentParent]]</f>
        <v>1</v>
      </c>
      <c r="K3965" s="144" t="str">
        <f>IF(Proc[[#This Row],[Author]]="Marcela Urrego",VLOOKUP(LEFT(Proc[[#This Row],[Requested]],1),Table3[#All],2,0),VLOOKUP(Proc[[#This Row],[Author]],Table4[],2,0))</f>
        <v>HC</v>
      </c>
      <c r="L3965" s="129" t="s">
        <v>4894</v>
      </c>
      <c r="M3965" s="136">
        <v>45898</v>
      </c>
      <c r="N3965" s="137"/>
      <c r="O3965" s="137"/>
      <c r="P3965" s="136" t="str">
        <f ca="1">IF(Proc[[#This Row],[DaysAgeing]]&gt;5,"yep","on track")</f>
        <v>yep</v>
      </c>
      <c r="Q3965" s="3">
        <f ca="1">IF(Proc[[#This Row],[DateClosed]]="",ABS(NETWORKDAYS(Proc[[#This Row],[DateOpened]],TODAY()))-1,ABS(NETWORKDAYS(Proc[[#This Row],[DateOpened]],Proc[[#This Row],[DateClosed]]))-1)</f>
        <v>80</v>
      </c>
      <c r="R3965" s="136" t="s">
        <v>1013</v>
      </c>
      <c r="S3965" s="129"/>
    </row>
    <row r="3966" spans="1:19" hidden="1">
      <c r="A3966" s="138" t="s">
        <v>6106</v>
      </c>
      <c r="B3966" s="149" t="str">
        <f>IFERROR(VLOOKUP(Proc[[#This Row],[App]],Table2[],3,0),"open")</f>
        <v>ok</v>
      </c>
      <c r="C3966" s="138" t="s">
        <v>369</v>
      </c>
      <c r="D3966" t="s">
        <v>6125</v>
      </c>
      <c r="E3966" t="s">
        <v>543</v>
      </c>
      <c r="F3966" s="129" t="s">
        <v>543</v>
      </c>
      <c r="G3966" s="138" t="s">
        <v>400</v>
      </c>
      <c r="H3966" s="129" t="str">
        <f>IF(Proc[[#This Row],[type]]="LFF (MDG-F)",MID(Proc[[#This Row],[Obj]],13,10),"")</f>
        <v/>
      </c>
      <c r="J3966" s="129" t="b">
        <f>Proc[[#This Row],[Requested]]=Proc[[#This Row],[CurrentParent]]</f>
        <v>1</v>
      </c>
      <c r="K3966" s="144" t="str">
        <f>IF(Proc[[#This Row],[Author]]="Marcela Urrego",VLOOKUP(LEFT(Proc[[#This Row],[Requested]],1),Table3[#All],2,0),VLOOKUP(Proc[[#This Row],[Author]],Table4[],2,0))</f>
        <v>HC</v>
      </c>
      <c r="L3966" s="129" t="s">
        <v>4894</v>
      </c>
      <c r="M3966" s="136">
        <v>45898</v>
      </c>
      <c r="N3966" s="137"/>
      <c r="O3966" s="137"/>
      <c r="P3966" s="136" t="str">
        <f ca="1">IF(Proc[[#This Row],[DaysAgeing]]&gt;5,"yep","on track")</f>
        <v>yep</v>
      </c>
      <c r="Q3966" s="3">
        <f ca="1">IF(Proc[[#This Row],[DateClosed]]="",ABS(NETWORKDAYS(Proc[[#This Row],[DateOpened]],TODAY()))-1,ABS(NETWORKDAYS(Proc[[#This Row],[DateOpened]],Proc[[#This Row],[DateClosed]]))-1)</f>
        <v>80</v>
      </c>
      <c r="R3966" s="136" t="s">
        <v>1013</v>
      </c>
      <c r="S3966" s="129"/>
    </row>
    <row r="3967" spans="1:19" hidden="1">
      <c r="A3967" s="138" t="s">
        <v>6106</v>
      </c>
      <c r="B3967" s="149" t="str">
        <f>IFERROR(VLOOKUP(Proc[[#This Row],[App]],Table2[],3,0),"open")</f>
        <v>ok</v>
      </c>
      <c r="C3967" s="138" t="s">
        <v>369</v>
      </c>
      <c r="D3967" t="s">
        <v>6126</v>
      </c>
      <c r="E3967" t="s">
        <v>1012</v>
      </c>
      <c r="F3967" s="129" t="s">
        <v>1012</v>
      </c>
      <c r="G3967" s="138" t="s">
        <v>400</v>
      </c>
      <c r="H3967" s="129" t="str">
        <f>IF(Proc[[#This Row],[type]]="LFF (MDG-F)",MID(Proc[[#This Row],[Obj]],13,10),"")</f>
        <v/>
      </c>
      <c r="J3967" s="129" t="b">
        <f>Proc[[#This Row],[Requested]]=Proc[[#This Row],[CurrentParent]]</f>
        <v>1</v>
      </c>
      <c r="K3967" s="144" t="str">
        <f>IF(Proc[[#This Row],[Author]]="Marcela Urrego",VLOOKUP(LEFT(Proc[[#This Row],[Requested]],1),Table3[#All],2,0),VLOOKUP(Proc[[#This Row],[Author]],Table4[],2,0))</f>
        <v>HC</v>
      </c>
      <c r="L3967" s="129" t="s">
        <v>4894</v>
      </c>
      <c r="M3967" s="136">
        <v>45898</v>
      </c>
      <c r="N3967" s="137"/>
      <c r="O3967" s="137"/>
      <c r="P3967" s="136" t="str">
        <f ca="1">IF(Proc[[#This Row],[DaysAgeing]]&gt;5,"yep","on track")</f>
        <v>yep</v>
      </c>
      <c r="Q3967" s="3">
        <f ca="1">IF(Proc[[#This Row],[DateClosed]]="",ABS(NETWORKDAYS(Proc[[#This Row],[DateOpened]],TODAY()))-1,ABS(NETWORKDAYS(Proc[[#This Row],[DateOpened]],Proc[[#This Row],[DateClosed]]))-1)</f>
        <v>80</v>
      </c>
      <c r="R3967" s="136" t="s">
        <v>1013</v>
      </c>
      <c r="S3967" s="129"/>
    </row>
    <row r="3968" spans="1:19" hidden="1">
      <c r="A3968" s="138" t="s">
        <v>6106</v>
      </c>
      <c r="B3968" s="149" t="str">
        <f>IFERROR(VLOOKUP(Proc[[#This Row],[App]],Table2[],3,0),"open")</f>
        <v>ok</v>
      </c>
      <c r="C3968" s="138" t="s">
        <v>369</v>
      </c>
      <c r="D3968" t="s">
        <v>6127</v>
      </c>
      <c r="E3968" t="s">
        <v>1012</v>
      </c>
      <c r="F3968" s="129" t="s">
        <v>1012</v>
      </c>
      <c r="G3968" s="138" t="s">
        <v>400</v>
      </c>
      <c r="H3968" s="129" t="str">
        <f>IF(Proc[[#This Row],[type]]="LFF (MDG-F)",MID(Proc[[#This Row],[Obj]],13,10),"")</f>
        <v/>
      </c>
      <c r="J3968" s="129" t="b">
        <f>Proc[[#This Row],[Requested]]=Proc[[#This Row],[CurrentParent]]</f>
        <v>1</v>
      </c>
      <c r="K3968" s="144" t="str">
        <f>IF(Proc[[#This Row],[Author]]="Marcela Urrego",VLOOKUP(LEFT(Proc[[#This Row],[Requested]],1),Table3[#All],2,0),VLOOKUP(Proc[[#This Row],[Author]],Table4[],2,0))</f>
        <v>HC</v>
      </c>
      <c r="L3968" s="129" t="s">
        <v>4894</v>
      </c>
      <c r="M3968" s="136">
        <v>45898</v>
      </c>
      <c r="N3968" s="137"/>
      <c r="O3968" s="137"/>
      <c r="P3968" s="136" t="str">
        <f ca="1">IF(Proc[[#This Row],[DaysAgeing]]&gt;5,"yep","on track")</f>
        <v>yep</v>
      </c>
      <c r="Q3968" s="3">
        <f ca="1">IF(Proc[[#This Row],[DateClosed]]="",ABS(NETWORKDAYS(Proc[[#This Row],[DateOpened]],TODAY()))-1,ABS(NETWORKDAYS(Proc[[#This Row],[DateOpened]],Proc[[#This Row],[DateClosed]]))-1)</f>
        <v>80</v>
      </c>
      <c r="R3968" s="136" t="s">
        <v>1013</v>
      </c>
      <c r="S3968" s="129"/>
    </row>
    <row r="3969" spans="1:19" hidden="1">
      <c r="A3969" s="138" t="s">
        <v>6106</v>
      </c>
      <c r="B3969" s="149" t="str">
        <f>IFERROR(VLOOKUP(Proc[[#This Row],[App]],Table2[],3,0),"open")</f>
        <v>ok</v>
      </c>
      <c r="C3969" s="138" t="s">
        <v>369</v>
      </c>
      <c r="D3969" t="s">
        <v>6128</v>
      </c>
      <c r="E3969" t="s">
        <v>1012</v>
      </c>
      <c r="F3969" s="129" t="s">
        <v>1012</v>
      </c>
      <c r="G3969" s="138" t="s">
        <v>400</v>
      </c>
      <c r="H3969" s="129" t="str">
        <f>IF(Proc[[#This Row],[type]]="LFF (MDG-F)",MID(Proc[[#This Row],[Obj]],13,10),"")</f>
        <v/>
      </c>
      <c r="J3969" s="129" t="b">
        <f>Proc[[#This Row],[Requested]]=Proc[[#This Row],[CurrentParent]]</f>
        <v>1</v>
      </c>
      <c r="K3969" s="144" t="str">
        <f>IF(Proc[[#This Row],[Author]]="Marcela Urrego",VLOOKUP(LEFT(Proc[[#This Row],[Requested]],1),Table3[#All],2,0),VLOOKUP(Proc[[#This Row],[Author]],Table4[],2,0))</f>
        <v>HC</v>
      </c>
      <c r="L3969" s="129" t="s">
        <v>4894</v>
      </c>
      <c r="M3969" s="136">
        <v>45898</v>
      </c>
      <c r="N3969" s="137"/>
      <c r="O3969" s="137"/>
      <c r="P3969" s="136" t="str">
        <f ca="1">IF(Proc[[#This Row],[DaysAgeing]]&gt;5,"yep","on track")</f>
        <v>yep</v>
      </c>
      <c r="Q3969" s="3">
        <f ca="1">IF(Proc[[#This Row],[DateClosed]]="",ABS(NETWORKDAYS(Proc[[#This Row],[DateOpened]],TODAY()))-1,ABS(NETWORKDAYS(Proc[[#This Row],[DateOpened]],Proc[[#This Row],[DateClosed]]))-1)</f>
        <v>80</v>
      </c>
      <c r="R3969" s="136" t="s">
        <v>1013</v>
      </c>
      <c r="S3969" s="129"/>
    </row>
    <row r="3970" spans="1:19" hidden="1">
      <c r="A3970" s="138" t="s">
        <v>6106</v>
      </c>
      <c r="B3970" s="149" t="str">
        <f>IFERROR(VLOOKUP(Proc[[#This Row],[App]],Table2[],3,0),"open")</f>
        <v>ok</v>
      </c>
      <c r="C3970" s="138" t="s">
        <v>369</v>
      </c>
      <c r="D3970" t="s">
        <v>6129</v>
      </c>
      <c r="E3970" t="s">
        <v>554</v>
      </c>
      <c r="F3970" s="129" t="s">
        <v>554</v>
      </c>
      <c r="G3970" s="138" t="s">
        <v>400</v>
      </c>
      <c r="H3970" s="129" t="str">
        <f>IF(Proc[[#This Row],[type]]="LFF (MDG-F)",MID(Proc[[#This Row],[Obj]],13,10),"")</f>
        <v/>
      </c>
      <c r="J3970" s="129" t="b">
        <f>Proc[[#This Row],[Requested]]=Proc[[#This Row],[CurrentParent]]</f>
        <v>1</v>
      </c>
      <c r="K3970" s="144" t="str">
        <f>IF(Proc[[#This Row],[Author]]="Marcela Urrego",VLOOKUP(LEFT(Proc[[#This Row],[Requested]],1),Table3[#All],2,0),VLOOKUP(Proc[[#This Row],[Author]],Table4[],2,0))</f>
        <v>HC</v>
      </c>
      <c r="L3970" s="129" t="s">
        <v>4894</v>
      </c>
      <c r="M3970" s="136">
        <v>45898</v>
      </c>
      <c r="N3970" s="137"/>
      <c r="O3970" s="137"/>
      <c r="P3970" s="136" t="str">
        <f ca="1">IF(Proc[[#This Row],[DaysAgeing]]&gt;5,"yep","on track")</f>
        <v>yep</v>
      </c>
      <c r="Q3970" s="3">
        <f ca="1">IF(Proc[[#This Row],[DateClosed]]="",ABS(NETWORKDAYS(Proc[[#This Row],[DateOpened]],TODAY()))-1,ABS(NETWORKDAYS(Proc[[#This Row],[DateOpened]],Proc[[#This Row],[DateClosed]]))-1)</f>
        <v>80</v>
      </c>
      <c r="R3970" s="136" t="s">
        <v>1013</v>
      </c>
      <c r="S3970" s="129"/>
    </row>
    <row r="3971" spans="1:19" hidden="1">
      <c r="A3971" s="138" t="s">
        <v>6106</v>
      </c>
      <c r="B3971" s="149" t="str">
        <f>IFERROR(VLOOKUP(Proc[[#This Row],[App]],Table2[],3,0),"open")</f>
        <v>ok</v>
      </c>
      <c r="C3971" s="138" t="s">
        <v>369</v>
      </c>
      <c r="D3971" t="s">
        <v>6130</v>
      </c>
      <c r="E3971" t="s">
        <v>555</v>
      </c>
      <c r="F3971" s="129" t="s">
        <v>555</v>
      </c>
      <c r="G3971" s="138" t="s">
        <v>400</v>
      </c>
      <c r="H3971" s="129" t="str">
        <f>IF(Proc[[#This Row],[type]]="LFF (MDG-F)",MID(Proc[[#This Row],[Obj]],13,10),"")</f>
        <v/>
      </c>
      <c r="J3971" s="129" t="b">
        <f>Proc[[#This Row],[Requested]]=Proc[[#This Row],[CurrentParent]]</f>
        <v>1</v>
      </c>
      <c r="K3971" s="144" t="str">
        <f>IF(Proc[[#This Row],[Author]]="Marcela Urrego",VLOOKUP(LEFT(Proc[[#This Row],[Requested]],1),Table3[#All],2,0),VLOOKUP(Proc[[#This Row],[Author]],Table4[],2,0))</f>
        <v>HC</v>
      </c>
      <c r="L3971" s="129" t="s">
        <v>4894</v>
      </c>
      <c r="M3971" s="136">
        <v>45898</v>
      </c>
      <c r="N3971" s="137"/>
      <c r="O3971" s="137"/>
      <c r="P3971" s="136" t="str">
        <f ca="1">IF(Proc[[#This Row],[DaysAgeing]]&gt;5,"yep","on track")</f>
        <v>yep</v>
      </c>
      <c r="Q3971" s="3">
        <f ca="1">IF(Proc[[#This Row],[DateClosed]]="",ABS(NETWORKDAYS(Proc[[#This Row],[DateOpened]],TODAY()))-1,ABS(NETWORKDAYS(Proc[[#This Row],[DateOpened]],Proc[[#This Row],[DateClosed]]))-1)</f>
        <v>80</v>
      </c>
      <c r="R3971" s="136" t="s">
        <v>1013</v>
      </c>
      <c r="S3971" s="129"/>
    </row>
    <row r="3972" spans="1:19" hidden="1">
      <c r="A3972" s="138" t="s">
        <v>6106</v>
      </c>
      <c r="B3972" s="149" t="str">
        <f>IFERROR(VLOOKUP(Proc[[#This Row],[App]],Table2[],3,0),"open")</f>
        <v>ok</v>
      </c>
      <c r="C3972" s="138" t="s">
        <v>369</v>
      </c>
      <c r="D3972" t="s">
        <v>6131</v>
      </c>
      <c r="E3972" t="s">
        <v>557</v>
      </c>
      <c r="F3972" s="129" t="s">
        <v>557</v>
      </c>
      <c r="G3972" s="138" t="s">
        <v>400</v>
      </c>
      <c r="H3972" s="129" t="str">
        <f>IF(Proc[[#This Row],[type]]="LFF (MDG-F)",MID(Proc[[#This Row],[Obj]],13,10),"")</f>
        <v/>
      </c>
      <c r="J3972" s="129" t="b">
        <f>Proc[[#This Row],[Requested]]=Proc[[#This Row],[CurrentParent]]</f>
        <v>1</v>
      </c>
      <c r="K3972" s="144" t="str">
        <f>IF(Proc[[#This Row],[Author]]="Marcela Urrego",VLOOKUP(LEFT(Proc[[#This Row],[Requested]],1),Table3[#All],2,0),VLOOKUP(Proc[[#This Row],[Author]],Table4[],2,0))</f>
        <v>HC</v>
      </c>
      <c r="L3972" s="129" t="s">
        <v>4894</v>
      </c>
      <c r="M3972" s="136">
        <v>45898</v>
      </c>
      <c r="N3972" s="137"/>
      <c r="O3972" s="137"/>
      <c r="P3972" s="136" t="str">
        <f ca="1">IF(Proc[[#This Row],[DaysAgeing]]&gt;5,"yep","on track")</f>
        <v>yep</v>
      </c>
      <c r="Q3972" s="3">
        <f ca="1">IF(Proc[[#This Row],[DateClosed]]="",ABS(NETWORKDAYS(Proc[[#This Row],[DateOpened]],TODAY()))-1,ABS(NETWORKDAYS(Proc[[#This Row],[DateOpened]],Proc[[#This Row],[DateClosed]]))-1)</f>
        <v>80</v>
      </c>
      <c r="R3972" s="136" t="s">
        <v>1013</v>
      </c>
      <c r="S3972" s="129"/>
    </row>
    <row r="3973" spans="1:19" hidden="1">
      <c r="A3973" s="138" t="s">
        <v>6106</v>
      </c>
      <c r="B3973" s="149" t="str">
        <f>IFERROR(VLOOKUP(Proc[[#This Row],[App]],Table2[],3,0),"open")</f>
        <v>ok</v>
      </c>
      <c r="C3973" s="138" t="s">
        <v>369</v>
      </c>
      <c r="D3973" t="s">
        <v>6132</v>
      </c>
      <c r="E3973" t="s">
        <v>543</v>
      </c>
      <c r="F3973" s="129" t="s">
        <v>543</v>
      </c>
      <c r="G3973" s="138" t="s">
        <v>400</v>
      </c>
      <c r="H3973" s="129" t="str">
        <f>IF(Proc[[#This Row],[type]]="LFF (MDG-F)",MID(Proc[[#This Row],[Obj]],13,10),"")</f>
        <v/>
      </c>
      <c r="J3973" s="129" t="b">
        <f>Proc[[#This Row],[Requested]]=Proc[[#This Row],[CurrentParent]]</f>
        <v>1</v>
      </c>
      <c r="K3973" s="144" t="str">
        <f>IF(Proc[[#This Row],[Author]]="Marcela Urrego",VLOOKUP(LEFT(Proc[[#This Row],[Requested]],1),Table3[#All],2,0),VLOOKUP(Proc[[#This Row],[Author]],Table4[],2,0))</f>
        <v>HC</v>
      </c>
      <c r="L3973" s="129" t="s">
        <v>4894</v>
      </c>
      <c r="M3973" s="136">
        <v>45898</v>
      </c>
      <c r="N3973" s="137"/>
      <c r="O3973" s="137"/>
      <c r="P3973" s="136" t="str">
        <f ca="1">IF(Proc[[#This Row],[DaysAgeing]]&gt;5,"yep","on track")</f>
        <v>yep</v>
      </c>
      <c r="Q3973" s="3">
        <f ca="1">IF(Proc[[#This Row],[DateClosed]]="",ABS(NETWORKDAYS(Proc[[#This Row],[DateOpened]],TODAY()))-1,ABS(NETWORKDAYS(Proc[[#This Row],[DateOpened]],Proc[[#This Row],[DateClosed]]))-1)</f>
        <v>80</v>
      </c>
      <c r="R3973" s="136" t="s">
        <v>1013</v>
      </c>
      <c r="S3973" s="129"/>
    </row>
    <row r="3974" spans="1:19" hidden="1">
      <c r="A3974" s="138" t="s">
        <v>6106</v>
      </c>
      <c r="B3974" s="149" t="str">
        <f>IFERROR(VLOOKUP(Proc[[#This Row],[App]],Table2[],3,0),"open")</f>
        <v>ok</v>
      </c>
      <c r="C3974" s="138" t="s">
        <v>369</v>
      </c>
      <c r="D3974" t="s">
        <v>6133</v>
      </c>
      <c r="E3974" t="s">
        <v>1012</v>
      </c>
      <c r="F3974" s="129" t="s">
        <v>1012</v>
      </c>
      <c r="G3974" s="138" t="s">
        <v>400</v>
      </c>
      <c r="H3974" s="129" t="str">
        <f>IF(Proc[[#This Row],[type]]="LFF (MDG-F)",MID(Proc[[#This Row],[Obj]],13,10),"")</f>
        <v/>
      </c>
      <c r="J3974" s="129" t="b">
        <f>Proc[[#This Row],[Requested]]=Proc[[#This Row],[CurrentParent]]</f>
        <v>1</v>
      </c>
      <c r="K3974" s="144" t="str">
        <f>IF(Proc[[#This Row],[Author]]="Marcela Urrego",VLOOKUP(LEFT(Proc[[#This Row],[Requested]],1),Table3[#All],2,0),VLOOKUP(Proc[[#This Row],[Author]],Table4[],2,0))</f>
        <v>HC</v>
      </c>
      <c r="L3974" s="129" t="s">
        <v>4894</v>
      </c>
      <c r="M3974" s="136">
        <v>45898</v>
      </c>
      <c r="N3974" s="137"/>
      <c r="O3974" s="137"/>
      <c r="P3974" s="136" t="str">
        <f ca="1">IF(Proc[[#This Row],[DaysAgeing]]&gt;5,"yep","on track")</f>
        <v>yep</v>
      </c>
      <c r="Q3974" s="3">
        <f ca="1">IF(Proc[[#This Row],[DateClosed]]="",ABS(NETWORKDAYS(Proc[[#This Row],[DateOpened]],TODAY()))-1,ABS(NETWORKDAYS(Proc[[#This Row],[DateOpened]],Proc[[#This Row],[DateClosed]]))-1)</f>
        <v>80</v>
      </c>
      <c r="R3974" s="136" t="s">
        <v>1013</v>
      </c>
      <c r="S3974" s="129"/>
    </row>
    <row r="3975" spans="1:19" hidden="1">
      <c r="A3975" s="138" t="s">
        <v>6106</v>
      </c>
      <c r="B3975" s="149" t="str">
        <f>IFERROR(VLOOKUP(Proc[[#This Row],[App]],Table2[],3,0),"open")</f>
        <v>ok</v>
      </c>
      <c r="C3975" s="138" t="s">
        <v>369</v>
      </c>
      <c r="D3975" t="s">
        <v>6134</v>
      </c>
      <c r="E3975" t="s">
        <v>1012</v>
      </c>
      <c r="F3975" s="129" t="s">
        <v>1012</v>
      </c>
      <c r="G3975" s="138" t="s">
        <v>400</v>
      </c>
      <c r="H3975" s="129" t="str">
        <f>IF(Proc[[#This Row],[type]]="LFF (MDG-F)",MID(Proc[[#This Row],[Obj]],13,10),"")</f>
        <v/>
      </c>
      <c r="J3975" s="129" t="b">
        <f>Proc[[#This Row],[Requested]]=Proc[[#This Row],[CurrentParent]]</f>
        <v>1</v>
      </c>
      <c r="K3975" s="144" t="str">
        <f>IF(Proc[[#This Row],[Author]]="Marcela Urrego",VLOOKUP(LEFT(Proc[[#This Row],[Requested]],1),Table3[#All],2,0),VLOOKUP(Proc[[#This Row],[Author]],Table4[],2,0))</f>
        <v>HC</v>
      </c>
      <c r="L3975" s="129" t="s">
        <v>4894</v>
      </c>
      <c r="M3975" s="136">
        <v>45898</v>
      </c>
      <c r="N3975" s="137"/>
      <c r="O3975" s="137"/>
      <c r="P3975" s="136" t="str">
        <f ca="1">IF(Proc[[#This Row],[DaysAgeing]]&gt;5,"yep","on track")</f>
        <v>yep</v>
      </c>
      <c r="Q3975" s="3">
        <f ca="1">IF(Proc[[#This Row],[DateClosed]]="",ABS(NETWORKDAYS(Proc[[#This Row],[DateOpened]],TODAY()))-1,ABS(NETWORKDAYS(Proc[[#This Row],[DateOpened]],Proc[[#This Row],[DateClosed]]))-1)</f>
        <v>80</v>
      </c>
      <c r="R3975" s="136" t="s">
        <v>1013</v>
      </c>
      <c r="S3975" s="129"/>
    </row>
    <row r="3976" spans="1:19" hidden="1">
      <c r="A3976" s="138" t="s">
        <v>6106</v>
      </c>
      <c r="B3976" s="149" t="str">
        <f>IFERROR(VLOOKUP(Proc[[#This Row],[App]],Table2[],3,0),"open")</f>
        <v>ok</v>
      </c>
      <c r="C3976" s="138" t="s">
        <v>369</v>
      </c>
      <c r="D3976" t="s">
        <v>6135</v>
      </c>
      <c r="E3976" t="s">
        <v>555</v>
      </c>
      <c r="F3976" s="129" t="s">
        <v>555</v>
      </c>
      <c r="G3976" s="138" t="s">
        <v>400</v>
      </c>
      <c r="H3976" s="129" t="str">
        <f>IF(Proc[[#This Row],[type]]="LFF (MDG-F)",MID(Proc[[#This Row],[Obj]],13,10),"")</f>
        <v/>
      </c>
      <c r="J3976" s="129" t="b">
        <f>Proc[[#This Row],[Requested]]=Proc[[#This Row],[CurrentParent]]</f>
        <v>1</v>
      </c>
      <c r="K3976" s="144" t="str">
        <f>IF(Proc[[#This Row],[Author]]="Marcela Urrego",VLOOKUP(LEFT(Proc[[#This Row],[Requested]],1),Table3[#All],2,0),VLOOKUP(Proc[[#This Row],[Author]],Table4[],2,0))</f>
        <v>HC</v>
      </c>
      <c r="L3976" s="129" t="s">
        <v>4894</v>
      </c>
      <c r="M3976" s="136">
        <v>45898</v>
      </c>
      <c r="N3976" s="137"/>
      <c r="O3976" s="137"/>
      <c r="P3976" s="136" t="str">
        <f ca="1">IF(Proc[[#This Row],[DaysAgeing]]&gt;5,"yep","on track")</f>
        <v>yep</v>
      </c>
      <c r="Q3976" s="3">
        <f ca="1">IF(Proc[[#This Row],[DateClosed]]="",ABS(NETWORKDAYS(Proc[[#This Row],[DateOpened]],TODAY()))-1,ABS(NETWORKDAYS(Proc[[#This Row],[DateOpened]],Proc[[#This Row],[DateClosed]]))-1)</f>
        <v>80</v>
      </c>
      <c r="R3976" s="136" t="s">
        <v>1013</v>
      </c>
      <c r="S3976" s="129"/>
    </row>
    <row r="3977" spans="1:19" hidden="1">
      <c r="A3977" s="138" t="s">
        <v>6106</v>
      </c>
      <c r="B3977" s="149" t="str">
        <f>IFERROR(VLOOKUP(Proc[[#This Row],[App]],Table2[],3,0),"open")</f>
        <v>ok</v>
      </c>
      <c r="C3977" s="138" t="s">
        <v>369</v>
      </c>
      <c r="D3977" t="s">
        <v>6136</v>
      </c>
      <c r="E3977" t="s">
        <v>555</v>
      </c>
      <c r="F3977" s="129" t="s">
        <v>555</v>
      </c>
      <c r="G3977" s="138" t="s">
        <v>400</v>
      </c>
      <c r="H3977" s="129" t="str">
        <f>IF(Proc[[#This Row],[type]]="LFF (MDG-F)",MID(Proc[[#This Row],[Obj]],13,10),"")</f>
        <v/>
      </c>
      <c r="J3977" s="129" t="b">
        <f>Proc[[#This Row],[Requested]]=Proc[[#This Row],[CurrentParent]]</f>
        <v>1</v>
      </c>
      <c r="K3977" s="144" t="str">
        <f>IF(Proc[[#This Row],[Author]]="Marcela Urrego",VLOOKUP(LEFT(Proc[[#This Row],[Requested]],1),Table3[#All],2,0),VLOOKUP(Proc[[#This Row],[Author]],Table4[],2,0))</f>
        <v>HC</v>
      </c>
      <c r="L3977" s="129" t="s">
        <v>4894</v>
      </c>
      <c r="M3977" s="136">
        <v>45898</v>
      </c>
      <c r="N3977" s="137"/>
      <c r="O3977" s="137"/>
      <c r="P3977" s="136" t="str">
        <f ca="1">IF(Proc[[#This Row],[DaysAgeing]]&gt;5,"yep","on track")</f>
        <v>yep</v>
      </c>
      <c r="Q3977" s="3">
        <f ca="1">IF(Proc[[#This Row],[DateClosed]]="",ABS(NETWORKDAYS(Proc[[#This Row],[DateOpened]],TODAY()))-1,ABS(NETWORKDAYS(Proc[[#This Row],[DateOpened]],Proc[[#This Row],[DateClosed]]))-1)</f>
        <v>80</v>
      </c>
      <c r="R3977" s="136" t="s">
        <v>1013</v>
      </c>
      <c r="S3977" s="129"/>
    </row>
    <row r="3978" spans="1:19" hidden="1">
      <c r="A3978" s="138" t="s">
        <v>6106</v>
      </c>
      <c r="B3978" s="149" t="str">
        <f>IFERROR(VLOOKUP(Proc[[#This Row],[App]],Table2[],3,0),"open")</f>
        <v>ok</v>
      </c>
      <c r="C3978" s="138" t="s">
        <v>369</v>
      </c>
      <c r="D3978" t="s">
        <v>6137</v>
      </c>
      <c r="E3978" t="s">
        <v>1012</v>
      </c>
      <c r="F3978" s="129" t="s">
        <v>1012</v>
      </c>
      <c r="G3978" s="138" t="s">
        <v>400</v>
      </c>
      <c r="H3978" s="129" t="str">
        <f>IF(Proc[[#This Row],[type]]="LFF (MDG-F)",MID(Proc[[#This Row],[Obj]],13,10),"")</f>
        <v/>
      </c>
      <c r="J3978" s="129" t="b">
        <f>Proc[[#This Row],[Requested]]=Proc[[#This Row],[CurrentParent]]</f>
        <v>1</v>
      </c>
      <c r="K3978" s="144" t="str">
        <f>IF(Proc[[#This Row],[Author]]="Marcela Urrego",VLOOKUP(LEFT(Proc[[#This Row],[Requested]],1),Table3[#All],2,0),VLOOKUP(Proc[[#This Row],[Author]],Table4[],2,0))</f>
        <v>HC</v>
      </c>
      <c r="L3978" s="129" t="s">
        <v>4894</v>
      </c>
      <c r="M3978" s="136">
        <v>45898</v>
      </c>
      <c r="N3978" s="137"/>
      <c r="O3978" s="137"/>
      <c r="P3978" s="136" t="str">
        <f ca="1">IF(Proc[[#This Row],[DaysAgeing]]&gt;5,"yep","on track")</f>
        <v>yep</v>
      </c>
      <c r="Q3978" s="3">
        <f ca="1">IF(Proc[[#This Row],[DateClosed]]="",ABS(NETWORKDAYS(Proc[[#This Row],[DateOpened]],TODAY()))-1,ABS(NETWORKDAYS(Proc[[#This Row],[DateOpened]],Proc[[#This Row],[DateClosed]]))-1)</f>
        <v>80</v>
      </c>
      <c r="R3978" s="136" t="s">
        <v>1013</v>
      </c>
      <c r="S3978" s="129"/>
    </row>
    <row r="3979" spans="1:19" hidden="1">
      <c r="A3979" s="138" t="s">
        <v>6106</v>
      </c>
      <c r="B3979" s="149" t="str">
        <f>IFERROR(VLOOKUP(Proc[[#This Row],[App]],Table2[],3,0),"open")</f>
        <v>ok</v>
      </c>
      <c r="C3979" s="138" t="s">
        <v>369</v>
      </c>
      <c r="D3979" t="s">
        <v>6138</v>
      </c>
      <c r="E3979" t="s">
        <v>6146</v>
      </c>
      <c r="F3979" s="129" t="s">
        <v>6146</v>
      </c>
      <c r="G3979" s="138" t="s">
        <v>400</v>
      </c>
      <c r="H3979" s="129" t="str">
        <f>IF(Proc[[#This Row],[type]]="LFF (MDG-F)",MID(Proc[[#This Row],[Obj]],13,10),"")</f>
        <v/>
      </c>
      <c r="J3979" s="129" t="b">
        <f>Proc[[#This Row],[Requested]]=Proc[[#This Row],[CurrentParent]]</f>
        <v>1</v>
      </c>
      <c r="K3979" s="144" t="str">
        <f>IF(Proc[[#This Row],[Author]]="Marcela Urrego",VLOOKUP(LEFT(Proc[[#This Row],[Requested]],1),Table3[#All],2,0),VLOOKUP(Proc[[#This Row],[Author]],Table4[],2,0))</f>
        <v>HC</v>
      </c>
      <c r="L3979" s="129" t="s">
        <v>4894</v>
      </c>
      <c r="M3979" s="136">
        <v>45898</v>
      </c>
      <c r="N3979" s="137"/>
      <c r="O3979" s="137"/>
      <c r="P3979" s="136" t="str">
        <f ca="1">IF(Proc[[#This Row],[DaysAgeing]]&gt;5,"yep","on track")</f>
        <v>yep</v>
      </c>
      <c r="Q3979" s="3">
        <f ca="1">IF(Proc[[#This Row],[DateClosed]]="",ABS(NETWORKDAYS(Proc[[#This Row],[DateOpened]],TODAY()))-1,ABS(NETWORKDAYS(Proc[[#This Row],[DateOpened]],Proc[[#This Row],[DateClosed]]))-1)</f>
        <v>80</v>
      </c>
      <c r="R3979" s="136" t="s">
        <v>1013</v>
      </c>
      <c r="S3979" s="129"/>
    </row>
    <row r="3980" spans="1:19" hidden="1">
      <c r="A3980" s="138" t="s">
        <v>6106</v>
      </c>
      <c r="B3980" s="149" t="str">
        <f>IFERROR(VLOOKUP(Proc[[#This Row],[App]],Table2[],3,0),"open")</f>
        <v>ok</v>
      </c>
      <c r="C3980" s="138" t="s">
        <v>369</v>
      </c>
      <c r="D3980" t="s">
        <v>6139</v>
      </c>
      <c r="E3980" t="s">
        <v>6146</v>
      </c>
      <c r="F3980" s="129" t="s">
        <v>6146</v>
      </c>
      <c r="G3980" s="138" t="s">
        <v>400</v>
      </c>
      <c r="H3980" s="129" t="str">
        <f>IF(Proc[[#This Row],[type]]="LFF (MDG-F)",MID(Proc[[#This Row],[Obj]],13,10),"")</f>
        <v/>
      </c>
      <c r="J3980" s="129" t="b">
        <f>Proc[[#This Row],[Requested]]=Proc[[#This Row],[CurrentParent]]</f>
        <v>1</v>
      </c>
      <c r="K3980" s="144" t="str">
        <f>IF(Proc[[#This Row],[Author]]="Marcela Urrego",VLOOKUP(LEFT(Proc[[#This Row],[Requested]],1),Table3[#All],2,0),VLOOKUP(Proc[[#This Row],[Author]],Table4[],2,0))</f>
        <v>HC</v>
      </c>
      <c r="L3980" s="129" t="s">
        <v>4894</v>
      </c>
      <c r="M3980" s="136">
        <v>45898</v>
      </c>
      <c r="N3980" s="137"/>
      <c r="O3980" s="137"/>
      <c r="P3980" s="136" t="str">
        <f ca="1">IF(Proc[[#This Row],[DaysAgeing]]&gt;5,"yep","on track")</f>
        <v>yep</v>
      </c>
      <c r="Q3980" s="3">
        <f ca="1">IF(Proc[[#This Row],[DateClosed]]="",ABS(NETWORKDAYS(Proc[[#This Row],[DateOpened]],TODAY()))-1,ABS(NETWORKDAYS(Proc[[#This Row],[DateOpened]],Proc[[#This Row],[DateClosed]]))-1)</f>
        <v>80</v>
      </c>
      <c r="R3980" s="136" t="s">
        <v>1013</v>
      </c>
      <c r="S3980" s="129"/>
    </row>
    <row r="3981" spans="1:19" hidden="1">
      <c r="A3981" s="138" t="s">
        <v>6106</v>
      </c>
      <c r="B3981" s="149" t="str">
        <f>IFERROR(VLOOKUP(Proc[[#This Row],[App]],Table2[],3,0),"open")</f>
        <v>ok</v>
      </c>
      <c r="C3981" s="138" t="s">
        <v>369</v>
      </c>
      <c r="D3981" t="s">
        <v>6140</v>
      </c>
      <c r="E3981" t="s">
        <v>1012</v>
      </c>
      <c r="F3981" s="129" t="s">
        <v>1012</v>
      </c>
      <c r="G3981" s="138" t="s">
        <v>400</v>
      </c>
      <c r="H3981" s="129" t="str">
        <f>IF(Proc[[#This Row],[type]]="LFF (MDG-F)",MID(Proc[[#This Row],[Obj]],13,10),"")</f>
        <v/>
      </c>
      <c r="J3981" s="129" t="b">
        <f>Proc[[#This Row],[Requested]]=Proc[[#This Row],[CurrentParent]]</f>
        <v>1</v>
      </c>
      <c r="K3981" s="144" t="str">
        <f>IF(Proc[[#This Row],[Author]]="Marcela Urrego",VLOOKUP(LEFT(Proc[[#This Row],[Requested]],1),Table3[#All],2,0),VLOOKUP(Proc[[#This Row],[Author]],Table4[],2,0))</f>
        <v>HC</v>
      </c>
      <c r="L3981" s="129" t="s">
        <v>4894</v>
      </c>
      <c r="M3981" s="136">
        <v>45898</v>
      </c>
      <c r="N3981" s="137"/>
      <c r="O3981" s="137"/>
      <c r="P3981" s="136" t="str">
        <f ca="1">IF(Proc[[#This Row],[DaysAgeing]]&gt;5,"yep","on track")</f>
        <v>yep</v>
      </c>
      <c r="Q3981" s="3">
        <f ca="1">IF(Proc[[#This Row],[DateClosed]]="",ABS(NETWORKDAYS(Proc[[#This Row],[DateOpened]],TODAY()))-1,ABS(NETWORKDAYS(Proc[[#This Row],[DateOpened]],Proc[[#This Row],[DateClosed]]))-1)</f>
        <v>80</v>
      </c>
      <c r="R3981" s="136" t="s">
        <v>1013</v>
      </c>
      <c r="S3981" s="129"/>
    </row>
    <row r="3982" spans="1:19" hidden="1">
      <c r="A3982" s="138" t="s">
        <v>6106</v>
      </c>
      <c r="B3982" s="149" t="str">
        <f>IFERROR(VLOOKUP(Proc[[#This Row],[App]],Table2[],3,0),"open")</f>
        <v>ok</v>
      </c>
      <c r="C3982" s="138" t="s">
        <v>369</v>
      </c>
      <c r="D3982" t="s">
        <v>6141</v>
      </c>
      <c r="E3982" t="s">
        <v>1012</v>
      </c>
      <c r="F3982" s="129" t="s">
        <v>1012</v>
      </c>
      <c r="G3982" s="138" t="s">
        <v>400</v>
      </c>
      <c r="H3982" s="129" t="str">
        <f>IF(Proc[[#This Row],[type]]="LFF (MDG-F)",MID(Proc[[#This Row],[Obj]],13,10),"")</f>
        <v/>
      </c>
      <c r="J3982" s="129" t="b">
        <f>Proc[[#This Row],[Requested]]=Proc[[#This Row],[CurrentParent]]</f>
        <v>1</v>
      </c>
      <c r="K3982" s="144" t="str">
        <f>IF(Proc[[#This Row],[Author]]="Marcela Urrego",VLOOKUP(LEFT(Proc[[#This Row],[Requested]],1),Table3[#All],2,0),VLOOKUP(Proc[[#This Row],[Author]],Table4[],2,0))</f>
        <v>HC</v>
      </c>
      <c r="L3982" s="129" t="s">
        <v>4894</v>
      </c>
      <c r="M3982" s="136">
        <v>45898</v>
      </c>
      <c r="N3982" s="137"/>
      <c r="O3982" s="137"/>
      <c r="P3982" s="136" t="str">
        <f ca="1">IF(Proc[[#This Row],[DaysAgeing]]&gt;5,"yep","on track")</f>
        <v>yep</v>
      </c>
      <c r="Q3982" s="3">
        <f ca="1">IF(Proc[[#This Row],[DateClosed]]="",ABS(NETWORKDAYS(Proc[[#This Row],[DateOpened]],TODAY()))-1,ABS(NETWORKDAYS(Proc[[#This Row],[DateOpened]],Proc[[#This Row],[DateClosed]]))-1)</f>
        <v>80</v>
      </c>
      <c r="R3982" s="136" t="s">
        <v>1013</v>
      </c>
      <c r="S3982" s="129"/>
    </row>
    <row r="3983" spans="1:19" hidden="1">
      <c r="A3983" s="138" t="s">
        <v>6106</v>
      </c>
      <c r="B3983" s="149" t="str">
        <f>IFERROR(VLOOKUP(Proc[[#This Row],[App]],Table2[],3,0),"open")</f>
        <v>ok</v>
      </c>
      <c r="C3983" s="138" t="s">
        <v>369</v>
      </c>
      <c r="D3983" t="s">
        <v>6142</v>
      </c>
      <c r="E3983" t="s">
        <v>1012</v>
      </c>
      <c r="F3983" s="129" t="s">
        <v>1012</v>
      </c>
      <c r="G3983" s="138" t="s">
        <v>400</v>
      </c>
      <c r="H3983" s="129" t="str">
        <f>IF(Proc[[#This Row],[type]]="LFF (MDG-F)",MID(Proc[[#This Row],[Obj]],13,10),"")</f>
        <v/>
      </c>
      <c r="J3983" s="129" t="b">
        <f>Proc[[#This Row],[Requested]]=Proc[[#This Row],[CurrentParent]]</f>
        <v>1</v>
      </c>
      <c r="K3983" s="144" t="str">
        <f>IF(Proc[[#This Row],[Author]]="Marcela Urrego",VLOOKUP(LEFT(Proc[[#This Row],[Requested]],1),Table3[#All],2,0),VLOOKUP(Proc[[#This Row],[Author]],Table4[],2,0))</f>
        <v>HC</v>
      </c>
      <c r="L3983" s="129" t="s">
        <v>4894</v>
      </c>
      <c r="M3983" s="136">
        <v>45898</v>
      </c>
      <c r="N3983" s="137"/>
      <c r="O3983" s="137"/>
      <c r="P3983" s="136" t="str">
        <f ca="1">IF(Proc[[#This Row],[DaysAgeing]]&gt;5,"yep","on track")</f>
        <v>yep</v>
      </c>
      <c r="Q3983" s="3">
        <f ca="1">IF(Proc[[#This Row],[DateClosed]]="",ABS(NETWORKDAYS(Proc[[#This Row],[DateOpened]],TODAY()))-1,ABS(NETWORKDAYS(Proc[[#This Row],[DateOpened]],Proc[[#This Row],[DateClosed]]))-1)</f>
        <v>80</v>
      </c>
      <c r="R3983" s="136" t="s">
        <v>1013</v>
      </c>
      <c r="S3983" s="129"/>
    </row>
    <row r="3984" spans="1:19" hidden="1">
      <c r="A3984" s="138" t="s">
        <v>6106</v>
      </c>
      <c r="B3984" s="149" t="str">
        <f>IFERROR(VLOOKUP(Proc[[#This Row],[App]],Table2[],3,0),"open")</f>
        <v>ok</v>
      </c>
      <c r="C3984" s="138" t="s">
        <v>369</v>
      </c>
      <c r="D3984" t="s">
        <v>6143</v>
      </c>
      <c r="E3984" t="s">
        <v>1012</v>
      </c>
      <c r="F3984" s="129" t="s">
        <v>1012</v>
      </c>
      <c r="G3984" s="138" t="s">
        <v>400</v>
      </c>
      <c r="H3984" s="129" t="str">
        <f>IF(Proc[[#This Row],[type]]="LFF (MDG-F)",MID(Proc[[#This Row],[Obj]],13,10),"")</f>
        <v/>
      </c>
      <c r="J3984" s="129" t="b">
        <f>Proc[[#This Row],[Requested]]=Proc[[#This Row],[CurrentParent]]</f>
        <v>1</v>
      </c>
      <c r="K3984" s="144" t="str">
        <f>IF(Proc[[#This Row],[Author]]="Marcela Urrego",VLOOKUP(LEFT(Proc[[#This Row],[Requested]],1),Table3[#All],2,0),VLOOKUP(Proc[[#This Row],[Author]],Table4[],2,0))</f>
        <v>HC</v>
      </c>
      <c r="L3984" s="129" t="s">
        <v>4894</v>
      </c>
      <c r="M3984" s="136">
        <v>45898</v>
      </c>
      <c r="N3984" s="137"/>
      <c r="O3984" s="137"/>
      <c r="P3984" s="136" t="str">
        <f ca="1">IF(Proc[[#This Row],[DaysAgeing]]&gt;5,"yep","on track")</f>
        <v>yep</v>
      </c>
      <c r="Q3984" s="3">
        <f ca="1">IF(Proc[[#This Row],[DateClosed]]="",ABS(NETWORKDAYS(Proc[[#This Row],[DateOpened]],TODAY()))-1,ABS(NETWORKDAYS(Proc[[#This Row],[DateOpened]],Proc[[#This Row],[DateClosed]]))-1)</f>
        <v>80</v>
      </c>
      <c r="R3984" s="136" t="s">
        <v>1013</v>
      </c>
      <c r="S3984" s="129"/>
    </row>
    <row r="3985" spans="1:19" hidden="1">
      <c r="A3985" s="138" t="s">
        <v>6106</v>
      </c>
      <c r="B3985" s="149" t="str">
        <f>IFERROR(VLOOKUP(Proc[[#This Row],[App]],Table2[],3,0),"open")</f>
        <v>ok</v>
      </c>
      <c r="C3985" s="138" t="s">
        <v>369</v>
      </c>
      <c r="D3985" t="s">
        <v>6144</v>
      </c>
      <c r="E3985" t="s">
        <v>554</v>
      </c>
      <c r="F3985" s="129" t="s">
        <v>554</v>
      </c>
      <c r="G3985" s="138" t="s">
        <v>400</v>
      </c>
      <c r="H3985" s="129" t="str">
        <f>IF(Proc[[#This Row],[type]]="LFF (MDG-F)",MID(Proc[[#This Row],[Obj]],13,10),"")</f>
        <v/>
      </c>
      <c r="J3985" s="129" t="b">
        <f>Proc[[#This Row],[Requested]]=Proc[[#This Row],[CurrentParent]]</f>
        <v>1</v>
      </c>
      <c r="K3985" s="144" t="str">
        <f>IF(Proc[[#This Row],[Author]]="Marcela Urrego",VLOOKUP(LEFT(Proc[[#This Row],[Requested]],1),Table3[#All],2,0),VLOOKUP(Proc[[#This Row],[Author]],Table4[],2,0))</f>
        <v>HC</v>
      </c>
      <c r="L3985" s="129" t="s">
        <v>4894</v>
      </c>
      <c r="M3985" s="136">
        <v>45898</v>
      </c>
      <c r="N3985" s="137"/>
      <c r="O3985" s="137"/>
      <c r="P3985" s="136" t="str">
        <f ca="1">IF(Proc[[#This Row],[DaysAgeing]]&gt;5,"yep","on track")</f>
        <v>yep</v>
      </c>
      <c r="Q3985" s="3">
        <f ca="1">IF(Proc[[#This Row],[DateClosed]]="",ABS(NETWORKDAYS(Proc[[#This Row],[DateOpened]],TODAY()))-1,ABS(NETWORKDAYS(Proc[[#This Row],[DateOpened]],Proc[[#This Row],[DateClosed]]))-1)</f>
        <v>80</v>
      </c>
      <c r="R3985" s="136" t="s">
        <v>1013</v>
      </c>
      <c r="S3985" s="129"/>
    </row>
    <row r="3986" spans="1:19" hidden="1">
      <c r="A3986" s="138" t="s">
        <v>6106</v>
      </c>
      <c r="B3986" s="149" t="str">
        <f>IFERROR(VLOOKUP(Proc[[#This Row],[App]],Table2[],3,0),"open")</f>
        <v>ok</v>
      </c>
      <c r="C3986" s="138" t="s">
        <v>369</v>
      </c>
      <c r="D3986" t="s">
        <v>6145</v>
      </c>
      <c r="E3986" t="s">
        <v>554</v>
      </c>
      <c r="F3986" s="129" t="s">
        <v>554</v>
      </c>
      <c r="G3986" s="138" t="s">
        <v>400</v>
      </c>
      <c r="H3986" s="129" t="str">
        <f>IF(Proc[[#This Row],[type]]="LFF (MDG-F)",MID(Proc[[#This Row],[Obj]],13,10),"")</f>
        <v/>
      </c>
      <c r="J3986" s="129" t="b">
        <f>Proc[[#This Row],[Requested]]=Proc[[#This Row],[CurrentParent]]</f>
        <v>1</v>
      </c>
      <c r="K3986" s="144" t="str">
        <f>IF(Proc[[#This Row],[Author]]="Marcela Urrego",VLOOKUP(LEFT(Proc[[#This Row],[Requested]],1),Table3[#All],2,0),VLOOKUP(Proc[[#This Row],[Author]],Table4[],2,0))</f>
        <v>HC</v>
      </c>
      <c r="L3986" s="129" t="s">
        <v>4894</v>
      </c>
      <c r="M3986" s="136">
        <v>45898</v>
      </c>
      <c r="N3986" s="137"/>
      <c r="O3986" s="137"/>
      <c r="P3986" s="136" t="str">
        <f ca="1">IF(Proc[[#This Row],[DaysAgeing]]&gt;5,"yep","on track")</f>
        <v>yep</v>
      </c>
      <c r="Q3986" s="3">
        <f ca="1">IF(Proc[[#This Row],[DateClosed]]="",ABS(NETWORKDAYS(Proc[[#This Row],[DateOpened]],TODAY()))-1,ABS(NETWORKDAYS(Proc[[#This Row],[DateOpened]],Proc[[#This Row],[DateClosed]]))-1)</f>
        <v>80</v>
      </c>
      <c r="R3986" s="136" t="s">
        <v>1013</v>
      </c>
      <c r="S3986" s="129"/>
    </row>
    <row r="3987" spans="1:19" hidden="1">
      <c r="A3987" t="s">
        <v>6147</v>
      </c>
      <c r="B3987" s="149" t="str">
        <f>IFERROR(VLOOKUP(Proc[[#This Row],[App]],Table2[],3,0),"open")</f>
        <v>ok</v>
      </c>
      <c r="C3987" s="139" t="s">
        <v>369</v>
      </c>
      <c r="D3987" t="s">
        <v>6148</v>
      </c>
      <c r="E3987" s="139" t="s">
        <v>3543</v>
      </c>
      <c r="F3987" s="129" t="s">
        <v>3543</v>
      </c>
      <c r="G3987" s="139" t="s">
        <v>400</v>
      </c>
      <c r="H3987" s="129" t="str">
        <f>IF(Proc[[#This Row],[type]]="LFF (MDG-F)",MID(Proc[[#This Row],[Obj]],13,10),"")</f>
        <v/>
      </c>
      <c r="J3987" s="129" t="b">
        <f>Proc[[#This Row],[Requested]]=Proc[[#This Row],[CurrentParent]]</f>
        <v>1</v>
      </c>
      <c r="K3987" s="144" t="str">
        <f>IF(Proc[[#This Row],[Author]]="Marcela Urrego",VLOOKUP(LEFT(Proc[[#This Row],[Requested]],1),Table3[#All],2,0),VLOOKUP(Proc[[#This Row],[Author]],Table4[],2,0))</f>
        <v>LS</v>
      </c>
      <c r="L3987" s="129" t="s">
        <v>4894</v>
      </c>
      <c r="M3987" s="136">
        <v>45901</v>
      </c>
      <c r="N3987" s="137"/>
      <c r="O3987" s="137"/>
      <c r="P3987" s="136" t="str">
        <f ca="1">IF(Proc[[#This Row],[DaysAgeing]]&gt;5,"yep","on track")</f>
        <v>yep</v>
      </c>
      <c r="Q3987" s="3">
        <f ca="1">IF(Proc[[#This Row],[DateClosed]]="",ABS(NETWORKDAYS(Proc[[#This Row],[DateOpened]],TODAY()))-1,ABS(NETWORKDAYS(Proc[[#This Row],[DateOpened]],Proc[[#This Row],[DateClosed]]))-1)</f>
        <v>79</v>
      </c>
      <c r="R3987" s="136" t="s">
        <v>1262</v>
      </c>
      <c r="S3987" s="129"/>
    </row>
    <row r="3988" spans="1:19" hidden="1">
      <c r="A3988" t="s">
        <v>6160</v>
      </c>
      <c r="B3988" s="149" t="str">
        <f>IFERROR(VLOOKUP(Proc[[#This Row],[App]],Table2[],3,0),"open")</f>
        <v>ok</v>
      </c>
      <c r="C3988" s="142" t="s">
        <v>369</v>
      </c>
      <c r="D3988" t="s">
        <v>5277</v>
      </c>
      <c r="E3988" t="s">
        <v>6158</v>
      </c>
      <c r="F3988" s="140" t="s">
        <v>6158</v>
      </c>
      <c r="G3988" s="139" t="s">
        <v>406</v>
      </c>
      <c r="H3988" s="140" t="str">
        <f>IF(Proc[[#This Row],[type]]="LFF (MDG-F)",MID(Proc[[#This Row],[Obj]],13,10),"")</f>
        <v>CN90GIT120</v>
      </c>
      <c r="J3988" s="140" t="b">
        <f>Proc[[#This Row],[Requested]]=Proc[[#This Row],[CurrentParent]]</f>
        <v>1</v>
      </c>
      <c r="K3988" s="144" t="str">
        <f>IF(Proc[[#This Row],[Author]]="Marcela Urrego",VLOOKUP(LEFT(Proc[[#This Row],[Requested]],1),Table3[#All],2,0),VLOOKUP(Proc[[#This Row],[Author]],Table4[],2,0))</f>
        <v>MGF</v>
      </c>
      <c r="L3988" s="140" t="s">
        <v>4894</v>
      </c>
      <c r="M3988" s="136">
        <v>45901</v>
      </c>
      <c r="N3988" s="137"/>
      <c r="O3988" s="137"/>
      <c r="P3988" s="136" t="str">
        <f ca="1">IF(Proc[[#This Row],[DaysAgeing]]&gt;5,"yep","on track")</f>
        <v>yep</v>
      </c>
      <c r="Q3988" s="3">
        <f ca="1">IF(Proc[[#This Row],[DateClosed]]="",ABS(NETWORKDAYS(Proc[[#This Row],[DateOpened]],TODAY()))-1,ABS(NETWORKDAYS(Proc[[#This Row],[DateOpened]],Proc[[#This Row],[DateClosed]]))-1)</f>
        <v>79</v>
      </c>
      <c r="R3988" s="136" t="s">
        <v>1459</v>
      </c>
      <c r="S3988" s="140"/>
    </row>
    <row r="3989" spans="1:19" hidden="1">
      <c r="A3989" s="139" t="s">
        <v>6160</v>
      </c>
      <c r="B3989" s="149" t="str">
        <f>IFERROR(VLOOKUP(Proc[[#This Row],[App]],Table2[],3,0),"open")</f>
        <v>ok</v>
      </c>
      <c r="C3989" s="142" t="s">
        <v>369</v>
      </c>
      <c r="D3989" t="s">
        <v>6150</v>
      </c>
      <c r="E3989" t="s">
        <v>4411</v>
      </c>
      <c r="F3989" s="140" t="s">
        <v>4411</v>
      </c>
      <c r="G3989" t="s">
        <v>400</v>
      </c>
      <c r="H3989" s="140" t="str">
        <f>IF(Proc[[#This Row],[type]]="LFF (MDG-F)",MID(Proc[[#This Row],[Obj]],13,10),"")</f>
        <v/>
      </c>
      <c r="J3989" s="140" t="b">
        <f>Proc[[#This Row],[Requested]]=Proc[[#This Row],[CurrentParent]]</f>
        <v>1</v>
      </c>
      <c r="K3989" s="144" t="str">
        <f>IF(Proc[[#This Row],[Author]]="Marcela Urrego",VLOOKUP(LEFT(Proc[[#This Row],[Requested]],1),Table3[#All],2,0),VLOOKUP(Proc[[#This Row],[Author]],Table4[],2,0))</f>
        <v>MGF</v>
      </c>
      <c r="L3989" s="140" t="s">
        <v>4894</v>
      </c>
      <c r="M3989" s="136">
        <v>45901</v>
      </c>
      <c r="N3989" s="137"/>
      <c r="O3989" s="137"/>
      <c r="P3989" s="136" t="str">
        <f ca="1">IF(Proc[[#This Row],[DaysAgeing]]&gt;5,"yep","on track")</f>
        <v>yep</v>
      </c>
      <c r="Q3989" s="3">
        <f ca="1">IF(Proc[[#This Row],[DateClosed]]="",ABS(NETWORKDAYS(Proc[[#This Row],[DateOpened]],TODAY()))-1,ABS(NETWORKDAYS(Proc[[#This Row],[DateOpened]],Proc[[#This Row],[DateClosed]]))-1)</f>
        <v>79</v>
      </c>
      <c r="R3989" s="136" t="s">
        <v>1459</v>
      </c>
      <c r="S3989" s="140"/>
    </row>
    <row r="3990" spans="1:19" hidden="1">
      <c r="A3990" s="139" t="s">
        <v>6160</v>
      </c>
      <c r="B3990" s="149" t="str">
        <f>IFERROR(VLOOKUP(Proc[[#This Row],[App]],Table2[],3,0),"open")</f>
        <v>ok</v>
      </c>
      <c r="C3990" s="142" t="s">
        <v>369</v>
      </c>
      <c r="D3990" t="s">
        <v>6151</v>
      </c>
      <c r="E3990" t="s">
        <v>5452</v>
      </c>
      <c r="F3990" s="140" t="s">
        <v>5452</v>
      </c>
      <c r="G3990" s="139" t="s">
        <v>406</v>
      </c>
      <c r="H3990" s="140" t="str">
        <f>IF(Proc[[#This Row],[type]]="LFF (MDG-F)",MID(Proc[[#This Row],[Obj]],13,10),"")</f>
        <v>AE50GIT02C</v>
      </c>
      <c r="J3990" s="140" t="b">
        <f>Proc[[#This Row],[Requested]]=Proc[[#This Row],[CurrentParent]]</f>
        <v>1</v>
      </c>
      <c r="K3990" s="144" t="str">
        <f>IF(Proc[[#This Row],[Author]]="Marcela Urrego",VLOOKUP(LEFT(Proc[[#This Row],[Requested]],1),Table3[#All],2,0),VLOOKUP(Proc[[#This Row],[Author]],Table4[],2,0))</f>
        <v>MGF</v>
      </c>
      <c r="L3990" s="140" t="s">
        <v>4894</v>
      </c>
      <c r="M3990" s="136">
        <v>45901</v>
      </c>
      <c r="N3990" s="137"/>
      <c r="O3990" s="137"/>
      <c r="P3990" s="136" t="str">
        <f ca="1">IF(Proc[[#This Row],[DaysAgeing]]&gt;5,"yep","on track")</f>
        <v>yep</v>
      </c>
      <c r="Q3990" s="3">
        <f ca="1">IF(Proc[[#This Row],[DateClosed]]="",ABS(NETWORKDAYS(Proc[[#This Row],[DateOpened]],TODAY()))-1,ABS(NETWORKDAYS(Proc[[#This Row],[DateOpened]],Proc[[#This Row],[DateClosed]]))-1)</f>
        <v>79</v>
      </c>
      <c r="R3990" s="136" t="s">
        <v>1459</v>
      </c>
      <c r="S3990" s="140"/>
    </row>
    <row r="3991" spans="1:19" hidden="1">
      <c r="A3991" s="139" t="s">
        <v>6160</v>
      </c>
      <c r="B3991" s="149" t="str">
        <f>IFERROR(VLOOKUP(Proc[[#This Row],[App]],Table2[],3,0),"open")</f>
        <v>ok</v>
      </c>
      <c r="C3991" s="149" t="s">
        <v>377</v>
      </c>
      <c r="D3991" t="s">
        <v>2319</v>
      </c>
      <c r="E3991" t="s">
        <v>430</v>
      </c>
      <c r="F3991" s="150" t="s">
        <v>5569</v>
      </c>
      <c r="G3991" s="139" t="s">
        <v>406</v>
      </c>
      <c r="H3991" s="140" t="str">
        <f>IF(Proc[[#This Row],[type]]="LFF (MDG-F)",MID(Proc[[#This Row],[Obj]],13,10),"")</f>
        <v>DE65GIT032</v>
      </c>
      <c r="I3991" s="149" t="s">
        <v>4832</v>
      </c>
      <c r="J3991" s="140" t="b">
        <f>Proc[[#This Row],[Requested]]=Proc[[#This Row],[CurrentParent]]</f>
        <v>0</v>
      </c>
      <c r="K3991" s="144" t="str">
        <f>IF(Proc[[#This Row],[Author]]="Marcela Urrego",VLOOKUP(LEFT(Proc[[#This Row],[Requested]],1),Table3[#All],2,0),VLOOKUP(Proc[[#This Row],[Author]],Table4[],2,0))</f>
        <v>MGF</v>
      </c>
      <c r="L3991" s="140" t="s">
        <v>4894</v>
      </c>
      <c r="M3991" s="136">
        <v>45901</v>
      </c>
      <c r="N3991" s="137"/>
      <c r="O3991" s="137"/>
      <c r="P3991" s="136" t="str">
        <f ca="1">IF(Proc[[#This Row],[DaysAgeing]]&gt;5,"yep","on track")</f>
        <v>yep</v>
      </c>
      <c r="Q3991" s="3">
        <f ca="1">IF(Proc[[#This Row],[DateClosed]]="",ABS(NETWORKDAYS(Proc[[#This Row],[DateOpened]],TODAY()))-1,ABS(NETWORKDAYS(Proc[[#This Row],[DateOpened]],Proc[[#This Row],[DateClosed]]))-1)</f>
        <v>79</v>
      </c>
      <c r="R3991" s="136" t="s">
        <v>1459</v>
      </c>
      <c r="S3991" s="140"/>
    </row>
    <row r="3992" spans="1:19" hidden="1">
      <c r="A3992" s="139" t="s">
        <v>6160</v>
      </c>
      <c r="B3992" s="149" t="str">
        <f>IFERROR(VLOOKUP(Proc[[#This Row],[App]],Table2[],3,0),"open")</f>
        <v>ok</v>
      </c>
      <c r="C3992" s="149" t="s">
        <v>692</v>
      </c>
      <c r="D3992" t="s">
        <v>6152</v>
      </c>
      <c r="E3992" t="s">
        <v>427</v>
      </c>
      <c r="F3992" s="150" t="s">
        <v>446</v>
      </c>
      <c r="G3992" s="139" t="s">
        <v>406</v>
      </c>
      <c r="H3992" s="140" t="str">
        <f>IF(Proc[[#This Row],[type]]="LFF (MDG-F)",MID(Proc[[#This Row],[Obj]],13,10),"")</f>
        <v>SG09GBT020</v>
      </c>
      <c r="I3992" s="149" t="s">
        <v>4832</v>
      </c>
      <c r="J3992" s="140" t="b">
        <f>Proc[[#This Row],[Requested]]=Proc[[#This Row],[CurrentParent]]</f>
        <v>0</v>
      </c>
      <c r="K3992" s="144" t="str">
        <f>IF(Proc[[#This Row],[Author]]="Marcela Urrego",VLOOKUP(LEFT(Proc[[#This Row],[Requested]],1),Table3[#All],2,0),VLOOKUP(Proc[[#This Row],[Author]],Table4[],2,0))</f>
        <v>MGF</v>
      </c>
      <c r="L3992" s="140" t="s">
        <v>4894</v>
      </c>
      <c r="M3992" s="136">
        <v>45901</v>
      </c>
      <c r="N3992" s="137"/>
      <c r="O3992" s="137"/>
      <c r="P3992" s="136" t="str">
        <f ca="1">IF(Proc[[#This Row],[DaysAgeing]]&gt;5,"yep","on track")</f>
        <v>yep</v>
      </c>
      <c r="Q3992" s="3">
        <f ca="1">IF(Proc[[#This Row],[DateClosed]]="",ABS(NETWORKDAYS(Proc[[#This Row],[DateOpened]],TODAY()))-1,ABS(NETWORKDAYS(Proc[[#This Row],[DateOpened]],Proc[[#This Row],[DateClosed]]))-1)</f>
        <v>79</v>
      </c>
      <c r="R3992" s="136" t="s">
        <v>1459</v>
      </c>
      <c r="S3992" s="140"/>
    </row>
    <row r="3993" spans="1:19" hidden="1">
      <c r="A3993" s="139" t="s">
        <v>6160</v>
      </c>
      <c r="B3993" s="149" t="str">
        <f>IFERROR(VLOOKUP(Proc[[#This Row],[App]],Table2[],3,0),"open")</f>
        <v>ok</v>
      </c>
      <c r="C3993" s="142" t="s">
        <v>369</v>
      </c>
      <c r="D3993" t="s">
        <v>5967</v>
      </c>
      <c r="E3993" t="s">
        <v>424</v>
      </c>
      <c r="F3993" s="140" t="s">
        <v>424</v>
      </c>
      <c r="G3993" s="139" t="s">
        <v>406</v>
      </c>
      <c r="H3993" s="140" t="str">
        <f>IF(Proc[[#This Row],[type]]="LFF (MDG-F)",MID(Proc[[#This Row],[Obj]],13,10),"")</f>
        <v>JP01GIT01B</v>
      </c>
      <c r="J3993" s="140" t="b">
        <f>Proc[[#This Row],[Requested]]=Proc[[#This Row],[CurrentParent]]</f>
        <v>1</v>
      </c>
      <c r="K3993" s="144" t="str">
        <f>IF(Proc[[#This Row],[Author]]="Marcela Urrego",VLOOKUP(LEFT(Proc[[#This Row],[Requested]],1),Table3[#All],2,0),VLOOKUP(Proc[[#This Row],[Author]],Table4[],2,0))</f>
        <v>MGF</v>
      </c>
      <c r="L3993" s="140" t="s">
        <v>4894</v>
      </c>
      <c r="M3993" s="136">
        <v>45901</v>
      </c>
      <c r="N3993" s="137"/>
      <c r="O3993" s="137"/>
      <c r="P3993" s="136" t="str">
        <f ca="1">IF(Proc[[#This Row],[DaysAgeing]]&gt;5,"yep","on track")</f>
        <v>yep</v>
      </c>
      <c r="Q3993" s="3">
        <f ca="1">IF(Proc[[#This Row],[DateClosed]]="",ABS(NETWORKDAYS(Proc[[#This Row],[DateOpened]],TODAY()))-1,ABS(NETWORKDAYS(Proc[[#This Row],[DateOpened]],Proc[[#This Row],[DateClosed]]))-1)</f>
        <v>79</v>
      </c>
      <c r="R3993" s="136" t="s">
        <v>1459</v>
      </c>
      <c r="S3993" s="140"/>
    </row>
    <row r="3994" spans="1:19" hidden="1">
      <c r="A3994" s="139" t="s">
        <v>6160</v>
      </c>
      <c r="B3994" s="149" t="str">
        <f>IFERROR(VLOOKUP(Proc[[#This Row],[App]],Table2[],3,0),"open")</f>
        <v>ok</v>
      </c>
      <c r="C3994" s="142" t="s">
        <v>369</v>
      </c>
      <c r="D3994" t="s">
        <v>6153</v>
      </c>
      <c r="E3994" t="s">
        <v>5452</v>
      </c>
      <c r="F3994" s="140" t="s">
        <v>5452</v>
      </c>
      <c r="G3994" s="139" t="s">
        <v>400</v>
      </c>
      <c r="H3994" s="140" t="str">
        <f>IF(Proc[[#This Row],[type]]="LFF (MDG-F)",MID(Proc[[#This Row],[Obj]],13,10),"")</f>
        <v/>
      </c>
      <c r="J3994" s="140" t="b">
        <f>Proc[[#This Row],[Requested]]=Proc[[#This Row],[CurrentParent]]</f>
        <v>1</v>
      </c>
      <c r="K3994" s="144" t="str">
        <f>IF(Proc[[#This Row],[Author]]="Marcela Urrego",VLOOKUP(LEFT(Proc[[#This Row],[Requested]],1),Table3[#All],2,0),VLOOKUP(Proc[[#This Row],[Author]],Table4[],2,0))</f>
        <v>MGF</v>
      </c>
      <c r="L3994" s="140" t="s">
        <v>4894</v>
      </c>
      <c r="M3994" s="136">
        <v>45901</v>
      </c>
      <c r="N3994" s="137"/>
      <c r="O3994" s="137"/>
      <c r="P3994" s="136" t="str">
        <f ca="1">IF(Proc[[#This Row],[DaysAgeing]]&gt;5,"yep","on track")</f>
        <v>yep</v>
      </c>
      <c r="Q3994" s="3">
        <f ca="1">IF(Proc[[#This Row],[DateClosed]]="",ABS(NETWORKDAYS(Proc[[#This Row],[DateOpened]],TODAY()))-1,ABS(NETWORKDAYS(Proc[[#This Row],[DateOpened]],Proc[[#This Row],[DateClosed]]))-1)</f>
        <v>79</v>
      </c>
      <c r="R3994" s="136" t="s">
        <v>1459</v>
      </c>
      <c r="S3994" s="140"/>
    </row>
    <row r="3995" spans="1:19" hidden="1">
      <c r="A3995" s="139" t="s">
        <v>6160</v>
      </c>
      <c r="B3995" s="149" t="str">
        <f>IFERROR(VLOOKUP(Proc[[#This Row],[App]],Table2[],3,0),"open")</f>
        <v>ok</v>
      </c>
      <c r="C3995" s="142" t="s">
        <v>369</v>
      </c>
      <c r="D3995" t="s">
        <v>4400</v>
      </c>
      <c r="E3995" t="s">
        <v>4409</v>
      </c>
      <c r="F3995" s="140" t="s">
        <v>4409</v>
      </c>
      <c r="G3995" s="139" t="s">
        <v>406</v>
      </c>
      <c r="H3995" s="140" t="str">
        <f>IF(Proc[[#This Row],[type]]="LFF (MDG-F)",MID(Proc[[#This Row],[Obj]],13,10),"")</f>
        <v>DE10677800</v>
      </c>
      <c r="J3995" s="140" t="b">
        <f>Proc[[#This Row],[Requested]]=Proc[[#This Row],[CurrentParent]]</f>
        <v>1</v>
      </c>
      <c r="K3995" s="144" t="str">
        <f>IF(Proc[[#This Row],[Author]]="Marcela Urrego",VLOOKUP(LEFT(Proc[[#This Row],[Requested]],1),Table3[#All],2,0),VLOOKUP(Proc[[#This Row],[Author]],Table4[],2,0))</f>
        <v>MGF</v>
      </c>
      <c r="L3995" s="140" t="s">
        <v>4894</v>
      </c>
      <c r="M3995" s="136">
        <v>45901</v>
      </c>
      <c r="N3995" s="137"/>
      <c r="O3995" s="137"/>
      <c r="P3995" s="136" t="str">
        <f ca="1">IF(Proc[[#This Row],[DaysAgeing]]&gt;5,"yep","on track")</f>
        <v>yep</v>
      </c>
      <c r="Q3995" s="3">
        <f ca="1">IF(Proc[[#This Row],[DateClosed]]="",ABS(NETWORKDAYS(Proc[[#This Row],[DateOpened]],TODAY()))-1,ABS(NETWORKDAYS(Proc[[#This Row],[DateOpened]],Proc[[#This Row],[DateClosed]]))-1)</f>
        <v>79</v>
      </c>
      <c r="R3995" s="136" t="s">
        <v>1459</v>
      </c>
      <c r="S3995" s="140"/>
    </row>
    <row r="3996" spans="1:19" hidden="1">
      <c r="A3996" s="139" t="s">
        <v>6160</v>
      </c>
      <c r="B3996" s="149" t="str">
        <f>IFERROR(VLOOKUP(Proc[[#This Row],[App]],Table2[],3,0),"open")</f>
        <v>ok</v>
      </c>
      <c r="C3996" s="142" t="s">
        <v>369</v>
      </c>
      <c r="D3996" t="s">
        <v>5326</v>
      </c>
      <c r="E3996" t="s">
        <v>4410</v>
      </c>
      <c r="F3996" s="140" t="s">
        <v>4410</v>
      </c>
      <c r="G3996" s="139" t="s">
        <v>406</v>
      </c>
      <c r="H3996" s="140" t="str">
        <f>IF(Proc[[#This Row],[type]]="LFF (MDG-F)",MID(Proc[[#This Row],[Obj]],13,10),"")</f>
        <v>DE10685700</v>
      </c>
      <c r="J3996" s="140" t="b">
        <f>Proc[[#This Row],[Requested]]=Proc[[#This Row],[CurrentParent]]</f>
        <v>1</v>
      </c>
      <c r="K3996" s="144" t="str">
        <f>IF(Proc[[#This Row],[Author]]="Marcela Urrego",VLOOKUP(LEFT(Proc[[#This Row],[Requested]],1),Table3[#All],2,0),VLOOKUP(Proc[[#This Row],[Author]],Table4[],2,0))</f>
        <v>MGF</v>
      </c>
      <c r="L3996" s="140" t="s">
        <v>4894</v>
      </c>
      <c r="M3996" s="136">
        <v>45901</v>
      </c>
      <c r="N3996" s="137"/>
      <c r="O3996" s="137"/>
      <c r="P3996" s="136" t="str">
        <f ca="1">IF(Proc[[#This Row],[DaysAgeing]]&gt;5,"yep","on track")</f>
        <v>yep</v>
      </c>
      <c r="Q3996" s="3">
        <f ca="1">IF(Proc[[#This Row],[DateClosed]]="",ABS(NETWORKDAYS(Proc[[#This Row],[DateOpened]],TODAY()))-1,ABS(NETWORKDAYS(Proc[[#This Row],[DateOpened]],Proc[[#This Row],[DateClosed]]))-1)</f>
        <v>79</v>
      </c>
      <c r="R3996" s="136" t="s">
        <v>1459</v>
      </c>
      <c r="S3996" s="140"/>
    </row>
    <row r="3997" spans="1:19" hidden="1">
      <c r="A3997" s="139" t="s">
        <v>6160</v>
      </c>
      <c r="B3997" s="149" t="str">
        <f>IFERROR(VLOOKUP(Proc[[#This Row],[App]],Table2[],3,0),"open")</f>
        <v>ok</v>
      </c>
      <c r="C3997" s="142" t="s">
        <v>369</v>
      </c>
      <c r="D3997" t="s">
        <v>5398</v>
      </c>
      <c r="E3997" t="s">
        <v>6158</v>
      </c>
      <c r="F3997" s="140" t="s">
        <v>6158</v>
      </c>
      <c r="G3997" s="139" t="s">
        <v>400</v>
      </c>
      <c r="H3997" s="140" t="str">
        <f>IF(Proc[[#This Row],[type]]="LFF (MDG-F)",MID(Proc[[#This Row],[Obj]],13,10),"")</f>
        <v/>
      </c>
      <c r="J3997" s="140" t="b">
        <f>Proc[[#This Row],[Requested]]=Proc[[#This Row],[CurrentParent]]</f>
        <v>1</v>
      </c>
      <c r="K3997" s="144" t="str">
        <f>IF(Proc[[#This Row],[Author]]="Marcela Urrego",VLOOKUP(LEFT(Proc[[#This Row],[Requested]],1),Table3[#All],2,0),VLOOKUP(Proc[[#This Row],[Author]],Table4[],2,0))</f>
        <v>MGF</v>
      </c>
      <c r="L3997" s="140" t="s">
        <v>4894</v>
      </c>
      <c r="M3997" s="136">
        <v>45901</v>
      </c>
      <c r="N3997" s="137"/>
      <c r="O3997" s="137"/>
      <c r="P3997" s="136" t="str">
        <f ca="1">IF(Proc[[#This Row],[DaysAgeing]]&gt;5,"yep","on track")</f>
        <v>yep</v>
      </c>
      <c r="Q3997" s="3">
        <f ca="1">IF(Proc[[#This Row],[DateClosed]]="",ABS(NETWORKDAYS(Proc[[#This Row],[DateOpened]],TODAY()))-1,ABS(NETWORKDAYS(Proc[[#This Row],[DateOpened]],Proc[[#This Row],[DateClosed]]))-1)</f>
        <v>79</v>
      </c>
      <c r="R3997" s="136" t="s">
        <v>1459</v>
      </c>
      <c r="S3997" s="140"/>
    </row>
    <row r="3998" spans="1:19" hidden="1">
      <c r="A3998" s="139" t="s">
        <v>6160</v>
      </c>
      <c r="B3998" s="149" t="str">
        <f>IFERROR(VLOOKUP(Proc[[#This Row],[App]],Table2[],3,0),"open")</f>
        <v>ok</v>
      </c>
      <c r="C3998" s="142" t="s">
        <v>369</v>
      </c>
      <c r="D3998" t="s">
        <v>6154</v>
      </c>
      <c r="E3998" t="s">
        <v>759</v>
      </c>
      <c r="F3998" s="140" t="s">
        <v>759</v>
      </c>
      <c r="G3998" s="139" t="s">
        <v>400</v>
      </c>
      <c r="H3998" s="140" t="str">
        <f>IF(Proc[[#This Row],[type]]="LFF (MDG-F)",MID(Proc[[#This Row],[Obj]],13,10),"")</f>
        <v/>
      </c>
      <c r="J3998" s="140" t="b">
        <f>Proc[[#This Row],[Requested]]=Proc[[#This Row],[CurrentParent]]</f>
        <v>1</v>
      </c>
      <c r="K3998" s="144" t="str">
        <f>IF(Proc[[#This Row],[Author]]="Marcela Urrego",VLOOKUP(LEFT(Proc[[#This Row],[Requested]],1),Table3[#All],2,0),VLOOKUP(Proc[[#This Row],[Author]],Table4[],2,0))</f>
        <v>MGF</v>
      </c>
      <c r="L3998" s="140" t="s">
        <v>4894</v>
      </c>
      <c r="M3998" s="136">
        <v>45901</v>
      </c>
      <c r="N3998" s="137"/>
      <c r="O3998" s="137"/>
      <c r="P3998" s="136" t="str">
        <f ca="1">IF(Proc[[#This Row],[DaysAgeing]]&gt;5,"yep","on track")</f>
        <v>yep</v>
      </c>
      <c r="Q3998" s="3">
        <f ca="1">IF(Proc[[#This Row],[DateClosed]]="",ABS(NETWORKDAYS(Proc[[#This Row],[DateOpened]],TODAY()))-1,ABS(NETWORKDAYS(Proc[[#This Row],[DateOpened]],Proc[[#This Row],[DateClosed]]))-1)</f>
        <v>79</v>
      </c>
      <c r="R3998" s="136" t="s">
        <v>1459</v>
      </c>
      <c r="S3998" s="140"/>
    </row>
    <row r="3999" spans="1:19" hidden="1">
      <c r="A3999" s="139" t="s">
        <v>6160</v>
      </c>
      <c r="B3999" s="149" t="str">
        <f>IFERROR(VLOOKUP(Proc[[#This Row],[App]],Table2[],3,0),"open")</f>
        <v>ok</v>
      </c>
      <c r="C3999" s="142" t="s">
        <v>369</v>
      </c>
      <c r="D3999" t="s">
        <v>5399</v>
      </c>
      <c r="E3999" t="s">
        <v>6158</v>
      </c>
      <c r="F3999" s="140" t="s">
        <v>6158</v>
      </c>
      <c r="G3999" s="139" t="s">
        <v>400</v>
      </c>
      <c r="H3999" s="140" t="str">
        <f>IF(Proc[[#This Row],[type]]="LFF (MDG-F)",MID(Proc[[#This Row],[Obj]],13,10),"")</f>
        <v/>
      </c>
      <c r="J3999" s="140" t="b">
        <f>Proc[[#This Row],[Requested]]=Proc[[#This Row],[CurrentParent]]</f>
        <v>1</v>
      </c>
      <c r="K3999" s="144" t="str">
        <f>IF(Proc[[#This Row],[Author]]="Marcela Urrego",VLOOKUP(LEFT(Proc[[#This Row],[Requested]],1),Table3[#All],2,0),VLOOKUP(Proc[[#This Row],[Author]],Table4[],2,0))</f>
        <v>MGF</v>
      </c>
      <c r="L3999" s="140" t="s">
        <v>4894</v>
      </c>
      <c r="M3999" s="136">
        <v>45901</v>
      </c>
      <c r="N3999" s="137"/>
      <c r="O3999" s="137"/>
      <c r="P3999" s="136" t="str">
        <f ca="1">IF(Proc[[#This Row],[DaysAgeing]]&gt;5,"yep","on track")</f>
        <v>yep</v>
      </c>
      <c r="Q3999" s="3">
        <f ca="1">IF(Proc[[#This Row],[DateClosed]]="",ABS(NETWORKDAYS(Proc[[#This Row],[DateOpened]],TODAY()))-1,ABS(NETWORKDAYS(Proc[[#This Row],[DateOpened]],Proc[[#This Row],[DateClosed]]))-1)</f>
        <v>79</v>
      </c>
      <c r="R3999" s="136" t="s">
        <v>1459</v>
      </c>
      <c r="S3999" s="140"/>
    </row>
    <row r="4000" spans="1:19" hidden="1">
      <c r="A4000" s="139" t="s">
        <v>6160</v>
      </c>
      <c r="B4000" s="149" t="str">
        <f>IFERROR(VLOOKUP(Proc[[#This Row],[App]],Table2[],3,0),"open")</f>
        <v>ok</v>
      </c>
      <c r="C4000" s="142" t="s">
        <v>369</v>
      </c>
      <c r="D4000" t="s">
        <v>5418</v>
      </c>
      <c r="E4000" t="s">
        <v>6158</v>
      </c>
      <c r="F4000" s="140" t="s">
        <v>6158</v>
      </c>
      <c r="G4000" s="139" t="s">
        <v>406</v>
      </c>
      <c r="H4000" s="140" t="str">
        <f>IF(Proc[[#This Row],[type]]="LFF (MDG-F)",MID(Proc[[#This Row],[Obj]],13,10),"")</f>
        <v>2123GIT129</v>
      </c>
      <c r="J4000" s="140" t="b">
        <f>Proc[[#This Row],[Requested]]=Proc[[#This Row],[CurrentParent]]</f>
        <v>1</v>
      </c>
      <c r="K4000" s="144" t="str">
        <f>IF(Proc[[#This Row],[Author]]="Marcela Urrego",VLOOKUP(LEFT(Proc[[#This Row],[Requested]],1),Table3[#All],2,0),VLOOKUP(Proc[[#This Row],[Author]],Table4[],2,0))</f>
        <v>MGF</v>
      </c>
      <c r="L4000" s="140" t="s">
        <v>4894</v>
      </c>
      <c r="M4000" s="136">
        <v>45901</v>
      </c>
      <c r="N4000" s="137"/>
      <c r="O4000" s="137"/>
      <c r="P4000" s="136" t="str">
        <f ca="1">IF(Proc[[#This Row],[DaysAgeing]]&gt;5,"yep","on track")</f>
        <v>yep</v>
      </c>
      <c r="Q4000" s="3">
        <f ca="1">IF(Proc[[#This Row],[DateClosed]]="",ABS(NETWORKDAYS(Proc[[#This Row],[DateOpened]],TODAY()))-1,ABS(NETWORKDAYS(Proc[[#This Row],[DateOpened]],Proc[[#This Row],[DateClosed]]))-1)</f>
        <v>79</v>
      </c>
      <c r="R4000" s="136" t="s">
        <v>1459</v>
      </c>
      <c r="S4000" s="140"/>
    </row>
    <row r="4001" spans="1:19" hidden="1">
      <c r="A4001" s="139" t="s">
        <v>6160</v>
      </c>
      <c r="B4001" s="149" t="str">
        <f>IFERROR(VLOOKUP(Proc[[#This Row],[App]],Table2[],3,0),"open")</f>
        <v>ok</v>
      </c>
      <c r="C4001" s="149" t="s">
        <v>692</v>
      </c>
      <c r="D4001" t="s">
        <v>6155</v>
      </c>
      <c r="E4001" t="s">
        <v>427</v>
      </c>
      <c r="F4001" s="150" t="s">
        <v>446</v>
      </c>
      <c r="G4001" s="139" t="s">
        <v>406</v>
      </c>
      <c r="H4001" s="140" t="str">
        <f>IF(Proc[[#This Row],[type]]="LFF (MDG-F)",MID(Proc[[#This Row],[Obj]],13,10),"")</f>
        <v>2128GIT020</v>
      </c>
      <c r="I4001" s="149" t="s">
        <v>4832</v>
      </c>
      <c r="J4001" s="140" t="b">
        <f>Proc[[#This Row],[Requested]]=Proc[[#This Row],[CurrentParent]]</f>
        <v>0</v>
      </c>
      <c r="K4001" s="144" t="str">
        <f>IF(Proc[[#This Row],[Author]]="Marcela Urrego",VLOOKUP(LEFT(Proc[[#This Row],[Requested]],1),Table3[#All],2,0),VLOOKUP(Proc[[#This Row],[Author]],Table4[],2,0))</f>
        <v>MGF</v>
      </c>
      <c r="L4001" s="140" t="s">
        <v>4894</v>
      </c>
      <c r="M4001" s="136">
        <v>45901</v>
      </c>
      <c r="N4001" s="137"/>
      <c r="O4001" s="137"/>
      <c r="P4001" s="136" t="str">
        <f ca="1">IF(Proc[[#This Row],[DaysAgeing]]&gt;5,"yep","on track")</f>
        <v>yep</v>
      </c>
      <c r="Q4001" s="3">
        <f ca="1">IF(Proc[[#This Row],[DateClosed]]="",ABS(NETWORKDAYS(Proc[[#This Row],[DateOpened]],TODAY()))-1,ABS(NETWORKDAYS(Proc[[#This Row],[DateOpened]],Proc[[#This Row],[DateClosed]]))-1)</f>
        <v>79</v>
      </c>
      <c r="R4001" s="136" t="s">
        <v>1459</v>
      </c>
      <c r="S4001" s="140"/>
    </row>
    <row r="4002" spans="1:19" hidden="1">
      <c r="A4002" s="139" t="s">
        <v>6160</v>
      </c>
      <c r="B4002" s="149" t="str">
        <f>IFERROR(VLOOKUP(Proc[[#This Row],[App]],Table2[],3,0),"open")</f>
        <v>ok</v>
      </c>
      <c r="C4002" s="142" t="s">
        <v>369</v>
      </c>
      <c r="D4002" t="s">
        <v>5434</v>
      </c>
      <c r="E4002" t="s">
        <v>662</v>
      </c>
      <c r="F4002" s="140" t="s">
        <v>662</v>
      </c>
      <c r="G4002" s="139" t="s">
        <v>400</v>
      </c>
      <c r="H4002" s="140" t="str">
        <f>IF(Proc[[#This Row],[type]]="LFF (MDG-F)",MID(Proc[[#This Row],[Obj]],13,10),"")</f>
        <v/>
      </c>
      <c r="J4002" s="140" t="b">
        <f>Proc[[#This Row],[Requested]]=Proc[[#This Row],[CurrentParent]]</f>
        <v>1</v>
      </c>
      <c r="K4002" s="144" t="str">
        <f>IF(Proc[[#This Row],[Author]]="Marcela Urrego",VLOOKUP(LEFT(Proc[[#This Row],[Requested]],1),Table3[#All],2,0),VLOOKUP(Proc[[#This Row],[Author]],Table4[],2,0))</f>
        <v>MGF</v>
      </c>
      <c r="L4002" s="140" t="s">
        <v>4894</v>
      </c>
      <c r="M4002" s="136">
        <v>45901</v>
      </c>
      <c r="N4002" s="137"/>
      <c r="O4002" s="137"/>
      <c r="P4002" s="136" t="str">
        <f ca="1">IF(Proc[[#This Row],[DaysAgeing]]&gt;5,"yep","on track")</f>
        <v>yep</v>
      </c>
      <c r="Q4002" s="3">
        <f ca="1">IF(Proc[[#This Row],[DateClosed]]="",ABS(NETWORKDAYS(Proc[[#This Row],[DateOpened]],TODAY()))-1,ABS(NETWORKDAYS(Proc[[#This Row],[DateOpened]],Proc[[#This Row],[DateClosed]]))-1)</f>
        <v>79</v>
      </c>
      <c r="R4002" s="136" t="s">
        <v>1459</v>
      </c>
      <c r="S4002" s="140"/>
    </row>
    <row r="4003" spans="1:19" hidden="1">
      <c r="A4003" s="139" t="s">
        <v>6160</v>
      </c>
      <c r="B4003" s="149" t="str">
        <f>IFERROR(VLOOKUP(Proc[[#This Row],[App]],Table2[],3,0),"open")</f>
        <v>ok</v>
      </c>
      <c r="C4003" s="142" t="s">
        <v>369</v>
      </c>
      <c r="D4003" t="s">
        <v>6156</v>
      </c>
      <c r="E4003" t="s">
        <v>6159</v>
      </c>
      <c r="F4003" s="140" t="s">
        <v>6159</v>
      </c>
      <c r="G4003" s="139" t="s">
        <v>406</v>
      </c>
      <c r="H4003" s="140" t="str">
        <f>IF(Proc[[#This Row],[type]]="LFF (MDG-F)",MID(Proc[[#This Row],[Obj]],13,10),"")</f>
        <v>US10GIT034</v>
      </c>
      <c r="J4003" s="140" t="b">
        <f>Proc[[#This Row],[Requested]]=Proc[[#This Row],[CurrentParent]]</f>
        <v>1</v>
      </c>
      <c r="K4003" s="144" t="str">
        <f>IF(Proc[[#This Row],[Author]]="Marcela Urrego",VLOOKUP(LEFT(Proc[[#This Row],[Requested]],1),Table3[#All],2,0),VLOOKUP(Proc[[#This Row],[Author]],Table4[],2,0))</f>
        <v>MGF</v>
      </c>
      <c r="L4003" s="140" t="s">
        <v>4894</v>
      </c>
      <c r="M4003" s="136">
        <v>45901</v>
      </c>
      <c r="N4003" s="137"/>
      <c r="O4003" s="137"/>
      <c r="P4003" s="136" t="str">
        <f ca="1">IF(Proc[[#This Row],[DaysAgeing]]&gt;5,"yep","on track")</f>
        <v>yep</v>
      </c>
      <c r="Q4003" s="3">
        <f ca="1">IF(Proc[[#This Row],[DateClosed]]="",ABS(NETWORKDAYS(Proc[[#This Row],[DateOpened]],TODAY()))-1,ABS(NETWORKDAYS(Proc[[#This Row],[DateOpened]],Proc[[#This Row],[DateClosed]]))-1)</f>
        <v>79</v>
      </c>
      <c r="R4003" s="136" t="s">
        <v>1459</v>
      </c>
      <c r="S4003" s="140"/>
    </row>
    <row r="4004" spans="1:19" hidden="1">
      <c r="A4004" s="139" t="s">
        <v>6160</v>
      </c>
      <c r="B4004" s="149" t="str">
        <f>IFERROR(VLOOKUP(Proc[[#This Row],[App]],Table2[],3,0),"open")</f>
        <v>ok</v>
      </c>
      <c r="C4004" s="142" t="s">
        <v>369</v>
      </c>
      <c r="D4004" t="s">
        <v>6157</v>
      </c>
      <c r="E4004" t="s">
        <v>5452</v>
      </c>
      <c r="F4004" s="140" t="s">
        <v>5452</v>
      </c>
      <c r="G4004" s="139" t="s">
        <v>406</v>
      </c>
      <c r="H4004" s="140" t="str">
        <f>IF(Proc[[#This Row],[type]]="LFF (MDG-F)",MID(Proc[[#This Row],[Obj]],13,10),"")</f>
        <v>US10GIT048</v>
      </c>
      <c r="J4004" s="140" t="b">
        <f>Proc[[#This Row],[Requested]]=Proc[[#This Row],[CurrentParent]]</f>
        <v>1</v>
      </c>
      <c r="K4004" s="144" t="str">
        <f>IF(Proc[[#This Row],[Author]]="Marcela Urrego",VLOOKUP(LEFT(Proc[[#This Row],[Requested]],1),Table3[#All],2,0),VLOOKUP(Proc[[#This Row],[Author]],Table4[],2,0))</f>
        <v>MGF</v>
      </c>
      <c r="L4004" s="140" t="s">
        <v>4894</v>
      </c>
      <c r="M4004" s="136">
        <v>45901</v>
      </c>
      <c r="N4004" s="137"/>
      <c r="O4004" s="137"/>
      <c r="P4004" s="136" t="str">
        <f ca="1">IF(Proc[[#This Row],[DaysAgeing]]&gt;5,"yep","on track")</f>
        <v>yep</v>
      </c>
      <c r="Q4004" s="3">
        <f ca="1">IF(Proc[[#This Row],[DateClosed]]="",ABS(NETWORKDAYS(Proc[[#This Row],[DateOpened]],TODAY()))-1,ABS(NETWORKDAYS(Proc[[#This Row],[DateOpened]],Proc[[#This Row],[DateClosed]]))-1)</f>
        <v>79</v>
      </c>
      <c r="R4004" s="136" t="s">
        <v>1459</v>
      </c>
      <c r="S4004" s="140"/>
    </row>
    <row r="4005" spans="1:19" hidden="1">
      <c r="A4005" t="s">
        <v>6161</v>
      </c>
      <c r="B4005" s="149" t="str">
        <f>IFERROR(VLOOKUP(Proc[[#This Row],[App]],Table2[],3,0),"open")</f>
        <v>ok</v>
      </c>
      <c r="C4005" s="142" t="s">
        <v>369</v>
      </c>
      <c r="D4005" s="141" t="s">
        <v>6090</v>
      </c>
      <c r="E4005" s="142" t="s">
        <v>2678</v>
      </c>
      <c r="F4005" s="140" t="s">
        <v>2678</v>
      </c>
      <c r="G4005" s="142" t="s">
        <v>406</v>
      </c>
      <c r="H4005" s="140" t="str">
        <f>IF(Proc[[#This Row],[type]]="LFF (MDG-F)",MID(Proc[[#This Row],[Obj]],13,10),"")</f>
        <v>DE10GM8401</v>
      </c>
      <c r="J4005" s="140" t="b">
        <f>Proc[[#This Row],[Requested]]=Proc[[#This Row],[CurrentParent]]</f>
        <v>1</v>
      </c>
      <c r="K4005" s="144" t="str">
        <f>IF(Proc[[#This Row],[Author]]="Marcela Urrego",VLOOKUP(LEFT(Proc[[#This Row],[Requested]],1),Table3[#All],2,0),VLOOKUP(Proc[[#This Row],[Author]],Table4[],2,0))</f>
        <v>LS</v>
      </c>
      <c r="L4005" s="140" t="s">
        <v>4894</v>
      </c>
      <c r="M4005" s="136">
        <v>45902</v>
      </c>
      <c r="N4005" s="137"/>
      <c r="O4005" s="137"/>
      <c r="P4005" s="136" t="str">
        <f ca="1">IF(Proc[[#This Row],[DaysAgeing]]&gt;5,"yep","on track")</f>
        <v>yep</v>
      </c>
      <c r="Q4005" s="3">
        <f ca="1">IF(Proc[[#This Row],[DateClosed]]="",ABS(NETWORKDAYS(Proc[[#This Row],[DateOpened]],TODAY()))-1,ABS(NETWORKDAYS(Proc[[#This Row],[DateOpened]],Proc[[#This Row],[DateClosed]]))-1)</f>
        <v>78</v>
      </c>
      <c r="R4005" s="136" t="s">
        <v>972</v>
      </c>
      <c r="S4005" s="140"/>
    </row>
    <row r="4006" spans="1:19" hidden="1">
      <c r="A4006" t="s">
        <v>6201</v>
      </c>
      <c r="B4006" s="149" t="str">
        <f>IFERROR(VLOOKUP(Proc[[#This Row],[App]],Table2[],3,0),"open")</f>
        <v>ok</v>
      </c>
      <c r="C4006" s="142" t="s">
        <v>369</v>
      </c>
      <c r="D4006" t="s">
        <v>5948</v>
      </c>
      <c r="E4006" t="s">
        <v>6162</v>
      </c>
      <c r="F4006" s="140" t="s">
        <v>6162</v>
      </c>
      <c r="G4006" s="142" t="s">
        <v>406</v>
      </c>
      <c r="H4006" s="140" t="str">
        <f>IF(Proc[[#This Row],[type]]="LFF (MDG-F)",MID(Proc[[#This Row],[Obj]],13,10),"")</f>
        <v>JP01C0M121</v>
      </c>
      <c r="J4006" s="140" t="b">
        <f>Proc[[#This Row],[Requested]]=Proc[[#This Row],[CurrentParent]]</f>
        <v>1</v>
      </c>
      <c r="K4006" s="144" t="str">
        <f>IF(Proc[[#This Row],[Author]]="Marcela Urrego",VLOOKUP(LEFT(Proc[[#This Row],[Requested]],1),Table3[#All],2,0),VLOOKUP(Proc[[#This Row],[Author]],Table4[],2,0))</f>
        <v>EL</v>
      </c>
      <c r="L4006" s="140" t="s">
        <v>4894</v>
      </c>
      <c r="M4006" s="136">
        <v>45902</v>
      </c>
      <c r="N4006" s="137"/>
      <c r="O4006" s="137"/>
      <c r="P4006" s="136" t="str">
        <f ca="1">IF(Proc[[#This Row],[DaysAgeing]]&gt;5,"yep","on track")</f>
        <v>yep</v>
      </c>
      <c r="Q4006" s="3">
        <f ca="1">IF(Proc[[#This Row],[DateClosed]]="",ABS(NETWORKDAYS(Proc[[#This Row],[DateOpened]],TODAY()))-1,ABS(NETWORKDAYS(Proc[[#This Row],[DateOpened]],Proc[[#This Row],[DateClosed]]))-1)</f>
        <v>78</v>
      </c>
      <c r="R4006" s="136" t="s">
        <v>6087</v>
      </c>
      <c r="S4006" s="140"/>
    </row>
    <row r="4007" spans="1:19" hidden="1">
      <c r="A4007" s="142" t="s">
        <v>6201</v>
      </c>
      <c r="B4007" s="149" t="str">
        <f>IFERROR(VLOOKUP(Proc[[#This Row],[App]],Table2[],3,0),"open")</f>
        <v>ok</v>
      </c>
      <c r="C4007" s="142" t="s">
        <v>369</v>
      </c>
      <c r="D4007" t="s">
        <v>6045</v>
      </c>
      <c r="E4007" t="s">
        <v>6163</v>
      </c>
      <c r="F4007" s="140" t="s">
        <v>6163</v>
      </c>
      <c r="G4007" s="142" t="s">
        <v>406</v>
      </c>
      <c r="H4007" s="140" t="str">
        <f>IF(Proc[[#This Row],[type]]="LFF (MDG-F)",MID(Proc[[#This Row],[Obj]],13,10),"")</f>
        <v>JP01TQOZ04</v>
      </c>
      <c r="J4007" s="140" t="b">
        <f>Proc[[#This Row],[Requested]]=Proc[[#This Row],[CurrentParent]]</f>
        <v>1</v>
      </c>
      <c r="K4007" s="144" t="str">
        <f>IF(Proc[[#This Row],[Author]]="Marcela Urrego",VLOOKUP(LEFT(Proc[[#This Row],[Requested]],1),Table3[#All],2,0),VLOOKUP(Proc[[#This Row],[Author]],Table4[],2,0))</f>
        <v>EL</v>
      </c>
      <c r="L4007" s="140" t="s">
        <v>4894</v>
      </c>
      <c r="M4007" s="136">
        <v>45902</v>
      </c>
      <c r="N4007" s="137"/>
      <c r="O4007" s="137"/>
      <c r="P4007" s="136" t="str">
        <f ca="1">IF(Proc[[#This Row],[DaysAgeing]]&gt;5,"yep","on track")</f>
        <v>yep</v>
      </c>
      <c r="Q4007" s="3">
        <f ca="1">IF(Proc[[#This Row],[DateClosed]]="",ABS(NETWORKDAYS(Proc[[#This Row],[DateOpened]],TODAY()))-1,ABS(NETWORKDAYS(Proc[[#This Row],[DateOpened]],Proc[[#This Row],[DateClosed]]))-1)</f>
        <v>78</v>
      </c>
      <c r="R4007" s="136" t="s">
        <v>6087</v>
      </c>
      <c r="S4007" s="140"/>
    </row>
    <row r="4008" spans="1:19" hidden="1">
      <c r="A4008" s="142" t="s">
        <v>6201</v>
      </c>
      <c r="B4008" s="149" t="str">
        <f>IFERROR(VLOOKUP(Proc[[#This Row],[App]],Table2[],3,0),"open")</f>
        <v>ok</v>
      </c>
      <c r="C4008" s="142" t="s">
        <v>369</v>
      </c>
      <c r="D4008" t="s">
        <v>5955</v>
      </c>
      <c r="E4008" t="s">
        <v>6164</v>
      </c>
      <c r="F4008" s="140" t="s">
        <v>6164</v>
      </c>
      <c r="G4008" s="142" t="s">
        <v>406</v>
      </c>
      <c r="H4008" s="140" t="str">
        <f>IF(Proc[[#This Row],[type]]="LFF (MDG-F)",MID(Proc[[#This Row],[Obj]],13,10),"")</f>
        <v>JP01C0O921</v>
      </c>
      <c r="J4008" s="140" t="b">
        <f>Proc[[#This Row],[Requested]]=Proc[[#This Row],[CurrentParent]]</f>
        <v>1</v>
      </c>
      <c r="K4008" s="144" t="str">
        <f>IF(Proc[[#This Row],[Author]]="Marcela Urrego",VLOOKUP(LEFT(Proc[[#This Row],[Requested]],1),Table3[#All],2,0),VLOOKUP(Proc[[#This Row],[Author]],Table4[],2,0))</f>
        <v>EL</v>
      </c>
      <c r="L4008" s="140" t="s">
        <v>4894</v>
      </c>
      <c r="M4008" s="136">
        <v>45902</v>
      </c>
      <c r="N4008" s="137"/>
      <c r="O4008" s="137"/>
      <c r="P4008" s="136" t="str">
        <f ca="1">IF(Proc[[#This Row],[DaysAgeing]]&gt;5,"yep","on track")</f>
        <v>yep</v>
      </c>
      <c r="Q4008" s="3">
        <f ca="1">IF(Proc[[#This Row],[DateClosed]]="",ABS(NETWORKDAYS(Proc[[#This Row],[DateOpened]],TODAY()))-1,ABS(NETWORKDAYS(Proc[[#This Row],[DateOpened]],Proc[[#This Row],[DateClosed]]))-1)</f>
        <v>78</v>
      </c>
      <c r="R4008" s="136" t="s">
        <v>6087</v>
      </c>
      <c r="S4008" s="140"/>
    </row>
    <row r="4009" spans="1:19" hidden="1">
      <c r="A4009" s="142" t="s">
        <v>6201</v>
      </c>
      <c r="B4009" s="149" t="str">
        <f>IFERROR(VLOOKUP(Proc[[#This Row],[App]],Table2[],3,0),"open")</f>
        <v>ok</v>
      </c>
      <c r="C4009" s="142" t="s">
        <v>369</v>
      </c>
      <c r="D4009" t="s">
        <v>6000</v>
      </c>
      <c r="E4009" t="s">
        <v>6164</v>
      </c>
      <c r="F4009" s="140" t="s">
        <v>6164</v>
      </c>
      <c r="G4009" s="142" t="s">
        <v>406</v>
      </c>
      <c r="H4009" s="140" t="str">
        <f>IF(Proc[[#This Row],[type]]="LFF (MDG-F)",MID(Proc[[#This Row],[Obj]],13,10),"")</f>
        <v>JP01R0O721</v>
      </c>
      <c r="J4009" s="140" t="b">
        <f>Proc[[#This Row],[Requested]]=Proc[[#This Row],[CurrentParent]]</f>
        <v>1</v>
      </c>
      <c r="K4009" s="144" t="str">
        <f>IF(Proc[[#This Row],[Author]]="Marcela Urrego",VLOOKUP(LEFT(Proc[[#This Row],[Requested]],1),Table3[#All],2,0),VLOOKUP(Proc[[#This Row],[Author]],Table4[],2,0))</f>
        <v>EL</v>
      </c>
      <c r="L4009" s="140" t="s">
        <v>4894</v>
      </c>
      <c r="M4009" s="136">
        <v>45902</v>
      </c>
      <c r="N4009" s="137"/>
      <c r="O4009" s="137"/>
      <c r="P4009" s="136" t="str">
        <f ca="1">IF(Proc[[#This Row],[DaysAgeing]]&gt;5,"yep","on track")</f>
        <v>yep</v>
      </c>
      <c r="Q4009" s="3">
        <f ca="1">IF(Proc[[#This Row],[DateClosed]]="",ABS(NETWORKDAYS(Proc[[#This Row],[DateOpened]],TODAY()))-1,ABS(NETWORKDAYS(Proc[[#This Row],[DateOpened]],Proc[[#This Row],[DateClosed]]))-1)</f>
        <v>78</v>
      </c>
      <c r="R4009" s="136" t="s">
        <v>6087</v>
      </c>
      <c r="S4009" s="140"/>
    </row>
    <row r="4010" spans="1:19" hidden="1">
      <c r="A4010" s="142" t="s">
        <v>6201</v>
      </c>
      <c r="B4010" s="149" t="str">
        <f>IFERROR(VLOOKUP(Proc[[#This Row],[App]],Table2[],3,0),"open")</f>
        <v>ok</v>
      </c>
      <c r="C4010" s="142" t="s">
        <v>369</v>
      </c>
      <c r="D4010" t="s">
        <v>5950</v>
      </c>
      <c r="E4010" t="s">
        <v>6165</v>
      </c>
      <c r="F4010" s="140" t="s">
        <v>6165</v>
      </c>
      <c r="G4010" s="142" t="s">
        <v>406</v>
      </c>
      <c r="H4010" s="140" t="str">
        <f>IF(Proc[[#This Row],[type]]="LFF (MDG-F)",MID(Proc[[#This Row],[Obj]],13,10),"")</f>
        <v>JP01C0M621</v>
      </c>
      <c r="J4010" s="140" t="b">
        <f>Proc[[#This Row],[Requested]]=Proc[[#This Row],[CurrentParent]]</f>
        <v>1</v>
      </c>
      <c r="K4010" s="144" t="str">
        <f>IF(Proc[[#This Row],[Author]]="Marcela Urrego",VLOOKUP(LEFT(Proc[[#This Row],[Requested]],1),Table3[#All],2,0),VLOOKUP(Proc[[#This Row],[Author]],Table4[],2,0))</f>
        <v>EL</v>
      </c>
      <c r="L4010" s="140" t="s">
        <v>4894</v>
      </c>
      <c r="M4010" s="136">
        <v>45902</v>
      </c>
      <c r="N4010" s="137"/>
      <c r="O4010" s="137"/>
      <c r="P4010" s="136" t="str">
        <f ca="1">IF(Proc[[#This Row],[DaysAgeing]]&gt;5,"yep","on track")</f>
        <v>yep</v>
      </c>
      <c r="Q4010" s="3">
        <f ca="1">IF(Proc[[#This Row],[DateClosed]]="",ABS(NETWORKDAYS(Proc[[#This Row],[DateOpened]],TODAY()))-1,ABS(NETWORKDAYS(Proc[[#This Row],[DateOpened]],Proc[[#This Row],[DateClosed]]))-1)</f>
        <v>78</v>
      </c>
      <c r="R4010" s="136" t="s">
        <v>6087</v>
      </c>
      <c r="S4010" s="140"/>
    </row>
    <row r="4011" spans="1:19" hidden="1">
      <c r="A4011" s="142" t="s">
        <v>6201</v>
      </c>
      <c r="B4011" s="149" t="str">
        <f>IFERROR(VLOOKUP(Proc[[#This Row],[App]],Table2[],3,0),"open")</f>
        <v>ok</v>
      </c>
      <c r="C4011" s="142" t="s">
        <v>369</v>
      </c>
      <c r="D4011" t="s">
        <v>5949</v>
      </c>
      <c r="E4011" t="s">
        <v>2470</v>
      </c>
      <c r="F4011" s="140" t="s">
        <v>2470</v>
      </c>
      <c r="G4011" s="142" t="s">
        <v>406</v>
      </c>
      <c r="H4011" s="140" t="str">
        <f>IF(Proc[[#This Row],[type]]="LFF (MDG-F)",MID(Proc[[#This Row],[Obj]],13,10),"")</f>
        <v>JP01C0M600</v>
      </c>
      <c r="J4011" s="140" t="b">
        <f>Proc[[#This Row],[Requested]]=Proc[[#This Row],[CurrentParent]]</f>
        <v>1</v>
      </c>
      <c r="K4011" s="144" t="str">
        <f>IF(Proc[[#This Row],[Author]]="Marcela Urrego",VLOOKUP(LEFT(Proc[[#This Row],[Requested]],1),Table3[#All],2,0),VLOOKUP(Proc[[#This Row],[Author]],Table4[],2,0))</f>
        <v>EL</v>
      </c>
      <c r="L4011" s="140" t="s">
        <v>4894</v>
      </c>
      <c r="M4011" s="136">
        <v>45902</v>
      </c>
      <c r="N4011" s="137"/>
      <c r="O4011" s="137"/>
      <c r="P4011" s="136" t="str">
        <f ca="1">IF(Proc[[#This Row],[DaysAgeing]]&gt;5,"yep","on track")</f>
        <v>yep</v>
      </c>
      <c r="Q4011" s="3">
        <f ca="1">IF(Proc[[#This Row],[DateClosed]]="",ABS(NETWORKDAYS(Proc[[#This Row],[DateOpened]],TODAY()))-1,ABS(NETWORKDAYS(Proc[[#This Row],[DateOpened]],Proc[[#This Row],[DateClosed]]))-1)</f>
        <v>78</v>
      </c>
      <c r="R4011" s="136" t="s">
        <v>6087</v>
      </c>
      <c r="S4011" s="140"/>
    </row>
    <row r="4012" spans="1:19" hidden="1">
      <c r="A4012" s="142" t="s">
        <v>6201</v>
      </c>
      <c r="B4012" s="149" t="str">
        <f>IFERROR(VLOOKUP(Proc[[#This Row],[App]],Table2[],3,0),"open")</f>
        <v>ok</v>
      </c>
      <c r="C4012" s="149" t="s">
        <v>369</v>
      </c>
      <c r="D4012" t="s">
        <v>5974</v>
      </c>
      <c r="E4012" t="s">
        <v>474</v>
      </c>
      <c r="F4012" s="150" t="s">
        <v>474</v>
      </c>
      <c r="G4012" s="142" t="s">
        <v>406</v>
      </c>
      <c r="H4012" s="140" t="str">
        <f>IF(Proc[[#This Row],[type]]="LFF (MDG-F)",MID(Proc[[#This Row],[Obj]],13,10),"")</f>
        <v>JP01GM8002</v>
      </c>
      <c r="J4012" s="140" t="b">
        <f>Proc[[#This Row],[Requested]]=Proc[[#This Row],[CurrentParent]]</f>
        <v>1</v>
      </c>
      <c r="K4012" s="144" t="str">
        <f>IF(Proc[[#This Row],[Author]]="Marcela Urrego",VLOOKUP(LEFT(Proc[[#This Row],[Requested]],1),Table3[#All],2,0),VLOOKUP(Proc[[#This Row],[Author]],Table4[],2,0))</f>
        <v>EL</v>
      </c>
      <c r="L4012" s="140" t="s">
        <v>4894</v>
      </c>
      <c r="M4012" s="136">
        <v>45902</v>
      </c>
      <c r="N4012" s="137"/>
      <c r="O4012" s="137"/>
      <c r="P4012" s="136" t="str">
        <f ca="1">IF(Proc[[#This Row],[DaysAgeing]]&gt;5,"yep","on track")</f>
        <v>yep</v>
      </c>
      <c r="Q4012" s="3">
        <f ca="1">IF(Proc[[#This Row],[DateClosed]]="",ABS(NETWORKDAYS(Proc[[#This Row],[DateOpened]],TODAY()))-1,ABS(NETWORKDAYS(Proc[[#This Row],[DateOpened]],Proc[[#This Row],[DateClosed]]))-1)</f>
        <v>78</v>
      </c>
      <c r="R4012" s="136" t="s">
        <v>6087</v>
      </c>
      <c r="S4012" s="140"/>
    </row>
    <row r="4013" spans="1:19" hidden="1">
      <c r="A4013" s="142" t="s">
        <v>6201</v>
      </c>
      <c r="B4013" s="149" t="str">
        <f>IFERROR(VLOOKUP(Proc[[#This Row],[App]],Table2[],3,0),"open")</f>
        <v>ok</v>
      </c>
      <c r="C4013" s="142" t="s">
        <v>369</v>
      </c>
      <c r="D4013" t="s">
        <v>5964</v>
      </c>
      <c r="E4013" t="s">
        <v>413</v>
      </c>
      <c r="F4013" s="140" t="s">
        <v>413</v>
      </c>
      <c r="G4013" s="142" t="s">
        <v>406</v>
      </c>
      <c r="H4013" s="140" t="str">
        <f>IF(Proc[[#This Row],[type]]="LFF (MDG-F)",MID(Proc[[#This Row],[Obj]],13,10),"")</f>
        <v>JP01GFO301</v>
      </c>
      <c r="J4013" s="140" t="b">
        <f>Proc[[#This Row],[Requested]]=Proc[[#This Row],[CurrentParent]]</f>
        <v>1</v>
      </c>
      <c r="K4013" s="144" t="str">
        <f>IF(Proc[[#This Row],[Author]]="Marcela Urrego",VLOOKUP(LEFT(Proc[[#This Row],[Requested]],1),Table3[#All],2,0),VLOOKUP(Proc[[#This Row],[Author]],Table4[],2,0))</f>
        <v>EL</v>
      </c>
      <c r="L4013" s="140" t="s">
        <v>4894</v>
      </c>
      <c r="M4013" s="136">
        <v>45902</v>
      </c>
      <c r="N4013" s="137"/>
      <c r="O4013" s="137"/>
      <c r="P4013" s="136" t="str">
        <f ca="1">IF(Proc[[#This Row],[DaysAgeing]]&gt;5,"yep","on track")</f>
        <v>yep</v>
      </c>
      <c r="Q4013" s="3">
        <f ca="1">IF(Proc[[#This Row],[DateClosed]]="",ABS(NETWORKDAYS(Proc[[#This Row],[DateOpened]],TODAY()))-1,ABS(NETWORKDAYS(Proc[[#This Row],[DateOpened]],Proc[[#This Row],[DateClosed]]))-1)</f>
        <v>78</v>
      </c>
      <c r="R4013" s="136" t="s">
        <v>6087</v>
      </c>
      <c r="S4013" s="140"/>
    </row>
    <row r="4014" spans="1:19" hidden="1">
      <c r="A4014" s="142" t="s">
        <v>6201</v>
      </c>
      <c r="B4014" s="149" t="str">
        <f>IFERROR(VLOOKUP(Proc[[#This Row],[App]],Table2[],3,0),"open")</f>
        <v>ok</v>
      </c>
      <c r="C4014" s="142" t="s">
        <v>369</v>
      </c>
      <c r="D4014" t="s">
        <v>5968</v>
      </c>
      <c r="E4014" t="s">
        <v>6166</v>
      </c>
      <c r="F4014" s="140" t="s">
        <v>6166</v>
      </c>
      <c r="G4014" s="142" t="s">
        <v>406</v>
      </c>
      <c r="H4014" s="140" t="str">
        <f>IF(Proc[[#This Row],[type]]="LFF (MDG-F)",MID(Proc[[#This Row],[Obj]],13,10),"")</f>
        <v>JP01GLE301</v>
      </c>
      <c r="J4014" s="140" t="b">
        <f>Proc[[#This Row],[Requested]]=Proc[[#This Row],[CurrentParent]]</f>
        <v>1</v>
      </c>
      <c r="K4014" s="144" t="str">
        <f>IF(Proc[[#This Row],[Author]]="Marcela Urrego",VLOOKUP(LEFT(Proc[[#This Row],[Requested]],1),Table3[#All],2,0),VLOOKUP(Proc[[#This Row],[Author]],Table4[],2,0))</f>
        <v>EL</v>
      </c>
      <c r="L4014" s="140" t="s">
        <v>4894</v>
      </c>
      <c r="M4014" s="136">
        <v>45902</v>
      </c>
      <c r="N4014" s="137"/>
      <c r="O4014" s="137"/>
      <c r="P4014" s="136" t="str">
        <f ca="1">IF(Proc[[#This Row],[DaysAgeing]]&gt;5,"yep","on track")</f>
        <v>yep</v>
      </c>
      <c r="Q4014" s="3">
        <f ca="1">IF(Proc[[#This Row],[DateClosed]]="",ABS(NETWORKDAYS(Proc[[#This Row],[DateOpened]],TODAY()))-1,ABS(NETWORKDAYS(Proc[[#This Row],[DateOpened]],Proc[[#This Row],[DateClosed]]))-1)</f>
        <v>78</v>
      </c>
      <c r="R4014" s="136" t="s">
        <v>6087</v>
      </c>
      <c r="S4014" s="140"/>
    </row>
    <row r="4015" spans="1:19" hidden="1">
      <c r="A4015" s="142" t="s">
        <v>6201</v>
      </c>
      <c r="B4015" s="149" t="str">
        <f>IFERROR(VLOOKUP(Proc[[#This Row],[App]],Table2[],3,0),"open")</f>
        <v>ok</v>
      </c>
      <c r="C4015" s="142" t="s">
        <v>369</v>
      </c>
      <c r="D4015" t="s">
        <v>5961</v>
      </c>
      <c r="E4015" t="s">
        <v>6167</v>
      </c>
      <c r="F4015" s="140" t="s">
        <v>6167</v>
      </c>
      <c r="G4015" s="142" t="s">
        <v>406</v>
      </c>
      <c r="H4015" s="140" t="str">
        <f>IF(Proc[[#This Row],[type]]="LFF (MDG-F)",MID(Proc[[#This Row],[Obj]],13,10),"")</f>
        <v>JP01GCM301</v>
      </c>
      <c r="J4015" s="140" t="b">
        <f>Proc[[#This Row],[Requested]]=Proc[[#This Row],[CurrentParent]]</f>
        <v>1</v>
      </c>
      <c r="K4015" s="144" t="str">
        <f>IF(Proc[[#This Row],[Author]]="Marcela Urrego",VLOOKUP(LEFT(Proc[[#This Row],[Requested]],1),Table3[#All],2,0),VLOOKUP(Proc[[#This Row],[Author]],Table4[],2,0))</f>
        <v>EL</v>
      </c>
      <c r="L4015" s="140" t="s">
        <v>4894</v>
      </c>
      <c r="M4015" s="136">
        <v>45902</v>
      </c>
      <c r="N4015" s="137"/>
      <c r="O4015" s="137"/>
      <c r="P4015" s="136" t="str">
        <f ca="1">IF(Proc[[#This Row],[DaysAgeing]]&gt;5,"yep","on track")</f>
        <v>yep</v>
      </c>
      <c r="Q4015" s="3">
        <f ca="1">IF(Proc[[#This Row],[DateClosed]]="",ABS(NETWORKDAYS(Proc[[#This Row],[DateOpened]],TODAY()))-1,ABS(NETWORKDAYS(Proc[[#This Row],[DateOpened]],Proc[[#This Row],[DateClosed]]))-1)</f>
        <v>78</v>
      </c>
      <c r="R4015" s="136" t="s">
        <v>6087</v>
      </c>
      <c r="S4015" s="140"/>
    </row>
    <row r="4016" spans="1:19" hidden="1">
      <c r="A4016" s="142" t="s">
        <v>6201</v>
      </c>
      <c r="B4016" s="149" t="str">
        <f>IFERROR(VLOOKUP(Proc[[#This Row],[App]],Table2[],3,0),"open")</f>
        <v>ok</v>
      </c>
      <c r="C4016" s="142" t="s">
        <v>369</v>
      </c>
      <c r="D4016" t="s">
        <v>5962</v>
      </c>
      <c r="E4016" t="s">
        <v>6168</v>
      </c>
      <c r="F4016" s="140" t="s">
        <v>6168</v>
      </c>
      <c r="G4016" s="142" t="s">
        <v>406</v>
      </c>
      <c r="H4016" s="140" t="str">
        <f>IF(Proc[[#This Row],[type]]="LFF (MDG-F)",MID(Proc[[#This Row],[Obj]],13,10),"")</f>
        <v>JP01GCO301</v>
      </c>
      <c r="J4016" s="140" t="b">
        <f>Proc[[#This Row],[Requested]]=Proc[[#This Row],[CurrentParent]]</f>
        <v>1</v>
      </c>
      <c r="K4016" s="144" t="str">
        <f>IF(Proc[[#This Row],[Author]]="Marcela Urrego",VLOOKUP(LEFT(Proc[[#This Row],[Requested]],1),Table3[#All],2,0),VLOOKUP(Proc[[#This Row],[Author]],Table4[],2,0))</f>
        <v>EL</v>
      </c>
      <c r="L4016" s="140" t="s">
        <v>4894</v>
      </c>
      <c r="M4016" s="136">
        <v>45902</v>
      </c>
      <c r="N4016" s="137"/>
      <c r="O4016" s="137"/>
      <c r="P4016" s="136" t="str">
        <f ca="1">IF(Proc[[#This Row],[DaysAgeing]]&gt;5,"yep","on track")</f>
        <v>yep</v>
      </c>
      <c r="Q4016" s="3">
        <f ca="1">IF(Proc[[#This Row],[DateClosed]]="",ABS(NETWORKDAYS(Proc[[#This Row],[DateOpened]],TODAY()))-1,ABS(NETWORKDAYS(Proc[[#This Row],[DateOpened]],Proc[[#This Row],[DateClosed]]))-1)</f>
        <v>78</v>
      </c>
      <c r="R4016" s="136" t="s">
        <v>6087</v>
      </c>
      <c r="S4016" s="140"/>
    </row>
    <row r="4017" spans="1:19" hidden="1">
      <c r="A4017" s="142" t="s">
        <v>6201</v>
      </c>
      <c r="B4017" s="149" t="str">
        <f>IFERROR(VLOOKUP(Proc[[#This Row],[App]],Table2[],3,0),"open")</f>
        <v>ok</v>
      </c>
      <c r="C4017" s="142" t="s">
        <v>369</v>
      </c>
      <c r="D4017" t="s">
        <v>5990</v>
      </c>
      <c r="E4017" t="s">
        <v>6169</v>
      </c>
      <c r="F4017" s="140" t="s">
        <v>6169</v>
      </c>
      <c r="G4017" s="142" t="s">
        <v>406</v>
      </c>
      <c r="H4017" s="140" t="str">
        <f>IF(Proc[[#This Row],[type]]="LFF (MDG-F)",MID(Proc[[#This Row],[Obj]],13,10),"")</f>
        <v>JP01L5M302</v>
      </c>
      <c r="J4017" s="140" t="b">
        <f>Proc[[#This Row],[Requested]]=Proc[[#This Row],[CurrentParent]]</f>
        <v>1</v>
      </c>
      <c r="K4017" s="144" t="str">
        <f>IF(Proc[[#This Row],[Author]]="Marcela Urrego",VLOOKUP(LEFT(Proc[[#This Row],[Requested]],1),Table3[#All],2,0),VLOOKUP(Proc[[#This Row],[Author]],Table4[],2,0))</f>
        <v>EL</v>
      </c>
      <c r="L4017" s="140" t="s">
        <v>4894</v>
      </c>
      <c r="M4017" s="136">
        <v>45902</v>
      </c>
      <c r="N4017" s="137"/>
      <c r="O4017" s="137"/>
      <c r="P4017" s="136" t="str">
        <f ca="1">IF(Proc[[#This Row],[DaysAgeing]]&gt;5,"yep","on track")</f>
        <v>yep</v>
      </c>
      <c r="Q4017" s="3">
        <f ca="1">IF(Proc[[#This Row],[DateClosed]]="",ABS(NETWORKDAYS(Proc[[#This Row],[DateOpened]],TODAY()))-1,ABS(NETWORKDAYS(Proc[[#This Row],[DateOpened]],Proc[[#This Row],[DateClosed]]))-1)</f>
        <v>78</v>
      </c>
      <c r="R4017" s="136" t="s">
        <v>6087</v>
      </c>
      <c r="S4017" s="140"/>
    </row>
    <row r="4018" spans="1:19" hidden="1">
      <c r="A4018" s="142" t="s">
        <v>6201</v>
      </c>
      <c r="B4018" s="149" t="str">
        <f>IFERROR(VLOOKUP(Proc[[#This Row],[App]],Table2[],3,0),"open")</f>
        <v>ok</v>
      </c>
      <c r="C4018" s="142" t="s">
        <v>369</v>
      </c>
      <c r="D4018" t="s">
        <v>5971</v>
      </c>
      <c r="E4018" t="s">
        <v>413</v>
      </c>
      <c r="F4018" s="140" t="s">
        <v>413</v>
      </c>
      <c r="G4018" s="142" t="s">
        <v>406</v>
      </c>
      <c r="H4018" s="140" t="str">
        <f>IF(Proc[[#This Row],[type]]="LFF (MDG-F)",MID(Proc[[#This Row],[Obj]],13,10),"")</f>
        <v>JP01GM4001</v>
      </c>
      <c r="J4018" s="140" t="b">
        <f>Proc[[#This Row],[Requested]]=Proc[[#This Row],[CurrentParent]]</f>
        <v>1</v>
      </c>
      <c r="K4018" s="144" t="str">
        <f>IF(Proc[[#This Row],[Author]]="Marcela Urrego",VLOOKUP(LEFT(Proc[[#This Row],[Requested]],1),Table3[#All],2,0),VLOOKUP(Proc[[#This Row],[Author]],Table4[],2,0))</f>
        <v>EL</v>
      </c>
      <c r="L4018" s="140" t="s">
        <v>4894</v>
      </c>
      <c r="M4018" s="136">
        <v>45902</v>
      </c>
      <c r="N4018" s="137"/>
      <c r="O4018" s="137"/>
      <c r="P4018" s="136" t="str">
        <f ca="1">IF(Proc[[#This Row],[DaysAgeing]]&gt;5,"yep","on track")</f>
        <v>yep</v>
      </c>
      <c r="Q4018" s="3">
        <f ca="1">IF(Proc[[#This Row],[DateClosed]]="",ABS(NETWORKDAYS(Proc[[#This Row],[DateOpened]],TODAY()))-1,ABS(NETWORKDAYS(Proc[[#This Row],[DateOpened]],Proc[[#This Row],[DateClosed]]))-1)</f>
        <v>78</v>
      </c>
      <c r="R4018" s="136" t="s">
        <v>6087</v>
      </c>
      <c r="S4018" s="140"/>
    </row>
    <row r="4019" spans="1:19" hidden="1">
      <c r="A4019" s="142" t="s">
        <v>6201</v>
      </c>
      <c r="B4019" s="149" t="str">
        <f>IFERROR(VLOOKUP(Proc[[#This Row],[App]],Table2[],3,0),"open")</f>
        <v>ok</v>
      </c>
      <c r="C4019" s="149" t="s">
        <v>369</v>
      </c>
      <c r="D4019" t="s">
        <v>5972</v>
      </c>
      <c r="E4019" t="s">
        <v>473</v>
      </c>
      <c r="F4019" s="150" t="s">
        <v>473</v>
      </c>
      <c r="G4019" s="142" t="s">
        <v>406</v>
      </c>
      <c r="H4019" s="140" t="str">
        <f>IF(Proc[[#This Row],[type]]="LFF (MDG-F)",MID(Proc[[#This Row],[Obj]],13,10),"")</f>
        <v>JP01GM4002</v>
      </c>
      <c r="J4019" s="140" t="b">
        <f>Proc[[#This Row],[Requested]]=Proc[[#This Row],[CurrentParent]]</f>
        <v>1</v>
      </c>
      <c r="K4019" s="144" t="str">
        <f>IF(Proc[[#This Row],[Author]]="Marcela Urrego",VLOOKUP(LEFT(Proc[[#This Row],[Requested]],1),Table3[#All],2,0),VLOOKUP(Proc[[#This Row],[Author]],Table4[],2,0))</f>
        <v>EL</v>
      </c>
      <c r="L4019" s="140" t="s">
        <v>4894</v>
      </c>
      <c r="M4019" s="136">
        <v>45902</v>
      </c>
      <c r="N4019" s="137"/>
      <c r="O4019" s="137"/>
      <c r="P4019" s="136" t="str">
        <f ca="1">IF(Proc[[#This Row],[DaysAgeing]]&gt;5,"yep","on track")</f>
        <v>yep</v>
      </c>
      <c r="Q4019" s="3">
        <f ca="1">IF(Proc[[#This Row],[DateClosed]]="",ABS(NETWORKDAYS(Proc[[#This Row],[DateOpened]],TODAY()))-1,ABS(NETWORKDAYS(Proc[[#This Row],[DateOpened]],Proc[[#This Row],[DateClosed]]))-1)</f>
        <v>78</v>
      </c>
      <c r="R4019" s="136" t="s">
        <v>6087</v>
      </c>
      <c r="S4019" s="140"/>
    </row>
    <row r="4020" spans="1:19" hidden="1">
      <c r="A4020" s="142" t="s">
        <v>6201</v>
      </c>
      <c r="B4020" s="149" t="str">
        <f>IFERROR(VLOOKUP(Proc[[#This Row],[App]],Table2[],3,0),"open")</f>
        <v>ok</v>
      </c>
      <c r="C4020" s="142" t="s">
        <v>369</v>
      </c>
      <c r="D4020" t="s">
        <v>5988</v>
      </c>
      <c r="E4020" t="s">
        <v>6170</v>
      </c>
      <c r="F4020" s="140" t="s">
        <v>6170</v>
      </c>
      <c r="G4020" s="142" t="s">
        <v>406</v>
      </c>
      <c r="H4020" s="140" t="str">
        <f>IF(Proc[[#This Row],[type]]="LFF (MDG-F)",MID(Proc[[#This Row],[Obj]],13,10),"")</f>
        <v>JP01L4M302</v>
      </c>
      <c r="J4020" s="140" t="b">
        <f>Proc[[#This Row],[Requested]]=Proc[[#This Row],[CurrentParent]]</f>
        <v>1</v>
      </c>
      <c r="K4020" s="144" t="str">
        <f>IF(Proc[[#This Row],[Author]]="Marcela Urrego",VLOOKUP(LEFT(Proc[[#This Row],[Requested]],1),Table3[#All],2,0),VLOOKUP(Proc[[#This Row],[Author]],Table4[],2,0))</f>
        <v>EL</v>
      </c>
      <c r="L4020" s="140" t="s">
        <v>4894</v>
      </c>
      <c r="M4020" s="136">
        <v>45902</v>
      </c>
      <c r="N4020" s="137"/>
      <c r="O4020" s="137"/>
      <c r="P4020" s="136" t="str">
        <f ca="1">IF(Proc[[#This Row],[DaysAgeing]]&gt;5,"yep","on track")</f>
        <v>yep</v>
      </c>
      <c r="Q4020" s="3">
        <f ca="1">IF(Proc[[#This Row],[DateClosed]]="",ABS(NETWORKDAYS(Proc[[#This Row],[DateOpened]],TODAY()))-1,ABS(NETWORKDAYS(Proc[[#This Row],[DateOpened]],Proc[[#This Row],[DateClosed]]))-1)</f>
        <v>78</v>
      </c>
      <c r="R4020" s="136" t="s">
        <v>6087</v>
      </c>
      <c r="S4020" s="140"/>
    </row>
    <row r="4021" spans="1:19" hidden="1">
      <c r="A4021" s="142" t="s">
        <v>6201</v>
      </c>
      <c r="B4021" s="149" t="str">
        <f>IFERROR(VLOOKUP(Proc[[#This Row],[App]],Table2[],3,0),"open")</f>
        <v>ok</v>
      </c>
      <c r="C4021" s="142" t="s">
        <v>369</v>
      </c>
      <c r="D4021" t="s">
        <v>5995</v>
      </c>
      <c r="E4021" t="s">
        <v>2681</v>
      </c>
      <c r="F4021" s="140" t="s">
        <v>2681</v>
      </c>
      <c r="G4021" s="142" t="s">
        <v>406</v>
      </c>
      <c r="H4021" s="140" t="str">
        <f>IF(Proc[[#This Row],[type]]="LFF (MDG-F)",MID(Proc[[#This Row],[Obj]],13,10),"")</f>
        <v>JP01O05001</v>
      </c>
      <c r="J4021" s="140" t="b">
        <f>Proc[[#This Row],[Requested]]=Proc[[#This Row],[CurrentParent]]</f>
        <v>1</v>
      </c>
      <c r="K4021" s="144" t="str">
        <f>IF(Proc[[#This Row],[Author]]="Marcela Urrego",VLOOKUP(LEFT(Proc[[#This Row],[Requested]],1),Table3[#All],2,0),VLOOKUP(Proc[[#This Row],[Author]],Table4[],2,0))</f>
        <v>EL</v>
      </c>
      <c r="L4021" s="140" t="s">
        <v>4894</v>
      </c>
      <c r="M4021" s="136">
        <v>45902</v>
      </c>
      <c r="N4021" s="137"/>
      <c r="O4021" s="137"/>
      <c r="P4021" s="136" t="str">
        <f ca="1">IF(Proc[[#This Row],[DaysAgeing]]&gt;5,"yep","on track")</f>
        <v>yep</v>
      </c>
      <c r="Q4021" s="3">
        <f ca="1">IF(Proc[[#This Row],[DateClosed]]="",ABS(NETWORKDAYS(Proc[[#This Row],[DateOpened]],TODAY()))-1,ABS(NETWORKDAYS(Proc[[#This Row],[DateOpened]],Proc[[#This Row],[DateClosed]]))-1)</f>
        <v>78</v>
      </c>
      <c r="R4021" s="136" t="s">
        <v>6087</v>
      </c>
      <c r="S4021" s="140"/>
    </row>
    <row r="4022" spans="1:19" hidden="1">
      <c r="A4022" s="142" t="s">
        <v>6201</v>
      </c>
      <c r="B4022" s="149" t="str">
        <f>IFERROR(VLOOKUP(Proc[[#This Row],[App]],Table2[],3,0),"open")</f>
        <v>ok</v>
      </c>
      <c r="C4022" s="142" t="s">
        <v>369</v>
      </c>
      <c r="D4022" t="s">
        <v>5993</v>
      </c>
      <c r="E4022" t="s">
        <v>6171</v>
      </c>
      <c r="F4022" s="140" t="s">
        <v>6171</v>
      </c>
      <c r="G4022" s="142" t="s">
        <v>406</v>
      </c>
      <c r="H4022" s="140" t="str">
        <f>IF(Proc[[#This Row],[type]]="LFF (MDG-F)",MID(Proc[[#This Row],[Obj]],13,10),"")</f>
        <v>JP01L7M303</v>
      </c>
      <c r="J4022" s="140" t="b">
        <f>Proc[[#This Row],[Requested]]=Proc[[#This Row],[CurrentParent]]</f>
        <v>1</v>
      </c>
      <c r="K4022" s="144" t="str">
        <f>IF(Proc[[#This Row],[Author]]="Marcela Urrego",VLOOKUP(LEFT(Proc[[#This Row],[Requested]],1),Table3[#All],2,0),VLOOKUP(Proc[[#This Row],[Author]],Table4[],2,0))</f>
        <v>EL</v>
      </c>
      <c r="L4022" s="140" t="s">
        <v>4894</v>
      </c>
      <c r="M4022" s="136">
        <v>45902</v>
      </c>
      <c r="N4022" s="137"/>
      <c r="O4022" s="137"/>
      <c r="P4022" s="136" t="str">
        <f ca="1">IF(Proc[[#This Row],[DaysAgeing]]&gt;5,"yep","on track")</f>
        <v>yep</v>
      </c>
      <c r="Q4022" s="3">
        <f ca="1">IF(Proc[[#This Row],[DateClosed]]="",ABS(NETWORKDAYS(Proc[[#This Row],[DateOpened]],TODAY()))-1,ABS(NETWORKDAYS(Proc[[#This Row],[DateOpened]],Proc[[#This Row],[DateClosed]]))-1)</f>
        <v>78</v>
      </c>
      <c r="R4022" s="136" t="s">
        <v>6087</v>
      </c>
      <c r="S4022" s="140"/>
    </row>
    <row r="4023" spans="1:19" hidden="1">
      <c r="A4023" s="142" t="s">
        <v>6201</v>
      </c>
      <c r="B4023" s="149" t="str">
        <f>IFERROR(VLOOKUP(Proc[[#This Row],[App]],Table2[],3,0),"open")</f>
        <v>ok</v>
      </c>
      <c r="C4023" s="142" t="s">
        <v>369</v>
      </c>
      <c r="D4023" t="s">
        <v>6042</v>
      </c>
      <c r="E4023" t="s">
        <v>6163</v>
      </c>
      <c r="F4023" s="140" t="s">
        <v>6163</v>
      </c>
      <c r="G4023" s="142" t="s">
        <v>406</v>
      </c>
      <c r="H4023" s="140" t="str">
        <f>IF(Proc[[#This Row],[type]]="LFF (MDG-F)",MID(Proc[[#This Row],[Obj]],13,10),"")</f>
        <v>JP01TPOZ01</v>
      </c>
      <c r="J4023" s="140" t="b">
        <f>Proc[[#This Row],[Requested]]=Proc[[#This Row],[CurrentParent]]</f>
        <v>1</v>
      </c>
      <c r="K4023" s="144" t="str">
        <f>IF(Proc[[#This Row],[Author]]="Marcela Urrego",VLOOKUP(LEFT(Proc[[#This Row],[Requested]],1),Table3[#All],2,0),VLOOKUP(Proc[[#This Row],[Author]],Table4[],2,0))</f>
        <v>EL</v>
      </c>
      <c r="L4023" s="140" t="s">
        <v>4894</v>
      </c>
      <c r="M4023" s="136">
        <v>45902</v>
      </c>
      <c r="N4023" s="137"/>
      <c r="O4023" s="137"/>
      <c r="P4023" s="136" t="str">
        <f ca="1">IF(Proc[[#This Row],[DaysAgeing]]&gt;5,"yep","on track")</f>
        <v>yep</v>
      </c>
      <c r="Q4023" s="3">
        <f ca="1">IF(Proc[[#This Row],[DateClosed]]="",ABS(NETWORKDAYS(Proc[[#This Row],[DateOpened]],TODAY()))-1,ABS(NETWORKDAYS(Proc[[#This Row],[DateOpened]],Proc[[#This Row],[DateClosed]]))-1)</f>
        <v>78</v>
      </c>
      <c r="R4023" s="136" t="s">
        <v>6087</v>
      </c>
      <c r="S4023" s="140"/>
    </row>
    <row r="4024" spans="1:19" hidden="1">
      <c r="A4024" s="142" t="s">
        <v>6201</v>
      </c>
      <c r="B4024" s="149" t="str">
        <f>IFERROR(VLOOKUP(Proc[[#This Row],[App]],Table2[],3,0),"open")</f>
        <v>ok</v>
      </c>
      <c r="C4024" s="142" t="s">
        <v>369</v>
      </c>
      <c r="D4024" t="s">
        <v>6044</v>
      </c>
      <c r="E4024" t="s">
        <v>6163</v>
      </c>
      <c r="F4024" s="140" t="s">
        <v>6163</v>
      </c>
      <c r="G4024" s="142" t="s">
        <v>406</v>
      </c>
      <c r="H4024" s="140" t="str">
        <f>IF(Proc[[#This Row],[type]]="LFF (MDG-F)",MID(Proc[[#This Row],[Obj]],13,10),"")</f>
        <v>JP01TQOZ03</v>
      </c>
      <c r="J4024" s="140" t="b">
        <f>Proc[[#This Row],[Requested]]=Proc[[#This Row],[CurrentParent]]</f>
        <v>1</v>
      </c>
      <c r="K4024" s="144" t="str">
        <f>IF(Proc[[#This Row],[Author]]="Marcela Urrego",VLOOKUP(LEFT(Proc[[#This Row],[Requested]],1),Table3[#All],2,0),VLOOKUP(Proc[[#This Row],[Author]],Table4[],2,0))</f>
        <v>EL</v>
      </c>
      <c r="L4024" s="140" t="s">
        <v>4894</v>
      </c>
      <c r="M4024" s="136">
        <v>45902</v>
      </c>
      <c r="N4024" s="137"/>
      <c r="O4024" s="137"/>
      <c r="P4024" s="136" t="str">
        <f ca="1">IF(Proc[[#This Row],[DaysAgeing]]&gt;5,"yep","on track")</f>
        <v>yep</v>
      </c>
      <c r="Q4024" s="3">
        <f ca="1">IF(Proc[[#This Row],[DateClosed]]="",ABS(NETWORKDAYS(Proc[[#This Row],[DateOpened]],TODAY()))-1,ABS(NETWORKDAYS(Proc[[#This Row],[DateOpened]],Proc[[#This Row],[DateClosed]]))-1)</f>
        <v>78</v>
      </c>
      <c r="R4024" s="136" t="s">
        <v>6087</v>
      </c>
      <c r="S4024" s="140"/>
    </row>
    <row r="4025" spans="1:19" hidden="1">
      <c r="A4025" s="142" t="s">
        <v>6201</v>
      </c>
      <c r="B4025" s="149" t="str">
        <f>IFERROR(VLOOKUP(Proc[[#This Row],[App]],Table2[],3,0),"open")</f>
        <v>ok</v>
      </c>
      <c r="C4025" s="142" t="s">
        <v>369</v>
      </c>
      <c r="D4025" t="s">
        <v>5953</v>
      </c>
      <c r="E4025" t="s">
        <v>6103</v>
      </c>
      <c r="F4025" s="140" t="s">
        <v>6103</v>
      </c>
      <c r="G4025" s="142" t="s">
        <v>406</v>
      </c>
      <c r="H4025" s="140" t="str">
        <f>IF(Proc[[#This Row],[type]]="LFF (MDG-F)",MID(Proc[[#This Row],[Obj]],13,10),"")</f>
        <v>JP01C0M825</v>
      </c>
      <c r="J4025" s="140" t="b">
        <f>Proc[[#This Row],[Requested]]=Proc[[#This Row],[CurrentParent]]</f>
        <v>1</v>
      </c>
      <c r="K4025" s="144" t="str">
        <f>IF(Proc[[#This Row],[Author]]="Marcela Urrego",VLOOKUP(LEFT(Proc[[#This Row],[Requested]],1),Table3[#All],2,0),VLOOKUP(Proc[[#This Row],[Author]],Table4[],2,0))</f>
        <v>EL</v>
      </c>
      <c r="L4025" s="140" t="s">
        <v>4894</v>
      </c>
      <c r="M4025" s="136">
        <v>45902</v>
      </c>
      <c r="N4025" s="137"/>
      <c r="O4025" s="137"/>
      <c r="P4025" s="136" t="str">
        <f ca="1">IF(Proc[[#This Row],[DaysAgeing]]&gt;5,"yep","on track")</f>
        <v>yep</v>
      </c>
      <c r="Q4025" s="3">
        <f ca="1">IF(Proc[[#This Row],[DateClosed]]="",ABS(NETWORKDAYS(Proc[[#This Row],[DateOpened]],TODAY()))-1,ABS(NETWORKDAYS(Proc[[#This Row],[DateOpened]],Proc[[#This Row],[DateClosed]]))-1)</f>
        <v>78</v>
      </c>
      <c r="R4025" s="136" t="s">
        <v>6087</v>
      </c>
      <c r="S4025" s="140"/>
    </row>
    <row r="4026" spans="1:19" hidden="1">
      <c r="A4026" s="142" t="s">
        <v>6201</v>
      </c>
      <c r="B4026" s="149" t="str">
        <f>IFERROR(VLOOKUP(Proc[[#This Row],[App]],Table2[],3,0),"open")</f>
        <v>ok</v>
      </c>
      <c r="C4026" s="142" t="s">
        <v>369</v>
      </c>
      <c r="D4026" t="s">
        <v>6036</v>
      </c>
      <c r="E4026" t="s">
        <v>6172</v>
      </c>
      <c r="F4026" s="140" t="s">
        <v>6172</v>
      </c>
      <c r="G4026" s="142" t="s">
        <v>406</v>
      </c>
      <c r="H4026" s="140" t="str">
        <f>IF(Proc[[#This Row],[type]]="LFF (MDG-F)",MID(Proc[[#This Row],[Obj]],13,10),"")</f>
        <v>JP01TFOZ01</v>
      </c>
      <c r="J4026" s="140" t="b">
        <f>Proc[[#This Row],[Requested]]=Proc[[#This Row],[CurrentParent]]</f>
        <v>1</v>
      </c>
      <c r="K4026" s="144" t="str">
        <f>IF(Proc[[#This Row],[Author]]="Marcela Urrego",VLOOKUP(LEFT(Proc[[#This Row],[Requested]],1),Table3[#All],2,0),VLOOKUP(Proc[[#This Row],[Author]],Table4[],2,0))</f>
        <v>EL</v>
      </c>
      <c r="L4026" s="140" t="s">
        <v>4894</v>
      </c>
      <c r="M4026" s="136">
        <v>45902</v>
      </c>
      <c r="N4026" s="137"/>
      <c r="O4026" s="137"/>
      <c r="P4026" s="136" t="str">
        <f ca="1">IF(Proc[[#This Row],[DaysAgeing]]&gt;5,"yep","on track")</f>
        <v>yep</v>
      </c>
      <c r="Q4026" s="3">
        <f ca="1">IF(Proc[[#This Row],[DateClosed]]="",ABS(NETWORKDAYS(Proc[[#This Row],[DateOpened]],TODAY()))-1,ABS(NETWORKDAYS(Proc[[#This Row],[DateOpened]],Proc[[#This Row],[DateClosed]]))-1)</f>
        <v>78</v>
      </c>
      <c r="R4026" s="136" t="s">
        <v>6087</v>
      </c>
      <c r="S4026" s="140"/>
    </row>
    <row r="4027" spans="1:19" hidden="1">
      <c r="A4027" s="142" t="s">
        <v>6201</v>
      </c>
      <c r="B4027" s="149" t="str">
        <f>IFERROR(VLOOKUP(Proc[[#This Row],[App]],Table2[],3,0),"open")</f>
        <v>ok</v>
      </c>
      <c r="C4027" s="142" t="s">
        <v>369</v>
      </c>
      <c r="D4027" t="s">
        <v>6037</v>
      </c>
      <c r="E4027" t="s">
        <v>6172</v>
      </c>
      <c r="F4027" s="140" t="s">
        <v>6172</v>
      </c>
      <c r="G4027" s="142" t="s">
        <v>406</v>
      </c>
      <c r="H4027" s="140" t="str">
        <f>IF(Proc[[#This Row],[type]]="LFF (MDG-F)",MID(Proc[[#This Row],[Obj]],13,10),"")</f>
        <v>JP01TFOZ02</v>
      </c>
      <c r="J4027" s="140" t="b">
        <f>Proc[[#This Row],[Requested]]=Proc[[#This Row],[CurrentParent]]</f>
        <v>1</v>
      </c>
      <c r="K4027" s="144" t="str">
        <f>IF(Proc[[#This Row],[Author]]="Marcela Urrego",VLOOKUP(LEFT(Proc[[#This Row],[Requested]],1),Table3[#All],2,0),VLOOKUP(Proc[[#This Row],[Author]],Table4[],2,0))</f>
        <v>EL</v>
      </c>
      <c r="L4027" s="140" t="s">
        <v>4894</v>
      </c>
      <c r="M4027" s="136">
        <v>45902</v>
      </c>
      <c r="N4027" s="137"/>
      <c r="O4027" s="137"/>
      <c r="P4027" s="136" t="str">
        <f ca="1">IF(Proc[[#This Row],[DaysAgeing]]&gt;5,"yep","on track")</f>
        <v>yep</v>
      </c>
      <c r="Q4027" s="3">
        <f ca="1">IF(Proc[[#This Row],[DateClosed]]="",ABS(NETWORKDAYS(Proc[[#This Row],[DateOpened]],TODAY()))-1,ABS(NETWORKDAYS(Proc[[#This Row],[DateOpened]],Proc[[#This Row],[DateClosed]]))-1)</f>
        <v>78</v>
      </c>
      <c r="R4027" s="136" t="s">
        <v>6087</v>
      </c>
      <c r="S4027" s="140"/>
    </row>
    <row r="4028" spans="1:19" hidden="1">
      <c r="A4028" s="142" t="s">
        <v>6201</v>
      </c>
      <c r="B4028" s="149" t="str">
        <f>IFERROR(VLOOKUP(Proc[[#This Row],[App]],Table2[],3,0),"open")</f>
        <v>ok</v>
      </c>
      <c r="C4028" s="142" t="s">
        <v>369</v>
      </c>
      <c r="D4028" t="s">
        <v>6038</v>
      </c>
      <c r="E4028" t="s">
        <v>6172</v>
      </c>
      <c r="F4028" s="140" t="s">
        <v>6172</v>
      </c>
      <c r="G4028" s="142" t="s">
        <v>406</v>
      </c>
      <c r="H4028" s="140" t="str">
        <f>IF(Proc[[#This Row],[type]]="LFF (MDG-F)",MID(Proc[[#This Row],[Obj]],13,10),"")</f>
        <v>JP01TFOZ03</v>
      </c>
      <c r="J4028" s="140" t="b">
        <f>Proc[[#This Row],[Requested]]=Proc[[#This Row],[CurrentParent]]</f>
        <v>1</v>
      </c>
      <c r="K4028" s="144" t="str">
        <f>IF(Proc[[#This Row],[Author]]="Marcela Urrego",VLOOKUP(LEFT(Proc[[#This Row],[Requested]],1),Table3[#All],2,0),VLOOKUP(Proc[[#This Row],[Author]],Table4[],2,0))</f>
        <v>EL</v>
      </c>
      <c r="L4028" s="140" t="s">
        <v>4894</v>
      </c>
      <c r="M4028" s="136">
        <v>45902</v>
      </c>
      <c r="N4028" s="137"/>
      <c r="O4028" s="137"/>
      <c r="P4028" s="136" t="str">
        <f ca="1">IF(Proc[[#This Row],[DaysAgeing]]&gt;5,"yep","on track")</f>
        <v>yep</v>
      </c>
      <c r="Q4028" s="3">
        <f ca="1">IF(Proc[[#This Row],[DateClosed]]="",ABS(NETWORKDAYS(Proc[[#This Row],[DateOpened]],TODAY()))-1,ABS(NETWORKDAYS(Proc[[#This Row],[DateOpened]],Proc[[#This Row],[DateClosed]]))-1)</f>
        <v>78</v>
      </c>
      <c r="R4028" s="136" t="s">
        <v>6087</v>
      </c>
      <c r="S4028" s="140"/>
    </row>
    <row r="4029" spans="1:19" hidden="1">
      <c r="A4029" s="142" t="s">
        <v>6201</v>
      </c>
      <c r="B4029" s="149" t="str">
        <f>IFERROR(VLOOKUP(Proc[[#This Row],[App]],Table2[],3,0),"open")</f>
        <v>ok</v>
      </c>
      <c r="C4029" s="142" t="s">
        <v>369</v>
      </c>
      <c r="D4029" t="s">
        <v>6058</v>
      </c>
      <c r="E4029" t="s">
        <v>1251</v>
      </c>
      <c r="F4029" s="140" t="s">
        <v>1251</v>
      </c>
      <c r="G4029" s="142" t="s">
        <v>406</v>
      </c>
      <c r="H4029" s="140" t="str">
        <f>IF(Proc[[#This Row],[type]]="LFF (MDG-F)",MID(Proc[[#This Row],[Obj]],13,10),"")</f>
        <v>JP01Z03725</v>
      </c>
      <c r="J4029" s="140" t="b">
        <f>Proc[[#This Row],[Requested]]=Proc[[#This Row],[CurrentParent]]</f>
        <v>1</v>
      </c>
      <c r="K4029" s="144" t="str">
        <f>IF(Proc[[#This Row],[Author]]="Marcela Urrego",VLOOKUP(LEFT(Proc[[#This Row],[Requested]],1),Table3[#All],2,0),VLOOKUP(Proc[[#This Row],[Author]],Table4[],2,0))</f>
        <v>EL</v>
      </c>
      <c r="L4029" s="140" t="s">
        <v>4894</v>
      </c>
      <c r="M4029" s="136">
        <v>45902</v>
      </c>
      <c r="N4029" s="137"/>
      <c r="O4029" s="137"/>
      <c r="P4029" s="136" t="str">
        <f ca="1">IF(Proc[[#This Row],[DaysAgeing]]&gt;5,"yep","on track")</f>
        <v>yep</v>
      </c>
      <c r="Q4029" s="3">
        <f ca="1">IF(Proc[[#This Row],[DateClosed]]="",ABS(NETWORKDAYS(Proc[[#This Row],[DateOpened]],TODAY()))-1,ABS(NETWORKDAYS(Proc[[#This Row],[DateOpened]],Proc[[#This Row],[DateClosed]]))-1)</f>
        <v>78</v>
      </c>
      <c r="R4029" s="136" t="s">
        <v>6087</v>
      </c>
      <c r="S4029" s="140"/>
    </row>
    <row r="4030" spans="1:19" hidden="1">
      <c r="A4030" s="142" t="s">
        <v>6201</v>
      </c>
      <c r="B4030" s="149" t="str">
        <f>IFERROR(VLOOKUP(Proc[[#This Row],[App]],Table2[],3,0),"open")</f>
        <v>ok</v>
      </c>
      <c r="C4030" s="142" t="s">
        <v>369</v>
      </c>
      <c r="D4030" t="s">
        <v>6055</v>
      </c>
      <c r="E4030" t="s">
        <v>2044</v>
      </c>
      <c r="F4030" s="140" t="s">
        <v>2044</v>
      </c>
      <c r="G4030" s="142" t="s">
        <v>406</v>
      </c>
      <c r="H4030" s="140" t="str">
        <f>IF(Proc[[#This Row],[type]]="LFF (MDG-F)",MID(Proc[[#This Row],[Obj]],13,10),"")</f>
        <v>JP01Z03104</v>
      </c>
      <c r="J4030" s="140" t="b">
        <f>Proc[[#This Row],[Requested]]=Proc[[#This Row],[CurrentParent]]</f>
        <v>1</v>
      </c>
      <c r="K4030" s="144" t="str">
        <f>IF(Proc[[#This Row],[Author]]="Marcela Urrego",VLOOKUP(LEFT(Proc[[#This Row],[Requested]],1),Table3[#All],2,0),VLOOKUP(Proc[[#This Row],[Author]],Table4[],2,0))</f>
        <v>EL</v>
      </c>
      <c r="L4030" s="140" t="s">
        <v>4894</v>
      </c>
      <c r="M4030" s="136">
        <v>45902</v>
      </c>
      <c r="N4030" s="137"/>
      <c r="O4030" s="137"/>
      <c r="P4030" s="136" t="str">
        <f ca="1">IF(Proc[[#This Row],[DaysAgeing]]&gt;5,"yep","on track")</f>
        <v>yep</v>
      </c>
      <c r="Q4030" s="3">
        <f ca="1">IF(Proc[[#This Row],[DateClosed]]="",ABS(NETWORKDAYS(Proc[[#This Row],[DateOpened]],TODAY()))-1,ABS(NETWORKDAYS(Proc[[#This Row],[DateOpened]],Proc[[#This Row],[DateClosed]]))-1)</f>
        <v>78</v>
      </c>
      <c r="R4030" s="136" t="s">
        <v>6087</v>
      </c>
      <c r="S4030" s="140"/>
    </row>
    <row r="4031" spans="1:19" hidden="1">
      <c r="A4031" s="142" t="s">
        <v>6201</v>
      </c>
      <c r="B4031" s="149" t="str">
        <f>IFERROR(VLOOKUP(Proc[[#This Row],[App]],Table2[],3,0),"open")</f>
        <v>ok</v>
      </c>
      <c r="C4031" s="142" t="s">
        <v>369</v>
      </c>
      <c r="D4031" t="s">
        <v>6056</v>
      </c>
      <c r="E4031" t="s">
        <v>6173</v>
      </c>
      <c r="F4031" s="140" t="s">
        <v>6173</v>
      </c>
      <c r="G4031" s="142" t="s">
        <v>406</v>
      </c>
      <c r="H4031" s="140" t="str">
        <f>IF(Proc[[#This Row],[type]]="LFF (MDG-F)",MID(Proc[[#This Row],[Obj]],13,10),"")</f>
        <v>JP01Z03105</v>
      </c>
      <c r="J4031" s="140" t="b">
        <f>Proc[[#This Row],[Requested]]=Proc[[#This Row],[CurrentParent]]</f>
        <v>1</v>
      </c>
      <c r="K4031" s="144" t="str">
        <f>IF(Proc[[#This Row],[Author]]="Marcela Urrego",VLOOKUP(LEFT(Proc[[#This Row],[Requested]],1),Table3[#All],2,0),VLOOKUP(Proc[[#This Row],[Author]],Table4[],2,0))</f>
        <v>EL</v>
      </c>
      <c r="L4031" s="140" t="s">
        <v>4894</v>
      </c>
      <c r="M4031" s="136">
        <v>45902</v>
      </c>
      <c r="N4031" s="137"/>
      <c r="O4031" s="137"/>
      <c r="P4031" s="136" t="str">
        <f ca="1">IF(Proc[[#This Row],[DaysAgeing]]&gt;5,"yep","on track")</f>
        <v>yep</v>
      </c>
      <c r="Q4031" s="3">
        <f ca="1">IF(Proc[[#This Row],[DateClosed]]="",ABS(NETWORKDAYS(Proc[[#This Row],[DateOpened]],TODAY()))-1,ABS(NETWORKDAYS(Proc[[#This Row],[DateOpened]],Proc[[#This Row],[DateClosed]]))-1)</f>
        <v>78</v>
      </c>
      <c r="R4031" s="136" t="s">
        <v>6087</v>
      </c>
      <c r="S4031" s="140"/>
    </row>
    <row r="4032" spans="1:19" hidden="1">
      <c r="A4032" s="142" t="s">
        <v>6201</v>
      </c>
      <c r="B4032" s="149" t="str">
        <f>IFERROR(VLOOKUP(Proc[[#This Row],[App]],Table2[],3,0),"open")</f>
        <v>ok</v>
      </c>
      <c r="C4032" s="142" t="s">
        <v>369</v>
      </c>
      <c r="D4032" t="s">
        <v>5945</v>
      </c>
      <c r="E4032" t="s">
        <v>6174</v>
      </c>
      <c r="F4032" s="140" t="s">
        <v>6174</v>
      </c>
      <c r="G4032" s="142" t="s">
        <v>406</v>
      </c>
      <c r="H4032" s="140" t="str">
        <f>IF(Proc[[#This Row],[type]]="LFF (MDG-F)",MID(Proc[[#This Row],[Obj]],13,10),"")</f>
        <v>JP01C00020</v>
      </c>
      <c r="J4032" s="140" t="b">
        <f>Proc[[#This Row],[Requested]]=Proc[[#This Row],[CurrentParent]]</f>
        <v>1</v>
      </c>
      <c r="K4032" s="144" t="str">
        <f>IF(Proc[[#This Row],[Author]]="Marcela Urrego",VLOOKUP(LEFT(Proc[[#This Row],[Requested]],1),Table3[#All],2,0),VLOOKUP(Proc[[#This Row],[Author]],Table4[],2,0))</f>
        <v>EL</v>
      </c>
      <c r="L4032" s="140" t="s">
        <v>4894</v>
      </c>
      <c r="M4032" s="136">
        <v>45902</v>
      </c>
      <c r="N4032" s="137"/>
      <c r="O4032" s="137"/>
      <c r="P4032" s="136" t="str">
        <f ca="1">IF(Proc[[#This Row],[DaysAgeing]]&gt;5,"yep","on track")</f>
        <v>yep</v>
      </c>
      <c r="Q4032" s="3">
        <f ca="1">IF(Proc[[#This Row],[DateClosed]]="",ABS(NETWORKDAYS(Proc[[#This Row],[DateOpened]],TODAY()))-1,ABS(NETWORKDAYS(Proc[[#This Row],[DateOpened]],Proc[[#This Row],[DateClosed]]))-1)</f>
        <v>78</v>
      </c>
      <c r="R4032" s="136" t="s">
        <v>6087</v>
      </c>
      <c r="S4032" s="140"/>
    </row>
    <row r="4033" spans="1:19" hidden="1">
      <c r="A4033" s="142" t="s">
        <v>6201</v>
      </c>
      <c r="B4033" s="149" t="str">
        <f>IFERROR(VLOOKUP(Proc[[#This Row],[App]],Table2[],3,0),"open")</f>
        <v>ok</v>
      </c>
      <c r="C4033" s="142" t="s">
        <v>369</v>
      </c>
      <c r="D4033" t="s">
        <v>5946</v>
      </c>
      <c r="E4033" t="s">
        <v>6175</v>
      </c>
      <c r="F4033" s="140" t="s">
        <v>6175</v>
      </c>
      <c r="G4033" s="142" t="s">
        <v>406</v>
      </c>
      <c r="H4033" s="140" t="str">
        <f>IF(Proc[[#This Row],[type]]="LFF (MDG-F)",MID(Proc[[#This Row],[Obj]],13,10),"")</f>
        <v>JP01C00301</v>
      </c>
      <c r="J4033" s="140" t="b">
        <f>Proc[[#This Row],[Requested]]=Proc[[#This Row],[CurrentParent]]</f>
        <v>1</v>
      </c>
      <c r="K4033" s="144" t="str">
        <f>IF(Proc[[#This Row],[Author]]="Marcela Urrego",VLOOKUP(LEFT(Proc[[#This Row],[Requested]],1),Table3[#All],2,0),VLOOKUP(Proc[[#This Row],[Author]],Table4[],2,0))</f>
        <v>EL</v>
      </c>
      <c r="L4033" s="140" t="s">
        <v>4894</v>
      </c>
      <c r="M4033" s="136">
        <v>45902</v>
      </c>
      <c r="N4033" s="137"/>
      <c r="O4033" s="137"/>
      <c r="P4033" s="136" t="str">
        <f ca="1">IF(Proc[[#This Row],[DaysAgeing]]&gt;5,"yep","on track")</f>
        <v>yep</v>
      </c>
      <c r="Q4033" s="3">
        <f ca="1">IF(Proc[[#This Row],[DateClosed]]="",ABS(NETWORKDAYS(Proc[[#This Row],[DateOpened]],TODAY()))-1,ABS(NETWORKDAYS(Proc[[#This Row],[DateOpened]],Proc[[#This Row],[DateClosed]]))-1)</f>
        <v>78</v>
      </c>
      <c r="R4033" s="136" t="s">
        <v>6087</v>
      </c>
      <c r="S4033" s="140"/>
    </row>
    <row r="4034" spans="1:19" hidden="1">
      <c r="A4034" s="142" t="s">
        <v>6201</v>
      </c>
      <c r="B4034" s="149" t="str">
        <f>IFERROR(VLOOKUP(Proc[[#This Row],[App]],Table2[],3,0),"open")</f>
        <v>ok</v>
      </c>
      <c r="C4034" s="142" t="s">
        <v>369</v>
      </c>
      <c r="D4034" t="s">
        <v>5947</v>
      </c>
      <c r="E4034" t="s">
        <v>6175</v>
      </c>
      <c r="F4034" s="140" t="s">
        <v>6175</v>
      </c>
      <c r="G4034" s="142" t="s">
        <v>406</v>
      </c>
      <c r="H4034" s="140" t="str">
        <f>IF(Proc[[#This Row],[type]]="LFF (MDG-F)",MID(Proc[[#This Row],[Obj]],13,10),"")</f>
        <v>JP01C00401</v>
      </c>
      <c r="J4034" s="140" t="b">
        <f>Proc[[#This Row],[Requested]]=Proc[[#This Row],[CurrentParent]]</f>
        <v>1</v>
      </c>
      <c r="K4034" s="144" t="str">
        <f>IF(Proc[[#This Row],[Author]]="Marcela Urrego",VLOOKUP(LEFT(Proc[[#This Row],[Requested]],1),Table3[#All],2,0),VLOOKUP(Proc[[#This Row],[Author]],Table4[],2,0))</f>
        <v>EL</v>
      </c>
      <c r="L4034" s="140" t="s">
        <v>4894</v>
      </c>
      <c r="M4034" s="136">
        <v>45902</v>
      </c>
      <c r="N4034" s="137"/>
      <c r="O4034" s="137"/>
      <c r="P4034" s="136" t="str">
        <f ca="1">IF(Proc[[#This Row],[DaysAgeing]]&gt;5,"yep","on track")</f>
        <v>yep</v>
      </c>
      <c r="Q4034" s="3">
        <f ca="1">IF(Proc[[#This Row],[DateClosed]]="",ABS(NETWORKDAYS(Proc[[#This Row],[DateOpened]],TODAY()))-1,ABS(NETWORKDAYS(Proc[[#This Row],[DateOpened]],Proc[[#This Row],[DateClosed]]))-1)</f>
        <v>78</v>
      </c>
      <c r="R4034" s="136" t="s">
        <v>6087</v>
      </c>
      <c r="S4034" s="140"/>
    </row>
    <row r="4035" spans="1:19" hidden="1">
      <c r="A4035" s="142" t="s">
        <v>6201</v>
      </c>
      <c r="B4035" s="149" t="str">
        <f>IFERROR(VLOOKUP(Proc[[#This Row],[App]],Table2[],3,0),"open")</f>
        <v>ok</v>
      </c>
      <c r="C4035" s="142" t="s">
        <v>369</v>
      </c>
      <c r="D4035" t="s">
        <v>5976</v>
      </c>
      <c r="E4035" t="s">
        <v>6176</v>
      </c>
      <c r="F4035" s="140" t="s">
        <v>6176</v>
      </c>
      <c r="G4035" s="142" t="s">
        <v>406</v>
      </c>
      <c r="H4035" s="140" t="str">
        <f>IF(Proc[[#This Row],[type]]="LFF (MDG-F)",MID(Proc[[#This Row],[Obj]],13,10),"")</f>
        <v>JP01GMW080</v>
      </c>
      <c r="J4035" s="140" t="b">
        <f>Proc[[#This Row],[Requested]]=Proc[[#This Row],[CurrentParent]]</f>
        <v>1</v>
      </c>
      <c r="K4035" s="144" t="str">
        <f>IF(Proc[[#This Row],[Author]]="Marcela Urrego",VLOOKUP(LEFT(Proc[[#This Row],[Requested]],1),Table3[#All],2,0),VLOOKUP(Proc[[#This Row],[Author]],Table4[],2,0))</f>
        <v>EL</v>
      </c>
      <c r="L4035" s="140" t="s">
        <v>4894</v>
      </c>
      <c r="M4035" s="136">
        <v>45902</v>
      </c>
      <c r="N4035" s="137"/>
      <c r="O4035" s="137"/>
      <c r="P4035" s="136" t="str">
        <f ca="1">IF(Proc[[#This Row],[DaysAgeing]]&gt;5,"yep","on track")</f>
        <v>yep</v>
      </c>
      <c r="Q4035" s="3">
        <f ca="1">IF(Proc[[#This Row],[DateClosed]]="",ABS(NETWORKDAYS(Proc[[#This Row],[DateOpened]],TODAY()))-1,ABS(NETWORKDAYS(Proc[[#This Row],[DateOpened]],Proc[[#This Row],[DateClosed]]))-1)</f>
        <v>78</v>
      </c>
      <c r="R4035" s="136" t="s">
        <v>6087</v>
      </c>
      <c r="S4035" s="140"/>
    </row>
    <row r="4036" spans="1:19" hidden="1">
      <c r="A4036" s="142" t="s">
        <v>6201</v>
      </c>
      <c r="B4036" s="149" t="str">
        <f>IFERROR(VLOOKUP(Proc[[#This Row],[App]],Table2[],3,0),"open")</f>
        <v>ok</v>
      </c>
      <c r="C4036" s="142" t="s">
        <v>369</v>
      </c>
      <c r="D4036" t="s">
        <v>5994</v>
      </c>
      <c r="E4036" t="s">
        <v>2681</v>
      </c>
      <c r="F4036" s="140" t="s">
        <v>2681</v>
      </c>
      <c r="G4036" s="142" t="s">
        <v>406</v>
      </c>
      <c r="H4036" s="140" t="str">
        <f>IF(Proc[[#This Row],[type]]="LFF (MDG-F)",MID(Proc[[#This Row],[Obj]],13,10),"")</f>
        <v>JP01O05000</v>
      </c>
      <c r="J4036" s="140" t="b">
        <f>Proc[[#This Row],[Requested]]=Proc[[#This Row],[CurrentParent]]</f>
        <v>1</v>
      </c>
      <c r="K4036" s="144" t="str">
        <f>IF(Proc[[#This Row],[Author]]="Marcela Urrego",VLOOKUP(LEFT(Proc[[#This Row],[Requested]],1),Table3[#All],2,0),VLOOKUP(Proc[[#This Row],[Author]],Table4[],2,0))</f>
        <v>EL</v>
      </c>
      <c r="L4036" s="140" t="s">
        <v>4894</v>
      </c>
      <c r="M4036" s="136">
        <v>45902</v>
      </c>
      <c r="N4036" s="137"/>
      <c r="O4036" s="137"/>
      <c r="P4036" s="136" t="str">
        <f ca="1">IF(Proc[[#This Row],[DaysAgeing]]&gt;5,"yep","on track")</f>
        <v>yep</v>
      </c>
      <c r="Q4036" s="3">
        <f ca="1">IF(Proc[[#This Row],[DateClosed]]="",ABS(NETWORKDAYS(Proc[[#This Row],[DateOpened]],TODAY()))-1,ABS(NETWORKDAYS(Proc[[#This Row],[DateOpened]],Proc[[#This Row],[DateClosed]]))-1)</f>
        <v>78</v>
      </c>
      <c r="R4036" s="136" t="s">
        <v>6087</v>
      </c>
      <c r="S4036" s="140"/>
    </row>
    <row r="4037" spans="1:19" hidden="1">
      <c r="A4037" s="142" t="s">
        <v>6201</v>
      </c>
      <c r="B4037" s="149" t="str">
        <f>IFERROR(VLOOKUP(Proc[[#This Row],[App]],Table2[],3,0),"open")</f>
        <v>ok</v>
      </c>
      <c r="C4037" s="142" t="s">
        <v>369</v>
      </c>
      <c r="D4037" t="s">
        <v>5996</v>
      </c>
      <c r="E4037" t="s">
        <v>2681</v>
      </c>
      <c r="F4037" s="140" t="s">
        <v>2681</v>
      </c>
      <c r="G4037" s="142" t="s">
        <v>406</v>
      </c>
      <c r="H4037" s="140" t="str">
        <f>IF(Proc[[#This Row],[type]]="LFF (MDG-F)",MID(Proc[[#This Row],[Obj]],13,10),"")</f>
        <v>JP01O05002</v>
      </c>
      <c r="J4037" s="140" t="b">
        <f>Proc[[#This Row],[Requested]]=Proc[[#This Row],[CurrentParent]]</f>
        <v>1</v>
      </c>
      <c r="K4037" s="144" t="str">
        <f>IF(Proc[[#This Row],[Author]]="Marcela Urrego",VLOOKUP(LEFT(Proc[[#This Row],[Requested]],1),Table3[#All],2,0),VLOOKUP(Proc[[#This Row],[Author]],Table4[],2,0))</f>
        <v>EL</v>
      </c>
      <c r="L4037" s="140" t="s">
        <v>4894</v>
      </c>
      <c r="M4037" s="136">
        <v>45902</v>
      </c>
      <c r="N4037" s="137"/>
      <c r="O4037" s="137"/>
      <c r="P4037" s="136" t="str">
        <f ca="1">IF(Proc[[#This Row],[DaysAgeing]]&gt;5,"yep","on track")</f>
        <v>yep</v>
      </c>
      <c r="Q4037" s="3">
        <f ca="1">IF(Proc[[#This Row],[DateClosed]]="",ABS(NETWORKDAYS(Proc[[#This Row],[DateOpened]],TODAY()))-1,ABS(NETWORKDAYS(Proc[[#This Row],[DateOpened]],Proc[[#This Row],[DateClosed]]))-1)</f>
        <v>78</v>
      </c>
      <c r="R4037" s="136" t="s">
        <v>6087</v>
      </c>
      <c r="S4037" s="140"/>
    </row>
    <row r="4038" spans="1:19" hidden="1">
      <c r="A4038" s="142" t="s">
        <v>6201</v>
      </c>
      <c r="B4038" s="149" t="str">
        <f>IFERROR(VLOOKUP(Proc[[#This Row],[App]],Table2[],3,0),"open")</f>
        <v>ok</v>
      </c>
      <c r="C4038" s="142" t="s">
        <v>369</v>
      </c>
      <c r="D4038" t="s">
        <v>5997</v>
      </c>
      <c r="E4038" t="s">
        <v>2681</v>
      </c>
      <c r="F4038" s="140" t="s">
        <v>2681</v>
      </c>
      <c r="G4038" s="142" t="s">
        <v>406</v>
      </c>
      <c r="H4038" s="140" t="str">
        <f>IF(Proc[[#This Row],[type]]="LFF (MDG-F)",MID(Proc[[#This Row],[Obj]],13,10),"")</f>
        <v>JP01O05003</v>
      </c>
      <c r="J4038" s="140" t="b">
        <f>Proc[[#This Row],[Requested]]=Proc[[#This Row],[CurrentParent]]</f>
        <v>1</v>
      </c>
      <c r="K4038" s="144" t="str">
        <f>IF(Proc[[#This Row],[Author]]="Marcela Urrego",VLOOKUP(LEFT(Proc[[#This Row],[Requested]],1),Table3[#All],2,0),VLOOKUP(Proc[[#This Row],[Author]],Table4[],2,0))</f>
        <v>EL</v>
      </c>
      <c r="L4038" s="140" t="s">
        <v>4894</v>
      </c>
      <c r="M4038" s="136">
        <v>45902</v>
      </c>
      <c r="N4038" s="137"/>
      <c r="O4038" s="137"/>
      <c r="P4038" s="136" t="str">
        <f ca="1">IF(Proc[[#This Row],[DaysAgeing]]&gt;5,"yep","on track")</f>
        <v>yep</v>
      </c>
      <c r="Q4038" s="3">
        <f ca="1">IF(Proc[[#This Row],[DateClosed]]="",ABS(NETWORKDAYS(Proc[[#This Row],[DateOpened]],TODAY()))-1,ABS(NETWORKDAYS(Proc[[#This Row],[DateOpened]],Proc[[#This Row],[DateClosed]]))-1)</f>
        <v>78</v>
      </c>
      <c r="R4038" s="136" t="s">
        <v>6087</v>
      </c>
      <c r="S4038" s="140"/>
    </row>
    <row r="4039" spans="1:19" hidden="1">
      <c r="A4039" s="142" t="s">
        <v>6201</v>
      </c>
      <c r="B4039" s="149" t="str">
        <f>IFERROR(VLOOKUP(Proc[[#This Row],[App]],Table2[],3,0),"open")</f>
        <v>ok</v>
      </c>
      <c r="C4039" s="142" t="s">
        <v>369</v>
      </c>
      <c r="D4039" t="s">
        <v>5998</v>
      </c>
      <c r="E4039" t="s">
        <v>2681</v>
      </c>
      <c r="F4039" s="140" t="s">
        <v>2681</v>
      </c>
      <c r="G4039" s="142" t="s">
        <v>406</v>
      </c>
      <c r="H4039" s="140" t="str">
        <f>IF(Proc[[#This Row],[type]]="LFF (MDG-F)",MID(Proc[[#This Row],[Obj]],13,10),"")</f>
        <v>JP01O05004</v>
      </c>
      <c r="J4039" s="140" t="b">
        <f>Proc[[#This Row],[Requested]]=Proc[[#This Row],[CurrentParent]]</f>
        <v>1</v>
      </c>
      <c r="K4039" s="144" t="str">
        <f>IF(Proc[[#This Row],[Author]]="Marcela Urrego",VLOOKUP(LEFT(Proc[[#This Row],[Requested]],1),Table3[#All],2,0),VLOOKUP(Proc[[#This Row],[Author]],Table4[],2,0))</f>
        <v>EL</v>
      </c>
      <c r="L4039" s="140" t="s">
        <v>4894</v>
      </c>
      <c r="M4039" s="136">
        <v>45902</v>
      </c>
      <c r="N4039" s="137"/>
      <c r="O4039" s="137"/>
      <c r="P4039" s="136" t="str">
        <f ca="1">IF(Proc[[#This Row],[DaysAgeing]]&gt;5,"yep","on track")</f>
        <v>yep</v>
      </c>
      <c r="Q4039" s="3">
        <f ca="1">IF(Proc[[#This Row],[DateClosed]]="",ABS(NETWORKDAYS(Proc[[#This Row],[DateOpened]],TODAY()))-1,ABS(NETWORKDAYS(Proc[[#This Row],[DateOpened]],Proc[[#This Row],[DateClosed]]))-1)</f>
        <v>78</v>
      </c>
      <c r="R4039" s="136" t="s">
        <v>6087</v>
      </c>
      <c r="S4039" s="140"/>
    </row>
    <row r="4040" spans="1:19" hidden="1">
      <c r="A4040" s="142" t="s">
        <v>6201</v>
      </c>
      <c r="B4040" s="149" t="str">
        <f>IFERROR(VLOOKUP(Proc[[#This Row],[App]],Table2[],3,0),"open")</f>
        <v>ok</v>
      </c>
      <c r="C4040" s="149" t="s">
        <v>369</v>
      </c>
      <c r="D4040" t="s">
        <v>6046</v>
      </c>
      <c r="E4040" t="s">
        <v>735</v>
      </c>
      <c r="F4040" s="150" t="s">
        <v>735</v>
      </c>
      <c r="G4040" s="142" t="s">
        <v>406</v>
      </c>
      <c r="H4040" s="140" t="str">
        <f>IF(Proc[[#This Row],[type]]="LFF (MDG-F)",MID(Proc[[#This Row],[Obj]],13,10),"")</f>
        <v>JP01Z01000</v>
      </c>
      <c r="J4040" s="140" t="b">
        <f>Proc[[#This Row],[Requested]]=Proc[[#This Row],[CurrentParent]]</f>
        <v>1</v>
      </c>
      <c r="K4040" s="144" t="str">
        <f>IF(Proc[[#This Row],[Author]]="Marcela Urrego",VLOOKUP(LEFT(Proc[[#This Row],[Requested]],1),Table3[#All],2,0),VLOOKUP(Proc[[#This Row],[Author]],Table4[],2,0))</f>
        <v>EL</v>
      </c>
      <c r="L4040" s="140" t="s">
        <v>4894</v>
      </c>
      <c r="M4040" s="136">
        <v>45902</v>
      </c>
      <c r="N4040" s="137"/>
      <c r="O4040" s="137"/>
      <c r="P4040" s="136" t="str">
        <f ca="1">IF(Proc[[#This Row],[DaysAgeing]]&gt;5,"yep","on track")</f>
        <v>yep</v>
      </c>
      <c r="Q4040" s="3">
        <f ca="1">IF(Proc[[#This Row],[DateClosed]]="",ABS(NETWORKDAYS(Proc[[#This Row],[DateOpened]],TODAY()))-1,ABS(NETWORKDAYS(Proc[[#This Row],[DateOpened]],Proc[[#This Row],[DateClosed]]))-1)</f>
        <v>78</v>
      </c>
      <c r="R4040" s="136" t="s">
        <v>6087</v>
      </c>
      <c r="S4040" s="140"/>
    </row>
    <row r="4041" spans="1:19" hidden="1">
      <c r="A4041" s="142" t="s">
        <v>6201</v>
      </c>
      <c r="B4041" s="149" t="str">
        <f>IFERROR(VLOOKUP(Proc[[#This Row],[App]],Table2[],3,0),"open")</f>
        <v>ok</v>
      </c>
      <c r="C4041" s="142" t="s">
        <v>369</v>
      </c>
      <c r="D4041" t="s">
        <v>6047</v>
      </c>
      <c r="E4041" t="s">
        <v>6177</v>
      </c>
      <c r="F4041" s="140" t="s">
        <v>6177</v>
      </c>
      <c r="G4041" s="142" t="s">
        <v>406</v>
      </c>
      <c r="H4041" s="140" t="str">
        <f>IF(Proc[[#This Row],[type]]="LFF (MDG-F)",MID(Proc[[#This Row],[Obj]],13,10),"")</f>
        <v>JP01Z01IF9</v>
      </c>
      <c r="J4041" s="140" t="b">
        <f>Proc[[#This Row],[Requested]]=Proc[[#This Row],[CurrentParent]]</f>
        <v>1</v>
      </c>
      <c r="K4041" s="144" t="str">
        <f>IF(Proc[[#This Row],[Author]]="Marcela Urrego",VLOOKUP(LEFT(Proc[[#This Row],[Requested]],1),Table3[#All],2,0),VLOOKUP(Proc[[#This Row],[Author]],Table4[],2,0))</f>
        <v>EL</v>
      </c>
      <c r="L4041" s="140" t="s">
        <v>4894</v>
      </c>
      <c r="M4041" s="136">
        <v>45902</v>
      </c>
      <c r="N4041" s="137"/>
      <c r="O4041" s="137"/>
      <c r="P4041" s="136" t="str">
        <f ca="1">IF(Proc[[#This Row],[DaysAgeing]]&gt;5,"yep","on track")</f>
        <v>yep</v>
      </c>
      <c r="Q4041" s="3">
        <f ca="1">IF(Proc[[#This Row],[DateClosed]]="",ABS(NETWORKDAYS(Proc[[#This Row],[DateOpened]],TODAY()))-1,ABS(NETWORKDAYS(Proc[[#This Row],[DateOpened]],Proc[[#This Row],[DateClosed]]))-1)</f>
        <v>78</v>
      </c>
      <c r="R4041" s="136" t="s">
        <v>6087</v>
      </c>
      <c r="S4041" s="140"/>
    </row>
    <row r="4042" spans="1:19" hidden="1">
      <c r="A4042" s="142" t="s">
        <v>6201</v>
      </c>
      <c r="B4042" s="149" t="str">
        <f>IFERROR(VLOOKUP(Proc[[#This Row],[App]],Table2[],3,0),"open")</f>
        <v>ok</v>
      </c>
      <c r="C4042" s="142" t="s">
        <v>369</v>
      </c>
      <c r="D4042" t="s">
        <v>6048</v>
      </c>
      <c r="E4042" t="s">
        <v>6178</v>
      </c>
      <c r="F4042" s="140" t="s">
        <v>6178</v>
      </c>
      <c r="G4042" s="142" t="s">
        <v>406</v>
      </c>
      <c r="H4042" s="140" t="str">
        <f>IF(Proc[[#This Row],[type]]="LFF (MDG-F)",MID(Proc[[#This Row],[Obj]],13,10),"")</f>
        <v>JP01Z02141</v>
      </c>
      <c r="J4042" s="140" t="b">
        <f>Proc[[#This Row],[Requested]]=Proc[[#This Row],[CurrentParent]]</f>
        <v>1</v>
      </c>
      <c r="K4042" s="144" t="str">
        <f>IF(Proc[[#This Row],[Author]]="Marcela Urrego",VLOOKUP(LEFT(Proc[[#This Row],[Requested]],1),Table3[#All],2,0),VLOOKUP(Proc[[#This Row],[Author]],Table4[],2,0))</f>
        <v>EL</v>
      </c>
      <c r="L4042" s="140" t="s">
        <v>4894</v>
      </c>
      <c r="M4042" s="136">
        <v>45902</v>
      </c>
      <c r="N4042" s="137"/>
      <c r="O4042" s="137"/>
      <c r="P4042" s="136" t="str">
        <f ca="1">IF(Proc[[#This Row],[DaysAgeing]]&gt;5,"yep","on track")</f>
        <v>yep</v>
      </c>
      <c r="Q4042" s="3">
        <f ca="1">IF(Proc[[#This Row],[DateClosed]]="",ABS(NETWORKDAYS(Proc[[#This Row],[DateOpened]],TODAY()))-1,ABS(NETWORKDAYS(Proc[[#This Row],[DateOpened]],Proc[[#This Row],[DateClosed]]))-1)</f>
        <v>78</v>
      </c>
      <c r="R4042" s="136" t="s">
        <v>6087</v>
      </c>
      <c r="S4042" s="140"/>
    </row>
    <row r="4043" spans="1:19" hidden="1">
      <c r="A4043" s="142" t="s">
        <v>6201</v>
      </c>
      <c r="B4043" s="149" t="str">
        <f>IFERROR(VLOOKUP(Proc[[#This Row],[App]],Table2[],3,0),"open")</f>
        <v>ok</v>
      </c>
      <c r="C4043" s="142" t="s">
        <v>369</v>
      </c>
      <c r="D4043" t="s">
        <v>6049</v>
      </c>
      <c r="E4043" t="s">
        <v>6179</v>
      </c>
      <c r="F4043" s="140" t="s">
        <v>6179</v>
      </c>
      <c r="G4043" s="142" t="s">
        <v>406</v>
      </c>
      <c r="H4043" s="140" t="str">
        <f>IF(Proc[[#This Row],[type]]="LFF (MDG-F)",MID(Proc[[#This Row],[Obj]],13,10),"")</f>
        <v>JP01Z02171</v>
      </c>
      <c r="J4043" s="140" t="b">
        <f>Proc[[#This Row],[Requested]]=Proc[[#This Row],[CurrentParent]]</f>
        <v>1</v>
      </c>
      <c r="K4043" s="144" t="str">
        <f>IF(Proc[[#This Row],[Author]]="Marcela Urrego",VLOOKUP(LEFT(Proc[[#This Row],[Requested]],1),Table3[#All],2,0),VLOOKUP(Proc[[#This Row],[Author]],Table4[],2,0))</f>
        <v>EL</v>
      </c>
      <c r="L4043" s="140" t="s">
        <v>4894</v>
      </c>
      <c r="M4043" s="136">
        <v>45902</v>
      </c>
      <c r="N4043" s="137"/>
      <c r="O4043" s="137"/>
      <c r="P4043" s="136" t="str">
        <f ca="1">IF(Proc[[#This Row],[DaysAgeing]]&gt;5,"yep","on track")</f>
        <v>yep</v>
      </c>
      <c r="Q4043" s="3">
        <f ca="1">IF(Proc[[#This Row],[DateClosed]]="",ABS(NETWORKDAYS(Proc[[#This Row],[DateOpened]],TODAY()))-1,ABS(NETWORKDAYS(Proc[[#This Row],[DateOpened]],Proc[[#This Row],[DateClosed]]))-1)</f>
        <v>78</v>
      </c>
      <c r="R4043" s="136" t="s">
        <v>6087</v>
      </c>
      <c r="S4043" s="140"/>
    </row>
    <row r="4044" spans="1:19" hidden="1">
      <c r="A4044" s="142" t="s">
        <v>6201</v>
      </c>
      <c r="B4044" s="149" t="str">
        <f>IFERROR(VLOOKUP(Proc[[#This Row],[App]],Table2[],3,0),"open")</f>
        <v>ok</v>
      </c>
      <c r="C4044" s="142" t="s">
        <v>369</v>
      </c>
      <c r="D4044" t="s">
        <v>6050</v>
      </c>
      <c r="E4044" t="s">
        <v>6179</v>
      </c>
      <c r="F4044" s="140" t="s">
        <v>6179</v>
      </c>
      <c r="G4044" s="142" t="s">
        <v>406</v>
      </c>
      <c r="H4044" s="140" t="str">
        <f>IF(Proc[[#This Row],[type]]="LFF (MDG-F)",MID(Proc[[#This Row],[Obj]],13,10),"")</f>
        <v>JP01Z02173</v>
      </c>
      <c r="J4044" s="140" t="b">
        <f>Proc[[#This Row],[Requested]]=Proc[[#This Row],[CurrentParent]]</f>
        <v>1</v>
      </c>
      <c r="K4044" s="144" t="str">
        <f>IF(Proc[[#This Row],[Author]]="Marcela Urrego",VLOOKUP(LEFT(Proc[[#This Row],[Requested]],1),Table3[#All],2,0),VLOOKUP(Proc[[#This Row],[Author]],Table4[],2,0))</f>
        <v>EL</v>
      </c>
      <c r="L4044" s="140" t="s">
        <v>4894</v>
      </c>
      <c r="M4044" s="136">
        <v>45902</v>
      </c>
      <c r="N4044" s="137"/>
      <c r="O4044" s="137"/>
      <c r="P4044" s="136" t="str">
        <f ca="1">IF(Proc[[#This Row],[DaysAgeing]]&gt;5,"yep","on track")</f>
        <v>yep</v>
      </c>
      <c r="Q4044" s="3">
        <f ca="1">IF(Proc[[#This Row],[DateClosed]]="",ABS(NETWORKDAYS(Proc[[#This Row],[DateOpened]],TODAY()))-1,ABS(NETWORKDAYS(Proc[[#This Row],[DateOpened]],Proc[[#This Row],[DateClosed]]))-1)</f>
        <v>78</v>
      </c>
      <c r="R4044" s="136" t="s">
        <v>6087</v>
      </c>
      <c r="S4044" s="140"/>
    </row>
    <row r="4045" spans="1:19" hidden="1">
      <c r="A4045" s="142" t="s">
        <v>6201</v>
      </c>
      <c r="B4045" s="149" t="str">
        <f>IFERROR(VLOOKUP(Proc[[#This Row],[App]],Table2[],3,0),"open")</f>
        <v>ok</v>
      </c>
      <c r="C4045" s="142" t="s">
        <v>369</v>
      </c>
      <c r="D4045" t="s">
        <v>6051</v>
      </c>
      <c r="E4045" t="s">
        <v>6179</v>
      </c>
      <c r="F4045" s="140" t="s">
        <v>6179</v>
      </c>
      <c r="G4045" s="142" t="s">
        <v>406</v>
      </c>
      <c r="H4045" s="140" t="str">
        <f>IF(Proc[[#This Row],[type]]="LFF (MDG-F)",MID(Proc[[#This Row],[Obj]],13,10),"")</f>
        <v>JP01Z02174</v>
      </c>
      <c r="J4045" s="140" t="b">
        <f>Proc[[#This Row],[Requested]]=Proc[[#This Row],[CurrentParent]]</f>
        <v>1</v>
      </c>
      <c r="K4045" s="144" t="str">
        <f>IF(Proc[[#This Row],[Author]]="Marcela Urrego",VLOOKUP(LEFT(Proc[[#This Row],[Requested]],1),Table3[#All],2,0),VLOOKUP(Proc[[#This Row],[Author]],Table4[],2,0))</f>
        <v>EL</v>
      </c>
      <c r="L4045" s="140" t="s">
        <v>4894</v>
      </c>
      <c r="M4045" s="136">
        <v>45902</v>
      </c>
      <c r="N4045" s="137"/>
      <c r="O4045" s="137"/>
      <c r="P4045" s="136" t="str">
        <f ca="1">IF(Proc[[#This Row],[DaysAgeing]]&gt;5,"yep","on track")</f>
        <v>yep</v>
      </c>
      <c r="Q4045" s="3">
        <f ca="1">IF(Proc[[#This Row],[DateClosed]]="",ABS(NETWORKDAYS(Proc[[#This Row],[DateOpened]],TODAY()))-1,ABS(NETWORKDAYS(Proc[[#This Row],[DateOpened]],Proc[[#This Row],[DateClosed]]))-1)</f>
        <v>78</v>
      </c>
      <c r="R4045" s="136" t="s">
        <v>6087</v>
      </c>
      <c r="S4045" s="140"/>
    </row>
    <row r="4046" spans="1:19" hidden="1">
      <c r="A4046" s="142" t="s">
        <v>6201</v>
      </c>
      <c r="B4046" s="149" t="str">
        <f>IFERROR(VLOOKUP(Proc[[#This Row],[App]],Table2[],3,0),"open")</f>
        <v>ok</v>
      </c>
      <c r="C4046" s="142" t="s">
        <v>369</v>
      </c>
      <c r="D4046" t="s">
        <v>6052</v>
      </c>
      <c r="E4046" t="s">
        <v>6179</v>
      </c>
      <c r="F4046" s="140" t="s">
        <v>6179</v>
      </c>
      <c r="G4046" s="142" t="s">
        <v>406</v>
      </c>
      <c r="H4046" s="140" t="str">
        <f>IF(Proc[[#This Row],[type]]="LFF (MDG-F)",MID(Proc[[#This Row],[Obj]],13,10),"")</f>
        <v>JP01Z02175</v>
      </c>
      <c r="J4046" s="140" t="b">
        <f>Proc[[#This Row],[Requested]]=Proc[[#This Row],[CurrentParent]]</f>
        <v>1</v>
      </c>
      <c r="K4046" s="144" t="str">
        <f>IF(Proc[[#This Row],[Author]]="Marcela Urrego",VLOOKUP(LEFT(Proc[[#This Row],[Requested]],1),Table3[#All],2,0),VLOOKUP(Proc[[#This Row],[Author]],Table4[],2,0))</f>
        <v>EL</v>
      </c>
      <c r="L4046" s="140" t="s">
        <v>4894</v>
      </c>
      <c r="M4046" s="136">
        <v>45902</v>
      </c>
      <c r="N4046" s="137"/>
      <c r="O4046" s="137"/>
      <c r="P4046" s="136" t="str">
        <f ca="1">IF(Proc[[#This Row],[DaysAgeing]]&gt;5,"yep","on track")</f>
        <v>yep</v>
      </c>
      <c r="Q4046" s="3">
        <f ca="1">IF(Proc[[#This Row],[DateClosed]]="",ABS(NETWORKDAYS(Proc[[#This Row],[DateOpened]],TODAY()))-1,ABS(NETWORKDAYS(Proc[[#This Row],[DateOpened]],Proc[[#This Row],[DateClosed]]))-1)</f>
        <v>78</v>
      </c>
      <c r="R4046" s="136" t="s">
        <v>6087</v>
      </c>
      <c r="S4046" s="140"/>
    </row>
    <row r="4047" spans="1:19" hidden="1">
      <c r="A4047" s="142" t="s">
        <v>6201</v>
      </c>
      <c r="B4047" s="149" t="str">
        <f>IFERROR(VLOOKUP(Proc[[#This Row],[App]],Table2[],3,0),"open")</f>
        <v>ok</v>
      </c>
      <c r="C4047" s="142" t="s">
        <v>369</v>
      </c>
      <c r="D4047" t="s">
        <v>6053</v>
      </c>
      <c r="E4047" t="s">
        <v>6180</v>
      </c>
      <c r="F4047" s="140" t="s">
        <v>6180</v>
      </c>
      <c r="G4047" s="142" t="s">
        <v>406</v>
      </c>
      <c r="H4047" s="140" t="str">
        <f>IF(Proc[[#This Row],[type]]="LFF (MDG-F)",MID(Proc[[#This Row],[Obj]],13,10),"")</f>
        <v>JP01Z02183</v>
      </c>
      <c r="J4047" s="140" t="b">
        <f>Proc[[#This Row],[Requested]]=Proc[[#This Row],[CurrentParent]]</f>
        <v>1</v>
      </c>
      <c r="K4047" s="144" t="str">
        <f>IF(Proc[[#This Row],[Author]]="Marcela Urrego",VLOOKUP(LEFT(Proc[[#This Row],[Requested]],1),Table3[#All],2,0),VLOOKUP(Proc[[#This Row],[Author]],Table4[],2,0))</f>
        <v>EL</v>
      </c>
      <c r="L4047" s="140" t="s">
        <v>4894</v>
      </c>
      <c r="M4047" s="136">
        <v>45902</v>
      </c>
      <c r="N4047" s="137"/>
      <c r="O4047" s="137"/>
      <c r="P4047" s="136" t="str">
        <f ca="1">IF(Proc[[#This Row],[DaysAgeing]]&gt;5,"yep","on track")</f>
        <v>yep</v>
      </c>
      <c r="Q4047" s="3">
        <f ca="1">IF(Proc[[#This Row],[DateClosed]]="",ABS(NETWORKDAYS(Proc[[#This Row],[DateOpened]],TODAY()))-1,ABS(NETWORKDAYS(Proc[[#This Row],[DateOpened]],Proc[[#This Row],[DateClosed]]))-1)</f>
        <v>78</v>
      </c>
      <c r="R4047" s="136" t="s">
        <v>6087</v>
      </c>
      <c r="S4047" s="140"/>
    </row>
    <row r="4048" spans="1:19" hidden="1">
      <c r="A4048" s="142" t="s">
        <v>6201</v>
      </c>
      <c r="B4048" s="149" t="str">
        <f>IFERROR(VLOOKUP(Proc[[#This Row],[App]],Table2[],3,0),"open")</f>
        <v>ok</v>
      </c>
      <c r="C4048" s="142" t="s">
        <v>369</v>
      </c>
      <c r="D4048" t="s">
        <v>6057</v>
      </c>
      <c r="E4048" t="s">
        <v>6181</v>
      </c>
      <c r="F4048" s="140" t="s">
        <v>6181</v>
      </c>
      <c r="G4048" s="142" t="s">
        <v>406</v>
      </c>
      <c r="H4048" s="140" t="str">
        <f>IF(Proc[[#This Row],[type]]="LFF (MDG-F)",MID(Proc[[#This Row],[Obj]],13,10),"")</f>
        <v>JP01Z03700</v>
      </c>
      <c r="J4048" s="140" t="b">
        <f>Proc[[#This Row],[Requested]]=Proc[[#This Row],[CurrentParent]]</f>
        <v>1</v>
      </c>
      <c r="K4048" s="144" t="str">
        <f>IF(Proc[[#This Row],[Author]]="Marcela Urrego",VLOOKUP(LEFT(Proc[[#This Row],[Requested]],1),Table3[#All],2,0),VLOOKUP(Proc[[#This Row],[Author]],Table4[],2,0))</f>
        <v>EL</v>
      </c>
      <c r="L4048" s="140" t="s">
        <v>4894</v>
      </c>
      <c r="M4048" s="136">
        <v>45902</v>
      </c>
      <c r="N4048" s="137"/>
      <c r="O4048" s="137"/>
      <c r="P4048" s="136" t="str">
        <f ca="1">IF(Proc[[#This Row],[DaysAgeing]]&gt;5,"yep","on track")</f>
        <v>yep</v>
      </c>
      <c r="Q4048" s="3">
        <f ca="1">IF(Proc[[#This Row],[DateClosed]]="",ABS(NETWORKDAYS(Proc[[#This Row],[DateOpened]],TODAY()))-1,ABS(NETWORKDAYS(Proc[[#This Row],[DateOpened]],Proc[[#This Row],[DateClosed]]))-1)</f>
        <v>78</v>
      </c>
      <c r="R4048" s="136" t="s">
        <v>6087</v>
      </c>
      <c r="S4048" s="140"/>
    </row>
    <row r="4049" spans="1:19" hidden="1">
      <c r="A4049" s="142" t="s">
        <v>6201</v>
      </c>
      <c r="B4049" s="149" t="str">
        <f>IFERROR(VLOOKUP(Proc[[#This Row],[App]],Table2[],3,0),"open")</f>
        <v>ok</v>
      </c>
      <c r="C4049" s="142" t="s">
        <v>369</v>
      </c>
      <c r="D4049" t="s">
        <v>5980</v>
      </c>
      <c r="E4049" t="s">
        <v>6182</v>
      </c>
      <c r="F4049" s="140" t="s">
        <v>6182</v>
      </c>
      <c r="G4049" s="142" t="s">
        <v>406</v>
      </c>
      <c r="H4049" s="140" t="str">
        <f>IF(Proc[[#This Row],[type]]="LFF (MDG-F)",MID(Proc[[#This Row],[Obj]],13,10),"")</f>
        <v>JP01GPS302</v>
      </c>
      <c r="J4049" s="140" t="b">
        <f>Proc[[#This Row],[Requested]]=Proc[[#This Row],[CurrentParent]]</f>
        <v>1</v>
      </c>
      <c r="K4049" s="144" t="str">
        <f>IF(Proc[[#This Row],[Author]]="Marcela Urrego",VLOOKUP(LEFT(Proc[[#This Row],[Requested]],1),Table3[#All],2,0),VLOOKUP(Proc[[#This Row],[Author]],Table4[],2,0))</f>
        <v>EL</v>
      </c>
      <c r="L4049" s="140" t="s">
        <v>4894</v>
      </c>
      <c r="M4049" s="136">
        <v>45902</v>
      </c>
      <c r="N4049" s="137"/>
      <c r="O4049" s="137"/>
      <c r="P4049" s="136" t="str">
        <f ca="1">IF(Proc[[#This Row],[DaysAgeing]]&gt;5,"yep","on track")</f>
        <v>yep</v>
      </c>
      <c r="Q4049" s="3">
        <f ca="1">IF(Proc[[#This Row],[DateClosed]]="",ABS(NETWORKDAYS(Proc[[#This Row],[DateOpened]],TODAY()))-1,ABS(NETWORKDAYS(Proc[[#This Row],[DateOpened]],Proc[[#This Row],[DateClosed]]))-1)</f>
        <v>78</v>
      </c>
      <c r="R4049" s="136" t="s">
        <v>6087</v>
      </c>
      <c r="S4049" s="140"/>
    </row>
    <row r="4050" spans="1:19" hidden="1">
      <c r="A4050" s="142" t="s">
        <v>6201</v>
      </c>
      <c r="B4050" s="149" t="str">
        <f>IFERROR(VLOOKUP(Proc[[#This Row],[App]],Table2[],3,0),"open")</f>
        <v>ok</v>
      </c>
      <c r="C4050" s="142" t="s">
        <v>369</v>
      </c>
      <c r="D4050" t="s">
        <v>5977</v>
      </c>
      <c r="E4050" t="s">
        <v>6183</v>
      </c>
      <c r="F4050" s="140" t="s">
        <v>6183</v>
      </c>
      <c r="G4050" s="142" t="s">
        <v>406</v>
      </c>
      <c r="H4050" s="140" t="str">
        <f>IF(Proc[[#This Row],[type]]="LFF (MDG-F)",MID(Proc[[#This Row],[Obj]],13,10),"")</f>
        <v>JP01GPO301</v>
      </c>
      <c r="J4050" s="140" t="b">
        <f>Proc[[#This Row],[Requested]]=Proc[[#This Row],[CurrentParent]]</f>
        <v>1</v>
      </c>
      <c r="K4050" s="144" t="str">
        <f>IF(Proc[[#This Row],[Author]]="Marcela Urrego",VLOOKUP(LEFT(Proc[[#This Row],[Requested]],1),Table3[#All],2,0),VLOOKUP(Proc[[#This Row],[Author]],Table4[],2,0))</f>
        <v>EL</v>
      </c>
      <c r="L4050" s="140" t="s">
        <v>4894</v>
      </c>
      <c r="M4050" s="136">
        <v>45902</v>
      </c>
      <c r="N4050" s="137"/>
      <c r="O4050" s="137"/>
      <c r="P4050" s="136" t="str">
        <f ca="1">IF(Proc[[#This Row],[DaysAgeing]]&gt;5,"yep","on track")</f>
        <v>yep</v>
      </c>
      <c r="Q4050" s="3">
        <f ca="1">IF(Proc[[#This Row],[DateClosed]]="",ABS(NETWORKDAYS(Proc[[#This Row],[DateOpened]],TODAY()))-1,ABS(NETWORKDAYS(Proc[[#This Row],[DateOpened]],Proc[[#This Row],[DateClosed]]))-1)</f>
        <v>78</v>
      </c>
      <c r="R4050" s="136" t="s">
        <v>6087</v>
      </c>
      <c r="S4050" s="140"/>
    </row>
    <row r="4051" spans="1:19" hidden="1">
      <c r="A4051" s="142" t="s">
        <v>6201</v>
      </c>
      <c r="B4051" s="149" t="str">
        <f>IFERROR(VLOOKUP(Proc[[#This Row],[App]],Table2[],3,0),"open")</f>
        <v>ok</v>
      </c>
      <c r="C4051" s="142" t="s">
        <v>369</v>
      </c>
      <c r="D4051" t="s">
        <v>5978</v>
      </c>
      <c r="E4051" t="s">
        <v>6104</v>
      </c>
      <c r="F4051" s="140" t="s">
        <v>6104</v>
      </c>
      <c r="G4051" s="142" t="s">
        <v>406</v>
      </c>
      <c r="H4051" s="140" t="str">
        <f>IF(Proc[[#This Row],[type]]="LFF (MDG-F)",MID(Proc[[#This Row],[Obj]],13,10),"")</f>
        <v>JP01GPO302</v>
      </c>
      <c r="J4051" s="140" t="b">
        <f>Proc[[#This Row],[Requested]]=Proc[[#This Row],[CurrentParent]]</f>
        <v>1</v>
      </c>
      <c r="K4051" s="144" t="str">
        <f>IF(Proc[[#This Row],[Author]]="Marcela Urrego",VLOOKUP(LEFT(Proc[[#This Row],[Requested]],1),Table3[#All],2,0),VLOOKUP(Proc[[#This Row],[Author]],Table4[],2,0))</f>
        <v>EL</v>
      </c>
      <c r="L4051" s="140" t="s">
        <v>4894</v>
      </c>
      <c r="M4051" s="136">
        <v>45902</v>
      </c>
      <c r="N4051" s="137"/>
      <c r="O4051" s="137"/>
      <c r="P4051" s="136" t="str">
        <f ca="1">IF(Proc[[#This Row],[DaysAgeing]]&gt;5,"yep","on track")</f>
        <v>yep</v>
      </c>
      <c r="Q4051" s="3">
        <f ca="1">IF(Proc[[#This Row],[DateClosed]]="",ABS(NETWORKDAYS(Proc[[#This Row],[DateOpened]],TODAY()))-1,ABS(NETWORKDAYS(Proc[[#This Row],[DateOpened]],Proc[[#This Row],[DateClosed]]))-1)</f>
        <v>78</v>
      </c>
      <c r="R4051" s="136" t="s">
        <v>6087</v>
      </c>
      <c r="S4051" s="140"/>
    </row>
    <row r="4052" spans="1:19" hidden="1">
      <c r="A4052" s="142" t="s">
        <v>6201</v>
      </c>
      <c r="B4052" s="149" t="str">
        <f>IFERROR(VLOOKUP(Proc[[#This Row],[App]],Table2[],3,0),"open")</f>
        <v>ok</v>
      </c>
      <c r="C4052" s="142" t="s">
        <v>369</v>
      </c>
      <c r="D4052" t="s">
        <v>5967</v>
      </c>
      <c r="E4052" t="s">
        <v>424</v>
      </c>
      <c r="F4052" s="140" t="s">
        <v>424</v>
      </c>
      <c r="G4052" s="142" t="s">
        <v>406</v>
      </c>
      <c r="H4052" s="140" t="str">
        <f>IF(Proc[[#This Row],[type]]="LFF (MDG-F)",MID(Proc[[#This Row],[Obj]],13,10),"")</f>
        <v>JP01GIT01B</v>
      </c>
      <c r="J4052" s="140" t="b">
        <f>Proc[[#This Row],[Requested]]=Proc[[#This Row],[CurrentParent]]</f>
        <v>1</v>
      </c>
      <c r="K4052" s="144" t="str">
        <f>IF(Proc[[#This Row],[Author]]="Marcela Urrego",VLOOKUP(LEFT(Proc[[#This Row],[Requested]],1),Table3[#All],2,0),VLOOKUP(Proc[[#This Row],[Author]],Table4[],2,0))</f>
        <v>EL</v>
      </c>
      <c r="L4052" s="140" t="s">
        <v>4894</v>
      </c>
      <c r="M4052" s="136">
        <v>45902</v>
      </c>
      <c r="N4052" s="137"/>
      <c r="O4052" s="137"/>
      <c r="P4052" s="136" t="str">
        <f ca="1">IF(Proc[[#This Row],[DaysAgeing]]&gt;5,"yep","on track")</f>
        <v>yep</v>
      </c>
      <c r="Q4052" s="3">
        <f ca="1">IF(Proc[[#This Row],[DateClosed]]="",ABS(NETWORKDAYS(Proc[[#This Row],[DateOpened]],TODAY()))-1,ABS(NETWORKDAYS(Proc[[#This Row],[DateOpened]],Proc[[#This Row],[DateClosed]]))-1)</f>
        <v>78</v>
      </c>
      <c r="R4052" s="136" t="s">
        <v>6087</v>
      </c>
      <c r="S4052" s="140"/>
    </row>
    <row r="4053" spans="1:19" hidden="1">
      <c r="A4053" s="142" t="s">
        <v>6201</v>
      </c>
      <c r="B4053" s="149" t="str">
        <f>IFERROR(VLOOKUP(Proc[[#This Row],[App]],Table2[],3,0),"open")</f>
        <v>ok</v>
      </c>
      <c r="C4053" s="142" t="s">
        <v>369</v>
      </c>
      <c r="D4053" t="s">
        <v>6021</v>
      </c>
      <c r="E4053" t="s">
        <v>6184</v>
      </c>
      <c r="F4053" s="140" t="s">
        <v>6184</v>
      </c>
      <c r="G4053" s="142" t="s">
        <v>406</v>
      </c>
      <c r="H4053" s="140" t="str">
        <f>IF(Proc[[#This Row],[type]]="LFF (MDG-F)",MID(Proc[[#This Row],[Obj]],13,10),"")</f>
        <v>JP01TAOZ02</v>
      </c>
      <c r="J4053" s="140" t="b">
        <f>Proc[[#This Row],[Requested]]=Proc[[#This Row],[CurrentParent]]</f>
        <v>1</v>
      </c>
      <c r="K4053" s="144" t="str">
        <f>IF(Proc[[#This Row],[Author]]="Marcela Urrego",VLOOKUP(LEFT(Proc[[#This Row],[Requested]],1),Table3[#All],2,0),VLOOKUP(Proc[[#This Row],[Author]],Table4[],2,0))</f>
        <v>EL</v>
      </c>
      <c r="L4053" s="140" t="s">
        <v>4894</v>
      </c>
      <c r="M4053" s="136">
        <v>45902</v>
      </c>
      <c r="N4053" s="137"/>
      <c r="O4053" s="137"/>
      <c r="P4053" s="136" t="str">
        <f ca="1">IF(Proc[[#This Row],[DaysAgeing]]&gt;5,"yep","on track")</f>
        <v>yep</v>
      </c>
      <c r="Q4053" s="3">
        <f ca="1">IF(Proc[[#This Row],[DateClosed]]="",ABS(NETWORKDAYS(Proc[[#This Row],[DateOpened]],TODAY()))-1,ABS(NETWORKDAYS(Proc[[#This Row],[DateOpened]],Proc[[#This Row],[DateClosed]]))-1)</f>
        <v>78</v>
      </c>
      <c r="R4053" s="136" t="s">
        <v>6087</v>
      </c>
      <c r="S4053" s="140"/>
    </row>
    <row r="4054" spans="1:19" hidden="1">
      <c r="A4054" s="142" t="s">
        <v>6201</v>
      </c>
      <c r="B4054" s="149" t="str">
        <f>IFERROR(VLOOKUP(Proc[[#This Row],[App]],Table2[],3,0),"open")</f>
        <v>ok</v>
      </c>
      <c r="C4054" s="142" t="s">
        <v>369</v>
      </c>
      <c r="D4054" t="s">
        <v>6024</v>
      </c>
      <c r="E4054" t="s">
        <v>6184</v>
      </c>
      <c r="F4054" s="140" t="s">
        <v>6184</v>
      </c>
      <c r="G4054" s="142" t="s">
        <v>406</v>
      </c>
      <c r="H4054" s="140" t="str">
        <f>IF(Proc[[#This Row],[type]]="LFF (MDG-F)",MID(Proc[[#This Row],[Obj]],13,10),"")</f>
        <v>JP01TAOZ05</v>
      </c>
      <c r="J4054" s="140" t="b">
        <f>Proc[[#This Row],[Requested]]=Proc[[#This Row],[CurrentParent]]</f>
        <v>1</v>
      </c>
      <c r="K4054" s="144" t="str">
        <f>IF(Proc[[#This Row],[Author]]="Marcela Urrego",VLOOKUP(LEFT(Proc[[#This Row],[Requested]],1),Table3[#All],2,0),VLOOKUP(Proc[[#This Row],[Author]],Table4[],2,0))</f>
        <v>EL</v>
      </c>
      <c r="L4054" s="140" t="s">
        <v>4894</v>
      </c>
      <c r="M4054" s="136">
        <v>45902</v>
      </c>
      <c r="N4054" s="137"/>
      <c r="O4054" s="137"/>
      <c r="P4054" s="136" t="str">
        <f ca="1">IF(Proc[[#This Row],[DaysAgeing]]&gt;5,"yep","on track")</f>
        <v>yep</v>
      </c>
      <c r="Q4054" s="3">
        <f ca="1">IF(Proc[[#This Row],[DateClosed]]="",ABS(NETWORKDAYS(Proc[[#This Row],[DateOpened]],TODAY()))-1,ABS(NETWORKDAYS(Proc[[#This Row],[DateOpened]],Proc[[#This Row],[DateClosed]]))-1)</f>
        <v>78</v>
      </c>
      <c r="R4054" s="136" t="s">
        <v>6087</v>
      </c>
      <c r="S4054" s="140"/>
    </row>
    <row r="4055" spans="1:19" hidden="1">
      <c r="A4055" s="142" t="s">
        <v>6201</v>
      </c>
      <c r="B4055" s="149" t="str">
        <f>IFERROR(VLOOKUP(Proc[[#This Row],[App]],Table2[],3,0),"open")</f>
        <v>ok</v>
      </c>
      <c r="C4055" s="142" t="s">
        <v>369</v>
      </c>
      <c r="D4055" t="s">
        <v>5966</v>
      </c>
      <c r="E4055" t="s">
        <v>6185</v>
      </c>
      <c r="F4055" s="140" t="s">
        <v>6185</v>
      </c>
      <c r="G4055" s="142" t="s">
        <v>406</v>
      </c>
      <c r="H4055" s="140" t="str">
        <f>IF(Proc[[#This Row],[type]]="LFF (MDG-F)",MID(Proc[[#This Row],[Obj]],13,10),"")</f>
        <v>JP01GHR303</v>
      </c>
      <c r="J4055" s="140" t="b">
        <f>Proc[[#This Row],[Requested]]=Proc[[#This Row],[CurrentParent]]</f>
        <v>1</v>
      </c>
      <c r="K4055" s="144" t="str">
        <f>IF(Proc[[#This Row],[Author]]="Marcela Urrego",VLOOKUP(LEFT(Proc[[#This Row],[Requested]],1),Table3[#All],2,0),VLOOKUP(Proc[[#This Row],[Author]],Table4[],2,0))</f>
        <v>EL</v>
      </c>
      <c r="L4055" s="140" t="s">
        <v>4894</v>
      </c>
      <c r="M4055" s="136">
        <v>45902</v>
      </c>
      <c r="N4055" s="137"/>
      <c r="O4055" s="137"/>
      <c r="P4055" s="136" t="str">
        <f ca="1">IF(Proc[[#This Row],[DaysAgeing]]&gt;5,"yep","on track")</f>
        <v>yep</v>
      </c>
      <c r="Q4055" s="3">
        <f ca="1">IF(Proc[[#This Row],[DateClosed]]="",ABS(NETWORKDAYS(Proc[[#This Row],[DateOpened]],TODAY()))-1,ABS(NETWORKDAYS(Proc[[#This Row],[DateOpened]],Proc[[#This Row],[DateClosed]]))-1)</f>
        <v>78</v>
      </c>
      <c r="R4055" s="136" t="s">
        <v>6087</v>
      </c>
      <c r="S4055" s="140"/>
    </row>
    <row r="4056" spans="1:19" hidden="1">
      <c r="A4056" s="142" t="s">
        <v>6201</v>
      </c>
      <c r="B4056" s="149" t="str">
        <f>IFERROR(VLOOKUP(Proc[[#This Row],[App]],Table2[],3,0),"open")</f>
        <v>ok</v>
      </c>
      <c r="C4056" s="142" t="s">
        <v>369</v>
      </c>
      <c r="D4056" t="s">
        <v>6054</v>
      </c>
      <c r="E4056" t="s">
        <v>3225</v>
      </c>
      <c r="F4056" s="140" t="s">
        <v>3225</v>
      </c>
      <c r="G4056" s="142" t="s">
        <v>406</v>
      </c>
      <c r="H4056" s="140" t="str">
        <f>IF(Proc[[#This Row],[type]]="LFF (MDG-F)",MID(Proc[[#This Row],[Obj]],13,10),"")</f>
        <v>JP01Z03103</v>
      </c>
      <c r="J4056" s="140" t="b">
        <f>Proc[[#This Row],[Requested]]=Proc[[#This Row],[CurrentParent]]</f>
        <v>1</v>
      </c>
      <c r="K4056" s="144" t="str">
        <f>IF(Proc[[#This Row],[Author]]="Marcela Urrego",VLOOKUP(LEFT(Proc[[#This Row],[Requested]],1),Table3[#All],2,0),VLOOKUP(Proc[[#This Row],[Author]],Table4[],2,0))</f>
        <v>EL</v>
      </c>
      <c r="L4056" s="140" t="s">
        <v>4894</v>
      </c>
      <c r="M4056" s="136">
        <v>45902</v>
      </c>
      <c r="N4056" s="137"/>
      <c r="O4056" s="137"/>
      <c r="P4056" s="136" t="str">
        <f ca="1">IF(Proc[[#This Row],[DaysAgeing]]&gt;5,"yep","on track")</f>
        <v>yep</v>
      </c>
      <c r="Q4056" s="3">
        <f ca="1">IF(Proc[[#This Row],[DateClosed]]="",ABS(NETWORKDAYS(Proc[[#This Row],[DateOpened]],TODAY()))-1,ABS(NETWORKDAYS(Proc[[#This Row],[DateOpened]],Proc[[#This Row],[DateClosed]]))-1)</f>
        <v>78</v>
      </c>
      <c r="R4056" s="136" t="s">
        <v>6087</v>
      </c>
      <c r="S4056" s="140"/>
    </row>
    <row r="4057" spans="1:19" hidden="1">
      <c r="A4057" s="142" t="s">
        <v>6201</v>
      </c>
      <c r="B4057" s="149" t="str">
        <f>IFERROR(VLOOKUP(Proc[[#This Row],[App]],Table2[],3,0),"open")</f>
        <v>ok</v>
      </c>
      <c r="C4057" s="142" t="s">
        <v>369</v>
      </c>
      <c r="D4057" t="s">
        <v>6008</v>
      </c>
      <c r="E4057" t="s">
        <v>6184</v>
      </c>
      <c r="F4057" s="140" t="s">
        <v>6184</v>
      </c>
      <c r="G4057" s="142" t="s">
        <v>406</v>
      </c>
      <c r="H4057" s="140" t="str">
        <f>IF(Proc[[#This Row],[type]]="LFF (MDG-F)",MID(Proc[[#This Row],[Obj]],13,10),"")</f>
        <v>JP01TAOC00</v>
      </c>
      <c r="J4057" s="140" t="b">
        <f>Proc[[#This Row],[Requested]]=Proc[[#This Row],[CurrentParent]]</f>
        <v>1</v>
      </c>
      <c r="K4057" s="144" t="str">
        <f>IF(Proc[[#This Row],[Author]]="Marcela Urrego",VLOOKUP(LEFT(Proc[[#This Row],[Requested]],1),Table3[#All],2,0),VLOOKUP(Proc[[#This Row],[Author]],Table4[],2,0))</f>
        <v>EL</v>
      </c>
      <c r="L4057" s="140" t="s">
        <v>4894</v>
      </c>
      <c r="M4057" s="136">
        <v>45902</v>
      </c>
      <c r="N4057" s="137"/>
      <c r="O4057" s="137"/>
      <c r="P4057" s="136" t="str">
        <f ca="1">IF(Proc[[#This Row],[DaysAgeing]]&gt;5,"yep","on track")</f>
        <v>yep</v>
      </c>
      <c r="Q4057" s="3">
        <f ca="1">IF(Proc[[#This Row],[DateClosed]]="",ABS(NETWORKDAYS(Proc[[#This Row],[DateOpened]],TODAY()))-1,ABS(NETWORKDAYS(Proc[[#This Row],[DateOpened]],Proc[[#This Row],[DateClosed]]))-1)</f>
        <v>78</v>
      </c>
      <c r="R4057" s="136" t="s">
        <v>6087</v>
      </c>
      <c r="S4057" s="140"/>
    </row>
    <row r="4058" spans="1:19" hidden="1">
      <c r="A4058" s="142" t="s">
        <v>6201</v>
      </c>
      <c r="B4058" s="149" t="str">
        <f>IFERROR(VLOOKUP(Proc[[#This Row],[App]],Table2[],3,0),"open")</f>
        <v>ok</v>
      </c>
      <c r="C4058" s="142" t="s">
        <v>369</v>
      </c>
      <c r="D4058" t="s">
        <v>6009</v>
      </c>
      <c r="E4058" t="s">
        <v>6184</v>
      </c>
      <c r="F4058" s="140" t="s">
        <v>6184</v>
      </c>
      <c r="G4058" s="142" t="s">
        <v>406</v>
      </c>
      <c r="H4058" s="140" t="str">
        <f>IF(Proc[[#This Row],[type]]="LFF (MDG-F)",MID(Proc[[#This Row],[Obj]],13,10),"")</f>
        <v>JP01TAOC01</v>
      </c>
      <c r="J4058" s="140" t="b">
        <f>Proc[[#This Row],[Requested]]=Proc[[#This Row],[CurrentParent]]</f>
        <v>1</v>
      </c>
      <c r="K4058" s="144" t="str">
        <f>IF(Proc[[#This Row],[Author]]="Marcela Urrego",VLOOKUP(LEFT(Proc[[#This Row],[Requested]],1),Table3[#All],2,0),VLOOKUP(Proc[[#This Row],[Author]],Table4[],2,0))</f>
        <v>EL</v>
      </c>
      <c r="L4058" s="140" t="s">
        <v>4894</v>
      </c>
      <c r="M4058" s="136">
        <v>45902</v>
      </c>
      <c r="N4058" s="137"/>
      <c r="O4058" s="137"/>
      <c r="P4058" s="136" t="str">
        <f ca="1">IF(Proc[[#This Row],[DaysAgeing]]&gt;5,"yep","on track")</f>
        <v>yep</v>
      </c>
      <c r="Q4058" s="3">
        <f ca="1">IF(Proc[[#This Row],[DateClosed]]="",ABS(NETWORKDAYS(Proc[[#This Row],[DateOpened]],TODAY()))-1,ABS(NETWORKDAYS(Proc[[#This Row],[DateOpened]],Proc[[#This Row],[DateClosed]]))-1)</f>
        <v>78</v>
      </c>
      <c r="R4058" s="136" t="s">
        <v>6087</v>
      </c>
      <c r="S4058" s="140"/>
    </row>
    <row r="4059" spans="1:19" hidden="1">
      <c r="A4059" s="142" t="s">
        <v>6201</v>
      </c>
      <c r="B4059" s="149" t="str">
        <f>IFERROR(VLOOKUP(Proc[[#This Row],[App]],Table2[],3,0),"open")</f>
        <v>ok</v>
      </c>
      <c r="C4059" s="142" t="s">
        <v>369</v>
      </c>
      <c r="D4059" t="s">
        <v>6011</v>
      </c>
      <c r="E4059" t="s">
        <v>6184</v>
      </c>
      <c r="F4059" s="140" t="s">
        <v>6184</v>
      </c>
      <c r="G4059" s="142" t="s">
        <v>406</v>
      </c>
      <c r="H4059" s="140" t="str">
        <f>IF(Proc[[#This Row],[type]]="LFF (MDG-F)",MID(Proc[[#This Row],[Obj]],13,10),"")</f>
        <v>JP01TAOC03</v>
      </c>
      <c r="J4059" s="140" t="b">
        <f>Proc[[#This Row],[Requested]]=Proc[[#This Row],[CurrentParent]]</f>
        <v>1</v>
      </c>
      <c r="K4059" s="144" t="str">
        <f>IF(Proc[[#This Row],[Author]]="Marcela Urrego",VLOOKUP(LEFT(Proc[[#This Row],[Requested]],1),Table3[#All],2,0),VLOOKUP(Proc[[#This Row],[Author]],Table4[],2,0))</f>
        <v>EL</v>
      </c>
      <c r="L4059" s="140" t="s">
        <v>4894</v>
      </c>
      <c r="M4059" s="136">
        <v>45902</v>
      </c>
      <c r="N4059" s="137"/>
      <c r="O4059" s="137"/>
      <c r="P4059" s="136" t="str">
        <f ca="1">IF(Proc[[#This Row],[DaysAgeing]]&gt;5,"yep","on track")</f>
        <v>yep</v>
      </c>
      <c r="Q4059" s="3">
        <f ca="1">IF(Proc[[#This Row],[DateClosed]]="",ABS(NETWORKDAYS(Proc[[#This Row],[DateOpened]],TODAY()))-1,ABS(NETWORKDAYS(Proc[[#This Row],[DateOpened]],Proc[[#This Row],[DateClosed]]))-1)</f>
        <v>78</v>
      </c>
      <c r="R4059" s="136" t="s">
        <v>6087</v>
      </c>
      <c r="S4059" s="140"/>
    </row>
    <row r="4060" spans="1:19" hidden="1">
      <c r="A4060" s="142" t="s">
        <v>6201</v>
      </c>
      <c r="B4060" s="149" t="str">
        <f>IFERROR(VLOOKUP(Proc[[#This Row],[App]],Table2[],3,0),"open")</f>
        <v>ok</v>
      </c>
      <c r="C4060" s="142" t="s">
        <v>369</v>
      </c>
      <c r="D4060" t="s">
        <v>6012</v>
      </c>
      <c r="E4060" t="s">
        <v>6184</v>
      </c>
      <c r="F4060" s="140" t="s">
        <v>6184</v>
      </c>
      <c r="G4060" s="142" t="s">
        <v>406</v>
      </c>
      <c r="H4060" s="140" t="str">
        <f>IF(Proc[[#This Row],[type]]="LFF (MDG-F)",MID(Proc[[#This Row],[Obj]],13,10),"")</f>
        <v>JP01TAOC99</v>
      </c>
      <c r="J4060" s="140" t="b">
        <f>Proc[[#This Row],[Requested]]=Proc[[#This Row],[CurrentParent]]</f>
        <v>1</v>
      </c>
      <c r="K4060" s="144" t="str">
        <f>IF(Proc[[#This Row],[Author]]="Marcela Urrego",VLOOKUP(LEFT(Proc[[#This Row],[Requested]],1),Table3[#All],2,0),VLOOKUP(Proc[[#This Row],[Author]],Table4[],2,0))</f>
        <v>EL</v>
      </c>
      <c r="L4060" s="140" t="s">
        <v>4894</v>
      </c>
      <c r="M4060" s="136">
        <v>45902</v>
      </c>
      <c r="N4060" s="137"/>
      <c r="O4060" s="137"/>
      <c r="P4060" s="136" t="str">
        <f ca="1">IF(Proc[[#This Row],[DaysAgeing]]&gt;5,"yep","on track")</f>
        <v>yep</v>
      </c>
      <c r="Q4060" s="3">
        <f ca="1">IF(Proc[[#This Row],[DateClosed]]="",ABS(NETWORKDAYS(Proc[[#This Row],[DateOpened]],TODAY()))-1,ABS(NETWORKDAYS(Proc[[#This Row],[DateOpened]],Proc[[#This Row],[DateClosed]]))-1)</f>
        <v>78</v>
      </c>
      <c r="R4060" s="136" t="s">
        <v>6087</v>
      </c>
      <c r="S4060" s="140"/>
    </row>
    <row r="4061" spans="1:19" hidden="1">
      <c r="A4061" s="142" t="s">
        <v>6201</v>
      </c>
      <c r="B4061" s="149" t="str">
        <f>IFERROR(VLOOKUP(Proc[[#This Row],[App]],Table2[],3,0),"open")</f>
        <v>ok</v>
      </c>
      <c r="C4061" s="142" t="s">
        <v>369</v>
      </c>
      <c r="D4061" t="s">
        <v>6013</v>
      </c>
      <c r="E4061" t="s">
        <v>6184</v>
      </c>
      <c r="F4061" s="140" t="s">
        <v>6184</v>
      </c>
      <c r="G4061" s="142" t="s">
        <v>406</v>
      </c>
      <c r="H4061" s="140" t="str">
        <f>IF(Proc[[#This Row],[type]]="LFF (MDG-F)",MID(Proc[[#This Row],[Obj]],13,10),"")</f>
        <v>JP01TAOD00</v>
      </c>
      <c r="J4061" s="140" t="b">
        <f>Proc[[#This Row],[Requested]]=Proc[[#This Row],[CurrentParent]]</f>
        <v>1</v>
      </c>
      <c r="K4061" s="144" t="str">
        <f>IF(Proc[[#This Row],[Author]]="Marcela Urrego",VLOOKUP(LEFT(Proc[[#This Row],[Requested]],1),Table3[#All],2,0),VLOOKUP(Proc[[#This Row],[Author]],Table4[],2,0))</f>
        <v>EL</v>
      </c>
      <c r="L4061" s="140" t="s">
        <v>4894</v>
      </c>
      <c r="M4061" s="136">
        <v>45902</v>
      </c>
      <c r="N4061" s="137"/>
      <c r="O4061" s="137"/>
      <c r="P4061" s="136" t="str">
        <f ca="1">IF(Proc[[#This Row],[DaysAgeing]]&gt;5,"yep","on track")</f>
        <v>yep</v>
      </c>
      <c r="Q4061" s="3">
        <f ca="1">IF(Proc[[#This Row],[DateClosed]]="",ABS(NETWORKDAYS(Proc[[#This Row],[DateOpened]],TODAY()))-1,ABS(NETWORKDAYS(Proc[[#This Row],[DateOpened]],Proc[[#This Row],[DateClosed]]))-1)</f>
        <v>78</v>
      </c>
      <c r="R4061" s="136" t="s">
        <v>6087</v>
      </c>
      <c r="S4061" s="140"/>
    </row>
    <row r="4062" spans="1:19" hidden="1">
      <c r="A4062" s="142" t="s">
        <v>6201</v>
      </c>
      <c r="B4062" s="149" t="str">
        <f>IFERROR(VLOOKUP(Proc[[#This Row],[App]],Table2[],3,0),"open")</f>
        <v>ok</v>
      </c>
      <c r="C4062" s="142" t="s">
        <v>369</v>
      </c>
      <c r="D4062" t="s">
        <v>6014</v>
      </c>
      <c r="E4062" t="s">
        <v>6184</v>
      </c>
      <c r="F4062" s="140" t="s">
        <v>6184</v>
      </c>
      <c r="G4062" s="142" t="s">
        <v>406</v>
      </c>
      <c r="H4062" s="140" t="str">
        <f>IF(Proc[[#This Row],[type]]="LFF (MDG-F)",MID(Proc[[#This Row],[Obj]],13,10),"")</f>
        <v>JP01TAOD01</v>
      </c>
      <c r="J4062" s="140" t="b">
        <f>Proc[[#This Row],[Requested]]=Proc[[#This Row],[CurrentParent]]</f>
        <v>1</v>
      </c>
      <c r="K4062" s="144" t="str">
        <f>IF(Proc[[#This Row],[Author]]="Marcela Urrego",VLOOKUP(LEFT(Proc[[#This Row],[Requested]],1),Table3[#All],2,0),VLOOKUP(Proc[[#This Row],[Author]],Table4[],2,0))</f>
        <v>EL</v>
      </c>
      <c r="L4062" s="140" t="s">
        <v>4894</v>
      </c>
      <c r="M4062" s="136">
        <v>45902</v>
      </c>
      <c r="N4062" s="137"/>
      <c r="O4062" s="137"/>
      <c r="P4062" s="136" t="str">
        <f ca="1">IF(Proc[[#This Row],[DaysAgeing]]&gt;5,"yep","on track")</f>
        <v>yep</v>
      </c>
      <c r="Q4062" s="3">
        <f ca="1">IF(Proc[[#This Row],[DateClosed]]="",ABS(NETWORKDAYS(Proc[[#This Row],[DateOpened]],TODAY()))-1,ABS(NETWORKDAYS(Proc[[#This Row],[DateOpened]],Proc[[#This Row],[DateClosed]]))-1)</f>
        <v>78</v>
      </c>
      <c r="R4062" s="136" t="s">
        <v>6087</v>
      </c>
      <c r="S4062" s="140"/>
    </row>
    <row r="4063" spans="1:19" hidden="1">
      <c r="A4063" s="142" t="s">
        <v>6201</v>
      </c>
      <c r="B4063" s="149" t="str">
        <f>IFERROR(VLOOKUP(Proc[[#This Row],[App]],Table2[],3,0),"open")</f>
        <v>ok</v>
      </c>
      <c r="C4063" s="142" t="s">
        <v>369</v>
      </c>
      <c r="D4063" t="s">
        <v>6016</v>
      </c>
      <c r="E4063" t="s">
        <v>6184</v>
      </c>
      <c r="F4063" s="140" t="s">
        <v>6184</v>
      </c>
      <c r="G4063" s="142" t="s">
        <v>406</v>
      </c>
      <c r="H4063" s="140" t="str">
        <f>IF(Proc[[#This Row],[type]]="LFF (MDG-F)",MID(Proc[[#This Row],[Obj]],13,10),"")</f>
        <v>JP01TAOD99</v>
      </c>
      <c r="J4063" s="140" t="b">
        <f>Proc[[#This Row],[Requested]]=Proc[[#This Row],[CurrentParent]]</f>
        <v>1</v>
      </c>
      <c r="K4063" s="144" t="str">
        <f>IF(Proc[[#This Row],[Author]]="Marcela Urrego",VLOOKUP(LEFT(Proc[[#This Row],[Requested]],1),Table3[#All],2,0),VLOOKUP(Proc[[#This Row],[Author]],Table4[],2,0))</f>
        <v>EL</v>
      </c>
      <c r="L4063" s="140" t="s">
        <v>4894</v>
      </c>
      <c r="M4063" s="136">
        <v>45902</v>
      </c>
      <c r="N4063" s="137"/>
      <c r="O4063" s="137"/>
      <c r="P4063" s="136" t="str">
        <f ca="1">IF(Proc[[#This Row],[DaysAgeing]]&gt;5,"yep","on track")</f>
        <v>yep</v>
      </c>
      <c r="Q4063" s="3">
        <f ca="1">IF(Proc[[#This Row],[DateClosed]]="",ABS(NETWORKDAYS(Proc[[#This Row],[DateOpened]],TODAY()))-1,ABS(NETWORKDAYS(Proc[[#This Row],[DateOpened]],Proc[[#This Row],[DateClosed]]))-1)</f>
        <v>78</v>
      </c>
      <c r="R4063" s="136" t="s">
        <v>6087</v>
      </c>
      <c r="S4063" s="140"/>
    </row>
    <row r="4064" spans="1:19" hidden="1">
      <c r="A4064" s="142" t="s">
        <v>6201</v>
      </c>
      <c r="B4064" s="149" t="str">
        <f>IFERROR(VLOOKUP(Proc[[#This Row],[App]],Table2[],3,0),"open")</f>
        <v>ok</v>
      </c>
      <c r="C4064" s="142" t="s">
        <v>369</v>
      </c>
      <c r="D4064" t="s">
        <v>6022</v>
      </c>
      <c r="E4064" t="s">
        <v>6184</v>
      </c>
      <c r="F4064" s="140" t="s">
        <v>6184</v>
      </c>
      <c r="G4064" s="142" t="s">
        <v>406</v>
      </c>
      <c r="H4064" s="140" t="str">
        <f>IF(Proc[[#This Row],[type]]="LFF (MDG-F)",MID(Proc[[#This Row],[Obj]],13,10),"")</f>
        <v>JP01TAOZ03</v>
      </c>
      <c r="J4064" s="140" t="b">
        <f>Proc[[#This Row],[Requested]]=Proc[[#This Row],[CurrentParent]]</f>
        <v>1</v>
      </c>
      <c r="K4064" s="144" t="str">
        <f>IF(Proc[[#This Row],[Author]]="Marcela Urrego",VLOOKUP(LEFT(Proc[[#This Row],[Requested]],1),Table3[#All],2,0),VLOOKUP(Proc[[#This Row],[Author]],Table4[],2,0))</f>
        <v>EL</v>
      </c>
      <c r="L4064" s="140" t="s">
        <v>4894</v>
      </c>
      <c r="M4064" s="136">
        <v>45902</v>
      </c>
      <c r="N4064" s="137"/>
      <c r="O4064" s="137"/>
      <c r="P4064" s="136" t="str">
        <f ca="1">IF(Proc[[#This Row],[DaysAgeing]]&gt;5,"yep","on track")</f>
        <v>yep</v>
      </c>
      <c r="Q4064" s="3">
        <f ca="1">IF(Proc[[#This Row],[DateClosed]]="",ABS(NETWORKDAYS(Proc[[#This Row],[DateOpened]],TODAY()))-1,ABS(NETWORKDAYS(Proc[[#This Row],[DateOpened]],Proc[[#This Row],[DateClosed]]))-1)</f>
        <v>78</v>
      </c>
      <c r="R4064" s="136" t="s">
        <v>6087</v>
      </c>
      <c r="S4064" s="140"/>
    </row>
    <row r="4065" spans="1:19" hidden="1">
      <c r="A4065" s="142" t="s">
        <v>6201</v>
      </c>
      <c r="B4065" s="149" t="str">
        <f>IFERROR(VLOOKUP(Proc[[#This Row],[App]],Table2[],3,0),"open")</f>
        <v>ok</v>
      </c>
      <c r="C4065" s="142" t="s">
        <v>369</v>
      </c>
      <c r="D4065" t="s">
        <v>6029</v>
      </c>
      <c r="E4065" t="s">
        <v>6186</v>
      </c>
      <c r="F4065" s="140" t="s">
        <v>6186</v>
      </c>
      <c r="G4065" s="142" t="s">
        <v>406</v>
      </c>
      <c r="H4065" s="140" t="str">
        <f>IF(Proc[[#This Row],[type]]="LFF (MDG-F)",MID(Proc[[#This Row],[Obj]],13,10),"")</f>
        <v>JP01TDOZ01</v>
      </c>
      <c r="J4065" s="140" t="b">
        <f>Proc[[#This Row],[Requested]]=Proc[[#This Row],[CurrentParent]]</f>
        <v>1</v>
      </c>
      <c r="K4065" s="144" t="str">
        <f>IF(Proc[[#This Row],[Author]]="Marcela Urrego",VLOOKUP(LEFT(Proc[[#This Row],[Requested]],1),Table3[#All],2,0),VLOOKUP(Proc[[#This Row],[Author]],Table4[],2,0))</f>
        <v>EL</v>
      </c>
      <c r="L4065" s="140" t="s">
        <v>4894</v>
      </c>
      <c r="M4065" s="136">
        <v>45902</v>
      </c>
      <c r="N4065" s="137"/>
      <c r="O4065" s="137"/>
      <c r="P4065" s="136" t="str">
        <f ca="1">IF(Proc[[#This Row],[DaysAgeing]]&gt;5,"yep","on track")</f>
        <v>yep</v>
      </c>
      <c r="Q4065" s="3">
        <f ca="1">IF(Proc[[#This Row],[DateClosed]]="",ABS(NETWORKDAYS(Proc[[#This Row],[DateOpened]],TODAY()))-1,ABS(NETWORKDAYS(Proc[[#This Row],[DateOpened]],Proc[[#This Row],[DateClosed]]))-1)</f>
        <v>78</v>
      </c>
      <c r="R4065" s="136" t="s">
        <v>6087</v>
      </c>
      <c r="S4065" s="140"/>
    </row>
    <row r="4066" spans="1:19" hidden="1">
      <c r="A4066" s="142" t="s">
        <v>6201</v>
      </c>
      <c r="B4066" s="149" t="str">
        <f>IFERROR(VLOOKUP(Proc[[#This Row],[App]],Table2[],3,0),"open")</f>
        <v>ok</v>
      </c>
      <c r="C4066" s="142" t="s">
        <v>369</v>
      </c>
      <c r="D4066" t="s">
        <v>6030</v>
      </c>
      <c r="E4066" t="s">
        <v>6186</v>
      </c>
      <c r="F4066" s="140" t="s">
        <v>6186</v>
      </c>
      <c r="G4066" s="142" t="s">
        <v>406</v>
      </c>
      <c r="H4066" s="140" t="str">
        <f>IF(Proc[[#This Row],[type]]="LFF (MDG-F)",MID(Proc[[#This Row],[Obj]],13,10),"")</f>
        <v>JP01TDOZ02</v>
      </c>
      <c r="J4066" s="140" t="b">
        <f>Proc[[#This Row],[Requested]]=Proc[[#This Row],[CurrentParent]]</f>
        <v>1</v>
      </c>
      <c r="K4066" s="144" t="str">
        <f>IF(Proc[[#This Row],[Author]]="Marcela Urrego",VLOOKUP(LEFT(Proc[[#This Row],[Requested]],1),Table3[#All],2,0),VLOOKUP(Proc[[#This Row],[Author]],Table4[],2,0))</f>
        <v>EL</v>
      </c>
      <c r="L4066" s="140" t="s">
        <v>4894</v>
      </c>
      <c r="M4066" s="136">
        <v>45902</v>
      </c>
      <c r="N4066" s="137"/>
      <c r="O4066" s="137"/>
      <c r="P4066" s="136" t="str">
        <f ca="1">IF(Proc[[#This Row],[DaysAgeing]]&gt;5,"yep","on track")</f>
        <v>yep</v>
      </c>
      <c r="Q4066" s="3">
        <f ca="1">IF(Proc[[#This Row],[DateClosed]]="",ABS(NETWORKDAYS(Proc[[#This Row],[DateOpened]],TODAY()))-1,ABS(NETWORKDAYS(Proc[[#This Row],[DateOpened]],Proc[[#This Row],[DateClosed]]))-1)</f>
        <v>78</v>
      </c>
      <c r="R4066" s="136" t="s">
        <v>6087</v>
      </c>
      <c r="S4066" s="140"/>
    </row>
    <row r="4067" spans="1:19" hidden="1">
      <c r="A4067" s="142" t="s">
        <v>6201</v>
      </c>
      <c r="B4067" s="149" t="str">
        <f>IFERROR(VLOOKUP(Proc[[#This Row],[App]],Table2[],3,0),"open")</f>
        <v>ok</v>
      </c>
      <c r="C4067" s="142" t="s">
        <v>369</v>
      </c>
      <c r="D4067" t="s">
        <v>6031</v>
      </c>
      <c r="E4067" t="s">
        <v>6186</v>
      </c>
      <c r="F4067" s="140" t="s">
        <v>6186</v>
      </c>
      <c r="G4067" s="142" t="s">
        <v>406</v>
      </c>
      <c r="H4067" s="140" t="str">
        <f>IF(Proc[[#This Row],[type]]="LFF (MDG-F)",MID(Proc[[#This Row],[Obj]],13,10),"")</f>
        <v>JP01TDOZ03</v>
      </c>
      <c r="J4067" s="140" t="b">
        <f>Proc[[#This Row],[Requested]]=Proc[[#This Row],[CurrentParent]]</f>
        <v>1</v>
      </c>
      <c r="K4067" s="144" t="str">
        <f>IF(Proc[[#This Row],[Author]]="Marcela Urrego",VLOOKUP(LEFT(Proc[[#This Row],[Requested]],1),Table3[#All],2,0),VLOOKUP(Proc[[#This Row],[Author]],Table4[],2,0))</f>
        <v>EL</v>
      </c>
      <c r="L4067" s="140" t="s">
        <v>4894</v>
      </c>
      <c r="M4067" s="136">
        <v>45902</v>
      </c>
      <c r="N4067" s="137"/>
      <c r="O4067" s="137"/>
      <c r="P4067" s="136" t="str">
        <f ca="1">IF(Proc[[#This Row],[DaysAgeing]]&gt;5,"yep","on track")</f>
        <v>yep</v>
      </c>
      <c r="Q4067" s="3">
        <f ca="1">IF(Proc[[#This Row],[DateClosed]]="",ABS(NETWORKDAYS(Proc[[#This Row],[DateOpened]],TODAY()))-1,ABS(NETWORKDAYS(Proc[[#This Row],[DateOpened]],Proc[[#This Row],[DateClosed]]))-1)</f>
        <v>78</v>
      </c>
      <c r="R4067" s="136" t="s">
        <v>6087</v>
      </c>
      <c r="S4067" s="140"/>
    </row>
    <row r="4068" spans="1:19" hidden="1">
      <c r="A4068" s="142" t="s">
        <v>6201</v>
      </c>
      <c r="B4068" s="149" t="str">
        <f>IFERROR(VLOOKUP(Proc[[#This Row],[App]],Table2[],3,0),"open")</f>
        <v>ok</v>
      </c>
      <c r="C4068" s="142" t="s">
        <v>369</v>
      </c>
      <c r="D4068" t="s">
        <v>6032</v>
      </c>
      <c r="E4068" t="s">
        <v>6186</v>
      </c>
      <c r="F4068" s="140" t="s">
        <v>6186</v>
      </c>
      <c r="G4068" s="142" t="s">
        <v>406</v>
      </c>
      <c r="H4068" s="140" t="str">
        <f>IF(Proc[[#This Row],[type]]="LFF (MDG-F)",MID(Proc[[#This Row],[Obj]],13,10),"")</f>
        <v>JP01TDOZ04</v>
      </c>
      <c r="J4068" s="140" t="b">
        <f>Proc[[#This Row],[Requested]]=Proc[[#This Row],[CurrentParent]]</f>
        <v>1</v>
      </c>
      <c r="K4068" s="144" t="str">
        <f>IF(Proc[[#This Row],[Author]]="Marcela Urrego",VLOOKUP(LEFT(Proc[[#This Row],[Requested]],1),Table3[#All],2,0),VLOOKUP(Proc[[#This Row],[Author]],Table4[],2,0))</f>
        <v>EL</v>
      </c>
      <c r="L4068" s="140" t="s">
        <v>4894</v>
      </c>
      <c r="M4068" s="136">
        <v>45902</v>
      </c>
      <c r="N4068" s="137"/>
      <c r="O4068" s="137"/>
      <c r="P4068" s="136" t="str">
        <f ca="1">IF(Proc[[#This Row],[DaysAgeing]]&gt;5,"yep","on track")</f>
        <v>yep</v>
      </c>
      <c r="Q4068" s="3">
        <f ca="1">IF(Proc[[#This Row],[DateClosed]]="",ABS(NETWORKDAYS(Proc[[#This Row],[DateOpened]],TODAY()))-1,ABS(NETWORKDAYS(Proc[[#This Row],[DateOpened]],Proc[[#This Row],[DateClosed]]))-1)</f>
        <v>78</v>
      </c>
      <c r="R4068" s="136" t="s">
        <v>6087</v>
      </c>
      <c r="S4068" s="140"/>
    </row>
    <row r="4069" spans="1:19" hidden="1">
      <c r="A4069" s="142" t="s">
        <v>6201</v>
      </c>
      <c r="B4069" s="149" t="str">
        <f>IFERROR(VLOOKUP(Proc[[#This Row],[App]],Table2[],3,0),"open")</f>
        <v>ok</v>
      </c>
      <c r="C4069" s="142" t="s">
        <v>369</v>
      </c>
      <c r="D4069" t="s">
        <v>6033</v>
      </c>
      <c r="E4069" t="s">
        <v>6186</v>
      </c>
      <c r="F4069" s="140" t="s">
        <v>6186</v>
      </c>
      <c r="G4069" s="142" t="s">
        <v>406</v>
      </c>
      <c r="H4069" s="140" t="str">
        <f>IF(Proc[[#This Row],[type]]="LFF (MDG-F)",MID(Proc[[#This Row],[Obj]],13,10),"")</f>
        <v>JP01TDOZ05</v>
      </c>
      <c r="J4069" s="140" t="b">
        <f>Proc[[#This Row],[Requested]]=Proc[[#This Row],[CurrentParent]]</f>
        <v>1</v>
      </c>
      <c r="K4069" s="144" t="str">
        <f>IF(Proc[[#This Row],[Author]]="Marcela Urrego",VLOOKUP(LEFT(Proc[[#This Row],[Requested]],1),Table3[#All],2,0),VLOOKUP(Proc[[#This Row],[Author]],Table4[],2,0))</f>
        <v>EL</v>
      </c>
      <c r="L4069" s="140" t="s">
        <v>4894</v>
      </c>
      <c r="M4069" s="136">
        <v>45902</v>
      </c>
      <c r="N4069" s="137"/>
      <c r="O4069" s="137"/>
      <c r="P4069" s="136" t="str">
        <f ca="1">IF(Proc[[#This Row],[DaysAgeing]]&gt;5,"yep","on track")</f>
        <v>yep</v>
      </c>
      <c r="Q4069" s="3">
        <f ca="1">IF(Proc[[#This Row],[DateClosed]]="",ABS(NETWORKDAYS(Proc[[#This Row],[DateOpened]],TODAY()))-1,ABS(NETWORKDAYS(Proc[[#This Row],[DateOpened]],Proc[[#This Row],[DateClosed]]))-1)</f>
        <v>78</v>
      </c>
      <c r="R4069" s="136" t="s">
        <v>6087</v>
      </c>
      <c r="S4069" s="140"/>
    </row>
    <row r="4070" spans="1:19" hidden="1">
      <c r="A4070" s="142" t="s">
        <v>6201</v>
      </c>
      <c r="B4070" s="149" t="str">
        <f>IFERROR(VLOOKUP(Proc[[#This Row],[App]],Table2[],3,0),"open")</f>
        <v>ok</v>
      </c>
      <c r="C4070" s="142" t="s">
        <v>369</v>
      </c>
      <c r="D4070" t="s">
        <v>6034</v>
      </c>
      <c r="E4070" t="s">
        <v>6186</v>
      </c>
      <c r="F4070" s="140" t="s">
        <v>6186</v>
      </c>
      <c r="G4070" s="142" t="s">
        <v>406</v>
      </c>
      <c r="H4070" s="140" t="str">
        <f>IF(Proc[[#This Row],[type]]="LFF (MDG-F)",MID(Proc[[#This Row],[Obj]],13,10),"")</f>
        <v>JP01TDOZ06</v>
      </c>
      <c r="J4070" s="140" t="b">
        <f>Proc[[#This Row],[Requested]]=Proc[[#This Row],[CurrentParent]]</f>
        <v>1</v>
      </c>
      <c r="K4070" s="144" t="str">
        <f>IF(Proc[[#This Row],[Author]]="Marcela Urrego",VLOOKUP(LEFT(Proc[[#This Row],[Requested]],1),Table3[#All],2,0),VLOOKUP(Proc[[#This Row],[Author]],Table4[],2,0))</f>
        <v>EL</v>
      </c>
      <c r="L4070" s="140" t="s">
        <v>4894</v>
      </c>
      <c r="M4070" s="136">
        <v>45902</v>
      </c>
      <c r="N4070" s="137"/>
      <c r="O4070" s="137"/>
      <c r="P4070" s="136" t="str">
        <f ca="1">IF(Proc[[#This Row],[DaysAgeing]]&gt;5,"yep","on track")</f>
        <v>yep</v>
      </c>
      <c r="Q4070" s="3">
        <f ca="1">IF(Proc[[#This Row],[DateClosed]]="",ABS(NETWORKDAYS(Proc[[#This Row],[DateOpened]],TODAY()))-1,ABS(NETWORKDAYS(Proc[[#This Row],[DateOpened]],Proc[[#This Row],[DateClosed]]))-1)</f>
        <v>78</v>
      </c>
      <c r="R4070" s="136" t="s">
        <v>6087</v>
      </c>
      <c r="S4070" s="140"/>
    </row>
    <row r="4071" spans="1:19" hidden="1">
      <c r="A4071" s="142" t="s">
        <v>6201</v>
      </c>
      <c r="B4071" s="149" t="str">
        <f>IFERROR(VLOOKUP(Proc[[#This Row],[App]],Table2[],3,0),"open")</f>
        <v>ok</v>
      </c>
      <c r="C4071" s="142" t="s">
        <v>369</v>
      </c>
      <c r="D4071" t="s">
        <v>6035</v>
      </c>
      <c r="E4071" t="s">
        <v>6187</v>
      </c>
      <c r="F4071" s="140" t="s">
        <v>6187</v>
      </c>
      <c r="G4071" s="142" t="s">
        <v>406</v>
      </c>
      <c r="H4071" s="140" t="str">
        <f>IF(Proc[[#This Row],[type]]="LFF (MDG-F)",MID(Proc[[#This Row],[Obj]],13,10),"")</f>
        <v>JP01TEOZ01</v>
      </c>
      <c r="J4071" s="140" t="b">
        <f>Proc[[#This Row],[Requested]]=Proc[[#This Row],[CurrentParent]]</f>
        <v>1</v>
      </c>
      <c r="K4071" s="144" t="str">
        <f>IF(Proc[[#This Row],[Author]]="Marcela Urrego",VLOOKUP(LEFT(Proc[[#This Row],[Requested]],1),Table3[#All],2,0),VLOOKUP(Proc[[#This Row],[Author]],Table4[],2,0))</f>
        <v>EL</v>
      </c>
      <c r="L4071" s="140" t="s">
        <v>4894</v>
      </c>
      <c r="M4071" s="136">
        <v>45902</v>
      </c>
      <c r="N4071" s="137"/>
      <c r="O4071" s="137"/>
      <c r="P4071" s="136" t="str">
        <f ca="1">IF(Proc[[#This Row],[DaysAgeing]]&gt;5,"yep","on track")</f>
        <v>yep</v>
      </c>
      <c r="Q4071" s="3">
        <f ca="1">IF(Proc[[#This Row],[DateClosed]]="",ABS(NETWORKDAYS(Proc[[#This Row],[DateOpened]],TODAY()))-1,ABS(NETWORKDAYS(Proc[[#This Row],[DateOpened]],Proc[[#This Row],[DateClosed]]))-1)</f>
        <v>78</v>
      </c>
      <c r="R4071" s="136" t="s">
        <v>6087</v>
      </c>
      <c r="S4071" s="140"/>
    </row>
    <row r="4072" spans="1:19" hidden="1">
      <c r="A4072" s="142" t="s">
        <v>6201</v>
      </c>
      <c r="B4072" s="149" t="str">
        <f>IFERROR(VLOOKUP(Proc[[#This Row],[App]],Table2[],3,0),"open")</f>
        <v>ok</v>
      </c>
      <c r="C4072" s="142" t="s">
        <v>369</v>
      </c>
      <c r="D4072" t="s">
        <v>6004</v>
      </c>
      <c r="E4072" t="s">
        <v>6184</v>
      </c>
      <c r="F4072" s="140" t="s">
        <v>6184</v>
      </c>
      <c r="G4072" s="142" t="s">
        <v>406</v>
      </c>
      <c r="H4072" s="140" t="str">
        <f>IF(Proc[[#This Row],[type]]="LFF (MDG-F)",MID(Proc[[#This Row],[Obj]],13,10),"")</f>
        <v>JP01TAOB00</v>
      </c>
      <c r="J4072" s="140" t="b">
        <f>Proc[[#This Row],[Requested]]=Proc[[#This Row],[CurrentParent]]</f>
        <v>1</v>
      </c>
      <c r="K4072" s="144" t="str">
        <f>IF(Proc[[#This Row],[Author]]="Marcela Urrego",VLOOKUP(LEFT(Proc[[#This Row],[Requested]],1),Table3[#All],2,0),VLOOKUP(Proc[[#This Row],[Author]],Table4[],2,0))</f>
        <v>EL</v>
      </c>
      <c r="L4072" s="140" t="s">
        <v>4894</v>
      </c>
      <c r="M4072" s="136">
        <v>45902</v>
      </c>
      <c r="N4072" s="137"/>
      <c r="O4072" s="137"/>
      <c r="P4072" s="136" t="str">
        <f ca="1">IF(Proc[[#This Row],[DaysAgeing]]&gt;5,"yep","on track")</f>
        <v>yep</v>
      </c>
      <c r="Q4072" s="3">
        <f ca="1">IF(Proc[[#This Row],[DateClosed]]="",ABS(NETWORKDAYS(Proc[[#This Row],[DateOpened]],TODAY()))-1,ABS(NETWORKDAYS(Proc[[#This Row],[DateOpened]],Proc[[#This Row],[DateClosed]]))-1)</f>
        <v>78</v>
      </c>
      <c r="R4072" s="136" t="s">
        <v>6087</v>
      </c>
      <c r="S4072" s="140"/>
    </row>
    <row r="4073" spans="1:19" hidden="1">
      <c r="A4073" s="142" t="s">
        <v>6201</v>
      </c>
      <c r="B4073" s="149" t="str">
        <f>IFERROR(VLOOKUP(Proc[[#This Row],[App]],Table2[],3,0),"open")</f>
        <v>ok</v>
      </c>
      <c r="C4073" s="142" t="s">
        <v>369</v>
      </c>
      <c r="D4073" t="s">
        <v>6005</v>
      </c>
      <c r="E4073" t="s">
        <v>6184</v>
      </c>
      <c r="F4073" s="140" t="s">
        <v>6184</v>
      </c>
      <c r="G4073" s="142" t="s">
        <v>406</v>
      </c>
      <c r="H4073" s="140" t="str">
        <f>IF(Proc[[#This Row],[type]]="LFF (MDG-F)",MID(Proc[[#This Row],[Obj]],13,10),"")</f>
        <v>JP01TAOB01</v>
      </c>
      <c r="J4073" s="140" t="b">
        <f>Proc[[#This Row],[Requested]]=Proc[[#This Row],[CurrentParent]]</f>
        <v>1</v>
      </c>
      <c r="K4073" s="144" t="str">
        <f>IF(Proc[[#This Row],[Author]]="Marcela Urrego",VLOOKUP(LEFT(Proc[[#This Row],[Requested]],1),Table3[#All],2,0),VLOOKUP(Proc[[#This Row],[Author]],Table4[],2,0))</f>
        <v>EL</v>
      </c>
      <c r="L4073" s="140" t="s">
        <v>4894</v>
      </c>
      <c r="M4073" s="136">
        <v>45902</v>
      </c>
      <c r="N4073" s="137"/>
      <c r="O4073" s="137"/>
      <c r="P4073" s="136" t="str">
        <f ca="1">IF(Proc[[#This Row],[DaysAgeing]]&gt;5,"yep","on track")</f>
        <v>yep</v>
      </c>
      <c r="Q4073" s="3">
        <f ca="1">IF(Proc[[#This Row],[DateClosed]]="",ABS(NETWORKDAYS(Proc[[#This Row],[DateOpened]],TODAY()))-1,ABS(NETWORKDAYS(Proc[[#This Row],[DateOpened]],Proc[[#This Row],[DateClosed]]))-1)</f>
        <v>78</v>
      </c>
      <c r="R4073" s="136" t="s">
        <v>6087</v>
      </c>
      <c r="S4073" s="140"/>
    </row>
    <row r="4074" spans="1:19" hidden="1">
      <c r="A4074" s="142" t="s">
        <v>6201</v>
      </c>
      <c r="B4074" s="149" t="str">
        <f>IFERROR(VLOOKUP(Proc[[#This Row],[App]],Table2[],3,0),"open")</f>
        <v>ok</v>
      </c>
      <c r="C4074" s="142" t="s">
        <v>369</v>
      </c>
      <c r="D4074" t="s">
        <v>6006</v>
      </c>
      <c r="E4074" t="s">
        <v>6184</v>
      </c>
      <c r="F4074" s="140" t="s">
        <v>6184</v>
      </c>
      <c r="G4074" s="142" t="s">
        <v>406</v>
      </c>
      <c r="H4074" s="140" t="str">
        <f>IF(Proc[[#This Row],[type]]="LFF (MDG-F)",MID(Proc[[#This Row],[Obj]],13,10),"")</f>
        <v>JP01TAOB02</v>
      </c>
      <c r="J4074" s="140" t="b">
        <f>Proc[[#This Row],[Requested]]=Proc[[#This Row],[CurrentParent]]</f>
        <v>1</v>
      </c>
      <c r="K4074" s="144" t="str">
        <f>IF(Proc[[#This Row],[Author]]="Marcela Urrego",VLOOKUP(LEFT(Proc[[#This Row],[Requested]],1),Table3[#All],2,0),VLOOKUP(Proc[[#This Row],[Author]],Table4[],2,0))</f>
        <v>EL</v>
      </c>
      <c r="L4074" s="140" t="s">
        <v>4894</v>
      </c>
      <c r="M4074" s="136">
        <v>45902</v>
      </c>
      <c r="N4074" s="137"/>
      <c r="O4074" s="137"/>
      <c r="P4074" s="136" t="str">
        <f ca="1">IF(Proc[[#This Row],[DaysAgeing]]&gt;5,"yep","on track")</f>
        <v>yep</v>
      </c>
      <c r="Q4074" s="3">
        <f ca="1">IF(Proc[[#This Row],[DateClosed]]="",ABS(NETWORKDAYS(Proc[[#This Row],[DateOpened]],TODAY()))-1,ABS(NETWORKDAYS(Proc[[#This Row],[DateOpened]],Proc[[#This Row],[DateClosed]]))-1)</f>
        <v>78</v>
      </c>
      <c r="R4074" s="136" t="s">
        <v>6087</v>
      </c>
      <c r="S4074" s="140"/>
    </row>
    <row r="4075" spans="1:19" hidden="1">
      <c r="A4075" s="142" t="s">
        <v>6201</v>
      </c>
      <c r="B4075" s="149" t="str">
        <f>IFERROR(VLOOKUP(Proc[[#This Row],[App]],Table2[],3,0),"open")</f>
        <v>ok</v>
      </c>
      <c r="C4075" s="142" t="s">
        <v>369</v>
      </c>
      <c r="D4075" t="s">
        <v>6007</v>
      </c>
      <c r="E4075" t="s">
        <v>6184</v>
      </c>
      <c r="F4075" s="140" t="s">
        <v>6184</v>
      </c>
      <c r="G4075" s="142" t="s">
        <v>406</v>
      </c>
      <c r="H4075" s="140" t="str">
        <f>IF(Proc[[#This Row],[type]]="LFF (MDG-F)",MID(Proc[[#This Row],[Obj]],13,10),"")</f>
        <v>JP01TAOB99</v>
      </c>
      <c r="J4075" s="140" t="b">
        <f>Proc[[#This Row],[Requested]]=Proc[[#This Row],[CurrentParent]]</f>
        <v>1</v>
      </c>
      <c r="K4075" s="144" t="str">
        <f>IF(Proc[[#This Row],[Author]]="Marcela Urrego",VLOOKUP(LEFT(Proc[[#This Row],[Requested]],1),Table3[#All],2,0),VLOOKUP(Proc[[#This Row],[Author]],Table4[],2,0))</f>
        <v>EL</v>
      </c>
      <c r="L4075" s="140" t="s">
        <v>4894</v>
      </c>
      <c r="M4075" s="136">
        <v>45902</v>
      </c>
      <c r="N4075" s="137"/>
      <c r="O4075" s="137"/>
      <c r="P4075" s="136" t="str">
        <f ca="1">IF(Proc[[#This Row],[DaysAgeing]]&gt;5,"yep","on track")</f>
        <v>yep</v>
      </c>
      <c r="Q4075" s="3">
        <f ca="1">IF(Proc[[#This Row],[DateClosed]]="",ABS(NETWORKDAYS(Proc[[#This Row],[DateOpened]],TODAY()))-1,ABS(NETWORKDAYS(Proc[[#This Row],[DateOpened]],Proc[[#This Row],[DateClosed]]))-1)</f>
        <v>78</v>
      </c>
      <c r="R4075" s="136" t="s">
        <v>6087</v>
      </c>
      <c r="S4075" s="140"/>
    </row>
    <row r="4076" spans="1:19" hidden="1">
      <c r="A4076" s="142" t="s">
        <v>6201</v>
      </c>
      <c r="B4076" s="149" t="str">
        <f>IFERROR(VLOOKUP(Proc[[#This Row],[App]],Table2[],3,0),"open")</f>
        <v>ok</v>
      </c>
      <c r="C4076" s="142" t="s">
        <v>369</v>
      </c>
      <c r="D4076" t="s">
        <v>6010</v>
      </c>
      <c r="E4076" t="s">
        <v>6184</v>
      </c>
      <c r="F4076" s="140" t="s">
        <v>6184</v>
      </c>
      <c r="G4076" s="142" t="s">
        <v>406</v>
      </c>
      <c r="H4076" s="140" t="str">
        <f>IF(Proc[[#This Row],[type]]="LFF (MDG-F)",MID(Proc[[#This Row],[Obj]],13,10),"")</f>
        <v>JP01TAOC02</v>
      </c>
      <c r="J4076" s="140" t="b">
        <f>Proc[[#This Row],[Requested]]=Proc[[#This Row],[CurrentParent]]</f>
        <v>1</v>
      </c>
      <c r="K4076" s="144" t="str">
        <f>IF(Proc[[#This Row],[Author]]="Marcela Urrego",VLOOKUP(LEFT(Proc[[#This Row],[Requested]],1),Table3[#All],2,0),VLOOKUP(Proc[[#This Row],[Author]],Table4[],2,0))</f>
        <v>EL</v>
      </c>
      <c r="L4076" s="140" t="s">
        <v>4894</v>
      </c>
      <c r="M4076" s="136">
        <v>45902</v>
      </c>
      <c r="N4076" s="137"/>
      <c r="O4076" s="137"/>
      <c r="P4076" s="136" t="str">
        <f ca="1">IF(Proc[[#This Row],[DaysAgeing]]&gt;5,"yep","on track")</f>
        <v>yep</v>
      </c>
      <c r="Q4076" s="3">
        <f ca="1">IF(Proc[[#This Row],[DateClosed]]="",ABS(NETWORKDAYS(Proc[[#This Row],[DateOpened]],TODAY()))-1,ABS(NETWORKDAYS(Proc[[#This Row],[DateOpened]],Proc[[#This Row],[DateClosed]]))-1)</f>
        <v>78</v>
      </c>
      <c r="R4076" s="136" t="s">
        <v>6087</v>
      </c>
      <c r="S4076" s="140"/>
    </row>
    <row r="4077" spans="1:19" hidden="1">
      <c r="A4077" s="142" t="s">
        <v>6201</v>
      </c>
      <c r="B4077" s="149" t="str">
        <f>IFERROR(VLOOKUP(Proc[[#This Row],[App]],Table2[],3,0),"open")</f>
        <v>ok</v>
      </c>
      <c r="C4077" s="142" t="s">
        <v>369</v>
      </c>
      <c r="D4077" t="s">
        <v>6017</v>
      </c>
      <c r="E4077" t="s">
        <v>6184</v>
      </c>
      <c r="F4077" s="140" t="s">
        <v>6184</v>
      </c>
      <c r="G4077" s="142" t="s">
        <v>406</v>
      </c>
      <c r="H4077" s="140" t="str">
        <f>IF(Proc[[#This Row],[type]]="LFF (MDG-F)",MID(Proc[[#This Row],[Obj]],13,10),"")</f>
        <v>JP01TAOE00</v>
      </c>
      <c r="J4077" s="140" t="b">
        <f>Proc[[#This Row],[Requested]]=Proc[[#This Row],[CurrentParent]]</f>
        <v>1</v>
      </c>
      <c r="K4077" s="144" t="str">
        <f>IF(Proc[[#This Row],[Author]]="Marcela Urrego",VLOOKUP(LEFT(Proc[[#This Row],[Requested]],1),Table3[#All],2,0),VLOOKUP(Proc[[#This Row],[Author]],Table4[],2,0))</f>
        <v>EL</v>
      </c>
      <c r="L4077" s="140" t="s">
        <v>4894</v>
      </c>
      <c r="M4077" s="136">
        <v>45902</v>
      </c>
      <c r="N4077" s="137"/>
      <c r="O4077" s="137"/>
      <c r="P4077" s="136" t="str">
        <f ca="1">IF(Proc[[#This Row],[DaysAgeing]]&gt;5,"yep","on track")</f>
        <v>yep</v>
      </c>
      <c r="Q4077" s="3">
        <f ca="1">IF(Proc[[#This Row],[DateClosed]]="",ABS(NETWORKDAYS(Proc[[#This Row],[DateOpened]],TODAY()))-1,ABS(NETWORKDAYS(Proc[[#This Row],[DateOpened]],Proc[[#This Row],[DateClosed]]))-1)</f>
        <v>78</v>
      </c>
      <c r="R4077" s="136" t="s">
        <v>6087</v>
      </c>
      <c r="S4077" s="140"/>
    </row>
    <row r="4078" spans="1:19" hidden="1">
      <c r="A4078" s="142" t="s">
        <v>6201</v>
      </c>
      <c r="B4078" s="149" t="str">
        <f>IFERROR(VLOOKUP(Proc[[#This Row],[App]],Table2[],3,0),"open")</f>
        <v>ok</v>
      </c>
      <c r="C4078" s="142" t="s">
        <v>369</v>
      </c>
      <c r="D4078" t="s">
        <v>6018</v>
      </c>
      <c r="E4078" t="s">
        <v>6184</v>
      </c>
      <c r="F4078" s="140" t="s">
        <v>6184</v>
      </c>
      <c r="G4078" s="142" t="s">
        <v>406</v>
      </c>
      <c r="H4078" s="140" t="str">
        <f>IF(Proc[[#This Row],[type]]="LFF (MDG-F)",MID(Proc[[#This Row],[Obj]],13,10),"")</f>
        <v>JP01TAOE01</v>
      </c>
      <c r="J4078" s="140" t="b">
        <f>Proc[[#This Row],[Requested]]=Proc[[#This Row],[CurrentParent]]</f>
        <v>1</v>
      </c>
      <c r="K4078" s="144" t="str">
        <f>IF(Proc[[#This Row],[Author]]="Marcela Urrego",VLOOKUP(LEFT(Proc[[#This Row],[Requested]],1),Table3[#All],2,0),VLOOKUP(Proc[[#This Row],[Author]],Table4[],2,0))</f>
        <v>EL</v>
      </c>
      <c r="L4078" s="140" t="s">
        <v>4894</v>
      </c>
      <c r="M4078" s="136">
        <v>45902</v>
      </c>
      <c r="N4078" s="137"/>
      <c r="O4078" s="137"/>
      <c r="P4078" s="136" t="str">
        <f ca="1">IF(Proc[[#This Row],[DaysAgeing]]&gt;5,"yep","on track")</f>
        <v>yep</v>
      </c>
      <c r="Q4078" s="3">
        <f ca="1">IF(Proc[[#This Row],[DateClosed]]="",ABS(NETWORKDAYS(Proc[[#This Row],[DateOpened]],TODAY()))-1,ABS(NETWORKDAYS(Proc[[#This Row],[DateOpened]],Proc[[#This Row],[DateClosed]]))-1)</f>
        <v>78</v>
      </c>
      <c r="R4078" s="136" t="s">
        <v>6087</v>
      </c>
      <c r="S4078" s="140"/>
    </row>
    <row r="4079" spans="1:19" hidden="1">
      <c r="A4079" s="142" t="s">
        <v>6201</v>
      </c>
      <c r="B4079" s="149" t="str">
        <f>IFERROR(VLOOKUP(Proc[[#This Row],[App]],Table2[],3,0),"open")</f>
        <v>ok</v>
      </c>
      <c r="C4079" s="142" t="s">
        <v>369</v>
      </c>
      <c r="D4079" t="s">
        <v>6019</v>
      </c>
      <c r="E4079" t="s">
        <v>6184</v>
      </c>
      <c r="F4079" s="140" t="s">
        <v>6184</v>
      </c>
      <c r="G4079" s="142" t="s">
        <v>406</v>
      </c>
      <c r="H4079" s="140" t="str">
        <f>IF(Proc[[#This Row],[type]]="LFF (MDG-F)",MID(Proc[[#This Row],[Obj]],13,10),"")</f>
        <v>JP01TAOE99</v>
      </c>
      <c r="J4079" s="140" t="b">
        <f>Proc[[#This Row],[Requested]]=Proc[[#This Row],[CurrentParent]]</f>
        <v>1</v>
      </c>
      <c r="K4079" s="144" t="str">
        <f>IF(Proc[[#This Row],[Author]]="Marcela Urrego",VLOOKUP(LEFT(Proc[[#This Row],[Requested]],1),Table3[#All],2,0),VLOOKUP(Proc[[#This Row],[Author]],Table4[],2,0))</f>
        <v>EL</v>
      </c>
      <c r="L4079" s="140" t="s">
        <v>4894</v>
      </c>
      <c r="M4079" s="136">
        <v>45902</v>
      </c>
      <c r="N4079" s="137"/>
      <c r="O4079" s="137"/>
      <c r="P4079" s="136" t="str">
        <f ca="1">IF(Proc[[#This Row],[DaysAgeing]]&gt;5,"yep","on track")</f>
        <v>yep</v>
      </c>
      <c r="Q4079" s="3">
        <f ca="1">IF(Proc[[#This Row],[DateClosed]]="",ABS(NETWORKDAYS(Proc[[#This Row],[DateOpened]],TODAY()))-1,ABS(NETWORKDAYS(Proc[[#This Row],[DateOpened]],Proc[[#This Row],[DateClosed]]))-1)</f>
        <v>78</v>
      </c>
      <c r="R4079" s="136" t="s">
        <v>6087</v>
      </c>
      <c r="S4079" s="140"/>
    </row>
    <row r="4080" spans="1:19" hidden="1">
      <c r="A4080" s="142" t="s">
        <v>6201</v>
      </c>
      <c r="B4080" s="149" t="str">
        <f>IFERROR(VLOOKUP(Proc[[#This Row],[App]],Table2[],3,0),"open")</f>
        <v>ok</v>
      </c>
      <c r="C4080" s="142" t="s">
        <v>369</v>
      </c>
      <c r="D4080" t="s">
        <v>6001</v>
      </c>
      <c r="E4080" t="s">
        <v>6184</v>
      </c>
      <c r="F4080" s="140" t="s">
        <v>6184</v>
      </c>
      <c r="G4080" s="142" t="s">
        <v>406</v>
      </c>
      <c r="H4080" s="140" t="str">
        <f>IF(Proc[[#This Row],[type]]="LFF (MDG-F)",MID(Proc[[#This Row],[Obj]],13,10),"")</f>
        <v>JP01TAOA00</v>
      </c>
      <c r="J4080" s="140" t="b">
        <f>Proc[[#This Row],[Requested]]=Proc[[#This Row],[CurrentParent]]</f>
        <v>1</v>
      </c>
      <c r="K4080" s="144" t="str">
        <f>IF(Proc[[#This Row],[Author]]="Marcela Urrego",VLOOKUP(LEFT(Proc[[#This Row],[Requested]],1),Table3[#All],2,0),VLOOKUP(Proc[[#This Row],[Author]],Table4[],2,0))</f>
        <v>EL</v>
      </c>
      <c r="L4080" s="140" t="s">
        <v>4894</v>
      </c>
      <c r="M4080" s="136">
        <v>45902</v>
      </c>
      <c r="N4080" s="137"/>
      <c r="O4080" s="137"/>
      <c r="P4080" s="136" t="str">
        <f ca="1">IF(Proc[[#This Row],[DaysAgeing]]&gt;5,"yep","on track")</f>
        <v>yep</v>
      </c>
      <c r="Q4080" s="3">
        <f ca="1">IF(Proc[[#This Row],[DateClosed]]="",ABS(NETWORKDAYS(Proc[[#This Row],[DateOpened]],TODAY()))-1,ABS(NETWORKDAYS(Proc[[#This Row],[DateOpened]],Proc[[#This Row],[DateClosed]]))-1)</f>
        <v>78</v>
      </c>
      <c r="R4080" s="136" t="s">
        <v>6087</v>
      </c>
      <c r="S4080" s="140"/>
    </row>
    <row r="4081" spans="1:19" hidden="1">
      <c r="A4081" s="142" t="s">
        <v>6201</v>
      </c>
      <c r="B4081" s="149" t="str">
        <f>IFERROR(VLOOKUP(Proc[[#This Row],[App]],Table2[],3,0),"open")</f>
        <v>ok</v>
      </c>
      <c r="C4081" s="142" t="s">
        <v>369</v>
      </c>
      <c r="D4081" t="s">
        <v>6002</v>
      </c>
      <c r="E4081" t="s">
        <v>6184</v>
      </c>
      <c r="F4081" s="140" t="s">
        <v>6184</v>
      </c>
      <c r="G4081" s="142" t="s">
        <v>406</v>
      </c>
      <c r="H4081" s="140" t="str">
        <f>IF(Proc[[#This Row],[type]]="LFF (MDG-F)",MID(Proc[[#This Row],[Obj]],13,10),"")</f>
        <v>JP01TAOA01</v>
      </c>
      <c r="J4081" s="140" t="b">
        <f>Proc[[#This Row],[Requested]]=Proc[[#This Row],[CurrentParent]]</f>
        <v>1</v>
      </c>
      <c r="K4081" s="144" t="str">
        <f>IF(Proc[[#This Row],[Author]]="Marcela Urrego",VLOOKUP(LEFT(Proc[[#This Row],[Requested]],1),Table3[#All],2,0),VLOOKUP(Proc[[#This Row],[Author]],Table4[],2,0))</f>
        <v>EL</v>
      </c>
      <c r="L4081" s="140" t="s">
        <v>4894</v>
      </c>
      <c r="M4081" s="136">
        <v>45902</v>
      </c>
      <c r="N4081" s="137"/>
      <c r="O4081" s="137"/>
      <c r="P4081" s="136" t="str">
        <f ca="1">IF(Proc[[#This Row],[DaysAgeing]]&gt;5,"yep","on track")</f>
        <v>yep</v>
      </c>
      <c r="Q4081" s="3">
        <f ca="1">IF(Proc[[#This Row],[DateClosed]]="",ABS(NETWORKDAYS(Proc[[#This Row],[DateOpened]],TODAY()))-1,ABS(NETWORKDAYS(Proc[[#This Row],[DateOpened]],Proc[[#This Row],[DateClosed]]))-1)</f>
        <v>78</v>
      </c>
      <c r="R4081" s="136" t="s">
        <v>6087</v>
      </c>
      <c r="S4081" s="140"/>
    </row>
    <row r="4082" spans="1:19" hidden="1">
      <c r="A4082" s="142" t="s">
        <v>6201</v>
      </c>
      <c r="B4082" s="149" t="str">
        <f>IFERROR(VLOOKUP(Proc[[#This Row],[App]],Table2[],3,0),"open")</f>
        <v>ok</v>
      </c>
      <c r="C4082" s="142" t="s">
        <v>369</v>
      </c>
      <c r="D4082" t="s">
        <v>6003</v>
      </c>
      <c r="E4082" t="s">
        <v>6184</v>
      </c>
      <c r="F4082" s="140" t="s">
        <v>6184</v>
      </c>
      <c r="G4082" s="142" t="s">
        <v>406</v>
      </c>
      <c r="H4082" s="140" t="str">
        <f>IF(Proc[[#This Row],[type]]="LFF (MDG-F)",MID(Proc[[#This Row],[Obj]],13,10),"")</f>
        <v>JP01TAOA99</v>
      </c>
      <c r="J4082" s="140" t="b">
        <f>Proc[[#This Row],[Requested]]=Proc[[#This Row],[CurrentParent]]</f>
        <v>1</v>
      </c>
      <c r="K4082" s="144" t="str">
        <f>IF(Proc[[#This Row],[Author]]="Marcela Urrego",VLOOKUP(LEFT(Proc[[#This Row],[Requested]],1),Table3[#All],2,0),VLOOKUP(Proc[[#This Row],[Author]],Table4[],2,0))</f>
        <v>EL</v>
      </c>
      <c r="L4082" s="140" t="s">
        <v>4894</v>
      </c>
      <c r="M4082" s="136">
        <v>45902</v>
      </c>
      <c r="N4082" s="137"/>
      <c r="O4082" s="137"/>
      <c r="P4082" s="136" t="str">
        <f ca="1">IF(Proc[[#This Row],[DaysAgeing]]&gt;5,"yep","on track")</f>
        <v>yep</v>
      </c>
      <c r="Q4082" s="3">
        <f ca="1">IF(Proc[[#This Row],[DateClosed]]="",ABS(NETWORKDAYS(Proc[[#This Row],[DateOpened]],TODAY()))-1,ABS(NETWORKDAYS(Proc[[#This Row],[DateOpened]],Proc[[#This Row],[DateClosed]]))-1)</f>
        <v>78</v>
      </c>
      <c r="R4082" s="136" t="s">
        <v>6087</v>
      </c>
      <c r="S4082" s="140"/>
    </row>
    <row r="4083" spans="1:19" hidden="1">
      <c r="A4083" s="142" t="s">
        <v>6201</v>
      </c>
      <c r="B4083" s="149" t="str">
        <f>IFERROR(VLOOKUP(Proc[[#This Row],[App]],Table2[],3,0),"open")</f>
        <v>ok</v>
      </c>
      <c r="C4083" s="142" t="s">
        <v>369</v>
      </c>
      <c r="D4083" t="s">
        <v>6015</v>
      </c>
      <c r="E4083" t="s">
        <v>6184</v>
      </c>
      <c r="F4083" s="140" t="s">
        <v>6184</v>
      </c>
      <c r="G4083" s="142" t="s">
        <v>406</v>
      </c>
      <c r="H4083" s="140" t="str">
        <f>IF(Proc[[#This Row],[type]]="LFF (MDG-F)",MID(Proc[[#This Row],[Obj]],13,10),"")</f>
        <v>JP01TAOD02</v>
      </c>
      <c r="J4083" s="140" t="b">
        <f>Proc[[#This Row],[Requested]]=Proc[[#This Row],[CurrentParent]]</f>
        <v>1</v>
      </c>
      <c r="K4083" s="144" t="str">
        <f>IF(Proc[[#This Row],[Author]]="Marcela Urrego",VLOOKUP(LEFT(Proc[[#This Row],[Requested]],1),Table3[#All],2,0),VLOOKUP(Proc[[#This Row],[Author]],Table4[],2,0))</f>
        <v>EL</v>
      </c>
      <c r="L4083" s="140" t="s">
        <v>4894</v>
      </c>
      <c r="M4083" s="136">
        <v>45902</v>
      </c>
      <c r="N4083" s="137"/>
      <c r="O4083" s="137"/>
      <c r="P4083" s="136" t="str">
        <f ca="1">IF(Proc[[#This Row],[DaysAgeing]]&gt;5,"yep","on track")</f>
        <v>yep</v>
      </c>
      <c r="Q4083" s="3">
        <f ca="1">IF(Proc[[#This Row],[DateClosed]]="",ABS(NETWORKDAYS(Proc[[#This Row],[DateOpened]],TODAY()))-1,ABS(NETWORKDAYS(Proc[[#This Row],[DateOpened]],Proc[[#This Row],[DateClosed]]))-1)</f>
        <v>78</v>
      </c>
      <c r="R4083" s="136" t="s">
        <v>6087</v>
      </c>
      <c r="S4083" s="140"/>
    </row>
    <row r="4084" spans="1:19" hidden="1">
      <c r="A4084" s="142" t="s">
        <v>6201</v>
      </c>
      <c r="B4084" s="149" t="str">
        <f>IFERROR(VLOOKUP(Proc[[#This Row],[App]],Table2[],3,0),"open")</f>
        <v>ok</v>
      </c>
      <c r="C4084" s="142" t="s">
        <v>369</v>
      </c>
      <c r="D4084" t="s">
        <v>6025</v>
      </c>
      <c r="E4084" t="s">
        <v>6184</v>
      </c>
      <c r="F4084" s="140" t="s">
        <v>6184</v>
      </c>
      <c r="G4084" s="142" t="s">
        <v>406</v>
      </c>
      <c r="H4084" s="140" t="str">
        <f>IF(Proc[[#This Row],[type]]="LFF (MDG-F)",MID(Proc[[#This Row],[Obj]],13,10),"")</f>
        <v>JP01TAOZ06</v>
      </c>
      <c r="J4084" s="140" t="b">
        <f>Proc[[#This Row],[Requested]]=Proc[[#This Row],[CurrentParent]]</f>
        <v>1</v>
      </c>
      <c r="K4084" s="144" t="str">
        <f>IF(Proc[[#This Row],[Author]]="Marcela Urrego",VLOOKUP(LEFT(Proc[[#This Row],[Requested]],1),Table3[#All],2,0),VLOOKUP(Proc[[#This Row],[Author]],Table4[],2,0))</f>
        <v>EL</v>
      </c>
      <c r="L4084" s="140" t="s">
        <v>4894</v>
      </c>
      <c r="M4084" s="136">
        <v>45902</v>
      </c>
      <c r="N4084" s="137"/>
      <c r="O4084" s="137"/>
      <c r="P4084" s="136" t="str">
        <f ca="1">IF(Proc[[#This Row],[DaysAgeing]]&gt;5,"yep","on track")</f>
        <v>yep</v>
      </c>
      <c r="Q4084" s="3">
        <f ca="1">IF(Proc[[#This Row],[DateClosed]]="",ABS(NETWORKDAYS(Proc[[#This Row],[DateOpened]],TODAY()))-1,ABS(NETWORKDAYS(Proc[[#This Row],[DateOpened]],Proc[[#This Row],[DateClosed]]))-1)</f>
        <v>78</v>
      </c>
      <c r="R4084" s="136" t="s">
        <v>6087</v>
      </c>
      <c r="S4084" s="140"/>
    </row>
    <row r="4085" spans="1:19" hidden="1">
      <c r="A4085" s="142" t="s">
        <v>6201</v>
      </c>
      <c r="B4085" s="149" t="str">
        <f>IFERROR(VLOOKUP(Proc[[#This Row],[App]],Table2[],3,0),"open")</f>
        <v>ok</v>
      </c>
      <c r="C4085" s="142" t="s">
        <v>369</v>
      </c>
      <c r="D4085" t="s">
        <v>5981</v>
      </c>
      <c r="E4085" t="s">
        <v>2416</v>
      </c>
      <c r="F4085" s="140" t="s">
        <v>2416</v>
      </c>
      <c r="G4085" s="142" t="s">
        <v>406</v>
      </c>
      <c r="H4085" s="140" t="str">
        <f>IF(Proc[[#This Row],[type]]="LFF (MDG-F)",MID(Proc[[#This Row],[Obj]],13,10),"")</f>
        <v>JP01GSQ013</v>
      </c>
      <c r="J4085" s="140" t="b">
        <f>Proc[[#This Row],[Requested]]=Proc[[#This Row],[CurrentParent]]</f>
        <v>1</v>
      </c>
      <c r="K4085" s="144" t="str">
        <f>IF(Proc[[#This Row],[Author]]="Marcela Urrego",VLOOKUP(LEFT(Proc[[#This Row],[Requested]],1),Table3[#All],2,0),VLOOKUP(Proc[[#This Row],[Author]],Table4[],2,0))</f>
        <v>EL</v>
      </c>
      <c r="L4085" s="140" t="s">
        <v>4894</v>
      </c>
      <c r="M4085" s="136">
        <v>45902</v>
      </c>
      <c r="N4085" s="137"/>
      <c r="O4085" s="137"/>
      <c r="P4085" s="136" t="str">
        <f ca="1">IF(Proc[[#This Row],[DaysAgeing]]&gt;5,"yep","on track")</f>
        <v>yep</v>
      </c>
      <c r="Q4085" s="3">
        <f ca="1">IF(Proc[[#This Row],[DateClosed]]="",ABS(NETWORKDAYS(Proc[[#This Row],[DateOpened]],TODAY()))-1,ABS(NETWORKDAYS(Proc[[#This Row],[DateOpened]],Proc[[#This Row],[DateClosed]]))-1)</f>
        <v>78</v>
      </c>
      <c r="R4085" s="136" t="s">
        <v>6087</v>
      </c>
      <c r="S4085" s="140"/>
    </row>
    <row r="4086" spans="1:19" hidden="1">
      <c r="A4086" s="142" t="s">
        <v>6201</v>
      </c>
      <c r="B4086" s="149" t="str">
        <f>IFERROR(VLOOKUP(Proc[[#This Row],[App]],Table2[],3,0),"open")</f>
        <v>ok</v>
      </c>
      <c r="C4086" s="142" t="s">
        <v>369</v>
      </c>
      <c r="D4086" t="s">
        <v>6020</v>
      </c>
      <c r="E4086" t="s">
        <v>6184</v>
      </c>
      <c r="F4086" s="140" t="s">
        <v>6184</v>
      </c>
      <c r="G4086" s="142" t="s">
        <v>406</v>
      </c>
      <c r="H4086" s="140" t="str">
        <f>IF(Proc[[#This Row],[type]]="LFF (MDG-F)",MID(Proc[[#This Row],[Obj]],13,10),"")</f>
        <v>JP01TAOZ01</v>
      </c>
      <c r="J4086" s="140" t="b">
        <f>Proc[[#This Row],[Requested]]=Proc[[#This Row],[CurrentParent]]</f>
        <v>1</v>
      </c>
      <c r="K4086" s="144" t="str">
        <f>IF(Proc[[#This Row],[Author]]="Marcela Urrego",VLOOKUP(LEFT(Proc[[#This Row],[Requested]],1),Table3[#All],2,0),VLOOKUP(Proc[[#This Row],[Author]],Table4[],2,0))</f>
        <v>EL</v>
      </c>
      <c r="L4086" s="140" t="s">
        <v>4894</v>
      </c>
      <c r="M4086" s="136">
        <v>45902</v>
      </c>
      <c r="N4086" s="137"/>
      <c r="O4086" s="137"/>
      <c r="P4086" s="136" t="str">
        <f ca="1">IF(Proc[[#This Row],[DaysAgeing]]&gt;5,"yep","on track")</f>
        <v>yep</v>
      </c>
      <c r="Q4086" s="3">
        <f ca="1">IF(Proc[[#This Row],[DateClosed]]="",ABS(NETWORKDAYS(Proc[[#This Row],[DateOpened]],TODAY()))-1,ABS(NETWORKDAYS(Proc[[#This Row],[DateOpened]],Proc[[#This Row],[DateClosed]]))-1)</f>
        <v>78</v>
      </c>
      <c r="R4086" s="136" t="s">
        <v>6087</v>
      </c>
      <c r="S4086" s="140"/>
    </row>
    <row r="4087" spans="1:19" hidden="1">
      <c r="A4087" s="142" t="s">
        <v>6201</v>
      </c>
      <c r="B4087" s="149" t="str">
        <f>IFERROR(VLOOKUP(Proc[[#This Row],[App]],Table2[],3,0),"open")</f>
        <v>ok</v>
      </c>
      <c r="C4087" s="142" t="s">
        <v>369</v>
      </c>
      <c r="D4087" t="s">
        <v>6040</v>
      </c>
      <c r="E4087" t="s">
        <v>6188</v>
      </c>
      <c r="F4087" s="140" t="s">
        <v>6188</v>
      </c>
      <c r="G4087" s="142" t="s">
        <v>406</v>
      </c>
      <c r="H4087" s="140" t="str">
        <f>IF(Proc[[#This Row],[type]]="LFF (MDG-F)",MID(Proc[[#This Row],[Obj]],13,10),"")</f>
        <v>JP01TLOZ01</v>
      </c>
      <c r="J4087" s="140" t="b">
        <f>Proc[[#This Row],[Requested]]=Proc[[#This Row],[CurrentParent]]</f>
        <v>1</v>
      </c>
      <c r="K4087" s="144" t="str">
        <f>IF(Proc[[#This Row],[Author]]="Marcela Urrego",VLOOKUP(LEFT(Proc[[#This Row],[Requested]],1),Table3[#All],2,0),VLOOKUP(Proc[[#This Row],[Author]],Table4[],2,0))</f>
        <v>EL</v>
      </c>
      <c r="L4087" s="140" t="s">
        <v>4894</v>
      </c>
      <c r="M4087" s="136">
        <v>45902</v>
      </c>
      <c r="N4087" s="137"/>
      <c r="O4087" s="137"/>
      <c r="P4087" s="136" t="str">
        <f ca="1">IF(Proc[[#This Row],[DaysAgeing]]&gt;5,"yep","on track")</f>
        <v>yep</v>
      </c>
      <c r="Q4087" s="3">
        <f ca="1">IF(Proc[[#This Row],[DateClosed]]="",ABS(NETWORKDAYS(Proc[[#This Row],[DateOpened]],TODAY()))-1,ABS(NETWORKDAYS(Proc[[#This Row],[DateOpened]],Proc[[#This Row],[DateClosed]]))-1)</f>
        <v>78</v>
      </c>
      <c r="R4087" s="136" t="s">
        <v>6087</v>
      </c>
      <c r="S4087" s="140"/>
    </row>
    <row r="4088" spans="1:19" hidden="1">
      <c r="A4088" s="142" t="s">
        <v>6201</v>
      </c>
      <c r="B4088" s="149" t="str">
        <f>IFERROR(VLOOKUP(Proc[[#This Row],[App]],Table2[],3,0),"open")</f>
        <v>ok</v>
      </c>
      <c r="C4088" s="142" t="s">
        <v>369</v>
      </c>
      <c r="D4088" t="s">
        <v>6041</v>
      </c>
      <c r="E4088" t="s">
        <v>6189</v>
      </c>
      <c r="F4088" s="140" t="s">
        <v>6189</v>
      </c>
      <c r="G4088" s="142" t="s">
        <v>406</v>
      </c>
      <c r="H4088" s="140" t="str">
        <f>IF(Proc[[#This Row],[type]]="LFF (MDG-F)",MID(Proc[[#This Row],[Obj]],13,10),"")</f>
        <v>JP01TNMZ04</v>
      </c>
      <c r="J4088" s="140" t="b">
        <f>Proc[[#This Row],[Requested]]=Proc[[#This Row],[CurrentParent]]</f>
        <v>1</v>
      </c>
      <c r="K4088" s="144" t="str">
        <f>IF(Proc[[#This Row],[Author]]="Marcela Urrego",VLOOKUP(LEFT(Proc[[#This Row],[Requested]],1),Table3[#All],2,0),VLOOKUP(Proc[[#This Row],[Author]],Table4[],2,0))</f>
        <v>EL</v>
      </c>
      <c r="L4088" s="140" t="s">
        <v>4894</v>
      </c>
      <c r="M4088" s="136">
        <v>45902</v>
      </c>
      <c r="N4088" s="137"/>
      <c r="O4088" s="137"/>
      <c r="P4088" s="136" t="str">
        <f ca="1">IF(Proc[[#This Row],[DaysAgeing]]&gt;5,"yep","on track")</f>
        <v>yep</v>
      </c>
      <c r="Q4088" s="3">
        <f ca="1">IF(Proc[[#This Row],[DateClosed]]="",ABS(NETWORKDAYS(Proc[[#This Row],[DateOpened]],TODAY()))-1,ABS(NETWORKDAYS(Proc[[#This Row],[DateOpened]],Proc[[#This Row],[DateClosed]]))-1)</f>
        <v>78</v>
      </c>
      <c r="R4088" s="136" t="s">
        <v>6087</v>
      </c>
      <c r="S4088" s="140"/>
    </row>
    <row r="4089" spans="1:19" hidden="1">
      <c r="A4089" s="142" t="s">
        <v>6201</v>
      </c>
      <c r="B4089" s="149" t="str">
        <f>IFERROR(VLOOKUP(Proc[[#This Row],[App]],Table2[],3,0),"open")</f>
        <v>ok</v>
      </c>
      <c r="C4089" s="142" t="s">
        <v>369</v>
      </c>
      <c r="D4089" t="s">
        <v>6023</v>
      </c>
      <c r="E4089" t="s">
        <v>6184</v>
      </c>
      <c r="F4089" s="140" t="s">
        <v>6184</v>
      </c>
      <c r="G4089" s="142" t="s">
        <v>406</v>
      </c>
      <c r="H4089" s="140" t="str">
        <f>IF(Proc[[#This Row],[type]]="LFF (MDG-F)",MID(Proc[[#This Row],[Obj]],13,10),"")</f>
        <v>JP01TAOZ04</v>
      </c>
      <c r="J4089" s="140" t="b">
        <f>Proc[[#This Row],[Requested]]=Proc[[#This Row],[CurrentParent]]</f>
        <v>1</v>
      </c>
      <c r="K4089" s="144" t="str">
        <f>IF(Proc[[#This Row],[Author]]="Marcela Urrego",VLOOKUP(LEFT(Proc[[#This Row],[Requested]],1),Table3[#All],2,0),VLOOKUP(Proc[[#This Row],[Author]],Table4[],2,0))</f>
        <v>EL</v>
      </c>
      <c r="L4089" s="140" t="s">
        <v>4894</v>
      </c>
      <c r="M4089" s="136">
        <v>45902</v>
      </c>
      <c r="N4089" s="137"/>
      <c r="O4089" s="137"/>
      <c r="P4089" s="136" t="str">
        <f ca="1">IF(Proc[[#This Row],[DaysAgeing]]&gt;5,"yep","on track")</f>
        <v>yep</v>
      </c>
      <c r="Q4089" s="3">
        <f ca="1">IF(Proc[[#This Row],[DateClosed]]="",ABS(NETWORKDAYS(Proc[[#This Row],[DateOpened]],TODAY()))-1,ABS(NETWORKDAYS(Proc[[#This Row],[DateOpened]],Proc[[#This Row],[DateClosed]]))-1)</f>
        <v>78</v>
      </c>
      <c r="R4089" s="136" t="s">
        <v>6087</v>
      </c>
      <c r="S4089" s="140"/>
    </row>
    <row r="4090" spans="1:19" hidden="1">
      <c r="A4090" s="142" t="s">
        <v>6201</v>
      </c>
      <c r="B4090" s="149" t="str">
        <f>IFERROR(VLOOKUP(Proc[[#This Row],[App]],Table2[],3,0),"open")</f>
        <v>ok</v>
      </c>
      <c r="C4090" s="142" t="s">
        <v>369</v>
      </c>
      <c r="D4090" t="s">
        <v>6039</v>
      </c>
      <c r="E4090" t="s">
        <v>6190</v>
      </c>
      <c r="F4090" s="140" t="s">
        <v>6190</v>
      </c>
      <c r="G4090" s="142" t="s">
        <v>406</v>
      </c>
      <c r="H4090" s="140" t="str">
        <f>IF(Proc[[#This Row],[type]]="LFF (MDG-F)",MID(Proc[[#This Row],[Obj]],13,10),"")</f>
        <v>JP01TKOZ00</v>
      </c>
      <c r="J4090" s="140" t="b">
        <f>Proc[[#This Row],[Requested]]=Proc[[#This Row],[CurrentParent]]</f>
        <v>1</v>
      </c>
      <c r="K4090" s="144" t="str">
        <f>IF(Proc[[#This Row],[Author]]="Marcela Urrego",VLOOKUP(LEFT(Proc[[#This Row],[Requested]],1),Table3[#All],2,0),VLOOKUP(Proc[[#This Row],[Author]],Table4[],2,0))</f>
        <v>EL</v>
      </c>
      <c r="L4090" s="140" t="s">
        <v>4894</v>
      </c>
      <c r="M4090" s="136">
        <v>45902</v>
      </c>
      <c r="N4090" s="137"/>
      <c r="O4090" s="137"/>
      <c r="P4090" s="136" t="str">
        <f ca="1">IF(Proc[[#This Row],[DaysAgeing]]&gt;5,"yep","on track")</f>
        <v>yep</v>
      </c>
      <c r="Q4090" s="3">
        <f ca="1">IF(Proc[[#This Row],[DateClosed]]="",ABS(NETWORKDAYS(Proc[[#This Row],[DateOpened]],TODAY()))-1,ABS(NETWORKDAYS(Proc[[#This Row],[DateOpened]],Proc[[#This Row],[DateClosed]]))-1)</f>
        <v>78</v>
      </c>
      <c r="R4090" s="136" t="s">
        <v>6087</v>
      </c>
      <c r="S4090" s="140"/>
    </row>
    <row r="4091" spans="1:19" hidden="1">
      <c r="A4091" s="142" t="s">
        <v>6201</v>
      </c>
      <c r="B4091" s="149" t="str">
        <f>IFERROR(VLOOKUP(Proc[[#This Row],[App]],Table2[],3,0),"open")</f>
        <v>ok</v>
      </c>
      <c r="C4091" s="142" t="s">
        <v>369</v>
      </c>
      <c r="D4091" t="s">
        <v>6026</v>
      </c>
      <c r="E4091" t="s">
        <v>6191</v>
      </c>
      <c r="F4091" s="140" t="s">
        <v>6191</v>
      </c>
      <c r="G4091" s="142" t="s">
        <v>406</v>
      </c>
      <c r="H4091" s="140" t="str">
        <f>IF(Proc[[#This Row],[type]]="LFF (MDG-F)",MID(Proc[[#This Row],[Obj]],13,10),"")</f>
        <v>JP01TBOZ01</v>
      </c>
      <c r="J4091" s="140" t="b">
        <f>Proc[[#This Row],[Requested]]=Proc[[#This Row],[CurrentParent]]</f>
        <v>1</v>
      </c>
      <c r="K4091" s="144" t="str">
        <f>IF(Proc[[#This Row],[Author]]="Marcela Urrego",VLOOKUP(LEFT(Proc[[#This Row],[Requested]],1),Table3[#All],2,0),VLOOKUP(Proc[[#This Row],[Author]],Table4[],2,0))</f>
        <v>EL</v>
      </c>
      <c r="L4091" s="140" t="s">
        <v>4894</v>
      </c>
      <c r="M4091" s="136">
        <v>45902</v>
      </c>
      <c r="N4091" s="137"/>
      <c r="O4091" s="137"/>
      <c r="P4091" s="136" t="str">
        <f ca="1">IF(Proc[[#This Row],[DaysAgeing]]&gt;5,"yep","on track")</f>
        <v>yep</v>
      </c>
      <c r="Q4091" s="3">
        <f ca="1">IF(Proc[[#This Row],[DateClosed]]="",ABS(NETWORKDAYS(Proc[[#This Row],[DateOpened]],TODAY()))-1,ABS(NETWORKDAYS(Proc[[#This Row],[DateOpened]],Proc[[#This Row],[DateClosed]]))-1)</f>
        <v>78</v>
      </c>
      <c r="R4091" s="136" t="s">
        <v>6087</v>
      </c>
      <c r="S4091" s="140"/>
    </row>
    <row r="4092" spans="1:19" hidden="1">
      <c r="A4092" s="142" t="s">
        <v>6201</v>
      </c>
      <c r="B4092" s="149" t="str">
        <f>IFERROR(VLOOKUP(Proc[[#This Row],[App]],Table2[],3,0),"open")</f>
        <v>ok</v>
      </c>
      <c r="C4092" s="142" t="s">
        <v>369</v>
      </c>
      <c r="D4092" t="s">
        <v>6043</v>
      </c>
      <c r="E4092" t="s">
        <v>6163</v>
      </c>
      <c r="F4092" s="140" t="s">
        <v>6163</v>
      </c>
      <c r="G4092" s="142" t="s">
        <v>406</v>
      </c>
      <c r="H4092" s="140" t="str">
        <f>IF(Proc[[#This Row],[type]]="LFF (MDG-F)",MID(Proc[[#This Row],[Obj]],13,10),"")</f>
        <v>JP01TQOZ01</v>
      </c>
      <c r="J4092" s="140" t="b">
        <f>Proc[[#This Row],[Requested]]=Proc[[#This Row],[CurrentParent]]</f>
        <v>1</v>
      </c>
      <c r="K4092" s="144" t="str">
        <f>IF(Proc[[#This Row],[Author]]="Marcela Urrego",VLOOKUP(LEFT(Proc[[#This Row],[Requested]],1),Table3[#All],2,0),VLOOKUP(Proc[[#This Row],[Author]],Table4[],2,0))</f>
        <v>EL</v>
      </c>
      <c r="L4092" s="140" t="s">
        <v>4894</v>
      </c>
      <c r="M4092" s="136">
        <v>45902</v>
      </c>
      <c r="N4092" s="137"/>
      <c r="O4092" s="137"/>
      <c r="P4092" s="136" t="str">
        <f ca="1">IF(Proc[[#This Row],[DaysAgeing]]&gt;5,"yep","on track")</f>
        <v>yep</v>
      </c>
      <c r="Q4092" s="3">
        <f ca="1">IF(Proc[[#This Row],[DateClosed]]="",ABS(NETWORKDAYS(Proc[[#This Row],[DateOpened]],TODAY()))-1,ABS(NETWORKDAYS(Proc[[#This Row],[DateOpened]],Proc[[#This Row],[DateClosed]]))-1)</f>
        <v>78</v>
      </c>
      <c r="R4092" s="136" t="s">
        <v>6087</v>
      </c>
      <c r="S4092" s="140"/>
    </row>
    <row r="4093" spans="1:19" hidden="1">
      <c r="A4093" s="142" t="s">
        <v>6201</v>
      </c>
      <c r="B4093" s="149" t="str">
        <f>IFERROR(VLOOKUP(Proc[[#This Row],[App]],Table2[],3,0),"open")</f>
        <v>ok</v>
      </c>
      <c r="C4093" s="142" t="s">
        <v>369</v>
      </c>
      <c r="D4093" t="s">
        <v>6027</v>
      </c>
      <c r="E4093" t="s">
        <v>6192</v>
      </c>
      <c r="F4093" s="140" t="s">
        <v>6192</v>
      </c>
      <c r="G4093" s="142" t="s">
        <v>406</v>
      </c>
      <c r="H4093" s="140" t="str">
        <f>IF(Proc[[#This Row],[type]]="LFF (MDG-F)",MID(Proc[[#This Row],[Obj]],13,10),"")</f>
        <v>JP01TBOZ05</v>
      </c>
      <c r="J4093" s="140" t="b">
        <f>Proc[[#This Row],[Requested]]=Proc[[#This Row],[CurrentParent]]</f>
        <v>1</v>
      </c>
      <c r="K4093" s="144" t="str">
        <f>IF(Proc[[#This Row],[Author]]="Marcela Urrego",VLOOKUP(LEFT(Proc[[#This Row],[Requested]],1),Table3[#All],2,0),VLOOKUP(Proc[[#This Row],[Author]],Table4[],2,0))</f>
        <v>EL</v>
      </c>
      <c r="L4093" s="140" t="s">
        <v>4894</v>
      </c>
      <c r="M4093" s="136">
        <v>45902</v>
      </c>
      <c r="N4093" s="137"/>
      <c r="O4093" s="137"/>
      <c r="P4093" s="136" t="str">
        <f ca="1">IF(Proc[[#This Row],[DaysAgeing]]&gt;5,"yep","on track")</f>
        <v>yep</v>
      </c>
      <c r="Q4093" s="3">
        <f ca="1">IF(Proc[[#This Row],[DateClosed]]="",ABS(NETWORKDAYS(Proc[[#This Row],[DateOpened]],TODAY()))-1,ABS(NETWORKDAYS(Proc[[#This Row],[DateOpened]],Proc[[#This Row],[DateClosed]]))-1)</f>
        <v>78</v>
      </c>
      <c r="R4093" s="136" t="s">
        <v>6087</v>
      </c>
      <c r="S4093" s="140"/>
    </row>
    <row r="4094" spans="1:19" hidden="1">
      <c r="A4094" s="142" t="s">
        <v>6201</v>
      </c>
      <c r="B4094" s="149" t="str">
        <f>IFERROR(VLOOKUP(Proc[[#This Row],[App]],Table2[],3,0),"open")</f>
        <v>ok</v>
      </c>
      <c r="C4094" s="142" t="s">
        <v>369</v>
      </c>
      <c r="D4094" t="s">
        <v>6028</v>
      </c>
      <c r="E4094" t="s">
        <v>6193</v>
      </c>
      <c r="F4094" s="140" t="s">
        <v>6193</v>
      </c>
      <c r="G4094" s="142" t="s">
        <v>406</v>
      </c>
      <c r="H4094" s="140" t="str">
        <f>IF(Proc[[#This Row],[type]]="LFF (MDG-F)",MID(Proc[[#This Row],[Obj]],13,10),"")</f>
        <v>JP01TCOZ01</v>
      </c>
      <c r="J4094" s="140" t="b">
        <f>Proc[[#This Row],[Requested]]=Proc[[#This Row],[CurrentParent]]</f>
        <v>1</v>
      </c>
      <c r="K4094" s="144" t="str">
        <f>IF(Proc[[#This Row],[Author]]="Marcela Urrego",VLOOKUP(LEFT(Proc[[#This Row],[Requested]],1),Table3[#All],2,0),VLOOKUP(Proc[[#This Row],[Author]],Table4[],2,0))</f>
        <v>EL</v>
      </c>
      <c r="L4094" s="140" t="s">
        <v>4894</v>
      </c>
      <c r="M4094" s="136">
        <v>45902</v>
      </c>
      <c r="N4094" s="137"/>
      <c r="O4094" s="137"/>
      <c r="P4094" s="136" t="str">
        <f ca="1">IF(Proc[[#This Row],[DaysAgeing]]&gt;5,"yep","on track")</f>
        <v>yep</v>
      </c>
      <c r="Q4094" s="3">
        <f ca="1">IF(Proc[[#This Row],[DateClosed]]="",ABS(NETWORKDAYS(Proc[[#This Row],[DateOpened]],TODAY()))-1,ABS(NETWORKDAYS(Proc[[#This Row],[DateOpened]],Proc[[#This Row],[DateClosed]]))-1)</f>
        <v>78</v>
      </c>
      <c r="R4094" s="136" t="s">
        <v>6087</v>
      </c>
      <c r="S4094" s="140"/>
    </row>
    <row r="4095" spans="1:19" hidden="1">
      <c r="A4095" s="142" t="s">
        <v>6201</v>
      </c>
      <c r="B4095" s="149" t="str">
        <f>IFERROR(VLOOKUP(Proc[[#This Row],[App]],Table2[],3,0),"open")</f>
        <v>ok</v>
      </c>
      <c r="C4095" s="142" t="s">
        <v>369</v>
      </c>
      <c r="D4095" t="s">
        <v>5951</v>
      </c>
      <c r="E4095" t="s">
        <v>6194</v>
      </c>
      <c r="F4095" s="140" t="s">
        <v>6194</v>
      </c>
      <c r="G4095" s="142" t="s">
        <v>406</v>
      </c>
      <c r="H4095" s="140" t="str">
        <f>IF(Proc[[#This Row],[type]]="LFF (MDG-F)",MID(Proc[[#This Row],[Obj]],13,10),"")</f>
        <v>JP01C0M821</v>
      </c>
      <c r="J4095" s="140" t="b">
        <f>Proc[[#This Row],[Requested]]=Proc[[#This Row],[CurrentParent]]</f>
        <v>1</v>
      </c>
      <c r="K4095" s="144" t="str">
        <f>IF(Proc[[#This Row],[Author]]="Marcela Urrego",VLOOKUP(LEFT(Proc[[#This Row],[Requested]],1),Table3[#All],2,0),VLOOKUP(Proc[[#This Row],[Author]],Table4[],2,0))</f>
        <v>EL</v>
      </c>
      <c r="L4095" s="140" t="s">
        <v>4894</v>
      </c>
      <c r="M4095" s="136">
        <v>45902</v>
      </c>
      <c r="N4095" s="137"/>
      <c r="O4095" s="137"/>
      <c r="P4095" s="136" t="str">
        <f ca="1">IF(Proc[[#This Row],[DaysAgeing]]&gt;5,"yep","on track")</f>
        <v>yep</v>
      </c>
      <c r="Q4095" s="3">
        <f ca="1">IF(Proc[[#This Row],[DateClosed]]="",ABS(NETWORKDAYS(Proc[[#This Row],[DateOpened]],TODAY()))-1,ABS(NETWORKDAYS(Proc[[#This Row],[DateOpened]],Proc[[#This Row],[DateClosed]]))-1)</f>
        <v>78</v>
      </c>
      <c r="R4095" s="136" t="s">
        <v>6087</v>
      </c>
      <c r="S4095" s="140"/>
    </row>
    <row r="4096" spans="1:19" hidden="1">
      <c r="A4096" s="142" t="s">
        <v>6201</v>
      </c>
      <c r="B4096" s="149" t="str">
        <f>IFERROR(VLOOKUP(Proc[[#This Row],[App]],Table2[],3,0),"open")</f>
        <v>ok</v>
      </c>
      <c r="C4096" s="144" t="s">
        <v>369</v>
      </c>
      <c r="D4096" t="s">
        <v>5954</v>
      </c>
      <c r="E4096" t="s">
        <v>6195</v>
      </c>
      <c r="F4096" s="140" t="s">
        <v>6195</v>
      </c>
      <c r="G4096" s="142" t="s">
        <v>406</v>
      </c>
      <c r="H4096" s="140" t="str">
        <f>IF(Proc[[#This Row],[type]]="LFF (MDG-F)",MID(Proc[[#This Row],[Obj]],13,10),"")</f>
        <v>JP01C0M921</v>
      </c>
      <c r="J4096" s="140" t="b">
        <f>Proc[[#This Row],[Requested]]=Proc[[#This Row],[CurrentParent]]</f>
        <v>1</v>
      </c>
      <c r="K4096" s="144" t="str">
        <f>IF(Proc[[#This Row],[Author]]="Marcela Urrego",VLOOKUP(LEFT(Proc[[#This Row],[Requested]],1),Table3[#All],2,0),VLOOKUP(Proc[[#This Row],[Author]],Table4[],2,0))</f>
        <v>EL</v>
      </c>
      <c r="L4096" s="140" t="s">
        <v>4894</v>
      </c>
      <c r="M4096" s="136">
        <v>45902</v>
      </c>
      <c r="N4096" s="137"/>
      <c r="O4096" s="137"/>
      <c r="P4096" s="136" t="str">
        <f ca="1">IF(Proc[[#This Row],[DaysAgeing]]&gt;5,"yep","on track")</f>
        <v>yep</v>
      </c>
      <c r="Q4096" s="3">
        <f ca="1">IF(Proc[[#This Row],[DateClosed]]="",ABS(NETWORKDAYS(Proc[[#This Row],[DateOpened]],TODAY()))-1,ABS(NETWORKDAYS(Proc[[#This Row],[DateOpened]],Proc[[#This Row],[DateClosed]]))-1)</f>
        <v>78</v>
      </c>
      <c r="R4096" s="136" t="s">
        <v>6087</v>
      </c>
      <c r="S4096" s="140"/>
    </row>
    <row r="4097" spans="1:19" hidden="1">
      <c r="A4097" s="142" t="s">
        <v>6201</v>
      </c>
      <c r="B4097" s="149" t="str">
        <f>IFERROR(VLOOKUP(Proc[[#This Row],[App]],Table2[],3,0),"open")</f>
        <v>ok</v>
      </c>
      <c r="C4097" s="142" t="s">
        <v>369</v>
      </c>
      <c r="D4097" t="s">
        <v>5952</v>
      </c>
      <c r="E4097" t="s">
        <v>6196</v>
      </c>
      <c r="F4097" s="140" t="s">
        <v>6196</v>
      </c>
      <c r="G4097" s="142" t="s">
        <v>406</v>
      </c>
      <c r="H4097" s="140" t="str">
        <f>IF(Proc[[#This Row],[type]]="LFF (MDG-F)",MID(Proc[[#This Row],[Obj]],13,10),"")</f>
        <v>JP01C0M822</v>
      </c>
      <c r="J4097" s="140" t="b">
        <f>Proc[[#This Row],[Requested]]=Proc[[#This Row],[CurrentParent]]</f>
        <v>1</v>
      </c>
      <c r="K4097" s="144" t="str">
        <f>IF(Proc[[#This Row],[Author]]="Marcela Urrego",VLOOKUP(LEFT(Proc[[#This Row],[Requested]],1),Table3[#All],2,0),VLOOKUP(Proc[[#This Row],[Author]],Table4[],2,0))</f>
        <v>EL</v>
      </c>
      <c r="L4097" s="140" t="s">
        <v>4894</v>
      </c>
      <c r="M4097" s="136">
        <v>45902</v>
      </c>
      <c r="N4097" s="137"/>
      <c r="O4097" s="137"/>
      <c r="P4097" s="136" t="str">
        <f ca="1">IF(Proc[[#This Row],[DaysAgeing]]&gt;5,"yep","on track")</f>
        <v>yep</v>
      </c>
      <c r="Q4097" s="3">
        <f ca="1">IF(Proc[[#This Row],[DateClosed]]="",ABS(NETWORKDAYS(Proc[[#This Row],[DateOpened]],TODAY()))-1,ABS(NETWORKDAYS(Proc[[#This Row],[DateOpened]],Proc[[#This Row],[DateClosed]]))-1)</f>
        <v>78</v>
      </c>
      <c r="R4097" s="136" t="s">
        <v>6087</v>
      </c>
      <c r="S4097" s="140"/>
    </row>
    <row r="4098" spans="1:19" hidden="1">
      <c r="A4098" s="142" t="s">
        <v>6201</v>
      </c>
      <c r="B4098" s="149" t="str">
        <f>IFERROR(VLOOKUP(Proc[[#This Row],[App]],Table2[],3,0),"open")</f>
        <v>ok</v>
      </c>
      <c r="C4098" s="142" t="s">
        <v>369</v>
      </c>
      <c r="D4098" t="s">
        <v>5956</v>
      </c>
      <c r="E4098" t="s">
        <v>6197</v>
      </c>
      <c r="F4098" s="140" t="s">
        <v>6197</v>
      </c>
      <c r="G4098" s="142" t="s">
        <v>406</v>
      </c>
      <c r="H4098" s="140" t="str">
        <f>IF(Proc[[#This Row],[type]]="LFF (MDG-F)",MID(Proc[[#This Row],[Obj]],13,10),"")</f>
        <v>JP01C0O999</v>
      </c>
      <c r="J4098" s="140" t="b">
        <f>Proc[[#This Row],[Requested]]=Proc[[#This Row],[CurrentParent]]</f>
        <v>1</v>
      </c>
      <c r="K4098" s="144" t="str">
        <f>IF(Proc[[#This Row],[Author]]="Marcela Urrego",VLOOKUP(LEFT(Proc[[#This Row],[Requested]],1),Table3[#All],2,0),VLOOKUP(Proc[[#This Row],[Author]],Table4[],2,0))</f>
        <v>EL</v>
      </c>
      <c r="L4098" s="140" t="s">
        <v>4894</v>
      </c>
      <c r="M4098" s="136">
        <v>45902</v>
      </c>
      <c r="N4098" s="137"/>
      <c r="O4098" s="137"/>
      <c r="P4098" s="136" t="str">
        <f ca="1">IF(Proc[[#This Row],[DaysAgeing]]&gt;5,"yep","on track")</f>
        <v>yep</v>
      </c>
      <c r="Q4098" s="3">
        <f ca="1">IF(Proc[[#This Row],[DateClosed]]="",ABS(NETWORKDAYS(Proc[[#This Row],[DateOpened]],TODAY()))-1,ABS(NETWORKDAYS(Proc[[#This Row],[DateOpened]],Proc[[#This Row],[DateClosed]]))-1)</f>
        <v>78</v>
      </c>
      <c r="R4098" s="136" t="s">
        <v>6087</v>
      </c>
      <c r="S4098" s="140"/>
    </row>
    <row r="4099" spans="1:19" hidden="1">
      <c r="A4099" s="142" t="s">
        <v>6201</v>
      </c>
      <c r="B4099" s="149" t="str">
        <f>IFERROR(VLOOKUP(Proc[[#This Row],[App]],Table2[],3,0),"open")</f>
        <v>ok</v>
      </c>
      <c r="C4099" s="142" t="s">
        <v>369</v>
      </c>
      <c r="D4099" t="s">
        <v>5982</v>
      </c>
      <c r="E4099" t="s">
        <v>6198</v>
      </c>
      <c r="F4099" s="140" t="s">
        <v>6198</v>
      </c>
      <c r="G4099" s="142" t="s">
        <v>406</v>
      </c>
      <c r="H4099" s="140" t="str">
        <f>IF(Proc[[#This Row],[type]]="LFF (MDG-F)",MID(Proc[[#This Row],[Obj]],13,10),"")</f>
        <v>JP01L1M001</v>
      </c>
      <c r="J4099" s="140" t="b">
        <f>Proc[[#This Row],[Requested]]=Proc[[#This Row],[CurrentParent]]</f>
        <v>1</v>
      </c>
      <c r="K4099" s="144" t="str">
        <f>IF(Proc[[#This Row],[Author]]="Marcela Urrego",VLOOKUP(LEFT(Proc[[#This Row],[Requested]],1),Table3[#All],2,0),VLOOKUP(Proc[[#This Row],[Author]],Table4[],2,0))</f>
        <v>EL</v>
      </c>
      <c r="L4099" s="140" t="s">
        <v>4894</v>
      </c>
      <c r="M4099" s="136">
        <v>45902</v>
      </c>
      <c r="N4099" s="137"/>
      <c r="O4099" s="137"/>
      <c r="P4099" s="136" t="str">
        <f ca="1">IF(Proc[[#This Row],[DaysAgeing]]&gt;5,"yep","on track")</f>
        <v>yep</v>
      </c>
      <c r="Q4099" s="3">
        <f ca="1">IF(Proc[[#This Row],[DateClosed]]="",ABS(NETWORKDAYS(Proc[[#This Row],[DateOpened]],TODAY()))-1,ABS(NETWORKDAYS(Proc[[#This Row],[DateOpened]],Proc[[#This Row],[DateClosed]]))-1)</f>
        <v>78</v>
      </c>
      <c r="R4099" s="136" t="s">
        <v>6087</v>
      </c>
      <c r="S4099" s="140"/>
    </row>
    <row r="4100" spans="1:19" hidden="1">
      <c r="A4100" s="142" t="s">
        <v>6201</v>
      </c>
      <c r="B4100" s="149" t="str">
        <f>IFERROR(VLOOKUP(Proc[[#This Row],[App]],Table2[],3,0),"open")</f>
        <v>ok</v>
      </c>
      <c r="C4100" s="142" t="s">
        <v>369</v>
      </c>
      <c r="D4100" t="s">
        <v>5979</v>
      </c>
      <c r="E4100" t="s">
        <v>784</v>
      </c>
      <c r="F4100" s="140" t="s">
        <v>784</v>
      </c>
      <c r="G4100" s="142" t="s">
        <v>406</v>
      </c>
      <c r="H4100" s="140" t="str">
        <f>IF(Proc[[#This Row],[type]]="LFF (MDG-F)",MID(Proc[[#This Row],[Obj]],13,10),"")</f>
        <v>JP01GPO303</v>
      </c>
      <c r="J4100" s="140" t="b">
        <f>Proc[[#This Row],[Requested]]=Proc[[#This Row],[CurrentParent]]</f>
        <v>1</v>
      </c>
      <c r="K4100" s="144" t="str">
        <f>IF(Proc[[#This Row],[Author]]="Marcela Urrego",VLOOKUP(LEFT(Proc[[#This Row],[Requested]],1),Table3[#All],2,0),VLOOKUP(Proc[[#This Row],[Author]],Table4[],2,0))</f>
        <v>EL</v>
      </c>
      <c r="L4100" s="140" t="s">
        <v>4894</v>
      </c>
      <c r="M4100" s="136">
        <v>45902</v>
      </c>
      <c r="N4100" s="137"/>
      <c r="O4100" s="137"/>
      <c r="P4100" s="136" t="str">
        <f ca="1">IF(Proc[[#This Row],[DaysAgeing]]&gt;5,"yep","on track")</f>
        <v>yep</v>
      </c>
      <c r="Q4100" s="3">
        <f ca="1">IF(Proc[[#This Row],[DateClosed]]="",ABS(NETWORKDAYS(Proc[[#This Row],[DateOpened]],TODAY()))-1,ABS(NETWORKDAYS(Proc[[#This Row],[DateOpened]],Proc[[#This Row],[DateClosed]]))-1)</f>
        <v>78</v>
      </c>
      <c r="R4100" s="136" t="s">
        <v>6087</v>
      </c>
      <c r="S4100" s="140"/>
    </row>
    <row r="4101" spans="1:19" hidden="1">
      <c r="A4101" s="142" t="s">
        <v>6201</v>
      </c>
      <c r="B4101" s="149" t="str">
        <f>IFERROR(VLOOKUP(Proc[[#This Row],[App]],Table2[],3,0),"open")</f>
        <v>ok</v>
      </c>
      <c r="C4101" s="142" t="s">
        <v>369</v>
      </c>
      <c r="D4101" t="s">
        <v>5983</v>
      </c>
      <c r="E4101" t="s">
        <v>784</v>
      </c>
      <c r="F4101" s="140" t="s">
        <v>784</v>
      </c>
      <c r="G4101" s="142" t="s">
        <v>406</v>
      </c>
      <c r="H4101" s="140" t="str">
        <f>IF(Proc[[#This Row],[type]]="LFF (MDG-F)",MID(Proc[[#This Row],[Obj]],13,10),"")</f>
        <v>JP01L3K302</v>
      </c>
      <c r="J4101" s="140" t="b">
        <f>Proc[[#This Row],[Requested]]=Proc[[#This Row],[CurrentParent]]</f>
        <v>1</v>
      </c>
      <c r="K4101" s="144" t="str">
        <f>IF(Proc[[#This Row],[Author]]="Marcela Urrego",VLOOKUP(LEFT(Proc[[#This Row],[Requested]],1),Table3[#All],2,0),VLOOKUP(Proc[[#This Row],[Author]],Table4[],2,0))</f>
        <v>EL</v>
      </c>
      <c r="L4101" s="140" t="s">
        <v>4894</v>
      </c>
      <c r="M4101" s="136">
        <v>45902</v>
      </c>
      <c r="N4101" s="137"/>
      <c r="O4101" s="137"/>
      <c r="P4101" s="136" t="str">
        <f ca="1">IF(Proc[[#This Row],[DaysAgeing]]&gt;5,"yep","on track")</f>
        <v>yep</v>
      </c>
      <c r="Q4101" s="3">
        <f ca="1">IF(Proc[[#This Row],[DateClosed]]="",ABS(NETWORKDAYS(Proc[[#This Row],[DateOpened]],TODAY()))-1,ABS(NETWORKDAYS(Proc[[#This Row],[DateOpened]],Proc[[#This Row],[DateClosed]]))-1)</f>
        <v>78</v>
      </c>
      <c r="R4101" s="136" t="s">
        <v>6087</v>
      </c>
      <c r="S4101" s="140"/>
    </row>
    <row r="4102" spans="1:19" hidden="1">
      <c r="A4102" s="142" t="s">
        <v>6201</v>
      </c>
      <c r="B4102" s="149" t="str">
        <f>IFERROR(VLOOKUP(Proc[[#This Row],[App]],Table2[],3,0),"open")</f>
        <v>ok</v>
      </c>
      <c r="C4102" s="142" t="s">
        <v>369</v>
      </c>
      <c r="D4102" t="s">
        <v>5984</v>
      </c>
      <c r="E4102" t="s">
        <v>6171</v>
      </c>
      <c r="F4102" s="140" t="s">
        <v>6171</v>
      </c>
      <c r="G4102" s="142" t="s">
        <v>406</v>
      </c>
      <c r="H4102" s="140" t="str">
        <f>IF(Proc[[#This Row],[type]]="LFF (MDG-F)",MID(Proc[[#This Row],[Obj]],13,10),"")</f>
        <v>JP01L3K304</v>
      </c>
      <c r="J4102" s="140" t="b">
        <f>Proc[[#This Row],[Requested]]=Proc[[#This Row],[CurrentParent]]</f>
        <v>1</v>
      </c>
      <c r="K4102" s="144" t="str">
        <f>IF(Proc[[#This Row],[Author]]="Marcela Urrego",VLOOKUP(LEFT(Proc[[#This Row],[Requested]],1),Table3[#All],2,0),VLOOKUP(Proc[[#This Row],[Author]],Table4[],2,0))</f>
        <v>EL</v>
      </c>
      <c r="L4102" s="140" t="s">
        <v>4894</v>
      </c>
      <c r="M4102" s="136">
        <v>45902</v>
      </c>
      <c r="N4102" s="137"/>
      <c r="O4102" s="137"/>
      <c r="P4102" s="136" t="str">
        <f ca="1">IF(Proc[[#This Row],[DaysAgeing]]&gt;5,"yep","on track")</f>
        <v>yep</v>
      </c>
      <c r="Q4102" s="3">
        <f ca="1">IF(Proc[[#This Row],[DateClosed]]="",ABS(NETWORKDAYS(Proc[[#This Row],[DateOpened]],TODAY()))-1,ABS(NETWORKDAYS(Proc[[#This Row],[DateOpened]],Proc[[#This Row],[DateClosed]]))-1)</f>
        <v>78</v>
      </c>
      <c r="R4102" s="136" t="s">
        <v>6087</v>
      </c>
      <c r="S4102" s="140"/>
    </row>
    <row r="4103" spans="1:19" hidden="1">
      <c r="A4103" s="142" t="s">
        <v>6201</v>
      </c>
      <c r="B4103" s="149" t="str">
        <f>IFERROR(VLOOKUP(Proc[[#This Row],[App]],Table2[],3,0),"open")</f>
        <v>ok</v>
      </c>
      <c r="C4103" s="142" t="s">
        <v>369</v>
      </c>
      <c r="D4103" t="s">
        <v>5985</v>
      </c>
      <c r="E4103" t="s">
        <v>784</v>
      </c>
      <c r="F4103" s="140" t="s">
        <v>784</v>
      </c>
      <c r="G4103" s="142" t="s">
        <v>406</v>
      </c>
      <c r="H4103" s="140" t="str">
        <f>IF(Proc[[#This Row],[type]]="LFF (MDG-F)",MID(Proc[[#This Row],[Obj]],13,10),"")</f>
        <v>JP01L3M301</v>
      </c>
      <c r="J4103" s="140" t="b">
        <f>Proc[[#This Row],[Requested]]=Proc[[#This Row],[CurrentParent]]</f>
        <v>1</v>
      </c>
      <c r="K4103" s="144" t="str">
        <f>IF(Proc[[#This Row],[Author]]="Marcela Urrego",VLOOKUP(LEFT(Proc[[#This Row],[Requested]],1),Table3[#All],2,0),VLOOKUP(Proc[[#This Row],[Author]],Table4[],2,0))</f>
        <v>EL</v>
      </c>
      <c r="L4103" s="140" t="s">
        <v>4894</v>
      </c>
      <c r="M4103" s="136">
        <v>45902</v>
      </c>
      <c r="N4103" s="137"/>
      <c r="O4103" s="137"/>
      <c r="P4103" s="136" t="str">
        <f ca="1">IF(Proc[[#This Row],[DaysAgeing]]&gt;5,"yep","on track")</f>
        <v>yep</v>
      </c>
      <c r="Q4103" s="3">
        <f ca="1">IF(Proc[[#This Row],[DateClosed]]="",ABS(NETWORKDAYS(Proc[[#This Row],[DateOpened]],TODAY()))-1,ABS(NETWORKDAYS(Proc[[#This Row],[DateOpened]],Proc[[#This Row],[DateClosed]]))-1)</f>
        <v>78</v>
      </c>
      <c r="R4103" s="136" t="s">
        <v>6087</v>
      </c>
      <c r="S4103" s="140"/>
    </row>
    <row r="4104" spans="1:19" hidden="1">
      <c r="A4104" s="142" t="s">
        <v>6201</v>
      </c>
      <c r="B4104" s="149" t="str">
        <f>IFERROR(VLOOKUP(Proc[[#This Row],[App]],Table2[],3,0),"open")</f>
        <v>ok</v>
      </c>
      <c r="C4104" s="142" t="s">
        <v>369</v>
      </c>
      <c r="D4104" t="s">
        <v>5986</v>
      </c>
      <c r="E4104" t="s">
        <v>6171</v>
      </c>
      <c r="F4104" s="140" t="s">
        <v>6171</v>
      </c>
      <c r="G4104" s="142" t="s">
        <v>406</v>
      </c>
      <c r="H4104" s="140" t="str">
        <f>IF(Proc[[#This Row],[type]]="LFF (MDG-F)",MID(Proc[[#This Row],[Obj]],13,10),"")</f>
        <v>JP01L3M303</v>
      </c>
      <c r="J4104" s="140" t="b">
        <f>Proc[[#This Row],[Requested]]=Proc[[#This Row],[CurrentParent]]</f>
        <v>1</v>
      </c>
      <c r="K4104" s="144" t="str">
        <f>IF(Proc[[#This Row],[Author]]="Marcela Urrego",VLOOKUP(LEFT(Proc[[#This Row],[Requested]],1),Table3[#All],2,0),VLOOKUP(Proc[[#This Row],[Author]],Table4[],2,0))</f>
        <v>EL</v>
      </c>
      <c r="L4104" s="140" t="s">
        <v>4894</v>
      </c>
      <c r="M4104" s="136">
        <v>45902</v>
      </c>
      <c r="N4104" s="137"/>
      <c r="O4104" s="137"/>
      <c r="P4104" s="136" t="str">
        <f ca="1">IF(Proc[[#This Row],[DaysAgeing]]&gt;5,"yep","on track")</f>
        <v>yep</v>
      </c>
      <c r="Q4104" s="3">
        <f ca="1">IF(Proc[[#This Row],[DateClosed]]="",ABS(NETWORKDAYS(Proc[[#This Row],[DateOpened]],TODAY()))-1,ABS(NETWORKDAYS(Proc[[#This Row],[DateOpened]],Proc[[#This Row],[DateClosed]]))-1)</f>
        <v>78</v>
      </c>
      <c r="R4104" s="136" t="s">
        <v>6087</v>
      </c>
      <c r="S4104" s="140"/>
    </row>
    <row r="4105" spans="1:19" hidden="1">
      <c r="A4105" s="142" t="s">
        <v>6201</v>
      </c>
      <c r="B4105" s="149" t="str">
        <f>IFERROR(VLOOKUP(Proc[[#This Row],[App]],Table2[],3,0),"open")</f>
        <v>ok</v>
      </c>
      <c r="C4105" s="142" t="s">
        <v>369</v>
      </c>
      <c r="D4105" t="s">
        <v>5987</v>
      </c>
      <c r="E4105" t="s">
        <v>6171</v>
      </c>
      <c r="F4105" s="140" t="s">
        <v>6171</v>
      </c>
      <c r="G4105" s="142" t="s">
        <v>406</v>
      </c>
      <c r="H4105" s="140" t="str">
        <f>IF(Proc[[#This Row],[type]]="LFF (MDG-F)",MID(Proc[[#This Row],[Obj]],13,10),"")</f>
        <v>JP01L4M301</v>
      </c>
      <c r="J4105" s="140" t="b">
        <f>Proc[[#This Row],[Requested]]=Proc[[#This Row],[CurrentParent]]</f>
        <v>1</v>
      </c>
      <c r="K4105" s="144" t="str">
        <f>IF(Proc[[#This Row],[Author]]="Marcela Urrego",VLOOKUP(LEFT(Proc[[#This Row],[Requested]],1),Table3[#All],2,0),VLOOKUP(Proc[[#This Row],[Author]],Table4[],2,0))</f>
        <v>EL</v>
      </c>
      <c r="L4105" s="140" t="s">
        <v>4894</v>
      </c>
      <c r="M4105" s="136">
        <v>45902</v>
      </c>
      <c r="N4105" s="137"/>
      <c r="O4105" s="137"/>
      <c r="P4105" s="136" t="str">
        <f ca="1">IF(Proc[[#This Row],[DaysAgeing]]&gt;5,"yep","on track")</f>
        <v>yep</v>
      </c>
      <c r="Q4105" s="3">
        <f ca="1">IF(Proc[[#This Row],[DateClosed]]="",ABS(NETWORKDAYS(Proc[[#This Row],[DateOpened]],TODAY()))-1,ABS(NETWORKDAYS(Proc[[#This Row],[DateOpened]],Proc[[#This Row],[DateClosed]]))-1)</f>
        <v>78</v>
      </c>
      <c r="R4105" s="136" t="s">
        <v>6087</v>
      </c>
      <c r="S4105" s="140"/>
    </row>
    <row r="4106" spans="1:19" hidden="1">
      <c r="A4106" s="142" t="s">
        <v>6201</v>
      </c>
      <c r="B4106" s="149" t="str">
        <f>IFERROR(VLOOKUP(Proc[[#This Row],[App]],Table2[],3,0),"open")</f>
        <v>ok</v>
      </c>
      <c r="C4106" s="142" t="s">
        <v>369</v>
      </c>
      <c r="D4106" t="s">
        <v>5989</v>
      </c>
      <c r="E4106" t="s">
        <v>6169</v>
      </c>
      <c r="F4106" s="140" t="s">
        <v>6169</v>
      </c>
      <c r="G4106" s="142" t="s">
        <v>406</v>
      </c>
      <c r="H4106" s="140" t="str">
        <f>IF(Proc[[#This Row],[type]]="LFF (MDG-F)",MID(Proc[[#This Row],[Obj]],13,10),"")</f>
        <v>JP01L5M301</v>
      </c>
      <c r="J4106" s="140" t="b">
        <f>Proc[[#This Row],[Requested]]=Proc[[#This Row],[CurrentParent]]</f>
        <v>1</v>
      </c>
      <c r="K4106" s="144" t="str">
        <f>IF(Proc[[#This Row],[Author]]="Marcela Urrego",VLOOKUP(LEFT(Proc[[#This Row],[Requested]],1),Table3[#All],2,0),VLOOKUP(Proc[[#This Row],[Author]],Table4[],2,0))</f>
        <v>EL</v>
      </c>
      <c r="L4106" s="140" t="s">
        <v>4894</v>
      </c>
      <c r="M4106" s="136">
        <v>45902</v>
      </c>
      <c r="N4106" s="137"/>
      <c r="O4106" s="137"/>
      <c r="P4106" s="136" t="str">
        <f ca="1">IF(Proc[[#This Row],[DaysAgeing]]&gt;5,"yep","on track")</f>
        <v>yep</v>
      </c>
      <c r="Q4106" s="3">
        <f ca="1">IF(Proc[[#This Row],[DateClosed]]="",ABS(NETWORKDAYS(Proc[[#This Row],[DateOpened]],TODAY()))-1,ABS(NETWORKDAYS(Proc[[#This Row],[DateOpened]],Proc[[#This Row],[DateClosed]]))-1)</f>
        <v>78</v>
      </c>
      <c r="R4106" s="136" t="s">
        <v>6087</v>
      </c>
      <c r="S4106" s="140"/>
    </row>
    <row r="4107" spans="1:19" hidden="1">
      <c r="A4107" s="142" t="s">
        <v>6201</v>
      </c>
      <c r="B4107" s="149" t="str">
        <f>IFERROR(VLOOKUP(Proc[[#This Row],[App]],Table2[],3,0),"open")</f>
        <v>ok</v>
      </c>
      <c r="C4107" s="142" t="s">
        <v>369</v>
      </c>
      <c r="D4107" t="s">
        <v>5991</v>
      </c>
      <c r="E4107" t="s">
        <v>6171</v>
      </c>
      <c r="F4107" s="140" t="s">
        <v>6171</v>
      </c>
      <c r="G4107" s="142" t="s">
        <v>406</v>
      </c>
      <c r="H4107" s="140" t="str">
        <f>IF(Proc[[#This Row],[type]]="LFF (MDG-F)",MID(Proc[[#This Row],[Obj]],13,10),"")</f>
        <v>JP01L7M301</v>
      </c>
      <c r="J4107" s="140" t="b">
        <f>Proc[[#This Row],[Requested]]=Proc[[#This Row],[CurrentParent]]</f>
        <v>1</v>
      </c>
      <c r="K4107" s="144" t="str">
        <f>IF(Proc[[#This Row],[Author]]="Marcela Urrego",VLOOKUP(LEFT(Proc[[#This Row],[Requested]],1),Table3[#All],2,0),VLOOKUP(Proc[[#This Row],[Author]],Table4[],2,0))</f>
        <v>EL</v>
      </c>
      <c r="L4107" s="140" t="s">
        <v>4894</v>
      </c>
      <c r="M4107" s="136">
        <v>45902</v>
      </c>
      <c r="N4107" s="137"/>
      <c r="O4107" s="137"/>
      <c r="P4107" s="136" t="str">
        <f ca="1">IF(Proc[[#This Row],[DaysAgeing]]&gt;5,"yep","on track")</f>
        <v>yep</v>
      </c>
      <c r="Q4107" s="3">
        <f ca="1">IF(Proc[[#This Row],[DateClosed]]="",ABS(NETWORKDAYS(Proc[[#This Row],[DateOpened]],TODAY()))-1,ABS(NETWORKDAYS(Proc[[#This Row],[DateOpened]],Proc[[#This Row],[DateClosed]]))-1)</f>
        <v>78</v>
      </c>
      <c r="R4107" s="136" t="s">
        <v>6087</v>
      </c>
      <c r="S4107" s="140"/>
    </row>
    <row r="4108" spans="1:19" hidden="1">
      <c r="A4108" s="142" t="s">
        <v>6201</v>
      </c>
      <c r="B4108" s="149" t="str">
        <f>IFERROR(VLOOKUP(Proc[[#This Row],[App]],Table2[],3,0),"open")</f>
        <v>ok</v>
      </c>
      <c r="C4108" s="142" t="s">
        <v>369</v>
      </c>
      <c r="D4108" t="s">
        <v>5957</v>
      </c>
      <c r="E4108" t="s">
        <v>413</v>
      </c>
      <c r="F4108" s="140" t="s">
        <v>413</v>
      </c>
      <c r="G4108" s="142" t="s">
        <v>406</v>
      </c>
      <c r="H4108" s="140" t="str">
        <f>IF(Proc[[#This Row],[type]]="LFF (MDG-F)",MID(Proc[[#This Row],[Obj]],13,10),"")</f>
        <v>JP01GBT301</v>
      </c>
      <c r="J4108" s="140" t="b">
        <f>Proc[[#This Row],[Requested]]=Proc[[#This Row],[CurrentParent]]</f>
        <v>1</v>
      </c>
      <c r="K4108" s="144" t="str">
        <f>IF(Proc[[#This Row],[Author]]="Marcela Urrego",VLOOKUP(LEFT(Proc[[#This Row],[Requested]],1),Table3[#All],2,0),VLOOKUP(Proc[[#This Row],[Author]],Table4[],2,0))</f>
        <v>EL</v>
      </c>
      <c r="L4108" s="140" t="s">
        <v>4894</v>
      </c>
      <c r="M4108" s="136">
        <v>45902</v>
      </c>
      <c r="N4108" s="137"/>
      <c r="O4108" s="137"/>
      <c r="P4108" s="136" t="str">
        <f ca="1">IF(Proc[[#This Row],[DaysAgeing]]&gt;5,"yep","on track")</f>
        <v>yep</v>
      </c>
      <c r="Q4108" s="3">
        <f ca="1">IF(Proc[[#This Row],[DateClosed]]="",ABS(NETWORKDAYS(Proc[[#This Row],[DateOpened]],TODAY()))-1,ABS(NETWORKDAYS(Proc[[#This Row],[DateOpened]],Proc[[#This Row],[DateClosed]]))-1)</f>
        <v>78</v>
      </c>
      <c r="R4108" s="136" t="s">
        <v>6087</v>
      </c>
      <c r="S4108" s="140"/>
    </row>
    <row r="4109" spans="1:19" hidden="1">
      <c r="A4109" s="142" t="s">
        <v>6201</v>
      </c>
      <c r="B4109" s="149" t="str">
        <f>IFERROR(VLOOKUP(Proc[[#This Row],[App]],Table2[],3,0),"open")</f>
        <v>ok</v>
      </c>
      <c r="C4109" s="142" t="s">
        <v>369</v>
      </c>
      <c r="D4109" t="s">
        <v>5958</v>
      </c>
      <c r="E4109" t="s">
        <v>413</v>
      </c>
      <c r="F4109" s="140" t="s">
        <v>413</v>
      </c>
      <c r="G4109" s="142" t="s">
        <v>406</v>
      </c>
      <c r="H4109" s="140" t="str">
        <f>IF(Proc[[#This Row],[type]]="LFF (MDG-F)",MID(Proc[[#This Row],[Obj]],13,10),"")</f>
        <v>JP01GBT303</v>
      </c>
      <c r="J4109" s="140" t="b">
        <f>Proc[[#This Row],[Requested]]=Proc[[#This Row],[CurrentParent]]</f>
        <v>1</v>
      </c>
      <c r="K4109" s="144" t="str">
        <f>IF(Proc[[#This Row],[Author]]="Marcela Urrego",VLOOKUP(LEFT(Proc[[#This Row],[Requested]],1),Table3[#All],2,0),VLOOKUP(Proc[[#This Row],[Author]],Table4[],2,0))</f>
        <v>EL</v>
      </c>
      <c r="L4109" s="140" t="s">
        <v>4894</v>
      </c>
      <c r="M4109" s="136">
        <v>45902</v>
      </c>
      <c r="N4109" s="137"/>
      <c r="O4109" s="137"/>
      <c r="P4109" s="136" t="str">
        <f ca="1">IF(Proc[[#This Row],[DaysAgeing]]&gt;5,"yep","on track")</f>
        <v>yep</v>
      </c>
      <c r="Q4109" s="3">
        <f ca="1">IF(Proc[[#This Row],[DateClosed]]="",ABS(NETWORKDAYS(Proc[[#This Row],[DateOpened]],TODAY()))-1,ABS(NETWORKDAYS(Proc[[#This Row],[DateOpened]],Proc[[#This Row],[DateClosed]]))-1)</f>
        <v>78</v>
      </c>
      <c r="R4109" s="136" t="s">
        <v>6087</v>
      </c>
      <c r="S4109" s="140"/>
    </row>
    <row r="4110" spans="1:19" hidden="1">
      <c r="A4110" s="142" t="s">
        <v>6201</v>
      </c>
      <c r="B4110" s="149" t="str">
        <f>IFERROR(VLOOKUP(Proc[[#This Row],[App]],Table2[],3,0),"open")</f>
        <v>ok</v>
      </c>
      <c r="C4110" s="142" t="s">
        <v>369</v>
      </c>
      <c r="D4110" t="s">
        <v>5959</v>
      </c>
      <c r="E4110" t="s">
        <v>413</v>
      </c>
      <c r="F4110" s="140" t="s">
        <v>413</v>
      </c>
      <c r="G4110" s="142" t="s">
        <v>406</v>
      </c>
      <c r="H4110" s="140" t="str">
        <f>IF(Proc[[#This Row],[type]]="LFF (MDG-F)",MID(Proc[[#This Row],[Obj]],13,10),"")</f>
        <v>JP01GBT304</v>
      </c>
      <c r="J4110" s="140" t="b">
        <f>Proc[[#This Row],[Requested]]=Proc[[#This Row],[CurrentParent]]</f>
        <v>1</v>
      </c>
      <c r="K4110" s="144" t="str">
        <f>IF(Proc[[#This Row],[Author]]="Marcela Urrego",VLOOKUP(LEFT(Proc[[#This Row],[Requested]],1),Table3[#All],2,0),VLOOKUP(Proc[[#This Row],[Author]],Table4[],2,0))</f>
        <v>EL</v>
      </c>
      <c r="L4110" s="140" t="s">
        <v>4894</v>
      </c>
      <c r="M4110" s="136">
        <v>45902</v>
      </c>
      <c r="N4110" s="137"/>
      <c r="O4110" s="137"/>
      <c r="P4110" s="136" t="str">
        <f ca="1">IF(Proc[[#This Row],[DaysAgeing]]&gt;5,"yep","on track")</f>
        <v>yep</v>
      </c>
      <c r="Q4110" s="3">
        <f ca="1">IF(Proc[[#This Row],[DateClosed]]="",ABS(NETWORKDAYS(Proc[[#This Row],[DateOpened]],TODAY()))-1,ABS(NETWORKDAYS(Proc[[#This Row],[DateOpened]],Proc[[#This Row],[DateClosed]]))-1)</f>
        <v>78</v>
      </c>
      <c r="R4110" s="136" t="s">
        <v>6087</v>
      </c>
      <c r="S4110" s="140"/>
    </row>
    <row r="4111" spans="1:19" hidden="1">
      <c r="A4111" s="142" t="s">
        <v>6201</v>
      </c>
      <c r="B4111" s="149" t="str">
        <f>IFERROR(VLOOKUP(Proc[[#This Row],[App]],Table2[],3,0),"open")</f>
        <v>ok</v>
      </c>
      <c r="C4111" s="142" t="s">
        <v>369</v>
      </c>
      <c r="D4111" t="s">
        <v>5963</v>
      </c>
      <c r="E4111" t="s">
        <v>413</v>
      </c>
      <c r="F4111" s="140" t="s">
        <v>413</v>
      </c>
      <c r="G4111" s="142" t="s">
        <v>406</v>
      </c>
      <c r="H4111" s="140" t="str">
        <f>IF(Proc[[#This Row],[type]]="LFF (MDG-F)",MID(Proc[[#This Row],[Obj]],13,10),"")</f>
        <v>JP01GFO300</v>
      </c>
      <c r="J4111" s="140" t="b">
        <f>Proc[[#This Row],[Requested]]=Proc[[#This Row],[CurrentParent]]</f>
        <v>1</v>
      </c>
      <c r="K4111" s="144" t="str">
        <f>IF(Proc[[#This Row],[Author]]="Marcela Urrego",VLOOKUP(LEFT(Proc[[#This Row],[Requested]],1),Table3[#All],2,0),VLOOKUP(Proc[[#This Row],[Author]],Table4[],2,0))</f>
        <v>EL</v>
      </c>
      <c r="L4111" s="140" t="s">
        <v>4894</v>
      </c>
      <c r="M4111" s="136">
        <v>45902</v>
      </c>
      <c r="N4111" s="137"/>
      <c r="O4111" s="137"/>
      <c r="P4111" s="136" t="str">
        <f ca="1">IF(Proc[[#This Row],[DaysAgeing]]&gt;5,"yep","on track")</f>
        <v>yep</v>
      </c>
      <c r="Q4111" s="3">
        <f ca="1">IF(Proc[[#This Row],[DateClosed]]="",ABS(NETWORKDAYS(Proc[[#This Row],[DateOpened]],TODAY()))-1,ABS(NETWORKDAYS(Proc[[#This Row],[DateOpened]],Proc[[#This Row],[DateClosed]]))-1)</f>
        <v>78</v>
      </c>
      <c r="R4111" s="136" t="s">
        <v>6087</v>
      </c>
      <c r="S4111" s="140"/>
    </row>
    <row r="4112" spans="1:19" hidden="1">
      <c r="A4112" s="142" t="s">
        <v>6201</v>
      </c>
      <c r="B4112" s="149" t="str">
        <f>IFERROR(VLOOKUP(Proc[[#This Row],[App]],Table2[],3,0),"open")</f>
        <v>ok</v>
      </c>
      <c r="C4112" s="142" t="s">
        <v>369</v>
      </c>
      <c r="D4112" t="s">
        <v>5969</v>
      </c>
      <c r="E4112" t="s">
        <v>6199</v>
      </c>
      <c r="F4112" s="140" t="s">
        <v>6199</v>
      </c>
      <c r="G4112" s="142" t="s">
        <v>406</v>
      </c>
      <c r="H4112" s="140" t="str">
        <f>IF(Proc[[#This Row],[type]]="LFF (MDG-F)",MID(Proc[[#This Row],[Obj]],13,10),"")</f>
        <v>JP01GLE302</v>
      </c>
      <c r="J4112" s="140" t="b">
        <f>Proc[[#This Row],[Requested]]=Proc[[#This Row],[CurrentParent]]</f>
        <v>1</v>
      </c>
      <c r="K4112" s="144" t="str">
        <f>IF(Proc[[#This Row],[Author]]="Marcela Urrego",VLOOKUP(LEFT(Proc[[#This Row],[Requested]],1),Table3[#All],2,0),VLOOKUP(Proc[[#This Row],[Author]],Table4[],2,0))</f>
        <v>EL</v>
      </c>
      <c r="L4112" s="140" t="s">
        <v>4894</v>
      </c>
      <c r="M4112" s="136">
        <v>45902</v>
      </c>
      <c r="N4112" s="137"/>
      <c r="O4112" s="137"/>
      <c r="P4112" s="136" t="str">
        <f ca="1">IF(Proc[[#This Row],[DaysAgeing]]&gt;5,"yep","on track")</f>
        <v>yep</v>
      </c>
      <c r="Q4112" s="3">
        <f ca="1">IF(Proc[[#This Row],[DateClosed]]="",ABS(NETWORKDAYS(Proc[[#This Row],[DateOpened]],TODAY()))-1,ABS(NETWORKDAYS(Proc[[#This Row],[DateOpened]],Proc[[#This Row],[DateClosed]]))-1)</f>
        <v>78</v>
      </c>
      <c r="R4112" s="136" t="s">
        <v>6087</v>
      </c>
      <c r="S4112" s="140"/>
    </row>
    <row r="4113" spans="1:19" hidden="1">
      <c r="A4113" s="142" t="s">
        <v>6201</v>
      </c>
      <c r="B4113" s="149" t="str">
        <f>IFERROR(VLOOKUP(Proc[[#This Row],[App]],Table2[],3,0),"open")</f>
        <v>ok</v>
      </c>
      <c r="C4113" s="149" t="s">
        <v>369</v>
      </c>
      <c r="D4113" t="s">
        <v>5970</v>
      </c>
      <c r="E4113" t="s">
        <v>2505</v>
      </c>
      <c r="F4113" s="150" t="s">
        <v>2505</v>
      </c>
      <c r="G4113" s="142" t="s">
        <v>406</v>
      </c>
      <c r="H4113" s="140" t="str">
        <f>IF(Proc[[#This Row],[type]]="LFF (MDG-F)",MID(Proc[[#This Row],[Obj]],13,10),"")</f>
        <v>JP01GM1002</v>
      </c>
      <c r="J4113" s="140" t="b">
        <f>Proc[[#This Row],[Requested]]=Proc[[#This Row],[CurrentParent]]</f>
        <v>1</v>
      </c>
      <c r="K4113" s="144" t="str">
        <f>IF(Proc[[#This Row],[Author]]="Marcela Urrego",VLOOKUP(LEFT(Proc[[#This Row],[Requested]],1),Table3[#All],2,0),VLOOKUP(Proc[[#This Row],[Author]],Table4[],2,0))</f>
        <v>EL</v>
      </c>
      <c r="L4113" s="140" t="s">
        <v>4894</v>
      </c>
      <c r="M4113" s="136">
        <v>45902</v>
      </c>
      <c r="N4113" s="137"/>
      <c r="O4113" s="137"/>
      <c r="P4113" s="136" t="str">
        <f ca="1">IF(Proc[[#This Row],[DaysAgeing]]&gt;5,"yep","on track")</f>
        <v>yep</v>
      </c>
      <c r="Q4113" s="3">
        <f ca="1">IF(Proc[[#This Row],[DateClosed]]="",ABS(NETWORKDAYS(Proc[[#This Row],[DateOpened]],TODAY()))-1,ABS(NETWORKDAYS(Proc[[#This Row],[DateOpened]],Proc[[#This Row],[DateClosed]]))-1)</f>
        <v>78</v>
      </c>
      <c r="R4113" s="136" t="s">
        <v>6087</v>
      </c>
      <c r="S4113" s="140"/>
    </row>
    <row r="4114" spans="1:19" hidden="1">
      <c r="A4114" s="142" t="s">
        <v>6201</v>
      </c>
      <c r="B4114" s="149" t="str">
        <f>IFERROR(VLOOKUP(Proc[[#This Row],[App]],Table2[],3,0),"open")</f>
        <v>ok</v>
      </c>
      <c r="C4114" s="142" t="s">
        <v>369</v>
      </c>
      <c r="D4114" t="s">
        <v>5973</v>
      </c>
      <c r="E4114" t="s">
        <v>413</v>
      </c>
      <c r="F4114" s="140" t="s">
        <v>413</v>
      </c>
      <c r="G4114" s="142" t="s">
        <v>406</v>
      </c>
      <c r="H4114" s="140" t="str">
        <f>IF(Proc[[#This Row],[type]]="LFF (MDG-F)",MID(Proc[[#This Row],[Obj]],13,10),"")</f>
        <v>JP01GM8001</v>
      </c>
      <c r="J4114" s="140" t="b">
        <f>Proc[[#This Row],[Requested]]=Proc[[#This Row],[CurrentParent]]</f>
        <v>1</v>
      </c>
      <c r="K4114" s="144" t="str">
        <f>IF(Proc[[#This Row],[Author]]="Marcela Urrego",VLOOKUP(LEFT(Proc[[#This Row],[Requested]],1),Table3[#All],2,0),VLOOKUP(Proc[[#This Row],[Author]],Table4[],2,0))</f>
        <v>EL</v>
      </c>
      <c r="L4114" s="140" t="s">
        <v>4894</v>
      </c>
      <c r="M4114" s="136">
        <v>45902</v>
      </c>
      <c r="N4114" s="137"/>
      <c r="O4114" s="137"/>
      <c r="P4114" s="136" t="str">
        <f ca="1">IF(Proc[[#This Row],[DaysAgeing]]&gt;5,"yep","on track")</f>
        <v>yep</v>
      </c>
      <c r="Q4114" s="3">
        <f ca="1">IF(Proc[[#This Row],[DateClosed]]="",ABS(NETWORKDAYS(Proc[[#This Row],[DateOpened]],TODAY()))-1,ABS(NETWORKDAYS(Proc[[#This Row],[DateOpened]],Proc[[#This Row],[DateClosed]]))-1)</f>
        <v>78</v>
      </c>
      <c r="R4114" s="136" t="s">
        <v>6087</v>
      </c>
      <c r="S4114" s="140"/>
    </row>
    <row r="4115" spans="1:19" hidden="1">
      <c r="A4115" s="142" t="s">
        <v>6201</v>
      </c>
      <c r="B4115" s="149" t="str">
        <f>IFERROR(VLOOKUP(Proc[[#This Row],[App]],Table2[],3,0),"open")</f>
        <v>ok</v>
      </c>
      <c r="C4115" s="142" t="s">
        <v>369</v>
      </c>
      <c r="D4115" t="s">
        <v>5975</v>
      </c>
      <c r="E4115" t="s">
        <v>1221</v>
      </c>
      <c r="F4115" s="140" t="s">
        <v>1221</v>
      </c>
      <c r="G4115" s="142" t="s">
        <v>406</v>
      </c>
      <c r="H4115" s="140" t="str">
        <f>IF(Proc[[#This Row],[type]]="LFF (MDG-F)",MID(Proc[[#This Row],[Obj]],13,10),"")</f>
        <v>JP01GMB040</v>
      </c>
      <c r="J4115" s="140" t="b">
        <f>Proc[[#This Row],[Requested]]=Proc[[#This Row],[CurrentParent]]</f>
        <v>1</v>
      </c>
      <c r="K4115" s="144" t="str">
        <f>IF(Proc[[#This Row],[Author]]="Marcela Urrego",VLOOKUP(LEFT(Proc[[#This Row],[Requested]],1),Table3[#All],2,0),VLOOKUP(Proc[[#This Row],[Author]],Table4[],2,0))</f>
        <v>EL</v>
      </c>
      <c r="L4115" s="140" t="s">
        <v>4894</v>
      </c>
      <c r="M4115" s="136">
        <v>45902</v>
      </c>
      <c r="N4115" s="137"/>
      <c r="O4115" s="137"/>
      <c r="P4115" s="136" t="str">
        <f ca="1">IF(Proc[[#This Row],[DaysAgeing]]&gt;5,"yep","on track")</f>
        <v>yep</v>
      </c>
      <c r="Q4115" s="3">
        <f ca="1">IF(Proc[[#This Row],[DateClosed]]="",ABS(NETWORKDAYS(Proc[[#This Row],[DateOpened]],TODAY()))-1,ABS(NETWORKDAYS(Proc[[#This Row],[DateOpened]],Proc[[#This Row],[DateClosed]]))-1)</f>
        <v>78</v>
      </c>
      <c r="R4115" s="136" t="s">
        <v>6087</v>
      </c>
      <c r="S4115" s="140"/>
    </row>
    <row r="4116" spans="1:19" hidden="1">
      <c r="A4116" s="142" t="s">
        <v>6201</v>
      </c>
      <c r="B4116" s="149" t="str">
        <f>IFERROR(VLOOKUP(Proc[[#This Row],[App]],Table2[],3,0),"open")</f>
        <v>ok</v>
      </c>
      <c r="C4116" s="142" t="s">
        <v>369</v>
      </c>
      <c r="D4116" t="s">
        <v>5992</v>
      </c>
      <c r="E4116" t="s">
        <v>6171</v>
      </c>
      <c r="F4116" s="140" t="s">
        <v>6171</v>
      </c>
      <c r="G4116" s="142" t="s">
        <v>406</v>
      </c>
      <c r="H4116" s="140" t="str">
        <f>IF(Proc[[#This Row],[type]]="LFF (MDG-F)",MID(Proc[[#This Row],[Obj]],13,10),"")</f>
        <v>JP01L7M302</v>
      </c>
      <c r="J4116" s="140" t="b">
        <f>Proc[[#This Row],[Requested]]=Proc[[#This Row],[CurrentParent]]</f>
        <v>1</v>
      </c>
      <c r="K4116" s="144" t="str">
        <f>IF(Proc[[#This Row],[Author]]="Marcela Urrego",VLOOKUP(LEFT(Proc[[#This Row],[Requested]],1),Table3[#All],2,0),VLOOKUP(Proc[[#This Row],[Author]],Table4[],2,0))</f>
        <v>EL</v>
      </c>
      <c r="L4116" s="140" t="s">
        <v>4894</v>
      </c>
      <c r="M4116" s="136">
        <v>45902</v>
      </c>
      <c r="N4116" s="137"/>
      <c r="O4116" s="137"/>
      <c r="P4116" s="136" t="str">
        <f ca="1">IF(Proc[[#This Row],[DaysAgeing]]&gt;5,"yep","on track")</f>
        <v>yep</v>
      </c>
      <c r="Q4116" s="3">
        <f ca="1">IF(Proc[[#This Row],[DateClosed]]="",ABS(NETWORKDAYS(Proc[[#This Row],[DateOpened]],TODAY()))-1,ABS(NETWORKDAYS(Proc[[#This Row],[DateOpened]],Proc[[#This Row],[DateClosed]]))-1)</f>
        <v>78</v>
      </c>
      <c r="R4116" s="136" t="s">
        <v>6087</v>
      </c>
      <c r="S4116" s="140"/>
    </row>
    <row r="4117" spans="1:19" hidden="1">
      <c r="A4117" s="142" t="s">
        <v>6201</v>
      </c>
      <c r="B4117" s="149" t="str">
        <f>IFERROR(VLOOKUP(Proc[[#This Row],[App]],Table2[],3,0),"open")</f>
        <v>ok</v>
      </c>
      <c r="C4117" s="142" t="s">
        <v>369</v>
      </c>
      <c r="D4117" t="s">
        <v>5999</v>
      </c>
      <c r="E4117" t="s">
        <v>6200</v>
      </c>
      <c r="F4117" s="140" t="s">
        <v>6200</v>
      </c>
      <c r="G4117" s="142" t="s">
        <v>406</v>
      </c>
      <c r="H4117" s="140" t="str">
        <f>IF(Proc[[#This Row],[type]]="LFF (MDG-F)",MID(Proc[[#This Row],[Obj]],13,10),"")</f>
        <v>JP01OF0203</v>
      </c>
      <c r="J4117" s="140" t="b">
        <f>Proc[[#This Row],[Requested]]=Proc[[#This Row],[CurrentParent]]</f>
        <v>1</v>
      </c>
      <c r="K4117" s="144" t="str">
        <f>IF(Proc[[#This Row],[Author]]="Marcela Urrego",VLOOKUP(LEFT(Proc[[#This Row],[Requested]],1),Table3[#All],2,0),VLOOKUP(Proc[[#This Row],[Author]],Table4[],2,0))</f>
        <v>EL</v>
      </c>
      <c r="L4117" s="140" t="s">
        <v>4894</v>
      </c>
      <c r="M4117" s="136">
        <v>45902</v>
      </c>
      <c r="N4117" s="137"/>
      <c r="O4117" s="137"/>
      <c r="P4117" s="136" t="str">
        <f ca="1">IF(Proc[[#This Row],[DaysAgeing]]&gt;5,"yep","on track")</f>
        <v>yep</v>
      </c>
      <c r="Q4117" s="3">
        <f ca="1">IF(Proc[[#This Row],[DateClosed]]="",ABS(NETWORKDAYS(Proc[[#This Row],[DateOpened]],TODAY()))-1,ABS(NETWORKDAYS(Proc[[#This Row],[DateOpened]],Proc[[#This Row],[DateClosed]]))-1)</f>
        <v>78</v>
      </c>
      <c r="R4117" s="136" t="s">
        <v>6087</v>
      </c>
      <c r="S4117" s="140"/>
    </row>
    <row r="4118" spans="1:19" hidden="1">
      <c r="A4118" s="142" t="s">
        <v>6201</v>
      </c>
      <c r="B4118" s="149" t="str">
        <f>IFERROR(VLOOKUP(Proc[[#This Row],[App]],Table2[],3,0),"open")</f>
        <v>ok</v>
      </c>
      <c r="C4118" s="142" t="s">
        <v>369</v>
      </c>
      <c r="D4118" t="s">
        <v>6203</v>
      </c>
      <c r="E4118" t="s">
        <v>2041</v>
      </c>
      <c r="F4118" s="140" t="s">
        <v>2041</v>
      </c>
      <c r="G4118" s="142" t="s">
        <v>406</v>
      </c>
      <c r="H4118" s="140" t="str">
        <f>IF(Proc[[#This Row],[type]]="LFF (MDG-F)",MID(Proc[[#This Row],[Obj]],13,10),"")</f>
        <v>JP01R0S743</v>
      </c>
      <c r="J4118" s="140" t="b">
        <f>Proc[[#This Row],[Requested]]=Proc[[#This Row],[CurrentParent]]</f>
        <v>1</v>
      </c>
      <c r="K4118" s="144" t="str">
        <f>IF(Proc[[#This Row],[Author]]="Marcela Urrego",VLOOKUP(LEFT(Proc[[#This Row],[Requested]],1),Table3[#All],2,0),VLOOKUP(Proc[[#This Row],[Author]],Table4[],2,0))</f>
        <v>EL</v>
      </c>
      <c r="L4118" s="140" t="s">
        <v>4894</v>
      </c>
      <c r="M4118" s="136">
        <v>45902</v>
      </c>
      <c r="N4118" s="137"/>
      <c r="O4118" s="137"/>
      <c r="P4118" s="136" t="str">
        <f ca="1">IF(Proc[[#This Row],[DaysAgeing]]&gt;5,"yep","on track")</f>
        <v>yep</v>
      </c>
      <c r="Q4118" s="3">
        <f ca="1">IF(Proc[[#This Row],[DateClosed]]="",ABS(NETWORKDAYS(Proc[[#This Row],[DateOpened]],TODAY()))-1,ABS(NETWORKDAYS(Proc[[#This Row],[DateOpened]],Proc[[#This Row],[DateClosed]]))-1)</f>
        <v>78</v>
      </c>
      <c r="R4118" s="136" t="s">
        <v>6087</v>
      </c>
      <c r="S4118" s="140"/>
    </row>
    <row r="4119" spans="1:19" hidden="1">
      <c r="A4119" t="s">
        <v>6202</v>
      </c>
      <c r="B4119" s="149" t="str">
        <f>IFERROR(VLOOKUP(Proc[[#This Row],[App]],Table2[],3,0),"open")</f>
        <v>ok</v>
      </c>
      <c r="C4119" s="144" t="s">
        <v>369</v>
      </c>
      <c r="D4119" t="s">
        <v>6276</v>
      </c>
      <c r="E4119" t="s">
        <v>3522</v>
      </c>
      <c r="F4119" s="149" t="s">
        <v>3522</v>
      </c>
      <c r="G4119" t="s">
        <v>400</v>
      </c>
      <c r="H4119" s="140" t="str">
        <f>IF(Proc[[#This Row],[type]]="LFF (MDG-F)",MID(Proc[[#This Row],[Obj]],13,10),"")</f>
        <v/>
      </c>
      <c r="J4119" s="140" t="b">
        <f>Proc[[#This Row],[Requested]]=Proc[[#This Row],[CurrentParent]]</f>
        <v>1</v>
      </c>
      <c r="K4119" s="144" t="str">
        <f>IF(Proc[[#This Row],[Author]]="Marcela Urrego",VLOOKUP(LEFT(Proc[[#This Row],[Requested]],1),Table3[#All],2,0),VLOOKUP(Proc[[#This Row],[Author]],Table4[],2,0))</f>
        <v>LS</v>
      </c>
      <c r="L4119" s="140" t="s">
        <v>4894</v>
      </c>
      <c r="M4119" s="136">
        <v>45902</v>
      </c>
      <c r="N4119" s="137"/>
      <c r="O4119" s="137"/>
      <c r="P4119" s="136" t="str">
        <f ca="1">IF(Proc[[#This Row],[DaysAgeing]]&gt;5,"yep","on track")</f>
        <v>yep</v>
      </c>
      <c r="Q4119" s="3">
        <f ca="1">IF(Proc[[#This Row],[DateClosed]]="",ABS(NETWORKDAYS(Proc[[#This Row],[DateOpened]],TODAY()))-1,ABS(NETWORKDAYS(Proc[[#This Row],[DateOpened]],Proc[[#This Row],[DateClosed]]))-1)</f>
        <v>78</v>
      </c>
      <c r="R4119" s="136" t="s">
        <v>1262</v>
      </c>
      <c r="S4119" s="140"/>
    </row>
    <row r="4120" spans="1:19" hidden="1">
      <c r="A4120" t="s">
        <v>6216</v>
      </c>
      <c r="B4120" s="149" t="str">
        <f>IFERROR(VLOOKUP(Proc[[#This Row],[App]],Table2[],3,0),"open")</f>
        <v>ok</v>
      </c>
      <c r="C4120" s="142" t="s">
        <v>369</v>
      </c>
      <c r="D4120" t="s">
        <v>6205</v>
      </c>
      <c r="E4120" t="s">
        <v>6204</v>
      </c>
      <c r="F4120" s="140" t="s">
        <v>6204</v>
      </c>
      <c r="G4120" t="s">
        <v>406</v>
      </c>
      <c r="H4120" s="140" t="str">
        <f>IF(Proc[[#This Row],[type]]="LFF (MDG-F)",MID(Proc[[#This Row],[Obj]],13,10),"")</f>
        <v>CNS1OF0144</v>
      </c>
      <c r="J4120" s="140" t="b">
        <f>Proc[[#This Row],[Requested]]=Proc[[#This Row],[CurrentParent]]</f>
        <v>1</v>
      </c>
      <c r="K4120" s="144" t="str">
        <f>IF(Proc[[#This Row],[Author]]="Marcela Urrego",VLOOKUP(LEFT(Proc[[#This Row],[Requested]],1),Table3[#All],2,0),VLOOKUP(Proc[[#This Row],[Author]],Table4[],2,0))</f>
        <v>EL</v>
      </c>
      <c r="L4120" s="140" t="s">
        <v>4894</v>
      </c>
      <c r="M4120" s="136">
        <v>45906</v>
      </c>
      <c r="N4120" s="137"/>
      <c r="O4120" s="137"/>
      <c r="P4120" s="136" t="str">
        <f ca="1">IF(Proc[[#This Row],[DaysAgeing]]&gt;5,"yep","on track")</f>
        <v>yep</v>
      </c>
      <c r="Q4120" s="3">
        <f ca="1">IF(Proc[[#This Row],[DateClosed]]="",ABS(NETWORKDAYS(Proc[[#This Row],[DateOpened]],TODAY()))-1,ABS(NETWORKDAYS(Proc[[#This Row],[DateOpened]],Proc[[#This Row],[DateClosed]]))-1)</f>
        <v>74</v>
      </c>
      <c r="R4120" s="136" t="s">
        <v>6087</v>
      </c>
      <c r="S4120" s="140"/>
    </row>
    <row r="4121" spans="1:19" hidden="1">
      <c r="A4121" s="142" t="s">
        <v>6216</v>
      </c>
      <c r="B4121" s="149" t="str">
        <f>IFERROR(VLOOKUP(Proc[[#This Row],[App]],Table2[],3,0),"open")</f>
        <v>ok</v>
      </c>
      <c r="C4121" s="149" t="s">
        <v>369</v>
      </c>
      <c r="D4121" t="s">
        <v>6206</v>
      </c>
      <c r="E4121" t="s">
        <v>6069</v>
      </c>
      <c r="F4121" s="150" t="s">
        <v>6069</v>
      </c>
      <c r="G4121" s="142" t="s">
        <v>406</v>
      </c>
      <c r="H4121" s="140" t="str">
        <f>IF(Proc[[#This Row],[type]]="LFF (MDG-F)",MID(Proc[[#This Row],[Obj]],13,10),"")</f>
        <v>DES1OFCX20</v>
      </c>
      <c r="J4121" s="140" t="b">
        <f>Proc[[#This Row],[Requested]]=Proc[[#This Row],[CurrentParent]]</f>
        <v>1</v>
      </c>
      <c r="K4121" s="144" t="str">
        <f>IF(Proc[[#This Row],[Author]]="Marcela Urrego",VLOOKUP(LEFT(Proc[[#This Row],[Requested]],1),Table3[#All],2,0),VLOOKUP(Proc[[#This Row],[Author]],Table4[],2,0))</f>
        <v>EL</v>
      </c>
      <c r="L4121" s="140" t="s">
        <v>4894</v>
      </c>
      <c r="M4121" s="136">
        <v>45906</v>
      </c>
      <c r="N4121" s="137"/>
      <c r="O4121" s="137"/>
      <c r="P4121" s="136" t="str">
        <f ca="1">IF(Proc[[#This Row],[DaysAgeing]]&gt;5,"yep","on track")</f>
        <v>yep</v>
      </c>
      <c r="Q4121" s="3">
        <f ca="1">IF(Proc[[#This Row],[DateClosed]]="",ABS(NETWORKDAYS(Proc[[#This Row],[DateOpened]],TODAY()))-1,ABS(NETWORKDAYS(Proc[[#This Row],[DateOpened]],Proc[[#This Row],[DateClosed]]))-1)</f>
        <v>74</v>
      </c>
      <c r="R4121" s="136" t="s">
        <v>6087</v>
      </c>
      <c r="S4121" s="140"/>
    </row>
    <row r="4122" spans="1:19" hidden="1">
      <c r="A4122" s="142" t="s">
        <v>6216</v>
      </c>
      <c r="B4122" s="149" t="str">
        <f>IFERROR(VLOOKUP(Proc[[#This Row],[App]],Table2[],3,0),"open")</f>
        <v>ok</v>
      </c>
      <c r="C4122" s="149" t="s">
        <v>369</v>
      </c>
      <c r="D4122" t="s">
        <v>6207</v>
      </c>
      <c r="E4122" t="s">
        <v>6069</v>
      </c>
      <c r="F4122" s="150" t="s">
        <v>6069</v>
      </c>
      <c r="G4122" s="142" t="s">
        <v>406</v>
      </c>
      <c r="H4122" s="140" t="str">
        <f>IF(Proc[[#This Row],[type]]="LFF (MDG-F)",MID(Proc[[#This Row],[Obj]],13,10),"")</f>
        <v>DES1OFCX21</v>
      </c>
      <c r="J4122" s="140" t="b">
        <f>Proc[[#This Row],[Requested]]=Proc[[#This Row],[CurrentParent]]</f>
        <v>1</v>
      </c>
      <c r="K4122" s="144" t="str">
        <f>IF(Proc[[#This Row],[Author]]="Marcela Urrego",VLOOKUP(LEFT(Proc[[#This Row],[Requested]],1),Table3[#All],2,0),VLOOKUP(Proc[[#This Row],[Author]],Table4[],2,0))</f>
        <v>EL</v>
      </c>
      <c r="L4122" s="140" t="s">
        <v>4894</v>
      </c>
      <c r="M4122" s="136">
        <v>45906</v>
      </c>
      <c r="N4122" s="137"/>
      <c r="O4122" s="137"/>
      <c r="P4122" s="136" t="str">
        <f ca="1">IF(Proc[[#This Row],[DaysAgeing]]&gt;5,"yep","on track")</f>
        <v>yep</v>
      </c>
      <c r="Q4122" s="3">
        <f ca="1">IF(Proc[[#This Row],[DateClosed]]="",ABS(NETWORKDAYS(Proc[[#This Row],[DateOpened]],TODAY()))-1,ABS(NETWORKDAYS(Proc[[#This Row],[DateOpened]],Proc[[#This Row],[DateClosed]]))-1)</f>
        <v>74</v>
      </c>
      <c r="R4122" s="136" t="s">
        <v>6087</v>
      </c>
      <c r="S4122" s="140"/>
    </row>
    <row r="4123" spans="1:19" hidden="1">
      <c r="A4123" s="142" t="s">
        <v>6216</v>
      </c>
      <c r="B4123" s="149" t="str">
        <f>IFERROR(VLOOKUP(Proc[[#This Row],[App]],Table2[],3,0),"open")</f>
        <v>ok</v>
      </c>
      <c r="C4123" s="144" t="s">
        <v>369</v>
      </c>
      <c r="D4123" t="s">
        <v>6208</v>
      </c>
      <c r="E4123" t="s">
        <v>6059</v>
      </c>
      <c r="F4123" s="140" t="s">
        <v>6059</v>
      </c>
      <c r="G4123" s="142" t="s">
        <v>406</v>
      </c>
      <c r="H4123" s="140" t="str">
        <f>IF(Proc[[#This Row],[type]]="LFF (MDG-F)",MID(Proc[[#This Row],[Obj]],13,10),"")</f>
        <v>DES1Z01000</v>
      </c>
      <c r="J4123" s="140" t="b">
        <f>Proc[[#This Row],[Requested]]=Proc[[#This Row],[CurrentParent]]</f>
        <v>1</v>
      </c>
      <c r="K4123" s="144" t="str">
        <f>IF(Proc[[#This Row],[Author]]="Marcela Urrego",VLOOKUP(LEFT(Proc[[#This Row],[Requested]],1),Table3[#All],2,0),VLOOKUP(Proc[[#This Row],[Author]],Table4[],2,0))</f>
        <v>EL</v>
      </c>
      <c r="L4123" s="140" t="s">
        <v>4894</v>
      </c>
      <c r="M4123" s="136">
        <v>45906</v>
      </c>
      <c r="N4123" s="137"/>
      <c r="O4123" s="137"/>
      <c r="P4123" s="136" t="str">
        <f ca="1">IF(Proc[[#This Row],[DaysAgeing]]&gt;5,"yep","on track")</f>
        <v>yep</v>
      </c>
      <c r="Q4123" s="3">
        <f ca="1">IF(Proc[[#This Row],[DateClosed]]="",ABS(NETWORKDAYS(Proc[[#This Row],[DateOpened]],TODAY()))-1,ABS(NETWORKDAYS(Proc[[#This Row],[DateOpened]],Proc[[#This Row],[DateClosed]]))-1)</f>
        <v>74</v>
      </c>
      <c r="R4123" s="136" t="s">
        <v>6087</v>
      </c>
      <c r="S4123" s="140"/>
    </row>
    <row r="4124" spans="1:19" hidden="1">
      <c r="A4124" s="142" t="s">
        <v>6216</v>
      </c>
      <c r="B4124" s="149" t="str">
        <f>IFERROR(VLOOKUP(Proc[[#This Row],[App]],Table2[],3,0),"open")</f>
        <v>ok</v>
      </c>
      <c r="C4124" s="144" t="s">
        <v>369</v>
      </c>
      <c r="D4124" t="s">
        <v>6209</v>
      </c>
      <c r="E4124" t="s">
        <v>6059</v>
      </c>
      <c r="F4124" s="140" t="s">
        <v>6059</v>
      </c>
      <c r="G4124" s="142" t="s">
        <v>406</v>
      </c>
      <c r="H4124" s="140" t="str">
        <f>IF(Proc[[#This Row],[type]]="LFF (MDG-F)",MID(Proc[[#This Row],[Obj]],13,10),"")</f>
        <v>KRS1Z01000</v>
      </c>
      <c r="J4124" s="140" t="b">
        <f>Proc[[#This Row],[Requested]]=Proc[[#This Row],[CurrentParent]]</f>
        <v>1</v>
      </c>
      <c r="K4124" s="144" t="str">
        <f>IF(Proc[[#This Row],[Author]]="Marcela Urrego",VLOOKUP(LEFT(Proc[[#This Row],[Requested]],1),Table3[#All],2,0),VLOOKUP(Proc[[#This Row],[Author]],Table4[],2,0))</f>
        <v>EL</v>
      </c>
      <c r="L4124" s="140" t="s">
        <v>4894</v>
      </c>
      <c r="M4124" s="136">
        <v>45906</v>
      </c>
      <c r="N4124" s="137"/>
      <c r="O4124" s="137"/>
      <c r="P4124" s="136" t="str">
        <f ca="1">IF(Proc[[#This Row],[DaysAgeing]]&gt;5,"yep","on track")</f>
        <v>yep</v>
      </c>
      <c r="Q4124" s="3">
        <f ca="1">IF(Proc[[#This Row],[DateClosed]]="",ABS(NETWORKDAYS(Proc[[#This Row],[DateOpened]],TODAY()))-1,ABS(NETWORKDAYS(Proc[[#This Row],[DateOpened]],Proc[[#This Row],[DateClosed]]))-1)</f>
        <v>74</v>
      </c>
      <c r="R4124" s="136" t="s">
        <v>6087</v>
      </c>
      <c r="S4124" s="140"/>
    </row>
    <row r="4125" spans="1:19" hidden="1">
      <c r="A4125" s="142" t="s">
        <v>6216</v>
      </c>
      <c r="B4125" s="149" t="str">
        <f>IFERROR(VLOOKUP(Proc[[#This Row],[App]],Table2[],3,0),"open")</f>
        <v>ok</v>
      </c>
      <c r="C4125" s="142" t="s">
        <v>369</v>
      </c>
      <c r="D4125" t="s">
        <v>6210</v>
      </c>
      <c r="E4125" t="s">
        <v>6204</v>
      </c>
      <c r="F4125" s="140" t="s">
        <v>6204</v>
      </c>
      <c r="G4125" s="142" t="s">
        <v>406</v>
      </c>
      <c r="H4125" s="140" t="str">
        <f>IF(Proc[[#This Row],[type]]="LFF (MDG-F)",MID(Proc[[#This Row],[Obj]],13,10),"")</f>
        <v>MYS1OF0110</v>
      </c>
      <c r="J4125" s="140" t="b">
        <f>Proc[[#This Row],[Requested]]=Proc[[#This Row],[CurrentParent]]</f>
        <v>1</v>
      </c>
      <c r="K4125" s="144" t="str">
        <f>IF(Proc[[#This Row],[Author]]="Marcela Urrego",VLOOKUP(LEFT(Proc[[#This Row],[Requested]],1),Table3[#All],2,0),VLOOKUP(Proc[[#This Row],[Author]],Table4[],2,0))</f>
        <v>EL</v>
      </c>
      <c r="L4125" s="140" t="s">
        <v>4894</v>
      </c>
      <c r="M4125" s="136">
        <v>45906</v>
      </c>
      <c r="N4125" s="137"/>
      <c r="O4125" s="137"/>
      <c r="P4125" s="136" t="str">
        <f ca="1">IF(Proc[[#This Row],[DaysAgeing]]&gt;5,"yep","on track")</f>
        <v>yep</v>
      </c>
      <c r="Q4125" s="3">
        <f ca="1">IF(Proc[[#This Row],[DateClosed]]="",ABS(NETWORKDAYS(Proc[[#This Row],[DateOpened]],TODAY()))-1,ABS(NETWORKDAYS(Proc[[#This Row],[DateOpened]],Proc[[#This Row],[DateClosed]]))-1)</f>
        <v>74</v>
      </c>
      <c r="R4125" s="136" t="s">
        <v>6087</v>
      </c>
      <c r="S4125" s="140"/>
    </row>
    <row r="4126" spans="1:19" hidden="1">
      <c r="A4126" s="142" t="s">
        <v>6216</v>
      </c>
      <c r="B4126" s="149" t="str">
        <f>IFERROR(VLOOKUP(Proc[[#This Row],[App]],Table2[],3,0),"open")</f>
        <v>ok</v>
      </c>
      <c r="C4126" s="144" t="s">
        <v>369</v>
      </c>
      <c r="D4126" t="s">
        <v>6211</v>
      </c>
      <c r="E4126" t="s">
        <v>6059</v>
      </c>
      <c r="F4126" s="140" t="s">
        <v>6059</v>
      </c>
      <c r="G4126" s="142" t="s">
        <v>406</v>
      </c>
      <c r="H4126" s="140" t="str">
        <f>IF(Proc[[#This Row],[type]]="LFF (MDG-F)",MID(Proc[[#This Row],[Obj]],13,10),"")</f>
        <v>MYS1Z01000</v>
      </c>
      <c r="J4126" s="140" t="b">
        <f>Proc[[#This Row],[Requested]]=Proc[[#This Row],[CurrentParent]]</f>
        <v>1</v>
      </c>
      <c r="K4126" s="144" t="str">
        <f>IF(Proc[[#This Row],[Author]]="Marcela Urrego",VLOOKUP(LEFT(Proc[[#This Row],[Requested]],1),Table3[#All],2,0),VLOOKUP(Proc[[#This Row],[Author]],Table4[],2,0))</f>
        <v>EL</v>
      </c>
      <c r="L4126" s="140" t="s">
        <v>4894</v>
      </c>
      <c r="M4126" s="136">
        <v>45906</v>
      </c>
      <c r="N4126" s="137"/>
      <c r="O4126" s="137"/>
      <c r="P4126" s="136" t="str">
        <f ca="1">IF(Proc[[#This Row],[DaysAgeing]]&gt;5,"yep","on track")</f>
        <v>yep</v>
      </c>
      <c r="Q4126" s="3">
        <f ca="1">IF(Proc[[#This Row],[DateClosed]]="",ABS(NETWORKDAYS(Proc[[#This Row],[DateOpened]],TODAY()))-1,ABS(NETWORKDAYS(Proc[[#This Row],[DateOpened]],Proc[[#This Row],[DateClosed]]))-1)</f>
        <v>74</v>
      </c>
      <c r="R4126" s="136" t="s">
        <v>6087</v>
      </c>
      <c r="S4126" s="140"/>
    </row>
    <row r="4127" spans="1:19" hidden="1">
      <c r="A4127" s="142" t="s">
        <v>6216</v>
      </c>
      <c r="B4127" s="149" t="str">
        <f>IFERROR(VLOOKUP(Proc[[#This Row],[App]],Table2[],3,0),"open")</f>
        <v>ok</v>
      </c>
      <c r="C4127" s="142" t="s">
        <v>369</v>
      </c>
      <c r="D4127" t="s">
        <v>6212</v>
      </c>
      <c r="E4127" t="s">
        <v>6204</v>
      </c>
      <c r="F4127" s="140" t="s">
        <v>6204</v>
      </c>
      <c r="G4127" s="142" t="s">
        <v>406</v>
      </c>
      <c r="H4127" s="140" t="str">
        <f>IF(Proc[[#This Row],[type]]="LFF (MDG-F)",MID(Proc[[#This Row],[Obj]],13,10),"")</f>
        <v>THS1OF0110</v>
      </c>
      <c r="J4127" s="140" t="b">
        <f>Proc[[#This Row],[Requested]]=Proc[[#This Row],[CurrentParent]]</f>
        <v>1</v>
      </c>
      <c r="K4127" s="144" t="str">
        <f>IF(Proc[[#This Row],[Author]]="Marcela Urrego",VLOOKUP(LEFT(Proc[[#This Row],[Requested]],1),Table3[#All],2,0),VLOOKUP(Proc[[#This Row],[Author]],Table4[],2,0))</f>
        <v>EL</v>
      </c>
      <c r="L4127" s="140" t="s">
        <v>4894</v>
      </c>
      <c r="M4127" s="136">
        <v>45906</v>
      </c>
      <c r="N4127" s="137"/>
      <c r="O4127" s="137"/>
      <c r="P4127" s="136" t="str">
        <f ca="1">IF(Proc[[#This Row],[DaysAgeing]]&gt;5,"yep","on track")</f>
        <v>yep</v>
      </c>
      <c r="Q4127" s="3">
        <f ca="1">IF(Proc[[#This Row],[DateClosed]]="",ABS(NETWORKDAYS(Proc[[#This Row],[DateOpened]],TODAY()))-1,ABS(NETWORKDAYS(Proc[[#This Row],[DateOpened]],Proc[[#This Row],[DateClosed]]))-1)</f>
        <v>74</v>
      </c>
      <c r="R4127" s="136" t="s">
        <v>6087</v>
      </c>
      <c r="S4127" s="140"/>
    </row>
    <row r="4128" spans="1:19" hidden="1">
      <c r="A4128" s="142" t="s">
        <v>6216</v>
      </c>
      <c r="B4128" s="149" t="str">
        <f>IFERROR(VLOOKUP(Proc[[#This Row],[App]],Table2[],3,0),"open")</f>
        <v>ok</v>
      </c>
      <c r="C4128" s="144" t="s">
        <v>369</v>
      </c>
      <c r="D4128" t="s">
        <v>6213</v>
      </c>
      <c r="E4128" t="s">
        <v>6059</v>
      </c>
      <c r="F4128" s="140" t="s">
        <v>6059</v>
      </c>
      <c r="G4128" s="142" t="s">
        <v>406</v>
      </c>
      <c r="H4128" s="140" t="str">
        <f>IF(Proc[[#This Row],[type]]="LFF (MDG-F)",MID(Proc[[#This Row],[Obj]],13,10),"")</f>
        <v>USS1Z01000</v>
      </c>
      <c r="J4128" s="140" t="b">
        <f>Proc[[#This Row],[Requested]]=Proc[[#This Row],[CurrentParent]]</f>
        <v>1</v>
      </c>
      <c r="K4128" s="144" t="str">
        <f>IF(Proc[[#This Row],[Author]]="Marcela Urrego",VLOOKUP(LEFT(Proc[[#This Row],[Requested]],1),Table3[#All],2,0),VLOOKUP(Proc[[#This Row],[Author]],Table4[],2,0))</f>
        <v>EL</v>
      </c>
      <c r="L4128" s="140" t="s">
        <v>4894</v>
      </c>
      <c r="M4128" s="136">
        <v>45906</v>
      </c>
      <c r="N4128" s="137"/>
      <c r="O4128" s="137"/>
      <c r="P4128" s="136" t="str">
        <f ca="1">IF(Proc[[#This Row],[DaysAgeing]]&gt;5,"yep","on track")</f>
        <v>yep</v>
      </c>
      <c r="Q4128" s="3">
        <f ca="1">IF(Proc[[#This Row],[DateClosed]]="",ABS(NETWORKDAYS(Proc[[#This Row],[DateOpened]],TODAY()))-1,ABS(NETWORKDAYS(Proc[[#This Row],[DateOpened]],Proc[[#This Row],[DateClosed]]))-1)</f>
        <v>74</v>
      </c>
      <c r="R4128" s="136" t="s">
        <v>6087</v>
      </c>
      <c r="S4128" s="140"/>
    </row>
    <row r="4129" spans="1:19" hidden="1">
      <c r="A4129" s="142" t="s">
        <v>6216</v>
      </c>
      <c r="B4129" s="149" t="str">
        <f>IFERROR(VLOOKUP(Proc[[#This Row],[App]],Table2[],3,0),"open")</f>
        <v>ok</v>
      </c>
      <c r="C4129" s="144" t="s">
        <v>369</v>
      </c>
      <c r="D4129" t="s">
        <v>6214</v>
      </c>
      <c r="E4129" t="s">
        <v>6059</v>
      </c>
      <c r="F4129" s="140" t="s">
        <v>6059</v>
      </c>
      <c r="G4129" s="142" t="s">
        <v>406</v>
      </c>
      <c r="H4129" s="140" t="str">
        <f>IF(Proc[[#This Row],[type]]="LFF (MDG-F)",MID(Proc[[#This Row],[Obj]],13,10),"")</f>
        <v>CNS1Z01000</v>
      </c>
      <c r="J4129" s="140" t="b">
        <f>Proc[[#This Row],[Requested]]=Proc[[#This Row],[CurrentParent]]</f>
        <v>1</v>
      </c>
      <c r="K4129" s="144" t="str">
        <f>IF(Proc[[#This Row],[Author]]="Marcela Urrego",VLOOKUP(LEFT(Proc[[#This Row],[Requested]],1),Table3[#All],2,0),VLOOKUP(Proc[[#This Row],[Author]],Table4[],2,0))</f>
        <v>EL</v>
      </c>
      <c r="L4129" s="140" t="s">
        <v>4894</v>
      </c>
      <c r="M4129" s="136">
        <v>45906</v>
      </c>
      <c r="N4129" s="137"/>
      <c r="O4129" s="137"/>
      <c r="P4129" s="136" t="str">
        <f ca="1">IF(Proc[[#This Row],[DaysAgeing]]&gt;5,"yep","on track")</f>
        <v>yep</v>
      </c>
      <c r="Q4129" s="3">
        <f ca="1">IF(Proc[[#This Row],[DateClosed]]="",ABS(NETWORKDAYS(Proc[[#This Row],[DateOpened]],TODAY()))-1,ABS(NETWORKDAYS(Proc[[#This Row],[DateOpened]],Proc[[#This Row],[DateClosed]]))-1)</f>
        <v>74</v>
      </c>
      <c r="R4129" s="136" t="s">
        <v>6087</v>
      </c>
      <c r="S4129" s="140"/>
    </row>
    <row r="4130" spans="1:19" hidden="1">
      <c r="A4130" s="142" t="s">
        <v>6216</v>
      </c>
      <c r="B4130" s="149" t="str">
        <f>IFERROR(VLOOKUP(Proc[[#This Row],[App]],Table2[],3,0),"open")</f>
        <v>ok</v>
      </c>
      <c r="C4130" s="144" t="s">
        <v>369</v>
      </c>
      <c r="D4130" t="s">
        <v>6215</v>
      </c>
      <c r="E4130" t="s">
        <v>6059</v>
      </c>
      <c r="F4130" s="140" t="s">
        <v>6059</v>
      </c>
      <c r="G4130" s="142" t="s">
        <v>406</v>
      </c>
      <c r="H4130" s="140" t="str">
        <f>IF(Proc[[#This Row],[type]]="LFF (MDG-F)",MID(Proc[[#This Row],[Obj]],13,10),"")</f>
        <v>THS1Z01000</v>
      </c>
      <c r="J4130" s="140" t="b">
        <f>Proc[[#This Row],[Requested]]=Proc[[#This Row],[CurrentParent]]</f>
        <v>1</v>
      </c>
      <c r="K4130" s="144" t="str">
        <f>IF(Proc[[#This Row],[Author]]="Marcela Urrego",VLOOKUP(LEFT(Proc[[#This Row],[Requested]],1),Table3[#All],2,0),VLOOKUP(Proc[[#This Row],[Author]],Table4[],2,0))</f>
        <v>EL</v>
      </c>
      <c r="L4130" s="140" t="s">
        <v>4894</v>
      </c>
      <c r="M4130" s="136">
        <v>45906</v>
      </c>
      <c r="N4130" s="137"/>
      <c r="O4130" s="137"/>
      <c r="P4130" s="136" t="str">
        <f ca="1">IF(Proc[[#This Row],[DaysAgeing]]&gt;5,"yep","on track")</f>
        <v>yep</v>
      </c>
      <c r="Q4130" s="3">
        <f ca="1">IF(Proc[[#This Row],[DateClosed]]="",ABS(NETWORKDAYS(Proc[[#This Row],[DateOpened]],TODAY()))-1,ABS(NETWORKDAYS(Proc[[#This Row],[DateOpened]],Proc[[#This Row],[DateClosed]]))-1)</f>
        <v>74</v>
      </c>
      <c r="R4130" s="136" t="s">
        <v>6087</v>
      </c>
      <c r="S4130" s="140"/>
    </row>
    <row r="4131" spans="1:19" hidden="1">
      <c r="A4131" t="s">
        <v>6217</v>
      </c>
      <c r="B4131" s="149" t="str">
        <f>IFERROR(VLOOKUP(Proc[[#This Row],[App]],Table2[],3,0),"open")</f>
        <v>ok</v>
      </c>
      <c r="C4131" s="144" t="s">
        <v>369</v>
      </c>
      <c r="D4131" s="143" t="s">
        <v>6218</v>
      </c>
      <c r="E4131" s="144" t="s">
        <v>3249</v>
      </c>
      <c r="F4131" s="140" t="s">
        <v>3249</v>
      </c>
      <c r="G4131" t="s">
        <v>400</v>
      </c>
      <c r="H4131" s="140" t="str">
        <f>IF(Proc[[#This Row],[type]]="LFF (MDG-F)",MID(Proc[[#This Row],[Obj]],13,10),"")</f>
        <v/>
      </c>
      <c r="J4131" s="140" t="b">
        <f>Proc[[#This Row],[Requested]]=Proc[[#This Row],[CurrentParent]]</f>
        <v>1</v>
      </c>
      <c r="K4131" s="144" t="str">
        <f>IF(Proc[[#This Row],[Author]]="Marcela Urrego",VLOOKUP(LEFT(Proc[[#This Row],[Requested]],1),Table3[#All],2,0),VLOOKUP(Proc[[#This Row],[Author]],Table4[],2,0))</f>
        <v>MGF</v>
      </c>
      <c r="L4131" s="140" t="s">
        <v>4894</v>
      </c>
      <c r="M4131" s="136">
        <v>45908</v>
      </c>
      <c r="N4131" s="137"/>
      <c r="O4131" s="137"/>
      <c r="P4131" s="136" t="str">
        <f ca="1">IF(Proc[[#This Row],[DaysAgeing]]&gt;5,"yep","on track")</f>
        <v>yep</v>
      </c>
      <c r="Q4131" s="3">
        <f ca="1">IF(Proc[[#This Row],[DateClosed]]="",ABS(NETWORKDAYS(Proc[[#This Row],[DateOpened]],TODAY()))-1,ABS(NETWORKDAYS(Proc[[#This Row],[DateOpened]],Proc[[#This Row],[DateClosed]]))-1)</f>
        <v>74</v>
      </c>
      <c r="R4131" s="136" t="s">
        <v>515</v>
      </c>
      <c r="S4131" s="140"/>
    </row>
    <row r="4132" spans="1:19" hidden="1">
      <c r="A4132" t="s">
        <v>6236</v>
      </c>
      <c r="B4132" s="149" t="str">
        <f>IFERROR(VLOOKUP(Proc[[#This Row],[App]],Table2[],3,0),"open")</f>
        <v>ok</v>
      </c>
      <c r="C4132" s="144" t="s">
        <v>369</v>
      </c>
      <c r="D4132" t="s">
        <v>6219</v>
      </c>
      <c r="E4132" t="s">
        <v>4864</v>
      </c>
      <c r="F4132" s="140" t="s">
        <v>4864</v>
      </c>
      <c r="G4132" t="s">
        <v>400</v>
      </c>
      <c r="H4132" s="140" t="str">
        <f>IF(Proc[[#This Row],[type]]="LFF (MDG-F)",MID(Proc[[#This Row],[Obj]],13,10),"")</f>
        <v/>
      </c>
      <c r="J4132" s="140" t="b">
        <f>Proc[[#This Row],[Requested]]=Proc[[#This Row],[CurrentParent]]</f>
        <v>1</v>
      </c>
      <c r="K4132" s="144" t="str">
        <f>IF(Proc[[#This Row],[Author]]="Marcela Urrego",VLOOKUP(LEFT(Proc[[#This Row],[Requested]],1),Table3[#All],2,0),VLOOKUP(Proc[[#This Row],[Author]],Table4[],2,0))</f>
        <v>MGF</v>
      </c>
      <c r="L4132" s="140" t="s">
        <v>4894</v>
      </c>
      <c r="M4132" s="137">
        <v>45909</v>
      </c>
      <c r="N4132" s="137"/>
      <c r="O4132" s="137"/>
      <c r="P4132" s="145" t="str">
        <f ca="1">IF(Proc[[#This Row],[DaysAgeing]]&gt;5,"yep","on track")</f>
        <v>yep</v>
      </c>
      <c r="Q4132" s="3">
        <f ca="1">IF(Proc[[#This Row],[DateClosed]]="",ABS(NETWORKDAYS(Proc[[#This Row],[DateOpened]],TODAY()))-1,ABS(NETWORKDAYS(Proc[[#This Row],[DateOpened]],Proc[[#This Row],[DateClosed]]))-1)</f>
        <v>73</v>
      </c>
      <c r="R4132" s="137" t="s">
        <v>515</v>
      </c>
      <c r="S4132" s="140"/>
    </row>
    <row r="4133" spans="1:19" hidden="1">
      <c r="A4133" s="144" t="s">
        <v>6236</v>
      </c>
      <c r="B4133" s="149" t="str">
        <f>IFERROR(VLOOKUP(Proc[[#This Row],[App]],Table2[],3,0),"open")</f>
        <v>ok</v>
      </c>
      <c r="C4133" s="144" t="s">
        <v>369</v>
      </c>
      <c r="D4133" t="s">
        <v>6220</v>
      </c>
      <c r="E4133" t="s">
        <v>4864</v>
      </c>
      <c r="F4133" s="140" t="s">
        <v>4864</v>
      </c>
      <c r="G4133" t="s">
        <v>400</v>
      </c>
      <c r="H4133" s="140" t="str">
        <f>IF(Proc[[#This Row],[type]]="LFF (MDG-F)",MID(Proc[[#This Row],[Obj]],13,10),"")</f>
        <v/>
      </c>
      <c r="J4133" s="140" t="b">
        <f>Proc[[#This Row],[Requested]]=Proc[[#This Row],[CurrentParent]]</f>
        <v>1</v>
      </c>
      <c r="K4133" s="144" t="str">
        <f>IF(Proc[[#This Row],[Author]]="Marcela Urrego",VLOOKUP(LEFT(Proc[[#This Row],[Requested]],1),Table3[#All],2,0),VLOOKUP(Proc[[#This Row],[Author]],Table4[],2,0))</f>
        <v>MGF</v>
      </c>
      <c r="L4133" s="140" t="s">
        <v>4894</v>
      </c>
      <c r="M4133" s="137">
        <v>45909</v>
      </c>
      <c r="N4133" s="137"/>
      <c r="O4133" s="137"/>
      <c r="P4133" s="145" t="str">
        <f ca="1">IF(Proc[[#This Row],[DaysAgeing]]&gt;5,"yep","on track")</f>
        <v>yep</v>
      </c>
      <c r="Q4133" s="3">
        <f ca="1">IF(Proc[[#This Row],[DateClosed]]="",ABS(NETWORKDAYS(Proc[[#This Row],[DateOpened]],TODAY()))-1,ABS(NETWORKDAYS(Proc[[#This Row],[DateOpened]],Proc[[#This Row],[DateClosed]]))-1)</f>
        <v>73</v>
      </c>
      <c r="R4133" s="137" t="s">
        <v>515</v>
      </c>
      <c r="S4133" s="140"/>
    </row>
    <row r="4134" spans="1:19" hidden="1">
      <c r="A4134" s="144" t="s">
        <v>6236</v>
      </c>
      <c r="B4134" s="149" t="str">
        <f>IFERROR(VLOOKUP(Proc[[#This Row],[App]],Table2[],3,0),"open")</f>
        <v>ok</v>
      </c>
      <c r="C4134" s="144" t="s">
        <v>369</v>
      </c>
      <c r="D4134" t="s">
        <v>6221</v>
      </c>
      <c r="E4134" t="s">
        <v>4865</v>
      </c>
      <c r="F4134" s="140" t="s">
        <v>4865</v>
      </c>
      <c r="G4134" t="s">
        <v>400</v>
      </c>
      <c r="H4134" s="140" t="str">
        <f>IF(Proc[[#This Row],[type]]="LFF (MDG-F)",MID(Proc[[#This Row],[Obj]],13,10),"")</f>
        <v/>
      </c>
      <c r="J4134" s="140" t="b">
        <f>Proc[[#This Row],[Requested]]=Proc[[#This Row],[CurrentParent]]</f>
        <v>1</v>
      </c>
      <c r="K4134" s="144" t="str">
        <f>IF(Proc[[#This Row],[Author]]="Marcela Urrego",VLOOKUP(LEFT(Proc[[#This Row],[Requested]],1),Table3[#All],2,0),VLOOKUP(Proc[[#This Row],[Author]],Table4[],2,0))</f>
        <v>MGF</v>
      </c>
      <c r="L4134" s="140" t="s">
        <v>4894</v>
      </c>
      <c r="M4134" s="137">
        <v>45909</v>
      </c>
      <c r="N4134" s="137"/>
      <c r="O4134" s="137"/>
      <c r="P4134" s="145" t="str">
        <f ca="1">IF(Proc[[#This Row],[DaysAgeing]]&gt;5,"yep","on track")</f>
        <v>yep</v>
      </c>
      <c r="Q4134" s="3">
        <f ca="1">IF(Proc[[#This Row],[DateClosed]]="",ABS(NETWORKDAYS(Proc[[#This Row],[DateOpened]],TODAY()))-1,ABS(NETWORKDAYS(Proc[[#This Row],[DateOpened]],Proc[[#This Row],[DateClosed]]))-1)</f>
        <v>73</v>
      </c>
      <c r="R4134" s="137" t="s">
        <v>515</v>
      </c>
      <c r="S4134" s="140"/>
    </row>
    <row r="4135" spans="1:19" hidden="1">
      <c r="A4135" s="144" t="s">
        <v>6236</v>
      </c>
      <c r="B4135" s="149" t="str">
        <f>IFERROR(VLOOKUP(Proc[[#This Row],[App]],Table2[],3,0),"open")</f>
        <v>ok</v>
      </c>
      <c r="C4135" s="144" t="s">
        <v>369</v>
      </c>
      <c r="D4135" t="s">
        <v>6222</v>
      </c>
      <c r="E4135" t="s">
        <v>4865</v>
      </c>
      <c r="F4135" s="140" t="s">
        <v>4865</v>
      </c>
      <c r="G4135" t="s">
        <v>406</v>
      </c>
      <c r="H4135" s="140" t="str">
        <f>IF(Proc[[#This Row],[type]]="LFF (MDG-F)",MID(Proc[[#This Row],[Obj]],13,10),"")</f>
        <v>BE50GLE300</v>
      </c>
      <c r="J4135" s="140" t="b">
        <f>Proc[[#This Row],[Requested]]=Proc[[#This Row],[CurrentParent]]</f>
        <v>1</v>
      </c>
      <c r="K4135" s="144" t="str">
        <f>IF(Proc[[#This Row],[Author]]="Marcela Urrego",VLOOKUP(LEFT(Proc[[#This Row],[Requested]],1),Table3[#All],2,0),VLOOKUP(Proc[[#This Row],[Author]],Table4[],2,0))</f>
        <v>MGF</v>
      </c>
      <c r="L4135" s="140" t="s">
        <v>4894</v>
      </c>
      <c r="M4135" s="137">
        <v>45909</v>
      </c>
      <c r="N4135" s="137"/>
      <c r="O4135" s="137"/>
      <c r="P4135" s="145" t="str">
        <f ca="1">IF(Proc[[#This Row],[DaysAgeing]]&gt;5,"yep","on track")</f>
        <v>yep</v>
      </c>
      <c r="Q4135" s="3">
        <f ca="1">IF(Proc[[#This Row],[DateClosed]]="",ABS(NETWORKDAYS(Proc[[#This Row],[DateOpened]],TODAY()))-1,ABS(NETWORKDAYS(Proc[[#This Row],[DateOpened]],Proc[[#This Row],[DateClosed]]))-1)</f>
        <v>73</v>
      </c>
      <c r="R4135" s="137" t="s">
        <v>515</v>
      </c>
      <c r="S4135" s="140"/>
    </row>
    <row r="4136" spans="1:19" hidden="1">
      <c r="A4136" s="144" t="s">
        <v>6236</v>
      </c>
      <c r="B4136" s="149" t="str">
        <f>IFERROR(VLOOKUP(Proc[[#This Row],[App]],Table2[],3,0),"open")</f>
        <v>ok</v>
      </c>
      <c r="C4136" s="144" t="s">
        <v>369</v>
      </c>
      <c r="D4136" t="s">
        <v>6223</v>
      </c>
      <c r="E4136" t="s">
        <v>4864</v>
      </c>
      <c r="F4136" s="140" t="s">
        <v>4864</v>
      </c>
      <c r="G4136" s="144" t="s">
        <v>406</v>
      </c>
      <c r="H4136" s="140" t="str">
        <f>IF(Proc[[#This Row],[type]]="LFF (MDG-F)",MID(Proc[[#This Row],[Obj]],13,10),"")</f>
        <v>JP01GLE302</v>
      </c>
      <c r="J4136" s="140" t="b">
        <f>Proc[[#This Row],[Requested]]=Proc[[#This Row],[CurrentParent]]</f>
        <v>1</v>
      </c>
      <c r="K4136" s="144" t="str">
        <f>IF(Proc[[#This Row],[Author]]="Marcela Urrego",VLOOKUP(LEFT(Proc[[#This Row],[Requested]],1),Table3[#All],2,0),VLOOKUP(Proc[[#This Row],[Author]],Table4[],2,0))</f>
        <v>MGF</v>
      </c>
      <c r="L4136" s="140" t="s">
        <v>4894</v>
      </c>
      <c r="M4136" s="137">
        <v>45909</v>
      </c>
      <c r="N4136" s="137"/>
      <c r="O4136" s="137"/>
      <c r="P4136" s="145" t="str">
        <f ca="1">IF(Proc[[#This Row],[DaysAgeing]]&gt;5,"yep","on track")</f>
        <v>yep</v>
      </c>
      <c r="Q4136" s="3">
        <f ca="1">IF(Proc[[#This Row],[DateClosed]]="",ABS(NETWORKDAYS(Proc[[#This Row],[DateOpened]],TODAY()))-1,ABS(NETWORKDAYS(Proc[[#This Row],[DateOpened]],Proc[[#This Row],[DateClosed]]))-1)</f>
        <v>73</v>
      </c>
      <c r="R4136" s="137" t="s">
        <v>515</v>
      </c>
      <c r="S4136" s="140"/>
    </row>
    <row r="4137" spans="1:19" hidden="1">
      <c r="A4137" s="144" t="s">
        <v>6236</v>
      </c>
      <c r="B4137" s="149" t="str">
        <f>IFERROR(VLOOKUP(Proc[[#This Row],[App]],Table2[],3,0),"open")</f>
        <v>ok</v>
      </c>
      <c r="C4137" s="144" t="s">
        <v>369</v>
      </c>
      <c r="D4137" t="s">
        <v>6224</v>
      </c>
      <c r="E4137" t="s">
        <v>4864</v>
      </c>
      <c r="F4137" s="140" t="s">
        <v>4864</v>
      </c>
      <c r="G4137" s="144" t="s">
        <v>406</v>
      </c>
      <c r="H4137" s="140" t="str">
        <f>IF(Proc[[#This Row],[type]]="LFF (MDG-F)",MID(Proc[[#This Row],[Obj]],13,10),"")</f>
        <v>JP02GLE302</v>
      </c>
      <c r="J4137" s="140" t="b">
        <f>Proc[[#This Row],[Requested]]=Proc[[#This Row],[CurrentParent]]</f>
        <v>1</v>
      </c>
      <c r="K4137" s="144" t="str">
        <f>IF(Proc[[#This Row],[Author]]="Marcela Urrego",VLOOKUP(LEFT(Proc[[#This Row],[Requested]],1),Table3[#All],2,0),VLOOKUP(Proc[[#This Row],[Author]],Table4[],2,0))</f>
        <v>MGF</v>
      </c>
      <c r="L4137" s="140" t="s">
        <v>4894</v>
      </c>
      <c r="M4137" s="137">
        <v>45909</v>
      </c>
      <c r="N4137" s="137"/>
      <c r="O4137" s="137"/>
      <c r="P4137" s="145" t="str">
        <f ca="1">IF(Proc[[#This Row],[DaysAgeing]]&gt;5,"yep","on track")</f>
        <v>yep</v>
      </c>
      <c r="Q4137" s="3">
        <f ca="1">IF(Proc[[#This Row],[DateClosed]]="",ABS(NETWORKDAYS(Proc[[#This Row],[DateOpened]],TODAY()))-1,ABS(NETWORKDAYS(Proc[[#This Row],[DateOpened]],Proc[[#This Row],[DateClosed]]))-1)</f>
        <v>73</v>
      </c>
      <c r="R4137" s="137" t="s">
        <v>515</v>
      </c>
      <c r="S4137" s="140"/>
    </row>
    <row r="4138" spans="1:19" hidden="1">
      <c r="A4138" s="144" t="s">
        <v>6236</v>
      </c>
      <c r="B4138" s="149" t="str">
        <f>IFERROR(VLOOKUP(Proc[[#This Row],[App]],Table2[],3,0),"open")</f>
        <v>ok</v>
      </c>
      <c r="C4138" s="144" t="s">
        <v>369</v>
      </c>
      <c r="D4138" t="s">
        <v>6225</v>
      </c>
      <c r="E4138" t="s">
        <v>4864</v>
      </c>
      <c r="F4138" s="140" t="s">
        <v>4864</v>
      </c>
      <c r="G4138" s="144" t="s">
        <v>406</v>
      </c>
      <c r="H4138" s="140" t="str">
        <f>IF(Proc[[#This Row],[type]]="LFF (MDG-F)",MID(Proc[[#This Row],[Obj]],13,10),"")</f>
        <v>KR02GLE005</v>
      </c>
      <c r="J4138" s="140" t="b">
        <f>Proc[[#This Row],[Requested]]=Proc[[#This Row],[CurrentParent]]</f>
        <v>1</v>
      </c>
      <c r="K4138" s="144" t="str">
        <f>IF(Proc[[#This Row],[Author]]="Marcela Urrego",VLOOKUP(LEFT(Proc[[#This Row],[Requested]],1),Table3[#All],2,0),VLOOKUP(Proc[[#This Row],[Author]],Table4[],2,0))</f>
        <v>MGF</v>
      </c>
      <c r="L4138" s="140" t="s">
        <v>4894</v>
      </c>
      <c r="M4138" s="137">
        <v>45909</v>
      </c>
      <c r="N4138" s="137"/>
      <c r="O4138" s="137"/>
      <c r="P4138" s="145" t="str">
        <f ca="1">IF(Proc[[#This Row],[DaysAgeing]]&gt;5,"yep","on track")</f>
        <v>yep</v>
      </c>
      <c r="Q4138" s="3">
        <f ca="1">IF(Proc[[#This Row],[DateClosed]]="",ABS(NETWORKDAYS(Proc[[#This Row],[DateOpened]],TODAY()))-1,ABS(NETWORKDAYS(Proc[[#This Row],[DateOpened]],Proc[[#This Row],[DateClosed]]))-1)</f>
        <v>73</v>
      </c>
      <c r="R4138" s="137" t="s">
        <v>515</v>
      </c>
      <c r="S4138" s="140"/>
    </row>
    <row r="4139" spans="1:19" hidden="1">
      <c r="A4139" s="144" t="s">
        <v>6236</v>
      </c>
      <c r="B4139" s="149" t="str">
        <f>IFERROR(VLOOKUP(Proc[[#This Row],[App]],Table2[],3,0),"open")</f>
        <v>ok</v>
      </c>
      <c r="C4139" s="144" t="s">
        <v>369</v>
      </c>
      <c r="D4139" t="s">
        <v>6226</v>
      </c>
      <c r="E4139" t="s">
        <v>4864</v>
      </c>
      <c r="F4139" s="140" t="s">
        <v>4864</v>
      </c>
      <c r="G4139" s="144" t="s">
        <v>406</v>
      </c>
      <c r="H4139" s="140" t="str">
        <f>IF(Proc[[#This Row],[type]]="LFF (MDG-F)",MID(Proc[[#This Row],[Obj]],13,10),"")</f>
        <v>TW02GLE006</v>
      </c>
      <c r="J4139" s="140" t="b">
        <f>Proc[[#This Row],[Requested]]=Proc[[#This Row],[CurrentParent]]</f>
        <v>1</v>
      </c>
      <c r="K4139" s="144" t="str">
        <f>IF(Proc[[#This Row],[Author]]="Marcela Urrego",VLOOKUP(LEFT(Proc[[#This Row],[Requested]],1),Table3[#All],2,0),VLOOKUP(Proc[[#This Row],[Author]],Table4[],2,0))</f>
        <v>MGF</v>
      </c>
      <c r="L4139" s="140" t="s">
        <v>4894</v>
      </c>
      <c r="M4139" s="137">
        <v>45909</v>
      </c>
      <c r="N4139" s="137"/>
      <c r="O4139" s="137"/>
      <c r="P4139" s="145" t="str">
        <f ca="1">IF(Proc[[#This Row],[DaysAgeing]]&gt;5,"yep","on track")</f>
        <v>yep</v>
      </c>
      <c r="Q4139" s="3">
        <f ca="1">IF(Proc[[#This Row],[DateClosed]]="",ABS(NETWORKDAYS(Proc[[#This Row],[DateOpened]],TODAY()))-1,ABS(NETWORKDAYS(Proc[[#This Row],[DateOpened]],Proc[[#This Row],[DateClosed]]))-1)</f>
        <v>73</v>
      </c>
      <c r="R4139" s="137" t="s">
        <v>515</v>
      </c>
      <c r="S4139" s="140"/>
    </row>
    <row r="4140" spans="1:19" hidden="1">
      <c r="A4140" s="144" t="s">
        <v>6236</v>
      </c>
      <c r="B4140" s="149" t="str">
        <f>IFERROR(VLOOKUP(Proc[[#This Row],[App]],Table2[],3,0),"open")</f>
        <v>ok</v>
      </c>
      <c r="C4140" s="144" t="s">
        <v>369</v>
      </c>
      <c r="D4140" t="s">
        <v>6227</v>
      </c>
      <c r="E4140" t="s">
        <v>4864</v>
      </c>
      <c r="F4140" s="140" t="s">
        <v>4864</v>
      </c>
      <c r="G4140" s="144" t="s">
        <v>406</v>
      </c>
      <c r="H4140" s="140" t="str">
        <f>IF(Proc[[#This Row],[type]]="LFF (MDG-F)",MID(Proc[[#This Row],[Obj]],13,10),"")</f>
        <v>TW03GLE006</v>
      </c>
      <c r="J4140" s="140" t="b">
        <f>Proc[[#This Row],[Requested]]=Proc[[#This Row],[CurrentParent]]</f>
        <v>1</v>
      </c>
      <c r="K4140" s="144" t="str">
        <f>IF(Proc[[#This Row],[Author]]="Marcela Urrego",VLOOKUP(LEFT(Proc[[#This Row],[Requested]],1),Table3[#All],2,0),VLOOKUP(Proc[[#This Row],[Author]],Table4[],2,0))</f>
        <v>MGF</v>
      </c>
      <c r="L4140" s="140" t="s">
        <v>4894</v>
      </c>
      <c r="M4140" s="137">
        <v>45909</v>
      </c>
      <c r="N4140" s="137"/>
      <c r="O4140" s="137"/>
      <c r="P4140" s="145" t="str">
        <f ca="1">IF(Proc[[#This Row],[DaysAgeing]]&gt;5,"yep","on track")</f>
        <v>yep</v>
      </c>
      <c r="Q4140" s="3">
        <f ca="1">IF(Proc[[#This Row],[DateClosed]]="",ABS(NETWORKDAYS(Proc[[#This Row],[DateOpened]],TODAY()))-1,ABS(NETWORKDAYS(Proc[[#This Row],[DateOpened]],Proc[[#This Row],[DateClosed]]))-1)</f>
        <v>73</v>
      </c>
      <c r="R4140" s="137" t="s">
        <v>515</v>
      </c>
      <c r="S4140" s="140"/>
    </row>
    <row r="4141" spans="1:19" hidden="1">
      <c r="A4141" s="144" t="s">
        <v>6236</v>
      </c>
      <c r="B4141" s="149" t="str">
        <f>IFERROR(VLOOKUP(Proc[[#This Row],[App]],Table2[],3,0),"open")</f>
        <v>ok</v>
      </c>
      <c r="C4141" s="144" t="s">
        <v>369</v>
      </c>
      <c r="D4141" t="s">
        <v>6228</v>
      </c>
      <c r="E4141" t="s">
        <v>4865</v>
      </c>
      <c r="F4141" s="140" t="s">
        <v>4865</v>
      </c>
      <c r="G4141" s="144" t="s">
        <v>406</v>
      </c>
      <c r="H4141" s="140" t="str">
        <f>IF(Proc[[#This Row],[type]]="LFF (MDG-F)",MID(Proc[[#This Row],[Obj]],13,10),"")</f>
        <v>2057GLE006</v>
      </c>
      <c r="J4141" s="140" t="b">
        <f>Proc[[#This Row],[Requested]]=Proc[[#This Row],[CurrentParent]]</f>
        <v>1</v>
      </c>
      <c r="K4141" s="144" t="str">
        <f>IF(Proc[[#This Row],[Author]]="Marcela Urrego",VLOOKUP(LEFT(Proc[[#This Row],[Requested]],1),Table3[#All],2,0),VLOOKUP(Proc[[#This Row],[Author]],Table4[],2,0))</f>
        <v>MGF</v>
      </c>
      <c r="L4141" s="140" t="s">
        <v>4894</v>
      </c>
      <c r="M4141" s="137">
        <v>45909</v>
      </c>
      <c r="N4141" s="137"/>
      <c r="O4141" s="137"/>
      <c r="P4141" s="145" t="str">
        <f ca="1">IF(Proc[[#This Row],[DaysAgeing]]&gt;5,"yep","on track")</f>
        <v>yep</v>
      </c>
      <c r="Q4141" s="3">
        <f ca="1">IF(Proc[[#This Row],[DateClosed]]="",ABS(NETWORKDAYS(Proc[[#This Row],[DateOpened]],TODAY()))-1,ABS(NETWORKDAYS(Proc[[#This Row],[DateOpened]],Proc[[#This Row],[DateClosed]]))-1)</f>
        <v>73</v>
      </c>
      <c r="R4141" s="137" t="s">
        <v>515</v>
      </c>
      <c r="S4141" s="140"/>
    </row>
    <row r="4142" spans="1:19" hidden="1">
      <c r="A4142" s="144" t="s">
        <v>6236</v>
      </c>
      <c r="B4142" s="149" t="str">
        <f>IFERROR(VLOOKUP(Proc[[#This Row],[App]],Table2[],3,0),"open")</f>
        <v>ok</v>
      </c>
      <c r="C4142" s="144" t="s">
        <v>369</v>
      </c>
      <c r="D4142" t="s">
        <v>6229</v>
      </c>
      <c r="E4142" t="s">
        <v>4864</v>
      </c>
      <c r="F4142" s="140" t="s">
        <v>4864</v>
      </c>
      <c r="G4142" s="144" t="s">
        <v>406</v>
      </c>
      <c r="H4142" s="140" t="str">
        <f>IF(Proc[[#This Row],[type]]="LFF (MDG-F)",MID(Proc[[#This Row],[Obj]],13,10),"")</f>
        <v>KR03GLE005</v>
      </c>
      <c r="J4142" s="140" t="b">
        <f>Proc[[#This Row],[Requested]]=Proc[[#This Row],[CurrentParent]]</f>
        <v>1</v>
      </c>
      <c r="K4142" s="144" t="str">
        <f>IF(Proc[[#This Row],[Author]]="Marcela Urrego",VLOOKUP(LEFT(Proc[[#This Row],[Requested]],1),Table3[#All],2,0),VLOOKUP(Proc[[#This Row],[Author]],Table4[],2,0))</f>
        <v>MGF</v>
      </c>
      <c r="L4142" s="140" t="s">
        <v>4894</v>
      </c>
      <c r="M4142" s="137">
        <v>45909</v>
      </c>
      <c r="N4142" s="137"/>
      <c r="O4142" s="137"/>
      <c r="P4142" s="145" t="str">
        <f ca="1">IF(Proc[[#This Row],[DaysAgeing]]&gt;5,"yep","on track")</f>
        <v>yep</v>
      </c>
      <c r="Q4142" s="3">
        <f ca="1">IF(Proc[[#This Row],[DateClosed]]="",ABS(NETWORKDAYS(Proc[[#This Row],[DateOpened]],TODAY()))-1,ABS(NETWORKDAYS(Proc[[#This Row],[DateOpened]],Proc[[#This Row],[DateClosed]]))-1)</f>
        <v>73</v>
      </c>
      <c r="R4142" s="137" t="s">
        <v>515</v>
      </c>
      <c r="S4142" s="140"/>
    </row>
    <row r="4143" spans="1:19" hidden="1">
      <c r="A4143" s="144" t="s">
        <v>6236</v>
      </c>
      <c r="B4143" s="149" t="str">
        <f>IFERROR(VLOOKUP(Proc[[#This Row],[App]],Table2[],3,0),"open")</f>
        <v>ok</v>
      </c>
      <c r="C4143" s="144" t="s">
        <v>369</v>
      </c>
      <c r="D4143" t="s">
        <v>6230</v>
      </c>
      <c r="E4143" t="s">
        <v>4864</v>
      </c>
      <c r="F4143" s="140" t="s">
        <v>4864</v>
      </c>
      <c r="G4143" s="144" t="s">
        <v>406</v>
      </c>
      <c r="H4143" s="140" t="str">
        <f>IF(Proc[[#This Row],[type]]="LFF (MDG-F)",MID(Proc[[#This Row],[Obj]],13,10),"")</f>
        <v>TW10GLE106</v>
      </c>
      <c r="J4143" s="140" t="b">
        <f>Proc[[#This Row],[Requested]]=Proc[[#This Row],[CurrentParent]]</f>
        <v>1</v>
      </c>
      <c r="K4143" s="144" t="str">
        <f>IF(Proc[[#This Row],[Author]]="Marcela Urrego",VLOOKUP(LEFT(Proc[[#This Row],[Requested]],1),Table3[#All],2,0),VLOOKUP(Proc[[#This Row],[Author]],Table4[],2,0))</f>
        <v>MGF</v>
      </c>
      <c r="L4143" s="140" t="s">
        <v>4894</v>
      </c>
      <c r="M4143" s="137">
        <v>45909</v>
      </c>
      <c r="N4143" s="137"/>
      <c r="O4143" s="137"/>
      <c r="P4143" s="145" t="str">
        <f ca="1">IF(Proc[[#This Row],[DaysAgeing]]&gt;5,"yep","on track")</f>
        <v>yep</v>
      </c>
      <c r="Q4143" s="3">
        <f ca="1">IF(Proc[[#This Row],[DateClosed]]="",ABS(NETWORKDAYS(Proc[[#This Row],[DateOpened]],TODAY()))-1,ABS(NETWORKDAYS(Proc[[#This Row],[DateOpened]],Proc[[#This Row],[DateClosed]]))-1)</f>
        <v>73</v>
      </c>
      <c r="R4143" s="137" t="s">
        <v>515</v>
      </c>
      <c r="S4143" s="140"/>
    </row>
    <row r="4144" spans="1:19" hidden="1">
      <c r="A4144" s="144" t="s">
        <v>6236</v>
      </c>
      <c r="B4144" s="149" t="str">
        <f>IFERROR(VLOOKUP(Proc[[#This Row],[App]],Table2[],3,0),"open")</f>
        <v>ok</v>
      </c>
      <c r="C4144" s="144" t="s">
        <v>369</v>
      </c>
      <c r="D4144" t="s">
        <v>6231</v>
      </c>
      <c r="E4144" t="s">
        <v>4864</v>
      </c>
      <c r="F4144" s="140" t="s">
        <v>4864</v>
      </c>
      <c r="G4144" s="144" t="s">
        <v>406</v>
      </c>
      <c r="H4144" s="140" t="str">
        <f>IF(Proc[[#This Row],[type]]="LFF (MDG-F)",MID(Proc[[#This Row],[Obj]],13,10),"")</f>
        <v>TW91GLE106</v>
      </c>
      <c r="J4144" s="140" t="b">
        <f>Proc[[#This Row],[Requested]]=Proc[[#This Row],[CurrentParent]]</f>
        <v>1</v>
      </c>
      <c r="K4144" s="144" t="str">
        <f>IF(Proc[[#This Row],[Author]]="Marcela Urrego",VLOOKUP(LEFT(Proc[[#This Row],[Requested]],1),Table3[#All],2,0),VLOOKUP(Proc[[#This Row],[Author]],Table4[],2,0))</f>
        <v>MGF</v>
      </c>
      <c r="L4144" s="140" t="s">
        <v>4894</v>
      </c>
      <c r="M4144" s="137">
        <v>45909</v>
      </c>
      <c r="N4144" s="137"/>
      <c r="O4144" s="137"/>
      <c r="P4144" s="145" t="str">
        <f ca="1">IF(Proc[[#This Row],[DaysAgeing]]&gt;5,"yep","on track")</f>
        <v>yep</v>
      </c>
      <c r="Q4144" s="3">
        <f ca="1">IF(Proc[[#This Row],[DateClosed]]="",ABS(NETWORKDAYS(Proc[[#This Row],[DateOpened]],TODAY()))-1,ABS(NETWORKDAYS(Proc[[#This Row],[DateOpened]],Proc[[#This Row],[DateClosed]]))-1)</f>
        <v>73</v>
      </c>
      <c r="R4144" s="137" t="s">
        <v>515</v>
      </c>
      <c r="S4144" s="140"/>
    </row>
    <row r="4145" spans="1:19" hidden="1">
      <c r="A4145" s="144" t="s">
        <v>6236</v>
      </c>
      <c r="B4145" s="149" t="str">
        <f>IFERROR(VLOOKUP(Proc[[#This Row],[App]],Table2[],3,0),"open")</f>
        <v>ok</v>
      </c>
      <c r="C4145" s="144" t="s">
        <v>369</v>
      </c>
      <c r="D4145" t="s">
        <v>6232</v>
      </c>
      <c r="E4145" t="s">
        <v>4864</v>
      </c>
      <c r="F4145" s="140" t="s">
        <v>4864</v>
      </c>
      <c r="G4145" t="s">
        <v>400</v>
      </c>
      <c r="H4145" s="140" t="str">
        <f>IF(Proc[[#This Row],[type]]="LFF (MDG-F)",MID(Proc[[#This Row],[Obj]],13,10),"")</f>
        <v/>
      </c>
      <c r="J4145" s="140" t="b">
        <f>Proc[[#This Row],[Requested]]=Proc[[#This Row],[CurrentParent]]</f>
        <v>1</v>
      </c>
      <c r="K4145" s="144" t="str">
        <f>IF(Proc[[#This Row],[Author]]="Marcela Urrego",VLOOKUP(LEFT(Proc[[#This Row],[Requested]],1),Table3[#All],2,0),VLOOKUP(Proc[[#This Row],[Author]],Table4[],2,0))</f>
        <v>MGF</v>
      </c>
      <c r="L4145" s="140" t="s">
        <v>4894</v>
      </c>
      <c r="M4145" s="137">
        <v>45909</v>
      </c>
      <c r="N4145" s="137"/>
      <c r="O4145" s="137"/>
      <c r="P4145" s="145" t="str">
        <f ca="1">IF(Proc[[#This Row],[DaysAgeing]]&gt;5,"yep","on track")</f>
        <v>yep</v>
      </c>
      <c r="Q4145" s="3">
        <f ca="1">IF(Proc[[#This Row],[DateClosed]]="",ABS(NETWORKDAYS(Proc[[#This Row],[DateOpened]],TODAY()))-1,ABS(NETWORKDAYS(Proc[[#This Row],[DateOpened]],Proc[[#This Row],[DateClosed]]))-1)</f>
        <v>73</v>
      </c>
      <c r="R4145" s="137" t="s">
        <v>515</v>
      </c>
      <c r="S4145" s="140"/>
    </row>
    <row r="4146" spans="1:19" hidden="1">
      <c r="A4146" s="144" t="s">
        <v>6236</v>
      </c>
      <c r="B4146" s="149" t="str">
        <f>IFERROR(VLOOKUP(Proc[[#This Row],[App]],Table2[],3,0),"open")</f>
        <v>ok</v>
      </c>
      <c r="C4146" s="144" t="s">
        <v>369</v>
      </c>
      <c r="D4146" t="s">
        <v>6233</v>
      </c>
      <c r="E4146" t="s">
        <v>4864</v>
      </c>
      <c r="F4146" s="140" t="s">
        <v>4864</v>
      </c>
      <c r="G4146" t="s">
        <v>400</v>
      </c>
      <c r="H4146" s="140" t="str">
        <f>IF(Proc[[#This Row],[type]]="LFF (MDG-F)",MID(Proc[[#This Row],[Obj]],13,10),"")</f>
        <v/>
      </c>
      <c r="J4146" s="140" t="b">
        <f>Proc[[#This Row],[Requested]]=Proc[[#This Row],[CurrentParent]]</f>
        <v>1</v>
      </c>
      <c r="K4146" s="144" t="str">
        <f>IF(Proc[[#This Row],[Author]]="Marcela Urrego",VLOOKUP(LEFT(Proc[[#This Row],[Requested]],1),Table3[#All],2,0),VLOOKUP(Proc[[#This Row],[Author]],Table4[],2,0))</f>
        <v>MGF</v>
      </c>
      <c r="L4146" s="140" t="s">
        <v>4894</v>
      </c>
      <c r="M4146" s="137">
        <v>45909</v>
      </c>
      <c r="N4146" s="137"/>
      <c r="O4146" s="137"/>
      <c r="P4146" s="145" t="str">
        <f ca="1">IF(Proc[[#This Row],[DaysAgeing]]&gt;5,"yep","on track")</f>
        <v>yep</v>
      </c>
      <c r="Q4146" s="3">
        <f ca="1">IF(Proc[[#This Row],[DateClosed]]="",ABS(NETWORKDAYS(Proc[[#This Row],[DateOpened]],TODAY()))-1,ABS(NETWORKDAYS(Proc[[#This Row],[DateOpened]],Proc[[#This Row],[DateClosed]]))-1)</f>
        <v>73</v>
      </c>
      <c r="R4146" s="137" t="s">
        <v>515</v>
      </c>
      <c r="S4146" s="140"/>
    </row>
    <row r="4147" spans="1:19" hidden="1">
      <c r="A4147" s="144" t="s">
        <v>6236</v>
      </c>
      <c r="B4147" s="149" t="str">
        <f>IFERROR(VLOOKUP(Proc[[#This Row],[App]],Table2[],3,0),"open")</f>
        <v>ok</v>
      </c>
      <c r="C4147" s="144" t="s">
        <v>369</v>
      </c>
      <c r="D4147" t="s">
        <v>6234</v>
      </c>
      <c r="E4147" t="s">
        <v>6237</v>
      </c>
      <c r="F4147" s="140" t="s">
        <v>6237</v>
      </c>
      <c r="G4147" t="s">
        <v>400</v>
      </c>
      <c r="H4147" s="140" t="str">
        <f>IF(Proc[[#This Row],[type]]="LFF (MDG-F)",MID(Proc[[#This Row],[Obj]],13,10),"")</f>
        <v/>
      </c>
      <c r="J4147" s="140" t="b">
        <f>Proc[[#This Row],[Requested]]=Proc[[#This Row],[CurrentParent]]</f>
        <v>1</v>
      </c>
      <c r="K4147" s="144" t="str">
        <f>IF(Proc[[#This Row],[Author]]="Marcela Urrego",VLOOKUP(LEFT(Proc[[#This Row],[Requested]],1),Table3[#All],2,0),VLOOKUP(Proc[[#This Row],[Author]],Table4[],2,0))</f>
        <v>MGF</v>
      </c>
      <c r="L4147" s="140" t="s">
        <v>4894</v>
      </c>
      <c r="M4147" s="137">
        <v>45909</v>
      </c>
      <c r="N4147" s="137"/>
      <c r="O4147" s="137"/>
      <c r="P4147" s="145" t="str">
        <f ca="1">IF(Proc[[#This Row],[DaysAgeing]]&gt;5,"yep","on track")</f>
        <v>yep</v>
      </c>
      <c r="Q4147" s="3">
        <f ca="1">IF(Proc[[#This Row],[DateClosed]]="",ABS(NETWORKDAYS(Proc[[#This Row],[DateOpened]],TODAY()))-1,ABS(NETWORKDAYS(Proc[[#This Row],[DateOpened]],Proc[[#This Row],[DateClosed]]))-1)</f>
        <v>73</v>
      </c>
      <c r="R4147" s="137" t="s">
        <v>515</v>
      </c>
      <c r="S4147" s="140"/>
    </row>
    <row r="4148" spans="1:19" hidden="1">
      <c r="A4148" s="144" t="s">
        <v>6236</v>
      </c>
      <c r="B4148" s="149" t="str">
        <f>IFERROR(VLOOKUP(Proc[[#This Row],[App]],Table2[],3,0),"open")</f>
        <v>ok</v>
      </c>
      <c r="C4148" s="144" t="s">
        <v>369</v>
      </c>
      <c r="D4148" t="s">
        <v>6235</v>
      </c>
      <c r="E4148" t="s">
        <v>6237</v>
      </c>
      <c r="F4148" s="140" t="s">
        <v>6237</v>
      </c>
      <c r="G4148" s="144" t="s">
        <v>400</v>
      </c>
      <c r="H4148" s="140" t="str">
        <f>IF(Proc[[#This Row],[type]]="LFF (MDG-F)",MID(Proc[[#This Row],[Obj]],13,10),"")</f>
        <v/>
      </c>
      <c r="J4148" s="140" t="b">
        <f>Proc[[#This Row],[Requested]]=Proc[[#This Row],[CurrentParent]]</f>
        <v>1</v>
      </c>
      <c r="K4148" s="144" t="str">
        <f>IF(Proc[[#This Row],[Author]]="Marcela Urrego",VLOOKUP(LEFT(Proc[[#This Row],[Requested]],1),Table3[#All],2,0),VLOOKUP(Proc[[#This Row],[Author]],Table4[],2,0))</f>
        <v>MGF</v>
      </c>
      <c r="L4148" s="140" t="s">
        <v>4894</v>
      </c>
      <c r="M4148" s="137">
        <v>45909</v>
      </c>
      <c r="N4148" s="137"/>
      <c r="O4148" s="137"/>
      <c r="P4148" s="145" t="str">
        <f ca="1">IF(Proc[[#This Row],[DaysAgeing]]&gt;5,"yep","on track")</f>
        <v>yep</v>
      </c>
      <c r="Q4148" s="3">
        <f ca="1">IF(Proc[[#This Row],[DateClosed]]="",ABS(NETWORKDAYS(Proc[[#This Row],[DateOpened]],TODAY()))-1,ABS(NETWORKDAYS(Proc[[#This Row],[DateOpened]],Proc[[#This Row],[DateClosed]]))-1)</f>
        <v>73</v>
      </c>
      <c r="R4148" s="137" t="s">
        <v>515</v>
      </c>
      <c r="S4148" s="140"/>
    </row>
    <row r="4149" spans="1:19" hidden="1">
      <c r="A4149" t="s">
        <v>6239</v>
      </c>
      <c r="B4149" s="149" t="str">
        <f>IFERROR(VLOOKUP(Proc[[#This Row],[App]],Table2[],3,0),"open")</f>
        <v>ok</v>
      </c>
      <c r="C4149" s="144" t="s">
        <v>369</v>
      </c>
      <c r="D4149" t="s">
        <v>6243</v>
      </c>
      <c r="E4149" s="144" t="s">
        <v>6238</v>
      </c>
      <c r="F4149" s="140" t="s">
        <v>6238</v>
      </c>
      <c r="G4149" s="144" t="s">
        <v>406</v>
      </c>
      <c r="H4149" s="140" t="str">
        <f>IF(Proc[[#This Row],[type]]="LFF (MDG-F)",MID(Proc[[#This Row],[Obj]],13,10),"")</f>
        <v>DE10620801</v>
      </c>
      <c r="J4149" s="140" t="b">
        <f>Proc[[#This Row],[Requested]]=Proc[[#This Row],[CurrentParent]]</f>
        <v>1</v>
      </c>
      <c r="K4149" s="144" t="str">
        <f>IF(Proc[[#This Row],[Author]]="Marcela Urrego",VLOOKUP(LEFT(Proc[[#This Row],[Requested]],1),Table3[#All],2,0),VLOOKUP(Proc[[#This Row],[Author]],Table4[],2,0))</f>
        <v>MGF</v>
      </c>
      <c r="L4149" s="140" t="s">
        <v>4894</v>
      </c>
      <c r="M4149" s="137">
        <v>45909</v>
      </c>
      <c r="N4149" s="137"/>
      <c r="O4149" s="137"/>
      <c r="P4149" s="145" t="str">
        <f ca="1">IF(Proc[[#This Row],[DaysAgeing]]&gt;5,"yep","on track")</f>
        <v>yep</v>
      </c>
      <c r="Q4149" s="3">
        <f ca="1">IF(Proc[[#This Row],[DateClosed]]="",ABS(NETWORKDAYS(Proc[[#This Row],[DateOpened]],TODAY()))-1,ABS(NETWORKDAYS(Proc[[#This Row],[DateOpened]],Proc[[#This Row],[DateClosed]]))-1)</f>
        <v>73</v>
      </c>
      <c r="R4149" s="137" t="s">
        <v>452</v>
      </c>
      <c r="S4149" s="140"/>
    </row>
    <row r="4150" spans="1:19" hidden="1">
      <c r="A4150" t="s">
        <v>6240</v>
      </c>
      <c r="B4150" s="149" t="str">
        <f>IFERROR(VLOOKUP(Proc[[#This Row],[App]],Table2[],3,0),"open")</f>
        <v>ok</v>
      </c>
      <c r="C4150" s="149" t="s">
        <v>369</v>
      </c>
      <c r="D4150" t="s">
        <v>6244</v>
      </c>
      <c r="E4150" t="s">
        <v>1458</v>
      </c>
      <c r="F4150" s="150" t="s">
        <v>1458</v>
      </c>
      <c r="G4150" s="144" t="s">
        <v>400</v>
      </c>
      <c r="H4150" s="140" t="str">
        <f>IF(Proc[[#This Row],[type]]="LFF (MDG-F)",MID(Proc[[#This Row],[Obj]],13,10),"")</f>
        <v/>
      </c>
      <c r="J4150" s="140" t="b">
        <f>Proc[[#This Row],[Requested]]=Proc[[#This Row],[CurrentParent]]</f>
        <v>1</v>
      </c>
      <c r="K4150" s="144" t="str">
        <f>IF(Proc[[#This Row],[Author]]="Marcela Urrego",VLOOKUP(LEFT(Proc[[#This Row],[Requested]],1),Table3[#All],2,0),VLOOKUP(Proc[[#This Row],[Author]],Table4[],2,0))</f>
        <v>MGF</v>
      </c>
      <c r="L4150" s="150" t="s">
        <v>4894</v>
      </c>
      <c r="M4150" s="137">
        <v>45909</v>
      </c>
      <c r="N4150" s="137"/>
      <c r="O4150" s="137"/>
      <c r="P4150" s="145" t="str">
        <f ca="1">IF(Proc[[#This Row],[DaysAgeing]]&gt;5,"yep","on track")</f>
        <v>yep</v>
      </c>
      <c r="Q4150" s="3">
        <f ca="1">IF(Proc[[#This Row],[DateClosed]]="",ABS(NETWORKDAYS(Proc[[#This Row],[DateOpened]],TODAY()))-1,ABS(NETWORKDAYS(Proc[[#This Row],[DateOpened]],Proc[[#This Row],[DateClosed]]))-1)</f>
        <v>73</v>
      </c>
      <c r="R4150" s="145" t="s">
        <v>1459</v>
      </c>
      <c r="S4150" s="140"/>
    </row>
    <row r="4151" spans="1:19" hidden="1">
      <c r="A4151" t="s">
        <v>6241</v>
      </c>
      <c r="B4151" s="149" t="str">
        <f>IFERROR(VLOOKUP(Proc[[#This Row],[App]],Table2[],3,0),"open")</f>
        <v>ok</v>
      </c>
      <c r="C4151" s="144" t="s">
        <v>369</v>
      </c>
      <c r="D4151" t="s">
        <v>6205</v>
      </c>
      <c r="E4151" t="s">
        <v>6242</v>
      </c>
      <c r="F4151" s="140" t="s">
        <v>6242</v>
      </c>
      <c r="G4151" t="s">
        <v>406</v>
      </c>
      <c r="H4151" s="140" t="str">
        <f>IF(Proc[[#This Row],[type]]="LFF (MDG-F)",MID(Proc[[#This Row],[Obj]],13,10),"")</f>
        <v>CNS1OF0144</v>
      </c>
      <c r="J4151" s="140" t="b">
        <f>Proc[[#This Row],[Requested]]=Proc[[#This Row],[CurrentParent]]</f>
        <v>1</v>
      </c>
      <c r="K4151" s="144" t="str">
        <f>IF(Proc[[#This Row],[Author]]="Marcela Urrego",VLOOKUP(LEFT(Proc[[#This Row],[Requested]],1),Table3[#All],2,0),VLOOKUP(Proc[[#This Row],[Author]],Table4[],2,0))</f>
        <v>EL</v>
      </c>
      <c r="L4151" s="140" t="s">
        <v>4894</v>
      </c>
      <c r="M4151" s="137">
        <v>45909</v>
      </c>
      <c r="N4151" s="137"/>
      <c r="O4151" s="137"/>
      <c r="P4151" s="145" t="str">
        <f ca="1">IF(Proc[[#This Row],[DaysAgeing]]&gt;5,"yep","on track")</f>
        <v>yep</v>
      </c>
      <c r="Q4151" s="3">
        <f ca="1">IF(Proc[[#This Row],[DateClosed]]="",ABS(NETWORKDAYS(Proc[[#This Row],[DateOpened]],TODAY()))-1,ABS(NETWORKDAYS(Proc[[#This Row],[DateOpened]],Proc[[#This Row],[DateClosed]]))-1)</f>
        <v>73</v>
      </c>
      <c r="R4151" s="145" t="s">
        <v>6087</v>
      </c>
      <c r="S4151" s="140"/>
    </row>
    <row r="4152" spans="1:19" hidden="1">
      <c r="A4152" s="144" t="s">
        <v>6241</v>
      </c>
      <c r="B4152" s="149" t="str">
        <f>IFERROR(VLOOKUP(Proc[[#This Row],[App]],Table2[],3,0),"open")</f>
        <v>ok</v>
      </c>
      <c r="C4152" s="144" t="s">
        <v>369</v>
      </c>
      <c r="D4152" t="s">
        <v>6210</v>
      </c>
      <c r="E4152" t="s">
        <v>6242</v>
      </c>
      <c r="F4152" s="140" t="s">
        <v>6242</v>
      </c>
      <c r="G4152" s="144" t="s">
        <v>406</v>
      </c>
      <c r="H4152" s="140" t="str">
        <f>IF(Proc[[#This Row],[type]]="LFF (MDG-F)",MID(Proc[[#This Row],[Obj]],13,10),"")</f>
        <v>MYS1OF0110</v>
      </c>
      <c r="J4152" s="140" t="b">
        <f>Proc[[#This Row],[Requested]]=Proc[[#This Row],[CurrentParent]]</f>
        <v>1</v>
      </c>
      <c r="K4152" s="144" t="str">
        <f>IF(Proc[[#This Row],[Author]]="Marcela Urrego",VLOOKUP(LEFT(Proc[[#This Row],[Requested]],1),Table3[#All],2,0),VLOOKUP(Proc[[#This Row],[Author]],Table4[],2,0))</f>
        <v>EL</v>
      </c>
      <c r="L4152" s="140" t="s">
        <v>4894</v>
      </c>
      <c r="M4152" s="137">
        <v>45909</v>
      </c>
      <c r="N4152" s="137"/>
      <c r="O4152" s="137"/>
      <c r="P4152" s="145" t="str">
        <f ca="1">IF(Proc[[#This Row],[DaysAgeing]]&gt;5,"yep","on track")</f>
        <v>yep</v>
      </c>
      <c r="Q4152" s="3">
        <f ca="1">IF(Proc[[#This Row],[DateClosed]]="",ABS(NETWORKDAYS(Proc[[#This Row],[DateOpened]],TODAY()))-1,ABS(NETWORKDAYS(Proc[[#This Row],[DateOpened]],Proc[[#This Row],[DateClosed]]))-1)</f>
        <v>73</v>
      </c>
      <c r="R4152" s="145" t="s">
        <v>6087</v>
      </c>
      <c r="S4152" s="140"/>
    </row>
    <row r="4153" spans="1:19" hidden="1">
      <c r="A4153" s="144" t="s">
        <v>6241</v>
      </c>
      <c r="B4153" s="149" t="str">
        <f>IFERROR(VLOOKUP(Proc[[#This Row],[App]],Table2[],3,0),"open")</f>
        <v>ok</v>
      </c>
      <c r="C4153" s="144" t="s">
        <v>369</v>
      </c>
      <c r="D4153" t="s">
        <v>6212</v>
      </c>
      <c r="E4153" t="s">
        <v>6242</v>
      </c>
      <c r="F4153" s="140" t="s">
        <v>6242</v>
      </c>
      <c r="G4153" s="144" t="s">
        <v>406</v>
      </c>
      <c r="H4153" s="140" t="str">
        <f>IF(Proc[[#This Row],[type]]="LFF (MDG-F)",MID(Proc[[#This Row],[Obj]],13,10),"")</f>
        <v>THS1OF0110</v>
      </c>
      <c r="J4153" s="140" t="b">
        <f>Proc[[#This Row],[Requested]]=Proc[[#This Row],[CurrentParent]]</f>
        <v>1</v>
      </c>
      <c r="K4153" s="144" t="str">
        <f>IF(Proc[[#This Row],[Author]]="Marcela Urrego",VLOOKUP(LEFT(Proc[[#This Row],[Requested]],1),Table3[#All],2,0),VLOOKUP(Proc[[#This Row],[Author]],Table4[],2,0))</f>
        <v>EL</v>
      </c>
      <c r="L4153" s="140" t="s">
        <v>4894</v>
      </c>
      <c r="M4153" s="137">
        <v>45909</v>
      </c>
      <c r="N4153" s="137"/>
      <c r="O4153" s="137"/>
      <c r="P4153" s="145" t="str">
        <f ca="1">IF(Proc[[#This Row],[DaysAgeing]]&gt;5,"yep","on track")</f>
        <v>yep</v>
      </c>
      <c r="Q4153" s="3">
        <f ca="1">IF(Proc[[#This Row],[DateClosed]]="",ABS(NETWORKDAYS(Proc[[#This Row],[DateOpened]],TODAY()))-1,ABS(NETWORKDAYS(Proc[[#This Row],[DateOpened]],Proc[[#This Row],[DateClosed]]))-1)</f>
        <v>73</v>
      </c>
      <c r="R4153" s="145" t="s">
        <v>6087</v>
      </c>
      <c r="S4153" s="140"/>
    </row>
    <row r="4154" spans="1:19" hidden="1">
      <c r="A4154" s="144" t="s">
        <v>6241</v>
      </c>
      <c r="B4154" s="149" t="str">
        <f>IFERROR(VLOOKUP(Proc[[#This Row],[App]],Table2[],3,0),"open")</f>
        <v>ok</v>
      </c>
      <c r="C4154" s="144" t="s">
        <v>369</v>
      </c>
      <c r="D4154" t="s">
        <v>6210</v>
      </c>
      <c r="E4154" t="s">
        <v>6242</v>
      </c>
      <c r="F4154" s="140" t="s">
        <v>6242</v>
      </c>
      <c r="G4154" s="144" t="s">
        <v>406</v>
      </c>
      <c r="H4154" s="140" t="str">
        <f>IF(Proc[[#This Row],[type]]="LFF (MDG-F)",MID(Proc[[#This Row],[Obj]],13,10),"")</f>
        <v>MYS1OF0110</v>
      </c>
      <c r="J4154" s="140" t="b">
        <f>Proc[[#This Row],[Requested]]=Proc[[#This Row],[CurrentParent]]</f>
        <v>1</v>
      </c>
      <c r="K4154" s="144" t="str">
        <f>IF(Proc[[#This Row],[Author]]="Marcela Urrego",VLOOKUP(LEFT(Proc[[#This Row],[Requested]],1),Table3[#All],2,0),VLOOKUP(Proc[[#This Row],[Author]],Table4[],2,0))</f>
        <v>EL</v>
      </c>
      <c r="L4154" s="140" t="s">
        <v>4894</v>
      </c>
      <c r="M4154" s="137">
        <v>45909</v>
      </c>
      <c r="N4154" s="137"/>
      <c r="O4154" s="137"/>
      <c r="P4154" s="145" t="str">
        <f ca="1">IF(Proc[[#This Row],[DaysAgeing]]&gt;5,"yep","on track")</f>
        <v>yep</v>
      </c>
      <c r="Q4154" s="3">
        <f ca="1">IF(Proc[[#This Row],[DateClosed]]="",ABS(NETWORKDAYS(Proc[[#This Row],[DateOpened]],TODAY()))-1,ABS(NETWORKDAYS(Proc[[#This Row],[DateOpened]],Proc[[#This Row],[DateClosed]]))-1)</f>
        <v>73</v>
      </c>
      <c r="R4154" s="145" t="s">
        <v>6087</v>
      </c>
      <c r="S4154" s="140"/>
    </row>
    <row r="4155" spans="1:19" hidden="1">
      <c r="A4155" t="s">
        <v>6246</v>
      </c>
      <c r="B4155" s="149" t="str">
        <f>IFERROR(VLOOKUP(Proc[[#This Row],[App]],Table2[],3,0),"open")</f>
        <v>ok</v>
      </c>
      <c r="C4155" s="144" t="s">
        <v>369</v>
      </c>
      <c r="D4155" t="s">
        <v>5534</v>
      </c>
      <c r="E4155" t="s">
        <v>6245</v>
      </c>
      <c r="F4155" s="140" t="s">
        <v>6245</v>
      </c>
      <c r="G4155" t="s">
        <v>400</v>
      </c>
      <c r="H4155" s="140" t="str">
        <f>IF(Proc[[#This Row],[type]]="LFF (MDG-F)",MID(Proc[[#This Row],[Obj]],13,10),"")</f>
        <v/>
      </c>
      <c r="J4155" s="140" t="b">
        <f>Proc[[#This Row],[Requested]]=Proc[[#This Row],[CurrentParent]]</f>
        <v>1</v>
      </c>
      <c r="K4155" s="140" t="str">
        <f>IF(Proc[[#This Row],[Author]]="Marcela Urrego",VLOOKUP(LEFT(Proc[[#This Row],[Requested]],1),Table3[#All],2,0),VLOOKUP(Proc[[#This Row],[Author]],Table4[],2,0))</f>
        <v>MGF</v>
      </c>
      <c r="L4155" s="140" t="s">
        <v>4894</v>
      </c>
      <c r="M4155" s="145">
        <v>45909</v>
      </c>
      <c r="N4155" s="145"/>
      <c r="O4155" s="145"/>
      <c r="P4155" s="146" t="str">
        <f ca="1">IF(Proc[[#This Row],[DaysAgeing]]&gt;5,"yep","on track")</f>
        <v>yep</v>
      </c>
      <c r="Q4155" s="3">
        <f ca="1">IF(Proc[[#This Row],[DateClosed]]="",ABS(NETWORKDAYS(Proc[[#This Row],[DateOpened]],TODAY()))-1,ABS(NETWORKDAYS(Proc[[#This Row],[DateOpened]],Proc[[#This Row],[DateClosed]]))-1)</f>
        <v>73</v>
      </c>
      <c r="R4155" s="146" t="s">
        <v>6247</v>
      </c>
      <c r="S4155" s="140"/>
    </row>
    <row r="4156" spans="1:19" hidden="1">
      <c r="A4156" t="s">
        <v>6246</v>
      </c>
      <c r="B4156" s="149" t="str">
        <f>IFERROR(VLOOKUP(Proc[[#This Row],[App]],Table2[],3,0),"open")</f>
        <v>ok</v>
      </c>
      <c r="C4156" s="144" t="s">
        <v>369</v>
      </c>
      <c r="D4156" t="s">
        <v>5535</v>
      </c>
      <c r="E4156" t="s">
        <v>6245</v>
      </c>
      <c r="F4156" s="140" t="s">
        <v>6245</v>
      </c>
      <c r="G4156" t="s">
        <v>400</v>
      </c>
      <c r="H4156" s="140" t="str">
        <f>IF(Proc[[#This Row],[type]]="LFF (MDG-F)",MID(Proc[[#This Row],[Obj]],13,10),"")</f>
        <v/>
      </c>
      <c r="J4156" s="140" t="b">
        <f>Proc[[#This Row],[Requested]]=Proc[[#This Row],[CurrentParent]]</f>
        <v>1</v>
      </c>
      <c r="K4156" s="140" t="str">
        <f>IF(Proc[[#This Row],[Author]]="Marcela Urrego",VLOOKUP(LEFT(Proc[[#This Row],[Requested]],1),Table3[#All],2,0),VLOOKUP(Proc[[#This Row],[Author]],Table4[],2,0))</f>
        <v>MGF</v>
      </c>
      <c r="L4156" s="140" t="s">
        <v>4894</v>
      </c>
      <c r="M4156" s="145">
        <v>45909</v>
      </c>
      <c r="N4156" s="145"/>
      <c r="O4156" s="145"/>
      <c r="P4156" s="146" t="str">
        <f ca="1">IF(Proc[[#This Row],[DaysAgeing]]&gt;5,"yep","on track")</f>
        <v>yep</v>
      </c>
      <c r="Q4156" s="3">
        <f ca="1">IF(Proc[[#This Row],[DateClosed]]="",ABS(NETWORKDAYS(Proc[[#This Row],[DateOpened]],TODAY()))-1,ABS(NETWORKDAYS(Proc[[#This Row],[DateOpened]],Proc[[#This Row],[DateClosed]]))-1)</f>
        <v>73</v>
      </c>
      <c r="R4156" s="146" t="s">
        <v>6247</v>
      </c>
      <c r="S4156" s="140"/>
    </row>
    <row r="4157" spans="1:19" hidden="1">
      <c r="A4157" s="144" t="s">
        <v>6246</v>
      </c>
      <c r="B4157" s="149" t="str">
        <f>IFERROR(VLOOKUP(Proc[[#This Row],[App]],Table2[],3,0),"open")</f>
        <v>ok</v>
      </c>
      <c r="C4157" s="144" t="s">
        <v>369</v>
      </c>
      <c r="D4157" t="s">
        <v>5536</v>
      </c>
      <c r="E4157" t="s">
        <v>6245</v>
      </c>
      <c r="F4157" s="140" t="s">
        <v>6245</v>
      </c>
      <c r="G4157" s="144" t="s">
        <v>400</v>
      </c>
      <c r="H4157" s="140" t="str">
        <f>IF(Proc[[#This Row],[type]]="LFF (MDG-F)",MID(Proc[[#This Row],[Obj]],13,10),"")</f>
        <v/>
      </c>
      <c r="J4157" s="140" t="b">
        <f>Proc[[#This Row],[Requested]]=Proc[[#This Row],[CurrentParent]]</f>
        <v>1</v>
      </c>
      <c r="K4157" s="140" t="str">
        <f>IF(Proc[[#This Row],[Author]]="Marcela Urrego",VLOOKUP(LEFT(Proc[[#This Row],[Requested]],1),Table3[#All],2,0),VLOOKUP(Proc[[#This Row],[Author]],Table4[],2,0))</f>
        <v>MGF</v>
      </c>
      <c r="L4157" s="140" t="s">
        <v>4894</v>
      </c>
      <c r="M4157" s="145">
        <v>45909</v>
      </c>
      <c r="N4157" s="145"/>
      <c r="O4157" s="145"/>
      <c r="P4157" s="146" t="str">
        <f ca="1">IF(Proc[[#This Row],[DaysAgeing]]&gt;5,"yep","on track")</f>
        <v>yep</v>
      </c>
      <c r="Q4157" s="3">
        <f ca="1">IF(Proc[[#This Row],[DateClosed]]="",ABS(NETWORKDAYS(Proc[[#This Row],[DateOpened]],TODAY()))-1,ABS(NETWORKDAYS(Proc[[#This Row],[DateOpened]],Proc[[#This Row],[DateClosed]]))-1)</f>
        <v>73</v>
      </c>
      <c r="R4157" s="146" t="s">
        <v>6247</v>
      </c>
      <c r="S4157" s="140"/>
    </row>
    <row r="4158" spans="1:19" hidden="1">
      <c r="A4158" s="144" t="s">
        <v>6246</v>
      </c>
      <c r="B4158" s="149" t="str">
        <f>IFERROR(VLOOKUP(Proc[[#This Row],[App]],Table2[],3,0),"open")</f>
        <v>ok</v>
      </c>
      <c r="C4158" s="144" t="s">
        <v>369</v>
      </c>
      <c r="D4158" t="s">
        <v>5537</v>
      </c>
      <c r="E4158" t="s">
        <v>6245</v>
      </c>
      <c r="F4158" s="140" t="s">
        <v>6245</v>
      </c>
      <c r="G4158" s="144" t="s">
        <v>400</v>
      </c>
      <c r="H4158" s="140" t="str">
        <f>IF(Proc[[#This Row],[type]]="LFF (MDG-F)",MID(Proc[[#This Row],[Obj]],13,10),"")</f>
        <v/>
      </c>
      <c r="J4158" s="140" t="b">
        <f>Proc[[#This Row],[Requested]]=Proc[[#This Row],[CurrentParent]]</f>
        <v>1</v>
      </c>
      <c r="K4158" s="140" t="str">
        <f>IF(Proc[[#This Row],[Author]]="Marcela Urrego",VLOOKUP(LEFT(Proc[[#This Row],[Requested]],1),Table3[#All],2,0),VLOOKUP(Proc[[#This Row],[Author]],Table4[],2,0))</f>
        <v>MGF</v>
      </c>
      <c r="L4158" s="140" t="s">
        <v>4894</v>
      </c>
      <c r="M4158" s="145">
        <v>45909</v>
      </c>
      <c r="N4158" s="145"/>
      <c r="O4158" s="145"/>
      <c r="P4158" s="146" t="str">
        <f ca="1">IF(Proc[[#This Row],[DaysAgeing]]&gt;5,"yep","on track")</f>
        <v>yep</v>
      </c>
      <c r="Q4158" s="3">
        <f ca="1">IF(Proc[[#This Row],[DateClosed]]="",ABS(NETWORKDAYS(Proc[[#This Row],[DateOpened]],TODAY()))-1,ABS(NETWORKDAYS(Proc[[#This Row],[DateOpened]],Proc[[#This Row],[DateClosed]]))-1)</f>
        <v>73</v>
      </c>
      <c r="R4158" s="146" t="s">
        <v>6247</v>
      </c>
      <c r="S4158" s="140"/>
    </row>
    <row r="4159" spans="1:19" hidden="1">
      <c r="A4159" s="144" t="s">
        <v>6246</v>
      </c>
      <c r="B4159" s="149" t="str">
        <f>IFERROR(VLOOKUP(Proc[[#This Row],[App]],Table2[],3,0),"open")</f>
        <v>ok</v>
      </c>
      <c r="C4159" s="144" t="s">
        <v>369</v>
      </c>
      <c r="D4159" t="s">
        <v>5538</v>
      </c>
      <c r="E4159" t="s">
        <v>6245</v>
      </c>
      <c r="F4159" s="140" t="s">
        <v>6245</v>
      </c>
      <c r="G4159" s="144" t="s">
        <v>400</v>
      </c>
      <c r="H4159" s="140" t="str">
        <f>IF(Proc[[#This Row],[type]]="LFF (MDG-F)",MID(Proc[[#This Row],[Obj]],13,10),"")</f>
        <v/>
      </c>
      <c r="J4159" s="140" t="b">
        <f>Proc[[#This Row],[Requested]]=Proc[[#This Row],[CurrentParent]]</f>
        <v>1</v>
      </c>
      <c r="K4159" s="140" t="str">
        <f>IF(Proc[[#This Row],[Author]]="Marcela Urrego",VLOOKUP(LEFT(Proc[[#This Row],[Requested]],1),Table3[#All],2,0),VLOOKUP(Proc[[#This Row],[Author]],Table4[],2,0))</f>
        <v>MGF</v>
      </c>
      <c r="L4159" s="140" t="s">
        <v>4894</v>
      </c>
      <c r="M4159" s="145">
        <v>45909</v>
      </c>
      <c r="N4159" s="145"/>
      <c r="O4159" s="145"/>
      <c r="P4159" s="146" t="str">
        <f ca="1">IF(Proc[[#This Row],[DaysAgeing]]&gt;5,"yep","on track")</f>
        <v>yep</v>
      </c>
      <c r="Q4159" s="3">
        <f ca="1">IF(Proc[[#This Row],[DateClosed]]="",ABS(NETWORKDAYS(Proc[[#This Row],[DateOpened]],TODAY()))-1,ABS(NETWORKDAYS(Proc[[#This Row],[DateOpened]],Proc[[#This Row],[DateClosed]]))-1)</f>
        <v>73</v>
      </c>
      <c r="R4159" s="146" t="s">
        <v>6247</v>
      </c>
      <c r="S4159" s="140"/>
    </row>
    <row r="4160" spans="1:19" hidden="1">
      <c r="A4160" t="s">
        <v>6250</v>
      </c>
      <c r="B4160" s="149" t="str">
        <f>IFERROR(VLOOKUP(Proc[[#This Row],[App]],Table2[],3,0),"open")</f>
        <v>ok</v>
      </c>
      <c r="C4160" s="144" t="s">
        <v>369</v>
      </c>
      <c r="D4160" s="147" t="s">
        <v>6251</v>
      </c>
      <c r="E4160" t="s">
        <v>6248</v>
      </c>
      <c r="F4160" s="140" t="s">
        <v>6248</v>
      </c>
      <c r="G4160" t="s">
        <v>406</v>
      </c>
      <c r="H4160" s="140" t="str">
        <f>IF(Proc[[#This Row],[type]]="LFF (MDG-F)",MID(Proc[[#This Row],[Obj]],13,10),"")</f>
        <v>US10O05003</v>
      </c>
      <c r="J4160" s="140" t="b">
        <f>Proc[[#This Row],[Requested]]=Proc[[#This Row],[CurrentParent]]</f>
        <v>1</v>
      </c>
      <c r="K4160" s="140" t="str">
        <f>IF(Proc[[#This Row],[Author]]="Marcela Urrego",VLOOKUP(LEFT(Proc[[#This Row],[Requested]],1),Table3[#All],2,0),VLOOKUP(Proc[[#This Row],[Author]],Table4[],2,0))</f>
        <v>EL</v>
      </c>
      <c r="L4160" s="140" t="s">
        <v>4894</v>
      </c>
      <c r="M4160" s="146">
        <v>45909</v>
      </c>
      <c r="N4160" s="148"/>
      <c r="O4160" s="148"/>
      <c r="P4160" s="146" t="str">
        <f ca="1">IF(Proc[[#This Row],[DaysAgeing]]&gt;5,"yep","on track")</f>
        <v>yep</v>
      </c>
      <c r="Q4160" s="3">
        <f ca="1">IF(Proc[[#This Row],[DateClosed]]="",ABS(NETWORKDAYS(Proc[[#This Row],[DateOpened]],TODAY()))-1,ABS(NETWORKDAYS(Proc[[#This Row],[DateOpened]],Proc[[#This Row],[DateClosed]]))-1)</f>
        <v>73</v>
      </c>
      <c r="R4160" s="146" t="s">
        <v>5709</v>
      </c>
      <c r="S4160" s="140"/>
    </row>
    <row r="4161" spans="1:19" hidden="1">
      <c r="A4161" s="144" t="s">
        <v>6250</v>
      </c>
      <c r="B4161" s="149" t="str">
        <f>IFERROR(VLOOKUP(Proc[[#This Row],[App]],Table2[],3,0),"open")</f>
        <v>ok</v>
      </c>
      <c r="C4161" s="144" t="s">
        <v>369</v>
      </c>
      <c r="D4161" s="147" t="s">
        <v>6252</v>
      </c>
      <c r="E4161" s="144" t="s">
        <v>6249</v>
      </c>
      <c r="F4161" s="140" t="s">
        <v>6249</v>
      </c>
      <c r="G4161" s="144" t="s">
        <v>406</v>
      </c>
      <c r="H4161" s="140" t="str">
        <f>IF(Proc[[#This Row],[type]]="LFF (MDG-F)",MID(Proc[[#This Row],[Obj]],13,10),"")</f>
        <v>KR07O05003</v>
      </c>
      <c r="J4161" s="140" t="b">
        <f>Proc[[#This Row],[Requested]]=Proc[[#This Row],[CurrentParent]]</f>
        <v>1</v>
      </c>
      <c r="K4161" s="140" t="str">
        <f>IF(Proc[[#This Row],[Author]]="Marcela Urrego",VLOOKUP(LEFT(Proc[[#This Row],[Requested]],1),Table3[#All],2,0),VLOOKUP(Proc[[#This Row],[Author]],Table4[],2,0))</f>
        <v>EL</v>
      </c>
      <c r="L4161" s="140" t="s">
        <v>4894</v>
      </c>
      <c r="M4161" s="146">
        <v>45909</v>
      </c>
      <c r="N4161" s="148"/>
      <c r="O4161" s="148"/>
      <c r="P4161" s="146" t="str">
        <f ca="1">IF(Proc[[#This Row],[DaysAgeing]]&gt;5,"yep","on track")</f>
        <v>yep</v>
      </c>
      <c r="Q4161" s="3">
        <f ca="1">IF(Proc[[#This Row],[DateClosed]]="",ABS(NETWORKDAYS(Proc[[#This Row],[DateOpened]],TODAY()))-1,ABS(NETWORKDAYS(Proc[[#This Row],[DateOpened]],Proc[[#This Row],[DateClosed]]))-1)</f>
        <v>73</v>
      </c>
      <c r="R4161" s="146" t="s">
        <v>5709</v>
      </c>
      <c r="S4161" s="140"/>
    </row>
    <row r="4162" spans="1:19" hidden="1">
      <c r="A4162" s="144" t="s">
        <v>6250</v>
      </c>
      <c r="B4162" s="149" t="str">
        <f>IFERROR(VLOOKUP(Proc[[#This Row],[App]],Table2[],3,0),"open")</f>
        <v>ok</v>
      </c>
      <c r="C4162" s="144" t="s">
        <v>369</v>
      </c>
      <c r="D4162" s="147" t="s">
        <v>6253</v>
      </c>
      <c r="E4162" s="144" t="s">
        <v>6249</v>
      </c>
      <c r="F4162" s="140" t="s">
        <v>6249</v>
      </c>
      <c r="G4162" s="144" t="s">
        <v>406</v>
      </c>
      <c r="H4162" s="140" t="str">
        <f>IF(Proc[[#This Row],[type]]="LFF (MDG-F)",MID(Proc[[#This Row],[Obj]],13,10),"")</f>
        <v>CN10O05003</v>
      </c>
      <c r="J4162" s="140" t="b">
        <f>Proc[[#This Row],[Requested]]=Proc[[#This Row],[CurrentParent]]</f>
        <v>1</v>
      </c>
      <c r="K4162" s="140" t="str">
        <f>IF(Proc[[#This Row],[Author]]="Marcela Urrego",VLOOKUP(LEFT(Proc[[#This Row],[Requested]],1),Table3[#All],2,0),VLOOKUP(Proc[[#This Row],[Author]],Table4[],2,0))</f>
        <v>EL</v>
      </c>
      <c r="L4162" s="140" t="s">
        <v>4894</v>
      </c>
      <c r="M4162" s="146">
        <v>45909</v>
      </c>
      <c r="N4162" s="148"/>
      <c r="O4162" s="148"/>
      <c r="P4162" s="146" t="str">
        <f ca="1">IF(Proc[[#This Row],[DaysAgeing]]&gt;5,"yep","on track")</f>
        <v>yep</v>
      </c>
      <c r="Q4162" s="3">
        <f ca="1">IF(Proc[[#This Row],[DateClosed]]="",ABS(NETWORKDAYS(Proc[[#This Row],[DateOpened]],TODAY()))-1,ABS(NETWORKDAYS(Proc[[#This Row],[DateOpened]],Proc[[#This Row],[DateClosed]]))-1)</f>
        <v>73</v>
      </c>
      <c r="R4162" s="146" t="s">
        <v>5709</v>
      </c>
      <c r="S4162" s="140"/>
    </row>
    <row r="4163" spans="1:19" hidden="1">
      <c r="A4163" t="s">
        <v>6270</v>
      </c>
      <c r="B4163" s="149" t="str">
        <f>IFERROR(VLOOKUP(Proc[[#This Row],[App]],Table2[],3,0),"open")</f>
        <v>ok</v>
      </c>
      <c r="C4163" s="144" t="s">
        <v>369</v>
      </c>
      <c r="D4163" t="s">
        <v>6254</v>
      </c>
      <c r="E4163" t="s">
        <v>6263</v>
      </c>
      <c r="F4163" s="150" t="s">
        <v>6263</v>
      </c>
      <c r="G4163" t="s">
        <v>400</v>
      </c>
      <c r="H4163" s="140" t="str">
        <f>IF(Proc[[#This Row],[type]]="LFF (MDG-F)",MID(Proc[[#This Row],[Obj]],13,10),"")</f>
        <v/>
      </c>
      <c r="J4163" s="140" t="b">
        <f>Proc[[#This Row],[Requested]]=Proc[[#This Row],[CurrentParent]]</f>
        <v>1</v>
      </c>
      <c r="K4163" s="140" t="str">
        <f>IF(Proc[[#This Row],[Author]]="Marcela Urrego",VLOOKUP(LEFT(Proc[[#This Row],[Requested]],1),Table3[#All],2,0),VLOOKUP(Proc[[#This Row],[Author]],Table4[],2,0))</f>
        <v>EL</v>
      </c>
      <c r="L4163" s="140" t="s">
        <v>4894</v>
      </c>
      <c r="M4163" s="146">
        <v>45912</v>
      </c>
      <c r="N4163" s="148"/>
      <c r="O4163" s="148"/>
      <c r="P4163" s="146" t="str">
        <f ca="1">IF(Proc[[#This Row],[DaysAgeing]]&gt;5,"yep","on track")</f>
        <v>yep</v>
      </c>
      <c r="Q4163" s="3">
        <f ca="1">IF(Proc[[#This Row],[DateClosed]]="",ABS(NETWORKDAYS(Proc[[#This Row],[DateOpened]],TODAY()))-1,ABS(NETWORKDAYS(Proc[[#This Row],[DateOpened]],Proc[[#This Row],[DateClosed]]))-1)</f>
        <v>70</v>
      </c>
      <c r="R4163" s="146" t="s">
        <v>780</v>
      </c>
      <c r="S4163" s="140"/>
    </row>
    <row r="4164" spans="1:19" hidden="1">
      <c r="A4164" s="144" t="s">
        <v>6270</v>
      </c>
      <c r="B4164" s="149" t="str">
        <f>IFERROR(VLOOKUP(Proc[[#This Row],[App]],Table2[],3,0),"open")</f>
        <v>ok</v>
      </c>
      <c r="C4164" s="149" t="s">
        <v>369</v>
      </c>
      <c r="D4164" t="s">
        <v>6255</v>
      </c>
      <c r="E4164" t="s">
        <v>6264</v>
      </c>
      <c r="F4164" s="150" t="s">
        <v>6264</v>
      </c>
      <c r="G4164" t="s">
        <v>406</v>
      </c>
      <c r="H4164" s="140" t="str">
        <f>IF(Proc[[#This Row],[type]]="LFF (MDG-F)",MID(Proc[[#This Row],[Obj]],13,10),"")</f>
        <v>TW91PD1010</v>
      </c>
      <c r="I4164" s="144"/>
      <c r="J4164" s="140" t="b">
        <f>Proc[[#This Row],[Requested]]=Proc[[#This Row],[CurrentParent]]</f>
        <v>1</v>
      </c>
      <c r="K4164" s="140" t="str">
        <f>IF(Proc[[#This Row],[Author]]="Marcela Urrego",VLOOKUP(LEFT(Proc[[#This Row],[Requested]],1),Table3[#All],2,0),VLOOKUP(Proc[[#This Row],[Author]],Table4[],2,0))</f>
        <v>EL</v>
      </c>
      <c r="L4164" s="140" t="s">
        <v>4894</v>
      </c>
      <c r="M4164" s="146">
        <v>45912</v>
      </c>
      <c r="N4164" s="148"/>
      <c r="O4164" s="148"/>
      <c r="P4164" s="146" t="str">
        <f ca="1">IF(Proc[[#This Row],[DaysAgeing]]&gt;5,"yep","on track")</f>
        <v>yep</v>
      </c>
      <c r="Q4164" s="3">
        <f ca="1">IF(Proc[[#This Row],[DateClosed]]="",ABS(NETWORKDAYS(Proc[[#This Row],[DateOpened]],TODAY()))-1,ABS(NETWORKDAYS(Proc[[#This Row],[DateOpened]],Proc[[#This Row],[DateClosed]]))-1)</f>
        <v>70</v>
      </c>
      <c r="R4164" s="146" t="s">
        <v>780</v>
      </c>
      <c r="S4164" s="140"/>
    </row>
    <row r="4165" spans="1:19" hidden="1">
      <c r="A4165" s="144" t="s">
        <v>6270</v>
      </c>
      <c r="B4165" s="149" t="str">
        <f>IFERROR(VLOOKUP(Proc[[#This Row],[App]],Table2[],3,0),"open")</f>
        <v>ok</v>
      </c>
      <c r="C4165" s="149" t="s">
        <v>369</v>
      </c>
      <c r="D4165" t="s">
        <v>6256</v>
      </c>
      <c r="E4165" t="s">
        <v>6265</v>
      </c>
      <c r="F4165" s="150" t="s">
        <v>6265</v>
      </c>
      <c r="G4165" s="144" t="s">
        <v>406</v>
      </c>
      <c r="H4165" s="140" t="str">
        <f>IF(Proc[[#This Row],[type]]="LFF (MDG-F)",MID(Proc[[#This Row],[Obj]],13,10),"")</f>
        <v>US10C05025</v>
      </c>
      <c r="I4165" s="144"/>
      <c r="J4165" s="140" t="b">
        <f>Proc[[#This Row],[Requested]]=Proc[[#This Row],[CurrentParent]]</f>
        <v>1</v>
      </c>
      <c r="K4165" s="140" t="str">
        <f>IF(Proc[[#This Row],[Author]]="Marcela Urrego",VLOOKUP(LEFT(Proc[[#This Row],[Requested]],1),Table3[#All],2,0),VLOOKUP(Proc[[#This Row],[Author]],Table4[],2,0))</f>
        <v>EL</v>
      </c>
      <c r="L4165" s="140" t="s">
        <v>4894</v>
      </c>
      <c r="M4165" s="146">
        <v>45912</v>
      </c>
      <c r="N4165" s="148"/>
      <c r="O4165" s="148"/>
      <c r="P4165" s="146" t="str">
        <f ca="1">IF(Proc[[#This Row],[DaysAgeing]]&gt;5,"yep","on track")</f>
        <v>yep</v>
      </c>
      <c r="Q4165" s="3">
        <f ca="1">IF(Proc[[#This Row],[DateClosed]]="",ABS(NETWORKDAYS(Proc[[#This Row],[DateOpened]],TODAY()))-1,ABS(NETWORKDAYS(Proc[[#This Row],[DateOpened]],Proc[[#This Row],[DateClosed]]))-1)</f>
        <v>70</v>
      </c>
      <c r="R4165" s="146" t="s">
        <v>780</v>
      </c>
      <c r="S4165" s="140"/>
    </row>
    <row r="4166" spans="1:19" hidden="1">
      <c r="A4166" s="144" t="s">
        <v>6270</v>
      </c>
      <c r="B4166" s="149" t="str">
        <f>IFERROR(VLOOKUP(Proc[[#This Row],[App]],Table2[],3,0),"open")</f>
        <v>ok</v>
      </c>
      <c r="C4166" s="149" t="s">
        <v>369</v>
      </c>
      <c r="D4166" t="s">
        <v>6257</v>
      </c>
      <c r="E4166" t="s">
        <v>6266</v>
      </c>
      <c r="F4166" s="150" t="s">
        <v>6266</v>
      </c>
      <c r="G4166" s="144" t="s">
        <v>406</v>
      </c>
      <c r="H4166" s="140" t="str">
        <f>IF(Proc[[#This Row],[type]]="LFF (MDG-F)",MID(Proc[[#This Row],[Obj]],13,10),"")</f>
        <v>KR15C01027</v>
      </c>
      <c r="I4166" s="144"/>
      <c r="J4166" s="140" t="b">
        <f>Proc[[#This Row],[Requested]]=Proc[[#This Row],[CurrentParent]]</f>
        <v>1</v>
      </c>
      <c r="K4166" s="140" t="str">
        <f>IF(Proc[[#This Row],[Author]]="Marcela Urrego",VLOOKUP(LEFT(Proc[[#This Row],[Requested]],1),Table3[#All],2,0),VLOOKUP(Proc[[#This Row],[Author]],Table4[],2,0))</f>
        <v>EL</v>
      </c>
      <c r="L4166" s="140" t="s">
        <v>4894</v>
      </c>
      <c r="M4166" s="146">
        <v>45912</v>
      </c>
      <c r="N4166" s="148"/>
      <c r="O4166" s="148"/>
      <c r="P4166" s="146" t="str">
        <f ca="1">IF(Proc[[#This Row],[DaysAgeing]]&gt;5,"yep","on track")</f>
        <v>yep</v>
      </c>
      <c r="Q4166" s="3">
        <f ca="1">IF(Proc[[#This Row],[DateClosed]]="",ABS(NETWORKDAYS(Proc[[#This Row],[DateOpened]],TODAY()))-1,ABS(NETWORKDAYS(Proc[[#This Row],[DateOpened]],Proc[[#This Row],[DateClosed]]))-1)</f>
        <v>70</v>
      </c>
      <c r="R4166" s="146" t="s">
        <v>780</v>
      </c>
      <c r="S4166" s="140"/>
    </row>
    <row r="4167" spans="1:19" hidden="1">
      <c r="A4167" s="144" t="s">
        <v>6270</v>
      </c>
      <c r="B4167" s="149" t="str">
        <f>IFERROR(VLOOKUP(Proc[[#This Row],[App]],Table2[],3,0),"open")</f>
        <v>ok</v>
      </c>
      <c r="C4167" s="149" t="s">
        <v>369</v>
      </c>
      <c r="D4167" t="s">
        <v>6258</v>
      </c>
      <c r="E4167" t="s">
        <v>6266</v>
      </c>
      <c r="F4167" s="150" t="s">
        <v>6266</v>
      </c>
      <c r="G4167" s="144" t="s">
        <v>406</v>
      </c>
      <c r="H4167" s="140" t="str">
        <f>IF(Proc[[#This Row],[type]]="LFF (MDG-F)",MID(Proc[[#This Row],[Obj]],13,10),"")</f>
        <v>KR16C01027</v>
      </c>
      <c r="I4167" s="144"/>
      <c r="J4167" s="140" t="b">
        <f>Proc[[#This Row],[Requested]]=Proc[[#This Row],[CurrentParent]]</f>
        <v>1</v>
      </c>
      <c r="K4167" s="140" t="str">
        <f>IF(Proc[[#This Row],[Author]]="Marcela Urrego",VLOOKUP(LEFT(Proc[[#This Row],[Requested]],1),Table3[#All],2,0),VLOOKUP(Proc[[#This Row],[Author]],Table4[],2,0))</f>
        <v>EL</v>
      </c>
      <c r="L4167" s="140" t="s">
        <v>4894</v>
      </c>
      <c r="M4167" s="146">
        <v>45912</v>
      </c>
      <c r="N4167" s="148"/>
      <c r="O4167" s="148"/>
      <c r="P4167" s="146" t="str">
        <f ca="1">IF(Proc[[#This Row],[DaysAgeing]]&gt;5,"yep","on track")</f>
        <v>yep</v>
      </c>
      <c r="Q4167" s="3">
        <f ca="1">IF(Proc[[#This Row],[DateClosed]]="",ABS(NETWORKDAYS(Proc[[#This Row],[DateOpened]],TODAY()))-1,ABS(NETWORKDAYS(Proc[[#This Row],[DateOpened]],Proc[[#This Row],[DateClosed]]))-1)</f>
        <v>70</v>
      </c>
      <c r="R4167" s="146" t="s">
        <v>780</v>
      </c>
      <c r="S4167" s="140"/>
    </row>
    <row r="4168" spans="1:19" hidden="1">
      <c r="A4168" s="144" t="s">
        <v>6270</v>
      </c>
      <c r="B4168" s="149" t="str">
        <f>IFERROR(VLOOKUP(Proc[[#This Row],[App]],Table2[],3,0),"open")</f>
        <v>ok</v>
      </c>
      <c r="C4168" s="149" t="s">
        <v>369</v>
      </c>
      <c r="D4168" t="s">
        <v>6259</v>
      </c>
      <c r="E4168" t="s">
        <v>6267</v>
      </c>
      <c r="F4168" s="150" t="s">
        <v>6267</v>
      </c>
      <c r="G4168" s="144" t="s">
        <v>406</v>
      </c>
      <c r="H4168" s="140" t="str">
        <f>IF(Proc[[#This Row],[type]]="LFF (MDG-F)",MID(Proc[[#This Row],[Obj]],13,10),"")</f>
        <v>CN09C05003</v>
      </c>
      <c r="I4168" s="144"/>
      <c r="J4168" s="140" t="b">
        <f>Proc[[#This Row],[Requested]]=Proc[[#This Row],[CurrentParent]]</f>
        <v>1</v>
      </c>
      <c r="K4168" s="140" t="str">
        <f>IF(Proc[[#This Row],[Author]]="Marcela Urrego",VLOOKUP(LEFT(Proc[[#This Row],[Requested]],1),Table3[#All],2,0),VLOOKUP(Proc[[#This Row],[Author]],Table4[],2,0))</f>
        <v>EL</v>
      </c>
      <c r="L4168" s="140" t="s">
        <v>4894</v>
      </c>
      <c r="M4168" s="146">
        <v>45912</v>
      </c>
      <c r="N4168" s="148"/>
      <c r="O4168" s="148"/>
      <c r="P4168" s="146" t="str">
        <f ca="1">IF(Proc[[#This Row],[DaysAgeing]]&gt;5,"yep","on track")</f>
        <v>yep</v>
      </c>
      <c r="Q4168" s="3">
        <f ca="1">IF(Proc[[#This Row],[DateClosed]]="",ABS(NETWORKDAYS(Proc[[#This Row],[DateOpened]],TODAY()))-1,ABS(NETWORKDAYS(Proc[[#This Row],[DateOpened]],Proc[[#This Row],[DateClosed]]))-1)</f>
        <v>70</v>
      </c>
      <c r="R4168" s="146" t="s">
        <v>780</v>
      </c>
      <c r="S4168" s="140"/>
    </row>
    <row r="4169" spans="1:19" hidden="1">
      <c r="A4169" s="144" t="s">
        <v>6270</v>
      </c>
      <c r="B4169" s="149" t="str">
        <f>IFERROR(VLOOKUP(Proc[[#This Row],[App]],Table2[],3,0),"open")</f>
        <v>ok</v>
      </c>
      <c r="C4169" s="149" t="s">
        <v>369</v>
      </c>
      <c r="D4169" t="s">
        <v>6260</v>
      </c>
      <c r="E4169" t="s">
        <v>6267</v>
      </c>
      <c r="F4169" s="150" t="s">
        <v>6267</v>
      </c>
      <c r="G4169" s="144" t="s">
        <v>406</v>
      </c>
      <c r="H4169" s="140" t="str">
        <f>IF(Proc[[#This Row],[type]]="LFF (MDG-F)",MID(Proc[[#This Row],[Obj]],13,10),"")</f>
        <v>NL10C05001</v>
      </c>
      <c r="I4169" s="144"/>
      <c r="J4169" s="140" t="b">
        <f>Proc[[#This Row],[Requested]]=Proc[[#This Row],[CurrentParent]]</f>
        <v>1</v>
      </c>
      <c r="K4169" s="140" t="str">
        <f>IF(Proc[[#This Row],[Author]]="Marcela Urrego",VLOOKUP(LEFT(Proc[[#This Row],[Requested]],1),Table3[#All],2,0),VLOOKUP(Proc[[#This Row],[Author]],Table4[],2,0))</f>
        <v>EL</v>
      </c>
      <c r="L4169" s="140" t="s">
        <v>4894</v>
      </c>
      <c r="M4169" s="146">
        <v>45912</v>
      </c>
      <c r="N4169" s="148"/>
      <c r="O4169" s="148"/>
      <c r="P4169" s="146" t="str">
        <f ca="1">IF(Proc[[#This Row],[DaysAgeing]]&gt;5,"yep","on track")</f>
        <v>yep</v>
      </c>
      <c r="Q4169" s="3">
        <f ca="1">IF(Proc[[#This Row],[DateClosed]]="",ABS(NETWORKDAYS(Proc[[#This Row],[DateOpened]],TODAY()))-1,ABS(NETWORKDAYS(Proc[[#This Row],[DateOpened]],Proc[[#This Row],[DateClosed]]))-1)</f>
        <v>70</v>
      </c>
      <c r="R4169" s="146" t="s">
        <v>780</v>
      </c>
      <c r="S4169" s="140"/>
    </row>
    <row r="4170" spans="1:19" hidden="1">
      <c r="A4170" s="144" t="s">
        <v>6270</v>
      </c>
      <c r="B4170" s="149" t="str">
        <f>IFERROR(VLOOKUP(Proc[[#This Row],[App]],Table2[],3,0),"open")</f>
        <v>ok</v>
      </c>
      <c r="C4170" s="149" t="s">
        <v>369</v>
      </c>
      <c r="D4170" t="s">
        <v>6261</v>
      </c>
      <c r="E4170" t="s">
        <v>6268</v>
      </c>
      <c r="F4170" s="150" t="s">
        <v>6268</v>
      </c>
      <c r="G4170" s="144" t="s">
        <v>406</v>
      </c>
      <c r="H4170" s="140" t="str">
        <f>IF(Proc[[#This Row],[type]]="LFF (MDG-F)",MID(Proc[[#This Row],[Obj]],13,10),"")</f>
        <v>MY10C05000</v>
      </c>
      <c r="I4170" s="144"/>
      <c r="J4170" s="140" t="b">
        <f>Proc[[#This Row],[Requested]]=Proc[[#This Row],[CurrentParent]]</f>
        <v>1</v>
      </c>
      <c r="K4170" s="140" t="str">
        <f>IF(Proc[[#This Row],[Author]]="Marcela Urrego",VLOOKUP(LEFT(Proc[[#This Row],[Requested]],1),Table3[#All],2,0),VLOOKUP(Proc[[#This Row],[Author]],Table4[],2,0))</f>
        <v>EL</v>
      </c>
      <c r="L4170" s="140" t="s">
        <v>4894</v>
      </c>
      <c r="M4170" s="146">
        <v>45912</v>
      </c>
      <c r="N4170" s="148"/>
      <c r="O4170" s="148"/>
      <c r="P4170" s="146" t="str">
        <f ca="1">IF(Proc[[#This Row],[DaysAgeing]]&gt;5,"yep","on track")</f>
        <v>yep</v>
      </c>
      <c r="Q4170" s="3">
        <f ca="1">IF(Proc[[#This Row],[DateClosed]]="",ABS(NETWORKDAYS(Proc[[#This Row],[DateOpened]],TODAY()))-1,ABS(NETWORKDAYS(Proc[[#This Row],[DateOpened]],Proc[[#This Row],[DateClosed]]))-1)</f>
        <v>70</v>
      </c>
      <c r="R4170" s="146" t="s">
        <v>780</v>
      </c>
      <c r="S4170" s="140"/>
    </row>
    <row r="4171" spans="1:19" hidden="1">
      <c r="A4171" s="144" t="s">
        <v>6270</v>
      </c>
      <c r="B4171" s="149" t="str">
        <f>IFERROR(VLOOKUP(Proc[[#This Row],[App]],Table2[],3,0),"open")</f>
        <v>ok</v>
      </c>
      <c r="C4171" s="149" t="s">
        <v>369</v>
      </c>
      <c r="D4171" t="s">
        <v>6262</v>
      </c>
      <c r="E4171" t="s">
        <v>6269</v>
      </c>
      <c r="F4171" s="150" t="s">
        <v>6269</v>
      </c>
      <c r="G4171" s="144" t="s">
        <v>406</v>
      </c>
      <c r="H4171" s="140" t="str">
        <f>IF(Proc[[#This Row],[type]]="LFF (MDG-F)",MID(Proc[[#This Row],[Obj]],13,10),"")</f>
        <v>TW02C00311</v>
      </c>
      <c r="I4171" s="144"/>
      <c r="J4171" s="140" t="b">
        <f>Proc[[#This Row],[Requested]]=Proc[[#This Row],[CurrentParent]]</f>
        <v>1</v>
      </c>
      <c r="K4171" s="140" t="str">
        <f>IF(Proc[[#This Row],[Author]]="Marcela Urrego",VLOOKUP(LEFT(Proc[[#This Row],[Requested]],1),Table3[#All],2,0),VLOOKUP(Proc[[#This Row],[Author]],Table4[],2,0))</f>
        <v>EL</v>
      </c>
      <c r="L4171" s="140" t="s">
        <v>4894</v>
      </c>
      <c r="M4171" s="146">
        <v>45912</v>
      </c>
      <c r="N4171" s="148"/>
      <c r="O4171" s="148"/>
      <c r="P4171" s="146" t="str">
        <f ca="1">IF(Proc[[#This Row],[DaysAgeing]]&gt;5,"yep","on track")</f>
        <v>yep</v>
      </c>
      <c r="Q4171" s="3">
        <f ca="1">IF(Proc[[#This Row],[DateClosed]]="",ABS(NETWORKDAYS(Proc[[#This Row],[DateOpened]],TODAY()))-1,ABS(NETWORKDAYS(Proc[[#This Row],[DateOpened]],Proc[[#This Row],[DateClosed]]))-1)</f>
        <v>70</v>
      </c>
      <c r="R4171" s="146" t="s">
        <v>780</v>
      </c>
      <c r="S4171" s="140"/>
    </row>
    <row r="4172" spans="1:19" hidden="1">
      <c r="A4172" t="s">
        <v>6274</v>
      </c>
      <c r="B4172" s="149" t="str">
        <f>IFERROR(VLOOKUP(Proc[[#This Row],[App]],Table2[],3,0),"open")</f>
        <v>ok</v>
      </c>
      <c r="C4172" s="149" t="s">
        <v>369</v>
      </c>
      <c r="D4172" t="s">
        <v>6271</v>
      </c>
      <c r="E4172" s="149" t="s">
        <v>6272</v>
      </c>
      <c r="F4172" s="150" t="s">
        <v>6272</v>
      </c>
      <c r="G4172" t="s">
        <v>406</v>
      </c>
      <c r="H4172" s="140" t="str">
        <f>IF(Proc[[#This Row],[type]]="LFF (MDG-F)",MID(Proc[[#This Row],[Obj]],13,10),"")</f>
        <v>CN60TANA01</v>
      </c>
      <c r="J4172" s="140" t="b">
        <f>Proc[[#This Row],[Requested]]=Proc[[#This Row],[CurrentParent]]</f>
        <v>1</v>
      </c>
      <c r="K4172" s="140" t="str">
        <f>IF(Proc[[#This Row],[Author]]="Marcela Urrego",VLOOKUP(LEFT(Proc[[#This Row],[Requested]],1),Table3[#All],2,0),VLOOKUP(Proc[[#This Row],[Author]],Table4[],2,0))</f>
        <v>HC</v>
      </c>
      <c r="L4172" s="150" t="s">
        <v>4894</v>
      </c>
      <c r="M4172" s="146">
        <v>45915</v>
      </c>
      <c r="N4172" s="148"/>
      <c r="O4172" s="148"/>
      <c r="P4172" s="146" t="str">
        <f ca="1">IF(Proc[[#This Row],[DaysAgeing]]&gt;5,"yep","on track")</f>
        <v>yep</v>
      </c>
      <c r="Q4172" s="3">
        <f ca="1">IF(Proc[[#This Row],[DateClosed]]="",ABS(NETWORKDAYS(Proc[[#This Row],[DateOpened]],TODAY()))-1,ABS(NETWORKDAYS(Proc[[#This Row],[DateOpened]],Proc[[#This Row],[DateClosed]]))-1)</f>
        <v>69</v>
      </c>
      <c r="R4172" s="146" t="s">
        <v>6273</v>
      </c>
      <c r="S4172" s="140"/>
    </row>
    <row r="4173" spans="1:19" hidden="1">
      <c r="A4173" t="s">
        <v>6287</v>
      </c>
      <c r="B4173" s="150" t="str">
        <f>IFERROR(VLOOKUP(Proc[[#This Row],[App]],Table2[],3,0),"open")</f>
        <v>ok</v>
      </c>
      <c r="C4173" t="s">
        <v>369</v>
      </c>
      <c r="D4173" t="s">
        <v>6277</v>
      </c>
      <c r="E4173" t="s">
        <v>417</v>
      </c>
      <c r="F4173" s="150" t="s">
        <v>417</v>
      </c>
      <c r="G4173" t="s">
        <v>400</v>
      </c>
      <c r="H4173" s="150" t="str">
        <f>IF(Proc[[#This Row],[type]]="LFF (MDG-F)",MID(Proc[[#This Row],[Obj]],13,10),"")</f>
        <v/>
      </c>
      <c r="I4173" t="s">
        <v>6285</v>
      </c>
      <c r="J4173" s="150" t="b">
        <f>Proc[[#This Row],[Requested]]=Proc[[#This Row],[CurrentParent]]</f>
        <v>1</v>
      </c>
      <c r="K4173" s="150" t="str">
        <f>IF(Proc[[#This Row],[Author]]="Marcela Urrego",VLOOKUP(LEFT(Proc[[#This Row],[Requested]],1),Table3[#All],2,0),VLOOKUP(Proc[[#This Row],[Author]],Table4[],2,0))</f>
        <v>LS</v>
      </c>
      <c r="L4173" s="150" t="s">
        <v>4894</v>
      </c>
      <c r="M4173" s="146">
        <v>45916</v>
      </c>
      <c r="N4173" s="148"/>
      <c r="O4173" s="148"/>
      <c r="P4173" s="146" t="str">
        <f ca="1">IF(Proc[[#This Row],[DaysAgeing]]&gt;5,"yep","on track")</f>
        <v>yep</v>
      </c>
      <c r="Q4173" s="3">
        <f ca="1">IF(Proc[[#This Row],[DateClosed]]="",ABS(NETWORKDAYS(Proc[[#This Row],[DateOpened]],TODAY()))-1,ABS(NETWORKDAYS(Proc[[#This Row],[DateOpened]],Proc[[#This Row],[DateClosed]]))-1)</f>
        <v>68</v>
      </c>
      <c r="R4173" s="146" t="s">
        <v>489</v>
      </c>
      <c r="S4173" s="150"/>
    </row>
    <row r="4174" spans="1:19" hidden="1">
      <c r="A4174" s="149" t="s">
        <v>6287</v>
      </c>
      <c r="B4174" s="150" t="str">
        <f>IFERROR(VLOOKUP(Proc[[#This Row],[App]],Table2[],3,0),"open")</f>
        <v>ok</v>
      </c>
      <c r="C4174" s="149" t="s">
        <v>369</v>
      </c>
      <c r="D4174" t="s">
        <v>6278</v>
      </c>
      <c r="E4174" t="s">
        <v>417</v>
      </c>
      <c r="F4174" s="150" t="s">
        <v>417</v>
      </c>
      <c r="G4174" s="149" t="s">
        <v>400</v>
      </c>
      <c r="H4174" s="150" t="str">
        <f>IF(Proc[[#This Row],[type]]="LFF (MDG-F)",MID(Proc[[#This Row],[Obj]],13,10),"")</f>
        <v/>
      </c>
      <c r="I4174" t="s">
        <v>6286</v>
      </c>
      <c r="J4174" s="150" t="b">
        <f>Proc[[#This Row],[Requested]]=Proc[[#This Row],[CurrentParent]]</f>
        <v>1</v>
      </c>
      <c r="K4174" s="150" t="str">
        <f>IF(Proc[[#This Row],[Author]]="Marcela Urrego",VLOOKUP(LEFT(Proc[[#This Row],[Requested]],1),Table3[#All],2,0),VLOOKUP(Proc[[#This Row],[Author]],Table4[],2,0))</f>
        <v>LS</v>
      </c>
      <c r="L4174" s="150" t="s">
        <v>4894</v>
      </c>
      <c r="M4174" s="146">
        <v>45916</v>
      </c>
      <c r="N4174" s="148"/>
      <c r="O4174" s="148"/>
      <c r="P4174" s="146" t="str">
        <f ca="1">IF(Proc[[#This Row],[DaysAgeing]]&gt;5,"yep","on track")</f>
        <v>yep</v>
      </c>
      <c r="Q4174" s="3">
        <f ca="1">IF(Proc[[#This Row],[DateClosed]]="",ABS(NETWORKDAYS(Proc[[#This Row],[DateOpened]],TODAY()))-1,ABS(NETWORKDAYS(Proc[[#This Row],[DateOpened]],Proc[[#This Row],[DateClosed]]))-1)</f>
        <v>68</v>
      </c>
      <c r="R4174" s="146" t="s">
        <v>489</v>
      </c>
      <c r="S4174" s="150"/>
    </row>
    <row r="4175" spans="1:19" hidden="1">
      <c r="A4175" s="149" t="s">
        <v>6287</v>
      </c>
      <c r="B4175" s="150" t="str">
        <f>IFERROR(VLOOKUP(Proc[[#This Row],[App]],Table2[],3,0),"open")</f>
        <v>ok</v>
      </c>
      <c r="C4175" s="149" t="s">
        <v>369</v>
      </c>
      <c r="D4175" t="s">
        <v>6279</v>
      </c>
      <c r="E4175" t="s">
        <v>6283</v>
      </c>
      <c r="F4175" s="150" t="s">
        <v>6283</v>
      </c>
      <c r="G4175" s="149" t="s">
        <v>400</v>
      </c>
      <c r="H4175" s="150" t="str">
        <f>IF(Proc[[#This Row],[type]]="LFF (MDG-F)",MID(Proc[[#This Row],[Obj]],13,10),"")</f>
        <v/>
      </c>
      <c r="J4175" s="150" t="b">
        <f>Proc[[#This Row],[Requested]]=Proc[[#This Row],[CurrentParent]]</f>
        <v>1</v>
      </c>
      <c r="K4175" s="150" t="str">
        <f>IF(Proc[[#This Row],[Author]]="Marcela Urrego",VLOOKUP(LEFT(Proc[[#This Row],[Requested]],1),Table3[#All],2,0),VLOOKUP(Proc[[#This Row],[Author]],Table4[],2,0))</f>
        <v>LS</v>
      </c>
      <c r="L4175" s="150" t="s">
        <v>4894</v>
      </c>
      <c r="M4175" s="146">
        <v>45916</v>
      </c>
      <c r="N4175" s="148"/>
      <c r="O4175" s="148"/>
      <c r="P4175" s="146" t="str">
        <f ca="1">IF(Proc[[#This Row],[DaysAgeing]]&gt;5,"yep","on track")</f>
        <v>yep</v>
      </c>
      <c r="Q4175" s="3">
        <f ca="1">IF(Proc[[#This Row],[DateClosed]]="",ABS(NETWORKDAYS(Proc[[#This Row],[DateOpened]],TODAY()))-1,ABS(NETWORKDAYS(Proc[[#This Row],[DateOpened]],Proc[[#This Row],[DateClosed]]))-1)</f>
        <v>68</v>
      </c>
      <c r="R4175" s="146" t="s">
        <v>489</v>
      </c>
      <c r="S4175" s="150"/>
    </row>
    <row r="4176" spans="1:19" hidden="1">
      <c r="A4176" s="149" t="s">
        <v>6287</v>
      </c>
      <c r="B4176" s="150" t="str">
        <f>IFERROR(VLOOKUP(Proc[[#This Row],[App]],Table2[],3,0),"open")</f>
        <v>ok</v>
      </c>
      <c r="C4176" s="149" t="s">
        <v>369</v>
      </c>
      <c r="D4176" t="s">
        <v>6280</v>
      </c>
      <c r="E4176" t="s">
        <v>2678</v>
      </c>
      <c r="F4176" s="150" t="s">
        <v>2678</v>
      </c>
      <c r="G4176" s="149" t="s">
        <v>400</v>
      </c>
      <c r="H4176" s="150" t="str">
        <f>IF(Proc[[#This Row],[type]]="LFF (MDG-F)",MID(Proc[[#This Row],[Obj]],13,10),"")</f>
        <v/>
      </c>
      <c r="J4176" s="150" t="b">
        <f>Proc[[#This Row],[Requested]]=Proc[[#This Row],[CurrentParent]]</f>
        <v>1</v>
      </c>
      <c r="K4176" s="150" t="str">
        <f>IF(Proc[[#This Row],[Author]]="Marcela Urrego",VLOOKUP(LEFT(Proc[[#This Row],[Requested]],1),Table3[#All],2,0),VLOOKUP(Proc[[#This Row],[Author]],Table4[],2,0))</f>
        <v>LS</v>
      </c>
      <c r="L4176" s="150" t="s">
        <v>4894</v>
      </c>
      <c r="M4176" s="146">
        <v>45916</v>
      </c>
      <c r="N4176" s="148"/>
      <c r="O4176" s="148"/>
      <c r="P4176" s="146" t="str">
        <f ca="1">IF(Proc[[#This Row],[DaysAgeing]]&gt;5,"yep","on track")</f>
        <v>yep</v>
      </c>
      <c r="Q4176" s="3">
        <f ca="1">IF(Proc[[#This Row],[DateClosed]]="",ABS(NETWORKDAYS(Proc[[#This Row],[DateOpened]],TODAY()))-1,ABS(NETWORKDAYS(Proc[[#This Row],[DateOpened]],Proc[[#This Row],[DateClosed]]))-1)</f>
        <v>68</v>
      </c>
      <c r="R4176" s="146" t="s">
        <v>489</v>
      </c>
      <c r="S4176" s="150"/>
    </row>
    <row r="4177" spans="1:19" hidden="1">
      <c r="A4177" s="149" t="s">
        <v>6287</v>
      </c>
      <c r="B4177" s="150" t="str">
        <f>IFERROR(VLOOKUP(Proc[[#This Row],[App]],Table2[],3,0),"open")</f>
        <v>ok</v>
      </c>
      <c r="C4177" s="149" t="s">
        <v>369</v>
      </c>
      <c r="D4177" t="s">
        <v>6281</v>
      </c>
      <c r="E4177" t="s">
        <v>2592</v>
      </c>
      <c r="F4177" s="150" t="s">
        <v>2592</v>
      </c>
      <c r="G4177" s="149" t="s">
        <v>400</v>
      </c>
      <c r="H4177" s="150" t="str">
        <f>IF(Proc[[#This Row],[type]]="LFF (MDG-F)",MID(Proc[[#This Row],[Obj]],13,10),"")</f>
        <v/>
      </c>
      <c r="I4177" t="s">
        <v>6288</v>
      </c>
      <c r="J4177" s="150" t="b">
        <f>Proc[[#This Row],[Requested]]=Proc[[#This Row],[CurrentParent]]</f>
        <v>1</v>
      </c>
      <c r="K4177" s="150" t="str">
        <f>IF(Proc[[#This Row],[Author]]="Marcela Urrego",VLOOKUP(LEFT(Proc[[#This Row],[Requested]],1),Table3[#All],2,0),VLOOKUP(Proc[[#This Row],[Author]],Table4[],2,0))</f>
        <v>LS</v>
      </c>
      <c r="L4177" s="150" t="s">
        <v>4894</v>
      </c>
      <c r="M4177" s="146">
        <v>45916</v>
      </c>
      <c r="N4177" s="148"/>
      <c r="O4177" s="148"/>
      <c r="P4177" s="146" t="str">
        <f ca="1">IF(Proc[[#This Row],[DaysAgeing]]&gt;5,"yep","on track")</f>
        <v>yep</v>
      </c>
      <c r="Q4177" s="3">
        <f ca="1">IF(Proc[[#This Row],[DateClosed]]="",ABS(NETWORKDAYS(Proc[[#This Row],[DateOpened]],TODAY()))-1,ABS(NETWORKDAYS(Proc[[#This Row],[DateOpened]],Proc[[#This Row],[DateClosed]]))-1)</f>
        <v>68</v>
      </c>
      <c r="R4177" s="146" t="s">
        <v>489</v>
      </c>
      <c r="S4177" s="150"/>
    </row>
    <row r="4178" spans="1:19" hidden="1">
      <c r="A4178" s="149" t="s">
        <v>6287</v>
      </c>
      <c r="B4178" s="150" t="str">
        <f>IFERROR(VLOOKUP(Proc[[#This Row],[App]],Table2[],3,0),"open")</f>
        <v>ok</v>
      </c>
      <c r="C4178" s="149" t="s">
        <v>369</v>
      </c>
      <c r="D4178" t="s">
        <v>6282</v>
      </c>
      <c r="E4178" t="s">
        <v>6284</v>
      </c>
      <c r="F4178" s="150" t="s">
        <v>6284</v>
      </c>
      <c r="G4178" s="149" t="s">
        <v>400</v>
      </c>
      <c r="H4178" s="150" t="str">
        <f>IF(Proc[[#This Row],[type]]="LFF (MDG-F)",MID(Proc[[#This Row],[Obj]],13,10),"")</f>
        <v/>
      </c>
      <c r="J4178" s="150" t="b">
        <f>Proc[[#This Row],[Requested]]=Proc[[#This Row],[CurrentParent]]</f>
        <v>1</v>
      </c>
      <c r="K4178" s="150" t="str">
        <f>IF(Proc[[#This Row],[Author]]="Marcela Urrego",VLOOKUP(LEFT(Proc[[#This Row],[Requested]],1),Table3[#All],2,0),VLOOKUP(Proc[[#This Row],[Author]],Table4[],2,0))</f>
        <v>LS</v>
      </c>
      <c r="L4178" s="150" t="s">
        <v>4894</v>
      </c>
      <c r="M4178" s="146">
        <v>45916</v>
      </c>
      <c r="N4178" s="148"/>
      <c r="O4178" s="148"/>
      <c r="P4178" s="146" t="str">
        <f ca="1">IF(Proc[[#This Row],[DaysAgeing]]&gt;5,"yep","on track")</f>
        <v>yep</v>
      </c>
      <c r="Q4178" s="3">
        <f ca="1">IF(Proc[[#This Row],[DateClosed]]="",ABS(NETWORKDAYS(Proc[[#This Row],[DateOpened]],TODAY()))-1,ABS(NETWORKDAYS(Proc[[#This Row],[DateOpened]],Proc[[#This Row],[DateClosed]]))-1)</f>
        <v>68</v>
      </c>
      <c r="R4178" s="146" t="s">
        <v>489</v>
      </c>
      <c r="S4178" s="150"/>
    </row>
    <row r="4179" spans="1:19" hidden="1">
      <c r="A4179" t="s">
        <v>6303</v>
      </c>
      <c r="B4179" s="150" t="str">
        <f>IFERROR(VLOOKUP(Proc[[#This Row],[App]],Table2[],3,0),"open")</f>
        <v>ok</v>
      </c>
      <c r="C4179" t="s">
        <v>369</v>
      </c>
      <c r="D4179" t="s">
        <v>6289</v>
      </c>
      <c r="E4179" t="s">
        <v>4173</v>
      </c>
      <c r="F4179" s="150" t="s">
        <v>4173</v>
      </c>
      <c r="G4179" t="s">
        <v>400</v>
      </c>
      <c r="H4179" s="150" t="str">
        <f>IF(Proc[[#This Row],[type]]="LFF (MDG-F)",MID(Proc[[#This Row],[Obj]],13,10),"")</f>
        <v/>
      </c>
      <c r="I4179" s="149" t="s">
        <v>6306</v>
      </c>
      <c r="J4179" s="150" t="b">
        <f>Proc[[#This Row],[Requested]]=Proc[[#This Row],[CurrentParent]]</f>
        <v>1</v>
      </c>
      <c r="K4179" s="150" t="str">
        <f>IF(Proc[[#This Row],[Author]]="Marcela Urrego",VLOOKUP(LEFT(Proc[[#This Row],[Requested]],1),Table3[#All],2,0),VLOOKUP(Proc[[#This Row],[Author]],Table4[],2,0))</f>
        <v>HC</v>
      </c>
      <c r="L4179" s="150" t="s">
        <v>4894</v>
      </c>
      <c r="M4179" s="146">
        <v>45917</v>
      </c>
      <c r="N4179" s="148"/>
      <c r="O4179" s="148"/>
      <c r="P4179" s="146" t="str">
        <f ca="1">IF(Proc[[#This Row],[DaysAgeing]]&gt;5,"yep","on track")</f>
        <v>yep</v>
      </c>
      <c r="Q4179" s="3">
        <f ca="1">IF(Proc[[#This Row],[DateClosed]]="",ABS(NETWORKDAYS(Proc[[#This Row],[DateOpened]],TODAY()))-1,ABS(NETWORKDAYS(Proc[[#This Row],[DateOpened]],Proc[[#This Row],[DateClosed]]))-1)</f>
        <v>67</v>
      </c>
      <c r="R4179" s="146" t="s">
        <v>410</v>
      </c>
      <c r="S4179" s="150"/>
    </row>
    <row r="4180" spans="1:19" hidden="1">
      <c r="A4180" s="149" t="s">
        <v>6303</v>
      </c>
      <c r="B4180" s="150" t="str">
        <f>IFERROR(VLOOKUP(Proc[[#This Row],[App]],Table2[],3,0),"open")</f>
        <v>ok</v>
      </c>
      <c r="C4180" s="149" t="s">
        <v>369</v>
      </c>
      <c r="D4180" t="s">
        <v>6290</v>
      </c>
      <c r="E4180" t="s">
        <v>4173</v>
      </c>
      <c r="F4180" s="150" t="s">
        <v>4173</v>
      </c>
      <c r="G4180" s="149" t="s">
        <v>400</v>
      </c>
      <c r="H4180" s="150" t="str">
        <f>IF(Proc[[#This Row],[type]]="LFF (MDG-F)",MID(Proc[[#This Row],[Obj]],13,10),"")</f>
        <v/>
      </c>
      <c r="I4180" s="149" t="s">
        <v>6306</v>
      </c>
      <c r="J4180" s="150" t="b">
        <f>Proc[[#This Row],[Requested]]=Proc[[#This Row],[CurrentParent]]</f>
        <v>1</v>
      </c>
      <c r="K4180" s="150" t="str">
        <f>IF(Proc[[#This Row],[Author]]="Marcela Urrego",VLOOKUP(LEFT(Proc[[#This Row],[Requested]],1),Table3[#All],2,0),VLOOKUP(Proc[[#This Row],[Author]],Table4[],2,0))</f>
        <v>HC</v>
      </c>
      <c r="L4180" s="150" t="s">
        <v>4894</v>
      </c>
      <c r="M4180" s="146">
        <v>45917</v>
      </c>
      <c r="N4180" s="148"/>
      <c r="O4180" s="148"/>
      <c r="P4180" s="146" t="str">
        <f ca="1">IF(Proc[[#This Row],[DaysAgeing]]&gt;5,"yep","on track")</f>
        <v>yep</v>
      </c>
      <c r="Q4180" s="3">
        <f ca="1">IF(Proc[[#This Row],[DateClosed]]="",ABS(NETWORKDAYS(Proc[[#This Row],[DateOpened]],TODAY()))-1,ABS(NETWORKDAYS(Proc[[#This Row],[DateOpened]],Proc[[#This Row],[DateClosed]]))-1)</f>
        <v>67</v>
      </c>
      <c r="R4180" s="146" t="s">
        <v>410</v>
      </c>
      <c r="S4180" s="150"/>
    </row>
    <row r="4181" spans="1:19" hidden="1">
      <c r="A4181" s="149" t="s">
        <v>6303</v>
      </c>
      <c r="B4181" s="150" t="str">
        <f>IFERROR(VLOOKUP(Proc[[#This Row],[App]],Table2[],3,0),"open")</f>
        <v>ok</v>
      </c>
      <c r="C4181" s="149" t="s">
        <v>369</v>
      </c>
      <c r="D4181" t="s">
        <v>6291</v>
      </c>
      <c r="E4181" t="s">
        <v>4173</v>
      </c>
      <c r="F4181" s="150" t="s">
        <v>4173</v>
      </c>
      <c r="G4181" s="149" t="s">
        <v>400</v>
      </c>
      <c r="H4181" s="150" t="str">
        <f>IF(Proc[[#This Row],[type]]="LFF (MDG-F)",MID(Proc[[#This Row],[Obj]],13,10),"")</f>
        <v/>
      </c>
      <c r="I4181" s="149" t="s">
        <v>6306</v>
      </c>
      <c r="J4181" s="150" t="b">
        <f>Proc[[#This Row],[Requested]]=Proc[[#This Row],[CurrentParent]]</f>
        <v>1</v>
      </c>
      <c r="K4181" s="150" t="str">
        <f>IF(Proc[[#This Row],[Author]]="Marcela Urrego",VLOOKUP(LEFT(Proc[[#This Row],[Requested]],1),Table3[#All],2,0),VLOOKUP(Proc[[#This Row],[Author]],Table4[],2,0))</f>
        <v>HC</v>
      </c>
      <c r="L4181" s="150" t="s">
        <v>4894</v>
      </c>
      <c r="M4181" s="146">
        <v>45917</v>
      </c>
      <c r="N4181" s="148"/>
      <c r="O4181" s="148"/>
      <c r="P4181" s="146" t="str">
        <f ca="1">IF(Proc[[#This Row],[DaysAgeing]]&gt;5,"yep","on track")</f>
        <v>yep</v>
      </c>
      <c r="Q4181" s="3">
        <f ca="1">IF(Proc[[#This Row],[DateClosed]]="",ABS(NETWORKDAYS(Proc[[#This Row],[DateOpened]],TODAY()))-1,ABS(NETWORKDAYS(Proc[[#This Row],[DateOpened]],Proc[[#This Row],[DateClosed]]))-1)</f>
        <v>67</v>
      </c>
      <c r="R4181" s="146" t="s">
        <v>410</v>
      </c>
      <c r="S4181" s="150"/>
    </row>
    <row r="4182" spans="1:19" hidden="1">
      <c r="A4182" s="149" t="s">
        <v>6303</v>
      </c>
      <c r="B4182" s="150" t="str">
        <f>IFERROR(VLOOKUP(Proc[[#This Row],[App]],Table2[],3,0),"open")</f>
        <v>ok</v>
      </c>
      <c r="C4182" s="149" t="s">
        <v>369</v>
      </c>
      <c r="D4182" t="s">
        <v>6292</v>
      </c>
      <c r="E4182" t="s">
        <v>4173</v>
      </c>
      <c r="F4182" s="150" t="s">
        <v>4173</v>
      </c>
      <c r="G4182" s="149" t="s">
        <v>400</v>
      </c>
      <c r="H4182" s="150" t="str">
        <f>IF(Proc[[#This Row],[type]]="LFF (MDG-F)",MID(Proc[[#This Row],[Obj]],13,10),"")</f>
        <v/>
      </c>
      <c r="I4182" s="149" t="s">
        <v>6306</v>
      </c>
      <c r="J4182" s="150" t="b">
        <f>Proc[[#This Row],[Requested]]=Proc[[#This Row],[CurrentParent]]</f>
        <v>1</v>
      </c>
      <c r="K4182" s="150" t="str">
        <f>IF(Proc[[#This Row],[Author]]="Marcela Urrego",VLOOKUP(LEFT(Proc[[#This Row],[Requested]],1),Table3[#All],2,0),VLOOKUP(Proc[[#This Row],[Author]],Table4[],2,0))</f>
        <v>HC</v>
      </c>
      <c r="L4182" s="150" t="s">
        <v>4894</v>
      </c>
      <c r="M4182" s="146">
        <v>45917</v>
      </c>
      <c r="N4182" s="148"/>
      <c r="O4182" s="148"/>
      <c r="P4182" s="146" t="str">
        <f ca="1">IF(Proc[[#This Row],[DaysAgeing]]&gt;5,"yep","on track")</f>
        <v>yep</v>
      </c>
      <c r="Q4182" s="3">
        <f ca="1">IF(Proc[[#This Row],[DateClosed]]="",ABS(NETWORKDAYS(Proc[[#This Row],[DateOpened]],TODAY()))-1,ABS(NETWORKDAYS(Proc[[#This Row],[DateOpened]],Proc[[#This Row],[DateClosed]]))-1)</f>
        <v>67</v>
      </c>
      <c r="R4182" s="146" t="s">
        <v>410</v>
      </c>
      <c r="S4182" s="150"/>
    </row>
    <row r="4183" spans="1:19" hidden="1">
      <c r="A4183" s="149" t="s">
        <v>6303</v>
      </c>
      <c r="B4183" s="150" t="str">
        <f>IFERROR(VLOOKUP(Proc[[#This Row],[App]],Table2[],3,0),"open")</f>
        <v>ok</v>
      </c>
      <c r="C4183" s="149" t="s">
        <v>369</v>
      </c>
      <c r="D4183" t="s">
        <v>6293</v>
      </c>
      <c r="E4183" t="s">
        <v>4173</v>
      </c>
      <c r="F4183" s="150" t="s">
        <v>4173</v>
      </c>
      <c r="G4183" s="149" t="s">
        <v>400</v>
      </c>
      <c r="H4183" s="150" t="str">
        <f>IF(Proc[[#This Row],[type]]="LFF (MDG-F)",MID(Proc[[#This Row],[Obj]],13,10),"")</f>
        <v/>
      </c>
      <c r="I4183" s="149" t="s">
        <v>6306</v>
      </c>
      <c r="J4183" s="150" t="b">
        <f>Proc[[#This Row],[Requested]]=Proc[[#This Row],[CurrentParent]]</f>
        <v>1</v>
      </c>
      <c r="K4183" s="150" t="str">
        <f>IF(Proc[[#This Row],[Author]]="Marcela Urrego",VLOOKUP(LEFT(Proc[[#This Row],[Requested]],1),Table3[#All],2,0),VLOOKUP(Proc[[#This Row],[Author]],Table4[],2,0))</f>
        <v>HC</v>
      </c>
      <c r="L4183" s="150" t="s">
        <v>4894</v>
      </c>
      <c r="M4183" s="146">
        <v>45917</v>
      </c>
      <c r="N4183" s="148"/>
      <c r="O4183" s="148"/>
      <c r="P4183" s="146" t="str">
        <f ca="1">IF(Proc[[#This Row],[DaysAgeing]]&gt;5,"yep","on track")</f>
        <v>yep</v>
      </c>
      <c r="Q4183" s="3">
        <f ca="1">IF(Proc[[#This Row],[DateClosed]]="",ABS(NETWORKDAYS(Proc[[#This Row],[DateOpened]],TODAY()))-1,ABS(NETWORKDAYS(Proc[[#This Row],[DateOpened]],Proc[[#This Row],[DateClosed]]))-1)</f>
        <v>67</v>
      </c>
      <c r="R4183" s="146" t="s">
        <v>410</v>
      </c>
      <c r="S4183" s="150"/>
    </row>
    <row r="4184" spans="1:19" hidden="1">
      <c r="A4184" s="149" t="s">
        <v>6303</v>
      </c>
      <c r="B4184" s="150" t="str">
        <f>IFERROR(VLOOKUP(Proc[[#This Row],[App]],Table2[],3,0),"open")</f>
        <v>ok</v>
      </c>
      <c r="C4184" s="149" t="s">
        <v>369</v>
      </c>
      <c r="D4184" t="s">
        <v>6294</v>
      </c>
      <c r="E4184" t="s">
        <v>4174</v>
      </c>
      <c r="F4184" s="150" t="s">
        <v>4174</v>
      </c>
      <c r="G4184" s="149" t="s">
        <v>400</v>
      </c>
      <c r="H4184" s="150" t="str">
        <f>IF(Proc[[#This Row],[type]]="LFF (MDG-F)",MID(Proc[[#This Row],[Obj]],13,10),"")</f>
        <v/>
      </c>
      <c r="I4184" s="149" t="s">
        <v>6306</v>
      </c>
      <c r="J4184" s="150" t="b">
        <f>Proc[[#This Row],[Requested]]=Proc[[#This Row],[CurrentParent]]</f>
        <v>1</v>
      </c>
      <c r="K4184" s="150" t="str">
        <f>IF(Proc[[#This Row],[Author]]="Marcela Urrego",VLOOKUP(LEFT(Proc[[#This Row],[Requested]],1),Table3[#All],2,0),VLOOKUP(Proc[[#This Row],[Author]],Table4[],2,0))</f>
        <v>HC</v>
      </c>
      <c r="L4184" s="150" t="s">
        <v>4894</v>
      </c>
      <c r="M4184" s="146">
        <v>45917</v>
      </c>
      <c r="N4184" s="148"/>
      <c r="O4184" s="148"/>
      <c r="P4184" s="146" t="str">
        <f ca="1">IF(Proc[[#This Row],[DaysAgeing]]&gt;5,"yep","on track")</f>
        <v>yep</v>
      </c>
      <c r="Q4184" s="3">
        <f ca="1">IF(Proc[[#This Row],[DateClosed]]="",ABS(NETWORKDAYS(Proc[[#This Row],[DateOpened]],TODAY()))-1,ABS(NETWORKDAYS(Proc[[#This Row],[DateOpened]],Proc[[#This Row],[DateClosed]]))-1)</f>
        <v>67</v>
      </c>
      <c r="R4184" s="146" t="s">
        <v>410</v>
      </c>
      <c r="S4184" s="150"/>
    </row>
    <row r="4185" spans="1:19" hidden="1">
      <c r="A4185" s="149" t="s">
        <v>6303</v>
      </c>
      <c r="B4185" s="150" t="str">
        <f>IFERROR(VLOOKUP(Proc[[#This Row],[App]],Table2[],3,0),"open")</f>
        <v>ok</v>
      </c>
      <c r="C4185" s="149" t="s">
        <v>369</v>
      </c>
      <c r="D4185" t="s">
        <v>6295</v>
      </c>
      <c r="E4185" t="s">
        <v>4174</v>
      </c>
      <c r="F4185" s="150" t="s">
        <v>4174</v>
      </c>
      <c r="G4185" s="149" t="s">
        <v>400</v>
      </c>
      <c r="H4185" s="150" t="str">
        <f>IF(Proc[[#This Row],[type]]="LFF (MDG-F)",MID(Proc[[#This Row],[Obj]],13,10),"")</f>
        <v/>
      </c>
      <c r="I4185" s="149" t="s">
        <v>6306</v>
      </c>
      <c r="J4185" s="150" t="b">
        <f>Proc[[#This Row],[Requested]]=Proc[[#This Row],[CurrentParent]]</f>
        <v>1</v>
      </c>
      <c r="K4185" s="150" t="str">
        <f>IF(Proc[[#This Row],[Author]]="Marcela Urrego",VLOOKUP(LEFT(Proc[[#This Row],[Requested]],1),Table3[#All],2,0),VLOOKUP(Proc[[#This Row],[Author]],Table4[],2,0))</f>
        <v>HC</v>
      </c>
      <c r="L4185" s="150" t="s">
        <v>4894</v>
      </c>
      <c r="M4185" s="146">
        <v>45917</v>
      </c>
      <c r="N4185" s="148"/>
      <c r="O4185" s="148"/>
      <c r="P4185" s="146" t="str">
        <f ca="1">IF(Proc[[#This Row],[DaysAgeing]]&gt;5,"yep","on track")</f>
        <v>yep</v>
      </c>
      <c r="Q4185" s="3">
        <f ca="1">IF(Proc[[#This Row],[DateClosed]]="",ABS(NETWORKDAYS(Proc[[#This Row],[DateOpened]],TODAY()))-1,ABS(NETWORKDAYS(Proc[[#This Row],[DateOpened]],Proc[[#This Row],[DateClosed]]))-1)</f>
        <v>67</v>
      </c>
      <c r="R4185" s="146" t="s">
        <v>410</v>
      </c>
      <c r="S4185" s="150"/>
    </row>
    <row r="4186" spans="1:19" hidden="1">
      <c r="A4186" s="149" t="s">
        <v>6303</v>
      </c>
      <c r="B4186" s="150" t="str">
        <f>IFERROR(VLOOKUP(Proc[[#This Row],[App]],Table2[],3,0),"open")</f>
        <v>ok</v>
      </c>
      <c r="C4186" s="149" t="s">
        <v>369</v>
      </c>
      <c r="D4186" t="s">
        <v>6296</v>
      </c>
      <c r="E4186" t="s">
        <v>4174</v>
      </c>
      <c r="F4186" s="150" t="s">
        <v>4174</v>
      </c>
      <c r="G4186" s="149" t="s">
        <v>400</v>
      </c>
      <c r="H4186" s="150" t="str">
        <f>IF(Proc[[#This Row],[type]]="LFF (MDG-F)",MID(Proc[[#This Row],[Obj]],13,10),"")</f>
        <v/>
      </c>
      <c r="I4186" s="149" t="s">
        <v>6306</v>
      </c>
      <c r="J4186" s="150" t="b">
        <f>Proc[[#This Row],[Requested]]=Proc[[#This Row],[CurrentParent]]</f>
        <v>1</v>
      </c>
      <c r="K4186" s="150" t="str">
        <f>IF(Proc[[#This Row],[Author]]="Marcela Urrego",VLOOKUP(LEFT(Proc[[#This Row],[Requested]],1),Table3[#All],2,0),VLOOKUP(Proc[[#This Row],[Author]],Table4[],2,0))</f>
        <v>HC</v>
      </c>
      <c r="L4186" s="150" t="s">
        <v>4894</v>
      </c>
      <c r="M4186" s="146">
        <v>45917</v>
      </c>
      <c r="N4186" s="148"/>
      <c r="O4186" s="148"/>
      <c r="P4186" s="146" t="str">
        <f ca="1">IF(Proc[[#This Row],[DaysAgeing]]&gt;5,"yep","on track")</f>
        <v>yep</v>
      </c>
      <c r="Q4186" s="3">
        <f ca="1">IF(Proc[[#This Row],[DateClosed]]="",ABS(NETWORKDAYS(Proc[[#This Row],[DateOpened]],TODAY()))-1,ABS(NETWORKDAYS(Proc[[#This Row],[DateOpened]],Proc[[#This Row],[DateClosed]]))-1)</f>
        <v>67</v>
      </c>
      <c r="R4186" s="146" t="s">
        <v>410</v>
      </c>
      <c r="S4186" s="150"/>
    </row>
    <row r="4187" spans="1:19" hidden="1">
      <c r="A4187" s="149" t="s">
        <v>6303</v>
      </c>
      <c r="B4187" s="150" t="str">
        <f>IFERROR(VLOOKUP(Proc[[#This Row],[App]],Table2[],3,0),"open")</f>
        <v>ok</v>
      </c>
      <c r="C4187" s="149" t="s">
        <v>369</v>
      </c>
      <c r="D4187" t="s">
        <v>6297</v>
      </c>
      <c r="E4187" t="s">
        <v>4174</v>
      </c>
      <c r="F4187" s="150" t="s">
        <v>4174</v>
      </c>
      <c r="G4187" s="149" t="s">
        <v>400</v>
      </c>
      <c r="H4187" s="150" t="str">
        <f>IF(Proc[[#This Row],[type]]="LFF (MDG-F)",MID(Proc[[#This Row],[Obj]],13,10),"")</f>
        <v/>
      </c>
      <c r="I4187" s="149" t="s">
        <v>6306</v>
      </c>
      <c r="J4187" s="150" t="b">
        <f>Proc[[#This Row],[Requested]]=Proc[[#This Row],[CurrentParent]]</f>
        <v>1</v>
      </c>
      <c r="K4187" s="150" t="str">
        <f>IF(Proc[[#This Row],[Author]]="Marcela Urrego",VLOOKUP(LEFT(Proc[[#This Row],[Requested]],1),Table3[#All],2,0),VLOOKUP(Proc[[#This Row],[Author]],Table4[],2,0))</f>
        <v>HC</v>
      </c>
      <c r="L4187" s="150" t="s">
        <v>4894</v>
      </c>
      <c r="M4187" s="146">
        <v>45917</v>
      </c>
      <c r="N4187" s="148"/>
      <c r="O4187" s="148"/>
      <c r="P4187" s="146" t="str">
        <f ca="1">IF(Proc[[#This Row],[DaysAgeing]]&gt;5,"yep","on track")</f>
        <v>yep</v>
      </c>
      <c r="Q4187" s="3">
        <f ca="1">IF(Proc[[#This Row],[DateClosed]]="",ABS(NETWORKDAYS(Proc[[#This Row],[DateOpened]],TODAY()))-1,ABS(NETWORKDAYS(Proc[[#This Row],[DateOpened]],Proc[[#This Row],[DateClosed]]))-1)</f>
        <v>67</v>
      </c>
      <c r="R4187" s="146" t="s">
        <v>410</v>
      </c>
      <c r="S4187" s="150"/>
    </row>
    <row r="4188" spans="1:19" hidden="1">
      <c r="A4188" s="149" t="s">
        <v>6303</v>
      </c>
      <c r="B4188" s="150" t="str">
        <f>IFERROR(VLOOKUP(Proc[[#This Row],[App]],Table2[],3,0),"open")</f>
        <v>ok</v>
      </c>
      <c r="C4188" s="149" t="s">
        <v>369</v>
      </c>
      <c r="D4188" t="s">
        <v>6298</v>
      </c>
      <c r="E4188" t="s">
        <v>4174</v>
      </c>
      <c r="F4188" s="150" t="s">
        <v>4174</v>
      </c>
      <c r="G4188" s="149" t="s">
        <v>400</v>
      </c>
      <c r="H4188" s="150" t="str">
        <f>IF(Proc[[#This Row],[type]]="LFF (MDG-F)",MID(Proc[[#This Row],[Obj]],13,10),"")</f>
        <v/>
      </c>
      <c r="I4188" s="149" t="s">
        <v>6306</v>
      </c>
      <c r="J4188" s="150" t="b">
        <f>Proc[[#This Row],[Requested]]=Proc[[#This Row],[CurrentParent]]</f>
        <v>1</v>
      </c>
      <c r="K4188" s="150" t="str">
        <f>IF(Proc[[#This Row],[Author]]="Marcela Urrego",VLOOKUP(LEFT(Proc[[#This Row],[Requested]],1),Table3[#All],2,0),VLOOKUP(Proc[[#This Row],[Author]],Table4[],2,0))</f>
        <v>HC</v>
      </c>
      <c r="L4188" s="150" t="s">
        <v>4894</v>
      </c>
      <c r="M4188" s="146">
        <v>45917</v>
      </c>
      <c r="N4188" s="148"/>
      <c r="O4188" s="148"/>
      <c r="P4188" s="146" t="str">
        <f ca="1">IF(Proc[[#This Row],[DaysAgeing]]&gt;5,"yep","on track")</f>
        <v>yep</v>
      </c>
      <c r="Q4188" s="3">
        <f ca="1">IF(Proc[[#This Row],[DateClosed]]="",ABS(NETWORKDAYS(Proc[[#This Row],[DateOpened]],TODAY()))-1,ABS(NETWORKDAYS(Proc[[#This Row],[DateOpened]],Proc[[#This Row],[DateClosed]]))-1)</f>
        <v>67</v>
      </c>
      <c r="R4188" s="146" t="s">
        <v>410</v>
      </c>
      <c r="S4188" s="150"/>
    </row>
    <row r="4189" spans="1:19" hidden="1">
      <c r="A4189" s="149" t="s">
        <v>6303</v>
      </c>
      <c r="B4189" s="150" t="str">
        <f>IFERROR(VLOOKUP(Proc[[#This Row],[App]],Table2[],3,0),"open")</f>
        <v>ok</v>
      </c>
      <c r="C4189" s="149" t="s">
        <v>369</v>
      </c>
      <c r="D4189" t="s">
        <v>6308</v>
      </c>
      <c r="E4189" t="s">
        <v>4173</v>
      </c>
      <c r="F4189" s="150" t="s">
        <v>4173</v>
      </c>
      <c r="G4189" s="149" t="s">
        <v>406</v>
      </c>
      <c r="H4189" s="150" t="str">
        <f>IF(Proc[[#This Row],[type]]="LFF (MDG-F)",MID(Proc[[#This Row],[Obj]],13,10),"")</f>
        <v>CH50L95005</v>
      </c>
      <c r="I4189" s="149" t="s">
        <v>6307</v>
      </c>
      <c r="J4189" s="150" t="b">
        <f>Proc[[#This Row],[Requested]]=Proc[[#This Row],[CurrentParent]]</f>
        <v>1</v>
      </c>
      <c r="K4189" s="150" t="str">
        <f>IF(Proc[[#This Row],[Author]]="Marcela Urrego",VLOOKUP(LEFT(Proc[[#This Row],[Requested]],1),Table3[#All],2,0),VLOOKUP(Proc[[#This Row],[Author]],Table4[],2,0))</f>
        <v>HC</v>
      </c>
      <c r="L4189" s="150" t="s">
        <v>4894</v>
      </c>
      <c r="M4189" s="146">
        <v>45917</v>
      </c>
      <c r="N4189" s="148"/>
      <c r="O4189" s="148"/>
      <c r="P4189" s="146" t="str">
        <f ca="1">IF(Proc[[#This Row],[DaysAgeing]]&gt;5,"yep","on track")</f>
        <v>yep</v>
      </c>
      <c r="Q4189" s="3">
        <f ca="1">IF(Proc[[#This Row],[DateClosed]]="",ABS(NETWORKDAYS(Proc[[#This Row],[DateOpened]],TODAY()))-1,ABS(NETWORKDAYS(Proc[[#This Row],[DateOpened]],Proc[[#This Row],[DateClosed]]))-1)</f>
        <v>67</v>
      </c>
      <c r="R4189" s="146" t="s">
        <v>410</v>
      </c>
      <c r="S4189" s="150"/>
    </row>
    <row r="4190" spans="1:19" hidden="1">
      <c r="A4190" s="149" t="s">
        <v>6303</v>
      </c>
      <c r="B4190" s="150" t="str">
        <f>IFERROR(VLOOKUP(Proc[[#This Row],[App]],Table2[],3,0),"open")</f>
        <v>ok</v>
      </c>
      <c r="C4190" s="149" t="s">
        <v>369</v>
      </c>
      <c r="D4190" t="s">
        <v>6309</v>
      </c>
      <c r="E4190" t="s">
        <v>4173</v>
      </c>
      <c r="F4190" s="150" t="s">
        <v>4173</v>
      </c>
      <c r="G4190" s="149" t="s">
        <v>406</v>
      </c>
      <c r="H4190" s="150" t="str">
        <f>IF(Proc[[#This Row],[type]]="LFF (MDG-F)",MID(Proc[[#This Row],[Obj]],13,10),"")</f>
        <v>CH50L95009</v>
      </c>
      <c r="I4190" s="149" t="s">
        <v>6307</v>
      </c>
      <c r="J4190" s="150" t="b">
        <f>Proc[[#This Row],[Requested]]=Proc[[#This Row],[CurrentParent]]</f>
        <v>1</v>
      </c>
      <c r="K4190" s="150" t="str">
        <f>IF(Proc[[#This Row],[Author]]="Marcela Urrego",VLOOKUP(LEFT(Proc[[#This Row],[Requested]],1),Table3[#All],2,0),VLOOKUP(Proc[[#This Row],[Author]],Table4[],2,0))</f>
        <v>HC</v>
      </c>
      <c r="L4190" s="150" t="s">
        <v>4894</v>
      </c>
      <c r="M4190" s="146">
        <v>45917</v>
      </c>
      <c r="N4190" s="148"/>
      <c r="O4190" s="148"/>
      <c r="P4190" s="146" t="str">
        <f ca="1">IF(Proc[[#This Row],[DaysAgeing]]&gt;5,"yep","on track")</f>
        <v>yep</v>
      </c>
      <c r="Q4190" s="3">
        <f ca="1">IF(Proc[[#This Row],[DateClosed]]="",ABS(NETWORKDAYS(Proc[[#This Row],[DateOpened]],TODAY()))-1,ABS(NETWORKDAYS(Proc[[#This Row],[DateOpened]],Proc[[#This Row],[DateClosed]]))-1)</f>
        <v>67</v>
      </c>
      <c r="R4190" s="146" t="s">
        <v>410</v>
      </c>
      <c r="S4190" s="150"/>
    </row>
    <row r="4191" spans="1:19" hidden="1">
      <c r="A4191" s="149" t="s">
        <v>6303</v>
      </c>
      <c r="B4191" s="150" t="str">
        <f>IFERROR(VLOOKUP(Proc[[#This Row],[App]],Table2[],3,0),"open")</f>
        <v>ok</v>
      </c>
      <c r="C4191" s="149" t="s">
        <v>369</v>
      </c>
      <c r="D4191" t="s">
        <v>6299</v>
      </c>
      <c r="E4191" t="s">
        <v>4173</v>
      </c>
      <c r="F4191" s="150" t="s">
        <v>4173</v>
      </c>
      <c r="G4191" s="149" t="s">
        <v>400</v>
      </c>
      <c r="H4191" s="150" t="str">
        <f>IF(Proc[[#This Row],[type]]="LFF (MDG-F)",MID(Proc[[#This Row],[Obj]],13,10),"")</f>
        <v/>
      </c>
      <c r="I4191" s="149" t="s">
        <v>6306</v>
      </c>
      <c r="J4191" s="150" t="b">
        <f>Proc[[#This Row],[Requested]]=Proc[[#This Row],[CurrentParent]]</f>
        <v>1</v>
      </c>
      <c r="K4191" s="150" t="str">
        <f>IF(Proc[[#This Row],[Author]]="Marcela Urrego",VLOOKUP(LEFT(Proc[[#This Row],[Requested]],1),Table3[#All],2,0),VLOOKUP(Proc[[#This Row],[Author]],Table4[],2,0))</f>
        <v>HC</v>
      </c>
      <c r="L4191" s="150" t="s">
        <v>4894</v>
      </c>
      <c r="M4191" s="146">
        <v>45917</v>
      </c>
      <c r="N4191" s="148"/>
      <c r="O4191" s="148"/>
      <c r="P4191" s="146" t="str">
        <f ca="1">IF(Proc[[#This Row],[DaysAgeing]]&gt;5,"yep","on track")</f>
        <v>yep</v>
      </c>
      <c r="Q4191" s="3">
        <f ca="1">IF(Proc[[#This Row],[DateClosed]]="",ABS(NETWORKDAYS(Proc[[#This Row],[DateOpened]],TODAY()))-1,ABS(NETWORKDAYS(Proc[[#This Row],[DateOpened]],Proc[[#This Row],[DateClosed]]))-1)</f>
        <v>67</v>
      </c>
      <c r="R4191" s="146" t="s">
        <v>410</v>
      </c>
      <c r="S4191" s="150"/>
    </row>
    <row r="4192" spans="1:19" hidden="1">
      <c r="A4192" s="149" t="s">
        <v>6303</v>
      </c>
      <c r="B4192" s="150" t="str">
        <f>IFERROR(VLOOKUP(Proc[[#This Row],[App]],Table2[],3,0),"open")</f>
        <v>ok</v>
      </c>
      <c r="C4192" s="149" t="s">
        <v>369</v>
      </c>
      <c r="D4192" t="s">
        <v>6310</v>
      </c>
      <c r="E4192" t="s">
        <v>4173</v>
      </c>
      <c r="F4192" s="150" t="s">
        <v>4173</v>
      </c>
      <c r="G4192" s="149" t="s">
        <v>406</v>
      </c>
      <c r="H4192" s="150" t="str">
        <f>IF(Proc[[#This Row],[type]]="LFF (MDG-F)",MID(Proc[[#This Row],[Obj]],13,10),"")</f>
        <v>DE50OF0124</v>
      </c>
      <c r="I4192" s="149" t="s">
        <v>6307</v>
      </c>
      <c r="J4192" s="150" t="b">
        <f>Proc[[#This Row],[Requested]]=Proc[[#This Row],[CurrentParent]]</f>
        <v>1</v>
      </c>
      <c r="K4192" s="150" t="str">
        <f>IF(Proc[[#This Row],[Author]]="Marcela Urrego",VLOOKUP(LEFT(Proc[[#This Row],[Requested]],1),Table3[#All],2,0),VLOOKUP(Proc[[#This Row],[Author]],Table4[],2,0))</f>
        <v>HC</v>
      </c>
      <c r="L4192" s="150" t="s">
        <v>4894</v>
      </c>
      <c r="M4192" s="146">
        <v>45917</v>
      </c>
      <c r="N4192" s="148"/>
      <c r="O4192" s="148"/>
      <c r="P4192" s="146" t="str">
        <f ca="1">IF(Proc[[#This Row],[DaysAgeing]]&gt;5,"yep","on track")</f>
        <v>yep</v>
      </c>
      <c r="Q4192" s="3">
        <f ca="1">IF(Proc[[#This Row],[DateClosed]]="",ABS(NETWORKDAYS(Proc[[#This Row],[DateOpened]],TODAY()))-1,ABS(NETWORKDAYS(Proc[[#This Row],[DateOpened]],Proc[[#This Row],[DateClosed]]))-1)</f>
        <v>67</v>
      </c>
      <c r="R4192" s="146" t="s">
        <v>410</v>
      </c>
      <c r="S4192" s="150"/>
    </row>
    <row r="4193" spans="1:19" hidden="1">
      <c r="A4193" s="149" t="s">
        <v>6303</v>
      </c>
      <c r="B4193" s="150" t="str">
        <f>IFERROR(VLOOKUP(Proc[[#This Row],[App]],Table2[],3,0),"open")</f>
        <v>ok</v>
      </c>
      <c r="C4193" s="149" t="s">
        <v>369</v>
      </c>
      <c r="D4193" t="s">
        <v>6300</v>
      </c>
      <c r="E4193" t="s">
        <v>4174</v>
      </c>
      <c r="F4193" s="150" t="s">
        <v>4174</v>
      </c>
      <c r="G4193" s="149" t="s">
        <v>400</v>
      </c>
      <c r="H4193" s="150" t="str">
        <f>IF(Proc[[#This Row],[type]]="LFF (MDG-F)",MID(Proc[[#This Row],[Obj]],13,10),"")</f>
        <v/>
      </c>
      <c r="I4193" s="149" t="s">
        <v>6306</v>
      </c>
      <c r="J4193" s="150" t="b">
        <f>Proc[[#This Row],[Requested]]=Proc[[#This Row],[CurrentParent]]</f>
        <v>1</v>
      </c>
      <c r="K4193" s="150" t="str">
        <f>IF(Proc[[#This Row],[Author]]="Marcela Urrego",VLOOKUP(LEFT(Proc[[#This Row],[Requested]],1),Table3[#All],2,0),VLOOKUP(Proc[[#This Row],[Author]],Table4[],2,0))</f>
        <v>HC</v>
      </c>
      <c r="L4193" s="150" t="s">
        <v>4894</v>
      </c>
      <c r="M4193" s="146">
        <v>45917</v>
      </c>
      <c r="N4193" s="148"/>
      <c r="O4193" s="148"/>
      <c r="P4193" s="146" t="str">
        <f ca="1">IF(Proc[[#This Row],[DaysAgeing]]&gt;5,"yep","on track")</f>
        <v>yep</v>
      </c>
      <c r="Q4193" s="3">
        <f ca="1">IF(Proc[[#This Row],[DateClosed]]="",ABS(NETWORKDAYS(Proc[[#This Row],[DateOpened]],TODAY()))-1,ABS(NETWORKDAYS(Proc[[#This Row],[DateOpened]],Proc[[#This Row],[DateClosed]]))-1)</f>
        <v>67</v>
      </c>
      <c r="R4193" s="146" t="s">
        <v>410</v>
      </c>
      <c r="S4193" s="150"/>
    </row>
    <row r="4194" spans="1:19" hidden="1">
      <c r="A4194" s="149" t="s">
        <v>6303</v>
      </c>
      <c r="B4194" s="150" t="str">
        <f>IFERROR(VLOOKUP(Proc[[#This Row],[App]],Table2[],3,0),"open")</f>
        <v>ok</v>
      </c>
      <c r="C4194" s="149" t="s">
        <v>369</v>
      </c>
      <c r="D4194" t="s">
        <v>6301</v>
      </c>
      <c r="E4194" t="s">
        <v>4174</v>
      </c>
      <c r="F4194" s="150" t="s">
        <v>4174</v>
      </c>
      <c r="G4194" s="149" t="s">
        <v>400</v>
      </c>
      <c r="H4194" s="150" t="str">
        <f>IF(Proc[[#This Row],[type]]="LFF (MDG-F)",MID(Proc[[#This Row],[Obj]],13,10),"")</f>
        <v/>
      </c>
      <c r="I4194" s="149" t="s">
        <v>6306</v>
      </c>
      <c r="J4194" s="150" t="b">
        <f>Proc[[#This Row],[Requested]]=Proc[[#This Row],[CurrentParent]]</f>
        <v>1</v>
      </c>
      <c r="K4194" s="150" t="str">
        <f>IF(Proc[[#This Row],[Author]]="Marcela Urrego",VLOOKUP(LEFT(Proc[[#This Row],[Requested]],1),Table3[#All],2,0),VLOOKUP(Proc[[#This Row],[Author]],Table4[],2,0))</f>
        <v>HC</v>
      </c>
      <c r="L4194" s="150" t="s">
        <v>4894</v>
      </c>
      <c r="M4194" s="146">
        <v>45917</v>
      </c>
      <c r="N4194" s="148"/>
      <c r="O4194" s="148"/>
      <c r="P4194" s="146" t="str">
        <f ca="1">IF(Proc[[#This Row],[DaysAgeing]]&gt;5,"yep","on track")</f>
        <v>yep</v>
      </c>
      <c r="Q4194" s="3">
        <f ca="1">IF(Proc[[#This Row],[DateClosed]]="",ABS(NETWORKDAYS(Proc[[#This Row],[DateOpened]],TODAY()))-1,ABS(NETWORKDAYS(Proc[[#This Row],[DateOpened]],Proc[[#This Row],[DateClosed]]))-1)</f>
        <v>67</v>
      </c>
      <c r="R4194" s="146" t="s">
        <v>410</v>
      </c>
      <c r="S4194" s="150"/>
    </row>
    <row r="4195" spans="1:19" hidden="1">
      <c r="A4195" s="149" t="s">
        <v>6303</v>
      </c>
      <c r="B4195" s="150" t="str">
        <f>IFERROR(VLOOKUP(Proc[[#This Row],[App]],Table2[],3,0),"open")</f>
        <v>ok</v>
      </c>
      <c r="C4195" s="149" t="s">
        <v>369</v>
      </c>
      <c r="D4195" t="s">
        <v>6302</v>
      </c>
      <c r="E4195" t="s">
        <v>4174</v>
      </c>
      <c r="F4195" s="150" t="s">
        <v>4174</v>
      </c>
      <c r="G4195" s="149" t="s">
        <v>400</v>
      </c>
      <c r="H4195" s="150" t="str">
        <f>IF(Proc[[#This Row],[type]]="LFF (MDG-F)",MID(Proc[[#This Row],[Obj]],13,10),"")</f>
        <v/>
      </c>
      <c r="I4195" s="149" t="s">
        <v>6306</v>
      </c>
      <c r="J4195" s="150" t="b">
        <f>Proc[[#This Row],[Requested]]=Proc[[#This Row],[CurrentParent]]</f>
        <v>1</v>
      </c>
      <c r="K4195" s="150" t="str">
        <f>IF(Proc[[#This Row],[Author]]="Marcela Urrego",VLOOKUP(LEFT(Proc[[#This Row],[Requested]],1),Table3[#All],2,0),VLOOKUP(Proc[[#This Row],[Author]],Table4[],2,0))</f>
        <v>HC</v>
      </c>
      <c r="L4195" s="150" t="s">
        <v>4894</v>
      </c>
      <c r="M4195" s="146">
        <v>45917</v>
      </c>
      <c r="N4195" s="148"/>
      <c r="O4195" s="148"/>
      <c r="P4195" s="146" t="str">
        <f ca="1">IF(Proc[[#This Row],[DaysAgeing]]&gt;5,"yep","on track")</f>
        <v>yep</v>
      </c>
      <c r="Q4195" s="3">
        <f ca="1">IF(Proc[[#This Row],[DateClosed]]="",ABS(NETWORKDAYS(Proc[[#This Row],[DateOpened]],TODAY()))-1,ABS(NETWORKDAYS(Proc[[#This Row],[DateOpened]],Proc[[#This Row],[DateClosed]]))-1)</f>
        <v>67</v>
      </c>
      <c r="R4195" s="146" t="s">
        <v>410</v>
      </c>
      <c r="S4195" s="150"/>
    </row>
    <row r="4196" spans="1:19" hidden="1">
      <c r="A4196" t="s">
        <v>6304</v>
      </c>
      <c r="B4196" s="150" t="str">
        <f>IFERROR(VLOOKUP(Proc[[#This Row],[App]],Table2[],3,0),"open")</f>
        <v>ok</v>
      </c>
      <c r="C4196" s="149" t="s">
        <v>369</v>
      </c>
      <c r="D4196" t="s">
        <v>5953</v>
      </c>
      <c r="E4196" t="s">
        <v>6103</v>
      </c>
      <c r="F4196" s="150" t="s">
        <v>6103</v>
      </c>
      <c r="G4196" s="149" t="s">
        <v>406</v>
      </c>
      <c r="H4196" s="150" t="str">
        <f>IF(Proc[[#This Row],[type]]="LFF (MDG-F)",MID(Proc[[#This Row],[Obj]],13,10),"")</f>
        <v>JP01C0M825</v>
      </c>
      <c r="I4196" s="149" t="s">
        <v>6307</v>
      </c>
      <c r="J4196" s="150" t="b">
        <f>Proc[[#This Row],[Requested]]=Proc[[#This Row],[CurrentParent]]</f>
        <v>1</v>
      </c>
      <c r="K4196" s="150" t="str">
        <f>IF(Proc[[#This Row],[Author]]="Marcela Urrego",VLOOKUP(LEFT(Proc[[#This Row],[Requested]],1),Table3[#All],2,0),VLOOKUP(Proc[[#This Row],[Author]],Table4[],2,0))</f>
        <v>MGF</v>
      </c>
      <c r="L4196" s="150" t="s">
        <v>4894</v>
      </c>
      <c r="M4196" s="146">
        <v>45917</v>
      </c>
      <c r="N4196" s="148"/>
      <c r="O4196" s="148"/>
      <c r="P4196" s="146" t="str">
        <f ca="1">IF(Proc[[#This Row],[DaysAgeing]]&gt;5,"yep","on track")</f>
        <v>yep</v>
      </c>
      <c r="Q4196" s="3">
        <f ca="1">IF(Proc[[#This Row],[DateClosed]]="",ABS(NETWORKDAYS(Proc[[#This Row],[DateOpened]],TODAY()))-1,ABS(NETWORKDAYS(Proc[[#This Row],[DateOpened]],Proc[[#This Row],[DateClosed]]))-1)</f>
        <v>67</v>
      </c>
      <c r="R4196" s="146" t="s">
        <v>6305</v>
      </c>
      <c r="S4196" s="150"/>
    </row>
    <row r="4197" spans="1:19" hidden="1">
      <c r="A4197" s="149" t="s">
        <v>6304</v>
      </c>
      <c r="B4197" s="150" t="str">
        <f>IFERROR(VLOOKUP(Proc[[#This Row],[App]],Table2[],3,0),"open")</f>
        <v>ok</v>
      </c>
      <c r="C4197" s="149" t="s">
        <v>369</v>
      </c>
      <c r="D4197" t="s">
        <v>5960</v>
      </c>
      <c r="E4197" t="s">
        <v>1842</v>
      </c>
      <c r="F4197" s="150" t="s">
        <v>1842</v>
      </c>
      <c r="G4197" s="149" t="s">
        <v>406</v>
      </c>
      <c r="H4197" s="150" t="str">
        <f>IF(Proc[[#This Row],[type]]="LFF (MDG-F)",MID(Proc[[#This Row],[Obj]],13,10),"")</f>
        <v>JP01GBT305</v>
      </c>
      <c r="I4197" s="149" t="s">
        <v>6307</v>
      </c>
      <c r="J4197" s="150" t="b">
        <f>Proc[[#This Row],[Requested]]=Proc[[#This Row],[CurrentParent]]</f>
        <v>1</v>
      </c>
      <c r="K4197" s="150" t="str">
        <f>IF(Proc[[#This Row],[Author]]="Marcela Urrego",VLOOKUP(LEFT(Proc[[#This Row],[Requested]],1),Table3[#All],2,0),VLOOKUP(Proc[[#This Row],[Author]],Table4[],2,0))</f>
        <v>MGF</v>
      </c>
      <c r="L4197" s="150" t="s">
        <v>4894</v>
      </c>
      <c r="M4197" s="146">
        <v>45917</v>
      </c>
      <c r="N4197" s="148"/>
      <c r="O4197" s="148"/>
      <c r="P4197" s="146" t="str">
        <f ca="1">IF(Proc[[#This Row],[DaysAgeing]]&gt;5,"yep","on track")</f>
        <v>yep</v>
      </c>
      <c r="Q4197" s="3">
        <f ca="1">IF(Proc[[#This Row],[DateClosed]]="",ABS(NETWORKDAYS(Proc[[#This Row],[DateOpened]],TODAY()))-1,ABS(NETWORKDAYS(Proc[[#This Row],[DateOpened]],Proc[[#This Row],[DateClosed]]))-1)</f>
        <v>67</v>
      </c>
      <c r="R4197" s="146" t="s">
        <v>6305</v>
      </c>
      <c r="S4197" s="150"/>
    </row>
    <row r="4198" spans="1:19" hidden="1">
      <c r="A4198" s="149" t="s">
        <v>6304</v>
      </c>
      <c r="B4198" s="150" t="str">
        <f>IFERROR(VLOOKUP(Proc[[#This Row],[App]],Table2[],3,0),"open")</f>
        <v>ok</v>
      </c>
      <c r="C4198" s="149" t="s">
        <v>369</v>
      </c>
      <c r="D4198" t="s">
        <v>5965</v>
      </c>
      <c r="E4198" t="s">
        <v>2552</v>
      </c>
      <c r="F4198" s="150" t="s">
        <v>2552</v>
      </c>
      <c r="G4198" s="149" t="s">
        <v>406</v>
      </c>
      <c r="H4198" s="150" t="str">
        <f>IF(Proc[[#This Row],[type]]="LFF (MDG-F)",MID(Proc[[#This Row],[Obj]],13,10),"")</f>
        <v>JP01GHR301</v>
      </c>
      <c r="I4198" s="149" t="s">
        <v>6307</v>
      </c>
      <c r="J4198" s="150" t="b">
        <f>Proc[[#This Row],[Requested]]=Proc[[#This Row],[CurrentParent]]</f>
        <v>1</v>
      </c>
      <c r="K4198" s="150" t="str">
        <f>IF(Proc[[#This Row],[Author]]="Marcela Urrego",VLOOKUP(LEFT(Proc[[#This Row],[Requested]],1),Table3[#All],2,0),VLOOKUP(Proc[[#This Row],[Author]],Table4[],2,0))</f>
        <v>MGF</v>
      </c>
      <c r="L4198" s="150" t="s">
        <v>4894</v>
      </c>
      <c r="M4198" s="146">
        <v>45917</v>
      </c>
      <c r="N4198" s="148"/>
      <c r="O4198" s="148"/>
      <c r="P4198" s="146" t="str">
        <f ca="1">IF(Proc[[#This Row],[DaysAgeing]]&gt;5,"yep","on track")</f>
        <v>yep</v>
      </c>
      <c r="Q4198" s="3">
        <f ca="1">IF(Proc[[#This Row],[DateClosed]]="",ABS(NETWORKDAYS(Proc[[#This Row],[DateOpened]],TODAY()))-1,ABS(NETWORKDAYS(Proc[[#This Row],[DateOpened]],Proc[[#This Row],[DateClosed]]))-1)</f>
        <v>67</v>
      </c>
      <c r="R4198" s="146" t="s">
        <v>6305</v>
      </c>
      <c r="S4198" s="150"/>
    </row>
    <row r="4199" spans="1:19" hidden="1">
      <c r="A4199" t="s">
        <v>6311</v>
      </c>
      <c r="B4199" s="150" t="str">
        <f>IFERROR(VLOOKUP(Proc[[#This Row],[App]],Table2[],3,0),"open")</f>
        <v>ok</v>
      </c>
      <c r="C4199" s="149" t="s">
        <v>369</v>
      </c>
      <c r="D4199" t="s">
        <v>2472</v>
      </c>
      <c r="E4199" t="s">
        <v>6323</v>
      </c>
      <c r="F4199" s="150" t="s">
        <v>6323</v>
      </c>
      <c r="G4199" t="s">
        <v>400</v>
      </c>
      <c r="H4199" s="150" t="str">
        <f>IF(Proc[[#This Row],[type]]="LFF (MDG-F)",MID(Proc[[#This Row],[Obj]],13,10),"")</f>
        <v/>
      </c>
      <c r="J4199" s="150" t="b">
        <f>Proc[[#This Row],[Requested]]=Proc[[#This Row],[CurrentParent]]</f>
        <v>1</v>
      </c>
      <c r="K4199" s="150" t="str">
        <f>IF(Proc[[#This Row],[Author]]="Marcela Urrego",VLOOKUP(LEFT(Proc[[#This Row],[Requested]],1),Table3[#All],2,0),VLOOKUP(Proc[[#This Row],[Author]],Table4[],2,0))</f>
        <v>EL</v>
      </c>
      <c r="L4199" s="150" t="s">
        <v>4894</v>
      </c>
      <c r="M4199" s="146">
        <v>45918</v>
      </c>
      <c r="N4199" s="148"/>
      <c r="O4199" s="148"/>
      <c r="P4199" s="146" t="str">
        <f ca="1">IF(Proc[[#This Row],[DaysAgeing]]&gt;5,"yep","on track")</f>
        <v>yep</v>
      </c>
      <c r="Q4199" s="3">
        <f ca="1">IF(Proc[[#This Row],[DateClosed]]="",ABS(NETWORKDAYS(Proc[[#This Row],[DateOpened]],TODAY()))-1,ABS(NETWORKDAYS(Proc[[#This Row],[DateOpened]],Proc[[#This Row],[DateClosed]]))-1)</f>
        <v>66</v>
      </c>
      <c r="R4199" s="146" t="s">
        <v>780</v>
      </c>
      <c r="S4199" s="150"/>
    </row>
    <row r="4200" spans="1:19" hidden="1">
      <c r="A4200" s="149" t="s">
        <v>6311</v>
      </c>
      <c r="B4200" s="150" t="str">
        <f>IFERROR(VLOOKUP(Proc[[#This Row],[App]],Table2[],3,0),"open")</f>
        <v>ok</v>
      </c>
      <c r="C4200" s="149" t="s">
        <v>369</v>
      </c>
      <c r="D4200" t="s">
        <v>6312</v>
      </c>
      <c r="E4200" t="s">
        <v>6323</v>
      </c>
      <c r="F4200" s="150" t="s">
        <v>6323</v>
      </c>
      <c r="G4200" t="s">
        <v>406</v>
      </c>
      <c r="H4200" s="150" t="str">
        <f>IF(Proc[[#This Row],[type]]="LFF (MDG-F)",MID(Proc[[#This Row],[Obj]],13,10),"")</f>
        <v>DE10O05003</v>
      </c>
      <c r="J4200" s="150" t="b">
        <f>Proc[[#This Row],[Requested]]=Proc[[#This Row],[CurrentParent]]</f>
        <v>1</v>
      </c>
      <c r="K4200" s="150" t="str">
        <f>IF(Proc[[#This Row],[Author]]="Marcela Urrego",VLOOKUP(LEFT(Proc[[#This Row],[Requested]],1),Table3[#All],2,0),VLOOKUP(Proc[[#This Row],[Author]],Table4[],2,0))</f>
        <v>EL</v>
      </c>
      <c r="L4200" s="150" t="s">
        <v>4894</v>
      </c>
      <c r="M4200" s="146">
        <v>45918</v>
      </c>
      <c r="N4200" s="148"/>
      <c r="O4200" s="148"/>
      <c r="P4200" s="146" t="str">
        <f ca="1">IF(Proc[[#This Row],[DaysAgeing]]&gt;5,"yep","on track")</f>
        <v>yep</v>
      </c>
      <c r="Q4200" s="3">
        <f ca="1">IF(Proc[[#This Row],[DateClosed]]="",ABS(NETWORKDAYS(Proc[[#This Row],[DateOpened]],TODAY()))-1,ABS(NETWORKDAYS(Proc[[#This Row],[DateOpened]],Proc[[#This Row],[DateClosed]]))-1)</f>
        <v>66</v>
      </c>
      <c r="R4200" s="146" t="s">
        <v>780</v>
      </c>
      <c r="S4200" s="150"/>
    </row>
    <row r="4201" spans="1:19" hidden="1">
      <c r="A4201" s="149" t="s">
        <v>6311</v>
      </c>
      <c r="B4201" s="150" t="str">
        <f>IFERROR(VLOOKUP(Proc[[#This Row],[App]],Table2[],3,0),"open")</f>
        <v>ok</v>
      </c>
      <c r="C4201" s="149" t="s">
        <v>369</v>
      </c>
      <c r="D4201" t="s">
        <v>6313</v>
      </c>
      <c r="E4201" t="s">
        <v>6323</v>
      </c>
      <c r="F4201" s="150" t="s">
        <v>6323</v>
      </c>
      <c r="G4201" s="149" t="s">
        <v>400</v>
      </c>
      <c r="H4201" s="150" t="str">
        <f>IF(Proc[[#This Row],[type]]="LFF (MDG-F)",MID(Proc[[#This Row],[Obj]],13,10),"")</f>
        <v/>
      </c>
      <c r="J4201" s="150" t="b">
        <f>Proc[[#This Row],[Requested]]=Proc[[#This Row],[CurrentParent]]</f>
        <v>1</v>
      </c>
      <c r="K4201" s="150" t="str">
        <f>IF(Proc[[#This Row],[Author]]="Marcela Urrego",VLOOKUP(LEFT(Proc[[#This Row],[Requested]],1),Table3[#All],2,0),VLOOKUP(Proc[[#This Row],[Author]],Table4[],2,0))</f>
        <v>EL</v>
      </c>
      <c r="L4201" s="150" t="s">
        <v>4894</v>
      </c>
      <c r="M4201" s="146">
        <v>45918</v>
      </c>
      <c r="N4201" s="148"/>
      <c r="O4201" s="148"/>
      <c r="P4201" s="146" t="str">
        <f ca="1">IF(Proc[[#This Row],[DaysAgeing]]&gt;5,"yep","on track")</f>
        <v>yep</v>
      </c>
      <c r="Q4201" s="3">
        <f ca="1">IF(Proc[[#This Row],[DateClosed]]="",ABS(NETWORKDAYS(Proc[[#This Row],[DateOpened]],TODAY()))-1,ABS(NETWORKDAYS(Proc[[#This Row],[DateOpened]],Proc[[#This Row],[DateClosed]]))-1)</f>
        <v>66</v>
      </c>
      <c r="R4201" s="146" t="s">
        <v>780</v>
      </c>
      <c r="S4201" s="150"/>
    </row>
    <row r="4202" spans="1:19" hidden="1">
      <c r="A4202" s="149" t="s">
        <v>6311</v>
      </c>
      <c r="B4202" s="150" t="str">
        <f>IFERROR(VLOOKUP(Proc[[#This Row],[App]],Table2[],3,0),"open")</f>
        <v>ok</v>
      </c>
      <c r="C4202" s="149" t="s">
        <v>369</v>
      </c>
      <c r="D4202" t="s">
        <v>6314</v>
      </c>
      <c r="E4202" t="s">
        <v>6323</v>
      </c>
      <c r="F4202" s="150" t="s">
        <v>6323</v>
      </c>
      <c r="G4202" s="149" t="s">
        <v>400</v>
      </c>
      <c r="H4202" s="150" t="str">
        <f>IF(Proc[[#This Row],[type]]="LFF (MDG-F)",MID(Proc[[#This Row],[Obj]],13,10),"")</f>
        <v/>
      </c>
      <c r="J4202" s="150" t="b">
        <f>Proc[[#This Row],[Requested]]=Proc[[#This Row],[CurrentParent]]</f>
        <v>1</v>
      </c>
      <c r="K4202" s="150" t="str">
        <f>IF(Proc[[#This Row],[Author]]="Marcela Urrego",VLOOKUP(LEFT(Proc[[#This Row],[Requested]],1),Table3[#All],2,0),VLOOKUP(Proc[[#This Row],[Author]],Table4[],2,0))</f>
        <v>EL</v>
      </c>
      <c r="L4202" s="150" t="s">
        <v>4894</v>
      </c>
      <c r="M4202" s="146">
        <v>45918</v>
      </c>
      <c r="N4202" s="148"/>
      <c r="O4202" s="148"/>
      <c r="P4202" s="146" t="str">
        <f ca="1">IF(Proc[[#This Row],[DaysAgeing]]&gt;5,"yep","on track")</f>
        <v>yep</v>
      </c>
      <c r="Q4202" s="3">
        <f ca="1">IF(Proc[[#This Row],[DateClosed]]="",ABS(NETWORKDAYS(Proc[[#This Row],[DateOpened]],TODAY()))-1,ABS(NETWORKDAYS(Proc[[#This Row],[DateOpened]],Proc[[#This Row],[DateClosed]]))-1)</f>
        <v>66</v>
      </c>
      <c r="R4202" s="146" t="s">
        <v>780</v>
      </c>
      <c r="S4202" s="150"/>
    </row>
    <row r="4203" spans="1:19" hidden="1">
      <c r="A4203" s="149" t="s">
        <v>6311</v>
      </c>
      <c r="B4203" s="150" t="str">
        <f>IFERROR(VLOOKUP(Proc[[#This Row],[App]],Table2[],3,0),"open")</f>
        <v>ok</v>
      </c>
      <c r="C4203" s="149" t="s">
        <v>369</v>
      </c>
      <c r="D4203" t="s">
        <v>6315</v>
      </c>
      <c r="E4203" t="s">
        <v>6248</v>
      </c>
      <c r="F4203" s="150" t="s">
        <v>6248</v>
      </c>
      <c r="G4203" s="149" t="s">
        <v>406</v>
      </c>
      <c r="H4203" s="150" t="str">
        <f>IF(Proc[[#This Row],[type]]="LFF (MDG-F)",MID(Proc[[#This Row],[Obj]],13,10),"")</f>
        <v>CN01O05001</v>
      </c>
      <c r="I4203" t="s">
        <v>6351</v>
      </c>
      <c r="J4203" s="150" t="b">
        <f>Proc[[#This Row],[Requested]]=Proc[[#This Row],[CurrentParent]]</f>
        <v>1</v>
      </c>
      <c r="K4203" s="150" t="str">
        <f>IF(Proc[[#This Row],[Author]]="Marcela Urrego",VLOOKUP(LEFT(Proc[[#This Row],[Requested]],1),Table3[#All],2,0),VLOOKUP(Proc[[#This Row],[Author]],Table4[],2,0))</f>
        <v>EL</v>
      </c>
      <c r="L4203" s="150" t="s">
        <v>4894</v>
      </c>
      <c r="M4203" s="146">
        <v>45918</v>
      </c>
      <c r="N4203" s="148"/>
      <c r="O4203" s="148"/>
      <c r="P4203" s="146" t="str">
        <f ca="1">IF(Proc[[#This Row],[DaysAgeing]]&gt;5,"yep","on track")</f>
        <v>yep</v>
      </c>
      <c r="Q4203" s="3">
        <f ca="1">IF(Proc[[#This Row],[DateClosed]]="",ABS(NETWORKDAYS(Proc[[#This Row],[DateOpened]],TODAY()))-1,ABS(NETWORKDAYS(Proc[[#This Row],[DateOpened]],Proc[[#This Row],[DateClosed]]))-1)</f>
        <v>66</v>
      </c>
      <c r="R4203" s="146" t="s">
        <v>780</v>
      </c>
      <c r="S4203" s="150"/>
    </row>
    <row r="4204" spans="1:19" hidden="1">
      <c r="A4204" s="149" t="s">
        <v>6311</v>
      </c>
      <c r="B4204" s="150" t="str">
        <f>IFERROR(VLOOKUP(Proc[[#This Row],[App]],Table2[],3,0),"open")</f>
        <v>ok</v>
      </c>
      <c r="C4204" s="149" t="s">
        <v>369</v>
      </c>
      <c r="D4204" t="s">
        <v>6316</v>
      </c>
      <c r="E4204" t="s">
        <v>6324</v>
      </c>
      <c r="F4204" s="150" t="s">
        <v>6324</v>
      </c>
      <c r="G4204" s="149" t="s">
        <v>400</v>
      </c>
      <c r="H4204" s="150" t="str">
        <f>IF(Proc[[#This Row],[type]]="LFF (MDG-F)",MID(Proc[[#This Row],[Obj]],13,10),"")</f>
        <v/>
      </c>
      <c r="J4204" s="150" t="b">
        <f>Proc[[#This Row],[Requested]]=Proc[[#This Row],[CurrentParent]]</f>
        <v>1</v>
      </c>
      <c r="K4204" s="150" t="str">
        <f>IF(Proc[[#This Row],[Author]]="Marcela Urrego",VLOOKUP(LEFT(Proc[[#This Row],[Requested]],1),Table3[#All],2,0),VLOOKUP(Proc[[#This Row],[Author]],Table4[],2,0))</f>
        <v>EL</v>
      </c>
      <c r="L4204" s="150" t="s">
        <v>4894</v>
      </c>
      <c r="M4204" s="146">
        <v>45918</v>
      </c>
      <c r="N4204" s="148"/>
      <c r="O4204" s="148"/>
      <c r="P4204" s="146" t="str">
        <f ca="1">IF(Proc[[#This Row],[DaysAgeing]]&gt;5,"yep","on track")</f>
        <v>yep</v>
      </c>
      <c r="Q4204" s="3">
        <f ca="1">IF(Proc[[#This Row],[DateClosed]]="",ABS(NETWORKDAYS(Proc[[#This Row],[DateOpened]],TODAY()))-1,ABS(NETWORKDAYS(Proc[[#This Row],[DateOpened]],Proc[[#This Row],[DateClosed]]))-1)</f>
        <v>66</v>
      </c>
      <c r="R4204" s="146" t="s">
        <v>780</v>
      </c>
      <c r="S4204" s="150"/>
    </row>
    <row r="4205" spans="1:19" hidden="1">
      <c r="A4205" s="149" t="s">
        <v>6311</v>
      </c>
      <c r="B4205" s="150" t="str">
        <f>IFERROR(VLOOKUP(Proc[[#This Row],[App]],Table2[],3,0),"open")</f>
        <v>ok</v>
      </c>
      <c r="C4205" s="149" t="s">
        <v>369</v>
      </c>
      <c r="D4205" t="s">
        <v>6317</v>
      </c>
      <c r="E4205" t="s">
        <v>6325</v>
      </c>
      <c r="F4205" s="150" t="s">
        <v>6325</v>
      </c>
      <c r="G4205" s="149" t="s">
        <v>400</v>
      </c>
      <c r="H4205" s="150" t="str">
        <f>IF(Proc[[#This Row],[type]]="LFF (MDG-F)",MID(Proc[[#This Row],[Obj]],13,10),"")</f>
        <v/>
      </c>
      <c r="J4205" s="150" t="b">
        <f>Proc[[#This Row],[Requested]]=Proc[[#This Row],[CurrentParent]]</f>
        <v>1</v>
      </c>
      <c r="K4205" s="150" t="str">
        <f>IF(Proc[[#This Row],[Author]]="Marcela Urrego",VLOOKUP(LEFT(Proc[[#This Row],[Requested]],1),Table3[#All],2,0),VLOOKUP(Proc[[#This Row],[Author]],Table4[],2,0))</f>
        <v>EL</v>
      </c>
      <c r="L4205" s="150" t="s">
        <v>4894</v>
      </c>
      <c r="M4205" s="146">
        <v>45918</v>
      </c>
      <c r="N4205" s="148"/>
      <c r="O4205" s="148"/>
      <c r="P4205" s="146" t="str">
        <f ca="1">IF(Proc[[#This Row],[DaysAgeing]]&gt;5,"yep","on track")</f>
        <v>yep</v>
      </c>
      <c r="Q4205" s="3">
        <f ca="1">IF(Proc[[#This Row],[DateClosed]]="",ABS(NETWORKDAYS(Proc[[#This Row],[DateOpened]],TODAY()))-1,ABS(NETWORKDAYS(Proc[[#This Row],[DateOpened]],Proc[[#This Row],[DateClosed]]))-1)</f>
        <v>66</v>
      </c>
      <c r="R4205" s="146" t="s">
        <v>780</v>
      </c>
      <c r="S4205" s="150"/>
    </row>
    <row r="4206" spans="1:19" hidden="1">
      <c r="A4206" s="149" t="s">
        <v>6311</v>
      </c>
      <c r="B4206" s="150" t="str">
        <f>IFERROR(VLOOKUP(Proc[[#This Row],[App]],Table2[],3,0),"open")</f>
        <v>ok</v>
      </c>
      <c r="C4206" s="149" t="s">
        <v>369</v>
      </c>
      <c r="D4206" s="149" t="s">
        <v>6330</v>
      </c>
      <c r="E4206" t="s">
        <v>6326</v>
      </c>
      <c r="F4206" s="150" t="s">
        <v>6326</v>
      </c>
      <c r="G4206" s="149" t="s">
        <v>400</v>
      </c>
      <c r="H4206" s="150" t="str">
        <f>IF(Proc[[#This Row],[type]]="LFF (MDG-F)",MID(Proc[[#This Row],[Obj]],13,10),"")</f>
        <v/>
      </c>
      <c r="I4206" s="149" t="s">
        <v>6318</v>
      </c>
      <c r="J4206" s="150" t="b">
        <f>Proc[[#This Row],[Requested]]=Proc[[#This Row],[CurrentParent]]</f>
        <v>1</v>
      </c>
      <c r="K4206" s="150" t="str">
        <f>IF(Proc[[#This Row],[Author]]="Marcela Urrego",VLOOKUP(LEFT(Proc[[#This Row],[Requested]],1),Table3[#All],2,0),VLOOKUP(Proc[[#This Row],[Author]],Table4[],2,0))</f>
        <v>EL</v>
      </c>
      <c r="L4206" s="150" t="s">
        <v>4894</v>
      </c>
      <c r="M4206" s="146">
        <v>45918</v>
      </c>
      <c r="N4206" s="148"/>
      <c r="O4206" s="148"/>
      <c r="P4206" s="146" t="str">
        <f ca="1">IF(Proc[[#This Row],[DaysAgeing]]&gt;5,"yep","on track")</f>
        <v>yep</v>
      </c>
      <c r="Q4206" s="3">
        <f ca="1">IF(Proc[[#This Row],[DateClosed]]="",ABS(NETWORKDAYS(Proc[[#This Row],[DateOpened]],TODAY()))-1,ABS(NETWORKDAYS(Proc[[#This Row],[DateOpened]],Proc[[#This Row],[DateClosed]]))-1)</f>
        <v>66</v>
      </c>
      <c r="R4206" s="146" t="s">
        <v>780</v>
      </c>
      <c r="S4206" s="150"/>
    </row>
    <row r="4207" spans="1:19" hidden="1">
      <c r="A4207" s="149" t="s">
        <v>6311</v>
      </c>
      <c r="B4207" s="150" t="str">
        <f>IFERROR(VLOOKUP(Proc[[#This Row],[App]],Table2[],3,0),"open")</f>
        <v>ok</v>
      </c>
      <c r="C4207" s="149" t="s">
        <v>369</v>
      </c>
      <c r="D4207" s="149" t="s">
        <v>6331</v>
      </c>
      <c r="E4207" t="s">
        <v>6327</v>
      </c>
      <c r="F4207" s="150" t="s">
        <v>6327</v>
      </c>
      <c r="G4207" s="149" t="s">
        <v>400</v>
      </c>
      <c r="H4207" s="150" t="str">
        <f>IF(Proc[[#This Row],[type]]="LFF (MDG-F)",MID(Proc[[#This Row],[Obj]],13,10),"")</f>
        <v/>
      </c>
      <c r="I4207" s="149" t="s">
        <v>6319</v>
      </c>
      <c r="J4207" s="150" t="b">
        <f>Proc[[#This Row],[Requested]]=Proc[[#This Row],[CurrentParent]]</f>
        <v>1</v>
      </c>
      <c r="K4207" s="150" t="str">
        <f>IF(Proc[[#This Row],[Author]]="Marcela Urrego",VLOOKUP(LEFT(Proc[[#This Row],[Requested]],1),Table3[#All],2,0),VLOOKUP(Proc[[#This Row],[Author]],Table4[],2,0))</f>
        <v>EL</v>
      </c>
      <c r="L4207" s="150" t="s">
        <v>4894</v>
      </c>
      <c r="M4207" s="146">
        <v>45918</v>
      </c>
      <c r="N4207" s="148"/>
      <c r="O4207" s="148"/>
      <c r="P4207" s="146" t="str">
        <f ca="1">IF(Proc[[#This Row],[DaysAgeing]]&gt;5,"yep","on track")</f>
        <v>yep</v>
      </c>
      <c r="Q4207" s="3">
        <f ca="1">IF(Proc[[#This Row],[DateClosed]]="",ABS(NETWORKDAYS(Proc[[#This Row],[DateOpened]],TODAY()))-1,ABS(NETWORKDAYS(Proc[[#This Row],[DateOpened]],Proc[[#This Row],[DateClosed]]))-1)</f>
        <v>66</v>
      </c>
      <c r="R4207" s="146" t="s">
        <v>780</v>
      </c>
      <c r="S4207" s="150"/>
    </row>
    <row r="4208" spans="1:19" hidden="1">
      <c r="A4208" s="149" t="s">
        <v>6311</v>
      </c>
      <c r="B4208" s="150" t="str">
        <f>IFERROR(VLOOKUP(Proc[[#This Row],[App]],Table2[],3,0),"open")</f>
        <v>ok</v>
      </c>
      <c r="C4208" s="149" t="s">
        <v>369</v>
      </c>
      <c r="D4208" s="149" t="s">
        <v>6332</v>
      </c>
      <c r="E4208" t="s">
        <v>6328</v>
      </c>
      <c r="F4208" s="150" t="s">
        <v>6328</v>
      </c>
      <c r="G4208" s="149" t="s">
        <v>400</v>
      </c>
      <c r="H4208" s="150" t="str">
        <f>IF(Proc[[#This Row],[type]]="LFF (MDG-F)",MID(Proc[[#This Row],[Obj]],13,10),"")</f>
        <v/>
      </c>
      <c r="I4208" s="149" t="s">
        <v>6320</v>
      </c>
      <c r="J4208" s="150" t="b">
        <f>Proc[[#This Row],[Requested]]=Proc[[#This Row],[CurrentParent]]</f>
        <v>1</v>
      </c>
      <c r="K4208" s="150" t="str">
        <f>IF(Proc[[#This Row],[Author]]="Marcela Urrego",VLOOKUP(LEFT(Proc[[#This Row],[Requested]],1),Table3[#All],2,0),VLOOKUP(Proc[[#This Row],[Author]],Table4[],2,0))</f>
        <v>EL</v>
      </c>
      <c r="L4208" s="150" t="s">
        <v>4894</v>
      </c>
      <c r="M4208" s="146">
        <v>45918</v>
      </c>
      <c r="N4208" s="148"/>
      <c r="O4208" s="148"/>
      <c r="P4208" s="146" t="str">
        <f ca="1">IF(Proc[[#This Row],[DaysAgeing]]&gt;5,"yep","on track")</f>
        <v>yep</v>
      </c>
      <c r="Q4208" s="3">
        <f ca="1">IF(Proc[[#This Row],[DateClosed]]="",ABS(NETWORKDAYS(Proc[[#This Row],[DateOpened]],TODAY()))-1,ABS(NETWORKDAYS(Proc[[#This Row],[DateOpened]],Proc[[#This Row],[DateClosed]]))-1)</f>
        <v>66</v>
      </c>
      <c r="R4208" s="146" t="s">
        <v>780</v>
      </c>
      <c r="S4208" s="150"/>
    </row>
    <row r="4209" spans="1:19" hidden="1">
      <c r="A4209" s="149" t="s">
        <v>6311</v>
      </c>
      <c r="B4209" s="150" t="str">
        <f>IFERROR(VLOOKUP(Proc[[#This Row],[App]],Table2[],3,0),"open")</f>
        <v>ok</v>
      </c>
      <c r="C4209" s="149" t="s">
        <v>369</v>
      </c>
      <c r="D4209" t="s">
        <v>6321</v>
      </c>
      <c r="E4209" t="s">
        <v>6329</v>
      </c>
      <c r="F4209" s="150" t="s">
        <v>6329</v>
      </c>
      <c r="G4209" s="149" t="s">
        <v>400</v>
      </c>
      <c r="H4209" s="150" t="str">
        <f>IF(Proc[[#This Row],[type]]="LFF (MDG-F)",MID(Proc[[#This Row],[Obj]],13,10),"")</f>
        <v/>
      </c>
      <c r="J4209" s="150" t="b">
        <f>Proc[[#This Row],[Requested]]=Proc[[#This Row],[CurrentParent]]</f>
        <v>1</v>
      </c>
      <c r="K4209" s="150" t="str">
        <f>IF(Proc[[#This Row],[Author]]="Marcela Urrego",VLOOKUP(LEFT(Proc[[#This Row],[Requested]],1),Table3[#All],2,0),VLOOKUP(Proc[[#This Row],[Author]],Table4[],2,0))</f>
        <v>EL</v>
      </c>
      <c r="L4209" s="150" t="s">
        <v>4894</v>
      </c>
      <c r="M4209" s="146">
        <v>45918</v>
      </c>
      <c r="N4209" s="148"/>
      <c r="O4209" s="148"/>
      <c r="P4209" s="146" t="str">
        <f ca="1">IF(Proc[[#This Row],[DaysAgeing]]&gt;5,"yep","on track")</f>
        <v>yep</v>
      </c>
      <c r="Q4209" s="3">
        <f ca="1">IF(Proc[[#This Row],[DateClosed]]="",ABS(NETWORKDAYS(Proc[[#This Row],[DateOpened]],TODAY()))-1,ABS(NETWORKDAYS(Proc[[#This Row],[DateOpened]],Proc[[#This Row],[DateClosed]]))-1)</f>
        <v>66</v>
      </c>
      <c r="R4209" s="146" t="s">
        <v>780</v>
      </c>
      <c r="S4209" s="150"/>
    </row>
    <row r="4210" spans="1:19" hidden="1">
      <c r="A4210" s="149" t="s">
        <v>6311</v>
      </c>
      <c r="B4210" s="150" t="str">
        <f>IFERROR(VLOOKUP(Proc[[#This Row],[App]],Table2[],3,0),"open")</f>
        <v>ok</v>
      </c>
      <c r="C4210" s="149" t="s">
        <v>369</v>
      </c>
      <c r="D4210" t="s">
        <v>6322</v>
      </c>
      <c r="E4210" t="s">
        <v>6329</v>
      </c>
      <c r="F4210" s="150" t="s">
        <v>6329</v>
      </c>
      <c r="G4210" s="149" t="s">
        <v>400</v>
      </c>
      <c r="H4210" s="150" t="str">
        <f>IF(Proc[[#This Row],[type]]="LFF (MDG-F)",MID(Proc[[#This Row],[Obj]],13,10),"")</f>
        <v/>
      </c>
      <c r="J4210" s="150" t="b">
        <f>Proc[[#This Row],[Requested]]=Proc[[#This Row],[CurrentParent]]</f>
        <v>1</v>
      </c>
      <c r="K4210" s="150" t="str">
        <f>IF(Proc[[#This Row],[Author]]="Marcela Urrego",VLOOKUP(LEFT(Proc[[#This Row],[Requested]],1),Table3[#All],2,0),VLOOKUP(Proc[[#This Row],[Author]],Table4[],2,0))</f>
        <v>EL</v>
      </c>
      <c r="L4210" s="150" t="s">
        <v>4894</v>
      </c>
      <c r="M4210" s="146">
        <v>45918</v>
      </c>
      <c r="N4210" s="148"/>
      <c r="O4210" s="148"/>
      <c r="P4210" s="146" t="str">
        <f ca="1">IF(Proc[[#This Row],[DaysAgeing]]&gt;5,"yep","on track")</f>
        <v>yep</v>
      </c>
      <c r="Q4210" s="3">
        <f ca="1">IF(Proc[[#This Row],[DateClosed]]="",ABS(NETWORKDAYS(Proc[[#This Row],[DateOpened]],TODAY()))-1,ABS(NETWORKDAYS(Proc[[#This Row],[DateOpened]],Proc[[#This Row],[DateClosed]]))-1)</f>
        <v>66</v>
      </c>
      <c r="R4210" s="146" t="s">
        <v>780</v>
      </c>
      <c r="S4210" s="150"/>
    </row>
    <row r="4211" spans="1:19" hidden="1">
      <c r="A4211" t="s">
        <v>6344</v>
      </c>
      <c r="B4211" s="150" t="str">
        <f>IFERROR(VLOOKUP(Proc[[#This Row],[App]],Table2[],3,0),"open")</f>
        <v>ok</v>
      </c>
      <c r="C4211" s="149" t="s">
        <v>369</v>
      </c>
      <c r="D4211" t="s">
        <v>6333</v>
      </c>
      <c r="E4211" t="s">
        <v>6345</v>
      </c>
      <c r="F4211" s="150" t="s">
        <v>6345</v>
      </c>
      <c r="G4211" s="149" t="s">
        <v>406</v>
      </c>
      <c r="H4211" s="150" t="str">
        <f>IF(Proc[[#This Row],[type]]="LFF (MDG-F)",MID(Proc[[#This Row],[Obj]],13,10),"")</f>
        <v>DE10Z01000</v>
      </c>
      <c r="J4211" s="150" t="b">
        <f>Proc[[#This Row],[Requested]]=Proc[[#This Row],[CurrentParent]]</f>
        <v>1</v>
      </c>
      <c r="K4211" s="150" t="str">
        <f>IF(Proc[[#This Row],[Author]]="Marcela Urrego",VLOOKUP(LEFT(Proc[[#This Row],[Requested]],1),Table3[#All],2,0),VLOOKUP(Proc[[#This Row],[Author]],Table4[],2,0))</f>
        <v>EL</v>
      </c>
      <c r="L4211" s="150" t="s">
        <v>4894</v>
      </c>
      <c r="M4211" s="146">
        <v>45919</v>
      </c>
      <c r="N4211" s="148"/>
      <c r="O4211" s="148"/>
      <c r="P4211" s="146" t="str">
        <f ca="1">IF(Proc[[#This Row],[DaysAgeing]]&gt;5,"yep","on track")</f>
        <v>yep</v>
      </c>
      <c r="Q4211" s="3">
        <f ca="1">IF(Proc[[#This Row],[DateClosed]]="",ABS(NETWORKDAYS(Proc[[#This Row],[DateOpened]],TODAY()))-1,ABS(NETWORKDAYS(Proc[[#This Row],[DateOpened]],Proc[[#This Row],[DateClosed]]))-1)</f>
        <v>65</v>
      </c>
      <c r="R4211" s="146" t="s">
        <v>780</v>
      </c>
      <c r="S4211" s="150"/>
    </row>
    <row r="4212" spans="1:19" hidden="1">
      <c r="A4212" s="149" t="s">
        <v>6344</v>
      </c>
      <c r="B4212" s="150" t="str">
        <f>IFERROR(VLOOKUP(Proc[[#This Row],[App]],Table2[],3,0),"open")</f>
        <v>ok</v>
      </c>
      <c r="C4212" s="149" t="s">
        <v>369</v>
      </c>
      <c r="D4212" t="s">
        <v>6334</v>
      </c>
      <c r="E4212" t="s">
        <v>6346</v>
      </c>
      <c r="F4212" s="150" t="s">
        <v>6346</v>
      </c>
      <c r="G4212" s="149" t="s">
        <v>406</v>
      </c>
      <c r="H4212" s="150" t="str">
        <f>IF(Proc[[#This Row],[type]]="LFF (MDG-F)",MID(Proc[[#This Row],[Obj]],13,10),"")</f>
        <v>CN90Z01000</v>
      </c>
      <c r="I4212" s="149"/>
      <c r="J4212" s="150" t="b">
        <f>Proc[[#This Row],[Requested]]=Proc[[#This Row],[CurrentParent]]</f>
        <v>1</v>
      </c>
      <c r="K4212" s="150" t="str">
        <f>IF(Proc[[#This Row],[Author]]="Marcela Urrego",VLOOKUP(LEFT(Proc[[#This Row],[Requested]],1),Table3[#All],2,0),VLOOKUP(Proc[[#This Row],[Author]],Table4[],2,0))</f>
        <v>EL</v>
      </c>
      <c r="L4212" s="150" t="s">
        <v>4894</v>
      </c>
      <c r="M4212" s="146">
        <v>45919</v>
      </c>
      <c r="N4212" s="148"/>
      <c r="O4212" s="148"/>
      <c r="P4212" s="146" t="str">
        <f ca="1">IF(Proc[[#This Row],[DaysAgeing]]&gt;5,"yep","on track")</f>
        <v>yep</v>
      </c>
      <c r="Q4212" s="3">
        <f ca="1">IF(Proc[[#This Row],[DateClosed]]="",ABS(NETWORKDAYS(Proc[[#This Row],[DateOpened]],TODAY()))-1,ABS(NETWORKDAYS(Proc[[#This Row],[DateOpened]],Proc[[#This Row],[DateClosed]]))-1)</f>
        <v>65</v>
      </c>
      <c r="R4212" s="146" t="s">
        <v>780</v>
      </c>
      <c r="S4212" s="150"/>
    </row>
    <row r="4213" spans="1:19" hidden="1">
      <c r="A4213" s="149" t="s">
        <v>6344</v>
      </c>
      <c r="B4213" s="150" t="str">
        <f>IFERROR(VLOOKUP(Proc[[#This Row],[App]],Table2[],3,0),"open")</f>
        <v>ok</v>
      </c>
      <c r="C4213" s="149" t="s">
        <v>369</v>
      </c>
      <c r="D4213" t="s">
        <v>6335</v>
      </c>
      <c r="E4213" t="s">
        <v>6347</v>
      </c>
      <c r="F4213" s="150" t="s">
        <v>6347</v>
      </c>
      <c r="G4213" s="149" t="s">
        <v>406</v>
      </c>
      <c r="H4213" s="150" t="str">
        <f>IF(Proc[[#This Row],[type]]="LFF (MDG-F)",MID(Proc[[#This Row],[Obj]],13,10),"")</f>
        <v>ES50Z01000</v>
      </c>
      <c r="I4213" s="149"/>
      <c r="J4213" s="150" t="b">
        <f>Proc[[#This Row],[Requested]]=Proc[[#This Row],[CurrentParent]]</f>
        <v>1</v>
      </c>
      <c r="K4213" s="150" t="str">
        <f>IF(Proc[[#This Row],[Author]]="Marcela Urrego",VLOOKUP(LEFT(Proc[[#This Row],[Requested]],1),Table3[#All],2,0),VLOOKUP(Proc[[#This Row],[Author]],Table4[],2,0))</f>
        <v>EL</v>
      </c>
      <c r="L4213" s="150" t="s">
        <v>4894</v>
      </c>
      <c r="M4213" s="146">
        <v>45919</v>
      </c>
      <c r="N4213" s="148"/>
      <c r="O4213" s="148"/>
      <c r="P4213" s="146" t="str">
        <f ca="1">IF(Proc[[#This Row],[DaysAgeing]]&gt;5,"yep","on track")</f>
        <v>yep</v>
      </c>
      <c r="Q4213" s="3">
        <f ca="1">IF(Proc[[#This Row],[DateClosed]]="",ABS(NETWORKDAYS(Proc[[#This Row],[DateOpened]],TODAY()))-1,ABS(NETWORKDAYS(Proc[[#This Row],[DateOpened]],Proc[[#This Row],[DateClosed]]))-1)</f>
        <v>65</v>
      </c>
      <c r="R4213" s="146" t="s">
        <v>780</v>
      </c>
      <c r="S4213" s="150"/>
    </row>
    <row r="4214" spans="1:19" hidden="1">
      <c r="A4214" s="149" t="s">
        <v>6344</v>
      </c>
      <c r="B4214" s="150" t="str">
        <f>IFERROR(VLOOKUP(Proc[[#This Row],[App]],Table2[],3,0),"open")</f>
        <v>ok</v>
      </c>
      <c r="C4214" s="149" t="s">
        <v>369</v>
      </c>
      <c r="D4214" t="s">
        <v>6336</v>
      </c>
      <c r="E4214" t="s">
        <v>6177</v>
      </c>
      <c r="F4214" s="150" t="s">
        <v>6177</v>
      </c>
      <c r="G4214" s="149" t="s">
        <v>406</v>
      </c>
      <c r="H4214" s="150" t="str">
        <f>IF(Proc[[#This Row],[type]]="LFF (MDG-F)",MID(Proc[[#This Row],[Obj]],13,10),"")</f>
        <v>CN03Z01000</v>
      </c>
      <c r="I4214" s="149"/>
      <c r="J4214" s="150" t="b">
        <f>Proc[[#This Row],[Requested]]=Proc[[#This Row],[CurrentParent]]</f>
        <v>1</v>
      </c>
      <c r="K4214" s="150" t="str">
        <f>IF(Proc[[#This Row],[Author]]="Marcela Urrego",VLOOKUP(LEFT(Proc[[#This Row],[Requested]],1),Table3[#All],2,0),VLOOKUP(Proc[[#This Row],[Author]],Table4[],2,0))</f>
        <v>EL</v>
      </c>
      <c r="L4214" s="150" t="s">
        <v>4894</v>
      </c>
      <c r="M4214" s="146">
        <v>45919</v>
      </c>
      <c r="N4214" s="148"/>
      <c r="O4214" s="148"/>
      <c r="P4214" s="146" t="str">
        <f ca="1">IF(Proc[[#This Row],[DaysAgeing]]&gt;5,"yep","on track")</f>
        <v>yep</v>
      </c>
      <c r="Q4214" s="3">
        <f ca="1">IF(Proc[[#This Row],[DateClosed]]="",ABS(NETWORKDAYS(Proc[[#This Row],[DateOpened]],TODAY()))-1,ABS(NETWORKDAYS(Proc[[#This Row],[DateOpened]],Proc[[#This Row],[DateClosed]]))-1)</f>
        <v>65</v>
      </c>
      <c r="R4214" s="146" t="s">
        <v>780</v>
      </c>
      <c r="S4214" s="150"/>
    </row>
    <row r="4215" spans="1:19" hidden="1">
      <c r="A4215" s="149" t="s">
        <v>6344</v>
      </c>
      <c r="B4215" s="150" t="str">
        <f>IFERROR(VLOOKUP(Proc[[#This Row],[App]],Table2[],3,0),"open")</f>
        <v>ok</v>
      </c>
      <c r="C4215" s="149" t="s">
        <v>369</v>
      </c>
      <c r="D4215" t="s">
        <v>6337</v>
      </c>
      <c r="E4215" t="s">
        <v>6177</v>
      </c>
      <c r="F4215" s="150" t="s">
        <v>6177</v>
      </c>
      <c r="G4215" s="149" t="s">
        <v>406</v>
      </c>
      <c r="H4215" s="150" t="str">
        <f>IF(Proc[[#This Row],[type]]="LFF (MDG-F)",MID(Proc[[#This Row],[Obj]],13,10),"")</f>
        <v>IN01Z01000</v>
      </c>
      <c r="I4215" s="149"/>
      <c r="J4215" s="150" t="b">
        <f>Proc[[#This Row],[Requested]]=Proc[[#This Row],[CurrentParent]]</f>
        <v>1</v>
      </c>
      <c r="K4215" s="150" t="str">
        <f>IF(Proc[[#This Row],[Author]]="Marcela Urrego",VLOOKUP(LEFT(Proc[[#This Row],[Requested]],1),Table3[#All],2,0),VLOOKUP(Proc[[#This Row],[Author]],Table4[],2,0))</f>
        <v>EL</v>
      </c>
      <c r="L4215" s="150" t="s">
        <v>4894</v>
      </c>
      <c r="M4215" s="146">
        <v>45919</v>
      </c>
      <c r="N4215" s="148"/>
      <c r="O4215" s="148"/>
      <c r="P4215" s="146" t="str">
        <f ca="1">IF(Proc[[#This Row],[DaysAgeing]]&gt;5,"yep","on track")</f>
        <v>yep</v>
      </c>
      <c r="Q4215" s="3">
        <f ca="1">IF(Proc[[#This Row],[DateClosed]]="",ABS(NETWORKDAYS(Proc[[#This Row],[DateOpened]],TODAY()))-1,ABS(NETWORKDAYS(Proc[[#This Row],[DateOpened]],Proc[[#This Row],[DateClosed]]))-1)</f>
        <v>65</v>
      </c>
      <c r="R4215" s="146" t="s">
        <v>780</v>
      </c>
      <c r="S4215" s="150"/>
    </row>
    <row r="4216" spans="1:19" hidden="1">
      <c r="A4216" s="149" t="s">
        <v>6344</v>
      </c>
      <c r="B4216" s="150" t="str">
        <f>IFERROR(VLOOKUP(Proc[[#This Row],[App]],Table2[],3,0),"open")</f>
        <v>ok</v>
      </c>
      <c r="C4216" s="149" t="s">
        <v>369</v>
      </c>
      <c r="D4216" t="s">
        <v>6338</v>
      </c>
      <c r="E4216" t="s">
        <v>6177</v>
      </c>
      <c r="F4216" s="150" t="s">
        <v>6177</v>
      </c>
      <c r="G4216" s="149" t="s">
        <v>406</v>
      </c>
      <c r="H4216" s="150" t="str">
        <f>IF(Proc[[#This Row],[type]]="LFF (MDG-F)",MID(Proc[[#This Row],[Obj]],13,10),"")</f>
        <v>SG09Z01000</v>
      </c>
      <c r="I4216" s="149"/>
      <c r="J4216" s="150" t="b">
        <f>Proc[[#This Row],[Requested]]=Proc[[#This Row],[CurrentParent]]</f>
        <v>1</v>
      </c>
      <c r="K4216" s="150" t="str">
        <f>IF(Proc[[#This Row],[Author]]="Marcela Urrego",VLOOKUP(LEFT(Proc[[#This Row],[Requested]],1),Table3[#All],2,0),VLOOKUP(Proc[[#This Row],[Author]],Table4[],2,0))</f>
        <v>EL</v>
      </c>
      <c r="L4216" s="150" t="s">
        <v>4894</v>
      </c>
      <c r="M4216" s="146">
        <v>45919</v>
      </c>
      <c r="N4216" s="148"/>
      <c r="O4216" s="148"/>
      <c r="P4216" s="146" t="str">
        <f ca="1">IF(Proc[[#This Row],[DaysAgeing]]&gt;5,"yep","on track")</f>
        <v>yep</v>
      </c>
      <c r="Q4216" s="3">
        <f ca="1">IF(Proc[[#This Row],[DateClosed]]="",ABS(NETWORKDAYS(Proc[[#This Row],[DateOpened]],TODAY()))-1,ABS(NETWORKDAYS(Proc[[#This Row],[DateOpened]],Proc[[#This Row],[DateClosed]]))-1)</f>
        <v>65</v>
      </c>
      <c r="R4216" s="146" t="s">
        <v>780</v>
      </c>
      <c r="S4216" s="150"/>
    </row>
    <row r="4217" spans="1:19" hidden="1">
      <c r="A4217" s="149" t="s">
        <v>6344</v>
      </c>
      <c r="B4217" s="150" t="str">
        <f>IFERROR(VLOOKUP(Proc[[#This Row],[App]],Table2[],3,0),"open")</f>
        <v>ok</v>
      </c>
      <c r="C4217" s="149" t="s">
        <v>369</v>
      </c>
      <c r="D4217" t="s">
        <v>6350</v>
      </c>
      <c r="E4217" t="s">
        <v>6348</v>
      </c>
      <c r="F4217" s="150" t="s">
        <v>6348</v>
      </c>
      <c r="G4217" t="s">
        <v>400</v>
      </c>
      <c r="H4217" s="150" t="str">
        <f>IF(Proc[[#This Row],[type]]="LFF (MDG-F)",MID(Proc[[#This Row],[Obj]],13,10),"")</f>
        <v/>
      </c>
      <c r="I4217" s="149"/>
      <c r="J4217" s="150" t="b">
        <f>Proc[[#This Row],[Requested]]=Proc[[#This Row],[CurrentParent]]</f>
        <v>1</v>
      </c>
      <c r="K4217" s="150" t="str">
        <f>IF(Proc[[#This Row],[Author]]="Marcela Urrego",VLOOKUP(LEFT(Proc[[#This Row],[Requested]],1),Table3[#All],2,0),VLOOKUP(Proc[[#This Row],[Author]],Table4[],2,0))</f>
        <v>EL</v>
      </c>
      <c r="L4217" s="150" t="s">
        <v>4894</v>
      </c>
      <c r="M4217" s="146">
        <v>45919</v>
      </c>
      <c r="N4217" s="148"/>
      <c r="O4217" s="148"/>
      <c r="P4217" s="146" t="str">
        <f ca="1">IF(Proc[[#This Row],[DaysAgeing]]&gt;5,"yep","on track")</f>
        <v>yep</v>
      </c>
      <c r="Q4217" s="3">
        <f ca="1">IF(Proc[[#This Row],[DateClosed]]="",ABS(NETWORKDAYS(Proc[[#This Row],[DateOpened]],TODAY()))-1,ABS(NETWORKDAYS(Proc[[#This Row],[DateOpened]],Proc[[#This Row],[DateClosed]]))-1)</f>
        <v>65</v>
      </c>
      <c r="R4217" s="146" t="s">
        <v>780</v>
      </c>
      <c r="S4217" s="150"/>
    </row>
    <row r="4218" spans="1:19" hidden="1">
      <c r="A4218" s="149" t="s">
        <v>6344</v>
      </c>
      <c r="B4218" s="150" t="str">
        <f>IFERROR(VLOOKUP(Proc[[#This Row],[App]],Table2[],3,0),"open")</f>
        <v>ok</v>
      </c>
      <c r="C4218" s="149" t="s">
        <v>369</v>
      </c>
      <c r="D4218" t="s">
        <v>6339</v>
      </c>
      <c r="E4218" t="s">
        <v>735</v>
      </c>
      <c r="F4218" s="150" t="s">
        <v>735</v>
      </c>
      <c r="G4218" s="149" t="s">
        <v>406</v>
      </c>
      <c r="H4218" s="150" t="str">
        <f>IF(Proc[[#This Row],[type]]="LFF (MDG-F)",MID(Proc[[#This Row],[Obj]],13,10),"")</f>
        <v>CN01Z01000</v>
      </c>
      <c r="I4218" s="149"/>
      <c r="J4218" s="150" t="b">
        <f>Proc[[#This Row],[Requested]]=Proc[[#This Row],[CurrentParent]]</f>
        <v>1</v>
      </c>
      <c r="K4218" s="150" t="str">
        <f>IF(Proc[[#This Row],[Author]]="Marcela Urrego",VLOOKUP(LEFT(Proc[[#This Row],[Requested]],1),Table3[#All],2,0),VLOOKUP(Proc[[#This Row],[Author]],Table4[],2,0))</f>
        <v>EL</v>
      </c>
      <c r="L4218" s="150" t="s">
        <v>4894</v>
      </c>
      <c r="M4218" s="146">
        <v>45919</v>
      </c>
      <c r="N4218" s="148"/>
      <c r="O4218" s="148"/>
      <c r="P4218" s="146" t="str">
        <f ca="1">IF(Proc[[#This Row],[DaysAgeing]]&gt;5,"yep","on track")</f>
        <v>yep</v>
      </c>
      <c r="Q4218" s="3">
        <f ca="1">IF(Proc[[#This Row],[DateClosed]]="",ABS(NETWORKDAYS(Proc[[#This Row],[DateOpened]],TODAY()))-1,ABS(NETWORKDAYS(Proc[[#This Row],[DateOpened]],Proc[[#This Row],[DateClosed]]))-1)</f>
        <v>65</v>
      </c>
      <c r="R4218" s="146" t="s">
        <v>780</v>
      </c>
      <c r="S4218" s="150"/>
    </row>
    <row r="4219" spans="1:19" hidden="1">
      <c r="A4219" s="149" t="s">
        <v>6344</v>
      </c>
      <c r="B4219" s="150" t="str">
        <f>IFERROR(VLOOKUP(Proc[[#This Row],[App]],Table2[],3,0),"open")</f>
        <v>ok</v>
      </c>
      <c r="C4219" s="149" t="s">
        <v>369</v>
      </c>
      <c r="D4219" t="s">
        <v>6340</v>
      </c>
      <c r="E4219" t="s">
        <v>735</v>
      </c>
      <c r="F4219" s="150" t="s">
        <v>735</v>
      </c>
      <c r="G4219" s="149" t="s">
        <v>406</v>
      </c>
      <c r="H4219" s="150" t="str">
        <f>IF(Proc[[#This Row],[type]]="LFF (MDG-F)",MID(Proc[[#This Row],[Obj]],13,10),"")</f>
        <v>DE04Z01000</v>
      </c>
      <c r="I4219" s="149"/>
      <c r="J4219" s="150" t="b">
        <f>Proc[[#This Row],[Requested]]=Proc[[#This Row],[CurrentParent]]</f>
        <v>1</v>
      </c>
      <c r="K4219" s="150" t="str">
        <f>IF(Proc[[#This Row],[Author]]="Marcela Urrego",VLOOKUP(LEFT(Proc[[#This Row],[Requested]],1),Table3[#All],2,0),VLOOKUP(Proc[[#This Row],[Author]],Table4[],2,0))</f>
        <v>EL</v>
      </c>
      <c r="L4219" s="150" t="s">
        <v>4894</v>
      </c>
      <c r="M4219" s="146">
        <v>45919</v>
      </c>
      <c r="N4219" s="148"/>
      <c r="O4219" s="148"/>
      <c r="P4219" s="146" t="str">
        <f ca="1">IF(Proc[[#This Row],[DaysAgeing]]&gt;5,"yep","on track")</f>
        <v>yep</v>
      </c>
      <c r="Q4219" s="3">
        <f ca="1">IF(Proc[[#This Row],[DateClosed]]="",ABS(NETWORKDAYS(Proc[[#This Row],[DateOpened]],TODAY()))-1,ABS(NETWORKDAYS(Proc[[#This Row],[DateOpened]],Proc[[#This Row],[DateClosed]]))-1)</f>
        <v>65</v>
      </c>
      <c r="R4219" s="146" t="s">
        <v>780</v>
      </c>
      <c r="S4219" s="150"/>
    </row>
    <row r="4220" spans="1:19" hidden="1">
      <c r="A4220" s="149" t="s">
        <v>6344</v>
      </c>
      <c r="B4220" s="150" t="str">
        <f>IFERROR(VLOOKUP(Proc[[#This Row],[App]],Table2[],3,0),"open")</f>
        <v>ok</v>
      </c>
      <c r="C4220" s="149" t="s">
        <v>369</v>
      </c>
      <c r="D4220" t="s">
        <v>6341</v>
      </c>
      <c r="E4220" t="s">
        <v>735</v>
      </c>
      <c r="F4220" s="150" t="s">
        <v>735</v>
      </c>
      <c r="G4220" s="149" t="s">
        <v>406</v>
      </c>
      <c r="H4220" s="150" t="str">
        <f>IF(Proc[[#This Row],[type]]="LFF (MDG-F)",MID(Proc[[#This Row],[Obj]],13,10),"")</f>
        <v>KR03Z01000</v>
      </c>
      <c r="I4220" s="149" t="s">
        <v>6349</v>
      </c>
      <c r="J4220" s="150" t="b">
        <f>Proc[[#This Row],[Requested]]=Proc[[#This Row],[CurrentParent]]</f>
        <v>1</v>
      </c>
      <c r="K4220" s="150" t="str">
        <f>IF(Proc[[#This Row],[Author]]="Marcela Urrego",VLOOKUP(LEFT(Proc[[#This Row],[Requested]],1),Table3[#All],2,0),VLOOKUP(Proc[[#This Row],[Author]],Table4[],2,0))</f>
        <v>EL</v>
      </c>
      <c r="L4220" s="150" t="s">
        <v>4894</v>
      </c>
      <c r="M4220" s="146">
        <v>45919</v>
      </c>
      <c r="N4220" s="148"/>
      <c r="O4220" s="148"/>
      <c r="P4220" s="146" t="str">
        <f ca="1">IF(Proc[[#This Row],[DaysAgeing]]&gt;5,"yep","on track")</f>
        <v>yep</v>
      </c>
      <c r="Q4220" s="3">
        <f ca="1">IF(Proc[[#This Row],[DateClosed]]="",ABS(NETWORKDAYS(Proc[[#This Row],[DateOpened]],TODAY()))-1,ABS(NETWORKDAYS(Proc[[#This Row],[DateOpened]],Proc[[#This Row],[DateClosed]]))-1)</f>
        <v>65</v>
      </c>
      <c r="R4220" s="146" t="s">
        <v>780</v>
      </c>
      <c r="S4220" s="150"/>
    </row>
    <row r="4221" spans="1:19" hidden="1">
      <c r="A4221" s="149" t="s">
        <v>6344</v>
      </c>
      <c r="B4221" s="150" t="str">
        <f>IFERROR(VLOOKUP(Proc[[#This Row],[App]],Table2[],3,0),"open")</f>
        <v>ok</v>
      </c>
      <c r="C4221" s="149" t="s">
        <v>369</v>
      </c>
      <c r="D4221" t="s">
        <v>6342</v>
      </c>
      <c r="E4221" s="149" t="s">
        <v>735</v>
      </c>
      <c r="F4221" s="150" t="s">
        <v>735</v>
      </c>
      <c r="G4221" s="149" t="s">
        <v>406</v>
      </c>
      <c r="H4221" s="150" t="str">
        <f>IF(Proc[[#This Row],[type]]="LFF (MDG-F)",MID(Proc[[#This Row],[Obj]],13,10),"")</f>
        <v>US01Z01000</v>
      </c>
      <c r="I4221" s="149"/>
      <c r="J4221" s="150" t="b">
        <f>Proc[[#This Row],[Requested]]=Proc[[#This Row],[CurrentParent]]</f>
        <v>1</v>
      </c>
      <c r="K4221" s="150" t="str">
        <f>IF(Proc[[#This Row],[Author]]="Marcela Urrego",VLOOKUP(LEFT(Proc[[#This Row],[Requested]],1),Table3[#All],2,0),VLOOKUP(Proc[[#This Row],[Author]],Table4[],2,0))</f>
        <v>EL</v>
      </c>
      <c r="L4221" s="150" t="s">
        <v>4894</v>
      </c>
      <c r="M4221" s="146">
        <v>45919</v>
      </c>
      <c r="N4221" s="148"/>
      <c r="O4221" s="148"/>
      <c r="P4221" s="146" t="str">
        <f ca="1">IF(Proc[[#This Row],[DaysAgeing]]&gt;5,"yep","on track")</f>
        <v>yep</v>
      </c>
      <c r="Q4221" s="3">
        <f ca="1">IF(Proc[[#This Row],[DateClosed]]="",ABS(NETWORKDAYS(Proc[[#This Row],[DateOpened]],TODAY()))-1,ABS(NETWORKDAYS(Proc[[#This Row],[DateOpened]],Proc[[#This Row],[DateClosed]]))-1)</f>
        <v>65</v>
      </c>
      <c r="R4221" s="146" t="s">
        <v>780</v>
      </c>
      <c r="S4221" s="150"/>
    </row>
    <row r="4222" spans="1:19" hidden="1">
      <c r="A4222" s="149" t="s">
        <v>6344</v>
      </c>
      <c r="B4222" s="150" t="str">
        <f>IFERROR(VLOOKUP(Proc[[#This Row],[App]],Table2[],3,0),"open")</f>
        <v>ok</v>
      </c>
      <c r="C4222" s="149" t="s">
        <v>369</v>
      </c>
      <c r="D4222" t="s">
        <v>6343</v>
      </c>
      <c r="E4222" t="s">
        <v>6501</v>
      </c>
      <c r="F4222" s="150" t="s">
        <v>6268</v>
      </c>
      <c r="G4222" s="149" t="s">
        <v>406</v>
      </c>
      <c r="H4222" s="150" t="str">
        <f>IF(Proc[[#This Row],[type]]="LFF (MDG-F)",MID(Proc[[#This Row],[Obj]],13,10),"")</f>
        <v>TW02Z01000</v>
      </c>
      <c r="I4222" s="149"/>
      <c r="J4222" s="150" t="b">
        <f>Proc[[#This Row],[Requested]]=Proc[[#This Row],[CurrentParent]]</f>
        <v>0</v>
      </c>
      <c r="K4222" s="150" t="str">
        <f>IF(Proc[[#This Row],[Author]]="Marcela Urrego",VLOOKUP(LEFT(Proc[[#This Row],[Requested]],1),Table3[#All],2,0),VLOOKUP(Proc[[#This Row],[Author]],Table4[],2,0))</f>
        <v>EL</v>
      </c>
      <c r="L4222" s="150" t="s">
        <v>4894</v>
      </c>
      <c r="M4222" s="146">
        <v>45919</v>
      </c>
      <c r="N4222" s="148"/>
      <c r="O4222" s="148"/>
      <c r="P4222" s="146" t="str">
        <f ca="1">IF(Proc[[#This Row],[DaysAgeing]]&gt;5,"yep","on track")</f>
        <v>yep</v>
      </c>
      <c r="Q4222" s="3">
        <f ca="1">IF(Proc[[#This Row],[DateClosed]]="",ABS(NETWORKDAYS(Proc[[#This Row],[DateOpened]],TODAY()))-1,ABS(NETWORKDAYS(Proc[[#This Row],[DateOpened]],Proc[[#This Row],[DateClosed]]))-1)</f>
        <v>65</v>
      </c>
      <c r="R4222" s="146" t="s">
        <v>780</v>
      </c>
      <c r="S4222" s="150"/>
    </row>
    <row r="4223" spans="1:19" hidden="1">
      <c r="A4223" t="s">
        <v>6352</v>
      </c>
      <c r="B4223" s="150" t="str">
        <f>IFERROR(VLOOKUP(Proc[[#This Row],[App]],Table2[],3,0),"open")</f>
        <v>ok</v>
      </c>
      <c r="C4223" s="149" t="s">
        <v>369</v>
      </c>
      <c r="D4223" t="s">
        <v>6353</v>
      </c>
      <c r="E4223" t="s">
        <v>6354</v>
      </c>
      <c r="F4223" s="150" t="s">
        <v>6354</v>
      </c>
      <c r="G4223" s="149" t="s">
        <v>400</v>
      </c>
      <c r="H4223" s="150" t="str">
        <f>IF(Proc[[#This Row],[type]]="LFF (MDG-F)",MID(Proc[[#This Row],[Obj]],13,10),"")</f>
        <v/>
      </c>
      <c r="J4223" s="150" t="b">
        <f>Proc[[#This Row],[Requested]]=Proc[[#This Row],[CurrentParent]]</f>
        <v>1</v>
      </c>
      <c r="K4223" s="150" t="str">
        <f>IF(Proc[[#This Row],[Author]]="Marcela Urrego",VLOOKUP(LEFT(Proc[[#This Row],[Requested]],1),Table3[#All],2,0),VLOOKUP(Proc[[#This Row],[Author]],Table4[],2,0))</f>
        <v>LS</v>
      </c>
      <c r="L4223" s="150" t="s">
        <v>4894</v>
      </c>
      <c r="M4223" s="148">
        <v>45924</v>
      </c>
      <c r="N4223" s="151"/>
      <c r="O4223" s="151"/>
      <c r="P4223" s="148" t="str">
        <f ca="1">IF(Proc[[#This Row],[DaysAgeing]]&gt;5,"yep","on track")</f>
        <v>yep</v>
      </c>
      <c r="Q4223" s="3">
        <f ca="1">IF(Proc[[#This Row],[DateClosed]]="",ABS(NETWORKDAYS(Proc[[#This Row],[DateOpened]],TODAY()))-1,ABS(NETWORKDAYS(Proc[[#This Row],[DateOpened]],Proc[[#This Row],[DateClosed]]))-1)</f>
        <v>62</v>
      </c>
      <c r="R4223" s="148" t="s">
        <v>489</v>
      </c>
      <c r="S4223" s="150"/>
    </row>
    <row r="4224" spans="1:19" hidden="1">
      <c r="A4224" t="s">
        <v>6356</v>
      </c>
      <c r="B4224" s="150" t="str">
        <f>IFERROR(VLOOKUP(Proc[[#This Row],[App]],Table2[],3,0),"open")</f>
        <v>ok</v>
      </c>
      <c r="C4224" s="149" t="s">
        <v>369</v>
      </c>
      <c r="D4224" t="s">
        <v>6355</v>
      </c>
      <c r="E4224" t="s">
        <v>2815</v>
      </c>
      <c r="F4224" s="150" t="s">
        <v>2815</v>
      </c>
      <c r="G4224" s="149" t="s">
        <v>400</v>
      </c>
      <c r="H4224" s="150" t="str">
        <f>IF(Proc[[#This Row],[type]]="LFF (MDG-F)",MID(Proc[[#This Row],[Obj]],13,10),"")</f>
        <v/>
      </c>
      <c r="J4224" s="150" t="b">
        <f>Proc[[#This Row],[Requested]]=Proc[[#This Row],[CurrentParent]]</f>
        <v>1</v>
      </c>
      <c r="K4224" s="150" t="str">
        <f>IF(Proc[[#This Row],[Author]]="Marcela Urrego",VLOOKUP(LEFT(Proc[[#This Row],[Requested]],1),Table3[#All],2,0),VLOOKUP(Proc[[#This Row],[Author]],Table4[],2,0))</f>
        <v>LS</v>
      </c>
      <c r="L4224" s="150" t="s">
        <v>4894</v>
      </c>
      <c r="M4224" s="151">
        <v>45924</v>
      </c>
      <c r="N4224" s="151"/>
      <c r="O4224" s="151"/>
      <c r="P4224" s="148" t="str">
        <f ca="1">IF(Proc[[#This Row],[DaysAgeing]]&gt;5,"yep","on track")</f>
        <v>yep</v>
      </c>
      <c r="Q4224" s="3">
        <f ca="1">IF(Proc[[#This Row],[DateClosed]]="",ABS(NETWORKDAYS(Proc[[#This Row],[DateOpened]],TODAY()))-1,ABS(NETWORKDAYS(Proc[[#This Row],[DateOpened]],Proc[[#This Row],[DateClosed]]))-1)</f>
        <v>62</v>
      </c>
      <c r="R4224" s="148" t="s">
        <v>489</v>
      </c>
      <c r="S4224" s="150"/>
    </row>
    <row r="4225" spans="1:19" hidden="1">
      <c r="A4225" t="s">
        <v>6402</v>
      </c>
      <c r="B4225" s="150" t="str">
        <f>IFERROR(VLOOKUP(Proc[[#This Row],[App]],Table2[],3,0),"open")</f>
        <v>ok</v>
      </c>
      <c r="C4225" s="149" t="s">
        <v>369</v>
      </c>
      <c r="D4225" t="s">
        <v>6357</v>
      </c>
      <c r="E4225" t="s">
        <v>6403</v>
      </c>
      <c r="F4225" s="150" t="s">
        <v>6403</v>
      </c>
      <c r="G4225" t="s">
        <v>400</v>
      </c>
      <c r="H4225" s="150" t="str">
        <f>IF(Proc[[#This Row],[type]]="LFF (MDG-F)",MID(Proc[[#This Row],[Obj]],13,10),"")</f>
        <v/>
      </c>
      <c r="J4225" s="150" t="b">
        <f>Proc[[#This Row],[Requested]]=Proc[[#This Row],[CurrentParent]]</f>
        <v>1</v>
      </c>
      <c r="K4225" s="150" t="str">
        <f>IF(Proc[[#This Row],[Author]]="Marcela Urrego",VLOOKUP(LEFT(Proc[[#This Row],[Requested]],1),Table3[#All],2,0),VLOOKUP(Proc[[#This Row],[Author]],Table4[],2,0))</f>
        <v>HC</v>
      </c>
      <c r="L4225" s="150" t="s">
        <v>4894</v>
      </c>
      <c r="M4225" s="151">
        <v>45924</v>
      </c>
      <c r="N4225" s="151"/>
      <c r="O4225" s="151"/>
      <c r="P4225" s="152" t="str">
        <f ca="1">IF(Proc[[#This Row],[DaysAgeing]]&gt;5,"yep","on track")</f>
        <v>yep</v>
      </c>
      <c r="Q4225" s="3">
        <f ca="1">IF(Proc[[#This Row],[DateClosed]]="",ABS(NETWORKDAYS(Proc[[#This Row],[DateOpened]],TODAY()))-1,ABS(NETWORKDAYS(Proc[[#This Row],[DateOpened]],Proc[[#This Row],[DateClosed]]))-1)</f>
        <v>62</v>
      </c>
      <c r="R4225" s="152" t="s">
        <v>410</v>
      </c>
      <c r="S4225" s="150"/>
    </row>
    <row r="4226" spans="1:19" hidden="1">
      <c r="A4226" s="149" t="s">
        <v>6402</v>
      </c>
      <c r="B4226" s="150" t="str">
        <f>IFERROR(VLOOKUP(Proc[[#This Row],[App]],Table2[],3,0),"open")</f>
        <v>ok</v>
      </c>
      <c r="C4226" s="149" t="s">
        <v>369</v>
      </c>
      <c r="D4226" t="s">
        <v>6358</v>
      </c>
      <c r="E4226" t="s">
        <v>6403</v>
      </c>
      <c r="F4226" s="150" t="s">
        <v>6403</v>
      </c>
      <c r="G4226" t="s">
        <v>406</v>
      </c>
      <c r="H4226" s="150" t="str">
        <f>IF(Proc[[#This Row],[type]]="LFF (MDG-F)",MID(Proc[[#This Row],[Obj]],13,10),"")</f>
        <v>BE50C00901</v>
      </c>
      <c r="J4226" s="150" t="b">
        <f>Proc[[#This Row],[Requested]]=Proc[[#This Row],[CurrentParent]]</f>
        <v>1</v>
      </c>
      <c r="K4226" s="150" t="str">
        <f>IF(Proc[[#This Row],[Author]]="Marcela Urrego",VLOOKUP(LEFT(Proc[[#This Row],[Requested]],1),Table3[#All],2,0),VLOOKUP(Proc[[#This Row],[Author]],Table4[],2,0))</f>
        <v>HC</v>
      </c>
      <c r="L4226" s="150" t="s">
        <v>4894</v>
      </c>
      <c r="M4226" s="151">
        <v>45924</v>
      </c>
      <c r="N4226" s="151"/>
      <c r="O4226" s="151"/>
      <c r="P4226" s="152" t="str">
        <f ca="1">IF(Proc[[#This Row],[DaysAgeing]]&gt;5,"yep","on track")</f>
        <v>yep</v>
      </c>
      <c r="Q4226" s="3">
        <f ca="1">IF(Proc[[#This Row],[DateClosed]]="",ABS(NETWORKDAYS(Proc[[#This Row],[DateOpened]],TODAY()))-1,ABS(NETWORKDAYS(Proc[[#This Row],[DateOpened]],Proc[[#This Row],[DateClosed]]))-1)</f>
        <v>62</v>
      </c>
      <c r="R4226" s="152" t="s">
        <v>410</v>
      </c>
      <c r="S4226" s="150"/>
    </row>
    <row r="4227" spans="1:19" hidden="1">
      <c r="A4227" s="149" t="s">
        <v>6402</v>
      </c>
      <c r="B4227" s="150" t="str">
        <f>IFERROR(VLOOKUP(Proc[[#This Row],[App]],Table2[],3,0),"open")</f>
        <v>ok</v>
      </c>
      <c r="C4227" s="149" t="s">
        <v>369</v>
      </c>
      <c r="D4227" t="s">
        <v>6359</v>
      </c>
      <c r="E4227" t="s">
        <v>6404</v>
      </c>
      <c r="F4227" s="150" t="s">
        <v>6404</v>
      </c>
      <c r="G4227" s="149" t="s">
        <v>406</v>
      </c>
      <c r="H4227" s="150" t="str">
        <f>IF(Proc[[#This Row],[type]]="LFF (MDG-F)",MID(Proc[[#This Row],[Obj]],13,10),"")</f>
        <v>BE50C00912</v>
      </c>
      <c r="J4227" s="150" t="b">
        <f>Proc[[#This Row],[Requested]]=Proc[[#This Row],[CurrentParent]]</f>
        <v>1</v>
      </c>
      <c r="K4227" s="150" t="str">
        <f>IF(Proc[[#This Row],[Author]]="Marcela Urrego",VLOOKUP(LEFT(Proc[[#This Row],[Requested]],1),Table3[#All],2,0),VLOOKUP(Proc[[#This Row],[Author]],Table4[],2,0))</f>
        <v>HC</v>
      </c>
      <c r="L4227" s="150" t="s">
        <v>4894</v>
      </c>
      <c r="M4227" s="151">
        <v>45924</v>
      </c>
      <c r="N4227" s="151"/>
      <c r="O4227" s="151"/>
      <c r="P4227" s="152" t="str">
        <f ca="1">IF(Proc[[#This Row],[DaysAgeing]]&gt;5,"yep","on track")</f>
        <v>yep</v>
      </c>
      <c r="Q4227" s="3">
        <f ca="1">IF(Proc[[#This Row],[DateClosed]]="",ABS(NETWORKDAYS(Proc[[#This Row],[DateOpened]],TODAY()))-1,ABS(NETWORKDAYS(Proc[[#This Row],[DateOpened]],Proc[[#This Row],[DateClosed]]))-1)</f>
        <v>62</v>
      </c>
      <c r="R4227" s="152" t="s">
        <v>410</v>
      </c>
      <c r="S4227" s="150"/>
    </row>
    <row r="4228" spans="1:19" hidden="1">
      <c r="A4228" s="149" t="s">
        <v>6402</v>
      </c>
      <c r="B4228" s="150" t="str">
        <f>IFERROR(VLOOKUP(Proc[[#This Row],[App]],Table2[],3,0),"open")</f>
        <v>ok</v>
      </c>
      <c r="C4228" s="149" t="s">
        <v>369</v>
      </c>
      <c r="D4228" t="s">
        <v>6360</v>
      </c>
      <c r="E4228" t="s">
        <v>6403</v>
      </c>
      <c r="F4228" s="150" t="s">
        <v>6403</v>
      </c>
      <c r="G4228" s="149" t="s">
        <v>406</v>
      </c>
      <c r="H4228" s="150" t="str">
        <f>IF(Proc[[#This Row],[type]]="LFF (MDG-F)",MID(Proc[[#This Row],[Obj]],13,10),"")</f>
        <v>BE50C00921</v>
      </c>
      <c r="J4228" s="150" t="b">
        <f>Proc[[#This Row],[Requested]]=Proc[[#This Row],[CurrentParent]]</f>
        <v>1</v>
      </c>
      <c r="K4228" s="150" t="str">
        <f>IF(Proc[[#This Row],[Author]]="Marcela Urrego",VLOOKUP(LEFT(Proc[[#This Row],[Requested]],1),Table3[#All],2,0),VLOOKUP(Proc[[#This Row],[Author]],Table4[],2,0))</f>
        <v>HC</v>
      </c>
      <c r="L4228" s="150" t="s">
        <v>4894</v>
      </c>
      <c r="M4228" s="151">
        <v>45924</v>
      </c>
      <c r="N4228" s="151"/>
      <c r="O4228" s="151"/>
      <c r="P4228" s="152" t="str">
        <f ca="1">IF(Proc[[#This Row],[DaysAgeing]]&gt;5,"yep","on track")</f>
        <v>yep</v>
      </c>
      <c r="Q4228" s="3">
        <f ca="1">IF(Proc[[#This Row],[DateClosed]]="",ABS(NETWORKDAYS(Proc[[#This Row],[DateOpened]],TODAY()))-1,ABS(NETWORKDAYS(Proc[[#This Row],[DateOpened]],Proc[[#This Row],[DateClosed]]))-1)</f>
        <v>62</v>
      </c>
      <c r="R4228" s="152" t="s">
        <v>410</v>
      </c>
      <c r="S4228" s="150"/>
    </row>
    <row r="4229" spans="1:19" hidden="1">
      <c r="A4229" s="149" t="s">
        <v>6402</v>
      </c>
      <c r="B4229" s="150" t="str">
        <f>IFERROR(VLOOKUP(Proc[[#This Row],[App]],Table2[],3,0),"open")</f>
        <v>ok</v>
      </c>
      <c r="C4229" s="149" t="s">
        <v>369</v>
      </c>
      <c r="D4229" t="s">
        <v>6361</v>
      </c>
      <c r="E4229" t="s">
        <v>6403</v>
      </c>
      <c r="F4229" s="150" t="s">
        <v>6403</v>
      </c>
      <c r="G4229" s="149" t="s">
        <v>406</v>
      </c>
      <c r="H4229" s="150" t="str">
        <f>IF(Proc[[#This Row],[type]]="LFF (MDG-F)",MID(Proc[[#This Row],[Obj]],13,10),"")</f>
        <v>CN50GCA002</v>
      </c>
      <c r="J4229" s="150" t="b">
        <f>Proc[[#This Row],[Requested]]=Proc[[#This Row],[CurrentParent]]</f>
        <v>1</v>
      </c>
      <c r="K4229" s="150" t="str">
        <f>IF(Proc[[#This Row],[Author]]="Marcela Urrego",VLOOKUP(LEFT(Proc[[#This Row],[Requested]],1),Table3[#All],2,0),VLOOKUP(Proc[[#This Row],[Author]],Table4[],2,0))</f>
        <v>HC</v>
      </c>
      <c r="L4229" s="150" t="s">
        <v>4894</v>
      </c>
      <c r="M4229" s="151">
        <v>45924</v>
      </c>
      <c r="N4229" s="151"/>
      <c r="O4229" s="151"/>
      <c r="P4229" s="152" t="str">
        <f ca="1">IF(Proc[[#This Row],[DaysAgeing]]&gt;5,"yep","on track")</f>
        <v>yep</v>
      </c>
      <c r="Q4229" s="3">
        <f ca="1">IF(Proc[[#This Row],[DateClosed]]="",ABS(NETWORKDAYS(Proc[[#This Row],[DateOpened]],TODAY()))-1,ABS(NETWORKDAYS(Proc[[#This Row],[DateOpened]],Proc[[#This Row],[DateClosed]]))-1)</f>
        <v>62</v>
      </c>
      <c r="R4229" s="152" t="s">
        <v>410</v>
      </c>
      <c r="S4229" s="150"/>
    </row>
    <row r="4230" spans="1:19" hidden="1">
      <c r="A4230" s="149" t="s">
        <v>6402</v>
      </c>
      <c r="B4230" s="150" t="str">
        <f>IFERROR(VLOOKUP(Proc[[#This Row],[App]],Table2[],3,0),"open")</f>
        <v>ok</v>
      </c>
      <c r="C4230" s="149" t="s">
        <v>369</v>
      </c>
      <c r="D4230" t="s">
        <v>6362</v>
      </c>
      <c r="E4230" t="s">
        <v>6404</v>
      </c>
      <c r="F4230" s="150" t="s">
        <v>6404</v>
      </c>
      <c r="G4230" s="149" t="s">
        <v>406</v>
      </c>
      <c r="H4230" s="150" t="str">
        <f>IF(Proc[[#This Row],[type]]="LFF (MDG-F)",MID(Proc[[#This Row],[Obj]],13,10),"")</f>
        <v>CN50GCA004</v>
      </c>
      <c r="J4230" s="150" t="b">
        <f>Proc[[#This Row],[Requested]]=Proc[[#This Row],[CurrentParent]]</f>
        <v>1</v>
      </c>
      <c r="K4230" s="150" t="str">
        <f>IF(Proc[[#This Row],[Author]]="Marcela Urrego",VLOOKUP(LEFT(Proc[[#This Row],[Requested]],1),Table3[#All],2,0),VLOOKUP(Proc[[#This Row],[Author]],Table4[],2,0))</f>
        <v>HC</v>
      </c>
      <c r="L4230" s="150" t="s">
        <v>4894</v>
      </c>
      <c r="M4230" s="151">
        <v>45924</v>
      </c>
      <c r="N4230" s="151"/>
      <c r="O4230" s="151"/>
      <c r="P4230" s="152" t="str">
        <f ca="1">IF(Proc[[#This Row],[DaysAgeing]]&gt;5,"yep","on track")</f>
        <v>yep</v>
      </c>
      <c r="Q4230" s="3">
        <f ca="1">IF(Proc[[#This Row],[DateClosed]]="",ABS(NETWORKDAYS(Proc[[#This Row],[DateOpened]],TODAY()))-1,ABS(NETWORKDAYS(Proc[[#This Row],[DateOpened]],Proc[[#This Row],[DateClosed]]))-1)</f>
        <v>62</v>
      </c>
      <c r="R4230" s="152" t="s">
        <v>410</v>
      </c>
      <c r="S4230" s="150"/>
    </row>
    <row r="4231" spans="1:19" hidden="1">
      <c r="A4231" s="149" t="s">
        <v>6402</v>
      </c>
      <c r="B4231" s="150" t="str">
        <f>IFERROR(VLOOKUP(Proc[[#This Row],[App]],Table2[],3,0),"open")</f>
        <v>ok</v>
      </c>
      <c r="C4231" s="149" t="s">
        <v>369</v>
      </c>
      <c r="D4231" t="s">
        <v>6363</v>
      </c>
      <c r="E4231" t="s">
        <v>6404</v>
      </c>
      <c r="F4231" s="150" t="s">
        <v>6404</v>
      </c>
      <c r="G4231" s="149" t="s">
        <v>406</v>
      </c>
      <c r="H4231" s="150" t="str">
        <f>IF(Proc[[#This Row],[type]]="LFF (MDG-F)",MID(Proc[[#This Row],[Obj]],13,10),"")</f>
        <v>CN50GCA005</v>
      </c>
      <c r="J4231" s="150" t="b">
        <f>Proc[[#This Row],[Requested]]=Proc[[#This Row],[CurrentParent]]</f>
        <v>1</v>
      </c>
      <c r="K4231" s="150" t="str">
        <f>IF(Proc[[#This Row],[Author]]="Marcela Urrego",VLOOKUP(LEFT(Proc[[#This Row],[Requested]],1),Table3[#All],2,0),VLOOKUP(Proc[[#This Row],[Author]],Table4[],2,0))</f>
        <v>HC</v>
      </c>
      <c r="L4231" s="150" t="s">
        <v>4894</v>
      </c>
      <c r="M4231" s="151">
        <v>45924</v>
      </c>
      <c r="N4231" s="151"/>
      <c r="O4231" s="151"/>
      <c r="P4231" s="152" t="str">
        <f ca="1">IF(Proc[[#This Row],[DaysAgeing]]&gt;5,"yep","on track")</f>
        <v>yep</v>
      </c>
      <c r="Q4231" s="3">
        <f ca="1">IF(Proc[[#This Row],[DateClosed]]="",ABS(NETWORKDAYS(Proc[[#This Row],[DateOpened]],TODAY()))-1,ABS(NETWORKDAYS(Proc[[#This Row],[DateOpened]],Proc[[#This Row],[DateClosed]]))-1)</f>
        <v>62</v>
      </c>
      <c r="R4231" s="152" t="s">
        <v>410</v>
      </c>
      <c r="S4231" s="150"/>
    </row>
    <row r="4232" spans="1:19" hidden="1">
      <c r="A4232" s="149" t="s">
        <v>6402</v>
      </c>
      <c r="B4232" s="150" t="str">
        <f>IFERROR(VLOOKUP(Proc[[#This Row],[App]],Table2[],3,0),"open")</f>
        <v>ok</v>
      </c>
      <c r="C4232" s="149" t="s">
        <v>369</v>
      </c>
      <c r="D4232" t="s">
        <v>6364</v>
      </c>
      <c r="E4232" t="s">
        <v>6404</v>
      </c>
      <c r="F4232" s="150" t="s">
        <v>6404</v>
      </c>
      <c r="G4232" s="149" t="s">
        <v>406</v>
      </c>
      <c r="H4232" s="150" t="str">
        <f>IF(Proc[[#This Row],[type]]="LFF (MDG-F)",MID(Proc[[#This Row],[Obj]],13,10),"")</f>
        <v>CN50GCA012</v>
      </c>
      <c r="J4232" s="150" t="b">
        <f>Proc[[#This Row],[Requested]]=Proc[[#This Row],[CurrentParent]]</f>
        <v>1</v>
      </c>
      <c r="K4232" s="150" t="str">
        <f>IF(Proc[[#This Row],[Author]]="Marcela Urrego",VLOOKUP(LEFT(Proc[[#This Row],[Requested]],1),Table3[#All],2,0),VLOOKUP(Proc[[#This Row],[Author]],Table4[],2,0))</f>
        <v>HC</v>
      </c>
      <c r="L4232" s="150" t="s">
        <v>4894</v>
      </c>
      <c r="M4232" s="151">
        <v>45924</v>
      </c>
      <c r="N4232" s="151"/>
      <c r="O4232" s="151"/>
      <c r="P4232" s="152" t="str">
        <f ca="1">IF(Proc[[#This Row],[DaysAgeing]]&gt;5,"yep","on track")</f>
        <v>yep</v>
      </c>
      <c r="Q4232" s="3">
        <f ca="1">IF(Proc[[#This Row],[DateClosed]]="",ABS(NETWORKDAYS(Proc[[#This Row],[DateOpened]],TODAY()))-1,ABS(NETWORKDAYS(Proc[[#This Row],[DateOpened]],Proc[[#This Row],[DateClosed]]))-1)</f>
        <v>62</v>
      </c>
      <c r="R4232" s="152" t="s">
        <v>410</v>
      </c>
      <c r="S4232" s="150"/>
    </row>
    <row r="4233" spans="1:19" hidden="1">
      <c r="A4233" s="149" t="s">
        <v>6402</v>
      </c>
      <c r="B4233" s="150" t="str">
        <f>IFERROR(VLOOKUP(Proc[[#This Row],[App]],Table2[],3,0),"open")</f>
        <v>ok</v>
      </c>
      <c r="C4233" s="149" t="s">
        <v>369</v>
      </c>
      <c r="D4233" t="s">
        <v>6365</v>
      </c>
      <c r="E4233" t="s">
        <v>6403</v>
      </c>
      <c r="F4233" s="150" t="s">
        <v>6403</v>
      </c>
      <c r="G4233" s="149" t="s">
        <v>406</v>
      </c>
      <c r="H4233" s="150" t="str">
        <f>IF(Proc[[#This Row],[type]]="LFF (MDG-F)",MID(Proc[[#This Row],[Obj]],13,10),"")</f>
        <v>CN90GCA002</v>
      </c>
      <c r="J4233" s="150" t="b">
        <f>Proc[[#This Row],[Requested]]=Proc[[#This Row],[CurrentParent]]</f>
        <v>1</v>
      </c>
      <c r="K4233" s="150" t="str">
        <f>IF(Proc[[#This Row],[Author]]="Marcela Urrego",VLOOKUP(LEFT(Proc[[#This Row],[Requested]],1),Table3[#All],2,0),VLOOKUP(Proc[[#This Row],[Author]],Table4[],2,0))</f>
        <v>HC</v>
      </c>
      <c r="L4233" s="150" t="s">
        <v>4894</v>
      </c>
      <c r="M4233" s="151">
        <v>45924</v>
      </c>
      <c r="N4233" s="151"/>
      <c r="O4233" s="151"/>
      <c r="P4233" s="152" t="str">
        <f ca="1">IF(Proc[[#This Row],[DaysAgeing]]&gt;5,"yep","on track")</f>
        <v>yep</v>
      </c>
      <c r="Q4233" s="3">
        <f ca="1">IF(Proc[[#This Row],[DateClosed]]="",ABS(NETWORKDAYS(Proc[[#This Row],[DateOpened]],TODAY()))-1,ABS(NETWORKDAYS(Proc[[#This Row],[DateOpened]],Proc[[#This Row],[DateClosed]]))-1)</f>
        <v>62</v>
      </c>
      <c r="R4233" s="152" t="s">
        <v>410</v>
      </c>
      <c r="S4233" s="150"/>
    </row>
    <row r="4234" spans="1:19" hidden="1">
      <c r="A4234" s="149" t="s">
        <v>6402</v>
      </c>
      <c r="B4234" s="150" t="str">
        <f>IFERROR(VLOOKUP(Proc[[#This Row],[App]],Table2[],3,0),"open")</f>
        <v>ok</v>
      </c>
      <c r="C4234" s="149" t="s">
        <v>369</v>
      </c>
      <c r="D4234" t="s">
        <v>6366</v>
      </c>
      <c r="E4234" t="s">
        <v>6404</v>
      </c>
      <c r="F4234" s="150" t="s">
        <v>6404</v>
      </c>
      <c r="G4234" s="149" t="s">
        <v>406</v>
      </c>
      <c r="H4234" s="150" t="str">
        <f>IF(Proc[[#This Row],[type]]="LFF (MDG-F)",MID(Proc[[#This Row],[Obj]],13,10),"")</f>
        <v>CN90GCA004</v>
      </c>
      <c r="J4234" s="150" t="b">
        <f>Proc[[#This Row],[Requested]]=Proc[[#This Row],[CurrentParent]]</f>
        <v>1</v>
      </c>
      <c r="K4234" s="150" t="str">
        <f>IF(Proc[[#This Row],[Author]]="Marcela Urrego",VLOOKUP(LEFT(Proc[[#This Row],[Requested]],1),Table3[#All],2,0),VLOOKUP(Proc[[#This Row],[Author]],Table4[],2,0))</f>
        <v>HC</v>
      </c>
      <c r="L4234" s="150" t="s">
        <v>4894</v>
      </c>
      <c r="M4234" s="151">
        <v>45924</v>
      </c>
      <c r="N4234" s="151"/>
      <c r="O4234" s="151"/>
      <c r="P4234" s="152" t="str">
        <f ca="1">IF(Proc[[#This Row],[DaysAgeing]]&gt;5,"yep","on track")</f>
        <v>yep</v>
      </c>
      <c r="Q4234" s="3">
        <f ca="1">IF(Proc[[#This Row],[DateClosed]]="",ABS(NETWORKDAYS(Proc[[#This Row],[DateOpened]],TODAY()))-1,ABS(NETWORKDAYS(Proc[[#This Row],[DateOpened]],Proc[[#This Row],[DateClosed]]))-1)</f>
        <v>62</v>
      </c>
      <c r="R4234" s="152" t="s">
        <v>410</v>
      </c>
      <c r="S4234" s="150"/>
    </row>
    <row r="4235" spans="1:19" hidden="1">
      <c r="A4235" s="149" t="s">
        <v>6402</v>
      </c>
      <c r="B4235" s="150" t="str">
        <f>IFERROR(VLOOKUP(Proc[[#This Row],[App]],Table2[],3,0),"open")</f>
        <v>ok</v>
      </c>
      <c r="C4235" s="149" t="s">
        <v>369</v>
      </c>
      <c r="D4235" t="s">
        <v>6367</v>
      </c>
      <c r="E4235" t="s">
        <v>6404</v>
      </c>
      <c r="F4235" s="150" t="s">
        <v>6404</v>
      </c>
      <c r="G4235" s="149" t="s">
        <v>406</v>
      </c>
      <c r="H4235" s="150" t="str">
        <f>IF(Proc[[#This Row],[type]]="LFF (MDG-F)",MID(Proc[[#This Row],[Obj]],13,10),"")</f>
        <v>CN90GCA005</v>
      </c>
      <c r="J4235" s="150" t="b">
        <f>Proc[[#This Row],[Requested]]=Proc[[#This Row],[CurrentParent]]</f>
        <v>1</v>
      </c>
      <c r="K4235" s="150" t="str">
        <f>IF(Proc[[#This Row],[Author]]="Marcela Urrego",VLOOKUP(LEFT(Proc[[#This Row],[Requested]],1),Table3[#All],2,0),VLOOKUP(Proc[[#This Row],[Author]],Table4[],2,0))</f>
        <v>HC</v>
      </c>
      <c r="L4235" s="150" t="s">
        <v>4894</v>
      </c>
      <c r="M4235" s="151">
        <v>45924</v>
      </c>
      <c r="N4235" s="151"/>
      <c r="O4235" s="151"/>
      <c r="P4235" s="152" t="str">
        <f ca="1">IF(Proc[[#This Row],[DaysAgeing]]&gt;5,"yep","on track")</f>
        <v>yep</v>
      </c>
      <c r="Q4235" s="3">
        <f ca="1">IF(Proc[[#This Row],[DateClosed]]="",ABS(NETWORKDAYS(Proc[[#This Row],[DateOpened]],TODAY()))-1,ABS(NETWORKDAYS(Proc[[#This Row],[DateOpened]],Proc[[#This Row],[DateClosed]]))-1)</f>
        <v>62</v>
      </c>
      <c r="R4235" s="152" t="s">
        <v>410</v>
      </c>
      <c r="S4235" s="150"/>
    </row>
    <row r="4236" spans="1:19" hidden="1">
      <c r="A4236" s="149" t="s">
        <v>6402</v>
      </c>
      <c r="B4236" s="150" t="str">
        <f>IFERROR(VLOOKUP(Proc[[#This Row],[App]],Table2[],3,0),"open")</f>
        <v>ok</v>
      </c>
      <c r="C4236" s="149" t="s">
        <v>369</v>
      </c>
      <c r="D4236" t="s">
        <v>6368</v>
      </c>
      <c r="E4236" t="s">
        <v>6404</v>
      </c>
      <c r="F4236" s="150" t="s">
        <v>6404</v>
      </c>
      <c r="G4236" s="149" t="s">
        <v>406</v>
      </c>
      <c r="H4236" s="150" t="str">
        <f>IF(Proc[[#This Row],[type]]="LFF (MDG-F)",MID(Proc[[#This Row],[Obj]],13,10),"")</f>
        <v>CN90GCA012</v>
      </c>
      <c r="J4236" s="150" t="b">
        <f>Proc[[#This Row],[Requested]]=Proc[[#This Row],[CurrentParent]]</f>
        <v>1</v>
      </c>
      <c r="K4236" s="150" t="str">
        <f>IF(Proc[[#This Row],[Author]]="Marcela Urrego",VLOOKUP(LEFT(Proc[[#This Row],[Requested]],1),Table3[#All],2,0),VLOOKUP(Proc[[#This Row],[Author]],Table4[],2,0))</f>
        <v>HC</v>
      </c>
      <c r="L4236" s="150" t="s">
        <v>4894</v>
      </c>
      <c r="M4236" s="151">
        <v>45924</v>
      </c>
      <c r="N4236" s="151"/>
      <c r="O4236" s="151"/>
      <c r="P4236" s="152" t="str">
        <f ca="1">IF(Proc[[#This Row],[DaysAgeing]]&gt;5,"yep","on track")</f>
        <v>yep</v>
      </c>
      <c r="Q4236" s="3">
        <f ca="1">IF(Proc[[#This Row],[DateClosed]]="",ABS(NETWORKDAYS(Proc[[#This Row],[DateOpened]],TODAY()))-1,ABS(NETWORKDAYS(Proc[[#This Row],[DateOpened]],Proc[[#This Row],[DateClosed]]))-1)</f>
        <v>62</v>
      </c>
      <c r="R4236" s="152" t="s">
        <v>410</v>
      </c>
      <c r="S4236" s="150"/>
    </row>
    <row r="4237" spans="1:19" hidden="1">
      <c r="A4237" s="149" t="s">
        <v>6402</v>
      </c>
      <c r="B4237" s="150" t="str">
        <f>IFERROR(VLOOKUP(Proc[[#This Row],[App]],Table2[],3,0),"open")</f>
        <v>ok</v>
      </c>
      <c r="C4237" s="149" t="s">
        <v>369</v>
      </c>
      <c r="D4237" t="s">
        <v>6369</v>
      </c>
      <c r="E4237" t="s">
        <v>6404</v>
      </c>
      <c r="F4237" s="150" t="s">
        <v>6404</v>
      </c>
      <c r="G4237" s="149" t="s">
        <v>406</v>
      </c>
      <c r="H4237" s="150" t="str">
        <f>IF(Proc[[#This Row],[type]]="LFF (MDG-F)",MID(Proc[[#This Row],[Obj]],13,10),"")</f>
        <v>CN90GCA022</v>
      </c>
      <c r="J4237" s="150" t="b">
        <f>Proc[[#This Row],[Requested]]=Proc[[#This Row],[CurrentParent]]</f>
        <v>1</v>
      </c>
      <c r="K4237" s="150" t="str">
        <f>IF(Proc[[#This Row],[Author]]="Marcela Urrego",VLOOKUP(LEFT(Proc[[#This Row],[Requested]],1),Table3[#All],2,0),VLOOKUP(Proc[[#This Row],[Author]],Table4[],2,0))</f>
        <v>HC</v>
      </c>
      <c r="L4237" s="150" t="s">
        <v>4894</v>
      </c>
      <c r="M4237" s="151">
        <v>45924</v>
      </c>
      <c r="N4237" s="151"/>
      <c r="O4237" s="151"/>
      <c r="P4237" s="152" t="str">
        <f ca="1">IF(Proc[[#This Row],[DaysAgeing]]&gt;5,"yep","on track")</f>
        <v>yep</v>
      </c>
      <c r="Q4237" s="3">
        <f ca="1">IF(Proc[[#This Row],[DateClosed]]="",ABS(NETWORKDAYS(Proc[[#This Row],[DateOpened]],TODAY()))-1,ABS(NETWORKDAYS(Proc[[#This Row],[DateOpened]],Proc[[#This Row],[DateClosed]]))-1)</f>
        <v>62</v>
      </c>
      <c r="R4237" s="152" t="s">
        <v>410</v>
      </c>
      <c r="S4237" s="150"/>
    </row>
    <row r="4238" spans="1:19" hidden="1">
      <c r="A4238" s="149" t="s">
        <v>6402</v>
      </c>
      <c r="B4238" s="150" t="str">
        <f>IFERROR(VLOOKUP(Proc[[#This Row],[App]],Table2[],3,0),"open")</f>
        <v>ok</v>
      </c>
      <c r="C4238" s="149" t="s">
        <v>369</v>
      </c>
      <c r="D4238" t="s">
        <v>6370</v>
      </c>
      <c r="E4238" t="s">
        <v>6404</v>
      </c>
      <c r="F4238" s="150" t="s">
        <v>6404</v>
      </c>
      <c r="G4238" s="149" t="s">
        <v>406</v>
      </c>
      <c r="H4238" s="150" t="str">
        <f>IF(Proc[[#This Row],[type]]="LFF (MDG-F)",MID(Proc[[#This Row],[Obj]],13,10),"")</f>
        <v>CN90GCA032</v>
      </c>
      <c r="J4238" s="150" t="b">
        <f>Proc[[#This Row],[Requested]]=Proc[[#This Row],[CurrentParent]]</f>
        <v>1</v>
      </c>
      <c r="K4238" s="150" t="str">
        <f>IF(Proc[[#This Row],[Author]]="Marcela Urrego",VLOOKUP(LEFT(Proc[[#This Row],[Requested]],1),Table3[#All],2,0),VLOOKUP(Proc[[#This Row],[Author]],Table4[],2,0))</f>
        <v>HC</v>
      </c>
      <c r="L4238" s="150" t="s">
        <v>4894</v>
      </c>
      <c r="M4238" s="151">
        <v>45924</v>
      </c>
      <c r="N4238" s="151"/>
      <c r="O4238" s="151"/>
      <c r="P4238" s="152" t="str">
        <f ca="1">IF(Proc[[#This Row],[DaysAgeing]]&gt;5,"yep","on track")</f>
        <v>yep</v>
      </c>
      <c r="Q4238" s="3">
        <f ca="1">IF(Proc[[#This Row],[DateClosed]]="",ABS(NETWORKDAYS(Proc[[#This Row],[DateOpened]],TODAY()))-1,ABS(NETWORKDAYS(Proc[[#This Row],[DateOpened]],Proc[[#This Row],[DateClosed]]))-1)</f>
        <v>62</v>
      </c>
      <c r="R4238" s="152" t="s">
        <v>410</v>
      </c>
      <c r="S4238" s="150"/>
    </row>
    <row r="4239" spans="1:19" hidden="1">
      <c r="A4239" s="149" t="s">
        <v>6402</v>
      </c>
      <c r="B4239" s="150" t="str">
        <f>IFERROR(VLOOKUP(Proc[[#This Row],[App]],Table2[],3,0),"open")</f>
        <v>ok</v>
      </c>
      <c r="C4239" s="149" t="s">
        <v>369</v>
      </c>
      <c r="D4239" t="s">
        <v>6371</v>
      </c>
      <c r="E4239" t="s">
        <v>6403</v>
      </c>
      <c r="F4239" s="150" t="s">
        <v>6403</v>
      </c>
      <c r="G4239" s="149" t="s">
        <v>406</v>
      </c>
      <c r="H4239" s="150" t="str">
        <f>IF(Proc[[#This Row],[type]]="LFF (MDG-F)",MID(Proc[[#This Row],[Obj]],13,10),"")</f>
        <v>DE10694000</v>
      </c>
      <c r="J4239" s="150" t="b">
        <f>Proc[[#This Row],[Requested]]=Proc[[#This Row],[CurrentParent]]</f>
        <v>1</v>
      </c>
      <c r="K4239" s="150" t="str">
        <f>IF(Proc[[#This Row],[Author]]="Marcela Urrego",VLOOKUP(LEFT(Proc[[#This Row],[Requested]],1),Table3[#All],2,0),VLOOKUP(Proc[[#This Row],[Author]],Table4[],2,0))</f>
        <v>HC</v>
      </c>
      <c r="L4239" s="150" t="s">
        <v>4894</v>
      </c>
      <c r="M4239" s="151">
        <v>45924</v>
      </c>
      <c r="N4239" s="151"/>
      <c r="O4239" s="151"/>
      <c r="P4239" s="152" t="str">
        <f ca="1">IF(Proc[[#This Row],[DaysAgeing]]&gt;5,"yep","on track")</f>
        <v>yep</v>
      </c>
      <c r="Q4239" s="3">
        <f ca="1">IF(Proc[[#This Row],[DateClosed]]="",ABS(NETWORKDAYS(Proc[[#This Row],[DateOpened]],TODAY()))-1,ABS(NETWORKDAYS(Proc[[#This Row],[DateOpened]],Proc[[#This Row],[DateClosed]]))-1)</f>
        <v>62</v>
      </c>
      <c r="R4239" s="152" t="s">
        <v>410</v>
      </c>
      <c r="S4239" s="150"/>
    </row>
    <row r="4240" spans="1:19" hidden="1">
      <c r="A4240" s="149" t="s">
        <v>6402</v>
      </c>
      <c r="B4240" s="150" t="str">
        <f>IFERROR(VLOOKUP(Proc[[#This Row],[App]],Table2[],3,0),"open")</f>
        <v>ok</v>
      </c>
      <c r="C4240" s="149" t="s">
        <v>369</v>
      </c>
      <c r="D4240" t="s">
        <v>6372</v>
      </c>
      <c r="E4240" t="s">
        <v>6403</v>
      </c>
      <c r="F4240" s="150" t="s">
        <v>6403</v>
      </c>
      <c r="G4240" s="149" t="s">
        <v>406</v>
      </c>
      <c r="H4240" s="150" t="str">
        <f>IF(Proc[[#This Row],[type]]="LFF (MDG-F)",MID(Proc[[#This Row],[Obj]],13,10),"")</f>
        <v>DE50C00011</v>
      </c>
      <c r="J4240" s="150" t="b">
        <f>Proc[[#This Row],[Requested]]=Proc[[#This Row],[CurrentParent]]</f>
        <v>1</v>
      </c>
      <c r="K4240" s="150" t="str">
        <f>IF(Proc[[#This Row],[Author]]="Marcela Urrego",VLOOKUP(LEFT(Proc[[#This Row],[Requested]],1),Table3[#All],2,0),VLOOKUP(Proc[[#This Row],[Author]],Table4[],2,0))</f>
        <v>HC</v>
      </c>
      <c r="L4240" s="150" t="s">
        <v>4894</v>
      </c>
      <c r="M4240" s="151">
        <v>45924</v>
      </c>
      <c r="N4240" s="151"/>
      <c r="O4240" s="151"/>
      <c r="P4240" s="152" t="str">
        <f ca="1">IF(Proc[[#This Row],[DaysAgeing]]&gt;5,"yep","on track")</f>
        <v>yep</v>
      </c>
      <c r="Q4240" s="3">
        <f ca="1">IF(Proc[[#This Row],[DateClosed]]="",ABS(NETWORKDAYS(Proc[[#This Row],[DateOpened]],TODAY()))-1,ABS(NETWORKDAYS(Proc[[#This Row],[DateOpened]],Proc[[#This Row],[DateClosed]]))-1)</f>
        <v>62</v>
      </c>
      <c r="R4240" s="152" t="s">
        <v>410</v>
      </c>
      <c r="S4240" s="150"/>
    </row>
    <row r="4241" spans="1:19" hidden="1">
      <c r="A4241" s="149" t="s">
        <v>6402</v>
      </c>
      <c r="B4241" s="150" t="str">
        <f>IFERROR(VLOOKUP(Proc[[#This Row],[App]],Table2[],3,0),"open")</f>
        <v>ok</v>
      </c>
      <c r="C4241" s="149" t="s">
        <v>369</v>
      </c>
      <c r="D4241" t="s">
        <v>6373</v>
      </c>
      <c r="E4241" t="s">
        <v>6403</v>
      </c>
      <c r="F4241" s="150" t="s">
        <v>6403</v>
      </c>
      <c r="G4241" s="149" t="s">
        <v>406</v>
      </c>
      <c r="H4241" s="150" t="str">
        <f>IF(Proc[[#This Row],[type]]="LFF (MDG-F)",MID(Proc[[#This Row],[Obj]],13,10),"")</f>
        <v>DE50C06595</v>
      </c>
      <c r="J4241" s="150" t="b">
        <f>Proc[[#This Row],[Requested]]=Proc[[#This Row],[CurrentParent]]</f>
        <v>1</v>
      </c>
      <c r="K4241" s="150" t="str">
        <f>IF(Proc[[#This Row],[Author]]="Marcela Urrego",VLOOKUP(LEFT(Proc[[#This Row],[Requested]],1),Table3[#All],2,0),VLOOKUP(Proc[[#This Row],[Author]],Table4[],2,0))</f>
        <v>HC</v>
      </c>
      <c r="L4241" s="150" t="s">
        <v>4894</v>
      </c>
      <c r="M4241" s="151">
        <v>45924</v>
      </c>
      <c r="N4241" s="151"/>
      <c r="O4241" s="151"/>
      <c r="P4241" s="152" t="str">
        <f ca="1">IF(Proc[[#This Row],[DaysAgeing]]&gt;5,"yep","on track")</f>
        <v>yep</v>
      </c>
      <c r="Q4241" s="3">
        <f ca="1">IF(Proc[[#This Row],[DateClosed]]="",ABS(NETWORKDAYS(Proc[[#This Row],[DateOpened]],TODAY()))-1,ABS(NETWORKDAYS(Proc[[#This Row],[DateOpened]],Proc[[#This Row],[DateClosed]]))-1)</f>
        <v>62</v>
      </c>
      <c r="R4241" s="152" t="s">
        <v>410</v>
      </c>
      <c r="S4241" s="150"/>
    </row>
    <row r="4242" spans="1:19" hidden="1">
      <c r="A4242" s="149" t="s">
        <v>6402</v>
      </c>
      <c r="B4242" s="150" t="str">
        <f>IFERROR(VLOOKUP(Proc[[#This Row],[App]],Table2[],3,0),"open")</f>
        <v>ok</v>
      </c>
      <c r="C4242" s="149" t="s">
        <v>369</v>
      </c>
      <c r="D4242" t="s">
        <v>6374</v>
      </c>
      <c r="E4242" t="s">
        <v>6403</v>
      </c>
      <c r="F4242" s="150" t="s">
        <v>6403</v>
      </c>
      <c r="G4242" s="149" t="s">
        <v>406</v>
      </c>
      <c r="H4242" s="150" t="str">
        <f>IF(Proc[[#This Row],[type]]="LFF (MDG-F)",MID(Proc[[#This Row],[Obj]],13,10),"")</f>
        <v>DE50C06886</v>
      </c>
      <c r="J4242" s="150" t="b">
        <f>Proc[[#This Row],[Requested]]=Proc[[#This Row],[CurrentParent]]</f>
        <v>1</v>
      </c>
      <c r="K4242" s="150" t="str">
        <f>IF(Proc[[#This Row],[Author]]="Marcela Urrego",VLOOKUP(LEFT(Proc[[#This Row],[Requested]],1),Table3[#All],2,0),VLOOKUP(Proc[[#This Row],[Author]],Table4[],2,0))</f>
        <v>HC</v>
      </c>
      <c r="L4242" s="150" t="s">
        <v>4894</v>
      </c>
      <c r="M4242" s="151">
        <v>45924</v>
      </c>
      <c r="N4242" s="151"/>
      <c r="O4242" s="151"/>
      <c r="P4242" s="152" t="str">
        <f ca="1">IF(Proc[[#This Row],[DaysAgeing]]&gt;5,"yep","on track")</f>
        <v>yep</v>
      </c>
      <c r="Q4242" s="3">
        <f ca="1">IF(Proc[[#This Row],[DateClosed]]="",ABS(NETWORKDAYS(Proc[[#This Row],[DateOpened]],TODAY()))-1,ABS(NETWORKDAYS(Proc[[#This Row],[DateOpened]],Proc[[#This Row],[DateClosed]]))-1)</f>
        <v>62</v>
      </c>
      <c r="R4242" s="152" t="s">
        <v>410</v>
      </c>
      <c r="S4242" s="150"/>
    </row>
    <row r="4243" spans="1:19" hidden="1">
      <c r="A4243" s="149" t="s">
        <v>6402</v>
      </c>
      <c r="B4243" s="150" t="str">
        <f>IFERROR(VLOOKUP(Proc[[#This Row],[App]],Table2[],3,0),"open")</f>
        <v>ok</v>
      </c>
      <c r="C4243" s="149" t="s">
        <v>369</v>
      </c>
      <c r="D4243" t="s">
        <v>6375</v>
      </c>
      <c r="E4243" t="s">
        <v>6403</v>
      </c>
      <c r="F4243" s="150" t="s">
        <v>6403</v>
      </c>
      <c r="G4243" s="149" t="s">
        <v>406</v>
      </c>
      <c r="H4243" s="150" t="str">
        <f>IF(Proc[[#This Row],[type]]="LFF (MDG-F)",MID(Proc[[#This Row],[Obj]],13,10),"")</f>
        <v>ES50L40182</v>
      </c>
      <c r="J4243" s="150" t="b">
        <f>Proc[[#This Row],[Requested]]=Proc[[#This Row],[CurrentParent]]</f>
        <v>1</v>
      </c>
      <c r="K4243" s="150" t="str">
        <f>IF(Proc[[#This Row],[Author]]="Marcela Urrego",VLOOKUP(LEFT(Proc[[#This Row],[Requested]],1),Table3[#All],2,0),VLOOKUP(Proc[[#This Row],[Author]],Table4[],2,0))</f>
        <v>HC</v>
      </c>
      <c r="L4243" s="150" t="s">
        <v>4894</v>
      </c>
      <c r="M4243" s="151">
        <v>45924</v>
      </c>
      <c r="N4243" s="151"/>
      <c r="O4243" s="151"/>
      <c r="P4243" s="152" t="str">
        <f ca="1">IF(Proc[[#This Row],[DaysAgeing]]&gt;5,"yep","on track")</f>
        <v>yep</v>
      </c>
      <c r="Q4243" s="3">
        <f ca="1">IF(Proc[[#This Row],[DateClosed]]="",ABS(NETWORKDAYS(Proc[[#This Row],[DateOpened]],TODAY()))-1,ABS(NETWORKDAYS(Proc[[#This Row],[DateOpened]],Proc[[#This Row],[DateClosed]]))-1)</f>
        <v>62</v>
      </c>
      <c r="R4243" s="152" t="s">
        <v>410</v>
      </c>
      <c r="S4243" s="150"/>
    </row>
    <row r="4244" spans="1:19" hidden="1">
      <c r="A4244" s="149" t="s">
        <v>6402</v>
      </c>
      <c r="B4244" s="150" t="str">
        <f>IFERROR(VLOOKUP(Proc[[#This Row],[App]],Table2[],3,0),"open")</f>
        <v>ok</v>
      </c>
      <c r="C4244" s="149" t="s">
        <v>369</v>
      </c>
      <c r="D4244" t="s">
        <v>6376</v>
      </c>
      <c r="E4244" t="s">
        <v>6404</v>
      </c>
      <c r="F4244" s="150" t="s">
        <v>6404</v>
      </c>
      <c r="G4244" s="149" t="s">
        <v>406</v>
      </c>
      <c r="H4244" s="150" t="str">
        <f>IF(Proc[[#This Row],[type]]="LFF (MDG-F)",MID(Proc[[#This Row],[Obj]],13,10),"")</f>
        <v>VN50C00024</v>
      </c>
      <c r="J4244" s="150" t="b">
        <f>Proc[[#This Row],[Requested]]=Proc[[#This Row],[CurrentParent]]</f>
        <v>1</v>
      </c>
      <c r="K4244" s="150" t="str">
        <f>IF(Proc[[#This Row],[Author]]="Marcela Urrego",VLOOKUP(LEFT(Proc[[#This Row],[Requested]],1),Table3[#All],2,0),VLOOKUP(Proc[[#This Row],[Author]],Table4[],2,0))</f>
        <v>HC</v>
      </c>
      <c r="L4244" s="150" t="s">
        <v>4894</v>
      </c>
      <c r="M4244" s="151">
        <v>45924</v>
      </c>
      <c r="N4244" s="151"/>
      <c r="O4244" s="151"/>
      <c r="P4244" s="152" t="str">
        <f ca="1">IF(Proc[[#This Row],[DaysAgeing]]&gt;5,"yep","on track")</f>
        <v>yep</v>
      </c>
      <c r="Q4244" s="3">
        <f ca="1">IF(Proc[[#This Row],[DateClosed]]="",ABS(NETWORKDAYS(Proc[[#This Row],[DateOpened]],TODAY()))-1,ABS(NETWORKDAYS(Proc[[#This Row],[DateOpened]],Proc[[#This Row],[DateClosed]]))-1)</f>
        <v>62</v>
      </c>
      <c r="R4244" s="152" t="s">
        <v>410</v>
      </c>
      <c r="S4244" s="150"/>
    </row>
    <row r="4245" spans="1:19" hidden="1">
      <c r="A4245" s="149" t="s">
        <v>6402</v>
      </c>
      <c r="B4245" s="150" t="str">
        <f>IFERROR(VLOOKUP(Proc[[#This Row],[App]],Table2[],3,0),"open")</f>
        <v>ok</v>
      </c>
      <c r="C4245" s="149" t="s">
        <v>369</v>
      </c>
      <c r="D4245" t="s">
        <v>6377</v>
      </c>
      <c r="E4245" t="s">
        <v>6404</v>
      </c>
      <c r="F4245" s="150" t="s">
        <v>6404</v>
      </c>
      <c r="G4245" t="s">
        <v>400</v>
      </c>
      <c r="H4245" s="150" t="str">
        <f>IF(Proc[[#This Row],[type]]="LFF (MDG-F)",MID(Proc[[#This Row],[Obj]],13,10),"")</f>
        <v/>
      </c>
      <c r="J4245" s="150" t="b">
        <f>Proc[[#This Row],[Requested]]=Proc[[#This Row],[CurrentParent]]</f>
        <v>1</v>
      </c>
      <c r="K4245" s="150" t="str">
        <f>IF(Proc[[#This Row],[Author]]="Marcela Urrego",VLOOKUP(LEFT(Proc[[#This Row],[Requested]],1),Table3[#All],2,0),VLOOKUP(Proc[[#This Row],[Author]],Table4[],2,0))</f>
        <v>HC</v>
      </c>
      <c r="L4245" s="150" t="s">
        <v>4894</v>
      </c>
      <c r="M4245" s="151">
        <v>45924</v>
      </c>
      <c r="N4245" s="151"/>
      <c r="O4245" s="151"/>
      <c r="P4245" s="152" t="str">
        <f ca="1">IF(Proc[[#This Row],[DaysAgeing]]&gt;5,"yep","on track")</f>
        <v>yep</v>
      </c>
      <c r="Q4245" s="3">
        <f ca="1">IF(Proc[[#This Row],[DateClosed]]="",ABS(NETWORKDAYS(Proc[[#This Row],[DateOpened]],TODAY()))-1,ABS(NETWORKDAYS(Proc[[#This Row],[DateOpened]],Proc[[#This Row],[DateClosed]]))-1)</f>
        <v>62</v>
      </c>
      <c r="R4245" s="152" t="s">
        <v>410</v>
      </c>
      <c r="S4245" s="150"/>
    </row>
    <row r="4246" spans="1:19" hidden="1">
      <c r="A4246" s="149" t="s">
        <v>6402</v>
      </c>
      <c r="B4246" s="150" t="str">
        <f>IFERROR(VLOOKUP(Proc[[#This Row],[App]],Table2[],3,0),"open")</f>
        <v>ok</v>
      </c>
      <c r="C4246" s="149" t="s">
        <v>369</v>
      </c>
      <c r="D4246" t="s">
        <v>6378</v>
      </c>
      <c r="E4246" t="s">
        <v>6404</v>
      </c>
      <c r="F4246" s="150" t="s">
        <v>6404</v>
      </c>
      <c r="G4246" s="149" t="s">
        <v>400</v>
      </c>
      <c r="H4246" s="150" t="str">
        <f>IF(Proc[[#This Row],[type]]="LFF (MDG-F)",MID(Proc[[#This Row],[Obj]],13,10),"")</f>
        <v/>
      </c>
      <c r="J4246" s="150" t="b">
        <f>Proc[[#This Row],[Requested]]=Proc[[#This Row],[CurrentParent]]</f>
        <v>1</v>
      </c>
      <c r="K4246" s="150" t="str">
        <f>IF(Proc[[#This Row],[Author]]="Marcela Urrego",VLOOKUP(LEFT(Proc[[#This Row],[Requested]],1),Table3[#All],2,0),VLOOKUP(Proc[[#This Row],[Author]],Table4[],2,0))</f>
        <v>HC</v>
      </c>
      <c r="L4246" s="150" t="s">
        <v>4894</v>
      </c>
      <c r="M4246" s="151">
        <v>45924</v>
      </c>
      <c r="N4246" s="151"/>
      <c r="O4246" s="151"/>
      <c r="P4246" s="152" t="str">
        <f ca="1">IF(Proc[[#This Row],[DaysAgeing]]&gt;5,"yep","on track")</f>
        <v>yep</v>
      </c>
      <c r="Q4246" s="3">
        <f ca="1">IF(Proc[[#This Row],[DateClosed]]="",ABS(NETWORKDAYS(Proc[[#This Row],[DateOpened]],TODAY()))-1,ABS(NETWORKDAYS(Proc[[#This Row],[DateOpened]],Proc[[#This Row],[DateClosed]]))-1)</f>
        <v>62</v>
      </c>
      <c r="R4246" s="152" t="s">
        <v>410</v>
      </c>
      <c r="S4246" s="150"/>
    </row>
    <row r="4247" spans="1:19" hidden="1">
      <c r="A4247" s="149" t="s">
        <v>6402</v>
      </c>
      <c r="B4247" s="150" t="str">
        <f>IFERROR(VLOOKUP(Proc[[#This Row],[App]],Table2[],3,0),"open")</f>
        <v>ok</v>
      </c>
      <c r="C4247" s="149" t="s">
        <v>369</v>
      </c>
      <c r="D4247" t="s">
        <v>6379</v>
      </c>
      <c r="E4247" t="s">
        <v>6404</v>
      </c>
      <c r="F4247" s="150" t="s">
        <v>6404</v>
      </c>
      <c r="G4247" s="149" t="s">
        <v>400</v>
      </c>
      <c r="H4247" s="150" t="str">
        <f>IF(Proc[[#This Row],[type]]="LFF (MDG-F)",MID(Proc[[#This Row],[Obj]],13,10),"")</f>
        <v/>
      </c>
      <c r="J4247" s="150" t="b">
        <f>Proc[[#This Row],[Requested]]=Proc[[#This Row],[CurrentParent]]</f>
        <v>1</v>
      </c>
      <c r="K4247" s="150" t="str">
        <f>IF(Proc[[#This Row],[Author]]="Marcela Urrego",VLOOKUP(LEFT(Proc[[#This Row],[Requested]],1),Table3[#All],2,0),VLOOKUP(Proc[[#This Row],[Author]],Table4[],2,0))</f>
        <v>HC</v>
      </c>
      <c r="L4247" s="150" t="s">
        <v>4894</v>
      </c>
      <c r="M4247" s="151">
        <v>45924</v>
      </c>
      <c r="N4247" s="151"/>
      <c r="O4247" s="151"/>
      <c r="P4247" s="152" t="str">
        <f ca="1">IF(Proc[[#This Row],[DaysAgeing]]&gt;5,"yep","on track")</f>
        <v>yep</v>
      </c>
      <c r="Q4247" s="3">
        <f ca="1">IF(Proc[[#This Row],[DateClosed]]="",ABS(NETWORKDAYS(Proc[[#This Row],[DateOpened]],TODAY()))-1,ABS(NETWORKDAYS(Proc[[#This Row],[DateOpened]],Proc[[#This Row],[DateClosed]]))-1)</f>
        <v>62</v>
      </c>
      <c r="R4247" s="152" t="s">
        <v>410</v>
      </c>
      <c r="S4247" s="150"/>
    </row>
    <row r="4248" spans="1:19" hidden="1">
      <c r="A4248" s="149" t="s">
        <v>6402</v>
      </c>
      <c r="B4248" s="150" t="str">
        <f>IFERROR(VLOOKUP(Proc[[#This Row],[App]],Table2[],3,0),"open")</f>
        <v>ok</v>
      </c>
      <c r="C4248" s="149" t="s">
        <v>369</v>
      </c>
      <c r="D4248" t="s">
        <v>6380</v>
      </c>
      <c r="E4248" t="s">
        <v>6403</v>
      </c>
      <c r="F4248" s="150" t="s">
        <v>6403</v>
      </c>
      <c r="G4248" s="149" t="s">
        <v>400</v>
      </c>
      <c r="H4248" s="150" t="str">
        <f>IF(Proc[[#This Row],[type]]="LFF (MDG-F)",MID(Proc[[#This Row],[Obj]],13,10),"")</f>
        <v/>
      </c>
      <c r="J4248" s="150" t="b">
        <f>Proc[[#This Row],[Requested]]=Proc[[#This Row],[CurrentParent]]</f>
        <v>1</v>
      </c>
      <c r="K4248" s="150" t="str">
        <f>IF(Proc[[#This Row],[Author]]="Marcela Urrego",VLOOKUP(LEFT(Proc[[#This Row],[Requested]],1),Table3[#All],2,0),VLOOKUP(Proc[[#This Row],[Author]],Table4[],2,0))</f>
        <v>HC</v>
      </c>
      <c r="L4248" s="150" t="s">
        <v>4894</v>
      </c>
      <c r="M4248" s="151">
        <v>45924</v>
      </c>
      <c r="N4248" s="151"/>
      <c r="O4248" s="151"/>
      <c r="P4248" s="152" t="str">
        <f ca="1">IF(Proc[[#This Row],[DaysAgeing]]&gt;5,"yep","on track")</f>
        <v>yep</v>
      </c>
      <c r="Q4248" s="3">
        <f ca="1">IF(Proc[[#This Row],[DateClosed]]="",ABS(NETWORKDAYS(Proc[[#This Row],[DateOpened]],TODAY()))-1,ABS(NETWORKDAYS(Proc[[#This Row],[DateOpened]],Proc[[#This Row],[DateClosed]]))-1)</f>
        <v>62</v>
      </c>
      <c r="R4248" s="152" t="s">
        <v>410</v>
      </c>
      <c r="S4248" s="150"/>
    </row>
    <row r="4249" spans="1:19" hidden="1">
      <c r="A4249" s="149" t="s">
        <v>6402</v>
      </c>
      <c r="B4249" s="150" t="str">
        <f>IFERROR(VLOOKUP(Proc[[#This Row],[App]],Table2[],3,0),"open")</f>
        <v>ok</v>
      </c>
      <c r="C4249" s="149" t="s">
        <v>369</v>
      </c>
      <c r="D4249" t="s">
        <v>6381</v>
      </c>
      <c r="E4249" t="s">
        <v>6403</v>
      </c>
      <c r="F4249" s="150" t="s">
        <v>6403</v>
      </c>
      <c r="G4249" s="149" t="s">
        <v>400</v>
      </c>
      <c r="H4249" s="150" t="str">
        <f>IF(Proc[[#This Row],[type]]="LFF (MDG-F)",MID(Proc[[#This Row],[Obj]],13,10),"")</f>
        <v/>
      </c>
      <c r="J4249" s="150" t="b">
        <f>Proc[[#This Row],[Requested]]=Proc[[#This Row],[CurrentParent]]</f>
        <v>1</v>
      </c>
      <c r="K4249" s="150" t="str">
        <f>IF(Proc[[#This Row],[Author]]="Marcela Urrego",VLOOKUP(LEFT(Proc[[#This Row],[Requested]],1),Table3[#All],2,0),VLOOKUP(Proc[[#This Row],[Author]],Table4[],2,0))</f>
        <v>HC</v>
      </c>
      <c r="L4249" s="150" t="s">
        <v>4894</v>
      </c>
      <c r="M4249" s="151">
        <v>45924</v>
      </c>
      <c r="N4249" s="151"/>
      <c r="O4249" s="151"/>
      <c r="P4249" s="152" t="str">
        <f ca="1">IF(Proc[[#This Row],[DaysAgeing]]&gt;5,"yep","on track")</f>
        <v>yep</v>
      </c>
      <c r="Q4249" s="3">
        <f ca="1">IF(Proc[[#This Row],[DateClosed]]="",ABS(NETWORKDAYS(Proc[[#This Row],[DateOpened]],TODAY()))-1,ABS(NETWORKDAYS(Proc[[#This Row],[DateOpened]],Proc[[#This Row],[DateClosed]]))-1)</f>
        <v>62</v>
      </c>
      <c r="R4249" s="152" t="s">
        <v>410</v>
      </c>
      <c r="S4249" s="150"/>
    </row>
    <row r="4250" spans="1:19" hidden="1">
      <c r="A4250" s="149" t="s">
        <v>6402</v>
      </c>
      <c r="B4250" s="150" t="str">
        <f>IFERROR(VLOOKUP(Proc[[#This Row],[App]],Table2[],3,0),"open")</f>
        <v>ok</v>
      </c>
      <c r="C4250" s="149" t="s">
        <v>369</v>
      </c>
      <c r="D4250" t="s">
        <v>6382</v>
      </c>
      <c r="E4250" t="s">
        <v>6403</v>
      </c>
      <c r="F4250" s="150" t="s">
        <v>6403</v>
      </c>
      <c r="G4250" s="149" t="s">
        <v>400</v>
      </c>
      <c r="H4250" s="150" t="str">
        <f>IF(Proc[[#This Row],[type]]="LFF (MDG-F)",MID(Proc[[#This Row],[Obj]],13,10),"")</f>
        <v/>
      </c>
      <c r="J4250" s="150" t="b">
        <f>Proc[[#This Row],[Requested]]=Proc[[#This Row],[CurrentParent]]</f>
        <v>1</v>
      </c>
      <c r="K4250" s="150" t="str">
        <f>IF(Proc[[#This Row],[Author]]="Marcela Urrego",VLOOKUP(LEFT(Proc[[#This Row],[Requested]],1),Table3[#All],2,0),VLOOKUP(Proc[[#This Row],[Author]],Table4[],2,0))</f>
        <v>HC</v>
      </c>
      <c r="L4250" s="150" t="s">
        <v>4894</v>
      </c>
      <c r="M4250" s="151">
        <v>45924</v>
      </c>
      <c r="N4250" s="151"/>
      <c r="O4250" s="151"/>
      <c r="P4250" s="152" t="str">
        <f ca="1">IF(Proc[[#This Row],[DaysAgeing]]&gt;5,"yep","on track")</f>
        <v>yep</v>
      </c>
      <c r="Q4250" s="3">
        <f ca="1">IF(Proc[[#This Row],[DateClosed]]="",ABS(NETWORKDAYS(Proc[[#This Row],[DateOpened]],TODAY()))-1,ABS(NETWORKDAYS(Proc[[#This Row],[DateOpened]],Proc[[#This Row],[DateClosed]]))-1)</f>
        <v>62</v>
      </c>
      <c r="R4250" s="152" t="s">
        <v>410</v>
      </c>
      <c r="S4250" s="150"/>
    </row>
    <row r="4251" spans="1:19" hidden="1">
      <c r="A4251" s="149" t="s">
        <v>6402</v>
      </c>
      <c r="B4251" s="150" t="str">
        <f>IFERROR(VLOOKUP(Proc[[#This Row],[App]],Table2[],3,0),"open")</f>
        <v>ok</v>
      </c>
      <c r="C4251" s="149" t="s">
        <v>369</v>
      </c>
      <c r="D4251" t="s">
        <v>6383</v>
      </c>
      <c r="E4251" t="s">
        <v>6405</v>
      </c>
      <c r="F4251" s="150" t="s">
        <v>6405</v>
      </c>
      <c r="G4251" s="149" t="s">
        <v>400</v>
      </c>
      <c r="H4251" s="150" t="str">
        <f>IF(Proc[[#This Row],[type]]="LFF (MDG-F)",MID(Proc[[#This Row],[Obj]],13,10),"")</f>
        <v/>
      </c>
      <c r="J4251" s="150" t="b">
        <f>Proc[[#This Row],[Requested]]=Proc[[#This Row],[CurrentParent]]</f>
        <v>1</v>
      </c>
      <c r="K4251" s="150" t="str">
        <f>IF(Proc[[#This Row],[Author]]="Marcela Urrego",VLOOKUP(LEFT(Proc[[#This Row],[Requested]],1),Table3[#All],2,0),VLOOKUP(Proc[[#This Row],[Author]],Table4[],2,0))</f>
        <v>HC</v>
      </c>
      <c r="L4251" s="150" t="s">
        <v>4894</v>
      </c>
      <c r="M4251" s="151">
        <v>45924</v>
      </c>
      <c r="N4251" s="151"/>
      <c r="O4251" s="151"/>
      <c r="P4251" s="152" t="str">
        <f ca="1">IF(Proc[[#This Row],[DaysAgeing]]&gt;5,"yep","on track")</f>
        <v>yep</v>
      </c>
      <c r="Q4251" s="3">
        <f ca="1">IF(Proc[[#This Row],[DateClosed]]="",ABS(NETWORKDAYS(Proc[[#This Row],[DateOpened]],TODAY()))-1,ABS(NETWORKDAYS(Proc[[#This Row],[DateOpened]],Proc[[#This Row],[DateClosed]]))-1)</f>
        <v>62</v>
      </c>
      <c r="R4251" s="152" t="s">
        <v>410</v>
      </c>
      <c r="S4251" s="150"/>
    </row>
    <row r="4252" spans="1:19" hidden="1">
      <c r="A4252" s="149" t="s">
        <v>6402</v>
      </c>
      <c r="B4252" s="150" t="str">
        <f>IFERROR(VLOOKUP(Proc[[#This Row],[App]],Table2[],3,0),"open")</f>
        <v>ok</v>
      </c>
      <c r="C4252" s="149" t="s">
        <v>369</v>
      </c>
      <c r="D4252" t="s">
        <v>6384</v>
      </c>
      <c r="E4252" t="s">
        <v>6405</v>
      </c>
      <c r="F4252" s="150" t="s">
        <v>6405</v>
      </c>
      <c r="G4252" s="149" t="s">
        <v>400</v>
      </c>
      <c r="H4252" s="150" t="str">
        <f>IF(Proc[[#This Row],[type]]="LFF (MDG-F)",MID(Proc[[#This Row],[Obj]],13,10),"")</f>
        <v/>
      </c>
      <c r="J4252" s="150" t="b">
        <f>Proc[[#This Row],[Requested]]=Proc[[#This Row],[CurrentParent]]</f>
        <v>1</v>
      </c>
      <c r="K4252" s="150" t="str">
        <f>IF(Proc[[#This Row],[Author]]="Marcela Urrego",VLOOKUP(LEFT(Proc[[#This Row],[Requested]],1),Table3[#All],2,0),VLOOKUP(Proc[[#This Row],[Author]],Table4[],2,0))</f>
        <v>HC</v>
      </c>
      <c r="L4252" s="150" t="s">
        <v>4894</v>
      </c>
      <c r="M4252" s="151">
        <v>45924</v>
      </c>
      <c r="N4252" s="151"/>
      <c r="O4252" s="151"/>
      <c r="P4252" s="152" t="str">
        <f ca="1">IF(Proc[[#This Row],[DaysAgeing]]&gt;5,"yep","on track")</f>
        <v>yep</v>
      </c>
      <c r="Q4252" s="3">
        <f ca="1">IF(Proc[[#This Row],[DateClosed]]="",ABS(NETWORKDAYS(Proc[[#This Row],[DateOpened]],TODAY()))-1,ABS(NETWORKDAYS(Proc[[#This Row],[DateOpened]],Proc[[#This Row],[DateClosed]]))-1)</f>
        <v>62</v>
      </c>
      <c r="R4252" s="152" t="s">
        <v>410</v>
      </c>
      <c r="S4252" s="150"/>
    </row>
    <row r="4253" spans="1:19" hidden="1">
      <c r="A4253" s="149" t="s">
        <v>6402</v>
      </c>
      <c r="B4253" s="150" t="str">
        <f>IFERROR(VLOOKUP(Proc[[#This Row],[App]],Table2[],3,0),"open")</f>
        <v>ok</v>
      </c>
      <c r="C4253" s="149" t="s">
        <v>369</v>
      </c>
      <c r="D4253" t="s">
        <v>6385</v>
      </c>
      <c r="E4253" t="s">
        <v>6405</v>
      </c>
      <c r="F4253" s="150" t="s">
        <v>6405</v>
      </c>
      <c r="G4253" s="149" t="s">
        <v>400</v>
      </c>
      <c r="H4253" s="150" t="str">
        <f>IF(Proc[[#This Row],[type]]="LFF (MDG-F)",MID(Proc[[#This Row],[Obj]],13,10),"")</f>
        <v/>
      </c>
      <c r="J4253" s="150" t="b">
        <f>Proc[[#This Row],[Requested]]=Proc[[#This Row],[CurrentParent]]</f>
        <v>1</v>
      </c>
      <c r="K4253" s="150" t="str">
        <f>IF(Proc[[#This Row],[Author]]="Marcela Urrego",VLOOKUP(LEFT(Proc[[#This Row],[Requested]],1),Table3[#All],2,0),VLOOKUP(Proc[[#This Row],[Author]],Table4[],2,0))</f>
        <v>HC</v>
      </c>
      <c r="L4253" s="150" t="s">
        <v>4894</v>
      </c>
      <c r="M4253" s="151">
        <v>45924</v>
      </c>
      <c r="N4253" s="151"/>
      <c r="O4253" s="151"/>
      <c r="P4253" s="152" t="str">
        <f ca="1">IF(Proc[[#This Row],[DaysAgeing]]&gt;5,"yep","on track")</f>
        <v>yep</v>
      </c>
      <c r="Q4253" s="3">
        <f ca="1">IF(Proc[[#This Row],[DateClosed]]="",ABS(NETWORKDAYS(Proc[[#This Row],[DateOpened]],TODAY()))-1,ABS(NETWORKDAYS(Proc[[#This Row],[DateOpened]],Proc[[#This Row],[DateClosed]]))-1)</f>
        <v>62</v>
      </c>
      <c r="R4253" s="152" t="s">
        <v>410</v>
      </c>
      <c r="S4253" s="150"/>
    </row>
    <row r="4254" spans="1:19" hidden="1">
      <c r="A4254" s="149" t="s">
        <v>6402</v>
      </c>
      <c r="B4254" s="150" t="str">
        <f>IFERROR(VLOOKUP(Proc[[#This Row],[App]],Table2[],3,0),"open")</f>
        <v>ok</v>
      </c>
      <c r="C4254" s="149" t="s">
        <v>369</v>
      </c>
      <c r="D4254" t="s">
        <v>6386</v>
      </c>
      <c r="E4254" t="s">
        <v>6405</v>
      </c>
      <c r="F4254" s="150" t="s">
        <v>6405</v>
      </c>
      <c r="G4254" s="149" t="s">
        <v>400</v>
      </c>
      <c r="H4254" s="150" t="str">
        <f>IF(Proc[[#This Row],[type]]="LFF (MDG-F)",MID(Proc[[#This Row],[Obj]],13,10),"")</f>
        <v/>
      </c>
      <c r="J4254" s="150" t="b">
        <f>Proc[[#This Row],[Requested]]=Proc[[#This Row],[CurrentParent]]</f>
        <v>1</v>
      </c>
      <c r="K4254" s="150" t="str">
        <f>IF(Proc[[#This Row],[Author]]="Marcela Urrego",VLOOKUP(LEFT(Proc[[#This Row],[Requested]],1),Table3[#All],2,0),VLOOKUP(Proc[[#This Row],[Author]],Table4[],2,0))</f>
        <v>HC</v>
      </c>
      <c r="L4254" s="150" t="s">
        <v>4894</v>
      </c>
      <c r="M4254" s="151">
        <v>45924</v>
      </c>
      <c r="N4254" s="151"/>
      <c r="O4254" s="151"/>
      <c r="P4254" s="152" t="str">
        <f ca="1">IF(Proc[[#This Row],[DaysAgeing]]&gt;5,"yep","on track")</f>
        <v>yep</v>
      </c>
      <c r="Q4254" s="3">
        <f ca="1">IF(Proc[[#This Row],[DateClosed]]="",ABS(NETWORKDAYS(Proc[[#This Row],[DateOpened]],TODAY()))-1,ABS(NETWORKDAYS(Proc[[#This Row],[DateOpened]],Proc[[#This Row],[DateClosed]]))-1)</f>
        <v>62</v>
      </c>
      <c r="R4254" s="152" t="s">
        <v>410</v>
      </c>
      <c r="S4254" s="150"/>
    </row>
    <row r="4255" spans="1:19" hidden="1">
      <c r="A4255" s="149" t="s">
        <v>6402</v>
      </c>
      <c r="B4255" s="150" t="str">
        <f>IFERROR(VLOOKUP(Proc[[#This Row],[App]],Table2[],3,0),"open")</f>
        <v>ok</v>
      </c>
      <c r="C4255" s="149" t="s">
        <v>369</v>
      </c>
      <c r="D4255" t="s">
        <v>6387</v>
      </c>
      <c r="E4255" t="s">
        <v>6404</v>
      </c>
      <c r="F4255" s="150" t="s">
        <v>6404</v>
      </c>
      <c r="G4255" s="149" t="s">
        <v>400</v>
      </c>
      <c r="H4255" s="150" t="str">
        <f>IF(Proc[[#This Row],[type]]="LFF (MDG-F)",MID(Proc[[#This Row],[Obj]],13,10),"")</f>
        <v/>
      </c>
      <c r="J4255" s="150" t="b">
        <f>Proc[[#This Row],[Requested]]=Proc[[#This Row],[CurrentParent]]</f>
        <v>1</v>
      </c>
      <c r="K4255" s="150" t="str">
        <f>IF(Proc[[#This Row],[Author]]="Marcela Urrego",VLOOKUP(LEFT(Proc[[#This Row],[Requested]],1),Table3[#All],2,0),VLOOKUP(Proc[[#This Row],[Author]],Table4[],2,0))</f>
        <v>HC</v>
      </c>
      <c r="L4255" s="150" t="s">
        <v>4894</v>
      </c>
      <c r="M4255" s="151">
        <v>45924</v>
      </c>
      <c r="N4255" s="151"/>
      <c r="O4255" s="151"/>
      <c r="P4255" s="152" t="str">
        <f ca="1">IF(Proc[[#This Row],[DaysAgeing]]&gt;5,"yep","on track")</f>
        <v>yep</v>
      </c>
      <c r="Q4255" s="3">
        <f ca="1">IF(Proc[[#This Row],[DateClosed]]="",ABS(NETWORKDAYS(Proc[[#This Row],[DateOpened]],TODAY()))-1,ABS(NETWORKDAYS(Proc[[#This Row],[DateOpened]],Proc[[#This Row],[DateClosed]]))-1)</f>
        <v>62</v>
      </c>
      <c r="R4255" s="152" t="s">
        <v>410</v>
      </c>
      <c r="S4255" s="150"/>
    </row>
    <row r="4256" spans="1:19" hidden="1">
      <c r="A4256" s="149" t="s">
        <v>6402</v>
      </c>
      <c r="B4256" s="150" t="str">
        <f>IFERROR(VLOOKUP(Proc[[#This Row],[App]],Table2[],3,0),"open")</f>
        <v>ok</v>
      </c>
      <c r="C4256" s="149" t="s">
        <v>377</v>
      </c>
      <c r="D4256" t="s">
        <v>6388</v>
      </c>
      <c r="E4256" t="s">
        <v>6404</v>
      </c>
      <c r="F4256" s="150" t="s">
        <v>5494</v>
      </c>
      <c r="G4256" s="149" t="s">
        <v>400</v>
      </c>
      <c r="H4256" s="150" t="str">
        <f>IF(Proc[[#This Row],[type]]="LFF (MDG-F)",MID(Proc[[#This Row],[Obj]],13,10),"")</f>
        <v/>
      </c>
      <c r="J4256" s="150" t="b">
        <f>Proc[[#This Row],[Requested]]=Proc[[#This Row],[CurrentParent]]</f>
        <v>0</v>
      </c>
      <c r="K4256" s="150" t="str">
        <f>IF(Proc[[#This Row],[Author]]="Marcela Urrego",VLOOKUP(LEFT(Proc[[#This Row],[Requested]],1),Table3[#All],2,0),VLOOKUP(Proc[[#This Row],[Author]],Table4[],2,0))</f>
        <v>HC</v>
      </c>
      <c r="L4256" s="150" t="s">
        <v>4894</v>
      </c>
      <c r="M4256" s="151">
        <v>45924</v>
      </c>
      <c r="N4256" s="151"/>
      <c r="O4256" s="151"/>
      <c r="P4256" s="152" t="str">
        <f ca="1">IF(Proc[[#This Row],[DaysAgeing]]&gt;5,"yep","on track")</f>
        <v>yep</v>
      </c>
      <c r="Q4256" s="3">
        <f ca="1">IF(Proc[[#This Row],[DateClosed]]="",ABS(NETWORKDAYS(Proc[[#This Row],[DateOpened]],TODAY()))-1,ABS(NETWORKDAYS(Proc[[#This Row],[DateOpened]],Proc[[#This Row],[DateClosed]]))-1)</f>
        <v>62</v>
      </c>
      <c r="R4256" s="152" t="s">
        <v>410</v>
      </c>
      <c r="S4256" s="150"/>
    </row>
    <row r="4257" spans="1:19" hidden="1">
      <c r="A4257" s="149" t="s">
        <v>6402</v>
      </c>
      <c r="B4257" s="150" t="str">
        <f>IFERROR(VLOOKUP(Proc[[#This Row],[App]],Table2[],3,0),"open")</f>
        <v>ok</v>
      </c>
      <c r="C4257" s="149" t="s">
        <v>369</v>
      </c>
      <c r="D4257" t="s">
        <v>6389</v>
      </c>
      <c r="E4257" t="s">
        <v>6404</v>
      </c>
      <c r="F4257" s="150" t="s">
        <v>6404</v>
      </c>
      <c r="G4257" s="149" t="s">
        <v>400</v>
      </c>
      <c r="H4257" s="150" t="str">
        <f>IF(Proc[[#This Row],[type]]="LFF (MDG-F)",MID(Proc[[#This Row],[Obj]],13,10),"")</f>
        <v/>
      </c>
      <c r="J4257" s="150" t="b">
        <f>Proc[[#This Row],[Requested]]=Proc[[#This Row],[CurrentParent]]</f>
        <v>1</v>
      </c>
      <c r="K4257" s="150" t="str">
        <f>IF(Proc[[#This Row],[Author]]="Marcela Urrego",VLOOKUP(LEFT(Proc[[#This Row],[Requested]],1),Table3[#All],2,0),VLOOKUP(Proc[[#This Row],[Author]],Table4[],2,0))</f>
        <v>HC</v>
      </c>
      <c r="L4257" s="150" t="s">
        <v>4894</v>
      </c>
      <c r="M4257" s="151">
        <v>45924</v>
      </c>
      <c r="N4257" s="151"/>
      <c r="O4257" s="151"/>
      <c r="P4257" s="152" t="str">
        <f ca="1">IF(Proc[[#This Row],[DaysAgeing]]&gt;5,"yep","on track")</f>
        <v>yep</v>
      </c>
      <c r="Q4257" s="3">
        <f ca="1">IF(Proc[[#This Row],[DateClosed]]="",ABS(NETWORKDAYS(Proc[[#This Row],[DateOpened]],TODAY()))-1,ABS(NETWORKDAYS(Proc[[#This Row],[DateOpened]],Proc[[#This Row],[DateClosed]]))-1)</f>
        <v>62</v>
      </c>
      <c r="R4257" s="152" t="s">
        <v>410</v>
      </c>
      <c r="S4257" s="150"/>
    </row>
    <row r="4258" spans="1:19" hidden="1">
      <c r="A4258" s="149" t="s">
        <v>6402</v>
      </c>
      <c r="B4258" s="150" t="str">
        <f>IFERROR(VLOOKUP(Proc[[#This Row],[App]],Table2[],3,0),"open")</f>
        <v>ok</v>
      </c>
      <c r="C4258" s="149" t="s">
        <v>377</v>
      </c>
      <c r="D4258" t="s">
        <v>6390</v>
      </c>
      <c r="E4258" t="s">
        <v>6404</v>
      </c>
      <c r="F4258" s="150" t="s">
        <v>5494</v>
      </c>
      <c r="G4258" s="149" t="s">
        <v>400</v>
      </c>
      <c r="H4258" s="150" t="str">
        <f>IF(Proc[[#This Row],[type]]="LFF (MDG-F)",MID(Proc[[#This Row],[Obj]],13,10),"")</f>
        <v/>
      </c>
      <c r="J4258" s="150" t="b">
        <f>Proc[[#This Row],[Requested]]=Proc[[#This Row],[CurrentParent]]</f>
        <v>0</v>
      </c>
      <c r="K4258" s="150" t="str">
        <f>IF(Proc[[#This Row],[Author]]="Marcela Urrego",VLOOKUP(LEFT(Proc[[#This Row],[Requested]],1),Table3[#All],2,0),VLOOKUP(Proc[[#This Row],[Author]],Table4[],2,0))</f>
        <v>HC</v>
      </c>
      <c r="L4258" s="150" t="s">
        <v>4894</v>
      </c>
      <c r="M4258" s="151">
        <v>45924</v>
      </c>
      <c r="N4258" s="151"/>
      <c r="O4258" s="151"/>
      <c r="P4258" s="152" t="str">
        <f ca="1">IF(Proc[[#This Row],[DaysAgeing]]&gt;5,"yep","on track")</f>
        <v>yep</v>
      </c>
      <c r="Q4258" s="3">
        <f ca="1">IF(Proc[[#This Row],[DateClosed]]="",ABS(NETWORKDAYS(Proc[[#This Row],[DateOpened]],TODAY()))-1,ABS(NETWORKDAYS(Proc[[#This Row],[DateOpened]],Proc[[#This Row],[DateClosed]]))-1)</f>
        <v>62</v>
      </c>
      <c r="R4258" s="152" t="s">
        <v>410</v>
      </c>
      <c r="S4258" s="150"/>
    </row>
    <row r="4259" spans="1:19" hidden="1">
      <c r="A4259" s="149" t="s">
        <v>6402</v>
      </c>
      <c r="B4259" s="150" t="str">
        <f>IFERROR(VLOOKUP(Proc[[#This Row],[App]],Table2[],3,0),"open")</f>
        <v>ok</v>
      </c>
      <c r="C4259" s="149" t="s">
        <v>377</v>
      </c>
      <c r="D4259" t="s">
        <v>6391</v>
      </c>
      <c r="E4259" t="s">
        <v>6404</v>
      </c>
      <c r="F4259" s="150" t="s">
        <v>5494</v>
      </c>
      <c r="G4259" s="149" t="s">
        <v>400</v>
      </c>
      <c r="H4259" s="150" t="str">
        <f>IF(Proc[[#This Row],[type]]="LFF (MDG-F)",MID(Proc[[#This Row],[Obj]],13,10),"")</f>
        <v/>
      </c>
      <c r="J4259" s="150" t="b">
        <f>Proc[[#This Row],[Requested]]=Proc[[#This Row],[CurrentParent]]</f>
        <v>0</v>
      </c>
      <c r="K4259" s="150" t="str">
        <f>IF(Proc[[#This Row],[Author]]="Marcela Urrego",VLOOKUP(LEFT(Proc[[#This Row],[Requested]],1),Table3[#All],2,0),VLOOKUP(Proc[[#This Row],[Author]],Table4[],2,0))</f>
        <v>HC</v>
      </c>
      <c r="L4259" s="150" t="s">
        <v>4894</v>
      </c>
      <c r="M4259" s="151">
        <v>45924</v>
      </c>
      <c r="N4259" s="151"/>
      <c r="O4259" s="151"/>
      <c r="P4259" s="152" t="str">
        <f ca="1">IF(Proc[[#This Row],[DaysAgeing]]&gt;5,"yep","on track")</f>
        <v>yep</v>
      </c>
      <c r="Q4259" s="3">
        <f ca="1">IF(Proc[[#This Row],[DateClosed]]="",ABS(NETWORKDAYS(Proc[[#This Row],[DateOpened]],TODAY()))-1,ABS(NETWORKDAYS(Proc[[#This Row],[DateOpened]],Proc[[#This Row],[DateClosed]]))-1)</f>
        <v>62</v>
      </c>
      <c r="R4259" s="152" t="s">
        <v>410</v>
      </c>
      <c r="S4259" s="150"/>
    </row>
    <row r="4260" spans="1:19" hidden="1">
      <c r="A4260" s="149" t="s">
        <v>6402</v>
      </c>
      <c r="B4260" s="150" t="str">
        <f>IFERROR(VLOOKUP(Proc[[#This Row],[App]],Table2[],3,0),"open")</f>
        <v>ok</v>
      </c>
      <c r="C4260" s="149" t="s">
        <v>369</v>
      </c>
      <c r="D4260" t="s">
        <v>6392</v>
      </c>
      <c r="E4260" t="s">
        <v>6405</v>
      </c>
      <c r="F4260" s="150" t="s">
        <v>6405</v>
      </c>
      <c r="G4260" s="149" t="s">
        <v>400</v>
      </c>
      <c r="H4260" s="150" t="str">
        <f>IF(Proc[[#This Row],[type]]="LFF (MDG-F)",MID(Proc[[#This Row],[Obj]],13,10),"")</f>
        <v/>
      </c>
      <c r="J4260" s="150" t="b">
        <f>Proc[[#This Row],[Requested]]=Proc[[#This Row],[CurrentParent]]</f>
        <v>1</v>
      </c>
      <c r="K4260" s="150" t="str">
        <f>IF(Proc[[#This Row],[Author]]="Marcela Urrego",VLOOKUP(LEFT(Proc[[#This Row],[Requested]],1),Table3[#All],2,0),VLOOKUP(Proc[[#This Row],[Author]],Table4[],2,0))</f>
        <v>HC</v>
      </c>
      <c r="L4260" s="150" t="s">
        <v>4894</v>
      </c>
      <c r="M4260" s="151">
        <v>45924</v>
      </c>
      <c r="N4260" s="151"/>
      <c r="O4260" s="151"/>
      <c r="P4260" s="152" t="str">
        <f ca="1">IF(Proc[[#This Row],[DaysAgeing]]&gt;5,"yep","on track")</f>
        <v>yep</v>
      </c>
      <c r="Q4260" s="3">
        <f ca="1">IF(Proc[[#This Row],[DateClosed]]="",ABS(NETWORKDAYS(Proc[[#This Row],[DateOpened]],TODAY()))-1,ABS(NETWORKDAYS(Proc[[#This Row],[DateOpened]],Proc[[#This Row],[DateClosed]]))-1)</f>
        <v>62</v>
      </c>
      <c r="R4260" s="152" t="s">
        <v>410</v>
      </c>
      <c r="S4260" s="150"/>
    </row>
    <row r="4261" spans="1:19" hidden="1">
      <c r="A4261" s="149" t="s">
        <v>6402</v>
      </c>
      <c r="B4261" s="150" t="str">
        <f>IFERROR(VLOOKUP(Proc[[#This Row],[App]],Table2[],3,0),"open")</f>
        <v>ok</v>
      </c>
      <c r="C4261" s="149" t="s">
        <v>369</v>
      </c>
      <c r="D4261" t="s">
        <v>6393</v>
      </c>
      <c r="E4261" t="s">
        <v>6404</v>
      </c>
      <c r="F4261" s="150" t="s">
        <v>6404</v>
      </c>
      <c r="G4261" s="149" t="s">
        <v>400</v>
      </c>
      <c r="H4261" s="150" t="str">
        <f>IF(Proc[[#This Row],[type]]="LFF (MDG-F)",MID(Proc[[#This Row],[Obj]],13,10),"")</f>
        <v/>
      </c>
      <c r="J4261" s="150" t="b">
        <f>Proc[[#This Row],[Requested]]=Proc[[#This Row],[CurrentParent]]</f>
        <v>1</v>
      </c>
      <c r="K4261" s="150" t="str">
        <f>IF(Proc[[#This Row],[Author]]="Marcela Urrego",VLOOKUP(LEFT(Proc[[#This Row],[Requested]],1),Table3[#All],2,0),VLOOKUP(Proc[[#This Row],[Author]],Table4[],2,0))</f>
        <v>HC</v>
      </c>
      <c r="L4261" s="150" t="s">
        <v>4894</v>
      </c>
      <c r="M4261" s="151">
        <v>45924</v>
      </c>
      <c r="N4261" s="151"/>
      <c r="O4261" s="151"/>
      <c r="P4261" s="152" t="str">
        <f ca="1">IF(Proc[[#This Row],[DaysAgeing]]&gt;5,"yep","on track")</f>
        <v>yep</v>
      </c>
      <c r="Q4261" s="3">
        <f ca="1">IF(Proc[[#This Row],[DateClosed]]="",ABS(NETWORKDAYS(Proc[[#This Row],[DateOpened]],TODAY()))-1,ABS(NETWORKDAYS(Proc[[#This Row],[DateOpened]],Proc[[#This Row],[DateClosed]]))-1)</f>
        <v>62</v>
      </c>
      <c r="R4261" s="152" t="s">
        <v>410</v>
      </c>
      <c r="S4261" s="150"/>
    </row>
    <row r="4262" spans="1:19" hidden="1">
      <c r="A4262" s="149" t="s">
        <v>6402</v>
      </c>
      <c r="B4262" s="150" t="str">
        <f>IFERROR(VLOOKUP(Proc[[#This Row],[App]],Table2[],3,0),"open")</f>
        <v>ok</v>
      </c>
      <c r="C4262" s="149" t="s">
        <v>369</v>
      </c>
      <c r="D4262" t="s">
        <v>5480</v>
      </c>
      <c r="E4262" t="s">
        <v>6404</v>
      </c>
      <c r="F4262" s="150" t="s">
        <v>6404</v>
      </c>
      <c r="G4262" s="149" t="s">
        <v>400</v>
      </c>
      <c r="H4262" s="150" t="str">
        <f>IF(Proc[[#This Row],[type]]="LFF (MDG-F)",MID(Proc[[#This Row],[Obj]],13,10),"")</f>
        <v/>
      </c>
      <c r="J4262" s="150" t="b">
        <f>Proc[[#This Row],[Requested]]=Proc[[#This Row],[CurrentParent]]</f>
        <v>1</v>
      </c>
      <c r="K4262" s="150" t="str">
        <f>IF(Proc[[#This Row],[Author]]="Marcela Urrego",VLOOKUP(LEFT(Proc[[#This Row],[Requested]],1),Table3[#All],2,0),VLOOKUP(Proc[[#This Row],[Author]],Table4[],2,0))</f>
        <v>HC</v>
      </c>
      <c r="L4262" s="150" t="s">
        <v>4894</v>
      </c>
      <c r="M4262" s="151">
        <v>45924</v>
      </c>
      <c r="N4262" s="151"/>
      <c r="O4262" s="151"/>
      <c r="P4262" s="152" t="str">
        <f ca="1">IF(Proc[[#This Row],[DaysAgeing]]&gt;5,"yep","on track")</f>
        <v>yep</v>
      </c>
      <c r="Q4262" s="3">
        <f ca="1">IF(Proc[[#This Row],[DateClosed]]="",ABS(NETWORKDAYS(Proc[[#This Row],[DateOpened]],TODAY()))-1,ABS(NETWORKDAYS(Proc[[#This Row],[DateOpened]],Proc[[#This Row],[DateClosed]]))-1)</f>
        <v>62</v>
      </c>
      <c r="R4262" s="152" t="s">
        <v>410</v>
      </c>
      <c r="S4262" s="150"/>
    </row>
    <row r="4263" spans="1:19" hidden="1">
      <c r="A4263" s="149" t="s">
        <v>6402</v>
      </c>
      <c r="B4263" s="150" t="str">
        <f>IFERROR(VLOOKUP(Proc[[#This Row],[App]],Table2[],3,0),"open")</f>
        <v>ok</v>
      </c>
      <c r="C4263" s="149" t="s">
        <v>369</v>
      </c>
      <c r="D4263" t="s">
        <v>6394</v>
      </c>
      <c r="E4263" t="s">
        <v>6404</v>
      </c>
      <c r="F4263" s="150" t="s">
        <v>6404</v>
      </c>
      <c r="G4263" s="149" t="s">
        <v>400</v>
      </c>
      <c r="H4263" s="150" t="str">
        <f>IF(Proc[[#This Row],[type]]="LFF (MDG-F)",MID(Proc[[#This Row],[Obj]],13,10),"")</f>
        <v/>
      </c>
      <c r="J4263" s="150" t="b">
        <f>Proc[[#This Row],[Requested]]=Proc[[#This Row],[CurrentParent]]</f>
        <v>1</v>
      </c>
      <c r="K4263" s="150" t="str">
        <f>IF(Proc[[#This Row],[Author]]="Marcela Urrego",VLOOKUP(LEFT(Proc[[#This Row],[Requested]],1),Table3[#All],2,0),VLOOKUP(Proc[[#This Row],[Author]],Table4[],2,0))</f>
        <v>HC</v>
      </c>
      <c r="L4263" s="150" t="s">
        <v>4894</v>
      </c>
      <c r="M4263" s="151">
        <v>45924</v>
      </c>
      <c r="N4263" s="151"/>
      <c r="O4263" s="151"/>
      <c r="P4263" s="152" t="str">
        <f ca="1">IF(Proc[[#This Row],[DaysAgeing]]&gt;5,"yep","on track")</f>
        <v>yep</v>
      </c>
      <c r="Q4263" s="3">
        <f ca="1">IF(Proc[[#This Row],[DateClosed]]="",ABS(NETWORKDAYS(Proc[[#This Row],[DateOpened]],TODAY()))-1,ABS(NETWORKDAYS(Proc[[#This Row],[DateOpened]],Proc[[#This Row],[DateClosed]]))-1)</f>
        <v>62</v>
      </c>
      <c r="R4263" s="152" t="s">
        <v>410</v>
      </c>
      <c r="S4263" s="150"/>
    </row>
    <row r="4264" spans="1:19" hidden="1">
      <c r="A4264" s="149" t="s">
        <v>6402</v>
      </c>
      <c r="B4264" s="150" t="str">
        <f>IFERROR(VLOOKUP(Proc[[#This Row],[App]],Table2[],3,0),"open")</f>
        <v>ok</v>
      </c>
      <c r="C4264" s="149" t="s">
        <v>369</v>
      </c>
      <c r="D4264" t="s">
        <v>6395</v>
      </c>
      <c r="E4264" t="s">
        <v>6405</v>
      </c>
      <c r="F4264" s="150" t="s">
        <v>6405</v>
      </c>
      <c r="G4264" s="149" t="s">
        <v>400</v>
      </c>
      <c r="H4264" s="150" t="str">
        <f>IF(Proc[[#This Row],[type]]="LFF (MDG-F)",MID(Proc[[#This Row],[Obj]],13,10),"")</f>
        <v/>
      </c>
      <c r="J4264" s="150" t="b">
        <f>Proc[[#This Row],[Requested]]=Proc[[#This Row],[CurrentParent]]</f>
        <v>1</v>
      </c>
      <c r="K4264" s="150" t="str">
        <f>IF(Proc[[#This Row],[Author]]="Marcela Urrego",VLOOKUP(LEFT(Proc[[#This Row],[Requested]],1),Table3[#All],2,0),VLOOKUP(Proc[[#This Row],[Author]],Table4[],2,0))</f>
        <v>HC</v>
      </c>
      <c r="L4264" s="150" t="s">
        <v>4894</v>
      </c>
      <c r="M4264" s="151">
        <v>45924</v>
      </c>
      <c r="N4264" s="151"/>
      <c r="O4264" s="151"/>
      <c r="P4264" s="152" t="str">
        <f ca="1">IF(Proc[[#This Row],[DaysAgeing]]&gt;5,"yep","on track")</f>
        <v>yep</v>
      </c>
      <c r="Q4264" s="3">
        <f ca="1">IF(Proc[[#This Row],[DateClosed]]="",ABS(NETWORKDAYS(Proc[[#This Row],[DateOpened]],TODAY()))-1,ABS(NETWORKDAYS(Proc[[#This Row],[DateOpened]],Proc[[#This Row],[DateClosed]]))-1)</f>
        <v>62</v>
      </c>
      <c r="R4264" s="152" t="s">
        <v>410</v>
      </c>
      <c r="S4264" s="150"/>
    </row>
    <row r="4265" spans="1:19" hidden="1">
      <c r="A4265" s="149" t="s">
        <v>6402</v>
      </c>
      <c r="B4265" s="150" t="str">
        <f>IFERROR(VLOOKUP(Proc[[#This Row],[App]],Table2[],3,0),"open")</f>
        <v>ok</v>
      </c>
      <c r="C4265" s="149" t="s">
        <v>369</v>
      </c>
      <c r="D4265" t="s">
        <v>5485</v>
      </c>
      <c r="E4265" t="s">
        <v>6404</v>
      </c>
      <c r="F4265" s="150" t="s">
        <v>6404</v>
      </c>
      <c r="G4265" s="149" t="s">
        <v>400</v>
      </c>
      <c r="H4265" s="150" t="str">
        <f>IF(Proc[[#This Row],[type]]="LFF (MDG-F)",MID(Proc[[#This Row],[Obj]],13,10),"")</f>
        <v/>
      </c>
      <c r="J4265" s="150" t="b">
        <f>Proc[[#This Row],[Requested]]=Proc[[#This Row],[CurrentParent]]</f>
        <v>1</v>
      </c>
      <c r="K4265" s="150" t="str">
        <f>IF(Proc[[#This Row],[Author]]="Marcela Urrego",VLOOKUP(LEFT(Proc[[#This Row],[Requested]],1),Table3[#All],2,0),VLOOKUP(Proc[[#This Row],[Author]],Table4[],2,0))</f>
        <v>HC</v>
      </c>
      <c r="L4265" s="150" t="s">
        <v>4894</v>
      </c>
      <c r="M4265" s="151">
        <v>45924</v>
      </c>
      <c r="N4265" s="151"/>
      <c r="O4265" s="151"/>
      <c r="P4265" s="152" t="str">
        <f ca="1">IF(Proc[[#This Row],[DaysAgeing]]&gt;5,"yep","on track")</f>
        <v>yep</v>
      </c>
      <c r="Q4265" s="3">
        <f ca="1">IF(Proc[[#This Row],[DateClosed]]="",ABS(NETWORKDAYS(Proc[[#This Row],[DateOpened]],TODAY()))-1,ABS(NETWORKDAYS(Proc[[#This Row],[DateOpened]],Proc[[#This Row],[DateClosed]]))-1)</f>
        <v>62</v>
      </c>
      <c r="R4265" s="152" t="s">
        <v>410</v>
      </c>
      <c r="S4265" s="150"/>
    </row>
    <row r="4266" spans="1:19" hidden="1">
      <c r="A4266" s="149" t="s">
        <v>6402</v>
      </c>
      <c r="B4266" s="150" t="str">
        <f>IFERROR(VLOOKUP(Proc[[#This Row],[App]],Table2[],3,0),"open")</f>
        <v>ok</v>
      </c>
      <c r="C4266" s="149" t="s">
        <v>369</v>
      </c>
      <c r="D4266" t="s">
        <v>6396</v>
      </c>
      <c r="E4266" t="s">
        <v>6404</v>
      </c>
      <c r="F4266" s="150" t="s">
        <v>6404</v>
      </c>
      <c r="G4266" s="149" t="s">
        <v>400</v>
      </c>
      <c r="H4266" s="150" t="str">
        <f>IF(Proc[[#This Row],[type]]="LFF (MDG-F)",MID(Proc[[#This Row],[Obj]],13,10),"")</f>
        <v/>
      </c>
      <c r="J4266" s="150" t="b">
        <f>Proc[[#This Row],[Requested]]=Proc[[#This Row],[CurrentParent]]</f>
        <v>1</v>
      </c>
      <c r="K4266" s="150" t="str">
        <f>IF(Proc[[#This Row],[Author]]="Marcela Urrego",VLOOKUP(LEFT(Proc[[#This Row],[Requested]],1),Table3[#All],2,0),VLOOKUP(Proc[[#This Row],[Author]],Table4[],2,0))</f>
        <v>HC</v>
      </c>
      <c r="L4266" s="150" t="s">
        <v>4894</v>
      </c>
      <c r="M4266" s="151">
        <v>45924</v>
      </c>
      <c r="N4266" s="151"/>
      <c r="O4266" s="151"/>
      <c r="P4266" s="152" t="str">
        <f ca="1">IF(Proc[[#This Row],[DaysAgeing]]&gt;5,"yep","on track")</f>
        <v>yep</v>
      </c>
      <c r="Q4266" s="3">
        <f ca="1">IF(Proc[[#This Row],[DateClosed]]="",ABS(NETWORKDAYS(Proc[[#This Row],[DateOpened]],TODAY()))-1,ABS(NETWORKDAYS(Proc[[#This Row],[DateOpened]],Proc[[#This Row],[DateClosed]]))-1)</f>
        <v>62</v>
      </c>
      <c r="R4266" s="152" t="s">
        <v>410</v>
      </c>
      <c r="S4266" s="150"/>
    </row>
    <row r="4267" spans="1:19" hidden="1">
      <c r="A4267" s="149" t="s">
        <v>6402</v>
      </c>
      <c r="B4267" s="150" t="str">
        <f>IFERROR(VLOOKUP(Proc[[#This Row],[App]],Table2[],3,0),"open")</f>
        <v>ok</v>
      </c>
      <c r="C4267" s="149" t="s">
        <v>369</v>
      </c>
      <c r="D4267" t="s">
        <v>6397</v>
      </c>
      <c r="E4267" t="s">
        <v>6405</v>
      </c>
      <c r="F4267" s="150" t="s">
        <v>6405</v>
      </c>
      <c r="G4267" s="149" t="s">
        <v>400</v>
      </c>
      <c r="H4267" s="150" t="str">
        <f>IF(Proc[[#This Row],[type]]="LFF (MDG-F)",MID(Proc[[#This Row],[Obj]],13,10),"")</f>
        <v/>
      </c>
      <c r="J4267" s="150" t="b">
        <f>Proc[[#This Row],[Requested]]=Proc[[#This Row],[CurrentParent]]</f>
        <v>1</v>
      </c>
      <c r="K4267" s="150" t="str">
        <f>IF(Proc[[#This Row],[Author]]="Marcela Urrego",VLOOKUP(LEFT(Proc[[#This Row],[Requested]],1),Table3[#All],2,0),VLOOKUP(Proc[[#This Row],[Author]],Table4[],2,0))</f>
        <v>HC</v>
      </c>
      <c r="L4267" s="150" t="s">
        <v>4894</v>
      </c>
      <c r="M4267" s="151">
        <v>45924</v>
      </c>
      <c r="N4267" s="151"/>
      <c r="O4267" s="151"/>
      <c r="P4267" s="152" t="str">
        <f ca="1">IF(Proc[[#This Row],[DaysAgeing]]&gt;5,"yep","on track")</f>
        <v>yep</v>
      </c>
      <c r="Q4267" s="3">
        <f ca="1">IF(Proc[[#This Row],[DateClosed]]="",ABS(NETWORKDAYS(Proc[[#This Row],[DateOpened]],TODAY()))-1,ABS(NETWORKDAYS(Proc[[#This Row],[DateOpened]],Proc[[#This Row],[DateClosed]]))-1)</f>
        <v>62</v>
      </c>
      <c r="R4267" s="152" t="s">
        <v>410</v>
      </c>
      <c r="S4267" s="150"/>
    </row>
    <row r="4268" spans="1:19" hidden="1">
      <c r="A4268" s="149" t="s">
        <v>6402</v>
      </c>
      <c r="B4268" s="150" t="str">
        <f>IFERROR(VLOOKUP(Proc[[#This Row],[App]],Table2[],3,0),"open")</f>
        <v>ok</v>
      </c>
      <c r="C4268" s="149" t="s">
        <v>369</v>
      </c>
      <c r="D4268" t="s">
        <v>6398</v>
      </c>
      <c r="E4268" t="s">
        <v>6405</v>
      </c>
      <c r="F4268" s="150" t="s">
        <v>6405</v>
      </c>
      <c r="G4268" s="149" t="s">
        <v>400</v>
      </c>
      <c r="H4268" s="150" t="str">
        <f>IF(Proc[[#This Row],[type]]="LFF (MDG-F)",MID(Proc[[#This Row],[Obj]],13,10),"")</f>
        <v/>
      </c>
      <c r="J4268" s="150" t="b">
        <f>Proc[[#This Row],[Requested]]=Proc[[#This Row],[CurrentParent]]</f>
        <v>1</v>
      </c>
      <c r="K4268" s="150" t="str">
        <f>IF(Proc[[#This Row],[Author]]="Marcela Urrego",VLOOKUP(LEFT(Proc[[#This Row],[Requested]],1),Table3[#All],2,0),VLOOKUP(Proc[[#This Row],[Author]],Table4[],2,0))</f>
        <v>HC</v>
      </c>
      <c r="L4268" s="150" t="s">
        <v>4894</v>
      </c>
      <c r="M4268" s="151">
        <v>45924</v>
      </c>
      <c r="N4268" s="151"/>
      <c r="O4268" s="151"/>
      <c r="P4268" s="152" t="str">
        <f ca="1">IF(Proc[[#This Row],[DaysAgeing]]&gt;5,"yep","on track")</f>
        <v>yep</v>
      </c>
      <c r="Q4268" s="3">
        <f ca="1">IF(Proc[[#This Row],[DateClosed]]="",ABS(NETWORKDAYS(Proc[[#This Row],[DateOpened]],TODAY()))-1,ABS(NETWORKDAYS(Proc[[#This Row],[DateOpened]],Proc[[#This Row],[DateClosed]]))-1)</f>
        <v>62</v>
      </c>
      <c r="R4268" s="152" t="s">
        <v>410</v>
      </c>
      <c r="S4268" s="150"/>
    </row>
    <row r="4269" spans="1:19" hidden="1">
      <c r="A4269" s="149" t="s">
        <v>6402</v>
      </c>
      <c r="B4269" s="150" t="str">
        <f>IFERROR(VLOOKUP(Proc[[#This Row],[App]],Table2[],3,0),"open")</f>
        <v>ok</v>
      </c>
      <c r="C4269" s="149" t="s">
        <v>369</v>
      </c>
      <c r="D4269" t="s">
        <v>6399</v>
      </c>
      <c r="E4269" t="s">
        <v>6405</v>
      </c>
      <c r="F4269" s="150" t="s">
        <v>6405</v>
      </c>
      <c r="G4269" s="149" t="s">
        <v>400</v>
      </c>
      <c r="H4269" s="150" t="str">
        <f>IF(Proc[[#This Row],[type]]="LFF (MDG-F)",MID(Proc[[#This Row],[Obj]],13,10),"")</f>
        <v/>
      </c>
      <c r="J4269" s="150" t="b">
        <f>Proc[[#This Row],[Requested]]=Proc[[#This Row],[CurrentParent]]</f>
        <v>1</v>
      </c>
      <c r="K4269" s="150" t="str">
        <f>IF(Proc[[#This Row],[Author]]="Marcela Urrego",VLOOKUP(LEFT(Proc[[#This Row],[Requested]],1),Table3[#All],2,0),VLOOKUP(Proc[[#This Row],[Author]],Table4[],2,0))</f>
        <v>HC</v>
      </c>
      <c r="L4269" s="150" t="s">
        <v>4894</v>
      </c>
      <c r="M4269" s="151">
        <v>45924</v>
      </c>
      <c r="N4269" s="151"/>
      <c r="O4269" s="151"/>
      <c r="P4269" s="152" t="str">
        <f ca="1">IF(Proc[[#This Row],[DaysAgeing]]&gt;5,"yep","on track")</f>
        <v>yep</v>
      </c>
      <c r="Q4269" s="3">
        <f ca="1">IF(Proc[[#This Row],[DateClosed]]="",ABS(NETWORKDAYS(Proc[[#This Row],[DateOpened]],TODAY()))-1,ABS(NETWORKDAYS(Proc[[#This Row],[DateOpened]],Proc[[#This Row],[DateClosed]]))-1)</f>
        <v>62</v>
      </c>
      <c r="R4269" s="152" t="s">
        <v>410</v>
      </c>
      <c r="S4269" s="150"/>
    </row>
    <row r="4270" spans="1:19" hidden="1">
      <c r="A4270" s="149" t="s">
        <v>6402</v>
      </c>
      <c r="B4270" s="150" t="str">
        <f>IFERROR(VLOOKUP(Proc[[#This Row],[App]],Table2[],3,0),"open")</f>
        <v>ok</v>
      </c>
      <c r="C4270" s="149" t="s">
        <v>369</v>
      </c>
      <c r="D4270" t="s">
        <v>6400</v>
      </c>
      <c r="E4270" t="s">
        <v>6405</v>
      </c>
      <c r="F4270" s="150" t="s">
        <v>6405</v>
      </c>
      <c r="G4270" s="149" t="s">
        <v>400</v>
      </c>
      <c r="H4270" s="150" t="str">
        <f>IF(Proc[[#This Row],[type]]="LFF (MDG-F)",MID(Proc[[#This Row],[Obj]],13,10),"")</f>
        <v/>
      </c>
      <c r="J4270" s="150" t="b">
        <f>Proc[[#This Row],[Requested]]=Proc[[#This Row],[CurrentParent]]</f>
        <v>1</v>
      </c>
      <c r="K4270" s="150" t="str">
        <f>IF(Proc[[#This Row],[Author]]="Marcela Urrego",VLOOKUP(LEFT(Proc[[#This Row],[Requested]],1),Table3[#All],2,0),VLOOKUP(Proc[[#This Row],[Author]],Table4[],2,0))</f>
        <v>HC</v>
      </c>
      <c r="L4270" s="150" t="s">
        <v>4894</v>
      </c>
      <c r="M4270" s="151">
        <v>45924</v>
      </c>
      <c r="N4270" s="151"/>
      <c r="O4270" s="151"/>
      <c r="P4270" s="152" t="str">
        <f ca="1">IF(Proc[[#This Row],[DaysAgeing]]&gt;5,"yep","on track")</f>
        <v>yep</v>
      </c>
      <c r="Q4270" s="3">
        <f ca="1">IF(Proc[[#This Row],[DateClosed]]="",ABS(NETWORKDAYS(Proc[[#This Row],[DateOpened]],TODAY()))-1,ABS(NETWORKDAYS(Proc[[#This Row],[DateOpened]],Proc[[#This Row],[DateClosed]]))-1)</f>
        <v>62</v>
      </c>
      <c r="R4270" s="152" t="s">
        <v>410</v>
      </c>
      <c r="S4270" s="150"/>
    </row>
    <row r="4271" spans="1:19" hidden="1">
      <c r="A4271" s="149" t="s">
        <v>6402</v>
      </c>
      <c r="B4271" s="150" t="str">
        <f>IFERROR(VLOOKUP(Proc[[#This Row],[App]],Table2[],3,0),"open")</f>
        <v>ok</v>
      </c>
      <c r="C4271" s="149" t="s">
        <v>369</v>
      </c>
      <c r="D4271" t="s">
        <v>6406</v>
      </c>
      <c r="E4271" t="s">
        <v>6405</v>
      </c>
      <c r="F4271" s="150" t="s">
        <v>6405</v>
      </c>
      <c r="G4271" s="149" t="s">
        <v>400</v>
      </c>
      <c r="H4271" s="150" t="str">
        <f>IF(Proc[[#This Row],[type]]="LFF (MDG-F)",MID(Proc[[#This Row],[Obj]],13,10),"")</f>
        <v/>
      </c>
      <c r="J4271" s="150" t="b">
        <f>Proc[[#This Row],[Requested]]=Proc[[#This Row],[CurrentParent]]</f>
        <v>1</v>
      </c>
      <c r="K4271" s="150" t="str">
        <f>IF(Proc[[#This Row],[Author]]="Marcela Urrego",VLOOKUP(LEFT(Proc[[#This Row],[Requested]],1),Table3[#All],2,0),VLOOKUP(Proc[[#This Row],[Author]],Table4[],2,0))</f>
        <v>HC</v>
      </c>
      <c r="L4271" s="150" t="s">
        <v>4894</v>
      </c>
      <c r="M4271" s="151">
        <v>45924</v>
      </c>
      <c r="N4271" s="151"/>
      <c r="O4271" s="151"/>
      <c r="P4271" s="152" t="str">
        <f ca="1">IF(Proc[[#This Row],[DaysAgeing]]&gt;5,"yep","on track")</f>
        <v>yep</v>
      </c>
      <c r="Q4271" s="3">
        <f ca="1">IF(Proc[[#This Row],[DateClosed]]="",ABS(NETWORKDAYS(Proc[[#This Row],[DateOpened]],TODAY()))-1,ABS(NETWORKDAYS(Proc[[#This Row],[DateOpened]],Proc[[#This Row],[DateClosed]]))-1)</f>
        <v>62</v>
      </c>
      <c r="R4271" s="152" t="s">
        <v>410</v>
      </c>
      <c r="S4271" s="150"/>
    </row>
    <row r="4272" spans="1:19" hidden="1">
      <c r="A4272" s="149" t="s">
        <v>6402</v>
      </c>
      <c r="B4272" s="150" t="str">
        <f>IFERROR(VLOOKUP(Proc[[#This Row],[App]],Table2[],3,0),"open")</f>
        <v>ok</v>
      </c>
      <c r="C4272" s="149" t="s">
        <v>369</v>
      </c>
      <c r="D4272" t="s">
        <v>6401</v>
      </c>
      <c r="E4272" t="s">
        <v>6404</v>
      </c>
      <c r="F4272" s="150" t="s">
        <v>6404</v>
      </c>
      <c r="G4272" s="149" t="s">
        <v>400</v>
      </c>
      <c r="H4272" s="150" t="str">
        <f>IF(Proc[[#This Row],[type]]="LFF (MDG-F)",MID(Proc[[#This Row],[Obj]],13,10),"")</f>
        <v/>
      </c>
      <c r="J4272" s="150" t="b">
        <f>Proc[[#This Row],[Requested]]=Proc[[#This Row],[CurrentParent]]</f>
        <v>1</v>
      </c>
      <c r="K4272" s="150" t="str">
        <f>IF(Proc[[#This Row],[Author]]="Marcela Urrego",VLOOKUP(LEFT(Proc[[#This Row],[Requested]],1),Table3[#All],2,0),VLOOKUP(Proc[[#This Row],[Author]],Table4[],2,0))</f>
        <v>HC</v>
      </c>
      <c r="L4272" s="150" t="s">
        <v>4894</v>
      </c>
      <c r="M4272" s="151">
        <v>45924</v>
      </c>
      <c r="N4272" s="151"/>
      <c r="O4272" s="151"/>
      <c r="P4272" s="152" t="str">
        <f ca="1">IF(Proc[[#This Row],[DaysAgeing]]&gt;5,"yep","on track")</f>
        <v>yep</v>
      </c>
      <c r="Q4272" s="3">
        <f ca="1">IF(Proc[[#This Row],[DateClosed]]="",ABS(NETWORKDAYS(Proc[[#This Row],[DateOpened]],TODAY()))-1,ABS(NETWORKDAYS(Proc[[#This Row],[DateOpened]],Proc[[#This Row],[DateClosed]]))-1)</f>
        <v>62</v>
      </c>
      <c r="R4272" s="152" t="s">
        <v>410</v>
      </c>
      <c r="S4272" s="150"/>
    </row>
    <row r="4273" spans="1:19" hidden="1">
      <c r="A4273" t="s">
        <v>6409</v>
      </c>
      <c r="B4273" s="150" t="str">
        <f>IFERROR(VLOOKUP(Proc[[#This Row],[App]],Table2[],3,0),"open")</f>
        <v>ok</v>
      </c>
      <c r="C4273" s="149" t="s">
        <v>369</v>
      </c>
      <c r="D4273" t="s">
        <v>6407</v>
      </c>
      <c r="E4273" t="s">
        <v>6410</v>
      </c>
      <c r="F4273" s="150" t="s">
        <v>6410</v>
      </c>
      <c r="G4273" t="s">
        <v>400</v>
      </c>
      <c r="H4273" s="150" t="str">
        <f>IF(Proc[[#This Row],[type]]="LFF (MDG-F)",MID(Proc[[#This Row],[Obj]],13,10),"")</f>
        <v/>
      </c>
      <c r="J4273" s="150" t="b">
        <f>Proc[[#This Row],[Requested]]=Proc[[#This Row],[CurrentParent]]</f>
        <v>1</v>
      </c>
      <c r="K4273" s="150" t="str">
        <f>IF(Proc[[#This Row],[Author]]="Marcela Urrego",VLOOKUP(LEFT(Proc[[#This Row],[Requested]],1),Table3[#All],2,0),VLOOKUP(Proc[[#This Row],[Author]],Table4[],2,0))</f>
        <v>LS</v>
      </c>
      <c r="L4273" s="150" t="s">
        <v>4894</v>
      </c>
      <c r="M4273" s="152">
        <v>45925</v>
      </c>
      <c r="N4273" s="152"/>
      <c r="O4273" s="152"/>
      <c r="P4273" s="153" t="str">
        <f ca="1">IF(Proc[[#This Row],[DaysAgeing]]&gt;5,"yep","on track")</f>
        <v>yep</v>
      </c>
      <c r="Q4273" s="3">
        <f ca="1">IF(Proc[[#This Row],[DateClosed]]="",ABS(NETWORKDAYS(Proc[[#This Row],[DateOpened]],TODAY()))-1,ABS(NETWORKDAYS(Proc[[#This Row],[DateOpened]],Proc[[#This Row],[DateClosed]]))-1)</f>
        <v>61</v>
      </c>
      <c r="R4273" s="153" t="s">
        <v>489</v>
      </c>
      <c r="S4273" s="150"/>
    </row>
    <row r="4274" spans="1:19" hidden="1">
      <c r="A4274" t="s">
        <v>6409</v>
      </c>
      <c r="B4274" s="150" t="str">
        <f>IFERROR(VLOOKUP(Proc[[#This Row],[App]],Table2[],3,0),"open")</f>
        <v>ok</v>
      </c>
      <c r="C4274" s="149" t="s">
        <v>369</v>
      </c>
      <c r="D4274" t="s">
        <v>6408</v>
      </c>
      <c r="E4274" t="s">
        <v>6411</v>
      </c>
      <c r="F4274" s="150" t="s">
        <v>6411</v>
      </c>
      <c r="G4274" t="s">
        <v>400</v>
      </c>
      <c r="H4274" s="150" t="str">
        <f>IF(Proc[[#This Row],[type]]="LFF (MDG-F)",MID(Proc[[#This Row],[Obj]],13,10),"")</f>
        <v/>
      </c>
      <c r="J4274" s="150" t="b">
        <f>Proc[[#This Row],[Requested]]=Proc[[#This Row],[CurrentParent]]</f>
        <v>1</v>
      </c>
      <c r="K4274" s="150" t="str">
        <f>IF(Proc[[#This Row],[Author]]="Marcela Urrego",VLOOKUP(LEFT(Proc[[#This Row],[Requested]],1),Table3[#All],2,0),VLOOKUP(Proc[[#This Row],[Author]],Table4[],2,0))</f>
        <v>LS</v>
      </c>
      <c r="L4274" s="150" t="s">
        <v>4894</v>
      </c>
      <c r="M4274" s="152">
        <v>45925</v>
      </c>
      <c r="N4274" s="152"/>
      <c r="O4274" s="152"/>
      <c r="P4274" s="153" t="str">
        <f ca="1">IF(Proc[[#This Row],[DaysAgeing]]&gt;5,"yep","on track")</f>
        <v>yep</v>
      </c>
      <c r="Q4274" s="3">
        <f ca="1">IF(Proc[[#This Row],[DateClosed]]="",ABS(NETWORKDAYS(Proc[[#This Row],[DateOpened]],TODAY()))-1,ABS(NETWORKDAYS(Proc[[#This Row],[DateOpened]],Proc[[#This Row],[DateClosed]]))-1)</f>
        <v>61</v>
      </c>
      <c r="R4274" s="153" t="s">
        <v>489</v>
      </c>
      <c r="S4274" s="150"/>
    </row>
    <row r="4275" spans="1:19" hidden="1">
      <c r="A4275" t="s">
        <v>6426</v>
      </c>
      <c r="B4275" s="150" t="str">
        <f>IFERROR(VLOOKUP(Proc[[#This Row],[App]],Table2[],3,0),"open")</f>
        <v>ok</v>
      </c>
      <c r="C4275" s="149" t="s">
        <v>369</v>
      </c>
      <c r="D4275" t="s">
        <v>6412</v>
      </c>
      <c r="E4275" s="149" t="s">
        <v>2430</v>
      </c>
      <c r="F4275" s="150" t="s">
        <v>2430</v>
      </c>
      <c r="G4275" t="s">
        <v>400</v>
      </c>
      <c r="H4275" s="150" t="str">
        <f>IF(Proc[[#This Row],[type]]="LFF (MDG-F)",MID(Proc[[#This Row],[Obj]],13,10),"")</f>
        <v/>
      </c>
      <c r="I4275" t="e">
        <v>#REF!</v>
      </c>
      <c r="J4275" s="150" t="b">
        <f>Proc[[#This Row],[Requested]]=Proc[[#This Row],[CurrentParent]]</f>
        <v>1</v>
      </c>
      <c r="K4275" s="150" t="str">
        <f>IF(Proc[[#This Row],[Author]]="Marcela Urrego",VLOOKUP(LEFT(Proc[[#This Row],[Requested]],1),Table3[#All],2,0),VLOOKUP(Proc[[#This Row],[Author]],Table4[],2,0))</f>
        <v>EL</v>
      </c>
      <c r="L4275" s="150" t="s">
        <v>4894</v>
      </c>
      <c r="M4275" s="152">
        <v>45925</v>
      </c>
      <c r="N4275" s="152"/>
      <c r="O4275" s="152"/>
      <c r="P4275" s="153" t="str">
        <f ca="1">IF(Proc[[#This Row],[DaysAgeing]]&gt;5,"yep","on track")</f>
        <v>yep</v>
      </c>
      <c r="Q4275" s="3">
        <f ca="1">IF(Proc[[#This Row],[DateClosed]]="",ABS(NETWORKDAYS(Proc[[#This Row],[DateOpened]],TODAY()))-1,ABS(NETWORKDAYS(Proc[[#This Row],[DateOpened]],Proc[[#This Row],[DateClosed]]))-1)</f>
        <v>61</v>
      </c>
      <c r="R4275" s="153" t="s">
        <v>780</v>
      </c>
      <c r="S4275" s="150"/>
    </row>
    <row r="4276" spans="1:19" hidden="1">
      <c r="A4276" s="149" t="s">
        <v>6426</v>
      </c>
      <c r="B4276" s="150" t="str">
        <f>IFERROR(VLOOKUP(Proc[[#This Row],[App]],Table2[],3,0),"open")</f>
        <v>ok</v>
      </c>
      <c r="C4276" s="149" t="s">
        <v>369</v>
      </c>
      <c r="D4276" t="s">
        <v>6413</v>
      </c>
      <c r="E4276" s="149" t="s">
        <v>2430</v>
      </c>
      <c r="F4276" s="150" t="s">
        <v>2430</v>
      </c>
      <c r="G4276" s="149" t="s">
        <v>400</v>
      </c>
      <c r="H4276" s="150" t="str">
        <f>IF(Proc[[#This Row],[type]]="LFF (MDG-F)",MID(Proc[[#This Row],[Obj]],13,10),"")</f>
        <v/>
      </c>
      <c r="I4276" s="149" t="e">
        <v>#REF!</v>
      </c>
      <c r="J4276" s="150" t="b">
        <f>Proc[[#This Row],[Requested]]=Proc[[#This Row],[CurrentParent]]</f>
        <v>1</v>
      </c>
      <c r="K4276" s="150" t="str">
        <f>IF(Proc[[#This Row],[Author]]="Marcela Urrego",VLOOKUP(LEFT(Proc[[#This Row],[Requested]],1),Table3[#All],2,0),VLOOKUP(Proc[[#This Row],[Author]],Table4[],2,0))</f>
        <v>EL</v>
      </c>
      <c r="L4276" s="150" t="s">
        <v>4894</v>
      </c>
      <c r="M4276" s="152">
        <v>45925</v>
      </c>
      <c r="N4276" s="152"/>
      <c r="O4276" s="152"/>
      <c r="P4276" s="153" t="str">
        <f ca="1">IF(Proc[[#This Row],[DaysAgeing]]&gt;5,"yep","on track")</f>
        <v>yep</v>
      </c>
      <c r="Q4276" s="3">
        <f ca="1">IF(Proc[[#This Row],[DateClosed]]="",ABS(NETWORKDAYS(Proc[[#This Row],[DateOpened]],TODAY()))-1,ABS(NETWORKDAYS(Proc[[#This Row],[DateOpened]],Proc[[#This Row],[DateClosed]]))-1)</f>
        <v>61</v>
      </c>
      <c r="R4276" s="153" t="s">
        <v>780</v>
      </c>
      <c r="S4276" s="150"/>
    </row>
    <row r="4277" spans="1:19" hidden="1">
      <c r="A4277" s="149" t="s">
        <v>6426</v>
      </c>
      <c r="B4277" s="150" t="str">
        <f>IFERROR(VLOOKUP(Proc[[#This Row],[App]],Table2[],3,0),"open")</f>
        <v>ok</v>
      </c>
      <c r="C4277" s="149" t="s">
        <v>369</v>
      </c>
      <c r="D4277" t="s">
        <v>6414</v>
      </c>
      <c r="E4277" t="s">
        <v>2430</v>
      </c>
      <c r="F4277" s="150" t="s">
        <v>2430</v>
      </c>
      <c r="G4277" s="149" t="s">
        <v>400</v>
      </c>
      <c r="H4277" s="150" t="str">
        <f>IF(Proc[[#This Row],[type]]="LFF (MDG-F)",MID(Proc[[#This Row],[Obj]],13,10),"")</f>
        <v/>
      </c>
      <c r="I4277" s="149" t="e">
        <v>#REF!</v>
      </c>
      <c r="J4277" s="150" t="b">
        <f>Proc[[#This Row],[Requested]]=Proc[[#This Row],[CurrentParent]]</f>
        <v>1</v>
      </c>
      <c r="K4277" s="150" t="str">
        <f>IF(Proc[[#This Row],[Author]]="Marcela Urrego",VLOOKUP(LEFT(Proc[[#This Row],[Requested]],1),Table3[#All],2,0),VLOOKUP(Proc[[#This Row],[Author]],Table4[],2,0))</f>
        <v>EL</v>
      </c>
      <c r="L4277" s="150" t="s">
        <v>4894</v>
      </c>
      <c r="M4277" s="152">
        <v>45925</v>
      </c>
      <c r="N4277" s="152"/>
      <c r="O4277" s="152"/>
      <c r="P4277" s="153" t="str">
        <f ca="1">IF(Proc[[#This Row],[DaysAgeing]]&gt;5,"yep","on track")</f>
        <v>yep</v>
      </c>
      <c r="Q4277" s="3">
        <f ca="1">IF(Proc[[#This Row],[DateClosed]]="",ABS(NETWORKDAYS(Proc[[#This Row],[DateOpened]],TODAY()))-1,ABS(NETWORKDAYS(Proc[[#This Row],[DateOpened]],Proc[[#This Row],[DateClosed]]))-1)</f>
        <v>61</v>
      </c>
      <c r="R4277" s="153" t="s">
        <v>780</v>
      </c>
      <c r="S4277" s="150"/>
    </row>
    <row r="4278" spans="1:19" hidden="1">
      <c r="A4278" s="149" t="s">
        <v>6426</v>
      </c>
      <c r="B4278" s="150" t="str">
        <f>IFERROR(VLOOKUP(Proc[[#This Row],[App]],Table2[],3,0),"open")</f>
        <v>ok</v>
      </c>
      <c r="C4278" s="149" t="s">
        <v>369</v>
      </c>
      <c r="D4278" t="s">
        <v>6415</v>
      </c>
      <c r="E4278" t="s">
        <v>2430</v>
      </c>
      <c r="F4278" s="150" t="s">
        <v>2430</v>
      </c>
      <c r="G4278" s="149" t="s">
        <v>400</v>
      </c>
      <c r="H4278" s="150" t="str">
        <f>IF(Proc[[#This Row],[type]]="LFF (MDG-F)",MID(Proc[[#This Row],[Obj]],13,10),"")</f>
        <v/>
      </c>
      <c r="J4278" s="150" t="b">
        <f>Proc[[#This Row],[Requested]]=Proc[[#This Row],[CurrentParent]]</f>
        <v>1</v>
      </c>
      <c r="K4278" s="150" t="str">
        <f>IF(Proc[[#This Row],[Author]]="Marcela Urrego",VLOOKUP(LEFT(Proc[[#This Row],[Requested]],1),Table3[#All],2,0),VLOOKUP(Proc[[#This Row],[Author]],Table4[],2,0))</f>
        <v>EL</v>
      </c>
      <c r="L4278" s="150" t="s">
        <v>4894</v>
      </c>
      <c r="M4278" s="152">
        <v>45925</v>
      </c>
      <c r="N4278" s="152"/>
      <c r="O4278" s="152"/>
      <c r="P4278" s="153" t="str">
        <f ca="1">IF(Proc[[#This Row],[DaysAgeing]]&gt;5,"yep","on track")</f>
        <v>yep</v>
      </c>
      <c r="Q4278" s="3">
        <f ca="1">IF(Proc[[#This Row],[DateClosed]]="",ABS(NETWORKDAYS(Proc[[#This Row],[DateOpened]],TODAY()))-1,ABS(NETWORKDAYS(Proc[[#This Row],[DateOpened]],Proc[[#This Row],[DateClosed]]))-1)</f>
        <v>61</v>
      </c>
      <c r="R4278" s="153" t="s">
        <v>780</v>
      </c>
      <c r="S4278" s="150"/>
    </row>
    <row r="4279" spans="1:19" hidden="1">
      <c r="A4279" s="149" t="s">
        <v>6426</v>
      </c>
      <c r="B4279" s="150" t="str">
        <f>IFERROR(VLOOKUP(Proc[[#This Row],[App]],Table2[],3,0),"open")</f>
        <v>ok</v>
      </c>
      <c r="C4279" s="149" t="s">
        <v>369</v>
      </c>
      <c r="D4279" t="s">
        <v>6416</v>
      </c>
      <c r="E4279" t="s">
        <v>2430</v>
      </c>
      <c r="F4279" s="150" t="s">
        <v>2430</v>
      </c>
      <c r="G4279" s="149" t="s">
        <v>400</v>
      </c>
      <c r="H4279" s="150" t="str">
        <f>IF(Proc[[#This Row],[type]]="LFF (MDG-F)",MID(Proc[[#This Row],[Obj]],13,10),"")</f>
        <v/>
      </c>
      <c r="J4279" s="150" t="b">
        <f>Proc[[#This Row],[Requested]]=Proc[[#This Row],[CurrentParent]]</f>
        <v>1</v>
      </c>
      <c r="K4279" s="150" t="str">
        <f>IF(Proc[[#This Row],[Author]]="Marcela Urrego",VLOOKUP(LEFT(Proc[[#This Row],[Requested]],1),Table3[#All],2,0),VLOOKUP(Proc[[#This Row],[Author]],Table4[],2,0))</f>
        <v>EL</v>
      </c>
      <c r="L4279" s="150" t="s">
        <v>4894</v>
      </c>
      <c r="M4279" s="152">
        <v>45925</v>
      </c>
      <c r="N4279" s="152"/>
      <c r="O4279" s="152"/>
      <c r="P4279" s="153" t="str">
        <f ca="1">IF(Proc[[#This Row],[DaysAgeing]]&gt;5,"yep","on track")</f>
        <v>yep</v>
      </c>
      <c r="Q4279" s="3">
        <f ca="1">IF(Proc[[#This Row],[DateClosed]]="",ABS(NETWORKDAYS(Proc[[#This Row],[DateOpened]],TODAY()))-1,ABS(NETWORKDAYS(Proc[[#This Row],[DateOpened]],Proc[[#This Row],[DateClosed]]))-1)</f>
        <v>61</v>
      </c>
      <c r="R4279" s="153" t="s">
        <v>780</v>
      </c>
      <c r="S4279" s="150"/>
    </row>
    <row r="4280" spans="1:19" hidden="1">
      <c r="A4280" s="149" t="s">
        <v>6426</v>
      </c>
      <c r="B4280" s="150" t="str">
        <f>IFERROR(VLOOKUP(Proc[[#This Row],[App]],Table2[],3,0),"open")</f>
        <v>ok</v>
      </c>
      <c r="C4280" s="149" t="s">
        <v>369</v>
      </c>
      <c r="D4280" t="s">
        <v>6417</v>
      </c>
      <c r="E4280" t="s">
        <v>2430</v>
      </c>
      <c r="F4280" s="150" t="s">
        <v>2430</v>
      </c>
      <c r="G4280" s="149" t="s">
        <v>400</v>
      </c>
      <c r="H4280" s="150" t="str">
        <f>IF(Proc[[#This Row],[type]]="LFF (MDG-F)",MID(Proc[[#This Row],[Obj]],13,10),"")</f>
        <v/>
      </c>
      <c r="J4280" s="150" t="b">
        <f>Proc[[#This Row],[Requested]]=Proc[[#This Row],[CurrentParent]]</f>
        <v>1</v>
      </c>
      <c r="K4280" s="150" t="str">
        <f>IF(Proc[[#This Row],[Author]]="Marcela Urrego",VLOOKUP(LEFT(Proc[[#This Row],[Requested]],1),Table3[#All],2,0),VLOOKUP(Proc[[#This Row],[Author]],Table4[],2,0))</f>
        <v>EL</v>
      </c>
      <c r="L4280" s="150" t="s">
        <v>4894</v>
      </c>
      <c r="M4280" s="152">
        <v>45925</v>
      </c>
      <c r="N4280" s="152"/>
      <c r="O4280" s="152"/>
      <c r="P4280" s="153" t="str">
        <f ca="1">IF(Proc[[#This Row],[DaysAgeing]]&gt;5,"yep","on track")</f>
        <v>yep</v>
      </c>
      <c r="Q4280" s="3">
        <f ca="1">IF(Proc[[#This Row],[DateClosed]]="",ABS(NETWORKDAYS(Proc[[#This Row],[DateOpened]],TODAY()))-1,ABS(NETWORKDAYS(Proc[[#This Row],[DateOpened]],Proc[[#This Row],[DateClosed]]))-1)</f>
        <v>61</v>
      </c>
      <c r="R4280" s="153" t="s">
        <v>780</v>
      </c>
      <c r="S4280" s="150"/>
    </row>
    <row r="4281" spans="1:19" hidden="1">
      <c r="A4281" s="149" t="s">
        <v>6426</v>
      </c>
      <c r="B4281" s="150" t="str">
        <f>IFERROR(VLOOKUP(Proc[[#This Row],[App]],Table2[],3,0),"open")</f>
        <v>ok</v>
      </c>
      <c r="C4281" s="149" t="s">
        <v>369</v>
      </c>
      <c r="D4281" t="s">
        <v>6418</v>
      </c>
      <c r="E4281" t="s">
        <v>2430</v>
      </c>
      <c r="F4281" s="150" t="s">
        <v>2430</v>
      </c>
      <c r="G4281" s="149" t="s">
        <v>400</v>
      </c>
      <c r="H4281" s="150" t="str">
        <f>IF(Proc[[#This Row],[type]]="LFF (MDG-F)",MID(Proc[[#This Row],[Obj]],13,10),"")</f>
        <v/>
      </c>
      <c r="J4281" s="150" t="b">
        <f>Proc[[#This Row],[Requested]]=Proc[[#This Row],[CurrentParent]]</f>
        <v>1</v>
      </c>
      <c r="K4281" s="150" t="str">
        <f>IF(Proc[[#This Row],[Author]]="Marcela Urrego",VLOOKUP(LEFT(Proc[[#This Row],[Requested]],1),Table3[#All],2,0),VLOOKUP(Proc[[#This Row],[Author]],Table4[],2,0))</f>
        <v>EL</v>
      </c>
      <c r="L4281" s="150" t="s">
        <v>4894</v>
      </c>
      <c r="M4281" s="152">
        <v>45925</v>
      </c>
      <c r="N4281" s="152"/>
      <c r="O4281" s="152"/>
      <c r="P4281" s="153" t="str">
        <f ca="1">IF(Proc[[#This Row],[DaysAgeing]]&gt;5,"yep","on track")</f>
        <v>yep</v>
      </c>
      <c r="Q4281" s="3">
        <f ca="1">IF(Proc[[#This Row],[DateClosed]]="",ABS(NETWORKDAYS(Proc[[#This Row],[DateOpened]],TODAY()))-1,ABS(NETWORKDAYS(Proc[[#This Row],[DateOpened]],Proc[[#This Row],[DateClosed]]))-1)</f>
        <v>61</v>
      </c>
      <c r="R4281" s="153" t="s">
        <v>780</v>
      </c>
      <c r="S4281" s="150"/>
    </row>
    <row r="4282" spans="1:19" hidden="1">
      <c r="A4282" s="149" t="s">
        <v>6426</v>
      </c>
      <c r="B4282" s="150" t="str">
        <f>IFERROR(VLOOKUP(Proc[[#This Row],[App]],Table2[],3,0),"open")</f>
        <v>ok</v>
      </c>
      <c r="C4282" s="149" t="s">
        <v>369</v>
      </c>
      <c r="D4282" t="s">
        <v>6419</v>
      </c>
      <c r="E4282" s="149" t="s">
        <v>419</v>
      </c>
      <c r="F4282" s="150" t="s">
        <v>419</v>
      </c>
      <c r="G4282" s="149" t="s">
        <v>400</v>
      </c>
      <c r="H4282" s="150" t="str">
        <f>IF(Proc[[#This Row],[type]]="LFF (MDG-F)",MID(Proc[[#This Row],[Obj]],13,10),"")</f>
        <v/>
      </c>
      <c r="I4282" s="149" t="e">
        <v>#REF!</v>
      </c>
      <c r="J4282" s="150" t="b">
        <f>Proc[[#This Row],[Requested]]=Proc[[#This Row],[CurrentParent]]</f>
        <v>1</v>
      </c>
      <c r="K4282" s="150" t="str">
        <f>IF(Proc[[#This Row],[Author]]="Marcela Urrego",VLOOKUP(LEFT(Proc[[#This Row],[Requested]],1),Table3[#All],2,0),VLOOKUP(Proc[[#This Row],[Author]],Table4[],2,0))</f>
        <v>EL</v>
      </c>
      <c r="L4282" s="150" t="s">
        <v>4894</v>
      </c>
      <c r="M4282" s="152">
        <v>45925</v>
      </c>
      <c r="N4282" s="152"/>
      <c r="O4282" s="152"/>
      <c r="P4282" s="153" t="str">
        <f ca="1">IF(Proc[[#This Row],[DaysAgeing]]&gt;5,"yep","on track")</f>
        <v>yep</v>
      </c>
      <c r="Q4282" s="3">
        <f ca="1">IF(Proc[[#This Row],[DateClosed]]="",ABS(NETWORKDAYS(Proc[[#This Row],[DateOpened]],TODAY()))-1,ABS(NETWORKDAYS(Proc[[#This Row],[DateOpened]],Proc[[#This Row],[DateClosed]]))-1)</f>
        <v>61</v>
      </c>
      <c r="R4282" s="153" t="s">
        <v>780</v>
      </c>
      <c r="S4282" s="150"/>
    </row>
    <row r="4283" spans="1:19" hidden="1">
      <c r="A4283" s="149" t="s">
        <v>6426</v>
      </c>
      <c r="B4283" s="150" t="str">
        <f>IFERROR(VLOOKUP(Proc[[#This Row],[App]],Table2[],3,0),"open")</f>
        <v>ok</v>
      </c>
      <c r="C4283" s="149" t="s">
        <v>369</v>
      </c>
      <c r="D4283" t="s">
        <v>6420</v>
      </c>
      <c r="E4283" s="149" t="s">
        <v>419</v>
      </c>
      <c r="F4283" s="150" t="s">
        <v>419</v>
      </c>
      <c r="G4283" s="149" t="s">
        <v>400</v>
      </c>
      <c r="H4283" s="150" t="str">
        <f>IF(Proc[[#This Row],[type]]="LFF (MDG-F)",MID(Proc[[#This Row],[Obj]],13,10),"")</f>
        <v/>
      </c>
      <c r="I4283" s="149" t="e">
        <v>#REF!</v>
      </c>
      <c r="J4283" s="150" t="b">
        <f>Proc[[#This Row],[Requested]]=Proc[[#This Row],[CurrentParent]]</f>
        <v>1</v>
      </c>
      <c r="K4283" s="150" t="str">
        <f>IF(Proc[[#This Row],[Author]]="Marcela Urrego",VLOOKUP(LEFT(Proc[[#This Row],[Requested]],1),Table3[#All],2,0),VLOOKUP(Proc[[#This Row],[Author]],Table4[],2,0))</f>
        <v>EL</v>
      </c>
      <c r="L4283" s="150" t="s">
        <v>4894</v>
      </c>
      <c r="M4283" s="152">
        <v>45925</v>
      </c>
      <c r="N4283" s="152"/>
      <c r="O4283" s="152"/>
      <c r="P4283" s="153" t="str">
        <f ca="1">IF(Proc[[#This Row],[DaysAgeing]]&gt;5,"yep","on track")</f>
        <v>yep</v>
      </c>
      <c r="Q4283" s="3">
        <f ca="1">IF(Proc[[#This Row],[DateClosed]]="",ABS(NETWORKDAYS(Proc[[#This Row],[DateOpened]],TODAY()))-1,ABS(NETWORKDAYS(Proc[[#This Row],[DateOpened]],Proc[[#This Row],[DateClosed]]))-1)</f>
        <v>61</v>
      </c>
      <c r="R4283" s="153" t="s">
        <v>780</v>
      </c>
      <c r="S4283" s="150"/>
    </row>
    <row r="4284" spans="1:19" hidden="1">
      <c r="A4284" s="149" t="s">
        <v>6426</v>
      </c>
      <c r="B4284" s="150" t="str">
        <f>IFERROR(VLOOKUP(Proc[[#This Row],[App]],Table2[],3,0),"open")</f>
        <v>ok</v>
      </c>
      <c r="C4284" s="149" t="s">
        <v>369</v>
      </c>
      <c r="D4284" t="s">
        <v>6421</v>
      </c>
      <c r="E4284" s="149" t="s">
        <v>419</v>
      </c>
      <c r="F4284" s="150" t="s">
        <v>419</v>
      </c>
      <c r="G4284" s="149" t="s">
        <v>400</v>
      </c>
      <c r="H4284" s="150" t="str">
        <f>IF(Proc[[#This Row],[type]]="LFF (MDG-F)",MID(Proc[[#This Row],[Obj]],13,10),"")</f>
        <v/>
      </c>
      <c r="I4284" s="149" t="e">
        <v>#REF!</v>
      </c>
      <c r="J4284" s="150" t="b">
        <f>Proc[[#This Row],[Requested]]=Proc[[#This Row],[CurrentParent]]</f>
        <v>1</v>
      </c>
      <c r="K4284" s="150" t="str">
        <f>IF(Proc[[#This Row],[Author]]="Marcela Urrego",VLOOKUP(LEFT(Proc[[#This Row],[Requested]],1),Table3[#All],2,0),VLOOKUP(Proc[[#This Row],[Author]],Table4[],2,0))</f>
        <v>EL</v>
      </c>
      <c r="L4284" s="150" t="s">
        <v>4894</v>
      </c>
      <c r="M4284" s="152">
        <v>45925</v>
      </c>
      <c r="N4284" s="152"/>
      <c r="O4284" s="152"/>
      <c r="P4284" s="153" t="str">
        <f ca="1">IF(Proc[[#This Row],[DaysAgeing]]&gt;5,"yep","on track")</f>
        <v>yep</v>
      </c>
      <c r="Q4284" s="3">
        <f ca="1">IF(Proc[[#This Row],[DateClosed]]="",ABS(NETWORKDAYS(Proc[[#This Row],[DateOpened]],TODAY()))-1,ABS(NETWORKDAYS(Proc[[#This Row],[DateOpened]],Proc[[#This Row],[DateClosed]]))-1)</f>
        <v>61</v>
      </c>
      <c r="R4284" s="153" t="s">
        <v>780</v>
      </c>
      <c r="S4284" s="150"/>
    </row>
    <row r="4285" spans="1:19" hidden="1">
      <c r="A4285" s="149" t="s">
        <v>6426</v>
      </c>
      <c r="B4285" s="150" t="str">
        <f>IFERROR(VLOOKUP(Proc[[#This Row],[App]],Table2[],3,0),"open")</f>
        <v>ok</v>
      </c>
      <c r="C4285" s="149" t="s">
        <v>369</v>
      </c>
      <c r="D4285" t="s">
        <v>6422</v>
      </c>
      <c r="E4285" s="149" t="s">
        <v>419</v>
      </c>
      <c r="F4285" s="150" t="s">
        <v>419</v>
      </c>
      <c r="G4285" s="149" t="s">
        <v>400</v>
      </c>
      <c r="H4285" s="150" t="str">
        <f>IF(Proc[[#This Row],[type]]="LFF (MDG-F)",MID(Proc[[#This Row],[Obj]],13,10),"")</f>
        <v/>
      </c>
      <c r="I4285" s="149" t="e">
        <v>#REF!</v>
      </c>
      <c r="J4285" s="150" t="b">
        <f>Proc[[#This Row],[Requested]]=Proc[[#This Row],[CurrentParent]]</f>
        <v>1</v>
      </c>
      <c r="K4285" s="150" t="str">
        <f>IF(Proc[[#This Row],[Author]]="Marcela Urrego",VLOOKUP(LEFT(Proc[[#This Row],[Requested]],1),Table3[#All],2,0),VLOOKUP(Proc[[#This Row],[Author]],Table4[],2,0))</f>
        <v>EL</v>
      </c>
      <c r="L4285" s="150" t="s">
        <v>4894</v>
      </c>
      <c r="M4285" s="152">
        <v>45925</v>
      </c>
      <c r="N4285" s="152"/>
      <c r="O4285" s="152"/>
      <c r="P4285" s="153" t="str">
        <f ca="1">IF(Proc[[#This Row],[DaysAgeing]]&gt;5,"yep","on track")</f>
        <v>yep</v>
      </c>
      <c r="Q4285" s="3">
        <f ca="1">IF(Proc[[#This Row],[DateClosed]]="",ABS(NETWORKDAYS(Proc[[#This Row],[DateOpened]],TODAY()))-1,ABS(NETWORKDAYS(Proc[[#This Row],[DateOpened]],Proc[[#This Row],[DateClosed]]))-1)</f>
        <v>61</v>
      </c>
      <c r="R4285" s="153" t="s">
        <v>780</v>
      </c>
      <c r="S4285" s="150"/>
    </row>
    <row r="4286" spans="1:19" hidden="1">
      <c r="A4286" s="149" t="s">
        <v>6426</v>
      </c>
      <c r="B4286" s="150" t="str">
        <f>IFERROR(VLOOKUP(Proc[[#This Row],[App]],Table2[],3,0),"open")</f>
        <v>ok</v>
      </c>
      <c r="C4286" s="149" t="s">
        <v>369</v>
      </c>
      <c r="D4286" t="s">
        <v>6423</v>
      </c>
      <c r="E4286" s="149" t="s">
        <v>419</v>
      </c>
      <c r="F4286" s="150" t="s">
        <v>419</v>
      </c>
      <c r="G4286" s="149" t="s">
        <v>400</v>
      </c>
      <c r="H4286" s="150" t="str">
        <f>IF(Proc[[#This Row],[type]]="LFF (MDG-F)",MID(Proc[[#This Row],[Obj]],13,10),"")</f>
        <v/>
      </c>
      <c r="I4286" s="149" t="e">
        <v>#REF!</v>
      </c>
      <c r="J4286" s="150" t="b">
        <f>Proc[[#This Row],[Requested]]=Proc[[#This Row],[CurrentParent]]</f>
        <v>1</v>
      </c>
      <c r="K4286" s="150" t="str">
        <f>IF(Proc[[#This Row],[Author]]="Marcela Urrego",VLOOKUP(LEFT(Proc[[#This Row],[Requested]],1),Table3[#All],2,0),VLOOKUP(Proc[[#This Row],[Author]],Table4[],2,0))</f>
        <v>EL</v>
      </c>
      <c r="L4286" s="150" t="s">
        <v>4894</v>
      </c>
      <c r="M4286" s="152">
        <v>45925</v>
      </c>
      <c r="N4286" s="152"/>
      <c r="O4286" s="152"/>
      <c r="P4286" s="153" t="str">
        <f ca="1">IF(Proc[[#This Row],[DaysAgeing]]&gt;5,"yep","on track")</f>
        <v>yep</v>
      </c>
      <c r="Q4286" s="3">
        <f ca="1">IF(Proc[[#This Row],[DateClosed]]="",ABS(NETWORKDAYS(Proc[[#This Row],[DateOpened]],TODAY()))-1,ABS(NETWORKDAYS(Proc[[#This Row],[DateOpened]],Proc[[#This Row],[DateClosed]]))-1)</f>
        <v>61</v>
      </c>
      <c r="R4286" s="153" t="s">
        <v>780</v>
      </c>
      <c r="S4286" s="150"/>
    </row>
    <row r="4287" spans="1:19" hidden="1">
      <c r="A4287" s="149" t="s">
        <v>6426</v>
      </c>
      <c r="B4287" s="150" t="str">
        <f>IFERROR(VLOOKUP(Proc[[#This Row],[App]],Table2[],3,0),"open")</f>
        <v>ok</v>
      </c>
      <c r="C4287" s="149" t="s">
        <v>369</v>
      </c>
      <c r="D4287" t="s">
        <v>6424</v>
      </c>
      <c r="E4287" s="149" t="s">
        <v>419</v>
      </c>
      <c r="F4287" s="150" t="s">
        <v>419</v>
      </c>
      <c r="G4287" s="149" t="s">
        <v>400</v>
      </c>
      <c r="H4287" s="150" t="str">
        <f>IF(Proc[[#This Row],[type]]="LFF (MDG-F)",MID(Proc[[#This Row],[Obj]],13,10),"")</f>
        <v/>
      </c>
      <c r="I4287" s="149" t="e">
        <v>#REF!</v>
      </c>
      <c r="J4287" s="150" t="b">
        <f>Proc[[#This Row],[Requested]]=Proc[[#This Row],[CurrentParent]]</f>
        <v>1</v>
      </c>
      <c r="K4287" s="150" t="str">
        <f>IF(Proc[[#This Row],[Author]]="Marcela Urrego",VLOOKUP(LEFT(Proc[[#This Row],[Requested]],1),Table3[#All],2,0),VLOOKUP(Proc[[#This Row],[Author]],Table4[],2,0))</f>
        <v>EL</v>
      </c>
      <c r="L4287" s="150" t="s">
        <v>4894</v>
      </c>
      <c r="M4287" s="152">
        <v>45925</v>
      </c>
      <c r="N4287" s="152"/>
      <c r="O4287" s="152"/>
      <c r="P4287" s="153" t="str">
        <f ca="1">IF(Proc[[#This Row],[DaysAgeing]]&gt;5,"yep","on track")</f>
        <v>yep</v>
      </c>
      <c r="Q4287" s="3">
        <f ca="1">IF(Proc[[#This Row],[DateClosed]]="",ABS(NETWORKDAYS(Proc[[#This Row],[DateOpened]],TODAY()))-1,ABS(NETWORKDAYS(Proc[[#This Row],[DateOpened]],Proc[[#This Row],[DateClosed]]))-1)</f>
        <v>61</v>
      </c>
      <c r="R4287" s="153" t="s">
        <v>780</v>
      </c>
      <c r="S4287" s="150"/>
    </row>
    <row r="4288" spans="1:19" hidden="1">
      <c r="A4288" s="149" t="s">
        <v>6426</v>
      </c>
      <c r="B4288" s="150" t="str">
        <f>IFERROR(VLOOKUP(Proc[[#This Row],[App]],Table2[],3,0),"open")</f>
        <v>ok</v>
      </c>
      <c r="C4288" s="149" t="s">
        <v>369</v>
      </c>
      <c r="D4288" t="s">
        <v>6425</v>
      </c>
      <c r="E4288" t="s">
        <v>419</v>
      </c>
      <c r="F4288" s="150" t="s">
        <v>419</v>
      </c>
      <c r="G4288" s="149" t="s">
        <v>400</v>
      </c>
      <c r="H4288" s="150" t="str">
        <f>IF(Proc[[#This Row],[type]]="LFF (MDG-F)",MID(Proc[[#This Row],[Obj]],13,10),"")</f>
        <v/>
      </c>
      <c r="I4288" s="149" t="e">
        <v>#REF!</v>
      </c>
      <c r="J4288" s="150" t="b">
        <f>Proc[[#This Row],[Requested]]=Proc[[#This Row],[CurrentParent]]</f>
        <v>1</v>
      </c>
      <c r="K4288" s="150" t="str">
        <f>IF(Proc[[#This Row],[Author]]="Marcela Urrego",VLOOKUP(LEFT(Proc[[#This Row],[Requested]],1),Table3[#All],2,0),VLOOKUP(Proc[[#This Row],[Author]],Table4[],2,0))</f>
        <v>EL</v>
      </c>
      <c r="L4288" s="150" t="s">
        <v>4894</v>
      </c>
      <c r="M4288" s="152">
        <v>45925</v>
      </c>
      <c r="N4288" s="152"/>
      <c r="O4288" s="152"/>
      <c r="P4288" s="153" t="str">
        <f ca="1">IF(Proc[[#This Row],[DaysAgeing]]&gt;5,"yep","on track")</f>
        <v>yep</v>
      </c>
      <c r="Q4288" s="3">
        <f ca="1">IF(Proc[[#This Row],[DateClosed]]="",ABS(NETWORKDAYS(Proc[[#This Row],[DateOpened]],TODAY()))-1,ABS(NETWORKDAYS(Proc[[#This Row],[DateOpened]],Proc[[#This Row],[DateClosed]]))-1)</f>
        <v>61</v>
      </c>
      <c r="R4288" s="153" t="s">
        <v>780</v>
      </c>
      <c r="S4288" s="150"/>
    </row>
    <row r="4289" spans="1:19" s="149" customFormat="1" hidden="1">
      <c r="A4289" s="149" t="s">
        <v>6427</v>
      </c>
      <c r="B4289" s="150" t="str">
        <f>IFERROR(VLOOKUP(Proc[[#This Row],[App]],Table2[],3,0),"open")</f>
        <v>ok</v>
      </c>
      <c r="C4289" s="149" t="s">
        <v>369</v>
      </c>
      <c r="D4289" s="149" t="s">
        <v>6428</v>
      </c>
      <c r="E4289" s="149" t="s">
        <v>6429</v>
      </c>
      <c r="F4289" s="150" t="s">
        <v>6429</v>
      </c>
      <c r="G4289" s="149" t="s">
        <v>400</v>
      </c>
      <c r="H4289" s="150" t="str">
        <f>IF(Proc[[#This Row],[type]]="LFF (MDG-F)",MID(Proc[[#This Row],[Obj]],13,10),"")</f>
        <v/>
      </c>
      <c r="J4289" s="150" t="b">
        <f>Proc[[#This Row],[Requested]]=Proc[[#This Row],[CurrentParent]]</f>
        <v>1</v>
      </c>
      <c r="K4289" s="150" t="str">
        <f>IF(Proc[[#This Row],[Author]]="Marcela Urrego",VLOOKUP(LEFT(Proc[[#This Row],[Requested]],1),Table3[#All],2,0),VLOOKUP(Proc[[#This Row],[Author]],Table4[],2,0))</f>
        <v>MGF</v>
      </c>
      <c r="L4289" s="150" t="s">
        <v>4894</v>
      </c>
      <c r="M4289" s="153">
        <v>45930</v>
      </c>
      <c r="N4289" s="153"/>
      <c r="O4289" s="153"/>
      <c r="P4289" s="154" t="str">
        <f ca="1">IF(Proc[[#This Row],[DaysAgeing]]&gt;5,"yep","on track")</f>
        <v>yep</v>
      </c>
      <c r="Q4289" s="3">
        <f ca="1">IF(Proc[[#This Row],[DateClosed]]="",ABS(NETWORKDAYS(Proc[[#This Row],[DateOpened]],TODAY()))-1,ABS(NETWORKDAYS(Proc[[#This Row],[DateOpened]],Proc[[#This Row],[DateClosed]]))-1)</f>
        <v>58</v>
      </c>
      <c r="R4289" s="154" t="s">
        <v>515</v>
      </c>
      <c r="S4289" s="150"/>
    </row>
    <row r="4290" spans="1:19" s="149" customFormat="1" hidden="1">
      <c r="A4290" s="149" t="s">
        <v>6430</v>
      </c>
      <c r="B4290" s="150" t="str">
        <f>IFERROR(VLOOKUP(Proc[[#This Row],[App]],Table2[],3,0),"open")</f>
        <v>ok</v>
      </c>
      <c r="C4290" s="149" t="s">
        <v>369</v>
      </c>
      <c r="D4290" s="149" t="s">
        <v>6251</v>
      </c>
      <c r="E4290" s="149" t="s">
        <v>6248</v>
      </c>
      <c r="F4290" s="150" t="s">
        <v>6248</v>
      </c>
      <c r="G4290" s="149" t="s">
        <v>406</v>
      </c>
      <c r="H4290" s="150" t="str">
        <f>IF(Proc[[#This Row],[type]]="LFF (MDG-F)",MID(Proc[[#This Row],[Obj]],13,10),"")</f>
        <v>US10O05003</v>
      </c>
      <c r="J4290" s="150" t="b">
        <f>Proc[[#This Row],[Requested]]=Proc[[#This Row],[CurrentParent]]</f>
        <v>1</v>
      </c>
      <c r="K4290" s="150" t="str">
        <f>IF(Proc[[#This Row],[Author]]="Marcela Urrego",VLOOKUP(LEFT(Proc[[#This Row],[Requested]],1),Table3[#All],2,0),VLOOKUP(Proc[[#This Row],[Author]],Table4[],2,0))</f>
        <v>EL</v>
      </c>
      <c r="L4290" s="150" t="s">
        <v>6435</v>
      </c>
      <c r="M4290" s="153">
        <v>45931</v>
      </c>
      <c r="N4290" s="153"/>
      <c r="O4290" s="153"/>
      <c r="P4290" s="154" t="str">
        <f ca="1">IF(Proc[[#This Row],[DaysAgeing]]&gt;5,"yep","on track")</f>
        <v>yep</v>
      </c>
      <c r="Q4290" s="3">
        <f ca="1">IF(Proc[[#This Row],[DateClosed]]="",ABS(NETWORKDAYS(Proc[[#This Row],[DateOpened]],TODAY()))-1,ABS(NETWORKDAYS(Proc[[#This Row],[DateOpened]],Proc[[#This Row],[DateClosed]]))-1)</f>
        <v>57</v>
      </c>
      <c r="R4290" s="154" t="s">
        <v>780</v>
      </c>
      <c r="S4290" s="150"/>
    </row>
    <row r="4291" spans="1:19" s="149" customFormat="1" hidden="1">
      <c r="A4291" s="149" t="s">
        <v>6430</v>
      </c>
      <c r="B4291" s="150" t="str">
        <f>IFERROR(VLOOKUP(Proc[[#This Row],[App]],Table2[],3,0),"open")</f>
        <v>ok</v>
      </c>
      <c r="C4291" s="149" t="s">
        <v>369</v>
      </c>
      <c r="D4291" s="149" t="s">
        <v>6431</v>
      </c>
      <c r="E4291" s="149" t="s">
        <v>6249</v>
      </c>
      <c r="F4291" s="150" t="s">
        <v>6249</v>
      </c>
      <c r="G4291" s="149" t="s">
        <v>406</v>
      </c>
      <c r="H4291" s="150" t="str">
        <f>IF(Proc[[#This Row],[type]]="LFF (MDG-F)",MID(Proc[[#This Row],[Obj]],13,10),"")</f>
        <v>KR07O05003</v>
      </c>
      <c r="J4291" s="150" t="b">
        <f>Proc[[#This Row],[Requested]]=Proc[[#This Row],[CurrentParent]]</f>
        <v>1</v>
      </c>
      <c r="K4291" s="150" t="str">
        <f>IF(Proc[[#This Row],[Author]]="Marcela Urrego",VLOOKUP(LEFT(Proc[[#This Row],[Requested]],1),Table3[#All],2,0),VLOOKUP(Proc[[#This Row],[Author]],Table4[],2,0))</f>
        <v>EL</v>
      </c>
      <c r="L4291" s="150" t="s">
        <v>6435</v>
      </c>
      <c r="M4291" s="153">
        <v>45931</v>
      </c>
      <c r="N4291" s="153"/>
      <c r="O4291" s="153"/>
      <c r="P4291" s="154" t="str">
        <f ca="1">IF(Proc[[#This Row],[DaysAgeing]]&gt;5,"yep","on track")</f>
        <v>yep</v>
      </c>
      <c r="Q4291" s="3">
        <f ca="1">IF(Proc[[#This Row],[DateClosed]]="",ABS(NETWORKDAYS(Proc[[#This Row],[DateOpened]],TODAY()))-1,ABS(NETWORKDAYS(Proc[[#This Row],[DateOpened]],Proc[[#This Row],[DateClosed]]))-1)</f>
        <v>57</v>
      </c>
      <c r="R4291" s="154" t="s">
        <v>780</v>
      </c>
      <c r="S4291" s="150"/>
    </row>
    <row r="4292" spans="1:19" s="149" customFormat="1" hidden="1">
      <c r="A4292" s="149" t="s">
        <v>6430</v>
      </c>
      <c r="B4292" s="150" t="str">
        <f>IFERROR(VLOOKUP(Proc[[#This Row],[App]],Table2[],3,0),"open")</f>
        <v>ok</v>
      </c>
      <c r="C4292" s="149" t="s">
        <v>369</v>
      </c>
      <c r="D4292" s="149" t="s">
        <v>6432</v>
      </c>
      <c r="E4292" s="149" t="s">
        <v>6249</v>
      </c>
      <c r="F4292" s="150" t="s">
        <v>6249</v>
      </c>
      <c r="G4292" s="149" t="s">
        <v>406</v>
      </c>
      <c r="H4292" s="150" t="str">
        <f>IF(Proc[[#This Row],[type]]="LFF (MDG-F)",MID(Proc[[#This Row],[Obj]],13,10),"")</f>
        <v>CN10O05003</v>
      </c>
      <c r="J4292" s="150" t="b">
        <f>Proc[[#This Row],[Requested]]=Proc[[#This Row],[CurrentParent]]</f>
        <v>1</v>
      </c>
      <c r="K4292" s="150" t="str">
        <f>IF(Proc[[#This Row],[Author]]="Marcela Urrego",VLOOKUP(LEFT(Proc[[#This Row],[Requested]],1),Table3[#All],2,0),VLOOKUP(Proc[[#This Row],[Author]],Table4[],2,0))</f>
        <v>EL</v>
      </c>
      <c r="L4292" s="150" t="s">
        <v>6435</v>
      </c>
      <c r="M4292" s="153">
        <v>45931</v>
      </c>
      <c r="N4292" s="153"/>
      <c r="O4292" s="153"/>
      <c r="P4292" s="154" t="str">
        <f ca="1">IF(Proc[[#This Row],[DaysAgeing]]&gt;5,"yep","on track")</f>
        <v>yep</v>
      </c>
      <c r="Q4292" s="3">
        <f ca="1">IF(Proc[[#This Row],[DateClosed]]="",ABS(NETWORKDAYS(Proc[[#This Row],[DateOpened]],TODAY()))-1,ABS(NETWORKDAYS(Proc[[#This Row],[DateOpened]],Proc[[#This Row],[DateClosed]]))-1)</f>
        <v>57</v>
      </c>
      <c r="R4292" s="154" t="s">
        <v>780</v>
      </c>
      <c r="S4292" s="150"/>
    </row>
    <row r="4293" spans="1:19" s="149" customFormat="1" hidden="1">
      <c r="A4293" s="149" t="s">
        <v>6430</v>
      </c>
      <c r="B4293" s="150" t="str">
        <f>IFERROR(VLOOKUP(Proc[[#This Row],[App]],Table2[],3,0),"open")</f>
        <v>ok</v>
      </c>
      <c r="C4293" s="149" t="s">
        <v>369</v>
      </c>
      <c r="D4293" s="149" t="s">
        <v>6433</v>
      </c>
      <c r="E4293" s="149" t="s">
        <v>6477</v>
      </c>
      <c r="F4293" s="150" t="s">
        <v>6477</v>
      </c>
      <c r="G4293" s="149" t="s">
        <v>400</v>
      </c>
      <c r="H4293" s="150" t="str">
        <f>IF(Proc[[#This Row],[type]]="LFF (MDG-F)",MID(Proc[[#This Row],[Obj]],13,10),"")</f>
        <v/>
      </c>
      <c r="J4293" s="150" t="b">
        <f>Proc[[#This Row],[Requested]]=Proc[[#This Row],[CurrentParent]]</f>
        <v>1</v>
      </c>
      <c r="K4293" s="150" t="str">
        <f>IF(Proc[[#This Row],[Author]]="Marcela Urrego",VLOOKUP(LEFT(Proc[[#This Row],[Requested]],1),Table3[#All],2,0),VLOOKUP(Proc[[#This Row],[Author]],Table4[],2,0))</f>
        <v>EL</v>
      </c>
      <c r="L4293" s="150" t="s">
        <v>6435</v>
      </c>
      <c r="M4293" s="153">
        <v>45931</v>
      </c>
      <c r="N4293" s="153"/>
      <c r="O4293" s="153"/>
      <c r="P4293" s="154" t="str">
        <f ca="1">IF(Proc[[#This Row],[DaysAgeing]]&gt;5,"yep","on track")</f>
        <v>yep</v>
      </c>
      <c r="Q4293" s="3">
        <f ca="1">IF(Proc[[#This Row],[DateClosed]]="",ABS(NETWORKDAYS(Proc[[#This Row],[DateOpened]],TODAY()))-1,ABS(NETWORKDAYS(Proc[[#This Row],[DateOpened]],Proc[[#This Row],[DateClosed]]))-1)</f>
        <v>57</v>
      </c>
      <c r="R4293" s="154" t="s">
        <v>780</v>
      </c>
      <c r="S4293" s="150"/>
    </row>
    <row r="4294" spans="1:19" hidden="1">
      <c r="A4294" t="s">
        <v>6434</v>
      </c>
      <c r="B4294" s="150" t="str">
        <f>IFERROR(VLOOKUP(Proc[[#This Row],[App]],Table2[],3,0),"open")</f>
        <v>ok</v>
      </c>
      <c r="C4294" s="149" t="s">
        <v>369</v>
      </c>
      <c r="D4294" t="s">
        <v>6360</v>
      </c>
      <c r="E4294" t="s">
        <v>6403</v>
      </c>
      <c r="F4294" s="150" t="s">
        <v>6403</v>
      </c>
      <c r="G4294" t="s">
        <v>406</v>
      </c>
      <c r="H4294" s="150" t="str">
        <f>IF(Proc[[#This Row],[type]]="LFF (MDG-F)",MID(Proc[[#This Row],[Obj]],13,10),"")</f>
        <v>BE50C00921</v>
      </c>
      <c r="J4294" s="150" t="b">
        <f>Proc[[#This Row],[Requested]]=Proc[[#This Row],[CurrentParent]]</f>
        <v>1</v>
      </c>
      <c r="K4294" s="150" t="str">
        <f>IF(Proc[[#This Row],[Author]]="Marcela Urrego",VLOOKUP(LEFT(Proc[[#This Row],[Requested]],1),Table3[#All],2,0),VLOOKUP(Proc[[#This Row],[Author]],Table4[],2,0))</f>
        <v>HC</v>
      </c>
      <c r="L4294" s="150" t="s">
        <v>6435</v>
      </c>
      <c r="M4294" s="153">
        <v>45931</v>
      </c>
      <c r="N4294" s="153"/>
      <c r="O4294" s="153"/>
      <c r="P4294" s="154" t="str">
        <f ca="1">IF(Proc[[#This Row],[DaysAgeing]]&gt;5,"yep","on track")</f>
        <v>yep</v>
      </c>
      <c r="Q4294" s="3">
        <f ca="1">IF(Proc[[#This Row],[DateClosed]]="",ABS(NETWORKDAYS(Proc[[#This Row],[DateOpened]],TODAY()))-1,ABS(NETWORKDAYS(Proc[[#This Row],[DateOpened]],Proc[[#This Row],[DateClosed]]))-1)</f>
        <v>57</v>
      </c>
      <c r="R4294" s="154" t="s">
        <v>410</v>
      </c>
      <c r="S4294" s="150"/>
    </row>
    <row r="4295" spans="1:19" hidden="1">
      <c r="A4295" t="s">
        <v>6434</v>
      </c>
      <c r="B4295" s="150" t="str">
        <f>IFERROR(VLOOKUP(Proc[[#This Row],[App]],Table2[],3,0),"open")</f>
        <v>ok</v>
      </c>
      <c r="C4295" s="149" t="s">
        <v>369</v>
      </c>
      <c r="D4295" t="s">
        <v>6372</v>
      </c>
      <c r="E4295" t="s">
        <v>6403</v>
      </c>
      <c r="F4295" s="150" t="s">
        <v>6403</v>
      </c>
      <c r="G4295" t="s">
        <v>406</v>
      </c>
      <c r="H4295" s="150" t="str">
        <f>IF(Proc[[#This Row],[type]]="LFF (MDG-F)",MID(Proc[[#This Row],[Obj]],13,10),"")</f>
        <v>DE50C00011</v>
      </c>
      <c r="J4295" s="150" t="b">
        <f>Proc[[#This Row],[Requested]]=Proc[[#This Row],[CurrentParent]]</f>
        <v>1</v>
      </c>
      <c r="K4295" s="150" t="str">
        <f>IF(Proc[[#This Row],[Author]]="Marcela Urrego",VLOOKUP(LEFT(Proc[[#This Row],[Requested]],1),Table3[#All],2,0),VLOOKUP(Proc[[#This Row],[Author]],Table4[],2,0))</f>
        <v>HC</v>
      </c>
      <c r="L4295" s="150" t="s">
        <v>6435</v>
      </c>
      <c r="M4295" s="153">
        <v>45931</v>
      </c>
      <c r="N4295" s="153"/>
      <c r="O4295" s="153"/>
      <c r="P4295" s="154" t="str">
        <f ca="1">IF(Proc[[#This Row],[DaysAgeing]]&gt;5,"yep","on track")</f>
        <v>yep</v>
      </c>
      <c r="Q4295" s="3">
        <f ca="1">IF(Proc[[#This Row],[DateClosed]]="",ABS(NETWORKDAYS(Proc[[#This Row],[DateOpened]],TODAY()))-1,ABS(NETWORKDAYS(Proc[[#This Row],[DateOpened]],Proc[[#This Row],[DateClosed]]))-1)</f>
        <v>57</v>
      </c>
      <c r="R4295" s="154" t="s">
        <v>410</v>
      </c>
      <c r="S4295" s="150"/>
    </row>
    <row r="4296" spans="1:19" hidden="1">
      <c r="A4296" t="s">
        <v>6436</v>
      </c>
      <c r="B4296" s="150" t="str">
        <f>IFERROR(VLOOKUP(Proc[[#This Row],[App]],Table2[],3,0),"open")</f>
        <v>ok</v>
      </c>
      <c r="C4296" s="149" t="s">
        <v>369</v>
      </c>
      <c r="D4296" t="s">
        <v>6244</v>
      </c>
      <c r="E4296" t="s">
        <v>1458</v>
      </c>
      <c r="F4296" s="150" t="s">
        <v>1458</v>
      </c>
      <c r="G4296" s="149" t="s">
        <v>400</v>
      </c>
      <c r="H4296" s="150" t="str">
        <f>IF(Proc[[#This Row],[type]]="LFF (MDG-F)",MID(Proc[[#This Row],[Obj]],13,10),"")</f>
        <v/>
      </c>
      <c r="J4296" s="150" t="b">
        <f>Proc[[#This Row],[Requested]]=Proc[[#This Row],[CurrentParent]]</f>
        <v>1</v>
      </c>
      <c r="K4296" s="150" t="str">
        <f>IF(Proc[[#This Row],[Author]]="Marcela Urrego",VLOOKUP(LEFT(Proc[[#This Row],[Requested]],1),Table3[#All],2,0),VLOOKUP(Proc[[#This Row],[Author]],Table4[],2,0))</f>
        <v>MGF</v>
      </c>
      <c r="L4296" s="150" t="s">
        <v>6435</v>
      </c>
      <c r="M4296" s="154">
        <v>45933</v>
      </c>
      <c r="N4296" s="155"/>
      <c r="O4296" s="155"/>
      <c r="P4296" s="154" t="str">
        <f ca="1">IF(Proc[[#This Row],[DaysAgeing]]&gt;5,"yep","on track")</f>
        <v>yep</v>
      </c>
      <c r="Q4296" s="3">
        <f ca="1">IF(Proc[[#This Row],[DateClosed]]="",ABS(NETWORKDAYS(Proc[[#This Row],[DateOpened]],TODAY()))-1,ABS(NETWORKDAYS(Proc[[#This Row],[DateOpened]],Proc[[#This Row],[DateClosed]]))-1)</f>
        <v>55</v>
      </c>
      <c r="R4296" s="154" t="s">
        <v>1459</v>
      </c>
      <c r="S4296" s="150"/>
    </row>
    <row r="4297" spans="1:19" hidden="1">
      <c r="A4297" s="149" t="s">
        <v>6436</v>
      </c>
      <c r="B4297" s="150" t="str">
        <f>IFERROR(VLOOKUP(Proc[[#This Row],[App]],Table2[],3,0),"open")</f>
        <v>ok</v>
      </c>
      <c r="C4297" s="149" t="s">
        <v>369</v>
      </c>
      <c r="D4297" t="s">
        <v>2330</v>
      </c>
      <c r="E4297" t="s">
        <v>424</v>
      </c>
      <c r="F4297" s="150" t="s">
        <v>424</v>
      </c>
      <c r="G4297" s="149" t="s">
        <v>400</v>
      </c>
      <c r="H4297" s="150" t="str">
        <f>IF(Proc[[#This Row],[type]]="LFF (MDG-F)",MID(Proc[[#This Row],[Obj]],13,10),"")</f>
        <v/>
      </c>
      <c r="J4297" s="150" t="b">
        <f>Proc[[#This Row],[Requested]]=Proc[[#This Row],[CurrentParent]]</f>
        <v>1</v>
      </c>
      <c r="K4297" s="150" t="str">
        <f>IF(Proc[[#This Row],[Author]]="Marcela Urrego",VLOOKUP(LEFT(Proc[[#This Row],[Requested]],1),Table3[#All],2,0),VLOOKUP(Proc[[#This Row],[Author]],Table4[],2,0))</f>
        <v>MGF</v>
      </c>
      <c r="L4297" s="150" t="s">
        <v>6435</v>
      </c>
      <c r="M4297" s="154">
        <v>45933</v>
      </c>
      <c r="N4297" s="155"/>
      <c r="O4297" s="155"/>
      <c r="P4297" s="154" t="str">
        <f ca="1">IF(Proc[[#This Row],[DaysAgeing]]&gt;5,"yep","on track")</f>
        <v>yep</v>
      </c>
      <c r="Q4297" s="3">
        <f ca="1">IF(Proc[[#This Row],[DateClosed]]="",ABS(NETWORKDAYS(Proc[[#This Row],[DateOpened]],TODAY()))-1,ABS(NETWORKDAYS(Proc[[#This Row],[DateOpened]],Proc[[#This Row],[DateClosed]]))-1)</f>
        <v>55</v>
      </c>
      <c r="R4297" s="154" t="s">
        <v>1459</v>
      </c>
      <c r="S4297" s="150"/>
    </row>
    <row r="4298" spans="1:19" hidden="1">
      <c r="A4298" s="149" t="s">
        <v>6436</v>
      </c>
      <c r="B4298" s="150" t="str">
        <f>IFERROR(VLOOKUP(Proc[[#This Row],[App]],Table2[],3,0),"open")</f>
        <v>ok</v>
      </c>
      <c r="C4298" s="149" t="s">
        <v>369</v>
      </c>
      <c r="D4298" t="s">
        <v>4407</v>
      </c>
      <c r="E4298" t="s">
        <v>4411</v>
      </c>
      <c r="F4298" s="150" t="s">
        <v>4411</v>
      </c>
      <c r="G4298" s="149" t="s">
        <v>400</v>
      </c>
      <c r="H4298" s="150" t="str">
        <f>IF(Proc[[#This Row],[type]]="LFF (MDG-F)",MID(Proc[[#This Row],[Obj]],13,10),"")</f>
        <v/>
      </c>
      <c r="J4298" s="150" t="b">
        <f>Proc[[#This Row],[Requested]]=Proc[[#This Row],[CurrentParent]]</f>
        <v>1</v>
      </c>
      <c r="K4298" s="150" t="str">
        <f>IF(Proc[[#This Row],[Author]]="Marcela Urrego",VLOOKUP(LEFT(Proc[[#This Row],[Requested]],1),Table3[#All],2,0),VLOOKUP(Proc[[#This Row],[Author]],Table4[],2,0))</f>
        <v>MGF</v>
      </c>
      <c r="L4298" s="150" t="s">
        <v>6435</v>
      </c>
      <c r="M4298" s="154">
        <v>45933</v>
      </c>
      <c r="N4298" s="155"/>
      <c r="O4298" s="155"/>
      <c r="P4298" s="154" t="str">
        <f ca="1">IF(Proc[[#This Row],[DaysAgeing]]&gt;5,"yep","on track")</f>
        <v>yep</v>
      </c>
      <c r="Q4298" s="3">
        <f ca="1">IF(Proc[[#This Row],[DateClosed]]="",ABS(NETWORKDAYS(Proc[[#This Row],[DateOpened]],TODAY()))-1,ABS(NETWORKDAYS(Proc[[#This Row],[DateOpened]],Proc[[#This Row],[DateClosed]]))-1)</f>
        <v>55</v>
      </c>
      <c r="R4298" s="154" t="s">
        <v>1459</v>
      </c>
      <c r="S4298" s="150"/>
    </row>
    <row r="4299" spans="1:19" hidden="1">
      <c r="A4299" s="149" t="s">
        <v>6436</v>
      </c>
      <c r="B4299" s="150" t="str">
        <f>IFERROR(VLOOKUP(Proc[[#This Row],[App]],Table2[],3,0),"open")</f>
        <v>ok</v>
      </c>
      <c r="C4299" s="149" t="s">
        <v>369</v>
      </c>
      <c r="D4299" t="s">
        <v>6437</v>
      </c>
      <c r="E4299" t="s">
        <v>424</v>
      </c>
      <c r="F4299" s="150" t="s">
        <v>424</v>
      </c>
      <c r="G4299" s="149" t="s">
        <v>400</v>
      </c>
      <c r="H4299" s="150" t="str">
        <f>IF(Proc[[#This Row],[type]]="LFF (MDG-F)",MID(Proc[[#This Row],[Obj]],13,10),"")</f>
        <v/>
      </c>
      <c r="J4299" s="150" t="b">
        <f>Proc[[#This Row],[Requested]]=Proc[[#This Row],[CurrentParent]]</f>
        <v>1</v>
      </c>
      <c r="K4299" s="150" t="str">
        <f>IF(Proc[[#This Row],[Author]]="Marcela Urrego",VLOOKUP(LEFT(Proc[[#This Row],[Requested]],1),Table3[#All],2,0),VLOOKUP(Proc[[#This Row],[Author]],Table4[],2,0))</f>
        <v>MGF</v>
      </c>
      <c r="L4299" s="150" t="s">
        <v>6435</v>
      </c>
      <c r="M4299" s="154">
        <v>45933</v>
      </c>
      <c r="N4299" s="155"/>
      <c r="O4299" s="155"/>
      <c r="P4299" s="154" t="str">
        <f ca="1">IF(Proc[[#This Row],[DaysAgeing]]&gt;5,"yep","on track")</f>
        <v>yep</v>
      </c>
      <c r="Q4299" s="3">
        <f ca="1">IF(Proc[[#This Row],[DateClosed]]="",ABS(NETWORKDAYS(Proc[[#This Row],[DateOpened]],TODAY()))-1,ABS(NETWORKDAYS(Proc[[#This Row],[DateOpened]],Proc[[#This Row],[DateClosed]]))-1)</f>
        <v>55</v>
      </c>
      <c r="R4299" s="154" t="s">
        <v>1459</v>
      </c>
      <c r="S4299" s="150"/>
    </row>
    <row r="4300" spans="1:19" hidden="1">
      <c r="A4300" s="149" t="s">
        <v>6436</v>
      </c>
      <c r="B4300" s="150" t="str">
        <f>IFERROR(VLOOKUP(Proc[[#This Row],[App]],Table2[],3,0),"open")</f>
        <v>ok</v>
      </c>
      <c r="C4300" s="149" t="s">
        <v>369</v>
      </c>
      <c r="D4300" t="s">
        <v>5441</v>
      </c>
      <c r="E4300" t="s">
        <v>6445</v>
      </c>
      <c r="F4300" s="150" t="s">
        <v>6445</v>
      </c>
      <c r="G4300" s="149" t="s">
        <v>400</v>
      </c>
      <c r="H4300" s="150" t="str">
        <f>IF(Proc[[#This Row],[type]]="LFF (MDG-F)",MID(Proc[[#This Row],[Obj]],13,10),"")</f>
        <v/>
      </c>
      <c r="J4300" s="150" t="b">
        <f>Proc[[#This Row],[Requested]]=Proc[[#This Row],[CurrentParent]]</f>
        <v>1</v>
      </c>
      <c r="K4300" s="150" t="str">
        <f>IF(Proc[[#This Row],[Author]]="Marcela Urrego",VLOOKUP(LEFT(Proc[[#This Row],[Requested]],1),Table3[#All],2,0),VLOOKUP(Proc[[#This Row],[Author]],Table4[],2,0))</f>
        <v>MGF</v>
      </c>
      <c r="L4300" s="150" t="s">
        <v>6435</v>
      </c>
      <c r="M4300" s="154">
        <v>45933</v>
      </c>
      <c r="N4300" s="155"/>
      <c r="O4300" s="155"/>
      <c r="P4300" s="154" t="str">
        <f ca="1">IF(Proc[[#This Row],[DaysAgeing]]&gt;5,"yep","on track")</f>
        <v>yep</v>
      </c>
      <c r="Q4300" s="3">
        <f ca="1">IF(Proc[[#This Row],[DateClosed]]="",ABS(NETWORKDAYS(Proc[[#This Row],[DateOpened]],TODAY()))-1,ABS(NETWORKDAYS(Proc[[#This Row],[DateOpened]],Proc[[#This Row],[DateClosed]]))-1)</f>
        <v>55</v>
      </c>
      <c r="R4300" s="154" t="s">
        <v>1459</v>
      </c>
      <c r="S4300" s="150"/>
    </row>
    <row r="4301" spans="1:19" hidden="1">
      <c r="A4301" s="149" t="s">
        <v>6436</v>
      </c>
      <c r="B4301" s="150" t="str">
        <f>IFERROR(VLOOKUP(Proc[[#This Row],[App]],Table2[],3,0),"open")</f>
        <v>ok</v>
      </c>
      <c r="C4301" s="149" t="s">
        <v>369</v>
      </c>
      <c r="D4301" t="s">
        <v>5439</v>
      </c>
      <c r="E4301" t="s">
        <v>6445</v>
      </c>
      <c r="F4301" s="150" t="s">
        <v>6445</v>
      </c>
      <c r="G4301" s="149" t="s">
        <v>400</v>
      </c>
      <c r="H4301" s="150" t="str">
        <f>IF(Proc[[#This Row],[type]]="LFF (MDG-F)",MID(Proc[[#This Row],[Obj]],13,10),"")</f>
        <v/>
      </c>
      <c r="J4301" s="150" t="b">
        <f>Proc[[#This Row],[Requested]]=Proc[[#This Row],[CurrentParent]]</f>
        <v>1</v>
      </c>
      <c r="K4301" s="150" t="str">
        <f>IF(Proc[[#This Row],[Author]]="Marcela Urrego",VLOOKUP(LEFT(Proc[[#This Row],[Requested]],1),Table3[#All],2,0),VLOOKUP(Proc[[#This Row],[Author]],Table4[],2,0))</f>
        <v>MGF</v>
      </c>
      <c r="L4301" s="150" t="s">
        <v>6435</v>
      </c>
      <c r="M4301" s="154">
        <v>45933</v>
      </c>
      <c r="N4301" s="155"/>
      <c r="O4301" s="155"/>
      <c r="P4301" s="154" t="str">
        <f ca="1">IF(Proc[[#This Row],[DaysAgeing]]&gt;5,"yep","on track")</f>
        <v>yep</v>
      </c>
      <c r="Q4301" s="3">
        <f ca="1">IF(Proc[[#This Row],[DateClosed]]="",ABS(NETWORKDAYS(Proc[[#This Row],[DateOpened]],TODAY()))-1,ABS(NETWORKDAYS(Proc[[#This Row],[DateOpened]],Proc[[#This Row],[DateClosed]]))-1)</f>
        <v>55</v>
      </c>
      <c r="R4301" s="154" t="s">
        <v>1459</v>
      </c>
      <c r="S4301" s="150"/>
    </row>
    <row r="4302" spans="1:19" hidden="1">
      <c r="A4302" s="149" t="s">
        <v>6436</v>
      </c>
      <c r="B4302" s="150" t="str">
        <f>IFERROR(VLOOKUP(Proc[[#This Row],[App]],Table2[],3,0),"open")</f>
        <v>ok</v>
      </c>
      <c r="C4302" s="149" t="s">
        <v>369</v>
      </c>
      <c r="D4302" t="s">
        <v>5304</v>
      </c>
      <c r="E4302" t="s">
        <v>6446</v>
      </c>
      <c r="F4302" s="150" t="s">
        <v>6446</v>
      </c>
      <c r="G4302" s="149" t="s">
        <v>400</v>
      </c>
      <c r="H4302" s="150" t="str">
        <f>IF(Proc[[#This Row],[type]]="LFF (MDG-F)",MID(Proc[[#This Row],[Obj]],13,10),"")</f>
        <v/>
      </c>
      <c r="J4302" s="150" t="b">
        <f>Proc[[#This Row],[Requested]]=Proc[[#This Row],[CurrentParent]]</f>
        <v>1</v>
      </c>
      <c r="K4302" s="150" t="str">
        <f>IF(Proc[[#This Row],[Author]]="Marcela Urrego",VLOOKUP(LEFT(Proc[[#This Row],[Requested]],1),Table3[#All],2,0),VLOOKUP(Proc[[#This Row],[Author]],Table4[],2,0))</f>
        <v>MGF</v>
      </c>
      <c r="L4302" s="150" t="s">
        <v>6435</v>
      </c>
      <c r="M4302" s="154">
        <v>45933</v>
      </c>
      <c r="N4302" s="155"/>
      <c r="O4302" s="155"/>
      <c r="P4302" s="154" t="str">
        <f ca="1">IF(Proc[[#This Row],[DaysAgeing]]&gt;5,"yep","on track")</f>
        <v>yep</v>
      </c>
      <c r="Q4302" s="3">
        <f ca="1">IF(Proc[[#This Row],[DateClosed]]="",ABS(NETWORKDAYS(Proc[[#This Row],[DateOpened]],TODAY()))-1,ABS(NETWORKDAYS(Proc[[#This Row],[DateOpened]],Proc[[#This Row],[DateClosed]]))-1)</f>
        <v>55</v>
      </c>
      <c r="R4302" s="154" t="s">
        <v>1459</v>
      </c>
      <c r="S4302" s="150"/>
    </row>
    <row r="4303" spans="1:19" hidden="1">
      <c r="A4303" s="149" t="s">
        <v>6436</v>
      </c>
      <c r="B4303" s="150" t="str">
        <f>IFERROR(VLOOKUP(Proc[[#This Row],[App]],Table2[],3,0),"open")</f>
        <v>ok</v>
      </c>
      <c r="C4303" s="149" t="s">
        <v>369</v>
      </c>
      <c r="D4303" t="s">
        <v>5440</v>
      </c>
      <c r="E4303" t="s">
        <v>6447</v>
      </c>
      <c r="F4303" s="150" t="s">
        <v>6447</v>
      </c>
      <c r="G4303" s="149" t="s">
        <v>400</v>
      </c>
      <c r="H4303" s="150" t="str">
        <f>IF(Proc[[#This Row],[type]]="LFF (MDG-F)",MID(Proc[[#This Row],[Obj]],13,10),"")</f>
        <v/>
      </c>
      <c r="J4303" s="150" t="b">
        <f>Proc[[#This Row],[Requested]]=Proc[[#This Row],[CurrentParent]]</f>
        <v>1</v>
      </c>
      <c r="K4303" s="150" t="str">
        <f>IF(Proc[[#This Row],[Author]]="Marcela Urrego",VLOOKUP(LEFT(Proc[[#This Row],[Requested]],1),Table3[#All],2,0),VLOOKUP(Proc[[#This Row],[Author]],Table4[],2,0))</f>
        <v>MGF</v>
      </c>
      <c r="L4303" s="150" t="s">
        <v>6435</v>
      </c>
      <c r="M4303" s="154">
        <v>45933</v>
      </c>
      <c r="N4303" s="155"/>
      <c r="O4303" s="155"/>
      <c r="P4303" s="154" t="str">
        <f ca="1">IF(Proc[[#This Row],[DaysAgeing]]&gt;5,"yep","on track")</f>
        <v>yep</v>
      </c>
      <c r="Q4303" s="3">
        <f ca="1">IF(Proc[[#This Row],[DateClosed]]="",ABS(NETWORKDAYS(Proc[[#This Row],[DateOpened]],TODAY()))-1,ABS(NETWORKDAYS(Proc[[#This Row],[DateOpened]],Proc[[#This Row],[DateClosed]]))-1)</f>
        <v>55</v>
      </c>
      <c r="R4303" s="154" t="s">
        <v>1459</v>
      </c>
      <c r="S4303" s="150"/>
    </row>
    <row r="4304" spans="1:19" hidden="1">
      <c r="A4304" s="149" t="s">
        <v>6436</v>
      </c>
      <c r="B4304" s="150" t="str">
        <f>IFERROR(VLOOKUP(Proc[[#This Row],[App]],Table2[],3,0),"open")</f>
        <v>ok</v>
      </c>
      <c r="C4304" s="149" t="s">
        <v>377</v>
      </c>
      <c r="D4304" t="s">
        <v>2319</v>
      </c>
      <c r="E4304" t="s">
        <v>430</v>
      </c>
      <c r="F4304" s="150" t="s">
        <v>5569</v>
      </c>
      <c r="G4304" t="s">
        <v>406</v>
      </c>
      <c r="H4304" s="150" t="str">
        <f>IF(Proc[[#This Row],[type]]="LFF (MDG-F)",MID(Proc[[#This Row],[Obj]],13,10),"")</f>
        <v>DE65GIT032</v>
      </c>
      <c r="I4304" s="149" t="s">
        <v>4832</v>
      </c>
      <c r="J4304" s="150" t="b">
        <f>Proc[[#This Row],[Requested]]=Proc[[#This Row],[CurrentParent]]</f>
        <v>0</v>
      </c>
      <c r="K4304" s="150" t="str">
        <f>IF(Proc[[#This Row],[Author]]="Marcela Urrego",VLOOKUP(LEFT(Proc[[#This Row],[Requested]],1),Table3[#All],2,0),VLOOKUP(Proc[[#This Row],[Author]],Table4[],2,0))</f>
        <v>MGF</v>
      </c>
      <c r="L4304" s="150" t="s">
        <v>6435</v>
      </c>
      <c r="M4304" s="154">
        <v>45933</v>
      </c>
      <c r="N4304" s="155"/>
      <c r="O4304" s="155"/>
      <c r="P4304" s="154" t="str">
        <f ca="1">IF(Proc[[#This Row],[DaysAgeing]]&gt;5,"yep","on track")</f>
        <v>yep</v>
      </c>
      <c r="Q4304" s="3">
        <f ca="1">IF(Proc[[#This Row],[DateClosed]]="",ABS(NETWORKDAYS(Proc[[#This Row],[DateOpened]],TODAY()))-1,ABS(NETWORKDAYS(Proc[[#This Row],[DateOpened]],Proc[[#This Row],[DateClosed]]))-1)</f>
        <v>55</v>
      </c>
      <c r="R4304" s="154" t="s">
        <v>1459</v>
      </c>
      <c r="S4304" s="150"/>
    </row>
    <row r="4305" spans="1:19" hidden="1">
      <c r="A4305" s="149" t="s">
        <v>6436</v>
      </c>
      <c r="B4305" s="150" t="str">
        <f>IFERROR(VLOOKUP(Proc[[#This Row],[App]],Table2[],3,0),"open")</f>
        <v>ok</v>
      </c>
      <c r="C4305" s="149" t="s">
        <v>369</v>
      </c>
      <c r="D4305" t="s">
        <v>6438</v>
      </c>
      <c r="E4305" t="s">
        <v>6158</v>
      </c>
      <c r="F4305" s="150" t="s">
        <v>6158</v>
      </c>
      <c r="G4305" s="149" t="s">
        <v>406</v>
      </c>
      <c r="H4305" s="150" t="str">
        <f>IF(Proc[[#This Row],[type]]="LFF (MDG-F)",MID(Proc[[#This Row],[Obj]],13,10),"")</f>
        <v>DE10695300</v>
      </c>
      <c r="J4305" s="150" t="b">
        <f>Proc[[#This Row],[Requested]]=Proc[[#This Row],[CurrentParent]]</f>
        <v>1</v>
      </c>
      <c r="K4305" s="150" t="str">
        <f>IF(Proc[[#This Row],[Author]]="Marcela Urrego",VLOOKUP(LEFT(Proc[[#This Row],[Requested]],1),Table3[#All],2,0),VLOOKUP(Proc[[#This Row],[Author]],Table4[],2,0))</f>
        <v>MGF</v>
      </c>
      <c r="L4305" s="150" t="s">
        <v>6435</v>
      </c>
      <c r="M4305" s="154">
        <v>45933</v>
      </c>
      <c r="N4305" s="155"/>
      <c r="O4305" s="155"/>
      <c r="P4305" s="154" t="str">
        <f ca="1">IF(Proc[[#This Row],[DaysAgeing]]&gt;5,"yep","on track")</f>
        <v>yep</v>
      </c>
      <c r="Q4305" s="3">
        <f ca="1">IF(Proc[[#This Row],[DateClosed]]="",ABS(NETWORKDAYS(Proc[[#This Row],[DateOpened]],TODAY()))-1,ABS(NETWORKDAYS(Proc[[#This Row],[DateOpened]],Proc[[#This Row],[DateClosed]]))-1)</f>
        <v>55</v>
      </c>
      <c r="R4305" s="154" t="s">
        <v>1459</v>
      </c>
      <c r="S4305" s="150"/>
    </row>
    <row r="4306" spans="1:19" hidden="1">
      <c r="A4306" s="149" t="s">
        <v>6436</v>
      </c>
      <c r="B4306" s="150" t="str">
        <f>IFERROR(VLOOKUP(Proc[[#This Row],[App]],Table2[],3,0),"open")</f>
        <v>ok</v>
      </c>
      <c r="C4306" s="149" t="s">
        <v>369</v>
      </c>
      <c r="D4306" t="s">
        <v>5438</v>
      </c>
      <c r="E4306" t="s">
        <v>6447</v>
      </c>
      <c r="F4306" s="150" t="s">
        <v>6447</v>
      </c>
      <c r="G4306" s="149" t="s">
        <v>406</v>
      </c>
      <c r="H4306" s="150" t="str">
        <f>IF(Proc[[#This Row],[type]]="LFF (MDG-F)",MID(Proc[[#This Row],[Obj]],13,10),"")</f>
        <v>DE10GMS070</v>
      </c>
      <c r="J4306" s="150" t="b">
        <f>Proc[[#This Row],[Requested]]=Proc[[#This Row],[CurrentParent]]</f>
        <v>1</v>
      </c>
      <c r="K4306" s="150" t="str">
        <f>IF(Proc[[#This Row],[Author]]="Marcela Urrego",VLOOKUP(LEFT(Proc[[#This Row],[Requested]],1),Table3[#All],2,0),VLOOKUP(Proc[[#This Row],[Author]],Table4[],2,0))</f>
        <v>MGF</v>
      </c>
      <c r="L4306" s="150" t="s">
        <v>6435</v>
      </c>
      <c r="M4306" s="154">
        <v>45933</v>
      </c>
      <c r="N4306" s="155"/>
      <c r="O4306" s="155"/>
      <c r="P4306" s="154" t="str">
        <f ca="1">IF(Proc[[#This Row],[DaysAgeing]]&gt;5,"yep","on track")</f>
        <v>yep</v>
      </c>
      <c r="Q4306" s="3">
        <f ca="1">IF(Proc[[#This Row],[DateClosed]]="",ABS(NETWORKDAYS(Proc[[#This Row],[DateOpened]],TODAY()))-1,ABS(NETWORKDAYS(Proc[[#This Row],[DateOpened]],Proc[[#This Row],[DateClosed]]))-1)</f>
        <v>55</v>
      </c>
      <c r="R4306" s="154" t="s">
        <v>1459</v>
      </c>
      <c r="S4306" s="150"/>
    </row>
    <row r="4307" spans="1:19" hidden="1">
      <c r="A4307" s="149" t="s">
        <v>6436</v>
      </c>
      <c r="B4307" s="150" t="str">
        <f>IFERROR(VLOOKUP(Proc[[#This Row],[App]],Table2[],3,0),"open")</f>
        <v>ok</v>
      </c>
      <c r="C4307" s="149" t="s">
        <v>369</v>
      </c>
      <c r="D4307" t="s">
        <v>5436</v>
      </c>
      <c r="E4307" t="s">
        <v>6445</v>
      </c>
      <c r="F4307" s="150" t="s">
        <v>6445</v>
      </c>
      <c r="G4307" s="149" t="s">
        <v>406</v>
      </c>
      <c r="H4307" s="150" t="str">
        <f>IF(Proc[[#This Row],[type]]="LFF (MDG-F)",MID(Proc[[#This Row],[Obj]],13,10),"")</f>
        <v>DE10669638</v>
      </c>
      <c r="J4307" s="150" t="b">
        <f>Proc[[#This Row],[Requested]]=Proc[[#This Row],[CurrentParent]]</f>
        <v>1</v>
      </c>
      <c r="K4307" s="150" t="str">
        <f>IF(Proc[[#This Row],[Author]]="Marcela Urrego",VLOOKUP(LEFT(Proc[[#This Row],[Requested]],1),Table3[#All],2,0),VLOOKUP(Proc[[#This Row],[Author]],Table4[],2,0))</f>
        <v>MGF</v>
      </c>
      <c r="L4307" s="150" t="s">
        <v>6435</v>
      </c>
      <c r="M4307" s="154">
        <v>45933</v>
      </c>
      <c r="N4307" s="155"/>
      <c r="O4307" s="155"/>
      <c r="P4307" s="154" t="str">
        <f ca="1">IF(Proc[[#This Row],[DaysAgeing]]&gt;5,"yep","on track")</f>
        <v>yep</v>
      </c>
      <c r="Q4307" s="3">
        <f ca="1">IF(Proc[[#This Row],[DateClosed]]="",ABS(NETWORKDAYS(Proc[[#This Row],[DateOpened]],TODAY()))-1,ABS(NETWORKDAYS(Proc[[#This Row],[DateOpened]],Proc[[#This Row],[DateClosed]]))-1)</f>
        <v>55</v>
      </c>
      <c r="R4307" s="154" t="s">
        <v>1459</v>
      </c>
      <c r="S4307" s="150"/>
    </row>
    <row r="4308" spans="1:19" hidden="1">
      <c r="A4308" s="149" t="s">
        <v>6436</v>
      </c>
      <c r="B4308" s="150" t="str">
        <f>IFERROR(VLOOKUP(Proc[[#This Row],[App]],Table2[],3,0),"open")</f>
        <v>ok</v>
      </c>
      <c r="C4308" s="149" t="s">
        <v>369</v>
      </c>
      <c r="D4308" t="s">
        <v>6439</v>
      </c>
      <c r="E4308" t="s">
        <v>6448</v>
      </c>
      <c r="F4308" s="150" t="s">
        <v>6448</v>
      </c>
      <c r="G4308" s="149" t="s">
        <v>406</v>
      </c>
      <c r="H4308" s="150" t="str">
        <f>IF(Proc[[#This Row],[type]]="LFF (MDG-F)",MID(Proc[[#This Row],[Obj]],13,10),"")</f>
        <v>1937OF0002</v>
      </c>
      <c r="J4308" s="150" t="b">
        <f>Proc[[#This Row],[Requested]]=Proc[[#This Row],[CurrentParent]]</f>
        <v>1</v>
      </c>
      <c r="K4308" s="150" t="str">
        <f>IF(Proc[[#This Row],[Author]]="Marcela Urrego",VLOOKUP(LEFT(Proc[[#This Row],[Requested]],1),Table3[#All],2,0),VLOOKUP(Proc[[#This Row],[Author]],Table4[],2,0))</f>
        <v>MGF</v>
      </c>
      <c r="L4308" s="150" t="s">
        <v>6435</v>
      </c>
      <c r="M4308" s="154">
        <v>45933</v>
      </c>
      <c r="N4308" s="155"/>
      <c r="O4308" s="155"/>
      <c r="P4308" s="154" t="str">
        <f ca="1">IF(Proc[[#This Row],[DaysAgeing]]&gt;5,"yep","on track")</f>
        <v>yep</v>
      </c>
      <c r="Q4308" s="3">
        <f ca="1">IF(Proc[[#This Row],[DateClosed]]="",ABS(NETWORKDAYS(Proc[[#This Row],[DateOpened]],TODAY()))-1,ABS(NETWORKDAYS(Proc[[#This Row],[DateOpened]],Proc[[#This Row],[DateClosed]]))-1)</f>
        <v>55</v>
      </c>
      <c r="R4308" s="154" t="s">
        <v>1459</v>
      </c>
      <c r="S4308" s="150"/>
    </row>
    <row r="4309" spans="1:19" hidden="1">
      <c r="A4309" s="149" t="s">
        <v>6436</v>
      </c>
      <c r="B4309" s="150" t="str">
        <f>IFERROR(VLOOKUP(Proc[[#This Row],[App]],Table2[],3,0),"open")</f>
        <v>ok</v>
      </c>
      <c r="C4309" s="149" t="s">
        <v>369</v>
      </c>
      <c r="D4309" t="s">
        <v>6440</v>
      </c>
      <c r="E4309" t="s">
        <v>661</v>
      </c>
      <c r="F4309" s="150" t="s">
        <v>661</v>
      </c>
      <c r="G4309" s="149" t="s">
        <v>400</v>
      </c>
      <c r="H4309" s="150" t="str">
        <f>IF(Proc[[#This Row],[type]]="LFF (MDG-F)",MID(Proc[[#This Row],[Obj]],13,10),"")</f>
        <v/>
      </c>
      <c r="J4309" s="150" t="b">
        <f>Proc[[#This Row],[Requested]]=Proc[[#This Row],[CurrentParent]]</f>
        <v>1</v>
      </c>
      <c r="K4309" s="150" t="str">
        <f>IF(Proc[[#This Row],[Author]]="Marcela Urrego",VLOOKUP(LEFT(Proc[[#This Row],[Requested]],1),Table3[#All],2,0),VLOOKUP(Proc[[#This Row],[Author]],Table4[],2,0))</f>
        <v>MGF</v>
      </c>
      <c r="L4309" s="150" t="s">
        <v>6435</v>
      </c>
      <c r="M4309" s="154">
        <v>45933</v>
      </c>
      <c r="N4309" s="155"/>
      <c r="O4309" s="155"/>
      <c r="P4309" s="154" t="str">
        <f ca="1">IF(Proc[[#This Row],[DaysAgeing]]&gt;5,"yep","on track")</f>
        <v>yep</v>
      </c>
      <c r="Q4309" s="3">
        <f ca="1">IF(Proc[[#This Row],[DateClosed]]="",ABS(NETWORKDAYS(Proc[[#This Row],[DateOpened]],TODAY()))-1,ABS(NETWORKDAYS(Proc[[#This Row],[DateOpened]],Proc[[#This Row],[DateClosed]]))-1)</f>
        <v>55</v>
      </c>
      <c r="R4309" s="154" t="s">
        <v>1459</v>
      </c>
      <c r="S4309" s="150"/>
    </row>
    <row r="4310" spans="1:19" hidden="1">
      <c r="A4310" s="149" t="s">
        <v>6436</v>
      </c>
      <c r="B4310" s="150" t="str">
        <f>IFERROR(VLOOKUP(Proc[[#This Row],[App]],Table2[],3,0),"open")</f>
        <v>ok</v>
      </c>
      <c r="C4310" s="149" t="s">
        <v>369</v>
      </c>
      <c r="D4310" t="s">
        <v>5443</v>
      </c>
      <c r="E4310" t="s">
        <v>6449</v>
      </c>
      <c r="F4310" s="150" t="s">
        <v>6449</v>
      </c>
      <c r="G4310" s="149" t="s">
        <v>406</v>
      </c>
      <c r="H4310" s="150" t="str">
        <f>IF(Proc[[#This Row],[type]]="LFF (MDG-F)",MID(Proc[[#This Row],[Obj]],13,10),"")</f>
        <v>2123GMS080</v>
      </c>
      <c r="J4310" s="150" t="b">
        <f>Proc[[#This Row],[Requested]]=Proc[[#This Row],[CurrentParent]]</f>
        <v>1</v>
      </c>
      <c r="K4310" s="150" t="str">
        <f>IF(Proc[[#This Row],[Author]]="Marcela Urrego",VLOOKUP(LEFT(Proc[[#This Row],[Requested]],1),Table3[#All],2,0),VLOOKUP(Proc[[#This Row],[Author]],Table4[],2,0))</f>
        <v>MGF</v>
      </c>
      <c r="L4310" s="150" t="s">
        <v>6435</v>
      </c>
      <c r="M4310" s="154">
        <v>45933</v>
      </c>
      <c r="N4310" s="155"/>
      <c r="O4310" s="155"/>
      <c r="P4310" s="154" t="str">
        <f ca="1">IF(Proc[[#This Row],[DaysAgeing]]&gt;5,"yep","on track")</f>
        <v>yep</v>
      </c>
      <c r="Q4310" s="3">
        <f ca="1">IF(Proc[[#This Row],[DateClosed]]="",ABS(NETWORKDAYS(Proc[[#This Row],[DateOpened]],TODAY()))-1,ABS(NETWORKDAYS(Proc[[#This Row],[DateOpened]],Proc[[#This Row],[DateClosed]]))-1)</f>
        <v>55</v>
      </c>
      <c r="R4310" s="154" t="s">
        <v>1459</v>
      </c>
      <c r="S4310" s="150"/>
    </row>
    <row r="4311" spans="1:19" hidden="1">
      <c r="A4311" s="149" t="s">
        <v>6436</v>
      </c>
      <c r="B4311" s="150" t="str">
        <f>IFERROR(VLOOKUP(Proc[[#This Row],[App]],Table2[],3,0),"open")</f>
        <v>ok</v>
      </c>
      <c r="C4311" s="149" t="s">
        <v>369</v>
      </c>
      <c r="D4311" t="s">
        <v>5442</v>
      </c>
      <c r="E4311" t="s">
        <v>6445</v>
      </c>
      <c r="F4311" s="150" t="s">
        <v>6445</v>
      </c>
      <c r="G4311" s="149" t="s">
        <v>406</v>
      </c>
      <c r="H4311" s="150" t="str">
        <f>IF(Proc[[#This Row],[type]]="LFF (MDG-F)",MID(Proc[[#This Row],[Obj]],13,10),"")</f>
        <v>2123GMS050</v>
      </c>
      <c r="J4311" s="150" t="b">
        <f>Proc[[#This Row],[Requested]]=Proc[[#This Row],[CurrentParent]]</f>
        <v>1</v>
      </c>
      <c r="K4311" s="150" t="str">
        <f>IF(Proc[[#This Row],[Author]]="Marcela Urrego",VLOOKUP(LEFT(Proc[[#This Row],[Requested]],1),Table3[#All],2,0),VLOOKUP(Proc[[#This Row],[Author]],Table4[],2,0))</f>
        <v>MGF</v>
      </c>
      <c r="L4311" s="150" t="s">
        <v>6435</v>
      </c>
      <c r="M4311" s="154">
        <v>45933</v>
      </c>
      <c r="N4311" s="155"/>
      <c r="O4311" s="155"/>
      <c r="P4311" s="154" t="str">
        <f ca="1">IF(Proc[[#This Row],[DaysAgeing]]&gt;5,"yep","on track")</f>
        <v>yep</v>
      </c>
      <c r="Q4311" s="3">
        <f ca="1">IF(Proc[[#This Row],[DateClosed]]="",ABS(NETWORKDAYS(Proc[[#This Row],[DateOpened]],TODAY()))-1,ABS(NETWORKDAYS(Proc[[#This Row],[DateOpened]],Proc[[#This Row],[DateClosed]]))-1)</f>
        <v>55</v>
      </c>
      <c r="R4311" s="154" t="s">
        <v>1459</v>
      </c>
      <c r="S4311" s="150"/>
    </row>
    <row r="4312" spans="1:19" hidden="1">
      <c r="A4312" s="149" t="s">
        <v>6436</v>
      </c>
      <c r="B4312" s="150" t="str">
        <f>IFERROR(VLOOKUP(Proc[[#This Row],[App]],Table2[],3,0),"open")</f>
        <v>ok</v>
      </c>
      <c r="C4312" s="149" t="s">
        <v>369</v>
      </c>
      <c r="D4312" t="s">
        <v>5434</v>
      </c>
      <c r="E4312" t="s">
        <v>6450</v>
      </c>
      <c r="F4312" s="150" t="s">
        <v>6450</v>
      </c>
      <c r="G4312" s="149" t="s">
        <v>400</v>
      </c>
      <c r="H4312" s="150" t="str">
        <f>IF(Proc[[#This Row],[type]]="LFF (MDG-F)",MID(Proc[[#This Row],[Obj]],13,10),"")</f>
        <v/>
      </c>
      <c r="J4312" s="150" t="b">
        <f>Proc[[#This Row],[Requested]]=Proc[[#This Row],[CurrentParent]]</f>
        <v>1</v>
      </c>
      <c r="K4312" s="150" t="str">
        <f>IF(Proc[[#This Row],[Author]]="Marcela Urrego",VLOOKUP(LEFT(Proc[[#This Row],[Requested]],1),Table3[#All],2,0),VLOOKUP(Proc[[#This Row],[Author]],Table4[],2,0))</f>
        <v>MGF</v>
      </c>
      <c r="L4312" s="150" t="s">
        <v>6435</v>
      </c>
      <c r="M4312" s="154">
        <v>45933</v>
      </c>
      <c r="N4312" s="155"/>
      <c r="O4312" s="155"/>
      <c r="P4312" s="154" t="str">
        <f ca="1">IF(Proc[[#This Row],[DaysAgeing]]&gt;5,"yep","on track")</f>
        <v>yep</v>
      </c>
      <c r="Q4312" s="3">
        <f ca="1">IF(Proc[[#This Row],[DateClosed]]="",ABS(NETWORKDAYS(Proc[[#This Row],[DateOpened]],TODAY()))-1,ABS(NETWORKDAYS(Proc[[#This Row],[DateOpened]],Proc[[#This Row],[DateClosed]]))-1)</f>
        <v>55</v>
      </c>
      <c r="R4312" s="154" t="s">
        <v>1459</v>
      </c>
      <c r="S4312" s="150"/>
    </row>
    <row r="4313" spans="1:19" hidden="1">
      <c r="A4313" s="149" t="s">
        <v>6436</v>
      </c>
      <c r="B4313" s="150" t="str">
        <f>IFERROR(VLOOKUP(Proc[[#This Row],[App]],Table2[],3,0),"open")</f>
        <v>ok</v>
      </c>
      <c r="C4313" s="149" t="s">
        <v>369</v>
      </c>
      <c r="D4313" t="s">
        <v>6441</v>
      </c>
      <c r="E4313" t="s">
        <v>4410</v>
      </c>
      <c r="F4313" s="150" t="s">
        <v>4410</v>
      </c>
      <c r="G4313" s="149" t="s">
        <v>406</v>
      </c>
      <c r="H4313" s="150" t="str">
        <f>IF(Proc[[#This Row],[type]]="LFF (MDG-F)",MID(Proc[[#This Row],[Obj]],13,10),"")</f>
        <v>US10GIT050</v>
      </c>
      <c r="J4313" s="150" t="b">
        <f>Proc[[#This Row],[Requested]]=Proc[[#This Row],[CurrentParent]]</f>
        <v>1</v>
      </c>
      <c r="K4313" s="150" t="str">
        <f>IF(Proc[[#This Row],[Author]]="Marcela Urrego",VLOOKUP(LEFT(Proc[[#This Row],[Requested]],1),Table3[#All],2,0),VLOOKUP(Proc[[#This Row],[Author]],Table4[],2,0))</f>
        <v>MGF</v>
      </c>
      <c r="L4313" s="150" t="s">
        <v>6435</v>
      </c>
      <c r="M4313" s="154">
        <v>45933</v>
      </c>
      <c r="N4313" s="155"/>
      <c r="O4313" s="155"/>
      <c r="P4313" s="154" t="str">
        <f ca="1">IF(Proc[[#This Row],[DaysAgeing]]&gt;5,"yep","on track")</f>
        <v>yep</v>
      </c>
      <c r="Q4313" s="3">
        <f ca="1">IF(Proc[[#This Row],[DateClosed]]="",ABS(NETWORKDAYS(Proc[[#This Row],[DateOpened]],TODAY()))-1,ABS(NETWORKDAYS(Proc[[#This Row],[DateOpened]],Proc[[#This Row],[DateClosed]]))-1)</f>
        <v>55</v>
      </c>
      <c r="R4313" s="154" t="s">
        <v>1459</v>
      </c>
      <c r="S4313" s="150"/>
    </row>
    <row r="4314" spans="1:19" hidden="1">
      <c r="A4314" s="149" t="s">
        <v>6436</v>
      </c>
      <c r="B4314" s="150" t="str">
        <f>IFERROR(VLOOKUP(Proc[[#This Row],[App]],Table2[],3,0),"open")</f>
        <v>ok</v>
      </c>
      <c r="C4314" s="149" t="s">
        <v>369</v>
      </c>
      <c r="D4314" t="s">
        <v>6442</v>
      </c>
      <c r="E4314" t="s">
        <v>6448</v>
      </c>
      <c r="F4314" s="150" t="s">
        <v>6448</v>
      </c>
      <c r="G4314" s="149" t="s">
        <v>400</v>
      </c>
      <c r="H4314" s="150" t="str">
        <f>IF(Proc[[#This Row],[type]]="LFF (MDG-F)",MID(Proc[[#This Row],[Obj]],13,10),"")</f>
        <v/>
      </c>
      <c r="J4314" s="150" t="b">
        <f>Proc[[#This Row],[Requested]]=Proc[[#This Row],[CurrentParent]]</f>
        <v>1</v>
      </c>
      <c r="K4314" s="150" t="str">
        <f>IF(Proc[[#This Row],[Author]]="Marcela Urrego",VLOOKUP(LEFT(Proc[[#This Row],[Requested]],1),Table3[#All],2,0),VLOOKUP(Proc[[#This Row],[Author]],Table4[],2,0))</f>
        <v>MGF</v>
      </c>
      <c r="L4314" s="150" t="s">
        <v>6435</v>
      </c>
      <c r="M4314" s="154">
        <v>45933</v>
      </c>
      <c r="N4314" s="155"/>
      <c r="O4314" s="155"/>
      <c r="P4314" s="154" t="str">
        <f ca="1">IF(Proc[[#This Row],[DaysAgeing]]&gt;5,"yep","on track")</f>
        <v>yep</v>
      </c>
      <c r="Q4314" s="3">
        <f ca="1">IF(Proc[[#This Row],[DateClosed]]="",ABS(NETWORKDAYS(Proc[[#This Row],[DateOpened]],TODAY()))-1,ABS(NETWORKDAYS(Proc[[#This Row],[DateOpened]],Proc[[#This Row],[DateClosed]]))-1)</f>
        <v>55</v>
      </c>
      <c r="R4314" s="154" t="s">
        <v>1459</v>
      </c>
      <c r="S4314" s="150"/>
    </row>
    <row r="4315" spans="1:19" hidden="1">
      <c r="A4315" s="149" t="s">
        <v>6436</v>
      </c>
      <c r="B4315" s="150" t="str">
        <f>IFERROR(VLOOKUP(Proc[[#This Row],[App]],Table2[],3,0),"open")</f>
        <v>ok</v>
      </c>
      <c r="C4315" s="149" t="s">
        <v>369</v>
      </c>
      <c r="D4315" t="s">
        <v>6443</v>
      </c>
      <c r="E4315" t="s">
        <v>6448</v>
      </c>
      <c r="F4315" s="150" t="s">
        <v>6448</v>
      </c>
      <c r="G4315" s="149" t="s">
        <v>400</v>
      </c>
      <c r="H4315" s="150" t="str">
        <f>IF(Proc[[#This Row],[type]]="LFF (MDG-F)",MID(Proc[[#This Row],[Obj]],13,10),"")</f>
        <v/>
      </c>
      <c r="J4315" s="150" t="b">
        <f>Proc[[#This Row],[Requested]]=Proc[[#This Row],[CurrentParent]]</f>
        <v>1</v>
      </c>
      <c r="K4315" s="150" t="str">
        <f>IF(Proc[[#This Row],[Author]]="Marcela Urrego",VLOOKUP(LEFT(Proc[[#This Row],[Requested]],1),Table3[#All],2,0),VLOOKUP(Proc[[#This Row],[Author]],Table4[],2,0))</f>
        <v>MGF</v>
      </c>
      <c r="L4315" s="150" t="s">
        <v>6435</v>
      </c>
      <c r="M4315" s="154">
        <v>45933</v>
      </c>
      <c r="N4315" s="155"/>
      <c r="O4315" s="155"/>
      <c r="P4315" s="154" t="str">
        <f ca="1">IF(Proc[[#This Row],[DaysAgeing]]&gt;5,"yep","on track")</f>
        <v>yep</v>
      </c>
      <c r="Q4315" s="3">
        <f ca="1">IF(Proc[[#This Row],[DateClosed]]="",ABS(NETWORKDAYS(Proc[[#This Row],[DateOpened]],TODAY()))-1,ABS(NETWORKDAYS(Proc[[#This Row],[DateOpened]],Proc[[#This Row],[DateClosed]]))-1)</f>
        <v>55</v>
      </c>
      <c r="R4315" s="154" t="s">
        <v>1459</v>
      </c>
      <c r="S4315" s="150"/>
    </row>
    <row r="4316" spans="1:19" hidden="1">
      <c r="A4316" s="149" t="s">
        <v>6436</v>
      </c>
      <c r="B4316" s="150" t="str">
        <f>IFERROR(VLOOKUP(Proc[[#This Row],[App]],Table2[],3,0),"open")</f>
        <v>ok</v>
      </c>
      <c r="C4316" s="149" t="s">
        <v>369</v>
      </c>
      <c r="D4316" t="s">
        <v>6444</v>
      </c>
      <c r="E4316" t="s">
        <v>6448</v>
      </c>
      <c r="F4316" s="150" t="s">
        <v>6448</v>
      </c>
      <c r="G4316" t="s">
        <v>400</v>
      </c>
      <c r="H4316" s="150" t="str">
        <f>IF(Proc[[#This Row],[type]]="LFF (MDG-F)",MID(Proc[[#This Row],[Obj]],13,10),"")</f>
        <v/>
      </c>
      <c r="J4316" s="150" t="b">
        <f>Proc[[#This Row],[Requested]]=Proc[[#This Row],[CurrentParent]]</f>
        <v>1</v>
      </c>
      <c r="K4316" s="150" t="str">
        <f>IF(Proc[[#This Row],[Author]]="Marcela Urrego",VLOOKUP(LEFT(Proc[[#This Row],[Requested]],1),Table3[#All],2,0),VLOOKUP(Proc[[#This Row],[Author]],Table4[],2,0))</f>
        <v>MGF</v>
      </c>
      <c r="L4316" s="150" t="s">
        <v>6435</v>
      </c>
      <c r="M4316" s="154">
        <v>45933</v>
      </c>
      <c r="N4316" s="155"/>
      <c r="O4316" s="155"/>
      <c r="P4316" s="154" t="str">
        <f ca="1">IF(Proc[[#This Row],[DaysAgeing]]&gt;5,"yep","on track")</f>
        <v>yep</v>
      </c>
      <c r="Q4316" s="3">
        <f ca="1">IF(Proc[[#This Row],[DateClosed]]="",ABS(NETWORKDAYS(Proc[[#This Row],[DateOpened]],TODAY()))-1,ABS(NETWORKDAYS(Proc[[#This Row],[DateOpened]],Proc[[#This Row],[DateClosed]]))-1)</f>
        <v>55</v>
      </c>
      <c r="R4316" s="154" t="s">
        <v>1459</v>
      </c>
      <c r="S4316" s="150"/>
    </row>
    <row r="4317" spans="1:19" hidden="1">
      <c r="A4317" t="s">
        <v>6451</v>
      </c>
      <c r="B4317" s="150" t="str">
        <f>IFERROR(VLOOKUP(Proc[[#This Row],[App]],Table2[],3,0),"open")</f>
        <v>ok</v>
      </c>
      <c r="C4317" s="149" t="s">
        <v>369</v>
      </c>
      <c r="D4317" t="s">
        <v>6452</v>
      </c>
      <c r="E4317" t="s">
        <v>6468</v>
      </c>
      <c r="F4317" s="150" t="s">
        <v>6468</v>
      </c>
      <c r="G4317" s="149" t="s">
        <v>400</v>
      </c>
      <c r="H4317" s="150" t="str">
        <f>IF(Proc[[#This Row],[type]]="LFF (MDG-F)",MID(Proc[[#This Row],[Obj]],13,10),"")</f>
        <v/>
      </c>
      <c r="J4317" s="150" t="b">
        <f>Proc[[#This Row],[Requested]]=Proc[[#This Row],[CurrentParent]]</f>
        <v>1</v>
      </c>
      <c r="K4317" s="150" t="str">
        <f>IF(Proc[[#This Row],[Author]]="Marcela Urrego",VLOOKUP(LEFT(Proc[[#This Row],[Requested]],1),Table3[#All],2,0),VLOOKUP(Proc[[#This Row],[Author]],Table4[],2,0))</f>
        <v>LS</v>
      </c>
      <c r="L4317" s="150" t="s">
        <v>6435</v>
      </c>
      <c r="M4317" s="154">
        <v>45933</v>
      </c>
      <c r="N4317" s="155"/>
      <c r="O4317" s="155"/>
      <c r="P4317" s="154" t="str">
        <f ca="1">IF(Proc[[#This Row],[DaysAgeing]]&gt;5,"yep","on track")</f>
        <v>yep</v>
      </c>
      <c r="Q4317" s="3">
        <f ca="1">IF(Proc[[#This Row],[DateClosed]]="",ABS(NETWORKDAYS(Proc[[#This Row],[DateOpened]],TODAY()))-1,ABS(NETWORKDAYS(Proc[[#This Row],[DateOpened]],Proc[[#This Row],[DateClosed]]))-1)</f>
        <v>55</v>
      </c>
      <c r="R4317" s="154" t="s">
        <v>489</v>
      </c>
      <c r="S4317" s="150"/>
    </row>
    <row r="4318" spans="1:19" hidden="1">
      <c r="A4318" s="149" t="s">
        <v>6451</v>
      </c>
      <c r="B4318" s="150" t="str">
        <f>IFERROR(VLOOKUP(Proc[[#This Row],[App]],Table2[],3,0),"open")</f>
        <v>ok</v>
      </c>
      <c r="C4318" s="149" t="s">
        <v>369</v>
      </c>
      <c r="D4318" t="s">
        <v>6453</v>
      </c>
      <c r="E4318" t="s">
        <v>6469</v>
      </c>
      <c r="F4318" s="150" t="s">
        <v>6469</v>
      </c>
      <c r="G4318" s="149" t="s">
        <v>400</v>
      </c>
      <c r="H4318" s="150" t="str">
        <f>IF(Proc[[#This Row],[type]]="LFF (MDG-F)",MID(Proc[[#This Row],[Obj]],13,10),"")</f>
        <v/>
      </c>
      <c r="J4318" s="150" t="b">
        <f>Proc[[#This Row],[Requested]]=Proc[[#This Row],[CurrentParent]]</f>
        <v>1</v>
      </c>
      <c r="K4318" s="150" t="str">
        <f>IF(Proc[[#This Row],[Author]]="Marcela Urrego",VLOOKUP(LEFT(Proc[[#This Row],[Requested]],1),Table3[#All],2,0),VLOOKUP(Proc[[#This Row],[Author]],Table4[],2,0))</f>
        <v>LS</v>
      </c>
      <c r="L4318" s="150" t="s">
        <v>6435</v>
      </c>
      <c r="M4318" s="154">
        <v>45933</v>
      </c>
      <c r="N4318" s="155"/>
      <c r="O4318" s="155"/>
      <c r="P4318" s="154" t="str">
        <f ca="1">IF(Proc[[#This Row],[DaysAgeing]]&gt;5,"yep","on track")</f>
        <v>yep</v>
      </c>
      <c r="Q4318" s="3">
        <f ca="1">IF(Proc[[#This Row],[DateClosed]]="",ABS(NETWORKDAYS(Proc[[#This Row],[DateOpened]],TODAY()))-1,ABS(NETWORKDAYS(Proc[[#This Row],[DateOpened]],Proc[[#This Row],[DateClosed]]))-1)</f>
        <v>55</v>
      </c>
      <c r="R4318" s="154" t="s">
        <v>489</v>
      </c>
      <c r="S4318" s="150"/>
    </row>
    <row r="4319" spans="1:19" hidden="1">
      <c r="A4319" s="149" t="s">
        <v>6451</v>
      </c>
      <c r="B4319" s="150" t="str">
        <f>IFERROR(VLOOKUP(Proc[[#This Row],[App]],Table2[],3,0),"open")</f>
        <v>ok</v>
      </c>
      <c r="C4319" s="149" t="s">
        <v>369</v>
      </c>
      <c r="D4319" t="s">
        <v>6454</v>
      </c>
      <c r="E4319" t="s">
        <v>6470</v>
      </c>
      <c r="F4319" s="150" t="s">
        <v>6470</v>
      </c>
      <c r="G4319" s="149" t="s">
        <v>406</v>
      </c>
      <c r="H4319" s="150" t="str">
        <f>IF(Proc[[#This Row],[type]]="LFF (MDG-F)",MID(Proc[[#This Row],[Obj]],13,10),"")</f>
        <v>2034L81000</v>
      </c>
      <c r="J4319" s="150" t="b">
        <f>Proc[[#This Row],[Requested]]=Proc[[#This Row],[CurrentParent]]</f>
        <v>1</v>
      </c>
      <c r="K4319" s="150" t="str">
        <f>IF(Proc[[#This Row],[Author]]="Marcela Urrego",VLOOKUP(LEFT(Proc[[#This Row],[Requested]],1),Table3[#All],2,0),VLOOKUP(Proc[[#This Row],[Author]],Table4[],2,0))</f>
        <v>LS</v>
      </c>
      <c r="L4319" s="150" t="s">
        <v>6435</v>
      </c>
      <c r="M4319" s="154">
        <v>45933</v>
      </c>
      <c r="N4319" s="155"/>
      <c r="O4319" s="155"/>
      <c r="P4319" s="154" t="str">
        <f ca="1">IF(Proc[[#This Row],[DaysAgeing]]&gt;5,"yep","on track")</f>
        <v>yep</v>
      </c>
      <c r="Q4319" s="3">
        <f ca="1">IF(Proc[[#This Row],[DateClosed]]="",ABS(NETWORKDAYS(Proc[[#This Row],[DateOpened]],TODAY()))-1,ABS(NETWORKDAYS(Proc[[#This Row],[DateOpened]],Proc[[#This Row],[DateClosed]]))-1)</f>
        <v>55</v>
      </c>
      <c r="R4319" s="154" t="s">
        <v>489</v>
      </c>
      <c r="S4319" s="150"/>
    </row>
    <row r="4320" spans="1:19" hidden="1">
      <c r="A4320" s="149" t="s">
        <v>6451</v>
      </c>
      <c r="B4320" s="150" t="str">
        <f>IFERROR(VLOOKUP(Proc[[#This Row],[App]],Table2[],3,0),"open")</f>
        <v>ok</v>
      </c>
      <c r="C4320" s="149" t="s">
        <v>369</v>
      </c>
      <c r="D4320" t="s">
        <v>6455</v>
      </c>
      <c r="E4320" t="s">
        <v>6468</v>
      </c>
      <c r="F4320" s="150" t="s">
        <v>6468</v>
      </c>
      <c r="G4320" s="149" t="s">
        <v>400</v>
      </c>
      <c r="H4320" s="150" t="str">
        <f>IF(Proc[[#This Row],[type]]="LFF (MDG-F)",MID(Proc[[#This Row],[Obj]],13,10),"")</f>
        <v/>
      </c>
      <c r="J4320" s="150" t="b">
        <f>Proc[[#This Row],[Requested]]=Proc[[#This Row],[CurrentParent]]</f>
        <v>1</v>
      </c>
      <c r="K4320" s="150" t="str">
        <f>IF(Proc[[#This Row],[Author]]="Marcela Urrego",VLOOKUP(LEFT(Proc[[#This Row],[Requested]],1),Table3[#All],2,0),VLOOKUP(Proc[[#This Row],[Author]],Table4[],2,0))</f>
        <v>LS</v>
      </c>
      <c r="L4320" s="150" t="s">
        <v>6435</v>
      </c>
      <c r="M4320" s="154">
        <v>45933</v>
      </c>
      <c r="N4320" s="155"/>
      <c r="O4320" s="155"/>
      <c r="P4320" s="154" t="str">
        <f ca="1">IF(Proc[[#This Row],[DaysAgeing]]&gt;5,"yep","on track")</f>
        <v>yep</v>
      </c>
      <c r="Q4320" s="3">
        <f ca="1">IF(Proc[[#This Row],[DateClosed]]="",ABS(NETWORKDAYS(Proc[[#This Row],[DateOpened]],TODAY()))-1,ABS(NETWORKDAYS(Proc[[#This Row],[DateOpened]],Proc[[#This Row],[DateClosed]]))-1)</f>
        <v>55</v>
      </c>
      <c r="R4320" s="154" t="s">
        <v>489</v>
      </c>
      <c r="S4320" s="150"/>
    </row>
    <row r="4321" spans="1:19" hidden="1">
      <c r="A4321" s="149" t="s">
        <v>6451</v>
      </c>
      <c r="B4321" s="150" t="str">
        <f>IFERROR(VLOOKUP(Proc[[#This Row],[App]],Table2[],3,0),"open")</f>
        <v>ok</v>
      </c>
      <c r="C4321" s="149" t="s">
        <v>369</v>
      </c>
      <c r="D4321" t="s">
        <v>3569</v>
      </c>
      <c r="E4321" t="s">
        <v>6471</v>
      </c>
      <c r="F4321" s="150" t="s">
        <v>6471</v>
      </c>
      <c r="G4321" s="149" t="s">
        <v>406</v>
      </c>
      <c r="H4321" s="150" t="str">
        <f>IF(Proc[[#This Row],[type]]="LFF (MDG-F)",MID(Proc[[#This Row],[Obj]],13,10),"")</f>
        <v>2102TMCZ91</v>
      </c>
      <c r="J4321" s="150" t="b">
        <f>Proc[[#This Row],[Requested]]=Proc[[#This Row],[CurrentParent]]</f>
        <v>1</v>
      </c>
      <c r="K4321" s="150" t="str">
        <f>IF(Proc[[#This Row],[Author]]="Marcela Urrego",VLOOKUP(LEFT(Proc[[#This Row],[Requested]],1),Table3[#All],2,0),VLOOKUP(Proc[[#This Row],[Author]],Table4[],2,0))</f>
        <v>LS</v>
      </c>
      <c r="L4321" s="150" t="s">
        <v>6435</v>
      </c>
      <c r="M4321" s="154">
        <v>45933</v>
      </c>
      <c r="N4321" s="155"/>
      <c r="O4321" s="155"/>
      <c r="P4321" s="154" t="str">
        <f ca="1">IF(Proc[[#This Row],[DaysAgeing]]&gt;5,"yep","on track")</f>
        <v>yep</v>
      </c>
      <c r="Q4321" s="3">
        <f ca="1">IF(Proc[[#This Row],[DateClosed]]="",ABS(NETWORKDAYS(Proc[[#This Row],[DateOpened]],TODAY()))-1,ABS(NETWORKDAYS(Proc[[#This Row],[DateOpened]],Proc[[#This Row],[DateClosed]]))-1)</f>
        <v>55</v>
      </c>
      <c r="R4321" s="154" t="s">
        <v>489</v>
      </c>
      <c r="S4321" s="150"/>
    </row>
    <row r="4322" spans="1:19" hidden="1">
      <c r="A4322" s="149" t="s">
        <v>6451</v>
      </c>
      <c r="B4322" s="150" t="str">
        <f>IFERROR(VLOOKUP(Proc[[#This Row],[App]],Table2[],3,0),"open")</f>
        <v>ok</v>
      </c>
      <c r="C4322" s="149" t="s">
        <v>369</v>
      </c>
      <c r="D4322" t="s">
        <v>6456</v>
      </c>
      <c r="E4322" t="s">
        <v>6472</v>
      </c>
      <c r="F4322" s="150" t="s">
        <v>6472</v>
      </c>
      <c r="G4322" s="149" t="s">
        <v>400</v>
      </c>
      <c r="H4322" s="150" t="str">
        <f>IF(Proc[[#This Row],[type]]="LFF (MDG-F)",MID(Proc[[#This Row],[Obj]],13,10),"")</f>
        <v/>
      </c>
      <c r="J4322" s="150" t="b">
        <f>Proc[[#This Row],[Requested]]=Proc[[#This Row],[CurrentParent]]</f>
        <v>1</v>
      </c>
      <c r="K4322" s="150" t="str">
        <f>IF(Proc[[#This Row],[Author]]="Marcela Urrego",VLOOKUP(LEFT(Proc[[#This Row],[Requested]],1),Table3[#All],2,0),VLOOKUP(Proc[[#This Row],[Author]],Table4[],2,0))</f>
        <v>LS</v>
      </c>
      <c r="L4322" s="150" t="s">
        <v>6435</v>
      </c>
      <c r="M4322" s="154">
        <v>45933</v>
      </c>
      <c r="N4322" s="155"/>
      <c r="O4322" s="155"/>
      <c r="P4322" s="154" t="str">
        <f ca="1">IF(Proc[[#This Row],[DaysAgeing]]&gt;5,"yep","on track")</f>
        <v>yep</v>
      </c>
      <c r="Q4322" s="3">
        <f ca="1">IF(Proc[[#This Row],[DateClosed]]="",ABS(NETWORKDAYS(Proc[[#This Row],[DateOpened]],TODAY()))-1,ABS(NETWORKDAYS(Proc[[#This Row],[DateOpened]],Proc[[#This Row],[DateClosed]]))-1)</f>
        <v>55</v>
      </c>
      <c r="R4322" s="154" t="s">
        <v>489</v>
      </c>
      <c r="S4322" s="150"/>
    </row>
    <row r="4323" spans="1:19" hidden="1">
      <c r="A4323" s="149" t="s">
        <v>6451</v>
      </c>
      <c r="B4323" s="150" t="str">
        <f>IFERROR(VLOOKUP(Proc[[#This Row],[App]],Table2[],3,0),"open")</f>
        <v>ok</v>
      </c>
      <c r="C4323" s="149" t="s">
        <v>369</v>
      </c>
      <c r="D4323" t="s">
        <v>6457</v>
      </c>
      <c r="E4323" t="s">
        <v>6472</v>
      </c>
      <c r="F4323" s="150" t="s">
        <v>6472</v>
      </c>
      <c r="G4323" s="149" t="s">
        <v>400</v>
      </c>
      <c r="H4323" s="150" t="str">
        <f>IF(Proc[[#This Row],[type]]="LFF (MDG-F)",MID(Proc[[#This Row],[Obj]],13,10),"")</f>
        <v/>
      </c>
      <c r="J4323" s="150" t="b">
        <f>Proc[[#This Row],[Requested]]=Proc[[#This Row],[CurrentParent]]</f>
        <v>1</v>
      </c>
      <c r="K4323" s="150" t="str">
        <f>IF(Proc[[#This Row],[Author]]="Marcela Urrego",VLOOKUP(LEFT(Proc[[#This Row],[Requested]],1),Table3[#All],2,0),VLOOKUP(Proc[[#This Row],[Author]],Table4[],2,0))</f>
        <v>LS</v>
      </c>
      <c r="L4323" s="150" t="s">
        <v>6435</v>
      </c>
      <c r="M4323" s="154">
        <v>45933</v>
      </c>
      <c r="N4323" s="155"/>
      <c r="O4323" s="155"/>
      <c r="P4323" s="154" t="str">
        <f ca="1">IF(Proc[[#This Row],[DaysAgeing]]&gt;5,"yep","on track")</f>
        <v>yep</v>
      </c>
      <c r="Q4323" s="3">
        <f ca="1">IF(Proc[[#This Row],[DateClosed]]="",ABS(NETWORKDAYS(Proc[[#This Row],[DateOpened]],TODAY()))-1,ABS(NETWORKDAYS(Proc[[#This Row],[DateOpened]],Proc[[#This Row],[DateClosed]]))-1)</f>
        <v>55</v>
      </c>
      <c r="R4323" s="154" t="s">
        <v>489</v>
      </c>
      <c r="S4323" s="150"/>
    </row>
    <row r="4324" spans="1:19" hidden="1">
      <c r="A4324" s="149" t="s">
        <v>6451</v>
      </c>
      <c r="B4324" s="150" t="str">
        <f>IFERROR(VLOOKUP(Proc[[#This Row],[App]],Table2[],3,0),"open")</f>
        <v>ok</v>
      </c>
      <c r="C4324" s="149" t="s">
        <v>369</v>
      </c>
      <c r="D4324" t="s">
        <v>6458</v>
      </c>
      <c r="E4324" t="s">
        <v>6472</v>
      </c>
      <c r="F4324" s="150" t="s">
        <v>6472</v>
      </c>
      <c r="G4324" s="149" t="s">
        <v>400</v>
      </c>
      <c r="H4324" s="150" t="str">
        <f>IF(Proc[[#This Row],[type]]="LFF (MDG-F)",MID(Proc[[#This Row],[Obj]],13,10),"")</f>
        <v/>
      </c>
      <c r="J4324" s="150" t="b">
        <f>Proc[[#This Row],[Requested]]=Proc[[#This Row],[CurrentParent]]</f>
        <v>1</v>
      </c>
      <c r="K4324" s="150" t="str">
        <f>IF(Proc[[#This Row],[Author]]="Marcela Urrego",VLOOKUP(LEFT(Proc[[#This Row],[Requested]],1),Table3[#All],2,0),VLOOKUP(Proc[[#This Row],[Author]],Table4[],2,0))</f>
        <v>LS</v>
      </c>
      <c r="L4324" s="150" t="s">
        <v>6435</v>
      </c>
      <c r="M4324" s="154">
        <v>45933</v>
      </c>
      <c r="N4324" s="155"/>
      <c r="O4324" s="155"/>
      <c r="P4324" s="154" t="str">
        <f ca="1">IF(Proc[[#This Row],[DaysAgeing]]&gt;5,"yep","on track")</f>
        <v>yep</v>
      </c>
      <c r="Q4324" s="3">
        <f ca="1">IF(Proc[[#This Row],[DateClosed]]="",ABS(NETWORKDAYS(Proc[[#This Row],[DateOpened]],TODAY()))-1,ABS(NETWORKDAYS(Proc[[#This Row],[DateOpened]],Proc[[#This Row],[DateClosed]]))-1)</f>
        <v>55</v>
      </c>
      <c r="R4324" s="154" t="s">
        <v>489</v>
      </c>
      <c r="S4324" s="150"/>
    </row>
    <row r="4325" spans="1:19" hidden="1">
      <c r="A4325" s="149" t="s">
        <v>6451</v>
      </c>
      <c r="B4325" s="150" t="str">
        <f>IFERROR(VLOOKUP(Proc[[#This Row],[App]],Table2[],3,0),"open")</f>
        <v>ok</v>
      </c>
      <c r="C4325" s="149" t="s">
        <v>369</v>
      </c>
      <c r="D4325" t="s">
        <v>6459</v>
      </c>
      <c r="E4325" t="s">
        <v>6472</v>
      </c>
      <c r="F4325" s="150" t="s">
        <v>6472</v>
      </c>
      <c r="G4325" s="149" t="s">
        <v>400</v>
      </c>
      <c r="H4325" s="150" t="str">
        <f>IF(Proc[[#This Row],[type]]="LFF (MDG-F)",MID(Proc[[#This Row],[Obj]],13,10),"")</f>
        <v/>
      </c>
      <c r="J4325" s="150" t="b">
        <f>Proc[[#This Row],[Requested]]=Proc[[#This Row],[CurrentParent]]</f>
        <v>1</v>
      </c>
      <c r="K4325" s="150" t="str">
        <f>IF(Proc[[#This Row],[Author]]="Marcela Urrego",VLOOKUP(LEFT(Proc[[#This Row],[Requested]],1),Table3[#All],2,0),VLOOKUP(Proc[[#This Row],[Author]],Table4[],2,0))</f>
        <v>LS</v>
      </c>
      <c r="L4325" s="150" t="s">
        <v>6435</v>
      </c>
      <c r="M4325" s="154">
        <v>45933</v>
      </c>
      <c r="N4325" s="155"/>
      <c r="O4325" s="155"/>
      <c r="P4325" s="154" t="str">
        <f ca="1">IF(Proc[[#This Row],[DaysAgeing]]&gt;5,"yep","on track")</f>
        <v>yep</v>
      </c>
      <c r="Q4325" s="3">
        <f ca="1">IF(Proc[[#This Row],[DateClosed]]="",ABS(NETWORKDAYS(Proc[[#This Row],[DateOpened]],TODAY()))-1,ABS(NETWORKDAYS(Proc[[#This Row],[DateOpened]],Proc[[#This Row],[DateClosed]]))-1)</f>
        <v>55</v>
      </c>
      <c r="R4325" s="154" t="s">
        <v>489</v>
      </c>
      <c r="S4325" s="150"/>
    </row>
    <row r="4326" spans="1:19" hidden="1">
      <c r="A4326" s="149" t="s">
        <v>6451</v>
      </c>
      <c r="B4326" s="150" t="str">
        <f>IFERROR(VLOOKUP(Proc[[#This Row],[App]],Table2[],3,0),"open")</f>
        <v>ok</v>
      </c>
      <c r="C4326" s="149" t="s">
        <v>369</v>
      </c>
      <c r="D4326" t="s">
        <v>6460</v>
      </c>
      <c r="E4326" t="s">
        <v>6472</v>
      </c>
      <c r="F4326" s="150" t="s">
        <v>6472</v>
      </c>
      <c r="G4326" s="149" t="s">
        <v>406</v>
      </c>
      <c r="H4326" s="150" t="str">
        <f>IF(Proc[[#This Row],[type]]="LFF (MDG-F)",MID(Proc[[#This Row],[Obj]],13,10),"")</f>
        <v>DE10B04453</v>
      </c>
      <c r="J4326" s="150" t="b">
        <f>Proc[[#This Row],[Requested]]=Proc[[#This Row],[CurrentParent]]</f>
        <v>1</v>
      </c>
      <c r="K4326" s="150" t="str">
        <f>IF(Proc[[#This Row],[Author]]="Marcela Urrego",VLOOKUP(LEFT(Proc[[#This Row],[Requested]],1),Table3[#All],2,0),VLOOKUP(Proc[[#This Row],[Author]],Table4[],2,0))</f>
        <v>LS</v>
      </c>
      <c r="L4326" s="150" t="s">
        <v>6435</v>
      </c>
      <c r="M4326" s="154">
        <v>45933</v>
      </c>
      <c r="N4326" s="155"/>
      <c r="O4326" s="155"/>
      <c r="P4326" s="154" t="str">
        <f ca="1">IF(Proc[[#This Row],[DaysAgeing]]&gt;5,"yep","on track")</f>
        <v>yep</v>
      </c>
      <c r="Q4326" s="3">
        <f ca="1">IF(Proc[[#This Row],[DateClosed]]="",ABS(NETWORKDAYS(Proc[[#This Row],[DateOpened]],TODAY()))-1,ABS(NETWORKDAYS(Proc[[#This Row],[DateOpened]],Proc[[#This Row],[DateClosed]]))-1)</f>
        <v>55</v>
      </c>
      <c r="R4326" s="154" t="s">
        <v>489</v>
      </c>
      <c r="S4326" s="150"/>
    </row>
    <row r="4327" spans="1:19" hidden="1">
      <c r="A4327" s="149" t="s">
        <v>6451</v>
      </c>
      <c r="B4327" s="150" t="str">
        <f>IFERROR(VLOOKUP(Proc[[#This Row],[App]],Table2[],3,0),"open")</f>
        <v>ok</v>
      </c>
      <c r="C4327" s="149" t="s">
        <v>369</v>
      </c>
      <c r="D4327" t="s">
        <v>6461</v>
      </c>
      <c r="E4327" t="s">
        <v>6472</v>
      </c>
      <c r="F4327" s="150" t="s">
        <v>6472</v>
      </c>
      <c r="G4327" s="149" t="s">
        <v>406</v>
      </c>
      <c r="H4327" s="150" t="str">
        <f>IF(Proc[[#This Row],[type]]="LFF (MDG-F)",MID(Proc[[#This Row],[Obj]],13,10),"")</f>
        <v>DE10B14453</v>
      </c>
      <c r="J4327" s="150" t="b">
        <f>Proc[[#This Row],[Requested]]=Proc[[#This Row],[CurrentParent]]</f>
        <v>1</v>
      </c>
      <c r="K4327" s="150" t="str">
        <f>IF(Proc[[#This Row],[Author]]="Marcela Urrego",VLOOKUP(LEFT(Proc[[#This Row],[Requested]],1),Table3[#All],2,0),VLOOKUP(Proc[[#This Row],[Author]],Table4[],2,0))</f>
        <v>LS</v>
      </c>
      <c r="L4327" s="150" t="s">
        <v>6435</v>
      </c>
      <c r="M4327" s="154">
        <v>45933</v>
      </c>
      <c r="N4327" s="155"/>
      <c r="O4327" s="155"/>
      <c r="P4327" s="154" t="str">
        <f ca="1">IF(Proc[[#This Row],[DaysAgeing]]&gt;5,"yep","on track")</f>
        <v>yep</v>
      </c>
      <c r="Q4327" s="3">
        <f ca="1">IF(Proc[[#This Row],[DateClosed]]="",ABS(NETWORKDAYS(Proc[[#This Row],[DateOpened]],TODAY()))-1,ABS(NETWORKDAYS(Proc[[#This Row],[DateOpened]],Proc[[#This Row],[DateClosed]]))-1)</f>
        <v>55</v>
      </c>
      <c r="R4327" s="154" t="s">
        <v>489</v>
      </c>
      <c r="S4327" s="150"/>
    </row>
    <row r="4328" spans="1:19" hidden="1">
      <c r="A4328" s="149" t="s">
        <v>6451</v>
      </c>
      <c r="B4328" s="150" t="str">
        <f>IFERROR(VLOOKUP(Proc[[#This Row],[App]],Table2[],3,0),"open")</f>
        <v>ok</v>
      </c>
      <c r="C4328" s="149" t="s">
        <v>369</v>
      </c>
      <c r="D4328" t="s">
        <v>6462</v>
      </c>
      <c r="E4328" t="s">
        <v>6472</v>
      </c>
      <c r="F4328" s="150" t="s">
        <v>6472</v>
      </c>
      <c r="G4328" s="149" t="s">
        <v>400</v>
      </c>
      <c r="H4328" s="150" t="str">
        <f>IF(Proc[[#This Row],[type]]="LFF (MDG-F)",MID(Proc[[#This Row],[Obj]],13,10),"")</f>
        <v/>
      </c>
      <c r="J4328" s="150" t="b">
        <f>Proc[[#This Row],[Requested]]=Proc[[#This Row],[CurrentParent]]</f>
        <v>1</v>
      </c>
      <c r="K4328" s="150" t="str">
        <f>IF(Proc[[#This Row],[Author]]="Marcela Urrego",VLOOKUP(LEFT(Proc[[#This Row],[Requested]],1),Table3[#All],2,0),VLOOKUP(Proc[[#This Row],[Author]],Table4[],2,0))</f>
        <v>LS</v>
      </c>
      <c r="L4328" s="150" t="s">
        <v>6435</v>
      </c>
      <c r="M4328" s="154">
        <v>45933</v>
      </c>
      <c r="N4328" s="155"/>
      <c r="O4328" s="155"/>
      <c r="P4328" s="154" t="str">
        <f ca="1">IF(Proc[[#This Row],[DaysAgeing]]&gt;5,"yep","on track")</f>
        <v>yep</v>
      </c>
      <c r="Q4328" s="3">
        <f ca="1">IF(Proc[[#This Row],[DateClosed]]="",ABS(NETWORKDAYS(Proc[[#This Row],[DateOpened]],TODAY()))-1,ABS(NETWORKDAYS(Proc[[#This Row],[DateOpened]],Proc[[#This Row],[DateClosed]]))-1)</f>
        <v>55</v>
      </c>
      <c r="R4328" s="154" t="s">
        <v>489</v>
      </c>
      <c r="S4328" s="150"/>
    </row>
    <row r="4329" spans="1:19" hidden="1">
      <c r="A4329" s="149" t="s">
        <v>6451</v>
      </c>
      <c r="B4329" s="150" t="str">
        <f>IFERROR(VLOOKUP(Proc[[#This Row],[App]],Table2[],3,0),"open")</f>
        <v>ok</v>
      </c>
      <c r="C4329" s="149" t="s">
        <v>369</v>
      </c>
      <c r="D4329" t="s">
        <v>6463</v>
      </c>
      <c r="E4329" t="s">
        <v>6472</v>
      </c>
      <c r="F4329" s="150" t="s">
        <v>6472</v>
      </c>
      <c r="G4329" s="149" t="s">
        <v>400</v>
      </c>
      <c r="H4329" s="150" t="str">
        <f>IF(Proc[[#This Row],[type]]="LFF (MDG-F)",MID(Proc[[#This Row],[Obj]],13,10),"")</f>
        <v/>
      </c>
      <c r="J4329" s="150" t="b">
        <f>Proc[[#This Row],[Requested]]=Proc[[#This Row],[CurrentParent]]</f>
        <v>1</v>
      </c>
      <c r="K4329" s="150" t="str">
        <f>IF(Proc[[#This Row],[Author]]="Marcela Urrego",VLOOKUP(LEFT(Proc[[#This Row],[Requested]],1),Table3[#All],2,0),VLOOKUP(Proc[[#This Row],[Author]],Table4[],2,0))</f>
        <v>LS</v>
      </c>
      <c r="L4329" s="150" t="s">
        <v>6435</v>
      </c>
      <c r="M4329" s="154">
        <v>45933</v>
      </c>
      <c r="N4329" s="155"/>
      <c r="O4329" s="155"/>
      <c r="P4329" s="154" t="str">
        <f ca="1">IF(Proc[[#This Row],[DaysAgeing]]&gt;5,"yep","on track")</f>
        <v>yep</v>
      </c>
      <c r="Q4329" s="3">
        <f ca="1">IF(Proc[[#This Row],[DateClosed]]="",ABS(NETWORKDAYS(Proc[[#This Row],[DateOpened]],TODAY()))-1,ABS(NETWORKDAYS(Proc[[#This Row],[DateOpened]],Proc[[#This Row],[DateClosed]]))-1)</f>
        <v>55</v>
      </c>
      <c r="R4329" s="154" t="s">
        <v>489</v>
      </c>
      <c r="S4329" s="150"/>
    </row>
    <row r="4330" spans="1:19" hidden="1">
      <c r="A4330" s="149" t="s">
        <v>6451</v>
      </c>
      <c r="B4330" s="150" t="str">
        <f>IFERROR(VLOOKUP(Proc[[#This Row],[App]],Table2[],3,0),"open")</f>
        <v>ok</v>
      </c>
      <c r="C4330" s="149" t="s">
        <v>369</v>
      </c>
      <c r="D4330" t="s">
        <v>6458</v>
      </c>
      <c r="E4330" t="s">
        <v>6472</v>
      </c>
      <c r="F4330" s="150" t="s">
        <v>6472</v>
      </c>
      <c r="G4330" s="149" t="s">
        <v>400</v>
      </c>
      <c r="H4330" s="150" t="str">
        <f>IF(Proc[[#This Row],[type]]="LFF (MDG-F)",MID(Proc[[#This Row],[Obj]],13,10),"")</f>
        <v/>
      </c>
      <c r="J4330" s="150" t="b">
        <f>Proc[[#This Row],[Requested]]=Proc[[#This Row],[CurrentParent]]</f>
        <v>1</v>
      </c>
      <c r="K4330" s="150" t="str">
        <f>IF(Proc[[#This Row],[Author]]="Marcela Urrego",VLOOKUP(LEFT(Proc[[#This Row],[Requested]],1),Table3[#All],2,0),VLOOKUP(Proc[[#This Row],[Author]],Table4[],2,0))</f>
        <v>LS</v>
      </c>
      <c r="L4330" s="150" t="s">
        <v>6435</v>
      </c>
      <c r="M4330" s="154">
        <v>45933</v>
      </c>
      <c r="N4330" s="155"/>
      <c r="O4330" s="155"/>
      <c r="P4330" s="154" t="str">
        <f ca="1">IF(Proc[[#This Row],[DaysAgeing]]&gt;5,"yep","on track")</f>
        <v>yep</v>
      </c>
      <c r="Q4330" s="3">
        <f ca="1">IF(Proc[[#This Row],[DateClosed]]="",ABS(NETWORKDAYS(Proc[[#This Row],[DateOpened]],TODAY()))-1,ABS(NETWORKDAYS(Proc[[#This Row],[DateOpened]],Proc[[#This Row],[DateClosed]]))-1)</f>
        <v>55</v>
      </c>
      <c r="R4330" s="154" t="s">
        <v>489</v>
      </c>
      <c r="S4330" s="150"/>
    </row>
    <row r="4331" spans="1:19" hidden="1">
      <c r="A4331" s="149" t="s">
        <v>6451</v>
      </c>
      <c r="B4331" s="150" t="str">
        <f>IFERROR(VLOOKUP(Proc[[#This Row],[App]],Table2[],3,0),"open")</f>
        <v>ok</v>
      </c>
      <c r="C4331" s="149" t="s">
        <v>369</v>
      </c>
      <c r="D4331" t="s">
        <v>3574</v>
      </c>
      <c r="E4331" t="s">
        <v>6472</v>
      </c>
      <c r="F4331" s="150" t="s">
        <v>6472</v>
      </c>
      <c r="G4331" s="149" t="s">
        <v>400</v>
      </c>
      <c r="H4331" s="150" t="str">
        <f>IF(Proc[[#This Row],[type]]="LFF (MDG-F)",MID(Proc[[#This Row],[Obj]],13,10),"")</f>
        <v/>
      </c>
      <c r="J4331" s="150" t="b">
        <f>Proc[[#This Row],[Requested]]=Proc[[#This Row],[CurrentParent]]</f>
        <v>1</v>
      </c>
      <c r="K4331" s="150" t="str">
        <f>IF(Proc[[#This Row],[Author]]="Marcela Urrego",VLOOKUP(LEFT(Proc[[#This Row],[Requested]],1),Table3[#All],2,0),VLOOKUP(Proc[[#This Row],[Author]],Table4[],2,0))</f>
        <v>LS</v>
      </c>
      <c r="L4331" s="150" t="s">
        <v>6435</v>
      </c>
      <c r="M4331" s="154">
        <v>45933</v>
      </c>
      <c r="N4331" s="155"/>
      <c r="O4331" s="155"/>
      <c r="P4331" s="154" t="str">
        <f ca="1">IF(Proc[[#This Row],[DaysAgeing]]&gt;5,"yep","on track")</f>
        <v>yep</v>
      </c>
      <c r="Q4331" s="3">
        <f ca="1">IF(Proc[[#This Row],[DateClosed]]="",ABS(NETWORKDAYS(Proc[[#This Row],[DateOpened]],TODAY()))-1,ABS(NETWORKDAYS(Proc[[#This Row],[DateOpened]],Proc[[#This Row],[DateClosed]]))-1)</f>
        <v>55</v>
      </c>
      <c r="R4331" s="154" t="s">
        <v>489</v>
      </c>
      <c r="S4331" s="150"/>
    </row>
    <row r="4332" spans="1:19" hidden="1">
      <c r="A4332" s="149" t="s">
        <v>6451</v>
      </c>
      <c r="B4332" s="150" t="str">
        <f>IFERROR(VLOOKUP(Proc[[#This Row],[App]],Table2[],3,0),"open")</f>
        <v>ok</v>
      </c>
      <c r="C4332" s="149" t="s">
        <v>369</v>
      </c>
      <c r="D4332" t="s">
        <v>3572</v>
      </c>
      <c r="E4332" t="s">
        <v>6472</v>
      </c>
      <c r="F4332" s="150" t="s">
        <v>6472</v>
      </c>
      <c r="G4332" s="149" t="s">
        <v>400</v>
      </c>
      <c r="H4332" s="150" t="str">
        <f>IF(Proc[[#This Row],[type]]="LFF (MDG-F)",MID(Proc[[#This Row],[Obj]],13,10),"")</f>
        <v/>
      </c>
      <c r="J4332" s="150" t="b">
        <f>Proc[[#This Row],[Requested]]=Proc[[#This Row],[CurrentParent]]</f>
        <v>1</v>
      </c>
      <c r="K4332" s="150" t="str">
        <f>IF(Proc[[#This Row],[Author]]="Marcela Urrego",VLOOKUP(LEFT(Proc[[#This Row],[Requested]],1),Table3[#All],2,0),VLOOKUP(Proc[[#This Row],[Author]],Table4[],2,0))</f>
        <v>LS</v>
      </c>
      <c r="L4332" s="150" t="s">
        <v>6435</v>
      </c>
      <c r="M4332" s="154">
        <v>45933</v>
      </c>
      <c r="N4332" s="155"/>
      <c r="O4332" s="155"/>
      <c r="P4332" s="154" t="str">
        <f ca="1">IF(Proc[[#This Row],[DaysAgeing]]&gt;5,"yep","on track")</f>
        <v>yep</v>
      </c>
      <c r="Q4332" s="3">
        <f ca="1">IF(Proc[[#This Row],[DateClosed]]="",ABS(NETWORKDAYS(Proc[[#This Row],[DateOpened]],TODAY()))-1,ABS(NETWORKDAYS(Proc[[#This Row],[DateOpened]],Proc[[#This Row],[DateClosed]]))-1)</f>
        <v>55</v>
      </c>
      <c r="R4332" s="154" t="s">
        <v>489</v>
      </c>
      <c r="S4332" s="150"/>
    </row>
    <row r="4333" spans="1:19" hidden="1">
      <c r="A4333" s="149" t="s">
        <v>6451</v>
      </c>
      <c r="B4333" s="150" t="str">
        <f>IFERROR(VLOOKUP(Proc[[#This Row],[App]],Table2[],3,0),"open")</f>
        <v>ok</v>
      </c>
      <c r="C4333" s="149" t="s">
        <v>369</v>
      </c>
      <c r="D4333" t="s">
        <v>6464</v>
      </c>
      <c r="E4333" t="s">
        <v>6473</v>
      </c>
      <c r="F4333" s="150" t="s">
        <v>6473</v>
      </c>
      <c r="G4333" s="149" t="s">
        <v>400</v>
      </c>
      <c r="H4333" s="150" t="str">
        <f>IF(Proc[[#This Row],[type]]="LFF (MDG-F)",MID(Proc[[#This Row],[Obj]],13,10),"")</f>
        <v/>
      </c>
      <c r="J4333" s="150" t="b">
        <f>Proc[[#This Row],[Requested]]=Proc[[#This Row],[CurrentParent]]</f>
        <v>1</v>
      </c>
      <c r="K4333" s="150" t="str">
        <f>IF(Proc[[#This Row],[Author]]="Marcela Urrego",VLOOKUP(LEFT(Proc[[#This Row],[Requested]],1),Table3[#All],2,0),VLOOKUP(Proc[[#This Row],[Author]],Table4[],2,0))</f>
        <v>LS</v>
      </c>
      <c r="L4333" s="150" t="s">
        <v>6435</v>
      </c>
      <c r="M4333" s="154">
        <v>45933</v>
      </c>
      <c r="N4333" s="155"/>
      <c r="O4333" s="155"/>
      <c r="P4333" s="154" t="str">
        <f ca="1">IF(Proc[[#This Row],[DaysAgeing]]&gt;5,"yep","on track")</f>
        <v>yep</v>
      </c>
      <c r="Q4333" s="3">
        <f ca="1">IF(Proc[[#This Row],[DateClosed]]="",ABS(NETWORKDAYS(Proc[[#This Row],[DateOpened]],TODAY()))-1,ABS(NETWORKDAYS(Proc[[#This Row],[DateOpened]],Proc[[#This Row],[DateClosed]]))-1)</f>
        <v>55</v>
      </c>
      <c r="R4333" s="154" t="s">
        <v>489</v>
      </c>
      <c r="S4333" s="150"/>
    </row>
    <row r="4334" spans="1:19" hidden="1">
      <c r="A4334" s="149" t="s">
        <v>6451</v>
      </c>
      <c r="B4334" s="150" t="str">
        <f>IFERROR(VLOOKUP(Proc[[#This Row],[App]],Table2[],3,0),"open")</f>
        <v>ok</v>
      </c>
      <c r="C4334" s="149" t="s">
        <v>369</v>
      </c>
      <c r="D4334" t="s">
        <v>6465</v>
      </c>
      <c r="E4334" t="s">
        <v>6473</v>
      </c>
      <c r="F4334" s="150" t="s">
        <v>6473</v>
      </c>
      <c r="G4334" s="149" t="s">
        <v>400</v>
      </c>
      <c r="H4334" s="150" t="str">
        <f>IF(Proc[[#This Row],[type]]="LFF (MDG-F)",MID(Proc[[#This Row],[Obj]],13,10),"")</f>
        <v/>
      </c>
      <c r="J4334" s="150" t="b">
        <f>Proc[[#This Row],[Requested]]=Proc[[#This Row],[CurrentParent]]</f>
        <v>1</v>
      </c>
      <c r="K4334" s="150" t="str">
        <f>IF(Proc[[#This Row],[Author]]="Marcela Urrego",VLOOKUP(LEFT(Proc[[#This Row],[Requested]],1),Table3[#All],2,0),VLOOKUP(Proc[[#This Row],[Author]],Table4[],2,0))</f>
        <v>LS</v>
      </c>
      <c r="L4334" s="150" t="s">
        <v>6435</v>
      </c>
      <c r="M4334" s="154">
        <v>45933</v>
      </c>
      <c r="N4334" s="155"/>
      <c r="O4334" s="155"/>
      <c r="P4334" s="154" t="str">
        <f ca="1">IF(Proc[[#This Row],[DaysAgeing]]&gt;5,"yep","on track")</f>
        <v>yep</v>
      </c>
      <c r="Q4334" s="3">
        <f ca="1">IF(Proc[[#This Row],[DateClosed]]="",ABS(NETWORKDAYS(Proc[[#This Row],[DateOpened]],TODAY()))-1,ABS(NETWORKDAYS(Proc[[#This Row],[DateOpened]],Proc[[#This Row],[DateClosed]]))-1)</f>
        <v>55</v>
      </c>
      <c r="R4334" s="154" t="s">
        <v>489</v>
      </c>
      <c r="S4334" s="150"/>
    </row>
    <row r="4335" spans="1:19" hidden="1">
      <c r="A4335" s="149" t="s">
        <v>6451</v>
      </c>
      <c r="B4335" s="150" t="str">
        <f>IFERROR(VLOOKUP(Proc[[#This Row],[App]],Table2[],3,0),"open")</f>
        <v>ok</v>
      </c>
      <c r="C4335" s="149" t="s">
        <v>369</v>
      </c>
      <c r="D4335" t="s">
        <v>6466</v>
      </c>
      <c r="E4335" t="s">
        <v>6473</v>
      </c>
      <c r="F4335" s="150" t="s">
        <v>6473</v>
      </c>
      <c r="G4335" s="149" t="s">
        <v>400</v>
      </c>
      <c r="H4335" s="150" t="str">
        <f>IF(Proc[[#This Row],[type]]="LFF (MDG-F)",MID(Proc[[#This Row],[Obj]],13,10),"")</f>
        <v/>
      </c>
      <c r="J4335" s="150" t="b">
        <f>Proc[[#This Row],[Requested]]=Proc[[#This Row],[CurrentParent]]</f>
        <v>1</v>
      </c>
      <c r="K4335" s="150" t="str">
        <f>IF(Proc[[#This Row],[Author]]="Marcela Urrego",VLOOKUP(LEFT(Proc[[#This Row],[Requested]],1),Table3[#All],2,0),VLOOKUP(Proc[[#This Row],[Author]],Table4[],2,0))</f>
        <v>LS</v>
      </c>
      <c r="L4335" s="150" t="s">
        <v>6435</v>
      </c>
      <c r="M4335" s="154">
        <v>45933</v>
      </c>
      <c r="N4335" s="155"/>
      <c r="O4335" s="155"/>
      <c r="P4335" s="154" t="str">
        <f ca="1">IF(Proc[[#This Row],[DaysAgeing]]&gt;5,"yep","on track")</f>
        <v>yep</v>
      </c>
      <c r="Q4335" s="3">
        <f ca="1">IF(Proc[[#This Row],[DateClosed]]="",ABS(NETWORKDAYS(Proc[[#This Row],[DateOpened]],TODAY()))-1,ABS(NETWORKDAYS(Proc[[#This Row],[DateOpened]],Proc[[#This Row],[DateClosed]]))-1)</f>
        <v>55</v>
      </c>
      <c r="R4335" s="154" t="s">
        <v>489</v>
      </c>
      <c r="S4335" s="150"/>
    </row>
    <row r="4336" spans="1:19" hidden="1">
      <c r="A4336" s="149" t="s">
        <v>6451</v>
      </c>
      <c r="B4336" s="150" t="str">
        <f>IFERROR(VLOOKUP(Proc[[#This Row],[App]],Table2[],3,0),"open")</f>
        <v>ok</v>
      </c>
      <c r="C4336" s="149" t="s">
        <v>369</v>
      </c>
      <c r="D4336" t="s">
        <v>6467</v>
      </c>
      <c r="E4336" t="s">
        <v>6473</v>
      </c>
      <c r="F4336" s="150" t="s">
        <v>6473</v>
      </c>
      <c r="G4336" s="149" t="s">
        <v>406</v>
      </c>
      <c r="H4336" s="150" t="str">
        <f>IF(Proc[[#This Row],[type]]="LFF (MDG-F)",MID(Proc[[#This Row],[Obj]],13,10),"")</f>
        <v>2102TMCZ90</v>
      </c>
      <c r="J4336" s="150" t="b">
        <f>Proc[[#This Row],[Requested]]=Proc[[#This Row],[CurrentParent]]</f>
        <v>1</v>
      </c>
      <c r="K4336" s="150" t="str">
        <f>IF(Proc[[#This Row],[Author]]="Marcela Urrego",VLOOKUP(LEFT(Proc[[#This Row],[Requested]],1),Table3[#All],2,0),VLOOKUP(Proc[[#This Row],[Author]],Table4[],2,0))</f>
        <v>LS</v>
      </c>
      <c r="L4336" s="150" t="s">
        <v>6435</v>
      </c>
      <c r="M4336" s="154">
        <v>45933</v>
      </c>
      <c r="N4336" s="155"/>
      <c r="O4336" s="155"/>
      <c r="P4336" s="154" t="str">
        <f ca="1">IF(Proc[[#This Row],[DaysAgeing]]&gt;5,"yep","on track")</f>
        <v>yep</v>
      </c>
      <c r="Q4336" s="3">
        <f ca="1">IF(Proc[[#This Row],[DateClosed]]="",ABS(NETWORKDAYS(Proc[[#This Row],[DateOpened]],TODAY()))-1,ABS(NETWORKDAYS(Proc[[#This Row],[DateOpened]],Proc[[#This Row],[DateClosed]]))-1)</f>
        <v>55</v>
      </c>
      <c r="R4336" s="154" t="s">
        <v>489</v>
      </c>
      <c r="S4336" s="150"/>
    </row>
    <row r="4337" spans="1:19" hidden="1">
      <c r="A4337" s="149" t="s">
        <v>6451</v>
      </c>
      <c r="B4337" s="150" t="str">
        <f>IFERROR(VLOOKUP(Proc[[#This Row],[App]],Table2[],3,0),"open")</f>
        <v>ok</v>
      </c>
      <c r="C4337" s="149" t="s">
        <v>369</v>
      </c>
      <c r="D4337" t="s">
        <v>3571</v>
      </c>
      <c r="E4337" t="s">
        <v>6473</v>
      </c>
      <c r="F4337" s="150" t="s">
        <v>6473</v>
      </c>
      <c r="G4337" s="149" t="s">
        <v>400</v>
      </c>
      <c r="H4337" s="150" t="str">
        <f>IF(Proc[[#This Row],[type]]="LFF (MDG-F)",MID(Proc[[#This Row],[Obj]],13,10),"")</f>
        <v/>
      </c>
      <c r="J4337" s="150" t="b">
        <f>Proc[[#This Row],[Requested]]=Proc[[#This Row],[CurrentParent]]</f>
        <v>1</v>
      </c>
      <c r="K4337" s="150" t="str">
        <f>IF(Proc[[#This Row],[Author]]="Marcela Urrego",VLOOKUP(LEFT(Proc[[#This Row],[Requested]],1),Table3[#All],2,0),VLOOKUP(Proc[[#This Row],[Author]],Table4[],2,0))</f>
        <v>LS</v>
      </c>
      <c r="L4337" s="150" t="s">
        <v>6435</v>
      </c>
      <c r="M4337" s="154">
        <v>45933</v>
      </c>
      <c r="N4337" s="155"/>
      <c r="O4337" s="155"/>
      <c r="P4337" s="154" t="str">
        <f ca="1">IF(Proc[[#This Row],[DaysAgeing]]&gt;5,"yep","on track")</f>
        <v>yep</v>
      </c>
      <c r="Q4337" s="3">
        <f ca="1">IF(Proc[[#This Row],[DateClosed]]="",ABS(NETWORKDAYS(Proc[[#This Row],[DateOpened]],TODAY()))-1,ABS(NETWORKDAYS(Proc[[#This Row],[DateOpened]],Proc[[#This Row],[DateClosed]]))-1)</f>
        <v>55</v>
      </c>
      <c r="R4337" s="154" t="s">
        <v>489</v>
      </c>
      <c r="S4337" s="150"/>
    </row>
    <row r="4338" spans="1:19" hidden="1">
      <c r="A4338" s="149" t="s">
        <v>6451</v>
      </c>
      <c r="B4338" s="150" t="str">
        <f>IFERROR(VLOOKUP(Proc[[#This Row],[App]],Table2[],3,0),"open")</f>
        <v>ok</v>
      </c>
      <c r="C4338" s="149" t="s">
        <v>369</v>
      </c>
      <c r="D4338" t="s">
        <v>3573</v>
      </c>
      <c r="E4338" t="s">
        <v>6471</v>
      </c>
      <c r="F4338" s="150" t="s">
        <v>6471</v>
      </c>
      <c r="G4338" s="149" t="s">
        <v>400</v>
      </c>
      <c r="H4338" s="150" t="str">
        <f>IF(Proc[[#This Row],[type]]="LFF (MDG-F)",MID(Proc[[#This Row],[Obj]],13,10),"")</f>
        <v/>
      </c>
      <c r="J4338" s="150" t="b">
        <f>Proc[[#This Row],[Requested]]=Proc[[#This Row],[CurrentParent]]</f>
        <v>1</v>
      </c>
      <c r="K4338" s="150" t="str">
        <f>IF(Proc[[#This Row],[Author]]="Marcela Urrego",VLOOKUP(LEFT(Proc[[#This Row],[Requested]],1),Table3[#All],2,0),VLOOKUP(Proc[[#This Row],[Author]],Table4[],2,0))</f>
        <v>LS</v>
      </c>
      <c r="L4338" s="150" t="s">
        <v>6435</v>
      </c>
      <c r="M4338" s="154">
        <v>45933</v>
      </c>
      <c r="N4338" s="155"/>
      <c r="O4338" s="155"/>
      <c r="P4338" s="154" t="str">
        <f ca="1">IF(Proc[[#This Row],[DaysAgeing]]&gt;5,"yep","on track")</f>
        <v>yep</v>
      </c>
      <c r="Q4338" s="3">
        <f ca="1">IF(Proc[[#This Row],[DateClosed]]="",ABS(NETWORKDAYS(Proc[[#This Row],[DateOpened]],TODAY()))-1,ABS(NETWORKDAYS(Proc[[#This Row],[DateOpened]],Proc[[#This Row],[DateClosed]]))-1)</f>
        <v>55</v>
      </c>
      <c r="R4338" s="154" t="s">
        <v>489</v>
      </c>
      <c r="S4338" s="150"/>
    </row>
    <row r="4339" spans="1:19" hidden="1">
      <c r="A4339" t="s">
        <v>6474</v>
      </c>
      <c r="B4339" s="150" t="str">
        <f>IFERROR(VLOOKUP(Proc[[#This Row],[App]],Table2[],3,0),"open")</f>
        <v>ok</v>
      </c>
      <c r="C4339" s="149" t="s">
        <v>369</v>
      </c>
      <c r="D4339" t="s">
        <v>6478</v>
      </c>
      <c r="E4339" t="s">
        <v>6476</v>
      </c>
      <c r="F4339" s="150" t="s">
        <v>6476</v>
      </c>
      <c r="G4339" s="149" t="s">
        <v>400</v>
      </c>
      <c r="H4339" s="150" t="str">
        <f>IF(Proc[[#This Row],[type]]="LFF (MDG-F)",MID(Proc[[#This Row],[Obj]],13,10),"")</f>
        <v/>
      </c>
      <c r="J4339" s="150" t="b">
        <f>Proc[[#This Row],[Requested]]=Proc[[#This Row],[CurrentParent]]</f>
        <v>1</v>
      </c>
      <c r="K4339" s="150" t="str">
        <f>IF(Proc[[#This Row],[Author]]="Marcela Urrego",VLOOKUP(LEFT(Proc[[#This Row],[Requested]],1),Table3[#All],2,0),VLOOKUP(Proc[[#This Row],[Author]],Table4[],2,0))</f>
        <v>LS</v>
      </c>
      <c r="L4339" s="150" t="s">
        <v>6435</v>
      </c>
      <c r="M4339" s="154">
        <v>45933</v>
      </c>
      <c r="N4339" s="155"/>
      <c r="O4339" s="155"/>
      <c r="P4339" s="154" t="str">
        <f ca="1">IF(Proc[[#This Row],[DaysAgeing]]&gt;5,"yep","on track")</f>
        <v>yep</v>
      </c>
      <c r="Q4339" s="3">
        <f ca="1">IF(Proc[[#This Row],[DateClosed]]="",ABS(NETWORKDAYS(Proc[[#This Row],[DateOpened]],TODAY()))-1,ABS(NETWORKDAYS(Proc[[#This Row],[DateOpened]],Proc[[#This Row],[DateClosed]]))-1)</f>
        <v>55</v>
      </c>
      <c r="R4339" s="154" t="s">
        <v>489</v>
      </c>
      <c r="S4339" s="150"/>
    </row>
    <row r="4340" spans="1:19" hidden="1">
      <c r="A4340" s="149" t="s">
        <v>6474</v>
      </c>
      <c r="B4340" s="150" t="str">
        <f>IFERROR(VLOOKUP(Proc[[#This Row],[App]],Table2[],3,0),"open")</f>
        <v>ok</v>
      </c>
      <c r="C4340" s="149" t="s">
        <v>369</v>
      </c>
      <c r="D4340" t="s">
        <v>6475</v>
      </c>
      <c r="E4340" t="s">
        <v>6472</v>
      </c>
      <c r="F4340" s="150" t="s">
        <v>6472</v>
      </c>
      <c r="G4340" t="s">
        <v>406</v>
      </c>
      <c r="H4340" s="150" t="str">
        <f>IF(Proc[[#This Row],[type]]="LFF (MDG-F)",MID(Proc[[#This Row],[Obj]],13,10),"")</f>
        <v>1937TMCZ95</v>
      </c>
      <c r="J4340" s="150" t="b">
        <f>Proc[[#This Row],[Requested]]=Proc[[#This Row],[CurrentParent]]</f>
        <v>1</v>
      </c>
      <c r="K4340" s="150" t="str">
        <f>IF(Proc[[#This Row],[Author]]="Marcela Urrego",VLOOKUP(LEFT(Proc[[#This Row],[Requested]],1),Table3[#All],2,0),VLOOKUP(Proc[[#This Row],[Author]],Table4[],2,0))</f>
        <v>LS</v>
      </c>
      <c r="L4340" s="150" t="s">
        <v>6435</v>
      </c>
      <c r="M4340" s="154">
        <v>45933</v>
      </c>
      <c r="N4340" s="155"/>
      <c r="O4340" s="155"/>
      <c r="P4340" s="154" t="str">
        <f ca="1">IF(Proc[[#This Row],[DaysAgeing]]&gt;5,"yep","on track")</f>
        <v>yep</v>
      </c>
      <c r="Q4340" s="3">
        <f ca="1">IF(Proc[[#This Row],[DateClosed]]="",ABS(NETWORKDAYS(Proc[[#This Row],[DateOpened]],TODAY()))-1,ABS(NETWORKDAYS(Proc[[#This Row],[DateOpened]],Proc[[#This Row],[DateClosed]]))-1)</f>
        <v>55</v>
      </c>
      <c r="R4340" s="154" t="s">
        <v>489</v>
      </c>
      <c r="S4340" s="150"/>
    </row>
    <row r="4341" spans="1:19" hidden="1">
      <c r="A4341" t="s">
        <v>6479</v>
      </c>
      <c r="B4341" s="150" t="str">
        <f>IFERROR(VLOOKUP(Proc[[#This Row],[App]],Table2[],3,0),"open")</f>
        <v>ok</v>
      </c>
      <c r="C4341" s="149" t="s">
        <v>369</v>
      </c>
      <c r="D4341" t="s">
        <v>6502</v>
      </c>
      <c r="E4341" t="s">
        <v>424</v>
      </c>
      <c r="F4341" s="150" t="s">
        <v>424</v>
      </c>
      <c r="G4341" t="s">
        <v>400</v>
      </c>
      <c r="H4341" s="150" t="str">
        <f>IF(Proc[[#This Row],[type]]="LFF (MDG-F)",MID(Proc[[#This Row],[Obj]],13,10),"")</f>
        <v/>
      </c>
      <c r="J4341" s="150" t="b">
        <f>Proc[[#This Row],[Requested]]=Proc[[#This Row],[CurrentParent]]</f>
        <v>1</v>
      </c>
      <c r="K4341" s="150" t="str">
        <f>IF(Proc[[#This Row],[Author]]="Marcela Urrego",VLOOKUP(LEFT(Proc[[#This Row],[Requested]],1),Table3[#All],2,0),VLOOKUP(Proc[[#This Row],[Author]],Table4[],2,0))</f>
        <v>MGF</v>
      </c>
      <c r="L4341" s="150" t="s">
        <v>6435</v>
      </c>
      <c r="M4341" s="155">
        <v>45933</v>
      </c>
      <c r="N4341" s="155"/>
      <c r="O4341" s="155"/>
      <c r="P4341" s="156" t="str">
        <f ca="1">IF(Proc[[#This Row],[DaysAgeing]]&gt;5,"yep","on track")</f>
        <v>yep</v>
      </c>
      <c r="Q4341" s="3">
        <f ca="1">IF(Proc[[#This Row],[DateClosed]]="",ABS(NETWORKDAYS(Proc[[#This Row],[DateOpened]],TODAY()))-1,ABS(NETWORKDAYS(Proc[[#This Row],[DateOpened]],Proc[[#This Row],[DateClosed]]))-1)</f>
        <v>55</v>
      </c>
      <c r="R4341" s="156" t="s">
        <v>1459</v>
      </c>
      <c r="S4341" s="150"/>
    </row>
    <row r="4342" spans="1:19" hidden="1">
      <c r="A4342" t="s">
        <v>6479</v>
      </c>
      <c r="B4342" s="150" t="str">
        <f>IFERROR(VLOOKUP(Proc[[#This Row],[App]],Table2[],3,0),"open")</f>
        <v>ok</v>
      </c>
      <c r="C4342" s="149" t="s">
        <v>369</v>
      </c>
      <c r="D4342" t="s">
        <v>6503</v>
      </c>
      <c r="E4342" t="s">
        <v>425</v>
      </c>
      <c r="F4342" s="150" t="s">
        <v>425</v>
      </c>
      <c r="G4342" t="s">
        <v>400</v>
      </c>
      <c r="H4342" s="150" t="str">
        <f>IF(Proc[[#This Row],[type]]="LFF (MDG-F)",MID(Proc[[#This Row],[Obj]],13,10),"")</f>
        <v/>
      </c>
      <c r="J4342" s="150" t="b">
        <f>Proc[[#This Row],[Requested]]=Proc[[#This Row],[CurrentParent]]</f>
        <v>1</v>
      </c>
      <c r="K4342" s="150" t="str">
        <f>IF(Proc[[#This Row],[Author]]="Marcela Urrego",VLOOKUP(LEFT(Proc[[#This Row],[Requested]],1),Table3[#All],2,0),VLOOKUP(Proc[[#This Row],[Author]],Table4[],2,0))</f>
        <v>MGF</v>
      </c>
      <c r="L4342" s="150" t="s">
        <v>6435</v>
      </c>
      <c r="M4342" s="155">
        <v>45933</v>
      </c>
      <c r="N4342" s="155"/>
      <c r="O4342" s="155"/>
      <c r="P4342" s="156" t="str">
        <f ca="1">IF(Proc[[#This Row],[DaysAgeing]]&gt;5,"yep","on track")</f>
        <v>yep</v>
      </c>
      <c r="Q4342" s="3">
        <f ca="1">IF(Proc[[#This Row],[DateClosed]]="",ABS(NETWORKDAYS(Proc[[#This Row],[DateOpened]],TODAY()))-1,ABS(NETWORKDAYS(Proc[[#This Row],[DateOpened]],Proc[[#This Row],[DateClosed]]))-1)</f>
        <v>55</v>
      </c>
      <c r="R4342" s="156" t="s">
        <v>1459</v>
      </c>
      <c r="S4342" s="150"/>
    </row>
    <row r="4343" spans="1:19" hidden="1">
      <c r="A4343" t="s">
        <v>6481</v>
      </c>
      <c r="B4343" s="150" t="str">
        <f>IFERROR(VLOOKUP(Proc[[#This Row],[App]],Table2[],3,0),"open")</f>
        <v>ok</v>
      </c>
      <c r="C4343" s="149" t="s">
        <v>369</v>
      </c>
      <c r="D4343" t="s">
        <v>6506</v>
      </c>
      <c r="E4343" t="s">
        <v>4764</v>
      </c>
      <c r="F4343" s="150" t="s">
        <v>4764</v>
      </c>
      <c r="G4343" t="s">
        <v>406</v>
      </c>
      <c r="H4343" s="150" t="str">
        <f>IF(Proc[[#This Row],[type]]="LFF (MDG-F)",MID(Proc[[#This Row],[Obj]],13,10),"")</f>
        <v>AE50R0GR12</v>
      </c>
      <c r="J4343" s="150" t="b">
        <f>Proc[[#This Row],[Requested]]=Proc[[#This Row],[CurrentParent]]</f>
        <v>1</v>
      </c>
      <c r="K4343" s="150" t="str">
        <f>IF(Proc[[#This Row],[Author]]="Marcela Urrego",VLOOKUP(LEFT(Proc[[#This Row],[Requested]],1),Table3[#All],2,0),VLOOKUP(Proc[[#This Row],[Author]],Table4[],2,0))</f>
        <v>HC</v>
      </c>
      <c r="L4343" s="150" t="s">
        <v>6435</v>
      </c>
      <c r="M4343" s="155">
        <v>45937</v>
      </c>
      <c r="N4343" s="155"/>
      <c r="O4343" s="155"/>
      <c r="P4343" s="156" t="str">
        <f ca="1">IF(Proc[[#This Row],[DaysAgeing]]&gt;5,"yep","on track")</f>
        <v>yep</v>
      </c>
      <c r="Q4343" s="3">
        <f ca="1">IF(Proc[[#This Row],[DateClosed]]="",ABS(NETWORKDAYS(Proc[[#This Row],[DateOpened]],TODAY()))-1,ABS(NETWORKDAYS(Proc[[#This Row],[DateOpened]],Proc[[#This Row],[DateClosed]]))-1)</f>
        <v>53</v>
      </c>
      <c r="R4343" s="156" t="s">
        <v>410</v>
      </c>
      <c r="S4343" s="150"/>
    </row>
    <row r="4344" spans="1:19" hidden="1">
      <c r="A4344" s="149" t="s">
        <v>6481</v>
      </c>
      <c r="B4344" s="150" t="str">
        <f>IFERROR(VLOOKUP(Proc[[#This Row],[App]],Table2[],3,0),"open")</f>
        <v>ok</v>
      </c>
      <c r="C4344" s="149" t="s">
        <v>369</v>
      </c>
      <c r="D4344" t="s">
        <v>6480</v>
      </c>
      <c r="E4344" t="s">
        <v>4764</v>
      </c>
      <c r="F4344" s="150" t="s">
        <v>4764</v>
      </c>
      <c r="G4344" t="s">
        <v>400</v>
      </c>
      <c r="H4344" s="150" t="str">
        <f>IF(Proc[[#This Row],[type]]="LFF (MDG-F)",MID(Proc[[#This Row],[Obj]],13,10),"")</f>
        <v/>
      </c>
      <c r="J4344" s="150" t="b">
        <f>Proc[[#This Row],[Requested]]=Proc[[#This Row],[CurrentParent]]</f>
        <v>1</v>
      </c>
      <c r="K4344" s="150" t="str">
        <f>IF(Proc[[#This Row],[Author]]="Marcela Urrego",VLOOKUP(LEFT(Proc[[#This Row],[Requested]],1),Table3[#All],2,0),VLOOKUP(Proc[[#This Row],[Author]],Table4[],2,0))</f>
        <v>HC</v>
      </c>
      <c r="L4344" s="150" t="s">
        <v>6435</v>
      </c>
      <c r="M4344" s="155">
        <v>45937</v>
      </c>
      <c r="N4344" s="155"/>
      <c r="O4344" s="155"/>
      <c r="P4344" s="156" t="str">
        <f ca="1">IF(Proc[[#This Row],[DaysAgeing]]&gt;5,"yep","on track")</f>
        <v>yep</v>
      </c>
      <c r="Q4344" s="3">
        <f ca="1">IF(Proc[[#This Row],[DateClosed]]="",ABS(NETWORKDAYS(Proc[[#This Row],[DateOpened]],TODAY()))-1,ABS(NETWORKDAYS(Proc[[#This Row],[DateOpened]],Proc[[#This Row],[DateClosed]]))-1)</f>
        <v>53</v>
      </c>
      <c r="R4344" s="156" t="s">
        <v>410</v>
      </c>
      <c r="S4344" s="150"/>
    </row>
    <row r="4345" spans="1:19" hidden="1">
      <c r="A4345" t="s">
        <v>6484</v>
      </c>
      <c r="B4345" s="150" t="str">
        <f>IFERROR(VLOOKUP(Proc[[#This Row],[App]],Table2[],3,0),"open")</f>
        <v>ok</v>
      </c>
      <c r="C4345" s="149" t="s">
        <v>369</v>
      </c>
      <c r="D4345" t="s">
        <v>6482</v>
      </c>
      <c r="E4345" t="s">
        <v>6473</v>
      </c>
      <c r="F4345" s="150" t="s">
        <v>6473</v>
      </c>
      <c r="G4345" t="s">
        <v>400</v>
      </c>
      <c r="H4345" s="150" t="str">
        <f>IF(Proc[[#This Row],[type]]="LFF (MDG-F)",MID(Proc[[#This Row],[Obj]],13,10),"")</f>
        <v/>
      </c>
      <c r="J4345" s="150" t="b">
        <f>Proc[[#This Row],[Requested]]=Proc[[#This Row],[CurrentParent]]</f>
        <v>1</v>
      </c>
      <c r="K4345" s="150" t="str">
        <f>IF(Proc[[#This Row],[Author]]="Marcela Urrego",VLOOKUP(LEFT(Proc[[#This Row],[Requested]],1),Table3[#All],2,0),VLOOKUP(Proc[[#This Row],[Author]],Table4[],2,0))</f>
        <v>LS</v>
      </c>
      <c r="L4345" s="150" t="s">
        <v>6435</v>
      </c>
      <c r="M4345" s="155">
        <v>45937</v>
      </c>
      <c r="N4345" s="155"/>
      <c r="O4345" s="155"/>
      <c r="P4345" s="156" t="str">
        <f ca="1">IF(Proc[[#This Row],[DaysAgeing]]&gt;5,"yep","on track")</f>
        <v>yep</v>
      </c>
      <c r="Q4345" s="3">
        <f ca="1">IF(Proc[[#This Row],[DateClosed]]="",ABS(NETWORKDAYS(Proc[[#This Row],[DateOpened]],TODAY()))-1,ABS(NETWORKDAYS(Proc[[#This Row],[DateOpened]],Proc[[#This Row],[DateClosed]]))-1)</f>
        <v>53</v>
      </c>
      <c r="R4345" s="156" t="s">
        <v>489</v>
      </c>
      <c r="S4345" s="150"/>
    </row>
    <row r="4346" spans="1:19" hidden="1">
      <c r="A4346" t="s">
        <v>6484</v>
      </c>
      <c r="B4346" s="150" t="str">
        <f>IFERROR(VLOOKUP(Proc[[#This Row],[App]],Table2[],3,0),"open")</f>
        <v>ok</v>
      </c>
      <c r="C4346" s="149" t="s">
        <v>369</v>
      </c>
      <c r="D4346" t="s">
        <v>6483</v>
      </c>
      <c r="E4346" t="s">
        <v>6473</v>
      </c>
      <c r="F4346" s="150" t="s">
        <v>6473</v>
      </c>
      <c r="G4346" t="s">
        <v>400</v>
      </c>
      <c r="H4346" s="150" t="str">
        <f>IF(Proc[[#This Row],[type]]="LFF (MDG-F)",MID(Proc[[#This Row],[Obj]],13,10),"")</f>
        <v/>
      </c>
      <c r="J4346" s="150" t="b">
        <f>Proc[[#This Row],[Requested]]=Proc[[#This Row],[CurrentParent]]</f>
        <v>1</v>
      </c>
      <c r="K4346" s="150" t="str">
        <f>IF(Proc[[#This Row],[Author]]="Marcela Urrego",VLOOKUP(LEFT(Proc[[#This Row],[Requested]],1),Table3[#All],2,0),VLOOKUP(Proc[[#This Row],[Author]],Table4[],2,0))</f>
        <v>LS</v>
      </c>
      <c r="L4346" s="150" t="s">
        <v>6435</v>
      </c>
      <c r="M4346" s="155">
        <v>45937</v>
      </c>
      <c r="N4346" s="155"/>
      <c r="O4346" s="155"/>
      <c r="P4346" s="156" t="str">
        <f ca="1">IF(Proc[[#This Row],[DaysAgeing]]&gt;5,"yep","on track")</f>
        <v>yep</v>
      </c>
      <c r="Q4346" s="3">
        <f ca="1">IF(Proc[[#This Row],[DateClosed]]="",ABS(NETWORKDAYS(Proc[[#This Row],[DateOpened]],TODAY()))-1,ABS(NETWORKDAYS(Proc[[#This Row],[DateOpened]],Proc[[#This Row],[DateClosed]]))-1)</f>
        <v>53</v>
      </c>
      <c r="R4346" s="156" t="s">
        <v>489</v>
      </c>
      <c r="S4346" s="150"/>
    </row>
    <row r="4347" spans="1:19" hidden="1">
      <c r="A4347" t="s">
        <v>6485</v>
      </c>
      <c r="B4347" s="150" t="str">
        <f>IFERROR(VLOOKUP(Proc[[#This Row],[App]],Table2[],3,0),"open")</f>
        <v>ok</v>
      </c>
      <c r="C4347" s="149" t="s">
        <v>369</v>
      </c>
      <c r="D4347" t="s">
        <v>6486</v>
      </c>
      <c r="E4347" t="s">
        <v>6476</v>
      </c>
      <c r="F4347" s="150" t="s">
        <v>6476</v>
      </c>
      <c r="G4347" t="s">
        <v>400</v>
      </c>
      <c r="H4347" s="150" t="str">
        <f>IF(Proc[[#This Row],[type]]="LFF (MDG-F)",MID(Proc[[#This Row],[Obj]],13,10),"")</f>
        <v/>
      </c>
      <c r="J4347" s="150" t="b">
        <f>Proc[[#This Row],[Requested]]=Proc[[#This Row],[CurrentParent]]</f>
        <v>1</v>
      </c>
      <c r="K4347" s="150" t="str">
        <f>IF(Proc[[#This Row],[Author]]="Marcela Urrego",VLOOKUP(LEFT(Proc[[#This Row],[Requested]],1),Table3[#All],2,0),VLOOKUP(Proc[[#This Row],[Author]],Table4[],2,0))</f>
        <v>LS</v>
      </c>
      <c r="L4347" s="150" t="s">
        <v>6435</v>
      </c>
      <c r="M4347" s="155">
        <v>45937</v>
      </c>
      <c r="N4347" s="155"/>
      <c r="O4347" s="155"/>
      <c r="P4347" s="156" t="str">
        <f ca="1">IF(Proc[[#This Row],[DaysAgeing]]&gt;5,"yep","on track")</f>
        <v>yep</v>
      </c>
      <c r="Q4347" s="3">
        <f ca="1">IF(Proc[[#This Row],[DateClosed]]="",ABS(NETWORKDAYS(Proc[[#This Row],[DateOpened]],TODAY()))-1,ABS(NETWORKDAYS(Proc[[#This Row],[DateOpened]],Proc[[#This Row],[DateClosed]]))-1)</f>
        <v>53</v>
      </c>
      <c r="R4347" s="156" t="s">
        <v>489</v>
      </c>
      <c r="S4347" s="150"/>
    </row>
    <row r="4348" spans="1:19" hidden="1">
      <c r="A4348" t="s">
        <v>6485</v>
      </c>
      <c r="B4348" s="150" t="str">
        <f>IFERROR(VLOOKUP(Proc[[#This Row],[App]],Table2[],3,0),"open")</f>
        <v>ok</v>
      </c>
      <c r="C4348" s="149" t="s">
        <v>369</v>
      </c>
      <c r="D4348" t="s">
        <v>6487</v>
      </c>
      <c r="E4348" t="s">
        <v>2367</v>
      </c>
      <c r="F4348" s="150" t="s">
        <v>2367</v>
      </c>
      <c r="G4348" t="s">
        <v>400</v>
      </c>
      <c r="H4348" s="150" t="str">
        <f>IF(Proc[[#This Row],[type]]="LFF (MDG-F)",MID(Proc[[#This Row],[Obj]],13,10),"")</f>
        <v/>
      </c>
      <c r="J4348" s="150" t="b">
        <f>Proc[[#This Row],[Requested]]=Proc[[#This Row],[CurrentParent]]</f>
        <v>1</v>
      </c>
      <c r="K4348" s="150" t="str">
        <f>IF(Proc[[#This Row],[Author]]="Marcela Urrego",VLOOKUP(LEFT(Proc[[#This Row],[Requested]],1),Table3[#All],2,0),VLOOKUP(Proc[[#This Row],[Author]],Table4[],2,0))</f>
        <v>LS</v>
      </c>
      <c r="L4348" s="150" t="s">
        <v>6435</v>
      </c>
      <c r="M4348" s="155">
        <v>45937</v>
      </c>
      <c r="N4348" s="155"/>
      <c r="O4348" s="155"/>
      <c r="P4348" s="156" t="str">
        <f ca="1">IF(Proc[[#This Row],[DaysAgeing]]&gt;5,"yep","on track")</f>
        <v>yep</v>
      </c>
      <c r="Q4348" s="3">
        <f ca="1">IF(Proc[[#This Row],[DateClosed]]="",ABS(NETWORKDAYS(Proc[[#This Row],[DateOpened]],TODAY()))-1,ABS(NETWORKDAYS(Proc[[#This Row],[DateOpened]],Proc[[#This Row],[DateClosed]]))-1)</f>
        <v>53</v>
      </c>
      <c r="R4348" s="156" t="s">
        <v>489</v>
      </c>
      <c r="S4348" s="150"/>
    </row>
    <row r="4349" spans="1:19" hidden="1">
      <c r="A4349" s="149" t="s">
        <v>6485</v>
      </c>
      <c r="B4349" s="150" t="str">
        <f>IFERROR(VLOOKUP(Proc[[#This Row],[App]],Table2[],3,0),"open")</f>
        <v>ok</v>
      </c>
      <c r="C4349" s="149" t="s">
        <v>369</v>
      </c>
      <c r="D4349" t="s">
        <v>6488</v>
      </c>
      <c r="E4349" t="s">
        <v>2367</v>
      </c>
      <c r="F4349" s="150" t="s">
        <v>2367</v>
      </c>
      <c r="G4349" s="149" t="s">
        <v>400</v>
      </c>
      <c r="H4349" s="150" t="str">
        <f>IF(Proc[[#This Row],[type]]="LFF (MDG-F)",MID(Proc[[#This Row],[Obj]],13,10),"")</f>
        <v/>
      </c>
      <c r="J4349" s="150" t="b">
        <f>Proc[[#This Row],[Requested]]=Proc[[#This Row],[CurrentParent]]</f>
        <v>1</v>
      </c>
      <c r="K4349" s="150" t="str">
        <f>IF(Proc[[#This Row],[Author]]="Marcela Urrego",VLOOKUP(LEFT(Proc[[#This Row],[Requested]],1),Table3[#All],2,0),VLOOKUP(Proc[[#This Row],[Author]],Table4[],2,0))</f>
        <v>LS</v>
      </c>
      <c r="L4349" s="150" t="s">
        <v>6435</v>
      </c>
      <c r="M4349" s="155">
        <v>45937</v>
      </c>
      <c r="N4349" s="155"/>
      <c r="O4349" s="155"/>
      <c r="P4349" s="156" t="str">
        <f ca="1">IF(Proc[[#This Row],[DaysAgeing]]&gt;5,"yep","on track")</f>
        <v>yep</v>
      </c>
      <c r="Q4349" s="3">
        <f ca="1">IF(Proc[[#This Row],[DateClosed]]="",ABS(NETWORKDAYS(Proc[[#This Row],[DateOpened]],TODAY()))-1,ABS(NETWORKDAYS(Proc[[#This Row],[DateOpened]],Proc[[#This Row],[DateClosed]]))-1)</f>
        <v>53</v>
      </c>
      <c r="R4349" s="156" t="s">
        <v>489</v>
      </c>
      <c r="S4349" s="150"/>
    </row>
    <row r="4350" spans="1:19" hidden="1">
      <c r="A4350" s="149" t="s">
        <v>6485</v>
      </c>
      <c r="B4350" s="150" t="str">
        <f>IFERROR(VLOOKUP(Proc[[#This Row],[App]],Table2[],3,0),"open")</f>
        <v>ok</v>
      </c>
      <c r="C4350" s="149" t="s">
        <v>369</v>
      </c>
      <c r="D4350" t="s">
        <v>6489</v>
      </c>
      <c r="E4350" t="s">
        <v>2367</v>
      </c>
      <c r="F4350" s="150" t="s">
        <v>2367</v>
      </c>
      <c r="G4350" s="149" t="s">
        <v>400</v>
      </c>
      <c r="H4350" s="150" t="str">
        <f>IF(Proc[[#This Row],[type]]="LFF (MDG-F)",MID(Proc[[#This Row],[Obj]],13,10),"")</f>
        <v/>
      </c>
      <c r="J4350" s="150" t="b">
        <f>Proc[[#This Row],[Requested]]=Proc[[#This Row],[CurrentParent]]</f>
        <v>1</v>
      </c>
      <c r="K4350" s="150" t="str">
        <f>IF(Proc[[#This Row],[Author]]="Marcela Urrego",VLOOKUP(LEFT(Proc[[#This Row],[Requested]],1),Table3[#All],2,0),VLOOKUP(Proc[[#This Row],[Author]],Table4[],2,0))</f>
        <v>LS</v>
      </c>
      <c r="L4350" s="150" t="s">
        <v>6435</v>
      </c>
      <c r="M4350" s="155">
        <v>45937</v>
      </c>
      <c r="N4350" s="155"/>
      <c r="O4350" s="155"/>
      <c r="P4350" s="156" t="str">
        <f ca="1">IF(Proc[[#This Row],[DaysAgeing]]&gt;5,"yep","on track")</f>
        <v>yep</v>
      </c>
      <c r="Q4350" s="3">
        <f ca="1">IF(Proc[[#This Row],[DateClosed]]="",ABS(NETWORKDAYS(Proc[[#This Row],[DateOpened]],TODAY()))-1,ABS(NETWORKDAYS(Proc[[#This Row],[DateOpened]],Proc[[#This Row],[DateClosed]]))-1)</f>
        <v>53</v>
      </c>
      <c r="R4350" s="156" t="s">
        <v>489</v>
      </c>
      <c r="S4350" s="150"/>
    </row>
    <row r="4351" spans="1:19" hidden="1">
      <c r="A4351" s="149" t="s">
        <v>6485</v>
      </c>
      <c r="B4351" s="150" t="str">
        <f>IFERROR(VLOOKUP(Proc[[#This Row],[App]],Table2[],3,0),"open")</f>
        <v>ok</v>
      </c>
      <c r="C4351" s="149" t="s">
        <v>369</v>
      </c>
      <c r="D4351" t="s">
        <v>6490</v>
      </c>
      <c r="E4351" t="s">
        <v>2367</v>
      </c>
      <c r="F4351" s="150" t="s">
        <v>2367</v>
      </c>
      <c r="G4351" s="149" t="s">
        <v>400</v>
      </c>
      <c r="H4351" s="150" t="str">
        <f>IF(Proc[[#This Row],[type]]="LFF (MDG-F)",MID(Proc[[#This Row],[Obj]],13,10),"")</f>
        <v/>
      </c>
      <c r="J4351" s="150" t="b">
        <f>Proc[[#This Row],[Requested]]=Proc[[#This Row],[CurrentParent]]</f>
        <v>1</v>
      </c>
      <c r="K4351" s="150" t="str">
        <f>IF(Proc[[#This Row],[Author]]="Marcela Urrego",VLOOKUP(LEFT(Proc[[#This Row],[Requested]],1),Table3[#All],2,0),VLOOKUP(Proc[[#This Row],[Author]],Table4[],2,0))</f>
        <v>LS</v>
      </c>
      <c r="L4351" s="150" t="s">
        <v>6435</v>
      </c>
      <c r="M4351" s="155">
        <v>45937</v>
      </c>
      <c r="N4351" s="155"/>
      <c r="O4351" s="155"/>
      <c r="P4351" s="156" t="str">
        <f ca="1">IF(Proc[[#This Row],[DaysAgeing]]&gt;5,"yep","on track")</f>
        <v>yep</v>
      </c>
      <c r="Q4351" s="3">
        <f ca="1">IF(Proc[[#This Row],[DateClosed]]="",ABS(NETWORKDAYS(Proc[[#This Row],[DateOpened]],TODAY()))-1,ABS(NETWORKDAYS(Proc[[#This Row],[DateOpened]],Proc[[#This Row],[DateClosed]]))-1)</f>
        <v>53</v>
      </c>
      <c r="R4351" s="156" t="s">
        <v>489</v>
      </c>
      <c r="S4351" s="150"/>
    </row>
    <row r="4352" spans="1:19" hidden="1">
      <c r="A4352" s="149" t="s">
        <v>6485</v>
      </c>
      <c r="B4352" s="150" t="str">
        <f>IFERROR(VLOOKUP(Proc[[#This Row],[App]],Table2[],3,0),"open")</f>
        <v>ok</v>
      </c>
      <c r="C4352" s="149" t="s">
        <v>369</v>
      </c>
      <c r="D4352" t="s">
        <v>6491</v>
      </c>
      <c r="E4352" t="s">
        <v>6498</v>
      </c>
      <c r="F4352" s="150" t="s">
        <v>6498</v>
      </c>
      <c r="G4352" s="149" t="s">
        <v>400</v>
      </c>
      <c r="H4352" s="150" t="str">
        <f>IF(Proc[[#This Row],[type]]="LFF (MDG-F)",MID(Proc[[#This Row],[Obj]],13,10),"")</f>
        <v/>
      </c>
      <c r="J4352" s="150" t="b">
        <f>Proc[[#This Row],[Requested]]=Proc[[#This Row],[CurrentParent]]</f>
        <v>1</v>
      </c>
      <c r="K4352" s="150" t="str">
        <f>IF(Proc[[#This Row],[Author]]="Marcela Urrego",VLOOKUP(LEFT(Proc[[#This Row],[Requested]],1),Table3[#All],2,0),VLOOKUP(Proc[[#This Row],[Author]],Table4[],2,0))</f>
        <v>LS</v>
      </c>
      <c r="L4352" s="150" t="s">
        <v>6435</v>
      </c>
      <c r="M4352" s="155">
        <v>45937</v>
      </c>
      <c r="N4352" s="155"/>
      <c r="O4352" s="155"/>
      <c r="P4352" s="156" t="str">
        <f ca="1">IF(Proc[[#This Row],[DaysAgeing]]&gt;5,"yep","on track")</f>
        <v>yep</v>
      </c>
      <c r="Q4352" s="3">
        <f ca="1">IF(Proc[[#This Row],[DateClosed]]="",ABS(NETWORKDAYS(Proc[[#This Row],[DateOpened]],TODAY()))-1,ABS(NETWORKDAYS(Proc[[#This Row],[DateOpened]],Proc[[#This Row],[DateClosed]]))-1)</f>
        <v>53</v>
      </c>
      <c r="R4352" s="156" t="s">
        <v>489</v>
      </c>
      <c r="S4352" s="150"/>
    </row>
    <row r="4353" spans="1:19" hidden="1">
      <c r="A4353" s="149" t="s">
        <v>6485</v>
      </c>
      <c r="B4353" s="150" t="str">
        <f>IFERROR(VLOOKUP(Proc[[#This Row],[App]],Table2[],3,0),"open")</f>
        <v>ok</v>
      </c>
      <c r="C4353" s="149" t="s">
        <v>369</v>
      </c>
      <c r="D4353" t="s">
        <v>6492</v>
      </c>
      <c r="E4353" t="s">
        <v>2200</v>
      </c>
      <c r="F4353" s="150" t="s">
        <v>2200</v>
      </c>
      <c r="G4353" s="149" t="s">
        <v>400</v>
      </c>
      <c r="H4353" s="150" t="str">
        <f>IF(Proc[[#This Row],[type]]="LFF (MDG-F)",MID(Proc[[#This Row],[Obj]],13,10),"")</f>
        <v/>
      </c>
      <c r="J4353" s="150" t="b">
        <f>Proc[[#This Row],[Requested]]=Proc[[#This Row],[CurrentParent]]</f>
        <v>1</v>
      </c>
      <c r="K4353" s="150" t="str">
        <f>IF(Proc[[#This Row],[Author]]="Marcela Urrego",VLOOKUP(LEFT(Proc[[#This Row],[Requested]],1),Table3[#All],2,0),VLOOKUP(Proc[[#This Row],[Author]],Table4[],2,0))</f>
        <v>LS</v>
      </c>
      <c r="L4353" s="150" t="s">
        <v>6435</v>
      </c>
      <c r="M4353" s="155">
        <v>45937</v>
      </c>
      <c r="N4353" s="155"/>
      <c r="O4353" s="155"/>
      <c r="P4353" s="156" t="str">
        <f ca="1">IF(Proc[[#This Row],[DaysAgeing]]&gt;5,"yep","on track")</f>
        <v>yep</v>
      </c>
      <c r="Q4353" s="3">
        <f ca="1">IF(Proc[[#This Row],[DateClosed]]="",ABS(NETWORKDAYS(Proc[[#This Row],[DateOpened]],TODAY()))-1,ABS(NETWORKDAYS(Proc[[#This Row],[DateOpened]],Proc[[#This Row],[DateClosed]]))-1)</f>
        <v>53</v>
      </c>
      <c r="R4353" s="156" t="s">
        <v>489</v>
      </c>
      <c r="S4353" s="150"/>
    </row>
    <row r="4354" spans="1:19" hidden="1">
      <c r="A4354" s="149" t="s">
        <v>6485</v>
      </c>
      <c r="B4354" s="150" t="str">
        <f>IFERROR(VLOOKUP(Proc[[#This Row],[App]],Table2[],3,0),"open")</f>
        <v>ok</v>
      </c>
      <c r="C4354" s="149" t="s">
        <v>369</v>
      </c>
      <c r="D4354" t="s">
        <v>6493</v>
      </c>
      <c r="E4354" t="s">
        <v>6499</v>
      </c>
      <c r="F4354" s="150" t="s">
        <v>6499</v>
      </c>
      <c r="G4354" s="149" t="s">
        <v>400</v>
      </c>
      <c r="H4354" s="150" t="str">
        <f>IF(Proc[[#This Row],[type]]="LFF (MDG-F)",MID(Proc[[#This Row],[Obj]],13,10),"")</f>
        <v/>
      </c>
      <c r="J4354" s="150" t="b">
        <f>Proc[[#This Row],[Requested]]=Proc[[#This Row],[CurrentParent]]</f>
        <v>1</v>
      </c>
      <c r="K4354" s="150" t="str">
        <f>IF(Proc[[#This Row],[Author]]="Marcela Urrego",VLOOKUP(LEFT(Proc[[#This Row],[Requested]],1),Table3[#All],2,0),VLOOKUP(Proc[[#This Row],[Author]],Table4[],2,0))</f>
        <v>LS</v>
      </c>
      <c r="L4354" s="150" t="s">
        <v>6435</v>
      </c>
      <c r="M4354" s="155">
        <v>45937</v>
      </c>
      <c r="N4354" s="155"/>
      <c r="O4354" s="155"/>
      <c r="P4354" s="156" t="str">
        <f ca="1">IF(Proc[[#This Row],[DaysAgeing]]&gt;5,"yep","on track")</f>
        <v>yep</v>
      </c>
      <c r="Q4354" s="3">
        <f ca="1">IF(Proc[[#This Row],[DateClosed]]="",ABS(NETWORKDAYS(Proc[[#This Row],[DateOpened]],TODAY()))-1,ABS(NETWORKDAYS(Proc[[#This Row],[DateOpened]],Proc[[#This Row],[DateClosed]]))-1)</f>
        <v>53</v>
      </c>
      <c r="R4354" s="156" t="s">
        <v>489</v>
      </c>
      <c r="S4354" s="150"/>
    </row>
    <row r="4355" spans="1:19" hidden="1">
      <c r="A4355" s="149" t="s">
        <v>6485</v>
      </c>
      <c r="B4355" s="150" t="str">
        <f>IFERROR(VLOOKUP(Proc[[#This Row],[App]],Table2[],3,0),"open")</f>
        <v>ok</v>
      </c>
      <c r="C4355" s="149" t="s">
        <v>369</v>
      </c>
      <c r="D4355" t="s">
        <v>6494</v>
      </c>
      <c r="E4355" t="s">
        <v>3615</v>
      </c>
      <c r="F4355" s="150" t="s">
        <v>3615</v>
      </c>
      <c r="G4355" s="149" t="s">
        <v>400</v>
      </c>
      <c r="H4355" s="150" t="str">
        <f>IF(Proc[[#This Row],[type]]="LFF (MDG-F)",MID(Proc[[#This Row],[Obj]],13,10),"")</f>
        <v/>
      </c>
      <c r="J4355" s="150" t="b">
        <f>Proc[[#This Row],[Requested]]=Proc[[#This Row],[CurrentParent]]</f>
        <v>1</v>
      </c>
      <c r="K4355" s="150" t="str">
        <f>IF(Proc[[#This Row],[Author]]="Marcela Urrego",VLOOKUP(LEFT(Proc[[#This Row],[Requested]],1),Table3[#All],2,0),VLOOKUP(Proc[[#This Row],[Author]],Table4[],2,0))</f>
        <v>LS</v>
      </c>
      <c r="L4355" s="150" t="s">
        <v>6435</v>
      </c>
      <c r="M4355" s="155">
        <v>45937</v>
      </c>
      <c r="N4355" s="155"/>
      <c r="O4355" s="155"/>
      <c r="P4355" s="156" t="str">
        <f ca="1">IF(Proc[[#This Row],[DaysAgeing]]&gt;5,"yep","on track")</f>
        <v>yep</v>
      </c>
      <c r="Q4355" s="3">
        <f ca="1">IF(Proc[[#This Row],[DateClosed]]="",ABS(NETWORKDAYS(Proc[[#This Row],[DateOpened]],TODAY()))-1,ABS(NETWORKDAYS(Proc[[#This Row],[DateOpened]],Proc[[#This Row],[DateClosed]]))-1)</f>
        <v>53</v>
      </c>
      <c r="R4355" s="156" t="s">
        <v>489</v>
      </c>
      <c r="S4355" s="150"/>
    </row>
    <row r="4356" spans="1:19" hidden="1">
      <c r="A4356" s="149" t="s">
        <v>6485</v>
      </c>
      <c r="B4356" s="150" t="str">
        <f>IFERROR(VLOOKUP(Proc[[#This Row],[App]],Table2[],3,0),"open")</f>
        <v>ok</v>
      </c>
      <c r="C4356" s="149" t="s">
        <v>369</v>
      </c>
      <c r="D4356" t="s">
        <v>6495</v>
      </c>
      <c r="E4356" t="s">
        <v>4890</v>
      </c>
      <c r="F4356" s="150" t="s">
        <v>4890</v>
      </c>
      <c r="G4356" s="149" t="s">
        <v>400</v>
      </c>
      <c r="H4356" s="150" t="str">
        <f>IF(Proc[[#This Row],[type]]="LFF (MDG-F)",MID(Proc[[#This Row],[Obj]],13,10),"")</f>
        <v/>
      </c>
      <c r="J4356" s="150" t="b">
        <f>Proc[[#This Row],[Requested]]=Proc[[#This Row],[CurrentParent]]</f>
        <v>1</v>
      </c>
      <c r="K4356" s="150" t="str">
        <f>IF(Proc[[#This Row],[Author]]="Marcela Urrego",VLOOKUP(LEFT(Proc[[#This Row],[Requested]],1),Table3[#All],2,0),VLOOKUP(Proc[[#This Row],[Author]],Table4[],2,0))</f>
        <v>LS</v>
      </c>
      <c r="L4356" s="150" t="s">
        <v>6435</v>
      </c>
      <c r="M4356" s="155">
        <v>45937</v>
      </c>
      <c r="N4356" s="155"/>
      <c r="O4356" s="155"/>
      <c r="P4356" s="156" t="str">
        <f ca="1">IF(Proc[[#This Row],[DaysAgeing]]&gt;5,"yep","on track")</f>
        <v>yep</v>
      </c>
      <c r="Q4356" s="3">
        <f ca="1">IF(Proc[[#This Row],[DateClosed]]="",ABS(NETWORKDAYS(Proc[[#This Row],[DateOpened]],TODAY()))-1,ABS(NETWORKDAYS(Proc[[#This Row],[DateOpened]],Proc[[#This Row],[DateClosed]]))-1)</f>
        <v>53</v>
      </c>
      <c r="R4356" s="156" t="s">
        <v>489</v>
      </c>
      <c r="S4356" s="150"/>
    </row>
    <row r="4357" spans="1:19" hidden="1">
      <c r="A4357" s="149" t="s">
        <v>6485</v>
      </c>
      <c r="B4357" s="150" t="str">
        <f>IFERROR(VLOOKUP(Proc[[#This Row],[App]],Table2[],3,0),"open")</f>
        <v>ok</v>
      </c>
      <c r="C4357" s="149" t="s">
        <v>369</v>
      </c>
      <c r="D4357" t="s">
        <v>6496</v>
      </c>
      <c r="E4357" t="s">
        <v>6500</v>
      </c>
      <c r="F4357" s="150" t="s">
        <v>6500</v>
      </c>
      <c r="G4357" s="149" t="s">
        <v>400</v>
      </c>
      <c r="H4357" s="150" t="str">
        <f>IF(Proc[[#This Row],[type]]="LFF (MDG-F)",MID(Proc[[#This Row],[Obj]],13,10),"")</f>
        <v/>
      </c>
      <c r="J4357" s="150" t="b">
        <f>Proc[[#This Row],[Requested]]=Proc[[#This Row],[CurrentParent]]</f>
        <v>1</v>
      </c>
      <c r="K4357" s="150" t="str">
        <f>IF(Proc[[#This Row],[Author]]="Marcela Urrego",VLOOKUP(LEFT(Proc[[#This Row],[Requested]],1),Table3[#All],2,0),VLOOKUP(Proc[[#This Row],[Author]],Table4[],2,0))</f>
        <v>LS</v>
      </c>
      <c r="L4357" s="150" t="s">
        <v>6435</v>
      </c>
      <c r="M4357" s="155">
        <v>45937</v>
      </c>
      <c r="N4357" s="155"/>
      <c r="O4357" s="155"/>
      <c r="P4357" s="156" t="str">
        <f ca="1">IF(Proc[[#This Row],[DaysAgeing]]&gt;5,"yep","on track")</f>
        <v>yep</v>
      </c>
      <c r="Q4357" s="3">
        <f ca="1">IF(Proc[[#This Row],[DateClosed]]="",ABS(NETWORKDAYS(Proc[[#This Row],[DateOpened]],TODAY()))-1,ABS(NETWORKDAYS(Proc[[#This Row],[DateOpened]],Proc[[#This Row],[DateClosed]]))-1)</f>
        <v>53</v>
      </c>
      <c r="R4357" s="157" t="s">
        <v>489</v>
      </c>
      <c r="S4357" s="150"/>
    </row>
    <row r="4358" spans="1:19" hidden="1">
      <c r="A4358" s="149" t="s">
        <v>6485</v>
      </c>
      <c r="B4358" s="150" t="str">
        <f>IFERROR(VLOOKUP(Proc[[#This Row],[App]],Table2[],3,0),"open")</f>
        <v>ok</v>
      </c>
      <c r="C4358" s="149" t="s">
        <v>369</v>
      </c>
      <c r="D4358" t="s">
        <v>6497</v>
      </c>
      <c r="E4358" t="s">
        <v>2178</v>
      </c>
      <c r="F4358" s="150" t="s">
        <v>2178</v>
      </c>
      <c r="G4358" s="149" t="s">
        <v>400</v>
      </c>
      <c r="H4358" s="150" t="str">
        <f>IF(Proc[[#This Row],[type]]="LFF (MDG-F)",MID(Proc[[#This Row],[Obj]],13,10),"")</f>
        <v/>
      </c>
      <c r="J4358" s="150" t="b">
        <f>Proc[[#This Row],[Requested]]=Proc[[#This Row],[CurrentParent]]</f>
        <v>1</v>
      </c>
      <c r="K4358" s="150" t="str">
        <f>IF(Proc[[#This Row],[Author]]="Marcela Urrego",VLOOKUP(LEFT(Proc[[#This Row],[Requested]],1),Table3[#All],2,0),VLOOKUP(Proc[[#This Row],[Author]],Table4[],2,0))</f>
        <v>LS</v>
      </c>
      <c r="L4358" s="150" t="s">
        <v>6435</v>
      </c>
      <c r="M4358" s="155">
        <v>45937</v>
      </c>
      <c r="N4358" s="155"/>
      <c r="O4358" s="155"/>
      <c r="P4358" s="156" t="str">
        <f ca="1">IF(Proc[[#This Row],[DaysAgeing]]&gt;5,"yep","on track")</f>
        <v>yep</v>
      </c>
      <c r="Q4358" s="3">
        <f ca="1">IF(Proc[[#This Row],[DateClosed]]="",ABS(NETWORKDAYS(Proc[[#This Row],[DateOpened]],TODAY()))-1,ABS(NETWORKDAYS(Proc[[#This Row],[DateOpened]],Proc[[#This Row],[DateClosed]]))-1)</f>
        <v>53</v>
      </c>
      <c r="R4358" s="157" t="s">
        <v>489</v>
      </c>
      <c r="S4358" s="150"/>
    </row>
    <row r="4359" spans="1:19" hidden="1">
      <c r="A4359" s="149" t="s">
        <v>6344</v>
      </c>
      <c r="B4359" s="150" t="str">
        <f>IFERROR(VLOOKUP(Proc[[#This Row],[App]],Table2[],3,0),"open")</f>
        <v>ok</v>
      </c>
      <c r="C4359" t="s">
        <v>369</v>
      </c>
      <c r="D4359" s="149" t="s">
        <v>6333</v>
      </c>
      <c r="E4359" s="149" t="s">
        <v>6501</v>
      </c>
      <c r="F4359" s="149" t="s">
        <v>6501</v>
      </c>
      <c r="G4359" s="149" t="s">
        <v>406</v>
      </c>
      <c r="H4359" s="150" t="str">
        <f>IF(Proc[[#This Row],[type]]="LFF (MDG-F)",MID(Proc[[#This Row],[Obj]],13,10),"")</f>
        <v>DE10Z01000</v>
      </c>
      <c r="J4359" s="150" t="b">
        <f>Proc[[#This Row],[Requested]]=Proc[[#This Row],[CurrentParent]]</f>
        <v>1</v>
      </c>
      <c r="K4359" s="150" t="str">
        <f>IF(Proc[[#This Row],[Author]]="Marcela Urrego",VLOOKUP(LEFT(Proc[[#This Row],[Requested]],1),Table3[#All],2,0),VLOOKUP(Proc[[#This Row],[Author]],Table4[],2,0))</f>
        <v>EL</v>
      </c>
      <c r="L4359" s="150" t="s">
        <v>4894</v>
      </c>
      <c r="M4359" s="156">
        <v>45937</v>
      </c>
      <c r="N4359" s="157"/>
      <c r="O4359" s="157"/>
      <c r="P4359" s="156" t="str">
        <f ca="1">IF(Proc[[#This Row],[DaysAgeing]]&gt;5,"yep","on track")</f>
        <v>yep</v>
      </c>
      <c r="Q4359" s="3">
        <f ca="1">IF(Proc[[#This Row],[DateClosed]]="",ABS(NETWORKDAYS(Proc[[#This Row],[DateOpened]],TODAY()))-1,ABS(NETWORKDAYS(Proc[[#This Row],[DateOpened]],Proc[[#This Row],[DateClosed]]))-1)</f>
        <v>53</v>
      </c>
      <c r="R4359" s="156" t="s">
        <v>780</v>
      </c>
      <c r="S4359" s="150"/>
    </row>
    <row r="4360" spans="1:19" hidden="1">
      <c r="A4360" s="149" t="s">
        <v>6344</v>
      </c>
      <c r="B4360" s="150" t="str">
        <f>IFERROR(VLOOKUP(Proc[[#This Row],[App]],Table2[],3,0),"open")</f>
        <v>ok</v>
      </c>
      <c r="C4360" s="149" t="s">
        <v>369</v>
      </c>
      <c r="D4360" s="149" t="s">
        <v>6334</v>
      </c>
      <c r="E4360" s="149" t="s">
        <v>6501</v>
      </c>
      <c r="F4360" s="149" t="s">
        <v>6501</v>
      </c>
      <c r="G4360" s="149" t="s">
        <v>406</v>
      </c>
      <c r="H4360" s="150" t="str">
        <f>IF(Proc[[#This Row],[type]]="LFF (MDG-F)",MID(Proc[[#This Row],[Obj]],13,10),"")</f>
        <v>CN90Z01000</v>
      </c>
      <c r="J4360" s="150" t="b">
        <f>Proc[[#This Row],[Requested]]=Proc[[#This Row],[CurrentParent]]</f>
        <v>1</v>
      </c>
      <c r="K4360" s="150" t="str">
        <f>IF(Proc[[#This Row],[Author]]="Marcela Urrego",VLOOKUP(LEFT(Proc[[#This Row],[Requested]],1),Table3[#All],2,0),VLOOKUP(Proc[[#This Row],[Author]],Table4[],2,0))</f>
        <v>EL</v>
      </c>
      <c r="L4360" s="150" t="s">
        <v>4894</v>
      </c>
      <c r="M4360" s="156">
        <v>45937</v>
      </c>
      <c r="N4360" s="157"/>
      <c r="O4360" s="157"/>
      <c r="P4360" s="156" t="str">
        <f ca="1">IF(Proc[[#This Row],[DaysAgeing]]&gt;5,"yep","on track")</f>
        <v>yep</v>
      </c>
      <c r="Q4360" s="3">
        <f ca="1">IF(Proc[[#This Row],[DateClosed]]="",ABS(NETWORKDAYS(Proc[[#This Row],[DateOpened]],TODAY()))-1,ABS(NETWORKDAYS(Proc[[#This Row],[DateOpened]],Proc[[#This Row],[DateClosed]]))-1)</f>
        <v>53</v>
      </c>
      <c r="R4360" s="156" t="s">
        <v>780</v>
      </c>
      <c r="S4360" s="150"/>
    </row>
    <row r="4361" spans="1:19" hidden="1">
      <c r="A4361" s="149" t="s">
        <v>6344</v>
      </c>
      <c r="B4361" s="150" t="str">
        <f>IFERROR(VLOOKUP(Proc[[#This Row],[App]],Table2[],3,0),"open")</f>
        <v>ok</v>
      </c>
      <c r="C4361" s="149" t="s">
        <v>369</v>
      </c>
      <c r="D4361" s="149" t="s">
        <v>6335</v>
      </c>
      <c r="E4361" s="149" t="s">
        <v>6501</v>
      </c>
      <c r="F4361" s="149" t="s">
        <v>6501</v>
      </c>
      <c r="G4361" s="149" t="s">
        <v>406</v>
      </c>
      <c r="H4361" s="150" t="str">
        <f>IF(Proc[[#This Row],[type]]="LFF (MDG-F)",MID(Proc[[#This Row],[Obj]],13,10),"")</f>
        <v>ES50Z01000</v>
      </c>
      <c r="J4361" s="150" t="b">
        <f>Proc[[#This Row],[Requested]]=Proc[[#This Row],[CurrentParent]]</f>
        <v>1</v>
      </c>
      <c r="K4361" s="150" t="str">
        <f>IF(Proc[[#This Row],[Author]]="Marcela Urrego",VLOOKUP(LEFT(Proc[[#This Row],[Requested]],1),Table3[#All],2,0),VLOOKUP(Proc[[#This Row],[Author]],Table4[],2,0))</f>
        <v>EL</v>
      </c>
      <c r="L4361" s="150" t="s">
        <v>4894</v>
      </c>
      <c r="M4361" s="156">
        <v>45937</v>
      </c>
      <c r="N4361" s="157"/>
      <c r="O4361" s="157"/>
      <c r="P4361" s="156" t="str">
        <f ca="1">IF(Proc[[#This Row],[DaysAgeing]]&gt;5,"yep","on track")</f>
        <v>yep</v>
      </c>
      <c r="Q4361" s="3">
        <f ca="1">IF(Proc[[#This Row],[DateClosed]]="",ABS(NETWORKDAYS(Proc[[#This Row],[DateOpened]],TODAY()))-1,ABS(NETWORKDAYS(Proc[[#This Row],[DateOpened]],Proc[[#This Row],[DateClosed]]))-1)</f>
        <v>53</v>
      </c>
      <c r="R4361" s="156" t="s">
        <v>780</v>
      </c>
      <c r="S4361" s="150"/>
    </row>
    <row r="4362" spans="1:19" hidden="1">
      <c r="A4362" s="149" t="s">
        <v>6344</v>
      </c>
      <c r="B4362" s="150" t="str">
        <f>IFERROR(VLOOKUP(Proc[[#This Row],[App]],Table2[],3,0),"open")</f>
        <v>ok</v>
      </c>
      <c r="C4362" s="149" t="s">
        <v>369</v>
      </c>
      <c r="D4362" s="149" t="s">
        <v>6336</v>
      </c>
      <c r="E4362" s="149" t="s">
        <v>6501</v>
      </c>
      <c r="F4362" s="149" t="s">
        <v>6501</v>
      </c>
      <c r="G4362" s="149" t="s">
        <v>406</v>
      </c>
      <c r="H4362" s="150" t="str">
        <f>IF(Proc[[#This Row],[type]]="LFF (MDG-F)",MID(Proc[[#This Row],[Obj]],13,10),"")</f>
        <v>CN03Z01000</v>
      </c>
      <c r="J4362" s="150" t="b">
        <f>Proc[[#This Row],[Requested]]=Proc[[#This Row],[CurrentParent]]</f>
        <v>1</v>
      </c>
      <c r="K4362" s="150" t="str">
        <f>IF(Proc[[#This Row],[Author]]="Marcela Urrego",VLOOKUP(LEFT(Proc[[#This Row],[Requested]],1),Table3[#All],2,0),VLOOKUP(Proc[[#This Row],[Author]],Table4[],2,0))</f>
        <v>EL</v>
      </c>
      <c r="L4362" s="150" t="s">
        <v>4894</v>
      </c>
      <c r="M4362" s="156">
        <v>45937</v>
      </c>
      <c r="N4362" s="157"/>
      <c r="O4362" s="157"/>
      <c r="P4362" s="156" t="str">
        <f ca="1">IF(Proc[[#This Row],[DaysAgeing]]&gt;5,"yep","on track")</f>
        <v>yep</v>
      </c>
      <c r="Q4362" s="3">
        <f ca="1">IF(Proc[[#This Row],[DateClosed]]="",ABS(NETWORKDAYS(Proc[[#This Row],[DateOpened]],TODAY()))-1,ABS(NETWORKDAYS(Proc[[#This Row],[DateOpened]],Proc[[#This Row],[DateClosed]]))-1)</f>
        <v>53</v>
      </c>
      <c r="R4362" s="156" t="s">
        <v>780</v>
      </c>
      <c r="S4362" s="150"/>
    </row>
    <row r="4363" spans="1:19" hidden="1">
      <c r="A4363" s="149" t="s">
        <v>6344</v>
      </c>
      <c r="B4363" s="150" t="str">
        <f>IFERROR(VLOOKUP(Proc[[#This Row],[App]],Table2[],3,0),"open")</f>
        <v>ok</v>
      </c>
      <c r="C4363" s="149" t="s">
        <v>369</v>
      </c>
      <c r="D4363" s="149" t="s">
        <v>6337</v>
      </c>
      <c r="E4363" s="149" t="s">
        <v>6501</v>
      </c>
      <c r="F4363" s="149" t="s">
        <v>6501</v>
      </c>
      <c r="G4363" s="149" t="s">
        <v>406</v>
      </c>
      <c r="H4363" s="150" t="str">
        <f>IF(Proc[[#This Row],[type]]="LFF (MDG-F)",MID(Proc[[#This Row],[Obj]],13,10),"")</f>
        <v>IN01Z01000</v>
      </c>
      <c r="J4363" s="150" t="b">
        <f>Proc[[#This Row],[Requested]]=Proc[[#This Row],[CurrentParent]]</f>
        <v>1</v>
      </c>
      <c r="K4363" s="150" t="str">
        <f>IF(Proc[[#This Row],[Author]]="Marcela Urrego",VLOOKUP(LEFT(Proc[[#This Row],[Requested]],1),Table3[#All],2,0),VLOOKUP(Proc[[#This Row],[Author]],Table4[],2,0))</f>
        <v>EL</v>
      </c>
      <c r="L4363" s="150" t="s">
        <v>4894</v>
      </c>
      <c r="M4363" s="156">
        <v>45937</v>
      </c>
      <c r="N4363" s="157"/>
      <c r="O4363" s="157"/>
      <c r="P4363" s="156" t="str">
        <f ca="1">IF(Proc[[#This Row],[DaysAgeing]]&gt;5,"yep","on track")</f>
        <v>yep</v>
      </c>
      <c r="Q4363" s="3">
        <f ca="1">IF(Proc[[#This Row],[DateClosed]]="",ABS(NETWORKDAYS(Proc[[#This Row],[DateOpened]],TODAY()))-1,ABS(NETWORKDAYS(Proc[[#This Row],[DateOpened]],Proc[[#This Row],[DateClosed]]))-1)</f>
        <v>53</v>
      </c>
      <c r="R4363" s="156" t="s">
        <v>780</v>
      </c>
      <c r="S4363" s="150"/>
    </row>
    <row r="4364" spans="1:19" hidden="1">
      <c r="A4364" s="149" t="s">
        <v>6344</v>
      </c>
      <c r="B4364" s="150" t="str">
        <f>IFERROR(VLOOKUP(Proc[[#This Row],[App]],Table2[],3,0),"open")</f>
        <v>ok</v>
      </c>
      <c r="C4364" s="149" t="s">
        <v>369</v>
      </c>
      <c r="D4364" s="149" t="s">
        <v>6338</v>
      </c>
      <c r="E4364" s="149" t="s">
        <v>6501</v>
      </c>
      <c r="F4364" s="149" t="s">
        <v>6501</v>
      </c>
      <c r="G4364" s="149" t="s">
        <v>406</v>
      </c>
      <c r="H4364" s="150" t="str">
        <f>IF(Proc[[#This Row],[type]]="LFF (MDG-F)",MID(Proc[[#This Row],[Obj]],13,10),"")</f>
        <v>SG09Z01000</v>
      </c>
      <c r="J4364" s="150" t="b">
        <f>Proc[[#This Row],[Requested]]=Proc[[#This Row],[CurrentParent]]</f>
        <v>1</v>
      </c>
      <c r="K4364" s="150" t="str">
        <f>IF(Proc[[#This Row],[Author]]="Marcela Urrego",VLOOKUP(LEFT(Proc[[#This Row],[Requested]],1),Table3[#All],2,0),VLOOKUP(Proc[[#This Row],[Author]],Table4[],2,0))</f>
        <v>EL</v>
      </c>
      <c r="L4364" s="150" t="s">
        <v>4894</v>
      </c>
      <c r="M4364" s="156">
        <v>45937</v>
      </c>
      <c r="N4364" s="157"/>
      <c r="O4364" s="157"/>
      <c r="P4364" s="156" t="str">
        <f ca="1">IF(Proc[[#This Row],[DaysAgeing]]&gt;5,"yep","on track")</f>
        <v>yep</v>
      </c>
      <c r="Q4364" s="3">
        <f ca="1">IF(Proc[[#This Row],[DateClosed]]="",ABS(NETWORKDAYS(Proc[[#This Row],[DateOpened]],TODAY()))-1,ABS(NETWORKDAYS(Proc[[#This Row],[DateOpened]],Proc[[#This Row],[DateClosed]]))-1)</f>
        <v>53</v>
      </c>
      <c r="R4364" s="156" t="s">
        <v>780</v>
      </c>
      <c r="S4364" s="150"/>
    </row>
    <row r="4365" spans="1:19" hidden="1">
      <c r="A4365" s="149" t="s">
        <v>6344</v>
      </c>
      <c r="B4365" s="150" t="str">
        <f>IFERROR(VLOOKUP(Proc[[#This Row],[App]],Table2[],3,0),"open")</f>
        <v>ok</v>
      </c>
      <c r="C4365" s="149" t="s">
        <v>369</v>
      </c>
      <c r="D4365" s="149" t="s">
        <v>6350</v>
      </c>
      <c r="E4365" s="149" t="s">
        <v>6501</v>
      </c>
      <c r="F4365" s="149" t="s">
        <v>6501</v>
      </c>
      <c r="G4365" s="149" t="s">
        <v>400</v>
      </c>
      <c r="H4365" s="150" t="str">
        <f>IF(Proc[[#This Row],[type]]="LFF (MDG-F)",MID(Proc[[#This Row],[Obj]],13,10),"")</f>
        <v/>
      </c>
      <c r="J4365" s="150" t="b">
        <f>Proc[[#This Row],[Requested]]=Proc[[#This Row],[CurrentParent]]</f>
        <v>1</v>
      </c>
      <c r="K4365" s="150" t="str">
        <f>IF(Proc[[#This Row],[Author]]="Marcela Urrego",VLOOKUP(LEFT(Proc[[#This Row],[Requested]],1),Table3[#All],2,0),VLOOKUP(Proc[[#This Row],[Author]],Table4[],2,0))</f>
        <v>EL</v>
      </c>
      <c r="L4365" s="150" t="s">
        <v>4894</v>
      </c>
      <c r="M4365" s="156">
        <v>45937</v>
      </c>
      <c r="N4365" s="157"/>
      <c r="O4365" s="157"/>
      <c r="P4365" s="156" t="str">
        <f ca="1">IF(Proc[[#This Row],[DaysAgeing]]&gt;5,"yep","on track")</f>
        <v>yep</v>
      </c>
      <c r="Q4365" s="3">
        <f ca="1">IF(Proc[[#This Row],[DateClosed]]="",ABS(NETWORKDAYS(Proc[[#This Row],[DateOpened]],TODAY()))-1,ABS(NETWORKDAYS(Proc[[#This Row],[DateOpened]],Proc[[#This Row],[DateClosed]]))-1)</f>
        <v>53</v>
      </c>
      <c r="R4365" s="156" t="s">
        <v>780</v>
      </c>
      <c r="S4365" s="150"/>
    </row>
    <row r="4366" spans="1:19" hidden="1">
      <c r="A4366" s="149" t="s">
        <v>6344</v>
      </c>
      <c r="B4366" s="150" t="str">
        <f>IFERROR(VLOOKUP(Proc[[#This Row],[App]],Table2[],3,0),"open")</f>
        <v>ok</v>
      </c>
      <c r="C4366" s="149" t="s">
        <v>369</v>
      </c>
      <c r="D4366" s="149" t="s">
        <v>6339</v>
      </c>
      <c r="E4366" s="149" t="s">
        <v>6501</v>
      </c>
      <c r="F4366" s="149" t="s">
        <v>6501</v>
      </c>
      <c r="G4366" s="149" t="s">
        <v>406</v>
      </c>
      <c r="H4366" s="150" t="str">
        <f>IF(Proc[[#This Row],[type]]="LFF (MDG-F)",MID(Proc[[#This Row],[Obj]],13,10),"")</f>
        <v>CN01Z01000</v>
      </c>
      <c r="J4366" s="150" t="b">
        <f>Proc[[#This Row],[Requested]]=Proc[[#This Row],[CurrentParent]]</f>
        <v>1</v>
      </c>
      <c r="K4366" s="150" t="str">
        <f>IF(Proc[[#This Row],[Author]]="Marcela Urrego",VLOOKUP(LEFT(Proc[[#This Row],[Requested]],1),Table3[#All],2,0),VLOOKUP(Proc[[#This Row],[Author]],Table4[],2,0))</f>
        <v>EL</v>
      </c>
      <c r="L4366" s="150" t="s">
        <v>4894</v>
      </c>
      <c r="M4366" s="156">
        <v>45937</v>
      </c>
      <c r="N4366" s="157"/>
      <c r="O4366" s="157"/>
      <c r="P4366" s="156" t="str">
        <f ca="1">IF(Proc[[#This Row],[DaysAgeing]]&gt;5,"yep","on track")</f>
        <v>yep</v>
      </c>
      <c r="Q4366" s="3">
        <f ca="1">IF(Proc[[#This Row],[DateClosed]]="",ABS(NETWORKDAYS(Proc[[#This Row],[DateOpened]],TODAY()))-1,ABS(NETWORKDAYS(Proc[[#This Row],[DateOpened]],Proc[[#This Row],[DateClosed]]))-1)</f>
        <v>53</v>
      </c>
      <c r="R4366" s="156" t="s">
        <v>780</v>
      </c>
      <c r="S4366" s="150"/>
    </row>
    <row r="4367" spans="1:19" hidden="1">
      <c r="A4367" s="149" t="s">
        <v>6344</v>
      </c>
      <c r="B4367" s="150" t="str">
        <f>IFERROR(VLOOKUP(Proc[[#This Row],[App]],Table2[],3,0),"open")</f>
        <v>ok</v>
      </c>
      <c r="C4367" s="149" t="s">
        <v>369</v>
      </c>
      <c r="D4367" s="149" t="s">
        <v>6340</v>
      </c>
      <c r="E4367" s="149" t="s">
        <v>6501</v>
      </c>
      <c r="F4367" s="149" t="s">
        <v>6501</v>
      </c>
      <c r="G4367" s="149" t="s">
        <v>406</v>
      </c>
      <c r="H4367" s="150" t="str">
        <f>IF(Proc[[#This Row],[type]]="LFF (MDG-F)",MID(Proc[[#This Row],[Obj]],13,10),"")</f>
        <v>DE04Z01000</v>
      </c>
      <c r="J4367" s="150" t="b">
        <f>Proc[[#This Row],[Requested]]=Proc[[#This Row],[CurrentParent]]</f>
        <v>1</v>
      </c>
      <c r="K4367" s="150" t="str">
        <f>IF(Proc[[#This Row],[Author]]="Marcela Urrego",VLOOKUP(LEFT(Proc[[#This Row],[Requested]],1),Table3[#All],2,0),VLOOKUP(Proc[[#This Row],[Author]],Table4[],2,0))</f>
        <v>EL</v>
      </c>
      <c r="L4367" s="150" t="s">
        <v>4894</v>
      </c>
      <c r="M4367" s="156">
        <v>45937</v>
      </c>
      <c r="N4367" s="157"/>
      <c r="O4367" s="157"/>
      <c r="P4367" s="156" t="str">
        <f ca="1">IF(Proc[[#This Row],[DaysAgeing]]&gt;5,"yep","on track")</f>
        <v>yep</v>
      </c>
      <c r="Q4367" s="3">
        <f ca="1">IF(Proc[[#This Row],[DateClosed]]="",ABS(NETWORKDAYS(Proc[[#This Row],[DateOpened]],TODAY()))-1,ABS(NETWORKDAYS(Proc[[#This Row],[DateOpened]],Proc[[#This Row],[DateClosed]]))-1)</f>
        <v>53</v>
      </c>
      <c r="R4367" s="156" t="s">
        <v>780</v>
      </c>
      <c r="S4367" s="150"/>
    </row>
    <row r="4368" spans="1:19" hidden="1">
      <c r="A4368" s="149" t="s">
        <v>6344</v>
      </c>
      <c r="B4368" s="150" t="str">
        <f>IFERROR(VLOOKUP(Proc[[#This Row],[App]],Table2[],3,0),"open")</f>
        <v>ok</v>
      </c>
      <c r="C4368" s="149" t="s">
        <v>369</v>
      </c>
      <c r="D4368" s="149" t="s">
        <v>6341</v>
      </c>
      <c r="E4368" s="149" t="s">
        <v>6501</v>
      </c>
      <c r="F4368" s="149" t="s">
        <v>6501</v>
      </c>
      <c r="G4368" s="149" t="s">
        <v>406</v>
      </c>
      <c r="H4368" s="150" t="str">
        <f>IF(Proc[[#This Row],[type]]="LFF (MDG-F)",MID(Proc[[#This Row],[Obj]],13,10),"")</f>
        <v>KR03Z01000</v>
      </c>
      <c r="J4368" s="150" t="b">
        <f>Proc[[#This Row],[Requested]]=Proc[[#This Row],[CurrentParent]]</f>
        <v>1</v>
      </c>
      <c r="K4368" s="150" t="str">
        <f>IF(Proc[[#This Row],[Author]]="Marcela Urrego",VLOOKUP(LEFT(Proc[[#This Row],[Requested]],1),Table3[#All],2,0),VLOOKUP(Proc[[#This Row],[Author]],Table4[],2,0))</f>
        <v>EL</v>
      </c>
      <c r="L4368" s="150" t="s">
        <v>4894</v>
      </c>
      <c r="M4368" s="156">
        <v>45937</v>
      </c>
      <c r="N4368" s="157"/>
      <c r="O4368" s="157"/>
      <c r="P4368" s="156" t="str">
        <f ca="1">IF(Proc[[#This Row],[DaysAgeing]]&gt;5,"yep","on track")</f>
        <v>yep</v>
      </c>
      <c r="Q4368" s="3">
        <f ca="1">IF(Proc[[#This Row],[DateClosed]]="",ABS(NETWORKDAYS(Proc[[#This Row],[DateOpened]],TODAY()))-1,ABS(NETWORKDAYS(Proc[[#This Row],[DateOpened]],Proc[[#This Row],[DateClosed]]))-1)</f>
        <v>53</v>
      </c>
      <c r="R4368" s="156" t="s">
        <v>780</v>
      </c>
      <c r="S4368" s="150"/>
    </row>
    <row r="4369" spans="1:19" hidden="1">
      <c r="A4369" s="149" t="s">
        <v>6344</v>
      </c>
      <c r="B4369" s="150" t="str">
        <f>IFERROR(VLOOKUP(Proc[[#This Row],[App]],Table2[],3,0),"open")</f>
        <v>ok</v>
      </c>
      <c r="C4369" s="149" t="s">
        <v>369</v>
      </c>
      <c r="D4369" s="149" t="s">
        <v>6342</v>
      </c>
      <c r="E4369" s="149" t="s">
        <v>6501</v>
      </c>
      <c r="F4369" s="149" t="s">
        <v>6501</v>
      </c>
      <c r="G4369" s="149" t="s">
        <v>406</v>
      </c>
      <c r="H4369" s="150" t="str">
        <f>IF(Proc[[#This Row],[type]]="LFF (MDG-F)",MID(Proc[[#This Row],[Obj]],13,10),"")</f>
        <v>US01Z01000</v>
      </c>
      <c r="J4369" s="150" t="b">
        <f>Proc[[#This Row],[Requested]]=Proc[[#This Row],[CurrentParent]]</f>
        <v>1</v>
      </c>
      <c r="K4369" s="150" t="str">
        <f>IF(Proc[[#This Row],[Author]]="Marcela Urrego",VLOOKUP(LEFT(Proc[[#This Row],[Requested]],1),Table3[#All],2,0),VLOOKUP(Proc[[#This Row],[Author]],Table4[],2,0))</f>
        <v>EL</v>
      </c>
      <c r="L4369" s="150" t="s">
        <v>4894</v>
      </c>
      <c r="M4369" s="156">
        <v>45937</v>
      </c>
      <c r="N4369" s="157"/>
      <c r="O4369" s="157"/>
      <c r="P4369" s="156" t="str">
        <f ca="1">IF(Proc[[#This Row],[DaysAgeing]]&gt;5,"yep","on track")</f>
        <v>yep</v>
      </c>
      <c r="Q4369" s="3">
        <f ca="1">IF(Proc[[#This Row],[DateClosed]]="",ABS(NETWORKDAYS(Proc[[#This Row],[DateOpened]],TODAY()))-1,ABS(NETWORKDAYS(Proc[[#This Row],[DateOpened]],Proc[[#This Row],[DateClosed]]))-1)</f>
        <v>53</v>
      </c>
      <c r="R4369" s="156" t="s">
        <v>780</v>
      </c>
      <c r="S4369" s="150"/>
    </row>
    <row r="4370" spans="1:19" hidden="1">
      <c r="A4370" s="149" t="s">
        <v>6344</v>
      </c>
      <c r="B4370" s="150" t="str">
        <f>IFERROR(VLOOKUP(Proc[[#This Row],[App]],Table2[],3,0),"open")</f>
        <v>ok</v>
      </c>
      <c r="C4370" s="149" t="s">
        <v>369</v>
      </c>
      <c r="D4370" s="149" t="s">
        <v>6343</v>
      </c>
      <c r="E4370" s="149" t="s">
        <v>6501</v>
      </c>
      <c r="F4370" s="149" t="s">
        <v>6501</v>
      </c>
      <c r="G4370" s="149" t="s">
        <v>406</v>
      </c>
      <c r="H4370" s="150" t="str">
        <f>IF(Proc[[#This Row],[type]]="LFF (MDG-F)",MID(Proc[[#This Row],[Obj]],13,10),"")</f>
        <v>TW02Z01000</v>
      </c>
      <c r="J4370" s="150" t="b">
        <f>Proc[[#This Row],[Requested]]=Proc[[#This Row],[CurrentParent]]</f>
        <v>1</v>
      </c>
      <c r="K4370" s="150" t="str">
        <f>IF(Proc[[#This Row],[Author]]="Marcela Urrego",VLOOKUP(LEFT(Proc[[#This Row],[Requested]],1),Table3[#All],2,0),VLOOKUP(Proc[[#This Row],[Author]],Table4[],2,0))</f>
        <v>EL</v>
      </c>
      <c r="L4370" s="150" t="s">
        <v>4894</v>
      </c>
      <c r="M4370" s="156">
        <v>45937</v>
      </c>
      <c r="N4370" s="157"/>
      <c r="O4370" s="157"/>
      <c r="P4370" s="156" t="str">
        <f ca="1">IF(Proc[[#This Row],[DaysAgeing]]&gt;5,"yep","on track")</f>
        <v>yep</v>
      </c>
      <c r="Q4370" s="3">
        <f ca="1">IF(Proc[[#This Row],[DateClosed]]="",ABS(NETWORKDAYS(Proc[[#This Row],[DateOpened]],TODAY()))-1,ABS(NETWORKDAYS(Proc[[#This Row],[DateOpened]],Proc[[#This Row],[DateClosed]]))-1)</f>
        <v>53</v>
      </c>
      <c r="R4370" s="156" t="s">
        <v>780</v>
      </c>
      <c r="S4370" s="150"/>
    </row>
    <row r="4371" spans="1:19" s="149" customFormat="1" hidden="1">
      <c r="A4371" s="149" t="s">
        <v>6504</v>
      </c>
      <c r="B4371" s="150" t="str">
        <f>IFERROR(VLOOKUP(Proc[[#This Row],[App]],Table2[],3,0),"open")</f>
        <v>ok</v>
      </c>
      <c r="C4371" s="149" t="s">
        <v>369</v>
      </c>
      <c r="D4371" s="149" t="s">
        <v>5780</v>
      </c>
      <c r="E4371" s="149" t="s">
        <v>6505</v>
      </c>
      <c r="F4371" s="150" t="s">
        <v>6505</v>
      </c>
      <c r="G4371" s="149" t="s">
        <v>400</v>
      </c>
      <c r="H4371" s="150" t="str">
        <f>IF(Proc[[#This Row],[type]]="LFF (MDG-F)",MID(Proc[[#This Row],[Obj]],13,10),"")</f>
        <v/>
      </c>
      <c r="J4371" s="150" t="b">
        <f>Proc[[#This Row],[Requested]]=Proc[[#This Row],[CurrentParent]]</f>
        <v>1</v>
      </c>
      <c r="K4371" s="150" t="str">
        <f>IF(Proc[[#This Row],[Author]]="Marcela Urrego",VLOOKUP(LEFT(Proc[[#This Row],[Requested]],1),Table3[#All],2,0),VLOOKUP(Proc[[#This Row],[Author]],Table4[],2,0))</f>
        <v>LS</v>
      </c>
      <c r="L4371" s="150" t="s">
        <v>6435</v>
      </c>
      <c r="M4371" s="157">
        <v>45939</v>
      </c>
      <c r="N4371" s="157"/>
      <c r="O4371" s="157"/>
      <c r="P4371" s="158" t="str">
        <f ca="1">IF(Proc[[#This Row],[DaysAgeing]]&gt;5,"yep","on track")</f>
        <v>yep</v>
      </c>
      <c r="Q4371" s="3">
        <f ca="1">IF(Proc[[#This Row],[DateClosed]]="",ABS(NETWORKDAYS(Proc[[#This Row],[DateOpened]],TODAY()))-1,ABS(NETWORKDAYS(Proc[[#This Row],[DateOpened]],Proc[[#This Row],[DateClosed]]))-1)</f>
        <v>51</v>
      </c>
      <c r="R4371" s="157" t="s">
        <v>489</v>
      </c>
      <c r="S4371" s="150"/>
    </row>
    <row r="4372" spans="1:19" s="149" customFormat="1" hidden="1">
      <c r="A4372" s="149" t="s">
        <v>6504</v>
      </c>
      <c r="B4372" s="150" t="str">
        <f>IFERROR(VLOOKUP(Proc[[#This Row],[App]],Table2[],3,0),"open")</f>
        <v>ok</v>
      </c>
      <c r="C4372" s="149" t="s">
        <v>369</v>
      </c>
      <c r="D4372" s="149" t="s">
        <v>5781</v>
      </c>
      <c r="E4372" s="149" t="s">
        <v>6505</v>
      </c>
      <c r="F4372" s="150" t="s">
        <v>6505</v>
      </c>
      <c r="G4372" s="149" t="s">
        <v>400</v>
      </c>
      <c r="H4372" s="150" t="str">
        <f>IF(Proc[[#This Row],[type]]="LFF (MDG-F)",MID(Proc[[#This Row],[Obj]],13,10),"")</f>
        <v/>
      </c>
      <c r="J4372" s="150" t="b">
        <f>Proc[[#This Row],[Requested]]=Proc[[#This Row],[CurrentParent]]</f>
        <v>1</v>
      </c>
      <c r="K4372" s="150" t="str">
        <f>IF(Proc[[#This Row],[Author]]="Marcela Urrego",VLOOKUP(LEFT(Proc[[#This Row],[Requested]],1),Table3[#All],2,0),VLOOKUP(Proc[[#This Row],[Author]],Table4[],2,0))</f>
        <v>LS</v>
      </c>
      <c r="L4372" s="150" t="s">
        <v>6435</v>
      </c>
      <c r="M4372" s="157">
        <v>45939</v>
      </c>
      <c r="N4372" s="157"/>
      <c r="O4372" s="157"/>
      <c r="P4372" s="158" t="str">
        <f ca="1">IF(Proc[[#This Row],[DaysAgeing]]&gt;5,"yep","on track")</f>
        <v>yep</v>
      </c>
      <c r="Q4372" s="3">
        <f ca="1">IF(Proc[[#This Row],[DateClosed]]="",ABS(NETWORKDAYS(Proc[[#This Row],[DateOpened]],TODAY()))-1,ABS(NETWORKDAYS(Proc[[#This Row],[DateOpened]],Proc[[#This Row],[DateClosed]]))-1)</f>
        <v>51</v>
      </c>
      <c r="R4372" s="157" t="s">
        <v>489</v>
      </c>
      <c r="S4372" s="150"/>
    </row>
    <row r="4373" spans="1:19" s="149" customFormat="1" hidden="1">
      <c r="A4373" s="149" t="s">
        <v>6504</v>
      </c>
      <c r="B4373" s="150" t="str">
        <f>IFERROR(VLOOKUP(Proc[[#This Row],[App]],Table2[],3,0),"open")</f>
        <v>ok</v>
      </c>
      <c r="C4373" s="149" t="s">
        <v>369</v>
      </c>
      <c r="D4373" s="149" t="s">
        <v>5782</v>
      </c>
      <c r="E4373" s="149" t="s">
        <v>6505</v>
      </c>
      <c r="F4373" s="150" t="s">
        <v>6505</v>
      </c>
      <c r="G4373" s="149" t="s">
        <v>400</v>
      </c>
      <c r="H4373" s="150" t="str">
        <f>IF(Proc[[#This Row],[type]]="LFF (MDG-F)",MID(Proc[[#This Row],[Obj]],13,10),"")</f>
        <v/>
      </c>
      <c r="J4373" s="150" t="b">
        <f>Proc[[#This Row],[Requested]]=Proc[[#This Row],[CurrentParent]]</f>
        <v>1</v>
      </c>
      <c r="K4373" s="150" t="str">
        <f>IF(Proc[[#This Row],[Author]]="Marcela Urrego",VLOOKUP(LEFT(Proc[[#This Row],[Requested]],1),Table3[#All],2,0),VLOOKUP(Proc[[#This Row],[Author]],Table4[],2,0))</f>
        <v>LS</v>
      </c>
      <c r="L4373" s="150" t="s">
        <v>6435</v>
      </c>
      <c r="M4373" s="157">
        <v>45939</v>
      </c>
      <c r="N4373" s="157"/>
      <c r="O4373" s="157"/>
      <c r="P4373" s="158" t="str">
        <f ca="1">IF(Proc[[#This Row],[DaysAgeing]]&gt;5,"yep","on track")</f>
        <v>yep</v>
      </c>
      <c r="Q4373" s="3">
        <f ca="1">IF(Proc[[#This Row],[DateClosed]]="",ABS(NETWORKDAYS(Proc[[#This Row],[DateOpened]],TODAY()))-1,ABS(NETWORKDAYS(Proc[[#This Row],[DateOpened]],Proc[[#This Row],[DateClosed]]))-1)</f>
        <v>51</v>
      </c>
      <c r="R4373" s="157" t="s">
        <v>489</v>
      </c>
      <c r="S4373" s="150"/>
    </row>
    <row r="4374" spans="1:19" s="149" customFormat="1" hidden="1">
      <c r="A4374" s="149" t="s">
        <v>6504</v>
      </c>
      <c r="B4374" s="150" t="str">
        <f>IFERROR(VLOOKUP(Proc[[#This Row],[App]],Table2[],3,0),"open")</f>
        <v>ok</v>
      </c>
      <c r="C4374" s="149" t="s">
        <v>369</v>
      </c>
      <c r="D4374" s="149" t="s">
        <v>5783</v>
      </c>
      <c r="E4374" s="149" t="s">
        <v>6505</v>
      </c>
      <c r="F4374" s="150" t="s">
        <v>6505</v>
      </c>
      <c r="G4374" s="149" t="s">
        <v>400</v>
      </c>
      <c r="H4374" s="150" t="str">
        <f>IF(Proc[[#This Row],[type]]="LFF (MDG-F)",MID(Proc[[#This Row],[Obj]],13,10),"")</f>
        <v/>
      </c>
      <c r="J4374" s="150" t="b">
        <f>Proc[[#This Row],[Requested]]=Proc[[#This Row],[CurrentParent]]</f>
        <v>1</v>
      </c>
      <c r="K4374" s="150" t="str">
        <f>IF(Proc[[#This Row],[Author]]="Marcela Urrego",VLOOKUP(LEFT(Proc[[#This Row],[Requested]],1),Table3[#All],2,0),VLOOKUP(Proc[[#This Row],[Author]],Table4[],2,0))</f>
        <v>LS</v>
      </c>
      <c r="L4374" s="150" t="s">
        <v>6435</v>
      </c>
      <c r="M4374" s="157">
        <v>45939</v>
      </c>
      <c r="N4374" s="157"/>
      <c r="O4374" s="157"/>
      <c r="P4374" s="158" t="str">
        <f ca="1">IF(Proc[[#This Row],[DaysAgeing]]&gt;5,"yep","on track")</f>
        <v>yep</v>
      </c>
      <c r="Q4374" s="3">
        <f ca="1">IF(Proc[[#This Row],[DateClosed]]="",ABS(NETWORKDAYS(Proc[[#This Row],[DateOpened]],TODAY()))-1,ABS(NETWORKDAYS(Proc[[#This Row],[DateOpened]],Proc[[#This Row],[DateClosed]]))-1)</f>
        <v>51</v>
      </c>
      <c r="R4374" s="157" t="s">
        <v>489</v>
      </c>
      <c r="S4374" s="150"/>
    </row>
    <row r="4375" spans="1:19" hidden="1">
      <c r="A4375" t="s">
        <v>6509</v>
      </c>
      <c r="B4375" s="150" t="str">
        <f>IFERROR(VLOOKUP(Proc[[#This Row],[App]],Table2[],3,0),"open")</f>
        <v>ok</v>
      </c>
      <c r="C4375" t="s">
        <v>369</v>
      </c>
      <c r="D4375" t="s">
        <v>6507</v>
      </c>
      <c r="E4375" t="s">
        <v>6508</v>
      </c>
      <c r="F4375" s="150" t="s">
        <v>6508</v>
      </c>
      <c r="G4375" t="s">
        <v>400</v>
      </c>
      <c r="H4375" s="150" t="str">
        <f>IF(Proc[[#This Row],[type]]="LFF (MDG-F)",MID(Proc[[#This Row],[Obj]],13,10),"")</f>
        <v/>
      </c>
      <c r="J4375" s="150" t="b">
        <f>Proc[[#This Row],[Requested]]=Proc[[#This Row],[CurrentParent]]</f>
        <v>1</v>
      </c>
      <c r="K4375" s="150" t="str">
        <f>IF(Proc[[#This Row],[Author]]="Marcela Urrego",VLOOKUP(LEFT(Proc[[#This Row],[Requested]],1),Table3[#All],2,0),VLOOKUP(Proc[[#This Row],[Author]],Table4[],2,0))</f>
        <v>LS</v>
      </c>
      <c r="L4375" s="150" t="s">
        <v>6435</v>
      </c>
      <c r="M4375" s="158">
        <v>45946</v>
      </c>
      <c r="N4375" s="158"/>
      <c r="O4375" s="158"/>
      <c r="P4375" s="159" t="str">
        <f ca="1">IF(Proc[[#This Row],[DaysAgeing]]&gt;5,"yep","on track")</f>
        <v>yep</v>
      </c>
      <c r="Q4375" s="3">
        <f ca="1">IF(Proc[[#This Row],[DateClosed]]="",ABS(NETWORKDAYS(Proc[[#This Row],[DateOpened]],TODAY()))-1,ABS(NETWORKDAYS(Proc[[#This Row],[DateOpened]],Proc[[#This Row],[DateClosed]]))-1)</f>
        <v>46</v>
      </c>
      <c r="R4375" s="158" t="s">
        <v>489</v>
      </c>
      <c r="S4375" s="150"/>
    </row>
    <row r="4376" spans="1:19" hidden="1">
      <c r="A4376" t="s">
        <v>6513</v>
      </c>
      <c r="B4376" s="150" t="str">
        <f>IFERROR(VLOOKUP(Proc[[#This Row],[App]],Table2[],3,0),"open")</f>
        <v>ok</v>
      </c>
      <c r="C4376" s="149" t="s">
        <v>369</v>
      </c>
      <c r="D4376" t="s">
        <v>6510</v>
      </c>
      <c r="E4376" t="s">
        <v>4914</v>
      </c>
      <c r="F4376" s="150" t="s">
        <v>4914</v>
      </c>
      <c r="G4376" t="s">
        <v>406</v>
      </c>
      <c r="H4376" s="150" t="str">
        <f>IF(Proc[[#This Row],[type]]="LFF (MDG-F)",MID(Proc[[#This Row],[Obj]],13,10),"")</f>
        <v>FI50R00004</v>
      </c>
      <c r="J4376" s="150" t="b">
        <f>Proc[[#This Row],[Requested]]=Proc[[#This Row],[CurrentParent]]</f>
        <v>1</v>
      </c>
      <c r="K4376" s="150" t="str">
        <f>IF(Proc[[#This Row],[Author]]="Marcela Urrego",VLOOKUP(LEFT(Proc[[#This Row],[Requested]],1),Table3[#All],2,0),VLOOKUP(Proc[[#This Row],[Author]],Table4[],2,0))</f>
        <v>HC</v>
      </c>
      <c r="L4376" s="150" t="s">
        <v>6435</v>
      </c>
      <c r="M4376" s="158">
        <v>45946</v>
      </c>
      <c r="N4376" s="158"/>
      <c r="O4376" s="158"/>
      <c r="P4376" s="159" t="str">
        <f ca="1">IF(Proc[[#This Row],[DaysAgeing]]&gt;5,"yep","on track")</f>
        <v>yep</v>
      </c>
      <c r="Q4376" s="3">
        <f ca="1">IF(Proc[[#This Row],[DateClosed]]="",ABS(NETWORKDAYS(Proc[[#This Row],[DateOpened]],TODAY()))-1,ABS(NETWORKDAYS(Proc[[#This Row],[DateOpened]],Proc[[#This Row],[DateClosed]]))-1)</f>
        <v>46</v>
      </c>
      <c r="R4376" s="159" t="s">
        <v>415</v>
      </c>
      <c r="S4376" s="150"/>
    </row>
    <row r="4377" spans="1:19" hidden="1">
      <c r="A4377" t="s">
        <v>6513</v>
      </c>
      <c r="B4377" s="150" t="str">
        <f>IFERROR(VLOOKUP(Proc[[#This Row],[App]],Table2[],3,0),"open")</f>
        <v>ok</v>
      </c>
      <c r="C4377" s="149" t="s">
        <v>369</v>
      </c>
      <c r="D4377" t="s">
        <v>6511</v>
      </c>
      <c r="E4377" t="s">
        <v>6512</v>
      </c>
      <c r="F4377" s="150" t="s">
        <v>6512</v>
      </c>
      <c r="G4377" t="s">
        <v>406</v>
      </c>
      <c r="H4377" s="150" t="str">
        <f>IF(Proc[[#This Row],[type]]="LFF (MDG-F)",MID(Proc[[#This Row],[Obj]],13,10),"")</f>
        <v>FI50R00009</v>
      </c>
      <c r="J4377" s="150" t="b">
        <f>Proc[[#This Row],[Requested]]=Proc[[#This Row],[CurrentParent]]</f>
        <v>1</v>
      </c>
      <c r="K4377" s="150" t="str">
        <f>IF(Proc[[#This Row],[Author]]="Marcela Urrego",VLOOKUP(LEFT(Proc[[#This Row],[Requested]],1),Table3[#All],2,0),VLOOKUP(Proc[[#This Row],[Author]],Table4[],2,0))</f>
        <v>HC</v>
      </c>
      <c r="L4377" s="150" t="s">
        <v>6435</v>
      </c>
      <c r="M4377" s="158">
        <v>45946</v>
      </c>
      <c r="N4377" s="158"/>
      <c r="O4377" s="158"/>
      <c r="P4377" s="159" t="str">
        <f ca="1">IF(Proc[[#This Row],[DaysAgeing]]&gt;5,"yep","on track")</f>
        <v>yep</v>
      </c>
      <c r="Q4377" s="3">
        <f ca="1">IF(Proc[[#This Row],[DateClosed]]="",ABS(NETWORKDAYS(Proc[[#This Row],[DateOpened]],TODAY()))-1,ABS(NETWORKDAYS(Proc[[#This Row],[DateOpened]],Proc[[#This Row],[DateClosed]]))-1)</f>
        <v>46</v>
      </c>
      <c r="R4377" s="159" t="s">
        <v>415</v>
      </c>
      <c r="S4377" s="150"/>
    </row>
    <row r="4378" spans="1:19" hidden="1">
      <c r="A4378" t="s">
        <v>6514</v>
      </c>
      <c r="B4378" s="150" t="str">
        <f>IFERROR(VLOOKUP(Proc[[#This Row],[App]],Table2[],3,0),"open")</f>
        <v>ok</v>
      </c>
      <c r="C4378" s="149" t="s">
        <v>369</v>
      </c>
      <c r="D4378" t="s">
        <v>6515</v>
      </c>
      <c r="E4378" t="s">
        <v>6531</v>
      </c>
      <c r="F4378" s="150" t="s">
        <v>6531</v>
      </c>
      <c r="G4378" t="s">
        <v>400</v>
      </c>
      <c r="H4378" s="150" t="str">
        <f>IF(Proc[[#This Row],[type]]="LFF (MDG-F)",MID(Proc[[#This Row],[Obj]],13,10),"")</f>
        <v/>
      </c>
      <c r="J4378" s="150" t="b">
        <f>Proc[[#This Row],[Requested]]=Proc[[#This Row],[CurrentParent]]</f>
        <v>1</v>
      </c>
      <c r="K4378" s="150" t="str">
        <f>IF(Proc[[#This Row],[Author]]="Marcela Urrego",VLOOKUP(LEFT(Proc[[#This Row],[Requested]],1),Table3[#All],2,0),VLOOKUP(Proc[[#This Row],[Author]],Table4[],2,0))</f>
        <v>MGF</v>
      </c>
      <c r="L4378" s="150" t="s">
        <v>6435</v>
      </c>
      <c r="M4378" s="158">
        <v>45946</v>
      </c>
      <c r="N4378" s="158"/>
      <c r="O4378" s="158"/>
      <c r="P4378" s="159" t="str">
        <f ca="1">IF(Proc[[#This Row],[DaysAgeing]]&gt;5,"yep","on track")</f>
        <v>yep</v>
      </c>
      <c r="Q4378" s="3">
        <f ca="1">IF(Proc[[#This Row],[DateClosed]]="",ABS(NETWORKDAYS(Proc[[#This Row],[DateOpened]],TODAY()))-1,ABS(NETWORKDAYS(Proc[[#This Row],[DateOpened]],Proc[[#This Row],[DateClosed]]))-1)</f>
        <v>46</v>
      </c>
      <c r="R4378" s="159" t="s">
        <v>856</v>
      </c>
      <c r="S4378" s="150"/>
    </row>
    <row r="4379" spans="1:19" hidden="1">
      <c r="A4379" t="s">
        <v>6516</v>
      </c>
      <c r="B4379" s="150" t="str">
        <f>IFERROR(VLOOKUP(Proc[[#This Row],[App]],Table2[],3,0),"open")</f>
        <v>ok</v>
      </c>
      <c r="C4379" s="149" t="s">
        <v>369</v>
      </c>
      <c r="D4379" t="s">
        <v>6517</v>
      </c>
      <c r="E4379" t="s">
        <v>6531</v>
      </c>
      <c r="F4379" s="150" t="s">
        <v>6531</v>
      </c>
      <c r="G4379" t="s">
        <v>400</v>
      </c>
      <c r="H4379" s="150" t="str">
        <f>IF(Proc[[#This Row],[type]]="LFF (MDG-F)",MID(Proc[[#This Row],[Obj]],13,10),"")</f>
        <v/>
      </c>
      <c r="J4379" s="150" t="b">
        <f>Proc[[#This Row],[Requested]]=Proc[[#This Row],[CurrentParent]]</f>
        <v>1</v>
      </c>
      <c r="K4379" s="150" t="str">
        <f>IF(Proc[[#This Row],[Author]]="Marcela Urrego",VLOOKUP(LEFT(Proc[[#This Row],[Requested]],1),Table3[#All],2,0),VLOOKUP(Proc[[#This Row],[Author]],Table4[],2,0))</f>
        <v>MGF</v>
      </c>
      <c r="L4379" s="150" t="s">
        <v>6435</v>
      </c>
      <c r="M4379" s="158">
        <v>45946</v>
      </c>
      <c r="N4379" s="158"/>
      <c r="O4379" s="158"/>
      <c r="P4379" s="159" t="str">
        <f ca="1">IF(Proc[[#This Row],[DaysAgeing]]&gt;5,"yep","on track")</f>
        <v>yep</v>
      </c>
      <c r="Q4379" s="3">
        <f ca="1">IF(Proc[[#This Row],[DateClosed]]="",ABS(NETWORKDAYS(Proc[[#This Row],[DateOpened]],TODAY()))-1,ABS(NETWORKDAYS(Proc[[#This Row],[DateOpened]],Proc[[#This Row],[DateClosed]]))-1)</f>
        <v>46</v>
      </c>
      <c r="R4379" s="159" t="s">
        <v>856</v>
      </c>
      <c r="S4379" s="150"/>
    </row>
    <row r="4380" spans="1:19" hidden="1">
      <c r="A4380" t="s">
        <v>6530</v>
      </c>
      <c r="B4380" s="150" t="str">
        <f>IFERROR(VLOOKUP(Proc[[#This Row],[App]],Table2[],3,0),"open")</f>
        <v>ok</v>
      </c>
      <c r="C4380" s="149" t="s">
        <v>369</v>
      </c>
      <c r="D4380" t="s">
        <v>6518</v>
      </c>
      <c r="E4380" t="s">
        <v>418</v>
      </c>
      <c r="F4380" s="150" t="s">
        <v>418</v>
      </c>
      <c r="G4380" t="s">
        <v>400</v>
      </c>
      <c r="H4380" s="150" t="str">
        <f>IF(Proc[[#This Row],[type]]="LFF (MDG-F)",MID(Proc[[#This Row],[Obj]],13,10),"")</f>
        <v/>
      </c>
      <c r="J4380" s="150" t="b">
        <f>Proc[[#This Row],[Requested]]=Proc[[#This Row],[CurrentParent]]</f>
        <v>1</v>
      </c>
      <c r="K4380" s="150" t="str">
        <f>IF(Proc[[#This Row],[Author]]="Marcela Urrego",VLOOKUP(LEFT(Proc[[#This Row],[Requested]],1),Table3[#All],2,0),VLOOKUP(Proc[[#This Row],[Author]],Table4[],2,0))</f>
        <v>EL</v>
      </c>
      <c r="L4380" s="150" t="s">
        <v>6435</v>
      </c>
      <c r="M4380" s="159">
        <v>45947</v>
      </c>
      <c r="N4380" s="160"/>
      <c r="O4380" s="160"/>
      <c r="P4380" s="159" t="str">
        <f ca="1">IF(Proc[[#This Row],[DaysAgeing]]&gt;5,"yep","on track")</f>
        <v>yep</v>
      </c>
      <c r="Q4380" s="3">
        <f ca="1">IF(Proc[[#This Row],[DateClosed]]="",ABS(NETWORKDAYS(Proc[[#This Row],[DateOpened]],TODAY()))-1,ABS(NETWORKDAYS(Proc[[#This Row],[DateOpened]],Proc[[#This Row],[DateClosed]]))-1)</f>
        <v>45</v>
      </c>
      <c r="R4380" s="159" t="s">
        <v>5709</v>
      </c>
      <c r="S4380" s="150"/>
    </row>
    <row r="4381" spans="1:19" hidden="1">
      <c r="A4381" s="149" t="s">
        <v>6530</v>
      </c>
      <c r="B4381" s="150" t="str">
        <f>IFERROR(VLOOKUP(Proc[[#This Row],[App]],Table2[],3,0),"open")</f>
        <v>ok</v>
      </c>
      <c r="C4381" s="149" t="s">
        <v>369</v>
      </c>
      <c r="D4381" t="s">
        <v>6519</v>
      </c>
      <c r="E4381" s="149" t="s">
        <v>418</v>
      </c>
      <c r="F4381" s="150" t="s">
        <v>418</v>
      </c>
      <c r="G4381" s="149" t="s">
        <v>400</v>
      </c>
      <c r="H4381" s="150" t="str">
        <f>IF(Proc[[#This Row],[type]]="LFF (MDG-F)",MID(Proc[[#This Row],[Obj]],13,10),"")</f>
        <v/>
      </c>
      <c r="J4381" s="150" t="b">
        <f>Proc[[#This Row],[Requested]]=Proc[[#This Row],[CurrentParent]]</f>
        <v>1</v>
      </c>
      <c r="K4381" s="150" t="str">
        <f>IF(Proc[[#This Row],[Author]]="Marcela Urrego",VLOOKUP(LEFT(Proc[[#This Row],[Requested]],1),Table3[#All],2,0),VLOOKUP(Proc[[#This Row],[Author]],Table4[],2,0))</f>
        <v>EL</v>
      </c>
      <c r="L4381" s="150" t="s">
        <v>6435</v>
      </c>
      <c r="M4381" s="159">
        <v>45947</v>
      </c>
      <c r="N4381" s="160"/>
      <c r="O4381" s="160"/>
      <c r="P4381" s="159" t="str">
        <f ca="1">IF(Proc[[#This Row],[DaysAgeing]]&gt;5,"yep","on track")</f>
        <v>yep</v>
      </c>
      <c r="Q4381" s="3">
        <f ca="1">IF(Proc[[#This Row],[DateClosed]]="",ABS(NETWORKDAYS(Proc[[#This Row],[DateOpened]],TODAY()))-1,ABS(NETWORKDAYS(Proc[[#This Row],[DateOpened]],Proc[[#This Row],[DateClosed]]))-1)</f>
        <v>45</v>
      </c>
      <c r="R4381" s="159" t="s">
        <v>5709</v>
      </c>
      <c r="S4381" s="150"/>
    </row>
    <row r="4382" spans="1:19" hidden="1">
      <c r="A4382" s="149" t="s">
        <v>6530</v>
      </c>
      <c r="B4382" s="150" t="str">
        <f>IFERROR(VLOOKUP(Proc[[#This Row],[App]],Table2[],3,0),"open")</f>
        <v>ok</v>
      </c>
      <c r="C4382" s="149" t="s">
        <v>369</v>
      </c>
      <c r="D4382" t="s">
        <v>6520</v>
      </c>
      <c r="E4382" t="s">
        <v>419</v>
      </c>
      <c r="F4382" s="150" t="s">
        <v>419</v>
      </c>
      <c r="G4382" s="149" t="s">
        <v>400</v>
      </c>
      <c r="H4382" s="150" t="str">
        <f>IF(Proc[[#This Row],[type]]="LFF (MDG-F)",MID(Proc[[#This Row],[Obj]],13,10),"")</f>
        <v/>
      </c>
      <c r="J4382" s="150" t="b">
        <f>Proc[[#This Row],[Requested]]=Proc[[#This Row],[CurrentParent]]</f>
        <v>1</v>
      </c>
      <c r="K4382" s="150" t="str">
        <f>IF(Proc[[#This Row],[Author]]="Marcela Urrego",VLOOKUP(LEFT(Proc[[#This Row],[Requested]],1),Table3[#All],2,0),VLOOKUP(Proc[[#This Row],[Author]],Table4[],2,0))</f>
        <v>EL</v>
      </c>
      <c r="L4382" s="150" t="s">
        <v>6435</v>
      </c>
      <c r="M4382" s="159">
        <v>45947</v>
      </c>
      <c r="N4382" s="160"/>
      <c r="O4382" s="160"/>
      <c r="P4382" s="159" t="str">
        <f ca="1">IF(Proc[[#This Row],[DaysAgeing]]&gt;5,"yep","on track")</f>
        <v>yep</v>
      </c>
      <c r="Q4382" s="3">
        <f ca="1">IF(Proc[[#This Row],[DateClosed]]="",ABS(NETWORKDAYS(Proc[[#This Row],[DateOpened]],TODAY()))-1,ABS(NETWORKDAYS(Proc[[#This Row],[DateOpened]],Proc[[#This Row],[DateClosed]]))-1)</f>
        <v>45</v>
      </c>
      <c r="R4382" s="159" t="s">
        <v>5709</v>
      </c>
      <c r="S4382" s="150"/>
    </row>
    <row r="4383" spans="1:19" hidden="1">
      <c r="A4383" s="149" t="s">
        <v>6530</v>
      </c>
      <c r="B4383" s="150" t="str">
        <f>IFERROR(VLOOKUP(Proc[[#This Row],[App]],Table2[],3,0),"open")</f>
        <v>ok</v>
      </c>
      <c r="C4383" s="149" t="s">
        <v>369</v>
      </c>
      <c r="D4383" t="s">
        <v>6521</v>
      </c>
      <c r="E4383" s="149" t="s">
        <v>419</v>
      </c>
      <c r="F4383" s="150" t="s">
        <v>419</v>
      </c>
      <c r="G4383" s="149" t="s">
        <v>400</v>
      </c>
      <c r="H4383" s="150" t="str">
        <f>IF(Proc[[#This Row],[type]]="LFF (MDG-F)",MID(Proc[[#This Row],[Obj]],13,10),"")</f>
        <v/>
      </c>
      <c r="J4383" s="150" t="b">
        <f>Proc[[#This Row],[Requested]]=Proc[[#This Row],[CurrentParent]]</f>
        <v>1</v>
      </c>
      <c r="K4383" s="150" t="str">
        <f>IF(Proc[[#This Row],[Author]]="Marcela Urrego",VLOOKUP(LEFT(Proc[[#This Row],[Requested]],1),Table3[#All],2,0),VLOOKUP(Proc[[#This Row],[Author]],Table4[],2,0))</f>
        <v>EL</v>
      </c>
      <c r="L4383" s="150" t="s">
        <v>6435</v>
      </c>
      <c r="M4383" s="159">
        <v>45947</v>
      </c>
      <c r="N4383" s="160"/>
      <c r="O4383" s="160"/>
      <c r="P4383" s="159" t="str">
        <f ca="1">IF(Proc[[#This Row],[DaysAgeing]]&gt;5,"yep","on track")</f>
        <v>yep</v>
      </c>
      <c r="Q4383" s="3">
        <f ca="1">IF(Proc[[#This Row],[DateClosed]]="",ABS(NETWORKDAYS(Proc[[#This Row],[DateOpened]],TODAY()))-1,ABS(NETWORKDAYS(Proc[[#This Row],[DateOpened]],Proc[[#This Row],[DateClosed]]))-1)</f>
        <v>45</v>
      </c>
      <c r="R4383" s="159" t="s">
        <v>5709</v>
      </c>
      <c r="S4383" s="150"/>
    </row>
    <row r="4384" spans="1:19" hidden="1">
      <c r="A4384" s="149" t="s">
        <v>6530</v>
      </c>
      <c r="B4384" s="150" t="str">
        <f>IFERROR(VLOOKUP(Proc[[#This Row],[App]],Table2[],3,0),"open")</f>
        <v>ok</v>
      </c>
      <c r="C4384" s="149" t="s">
        <v>369</v>
      </c>
      <c r="D4384" t="s">
        <v>6522</v>
      </c>
      <c r="E4384" s="149" t="s">
        <v>419</v>
      </c>
      <c r="F4384" s="150" t="s">
        <v>419</v>
      </c>
      <c r="G4384" s="149" t="s">
        <v>400</v>
      </c>
      <c r="H4384" s="150" t="str">
        <f>IF(Proc[[#This Row],[type]]="LFF (MDG-F)",MID(Proc[[#This Row],[Obj]],13,10),"")</f>
        <v/>
      </c>
      <c r="J4384" s="150" t="b">
        <f>Proc[[#This Row],[Requested]]=Proc[[#This Row],[CurrentParent]]</f>
        <v>1</v>
      </c>
      <c r="K4384" s="150" t="str">
        <f>IF(Proc[[#This Row],[Author]]="Marcela Urrego",VLOOKUP(LEFT(Proc[[#This Row],[Requested]],1),Table3[#All],2,0),VLOOKUP(Proc[[#This Row],[Author]],Table4[],2,0))</f>
        <v>EL</v>
      </c>
      <c r="L4384" s="150" t="s">
        <v>6435</v>
      </c>
      <c r="M4384" s="159">
        <v>45947</v>
      </c>
      <c r="N4384" s="160"/>
      <c r="O4384" s="160"/>
      <c r="P4384" s="159" t="str">
        <f ca="1">IF(Proc[[#This Row],[DaysAgeing]]&gt;5,"yep","on track")</f>
        <v>yep</v>
      </c>
      <c r="Q4384" s="3">
        <f ca="1">IF(Proc[[#This Row],[DateClosed]]="",ABS(NETWORKDAYS(Proc[[#This Row],[DateOpened]],TODAY()))-1,ABS(NETWORKDAYS(Proc[[#This Row],[DateOpened]],Proc[[#This Row],[DateClosed]]))-1)</f>
        <v>45</v>
      </c>
      <c r="R4384" s="159" t="s">
        <v>5709</v>
      </c>
      <c r="S4384" s="150"/>
    </row>
    <row r="4385" spans="1:19" hidden="1">
      <c r="A4385" s="149" t="s">
        <v>6530</v>
      </c>
      <c r="B4385" s="150" t="str">
        <f>IFERROR(VLOOKUP(Proc[[#This Row],[App]],Table2[],3,0),"open")</f>
        <v>ok</v>
      </c>
      <c r="C4385" s="149" t="s">
        <v>369</v>
      </c>
      <c r="D4385" t="s">
        <v>6523</v>
      </c>
      <c r="E4385" t="s">
        <v>2430</v>
      </c>
      <c r="F4385" s="150" t="s">
        <v>2430</v>
      </c>
      <c r="G4385" s="149" t="s">
        <v>400</v>
      </c>
      <c r="H4385" s="150" t="str">
        <f>IF(Proc[[#This Row],[type]]="LFF (MDG-F)",MID(Proc[[#This Row],[Obj]],13,10),"")</f>
        <v/>
      </c>
      <c r="J4385" s="150" t="b">
        <f>Proc[[#This Row],[Requested]]=Proc[[#This Row],[CurrentParent]]</f>
        <v>1</v>
      </c>
      <c r="K4385" s="150" t="str">
        <f>IF(Proc[[#This Row],[Author]]="Marcela Urrego",VLOOKUP(LEFT(Proc[[#This Row],[Requested]],1),Table3[#All],2,0),VLOOKUP(Proc[[#This Row],[Author]],Table4[],2,0))</f>
        <v>EL</v>
      </c>
      <c r="L4385" s="150" t="s">
        <v>6435</v>
      </c>
      <c r="M4385" s="159">
        <v>45947</v>
      </c>
      <c r="N4385" s="160"/>
      <c r="O4385" s="160"/>
      <c r="P4385" s="159" t="str">
        <f ca="1">IF(Proc[[#This Row],[DaysAgeing]]&gt;5,"yep","on track")</f>
        <v>yep</v>
      </c>
      <c r="Q4385" s="3">
        <f ca="1">IF(Proc[[#This Row],[DateClosed]]="",ABS(NETWORKDAYS(Proc[[#This Row],[DateOpened]],TODAY()))-1,ABS(NETWORKDAYS(Proc[[#This Row],[DateOpened]],Proc[[#This Row],[DateClosed]]))-1)</f>
        <v>45</v>
      </c>
      <c r="R4385" s="159" t="s">
        <v>5709</v>
      </c>
      <c r="S4385" s="150"/>
    </row>
    <row r="4386" spans="1:19" hidden="1">
      <c r="A4386" s="149" t="s">
        <v>6530</v>
      </c>
      <c r="B4386" s="150" t="str">
        <f>IFERROR(VLOOKUP(Proc[[#This Row],[App]],Table2[],3,0),"open")</f>
        <v>ok</v>
      </c>
      <c r="C4386" s="149" t="s">
        <v>369</v>
      </c>
      <c r="D4386" t="s">
        <v>6524</v>
      </c>
      <c r="E4386" s="149" t="s">
        <v>2430</v>
      </c>
      <c r="F4386" s="150" t="s">
        <v>2430</v>
      </c>
      <c r="G4386" s="149" t="s">
        <v>400</v>
      </c>
      <c r="H4386" s="150" t="str">
        <f>IF(Proc[[#This Row],[type]]="LFF (MDG-F)",MID(Proc[[#This Row],[Obj]],13,10),"")</f>
        <v/>
      </c>
      <c r="J4386" s="150" t="b">
        <f>Proc[[#This Row],[Requested]]=Proc[[#This Row],[CurrentParent]]</f>
        <v>1</v>
      </c>
      <c r="K4386" s="150" t="str">
        <f>IF(Proc[[#This Row],[Author]]="Marcela Urrego",VLOOKUP(LEFT(Proc[[#This Row],[Requested]],1),Table3[#All],2,0),VLOOKUP(Proc[[#This Row],[Author]],Table4[],2,0))</f>
        <v>EL</v>
      </c>
      <c r="L4386" s="150" t="s">
        <v>6435</v>
      </c>
      <c r="M4386" s="159">
        <v>45947</v>
      </c>
      <c r="N4386" s="160"/>
      <c r="O4386" s="160"/>
      <c r="P4386" s="159" t="str">
        <f ca="1">IF(Proc[[#This Row],[DaysAgeing]]&gt;5,"yep","on track")</f>
        <v>yep</v>
      </c>
      <c r="Q4386" s="3">
        <f ca="1">IF(Proc[[#This Row],[DateClosed]]="",ABS(NETWORKDAYS(Proc[[#This Row],[DateOpened]],TODAY()))-1,ABS(NETWORKDAYS(Proc[[#This Row],[DateOpened]],Proc[[#This Row],[DateClosed]]))-1)</f>
        <v>45</v>
      </c>
      <c r="R4386" s="159" t="s">
        <v>5709</v>
      </c>
      <c r="S4386" s="150"/>
    </row>
    <row r="4387" spans="1:19" hidden="1">
      <c r="A4387" s="149" t="s">
        <v>6530</v>
      </c>
      <c r="B4387" s="150" t="str">
        <f>IFERROR(VLOOKUP(Proc[[#This Row],[App]],Table2[],3,0),"open")</f>
        <v>ok</v>
      </c>
      <c r="C4387" s="149" t="s">
        <v>369</v>
      </c>
      <c r="D4387" t="s">
        <v>6525</v>
      </c>
      <c r="E4387" s="149" t="s">
        <v>2430</v>
      </c>
      <c r="F4387" s="150" t="s">
        <v>2430</v>
      </c>
      <c r="G4387" s="149" t="s">
        <v>400</v>
      </c>
      <c r="H4387" s="150" t="str">
        <f>IF(Proc[[#This Row],[type]]="LFF (MDG-F)",MID(Proc[[#This Row],[Obj]],13,10),"")</f>
        <v/>
      </c>
      <c r="J4387" s="150" t="b">
        <f>Proc[[#This Row],[Requested]]=Proc[[#This Row],[CurrentParent]]</f>
        <v>1</v>
      </c>
      <c r="K4387" s="150" t="str">
        <f>IF(Proc[[#This Row],[Author]]="Marcela Urrego",VLOOKUP(LEFT(Proc[[#This Row],[Requested]],1),Table3[#All],2,0),VLOOKUP(Proc[[#This Row],[Author]],Table4[],2,0))</f>
        <v>EL</v>
      </c>
      <c r="L4387" s="150" t="s">
        <v>6435</v>
      </c>
      <c r="M4387" s="159">
        <v>45947</v>
      </c>
      <c r="N4387" s="160"/>
      <c r="O4387" s="160"/>
      <c r="P4387" s="159" t="str">
        <f ca="1">IF(Proc[[#This Row],[DaysAgeing]]&gt;5,"yep","on track")</f>
        <v>yep</v>
      </c>
      <c r="Q4387" s="3">
        <f ca="1">IF(Proc[[#This Row],[DateClosed]]="",ABS(NETWORKDAYS(Proc[[#This Row],[DateOpened]],TODAY()))-1,ABS(NETWORKDAYS(Proc[[#This Row],[DateOpened]],Proc[[#This Row],[DateClosed]]))-1)</f>
        <v>45</v>
      </c>
      <c r="R4387" s="159" t="s">
        <v>5709</v>
      </c>
      <c r="S4387" s="150"/>
    </row>
    <row r="4388" spans="1:19" hidden="1">
      <c r="A4388" s="149" t="s">
        <v>6530</v>
      </c>
      <c r="B4388" s="150" t="str">
        <f>IFERROR(VLOOKUP(Proc[[#This Row],[App]],Table2[],3,0),"open")</f>
        <v>ok</v>
      </c>
      <c r="C4388" s="149" t="s">
        <v>369</v>
      </c>
      <c r="D4388" t="s">
        <v>6526</v>
      </c>
      <c r="E4388" s="149" t="s">
        <v>2430</v>
      </c>
      <c r="F4388" s="150" t="s">
        <v>2430</v>
      </c>
      <c r="G4388" s="149" t="s">
        <v>400</v>
      </c>
      <c r="H4388" s="150" t="str">
        <f>IF(Proc[[#This Row],[type]]="LFF (MDG-F)",MID(Proc[[#This Row],[Obj]],13,10),"")</f>
        <v/>
      </c>
      <c r="J4388" s="150" t="b">
        <f>Proc[[#This Row],[Requested]]=Proc[[#This Row],[CurrentParent]]</f>
        <v>1</v>
      </c>
      <c r="K4388" s="150" t="str">
        <f>IF(Proc[[#This Row],[Author]]="Marcela Urrego",VLOOKUP(LEFT(Proc[[#This Row],[Requested]],1),Table3[#All],2,0),VLOOKUP(Proc[[#This Row],[Author]],Table4[],2,0))</f>
        <v>EL</v>
      </c>
      <c r="L4388" s="150" t="s">
        <v>6435</v>
      </c>
      <c r="M4388" s="159">
        <v>45947</v>
      </c>
      <c r="N4388" s="160"/>
      <c r="O4388" s="160"/>
      <c r="P4388" s="159" t="str">
        <f ca="1">IF(Proc[[#This Row],[DaysAgeing]]&gt;5,"yep","on track")</f>
        <v>yep</v>
      </c>
      <c r="Q4388" s="3">
        <f ca="1">IF(Proc[[#This Row],[DateClosed]]="",ABS(NETWORKDAYS(Proc[[#This Row],[DateOpened]],TODAY()))-1,ABS(NETWORKDAYS(Proc[[#This Row],[DateOpened]],Proc[[#This Row],[DateClosed]]))-1)</f>
        <v>45</v>
      </c>
      <c r="R4388" s="159" t="s">
        <v>5709</v>
      </c>
      <c r="S4388" s="150"/>
    </row>
    <row r="4389" spans="1:19" hidden="1">
      <c r="A4389" s="149" t="s">
        <v>6530</v>
      </c>
      <c r="B4389" s="150" t="str">
        <f>IFERROR(VLOOKUP(Proc[[#This Row],[App]],Table2[],3,0),"open")</f>
        <v>ok</v>
      </c>
      <c r="C4389" s="149" t="s">
        <v>369</v>
      </c>
      <c r="D4389" t="s">
        <v>6527</v>
      </c>
      <c r="E4389" s="149" t="s">
        <v>419</v>
      </c>
      <c r="F4389" s="150" t="s">
        <v>419</v>
      </c>
      <c r="G4389" s="149" t="s">
        <v>400</v>
      </c>
      <c r="H4389" s="150" t="str">
        <f>IF(Proc[[#This Row],[type]]="LFF (MDG-F)",MID(Proc[[#This Row],[Obj]],13,10),"")</f>
        <v/>
      </c>
      <c r="J4389" s="150" t="b">
        <f>Proc[[#This Row],[Requested]]=Proc[[#This Row],[CurrentParent]]</f>
        <v>1</v>
      </c>
      <c r="K4389" s="150" t="str">
        <f>IF(Proc[[#This Row],[Author]]="Marcela Urrego",VLOOKUP(LEFT(Proc[[#This Row],[Requested]],1),Table3[#All],2,0),VLOOKUP(Proc[[#This Row],[Author]],Table4[],2,0))</f>
        <v>EL</v>
      </c>
      <c r="L4389" s="150" t="s">
        <v>6435</v>
      </c>
      <c r="M4389" s="159">
        <v>45947</v>
      </c>
      <c r="N4389" s="160"/>
      <c r="O4389" s="160"/>
      <c r="P4389" s="159" t="str">
        <f ca="1">IF(Proc[[#This Row],[DaysAgeing]]&gt;5,"yep","on track")</f>
        <v>yep</v>
      </c>
      <c r="Q4389" s="3">
        <f ca="1">IF(Proc[[#This Row],[DateClosed]]="",ABS(NETWORKDAYS(Proc[[#This Row],[DateOpened]],TODAY()))-1,ABS(NETWORKDAYS(Proc[[#This Row],[DateOpened]],Proc[[#This Row],[DateClosed]]))-1)</f>
        <v>45</v>
      </c>
      <c r="R4389" s="159" t="s">
        <v>5709</v>
      </c>
      <c r="S4389" s="150"/>
    </row>
    <row r="4390" spans="1:19" hidden="1">
      <c r="A4390" s="149" t="s">
        <v>6530</v>
      </c>
      <c r="B4390" s="150" t="str">
        <f>IFERROR(VLOOKUP(Proc[[#This Row],[App]],Table2[],3,0),"open")</f>
        <v>ok</v>
      </c>
      <c r="C4390" s="149" t="s">
        <v>369</v>
      </c>
      <c r="D4390" t="s">
        <v>6528</v>
      </c>
      <c r="E4390" s="149" t="s">
        <v>2430</v>
      </c>
      <c r="F4390" s="150" t="s">
        <v>2430</v>
      </c>
      <c r="G4390" s="149" t="s">
        <v>400</v>
      </c>
      <c r="H4390" s="150" t="str">
        <f>IF(Proc[[#This Row],[type]]="LFF (MDG-F)",MID(Proc[[#This Row],[Obj]],13,10),"")</f>
        <v/>
      </c>
      <c r="J4390" s="150" t="b">
        <f>Proc[[#This Row],[Requested]]=Proc[[#This Row],[CurrentParent]]</f>
        <v>1</v>
      </c>
      <c r="K4390" s="150" t="str">
        <f>IF(Proc[[#This Row],[Author]]="Marcela Urrego",VLOOKUP(LEFT(Proc[[#This Row],[Requested]],1),Table3[#All],2,0),VLOOKUP(Proc[[#This Row],[Author]],Table4[],2,0))</f>
        <v>EL</v>
      </c>
      <c r="L4390" s="150" t="s">
        <v>6435</v>
      </c>
      <c r="M4390" s="159">
        <v>45947</v>
      </c>
      <c r="N4390" s="160"/>
      <c r="O4390" s="160"/>
      <c r="P4390" s="159" t="str">
        <f ca="1">IF(Proc[[#This Row],[DaysAgeing]]&gt;5,"yep","on track")</f>
        <v>yep</v>
      </c>
      <c r="Q4390" s="3">
        <f ca="1">IF(Proc[[#This Row],[DateClosed]]="",ABS(NETWORKDAYS(Proc[[#This Row],[DateOpened]],TODAY()))-1,ABS(NETWORKDAYS(Proc[[#This Row],[DateOpened]],Proc[[#This Row],[DateClosed]]))-1)</f>
        <v>45</v>
      </c>
      <c r="R4390" s="159" t="s">
        <v>5709</v>
      </c>
      <c r="S4390" s="150"/>
    </row>
    <row r="4391" spans="1:19" hidden="1">
      <c r="A4391" s="149" t="s">
        <v>6530</v>
      </c>
      <c r="B4391" s="150" t="str">
        <f>IFERROR(VLOOKUP(Proc[[#This Row],[App]],Table2[],3,0),"open")</f>
        <v>ok</v>
      </c>
      <c r="C4391" s="149" t="s">
        <v>369</v>
      </c>
      <c r="D4391" t="s">
        <v>6529</v>
      </c>
      <c r="E4391" s="149" t="s">
        <v>2430</v>
      </c>
      <c r="F4391" s="150" t="s">
        <v>2430</v>
      </c>
      <c r="G4391" s="149" t="s">
        <v>400</v>
      </c>
      <c r="H4391" s="150" t="str">
        <f>IF(Proc[[#This Row],[type]]="LFF (MDG-F)",MID(Proc[[#This Row],[Obj]],13,10),"")</f>
        <v/>
      </c>
      <c r="J4391" s="150" t="b">
        <f>Proc[[#This Row],[Requested]]=Proc[[#This Row],[CurrentParent]]</f>
        <v>1</v>
      </c>
      <c r="K4391" s="150" t="str">
        <f>IF(Proc[[#This Row],[Author]]="Marcela Urrego",VLOOKUP(LEFT(Proc[[#This Row],[Requested]],1),Table3[#All],2,0),VLOOKUP(Proc[[#This Row],[Author]],Table4[],2,0))</f>
        <v>EL</v>
      </c>
      <c r="L4391" s="150" t="s">
        <v>6435</v>
      </c>
      <c r="M4391" s="159">
        <v>45947</v>
      </c>
      <c r="N4391" s="160"/>
      <c r="O4391" s="160"/>
      <c r="P4391" s="159" t="str">
        <f ca="1">IF(Proc[[#This Row],[DaysAgeing]]&gt;5,"yep","on track")</f>
        <v>yep</v>
      </c>
      <c r="Q4391" s="3">
        <f ca="1">IF(Proc[[#This Row],[DateClosed]]="",ABS(NETWORKDAYS(Proc[[#This Row],[DateOpened]],TODAY()))-1,ABS(NETWORKDAYS(Proc[[#This Row],[DateOpened]],Proc[[#This Row],[DateClosed]]))-1)</f>
        <v>45</v>
      </c>
      <c r="R4391" s="159" t="s">
        <v>5709</v>
      </c>
      <c r="S4391" s="150"/>
    </row>
    <row r="4392" spans="1:19" hidden="1">
      <c r="A4392" t="s">
        <v>6533</v>
      </c>
      <c r="B4392" s="150" t="str">
        <f>IFERROR(VLOOKUP(Proc[[#This Row],[App]],Table2[],3,0),"open")</f>
        <v>ok</v>
      </c>
      <c r="C4392" t="s">
        <v>369</v>
      </c>
      <c r="D4392" t="s">
        <v>6534</v>
      </c>
      <c r="E4392" t="s">
        <v>6538</v>
      </c>
      <c r="F4392" s="150" t="s">
        <v>6538</v>
      </c>
      <c r="G4392" s="149" t="s">
        <v>406</v>
      </c>
      <c r="H4392" s="150" t="str">
        <f>IF(Proc[[#This Row],[type]]="LFF (MDG-F)",MID(Proc[[#This Row],[Obj]],13,10),"")</f>
        <v>2053R00001</v>
      </c>
      <c r="J4392" s="150" t="b">
        <f>Proc[[#This Row],[Requested]]=Proc[[#This Row],[CurrentParent]]</f>
        <v>1</v>
      </c>
      <c r="K4392" s="150" t="str">
        <f>IF(Proc[[#This Row],[Author]]="Marcela Urrego",VLOOKUP(LEFT(Proc[[#This Row],[Requested]],1),Table3[#All],2,0),VLOOKUP(Proc[[#This Row],[Author]],Table4[],2,0))</f>
        <v>LS</v>
      </c>
      <c r="L4392" s="150" t="s">
        <v>6435</v>
      </c>
      <c r="M4392" s="159">
        <v>45952</v>
      </c>
      <c r="N4392" s="160"/>
      <c r="O4392" s="160"/>
      <c r="P4392" s="159" t="str">
        <f ca="1">IF(Proc[[#This Row],[DaysAgeing]]&gt;5,"yep","on track")</f>
        <v>yep</v>
      </c>
      <c r="Q4392" s="3">
        <f ca="1">IF(Proc[[#This Row],[DateClosed]]="",ABS(NETWORKDAYS(Proc[[#This Row],[DateOpened]],TODAY()))-1,ABS(NETWORKDAYS(Proc[[#This Row],[DateOpened]],Proc[[#This Row],[DateClosed]]))-1)</f>
        <v>42</v>
      </c>
      <c r="R4392" s="159" t="s">
        <v>489</v>
      </c>
      <c r="S4392" s="150"/>
    </row>
    <row r="4393" spans="1:19" hidden="1">
      <c r="A4393" s="149" t="s">
        <v>6533</v>
      </c>
      <c r="B4393" s="150" t="str">
        <f>IFERROR(VLOOKUP(Proc[[#This Row],[App]],Table2[],3,0),"open")</f>
        <v>ok</v>
      </c>
      <c r="C4393" s="149" t="s">
        <v>369</v>
      </c>
      <c r="D4393" t="s">
        <v>6535</v>
      </c>
      <c r="E4393" t="s">
        <v>6538</v>
      </c>
      <c r="F4393" s="150" t="s">
        <v>6538</v>
      </c>
      <c r="G4393" s="149" t="s">
        <v>406</v>
      </c>
      <c r="H4393" s="150" t="str">
        <f>IF(Proc[[#This Row],[type]]="LFF (MDG-F)",MID(Proc[[#This Row],[Obj]],13,10),"")</f>
        <v>2123R00004</v>
      </c>
      <c r="J4393" s="150" t="b">
        <f>Proc[[#This Row],[Requested]]=Proc[[#This Row],[CurrentParent]]</f>
        <v>1</v>
      </c>
      <c r="K4393" s="150" t="str">
        <f>IF(Proc[[#This Row],[Author]]="Marcela Urrego",VLOOKUP(LEFT(Proc[[#This Row],[Requested]],1),Table3[#All],2,0),VLOOKUP(Proc[[#This Row],[Author]],Table4[],2,0))</f>
        <v>LS</v>
      </c>
      <c r="L4393" s="150" t="s">
        <v>6435</v>
      </c>
      <c r="M4393" s="159">
        <v>45952</v>
      </c>
      <c r="N4393" s="160"/>
      <c r="O4393" s="160"/>
      <c r="P4393" s="159" t="str">
        <f ca="1">IF(Proc[[#This Row],[DaysAgeing]]&gt;5,"yep","on track")</f>
        <v>yep</v>
      </c>
      <c r="Q4393" s="3">
        <f ca="1">IF(Proc[[#This Row],[DateClosed]]="",ABS(NETWORKDAYS(Proc[[#This Row],[DateOpened]],TODAY()))-1,ABS(NETWORKDAYS(Proc[[#This Row],[DateOpened]],Proc[[#This Row],[DateClosed]]))-1)</f>
        <v>42</v>
      </c>
      <c r="R4393" s="159" t="s">
        <v>489</v>
      </c>
      <c r="S4393" s="150"/>
    </row>
    <row r="4394" spans="1:19" hidden="1">
      <c r="A4394" s="149" t="s">
        <v>6533</v>
      </c>
      <c r="B4394" s="150" t="str">
        <f>IFERROR(VLOOKUP(Proc[[#This Row],[App]],Table2[],3,0),"open")</f>
        <v>ok</v>
      </c>
      <c r="C4394" s="149" t="s">
        <v>369</v>
      </c>
      <c r="D4394" t="s">
        <v>6536</v>
      </c>
      <c r="E4394" t="s">
        <v>6538</v>
      </c>
      <c r="F4394" s="150" t="s">
        <v>6538</v>
      </c>
      <c r="G4394" t="s">
        <v>400</v>
      </c>
      <c r="H4394" s="150" t="str">
        <f>IF(Proc[[#This Row],[type]]="LFF (MDG-F)",MID(Proc[[#This Row],[Obj]],13,10),"")</f>
        <v/>
      </c>
      <c r="J4394" s="150" t="b">
        <f>Proc[[#This Row],[Requested]]=Proc[[#This Row],[CurrentParent]]</f>
        <v>1</v>
      </c>
      <c r="K4394" s="150" t="str">
        <f>IF(Proc[[#This Row],[Author]]="Marcela Urrego",VLOOKUP(LEFT(Proc[[#This Row],[Requested]],1),Table3[#All],2,0),VLOOKUP(Proc[[#This Row],[Author]],Table4[],2,0))</f>
        <v>LS</v>
      </c>
      <c r="L4394" s="150" t="s">
        <v>6435</v>
      </c>
      <c r="M4394" s="159">
        <v>45952</v>
      </c>
      <c r="N4394" s="160"/>
      <c r="O4394" s="160"/>
      <c r="P4394" s="159" t="str">
        <f ca="1">IF(Proc[[#This Row],[DaysAgeing]]&gt;5,"yep","on track")</f>
        <v>yep</v>
      </c>
      <c r="Q4394" s="3">
        <f ca="1">IF(Proc[[#This Row],[DateClosed]]="",ABS(NETWORKDAYS(Proc[[#This Row],[DateOpened]],TODAY()))-1,ABS(NETWORKDAYS(Proc[[#This Row],[DateOpened]],Proc[[#This Row],[DateClosed]]))-1)</f>
        <v>42</v>
      </c>
      <c r="R4394" s="159" t="s">
        <v>489</v>
      </c>
      <c r="S4394" s="150"/>
    </row>
    <row r="4395" spans="1:19" hidden="1">
      <c r="A4395" s="149" t="s">
        <v>6533</v>
      </c>
      <c r="B4395" s="150" t="str">
        <f>IFERROR(VLOOKUP(Proc[[#This Row],[App]],Table2[],3,0),"open")</f>
        <v>ok</v>
      </c>
      <c r="C4395" s="149" t="s">
        <v>369</v>
      </c>
      <c r="D4395" t="s">
        <v>6537</v>
      </c>
      <c r="E4395" t="s">
        <v>6538</v>
      </c>
      <c r="F4395" s="150" t="s">
        <v>6538</v>
      </c>
      <c r="G4395" s="149" t="s">
        <v>400</v>
      </c>
      <c r="H4395" s="150" t="str">
        <f>IF(Proc[[#This Row],[type]]="LFF (MDG-F)",MID(Proc[[#This Row],[Obj]],13,10),"")</f>
        <v/>
      </c>
      <c r="J4395" s="150" t="b">
        <f>Proc[[#This Row],[Requested]]=Proc[[#This Row],[CurrentParent]]</f>
        <v>1</v>
      </c>
      <c r="K4395" s="150" t="str">
        <f>IF(Proc[[#This Row],[Author]]="Marcela Urrego",VLOOKUP(LEFT(Proc[[#This Row],[Requested]],1),Table3[#All],2,0),VLOOKUP(Proc[[#This Row],[Author]],Table4[],2,0))</f>
        <v>LS</v>
      </c>
      <c r="L4395" s="150" t="s">
        <v>6435</v>
      </c>
      <c r="M4395" s="159">
        <v>45952</v>
      </c>
      <c r="N4395" s="160"/>
      <c r="O4395" s="160"/>
      <c r="P4395" s="159" t="str">
        <f ca="1">IF(Proc[[#This Row],[DaysAgeing]]&gt;5,"yep","on track")</f>
        <v>yep</v>
      </c>
      <c r="Q4395" s="3">
        <f ca="1">IF(Proc[[#This Row],[DateClosed]]="",ABS(NETWORKDAYS(Proc[[#This Row],[DateOpened]],TODAY()))-1,ABS(NETWORKDAYS(Proc[[#This Row],[DateOpened]],Proc[[#This Row],[DateClosed]]))-1)</f>
        <v>42</v>
      </c>
      <c r="R4395" s="159" t="s">
        <v>489</v>
      </c>
      <c r="S4395" s="150"/>
    </row>
    <row r="4396" spans="1:19" hidden="1">
      <c r="A4396" t="s">
        <v>6539</v>
      </c>
      <c r="B4396" s="150" t="str">
        <f>IFERROR(VLOOKUP(Proc[[#This Row],[App]],Table2[],3,0),"open")</f>
        <v>ok</v>
      </c>
      <c r="C4396" s="149" t="s">
        <v>369</v>
      </c>
      <c r="D4396" t="s">
        <v>6540</v>
      </c>
      <c r="E4396" t="s">
        <v>6500</v>
      </c>
      <c r="F4396" s="150" t="s">
        <v>6500</v>
      </c>
      <c r="G4396" s="149" t="s">
        <v>400</v>
      </c>
      <c r="H4396" s="150" t="str">
        <f>IF(Proc[[#This Row],[type]]="LFF (MDG-F)",MID(Proc[[#This Row],[Obj]],13,10),"")</f>
        <v/>
      </c>
      <c r="J4396" s="150" t="b">
        <f>Proc[[#This Row],[Requested]]=Proc[[#This Row],[CurrentParent]]</f>
        <v>1</v>
      </c>
      <c r="K4396" s="150" t="str">
        <f>IF(Proc[[#This Row],[Author]]="Marcela Urrego",VLOOKUP(LEFT(Proc[[#This Row],[Requested]],1),Table3[#All],2,0),VLOOKUP(Proc[[#This Row],[Author]],Table4[],2,0))</f>
        <v>LS</v>
      </c>
      <c r="L4396" s="150" t="s">
        <v>6435</v>
      </c>
      <c r="M4396" s="159">
        <v>45952</v>
      </c>
      <c r="N4396" s="160"/>
      <c r="O4396" s="160"/>
      <c r="P4396" s="159" t="str">
        <f ca="1">IF(Proc[[#This Row],[DaysAgeing]]&gt;5,"yep","on track")</f>
        <v>yep</v>
      </c>
      <c r="Q4396" s="3">
        <f ca="1">IF(Proc[[#This Row],[DateClosed]]="",ABS(NETWORKDAYS(Proc[[#This Row],[DateOpened]],TODAY()))-1,ABS(NETWORKDAYS(Proc[[#This Row],[DateOpened]],Proc[[#This Row],[DateClosed]]))-1)</f>
        <v>42</v>
      </c>
      <c r="R4396" s="159" t="s">
        <v>489</v>
      </c>
      <c r="S4396" s="150"/>
    </row>
    <row r="4397" spans="1:19" hidden="1">
      <c r="A4397" s="149" t="s">
        <v>6539</v>
      </c>
      <c r="B4397" s="150" t="str">
        <f>IFERROR(VLOOKUP(Proc[[#This Row],[App]],Table2[],3,0),"open")</f>
        <v>ok</v>
      </c>
      <c r="C4397" s="149" t="s">
        <v>369</v>
      </c>
      <c r="D4397" t="s">
        <v>6507</v>
      </c>
      <c r="E4397" t="s">
        <v>6508</v>
      </c>
      <c r="F4397" s="150" t="s">
        <v>6508</v>
      </c>
      <c r="G4397" s="149" t="s">
        <v>400</v>
      </c>
      <c r="H4397" s="150" t="str">
        <f>IF(Proc[[#This Row],[type]]="LFF (MDG-F)",MID(Proc[[#This Row],[Obj]],13,10),"")</f>
        <v/>
      </c>
      <c r="J4397" s="150" t="b">
        <f>Proc[[#This Row],[Requested]]=Proc[[#This Row],[CurrentParent]]</f>
        <v>1</v>
      </c>
      <c r="K4397" s="150" t="str">
        <f>IF(Proc[[#This Row],[Author]]="Marcela Urrego",VLOOKUP(LEFT(Proc[[#This Row],[Requested]],1),Table3[#All],2,0),VLOOKUP(Proc[[#This Row],[Author]],Table4[],2,0))</f>
        <v>LS</v>
      </c>
      <c r="L4397" s="150" t="s">
        <v>6435</v>
      </c>
      <c r="M4397" s="159">
        <v>45952</v>
      </c>
      <c r="N4397" s="160"/>
      <c r="O4397" s="160"/>
      <c r="P4397" s="159" t="str">
        <f ca="1">IF(Proc[[#This Row],[DaysAgeing]]&gt;5,"yep","on track")</f>
        <v>yep</v>
      </c>
      <c r="Q4397" s="3">
        <f ca="1">IF(Proc[[#This Row],[DateClosed]]="",ABS(NETWORKDAYS(Proc[[#This Row],[DateOpened]],TODAY()))-1,ABS(NETWORKDAYS(Proc[[#This Row],[DateOpened]],Proc[[#This Row],[DateClosed]]))-1)</f>
        <v>42</v>
      </c>
      <c r="R4397" s="159" t="s">
        <v>489</v>
      </c>
      <c r="S4397" s="150"/>
    </row>
    <row r="4398" spans="1:19" hidden="1">
      <c r="A4398" t="s">
        <v>6541</v>
      </c>
      <c r="B4398" s="150" t="str">
        <f>IFERROR(VLOOKUP(Proc[[#This Row],[App]],Table2[],3,0),"open")</f>
        <v>ok</v>
      </c>
      <c r="C4398" s="149" t="s">
        <v>369</v>
      </c>
      <c r="D4398" t="s">
        <v>6543</v>
      </c>
      <c r="E4398" t="s">
        <v>6542</v>
      </c>
      <c r="F4398" s="150" t="s">
        <v>6542</v>
      </c>
      <c r="G4398" t="s">
        <v>406</v>
      </c>
      <c r="H4398" s="150" t="str">
        <f>IF(Proc[[#This Row],[type]]="LFF (MDG-F)",MID(Proc[[#This Row],[Obj]],13,10),"")</f>
        <v>DE01TAWA03</v>
      </c>
      <c r="J4398" s="150" t="b">
        <f>Proc[[#This Row],[Requested]]=Proc[[#This Row],[CurrentParent]]</f>
        <v>1</v>
      </c>
      <c r="K4398" s="150" t="str">
        <f>IF(Proc[[#This Row],[Author]]="Marcela Urrego",VLOOKUP(LEFT(Proc[[#This Row],[Requested]],1),Table3[#All],2,0),VLOOKUP(Proc[[#This Row],[Author]],Table4[],2,0))</f>
        <v>EL</v>
      </c>
      <c r="L4398" s="150" t="s">
        <v>6435</v>
      </c>
      <c r="M4398" s="159">
        <v>45952</v>
      </c>
      <c r="N4398" s="160"/>
      <c r="O4398" s="160"/>
      <c r="P4398" s="159" t="str">
        <f ca="1">IF(Proc[[#This Row],[DaysAgeing]]&gt;5,"yep","on track")</f>
        <v>yep</v>
      </c>
      <c r="Q4398" s="3">
        <f ca="1">IF(Proc[[#This Row],[DateClosed]]="",ABS(NETWORKDAYS(Proc[[#This Row],[DateOpened]],TODAY()))-1,ABS(NETWORKDAYS(Proc[[#This Row],[DateOpened]],Proc[[#This Row],[DateClosed]]))-1)</f>
        <v>42</v>
      </c>
      <c r="R4398" s="159" t="s">
        <v>6563</v>
      </c>
      <c r="S4398" s="150"/>
    </row>
    <row r="4399" spans="1:19" hidden="1">
      <c r="A4399" s="149" t="s">
        <v>6541</v>
      </c>
      <c r="B4399" s="150" t="str">
        <f>IFERROR(VLOOKUP(Proc[[#This Row],[App]],Table2[],3,0),"open")</f>
        <v>ok</v>
      </c>
      <c r="C4399" s="149" t="s">
        <v>369</v>
      </c>
      <c r="D4399" t="s">
        <v>6544</v>
      </c>
      <c r="E4399" t="s">
        <v>6542</v>
      </c>
      <c r="F4399" s="150" t="s">
        <v>6542</v>
      </c>
      <c r="G4399" s="149" t="s">
        <v>406</v>
      </c>
      <c r="H4399" s="150" t="str">
        <f>IF(Proc[[#This Row],[type]]="LFF (MDG-F)",MID(Proc[[#This Row],[Obj]],13,10),"")</f>
        <v>DE01TAWA04</v>
      </c>
      <c r="J4399" s="150" t="b">
        <f>Proc[[#This Row],[Requested]]=Proc[[#This Row],[CurrentParent]]</f>
        <v>1</v>
      </c>
      <c r="K4399" s="150" t="str">
        <f>IF(Proc[[#This Row],[Author]]="Marcela Urrego",VLOOKUP(LEFT(Proc[[#This Row],[Requested]],1),Table3[#All],2,0),VLOOKUP(Proc[[#This Row],[Author]],Table4[],2,0))</f>
        <v>EL</v>
      </c>
      <c r="L4399" s="150" t="s">
        <v>6435</v>
      </c>
      <c r="M4399" s="159">
        <v>45952</v>
      </c>
      <c r="N4399" s="160"/>
      <c r="O4399" s="160"/>
      <c r="P4399" s="159" t="str">
        <f ca="1">IF(Proc[[#This Row],[DaysAgeing]]&gt;5,"yep","on track")</f>
        <v>yep</v>
      </c>
      <c r="Q4399" s="3">
        <f ca="1">IF(Proc[[#This Row],[DateClosed]]="",ABS(NETWORKDAYS(Proc[[#This Row],[DateOpened]],TODAY()))-1,ABS(NETWORKDAYS(Proc[[#This Row],[DateOpened]],Proc[[#This Row],[DateClosed]]))-1)</f>
        <v>42</v>
      </c>
      <c r="R4399" s="159" t="s">
        <v>6563</v>
      </c>
      <c r="S4399" s="150"/>
    </row>
    <row r="4400" spans="1:19" hidden="1">
      <c r="A4400" s="149" t="s">
        <v>6541</v>
      </c>
      <c r="B4400" s="150" t="str">
        <f>IFERROR(VLOOKUP(Proc[[#This Row],[App]],Table2[],3,0),"open")</f>
        <v>ok</v>
      </c>
      <c r="C4400" s="149" t="s">
        <v>369</v>
      </c>
      <c r="D4400" t="s">
        <v>6545</v>
      </c>
      <c r="E4400" t="s">
        <v>6542</v>
      </c>
      <c r="F4400" s="150" t="s">
        <v>6542</v>
      </c>
      <c r="G4400" s="149" t="s">
        <v>406</v>
      </c>
      <c r="H4400" s="150" t="str">
        <f>IF(Proc[[#This Row],[type]]="LFF (MDG-F)",MID(Proc[[#This Row],[Obj]],13,10),"")</f>
        <v>DE01TAWA10</v>
      </c>
      <c r="J4400" s="150" t="b">
        <f>Proc[[#This Row],[Requested]]=Proc[[#This Row],[CurrentParent]]</f>
        <v>1</v>
      </c>
      <c r="K4400" s="150" t="str">
        <f>IF(Proc[[#This Row],[Author]]="Marcela Urrego",VLOOKUP(LEFT(Proc[[#This Row],[Requested]],1),Table3[#All],2,0),VLOOKUP(Proc[[#This Row],[Author]],Table4[],2,0))</f>
        <v>EL</v>
      </c>
      <c r="L4400" s="150" t="s">
        <v>6435</v>
      </c>
      <c r="M4400" s="159">
        <v>45952</v>
      </c>
      <c r="N4400" s="160"/>
      <c r="O4400" s="160"/>
      <c r="P4400" s="159" t="str">
        <f ca="1">IF(Proc[[#This Row],[DaysAgeing]]&gt;5,"yep","on track")</f>
        <v>yep</v>
      </c>
      <c r="Q4400" s="3">
        <f ca="1">IF(Proc[[#This Row],[DateClosed]]="",ABS(NETWORKDAYS(Proc[[#This Row],[DateOpened]],TODAY()))-1,ABS(NETWORKDAYS(Proc[[#This Row],[DateOpened]],Proc[[#This Row],[DateClosed]]))-1)</f>
        <v>42</v>
      </c>
      <c r="R4400" s="159" t="s">
        <v>6563</v>
      </c>
      <c r="S4400" s="150"/>
    </row>
    <row r="4401" spans="1:19" hidden="1">
      <c r="A4401" s="149" t="s">
        <v>6541</v>
      </c>
      <c r="B4401" s="150" t="str">
        <f>IFERROR(VLOOKUP(Proc[[#This Row],[App]],Table2[],3,0),"open")</f>
        <v>ok</v>
      </c>
      <c r="C4401" s="149" t="s">
        <v>369</v>
      </c>
      <c r="D4401" t="s">
        <v>6546</v>
      </c>
      <c r="E4401" t="s">
        <v>6542</v>
      </c>
      <c r="F4401" s="150" t="s">
        <v>6542</v>
      </c>
      <c r="G4401" s="149" t="s">
        <v>406</v>
      </c>
      <c r="H4401" s="150" t="str">
        <f>IF(Proc[[#This Row],[type]]="LFF (MDG-F)",MID(Proc[[#This Row],[Obj]],13,10),"")</f>
        <v>DE01TAWA20</v>
      </c>
      <c r="J4401" s="150" t="b">
        <f>Proc[[#This Row],[Requested]]=Proc[[#This Row],[CurrentParent]]</f>
        <v>1</v>
      </c>
      <c r="K4401" s="150" t="str">
        <f>IF(Proc[[#This Row],[Author]]="Marcela Urrego",VLOOKUP(LEFT(Proc[[#This Row],[Requested]],1),Table3[#All],2,0),VLOOKUP(Proc[[#This Row],[Author]],Table4[],2,0))</f>
        <v>EL</v>
      </c>
      <c r="L4401" s="150" t="s">
        <v>6435</v>
      </c>
      <c r="M4401" s="159">
        <v>45952</v>
      </c>
      <c r="N4401" s="160"/>
      <c r="O4401" s="160"/>
      <c r="P4401" s="159" t="str">
        <f ca="1">IF(Proc[[#This Row],[DaysAgeing]]&gt;5,"yep","on track")</f>
        <v>yep</v>
      </c>
      <c r="Q4401" s="3">
        <f ca="1">IF(Proc[[#This Row],[DateClosed]]="",ABS(NETWORKDAYS(Proc[[#This Row],[DateOpened]],TODAY()))-1,ABS(NETWORKDAYS(Proc[[#This Row],[DateOpened]],Proc[[#This Row],[DateClosed]]))-1)</f>
        <v>42</v>
      </c>
      <c r="R4401" s="159" t="s">
        <v>6563</v>
      </c>
      <c r="S4401" s="150"/>
    </row>
    <row r="4402" spans="1:19" hidden="1">
      <c r="A4402" s="149" t="s">
        <v>6541</v>
      </c>
      <c r="B4402" s="150" t="str">
        <f>IFERROR(VLOOKUP(Proc[[#This Row],[App]],Table2[],3,0),"open")</f>
        <v>ok</v>
      </c>
      <c r="C4402" s="149" t="s">
        <v>369</v>
      </c>
      <c r="D4402" t="s">
        <v>6547</v>
      </c>
      <c r="E4402" t="s">
        <v>6542</v>
      </c>
      <c r="F4402" s="150" t="s">
        <v>6542</v>
      </c>
      <c r="G4402" s="149" t="s">
        <v>406</v>
      </c>
      <c r="H4402" s="150" t="str">
        <f>IF(Proc[[#This Row],[type]]="LFF (MDG-F)",MID(Proc[[#This Row],[Obj]],13,10),"")</f>
        <v>DE01TAWA31</v>
      </c>
      <c r="J4402" s="150" t="b">
        <f>Proc[[#This Row],[Requested]]=Proc[[#This Row],[CurrentParent]]</f>
        <v>1</v>
      </c>
      <c r="K4402" s="150" t="str">
        <f>IF(Proc[[#This Row],[Author]]="Marcela Urrego",VLOOKUP(LEFT(Proc[[#This Row],[Requested]],1),Table3[#All],2,0),VLOOKUP(Proc[[#This Row],[Author]],Table4[],2,0))</f>
        <v>EL</v>
      </c>
      <c r="L4402" s="150" t="s">
        <v>6435</v>
      </c>
      <c r="M4402" s="159">
        <v>45952</v>
      </c>
      <c r="N4402" s="160"/>
      <c r="O4402" s="160"/>
      <c r="P4402" s="159" t="str">
        <f ca="1">IF(Proc[[#This Row],[DaysAgeing]]&gt;5,"yep","on track")</f>
        <v>yep</v>
      </c>
      <c r="Q4402" s="3">
        <f ca="1">IF(Proc[[#This Row],[DateClosed]]="",ABS(NETWORKDAYS(Proc[[#This Row],[DateOpened]],TODAY()))-1,ABS(NETWORKDAYS(Proc[[#This Row],[DateOpened]],Proc[[#This Row],[DateClosed]]))-1)</f>
        <v>42</v>
      </c>
      <c r="R4402" s="159" t="s">
        <v>6563</v>
      </c>
      <c r="S4402" s="150"/>
    </row>
    <row r="4403" spans="1:19" hidden="1">
      <c r="A4403" s="149" t="s">
        <v>6541</v>
      </c>
      <c r="B4403" s="150" t="str">
        <f>IFERROR(VLOOKUP(Proc[[#This Row],[App]],Table2[],3,0),"open")</f>
        <v>ok</v>
      </c>
      <c r="C4403" s="149" t="s">
        <v>369</v>
      </c>
      <c r="D4403" t="s">
        <v>6548</v>
      </c>
      <c r="E4403" t="s">
        <v>6542</v>
      </c>
      <c r="F4403" s="150" t="s">
        <v>6542</v>
      </c>
      <c r="G4403" s="149" t="s">
        <v>406</v>
      </c>
      <c r="H4403" s="150" t="str">
        <f>IF(Proc[[#This Row],[type]]="LFF (MDG-F)",MID(Proc[[#This Row],[Obj]],13,10),"")</f>
        <v>DE01TAWA32</v>
      </c>
      <c r="J4403" s="150" t="b">
        <f>Proc[[#This Row],[Requested]]=Proc[[#This Row],[CurrentParent]]</f>
        <v>1</v>
      </c>
      <c r="K4403" s="150" t="str">
        <f>IF(Proc[[#This Row],[Author]]="Marcela Urrego",VLOOKUP(LEFT(Proc[[#This Row],[Requested]],1),Table3[#All],2,0),VLOOKUP(Proc[[#This Row],[Author]],Table4[],2,0))</f>
        <v>EL</v>
      </c>
      <c r="L4403" s="150" t="s">
        <v>6435</v>
      </c>
      <c r="M4403" s="159">
        <v>45952</v>
      </c>
      <c r="N4403" s="160"/>
      <c r="O4403" s="160"/>
      <c r="P4403" s="159" t="str">
        <f ca="1">IF(Proc[[#This Row],[DaysAgeing]]&gt;5,"yep","on track")</f>
        <v>yep</v>
      </c>
      <c r="Q4403" s="3">
        <f ca="1">IF(Proc[[#This Row],[DateClosed]]="",ABS(NETWORKDAYS(Proc[[#This Row],[DateOpened]],TODAY()))-1,ABS(NETWORKDAYS(Proc[[#This Row],[DateOpened]],Proc[[#This Row],[DateClosed]]))-1)</f>
        <v>42</v>
      </c>
      <c r="R4403" s="159" t="s">
        <v>6563</v>
      </c>
      <c r="S4403" s="150"/>
    </row>
    <row r="4404" spans="1:19" hidden="1">
      <c r="A4404" s="149" t="s">
        <v>6541</v>
      </c>
      <c r="B4404" s="150" t="str">
        <f>IFERROR(VLOOKUP(Proc[[#This Row],[App]],Table2[],3,0),"open")</f>
        <v>ok</v>
      </c>
      <c r="C4404" s="149" t="s">
        <v>369</v>
      </c>
      <c r="D4404" t="s">
        <v>6549</v>
      </c>
      <c r="E4404" t="s">
        <v>6542</v>
      </c>
      <c r="F4404" s="150" t="s">
        <v>6542</v>
      </c>
      <c r="G4404" s="149" t="s">
        <v>406</v>
      </c>
      <c r="H4404" s="150" t="str">
        <f>IF(Proc[[#This Row],[type]]="LFF (MDG-F)",MID(Proc[[#This Row],[Obj]],13,10),"")</f>
        <v>DE01TAWA40</v>
      </c>
      <c r="J4404" s="150" t="b">
        <f>Proc[[#This Row],[Requested]]=Proc[[#This Row],[CurrentParent]]</f>
        <v>1</v>
      </c>
      <c r="K4404" s="150" t="str">
        <f>IF(Proc[[#This Row],[Author]]="Marcela Urrego",VLOOKUP(LEFT(Proc[[#This Row],[Requested]],1),Table3[#All],2,0),VLOOKUP(Proc[[#This Row],[Author]],Table4[],2,0))</f>
        <v>EL</v>
      </c>
      <c r="L4404" s="150" t="s">
        <v>6435</v>
      </c>
      <c r="M4404" s="159">
        <v>45952</v>
      </c>
      <c r="N4404" s="160"/>
      <c r="O4404" s="160"/>
      <c r="P4404" s="159" t="str">
        <f ca="1">IF(Proc[[#This Row],[DaysAgeing]]&gt;5,"yep","on track")</f>
        <v>yep</v>
      </c>
      <c r="Q4404" s="3">
        <f ca="1">IF(Proc[[#This Row],[DateClosed]]="",ABS(NETWORKDAYS(Proc[[#This Row],[DateOpened]],TODAY()))-1,ABS(NETWORKDAYS(Proc[[#This Row],[DateOpened]],Proc[[#This Row],[DateClosed]]))-1)</f>
        <v>42</v>
      </c>
      <c r="R4404" s="159" t="s">
        <v>6563</v>
      </c>
      <c r="S4404" s="150"/>
    </row>
    <row r="4405" spans="1:19" hidden="1">
      <c r="A4405" s="149" t="s">
        <v>6541</v>
      </c>
      <c r="B4405" s="150" t="str">
        <f>IFERROR(VLOOKUP(Proc[[#This Row],[App]],Table2[],3,0),"open")</f>
        <v>ok</v>
      </c>
      <c r="C4405" s="149" t="s">
        <v>369</v>
      </c>
      <c r="D4405" t="s">
        <v>6550</v>
      </c>
      <c r="E4405" t="s">
        <v>6542</v>
      </c>
      <c r="F4405" s="150" t="s">
        <v>6542</v>
      </c>
      <c r="G4405" s="149" t="s">
        <v>406</v>
      </c>
      <c r="H4405" s="150" t="str">
        <f>IF(Proc[[#This Row],[type]]="LFF (MDG-F)",MID(Proc[[#This Row],[Obj]],13,10),"")</f>
        <v>DE01TAWA50</v>
      </c>
      <c r="J4405" s="150" t="b">
        <f>Proc[[#This Row],[Requested]]=Proc[[#This Row],[CurrentParent]]</f>
        <v>1</v>
      </c>
      <c r="K4405" s="150" t="str">
        <f>IF(Proc[[#This Row],[Author]]="Marcela Urrego",VLOOKUP(LEFT(Proc[[#This Row],[Requested]],1),Table3[#All],2,0),VLOOKUP(Proc[[#This Row],[Author]],Table4[],2,0))</f>
        <v>EL</v>
      </c>
      <c r="L4405" s="150" t="s">
        <v>6435</v>
      </c>
      <c r="M4405" s="159">
        <v>45952</v>
      </c>
      <c r="N4405" s="160"/>
      <c r="O4405" s="160"/>
      <c r="P4405" s="159" t="str">
        <f ca="1">IF(Proc[[#This Row],[DaysAgeing]]&gt;5,"yep","on track")</f>
        <v>yep</v>
      </c>
      <c r="Q4405" s="3">
        <f ca="1">IF(Proc[[#This Row],[DateClosed]]="",ABS(NETWORKDAYS(Proc[[#This Row],[DateOpened]],TODAY()))-1,ABS(NETWORKDAYS(Proc[[#This Row],[DateOpened]],Proc[[#This Row],[DateClosed]]))-1)</f>
        <v>42</v>
      </c>
      <c r="R4405" s="159" t="s">
        <v>6563</v>
      </c>
      <c r="S4405" s="150"/>
    </row>
    <row r="4406" spans="1:19" hidden="1">
      <c r="A4406" s="149" t="s">
        <v>6541</v>
      </c>
      <c r="B4406" s="150" t="str">
        <f>IFERROR(VLOOKUP(Proc[[#This Row],[App]],Table2[],3,0),"open")</f>
        <v>ok</v>
      </c>
      <c r="C4406" s="149" t="s">
        <v>369</v>
      </c>
      <c r="D4406" t="s">
        <v>6551</v>
      </c>
      <c r="E4406" t="s">
        <v>6542</v>
      </c>
      <c r="F4406" s="150" t="s">
        <v>6542</v>
      </c>
      <c r="G4406" s="149" t="s">
        <v>406</v>
      </c>
      <c r="H4406" s="150" t="str">
        <f>IF(Proc[[#This Row],[type]]="LFF (MDG-F)",MID(Proc[[#This Row],[Obj]],13,10),"")</f>
        <v>DE01TAWA53</v>
      </c>
      <c r="J4406" s="150" t="b">
        <f>Proc[[#This Row],[Requested]]=Proc[[#This Row],[CurrentParent]]</f>
        <v>1</v>
      </c>
      <c r="K4406" s="150" t="str">
        <f>IF(Proc[[#This Row],[Author]]="Marcela Urrego",VLOOKUP(LEFT(Proc[[#This Row],[Requested]],1),Table3[#All],2,0),VLOOKUP(Proc[[#This Row],[Author]],Table4[],2,0))</f>
        <v>EL</v>
      </c>
      <c r="L4406" s="150" t="s">
        <v>6435</v>
      </c>
      <c r="M4406" s="159">
        <v>45952</v>
      </c>
      <c r="N4406" s="160"/>
      <c r="O4406" s="160"/>
      <c r="P4406" s="159" t="str">
        <f ca="1">IF(Proc[[#This Row],[DaysAgeing]]&gt;5,"yep","on track")</f>
        <v>yep</v>
      </c>
      <c r="Q4406" s="3">
        <f ca="1">IF(Proc[[#This Row],[DateClosed]]="",ABS(NETWORKDAYS(Proc[[#This Row],[DateOpened]],TODAY()))-1,ABS(NETWORKDAYS(Proc[[#This Row],[DateOpened]],Proc[[#This Row],[DateClosed]]))-1)</f>
        <v>42</v>
      </c>
      <c r="R4406" s="159" t="s">
        <v>6563</v>
      </c>
      <c r="S4406" s="150"/>
    </row>
    <row r="4407" spans="1:19" hidden="1">
      <c r="A4407" s="149" t="s">
        <v>6541</v>
      </c>
      <c r="B4407" s="150" t="str">
        <f>IFERROR(VLOOKUP(Proc[[#This Row],[App]],Table2[],3,0),"open")</f>
        <v>ok</v>
      </c>
      <c r="C4407" s="149" t="s">
        <v>369</v>
      </c>
      <c r="D4407" t="s">
        <v>6552</v>
      </c>
      <c r="E4407" t="s">
        <v>6542</v>
      </c>
      <c r="F4407" s="150" t="s">
        <v>6542</v>
      </c>
      <c r="G4407" s="149" t="s">
        <v>406</v>
      </c>
      <c r="H4407" s="150" t="str">
        <f>IF(Proc[[#This Row],[type]]="LFF (MDG-F)",MID(Proc[[#This Row],[Obj]],13,10),"")</f>
        <v>DE01TAWA61</v>
      </c>
      <c r="J4407" s="150" t="b">
        <f>Proc[[#This Row],[Requested]]=Proc[[#This Row],[CurrentParent]]</f>
        <v>1</v>
      </c>
      <c r="K4407" s="150" t="str">
        <f>IF(Proc[[#This Row],[Author]]="Marcela Urrego",VLOOKUP(LEFT(Proc[[#This Row],[Requested]],1),Table3[#All],2,0),VLOOKUP(Proc[[#This Row],[Author]],Table4[],2,0))</f>
        <v>EL</v>
      </c>
      <c r="L4407" s="150" t="s">
        <v>6435</v>
      </c>
      <c r="M4407" s="159">
        <v>45952</v>
      </c>
      <c r="N4407" s="160"/>
      <c r="O4407" s="160"/>
      <c r="P4407" s="159" t="str">
        <f ca="1">IF(Proc[[#This Row],[DaysAgeing]]&gt;5,"yep","on track")</f>
        <v>yep</v>
      </c>
      <c r="Q4407" s="3">
        <f ca="1">IF(Proc[[#This Row],[DateClosed]]="",ABS(NETWORKDAYS(Proc[[#This Row],[DateOpened]],TODAY()))-1,ABS(NETWORKDAYS(Proc[[#This Row],[DateOpened]],Proc[[#This Row],[DateClosed]]))-1)</f>
        <v>42</v>
      </c>
      <c r="R4407" s="159" t="s">
        <v>6563</v>
      </c>
      <c r="S4407" s="150"/>
    </row>
    <row r="4408" spans="1:19" hidden="1">
      <c r="A4408" s="149" t="s">
        <v>6541</v>
      </c>
      <c r="B4408" s="150" t="str">
        <f>IFERROR(VLOOKUP(Proc[[#This Row],[App]],Table2[],3,0),"open")</f>
        <v>ok</v>
      </c>
      <c r="C4408" s="149" t="s">
        <v>369</v>
      </c>
      <c r="D4408" t="s">
        <v>6553</v>
      </c>
      <c r="E4408" t="s">
        <v>6542</v>
      </c>
      <c r="F4408" s="150" t="s">
        <v>6542</v>
      </c>
      <c r="G4408" s="149" t="s">
        <v>406</v>
      </c>
      <c r="H4408" s="150" t="str">
        <f>IF(Proc[[#This Row],[type]]="LFF (MDG-F)",MID(Proc[[#This Row],[Obj]],13,10),"")</f>
        <v>DE01TAWA62</v>
      </c>
      <c r="J4408" s="150" t="b">
        <f>Proc[[#This Row],[Requested]]=Proc[[#This Row],[CurrentParent]]</f>
        <v>1</v>
      </c>
      <c r="K4408" s="150" t="str">
        <f>IF(Proc[[#This Row],[Author]]="Marcela Urrego",VLOOKUP(LEFT(Proc[[#This Row],[Requested]],1),Table3[#All],2,0),VLOOKUP(Proc[[#This Row],[Author]],Table4[],2,0))</f>
        <v>EL</v>
      </c>
      <c r="L4408" s="150" t="s">
        <v>6435</v>
      </c>
      <c r="M4408" s="159">
        <v>45952</v>
      </c>
      <c r="N4408" s="160"/>
      <c r="O4408" s="160"/>
      <c r="P4408" s="159" t="str">
        <f ca="1">IF(Proc[[#This Row],[DaysAgeing]]&gt;5,"yep","on track")</f>
        <v>yep</v>
      </c>
      <c r="Q4408" s="3">
        <f ca="1">IF(Proc[[#This Row],[DateClosed]]="",ABS(NETWORKDAYS(Proc[[#This Row],[DateOpened]],TODAY()))-1,ABS(NETWORKDAYS(Proc[[#This Row],[DateOpened]],Proc[[#This Row],[DateClosed]]))-1)</f>
        <v>42</v>
      </c>
      <c r="R4408" s="159" t="s">
        <v>6563</v>
      </c>
      <c r="S4408" s="150"/>
    </row>
    <row r="4409" spans="1:19" hidden="1">
      <c r="A4409" s="149" t="s">
        <v>6541</v>
      </c>
      <c r="B4409" s="150" t="str">
        <f>IFERROR(VLOOKUP(Proc[[#This Row],[App]],Table2[],3,0),"open")</f>
        <v>ok</v>
      </c>
      <c r="C4409" s="149" t="s">
        <v>369</v>
      </c>
      <c r="D4409" t="s">
        <v>6554</v>
      </c>
      <c r="E4409" t="s">
        <v>6542</v>
      </c>
      <c r="F4409" s="150" t="s">
        <v>6542</v>
      </c>
      <c r="G4409" s="149" t="s">
        <v>406</v>
      </c>
      <c r="H4409" s="150" t="str">
        <f>IF(Proc[[#This Row],[type]]="LFF (MDG-F)",MID(Proc[[#This Row],[Obj]],13,10),"")</f>
        <v>DE01TAWA63</v>
      </c>
      <c r="J4409" s="150" t="b">
        <f>Proc[[#This Row],[Requested]]=Proc[[#This Row],[CurrentParent]]</f>
        <v>1</v>
      </c>
      <c r="K4409" s="150" t="str">
        <f>IF(Proc[[#This Row],[Author]]="Marcela Urrego",VLOOKUP(LEFT(Proc[[#This Row],[Requested]],1),Table3[#All],2,0),VLOOKUP(Proc[[#This Row],[Author]],Table4[],2,0))</f>
        <v>EL</v>
      </c>
      <c r="L4409" s="150" t="s">
        <v>6435</v>
      </c>
      <c r="M4409" s="159">
        <v>45952</v>
      </c>
      <c r="N4409" s="160"/>
      <c r="O4409" s="160"/>
      <c r="P4409" s="159" t="str">
        <f ca="1">IF(Proc[[#This Row],[DaysAgeing]]&gt;5,"yep","on track")</f>
        <v>yep</v>
      </c>
      <c r="Q4409" s="3">
        <f ca="1">IF(Proc[[#This Row],[DateClosed]]="",ABS(NETWORKDAYS(Proc[[#This Row],[DateOpened]],TODAY()))-1,ABS(NETWORKDAYS(Proc[[#This Row],[DateOpened]],Proc[[#This Row],[DateClosed]]))-1)</f>
        <v>42</v>
      </c>
      <c r="R4409" s="159" t="s">
        <v>6563</v>
      </c>
      <c r="S4409" s="150"/>
    </row>
    <row r="4410" spans="1:19" hidden="1">
      <c r="A4410" s="149" t="s">
        <v>6541</v>
      </c>
      <c r="B4410" s="150" t="str">
        <f>IFERROR(VLOOKUP(Proc[[#This Row],[App]],Table2[],3,0),"open")</f>
        <v>ok</v>
      </c>
      <c r="C4410" s="149" t="s">
        <v>369</v>
      </c>
      <c r="D4410" t="s">
        <v>6555</v>
      </c>
      <c r="E4410" t="s">
        <v>6542</v>
      </c>
      <c r="F4410" s="150" t="s">
        <v>6542</v>
      </c>
      <c r="G4410" s="149" t="s">
        <v>406</v>
      </c>
      <c r="H4410" s="150" t="str">
        <f>IF(Proc[[#This Row],[type]]="LFF (MDG-F)",MID(Proc[[#This Row],[Obj]],13,10),"")</f>
        <v>DE01TAWA64</v>
      </c>
      <c r="J4410" s="150" t="b">
        <f>Proc[[#This Row],[Requested]]=Proc[[#This Row],[CurrentParent]]</f>
        <v>1</v>
      </c>
      <c r="K4410" s="150" t="str">
        <f>IF(Proc[[#This Row],[Author]]="Marcela Urrego",VLOOKUP(LEFT(Proc[[#This Row],[Requested]],1),Table3[#All],2,0),VLOOKUP(Proc[[#This Row],[Author]],Table4[],2,0))</f>
        <v>EL</v>
      </c>
      <c r="L4410" s="150" t="s">
        <v>6435</v>
      </c>
      <c r="M4410" s="159">
        <v>45952</v>
      </c>
      <c r="N4410" s="160"/>
      <c r="O4410" s="160"/>
      <c r="P4410" s="159" t="str">
        <f ca="1">IF(Proc[[#This Row],[DaysAgeing]]&gt;5,"yep","on track")</f>
        <v>yep</v>
      </c>
      <c r="Q4410" s="3">
        <f ca="1">IF(Proc[[#This Row],[DateClosed]]="",ABS(NETWORKDAYS(Proc[[#This Row],[DateOpened]],TODAY()))-1,ABS(NETWORKDAYS(Proc[[#This Row],[DateOpened]],Proc[[#This Row],[DateClosed]]))-1)</f>
        <v>42</v>
      </c>
      <c r="R4410" s="159" t="s">
        <v>6563</v>
      </c>
      <c r="S4410" s="150"/>
    </row>
    <row r="4411" spans="1:19" hidden="1">
      <c r="A4411" s="149" t="s">
        <v>6541</v>
      </c>
      <c r="B4411" s="150" t="str">
        <f>IFERROR(VLOOKUP(Proc[[#This Row],[App]],Table2[],3,0),"open")</f>
        <v>ok</v>
      </c>
      <c r="C4411" s="149" t="s">
        <v>369</v>
      </c>
      <c r="D4411" t="s">
        <v>6556</v>
      </c>
      <c r="E4411" t="s">
        <v>6542</v>
      </c>
      <c r="F4411" s="150" t="s">
        <v>6542</v>
      </c>
      <c r="G4411" s="149" t="s">
        <v>406</v>
      </c>
      <c r="H4411" s="150" t="str">
        <f>IF(Proc[[#This Row],[type]]="LFF (MDG-F)",MID(Proc[[#This Row],[Obj]],13,10),"")</f>
        <v>DE01TAWA70</v>
      </c>
      <c r="J4411" s="150" t="b">
        <f>Proc[[#This Row],[Requested]]=Proc[[#This Row],[CurrentParent]]</f>
        <v>1</v>
      </c>
      <c r="K4411" s="150" t="str">
        <f>IF(Proc[[#This Row],[Author]]="Marcela Urrego",VLOOKUP(LEFT(Proc[[#This Row],[Requested]],1),Table3[#All],2,0),VLOOKUP(Proc[[#This Row],[Author]],Table4[],2,0))</f>
        <v>EL</v>
      </c>
      <c r="L4411" s="150" t="s">
        <v>6435</v>
      </c>
      <c r="M4411" s="159">
        <v>45952</v>
      </c>
      <c r="N4411" s="160"/>
      <c r="O4411" s="160"/>
      <c r="P4411" s="159" t="str">
        <f ca="1">IF(Proc[[#This Row],[DaysAgeing]]&gt;5,"yep","on track")</f>
        <v>yep</v>
      </c>
      <c r="Q4411" s="3">
        <f ca="1">IF(Proc[[#This Row],[DateClosed]]="",ABS(NETWORKDAYS(Proc[[#This Row],[DateOpened]],TODAY()))-1,ABS(NETWORKDAYS(Proc[[#This Row],[DateOpened]],Proc[[#This Row],[DateClosed]]))-1)</f>
        <v>42</v>
      </c>
      <c r="R4411" s="159" t="s">
        <v>6563</v>
      </c>
      <c r="S4411" s="150"/>
    </row>
    <row r="4412" spans="1:19" hidden="1">
      <c r="A4412" s="149" t="s">
        <v>6541</v>
      </c>
      <c r="B4412" s="150" t="str">
        <f>IFERROR(VLOOKUP(Proc[[#This Row],[App]],Table2[],3,0),"open")</f>
        <v>ok</v>
      </c>
      <c r="C4412" s="149" t="s">
        <v>369</v>
      </c>
      <c r="D4412" t="s">
        <v>6557</v>
      </c>
      <c r="E4412" t="s">
        <v>6542</v>
      </c>
      <c r="F4412" s="150" t="s">
        <v>6542</v>
      </c>
      <c r="G4412" s="149" t="s">
        <v>406</v>
      </c>
      <c r="H4412" s="150" t="str">
        <f>IF(Proc[[#This Row],[type]]="LFF (MDG-F)",MID(Proc[[#This Row],[Obj]],13,10),"")</f>
        <v>DE01TAWA73</v>
      </c>
      <c r="J4412" s="150" t="b">
        <f>Proc[[#This Row],[Requested]]=Proc[[#This Row],[CurrentParent]]</f>
        <v>1</v>
      </c>
      <c r="K4412" s="150" t="str">
        <f>IF(Proc[[#This Row],[Author]]="Marcela Urrego",VLOOKUP(LEFT(Proc[[#This Row],[Requested]],1),Table3[#All],2,0),VLOOKUP(Proc[[#This Row],[Author]],Table4[],2,0))</f>
        <v>EL</v>
      </c>
      <c r="L4412" s="150" t="s">
        <v>6435</v>
      </c>
      <c r="M4412" s="159">
        <v>45952</v>
      </c>
      <c r="N4412" s="160"/>
      <c r="O4412" s="160"/>
      <c r="P4412" s="159" t="str">
        <f ca="1">IF(Proc[[#This Row],[DaysAgeing]]&gt;5,"yep","on track")</f>
        <v>yep</v>
      </c>
      <c r="Q4412" s="3">
        <f ca="1">IF(Proc[[#This Row],[DateClosed]]="",ABS(NETWORKDAYS(Proc[[#This Row],[DateOpened]],TODAY()))-1,ABS(NETWORKDAYS(Proc[[#This Row],[DateOpened]],Proc[[#This Row],[DateClosed]]))-1)</f>
        <v>42</v>
      </c>
      <c r="R4412" s="159" t="s">
        <v>6563</v>
      </c>
      <c r="S4412" s="150"/>
    </row>
    <row r="4413" spans="1:19" hidden="1">
      <c r="A4413" s="149" t="s">
        <v>6541</v>
      </c>
      <c r="B4413" s="150" t="str">
        <f>IFERROR(VLOOKUP(Proc[[#This Row],[App]],Table2[],3,0),"open")</f>
        <v>ok</v>
      </c>
      <c r="C4413" s="149" t="s">
        <v>369</v>
      </c>
      <c r="D4413" t="s">
        <v>6558</v>
      </c>
      <c r="E4413" t="s">
        <v>6542</v>
      </c>
      <c r="F4413" s="150" t="s">
        <v>6542</v>
      </c>
      <c r="G4413" s="149" t="s">
        <v>406</v>
      </c>
      <c r="H4413" s="150" t="str">
        <f>IF(Proc[[#This Row],[type]]="LFF (MDG-F)",MID(Proc[[#This Row],[Obj]],13,10),"")</f>
        <v>DE01TAWA74</v>
      </c>
      <c r="J4413" s="150" t="b">
        <f>Proc[[#This Row],[Requested]]=Proc[[#This Row],[CurrentParent]]</f>
        <v>1</v>
      </c>
      <c r="K4413" s="150" t="str">
        <f>IF(Proc[[#This Row],[Author]]="Marcela Urrego",VLOOKUP(LEFT(Proc[[#This Row],[Requested]],1),Table3[#All],2,0),VLOOKUP(Proc[[#This Row],[Author]],Table4[],2,0))</f>
        <v>EL</v>
      </c>
      <c r="L4413" s="150" t="s">
        <v>6435</v>
      </c>
      <c r="M4413" s="159">
        <v>45952</v>
      </c>
      <c r="N4413" s="160"/>
      <c r="O4413" s="160"/>
      <c r="P4413" s="159" t="str">
        <f ca="1">IF(Proc[[#This Row],[DaysAgeing]]&gt;5,"yep","on track")</f>
        <v>yep</v>
      </c>
      <c r="Q4413" s="3">
        <f ca="1">IF(Proc[[#This Row],[DateClosed]]="",ABS(NETWORKDAYS(Proc[[#This Row],[DateOpened]],TODAY()))-1,ABS(NETWORKDAYS(Proc[[#This Row],[DateOpened]],Proc[[#This Row],[DateClosed]]))-1)</f>
        <v>42</v>
      </c>
      <c r="R4413" s="159" t="s">
        <v>6563</v>
      </c>
      <c r="S4413" s="150"/>
    </row>
    <row r="4414" spans="1:19" hidden="1">
      <c r="A4414" s="149" t="s">
        <v>6541</v>
      </c>
      <c r="B4414" s="150" t="str">
        <f>IFERROR(VLOOKUP(Proc[[#This Row],[App]],Table2[],3,0),"open")</f>
        <v>ok</v>
      </c>
      <c r="C4414" s="149" t="s">
        <v>369</v>
      </c>
      <c r="D4414" t="s">
        <v>6559</v>
      </c>
      <c r="E4414" t="s">
        <v>6542</v>
      </c>
      <c r="F4414" s="150" t="s">
        <v>6542</v>
      </c>
      <c r="G4414" s="149" t="s">
        <v>406</v>
      </c>
      <c r="H4414" s="150" t="str">
        <f>IF(Proc[[#This Row],[type]]="LFF (MDG-F)",MID(Proc[[#This Row],[Obj]],13,10),"")</f>
        <v>DE01TAWA80</v>
      </c>
      <c r="J4414" s="150" t="b">
        <f>Proc[[#This Row],[Requested]]=Proc[[#This Row],[CurrentParent]]</f>
        <v>1</v>
      </c>
      <c r="K4414" s="150" t="str">
        <f>IF(Proc[[#This Row],[Author]]="Marcela Urrego",VLOOKUP(LEFT(Proc[[#This Row],[Requested]],1),Table3[#All],2,0),VLOOKUP(Proc[[#This Row],[Author]],Table4[],2,0))</f>
        <v>EL</v>
      </c>
      <c r="L4414" s="150" t="s">
        <v>6435</v>
      </c>
      <c r="M4414" s="159">
        <v>45952</v>
      </c>
      <c r="N4414" s="160"/>
      <c r="O4414" s="160"/>
      <c r="P4414" s="159" t="str">
        <f ca="1">IF(Proc[[#This Row],[DaysAgeing]]&gt;5,"yep","on track")</f>
        <v>yep</v>
      </c>
      <c r="Q4414" s="3">
        <f ca="1">IF(Proc[[#This Row],[DateClosed]]="",ABS(NETWORKDAYS(Proc[[#This Row],[DateOpened]],TODAY()))-1,ABS(NETWORKDAYS(Proc[[#This Row],[DateOpened]],Proc[[#This Row],[DateClosed]]))-1)</f>
        <v>42</v>
      </c>
      <c r="R4414" s="159" t="s">
        <v>6563</v>
      </c>
      <c r="S4414" s="150"/>
    </row>
    <row r="4415" spans="1:19" hidden="1">
      <c r="A4415" s="149" t="s">
        <v>6541</v>
      </c>
      <c r="B4415" s="150" t="str">
        <f>IFERROR(VLOOKUP(Proc[[#This Row],[App]],Table2[],3,0),"open")</f>
        <v>ok</v>
      </c>
      <c r="C4415" s="149" t="s">
        <v>369</v>
      </c>
      <c r="D4415" t="s">
        <v>6560</v>
      </c>
      <c r="E4415" t="s">
        <v>6542</v>
      </c>
      <c r="F4415" s="150" t="s">
        <v>6542</v>
      </c>
      <c r="G4415" s="149" t="s">
        <v>406</v>
      </c>
      <c r="H4415" s="150" t="str">
        <f>IF(Proc[[#This Row],[type]]="LFF (MDG-F)",MID(Proc[[#This Row],[Obj]],13,10),"")</f>
        <v>DE01TAWA84</v>
      </c>
      <c r="J4415" s="150" t="b">
        <f>Proc[[#This Row],[Requested]]=Proc[[#This Row],[CurrentParent]]</f>
        <v>1</v>
      </c>
      <c r="K4415" s="150" t="str">
        <f>IF(Proc[[#This Row],[Author]]="Marcela Urrego",VLOOKUP(LEFT(Proc[[#This Row],[Requested]],1),Table3[#All],2,0),VLOOKUP(Proc[[#This Row],[Author]],Table4[],2,0))</f>
        <v>EL</v>
      </c>
      <c r="L4415" s="150" t="s">
        <v>6435</v>
      </c>
      <c r="M4415" s="159">
        <v>45952</v>
      </c>
      <c r="N4415" s="160"/>
      <c r="O4415" s="160"/>
      <c r="P4415" s="159" t="str">
        <f ca="1">IF(Proc[[#This Row],[DaysAgeing]]&gt;5,"yep","on track")</f>
        <v>yep</v>
      </c>
      <c r="Q4415" s="3">
        <f ca="1">IF(Proc[[#This Row],[DateClosed]]="",ABS(NETWORKDAYS(Proc[[#This Row],[DateOpened]],TODAY()))-1,ABS(NETWORKDAYS(Proc[[#This Row],[DateOpened]],Proc[[#This Row],[DateClosed]]))-1)</f>
        <v>42</v>
      </c>
      <c r="R4415" s="159" t="s">
        <v>6563</v>
      </c>
      <c r="S4415" s="150"/>
    </row>
    <row r="4416" spans="1:19" hidden="1">
      <c r="A4416" s="149" t="s">
        <v>6541</v>
      </c>
      <c r="B4416" s="150" t="str">
        <f>IFERROR(VLOOKUP(Proc[[#This Row],[App]],Table2[],3,0),"open")</f>
        <v>ok</v>
      </c>
      <c r="C4416" s="149" t="s">
        <v>369</v>
      </c>
      <c r="D4416" t="s">
        <v>6561</v>
      </c>
      <c r="E4416" t="s">
        <v>6542</v>
      </c>
      <c r="F4416" s="150" t="s">
        <v>6542</v>
      </c>
      <c r="G4416" s="149" t="s">
        <v>406</v>
      </c>
      <c r="H4416" s="150" t="str">
        <f>IF(Proc[[#This Row],[type]]="LFF (MDG-F)",MID(Proc[[#This Row],[Obj]],13,10),"")</f>
        <v>DE01TAWA90</v>
      </c>
      <c r="J4416" s="150" t="b">
        <f>Proc[[#This Row],[Requested]]=Proc[[#This Row],[CurrentParent]]</f>
        <v>1</v>
      </c>
      <c r="K4416" s="150" t="str">
        <f>IF(Proc[[#This Row],[Author]]="Marcela Urrego",VLOOKUP(LEFT(Proc[[#This Row],[Requested]],1),Table3[#All],2,0),VLOOKUP(Proc[[#This Row],[Author]],Table4[],2,0))</f>
        <v>EL</v>
      </c>
      <c r="L4416" s="150" t="s">
        <v>6435</v>
      </c>
      <c r="M4416" s="159">
        <v>45952</v>
      </c>
      <c r="N4416" s="160"/>
      <c r="O4416" s="160"/>
      <c r="P4416" s="159" t="str">
        <f ca="1">IF(Proc[[#This Row],[DaysAgeing]]&gt;5,"yep","on track")</f>
        <v>yep</v>
      </c>
      <c r="Q4416" s="3">
        <f ca="1">IF(Proc[[#This Row],[DateClosed]]="",ABS(NETWORKDAYS(Proc[[#This Row],[DateOpened]],TODAY()))-1,ABS(NETWORKDAYS(Proc[[#This Row],[DateOpened]],Proc[[#This Row],[DateClosed]]))-1)</f>
        <v>42</v>
      </c>
      <c r="R4416" s="159" t="s">
        <v>6563</v>
      </c>
      <c r="S4416" s="150"/>
    </row>
    <row r="4417" spans="1:19" hidden="1">
      <c r="A4417" s="149" t="s">
        <v>6541</v>
      </c>
      <c r="B4417" s="150" t="str">
        <f>IFERROR(VLOOKUP(Proc[[#This Row],[App]],Table2[],3,0),"open")</f>
        <v>ok</v>
      </c>
      <c r="C4417" s="149" t="s">
        <v>369</v>
      </c>
      <c r="D4417" t="s">
        <v>6562</v>
      </c>
      <c r="E4417" t="s">
        <v>6542</v>
      </c>
      <c r="F4417" s="150" t="s">
        <v>6542</v>
      </c>
      <c r="G4417" s="149" t="s">
        <v>406</v>
      </c>
      <c r="H4417" s="150" t="str">
        <f>IF(Proc[[#This Row],[type]]="LFF (MDG-F)",MID(Proc[[#This Row],[Obj]],13,10),"")</f>
        <v>DE01TAWA93</v>
      </c>
      <c r="J4417" s="150" t="b">
        <f>Proc[[#This Row],[Requested]]=Proc[[#This Row],[CurrentParent]]</f>
        <v>1</v>
      </c>
      <c r="K4417" s="150" t="str">
        <f>IF(Proc[[#This Row],[Author]]="Marcela Urrego",VLOOKUP(LEFT(Proc[[#This Row],[Requested]],1),Table3[#All],2,0),VLOOKUP(Proc[[#This Row],[Author]],Table4[],2,0))</f>
        <v>EL</v>
      </c>
      <c r="L4417" s="150" t="s">
        <v>6435</v>
      </c>
      <c r="M4417" s="159">
        <v>45952</v>
      </c>
      <c r="N4417" s="160"/>
      <c r="O4417" s="160"/>
      <c r="P4417" s="159" t="str">
        <f ca="1">IF(Proc[[#This Row],[DaysAgeing]]&gt;5,"yep","on track")</f>
        <v>yep</v>
      </c>
      <c r="Q4417" s="3">
        <f ca="1">IF(Proc[[#This Row],[DateClosed]]="",ABS(NETWORKDAYS(Proc[[#This Row],[DateOpened]],TODAY()))-1,ABS(NETWORKDAYS(Proc[[#This Row],[DateOpened]],Proc[[#This Row],[DateClosed]]))-1)</f>
        <v>42</v>
      </c>
      <c r="R4417" s="159" t="s">
        <v>6563</v>
      </c>
      <c r="S4417" s="150"/>
    </row>
    <row r="4418" spans="1:19" hidden="1">
      <c r="A4418" t="s">
        <v>6564</v>
      </c>
      <c r="B4418" s="150" t="str">
        <f>IFERROR(VLOOKUP(Proc[[#This Row],[App]],Table2[],3,0),"open")</f>
        <v>ok</v>
      </c>
      <c r="C4418" s="149" t="s">
        <v>369</v>
      </c>
      <c r="D4418" t="s">
        <v>6568</v>
      </c>
      <c r="E4418" t="s">
        <v>6565</v>
      </c>
      <c r="F4418" s="150" t="s">
        <v>6565</v>
      </c>
      <c r="G4418" s="149" t="s">
        <v>400</v>
      </c>
      <c r="H4418" s="150" t="str">
        <f>IF(Proc[[#This Row],[type]]="LFF (MDG-F)",MID(Proc[[#This Row],[Obj]],13,10),"")</f>
        <v/>
      </c>
      <c r="J4418" s="150" t="b">
        <f>Proc[[#This Row],[Requested]]=Proc[[#This Row],[CurrentParent]]</f>
        <v>1</v>
      </c>
      <c r="K4418" s="150" t="str">
        <f>IF(Proc[[#This Row],[Author]]="Marcela Urrego",VLOOKUP(LEFT(Proc[[#This Row],[Requested]],1),Table3[#All],2,0),VLOOKUP(Proc[[#This Row],[Author]],Table4[],2,0))</f>
        <v>HC</v>
      </c>
      <c r="L4418" s="150" t="s">
        <v>6435</v>
      </c>
      <c r="M4418" s="159">
        <v>45952</v>
      </c>
      <c r="N4418" s="160"/>
      <c r="O4418" s="160"/>
      <c r="P4418" s="159" t="str">
        <f ca="1">IF(Proc[[#This Row],[DaysAgeing]]&gt;5,"yep","on track")</f>
        <v>yep</v>
      </c>
      <c r="Q4418" s="3">
        <f ca="1">IF(Proc[[#This Row],[DateClosed]]="",ABS(NETWORKDAYS(Proc[[#This Row],[DateOpened]],TODAY()))-1,ABS(NETWORKDAYS(Proc[[#This Row],[DateOpened]],Proc[[#This Row],[DateClosed]]))-1)</f>
        <v>42</v>
      </c>
      <c r="R4418" s="159" t="s">
        <v>498</v>
      </c>
      <c r="S4418" s="150"/>
    </row>
    <row r="4419" spans="1:19" hidden="1">
      <c r="A4419" s="149" t="s">
        <v>6564</v>
      </c>
      <c r="B4419" s="150" t="str">
        <f>IFERROR(VLOOKUP(Proc[[#This Row],[App]],Table2[],3,0),"open")</f>
        <v>ok</v>
      </c>
      <c r="C4419" s="149" t="s">
        <v>369</v>
      </c>
      <c r="D4419" t="s">
        <v>6569</v>
      </c>
      <c r="E4419" t="s">
        <v>6566</v>
      </c>
      <c r="F4419" s="150" t="s">
        <v>6566</v>
      </c>
      <c r="G4419" s="149" t="s">
        <v>400</v>
      </c>
      <c r="H4419" s="150" t="str">
        <f>IF(Proc[[#This Row],[type]]="LFF (MDG-F)",MID(Proc[[#This Row],[Obj]],13,10),"")</f>
        <v/>
      </c>
      <c r="J4419" s="150" t="b">
        <f>Proc[[#This Row],[Requested]]=Proc[[#This Row],[CurrentParent]]</f>
        <v>1</v>
      </c>
      <c r="K4419" s="150" t="str">
        <f>IF(Proc[[#This Row],[Author]]="Marcela Urrego",VLOOKUP(LEFT(Proc[[#This Row],[Requested]],1),Table3[#All],2,0),VLOOKUP(Proc[[#This Row],[Author]],Table4[],2,0))</f>
        <v>HC</v>
      </c>
      <c r="L4419" s="150" t="s">
        <v>6435</v>
      </c>
      <c r="M4419" s="159">
        <v>45952</v>
      </c>
      <c r="N4419" s="160"/>
      <c r="O4419" s="160"/>
      <c r="P4419" s="159" t="str">
        <f ca="1">IF(Proc[[#This Row],[DaysAgeing]]&gt;5,"yep","on track")</f>
        <v>yep</v>
      </c>
      <c r="Q4419" s="3">
        <f ca="1">IF(Proc[[#This Row],[DateClosed]]="",ABS(NETWORKDAYS(Proc[[#This Row],[DateOpened]],TODAY()))-1,ABS(NETWORKDAYS(Proc[[#This Row],[DateOpened]],Proc[[#This Row],[DateClosed]]))-1)</f>
        <v>42</v>
      </c>
      <c r="R4419" s="159" t="s">
        <v>498</v>
      </c>
      <c r="S4419" s="150"/>
    </row>
    <row r="4420" spans="1:19" hidden="1">
      <c r="A4420" s="149" t="s">
        <v>6564</v>
      </c>
      <c r="B4420" s="150" t="str">
        <f>IFERROR(VLOOKUP(Proc[[#This Row],[App]],Table2[],3,0),"open")</f>
        <v>ok</v>
      </c>
      <c r="C4420" s="149" t="s">
        <v>369</v>
      </c>
      <c r="D4420" t="s">
        <v>6570</v>
      </c>
      <c r="E4420" t="s">
        <v>6567</v>
      </c>
      <c r="F4420" s="150" t="s">
        <v>6567</v>
      </c>
      <c r="G4420" s="149" t="s">
        <v>400</v>
      </c>
      <c r="H4420" s="150" t="str">
        <f>IF(Proc[[#This Row],[type]]="LFF (MDG-F)",MID(Proc[[#This Row],[Obj]],13,10),"")</f>
        <v/>
      </c>
      <c r="J4420" s="150" t="b">
        <f>Proc[[#This Row],[Requested]]=Proc[[#This Row],[CurrentParent]]</f>
        <v>1</v>
      </c>
      <c r="K4420" s="150" t="str">
        <f>IF(Proc[[#This Row],[Author]]="Marcela Urrego",VLOOKUP(LEFT(Proc[[#This Row],[Requested]],1),Table3[#All],2,0),VLOOKUP(Proc[[#This Row],[Author]],Table4[],2,0))</f>
        <v>HC</v>
      </c>
      <c r="L4420" s="150" t="s">
        <v>6435</v>
      </c>
      <c r="M4420" s="159">
        <v>45952</v>
      </c>
      <c r="N4420" s="160"/>
      <c r="O4420" s="160"/>
      <c r="P4420" s="159" t="str">
        <f ca="1">IF(Proc[[#This Row],[DaysAgeing]]&gt;5,"yep","on track")</f>
        <v>yep</v>
      </c>
      <c r="Q4420" s="3">
        <f ca="1">IF(Proc[[#This Row],[DateClosed]]="",ABS(NETWORKDAYS(Proc[[#This Row],[DateOpened]],TODAY()))-1,ABS(NETWORKDAYS(Proc[[#This Row],[DateOpened]],Proc[[#This Row],[DateClosed]]))-1)</f>
        <v>42</v>
      </c>
      <c r="R4420" s="159" t="s">
        <v>498</v>
      </c>
      <c r="S4420" s="150"/>
    </row>
    <row r="4421" spans="1:19" hidden="1">
      <c r="A4421" t="s">
        <v>6572</v>
      </c>
      <c r="B4421" s="150" t="str">
        <f>IFERROR(VLOOKUP(Proc[[#This Row],[App]],Table2[],3,0),"open")</f>
        <v>ok</v>
      </c>
      <c r="C4421" t="s">
        <v>369</v>
      </c>
      <c r="D4421" t="s">
        <v>6571</v>
      </c>
      <c r="E4421" t="s">
        <v>784</v>
      </c>
      <c r="F4421" s="150" t="s">
        <v>784</v>
      </c>
      <c r="G4421" s="149" t="s">
        <v>406</v>
      </c>
      <c r="H4421" s="150" t="str">
        <f>IF(Proc[[#This Row],[type]]="LFF (MDG-F)",MID(Proc[[#This Row],[Obj]],13,10),"")</f>
        <v>JP03L3M303</v>
      </c>
      <c r="J4421" s="150" t="b">
        <f>Proc[[#This Row],[Requested]]=Proc[[#This Row],[CurrentParent]]</f>
        <v>1</v>
      </c>
      <c r="K4421" s="150" t="str">
        <f>IF(Proc[[#This Row],[Author]]="Marcela Urrego",VLOOKUP(LEFT(Proc[[#This Row],[Requested]],1),Table3[#All],2,0),VLOOKUP(Proc[[#This Row],[Author]],Table4[],2,0))</f>
        <v>MGF</v>
      </c>
      <c r="L4421" s="150" t="s">
        <v>6435</v>
      </c>
      <c r="M4421" s="159">
        <v>45953</v>
      </c>
      <c r="N4421" s="160"/>
      <c r="O4421" s="160"/>
      <c r="P4421" s="159" t="str">
        <f ca="1">IF(Proc[[#This Row],[DaysAgeing]]&gt;5,"yep","on track")</f>
        <v>yep</v>
      </c>
      <c r="Q4421" s="3">
        <f ca="1">IF(Proc[[#This Row],[DateClosed]]="",ABS(NETWORKDAYS(Proc[[#This Row],[DateOpened]],TODAY()))-1,ABS(NETWORKDAYS(Proc[[#This Row],[DateOpened]],Proc[[#This Row],[DateClosed]]))-1)</f>
        <v>41</v>
      </c>
      <c r="R4421" s="159" t="s">
        <v>6573</v>
      </c>
      <c r="S4421" s="150"/>
    </row>
    <row r="4422" spans="1:19" hidden="1">
      <c r="A4422" t="s">
        <v>6574</v>
      </c>
      <c r="B4422" s="150" t="str">
        <f>IFERROR(VLOOKUP(Proc[[#This Row],[App]],Table2[],3,0),"open")</f>
        <v>ok</v>
      </c>
      <c r="C4422" t="s">
        <v>369</v>
      </c>
      <c r="D4422" t="s">
        <v>6600</v>
      </c>
      <c r="E4422" t="s">
        <v>4914</v>
      </c>
      <c r="F4422" s="150" t="s">
        <v>4914</v>
      </c>
      <c r="G4422" t="s">
        <v>400</v>
      </c>
      <c r="H4422" s="150" t="str">
        <f>IF(Proc[[#This Row],[type]]="LFF (MDG-F)",MID(Proc[[#This Row],[Obj]],13,10),"")</f>
        <v/>
      </c>
      <c r="J4422" s="150" t="b">
        <f>Proc[[#This Row],[Requested]]=Proc[[#This Row],[CurrentParent]]</f>
        <v>1</v>
      </c>
      <c r="K4422" s="150" t="str">
        <f>IF(Proc[[#This Row],[Author]]="Marcela Urrego",VLOOKUP(LEFT(Proc[[#This Row],[Requested]],1),Table3[#All],2,0),VLOOKUP(Proc[[#This Row],[Author]],Table4[],2,0))</f>
        <v>HC</v>
      </c>
      <c r="L4422" s="150" t="s">
        <v>6435</v>
      </c>
      <c r="M4422" s="160">
        <v>45954</v>
      </c>
      <c r="N4422" s="160"/>
      <c r="O4422" s="160"/>
      <c r="P4422" s="161" t="str">
        <f ca="1">IF(Proc[[#This Row],[DaysAgeing]]&gt;5,"yep","on track")</f>
        <v>yep</v>
      </c>
      <c r="Q4422" s="3">
        <f ca="1">IF(Proc[[#This Row],[DateClosed]]="",ABS(NETWORKDAYS(Proc[[#This Row],[DateOpened]],TODAY()))-1,ABS(NETWORKDAYS(Proc[[#This Row],[DateOpened]],Proc[[#This Row],[DateClosed]]))-1)</f>
        <v>40</v>
      </c>
      <c r="R4422" s="161" t="s">
        <v>764</v>
      </c>
      <c r="S4422" s="150"/>
    </row>
    <row r="4423" spans="1:19" hidden="1">
      <c r="A4423" t="s">
        <v>6599</v>
      </c>
      <c r="B4423" s="150" t="str">
        <f>IFERROR(VLOOKUP(Proc[[#This Row],[App]],Table2[],3,0),"open")</f>
        <v>ok</v>
      </c>
      <c r="C4423" t="s">
        <v>369</v>
      </c>
      <c r="D4423" t="s">
        <v>6575</v>
      </c>
      <c r="E4423" t="s">
        <v>6601</v>
      </c>
      <c r="F4423" s="150" t="s">
        <v>6601</v>
      </c>
      <c r="G4423" t="s">
        <v>406</v>
      </c>
      <c r="H4423" s="150" t="str">
        <f>IF(Proc[[#This Row],[type]]="LFF (MDG-F)",MID(Proc[[#This Row],[Obj]],13,10),"")</f>
        <v>DE01TQWI03</v>
      </c>
      <c r="J4423" s="150" t="b">
        <f>Proc[[#This Row],[Requested]]=Proc[[#This Row],[CurrentParent]]</f>
        <v>1</v>
      </c>
      <c r="K4423" s="150" t="str">
        <f>IF(Proc[[#This Row],[Author]]="Marcela Urrego",VLOOKUP(LEFT(Proc[[#This Row],[Requested]],1),Table3[#All],2,0),VLOOKUP(Proc[[#This Row],[Author]],Table4[],2,0))</f>
        <v>EL</v>
      </c>
      <c r="L4423" s="150" t="s">
        <v>6435</v>
      </c>
      <c r="M4423" s="160">
        <v>45957</v>
      </c>
      <c r="N4423" s="160"/>
      <c r="O4423" s="160"/>
      <c r="P4423" s="161" t="str">
        <f ca="1">IF(Proc[[#This Row],[DaysAgeing]]&gt;5,"yep","on track")</f>
        <v>yep</v>
      </c>
      <c r="Q4423" s="3">
        <f ca="1">IF(Proc[[#This Row],[DateClosed]]="",ABS(NETWORKDAYS(Proc[[#This Row],[DateOpened]],TODAY()))-1,ABS(NETWORKDAYS(Proc[[#This Row],[DateOpened]],Proc[[#This Row],[DateClosed]]))-1)</f>
        <v>39</v>
      </c>
      <c r="R4423" s="161" t="s">
        <v>5709</v>
      </c>
      <c r="S4423" s="150"/>
    </row>
    <row r="4424" spans="1:19" hidden="1">
      <c r="A4424" t="s">
        <v>6599</v>
      </c>
      <c r="B4424" s="150" t="str">
        <f>IFERROR(VLOOKUP(Proc[[#This Row],[App]],Table2[],3,0),"open")</f>
        <v>ok</v>
      </c>
      <c r="C4424" s="149" t="s">
        <v>369</v>
      </c>
      <c r="D4424" t="s">
        <v>6576</v>
      </c>
      <c r="E4424" t="s">
        <v>6601</v>
      </c>
      <c r="F4424" s="150" t="s">
        <v>6601</v>
      </c>
      <c r="G4424" t="s">
        <v>406</v>
      </c>
      <c r="H4424" s="150" t="str">
        <f>IF(Proc[[#This Row],[type]]="LFF (MDG-F)",MID(Proc[[#This Row],[Obj]],13,10),"")</f>
        <v>DE04TQHQ15</v>
      </c>
      <c r="I4424" s="149"/>
      <c r="J4424" s="150" t="b">
        <f>Proc[[#This Row],[Requested]]=Proc[[#This Row],[CurrentParent]]</f>
        <v>1</v>
      </c>
      <c r="K4424" s="150" t="str">
        <f>IF(Proc[[#This Row],[Author]]="Marcela Urrego",VLOOKUP(LEFT(Proc[[#This Row],[Requested]],1),Table3[#All],2,0),VLOOKUP(Proc[[#This Row],[Author]],Table4[],2,0))</f>
        <v>EL</v>
      </c>
      <c r="L4424" s="150" t="s">
        <v>6435</v>
      </c>
      <c r="M4424" s="160">
        <v>45957</v>
      </c>
      <c r="N4424" s="160"/>
      <c r="O4424" s="160"/>
      <c r="P4424" s="161" t="str">
        <f ca="1">IF(Proc[[#This Row],[DaysAgeing]]&gt;5,"yep","on track")</f>
        <v>yep</v>
      </c>
      <c r="Q4424" s="3">
        <f ca="1">IF(Proc[[#This Row],[DateClosed]]="",ABS(NETWORKDAYS(Proc[[#This Row],[DateOpened]],TODAY()))-1,ABS(NETWORKDAYS(Proc[[#This Row],[DateOpened]],Proc[[#This Row],[DateClosed]]))-1)</f>
        <v>39</v>
      </c>
      <c r="R4424" s="161" t="s">
        <v>5709</v>
      </c>
      <c r="S4424" s="150"/>
    </row>
    <row r="4425" spans="1:19" hidden="1">
      <c r="A4425" s="149" t="s">
        <v>6599</v>
      </c>
      <c r="B4425" s="150" t="str">
        <f>IFERROR(VLOOKUP(Proc[[#This Row],[App]],Table2[],3,0),"open")</f>
        <v>ok</v>
      </c>
      <c r="C4425" s="149" t="s">
        <v>369</v>
      </c>
      <c r="D4425" t="s">
        <v>6577</v>
      </c>
      <c r="E4425" t="s">
        <v>6601</v>
      </c>
      <c r="F4425" s="150" t="s">
        <v>6601</v>
      </c>
      <c r="G4425" s="149" t="s">
        <v>406</v>
      </c>
      <c r="H4425" s="150" t="str">
        <f>IF(Proc[[#This Row],[type]]="LFF (MDG-F)",MID(Proc[[#This Row],[Obj]],13,10),"")</f>
        <v>DE04TQHQ16</v>
      </c>
      <c r="I4425" s="149"/>
      <c r="J4425" s="150" t="b">
        <f>Proc[[#This Row],[Requested]]=Proc[[#This Row],[CurrentParent]]</f>
        <v>1</v>
      </c>
      <c r="K4425" s="150" t="str">
        <f>IF(Proc[[#This Row],[Author]]="Marcela Urrego",VLOOKUP(LEFT(Proc[[#This Row],[Requested]],1),Table3[#All],2,0),VLOOKUP(Proc[[#This Row],[Author]],Table4[],2,0))</f>
        <v>EL</v>
      </c>
      <c r="L4425" s="150" t="s">
        <v>6435</v>
      </c>
      <c r="M4425" s="160">
        <v>45957</v>
      </c>
      <c r="N4425" s="160"/>
      <c r="O4425" s="160"/>
      <c r="P4425" s="161" t="str">
        <f ca="1">IF(Proc[[#This Row],[DaysAgeing]]&gt;5,"yep","on track")</f>
        <v>yep</v>
      </c>
      <c r="Q4425" s="3">
        <f ca="1">IF(Proc[[#This Row],[DateClosed]]="",ABS(NETWORKDAYS(Proc[[#This Row],[DateOpened]],TODAY()))-1,ABS(NETWORKDAYS(Proc[[#This Row],[DateOpened]],Proc[[#This Row],[DateClosed]]))-1)</f>
        <v>39</v>
      </c>
      <c r="R4425" s="161" t="s">
        <v>5709</v>
      </c>
      <c r="S4425" s="150"/>
    </row>
    <row r="4426" spans="1:19" hidden="1">
      <c r="A4426" s="149" t="s">
        <v>6599</v>
      </c>
      <c r="B4426" s="150" t="str">
        <f>IFERROR(VLOOKUP(Proc[[#This Row],[App]],Table2[],3,0),"open")</f>
        <v>ok</v>
      </c>
      <c r="C4426" s="149" t="s">
        <v>377</v>
      </c>
      <c r="D4426" t="s">
        <v>6578</v>
      </c>
      <c r="E4426" t="s">
        <v>6601</v>
      </c>
      <c r="F4426" s="150" t="s">
        <v>6275</v>
      </c>
      <c r="G4426" s="149" t="s">
        <v>406</v>
      </c>
      <c r="H4426" s="150" t="str">
        <f>IF(Proc[[#This Row],[type]]="LFF (MDG-F)",MID(Proc[[#This Row],[Obj]],13,10),"")</f>
        <v>DE10TM2000</v>
      </c>
      <c r="I4426" s="149"/>
      <c r="J4426" s="150" t="b">
        <f>Proc[[#This Row],[Requested]]=Proc[[#This Row],[CurrentParent]]</f>
        <v>0</v>
      </c>
      <c r="K4426" s="150" t="str">
        <f>IF(Proc[[#This Row],[Author]]="Marcela Urrego",VLOOKUP(LEFT(Proc[[#This Row],[Requested]],1),Table3[#All],2,0),VLOOKUP(Proc[[#This Row],[Author]],Table4[],2,0))</f>
        <v>EL</v>
      </c>
      <c r="L4426" s="150" t="s">
        <v>6435</v>
      </c>
      <c r="M4426" s="160">
        <v>45957</v>
      </c>
      <c r="N4426" s="160"/>
      <c r="O4426" s="160"/>
      <c r="P4426" s="161" t="str">
        <f ca="1">IF(Proc[[#This Row],[DaysAgeing]]&gt;5,"yep","on track")</f>
        <v>yep</v>
      </c>
      <c r="Q4426" s="3">
        <f ca="1">IF(Proc[[#This Row],[DateClosed]]="",ABS(NETWORKDAYS(Proc[[#This Row],[DateOpened]],TODAY()))-1,ABS(NETWORKDAYS(Proc[[#This Row],[DateOpened]],Proc[[#This Row],[DateClosed]]))-1)</f>
        <v>39</v>
      </c>
      <c r="R4426" s="161" t="s">
        <v>5709</v>
      </c>
      <c r="S4426" s="150"/>
    </row>
    <row r="4427" spans="1:19" hidden="1">
      <c r="A4427" s="149" t="s">
        <v>6599</v>
      </c>
      <c r="B4427" s="150" t="str">
        <f>IFERROR(VLOOKUP(Proc[[#This Row],[App]],Table2[],3,0),"open")</f>
        <v>ok</v>
      </c>
      <c r="C4427" s="149" t="s">
        <v>369</v>
      </c>
      <c r="D4427" t="s">
        <v>6579</v>
      </c>
      <c r="E4427" t="s">
        <v>6601</v>
      </c>
      <c r="F4427" s="150" t="s">
        <v>6601</v>
      </c>
      <c r="G4427" s="149" t="s">
        <v>406</v>
      </c>
      <c r="H4427" s="150" t="str">
        <f>IF(Proc[[#This Row],[type]]="LFF (MDG-F)",MID(Proc[[#This Row],[Obj]],13,10),"")</f>
        <v>IL10TM2000</v>
      </c>
      <c r="I4427" s="149"/>
      <c r="J4427" s="150" t="b">
        <f>Proc[[#This Row],[Requested]]=Proc[[#This Row],[CurrentParent]]</f>
        <v>1</v>
      </c>
      <c r="K4427" s="150" t="str">
        <f>IF(Proc[[#This Row],[Author]]="Marcela Urrego",VLOOKUP(LEFT(Proc[[#This Row],[Requested]],1),Table3[#All],2,0),VLOOKUP(Proc[[#This Row],[Author]],Table4[],2,0))</f>
        <v>EL</v>
      </c>
      <c r="L4427" s="150" t="s">
        <v>6435</v>
      </c>
      <c r="M4427" s="160">
        <v>45957</v>
      </c>
      <c r="N4427" s="160"/>
      <c r="O4427" s="160"/>
      <c r="P4427" s="161" t="str">
        <f ca="1">IF(Proc[[#This Row],[DaysAgeing]]&gt;5,"yep","on track")</f>
        <v>yep</v>
      </c>
      <c r="Q4427" s="3">
        <f ca="1">IF(Proc[[#This Row],[DateClosed]]="",ABS(NETWORKDAYS(Proc[[#This Row],[DateOpened]],TODAY()))-1,ABS(NETWORKDAYS(Proc[[#This Row],[DateOpened]],Proc[[#This Row],[DateClosed]]))-1)</f>
        <v>39</v>
      </c>
      <c r="R4427" s="161" t="s">
        <v>5709</v>
      </c>
      <c r="S4427" s="150"/>
    </row>
    <row r="4428" spans="1:19" hidden="1">
      <c r="A4428" s="149" t="s">
        <v>6599</v>
      </c>
      <c r="B4428" s="150" t="str">
        <f>IFERROR(VLOOKUP(Proc[[#This Row],[App]],Table2[],3,0),"open")</f>
        <v>ok</v>
      </c>
      <c r="C4428" s="149" t="s">
        <v>369</v>
      </c>
      <c r="D4428" t="s">
        <v>6580</v>
      </c>
      <c r="E4428" t="s">
        <v>6601</v>
      </c>
      <c r="F4428" s="150" t="s">
        <v>6601</v>
      </c>
      <c r="G4428" s="149" t="s">
        <v>406</v>
      </c>
      <c r="H4428" s="150" t="str">
        <f>IF(Proc[[#This Row],[type]]="LFF (MDG-F)",MID(Proc[[#This Row],[Obj]],13,10),"")</f>
        <v>IT07TM2000</v>
      </c>
      <c r="I4428" s="149"/>
      <c r="J4428" s="150" t="b">
        <f>Proc[[#This Row],[Requested]]=Proc[[#This Row],[CurrentParent]]</f>
        <v>1</v>
      </c>
      <c r="K4428" s="150" t="str">
        <f>IF(Proc[[#This Row],[Author]]="Marcela Urrego",VLOOKUP(LEFT(Proc[[#This Row],[Requested]],1),Table3[#All],2,0),VLOOKUP(Proc[[#This Row],[Author]],Table4[],2,0))</f>
        <v>EL</v>
      </c>
      <c r="L4428" s="150" t="s">
        <v>6435</v>
      </c>
      <c r="M4428" s="160">
        <v>45957</v>
      </c>
      <c r="N4428" s="160"/>
      <c r="O4428" s="160"/>
      <c r="P4428" s="161" t="str">
        <f ca="1">IF(Proc[[#This Row],[DaysAgeing]]&gt;5,"yep","on track")</f>
        <v>yep</v>
      </c>
      <c r="Q4428" s="3">
        <f ca="1">IF(Proc[[#This Row],[DateClosed]]="",ABS(NETWORKDAYS(Proc[[#This Row],[DateOpened]],TODAY()))-1,ABS(NETWORKDAYS(Proc[[#This Row],[DateOpened]],Proc[[#This Row],[DateClosed]]))-1)</f>
        <v>39</v>
      </c>
      <c r="R4428" s="161" t="s">
        <v>5709</v>
      </c>
      <c r="S4428" s="150"/>
    </row>
    <row r="4429" spans="1:19" hidden="1">
      <c r="A4429" s="149" t="s">
        <v>6599</v>
      </c>
      <c r="B4429" s="150" t="str">
        <f>IFERROR(VLOOKUP(Proc[[#This Row],[App]],Table2[],3,0),"open")</f>
        <v>ok</v>
      </c>
      <c r="C4429" s="149" t="s">
        <v>369</v>
      </c>
      <c r="D4429" t="s">
        <v>6581</v>
      </c>
      <c r="E4429" t="s">
        <v>6601</v>
      </c>
      <c r="F4429" s="150" t="s">
        <v>6601</v>
      </c>
      <c r="G4429" s="149" t="s">
        <v>406</v>
      </c>
      <c r="H4429" s="150" t="str">
        <f>IF(Proc[[#This Row],[type]]="LFF (MDG-F)",MID(Proc[[#This Row],[Obj]],13,10),"")</f>
        <v>NL10TM2000</v>
      </c>
      <c r="I4429" s="149"/>
      <c r="J4429" s="150" t="b">
        <f>Proc[[#This Row],[Requested]]=Proc[[#This Row],[CurrentParent]]</f>
        <v>1</v>
      </c>
      <c r="K4429" s="150" t="str">
        <f>IF(Proc[[#This Row],[Author]]="Marcela Urrego",VLOOKUP(LEFT(Proc[[#This Row],[Requested]],1),Table3[#All],2,0),VLOOKUP(Proc[[#This Row],[Author]],Table4[],2,0))</f>
        <v>EL</v>
      </c>
      <c r="L4429" s="150" t="s">
        <v>6435</v>
      </c>
      <c r="M4429" s="160">
        <v>45957</v>
      </c>
      <c r="N4429" s="160"/>
      <c r="O4429" s="160"/>
      <c r="P4429" s="161" t="str">
        <f ca="1">IF(Proc[[#This Row],[DaysAgeing]]&gt;5,"yep","on track")</f>
        <v>yep</v>
      </c>
      <c r="Q4429" s="3">
        <f ca="1">IF(Proc[[#This Row],[DateClosed]]="",ABS(NETWORKDAYS(Proc[[#This Row],[DateOpened]],TODAY()))-1,ABS(NETWORKDAYS(Proc[[#This Row],[DateOpened]],Proc[[#This Row],[DateClosed]]))-1)</f>
        <v>39</v>
      </c>
      <c r="R4429" s="161" t="s">
        <v>5709</v>
      </c>
      <c r="S4429" s="150"/>
    </row>
    <row r="4430" spans="1:19" hidden="1">
      <c r="A4430" s="149" t="s">
        <v>6599</v>
      </c>
      <c r="B4430" s="150" t="str">
        <f>IFERROR(VLOOKUP(Proc[[#This Row],[App]],Table2[],3,0),"open")</f>
        <v>ok</v>
      </c>
      <c r="C4430" s="149" t="s">
        <v>369</v>
      </c>
      <c r="D4430" t="s">
        <v>6582</v>
      </c>
      <c r="E4430" t="s">
        <v>6601</v>
      </c>
      <c r="F4430" s="150" t="s">
        <v>6601</v>
      </c>
      <c r="G4430" s="149" t="s">
        <v>400</v>
      </c>
      <c r="H4430" s="150" t="str">
        <f>IF(Proc[[#This Row],[type]]="LFF (MDG-F)",MID(Proc[[#This Row],[Obj]],13,10),"")</f>
        <v/>
      </c>
      <c r="I4430" s="149"/>
      <c r="J4430" s="150" t="b">
        <f>Proc[[#This Row],[Requested]]=Proc[[#This Row],[CurrentParent]]</f>
        <v>1</v>
      </c>
      <c r="K4430" s="150" t="str">
        <f>IF(Proc[[#This Row],[Author]]="Marcela Urrego",VLOOKUP(LEFT(Proc[[#This Row],[Requested]],1),Table3[#All],2,0),VLOOKUP(Proc[[#This Row],[Author]],Table4[],2,0))</f>
        <v>EL</v>
      </c>
      <c r="L4430" s="150" t="s">
        <v>6435</v>
      </c>
      <c r="M4430" s="160">
        <v>45957</v>
      </c>
      <c r="N4430" s="160"/>
      <c r="O4430" s="160"/>
      <c r="P4430" s="161" t="str">
        <f ca="1">IF(Proc[[#This Row],[DaysAgeing]]&gt;5,"yep","on track")</f>
        <v>yep</v>
      </c>
      <c r="Q4430" s="3">
        <f ca="1">IF(Proc[[#This Row],[DateClosed]]="",ABS(NETWORKDAYS(Proc[[#This Row],[DateOpened]],TODAY()))-1,ABS(NETWORKDAYS(Proc[[#This Row],[DateOpened]],Proc[[#This Row],[DateClosed]]))-1)</f>
        <v>39</v>
      </c>
      <c r="R4430" s="161" t="s">
        <v>5709</v>
      </c>
      <c r="S4430" s="150"/>
    </row>
    <row r="4431" spans="1:19" hidden="1">
      <c r="A4431" s="149" t="s">
        <v>6599</v>
      </c>
      <c r="B4431" s="150" t="str">
        <f>IFERROR(VLOOKUP(Proc[[#This Row],[App]],Table2[],3,0),"open")</f>
        <v>ok</v>
      </c>
      <c r="C4431" s="149" t="s">
        <v>369</v>
      </c>
      <c r="D4431" t="s">
        <v>6583</v>
      </c>
      <c r="E4431" t="s">
        <v>6601</v>
      </c>
      <c r="F4431" s="150" t="s">
        <v>6601</v>
      </c>
      <c r="G4431" s="149" t="s">
        <v>400</v>
      </c>
      <c r="H4431" s="150" t="str">
        <f>IF(Proc[[#This Row],[type]]="LFF (MDG-F)",MID(Proc[[#This Row],[Obj]],13,10),"")</f>
        <v/>
      </c>
      <c r="I4431" s="149"/>
      <c r="J4431" s="150" t="b">
        <f>Proc[[#This Row],[Requested]]=Proc[[#This Row],[CurrentParent]]</f>
        <v>1</v>
      </c>
      <c r="K4431" s="150" t="str">
        <f>IF(Proc[[#This Row],[Author]]="Marcela Urrego",VLOOKUP(LEFT(Proc[[#This Row],[Requested]],1),Table3[#All],2,0),VLOOKUP(Proc[[#This Row],[Author]],Table4[],2,0))</f>
        <v>EL</v>
      </c>
      <c r="L4431" s="150" t="s">
        <v>6435</v>
      </c>
      <c r="M4431" s="160">
        <v>45957</v>
      </c>
      <c r="N4431" s="160"/>
      <c r="O4431" s="160"/>
      <c r="P4431" s="161" t="str">
        <f ca="1">IF(Proc[[#This Row],[DaysAgeing]]&gt;5,"yep","on track")</f>
        <v>yep</v>
      </c>
      <c r="Q4431" s="3">
        <f ca="1">IF(Proc[[#This Row],[DateClosed]]="",ABS(NETWORKDAYS(Proc[[#This Row],[DateOpened]],TODAY()))-1,ABS(NETWORKDAYS(Proc[[#This Row],[DateOpened]],Proc[[#This Row],[DateClosed]]))-1)</f>
        <v>39</v>
      </c>
      <c r="R4431" s="161" t="s">
        <v>5709</v>
      </c>
      <c r="S4431" s="150"/>
    </row>
    <row r="4432" spans="1:19" hidden="1">
      <c r="A4432" s="149" t="s">
        <v>6599</v>
      </c>
      <c r="B4432" s="150" t="str">
        <f>IFERROR(VLOOKUP(Proc[[#This Row],[App]],Table2[],3,0),"open")</f>
        <v>ok</v>
      </c>
      <c r="C4432" s="149" t="s">
        <v>369</v>
      </c>
      <c r="D4432" t="s">
        <v>6584</v>
      </c>
      <c r="E4432" t="s">
        <v>6601</v>
      </c>
      <c r="F4432" s="150" t="s">
        <v>6601</v>
      </c>
      <c r="G4432" s="149" t="s">
        <v>400</v>
      </c>
      <c r="H4432" s="150" t="str">
        <f>IF(Proc[[#This Row],[type]]="LFF (MDG-F)",MID(Proc[[#This Row],[Obj]],13,10),"")</f>
        <v/>
      </c>
      <c r="I4432" s="149"/>
      <c r="J4432" s="150" t="b">
        <f>Proc[[#This Row],[Requested]]=Proc[[#This Row],[CurrentParent]]</f>
        <v>1</v>
      </c>
      <c r="K4432" s="150" t="str">
        <f>IF(Proc[[#This Row],[Author]]="Marcela Urrego",VLOOKUP(LEFT(Proc[[#This Row],[Requested]],1),Table3[#All],2,0),VLOOKUP(Proc[[#This Row],[Author]],Table4[],2,0))</f>
        <v>EL</v>
      </c>
      <c r="L4432" s="150" t="s">
        <v>6435</v>
      </c>
      <c r="M4432" s="160">
        <v>45957</v>
      </c>
      <c r="N4432" s="160"/>
      <c r="O4432" s="160"/>
      <c r="P4432" s="161" t="str">
        <f ca="1">IF(Proc[[#This Row],[DaysAgeing]]&gt;5,"yep","on track")</f>
        <v>yep</v>
      </c>
      <c r="Q4432" s="3">
        <f ca="1">IF(Proc[[#This Row],[DateClosed]]="",ABS(NETWORKDAYS(Proc[[#This Row],[DateOpened]],TODAY()))-1,ABS(NETWORKDAYS(Proc[[#This Row],[DateOpened]],Proc[[#This Row],[DateClosed]]))-1)</f>
        <v>39</v>
      </c>
      <c r="R4432" s="161" t="s">
        <v>5709</v>
      </c>
      <c r="S4432" s="150"/>
    </row>
    <row r="4433" spans="1:19" hidden="1">
      <c r="A4433" s="149" t="s">
        <v>6599</v>
      </c>
      <c r="B4433" s="150" t="str">
        <f>IFERROR(VLOOKUP(Proc[[#This Row],[App]],Table2[],3,0),"open")</f>
        <v>ok</v>
      </c>
      <c r="C4433" s="149" t="s">
        <v>377</v>
      </c>
      <c r="D4433" t="s">
        <v>6585</v>
      </c>
      <c r="E4433" t="s">
        <v>5770</v>
      </c>
      <c r="F4433" s="150" t="s">
        <v>6275</v>
      </c>
      <c r="G4433" s="149" t="s">
        <v>406</v>
      </c>
      <c r="H4433" s="150" t="str">
        <f>IF(Proc[[#This Row],[type]]="LFF (MDG-F)",MID(Proc[[#This Row],[Obj]],13,10),"")</f>
        <v>DE10TM4000</v>
      </c>
      <c r="I4433" s="149"/>
      <c r="J4433" s="150" t="b">
        <f>Proc[[#This Row],[Requested]]=Proc[[#This Row],[CurrentParent]]</f>
        <v>0</v>
      </c>
      <c r="K4433" s="150" t="str">
        <f>IF(Proc[[#This Row],[Author]]="Marcela Urrego",VLOOKUP(LEFT(Proc[[#This Row],[Requested]],1),Table3[#All],2,0),VLOOKUP(Proc[[#This Row],[Author]],Table4[],2,0))</f>
        <v>EL</v>
      </c>
      <c r="L4433" s="150" t="s">
        <v>6435</v>
      </c>
      <c r="M4433" s="160">
        <v>45957</v>
      </c>
      <c r="N4433" s="160"/>
      <c r="O4433" s="160"/>
      <c r="P4433" s="161" t="str">
        <f ca="1">IF(Proc[[#This Row],[DaysAgeing]]&gt;5,"yep","on track")</f>
        <v>yep</v>
      </c>
      <c r="Q4433" s="3">
        <f ca="1">IF(Proc[[#This Row],[DateClosed]]="",ABS(NETWORKDAYS(Proc[[#This Row],[DateOpened]],TODAY()))-1,ABS(NETWORKDAYS(Proc[[#This Row],[DateOpened]],Proc[[#This Row],[DateClosed]]))-1)</f>
        <v>39</v>
      </c>
      <c r="R4433" s="161" t="s">
        <v>5709</v>
      </c>
      <c r="S4433" s="150"/>
    </row>
    <row r="4434" spans="1:19" hidden="1">
      <c r="A4434" s="149" t="s">
        <v>6599</v>
      </c>
      <c r="B4434" s="150" t="str">
        <f>IFERROR(VLOOKUP(Proc[[#This Row],[App]],Table2[],3,0),"open")</f>
        <v>ok</v>
      </c>
      <c r="C4434" s="149" t="s">
        <v>369</v>
      </c>
      <c r="D4434" t="s">
        <v>6586</v>
      </c>
      <c r="E4434" t="s">
        <v>6602</v>
      </c>
      <c r="F4434" s="150" t="s">
        <v>6602</v>
      </c>
      <c r="G4434" s="149" t="s">
        <v>406</v>
      </c>
      <c r="H4434" s="150" t="str">
        <f>IF(Proc[[#This Row],[type]]="LFF (MDG-F)",MID(Proc[[#This Row],[Obj]],13,10),"")</f>
        <v>DE01TKWI01</v>
      </c>
      <c r="I4434" s="149"/>
      <c r="J4434" s="150" t="b">
        <f>Proc[[#This Row],[Requested]]=Proc[[#This Row],[CurrentParent]]</f>
        <v>1</v>
      </c>
      <c r="K4434" s="150" t="str">
        <f>IF(Proc[[#This Row],[Author]]="Marcela Urrego",VLOOKUP(LEFT(Proc[[#This Row],[Requested]],1),Table3[#All],2,0),VLOOKUP(Proc[[#This Row],[Author]],Table4[],2,0))</f>
        <v>EL</v>
      </c>
      <c r="L4434" s="150" t="s">
        <v>6435</v>
      </c>
      <c r="M4434" s="160">
        <v>45957</v>
      </c>
      <c r="N4434" s="160"/>
      <c r="O4434" s="160"/>
      <c r="P4434" s="161" t="str">
        <f ca="1">IF(Proc[[#This Row],[DaysAgeing]]&gt;5,"yep","on track")</f>
        <v>yep</v>
      </c>
      <c r="Q4434" s="3">
        <f ca="1">IF(Proc[[#This Row],[DateClosed]]="",ABS(NETWORKDAYS(Proc[[#This Row],[DateOpened]],TODAY()))-1,ABS(NETWORKDAYS(Proc[[#This Row],[DateOpened]],Proc[[#This Row],[DateClosed]]))-1)</f>
        <v>39</v>
      </c>
      <c r="R4434" s="161" t="s">
        <v>5709</v>
      </c>
      <c r="S4434" s="150"/>
    </row>
    <row r="4435" spans="1:19" hidden="1">
      <c r="A4435" s="149" t="s">
        <v>6599</v>
      </c>
      <c r="B4435" s="150" t="str">
        <f>IFERROR(VLOOKUP(Proc[[#This Row],[App]],Table2[],3,0),"open")</f>
        <v>ok</v>
      </c>
      <c r="C4435" s="149" t="s">
        <v>369</v>
      </c>
      <c r="D4435" t="s">
        <v>6587</v>
      </c>
      <c r="E4435" t="s">
        <v>6602</v>
      </c>
      <c r="F4435" s="150" t="s">
        <v>6602</v>
      </c>
      <c r="G4435" s="149" t="s">
        <v>406</v>
      </c>
      <c r="H4435" s="150" t="str">
        <f>IF(Proc[[#This Row],[type]]="LFF (MDG-F)",MID(Proc[[#This Row],[Obj]],13,10),"")</f>
        <v>DE01TQWIGH</v>
      </c>
      <c r="I4435" s="149"/>
      <c r="J4435" s="150" t="b">
        <f>Proc[[#This Row],[Requested]]=Proc[[#This Row],[CurrentParent]]</f>
        <v>1</v>
      </c>
      <c r="K4435" s="150" t="str">
        <f>IF(Proc[[#This Row],[Author]]="Marcela Urrego",VLOOKUP(LEFT(Proc[[#This Row],[Requested]],1),Table3[#All],2,0),VLOOKUP(Proc[[#This Row],[Author]],Table4[],2,0))</f>
        <v>EL</v>
      </c>
      <c r="L4435" s="150" t="s">
        <v>6435</v>
      </c>
      <c r="M4435" s="160">
        <v>45957</v>
      </c>
      <c r="N4435" s="160"/>
      <c r="O4435" s="160"/>
      <c r="P4435" s="161" t="str">
        <f ca="1">IF(Proc[[#This Row],[DaysAgeing]]&gt;5,"yep","on track")</f>
        <v>yep</v>
      </c>
      <c r="Q4435" s="3">
        <f ca="1">IF(Proc[[#This Row],[DateClosed]]="",ABS(NETWORKDAYS(Proc[[#This Row],[DateOpened]],TODAY()))-1,ABS(NETWORKDAYS(Proc[[#This Row],[DateOpened]],Proc[[#This Row],[DateClosed]]))-1)</f>
        <v>39</v>
      </c>
      <c r="R4435" s="161" t="s">
        <v>5709</v>
      </c>
      <c r="S4435" s="150"/>
    </row>
    <row r="4436" spans="1:19" hidden="1">
      <c r="A4436" s="149" t="s">
        <v>6599</v>
      </c>
      <c r="B4436" s="150" t="str">
        <f>IFERROR(VLOOKUP(Proc[[#This Row],[App]],Table2[],3,0),"open")</f>
        <v>ok</v>
      </c>
      <c r="C4436" s="149" t="s">
        <v>377</v>
      </c>
      <c r="D4436" t="s">
        <v>6588</v>
      </c>
      <c r="E4436" t="s">
        <v>6602</v>
      </c>
      <c r="F4436" s="150" t="s">
        <v>6275</v>
      </c>
      <c r="G4436" s="149" t="s">
        <v>406</v>
      </c>
      <c r="H4436" s="150" t="str">
        <f>IF(Proc[[#This Row],[type]]="LFF (MDG-F)",MID(Proc[[#This Row],[Obj]],13,10),"")</f>
        <v>DE10DB3600</v>
      </c>
      <c r="I4436" s="149"/>
      <c r="J4436" s="150" t="b">
        <f>Proc[[#This Row],[Requested]]=Proc[[#This Row],[CurrentParent]]</f>
        <v>0</v>
      </c>
      <c r="K4436" s="150" t="str">
        <f>IF(Proc[[#This Row],[Author]]="Marcela Urrego",VLOOKUP(LEFT(Proc[[#This Row],[Requested]],1),Table3[#All],2,0),VLOOKUP(Proc[[#This Row],[Author]],Table4[],2,0))</f>
        <v>EL</v>
      </c>
      <c r="L4436" s="150" t="s">
        <v>6435</v>
      </c>
      <c r="M4436" s="160">
        <v>45957</v>
      </c>
      <c r="N4436" s="160"/>
      <c r="O4436" s="160"/>
      <c r="P4436" s="161" t="str">
        <f ca="1">IF(Proc[[#This Row],[DaysAgeing]]&gt;5,"yep","on track")</f>
        <v>yep</v>
      </c>
      <c r="Q4436" s="3">
        <f ca="1">IF(Proc[[#This Row],[DateClosed]]="",ABS(NETWORKDAYS(Proc[[#This Row],[DateOpened]],TODAY()))-1,ABS(NETWORKDAYS(Proc[[#This Row],[DateOpened]],Proc[[#This Row],[DateClosed]]))-1)</f>
        <v>39</v>
      </c>
      <c r="R4436" s="161" t="s">
        <v>5709</v>
      </c>
      <c r="S4436" s="150"/>
    </row>
    <row r="4437" spans="1:19" hidden="1">
      <c r="A4437" s="149" t="s">
        <v>6599</v>
      </c>
      <c r="B4437" s="150" t="str">
        <f>IFERROR(VLOOKUP(Proc[[#This Row],[App]],Table2[],3,0),"open")</f>
        <v>ok</v>
      </c>
      <c r="C4437" s="149" t="s">
        <v>377</v>
      </c>
      <c r="D4437" t="s">
        <v>6589</v>
      </c>
      <c r="E4437" t="s">
        <v>6602</v>
      </c>
      <c r="F4437" s="150" t="s">
        <v>6275</v>
      </c>
      <c r="G4437" s="149" t="s">
        <v>406</v>
      </c>
      <c r="H4437" s="150" t="str">
        <f>IF(Proc[[#This Row],[type]]="LFF (MDG-F)",MID(Proc[[#This Row],[Obj]],13,10),"")</f>
        <v>DE10TQ1001</v>
      </c>
      <c r="I4437" s="149"/>
      <c r="J4437" s="150" t="b">
        <f>Proc[[#This Row],[Requested]]=Proc[[#This Row],[CurrentParent]]</f>
        <v>0</v>
      </c>
      <c r="K4437" s="150" t="str">
        <f>IF(Proc[[#This Row],[Author]]="Marcela Urrego",VLOOKUP(LEFT(Proc[[#This Row],[Requested]],1),Table3[#All],2,0),VLOOKUP(Proc[[#This Row],[Author]],Table4[],2,0))</f>
        <v>EL</v>
      </c>
      <c r="L4437" s="150" t="s">
        <v>6435</v>
      </c>
      <c r="M4437" s="160">
        <v>45957</v>
      </c>
      <c r="N4437" s="160"/>
      <c r="O4437" s="160"/>
      <c r="P4437" s="161" t="str">
        <f ca="1">IF(Proc[[#This Row],[DaysAgeing]]&gt;5,"yep","on track")</f>
        <v>yep</v>
      </c>
      <c r="Q4437" s="3">
        <f ca="1">IF(Proc[[#This Row],[DateClosed]]="",ABS(NETWORKDAYS(Proc[[#This Row],[DateOpened]],TODAY()))-1,ABS(NETWORKDAYS(Proc[[#This Row],[DateOpened]],Proc[[#This Row],[DateClosed]]))-1)</f>
        <v>39</v>
      </c>
      <c r="R4437" s="161" t="s">
        <v>5709</v>
      </c>
      <c r="S4437" s="150"/>
    </row>
    <row r="4438" spans="1:19" hidden="1">
      <c r="A4438" s="149" t="s">
        <v>6599</v>
      </c>
      <c r="B4438" s="150" t="str">
        <f>IFERROR(VLOOKUP(Proc[[#This Row],[App]],Table2[],3,0),"open")</f>
        <v>ok</v>
      </c>
      <c r="C4438" s="149" t="s">
        <v>377</v>
      </c>
      <c r="D4438" t="s">
        <v>6590</v>
      </c>
      <c r="E4438" t="s">
        <v>6602</v>
      </c>
      <c r="F4438" s="150" t="s">
        <v>6275</v>
      </c>
      <c r="G4438" s="149" t="s">
        <v>406</v>
      </c>
      <c r="H4438" s="150" t="str">
        <f>IF(Proc[[#This Row],[type]]="LFF (MDG-F)",MID(Proc[[#This Row],[Obj]],13,10),"")</f>
        <v>DE10TQ1002</v>
      </c>
      <c r="I4438" s="149"/>
      <c r="J4438" s="150" t="b">
        <f>Proc[[#This Row],[Requested]]=Proc[[#This Row],[CurrentParent]]</f>
        <v>0</v>
      </c>
      <c r="K4438" s="150" t="str">
        <f>IF(Proc[[#This Row],[Author]]="Marcela Urrego",VLOOKUP(LEFT(Proc[[#This Row],[Requested]],1),Table3[#All],2,0),VLOOKUP(Proc[[#This Row],[Author]],Table4[],2,0))</f>
        <v>EL</v>
      </c>
      <c r="L4438" s="150" t="s">
        <v>6435</v>
      </c>
      <c r="M4438" s="160">
        <v>45957</v>
      </c>
      <c r="N4438" s="160"/>
      <c r="O4438" s="160"/>
      <c r="P4438" s="161" t="str">
        <f ca="1">IF(Proc[[#This Row],[DaysAgeing]]&gt;5,"yep","on track")</f>
        <v>yep</v>
      </c>
      <c r="Q4438" s="3">
        <f ca="1">IF(Proc[[#This Row],[DateClosed]]="",ABS(NETWORKDAYS(Proc[[#This Row],[DateOpened]],TODAY()))-1,ABS(NETWORKDAYS(Proc[[#This Row],[DateOpened]],Proc[[#This Row],[DateClosed]]))-1)</f>
        <v>39</v>
      </c>
      <c r="R4438" s="161" t="s">
        <v>5709</v>
      </c>
      <c r="S4438" s="150"/>
    </row>
    <row r="4439" spans="1:19" hidden="1">
      <c r="A4439" s="149" t="s">
        <v>6599</v>
      </c>
      <c r="B4439" s="150" t="str">
        <f>IFERROR(VLOOKUP(Proc[[#This Row],[App]],Table2[],3,0),"open")</f>
        <v>ok</v>
      </c>
      <c r="C4439" s="149" t="s">
        <v>377</v>
      </c>
      <c r="D4439" t="s">
        <v>6591</v>
      </c>
      <c r="E4439" t="s">
        <v>6602</v>
      </c>
      <c r="F4439" s="150" t="s">
        <v>6275</v>
      </c>
      <c r="G4439" s="149" t="s">
        <v>406</v>
      </c>
      <c r="H4439" s="150" t="str">
        <f>IF(Proc[[#This Row],[type]]="LFF (MDG-F)",MID(Proc[[#This Row],[Obj]],13,10),"")</f>
        <v>DE10TQ1003</v>
      </c>
      <c r="I4439" s="149"/>
      <c r="J4439" s="150" t="b">
        <f>Proc[[#This Row],[Requested]]=Proc[[#This Row],[CurrentParent]]</f>
        <v>0</v>
      </c>
      <c r="K4439" s="150" t="str">
        <f>IF(Proc[[#This Row],[Author]]="Marcela Urrego",VLOOKUP(LEFT(Proc[[#This Row],[Requested]],1),Table3[#All],2,0),VLOOKUP(Proc[[#This Row],[Author]],Table4[],2,0))</f>
        <v>EL</v>
      </c>
      <c r="L4439" s="150" t="s">
        <v>6435</v>
      </c>
      <c r="M4439" s="160">
        <v>45957</v>
      </c>
      <c r="N4439" s="160"/>
      <c r="O4439" s="160"/>
      <c r="P4439" s="161" t="str">
        <f ca="1">IF(Proc[[#This Row],[DaysAgeing]]&gt;5,"yep","on track")</f>
        <v>yep</v>
      </c>
      <c r="Q4439" s="3">
        <f ca="1">IF(Proc[[#This Row],[DateClosed]]="",ABS(NETWORKDAYS(Proc[[#This Row],[DateOpened]],TODAY()))-1,ABS(NETWORKDAYS(Proc[[#This Row],[DateOpened]],Proc[[#This Row],[DateClosed]]))-1)</f>
        <v>39</v>
      </c>
      <c r="R4439" s="161" t="s">
        <v>5709</v>
      </c>
      <c r="S4439" s="150"/>
    </row>
    <row r="4440" spans="1:19" hidden="1">
      <c r="A4440" s="149" t="s">
        <v>6599</v>
      </c>
      <c r="B4440" s="150" t="str">
        <f>IFERROR(VLOOKUP(Proc[[#This Row],[App]],Table2[],3,0),"open")</f>
        <v>ok</v>
      </c>
      <c r="C4440" s="149" t="s">
        <v>369</v>
      </c>
      <c r="D4440" t="s">
        <v>6592</v>
      </c>
      <c r="E4440" t="s">
        <v>6602</v>
      </c>
      <c r="F4440" s="150" t="s">
        <v>6602</v>
      </c>
      <c r="G4440" s="149" t="s">
        <v>406</v>
      </c>
      <c r="H4440" s="150" t="str">
        <f>IF(Proc[[#This Row],[type]]="LFF (MDG-F)",MID(Proc[[#This Row],[Obj]],13,10),"")</f>
        <v>GB10TQ1000</v>
      </c>
      <c r="I4440" s="149"/>
      <c r="J4440" s="150" t="b">
        <f>Proc[[#This Row],[Requested]]=Proc[[#This Row],[CurrentParent]]</f>
        <v>1</v>
      </c>
      <c r="K4440" s="150" t="str">
        <f>IF(Proc[[#This Row],[Author]]="Marcela Urrego",VLOOKUP(LEFT(Proc[[#This Row],[Requested]],1),Table3[#All],2,0),VLOOKUP(Proc[[#This Row],[Author]],Table4[],2,0))</f>
        <v>EL</v>
      </c>
      <c r="L4440" s="150" t="s">
        <v>6435</v>
      </c>
      <c r="M4440" s="160">
        <v>45957</v>
      </c>
      <c r="N4440" s="160"/>
      <c r="O4440" s="160"/>
      <c r="P4440" s="161" t="str">
        <f ca="1">IF(Proc[[#This Row],[DaysAgeing]]&gt;5,"yep","on track")</f>
        <v>yep</v>
      </c>
      <c r="Q4440" s="3">
        <f ca="1">IF(Proc[[#This Row],[DateClosed]]="",ABS(NETWORKDAYS(Proc[[#This Row],[DateOpened]],TODAY()))-1,ABS(NETWORKDAYS(Proc[[#This Row],[DateOpened]],Proc[[#This Row],[DateClosed]]))-1)</f>
        <v>39</v>
      </c>
      <c r="R4440" s="161" t="s">
        <v>5709</v>
      </c>
      <c r="S4440" s="150"/>
    </row>
    <row r="4441" spans="1:19" hidden="1">
      <c r="A4441" s="149" t="s">
        <v>6599</v>
      </c>
      <c r="B4441" s="150" t="str">
        <f>IFERROR(VLOOKUP(Proc[[#This Row],[App]],Table2[],3,0),"open")</f>
        <v>ok</v>
      </c>
      <c r="C4441" s="149" t="s">
        <v>369</v>
      </c>
      <c r="D4441" t="s">
        <v>6593</v>
      </c>
      <c r="E4441" t="s">
        <v>6602</v>
      </c>
      <c r="F4441" s="150" t="s">
        <v>6602</v>
      </c>
      <c r="G4441" s="149" t="s">
        <v>406</v>
      </c>
      <c r="H4441" s="150" t="str">
        <f>IF(Proc[[#This Row],[type]]="LFF (MDG-F)",MID(Proc[[#This Row],[Obj]],13,10),"")</f>
        <v>IT07TQ1001</v>
      </c>
      <c r="I4441" s="149"/>
      <c r="J4441" s="150" t="b">
        <f>Proc[[#This Row],[Requested]]=Proc[[#This Row],[CurrentParent]]</f>
        <v>1</v>
      </c>
      <c r="K4441" s="150" t="str">
        <f>IF(Proc[[#This Row],[Author]]="Marcela Urrego",VLOOKUP(LEFT(Proc[[#This Row],[Requested]],1),Table3[#All],2,0),VLOOKUP(Proc[[#This Row],[Author]],Table4[],2,0))</f>
        <v>EL</v>
      </c>
      <c r="L4441" s="150" t="s">
        <v>6435</v>
      </c>
      <c r="M4441" s="160">
        <v>45957</v>
      </c>
      <c r="N4441" s="160"/>
      <c r="O4441" s="160"/>
      <c r="P4441" s="161" t="str">
        <f ca="1">IF(Proc[[#This Row],[DaysAgeing]]&gt;5,"yep","on track")</f>
        <v>yep</v>
      </c>
      <c r="Q4441" s="3">
        <f ca="1">IF(Proc[[#This Row],[DateClosed]]="",ABS(NETWORKDAYS(Proc[[#This Row],[DateOpened]],TODAY()))-1,ABS(NETWORKDAYS(Proc[[#This Row],[DateOpened]],Proc[[#This Row],[DateClosed]]))-1)</f>
        <v>39</v>
      </c>
      <c r="R4441" s="161" t="s">
        <v>5709</v>
      </c>
      <c r="S4441" s="150"/>
    </row>
    <row r="4442" spans="1:19" hidden="1">
      <c r="A4442" s="149" t="s">
        <v>6599</v>
      </c>
      <c r="B4442" s="150" t="str">
        <f>IFERROR(VLOOKUP(Proc[[#This Row],[App]],Table2[],3,0),"open")</f>
        <v>ok</v>
      </c>
      <c r="C4442" s="149" t="s">
        <v>369</v>
      </c>
      <c r="D4442" t="s">
        <v>6594</v>
      </c>
      <c r="E4442" t="s">
        <v>6602</v>
      </c>
      <c r="F4442" s="150" t="s">
        <v>6602</v>
      </c>
      <c r="G4442" s="149" t="s">
        <v>406</v>
      </c>
      <c r="H4442" s="150" t="str">
        <f>IF(Proc[[#This Row],[type]]="LFF (MDG-F)",MID(Proc[[#This Row],[Obj]],13,10),"")</f>
        <v>IT07TQ1002</v>
      </c>
      <c r="I4442" s="149"/>
      <c r="J4442" s="150" t="b">
        <f>Proc[[#This Row],[Requested]]=Proc[[#This Row],[CurrentParent]]</f>
        <v>1</v>
      </c>
      <c r="K4442" s="150" t="str">
        <f>IF(Proc[[#This Row],[Author]]="Marcela Urrego",VLOOKUP(LEFT(Proc[[#This Row],[Requested]],1),Table3[#All],2,0),VLOOKUP(Proc[[#This Row],[Author]],Table4[],2,0))</f>
        <v>EL</v>
      </c>
      <c r="L4442" s="150" t="s">
        <v>6435</v>
      </c>
      <c r="M4442" s="160">
        <v>45957</v>
      </c>
      <c r="N4442" s="160"/>
      <c r="O4442" s="160"/>
      <c r="P4442" s="161" t="str">
        <f ca="1">IF(Proc[[#This Row],[DaysAgeing]]&gt;5,"yep","on track")</f>
        <v>yep</v>
      </c>
      <c r="Q4442" s="3">
        <f ca="1">IF(Proc[[#This Row],[DateClosed]]="",ABS(NETWORKDAYS(Proc[[#This Row],[DateOpened]],TODAY()))-1,ABS(NETWORKDAYS(Proc[[#This Row],[DateOpened]],Proc[[#This Row],[DateClosed]]))-1)</f>
        <v>39</v>
      </c>
      <c r="R4442" s="161" t="s">
        <v>5709</v>
      </c>
      <c r="S4442" s="150"/>
    </row>
    <row r="4443" spans="1:19" hidden="1">
      <c r="A4443" s="149" t="s">
        <v>6599</v>
      </c>
      <c r="B4443" s="150" t="str">
        <f>IFERROR(VLOOKUP(Proc[[#This Row],[App]],Table2[],3,0),"open")</f>
        <v>ok</v>
      </c>
      <c r="C4443" s="149" t="s">
        <v>369</v>
      </c>
      <c r="D4443" t="s">
        <v>6595</v>
      </c>
      <c r="E4443" t="s">
        <v>6602</v>
      </c>
      <c r="F4443" s="150" t="s">
        <v>6602</v>
      </c>
      <c r="G4443" s="149" t="s">
        <v>406</v>
      </c>
      <c r="H4443" s="150" t="str">
        <f>IF(Proc[[#This Row],[type]]="LFF (MDG-F)",MID(Proc[[#This Row],[Obj]],13,10),"")</f>
        <v>NL10TQ1000</v>
      </c>
      <c r="I4443" s="149"/>
      <c r="J4443" s="150" t="b">
        <f>Proc[[#This Row],[Requested]]=Proc[[#This Row],[CurrentParent]]</f>
        <v>1</v>
      </c>
      <c r="K4443" s="150" t="str">
        <f>IF(Proc[[#This Row],[Author]]="Marcela Urrego",VLOOKUP(LEFT(Proc[[#This Row],[Requested]],1),Table3[#All],2,0),VLOOKUP(Proc[[#This Row],[Author]],Table4[],2,0))</f>
        <v>EL</v>
      </c>
      <c r="L4443" s="150" t="s">
        <v>6435</v>
      </c>
      <c r="M4443" s="160">
        <v>45957</v>
      </c>
      <c r="N4443" s="160"/>
      <c r="O4443" s="160"/>
      <c r="P4443" s="161" t="str">
        <f ca="1">IF(Proc[[#This Row],[DaysAgeing]]&gt;5,"yep","on track")</f>
        <v>yep</v>
      </c>
      <c r="Q4443" s="3">
        <f ca="1">IF(Proc[[#This Row],[DateClosed]]="",ABS(NETWORKDAYS(Proc[[#This Row],[DateOpened]],TODAY()))-1,ABS(NETWORKDAYS(Proc[[#This Row],[DateOpened]],Proc[[#This Row],[DateClosed]]))-1)</f>
        <v>39</v>
      </c>
      <c r="R4443" s="161" t="s">
        <v>5709</v>
      </c>
      <c r="S4443" s="150"/>
    </row>
    <row r="4444" spans="1:19" hidden="1">
      <c r="A4444" s="149" t="s">
        <v>6599</v>
      </c>
      <c r="B4444" s="150" t="str">
        <f>IFERROR(VLOOKUP(Proc[[#This Row],[App]],Table2[],3,0),"open")</f>
        <v>ok</v>
      </c>
      <c r="C4444" s="149" t="s">
        <v>369</v>
      </c>
      <c r="D4444" t="s">
        <v>6596</v>
      </c>
      <c r="E4444" t="s">
        <v>6603</v>
      </c>
      <c r="F4444" s="150" t="s">
        <v>6603</v>
      </c>
      <c r="G4444" s="149" t="s">
        <v>406</v>
      </c>
      <c r="H4444" s="150" t="str">
        <f>IF(Proc[[#This Row],[type]]="LFF (MDG-F)",MID(Proc[[#This Row],[Obj]],13,10),"")</f>
        <v>DE04TQHQ19</v>
      </c>
      <c r="I4444" s="149"/>
      <c r="J4444" s="150" t="b">
        <f>Proc[[#This Row],[Requested]]=Proc[[#This Row],[CurrentParent]]</f>
        <v>1</v>
      </c>
      <c r="K4444" s="150" t="str">
        <f>IF(Proc[[#This Row],[Author]]="Marcela Urrego",VLOOKUP(LEFT(Proc[[#This Row],[Requested]],1),Table3[#All],2,0),VLOOKUP(Proc[[#This Row],[Author]],Table4[],2,0))</f>
        <v>EL</v>
      </c>
      <c r="L4444" s="150" t="s">
        <v>6435</v>
      </c>
      <c r="M4444" s="160">
        <v>45957</v>
      </c>
      <c r="N4444" s="160"/>
      <c r="O4444" s="160"/>
      <c r="P4444" s="161" t="str">
        <f ca="1">IF(Proc[[#This Row],[DaysAgeing]]&gt;5,"yep","on track")</f>
        <v>yep</v>
      </c>
      <c r="Q4444" s="3">
        <f ca="1">IF(Proc[[#This Row],[DateClosed]]="",ABS(NETWORKDAYS(Proc[[#This Row],[DateOpened]],TODAY()))-1,ABS(NETWORKDAYS(Proc[[#This Row],[DateOpened]],Proc[[#This Row],[DateClosed]]))-1)</f>
        <v>39</v>
      </c>
      <c r="R4444" s="161" t="s">
        <v>5709</v>
      </c>
      <c r="S4444" s="150"/>
    </row>
    <row r="4445" spans="1:19" hidden="1">
      <c r="A4445" s="149" t="s">
        <v>6599</v>
      </c>
      <c r="B4445" s="150" t="str">
        <f>IFERROR(VLOOKUP(Proc[[#This Row],[App]],Table2[],3,0),"open")</f>
        <v>ok</v>
      </c>
      <c r="C4445" s="149" t="s">
        <v>369</v>
      </c>
      <c r="D4445" t="s">
        <v>6597</v>
      </c>
      <c r="E4445" t="s">
        <v>6603</v>
      </c>
      <c r="F4445" s="150" t="s">
        <v>6603</v>
      </c>
      <c r="G4445" s="149" t="s">
        <v>406</v>
      </c>
      <c r="H4445" s="150" t="str">
        <f>IF(Proc[[#This Row],[type]]="LFF (MDG-F)",MID(Proc[[#This Row],[Obj]],13,10),"")</f>
        <v>DE04TQHQ23</v>
      </c>
      <c r="I4445" s="149"/>
      <c r="J4445" s="150" t="b">
        <f>Proc[[#This Row],[Requested]]=Proc[[#This Row],[CurrentParent]]</f>
        <v>1</v>
      </c>
      <c r="K4445" s="150" t="str">
        <f>IF(Proc[[#This Row],[Author]]="Marcela Urrego",VLOOKUP(LEFT(Proc[[#This Row],[Requested]],1),Table3[#All],2,0),VLOOKUP(Proc[[#This Row],[Author]],Table4[],2,0))</f>
        <v>EL</v>
      </c>
      <c r="L4445" s="150" t="s">
        <v>6435</v>
      </c>
      <c r="M4445" s="160">
        <v>45957</v>
      </c>
      <c r="N4445" s="160"/>
      <c r="O4445" s="160"/>
      <c r="P4445" s="161" t="str">
        <f ca="1">IF(Proc[[#This Row],[DaysAgeing]]&gt;5,"yep","on track")</f>
        <v>yep</v>
      </c>
      <c r="Q4445" s="3">
        <f ca="1">IF(Proc[[#This Row],[DateClosed]]="",ABS(NETWORKDAYS(Proc[[#This Row],[DateOpened]],TODAY()))-1,ABS(NETWORKDAYS(Proc[[#This Row],[DateOpened]],Proc[[#This Row],[DateClosed]]))-1)</f>
        <v>39</v>
      </c>
      <c r="R4445" s="161" t="s">
        <v>5709</v>
      </c>
      <c r="S4445" s="150"/>
    </row>
    <row r="4446" spans="1:19" hidden="1">
      <c r="A4446" s="149" t="s">
        <v>6599</v>
      </c>
      <c r="B4446" s="150" t="str">
        <f>IFERROR(VLOOKUP(Proc[[#This Row],[App]],Table2[],3,0),"open")</f>
        <v>ok</v>
      </c>
      <c r="C4446" s="149" t="s">
        <v>369</v>
      </c>
      <c r="D4446" t="s">
        <v>6598</v>
      </c>
      <c r="E4446" t="s">
        <v>6603</v>
      </c>
      <c r="F4446" s="150" t="s">
        <v>6603</v>
      </c>
      <c r="G4446" s="149" t="s">
        <v>406</v>
      </c>
      <c r="H4446" s="150" t="str">
        <f>IF(Proc[[#This Row],[type]]="LFF (MDG-F)",MID(Proc[[#This Row],[Obj]],13,10),"")</f>
        <v>NL10TM3000</v>
      </c>
      <c r="I4446" s="149"/>
      <c r="J4446" s="150" t="b">
        <f>Proc[[#This Row],[Requested]]=Proc[[#This Row],[CurrentParent]]</f>
        <v>1</v>
      </c>
      <c r="K4446" s="150" t="str">
        <f>IF(Proc[[#This Row],[Author]]="Marcela Urrego",VLOOKUP(LEFT(Proc[[#This Row],[Requested]],1),Table3[#All],2,0),VLOOKUP(Proc[[#This Row],[Author]],Table4[],2,0))</f>
        <v>EL</v>
      </c>
      <c r="L4446" s="150" t="s">
        <v>6435</v>
      </c>
      <c r="M4446" s="160">
        <v>45957</v>
      </c>
      <c r="N4446" s="160"/>
      <c r="O4446" s="160"/>
      <c r="P4446" s="161" t="str">
        <f ca="1">IF(Proc[[#This Row],[DaysAgeing]]&gt;5,"yep","on track")</f>
        <v>yep</v>
      </c>
      <c r="Q4446" s="3">
        <f ca="1">IF(Proc[[#This Row],[DateClosed]]="",ABS(NETWORKDAYS(Proc[[#This Row],[DateOpened]],TODAY()))-1,ABS(NETWORKDAYS(Proc[[#This Row],[DateOpened]],Proc[[#This Row],[DateClosed]]))-1)</f>
        <v>39</v>
      </c>
      <c r="R4446" s="161" t="s">
        <v>5709</v>
      </c>
      <c r="S4446" s="150"/>
    </row>
    <row r="4447" spans="1:19" hidden="1">
      <c r="A4447" t="s">
        <v>6606</v>
      </c>
      <c r="B4447" s="150" t="str">
        <f>IFERROR(VLOOKUP(Proc[[#This Row],[App]],Table2[],3,0),"open")</f>
        <v>ok</v>
      </c>
      <c r="C4447" s="149" t="s">
        <v>369</v>
      </c>
      <c r="D4447" t="s">
        <v>6607</v>
      </c>
      <c r="E4447" t="s">
        <v>2467</v>
      </c>
      <c r="F4447" s="150" t="s">
        <v>2467</v>
      </c>
      <c r="G4447" t="s">
        <v>400</v>
      </c>
      <c r="H4447" s="150" t="str">
        <f>IF(Proc[[#This Row],[type]]="LFF (MDG-F)",MID(Proc[[#This Row],[Obj]],13,10),"")</f>
        <v/>
      </c>
      <c r="I4447" s="149"/>
      <c r="J4447" s="150" t="b">
        <f>Proc[[#This Row],[Requested]]=Proc[[#This Row],[CurrentParent]]</f>
        <v>1</v>
      </c>
      <c r="K4447" s="150" t="str">
        <f>IF(Proc[[#This Row],[Author]]="Marcela Urrego",VLOOKUP(LEFT(Proc[[#This Row],[Requested]],1),Table3[#All],2,0),VLOOKUP(Proc[[#This Row],[Author]],Table4[],2,0))</f>
        <v>EL</v>
      </c>
      <c r="L4447" s="150" t="s">
        <v>6435</v>
      </c>
      <c r="M4447" s="161">
        <v>45957</v>
      </c>
      <c r="N4447" s="162"/>
      <c r="O4447" s="162"/>
      <c r="P4447" s="161" t="str">
        <f ca="1">IF(Proc[[#This Row],[DaysAgeing]]&gt;5,"yep","on track")</f>
        <v>yep</v>
      </c>
      <c r="Q4447" s="3">
        <f ca="1">IF(Proc[[#This Row],[DateClosed]]="",ABS(NETWORKDAYS(Proc[[#This Row],[DateOpened]],TODAY()))-1,ABS(NETWORKDAYS(Proc[[#This Row],[DateOpened]],Proc[[#This Row],[DateClosed]]))-1)</f>
        <v>39</v>
      </c>
      <c r="R4447" s="161" t="s">
        <v>780</v>
      </c>
      <c r="S4447" s="150"/>
    </row>
    <row r="4448" spans="1:19" hidden="1">
      <c r="A4448" t="s">
        <v>6608</v>
      </c>
      <c r="B4448" s="150" t="str">
        <f>IFERROR(VLOOKUP(Proc[[#This Row],[App]],Table2[],3,0),"open")</f>
        <v>ok</v>
      </c>
      <c r="C4448" s="149" t="s">
        <v>369</v>
      </c>
      <c r="D4448" t="s">
        <v>6634</v>
      </c>
      <c r="E4448" t="s">
        <v>6609</v>
      </c>
      <c r="F4448" s="149" t="s">
        <v>6609</v>
      </c>
      <c r="G4448" s="149" t="s">
        <v>400</v>
      </c>
      <c r="H4448" s="150" t="str">
        <f>IF(Proc[[#This Row],[type]]="LFF (MDG-F)",MID(Proc[[#This Row],[Obj]],13,10),"")</f>
        <v/>
      </c>
      <c r="J4448" s="150" t="b">
        <f>Proc[[#This Row],[Requested]]=Proc[[#This Row],[CurrentParent]]</f>
        <v>1</v>
      </c>
      <c r="K4448" s="150" t="str">
        <f>IF(Proc[[#This Row],[Author]]="Marcela Urrego",VLOOKUP(LEFT(Proc[[#This Row],[Requested]],1),Table3[#All],2,0),VLOOKUP(Proc[[#This Row],[Author]],Table4[],2,0))</f>
        <v>MGF</v>
      </c>
      <c r="L4448" s="150" t="s">
        <v>6435</v>
      </c>
      <c r="M4448" s="161">
        <v>45957</v>
      </c>
      <c r="N4448" s="162"/>
      <c r="O4448" s="162"/>
      <c r="P4448" s="161" t="str">
        <f ca="1">IF(Proc[[#This Row],[DaysAgeing]]&gt;5,"yep","on track")</f>
        <v>yep</v>
      </c>
      <c r="Q4448" s="3">
        <f ca="1">IF(Proc[[#This Row],[DateClosed]]="",ABS(NETWORKDAYS(Proc[[#This Row],[DateOpened]],TODAY()))-1,ABS(NETWORKDAYS(Proc[[#This Row],[DateOpened]],Proc[[#This Row],[DateClosed]]))-1)</f>
        <v>39</v>
      </c>
      <c r="R4448" s="161" t="s">
        <v>542</v>
      </c>
      <c r="S4448" s="150"/>
    </row>
    <row r="4449" spans="1:19" hidden="1">
      <c r="A4449" s="149" t="s">
        <v>6608</v>
      </c>
      <c r="B4449" s="150" t="str">
        <f>IFERROR(VLOOKUP(Proc[[#This Row],[App]],Table2[],3,0),"open")</f>
        <v>ok</v>
      </c>
      <c r="C4449" s="149" t="s">
        <v>369</v>
      </c>
      <c r="D4449" t="s">
        <v>6635</v>
      </c>
      <c r="E4449" t="s">
        <v>2417</v>
      </c>
      <c r="F4449" s="150"/>
      <c r="G4449" s="149" t="s">
        <v>400</v>
      </c>
      <c r="H4449" s="150" t="str">
        <f>IF(Proc[[#This Row],[type]]="LFF (MDG-F)",MID(Proc[[#This Row],[Obj]],13,10),"")</f>
        <v/>
      </c>
      <c r="I4449" t="s">
        <v>6638</v>
      </c>
      <c r="J4449" s="150" t="b">
        <f>Proc[[#This Row],[Requested]]=Proc[[#This Row],[CurrentParent]]</f>
        <v>0</v>
      </c>
      <c r="K4449" s="150" t="str">
        <f>IF(Proc[[#This Row],[Author]]="Marcela Urrego",VLOOKUP(LEFT(Proc[[#This Row],[Requested]],1),Table3[#All],2,0),VLOOKUP(Proc[[#This Row],[Author]],Table4[],2,0))</f>
        <v>MGF</v>
      </c>
      <c r="L4449" s="150" t="s">
        <v>6435</v>
      </c>
      <c r="M4449" s="161">
        <v>45957</v>
      </c>
      <c r="N4449" s="162"/>
      <c r="O4449" s="162"/>
      <c r="P4449" s="161" t="str">
        <f ca="1">IF(Proc[[#This Row],[DaysAgeing]]&gt;5,"yep","on track")</f>
        <v>yep</v>
      </c>
      <c r="Q4449" s="3">
        <f ca="1">IF(Proc[[#This Row],[DateClosed]]="",ABS(NETWORKDAYS(Proc[[#This Row],[DateOpened]],TODAY()))-1,ABS(NETWORKDAYS(Proc[[#This Row],[DateOpened]],Proc[[#This Row],[DateClosed]]))-1)</f>
        <v>39</v>
      </c>
      <c r="R4449" s="161" t="s">
        <v>542</v>
      </c>
      <c r="S4449" s="150"/>
    </row>
    <row r="4450" spans="1:19" hidden="1">
      <c r="A4450" t="s">
        <v>6628</v>
      </c>
      <c r="B4450" s="150" t="str">
        <f>IFERROR(VLOOKUP(Proc[[#This Row],[App]],Table2[],3,0),"open")</f>
        <v>ok</v>
      </c>
      <c r="C4450" s="149" t="s">
        <v>369</v>
      </c>
      <c r="D4450" t="s">
        <v>5292</v>
      </c>
      <c r="E4450" t="s">
        <v>6623</v>
      </c>
      <c r="F4450" s="150" t="s">
        <v>6623</v>
      </c>
      <c r="G4450" s="149" t="s">
        <v>400</v>
      </c>
      <c r="H4450" s="150" t="str">
        <f>IF(Proc[[#This Row],[type]]="LFF (MDG-F)",MID(Proc[[#This Row],[Obj]],13,10),"")</f>
        <v/>
      </c>
      <c r="J4450" s="150" t="b">
        <f>Proc[[#This Row],[Requested]]=Proc[[#This Row],[CurrentParent]]</f>
        <v>1</v>
      </c>
      <c r="K4450" s="150" t="str">
        <f>IF(Proc[[#This Row],[Author]]="Marcela Urrego",VLOOKUP(LEFT(Proc[[#This Row],[Requested]],1),Table3[#All],2,0),VLOOKUP(Proc[[#This Row],[Author]],Table4[],2,0))</f>
        <v>MGF</v>
      </c>
      <c r="L4450" s="150" t="s">
        <v>6435</v>
      </c>
      <c r="M4450" s="162">
        <v>45958</v>
      </c>
      <c r="N4450" s="162"/>
      <c r="O4450" s="162"/>
      <c r="P4450" s="163" t="str">
        <f ca="1">IF(Proc[[#This Row],[DaysAgeing]]&gt;5,"yep","on track")</f>
        <v>yep</v>
      </c>
      <c r="Q4450" s="3">
        <f ca="1">IF(Proc[[#This Row],[DateClosed]]="",ABS(NETWORKDAYS(Proc[[#This Row],[DateOpened]],TODAY()))-1,ABS(NETWORKDAYS(Proc[[#This Row],[DateOpened]],Proc[[#This Row],[DateClosed]]))-1)</f>
        <v>38</v>
      </c>
      <c r="R4450" s="163" t="s">
        <v>1459</v>
      </c>
      <c r="S4450" s="150"/>
    </row>
    <row r="4451" spans="1:19" hidden="1">
      <c r="A4451" t="s">
        <v>6628</v>
      </c>
      <c r="B4451" s="150" t="str">
        <f>IFERROR(VLOOKUP(Proc[[#This Row],[App]],Table2[],3,0),"open")</f>
        <v>ok</v>
      </c>
      <c r="C4451" s="149" t="s">
        <v>369</v>
      </c>
      <c r="D4451" t="s">
        <v>5441</v>
      </c>
      <c r="E4451" t="s">
        <v>6624</v>
      </c>
      <c r="F4451" s="150" t="s">
        <v>6624</v>
      </c>
      <c r="G4451" s="149" t="s">
        <v>400</v>
      </c>
      <c r="H4451" s="150" t="str">
        <f>IF(Proc[[#This Row],[type]]="LFF (MDG-F)",MID(Proc[[#This Row],[Obj]],13,10),"")</f>
        <v/>
      </c>
      <c r="J4451" s="150" t="b">
        <f>Proc[[#This Row],[Requested]]=Proc[[#This Row],[CurrentParent]]</f>
        <v>1</v>
      </c>
      <c r="K4451" s="150" t="str">
        <f>IF(Proc[[#This Row],[Author]]="Marcela Urrego",VLOOKUP(LEFT(Proc[[#This Row],[Requested]],1),Table3[#All],2,0),VLOOKUP(Proc[[#This Row],[Author]],Table4[],2,0))</f>
        <v>MGF</v>
      </c>
      <c r="L4451" s="150" t="s">
        <v>6435</v>
      </c>
      <c r="M4451" s="162">
        <v>45958</v>
      </c>
      <c r="N4451" s="162"/>
      <c r="O4451" s="162"/>
      <c r="P4451" s="163" t="str">
        <f ca="1">IF(Proc[[#This Row],[DaysAgeing]]&gt;5,"yep","on track")</f>
        <v>yep</v>
      </c>
      <c r="Q4451" s="3">
        <f ca="1">IF(Proc[[#This Row],[DateClosed]]="",ABS(NETWORKDAYS(Proc[[#This Row],[DateOpened]],TODAY()))-1,ABS(NETWORKDAYS(Proc[[#This Row],[DateOpened]],Proc[[#This Row],[DateClosed]]))-1)</f>
        <v>38</v>
      </c>
      <c r="R4451" s="163" t="s">
        <v>1459</v>
      </c>
      <c r="S4451" s="150"/>
    </row>
    <row r="4452" spans="1:19" hidden="1">
      <c r="A4452" s="149" t="s">
        <v>6628</v>
      </c>
      <c r="B4452" s="150" t="str">
        <f>IFERROR(VLOOKUP(Proc[[#This Row],[App]],Table2[],3,0),"open")</f>
        <v>ok</v>
      </c>
      <c r="C4452" s="149" t="s">
        <v>369</v>
      </c>
      <c r="D4452" t="s">
        <v>5294</v>
      </c>
      <c r="E4452" t="s">
        <v>6623</v>
      </c>
      <c r="F4452" s="150" t="s">
        <v>6623</v>
      </c>
      <c r="G4452" s="149" t="s">
        <v>400</v>
      </c>
      <c r="H4452" s="150" t="str">
        <f>IF(Proc[[#This Row],[type]]="LFF (MDG-F)",MID(Proc[[#This Row],[Obj]],13,10),"")</f>
        <v/>
      </c>
      <c r="J4452" s="150" t="b">
        <f>Proc[[#This Row],[Requested]]=Proc[[#This Row],[CurrentParent]]</f>
        <v>1</v>
      </c>
      <c r="K4452" s="150" t="str">
        <f>IF(Proc[[#This Row],[Author]]="Marcela Urrego",VLOOKUP(LEFT(Proc[[#This Row],[Requested]],1),Table3[#All],2,0),VLOOKUP(Proc[[#This Row],[Author]],Table4[],2,0))</f>
        <v>MGF</v>
      </c>
      <c r="L4452" s="150" t="s">
        <v>6435</v>
      </c>
      <c r="M4452" s="162">
        <v>45958</v>
      </c>
      <c r="N4452" s="162"/>
      <c r="O4452" s="162"/>
      <c r="P4452" s="163" t="str">
        <f ca="1">IF(Proc[[#This Row],[DaysAgeing]]&gt;5,"yep","on track")</f>
        <v>yep</v>
      </c>
      <c r="Q4452" s="3">
        <f ca="1">IF(Proc[[#This Row],[DateClosed]]="",ABS(NETWORKDAYS(Proc[[#This Row],[DateOpened]],TODAY()))-1,ABS(NETWORKDAYS(Proc[[#This Row],[DateOpened]],Proc[[#This Row],[DateClosed]]))-1)</f>
        <v>38</v>
      </c>
      <c r="R4452" s="163" t="s">
        <v>1459</v>
      </c>
      <c r="S4452" s="150"/>
    </row>
    <row r="4453" spans="1:19" hidden="1">
      <c r="A4453" s="149" t="s">
        <v>6628</v>
      </c>
      <c r="B4453" s="150" t="str">
        <f>IFERROR(VLOOKUP(Proc[[#This Row],[App]],Table2[],3,0),"open")</f>
        <v>ok</v>
      </c>
      <c r="C4453" s="149" t="s">
        <v>369</v>
      </c>
      <c r="D4453" t="s">
        <v>5307</v>
      </c>
      <c r="E4453" t="s">
        <v>6623</v>
      </c>
      <c r="F4453" s="150" t="s">
        <v>6623</v>
      </c>
      <c r="G4453" s="149" t="s">
        <v>400</v>
      </c>
      <c r="H4453" s="150" t="str">
        <f>IF(Proc[[#This Row],[type]]="LFF (MDG-F)",MID(Proc[[#This Row],[Obj]],13,10),"")</f>
        <v/>
      </c>
      <c r="J4453" s="150" t="b">
        <f>Proc[[#This Row],[Requested]]=Proc[[#This Row],[CurrentParent]]</f>
        <v>1</v>
      </c>
      <c r="K4453" s="150" t="str">
        <f>IF(Proc[[#This Row],[Author]]="Marcela Urrego",VLOOKUP(LEFT(Proc[[#This Row],[Requested]],1),Table3[#All],2,0),VLOOKUP(Proc[[#This Row],[Author]],Table4[],2,0))</f>
        <v>MGF</v>
      </c>
      <c r="L4453" s="150" t="s">
        <v>6435</v>
      </c>
      <c r="M4453" s="162">
        <v>45958</v>
      </c>
      <c r="N4453" s="162"/>
      <c r="O4453" s="162"/>
      <c r="P4453" s="163" t="str">
        <f ca="1">IF(Proc[[#This Row],[DaysAgeing]]&gt;5,"yep","on track")</f>
        <v>yep</v>
      </c>
      <c r="Q4453" s="3">
        <f ca="1">IF(Proc[[#This Row],[DateClosed]]="",ABS(NETWORKDAYS(Proc[[#This Row],[DateOpened]],TODAY()))-1,ABS(NETWORKDAYS(Proc[[#This Row],[DateOpened]],Proc[[#This Row],[DateClosed]]))-1)</f>
        <v>38</v>
      </c>
      <c r="R4453" s="163" t="s">
        <v>1459</v>
      </c>
      <c r="S4453" s="150"/>
    </row>
    <row r="4454" spans="1:19" hidden="1">
      <c r="A4454" s="149" t="s">
        <v>6628</v>
      </c>
      <c r="B4454" s="150" t="str">
        <f>IFERROR(VLOOKUP(Proc[[#This Row],[App]],Table2[],3,0),"open")</f>
        <v>ok</v>
      </c>
      <c r="C4454" s="149" t="s">
        <v>369</v>
      </c>
      <c r="D4454" t="s">
        <v>5439</v>
      </c>
      <c r="E4454" t="s">
        <v>6624</v>
      </c>
      <c r="F4454" s="150" t="s">
        <v>6624</v>
      </c>
      <c r="G4454" s="149" t="s">
        <v>400</v>
      </c>
      <c r="H4454" s="150" t="str">
        <f>IF(Proc[[#This Row],[type]]="LFF (MDG-F)",MID(Proc[[#This Row],[Obj]],13,10),"")</f>
        <v/>
      </c>
      <c r="J4454" s="150" t="b">
        <f>Proc[[#This Row],[Requested]]=Proc[[#This Row],[CurrentParent]]</f>
        <v>1</v>
      </c>
      <c r="K4454" s="150" t="str">
        <f>IF(Proc[[#This Row],[Author]]="Marcela Urrego",VLOOKUP(LEFT(Proc[[#This Row],[Requested]],1),Table3[#All],2,0),VLOOKUP(Proc[[#This Row],[Author]],Table4[],2,0))</f>
        <v>MGF</v>
      </c>
      <c r="L4454" s="150" t="s">
        <v>6435</v>
      </c>
      <c r="M4454" s="162">
        <v>45958</v>
      </c>
      <c r="N4454" s="162"/>
      <c r="O4454" s="162"/>
      <c r="P4454" s="163" t="str">
        <f ca="1">IF(Proc[[#This Row],[DaysAgeing]]&gt;5,"yep","on track")</f>
        <v>yep</v>
      </c>
      <c r="Q4454" s="3">
        <f ca="1">IF(Proc[[#This Row],[DateClosed]]="",ABS(NETWORKDAYS(Proc[[#This Row],[DateOpened]],TODAY()))-1,ABS(NETWORKDAYS(Proc[[#This Row],[DateOpened]],Proc[[#This Row],[DateClosed]]))-1)</f>
        <v>38</v>
      </c>
      <c r="R4454" s="163" t="s">
        <v>1459</v>
      </c>
      <c r="S4454" s="150"/>
    </row>
    <row r="4455" spans="1:19" hidden="1">
      <c r="A4455" s="149" t="s">
        <v>6628</v>
      </c>
      <c r="B4455" s="150" t="str">
        <f>IFERROR(VLOOKUP(Proc[[#This Row],[App]],Table2[],3,0),"open")</f>
        <v>ok</v>
      </c>
      <c r="C4455" s="149" t="s">
        <v>369</v>
      </c>
      <c r="D4455" t="s">
        <v>5306</v>
      </c>
      <c r="E4455" t="s">
        <v>6623</v>
      </c>
      <c r="F4455" s="150" t="s">
        <v>6623</v>
      </c>
      <c r="G4455" s="149" t="s">
        <v>400</v>
      </c>
      <c r="H4455" s="150" t="str">
        <f>IF(Proc[[#This Row],[type]]="LFF (MDG-F)",MID(Proc[[#This Row],[Obj]],13,10),"")</f>
        <v/>
      </c>
      <c r="J4455" s="150" t="b">
        <f>Proc[[#This Row],[Requested]]=Proc[[#This Row],[CurrentParent]]</f>
        <v>1</v>
      </c>
      <c r="K4455" s="150" t="str">
        <f>IF(Proc[[#This Row],[Author]]="Marcela Urrego",VLOOKUP(LEFT(Proc[[#This Row],[Requested]],1),Table3[#All],2,0),VLOOKUP(Proc[[#This Row],[Author]],Table4[],2,0))</f>
        <v>MGF</v>
      </c>
      <c r="L4455" s="150" t="s">
        <v>6435</v>
      </c>
      <c r="M4455" s="162">
        <v>45958</v>
      </c>
      <c r="N4455" s="162"/>
      <c r="O4455" s="162"/>
      <c r="P4455" s="163" t="str">
        <f ca="1">IF(Proc[[#This Row],[DaysAgeing]]&gt;5,"yep","on track")</f>
        <v>yep</v>
      </c>
      <c r="Q4455" s="3">
        <f ca="1">IF(Proc[[#This Row],[DateClosed]]="",ABS(NETWORKDAYS(Proc[[#This Row],[DateOpened]],TODAY()))-1,ABS(NETWORKDAYS(Proc[[#This Row],[DateOpened]],Proc[[#This Row],[DateClosed]]))-1)</f>
        <v>38</v>
      </c>
      <c r="R4455" s="163" t="s">
        <v>1459</v>
      </c>
      <c r="S4455" s="150"/>
    </row>
    <row r="4456" spans="1:19" hidden="1">
      <c r="A4456" s="149" t="s">
        <v>6628</v>
      </c>
      <c r="B4456" s="150" t="str">
        <f>IFERROR(VLOOKUP(Proc[[#This Row],[App]],Table2[],3,0),"open")</f>
        <v>ok</v>
      </c>
      <c r="C4456" s="149" t="s">
        <v>369</v>
      </c>
      <c r="D4456" t="s">
        <v>5311</v>
      </c>
      <c r="E4456" t="s">
        <v>6623</v>
      </c>
      <c r="F4456" s="150" t="s">
        <v>6623</v>
      </c>
      <c r="G4456" s="149" t="s">
        <v>400</v>
      </c>
      <c r="H4456" s="150" t="str">
        <f>IF(Proc[[#This Row],[type]]="LFF (MDG-F)",MID(Proc[[#This Row],[Obj]],13,10),"")</f>
        <v/>
      </c>
      <c r="J4456" s="150" t="b">
        <f>Proc[[#This Row],[Requested]]=Proc[[#This Row],[CurrentParent]]</f>
        <v>1</v>
      </c>
      <c r="K4456" s="150" t="str">
        <f>IF(Proc[[#This Row],[Author]]="Marcela Urrego",VLOOKUP(LEFT(Proc[[#This Row],[Requested]],1),Table3[#All],2,0),VLOOKUP(Proc[[#This Row],[Author]],Table4[],2,0))</f>
        <v>MGF</v>
      </c>
      <c r="L4456" s="150" t="s">
        <v>6435</v>
      </c>
      <c r="M4456" s="162">
        <v>45958</v>
      </c>
      <c r="N4456" s="162"/>
      <c r="O4456" s="162"/>
      <c r="P4456" s="163" t="str">
        <f ca="1">IF(Proc[[#This Row],[DaysAgeing]]&gt;5,"yep","on track")</f>
        <v>yep</v>
      </c>
      <c r="Q4456" s="3">
        <f ca="1">IF(Proc[[#This Row],[DateClosed]]="",ABS(NETWORKDAYS(Proc[[#This Row],[DateOpened]],TODAY()))-1,ABS(NETWORKDAYS(Proc[[#This Row],[DateOpened]],Proc[[#This Row],[DateClosed]]))-1)</f>
        <v>38</v>
      </c>
      <c r="R4456" s="163" t="s">
        <v>1459</v>
      </c>
      <c r="S4456" s="150"/>
    </row>
    <row r="4457" spans="1:19" hidden="1">
      <c r="A4457" s="149" t="s">
        <v>6628</v>
      </c>
      <c r="B4457" s="150" t="str">
        <f>IFERROR(VLOOKUP(Proc[[#This Row],[App]],Table2[],3,0),"open")</f>
        <v>ok</v>
      </c>
      <c r="C4457" s="149" t="s">
        <v>369</v>
      </c>
      <c r="D4457" t="s">
        <v>6610</v>
      </c>
      <c r="E4457" t="s">
        <v>6604</v>
      </c>
      <c r="F4457" s="150" t="s">
        <v>6604</v>
      </c>
      <c r="G4457" t="s">
        <v>406</v>
      </c>
      <c r="H4457" s="150" t="str">
        <f>IF(Proc[[#This Row],[type]]="LFF (MDG-F)",MID(Proc[[#This Row],[Obj]],13,10),"")</f>
        <v>IT50YIT001</v>
      </c>
      <c r="J4457" s="150" t="b">
        <f>Proc[[#This Row],[Requested]]=Proc[[#This Row],[CurrentParent]]</f>
        <v>1</v>
      </c>
      <c r="K4457" s="150" t="str">
        <f>IF(Proc[[#This Row],[Author]]="Marcela Urrego",VLOOKUP(LEFT(Proc[[#This Row],[Requested]],1),Table3[#All],2,0),VLOOKUP(Proc[[#This Row],[Author]],Table4[],2,0))</f>
        <v>MGF</v>
      </c>
      <c r="L4457" s="150" t="s">
        <v>6435</v>
      </c>
      <c r="M4457" s="162">
        <v>45958</v>
      </c>
      <c r="N4457" s="162"/>
      <c r="O4457" s="162"/>
      <c r="P4457" s="163" t="str">
        <f ca="1">IF(Proc[[#This Row],[DaysAgeing]]&gt;5,"yep","on track")</f>
        <v>yep</v>
      </c>
      <c r="Q4457" s="3">
        <f ca="1">IF(Proc[[#This Row],[DateClosed]]="",ABS(NETWORKDAYS(Proc[[#This Row],[DateOpened]],TODAY()))-1,ABS(NETWORKDAYS(Proc[[#This Row],[DateOpened]],Proc[[#This Row],[DateClosed]]))-1)</f>
        <v>38</v>
      </c>
      <c r="R4457" s="163" t="s">
        <v>1459</v>
      </c>
      <c r="S4457" s="150"/>
    </row>
    <row r="4458" spans="1:19" hidden="1">
      <c r="A4458" s="149" t="s">
        <v>6628</v>
      </c>
      <c r="B4458" s="150" t="str">
        <f>IFERROR(VLOOKUP(Proc[[#This Row],[App]],Table2[],3,0),"open")</f>
        <v>ok</v>
      </c>
      <c r="C4458" s="149" t="s">
        <v>369</v>
      </c>
      <c r="D4458" t="s">
        <v>6611</v>
      </c>
      <c r="E4458" t="s">
        <v>6625</v>
      </c>
      <c r="F4458" s="150" t="s">
        <v>6625</v>
      </c>
      <c r="G4458" t="s">
        <v>400</v>
      </c>
      <c r="H4458" s="150" t="str">
        <f>IF(Proc[[#This Row],[type]]="LFF (MDG-F)",MID(Proc[[#This Row],[Obj]],13,10),"")</f>
        <v/>
      </c>
      <c r="J4458" s="150" t="b">
        <f>Proc[[#This Row],[Requested]]=Proc[[#This Row],[CurrentParent]]</f>
        <v>1</v>
      </c>
      <c r="K4458" s="150" t="str">
        <f>IF(Proc[[#This Row],[Author]]="Marcela Urrego",VLOOKUP(LEFT(Proc[[#This Row],[Requested]],1),Table3[#All],2,0),VLOOKUP(Proc[[#This Row],[Author]],Table4[],2,0))</f>
        <v>MGF</v>
      </c>
      <c r="L4458" s="150" t="s">
        <v>6435</v>
      </c>
      <c r="M4458" s="162">
        <v>45958</v>
      </c>
      <c r="N4458" s="162"/>
      <c r="O4458" s="162"/>
      <c r="P4458" s="163" t="str">
        <f ca="1">IF(Proc[[#This Row],[DaysAgeing]]&gt;5,"yep","on track")</f>
        <v>yep</v>
      </c>
      <c r="Q4458" s="3">
        <f ca="1">IF(Proc[[#This Row],[DateClosed]]="",ABS(NETWORKDAYS(Proc[[#This Row],[DateOpened]],TODAY()))-1,ABS(NETWORKDAYS(Proc[[#This Row],[DateOpened]],Proc[[#This Row],[DateClosed]]))-1)</f>
        <v>38</v>
      </c>
      <c r="R4458" s="163" t="s">
        <v>1459</v>
      </c>
      <c r="S4458" s="150"/>
    </row>
    <row r="4459" spans="1:19" hidden="1">
      <c r="A4459" s="149" t="s">
        <v>6628</v>
      </c>
      <c r="B4459" s="150" t="str">
        <f>IFERROR(VLOOKUP(Proc[[#This Row],[App]],Table2[],3,0),"open")</f>
        <v>ok</v>
      </c>
      <c r="C4459" s="149" t="s">
        <v>369</v>
      </c>
      <c r="D4459" t="s">
        <v>1827</v>
      </c>
      <c r="E4459" t="s">
        <v>6626</v>
      </c>
      <c r="F4459" s="150" t="s">
        <v>6626</v>
      </c>
      <c r="G4459" t="s">
        <v>406</v>
      </c>
      <c r="H4459" s="150" t="str">
        <f>IF(Proc[[#This Row],[type]]="LFF (MDG-F)",MID(Proc[[#This Row],[Obj]],13,10),"")</f>
        <v>DE10GIT04K</v>
      </c>
      <c r="J4459" s="150" t="b">
        <f>Proc[[#This Row],[Requested]]=Proc[[#This Row],[CurrentParent]]</f>
        <v>1</v>
      </c>
      <c r="K4459" s="150" t="str">
        <f>IF(Proc[[#This Row],[Author]]="Marcela Urrego",VLOOKUP(LEFT(Proc[[#This Row],[Requested]],1),Table3[#All],2,0),VLOOKUP(Proc[[#This Row],[Author]],Table4[],2,0))</f>
        <v>MGF</v>
      </c>
      <c r="L4459" s="150" t="s">
        <v>6435</v>
      </c>
      <c r="M4459" s="162">
        <v>45958</v>
      </c>
      <c r="N4459" s="162"/>
      <c r="O4459" s="162"/>
      <c r="P4459" s="163" t="str">
        <f ca="1">IF(Proc[[#This Row],[DaysAgeing]]&gt;5,"yep","on track")</f>
        <v>yep</v>
      </c>
      <c r="Q4459" s="3">
        <f ca="1">IF(Proc[[#This Row],[DateClosed]]="",ABS(NETWORKDAYS(Proc[[#This Row],[DateOpened]],TODAY()))-1,ABS(NETWORKDAYS(Proc[[#This Row],[DateOpened]],Proc[[#This Row],[DateClosed]]))-1)</f>
        <v>38</v>
      </c>
      <c r="R4459" s="163" t="s">
        <v>1459</v>
      </c>
      <c r="S4459" s="150"/>
    </row>
    <row r="4460" spans="1:19" hidden="1">
      <c r="A4460" s="149" t="s">
        <v>6628</v>
      </c>
      <c r="B4460" s="150" t="str">
        <f>IFERROR(VLOOKUP(Proc[[#This Row],[App]],Table2[],3,0),"open")</f>
        <v>ok</v>
      </c>
      <c r="C4460" s="149" t="s">
        <v>369</v>
      </c>
      <c r="D4460" t="s">
        <v>6612</v>
      </c>
      <c r="E4460" t="s">
        <v>6625</v>
      </c>
      <c r="F4460" s="150" t="s">
        <v>6625</v>
      </c>
      <c r="G4460" t="s">
        <v>406</v>
      </c>
      <c r="H4460" s="150" t="str">
        <f>IF(Proc[[#This Row],[type]]="LFF (MDG-F)",MID(Proc[[#This Row],[Obj]],13,10),"")</f>
        <v>DE10638210</v>
      </c>
      <c r="J4460" s="150" t="b">
        <f>Proc[[#This Row],[Requested]]=Proc[[#This Row],[CurrentParent]]</f>
        <v>1</v>
      </c>
      <c r="K4460" s="150" t="str">
        <f>IF(Proc[[#This Row],[Author]]="Marcela Urrego",VLOOKUP(LEFT(Proc[[#This Row],[Requested]],1),Table3[#All],2,0),VLOOKUP(Proc[[#This Row],[Author]],Table4[],2,0))</f>
        <v>MGF</v>
      </c>
      <c r="L4460" s="150" t="s">
        <v>6435</v>
      </c>
      <c r="M4460" s="162">
        <v>45958</v>
      </c>
      <c r="N4460" s="162"/>
      <c r="O4460" s="162"/>
      <c r="P4460" s="163" t="str">
        <f ca="1">IF(Proc[[#This Row],[DaysAgeing]]&gt;5,"yep","on track")</f>
        <v>yep</v>
      </c>
      <c r="Q4460" s="3">
        <f ca="1">IF(Proc[[#This Row],[DateClosed]]="",ABS(NETWORKDAYS(Proc[[#This Row],[DateOpened]],TODAY()))-1,ABS(NETWORKDAYS(Proc[[#This Row],[DateOpened]],Proc[[#This Row],[DateClosed]]))-1)</f>
        <v>38</v>
      </c>
      <c r="R4460" s="163" t="s">
        <v>1459</v>
      </c>
      <c r="S4460" s="150"/>
    </row>
    <row r="4461" spans="1:19" hidden="1">
      <c r="A4461" s="149" t="s">
        <v>6628</v>
      </c>
      <c r="B4461" s="150" t="str">
        <f>IFERROR(VLOOKUP(Proc[[#This Row],[App]],Table2[],3,0),"open")</f>
        <v>ok</v>
      </c>
      <c r="C4461" s="149" t="s">
        <v>369</v>
      </c>
      <c r="D4461" t="s">
        <v>6613</v>
      </c>
      <c r="E4461" t="s">
        <v>6626</v>
      </c>
      <c r="F4461" s="150" t="s">
        <v>6626</v>
      </c>
      <c r="G4461" s="149" t="s">
        <v>406</v>
      </c>
      <c r="H4461" s="150" t="str">
        <f>IF(Proc[[#This Row],[type]]="LFF (MDG-F)",MID(Proc[[#This Row],[Obj]],13,10),"")</f>
        <v>DE10GIT101</v>
      </c>
      <c r="J4461" s="150" t="b">
        <f>Proc[[#This Row],[Requested]]=Proc[[#This Row],[CurrentParent]]</f>
        <v>1</v>
      </c>
      <c r="K4461" s="150" t="str">
        <f>IF(Proc[[#This Row],[Author]]="Marcela Urrego",VLOOKUP(LEFT(Proc[[#This Row],[Requested]],1),Table3[#All],2,0),VLOOKUP(Proc[[#This Row],[Author]],Table4[],2,0))</f>
        <v>MGF</v>
      </c>
      <c r="L4461" s="150" t="s">
        <v>6435</v>
      </c>
      <c r="M4461" s="162">
        <v>45958</v>
      </c>
      <c r="N4461" s="162"/>
      <c r="O4461" s="162"/>
      <c r="P4461" s="163" t="str">
        <f ca="1">IF(Proc[[#This Row],[DaysAgeing]]&gt;5,"yep","on track")</f>
        <v>yep</v>
      </c>
      <c r="Q4461" s="3">
        <f ca="1">IF(Proc[[#This Row],[DateClosed]]="",ABS(NETWORKDAYS(Proc[[#This Row],[DateOpened]],TODAY()))-1,ABS(NETWORKDAYS(Proc[[#This Row],[DateOpened]],Proc[[#This Row],[DateClosed]]))-1)</f>
        <v>38</v>
      </c>
      <c r="R4461" s="163" t="s">
        <v>1459</v>
      </c>
      <c r="S4461" s="150"/>
    </row>
    <row r="4462" spans="1:19" hidden="1">
      <c r="A4462" s="149" t="s">
        <v>6628</v>
      </c>
      <c r="B4462" s="150" t="str">
        <f>IFERROR(VLOOKUP(Proc[[#This Row],[App]],Table2[],3,0),"open")</f>
        <v>ok</v>
      </c>
      <c r="C4462" s="149" t="s">
        <v>369</v>
      </c>
      <c r="D4462" t="s">
        <v>6614</v>
      </c>
      <c r="E4462" t="s">
        <v>6626</v>
      </c>
      <c r="F4462" s="150" t="s">
        <v>6626</v>
      </c>
      <c r="G4462" s="149" t="s">
        <v>406</v>
      </c>
      <c r="H4462" s="150" t="str">
        <f>IF(Proc[[#This Row],[type]]="LFF (MDG-F)",MID(Proc[[#This Row],[Obj]],13,10),"")</f>
        <v>DE10GIT02K</v>
      </c>
      <c r="J4462" s="150" t="b">
        <f>Proc[[#This Row],[Requested]]=Proc[[#This Row],[CurrentParent]]</f>
        <v>1</v>
      </c>
      <c r="K4462" s="150" t="str">
        <f>IF(Proc[[#This Row],[Author]]="Marcela Urrego",VLOOKUP(LEFT(Proc[[#This Row],[Requested]],1),Table3[#All],2,0),VLOOKUP(Proc[[#This Row],[Author]],Table4[],2,0))</f>
        <v>MGF</v>
      </c>
      <c r="L4462" s="150" t="s">
        <v>6435</v>
      </c>
      <c r="M4462" s="162">
        <v>45958</v>
      </c>
      <c r="N4462" s="162"/>
      <c r="O4462" s="162"/>
      <c r="P4462" s="163" t="str">
        <f ca="1">IF(Proc[[#This Row],[DaysAgeing]]&gt;5,"yep","on track")</f>
        <v>yep</v>
      </c>
      <c r="Q4462" s="3">
        <f ca="1">IF(Proc[[#This Row],[DateClosed]]="",ABS(NETWORKDAYS(Proc[[#This Row],[DateOpened]],TODAY()))-1,ABS(NETWORKDAYS(Proc[[#This Row],[DateOpened]],Proc[[#This Row],[DateClosed]]))-1)</f>
        <v>38</v>
      </c>
      <c r="R4462" s="163" t="s">
        <v>1459</v>
      </c>
      <c r="S4462" s="150"/>
    </row>
    <row r="4463" spans="1:19" hidden="1">
      <c r="A4463" s="149" t="s">
        <v>6628</v>
      </c>
      <c r="B4463" s="150" t="str">
        <f>IFERROR(VLOOKUP(Proc[[#This Row],[App]],Table2[],3,0),"open")</f>
        <v>ok</v>
      </c>
      <c r="C4463" s="149" t="s">
        <v>369</v>
      </c>
      <c r="D4463" t="s">
        <v>5436</v>
      </c>
      <c r="E4463" t="s">
        <v>6624</v>
      </c>
      <c r="F4463" s="150" t="s">
        <v>6624</v>
      </c>
      <c r="G4463" s="149" t="s">
        <v>406</v>
      </c>
      <c r="H4463" s="150" t="str">
        <f>IF(Proc[[#This Row],[type]]="LFF (MDG-F)",MID(Proc[[#This Row],[Obj]],13,10),"")</f>
        <v>DE10669638</v>
      </c>
      <c r="J4463" s="150" t="b">
        <f>Proc[[#This Row],[Requested]]=Proc[[#This Row],[CurrentParent]]</f>
        <v>1</v>
      </c>
      <c r="K4463" s="150" t="str">
        <f>IF(Proc[[#This Row],[Author]]="Marcela Urrego",VLOOKUP(LEFT(Proc[[#This Row],[Requested]],1),Table3[#All],2,0),VLOOKUP(Proc[[#This Row],[Author]],Table4[],2,0))</f>
        <v>MGF</v>
      </c>
      <c r="L4463" s="150" t="s">
        <v>6435</v>
      </c>
      <c r="M4463" s="162">
        <v>45958</v>
      </c>
      <c r="N4463" s="162"/>
      <c r="O4463" s="162"/>
      <c r="P4463" s="163" t="str">
        <f ca="1">IF(Proc[[#This Row],[DaysAgeing]]&gt;5,"yep","on track")</f>
        <v>yep</v>
      </c>
      <c r="Q4463" s="3">
        <f ca="1">IF(Proc[[#This Row],[DateClosed]]="",ABS(NETWORKDAYS(Proc[[#This Row],[DateOpened]],TODAY()))-1,ABS(NETWORKDAYS(Proc[[#This Row],[DateOpened]],Proc[[#This Row],[DateClosed]]))-1)</f>
        <v>38</v>
      </c>
      <c r="R4463" s="163" t="s">
        <v>1459</v>
      </c>
      <c r="S4463" s="150"/>
    </row>
    <row r="4464" spans="1:19" hidden="1">
      <c r="A4464" s="149" t="s">
        <v>6628</v>
      </c>
      <c r="B4464" s="150" t="str">
        <f>IFERROR(VLOOKUP(Proc[[#This Row],[App]],Table2[],3,0),"open")</f>
        <v>ok</v>
      </c>
      <c r="C4464" s="149" t="s">
        <v>369</v>
      </c>
      <c r="D4464" t="s">
        <v>5328</v>
      </c>
      <c r="E4464" t="s">
        <v>6623</v>
      </c>
      <c r="F4464" s="150" t="s">
        <v>6623</v>
      </c>
      <c r="G4464" s="149" t="s">
        <v>406</v>
      </c>
      <c r="H4464" s="150" t="str">
        <f>IF(Proc[[#This Row],[type]]="LFF (MDG-F)",MID(Proc[[#This Row],[Obj]],13,10),"")</f>
        <v>DE10669636</v>
      </c>
      <c r="J4464" s="150" t="b">
        <f>Proc[[#This Row],[Requested]]=Proc[[#This Row],[CurrentParent]]</f>
        <v>1</v>
      </c>
      <c r="K4464" s="150" t="str">
        <f>IF(Proc[[#This Row],[Author]]="Marcela Urrego",VLOOKUP(LEFT(Proc[[#This Row],[Requested]],1),Table3[#All],2,0),VLOOKUP(Proc[[#This Row],[Author]],Table4[],2,0))</f>
        <v>MGF</v>
      </c>
      <c r="L4464" s="150" t="s">
        <v>6435</v>
      </c>
      <c r="M4464" s="162">
        <v>45958</v>
      </c>
      <c r="N4464" s="162"/>
      <c r="O4464" s="162"/>
      <c r="P4464" s="163" t="str">
        <f ca="1">IF(Proc[[#This Row],[DaysAgeing]]&gt;5,"yep","on track")</f>
        <v>yep</v>
      </c>
      <c r="Q4464" s="3">
        <f ca="1">IF(Proc[[#This Row],[DateClosed]]="",ABS(NETWORKDAYS(Proc[[#This Row],[DateOpened]],TODAY()))-1,ABS(NETWORKDAYS(Proc[[#This Row],[DateOpened]],Proc[[#This Row],[DateClosed]]))-1)</f>
        <v>38</v>
      </c>
      <c r="R4464" s="163" t="s">
        <v>1459</v>
      </c>
      <c r="S4464" s="150"/>
    </row>
    <row r="4465" spans="1:19" hidden="1">
      <c r="A4465" s="149" t="s">
        <v>6628</v>
      </c>
      <c r="B4465" s="150" t="str">
        <f>IFERROR(VLOOKUP(Proc[[#This Row],[App]],Table2[],3,0),"open")</f>
        <v>ok</v>
      </c>
      <c r="C4465" s="149" t="s">
        <v>369</v>
      </c>
      <c r="D4465" t="s">
        <v>5366</v>
      </c>
      <c r="E4465" t="s">
        <v>6623</v>
      </c>
      <c r="F4465" s="150" t="s">
        <v>6623</v>
      </c>
      <c r="G4465" t="s">
        <v>400</v>
      </c>
      <c r="H4465" s="150" t="str">
        <f>IF(Proc[[#This Row],[type]]="LFF (MDG-F)",MID(Proc[[#This Row],[Obj]],13,10),"")</f>
        <v/>
      </c>
      <c r="J4465" s="150" t="b">
        <f>Proc[[#This Row],[Requested]]=Proc[[#This Row],[CurrentParent]]</f>
        <v>1</v>
      </c>
      <c r="K4465" s="150" t="str">
        <f>IF(Proc[[#This Row],[Author]]="Marcela Urrego",VLOOKUP(LEFT(Proc[[#This Row],[Requested]],1),Table3[#All],2,0),VLOOKUP(Proc[[#This Row],[Author]],Table4[],2,0))</f>
        <v>MGF</v>
      </c>
      <c r="L4465" s="150" t="s">
        <v>6435</v>
      </c>
      <c r="M4465" s="162">
        <v>45958</v>
      </c>
      <c r="N4465" s="162"/>
      <c r="O4465" s="162"/>
      <c r="P4465" s="163" t="str">
        <f ca="1">IF(Proc[[#This Row],[DaysAgeing]]&gt;5,"yep","on track")</f>
        <v>yep</v>
      </c>
      <c r="Q4465" s="3">
        <f ca="1">IF(Proc[[#This Row],[DateClosed]]="",ABS(NETWORKDAYS(Proc[[#This Row],[DateOpened]],TODAY()))-1,ABS(NETWORKDAYS(Proc[[#This Row],[DateOpened]],Proc[[#This Row],[DateClosed]]))-1)</f>
        <v>38</v>
      </c>
      <c r="R4465" s="163" t="s">
        <v>1459</v>
      </c>
      <c r="S4465" s="150"/>
    </row>
    <row r="4466" spans="1:19" hidden="1">
      <c r="A4466" s="149" t="s">
        <v>6628</v>
      </c>
      <c r="B4466" s="150" t="str">
        <f>IFERROR(VLOOKUP(Proc[[#This Row],[App]],Table2[],3,0),"open")</f>
        <v>ok</v>
      </c>
      <c r="C4466" s="149" t="s">
        <v>369</v>
      </c>
      <c r="D4466" t="s">
        <v>6615</v>
      </c>
      <c r="E4466" t="s">
        <v>6604</v>
      </c>
      <c r="F4466" s="150" t="s">
        <v>6604</v>
      </c>
      <c r="G4466" t="s">
        <v>406</v>
      </c>
      <c r="H4466" s="150" t="str">
        <f>IF(Proc[[#This Row],[type]]="LFF (MDG-F)",MID(Proc[[#This Row],[Obj]],13,10),"")</f>
        <v>CH65GIT20H</v>
      </c>
      <c r="J4466" s="150" t="b">
        <f>Proc[[#This Row],[Requested]]=Proc[[#This Row],[CurrentParent]]</f>
        <v>1</v>
      </c>
      <c r="K4466" s="150" t="str">
        <f>IF(Proc[[#This Row],[Author]]="Marcela Urrego",VLOOKUP(LEFT(Proc[[#This Row],[Requested]],1),Table3[#All],2,0),VLOOKUP(Proc[[#This Row],[Author]],Table4[],2,0))</f>
        <v>MGF</v>
      </c>
      <c r="L4466" s="150" t="s">
        <v>6435</v>
      </c>
      <c r="M4466" s="162">
        <v>45958</v>
      </c>
      <c r="N4466" s="162"/>
      <c r="O4466" s="162"/>
      <c r="P4466" s="163" t="str">
        <f ca="1">IF(Proc[[#This Row],[DaysAgeing]]&gt;5,"yep","on track")</f>
        <v>yep</v>
      </c>
      <c r="Q4466" s="3">
        <f ca="1">IF(Proc[[#This Row],[DateClosed]]="",ABS(NETWORKDAYS(Proc[[#This Row],[DateOpened]],TODAY()))-1,ABS(NETWORKDAYS(Proc[[#This Row],[DateOpened]],Proc[[#This Row],[DateClosed]]))-1)</f>
        <v>38</v>
      </c>
      <c r="R4466" s="163" t="s">
        <v>1459</v>
      </c>
      <c r="S4466" s="150"/>
    </row>
    <row r="4467" spans="1:19" hidden="1">
      <c r="A4467" s="149" t="s">
        <v>6628</v>
      </c>
      <c r="B4467" s="150" t="str">
        <f>IFERROR(VLOOKUP(Proc[[#This Row],[App]],Table2[],3,0),"open")</f>
        <v>ok</v>
      </c>
      <c r="C4467" s="149" t="s">
        <v>369</v>
      </c>
      <c r="D4467" t="s">
        <v>6616</v>
      </c>
      <c r="E4467" t="s">
        <v>6626</v>
      </c>
      <c r="F4467" s="150" t="s">
        <v>6626</v>
      </c>
      <c r="G4467" t="s">
        <v>400</v>
      </c>
      <c r="H4467" s="150" t="str">
        <f>IF(Proc[[#This Row],[type]]="LFF (MDG-F)",MID(Proc[[#This Row],[Obj]],13,10),"")</f>
        <v/>
      </c>
      <c r="J4467" s="150" t="b">
        <f>Proc[[#This Row],[Requested]]=Proc[[#This Row],[CurrentParent]]</f>
        <v>1</v>
      </c>
      <c r="K4467" s="150" t="str">
        <f>IF(Proc[[#This Row],[Author]]="Marcela Urrego",VLOOKUP(LEFT(Proc[[#This Row],[Requested]],1),Table3[#All],2,0),VLOOKUP(Proc[[#This Row],[Author]],Table4[],2,0))</f>
        <v>MGF</v>
      </c>
      <c r="L4467" s="150" t="s">
        <v>6435</v>
      </c>
      <c r="M4467" s="162">
        <v>45958</v>
      </c>
      <c r="N4467" s="162"/>
      <c r="O4467" s="162"/>
      <c r="P4467" s="163" t="str">
        <f ca="1">IF(Proc[[#This Row],[DaysAgeing]]&gt;5,"yep","on track")</f>
        <v>yep</v>
      </c>
      <c r="Q4467" s="3">
        <f ca="1">IF(Proc[[#This Row],[DateClosed]]="",ABS(NETWORKDAYS(Proc[[#This Row],[DateOpened]],TODAY()))-1,ABS(NETWORKDAYS(Proc[[#This Row],[DateOpened]],Proc[[#This Row],[DateClosed]]))-1)</f>
        <v>38</v>
      </c>
      <c r="R4467" s="163" t="s">
        <v>1459</v>
      </c>
      <c r="S4467" s="150"/>
    </row>
    <row r="4468" spans="1:19" hidden="1">
      <c r="A4468" s="149" t="s">
        <v>6628</v>
      </c>
      <c r="B4468" s="150" t="str">
        <f>IFERROR(VLOOKUP(Proc[[#This Row],[App]],Table2[],3,0),"open")</f>
        <v>ok</v>
      </c>
      <c r="C4468" s="149" t="s">
        <v>369</v>
      </c>
      <c r="D4468" t="s">
        <v>6444</v>
      </c>
      <c r="E4468" t="s">
        <v>5446</v>
      </c>
      <c r="F4468" s="150" t="s">
        <v>5446</v>
      </c>
      <c r="G4468" t="s">
        <v>400</v>
      </c>
      <c r="H4468" s="150" t="str">
        <f>IF(Proc[[#This Row],[type]]="LFF (MDG-F)",MID(Proc[[#This Row],[Obj]],13,10),"")</f>
        <v/>
      </c>
      <c r="J4468" s="150" t="b">
        <f>Proc[[#This Row],[Requested]]=Proc[[#This Row],[CurrentParent]]</f>
        <v>1</v>
      </c>
      <c r="K4468" s="150" t="str">
        <f>IF(Proc[[#This Row],[Author]]="Marcela Urrego",VLOOKUP(LEFT(Proc[[#This Row],[Requested]],1),Table3[#All],2,0),VLOOKUP(Proc[[#This Row],[Author]],Table4[],2,0))</f>
        <v>MGF</v>
      </c>
      <c r="L4468" s="150" t="s">
        <v>6435</v>
      </c>
      <c r="M4468" s="162">
        <v>45958</v>
      </c>
      <c r="N4468" s="162"/>
      <c r="O4468" s="162"/>
      <c r="P4468" s="163" t="str">
        <f ca="1">IF(Proc[[#This Row],[DaysAgeing]]&gt;5,"yep","on track")</f>
        <v>yep</v>
      </c>
      <c r="Q4468" s="3">
        <f ca="1">IF(Proc[[#This Row],[DateClosed]]="",ABS(NETWORKDAYS(Proc[[#This Row],[DateOpened]],TODAY()))-1,ABS(NETWORKDAYS(Proc[[#This Row],[DateOpened]],Proc[[#This Row],[DateClosed]]))-1)</f>
        <v>38</v>
      </c>
      <c r="R4468" s="163" t="s">
        <v>1459</v>
      </c>
      <c r="S4468" s="150"/>
    </row>
    <row r="4469" spans="1:19" hidden="1">
      <c r="A4469" s="149" t="s">
        <v>6628</v>
      </c>
      <c r="B4469" s="150" t="str">
        <f>IFERROR(VLOOKUP(Proc[[#This Row],[App]],Table2[],3,0),"open")</f>
        <v>ok</v>
      </c>
      <c r="C4469" s="149" t="s">
        <v>369</v>
      </c>
      <c r="D4469" t="s">
        <v>5417</v>
      </c>
      <c r="E4469" t="s">
        <v>6623</v>
      </c>
      <c r="F4469" s="150" t="s">
        <v>6623</v>
      </c>
      <c r="G4469" t="s">
        <v>406</v>
      </c>
      <c r="H4469" s="150" t="str">
        <f>IF(Proc[[#This Row],[type]]="LFF (MDG-F)",MID(Proc[[#This Row],[Obj]],13,10),"")</f>
        <v>2123C00103</v>
      </c>
      <c r="J4469" s="150" t="b">
        <f>Proc[[#This Row],[Requested]]=Proc[[#This Row],[CurrentParent]]</f>
        <v>1</v>
      </c>
      <c r="K4469" s="150" t="str">
        <f>IF(Proc[[#This Row],[Author]]="Marcela Urrego",VLOOKUP(LEFT(Proc[[#This Row],[Requested]],1),Table3[#All],2,0),VLOOKUP(Proc[[#This Row],[Author]],Table4[],2,0))</f>
        <v>MGF</v>
      </c>
      <c r="L4469" s="150" t="s">
        <v>6435</v>
      </c>
      <c r="M4469" s="162">
        <v>45958</v>
      </c>
      <c r="N4469" s="162"/>
      <c r="O4469" s="162"/>
      <c r="P4469" s="163" t="str">
        <f ca="1">IF(Proc[[#This Row],[DaysAgeing]]&gt;5,"yep","on track")</f>
        <v>yep</v>
      </c>
      <c r="Q4469" s="3">
        <f ca="1">IF(Proc[[#This Row],[DateClosed]]="",ABS(NETWORKDAYS(Proc[[#This Row],[DateOpened]],TODAY()))-1,ABS(NETWORKDAYS(Proc[[#This Row],[DateOpened]],Proc[[#This Row],[DateClosed]]))-1)</f>
        <v>38</v>
      </c>
      <c r="R4469" s="163" t="s">
        <v>1459</v>
      </c>
      <c r="S4469" s="150"/>
    </row>
    <row r="4470" spans="1:19" hidden="1">
      <c r="A4470" s="149" t="s">
        <v>6628</v>
      </c>
      <c r="B4470" s="150" t="str">
        <f>IFERROR(VLOOKUP(Proc[[#This Row],[App]],Table2[],3,0),"open")</f>
        <v>ok</v>
      </c>
      <c r="C4470" s="149" t="s">
        <v>369</v>
      </c>
      <c r="D4470" t="s">
        <v>5410</v>
      </c>
      <c r="E4470" t="s">
        <v>6623</v>
      </c>
      <c r="F4470" s="150" t="s">
        <v>6623</v>
      </c>
      <c r="G4470" t="s">
        <v>406</v>
      </c>
      <c r="H4470" s="150" t="str">
        <f>IF(Proc[[#This Row],[type]]="LFF (MDG-F)",MID(Proc[[#This Row],[Obj]],13,10),"")</f>
        <v>2123GM1110</v>
      </c>
      <c r="J4470" s="150" t="b">
        <f>Proc[[#This Row],[Requested]]=Proc[[#This Row],[CurrentParent]]</f>
        <v>1</v>
      </c>
      <c r="K4470" s="150" t="str">
        <f>IF(Proc[[#This Row],[Author]]="Marcela Urrego",VLOOKUP(LEFT(Proc[[#This Row],[Requested]],1),Table3[#All],2,0),VLOOKUP(Proc[[#This Row],[Author]],Table4[],2,0))</f>
        <v>MGF</v>
      </c>
      <c r="L4470" s="150" t="s">
        <v>6435</v>
      </c>
      <c r="M4470" s="162">
        <v>45958</v>
      </c>
      <c r="N4470" s="162"/>
      <c r="O4470" s="162"/>
      <c r="P4470" s="163" t="str">
        <f ca="1">IF(Proc[[#This Row],[DaysAgeing]]&gt;5,"yep","on track")</f>
        <v>yep</v>
      </c>
      <c r="Q4470" s="3">
        <f ca="1">IF(Proc[[#This Row],[DateClosed]]="",ABS(NETWORKDAYS(Proc[[#This Row],[DateOpened]],TODAY()))-1,ABS(NETWORKDAYS(Proc[[#This Row],[DateOpened]],Proc[[#This Row],[DateClosed]]))-1)</f>
        <v>38</v>
      </c>
      <c r="R4470" s="163" t="s">
        <v>1459</v>
      </c>
      <c r="S4470" s="150"/>
    </row>
    <row r="4471" spans="1:19" hidden="1">
      <c r="A4471" s="149" t="s">
        <v>6628</v>
      </c>
      <c r="B4471" s="150" t="str">
        <f>IFERROR(VLOOKUP(Proc[[#This Row],[App]],Table2[],3,0),"open")</f>
        <v>ok</v>
      </c>
      <c r="C4471" s="149" t="s">
        <v>369</v>
      </c>
      <c r="D4471" t="s">
        <v>5442</v>
      </c>
      <c r="E4471" t="s">
        <v>6624</v>
      </c>
      <c r="F4471" s="150" t="s">
        <v>6624</v>
      </c>
      <c r="G4471" s="149" t="s">
        <v>406</v>
      </c>
      <c r="H4471" s="150" t="str">
        <f>IF(Proc[[#This Row],[type]]="LFF (MDG-F)",MID(Proc[[#This Row],[Obj]],13,10),"")</f>
        <v>2123GMS050</v>
      </c>
      <c r="J4471" s="150" t="b">
        <f>Proc[[#This Row],[Requested]]=Proc[[#This Row],[CurrentParent]]</f>
        <v>1</v>
      </c>
      <c r="K4471" s="150" t="str">
        <f>IF(Proc[[#This Row],[Author]]="Marcela Urrego",VLOOKUP(LEFT(Proc[[#This Row],[Requested]],1),Table3[#All],2,0),VLOOKUP(Proc[[#This Row],[Author]],Table4[],2,0))</f>
        <v>MGF</v>
      </c>
      <c r="L4471" s="150" t="s">
        <v>6435</v>
      </c>
      <c r="M4471" s="162">
        <v>45958</v>
      </c>
      <c r="N4471" s="162"/>
      <c r="O4471" s="162"/>
      <c r="P4471" s="163" t="str">
        <f ca="1">IF(Proc[[#This Row],[DaysAgeing]]&gt;5,"yep","on track")</f>
        <v>yep</v>
      </c>
      <c r="Q4471" s="3">
        <f ca="1">IF(Proc[[#This Row],[DateClosed]]="",ABS(NETWORKDAYS(Proc[[#This Row],[DateOpened]],TODAY()))-1,ABS(NETWORKDAYS(Proc[[#This Row],[DateOpened]],Proc[[#This Row],[DateClosed]]))-1)</f>
        <v>38</v>
      </c>
      <c r="R4471" s="163" t="s">
        <v>1459</v>
      </c>
      <c r="S4471" s="150"/>
    </row>
    <row r="4472" spans="1:19" hidden="1">
      <c r="A4472" s="149" t="s">
        <v>6628</v>
      </c>
      <c r="B4472" s="150" t="str">
        <f>IFERROR(VLOOKUP(Proc[[#This Row],[App]],Table2[],3,0),"open")</f>
        <v>ok</v>
      </c>
      <c r="C4472" s="149" t="s">
        <v>369</v>
      </c>
      <c r="D4472" t="s">
        <v>5443</v>
      </c>
      <c r="E4472" t="s">
        <v>6624</v>
      </c>
      <c r="F4472" s="150" t="s">
        <v>6624</v>
      </c>
      <c r="G4472" s="149" t="s">
        <v>406</v>
      </c>
      <c r="H4472" s="150" t="str">
        <f>IF(Proc[[#This Row],[type]]="LFF (MDG-F)",MID(Proc[[#This Row],[Obj]],13,10),"")</f>
        <v>2123GMS080</v>
      </c>
      <c r="J4472" s="150" t="b">
        <f>Proc[[#This Row],[Requested]]=Proc[[#This Row],[CurrentParent]]</f>
        <v>1</v>
      </c>
      <c r="K4472" s="150" t="str">
        <f>IF(Proc[[#This Row],[Author]]="Marcela Urrego",VLOOKUP(LEFT(Proc[[#This Row],[Requested]],1),Table3[#All],2,0),VLOOKUP(Proc[[#This Row],[Author]],Table4[],2,0))</f>
        <v>MGF</v>
      </c>
      <c r="L4472" s="150" t="s">
        <v>6435</v>
      </c>
      <c r="M4472" s="162">
        <v>45958</v>
      </c>
      <c r="N4472" s="162"/>
      <c r="O4472" s="162"/>
      <c r="P4472" s="163" t="str">
        <f ca="1">IF(Proc[[#This Row],[DaysAgeing]]&gt;5,"yep","on track")</f>
        <v>yep</v>
      </c>
      <c r="Q4472" s="3">
        <f ca="1">IF(Proc[[#This Row],[DateClosed]]="",ABS(NETWORKDAYS(Proc[[#This Row],[DateOpened]],TODAY()))-1,ABS(NETWORKDAYS(Proc[[#This Row],[DateOpened]],Proc[[#This Row],[DateClosed]]))-1)</f>
        <v>38</v>
      </c>
      <c r="R4472" s="163" t="s">
        <v>1459</v>
      </c>
      <c r="S4472" s="150"/>
    </row>
    <row r="4473" spans="1:19" hidden="1">
      <c r="A4473" s="149" t="s">
        <v>6628</v>
      </c>
      <c r="B4473" s="150" t="str">
        <f>IFERROR(VLOOKUP(Proc[[#This Row],[App]],Table2[],3,0),"open")</f>
        <v>ok</v>
      </c>
      <c r="C4473" s="149" t="s">
        <v>369</v>
      </c>
      <c r="D4473" t="s">
        <v>5412</v>
      </c>
      <c r="E4473" t="s">
        <v>6623</v>
      </c>
      <c r="F4473" s="150" t="s">
        <v>6623</v>
      </c>
      <c r="G4473" s="149" t="s">
        <v>406</v>
      </c>
      <c r="H4473" s="150" t="str">
        <f>IF(Proc[[#This Row],[type]]="LFF (MDG-F)",MID(Proc[[#This Row],[Obj]],13,10),"")</f>
        <v>2123L50005</v>
      </c>
      <c r="J4473" s="150" t="b">
        <f>Proc[[#This Row],[Requested]]=Proc[[#This Row],[CurrentParent]]</f>
        <v>1</v>
      </c>
      <c r="K4473" s="150" t="str">
        <f>IF(Proc[[#This Row],[Author]]="Marcela Urrego",VLOOKUP(LEFT(Proc[[#This Row],[Requested]],1),Table3[#All],2,0),VLOOKUP(Proc[[#This Row],[Author]],Table4[],2,0))</f>
        <v>MGF</v>
      </c>
      <c r="L4473" s="150" t="s">
        <v>6435</v>
      </c>
      <c r="M4473" s="162">
        <v>45958</v>
      </c>
      <c r="N4473" s="162"/>
      <c r="O4473" s="162"/>
      <c r="P4473" s="163" t="str">
        <f ca="1">IF(Proc[[#This Row],[DaysAgeing]]&gt;5,"yep","on track")</f>
        <v>yep</v>
      </c>
      <c r="Q4473" s="3">
        <f ca="1">IF(Proc[[#This Row],[DateClosed]]="",ABS(NETWORKDAYS(Proc[[#This Row],[DateOpened]],TODAY()))-1,ABS(NETWORKDAYS(Proc[[#This Row],[DateOpened]],Proc[[#This Row],[DateClosed]]))-1)</f>
        <v>38</v>
      </c>
      <c r="R4473" s="163" t="s">
        <v>1459</v>
      </c>
      <c r="S4473" s="150"/>
    </row>
    <row r="4474" spans="1:19" hidden="1">
      <c r="A4474" s="149" t="s">
        <v>6628</v>
      </c>
      <c r="B4474" s="150" t="str">
        <f>IFERROR(VLOOKUP(Proc[[#This Row],[App]],Table2[],3,0),"open")</f>
        <v>ok</v>
      </c>
      <c r="C4474" s="149" t="s">
        <v>369</v>
      </c>
      <c r="D4474" t="s">
        <v>5409</v>
      </c>
      <c r="E4474" t="s">
        <v>6623</v>
      </c>
      <c r="F4474" s="150" t="s">
        <v>6623</v>
      </c>
      <c r="G4474" s="149" t="s">
        <v>406</v>
      </c>
      <c r="H4474" s="150" t="str">
        <f>IF(Proc[[#This Row],[type]]="LFF (MDG-F)",MID(Proc[[#This Row],[Obj]],13,10),"")</f>
        <v>2123OF0010</v>
      </c>
      <c r="J4474" s="150" t="b">
        <f>Proc[[#This Row],[Requested]]=Proc[[#This Row],[CurrentParent]]</f>
        <v>1</v>
      </c>
      <c r="K4474" s="150" t="str">
        <f>IF(Proc[[#This Row],[Author]]="Marcela Urrego",VLOOKUP(LEFT(Proc[[#This Row],[Requested]],1),Table3[#All],2,0),VLOOKUP(Proc[[#This Row],[Author]],Table4[],2,0))</f>
        <v>MGF</v>
      </c>
      <c r="L4474" s="150" t="s">
        <v>6435</v>
      </c>
      <c r="M4474" s="162">
        <v>45958</v>
      </c>
      <c r="N4474" s="162"/>
      <c r="O4474" s="162"/>
      <c r="P4474" s="163" t="str">
        <f ca="1">IF(Proc[[#This Row],[DaysAgeing]]&gt;5,"yep","on track")</f>
        <v>yep</v>
      </c>
      <c r="Q4474" s="3">
        <f ca="1">IF(Proc[[#This Row],[DateClosed]]="",ABS(NETWORKDAYS(Proc[[#This Row],[DateOpened]],TODAY()))-1,ABS(NETWORKDAYS(Proc[[#This Row],[DateOpened]],Proc[[#This Row],[DateClosed]]))-1)</f>
        <v>38</v>
      </c>
      <c r="R4474" s="163" t="s">
        <v>1459</v>
      </c>
      <c r="S4474" s="150"/>
    </row>
    <row r="4475" spans="1:19" hidden="1">
      <c r="A4475" s="149" t="s">
        <v>6628</v>
      </c>
      <c r="B4475" s="150" t="str">
        <f>IFERROR(VLOOKUP(Proc[[#This Row],[App]],Table2[],3,0),"open")</f>
        <v>ok</v>
      </c>
      <c r="C4475" s="149" t="s">
        <v>369</v>
      </c>
      <c r="D4475" t="s">
        <v>5416</v>
      </c>
      <c r="E4475" t="s">
        <v>6623</v>
      </c>
      <c r="F4475" s="150" t="s">
        <v>6623</v>
      </c>
      <c r="G4475" s="149" t="s">
        <v>406</v>
      </c>
      <c r="H4475" s="150" t="str">
        <f>IF(Proc[[#This Row],[type]]="LFF (MDG-F)",MID(Proc[[#This Row],[Obj]],13,10),"")</f>
        <v>2123TPSZ93</v>
      </c>
      <c r="J4475" s="150" t="b">
        <f>Proc[[#This Row],[Requested]]=Proc[[#This Row],[CurrentParent]]</f>
        <v>1</v>
      </c>
      <c r="K4475" s="150" t="str">
        <f>IF(Proc[[#This Row],[Author]]="Marcela Urrego",VLOOKUP(LEFT(Proc[[#This Row],[Requested]],1),Table3[#All],2,0),VLOOKUP(Proc[[#This Row],[Author]],Table4[],2,0))</f>
        <v>MGF</v>
      </c>
      <c r="L4475" s="150" t="s">
        <v>6435</v>
      </c>
      <c r="M4475" s="162">
        <v>45958</v>
      </c>
      <c r="N4475" s="162"/>
      <c r="O4475" s="162"/>
      <c r="P4475" s="163" t="str">
        <f ca="1">IF(Proc[[#This Row],[DaysAgeing]]&gt;5,"yep","on track")</f>
        <v>yep</v>
      </c>
      <c r="Q4475" s="3">
        <f ca="1">IF(Proc[[#This Row],[DateClosed]]="",ABS(NETWORKDAYS(Proc[[#This Row],[DateOpened]],TODAY()))-1,ABS(NETWORKDAYS(Proc[[#This Row],[DateOpened]],Proc[[#This Row],[DateClosed]]))-1)</f>
        <v>38</v>
      </c>
      <c r="R4475" s="163" t="s">
        <v>1459</v>
      </c>
      <c r="S4475" s="150"/>
    </row>
    <row r="4476" spans="1:19" hidden="1">
      <c r="A4476" s="149" t="s">
        <v>6628</v>
      </c>
      <c r="B4476" s="150" t="str">
        <f>IFERROR(VLOOKUP(Proc[[#This Row],[App]],Table2[],3,0),"open")</f>
        <v>ok</v>
      </c>
      <c r="C4476" s="149" t="s">
        <v>369</v>
      </c>
      <c r="D4476" t="s">
        <v>5400</v>
      </c>
      <c r="E4476" t="s">
        <v>6623</v>
      </c>
      <c r="F4476" s="150" t="s">
        <v>6623</v>
      </c>
      <c r="G4476" s="149" t="s">
        <v>406</v>
      </c>
      <c r="H4476" s="150" t="str">
        <f>IF(Proc[[#This Row],[type]]="LFF (MDG-F)",MID(Proc[[#This Row],[Obj]],13,10),"")</f>
        <v>2123TQJZ94</v>
      </c>
      <c r="J4476" s="150" t="b">
        <f>Proc[[#This Row],[Requested]]=Proc[[#This Row],[CurrentParent]]</f>
        <v>1</v>
      </c>
      <c r="K4476" s="150" t="str">
        <f>IF(Proc[[#This Row],[Author]]="Marcela Urrego",VLOOKUP(LEFT(Proc[[#This Row],[Requested]],1),Table3[#All],2,0),VLOOKUP(Proc[[#This Row],[Author]],Table4[],2,0))</f>
        <v>MGF</v>
      </c>
      <c r="L4476" s="150" t="s">
        <v>6435</v>
      </c>
      <c r="M4476" s="162">
        <v>45958</v>
      </c>
      <c r="N4476" s="162"/>
      <c r="O4476" s="162"/>
      <c r="P4476" s="163" t="str">
        <f ca="1">IF(Proc[[#This Row],[DaysAgeing]]&gt;5,"yep","on track")</f>
        <v>yep</v>
      </c>
      <c r="Q4476" s="3">
        <f ca="1">IF(Proc[[#This Row],[DateClosed]]="",ABS(NETWORKDAYS(Proc[[#This Row],[DateOpened]],TODAY()))-1,ABS(NETWORKDAYS(Proc[[#This Row],[DateOpened]],Proc[[#This Row],[DateClosed]]))-1)</f>
        <v>38</v>
      </c>
      <c r="R4476" s="163" t="s">
        <v>1459</v>
      </c>
      <c r="S4476" s="150"/>
    </row>
    <row r="4477" spans="1:19" hidden="1">
      <c r="A4477" s="149" t="s">
        <v>6628</v>
      </c>
      <c r="B4477" s="150" t="str">
        <f>IFERROR(VLOOKUP(Proc[[#This Row],[App]],Table2[],3,0),"open")</f>
        <v>ok</v>
      </c>
      <c r="C4477" s="149" t="s">
        <v>369</v>
      </c>
      <c r="D4477" t="s">
        <v>6617</v>
      </c>
      <c r="E4477" t="s">
        <v>6626</v>
      </c>
      <c r="F4477" s="150" t="s">
        <v>6626</v>
      </c>
      <c r="G4477" s="149" t="s">
        <v>406</v>
      </c>
      <c r="H4477" s="150" t="str">
        <f>IF(Proc[[#This Row],[type]]="LFF (MDG-F)",MID(Proc[[#This Row],[Obj]],13,10),"")</f>
        <v>2123GIT134</v>
      </c>
      <c r="J4477" s="150" t="b">
        <f>Proc[[#This Row],[Requested]]=Proc[[#This Row],[CurrentParent]]</f>
        <v>1</v>
      </c>
      <c r="K4477" s="150" t="str">
        <f>IF(Proc[[#This Row],[Author]]="Marcela Urrego",VLOOKUP(LEFT(Proc[[#This Row],[Requested]],1),Table3[#All],2,0),VLOOKUP(Proc[[#This Row],[Author]],Table4[],2,0))</f>
        <v>MGF</v>
      </c>
      <c r="L4477" s="150" t="s">
        <v>6435</v>
      </c>
      <c r="M4477" s="162">
        <v>45958</v>
      </c>
      <c r="N4477" s="162"/>
      <c r="O4477" s="162"/>
      <c r="P4477" s="163" t="str">
        <f ca="1">IF(Proc[[#This Row],[DaysAgeing]]&gt;5,"yep","on track")</f>
        <v>yep</v>
      </c>
      <c r="Q4477" s="3">
        <f ca="1">IF(Proc[[#This Row],[DateClosed]]="",ABS(NETWORKDAYS(Proc[[#This Row],[DateOpened]],TODAY()))-1,ABS(NETWORKDAYS(Proc[[#This Row],[DateOpened]],Proc[[#This Row],[DateClosed]]))-1)</f>
        <v>38</v>
      </c>
      <c r="R4477" s="163" t="s">
        <v>1459</v>
      </c>
      <c r="S4477" s="150"/>
    </row>
    <row r="4478" spans="1:19" hidden="1">
      <c r="A4478" s="149" t="s">
        <v>6628</v>
      </c>
      <c r="B4478" s="150" t="str">
        <f>IFERROR(VLOOKUP(Proc[[#This Row],[App]],Table2[],3,0),"open")</f>
        <v>ok</v>
      </c>
      <c r="C4478" s="149" t="s">
        <v>369</v>
      </c>
      <c r="D4478" t="s">
        <v>5414</v>
      </c>
      <c r="E4478" t="s">
        <v>6623</v>
      </c>
      <c r="F4478" s="150" t="s">
        <v>6623</v>
      </c>
      <c r="G4478" s="149" t="s">
        <v>406</v>
      </c>
      <c r="H4478" s="150" t="str">
        <f>IF(Proc[[#This Row],[type]]="LFF (MDG-F)",MID(Proc[[#This Row],[Obj]],13,10),"")</f>
        <v>2123YIT004</v>
      </c>
      <c r="J4478" s="150" t="b">
        <f>Proc[[#This Row],[Requested]]=Proc[[#This Row],[CurrentParent]]</f>
        <v>1</v>
      </c>
      <c r="K4478" s="150" t="str">
        <f>IF(Proc[[#This Row],[Author]]="Marcela Urrego",VLOOKUP(LEFT(Proc[[#This Row],[Requested]],1),Table3[#All],2,0),VLOOKUP(Proc[[#This Row],[Author]],Table4[],2,0))</f>
        <v>MGF</v>
      </c>
      <c r="L4478" s="150" t="s">
        <v>6435</v>
      </c>
      <c r="M4478" s="162">
        <v>45958</v>
      </c>
      <c r="N4478" s="162"/>
      <c r="O4478" s="162"/>
      <c r="P4478" s="163" t="str">
        <f ca="1">IF(Proc[[#This Row],[DaysAgeing]]&gt;5,"yep","on track")</f>
        <v>yep</v>
      </c>
      <c r="Q4478" s="3">
        <f ca="1">IF(Proc[[#This Row],[DateClosed]]="",ABS(NETWORKDAYS(Proc[[#This Row],[DateOpened]],TODAY()))-1,ABS(NETWORKDAYS(Proc[[#This Row],[DateOpened]],Proc[[#This Row],[DateClosed]]))-1)</f>
        <v>38</v>
      </c>
      <c r="R4478" s="163" t="s">
        <v>1459</v>
      </c>
      <c r="S4478" s="150"/>
    </row>
    <row r="4479" spans="1:19" hidden="1">
      <c r="A4479" s="149" t="s">
        <v>6628</v>
      </c>
      <c r="B4479" s="150" t="str">
        <f>IFERROR(VLOOKUP(Proc[[#This Row],[App]],Table2[],3,0),"open")</f>
        <v>ok</v>
      </c>
      <c r="C4479" s="149" t="s">
        <v>369</v>
      </c>
      <c r="D4479" t="s">
        <v>5413</v>
      </c>
      <c r="E4479" t="s">
        <v>6623</v>
      </c>
      <c r="F4479" s="150" t="s">
        <v>6623</v>
      </c>
      <c r="G4479" s="149" t="s">
        <v>406</v>
      </c>
      <c r="H4479" s="150" t="str">
        <f>IF(Proc[[#This Row],[type]]="LFF (MDG-F)",MID(Proc[[#This Row],[Obj]],13,10),"")</f>
        <v>2123YIT005</v>
      </c>
      <c r="J4479" s="150" t="b">
        <f>Proc[[#This Row],[Requested]]=Proc[[#This Row],[CurrentParent]]</f>
        <v>1</v>
      </c>
      <c r="K4479" s="150" t="str">
        <f>IF(Proc[[#This Row],[Author]]="Marcela Urrego",VLOOKUP(LEFT(Proc[[#This Row],[Requested]],1),Table3[#All],2,0),VLOOKUP(Proc[[#This Row],[Author]],Table4[],2,0))</f>
        <v>MGF</v>
      </c>
      <c r="L4479" s="150" t="s">
        <v>6435</v>
      </c>
      <c r="M4479" s="162">
        <v>45958</v>
      </c>
      <c r="N4479" s="162"/>
      <c r="O4479" s="162"/>
      <c r="P4479" s="163" t="str">
        <f ca="1">IF(Proc[[#This Row],[DaysAgeing]]&gt;5,"yep","on track")</f>
        <v>yep</v>
      </c>
      <c r="Q4479" s="3">
        <f ca="1">IF(Proc[[#This Row],[DateClosed]]="",ABS(NETWORKDAYS(Proc[[#This Row],[DateOpened]],TODAY()))-1,ABS(NETWORKDAYS(Proc[[#This Row],[DateOpened]],Proc[[#This Row],[DateClosed]]))-1)</f>
        <v>38</v>
      </c>
      <c r="R4479" s="163" t="s">
        <v>1459</v>
      </c>
      <c r="S4479" s="150"/>
    </row>
    <row r="4480" spans="1:19" hidden="1">
      <c r="A4480" s="149" t="s">
        <v>6628</v>
      </c>
      <c r="B4480" s="150" t="str">
        <f>IFERROR(VLOOKUP(Proc[[#This Row],[App]],Table2[],3,0),"open")</f>
        <v>ok</v>
      </c>
      <c r="C4480" s="149" t="s">
        <v>369</v>
      </c>
      <c r="D4480" t="s">
        <v>6618</v>
      </c>
      <c r="E4480" t="s">
        <v>6627</v>
      </c>
      <c r="F4480" s="150" t="s">
        <v>6627</v>
      </c>
      <c r="G4480" s="149" t="s">
        <v>406</v>
      </c>
      <c r="H4480" s="150" t="str">
        <f>IF(Proc[[#This Row],[type]]="LFF (MDG-F)",MID(Proc[[#This Row],[Obj]],13,10),"")</f>
        <v>DE10YIT016</v>
      </c>
      <c r="J4480" s="150" t="b">
        <f>Proc[[#This Row],[Requested]]=Proc[[#This Row],[CurrentParent]]</f>
        <v>1</v>
      </c>
      <c r="K4480" s="150" t="str">
        <f>IF(Proc[[#This Row],[Author]]="Marcela Urrego",VLOOKUP(LEFT(Proc[[#This Row],[Requested]],1),Table3[#All],2,0),VLOOKUP(Proc[[#This Row],[Author]],Table4[],2,0))</f>
        <v>MGF</v>
      </c>
      <c r="L4480" s="150" t="s">
        <v>6435</v>
      </c>
      <c r="M4480" s="162">
        <v>45958</v>
      </c>
      <c r="N4480" s="162"/>
      <c r="O4480" s="162"/>
      <c r="P4480" s="163" t="str">
        <f ca="1">IF(Proc[[#This Row],[DaysAgeing]]&gt;5,"yep","on track")</f>
        <v>yep</v>
      </c>
      <c r="Q4480" s="3">
        <f ca="1">IF(Proc[[#This Row],[DateClosed]]="",ABS(NETWORKDAYS(Proc[[#This Row],[DateOpened]],TODAY()))-1,ABS(NETWORKDAYS(Proc[[#This Row],[DateOpened]],Proc[[#This Row],[DateClosed]]))-1)</f>
        <v>38</v>
      </c>
      <c r="R4480" s="163" t="s">
        <v>1459</v>
      </c>
      <c r="S4480" s="150"/>
    </row>
    <row r="4481" spans="1:19" hidden="1">
      <c r="A4481" s="149" t="s">
        <v>6628</v>
      </c>
      <c r="B4481" s="150" t="str">
        <f>IFERROR(VLOOKUP(Proc[[#This Row],[App]],Table2[],3,0),"open")</f>
        <v>ok</v>
      </c>
      <c r="C4481" s="149" t="s">
        <v>369</v>
      </c>
      <c r="D4481" t="s">
        <v>6619</v>
      </c>
      <c r="E4481" t="s">
        <v>6627</v>
      </c>
      <c r="F4481" s="150" t="s">
        <v>6627</v>
      </c>
      <c r="G4481" s="149" t="s">
        <v>406</v>
      </c>
      <c r="H4481" s="150" t="str">
        <f>IF(Proc[[#This Row],[type]]="LFF (MDG-F)",MID(Proc[[#This Row],[Obj]],13,10),"")</f>
        <v>2123YIT008</v>
      </c>
      <c r="J4481" s="150" t="b">
        <f>Proc[[#This Row],[Requested]]=Proc[[#This Row],[CurrentParent]]</f>
        <v>1</v>
      </c>
      <c r="K4481" s="150" t="str">
        <f>IF(Proc[[#This Row],[Author]]="Marcela Urrego",VLOOKUP(LEFT(Proc[[#This Row],[Requested]],1),Table3[#All],2,0),VLOOKUP(Proc[[#This Row],[Author]],Table4[],2,0))</f>
        <v>MGF</v>
      </c>
      <c r="L4481" s="150" t="s">
        <v>6435</v>
      </c>
      <c r="M4481" s="162">
        <v>45958</v>
      </c>
      <c r="N4481" s="162"/>
      <c r="O4481" s="162"/>
      <c r="P4481" s="163" t="str">
        <f ca="1">IF(Proc[[#This Row],[DaysAgeing]]&gt;5,"yep","on track")</f>
        <v>yep</v>
      </c>
      <c r="Q4481" s="3">
        <f ca="1">IF(Proc[[#This Row],[DateClosed]]="",ABS(NETWORKDAYS(Proc[[#This Row],[DateOpened]],TODAY()))-1,ABS(NETWORKDAYS(Proc[[#This Row],[DateOpened]],Proc[[#This Row],[DateClosed]]))-1)</f>
        <v>38</v>
      </c>
      <c r="R4481" s="163" t="s">
        <v>1459</v>
      </c>
      <c r="S4481" s="150"/>
    </row>
    <row r="4482" spans="1:19" hidden="1">
      <c r="A4482" s="149" t="s">
        <v>6628</v>
      </c>
      <c r="B4482" s="150" t="str">
        <f>IFERROR(VLOOKUP(Proc[[#This Row],[App]],Table2[],3,0),"open")</f>
        <v>ok</v>
      </c>
      <c r="C4482" s="149" t="s">
        <v>369</v>
      </c>
      <c r="D4482" t="s">
        <v>6620</v>
      </c>
      <c r="E4482" t="s">
        <v>6627</v>
      </c>
      <c r="F4482" s="150" t="s">
        <v>6627</v>
      </c>
      <c r="G4482" t="s">
        <v>400</v>
      </c>
      <c r="H4482" s="150" t="str">
        <f>IF(Proc[[#This Row],[type]]="LFF (MDG-F)",MID(Proc[[#This Row],[Obj]],13,10),"")</f>
        <v/>
      </c>
      <c r="J4482" s="150" t="b">
        <f>Proc[[#This Row],[Requested]]=Proc[[#This Row],[CurrentParent]]</f>
        <v>1</v>
      </c>
      <c r="K4482" s="150" t="str">
        <f>IF(Proc[[#This Row],[Author]]="Marcela Urrego",VLOOKUP(LEFT(Proc[[#This Row],[Requested]],1),Table3[#All],2,0),VLOOKUP(Proc[[#This Row],[Author]],Table4[],2,0))</f>
        <v>MGF</v>
      </c>
      <c r="L4482" s="150" t="s">
        <v>6435</v>
      </c>
      <c r="M4482" s="162">
        <v>45958</v>
      </c>
      <c r="N4482" s="162"/>
      <c r="O4482" s="162"/>
      <c r="P4482" s="163" t="str">
        <f ca="1">IF(Proc[[#This Row],[DaysAgeing]]&gt;5,"yep","on track")</f>
        <v>yep</v>
      </c>
      <c r="Q4482" s="3">
        <f ca="1">IF(Proc[[#This Row],[DateClosed]]="",ABS(NETWORKDAYS(Proc[[#This Row],[DateOpened]],TODAY()))-1,ABS(NETWORKDAYS(Proc[[#This Row],[DateOpened]],Proc[[#This Row],[DateClosed]]))-1)</f>
        <v>38</v>
      </c>
      <c r="R4482" s="163" t="s">
        <v>1459</v>
      </c>
      <c r="S4482" s="150"/>
    </row>
    <row r="4483" spans="1:19" hidden="1">
      <c r="A4483" s="149" t="s">
        <v>6628</v>
      </c>
      <c r="B4483" s="150" t="str">
        <f>IFERROR(VLOOKUP(Proc[[#This Row],[App]],Table2[],3,0),"open")</f>
        <v>ok</v>
      </c>
      <c r="C4483" s="149" t="s">
        <v>369</v>
      </c>
      <c r="D4483" t="s">
        <v>6621</v>
      </c>
      <c r="E4483" t="s">
        <v>6625</v>
      </c>
      <c r="F4483" s="150" t="s">
        <v>6625</v>
      </c>
      <c r="G4483" t="s">
        <v>406</v>
      </c>
      <c r="H4483" s="150" t="str">
        <f>IF(Proc[[#This Row],[type]]="LFF (MDG-F)",MID(Proc[[#This Row],[Obj]],13,10),"")</f>
        <v>2123YIT009</v>
      </c>
      <c r="J4483" s="150" t="b">
        <f>Proc[[#This Row],[Requested]]=Proc[[#This Row],[CurrentParent]]</f>
        <v>1</v>
      </c>
      <c r="K4483" s="150" t="str">
        <f>IF(Proc[[#This Row],[Author]]="Marcela Urrego",VLOOKUP(LEFT(Proc[[#This Row],[Requested]],1),Table3[#All],2,0),VLOOKUP(Proc[[#This Row],[Author]],Table4[],2,0))</f>
        <v>MGF</v>
      </c>
      <c r="L4483" s="150" t="s">
        <v>6435</v>
      </c>
      <c r="M4483" s="162">
        <v>45958</v>
      </c>
      <c r="N4483" s="162"/>
      <c r="O4483" s="162"/>
      <c r="P4483" s="163" t="str">
        <f ca="1">IF(Proc[[#This Row],[DaysAgeing]]&gt;5,"yep","on track")</f>
        <v>yep</v>
      </c>
      <c r="Q4483" s="3">
        <f ca="1">IF(Proc[[#This Row],[DateClosed]]="",ABS(NETWORKDAYS(Proc[[#This Row],[DateOpened]],TODAY()))-1,ABS(NETWORKDAYS(Proc[[#This Row],[DateOpened]],Proc[[#This Row],[DateClosed]]))-1)</f>
        <v>38</v>
      </c>
      <c r="R4483" s="163" t="s">
        <v>1459</v>
      </c>
      <c r="S4483" s="150"/>
    </row>
    <row r="4484" spans="1:19" hidden="1">
      <c r="A4484" s="149" t="s">
        <v>6628</v>
      </c>
      <c r="B4484" s="150" t="str">
        <f>IFERROR(VLOOKUP(Proc[[#This Row],[App]],Table2[],3,0),"open")</f>
        <v>ok</v>
      </c>
      <c r="C4484" s="149" t="s">
        <v>369</v>
      </c>
      <c r="D4484" t="s">
        <v>6622</v>
      </c>
      <c r="E4484" t="s">
        <v>6625</v>
      </c>
      <c r="F4484" s="150" t="s">
        <v>6625</v>
      </c>
      <c r="G4484" t="s">
        <v>400</v>
      </c>
      <c r="H4484" s="150" t="str">
        <f>IF(Proc[[#This Row],[type]]="LFF (MDG-F)",MID(Proc[[#This Row],[Obj]],13,10),"")</f>
        <v/>
      </c>
      <c r="J4484" s="150" t="b">
        <f>Proc[[#This Row],[Requested]]=Proc[[#This Row],[CurrentParent]]</f>
        <v>1</v>
      </c>
      <c r="K4484" s="150" t="str">
        <f>IF(Proc[[#This Row],[Author]]="Marcela Urrego",VLOOKUP(LEFT(Proc[[#This Row],[Requested]],1),Table3[#All],2,0),VLOOKUP(Proc[[#This Row],[Author]],Table4[],2,0))</f>
        <v>MGF</v>
      </c>
      <c r="L4484" s="150" t="s">
        <v>6435</v>
      </c>
      <c r="M4484" s="162">
        <v>45958</v>
      </c>
      <c r="N4484" s="162"/>
      <c r="O4484" s="162"/>
      <c r="P4484" s="163" t="str">
        <f ca="1">IF(Proc[[#This Row],[DaysAgeing]]&gt;5,"yep","on track")</f>
        <v>yep</v>
      </c>
      <c r="Q4484" s="3">
        <f ca="1">IF(Proc[[#This Row],[DateClosed]]="",ABS(NETWORKDAYS(Proc[[#This Row],[DateOpened]],TODAY()))-1,ABS(NETWORKDAYS(Proc[[#This Row],[DateOpened]],Proc[[#This Row],[DateClosed]]))-1)</f>
        <v>38</v>
      </c>
      <c r="R4484" s="163" t="s">
        <v>1459</v>
      </c>
      <c r="S4484" s="150"/>
    </row>
    <row r="4485" spans="1:19" hidden="1">
      <c r="A4485" t="s">
        <v>6629</v>
      </c>
      <c r="B4485" s="150" t="str">
        <f>IFERROR(VLOOKUP(Proc[[#This Row],[App]],Table2[],3,0),"open")</f>
        <v>ok</v>
      </c>
      <c r="C4485" s="149" t="s">
        <v>369</v>
      </c>
      <c r="D4485" t="s">
        <v>6630</v>
      </c>
      <c r="E4485" t="s">
        <v>6605</v>
      </c>
      <c r="F4485" s="150" t="s">
        <v>6605</v>
      </c>
      <c r="G4485" s="149" t="s">
        <v>400</v>
      </c>
      <c r="H4485" s="150" t="str">
        <f>IF(Proc[[#This Row],[type]]="LFF (MDG-F)",MID(Proc[[#This Row],[Obj]],13,10),"")</f>
        <v/>
      </c>
      <c r="J4485" s="150" t="b">
        <f>Proc[[#This Row],[Requested]]=Proc[[#This Row],[CurrentParent]]</f>
        <v>1</v>
      </c>
      <c r="K4485" s="150" t="str">
        <f>IF(Proc[[#This Row],[Author]]="Marcela Urrego",VLOOKUP(LEFT(Proc[[#This Row],[Requested]],1),Table3[#All],2,0),VLOOKUP(Proc[[#This Row],[Author]],Table4[],2,0))</f>
        <v>LS</v>
      </c>
      <c r="L4485" s="150" t="s">
        <v>6435</v>
      </c>
      <c r="M4485" s="162">
        <v>45958</v>
      </c>
      <c r="N4485" s="162"/>
      <c r="O4485" s="162"/>
      <c r="P4485" s="163" t="str">
        <f ca="1">IF(Proc[[#This Row],[DaysAgeing]]&gt;5,"yep","on track")</f>
        <v>yep</v>
      </c>
      <c r="Q4485" s="3">
        <f ca="1">IF(Proc[[#This Row],[DateClosed]]="",ABS(NETWORKDAYS(Proc[[#This Row],[DateOpened]],TODAY()))-1,ABS(NETWORKDAYS(Proc[[#This Row],[DateOpened]],Proc[[#This Row],[DateClosed]]))-1)</f>
        <v>38</v>
      </c>
      <c r="R4485" s="163" t="s">
        <v>489</v>
      </c>
      <c r="S4485" s="150"/>
    </row>
    <row r="4486" spans="1:19" hidden="1">
      <c r="A4486" t="s">
        <v>6629</v>
      </c>
      <c r="B4486" s="150" t="str">
        <f>IFERROR(VLOOKUP(Proc[[#This Row],[App]],Table2[],3,0),"open")</f>
        <v>ok</v>
      </c>
      <c r="C4486" s="149" t="s">
        <v>369</v>
      </c>
      <c r="D4486" t="s">
        <v>6631</v>
      </c>
      <c r="E4486" t="s">
        <v>6605</v>
      </c>
      <c r="F4486" s="150" t="s">
        <v>6605</v>
      </c>
      <c r="G4486" s="149" t="s">
        <v>400</v>
      </c>
      <c r="H4486" s="150" t="str">
        <f>IF(Proc[[#This Row],[type]]="LFF (MDG-F)",MID(Proc[[#This Row],[Obj]],13,10),"")</f>
        <v/>
      </c>
      <c r="J4486" s="150" t="b">
        <f>Proc[[#This Row],[Requested]]=Proc[[#This Row],[CurrentParent]]</f>
        <v>1</v>
      </c>
      <c r="K4486" s="150" t="str">
        <f>IF(Proc[[#This Row],[Author]]="Marcela Urrego",VLOOKUP(LEFT(Proc[[#This Row],[Requested]],1),Table3[#All],2,0),VLOOKUP(Proc[[#This Row],[Author]],Table4[],2,0))</f>
        <v>LS</v>
      </c>
      <c r="L4486" s="150" t="s">
        <v>6435</v>
      </c>
      <c r="M4486" s="162">
        <v>45958</v>
      </c>
      <c r="N4486" s="162"/>
      <c r="O4486" s="162"/>
      <c r="P4486" s="163" t="str">
        <f ca="1">IF(Proc[[#This Row],[DaysAgeing]]&gt;5,"yep","on track")</f>
        <v>yep</v>
      </c>
      <c r="Q4486" s="3">
        <f ca="1">IF(Proc[[#This Row],[DateClosed]]="",ABS(NETWORKDAYS(Proc[[#This Row],[DateOpened]],TODAY()))-1,ABS(NETWORKDAYS(Proc[[#This Row],[DateOpened]],Proc[[#This Row],[DateClosed]]))-1)</f>
        <v>38</v>
      </c>
      <c r="R4486" s="163" t="s">
        <v>489</v>
      </c>
      <c r="S4486" s="150"/>
    </row>
    <row r="4487" spans="1:19" hidden="1">
      <c r="A4487" s="149" t="s">
        <v>6629</v>
      </c>
      <c r="B4487" s="150" t="str">
        <f>IFERROR(VLOOKUP(Proc[[#This Row],[App]],Table2[],3,0),"open")</f>
        <v>ok</v>
      </c>
      <c r="C4487" s="149" t="s">
        <v>369</v>
      </c>
      <c r="D4487" t="s">
        <v>6632</v>
      </c>
      <c r="E4487" t="s">
        <v>6605</v>
      </c>
      <c r="F4487" s="150" t="s">
        <v>6605</v>
      </c>
      <c r="G4487" s="149" t="s">
        <v>400</v>
      </c>
      <c r="H4487" s="150" t="str">
        <f>IF(Proc[[#This Row],[type]]="LFF (MDG-F)",MID(Proc[[#This Row],[Obj]],13,10),"")</f>
        <v/>
      </c>
      <c r="J4487" s="150" t="b">
        <f>Proc[[#This Row],[Requested]]=Proc[[#This Row],[CurrentParent]]</f>
        <v>1</v>
      </c>
      <c r="K4487" s="150" t="str">
        <f>IF(Proc[[#This Row],[Author]]="Marcela Urrego",VLOOKUP(LEFT(Proc[[#This Row],[Requested]],1),Table3[#All],2,0),VLOOKUP(Proc[[#This Row],[Author]],Table4[],2,0))</f>
        <v>LS</v>
      </c>
      <c r="L4487" s="150" t="s">
        <v>6435</v>
      </c>
      <c r="M4487" s="162">
        <v>45958</v>
      </c>
      <c r="N4487" s="162"/>
      <c r="O4487" s="162"/>
      <c r="P4487" s="163" t="str">
        <f ca="1">IF(Proc[[#This Row],[DaysAgeing]]&gt;5,"yep","on track")</f>
        <v>yep</v>
      </c>
      <c r="Q4487" s="3">
        <f ca="1">IF(Proc[[#This Row],[DateClosed]]="",ABS(NETWORKDAYS(Proc[[#This Row],[DateOpened]],TODAY()))-1,ABS(NETWORKDAYS(Proc[[#This Row],[DateOpened]],Proc[[#This Row],[DateClosed]]))-1)</f>
        <v>38</v>
      </c>
      <c r="R4487" s="163" t="s">
        <v>489</v>
      </c>
      <c r="S4487" s="150"/>
    </row>
    <row r="4488" spans="1:19" hidden="1">
      <c r="A4488" s="149" t="s">
        <v>6629</v>
      </c>
      <c r="B4488" s="150" t="str">
        <f>IFERROR(VLOOKUP(Proc[[#This Row],[App]],Table2[],3,0),"open")</f>
        <v>ok</v>
      </c>
      <c r="C4488" s="149" t="s">
        <v>369</v>
      </c>
      <c r="D4488" t="s">
        <v>6633</v>
      </c>
      <c r="E4488" t="s">
        <v>2205</v>
      </c>
      <c r="F4488" s="150" t="s">
        <v>2205</v>
      </c>
      <c r="G4488" s="149" t="s">
        <v>400</v>
      </c>
      <c r="H4488" s="150" t="str">
        <f>IF(Proc[[#This Row],[type]]="LFF (MDG-F)",MID(Proc[[#This Row],[Obj]],13,10),"")</f>
        <v/>
      </c>
      <c r="J4488" s="150" t="b">
        <f>Proc[[#This Row],[Requested]]=Proc[[#This Row],[CurrentParent]]</f>
        <v>1</v>
      </c>
      <c r="K4488" s="150" t="str">
        <f>IF(Proc[[#This Row],[Author]]="Marcela Urrego",VLOOKUP(LEFT(Proc[[#This Row],[Requested]],1),Table3[#All],2,0),VLOOKUP(Proc[[#This Row],[Author]],Table4[],2,0))</f>
        <v>LS</v>
      </c>
      <c r="L4488" s="150" t="s">
        <v>6435</v>
      </c>
      <c r="M4488" s="162">
        <v>45958</v>
      </c>
      <c r="N4488" s="162"/>
      <c r="O4488" s="162"/>
      <c r="P4488" s="163" t="str">
        <f ca="1">IF(Proc[[#This Row],[DaysAgeing]]&gt;5,"yep","on track")</f>
        <v>yep</v>
      </c>
      <c r="Q4488" s="3">
        <f ca="1">IF(Proc[[#This Row],[DateClosed]]="",ABS(NETWORKDAYS(Proc[[#This Row],[DateOpened]],TODAY()))-1,ABS(NETWORKDAYS(Proc[[#This Row],[DateOpened]],Proc[[#This Row],[DateClosed]]))-1)</f>
        <v>38</v>
      </c>
      <c r="R4488" s="163" t="s">
        <v>489</v>
      </c>
      <c r="S4488" s="150"/>
    </row>
    <row r="4489" spans="1:19" hidden="1">
      <c r="A4489" t="s">
        <v>6636</v>
      </c>
      <c r="B4489" s="150" t="str">
        <f>IFERROR(VLOOKUP(Proc[[#This Row],[App]],Table2[],3,0),"open")</f>
        <v>ok</v>
      </c>
      <c r="C4489" t="s">
        <v>369</v>
      </c>
      <c r="D4489" t="s">
        <v>6637</v>
      </c>
      <c r="E4489" t="s">
        <v>447</v>
      </c>
      <c r="F4489" s="150" t="s">
        <v>447</v>
      </c>
      <c r="G4489" s="149" t="s">
        <v>400</v>
      </c>
      <c r="H4489" s="150" t="str">
        <f>IF(Proc[[#This Row],[type]]="LFF (MDG-F)",MID(Proc[[#This Row],[Obj]],13,10),"")</f>
        <v/>
      </c>
      <c r="J4489" s="150" t="b">
        <f>Proc[[#This Row],[Requested]]=Proc[[#This Row],[CurrentParent]]</f>
        <v>1</v>
      </c>
      <c r="K4489" s="150" t="str">
        <f>IF(Proc[[#This Row],[Author]]="Marcela Urrego",VLOOKUP(LEFT(Proc[[#This Row],[Requested]],1),Table3[#All],2,0),VLOOKUP(Proc[[#This Row],[Author]],Table4[],2,0))</f>
        <v>LS</v>
      </c>
      <c r="L4489" s="150" t="s">
        <v>6435</v>
      </c>
      <c r="M4489" s="163">
        <v>45959</v>
      </c>
      <c r="N4489" s="164"/>
      <c r="O4489" s="164"/>
      <c r="P4489" s="163" t="str">
        <f ca="1">IF(Proc[[#This Row],[DaysAgeing]]&gt;5,"yep","on track")</f>
        <v>yep</v>
      </c>
      <c r="Q4489" s="3">
        <f ca="1">IF(Proc[[#This Row],[DateClosed]]="",ABS(NETWORKDAYS(Proc[[#This Row],[DateOpened]],TODAY()))-1,ABS(NETWORKDAYS(Proc[[#This Row],[DateOpened]],Proc[[#This Row],[DateClosed]]))-1)</f>
        <v>37</v>
      </c>
      <c r="R4489" s="163" t="s">
        <v>489</v>
      </c>
      <c r="S4489" s="150"/>
    </row>
    <row r="4490" spans="1:19" hidden="1">
      <c r="A4490" t="s">
        <v>6639</v>
      </c>
      <c r="B4490" s="150" t="str">
        <f>IFERROR(VLOOKUP(Proc[[#This Row],[App]],Table2[],3,0),"open")</f>
        <v>open</v>
      </c>
      <c r="C4490" s="149" t="s">
        <v>692</v>
      </c>
      <c r="D4490" t="s">
        <v>6742</v>
      </c>
      <c r="E4490" t="s">
        <v>6640</v>
      </c>
      <c r="F4490" s="150">
        <f>VLOOKUP(Proc[[#This Row],[Obj]],Sheet4!A:B,2,0)</f>
        <v>0</v>
      </c>
      <c r="G4490" t="s">
        <v>400</v>
      </c>
      <c r="H4490" s="150" t="str">
        <f>IF(Proc[[#This Row],[type]]="LFF (MDG-F)",MID(Proc[[#This Row],[Obj]],13,10),"")</f>
        <v/>
      </c>
      <c r="J4490" s="150" t="b">
        <f>Proc[[#This Row],[Requested]]=Proc[[#This Row],[CurrentParent]]</f>
        <v>0</v>
      </c>
      <c r="K4490" s="150" t="str">
        <f>IF(Proc[[#This Row],[Author]]="Marcela Urrego",VLOOKUP(LEFT(Proc[[#This Row],[Requested]],1),Table3[#All],2,0),VLOOKUP(Proc[[#This Row],[Author]],Table4[],2,0))</f>
        <v>HC</v>
      </c>
      <c r="L4490" s="150" t="s">
        <v>6435</v>
      </c>
      <c r="M4490" s="164">
        <v>45954</v>
      </c>
      <c r="N4490" s="164"/>
      <c r="O4490" s="164"/>
      <c r="P4490" s="165" t="str">
        <f ca="1">IF(Proc[[#This Row],[DaysAgeing]]&gt;5,"yep","on track")</f>
        <v>yep</v>
      </c>
      <c r="Q4490" s="3">
        <f ca="1">IF(Proc[[#This Row],[DateClosed]]="",ABS(NETWORKDAYS(Proc[[#This Row],[DateOpened]],TODAY()))-1,ABS(NETWORKDAYS(Proc[[#This Row],[DateOpened]],Proc[[#This Row],[DateClosed]]))-1)</f>
        <v>40</v>
      </c>
      <c r="R4490" s="165" t="s">
        <v>498</v>
      </c>
      <c r="S4490" s="150"/>
    </row>
    <row r="4491" spans="1:19" hidden="1">
      <c r="A4491" t="s">
        <v>6639</v>
      </c>
      <c r="B4491" s="150" t="str">
        <f>IFERROR(VLOOKUP(Proc[[#This Row],[App]],Table2[],3,0),"open")</f>
        <v>open</v>
      </c>
      <c r="C4491" s="149" t="s">
        <v>692</v>
      </c>
      <c r="D4491" t="s">
        <v>6743</v>
      </c>
      <c r="E4491" t="s">
        <v>6641</v>
      </c>
      <c r="F4491" s="150">
        <f>VLOOKUP(Proc[[#This Row],[Obj]],Sheet4!A:B,2,0)</f>
        <v>0</v>
      </c>
      <c r="G4491" t="s">
        <v>400</v>
      </c>
      <c r="H4491" s="150" t="str">
        <f>IF(Proc[[#This Row],[type]]="LFF (MDG-F)",MID(Proc[[#This Row],[Obj]],13,10),"")</f>
        <v/>
      </c>
      <c r="J4491" s="150" t="b">
        <f>Proc[[#This Row],[Requested]]=Proc[[#This Row],[CurrentParent]]</f>
        <v>0</v>
      </c>
      <c r="K4491" s="150" t="str">
        <f>IF(Proc[[#This Row],[Author]]="Marcela Urrego",VLOOKUP(LEFT(Proc[[#This Row],[Requested]],1),Table3[#All],2,0),VLOOKUP(Proc[[#This Row],[Author]],Table4[],2,0))</f>
        <v>HC</v>
      </c>
      <c r="L4491" s="150" t="s">
        <v>6435</v>
      </c>
      <c r="M4491" s="164">
        <v>45954</v>
      </c>
      <c r="N4491" s="164"/>
      <c r="O4491" s="164"/>
      <c r="P4491" s="165" t="str">
        <f ca="1">IF(Proc[[#This Row],[DaysAgeing]]&gt;5,"yep","on track")</f>
        <v>yep</v>
      </c>
      <c r="Q4491" s="3">
        <f ca="1">IF(Proc[[#This Row],[DateClosed]]="",ABS(NETWORKDAYS(Proc[[#This Row],[DateOpened]],TODAY()))-1,ABS(NETWORKDAYS(Proc[[#This Row],[DateOpened]],Proc[[#This Row],[DateClosed]]))-1)</f>
        <v>40</v>
      </c>
      <c r="R4491" s="165" t="s">
        <v>498</v>
      </c>
      <c r="S4491" s="150"/>
    </row>
    <row r="4492" spans="1:19" hidden="1">
      <c r="A4492" t="s">
        <v>6642</v>
      </c>
      <c r="B4492" s="150" t="str">
        <f>IFERROR(VLOOKUP(Proc[[#This Row],[App]],Table2[],3,0),"open")</f>
        <v>ok</v>
      </c>
      <c r="C4492" s="149" t="s">
        <v>369</v>
      </c>
      <c r="D4492" t="s">
        <v>6643</v>
      </c>
      <c r="E4492" t="s">
        <v>6744</v>
      </c>
      <c r="F4492" s="150" t="s">
        <v>6744</v>
      </c>
      <c r="G4492" s="149" t="s">
        <v>400</v>
      </c>
      <c r="H4492" s="150" t="str">
        <f>IF(Proc[[#This Row],[type]]="LFF (MDG-F)",MID(Proc[[#This Row],[Obj]],13,10),"")</f>
        <v/>
      </c>
      <c r="J4492" s="150" t="b">
        <f>Proc[[#This Row],[Requested]]=Proc[[#This Row],[CurrentParent]]</f>
        <v>1</v>
      </c>
      <c r="K4492" s="150" t="str">
        <f>IF(Proc[[#This Row],[Author]]="Marcela Urrego",VLOOKUP(LEFT(Proc[[#This Row],[Requested]],1),Table3[#All],2,0),VLOOKUP(Proc[[#This Row],[Author]],Table4[],2,0))</f>
        <v>HC</v>
      </c>
      <c r="L4492" s="150" t="s">
        <v>6435</v>
      </c>
      <c r="M4492" s="165">
        <v>45961</v>
      </c>
      <c r="N4492" s="166"/>
      <c r="O4492" s="166"/>
      <c r="P4492" s="165" t="str">
        <f ca="1">IF(Proc[[#This Row],[DaysAgeing]]&gt;5,"yep","on track")</f>
        <v>yep</v>
      </c>
      <c r="Q4492" s="3">
        <f ca="1">IF(Proc[[#This Row],[DateClosed]]="",ABS(NETWORKDAYS(Proc[[#This Row],[DateOpened]],TODAY()))-1,ABS(NETWORKDAYS(Proc[[#This Row],[DateOpened]],Proc[[#This Row],[DateClosed]]))-1)</f>
        <v>35</v>
      </c>
      <c r="R4492" s="165" t="s">
        <v>6665</v>
      </c>
      <c r="S4492" s="150"/>
    </row>
    <row r="4493" spans="1:19" hidden="1">
      <c r="A4493" s="149" t="s">
        <v>6642</v>
      </c>
      <c r="B4493" s="150" t="str">
        <f>IFERROR(VLOOKUP(Proc[[#This Row],[App]],Table2[],3,0),"open")</f>
        <v>ok</v>
      </c>
      <c r="C4493" s="149" t="s">
        <v>369</v>
      </c>
      <c r="D4493" t="s">
        <v>6644</v>
      </c>
      <c r="E4493" t="s">
        <v>6745</v>
      </c>
      <c r="F4493" s="150" t="s">
        <v>6745</v>
      </c>
      <c r="G4493" s="149" t="s">
        <v>400</v>
      </c>
      <c r="H4493" s="150" t="str">
        <f>IF(Proc[[#This Row],[type]]="LFF (MDG-F)",MID(Proc[[#This Row],[Obj]],13,10),"")</f>
        <v/>
      </c>
      <c r="J4493" s="150" t="b">
        <f>Proc[[#This Row],[Requested]]=Proc[[#This Row],[CurrentParent]]</f>
        <v>1</v>
      </c>
      <c r="K4493" s="150" t="str">
        <f>IF(Proc[[#This Row],[Author]]="Marcela Urrego",VLOOKUP(LEFT(Proc[[#This Row],[Requested]],1),Table3[#All],2,0),VLOOKUP(Proc[[#This Row],[Author]],Table4[],2,0))</f>
        <v>HC</v>
      </c>
      <c r="L4493" s="150" t="s">
        <v>6435</v>
      </c>
      <c r="M4493" s="165">
        <v>45961</v>
      </c>
      <c r="N4493" s="166"/>
      <c r="O4493" s="166"/>
      <c r="P4493" s="165" t="str">
        <f ca="1">IF(Proc[[#This Row],[DaysAgeing]]&gt;5,"yep","on track")</f>
        <v>yep</v>
      </c>
      <c r="Q4493" s="3">
        <f ca="1">IF(Proc[[#This Row],[DateClosed]]="",ABS(NETWORKDAYS(Proc[[#This Row],[DateOpened]],TODAY()))-1,ABS(NETWORKDAYS(Proc[[#This Row],[DateOpened]],Proc[[#This Row],[DateClosed]]))-1)</f>
        <v>35</v>
      </c>
      <c r="R4493" s="165" t="s">
        <v>6665</v>
      </c>
      <c r="S4493" s="150"/>
    </row>
    <row r="4494" spans="1:19" hidden="1">
      <c r="A4494" s="149" t="s">
        <v>6642</v>
      </c>
      <c r="B4494" s="150" t="str">
        <f>IFERROR(VLOOKUP(Proc[[#This Row],[App]],Table2[],3,0),"open")</f>
        <v>ok</v>
      </c>
      <c r="C4494" s="149" t="s">
        <v>369</v>
      </c>
      <c r="D4494" t="s">
        <v>6645</v>
      </c>
      <c r="E4494" t="s">
        <v>812</v>
      </c>
      <c r="F4494" s="150" t="s">
        <v>812</v>
      </c>
      <c r="G4494" s="149" t="s">
        <v>400</v>
      </c>
      <c r="H4494" s="150" t="str">
        <f>IF(Proc[[#This Row],[type]]="LFF (MDG-F)",MID(Proc[[#This Row],[Obj]],13,10),"")</f>
        <v/>
      </c>
      <c r="J4494" s="150" t="b">
        <f>Proc[[#This Row],[Requested]]=Proc[[#This Row],[CurrentParent]]</f>
        <v>1</v>
      </c>
      <c r="K4494" s="150" t="str">
        <f>IF(Proc[[#This Row],[Author]]="Marcela Urrego",VLOOKUP(LEFT(Proc[[#This Row],[Requested]],1),Table3[#All],2,0),VLOOKUP(Proc[[#This Row],[Author]],Table4[],2,0))</f>
        <v>HC</v>
      </c>
      <c r="L4494" s="150" t="s">
        <v>6435</v>
      </c>
      <c r="M4494" s="165">
        <v>45961</v>
      </c>
      <c r="N4494" s="166"/>
      <c r="O4494" s="166"/>
      <c r="P4494" s="165" t="str">
        <f ca="1">IF(Proc[[#This Row],[DaysAgeing]]&gt;5,"yep","on track")</f>
        <v>yep</v>
      </c>
      <c r="Q4494" s="3">
        <f ca="1">IF(Proc[[#This Row],[DateClosed]]="",ABS(NETWORKDAYS(Proc[[#This Row],[DateOpened]],TODAY()))-1,ABS(NETWORKDAYS(Proc[[#This Row],[DateOpened]],Proc[[#This Row],[DateClosed]]))-1)</f>
        <v>35</v>
      </c>
      <c r="R4494" s="165" t="s">
        <v>6665</v>
      </c>
      <c r="S4494" s="150"/>
    </row>
    <row r="4495" spans="1:19" hidden="1">
      <c r="A4495" s="149" t="s">
        <v>6642</v>
      </c>
      <c r="B4495" s="150" t="str">
        <f>IFERROR(VLOOKUP(Proc[[#This Row],[App]],Table2[],3,0),"open")</f>
        <v>ok</v>
      </c>
      <c r="C4495" s="149" t="s">
        <v>369</v>
      </c>
      <c r="D4495" t="s">
        <v>6646</v>
      </c>
      <c r="E4495" t="s">
        <v>812</v>
      </c>
      <c r="F4495" s="150" t="s">
        <v>812</v>
      </c>
      <c r="G4495" s="149" t="s">
        <v>400</v>
      </c>
      <c r="H4495" s="150" t="str">
        <f>IF(Proc[[#This Row],[type]]="LFF (MDG-F)",MID(Proc[[#This Row],[Obj]],13,10),"")</f>
        <v/>
      </c>
      <c r="J4495" s="150" t="b">
        <f>Proc[[#This Row],[Requested]]=Proc[[#This Row],[CurrentParent]]</f>
        <v>1</v>
      </c>
      <c r="K4495" s="150" t="str">
        <f>IF(Proc[[#This Row],[Author]]="Marcela Urrego",VLOOKUP(LEFT(Proc[[#This Row],[Requested]],1),Table3[#All],2,0),VLOOKUP(Proc[[#This Row],[Author]],Table4[],2,0))</f>
        <v>HC</v>
      </c>
      <c r="L4495" s="150" t="s">
        <v>6435</v>
      </c>
      <c r="M4495" s="165">
        <v>45961</v>
      </c>
      <c r="N4495" s="166"/>
      <c r="O4495" s="166"/>
      <c r="P4495" s="165" t="str">
        <f ca="1">IF(Proc[[#This Row],[DaysAgeing]]&gt;5,"yep","on track")</f>
        <v>yep</v>
      </c>
      <c r="Q4495" s="3">
        <f ca="1">IF(Proc[[#This Row],[DateClosed]]="",ABS(NETWORKDAYS(Proc[[#This Row],[DateOpened]],TODAY()))-1,ABS(NETWORKDAYS(Proc[[#This Row],[DateOpened]],Proc[[#This Row],[DateClosed]]))-1)</f>
        <v>35</v>
      </c>
      <c r="R4495" s="165" t="s">
        <v>6665</v>
      </c>
      <c r="S4495" s="150"/>
    </row>
    <row r="4496" spans="1:19" hidden="1">
      <c r="A4496" s="149" t="s">
        <v>6642</v>
      </c>
      <c r="B4496" s="150" t="str">
        <f>IFERROR(VLOOKUP(Proc[[#This Row],[App]],Table2[],3,0),"open")</f>
        <v>ok</v>
      </c>
      <c r="C4496" s="149" t="s">
        <v>377</v>
      </c>
      <c r="D4496" t="s">
        <v>6747</v>
      </c>
      <c r="E4496" t="s">
        <v>6663</v>
      </c>
      <c r="F4496" s="150" t="s">
        <v>6746</v>
      </c>
      <c r="G4496" s="149" t="s">
        <v>406</v>
      </c>
      <c r="H4496" s="150" t="str">
        <f>IF(Proc[[#This Row],[type]]="LFF (MDG-F)",MID(Proc[[#This Row],[Obj]],13,10),"")</f>
        <v>EG50Z01000</v>
      </c>
      <c r="J4496" s="150" t="b">
        <f>Proc[[#This Row],[Requested]]=Proc[[#This Row],[CurrentParent]]</f>
        <v>0</v>
      </c>
      <c r="K4496" s="150" t="str">
        <f>IF(Proc[[#This Row],[Author]]="Marcela Urrego",VLOOKUP(LEFT(Proc[[#This Row],[Requested]],1),Table3[#All],2,0),VLOOKUP(Proc[[#This Row],[Author]],Table4[],2,0))</f>
        <v>HC</v>
      </c>
      <c r="L4496" s="150" t="s">
        <v>6435</v>
      </c>
      <c r="M4496" s="165">
        <v>45961</v>
      </c>
      <c r="N4496" s="166"/>
      <c r="O4496" s="166"/>
      <c r="P4496" s="165" t="str">
        <f ca="1">IF(Proc[[#This Row],[DaysAgeing]]&gt;5,"yep","on track")</f>
        <v>yep</v>
      </c>
      <c r="Q4496" s="3">
        <f ca="1">IF(Proc[[#This Row],[DateClosed]]="",ABS(NETWORKDAYS(Proc[[#This Row],[DateOpened]],TODAY()))-1,ABS(NETWORKDAYS(Proc[[#This Row],[DateOpened]],Proc[[#This Row],[DateClosed]]))-1)</f>
        <v>35</v>
      </c>
      <c r="R4496" s="165" t="s">
        <v>6665</v>
      </c>
      <c r="S4496" s="150"/>
    </row>
    <row r="4497" spans="1:19" hidden="1">
      <c r="A4497" s="149" t="s">
        <v>6642</v>
      </c>
      <c r="B4497" s="150" t="str">
        <f>IFERROR(VLOOKUP(Proc[[#This Row],[App]],Table2[],3,0),"open")</f>
        <v>ok</v>
      </c>
      <c r="C4497" s="149" t="s">
        <v>369</v>
      </c>
      <c r="D4497" t="s">
        <v>6647</v>
      </c>
      <c r="E4497" t="s">
        <v>812</v>
      </c>
      <c r="F4497" s="150" t="s">
        <v>812</v>
      </c>
      <c r="G4497" s="149" t="s">
        <v>400</v>
      </c>
      <c r="H4497" s="150" t="str">
        <f>IF(Proc[[#This Row],[type]]="LFF (MDG-F)",MID(Proc[[#This Row],[Obj]],13,10),"")</f>
        <v/>
      </c>
      <c r="J4497" s="150" t="b">
        <f>Proc[[#This Row],[Requested]]=Proc[[#This Row],[CurrentParent]]</f>
        <v>1</v>
      </c>
      <c r="K4497" s="150" t="str">
        <f>IF(Proc[[#This Row],[Author]]="Marcela Urrego",VLOOKUP(LEFT(Proc[[#This Row],[Requested]],1),Table3[#All],2,0),VLOOKUP(Proc[[#This Row],[Author]],Table4[],2,0))</f>
        <v>HC</v>
      </c>
      <c r="L4497" s="150" t="s">
        <v>6435</v>
      </c>
      <c r="M4497" s="165">
        <v>45961</v>
      </c>
      <c r="N4497" s="166"/>
      <c r="O4497" s="166"/>
      <c r="P4497" s="165" t="str">
        <f ca="1">IF(Proc[[#This Row],[DaysAgeing]]&gt;5,"yep","on track")</f>
        <v>yep</v>
      </c>
      <c r="Q4497" s="3">
        <f ca="1">IF(Proc[[#This Row],[DateClosed]]="",ABS(NETWORKDAYS(Proc[[#This Row],[DateOpened]],TODAY()))-1,ABS(NETWORKDAYS(Proc[[#This Row],[DateOpened]],Proc[[#This Row],[DateClosed]]))-1)</f>
        <v>35</v>
      </c>
      <c r="R4497" s="165" t="s">
        <v>6665</v>
      </c>
      <c r="S4497" s="150"/>
    </row>
    <row r="4498" spans="1:19" hidden="1">
      <c r="A4498" s="149" t="s">
        <v>6642</v>
      </c>
      <c r="B4498" s="150" t="str">
        <f>IFERROR(VLOOKUP(Proc[[#This Row],[App]],Table2[],3,0),"open")</f>
        <v>ok</v>
      </c>
      <c r="C4498" s="149" t="s">
        <v>369</v>
      </c>
      <c r="D4498" t="s">
        <v>6648</v>
      </c>
      <c r="E4498" t="s">
        <v>991</v>
      </c>
      <c r="F4498" s="150" t="s">
        <v>991</v>
      </c>
      <c r="G4498" s="149" t="s">
        <v>400</v>
      </c>
      <c r="H4498" s="150" t="str">
        <f>IF(Proc[[#This Row],[type]]="LFF (MDG-F)",MID(Proc[[#This Row],[Obj]],13,10),"")</f>
        <v/>
      </c>
      <c r="J4498" s="150" t="b">
        <f>Proc[[#This Row],[Requested]]=Proc[[#This Row],[CurrentParent]]</f>
        <v>1</v>
      </c>
      <c r="K4498" s="150" t="str">
        <f>IF(Proc[[#This Row],[Author]]="Marcela Urrego",VLOOKUP(LEFT(Proc[[#This Row],[Requested]],1),Table3[#All],2,0),VLOOKUP(Proc[[#This Row],[Author]],Table4[],2,0))</f>
        <v>HC</v>
      </c>
      <c r="L4498" s="150" t="s">
        <v>6435</v>
      </c>
      <c r="M4498" s="165">
        <v>45961</v>
      </c>
      <c r="N4498" s="166"/>
      <c r="O4498" s="166"/>
      <c r="P4498" s="165" t="str">
        <f ca="1">IF(Proc[[#This Row],[DaysAgeing]]&gt;5,"yep","on track")</f>
        <v>yep</v>
      </c>
      <c r="Q4498" s="3">
        <f ca="1">IF(Proc[[#This Row],[DateClosed]]="",ABS(NETWORKDAYS(Proc[[#This Row],[DateOpened]],TODAY()))-1,ABS(NETWORKDAYS(Proc[[#This Row],[DateOpened]],Proc[[#This Row],[DateClosed]]))-1)</f>
        <v>35</v>
      </c>
      <c r="R4498" s="165" t="s">
        <v>6665</v>
      </c>
      <c r="S4498" s="150"/>
    </row>
    <row r="4499" spans="1:19" hidden="1">
      <c r="A4499" s="149" t="s">
        <v>6642</v>
      </c>
      <c r="B4499" s="150" t="str">
        <f>IFERROR(VLOOKUP(Proc[[#This Row],[App]],Table2[],3,0),"open")</f>
        <v>ok</v>
      </c>
      <c r="C4499" s="149" t="s">
        <v>369</v>
      </c>
      <c r="D4499" t="s">
        <v>6649</v>
      </c>
      <c r="E4499" t="s">
        <v>812</v>
      </c>
      <c r="F4499" s="150" t="s">
        <v>812</v>
      </c>
      <c r="G4499" s="149" t="s">
        <v>400</v>
      </c>
      <c r="H4499" s="150" t="str">
        <f>IF(Proc[[#This Row],[type]]="LFF (MDG-F)",MID(Proc[[#This Row],[Obj]],13,10),"")</f>
        <v/>
      </c>
      <c r="J4499" s="150" t="b">
        <f>Proc[[#This Row],[Requested]]=Proc[[#This Row],[CurrentParent]]</f>
        <v>1</v>
      </c>
      <c r="K4499" s="150" t="str">
        <f>IF(Proc[[#This Row],[Author]]="Marcela Urrego",VLOOKUP(LEFT(Proc[[#This Row],[Requested]],1),Table3[#All],2,0),VLOOKUP(Proc[[#This Row],[Author]],Table4[],2,0))</f>
        <v>HC</v>
      </c>
      <c r="L4499" s="150" t="s">
        <v>6435</v>
      </c>
      <c r="M4499" s="165">
        <v>45961</v>
      </c>
      <c r="N4499" s="166"/>
      <c r="O4499" s="166"/>
      <c r="P4499" s="165" t="str">
        <f ca="1">IF(Proc[[#This Row],[DaysAgeing]]&gt;5,"yep","on track")</f>
        <v>yep</v>
      </c>
      <c r="Q4499" s="3">
        <f ca="1">IF(Proc[[#This Row],[DateClosed]]="",ABS(NETWORKDAYS(Proc[[#This Row],[DateOpened]],TODAY()))-1,ABS(NETWORKDAYS(Proc[[#This Row],[DateOpened]],Proc[[#This Row],[DateClosed]]))-1)</f>
        <v>35</v>
      </c>
      <c r="R4499" s="165" t="s">
        <v>6665</v>
      </c>
      <c r="S4499" s="150"/>
    </row>
    <row r="4500" spans="1:19" hidden="1">
      <c r="A4500" s="149" t="s">
        <v>6642</v>
      </c>
      <c r="B4500" s="150" t="str">
        <f>IFERROR(VLOOKUP(Proc[[#This Row],[App]],Table2[],3,0),"open")</f>
        <v>ok</v>
      </c>
      <c r="C4500" s="149" t="s">
        <v>369</v>
      </c>
      <c r="D4500" t="s">
        <v>6650</v>
      </c>
      <c r="E4500" t="s">
        <v>812</v>
      </c>
      <c r="F4500" s="150" t="s">
        <v>812</v>
      </c>
      <c r="G4500" s="149" t="s">
        <v>400</v>
      </c>
      <c r="H4500" s="150" t="str">
        <f>IF(Proc[[#This Row],[type]]="LFF (MDG-F)",MID(Proc[[#This Row],[Obj]],13,10),"")</f>
        <v/>
      </c>
      <c r="J4500" s="150" t="b">
        <f>Proc[[#This Row],[Requested]]=Proc[[#This Row],[CurrentParent]]</f>
        <v>1</v>
      </c>
      <c r="K4500" s="150" t="str">
        <f>IF(Proc[[#This Row],[Author]]="Marcela Urrego",VLOOKUP(LEFT(Proc[[#This Row],[Requested]],1),Table3[#All],2,0),VLOOKUP(Proc[[#This Row],[Author]],Table4[],2,0))</f>
        <v>HC</v>
      </c>
      <c r="L4500" s="150" t="s">
        <v>6435</v>
      </c>
      <c r="M4500" s="165">
        <v>45961</v>
      </c>
      <c r="N4500" s="166"/>
      <c r="O4500" s="166"/>
      <c r="P4500" s="165" t="str">
        <f ca="1">IF(Proc[[#This Row],[DaysAgeing]]&gt;5,"yep","on track")</f>
        <v>yep</v>
      </c>
      <c r="Q4500" s="3">
        <f ca="1">IF(Proc[[#This Row],[DateClosed]]="",ABS(NETWORKDAYS(Proc[[#This Row],[DateOpened]],TODAY()))-1,ABS(NETWORKDAYS(Proc[[#This Row],[DateOpened]],Proc[[#This Row],[DateClosed]]))-1)</f>
        <v>35</v>
      </c>
      <c r="R4500" s="165" t="s">
        <v>6665</v>
      </c>
      <c r="S4500" s="150"/>
    </row>
    <row r="4501" spans="1:19" hidden="1">
      <c r="A4501" s="149" t="s">
        <v>6642</v>
      </c>
      <c r="B4501" s="150" t="str">
        <f>IFERROR(VLOOKUP(Proc[[#This Row],[App]],Table2[],3,0),"open")</f>
        <v>ok</v>
      </c>
      <c r="C4501" s="149" t="s">
        <v>369</v>
      </c>
      <c r="D4501" t="s">
        <v>6651</v>
      </c>
      <c r="E4501" t="s">
        <v>812</v>
      </c>
      <c r="F4501" s="150" t="s">
        <v>812</v>
      </c>
      <c r="G4501" s="149" t="s">
        <v>400</v>
      </c>
      <c r="H4501" s="150" t="str">
        <f>IF(Proc[[#This Row],[type]]="LFF (MDG-F)",MID(Proc[[#This Row],[Obj]],13,10),"")</f>
        <v/>
      </c>
      <c r="J4501" s="150" t="b">
        <f>Proc[[#This Row],[Requested]]=Proc[[#This Row],[CurrentParent]]</f>
        <v>1</v>
      </c>
      <c r="K4501" s="150" t="str">
        <f>IF(Proc[[#This Row],[Author]]="Marcela Urrego",VLOOKUP(LEFT(Proc[[#This Row],[Requested]],1),Table3[#All],2,0),VLOOKUP(Proc[[#This Row],[Author]],Table4[],2,0))</f>
        <v>HC</v>
      </c>
      <c r="L4501" s="150" t="s">
        <v>6435</v>
      </c>
      <c r="M4501" s="165">
        <v>45961</v>
      </c>
      <c r="N4501" s="166"/>
      <c r="O4501" s="166"/>
      <c r="P4501" s="165" t="str">
        <f ca="1">IF(Proc[[#This Row],[DaysAgeing]]&gt;5,"yep","on track")</f>
        <v>yep</v>
      </c>
      <c r="Q4501" s="3">
        <f ca="1">IF(Proc[[#This Row],[DateClosed]]="",ABS(NETWORKDAYS(Proc[[#This Row],[DateOpened]],TODAY()))-1,ABS(NETWORKDAYS(Proc[[#This Row],[DateOpened]],Proc[[#This Row],[DateClosed]]))-1)</f>
        <v>35</v>
      </c>
      <c r="R4501" s="165" t="s">
        <v>6665</v>
      </c>
      <c r="S4501" s="150"/>
    </row>
    <row r="4502" spans="1:19" hidden="1">
      <c r="A4502" s="149" t="s">
        <v>6642</v>
      </c>
      <c r="B4502" s="150" t="str">
        <f>IFERROR(VLOOKUP(Proc[[#This Row],[App]],Table2[],3,0),"open")</f>
        <v>ok</v>
      </c>
      <c r="C4502" s="149" t="s">
        <v>369</v>
      </c>
      <c r="D4502" t="s">
        <v>6652</v>
      </c>
      <c r="E4502" t="s">
        <v>812</v>
      </c>
      <c r="F4502" s="150" t="s">
        <v>812</v>
      </c>
      <c r="G4502" s="149" t="s">
        <v>400</v>
      </c>
      <c r="H4502" s="150" t="str">
        <f>IF(Proc[[#This Row],[type]]="LFF (MDG-F)",MID(Proc[[#This Row],[Obj]],13,10),"")</f>
        <v/>
      </c>
      <c r="J4502" s="150" t="b">
        <f>Proc[[#This Row],[Requested]]=Proc[[#This Row],[CurrentParent]]</f>
        <v>1</v>
      </c>
      <c r="K4502" s="150" t="str">
        <f>IF(Proc[[#This Row],[Author]]="Marcela Urrego",VLOOKUP(LEFT(Proc[[#This Row],[Requested]],1),Table3[#All],2,0),VLOOKUP(Proc[[#This Row],[Author]],Table4[],2,0))</f>
        <v>HC</v>
      </c>
      <c r="L4502" s="150" t="s">
        <v>6435</v>
      </c>
      <c r="M4502" s="165">
        <v>45961</v>
      </c>
      <c r="N4502" s="166"/>
      <c r="O4502" s="166"/>
      <c r="P4502" s="165" t="str">
        <f ca="1">IF(Proc[[#This Row],[DaysAgeing]]&gt;5,"yep","on track")</f>
        <v>yep</v>
      </c>
      <c r="Q4502" s="3">
        <f ca="1">IF(Proc[[#This Row],[DateClosed]]="",ABS(NETWORKDAYS(Proc[[#This Row],[DateOpened]],TODAY()))-1,ABS(NETWORKDAYS(Proc[[#This Row],[DateOpened]],Proc[[#This Row],[DateClosed]]))-1)</f>
        <v>35</v>
      </c>
      <c r="R4502" s="165" t="s">
        <v>6665</v>
      </c>
      <c r="S4502" s="150"/>
    </row>
    <row r="4503" spans="1:19" hidden="1">
      <c r="A4503" s="149" t="s">
        <v>6642</v>
      </c>
      <c r="B4503" s="150" t="str">
        <f>IFERROR(VLOOKUP(Proc[[#This Row],[App]],Table2[],3,0),"open")</f>
        <v>ok</v>
      </c>
      <c r="C4503" s="149" t="s">
        <v>369</v>
      </c>
      <c r="D4503" t="s">
        <v>6653</v>
      </c>
      <c r="E4503" t="s">
        <v>812</v>
      </c>
      <c r="F4503" s="150" t="s">
        <v>812</v>
      </c>
      <c r="G4503" s="149" t="s">
        <v>400</v>
      </c>
      <c r="H4503" s="150" t="str">
        <f>IF(Proc[[#This Row],[type]]="LFF (MDG-F)",MID(Proc[[#This Row],[Obj]],13,10),"")</f>
        <v/>
      </c>
      <c r="J4503" s="150" t="b">
        <f>Proc[[#This Row],[Requested]]=Proc[[#This Row],[CurrentParent]]</f>
        <v>1</v>
      </c>
      <c r="K4503" s="150" t="str">
        <f>IF(Proc[[#This Row],[Author]]="Marcela Urrego",VLOOKUP(LEFT(Proc[[#This Row],[Requested]],1),Table3[#All],2,0),VLOOKUP(Proc[[#This Row],[Author]],Table4[],2,0))</f>
        <v>HC</v>
      </c>
      <c r="L4503" s="150" t="s">
        <v>6435</v>
      </c>
      <c r="M4503" s="165">
        <v>45961</v>
      </c>
      <c r="N4503" s="166"/>
      <c r="O4503" s="166"/>
      <c r="P4503" s="165" t="str">
        <f ca="1">IF(Proc[[#This Row],[DaysAgeing]]&gt;5,"yep","on track")</f>
        <v>yep</v>
      </c>
      <c r="Q4503" s="3">
        <f ca="1">IF(Proc[[#This Row],[DateClosed]]="",ABS(NETWORKDAYS(Proc[[#This Row],[DateOpened]],TODAY()))-1,ABS(NETWORKDAYS(Proc[[#This Row],[DateOpened]],Proc[[#This Row],[DateClosed]]))-1)</f>
        <v>35</v>
      </c>
      <c r="R4503" s="165" t="s">
        <v>6665</v>
      </c>
      <c r="S4503" s="150"/>
    </row>
    <row r="4504" spans="1:19" hidden="1">
      <c r="A4504" s="149" t="s">
        <v>6642</v>
      </c>
      <c r="B4504" s="150" t="str">
        <f>IFERROR(VLOOKUP(Proc[[#This Row],[App]],Table2[],3,0),"open")</f>
        <v>ok</v>
      </c>
      <c r="C4504" s="149" t="s">
        <v>369</v>
      </c>
      <c r="D4504" t="s">
        <v>6654</v>
      </c>
      <c r="E4504" t="s">
        <v>812</v>
      </c>
      <c r="F4504" s="150" t="s">
        <v>812</v>
      </c>
      <c r="G4504" s="149" t="s">
        <v>400</v>
      </c>
      <c r="H4504" s="150" t="str">
        <f>IF(Proc[[#This Row],[type]]="LFF (MDG-F)",MID(Proc[[#This Row],[Obj]],13,10),"")</f>
        <v/>
      </c>
      <c r="J4504" s="150" t="b">
        <f>Proc[[#This Row],[Requested]]=Proc[[#This Row],[CurrentParent]]</f>
        <v>1</v>
      </c>
      <c r="K4504" s="150" t="str">
        <f>IF(Proc[[#This Row],[Author]]="Marcela Urrego",VLOOKUP(LEFT(Proc[[#This Row],[Requested]],1),Table3[#All],2,0),VLOOKUP(Proc[[#This Row],[Author]],Table4[],2,0))</f>
        <v>HC</v>
      </c>
      <c r="L4504" s="150" t="s">
        <v>6435</v>
      </c>
      <c r="M4504" s="165">
        <v>45961</v>
      </c>
      <c r="N4504" s="166"/>
      <c r="O4504" s="166"/>
      <c r="P4504" s="165" t="str">
        <f ca="1">IF(Proc[[#This Row],[DaysAgeing]]&gt;5,"yep","on track")</f>
        <v>yep</v>
      </c>
      <c r="Q4504" s="3">
        <f ca="1">IF(Proc[[#This Row],[DateClosed]]="",ABS(NETWORKDAYS(Proc[[#This Row],[DateOpened]],TODAY()))-1,ABS(NETWORKDAYS(Proc[[#This Row],[DateOpened]],Proc[[#This Row],[DateClosed]]))-1)</f>
        <v>35</v>
      </c>
      <c r="R4504" s="165" t="s">
        <v>6665</v>
      </c>
      <c r="S4504" s="150"/>
    </row>
    <row r="4505" spans="1:19" hidden="1">
      <c r="A4505" s="149" t="s">
        <v>6642</v>
      </c>
      <c r="B4505" s="150" t="str">
        <f>IFERROR(VLOOKUP(Proc[[#This Row],[App]],Table2[],3,0),"open")</f>
        <v>ok</v>
      </c>
      <c r="C4505" s="149" t="s">
        <v>369</v>
      </c>
      <c r="D4505" t="s">
        <v>6655</v>
      </c>
      <c r="E4505" t="s">
        <v>6664</v>
      </c>
      <c r="F4505" s="150" t="s">
        <v>6664</v>
      </c>
      <c r="G4505" s="149" t="s">
        <v>400</v>
      </c>
      <c r="H4505" s="150" t="str">
        <f>IF(Proc[[#This Row],[type]]="LFF (MDG-F)",MID(Proc[[#This Row],[Obj]],13,10),"")</f>
        <v/>
      </c>
      <c r="J4505" s="150" t="b">
        <f>Proc[[#This Row],[Requested]]=Proc[[#This Row],[CurrentParent]]</f>
        <v>1</v>
      </c>
      <c r="K4505" s="150" t="str">
        <f>IF(Proc[[#This Row],[Author]]="Marcela Urrego",VLOOKUP(LEFT(Proc[[#This Row],[Requested]],1),Table3[#All],2,0),VLOOKUP(Proc[[#This Row],[Author]],Table4[],2,0))</f>
        <v>HC</v>
      </c>
      <c r="L4505" s="150" t="s">
        <v>6435</v>
      </c>
      <c r="M4505" s="165">
        <v>45961</v>
      </c>
      <c r="N4505" s="166"/>
      <c r="O4505" s="166"/>
      <c r="P4505" s="165" t="str">
        <f ca="1">IF(Proc[[#This Row],[DaysAgeing]]&gt;5,"yep","on track")</f>
        <v>yep</v>
      </c>
      <c r="Q4505" s="3">
        <f ca="1">IF(Proc[[#This Row],[DateClosed]]="",ABS(NETWORKDAYS(Proc[[#This Row],[DateOpened]],TODAY()))-1,ABS(NETWORKDAYS(Proc[[#This Row],[DateOpened]],Proc[[#This Row],[DateClosed]]))-1)</f>
        <v>35</v>
      </c>
      <c r="R4505" s="165" t="s">
        <v>6665</v>
      </c>
      <c r="S4505" s="150"/>
    </row>
    <row r="4506" spans="1:19" hidden="1">
      <c r="A4506" s="149" t="s">
        <v>6642</v>
      </c>
      <c r="B4506" s="150" t="str">
        <f>IFERROR(VLOOKUP(Proc[[#This Row],[App]],Table2[],3,0),"open")</f>
        <v>ok</v>
      </c>
      <c r="C4506" s="149" t="s">
        <v>369</v>
      </c>
      <c r="D4506" t="s">
        <v>6656</v>
      </c>
      <c r="E4506" t="s">
        <v>483</v>
      </c>
      <c r="F4506" s="150" t="s">
        <v>483</v>
      </c>
      <c r="G4506" s="149" t="s">
        <v>400</v>
      </c>
      <c r="H4506" s="150" t="str">
        <f>IF(Proc[[#This Row],[type]]="LFF (MDG-F)",MID(Proc[[#This Row],[Obj]],13,10),"")</f>
        <v/>
      </c>
      <c r="J4506" s="150" t="b">
        <f>Proc[[#This Row],[Requested]]=Proc[[#This Row],[CurrentParent]]</f>
        <v>1</v>
      </c>
      <c r="K4506" s="150" t="str">
        <f>IF(Proc[[#This Row],[Author]]="Marcela Urrego",VLOOKUP(LEFT(Proc[[#This Row],[Requested]],1),Table3[#All],2,0),VLOOKUP(Proc[[#This Row],[Author]],Table4[],2,0))</f>
        <v>HC</v>
      </c>
      <c r="L4506" s="150" t="s">
        <v>6435</v>
      </c>
      <c r="M4506" s="165">
        <v>45961</v>
      </c>
      <c r="N4506" s="166"/>
      <c r="O4506" s="166"/>
      <c r="P4506" s="165" t="str">
        <f ca="1">IF(Proc[[#This Row],[DaysAgeing]]&gt;5,"yep","on track")</f>
        <v>yep</v>
      </c>
      <c r="Q4506" s="3">
        <f ca="1">IF(Proc[[#This Row],[DateClosed]]="",ABS(NETWORKDAYS(Proc[[#This Row],[DateOpened]],TODAY()))-1,ABS(NETWORKDAYS(Proc[[#This Row],[DateOpened]],Proc[[#This Row],[DateClosed]]))-1)</f>
        <v>35</v>
      </c>
      <c r="R4506" s="165" t="s">
        <v>6665</v>
      </c>
      <c r="S4506" s="150"/>
    </row>
    <row r="4507" spans="1:19" hidden="1">
      <c r="A4507" s="149" t="s">
        <v>6642</v>
      </c>
      <c r="B4507" s="150" t="str">
        <f>IFERROR(VLOOKUP(Proc[[#This Row],[App]],Table2[],3,0),"open")</f>
        <v>ok</v>
      </c>
      <c r="C4507" s="149" t="s">
        <v>369</v>
      </c>
      <c r="D4507" t="s">
        <v>6657</v>
      </c>
      <c r="E4507" t="s">
        <v>483</v>
      </c>
      <c r="F4507" s="150" t="s">
        <v>483</v>
      </c>
      <c r="G4507" s="149" t="s">
        <v>400</v>
      </c>
      <c r="H4507" s="150" t="str">
        <f>IF(Proc[[#This Row],[type]]="LFF (MDG-F)",MID(Proc[[#This Row],[Obj]],13,10),"")</f>
        <v/>
      </c>
      <c r="J4507" s="150" t="b">
        <f>Proc[[#This Row],[Requested]]=Proc[[#This Row],[CurrentParent]]</f>
        <v>1</v>
      </c>
      <c r="K4507" s="150" t="str">
        <f>IF(Proc[[#This Row],[Author]]="Marcela Urrego",VLOOKUP(LEFT(Proc[[#This Row],[Requested]],1),Table3[#All],2,0),VLOOKUP(Proc[[#This Row],[Author]],Table4[],2,0))</f>
        <v>HC</v>
      </c>
      <c r="L4507" s="150" t="s">
        <v>6435</v>
      </c>
      <c r="M4507" s="165">
        <v>45961</v>
      </c>
      <c r="N4507" s="166"/>
      <c r="O4507" s="166"/>
      <c r="P4507" s="165" t="str">
        <f ca="1">IF(Proc[[#This Row],[DaysAgeing]]&gt;5,"yep","on track")</f>
        <v>yep</v>
      </c>
      <c r="Q4507" s="3">
        <f ca="1">IF(Proc[[#This Row],[DateClosed]]="",ABS(NETWORKDAYS(Proc[[#This Row],[DateOpened]],TODAY()))-1,ABS(NETWORKDAYS(Proc[[#This Row],[DateOpened]],Proc[[#This Row],[DateClosed]]))-1)</f>
        <v>35</v>
      </c>
      <c r="R4507" s="165" t="s">
        <v>6665</v>
      </c>
      <c r="S4507" s="150"/>
    </row>
    <row r="4508" spans="1:19" hidden="1">
      <c r="A4508" s="149" t="s">
        <v>6642</v>
      </c>
      <c r="B4508" s="150" t="str">
        <f>IFERROR(VLOOKUP(Proc[[#This Row],[App]],Table2[],3,0),"open")</f>
        <v>ok</v>
      </c>
      <c r="C4508" s="149" t="s">
        <v>369</v>
      </c>
      <c r="D4508" t="s">
        <v>6658</v>
      </c>
      <c r="E4508" t="s">
        <v>483</v>
      </c>
      <c r="F4508" s="150" t="s">
        <v>483</v>
      </c>
      <c r="G4508" s="149" t="s">
        <v>400</v>
      </c>
      <c r="H4508" s="150" t="str">
        <f>IF(Proc[[#This Row],[type]]="LFF (MDG-F)",MID(Proc[[#This Row],[Obj]],13,10),"")</f>
        <v/>
      </c>
      <c r="J4508" s="150" t="b">
        <f>Proc[[#This Row],[Requested]]=Proc[[#This Row],[CurrentParent]]</f>
        <v>1</v>
      </c>
      <c r="K4508" s="150" t="str">
        <f>IF(Proc[[#This Row],[Author]]="Marcela Urrego",VLOOKUP(LEFT(Proc[[#This Row],[Requested]],1),Table3[#All],2,0),VLOOKUP(Proc[[#This Row],[Author]],Table4[],2,0))</f>
        <v>HC</v>
      </c>
      <c r="L4508" s="150" t="s">
        <v>6435</v>
      </c>
      <c r="M4508" s="165">
        <v>45961</v>
      </c>
      <c r="N4508" s="166"/>
      <c r="O4508" s="166"/>
      <c r="P4508" s="165" t="str">
        <f ca="1">IF(Proc[[#This Row],[DaysAgeing]]&gt;5,"yep","on track")</f>
        <v>yep</v>
      </c>
      <c r="Q4508" s="3">
        <f ca="1">IF(Proc[[#This Row],[DateClosed]]="",ABS(NETWORKDAYS(Proc[[#This Row],[DateOpened]],TODAY()))-1,ABS(NETWORKDAYS(Proc[[#This Row],[DateOpened]],Proc[[#This Row],[DateClosed]]))-1)</f>
        <v>35</v>
      </c>
      <c r="R4508" s="165" t="s">
        <v>6665</v>
      </c>
      <c r="S4508" s="150"/>
    </row>
    <row r="4509" spans="1:19" hidden="1">
      <c r="A4509" s="149" t="s">
        <v>6642</v>
      </c>
      <c r="B4509" s="150" t="str">
        <f>IFERROR(VLOOKUP(Proc[[#This Row],[App]],Table2[],3,0),"open")</f>
        <v>ok</v>
      </c>
      <c r="C4509" s="149" t="s">
        <v>369</v>
      </c>
      <c r="D4509" t="s">
        <v>6659</v>
      </c>
      <c r="E4509" t="s">
        <v>483</v>
      </c>
      <c r="F4509" s="150" t="s">
        <v>483</v>
      </c>
      <c r="G4509" s="149" t="s">
        <v>400</v>
      </c>
      <c r="H4509" s="150" t="str">
        <f>IF(Proc[[#This Row],[type]]="LFF (MDG-F)",MID(Proc[[#This Row],[Obj]],13,10),"")</f>
        <v/>
      </c>
      <c r="J4509" s="150" t="b">
        <f>Proc[[#This Row],[Requested]]=Proc[[#This Row],[CurrentParent]]</f>
        <v>1</v>
      </c>
      <c r="K4509" s="150" t="str">
        <f>IF(Proc[[#This Row],[Author]]="Marcela Urrego",VLOOKUP(LEFT(Proc[[#This Row],[Requested]],1),Table3[#All],2,0),VLOOKUP(Proc[[#This Row],[Author]],Table4[],2,0))</f>
        <v>HC</v>
      </c>
      <c r="L4509" s="150" t="s">
        <v>6435</v>
      </c>
      <c r="M4509" s="165">
        <v>45961</v>
      </c>
      <c r="N4509" s="166"/>
      <c r="O4509" s="166"/>
      <c r="P4509" s="165" t="str">
        <f ca="1">IF(Proc[[#This Row],[DaysAgeing]]&gt;5,"yep","on track")</f>
        <v>yep</v>
      </c>
      <c r="Q4509" s="3">
        <f ca="1">IF(Proc[[#This Row],[DateClosed]]="",ABS(NETWORKDAYS(Proc[[#This Row],[DateOpened]],TODAY()))-1,ABS(NETWORKDAYS(Proc[[#This Row],[DateOpened]],Proc[[#This Row],[DateClosed]]))-1)</f>
        <v>35</v>
      </c>
      <c r="R4509" s="165" t="s">
        <v>6665</v>
      </c>
      <c r="S4509" s="150"/>
    </row>
    <row r="4510" spans="1:19" hidden="1">
      <c r="A4510" s="149" t="s">
        <v>6642</v>
      </c>
      <c r="B4510" s="150" t="str">
        <f>IFERROR(VLOOKUP(Proc[[#This Row],[App]],Table2[],3,0),"open")</f>
        <v>ok</v>
      </c>
      <c r="C4510" s="149" t="s">
        <v>369</v>
      </c>
      <c r="D4510" t="s">
        <v>6660</v>
      </c>
      <c r="E4510" t="s">
        <v>483</v>
      </c>
      <c r="F4510" s="150" t="s">
        <v>483</v>
      </c>
      <c r="G4510" s="149" t="s">
        <v>400</v>
      </c>
      <c r="H4510" s="150" t="str">
        <f>IF(Proc[[#This Row],[type]]="LFF (MDG-F)",MID(Proc[[#This Row],[Obj]],13,10),"")</f>
        <v/>
      </c>
      <c r="J4510" s="150" t="b">
        <f>Proc[[#This Row],[Requested]]=Proc[[#This Row],[CurrentParent]]</f>
        <v>1</v>
      </c>
      <c r="K4510" s="150" t="str">
        <f>IF(Proc[[#This Row],[Author]]="Marcela Urrego",VLOOKUP(LEFT(Proc[[#This Row],[Requested]],1),Table3[#All],2,0),VLOOKUP(Proc[[#This Row],[Author]],Table4[],2,0))</f>
        <v>HC</v>
      </c>
      <c r="L4510" s="150" t="s">
        <v>6435</v>
      </c>
      <c r="M4510" s="165">
        <v>45961</v>
      </c>
      <c r="N4510" s="166"/>
      <c r="O4510" s="166"/>
      <c r="P4510" s="165" t="str">
        <f ca="1">IF(Proc[[#This Row],[DaysAgeing]]&gt;5,"yep","on track")</f>
        <v>yep</v>
      </c>
      <c r="Q4510" s="3">
        <f ca="1">IF(Proc[[#This Row],[DateClosed]]="",ABS(NETWORKDAYS(Proc[[#This Row],[DateOpened]],TODAY()))-1,ABS(NETWORKDAYS(Proc[[#This Row],[DateOpened]],Proc[[#This Row],[DateClosed]]))-1)</f>
        <v>35</v>
      </c>
      <c r="R4510" s="165" t="s">
        <v>6665</v>
      </c>
      <c r="S4510" s="150"/>
    </row>
    <row r="4511" spans="1:19" hidden="1">
      <c r="A4511" s="149" t="s">
        <v>6642</v>
      </c>
      <c r="B4511" s="150" t="str">
        <f>IFERROR(VLOOKUP(Proc[[#This Row],[App]],Table2[],3,0),"open")</f>
        <v>ok</v>
      </c>
      <c r="C4511" s="149" t="s">
        <v>369</v>
      </c>
      <c r="D4511" t="s">
        <v>6661</v>
      </c>
      <c r="E4511" t="s">
        <v>6664</v>
      </c>
      <c r="F4511" s="150" t="s">
        <v>6664</v>
      </c>
      <c r="G4511" s="149" t="s">
        <v>400</v>
      </c>
      <c r="H4511" s="150" t="str">
        <f>IF(Proc[[#This Row],[type]]="LFF (MDG-F)",MID(Proc[[#This Row],[Obj]],13,10),"")</f>
        <v/>
      </c>
      <c r="J4511" s="150" t="b">
        <f>Proc[[#This Row],[Requested]]=Proc[[#This Row],[CurrentParent]]</f>
        <v>1</v>
      </c>
      <c r="K4511" s="150" t="str">
        <f>IF(Proc[[#This Row],[Author]]="Marcela Urrego",VLOOKUP(LEFT(Proc[[#This Row],[Requested]],1),Table3[#All],2,0),VLOOKUP(Proc[[#This Row],[Author]],Table4[],2,0))</f>
        <v>HC</v>
      </c>
      <c r="L4511" s="150" t="s">
        <v>6435</v>
      </c>
      <c r="M4511" s="165">
        <v>45961</v>
      </c>
      <c r="N4511" s="166"/>
      <c r="O4511" s="166"/>
      <c r="P4511" s="165" t="str">
        <f ca="1">IF(Proc[[#This Row],[DaysAgeing]]&gt;5,"yep","on track")</f>
        <v>yep</v>
      </c>
      <c r="Q4511" s="3">
        <f ca="1">IF(Proc[[#This Row],[DateClosed]]="",ABS(NETWORKDAYS(Proc[[#This Row],[DateOpened]],TODAY()))-1,ABS(NETWORKDAYS(Proc[[#This Row],[DateOpened]],Proc[[#This Row],[DateClosed]]))-1)</f>
        <v>35</v>
      </c>
      <c r="R4511" s="165" t="s">
        <v>6665</v>
      </c>
      <c r="S4511" s="150"/>
    </row>
    <row r="4512" spans="1:19" hidden="1">
      <c r="A4512" s="149" t="s">
        <v>6642</v>
      </c>
      <c r="B4512" s="150" t="str">
        <f>IFERROR(VLOOKUP(Proc[[#This Row],[App]],Table2[],3,0),"open")</f>
        <v>ok</v>
      </c>
      <c r="C4512" s="149" t="s">
        <v>369</v>
      </c>
      <c r="D4512" t="s">
        <v>6662</v>
      </c>
      <c r="E4512" t="s">
        <v>483</v>
      </c>
      <c r="F4512" s="150" t="s">
        <v>483</v>
      </c>
      <c r="G4512" s="149" t="s">
        <v>400</v>
      </c>
      <c r="H4512" s="150" t="str">
        <f>IF(Proc[[#This Row],[type]]="LFF (MDG-F)",MID(Proc[[#This Row],[Obj]],13,10),"")</f>
        <v/>
      </c>
      <c r="J4512" s="150" t="b">
        <f>Proc[[#This Row],[Requested]]=Proc[[#This Row],[CurrentParent]]</f>
        <v>1</v>
      </c>
      <c r="K4512" s="150" t="str">
        <f>IF(Proc[[#This Row],[Author]]="Marcela Urrego",VLOOKUP(LEFT(Proc[[#This Row],[Requested]],1),Table3[#All],2,0),VLOOKUP(Proc[[#This Row],[Author]],Table4[],2,0))</f>
        <v>HC</v>
      </c>
      <c r="L4512" s="150" t="s">
        <v>6435</v>
      </c>
      <c r="M4512" s="165">
        <v>45961</v>
      </c>
      <c r="N4512" s="166"/>
      <c r="O4512" s="166"/>
      <c r="P4512" s="165" t="str">
        <f ca="1">IF(Proc[[#This Row],[DaysAgeing]]&gt;5,"yep","on track")</f>
        <v>yep</v>
      </c>
      <c r="Q4512" s="3">
        <f ca="1">IF(Proc[[#This Row],[DateClosed]]="",ABS(NETWORKDAYS(Proc[[#This Row],[DateOpened]],TODAY()))-1,ABS(NETWORKDAYS(Proc[[#This Row],[DateOpened]],Proc[[#This Row],[DateClosed]]))-1)</f>
        <v>35</v>
      </c>
      <c r="R4512" s="165" t="s">
        <v>6665</v>
      </c>
      <c r="S4512" s="150"/>
    </row>
    <row r="4513" spans="1:19" hidden="1">
      <c r="A4513" t="s">
        <v>6666</v>
      </c>
      <c r="B4513" s="150" t="str">
        <f>IFERROR(VLOOKUP(Proc[[#This Row],[App]],Table2[],3,0),"open")</f>
        <v>ok</v>
      </c>
      <c r="C4513" s="149" t="s">
        <v>369</v>
      </c>
      <c r="D4513" t="s">
        <v>6667</v>
      </c>
      <c r="E4513" t="s">
        <v>3004</v>
      </c>
      <c r="F4513" s="150" t="s">
        <v>3004</v>
      </c>
      <c r="G4513" s="149" t="s">
        <v>400</v>
      </c>
      <c r="H4513" s="150" t="str">
        <f>IF(Proc[[#This Row],[type]]="LFF (MDG-F)",MID(Proc[[#This Row],[Obj]],13,10),"")</f>
        <v/>
      </c>
      <c r="J4513" s="150" t="b">
        <f>Proc[[#This Row],[Requested]]=Proc[[#This Row],[CurrentParent]]</f>
        <v>1</v>
      </c>
      <c r="K4513" s="150" t="str">
        <f>IF(Proc[[#This Row],[Author]]="Marcela Urrego",VLOOKUP(LEFT(Proc[[#This Row],[Requested]],1),Table3[#All],2,0),VLOOKUP(Proc[[#This Row],[Author]],Table4[],2,0))</f>
        <v>HC</v>
      </c>
      <c r="L4513" s="150" t="s">
        <v>6435</v>
      </c>
      <c r="M4513" s="165">
        <v>45961</v>
      </c>
      <c r="N4513" s="166"/>
      <c r="O4513" s="166"/>
      <c r="P4513" s="165" t="str">
        <f ca="1">IF(Proc[[#This Row],[DaysAgeing]]&gt;5,"yep","on track")</f>
        <v>yep</v>
      </c>
      <c r="Q4513" s="3">
        <f ca="1">IF(Proc[[#This Row],[DateClosed]]="",ABS(NETWORKDAYS(Proc[[#This Row],[DateOpened]],TODAY()))-1,ABS(NETWORKDAYS(Proc[[#This Row],[DateOpened]],Proc[[#This Row],[DateClosed]]))-1)</f>
        <v>35</v>
      </c>
      <c r="R4513" s="165" t="s">
        <v>1013</v>
      </c>
      <c r="S4513" s="150"/>
    </row>
    <row r="4514" spans="1:19" hidden="1">
      <c r="A4514" s="149" t="s">
        <v>6666</v>
      </c>
      <c r="B4514" s="150" t="str">
        <f>IFERROR(VLOOKUP(Proc[[#This Row],[App]],Table2[],3,0),"open")</f>
        <v>ok</v>
      </c>
      <c r="C4514" s="149" t="s">
        <v>369</v>
      </c>
      <c r="D4514" t="s">
        <v>6668</v>
      </c>
      <c r="E4514" t="s">
        <v>3005</v>
      </c>
      <c r="F4514" s="150" t="s">
        <v>3005</v>
      </c>
      <c r="G4514" s="149" t="s">
        <v>400</v>
      </c>
      <c r="H4514" s="150" t="str">
        <f>IF(Proc[[#This Row],[type]]="LFF (MDG-F)",MID(Proc[[#This Row],[Obj]],13,10),"")</f>
        <v/>
      </c>
      <c r="J4514" s="150" t="b">
        <f>Proc[[#This Row],[Requested]]=Proc[[#This Row],[CurrentParent]]</f>
        <v>1</v>
      </c>
      <c r="K4514" s="150" t="str">
        <f>IF(Proc[[#This Row],[Author]]="Marcela Urrego",VLOOKUP(LEFT(Proc[[#This Row],[Requested]],1),Table3[#All],2,0),VLOOKUP(Proc[[#This Row],[Author]],Table4[],2,0))</f>
        <v>HC</v>
      </c>
      <c r="L4514" s="150" t="s">
        <v>6435</v>
      </c>
      <c r="M4514" s="165">
        <v>45961</v>
      </c>
      <c r="N4514" s="166"/>
      <c r="O4514" s="166"/>
      <c r="P4514" s="165" t="str">
        <f ca="1">IF(Proc[[#This Row],[DaysAgeing]]&gt;5,"yep","on track")</f>
        <v>yep</v>
      </c>
      <c r="Q4514" s="3">
        <f ca="1">IF(Proc[[#This Row],[DateClosed]]="",ABS(NETWORKDAYS(Proc[[#This Row],[DateOpened]],TODAY()))-1,ABS(NETWORKDAYS(Proc[[#This Row],[DateOpened]],Proc[[#This Row],[DateClosed]]))-1)</f>
        <v>35</v>
      </c>
      <c r="R4514" s="165" t="s">
        <v>1013</v>
      </c>
      <c r="S4514" s="150"/>
    </row>
    <row r="4515" spans="1:19" hidden="1">
      <c r="A4515" s="149" t="s">
        <v>6666</v>
      </c>
      <c r="B4515" s="150" t="str">
        <f>IFERROR(VLOOKUP(Proc[[#This Row],[App]],Table2[],3,0),"open")</f>
        <v>ok</v>
      </c>
      <c r="C4515" s="149" t="s">
        <v>369</v>
      </c>
      <c r="D4515" t="s">
        <v>6669</v>
      </c>
      <c r="E4515" t="s">
        <v>3004</v>
      </c>
      <c r="F4515" s="150" t="s">
        <v>3004</v>
      </c>
      <c r="G4515" s="149" t="s">
        <v>400</v>
      </c>
      <c r="H4515" s="150" t="str">
        <f>IF(Proc[[#This Row],[type]]="LFF (MDG-F)",MID(Proc[[#This Row],[Obj]],13,10),"")</f>
        <v/>
      </c>
      <c r="J4515" s="150" t="b">
        <f>Proc[[#This Row],[Requested]]=Proc[[#This Row],[CurrentParent]]</f>
        <v>1</v>
      </c>
      <c r="K4515" s="150" t="str">
        <f>IF(Proc[[#This Row],[Author]]="Marcela Urrego",VLOOKUP(LEFT(Proc[[#This Row],[Requested]],1),Table3[#All],2,0),VLOOKUP(Proc[[#This Row],[Author]],Table4[],2,0))</f>
        <v>HC</v>
      </c>
      <c r="L4515" s="150" t="s">
        <v>6435</v>
      </c>
      <c r="M4515" s="165">
        <v>45961</v>
      </c>
      <c r="N4515" s="166"/>
      <c r="O4515" s="166"/>
      <c r="P4515" s="165" t="str">
        <f ca="1">IF(Proc[[#This Row],[DaysAgeing]]&gt;5,"yep","on track")</f>
        <v>yep</v>
      </c>
      <c r="Q4515" s="3">
        <f ca="1">IF(Proc[[#This Row],[DateClosed]]="",ABS(NETWORKDAYS(Proc[[#This Row],[DateOpened]],TODAY()))-1,ABS(NETWORKDAYS(Proc[[#This Row],[DateOpened]],Proc[[#This Row],[DateClosed]]))-1)</f>
        <v>35</v>
      </c>
      <c r="R4515" s="165" t="s">
        <v>1013</v>
      </c>
      <c r="S4515" s="150"/>
    </row>
    <row r="4516" spans="1:19" hidden="1">
      <c r="A4516" s="149" t="s">
        <v>6666</v>
      </c>
      <c r="B4516" s="150" t="str">
        <f>IFERROR(VLOOKUP(Proc[[#This Row],[App]],Table2[],3,0),"open")</f>
        <v>ok</v>
      </c>
      <c r="C4516" s="149" t="s">
        <v>369</v>
      </c>
      <c r="D4516" t="s">
        <v>6670</v>
      </c>
      <c r="E4516" t="s">
        <v>3003</v>
      </c>
      <c r="F4516" s="150" t="s">
        <v>3003</v>
      </c>
      <c r="G4516" s="149" t="s">
        <v>400</v>
      </c>
      <c r="H4516" s="150" t="str">
        <f>IF(Proc[[#This Row],[type]]="LFF (MDG-F)",MID(Proc[[#This Row],[Obj]],13,10),"")</f>
        <v/>
      </c>
      <c r="J4516" s="150" t="b">
        <f>Proc[[#This Row],[Requested]]=Proc[[#This Row],[CurrentParent]]</f>
        <v>1</v>
      </c>
      <c r="K4516" s="150" t="str">
        <f>IF(Proc[[#This Row],[Author]]="Marcela Urrego",VLOOKUP(LEFT(Proc[[#This Row],[Requested]],1),Table3[#All],2,0),VLOOKUP(Proc[[#This Row],[Author]],Table4[],2,0))</f>
        <v>HC</v>
      </c>
      <c r="L4516" s="150" t="s">
        <v>6435</v>
      </c>
      <c r="M4516" s="165">
        <v>45961</v>
      </c>
      <c r="N4516" s="166"/>
      <c r="O4516" s="166"/>
      <c r="P4516" s="165" t="str">
        <f ca="1">IF(Proc[[#This Row],[DaysAgeing]]&gt;5,"yep","on track")</f>
        <v>yep</v>
      </c>
      <c r="Q4516" s="3">
        <f ca="1">IF(Proc[[#This Row],[DateClosed]]="",ABS(NETWORKDAYS(Proc[[#This Row],[DateOpened]],TODAY()))-1,ABS(NETWORKDAYS(Proc[[#This Row],[DateOpened]],Proc[[#This Row],[DateClosed]]))-1)</f>
        <v>35</v>
      </c>
      <c r="R4516" s="165" t="s">
        <v>1013</v>
      </c>
      <c r="S4516" s="150"/>
    </row>
    <row r="4517" spans="1:19" hidden="1">
      <c r="A4517" s="149" t="s">
        <v>6666</v>
      </c>
      <c r="B4517" s="150" t="str">
        <f>IFERROR(VLOOKUP(Proc[[#This Row],[App]],Table2[],3,0),"open")</f>
        <v>ok</v>
      </c>
      <c r="C4517" s="149" t="s">
        <v>369</v>
      </c>
      <c r="D4517" t="s">
        <v>6671</v>
      </c>
      <c r="E4517" t="s">
        <v>3003</v>
      </c>
      <c r="F4517" s="150" t="s">
        <v>3003</v>
      </c>
      <c r="G4517" s="149" t="s">
        <v>400</v>
      </c>
      <c r="H4517" s="150" t="str">
        <f>IF(Proc[[#This Row],[type]]="LFF (MDG-F)",MID(Proc[[#This Row],[Obj]],13,10),"")</f>
        <v/>
      </c>
      <c r="J4517" s="150" t="b">
        <f>Proc[[#This Row],[Requested]]=Proc[[#This Row],[CurrentParent]]</f>
        <v>1</v>
      </c>
      <c r="K4517" s="150" t="str">
        <f>IF(Proc[[#This Row],[Author]]="Marcela Urrego",VLOOKUP(LEFT(Proc[[#This Row],[Requested]],1),Table3[#All],2,0),VLOOKUP(Proc[[#This Row],[Author]],Table4[],2,0))</f>
        <v>HC</v>
      </c>
      <c r="L4517" s="150" t="s">
        <v>6435</v>
      </c>
      <c r="M4517" s="165">
        <v>45961</v>
      </c>
      <c r="N4517" s="166"/>
      <c r="O4517" s="166"/>
      <c r="P4517" s="165" t="str">
        <f ca="1">IF(Proc[[#This Row],[DaysAgeing]]&gt;5,"yep","on track")</f>
        <v>yep</v>
      </c>
      <c r="Q4517" s="3">
        <f ca="1">IF(Proc[[#This Row],[DateClosed]]="",ABS(NETWORKDAYS(Proc[[#This Row],[DateOpened]],TODAY()))-1,ABS(NETWORKDAYS(Proc[[#This Row],[DateOpened]],Proc[[#This Row],[DateClosed]]))-1)</f>
        <v>35</v>
      </c>
      <c r="R4517" s="165" t="s">
        <v>1013</v>
      </c>
      <c r="S4517" s="150"/>
    </row>
    <row r="4518" spans="1:19" hidden="1">
      <c r="A4518" s="149" t="s">
        <v>6666</v>
      </c>
      <c r="B4518" s="150" t="str">
        <f>IFERROR(VLOOKUP(Proc[[#This Row],[App]],Table2[],3,0),"open")</f>
        <v>ok</v>
      </c>
      <c r="C4518" s="149" t="s">
        <v>369</v>
      </c>
      <c r="D4518" t="s">
        <v>6672</v>
      </c>
      <c r="E4518" t="s">
        <v>3740</v>
      </c>
      <c r="F4518" s="150" t="s">
        <v>3740</v>
      </c>
      <c r="G4518" s="149" t="s">
        <v>400</v>
      </c>
      <c r="H4518" s="150" t="str">
        <f>IF(Proc[[#This Row],[type]]="LFF (MDG-F)",MID(Proc[[#This Row],[Obj]],13,10),"")</f>
        <v/>
      </c>
      <c r="J4518" s="150" t="b">
        <f>Proc[[#This Row],[Requested]]=Proc[[#This Row],[CurrentParent]]</f>
        <v>1</v>
      </c>
      <c r="K4518" s="150" t="str">
        <f>IF(Proc[[#This Row],[Author]]="Marcela Urrego",VLOOKUP(LEFT(Proc[[#This Row],[Requested]],1),Table3[#All],2,0),VLOOKUP(Proc[[#This Row],[Author]],Table4[],2,0))</f>
        <v>HC</v>
      </c>
      <c r="L4518" s="150" t="s">
        <v>6435</v>
      </c>
      <c r="M4518" s="165">
        <v>45961</v>
      </c>
      <c r="N4518" s="166"/>
      <c r="O4518" s="166"/>
      <c r="P4518" s="165" t="str">
        <f ca="1">IF(Proc[[#This Row],[DaysAgeing]]&gt;5,"yep","on track")</f>
        <v>yep</v>
      </c>
      <c r="Q4518" s="3">
        <f ca="1">IF(Proc[[#This Row],[DateClosed]]="",ABS(NETWORKDAYS(Proc[[#This Row],[DateOpened]],TODAY()))-1,ABS(NETWORKDAYS(Proc[[#This Row],[DateOpened]],Proc[[#This Row],[DateClosed]]))-1)</f>
        <v>35</v>
      </c>
      <c r="R4518" s="165" t="s">
        <v>1013</v>
      </c>
      <c r="S4518" s="150"/>
    </row>
    <row r="4519" spans="1:19" hidden="1">
      <c r="A4519" s="149" t="s">
        <v>6666</v>
      </c>
      <c r="B4519" s="150" t="str">
        <f>IFERROR(VLOOKUP(Proc[[#This Row],[App]],Table2[],3,0),"open")</f>
        <v>ok</v>
      </c>
      <c r="C4519" s="149" t="s">
        <v>369</v>
      </c>
      <c r="D4519" t="s">
        <v>6673</v>
      </c>
      <c r="E4519" t="s">
        <v>3740</v>
      </c>
      <c r="F4519" s="150" t="s">
        <v>3740</v>
      </c>
      <c r="G4519" s="149" t="s">
        <v>400</v>
      </c>
      <c r="H4519" s="150" t="str">
        <f>IF(Proc[[#This Row],[type]]="LFF (MDG-F)",MID(Proc[[#This Row],[Obj]],13,10),"")</f>
        <v/>
      </c>
      <c r="J4519" s="150" t="b">
        <f>Proc[[#This Row],[Requested]]=Proc[[#This Row],[CurrentParent]]</f>
        <v>1</v>
      </c>
      <c r="K4519" s="150" t="str">
        <f>IF(Proc[[#This Row],[Author]]="Marcela Urrego",VLOOKUP(LEFT(Proc[[#This Row],[Requested]],1),Table3[#All],2,0),VLOOKUP(Proc[[#This Row],[Author]],Table4[],2,0))</f>
        <v>HC</v>
      </c>
      <c r="L4519" s="150" t="s">
        <v>6435</v>
      </c>
      <c r="M4519" s="165">
        <v>45961</v>
      </c>
      <c r="N4519" s="166"/>
      <c r="O4519" s="166"/>
      <c r="P4519" s="165" t="str">
        <f ca="1">IF(Proc[[#This Row],[DaysAgeing]]&gt;5,"yep","on track")</f>
        <v>yep</v>
      </c>
      <c r="Q4519" s="3">
        <f ca="1">IF(Proc[[#This Row],[DateClosed]]="",ABS(NETWORKDAYS(Proc[[#This Row],[DateOpened]],TODAY()))-1,ABS(NETWORKDAYS(Proc[[#This Row],[DateOpened]],Proc[[#This Row],[DateClosed]]))-1)</f>
        <v>35</v>
      </c>
      <c r="R4519" s="165" t="s">
        <v>1013</v>
      </c>
      <c r="S4519" s="150"/>
    </row>
    <row r="4520" spans="1:19" hidden="1">
      <c r="A4520" s="149" t="s">
        <v>6666</v>
      </c>
      <c r="B4520" s="150" t="str">
        <f>IFERROR(VLOOKUP(Proc[[#This Row],[App]],Table2[],3,0),"open")</f>
        <v>ok</v>
      </c>
      <c r="C4520" s="149" t="s">
        <v>369</v>
      </c>
      <c r="D4520" t="s">
        <v>6674</v>
      </c>
      <c r="E4520" t="s">
        <v>3004</v>
      </c>
      <c r="F4520" s="150" t="s">
        <v>3004</v>
      </c>
      <c r="G4520" s="149" t="s">
        <v>400</v>
      </c>
      <c r="H4520" s="150" t="str">
        <f>IF(Proc[[#This Row],[type]]="LFF (MDG-F)",MID(Proc[[#This Row],[Obj]],13,10),"")</f>
        <v/>
      </c>
      <c r="J4520" s="150" t="b">
        <f>Proc[[#This Row],[Requested]]=Proc[[#This Row],[CurrentParent]]</f>
        <v>1</v>
      </c>
      <c r="K4520" s="150" t="str">
        <f>IF(Proc[[#This Row],[Author]]="Marcela Urrego",VLOOKUP(LEFT(Proc[[#This Row],[Requested]],1),Table3[#All],2,0),VLOOKUP(Proc[[#This Row],[Author]],Table4[],2,0))</f>
        <v>HC</v>
      </c>
      <c r="L4520" s="150" t="s">
        <v>6435</v>
      </c>
      <c r="M4520" s="165">
        <v>45961</v>
      </c>
      <c r="N4520" s="166"/>
      <c r="O4520" s="166"/>
      <c r="P4520" s="165" t="str">
        <f ca="1">IF(Proc[[#This Row],[DaysAgeing]]&gt;5,"yep","on track")</f>
        <v>yep</v>
      </c>
      <c r="Q4520" s="3">
        <f ca="1">IF(Proc[[#This Row],[DateClosed]]="",ABS(NETWORKDAYS(Proc[[#This Row],[DateOpened]],TODAY()))-1,ABS(NETWORKDAYS(Proc[[#This Row],[DateOpened]],Proc[[#This Row],[DateClosed]]))-1)</f>
        <v>35</v>
      </c>
      <c r="R4520" s="165" t="s">
        <v>1013</v>
      </c>
      <c r="S4520" s="150"/>
    </row>
    <row r="4521" spans="1:19" hidden="1">
      <c r="A4521" s="149" t="s">
        <v>6666</v>
      </c>
      <c r="B4521" s="150" t="str">
        <f>IFERROR(VLOOKUP(Proc[[#This Row],[App]],Table2[],3,0),"open")</f>
        <v>ok</v>
      </c>
      <c r="C4521" s="149" t="s">
        <v>369</v>
      </c>
      <c r="D4521" t="s">
        <v>6675</v>
      </c>
      <c r="E4521" t="s">
        <v>3005</v>
      </c>
      <c r="F4521" s="150" t="s">
        <v>3005</v>
      </c>
      <c r="G4521" s="149" t="s">
        <v>400</v>
      </c>
      <c r="H4521" s="150" t="str">
        <f>IF(Proc[[#This Row],[type]]="LFF (MDG-F)",MID(Proc[[#This Row],[Obj]],13,10),"")</f>
        <v/>
      </c>
      <c r="J4521" s="150" t="b">
        <f>Proc[[#This Row],[Requested]]=Proc[[#This Row],[CurrentParent]]</f>
        <v>1</v>
      </c>
      <c r="K4521" s="150" t="str">
        <f>IF(Proc[[#This Row],[Author]]="Marcela Urrego",VLOOKUP(LEFT(Proc[[#This Row],[Requested]],1),Table3[#All],2,0),VLOOKUP(Proc[[#This Row],[Author]],Table4[],2,0))</f>
        <v>HC</v>
      </c>
      <c r="L4521" s="150" t="s">
        <v>6435</v>
      </c>
      <c r="M4521" s="165">
        <v>45961</v>
      </c>
      <c r="N4521" s="166"/>
      <c r="O4521" s="166"/>
      <c r="P4521" s="165" t="str">
        <f ca="1">IF(Proc[[#This Row],[DaysAgeing]]&gt;5,"yep","on track")</f>
        <v>yep</v>
      </c>
      <c r="Q4521" s="3">
        <f ca="1">IF(Proc[[#This Row],[DateClosed]]="",ABS(NETWORKDAYS(Proc[[#This Row],[DateOpened]],TODAY()))-1,ABS(NETWORKDAYS(Proc[[#This Row],[DateOpened]],Proc[[#This Row],[DateClosed]]))-1)</f>
        <v>35</v>
      </c>
      <c r="R4521" s="165" t="s">
        <v>1013</v>
      </c>
      <c r="S4521" s="150"/>
    </row>
    <row r="4522" spans="1:19" hidden="1">
      <c r="A4522" s="149" t="s">
        <v>6666</v>
      </c>
      <c r="B4522" s="150" t="str">
        <f>IFERROR(VLOOKUP(Proc[[#This Row],[App]],Table2[],3,0),"open")</f>
        <v>ok</v>
      </c>
      <c r="C4522" s="149" t="s">
        <v>369</v>
      </c>
      <c r="D4522" t="s">
        <v>6676</v>
      </c>
      <c r="E4522" t="s">
        <v>3004</v>
      </c>
      <c r="F4522" s="150" t="s">
        <v>3004</v>
      </c>
      <c r="G4522" s="149" t="s">
        <v>400</v>
      </c>
      <c r="H4522" s="150" t="str">
        <f>IF(Proc[[#This Row],[type]]="LFF (MDG-F)",MID(Proc[[#This Row],[Obj]],13,10),"")</f>
        <v/>
      </c>
      <c r="J4522" s="150" t="b">
        <f>Proc[[#This Row],[Requested]]=Proc[[#This Row],[CurrentParent]]</f>
        <v>1</v>
      </c>
      <c r="K4522" s="150" t="str">
        <f>IF(Proc[[#This Row],[Author]]="Marcela Urrego",VLOOKUP(LEFT(Proc[[#This Row],[Requested]],1),Table3[#All],2,0),VLOOKUP(Proc[[#This Row],[Author]],Table4[],2,0))</f>
        <v>HC</v>
      </c>
      <c r="L4522" s="150" t="s">
        <v>6435</v>
      </c>
      <c r="M4522" s="165">
        <v>45961</v>
      </c>
      <c r="N4522" s="166"/>
      <c r="O4522" s="166"/>
      <c r="P4522" s="165" t="str">
        <f ca="1">IF(Proc[[#This Row],[DaysAgeing]]&gt;5,"yep","on track")</f>
        <v>yep</v>
      </c>
      <c r="Q4522" s="3">
        <f ca="1">IF(Proc[[#This Row],[DateClosed]]="",ABS(NETWORKDAYS(Proc[[#This Row],[DateOpened]],TODAY()))-1,ABS(NETWORKDAYS(Proc[[#This Row],[DateOpened]],Proc[[#This Row],[DateClosed]]))-1)</f>
        <v>35</v>
      </c>
      <c r="R4522" s="165" t="s">
        <v>1013</v>
      </c>
      <c r="S4522" s="150"/>
    </row>
    <row r="4523" spans="1:19" hidden="1">
      <c r="A4523" s="149" t="s">
        <v>6666</v>
      </c>
      <c r="B4523" s="150" t="str">
        <f>IFERROR(VLOOKUP(Proc[[#This Row],[App]],Table2[],3,0),"open")</f>
        <v>ok</v>
      </c>
      <c r="C4523" s="149" t="s">
        <v>369</v>
      </c>
      <c r="D4523" t="s">
        <v>6677</v>
      </c>
      <c r="E4523" t="s">
        <v>3006</v>
      </c>
      <c r="F4523" s="150" t="s">
        <v>3006</v>
      </c>
      <c r="G4523" s="149" t="s">
        <v>400</v>
      </c>
      <c r="H4523" s="150" t="str">
        <f>IF(Proc[[#This Row],[type]]="LFF (MDG-F)",MID(Proc[[#This Row],[Obj]],13,10),"")</f>
        <v/>
      </c>
      <c r="J4523" s="150" t="b">
        <f>Proc[[#This Row],[Requested]]=Proc[[#This Row],[CurrentParent]]</f>
        <v>1</v>
      </c>
      <c r="K4523" s="150" t="str">
        <f>IF(Proc[[#This Row],[Author]]="Marcela Urrego",VLOOKUP(LEFT(Proc[[#This Row],[Requested]],1),Table3[#All],2,0),VLOOKUP(Proc[[#This Row],[Author]],Table4[],2,0))</f>
        <v>HC</v>
      </c>
      <c r="L4523" s="150" t="s">
        <v>6435</v>
      </c>
      <c r="M4523" s="165">
        <v>45961</v>
      </c>
      <c r="N4523" s="166"/>
      <c r="O4523" s="166"/>
      <c r="P4523" s="165" t="str">
        <f ca="1">IF(Proc[[#This Row],[DaysAgeing]]&gt;5,"yep","on track")</f>
        <v>yep</v>
      </c>
      <c r="Q4523" s="3">
        <f ca="1">IF(Proc[[#This Row],[DateClosed]]="",ABS(NETWORKDAYS(Proc[[#This Row],[DateOpened]],TODAY()))-1,ABS(NETWORKDAYS(Proc[[#This Row],[DateOpened]],Proc[[#This Row],[DateClosed]]))-1)</f>
        <v>35</v>
      </c>
      <c r="R4523" s="165" t="s">
        <v>1013</v>
      </c>
      <c r="S4523" s="150"/>
    </row>
    <row r="4524" spans="1:19" hidden="1">
      <c r="A4524" s="149" t="s">
        <v>6666</v>
      </c>
      <c r="B4524" s="150" t="str">
        <f>IFERROR(VLOOKUP(Proc[[#This Row],[App]],Table2[],3,0),"open")</f>
        <v>ok</v>
      </c>
      <c r="C4524" s="149" t="s">
        <v>369</v>
      </c>
      <c r="D4524" t="s">
        <v>6678</v>
      </c>
      <c r="E4524" t="s">
        <v>3401</v>
      </c>
      <c r="F4524" s="150" t="s">
        <v>3401</v>
      </c>
      <c r="G4524" s="149" t="s">
        <v>400</v>
      </c>
      <c r="H4524" s="150" t="str">
        <f>IF(Proc[[#This Row],[type]]="LFF (MDG-F)",MID(Proc[[#This Row],[Obj]],13,10),"")</f>
        <v/>
      </c>
      <c r="J4524" s="150" t="b">
        <f>Proc[[#This Row],[Requested]]=Proc[[#This Row],[CurrentParent]]</f>
        <v>1</v>
      </c>
      <c r="K4524" s="150" t="str">
        <f>IF(Proc[[#This Row],[Author]]="Marcela Urrego",VLOOKUP(LEFT(Proc[[#This Row],[Requested]],1),Table3[#All],2,0),VLOOKUP(Proc[[#This Row],[Author]],Table4[],2,0))</f>
        <v>HC</v>
      </c>
      <c r="L4524" s="150" t="s">
        <v>6435</v>
      </c>
      <c r="M4524" s="165">
        <v>45961</v>
      </c>
      <c r="N4524" s="166"/>
      <c r="O4524" s="166"/>
      <c r="P4524" s="165" t="str">
        <f ca="1">IF(Proc[[#This Row],[DaysAgeing]]&gt;5,"yep","on track")</f>
        <v>yep</v>
      </c>
      <c r="Q4524" s="3">
        <f ca="1">IF(Proc[[#This Row],[DateClosed]]="",ABS(NETWORKDAYS(Proc[[#This Row],[DateOpened]],TODAY()))-1,ABS(NETWORKDAYS(Proc[[#This Row],[DateOpened]],Proc[[#This Row],[DateClosed]]))-1)</f>
        <v>35</v>
      </c>
      <c r="R4524" s="165" t="s">
        <v>1013</v>
      </c>
      <c r="S4524" s="150"/>
    </row>
    <row r="4525" spans="1:19" hidden="1">
      <c r="A4525" s="149" t="s">
        <v>6666</v>
      </c>
      <c r="B4525" s="150" t="str">
        <f>IFERROR(VLOOKUP(Proc[[#This Row],[App]],Table2[],3,0),"open")</f>
        <v>ok</v>
      </c>
      <c r="C4525" s="149" t="s">
        <v>369</v>
      </c>
      <c r="D4525" t="s">
        <v>6679</v>
      </c>
      <c r="E4525" t="s">
        <v>3401</v>
      </c>
      <c r="F4525" s="150" t="s">
        <v>3401</v>
      </c>
      <c r="G4525" s="149" t="s">
        <v>400</v>
      </c>
      <c r="H4525" s="150" t="str">
        <f>IF(Proc[[#This Row],[type]]="LFF (MDG-F)",MID(Proc[[#This Row],[Obj]],13,10),"")</f>
        <v/>
      </c>
      <c r="J4525" s="150" t="b">
        <f>Proc[[#This Row],[Requested]]=Proc[[#This Row],[CurrentParent]]</f>
        <v>1</v>
      </c>
      <c r="K4525" s="150" t="str">
        <f>IF(Proc[[#This Row],[Author]]="Marcela Urrego",VLOOKUP(LEFT(Proc[[#This Row],[Requested]],1),Table3[#All],2,0),VLOOKUP(Proc[[#This Row],[Author]],Table4[],2,0))</f>
        <v>HC</v>
      </c>
      <c r="L4525" s="150" t="s">
        <v>6435</v>
      </c>
      <c r="M4525" s="165">
        <v>45961</v>
      </c>
      <c r="N4525" s="166"/>
      <c r="O4525" s="166"/>
      <c r="P4525" s="165" t="str">
        <f ca="1">IF(Proc[[#This Row],[DaysAgeing]]&gt;5,"yep","on track")</f>
        <v>yep</v>
      </c>
      <c r="Q4525" s="3">
        <f ca="1">IF(Proc[[#This Row],[DateClosed]]="",ABS(NETWORKDAYS(Proc[[#This Row],[DateOpened]],TODAY()))-1,ABS(NETWORKDAYS(Proc[[#This Row],[DateOpened]],Proc[[#This Row],[DateClosed]]))-1)</f>
        <v>35</v>
      </c>
      <c r="R4525" s="165" t="s">
        <v>1013</v>
      </c>
      <c r="S4525" s="150"/>
    </row>
    <row r="4526" spans="1:19" hidden="1">
      <c r="A4526" s="149" t="s">
        <v>6666</v>
      </c>
      <c r="B4526" s="150" t="str">
        <f>IFERROR(VLOOKUP(Proc[[#This Row],[App]],Table2[],3,0),"open")</f>
        <v>ok</v>
      </c>
      <c r="C4526" s="149" t="s">
        <v>369</v>
      </c>
      <c r="D4526" t="s">
        <v>6680</v>
      </c>
      <c r="E4526" t="s">
        <v>3401</v>
      </c>
      <c r="F4526" s="150" t="s">
        <v>3401</v>
      </c>
      <c r="G4526" s="149" t="s">
        <v>400</v>
      </c>
      <c r="H4526" s="150" t="str">
        <f>IF(Proc[[#This Row],[type]]="LFF (MDG-F)",MID(Proc[[#This Row],[Obj]],13,10),"")</f>
        <v/>
      </c>
      <c r="J4526" s="150" t="b">
        <f>Proc[[#This Row],[Requested]]=Proc[[#This Row],[CurrentParent]]</f>
        <v>1</v>
      </c>
      <c r="K4526" s="150" t="str">
        <f>IF(Proc[[#This Row],[Author]]="Marcela Urrego",VLOOKUP(LEFT(Proc[[#This Row],[Requested]],1),Table3[#All],2,0),VLOOKUP(Proc[[#This Row],[Author]],Table4[],2,0))</f>
        <v>HC</v>
      </c>
      <c r="L4526" s="150" t="s">
        <v>6435</v>
      </c>
      <c r="M4526" s="165">
        <v>45961</v>
      </c>
      <c r="N4526" s="166"/>
      <c r="O4526" s="166"/>
      <c r="P4526" s="165" t="str">
        <f ca="1">IF(Proc[[#This Row],[DaysAgeing]]&gt;5,"yep","on track")</f>
        <v>yep</v>
      </c>
      <c r="Q4526" s="3">
        <f ca="1">IF(Proc[[#This Row],[DateClosed]]="",ABS(NETWORKDAYS(Proc[[#This Row],[DateOpened]],TODAY()))-1,ABS(NETWORKDAYS(Proc[[#This Row],[DateOpened]],Proc[[#This Row],[DateClosed]]))-1)</f>
        <v>35</v>
      </c>
      <c r="R4526" s="165" t="s">
        <v>1013</v>
      </c>
      <c r="S4526" s="150"/>
    </row>
    <row r="4527" spans="1:19" hidden="1">
      <c r="A4527" s="149" t="s">
        <v>6666</v>
      </c>
      <c r="B4527" s="150" t="str">
        <f>IFERROR(VLOOKUP(Proc[[#This Row],[App]],Table2[],3,0),"open")</f>
        <v>ok</v>
      </c>
      <c r="C4527" s="149" t="s">
        <v>369</v>
      </c>
      <c r="D4527" t="s">
        <v>6681</v>
      </c>
      <c r="E4527" t="s">
        <v>6713</v>
      </c>
      <c r="F4527" s="150" t="s">
        <v>6713</v>
      </c>
      <c r="G4527" s="149" t="s">
        <v>400</v>
      </c>
      <c r="H4527" s="150" t="str">
        <f>IF(Proc[[#This Row],[type]]="LFF (MDG-F)",MID(Proc[[#This Row],[Obj]],13,10),"")</f>
        <v/>
      </c>
      <c r="J4527" s="150" t="b">
        <f>Proc[[#This Row],[Requested]]=Proc[[#This Row],[CurrentParent]]</f>
        <v>1</v>
      </c>
      <c r="K4527" s="150" t="str">
        <f>IF(Proc[[#This Row],[Author]]="Marcela Urrego",VLOOKUP(LEFT(Proc[[#This Row],[Requested]],1),Table3[#All],2,0),VLOOKUP(Proc[[#This Row],[Author]],Table4[],2,0))</f>
        <v>HC</v>
      </c>
      <c r="L4527" s="150" t="s">
        <v>6435</v>
      </c>
      <c r="M4527" s="165">
        <v>45961</v>
      </c>
      <c r="N4527" s="166"/>
      <c r="O4527" s="166"/>
      <c r="P4527" s="165" t="str">
        <f ca="1">IF(Proc[[#This Row],[DaysAgeing]]&gt;5,"yep","on track")</f>
        <v>yep</v>
      </c>
      <c r="Q4527" s="3">
        <f ca="1">IF(Proc[[#This Row],[DateClosed]]="",ABS(NETWORKDAYS(Proc[[#This Row],[DateOpened]],TODAY()))-1,ABS(NETWORKDAYS(Proc[[#This Row],[DateOpened]],Proc[[#This Row],[DateClosed]]))-1)</f>
        <v>35</v>
      </c>
      <c r="R4527" s="165" t="s">
        <v>1013</v>
      </c>
      <c r="S4527" s="150"/>
    </row>
    <row r="4528" spans="1:19" hidden="1">
      <c r="A4528" s="149" t="s">
        <v>6666</v>
      </c>
      <c r="B4528" s="150" t="str">
        <f>IFERROR(VLOOKUP(Proc[[#This Row],[App]],Table2[],3,0),"open")</f>
        <v>ok</v>
      </c>
      <c r="C4528" s="149" t="s">
        <v>369</v>
      </c>
      <c r="D4528" t="s">
        <v>6682</v>
      </c>
      <c r="E4528" t="s">
        <v>4068</v>
      </c>
      <c r="F4528" s="150" t="s">
        <v>4068</v>
      </c>
      <c r="G4528" s="149" t="s">
        <v>400</v>
      </c>
      <c r="H4528" s="150" t="str">
        <f>IF(Proc[[#This Row],[type]]="LFF (MDG-F)",MID(Proc[[#This Row],[Obj]],13,10),"")</f>
        <v/>
      </c>
      <c r="J4528" s="150" t="b">
        <f>Proc[[#This Row],[Requested]]=Proc[[#This Row],[CurrentParent]]</f>
        <v>1</v>
      </c>
      <c r="K4528" s="150" t="str">
        <f>IF(Proc[[#This Row],[Author]]="Marcela Urrego",VLOOKUP(LEFT(Proc[[#This Row],[Requested]],1),Table3[#All],2,0),VLOOKUP(Proc[[#This Row],[Author]],Table4[],2,0))</f>
        <v>HC</v>
      </c>
      <c r="L4528" s="150" t="s">
        <v>6435</v>
      </c>
      <c r="M4528" s="165">
        <v>45961</v>
      </c>
      <c r="N4528" s="166"/>
      <c r="O4528" s="166"/>
      <c r="P4528" s="165" t="str">
        <f ca="1">IF(Proc[[#This Row],[DaysAgeing]]&gt;5,"yep","on track")</f>
        <v>yep</v>
      </c>
      <c r="Q4528" s="3">
        <f ca="1">IF(Proc[[#This Row],[DateClosed]]="",ABS(NETWORKDAYS(Proc[[#This Row],[DateOpened]],TODAY()))-1,ABS(NETWORKDAYS(Proc[[#This Row],[DateOpened]],Proc[[#This Row],[DateClosed]]))-1)</f>
        <v>35</v>
      </c>
      <c r="R4528" s="165" t="s">
        <v>1013</v>
      </c>
      <c r="S4528" s="150"/>
    </row>
    <row r="4529" spans="1:19" hidden="1">
      <c r="A4529" s="149" t="s">
        <v>6666</v>
      </c>
      <c r="B4529" s="150" t="str">
        <f>IFERROR(VLOOKUP(Proc[[#This Row],[App]],Table2[],3,0),"open")</f>
        <v>ok</v>
      </c>
      <c r="C4529" s="149" t="s">
        <v>369</v>
      </c>
      <c r="D4529" t="s">
        <v>6683</v>
      </c>
      <c r="E4529" t="s">
        <v>4068</v>
      </c>
      <c r="F4529" s="150" t="s">
        <v>4068</v>
      </c>
      <c r="G4529" s="149" t="s">
        <v>400</v>
      </c>
      <c r="H4529" s="150" t="str">
        <f>IF(Proc[[#This Row],[type]]="LFF (MDG-F)",MID(Proc[[#This Row],[Obj]],13,10),"")</f>
        <v/>
      </c>
      <c r="J4529" s="150" t="b">
        <f>Proc[[#This Row],[Requested]]=Proc[[#This Row],[CurrentParent]]</f>
        <v>1</v>
      </c>
      <c r="K4529" s="150" t="str">
        <f>IF(Proc[[#This Row],[Author]]="Marcela Urrego",VLOOKUP(LEFT(Proc[[#This Row],[Requested]],1),Table3[#All],2,0),VLOOKUP(Proc[[#This Row],[Author]],Table4[],2,0))</f>
        <v>HC</v>
      </c>
      <c r="L4529" s="150" t="s">
        <v>6435</v>
      </c>
      <c r="M4529" s="165">
        <v>45961</v>
      </c>
      <c r="N4529" s="166"/>
      <c r="O4529" s="166"/>
      <c r="P4529" s="165" t="str">
        <f ca="1">IF(Proc[[#This Row],[DaysAgeing]]&gt;5,"yep","on track")</f>
        <v>yep</v>
      </c>
      <c r="Q4529" s="3">
        <f ca="1">IF(Proc[[#This Row],[DateClosed]]="",ABS(NETWORKDAYS(Proc[[#This Row],[DateOpened]],TODAY()))-1,ABS(NETWORKDAYS(Proc[[#This Row],[DateOpened]],Proc[[#This Row],[DateClosed]]))-1)</f>
        <v>35</v>
      </c>
      <c r="R4529" s="165" t="s">
        <v>1013</v>
      </c>
      <c r="S4529" s="150"/>
    </row>
    <row r="4530" spans="1:19" hidden="1">
      <c r="A4530" s="149" t="s">
        <v>6666</v>
      </c>
      <c r="B4530" s="150" t="str">
        <f>IFERROR(VLOOKUP(Proc[[#This Row],[App]],Table2[],3,0),"open")</f>
        <v>ok</v>
      </c>
      <c r="C4530" s="149" t="s">
        <v>369</v>
      </c>
      <c r="D4530" t="s">
        <v>6684</v>
      </c>
      <c r="E4530" t="s">
        <v>4068</v>
      </c>
      <c r="F4530" s="150" t="s">
        <v>4068</v>
      </c>
      <c r="G4530" s="149" t="s">
        <v>400</v>
      </c>
      <c r="H4530" s="150" t="str">
        <f>IF(Proc[[#This Row],[type]]="LFF (MDG-F)",MID(Proc[[#This Row],[Obj]],13,10),"")</f>
        <v/>
      </c>
      <c r="J4530" s="150" t="b">
        <f>Proc[[#This Row],[Requested]]=Proc[[#This Row],[CurrentParent]]</f>
        <v>1</v>
      </c>
      <c r="K4530" s="150" t="str">
        <f>IF(Proc[[#This Row],[Author]]="Marcela Urrego",VLOOKUP(LEFT(Proc[[#This Row],[Requested]],1),Table3[#All],2,0),VLOOKUP(Proc[[#This Row],[Author]],Table4[],2,0))</f>
        <v>HC</v>
      </c>
      <c r="L4530" s="150" t="s">
        <v>6435</v>
      </c>
      <c r="M4530" s="165">
        <v>45961</v>
      </c>
      <c r="N4530" s="166"/>
      <c r="O4530" s="166"/>
      <c r="P4530" s="165" t="str">
        <f ca="1">IF(Proc[[#This Row],[DaysAgeing]]&gt;5,"yep","on track")</f>
        <v>yep</v>
      </c>
      <c r="Q4530" s="3">
        <f ca="1">IF(Proc[[#This Row],[DateClosed]]="",ABS(NETWORKDAYS(Proc[[#This Row],[DateOpened]],TODAY()))-1,ABS(NETWORKDAYS(Proc[[#This Row],[DateOpened]],Proc[[#This Row],[DateClosed]]))-1)</f>
        <v>35</v>
      </c>
      <c r="R4530" s="165" t="s">
        <v>1013</v>
      </c>
      <c r="S4530" s="150"/>
    </row>
    <row r="4531" spans="1:19" hidden="1">
      <c r="A4531" s="149" t="s">
        <v>6666</v>
      </c>
      <c r="B4531" s="150" t="str">
        <f>IFERROR(VLOOKUP(Proc[[#This Row],[App]],Table2[],3,0),"open")</f>
        <v>ok</v>
      </c>
      <c r="C4531" s="149" t="s">
        <v>369</v>
      </c>
      <c r="D4531" t="s">
        <v>6685</v>
      </c>
      <c r="E4531" t="s">
        <v>4068</v>
      </c>
      <c r="F4531" s="150" t="s">
        <v>4068</v>
      </c>
      <c r="G4531" s="149" t="s">
        <v>400</v>
      </c>
      <c r="H4531" s="150" t="str">
        <f>IF(Proc[[#This Row],[type]]="LFF (MDG-F)",MID(Proc[[#This Row],[Obj]],13,10),"")</f>
        <v/>
      </c>
      <c r="J4531" s="150" t="b">
        <f>Proc[[#This Row],[Requested]]=Proc[[#This Row],[CurrentParent]]</f>
        <v>1</v>
      </c>
      <c r="K4531" s="150" t="str">
        <f>IF(Proc[[#This Row],[Author]]="Marcela Urrego",VLOOKUP(LEFT(Proc[[#This Row],[Requested]],1),Table3[#All],2,0),VLOOKUP(Proc[[#This Row],[Author]],Table4[],2,0))</f>
        <v>HC</v>
      </c>
      <c r="L4531" s="150" t="s">
        <v>6435</v>
      </c>
      <c r="M4531" s="165">
        <v>45961</v>
      </c>
      <c r="N4531" s="166"/>
      <c r="O4531" s="166"/>
      <c r="P4531" s="165" t="str">
        <f ca="1">IF(Proc[[#This Row],[DaysAgeing]]&gt;5,"yep","on track")</f>
        <v>yep</v>
      </c>
      <c r="Q4531" s="3">
        <f ca="1">IF(Proc[[#This Row],[DateClosed]]="",ABS(NETWORKDAYS(Proc[[#This Row],[DateOpened]],TODAY()))-1,ABS(NETWORKDAYS(Proc[[#This Row],[DateOpened]],Proc[[#This Row],[DateClosed]]))-1)</f>
        <v>35</v>
      </c>
      <c r="R4531" s="165" t="s">
        <v>1013</v>
      </c>
      <c r="S4531" s="150"/>
    </row>
    <row r="4532" spans="1:19" hidden="1">
      <c r="A4532" s="149" t="s">
        <v>6666</v>
      </c>
      <c r="B4532" s="150" t="str">
        <f>IFERROR(VLOOKUP(Proc[[#This Row],[App]],Table2[],3,0),"open")</f>
        <v>ok</v>
      </c>
      <c r="C4532" s="149" t="s">
        <v>369</v>
      </c>
      <c r="D4532" t="s">
        <v>6686</v>
      </c>
      <c r="E4532" t="s">
        <v>4068</v>
      </c>
      <c r="F4532" s="150" t="s">
        <v>4068</v>
      </c>
      <c r="G4532" s="149" t="s">
        <v>400</v>
      </c>
      <c r="H4532" s="150" t="str">
        <f>IF(Proc[[#This Row],[type]]="LFF (MDG-F)",MID(Proc[[#This Row],[Obj]],13,10),"")</f>
        <v/>
      </c>
      <c r="J4532" s="150" t="b">
        <f>Proc[[#This Row],[Requested]]=Proc[[#This Row],[CurrentParent]]</f>
        <v>1</v>
      </c>
      <c r="K4532" s="150" t="str">
        <f>IF(Proc[[#This Row],[Author]]="Marcela Urrego",VLOOKUP(LEFT(Proc[[#This Row],[Requested]],1),Table3[#All],2,0),VLOOKUP(Proc[[#This Row],[Author]],Table4[],2,0))</f>
        <v>HC</v>
      </c>
      <c r="L4532" s="150" t="s">
        <v>6435</v>
      </c>
      <c r="M4532" s="165">
        <v>45961</v>
      </c>
      <c r="N4532" s="166"/>
      <c r="O4532" s="166"/>
      <c r="P4532" s="165" t="str">
        <f ca="1">IF(Proc[[#This Row],[DaysAgeing]]&gt;5,"yep","on track")</f>
        <v>yep</v>
      </c>
      <c r="Q4532" s="3">
        <f ca="1">IF(Proc[[#This Row],[DateClosed]]="",ABS(NETWORKDAYS(Proc[[#This Row],[DateOpened]],TODAY()))-1,ABS(NETWORKDAYS(Proc[[#This Row],[DateOpened]],Proc[[#This Row],[DateClosed]]))-1)</f>
        <v>35</v>
      </c>
      <c r="R4532" s="165" t="s">
        <v>1013</v>
      </c>
      <c r="S4532" s="150"/>
    </row>
    <row r="4533" spans="1:19" hidden="1">
      <c r="A4533" s="149" t="s">
        <v>6666</v>
      </c>
      <c r="B4533" s="150" t="str">
        <f>IFERROR(VLOOKUP(Proc[[#This Row],[App]],Table2[],3,0),"open")</f>
        <v>ok</v>
      </c>
      <c r="C4533" s="149" t="s">
        <v>369</v>
      </c>
      <c r="D4533" t="s">
        <v>6687</v>
      </c>
      <c r="E4533" t="s">
        <v>4068</v>
      </c>
      <c r="F4533" s="150" t="s">
        <v>4068</v>
      </c>
      <c r="G4533" s="149" t="s">
        <v>400</v>
      </c>
      <c r="H4533" s="150" t="str">
        <f>IF(Proc[[#This Row],[type]]="LFF (MDG-F)",MID(Proc[[#This Row],[Obj]],13,10),"")</f>
        <v/>
      </c>
      <c r="J4533" s="150" t="b">
        <f>Proc[[#This Row],[Requested]]=Proc[[#This Row],[CurrentParent]]</f>
        <v>1</v>
      </c>
      <c r="K4533" s="150" t="str">
        <f>IF(Proc[[#This Row],[Author]]="Marcela Urrego",VLOOKUP(LEFT(Proc[[#This Row],[Requested]],1),Table3[#All],2,0),VLOOKUP(Proc[[#This Row],[Author]],Table4[],2,0))</f>
        <v>HC</v>
      </c>
      <c r="L4533" s="150" t="s">
        <v>6435</v>
      </c>
      <c r="M4533" s="165">
        <v>45961</v>
      </c>
      <c r="N4533" s="166"/>
      <c r="O4533" s="166"/>
      <c r="P4533" s="165" t="str">
        <f ca="1">IF(Proc[[#This Row],[DaysAgeing]]&gt;5,"yep","on track")</f>
        <v>yep</v>
      </c>
      <c r="Q4533" s="3">
        <f ca="1">IF(Proc[[#This Row],[DateClosed]]="",ABS(NETWORKDAYS(Proc[[#This Row],[DateOpened]],TODAY()))-1,ABS(NETWORKDAYS(Proc[[#This Row],[DateOpened]],Proc[[#This Row],[DateClosed]]))-1)</f>
        <v>35</v>
      </c>
      <c r="R4533" s="165" t="s">
        <v>1013</v>
      </c>
      <c r="S4533" s="150"/>
    </row>
    <row r="4534" spans="1:19" hidden="1">
      <c r="A4534" s="149" t="s">
        <v>6666</v>
      </c>
      <c r="B4534" s="150" t="str">
        <f>IFERROR(VLOOKUP(Proc[[#This Row],[App]],Table2[],3,0),"open")</f>
        <v>ok</v>
      </c>
      <c r="C4534" s="149" t="s">
        <v>369</v>
      </c>
      <c r="D4534" t="s">
        <v>6688</v>
      </c>
      <c r="E4534" t="s">
        <v>4068</v>
      </c>
      <c r="F4534" s="150" t="s">
        <v>4068</v>
      </c>
      <c r="G4534" s="149" t="s">
        <v>400</v>
      </c>
      <c r="H4534" s="150" t="str">
        <f>IF(Proc[[#This Row],[type]]="LFF (MDG-F)",MID(Proc[[#This Row],[Obj]],13,10),"")</f>
        <v/>
      </c>
      <c r="J4534" s="150" t="b">
        <f>Proc[[#This Row],[Requested]]=Proc[[#This Row],[CurrentParent]]</f>
        <v>1</v>
      </c>
      <c r="K4534" s="150" t="str">
        <f>IF(Proc[[#This Row],[Author]]="Marcela Urrego",VLOOKUP(LEFT(Proc[[#This Row],[Requested]],1),Table3[#All],2,0),VLOOKUP(Proc[[#This Row],[Author]],Table4[],2,0))</f>
        <v>HC</v>
      </c>
      <c r="L4534" s="150" t="s">
        <v>6435</v>
      </c>
      <c r="M4534" s="165">
        <v>45961</v>
      </c>
      <c r="N4534" s="166"/>
      <c r="O4534" s="166"/>
      <c r="P4534" s="165" t="str">
        <f ca="1">IF(Proc[[#This Row],[DaysAgeing]]&gt;5,"yep","on track")</f>
        <v>yep</v>
      </c>
      <c r="Q4534" s="3">
        <f ca="1">IF(Proc[[#This Row],[DateClosed]]="",ABS(NETWORKDAYS(Proc[[#This Row],[DateOpened]],TODAY()))-1,ABS(NETWORKDAYS(Proc[[#This Row],[DateOpened]],Proc[[#This Row],[DateClosed]]))-1)</f>
        <v>35</v>
      </c>
      <c r="R4534" s="165" t="s">
        <v>1013</v>
      </c>
      <c r="S4534" s="150"/>
    </row>
    <row r="4535" spans="1:19" hidden="1">
      <c r="A4535" s="149" t="s">
        <v>6666</v>
      </c>
      <c r="B4535" s="150" t="str">
        <f>IFERROR(VLOOKUP(Proc[[#This Row],[App]],Table2[],3,0),"open")</f>
        <v>ok</v>
      </c>
      <c r="C4535" s="149" t="s">
        <v>369</v>
      </c>
      <c r="D4535" t="s">
        <v>6689</v>
      </c>
      <c r="E4535" t="s">
        <v>4068</v>
      </c>
      <c r="F4535" s="150" t="s">
        <v>4068</v>
      </c>
      <c r="G4535" s="149" t="s">
        <v>400</v>
      </c>
      <c r="H4535" s="150" t="str">
        <f>IF(Proc[[#This Row],[type]]="LFF (MDG-F)",MID(Proc[[#This Row],[Obj]],13,10),"")</f>
        <v/>
      </c>
      <c r="J4535" s="150" t="b">
        <f>Proc[[#This Row],[Requested]]=Proc[[#This Row],[CurrentParent]]</f>
        <v>1</v>
      </c>
      <c r="K4535" s="150" t="str">
        <f>IF(Proc[[#This Row],[Author]]="Marcela Urrego",VLOOKUP(LEFT(Proc[[#This Row],[Requested]],1),Table3[#All],2,0),VLOOKUP(Proc[[#This Row],[Author]],Table4[],2,0))</f>
        <v>HC</v>
      </c>
      <c r="L4535" s="150" t="s">
        <v>6435</v>
      </c>
      <c r="M4535" s="165">
        <v>45961</v>
      </c>
      <c r="N4535" s="166"/>
      <c r="O4535" s="166"/>
      <c r="P4535" s="165" t="str">
        <f ca="1">IF(Proc[[#This Row],[DaysAgeing]]&gt;5,"yep","on track")</f>
        <v>yep</v>
      </c>
      <c r="Q4535" s="3">
        <f ca="1">IF(Proc[[#This Row],[DateClosed]]="",ABS(NETWORKDAYS(Proc[[#This Row],[DateOpened]],TODAY()))-1,ABS(NETWORKDAYS(Proc[[#This Row],[DateOpened]],Proc[[#This Row],[DateClosed]]))-1)</f>
        <v>35</v>
      </c>
      <c r="R4535" s="165" t="s">
        <v>1013</v>
      </c>
      <c r="S4535" s="150"/>
    </row>
    <row r="4536" spans="1:19" hidden="1">
      <c r="A4536" s="149" t="s">
        <v>6666</v>
      </c>
      <c r="B4536" s="150" t="str">
        <f>IFERROR(VLOOKUP(Proc[[#This Row],[App]],Table2[],3,0),"open")</f>
        <v>ok</v>
      </c>
      <c r="C4536" s="149" t="s">
        <v>369</v>
      </c>
      <c r="D4536" t="s">
        <v>6690</v>
      </c>
      <c r="E4536" t="s">
        <v>4068</v>
      </c>
      <c r="F4536" s="150" t="s">
        <v>4068</v>
      </c>
      <c r="G4536" s="149" t="s">
        <v>400</v>
      </c>
      <c r="H4536" s="150" t="str">
        <f>IF(Proc[[#This Row],[type]]="LFF (MDG-F)",MID(Proc[[#This Row],[Obj]],13,10),"")</f>
        <v/>
      </c>
      <c r="J4536" s="150" t="b">
        <f>Proc[[#This Row],[Requested]]=Proc[[#This Row],[CurrentParent]]</f>
        <v>1</v>
      </c>
      <c r="K4536" s="150" t="str">
        <f>IF(Proc[[#This Row],[Author]]="Marcela Urrego",VLOOKUP(LEFT(Proc[[#This Row],[Requested]],1),Table3[#All],2,0),VLOOKUP(Proc[[#This Row],[Author]],Table4[],2,0))</f>
        <v>HC</v>
      </c>
      <c r="L4536" s="150" t="s">
        <v>6435</v>
      </c>
      <c r="M4536" s="165">
        <v>45961</v>
      </c>
      <c r="N4536" s="166"/>
      <c r="O4536" s="166"/>
      <c r="P4536" s="165" t="str">
        <f ca="1">IF(Proc[[#This Row],[DaysAgeing]]&gt;5,"yep","on track")</f>
        <v>yep</v>
      </c>
      <c r="Q4536" s="3">
        <f ca="1">IF(Proc[[#This Row],[DateClosed]]="",ABS(NETWORKDAYS(Proc[[#This Row],[DateOpened]],TODAY()))-1,ABS(NETWORKDAYS(Proc[[#This Row],[DateOpened]],Proc[[#This Row],[DateClosed]]))-1)</f>
        <v>35</v>
      </c>
      <c r="R4536" s="165" t="s">
        <v>1013</v>
      </c>
      <c r="S4536" s="150"/>
    </row>
    <row r="4537" spans="1:19" hidden="1">
      <c r="A4537" s="149" t="s">
        <v>6666</v>
      </c>
      <c r="B4537" s="150" t="str">
        <f>IFERROR(VLOOKUP(Proc[[#This Row],[App]],Table2[],3,0),"open")</f>
        <v>ok</v>
      </c>
      <c r="C4537" s="149" t="s">
        <v>369</v>
      </c>
      <c r="D4537" t="s">
        <v>6691</v>
      </c>
      <c r="E4537" t="s">
        <v>4068</v>
      </c>
      <c r="F4537" s="150" t="s">
        <v>4068</v>
      </c>
      <c r="G4537" s="149" t="s">
        <v>400</v>
      </c>
      <c r="H4537" s="150" t="str">
        <f>IF(Proc[[#This Row],[type]]="LFF (MDG-F)",MID(Proc[[#This Row],[Obj]],13,10),"")</f>
        <v/>
      </c>
      <c r="J4537" s="150" t="b">
        <f>Proc[[#This Row],[Requested]]=Proc[[#This Row],[CurrentParent]]</f>
        <v>1</v>
      </c>
      <c r="K4537" s="150" t="str">
        <f>IF(Proc[[#This Row],[Author]]="Marcela Urrego",VLOOKUP(LEFT(Proc[[#This Row],[Requested]],1),Table3[#All],2,0),VLOOKUP(Proc[[#This Row],[Author]],Table4[],2,0))</f>
        <v>HC</v>
      </c>
      <c r="L4537" s="150" t="s">
        <v>6435</v>
      </c>
      <c r="M4537" s="165">
        <v>45961</v>
      </c>
      <c r="N4537" s="166"/>
      <c r="O4537" s="166"/>
      <c r="P4537" s="165" t="str">
        <f ca="1">IF(Proc[[#This Row],[DaysAgeing]]&gt;5,"yep","on track")</f>
        <v>yep</v>
      </c>
      <c r="Q4537" s="3">
        <f ca="1">IF(Proc[[#This Row],[DateClosed]]="",ABS(NETWORKDAYS(Proc[[#This Row],[DateOpened]],TODAY()))-1,ABS(NETWORKDAYS(Proc[[#This Row],[DateOpened]],Proc[[#This Row],[DateClosed]]))-1)</f>
        <v>35</v>
      </c>
      <c r="R4537" s="165" t="s">
        <v>1013</v>
      </c>
      <c r="S4537" s="150"/>
    </row>
    <row r="4538" spans="1:19" hidden="1">
      <c r="A4538" s="149" t="s">
        <v>6666</v>
      </c>
      <c r="B4538" s="150" t="str">
        <f>IFERROR(VLOOKUP(Proc[[#This Row],[App]],Table2[],3,0),"open")</f>
        <v>ok</v>
      </c>
      <c r="C4538" s="149" t="s">
        <v>369</v>
      </c>
      <c r="D4538" t="s">
        <v>6692</v>
      </c>
      <c r="E4538" t="s">
        <v>4068</v>
      </c>
      <c r="F4538" s="150" t="s">
        <v>4068</v>
      </c>
      <c r="G4538" s="149" t="s">
        <v>400</v>
      </c>
      <c r="H4538" s="150" t="str">
        <f>IF(Proc[[#This Row],[type]]="LFF (MDG-F)",MID(Proc[[#This Row],[Obj]],13,10),"")</f>
        <v/>
      </c>
      <c r="J4538" s="150" t="b">
        <f>Proc[[#This Row],[Requested]]=Proc[[#This Row],[CurrentParent]]</f>
        <v>1</v>
      </c>
      <c r="K4538" s="150" t="str">
        <f>IF(Proc[[#This Row],[Author]]="Marcela Urrego",VLOOKUP(LEFT(Proc[[#This Row],[Requested]],1),Table3[#All],2,0),VLOOKUP(Proc[[#This Row],[Author]],Table4[],2,0))</f>
        <v>HC</v>
      </c>
      <c r="L4538" s="150" t="s">
        <v>6435</v>
      </c>
      <c r="M4538" s="165">
        <v>45961</v>
      </c>
      <c r="N4538" s="166"/>
      <c r="O4538" s="166"/>
      <c r="P4538" s="165" t="str">
        <f ca="1">IF(Proc[[#This Row],[DaysAgeing]]&gt;5,"yep","on track")</f>
        <v>yep</v>
      </c>
      <c r="Q4538" s="3">
        <f ca="1">IF(Proc[[#This Row],[DateClosed]]="",ABS(NETWORKDAYS(Proc[[#This Row],[DateOpened]],TODAY()))-1,ABS(NETWORKDAYS(Proc[[#This Row],[DateOpened]],Proc[[#This Row],[DateClosed]]))-1)</f>
        <v>35</v>
      </c>
      <c r="R4538" s="165" t="s">
        <v>1013</v>
      </c>
      <c r="S4538" s="150"/>
    </row>
    <row r="4539" spans="1:19" hidden="1">
      <c r="A4539" s="149" t="s">
        <v>6666</v>
      </c>
      <c r="B4539" s="150" t="str">
        <f>IFERROR(VLOOKUP(Proc[[#This Row],[App]],Table2[],3,0),"open")</f>
        <v>ok</v>
      </c>
      <c r="C4539" s="149" t="s">
        <v>369</v>
      </c>
      <c r="D4539" t="s">
        <v>6693</v>
      </c>
      <c r="E4539" t="s">
        <v>4068</v>
      </c>
      <c r="F4539" s="150" t="s">
        <v>4068</v>
      </c>
      <c r="G4539" s="149" t="s">
        <v>400</v>
      </c>
      <c r="H4539" s="150" t="str">
        <f>IF(Proc[[#This Row],[type]]="LFF (MDG-F)",MID(Proc[[#This Row],[Obj]],13,10),"")</f>
        <v/>
      </c>
      <c r="J4539" s="150" t="b">
        <f>Proc[[#This Row],[Requested]]=Proc[[#This Row],[CurrentParent]]</f>
        <v>1</v>
      </c>
      <c r="K4539" s="150" t="str">
        <f>IF(Proc[[#This Row],[Author]]="Marcela Urrego",VLOOKUP(LEFT(Proc[[#This Row],[Requested]],1),Table3[#All],2,0),VLOOKUP(Proc[[#This Row],[Author]],Table4[],2,0))</f>
        <v>HC</v>
      </c>
      <c r="L4539" s="150" t="s">
        <v>6435</v>
      </c>
      <c r="M4539" s="165">
        <v>45961</v>
      </c>
      <c r="N4539" s="166"/>
      <c r="O4539" s="166"/>
      <c r="P4539" s="165" t="str">
        <f ca="1">IF(Proc[[#This Row],[DaysAgeing]]&gt;5,"yep","on track")</f>
        <v>yep</v>
      </c>
      <c r="Q4539" s="3">
        <f ca="1">IF(Proc[[#This Row],[DateClosed]]="",ABS(NETWORKDAYS(Proc[[#This Row],[DateOpened]],TODAY()))-1,ABS(NETWORKDAYS(Proc[[#This Row],[DateOpened]],Proc[[#This Row],[DateClosed]]))-1)</f>
        <v>35</v>
      </c>
      <c r="R4539" s="165" t="s">
        <v>1013</v>
      </c>
      <c r="S4539" s="150"/>
    </row>
    <row r="4540" spans="1:19" hidden="1">
      <c r="A4540" s="149" t="s">
        <v>6666</v>
      </c>
      <c r="B4540" s="150" t="str">
        <f>IFERROR(VLOOKUP(Proc[[#This Row],[App]],Table2[],3,0),"open")</f>
        <v>ok</v>
      </c>
      <c r="C4540" s="149" t="s">
        <v>369</v>
      </c>
      <c r="D4540" t="s">
        <v>6694</v>
      </c>
      <c r="E4540" t="s">
        <v>4068</v>
      </c>
      <c r="F4540" s="150" t="s">
        <v>4068</v>
      </c>
      <c r="G4540" s="149" t="s">
        <v>400</v>
      </c>
      <c r="H4540" s="150" t="str">
        <f>IF(Proc[[#This Row],[type]]="LFF (MDG-F)",MID(Proc[[#This Row],[Obj]],13,10),"")</f>
        <v/>
      </c>
      <c r="J4540" s="150" t="b">
        <f>Proc[[#This Row],[Requested]]=Proc[[#This Row],[CurrentParent]]</f>
        <v>1</v>
      </c>
      <c r="K4540" s="150" t="str">
        <f>IF(Proc[[#This Row],[Author]]="Marcela Urrego",VLOOKUP(LEFT(Proc[[#This Row],[Requested]],1),Table3[#All],2,0),VLOOKUP(Proc[[#This Row],[Author]],Table4[],2,0))</f>
        <v>HC</v>
      </c>
      <c r="L4540" s="150" t="s">
        <v>6435</v>
      </c>
      <c r="M4540" s="165">
        <v>45961</v>
      </c>
      <c r="N4540" s="166"/>
      <c r="O4540" s="166"/>
      <c r="P4540" s="165" t="str">
        <f ca="1">IF(Proc[[#This Row],[DaysAgeing]]&gt;5,"yep","on track")</f>
        <v>yep</v>
      </c>
      <c r="Q4540" s="3">
        <f ca="1">IF(Proc[[#This Row],[DateClosed]]="",ABS(NETWORKDAYS(Proc[[#This Row],[DateOpened]],TODAY()))-1,ABS(NETWORKDAYS(Proc[[#This Row],[DateOpened]],Proc[[#This Row],[DateClosed]]))-1)</f>
        <v>35</v>
      </c>
      <c r="R4540" s="165" t="s">
        <v>1013</v>
      </c>
      <c r="S4540" s="150"/>
    </row>
    <row r="4541" spans="1:19" hidden="1">
      <c r="A4541" s="149" t="s">
        <v>6666</v>
      </c>
      <c r="B4541" s="150" t="str">
        <f>IFERROR(VLOOKUP(Proc[[#This Row],[App]],Table2[],3,0),"open")</f>
        <v>ok</v>
      </c>
      <c r="C4541" s="149" t="s">
        <v>369</v>
      </c>
      <c r="D4541" t="s">
        <v>6695</v>
      </c>
      <c r="E4541" t="s">
        <v>4068</v>
      </c>
      <c r="F4541" s="150" t="s">
        <v>4068</v>
      </c>
      <c r="G4541" s="149" t="s">
        <v>400</v>
      </c>
      <c r="H4541" s="150" t="str">
        <f>IF(Proc[[#This Row],[type]]="LFF (MDG-F)",MID(Proc[[#This Row],[Obj]],13,10),"")</f>
        <v/>
      </c>
      <c r="J4541" s="150" t="b">
        <f>Proc[[#This Row],[Requested]]=Proc[[#This Row],[CurrentParent]]</f>
        <v>1</v>
      </c>
      <c r="K4541" s="150" t="str">
        <f>IF(Proc[[#This Row],[Author]]="Marcela Urrego",VLOOKUP(LEFT(Proc[[#This Row],[Requested]],1),Table3[#All],2,0),VLOOKUP(Proc[[#This Row],[Author]],Table4[],2,0))</f>
        <v>HC</v>
      </c>
      <c r="L4541" s="150" t="s">
        <v>6435</v>
      </c>
      <c r="M4541" s="165">
        <v>45961</v>
      </c>
      <c r="N4541" s="166"/>
      <c r="O4541" s="166"/>
      <c r="P4541" s="165" t="str">
        <f ca="1">IF(Proc[[#This Row],[DaysAgeing]]&gt;5,"yep","on track")</f>
        <v>yep</v>
      </c>
      <c r="Q4541" s="3">
        <f ca="1">IF(Proc[[#This Row],[DateClosed]]="",ABS(NETWORKDAYS(Proc[[#This Row],[DateOpened]],TODAY()))-1,ABS(NETWORKDAYS(Proc[[#This Row],[DateOpened]],Proc[[#This Row],[DateClosed]]))-1)</f>
        <v>35</v>
      </c>
      <c r="R4541" s="165" t="s">
        <v>1013</v>
      </c>
      <c r="S4541" s="150"/>
    </row>
    <row r="4542" spans="1:19" hidden="1">
      <c r="A4542" s="149" t="s">
        <v>6666</v>
      </c>
      <c r="B4542" s="150" t="str">
        <f>IFERROR(VLOOKUP(Proc[[#This Row],[App]],Table2[],3,0),"open")</f>
        <v>ok</v>
      </c>
      <c r="C4542" s="149" t="s">
        <v>369</v>
      </c>
      <c r="D4542" t="s">
        <v>6696</v>
      </c>
      <c r="E4542" t="s">
        <v>4068</v>
      </c>
      <c r="F4542" s="150" t="s">
        <v>4068</v>
      </c>
      <c r="G4542" s="149" t="s">
        <v>400</v>
      </c>
      <c r="H4542" s="150" t="str">
        <f>IF(Proc[[#This Row],[type]]="LFF (MDG-F)",MID(Proc[[#This Row],[Obj]],13,10),"")</f>
        <v/>
      </c>
      <c r="J4542" s="150" t="b">
        <f>Proc[[#This Row],[Requested]]=Proc[[#This Row],[CurrentParent]]</f>
        <v>1</v>
      </c>
      <c r="K4542" s="150" t="str">
        <f>IF(Proc[[#This Row],[Author]]="Marcela Urrego",VLOOKUP(LEFT(Proc[[#This Row],[Requested]],1),Table3[#All],2,0),VLOOKUP(Proc[[#This Row],[Author]],Table4[],2,0))</f>
        <v>HC</v>
      </c>
      <c r="L4542" s="150" t="s">
        <v>6435</v>
      </c>
      <c r="M4542" s="165">
        <v>45961</v>
      </c>
      <c r="N4542" s="166"/>
      <c r="O4542" s="166"/>
      <c r="P4542" s="165" t="str">
        <f ca="1">IF(Proc[[#This Row],[DaysAgeing]]&gt;5,"yep","on track")</f>
        <v>yep</v>
      </c>
      <c r="Q4542" s="3">
        <f ca="1">IF(Proc[[#This Row],[DateClosed]]="",ABS(NETWORKDAYS(Proc[[#This Row],[DateOpened]],TODAY()))-1,ABS(NETWORKDAYS(Proc[[#This Row],[DateOpened]],Proc[[#This Row],[DateClosed]]))-1)</f>
        <v>35</v>
      </c>
      <c r="R4542" s="165" t="s">
        <v>1013</v>
      </c>
      <c r="S4542" s="150"/>
    </row>
    <row r="4543" spans="1:19" hidden="1">
      <c r="A4543" s="149" t="s">
        <v>6666</v>
      </c>
      <c r="B4543" s="150" t="str">
        <f>IFERROR(VLOOKUP(Proc[[#This Row],[App]],Table2[],3,0),"open")</f>
        <v>ok</v>
      </c>
      <c r="C4543" s="149" t="s">
        <v>369</v>
      </c>
      <c r="D4543" t="s">
        <v>6697</v>
      </c>
      <c r="E4543" t="s">
        <v>4068</v>
      </c>
      <c r="F4543" s="150" t="s">
        <v>4068</v>
      </c>
      <c r="G4543" s="149" t="s">
        <v>400</v>
      </c>
      <c r="H4543" s="150" t="str">
        <f>IF(Proc[[#This Row],[type]]="LFF (MDG-F)",MID(Proc[[#This Row],[Obj]],13,10),"")</f>
        <v/>
      </c>
      <c r="J4543" s="150" t="b">
        <f>Proc[[#This Row],[Requested]]=Proc[[#This Row],[CurrentParent]]</f>
        <v>1</v>
      </c>
      <c r="K4543" s="150" t="str">
        <f>IF(Proc[[#This Row],[Author]]="Marcela Urrego",VLOOKUP(LEFT(Proc[[#This Row],[Requested]],1),Table3[#All],2,0),VLOOKUP(Proc[[#This Row],[Author]],Table4[],2,0))</f>
        <v>HC</v>
      </c>
      <c r="L4543" s="150" t="s">
        <v>6435</v>
      </c>
      <c r="M4543" s="165">
        <v>45961</v>
      </c>
      <c r="N4543" s="166"/>
      <c r="O4543" s="166"/>
      <c r="P4543" s="165" t="str">
        <f ca="1">IF(Proc[[#This Row],[DaysAgeing]]&gt;5,"yep","on track")</f>
        <v>yep</v>
      </c>
      <c r="Q4543" s="3">
        <f ca="1">IF(Proc[[#This Row],[DateClosed]]="",ABS(NETWORKDAYS(Proc[[#This Row],[DateOpened]],TODAY()))-1,ABS(NETWORKDAYS(Proc[[#This Row],[DateOpened]],Proc[[#This Row],[DateClosed]]))-1)</f>
        <v>35</v>
      </c>
      <c r="R4543" s="165" t="s">
        <v>1013</v>
      </c>
      <c r="S4543" s="150"/>
    </row>
    <row r="4544" spans="1:19" hidden="1">
      <c r="A4544" s="149" t="s">
        <v>6666</v>
      </c>
      <c r="B4544" s="150" t="str">
        <f>IFERROR(VLOOKUP(Proc[[#This Row],[App]],Table2[],3,0),"open")</f>
        <v>ok</v>
      </c>
      <c r="C4544" s="149" t="s">
        <v>369</v>
      </c>
      <c r="D4544" t="s">
        <v>6698</v>
      </c>
      <c r="E4544" t="s">
        <v>4068</v>
      </c>
      <c r="F4544" s="150" t="s">
        <v>4068</v>
      </c>
      <c r="G4544" s="149" t="s">
        <v>400</v>
      </c>
      <c r="H4544" s="150" t="str">
        <f>IF(Proc[[#This Row],[type]]="LFF (MDG-F)",MID(Proc[[#This Row],[Obj]],13,10),"")</f>
        <v/>
      </c>
      <c r="J4544" s="150" t="b">
        <f>Proc[[#This Row],[Requested]]=Proc[[#This Row],[CurrentParent]]</f>
        <v>1</v>
      </c>
      <c r="K4544" s="150" t="str">
        <f>IF(Proc[[#This Row],[Author]]="Marcela Urrego",VLOOKUP(LEFT(Proc[[#This Row],[Requested]],1),Table3[#All],2,0),VLOOKUP(Proc[[#This Row],[Author]],Table4[],2,0))</f>
        <v>HC</v>
      </c>
      <c r="L4544" s="150" t="s">
        <v>6435</v>
      </c>
      <c r="M4544" s="165">
        <v>45961</v>
      </c>
      <c r="N4544" s="166"/>
      <c r="O4544" s="166"/>
      <c r="P4544" s="165" t="str">
        <f ca="1">IF(Proc[[#This Row],[DaysAgeing]]&gt;5,"yep","on track")</f>
        <v>yep</v>
      </c>
      <c r="Q4544" s="3">
        <f ca="1">IF(Proc[[#This Row],[DateClosed]]="",ABS(NETWORKDAYS(Proc[[#This Row],[DateOpened]],TODAY()))-1,ABS(NETWORKDAYS(Proc[[#This Row],[DateOpened]],Proc[[#This Row],[DateClosed]]))-1)</f>
        <v>35</v>
      </c>
      <c r="R4544" s="165" t="s">
        <v>1013</v>
      </c>
      <c r="S4544" s="150"/>
    </row>
    <row r="4545" spans="1:19" hidden="1">
      <c r="A4545" s="149" t="s">
        <v>6666</v>
      </c>
      <c r="B4545" s="150" t="str">
        <f>IFERROR(VLOOKUP(Proc[[#This Row],[App]],Table2[],3,0),"open")</f>
        <v>ok</v>
      </c>
      <c r="C4545" s="149" t="s">
        <v>369</v>
      </c>
      <c r="D4545" t="s">
        <v>6699</v>
      </c>
      <c r="E4545" t="s">
        <v>4068</v>
      </c>
      <c r="F4545" s="150" t="s">
        <v>4068</v>
      </c>
      <c r="G4545" s="149" t="s">
        <v>400</v>
      </c>
      <c r="H4545" s="150" t="str">
        <f>IF(Proc[[#This Row],[type]]="LFF (MDG-F)",MID(Proc[[#This Row],[Obj]],13,10),"")</f>
        <v/>
      </c>
      <c r="J4545" s="150" t="b">
        <f>Proc[[#This Row],[Requested]]=Proc[[#This Row],[CurrentParent]]</f>
        <v>1</v>
      </c>
      <c r="K4545" s="150" t="str">
        <f>IF(Proc[[#This Row],[Author]]="Marcela Urrego",VLOOKUP(LEFT(Proc[[#This Row],[Requested]],1),Table3[#All],2,0),VLOOKUP(Proc[[#This Row],[Author]],Table4[],2,0))</f>
        <v>HC</v>
      </c>
      <c r="L4545" s="150" t="s">
        <v>6435</v>
      </c>
      <c r="M4545" s="165">
        <v>45961</v>
      </c>
      <c r="N4545" s="166"/>
      <c r="O4545" s="166"/>
      <c r="P4545" s="165" t="str">
        <f ca="1">IF(Proc[[#This Row],[DaysAgeing]]&gt;5,"yep","on track")</f>
        <v>yep</v>
      </c>
      <c r="Q4545" s="3">
        <f ca="1">IF(Proc[[#This Row],[DateClosed]]="",ABS(NETWORKDAYS(Proc[[#This Row],[DateOpened]],TODAY()))-1,ABS(NETWORKDAYS(Proc[[#This Row],[DateOpened]],Proc[[#This Row],[DateClosed]]))-1)</f>
        <v>35</v>
      </c>
      <c r="R4545" s="165" t="s">
        <v>1013</v>
      </c>
      <c r="S4545" s="150"/>
    </row>
    <row r="4546" spans="1:19" hidden="1">
      <c r="A4546" s="149" t="s">
        <v>6666</v>
      </c>
      <c r="B4546" s="150" t="str">
        <f>IFERROR(VLOOKUP(Proc[[#This Row],[App]],Table2[],3,0),"open")</f>
        <v>ok</v>
      </c>
      <c r="C4546" s="149" t="s">
        <v>369</v>
      </c>
      <c r="D4546" t="s">
        <v>6700</v>
      </c>
      <c r="E4546" t="s">
        <v>4068</v>
      </c>
      <c r="F4546" s="150" t="s">
        <v>4068</v>
      </c>
      <c r="G4546" s="149" t="s">
        <v>400</v>
      </c>
      <c r="H4546" s="150" t="str">
        <f>IF(Proc[[#This Row],[type]]="LFF (MDG-F)",MID(Proc[[#This Row],[Obj]],13,10),"")</f>
        <v/>
      </c>
      <c r="J4546" s="150" t="b">
        <f>Proc[[#This Row],[Requested]]=Proc[[#This Row],[CurrentParent]]</f>
        <v>1</v>
      </c>
      <c r="K4546" s="150" t="str">
        <f>IF(Proc[[#This Row],[Author]]="Marcela Urrego",VLOOKUP(LEFT(Proc[[#This Row],[Requested]],1),Table3[#All],2,0),VLOOKUP(Proc[[#This Row],[Author]],Table4[],2,0))</f>
        <v>HC</v>
      </c>
      <c r="L4546" s="150" t="s">
        <v>6435</v>
      </c>
      <c r="M4546" s="165">
        <v>45961</v>
      </c>
      <c r="N4546" s="166"/>
      <c r="O4546" s="166"/>
      <c r="P4546" s="165" t="str">
        <f ca="1">IF(Proc[[#This Row],[DaysAgeing]]&gt;5,"yep","on track")</f>
        <v>yep</v>
      </c>
      <c r="Q4546" s="3">
        <f ca="1">IF(Proc[[#This Row],[DateClosed]]="",ABS(NETWORKDAYS(Proc[[#This Row],[DateOpened]],TODAY()))-1,ABS(NETWORKDAYS(Proc[[#This Row],[DateOpened]],Proc[[#This Row],[DateClosed]]))-1)</f>
        <v>35</v>
      </c>
      <c r="R4546" s="165" t="s">
        <v>1013</v>
      </c>
      <c r="S4546" s="150"/>
    </row>
    <row r="4547" spans="1:19" hidden="1">
      <c r="A4547" s="149" t="s">
        <v>6666</v>
      </c>
      <c r="B4547" s="150" t="str">
        <f>IFERROR(VLOOKUP(Proc[[#This Row],[App]],Table2[],3,0),"open")</f>
        <v>ok</v>
      </c>
      <c r="C4547" s="149" t="s">
        <v>369</v>
      </c>
      <c r="D4547" t="s">
        <v>6701</v>
      </c>
      <c r="E4547" t="s">
        <v>4068</v>
      </c>
      <c r="F4547" s="150" t="s">
        <v>4068</v>
      </c>
      <c r="G4547" s="149" t="s">
        <v>400</v>
      </c>
      <c r="H4547" s="150" t="str">
        <f>IF(Proc[[#This Row],[type]]="LFF (MDG-F)",MID(Proc[[#This Row],[Obj]],13,10),"")</f>
        <v/>
      </c>
      <c r="J4547" s="150" t="b">
        <f>Proc[[#This Row],[Requested]]=Proc[[#This Row],[CurrentParent]]</f>
        <v>1</v>
      </c>
      <c r="K4547" s="150" t="str">
        <f>IF(Proc[[#This Row],[Author]]="Marcela Urrego",VLOOKUP(LEFT(Proc[[#This Row],[Requested]],1),Table3[#All],2,0),VLOOKUP(Proc[[#This Row],[Author]],Table4[],2,0))</f>
        <v>HC</v>
      </c>
      <c r="L4547" s="150" t="s">
        <v>6435</v>
      </c>
      <c r="M4547" s="165">
        <v>45961</v>
      </c>
      <c r="N4547" s="166"/>
      <c r="O4547" s="166"/>
      <c r="P4547" s="165" t="str">
        <f ca="1">IF(Proc[[#This Row],[DaysAgeing]]&gt;5,"yep","on track")</f>
        <v>yep</v>
      </c>
      <c r="Q4547" s="3">
        <f ca="1">IF(Proc[[#This Row],[DateClosed]]="",ABS(NETWORKDAYS(Proc[[#This Row],[DateOpened]],TODAY()))-1,ABS(NETWORKDAYS(Proc[[#This Row],[DateOpened]],Proc[[#This Row],[DateClosed]]))-1)</f>
        <v>35</v>
      </c>
      <c r="R4547" s="165" t="s">
        <v>1013</v>
      </c>
      <c r="S4547" s="150"/>
    </row>
    <row r="4548" spans="1:19" hidden="1">
      <c r="A4548" s="149" t="s">
        <v>6666</v>
      </c>
      <c r="B4548" s="150" t="str">
        <f>IFERROR(VLOOKUP(Proc[[#This Row],[App]],Table2[],3,0),"open")</f>
        <v>ok</v>
      </c>
      <c r="C4548" s="149" t="s">
        <v>369</v>
      </c>
      <c r="D4548" t="s">
        <v>6702</v>
      </c>
      <c r="E4548" t="s">
        <v>4068</v>
      </c>
      <c r="F4548" s="150" t="s">
        <v>4068</v>
      </c>
      <c r="G4548" s="149" t="s">
        <v>400</v>
      </c>
      <c r="H4548" s="150" t="str">
        <f>IF(Proc[[#This Row],[type]]="LFF (MDG-F)",MID(Proc[[#This Row],[Obj]],13,10),"")</f>
        <v/>
      </c>
      <c r="J4548" s="150" t="b">
        <f>Proc[[#This Row],[Requested]]=Proc[[#This Row],[CurrentParent]]</f>
        <v>1</v>
      </c>
      <c r="K4548" s="150" t="str">
        <f>IF(Proc[[#This Row],[Author]]="Marcela Urrego",VLOOKUP(LEFT(Proc[[#This Row],[Requested]],1),Table3[#All],2,0),VLOOKUP(Proc[[#This Row],[Author]],Table4[],2,0))</f>
        <v>HC</v>
      </c>
      <c r="L4548" s="150" t="s">
        <v>6435</v>
      </c>
      <c r="M4548" s="165">
        <v>45961</v>
      </c>
      <c r="N4548" s="166"/>
      <c r="O4548" s="166"/>
      <c r="P4548" s="165" t="str">
        <f ca="1">IF(Proc[[#This Row],[DaysAgeing]]&gt;5,"yep","on track")</f>
        <v>yep</v>
      </c>
      <c r="Q4548" s="3">
        <f ca="1">IF(Proc[[#This Row],[DateClosed]]="",ABS(NETWORKDAYS(Proc[[#This Row],[DateOpened]],TODAY()))-1,ABS(NETWORKDAYS(Proc[[#This Row],[DateOpened]],Proc[[#This Row],[DateClosed]]))-1)</f>
        <v>35</v>
      </c>
      <c r="R4548" s="165" t="s">
        <v>1013</v>
      </c>
      <c r="S4548" s="150"/>
    </row>
    <row r="4549" spans="1:19" hidden="1">
      <c r="A4549" s="149" t="s">
        <v>6666</v>
      </c>
      <c r="B4549" s="150" t="str">
        <f>IFERROR(VLOOKUP(Proc[[#This Row],[App]],Table2[],3,0),"open")</f>
        <v>ok</v>
      </c>
      <c r="C4549" s="149" t="s">
        <v>369</v>
      </c>
      <c r="D4549" t="s">
        <v>6703</v>
      </c>
      <c r="E4549" t="s">
        <v>4068</v>
      </c>
      <c r="F4549" s="150" t="s">
        <v>4068</v>
      </c>
      <c r="G4549" s="149" t="s">
        <v>400</v>
      </c>
      <c r="H4549" s="150" t="str">
        <f>IF(Proc[[#This Row],[type]]="LFF (MDG-F)",MID(Proc[[#This Row],[Obj]],13,10),"")</f>
        <v/>
      </c>
      <c r="J4549" s="150" t="b">
        <f>Proc[[#This Row],[Requested]]=Proc[[#This Row],[CurrentParent]]</f>
        <v>1</v>
      </c>
      <c r="K4549" s="150" t="str">
        <f>IF(Proc[[#This Row],[Author]]="Marcela Urrego",VLOOKUP(LEFT(Proc[[#This Row],[Requested]],1),Table3[#All],2,0),VLOOKUP(Proc[[#This Row],[Author]],Table4[],2,0))</f>
        <v>HC</v>
      </c>
      <c r="L4549" s="150" t="s">
        <v>6435</v>
      </c>
      <c r="M4549" s="165">
        <v>45961</v>
      </c>
      <c r="N4549" s="166"/>
      <c r="O4549" s="166"/>
      <c r="P4549" s="165" t="str">
        <f ca="1">IF(Proc[[#This Row],[DaysAgeing]]&gt;5,"yep","on track")</f>
        <v>yep</v>
      </c>
      <c r="Q4549" s="3">
        <f ca="1">IF(Proc[[#This Row],[DateClosed]]="",ABS(NETWORKDAYS(Proc[[#This Row],[DateOpened]],TODAY()))-1,ABS(NETWORKDAYS(Proc[[#This Row],[DateOpened]],Proc[[#This Row],[DateClosed]]))-1)</f>
        <v>35</v>
      </c>
      <c r="R4549" s="165" t="s">
        <v>1013</v>
      </c>
      <c r="S4549" s="150"/>
    </row>
    <row r="4550" spans="1:19" hidden="1">
      <c r="A4550" s="149" t="s">
        <v>6666</v>
      </c>
      <c r="B4550" s="150" t="str">
        <f>IFERROR(VLOOKUP(Proc[[#This Row],[App]],Table2[],3,0),"open")</f>
        <v>ok</v>
      </c>
      <c r="C4550" s="149" t="s">
        <v>369</v>
      </c>
      <c r="D4550" t="s">
        <v>6704</v>
      </c>
      <c r="E4550" t="s">
        <v>4068</v>
      </c>
      <c r="F4550" s="150" t="s">
        <v>4068</v>
      </c>
      <c r="G4550" s="149" t="s">
        <v>400</v>
      </c>
      <c r="H4550" s="150" t="str">
        <f>IF(Proc[[#This Row],[type]]="LFF (MDG-F)",MID(Proc[[#This Row],[Obj]],13,10),"")</f>
        <v/>
      </c>
      <c r="J4550" s="150" t="b">
        <f>Proc[[#This Row],[Requested]]=Proc[[#This Row],[CurrentParent]]</f>
        <v>1</v>
      </c>
      <c r="K4550" s="150" t="str">
        <f>IF(Proc[[#This Row],[Author]]="Marcela Urrego",VLOOKUP(LEFT(Proc[[#This Row],[Requested]],1),Table3[#All],2,0),VLOOKUP(Proc[[#This Row],[Author]],Table4[],2,0))</f>
        <v>HC</v>
      </c>
      <c r="L4550" s="150" t="s">
        <v>6435</v>
      </c>
      <c r="M4550" s="165">
        <v>45961</v>
      </c>
      <c r="N4550" s="166"/>
      <c r="O4550" s="166"/>
      <c r="P4550" s="165" t="str">
        <f ca="1">IF(Proc[[#This Row],[DaysAgeing]]&gt;5,"yep","on track")</f>
        <v>yep</v>
      </c>
      <c r="Q4550" s="3">
        <f ca="1">IF(Proc[[#This Row],[DateClosed]]="",ABS(NETWORKDAYS(Proc[[#This Row],[DateOpened]],TODAY()))-1,ABS(NETWORKDAYS(Proc[[#This Row],[DateOpened]],Proc[[#This Row],[DateClosed]]))-1)</f>
        <v>35</v>
      </c>
      <c r="R4550" s="165" t="s">
        <v>1013</v>
      </c>
      <c r="S4550" s="150"/>
    </row>
    <row r="4551" spans="1:19" hidden="1">
      <c r="A4551" s="149" t="s">
        <v>6666</v>
      </c>
      <c r="B4551" s="150" t="str">
        <f>IFERROR(VLOOKUP(Proc[[#This Row],[App]],Table2[],3,0),"open")</f>
        <v>ok</v>
      </c>
      <c r="C4551" s="149" t="s">
        <v>369</v>
      </c>
      <c r="D4551" t="s">
        <v>6705</v>
      </c>
      <c r="E4551" t="s">
        <v>4068</v>
      </c>
      <c r="F4551" s="150" t="s">
        <v>4068</v>
      </c>
      <c r="G4551" s="149" t="s">
        <v>400</v>
      </c>
      <c r="H4551" s="150" t="str">
        <f>IF(Proc[[#This Row],[type]]="LFF (MDG-F)",MID(Proc[[#This Row],[Obj]],13,10),"")</f>
        <v/>
      </c>
      <c r="J4551" s="150" t="b">
        <f>Proc[[#This Row],[Requested]]=Proc[[#This Row],[CurrentParent]]</f>
        <v>1</v>
      </c>
      <c r="K4551" s="150" t="str">
        <f>IF(Proc[[#This Row],[Author]]="Marcela Urrego",VLOOKUP(LEFT(Proc[[#This Row],[Requested]],1),Table3[#All],2,0),VLOOKUP(Proc[[#This Row],[Author]],Table4[],2,0))</f>
        <v>HC</v>
      </c>
      <c r="L4551" s="150" t="s">
        <v>6435</v>
      </c>
      <c r="M4551" s="165">
        <v>45961</v>
      </c>
      <c r="N4551" s="166"/>
      <c r="O4551" s="166"/>
      <c r="P4551" s="165" t="str">
        <f ca="1">IF(Proc[[#This Row],[DaysAgeing]]&gt;5,"yep","on track")</f>
        <v>yep</v>
      </c>
      <c r="Q4551" s="3">
        <f ca="1">IF(Proc[[#This Row],[DateClosed]]="",ABS(NETWORKDAYS(Proc[[#This Row],[DateOpened]],TODAY()))-1,ABS(NETWORKDAYS(Proc[[#This Row],[DateOpened]],Proc[[#This Row],[DateClosed]]))-1)</f>
        <v>35</v>
      </c>
      <c r="R4551" s="165" t="s">
        <v>1013</v>
      </c>
      <c r="S4551" s="150"/>
    </row>
    <row r="4552" spans="1:19" hidden="1">
      <c r="A4552" s="149" t="s">
        <v>6666</v>
      </c>
      <c r="B4552" s="150" t="str">
        <f>IFERROR(VLOOKUP(Proc[[#This Row],[App]],Table2[],3,0),"open")</f>
        <v>ok</v>
      </c>
      <c r="C4552" s="149" t="s">
        <v>369</v>
      </c>
      <c r="D4552" t="s">
        <v>6706</v>
      </c>
      <c r="E4552" t="s">
        <v>4068</v>
      </c>
      <c r="F4552" s="150" t="s">
        <v>4068</v>
      </c>
      <c r="G4552" s="149" t="s">
        <v>400</v>
      </c>
      <c r="H4552" s="150" t="str">
        <f>IF(Proc[[#This Row],[type]]="LFF (MDG-F)",MID(Proc[[#This Row],[Obj]],13,10),"")</f>
        <v/>
      </c>
      <c r="J4552" s="150" t="b">
        <f>Proc[[#This Row],[Requested]]=Proc[[#This Row],[CurrentParent]]</f>
        <v>1</v>
      </c>
      <c r="K4552" s="150" t="str">
        <f>IF(Proc[[#This Row],[Author]]="Marcela Urrego",VLOOKUP(LEFT(Proc[[#This Row],[Requested]],1),Table3[#All],2,0),VLOOKUP(Proc[[#This Row],[Author]],Table4[],2,0))</f>
        <v>HC</v>
      </c>
      <c r="L4552" s="150" t="s">
        <v>6435</v>
      </c>
      <c r="M4552" s="165">
        <v>45961</v>
      </c>
      <c r="N4552" s="166"/>
      <c r="O4552" s="166"/>
      <c r="P4552" s="165" t="str">
        <f ca="1">IF(Proc[[#This Row],[DaysAgeing]]&gt;5,"yep","on track")</f>
        <v>yep</v>
      </c>
      <c r="Q4552" s="3">
        <f ca="1">IF(Proc[[#This Row],[DateClosed]]="",ABS(NETWORKDAYS(Proc[[#This Row],[DateOpened]],TODAY()))-1,ABS(NETWORKDAYS(Proc[[#This Row],[DateOpened]],Proc[[#This Row],[DateClosed]]))-1)</f>
        <v>35</v>
      </c>
      <c r="R4552" s="165" t="s">
        <v>1013</v>
      </c>
      <c r="S4552" s="150"/>
    </row>
    <row r="4553" spans="1:19" hidden="1">
      <c r="A4553" s="149" t="s">
        <v>6666</v>
      </c>
      <c r="B4553" s="150" t="str">
        <f>IFERROR(VLOOKUP(Proc[[#This Row],[App]],Table2[],3,0),"open")</f>
        <v>ok</v>
      </c>
      <c r="C4553" s="149" t="s">
        <v>369</v>
      </c>
      <c r="D4553" t="s">
        <v>6707</v>
      </c>
      <c r="E4553" t="s">
        <v>4068</v>
      </c>
      <c r="F4553" s="150" t="s">
        <v>4068</v>
      </c>
      <c r="G4553" s="149" t="s">
        <v>400</v>
      </c>
      <c r="H4553" s="150" t="str">
        <f>IF(Proc[[#This Row],[type]]="LFF (MDG-F)",MID(Proc[[#This Row],[Obj]],13,10),"")</f>
        <v/>
      </c>
      <c r="J4553" s="150" t="b">
        <f>Proc[[#This Row],[Requested]]=Proc[[#This Row],[CurrentParent]]</f>
        <v>1</v>
      </c>
      <c r="K4553" s="150" t="str">
        <f>IF(Proc[[#This Row],[Author]]="Marcela Urrego",VLOOKUP(LEFT(Proc[[#This Row],[Requested]],1),Table3[#All],2,0),VLOOKUP(Proc[[#This Row],[Author]],Table4[],2,0))</f>
        <v>HC</v>
      </c>
      <c r="L4553" s="150" t="s">
        <v>6435</v>
      </c>
      <c r="M4553" s="165">
        <v>45961</v>
      </c>
      <c r="N4553" s="166"/>
      <c r="O4553" s="166"/>
      <c r="P4553" s="165" t="str">
        <f ca="1">IF(Proc[[#This Row],[DaysAgeing]]&gt;5,"yep","on track")</f>
        <v>yep</v>
      </c>
      <c r="Q4553" s="3">
        <f ca="1">IF(Proc[[#This Row],[DateClosed]]="",ABS(NETWORKDAYS(Proc[[#This Row],[DateOpened]],TODAY()))-1,ABS(NETWORKDAYS(Proc[[#This Row],[DateOpened]],Proc[[#This Row],[DateClosed]]))-1)</f>
        <v>35</v>
      </c>
      <c r="R4553" s="165" t="s">
        <v>1013</v>
      </c>
      <c r="S4553" s="150"/>
    </row>
    <row r="4554" spans="1:19" hidden="1">
      <c r="A4554" s="149" t="s">
        <v>6666</v>
      </c>
      <c r="B4554" s="150" t="str">
        <f>IFERROR(VLOOKUP(Proc[[#This Row],[App]],Table2[],3,0),"open")</f>
        <v>ok</v>
      </c>
      <c r="C4554" s="149" t="s">
        <v>369</v>
      </c>
      <c r="D4554" t="s">
        <v>6708</v>
      </c>
      <c r="E4554" t="s">
        <v>4068</v>
      </c>
      <c r="F4554" s="150" t="s">
        <v>4068</v>
      </c>
      <c r="G4554" s="149" t="s">
        <v>400</v>
      </c>
      <c r="H4554" s="150" t="str">
        <f>IF(Proc[[#This Row],[type]]="LFF (MDG-F)",MID(Proc[[#This Row],[Obj]],13,10),"")</f>
        <v/>
      </c>
      <c r="J4554" s="150" t="b">
        <f>Proc[[#This Row],[Requested]]=Proc[[#This Row],[CurrentParent]]</f>
        <v>1</v>
      </c>
      <c r="K4554" s="150" t="str">
        <f>IF(Proc[[#This Row],[Author]]="Marcela Urrego",VLOOKUP(LEFT(Proc[[#This Row],[Requested]],1),Table3[#All],2,0),VLOOKUP(Proc[[#This Row],[Author]],Table4[],2,0))</f>
        <v>HC</v>
      </c>
      <c r="L4554" s="150" t="s">
        <v>6435</v>
      </c>
      <c r="M4554" s="165">
        <v>45961</v>
      </c>
      <c r="N4554" s="166"/>
      <c r="O4554" s="166"/>
      <c r="P4554" s="165" t="str">
        <f ca="1">IF(Proc[[#This Row],[DaysAgeing]]&gt;5,"yep","on track")</f>
        <v>yep</v>
      </c>
      <c r="Q4554" s="3">
        <f ca="1">IF(Proc[[#This Row],[DateClosed]]="",ABS(NETWORKDAYS(Proc[[#This Row],[DateOpened]],TODAY()))-1,ABS(NETWORKDAYS(Proc[[#This Row],[DateOpened]],Proc[[#This Row],[DateClosed]]))-1)</f>
        <v>35</v>
      </c>
      <c r="R4554" s="165" t="s">
        <v>1013</v>
      </c>
      <c r="S4554" s="150"/>
    </row>
    <row r="4555" spans="1:19" hidden="1">
      <c r="A4555" s="149" t="s">
        <v>6666</v>
      </c>
      <c r="B4555" s="150" t="str">
        <f>IFERROR(VLOOKUP(Proc[[#This Row],[App]],Table2[],3,0),"open")</f>
        <v>ok</v>
      </c>
      <c r="C4555" s="149" t="s">
        <v>369</v>
      </c>
      <c r="D4555" t="s">
        <v>6709</v>
      </c>
      <c r="E4555" t="s">
        <v>4068</v>
      </c>
      <c r="F4555" s="150" t="s">
        <v>4068</v>
      </c>
      <c r="G4555" s="149" t="s">
        <v>400</v>
      </c>
      <c r="H4555" s="150" t="str">
        <f>IF(Proc[[#This Row],[type]]="LFF (MDG-F)",MID(Proc[[#This Row],[Obj]],13,10),"")</f>
        <v/>
      </c>
      <c r="J4555" s="150" t="b">
        <f>Proc[[#This Row],[Requested]]=Proc[[#This Row],[CurrentParent]]</f>
        <v>1</v>
      </c>
      <c r="K4555" s="150" t="str">
        <f>IF(Proc[[#This Row],[Author]]="Marcela Urrego",VLOOKUP(LEFT(Proc[[#This Row],[Requested]],1),Table3[#All],2,0),VLOOKUP(Proc[[#This Row],[Author]],Table4[],2,0))</f>
        <v>HC</v>
      </c>
      <c r="L4555" s="150" t="s">
        <v>6435</v>
      </c>
      <c r="M4555" s="165">
        <v>45961</v>
      </c>
      <c r="N4555" s="166"/>
      <c r="O4555" s="166"/>
      <c r="P4555" s="165" t="str">
        <f ca="1">IF(Proc[[#This Row],[DaysAgeing]]&gt;5,"yep","on track")</f>
        <v>yep</v>
      </c>
      <c r="Q4555" s="3">
        <f ca="1">IF(Proc[[#This Row],[DateClosed]]="",ABS(NETWORKDAYS(Proc[[#This Row],[DateOpened]],TODAY()))-1,ABS(NETWORKDAYS(Proc[[#This Row],[DateOpened]],Proc[[#This Row],[DateClosed]]))-1)</f>
        <v>35</v>
      </c>
      <c r="R4555" s="165" t="s">
        <v>1013</v>
      </c>
      <c r="S4555" s="150"/>
    </row>
    <row r="4556" spans="1:19" hidden="1">
      <c r="A4556" s="149" t="s">
        <v>6666</v>
      </c>
      <c r="B4556" s="150" t="str">
        <f>IFERROR(VLOOKUP(Proc[[#This Row],[App]],Table2[],3,0),"open")</f>
        <v>ok</v>
      </c>
      <c r="C4556" s="149" t="s">
        <v>369</v>
      </c>
      <c r="D4556" t="s">
        <v>6710</v>
      </c>
      <c r="E4556" t="s">
        <v>6714</v>
      </c>
      <c r="F4556" s="150" t="s">
        <v>6714</v>
      </c>
      <c r="G4556" s="149" t="s">
        <v>400</v>
      </c>
      <c r="H4556" s="150" t="str">
        <f>IF(Proc[[#This Row],[type]]="LFF (MDG-F)",MID(Proc[[#This Row],[Obj]],13,10),"")</f>
        <v/>
      </c>
      <c r="J4556" s="150" t="b">
        <f>Proc[[#This Row],[Requested]]=Proc[[#This Row],[CurrentParent]]</f>
        <v>1</v>
      </c>
      <c r="K4556" s="150" t="str">
        <f>IF(Proc[[#This Row],[Author]]="Marcela Urrego",VLOOKUP(LEFT(Proc[[#This Row],[Requested]],1),Table3[#All],2,0),VLOOKUP(Proc[[#This Row],[Author]],Table4[],2,0))</f>
        <v>HC</v>
      </c>
      <c r="L4556" s="150" t="s">
        <v>6435</v>
      </c>
      <c r="M4556" s="165">
        <v>45961</v>
      </c>
      <c r="N4556" s="166"/>
      <c r="O4556" s="166"/>
      <c r="P4556" s="165" t="str">
        <f ca="1">IF(Proc[[#This Row],[DaysAgeing]]&gt;5,"yep","on track")</f>
        <v>yep</v>
      </c>
      <c r="Q4556" s="3">
        <f ca="1">IF(Proc[[#This Row],[DateClosed]]="",ABS(NETWORKDAYS(Proc[[#This Row],[DateOpened]],TODAY()))-1,ABS(NETWORKDAYS(Proc[[#This Row],[DateOpened]],Proc[[#This Row],[DateClosed]]))-1)</f>
        <v>35</v>
      </c>
      <c r="R4556" s="165" t="s">
        <v>1013</v>
      </c>
      <c r="S4556" s="150"/>
    </row>
    <row r="4557" spans="1:19" hidden="1">
      <c r="A4557" s="149" t="s">
        <v>6666</v>
      </c>
      <c r="B4557" s="150" t="str">
        <f>IFERROR(VLOOKUP(Proc[[#This Row],[App]],Table2[],3,0),"open")</f>
        <v>ok</v>
      </c>
      <c r="C4557" s="149" t="s">
        <v>369</v>
      </c>
      <c r="D4557" t="s">
        <v>6711</v>
      </c>
      <c r="E4557" t="s">
        <v>3401</v>
      </c>
      <c r="F4557" s="150" t="s">
        <v>3401</v>
      </c>
      <c r="G4557" s="149" t="s">
        <v>400</v>
      </c>
      <c r="H4557" s="150" t="str">
        <f>IF(Proc[[#This Row],[type]]="LFF (MDG-F)",MID(Proc[[#This Row],[Obj]],13,10),"")</f>
        <v/>
      </c>
      <c r="J4557" s="150" t="b">
        <f>Proc[[#This Row],[Requested]]=Proc[[#This Row],[CurrentParent]]</f>
        <v>1</v>
      </c>
      <c r="K4557" s="150" t="str">
        <f>IF(Proc[[#This Row],[Author]]="Marcela Urrego",VLOOKUP(LEFT(Proc[[#This Row],[Requested]],1),Table3[#All],2,0),VLOOKUP(Proc[[#This Row],[Author]],Table4[],2,0))</f>
        <v>HC</v>
      </c>
      <c r="L4557" s="150" t="s">
        <v>6435</v>
      </c>
      <c r="M4557" s="165">
        <v>45961</v>
      </c>
      <c r="N4557" s="166"/>
      <c r="O4557" s="166"/>
      <c r="P4557" s="165" t="str">
        <f ca="1">IF(Proc[[#This Row],[DaysAgeing]]&gt;5,"yep","on track")</f>
        <v>yep</v>
      </c>
      <c r="Q4557" s="3">
        <f ca="1">IF(Proc[[#This Row],[DateClosed]]="",ABS(NETWORKDAYS(Proc[[#This Row],[DateOpened]],TODAY()))-1,ABS(NETWORKDAYS(Proc[[#This Row],[DateOpened]],Proc[[#This Row],[DateClosed]]))-1)</f>
        <v>35</v>
      </c>
      <c r="R4557" s="165" t="s">
        <v>1013</v>
      </c>
      <c r="S4557" s="150"/>
    </row>
    <row r="4558" spans="1:19" hidden="1">
      <c r="A4558" s="149" t="s">
        <v>6666</v>
      </c>
      <c r="B4558" s="150" t="str">
        <f>IFERROR(VLOOKUP(Proc[[#This Row],[App]],Table2[],3,0),"open")</f>
        <v>ok</v>
      </c>
      <c r="C4558" s="149" t="s">
        <v>369</v>
      </c>
      <c r="D4558" t="s">
        <v>6712</v>
      </c>
      <c r="E4558" t="s">
        <v>3401</v>
      </c>
      <c r="F4558" s="150" t="s">
        <v>3401</v>
      </c>
      <c r="G4558" s="149" t="s">
        <v>400</v>
      </c>
      <c r="H4558" s="150" t="str">
        <f>IF(Proc[[#This Row],[type]]="LFF (MDG-F)",MID(Proc[[#This Row],[Obj]],13,10),"")</f>
        <v/>
      </c>
      <c r="J4558" s="150" t="b">
        <f>Proc[[#This Row],[Requested]]=Proc[[#This Row],[CurrentParent]]</f>
        <v>1</v>
      </c>
      <c r="K4558" s="150" t="str">
        <f>IF(Proc[[#This Row],[Author]]="Marcela Urrego",VLOOKUP(LEFT(Proc[[#This Row],[Requested]],1),Table3[#All],2,0),VLOOKUP(Proc[[#This Row],[Author]],Table4[],2,0))</f>
        <v>HC</v>
      </c>
      <c r="L4558" s="150" t="s">
        <v>6435</v>
      </c>
      <c r="M4558" s="165">
        <v>45961</v>
      </c>
      <c r="N4558" s="166"/>
      <c r="O4558" s="166"/>
      <c r="P4558" s="165" t="str">
        <f ca="1">IF(Proc[[#This Row],[DaysAgeing]]&gt;5,"yep","on track")</f>
        <v>yep</v>
      </c>
      <c r="Q4558" s="3">
        <f ca="1">IF(Proc[[#This Row],[DateClosed]]="",ABS(NETWORKDAYS(Proc[[#This Row],[DateOpened]],TODAY()))-1,ABS(NETWORKDAYS(Proc[[#This Row],[DateOpened]],Proc[[#This Row],[DateClosed]]))-1)</f>
        <v>35</v>
      </c>
      <c r="R4558" s="165" t="s">
        <v>1013</v>
      </c>
      <c r="S4558" s="150"/>
    </row>
    <row r="4559" spans="1:19" hidden="1">
      <c r="A4559" t="s">
        <v>6715</v>
      </c>
      <c r="B4559" s="150" t="str">
        <f>IFERROR(VLOOKUP(Proc[[#This Row],[App]],Table2[],3,0),"open")</f>
        <v>ok</v>
      </c>
      <c r="C4559" s="149" t="s">
        <v>369</v>
      </c>
      <c r="D4559" t="s">
        <v>6716</v>
      </c>
      <c r="E4559" t="s">
        <v>3023</v>
      </c>
      <c r="F4559" s="149" t="s">
        <v>3023</v>
      </c>
      <c r="G4559" t="s">
        <v>406</v>
      </c>
      <c r="H4559" s="150" t="str">
        <f>IF(Proc[[#This Row],[type]]="LFF (MDG-F)",MID(Proc[[#This Row],[Obj]],13,10),"")</f>
        <v>CH01GFO001</v>
      </c>
      <c r="J4559" s="150" t="b">
        <f>Proc[[#This Row],[Requested]]=Proc[[#This Row],[CurrentParent]]</f>
        <v>1</v>
      </c>
      <c r="K4559" s="150" t="str">
        <f>IF(Proc[[#This Row],[Author]]="Marcela Urrego",VLOOKUP(LEFT(Proc[[#This Row],[Requested]],1),Table3[#All],2,0),VLOOKUP(Proc[[#This Row],[Author]],Table4[],2,0))</f>
        <v>MGF</v>
      </c>
      <c r="L4559" s="150" t="s">
        <v>6435</v>
      </c>
      <c r="M4559" s="165">
        <v>45961</v>
      </c>
      <c r="N4559" s="166"/>
      <c r="O4559" s="166"/>
      <c r="P4559" s="165" t="str">
        <f ca="1">IF(Proc[[#This Row],[DaysAgeing]]&gt;5,"yep","on track")</f>
        <v>yep</v>
      </c>
      <c r="Q4559" s="3">
        <f ca="1">IF(Proc[[#This Row],[DateClosed]]="",ABS(NETWORKDAYS(Proc[[#This Row],[DateOpened]],TODAY()))-1,ABS(NETWORKDAYS(Proc[[#This Row],[DateOpened]],Proc[[#This Row],[DateClosed]]))-1)</f>
        <v>35</v>
      </c>
      <c r="R4559" s="165" t="s">
        <v>515</v>
      </c>
      <c r="S4559" s="150"/>
    </row>
    <row r="4560" spans="1:19" hidden="1">
      <c r="A4560" s="149" t="s">
        <v>6715</v>
      </c>
      <c r="B4560" s="150" t="str">
        <f>IFERROR(VLOOKUP(Proc[[#This Row],[App]],Table2[],3,0),"open")</f>
        <v>ok</v>
      </c>
      <c r="C4560" s="149" t="s">
        <v>369</v>
      </c>
      <c r="D4560" t="s">
        <v>6717</v>
      </c>
      <c r="E4560" t="s">
        <v>3023</v>
      </c>
      <c r="F4560" s="149" t="s">
        <v>3023</v>
      </c>
      <c r="G4560" s="149" t="s">
        <v>406</v>
      </c>
      <c r="H4560" s="150" t="str">
        <f>IF(Proc[[#This Row],[type]]="LFF (MDG-F)",MID(Proc[[#This Row],[Obj]],13,10),"")</f>
        <v>CH50GIT040</v>
      </c>
      <c r="J4560" s="150" t="b">
        <f>Proc[[#This Row],[Requested]]=Proc[[#This Row],[CurrentParent]]</f>
        <v>1</v>
      </c>
      <c r="K4560" s="150" t="str">
        <f>IF(Proc[[#This Row],[Author]]="Marcela Urrego",VLOOKUP(LEFT(Proc[[#This Row],[Requested]],1),Table3[#All],2,0),VLOOKUP(Proc[[#This Row],[Author]],Table4[],2,0))</f>
        <v>MGF</v>
      </c>
      <c r="L4560" s="150" t="s">
        <v>6435</v>
      </c>
      <c r="M4560" s="165">
        <v>45961</v>
      </c>
      <c r="N4560" s="166"/>
      <c r="O4560" s="166"/>
      <c r="P4560" s="165" t="str">
        <f ca="1">IF(Proc[[#This Row],[DaysAgeing]]&gt;5,"yep","on track")</f>
        <v>yep</v>
      </c>
      <c r="Q4560" s="3">
        <f ca="1">IF(Proc[[#This Row],[DateClosed]]="",ABS(NETWORKDAYS(Proc[[#This Row],[DateOpened]],TODAY()))-1,ABS(NETWORKDAYS(Proc[[#This Row],[DateOpened]],Proc[[#This Row],[DateClosed]]))-1)</f>
        <v>35</v>
      </c>
      <c r="R4560" s="165" t="s">
        <v>515</v>
      </c>
      <c r="S4560" s="150"/>
    </row>
    <row r="4561" spans="1:19" hidden="1">
      <c r="A4561" s="149" t="s">
        <v>6715</v>
      </c>
      <c r="B4561" s="150" t="str">
        <f>IFERROR(VLOOKUP(Proc[[#This Row],[App]],Table2[],3,0),"open")</f>
        <v>ok</v>
      </c>
      <c r="C4561" s="149" t="s">
        <v>369</v>
      </c>
      <c r="D4561" t="s">
        <v>6718</v>
      </c>
      <c r="E4561" t="s">
        <v>3023</v>
      </c>
      <c r="F4561" s="149" t="s">
        <v>3023</v>
      </c>
      <c r="G4561" s="149" t="s">
        <v>406</v>
      </c>
      <c r="H4561" s="150" t="str">
        <f>IF(Proc[[#This Row],[type]]="LFF (MDG-F)",MID(Proc[[#This Row],[Obj]],13,10),"")</f>
        <v>CH50GM2100</v>
      </c>
      <c r="J4561" s="150" t="b">
        <f>Proc[[#This Row],[Requested]]=Proc[[#This Row],[CurrentParent]]</f>
        <v>1</v>
      </c>
      <c r="K4561" s="150" t="str">
        <f>IF(Proc[[#This Row],[Author]]="Marcela Urrego",VLOOKUP(LEFT(Proc[[#This Row],[Requested]],1),Table3[#All],2,0),VLOOKUP(Proc[[#This Row],[Author]],Table4[],2,0))</f>
        <v>MGF</v>
      </c>
      <c r="L4561" s="150" t="s">
        <v>6435</v>
      </c>
      <c r="M4561" s="165">
        <v>45961</v>
      </c>
      <c r="N4561" s="166"/>
      <c r="O4561" s="166"/>
      <c r="P4561" s="165" t="str">
        <f ca="1">IF(Proc[[#This Row],[DaysAgeing]]&gt;5,"yep","on track")</f>
        <v>yep</v>
      </c>
      <c r="Q4561" s="3">
        <f ca="1">IF(Proc[[#This Row],[DateClosed]]="",ABS(NETWORKDAYS(Proc[[#This Row],[DateOpened]],TODAY()))-1,ABS(NETWORKDAYS(Proc[[#This Row],[DateOpened]],Proc[[#This Row],[DateClosed]]))-1)</f>
        <v>35</v>
      </c>
      <c r="R4561" s="165" t="s">
        <v>515</v>
      </c>
      <c r="S4561" s="150"/>
    </row>
    <row r="4562" spans="1:19" hidden="1">
      <c r="A4562" s="149" t="s">
        <v>6715</v>
      </c>
      <c r="B4562" s="150" t="str">
        <f>IFERROR(VLOOKUP(Proc[[#This Row],[App]],Table2[],3,0),"open")</f>
        <v>ok</v>
      </c>
      <c r="C4562" s="149" t="s">
        <v>369</v>
      </c>
      <c r="D4562" t="s">
        <v>6719</v>
      </c>
      <c r="E4562" t="s">
        <v>3023</v>
      </c>
      <c r="F4562" s="149" t="s">
        <v>3023</v>
      </c>
      <c r="G4562" s="149" t="s">
        <v>406</v>
      </c>
      <c r="H4562" s="150" t="str">
        <f>IF(Proc[[#This Row],[type]]="LFF (MDG-F)",MID(Proc[[#This Row],[Obj]],13,10),"")</f>
        <v>CH50GM2200</v>
      </c>
      <c r="J4562" s="150" t="b">
        <f>Proc[[#This Row],[Requested]]=Proc[[#This Row],[CurrentParent]]</f>
        <v>1</v>
      </c>
      <c r="K4562" s="150" t="str">
        <f>IF(Proc[[#This Row],[Author]]="Marcela Urrego",VLOOKUP(LEFT(Proc[[#This Row],[Requested]],1),Table3[#All],2,0),VLOOKUP(Proc[[#This Row],[Author]],Table4[],2,0))</f>
        <v>MGF</v>
      </c>
      <c r="L4562" s="150" t="s">
        <v>6435</v>
      </c>
      <c r="M4562" s="165">
        <v>45961</v>
      </c>
      <c r="N4562" s="166"/>
      <c r="O4562" s="166"/>
      <c r="P4562" s="165" t="str">
        <f ca="1">IF(Proc[[#This Row],[DaysAgeing]]&gt;5,"yep","on track")</f>
        <v>yep</v>
      </c>
      <c r="Q4562" s="3">
        <f ca="1">IF(Proc[[#This Row],[DateClosed]]="",ABS(NETWORKDAYS(Proc[[#This Row],[DateOpened]],TODAY()))-1,ABS(NETWORKDAYS(Proc[[#This Row],[DateOpened]],Proc[[#This Row],[DateClosed]]))-1)</f>
        <v>35</v>
      </c>
      <c r="R4562" s="165" t="s">
        <v>515</v>
      </c>
      <c r="S4562" s="150"/>
    </row>
    <row r="4563" spans="1:19" hidden="1">
      <c r="A4563" s="149" t="s">
        <v>6715</v>
      </c>
      <c r="B4563" s="150" t="str">
        <f>IFERROR(VLOOKUP(Proc[[#This Row],[App]],Table2[],3,0),"open")</f>
        <v>ok</v>
      </c>
      <c r="C4563" s="149" t="s">
        <v>369</v>
      </c>
      <c r="D4563" t="s">
        <v>6720</v>
      </c>
      <c r="E4563" t="s">
        <v>3023</v>
      </c>
      <c r="F4563" s="149" t="s">
        <v>3023</v>
      </c>
      <c r="G4563" s="149" t="s">
        <v>406</v>
      </c>
      <c r="H4563" s="150" t="str">
        <f>IF(Proc[[#This Row],[type]]="LFF (MDG-F)",MID(Proc[[#This Row],[Obj]],13,10),"")</f>
        <v>CH50GM2201</v>
      </c>
      <c r="J4563" s="150" t="b">
        <f>Proc[[#This Row],[Requested]]=Proc[[#This Row],[CurrentParent]]</f>
        <v>1</v>
      </c>
      <c r="K4563" s="150" t="str">
        <f>IF(Proc[[#This Row],[Author]]="Marcela Urrego",VLOOKUP(LEFT(Proc[[#This Row],[Requested]],1),Table3[#All],2,0),VLOOKUP(Proc[[#This Row],[Author]],Table4[],2,0))</f>
        <v>MGF</v>
      </c>
      <c r="L4563" s="150" t="s">
        <v>6435</v>
      </c>
      <c r="M4563" s="165">
        <v>45961</v>
      </c>
      <c r="N4563" s="166"/>
      <c r="O4563" s="166"/>
      <c r="P4563" s="165" t="str">
        <f ca="1">IF(Proc[[#This Row],[DaysAgeing]]&gt;5,"yep","on track")</f>
        <v>yep</v>
      </c>
      <c r="Q4563" s="3">
        <f ca="1">IF(Proc[[#This Row],[DateClosed]]="",ABS(NETWORKDAYS(Proc[[#This Row],[DateOpened]],TODAY()))-1,ABS(NETWORKDAYS(Proc[[#This Row],[DateOpened]],Proc[[#This Row],[DateClosed]]))-1)</f>
        <v>35</v>
      </c>
      <c r="R4563" s="165" t="s">
        <v>515</v>
      </c>
      <c r="S4563" s="150"/>
    </row>
    <row r="4564" spans="1:19" hidden="1">
      <c r="A4564" s="149" t="s">
        <v>6715</v>
      </c>
      <c r="B4564" s="150" t="str">
        <f>IFERROR(VLOOKUP(Proc[[#This Row],[App]],Table2[],3,0),"open")</f>
        <v>ok</v>
      </c>
      <c r="C4564" s="149" t="s">
        <v>369</v>
      </c>
      <c r="D4564" t="s">
        <v>6721</v>
      </c>
      <c r="E4564" t="s">
        <v>3023</v>
      </c>
      <c r="F4564" s="149" t="s">
        <v>3023</v>
      </c>
      <c r="G4564" s="149" t="s">
        <v>406</v>
      </c>
      <c r="H4564" s="150" t="str">
        <f>IF(Proc[[#This Row],[type]]="LFF (MDG-F)",MID(Proc[[#This Row],[Obj]],13,10),"")</f>
        <v>CH50L98043</v>
      </c>
      <c r="J4564" s="150" t="b">
        <f>Proc[[#This Row],[Requested]]=Proc[[#This Row],[CurrentParent]]</f>
        <v>1</v>
      </c>
      <c r="K4564" s="150" t="str">
        <f>IF(Proc[[#This Row],[Author]]="Marcela Urrego",VLOOKUP(LEFT(Proc[[#This Row],[Requested]],1),Table3[#All],2,0),VLOOKUP(Proc[[#This Row],[Author]],Table4[],2,0))</f>
        <v>MGF</v>
      </c>
      <c r="L4564" s="150" t="s">
        <v>6435</v>
      </c>
      <c r="M4564" s="165">
        <v>45961</v>
      </c>
      <c r="N4564" s="166"/>
      <c r="O4564" s="166"/>
      <c r="P4564" s="165" t="str">
        <f ca="1">IF(Proc[[#This Row],[DaysAgeing]]&gt;5,"yep","on track")</f>
        <v>yep</v>
      </c>
      <c r="Q4564" s="3">
        <f ca="1">IF(Proc[[#This Row],[DateClosed]]="",ABS(NETWORKDAYS(Proc[[#This Row],[DateOpened]],TODAY()))-1,ABS(NETWORKDAYS(Proc[[#This Row],[DateOpened]],Proc[[#This Row],[DateClosed]]))-1)</f>
        <v>35</v>
      </c>
      <c r="R4564" s="165" t="s">
        <v>515</v>
      </c>
      <c r="S4564" s="150"/>
    </row>
    <row r="4565" spans="1:19" hidden="1">
      <c r="A4565" s="149" t="s">
        <v>6715</v>
      </c>
      <c r="B4565" s="150" t="str">
        <f>IFERROR(VLOOKUP(Proc[[#This Row],[App]],Table2[],3,0),"open")</f>
        <v>ok</v>
      </c>
      <c r="C4565" s="149" t="s">
        <v>369</v>
      </c>
      <c r="D4565" t="s">
        <v>6722</v>
      </c>
      <c r="E4565" t="s">
        <v>3023</v>
      </c>
      <c r="F4565" s="149" t="s">
        <v>3023</v>
      </c>
      <c r="G4565" s="149" t="s">
        <v>406</v>
      </c>
      <c r="H4565" s="150" t="str">
        <f>IF(Proc[[#This Row],[type]]="LFF (MDG-F)",MID(Proc[[#This Row],[Obj]],13,10),"")</f>
        <v>CH65GIT022</v>
      </c>
      <c r="J4565" s="150" t="b">
        <f>Proc[[#This Row],[Requested]]=Proc[[#This Row],[CurrentParent]]</f>
        <v>1</v>
      </c>
      <c r="K4565" s="150" t="str">
        <f>IF(Proc[[#This Row],[Author]]="Marcela Urrego",VLOOKUP(LEFT(Proc[[#This Row],[Requested]],1),Table3[#All],2,0),VLOOKUP(Proc[[#This Row],[Author]],Table4[],2,0))</f>
        <v>MGF</v>
      </c>
      <c r="L4565" s="150" t="s">
        <v>6435</v>
      </c>
      <c r="M4565" s="165">
        <v>45961</v>
      </c>
      <c r="N4565" s="166"/>
      <c r="O4565" s="166"/>
      <c r="P4565" s="165" t="str">
        <f ca="1">IF(Proc[[#This Row],[DaysAgeing]]&gt;5,"yep","on track")</f>
        <v>yep</v>
      </c>
      <c r="Q4565" s="3">
        <f ca="1">IF(Proc[[#This Row],[DateClosed]]="",ABS(NETWORKDAYS(Proc[[#This Row],[DateOpened]],TODAY()))-1,ABS(NETWORKDAYS(Proc[[#This Row],[DateOpened]],Proc[[#This Row],[DateClosed]]))-1)</f>
        <v>35</v>
      </c>
      <c r="R4565" s="165" t="s">
        <v>515</v>
      </c>
      <c r="S4565" s="150"/>
    </row>
    <row r="4566" spans="1:19" hidden="1">
      <c r="A4566" s="149" t="s">
        <v>6715</v>
      </c>
      <c r="B4566" s="150" t="str">
        <f>IFERROR(VLOOKUP(Proc[[#This Row],[App]],Table2[],3,0),"open")</f>
        <v>ok</v>
      </c>
      <c r="C4566" s="149" t="s">
        <v>369</v>
      </c>
      <c r="D4566" t="s">
        <v>6723</v>
      </c>
      <c r="E4566" t="s">
        <v>3023</v>
      </c>
      <c r="F4566" s="149" t="s">
        <v>3023</v>
      </c>
      <c r="G4566" s="149" t="s">
        <v>406</v>
      </c>
      <c r="H4566" s="150" t="str">
        <f>IF(Proc[[#This Row],[type]]="LFF (MDG-F)",MID(Proc[[#This Row],[Obj]],13,10),"")</f>
        <v>CH65GM2100</v>
      </c>
      <c r="J4566" s="150" t="b">
        <f>Proc[[#This Row],[Requested]]=Proc[[#This Row],[CurrentParent]]</f>
        <v>1</v>
      </c>
      <c r="K4566" s="150" t="str">
        <f>IF(Proc[[#This Row],[Author]]="Marcela Urrego",VLOOKUP(LEFT(Proc[[#This Row],[Requested]],1),Table3[#All],2,0),VLOOKUP(Proc[[#This Row],[Author]],Table4[],2,0))</f>
        <v>MGF</v>
      </c>
      <c r="L4566" s="150" t="s">
        <v>6435</v>
      </c>
      <c r="M4566" s="165">
        <v>45961</v>
      </c>
      <c r="N4566" s="166"/>
      <c r="O4566" s="166"/>
      <c r="P4566" s="165" t="str">
        <f ca="1">IF(Proc[[#This Row],[DaysAgeing]]&gt;5,"yep","on track")</f>
        <v>yep</v>
      </c>
      <c r="Q4566" s="3">
        <f ca="1">IF(Proc[[#This Row],[DateClosed]]="",ABS(NETWORKDAYS(Proc[[#This Row],[DateOpened]],TODAY()))-1,ABS(NETWORKDAYS(Proc[[#This Row],[DateOpened]],Proc[[#This Row],[DateClosed]]))-1)</f>
        <v>35</v>
      </c>
      <c r="R4566" s="165" t="s">
        <v>515</v>
      </c>
      <c r="S4566" s="150"/>
    </row>
    <row r="4567" spans="1:19" hidden="1">
      <c r="A4567" s="149" t="s">
        <v>6715</v>
      </c>
      <c r="B4567" s="150" t="str">
        <f>IFERROR(VLOOKUP(Proc[[#This Row],[App]],Table2[],3,0),"open")</f>
        <v>ok</v>
      </c>
      <c r="C4567" s="149" t="s">
        <v>369</v>
      </c>
      <c r="D4567" t="s">
        <v>6724</v>
      </c>
      <c r="E4567" t="s">
        <v>3023</v>
      </c>
      <c r="F4567" s="149" t="s">
        <v>3023</v>
      </c>
      <c r="G4567" s="149" t="s">
        <v>406</v>
      </c>
      <c r="H4567" s="150" t="str">
        <f>IF(Proc[[#This Row],[type]]="LFF (MDG-F)",MID(Proc[[#This Row],[Obj]],13,10),"")</f>
        <v>CH65GM2201</v>
      </c>
      <c r="J4567" s="150" t="b">
        <f>Proc[[#This Row],[Requested]]=Proc[[#This Row],[CurrentParent]]</f>
        <v>1</v>
      </c>
      <c r="K4567" s="150" t="str">
        <f>IF(Proc[[#This Row],[Author]]="Marcela Urrego",VLOOKUP(LEFT(Proc[[#This Row],[Requested]],1),Table3[#All],2,0),VLOOKUP(Proc[[#This Row],[Author]],Table4[],2,0))</f>
        <v>MGF</v>
      </c>
      <c r="L4567" s="150" t="s">
        <v>6435</v>
      </c>
      <c r="M4567" s="165">
        <v>45961</v>
      </c>
      <c r="N4567" s="166"/>
      <c r="O4567" s="166"/>
      <c r="P4567" s="165" t="str">
        <f ca="1">IF(Proc[[#This Row],[DaysAgeing]]&gt;5,"yep","on track")</f>
        <v>yep</v>
      </c>
      <c r="Q4567" s="3">
        <f ca="1">IF(Proc[[#This Row],[DateClosed]]="",ABS(NETWORKDAYS(Proc[[#This Row],[DateOpened]],TODAY()))-1,ABS(NETWORKDAYS(Proc[[#This Row],[DateOpened]],Proc[[#This Row],[DateClosed]]))-1)</f>
        <v>35</v>
      </c>
      <c r="R4567" s="165" t="s">
        <v>515</v>
      </c>
      <c r="S4567" s="150"/>
    </row>
    <row r="4568" spans="1:19" hidden="1">
      <c r="A4568" s="149" t="s">
        <v>6715</v>
      </c>
      <c r="B4568" s="150" t="str">
        <f>IFERROR(VLOOKUP(Proc[[#This Row],[App]],Table2[],3,0),"open")</f>
        <v>ok</v>
      </c>
      <c r="C4568" s="149" t="s">
        <v>369</v>
      </c>
      <c r="D4568" t="s">
        <v>6725</v>
      </c>
      <c r="E4568" t="s">
        <v>3023</v>
      </c>
      <c r="F4568" s="149" t="s">
        <v>3023</v>
      </c>
      <c r="G4568" s="149" t="s">
        <v>406</v>
      </c>
      <c r="H4568" s="150" t="str">
        <f>IF(Proc[[#This Row],[type]]="LFF (MDG-F)",MID(Proc[[#This Row],[Obj]],13,10),"")</f>
        <v>CH65GM4100</v>
      </c>
      <c r="J4568" s="150" t="b">
        <f>Proc[[#This Row],[Requested]]=Proc[[#This Row],[CurrentParent]]</f>
        <v>1</v>
      </c>
      <c r="K4568" s="150" t="str">
        <f>IF(Proc[[#This Row],[Author]]="Marcela Urrego",VLOOKUP(LEFT(Proc[[#This Row],[Requested]],1),Table3[#All],2,0),VLOOKUP(Proc[[#This Row],[Author]],Table4[],2,0))</f>
        <v>MGF</v>
      </c>
      <c r="L4568" s="150" t="s">
        <v>6435</v>
      </c>
      <c r="M4568" s="165">
        <v>45961</v>
      </c>
      <c r="N4568" s="166"/>
      <c r="O4568" s="166"/>
      <c r="P4568" s="165" t="str">
        <f ca="1">IF(Proc[[#This Row],[DaysAgeing]]&gt;5,"yep","on track")</f>
        <v>yep</v>
      </c>
      <c r="Q4568" s="3">
        <f ca="1">IF(Proc[[#This Row],[DateClosed]]="",ABS(NETWORKDAYS(Proc[[#This Row],[DateOpened]],TODAY()))-1,ABS(NETWORKDAYS(Proc[[#This Row],[DateOpened]],Proc[[#This Row],[DateClosed]]))-1)</f>
        <v>35</v>
      </c>
      <c r="R4568" s="165" t="s">
        <v>515</v>
      </c>
      <c r="S4568" s="150"/>
    </row>
    <row r="4569" spans="1:19" hidden="1">
      <c r="A4569" s="149" t="s">
        <v>6715</v>
      </c>
      <c r="B4569" s="150" t="str">
        <f>IFERROR(VLOOKUP(Proc[[#This Row],[App]],Table2[],3,0),"open")</f>
        <v>ok</v>
      </c>
      <c r="C4569" s="149" t="s">
        <v>369</v>
      </c>
      <c r="D4569" t="s">
        <v>6726</v>
      </c>
      <c r="E4569" t="s">
        <v>3023</v>
      </c>
      <c r="F4569" s="149" t="s">
        <v>3023</v>
      </c>
      <c r="G4569" s="149" t="s">
        <v>406</v>
      </c>
      <c r="H4569" s="150" t="str">
        <f>IF(Proc[[#This Row],[type]]="LFF (MDG-F)",MID(Proc[[#This Row],[Obj]],13,10),"")</f>
        <v>CH75GIT040</v>
      </c>
      <c r="J4569" s="150" t="b">
        <f>Proc[[#This Row],[Requested]]=Proc[[#This Row],[CurrentParent]]</f>
        <v>1</v>
      </c>
      <c r="K4569" s="150" t="str">
        <f>IF(Proc[[#This Row],[Author]]="Marcela Urrego",VLOOKUP(LEFT(Proc[[#This Row],[Requested]],1),Table3[#All],2,0),VLOOKUP(Proc[[#This Row],[Author]],Table4[],2,0))</f>
        <v>MGF</v>
      </c>
      <c r="L4569" s="150" t="s">
        <v>6435</v>
      </c>
      <c r="M4569" s="165">
        <v>45961</v>
      </c>
      <c r="N4569" s="166"/>
      <c r="O4569" s="166"/>
      <c r="P4569" s="165" t="str">
        <f ca="1">IF(Proc[[#This Row],[DaysAgeing]]&gt;5,"yep","on track")</f>
        <v>yep</v>
      </c>
      <c r="Q4569" s="3">
        <f ca="1">IF(Proc[[#This Row],[DateClosed]]="",ABS(NETWORKDAYS(Proc[[#This Row],[DateOpened]],TODAY()))-1,ABS(NETWORKDAYS(Proc[[#This Row],[DateOpened]],Proc[[#This Row],[DateClosed]]))-1)</f>
        <v>35</v>
      </c>
      <c r="R4569" s="165" t="s">
        <v>515</v>
      </c>
      <c r="S4569" s="150"/>
    </row>
    <row r="4570" spans="1:19" hidden="1">
      <c r="A4570" s="149" t="s">
        <v>6715</v>
      </c>
      <c r="B4570" s="150" t="str">
        <f>IFERROR(VLOOKUP(Proc[[#This Row],[App]],Table2[],3,0),"open")</f>
        <v>ok</v>
      </c>
      <c r="C4570" s="149" t="s">
        <v>369</v>
      </c>
      <c r="D4570" t="s">
        <v>6727</v>
      </c>
      <c r="E4570" t="s">
        <v>3023</v>
      </c>
      <c r="F4570" s="149" t="s">
        <v>3023</v>
      </c>
      <c r="G4570" s="149" t="s">
        <v>406</v>
      </c>
      <c r="H4570" s="150" t="str">
        <f>IF(Proc[[#This Row],[type]]="LFF (MDG-F)",MID(Proc[[#This Row],[Obj]],13,10),"")</f>
        <v>CH75GM2100</v>
      </c>
      <c r="J4570" s="150" t="b">
        <f>Proc[[#This Row],[Requested]]=Proc[[#This Row],[CurrentParent]]</f>
        <v>1</v>
      </c>
      <c r="K4570" s="150" t="str">
        <f>IF(Proc[[#This Row],[Author]]="Marcela Urrego",VLOOKUP(LEFT(Proc[[#This Row],[Requested]],1),Table3[#All],2,0),VLOOKUP(Proc[[#This Row],[Author]],Table4[],2,0))</f>
        <v>MGF</v>
      </c>
      <c r="L4570" s="150" t="s">
        <v>6435</v>
      </c>
      <c r="M4570" s="165">
        <v>45961</v>
      </c>
      <c r="N4570" s="166"/>
      <c r="O4570" s="166"/>
      <c r="P4570" s="165" t="str">
        <f ca="1">IF(Proc[[#This Row],[DaysAgeing]]&gt;5,"yep","on track")</f>
        <v>yep</v>
      </c>
      <c r="Q4570" s="3">
        <f ca="1">IF(Proc[[#This Row],[DateClosed]]="",ABS(NETWORKDAYS(Proc[[#This Row],[DateOpened]],TODAY()))-1,ABS(NETWORKDAYS(Proc[[#This Row],[DateOpened]],Proc[[#This Row],[DateClosed]]))-1)</f>
        <v>35</v>
      </c>
      <c r="R4570" s="165" t="s">
        <v>515</v>
      </c>
      <c r="S4570" s="150"/>
    </row>
    <row r="4571" spans="1:19" hidden="1">
      <c r="A4571" s="149" t="s">
        <v>6715</v>
      </c>
      <c r="B4571" s="150" t="str">
        <f>IFERROR(VLOOKUP(Proc[[#This Row],[App]],Table2[],3,0),"open")</f>
        <v>ok</v>
      </c>
      <c r="C4571" s="149" t="s">
        <v>369</v>
      </c>
      <c r="D4571" t="s">
        <v>6728</v>
      </c>
      <c r="E4571" t="s">
        <v>3023</v>
      </c>
      <c r="F4571" s="149" t="s">
        <v>3023</v>
      </c>
      <c r="G4571" s="149" t="s">
        <v>406</v>
      </c>
      <c r="H4571" s="150" t="str">
        <f>IF(Proc[[#This Row],[type]]="LFF (MDG-F)",MID(Proc[[#This Row],[Obj]],13,10),"")</f>
        <v>CH75GM2200</v>
      </c>
      <c r="J4571" s="150" t="b">
        <f>Proc[[#This Row],[Requested]]=Proc[[#This Row],[CurrentParent]]</f>
        <v>1</v>
      </c>
      <c r="K4571" s="150" t="str">
        <f>IF(Proc[[#This Row],[Author]]="Marcela Urrego",VLOOKUP(LEFT(Proc[[#This Row],[Requested]],1),Table3[#All],2,0),VLOOKUP(Proc[[#This Row],[Author]],Table4[],2,0))</f>
        <v>MGF</v>
      </c>
      <c r="L4571" s="150" t="s">
        <v>6435</v>
      </c>
      <c r="M4571" s="165">
        <v>45961</v>
      </c>
      <c r="N4571" s="166"/>
      <c r="O4571" s="166"/>
      <c r="P4571" s="165" t="str">
        <f ca="1">IF(Proc[[#This Row],[DaysAgeing]]&gt;5,"yep","on track")</f>
        <v>yep</v>
      </c>
      <c r="Q4571" s="3">
        <f ca="1">IF(Proc[[#This Row],[DateClosed]]="",ABS(NETWORKDAYS(Proc[[#This Row],[DateOpened]],TODAY()))-1,ABS(NETWORKDAYS(Proc[[#This Row],[DateOpened]],Proc[[#This Row],[DateClosed]]))-1)</f>
        <v>35</v>
      </c>
      <c r="R4571" s="165" t="s">
        <v>515</v>
      </c>
      <c r="S4571" s="150"/>
    </row>
    <row r="4572" spans="1:19" hidden="1">
      <c r="A4572" s="149" t="s">
        <v>6715</v>
      </c>
      <c r="B4572" s="150" t="str">
        <f>IFERROR(VLOOKUP(Proc[[#This Row],[App]],Table2[],3,0),"open")</f>
        <v>ok</v>
      </c>
      <c r="C4572" s="149" t="s">
        <v>369</v>
      </c>
      <c r="D4572" t="s">
        <v>6729</v>
      </c>
      <c r="E4572" t="s">
        <v>3023</v>
      </c>
      <c r="F4572" s="149" t="s">
        <v>3023</v>
      </c>
      <c r="G4572" s="149" t="s">
        <v>406</v>
      </c>
      <c r="H4572" s="150" t="str">
        <f>IF(Proc[[#This Row],[type]]="LFF (MDG-F)",MID(Proc[[#This Row],[Obj]],13,10),"")</f>
        <v>CH81GM2100</v>
      </c>
      <c r="J4572" s="150" t="b">
        <f>Proc[[#This Row],[Requested]]=Proc[[#This Row],[CurrentParent]]</f>
        <v>1</v>
      </c>
      <c r="K4572" s="150" t="str">
        <f>IF(Proc[[#This Row],[Author]]="Marcela Urrego",VLOOKUP(LEFT(Proc[[#This Row],[Requested]],1),Table3[#All],2,0),VLOOKUP(Proc[[#This Row],[Author]],Table4[],2,0))</f>
        <v>MGF</v>
      </c>
      <c r="L4572" s="150" t="s">
        <v>6435</v>
      </c>
      <c r="M4572" s="165">
        <v>45961</v>
      </c>
      <c r="N4572" s="166"/>
      <c r="O4572" s="166"/>
      <c r="P4572" s="165" t="str">
        <f ca="1">IF(Proc[[#This Row],[DaysAgeing]]&gt;5,"yep","on track")</f>
        <v>yep</v>
      </c>
      <c r="Q4572" s="3">
        <f ca="1">IF(Proc[[#This Row],[DateClosed]]="",ABS(NETWORKDAYS(Proc[[#This Row],[DateOpened]],TODAY()))-1,ABS(NETWORKDAYS(Proc[[#This Row],[DateOpened]],Proc[[#This Row],[DateClosed]]))-1)</f>
        <v>35</v>
      </c>
      <c r="R4572" s="165" t="s">
        <v>515</v>
      </c>
      <c r="S4572" s="150"/>
    </row>
    <row r="4573" spans="1:19" hidden="1">
      <c r="A4573" s="149" t="s">
        <v>6715</v>
      </c>
      <c r="B4573" s="150" t="str">
        <f>IFERROR(VLOOKUP(Proc[[#This Row],[App]],Table2[],3,0),"open")</f>
        <v>ok</v>
      </c>
      <c r="C4573" s="149" t="s">
        <v>369</v>
      </c>
      <c r="D4573" t="s">
        <v>6730</v>
      </c>
      <c r="E4573" t="s">
        <v>3023</v>
      </c>
      <c r="F4573" s="149" t="s">
        <v>3023</v>
      </c>
      <c r="G4573" s="149" t="s">
        <v>406</v>
      </c>
      <c r="H4573" s="150" t="str">
        <f>IF(Proc[[#This Row],[type]]="LFF (MDG-F)",MID(Proc[[#This Row],[Obj]],13,10),"")</f>
        <v>CH82GM2100</v>
      </c>
      <c r="J4573" s="150" t="b">
        <f>Proc[[#This Row],[Requested]]=Proc[[#This Row],[CurrentParent]]</f>
        <v>1</v>
      </c>
      <c r="K4573" s="150" t="str">
        <f>IF(Proc[[#This Row],[Author]]="Marcela Urrego",VLOOKUP(LEFT(Proc[[#This Row],[Requested]],1),Table3[#All],2,0),VLOOKUP(Proc[[#This Row],[Author]],Table4[],2,0))</f>
        <v>MGF</v>
      </c>
      <c r="L4573" s="150" t="s">
        <v>6435</v>
      </c>
      <c r="M4573" s="165">
        <v>45961</v>
      </c>
      <c r="N4573" s="166"/>
      <c r="O4573" s="166"/>
      <c r="P4573" s="165" t="str">
        <f ca="1">IF(Proc[[#This Row],[DaysAgeing]]&gt;5,"yep","on track")</f>
        <v>yep</v>
      </c>
      <c r="Q4573" s="3">
        <f ca="1">IF(Proc[[#This Row],[DateClosed]]="",ABS(NETWORKDAYS(Proc[[#This Row],[DateOpened]],TODAY()))-1,ABS(NETWORKDAYS(Proc[[#This Row],[DateOpened]],Proc[[#This Row],[DateClosed]]))-1)</f>
        <v>35</v>
      </c>
      <c r="R4573" s="165" t="s">
        <v>515</v>
      </c>
      <c r="S4573" s="150"/>
    </row>
    <row r="4574" spans="1:19" hidden="1">
      <c r="A4574" s="149" t="s">
        <v>6715</v>
      </c>
      <c r="B4574" s="150" t="str">
        <f>IFERROR(VLOOKUP(Proc[[#This Row],[App]],Table2[],3,0),"open")</f>
        <v>ok</v>
      </c>
      <c r="C4574" s="149" t="s">
        <v>369</v>
      </c>
      <c r="D4574" t="s">
        <v>6731</v>
      </c>
      <c r="E4574" t="s">
        <v>3023</v>
      </c>
      <c r="F4574" s="149" t="s">
        <v>3023</v>
      </c>
      <c r="G4574" s="149" t="s">
        <v>406</v>
      </c>
      <c r="H4574" s="150" t="str">
        <f>IF(Proc[[#This Row],[type]]="LFF (MDG-F)",MID(Proc[[#This Row],[Obj]],13,10),"")</f>
        <v>CH82GM2200</v>
      </c>
      <c r="J4574" s="150" t="b">
        <f>Proc[[#This Row],[Requested]]=Proc[[#This Row],[CurrentParent]]</f>
        <v>1</v>
      </c>
      <c r="K4574" s="150" t="str">
        <f>IF(Proc[[#This Row],[Author]]="Marcela Urrego",VLOOKUP(LEFT(Proc[[#This Row],[Requested]],1),Table3[#All],2,0),VLOOKUP(Proc[[#This Row],[Author]],Table4[],2,0))</f>
        <v>MGF</v>
      </c>
      <c r="L4574" s="150" t="s">
        <v>6435</v>
      </c>
      <c r="M4574" s="165">
        <v>45961</v>
      </c>
      <c r="N4574" s="166"/>
      <c r="O4574" s="166"/>
      <c r="P4574" s="165" t="str">
        <f ca="1">IF(Proc[[#This Row],[DaysAgeing]]&gt;5,"yep","on track")</f>
        <v>yep</v>
      </c>
      <c r="Q4574" s="3">
        <f ca="1">IF(Proc[[#This Row],[DateClosed]]="",ABS(NETWORKDAYS(Proc[[#This Row],[DateOpened]],TODAY()))-1,ABS(NETWORKDAYS(Proc[[#This Row],[DateOpened]],Proc[[#This Row],[DateClosed]]))-1)</f>
        <v>35</v>
      </c>
      <c r="R4574" s="165" t="s">
        <v>515</v>
      </c>
      <c r="S4574" s="150"/>
    </row>
    <row r="4575" spans="1:19" hidden="1">
      <c r="A4575" s="149" t="s">
        <v>6715</v>
      </c>
      <c r="B4575" s="150" t="str">
        <f>IFERROR(VLOOKUP(Proc[[#This Row],[App]],Table2[],3,0),"open")</f>
        <v>ok</v>
      </c>
      <c r="C4575" s="149" t="s">
        <v>369</v>
      </c>
      <c r="D4575" t="s">
        <v>6732</v>
      </c>
      <c r="E4575" t="s">
        <v>3023</v>
      </c>
      <c r="F4575" s="150" t="s">
        <v>3023</v>
      </c>
      <c r="G4575" s="149" t="s">
        <v>400</v>
      </c>
      <c r="H4575" s="150" t="str">
        <f>IF(Proc[[#This Row],[type]]="LFF (MDG-F)",MID(Proc[[#This Row],[Obj]],13,10),"")</f>
        <v/>
      </c>
      <c r="J4575" s="150" t="b">
        <f>Proc[[#This Row],[Requested]]=Proc[[#This Row],[CurrentParent]]</f>
        <v>1</v>
      </c>
      <c r="K4575" s="150" t="str">
        <f>IF(Proc[[#This Row],[Author]]="Marcela Urrego",VLOOKUP(LEFT(Proc[[#This Row],[Requested]],1),Table3[#All],2,0),VLOOKUP(Proc[[#This Row],[Author]],Table4[],2,0))</f>
        <v>MGF</v>
      </c>
      <c r="L4575" s="150" t="s">
        <v>6435</v>
      </c>
      <c r="M4575" s="165">
        <v>45961</v>
      </c>
      <c r="N4575" s="166"/>
      <c r="O4575" s="166"/>
      <c r="P4575" s="165" t="str">
        <f ca="1">IF(Proc[[#This Row],[DaysAgeing]]&gt;5,"yep","on track")</f>
        <v>yep</v>
      </c>
      <c r="Q4575" s="3">
        <f ca="1">IF(Proc[[#This Row],[DateClosed]]="",ABS(NETWORKDAYS(Proc[[#This Row],[DateOpened]],TODAY()))-1,ABS(NETWORKDAYS(Proc[[#This Row],[DateOpened]],Proc[[#This Row],[DateClosed]]))-1)</f>
        <v>35</v>
      </c>
      <c r="R4575" s="165" t="s">
        <v>515</v>
      </c>
      <c r="S4575" s="150"/>
    </row>
    <row r="4576" spans="1:19" hidden="1">
      <c r="A4576" s="149" t="s">
        <v>6715</v>
      </c>
      <c r="B4576" s="150" t="str">
        <f>IFERROR(VLOOKUP(Proc[[#This Row],[App]],Table2[],3,0),"open")</f>
        <v>ok</v>
      </c>
      <c r="C4576" s="149" t="s">
        <v>369</v>
      </c>
      <c r="D4576" t="s">
        <v>6733</v>
      </c>
      <c r="E4576" t="s">
        <v>3023</v>
      </c>
      <c r="F4576" s="150" t="s">
        <v>3023</v>
      </c>
      <c r="G4576" s="149" t="s">
        <v>400</v>
      </c>
      <c r="H4576" s="150" t="str">
        <f>IF(Proc[[#This Row],[type]]="LFF (MDG-F)",MID(Proc[[#This Row],[Obj]],13,10),"")</f>
        <v/>
      </c>
      <c r="J4576" s="150" t="b">
        <f>Proc[[#This Row],[Requested]]=Proc[[#This Row],[CurrentParent]]</f>
        <v>1</v>
      </c>
      <c r="K4576" s="150" t="str">
        <f>IF(Proc[[#This Row],[Author]]="Marcela Urrego",VLOOKUP(LEFT(Proc[[#This Row],[Requested]],1),Table3[#All],2,0),VLOOKUP(Proc[[#This Row],[Author]],Table4[],2,0))</f>
        <v>MGF</v>
      </c>
      <c r="L4576" s="150" t="s">
        <v>6435</v>
      </c>
      <c r="M4576" s="165">
        <v>45961</v>
      </c>
      <c r="N4576" s="166"/>
      <c r="O4576" s="166"/>
      <c r="P4576" s="165" t="str">
        <f ca="1">IF(Proc[[#This Row],[DaysAgeing]]&gt;5,"yep","on track")</f>
        <v>yep</v>
      </c>
      <c r="Q4576" s="3">
        <f ca="1">IF(Proc[[#This Row],[DateClosed]]="",ABS(NETWORKDAYS(Proc[[#This Row],[DateOpened]],TODAY()))-1,ABS(NETWORKDAYS(Proc[[#This Row],[DateOpened]],Proc[[#This Row],[DateClosed]]))-1)</f>
        <v>35</v>
      </c>
      <c r="R4576" s="165" t="s">
        <v>515</v>
      </c>
      <c r="S4576" s="150"/>
    </row>
    <row r="4577" spans="1:19" hidden="1">
      <c r="A4577" s="149" t="s">
        <v>6715</v>
      </c>
      <c r="B4577" s="150" t="str">
        <f>IFERROR(VLOOKUP(Proc[[#This Row],[App]],Table2[],3,0),"open")</f>
        <v>ok</v>
      </c>
      <c r="C4577" s="149" t="s">
        <v>369</v>
      </c>
      <c r="D4577" t="s">
        <v>6734</v>
      </c>
      <c r="E4577" t="s">
        <v>3023</v>
      </c>
      <c r="F4577" s="150" t="s">
        <v>3023</v>
      </c>
      <c r="G4577" s="149" t="s">
        <v>400</v>
      </c>
      <c r="H4577" s="150" t="str">
        <f>IF(Proc[[#This Row],[type]]="LFF (MDG-F)",MID(Proc[[#This Row],[Obj]],13,10),"")</f>
        <v/>
      </c>
      <c r="J4577" s="150" t="b">
        <f>Proc[[#This Row],[Requested]]=Proc[[#This Row],[CurrentParent]]</f>
        <v>1</v>
      </c>
      <c r="K4577" s="150" t="str">
        <f>IF(Proc[[#This Row],[Author]]="Marcela Urrego",VLOOKUP(LEFT(Proc[[#This Row],[Requested]],1),Table3[#All],2,0),VLOOKUP(Proc[[#This Row],[Author]],Table4[],2,0))</f>
        <v>MGF</v>
      </c>
      <c r="L4577" s="150" t="s">
        <v>6435</v>
      </c>
      <c r="M4577" s="165">
        <v>45961</v>
      </c>
      <c r="N4577" s="166"/>
      <c r="O4577" s="166"/>
      <c r="P4577" s="165" t="str">
        <f ca="1">IF(Proc[[#This Row],[DaysAgeing]]&gt;5,"yep","on track")</f>
        <v>yep</v>
      </c>
      <c r="Q4577" s="3">
        <f ca="1">IF(Proc[[#This Row],[DateClosed]]="",ABS(NETWORKDAYS(Proc[[#This Row],[DateOpened]],TODAY()))-1,ABS(NETWORKDAYS(Proc[[#This Row],[DateOpened]],Proc[[#This Row],[DateClosed]]))-1)</f>
        <v>35</v>
      </c>
      <c r="R4577" s="165" t="s">
        <v>515</v>
      </c>
      <c r="S4577" s="150"/>
    </row>
    <row r="4578" spans="1:19" hidden="1">
      <c r="A4578" s="149" t="s">
        <v>6715</v>
      </c>
      <c r="B4578" s="150" t="str">
        <f>IFERROR(VLOOKUP(Proc[[#This Row],[App]],Table2[],3,0),"open")</f>
        <v>ok</v>
      </c>
      <c r="C4578" s="149" t="s">
        <v>369</v>
      </c>
      <c r="D4578" t="s">
        <v>6735</v>
      </c>
      <c r="E4578" t="s">
        <v>3023</v>
      </c>
      <c r="F4578" s="150" t="s">
        <v>3023</v>
      </c>
      <c r="G4578" s="149" t="s">
        <v>400</v>
      </c>
      <c r="H4578" s="150" t="str">
        <f>IF(Proc[[#This Row],[type]]="LFF (MDG-F)",MID(Proc[[#This Row],[Obj]],13,10),"")</f>
        <v/>
      </c>
      <c r="J4578" s="150" t="b">
        <f>Proc[[#This Row],[Requested]]=Proc[[#This Row],[CurrentParent]]</f>
        <v>1</v>
      </c>
      <c r="K4578" s="150" t="str">
        <f>IF(Proc[[#This Row],[Author]]="Marcela Urrego",VLOOKUP(LEFT(Proc[[#This Row],[Requested]],1),Table3[#All],2,0),VLOOKUP(Proc[[#This Row],[Author]],Table4[],2,0))</f>
        <v>MGF</v>
      </c>
      <c r="L4578" s="150" t="s">
        <v>6435</v>
      </c>
      <c r="M4578" s="165">
        <v>45961</v>
      </c>
      <c r="N4578" s="166"/>
      <c r="O4578" s="166"/>
      <c r="P4578" s="165" t="str">
        <f ca="1">IF(Proc[[#This Row],[DaysAgeing]]&gt;5,"yep","on track")</f>
        <v>yep</v>
      </c>
      <c r="Q4578" s="3">
        <f ca="1">IF(Proc[[#This Row],[DateClosed]]="",ABS(NETWORKDAYS(Proc[[#This Row],[DateOpened]],TODAY()))-1,ABS(NETWORKDAYS(Proc[[#This Row],[DateOpened]],Proc[[#This Row],[DateClosed]]))-1)</f>
        <v>35</v>
      </c>
      <c r="R4578" s="165" t="s">
        <v>515</v>
      </c>
      <c r="S4578" s="150"/>
    </row>
    <row r="4579" spans="1:19" hidden="1">
      <c r="A4579" s="149" t="s">
        <v>6715</v>
      </c>
      <c r="B4579" s="150" t="str">
        <f>IFERROR(VLOOKUP(Proc[[#This Row],[App]],Table2[],3,0),"open")</f>
        <v>ok</v>
      </c>
      <c r="C4579" s="149" t="s">
        <v>369</v>
      </c>
      <c r="D4579" t="s">
        <v>6736</v>
      </c>
      <c r="E4579" t="s">
        <v>3023</v>
      </c>
      <c r="F4579" s="150" t="s">
        <v>3023</v>
      </c>
      <c r="G4579" s="149" t="s">
        <v>400</v>
      </c>
      <c r="H4579" s="150" t="str">
        <f>IF(Proc[[#This Row],[type]]="LFF (MDG-F)",MID(Proc[[#This Row],[Obj]],13,10),"")</f>
        <v/>
      </c>
      <c r="J4579" s="150" t="b">
        <f>Proc[[#This Row],[Requested]]=Proc[[#This Row],[CurrentParent]]</f>
        <v>1</v>
      </c>
      <c r="K4579" s="150" t="str">
        <f>IF(Proc[[#This Row],[Author]]="Marcela Urrego",VLOOKUP(LEFT(Proc[[#This Row],[Requested]],1),Table3[#All],2,0),VLOOKUP(Proc[[#This Row],[Author]],Table4[],2,0))</f>
        <v>MGF</v>
      </c>
      <c r="L4579" s="150" t="s">
        <v>6435</v>
      </c>
      <c r="M4579" s="165">
        <v>45961</v>
      </c>
      <c r="N4579" s="166"/>
      <c r="O4579" s="166"/>
      <c r="P4579" s="165" t="str">
        <f ca="1">IF(Proc[[#This Row],[DaysAgeing]]&gt;5,"yep","on track")</f>
        <v>yep</v>
      </c>
      <c r="Q4579" s="3">
        <f ca="1">IF(Proc[[#This Row],[DateClosed]]="",ABS(NETWORKDAYS(Proc[[#This Row],[DateOpened]],TODAY()))-1,ABS(NETWORKDAYS(Proc[[#This Row],[DateOpened]],Proc[[#This Row],[DateClosed]]))-1)</f>
        <v>35</v>
      </c>
      <c r="R4579" s="165" t="s">
        <v>515</v>
      </c>
      <c r="S4579" s="150"/>
    </row>
    <row r="4580" spans="1:19" hidden="1">
      <c r="A4580" s="149" t="s">
        <v>6715</v>
      </c>
      <c r="B4580" s="150" t="str">
        <f>IFERROR(VLOOKUP(Proc[[#This Row],[App]],Table2[],3,0),"open")</f>
        <v>ok</v>
      </c>
      <c r="C4580" s="149" t="s">
        <v>369</v>
      </c>
      <c r="D4580" t="s">
        <v>6737</v>
      </c>
      <c r="E4580" t="s">
        <v>3023</v>
      </c>
      <c r="F4580" s="150" t="s">
        <v>3023</v>
      </c>
      <c r="G4580" s="149" t="s">
        <v>400</v>
      </c>
      <c r="H4580" s="150" t="str">
        <f>IF(Proc[[#This Row],[type]]="LFF (MDG-F)",MID(Proc[[#This Row],[Obj]],13,10),"")</f>
        <v/>
      </c>
      <c r="J4580" s="150" t="b">
        <f>Proc[[#This Row],[Requested]]=Proc[[#This Row],[CurrentParent]]</f>
        <v>1</v>
      </c>
      <c r="K4580" s="150" t="str">
        <f>IF(Proc[[#This Row],[Author]]="Marcela Urrego",VLOOKUP(LEFT(Proc[[#This Row],[Requested]],1),Table3[#All],2,0),VLOOKUP(Proc[[#This Row],[Author]],Table4[],2,0))</f>
        <v>MGF</v>
      </c>
      <c r="L4580" s="150" t="s">
        <v>6435</v>
      </c>
      <c r="M4580" s="165">
        <v>45961</v>
      </c>
      <c r="N4580" s="166"/>
      <c r="O4580" s="166"/>
      <c r="P4580" s="165" t="str">
        <f ca="1">IF(Proc[[#This Row],[DaysAgeing]]&gt;5,"yep","on track")</f>
        <v>yep</v>
      </c>
      <c r="Q4580" s="3">
        <f ca="1">IF(Proc[[#This Row],[DateClosed]]="",ABS(NETWORKDAYS(Proc[[#This Row],[DateOpened]],TODAY()))-1,ABS(NETWORKDAYS(Proc[[#This Row],[DateOpened]],Proc[[#This Row],[DateClosed]]))-1)</f>
        <v>35</v>
      </c>
      <c r="R4580" s="165" t="s">
        <v>515</v>
      </c>
      <c r="S4580" s="150"/>
    </row>
    <row r="4581" spans="1:19" hidden="1">
      <c r="A4581" s="149" t="s">
        <v>6715</v>
      </c>
      <c r="B4581" s="150" t="str">
        <f>IFERROR(VLOOKUP(Proc[[#This Row],[App]],Table2[],3,0),"open")</f>
        <v>ok</v>
      </c>
      <c r="C4581" s="149" t="s">
        <v>369</v>
      </c>
      <c r="D4581" t="s">
        <v>6738</v>
      </c>
      <c r="E4581" t="s">
        <v>3023</v>
      </c>
      <c r="F4581" s="150" t="s">
        <v>3023</v>
      </c>
      <c r="G4581" s="149" t="s">
        <v>400</v>
      </c>
      <c r="H4581" s="150" t="str">
        <f>IF(Proc[[#This Row],[type]]="LFF (MDG-F)",MID(Proc[[#This Row],[Obj]],13,10),"")</f>
        <v/>
      </c>
      <c r="J4581" s="150" t="b">
        <f>Proc[[#This Row],[Requested]]=Proc[[#This Row],[CurrentParent]]</f>
        <v>1</v>
      </c>
      <c r="K4581" s="150" t="str">
        <f>IF(Proc[[#This Row],[Author]]="Marcela Urrego",VLOOKUP(LEFT(Proc[[#This Row],[Requested]],1),Table3[#All],2,0),VLOOKUP(Proc[[#This Row],[Author]],Table4[],2,0))</f>
        <v>MGF</v>
      </c>
      <c r="L4581" s="150" t="s">
        <v>6435</v>
      </c>
      <c r="M4581" s="165">
        <v>45961</v>
      </c>
      <c r="N4581" s="166"/>
      <c r="O4581" s="166"/>
      <c r="P4581" s="165" t="str">
        <f ca="1">IF(Proc[[#This Row],[DaysAgeing]]&gt;5,"yep","on track")</f>
        <v>yep</v>
      </c>
      <c r="Q4581" s="3">
        <f ca="1">IF(Proc[[#This Row],[DateClosed]]="",ABS(NETWORKDAYS(Proc[[#This Row],[DateOpened]],TODAY()))-1,ABS(NETWORKDAYS(Proc[[#This Row],[DateOpened]],Proc[[#This Row],[DateClosed]]))-1)</f>
        <v>35</v>
      </c>
      <c r="R4581" s="165" t="s">
        <v>515</v>
      </c>
      <c r="S4581" s="150"/>
    </row>
    <row r="4582" spans="1:19" hidden="1">
      <c r="A4582" s="149" t="s">
        <v>6715</v>
      </c>
      <c r="B4582" s="150" t="str">
        <f>IFERROR(VLOOKUP(Proc[[#This Row],[App]],Table2[],3,0),"open")</f>
        <v>ok</v>
      </c>
      <c r="C4582" s="149" t="s">
        <v>369</v>
      </c>
      <c r="D4582" t="s">
        <v>6739</v>
      </c>
      <c r="E4582" t="s">
        <v>3023</v>
      </c>
      <c r="F4582" s="150" t="s">
        <v>3023</v>
      </c>
      <c r="G4582" s="149" t="s">
        <v>400</v>
      </c>
      <c r="H4582" s="150" t="str">
        <f>IF(Proc[[#This Row],[type]]="LFF (MDG-F)",MID(Proc[[#This Row],[Obj]],13,10),"")</f>
        <v/>
      </c>
      <c r="J4582" s="150" t="b">
        <f>Proc[[#This Row],[Requested]]=Proc[[#This Row],[CurrentParent]]</f>
        <v>1</v>
      </c>
      <c r="K4582" s="150" t="str">
        <f>IF(Proc[[#This Row],[Author]]="Marcela Urrego",VLOOKUP(LEFT(Proc[[#This Row],[Requested]],1),Table3[#All],2,0),VLOOKUP(Proc[[#This Row],[Author]],Table4[],2,0))</f>
        <v>MGF</v>
      </c>
      <c r="L4582" s="150" t="s">
        <v>6435</v>
      </c>
      <c r="M4582" s="165">
        <v>45961</v>
      </c>
      <c r="N4582" s="166"/>
      <c r="O4582" s="166"/>
      <c r="P4582" s="165" t="str">
        <f ca="1">IF(Proc[[#This Row],[DaysAgeing]]&gt;5,"yep","on track")</f>
        <v>yep</v>
      </c>
      <c r="Q4582" s="3">
        <f ca="1">IF(Proc[[#This Row],[DateClosed]]="",ABS(NETWORKDAYS(Proc[[#This Row],[DateOpened]],TODAY()))-1,ABS(NETWORKDAYS(Proc[[#This Row],[DateOpened]],Proc[[#This Row],[DateClosed]]))-1)</f>
        <v>35</v>
      </c>
      <c r="R4582" s="165" t="s">
        <v>515</v>
      </c>
      <c r="S4582" s="150"/>
    </row>
    <row r="4583" spans="1:19" hidden="1">
      <c r="A4583" s="149" t="s">
        <v>6715</v>
      </c>
      <c r="B4583" s="150" t="str">
        <f>IFERROR(VLOOKUP(Proc[[#This Row],[App]],Table2[],3,0),"open")</f>
        <v>ok</v>
      </c>
      <c r="C4583" s="149" t="s">
        <v>369</v>
      </c>
      <c r="D4583" t="s">
        <v>6740</v>
      </c>
      <c r="E4583" t="s">
        <v>3023</v>
      </c>
      <c r="F4583" s="149" t="s">
        <v>3023</v>
      </c>
      <c r="G4583" s="149" t="s">
        <v>406</v>
      </c>
      <c r="H4583" s="150" t="str">
        <f>IF(Proc[[#This Row],[type]]="LFF (MDG-F)",MID(Proc[[#This Row],[Obj]],13,10),"")</f>
        <v>CH01GFO000</v>
      </c>
      <c r="J4583" s="150" t="b">
        <f>Proc[[#This Row],[Requested]]=Proc[[#This Row],[CurrentParent]]</f>
        <v>1</v>
      </c>
      <c r="K4583" s="150" t="str">
        <f>IF(Proc[[#This Row],[Author]]="Marcela Urrego",VLOOKUP(LEFT(Proc[[#This Row],[Requested]],1),Table3[#All],2,0),VLOOKUP(Proc[[#This Row],[Author]],Table4[],2,0))</f>
        <v>MGF</v>
      </c>
      <c r="L4583" s="150" t="s">
        <v>6435</v>
      </c>
      <c r="M4583" s="165">
        <v>45961</v>
      </c>
      <c r="N4583" s="166"/>
      <c r="O4583" s="166"/>
      <c r="P4583" s="165" t="str">
        <f ca="1">IF(Proc[[#This Row],[DaysAgeing]]&gt;5,"yep","on track")</f>
        <v>yep</v>
      </c>
      <c r="Q4583" s="3">
        <f ca="1">IF(Proc[[#This Row],[DateClosed]]="",ABS(NETWORKDAYS(Proc[[#This Row],[DateOpened]],TODAY()))-1,ABS(NETWORKDAYS(Proc[[#This Row],[DateOpened]],Proc[[#This Row],[DateClosed]]))-1)</f>
        <v>35</v>
      </c>
      <c r="R4583" s="165" t="s">
        <v>515</v>
      </c>
      <c r="S4583" s="150"/>
    </row>
    <row r="4584" spans="1:19" hidden="1">
      <c r="A4584" s="149" t="s">
        <v>6715</v>
      </c>
      <c r="B4584" s="150" t="str">
        <f>IFERROR(VLOOKUP(Proc[[#This Row],[App]],Table2[],3,0),"open")</f>
        <v>ok</v>
      </c>
      <c r="C4584" s="149" t="s">
        <v>369</v>
      </c>
      <c r="D4584" t="s">
        <v>6741</v>
      </c>
      <c r="E4584" t="s">
        <v>3023</v>
      </c>
      <c r="F4584" s="149" t="s">
        <v>3023</v>
      </c>
      <c r="G4584" s="149" t="s">
        <v>406</v>
      </c>
      <c r="H4584" s="150" t="str">
        <f>IF(Proc[[#This Row],[type]]="LFF (MDG-F)",MID(Proc[[#This Row],[Obj]],13,10),"")</f>
        <v>CH65GM2200</v>
      </c>
      <c r="J4584" s="150" t="b">
        <f>Proc[[#This Row],[Requested]]=Proc[[#This Row],[CurrentParent]]</f>
        <v>1</v>
      </c>
      <c r="K4584" s="150" t="str">
        <f>IF(Proc[[#This Row],[Author]]="Marcela Urrego",VLOOKUP(LEFT(Proc[[#This Row],[Requested]],1),Table3[#All],2,0),VLOOKUP(Proc[[#This Row],[Author]],Table4[],2,0))</f>
        <v>MGF</v>
      </c>
      <c r="L4584" s="150" t="s">
        <v>6435</v>
      </c>
      <c r="M4584" s="165">
        <v>45961</v>
      </c>
      <c r="N4584" s="166"/>
      <c r="O4584" s="166"/>
      <c r="P4584" s="165" t="str">
        <f ca="1">IF(Proc[[#This Row],[DaysAgeing]]&gt;5,"yep","on track")</f>
        <v>yep</v>
      </c>
      <c r="Q4584" s="3">
        <f ca="1">IF(Proc[[#This Row],[DateClosed]]="",ABS(NETWORKDAYS(Proc[[#This Row],[DateOpened]],TODAY()))-1,ABS(NETWORKDAYS(Proc[[#This Row],[DateOpened]],Proc[[#This Row],[DateClosed]]))-1)</f>
        <v>35</v>
      </c>
      <c r="R4584" s="165" t="s">
        <v>515</v>
      </c>
      <c r="S4584" s="150"/>
    </row>
    <row r="4585" spans="1:19" hidden="1">
      <c r="A4585" t="s">
        <v>6748</v>
      </c>
      <c r="B4585" s="150" t="str">
        <f>IFERROR(VLOOKUP(Proc[[#This Row],[App]],Table2[],3,0),"open")</f>
        <v>ok</v>
      </c>
      <c r="C4585" s="149" t="s">
        <v>369</v>
      </c>
      <c r="D4585" t="s">
        <v>6749</v>
      </c>
      <c r="E4585" t="s">
        <v>430</v>
      </c>
      <c r="F4585" s="150" t="s">
        <v>430</v>
      </c>
      <c r="G4585" t="s">
        <v>400</v>
      </c>
      <c r="H4585" s="150" t="str">
        <f>IF(Proc[[#This Row],[type]]="LFF (MDG-F)",MID(Proc[[#This Row],[Obj]],13,10),"")</f>
        <v/>
      </c>
      <c r="J4585" s="150" t="b">
        <f>Proc[[#This Row],[Requested]]=Proc[[#This Row],[CurrentParent]]</f>
        <v>1</v>
      </c>
      <c r="K4585" s="150" t="str">
        <f>IF(Proc[[#This Row],[Author]]="Marcela Urrego",VLOOKUP(LEFT(Proc[[#This Row],[Requested]],1),Table3[#All],2,0),VLOOKUP(Proc[[#This Row],[Author]],Table4[],2,0))</f>
        <v>MGF</v>
      </c>
      <c r="L4585" s="150" t="s">
        <v>6435</v>
      </c>
      <c r="M4585" s="165">
        <v>45965</v>
      </c>
      <c r="N4585" s="166"/>
      <c r="O4585" s="166"/>
      <c r="P4585" s="165" t="str">
        <f ca="1">IF(Proc[[#This Row],[DaysAgeing]]&gt;5,"yep","on track")</f>
        <v>yep</v>
      </c>
      <c r="Q4585" s="3">
        <f ca="1">IF(Proc[[#This Row],[DateClosed]]="",ABS(NETWORKDAYS(Proc[[#This Row],[DateOpened]],TODAY()))-1,ABS(NETWORKDAYS(Proc[[#This Row],[DateOpened]],Proc[[#This Row],[DateClosed]]))-1)</f>
        <v>33</v>
      </c>
      <c r="R4585" s="165" t="s">
        <v>1459</v>
      </c>
      <c r="S4585" s="150"/>
    </row>
    <row r="4586" spans="1:19" hidden="1">
      <c r="A4586" s="149" t="s">
        <v>6748</v>
      </c>
      <c r="B4586" s="150" t="str">
        <f>IFERROR(VLOOKUP(Proc[[#This Row],[App]],Table2[],3,0),"open")</f>
        <v>ok</v>
      </c>
      <c r="C4586" s="149" t="s">
        <v>692</v>
      </c>
      <c r="D4586" t="s">
        <v>2319</v>
      </c>
      <c r="E4586" t="s">
        <v>430</v>
      </c>
      <c r="F4586" s="150" t="s">
        <v>5569</v>
      </c>
      <c r="G4586" s="149" t="s">
        <v>406</v>
      </c>
      <c r="H4586" s="150" t="str">
        <f>IF(Proc[[#This Row],[type]]="LFF (MDG-F)",MID(Proc[[#This Row],[Obj]],13,10),"")</f>
        <v>DE65GIT032</v>
      </c>
      <c r="I4586" t="s">
        <v>6780</v>
      </c>
      <c r="J4586" s="150" t="b">
        <f>Proc[[#This Row],[Requested]]=Proc[[#This Row],[CurrentParent]]</f>
        <v>0</v>
      </c>
      <c r="K4586" s="150" t="str">
        <f>IF(Proc[[#This Row],[Author]]="Marcela Urrego",VLOOKUP(LEFT(Proc[[#This Row],[Requested]],1),Table3[#All],2,0),VLOOKUP(Proc[[#This Row],[Author]],Table4[],2,0))</f>
        <v>MGF</v>
      </c>
      <c r="L4586" s="150" t="s">
        <v>6435</v>
      </c>
      <c r="M4586" s="165">
        <v>45965</v>
      </c>
      <c r="N4586" s="166"/>
      <c r="O4586" s="166"/>
      <c r="P4586" s="165" t="str">
        <f ca="1">IF(Proc[[#This Row],[DaysAgeing]]&gt;5,"yep","on track")</f>
        <v>yep</v>
      </c>
      <c r="Q4586" s="3">
        <f ca="1">IF(Proc[[#This Row],[DateClosed]]="",ABS(NETWORKDAYS(Proc[[#This Row],[DateOpened]],TODAY()))-1,ABS(NETWORKDAYS(Proc[[#This Row],[DateOpened]],Proc[[#This Row],[DateClosed]]))-1)</f>
        <v>33</v>
      </c>
      <c r="R4586" s="165" t="s">
        <v>1459</v>
      </c>
      <c r="S4586" s="150"/>
    </row>
    <row r="4587" spans="1:19" hidden="1">
      <c r="A4587" s="149" t="s">
        <v>6748</v>
      </c>
      <c r="B4587" s="150" t="str">
        <f>IFERROR(VLOOKUP(Proc[[#This Row],[App]],Table2[],3,0),"open")</f>
        <v>ok</v>
      </c>
      <c r="C4587" s="149" t="s">
        <v>369</v>
      </c>
      <c r="D4587" t="s">
        <v>6613</v>
      </c>
      <c r="E4587" t="s">
        <v>6626</v>
      </c>
      <c r="F4587" s="150" t="s">
        <v>6626</v>
      </c>
      <c r="G4587" s="149" t="s">
        <v>406</v>
      </c>
      <c r="H4587" s="150" t="str">
        <f>IF(Proc[[#This Row],[type]]="LFF (MDG-F)",MID(Proc[[#This Row],[Obj]],13,10),"")</f>
        <v>DE10GIT101</v>
      </c>
      <c r="J4587" s="150" t="b">
        <f>Proc[[#This Row],[Requested]]=Proc[[#This Row],[CurrentParent]]</f>
        <v>1</v>
      </c>
      <c r="K4587" s="150" t="str">
        <f>IF(Proc[[#This Row],[Author]]="Marcela Urrego",VLOOKUP(LEFT(Proc[[#This Row],[Requested]],1),Table3[#All],2,0),VLOOKUP(Proc[[#This Row],[Author]],Table4[],2,0))</f>
        <v>MGF</v>
      </c>
      <c r="L4587" s="150" t="s">
        <v>6435</v>
      </c>
      <c r="M4587" s="165">
        <v>45965</v>
      </c>
      <c r="N4587" s="166"/>
      <c r="O4587" s="166"/>
      <c r="P4587" s="165" t="str">
        <f ca="1">IF(Proc[[#This Row],[DaysAgeing]]&gt;5,"yep","on track")</f>
        <v>yep</v>
      </c>
      <c r="Q4587" s="3">
        <f ca="1">IF(Proc[[#This Row],[DateClosed]]="",ABS(NETWORKDAYS(Proc[[#This Row],[DateOpened]],TODAY()))-1,ABS(NETWORKDAYS(Proc[[#This Row],[DateOpened]],Proc[[#This Row],[DateClosed]]))-1)</f>
        <v>33</v>
      </c>
      <c r="R4587" s="165" t="s">
        <v>1459</v>
      </c>
      <c r="S4587" s="150"/>
    </row>
    <row r="4588" spans="1:19" hidden="1">
      <c r="A4588" s="149" t="s">
        <v>6748</v>
      </c>
      <c r="B4588" s="150" t="str">
        <f>IFERROR(VLOOKUP(Proc[[#This Row],[App]],Table2[],3,0),"open")</f>
        <v>ok</v>
      </c>
      <c r="C4588" s="149" t="s">
        <v>369</v>
      </c>
      <c r="D4588" t="s">
        <v>5437</v>
      </c>
      <c r="E4588" t="s">
        <v>6446</v>
      </c>
      <c r="F4588" s="150" t="s">
        <v>6446</v>
      </c>
      <c r="G4588" s="149" t="s">
        <v>406</v>
      </c>
      <c r="H4588" s="150" t="str">
        <f>IF(Proc[[#This Row],[type]]="LFF (MDG-F)",MID(Proc[[#This Row],[Obj]],13,10),"")</f>
        <v>DE10YIT014</v>
      </c>
      <c r="J4588" s="150" t="b">
        <f>Proc[[#This Row],[Requested]]=Proc[[#This Row],[CurrentParent]]</f>
        <v>1</v>
      </c>
      <c r="K4588" s="150" t="str">
        <f>IF(Proc[[#This Row],[Author]]="Marcela Urrego",VLOOKUP(LEFT(Proc[[#This Row],[Requested]],1),Table3[#All],2,0),VLOOKUP(Proc[[#This Row],[Author]],Table4[],2,0))</f>
        <v>MGF</v>
      </c>
      <c r="L4588" s="150" t="s">
        <v>6435</v>
      </c>
      <c r="M4588" s="165">
        <v>45965</v>
      </c>
      <c r="N4588" s="166"/>
      <c r="O4588" s="166"/>
      <c r="P4588" s="165" t="str">
        <f ca="1">IF(Proc[[#This Row],[DaysAgeing]]&gt;5,"yep","on track")</f>
        <v>yep</v>
      </c>
      <c r="Q4588" s="3">
        <f ca="1">IF(Proc[[#This Row],[DateClosed]]="",ABS(NETWORKDAYS(Proc[[#This Row],[DateOpened]],TODAY()))-1,ABS(NETWORKDAYS(Proc[[#This Row],[DateOpened]],Proc[[#This Row],[DateClosed]]))-1)</f>
        <v>33</v>
      </c>
      <c r="R4588" s="165" t="s">
        <v>1459</v>
      </c>
      <c r="S4588" s="150"/>
    </row>
    <row r="4589" spans="1:19" hidden="1">
      <c r="A4589" t="s">
        <v>6750</v>
      </c>
      <c r="B4589" s="150" t="str">
        <f>IFERROR(VLOOKUP(Proc[[#This Row],[App]],Table2[],3,0),"open")</f>
        <v>ok</v>
      </c>
      <c r="C4589" s="149" t="s">
        <v>369</v>
      </c>
      <c r="D4589" t="s">
        <v>6751</v>
      </c>
      <c r="E4589" t="s">
        <v>6776</v>
      </c>
      <c r="F4589" s="150" t="s">
        <v>6776</v>
      </c>
      <c r="G4589" s="149" t="s">
        <v>406</v>
      </c>
      <c r="H4589" s="150" t="str">
        <f>IF(Proc[[#This Row],[type]]="LFF (MDG-F)",MID(Proc[[#This Row],[Obj]],13,10),"")</f>
        <v>CN01TPAZ08</v>
      </c>
      <c r="J4589" s="150" t="b">
        <f>Proc[[#This Row],[Requested]]=Proc[[#This Row],[CurrentParent]]</f>
        <v>1</v>
      </c>
      <c r="K4589" s="150" t="str">
        <f>IF(Proc[[#This Row],[Author]]="Marcela Urrego",VLOOKUP(LEFT(Proc[[#This Row],[Requested]],1),Table3[#All],2,0),VLOOKUP(Proc[[#This Row],[Author]],Table4[],2,0))</f>
        <v>EL</v>
      </c>
      <c r="L4589" s="150" t="s">
        <v>6435</v>
      </c>
      <c r="M4589" s="165">
        <v>45965</v>
      </c>
      <c r="N4589" s="166"/>
      <c r="O4589" s="166"/>
      <c r="P4589" s="165" t="str">
        <f ca="1">IF(Proc[[#This Row],[DaysAgeing]]&gt;5,"yep","on track")</f>
        <v>yep</v>
      </c>
      <c r="Q4589" s="3">
        <f ca="1">IF(Proc[[#This Row],[DateClosed]]="",ABS(NETWORKDAYS(Proc[[#This Row],[DateOpened]],TODAY()))-1,ABS(NETWORKDAYS(Proc[[#This Row],[DateOpened]],Proc[[#This Row],[DateClosed]]))-1)</f>
        <v>33</v>
      </c>
      <c r="R4589" s="165" t="s">
        <v>5709</v>
      </c>
      <c r="S4589" s="150"/>
    </row>
    <row r="4590" spans="1:19" hidden="1">
      <c r="A4590" s="149" t="s">
        <v>6750</v>
      </c>
      <c r="B4590" s="150" t="str">
        <f>IFERROR(VLOOKUP(Proc[[#This Row],[App]],Table2[],3,0),"open")</f>
        <v>ok</v>
      </c>
      <c r="C4590" s="149" t="s">
        <v>369</v>
      </c>
      <c r="D4590" t="s">
        <v>6752</v>
      </c>
      <c r="E4590" t="s">
        <v>6776</v>
      </c>
      <c r="F4590" s="150" t="s">
        <v>6776</v>
      </c>
      <c r="G4590" s="149" t="s">
        <v>406</v>
      </c>
      <c r="H4590" s="150" t="str">
        <f>IF(Proc[[#This Row],[type]]="LFF (MDG-F)",MID(Proc[[#This Row],[Obj]],13,10),"")</f>
        <v>CN01OF0161</v>
      </c>
      <c r="I4590" s="149"/>
      <c r="J4590" s="150" t="b">
        <f>Proc[[#This Row],[Requested]]=Proc[[#This Row],[CurrentParent]]</f>
        <v>1</v>
      </c>
      <c r="K4590" s="150" t="str">
        <f>IF(Proc[[#This Row],[Author]]="Marcela Urrego",VLOOKUP(LEFT(Proc[[#This Row],[Requested]],1),Table3[#All],2,0),VLOOKUP(Proc[[#This Row],[Author]],Table4[],2,0))</f>
        <v>EL</v>
      </c>
      <c r="L4590" s="150" t="s">
        <v>6435</v>
      </c>
      <c r="M4590" s="165">
        <v>45965</v>
      </c>
      <c r="N4590" s="166"/>
      <c r="O4590" s="166"/>
      <c r="P4590" s="165" t="str">
        <f ca="1">IF(Proc[[#This Row],[DaysAgeing]]&gt;5,"yep","on track")</f>
        <v>yep</v>
      </c>
      <c r="Q4590" s="3">
        <f ca="1">IF(Proc[[#This Row],[DateClosed]]="",ABS(NETWORKDAYS(Proc[[#This Row],[DateOpened]],TODAY()))-1,ABS(NETWORKDAYS(Proc[[#This Row],[DateOpened]],Proc[[#This Row],[DateClosed]]))-1)</f>
        <v>33</v>
      </c>
      <c r="R4590" s="165" t="s">
        <v>5709</v>
      </c>
      <c r="S4590" s="150"/>
    </row>
    <row r="4591" spans="1:19" hidden="1">
      <c r="A4591" s="149" t="s">
        <v>6750</v>
      </c>
      <c r="B4591" s="150" t="str">
        <f>IFERROR(VLOOKUP(Proc[[#This Row],[App]],Table2[],3,0),"open")</f>
        <v>ok</v>
      </c>
      <c r="C4591" s="149" t="s">
        <v>369</v>
      </c>
      <c r="D4591" t="s">
        <v>6753</v>
      </c>
      <c r="E4591" t="s">
        <v>6776</v>
      </c>
      <c r="F4591" s="150" t="s">
        <v>6776</v>
      </c>
      <c r="G4591" s="149" t="s">
        <v>406</v>
      </c>
      <c r="H4591" s="150" t="str">
        <f>IF(Proc[[#This Row],[type]]="LFF (MDG-F)",MID(Proc[[#This Row],[Obj]],13,10),"")</f>
        <v>CN01TPAZ06</v>
      </c>
      <c r="I4591" s="149"/>
      <c r="J4591" s="150" t="b">
        <f>Proc[[#This Row],[Requested]]=Proc[[#This Row],[CurrentParent]]</f>
        <v>1</v>
      </c>
      <c r="K4591" s="150" t="str">
        <f>IF(Proc[[#This Row],[Author]]="Marcela Urrego",VLOOKUP(LEFT(Proc[[#This Row],[Requested]],1),Table3[#All],2,0),VLOOKUP(Proc[[#This Row],[Author]],Table4[],2,0))</f>
        <v>EL</v>
      </c>
      <c r="L4591" s="150" t="s">
        <v>6435</v>
      </c>
      <c r="M4591" s="165">
        <v>45965</v>
      </c>
      <c r="N4591" s="166"/>
      <c r="O4591" s="166"/>
      <c r="P4591" s="165" t="str">
        <f ca="1">IF(Proc[[#This Row],[DaysAgeing]]&gt;5,"yep","on track")</f>
        <v>yep</v>
      </c>
      <c r="Q4591" s="3">
        <f ca="1">IF(Proc[[#This Row],[DateClosed]]="",ABS(NETWORKDAYS(Proc[[#This Row],[DateOpened]],TODAY()))-1,ABS(NETWORKDAYS(Proc[[#This Row],[DateOpened]],Proc[[#This Row],[DateClosed]]))-1)</f>
        <v>33</v>
      </c>
      <c r="R4591" s="165" t="s">
        <v>5709</v>
      </c>
      <c r="S4591" s="150"/>
    </row>
    <row r="4592" spans="1:19" hidden="1">
      <c r="A4592" s="149" t="s">
        <v>6750</v>
      </c>
      <c r="B4592" s="150" t="str">
        <f>IFERROR(VLOOKUP(Proc[[#This Row],[App]],Table2[],3,0),"open")</f>
        <v>ok</v>
      </c>
      <c r="C4592" s="149" t="s">
        <v>369</v>
      </c>
      <c r="D4592" t="s">
        <v>6754</v>
      </c>
      <c r="E4592" t="s">
        <v>6776</v>
      </c>
      <c r="F4592" s="150" t="s">
        <v>6776</v>
      </c>
      <c r="G4592" s="149" t="s">
        <v>406</v>
      </c>
      <c r="H4592" s="150" t="str">
        <f>IF(Proc[[#This Row],[type]]="LFF (MDG-F)",MID(Proc[[#This Row],[Obj]],13,10),"")</f>
        <v>CN02TPZZ05</v>
      </c>
      <c r="I4592" s="149"/>
      <c r="J4592" s="150" t="b">
        <f>Proc[[#This Row],[Requested]]=Proc[[#This Row],[CurrentParent]]</f>
        <v>1</v>
      </c>
      <c r="K4592" s="150" t="str">
        <f>IF(Proc[[#This Row],[Author]]="Marcela Urrego",VLOOKUP(LEFT(Proc[[#This Row],[Requested]],1),Table3[#All],2,0),VLOOKUP(Proc[[#This Row],[Author]],Table4[],2,0))</f>
        <v>EL</v>
      </c>
      <c r="L4592" s="150" t="s">
        <v>6435</v>
      </c>
      <c r="M4592" s="165">
        <v>45965</v>
      </c>
      <c r="N4592" s="166"/>
      <c r="O4592" s="166"/>
      <c r="P4592" s="165" t="str">
        <f ca="1">IF(Proc[[#This Row],[DaysAgeing]]&gt;5,"yep","on track")</f>
        <v>yep</v>
      </c>
      <c r="Q4592" s="3">
        <f ca="1">IF(Proc[[#This Row],[DateClosed]]="",ABS(NETWORKDAYS(Proc[[#This Row],[DateOpened]],TODAY()))-1,ABS(NETWORKDAYS(Proc[[#This Row],[DateOpened]],Proc[[#This Row],[DateClosed]]))-1)</f>
        <v>33</v>
      </c>
      <c r="R4592" s="165" t="s">
        <v>5709</v>
      </c>
      <c r="S4592" s="150"/>
    </row>
    <row r="4593" spans="1:19" hidden="1">
      <c r="A4593" s="149" t="s">
        <v>6750</v>
      </c>
      <c r="B4593" s="150" t="str">
        <f>IFERROR(VLOOKUP(Proc[[#This Row],[App]],Table2[],3,0),"open")</f>
        <v>ok</v>
      </c>
      <c r="C4593" s="149" t="s">
        <v>369</v>
      </c>
      <c r="D4593" t="s">
        <v>6755</v>
      </c>
      <c r="E4593" t="s">
        <v>6776</v>
      </c>
      <c r="F4593" s="150" t="s">
        <v>6776</v>
      </c>
      <c r="G4593" s="149" t="s">
        <v>406</v>
      </c>
      <c r="H4593" s="150" t="str">
        <f>IF(Proc[[#This Row],[type]]="LFF (MDG-F)",MID(Proc[[#This Row],[Obj]],13,10),"")</f>
        <v>CN02TPZZ08</v>
      </c>
      <c r="I4593" s="149"/>
      <c r="J4593" s="150" t="b">
        <f>Proc[[#This Row],[Requested]]=Proc[[#This Row],[CurrentParent]]</f>
        <v>1</v>
      </c>
      <c r="K4593" s="150" t="str">
        <f>IF(Proc[[#This Row],[Author]]="Marcela Urrego",VLOOKUP(LEFT(Proc[[#This Row],[Requested]],1),Table3[#All],2,0),VLOOKUP(Proc[[#This Row],[Author]],Table4[],2,0))</f>
        <v>EL</v>
      </c>
      <c r="L4593" s="150" t="s">
        <v>6435</v>
      </c>
      <c r="M4593" s="165">
        <v>45965</v>
      </c>
      <c r="N4593" s="166"/>
      <c r="O4593" s="166"/>
      <c r="P4593" s="165" t="str">
        <f ca="1">IF(Proc[[#This Row],[DaysAgeing]]&gt;5,"yep","on track")</f>
        <v>yep</v>
      </c>
      <c r="Q4593" s="3">
        <f ca="1">IF(Proc[[#This Row],[DateClosed]]="",ABS(NETWORKDAYS(Proc[[#This Row],[DateOpened]],TODAY()))-1,ABS(NETWORKDAYS(Proc[[#This Row],[DateOpened]],Proc[[#This Row],[DateClosed]]))-1)</f>
        <v>33</v>
      </c>
      <c r="R4593" s="165" t="s">
        <v>5709</v>
      </c>
      <c r="S4593" s="150"/>
    </row>
    <row r="4594" spans="1:19" hidden="1">
      <c r="A4594" s="149" t="s">
        <v>6750</v>
      </c>
      <c r="B4594" s="150" t="str">
        <f>IFERROR(VLOOKUP(Proc[[#This Row],[App]],Table2[],3,0),"open")</f>
        <v>ok</v>
      </c>
      <c r="C4594" s="149" t="s">
        <v>369</v>
      </c>
      <c r="D4594" t="s">
        <v>6756</v>
      </c>
      <c r="E4594" t="s">
        <v>6776</v>
      </c>
      <c r="F4594" s="150" t="s">
        <v>6776</v>
      </c>
      <c r="G4594" s="149" t="s">
        <v>406</v>
      </c>
      <c r="H4594" s="150" t="str">
        <f>IF(Proc[[#This Row],[type]]="LFF (MDG-F)",MID(Proc[[#This Row],[Obj]],13,10),"")</f>
        <v>CN03TPZZ01</v>
      </c>
      <c r="I4594" s="149"/>
      <c r="J4594" s="150" t="b">
        <f>Proc[[#This Row],[Requested]]=Proc[[#This Row],[CurrentParent]]</f>
        <v>1</v>
      </c>
      <c r="K4594" s="150" t="str">
        <f>IF(Proc[[#This Row],[Author]]="Marcela Urrego",VLOOKUP(LEFT(Proc[[#This Row],[Requested]],1),Table3[#All],2,0),VLOOKUP(Proc[[#This Row],[Author]],Table4[],2,0))</f>
        <v>EL</v>
      </c>
      <c r="L4594" s="150" t="s">
        <v>6435</v>
      </c>
      <c r="M4594" s="165">
        <v>45965</v>
      </c>
      <c r="N4594" s="166"/>
      <c r="O4594" s="166"/>
      <c r="P4594" s="165" t="str">
        <f ca="1">IF(Proc[[#This Row],[DaysAgeing]]&gt;5,"yep","on track")</f>
        <v>yep</v>
      </c>
      <c r="Q4594" s="3">
        <f ca="1">IF(Proc[[#This Row],[DateClosed]]="",ABS(NETWORKDAYS(Proc[[#This Row],[DateOpened]],TODAY()))-1,ABS(NETWORKDAYS(Proc[[#This Row],[DateOpened]],Proc[[#This Row],[DateClosed]]))-1)</f>
        <v>33</v>
      </c>
      <c r="R4594" s="165" t="s">
        <v>5709</v>
      </c>
      <c r="S4594" s="150"/>
    </row>
    <row r="4595" spans="1:19" hidden="1">
      <c r="A4595" s="149" t="s">
        <v>6750</v>
      </c>
      <c r="B4595" s="150" t="str">
        <f>IFERROR(VLOOKUP(Proc[[#This Row],[App]],Table2[],3,0),"open")</f>
        <v>ok</v>
      </c>
      <c r="C4595" s="149" t="s">
        <v>369</v>
      </c>
      <c r="D4595" t="s">
        <v>6757</v>
      </c>
      <c r="E4595" t="s">
        <v>6776</v>
      </c>
      <c r="F4595" s="150" t="s">
        <v>6776</v>
      </c>
      <c r="G4595" s="149" t="s">
        <v>406</v>
      </c>
      <c r="H4595" s="150" t="str">
        <f>IF(Proc[[#This Row],[type]]="LFF (MDG-F)",MID(Proc[[#This Row],[Obj]],13,10),"")</f>
        <v>CN03TPZZ03</v>
      </c>
      <c r="I4595" s="149"/>
      <c r="J4595" s="150" t="b">
        <f>Proc[[#This Row],[Requested]]=Proc[[#This Row],[CurrentParent]]</f>
        <v>1</v>
      </c>
      <c r="K4595" s="150" t="str">
        <f>IF(Proc[[#This Row],[Author]]="Marcela Urrego",VLOOKUP(LEFT(Proc[[#This Row],[Requested]],1),Table3[#All],2,0),VLOOKUP(Proc[[#This Row],[Author]],Table4[],2,0))</f>
        <v>EL</v>
      </c>
      <c r="L4595" s="150" t="s">
        <v>6435</v>
      </c>
      <c r="M4595" s="165">
        <v>45965</v>
      </c>
      <c r="N4595" s="166"/>
      <c r="O4595" s="166"/>
      <c r="P4595" s="165" t="str">
        <f ca="1">IF(Proc[[#This Row],[DaysAgeing]]&gt;5,"yep","on track")</f>
        <v>yep</v>
      </c>
      <c r="Q4595" s="3">
        <f ca="1">IF(Proc[[#This Row],[DateClosed]]="",ABS(NETWORKDAYS(Proc[[#This Row],[DateOpened]],TODAY()))-1,ABS(NETWORKDAYS(Proc[[#This Row],[DateOpened]],Proc[[#This Row],[DateClosed]]))-1)</f>
        <v>33</v>
      </c>
      <c r="R4595" s="165" t="s">
        <v>5709</v>
      </c>
      <c r="S4595" s="150"/>
    </row>
    <row r="4596" spans="1:19" hidden="1">
      <c r="A4596" s="149" t="s">
        <v>6750</v>
      </c>
      <c r="B4596" s="150" t="str">
        <f>IFERROR(VLOOKUP(Proc[[#This Row],[App]],Table2[],3,0),"open")</f>
        <v>ok</v>
      </c>
      <c r="C4596" s="149" t="s">
        <v>369</v>
      </c>
      <c r="D4596" t="s">
        <v>6758</v>
      </c>
      <c r="E4596" t="s">
        <v>6776</v>
      </c>
      <c r="F4596" s="150" t="s">
        <v>6776</v>
      </c>
      <c r="G4596" s="149" t="s">
        <v>406</v>
      </c>
      <c r="H4596" s="150" t="str">
        <f>IF(Proc[[#This Row],[type]]="LFF (MDG-F)",MID(Proc[[#This Row],[Obj]],13,10),"")</f>
        <v>CN02TPZZ02</v>
      </c>
      <c r="I4596" s="149"/>
      <c r="J4596" s="150" t="b">
        <f>Proc[[#This Row],[Requested]]=Proc[[#This Row],[CurrentParent]]</f>
        <v>1</v>
      </c>
      <c r="K4596" s="150" t="str">
        <f>IF(Proc[[#This Row],[Author]]="Marcela Urrego",VLOOKUP(LEFT(Proc[[#This Row],[Requested]],1),Table3[#All],2,0),VLOOKUP(Proc[[#This Row],[Author]],Table4[],2,0))</f>
        <v>EL</v>
      </c>
      <c r="L4596" s="150" t="s">
        <v>6435</v>
      </c>
      <c r="M4596" s="165">
        <v>45965</v>
      </c>
      <c r="N4596" s="166"/>
      <c r="O4596" s="166"/>
      <c r="P4596" s="165" t="str">
        <f ca="1">IF(Proc[[#This Row],[DaysAgeing]]&gt;5,"yep","on track")</f>
        <v>yep</v>
      </c>
      <c r="Q4596" s="3">
        <f ca="1">IF(Proc[[#This Row],[DateClosed]]="",ABS(NETWORKDAYS(Proc[[#This Row],[DateOpened]],TODAY()))-1,ABS(NETWORKDAYS(Proc[[#This Row],[DateOpened]],Proc[[#This Row],[DateClosed]]))-1)</f>
        <v>33</v>
      </c>
      <c r="R4596" s="165" t="s">
        <v>5709</v>
      </c>
      <c r="S4596" s="150"/>
    </row>
    <row r="4597" spans="1:19" hidden="1">
      <c r="A4597" s="149" t="s">
        <v>6750</v>
      </c>
      <c r="B4597" s="150" t="str">
        <f>IFERROR(VLOOKUP(Proc[[#This Row],[App]],Table2[],3,0),"open")</f>
        <v>ok</v>
      </c>
      <c r="C4597" s="149" t="s">
        <v>369</v>
      </c>
      <c r="D4597" t="s">
        <v>6759</v>
      </c>
      <c r="E4597" t="s">
        <v>6776</v>
      </c>
      <c r="F4597" s="150" t="s">
        <v>6776</v>
      </c>
      <c r="G4597" s="149" t="s">
        <v>406</v>
      </c>
      <c r="H4597" s="150" t="str">
        <f>IF(Proc[[#This Row],[type]]="LFF (MDG-F)",MID(Proc[[#This Row],[Obj]],13,10),"")</f>
        <v>CN02TQ1001</v>
      </c>
      <c r="I4597" s="149"/>
      <c r="J4597" s="150" t="b">
        <f>Proc[[#This Row],[Requested]]=Proc[[#This Row],[CurrentParent]]</f>
        <v>1</v>
      </c>
      <c r="K4597" s="150" t="str">
        <f>IF(Proc[[#This Row],[Author]]="Marcela Urrego",VLOOKUP(LEFT(Proc[[#This Row],[Requested]],1),Table3[#All],2,0),VLOOKUP(Proc[[#This Row],[Author]],Table4[],2,0))</f>
        <v>EL</v>
      </c>
      <c r="L4597" s="150" t="s">
        <v>6435</v>
      </c>
      <c r="M4597" s="165">
        <v>45965</v>
      </c>
      <c r="N4597" s="166"/>
      <c r="O4597" s="166"/>
      <c r="P4597" s="165" t="str">
        <f ca="1">IF(Proc[[#This Row],[DaysAgeing]]&gt;5,"yep","on track")</f>
        <v>yep</v>
      </c>
      <c r="Q4597" s="3">
        <f ca="1">IF(Proc[[#This Row],[DateClosed]]="",ABS(NETWORKDAYS(Proc[[#This Row],[DateOpened]],TODAY()))-1,ABS(NETWORKDAYS(Proc[[#This Row],[DateOpened]],Proc[[#This Row],[DateClosed]]))-1)</f>
        <v>33</v>
      </c>
      <c r="R4597" s="165" t="s">
        <v>5709</v>
      </c>
      <c r="S4597" s="150"/>
    </row>
    <row r="4598" spans="1:19" hidden="1">
      <c r="A4598" s="149" t="s">
        <v>6750</v>
      </c>
      <c r="B4598" s="150" t="str">
        <f>IFERROR(VLOOKUP(Proc[[#This Row],[App]],Table2[],3,0),"open")</f>
        <v>ok</v>
      </c>
      <c r="C4598" s="149" t="s">
        <v>369</v>
      </c>
      <c r="D4598" t="s">
        <v>6760</v>
      </c>
      <c r="E4598" t="s">
        <v>6776</v>
      </c>
      <c r="F4598" s="150" t="s">
        <v>6776</v>
      </c>
      <c r="G4598" s="149" t="s">
        <v>406</v>
      </c>
      <c r="H4598" s="150" t="str">
        <f>IF(Proc[[#This Row],[type]]="LFF (MDG-F)",MID(Proc[[#This Row],[Obj]],13,10),"")</f>
        <v>CN02TQ1002</v>
      </c>
      <c r="I4598" s="149"/>
      <c r="J4598" s="150" t="b">
        <f>Proc[[#This Row],[Requested]]=Proc[[#This Row],[CurrentParent]]</f>
        <v>1</v>
      </c>
      <c r="K4598" s="150" t="str">
        <f>IF(Proc[[#This Row],[Author]]="Marcela Urrego",VLOOKUP(LEFT(Proc[[#This Row],[Requested]],1),Table3[#All],2,0),VLOOKUP(Proc[[#This Row],[Author]],Table4[],2,0))</f>
        <v>EL</v>
      </c>
      <c r="L4598" s="150" t="s">
        <v>6435</v>
      </c>
      <c r="M4598" s="165">
        <v>45965</v>
      </c>
      <c r="N4598" s="166"/>
      <c r="O4598" s="166"/>
      <c r="P4598" s="165" t="str">
        <f ca="1">IF(Proc[[#This Row],[DaysAgeing]]&gt;5,"yep","on track")</f>
        <v>yep</v>
      </c>
      <c r="Q4598" s="3">
        <f ca="1">IF(Proc[[#This Row],[DateClosed]]="",ABS(NETWORKDAYS(Proc[[#This Row],[DateOpened]],TODAY()))-1,ABS(NETWORKDAYS(Proc[[#This Row],[DateOpened]],Proc[[#This Row],[DateClosed]]))-1)</f>
        <v>33</v>
      </c>
      <c r="R4598" s="165" t="s">
        <v>5709</v>
      </c>
      <c r="S4598" s="150"/>
    </row>
    <row r="4599" spans="1:19" hidden="1">
      <c r="A4599" s="149" t="s">
        <v>6750</v>
      </c>
      <c r="B4599" s="150" t="str">
        <f>IFERROR(VLOOKUP(Proc[[#This Row],[App]],Table2[],3,0),"open")</f>
        <v>ok</v>
      </c>
      <c r="C4599" s="149" t="s">
        <v>369</v>
      </c>
      <c r="D4599" t="s">
        <v>6761</v>
      </c>
      <c r="E4599" t="s">
        <v>6776</v>
      </c>
      <c r="F4599" s="150" t="s">
        <v>6776</v>
      </c>
      <c r="G4599" s="149" t="s">
        <v>406</v>
      </c>
      <c r="H4599" s="150" t="str">
        <f>IF(Proc[[#This Row],[type]]="LFF (MDG-F)",MID(Proc[[#This Row],[Obj]],13,10),"")</f>
        <v>CN02TQ1003</v>
      </c>
      <c r="I4599" s="149"/>
      <c r="J4599" s="150" t="b">
        <f>Proc[[#This Row],[Requested]]=Proc[[#This Row],[CurrentParent]]</f>
        <v>1</v>
      </c>
      <c r="K4599" s="150" t="str">
        <f>IF(Proc[[#This Row],[Author]]="Marcela Urrego",VLOOKUP(LEFT(Proc[[#This Row],[Requested]],1),Table3[#All],2,0),VLOOKUP(Proc[[#This Row],[Author]],Table4[],2,0))</f>
        <v>EL</v>
      </c>
      <c r="L4599" s="150" t="s">
        <v>6435</v>
      </c>
      <c r="M4599" s="165">
        <v>45965</v>
      </c>
      <c r="N4599" s="166"/>
      <c r="O4599" s="166"/>
      <c r="P4599" s="165" t="str">
        <f ca="1">IF(Proc[[#This Row],[DaysAgeing]]&gt;5,"yep","on track")</f>
        <v>yep</v>
      </c>
      <c r="Q4599" s="3">
        <f ca="1">IF(Proc[[#This Row],[DateClosed]]="",ABS(NETWORKDAYS(Proc[[#This Row],[DateOpened]],TODAY()))-1,ABS(NETWORKDAYS(Proc[[#This Row],[DateOpened]],Proc[[#This Row],[DateClosed]]))-1)</f>
        <v>33</v>
      </c>
      <c r="R4599" s="165" t="s">
        <v>5709</v>
      </c>
      <c r="S4599" s="150"/>
    </row>
    <row r="4600" spans="1:19" hidden="1">
      <c r="A4600" s="149" t="s">
        <v>6750</v>
      </c>
      <c r="B4600" s="150" t="str">
        <f>IFERROR(VLOOKUP(Proc[[#This Row],[App]],Table2[],3,0),"open")</f>
        <v>ok</v>
      </c>
      <c r="C4600" s="149" t="s">
        <v>369</v>
      </c>
      <c r="D4600" t="s">
        <v>6762</v>
      </c>
      <c r="E4600" t="s">
        <v>6776</v>
      </c>
      <c r="F4600" s="150" t="s">
        <v>6776</v>
      </c>
      <c r="G4600" s="149" t="s">
        <v>406</v>
      </c>
      <c r="H4600" s="150" t="str">
        <f>IF(Proc[[#This Row],[type]]="LFF (MDG-F)",MID(Proc[[#This Row],[Obj]],13,10),"")</f>
        <v>CN03TPZZ02</v>
      </c>
      <c r="I4600" s="149"/>
      <c r="J4600" s="150" t="b">
        <f>Proc[[#This Row],[Requested]]=Proc[[#This Row],[CurrentParent]]</f>
        <v>1</v>
      </c>
      <c r="K4600" s="150" t="str">
        <f>IF(Proc[[#This Row],[Author]]="Marcela Urrego",VLOOKUP(LEFT(Proc[[#This Row],[Requested]],1),Table3[#All],2,0),VLOOKUP(Proc[[#This Row],[Author]],Table4[],2,0))</f>
        <v>EL</v>
      </c>
      <c r="L4600" s="150" t="s">
        <v>6435</v>
      </c>
      <c r="M4600" s="165">
        <v>45965</v>
      </c>
      <c r="N4600" s="166"/>
      <c r="O4600" s="166"/>
      <c r="P4600" s="165" t="str">
        <f ca="1">IF(Proc[[#This Row],[DaysAgeing]]&gt;5,"yep","on track")</f>
        <v>yep</v>
      </c>
      <c r="Q4600" s="3">
        <f ca="1">IF(Proc[[#This Row],[DateClosed]]="",ABS(NETWORKDAYS(Proc[[#This Row],[DateOpened]],TODAY()))-1,ABS(NETWORKDAYS(Proc[[#This Row],[DateOpened]],Proc[[#This Row],[DateClosed]]))-1)</f>
        <v>33</v>
      </c>
      <c r="R4600" s="165" t="s">
        <v>5709</v>
      </c>
      <c r="S4600" s="150"/>
    </row>
    <row r="4601" spans="1:19" hidden="1">
      <c r="A4601" s="149" t="s">
        <v>6750</v>
      </c>
      <c r="B4601" s="150" t="str">
        <f>IFERROR(VLOOKUP(Proc[[#This Row],[App]],Table2[],3,0),"open")</f>
        <v>ok</v>
      </c>
      <c r="C4601" s="149" t="s">
        <v>369</v>
      </c>
      <c r="D4601" t="s">
        <v>6763</v>
      </c>
      <c r="E4601" t="s">
        <v>6776</v>
      </c>
      <c r="F4601" s="150" t="s">
        <v>6776</v>
      </c>
      <c r="G4601" s="149" t="s">
        <v>406</v>
      </c>
      <c r="H4601" s="150" t="str">
        <f>IF(Proc[[#This Row],[type]]="LFF (MDG-F)",MID(Proc[[#This Row],[Obj]],13,10),"")</f>
        <v>CN10DB1001</v>
      </c>
      <c r="I4601" s="149"/>
      <c r="J4601" s="150" t="b">
        <f>Proc[[#This Row],[Requested]]=Proc[[#This Row],[CurrentParent]]</f>
        <v>1</v>
      </c>
      <c r="K4601" s="150" t="str">
        <f>IF(Proc[[#This Row],[Author]]="Marcela Urrego",VLOOKUP(LEFT(Proc[[#This Row],[Requested]],1),Table3[#All],2,0),VLOOKUP(Proc[[#This Row],[Author]],Table4[],2,0))</f>
        <v>EL</v>
      </c>
      <c r="L4601" s="150" t="s">
        <v>6435</v>
      </c>
      <c r="M4601" s="165">
        <v>45965</v>
      </c>
      <c r="N4601" s="166"/>
      <c r="O4601" s="166"/>
      <c r="P4601" s="165" t="str">
        <f ca="1">IF(Proc[[#This Row],[DaysAgeing]]&gt;5,"yep","on track")</f>
        <v>yep</v>
      </c>
      <c r="Q4601" s="3">
        <f ca="1">IF(Proc[[#This Row],[DateClosed]]="",ABS(NETWORKDAYS(Proc[[#This Row],[DateOpened]],TODAY()))-1,ABS(NETWORKDAYS(Proc[[#This Row],[DateOpened]],Proc[[#This Row],[DateClosed]]))-1)</f>
        <v>33</v>
      </c>
      <c r="R4601" s="165" t="s">
        <v>5709</v>
      </c>
      <c r="S4601" s="150"/>
    </row>
    <row r="4602" spans="1:19" hidden="1">
      <c r="A4602" s="149" t="s">
        <v>6750</v>
      </c>
      <c r="B4602" s="150" t="str">
        <f>IFERROR(VLOOKUP(Proc[[#This Row],[App]],Table2[],3,0),"open")</f>
        <v>ok</v>
      </c>
      <c r="C4602" s="149" t="s">
        <v>369</v>
      </c>
      <c r="D4602" t="s">
        <v>6764</v>
      </c>
      <c r="E4602" t="s">
        <v>6776</v>
      </c>
      <c r="F4602" s="150" t="s">
        <v>6776</v>
      </c>
      <c r="G4602" s="149" t="s">
        <v>406</v>
      </c>
      <c r="H4602" s="150" t="str">
        <f>IF(Proc[[#This Row],[type]]="LFF (MDG-F)",MID(Proc[[#This Row],[Obj]],13,10),"")</f>
        <v>CN10DB1002</v>
      </c>
      <c r="I4602" s="149"/>
      <c r="J4602" s="150" t="b">
        <f>Proc[[#This Row],[Requested]]=Proc[[#This Row],[CurrentParent]]</f>
        <v>1</v>
      </c>
      <c r="K4602" s="150" t="str">
        <f>IF(Proc[[#This Row],[Author]]="Marcela Urrego",VLOOKUP(LEFT(Proc[[#This Row],[Requested]],1),Table3[#All],2,0),VLOOKUP(Proc[[#This Row],[Author]],Table4[],2,0))</f>
        <v>EL</v>
      </c>
      <c r="L4602" s="150" t="s">
        <v>6435</v>
      </c>
      <c r="M4602" s="165">
        <v>45965</v>
      </c>
      <c r="N4602" s="166"/>
      <c r="O4602" s="166"/>
      <c r="P4602" s="165" t="str">
        <f ca="1">IF(Proc[[#This Row],[DaysAgeing]]&gt;5,"yep","on track")</f>
        <v>yep</v>
      </c>
      <c r="Q4602" s="3">
        <f ca="1">IF(Proc[[#This Row],[DateClosed]]="",ABS(NETWORKDAYS(Proc[[#This Row],[DateOpened]],TODAY()))-1,ABS(NETWORKDAYS(Proc[[#This Row],[DateOpened]],Proc[[#This Row],[DateClosed]]))-1)</f>
        <v>33</v>
      </c>
      <c r="R4602" s="165" t="s">
        <v>5709</v>
      </c>
      <c r="S4602" s="150"/>
    </row>
    <row r="4603" spans="1:19" hidden="1">
      <c r="A4603" s="149" t="s">
        <v>6750</v>
      </c>
      <c r="B4603" s="150" t="str">
        <f>IFERROR(VLOOKUP(Proc[[#This Row],[App]],Table2[],3,0),"open")</f>
        <v>ok</v>
      </c>
      <c r="C4603" s="149" t="s">
        <v>369</v>
      </c>
      <c r="D4603" t="s">
        <v>6765</v>
      </c>
      <c r="E4603" t="s">
        <v>6776</v>
      </c>
      <c r="F4603" s="150" t="s">
        <v>6776</v>
      </c>
      <c r="G4603" s="149" t="s">
        <v>406</v>
      </c>
      <c r="H4603" s="150" t="str">
        <f>IF(Proc[[#This Row],[type]]="LFF (MDG-F)",MID(Proc[[#This Row],[Obj]],13,10),"")</f>
        <v>CN10DB1004</v>
      </c>
      <c r="I4603" s="149"/>
      <c r="J4603" s="150" t="b">
        <f>Proc[[#This Row],[Requested]]=Proc[[#This Row],[CurrentParent]]</f>
        <v>1</v>
      </c>
      <c r="K4603" s="150" t="str">
        <f>IF(Proc[[#This Row],[Author]]="Marcela Urrego",VLOOKUP(LEFT(Proc[[#This Row],[Requested]],1),Table3[#All],2,0),VLOOKUP(Proc[[#This Row],[Author]],Table4[],2,0))</f>
        <v>EL</v>
      </c>
      <c r="L4603" s="150" t="s">
        <v>6435</v>
      </c>
      <c r="M4603" s="165">
        <v>45965</v>
      </c>
      <c r="N4603" s="166"/>
      <c r="O4603" s="166"/>
      <c r="P4603" s="165" t="str">
        <f ca="1">IF(Proc[[#This Row],[DaysAgeing]]&gt;5,"yep","on track")</f>
        <v>yep</v>
      </c>
      <c r="Q4603" s="3">
        <f ca="1">IF(Proc[[#This Row],[DateClosed]]="",ABS(NETWORKDAYS(Proc[[#This Row],[DateOpened]],TODAY()))-1,ABS(NETWORKDAYS(Proc[[#This Row],[DateOpened]],Proc[[#This Row],[DateClosed]]))-1)</f>
        <v>33</v>
      </c>
      <c r="R4603" s="165" t="s">
        <v>5709</v>
      </c>
      <c r="S4603" s="150"/>
    </row>
    <row r="4604" spans="1:19" hidden="1">
      <c r="A4604" s="149" t="s">
        <v>6750</v>
      </c>
      <c r="B4604" s="150" t="str">
        <f>IFERROR(VLOOKUP(Proc[[#This Row],[App]],Table2[],3,0),"open")</f>
        <v>ok</v>
      </c>
      <c r="C4604" s="149" t="s">
        <v>369</v>
      </c>
      <c r="D4604" t="s">
        <v>6766</v>
      </c>
      <c r="E4604" t="s">
        <v>6776</v>
      </c>
      <c r="F4604" s="150" t="s">
        <v>6776</v>
      </c>
      <c r="G4604" s="149" t="s">
        <v>406</v>
      </c>
      <c r="H4604" s="150" t="str">
        <f>IF(Proc[[#This Row],[type]]="LFF (MDG-F)",MID(Proc[[#This Row],[Obj]],13,10),"")</f>
        <v>CN09DB3303</v>
      </c>
      <c r="I4604" s="149"/>
      <c r="J4604" s="150" t="b">
        <f>Proc[[#This Row],[Requested]]=Proc[[#This Row],[CurrentParent]]</f>
        <v>1</v>
      </c>
      <c r="K4604" s="150" t="str">
        <f>IF(Proc[[#This Row],[Author]]="Marcela Urrego",VLOOKUP(LEFT(Proc[[#This Row],[Requested]],1),Table3[#All],2,0),VLOOKUP(Proc[[#This Row],[Author]],Table4[],2,0))</f>
        <v>EL</v>
      </c>
      <c r="L4604" s="150" t="s">
        <v>6435</v>
      </c>
      <c r="M4604" s="165">
        <v>45965</v>
      </c>
      <c r="N4604" s="166"/>
      <c r="O4604" s="166"/>
      <c r="P4604" s="165" t="str">
        <f ca="1">IF(Proc[[#This Row],[DaysAgeing]]&gt;5,"yep","on track")</f>
        <v>yep</v>
      </c>
      <c r="Q4604" s="3">
        <f ca="1">IF(Proc[[#This Row],[DateClosed]]="",ABS(NETWORKDAYS(Proc[[#This Row],[DateOpened]],TODAY()))-1,ABS(NETWORKDAYS(Proc[[#This Row],[DateOpened]],Proc[[#This Row],[DateClosed]]))-1)</f>
        <v>33</v>
      </c>
      <c r="R4604" s="165" t="s">
        <v>5709</v>
      </c>
      <c r="S4604" s="150"/>
    </row>
    <row r="4605" spans="1:19" hidden="1">
      <c r="A4605" s="149" t="s">
        <v>6750</v>
      </c>
      <c r="B4605" s="150" t="str">
        <f>IFERROR(VLOOKUP(Proc[[#This Row],[App]],Table2[],3,0),"open")</f>
        <v>ok</v>
      </c>
      <c r="C4605" s="149" t="s">
        <v>369</v>
      </c>
      <c r="D4605" t="s">
        <v>6767</v>
      </c>
      <c r="E4605" t="s">
        <v>6776</v>
      </c>
      <c r="F4605" s="150" t="s">
        <v>6776</v>
      </c>
      <c r="G4605" s="149" t="s">
        <v>406</v>
      </c>
      <c r="H4605" s="150" t="str">
        <f>IF(Proc[[#This Row],[type]]="LFF (MDG-F)",MID(Proc[[#This Row],[Obj]],13,10),"")</f>
        <v>CN09DB3305</v>
      </c>
      <c r="I4605" s="149"/>
      <c r="J4605" s="150" t="b">
        <f>Proc[[#This Row],[Requested]]=Proc[[#This Row],[CurrentParent]]</f>
        <v>1</v>
      </c>
      <c r="K4605" s="150" t="str">
        <f>IF(Proc[[#This Row],[Author]]="Marcela Urrego",VLOOKUP(LEFT(Proc[[#This Row],[Requested]],1),Table3[#All],2,0),VLOOKUP(Proc[[#This Row],[Author]],Table4[],2,0))</f>
        <v>EL</v>
      </c>
      <c r="L4605" s="150" t="s">
        <v>6435</v>
      </c>
      <c r="M4605" s="165">
        <v>45965</v>
      </c>
      <c r="N4605" s="166"/>
      <c r="O4605" s="166"/>
      <c r="P4605" s="165" t="str">
        <f ca="1">IF(Proc[[#This Row],[DaysAgeing]]&gt;5,"yep","on track")</f>
        <v>yep</v>
      </c>
      <c r="Q4605" s="3">
        <f ca="1">IF(Proc[[#This Row],[DateClosed]]="",ABS(NETWORKDAYS(Proc[[#This Row],[DateOpened]],TODAY()))-1,ABS(NETWORKDAYS(Proc[[#This Row],[DateOpened]],Proc[[#This Row],[DateClosed]]))-1)</f>
        <v>33</v>
      </c>
      <c r="R4605" s="165" t="s">
        <v>5709</v>
      </c>
      <c r="S4605" s="150"/>
    </row>
    <row r="4606" spans="1:19" hidden="1">
      <c r="A4606" s="149" t="s">
        <v>6750</v>
      </c>
      <c r="B4606" s="150" t="str">
        <f>IFERROR(VLOOKUP(Proc[[#This Row],[App]],Table2[],3,0),"open")</f>
        <v>ok</v>
      </c>
      <c r="C4606" s="149" t="s">
        <v>369</v>
      </c>
      <c r="D4606" t="s">
        <v>6768</v>
      </c>
      <c r="E4606" t="s">
        <v>6776</v>
      </c>
      <c r="F4606" s="150" t="s">
        <v>6776</v>
      </c>
      <c r="G4606" s="149" t="s">
        <v>406</v>
      </c>
      <c r="H4606" s="150" t="str">
        <f>IF(Proc[[#This Row],[type]]="LFF (MDG-F)",MID(Proc[[#This Row],[Obj]],13,10),"")</f>
        <v>CN09TQ1001</v>
      </c>
      <c r="I4606" s="149"/>
      <c r="J4606" s="150" t="b">
        <f>Proc[[#This Row],[Requested]]=Proc[[#This Row],[CurrentParent]]</f>
        <v>1</v>
      </c>
      <c r="K4606" s="150" t="str">
        <f>IF(Proc[[#This Row],[Author]]="Marcela Urrego",VLOOKUP(LEFT(Proc[[#This Row],[Requested]],1),Table3[#All],2,0),VLOOKUP(Proc[[#This Row],[Author]],Table4[],2,0))</f>
        <v>EL</v>
      </c>
      <c r="L4606" s="150" t="s">
        <v>6435</v>
      </c>
      <c r="M4606" s="165">
        <v>45965</v>
      </c>
      <c r="N4606" s="166"/>
      <c r="O4606" s="166"/>
      <c r="P4606" s="165" t="str">
        <f ca="1">IF(Proc[[#This Row],[DaysAgeing]]&gt;5,"yep","on track")</f>
        <v>yep</v>
      </c>
      <c r="Q4606" s="3">
        <f ca="1">IF(Proc[[#This Row],[DateClosed]]="",ABS(NETWORKDAYS(Proc[[#This Row],[DateOpened]],TODAY()))-1,ABS(NETWORKDAYS(Proc[[#This Row],[DateOpened]],Proc[[#This Row],[DateClosed]]))-1)</f>
        <v>33</v>
      </c>
      <c r="R4606" s="165" t="s">
        <v>5709</v>
      </c>
      <c r="S4606" s="150"/>
    </row>
    <row r="4607" spans="1:19" hidden="1">
      <c r="A4607" s="149" t="s">
        <v>6750</v>
      </c>
      <c r="B4607" s="150" t="str">
        <f>IFERROR(VLOOKUP(Proc[[#This Row],[App]],Table2[],3,0),"open")</f>
        <v>ok</v>
      </c>
      <c r="C4607" s="149" t="s">
        <v>369</v>
      </c>
      <c r="D4607" t="s">
        <v>6769</v>
      </c>
      <c r="E4607" t="s">
        <v>6776</v>
      </c>
      <c r="F4607" s="150" t="s">
        <v>6776</v>
      </c>
      <c r="G4607" s="149" t="s">
        <v>406</v>
      </c>
      <c r="H4607" s="150" t="str">
        <f>IF(Proc[[#This Row],[type]]="LFF (MDG-F)",MID(Proc[[#This Row],[Obj]],13,10),"")</f>
        <v>CN09TQ1002</v>
      </c>
      <c r="I4607" s="149"/>
      <c r="J4607" s="150" t="b">
        <f>Proc[[#This Row],[Requested]]=Proc[[#This Row],[CurrentParent]]</f>
        <v>1</v>
      </c>
      <c r="K4607" s="150" t="str">
        <f>IF(Proc[[#This Row],[Author]]="Marcela Urrego",VLOOKUP(LEFT(Proc[[#This Row],[Requested]],1),Table3[#All],2,0),VLOOKUP(Proc[[#This Row],[Author]],Table4[],2,0))</f>
        <v>EL</v>
      </c>
      <c r="L4607" s="150" t="s">
        <v>6435</v>
      </c>
      <c r="M4607" s="165">
        <v>45965</v>
      </c>
      <c r="N4607" s="166"/>
      <c r="O4607" s="166"/>
      <c r="P4607" s="165" t="str">
        <f ca="1">IF(Proc[[#This Row],[DaysAgeing]]&gt;5,"yep","on track")</f>
        <v>yep</v>
      </c>
      <c r="Q4607" s="3">
        <f ca="1">IF(Proc[[#This Row],[DateClosed]]="",ABS(NETWORKDAYS(Proc[[#This Row],[DateOpened]],TODAY()))-1,ABS(NETWORKDAYS(Proc[[#This Row],[DateOpened]],Proc[[#This Row],[DateClosed]]))-1)</f>
        <v>33</v>
      </c>
      <c r="R4607" s="165" t="s">
        <v>5709</v>
      </c>
      <c r="S4607" s="150"/>
    </row>
    <row r="4608" spans="1:19" hidden="1">
      <c r="A4608" s="149" t="s">
        <v>6750</v>
      </c>
      <c r="B4608" s="150" t="str">
        <f>IFERROR(VLOOKUP(Proc[[#This Row],[App]],Table2[],3,0),"open")</f>
        <v>ok</v>
      </c>
      <c r="C4608" s="149" t="s">
        <v>369</v>
      </c>
      <c r="D4608" t="s">
        <v>6770</v>
      </c>
      <c r="E4608" t="s">
        <v>6776</v>
      </c>
      <c r="F4608" s="150" t="s">
        <v>6776</v>
      </c>
      <c r="G4608" s="149" t="s">
        <v>406</v>
      </c>
      <c r="H4608" s="150" t="str">
        <f>IF(Proc[[#This Row],[type]]="LFF (MDG-F)",MID(Proc[[#This Row],[Obj]],13,10),"")</f>
        <v>CN09TQ1003</v>
      </c>
      <c r="I4608" s="149"/>
      <c r="J4608" s="150" t="b">
        <f>Proc[[#This Row],[Requested]]=Proc[[#This Row],[CurrentParent]]</f>
        <v>1</v>
      </c>
      <c r="K4608" s="150" t="str">
        <f>IF(Proc[[#This Row],[Author]]="Marcela Urrego",VLOOKUP(LEFT(Proc[[#This Row],[Requested]],1),Table3[#All],2,0),VLOOKUP(Proc[[#This Row],[Author]],Table4[],2,0))</f>
        <v>EL</v>
      </c>
      <c r="L4608" s="150" t="s">
        <v>6435</v>
      </c>
      <c r="M4608" s="165">
        <v>45965</v>
      </c>
      <c r="N4608" s="166"/>
      <c r="O4608" s="166"/>
      <c r="P4608" s="165" t="str">
        <f ca="1">IF(Proc[[#This Row],[DaysAgeing]]&gt;5,"yep","on track")</f>
        <v>yep</v>
      </c>
      <c r="Q4608" s="3">
        <f ca="1">IF(Proc[[#This Row],[DateClosed]]="",ABS(NETWORKDAYS(Proc[[#This Row],[DateOpened]],TODAY()))-1,ABS(NETWORKDAYS(Proc[[#This Row],[DateOpened]],Proc[[#This Row],[DateClosed]]))-1)</f>
        <v>33</v>
      </c>
      <c r="R4608" s="165" t="s">
        <v>5709</v>
      </c>
      <c r="S4608" s="150"/>
    </row>
    <row r="4609" spans="1:19" hidden="1">
      <c r="A4609" s="149" t="s">
        <v>6750</v>
      </c>
      <c r="B4609" s="150" t="str">
        <f>IFERROR(VLOOKUP(Proc[[#This Row],[App]],Table2[],3,0),"open")</f>
        <v>ok</v>
      </c>
      <c r="C4609" s="149" t="s">
        <v>369</v>
      </c>
      <c r="D4609" t="s">
        <v>6771</v>
      </c>
      <c r="E4609" t="s">
        <v>6776</v>
      </c>
      <c r="F4609" s="150" t="s">
        <v>6776</v>
      </c>
      <c r="G4609" s="149" t="s">
        <v>406</v>
      </c>
      <c r="H4609" s="150" t="str">
        <f>IF(Proc[[#This Row],[type]]="LFF (MDG-F)",MID(Proc[[#This Row],[Obj]],13,10),"")</f>
        <v>CN09DB3309</v>
      </c>
      <c r="I4609" s="149"/>
      <c r="J4609" s="150" t="b">
        <f>Proc[[#This Row],[Requested]]=Proc[[#This Row],[CurrentParent]]</f>
        <v>1</v>
      </c>
      <c r="K4609" s="150" t="str">
        <f>IF(Proc[[#This Row],[Author]]="Marcela Urrego",VLOOKUP(LEFT(Proc[[#This Row],[Requested]],1),Table3[#All],2,0),VLOOKUP(Proc[[#This Row],[Author]],Table4[],2,0))</f>
        <v>EL</v>
      </c>
      <c r="L4609" s="150" t="s">
        <v>6435</v>
      </c>
      <c r="M4609" s="165">
        <v>45965</v>
      </c>
      <c r="N4609" s="166"/>
      <c r="O4609" s="166"/>
      <c r="P4609" s="165" t="str">
        <f ca="1">IF(Proc[[#This Row],[DaysAgeing]]&gt;5,"yep","on track")</f>
        <v>yep</v>
      </c>
      <c r="Q4609" s="3">
        <f ca="1">IF(Proc[[#This Row],[DateClosed]]="",ABS(NETWORKDAYS(Proc[[#This Row],[DateOpened]],TODAY()))-1,ABS(NETWORKDAYS(Proc[[#This Row],[DateOpened]],Proc[[#This Row],[DateClosed]]))-1)</f>
        <v>33</v>
      </c>
      <c r="R4609" s="165" t="s">
        <v>5709</v>
      </c>
      <c r="S4609" s="150"/>
    </row>
    <row r="4610" spans="1:19" hidden="1">
      <c r="A4610" s="149" t="s">
        <v>6750</v>
      </c>
      <c r="B4610" s="150" t="str">
        <f>IFERROR(VLOOKUP(Proc[[#This Row],[App]],Table2[],3,0),"open")</f>
        <v>ok</v>
      </c>
      <c r="C4610" s="149" t="s">
        <v>369</v>
      </c>
      <c r="D4610" t="s">
        <v>6772</v>
      </c>
      <c r="E4610" t="s">
        <v>6776</v>
      </c>
      <c r="F4610" s="150" t="s">
        <v>6776</v>
      </c>
      <c r="G4610" s="149" t="s">
        <v>406</v>
      </c>
      <c r="H4610" s="150" t="str">
        <f>IF(Proc[[#This Row],[type]]="LFF (MDG-F)",MID(Proc[[#This Row],[Obj]],13,10),"")</f>
        <v>CN09DB3300</v>
      </c>
      <c r="I4610" s="149"/>
      <c r="J4610" s="150" t="b">
        <f>Proc[[#This Row],[Requested]]=Proc[[#This Row],[CurrentParent]]</f>
        <v>1</v>
      </c>
      <c r="K4610" s="150" t="str">
        <f>IF(Proc[[#This Row],[Author]]="Marcela Urrego",VLOOKUP(LEFT(Proc[[#This Row],[Requested]],1),Table3[#All],2,0),VLOOKUP(Proc[[#This Row],[Author]],Table4[],2,0))</f>
        <v>EL</v>
      </c>
      <c r="L4610" s="150" t="s">
        <v>6435</v>
      </c>
      <c r="M4610" s="165">
        <v>45965</v>
      </c>
      <c r="N4610" s="166"/>
      <c r="O4610" s="166"/>
      <c r="P4610" s="165" t="str">
        <f ca="1">IF(Proc[[#This Row],[DaysAgeing]]&gt;5,"yep","on track")</f>
        <v>yep</v>
      </c>
      <c r="Q4610" s="3">
        <f ca="1">IF(Proc[[#This Row],[DateClosed]]="",ABS(NETWORKDAYS(Proc[[#This Row],[DateOpened]],TODAY()))-1,ABS(NETWORKDAYS(Proc[[#This Row],[DateOpened]],Proc[[#This Row],[DateClosed]]))-1)</f>
        <v>33</v>
      </c>
      <c r="R4610" s="165" t="s">
        <v>5709</v>
      </c>
      <c r="S4610" s="150"/>
    </row>
    <row r="4611" spans="1:19" hidden="1">
      <c r="A4611" s="149" t="s">
        <v>6750</v>
      </c>
      <c r="B4611" s="150" t="str">
        <f>IFERROR(VLOOKUP(Proc[[#This Row],[App]],Table2[],3,0),"open")</f>
        <v>ok</v>
      </c>
      <c r="C4611" s="149" t="s">
        <v>369</v>
      </c>
      <c r="D4611" t="s">
        <v>6773</v>
      </c>
      <c r="E4611" t="s">
        <v>6776</v>
      </c>
      <c r="F4611" s="150" t="s">
        <v>6776</v>
      </c>
      <c r="G4611" s="149" t="s">
        <v>406</v>
      </c>
      <c r="H4611" s="150" t="str">
        <f>IF(Proc[[#This Row],[type]]="LFF (MDG-F)",MID(Proc[[#This Row],[Obj]],13,10),"")</f>
        <v>CN09TM3000</v>
      </c>
      <c r="I4611" s="149"/>
      <c r="J4611" s="150" t="b">
        <f>Proc[[#This Row],[Requested]]=Proc[[#This Row],[CurrentParent]]</f>
        <v>1</v>
      </c>
      <c r="K4611" s="150" t="str">
        <f>IF(Proc[[#This Row],[Author]]="Marcela Urrego",VLOOKUP(LEFT(Proc[[#This Row],[Requested]],1),Table3[#All],2,0),VLOOKUP(Proc[[#This Row],[Author]],Table4[],2,0))</f>
        <v>EL</v>
      </c>
      <c r="L4611" s="150" t="s">
        <v>6435</v>
      </c>
      <c r="M4611" s="165">
        <v>45965</v>
      </c>
      <c r="N4611" s="166"/>
      <c r="O4611" s="166"/>
      <c r="P4611" s="165" t="str">
        <f ca="1">IF(Proc[[#This Row],[DaysAgeing]]&gt;5,"yep","on track")</f>
        <v>yep</v>
      </c>
      <c r="Q4611" s="3">
        <f ca="1">IF(Proc[[#This Row],[DateClosed]]="",ABS(NETWORKDAYS(Proc[[#This Row],[DateOpened]],TODAY()))-1,ABS(NETWORKDAYS(Proc[[#This Row],[DateOpened]],Proc[[#This Row],[DateClosed]]))-1)</f>
        <v>33</v>
      </c>
      <c r="R4611" s="165" t="s">
        <v>5709</v>
      </c>
      <c r="S4611" s="150"/>
    </row>
    <row r="4612" spans="1:19" hidden="1">
      <c r="A4612" s="149" t="s">
        <v>6750</v>
      </c>
      <c r="B4612" s="150" t="str">
        <f>IFERROR(VLOOKUP(Proc[[#This Row],[App]],Table2[],3,0),"open")</f>
        <v>ok</v>
      </c>
      <c r="C4612" s="149" t="s">
        <v>369</v>
      </c>
      <c r="D4612" t="s">
        <v>6774</v>
      </c>
      <c r="E4612" t="s">
        <v>6776</v>
      </c>
      <c r="F4612" s="150" t="s">
        <v>6776</v>
      </c>
      <c r="G4612" s="149" t="s">
        <v>406</v>
      </c>
      <c r="H4612" s="150" t="str">
        <f>IF(Proc[[#This Row],[type]]="LFF (MDG-F)",MID(Proc[[#This Row],[Obj]],13,10),"")</f>
        <v>CN09DB3301</v>
      </c>
      <c r="I4612" s="149"/>
      <c r="J4612" s="150" t="b">
        <f>Proc[[#This Row],[Requested]]=Proc[[#This Row],[CurrentParent]]</f>
        <v>1</v>
      </c>
      <c r="K4612" s="150" t="str">
        <f>IF(Proc[[#This Row],[Author]]="Marcela Urrego",VLOOKUP(LEFT(Proc[[#This Row],[Requested]],1),Table3[#All],2,0),VLOOKUP(Proc[[#This Row],[Author]],Table4[],2,0))</f>
        <v>EL</v>
      </c>
      <c r="L4612" s="150" t="s">
        <v>6435</v>
      </c>
      <c r="M4612" s="165">
        <v>45965</v>
      </c>
      <c r="N4612" s="166"/>
      <c r="O4612" s="166"/>
      <c r="P4612" s="165" t="str">
        <f ca="1">IF(Proc[[#This Row],[DaysAgeing]]&gt;5,"yep","on track")</f>
        <v>yep</v>
      </c>
      <c r="Q4612" s="3">
        <f ca="1">IF(Proc[[#This Row],[DateClosed]]="",ABS(NETWORKDAYS(Proc[[#This Row],[DateOpened]],TODAY()))-1,ABS(NETWORKDAYS(Proc[[#This Row],[DateOpened]],Proc[[#This Row],[DateClosed]]))-1)</f>
        <v>33</v>
      </c>
      <c r="R4612" s="165" t="s">
        <v>5709</v>
      </c>
      <c r="S4612" s="150"/>
    </row>
    <row r="4613" spans="1:19" hidden="1">
      <c r="A4613" s="149" t="s">
        <v>6750</v>
      </c>
      <c r="B4613" s="150" t="str">
        <f>IFERROR(VLOOKUP(Proc[[#This Row],[App]],Table2[],3,0),"open")</f>
        <v>ok</v>
      </c>
      <c r="C4613" s="149" t="s">
        <v>369</v>
      </c>
      <c r="D4613" t="s">
        <v>6775</v>
      </c>
      <c r="E4613" t="s">
        <v>6776</v>
      </c>
      <c r="F4613" s="150" t="s">
        <v>6776</v>
      </c>
      <c r="G4613" s="149" t="s">
        <v>406</v>
      </c>
      <c r="H4613" s="150" t="str">
        <f>IF(Proc[[#This Row],[type]]="LFF (MDG-F)",MID(Proc[[#This Row],[Obj]],13,10),"")</f>
        <v>CN09DB3307</v>
      </c>
      <c r="I4613" s="149"/>
      <c r="J4613" s="150" t="b">
        <f>Proc[[#This Row],[Requested]]=Proc[[#This Row],[CurrentParent]]</f>
        <v>1</v>
      </c>
      <c r="K4613" s="150" t="str">
        <f>IF(Proc[[#This Row],[Author]]="Marcela Urrego",VLOOKUP(LEFT(Proc[[#This Row],[Requested]],1),Table3[#All],2,0),VLOOKUP(Proc[[#This Row],[Author]],Table4[],2,0))</f>
        <v>EL</v>
      </c>
      <c r="L4613" s="150" t="s">
        <v>6435</v>
      </c>
      <c r="M4613" s="165">
        <v>45965</v>
      </c>
      <c r="N4613" s="166"/>
      <c r="O4613" s="166"/>
      <c r="P4613" s="165" t="str">
        <f ca="1">IF(Proc[[#This Row],[DaysAgeing]]&gt;5,"yep","on track")</f>
        <v>yep</v>
      </c>
      <c r="Q4613" s="3">
        <f ca="1">IF(Proc[[#This Row],[DateClosed]]="",ABS(NETWORKDAYS(Proc[[#This Row],[DateOpened]],TODAY()))-1,ABS(NETWORKDAYS(Proc[[#This Row],[DateOpened]],Proc[[#This Row],[DateClosed]]))-1)</f>
        <v>33</v>
      </c>
      <c r="R4613" s="165" t="s">
        <v>5709</v>
      </c>
      <c r="S4613" s="150"/>
    </row>
    <row r="4614" spans="1:19" hidden="1">
      <c r="A4614" t="s">
        <v>6777</v>
      </c>
      <c r="B4614" s="150" t="str">
        <f>IFERROR(VLOOKUP(Proc[[#This Row],[App]],Table2[],3,0),"open")</f>
        <v>ok</v>
      </c>
      <c r="C4614" t="s">
        <v>369</v>
      </c>
      <c r="D4614" t="s">
        <v>6778</v>
      </c>
      <c r="E4614" t="s">
        <v>6779</v>
      </c>
      <c r="F4614" s="150" t="s">
        <v>6779</v>
      </c>
      <c r="G4614" t="s">
        <v>400</v>
      </c>
      <c r="H4614" s="150" t="str">
        <f>IF(Proc[[#This Row],[type]]="LFF (MDG-F)",MID(Proc[[#This Row],[Obj]],13,10),"")</f>
        <v/>
      </c>
      <c r="J4614" s="150" t="b">
        <f>Proc[[#This Row],[Requested]]=Proc[[#This Row],[CurrentParent]]</f>
        <v>1</v>
      </c>
      <c r="K4614" s="150" t="str">
        <f>IF(Proc[[#This Row],[Author]]="Marcela Urrego",VLOOKUP(LEFT(Proc[[#This Row],[Requested]],1),Table3[#All],2,0),VLOOKUP(Proc[[#This Row],[Author]],Table4[],2,0))</f>
        <v>HC</v>
      </c>
      <c r="L4614" s="150" t="s">
        <v>6435</v>
      </c>
      <c r="M4614" s="166">
        <v>45966</v>
      </c>
      <c r="N4614" s="166"/>
      <c r="O4614" s="166"/>
      <c r="P4614" s="167" t="str">
        <f ca="1">IF(Proc[[#This Row],[DaysAgeing]]&gt;5,"yep","on track")</f>
        <v>yep</v>
      </c>
      <c r="Q4614" s="3">
        <f ca="1">IF(Proc[[#This Row],[DateClosed]]="",ABS(NETWORKDAYS(Proc[[#This Row],[DateOpened]],TODAY()))-1,ABS(NETWORKDAYS(Proc[[#This Row],[DateOpened]],Proc[[#This Row],[DateClosed]]))-1)</f>
        <v>32</v>
      </c>
      <c r="R4614" s="167" t="s">
        <v>1013</v>
      </c>
      <c r="S4614" s="150"/>
    </row>
    <row r="4615" spans="1:19" hidden="1">
      <c r="A4615" t="s">
        <v>6781</v>
      </c>
      <c r="B4615" s="150" t="str">
        <f>IFERROR(VLOOKUP(Proc[[#This Row],[App]],Table2[],3,0),"open")</f>
        <v>ok</v>
      </c>
      <c r="C4615" t="s">
        <v>369</v>
      </c>
      <c r="D4615" t="s">
        <v>6782</v>
      </c>
      <c r="E4615" t="s">
        <v>6913</v>
      </c>
      <c r="F4615" s="150" t="s">
        <v>6913</v>
      </c>
      <c r="G4615" t="s">
        <v>400</v>
      </c>
      <c r="H4615" s="150" t="str">
        <f>IF(Proc[[#This Row],[type]]="LFF (MDG-F)",MID(Proc[[#This Row],[Obj]],13,10),"")</f>
        <v/>
      </c>
      <c r="J4615" s="150" t="b">
        <f>Proc[[#This Row],[Requested]]=Proc[[#This Row],[CurrentParent]]</f>
        <v>1</v>
      </c>
      <c r="K4615" s="150" t="str">
        <f>IF(Proc[[#This Row],[Author]]="Marcela Urrego",VLOOKUP(LEFT(Proc[[#This Row],[Requested]],1),Table3[#All],2,0),VLOOKUP(Proc[[#This Row],[Author]],Table4[],2,0))</f>
        <v>MGF</v>
      </c>
      <c r="L4615" s="150" t="s">
        <v>6435</v>
      </c>
      <c r="M4615" s="167">
        <v>45968</v>
      </c>
      <c r="N4615" s="167"/>
      <c r="O4615" s="167"/>
      <c r="P4615" s="168" t="str">
        <f ca="1">IF(Proc[[#This Row],[DaysAgeing]]&gt;5,"yep","on track")</f>
        <v>yep</v>
      </c>
      <c r="Q4615" s="3">
        <f ca="1">IF(Proc[[#This Row],[DateClosed]]="",ABS(NETWORKDAYS(Proc[[#This Row],[DateOpened]],TODAY()))-1,ABS(NETWORKDAYS(Proc[[#This Row],[DateOpened]],Proc[[#This Row],[DateClosed]]))-1)</f>
        <v>30</v>
      </c>
      <c r="R4615" s="168" t="s">
        <v>515</v>
      </c>
      <c r="S4615" s="150"/>
    </row>
    <row r="4616" spans="1:19" hidden="1">
      <c r="A4616" t="s">
        <v>6784</v>
      </c>
      <c r="B4616" s="150" t="str">
        <f>IFERROR(VLOOKUP(Proc[[#This Row],[App]],Table2[],3,0),"open")</f>
        <v>ok</v>
      </c>
      <c r="C4616" s="149" t="s">
        <v>369</v>
      </c>
      <c r="D4616" t="s">
        <v>6783</v>
      </c>
      <c r="E4616" t="s">
        <v>759</v>
      </c>
      <c r="F4616" s="150" t="s">
        <v>759</v>
      </c>
      <c r="G4616" t="s">
        <v>400</v>
      </c>
      <c r="H4616" s="150" t="str">
        <f>IF(Proc[[#This Row],[type]]="LFF (MDG-F)",MID(Proc[[#This Row],[Obj]],13,10),"")</f>
        <v/>
      </c>
      <c r="J4616" s="150" t="b">
        <f>Proc[[#This Row],[Requested]]=Proc[[#This Row],[CurrentParent]]</f>
        <v>1</v>
      </c>
      <c r="K4616" s="150" t="str">
        <f>IF(Proc[[#This Row],[Author]]="Marcela Urrego",VLOOKUP(LEFT(Proc[[#This Row],[Requested]],1),Table3[#All],2,0),VLOOKUP(Proc[[#This Row],[Author]],Table4[],2,0))</f>
        <v>MGF</v>
      </c>
      <c r="L4616" s="150" t="s">
        <v>6435</v>
      </c>
      <c r="M4616" s="167">
        <v>45968</v>
      </c>
      <c r="N4616" s="167"/>
      <c r="O4616" s="167"/>
      <c r="P4616" s="168" t="str">
        <f ca="1">IF(Proc[[#This Row],[DaysAgeing]]&gt;5,"yep","on track")</f>
        <v>yep</v>
      </c>
      <c r="Q4616" s="3">
        <f ca="1">IF(Proc[[#This Row],[DateClosed]]="",ABS(NETWORKDAYS(Proc[[#This Row],[DateOpened]],TODAY()))-1,ABS(NETWORKDAYS(Proc[[#This Row],[DateOpened]],Proc[[#This Row],[DateClosed]]))-1)</f>
        <v>30</v>
      </c>
      <c r="R4616" s="168" t="s">
        <v>1459</v>
      </c>
      <c r="S4616" s="150"/>
    </row>
    <row r="4617" spans="1:19" hidden="1">
      <c r="A4617" t="s">
        <v>6785</v>
      </c>
      <c r="B4617" s="150" t="str">
        <f>IFERROR(VLOOKUP(Proc[[#This Row],[App]],Table2[],3,0),"open")</f>
        <v>ok</v>
      </c>
      <c r="C4617" s="149" t="s">
        <v>369</v>
      </c>
      <c r="D4617" t="s">
        <v>6786</v>
      </c>
      <c r="E4617" t="s">
        <v>6787</v>
      </c>
      <c r="F4617" s="150" t="s">
        <v>6787</v>
      </c>
      <c r="G4617" t="s">
        <v>400</v>
      </c>
      <c r="H4617" s="150" t="str">
        <f>IF(Proc[[#This Row],[type]]="LFF (MDG-F)",MID(Proc[[#This Row],[Obj]],13,10),"")</f>
        <v/>
      </c>
      <c r="J4617" s="150" t="b">
        <f>Proc[[#This Row],[Requested]]=Proc[[#This Row],[CurrentParent]]</f>
        <v>1</v>
      </c>
      <c r="K4617" s="150" t="str">
        <f>IF(Proc[[#This Row],[Author]]="Marcela Urrego",VLOOKUP(LEFT(Proc[[#This Row],[Requested]],1),Table3[#All],2,0),VLOOKUP(Proc[[#This Row],[Author]],Table4[],2,0))</f>
        <v>HC</v>
      </c>
      <c r="L4617" s="150" t="s">
        <v>6435</v>
      </c>
      <c r="M4617" s="167">
        <v>45968</v>
      </c>
      <c r="N4617" s="167"/>
      <c r="O4617" s="167"/>
      <c r="P4617" s="168" t="str">
        <f ca="1">IF(Proc[[#This Row],[DaysAgeing]]&gt;5,"yep","on track")</f>
        <v>yep</v>
      </c>
      <c r="Q4617" s="3">
        <f ca="1">IF(Proc[[#This Row],[DateClosed]]="",ABS(NETWORKDAYS(Proc[[#This Row],[DateOpened]],TODAY()))-1,ABS(NETWORKDAYS(Proc[[#This Row],[DateOpened]],Proc[[#This Row],[DateClosed]]))-1)</f>
        <v>30</v>
      </c>
      <c r="R4617" s="168" t="s">
        <v>410</v>
      </c>
      <c r="S4617" s="150"/>
    </row>
    <row r="4618" spans="1:19" hidden="1">
      <c r="A4618" t="s">
        <v>6788</v>
      </c>
      <c r="B4618" s="150" t="str">
        <f>IFERROR(VLOOKUP(Proc[[#This Row],[App]],Table2[],3,0),"open")</f>
        <v>ok</v>
      </c>
      <c r="C4618" s="149" t="s">
        <v>369</v>
      </c>
      <c r="D4618" t="s">
        <v>6789</v>
      </c>
      <c r="E4618" t="s">
        <v>6827</v>
      </c>
      <c r="F4618" s="150" t="s">
        <v>6827</v>
      </c>
      <c r="G4618" t="s">
        <v>406</v>
      </c>
      <c r="H4618" s="150" t="str">
        <f>IF(Proc[[#This Row],[type]]="LFF (MDG-F)",MID(Proc[[#This Row],[Obj]],13,10),"")</f>
        <v>DE07Z02182</v>
      </c>
      <c r="I4618" t="s">
        <v>6827</v>
      </c>
      <c r="J4618" s="150" t="b">
        <f>Proc[[#This Row],[Requested]]=Proc[[#This Row],[CurrentParent]]</f>
        <v>1</v>
      </c>
      <c r="K4618" s="150" t="str">
        <f>IF(Proc[[#This Row],[Author]]="Marcela Urrego",VLOOKUP(LEFT(Proc[[#This Row],[Requested]],1),Table3[#All],2,0),VLOOKUP(Proc[[#This Row],[Author]],Table4[],2,0))</f>
        <v>EL</v>
      </c>
      <c r="L4618" s="150" t="s">
        <v>6435</v>
      </c>
      <c r="M4618" s="169">
        <v>45973</v>
      </c>
      <c r="N4618" s="169"/>
      <c r="O4618" s="169"/>
      <c r="P4618" s="168" t="str">
        <f ca="1">IF(Proc[[#This Row],[DaysAgeing]]&gt;5,"yep","on track")</f>
        <v>yep</v>
      </c>
      <c r="Q4618" s="3">
        <f ca="1">IF(Proc[[#This Row],[DateClosed]]="",ABS(NETWORKDAYS(Proc[[#This Row],[DateOpened]],TODAY()))-1,ABS(NETWORKDAYS(Proc[[#This Row],[DateOpened]],Proc[[#This Row],[DateClosed]]))-1)</f>
        <v>27</v>
      </c>
      <c r="R4618" s="168" t="s">
        <v>5709</v>
      </c>
      <c r="S4618" s="150"/>
    </row>
    <row r="4619" spans="1:19" hidden="1">
      <c r="A4619" s="149" t="s">
        <v>6788</v>
      </c>
      <c r="B4619" s="150" t="str">
        <f>IFERROR(VLOOKUP(Proc[[#This Row],[App]],Table2[],3,0),"open")</f>
        <v>ok</v>
      </c>
      <c r="C4619" s="149" t="s">
        <v>369</v>
      </c>
      <c r="D4619" t="s">
        <v>6790</v>
      </c>
      <c r="E4619" t="s">
        <v>6827</v>
      </c>
      <c r="F4619" s="150" t="s">
        <v>6827</v>
      </c>
      <c r="G4619" s="149" t="s">
        <v>406</v>
      </c>
      <c r="H4619" s="150" t="str">
        <f>IF(Proc[[#This Row],[type]]="LFF (MDG-F)",MID(Proc[[#This Row],[Obj]],13,10),"")</f>
        <v>HK01Z02181</v>
      </c>
      <c r="I4619" s="149" t="s">
        <v>6827</v>
      </c>
      <c r="J4619" s="150" t="b">
        <f>Proc[[#This Row],[Requested]]=Proc[[#This Row],[CurrentParent]]</f>
        <v>1</v>
      </c>
      <c r="K4619" s="150" t="str">
        <f>IF(Proc[[#This Row],[Author]]="Marcela Urrego",VLOOKUP(LEFT(Proc[[#This Row],[Requested]],1),Table3[#All],2,0),VLOOKUP(Proc[[#This Row],[Author]],Table4[],2,0))</f>
        <v>EL</v>
      </c>
      <c r="L4619" s="150" t="s">
        <v>6435</v>
      </c>
      <c r="M4619" s="169">
        <v>45973</v>
      </c>
      <c r="N4619" s="169"/>
      <c r="O4619" s="169"/>
      <c r="P4619" s="168" t="str">
        <f ca="1">IF(Proc[[#This Row],[DaysAgeing]]&gt;5,"yep","on track")</f>
        <v>yep</v>
      </c>
      <c r="Q4619" s="3">
        <f ca="1">IF(Proc[[#This Row],[DateClosed]]="",ABS(NETWORKDAYS(Proc[[#This Row],[DateOpened]],TODAY()))-1,ABS(NETWORKDAYS(Proc[[#This Row],[DateOpened]],Proc[[#This Row],[DateClosed]]))-1)</f>
        <v>27</v>
      </c>
      <c r="R4619" s="168" t="s">
        <v>5709</v>
      </c>
      <c r="S4619" s="150"/>
    </row>
    <row r="4620" spans="1:19" hidden="1">
      <c r="A4620" s="149" t="s">
        <v>6788</v>
      </c>
      <c r="B4620" s="150" t="str">
        <f>IFERROR(VLOOKUP(Proc[[#This Row],[App]],Table2[],3,0),"open")</f>
        <v>ok</v>
      </c>
      <c r="C4620" s="149" t="s">
        <v>369</v>
      </c>
      <c r="D4620" t="s">
        <v>6791</v>
      </c>
      <c r="E4620" t="s">
        <v>6827</v>
      </c>
      <c r="F4620" s="150" t="s">
        <v>6827</v>
      </c>
      <c r="G4620" s="149" t="s">
        <v>406</v>
      </c>
      <c r="H4620" s="150" t="str">
        <f>IF(Proc[[#This Row],[type]]="LFF (MDG-F)",MID(Proc[[#This Row],[Obj]],13,10),"")</f>
        <v>HK01Z02182</v>
      </c>
      <c r="I4620" s="149" t="s">
        <v>6827</v>
      </c>
      <c r="J4620" s="150" t="b">
        <f>Proc[[#This Row],[Requested]]=Proc[[#This Row],[CurrentParent]]</f>
        <v>1</v>
      </c>
      <c r="K4620" s="150" t="str">
        <f>IF(Proc[[#This Row],[Author]]="Marcela Urrego",VLOOKUP(LEFT(Proc[[#This Row],[Requested]],1),Table3[#All],2,0),VLOOKUP(Proc[[#This Row],[Author]],Table4[],2,0))</f>
        <v>EL</v>
      </c>
      <c r="L4620" s="150" t="s">
        <v>6435</v>
      </c>
      <c r="M4620" s="169">
        <v>45973</v>
      </c>
      <c r="N4620" s="169"/>
      <c r="O4620" s="169"/>
      <c r="P4620" s="168" t="str">
        <f ca="1">IF(Proc[[#This Row],[DaysAgeing]]&gt;5,"yep","on track")</f>
        <v>yep</v>
      </c>
      <c r="Q4620" s="3">
        <f ca="1">IF(Proc[[#This Row],[DateClosed]]="",ABS(NETWORKDAYS(Proc[[#This Row],[DateOpened]],TODAY()))-1,ABS(NETWORKDAYS(Proc[[#This Row],[DateOpened]],Proc[[#This Row],[DateClosed]]))-1)</f>
        <v>27</v>
      </c>
      <c r="R4620" s="168" t="s">
        <v>5709</v>
      </c>
      <c r="S4620" s="150"/>
    </row>
    <row r="4621" spans="1:19" hidden="1">
      <c r="A4621" s="149" t="s">
        <v>6788</v>
      </c>
      <c r="B4621" s="150" t="str">
        <f>IFERROR(VLOOKUP(Proc[[#This Row],[App]],Table2[],3,0),"open")</f>
        <v>ok</v>
      </c>
      <c r="C4621" s="149" t="s">
        <v>369</v>
      </c>
      <c r="D4621" t="s">
        <v>6792</v>
      </c>
      <c r="E4621" t="s">
        <v>6827</v>
      </c>
      <c r="F4621" s="150" t="s">
        <v>6827</v>
      </c>
      <c r="G4621" s="149" t="s">
        <v>406</v>
      </c>
      <c r="H4621" s="150" t="str">
        <f>IF(Proc[[#This Row],[type]]="LFF (MDG-F)",MID(Proc[[#This Row],[Obj]],13,10),"")</f>
        <v>HK01Z02183</v>
      </c>
      <c r="I4621" s="149" t="s">
        <v>6827</v>
      </c>
      <c r="J4621" s="150" t="b">
        <f>Proc[[#This Row],[Requested]]=Proc[[#This Row],[CurrentParent]]</f>
        <v>1</v>
      </c>
      <c r="K4621" s="150" t="str">
        <f>IF(Proc[[#This Row],[Author]]="Marcela Urrego",VLOOKUP(LEFT(Proc[[#This Row],[Requested]],1),Table3[#All],2,0),VLOOKUP(Proc[[#This Row],[Author]],Table4[],2,0))</f>
        <v>EL</v>
      </c>
      <c r="L4621" s="150" t="s">
        <v>6435</v>
      </c>
      <c r="M4621" s="169">
        <v>45973</v>
      </c>
      <c r="N4621" s="169"/>
      <c r="O4621" s="169"/>
      <c r="P4621" s="168" t="str">
        <f ca="1">IF(Proc[[#This Row],[DaysAgeing]]&gt;5,"yep","on track")</f>
        <v>yep</v>
      </c>
      <c r="Q4621" s="3">
        <f ca="1">IF(Proc[[#This Row],[DateClosed]]="",ABS(NETWORKDAYS(Proc[[#This Row],[DateOpened]],TODAY()))-1,ABS(NETWORKDAYS(Proc[[#This Row],[DateOpened]],Proc[[#This Row],[DateClosed]]))-1)</f>
        <v>27</v>
      </c>
      <c r="R4621" s="168" t="s">
        <v>5709</v>
      </c>
      <c r="S4621" s="150"/>
    </row>
    <row r="4622" spans="1:19" hidden="1">
      <c r="A4622" s="149" t="s">
        <v>6788</v>
      </c>
      <c r="B4622" s="150" t="str">
        <f>IFERROR(VLOOKUP(Proc[[#This Row],[App]],Table2[],3,0),"open")</f>
        <v>ok</v>
      </c>
      <c r="C4622" s="149" t="s">
        <v>369</v>
      </c>
      <c r="D4622" t="s">
        <v>6793</v>
      </c>
      <c r="E4622" t="s">
        <v>6827</v>
      </c>
      <c r="F4622" s="150" t="s">
        <v>6827</v>
      </c>
      <c r="G4622" s="149" t="s">
        <v>406</v>
      </c>
      <c r="H4622" s="150" t="str">
        <f>IF(Proc[[#This Row],[type]]="LFF (MDG-F)",MID(Proc[[#This Row],[Obj]],13,10),"")</f>
        <v>HK01Z02184</v>
      </c>
      <c r="I4622" s="149" t="s">
        <v>6827</v>
      </c>
      <c r="J4622" s="150" t="b">
        <f>Proc[[#This Row],[Requested]]=Proc[[#This Row],[CurrentParent]]</f>
        <v>1</v>
      </c>
      <c r="K4622" s="150" t="str">
        <f>IF(Proc[[#This Row],[Author]]="Marcela Urrego",VLOOKUP(LEFT(Proc[[#This Row],[Requested]],1),Table3[#All],2,0),VLOOKUP(Proc[[#This Row],[Author]],Table4[],2,0))</f>
        <v>EL</v>
      </c>
      <c r="L4622" s="150" t="s">
        <v>6435</v>
      </c>
      <c r="M4622" s="169">
        <v>45973</v>
      </c>
      <c r="N4622" s="169"/>
      <c r="O4622" s="169"/>
      <c r="P4622" s="168" t="str">
        <f ca="1">IF(Proc[[#This Row],[DaysAgeing]]&gt;5,"yep","on track")</f>
        <v>yep</v>
      </c>
      <c r="Q4622" s="3">
        <f ca="1">IF(Proc[[#This Row],[DateClosed]]="",ABS(NETWORKDAYS(Proc[[#This Row],[DateOpened]],TODAY()))-1,ABS(NETWORKDAYS(Proc[[#This Row],[DateOpened]],Proc[[#This Row],[DateClosed]]))-1)</f>
        <v>27</v>
      </c>
      <c r="R4622" s="168" t="s">
        <v>5709</v>
      </c>
      <c r="S4622" s="150"/>
    </row>
    <row r="4623" spans="1:19" hidden="1">
      <c r="A4623" s="149" t="s">
        <v>6788</v>
      </c>
      <c r="B4623" s="150" t="str">
        <f>IFERROR(VLOOKUP(Proc[[#This Row],[App]],Table2[],3,0),"open")</f>
        <v>ok</v>
      </c>
      <c r="C4623" s="149" t="s">
        <v>369</v>
      </c>
      <c r="D4623" t="s">
        <v>6794</v>
      </c>
      <c r="E4623" t="s">
        <v>6827</v>
      </c>
      <c r="F4623" s="150" t="s">
        <v>6827</v>
      </c>
      <c r="G4623" s="149" t="s">
        <v>406</v>
      </c>
      <c r="H4623" s="150" t="str">
        <f>IF(Proc[[#This Row],[type]]="LFF (MDG-F)",MID(Proc[[#This Row],[Obj]],13,10),"")</f>
        <v>HK01Z02185</v>
      </c>
      <c r="I4623" s="149" t="s">
        <v>6827</v>
      </c>
      <c r="J4623" s="150" t="b">
        <f>Proc[[#This Row],[Requested]]=Proc[[#This Row],[CurrentParent]]</f>
        <v>1</v>
      </c>
      <c r="K4623" s="150" t="str">
        <f>IF(Proc[[#This Row],[Author]]="Marcela Urrego",VLOOKUP(LEFT(Proc[[#This Row],[Requested]],1),Table3[#All],2,0),VLOOKUP(Proc[[#This Row],[Author]],Table4[],2,0))</f>
        <v>EL</v>
      </c>
      <c r="L4623" s="150" t="s">
        <v>6435</v>
      </c>
      <c r="M4623" s="169">
        <v>45973</v>
      </c>
      <c r="N4623" s="169"/>
      <c r="O4623" s="169"/>
      <c r="P4623" s="168" t="str">
        <f ca="1">IF(Proc[[#This Row],[DaysAgeing]]&gt;5,"yep","on track")</f>
        <v>yep</v>
      </c>
      <c r="Q4623" s="3">
        <f ca="1">IF(Proc[[#This Row],[DateClosed]]="",ABS(NETWORKDAYS(Proc[[#This Row],[DateOpened]],TODAY()))-1,ABS(NETWORKDAYS(Proc[[#This Row],[DateOpened]],Proc[[#This Row],[DateClosed]]))-1)</f>
        <v>27</v>
      </c>
      <c r="R4623" s="168" t="s">
        <v>5709</v>
      </c>
      <c r="S4623" s="150"/>
    </row>
    <row r="4624" spans="1:19" hidden="1">
      <c r="A4624" s="149" t="s">
        <v>6788</v>
      </c>
      <c r="B4624" s="150" t="str">
        <f>IFERROR(VLOOKUP(Proc[[#This Row],[App]],Table2[],3,0),"open")</f>
        <v>ok</v>
      </c>
      <c r="C4624" s="149" t="s">
        <v>369</v>
      </c>
      <c r="D4624" t="s">
        <v>6795</v>
      </c>
      <c r="E4624" t="s">
        <v>6827</v>
      </c>
      <c r="F4624" s="150" t="s">
        <v>6827</v>
      </c>
      <c r="G4624" s="149" t="s">
        <v>406</v>
      </c>
      <c r="H4624" s="150" t="str">
        <f>IF(Proc[[#This Row],[type]]="LFF (MDG-F)",MID(Proc[[#This Row],[Obj]],13,10),"")</f>
        <v>IN01Z02181</v>
      </c>
      <c r="I4624" s="149" t="s">
        <v>6827</v>
      </c>
      <c r="J4624" s="150" t="b">
        <f>Proc[[#This Row],[Requested]]=Proc[[#This Row],[CurrentParent]]</f>
        <v>1</v>
      </c>
      <c r="K4624" s="150" t="str">
        <f>IF(Proc[[#This Row],[Author]]="Marcela Urrego",VLOOKUP(LEFT(Proc[[#This Row],[Requested]],1),Table3[#All],2,0),VLOOKUP(Proc[[#This Row],[Author]],Table4[],2,0))</f>
        <v>EL</v>
      </c>
      <c r="L4624" s="150" t="s">
        <v>6435</v>
      </c>
      <c r="M4624" s="169">
        <v>45973</v>
      </c>
      <c r="N4624" s="169"/>
      <c r="O4624" s="169"/>
      <c r="P4624" s="168" t="str">
        <f ca="1">IF(Proc[[#This Row],[DaysAgeing]]&gt;5,"yep","on track")</f>
        <v>yep</v>
      </c>
      <c r="Q4624" s="3">
        <f ca="1">IF(Proc[[#This Row],[DateClosed]]="",ABS(NETWORKDAYS(Proc[[#This Row],[DateOpened]],TODAY()))-1,ABS(NETWORKDAYS(Proc[[#This Row],[DateOpened]],Proc[[#This Row],[DateClosed]]))-1)</f>
        <v>27</v>
      </c>
      <c r="R4624" s="168" t="s">
        <v>5709</v>
      </c>
      <c r="S4624" s="150"/>
    </row>
    <row r="4625" spans="1:19" hidden="1">
      <c r="A4625" s="149" t="s">
        <v>6788</v>
      </c>
      <c r="B4625" s="150" t="str">
        <f>IFERROR(VLOOKUP(Proc[[#This Row],[App]],Table2[],3,0),"open")</f>
        <v>ok</v>
      </c>
      <c r="C4625" s="149" t="s">
        <v>369</v>
      </c>
      <c r="D4625" t="s">
        <v>6796</v>
      </c>
      <c r="E4625" t="s">
        <v>6827</v>
      </c>
      <c r="F4625" s="150" t="s">
        <v>6827</v>
      </c>
      <c r="G4625" s="149" t="s">
        <v>406</v>
      </c>
      <c r="H4625" s="150" t="str">
        <f>IF(Proc[[#This Row],[type]]="LFF (MDG-F)",MID(Proc[[#This Row],[Obj]],13,10),"")</f>
        <v>IN01Z02182</v>
      </c>
      <c r="I4625" s="149" t="s">
        <v>6827</v>
      </c>
      <c r="J4625" s="150" t="b">
        <f>Proc[[#This Row],[Requested]]=Proc[[#This Row],[CurrentParent]]</f>
        <v>1</v>
      </c>
      <c r="K4625" s="150" t="str">
        <f>IF(Proc[[#This Row],[Author]]="Marcela Urrego",VLOOKUP(LEFT(Proc[[#This Row],[Requested]],1),Table3[#All],2,0),VLOOKUP(Proc[[#This Row],[Author]],Table4[],2,0))</f>
        <v>EL</v>
      </c>
      <c r="L4625" s="150" t="s">
        <v>6435</v>
      </c>
      <c r="M4625" s="169">
        <v>45973</v>
      </c>
      <c r="N4625" s="169"/>
      <c r="O4625" s="169"/>
      <c r="P4625" s="168" t="str">
        <f ca="1">IF(Proc[[#This Row],[DaysAgeing]]&gt;5,"yep","on track")</f>
        <v>yep</v>
      </c>
      <c r="Q4625" s="3">
        <f ca="1">IF(Proc[[#This Row],[DateClosed]]="",ABS(NETWORKDAYS(Proc[[#This Row],[DateOpened]],TODAY()))-1,ABS(NETWORKDAYS(Proc[[#This Row],[DateOpened]],Proc[[#This Row],[DateClosed]]))-1)</f>
        <v>27</v>
      </c>
      <c r="R4625" s="168" t="s">
        <v>5709</v>
      </c>
      <c r="S4625" s="150"/>
    </row>
    <row r="4626" spans="1:19" hidden="1">
      <c r="A4626" s="149" t="s">
        <v>6788</v>
      </c>
      <c r="B4626" s="150" t="str">
        <f>IFERROR(VLOOKUP(Proc[[#This Row],[App]],Table2[],3,0),"open")</f>
        <v>ok</v>
      </c>
      <c r="C4626" s="149" t="s">
        <v>369</v>
      </c>
      <c r="D4626" t="s">
        <v>6797</v>
      </c>
      <c r="E4626" t="s">
        <v>6827</v>
      </c>
      <c r="F4626" s="150" t="s">
        <v>6827</v>
      </c>
      <c r="G4626" s="149" t="s">
        <v>406</v>
      </c>
      <c r="H4626" s="150" t="str">
        <f>IF(Proc[[#This Row],[type]]="LFF (MDG-F)",MID(Proc[[#This Row],[Obj]],13,10),"")</f>
        <v>IN01Z02183</v>
      </c>
      <c r="I4626" s="149" t="s">
        <v>6827</v>
      </c>
      <c r="J4626" s="150" t="b">
        <f>Proc[[#This Row],[Requested]]=Proc[[#This Row],[CurrentParent]]</f>
        <v>1</v>
      </c>
      <c r="K4626" s="150" t="str">
        <f>IF(Proc[[#This Row],[Author]]="Marcela Urrego",VLOOKUP(LEFT(Proc[[#This Row],[Requested]],1),Table3[#All],2,0),VLOOKUP(Proc[[#This Row],[Author]],Table4[],2,0))</f>
        <v>EL</v>
      </c>
      <c r="L4626" s="150" t="s">
        <v>6435</v>
      </c>
      <c r="M4626" s="169">
        <v>45973</v>
      </c>
      <c r="N4626" s="169"/>
      <c r="O4626" s="169"/>
      <c r="P4626" s="168" t="str">
        <f ca="1">IF(Proc[[#This Row],[DaysAgeing]]&gt;5,"yep","on track")</f>
        <v>yep</v>
      </c>
      <c r="Q4626" s="3">
        <f ca="1">IF(Proc[[#This Row],[DateClosed]]="",ABS(NETWORKDAYS(Proc[[#This Row],[DateOpened]],TODAY()))-1,ABS(NETWORKDAYS(Proc[[#This Row],[DateOpened]],Proc[[#This Row],[DateClosed]]))-1)</f>
        <v>27</v>
      </c>
      <c r="R4626" s="168" t="s">
        <v>5709</v>
      </c>
      <c r="S4626" s="150"/>
    </row>
    <row r="4627" spans="1:19" hidden="1">
      <c r="A4627" s="149" t="s">
        <v>6788</v>
      </c>
      <c r="B4627" s="150" t="str">
        <f>IFERROR(VLOOKUP(Proc[[#This Row],[App]],Table2[],3,0),"open")</f>
        <v>ok</v>
      </c>
      <c r="C4627" s="149" t="s">
        <v>369</v>
      </c>
      <c r="D4627" t="s">
        <v>6798</v>
      </c>
      <c r="E4627" t="s">
        <v>6827</v>
      </c>
      <c r="F4627" s="150" t="s">
        <v>6827</v>
      </c>
      <c r="G4627" s="149" t="s">
        <v>406</v>
      </c>
      <c r="H4627" s="150" t="str">
        <f>IF(Proc[[#This Row],[type]]="LFF (MDG-F)",MID(Proc[[#This Row],[Obj]],13,10),"")</f>
        <v>IN01Z02184</v>
      </c>
      <c r="I4627" s="149" t="s">
        <v>6827</v>
      </c>
      <c r="J4627" s="150" t="b">
        <f>Proc[[#This Row],[Requested]]=Proc[[#This Row],[CurrentParent]]</f>
        <v>1</v>
      </c>
      <c r="K4627" s="150" t="str">
        <f>IF(Proc[[#This Row],[Author]]="Marcela Urrego",VLOOKUP(LEFT(Proc[[#This Row],[Requested]],1),Table3[#All],2,0),VLOOKUP(Proc[[#This Row],[Author]],Table4[],2,0))</f>
        <v>EL</v>
      </c>
      <c r="L4627" s="150" t="s">
        <v>6435</v>
      </c>
      <c r="M4627" s="169">
        <v>45973</v>
      </c>
      <c r="N4627" s="169"/>
      <c r="O4627" s="169"/>
      <c r="P4627" s="168" t="str">
        <f ca="1">IF(Proc[[#This Row],[DaysAgeing]]&gt;5,"yep","on track")</f>
        <v>yep</v>
      </c>
      <c r="Q4627" s="3">
        <f ca="1">IF(Proc[[#This Row],[DateClosed]]="",ABS(NETWORKDAYS(Proc[[#This Row],[DateOpened]],TODAY()))-1,ABS(NETWORKDAYS(Proc[[#This Row],[DateOpened]],Proc[[#This Row],[DateClosed]]))-1)</f>
        <v>27</v>
      </c>
      <c r="R4627" s="168" t="s">
        <v>5709</v>
      </c>
      <c r="S4627" s="150"/>
    </row>
    <row r="4628" spans="1:19" hidden="1">
      <c r="A4628" s="149" t="s">
        <v>6788</v>
      </c>
      <c r="B4628" s="150" t="str">
        <f>IFERROR(VLOOKUP(Proc[[#This Row],[App]],Table2[],3,0),"open")</f>
        <v>ok</v>
      </c>
      <c r="C4628" s="149" t="s">
        <v>369</v>
      </c>
      <c r="D4628" t="s">
        <v>6799</v>
      </c>
      <c r="E4628" t="s">
        <v>6827</v>
      </c>
      <c r="F4628" s="150" t="s">
        <v>6827</v>
      </c>
      <c r="G4628" s="149" t="s">
        <v>406</v>
      </c>
      <c r="H4628" s="150" t="str">
        <f>IF(Proc[[#This Row],[type]]="LFF (MDG-F)",MID(Proc[[#This Row],[Obj]],13,10),"")</f>
        <v>JP01Z02181</v>
      </c>
      <c r="I4628" s="149" t="s">
        <v>6827</v>
      </c>
      <c r="J4628" s="150" t="b">
        <f>Proc[[#This Row],[Requested]]=Proc[[#This Row],[CurrentParent]]</f>
        <v>1</v>
      </c>
      <c r="K4628" s="150" t="str">
        <f>IF(Proc[[#This Row],[Author]]="Marcela Urrego",VLOOKUP(LEFT(Proc[[#This Row],[Requested]],1),Table3[#All],2,0),VLOOKUP(Proc[[#This Row],[Author]],Table4[],2,0))</f>
        <v>EL</v>
      </c>
      <c r="L4628" s="150" t="s">
        <v>6435</v>
      </c>
      <c r="M4628" s="169">
        <v>45973</v>
      </c>
      <c r="N4628" s="169"/>
      <c r="O4628" s="169"/>
      <c r="P4628" s="168" t="str">
        <f ca="1">IF(Proc[[#This Row],[DaysAgeing]]&gt;5,"yep","on track")</f>
        <v>yep</v>
      </c>
      <c r="Q4628" s="3">
        <f ca="1">IF(Proc[[#This Row],[DateClosed]]="",ABS(NETWORKDAYS(Proc[[#This Row],[DateOpened]],TODAY()))-1,ABS(NETWORKDAYS(Proc[[#This Row],[DateOpened]],Proc[[#This Row],[DateClosed]]))-1)</f>
        <v>27</v>
      </c>
      <c r="R4628" s="168" t="s">
        <v>5709</v>
      </c>
      <c r="S4628" s="150"/>
    </row>
    <row r="4629" spans="1:19" hidden="1">
      <c r="A4629" s="149" t="s">
        <v>6788</v>
      </c>
      <c r="B4629" s="150" t="str">
        <f>IFERROR(VLOOKUP(Proc[[#This Row],[App]],Table2[],3,0),"open")</f>
        <v>ok</v>
      </c>
      <c r="C4629" s="149" t="s">
        <v>369</v>
      </c>
      <c r="D4629" t="s">
        <v>6800</v>
      </c>
      <c r="E4629" t="s">
        <v>6827</v>
      </c>
      <c r="F4629" s="150" t="s">
        <v>6827</v>
      </c>
      <c r="G4629" s="149" t="s">
        <v>406</v>
      </c>
      <c r="H4629" s="150" t="str">
        <f>IF(Proc[[#This Row],[type]]="LFF (MDG-F)",MID(Proc[[#This Row],[Obj]],13,10),"")</f>
        <v>JP01Z02184</v>
      </c>
      <c r="I4629" s="149" t="s">
        <v>6827</v>
      </c>
      <c r="J4629" s="150" t="b">
        <f>Proc[[#This Row],[Requested]]=Proc[[#This Row],[CurrentParent]]</f>
        <v>1</v>
      </c>
      <c r="K4629" s="150" t="str">
        <f>IF(Proc[[#This Row],[Author]]="Marcela Urrego",VLOOKUP(LEFT(Proc[[#This Row],[Requested]],1),Table3[#All],2,0),VLOOKUP(Proc[[#This Row],[Author]],Table4[],2,0))</f>
        <v>EL</v>
      </c>
      <c r="L4629" s="150" t="s">
        <v>6435</v>
      </c>
      <c r="M4629" s="169">
        <v>45973</v>
      </c>
      <c r="N4629" s="169"/>
      <c r="O4629" s="169"/>
      <c r="P4629" s="168" t="str">
        <f ca="1">IF(Proc[[#This Row],[DaysAgeing]]&gt;5,"yep","on track")</f>
        <v>yep</v>
      </c>
      <c r="Q4629" s="3">
        <f ca="1">IF(Proc[[#This Row],[DateClosed]]="",ABS(NETWORKDAYS(Proc[[#This Row],[DateOpened]],TODAY()))-1,ABS(NETWORKDAYS(Proc[[#This Row],[DateOpened]],Proc[[#This Row],[DateClosed]]))-1)</f>
        <v>27</v>
      </c>
      <c r="R4629" s="168" t="s">
        <v>5709</v>
      </c>
      <c r="S4629" s="150"/>
    </row>
    <row r="4630" spans="1:19" hidden="1">
      <c r="A4630" s="149" t="s">
        <v>6788</v>
      </c>
      <c r="B4630" s="150" t="str">
        <f>IFERROR(VLOOKUP(Proc[[#This Row],[App]],Table2[],3,0),"open")</f>
        <v>ok</v>
      </c>
      <c r="C4630" s="149" t="s">
        <v>369</v>
      </c>
      <c r="D4630" t="s">
        <v>6801</v>
      </c>
      <c r="E4630" t="s">
        <v>6827</v>
      </c>
      <c r="F4630" s="150" t="s">
        <v>6827</v>
      </c>
      <c r="G4630" s="149" t="s">
        <v>406</v>
      </c>
      <c r="H4630" s="150" t="str">
        <f>IF(Proc[[#This Row],[type]]="LFF (MDG-F)",MID(Proc[[#This Row],[Obj]],13,10),"")</f>
        <v>JP01Z02185</v>
      </c>
      <c r="I4630" s="149" t="s">
        <v>6827</v>
      </c>
      <c r="J4630" s="150" t="b">
        <f>Proc[[#This Row],[Requested]]=Proc[[#This Row],[CurrentParent]]</f>
        <v>1</v>
      </c>
      <c r="K4630" s="150" t="str">
        <f>IF(Proc[[#This Row],[Author]]="Marcela Urrego",VLOOKUP(LEFT(Proc[[#This Row],[Requested]],1),Table3[#All],2,0),VLOOKUP(Proc[[#This Row],[Author]],Table4[],2,0))</f>
        <v>EL</v>
      </c>
      <c r="L4630" s="150" t="s">
        <v>6435</v>
      </c>
      <c r="M4630" s="169">
        <v>45973</v>
      </c>
      <c r="N4630" s="169"/>
      <c r="O4630" s="169"/>
      <c r="P4630" s="168" t="str">
        <f ca="1">IF(Proc[[#This Row],[DaysAgeing]]&gt;5,"yep","on track")</f>
        <v>yep</v>
      </c>
      <c r="Q4630" s="3">
        <f ca="1">IF(Proc[[#This Row],[DateClosed]]="",ABS(NETWORKDAYS(Proc[[#This Row],[DateOpened]],TODAY()))-1,ABS(NETWORKDAYS(Proc[[#This Row],[DateOpened]],Proc[[#This Row],[DateClosed]]))-1)</f>
        <v>27</v>
      </c>
      <c r="R4630" s="168" t="s">
        <v>5709</v>
      </c>
      <c r="S4630" s="150"/>
    </row>
    <row r="4631" spans="1:19" hidden="1">
      <c r="A4631" s="149" t="s">
        <v>6788</v>
      </c>
      <c r="B4631" s="150" t="str">
        <f>IFERROR(VLOOKUP(Proc[[#This Row],[App]],Table2[],3,0),"open")</f>
        <v>ok</v>
      </c>
      <c r="C4631" s="149" t="s">
        <v>369</v>
      </c>
      <c r="D4631" t="s">
        <v>6802</v>
      </c>
      <c r="E4631" t="s">
        <v>6827</v>
      </c>
      <c r="F4631" s="150" t="s">
        <v>6827</v>
      </c>
      <c r="G4631" s="149" t="s">
        <v>406</v>
      </c>
      <c r="H4631" s="150" t="str">
        <f>IF(Proc[[#This Row],[type]]="LFF (MDG-F)",MID(Proc[[#This Row],[Obj]],13,10),"")</f>
        <v>JP02Z02181</v>
      </c>
      <c r="I4631" s="149" t="s">
        <v>6827</v>
      </c>
      <c r="J4631" s="150" t="b">
        <f>Proc[[#This Row],[Requested]]=Proc[[#This Row],[CurrentParent]]</f>
        <v>1</v>
      </c>
      <c r="K4631" s="150" t="str">
        <f>IF(Proc[[#This Row],[Author]]="Marcela Urrego",VLOOKUP(LEFT(Proc[[#This Row],[Requested]],1),Table3[#All],2,0),VLOOKUP(Proc[[#This Row],[Author]],Table4[],2,0))</f>
        <v>EL</v>
      </c>
      <c r="L4631" s="150" t="s">
        <v>6435</v>
      </c>
      <c r="M4631" s="169">
        <v>45973</v>
      </c>
      <c r="N4631" s="169"/>
      <c r="O4631" s="169"/>
      <c r="P4631" s="168" t="str">
        <f ca="1">IF(Proc[[#This Row],[DaysAgeing]]&gt;5,"yep","on track")</f>
        <v>yep</v>
      </c>
      <c r="Q4631" s="3">
        <f ca="1">IF(Proc[[#This Row],[DateClosed]]="",ABS(NETWORKDAYS(Proc[[#This Row],[DateOpened]],TODAY()))-1,ABS(NETWORKDAYS(Proc[[#This Row],[DateOpened]],Proc[[#This Row],[DateClosed]]))-1)</f>
        <v>27</v>
      </c>
      <c r="R4631" s="168" t="s">
        <v>5709</v>
      </c>
      <c r="S4631" s="150"/>
    </row>
    <row r="4632" spans="1:19" hidden="1">
      <c r="A4632" s="149" t="s">
        <v>6788</v>
      </c>
      <c r="B4632" s="150" t="str">
        <f>IFERROR(VLOOKUP(Proc[[#This Row],[App]],Table2[],3,0),"open")</f>
        <v>ok</v>
      </c>
      <c r="C4632" s="149" t="s">
        <v>369</v>
      </c>
      <c r="D4632" t="s">
        <v>6803</v>
      </c>
      <c r="E4632" t="s">
        <v>6827</v>
      </c>
      <c r="F4632" s="150" t="s">
        <v>6827</v>
      </c>
      <c r="G4632" s="149" t="s">
        <v>406</v>
      </c>
      <c r="H4632" s="150" t="str">
        <f>IF(Proc[[#This Row],[type]]="LFF (MDG-F)",MID(Proc[[#This Row],[Obj]],13,10),"")</f>
        <v>JP02Z02182</v>
      </c>
      <c r="I4632" s="149" t="s">
        <v>6827</v>
      </c>
      <c r="J4632" s="150" t="b">
        <f>Proc[[#This Row],[Requested]]=Proc[[#This Row],[CurrentParent]]</f>
        <v>1</v>
      </c>
      <c r="K4632" s="150" t="str">
        <f>IF(Proc[[#This Row],[Author]]="Marcela Urrego",VLOOKUP(LEFT(Proc[[#This Row],[Requested]],1),Table3[#All],2,0),VLOOKUP(Proc[[#This Row],[Author]],Table4[],2,0))</f>
        <v>EL</v>
      </c>
      <c r="L4632" s="150" t="s">
        <v>6435</v>
      </c>
      <c r="M4632" s="169">
        <v>45973</v>
      </c>
      <c r="N4632" s="169"/>
      <c r="O4632" s="169"/>
      <c r="P4632" s="168" t="str">
        <f ca="1">IF(Proc[[#This Row],[DaysAgeing]]&gt;5,"yep","on track")</f>
        <v>yep</v>
      </c>
      <c r="Q4632" s="3">
        <f ca="1">IF(Proc[[#This Row],[DateClosed]]="",ABS(NETWORKDAYS(Proc[[#This Row],[DateOpened]],TODAY()))-1,ABS(NETWORKDAYS(Proc[[#This Row],[DateOpened]],Proc[[#This Row],[DateClosed]]))-1)</f>
        <v>27</v>
      </c>
      <c r="R4632" s="168" t="s">
        <v>5709</v>
      </c>
      <c r="S4632" s="150"/>
    </row>
    <row r="4633" spans="1:19" hidden="1">
      <c r="A4633" s="149" t="s">
        <v>6788</v>
      </c>
      <c r="B4633" s="150" t="str">
        <f>IFERROR(VLOOKUP(Proc[[#This Row],[App]],Table2[],3,0),"open")</f>
        <v>ok</v>
      </c>
      <c r="C4633" s="149" t="s">
        <v>369</v>
      </c>
      <c r="D4633" t="s">
        <v>6804</v>
      </c>
      <c r="E4633" t="s">
        <v>6827</v>
      </c>
      <c r="F4633" s="150" t="s">
        <v>6827</v>
      </c>
      <c r="G4633" s="149" t="s">
        <v>406</v>
      </c>
      <c r="H4633" s="150" t="str">
        <f>IF(Proc[[#This Row],[type]]="LFF (MDG-F)",MID(Proc[[#This Row],[Obj]],13,10),"")</f>
        <v>JP02Z02183</v>
      </c>
      <c r="I4633" s="149" t="s">
        <v>6827</v>
      </c>
      <c r="J4633" s="150" t="b">
        <f>Proc[[#This Row],[Requested]]=Proc[[#This Row],[CurrentParent]]</f>
        <v>1</v>
      </c>
      <c r="K4633" s="150" t="str">
        <f>IF(Proc[[#This Row],[Author]]="Marcela Urrego",VLOOKUP(LEFT(Proc[[#This Row],[Requested]],1),Table3[#All],2,0),VLOOKUP(Proc[[#This Row],[Author]],Table4[],2,0))</f>
        <v>EL</v>
      </c>
      <c r="L4633" s="150" t="s">
        <v>6435</v>
      </c>
      <c r="M4633" s="169">
        <v>45973</v>
      </c>
      <c r="N4633" s="169"/>
      <c r="O4633" s="169"/>
      <c r="P4633" s="168" t="str">
        <f ca="1">IF(Proc[[#This Row],[DaysAgeing]]&gt;5,"yep","on track")</f>
        <v>yep</v>
      </c>
      <c r="Q4633" s="3">
        <f ca="1">IF(Proc[[#This Row],[DateClosed]]="",ABS(NETWORKDAYS(Proc[[#This Row],[DateOpened]],TODAY()))-1,ABS(NETWORKDAYS(Proc[[#This Row],[DateOpened]],Proc[[#This Row],[DateClosed]]))-1)</f>
        <v>27</v>
      </c>
      <c r="R4633" s="168" t="s">
        <v>5709</v>
      </c>
      <c r="S4633" s="150"/>
    </row>
    <row r="4634" spans="1:19" hidden="1">
      <c r="A4634" s="149" t="s">
        <v>6788</v>
      </c>
      <c r="B4634" s="150" t="str">
        <f>IFERROR(VLOOKUP(Proc[[#This Row],[App]],Table2[],3,0),"open")</f>
        <v>ok</v>
      </c>
      <c r="C4634" s="149" t="s">
        <v>369</v>
      </c>
      <c r="D4634" t="s">
        <v>6805</v>
      </c>
      <c r="E4634" t="s">
        <v>6827</v>
      </c>
      <c r="F4634" s="150" t="s">
        <v>6827</v>
      </c>
      <c r="G4634" s="149" t="s">
        <v>406</v>
      </c>
      <c r="H4634" s="150" t="str">
        <f>IF(Proc[[#This Row],[type]]="LFF (MDG-F)",MID(Proc[[#This Row],[Obj]],13,10),"")</f>
        <v>JP02Z02184</v>
      </c>
      <c r="I4634" s="149" t="s">
        <v>6827</v>
      </c>
      <c r="J4634" s="150" t="b">
        <f>Proc[[#This Row],[Requested]]=Proc[[#This Row],[CurrentParent]]</f>
        <v>1</v>
      </c>
      <c r="K4634" s="150" t="str">
        <f>IF(Proc[[#This Row],[Author]]="Marcela Urrego",VLOOKUP(LEFT(Proc[[#This Row],[Requested]],1),Table3[#All],2,0),VLOOKUP(Proc[[#This Row],[Author]],Table4[],2,0))</f>
        <v>EL</v>
      </c>
      <c r="L4634" s="150" t="s">
        <v>6435</v>
      </c>
      <c r="M4634" s="169">
        <v>45973</v>
      </c>
      <c r="N4634" s="169"/>
      <c r="O4634" s="169"/>
      <c r="P4634" s="168" t="str">
        <f ca="1">IF(Proc[[#This Row],[DaysAgeing]]&gt;5,"yep","on track")</f>
        <v>yep</v>
      </c>
      <c r="Q4634" s="3">
        <f ca="1">IF(Proc[[#This Row],[DateClosed]]="",ABS(NETWORKDAYS(Proc[[#This Row],[DateOpened]],TODAY()))-1,ABS(NETWORKDAYS(Proc[[#This Row],[DateOpened]],Proc[[#This Row],[DateClosed]]))-1)</f>
        <v>27</v>
      </c>
      <c r="R4634" s="168" t="s">
        <v>5709</v>
      </c>
      <c r="S4634" s="150"/>
    </row>
    <row r="4635" spans="1:19" hidden="1">
      <c r="A4635" s="149" t="s">
        <v>6788</v>
      </c>
      <c r="B4635" s="150" t="str">
        <f>IFERROR(VLOOKUP(Proc[[#This Row],[App]],Table2[],3,0),"open")</f>
        <v>ok</v>
      </c>
      <c r="C4635" s="149" t="s">
        <v>369</v>
      </c>
      <c r="D4635" t="s">
        <v>6806</v>
      </c>
      <c r="E4635" t="s">
        <v>6827</v>
      </c>
      <c r="F4635" s="150" t="s">
        <v>6827</v>
      </c>
      <c r="G4635" s="149" t="s">
        <v>406</v>
      </c>
      <c r="H4635" s="150" t="str">
        <f>IF(Proc[[#This Row],[type]]="LFF (MDG-F)",MID(Proc[[#This Row],[Obj]],13,10),"")</f>
        <v>JP02Z02185</v>
      </c>
      <c r="I4635" s="149" t="s">
        <v>6827</v>
      </c>
      <c r="J4635" s="150" t="b">
        <f>Proc[[#This Row],[Requested]]=Proc[[#This Row],[CurrentParent]]</f>
        <v>1</v>
      </c>
      <c r="K4635" s="150" t="str">
        <f>IF(Proc[[#This Row],[Author]]="Marcela Urrego",VLOOKUP(LEFT(Proc[[#This Row],[Requested]],1),Table3[#All],2,0),VLOOKUP(Proc[[#This Row],[Author]],Table4[],2,0))</f>
        <v>EL</v>
      </c>
      <c r="L4635" s="150" t="s">
        <v>6435</v>
      </c>
      <c r="M4635" s="169">
        <v>45973</v>
      </c>
      <c r="N4635" s="169"/>
      <c r="O4635" s="169"/>
      <c r="P4635" s="168" t="str">
        <f ca="1">IF(Proc[[#This Row],[DaysAgeing]]&gt;5,"yep","on track")</f>
        <v>yep</v>
      </c>
      <c r="Q4635" s="3">
        <f ca="1">IF(Proc[[#This Row],[DateClosed]]="",ABS(NETWORKDAYS(Proc[[#This Row],[DateOpened]],TODAY()))-1,ABS(NETWORKDAYS(Proc[[#This Row],[DateOpened]],Proc[[#This Row],[DateClosed]]))-1)</f>
        <v>27</v>
      </c>
      <c r="R4635" s="168" t="s">
        <v>5709</v>
      </c>
      <c r="S4635" s="150"/>
    </row>
    <row r="4636" spans="1:19" hidden="1">
      <c r="A4636" s="149" t="s">
        <v>6788</v>
      </c>
      <c r="B4636" s="150" t="str">
        <f>IFERROR(VLOOKUP(Proc[[#This Row],[App]],Table2[],3,0),"open")</f>
        <v>ok</v>
      </c>
      <c r="C4636" s="149" t="s">
        <v>369</v>
      </c>
      <c r="D4636" t="s">
        <v>6807</v>
      </c>
      <c r="E4636" t="s">
        <v>6827</v>
      </c>
      <c r="F4636" s="150" t="s">
        <v>6827</v>
      </c>
      <c r="G4636" s="149" t="s">
        <v>406</v>
      </c>
      <c r="H4636" s="150" t="str">
        <f>IF(Proc[[#This Row],[type]]="LFF (MDG-F)",MID(Proc[[#This Row],[Obj]],13,10),"")</f>
        <v>KR02Z02181</v>
      </c>
      <c r="I4636" s="149" t="s">
        <v>6827</v>
      </c>
      <c r="J4636" s="150" t="b">
        <f>Proc[[#This Row],[Requested]]=Proc[[#This Row],[CurrentParent]]</f>
        <v>1</v>
      </c>
      <c r="K4636" s="150" t="str">
        <f>IF(Proc[[#This Row],[Author]]="Marcela Urrego",VLOOKUP(LEFT(Proc[[#This Row],[Requested]],1),Table3[#All],2,0),VLOOKUP(Proc[[#This Row],[Author]],Table4[],2,0))</f>
        <v>EL</v>
      </c>
      <c r="L4636" s="150" t="s">
        <v>6435</v>
      </c>
      <c r="M4636" s="169">
        <v>45973</v>
      </c>
      <c r="N4636" s="169"/>
      <c r="O4636" s="169"/>
      <c r="P4636" s="168" t="str">
        <f ca="1">IF(Proc[[#This Row],[DaysAgeing]]&gt;5,"yep","on track")</f>
        <v>yep</v>
      </c>
      <c r="Q4636" s="3">
        <f ca="1">IF(Proc[[#This Row],[DateClosed]]="",ABS(NETWORKDAYS(Proc[[#This Row],[DateOpened]],TODAY()))-1,ABS(NETWORKDAYS(Proc[[#This Row],[DateOpened]],Proc[[#This Row],[DateClosed]]))-1)</f>
        <v>27</v>
      </c>
      <c r="R4636" s="168" t="s">
        <v>5709</v>
      </c>
      <c r="S4636" s="150"/>
    </row>
    <row r="4637" spans="1:19" hidden="1">
      <c r="A4637" s="149" t="s">
        <v>6788</v>
      </c>
      <c r="B4637" s="150" t="str">
        <f>IFERROR(VLOOKUP(Proc[[#This Row],[App]],Table2[],3,0),"open")</f>
        <v>ok</v>
      </c>
      <c r="C4637" s="149" t="s">
        <v>369</v>
      </c>
      <c r="D4637" t="s">
        <v>6808</v>
      </c>
      <c r="E4637" t="s">
        <v>6827</v>
      </c>
      <c r="F4637" s="150" t="s">
        <v>6827</v>
      </c>
      <c r="G4637" s="149" t="s">
        <v>406</v>
      </c>
      <c r="H4637" s="150" t="str">
        <f>IF(Proc[[#This Row],[type]]="LFF (MDG-F)",MID(Proc[[#This Row],[Obj]],13,10),"")</f>
        <v>KR02Z02182</v>
      </c>
      <c r="I4637" s="149" t="s">
        <v>6827</v>
      </c>
      <c r="J4637" s="150" t="b">
        <f>Proc[[#This Row],[Requested]]=Proc[[#This Row],[CurrentParent]]</f>
        <v>1</v>
      </c>
      <c r="K4637" s="150" t="str">
        <f>IF(Proc[[#This Row],[Author]]="Marcela Urrego",VLOOKUP(LEFT(Proc[[#This Row],[Requested]],1),Table3[#All],2,0),VLOOKUP(Proc[[#This Row],[Author]],Table4[],2,0))</f>
        <v>EL</v>
      </c>
      <c r="L4637" s="150" t="s">
        <v>6435</v>
      </c>
      <c r="M4637" s="169">
        <v>45973</v>
      </c>
      <c r="N4637" s="169"/>
      <c r="O4637" s="169"/>
      <c r="P4637" s="168" t="str">
        <f ca="1">IF(Proc[[#This Row],[DaysAgeing]]&gt;5,"yep","on track")</f>
        <v>yep</v>
      </c>
      <c r="Q4637" s="3">
        <f ca="1">IF(Proc[[#This Row],[DateClosed]]="",ABS(NETWORKDAYS(Proc[[#This Row],[DateOpened]],TODAY()))-1,ABS(NETWORKDAYS(Proc[[#This Row],[DateOpened]],Proc[[#This Row],[DateClosed]]))-1)</f>
        <v>27</v>
      </c>
      <c r="R4637" s="168" t="s">
        <v>5709</v>
      </c>
      <c r="S4637" s="150"/>
    </row>
    <row r="4638" spans="1:19" hidden="1">
      <c r="A4638" s="149" t="s">
        <v>6788</v>
      </c>
      <c r="B4638" s="150" t="str">
        <f>IFERROR(VLOOKUP(Proc[[#This Row],[App]],Table2[],3,0),"open")</f>
        <v>ok</v>
      </c>
      <c r="C4638" s="149" t="s">
        <v>369</v>
      </c>
      <c r="D4638" t="s">
        <v>6809</v>
      </c>
      <c r="E4638" t="s">
        <v>6827</v>
      </c>
      <c r="F4638" s="150" t="s">
        <v>6827</v>
      </c>
      <c r="G4638" s="149" t="s">
        <v>406</v>
      </c>
      <c r="H4638" s="150" t="str">
        <f>IF(Proc[[#This Row],[type]]="LFF (MDG-F)",MID(Proc[[#This Row],[Obj]],13,10),"")</f>
        <v>KR02Z02183</v>
      </c>
      <c r="I4638" s="149" t="s">
        <v>6827</v>
      </c>
      <c r="J4638" s="150" t="b">
        <f>Proc[[#This Row],[Requested]]=Proc[[#This Row],[CurrentParent]]</f>
        <v>1</v>
      </c>
      <c r="K4638" s="150" t="str">
        <f>IF(Proc[[#This Row],[Author]]="Marcela Urrego",VLOOKUP(LEFT(Proc[[#This Row],[Requested]],1),Table3[#All],2,0),VLOOKUP(Proc[[#This Row],[Author]],Table4[],2,0))</f>
        <v>EL</v>
      </c>
      <c r="L4638" s="150" t="s">
        <v>6435</v>
      </c>
      <c r="M4638" s="169">
        <v>45973</v>
      </c>
      <c r="N4638" s="169"/>
      <c r="O4638" s="169"/>
      <c r="P4638" s="168" t="str">
        <f ca="1">IF(Proc[[#This Row],[DaysAgeing]]&gt;5,"yep","on track")</f>
        <v>yep</v>
      </c>
      <c r="Q4638" s="3">
        <f ca="1">IF(Proc[[#This Row],[DateClosed]]="",ABS(NETWORKDAYS(Proc[[#This Row],[DateOpened]],TODAY()))-1,ABS(NETWORKDAYS(Proc[[#This Row],[DateOpened]],Proc[[#This Row],[DateClosed]]))-1)</f>
        <v>27</v>
      </c>
      <c r="R4638" s="168" t="s">
        <v>5709</v>
      </c>
      <c r="S4638" s="150"/>
    </row>
    <row r="4639" spans="1:19" hidden="1">
      <c r="A4639" s="149" t="s">
        <v>6788</v>
      </c>
      <c r="B4639" s="150" t="str">
        <f>IFERROR(VLOOKUP(Proc[[#This Row],[App]],Table2[],3,0),"open")</f>
        <v>ok</v>
      </c>
      <c r="C4639" s="149" t="s">
        <v>369</v>
      </c>
      <c r="D4639" t="s">
        <v>6810</v>
      </c>
      <c r="E4639" t="s">
        <v>6827</v>
      </c>
      <c r="F4639" s="150" t="s">
        <v>6827</v>
      </c>
      <c r="G4639" s="149" t="s">
        <v>406</v>
      </c>
      <c r="H4639" s="150" t="str">
        <f>IF(Proc[[#This Row],[type]]="LFF (MDG-F)",MID(Proc[[#This Row],[Obj]],13,10),"")</f>
        <v>KR02Z02184</v>
      </c>
      <c r="I4639" s="149" t="s">
        <v>6827</v>
      </c>
      <c r="J4639" s="150" t="b">
        <f>Proc[[#This Row],[Requested]]=Proc[[#This Row],[CurrentParent]]</f>
        <v>1</v>
      </c>
      <c r="K4639" s="150" t="str">
        <f>IF(Proc[[#This Row],[Author]]="Marcela Urrego",VLOOKUP(LEFT(Proc[[#This Row],[Requested]],1),Table3[#All],2,0),VLOOKUP(Proc[[#This Row],[Author]],Table4[],2,0))</f>
        <v>EL</v>
      </c>
      <c r="L4639" s="150" t="s">
        <v>6435</v>
      </c>
      <c r="M4639" s="169">
        <v>45973</v>
      </c>
      <c r="N4639" s="169"/>
      <c r="O4639" s="169"/>
      <c r="P4639" s="168" t="str">
        <f ca="1">IF(Proc[[#This Row],[DaysAgeing]]&gt;5,"yep","on track")</f>
        <v>yep</v>
      </c>
      <c r="Q4639" s="3">
        <f ca="1">IF(Proc[[#This Row],[DateClosed]]="",ABS(NETWORKDAYS(Proc[[#This Row],[DateOpened]],TODAY()))-1,ABS(NETWORKDAYS(Proc[[#This Row],[DateOpened]],Proc[[#This Row],[DateClosed]]))-1)</f>
        <v>27</v>
      </c>
      <c r="R4639" s="168" t="s">
        <v>5709</v>
      </c>
      <c r="S4639" s="150"/>
    </row>
    <row r="4640" spans="1:19" hidden="1">
      <c r="A4640" s="149" t="s">
        <v>6788</v>
      </c>
      <c r="B4640" s="150" t="str">
        <f>IFERROR(VLOOKUP(Proc[[#This Row],[App]],Table2[],3,0),"open")</f>
        <v>ok</v>
      </c>
      <c r="C4640" s="149" t="s">
        <v>369</v>
      </c>
      <c r="D4640" t="s">
        <v>6811</v>
      </c>
      <c r="E4640" t="s">
        <v>6827</v>
      </c>
      <c r="F4640" s="150" t="s">
        <v>6827</v>
      </c>
      <c r="G4640" s="149" t="s">
        <v>406</v>
      </c>
      <c r="H4640" s="150" t="str">
        <f>IF(Proc[[#This Row],[type]]="LFF (MDG-F)",MID(Proc[[#This Row],[Obj]],13,10),"")</f>
        <v>SG09Z02181</v>
      </c>
      <c r="I4640" s="149" t="s">
        <v>6827</v>
      </c>
      <c r="J4640" s="150" t="b">
        <f>Proc[[#This Row],[Requested]]=Proc[[#This Row],[CurrentParent]]</f>
        <v>1</v>
      </c>
      <c r="K4640" s="150" t="str">
        <f>IF(Proc[[#This Row],[Author]]="Marcela Urrego",VLOOKUP(LEFT(Proc[[#This Row],[Requested]],1),Table3[#All],2,0),VLOOKUP(Proc[[#This Row],[Author]],Table4[],2,0))</f>
        <v>EL</v>
      </c>
      <c r="L4640" s="150" t="s">
        <v>6435</v>
      </c>
      <c r="M4640" s="169">
        <v>45973</v>
      </c>
      <c r="N4640" s="169"/>
      <c r="O4640" s="169"/>
      <c r="P4640" s="168" t="str">
        <f ca="1">IF(Proc[[#This Row],[DaysAgeing]]&gt;5,"yep","on track")</f>
        <v>yep</v>
      </c>
      <c r="Q4640" s="3">
        <f ca="1">IF(Proc[[#This Row],[DateClosed]]="",ABS(NETWORKDAYS(Proc[[#This Row],[DateOpened]],TODAY()))-1,ABS(NETWORKDAYS(Proc[[#This Row],[DateOpened]],Proc[[#This Row],[DateClosed]]))-1)</f>
        <v>27</v>
      </c>
      <c r="R4640" s="168" t="s">
        <v>5709</v>
      </c>
      <c r="S4640" s="150"/>
    </row>
    <row r="4641" spans="1:19" hidden="1">
      <c r="A4641" s="149" t="s">
        <v>6788</v>
      </c>
      <c r="B4641" s="150" t="str">
        <f>IFERROR(VLOOKUP(Proc[[#This Row],[App]],Table2[],3,0),"open")</f>
        <v>ok</v>
      </c>
      <c r="C4641" s="149" t="s">
        <v>369</v>
      </c>
      <c r="D4641" t="s">
        <v>6812</v>
      </c>
      <c r="E4641" t="s">
        <v>6827</v>
      </c>
      <c r="F4641" s="150" t="s">
        <v>6827</v>
      </c>
      <c r="G4641" s="149" t="s">
        <v>406</v>
      </c>
      <c r="H4641" s="150" t="str">
        <f>IF(Proc[[#This Row],[type]]="LFF (MDG-F)",MID(Proc[[#This Row],[Obj]],13,10),"")</f>
        <v>SG09Z02182</v>
      </c>
      <c r="I4641" s="149" t="s">
        <v>6827</v>
      </c>
      <c r="J4641" s="150" t="b">
        <f>Proc[[#This Row],[Requested]]=Proc[[#This Row],[CurrentParent]]</f>
        <v>1</v>
      </c>
      <c r="K4641" s="150" t="str">
        <f>IF(Proc[[#This Row],[Author]]="Marcela Urrego",VLOOKUP(LEFT(Proc[[#This Row],[Requested]],1),Table3[#All],2,0),VLOOKUP(Proc[[#This Row],[Author]],Table4[],2,0))</f>
        <v>EL</v>
      </c>
      <c r="L4641" s="150" t="s">
        <v>6435</v>
      </c>
      <c r="M4641" s="169">
        <v>45973</v>
      </c>
      <c r="N4641" s="169"/>
      <c r="O4641" s="169"/>
      <c r="P4641" s="168" t="str">
        <f ca="1">IF(Proc[[#This Row],[DaysAgeing]]&gt;5,"yep","on track")</f>
        <v>yep</v>
      </c>
      <c r="Q4641" s="3">
        <f ca="1">IF(Proc[[#This Row],[DateClosed]]="",ABS(NETWORKDAYS(Proc[[#This Row],[DateOpened]],TODAY()))-1,ABS(NETWORKDAYS(Proc[[#This Row],[DateOpened]],Proc[[#This Row],[DateClosed]]))-1)</f>
        <v>27</v>
      </c>
      <c r="R4641" s="168" t="s">
        <v>5709</v>
      </c>
      <c r="S4641" s="150"/>
    </row>
    <row r="4642" spans="1:19" hidden="1">
      <c r="A4642" s="149" t="s">
        <v>6788</v>
      </c>
      <c r="B4642" s="150" t="str">
        <f>IFERROR(VLOOKUP(Proc[[#This Row],[App]],Table2[],3,0),"open")</f>
        <v>ok</v>
      </c>
      <c r="C4642" s="149" t="s">
        <v>369</v>
      </c>
      <c r="D4642" t="s">
        <v>6813</v>
      </c>
      <c r="E4642" t="s">
        <v>6827</v>
      </c>
      <c r="F4642" s="150" t="s">
        <v>6827</v>
      </c>
      <c r="G4642" s="149" t="s">
        <v>406</v>
      </c>
      <c r="H4642" s="150" t="str">
        <f>IF(Proc[[#This Row],[type]]="LFF (MDG-F)",MID(Proc[[#This Row],[Obj]],13,10),"")</f>
        <v>SG09Z02183</v>
      </c>
      <c r="I4642" s="149" t="s">
        <v>6827</v>
      </c>
      <c r="J4642" s="150" t="b">
        <f>Proc[[#This Row],[Requested]]=Proc[[#This Row],[CurrentParent]]</f>
        <v>1</v>
      </c>
      <c r="K4642" s="150" t="str">
        <f>IF(Proc[[#This Row],[Author]]="Marcela Urrego",VLOOKUP(LEFT(Proc[[#This Row],[Requested]],1),Table3[#All],2,0),VLOOKUP(Proc[[#This Row],[Author]],Table4[],2,0))</f>
        <v>EL</v>
      </c>
      <c r="L4642" s="150" t="s">
        <v>6435</v>
      </c>
      <c r="M4642" s="169">
        <v>45973</v>
      </c>
      <c r="N4642" s="169"/>
      <c r="O4642" s="169"/>
      <c r="P4642" s="168" t="str">
        <f ca="1">IF(Proc[[#This Row],[DaysAgeing]]&gt;5,"yep","on track")</f>
        <v>yep</v>
      </c>
      <c r="Q4642" s="3">
        <f ca="1">IF(Proc[[#This Row],[DateClosed]]="",ABS(NETWORKDAYS(Proc[[#This Row],[DateOpened]],TODAY()))-1,ABS(NETWORKDAYS(Proc[[#This Row],[DateOpened]],Proc[[#This Row],[DateClosed]]))-1)</f>
        <v>27</v>
      </c>
      <c r="R4642" s="168" t="s">
        <v>5709</v>
      </c>
      <c r="S4642" s="150"/>
    </row>
    <row r="4643" spans="1:19" hidden="1">
      <c r="A4643" s="149" t="s">
        <v>6788</v>
      </c>
      <c r="B4643" s="150" t="str">
        <f>IFERROR(VLOOKUP(Proc[[#This Row],[App]],Table2[],3,0),"open")</f>
        <v>ok</v>
      </c>
      <c r="C4643" s="149" t="s">
        <v>369</v>
      </c>
      <c r="D4643" t="s">
        <v>6814</v>
      </c>
      <c r="E4643" t="s">
        <v>6827</v>
      </c>
      <c r="F4643" s="150" t="s">
        <v>6827</v>
      </c>
      <c r="G4643" s="149" t="s">
        <v>406</v>
      </c>
      <c r="H4643" s="150" t="str">
        <f>IF(Proc[[#This Row],[type]]="LFF (MDG-F)",MID(Proc[[#This Row],[Obj]],13,10),"")</f>
        <v>SG09Z02184</v>
      </c>
      <c r="I4643" s="149" t="s">
        <v>6827</v>
      </c>
      <c r="J4643" s="150" t="b">
        <f>Proc[[#This Row],[Requested]]=Proc[[#This Row],[CurrentParent]]</f>
        <v>1</v>
      </c>
      <c r="K4643" s="150" t="str">
        <f>IF(Proc[[#This Row],[Author]]="Marcela Urrego",VLOOKUP(LEFT(Proc[[#This Row],[Requested]],1),Table3[#All],2,0),VLOOKUP(Proc[[#This Row],[Author]],Table4[],2,0))</f>
        <v>EL</v>
      </c>
      <c r="L4643" s="150" t="s">
        <v>6435</v>
      </c>
      <c r="M4643" s="169">
        <v>45973</v>
      </c>
      <c r="N4643" s="169"/>
      <c r="O4643" s="169"/>
      <c r="P4643" s="168" t="str">
        <f ca="1">IF(Proc[[#This Row],[DaysAgeing]]&gt;5,"yep","on track")</f>
        <v>yep</v>
      </c>
      <c r="Q4643" s="3">
        <f ca="1">IF(Proc[[#This Row],[DateClosed]]="",ABS(NETWORKDAYS(Proc[[#This Row],[DateOpened]],TODAY()))-1,ABS(NETWORKDAYS(Proc[[#This Row],[DateOpened]],Proc[[#This Row],[DateClosed]]))-1)</f>
        <v>27</v>
      </c>
      <c r="R4643" s="168" t="s">
        <v>5709</v>
      </c>
      <c r="S4643" s="150"/>
    </row>
    <row r="4644" spans="1:19" hidden="1">
      <c r="A4644" s="149" t="s">
        <v>6788</v>
      </c>
      <c r="B4644" s="150" t="str">
        <f>IFERROR(VLOOKUP(Proc[[#This Row],[App]],Table2[],3,0),"open")</f>
        <v>ok</v>
      </c>
      <c r="C4644" s="149" t="s">
        <v>369</v>
      </c>
      <c r="D4644" t="s">
        <v>6815</v>
      </c>
      <c r="E4644" t="s">
        <v>6827</v>
      </c>
      <c r="F4644" s="150" t="s">
        <v>6827</v>
      </c>
      <c r="G4644" s="149" t="s">
        <v>406</v>
      </c>
      <c r="H4644" s="150" t="str">
        <f>IF(Proc[[#This Row],[type]]="LFF (MDG-F)",MID(Proc[[#This Row],[Obj]],13,10),"")</f>
        <v>TW02Z02183</v>
      </c>
      <c r="I4644" s="149" t="s">
        <v>6827</v>
      </c>
      <c r="J4644" s="150" t="b">
        <f>Proc[[#This Row],[Requested]]=Proc[[#This Row],[CurrentParent]]</f>
        <v>1</v>
      </c>
      <c r="K4644" s="150" t="str">
        <f>IF(Proc[[#This Row],[Author]]="Marcela Urrego",VLOOKUP(LEFT(Proc[[#This Row],[Requested]],1),Table3[#All],2,0),VLOOKUP(Proc[[#This Row],[Author]],Table4[],2,0))</f>
        <v>EL</v>
      </c>
      <c r="L4644" s="150" t="s">
        <v>6435</v>
      </c>
      <c r="M4644" s="169">
        <v>45973</v>
      </c>
      <c r="N4644" s="169"/>
      <c r="O4644" s="169"/>
      <c r="P4644" s="168" t="str">
        <f ca="1">IF(Proc[[#This Row],[DaysAgeing]]&gt;5,"yep","on track")</f>
        <v>yep</v>
      </c>
      <c r="Q4644" s="3">
        <f ca="1">IF(Proc[[#This Row],[DateClosed]]="",ABS(NETWORKDAYS(Proc[[#This Row],[DateOpened]],TODAY()))-1,ABS(NETWORKDAYS(Proc[[#This Row],[DateOpened]],Proc[[#This Row],[DateClosed]]))-1)</f>
        <v>27</v>
      </c>
      <c r="R4644" s="168" t="s">
        <v>5709</v>
      </c>
      <c r="S4644" s="150"/>
    </row>
    <row r="4645" spans="1:19" hidden="1">
      <c r="A4645" s="149" t="s">
        <v>6788</v>
      </c>
      <c r="B4645" s="150" t="str">
        <f>IFERROR(VLOOKUP(Proc[[#This Row],[App]],Table2[],3,0),"open")</f>
        <v>ok</v>
      </c>
      <c r="C4645" s="149" t="s">
        <v>369</v>
      </c>
      <c r="D4645" t="s">
        <v>6816</v>
      </c>
      <c r="E4645" t="s">
        <v>6827</v>
      </c>
      <c r="F4645" s="150" t="s">
        <v>6827</v>
      </c>
      <c r="G4645" s="149" t="s">
        <v>406</v>
      </c>
      <c r="H4645" s="150" t="str">
        <f>IF(Proc[[#This Row],[type]]="LFF (MDG-F)",MID(Proc[[#This Row],[Obj]],13,10),"")</f>
        <v>TW02Z02184</v>
      </c>
      <c r="I4645" s="149" t="s">
        <v>6827</v>
      </c>
      <c r="J4645" s="150" t="b">
        <f>Proc[[#This Row],[Requested]]=Proc[[#This Row],[CurrentParent]]</f>
        <v>1</v>
      </c>
      <c r="K4645" s="150" t="str">
        <f>IF(Proc[[#This Row],[Author]]="Marcela Urrego",VLOOKUP(LEFT(Proc[[#This Row],[Requested]],1),Table3[#All],2,0),VLOOKUP(Proc[[#This Row],[Author]],Table4[],2,0))</f>
        <v>EL</v>
      </c>
      <c r="L4645" s="150" t="s">
        <v>6435</v>
      </c>
      <c r="M4645" s="169">
        <v>45973</v>
      </c>
      <c r="N4645" s="169"/>
      <c r="O4645" s="169"/>
      <c r="P4645" s="168" t="str">
        <f ca="1">IF(Proc[[#This Row],[DaysAgeing]]&gt;5,"yep","on track")</f>
        <v>yep</v>
      </c>
      <c r="Q4645" s="3">
        <f ca="1">IF(Proc[[#This Row],[DateClosed]]="",ABS(NETWORKDAYS(Proc[[#This Row],[DateOpened]],TODAY()))-1,ABS(NETWORKDAYS(Proc[[#This Row],[DateOpened]],Proc[[#This Row],[DateClosed]]))-1)</f>
        <v>27</v>
      </c>
      <c r="R4645" s="168" t="s">
        <v>5709</v>
      </c>
      <c r="S4645" s="150"/>
    </row>
    <row r="4646" spans="1:19" hidden="1">
      <c r="A4646" s="149" t="s">
        <v>6788</v>
      </c>
      <c r="B4646" s="150" t="str">
        <f>IFERROR(VLOOKUP(Proc[[#This Row],[App]],Table2[],3,0),"open")</f>
        <v>ok</v>
      </c>
      <c r="C4646" s="149" t="s">
        <v>369</v>
      </c>
      <c r="D4646" t="s">
        <v>6817</v>
      </c>
      <c r="E4646" t="s">
        <v>6827</v>
      </c>
      <c r="F4646" s="150" t="s">
        <v>6827</v>
      </c>
      <c r="G4646" s="149" t="s">
        <v>406</v>
      </c>
      <c r="H4646" s="150" t="str">
        <f>IF(Proc[[#This Row],[type]]="LFF (MDG-F)",MID(Proc[[#This Row],[Obj]],13,10),"")</f>
        <v>TW03Z02184</v>
      </c>
      <c r="I4646" s="149" t="s">
        <v>6827</v>
      </c>
      <c r="J4646" s="150" t="b">
        <f>Proc[[#This Row],[Requested]]=Proc[[#This Row],[CurrentParent]]</f>
        <v>1</v>
      </c>
      <c r="K4646" s="150" t="str">
        <f>IF(Proc[[#This Row],[Author]]="Marcela Urrego",VLOOKUP(LEFT(Proc[[#This Row],[Requested]],1),Table3[#All],2,0),VLOOKUP(Proc[[#This Row],[Author]],Table4[],2,0))</f>
        <v>EL</v>
      </c>
      <c r="L4646" s="150" t="s">
        <v>6435</v>
      </c>
      <c r="M4646" s="169">
        <v>45973</v>
      </c>
      <c r="N4646" s="169"/>
      <c r="O4646" s="169"/>
      <c r="P4646" s="168" t="str">
        <f ca="1">IF(Proc[[#This Row],[DaysAgeing]]&gt;5,"yep","on track")</f>
        <v>yep</v>
      </c>
      <c r="Q4646" s="3">
        <f ca="1">IF(Proc[[#This Row],[DateClosed]]="",ABS(NETWORKDAYS(Proc[[#This Row],[DateOpened]],TODAY()))-1,ABS(NETWORKDAYS(Proc[[#This Row],[DateOpened]],Proc[[#This Row],[DateClosed]]))-1)</f>
        <v>27</v>
      </c>
      <c r="R4646" s="168" t="s">
        <v>5709</v>
      </c>
      <c r="S4646" s="150"/>
    </row>
    <row r="4647" spans="1:19" hidden="1">
      <c r="A4647" s="149" t="s">
        <v>6788</v>
      </c>
      <c r="B4647" s="150" t="str">
        <f>IFERROR(VLOOKUP(Proc[[#This Row],[App]],Table2[],3,0),"open")</f>
        <v>ok</v>
      </c>
      <c r="C4647" s="149" t="s">
        <v>369</v>
      </c>
      <c r="D4647" t="s">
        <v>6818</v>
      </c>
      <c r="E4647" t="s">
        <v>6827</v>
      </c>
      <c r="F4647" s="150" t="s">
        <v>6827</v>
      </c>
      <c r="G4647" s="149" t="s">
        <v>406</v>
      </c>
      <c r="H4647" s="150" t="str">
        <f>IF(Proc[[#This Row],[type]]="LFF (MDG-F)",MID(Proc[[#This Row],[Obj]],13,10),"")</f>
        <v>KR03Z02181</v>
      </c>
      <c r="I4647" s="149" t="s">
        <v>6827</v>
      </c>
      <c r="J4647" s="150" t="b">
        <f>Proc[[#This Row],[Requested]]=Proc[[#This Row],[CurrentParent]]</f>
        <v>1</v>
      </c>
      <c r="K4647" s="150" t="str">
        <f>IF(Proc[[#This Row],[Author]]="Marcela Urrego",VLOOKUP(LEFT(Proc[[#This Row],[Requested]],1),Table3[#All],2,0),VLOOKUP(Proc[[#This Row],[Author]],Table4[],2,0))</f>
        <v>EL</v>
      </c>
      <c r="L4647" s="150" t="s">
        <v>6435</v>
      </c>
      <c r="M4647" s="169">
        <v>45973</v>
      </c>
      <c r="N4647" s="169"/>
      <c r="O4647" s="169"/>
      <c r="P4647" s="168" t="str">
        <f ca="1">IF(Proc[[#This Row],[DaysAgeing]]&gt;5,"yep","on track")</f>
        <v>yep</v>
      </c>
      <c r="Q4647" s="3">
        <f ca="1">IF(Proc[[#This Row],[DateClosed]]="",ABS(NETWORKDAYS(Proc[[#This Row],[DateOpened]],TODAY()))-1,ABS(NETWORKDAYS(Proc[[#This Row],[DateOpened]],Proc[[#This Row],[DateClosed]]))-1)</f>
        <v>27</v>
      </c>
      <c r="R4647" s="168" t="s">
        <v>5709</v>
      </c>
      <c r="S4647" s="150"/>
    </row>
    <row r="4648" spans="1:19" hidden="1">
      <c r="A4648" s="149" t="s">
        <v>6788</v>
      </c>
      <c r="B4648" s="150" t="str">
        <f>IFERROR(VLOOKUP(Proc[[#This Row],[App]],Table2[],3,0),"open")</f>
        <v>ok</v>
      </c>
      <c r="C4648" s="149" t="s">
        <v>369</v>
      </c>
      <c r="D4648" t="s">
        <v>6819</v>
      </c>
      <c r="E4648" t="s">
        <v>6827</v>
      </c>
      <c r="F4648" s="150" t="s">
        <v>6827</v>
      </c>
      <c r="G4648" s="149" t="s">
        <v>406</v>
      </c>
      <c r="H4648" s="150" t="str">
        <f>IF(Proc[[#This Row],[type]]="LFF (MDG-F)",MID(Proc[[#This Row],[Obj]],13,10),"")</f>
        <v>KR03Z02182</v>
      </c>
      <c r="I4648" s="149" t="s">
        <v>6827</v>
      </c>
      <c r="J4648" s="150" t="b">
        <f>Proc[[#This Row],[Requested]]=Proc[[#This Row],[CurrentParent]]</f>
        <v>1</v>
      </c>
      <c r="K4648" s="150" t="str">
        <f>IF(Proc[[#This Row],[Author]]="Marcela Urrego",VLOOKUP(LEFT(Proc[[#This Row],[Requested]],1),Table3[#All],2,0),VLOOKUP(Proc[[#This Row],[Author]],Table4[],2,0))</f>
        <v>EL</v>
      </c>
      <c r="L4648" s="150" t="s">
        <v>6435</v>
      </c>
      <c r="M4648" s="169">
        <v>45973</v>
      </c>
      <c r="N4648" s="169"/>
      <c r="O4648" s="169"/>
      <c r="P4648" s="168" t="str">
        <f ca="1">IF(Proc[[#This Row],[DaysAgeing]]&gt;5,"yep","on track")</f>
        <v>yep</v>
      </c>
      <c r="Q4648" s="3">
        <f ca="1">IF(Proc[[#This Row],[DateClosed]]="",ABS(NETWORKDAYS(Proc[[#This Row],[DateOpened]],TODAY()))-1,ABS(NETWORKDAYS(Proc[[#This Row],[DateOpened]],Proc[[#This Row],[DateClosed]]))-1)</f>
        <v>27</v>
      </c>
      <c r="R4648" s="168" t="s">
        <v>5709</v>
      </c>
      <c r="S4648" s="150"/>
    </row>
    <row r="4649" spans="1:19" hidden="1">
      <c r="A4649" s="149" t="s">
        <v>6788</v>
      </c>
      <c r="B4649" s="150" t="str">
        <f>IFERROR(VLOOKUP(Proc[[#This Row],[App]],Table2[],3,0),"open")</f>
        <v>ok</v>
      </c>
      <c r="C4649" s="149" t="s">
        <v>369</v>
      </c>
      <c r="D4649" t="s">
        <v>6820</v>
      </c>
      <c r="E4649" t="s">
        <v>6827</v>
      </c>
      <c r="F4649" s="150" t="s">
        <v>6827</v>
      </c>
      <c r="G4649" s="149" t="s">
        <v>406</v>
      </c>
      <c r="H4649" s="150" t="str">
        <f>IF(Proc[[#This Row],[type]]="LFF (MDG-F)",MID(Proc[[#This Row],[Obj]],13,10),"")</f>
        <v>KR03Z02183</v>
      </c>
      <c r="I4649" s="149" t="s">
        <v>6827</v>
      </c>
      <c r="J4649" s="150" t="b">
        <f>Proc[[#This Row],[Requested]]=Proc[[#This Row],[CurrentParent]]</f>
        <v>1</v>
      </c>
      <c r="K4649" s="150" t="str">
        <f>IF(Proc[[#This Row],[Author]]="Marcela Urrego",VLOOKUP(LEFT(Proc[[#This Row],[Requested]],1),Table3[#All],2,0),VLOOKUP(Proc[[#This Row],[Author]],Table4[],2,0))</f>
        <v>EL</v>
      </c>
      <c r="L4649" s="150" t="s">
        <v>6435</v>
      </c>
      <c r="M4649" s="169">
        <v>45973</v>
      </c>
      <c r="N4649" s="169"/>
      <c r="O4649" s="169"/>
      <c r="P4649" s="168" t="str">
        <f ca="1">IF(Proc[[#This Row],[DaysAgeing]]&gt;5,"yep","on track")</f>
        <v>yep</v>
      </c>
      <c r="Q4649" s="3">
        <f ca="1">IF(Proc[[#This Row],[DateClosed]]="",ABS(NETWORKDAYS(Proc[[#This Row],[DateOpened]],TODAY()))-1,ABS(NETWORKDAYS(Proc[[#This Row],[DateOpened]],Proc[[#This Row],[DateClosed]]))-1)</f>
        <v>27</v>
      </c>
      <c r="R4649" s="168" t="s">
        <v>5709</v>
      </c>
      <c r="S4649" s="150"/>
    </row>
    <row r="4650" spans="1:19" hidden="1">
      <c r="A4650" s="149" t="s">
        <v>6788</v>
      </c>
      <c r="B4650" s="150" t="str">
        <f>IFERROR(VLOOKUP(Proc[[#This Row],[App]],Table2[],3,0),"open")</f>
        <v>ok</v>
      </c>
      <c r="C4650" s="149" t="s">
        <v>369</v>
      </c>
      <c r="D4650" t="s">
        <v>6821</v>
      </c>
      <c r="E4650" t="s">
        <v>6827</v>
      </c>
      <c r="F4650" s="150" t="s">
        <v>6827</v>
      </c>
      <c r="G4650" s="149" t="s">
        <v>406</v>
      </c>
      <c r="H4650" s="150" t="str">
        <f>IF(Proc[[#This Row],[type]]="LFF (MDG-F)",MID(Proc[[#This Row],[Obj]],13,10),"")</f>
        <v>KR03Z02184</v>
      </c>
      <c r="I4650" s="149" t="s">
        <v>6827</v>
      </c>
      <c r="J4650" s="150" t="b">
        <f>Proc[[#This Row],[Requested]]=Proc[[#This Row],[CurrentParent]]</f>
        <v>1</v>
      </c>
      <c r="K4650" s="150" t="str">
        <f>IF(Proc[[#This Row],[Author]]="Marcela Urrego",VLOOKUP(LEFT(Proc[[#This Row],[Requested]],1),Table3[#All],2,0),VLOOKUP(Proc[[#This Row],[Author]],Table4[],2,0))</f>
        <v>EL</v>
      </c>
      <c r="L4650" s="150" t="s">
        <v>6435</v>
      </c>
      <c r="M4650" s="169">
        <v>45973</v>
      </c>
      <c r="N4650" s="169"/>
      <c r="O4650" s="169"/>
      <c r="P4650" s="168" t="str">
        <f ca="1">IF(Proc[[#This Row],[DaysAgeing]]&gt;5,"yep","on track")</f>
        <v>yep</v>
      </c>
      <c r="Q4650" s="3">
        <f ca="1">IF(Proc[[#This Row],[DateClosed]]="",ABS(NETWORKDAYS(Proc[[#This Row],[DateOpened]],TODAY()))-1,ABS(NETWORKDAYS(Proc[[#This Row],[DateOpened]],Proc[[#This Row],[DateClosed]]))-1)</f>
        <v>27</v>
      </c>
      <c r="R4650" s="168" t="s">
        <v>5709</v>
      </c>
      <c r="S4650" s="150"/>
    </row>
    <row r="4651" spans="1:19" hidden="1">
      <c r="A4651" s="149" t="s">
        <v>6788</v>
      </c>
      <c r="B4651" s="150" t="str">
        <f>IFERROR(VLOOKUP(Proc[[#This Row],[App]],Table2[],3,0),"open")</f>
        <v>ok</v>
      </c>
      <c r="C4651" s="149" t="s">
        <v>369</v>
      </c>
      <c r="D4651" t="s">
        <v>6822</v>
      </c>
      <c r="E4651" t="s">
        <v>6828</v>
      </c>
      <c r="F4651" s="150" t="s">
        <v>6828</v>
      </c>
      <c r="G4651" s="149" t="s">
        <v>406</v>
      </c>
      <c r="H4651" s="150" t="str">
        <f>IF(Proc[[#This Row],[type]]="LFF (MDG-F)",MID(Proc[[#This Row],[Obj]],13,10),"")</f>
        <v>CN01OF0083</v>
      </c>
      <c r="I4651" s="149" t="s">
        <v>6828</v>
      </c>
      <c r="J4651" s="150" t="b">
        <f>Proc[[#This Row],[Requested]]=Proc[[#This Row],[CurrentParent]]</f>
        <v>1</v>
      </c>
      <c r="K4651" s="150" t="str">
        <f>IF(Proc[[#This Row],[Author]]="Marcela Urrego",VLOOKUP(LEFT(Proc[[#This Row],[Requested]],1),Table3[#All],2,0),VLOOKUP(Proc[[#This Row],[Author]],Table4[],2,0))</f>
        <v>EL</v>
      </c>
      <c r="L4651" s="150" t="s">
        <v>6435</v>
      </c>
      <c r="M4651" s="169">
        <v>45973</v>
      </c>
      <c r="N4651" s="169"/>
      <c r="O4651" s="169"/>
      <c r="P4651" s="168" t="str">
        <f ca="1">IF(Proc[[#This Row],[DaysAgeing]]&gt;5,"yep","on track")</f>
        <v>yep</v>
      </c>
      <c r="Q4651" s="3">
        <f ca="1">IF(Proc[[#This Row],[DateClosed]]="",ABS(NETWORKDAYS(Proc[[#This Row],[DateOpened]],TODAY()))-1,ABS(NETWORKDAYS(Proc[[#This Row],[DateOpened]],Proc[[#This Row],[DateClosed]]))-1)</f>
        <v>27</v>
      </c>
      <c r="R4651" s="168" t="s">
        <v>5709</v>
      </c>
      <c r="S4651" s="150"/>
    </row>
    <row r="4652" spans="1:19" hidden="1">
      <c r="A4652" s="149" t="s">
        <v>6788</v>
      </c>
      <c r="B4652" s="150" t="str">
        <f>IFERROR(VLOOKUP(Proc[[#This Row],[App]],Table2[],3,0),"open")</f>
        <v>ok</v>
      </c>
      <c r="C4652" s="149" t="s">
        <v>369</v>
      </c>
      <c r="D4652" t="s">
        <v>6823</v>
      </c>
      <c r="E4652" t="s">
        <v>6828</v>
      </c>
      <c r="F4652" s="150" t="s">
        <v>6828</v>
      </c>
      <c r="G4652" s="149" t="s">
        <v>406</v>
      </c>
      <c r="H4652" s="150" t="str">
        <f>IF(Proc[[#This Row],[type]]="LFF (MDG-F)",MID(Proc[[#This Row],[Obj]],13,10),"")</f>
        <v>US01OF0103</v>
      </c>
      <c r="I4652" s="149" t="s">
        <v>6828</v>
      </c>
      <c r="J4652" s="150" t="b">
        <f>Proc[[#This Row],[Requested]]=Proc[[#This Row],[CurrentParent]]</f>
        <v>1</v>
      </c>
      <c r="K4652" s="150" t="str">
        <f>IF(Proc[[#This Row],[Author]]="Marcela Urrego",VLOOKUP(LEFT(Proc[[#This Row],[Requested]],1),Table3[#All],2,0),VLOOKUP(Proc[[#This Row],[Author]],Table4[],2,0))</f>
        <v>EL</v>
      </c>
      <c r="L4652" s="150" t="s">
        <v>6435</v>
      </c>
      <c r="M4652" s="169">
        <v>45973</v>
      </c>
      <c r="N4652" s="169"/>
      <c r="O4652" s="169"/>
      <c r="P4652" s="168" t="str">
        <f ca="1">IF(Proc[[#This Row],[DaysAgeing]]&gt;5,"yep","on track")</f>
        <v>yep</v>
      </c>
      <c r="Q4652" s="3">
        <f ca="1">IF(Proc[[#This Row],[DateClosed]]="",ABS(NETWORKDAYS(Proc[[#This Row],[DateOpened]],TODAY()))-1,ABS(NETWORKDAYS(Proc[[#This Row],[DateOpened]],Proc[[#This Row],[DateClosed]]))-1)</f>
        <v>27</v>
      </c>
      <c r="R4652" s="168" t="s">
        <v>5709</v>
      </c>
      <c r="S4652" s="150"/>
    </row>
    <row r="4653" spans="1:19" hidden="1">
      <c r="A4653" s="149" t="s">
        <v>6788</v>
      </c>
      <c r="B4653" s="150" t="str">
        <f>IFERROR(VLOOKUP(Proc[[#This Row],[App]],Table2[],3,0),"open")</f>
        <v>ok</v>
      </c>
      <c r="C4653" s="149" t="s">
        <v>369</v>
      </c>
      <c r="D4653" t="s">
        <v>6824</v>
      </c>
      <c r="E4653" t="s">
        <v>6828</v>
      </c>
      <c r="F4653" s="150" t="s">
        <v>6828</v>
      </c>
      <c r="G4653" s="149" t="s">
        <v>406</v>
      </c>
      <c r="H4653" s="150" t="str">
        <f>IF(Proc[[#This Row],[type]]="LFF (MDG-F)",MID(Proc[[#This Row],[Obj]],13,10),"")</f>
        <v>KR03L80000</v>
      </c>
      <c r="I4653" s="149" t="s">
        <v>6828</v>
      </c>
      <c r="J4653" s="150" t="b">
        <f>Proc[[#This Row],[Requested]]=Proc[[#This Row],[CurrentParent]]</f>
        <v>1</v>
      </c>
      <c r="K4653" s="150" t="str">
        <f>IF(Proc[[#This Row],[Author]]="Marcela Urrego",VLOOKUP(LEFT(Proc[[#This Row],[Requested]],1),Table3[#All],2,0),VLOOKUP(Proc[[#This Row],[Author]],Table4[],2,0))</f>
        <v>EL</v>
      </c>
      <c r="L4653" s="150" t="s">
        <v>6435</v>
      </c>
      <c r="M4653" s="169">
        <v>45973</v>
      </c>
      <c r="N4653" s="169"/>
      <c r="O4653" s="169"/>
      <c r="P4653" s="168" t="str">
        <f ca="1">IF(Proc[[#This Row],[DaysAgeing]]&gt;5,"yep","on track")</f>
        <v>yep</v>
      </c>
      <c r="Q4653" s="3">
        <f ca="1">IF(Proc[[#This Row],[DateClosed]]="",ABS(NETWORKDAYS(Proc[[#This Row],[DateOpened]],TODAY()))-1,ABS(NETWORKDAYS(Proc[[#This Row],[DateOpened]],Proc[[#This Row],[DateClosed]]))-1)</f>
        <v>27</v>
      </c>
      <c r="R4653" s="168" t="s">
        <v>5709</v>
      </c>
      <c r="S4653" s="150"/>
    </row>
    <row r="4654" spans="1:19" hidden="1">
      <c r="A4654" s="149" t="s">
        <v>6788</v>
      </c>
      <c r="B4654" s="150" t="str">
        <f>IFERROR(VLOOKUP(Proc[[#This Row],[App]],Table2[],3,0),"open")</f>
        <v>ok</v>
      </c>
      <c r="C4654" s="149" t="s">
        <v>369</v>
      </c>
      <c r="D4654" t="s">
        <v>6825</v>
      </c>
      <c r="E4654" t="s">
        <v>6828</v>
      </c>
      <c r="F4654" s="150" t="s">
        <v>6828</v>
      </c>
      <c r="G4654" s="149" t="s">
        <v>406</v>
      </c>
      <c r="H4654" s="150" t="str">
        <f>IF(Proc[[#This Row],[type]]="LFF (MDG-F)",MID(Proc[[#This Row],[Obj]],13,10),"")</f>
        <v>TW10OF6016</v>
      </c>
      <c r="I4654" s="149" t="s">
        <v>6828</v>
      </c>
      <c r="J4654" s="150" t="b">
        <f>Proc[[#This Row],[Requested]]=Proc[[#This Row],[CurrentParent]]</f>
        <v>1</v>
      </c>
      <c r="K4654" s="150" t="str">
        <f>IF(Proc[[#This Row],[Author]]="Marcela Urrego",VLOOKUP(LEFT(Proc[[#This Row],[Requested]],1),Table3[#All],2,0),VLOOKUP(Proc[[#This Row],[Author]],Table4[],2,0))</f>
        <v>EL</v>
      </c>
      <c r="L4654" s="150" t="s">
        <v>6435</v>
      </c>
      <c r="M4654" s="169">
        <v>45973</v>
      </c>
      <c r="N4654" s="169"/>
      <c r="O4654" s="169"/>
      <c r="P4654" s="168" t="str">
        <f ca="1">IF(Proc[[#This Row],[DaysAgeing]]&gt;5,"yep","on track")</f>
        <v>yep</v>
      </c>
      <c r="Q4654" s="3">
        <f ca="1">IF(Proc[[#This Row],[DateClosed]]="",ABS(NETWORKDAYS(Proc[[#This Row],[DateOpened]],TODAY()))-1,ABS(NETWORKDAYS(Proc[[#This Row],[DateOpened]],Proc[[#This Row],[DateClosed]]))-1)</f>
        <v>27</v>
      </c>
      <c r="R4654" s="168" t="s">
        <v>5709</v>
      </c>
      <c r="S4654" s="150"/>
    </row>
    <row r="4655" spans="1:19" hidden="1">
      <c r="A4655" s="149" t="s">
        <v>6788</v>
      </c>
      <c r="B4655" s="150" t="str">
        <f>IFERROR(VLOOKUP(Proc[[#This Row],[App]],Table2[],3,0),"open")</f>
        <v>ok</v>
      </c>
      <c r="C4655" s="149" t="s">
        <v>369</v>
      </c>
      <c r="D4655" t="s">
        <v>6826</v>
      </c>
      <c r="E4655" t="s">
        <v>6828</v>
      </c>
      <c r="F4655" s="150" t="s">
        <v>6828</v>
      </c>
      <c r="G4655" s="149" t="s">
        <v>406</v>
      </c>
      <c r="H4655" s="150" t="str">
        <f>IF(Proc[[#This Row],[type]]="LFF (MDG-F)",MID(Proc[[#This Row],[Obj]],13,10),"")</f>
        <v>US10OF6070</v>
      </c>
      <c r="I4655" s="149" t="s">
        <v>6828</v>
      </c>
      <c r="J4655" s="150" t="b">
        <f>Proc[[#This Row],[Requested]]=Proc[[#This Row],[CurrentParent]]</f>
        <v>1</v>
      </c>
      <c r="K4655" s="150" t="str">
        <f>IF(Proc[[#This Row],[Author]]="Marcela Urrego",VLOOKUP(LEFT(Proc[[#This Row],[Requested]],1),Table3[#All],2,0),VLOOKUP(Proc[[#This Row],[Author]],Table4[],2,0))</f>
        <v>EL</v>
      </c>
      <c r="L4655" s="150" t="s">
        <v>6435</v>
      </c>
      <c r="M4655" s="169">
        <v>45973</v>
      </c>
      <c r="N4655" s="169"/>
      <c r="O4655" s="169"/>
      <c r="P4655" s="168" t="str">
        <f ca="1">IF(Proc[[#This Row],[DaysAgeing]]&gt;5,"yep","on track")</f>
        <v>yep</v>
      </c>
      <c r="Q4655" s="3">
        <f ca="1">IF(Proc[[#This Row],[DateClosed]]="",ABS(NETWORKDAYS(Proc[[#This Row],[DateOpened]],TODAY()))-1,ABS(NETWORKDAYS(Proc[[#This Row],[DateOpened]],Proc[[#This Row],[DateClosed]]))-1)</f>
        <v>27</v>
      </c>
      <c r="R4655" s="168" t="s">
        <v>5709</v>
      </c>
      <c r="S4655" s="150"/>
    </row>
    <row r="4656" spans="1:19" hidden="1">
      <c r="A4656" t="s">
        <v>6853</v>
      </c>
      <c r="B4656" s="150" t="str">
        <f>IFERROR(VLOOKUP(Proc[[#This Row],[App]],Table2[],3,0),"open")</f>
        <v>ok</v>
      </c>
      <c r="C4656" s="149" t="s">
        <v>369</v>
      </c>
      <c r="D4656" t="s">
        <v>6829</v>
      </c>
      <c r="E4656" t="s">
        <v>2200</v>
      </c>
      <c r="F4656" s="150" t="s">
        <v>2200</v>
      </c>
      <c r="G4656" t="s">
        <v>400</v>
      </c>
      <c r="H4656" s="150" t="str">
        <f>IF(Proc[[#This Row],[type]]="LFF (MDG-F)",MID(Proc[[#This Row],[Obj]],13,10),"")</f>
        <v/>
      </c>
      <c r="J4656" s="150" t="b">
        <f>Proc[[#This Row],[Requested]]=Proc[[#This Row],[CurrentParent]]</f>
        <v>1</v>
      </c>
      <c r="K4656" s="150" t="str">
        <f>IF(Proc[[#This Row],[Author]]="Marcela Urrego",VLOOKUP(LEFT(Proc[[#This Row],[Requested]],1),Table3[#All],2,0),VLOOKUP(Proc[[#This Row],[Author]],Table4[],2,0))</f>
        <v>LS</v>
      </c>
      <c r="L4656" s="150" t="s">
        <v>6435</v>
      </c>
      <c r="M4656" s="169">
        <v>45973</v>
      </c>
      <c r="N4656" s="169"/>
      <c r="O4656" s="169"/>
      <c r="P4656" s="168" t="str">
        <f ca="1">IF(Proc[[#This Row],[DaysAgeing]]&gt;5,"yep","on track")</f>
        <v>yep</v>
      </c>
      <c r="Q4656" s="3">
        <f ca="1">IF(Proc[[#This Row],[DateClosed]]="",ABS(NETWORKDAYS(Proc[[#This Row],[DateOpened]],TODAY()))-1,ABS(NETWORKDAYS(Proc[[#This Row],[DateOpened]],Proc[[#This Row],[DateClosed]]))-1)</f>
        <v>27</v>
      </c>
      <c r="R4656" s="168" t="s">
        <v>489</v>
      </c>
      <c r="S4656" s="150"/>
    </row>
    <row r="4657" spans="1:19" hidden="1">
      <c r="A4657" s="149" t="s">
        <v>6853</v>
      </c>
      <c r="B4657" s="150" t="str">
        <f>IFERROR(VLOOKUP(Proc[[#This Row],[App]],Table2[],3,0),"open")</f>
        <v>ok</v>
      </c>
      <c r="C4657" s="149" t="s">
        <v>369</v>
      </c>
      <c r="D4657" t="s">
        <v>6830</v>
      </c>
      <c r="E4657" t="s">
        <v>2206</v>
      </c>
      <c r="F4657" s="150" t="s">
        <v>2206</v>
      </c>
      <c r="G4657" s="149" t="s">
        <v>400</v>
      </c>
      <c r="H4657" s="150" t="str">
        <f>IF(Proc[[#This Row],[type]]="LFF (MDG-F)",MID(Proc[[#This Row],[Obj]],13,10),"")</f>
        <v/>
      </c>
      <c r="J4657" s="150" t="b">
        <f>Proc[[#This Row],[Requested]]=Proc[[#This Row],[CurrentParent]]</f>
        <v>1</v>
      </c>
      <c r="K4657" s="150" t="str">
        <f>IF(Proc[[#This Row],[Author]]="Marcela Urrego",VLOOKUP(LEFT(Proc[[#This Row],[Requested]],1),Table3[#All],2,0),VLOOKUP(Proc[[#This Row],[Author]],Table4[],2,0))</f>
        <v>LS</v>
      </c>
      <c r="L4657" s="150" t="s">
        <v>6435</v>
      </c>
      <c r="M4657" s="169">
        <v>45973</v>
      </c>
      <c r="N4657" s="169"/>
      <c r="O4657" s="169"/>
      <c r="P4657" s="168" t="str">
        <f ca="1">IF(Proc[[#This Row],[DaysAgeing]]&gt;5,"yep","on track")</f>
        <v>yep</v>
      </c>
      <c r="Q4657" s="3">
        <f ca="1">IF(Proc[[#This Row],[DateClosed]]="",ABS(NETWORKDAYS(Proc[[#This Row],[DateOpened]],TODAY()))-1,ABS(NETWORKDAYS(Proc[[#This Row],[DateOpened]],Proc[[#This Row],[DateClosed]]))-1)</f>
        <v>27</v>
      </c>
      <c r="R4657" s="168" t="s">
        <v>489</v>
      </c>
      <c r="S4657" s="150"/>
    </row>
    <row r="4658" spans="1:19" hidden="1">
      <c r="A4658" s="149" t="s">
        <v>6853</v>
      </c>
      <c r="B4658" s="150" t="str">
        <f>IFERROR(VLOOKUP(Proc[[#This Row],[App]],Table2[],3,0),"open")</f>
        <v>ok</v>
      </c>
      <c r="C4658" s="149" t="s">
        <v>369</v>
      </c>
      <c r="D4658" t="s">
        <v>6831</v>
      </c>
      <c r="E4658" t="s">
        <v>2206</v>
      </c>
      <c r="F4658" s="150" t="s">
        <v>2206</v>
      </c>
      <c r="G4658" s="149" t="s">
        <v>400</v>
      </c>
      <c r="H4658" s="150" t="str">
        <f>IF(Proc[[#This Row],[type]]="LFF (MDG-F)",MID(Proc[[#This Row],[Obj]],13,10),"")</f>
        <v/>
      </c>
      <c r="J4658" s="150" t="b">
        <f>Proc[[#This Row],[Requested]]=Proc[[#This Row],[CurrentParent]]</f>
        <v>1</v>
      </c>
      <c r="K4658" s="150" t="str">
        <f>IF(Proc[[#This Row],[Author]]="Marcela Urrego",VLOOKUP(LEFT(Proc[[#This Row],[Requested]],1),Table3[#All],2,0),VLOOKUP(Proc[[#This Row],[Author]],Table4[],2,0))</f>
        <v>LS</v>
      </c>
      <c r="L4658" s="150" t="s">
        <v>6435</v>
      </c>
      <c r="M4658" s="169">
        <v>45973</v>
      </c>
      <c r="N4658" s="169"/>
      <c r="O4658" s="169"/>
      <c r="P4658" s="168" t="str">
        <f ca="1">IF(Proc[[#This Row],[DaysAgeing]]&gt;5,"yep","on track")</f>
        <v>yep</v>
      </c>
      <c r="Q4658" s="3">
        <f ca="1">IF(Proc[[#This Row],[DateClosed]]="",ABS(NETWORKDAYS(Proc[[#This Row],[DateOpened]],TODAY()))-1,ABS(NETWORKDAYS(Proc[[#This Row],[DateOpened]],Proc[[#This Row],[DateClosed]]))-1)</f>
        <v>27</v>
      </c>
      <c r="R4658" s="168" t="s">
        <v>489</v>
      </c>
      <c r="S4658" s="150"/>
    </row>
    <row r="4659" spans="1:19" hidden="1">
      <c r="A4659" s="149" t="s">
        <v>6853</v>
      </c>
      <c r="B4659" s="150" t="str">
        <f>IFERROR(VLOOKUP(Proc[[#This Row],[App]],Table2[],3,0),"open")</f>
        <v>ok</v>
      </c>
      <c r="C4659" s="149" t="s">
        <v>369</v>
      </c>
      <c r="D4659" t="s">
        <v>6832</v>
      </c>
      <c r="E4659" t="s">
        <v>2206</v>
      </c>
      <c r="F4659" s="150" t="s">
        <v>2206</v>
      </c>
      <c r="G4659" s="149" t="s">
        <v>400</v>
      </c>
      <c r="H4659" s="150" t="str">
        <f>IF(Proc[[#This Row],[type]]="LFF (MDG-F)",MID(Proc[[#This Row],[Obj]],13,10),"")</f>
        <v/>
      </c>
      <c r="J4659" s="150" t="b">
        <f>Proc[[#This Row],[Requested]]=Proc[[#This Row],[CurrentParent]]</f>
        <v>1</v>
      </c>
      <c r="K4659" s="150" t="str">
        <f>IF(Proc[[#This Row],[Author]]="Marcela Urrego",VLOOKUP(LEFT(Proc[[#This Row],[Requested]],1),Table3[#All],2,0),VLOOKUP(Proc[[#This Row],[Author]],Table4[],2,0))</f>
        <v>LS</v>
      </c>
      <c r="L4659" s="150" t="s">
        <v>6435</v>
      </c>
      <c r="M4659" s="169">
        <v>45973</v>
      </c>
      <c r="N4659" s="169"/>
      <c r="O4659" s="169"/>
      <c r="P4659" s="168" t="str">
        <f ca="1">IF(Proc[[#This Row],[DaysAgeing]]&gt;5,"yep","on track")</f>
        <v>yep</v>
      </c>
      <c r="Q4659" s="3">
        <f ca="1">IF(Proc[[#This Row],[DateClosed]]="",ABS(NETWORKDAYS(Proc[[#This Row],[DateOpened]],TODAY()))-1,ABS(NETWORKDAYS(Proc[[#This Row],[DateOpened]],Proc[[#This Row],[DateClosed]]))-1)</f>
        <v>27</v>
      </c>
      <c r="R4659" s="168" t="s">
        <v>489</v>
      </c>
      <c r="S4659" s="150"/>
    </row>
    <row r="4660" spans="1:19" hidden="1">
      <c r="A4660" s="149" t="s">
        <v>6853</v>
      </c>
      <c r="B4660" s="150" t="str">
        <f>IFERROR(VLOOKUP(Proc[[#This Row],[App]],Table2[],3,0),"open")</f>
        <v>ok</v>
      </c>
      <c r="C4660" s="149" t="s">
        <v>369</v>
      </c>
      <c r="D4660" t="s">
        <v>6833</v>
      </c>
      <c r="E4660" t="s">
        <v>2206</v>
      </c>
      <c r="F4660" s="150" t="s">
        <v>2206</v>
      </c>
      <c r="G4660" s="149" t="s">
        <v>400</v>
      </c>
      <c r="H4660" s="150" t="str">
        <f>IF(Proc[[#This Row],[type]]="LFF (MDG-F)",MID(Proc[[#This Row],[Obj]],13,10),"")</f>
        <v/>
      </c>
      <c r="J4660" s="150" t="b">
        <f>Proc[[#This Row],[Requested]]=Proc[[#This Row],[CurrentParent]]</f>
        <v>1</v>
      </c>
      <c r="K4660" s="150" t="str">
        <f>IF(Proc[[#This Row],[Author]]="Marcela Urrego",VLOOKUP(LEFT(Proc[[#This Row],[Requested]],1),Table3[#All],2,0),VLOOKUP(Proc[[#This Row],[Author]],Table4[],2,0))</f>
        <v>LS</v>
      </c>
      <c r="L4660" s="150" t="s">
        <v>6435</v>
      </c>
      <c r="M4660" s="169">
        <v>45973</v>
      </c>
      <c r="N4660" s="169"/>
      <c r="O4660" s="169"/>
      <c r="P4660" s="168" t="str">
        <f ca="1">IF(Proc[[#This Row],[DaysAgeing]]&gt;5,"yep","on track")</f>
        <v>yep</v>
      </c>
      <c r="Q4660" s="3">
        <f ca="1">IF(Proc[[#This Row],[DateClosed]]="",ABS(NETWORKDAYS(Proc[[#This Row],[DateOpened]],TODAY()))-1,ABS(NETWORKDAYS(Proc[[#This Row],[DateOpened]],Proc[[#This Row],[DateClosed]]))-1)</f>
        <v>27</v>
      </c>
      <c r="R4660" s="168" t="s">
        <v>489</v>
      </c>
      <c r="S4660" s="150"/>
    </row>
    <row r="4661" spans="1:19" hidden="1">
      <c r="A4661" s="149" t="s">
        <v>6853</v>
      </c>
      <c r="B4661" s="150" t="str">
        <f>IFERROR(VLOOKUP(Proc[[#This Row],[App]],Table2[],3,0),"open")</f>
        <v>ok</v>
      </c>
      <c r="C4661" s="149" t="s">
        <v>369</v>
      </c>
      <c r="D4661" t="s">
        <v>6834</v>
      </c>
      <c r="E4661" t="s">
        <v>2205</v>
      </c>
      <c r="F4661" s="150" t="s">
        <v>2205</v>
      </c>
      <c r="G4661" s="149" t="s">
        <v>400</v>
      </c>
      <c r="H4661" s="150" t="str">
        <f>IF(Proc[[#This Row],[type]]="LFF (MDG-F)",MID(Proc[[#This Row],[Obj]],13,10),"")</f>
        <v/>
      </c>
      <c r="J4661" s="150" t="b">
        <f>Proc[[#This Row],[Requested]]=Proc[[#This Row],[CurrentParent]]</f>
        <v>1</v>
      </c>
      <c r="K4661" s="150" t="str">
        <f>IF(Proc[[#This Row],[Author]]="Marcela Urrego",VLOOKUP(LEFT(Proc[[#This Row],[Requested]],1),Table3[#All],2,0),VLOOKUP(Proc[[#This Row],[Author]],Table4[],2,0))</f>
        <v>LS</v>
      </c>
      <c r="L4661" s="150" t="s">
        <v>6435</v>
      </c>
      <c r="M4661" s="169">
        <v>45973</v>
      </c>
      <c r="N4661" s="169"/>
      <c r="O4661" s="169"/>
      <c r="P4661" s="168" t="str">
        <f ca="1">IF(Proc[[#This Row],[DaysAgeing]]&gt;5,"yep","on track")</f>
        <v>yep</v>
      </c>
      <c r="Q4661" s="3">
        <f ca="1">IF(Proc[[#This Row],[DateClosed]]="",ABS(NETWORKDAYS(Proc[[#This Row],[DateOpened]],TODAY()))-1,ABS(NETWORKDAYS(Proc[[#This Row],[DateOpened]],Proc[[#This Row],[DateClosed]]))-1)</f>
        <v>27</v>
      </c>
      <c r="R4661" s="168" t="s">
        <v>489</v>
      </c>
      <c r="S4661" s="150"/>
    </row>
    <row r="4662" spans="1:19" hidden="1">
      <c r="A4662" s="149" t="s">
        <v>6853</v>
      </c>
      <c r="B4662" s="150" t="str">
        <f>IFERROR(VLOOKUP(Proc[[#This Row],[App]],Table2[],3,0),"open")</f>
        <v>ok</v>
      </c>
      <c r="C4662" s="149" t="s">
        <v>369</v>
      </c>
      <c r="D4662" t="s">
        <v>6835</v>
      </c>
      <c r="E4662" t="s">
        <v>2368</v>
      </c>
      <c r="F4662" s="150" t="s">
        <v>2368</v>
      </c>
      <c r="G4662" s="149" t="s">
        <v>400</v>
      </c>
      <c r="H4662" s="150" t="str">
        <f>IF(Proc[[#This Row],[type]]="LFF (MDG-F)",MID(Proc[[#This Row],[Obj]],13,10),"")</f>
        <v/>
      </c>
      <c r="J4662" s="150" t="b">
        <f>Proc[[#This Row],[Requested]]=Proc[[#This Row],[CurrentParent]]</f>
        <v>1</v>
      </c>
      <c r="K4662" s="150" t="str">
        <f>IF(Proc[[#This Row],[Author]]="Marcela Urrego",VLOOKUP(LEFT(Proc[[#This Row],[Requested]],1),Table3[#All],2,0),VLOOKUP(Proc[[#This Row],[Author]],Table4[],2,0))</f>
        <v>LS</v>
      </c>
      <c r="L4662" s="150" t="s">
        <v>6435</v>
      </c>
      <c r="M4662" s="169">
        <v>45973</v>
      </c>
      <c r="N4662" s="169"/>
      <c r="O4662" s="169"/>
      <c r="P4662" s="168" t="str">
        <f ca="1">IF(Proc[[#This Row],[DaysAgeing]]&gt;5,"yep","on track")</f>
        <v>yep</v>
      </c>
      <c r="Q4662" s="3">
        <f ca="1">IF(Proc[[#This Row],[DateClosed]]="",ABS(NETWORKDAYS(Proc[[#This Row],[DateOpened]],TODAY()))-1,ABS(NETWORKDAYS(Proc[[#This Row],[DateOpened]],Proc[[#This Row],[DateClosed]]))-1)</f>
        <v>27</v>
      </c>
      <c r="R4662" s="168" t="s">
        <v>489</v>
      </c>
      <c r="S4662" s="150"/>
    </row>
    <row r="4663" spans="1:19" hidden="1">
      <c r="A4663" s="149" t="s">
        <v>6853</v>
      </c>
      <c r="B4663" s="150" t="str">
        <f>IFERROR(VLOOKUP(Proc[[#This Row],[App]],Table2[],3,0),"open")</f>
        <v>ok</v>
      </c>
      <c r="C4663" s="149" t="s">
        <v>369</v>
      </c>
      <c r="D4663" t="s">
        <v>6836</v>
      </c>
      <c r="E4663" t="s">
        <v>2368</v>
      </c>
      <c r="F4663" s="150" t="s">
        <v>2368</v>
      </c>
      <c r="G4663" s="149" t="s">
        <v>400</v>
      </c>
      <c r="H4663" s="150" t="str">
        <f>IF(Proc[[#This Row],[type]]="LFF (MDG-F)",MID(Proc[[#This Row],[Obj]],13,10),"")</f>
        <v/>
      </c>
      <c r="J4663" s="150" t="b">
        <f>Proc[[#This Row],[Requested]]=Proc[[#This Row],[CurrentParent]]</f>
        <v>1</v>
      </c>
      <c r="K4663" s="150" t="str">
        <f>IF(Proc[[#This Row],[Author]]="Marcela Urrego",VLOOKUP(LEFT(Proc[[#This Row],[Requested]],1),Table3[#All],2,0),VLOOKUP(Proc[[#This Row],[Author]],Table4[],2,0))</f>
        <v>LS</v>
      </c>
      <c r="L4663" s="150" t="s">
        <v>6435</v>
      </c>
      <c r="M4663" s="169">
        <v>45973</v>
      </c>
      <c r="N4663" s="169"/>
      <c r="O4663" s="169"/>
      <c r="P4663" s="168" t="str">
        <f ca="1">IF(Proc[[#This Row],[DaysAgeing]]&gt;5,"yep","on track")</f>
        <v>yep</v>
      </c>
      <c r="Q4663" s="3">
        <f ca="1">IF(Proc[[#This Row],[DateClosed]]="",ABS(NETWORKDAYS(Proc[[#This Row],[DateOpened]],TODAY()))-1,ABS(NETWORKDAYS(Proc[[#This Row],[DateOpened]],Proc[[#This Row],[DateClosed]]))-1)</f>
        <v>27</v>
      </c>
      <c r="R4663" s="168" t="s">
        <v>489</v>
      </c>
      <c r="S4663" s="150"/>
    </row>
    <row r="4664" spans="1:19" hidden="1">
      <c r="A4664" s="149" t="s">
        <v>6853</v>
      </c>
      <c r="B4664" s="150" t="str">
        <f>IFERROR(VLOOKUP(Proc[[#This Row],[App]],Table2[],3,0),"open")</f>
        <v>ok</v>
      </c>
      <c r="C4664" s="149" t="s">
        <v>369</v>
      </c>
      <c r="D4664" t="s">
        <v>6837</v>
      </c>
      <c r="E4664" t="s">
        <v>2368</v>
      </c>
      <c r="F4664" s="150" t="s">
        <v>2368</v>
      </c>
      <c r="G4664" s="149" t="s">
        <v>400</v>
      </c>
      <c r="H4664" s="150" t="str">
        <f>IF(Proc[[#This Row],[type]]="LFF (MDG-F)",MID(Proc[[#This Row],[Obj]],13,10),"")</f>
        <v/>
      </c>
      <c r="J4664" s="150" t="b">
        <f>Proc[[#This Row],[Requested]]=Proc[[#This Row],[CurrentParent]]</f>
        <v>1</v>
      </c>
      <c r="K4664" s="150" t="str">
        <f>IF(Proc[[#This Row],[Author]]="Marcela Urrego",VLOOKUP(LEFT(Proc[[#This Row],[Requested]],1),Table3[#All],2,0),VLOOKUP(Proc[[#This Row],[Author]],Table4[],2,0))</f>
        <v>LS</v>
      </c>
      <c r="L4664" s="150" t="s">
        <v>6435</v>
      </c>
      <c r="M4664" s="169">
        <v>45973</v>
      </c>
      <c r="N4664" s="169"/>
      <c r="O4664" s="169"/>
      <c r="P4664" s="168" t="str">
        <f ca="1">IF(Proc[[#This Row],[DaysAgeing]]&gt;5,"yep","on track")</f>
        <v>yep</v>
      </c>
      <c r="Q4664" s="3">
        <f ca="1">IF(Proc[[#This Row],[DateClosed]]="",ABS(NETWORKDAYS(Proc[[#This Row],[DateOpened]],TODAY()))-1,ABS(NETWORKDAYS(Proc[[#This Row],[DateOpened]],Proc[[#This Row],[DateClosed]]))-1)</f>
        <v>27</v>
      </c>
      <c r="R4664" s="168" t="s">
        <v>489</v>
      </c>
      <c r="S4664" s="150"/>
    </row>
    <row r="4665" spans="1:19" hidden="1">
      <c r="A4665" s="149" t="s">
        <v>6853</v>
      </c>
      <c r="B4665" s="150" t="str">
        <f>IFERROR(VLOOKUP(Proc[[#This Row],[App]],Table2[],3,0),"open")</f>
        <v>ok</v>
      </c>
      <c r="C4665" s="149" t="s">
        <v>369</v>
      </c>
      <c r="D4665" t="s">
        <v>6838</v>
      </c>
      <c r="E4665" t="s">
        <v>2368</v>
      </c>
      <c r="F4665" s="150" t="s">
        <v>2368</v>
      </c>
      <c r="G4665" s="149" t="s">
        <v>400</v>
      </c>
      <c r="H4665" s="150" t="str">
        <f>IF(Proc[[#This Row],[type]]="LFF (MDG-F)",MID(Proc[[#This Row],[Obj]],13,10),"")</f>
        <v/>
      </c>
      <c r="J4665" s="150" t="b">
        <f>Proc[[#This Row],[Requested]]=Proc[[#This Row],[CurrentParent]]</f>
        <v>1</v>
      </c>
      <c r="K4665" s="150" t="str">
        <f>IF(Proc[[#This Row],[Author]]="Marcela Urrego",VLOOKUP(LEFT(Proc[[#This Row],[Requested]],1),Table3[#All],2,0),VLOOKUP(Proc[[#This Row],[Author]],Table4[],2,0))</f>
        <v>LS</v>
      </c>
      <c r="L4665" s="150" t="s">
        <v>6435</v>
      </c>
      <c r="M4665" s="169">
        <v>45973</v>
      </c>
      <c r="N4665" s="169"/>
      <c r="O4665" s="169"/>
      <c r="P4665" s="168" t="str">
        <f ca="1">IF(Proc[[#This Row],[DaysAgeing]]&gt;5,"yep","on track")</f>
        <v>yep</v>
      </c>
      <c r="Q4665" s="3">
        <f ca="1">IF(Proc[[#This Row],[DateClosed]]="",ABS(NETWORKDAYS(Proc[[#This Row],[DateOpened]],TODAY()))-1,ABS(NETWORKDAYS(Proc[[#This Row],[DateOpened]],Proc[[#This Row],[DateClosed]]))-1)</f>
        <v>27</v>
      </c>
      <c r="R4665" s="168" t="s">
        <v>489</v>
      </c>
      <c r="S4665" s="150"/>
    </row>
    <row r="4666" spans="1:19" hidden="1">
      <c r="A4666" s="149" t="s">
        <v>6853</v>
      </c>
      <c r="B4666" s="150" t="str">
        <f>IFERROR(VLOOKUP(Proc[[#This Row],[App]],Table2[],3,0),"open")</f>
        <v>ok</v>
      </c>
      <c r="C4666" s="149" t="s">
        <v>369</v>
      </c>
      <c r="D4666" t="s">
        <v>6839</v>
      </c>
      <c r="E4666" t="s">
        <v>2368</v>
      </c>
      <c r="F4666" s="150" t="s">
        <v>2368</v>
      </c>
      <c r="G4666" s="149" t="s">
        <v>400</v>
      </c>
      <c r="H4666" s="150" t="str">
        <f>IF(Proc[[#This Row],[type]]="LFF (MDG-F)",MID(Proc[[#This Row],[Obj]],13,10),"")</f>
        <v/>
      </c>
      <c r="J4666" s="150" t="b">
        <f>Proc[[#This Row],[Requested]]=Proc[[#This Row],[CurrentParent]]</f>
        <v>1</v>
      </c>
      <c r="K4666" s="150" t="str">
        <f>IF(Proc[[#This Row],[Author]]="Marcela Urrego",VLOOKUP(LEFT(Proc[[#This Row],[Requested]],1),Table3[#All],2,0),VLOOKUP(Proc[[#This Row],[Author]],Table4[],2,0))</f>
        <v>LS</v>
      </c>
      <c r="L4666" s="150" t="s">
        <v>6435</v>
      </c>
      <c r="M4666" s="169">
        <v>45973</v>
      </c>
      <c r="N4666" s="169"/>
      <c r="O4666" s="169"/>
      <c r="P4666" s="168" t="str">
        <f ca="1">IF(Proc[[#This Row],[DaysAgeing]]&gt;5,"yep","on track")</f>
        <v>yep</v>
      </c>
      <c r="Q4666" s="3">
        <f ca="1">IF(Proc[[#This Row],[DateClosed]]="",ABS(NETWORKDAYS(Proc[[#This Row],[DateOpened]],TODAY()))-1,ABS(NETWORKDAYS(Proc[[#This Row],[DateOpened]],Proc[[#This Row],[DateClosed]]))-1)</f>
        <v>27</v>
      </c>
      <c r="R4666" s="168" t="s">
        <v>489</v>
      </c>
      <c r="S4666" s="150"/>
    </row>
    <row r="4667" spans="1:19" hidden="1">
      <c r="A4667" s="149" t="s">
        <v>6853</v>
      </c>
      <c r="B4667" s="150" t="str">
        <f>IFERROR(VLOOKUP(Proc[[#This Row],[App]],Table2[],3,0),"open")</f>
        <v>ok</v>
      </c>
      <c r="C4667" s="149" t="s">
        <v>369</v>
      </c>
      <c r="D4667" t="s">
        <v>6840</v>
      </c>
      <c r="E4667" t="s">
        <v>6848</v>
      </c>
      <c r="F4667" s="150" t="s">
        <v>6848</v>
      </c>
      <c r="G4667" s="149" t="s">
        <v>400</v>
      </c>
      <c r="H4667" s="150" t="str">
        <f>IF(Proc[[#This Row],[type]]="LFF (MDG-F)",MID(Proc[[#This Row],[Obj]],13,10),"")</f>
        <v/>
      </c>
      <c r="J4667" s="150" t="b">
        <f>Proc[[#This Row],[Requested]]=Proc[[#This Row],[CurrentParent]]</f>
        <v>1</v>
      </c>
      <c r="K4667" s="150" t="str">
        <f>IF(Proc[[#This Row],[Author]]="Marcela Urrego",VLOOKUP(LEFT(Proc[[#This Row],[Requested]],1),Table3[#All],2,0),VLOOKUP(Proc[[#This Row],[Author]],Table4[],2,0))</f>
        <v>LS</v>
      </c>
      <c r="L4667" s="150" t="s">
        <v>6435</v>
      </c>
      <c r="M4667" s="169">
        <v>45973</v>
      </c>
      <c r="N4667" s="169"/>
      <c r="O4667" s="169"/>
      <c r="P4667" s="168" t="str">
        <f ca="1">IF(Proc[[#This Row],[DaysAgeing]]&gt;5,"yep","on track")</f>
        <v>yep</v>
      </c>
      <c r="Q4667" s="3">
        <f ca="1">IF(Proc[[#This Row],[DateClosed]]="",ABS(NETWORKDAYS(Proc[[#This Row],[DateOpened]],TODAY()))-1,ABS(NETWORKDAYS(Proc[[#This Row],[DateOpened]],Proc[[#This Row],[DateClosed]]))-1)</f>
        <v>27</v>
      </c>
      <c r="R4667" s="168" t="s">
        <v>489</v>
      </c>
      <c r="S4667" s="150"/>
    </row>
    <row r="4668" spans="1:19" hidden="1">
      <c r="A4668" s="149" t="s">
        <v>6853</v>
      </c>
      <c r="B4668" s="150" t="str">
        <f>IFERROR(VLOOKUP(Proc[[#This Row],[App]],Table2[],3,0),"open")</f>
        <v>ok</v>
      </c>
      <c r="C4668" s="149" t="s">
        <v>369</v>
      </c>
      <c r="D4668" t="s">
        <v>6841</v>
      </c>
      <c r="E4668" t="s">
        <v>6849</v>
      </c>
      <c r="F4668" s="150" t="s">
        <v>6849</v>
      </c>
      <c r="G4668" s="149" t="s">
        <v>400</v>
      </c>
      <c r="H4668" s="150" t="str">
        <f>IF(Proc[[#This Row],[type]]="LFF (MDG-F)",MID(Proc[[#This Row],[Obj]],13,10),"")</f>
        <v/>
      </c>
      <c r="J4668" s="150" t="b">
        <f>Proc[[#This Row],[Requested]]=Proc[[#This Row],[CurrentParent]]</f>
        <v>1</v>
      </c>
      <c r="K4668" s="150" t="str">
        <f>IF(Proc[[#This Row],[Author]]="Marcela Urrego",VLOOKUP(LEFT(Proc[[#This Row],[Requested]],1),Table3[#All],2,0),VLOOKUP(Proc[[#This Row],[Author]],Table4[],2,0))</f>
        <v>LS</v>
      </c>
      <c r="L4668" s="150" t="s">
        <v>6435</v>
      </c>
      <c r="M4668" s="169">
        <v>45973</v>
      </c>
      <c r="N4668" s="169"/>
      <c r="O4668" s="169"/>
      <c r="P4668" s="168" t="str">
        <f ca="1">IF(Proc[[#This Row],[DaysAgeing]]&gt;5,"yep","on track")</f>
        <v>yep</v>
      </c>
      <c r="Q4668" s="3">
        <f ca="1">IF(Proc[[#This Row],[DateClosed]]="",ABS(NETWORKDAYS(Proc[[#This Row],[DateOpened]],TODAY()))-1,ABS(NETWORKDAYS(Proc[[#This Row],[DateOpened]],Proc[[#This Row],[DateClosed]]))-1)</f>
        <v>27</v>
      </c>
      <c r="R4668" s="168" t="s">
        <v>489</v>
      </c>
      <c r="S4668" s="150"/>
    </row>
    <row r="4669" spans="1:19" hidden="1">
      <c r="A4669" s="149" t="s">
        <v>6853</v>
      </c>
      <c r="B4669" s="150" t="str">
        <f>IFERROR(VLOOKUP(Proc[[#This Row],[App]],Table2[],3,0),"open")</f>
        <v>ok</v>
      </c>
      <c r="C4669" s="149" t="s">
        <v>369</v>
      </c>
      <c r="D4669" t="s">
        <v>6842</v>
      </c>
      <c r="E4669" t="s">
        <v>6531</v>
      </c>
      <c r="F4669" s="150" t="s">
        <v>6531</v>
      </c>
      <c r="G4669" s="149" t="s">
        <v>400</v>
      </c>
      <c r="H4669" s="150" t="str">
        <f>IF(Proc[[#This Row],[type]]="LFF (MDG-F)",MID(Proc[[#This Row],[Obj]],13,10),"")</f>
        <v/>
      </c>
      <c r="J4669" s="150" t="b">
        <f>Proc[[#This Row],[Requested]]=Proc[[#This Row],[CurrentParent]]</f>
        <v>1</v>
      </c>
      <c r="K4669" s="150" t="str">
        <f>IF(Proc[[#This Row],[Author]]="Marcela Urrego",VLOOKUP(LEFT(Proc[[#This Row],[Requested]],1),Table3[#All],2,0),VLOOKUP(Proc[[#This Row],[Author]],Table4[],2,0))</f>
        <v>LS</v>
      </c>
      <c r="L4669" s="150" t="s">
        <v>6435</v>
      </c>
      <c r="M4669" s="169">
        <v>45973</v>
      </c>
      <c r="N4669" s="169"/>
      <c r="O4669" s="169"/>
      <c r="P4669" s="168" t="str">
        <f ca="1">IF(Proc[[#This Row],[DaysAgeing]]&gt;5,"yep","on track")</f>
        <v>yep</v>
      </c>
      <c r="Q4669" s="3">
        <f ca="1">IF(Proc[[#This Row],[DateClosed]]="",ABS(NETWORKDAYS(Proc[[#This Row],[DateOpened]],TODAY()))-1,ABS(NETWORKDAYS(Proc[[#This Row],[DateOpened]],Proc[[#This Row],[DateClosed]]))-1)</f>
        <v>27</v>
      </c>
      <c r="R4669" s="168" t="s">
        <v>489</v>
      </c>
      <c r="S4669" s="150"/>
    </row>
    <row r="4670" spans="1:19" hidden="1">
      <c r="A4670" s="149" t="s">
        <v>6853</v>
      </c>
      <c r="B4670" s="150" t="str">
        <f>IFERROR(VLOOKUP(Proc[[#This Row],[App]],Table2[],3,0),"open")</f>
        <v>ok</v>
      </c>
      <c r="C4670" s="149" t="s">
        <v>369</v>
      </c>
      <c r="D4670" t="s">
        <v>6843</v>
      </c>
      <c r="E4670" t="s">
        <v>6850</v>
      </c>
      <c r="F4670" s="150" t="s">
        <v>6850</v>
      </c>
      <c r="G4670" s="149" t="s">
        <v>400</v>
      </c>
      <c r="H4670" s="150" t="str">
        <f>IF(Proc[[#This Row],[type]]="LFF (MDG-F)",MID(Proc[[#This Row],[Obj]],13,10),"")</f>
        <v/>
      </c>
      <c r="J4670" s="150" t="b">
        <f>Proc[[#This Row],[Requested]]=Proc[[#This Row],[CurrentParent]]</f>
        <v>1</v>
      </c>
      <c r="K4670" s="150" t="str">
        <f>IF(Proc[[#This Row],[Author]]="Marcela Urrego",VLOOKUP(LEFT(Proc[[#This Row],[Requested]],1),Table3[#All],2,0),VLOOKUP(Proc[[#This Row],[Author]],Table4[],2,0))</f>
        <v>LS</v>
      </c>
      <c r="L4670" s="150" t="s">
        <v>6435</v>
      </c>
      <c r="M4670" s="169">
        <v>45973</v>
      </c>
      <c r="N4670" s="169"/>
      <c r="O4670" s="169"/>
      <c r="P4670" s="168" t="str">
        <f ca="1">IF(Proc[[#This Row],[DaysAgeing]]&gt;5,"yep","on track")</f>
        <v>yep</v>
      </c>
      <c r="Q4670" s="3">
        <f ca="1">IF(Proc[[#This Row],[DateClosed]]="",ABS(NETWORKDAYS(Proc[[#This Row],[DateOpened]],TODAY()))-1,ABS(NETWORKDAYS(Proc[[#This Row],[DateOpened]],Proc[[#This Row],[DateClosed]]))-1)</f>
        <v>27</v>
      </c>
      <c r="R4670" s="168" t="s">
        <v>489</v>
      </c>
      <c r="S4670" s="150"/>
    </row>
    <row r="4671" spans="1:19" hidden="1">
      <c r="A4671" s="149" t="s">
        <v>6853</v>
      </c>
      <c r="B4671" s="150" t="str">
        <f>IFERROR(VLOOKUP(Proc[[#This Row],[App]],Table2[],3,0),"open")</f>
        <v>ok</v>
      </c>
      <c r="C4671" s="149" t="s">
        <v>369</v>
      </c>
      <c r="D4671" t="s">
        <v>6844</v>
      </c>
      <c r="E4671" t="s">
        <v>447</v>
      </c>
      <c r="F4671" s="149" t="s">
        <v>447</v>
      </c>
      <c r="G4671" s="149" t="s">
        <v>400</v>
      </c>
      <c r="H4671" s="150" t="str">
        <f>IF(Proc[[#This Row],[type]]="LFF (MDG-F)",MID(Proc[[#This Row],[Obj]],13,10),"")</f>
        <v/>
      </c>
      <c r="J4671" s="150" t="b">
        <f>Proc[[#This Row],[Requested]]=Proc[[#This Row],[CurrentParent]]</f>
        <v>1</v>
      </c>
      <c r="K4671" s="150" t="str">
        <f>IF(Proc[[#This Row],[Author]]="Marcela Urrego",VLOOKUP(LEFT(Proc[[#This Row],[Requested]],1),Table3[#All],2,0),VLOOKUP(Proc[[#This Row],[Author]],Table4[],2,0))</f>
        <v>LS</v>
      </c>
      <c r="L4671" s="150" t="s">
        <v>6435</v>
      </c>
      <c r="M4671" s="169">
        <v>45973</v>
      </c>
      <c r="N4671" s="169"/>
      <c r="O4671" s="169"/>
      <c r="P4671" s="168" t="str">
        <f ca="1">IF(Proc[[#This Row],[DaysAgeing]]&gt;5,"yep","on track")</f>
        <v>yep</v>
      </c>
      <c r="Q4671" s="3">
        <f ca="1">IF(Proc[[#This Row],[DateClosed]]="",ABS(NETWORKDAYS(Proc[[#This Row],[DateOpened]],TODAY()))-1,ABS(NETWORKDAYS(Proc[[#This Row],[DateOpened]],Proc[[#This Row],[DateClosed]]))-1)</f>
        <v>27</v>
      </c>
      <c r="R4671" s="168" t="s">
        <v>489</v>
      </c>
      <c r="S4671" s="150"/>
    </row>
    <row r="4672" spans="1:19" hidden="1">
      <c r="A4672" s="149" t="s">
        <v>6853</v>
      </c>
      <c r="B4672" s="150" t="str">
        <f>IFERROR(VLOOKUP(Proc[[#This Row],[App]],Table2[],3,0),"open")</f>
        <v>ok</v>
      </c>
      <c r="C4672" s="149" t="s">
        <v>369</v>
      </c>
      <c r="D4672" t="s">
        <v>6845</v>
      </c>
      <c r="E4672" t="s">
        <v>496</v>
      </c>
      <c r="F4672" s="150" t="s">
        <v>496</v>
      </c>
      <c r="G4672" s="149" t="s">
        <v>400</v>
      </c>
      <c r="H4672" s="150" t="str">
        <f>IF(Proc[[#This Row],[type]]="LFF (MDG-F)",MID(Proc[[#This Row],[Obj]],13,10),"")</f>
        <v/>
      </c>
      <c r="J4672" s="150" t="b">
        <f>Proc[[#This Row],[Requested]]=Proc[[#This Row],[CurrentParent]]</f>
        <v>1</v>
      </c>
      <c r="K4672" s="150" t="str">
        <f>IF(Proc[[#This Row],[Author]]="Marcela Urrego",VLOOKUP(LEFT(Proc[[#This Row],[Requested]],1),Table3[#All],2,0),VLOOKUP(Proc[[#This Row],[Author]],Table4[],2,0))</f>
        <v>LS</v>
      </c>
      <c r="L4672" s="150" t="s">
        <v>6435</v>
      </c>
      <c r="M4672" s="169">
        <v>45973</v>
      </c>
      <c r="N4672" s="169"/>
      <c r="O4672" s="169"/>
      <c r="P4672" s="168" t="str">
        <f ca="1">IF(Proc[[#This Row],[DaysAgeing]]&gt;5,"yep","on track")</f>
        <v>yep</v>
      </c>
      <c r="Q4672" s="3">
        <f ca="1">IF(Proc[[#This Row],[DateClosed]]="",ABS(NETWORKDAYS(Proc[[#This Row],[DateOpened]],TODAY()))-1,ABS(NETWORKDAYS(Proc[[#This Row],[DateOpened]],Proc[[#This Row],[DateClosed]]))-1)</f>
        <v>27</v>
      </c>
      <c r="R4672" s="168" t="s">
        <v>489</v>
      </c>
      <c r="S4672" s="150"/>
    </row>
    <row r="4673" spans="1:19" hidden="1">
      <c r="A4673" s="149" t="s">
        <v>6853</v>
      </c>
      <c r="B4673" s="150" t="str">
        <f>IFERROR(VLOOKUP(Proc[[#This Row],[App]],Table2[],3,0),"open")</f>
        <v>ok</v>
      </c>
      <c r="C4673" s="149" t="s">
        <v>369</v>
      </c>
      <c r="D4673" t="s">
        <v>6846</v>
      </c>
      <c r="E4673" t="s">
        <v>6851</v>
      </c>
      <c r="F4673" s="150" t="s">
        <v>6851</v>
      </c>
      <c r="G4673" s="149" t="s">
        <v>400</v>
      </c>
      <c r="H4673" s="150" t="str">
        <f>IF(Proc[[#This Row],[type]]="LFF (MDG-F)",MID(Proc[[#This Row],[Obj]],13,10),"")</f>
        <v/>
      </c>
      <c r="J4673" s="150" t="b">
        <f>Proc[[#This Row],[Requested]]=Proc[[#This Row],[CurrentParent]]</f>
        <v>1</v>
      </c>
      <c r="K4673" s="150" t="str">
        <f>IF(Proc[[#This Row],[Author]]="Marcela Urrego",VLOOKUP(LEFT(Proc[[#This Row],[Requested]],1),Table3[#All],2,0),VLOOKUP(Proc[[#This Row],[Author]],Table4[],2,0))</f>
        <v>LS</v>
      </c>
      <c r="L4673" s="150" t="s">
        <v>6435</v>
      </c>
      <c r="M4673" s="169">
        <v>45973</v>
      </c>
      <c r="N4673" s="169"/>
      <c r="O4673" s="169"/>
      <c r="P4673" s="168" t="str">
        <f ca="1">IF(Proc[[#This Row],[DaysAgeing]]&gt;5,"yep","on track")</f>
        <v>yep</v>
      </c>
      <c r="Q4673" s="3">
        <f ca="1">IF(Proc[[#This Row],[DateClosed]]="",ABS(NETWORKDAYS(Proc[[#This Row],[DateOpened]],TODAY()))-1,ABS(NETWORKDAYS(Proc[[#This Row],[DateOpened]],Proc[[#This Row],[DateClosed]]))-1)</f>
        <v>27</v>
      </c>
      <c r="R4673" s="168" t="s">
        <v>489</v>
      </c>
      <c r="S4673" s="150"/>
    </row>
    <row r="4674" spans="1:19" hidden="1">
      <c r="A4674" s="149" t="s">
        <v>6853</v>
      </c>
      <c r="B4674" s="150" t="str">
        <f>IFERROR(VLOOKUP(Proc[[#This Row],[App]],Table2[],3,0),"open")</f>
        <v>ok</v>
      </c>
      <c r="C4674" s="149" t="s">
        <v>369</v>
      </c>
      <c r="D4674" t="s">
        <v>6847</v>
      </c>
      <c r="E4674" t="s">
        <v>6852</v>
      </c>
      <c r="F4674" s="149" t="s">
        <v>6852</v>
      </c>
      <c r="G4674" s="149" t="s">
        <v>400</v>
      </c>
      <c r="H4674" s="150" t="str">
        <f>IF(Proc[[#This Row],[type]]="LFF (MDG-F)",MID(Proc[[#This Row],[Obj]],13,10),"")</f>
        <v/>
      </c>
      <c r="J4674" s="150" t="b">
        <f>Proc[[#This Row],[Requested]]=Proc[[#This Row],[CurrentParent]]</f>
        <v>1</v>
      </c>
      <c r="K4674" s="150" t="str">
        <f>IF(Proc[[#This Row],[Author]]="Marcela Urrego",VLOOKUP(LEFT(Proc[[#This Row],[Requested]],1),Table3[#All],2,0),VLOOKUP(Proc[[#This Row],[Author]],Table4[],2,0))</f>
        <v>LS</v>
      </c>
      <c r="L4674" s="150" t="s">
        <v>6435</v>
      </c>
      <c r="M4674" s="169">
        <v>45973</v>
      </c>
      <c r="N4674" s="169"/>
      <c r="O4674" s="169"/>
      <c r="P4674" s="168" t="str">
        <f ca="1">IF(Proc[[#This Row],[DaysAgeing]]&gt;5,"yep","on track")</f>
        <v>yep</v>
      </c>
      <c r="Q4674" s="3">
        <f ca="1">IF(Proc[[#This Row],[DateClosed]]="",ABS(NETWORKDAYS(Proc[[#This Row],[DateOpened]],TODAY()))-1,ABS(NETWORKDAYS(Proc[[#This Row],[DateOpened]],Proc[[#This Row],[DateClosed]]))-1)</f>
        <v>27</v>
      </c>
      <c r="R4674" s="168" t="s">
        <v>489</v>
      </c>
      <c r="S4674" s="150"/>
    </row>
    <row r="4675" spans="1:19" hidden="1">
      <c r="A4675" s="149" t="s">
        <v>6853</v>
      </c>
      <c r="B4675" s="150" t="str">
        <f>IFERROR(VLOOKUP(Proc[[#This Row],[App]],Table2[],3,0),"open")</f>
        <v>ok</v>
      </c>
      <c r="C4675" s="149" t="s">
        <v>369</v>
      </c>
      <c r="D4675" t="s">
        <v>6831</v>
      </c>
      <c r="E4675" t="s">
        <v>2206</v>
      </c>
      <c r="F4675" s="150" t="s">
        <v>2206</v>
      </c>
      <c r="G4675" s="149" t="s">
        <v>400</v>
      </c>
      <c r="H4675" s="150" t="str">
        <f>IF(Proc[[#This Row],[type]]="LFF (MDG-F)",MID(Proc[[#This Row],[Obj]],13,10),"")</f>
        <v/>
      </c>
      <c r="J4675" s="150" t="b">
        <f>Proc[[#This Row],[Requested]]=Proc[[#This Row],[CurrentParent]]</f>
        <v>1</v>
      </c>
      <c r="K4675" s="150" t="str">
        <f>IF(Proc[[#This Row],[Author]]="Marcela Urrego",VLOOKUP(LEFT(Proc[[#This Row],[Requested]],1),Table3[#All],2,0),VLOOKUP(Proc[[#This Row],[Author]],Table4[],2,0))</f>
        <v>LS</v>
      </c>
      <c r="L4675" s="150" t="s">
        <v>6435</v>
      </c>
      <c r="M4675" s="169">
        <v>45973</v>
      </c>
      <c r="N4675" s="169"/>
      <c r="O4675" s="169"/>
      <c r="P4675" s="168" t="str">
        <f ca="1">IF(Proc[[#This Row],[DaysAgeing]]&gt;5,"yep","on track")</f>
        <v>yep</v>
      </c>
      <c r="Q4675" s="3">
        <f ca="1">IF(Proc[[#This Row],[DateClosed]]="",ABS(NETWORKDAYS(Proc[[#This Row],[DateOpened]],TODAY()))-1,ABS(NETWORKDAYS(Proc[[#This Row],[DateOpened]],Proc[[#This Row],[DateClosed]]))-1)</f>
        <v>27</v>
      </c>
      <c r="R4675" s="168" t="s">
        <v>489</v>
      </c>
      <c r="S4675" s="150"/>
    </row>
    <row r="4676" spans="1:19" hidden="1">
      <c r="A4676" s="149" t="s">
        <v>6853</v>
      </c>
      <c r="B4676" s="150" t="str">
        <f>IFERROR(VLOOKUP(Proc[[#This Row],[App]],Table2[],3,0),"open")</f>
        <v>ok</v>
      </c>
      <c r="C4676" s="149" t="s">
        <v>369</v>
      </c>
      <c r="D4676" t="s">
        <v>6832</v>
      </c>
      <c r="E4676" t="s">
        <v>2206</v>
      </c>
      <c r="F4676" s="150" t="s">
        <v>2206</v>
      </c>
      <c r="G4676" s="149" t="s">
        <v>400</v>
      </c>
      <c r="H4676" s="150" t="str">
        <f>IF(Proc[[#This Row],[type]]="LFF (MDG-F)",MID(Proc[[#This Row],[Obj]],13,10),"")</f>
        <v/>
      </c>
      <c r="J4676" s="150" t="b">
        <f>Proc[[#This Row],[Requested]]=Proc[[#This Row],[CurrentParent]]</f>
        <v>1</v>
      </c>
      <c r="K4676" s="150" t="str">
        <f>IF(Proc[[#This Row],[Author]]="Marcela Urrego",VLOOKUP(LEFT(Proc[[#This Row],[Requested]],1),Table3[#All],2,0),VLOOKUP(Proc[[#This Row],[Author]],Table4[],2,0))</f>
        <v>LS</v>
      </c>
      <c r="L4676" s="150" t="s">
        <v>6435</v>
      </c>
      <c r="M4676" s="169">
        <v>45973</v>
      </c>
      <c r="N4676" s="169"/>
      <c r="O4676" s="169"/>
      <c r="P4676" s="168" t="str">
        <f ca="1">IF(Proc[[#This Row],[DaysAgeing]]&gt;5,"yep","on track")</f>
        <v>yep</v>
      </c>
      <c r="Q4676" s="3">
        <f ca="1">IF(Proc[[#This Row],[DateClosed]]="",ABS(NETWORKDAYS(Proc[[#This Row],[DateOpened]],TODAY()))-1,ABS(NETWORKDAYS(Proc[[#This Row],[DateOpened]],Proc[[#This Row],[DateClosed]]))-1)</f>
        <v>27</v>
      </c>
      <c r="R4676" s="168" t="s">
        <v>489</v>
      </c>
      <c r="S4676" s="150"/>
    </row>
    <row r="4677" spans="1:19" hidden="1">
      <c r="A4677" t="s">
        <v>6854</v>
      </c>
      <c r="B4677" s="150" t="str">
        <f>IFERROR(VLOOKUP(Proc[[#This Row],[App]],Table2[],3,0),"open")</f>
        <v>ok</v>
      </c>
      <c r="C4677" s="149" t="s">
        <v>369</v>
      </c>
      <c r="D4677" t="s">
        <v>6855</v>
      </c>
      <c r="E4677" t="s">
        <v>6914</v>
      </c>
      <c r="F4677" s="150" t="s">
        <v>6914</v>
      </c>
      <c r="G4677" s="149" t="s">
        <v>400</v>
      </c>
      <c r="H4677" s="150" t="str">
        <f>IF(Proc[[#This Row],[type]]="LFF (MDG-F)",MID(Proc[[#This Row],[Obj]],13,10),"")</f>
        <v/>
      </c>
      <c r="J4677" s="150" t="b">
        <f>Proc[[#This Row],[Requested]]=Proc[[#This Row],[CurrentParent]]</f>
        <v>1</v>
      </c>
      <c r="K4677" s="150" t="str">
        <f>IF(Proc[[#This Row],[Author]]="Marcela Urrego",VLOOKUP(LEFT(Proc[[#This Row],[Requested]],1),Table3[#All],2,0),VLOOKUP(Proc[[#This Row],[Author]],Table4[],2,0))</f>
        <v>HC</v>
      </c>
      <c r="L4677" s="150" t="s">
        <v>6435</v>
      </c>
      <c r="M4677" s="169">
        <v>45978</v>
      </c>
      <c r="N4677" s="169"/>
      <c r="O4677" s="169"/>
      <c r="P4677" s="170" t="str">
        <f ca="1">IF(Proc[[#This Row],[DaysAgeing]]&gt;5,"yep","on track")</f>
        <v>yep</v>
      </c>
      <c r="Q4677" s="3">
        <f ca="1">IF(Proc[[#This Row],[DateClosed]]="",ABS(NETWORKDAYS(Proc[[#This Row],[DateOpened]],TODAY()))-1,ABS(NETWORKDAYS(Proc[[#This Row],[DateOpened]],Proc[[#This Row],[DateClosed]]))-1)</f>
        <v>24</v>
      </c>
      <c r="R4677" s="170" t="s">
        <v>6862</v>
      </c>
      <c r="S4677" s="150"/>
    </row>
    <row r="4678" spans="1:19" hidden="1">
      <c r="A4678" t="s">
        <v>6854</v>
      </c>
      <c r="B4678" s="150" t="str">
        <f>IFERROR(VLOOKUP(Proc[[#This Row],[App]],Table2[],3,0),"open")</f>
        <v>ok</v>
      </c>
      <c r="C4678" s="149" t="s">
        <v>369</v>
      </c>
      <c r="D4678" t="s">
        <v>6856</v>
      </c>
      <c r="E4678" t="s">
        <v>6915</v>
      </c>
      <c r="F4678" s="150" t="s">
        <v>6915</v>
      </c>
      <c r="G4678" s="149" t="s">
        <v>400</v>
      </c>
      <c r="H4678" s="150" t="str">
        <f>IF(Proc[[#This Row],[type]]="LFF (MDG-F)",MID(Proc[[#This Row],[Obj]],13,10),"")</f>
        <v/>
      </c>
      <c r="J4678" s="150" t="b">
        <f>Proc[[#This Row],[Requested]]=Proc[[#This Row],[CurrentParent]]</f>
        <v>1</v>
      </c>
      <c r="K4678" s="150" t="str">
        <f>IF(Proc[[#This Row],[Author]]="Marcela Urrego",VLOOKUP(LEFT(Proc[[#This Row],[Requested]],1),Table3[#All],2,0),VLOOKUP(Proc[[#This Row],[Author]],Table4[],2,0))</f>
        <v>HC</v>
      </c>
      <c r="L4678" s="150" t="s">
        <v>6435</v>
      </c>
      <c r="M4678" s="169">
        <v>45978</v>
      </c>
      <c r="N4678" s="169"/>
      <c r="O4678" s="169"/>
      <c r="P4678" s="170" t="str">
        <f ca="1">IF(Proc[[#This Row],[DaysAgeing]]&gt;5,"yep","on track")</f>
        <v>yep</v>
      </c>
      <c r="Q4678" s="3">
        <f ca="1">IF(Proc[[#This Row],[DateClosed]]="",ABS(NETWORKDAYS(Proc[[#This Row],[DateOpened]],TODAY()))-1,ABS(NETWORKDAYS(Proc[[#This Row],[DateOpened]],Proc[[#This Row],[DateClosed]]))-1)</f>
        <v>24</v>
      </c>
      <c r="R4678" s="170" t="s">
        <v>6862</v>
      </c>
      <c r="S4678" s="150"/>
    </row>
    <row r="4679" spans="1:19" hidden="1">
      <c r="A4679" s="149" t="s">
        <v>6854</v>
      </c>
      <c r="B4679" s="150" t="str">
        <f>IFERROR(VLOOKUP(Proc[[#This Row],[App]],Table2[],3,0),"open")</f>
        <v>ok</v>
      </c>
      <c r="C4679" s="149" t="s">
        <v>369</v>
      </c>
      <c r="D4679" t="s">
        <v>6857</v>
      </c>
      <c r="E4679" t="s">
        <v>6914</v>
      </c>
      <c r="F4679" s="150" t="s">
        <v>6914</v>
      </c>
      <c r="G4679" s="149" t="s">
        <v>400</v>
      </c>
      <c r="H4679" s="150" t="str">
        <f>IF(Proc[[#This Row],[type]]="LFF (MDG-F)",MID(Proc[[#This Row],[Obj]],13,10),"")</f>
        <v/>
      </c>
      <c r="J4679" s="150" t="b">
        <f>Proc[[#This Row],[Requested]]=Proc[[#This Row],[CurrentParent]]</f>
        <v>1</v>
      </c>
      <c r="K4679" s="150" t="str">
        <f>IF(Proc[[#This Row],[Author]]="Marcela Urrego",VLOOKUP(LEFT(Proc[[#This Row],[Requested]],1),Table3[#All],2,0),VLOOKUP(Proc[[#This Row],[Author]],Table4[],2,0))</f>
        <v>HC</v>
      </c>
      <c r="L4679" s="150" t="s">
        <v>6435</v>
      </c>
      <c r="M4679" s="169">
        <v>45978</v>
      </c>
      <c r="N4679" s="169"/>
      <c r="O4679" s="169"/>
      <c r="P4679" s="170" t="str">
        <f ca="1">IF(Proc[[#This Row],[DaysAgeing]]&gt;5,"yep","on track")</f>
        <v>yep</v>
      </c>
      <c r="Q4679" s="3">
        <f ca="1">IF(Proc[[#This Row],[DateClosed]]="",ABS(NETWORKDAYS(Proc[[#This Row],[DateOpened]],TODAY()))-1,ABS(NETWORKDAYS(Proc[[#This Row],[DateOpened]],Proc[[#This Row],[DateClosed]]))-1)</f>
        <v>24</v>
      </c>
      <c r="R4679" s="170" t="s">
        <v>6862</v>
      </c>
      <c r="S4679" s="150"/>
    </row>
    <row r="4680" spans="1:19" hidden="1">
      <c r="A4680" s="149" t="s">
        <v>6854</v>
      </c>
      <c r="B4680" s="150" t="str">
        <f>IFERROR(VLOOKUP(Proc[[#This Row],[App]],Table2[],3,0),"open")</f>
        <v>ok</v>
      </c>
      <c r="C4680" s="149" t="s">
        <v>369</v>
      </c>
      <c r="D4680" t="s">
        <v>6858</v>
      </c>
      <c r="E4680" t="s">
        <v>6914</v>
      </c>
      <c r="F4680" s="150" t="s">
        <v>6914</v>
      </c>
      <c r="G4680" s="149" t="s">
        <v>400</v>
      </c>
      <c r="H4680" s="150" t="str">
        <f>IF(Proc[[#This Row],[type]]="LFF (MDG-F)",MID(Proc[[#This Row],[Obj]],13,10),"")</f>
        <v/>
      </c>
      <c r="J4680" s="150" t="b">
        <f>Proc[[#This Row],[Requested]]=Proc[[#This Row],[CurrentParent]]</f>
        <v>1</v>
      </c>
      <c r="K4680" s="150" t="str">
        <f>IF(Proc[[#This Row],[Author]]="Marcela Urrego",VLOOKUP(LEFT(Proc[[#This Row],[Requested]],1),Table3[#All],2,0),VLOOKUP(Proc[[#This Row],[Author]],Table4[],2,0))</f>
        <v>HC</v>
      </c>
      <c r="L4680" s="150" t="s">
        <v>6435</v>
      </c>
      <c r="M4680" s="169">
        <v>45978</v>
      </c>
      <c r="N4680" s="169"/>
      <c r="O4680" s="169"/>
      <c r="P4680" s="170" t="str">
        <f ca="1">IF(Proc[[#This Row],[DaysAgeing]]&gt;5,"yep","on track")</f>
        <v>yep</v>
      </c>
      <c r="Q4680" s="3">
        <f ca="1">IF(Proc[[#This Row],[DateClosed]]="",ABS(NETWORKDAYS(Proc[[#This Row],[DateOpened]],TODAY()))-1,ABS(NETWORKDAYS(Proc[[#This Row],[DateOpened]],Proc[[#This Row],[DateClosed]]))-1)</f>
        <v>24</v>
      </c>
      <c r="R4680" s="170" t="s">
        <v>6862</v>
      </c>
      <c r="S4680" s="150"/>
    </row>
    <row r="4681" spans="1:19" hidden="1">
      <c r="A4681" s="149" t="s">
        <v>6854</v>
      </c>
      <c r="B4681" s="150" t="str">
        <f>IFERROR(VLOOKUP(Proc[[#This Row],[App]],Table2[],3,0),"open")</f>
        <v>ok</v>
      </c>
      <c r="C4681" s="149" t="s">
        <v>369</v>
      </c>
      <c r="D4681" t="s">
        <v>6859</v>
      </c>
      <c r="E4681" t="s">
        <v>6916</v>
      </c>
      <c r="F4681" s="150" t="s">
        <v>6916</v>
      </c>
      <c r="G4681" s="149" t="s">
        <v>400</v>
      </c>
      <c r="H4681" s="150" t="str">
        <f>IF(Proc[[#This Row],[type]]="LFF (MDG-F)",MID(Proc[[#This Row],[Obj]],13,10),"")</f>
        <v/>
      </c>
      <c r="J4681" s="150" t="b">
        <f>Proc[[#This Row],[Requested]]=Proc[[#This Row],[CurrentParent]]</f>
        <v>1</v>
      </c>
      <c r="K4681" s="150" t="str">
        <f>IF(Proc[[#This Row],[Author]]="Marcela Urrego",VLOOKUP(LEFT(Proc[[#This Row],[Requested]],1),Table3[#All],2,0),VLOOKUP(Proc[[#This Row],[Author]],Table4[],2,0))</f>
        <v>HC</v>
      </c>
      <c r="L4681" s="150" t="s">
        <v>6435</v>
      </c>
      <c r="M4681" s="169">
        <v>45978</v>
      </c>
      <c r="N4681" s="169"/>
      <c r="O4681" s="169"/>
      <c r="P4681" s="170" t="str">
        <f ca="1">IF(Proc[[#This Row],[DaysAgeing]]&gt;5,"yep","on track")</f>
        <v>yep</v>
      </c>
      <c r="Q4681" s="3">
        <f ca="1">IF(Proc[[#This Row],[DateClosed]]="",ABS(NETWORKDAYS(Proc[[#This Row],[DateOpened]],TODAY()))-1,ABS(NETWORKDAYS(Proc[[#This Row],[DateOpened]],Proc[[#This Row],[DateClosed]]))-1)</f>
        <v>24</v>
      </c>
      <c r="R4681" s="170" t="s">
        <v>6862</v>
      </c>
      <c r="S4681" s="150"/>
    </row>
    <row r="4682" spans="1:19" hidden="1">
      <c r="A4682" s="149" t="s">
        <v>6854</v>
      </c>
      <c r="B4682" s="150" t="str">
        <f>IFERROR(VLOOKUP(Proc[[#This Row],[App]],Table2[],3,0),"open")</f>
        <v>ok</v>
      </c>
      <c r="C4682" s="149" t="s">
        <v>369</v>
      </c>
      <c r="D4682" t="s">
        <v>6860</v>
      </c>
      <c r="E4682" t="s">
        <v>6917</v>
      </c>
      <c r="F4682" s="150" t="s">
        <v>6917</v>
      </c>
      <c r="G4682" s="149" t="s">
        <v>400</v>
      </c>
      <c r="H4682" s="150" t="str">
        <f>IF(Proc[[#This Row],[type]]="LFF (MDG-F)",MID(Proc[[#This Row],[Obj]],13,10),"")</f>
        <v/>
      </c>
      <c r="J4682" s="150" t="b">
        <f>Proc[[#This Row],[Requested]]=Proc[[#This Row],[CurrentParent]]</f>
        <v>1</v>
      </c>
      <c r="K4682" s="150" t="str">
        <f>IF(Proc[[#This Row],[Author]]="Marcela Urrego",VLOOKUP(LEFT(Proc[[#This Row],[Requested]],1),Table3[#All],2,0),VLOOKUP(Proc[[#This Row],[Author]],Table4[],2,0))</f>
        <v>HC</v>
      </c>
      <c r="L4682" s="150" t="s">
        <v>6435</v>
      </c>
      <c r="M4682" s="169">
        <v>45978</v>
      </c>
      <c r="N4682" s="169"/>
      <c r="O4682" s="169"/>
      <c r="P4682" s="170" t="str">
        <f ca="1">IF(Proc[[#This Row],[DaysAgeing]]&gt;5,"yep","on track")</f>
        <v>yep</v>
      </c>
      <c r="Q4682" s="3">
        <f ca="1">IF(Proc[[#This Row],[DateClosed]]="",ABS(NETWORKDAYS(Proc[[#This Row],[DateOpened]],TODAY()))-1,ABS(NETWORKDAYS(Proc[[#This Row],[DateOpened]],Proc[[#This Row],[DateClosed]]))-1)</f>
        <v>24</v>
      </c>
      <c r="R4682" s="170" t="s">
        <v>6862</v>
      </c>
      <c r="S4682" s="150"/>
    </row>
    <row r="4683" spans="1:19" hidden="1">
      <c r="A4683" s="149" t="s">
        <v>6854</v>
      </c>
      <c r="B4683" s="150" t="str">
        <f>IFERROR(VLOOKUP(Proc[[#This Row],[App]],Table2[],3,0),"open")</f>
        <v>ok</v>
      </c>
      <c r="C4683" s="149" t="s">
        <v>369</v>
      </c>
      <c r="D4683" t="s">
        <v>6861</v>
      </c>
      <c r="E4683" t="s">
        <v>6914</v>
      </c>
      <c r="F4683" s="149" t="s">
        <v>6914</v>
      </c>
      <c r="G4683" s="149" t="s">
        <v>400</v>
      </c>
      <c r="H4683" s="150" t="str">
        <f>IF(Proc[[#This Row],[type]]="LFF (MDG-F)",MID(Proc[[#This Row],[Obj]],13,10),"")</f>
        <v/>
      </c>
      <c r="J4683" s="150" t="b">
        <f>Proc[[#This Row],[Requested]]=Proc[[#This Row],[CurrentParent]]</f>
        <v>1</v>
      </c>
      <c r="K4683" s="150" t="str">
        <f>IF(Proc[[#This Row],[Author]]="Marcela Urrego",VLOOKUP(LEFT(Proc[[#This Row],[Requested]],1),Table3[#All],2,0),VLOOKUP(Proc[[#This Row],[Author]],Table4[],2,0))</f>
        <v>HC</v>
      </c>
      <c r="L4683" s="150" t="s">
        <v>6435</v>
      </c>
      <c r="M4683" s="169">
        <v>45978</v>
      </c>
      <c r="N4683" s="169"/>
      <c r="O4683" s="169"/>
      <c r="P4683" s="170" t="str">
        <f ca="1">IF(Proc[[#This Row],[DaysAgeing]]&gt;5,"yep","on track")</f>
        <v>yep</v>
      </c>
      <c r="Q4683" s="3">
        <f ca="1">IF(Proc[[#This Row],[DateClosed]]="",ABS(NETWORKDAYS(Proc[[#This Row],[DateOpened]],TODAY()))-1,ABS(NETWORKDAYS(Proc[[#This Row],[DateOpened]],Proc[[#This Row],[DateClosed]]))-1)</f>
        <v>24</v>
      </c>
      <c r="R4683" s="170" t="s">
        <v>6862</v>
      </c>
      <c r="S4683" s="150"/>
    </row>
    <row r="4684" spans="1:19" hidden="1">
      <c r="A4684" t="s">
        <v>6864</v>
      </c>
      <c r="B4684" s="150" t="str">
        <f>IFERROR(VLOOKUP(Proc[[#This Row],[App]],Table2[],3,0),"open")</f>
        <v>ok</v>
      </c>
      <c r="C4684" s="149" t="s">
        <v>369</v>
      </c>
      <c r="D4684" t="s">
        <v>6863</v>
      </c>
      <c r="E4684" t="s">
        <v>540</v>
      </c>
      <c r="F4684" s="150" t="s">
        <v>540</v>
      </c>
      <c r="G4684" s="149" t="s">
        <v>400</v>
      </c>
      <c r="H4684" s="150" t="str">
        <f>IF(Proc[[#This Row],[type]]="LFF (MDG-F)",MID(Proc[[#This Row],[Obj]],13,10),"")</f>
        <v/>
      </c>
      <c r="J4684" s="150" t="b">
        <f>Proc[[#This Row],[Requested]]=Proc[[#This Row],[CurrentParent]]</f>
        <v>1</v>
      </c>
      <c r="K4684" s="150" t="str">
        <f>IF(Proc[[#This Row],[Author]]="Marcela Urrego",VLOOKUP(LEFT(Proc[[#This Row],[Requested]],1),Table3[#All],2,0),VLOOKUP(Proc[[#This Row],[Author]],Table4[],2,0))</f>
        <v>MGF</v>
      </c>
      <c r="L4684" s="150" t="s">
        <v>6435</v>
      </c>
      <c r="M4684" s="169">
        <v>45978</v>
      </c>
      <c r="N4684" s="169"/>
      <c r="O4684" s="169"/>
      <c r="P4684" s="170" t="str">
        <f ca="1">IF(Proc[[#This Row],[DaysAgeing]]&gt;5,"yep","on track")</f>
        <v>yep</v>
      </c>
      <c r="Q4684" s="3">
        <f ca="1">IF(Proc[[#This Row],[DateClosed]]="",ABS(NETWORKDAYS(Proc[[#This Row],[DateOpened]],TODAY()))-1,ABS(NETWORKDAYS(Proc[[#This Row],[DateOpened]],Proc[[#This Row],[DateClosed]]))-1)</f>
        <v>24</v>
      </c>
      <c r="R4684" s="170" t="s">
        <v>515</v>
      </c>
      <c r="S4684" s="150"/>
    </row>
    <row r="4685" spans="1:19" hidden="1">
      <c r="A4685" t="s">
        <v>6866</v>
      </c>
      <c r="B4685" s="150" t="str">
        <f>IFERROR(VLOOKUP(Proc[[#This Row],[App]],Table2[],3,0),"open")</f>
        <v>ok</v>
      </c>
      <c r="C4685" s="149" t="s">
        <v>369</v>
      </c>
      <c r="D4685" t="s">
        <v>6865</v>
      </c>
      <c r="E4685" t="s">
        <v>6872</v>
      </c>
      <c r="F4685" s="150" t="s">
        <v>6872</v>
      </c>
      <c r="G4685" s="149" t="s">
        <v>400</v>
      </c>
      <c r="H4685" s="150" t="str">
        <f>IF(Proc[[#This Row],[type]]="LFF (MDG-F)",MID(Proc[[#This Row],[Obj]],13,10),"")</f>
        <v/>
      </c>
      <c r="I4685" t="s">
        <v>6919</v>
      </c>
      <c r="J4685" s="150" t="b">
        <f>Proc[[#This Row],[Requested]]=Proc[[#This Row],[CurrentParent]]</f>
        <v>1</v>
      </c>
      <c r="K4685" s="150" t="str">
        <f>IF(Proc[[#This Row],[Author]]="Marcela Urrego",VLOOKUP(LEFT(Proc[[#This Row],[Requested]],1),Table3[#All],2,0),VLOOKUP(Proc[[#This Row],[Author]],Table4[],2,0))</f>
        <v>HC</v>
      </c>
      <c r="L4685" s="150" t="s">
        <v>6435</v>
      </c>
      <c r="M4685" s="169">
        <v>45978</v>
      </c>
      <c r="N4685" s="169"/>
      <c r="O4685" s="169"/>
      <c r="P4685" s="170" t="str">
        <f ca="1">IF(Proc[[#This Row],[DaysAgeing]]&gt;5,"yep","on track")</f>
        <v>yep</v>
      </c>
      <c r="Q4685" s="3">
        <f ca="1">IF(Proc[[#This Row],[DateClosed]]="",ABS(NETWORKDAYS(Proc[[#This Row],[DateOpened]],TODAY()))-1,ABS(NETWORKDAYS(Proc[[#This Row],[DateOpened]],Proc[[#This Row],[DateClosed]]))-1)</f>
        <v>24</v>
      </c>
      <c r="R4685" s="170" t="s">
        <v>5682</v>
      </c>
      <c r="S4685" s="150"/>
    </row>
    <row r="4686" spans="1:19" hidden="1">
      <c r="A4686" t="s">
        <v>6868</v>
      </c>
      <c r="B4686" s="150" t="str">
        <f>IFERROR(VLOOKUP(Proc[[#This Row],[App]],Table2[],3,0),"open")</f>
        <v>ok</v>
      </c>
      <c r="C4686" s="149" t="s">
        <v>369</v>
      </c>
      <c r="D4686" t="s">
        <v>6867</v>
      </c>
      <c r="E4686" t="s">
        <v>6920</v>
      </c>
      <c r="F4686" s="150" t="s">
        <v>6920</v>
      </c>
      <c r="G4686" s="149" t="s">
        <v>400</v>
      </c>
      <c r="H4686" s="150" t="str">
        <f>IF(Proc[[#This Row],[type]]="LFF (MDG-F)",MID(Proc[[#This Row],[Obj]],13,10),"")</f>
        <v/>
      </c>
      <c r="I4686" s="149" t="s">
        <v>6919</v>
      </c>
      <c r="J4686" s="150" t="b">
        <f>Proc[[#This Row],[Requested]]=Proc[[#This Row],[CurrentParent]]</f>
        <v>1</v>
      </c>
      <c r="K4686" s="150" t="str">
        <f>IF(Proc[[#This Row],[Author]]="Marcela Urrego",VLOOKUP(LEFT(Proc[[#This Row],[Requested]],1),Table3[#All],2,0),VLOOKUP(Proc[[#This Row],[Author]],Table4[],2,0))</f>
        <v>HC</v>
      </c>
      <c r="L4686" s="150" t="s">
        <v>6435</v>
      </c>
      <c r="M4686" s="169">
        <v>45978</v>
      </c>
      <c r="N4686" s="169"/>
      <c r="O4686" s="169"/>
      <c r="P4686" s="170" t="str">
        <f ca="1">IF(Proc[[#This Row],[DaysAgeing]]&gt;5,"yep","on track")</f>
        <v>yep</v>
      </c>
      <c r="Q4686" s="3">
        <f ca="1">IF(Proc[[#This Row],[DateClosed]]="",ABS(NETWORKDAYS(Proc[[#This Row],[DateOpened]],TODAY()))-1,ABS(NETWORKDAYS(Proc[[#This Row],[DateOpened]],Proc[[#This Row],[DateClosed]]))-1)</f>
        <v>24</v>
      </c>
      <c r="R4686" s="170" t="s">
        <v>478</v>
      </c>
      <c r="S4686" s="150"/>
    </row>
    <row r="4687" spans="1:19" hidden="1">
      <c r="A4687" t="s">
        <v>6870</v>
      </c>
      <c r="B4687" s="150" t="str">
        <f>IFERROR(VLOOKUP(Proc[[#This Row],[App]],Table2[],3,0),"open")</f>
        <v>ok</v>
      </c>
      <c r="C4687" s="149" t="s">
        <v>369</v>
      </c>
      <c r="D4687" t="s">
        <v>6869</v>
      </c>
      <c r="E4687" t="s">
        <v>6871</v>
      </c>
      <c r="F4687" s="150" t="s">
        <v>6871</v>
      </c>
      <c r="G4687" s="149" t="s">
        <v>400</v>
      </c>
      <c r="H4687" s="150" t="str">
        <f>IF(Proc[[#This Row],[type]]="LFF (MDG-F)",MID(Proc[[#This Row],[Obj]],13,10),"")</f>
        <v/>
      </c>
      <c r="J4687" s="150" t="b">
        <f>Proc[[#This Row],[Requested]]=Proc[[#This Row],[CurrentParent]]</f>
        <v>1</v>
      </c>
      <c r="K4687" s="150" t="str">
        <f>IF(Proc[[#This Row],[Author]]="Marcela Urrego",VLOOKUP(LEFT(Proc[[#This Row],[Requested]],1),Table3[#All],2,0),VLOOKUP(Proc[[#This Row],[Author]],Table4[],2,0))</f>
        <v>HC</v>
      </c>
      <c r="L4687" s="150" t="s">
        <v>6435</v>
      </c>
      <c r="M4687" s="169">
        <v>45978</v>
      </c>
      <c r="N4687" s="169"/>
      <c r="O4687" s="169"/>
      <c r="P4687" s="170" t="str">
        <f ca="1">IF(Proc[[#This Row],[DaysAgeing]]&gt;5,"yep","on track")</f>
        <v>yep</v>
      </c>
      <c r="Q4687" s="3">
        <f ca="1">IF(Proc[[#This Row],[DateClosed]]="",ABS(NETWORKDAYS(Proc[[#This Row],[DateOpened]],TODAY()))-1,ABS(NETWORKDAYS(Proc[[#This Row],[DateOpened]],Proc[[#This Row],[DateClosed]]))-1)</f>
        <v>24</v>
      </c>
      <c r="R4687" s="170" t="s">
        <v>5682</v>
      </c>
      <c r="S4687" s="150"/>
    </row>
    <row r="4688" spans="1:19" hidden="1">
      <c r="A4688" t="s">
        <v>6884</v>
      </c>
      <c r="B4688" s="150" t="str">
        <f>IFERROR(VLOOKUP(Proc[[#This Row],[App]],Table2[],3,0),"open")</f>
        <v>ok</v>
      </c>
      <c r="C4688" s="149" t="s">
        <v>369</v>
      </c>
      <c r="D4688" t="s">
        <v>6873</v>
      </c>
      <c r="E4688" t="s">
        <v>2883</v>
      </c>
      <c r="F4688" s="150" t="s">
        <v>2883</v>
      </c>
      <c r="G4688" s="149" t="s">
        <v>400</v>
      </c>
      <c r="H4688" s="150" t="str">
        <f>IF(Proc[[#This Row],[type]]="LFF (MDG-F)",MID(Proc[[#This Row],[Obj]],13,10),"")</f>
        <v/>
      </c>
      <c r="J4688" s="150" t="b">
        <f>Proc[[#This Row],[Requested]]=Proc[[#This Row],[CurrentParent]]</f>
        <v>1</v>
      </c>
      <c r="K4688" s="150" t="str">
        <f>IF(Proc[[#This Row],[Author]]="Marcela Urrego",VLOOKUP(LEFT(Proc[[#This Row],[Requested]],1),Table3[#All],2,0),VLOOKUP(Proc[[#This Row],[Author]],Table4[],2,0))</f>
        <v>HC</v>
      </c>
      <c r="L4688" s="150" t="s">
        <v>6435</v>
      </c>
      <c r="M4688" s="169">
        <v>45978</v>
      </c>
      <c r="N4688" s="169"/>
      <c r="O4688" s="169"/>
      <c r="P4688" s="170" t="str">
        <f ca="1">IF(Proc[[#This Row],[DaysAgeing]]&gt;5,"yep","on track")</f>
        <v>yep</v>
      </c>
      <c r="Q4688" s="3">
        <f ca="1">IF(Proc[[#This Row],[DateClosed]]="",ABS(NETWORKDAYS(Proc[[#This Row],[DateOpened]],TODAY()))-1,ABS(NETWORKDAYS(Proc[[#This Row],[DateOpened]],Proc[[#This Row],[DateClosed]]))-1)</f>
        <v>24</v>
      </c>
      <c r="R4688" s="170" t="s">
        <v>738</v>
      </c>
      <c r="S4688" s="150"/>
    </row>
    <row r="4689" spans="1:19" hidden="1">
      <c r="A4689" t="s">
        <v>6884</v>
      </c>
      <c r="B4689" s="150" t="str">
        <f>IFERROR(VLOOKUP(Proc[[#This Row],[App]],Table2[],3,0),"open")</f>
        <v>ok</v>
      </c>
      <c r="C4689" s="149" t="s">
        <v>369</v>
      </c>
      <c r="D4689" t="s">
        <v>6874</v>
      </c>
      <c r="E4689" t="s">
        <v>2117</v>
      </c>
      <c r="F4689" s="150" t="s">
        <v>2117</v>
      </c>
      <c r="G4689" s="149" t="s">
        <v>400</v>
      </c>
      <c r="H4689" s="150" t="str">
        <f>IF(Proc[[#This Row],[type]]="LFF (MDG-F)",MID(Proc[[#This Row],[Obj]],13,10),"")</f>
        <v/>
      </c>
      <c r="J4689" s="150" t="b">
        <f>Proc[[#This Row],[Requested]]=Proc[[#This Row],[CurrentParent]]</f>
        <v>1</v>
      </c>
      <c r="K4689" s="150" t="str">
        <f>IF(Proc[[#This Row],[Author]]="Marcela Urrego",VLOOKUP(LEFT(Proc[[#This Row],[Requested]],1),Table3[#All],2,0),VLOOKUP(Proc[[#This Row],[Author]],Table4[],2,0))</f>
        <v>HC</v>
      </c>
      <c r="L4689" s="150" t="s">
        <v>6435</v>
      </c>
      <c r="M4689" s="169">
        <v>45978</v>
      </c>
      <c r="N4689" s="169"/>
      <c r="O4689" s="169"/>
      <c r="P4689" s="170" t="str">
        <f ca="1">IF(Proc[[#This Row],[DaysAgeing]]&gt;5,"yep","on track")</f>
        <v>yep</v>
      </c>
      <c r="Q4689" s="3">
        <f ca="1">IF(Proc[[#This Row],[DateClosed]]="",ABS(NETWORKDAYS(Proc[[#This Row],[DateOpened]],TODAY()))-1,ABS(NETWORKDAYS(Proc[[#This Row],[DateOpened]],Proc[[#This Row],[DateClosed]]))-1)</f>
        <v>24</v>
      </c>
      <c r="R4689" s="170" t="s">
        <v>738</v>
      </c>
      <c r="S4689" s="150"/>
    </row>
    <row r="4690" spans="1:19" hidden="1">
      <c r="A4690" s="149" t="s">
        <v>6884</v>
      </c>
      <c r="B4690" s="150" t="str">
        <f>IFERROR(VLOOKUP(Proc[[#This Row],[App]],Table2[],3,0),"open")</f>
        <v>ok</v>
      </c>
      <c r="C4690" s="149" t="s">
        <v>369</v>
      </c>
      <c r="D4690" t="s">
        <v>6875</v>
      </c>
      <c r="E4690" s="149" t="s">
        <v>2117</v>
      </c>
      <c r="F4690" s="150" t="s">
        <v>2117</v>
      </c>
      <c r="G4690" s="149" t="s">
        <v>400</v>
      </c>
      <c r="H4690" s="150" t="str">
        <f>IF(Proc[[#This Row],[type]]="LFF (MDG-F)",MID(Proc[[#This Row],[Obj]],13,10),"")</f>
        <v/>
      </c>
      <c r="J4690" s="150" t="b">
        <f>Proc[[#This Row],[Requested]]=Proc[[#This Row],[CurrentParent]]</f>
        <v>1</v>
      </c>
      <c r="K4690" s="150" t="str">
        <f>IF(Proc[[#This Row],[Author]]="Marcela Urrego",VLOOKUP(LEFT(Proc[[#This Row],[Requested]],1),Table3[#All],2,0),VLOOKUP(Proc[[#This Row],[Author]],Table4[],2,0))</f>
        <v>HC</v>
      </c>
      <c r="L4690" s="150" t="s">
        <v>6435</v>
      </c>
      <c r="M4690" s="169">
        <v>45978</v>
      </c>
      <c r="N4690" s="169"/>
      <c r="O4690" s="169"/>
      <c r="P4690" s="170" t="str">
        <f ca="1">IF(Proc[[#This Row],[DaysAgeing]]&gt;5,"yep","on track")</f>
        <v>yep</v>
      </c>
      <c r="Q4690" s="3">
        <f ca="1">IF(Proc[[#This Row],[DateClosed]]="",ABS(NETWORKDAYS(Proc[[#This Row],[DateOpened]],TODAY()))-1,ABS(NETWORKDAYS(Proc[[#This Row],[DateOpened]],Proc[[#This Row],[DateClosed]]))-1)</f>
        <v>24</v>
      </c>
      <c r="R4690" s="170" t="s">
        <v>738</v>
      </c>
      <c r="S4690" s="150"/>
    </row>
    <row r="4691" spans="1:19" hidden="1">
      <c r="A4691" s="149" t="s">
        <v>6884</v>
      </c>
      <c r="B4691" s="150" t="str">
        <f>IFERROR(VLOOKUP(Proc[[#This Row],[App]],Table2[],3,0),"open")</f>
        <v>ok</v>
      </c>
      <c r="C4691" s="149" t="s">
        <v>369</v>
      </c>
      <c r="D4691" t="s">
        <v>6876</v>
      </c>
      <c r="E4691" s="149" t="s">
        <v>2117</v>
      </c>
      <c r="F4691" s="150" t="s">
        <v>2117</v>
      </c>
      <c r="G4691" s="149" t="s">
        <v>400</v>
      </c>
      <c r="H4691" s="150" t="str">
        <f>IF(Proc[[#This Row],[type]]="LFF (MDG-F)",MID(Proc[[#This Row],[Obj]],13,10),"")</f>
        <v/>
      </c>
      <c r="J4691" s="150" t="b">
        <f>Proc[[#This Row],[Requested]]=Proc[[#This Row],[CurrentParent]]</f>
        <v>1</v>
      </c>
      <c r="K4691" s="150" t="str">
        <f>IF(Proc[[#This Row],[Author]]="Marcela Urrego",VLOOKUP(LEFT(Proc[[#This Row],[Requested]],1),Table3[#All],2,0),VLOOKUP(Proc[[#This Row],[Author]],Table4[],2,0))</f>
        <v>HC</v>
      </c>
      <c r="L4691" s="150" t="s">
        <v>6435</v>
      </c>
      <c r="M4691" s="169">
        <v>45978</v>
      </c>
      <c r="N4691" s="169"/>
      <c r="O4691" s="169"/>
      <c r="P4691" s="170" t="str">
        <f ca="1">IF(Proc[[#This Row],[DaysAgeing]]&gt;5,"yep","on track")</f>
        <v>yep</v>
      </c>
      <c r="Q4691" s="3">
        <f ca="1">IF(Proc[[#This Row],[DateClosed]]="",ABS(NETWORKDAYS(Proc[[#This Row],[DateOpened]],TODAY()))-1,ABS(NETWORKDAYS(Proc[[#This Row],[DateOpened]],Proc[[#This Row],[DateClosed]]))-1)</f>
        <v>24</v>
      </c>
      <c r="R4691" s="170" t="s">
        <v>738</v>
      </c>
      <c r="S4691" s="150"/>
    </row>
    <row r="4692" spans="1:19" hidden="1">
      <c r="A4692" s="149" t="s">
        <v>6884</v>
      </c>
      <c r="B4692" s="150" t="str">
        <f>IFERROR(VLOOKUP(Proc[[#This Row],[App]],Table2[],3,0),"open")</f>
        <v>ok</v>
      </c>
      <c r="C4692" s="149" t="s">
        <v>369</v>
      </c>
      <c r="D4692" t="s">
        <v>6877</v>
      </c>
      <c r="E4692" s="149" t="s">
        <v>2117</v>
      </c>
      <c r="F4692" s="150" t="s">
        <v>2117</v>
      </c>
      <c r="G4692" s="149" t="s">
        <v>400</v>
      </c>
      <c r="H4692" s="150" t="str">
        <f>IF(Proc[[#This Row],[type]]="LFF (MDG-F)",MID(Proc[[#This Row],[Obj]],13,10),"")</f>
        <v/>
      </c>
      <c r="J4692" s="150" t="b">
        <f>Proc[[#This Row],[Requested]]=Proc[[#This Row],[CurrentParent]]</f>
        <v>1</v>
      </c>
      <c r="K4692" s="150" t="str">
        <f>IF(Proc[[#This Row],[Author]]="Marcela Urrego",VLOOKUP(LEFT(Proc[[#This Row],[Requested]],1),Table3[#All],2,0),VLOOKUP(Proc[[#This Row],[Author]],Table4[],2,0))</f>
        <v>HC</v>
      </c>
      <c r="L4692" s="150" t="s">
        <v>6435</v>
      </c>
      <c r="M4692" s="169">
        <v>45978</v>
      </c>
      <c r="N4692" s="169"/>
      <c r="O4692" s="169"/>
      <c r="P4692" s="170" t="str">
        <f ca="1">IF(Proc[[#This Row],[DaysAgeing]]&gt;5,"yep","on track")</f>
        <v>yep</v>
      </c>
      <c r="Q4692" s="3">
        <f ca="1">IF(Proc[[#This Row],[DateClosed]]="",ABS(NETWORKDAYS(Proc[[#This Row],[DateOpened]],TODAY()))-1,ABS(NETWORKDAYS(Proc[[#This Row],[DateOpened]],Proc[[#This Row],[DateClosed]]))-1)</f>
        <v>24</v>
      </c>
      <c r="R4692" s="170" t="s">
        <v>738</v>
      </c>
      <c r="S4692" s="150"/>
    </row>
    <row r="4693" spans="1:19" hidden="1">
      <c r="A4693" s="149" t="s">
        <v>6884</v>
      </c>
      <c r="B4693" s="150" t="str">
        <f>IFERROR(VLOOKUP(Proc[[#This Row],[App]],Table2[],3,0),"open")</f>
        <v>ok</v>
      </c>
      <c r="C4693" s="149" t="s">
        <v>369</v>
      </c>
      <c r="D4693" t="s">
        <v>6878</v>
      </c>
      <c r="E4693" s="149" t="s">
        <v>2117</v>
      </c>
      <c r="F4693" s="150" t="s">
        <v>2117</v>
      </c>
      <c r="G4693" s="149" t="s">
        <v>400</v>
      </c>
      <c r="H4693" s="150" t="str">
        <f>IF(Proc[[#This Row],[type]]="LFF (MDG-F)",MID(Proc[[#This Row],[Obj]],13,10),"")</f>
        <v/>
      </c>
      <c r="J4693" s="150" t="b">
        <f>Proc[[#This Row],[Requested]]=Proc[[#This Row],[CurrentParent]]</f>
        <v>1</v>
      </c>
      <c r="K4693" s="150" t="str">
        <f>IF(Proc[[#This Row],[Author]]="Marcela Urrego",VLOOKUP(LEFT(Proc[[#This Row],[Requested]],1),Table3[#All],2,0),VLOOKUP(Proc[[#This Row],[Author]],Table4[],2,0))</f>
        <v>HC</v>
      </c>
      <c r="L4693" s="150" t="s">
        <v>6435</v>
      </c>
      <c r="M4693" s="169">
        <v>45978</v>
      </c>
      <c r="N4693" s="169"/>
      <c r="O4693" s="169"/>
      <c r="P4693" s="170" t="str">
        <f ca="1">IF(Proc[[#This Row],[DaysAgeing]]&gt;5,"yep","on track")</f>
        <v>yep</v>
      </c>
      <c r="Q4693" s="3">
        <f ca="1">IF(Proc[[#This Row],[DateClosed]]="",ABS(NETWORKDAYS(Proc[[#This Row],[DateOpened]],TODAY()))-1,ABS(NETWORKDAYS(Proc[[#This Row],[DateOpened]],Proc[[#This Row],[DateClosed]]))-1)</f>
        <v>24</v>
      </c>
      <c r="R4693" s="170" t="s">
        <v>738</v>
      </c>
      <c r="S4693" s="150"/>
    </row>
    <row r="4694" spans="1:19" hidden="1">
      <c r="A4694" s="149" t="s">
        <v>6884</v>
      </c>
      <c r="B4694" s="150" t="str">
        <f>IFERROR(VLOOKUP(Proc[[#This Row],[App]],Table2[],3,0),"open")</f>
        <v>ok</v>
      </c>
      <c r="C4694" s="149" t="s">
        <v>369</v>
      </c>
      <c r="D4694" t="s">
        <v>6879</v>
      </c>
      <c r="E4694" s="149" t="s">
        <v>2117</v>
      </c>
      <c r="F4694" s="150" t="s">
        <v>2117</v>
      </c>
      <c r="G4694" s="149" t="s">
        <v>400</v>
      </c>
      <c r="H4694" s="150" t="str">
        <f>IF(Proc[[#This Row],[type]]="LFF (MDG-F)",MID(Proc[[#This Row],[Obj]],13,10),"")</f>
        <v/>
      </c>
      <c r="J4694" s="150" t="b">
        <f>Proc[[#This Row],[Requested]]=Proc[[#This Row],[CurrentParent]]</f>
        <v>1</v>
      </c>
      <c r="K4694" s="150" t="str">
        <f>IF(Proc[[#This Row],[Author]]="Marcela Urrego",VLOOKUP(LEFT(Proc[[#This Row],[Requested]],1),Table3[#All],2,0),VLOOKUP(Proc[[#This Row],[Author]],Table4[],2,0))</f>
        <v>HC</v>
      </c>
      <c r="L4694" s="150" t="s">
        <v>6435</v>
      </c>
      <c r="M4694" s="169">
        <v>45978</v>
      </c>
      <c r="N4694" s="169"/>
      <c r="O4694" s="169"/>
      <c r="P4694" s="170" t="str">
        <f ca="1">IF(Proc[[#This Row],[DaysAgeing]]&gt;5,"yep","on track")</f>
        <v>yep</v>
      </c>
      <c r="Q4694" s="3">
        <f ca="1">IF(Proc[[#This Row],[DateClosed]]="",ABS(NETWORKDAYS(Proc[[#This Row],[DateOpened]],TODAY()))-1,ABS(NETWORKDAYS(Proc[[#This Row],[DateOpened]],Proc[[#This Row],[DateClosed]]))-1)</f>
        <v>24</v>
      </c>
      <c r="R4694" s="170" t="s">
        <v>738</v>
      </c>
      <c r="S4694" s="150"/>
    </row>
    <row r="4695" spans="1:19" hidden="1">
      <c r="A4695" s="149" t="s">
        <v>6884</v>
      </c>
      <c r="B4695" s="150" t="str">
        <f>IFERROR(VLOOKUP(Proc[[#This Row],[App]],Table2[],3,0),"open")</f>
        <v>ok</v>
      </c>
      <c r="C4695" s="149" t="s">
        <v>369</v>
      </c>
      <c r="D4695" t="s">
        <v>6880</v>
      </c>
      <c r="E4695" t="s">
        <v>2155</v>
      </c>
      <c r="F4695" s="150" t="s">
        <v>2155</v>
      </c>
      <c r="G4695" s="149" t="s">
        <v>400</v>
      </c>
      <c r="H4695" s="150" t="str">
        <f>IF(Proc[[#This Row],[type]]="LFF (MDG-F)",MID(Proc[[#This Row],[Obj]],13,10),"")</f>
        <v/>
      </c>
      <c r="J4695" s="150" t="b">
        <f>Proc[[#This Row],[Requested]]=Proc[[#This Row],[CurrentParent]]</f>
        <v>1</v>
      </c>
      <c r="K4695" s="150" t="str">
        <f>IF(Proc[[#This Row],[Author]]="Marcela Urrego",VLOOKUP(LEFT(Proc[[#This Row],[Requested]],1),Table3[#All],2,0),VLOOKUP(Proc[[#This Row],[Author]],Table4[],2,0))</f>
        <v>HC</v>
      </c>
      <c r="L4695" s="150" t="s">
        <v>6435</v>
      </c>
      <c r="M4695" s="169">
        <v>45978</v>
      </c>
      <c r="N4695" s="169"/>
      <c r="O4695" s="169"/>
      <c r="P4695" s="170" t="str">
        <f ca="1">IF(Proc[[#This Row],[DaysAgeing]]&gt;5,"yep","on track")</f>
        <v>yep</v>
      </c>
      <c r="Q4695" s="3">
        <f ca="1">IF(Proc[[#This Row],[DateClosed]]="",ABS(NETWORKDAYS(Proc[[#This Row],[DateOpened]],TODAY()))-1,ABS(NETWORKDAYS(Proc[[#This Row],[DateOpened]],Proc[[#This Row],[DateClosed]]))-1)</f>
        <v>24</v>
      </c>
      <c r="R4695" s="170" t="s">
        <v>738</v>
      </c>
      <c r="S4695" s="150"/>
    </row>
    <row r="4696" spans="1:19" hidden="1">
      <c r="A4696" s="149" t="s">
        <v>6884</v>
      </c>
      <c r="B4696" s="150" t="str">
        <f>IFERROR(VLOOKUP(Proc[[#This Row],[App]],Table2[],3,0),"open")</f>
        <v>ok</v>
      </c>
      <c r="C4696" s="149" t="s">
        <v>369</v>
      </c>
      <c r="D4696" t="s">
        <v>6881</v>
      </c>
      <c r="E4696" t="s">
        <v>2144</v>
      </c>
      <c r="F4696" s="150" t="s">
        <v>2144</v>
      </c>
      <c r="G4696" s="149" t="s">
        <v>400</v>
      </c>
      <c r="H4696" s="150" t="str">
        <f>IF(Proc[[#This Row],[type]]="LFF (MDG-F)",MID(Proc[[#This Row],[Obj]],13,10),"")</f>
        <v/>
      </c>
      <c r="J4696" s="150" t="b">
        <f>Proc[[#This Row],[Requested]]=Proc[[#This Row],[CurrentParent]]</f>
        <v>1</v>
      </c>
      <c r="K4696" s="150" t="str">
        <f>IF(Proc[[#This Row],[Author]]="Marcela Urrego",VLOOKUP(LEFT(Proc[[#This Row],[Requested]],1),Table3[#All],2,0),VLOOKUP(Proc[[#This Row],[Author]],Table4[],2,0))</f>
        <v>HC</v>
      </c>
      <c r="L4696" s="150" t="s">
        <v>6435</v>
      </c>
      <c r="M4696" s="169">
        <v>45978</v>
      </c>
      <c r="N4696" s="169"/>
      <c r="O4696" s="169"/>
      <c r="P4696" s="170" t="str">
        <f ca="1">IF(Proc[[#This Row],[DaysAgeing]]&gt;5,"yep","on track")</f>
        <v>yep</v>
      </c>
      <c r="Q4696" s="3">
        <f ca="1">IF(Proc[[#This Row],[DateClosed]]="",ABS(NETWORKDAYS(Proc[[#This Row],[DateOpened]],TODAY()))-1,ABS(NETWORKDAYS(Proc[[#This Row],[DateOpened]],Proc[[#This Row],[DateClosed]]))-1)</f>
        <v>24</v>
      </c>
      <c r="R4696" s="170" t="s">
        <v>738</v>
      </c>
      <c r="S4696" s="150"/>
    </row>
    <row r="4697" spans="1:19" hidden="1">
      <c r="A4697" s="149" t="s">
        <v>6884</v>
      </c>
      <c r="B4697" s="150" t="str">
        <f>IFERROR(VLOOKUP(Proc[[#This Row],[App]],Table2[],3,0),"open")</f>
        <v>ok</v>
      </c>
      <c r="C4697" s="149" t="s">
        <v>369</v>
      </c>
      <c r="D4697" t="s">
        <v>2115</v>
      </c>
      <c r="E4697" t="s">
        <v>2109</v>
      </c>
      <c r="F4697" s="150" t="s">
        <v>2109</v>
      </c>
      <c r="G4697" s="149" t="s">
        <v>400</v>
      </c>
      <c r="H4697" s="150" t="str">
        <f>IF(Proc[[#This Row],[type]]="LFF (MDG-F)",MID(Proc[[#This Row],[Obj]],13,10),"")</f>
        <v/>
      </c>
      <c r="J4697" s="150" t="b">
        <f>Proc[[#This Row],[Requested]]=Proc[[#This Row],[CurrentParent]]</f>
        <v>1</v>
      </c>
      <c r="K4697" s="150" t="str">
        <f>IF(Proc[[#This Row],[Author]]="Marcela Urrego",VLOOKUP(LEFT(Proc[[#This Row],[Requested]],1),Table3[#All],2,0),VLOOKUP(Proc[[#This Row],[Author]],Table4[],2,0))</f>
        <v>HC</v>
      </c>
      <c r="L4697" s="150" t="s">
        <v>6435</v>
      </c>
      <c r="M4697" s="169">
        <v>45978</v>
      </c>
      <c r="N4697" s="169"/>
      <c r="O4697" s="169"/>
      <c r="P4697" s="170" t="str">
        <f ca="1">IF(Proc[[#This Row],[DaysAgeing]]&gt;5,"yep","on track")</f>
        <v>yep</v>
      </c>
      <c r="Q4697" s="3">
        <f ca="1">IF(Proc[[#This Row],[DateClosed]]="",ABS(NETWORKDAYS(Proc[[#This Row],[DateOpened]],TODAY()))-1,ABS(NETWORKDAYS(Proc[[#This Row],[DateOpened]],Proc[[#This Row],[DateClosed]]))-1)</f>
        <v>24</v>
      </c>
      <c r="R4697" s="170" t="s">
        <v>738</v>
      </c>
      <c r="S4697" s="150"/>
    </row>
    <row r="4698" spans="1:19" hidden="1">
      <c r="A4698" s="149" t="s">
        <v>6884</v>
      </c>
      <c r="B4698" s="150" t="str">
        <f>IFERROR(VLOOKUP(Proc[[#This Row],[App]],Table2[],3,0),"open")</f>
        <v>ok</v>
      </c>
      <c r="C4698" s="149" t="s">
        <v>369</v>
      </c>
      <c r="D4698" t="s">
        <v>6882</v>
      </c>
      <c r="E4698" t="s">
        <v>5720</v>
      </c>
      <c r="F4698" s="150" t="s">
        <v>5720</v>
      </c>
      <c r="G4698" s="149" t="s">
        <v>400</v>
      </c>
      <c r="H4698" s="150" t="str">
        <f>IF(Proc[[#This Row],[type]]="LFF (MDG-F)",MID(Proc[[#This Row],[Obj]],13,10),"")</f>
        <v/>
      </c>
      <c r="J4698" s="150" t="b">
        <f>Proc[[#This Row],[Requested]]=Proc[[#This Row],[CurrentParent]]</f>
        <v>1</v>
      </c>
      <c r="K4698" s="150" t="str">
        <f>IF(Proc[[#This Row],[Author]]="Marcela Urrego",VLOOKUP(LEFT(Proc[[#This Row],[Requested]],1),Table3[#All],2,0),VLOOKUP(Proc[[#This Row],[Author]],Table4[],2,0))</f>
        <v>HC</v>
      </c>
      <c r="L4698" s="150" t="s">
        <v>6435</v>
      </c>
      <c r="M4698" s="169">
        <v>45978</v>
      </c>
      <c r="N4698" s="169"/>
      <c r="O4698" s="169"/>
      <c r="P4698" s="170" t="str">
        <f ca="1">IF(Proc[[#This Row],[DaysAgeing]]&gt;5,"yep","on track")</f>
        <v>yep</v>
      </c>
      <c r="Q4698" s="3">
        <f ca="1">IF(Proc[[#This Row],[DateClosed]]="",ABS(NETWORKDAYS(Proc[[#This Row],[DateOpened]],TODAY()))-1,ABS(NETWORKDAYS(Proc[[#This Row],[DateOpened]],Proc[[#This Row],[DateClosed]]))-1)</f>
        <v>24</v>
      </c>
      <c r="R4698" s="170" t="s">
        <v>738</v>
      </c>
      <c r="S4698" s="150"/>
    </row>
    <row r="4699" spans="1:19" hidden="1">
      <c r="A4699" s="149" t="s">
        <v>6884</v>
      </c>
      <c r="B4699" s="150" t="str">
        <f>IFERROR(VLOOKUP(Proc[[#This Row],[App]],Table2[],3,0),"open")</f>
        <v>ok</v>
      </c>
      <c r="C4699" s="149" t="s">
        <v>369</v>
      </c>
      <c r="D4699" t="s">
        <v>6883</v>
      </c>
      <c r="E4699" t="s">
        <v>6918</v>
      </c>
      <c r="F4699" s="150" t="s">
        <v>6918</v>
      </c>
      <c r="G4699" s="149" t="s">
        <v>400</v>
      </c>
      <c r="H4699" s="150" t="str">
        <f>IF(Proc[[#This Row],[type]]="LFF (MDG-F)",MID(Proc[[#This Row],[Obj]],13,10),"")</f>
        <v/>
      </c>
      <c r="J4699" s="150" t="b">
        <f>Proc[[#This Row],[Requested]]=Proc[[#This Row],[CurrentParent]]</f>
        <v>1</v>
      </c>
      <c r="K4699" s="150" t="str">
        <f>IF(Proc[[#This Row],[Author]]="Marcela Urrego",VLOOKUP(LEFT(Proc[[#This Row],[Requested]],1),Table3[#All],2,0),VLOOKUP(Proc[[#This Row],[Author]],Table4[],2,0))</f>
        <v>HC</v>
      </c>
      <c r="L4699" s="150" t="s">
        <v>6435</v>
      </c>
      <c r="M4699" s="169">
        <v>45978</v>
      </c>
      <c r="N4699" s="169"/>
      <c r="O4699" s="169"/>
      <c r="P4699" s="170" t="str">
        <f ca="1">IF(Proc[[#This Row],[DaysAgeing]]&gt;5,"yep","on track")</f>
        <v>yep</v>
      </c>
      <c r="Q4699" s="3">
        <f ca="1">IF(Proc[[#This Row],[DateClosed]]="",ABS(NETWORKDAYS(Proc[[#This Row],[DateOpened]],TODAY()))-1,ABS(NETWORKDAYS(Proc[[#This Row],[DateOpened]],Proc[[#This Row],[DateClosed]]))-1)</f>
        <v>24</v>
      </c>
      <c r="R4699" s="170" t="s">
        <v>738</v>
      </c>
      <c r="S4699" s="150"/>
    </row>
    <row r="4700" spans="1:19" hidden="1">
      <c r="A4700" t="s">
        <v>6885</v>
      </c>
      <c r="B4700" s="150" t="str">
        <f>IFERROR(VLOOKUP(Proc[[#This Row],[App]],Table2[],3,0),"open")</f>
        <v>ok</v>
      </c>
      <c r="C4700" s="149" t="s">
        <v>369</v>
      </c>
      <c r="D4700" t="s">
        <v>6886</v>
      </c>
      <c r="E4700" t="s">
        <v>6887</v>
      </c>
      <c r="F4700" s="150" t="s">
        <v>6887</v>
      </c>
      <c r="G4700" t="s">
        <v>400</v>
      </c>
      <c r="H4700" s="150" t="str">
        <f>IF(Proc[[#This Row],[type]]="LFF (MDG-F)",MID(Proc[[#This Row],[Obj]],13,10),"")</f>
        <v/>
      </c>
      <c r="J4700" s="150" t="b">
        <f>Proc[[#This Row],[Requested]]=Proc[[#This Row],[CurrentParent]]</f>
        <v>1</v>
      </c>
      <c r="K4700" s="150" t="str">
        <f>IF(Proc[[#This Row],[Author]]="Marcela Urrego",VLOOKUP(LEFT(Proc[[#This Row],[Requested]],1),Table3[#All],2,0),VLOOKUP(Proc[[#This Row],[Author]],Table4[],2,0))</f>
        <v>HC</v>
      </c>
      <c r="L4700" s="150" t="s">
        <v>6435</v>
      </c>
      <c r="M4700" s="169">
        <v>45978</v>
      </c>
      <c r="N4700" s="169"/>
      <c r="O4700" s="169"/>
      <c r="P4700" s="170" t="str">
        <f ca="1">IF(Proc[[#This Row],[DaysAgeing]]&gt;5,"yep","on track")</f>
        <v>yep</v>
      </c>
      <c r="Q4700" s="3">
        <f ca="1">IF(Proc[[#This Row],[DateClosed]]="",ABS(NETWORKDAYS(Proc[[#This Row],[DateOpened]],TODAY()))-1,ABS(NETWORKDAYS(Proc[[#This Row],[DateOpened]],Proc[[#This Row],[DateClosed]]))-1)</f>
        <v>24</v>
      </c>
      <c r="R4700" s="170" t="s">
        <v>484</v>
      </c>
      <c r="S4700" s="150"/>
    </row>
    <row r="4701" spans="1:19" hidden="1">
      <c r="A4701" t="s">
        <v>6888</v>
      </c>
      <c r="B4701" s="150" t="str">
        <f>IFERROR(VLOOKUP(Proc[[#This Row],[App]],Table2[],3,0),"open")</f>
        <v>ok</v>
      </c>
      <c r="C4701" s="149" t="s">
        <v>369</v>
      </c>
      <c r="D4701" t="s">
        <v>6889</v>
      </c>
      <c r="E4701" t="s">
        <v>3280</v>
      </c>
      <c r="F4701" s="150" t="s">
        <v>3280</v>
      </c>
      <c r="G4701" s="149" t="s">
        <v>400</v>
      </c>
      <c r="H4701" s="150" t="str">
        <f>IF(Proc[[#This Row],[type]]="LFF (MDG-F)",MID(Proc[[#This Row],[Obj]],13,10),"")</f>
        <v/>
      </c>
      <c r="J4701" s="150" t="b">
        <f>Proc[[#This Row],[Requested]]=Proc[[#This Row],[CurrentParent]]</f>
        <v>1</v>
      </c>
      <c r="K4701" s="150" t="str">
        <f>IF(Proc[[#This Row],[Author]]="Marcela Urrego",VLOOKUP(LEFT(Proc[[#This Row],[Requested]],1),Table3[#All],2,0),VLOOKUP(Proc[[#This Row],[Author]],Table4[],2,0))</f>
        <v>HC</v>
      </c>
      <c r="L4701" s="150" t="s">
        <v>6435</v>
      </c>
      <c r="M4701" s="169">
        <v>45979</v>
      </c>
      <c r="N4701" s="169"/>
      <c r="O4701" s="169"/>
      <c r="P4701" s="170" t="str">
        <f ca="1">IF(Proc[[#This Row],[DaysAgeing]]&gt;5,"yep","on track")</f>
        <v>yep</v>
      </c>
      <c r="Q4701" s="3">
        <f ca="1">IF(Proc[[#This Row],[DateClosed]]="",ABS(NETWORKDAYS(Proc[[#This Row],[DateOpened]],TODAY()))-1,ABS(NETWORKDAYS(Proc[[#This Row],[DateOpened]],Proc[[#This Row],[DateClosed]]))-1)</f>
        <v>23</v>
      </c>
      <c r="R4701" s="170" t="s">
        <v>484</v>
      </c>
      <c r="S4701" s="150"/>
    </row>
    <row r="4702" spans="1:19" hidden="1">
      <c r="A4702" t="s">
        <v>6888</v>
      </c>
      <c r="B4702" s="150" t="str">
        <f>IFERROR(VLOOKUP(Proc[[#This Row],[App]],Table2[],3,0),"open")</f>
        <v>ok</v>
      </c>
      <c r="C4702" s="149" t="s">
        <v>369</v>
      </c>
      <c r="D4702" t="s">
        <v>6890</v>
      </c>
      <c r="E4702" t="s">
        <v>3280</v>
      </c>
      <c r="F4702" s="150" t="s">
        <v>3280</v>
      </c>
      <c r="G4702" s="149" t="s">
        <v>400</v>
      </c>
      <c r="H4702" s="150" t="str">
        <f>IF(Proc[[#This Row],[type]]="LFF (MDG-F)",MID(Proc[[#This Row],[Obj]],13,10),"")</f>
        <v/>
      </c>
      <c r="J4702" s="150" t="b">
        <f>Proc[[#This Row],[Requested]]=Proc[[#This Row],[CurrentParent]]</f>
        <v>1</v>
      </c>
      <c r="K4702" s="150" t="str">
        <f>IF(Proc[[#This Row],[Author]]="Marcela Urrego",VLOOKUP(LEFT(Proc[[#This Row],[Requested]],1),Table3[#All],2,0),VLOOKUP(Proc[[#This Row],[Author]],Table4[],2,0))</f>
        <v>HC</v>
      </c>
      <c r="L4702" s="150" t="s">
        <v>6435</v>
      </c>
      <c r="M4702" s="169">
        <v>45979</v>
      </c>
      <c r="N4702" s="169"/>
      <c r="O4702" s="169"/>
      <c r="P4702" s="170" t="str">
        <f ca="1">IF(Proc[[#This Row],[DaysAgeing]]&gt;5,"yep","on track")</f>
        <v>yep</v>
      </c>
      <c r="Q4702" s="3">
        <f ca="1">IF(Proc[[#This Row],[DateClosed]]="",ABS(NETWORKDAYS(Proc[[#This Row],[DateOpened]],TODAY()))-1,ABS(NETWORKDAYS(Proc[[#This Row],[DateOpened]],Proc[[#This Row],[DateClosed]]))-1)</f>
        <v>23</v>
      </c>
      <c r="R4702" s="170" t="s">
        <v>484</v>
      </c>
      <c r="S4702" s="150"/>
    </row>
    <row r="4703" spans="1:19" hidden="1">
      <c r="A4703" t="s">
        <v>6892</v>
      </c>
      <c r="B4703" s="150" t="str">
        <f>IFERROR(VLOOKUP(Proc[[#This Row],[App]],Table2[],3,0),"open")</f>
        <v>ok</v>
      </c>
      <c r="C4703" s="149" t="s">
        <v>369</v>
      </c>
      <c r="D4703" t="s">
        <v>6891</v>
      </c>
      <c r="E4703" t="s">
        <v>2161</v>
      </c>
      <c r="F4703" s="150" t="s">
        <v>2161</v>
      </c>
      <c r="G4703" s="149" t="s">
        <v>400</v>
      </c>
      <c r="H4703" s="150" t="str">
        <f>IF(Proc[[#This Row],[type]]="LFF (MDG-F)",MID(Proc[[#This Row],[Obj]],13,10),"")</f>
        <v/>
      </c>
      <c r="J4703" s="150" t="b">
        <f>Proc[[#This Row],[Requested]]=Proc[[#This Row],[CurrentParent]]</f>
        <v>1</v>
      </c>
      <c r="K4703" s="150" t="str">
        <f>IF(Proc[[#This Row],[Author]]="Marcela Urrego",VLOOKUP(LEFT(Proc[[#This Row],[Requested]],1),Table3[#All],2,0),VLOOKUP(Proc[[#This Row],[Author]],Table4[],2,0))</f>
        <v>HC</v>
      </c>
      <c r="L4703" s="150" t="s">
        <v>6435</v>
      </c>
      <c r="M4703" s="169">
        <v>45979</v>
      </c>
      <c r="N4703" s="169"/>
      <c r="O4703" s="169"/>
      <c r="P4703" s="170" t="str">
        <f ca="1">IF(Proc[[#This Row],[DaysAgeing]]&gt;5,"yep","on track")</f>
        <v>yep</v>
      </c>
      <c r="Q4703" s="3">
        <f ca="1">IF(Proc[[#This Row],[DateClosed]]="",ABS(NETWORKDAYS(Proc[[#This Row],[DateOpened]],TODAY()))-1,ABS(NETWORKDAYS(Proc[[#This Row],[DateOpened]],Proc[[#This Row],[DateClosed]]))-1)</f>
        <v>23</v>
      </c>
      <c r="R4703" s="170" t="s">
        <v>478</v>
      </c>
      <c r="S4703" s="150"/>
    </row>
    <row r="4704" spans="1:19" hidden="1">
      <c r="A4704" t="s">
        <v>6893</v>
      </c>
      <c r="B4704" s="150" t="str">
        <f>IFERROR(VLOOKUP(Proc[[#This Row],[App]],Table2[],3,0),"open")</f>
        <v>ok</v>
      </c>
      <c r="C4704" s="149" t="s">
        <v>369</v>
      </c>
      <c r="D4704" t="s">
        <v>6894</v>
      </c>
      <c r="E4704" t="s">
        <v>2161</v>
      </c>
      <c r="F4704" s="150" t="s">
        <v>2161</v>
      </c>
      <c r="G4704" s="149" t="s">
        <v>400</v>
      </c>
      <c r="H4704" s="150" t="str">
        <f>IF(Proc[[#This Row],[type]]="LFF (MDG-F)",MID(Proc[[#This Row],[Obj]],13,10),"")</f>
        <v/>
      </c>
      <c r="J4704" s="150" t="b">
        <f>Proc[[#This Row],[Requested]]=Proc[[#This Row],[CurrentParent]]</f>
        <v>1</v>
      </c>
      <c r="K4704" s="150" t="str">
        <f>IF(Proc[[#This Row],[Author]]="Marcela Urrego",VLOOKUP(LEFT(Proc[[#This Row],[Requested]],1),Table3[#All],2,0),VLOOKUP(Proc[[#This Row],[Author]],Table4[],2,0))</f>
        <v>HC</v>
      </c>
      <c r="L4704" s="150" t="s">
        <v>6435</v>
      </c>
      <c r="M4704" s="169">
        <v>45979</v>
      </c>
      <c r="N4704" s="169"/>
      <c r="O4704" s="169"/>
      <c r="P4704" s="170" t="str">
        <f ca="1">IF(Proc[[#This Row],[DaysAgeing]]&gt;5,"yep","on track")</f>
        <v>yep</v>
      </c>
      <c r="Q4704" s="3">
        <f ca="1">IF(Proc[[#This Row],[DateClosed]]="",ABS(NETWORKDAYS(Proc[[#This Row],[DateOpened]],TODAY()))-1,ABS(NETWORKDAYS(Proc[[#This Row],[DateOpened]],Proc[[#This Row],[DateClosed]]))-1)</f>
        <v>23</v>
      </c>
      <c r="R4704" s="170" t="s">
        <v>478</v>
      </c>
      <c r="S4704" s="150"/>
    </row>
    <row r="4705" spans="1:19" hidden="1">
      <c r="A4705" t="s">
        <v>6896</v>
      </c>
      <c r="B4705" s="150" t="str">
        <f>IFERROR(VLOOKUP(Proc[[#This Row],[App]],Table2[],3,0),"open")</f>
        <v>ok</v>
      </c>
      <c r="C4705" s="149" t="s">
        <v>369</v>
      </c>
      <c r="D4705" t="s">
        <v>6895</v>
      </c>
      <c r="E4705" t="s">
        <v>2161</v>
      </c>
      <c r="F4705" s="150" t="s">
        <v>2161</v>
      </c>
      <c r="G4705" s="149" t="s">
        <v>400</v>
      </c>
      <c r="H4705" s="150" t="str">
        <f>IF(Proc[[#This Row],[type]]="LFF (MDG-F)",MID(Proc[[#This Row],[Obj]],13,10),"")</f>
        <v/>
      </c>
      <c r="J4705" s="150" t="b">
        <f>Proc[[#This Row],[Requested]]=Proc[[#This Row],[CurrentParent]]</f>
        <v>1</v>
      </c>
      <c r="K4705" s="150" t="str">
        <f>IF(Proc[[#This Row],[Author]]="Marcela Urrego",VLOOKUP(LEFT(Proc[[#This Row],[Requested]],1),Table3[#All],2,0),VLOOKUP(Proc[[#This Row],[Author]],Table4[],2,0))</f>
        <v>HC</v>
      </c>
      <c r="L4705" s="150" t="s">
        <v>6435</v>
      </c>
      <c r="M4705" s="169">
        <v>45979</v>
      </c>
      <c r="N4705" s="169"/>
      <c r="O4705" s="169"/>
      <c r="P4705" s="170" t="str">
        <f ca="1">IF(Proc[[#This Row],[DaysAgeing]]&gt;5,"yep","on track")</f>
        <v>yep</v>
      </c>
      <c r="Q4705" s="3">
        <f ca="1">IF(Proc[[#This Row],[DateClosed]]="",ABS(NETWORKDAYS(Proc[[#This Row],[DateOpened]],TODAY()))-1,ABS(NETWORKDAYS(Proc[[#This Row],[DateOpened]],Proc[[#This Row],[DateClosed]]))-1)</f>
        <v>23</v>
      </c>
      <c r="R4705" s="170" t="s">
        <v>478</v>
      </c>
      <c r="S4705" s="150"/>
    </row>
    <row r="4706" spans="1:19" hidden="1">
      <c r="A4706" t="s">
        <v>6898</v>
      </c>
      <c r="B4706" s="150" t="str">
        <f>IFERROR(VLOOKUP(Proc[[#This Row],[App]],Table2[],3,0),"open")</f>
        <v>ok</v>
      </c>
      <c r="C4706" s="149" t="s">
        <v>369</v>
      </c>
      <c r="D4706" t="s">
        <v>6897</v>
      </c>
      <c r="E4706" t="s">
        <v>2161</v>
      </c>
      <c r="F4706" s="150" t="s">
        <v>2161</v>
      </c>
      <c r="G4706" s="149" t="s">
        <v>400</v>
      </c>
      <c r="H4706" s="150" t="str">
        <f>IF(Proc[[#This Row],[type]]="LFF (MDG-F)",MID(Proc[[#This Row],[Obj]],13,10),"")</f>
        <v/>
      </c>
      <c r="J4706" s="150" t="b">
        <f>Proc[[#This Row],[Requested]]=Proc[[#This Row],[CurrentParent]]</f>
        <v>1</v>
      </c>
      <c r="K4706" s="150" t="str">
        <f>IF(Proc[[#This Row],[Author]]="Marcela Urrego",VLOOKUP(LEFT(Proc[[#This Row],[Requested]],1),Table3[#All],2,0),VLOOKUP(Proc[[#This Row],[Author]],Table4[],2,0))</f>
        <v>HC</v>
      </c>
      <c r="L4706" s="150" t="s">
        <v>6435</v>
      </c>
      <c r="M4706" s="169">
        <v>45979</v>
      </c>
      <c r="N4706" s="169"/>
      <c r="O4706" s="169"/>
      <c r="P4706" s="170" t="str">
        <f ca="1">IF(Proc[[#This Row],[DaysAgeing]]&gt;5,"yep","on track")</f>
        <v>yep</v>
      </c>
      <c r="Q4706" s="3">
        <f ca="1">IF(Proc[[#This Row],[DateClosed]]="",ABS(NETWORKDAYS(Proc[[#This Row],[DateOpened]],TODAY()))-1,ABS(NETWORKDAYS(Proc[[#This Row],[DateOpened]],Proc[[#This Row],[DateClosed]]))-1)</f>
        <v>23</v>
      </c>
      <c r="R4706" s="170" t="s">
        <v>478</v>
      </c>
      <c r="S4706" s="150"/>
    </row>
    <row r="4707" spans="1:19" hidden="1">
      <c r="A4707" t="s">
        <v>6899</v>
      </c>
      <c r="B4707" s="150" t="str">
        <f>IFERROR(VLOOKUP(Proc[[#This Row],[App]],Table2[],3,0),"open")</f>
        <v>ok</v>
      </c>
      <c r="C4707" s="149" t="s">
        <v>369</v>
      </c>
      <c r="D4707" t="s">
        <v>6900</v>
      </c>
      <c r="E4707" t="s">
        <v>2161</v>
      </c>
      <c r="F4707" s="150" t="s">
        <v>2161</v>
      </c>
      <c r="G4707" s="149" t="s">
        <v>400</v>
      </c>
      <c r="H4707" s="150" t="str">
        <f>IF(Proc[[#This Row],[type]]="LFF (MDG-F)",MID(Proc[[#This Row],[Obj]],13,10),"")</f>
        <v/>
      </c>
      <c r="J4707" s="150" t="b">
        <f>Proc[[#This Row],[Requested]]=Proc[[#This Row],[CurrentParent]]</f>
        <v>1</v>
      </c>
      <c r="K4707" s="150" t="str">
        <f>IF(Proc[[#This Row],[Author]]="Marcela Urrego",VLOOKUP(LEFT(Proc[[#This Row],[Requested]],1),Table3[#All],2,0),VLOOKUP(Proc[[#This Row],[Author]],Table4[],2,0))</f>
        <v>HC</v>
      </c>
      <c r="L4707" s="150" t="s">
        <v>6435</v>
      </c>
      <c r="M4707" s="169">
        <v>45979</v>
      </c>
      <c r="N4707" s="169"/>
      <c r="O4707" s="169"/>
      <c r="P4707" s="170" t="str">
        <f ca="1">IF(Proc[[#This Row],[DaysAgeing]]&gt;5,"yep","on track")</f>
        <v>yep</v>
      </c>
      <c r="Q4707" s="3">
        <f ca="1">IF(Proc[[#This Row],[DateClosed]]="",ABS(NETWORKDAYS(Proc[[#This Row],[DateOpened]],TODAY()))-1,ABS(NETWORKDAYS(Proc[[#This Row],[DateOpened]],Proc[[#This Row],[DateClosed]]))-1)</f>
        <v>23</v>
      </c>
      <c r="R4707" s="170" t="s">
        <v>478</v>
      </c>
      <c r="S4707" s="150"/>
    </row>
    <row r="4708" spans="1:19" hidden="1">
      <c r="A4708" t="s">
        <v>6902</v>
      </c>
      <c r="B4708" s="150" t="str">
        <f>IFERROR(VLOOKUP(Proc[[#This Row],[App]],Table2[],3,0),"open")</f>
        <v>ok</v>
      </c>
      <c r="C4708" s="149" t="s">
        <v>369</v>
      </c>
      <c r="D4708" t="s">
        <v>6901</v>
      </c>
      <c r="E4708" t="s">
        <v>2161</v>
      </c>
      <c r="F4708" s="150" t="s">
        <v>2161</v>
      </c>
      <c r="G4708" s="149" t="s">
        <v>400</v>
      </c>
      <c r="H4708" s="150" t="str">
        <f>IF(Proc[[#This Row],[type]]="LFF (MDG-F)",MID(Proc[[#This Row],[Obj]],13,10),"")</f>
        <v/>
      </c>
      <c r="J4708" s="150" t="b">
        <f>Proc[[#This Row],[Requested]]=Proc[[#This Row],[CurrentParent]]</f>
        <v>1</v>
      </c>
      <c r="K4708" s="150" t="str">
        <f>IF(Proc[[#This Row],[Author]]="Marcela Urrego",VLOOKUP(LEFT(Proc[[#This Row],[Requested]],1),Table3[#All],2,0),VLOOKUP(Proc[[#This Row],[Author]],Table4[],2,0))</f>
        <v>HC</v>
      </c>
      <c r="L4708" s="150" t="s">
        <v>6435</v>
      </c>
      <c r="M4708" s="169">
        <v>45979</v>
      </c>
      <c r="N4708" s="169"/>
      <c r="O4708" s="169"/>
      <c r="P4708" s="170" t="str">
        <f ca="1">IF(Proc[[#This Row],[DaysAgeing]]&gt;5,"yep","on track")</f>
        <v>yep</v>
      </c>
      <c r="Q4708" s="3">
        <f ca="1">IF(Proc[[#This Row],[DateClosed]]="",ABS(NETWORKDAYS(Proc[[#This Row],[DateOpened]],TODAY()))-1,ABS(NETWORKDAYS(Proc[[#This Row],[DateOpened]],Proc[[#This Row],[DateClosed]]))-1)</f>
        <v>23</v>
      </c>
      <c r="R4708" s="170" t="s">
        <v>478</v>
      </c>
      <c r="S4708" s="150"/>
    </row>
    <row r="4709" spans="1:19" hidden="1">
      <c r="A4709" t="s">
        <v>6904</v>
      </c>
      <c r="B4709" s="150" t="str">
        <f>IFERROR(VLOOKUP(Proc[[#This Row],[App]],Table2[],3,0),"open")</f>
        <v>ok</v>
      </c>
      <c r="C4709" s="149" t="s">
        <v>369</v>
      </c>
      <c r="D4709" t="s">
        <v>6903</v>
      </c>
      <c r="E4709" t="s">
        <v>2161</v>
      </c>
      <c r="F4709" s="150" t="s">
        <v>2161</v>
      </c>
      <c r="G4709" s="149" t="s">
        <v>400</v>
      </c>
      <c r="H4709" s="150" t="str">
        <f>IF(Proc[[#This Row],[type]]="LFF (MDG-F)",MID(Proc[[#This Row],[Obj]],13,10),"")</f>
        <v/>
      </c>
      <c r="J4709" s="150" t="b">
        <f>Proc[[#This Row],[Requested]]=Proc[[#This Row],[CurrentParent]]</f>
        <v>1</v>
      </c>
      <c r="K4709" s="150" t="str">
        <f>IF(Proc[[#This Row],[Author]]="Marcela Urrego",VLOOKUP(LEFT(Proc[[#This Row],[Requested]],1),Table3[#All],2,0),VLOOKUP(Proc[[#This Row],[Author]],Table4[],2,0))</f>
        <v>HC</v>
      </c>
      <c r="L4709" s="150" t="s">
        <v>6435</v>
      </c>
      <c r="M4709" s="169">
        <v>45979</v>
      </c>
      <c r="N4709" s="169"/>
      <c r="O4709" s="169"/>
      <c r="P4709" s="170" t="str">
        <f ca="1">IF(Proc[[#This Row],[DaysAgeing]]&gt;5,"yep","on track")</f>
        <v>yep</v>
      </c>
      <c r="Q4709" s="3">
        <f ca="1">IF(Proc[[#This Row],[DateClosed]]="",ABS(NETWORKDAYS(Proc[[#This Row],[DateOpened]],TODAY()))-1,ABS(NETWORKDAYS(Proc[[#This Row],[DateOpened]],Proc[[#This Row],[DateClosed]]))-1)</f>
        <v>23</v>
      </c>
      <c r="R4709" s="170" t="s">
        <v>478</v>
      </c>
      <c r="S4709" s="150"/>
    </row>
    <row r="4710" spans="1:19" hidden="1">
      <c r="A4710" t="s">
        <v>6905</v>
      </c>
      <c r="B4710" s="150" t="str">
        <f>IFERROR(VLOOKUP(Proc[[#This Row],[App]],Table2[],3,0),"open")</f>
        <v>ok</v>
      </c>
      <c r="C4710" s="149" t="s">
        <v>369</v>
      </c>
      <c r="D4710" t="s">
        <v>6906</v>
      </c>
      <c r="E4710" t="s">
        <v>2161</v>
      </c>
      <c r="F4710" s="150" t="s">
        <v>2161</v>
      </c>
      <c r="G4710" s="149" t="s">
        <v>400</v>
      </c>
      <c r="H4710" s="150" t="str">
        <f>IF(Proc[[#This Row],[type]]="LFF (MDG-F)",MID(Proc[[#This Row],[Obj]],13,10),"")</f>
        <v/>
      </c>
      <c r="I4710" s="149"/>
      <c r="J4710" s="150" t="b">
        <f>Proc[[#This Row],[Requested]]=Proc[[#This Row],[CurrentParent]]</f>
        <v>1</v>
      </c>
      <c r="K4710" s="150" t="str">
        <f>IF(Proc[[#This Row],[Author]]="Marcela Urrego",VLOOKUP(LEFT(Proc[[#This Row],[Requested]],1),Table3[#All],2,0),VLOOKUP(Proc[[#This Row],[Author]],Table4[],2,0))</f>
        <v>HC</v>
      </c>
      <c r="L4710" s="150" t="s">
        <v>6435</v>
      </c>
      <c r="M4710" s="169">
        <v>45979</v>
      </c>
      <c r="N4710" s="169"/>
      <c r="O4710" s="169"/>
      <c r="P4710" s="170" t="str">
        <f ca="1">IF(Proc[[#This Row],[DaysAgeing]]&gt;5,"yep","on track")</f>
        <v>yep</v>
      </c>
      <c r="Q4710" s="3">
        <f ca="1">IF(Proc[[#This Row],[DateClosed]]="",ABS(NETWORKDAYS(Proc[[#This Row],[DateOpened]],TODAY()))-1,ABS(NETWORKDAYS(Proc[[#This Row],[DateOpened]],Proc[[#This Row],[DateClosed]]))-1)</f>
        <v>23</v>
      </c>
      <c r="R4710" s="170" t="s">
        <v>478</v>
      </c>
      <c r="S4710" s="150"/>
    </row>
    <row r="4711" spans="1:19" hidden="1">
      <c r="A4711" t="s">
        <v>6908</v>
      </c>
      <c r="B4711" s="150" t="str">
        <f>IFERROR(VLOOKUP(Proc[[#This Row],[App]],Table2[],3,0),"open")</f>
        <v>ok</v>
      </c>
      <c r="C4711" s="149" t="s">
        <v>369</v>
      </c>
      <c r="D4711" t="s">
        <v>6907</v>
      </c>
      <c r="E4711" t="s">
        <v>2161</v>
      </c>
      <c r="F4711" s="150" t="s">
        <v>2161</v>
      </c>
      <c r="G4711" s="149" t="s">
        <v>400</v>
      </c>
      <c r="H4711" s="150" t="str">
        <f>IF(Proc[[#This Row],[type]]="LFF (MDG-F)",MID(Proc[[#This Row],[Obj]],13,10),"")</f>
        <v/>
      </c>
      <c r="I4711" s="149"/>
      <c r="J4711" s="150" t="b">
        <f>Proc[[#This Row],[Requested]]=Proc[[#This Row],[CurrentParent]]</f>
        <v>1</v>
      </c>
      <c r="K4711" s="150" t="str">
        <f>IF(Proc[[#This Row],[Author]]="Marcela Urrego",VLOOKUP(LEFT(Proc[[#This Row],[Requested]],1),Table3[#All],2,0),VLOOKUP(Proc[[#This Row],[Author]],Table4[],2,0))</f>
        <v>HC</v>
      </c>
      <c r="L4711" s="150" t="s">
        <v>6435</v>
      </c>
      <c r="M4711" s="169">
        <v>45979</v>
      </c>
      <c r="N4711" s="169"/>
      <c r="O4711" s="169"/>
      <c r="P4711" s="170" t="str">
        <f ca="1">IF(Proc[[#This Row],[DaysAgeing]]&gt;5,"yep","on track")</f>
        <v>yep</v>
      </c>
      <c r="Q4711" s="3">
        <f ca="1">IF(Proc[[#This Row],[DateClosed]]="",ABS(NETWORKDAYS(Proc[[#This Row],[DateOpened]],TODAY()))-1,ABS(NETWORKDAYS(Proc[[#This Row],[DateOpened]],Proc[[#This Row],[DateClosed]]))-1)</f>
        <v>23</v>
      </c>
      <c r="R4711" s="170" t="s">
        <v>478</v>
      </c>
      <c r="S4711" s="150"/>
    </row>
    <row r="4712" spans="1:19" hidden="1">
      <c r="A4712" t="s">
        <v>6910</v>
      </c>
      <c r="B4712" s="150" t="str">
        <f>IFERROR(VLOOKUP(Proc[[#This Row],[App]],Table2[],3,0),"open")</f>
        <v>ok</v>
      </c>
      <c r="C4712" s="149" t="s">
        <v>369</v>
      </c>
      <c r="D4712" t="s">
        <v>6909</v>
      </c>
      <c r="E4712" t="s">
        <v>6911</v>
      </c>
      <c r="F4712" s="150" t="s">
        <v>6911</v>
      </c>
      <c r="G4712" s="149" t="s">
        <v>400</v>
      </c>
      <c r="H4712" s="150" t="str">
        <f>IF(Proc[[#This Row],[type]]="LFF (MDG-F)",MID(Proc[[#This Row],[Obj]],13,10),"")</f>
        <v/>
      </c>
      <c r="I4712" s="149"/>
      <c r="J4712" s="150" t="b">
        <f>Proc[[#This Row],[Requested]]=Proc[[#This Row],[CurrentParent]]</f>
        <v>1</v>
      </c>
      <c r="K4712" s="150" t="str">
        <f>IF(Proc[[#This Row],[Author]]="Marcela Urrego",VLOOKUP(LEFT(Proc[[#This Row],[Requested]],1),Table3[#All],2,0),VLOOKUP(Proc[[#This Row],[Author]],Table4[],2,0))</f>
        <v>HC</v>
      </c>
      <c r="L4712" s="150" t="s">
        <v>6435</v>
      </c>
      <c r="M4712" s="169">
        <v>45979</v>
      </c>
      <c r="N4712" s="169"/>
      <c r="O4712" s="169"/>
      <c r="P4712" s="170" t="str">
        <f ca="1">IF(Proc[[#This Row],[DaysAgeing]]&gt;5,"yep","on track")</f>
        <v>yep</v>
      </c>
      <c r="Q4712" s="3">
        <f ca="1">IF(Proc[[#This Row],[DateClosed]]="",ABS(NETWORKDAYS(Proc[[#This Row],[DateOpened]],TODAY()))-1,ABS(NETWORKDAYS(Proc[[#This Row],[DateOpened]],Proc[[#This Row],[DateClosed]]))-1)</f>
        <v>23</v>
      </c>
      <c r="R4712" s="170" t="s">
        <v>478</v>
      </c>
      <c r="S4712" s="150"/>
    </row>
    <row r="4713" spans="1:19" hidden="1">
      <c r="A4713" t="s">
        <v>6912</v>
      </c>
      <c r="B4713" s="150" t="str">
        <f>IFERROR(VLOOKUP(Proc[[#This Row],[App]],Table2[],3,0),"open")</f>
        <v>ok</v>
      </c>
      <c r="C4713" s="149" t="s">
        <v>369</v>
      </c>
      <c r="D4713" t="s">
        <v>6865</v>
      </c>
      <c r="E4713" t="s">
        <v>6872</v>
      </c>
      <c r="F4713" s="150" t="s">
        <v>6872</v>
      </c>
      <c r="G4713" s="149" t="s">
        <v>400</v>
      </c>
      <c r="H4713" s="150" t="str">
        <f>IF(Proc[[#This Row],[type]]="LFF (MDG-F)",MID(Proc[[#This Row],[Obj]],13,10),"")</f>
        <v/>
      </c>
      <c r="J4713" s="150" t="b">
        <f>Proc[[#This Row],[Requested]]=Proc[[#This Row],[CurrentParent]]</f>
        <v>1</v>
      </c>
      <c r="K4713" s="150" t="str">
        <f>IF(Proc[[#This Row],[Author]]="Marcela Urrego",VLOOKUP(LEFT(Proc[[#This Row],[Requested]],1),Table3[#All],2,0),VLOOKUP(Proc[[#This Row],[Author]],Table4[],2,0))</f>
        <v>HC</v>
      </c>
      <c r="L4713" s="150" t="s">
        <v>6435</v>
      </c>
      <c r="M4713" s="169">
        <v>45979</v>
      </c>
      <c r="N4713" s="169"/>
      <c r="O4713" s="169"/>
      <c r="P4713" s="170" t="str">
        <f ca="1">IF(Proc[[#This Row],[DaysAgeing]]&gt;5,"yep","on track")</f>
        <v>yep</v>
      </c>
      <c r="Q4713" s="3">
        <f ca="1">IF(Proc[[#This Row],[DateClosed]]="",ABS(NETWORKDAYS(Proc[[#This Row],[DateOpened]],TODAY()))-1,ABS(NETWORKDAYS(Proc[[#This Row],[DateOpened]],Proc[[#This Row],[DateClosed]]))-1)</f>
        <v>23</v>
      </c>
      <c r="R4713" s="170" t="s">
        <v>478</v>
      </c>
      <c r="S4713" s="150"/>
    </row>
    <row r="4714" spans="1:19" hidden="1">
      <c r="A4714" t="s">
        <v>6868</v>
      </c>
      <c r="B4714" s="150" t="str">
        <f>IFERROR(VLOOKUP(Proc[[#This Row],[App]],Table2[],3,0),"open")</f>
        <v>ok</v>
      </c>
      <c r="C4714" s="149" t="s">
        <v>369</v>
      </c>
      <c r="D4714" t="s">
        <v>6867</v>
      </c>
      <c r="E4714" t="s">
        <v>6920</v>
      </c>
      <c r="F4714" s="150" t="s">
        <v>6920</v>
      </c>
      <c r="G4714" s="149" t="s">
        <v>400</v>
      </c>
      <c r="H4714" s="150" t="str">
        <f>IF(Proc[[#This Row],[type]]="LFF (MDG-F)",MID(Proc[[#This Row],[Obj]],13,10),"")</f>
        <v/>
      </c>
      <c r="J4714" s="150" t="b">
        <f>Proc[[#This Row],[Requested]]=Proc[[#This Row],[CurrentParent]]</f>
        <v>1</v>
      </c>
      <c r="K4714" s="150" t="str">
        <f>IF(Proc[[#This Row],[Author]]="Marcela Urrego",VLOOKUP(LEFT(Proc[[#This Row],[Requested]],1),Table3[#All],2,0),VLOOKUP(Proc[[#This Row],[Author]],Table4[],2,0))</f>
        <v>HC</v>
      </c>
      <c r="L4714" s="150" t="s">
        <v>6435</v>
      </c>
      <c r="M4714" s="169">
        <v>45979</v>
      </c>
      <c r="N4714" s="169"/>
      <c r="O4714" s="169"/>
      <c r="P4714" s="170" t="str">
        <f ca="1">IF(Proc[[#This Row],[DaysAgeing]]&gt;5,"yep","on track")</f>
        <v>yep</v>
      </c>
      <c r="Q4714" s="3">
        <f ca="1">IF(Proc[[#This Row],[DateClosed]]="",ABS(NETWORKDAYS(Proc[[#This Row],[DateOpened]],TODAY()))-1,ABS(NETWORKDAYS(Proc[[#This Row],[DateOpened]],Proc[[#This Row],[DateClosed]]))-1)</f>
        <v>23</v>
      </c>
      <c r="R4714" s="170" t="s">
        <v>478</v>
      </c>
      <c r="S4714" s="150"/>
    </row>
    <row r="4715" spans="1:19" hidden="1">
      <c r="A4715" t="s">
        <v>6928</v>
      </c>
      <c r="B4715" s="150" t="str">
        <f>IFERROR(VLOOKUP(Proc[[#This Row],[App]],Table2[],3,0),"open")</f>
        <v>ok</v>
      </c>
      <c r="C4715" s="149" t="s">
        <v>369</v>
      </c>
      <c r="D4715" t="s">
        <v>6921</v>
      </c>
      <c r="E4715" t="s">
        <v>6926</v>
      </c>
      <c r="F4715" s="150" t="s">
        <v>6926</v>
      </c>
      <c r="G4715" t="s">
        <v>400</v>
      </c>
      <c r="H4715" s="150" t="str">
        <f>IF(Proc[[#This Row],[type]]="LFF (MDG-F)",MID(Proc[[#This Row],[Obj]],13,10),"")</f>
        <v/>
      </c>
      <c r="J4715" s="150" t="b">
        <f>Proc[[#This Row],[Requested]]=Proc[[#This Row],[CurrentParent]]</f>
        <v>1</v>
      </c>
      <c r="K4715" s="150" t="str">
        <f>IF(Proc[[#This Row],[Author]]="Marcela Urrego",VLOOKUP(LEFT(Proc[[#This Row],[Requested]],1),Table3[#All],2,0),VLOOKUP(Proc[[#This Row],[Author]],Table4[],2,0))</f>
        <v>MGF</v>
      </c>
      <c r="L4715" s="150" t="s">
        <v>6435</v>
      </c>
      <c r="M4715" s="170">
        <v>45981</v>
      </c>
      <c r="N4715" s="171"/>
      <c r="O4715" s="171"/>
      <c r="P4715" s="170" t="str">
        <f ca="1">IF(Proc[[#This Row],[DaysAgeing]]&gt;5,"yep","on track")</f>
        <v>yep</v>
      </c>
      <c r="Q4715" s="3">
        <f ca="1">IF(Proc[[#This Row],[DateClosed]]="",ABS(NETWORKDAYS(Proc[[#This Row],[DateOpened]],TODAY()))-1,ABS(NETWORKDAYS(Proc[[#This Row],[DateOpened]],Proc[[#This Row],[DateClosed]]))-1)</f>
        <v>21</v>
      </c>
      <c r="R4715" s="170" t="s">
        <v>515</v>
      </c>
      <c r="S4715" s="150"/>
    </row>
    <row r="4716" spans="1:19" hidden="1">
      <c r="A4716" s="149" t="s">
        <v>6928</v>
      </c>
      <c r="B4716" s="150" t="str">
        <f>IFERROR(VLOOKUP(Proc[[#This Row],[App]],Table2[],3,0),"open")</f>
        <v>ok</v>
      </c>
      <c r="C4716" s="149" t="s">
        <v>369</v>
      </c>
      <c r="D4716" t="s">
        <v>6922</v>
      </c>
      <c r="E4716" t="s">
        <v>6927</v>
      </c>
      <c r="F4716" s="150" t="s">
        <v>6927</v>
      </c>
      <c r="G4716" s="149" t="s">
        <v>400</v>
      </c>
      <c r="H4716" s="150" t="str">
        <f>IF(Proc[[#This Row],[type]]="LFF (MDG-F)",MID(Proc[[#This Row],[Obj]],13,10),"")</f>
        <v/>
      </c>
      <c r="J4716" s="150" t="b">
        <f>Proc[[#This Row],[Requested]]=Proc[[#This Row],[CurrentParent]]</f>
        <v>1</v>
      </c>
      <c r="K4716" s="150" t="str">
        <f>IF(Proc[[#This Row],[Author]]="Marcela Urrego",VLOOKUP(LEFT(Proc[[#This Row],[Requested]],1),Table3[#All],2,0),VLOOKUP(Proc[[#This Row],[Author]],Table4[],2,0))</f>
        <v>MGF</v>
      </c>
      <c r="L4716" s="150" t="s">
        <v>6435</v>
      </c>
      <c r="M4716" s="170">
        <v>45981</v>
      </c>
      <c r="N4716" s="171"/>
      <c r="O4716" s="171"/>
      <c r="P4716" s="170" t="str">
        <f ca="1">IF(Proc[[#This Row],[DaysAgeing]]&gt;5,"yep","on track")</f>
        <v>yep</v>
      </c>
      <c r="Q4716" s="3">
        <f ca="1">IF(Proc[[#This Row],[DateClosed]]="",ABS(NETWORKDAYS(Proc[[#This Row],[DateOpened]],TODAY()))-1,ABS(NETWORKDAYS(Proc[[#This Row],[DateOpened]],Proc[[#This Row],[DateClosed]]))-1)</f>
        <v>21</v>
      </c>
      <c r="R4716" s="170" t="s">
        <v>515</v>
      </c>
      <c r="S4716" s="150"/>
    </row>
    <row r="4717" spans="1:19" hidden="1">
      <c r="A4717" s="149" t="s">
        <v>6928</v>
      </c>
      <c r="B4717" s="150" t="str">
        <f>IFERROR(VLOOKUP(Proc[[#This Row],[App]],Table2[],3,0),"open")</f>
        <v>ok</v>
      </c>
      <c r="C4717" s="149" t="s">
        <v>369</v>
      </c>
      <c r="D4717" t="s">
        <v>6923</v>
      </c>
      <c r="E4717" t="s">
        <v>6926</v>
      </c>
      <c r="F4717" s="150" t="s">
        <v>6926</v>
      </c>
      <c r="G4717" s="149" t="s">
        <v>400</v>
      </c>
      <c r="H4717" s="150" t="str">
        <f>IF(Proc[[#This Row],[type]]="LFF (MDG-F)",MID(Proc[[#This Row],[Obj]],13,10),"")</f>
        <v/>
      </c>
      <c r="J4717" s="150" t="b">
        <f>Proc[[#This Row],[Requested]]=Proc[[#This Row],[CurrentParent]]</f>
        <v>1</v>
      </c>
      <c r="K4717" s="150" t="str">
        <f>IF(Proc[[#This Row],[Author]]="Marcela Urrego",VLOOKUP(LEFT(Proc[[#This Row],[Requested]],1),Table3[#All],2,0),VLOOKUP(Proc[[#This Row],[Author]],Table4[],2,0))</f>
        <v>MGF</v>
      </c>
      <c r="L4717" s="150" t="s">
        <v>6435</v>
      </c>
      <c r="M4717" s="170">
        <v>45981</v>
      </c>
      <c r="N4717" s="171"/>
      <c r="O4717" s="171"/>
      <c r="P4717" s="170" t="str">
        <f ca="1">IF(Proc[[#This Row],[DaysAgeing]]&gt;5,"yep","on track")</f>
        <v>yep</v>
      </c>
      <c r="Q4717" s="3">
        <f ca="1">IF(Proc[[#This Row],[DateClosed]]="",ABS(NETWORKDAYS(Proc[[#This Row],[DateOpened]],TODAY()))-1,ABS(NETWORKDAYS(Proc[[#This Row],[DateOpened]],Proc[[#This Row],[DateClosed]]))-1)</f>
        <v>21</v>
      </c>
      <c r="R4717" s="170" t="s">
        <v>515</v>
      </c>
      <c r="S4717" s="150"/>
    </row>
    <row r="4718" spans="1:19" hidden="1">
      <c r="A4718" s="149" t="s">
        <v>6928</v>
      </c>
      <c r="B4718" s="150" t="str">
        <f>IFERROR(VLOOKUP(Proc[[#This Row],[App]],Table2[],3,0),"open")</f>
        <v>ok</v>
      </c>
      <c r="C4718" s="149" t="s">
        <v>369</v>
      </c>
      <c r="D4718" t="s">
        <v>6924</v>
      </c>
      <c r="E4718" t="s">
        <v>6926</v>
      </c>
      <c r="F4718" s="150" t="s">
        <v>6926</v>
      </c>
      <c r="G4718" s="149" t="s">
        <v>400</v>
      </c>
      <c r="H4718" s="150" t="str">
        <f>IF(Proc[[#This Row],[type]]="LFF (MDG-F)",MID(Proc[[#This Row],[Obj]],13,10),"")</f>
        <v/>
      </c>
      <c r="J4718" s="150" t="b">
        <f>Proc[[#This Row],[Requested]]=Proc[[#This Row],[CurrentParent]]</f>
        <v>1</v>
      </c>
      <c r="K4718" s="150" t="str">
        <f>IF(Proc[[#This Row],[Author]]="Marcela Urrego",VLOOKUP(LEFT(Proc[[#This Row],[Requested]],1),Table3[#All],2,0),VLOOKUP(Proc[[#This Row],[Author]],Table4[],2,0))</f>
        <v>MGF</v>
      </c>
      <c r="L4718" s="150" t="s">
        <v>6435</v>
      </c>
      <c r="M4718" s="170">
        <v>45981</v>
      </c>
      <c r="N4718" s="171"/>
      <c r="O4718" s="171"/>
      <c r="P4718" s="170" t="str">
        <f ca="1">IF(Proc[[#This Row],[DaysAgeing]]&gt;5,"yep","on track")</f>
        <v>yep</v>
      </c>
      <c r="Q4718" s="3">
        <f ca="1">IF(Proc[[#This Row],[DateClosed]]="",ABS(NETWORKDAYS(Proc[[#This Row],[DateOpened]],TODAY()))-1,ABS(NETWORKDAYS(Proc[[#This Row],[DateOpened]],Proc[[#This Row],[DateClosed]]))-1)</f>
        <v>21</v>
      </c>
      <c r="R4718" s="170" t="s">
        <v>515</v>
      </c>
      <c r="S4718" s="150"/>
    </row>
    <row r="4719" spans="1:19" hidden="1">
      <c r="A4719" s="149" t="s">
        <v>6928</v>
      </c>
      <c r="B4719" s="150" t="str">
        <f>IFERROR(VLOOKUP(Proc[[#This Row],[App]],Table2[],3,0),"open")</f>
        <v>ok</v>
      </c>
      <c r="C4719" s="149" t="s">
        <v>369</v>
      </c>
      <c r="D4719" t="s">
        <v>1132</v>
      </c>
      <c r="E4719" t="s">
        <v>6927</v>
      </c>
      <c r="F4719" s="150" t="s">
        <v>6927</v>
      </c>
      <c r="G4719" s="149" t="s">
        <v>400</v>
      </c>
      <c r="H4719" s="150" t="str">
        <f>IF(Proc[[#This Row],[type]]="LFF (MDG-F)",MID(Proc[[#This Row],[Obj]],13,10),"")</f>
        <v/>
      </c>
      <c r="J4719" s="150" t="b">
        <f>Proc[[#This Row],[Requested]]=Proc[[#This Row],[CurrentParent]]</f>
        <v>1</v>
      </c>
      <c r="K4719" s="150" t="str">
        <f>IF(Proc[[#This Row],[Author]]="Marcela Urrego",VLOOKUP(LEFT(Proc[[#This Row],[Requested]],1),Table3[#All],2,0),VLOOKUP(Proc[[#This Row],[Author]],Table4[],2,0))</f>
        <v>MGF</v>
      </c>
      <c r="L4719" s="150" t="s">
        <v>6435</v>
      </c>
      <c r="M4719" s="170">
        <v>45981</v>
      </c>
      <c r="N4719" s="171"/>
      <c r="O4719" s="171"/>
      <c r="P4719" s="170" t="str">
        <f ca="1">IF(Proc[[#This Row],[DaysAgeing]]&gt;5,"yep","on track")</f>
        <v>yep</v>
      </c>
      <c r="Q4719" s="3">
        <f ca="1">IF(Proc[[#This Row],[DateClosed]]="",ABS(NETWORKDAYS(Proc[[#This Row],[DateOpened]],TODAY()))-1,ABS(NETWORKDAYS(Proc[[#This Row],[DateOpened]],Proc[[#This Row],[DateClosed]]))-1)</f>
        <v>21</v>
      </c>
      <c r="R4719" s="170" t="s">
        <v>515</v>
      </c>
      <c r="S4719" s="150"/>
    </row>
    <row r="4720" spans="1:19" hidden="1">
      <c r="A4720" s="149" t="s">
        <v>6928</v>
      </c>
      <c r="B4720" s="150" t="str">
        <f>IFERROR(VLOOKUP(Proc[[#This Row],[App]],Table2[],3,0),"open")</f>
        <v>ok</v>
      </c>
      <c r="C4720" s="149" t="s">
        <v>369</v>
      </c>
      <c r="D4720" t="s">
        <v>1820</v>
      </c>
      <c r="E4720" t="s">
        <v>6927</v>
      </c>
      <c r="F4720" s="150" t="s">
        <v>6927</v>
      </c>
      <c r="G4720" s="149" t="s">
        <v>406</v>
      </c>
      <c r="H4720" s="150" t="str">
        <f>IF(Proc[[#This Row],[type]]="LFF (MDG-F)",MID(Proc[[#This Row],[Obj]],13,10),"")</f>
        <v>DE10G69660</v>
      </c>
      <c r="J4720" s="150" t="b">
        <f>Proc[[#This Row],[Requested]]=Proc[[#This Row],[CurrentParent]]</f>
        <v>1</v>
      </c>
      <c r="K4720" s="150" t="str">
        <f>IF(Proc[[#This Row],[Author]]="Marcela Urrego",VLOOKUP(LEFT(Proc[[#This Row],[Requested]],1),Table3[#All],2,0),VLOOKUP(Proc[[#This Row],[Author]],Table4[],2,0))</f>
        <v>MGF</v>
      </c>
      <c r="L4720" s="150" t="s">
        <v>6435</v>
      </c>
      <c r="M4720" s="170">
        <v>45981</v>
      </c>
      <c r="N4720" s="171"/>
      <c r="O4720" s="171"/>
      <c r="P4720" s="170" t="str">
        <f ca="1">IF(Proc[[#This Row],[DaysAgeing]]&gt;5,"yep","on track")</f>
        <v>yep</v>
      </c>
      <c r="Q4720" s="3">
        <f ca="1">IF(Proc[[#This Row],[DateClosed]]="",ABS(NETWORKDAYS(Proc[[#This Row],[DateOpened]],TODAY()))-1,ABS(NETWORKDAYS(Proc[[#This Row],[DateOpened]],Proc[[#This Row],[DateClosed]]))-1)</f>
        <v>21</v>
      </c>
      <c r="R4720" s="170" t="s">
        <v>515</v>
      </c>
      <c r="S4720" s="150"/>
    </row>
    <row r="4721" spans="1:19" hidden="1">
      <c r="A4721" s="149" t="s">
        <v>6928</v>
      </c>
      <c r="B4721" s="150" t="str">
        <f>IFERROR(VLOOKUP(Proc[[#This Row],[App]],Table2[],3,0),"open")</f>
        <v>ok</v>
      </c>
      <c r="C4721" s="149" t="s">
        <v>369</v>
      </c>
      <c r="D4721" t="s">
        <v>6925</v>
      </c>
      <c r="E4721" t="s">
        <v>6926</v>
      </c>
      <c r="F4721" s="150" t="s">
        <v>6926</v>
      </c>
      <c r="G4721" s="149" t="s">
        <v>400</v>
      </c>
      <c r="H4721" s="150" t="str">
        <f>IF(Proc[[#This Row],[type]]="LFF (MDG-F)",MID(Proc[[#This Row],[Obj]],13,10),"")</f>
        <v/>
      </c>
      <c r="J4721" s="150" t="b">
        <f>Proc[[#This Row],[Requested]]=Proc[[#This Row],[CurrentParent]]</f>
        <v>1</v>
      </c>
      <c r="K4721" s="150" t="str">
        <f>IF(Proc[[#This Row],[Author]]="Marcela Urrego",VLOOKUP(LEFT(Proc[[#This Row],[Requested]],1),Table3[#All],2,0),VLOOKUP(Proc[[#This Row],[Author]],Table4[],2,0))</f>
        <v>MGF</v>
      </c>
      <c r="L4721" s="150" t="s">
        <v>6435</v>
      </c>
      <c r="M4721" s="170">
        <v>45981</v>
      </c>
      <c r="N4721" s="171"/>
      <c r="O4721" s="171"/>
      <c r="P4721" s="170" t="str">
        <f ca="1">IF(Proc[[#This Row],[DaysAgeing]]&gt;5,"yep","on track")</f>
        <v>yep</v>
      </c>
      <c r="Q4721" s="3">
        <f ca="1">IF(Proc[[#This Row],[DateClosed]]="",ABS(NETWORKDAYS(Proc[[#This Row],[DateOpened]],TODAY()))-1,ABS(NETWORKDAYS(Proc[[#This Row],[DateOpened]],Proc[[#This Row],[DateClosed]]))-1)</f>
        <v>21</v>
      </c>
      <c r="R4721" s="170" t="s">
        <v>515</v>
      </c>
      <c r="S4721" s="150"/>
    </row>
    <row r="4722" spans="1:19" hidden="1">
      <c r="A4722" t="s">
        <v>6929</v>
      </c>
      <c r="B4722" s="150" t="str">
        <f>IFERROR(VLOOKUP(Proc[[#This Row],[App]],Table2[],3,0),"open")</f>
        <v>ok</v>
      </c>
      <c r="C4722" s="149" t="s">
        <v>369</v>
      </c>
      <c r="D4722" t="s">
        <v>6847</v>
      </c>
      <c r="E4722" t="s">
        <v>6852</v>
      </c>
      <c r="F4722" s="150" t="s">
        <v>6852</v>
      </c>
      <c r="G4722" t="s">
        <v>400</v>
      </c>
      <c r="H4722" s="150" t="str">
        <f>IF(Proc[[#This Row],[type]]="LFF (MDG-F)",MID(Proc[[#This Row],[Obj]],13,10),"")</f>
        <v/>
      </c>
      <c r="J4722" s="150" t="b">
        <f>Proc[[#This Row],[Requested]]=Proc[[#This Row],[CurrentParent]]</f>
        <v>1</v>
      </c>
      <c r="K4722" s="150" t="str">
        <f>IF(Proc[[#This Row],[Author]]="Marcela Urrego",VLOOKUP(LEFT(Proc[[#This Row],[Requested]],1),Table3[#All],2,0),VLOOKUP(Proc[[#This Row],[Author]],Table4[],2,0))</f>
        <v>LS</v>
      </c>
      <c r="L4722" s="150" t="s">
        <v>6435</v>
      </c>
      <c r="M4722" s="170">
        <v>45983</v>
      </c>
      <c r="N4722" s="171"/>
      <c r="O4722" s="171"/>
      <c r="P4722" s="170" t="str">
        <f ca="1">IF(Proc[[#This Row],[DaysAgeing]]&gt;5,"yep","on track")</f>
        <v>yep</v>
      </c>
      <c r="Q4722" s="3">
        <f ca="1">IF(Proc[[#This Row],[DateClosed]]="",ABS(NETWORKDAYS(Proc[[#This Row],[DateOpened]],TODAY()))-1,ABS(NETWORKDAYS(Proc[[#This Row],[DateOpened]],Proc[[#This Row],[DateClosed]]))-1)</f>
        <v>19</v>
      </c>
      <c r="R4722" s="170" t="s">
        <v>489</v>
      </c>
      <c r="S4722" s="150"/>
    </row>
    <row r="4723" spans="1:19" hidden="1">
      <c r="A4723" s="149" t="s">
        <v>6929</v>
      </c>
      <c r="B4723" s="150" t="str">
        <f>IFERROR(VLOOKUP(Proc[[#This Row],[App]],Table2[],3,0),"open")</f>
        <v>ok</v>
      </c>
      <c r="C4723" s="149" t="s">
        <v>369</v>
      </c>
      <c r="D4723" t="s">
        <v>6831</v>
      </c>
      <c r="E4723" t="s">
        <v>2206</v>
      </c>
      <c r="F4723" s="150" t="s">
        <v>2206</v>
      </c>
      <c r="G4723" s="149" t="s">
        <v>400</v>
      </c>
      <c r="H4723" s="150" t="str">
        <f>IF(Proc[[#This Row],[type]]="LFF (MDG-F)",MID(Proc[[#This Row],[Obj]],13,10),"")</f>
        <v/>
      </c>
      <c r="J4723" s="150" t="b">
        <f>Proc[[#This Row],[Requested]]=Proc[[#This Row],[CurrentParent]]</f>
        <v>1</v>
      </c>
      <c r="K4723" s="150" t="str">
        <f>IF(Proc[[#This Row],[Author]]="Marcela Urrego",VLOOKUP(LEFT(Proc[[#This Row],[Requested]],1),Table3[#All],2,0),VLOOKUP(Proc[[#This Row],[Author]],Table4[],2,0))</f>
        <v>LS</v>
      </c>
      <c r="L4723" s="150" t="s">
        <v>6435</v>
      </c>
      <c r="M4723" s="170">
        <v>45983</v>
      </c>
      <c r="N4723" s="171"/>
      <c r="O4723" s="171"/>
      <c r="P4723" s="170" t="str">
        <f ca="1">IF(Proc[[#This Row],[DaysAgeing]]&gt;5,"yep","on track")</f>
        <v>yep</v>
      </c>
      <c r="Q4723" s="3">
        <f ca="1">IF(Proc[[#This Row],[DateClosed]]="",ABS(NETWORKDAYS(Proc[[#This Row],[DateOpened]],TODAY()))-1,ABS(NETWORKDAYS(Proc[[#This Row],[DateOpened]],Proc[[#This Row],[DateClosed]]))-1)</f>
        <v>19</v>
      </c>
      <c r="R4723" s="170" t="s">
        <v>489</v>
      </c>
      <c r="S4723" s="150"/>
    </row>
    <row r="4724" spans="1:19" hidden="1">
      <c r="A4724" s="149" t="s">
        <v>6929</v>
      </c>
      <c r="B4724" s="150" t="str">
        <f>IFERROR(VLOOKUP(Proc[[#This Row],[App]],Table2[],3,0),"open")</f>
        <v>ok</v>
      </c>
      <c r="C4724" s="149" t="s">
        <v>369</v>
      </c>
      <c r="D4724" t="s">
        <v>6832</v>
      </c>
      <c r="E4724" t="s">
        <v>2206</v>
      </c>
      <c r="F4724" s="150" t="s">
        <v>2206</v>
      </c>
      <c r="G4724" s="149" t="s">
        <v>400</v>
      </c>
      <c r="H4724" s="150" t="str">
        <f>IF(Proc[[#This Row],[type]]="LFF (MDG-F)",MID(Proc[[#This Row],[Obj]],13,10),"")</f>
        <v/>
      </c>
      <c r="J4724" s="150" t="b">
        <f>Proc[[#This Row],[Requested]]=Proc[[#This Row],[CurrentParent]]</f>
        <v>1</v>
      </c>
      <c r="K4724" s="150" t="str">
        <f>IF(Proc[[#This Row],[Author]]="Marcela Urrego",VLOOKUP(LEFT(Proc[[#This Row],[Requested]],1),Table3[#All],2,0),VLOOKUP(Proc[[#This Row],[Author]],Table4[],2,0))</f>
        <v>LS</v>
      </c>
      <c r="L4724" s="150" t="s">
        <v>6435</v>
      </c>
      <c r="M4724" s="170">
        <v>45983</v>
      </c>
      <c r="N4724" s="171"/>
      <c r="O4724" s="171"/>
      <c r="P4724" s="170" t="str">
        <f ca="1">IF(Proc[[#This Row],[DaysAgeing]]&gt;5,"yep","on track")</f>
        <v>yep</v>
      </c>
      <c r="Q4724" s="3">
        <f ca="1">IF(Proc[[#This Row],[DateClosed]]="",ABS(NETWORKDAYS(Proc[[#This Row],[DateOpened]],TODAY()))-1,ABS(NETWORKDAYS(Proc[[#This Row],[DateOpened]],Proc[[#This Row],[DateClosed]]))-1)</f>
        <v>19</v>
      </c>
      <c r="R4724" s="170" t="s">
        <v>489</v>
      </c>
      <c r="S4724" s="150"/>
    </row>
    <row r="4725" spans="1:19" hidden="1">
      <c r="A4725" s="149" t="s">
        <v>6929</v>
      </c>
      <c r="B4725" s="150" t="str">
        <f>IFERROR(VLOOKUP(Proc[[#This Row],[App]],Table2[],3,0),"open")</f>
        <v>ok</v>
      </c>
      <c r="C4725" s="149" t="s">
        <v>369</v>
      </c>
      <c r="D4725" t="s">
        <v>6930</v>
      </c>
      <c r="E4725" t="s">
        <v>2191</v>
      </c>
      <c r="F4725" s="150" t="s">
        <v>2191</v>
      </c>
      <c r="G4725" s="149" t="s">
        <v>400</v>
      </c>
      <c r="H4725" s="150" t="str">
        <f>IF(Proc[[#This Row],[type]]="LFF (MDG-F)",MID(Proc[[#This Row],[Obj]],13,10),"")</f>
        <v/>
      </c>
      <c r="J4725" s="150" t="b">
        <f>Proc[[#This Row],[Requested]]=Proc[[#This Row],[CurrentParent]]</f>
        <v>1</v>
      </c>
      <c r="K4725" s="150" t="str">
        <f>IF(Proc[[#This Row],[Author]]="Marcela Urrego",VLOOKUP(LEFT(Proc[[#This Row],[Requested]],1),Table3[#All],2,0),VLOOKUP(Proc[[#This Row],[Author]],Table4[],2,0))</f>
        <v>LS</v>
      </c>
      <c r="L4725" s="150" t="s">
        <v>6435</v>
      </c>
      <c r="M4725" s="170">
        <v>45983</v>
      </c>
      <c r="N4725" s="171"/>
      <c r="O4725" s="171"/>
      <c r="P4725" s="170" t="str">
        <f ca="1">IF(Proc[[#This Row],[DaysAgeing]]&gt;5,"yep","on track")</f>
        <v>yep</v>
      </c>
      <c r="Q4725" s="3">
        <f ca="1">IF(Proc[[#This Row],[DateClosed]]="",ABS(NETWORKDAYS(Proc[[#This Row],[DateOpened]],TODAY()))-1,ABS(NETWORKDAYS(Proc[[#This Row],[DateOpened]],Proc[[#This Row],[DateClosed]]))-1)</f>
        <v>19</v>
      </c>
      <c r="R4725" s="170" t="s">
        <v>489</v>
      </c>
      <c r="S4725" s="150"/>
    </row>
    <row r="4726" spans="1:19" hidden="1">
      <c r="A4726" s="149" t="s">
        <v>6929</v>
      </c>
      <c r="B4726" s="150" t="str">
        <f>IFERROR(VLOOKUP(Proc[[#This Row],[App]],Table2[],3,0),"open")</f>
        <v>ok</v>
      </c>
      <c r="C4726" s="149" t="s">
        <v>369</v>
      </c>
      <c r="D4726" t="s">
        <v>6967</v>
      </c>
      <c r="E4726" t="s">
        <v>6932</v>
      </c>
      <c r="F4726" s="150" t="s">
        <v>6932</v>
      </c>
      <c r="G4726" s="149" t="s">
        <v>400</v>
      </c>
      <c r="H4726" s="150" t="str">
        <f>IF(Proc[[#This Row],[type]]="LFF (MDG-F)",MID(Proc[[#This Row],[Obj]],13,10),"")</f>
        <v/>
      </c>
      <c r="J4726" s="150" t="b">
        <f>Proc[[#This Row],[Requested]]=Proc[[#This Row],[CurrentParent]]</f>
        <v>1</v>
      </c>
      <c r="K4726" s="150" t="str">
        <f>IF(Proc[[#This Row],[Author]]="Marcela Urrego",VLOOKUP(LEFT(Proc[[#This Row],[Requested]],1),Table3[#All],2,0),VLOOKUP(Proc[[#This Row],[Author]],Table4[],2,0))</f>
        <v>LS</v>
      </c>
      <c r="L4726" s="150" t="s">
        <v>6435</v>
      </c>
      <c r="M4726" s="170">
        <v>45983</v>
      </c>
      <c r="N4726" s="171"/>
      <c r="O4726" s="171"/>
      <c r="P4726" s="170" t="str">
        <f ca="1">IF(Proc[[#This Row],[DaysAgeing]]&gt;5,"yep","on track")</f>
        <v>yep</v>
      </c>
      <c r="Q4726" s="3">
        <f ca="1">IF(Proc[[#This Row],[DateClosed]]="",ABS(NETWORKDAYS(Proc[[#This Row],[DateOpened]],TODAY()))-1,ABS(NETWORKDAYS(Proc[[#This Row],[DateOpened]],Proc[[#This Row],[DateClosed]]))-1)</f>
        <v>19</v>
      </c>
      <c r="R4726" s="170" t="s">
        <v>489</v>
      </c>
      <c r="S4726" s="150"/>
    </row>
    <row r="4727" spans="1:19" hidden="1">
      <c r="A4727" s="149" t="s">
        <v>6929</v>
      </c>
      <c r="B4727" s="150" t="str">
        <f>IFERROR(VLOOKUP(Proc[[#This Row],[App]],Table2[],3,0),"open")</f>
        <v>ok</v>
      </c>
      <c r="C4727" s="149" t="s">
        <v>369</v>
      </c>
      <c r="D4727" t="s">
        <v>6931</v>
      </c>
      <c r="E4727" t="s">
        <v>6933</v>
      </c>
      <c r="F4727" s="150" t="s">
        <v>6933</v>
      </c>
      <c r="G4727" s="149" t="s">
        <v>400</v>
      </c>
      <c r="H4727" s="150" t="str">
        <f>IF(Proc[[#This Row],[type]]="LFF (MDG-F)",MID(Proc[[#This Row],[Obj]],13,10),"")</f>
        <v/>
      </c>
      <c r="J4727" s="150" t="b">
        <f>Proc[[#This Row],[Requested]]=Proc[[#This Row],[CurrentParent]]</f>
        <v>1</v>
      </c>
      <c r="K4727" s="150" t="str">
        <f>IF(Proc[[#This Row],[Author]]="Marcela Urrego",VLOOKUP(LEFT(Proc[[#This Row],[Requested]],1),Table3[#All],2,0),VLOOKUP(Proc[[#This Row],[Author]],Table4[],2,0))</f>
        <v>LS</v>
      </c>
      <c r="L4727" s="150" t="s">
        <v>6435</v>
      </c>
      <c r="M4727" s="170">
        <v>45983</v>
      </c>
      <c r="N4727" s="171"/>
      <c r="O4727" s="171"/>
      <c r="P4727" s="170" t="str">
        <f ca="1">IF(Proc[[#This Row],[DaysAgeing]]&gt;5,"yep","on track")</f>
        <v>yep</v>
      </c>
      <c r="Q4727" s="3">
        <f ca="1">IF(Proc[[#This Row],[DateClosed]]="",ABS(NETWORKDAYS(Proc[[#This Row],[DateOpened]],TODAY()))-1,ABS(NETWORKDAYS(Proc[[#This Row],[DateOpened]],Proc[[#This Row],[DateClosed]]))-1)</f>
        <v>19</v>
      </c>
      <c r="R4727" s="170" t="s">
        <v>489</v>
      </c>
      <c r="S4727" s="150"/>
    </row>
    <row r="4728" spans="1:19" hidden="1">
      <c r="A4728" t="s">
        <v>6934</v>
      </c>
      <c r="B4728" s="150" t="str">
        <f>IFERROR(VLOOKUP(Proc[[#This Row],[App]],Table2[],3,0),"open")</f>
        <v>ok</v>
      </c>
      <c r="C4728" s="149" t="s">
        <v>369</v>
      </c>
      <c r="D4728" t="s">
        <v>3494</v>
      </c>
      <c r="E4728" t="s">
        <v>1974</v>
      </c>
      <c r="F4728" s="150" t="s">
        <v>1974</v>
      </c>
      <c r="G4728" s="149" t="s">
        <v>400</v>
      </c>
      <c r="H4728" s="150" t="str">
        <f>IF(Proc[[#This Row],[type]]="LFF (MDG-F)",MID(Proc[[#This Row],[Obj]],13,10),"")</f>
        <v/>
      </c>
      <c r="J4728" s="150" t="b">
        <f>Proc[[#This Row],[Requested]]=Proc[[#This Row],[CurrentParent]]</f>
        <v>1</v>
      </c>
      <c r="K4728" s="150" t="str">
        <f>IF(Proc[[#This Row],[Author]]="Marcela Urrego",VLOOKUP(LEFT(Proc[[#This Row],[Requested]],1),Table3[#All],2,0),VLOOKUP(Proc[[#This Row],[Author]],Table4[],2,0))</f>
        <v>LS</v>
      </c>
      <c r="L4728" s="150" t="s">
        <v>6435</v>
      </c>
      <c r="M4728" s="170">
        <v>45983</v>
      </c>
      <c r="N4728" s="171"/>
      <c r="O4728" s="171"/>
      <c r="P4728" s="170" t="str">
        <f ca="1">IF(Proc[[#This Row],[DaysAgeing]]&gt;5,"yep","on track")</f>
        <v>yep</v>
      </c>
      <c r="Q4728" s="3">
        <f ca="1">IF(Proc[[#This Row],[DateClosed]]="",ABS(NETWORKDAYS(Proc[[#This Row],[DateOpened]],TODAY()))-1,ABS(NETWORKDAYS(Proc[[#This Row],[DateOpened]],Proc[[#This Row],[DateClosed]]))-1)</f>
        <v>19</v>
      </c>
      <c r="R4728" s="170" t="s">
        <v>489</v>
      </c>
      <c r="S4728" s="150"/>
    </row>
    <row r="4729" spans="1:19" hidden="1">
      <c r="A4729" s="149" t="s">
        <v>6934</v>
      </c>
      <c r="B4729" s="150" t="str">
        <f>IFERROR(VLOOKUP(Proc[[#This Row],[App]],Table2[],3,0),"open")</f>
        <v>ok</v>
      </c>
      <c r="C4729" s="149" t="s">
        <v>369</v>
      </c>
      <c r="D4729" t="s">
        <v>6935</v>
      </c>
      <c r="E4729" t="s">
        <v>6954</v>
      </c>
      <c r="F4729" s="150" t="s">
        <v>6954</v>
      </c>
      <c r="G4729" s="149" t="s">
        <v>400</v>
      </c>
      <c r="H4729" s="150" t="str">
        <f>IF(Proc[[#This Row],[type]]="LFF (MDG-F)",MID(Proc[[#This Row],[Obj]],13,10),"")</f>
        <v/>
      </c>
      <c r="J4729" s="150" t="b">
        <f>Proc[[#This Row],[Requested]]=Proc[[#This Row],[CurrentParent]]</f>
        <v>1</v>
      </c>
      <c r="K4729" s="150" t="str">
        <f>IF(Proc[[#This Row],[Author]]="Marcela Urrego",VLOOKUP(LEFT(Proc[[#This Row],[Requested]],1),Table3[#All],2,0),VLOOKUP(Proc[[#This Row],[Author]],Table4[],2,0))</f>
        <v>LS</v>
      </c>
      <c r="L4729" s="150" t="s">
        <v>6435</v>
      </c>
      <c r="M4729" s="170">
        <v>45983</v>
      </c>
      <c r="N4729" s="171"/>
      <c r="O4729" s="171"/>
      <c r="P4729" s="170" t="str">
        <f ca="1">IF(Proc[[#This Row],[DaysAgeing]]&gt;5,"yep","on track")</f>
        <v>yep</v>
      </c>
      <c r="Q4729" s="3">
        <f ca="1">IF(Proc[[#This Row],[DateClosed]]="",ABS(NETWORKDAYS(Proc[[#This Row],[DateOpened]],TODAY()))-1,ABS(NETWORKDAYS(Proc[[#This Row],[DateOpened]],Proc[[#This Row],[DateClosed]]))-1)</f>
        <v>19</v>
      </c>
      <c r="R4729" s="170" t="s">
        <v>489</v>
      </c>
      <c r="S4729" s="150"/>
    </row>
    <row r="4730" spans="1:19" hidden="1">
      <c r="A4730" s="149" t="s">
        <v>6934</v>
      </c>
      <c r="B4730" s="150" t="str">
        <f>IFERROR(VLOOKUP(Proc[[#This Row],[App]],Table2[],3,0),"open")</f>
        <v>ok</v>
      </c>
      <c r="C4730" s="149" t="s">
        <v>369</v>
      </c>
      <c r="D4730" t="s">
        <v>6936</v>
      </c>
      <c r="E4730" t="s">
        <v>3521</v>
      </c>
      <c r="F4730" s="150" t="s">
        <v>3521</v>
      </c>
      <c r="G4730" s="149" t="s">
        <v>400</v>
      </c>
      <c r="H4730" s="150" t="str">
        <f>IF(Proc[[#This Row],[type]]="LFF (MDG-F)",MID(Proc[[#This Row],[Obj]],13,10),"")</f>
        <v/>
      </c>
      <c r="J4730" s="150" t="b">
        <f>Proc[[#This Row],[Requested]]=Proc[[#This Row],[CurrentParent]]</f>
        <v>1</v>
      </c>
      <c r="K4730" s="150" t="str">
        <f>IF(Proc[[#This Row],[Author]]="Marcela Urrego",VLOOKUP(LEFT(Proc[[#This Row],[Requested]],1),Table3[#All],2,0),VLOOKUP(Proc[[#This Row],[Author]],Table4[],2,0))</f>
        <v>LS</v>
      </c>
      <c r="L4730" s="150" t="s">
        <v>6435</v>
      </c>
      <c r="M4730" s="170">
        <v>45983</v>
      </c>
      <c r="N4730" s="171"/>
      <c r="O4730" s="171"/>
      <c r="P4730" s="170" t="str">
        <f ca="1">IF(Proc[[#This Row],[DaysAgeing]]&gt;5,"yep","on track")</f>
        <v>yep</v>
      </c>
      <c r="Q4730" s="3">
        <f ca="1">IF(Proc[[#This Row],[DateClosed]]="",ABS(NETWORKDAYS(Proc[[#This Row],[DateOpened]],TODAY()))-1,ABS(NETWORKDAYS(Proc[[#This Row],[DateOpened]],Proc[[#This Row],[DateClosed]]))-1)</f>
        <v>19</v>
      </c>
      <c r="R4730" s="170" t="s">
        <v>489</v>
      </c>
      <c r="S4730" s="150"/>
    </row>
    <row r="4731" spans="1:19" hidden="1">
      <c r="A4731" s="149" t="s">
        <v>6934</v>
      </c>
      <c r="B4731" s="150" t="str">
        <f>IFERROR(VLOOKUP(Proc[[#This Row],[App]],Table2[],3,0),"open")</f>
        <v>ok</v>
      </c>
      <c r="C4731" s="149" t="s">
        <v>369</v>
      </c>
      <c r="D4731" t="s">
        <v>6937</v>
      </c>
      <c r="E4731" t="s">
        <v>3521</v>
      </c>
      <c r="F4731" s="150" t="s">
        <v>3521</v>
      </c>
      <c r="G4731" s="149" t="s">
        <v>400</v>
      </c>
      <c r="H4731" s="150" t="str">
        <f>IF(Proc[[#This Row],[type]]="LFF (MDG-F)",MID(Proc[[#This Row],[Obj]],13,10),"")</f>
        <v/>
      </c>
      <c r="J4731" s="150" t="b">
        <f>Proc[[#This Row],[Requested]]=Proc[[#This Row],[CurrentParent]]</f>
        <v>1</v>
      </c>
      <c r="K4731" s="150" t="str">
        <f>IF(Proc[[#This Row],[Author]]="Marcela Urrego",VLOOKUP(LEFT(Proc[[#This Row],[Requested]],1),Table3[#All],2,0),VLOOKUP(Proc[[#This Row],[Author]],Table4[],2,0))</f>
        <v>LS</v>
      </c>
      <c r="L4731" s="150" t="s">
        <v>6435</v>
      </c>
      <c r="M4731" s="170">
        <v>45983</v>
      </c>
      <c r="N4731" s="171"/>
      <c r="O4731" s="171"/>
      <c r="P4731" s="170" t="str">
        <f ca="1">IF(Proc[[#This Row],[DaysAgeing]]&gt;5,"yep","on track")</f>
        <v>yep</v>
      </c>
      <c r="Q4731" s="3">
        <f ca="1">IF(Proc[[#This Row],[DateClosed]]="",ABS(NETWORKDAYS(Proc[[#This Row],[DateOpened]],TODAY()))-1,ABS(NETWORKDAYS(Proc[[#This Row],[DateOpened]],Proc[[#This Row],[DateClosed]]))-1)</f>
        <v>19</v>
      </c>
      <c r="R4731" s="170" t="s">
        <v>489</v>
      </c>
      <c r="S4731" s="150"/>
    </row>
    <row r="4732" spans="1:19" hidden="1">
      <c r="A4732" s="149" t="s">
        <v>6934</v>
      </c>
      <c r="B4732" s="150" t="str">
        <f>IFERROR(VLOOKUP(Proc[[#This Row],[App]],Table2[],3,0),"open")</f>
        <v>ok</v>
      </c>
      <c r="C4732" s="149" t="s">
        <v>369</v>
      </c>
      <c r="D4732" t="s">
        <v>6938</v>
      </c>
      <c r="E4732" t="s">
        <v>3521</v>
      </c>
      <c r="F4732" s="150" t="s">
        <v>3521</v>
      </c>
      <c r="G4732" s="149" t="s">
        <v>400</v>
      </c>
      <c r="H4732" s="150" t="str">
        <f>IF(Proc[[#This Row],[type]]="LFF (MDG-F)",MID(Proc[[#This Row],[Obj]],13,10),"")</f>
        <v/>
      </c>
      <c r="J4732" s="150" t="b">
        <f>Proc[[#This Row],[Requested]]=Proc[[#This Row],[CurrentParent]]</f>
        <v>1</v>
      </c>
      <c r="K4732" s="150" t="str">
        <f>IF(Proc[[#This Row],[Author]]="Marcela Urrego",VLOOKUP(LEFT(Proc[[#This Row],[Requested]],1),Table3[#All],2,0),VLOOKUP(Proc[[#This Row],[Author]],Table4[],2,0))</f>
        <v>LS</v>
      </c>
      <c r="L4732" s="150" t="s">
        <v>6435</v>
      </c>
      <c r="M4732" s="170">
        <v>45983</v>
      </c>
      <c r="N4732" s="171"/>
      <c r="O4732" s="171"/>
      <c r="P4732" s="170" t="str">
        <f ca="1">IF(Proc[[#This Row],[DaysAgeing]]&gt;5,"yep","on track")</f>
        <v>yep</v>
      </c>
      <c r="Q4732" s="3">
        <f ca="1">IF(Proc[[#This Row],[DateClosed]]="",ABS(NETWORKDAYS(Proc[[#This Row],[DateOpened]],TODAY()))-1,ABS(NETWORKDAYS(Proc[[#This Row],[DateOpened]],Proc[[#This Row],[DateClosed]]))-1)</f>
        <v>19</v>
      </c>
      <c r="R4732" s="170" t="s">
        <v>489</v>
      </c>
      <c r="S4732" s="150"/>
    </row>
    <row r="4733" spans="1:19" hidden="1">
      <c r="A4733" s="149" t="s">
        <v>6934</v>
      </c>
      <c r="B4733" s="150" t="str">
        <f>IFERROR(VLOOKUP(Proc[[#This Row],[App]],Table2[],3,0),"open")</f>
        <v>ok</v>
      </c>
      <c r="C4733" s="149" t="s">
        <v>369</v>
      </c>
      <c r="D4733" t="s">
        <v>5789</v>
      </c>
      <c r="E4733" t="s">
        <v>6955</v>
      </c>
      <c r="F4733" s="150" t="s">
        <v>6955</v>
      </c>
      <c r="G4733" s="149" t="s">
        <v>400</v>
      </c>
      <c r="H4733" s="150" t="str">
        <f>IF(Proc[[#This Row],[type]]="LFF (MDG-F)",MID(Proc[[#This Row],[Obj]],13,10),"")</f>
        <v/>
      </c>
      <c r="J4733" s="150" t="b">
        <f>Proc[[#This Row],[Requested]]=Proc[[#This Row],[CurrentParent]]</f>
        <v>1</v>
      </c>
      <c r="K4733" s="150" t="str">
        <f>IF(Proc[[#This Row],[Author]]="Marcela Urrego",VLOOKUP(LEFT(Proc[[#This Row],[Requested]],1),Table3[#All],2,0),VLOOKUP(Proc[[#This Row],[Author]],Table4[],2,0))</f>
        <v>LS</v>
      </c>
      <c r="L4733" s="150" t="s">
        <v>6435</v>
      </c>
      <c r="M4733" s="170">
        <v>45983</v>
      </c>
      <c r="N4733" s="171"/>
      <c r="O4733" s="171"/>
      <c r="P4733" s="170" t="str">
        <f ca="1">IF(Proc[[#This Row],[DaysAgeing]]&gt;5,"yep","on track")</f>
        <v>yep</v>
      </c>
      <c r="Q4733" s="3">
        <f ca="1">IF(Proc[[#This Row],[DateClosed]]="",ABS(NETWORKDAYS(Proc[[#This Row],[DateOpened]],TODAY()))-1,ABS(NETWORKDAYS(Proc[[#This Row],[DateOpened]],Proc[[#This Row],[DateClosed]]))-1)</f>
        <v>19</v>
      </c>
      <c r="R4733" s="170" t="s">
        <v>489</v>
      </c>
      <c r="S4733" s="150"/>
    </row>
    <row r="4734" spans="1:19" hidden="1">
      <c r="A4734" s="149" t="s">
        <v>6934</v>
      </c>
      <c r="B4734" s="150" t="str">
        <f>IFERROR(VLOOKUP(Proc[[#This Row],[App]],Table2[],3,0),"open")</f>
        <v>ok</v>
      </c>
      <c r="C4734" s="149" t="s">
        <v>369</v>
      </c>
      <c r="D4734" t="s">
        <v>3485</v>
      </c>
      <c r="E4734" t="s">
        <v>3532</v>
      </c>
      <c r="F4734" s="150" t="s">
        <v>3532</v>
      </c>
      <c r="G4734" s="149" t="s">
        <v>400</v>
      </c>
      <c r="H4734" s="150" t="str">
        <f>IF(Proc[[#This Row],[type]]="LFF (MDG-F)",MID(Proc[[#This Row],[Obj]],13,10),"")</f>
        <v/>
      </c>
      <c r="J4734" s="150" t="b">
        <f>Proc[[#This Row],[Requested]]=Proc[[#This Row],[CurrentParent]]</f>
        <v>1</v>
      </c>
      <c r="K4734" s="150" t="str">
        <f>IF(Proc[[#This Row],[Author]]="Marcela Urrego",VLOOKUP(LEFT(Proc[[#This Row],[Requested]],1),Table3[#All],2,0),VLOOKUP(Proc[[#This Row],[Author]],Table4[],2,0))</f>
        <v>LS</v>
      </c>
      <c r="L4734" s="150" t="s">
        <v>6435</v>
      </c>
      <c r="M4734" s="170">
        <v>45983</v>
      </c>
      <c r="N4734" s="171"/>
      <c r="O4734" s="171"/>
      <c r="P4734" s="170" t="str">
        <f ca="1">IF(Proc[[#This Row],[DaysAgeing]]&gt;5,"yep","on track")</f>
        <v>yep</v>
      </c>
      <c r="Q4734" s="3">
        <f ca="1">IF(Proc[[#This Row],[DateClosed]]="",ABS(NETWORKDAYS(Proc[[#This Row],[DateOpened]],TODAY()))-1,ABS(NETWORKDAYS(Proc[[#This Row],[DateOpened]],Proc[[#This Row],[DateClosed]]))-1)</f>
        <v>19</v>
      </c>
      <c r="R4734" s="170" t="s">
        <v>489</v>
      </c>
      <c r="S4734" s="150"/>
    </row>
    <row r="4735" spans="1:19" hidden="1">
      <c r="A4735" s="149" t="s">
        <v>6934</v>
      </c>
      <c r="B4735" s="150" t="str">
        <f>IFERROR(VLOOKUP(Proc[[#This Row],[App]],Table2[],3,0),"open")</f>
        <v>ok</v>
      </c>
      <c r="C4735" s="149" t="s">
        <v>369</v>
      </c>
      <c r="D4735" t="s">
        <v>3454</v>
      </c>
      <c r="E4735" t="s">
        <v>6956</v>
      </c>
      <c r="F4735" s="150" t="s">
        <v>6956</v>
      </c>
      <c r="G4735" s="149" t="s">
        <v>400</v>
      </c>
      <c r="H4735" s="150" t="str">
        <f>IF(Proc[[#This Row],[type]]="LFF (MDG-F)",MID(Proc[[#This Row],[Obj]],13,10),"")</f>
        <v/>
      </c>
      <c r="J4735" s="150" t="b">
        <f>Proc[[#This Row],[Requested]]=Proc[[#This Row],[CurrentParent]]</f>
        <v>1</v>
      </c>
      <c r="K4735" s="150" t="str">
        <f>IF(Proc[[#This Row],[Author]]="Marcela Urrego",VLOOKUP(LEFT(Proc[[#This Row],[Requested]],1),Table3[#All],2,0),VLOOKUP(Proc[[#This Row],[Author]],Table4[],2,0))</f>
        <v>LS</v>
      </c>
      <c r="L4735" s="150" t="s">
        <v>6435</v>
      </c>
      <c r="M4735" s="170">
        <v>45983</v>
      </c>
      <c r="N4735" s="171"/>
      <c r="O4735" s="171"/>
      <c r="P4735" s="170" t="str">
        <f ca="1">IF(Proc[[#This Row],[DaysAgeing]]&gt;5,"yep","on track")</f>
        <v>yep</v>
      </c>
      <c r="Q4735" s="3">
        <f ca="1">IF(Proc[[#This Row],[DateClosed]]="",ABS(NETWORKDAYS(Proc[[#This Row],[DateOpened]],TODAY()))-1,ABS(NETWORKDAYS(Proc[[#This Row],[DateOpened]],Proc[[#This Row],[DateClosed]]))-1)</f>
        <v>19</v>
      </c>
      <c r="R4735" s="170" t="s">
        <v>489</v>
      </c>
      <c r="S4735" s="150"/>
    </row>
    <row r="4736" spans="1:19" hidden="1">
      <c r="A4736" s="149" t="s">
        <v>6934</v>
      </c>
      <c r="B4736" s="150" t="str">
        <f>IFERROR(VLOOKUP(Proc[[#This Row],[App]],Table2[],3,0),"open")</f>
        <v>ok</v>
      </c>
      <c r="C4736" s="149" t="s">
        <v>369</v>
      </c>
      <c r="D4736" t="s">
        <v>6939</v>
      </c>
      <c r="E4736" t="s">
        <v>6957</v>
      </c>
      <c r="F4736" s="150" t="s">
        <v>6957</v>
      </c>
      <c r="G4736" s="149" t="s">
        <v>400</v>
      </c>
      <c r="H4736" s="150" t="str">
        <f>IF(Proc[[#This Row],[type]]="LFF (MDG-F)",MID(Proc[[#This Row],[Obj]],13,10),"")</f>
        <v/>
      </c>
      <c r="J4736" s="150" t="b">
        <f>Proc[[#This Row],[Requested]]=Proc[[#This Row],[CurrentParent]]</f>
        <v>1</v>
      </c>
      <c r="K4736" s="150" t="str">
        <f>IF(Proc[[#This Row],[Author]]="Marcela Urrego",VLOOKUP(LEFT(Proc[[#This Row],[Requested]],1),Table3[#All],2,0),VLOOKUP(Proc[[#This Row],[Author]],Table4[],2,0))</f>
        <v>LS</v>
      </c>
      <c r="L4736" s="150" t="s">
        <v>6435</v>
      </c>
      <c r="M4736" s="170">
        <v>45983</v>
      </c>
      <c r="N4736" s="171"/>
      <c r="O4736" s="171"/>
      <c r="P4736" s="170" t="str">
        <f ca="1">IF(Proc[[#This Row],[DaysAgeing]]&gt;5,"yep","on track")</f>
        <v>yep</v>
      </c>
      <c r="Q4736" s="3">
        <f ca="1">IF(Proc[[#This Row],[DateClosed]]="",ABS(NETWORKDAYS(Proc[[#This Row],[DateOpened]],TODAY()))-1,ABS(NETWORKDAYS(Proc[[#This Row],[DateOpened]],Proc[[#This Row],[DateClosed]]))-1)</f>
        <v>19</v>
      </c>
      <c r="R4736" s="170" t="s">
        <v>489</v>
      </c>
      <c r="S4736" s="150"/>
    </row>
    <row r="4737" spans="1:19" hidden="1">
      <c r="A4737" s="149" t="s">
        <v>6934</v>
      </c>
      <c r="B4737" s="150" t="str">
        <f>IFERROR(VLOOKUP(Proc[[#This Row],[App]],Table2[],3,0),"open")</f>
        <v>ok</v>
      </c>
      <c r="C4737" s="149" t="s">
        <v>369</v>
      </c>
      <c r="D4737" t="s">
        <v>3427</v>
      </c>
      <c r="E4737" t="s">
        <v>6958</v>
      </c>
      <c r="F4737" s="150" t="s">
        <v>6958</v>
      </c>
      <c r="G4737" s="149" t="s">
        <v>400</v>
      </c>
      <c r="H4737" s="150" t="str">
        <f>IF(Proc[[#This Row],[type]]="LFF (MDG-F)",MID(Proc[[#This Row],[Obj]],13,10),"")</f>
        <v/>
      </c>
      <c r="J4737" s="150" t="b">
        <f>Proc[[#This Row],[Requested]]=Proc[[#This Row],[CurrentParent]]</f>
        <v>1</v>
      </c>
      <c r="K4737" s="150" t="str">
        <f>IF(Proc[[#This Row],[Author]]="Marcela Urrego",VLOOKUP(LEFT(Proc[[#This Row],[Requested]],1),Table3[#All],2,0),VLOOKUP(Proc[[#This Row],[Author]],Table4[],2,0))</f>
        <v>LS</v>
      </c>
      <c r="L4737" s="150" t="s">
        <v>6435</v>
      </c>
      <c r="M4737" s="170">
        <v>45983</v>
      </c>
      <c r="N4737" s="171"/>
      <c r="O4737" s="171"/>
      <c r="P4737" s="170" t="str">
        <f ca="1">IF(Proc[[#This Row],[DaysAgeing]]&gt;5,"yep","on track")</f>
        <v>yep</v>
      </c>
      <c r="Q4737" s="3">
        <f ca="1">IF(Proc[[#This Row],[DateClosed]]="",ABS(NETWORKDAYS(Proc[[#This Row],[DateOpened]],TODAY()))-1,ABS(NETWORKDAYS(Proc[[#This Row],[DateOpened]],Proc[[#This Row],[DateClosed]]))-1)</f>
        <v>19</v>
      </c>
      <c r="R4737" s="170" t="s">
        <v>489</v>
      </c>
      <c r="S4737" s="150"/>
    </row>
    <row r="4738" spans="1:19" hidden="1">
      <c r="A4738" s="149" t="s">
        <v>6934</v>
      </c>
      <c r="B4738" s="150" t="str">
        <f>IFERROR(VLOOKUP(Proc[[#This Row],[App]],Table2[],3,0),"open")</f>
        <v>ok</v>
      </c>
      <c r="C4738" s="149" t="s">
        <v>369</v>
      </c>
      <c r="D4738" t="s">
        <v>6940</v>
      </c>
      <c r="E4738" t="s">
        <v>6959</v>
      </c>
      <c r="F4738" s="150" t="s">
        <v>6959</v>
      </c>
      <c r="G4738" s="149" t="s">
        <v>400</v>
      </c>
      <c r="H4738" s="150" t="str">
        <f>IF(Proc[[#This Row],[type]]="LFF (MDG-F)",MID(Proc[[#This Row],[Obj]],13,10),"")</f>
        <v/>
      </c>
      <c r="J4738" s="150" t="b">
        <f>Proc[[#This Row],[Requested]]=Proc[[#This Row],[CurrentParent]]</f>
        <v>1</v>
      </c>
      <c r="K4738" s="150" t="str">
        <f>IF(Proc[[#This Row],[Author]]="Marcela Urrego",VLOOKUP(LEFT(Proc[[#This Row],[Requested]],1),Table3[#All],2,0),VLOOKUP(Proc[[#This Row],[Author]],Table4[],2,0))</f>
        <v>LS</v>
      </c>
      <c r="L4738" s="150" t="s">
        <v>6435</v>
      </c>
      <c r="M4738" s="170">
        <v>45983</v>
      </c>
      <c r="N4738" s="171"/>
      <c r="O4738" s="171"/>
      <c r="P4738" s="170" t="str">
        <f ca="1">IF(Proc[[#This Row],[DaysAgeing]]&gt;5,"yep","on track")</f>
        <v>yep</v>
      </c>
      <c r="Q4738" s="3">
        <f ca="1">IF(Proc[[#This Row],[DateClosed]]="",ABS(NETWORKDAYS(Proc[[#This Row],[DateOpened]],TODAY()))-1,ABS(NETWORKDAYS(Proc[[#This Row],[DateOpened]],Proc[[#This Row],[DateClosed]]))-1)</f>
        <v>19</v>
      </c>
      <c r="R4738" s="170" t="s">
        <v>489</v>
      </c>
      <c r="S4738" s="150"/>
    </row>
    <row r="4739" spans="1:19" hidden="1">
      <c r="A4739" s="149" t="s">
        <v>6934</v>
      </c>
      <c r="B4739" s="150" t="str">
        <f>IFERROR(VLOOKUP(Proc[[#This Row],[App]],Table2[],3,0),"open")</f>
        <v>ok</v>
      </c>
      <c r="C4739" s="149" t="s">
        <v>369</v>
      </c>
      <c r="D4739" t="s">
        <v>6941</v>
      </c>
      <c r="E4739" t="s">
        <v>6960</v>
      </c>
      <c r="F4739" s="150" t="s">
        <v>6960</v>
      </c>
      <c r="G4739" s="149" t="s">
        <v>400</v>
      </c>
      <c r="H4739" s="150" t="str">
        <f>IF(Proc[[#This Row],[type]]="LFF (MDG-F)",MID(Proc[[#This Row],[Obj]],13,10),"")</f>
        <v/>
      </c>
      <c r="J4739" s="150" t="b">
        <f>Proc[[#This Row],[Requested]]=Proc[[#This Row],[CurrentParent]]</f>
        <v>1</v>
      </c>
      <c r="K4739" s="150" t="str">
        <f>IF(Proc[[#This Row],[Author]]="Marcela Urrego",VLOOKUP(LEFT(Proc[[#This Row],[Requested]],1),Table3[#All],2,0),VLOOKUP(Proc[[#This Row],[Author]],Table4[],2,0))</f>
        <v>LS</v>
      </c>
      <c r="L4739" s="150" t="s">
        <v>6435</v>
      </c>
      <c r="M4739" s="170">
        <v>45983</v>
      </c>
      <c r="N4739" s="171"/>
      <c r="O4739" s="171"/>
      <c r="P4739" s="170" t="str">
        <f ca="1">IF(Proc[[#This Row],[DaysAgeing]]&gt;5,"yep","on track")</f>
        <v>yep</v>
      </c>
      <c r="Q4739" s="3">
        <f ca="1">IF(Proc[[#This Row],[DateClosed]]="",ABS(NETWORKDAYS(Proc[[#This Row],[DateOpened]],TODAY()))-1,ABS(NETWORKDAYS(Proc[[#This Row],[DateOpened]],Proc[[#This Row],[DateClosed]]))-1)</f>
        <v>19</v>
      </c>
      <c r="R4739" s="170" t="s">
        <v>489</v>
      </c>
      <c r="S4739" s="150"/>
    </row>
    <row r="4740" spans="1:19" hidden="1">
      <c r="A4740" s="149" t="s">
        <v>6934</v>
      </c>
      <c r="B4740" s="150" t="str">
        <f>IFERROR(VLOOKUP(Proc[[#This Row],[App]],Table2[],3,0),"open")</f>
        <v>ok</v>
      </c>
      <c r="C4740" s="149" t="s">
        <v>369</v>
      </c>
      <c r="D4740" t="s">
        <v>6942</v>
      </c>
      <c r="E4740" t="s">
        <v>2385</v>
      </c>
      <c r="F4740" s="150" t="s">
        <v>2385</v>
      </c>
      <c r="G4740" s="149" t="s">
        <v>400</v>
      </c>
      <c r="H4740" s="150" t="str">
        <f>IF(Proc[[#This Row],[type]]="LFF (MDG-F)",MID(Proc[[#This Row],[Obj]],13,10),"")</f>
        <v/>
      </c>
      <c r="J4740" s="150" t="b">
        <f>Proc[[#This Row],[Requested]]=Proc[[#This Row],[CurrentParent]]</f>
        <v>1</v>
      </c>
      <c r="K4740" s="150" t="str">
        <f>IF(Proc[[#This Row],[Author]]="Marcela Urrego",VLOOKUP(LEFT(Proc[[#This Row],[Requested]],1),Table3[#All],2,0),VLOOKUP(Proc[[#This Row],[Author]],Table4[],2,0))</f>
        <v>LS</v>
      </c>
      <c r="L4740" s="150" t="s">
        <v>6435</v>
      </c>
      <c r="M4740" s="170">
        <v>45983</v>
      </c>
      <c r="N4740" s="171"/>
      <c r="O4740" s="171"/>
      <c r="P4740" s="170" t="str">
        <f ca="1">IF(Proc[[#This Row],[DaysAgeing]]&gt;5,"yep","on track")</f>
        <v>yep</v>
      </c>
      <c r="Q4740" s="3">
        <f ca="1">IF(Proc[[#This Row],[DateClosed]]="",ABS(NETWORKDAYS(Proc[[#This Row],[DateOpened]],TODAY()))-1,ABS(NETWORKDAYS(Proc[[#This Row],[DateOpened]],Proc[[#This Row],[DateClosed]]))-1)</f>
        <v>19</v>
      </c>
      <c r="R4740" s="170" t="s">
        <v>489</v>
      </c>
      <c r="S4740" s="150"/>
    </row>
    <row r="4741" spans="1:19" hidden="1">
      <c r="A4741" s="149" t="s">
        <v>6934</v>
      </c>
      <c r="B4741" s="150" t="str">
        <f>IFERROR(VLOOKUP(Proc[[#This Row],[App]],Table2[],3,0),"open")</f>
        <v>ok</v>
      </c>
      <c r="C4741" s="149" t="s">
        <v>369</v>
      </c>
      <c r="D4741" t="s">
        <v>6943</v>
      </c>
      <c r="E4741" t="s">
        <v>6961</v>
      </c>
      <c r="F4741" s="150" t="s">
        <v>6961</v>
      </c>
      <c r="G4741" s="149" t="s">
        <v>400</v>
      </c>
      <c r="H4741" s="150" t="str">
        <f>IF(Proc[[#This Row],[type]]="LFF (MDG-F)",MID(Proc[[#This Row],[Obj]],13,10),"")</f>
        <v/>
      </c>
      <c r="J4741" s="150" t="b">
        <f>Proc[[#This Row],[Requested]]=Proc[[#This Row],[CurrentParent]]</f>
        <v>1</v>
      </c>
      <c r="K4741" s="150" t="str">
        <f>IF(Proc[[#This Row],[Author]]="Marcela Urrego",VLOOKUP(LEFT(Proc[[#This Row],[Requested]],1),Table3[#All],2,0),VLOOKUP(Proc[[#This Row],[Author]],Table4[],2,0))</f>
        <v>LS</v>
      </c>
      <c r="L4741" s="150" t="s">
        <v>6435</v>
      </c>
      <c r="M4741" s="170">
        <v>45983</v>
      </c>
      <c r="N4741" s="171"/>
      <c r="O4741" s="171"/>
      <c r="P4741" s="170" t="str">
        <f ca="1">IF(Proc[[#This Row],[DaysAgeing]]&gt;5,"yep","on track")</f>
        <v>yep</v>
      </c>
      <c r="Q4741" s="3">
        <f ca="1">IF(Proc[[#This Row],[DateClosed]]="",ABS(NETWORKDAYS(Proc[[#This Row],[DateOpened]],TODAY()))-1,ABS(NETWORKDAYS(Proc[[#This Row],[DateOpened]],Proc[[#This Row],[DateClosed]]))-1)</f>
        <v>19</v>
      </c>
      <c r="R4741" s="170" t="s">
        <v>489</v>
      </c>
      <c r="S4741" s="150"/>
    </row>
    <row r="4742" spans="1:19" hidden="1">
      <c r="A4742" s="149" t="s">
        <v>6934</v>
      </c>
      <c r="B4742" s="150" t="str">
        <f>IFERROR(VLOOKUP(Proc[[#This Row],[App]],Table2[],3,0),"open")</f>
        <v>ok</v>
      </c>
      <c r="C4742" s="149" t="s">
        <v>369</v>
      </c>
      <c r="D4742" t="s">
        <v>6944</v>
      </c>
      <c r="E4742" t="s">
        <v>6962</v>
      </c>
      <c r="F4742" s="150" t="s">
        <v>6962</v>
      </c>
      <c r="G4742" s="149" t="s">
        <v>400</v>
      </c>
      <c r="H4742" s="150" t="str">
        <f>IF(Proc[[#This Row],[type]]="LFF (MDG-F)",MID(Proc[[#This Row],[Obj]],13,10),"")</f>
        <v/>
      </c>
      <c r="J4742" s="150" t="b">
        <f>Proc[[#This Row],[Requested]]=Proc[[#This Row],[CurrentParent]]</f>
        <v>1</v>
      </c>
      <c r="K4742" s="150" t="str">
        <f>IF(Proc[[#This Row],[Author]]="Marcela Urrego",VLOOKUP(LEFT(Proc[[#This Row],[Requested]],1),Table3[#All],2,0),VLOOKUP(Proc[[#This Row],[Author]],Table4[],2,0))</f>
        <v>LS</v>
      </c>
      <c r="L4742" s="150" t="s">
        <v>6435</v>
      </c>
      <c r="M4742" s="170">
        <v>45983</v>
      </c>
      <c r="N4742" s="171"/>
      <c r="O4742" s="171"/>
      <c r="P4742" s="170" t="str">
        <f ca="1">IF(Proc[[#This Row],[DaysAgeing]]&gt;5,"yep","on track")</f>
        <v>yep</v>
      </c>
      <c r="Q4742" s="3">
        <f ca="1">IF(Proc[[#This Row],[DateClosed]]="",ABS(NETWORKDAYS(Proc[[#This Row],[DateOpened]],TODAY()))-1,ABS(NETWORKDAYS(Proc[[#This Row],[DateOpened]],Proc[[#This Row],[DateClosed]]))-1)</f>
        <v>19</v>
      </c>
      <c r="R4742" s="170" t="s">
        <v>489</v>
      </c>
      <c r="S4742" s="150"/>
    </row>
    <row r="4743" spans="1:19" hidden="1">
      <c r="A4743" s="149" t="s">
        <v>6934</v>
      </c>
      <c r="B4743" s="150" t="str">
        <f>IFERROR(VLOOKUP(Proc[[#This Row],[App]],Table2[],3,0),"open")</f>
        <v>ok</v>
      </c>
      <c r="C4743" s="149" t="s">
        <v>369</v>
      </c>
      <c r="D4743" t="s">
        <v>6945</v>
      </c>
      <c r="E4743" t="s">
        <v>6963</v>
      </c>
      <c r="F4743" s="150" t="s">
        <v>6963</v>
      </c>
      <c r="G4743" s="149" t="s">
        <v>400</v>
      </c>
      <c r="H4743" s="150" t="str">
        <f>IF(Proc[[#This Row],[type]]="LFF (MDG-F)",MID(Proc[[#This Row],[Obj]],13,10),"")</f>
        <v/>
      </c>
      <c r="J4743" s="150" t="b">
        <f>Proc[[#This Row],[Requested]]=Proc[[#This Row],[CurrentParent]]</f>
        <v>1</v>
      </c>
      <c r="K4743" s="150" t="str">
        <f>IF(Proc[[#This Row],[Author]]="Marcela Urrego",VLOOKUP(LEFT(Proc[[#This Row],[Requested]],1),Table3[#All],2,0),VLOOKUP(Proc[[#This Row],[Author]],Table4[],2,0))</f>
        <v>LS</v>
      </c>
      <c r="L4743" s="150" t="s">
        <v>6435</v>
      </c>
      <c r="M4743" s="170">
        <v>45983</v>
      </c>
      <c r="N4743" s="171"/>
      <c r="O4743" s="171"/>
      <c r="P4743" s="170" t="str">
        <f ca="1">IF(Proc[[#This Row],[DaysAgeing]]&gt;5,"yep","on track")</f>
        <v>yep</v>
      </c>
      <c r="Q4743" s="3">
        <f ca="1">IF(Proc[[#This Row],[DateClosed]]="",ABS(NETWORKDAYS(Proc[[#This Row],[DateOpened]],TODAY()))-1,ABS(NETWORKDAYS(Proc[[#This Row],[DateOpened]],Proc[[#This Row],[DateClosed]]))-1)</f>
        <v>19</v>
      </c>
      <c r="R4743" s="170" t="s">
        <v>489</v>
      </c>
      <c r="S4743" s="150"/>
    </row>
    <row r="4744" spans="1:19" hidden="1">
      <c r="A4744" s="149" t="s">
        <v>6934</v>
      </c>
      <c r="B4744" s="150" t="str">
        <f>IFERROR(VLOOKUP(Proc[[#This Row],[App]],Table2[],3,0),"open")</f>
        <v>ok</v>
      </c>
      <c r="C4744" s="149" t="s">
        <v>369</v>
      </c>
      <c r="D4744" t="s">
        <v>6946</v>
      </c>
      <c r="E4744" t="s">
        <v>6963</v>
      </c>
      <c r="F4744" s="150" t="s">
        <v>6963</v>
      </c>
      <c r="G4744" s="149" t="s">
        <v>400</v>
      </c>
      <c r="H4744" s="150" t="str">
        <f>IF(Proc[[#This Row],[type]]="LFF (MDG-F)",MID(Proc[[#This Row],[Obj]],13,10),"")</f>
        <v/>
      </c>
      <c r="J4744" s="150" t="b">
        <f>Proc[[#This Row],[Requested]]=Proc[[#This Row],[CurrentParent]]</f>
        <v>1</v>
      </c>
      <c r="K4744" s="150" t="str">
        <f>IF(Proc[[#This Row],[Author]]="Marcela Urrego",VLOOKUP(LEFT(Proc[[#This Row],[Requested]],1),Table3[#All],2,0),VLOOKUP(Proc[[#This Row],[Author]],Table4[],2,0))</f>
        <v>LS</v>
      </c>
      <c r="L4744" s="150" t="s">
        <v>6435</v>
      </c>
      <c r="M4744" s="170">
        <v>45983</v>
      </c>
      <c r="N4744" s="171"/>
      <c r="O4744" s="171"/>
      <c r="P4744" s="170" t="str">
        <f ca="1">IF(Proc[[#This Row],[DaysAgeing]]&gt;5,"yep","on track")</f>
        <v>yep</v>
      </c>
      <c r="Q4744" s="3">
        <f ca="1">IF(Proc[[#This Row],[DateClosed]]="",ABS(NETWORKDAYS(Proc[[#This Row],[DateOpened]],TODAY()))-1,ABS(NETWORKDAYS(Proc[[#This Row],[DateOpened]],Proc[[#This Row],[DateClosed]]))-1)</f>
        <v>19</v>
      </c>
      <c r="R4744" s="170" t="s">
        <v>489</v>
      </c>
      <c r="S4744" s="150"/>
    </row>
    <row r="4745" spans="1:19" hidden="1">
      <c r="A4745" s="149" t="s">
        <v>6934</v>
      </c>
      <c r="B4745" s="150" t="str">
        <f>IFERROR(VLOOKUP(Proc[[#This Row],[App]],Table2[],3,0),"open")</f>
        <v>ok</v>
      </c>
      <c r="C4745" s="149" t="s">
        <v>369</v>
      </c>
      <c r="D4745" t="s">
        <v>6947</v>
      </c>
      <c r="E4745" t="s">
        <v>6964</v>
      </c>
      <c r="F4745" s="150" t="s">
        <v>6964</v>
      </c>
      <c r="G4745" s="149" t="s">
        <v>406</v>
      </c>
      <c r="H4745" s="150" t="str">
        <f>IF(Proc[[#This Row],[type]]="LFF (MDG-F)",MID(Proc[[#This Row],[Obj]],13,10),"")</f>
        <v>2125C03326</v>
      </c>
      <c r="J4745" s="150" t="b">
        <f>Proc[[#This Row],[Requested]]=Proc[[#This Row],[CurrentParent]]</f>
        <v>1</v>
      </c>
      <c r="K4745" s="150" t="str">
        <f>IF(Proc[[#This Row],[Author]]="Marcela Urrego",VLOOKUP(LEFT(Proc[[#This Row],[Requested]],1),Table3[#All],2,0),VLOOKUP(Proc[[#This Row],[Author]],Table4[],2,0))</f>
        <v>LS</v>
      </c>
      <c r="L4745" s="150" t="s">
        <v>6435</v>
      </c>
      <c r="M4745" s="170">
        <v>45983</v>
      </c>
      <c r="N4745" s="171"/>
      <c r="O4745" s="171"/>
      <c r="P4745" s="170" t="str">
        <f ca="1">IF(Proc[[#This Row],[DaysAgeing]]&gt;5,"yep","on track")</f>
        <v>yep</v>
      </c>
      <c r="Q4745" s="3">
        <f ca="1">IF(Proc[[#This Row],[DateClosed]]="",ABS(NETWORKDAYS(Proc[[#This Row],[DateOpened]],TODAY()))-1,ABS(NETWORKDAYS(Proc[[#This Row],[DateOpened]],Proc[[#This Row],[DateClosed]]))-1)</f>
        <v>19</v>
      </c>
      <c r="R4745" s="170" t="s">
        <v>489</v>
      </c>
      <c r="S4745" s="150"/>
    </row>
    <row r="4746" spans="1:19" hidden="1">
      <c r="A4746" s="149" t="s">
        <v>6934</v>
      </c>
      <c r="B4746" s="150" t="str">
        <f>IFERROR(VLOOKUP(Proc[[#This Row],[App]],Table2[],3,0),"open")</f>
        <v>ok</v>
      </c>
      <c r="C4746" s="149" t="s">
        <v>369</v>
      </c>
      <c r="D4746" t="s">
        <v>6948</v>
      </c>
      <c r="E4746" t="s">
        <v>6965</v>
      </c>
      <c r="F4746" s="150" t="s">
        <v>6965</v>
      </c>
      <c r="G4746" s="149" t="s">
        <v>406</v>
      </c>
      <c r="H4746" s="150" t="str">
        <f>IF(Proc[[#This Row],[type]]="LFF (MDG-F)",MID(Proc[[#This Row],[Obj]],13,10),"")</f>
        <v>2022TQAZ93</v>
      </c>
      <c r="J4746" s="150" t="b">
        <f>Proc[[#This Row],[Requested]]=Proc[[#This Row],[CurrentParent]]</f>
        <v>1</v>
      </c>
      <c r="K4746" s="150" t="str">
        <f>IF(Proc[[#This Row],[Author]]="Marcela Urrego",VLOOKUP(LEFT(Proc[[#This Row],[Requested]],1),Table3[#All],2,0),VLOOKUP(Proc[[#This Row],[Author]],Table4[],2,0))</f>
        <v>LS</v>
      </c>
      <c r="L4746" s="150" t="s">
        <v>6435</v>
      </c>
      <c r="M4746" s="170">
        <v>45983</v>
      </c>
      <c r="N4746" s="171"/>
      <c r="O4746" s="171"/>
      <c r="P4746" s="170" t="str">
        <f ca="1">IF(Proc[[#This Row],[DaysAgeing]]&gt;5,"yep","on track")</f>
        <v>yep</v>
      </c>
      <c r="Q4746" s="3">
        <f ca="1">IF(Proc[[#This Row],[DateClosed]]="",ABS(NETWORKDAYS(Proc[[#This Row],[DateOpened]],TODAY()))-1,ABS(NETWORKDAYS(Proc[[#This Row],[DateOpened]],Proc[[#This Row],[DateClosed]]))-1)</f>
        <v>19</v>
      </c>
      <c r="R4746" s="170" t="s">
        <v>489</v>
      </c>
      <c r="S4746" s="150"/>
    </row>
    <row r="4747" spans="1:19" hidden="1">
      <c r="A4747" s="149" t="s">
        <v>6934</v>
      </c>
      <c r="B4747" s="150" t="str">
        <f>IFERROR(VLOOKUP(Proc[[#This Row],[App]],Table2[],3,0),"open")</f>
        <v>ok</v>
      </c>
      <c r="C4747" s="149" t="s">
        <v>369</v>
      </c>
      <c r="D4747" t="s">
        <v>6949</v>
      </c>
      <c r="E4747" t="s">
        <v>6966</v>
      </c>
      <c r="F4747" s="150" t="s">
        <v>6966</v>
      </c>
      <c r="G4747" s="149" t="s">
        <v>400</v>
      </c>
      <c r="H4747" s="150" t="str">
        <f>IF(Proc[[#This Row],[type]]="LFF (MDG-F)",MID(Proc[[#This Row],[Obj]],13,10),"")</f>
        <v/>
      </c>
      <c r="J4747" s="150" t="b">
        <f>Proc[[#This Row],[Requested]]=Proc[[#This Row],[CurrentParent]]</f>
        <v>1</v>
      </c>
      <c r="K4747" s="150" t="str">
        <f>IF(Proc[[#This Row],[Author]]="Marcela Urrego",VLOOKUP(LEFT(Proc[[#This Row],[Requested]],1),Table3[#All],2,0),VLOOKUP(Proc[[#This Row],[Author]],Table4[],2,0))</f>
        <v>LS</v>
      </c>
      <c r="L4747" s="150" t="s">
        <v>6435</v>
      </c>
      <c r="M4747" s="170">
        <v>45983</v>
      </c>
      <c r="N4747" s="171"/>
      <c r="O4747" s="171"/>
      <c r="P4747" s="170" t="str">
        <f ca="1">IF(Proc[[#This Row],[DaysAgeing]]&gt;5,"yep","on track")</f>
        <v>yep</v>
      </c>
      <c r="Q4747" s="3">
        <f ca="1">IF(Proc[[#This Row],[DateClosed]]="",ABS(NETWORKDAYS(Proc[[#This Row],[DateOpened]],TODAY()))-1,ABS(NETWORKDAYS(Proc[[#This Row],[DateOpened]],Proc[[#This Row],[DateClosed]]))-1)</f>
        <v>19</v>
      </c>
      <c r="R4747" s="170" t="s">
        <v>489</v>
      </c>
      <c r="S4747" s="150"/>
    </row>
    <row r="4748" spans="1:19" hidden="1">
      <c r="A4748" s="149" t="s">
        <v>6934</v>
      </c>
      <c r="B4748" s="150" t="str">
        <f>IFERROR(VLOOKUP(Proc[[#This Row],[App]],Table2[],3,0),"open")</f>
        <v>ok</v>
      </c>
      <c r="C4748" s="149" t="s">
        <v>369</v>
      </c>
      <c r="D4748" t="s">
        <v>6950</v>
      </c>
      <c r="E4748" t="s">
        <v>6966</v>
      </c>
      <c r="F4748" s="150" t="s">
        <v>6966</v>
      </c>
      <c r="G4748" s="149" t="s">
        <v>400</v>
      </c>
      <c r="H4748" s="150" t="str">
        <f>IF(Proc[[#This Row],[type]]="LFF (MDG-F)",MID(Proc[[#This Row],[Obj]],13,10),"")</f>
        <v/>
      </c>
      <c r="J4748" s="150" t="b">
        <f>Proc[[#This Row],[Requested]]=Proc[[#This Row],[CurrentParent]]</f>
        <v>1</v>
      </c>
      <c r="K4748" s="150" t="str">
        <f>IF(Proc[[#This Row],[Author]]="Marcela Urrego",VLOOKUP(LEFT(Proc[[#This Row],[Requested]],1),Table3[#All],2,0),VLOOKUP(Proc[[#This Row],[Author]],Table4[],2,0))</f>
        <v>LS</v>
      </c>
      <c r="L4748" s="150" t="s">
        <v>6435</v>
      </c>
      <c r="M4748" s="170">
        <v>45983</v>
      </c>
      <c r="N4748" s="171"/>
      <c r="O4748" s="171"/>
      <c r="P4748" s="170" t="str">
        <f ca="1">IF(Proc[[#This Row],[DaysAgeing]]&gt;5,"yep","on track")</f>
        <v>yep</v>
      </c>
      <c r="Q4748" s="3">
        <f ca="1">IF(Proc[[#This Row],[DateClosed]]="",ABS(NETWORKDAYS(Proc[[#This Row],[DateOpened]],TODAY()))-1,ABS(NETWORKDAYS(Proc[[#This Row],[DateOpened]],Proc[[#This Row],[DateClosed]]))-1)</f>
        <v>19</v>
      </c>
      <c r="R4748" s="170" t="s">
        <v>489</v>
      </c>
      <c r="S4748" s="150"/>
    </row>
    <row r="4749" spans="1:19" hidden="1">
      <c r="A4749" s="149" t="s">
        <v>6934</v>
      </c>
      <c r="B4749" s="150" t="str">
        <f>IFERROR(VLOOKUP(Proc[[#This Row],[App]],Table2[],3,0),"open")</f>
        <v>ok</v>
      </c>
      <c r="C4749" s="149" t="s">
        <v>369</v>
      </c>
      <c r="D4749" t="s">
        <v>6951</v>
      </c>
      <c r="E4749" t="s">
        <v>4797</v>
      </c>
      <c r="F4749" s="150" t="s">
        <v>4797</v>
      </c>
      <c r="G4749" s="149" t="s">
        <v>406</v>
      </c>
      <c r="H4749" s="150" t="str">
        <f>IF(Proc[[#This Row],[type]]="LFF (MDG-F)",MID(Proc[[#This Row],[Obj]],13,10),"")</f>
        <v>1937TQCZ91</v>
      </c>
      <c r="J4749" s="150" t="b">
        <f>Proc[[#This Row],[Requested]]=Proc[[#This Row],[CurrentParent]]</f>
        <v>1</v>
      </c>
      <c r="K4749" s="150" t="str">
        <f>IF(Proc[[#This Row],[Author]]="Marcela Urrego",VLOOKUP(LEFT(Proc[[#This Row],[Requested]],1),Table3[#All],2,0),VLOOKUP(Proc[[#This Row],[Author]],Table4[],2,0))</f>
        <v>LS</v>
      </c>
      <c r="L4749" s="150" t="s">
        <v>6435</v>
      </c>
      <c r="M4749" s="170">
        <v>45983</v>
      </c>
      <c r="N4749" s="171"/>
      <c r="O4749" s="171"/>
      <c r="P4749" s="170" t="str">
        <f ca="1">IF(Proc[[#This Row],[DaysAgeing]]&gt;5,"yep","on track")</f>
        <v>yep</v>
      </c>
      <c r="Q4749" s="3">
        <f ca="1">IF(Proc[[#This Row],[DateClosed]]="",ABS(NETWORKDAYS(Proc[[#This Row],[DateOpened]],TODAY()))-1,ABS(NETWORKDAYS(Proc[[#This Row],[DateOpened]],Proc[[#This Row],[DateClosed]]))-1)</f>
        <v>19</v>
      </c>
      <c r="R4749" s="170" t="s">
        <v>489</v>
      </c>
      <c r="S4749" s="150"/>
    </row>
    <row r="4750" spans="1:19" hidden="1">
      <c r="A4750" s="149" t="s">
        <v>6934</v>
      </c>
      <c r="B4750" s="150" t="str">
        <f>IFERROR(VLOOKUP(Proc[[#This Row],[App]],Table2[],3,0),"open")</f>
        <v>ok</v>
      </c>
      <c r="C4750" s="149" t="s">
        <v>369</v>
      </c>
      <c r="D4750" t="s">
        <v>6952</v>
      </c>
      <c r="E4750" t="s">
        <v>3615</v>
      </c>
      <c r="F4750" s="150" t="s">
        <v>3615</v>
      </c>
      <c r="G4750" s="149" t="s">
        <v>400</v>
      </c>
      <c r="H4750" s="150" t="str">
        <f>IF(Proc[[#This Row],[type]]="LFF (MDG-F)",MID(Proc[[#This Row],[Obj]],13,10),"")</f>
        <v/>
      </c>
      <c r="J4750" s="150" t="b">
        <f>Proc[[#This Row],[Requested]]=Proc[[#This Row],[CurrentParent]]</f>
        <v>1</v>
      </c>
      <c r="K4750" s="150" t="str">
        <f>IF(Proc[[#This Row],[Author]]="Marcela Urrego",VLOOKUP(LEFT(Proc[[#This Row],[Requested]],1),Table3[#All],2,0),VLOOKUP(Proc[[#This Row],[Author]],Table4[],2,0))</f>
        <v>LS</v>
      </c>
      <c r="L4750" s="150" t="s">
        <v>6435</v>
      </c>
      <c r="M4750" s="170">
        <v>45983</v>
      </c>
      <c r="N4750" s="171"/>
      <c r="O4750" s="171"/>
      <c r="P4750" s="170" t="str">
        <f ca="1">IF(Proc[[#This Row],[DaysAgeing]]&gt;5,"yep","on track")</f>
        <v>yep</v>
      </c>
      <c r="Q4750" s="3">
        <f ca="1">IF(Proc[[#This Row],[DateClosed]]="",ABS(NETWORKDAYS(Proc[[#This Row],[DateOpened]],TODAY()))-1,ABS(NETWORKDAYS(Proc[[#This Row],[DateOpened]],Proc[[#This Row],[DateClosed]]))-1)</f>
        <v>19</v>
      </c>
      <c r="R4750" s="170" t="s">
        <v>489</v>
      </c>
      <c r="S4750" s="150"/>
    </row>
    <row r="4751" spans="1:19" hidden="1">
      <c r="A4751" s="149" t="s">
        <v>6934</v>
      </c>
      <c r="B4751" s="150" t="str">
        <f>IFERROR(VLOOKUP(Proc[[#This Row],[App]],Table2[],3,0),"open")</f>
        <v>ok</v>
      </c>
      <c r="C4751" s="149" t="s">
        <v>369</v>
      </c>
      <c r="D4751" t="s">
        <v>6953</v>
      </c>
      <c r="E4751" t="s">
        <v>6473</v>
      </c>
      <c r="F4751" s="150" t="s">
        <v>6473</v>
      </c>
      <c r="G4751" s="149" t="s">
        <v>406</v>
      </c>
      <c r="H4751" s="150" t="str">
        <f>IF(Proc[[#This Row],[type]]="LFF (MDG-F)",MID(Proc[[#This Row],[Obj]],13,10),"")</f>
        <v>1937TMCZ9J</v>
      </c>
      <c r="J4751" s="150" t="b">
        <f>Proc[[#This Row],[Requested]]=Proc[[#This Row],[CurrentParent]]</f>
        <v>1</v>
      </c>
      <c r="K4751" s="150" t="str">
        <f>IF(Proc[[#This Row],[Author]]="Marcela Urrego",VLOOKUP(LEFT(Proc[[#This Row],[Requested]],1),Table3[#All],2,0),VLOOKUP(Proc[[#This Row],[Author]],Table4[],2,0))</f>
        <v>LS</v>
      </c>
      <c r="L4751" s="150" t="s">
        <v>6435</v>
      </c>
      <c r="M4751" s="170">
        <v>45983</v>
      </c>
      <c r="N4751" s="171"/>
      <c r="O4751" s="171"/>
      <c r="P4751" s="170" t="str">
        <f ca="1">IF(Proc[[#This Row],[DaysAgeing]]&gt;5,"yep","on track")</f>
        <v>yep</v>
      </c>
      <c r="Q4751" s="3">
        <f ca="1">IF(Proc[[#This Row],[DateClosed]]="",ABS(NETWORKDAYS(Proc[[#This Row],[DateOpened]],TODAY()))-1,ABS(NETWORKDAYS(Proc[[#This Row],[DateOpened]],Proc[[#This Row],[DateClosed]]))-1)</f>
        <v>19</v>
      </c>
      <c r="R4751" s="170" t="s">
        <v>489</v>
      </c>
      <c r="S4751" s="150"/>
    </row>
    <row r="4752" spans="1:19" hidden="1">
      <c r="A4752" t="s">
        <v>6968</v>
      </c>
      <c r="B4752" s="150" t="str">
        <f>IFERROR(VLOOKUP(Proc[[#This Row],[App]],Table2[],3,0),"open")</f>
        <v>ok</v>
      </c>
      <c r="C4752" s="149" t="s">
        <v>369</v>
      </c>
      <c r="D4752" t="s">
        <v>6969</v>
      </c>
      <c r="E4752" t="s">
        <v>6972</v>
      </c>
      <c r="F4752" s="150" t="s">
        <v>6972</v>
      </c>
      <c r="G4752" t="s">
        <v>400</v>
      </c>
      <c r="H4752" s="150" t="str">
        <f>IF(Proc[[#This Row],[type]]="LFF (MDG-F)",MID(Proc[[#This Row],[Obj]],13,10),"")</f>
        <v/>
      </c>
      <c r="J4752" s="150" t="b">
        <f>Proc[[#This Row],[Requested]]=Proc[[#This Row],[CurrentParent]]</f>
        <v>1</v>
      </c>
      <c r="K4752" s="150" t="str">
        <f>IF(Proc[[#This Row],[Author]]="Marcela Urrego",VLOOKUP(LEFT(Proc[[#This Row],[Requested]],1),Table3[#All],2,0),VLOOKUP(Proc[[#This Row],[Author]],Table4[],2,0))</f>
        <v>MGF</v>
      </c>
      <c r="L4752" s="150" t="s">
        <v>6435</v>
      </c>
      <c r="M4752" s="171">
        <v>45985</v>
      </c>
      <c r="N4752" s="171"/>
      <c r="O4752" s="171"/>
      <c r="P4752" s="172" t="str">
        <f ca="1">IF(Proc[[#This Row],[DaysAgeing]]&gt;5,"yep","on track")</f>
        <v>yep</v>
      </c>
      <c r="Q4752" s="3">
        <f ca="1">IF(Proc[[#This Row],[DateClosed]]="",ABS(NETWORKDAYS(Proc[[#This Row],[DateOpened]],TODAY()))-1,ABS(NETWORKDAYS(Proc[[#This Row],[DateOpened]],Proc[[#This Row],[DateClosed]]))-1)</f>
        <v>19</v>
      </c>
      <c r="R4752" s="172" t="s">
        <v>515</v>
      </c>
      <c r="S4752" s="150"/>
    </row>
    <row r="4753" spans="1:19" hidden="1">
      <c r="A4753" t="s">
        <v>6968</v>
      </c>
      <c r="B4753" s="150" t="str">
        <f>IFERROR(VLOOKUP(Proc[[#This Row],[App]],Table2[],3,0),"open")</f>
        <v>ok</v>
      </c>
      <c r="C4753" s="149" t="s">
        <v>369</v>
      </c>
      <c r="D4753" t="s">
        <v>6970</v>
      </c>
      <c r="E4753" t="s">
        <v>6973</v>
      </c>
      <c r="F4753" s="150" t="s">
        <v>6973</v>
      </c>
      <c r="G4753" t="s">
        <v>400</v>
      </c>
      <c r="H4753" s="150" t="str">
        <f>IF(Proc[[#This Row],[type]]="LFF (MDG-F)",MID(Proc[[#This Row],[Obj]],13,10),"")</f>
        <v/>
      </c>
      <c r="J4753" s="150" t="b">
        <f>Proc[[#This Row],[Requested]]=Proc[[#This Row],[CurrentParent]]</f>
        <v>1</v>
      </c>
      <c r="K4753" s="150" t="str">
        <f>IF(Proc[[#This Row],[Author]]="Marcela Urrego",VLOOKUP(LEFT(Proc[[#This Row],[Requested]],1),Table3[#All],2,0),VLOOKUP(Proc[[#This Row],[Author]],Table4[],2,0))</f>
        <v>MGF</v>
      </c>
      <c r="L4753" s="150" t="s">
        <v>6435</v>
      </c>
      <c r="M4753" s="171">
        <v>45985</v>
      </c>
      <c r="N4753" s="171"/>
      <c r="O4753" s="171"/>
      <c r="P4753" s="172" t="str">
        <f ca="1">IF(Proc[[#This Row],[DaysAgeing]]&gt;5,"yep","on track")</f>
        <v>yep</v>
      </c>
      <c r="Q4753" s="3">
        <f ca="1">IF(Proc[[#This Row],[DateClosed]]="",ABS(NETWORKDAYS(Proc[[#This Row],[DateOpened]],TODAY()))-1,ABS(NETWORKDAYS(Proc[[#This Row],[DateOpened]],Proc[[#This Row],[DateClosed]]))-1)</f>
        <v>19</v>
      </c>
      <c r="R4753" s="172" t="s">
        <v>515</v>
      </c>
      <c r="S4753" s="150"/>
    </row>
    <row r="4754" spans="1:19" hidden="1">
      <c r="A4754" t="s">
        <v>6968</v>
      </c>
      <c r="B4754" s="150" t="str">
        <f>IFERROR(VLOOKUP(Proc[[#This Row],[App]],Table2[],3,0),"open")</f>
        <v>ok</v>
      </c>
      <c r="C4754" s="149" t="s">
        <v>369</v>
      </c>
      <c r="D4754" t="s">
        <v>6971</v>
      </c>
      <c r="E4754" t="s">
        <v>6973</v>
      </c>
      <c r="F4754" s="150" t="s">
        <v>6973</v>
      </c>
      <c r="G4754" t="s">
        <v>400</v>
      </c>
      <c r="H4754" s="150" t="str">
        <f>IF(Proc[[#This Row],[type]]="LFF (MDG-F)",MID(Proc[[#This Row],[Obj]],13,10),"")</f>
        <v/>
      </c>
      <c r="J4754" s="150" t="b">
        <f>Proc[[#This Row],[Requested]]=Proc[[#This Row],[CurrentParent]]</f>
        <v>1</v>
      </c>
      <c r="K4754" s="150" t="str">
        <f>IF(Proc[[#This Row],[Author]]="Marcela Urrego",VLOOKUP(LEFT(Proc[[#This Row],[Requested]],1),Table3[#All],2,0),VLOOKUP(Proc[[#This Row],[Author]],Table4[],2,0))</f>
        <v>MGF</v>
      </c>
      <c r="L4754" s="150" t="s">
        <v>6435</v>
      </c>
      <c r="M4754" s="171">
        <v>45985</v>
      </c>
      <c r="N4754" s="171"/>
      <c r="O4754" s="171"/>
      <c r="P4754" s="172" t="str">
        <f ca="1">IF(Proc[[#This Row],[DaysAgeing]]&gt;5,"yep","on track")</f>
        <v>yep</v>
      </c>
      <c r="Q4754" s="3">
        <f ca="1">IF(Proc[[#This Row],[DateClosed]]="",ABS(NETWORKDAYS(Proc[[#This Row],[DateOpened]],TODAY()))-1,ABS(NETWORKDAYS(Proc[[#This Row],[DateOpened]],Proc[[#This Row],[DateClosed]]))-1)</f>
        <v>19</v>
      </c>
      <c r="R4754" s="172" t="s">
        <v>515</v>
      </c>
      <c r="S4754" s="150"/>
    </row>
    <row r="4755" spans="1:19" hidden="1">
      <c r="A4755" t="s">
        <v>6974</v>
      </c>
      <c r="B4755" s="150" t="str">
        <f>IFERROR(VLOOKUP(Proc[[#This Row],[App]],Table2[],3,0),"open")</f>
        <v>ok</v>
      </c>
      <c r="C4755" s="149" t="s">
        <v>369</v>
      </c>
      <c r="D4755" t="s">
        <v>6751</v>
      </c>
      <c r="E4755" t="s">
        <v>6983</v>
      </c>
      <c r="F4755" s="150" t="s">
        <v>6983</v>
      </c>
      <c r="G4755" t="s">
        <v>406</v>
      </c>
      <c r="H4755" s="150" t="str">
        <f>IF(Proc[[#This Row],[type]]="LFF (MDG-F)",MID(Proc[[#This Row],[Obj]],13,10),"")</f>
        <v>CN01TPAZ08</v>
      </c>
      <c r="J4755" s="150" t="b">
        <f>Proc[[#This Row],[Requested]]=Proc[[#This Row],[CurrentParent]]</f>
        <v>1</v>
      </c>
      <c r="K4755" s="150" t="str">
        <f>IF(Proc[[#This Row],[Author]]="Marcela Urrego",VLOOKUP(LEFT(Proc[[#This Row],[Requested]],1),Table3[#All],2,0),VLOOKUP(Proc[[#This Row],[Author]],Table4[],2,0))</f>
        <v>EL</v>
      </c>
      <c r="L4755" s="150" t="s">
        <v>6435</v>
      </c>
      <c r="M4755" s="171">
        <v>45985</v>
      </c>
      <c r="N4755" s="171"/>
      <c r="O4755" s="171"/>
      <c r="P4755" s="172" t="str">
        <f ca="1">IF(Proc[[#This Row],[DaysAgeing]]&gt;5,"yep","on track")</f>
        <v>yep</v>
      </c>
      <c r="Q4755" s="3">
        <f ca="1">IF(Proc[[#This Row],[DateClosed]]="",ABS(NETWORKDAYS(Proc[[#This Row],[DateOpened]],TODAY()))-1,ABS(NETWORKDAYS(Proc[[#This Row],[DateOpened]],Proc[[#This Row],[DateClosed]]))-1)</f>
        <v>19</v>
      </c>
      <c r="R4755" s="172" t="s">
        <v>5709</v>
      </c>
      <c r="S4755" s="150"/>
    </row>
    <row r="4756" spans="1:19" hidden="1">
      <c r="A4756" t="s">
        <v>6974</v>
      </c>
      <c r="B4756" s="150" t="str">
        <f>IFERROR(VLOOKUP(Proc[[#This Row],[App]],Table2[],3,0),"open")</f>
        <v>ok</v>
      </c>
      <c r="C4756" s="149" t="s">
        <v>369</v>
      </c>
      <c r="D4756" t="s">
        <v>6752</v>
      </c>
      <c r="E4756" s="149" t="s">
        <v>6983</v>
      </c>
      <c r="F4756" s="150" t="s">
        <v>6983</v>
      </c>
      <c r="G4756" t="s">
        <v>406</v>
      </c>
      <c r="H4756" s="150" t="str">
        <f>IF(Proc[[#This Row],[type]]="LFF (MDG-F)",MID(Proc[[#This Row],[Obj]],13,10),"")</f>
        <v>CN01OF0161</v>
      </c>
      <c r="J4756" s="150" t="b">
        <f>Proc[[#This Row],[Requested]]=Proc[[#This Row],[CurrentParent]]</f>
        <v>1</v>
      </c>
      <c r="K4756" s="150" t="str">
        <f>IF(Proc[[#This Row],[Author]]="Marcela Urrego",VLOOKUP(LEFT(Proc[[#This Row],[Requested]],1),Table3[#All],2,0),VLOOKUP(Proc[[#This Row],[Author]],Table4[],2,0))</f>
        <v>EL</v>
      </c>
      <c r="L4756" s="150" t="s">
        <v>6435</v>
      </c>
      <c r="M4756" s="171">
        <v>45985</v>
      </c>
      <c r="N4756" s="171"/>
      <c r="O4756" s="171"/>
      <c r="P4756" s="172" t="str">
        <f ca="1">IF(Proc[[#This Row],[DaysAgeing]]&gt;5,"yep","on track")</f>
        <v>yep</v>
      </c>
      <c r="Q4756" s="3">
        <f ca="1">IF(Proc[[#This Row],[DateClosed]]="",ABS(NETWORKDAYS(Proc[[#This Row],[DateOpened]],TODAY()))-1,ABS(NETWORKDAYS(Proc[[#This Row],[DateOpened]],Proc[[#This Row],[DateClosed]]))-1)</f>
        <v>19</v>
      </c>
      <c r="R4756" s="172" t="s">
        <v>5709</v>
      </c>
      <c r="S4756" s="150"/>
    </row>
    <row r="4757" spans="1:19" hidden="1">
      <c r="A4757" s="149" t="s">
        <v>6974</v>
      </c>
      <c r="B4757" s="150" t="str">
        <f>IFERROR(VLOOKUP(Proc[[#This Row],[App]],Table2[],3,0),"open")</f>
        <v>ok</v>
      </c>
      <c r="C4757" s="149" t="s">
        <v>369</v>
      </c>
      <c r="D4757" t="s">
        <v>6753</v>
      </c>
      <c r="E4757" s="149" t="s">
        <v>6983</v>
      </c>
      <c r="F4757" s="150" t="s">
        <v>6983</v>
      </c>
      <c r="G4757" s="149" t="s">
        <v>406</v>
      </c>
      <c r="H4757" s="150" t="str">
        <f>IF(Proc[[#This Row],[type]]="LFF (MDG-F)",MID(Proc[[#This Row],[Obj]],13,10),"")</f>
        <v>CN01TPAZ06</v>
      </c>
      <c r="J4757" s="150" t="b">
        <f>Proc[[#This Row],[Requested]]=Proc[[#This Row],[CurrentParent]]</f>
        <v>1</v>
      </c>
      <c r="K4757" s="150" t="str">
        <f>IF(Proc[[#This Row],[Author]]="Marcela Urrego",VLOOKUP(LEFT(Proc[[#This Row],[Requested]],1),Table3[#All],2,0),VLOOKUP(Proc[[#This Row],[Author]],Table4[],2,0))</f>
        <v>EL</v>
      </c>
      <c r="L4757" s="150" t="s">
        <v>6435</v>
      </c>
      <c r="M4757" s="171">
        <v>45985</v>
      </c>
      <c r="N4757" s="171"/>
      <c r="O4757" s="171"/>
      <c r="P4757" s="172" t="str">
        <f ca="1">IF(Proc[[#This Row],[DaysAgeing]]&gt;5,"yep","on track")</f>
        <v>yep</v>
      </c>
      <c r="Q4757" s="3">
        <f ca="1">IF(Proc[[#This Row],[DateClosed]]="",ABS(NETWORKDAYS(Proc[[#This Row],[DateOpened]],TODAY()))-1,ABS(NETWORKDAYS(Proc[[#This Row],[DateOpened]],Proc[[#This Row],[DateClosed]]))-1)</f>
        <v>19</v>
      </c>
      <c r="R4757" s="172" t="s">
        <v>5709</v>
      </c>
      <c r="S4757" s="150"/>
    </row>
    <row r="4758" spans="1:19" hidden="1">
      <c r="A4758" s="149" t="s">
        <v>6974</v>
      </c>
      <c r="B4758" s="150" t="str">
        <f>IFERROR(VLOOKUP(Proc[[#This Row],[App]],Table2[],3,0),"open")</f>
        <v>ok</v>
      </c>
      <c r="C4758" s="149" t="s">
        <v>369</v>
      </c>
      <c r="D4758" t="s">
        <v>6754</v>
      </c>
      <c r="E4758" s="149" t="s">
        <v>6983</v>
      </c>
      <c r="F4758" s="150" t="s">
        <v>6983</v>
      </c>
      <c r="G4758" s="149" t="s">
        <v>406</v>
      </c>
      <c r="H4758" s="150" t="str">
        <f>IF(Proc[[#This Row],[type]]="LFF (MDG-F)",MID(Proc[[#This Row],[Obj]],13,10),"")</f>
        <v>CN02TPZZ05</v>
      </c>
      <c r="J4758" s="150" t="b">
        <f>Proc[[#This Row],[Requested]]=Proc[[#This Row],[CurrentParent]]</f>
        <v>1</v>
      </c>
      <c r="K4758" s="150" t="str">
        <f>IF(Proc[[#This Row],[Author]]="Marcela Urrego",VLOOKUP(LEFT(Proc[[#This Row],[Requested]],1),Table3[#All],2,0),VLOOKUP(Proc[[#This Row],[Author]],Table4[],2,0))</f>
        <v>EL</v>
      </c>
      <c r="L4758" s="150" t="s">
        <v>6435</v>
      </c>
      <c r="M4758" s="171">
        <v>45985</v>
      </c>
      <c r="N4758" s="171"/>
      <c r="O4758" s="171"/>
      <c r="P4758" s="172" t="str">
        <f ca="1">IF(Proc[[#This Row],[DaysAgeing]]&gt;5,"yep","on track")</f>
        <v>yep</v>
      </c>
      <c r="Q4758" s="3">
        <f ca="1">IF(Proc[[#This Row],[DateClosed]]="",ABS(NETWORKDAYS(Proc[[#This Row],[DateOpened]],TODAY()))-1,ABS(NETWORKDAYS(Proc[[#This Row],[DateOpened]],Proc[[#This Row],[DateClosed]]))-1)</f>
        <v>19</v>
      </c>
      <c r="R4758" s="172" t="s">
        <v>5709</v>
      </c>
      <c r="S4758" s="150"/>
    </row>
    <row r="4759" spans="1:19" hidden="1">
      <c r="A4759" s="149" t="s">
        <v>6974</v>
      </c>
      <c r="B4759" s="150" t="str">
        <f>IFERROR(VLOOKUP(Proc[[#This Row],[App]],Table2[],3,0),"open")</f>
        <v>ok</v>
      </c>
      <c r="C4759" s="149" t="s">
        <v>369</v>
      </c>
      <c r="D4759" t="s">
        <v>6755</v>
      </c>
      <c r="E4759" s="149" t="s">
        <v>6983</v>
      </c>
      <c r="F4759" s="150" t="s">
        <v>6983</v>
      </c>
      <c r="G4759" s="149" t="s">
        <v>406</v>
      </c>
      <c r="H4759" s="150" t="str">
        <f>IF(Proc[[#This Row],[type]]="LFF (MDG-F)",MID(Proc[[#This Row],[Obj]],13,10),"")</f>
        <v>CN02TPZZ08</v>
      </c>
      <c r="J4759" s="150" t="b">
        <f>Proc[[#This Row],[Requested]]=Proc[[#This Row],[CurrentParent]]</f>
        <v>1</v>
      </c>
      <c r="K4759" s="150" t="str">
        <f>IF(Proc[[#This Row],[Author]]="Marcela Urrego",VLOOKUP(LEFT(Proc[[#This Row],[Requested]],1),Table3[#All],2,0),VLOOKUP(Proc[[#This Row],[Author]],Table4[],2,0))</f>
        <v>EL</v>
      </c>
      <c r="L4759" s="150" t="s">
        <v>6435</v>
      </c>
      <c r="M4759" s="171">
        <v>45985</v>
      </c>
      <c r="N4759" s="171"/>
      <c r="O4759" s="171"/>
      <c r="P4759" s="172" t="str">
        <f ca="1">IF(Proc[[#This Row],[DaysAgeing]]&gt;5,"yep","on track")</f>
        <v>yep</v>
      </c>
      <c r="Q4759" s="3">
        <f ca="1">IF(Proc[[#This Row],[DateClosed]]="",ABS(NETWORKDAYS(Proc[[#This Row],[DateOpened]],TODAY()))-1,ABS(NETWORKDAYS(Proc[[#This Row],[DateOpened]],Proc[[#This Row],[DateClosed]]))-1)</f>
        <v>19</v>
      </c>
      <c r="R4759" s="172" t="s">
        <v>5709</v>
      </c>
      <c r="S4759" s="150"/>
    </row>
    <row r="4760" spans="1:19" hidden="1">
      <c r="A4760" s="149" t="s">
        <v>6974</v>
      </c>
      <c r="B4760" s="150" t="str">
        <f>IFERROR(VLOOKUP(Proc[[#This Row],[App]],Table2[],3,0),"open")</f>
        <v>ok</v>
      </c>
      <c r="C4760" s="149" t="s">
        <v>369</v>
      </c>
      <c r="D4760" t="s">
        <v>6756</v>
      </c>
      <c r="E4760" s="149" t="s">
        <v>6983</v>
      </c>
      <c r="F4760" s="150" t="s">
        <v>6983</v>
      </c>
      <c r="G4760" s="149" t="s">
        <v>406</v>
      </c>
      <c r="H4760" s="150" t="str">
        <f>IF(Proc[[#This Row],[type]]="LFF (MDG-F)",MID(Proc[[#This Row],[Obj]],13,10),"")</f>
        <v>CN03TPZZ01</v>
      </c>
      <c r="J4760" s="150" t="b">
        <f>Proc[[#This Row],[Requested]]=Proc[[#This Row],[CurrentParent]]</f>
        <v>1</v>
      </c>
      <c r="K4760" s="150" t="str">
        <f>IF(Proc[[#This Row],[Author]]="Marcela Urrego",VLOOKUP(LEFT(Proc[[#This Row],[Requested]],1),Table3[#All],2,0),VLOOKUP(Proc[[#This Row],[Author]],Table4[],2,0))</f>
        <v>EL</v>
      </c>
      <c r="L4760" s="150" t="s">
        <v>6435</v>
      </c>
      <c r="M4760" s="171">
        <v>45985</v>
      </c>
      <c r="N4760" s="171"/>
      <c r="O4760" s="171"/>
      <c r="P4760" s="172" t="str">
        <f ca="1">IF(Proc[[#This Row],[DaysAgeing]]&gt;5,"yep","on track")</f>
        <v>yep</v>
      </c>
      <c r="Q4760" s="3">
        <f ca="1">IF(Proc[[#This Row],[DateClosed]]="",ABS(NETWORKDAYS(Proc[[#This Row],[DateOpened]],TODAY()))-1,ABS(NETWORKDAYS(Proc[[#This Row],[DateOpened]],Proc[[#This Row],[DateClosed]]))-1)</f>
        <v>19</v>
      </c>
      <c r="R4760" s="172" t="s">
        <v>5709</v>
      </c>
      <c r="S4760" s="150"/>
    </row>
    <row r="4761" spans="1:19" hidden="1">
      <c r="A4761" s="149" t="s">
        <v>6974</v>
      </c>
      <c r="B4761" s="150" t="str">
        <f>IFERROR(VLOOKUP(Proc[[#This Row],[App]],Table2[],3,0),"open")</f>
        <v>ok</v>
      </c>
      <c r="C4761" s="149" t="s">
        <v>369</v>
      </c>
      <c r="D4761" t="s">
        <v>6757</v>
      </c>
      <c r="E4761" s="149" t="s">
        <v>6983</v>
      </c>
      <c r="F4761" s="150" t="s">
        <v>6983</v>
      </c>
      <c r="G4761" s="149" t="s">
        <v>406</v>
      </c>
      <c r="H4761" s="150" t="str">
        <f>IF(Proc[[#This Row],[type]]="LFF (MDG-F)",MID(Proc[[#This Row],[Obj]],13,10),"")</f>
        <v>CN03TPZZ03</v>
      </c>
      <c r="J4761" s="150" t="b">
        <f>Proc[[#This Row],[Requested]]=Proc[[#This Row],[CurrentParent]]</f>
        <v>1</v>
      </c>
      <c r="K4761" s="150" t="str">
        <f>IF(Proc[[#This Row],[Author]]="Marcela Urrego",VLOOKUP(LEFT(Proc[[#This Row],[Requested]],1),Table3[#All],2,0),VLOOKUP(Proc[[#This Row],[Author]],Table4[],2,0))</f>
        <v>EL</v>
      </c>
      <c r="L4761" s="150" t="s">
        <v>6435</v>
      </c>
      <c r="M4761" s="171">
        <v>45985</v>
      </c>
      <c r="N4761" s="171"/>
      <c r="O4761" s="171"/>
      <c r="P4761" s="172" t="str">
        <f ca="1">IF(Proc[[#This Row],[DaysAgeing]]&gt;5,"yep","on track")</f>
        <v>yep</v>
      </c>
      <c r="Q4761" s="3">
        <f ca="1">IF(Proc[[#This Row],[DateClosed]]="",ABS(NETWORKDAYS(Proc[[#This Row],[DateOpened]],TODAY()))-1,ABS(NETWORKDAYS(Proc[[#This Row],[DateOpened]],Proc[[#This Row],[DateClosed]]))-1)</f>
        <v>19</v>
      </c>
      <c r="R4761" s="172" t="s">
        <v>5709</v>
      </c>
      <c r="S4761" s="150"/>
    </row>
    <row r="4762" spans="1:19" hidden="1">
      <c r="A4762" s="149" t="s">
        <v>6974</v>
      </c>
      <c r="B4762" s="150" t="str">
        <f>IFERROR(VLOOKUP(Proc[[#This Row],[App]],Table2[],3,0),"open")</f>
        <v>ok</v>
      </c>
      <c r="C4762" s="149" t="s">
        <v>369</v>
      </c>
      <c r="D4762" t="s">
        <v>6758</v>
      </c>
      <c r="E4762" s="149" t="s">
        <v>6983</v>
      </c>
      <c r="F4762" s="150" t="s">
        <v>6983</v>
      </c>
      <c r="G4762" s="149" t="s">
        <v>406</v>
      </c>
      <c r="H4762" s="150" t="str">
        <f>IF(Proc[[#This Row],[type]]="LFF (MDG-F)",MID(Proc[[#This Row],[Obj]],13,10),"")</f>
        <v>CN02TPZZ02</v>
      </c>
      <c r="J4762" s="150" t="b">
        <f>Proc[[#This Row],[Requested]]=Proc[[#This Row],[CurrentParent]]</f>
        <v>1</v>
      </c>
      <c r="K4762" s="150" t="str">
        <f>IF(Proc[[#This Row],[Author]]="Marcela Urrego",VLOOKUP(LEFT(Proc[[#This Row],[Requested]],1),Table3[#All],2,0),VLOOKUP(Proc[[#This Row],[Author]],Table4[],2,0))</f>
        <v>EL</v>
      </c>
      <c r="L4762" s="150" t="s">
        <v>6435</v>
      </c>
      <c r="M4762" s="171">
        <v>45985</v>
      </c>
      <c r="N4762" s="171"/>
      <c r="O4762" s="171"/>
      <c r="P4762" s="172" t="str">
        <f ca="1">IF(Proc[[#This Row],[DaysAgeing]]&gt;5,"yep","on track")</f>
        <v>yep</v>
      </c>
      <c r="Q4762" s="3">
        <f ca="1">IF(Proc[[#This Row],[DateClosed]]="",ABS(NETWORKDAYS(Proc[[#This Row],[DateOpened]],TODAY()))-1,ABS(NETWORKDAYS(Proc[[#This Row],[DateOpened]],Proc[[#This Row],[DateClosed]]))-1)</f>
        <v>19</v>
      </c>
      <c r="R4762" s="172" t="s">
        <v>5709</v>
      </c>
      <c r="S4762" s="150"/>
    </row>
    <row r="4763" spans="1:19" hidden="1">
      <c r="A4763" s="149" t="s">
        <v>6974</v>
      </c>
      <c r="B4763" s="150" t="str">
        <f>IFERROR(VLOOKUP(Proc[[#This Row],[App]],Table2[],3,0),"open")</f>
        <v>ok</v>
      </c>
      <c r="C4763" s="149" t="s">
        <v>369</v>
      </c>
      <c r="D4763" t="s">
        <v>6759</v>
      </c>
      <c r="E4763" s="149" t="s">
        <v>6983</v>
      </c>
      <c r="F4763" s="150" t="s">
        <v>6983</v>
      </c>
      <c r="G4763" s="149" t="s">
        <v>406</v>
      </c>
      <c r="H4763" s="150" t="str">
        <f>IF(Proc[[#This Row],[type]]="LFF (MDG-F)",MID(Proc[[#This Row],[Obj]],13,10),"")</f>
        <v>CN02TQ1001</v>
      </c>
      <c r="J4763" s="150" t="b">
        <f>Proc[[#This Row],[Requested]]=Proc[[#This Row],[CurrentParent]]</f>
        <v>1</v>
      </c>
      <c r="K4763" s="150" t="str">
        <f>IF(Proc[[#This Row],[Author]]="Marcela Urrego",VLOOKUP(LEFT(Proc[[#This Row],[Requested]],1),Table3[#All],2,0),VLOOKUP(Proc[[#This Row],[Author]],Table4[],2,0))</f>
        <v>EL</v>
      </c>
      <c r="L4763" s="150" t="s">
        <v>6435</v>
      </c>
      <c r="M4763" s="171">
        <v>45985</v>
      </c>
      <c r="N4763" s="171"/>
      <c r="O4763" s="171"/>
      <c r="P4763" s="172" t="str">
        <f ca="1">IF(Proc[[#This Row],[DaysAgeing]]&gt;5,"yep","on track")</f>
        <v>yep</v>
      </c>
      <c r="Q4763" s="3">
        <f ca="1">IF(Proc[[#This Row],[DateClosed]]="",ABS(NETWORKDAYS(Proc[[#This Row],[DateOpened]],TODAY()))-1,ABS(NETWORKDAYS(Proc[[#This Row],[DateOpened]],Proc[[#This Row],[DateClosed]]))-1)</f>
        <v>19</v>
      </c>
      <c r="R4763" s="172" t="s">
        <v>5709</v>
      </c>
      <c r="S4763" s="150"/>
    </row>
    <row r="4764" spans="1:19" hidden="1">
      <c r="A4764" s="149" t="s">
        <v>6974</v>
      </c>
      <c r="B4764" s="150" t="str">
        <f>IFERROR(VLOOKUP(Proc[[#This Row],[App]],Table2[],3,0),"open")</f>
        <v>ok</v>
      </c>
      <c r="C4764" s="149" t="s">
        <v>369</v>
      </c>
      <c r="D4764" t="s">
        <v>6760</v>
      </c>
      <c r="E4764" s="149" t="s">
        <v>6983</v>
      </c>
      <c r="F4764" s="150" t="s">
        <v>6983</v>
      </c>
      <c r="G4764" s="149" t="s">
        <v>406</v>
      </c>
      <c r="H4764" s="150" t="str">
        <f>IF(Proc[[#This Row],[type]]="LFF (MDG-F)",MID(Proc[[#This Row],[Obj]],13,10),"")</f>
        <v>CN02TQ1002</v>
      </c>
      <c r="J4764" s="150" t="b">
        <f>Proc[[#This Row],[Requested]]=Proc[[#This Row],[CurrentParent]]</f>
        <v>1</v>
      </c>
      <c r="K4764" s="150" t="str">
        <f>IF(Proc[[#This Row],[Author]]="Marcela Urrego",VLOOKUP(LEFT(Proc[[#This Row],[Requested]],1),Table3[#All],2,0),VLOOKUP(Proc[[#This Row],[Author]],Table4[],2,0))</f>
        <v>EL</v>
      </c>
      <c r="L4764" s="150" t="s">
        <v>6435</v>
      </c>
      <c r="M4764" s="171">
        <v>45985</v>
      </c>
      <c r="N4764" s="171"/>
      <c r="O4764" s="171"/>
      <c r="P4764" s="172" t="str">
        <f ca="1">IF(Proc[[#This Row],[DaysAgeing]]&gt;5,"yep","on track")</f>
        <v>yep</v>
      </c>
      <c r="Q4764" s="3">
        <f ca="1">IF(Proc[[#This Row],[DateClosed]]="",ABS(NETWORKDAYS(Proc[[#This Row],[DateOpened]],TODAY()))-1,ABS(NETWORKDAYS(Proc[[#This Row],[DateOpened]],Proc[[#This Row],[DateClosed]]))-1)</f>
        <v>19</v>
      </c>
      <c r="R4764" s="172" t="s">
        <v>5709</v>
      </c>
      <c r="S4764" s="150"/>
    </row>
    <row r="4765" spans="1:19" hidden="1">
      <c r="A4765" s="149" t="s">
        <v>6974</v>
      </c>
      <c r="B4765" s="150" t="str">
        <f>IFERROR(VLOOKUP(Proc[[#This Row],[App]],Table2[],3,0),"open")</f>
        <v>ok</v>
      </c>
      <c r="C4765" s="149" t="s">
        <v>369</v>
      </c>
      <c r="D4765" t="s">
        <v>6761</v>
      </c>
      <c r="E4765" s="149" t="s">
        <v>6983</v>
      </c>
      <c r="F4765" s="150" t="s">
        <v>6983</v>
      </c>
      <c r="G4765" s="149" t="s">
        <v>406</v>
      </c>
      <c r="H4765" s="150" t="str">
        <f>IF(Proc[[#This Row],[type]]="LFF (MDG-F)",MID(Proc[[#This Row],[Obj]],13,10),"")</f>
        <v>CN02TQ1003</v>
      </c>
      <c r="J4765" s="150" t="b">
        <f>Proc[[#This Row],[Requested]]=Proc[[#This Row],[CurrentParent]]</f>
        <v>1</v>
      </c>
      <c r="K4765" s="150" t="str">
        <f>IF(Proc[[#This Row],[Author]]="Marcela Urrego",VLOOKUP(LEFT(Proc[[#This Row],[Requested]],1),Table3[#All],2,0),VLOOKUP(Proc[[#This Row],[Author]],Table4[],2,0))</f>
        <v>EL</v>
      </c>
      <c r="L4765" s="150" t="s">
        <v>6435</v>
      </c>
      <c r="M4765" s="171">
        <v>45985</v>
      </c>
      <c r="N4765" s="171"/>
      <c r="O4765" s="171"/>
      <c r="P4765" s="172" t="str">
        <f ca="1">IF(Proc[[#This Row],[DaysAgeing]]&gt;5,"yep","on track")</f>
        <v>yep</v>
      </c>
      <c r="Q4765" s="3">
        <f ca="1">IF(Proc[[#This Row],[DateClosed]]="",ABS(NETWORKDAYS(Proc[[#This Row],[DateOpened]],TODAY()))-1,ABS(NETWORKDAYS(Proc[[#This Row],[DateOpened]],Proc[[#This Row],[DateClosed]]))-1)</f>
        <v>19</v>
      </c>
      <c r="R4765" s="172" t="s">
        <v>5709</v>
      </c>
      <c r="S4765" s="150"/>
    </row>
    <row r="4766" spans="1:19" hidden="1">
      <c r="A4766" s="149" t="s">
        <v>6974</v>
      </c>
      <c r="B4766" s="150" t="str">
        <f>IFERROR(VLOOKUP(Proc[[#This Row],[App]],Table2[],3,0),"open")</f>
        <v>ok</v>
      </c>
      <c r="C4766" s="149" t="s">
        <v>369</v>
      </c>
      <c r="D4766" t="s">
        <v>6762</v>
      </c>
      <c r="E4766" s="149" t="s">
        <v>6983</v>
      </c>
      <c r="F4766" s="150" t="s">
        <v>6983</v>
      </c>
      <c r="G4766" s="149" t="s">
        <v>406</v>
      </c>
      <c r="H4766" s="150" t="str">
        <f>IF(Proc[[#This Row],[type]]="LFF (MDG-F)",MID(Proc[[#This Row],[Obj]],13,10),"")</f>
        <v>CN03TPZZ02</v>
      </c>
      <c r="J4766" s="150" t="b">
        <f>Proc[[#This Row],[Requested]]=Proc[[#This Row],[CurrentParent]]</f>
        <v>1</v>
      </c>
      <c r="K4766" s="150" t="str">
        <f>IF(Proc[[#This Row],[Author]]="Marcela Urrego",VLOOKUP(LEFT(Proc[[#This Row],[Requested]],1),Table3[#All],2,0),VLOOKUP(Proc[[#This Row],[Author]],Table4[],2,0))</f>
        <v>EL</v>
      </c>
      <c r="L4766" s="150" t="s">
        <v>6435</v>
      </c>
      <c r="M4766" s="171">
        <v>45985</v>
      </c>
      <c r="N4766" s="171"/>
      <c r="O4766" s="171"/>
      <c r="P4766" s="172" t="str">
        <f ca="1">IF(Proc[[#This Row],[DaysAgeing]]&gt;5,"yep","on track")</f>
        <v>yep</v>
      </c>
      <c r="Q4766" s="3">
        <f ca="1">IF(Proc[[#This Row],[DateClosed]]="",ABS(NETWORKDAYS(Proc[[#This Row],[DateOpened]],TODAY()))-1,ABS(NETWORKDAYS(Proc[[#This Row],[DateOpened]],Proc[[#This Row],[DateClosed]]))-1)</f>
        <v>19</v>
      </c>
      <c r="R4766" s="172" t="s">
        <v>5709</v>
      </c>
      <c r="S4766" s="150"/>
    </row>
    <row r="4767" spans="1:19" hidden="1">
      <c r="A4767" s="149" t="s">
        <v>6974</v>
      </c>
      <c r="B4767" s="150" t="str">
        <f>IFERROR(VLOOKUP(Proc[[#This Row],[App]],Table2[],3,0),"open")</f>
        <v>ok</v>
      </c>
      <c r="C4767" s="149" t="s">
        <v>369</v>
      </c>
      <c r="D4767" t="s">
        <v>6763</v>
      </c>
      <c r="E4767" s="149" t="s">
        <v>6983</v>
      </c>
      <c r="F4767" s="150" t="s">
        <v>6983</v>
      </c>
      <c r="G4767" s="149" t="s">
        <v>406</v>
      </c>
      <c r="H4767" s="150" t="str">
        <f>IF(Proc[[#This Row],[type]]="LFF (MDG-F)",MID(Proc[[#This Row],[Obj]],13,10),"")</f>
        <v>CN10DB1001</v>
      </c>
      <c r="J4767" s="150" t="b">
        <f>Proc[[#This Row],[Requested]]=Proc[[#This Row],[CurrentParent]]</f>
        <v>1</v>
      </c>
      <c r="K4767" s="150" t="str">
        <f>IF(Proc[[#This Row],[Author]]="Marcela Urrego",VLOOKUP(LEFT(Proc[[#This Row],[Requested]],1),Table3[#All],2,0),VLOOKUP(Proc[[#This Row],[Author]],Table4[],2,0))</f>
        <v>EL</v>
      </c>
      <c r="L4767" s="150" t="s">
        <v>6435</v>
      </c>
      <c r="M4767" s="171">
        <v>45985</v>
      </c>
      <c r="N4767" s="171"/>
      <c r="O4767" s="171"/>
      <c r="P4767" s="172" t="str">
        <f ca="1">IF(Proc[[#This Row],[DaysAgeing]]&gt;5,"yep","on track")</f>
        <v>yep</v>
      </c>
      <c r="Q4767" s="3">
        <f ca="1">IF(Proc[[#This Row],[DateClosed]]="",ABS(NETWORKDAYS(Proc[[#This Row],[DateOpened]],TODAY()))-1,ABS(NETWORKDAYS(Proc[[#This Row],[DateOpened]],Proc[[#This Row],[DateClosed]]))-1)</f>
        <v>19</v>
      </c>
      <c r="R4767" s="172" t="s">
        <v>5709</v>
      </c>
      <c r="S4767" s="150"/>
    </row>
    <row r="4768" spans="1:19" hidden="1">
      <c r="A4768" s="149" t="s">
        <v>6974</v>
      </c>
      <c r="B4768" s="150" t="str">
        <f>IFERROR(VLOOKUP(Proc[[#This Row],[App]],Table2[],3,0),"open")</f>
        <v>ok</v>
      </c>
      <c r="C4768" s="149" t="s">
        <v>369</v>
      </c>
      <c r="D4768" t="s">
        <v>6764</v>
      </c>
      <c r="E4768" s="149" t="s">
        <v>6983</v>
      </c>
      <c r="F4768" s="150" t="s">
        <v>6983</v>
      </c>
      <c r="G4768" s="149" t="s">
        <v>406</v>
      </c>
      <c r="H4768" s="150" t="str">
        <f>IF(Proc[[#This Row],[type]]="LFF (MDG-F)",MID(Proc[[#This Row],[Obj]],13,10),"")</f>
        <v>CN10DB1002</v>
      </c>
      <c r="J4768" s="150" t="b">
        <f>Proc[[#This Row],[Requested]]=Proc[[#This Row],[CurrentParent]]</f>
        <v>1</v>
      </c>
      <c r="K4768" s="150" t="str">
        <f>IF(Proc[[#This Row],[Author]]="Marcela Urrego",VLOOKUP(LEFT(Proc[[#This Row],[Requested]],1),Table3[#All],2,0),VLOOKUP(Proc[[#This Row],[Author]],Table4[],2,0))</f>
        <v>EL</v>
      </c>
      <c r="L4768" s="150" t="s">
        <v>6435</v>
      </c>
      <c r="M4768" s="171">
        <v>45985</v>
      </c>
      <c r="N4768" s="171"/>
      <c r="O4768" s="171"/>
      <c r="P4768" s="172" t="str">
        <f ca="1">IF(Proc[[#This Row],[DaysAgeing]]&gt;5,"yep","on track")</f>
        <v>yep</v>
      </c>
      <c r="Q4768" s="3">
        <f ca="1">IF(Proc[[#This Row],[DateClosed]]="",ABS(NETWORKDAYS(Proc[[#This Row],[DateOpened]],TODAY()))-1,ABS(NETWORKDAYS(Proc[[#This Row],[DateOpened]],Proc[[#This Row],[DateClosed]]))-1)</f>
        <v>19</v>
      </c>
      <c r="R4768" s="172" t="s">
        <v>5709</v>
      </c>
      <c r="S4768" s="150"/>
    </row>
    <row r="4769" spans="1:19" hidden="1">
      <c r="A4769" s="149" t="s">
        <v>6974</v>
      </c>
      <c r="B4769" s="150" t="str">
        <f>IFERROR(VLOOKUP(Proc[[#This Row],[App]],Table2[],3,0),"open")</f>
        <v>ok</v>
      </c>
      <c r="C4769" s="149" t="s">
        <v>369</v>
      </c>
      <c r="D4769" t="s">
        <v>6765</v>
      </c>
      <c r="E4769" s="149" t="s">
        <v>6983</v>
      </c>
      <c r="F4769" s="150" t="s">
        <v>6983</v>
      </c>
      <c r="G4769" s="149" t="s">
        <v>406</v>
      </c>
      <c r="H4769" s="150" t="str">
        <f>IF(Proc[[#This Row],[type]]="LFF (MDG-F)",MID(Proc[[#This Row],[Obj]],13,10),"")</f>
        <v>CN10DB1004</v>
      </c>
      <c r="J4769" s="150" t="b">
        <f>Proc[[#This Row],[Requested]]=Proc[[#This Row],[CurrentParent]]</f>
        <v>1</v>
      </c>
      <c r="K4769" s="150" t="str">
        <f>IF(Proc[[#This Row],[Author]]="Marcela Urrego",VLOOKUP(LEFT(Proc[[#This Row],[Requested]],1),Table3[#All],2,0),VLOOKUP(Proc[[#This Row],[Author]],Table4[],2,0))</f>
        <v>EL</v>
      </c>
      <c r="L4769" s="150" t="s">
        <v>6435</v>
      </c>
      <c r="M4769" s="171">
        <v>45985</v>
      </c>
      <c r="N4769" s="171"/>
      <c r="O4769" s="171"/>
      <c r="P4769" s="172" t="str">
        <f ca="1">IF(Proc[[#This Row],[DaysAgeing]]&gt;5,"yep","on track")</f>
        <v>yep</v>
      </c>
      <c r="Q4769" s="3">
        <f ca="1">IF(Proc[[#This Row],[DateClosed]]="",ABS(NETWORKDAYS(Proc[[#This Row],[DateOpened]],TODAY()))-1,ABS(NETWORKDAYS(Proc[[#This Row],[DateOpened]],Proc[[#This Row],[DateClosed]]))-1)</f>
        <v>19</v>
      </c>
      <c r="R4769" s="172" t="s">
        <v>5709</v>
      </c>
      <c r="S4769" s="150"/>
    </row>
    <row r="4770" spans="1:19" hidden="1">
      <c r="A4770" s="149" t="s">
        <v>6974</v>
      </c>
      <c r="B4770" s="150" t="str">
        <f>IFERROR(VLOOKUP(Proc[[#This Row],[App]],Table2[],3,0),"open")</f>
        <v>ok</v>
      </c>
      <c r="C4770" s="149" t="s">
        <v>369</v>
      </c>
      <c r="D4770" t="s">
        <v>6766</v>
      </c>
      <c r="E4770" s="149" t="s">
        <v>6983</v>
      </c>
      <c r="F4770" s="150" t="s">
        <v>6983</v>
      </c>
      <c r="G4770" s="149" t="s">
        <v>406</v>
      </c>
      <c r="H4770" s="150" t="str">
        <f>IF(Proc[[#This Row],[type]]="LFF (MDG-F)",MID(Proc[[#This Row],[Obj]],13,10),"")</f>
        <v>CN09DB3303</v>
      </c>
      <c r="J4770" s="150" t="b">
        <f>Proc[[#This Row],[Requested]]=Proc[[#This Row],[CurrentParent]]</f>
        <v>1</v>
      </c>
      <c r="K4770" s="150" t="str">
        <f>IF(Proc[[#This Row],[Author]]="Marcela Urrego",VLOOKUP(LEFT(Proc[[#This Row],[Requested]],1),Table3[#All],2,0),VLOOKUP(Proc[[#This Row],[Author]],Table4[],2,0))</f>
        <v>EL</v>
      </c>
      <c r="L4770" s="150" t="s">
        <v>6435</v>
      </c>
      <c r="M4770" s="171">
        <v>45985</v>
      </c>
      <c r="N4770" s="171"/>
      <c r="O4770" s="171"/>
      <c r="P4770" s="172" t="str">
        <f ca="1">IF(Proc[[#This Row],[DaysAgeing]]&gt;5,"yep","on track")</f>
        <v>yep</v>
      </c>
      <c r="Q4770" s="3">
        <f ca="1">IF(Proc[[#This Row],[DateClosed]]="",ABS(NETWORKDAYS(Proc[[#This Row],[DateOpened]],TODAY()))-1,ABS(NETWORKDAYS(Proc[[#This Row],[DateOpened]],Proc[[#This Row],[DateClosed]]))-1)</f>
        <v>19</v>
      </c>
      <c r="R4770" s="172" t="s">
        <v>5709</v>
      </c>
      <c r="S4770" s="150"/>
    </row>
    <row r="4771" spans="1:19" hidden="1">
      <c r="A4771" s="149" t="s">
        <v>6974</v>
      </c>
      <c r="B4771" s="150" t="str">
        <f>IFERROR(VLOOKUP(Proc[[#This Row],[App]],Table2[],3,0),"open")</f>
        <v>ok</v>
      </c>
      <c r="C4771" s="149" t="s">
        <v>369</v>
      </c>
      <c r="D4771" t="s">
        <v>6767</v>
      </c>
      <c r="E4771" s="149" t="s">
        <v>6983</v>
      </c>
      <c r="F4771" s="150" t="s">
        <v>6983</v>
      </c>
      <c r="G4771" s="149" t="s">
        <v>406</v>
      </c>
      <c r="H4771" s="150" t="str">
        <f>IF(Proc[[#This Row],[type]]="LFF (MDG-F)",MID(Proc[[#This Row],[Obj]],13,10),"")</f>
        <v>CN09DB3305</v>
      </c>
      <c r="J4771" s="150" t="b">
        <f>Proc[[#This Row],[Requested]]=Proc[[#This Row],[CurrentParent]]</f>
        <v>1</v>
      </c>
      <c r="K4771" s="150" t="str">
        <f>IF(Proc[[#This Row],[Author]]="Marcela Urrego",VLOOKUP(LEFT(Proc[[#This Row],[Requested]],1),Table3[#All],2,0),VLOOKUP(Proc[[#This Row],[Author]],Table4[],2,0))</f>
        <v>EL</v>
      </c>
      <c r="L4771" s="150" t="s">
        <v>6435</v>
      </c>
      <c r="M4771" s="171">
        <v>45985</v>
      </c>
      <c r="N4771" s="171"/>
      <c r="O4771" s="171"/>
      <c r="P4771" s="172" t="str">
        <f ca="1">IF(Proc[[#This Row],[DaysAgeing]]&gt;5,"yep","on track")</f>
        <v>yep</v>
      </c>
      <c r="Q4771" s="3">
        <f ca="1">IF(Proc[[#This Row],[DateClosed]]="",ABS(NETWORKDAYS(Proc[[#This Row],[DateOpened]],TODAY()))-1,ABS(NETWORKDAYS(Proc[[#This Row],[DateOpened]],Proc[[#This Row],[DateClosed]]))-1)</f>
        <v>19</v>
      </c>
      <c r="R4771" s="172" t="s">
        <v>5709</v>
      </c>
      <c r="S4771" s="150"/>
    </row>
    <row r="4772" spans="1:19" hidden="1">
      <c r="A4772" s="149" t="s">
        <v>6974</v>
      </c>
      <c r="B4772" s="150" t="str">
        <f>IFERROR(VLOOKUP(Proc[[#This Row],[App]],Table2[],3,0),"open")</f>
        <v>ok</v>
      </c>
      <c r="C4772" s="149" t="s">
        <v>369</v>
      </c>
      <c r="D4772" t="s">
        <v>6768</v>
      </c>
      <c r="E4772" s="149" t="s">
        <v>6983</v>
      </c>
      <c r="F4772" s="150" t="s">
        <v>6983</v>
      </c>
      <c r="G4772" s="149" t="s">
        <v>406</v>
      </c>
      <c r="H4772" s="150" t="str">
        <f>IF(Proc[[#This Row],[type]]="LFF (MDG-F)",MID(Proc[[#This Row],[Obj]],13,10),"")</f>
        <v>CN09TQ1001</v>
      </c>
      <c r="J4772" s="150" t="b">
        <f>Proc[[#This Row],[Requested]]=Proc[[#This Row],[CurrentParent]]</f>
        <v>1</v>
      </c>
      <c r="K4772" s="150" t="str">
        <f>IF(Proc[[#This Row],[Author]]="Marcela Urrego",VLOOKUP(LEFT(Proc[[#This Row],[Requested]],1),Table3[#All],2,0),VLOOKUP(Proc[[#This Row],[Author]],Table4[],2,0))</f>
        <v>EL</v>
      </c>
      <c r="L4772" s="150" t="s">
        <v>6435</v>
      </c>
      <c r="M4772" s="171">
        <v>45985</v>
      </c>
      <c r="N4772" s="171"/>
      <c r="O4772" s="171"/>
      <c r="P4772" s="172" t="str">
        <f ca="1">IF(Proc[[#This Row],[DaysAgeing]]&gt;5,"yep","on track")</f>
        <v>yep</v>
      </c>
      <c r="Q4772" s="3">
        <f ca="1">IF(Proc[[#This Row],[DateClosed]]="",ABS(NETWORKDAYS(Proc[[#This Row],[DateOpened]],TODAY()))-1,ABS(NETWORKDAYS(Proc[[#This Row],[DateOpened]],Proc[[#This Row],[DateClosed]]))-1)</f>
        <v>19</v>
      </c>
      <c r="R4772" s="172" t="s">
        <v>5709</v>
      </c>
      <c r="S4772" s="150"/>
    </row>
    <row r="4773" spans="1:19" hidden="1">
      <c r="A4773" s="149" t="s">
        <v>6974</v>
      </c>
      <c r="B4773" s="150" t="str">
        <f>IFERROR(VLOOKUP(Proc[[#This Row],[App]],Table2[],3,0),"open")</f>
        <v>ok</v>
      </c>
      <c r="C4773" s="149" t="s">
        <v>369</v>
      </c>
      <c r="D4773" t="s">
        <v>6769</v>
      </c>
      <c r="E4773" s="149" t="s">
        <v>6983</v>
      </c>
      <c r="F4773" s="150" t="s">
        <v>6983</v>
      </c>
      <c r="G4773" s="149" t="s">
        <v>406</v>
      </c>
      <c r="H4773" s="150" t="str">
        <f>IF(Proc[[#This Row],[type]]="LFF (MDG-F)",MID(Proc[[#This Row],[Obj]],13,10),"")</f>
        <v>CN09TQ1002</v>
      </c>
      <c r="J4773" s="150" t="b">
        <f>Proc[[#This Row],[Requested]]=Proc[[#This Row],[CurrentParent]]</f>
        <v>1</v>
      </c>
      <c r="K4773" s="150" t="str">
        <f>IF(Proc[[#This Row],[Author]]="Marcela Urrego",VLOOKUP(LEFT(Proc[[#This Row],[Requested]],1),Table3[#All],2,0),VLOOKUP(Proc[[#This Row],[Author]],Table4[],2,0))</f>
        <v>EL</v>
      </c>
      <c r="L4773" s="150" t="s">
        <v>6435</v>
      </c>
      <c r="M4773" s="171">
        <v>45985</v>
      </c>
      <c r="N4773" s="171"/>
      <c r="O4773" s="171"/>
      <c r="P4773" s="172" t="str">
        <f ca="1">IF(Proc[[#This Row],[DaysAgeing]]&gt;5,"yep","on track")</f>
        <v>yep</v>
      </c>
      <c r="Q4773" s="3">
        <f ca="1">IF(Proc[[#This Row],[DateClosed]]="",ABS(NETWORKDAYS(Proc[[#This Row],[DateOpened]],TODAY()))-1,ABS(NETWORKDAYS(Proc[[#This Row],[DateOpened]],Proc[[#This Row],[DateClosed]]))-1)</f>
        <v>19</v>
      </c>
      <c r="R4773" s="172" t="s">
        <v>5709</v>
      </c>
      <c r="S4773" s="150"/>
    </row>
    <row r="4774" spans="1:19" hidden="1">
      <c r="A4774" s="149" t="s">
        <v>6974</v>
      </c>
      <c r="B4774" s="150" t="str">
        <f>IFERROR(VLOOKUP(Proc[[#This Row],[App]],Table2[],3,0),"open")</f>
        <v>ok</v>
      </c>
      <c r="C4774" s="149" t="s">
        <v>369</v>
      </c>
      <c r="D4774" t="s">
        <v>6770</v>
      </c>
      <c r="E4774" s="149" t="s">
        <v>6983</v>
      </c>
      <c r="F4774" s="150" t="s">
        <v>6983</v>
      </c>
      <c r="G4774" s="149" t="s">
        <v>406</v>
      </c>
      <c r="H4774" s="150" t="str">
        <f>IF(Proc[[#This Row],[type]]="LFF (MDG-F)",MID(Proc[[#This Row],[Obj]],13,10),"")</f>
        <v>CN09TQ1003</v>
      </c>
      <c r="J4774" s="150" t="b">
        <f>Proc[[#This Row],[Requested]]=Proc[[#This Row],[CurrentParent]]</f>
        <v>1</v>
      </c>
      <c r="K4774" s="150" t="str">
        <f>IF(Proc[[#This Row],[Author]]="Marcela Urrego",VLOOKUP(LEFT(Proc[[#This Row],[Requested]],1),Table3[#All],2,0),VLOOKUP(Proc[[#This Row],[Author]],Table4[],2,0))</f>
        <v>EL</v>
      </c>
      <c r="L4774" s="150" t="s">
        <v>6435</v>
      </c>
      <c r="M4774" s="171">
        <v>45985</v>
      </c>
      <c r="N4774" s="171"/>
      <c r="O4774" s="171"/>
      <c r="P4774" s="172" t="str">
        <f ca="1">IF(Proc[[#This Row],[DaysAgeing]]&gt;5,"yep","on track")</f>
        <v>yep</v>
      </c>
      <c r="Q4774" s="3">
        <f ca="1">IF(Proc[[#This Row],[DateClosed]]="",ABS(NETWORKDAYS(Proc[[#This Row],[DateOpened]],TODAY()))-1,ABS(NETWORKDAYS(Proc[[#This Row],[DateOpened]],Proc[[#This Row],[DateClosed]]))-1)</f>
        <v>19</v>
      </c>
      <c r="R4774" s="172" t="s">
        <v>5709</v>
      </c>
      <c r="S4774" s="150"/>
    </row>
    <row r="4775" spans="1:19" hidden="1">
      <c r="A4775" s="149" t="s">
        <v>6974</v>
      </c>
      <c r="B4775" s="150" t="str">
        <f>IFERROR(VLOOKUP(Proc[[#This Row],[App]],Table2[],3,0),"open")</f>
        <v>ok</v>
      </c>
      <c r="C4775" s="149" t="s">
        <v>369</v>
      </c>
      <c r="D4775" t="s">
        <v>6771</v>
      </c>
      <c r="E4775" s="149" t="s">
        <v>6983</v>
      </c>
      <c r="F4775" s="150" t="s">
        <v>6983</v>
      </c>
      <c r="G4775" s="149" t="s">
        <v>406</v>
      </c>
      <c r="H4775" s="150" t="str">
        <f>IF(Proc[[#This Row],[type]]="LFF (MDG-F)",MID(Proc[[#This Row],[Obj]],13,10),"")</f>
        <v>CN09DB3309</v>
      </c>
      <c r="J4775" s="150" t="b">
        <f>Proc[[#This Row],[Requested]]=Proc[[#This Row],[CurrentParent]]</f>
        <v>1</v>
      </c>
      <c r="K4775" s="150" t="str">
        <f>IF(Proc[[#This Row],[Author]]="Marcela Urrego",VLOOKUP(LEFT(Proc[[#This Row],[Requested]],1),Table3[#All],2,0),VLOOKUP(Proc[[#This Row],[Author]],Table4[],2,0))</f>
        <v>EL</v>
      </c>
      <c r="L4775" s="150" t="s">
        <v>6435</v>
      </c>
      <c r="M4775" s="171">
        <v>45985</v>
      </c>
      <c r="N4775" s="171"/>
      <c r="O4775" s="171"/>
      <c r="P4775" s="172" t="str">
        <f ca="1">IF(Proc[[#This Row],[DaysAgeing]]&gt;5,"yep","on track")</f>
        <v>yep</v>
      </c>
      <c r="Q4775" s="3">
        <f ca="1">IF(Proc[[#This Row],[DateClosed]]="",ABS(NETWORKDAYS(Proc[[#This Row],[DateOpened]],TODAY()))-1,ABS(NETWORKDAYS(Proc[[#This Row],[DateOpened]],Proc[[#This Row],[DateClosed]]))-1)</f>
        <v>19</v>
      </c>
      <c r="R4775" s="172" t="s">
        <v>5709</v>
      </c>
      <c r="S4775" s="150"/>
    </row>
    <row r="4776" spans="1:19" hidden="1">
      <c r="A4776" s="149" t="s">
        <v>6974</v>
      </c>
      <c r="B4776" s="150" t="str">
        <f>IFERROR(VLOOKUP(Proc[[#This Row],[App]],Table2[],3,0),"open")</f>
        <v>ok</v>
      </c>
      <c r="C4776" s="149" t="s">
        <v>369</v>
      </c>
      <c r="D4776" t="s">
        <v>6772</v>
      </c>
      <c r="E4776" s="149" t="s">
        <v>6983</v>
      </c>
      <c r="F4776" s="150" t="s">
        <v>6983</v>
      </c>
      <c r="G4776" s="149" t="s">
        <v>406</v>
      </c>
      <c r="H4776" s="150" t="str">
        <f>IF(Proc[[#This Row],[type]]="LFF (MDG-F)",MID(Proc[[#This Row],[Obj]],13,10),"")</f>
        <v>CN09DB3300</v>
      </c>
      <c r="J4776" s="150" t="b">
        <f>Proc[[#This Row],[Requested]]=Proc[[#This Row],[CurrentParent]]</f>
        <v>1</v>
      </c>
      <c r="K4776" s="150" t="str">
        <f>IF(Proc[[#This Row],[Author]]="Marcela Urrego",VLOOKUP(LEFT(Proc[[#This Row],[Requested]],1),Table3[#All],2,0),VLOOKUP(Proc[[#This Row],[Author]],Table4[],2,0))</f>
        <v>EL</v>
      </c>
      <c r="L4776" s="150" t="s">
        <v>6435</v>
      </c>
      <c r="M4776" s="171">
        <v>45985</v>
      </c>
      <c r="N4776" s="171"/>
      <c r="O4776" s="171"/>
      <c r="P4776" s="172" t="str">
        <f ca="1">IF(Proc[[#This Row],[DaysAgeing]]&gt;5,"yep","on track")</f>
        <v>yep</v>
      </c>
      <c r="Q4776" s="3">
        <f ca="1">IF(Proc[[#This Row],[DateClosed]]="",ABS(NETWORKDAYS(Proc[[#This Row],[DateOpened]],TODAY()))-1,ABS(NETWORKDAYS(Proc[[#This Row],[DateOpened]],Proc[[#This Row],[DateClosed]]))-1)</f>
        <v>19</v>
      </c>
      <c r="R4776" s="172" t="s">
        <v>5709</v>
      </c>
      <c r="S4776" s="150"/>
    </row>
    <row r="4777" spans="1:19" hidden="1">
      <c r="A4777" s="149" t="s">
        <v>6974</v>
      </c>
      <c r="B4777" s="150" t="str">
        <f>IFERROR(VLOOKUP(Proc[[#This Row],[App]],Table2[],3,0),"open")</f>
        <v>ok</v>
      </c>
      <c r="C4777" s="149" t="s">
        <v>369</v>
      </c>
      <c r="D4777" t="s">
        <v>6773</v>
      </c>
      <c r="E4777" s="149" t="s">
        <v>6983</v>
      </c>
      <c r="F4777" s="150" t="s">
        <v>6983</v>
      </c>
      <c r="G4777" s="149" t="s">
        <v>406</v>
      </c>
      <c r="H4777" s="150" t="str">
        <f>IF(Proc[[#This Row],[type]]="LFF (MDG-F)",MID(Proc[[#This Row],[Obj]],13,10),"")</f>
        <v>CN09TM3000</v>
      </c>
      <c r="J4777" s="150" t="b">
        <f>Proc[[#This Row],[Requested]]=Proc[[#This Row],[CurrentParent]]</f>
        <v>1</v>
      </c>
      <c r="K4777" s="150" t="str">
        <f>IF(Proc[[#This Row],[Author]]="Marcela Urrego",VLOOKUP(LEFT(Proc[[#This Row],[Requested]],1),Table3[#All],2,0),VLOOKUP(Proc[[#This Row],[Author]],Table4[],2,0))</f>
        <v>EL</v>
      </c>
      <c r="L4777" s="150" t="s">
        <v>6435</v>
      </c>
      <c r="M4777" s="171">
        <v>45985</v>
      </c>
      <c r="N4777" s="171"/>
      <c r="O4777" s="171"/>
      <c r="P4777" s="172" t="str">
        <f ca="1">IF(Proc[[#This Row],[DaysAgeing]]&gt;5,"yep","on track")</f>
        <v>yep</v>
      </c>
      <c r="Q4777" s="3">
        <f ca="1">IF(Proc[[#This Row],[DateClosed]]="",ABS(NETWORKDAYS(Proc[[#This Row],[DateOpened]],TODAY()))-1,ABS(NETWORKDAYS(Proc[[#This Row],[DateOpened]],Proc[[#This Row],[DateClosed]]))-1)</f>
        <v>19</v>
      </c>
      <c r="R4777" s="172" t="s">
        <v>5709</v>
      </c>
      <c r="S4777" s="150"/>
    </row>
    <row r="4778" spans="1:19" hidden="1">
      <c r="A4778" s="149" t="s">
        <v>6974</v>
      </c>
      <c r="B4778" s="150" t="str">
        <f>IFERROR(VLOOKUP(Proc[[#This Row],[App]],Table2[],3,0),"open")</f>
        <v>ok</v>
      </c>
      <c r="C4778" s="149" t="s">
        <v>369</v>
      </c>
      <c r="D4778" t="s">
        <v>6774</v>
      </c>
      <c r="E4778" s="149" t="s">
        <v>6983</v>
      </c>
      <c r="F4778" s="150" t="s">
        <v>6983</v>
      </c>
      <c r="G4778" s="149" t="s">
        <v>406</v>
      </c>
      <c r="H4778" s="150" t="str">
        <f>IF(Proc[[#This Row],[type]]="LFF (MDG-F)",MID(Proc[[#This Row],[Obj]],13,10),"")</f>
        <v>CN09DB3301</v>
      </c>
      <c r="J4778" s="150" t="b">
        <f>Proc[[#This Row],[Requested]]=Proc[[#This Row],[CurrentParent]]</f>
        <v>1</v>
      </c>
      <c r="K4778" s="150" t="str">
        <f>IF(Proc[[#This Row],[Author]]="Marcela Urrego",VLOOKUP(LEFT(Proc[[#This Row],[Requested]],1),Table3[#All],2,0),VLOOKUP(Proc[[#This Row],[Author]],Table4[],2,0))</f>
        <v>EL</v>
      </c>
      <c r="L4778" s="150" t="s">
        <v>6435</v>
      </c>
      <c r="M4778" s="171">
        <v>45985</v>
      </c>
      <c r="N4778" s="171"/>
      <c r="O4778" s="171"/>
      <c r="P4778" s="172" t="str">
        <f ca="1">IF(Proc[[#This Row],[DaysAgeing]]&gt;5,"yep","on track")</f>
        <v>yep</v>
      </c>
      <c r="Q4778" s="3">
        <f ca="1">IF(Proc[[#This Row],[DateClosed]]="",ABS(NETWORKDAYS(Proc[[#This Row],[DateOpened]],TODAY()))-1,ABS(NETWORKDAYS(Proc[[#This Row],[DateOpened]],Proc[[#This Row],[DateClosed]]))-1)</f>
        <v>19</v>
      </c>
      <c r="R4778" s="172" t="s">
        <v>5709</v>
      </c>
      <c r="S4778" s="150"/>
    </row>
    <row r="4779" spans="1:19" hidden="1">
      <c r="A4779" s="149" t="s">
        <v>6974</v>
      </c>
      <c r="B4779" s="150" t="str">
        <f>IFERROR(VLOOKUP(Proc[[#This Row],[App]],Table2[],3,0),"open")</f>
        <v>ok</v>
      </c>
      <c r="C4779" s="149" t="s">
        <v>369</v>
      </c>
      <c r="D4779" t="s">
        <v>6775</v>
      </c>
      <c r="E4779" s="149" t="s">
        <v>6983</v>
      </c>
      <c r="F4779" s="150" t="s">
        <v>6983</v>
      </c>
      <c r="G4779" s="149" t="s">
        <v>406</v>
      </c>
      <c r="H4779" s="150" t="str">
        <f>IF(Proc[[#This Row],[type]]="LFF (MDG-F)",MID(Proc[[#This Row],[Obj]],13,10),"")</f>
        <v>CN09DB3307</v>
      </c>
      <c r="J4779" s="150" t="b">
        <f>Proc[[#This Row],[Requested]]=Proc[[#This Row],[CurrentParent]]</f>
        <v>1</v>
      </c>
      <c r="K4779" s="150" t="str">
        <f>IF(Proc[[#This Row],[Author]]="Marcela Urrego",VLOOKUP(LEFT(Proc[[#This Row],[Requested]],1),Table3[#All],2,0),VLOOKUP(Proc[[#This Row],[Author]],Table4[],2,0))</f>
        <v>EL</v>
      </c>
      <c r="L4779" s="150" t="s">
        <v>6435</v>
      </c>
      <c r="M4779" s="171">
        <v>45985</v>
      </c>
      <c r="N4779" s="171"/>
      <c r="O4779" s="171"/>
      <c r="P4779" s="172" t="str">
        <f ca="1">IF(Proc[[#This Row],[DaysAgeing]]&gt;5,"yep","on track")</f>
        <v>yep</v>
      </c>
      <c r="Q4779" s="3">
        <f ca="1">IF(Proc[[#This Row],[DateClosed]]="",ABS(NETWORKDAYS(Proc[[#This Row],[DateOpened]],TODAY()))-1,ABS(NETWORKDAYS(Proc[[#This Row],[DateOpened]],Proc[[#This Row],[DateClosed]]))-1)</f>
        <v>19</v>
      </c>
      <c r="R4779" s="172" t="s">
        <v>5709</v>
      </c>
      <c r="S4779" s="150"/>
    </row>
    <row r="4780" spans="1:19" hidden="1">
      <c r="A4780" t="s">
        <v>6975</v>
      </c>
      <c r="B4780" s="150" t="str">
        <f>IFERROR(VLOOKUP(Proc[[#This Row],[App]],Table2[],3,0),"open")</f>
        <v>ok</v>
      </c>
      <c r="C4780" s="149" t="s">
        <v>369</v>
      </c>
      <c r="D4780" t="s">
        <v>6976</v>
      </c>
      <c r="E4780" t="s">
        <v>1012</v>
      </c>
      <c r="F4780" s="150" t="s">
        <v>1012</v>
      </c>
      <c r="G4780" t="s">
        <v>400</v>
      </c>
      <c r="H4780" s="150" t="str">
        <f>IF(Proc[[#This Row],[type]]="LFF (MDG-F)",MID(Proc[[#This Row],[Obj]],13,10),"")</f>
        <v/>
      </c>
      <c r="J4780" s="150" t="b">
        <f>Proc[[#This Row],[Requested]]=Proc[[#This Row],[CurrentParent]]</f>
        <v>1</v>
      </c>
      <c r="K4780" s="150" t="str">
        <f>IF(Proc[[#This Row],[Author]]="Marcela Urrego",VLOOKUP(LEFT(Proc[[#This Row],[Requested]],1),Table3[#All],2,0),VLOOKUP(Proc[[#This Row],[Author]],Table4[],2,0))</f>
        <v>HC</v>
      </c>
      <c r="L4780" s="150" t="s">
        <v>6435</v>
      </c>
      <c r="M4780" s="171">
        <v>45985</v>
      </c>
      <c r="N4780" s="171"/>
      <c r="O4780" s="171"/>
      <c r="P4780" s="172" t="str">
        <f ca="1">IF(Proc[[#This Row],[DaysAgeing]]&gt;5,"yep","on track")</f>
        <v>yep</v>
      </c>
      <c r="Q4780" s="3">
        <f ca="1">IF(Proc[[#This Row],[DateClosed]]="",ABS(NETWORKDAYS(Proc[[#This Row],[DateOpened]],TODAY()))-1,ABS(NETWORKDAYS(Proc[[#This Row],[DateOpened]],Proc[[#This Row],[DateClosed]]))-1)</f>
        <v>19</v>
      </c>
      <c r="R4780" s="172" t="s">
        <v>6982</v>
      </c>
      <c r="S4780" s="150"/>
    </row>
    <row r="4781" spans="1:19" hidden="1">
      <c r="A4781" t="s">
        <v>6975</v>
      </c>
      <c r="B4781" s="150" t="str">
        <f>IFERROR(VLOOKUP(Proc[[#This Row],[App]],Table2[],3,0),"open")</f>
        <v>ok</v>
      </c>
      <c r="C4781" s="149" t="s">
        <v>369</v>
      </c>
      <c r="D4781" t="s">
        <v>6977</v>
      </c>
      <c r="E4781" t="s">
        <v>555</v>
      </c>
      <c r="F4781" s="150" t="s">
        <v>555</v>
      </c>
      <c r="G4781" s="149" t="s">
        <v>400</v>
      </c>
      <c r="H4781" s="150" t="str">
        <f>IF(Proc[[#This Row],[type]]="LFF (MDG-F)",MID(Proc[[#This Row],[Obj]],13,10),"")</f>
        <v/>
      </c>
      <c r="J4781" s="150" t="b">
        <f>Proc[[#This Row],[Requested]]=Proc[[#This Row],[CurrentParent]]</f>
        <v>1</v>
      </c>
      <c r="K4781" s="150" t="str">
        <f>IF(Proc[[#This Row],[Author]]="Marcela Urrego",VLOOKUP(LEFT(Proc[[#This Row],[Requested]],1),Table3[#All],2,0),VLOOKUP(Proc[[#This Row],[Author]],Table4[],2,0))</f>
        <v>HC</v>
      </c>
      <c r="L4781" s="150" t="s">
        <v>6435</v>
      </c>
      <c r="M4781" s="171">
        <v>45985</v>
      </c>
      <c r="N4781" s="171"/>
      <c r="O4781" s="171"/>
      <c r="P4781" s="172" t="str">
        <f ca="1">IF(Proc[[#This Row],[DaysAgeing]]&gt;5,"yep","on track")</f>
        <v>yep</v>
      </c>
      <c r="Q4781" s="3">
        <f ca="1">IF(Proc[[#This Row],[DateClosed]]="",ABS(NETWORKDAYS(Proc[[#This Row],[DateOpened]],TODAY()))-1,ABS(NETWORKDAYS(Proc[[#This Row],[DateOpened]],Proc[[#This Row],[DateClosed]]))-1)</f>
        <v>19</v>
      </c>
      <c r="R4781" s="172" t="s">
        <v>6982</v>
      </c>
      <c r="S4781" s="150"/>
    </row>
    <row r="4782" spans="1:19" hidden="1">
      <c r="A4782" s="149" t="s">
        <v>6975</v>
      </c>
      <c r="B4782" s="150" t="str">
        <f>IFERROR(VLOOKUP(Proc[[#This Row],[App]],Table2[],3,0),"open")</f>
        <v>ok</v>
      </c>
      <c r="C4782" s="149" t="s">
        <v>369</v>
      </c>
      <c r="D4782" t="s">
        <v>6978</v>
      </c>
      <c r="E4782" t="s">
        <v>1012</v>
      </c>
      <c r="F4782" s="150" t="s">
        <v>1012</v>
      </c>
      <c r="G4782" s="149" t="s">
        <v>400</v>
      </c>
      <c r="H4782" s="150" t="str">
        <f>IF(Proc[[#This Row],[type]]="LFF (MDG-F)",MID(Proc[[#This Row],[Obj]],13,10),"")</f>
        <v/>
      </c>
      <c r="J4782" s="150" t="b">
        <f>Proc[[#This Row],[Requested]]=Proc[[#This Row],[CurrentParent]]</f>
        <v>1</v>
      </c>
      <c r="K4782" s="150" t="str">
        <f>IF(Proc[[#This Row],[Author]]="Marcela Urrego",VLOOKUP(LEFT(Proc[[#This Row],[Requested]],1),Table3[#All],2,0),VLOOKUP(Proc[[#This Row],[Author]],Table4[],2,0))</f>
        <v>HC</v>
      </c>
      <c r="L4782" s="150" t="s">
        <v>6435</v>
      </c>
      <c r="M4782" s="171">
        <v>45985</v>
      </c>
      <c r="N4782" s="171"/>
      <c r="O4782" s="171"/>
      <c r="P4782" s="172" t="str">
        <f ca="1">IF(Proc[[#This Row],[DaysAgeing]]&gt;5,"yep","on track")</f>
        <v>yep</v>
      </c>
      <c r="Q4782" s="3">
        <f ca="1">IF(Proc[[#This Row],[DateClosed]]="",ABS(NETWORKDAYS(Proc[[#This Row],[DateOpened]],TODAY()))-1,ABS(NETWORKDAYS(Proc[[#This Row],[DateOpened]],Proc[[#This Row],[DateClosed]]))-1)</f>
        <v>19</v>
      </c>
      <c r="R4782" s="172" t="s">
        <v>6982</v>
      </c>
      <c r="S4782" s="150"/>
    </row>
    <row r="4783" spans="1:19" hidden="1">
      <c r="A4783" s="149" t="s">
        <v>6975</v>
      </c>
      <c r="B4783" s="150" t="str">
        <f>IFERROR(VLOOKUP(Proc[[#This Row],[App]],Table2[],3,0),"open")</f>
        <v>ok</v>
      </c>
      <c r="C4783" s="149" t="s">
        <v>369</v>
      </c>
      <c r="D4783" t="s">
        <v>6979</v>
      </c>
      <c r="E4783" t="s">
        <v>1012</v>
      </c>
      <c r="F4783" s="150" t="s">
        <v>1012</v>
      </c>
      <c r="G4783" s="149" t="s">
        <v>400</v>
      </c>
      <c r="H4783" s="150" t="str">
        <f>IF(Proc[[#This Row],[type]]="LFF (MDG-F)",MID(Proc[[#This Row],[Obj]],13,10),"")</f>
        <v/>
      </c>
      <c r="J4783" s="150" t="b">
        <f>Proc[[#This Row],[Requested]]=Proc[[#This Row],[CurrentParent]]</f>
        <v>1</v>
      </c>
      <c r="K4783" s="150" t="str">
        <f>IF(Proc[[#This Row],[Author]]="Marcela Urrego",VLOOKUP(LEFT(Proc[[#This Row],[Requested]],1),Table3[#All],2,0),VLOOKUP(Proc[[#This Row],[Author]],Table4[],2,0))</f>
        <v>HC</v>
      </c>
      <c r="L4783" s="150" t="s">
        <v>6435</v>
      </c>
      <c r="M4783" s="171">
        <v>45985</v>
      </c>
      <c r="N4783" s="171"/>
      <c r="O4783" s="171"/>
      <c r="P4783" s="172" t="str">
        <f ca="1">IF(Proc[[#This Row],[DaysAgeing]]&gt;5,"yep","on track")</f>
        <v>yep</v>
      </c>
      <c r="Q4783" s="3">
        <f ca="1">IF(Proc[[#This Row],[DateClosed]]="",ABS(NETWORKDAYS(Proc[[#This Row],[DateOpened]],TODAY()))-1,ABS(NETWORKDAYS(Proc[[#This Row],[DateOpened]],Proc[[#This Row],[DateClosed]]))-1)</f>
        <v>19</v>
      </c>
      <c r="R4783" s="172" t="s">
        <v>6982</v>
      </c>
      <c r="S4783" s="150"/>
    </row>
    <row r="4784" spans="1:19" hidden="1">
      <c r="A4784" s="149" t="s">
        <v>6975</v>
      </c>
      <c r="B4784" s="150" t="str">
        <f>IFERROR(VLOOKUP(Proc[[#This Row],[App]],Table2[],3,0),"open")</f>
        <v>ok</v>
      </c>
      <c r="C4784" s="149" t="s">
        <v>369</v>
      </c>
      <c r="D4784" t="s">
        <v>6980</v>
      </c>
      <c r="E4784" t="s">
        <v>1012</v>
      </c>
      <c r="F4784" s="150" t="s">
        <v>1012</v>
      </c>
      <c r="G4784" s="149" t="s">
        <v>400</v>
      </c>
      <c r="H4784" s="150" t="str">
        <f>IF(Proc[[#This Row],[type]]="LFF (MDG-F)",MID(Proc[[#This Row],[Obj]],13,10),"")</f>
        <v/>
      </c>
      <c r="J4784" s="150" t="b">
        <f>Proc[[#This Row],[Requested]]=Proc[[#This Row],[CurrentParent]]</f>
        <v>1</v>
      </c>
      <c r="K4784" s="150" t="str">
        <f>IF(Proc[[#This Row],[Author]]="Marcela Urrego",VLOOKUP(LEFT(Proc[[#This Row],[Requested]],1),Table3[#All],2,0),VLOOKUP(Proc[[#This Row],[Author]],Table4[],2,0))</f>
        <v>HC</v>
      </c>
      <c r="L4784" s="150" t="s">
        <v>6435</v>
      </c>
      <c r="M4784" s="171">
        <v>45985</v>
      </c>
      <c r="N4784" s="171"/>
      <c r="O4784" s="171"/>
      <c r="P4784" s="172" t="str">
        <f ca="1">IF(Proc[[#This Row],[DaysAgeing]]&gt;5,"yep","on track")</f>
        <v>yep</v>
      </c>
      <c r="Q4784" s="3">
        <f ca="1">IF(Proc[[#This Row],[DateClosed]]="",ABS(NETWORKDAYS(Proc[[#This Row],[DateOpened]],TODAY()))-1,ABS(NETWORKDAYS(Proc[[#This Row],[DateOpened]],Proc[[#This Row],[DateClosed]]))-1)</f>
        <v>19</v>
      </c>
      <c r="R4784" s="172" t="s">
        <v>6982</v>
      </c>
      <c r="S4784" s="150"/>
    </row>
    <row r="4785" spans="1:19" hidden="1">
      <c r="A4785" s="149" t="s">
        <v>6975</v>
      </c>
      <c r="B4785" s="150" t="str">
        <f>IFERROR(VLOOKUP(Proc[[#This Row],[App]],Table2[],3,0),"open")</f>
        <v>ok</v>
      </c>
      <c r="C4785" s="149" t="s">
        <v>369</v>
      </c>
      <c r="D4785" t="s">
        <v>6981</v>
      </c>
      <c r="E4785" t="s">
        <v>554</v>
      </c>
      <c r="F4785" s="150" t="s">
        <v>554</v>
      </c>
      <c r="G4785" s="149" t="s">
        <v>400</v>
      </c>
      <c r="H4785" s="150" t="str">
        <f>IF(Proc[[#This Row],[type]]="LFF (MDG-F)",MID(Proc[[#This Row],[Obj]],13,10),"")</f>
        <v/>
      </c>
      <c r="J4785" s="150" t="b">
        <f>Proc[[#This Row],[Requested]]=Proc[[#This Row],[CurrentParent]]</f>
        <v>1</v>
      </c>
      <c r="K4785" s="150" t="str">
        <f>IF(Proc[[#This Row],[Author]]="Marcela Urrego",VLOOKUP(LEFT(Proc[[#This Row],[Requested]],1),Table3[#All],2,0),VLOOKUP(Proc[[#This Row],[Author]],Table4[],2,0))</f>
        <v>HC</v>
      </c>
      <c r="L4785" s="150" t="s">
        <v>6435</v>
      </c>
      <c r="M4785" s="171">
        <v>45985</v>
      </c>
      <c r="N4785" s="171"/>
      <c r="O4785" s="171"/>
      <c r="P4785" s="172" t="str">
        <f ca="1">IF(Proc[[#This Row],[DaysAgeing]]&gt;5,"yep","on track")</f>
        <v>yep</v>
      </c>
      <c r="Q4785" s="3">
        <f ca="1">IF(Proc[[#This Row],[DateClosed]]="",ABS(NETWORKDAYS(Proc[[#This Row],[DateOpened]],TODAY()))-1,ABS(NETWORKDAYS(Proc[[#This Row],[DateOpened]],Proc[[#This Row],[DateClosed]]))-1)</f>
        <v>19</v>
      </c>
      <c r="R4785" s="172" t="s">
        <v>6982</v>
      </c>
      <c r="S4785" s="150"/>
    </row>
    <row r="4786" spans="1:19" hidden="1">
      <c r="A4786" t="s">
        <v>6984</v>
      </c>
      <c r="B4786" s="150" t="str">
        <f>IFERROR(VLOOKUP(Proc[[#This Row],[App]],Table2[],3,0),"open")</f>
        <v>ok</v>
      </c>
      <c r="C4786" s="149" t="s">
        <v>369</v>
      </c>
      <c r="D4786" t="s">
        <v>6985</v>
      </c>
      <c r="E4786" t="s">
        <v>812</v>
      </c>
      <c r="F4786" s="150" t="s">
        <v>812</v>
      </c>
      <c r="G4786" s="149" t="s">
        <v>400</v>
      </c>
      <c r="H4786" s="150" t="str">
        <f>IF(Proc[[#This Row],[type]]="LFF (MDG-F)",MID(Proc[[#This Row],[Obj]],13,10),"")</f>
        <v/>
      </c>
      <c r="J4786" s="150" t="b">
        <f>Proc[[#This Row],[Requested]]=Proc[[#This Row],[CurrentParent]]</f>
        <v>1</v>
      </c>
      <c r="K4786" s="150" t="str">
        <f>IF(Proc[[#This Row],[Author]]="Marcela Urrego",VLOOKUP(LEFT(Proc[[#This Row],[Requested]],1),Table3[#All],2,0),VLOOKUP(Proc[[#This Row],[Author]],Table4[],2,0))</f>
        <v>LS?</v>
      </c>
      <c r="L4786" s="150" t="s">
        <v>6435</v>
      </c>
      <c r="M4786" s="172">
        <v>45986</v>
      </c>
      <c r="N4786" s="172"/>
      <c r="O4786" s="172"/>
      <c r="P4786" s="173" t="str">
        <f ca="1">IF(Proc[[#This Row],[DaysAgeing]]&gt;5,"yep","on track")</f>
        <v>yep</v>
      </c>
      <c r="Q4786" s="3">
        <f ca="1">IF(Proc[[#This Row],[DateClosed]]="",ABS(NETWORKDAYS(Proc[[#This Row],[DateOpened]],TODAY()))-1,ABS(NETWORKDAYS(Proc[[#This Row],[DateOpened]],Proc[[#This Row],[DateClosed]]))-1)</f>
        <v>18</v>
      </c>
      <c r="R4786" s="173" t="s">
        <v>6990</v>
      </c>
      <c r="S4786" s="150"/>
    </row>
    <row r="4787" spans="1:19" hidden="1">
      <c r="A4787" t="s">
        <v>6984</v>
      </c>
      <c r="B4787" s="150" t="str">
        <f>IFERROR(VLOOKUP(Proc[[#This Row],[App]],Table2[],3,0),"open")</f>
        <v>ok</v>
      </c>
      <c r="C4787" s="149" t="s">
        <v>369</v>
      </c>
      <c r="D4787" t="s">
        <v>6986</v>
      </c>
      <c r="E4787" t="s">
        <v>6744</v>
      </c>
      <c r="F4787" s="150" t="s">
        <v>6744</v>
      </c>
      <c r="G4787" s="149" t="s">
        <v>400</v>
      </c>
      <c r="H4787" s="150" t="str">
        <f>IF(Proc[[#This Row],[type]]="LFF (MDG-F)",MID(Proc[[#This Row],[Obj]],13,10),"")</f>
        <v/>
      </c>
      <c r="J4787" s="150" t="b">
        <f>Proc[[#This Row],[Requested]]=Proc[[#This Row],[CurrentParent]]</f>
        <v>1</v>
      </c>
      <c r="K4787" s="150" t="str">
        <f>IF(Proc[[#This Row],[Author]]="Marcela Urrego",VLOOKUP(LEFT(Proc[[#This Row],[Requested]],1),Table3[#All],2,0),VLOOKUP(Proc[[#This Row],[Author]],Table4[],2,0))</f>
        <v>LS?</v>
      </c>
      <c r="L4787" s="150" t="s">
        <v>6435</v>
      </c>
      <c r="M4787" s="172">
        <v>45986</v>
      </c>
      <c r="N4787" s="172"/>
      <c r="O4787" s="172"/>
      <c r="P4787" s="173" t="str">
        <f ca="1">IF(Proc[[#This Row],[DaysAgeing]]&gt;5,"yep","on track")</f>
        <v>yep</v>
      </c>
      <c r="Q4787" s="3">
        <f ca="1">IF(Proc[[#This Row],[DateClosed]]="",ABS(NETWORKDAYS(Proc[[#This Row],[DateOpened]],TODAY()))-1,ABS(NETWORKDAYS(Proc[[#This Row],[DateOpened]],Proc[[#This Row],[DateClosed]]))-1)</f>
        <v>18</v>
      </c>
      <c r="R4787" s="173" t="s">
        <v>6990</v>
      </c>
      <c r="S4787" s="150"/>
    </row>
    <row r="4788" spans="1:19" hidden="1">
      <c r="A4788" s="149" t="s">
        <v>6984</v>
      </c>
      <c r="B4788" s="150" t="str">
        <f>IFERROR(VLOOKUP(Proc[[#This Row],[App]],Table2[],3,0),"open")</f>
        <v>ok</v>
      </c>
      <c r="C4788" s="149" t="s">
        <v>369</v>
      </c>
      <c r="D4788" t="s">
        <v>6987</v>
      </c>
      <c r="E4788" t="s">
        <v>6989</v>
      </c>
      <c r="F4788" s="150" t="s">
        <v>6989</v>
      </c>
      <c r="G4788" s="149" t="s">
        <v>400</v>
      </c>
      <c r="H4788" s="150" t="str">
        <f>IF(Proc[[#This Row],[type]]="LFF (MDG-F)",MID(Proc[[#This Row],[Obj]],13,10),"")</f>
        <v/>
      </c>
      <c r="J4788" s="150" t="b">
        <f>Proc[[#This Row],[Requested]]=Proc[[#This Row],[CurrentParent]]</f>
        <v>1</v>
      </c>
      <c r="K4788" s="150" t="str">
        <f>IF(Proc[[#This Row],[Author]]="Marcela Urrego",VLOOKUP(LEFT(Proc[[#This Row],[Requested]],1),Table3[#All],2,0),VLOOKUP(Proc[[#This Row],[Author]],Table4[],2,0))</f>
        <v>LS?</v>
      </c>
      <c r="L4788" s="150" t="s">
        <v>6435</v>
      </c>
      <c r="M4788" s="172">
        <v>45986</v>
      </c>
      <c r="N4788" s="172"/>
      <c r="O4788" s="172"/>
      <c r="P4788" s="173" t="str">
        <f ca="1">IF(Proc[[#This Row],[DaysAgeing]]&gt;5,"yep","on track")</f>
        <v>yep</v>
      </c>
      <c r="Q4788" s="3">
        <f ca="1">IF(Proc[[#This Row],[DateClosed]]="",ABS(NETWORKDAYS(Proc[[#This Row],[DateOpened]],TODAY()))-1,ABS(NETWORKDAYS(Proc[[#This Row],[DateOpened]],Proc[[#This Row],[DateClosed]]))-1)</f>
        <v>18</v>
      </c>
      <c r="R4788" s="173" t="s">
        <v>6990</v>
      </c>
      <c r="S4788" s="150"/>
    </row>
    <row r="4789" spans="1:19" hidden="1">
      <c r="A4789" s="149" t="s">
        <v>6984</v>
      </c>
      <c r="B4789" s="150" t="str">
        <f>IFERROR(VLOOKUP(Proc[[#This Row],[App]],Table2[],3,0),"open")</f>
        <v>ok</v>
      </c>
      <c r="C4789" s="149" t="s">
        <v>369</v>
      </c>
      <c r="D4789" t="s">
        <v>6988</v>
      </c>
      <c r="E4789" t="s">
        <v>556</v>
      </c>
      <c r="F4789" s="150" t="s">
        <v>556</v>
      </c>
      <c r="G4789" s="149" t="s">
        <v>400</v>
      </c>
      <c r="H4789" s="150" t="str">
        <f>IF(Proc[[#This Row],[type]]="LFF (MDG-F)",MID(Proc[[#This Row],[Obj]],13,10),"")</f>
        <v/>
      </c>
      <c r="J4789" s="150" t="b">
        <f>Proc[[#This Row],[Requested]]=Proc[[#This Row],[CurrentParent]]</f>
        <v>1</v>
      </c>
      <c r="K4789" s="150" t="str">
        <f>IF(Proc[[#This Row],[Author]]="Marcela Urrego",VLOOKUP(LEFT(Proc[[#This Row],[Requested]],1),Table3[#All],2,0),VLOOKUP(Proc[[#This Row],[Author]],Table4[],2,0))</f>
        <v>LS?</v>
      </c>
      <c r="L4789" s="150" t="s">
        <v>6435</v>
      </c>
      <c r="M4789" s="172">
        <v>45986</v>
      </c>
      <c r="N4789" s="172"/>
      <c r="O4789" s="172"/>
      <c r="P4789" s="173" t="str">
        <f ca="1">IF(Proc[[#This Row],[DaysAgeing]]&gt;5,"yep","on track")</f>
        <v>yep</v>
      </c>
      <c r="Q4789" s="3">
        <f ca="1">IF(Proc[[#This Row],[DateClosed]]="",ABS(NETWORKDAYS(Proc[[#This Row],[DateOpened]],TODAY()))-1,ABS(NETWORKDAYS(Proc[[#This Row],[DateOpened]],Proc[[#This Row],[DateClosed]]))-1)</f>
        <v>18</v>
      </c>
      <c r="R4789" s="173" t="s">
        <v>6990</v>
      </c>
      <c r="S4789" s="150"/>
    </row>
    <row r="4790" spans="1:19" hidden="1">
      <c r="A4790" t="s">
        <v>6991</v>
      </c>
      <c r="B4790" s="150" t="str">
        <f>IFERROR(VLOOKUP(Proc[[#This Row],[App]],Table2[],3,0),"open")</f>
        <v>ok</v>
      </c>
      <c r="C4790" s="149" t="s">
        <v>369</v>
      </c>
      <c r="D4790" t="s">
        <v>6992</v>
      </c>
      <c r="E4790" t="s">
        <v>6997</v>
      </c>
      <c r="F4790" s="150" t="s">
        <v>6997</v>
      </c>
      <c r="G4790" t="s">
        <v>406</v>
      </c>
      <c r="H4790" s="150" t="str">
        <f>IF(Proc[[#This Row],[type]]="LFF (MDG-F)",MID(Proc[[#This Row],[Obj]],13,10),"")</f>
        <v>ES50Y54321</v>
      </c>
      <c r="J4790" s="150" t="b">
        <f>Proc[[#This Row],[Requested]]=Proc[[#This Row],[CurrentParent]]</f>
        <v>1</v>
      </c>
      <c r="K4790" s="150" t="str">
        <f>IF(Proc[[#This Row],[Author]]="Marcela Urrego",VLOOKUP(LEFT(Proc[[#This Row],[Requested]],1),Table3[#All],2,0),VLOOKUP(Proc[[#This Row],[Author]],Table4[],2,0))</f>
        <v>MGF</v>
      </c>
      <c r="L4790" s="150" t="s">
        <v>6435</v>
      </c>
      <c r="M4790" s="172">
        <v>45986</v>
      </c>
      <c r="N4790" s="172"/>
      <c r="O4790" s="172"/>
      <c r="P4790" s="173" t="str">
        <f ca="1">IF(Proc[[#This Row],[DaysAgeing]]&gt;5,"yep","on track")</f>
        <v>yep</v>
      </c>
      <c r="Q4790" s="3">
        <f ca="1">IF(Proc[[#This Row],[DateClosed]]="",ABS(NETWORKDAYS(Proc[[#This Row],[DateOpened]],TODAY()))-1,ABS(NETWORKDAYS(Proc[[#This Row],[DateOpened]],Proc[[#This Row],[DateClosed]]))-1)</f>
        <v>18</v>
      </c>
      <c r="R4790" s="172" t="s">
        <v>515</v>
      </c>
      <c r="S4790" s="150"/>
    </row>
    <row r="4791" spans="1:19" hidden="1">
      <c r="A4791" s="149" t="s">
        <v>6991</v>
      </c>
      <c r="B4791" s="150" t="str">
        <f>IFERROR(VLOOKUP(Proc[[#This Row],[App]],Table2[],3,0),"open")</f>
        <v>ok</v>
      </c>
      <c r="C4791" s="149" t="s">
        <v>369</v>
      </c>
      <c r="D4791" t="s">
        <v>6993</v>
      </c>
      <c r="E4791" t="s">
        <v>6997</v>
      </c>
      <c r="F4791" s="150" t="s">
        <v>6997</v>
      </c>
      <c r="G4791" t="s">
        <v>406</v>
      </c>
      <c r="H4791" s="150" t="str">
        <f>IF(Proc[[#This Row],[type]]="LFF (MDG-F)",MID(Proc[[#This Row],[Obj]],13,10),"")</f>
        <v>IT50Y54321</v>
      </c>
      <c r="J4791" s="150" t="b">
        <f>Proc[[#This Row],[Requested]]=Proc[[#This Row],[CurrentParent]]</f>
        <v>1</v>
      </c>
      <c r="K4791" s="150" t="str">
        <f>IF(Proc[[#This Row],[Author]]="Marcela Urrego",VLOOKUP(LEFT(Proc[[#This Row],[Requested]],1),Table3[#All],2,0),VLOOKUP(Proc[[#This Row],[Author]],Table4[],2,0))</f>
        <v>MGF</v>
      </c>
      <c r="L4791" s="150" t="s">
        <v>6435</v>
      </c>
      <c r="M4791" s="172">
        <v>45986</v>
      </c>
      <c r="N4791" s="172"/>
      <c r="O4791" s="172"/>
      <c r="P4791" s="173" t="str">
        <f ca="1">IF(Proc[[#This Row],[DaysAgeing]]&gt;5,"yep","on track")</f>
        <v>yep</v>
      </c>
      <c r="Q4791" s="3">
        <f ca="1">IF(Proc[[#This Row],[DateClosed]]="",ABS(NETWORKDAYS(Proc[[#This Row],[DateOpened]],TODAY()))-1,ABS(NETWORKDAYS(Proc[[#This Row],[DateOpened]],Proc[[#This Row],[DateClosed]]))-1)</f>
        <v>18</v>
      </c>
      <c r="R4791" s="172" t="s">
        <v>515</v>
      </c>
      <c r="S4791" s="150"/>
    </row>
    <row r="4792" spans="1:19" hidden="1">
      <c r="A4792" s="149" t="s">
        <v>6991</v>
      </c>
      <c r="B4792" s="150" t="str">
        <f>IFERROR(VLOOKUP(Proc[[#This Row],[App]],Table2[],3,0),"open")</f>
        <v>ok</v>
      </c>
      <c r="C4792" s="149" t="s">
        <v>369</v>
      </c>
      <c r="D4792" t="s">
        <v>6994</v>
      </c>
      <c r="E4792" t="s">
        <v>6997</v>
      </c>
      <c r="F4792" s="150" t="s">
        <v>6997</v>
      </c>
      <c r="G4792" t="s">
        <v>406</v>
      </c>
      <c r="H4792" s="150" t="str">
        <f>IF(Proc[[#This Row],[type]]="LFF (MDG-F)",MID(Proc[[#This Row],[Obj]],13,10),"")</f>
        <v>2123Y54321</v>
      </c>
      <c r="J4792" s="150" t="b">
        <f>Proc[[#This Row],[Requested]]=Proc[[#This Row],[CurrentParent]]</f>
        <v>1</v>
      </c>
      <c r="K4792" s="150" t="str">
        <f>IF(Proc[[#This Row],[Author]]="Marcela Urrego",VLOOKUP(LEFT(Proc[[#This Row],[Requested]],1),Table3[#All],2,0),VLOOKUP(Proc[[#This Row],[Author]],Table4[],2,0))</f>
        <v>MGF</v>
      </c>
      <c r="L4792" s="150" t="s">
        <v>6435</v>
      </c>
      <c r="M4792" s="172">
        <v>45986</v>
      </c>
      <c r="N4792" s="172"/>
      <c r="O4792" s="172"/>
      <c r="P4792" s="173" t="str">
        <f ca="1">IF(Proc[[#This Row],[DaysAgeing]]&gt;5,"yep","on track")</f>
        <v>yep</v>
      </c>
      <c r="Q4792" s="3">
        <f ca="1">IF(Proc[[#This Row],[DateClosed]]="",ABS(NETWORKDAYS(Proc[[#This Row],[DateOpened]],TODAY()))-1,ABS(NETWORKDAYS(Proc[[#This Row],[DateOpened]],Proc[[#This Row],[DateClosed]]))-1)</f>
        <v>18</v>
      </c>
      <c r="R4792" s="172" t="s">
        <v>515</v>
      </c>
      <c r="S4792" s="150"/>
    </row>
    <row r="4793" spans="1:19" hidden="1">
      <c r="A4793" s="149" t="s">
        <v>6991</v>
      </c>
      <c r="B4793" s="150" t="str">
        <f>IFERROR(VLOOKUP(Proc[[#This Row],[App]],Table2[],3,0),"open")</f>
        <v>ok</v>
      </c>
      <c r="C4793" s="149" t="s">
        <v>369</v>
      </c>
      <c r="D4793" t="s">
        <v>6995</v>
      </c>
      <c r="E4793" t="s">
        <v>6997</v>
      </c>
      <c r="F4793" s="150" t="s">
        <v>6997</v>
      </c>
      <c r="G4793" t="s">
        <v>400</v>
      </c>
      <c r="H4793" s="150" t="str">
        <f>IF(Proc[[#This Row],[type]]="LFF (MDG-F)",MID(Proc[[#This Row],[Obj]],13,10),"")</f>
        <v/>
      </c>
      <c r="J4793" s="150" t="b">
        <f>Proc[[#This Row],[Requested]]=Proc[[#This Row],[CurrentParent]]</f>
        <v>1</v>
      </c>
      <c r="K4793" s="150" t="str">
        <f>IF(Proc[[#This Row],[Author]]="Marcela Urrego",VLOOKUP(LEFT(Proc[[#This Row],[Requested]],1),Table3[#All],2,0),VLOOKUP(Proc[[#This Row],[Author]],Table4[],2,0))</f>
        <v>MGF</v>
      </c>
      <c r="L4793" s="150" t="s">
        <v>6435</v>
      </c>
      <c r="M4793" s="172">
        <v>45986</v>
      </c>
      <c r="N4793" s="172"/>
      <c r="O4793" s="172"/>
      <c r="P4793" s="173" t="str">
        <f ca="1">IF(Proc[[#This Row],[DaysAgeing]]&gt;5,"yep","on track")</f>
        <v>yep</v>
      </c>
      <c r="Q4793" s="3">
        <f ca="1">IF(Proc[[#This Row],[DateClosed]]="",ABS(NETWORKDAYS(Proc[[#This Row],[DateOpened]],TODAY()))-1,ABS(NETWORKDAYS(Proc[[#This Row],[DateOpened]],Proc[[#This Row],[DateClosed]]))-1)</f>
        <v>18</v>
      </c>
      <c r="R4793" s="172" t="s">
        <v>515</v>
      </c>
      <c r="S4793" s="150"/>
    </row>
    <row r="4794" spans="1:19" hidden="1">
      <c r="A4794" s="149" t="s">
        <v>6991</v>
      </c>
      <c r="B4794" s="150" t="str">
        <f>IFERROR(VLOOKUP(Proc[[#This Row],[App]],Table2[],3,0),"open")</f>
        <v>ok</v>
      </c>
      <c r="C4794" s="149" t="s">
        <v>369</v>
      </c>
      <c r="D4794" t="s">
        <v>6996</v>
      </c>
      <c r="E4794" t="s">
        <v>6997</v>
      </c>
      <c r="F4794" s="150" t="s">
        <v>6997</v>
      </c>
      <c r="G4794" t="s">
        <v>400</v>
      </c>
      <c r="H4794" s="150" t="str">
        <f>IF(Proc[[#This Row],[type]]="LFF (MDG-F)",MID(Proc[[#This Row],[Obj]],13,10),"")</f>
        <v/>
      </c>
      <c r="J4794" s="150" t="b">
        <f>Proc[[#This Row],[Requested]]=Proc[[#This Row],[CurrentParent]]</f>
        <v>1</v>
      </c>
      <c r="K4794" s="150" t="str">
        <f>IF(Proc[[#This Row],[Author]]="Marcela Urrego",VLOOKUP(LEFT(Proc[[#This Row],[Requested]],1),Table3[#All],2,0),VLOOKUP(Proc[[#This Row],[Author]],Table4[],2,0))</f>
        <v>MGF</v>
      </c>
      <c r="L4794" s="150" t="s">
        <v>6435</v>
      </c>
      <c r="M4794" s="172">
        <v>45986</v>
      </c>
      <c r="N4794" s="172"/>
      <c r="O4794" s="172"/>
      <c r="P4794" s="173" t="str">
        <f ca="1">IF(Proc[[#This Row],[DaysAgeing]]&gt;5,"yep","on track")</f>
        <v>yep</v>
      </c>
      <c r="Q4794" s="3">
        <f ca="1">IF(Proc[[#This Row],[DateClosed]]="",ABS(NETWORKDAYS(Proc[[#This Row],[DateOpened]],TODAY()))-1,ABS(NETWORKDAYS(Proc[[#This Row],[DateOpened]],Proc[[#This Row],[DateClosed]]))-1)</f>
        <v>18</v>
      </c>
      <c r="R4794" s="172" t="s">
        <v>515</v>
      </c>
      <c r="S4794" s="150"/>
    </row>
    <row r="4795" spans="1:19" hidden="1">
      <c r="A4795" t="s">
        <v>6999</v>
      </c>
      <c r="B4795" s="150" t="str">
        <f>IFERROR(VLOOKUP(Proc[[#This Row],[App]],Table2[],3,0),"open")</f>
        <v>ok</v>
      </c>
      <c r="C4795" s="149" t="s">
        <v>369</v>
      </c>
      <c r="D4795" t="s">
        <v>7000</v>
      </c>
      <c r="E4795" t="s">
        <v>6498</v>
      </c>
      <c r="F4795" s="150" t="s">
        <v>6498</v>
      </c>
      <c r="G4795" t="s">
        <v>400</v>
      </c>
      <c r="H4795" s="150" t="str">
        <f>IF(Proc[[#This Row],[type]]="LFF (MDG-F)",MID(Proc[[#This Row],[Obj]],13,10),"")</f>
        <v/>
      </c>
      <c r="J4795" s="150" t="b">
        <f>Proc[[#This Row],[Requested]]=Proc[[#This Row],[CurrentParent]]</f>
        <v>1</v>
      </c>
      <c r="K4795" s="150" t="str">
        <f>IF(Proc[[#This Row],[Author]]="Marcela Urrego",VLOOKUP(LEFT(Proc[[#This Row],[Requested]],1),Table3[#All],2,0),VLOOKUP(Proc[[#This Row],[Author]],Table4[],2,0))</f>
        <v>LS</v>
      </c>
      <c r="L4795" s="150" t="s">
        <v>6435</v>
      </c>
      <c r="M4795" s="172">
        <v>45986</v>
      </c>
      <c r="N4795" s="173"/>
      <c r="O4795" s="173"/>
      <c r="P4795" s="173" t="str">
        <f ca="1">IF(Proc[[#This Row],[DaysAgeing]]&gt;5,"yep","on track")</f>
        <v>yep</v>
      </c>
      <c r="Q4795" s="3">
        <f ca="1">IF(Proc[[#This Row],[DateClosed]]="",ABS(NETWORKDAYS(Proc[[#This Row],[DateOpened]],TODAY()))-1,ABS(NETWORKDAYS(Proc[[#This Row],[DateOpened]],Proc[[#This Row],[DateClosed]]))-1)</f>
        <v>18</v>
      </c>
      <c r="R4795" s="173" t="s">
        <v>489</v>
      </c>
      <c r="S4795" s="150"/>
    </row>
    <row r="4796" spans="1:19" hidden="1">
      <c r="A4796" t="s">
        <v>7001</v>
      </c>
      <c r="B4796" s="150" t="str">
        <f>IFERROR(VLOOKUP(Proc[[#This Row],[App]],Table2[],3,0),"open")</f>
        <v>ok</v>
      </c>
      <c r="C4796" s="149" t="s">
        <v>369</v>
      </c>
      <c r="D4796" t="s">
        <v>7005</v>
      </c>
      <c r="E4796" t="s">
        <v>7002</v>
      </c>
      <c r="F4796" s="150" t="s">
        <v>7002</v>
      </c>
      <c r="G4796" s="149" t="s">
        <v>406</v>
      </c>
      <c r="H4796" s="150" t="str">
        <f>IF(Proc[[#This Row],[type]]="LFF (MDG-F)",MID(Proc[[#This Row],[Obj]],13,10),"")</f>
        <v>DE10F27300</v>
      </c>
      <c r="I4796" s="149"/>
      <c r="J4796" s="150" t="b">
        <f>Proc[[#This Row],[Requested]]=Proc[[#This Row],[CurrentParent]]</f>
        <v>1</v>
      </c>
      <c r="K4796" s="150" t="str">
        <f>IF(Proc[[#This Row],[Author]]="Marcela Urrego",VLOOKUP(LEFT(Proc[[#This Row],[Requested]],1),Table3[#All],2,0),VLOOKUP(Proc[[#This Row],[Author]],Table4[],2,0))</f>
        <v>MGF</v>
      </c>
      <c r="L4796" s="150" t="s">
        <v>6435</v>
      </c>
      <c r="M4796" s="173">
        <v>45988</v>
      </c>
      <c r="N4796" s="174"/>
      <c r="O4796" s="174"/>
      <c r="P4796" s="174" t="str">
        <f ca="1">IF(Proc[[#This Row],[DaysAgeing]]&gt;5,"yep","on track")</f>
        <v>yep</v>
      </c>
      <c r="Q4796" s="3">
        <f ca="1">IF(Proc[[#This Row],[DateClosed]]="",ABS(NETWORKDAYS(Proc[[#This Row],[DateOpened]],TODAY()))-1,ABS(NETWORKDAYS(Proc[[#This Row],[DateOpened]],Proc[[#This Row],[DateClosed]]))-1)</f>
        <v>16</v>
      </c>
      <c r="R4796" s="174" t="s">
        <v>485</v>
      </c>
      <c r="S4796" s="150"/>
    </row>
    <row r="4797" spans="1:19" hidden="1">
      <c r="A4797" t="s">
        <v>7001</v>
      </c>
      <c r="B4797" s="150" t="str">
        <f>IFERROR(VLOOKUP(Proc[[#This Row],[App]],Table2[],3,0),"open")</f>
        <v>ok</v>
      </c>
      <c r="C4797" s="149" t="s">
        <v>369</v>
      </c>
      <c r="D4797" t="s">
        <v>7006</v>
      </c>
      <c r="E4797" t="s">
        <v>7003</v>
      </c>
      <c r="F4797" s="150" t="s">
        <v>7003</v>
      </c>
      <c r="G4797" s="149" t="s">
        <v>406</v>
      </c>
      <c r="H4797" s="150" t="str">
        <f>IF(Proc[[#This Row],[type]]="LFF (MDG-F)",MID(Proc[[#This Row],[Obj]],13,10),"")</f>
        <v>DE10566115</v>
      </c>
      <c r="I4797" s="149"/>
      <c r="J4797" s="150" t="b">
        <f>Proc[[#This Row],[Requested]]=Proc[[#This Row],[CurrentParent]]</f>
        <v>1</v>
      </c>
      <c r="K4797" s="150" t="str">
        <f>IF(Proc[[#This Row],[Author]]="Marcela Urrego",VLOOKUP(LEFT(Proc[[#This Row],[Requested]],1),Table3[#All],2,0),VLOOKUP(Proc[[#This Row],[Author]],Table4[],2,0))</f>
        <v>MGF</v>
      </c>
      <c r="L4797" s="150" t="s">
        <v>6435</v>
      </c>
      <c r="M4797" s="173">
        <v>45988</v>
      </c>
      <c r="N4797" s="174"/>
      <c r="O4797" s="174"/>
      <c r="P4797" s="174" t="str">
        <f ca="1">IF(Proc[[#This Row],[DaysAgeing]]&gt;5,"yep","on track")</f>
        <v>yep</v>
      </c>
      <c r="Q4797" s="3">
        <f ca="1">IF(Proc[[#This Row],[DateClosed]]="",ABS(NETWORKDAYS(Proc[[#This Row],[DateOpened]],TODAY()))-1,ABS(NETWORKDAYS(Proc[[#This Row],[DateOpened]],Proc[[#This Row],[DateClosed]]))-1)</f>
        <v>16</v>
      </c>
      <c r="R4797" s="174" t="s">
        <v>485</v>
      </c>
      <c r="S4797" s="150"/>
    </row>
    <row r="4798" spans="1:19" hidden="1">
      <c r="A4798" s="149" t="s">
        <v>7001</v>
      </c>
      <c r="B4798" s="150" t="str">
        <f>IFERROR(VLOOKUP(Proc[[#This Row],[App]],Table2[],3,0),"open")</f>
        <v>ok</v>
      </c>
      <c r="C4798" s="149" t="s">
        <v>369</v>
      </c>
      <c r="D4798" t="s">
        <v>7007</v>
      </c>
      <c r="E4798" t="s">
        <v>7003</v>
      </c>
      <c r="F4798" s="150" t="s">
        <v>7003</v>
      </c>
      <c r="G4798" s="149" t="s">
        <v>406</v>
      </c>
      <c r="H4798" s="150" t="str">
        <f>IF(Proc[[#This Row],[type]]="LFF (MDG-F)",MID(Proc[[#This Row],[Obj]],13,10),"")</f>
        <v>DE10566116</v>
      </c>
      <c r="I4798" s="149"/>
      <c r="J4798" s="150" t="b">
        <f>Proc[[#This Row],[Requested]]=Proc[[#This Row],[CurrentParent]]</f>
        <v>1</v>
      </c>
      <c r="K4798" s="150" t="str">
        <f>IF(Proc[[#This Row],[Author]]="Marcela Urrego",VLOOKUP(LEFT(Proc[[#This Row],[Requested]],1),Table3[#All],2,0),VLOOKUP(Proc[[#This Row],[Author]],Table4[],2,0))</f>
        <v>MGF</v>
      </c>
      <c r="L4798" s="150" t="s">
        <v>6435</v>
      </c>
      <c r="M4798" s="173">
        <v>45988</v>
      </c>
      <c r="N4798" s="174"/>
      <c r="O4798" s="174"/>
      <c r="P4798" s="174" t="str">
        <f ca="1">IF(Proc[[#This Row],[DaysAgeing]]&gt;5,"yep","on track")</f>
        <v>yep</v>
      </c>
      <c r="Q4798" s="3">
        <f ca="1">IF(Proc[[#This Row],[DateClosed]]="",ABS(NETWORKDAYS(Proc[[#This Row],[DateOpened]],TODAY()))-1,ABS(NETWORKDAYS(Proc[[#This Row],[DateOpened]],Proc[[#This Row],[DateClosed]]))-1)</f>
        <v>16</v>
      </c>
      <c r="R4798" s="174" t="s">
        <v>485</v>
      </c>
      <c r="S4798" s="150"/>
    </row>
    <row r="4799" spans="1:19" hidden="1">
      <c r="A4799" s="149" t="s">
        <v>7001</v>
      </c>
      <c r="B4799" s="150" t="str">
        <f>IFERROR(VLOOKUP(Proc[[#This Row],[App]],Table2[],3,0),"open")</f>
        <v>ok</v>
      </c>
      <c r="C4799" s="149" t="s">
        <v>369</v>
      </c>
      <c r="D4799" t="s">
        <v>7008</v>
      </c>
      <c r="E4799" t="s">
        <v>7003</v>
      </c>
      <c r="F4799" s="150" t="s">
        <v>7003</v>
      </c>
      <c r="G4799" s="149" t="s">
        <v>406</v>
      </c>
      <c r="H4799" s="150" t="str">
        <f>IF(Proc[[#This Row],[type]]="LFF (MDG-F)",MID(Proc[[#This Row],[Obj]],13,10),"")</f>
        <v>DE10566118</v>
      </c>
      <c r="I4799" s="149"/>
      <c r="J4799" s="150" t="b">
        <f>Proc[[#This Row],[Requested]]=Proc[[#This Row],[CurrentParent]]</f>
        <v>1</v>
      </c>
      <c r="K4799" s="150" t="str">
        <f>IF(Proc[[#This Row],[Author]]="Marcela Urrego",VLOOKUP(LEFT(Proc[[#This Row],[Requested]],1),Table3[#All],2,0),VLOOKUP(Proc[[#This Row],[Author]],Table4[],2,0))</f>
        <v>MGF</v>
      </c>
      <c r="L4799" s="150" t="s">
        <v>6435</v>
      </c>
      <c r="M4799" s="173">
        <v>45988</v>
      </c>
      <c r="N4799" s="174"/>
      <c r="O4799" s="174"/>
      <c r="P4799" s="174" t="str">
        <f ca="1">IF(Proc[[#This Row],[DaysAgeing]]&gt;5,"yep","on track")</f>
        <v>yep</v>
      </c>
      <c r="Q4799" s="3">
        <f ca="1">IF(Proc[[#This Row],[DateClosed]]="",ABS(NETWORKDAYS(Proc[[#This Row],[DateOpened]],TODAY()))-1,ABS(NETWORKDAYS(Proc[[#This Row],[DateOpened]],Proc[[#This Row],[DateClosed]]))-1)</f>
        <v>16</v>
      </c>
      <c r="R4799" s="174" t="s">
        <v>485</v>
      </c>
      <c r="S4799" s="150"/>
    </row>
    <row r="4800" spans="1:19" hidden="1">
      <c r="A4800" s="149" t="s">
        <v>7001</v>
      </c>
      <c r="B4800" s="150" t="str">
        <f>IFERROR(VLOOKUP(Proc[[#This Row],[App]],Table2[],3,0),"open")</f>
        <v>ok</v>
      </c>
      <c r="C4800" s="149" t="s">
        <v>369</v>
      </c>
      <c r="D4800" t="s">
        <v>7009</v>
      </c>
      <c r="E4800" t="s">
        <v>7003</v>
      </c>
      <c r="F4800" s="150" t="s">
        <v>7003</v>
      </c>
      <c r="G4800" s="149" t="s">
        <v>406</v>
      </c>
      <c r="H4800" s="150" t="str">
        <f>IF(Proc[[#This Row],[type]]="LFF (MDG-F)",MID(Proc[[#This Row],[Obj]],13,10),"")</f>
        <v>DE10566120</v>
      </c>
      <c r="I4800" s="149"/>
      <c r="J4800" s="150" t="b">
        <f>Proc[[#This Row],[Requested]]=Proc[[#This Row],[CurrentParent]]</f>
        <v>1</v>
      </c>
      <c r="K4800" s="150" t="str">
        <f>IF(Proc[[#This Row],[Author]]="Marcela Urrego",VLOOKUP(LEFT(Proc[[#This Row],[Requested]],1),Table3[#All],2,0),VLOOKUP(Proc[[#This Row],[Author]],Table4[],2,0))</f>
        <v>MGF</v>
      </c>
      <c r="L4800" s="150" t="s">
        <v>6435</v>
      </c>
      <c r="M4800" s="173">
        <v>45988</v>
      </c>
      <c r="N4800" s="174"/>
      <c r="O4800" s="174"/>
      <c r="P4800" s="174" t="str">
        <f ca="1">IF(Proc[[#This Row],[DaysAgeing]]&gt;5,"yep","on track")</f>
        <v>yep</v>
      </c>
      <c r="Q4800" s="3">
        <f ca="1">IF(Proc[[#This Row],[DateClosed]]="",ABS(NETWORKDAYS(Proc[[#This Row],[DateOpened]],TODAY()))-1,ABS(NETWORKDAYS(Proc[[#This Row],[DateOpened]],Proc[[#This Row],[DateClosed]]))-1)</f>
        <v>16</v>
      </c>
      <c r="R4800" s="174" t="s">
        <v>485</v>
      </c>
      <c r="S4800" s="150"/>
    </row>
    <row r="4801" spans="1:19" hidden="1">
      <c r="A4801" s="149" t="s">
        <v>7001</v>
      </c>
      <c r="B4801" s="150" t="str">
        <f>IFERROR(VLOOKUP(Proc[[#This Row],[App]],Table2[],3,0),"open")</f>
        <v>ok</v>
      </c>
      <c r="C4801" s="149" t="s">
        <v>369</v>
      </c>
      <c r="D4801" t="s">
        <v>7010</v>
      </c>
      <c r="E4801" t="s">
        <v>7003</v>
      </c>
      <c r="F4801" s="150" t="s">
        <v>7003</v>
      </c>
      <c r="G4801" s="149" t="s">
        <v>406</v>
      </c>
      <c r="H4801" s="150" t="str">
        <f>IF(Proc[[#This Row],[type]]="LFF (MDG-F)",MID(Proc[[#This Row],[Obj]],13,10),"")</f>
        <v>DE10566121</v>
      </c>
      <c r="I4801" s="149"/>
      <c r="J4801" s="150" t="b">
        <f>Proc[[#This Row],[Requested]]=Proc[[#This Row],[CurrentParent]]</f>
        <v>1</v>
      </c>
      <c r="K4801" s="150" t="str">
        <f>IF(Proc[[#This Row],[Author]]="Marcela Urrego",VLOOKUP(LEFT(Proc[[#This Row],[Requested]],1),Table3[#All],2,0),VLOOKUP(Proc[[#This Row],[Author]],Table4[],2,0))</f>
        <v>MGF</v>
      </c>
      <c r="L4801" s="150" t="s">
        <v>6435</v>
      </c>
      <c r="M4801" s="173">
        <v>45988</v>
      </c>
      <c r="N4801" s="174"/>
      <c r="O4801" s="174"/>
      <c r="P4801" s="174" t="str">
        <f ca="1">IF(Proc[[#This Row],[DaysAgeing]]&gt;5,"yep","on track")</f>
        <v>yep</v>
      </c>
      <c r="Q4801" s="3">
        <f ca="1">IF(Proc[[#This Row],[DateClosed]]="",ABS(NETWORKDAYS(Proc[[#This Row],[DateOpened]],TODAY()))-1,ABS(NETWORKDAYS(Proc[[#This Row],[DateOpened]],Proc[[#This Row],[DateClosed]]))-1)</f>
        <v>16</v>
      </c>
      <c r="R4801" s="174" t="s">
        <v>485</v>
      </c>
      <c r="S4801" s="150"/>
    </row>
    <row r="4802" spans="1:19" hidden="1">
      <c r="A4802" s="149" t="s">
        <v>7001</v>
      </c>
      <c r="B4802" s="150" t="str">
        <f>IFERROR(VLOOKUP(Proc[[#This Row],[App]],Table2[],3,0),"open")</f>
        <v>ok</v>
      </c>
      <c r="C4802" s="149" t="s">
        <v>369</v>
      </c>
      <c r="D4802" t="s">
        <v>7011</v>
      </c>
      <c r="E4802" t="s">
        <v>7003</v>
      </c>
      <c r="F4802" s="150" t="s">
        <v>7003</v>
      </c>
      <c r="G4802" s="149" t="s">
        <v>406</v>
      </c>
      <c r="H4802" s="150" t="str">
        <f>IF(Proc[[#This Row],[type]]="LFF (MDG-F)",MID(Proc[[#This Row],[Obj]],13,10),"")</f>
        <v>DE10566122</v>
      </c>
      <c r="I4802" s="149"/>
      <c r="J4802" s="150" t="b">
        <f>Proc[[#This Row],[Requested]]=Proc[[#This Row],[CurrentParent]]</f>
        <v>1</v>
      </c>
      <c r="K4802" s="150" t="str">
        <f>IF(Proc[[#This Row],[Author]]="Marcela Urrego",VLOOKUP(LEFT(Proc[[#This Row],[Requested]],1),Table3[#All],2,0),VLOOKUP(Proc[[#This Row],[Author]],Table4[],2,0))</f>
        <v>MGF</v>
      </c>
      <c r="L4802" s="150" t="s">
        <v>6435</v>
      </c>
      <c r="M4802" s="173">
        <v>45988</v>
      </c>
      <c r="N4802" s="174"/>
      <c r="O4802" s="174"/>
      <c r="P4802" s="174" t="str">
        <f ca="1">IF(Proc[[#This Row],[DaysAgeing]]&gt;5,"yep","on track")</f>
        <v>yep</v>
      </c>
      <c r="Q4802" s="3">
        <f ca="1">IF(Proc[[#This Row],[DateClosed]]="",ABS(NETWORKDAYS(Proc[[#This Row],[DateOpened]],TODAY()))-1,ABS(NETWORKDAYS(Proc[[#This Row],[DateOpened]],Proc[[#This Row],[DateClosed]]))-1)</f>
        <v>16</v>
      </c>
      <c r="R4802" s="174" t="s">
        <v>485</v>
      </c>
      <c r="S4802" s="150"/>
    </row>
    <row r="4803" spans="1:19" hidden="1">
      <c r="A4803" s="149" t="s">
        <v>7001</v>
      </c>
      <c r="B4803" s="150" t="str">
        <f>IFERROR(VLOOKUP(Proc[[#This Row],[App]],Table2[],3,0),"open")</f>
        <v>ok</v>
      </c>
      <c r="C4803" s="149" t="s">
        <v>369</v>
      </c>
      <c r="D4803" t="s">
        <v>7012</v>
      </c>
      <c r="E4803" t="s">
        <v>7003</v>
      </c>
      <c r="F4803" s="150" t="s">
        <v>7003</v>
      </c>
      <c r="G4803" s="149" t="s">
        <v>406</v>
      </c>
      <c r="H4803" s="150" t="str">
        <f>IF(Proc[[#This Row],[type]]="LFF (MDG-F)",MID(Proc[[#This Row],[Obj]],13,10),"")</f>
        <v>DE10566125</v>
      </c>
      <c r="I4803" s="149"/>
      <c r="J4803" s="150" t="b">
        <f>Proc[[#This Row],[Requested]]=Proc[[#This Row],[CurrentParent]]</f>
        <v>1</v>
      </c>
      <c r="K4803" s="150" t="str">
        <f>IF(Proc[[#This Row],[Author]]="Marcela Urrego",VLOOKUP(LEFT(Proc[[#This Row],[Requested]],1),Table3[#All],2,0),VLOOKUP(Proc[[#This Row],[Author]],Table4[],2,0))</f>
        <v>MGF</v>
      </c>
      <c r="L4803" s="150" t="s">
        <v>6435</v>
      </c>
      <c r="M4803" s="173">
        <v>45988</v>
      </c>
      <c r="N4803" s="174"/>
      <c r="O4803" s="174"/>
      <c r="P4803" s="174" t="str">
        <f ca="1">IF(Proc[[#This Row],[DaysAgeing]]&gt;5,"yep","on track")</f>
        <v>yep</v>
      </c>
      <c r="Q4803" s="3">
        <f ca="1">IF(Proc[[#This Row],[DateClosed]]="",ABS(NETWORKDAYS(Proc[[#This Row],[DateOpened]],TODAY()))-1,ABS(NETWORKDAYS(Proc[[#This Row],[DateOpened]],Proc[[#This Row],[DateClosed]]))-1)</f>
        <v>16</v>
      </c>
      <c r="R4803" s="174" t="s">
        <v>485</v>
      </c>
      <c r="S4803" s="150"/>
    </row>
    <row r="4804" spans="1:19" hidden="1">
      <c r="A4804" s="149" t="s">
        <v>7001</v>
      </c>
      <c r="B4804" s="150" t="str">
        <f>IFERROR(VLOOKUP(Proc[[#This Row],[App]],Table2[],3,0),"open")</f>
        <v>ok</v>
      </c>
      <c r="C4804" s="149" t="s">
        <v>369</v>
      </c>
      <c r="D4804" t="s">
        <v>7013</v>
      </c>
      <c r="E4804" t="s">
        <v>7003</v>
      </c>
      <c r="F4804" s="150" t="s">
        <v>7003</v>
      </c>
      <c r="G4804" s="149" t="s">
        <v>406</v>
      </c>
      <c r="H4804" s="150" t="str">
        <f>IF(Proc[[#This Row],[type]]="LFF (MDG-F)",MID(Proc[[#This Row],[Obj]],13,10),"")</f>
        <v>DE10566127</v>
      </c>
      <c r="I4804" s="149"/>
      <c r="J4804" s="150" t="b">
        <f>Proc[[#This Row],[Requested]]=Proc[[#This Row],[CurrentParent]]</f>
        <v>1</v>
      </c>
      <c r="K4804" s="150" t="str">
        <f>IF(Proc[[#This Row],[Author]]="Marcela Urrego",VLOOKUP(LEFT(Proc[[#This Row],[Requested]],1),Table3[#All],2,0),VLOOKUP(Proc[[#This Row],[Author]],Table4[],2,0))</f>
        <v>MGF</v>
      </c>
      <c r="L4804" s="150" t="s">
        <v>6435</v>
      </c>
      <c r="M4804" s="173">
        <v>45988</v>
      </c>
      <c r="N4804" s="174"/>
      <c r="O4804" s="174"/>
      <c r="P4804" s="174" t="str">
        <f ca="1">IF(Proc[[#This Row],[DaysAgeing]]&gt;5,"yep","on track")</f>
        <v>yep</v>
      </c>
      <c r="Q4804" s="3">
        <f ca="1">IF(Proc[[#This Row],[DateClosed]]="",ABS(NETWORKDAYS(Proc[[#This Row],[DateOpened]],TODAY()))-1,ABS(NETWORKDAYS(Proc[[#This Row],[DateOpened]],Proc[[#This Row],[DateClosed]]))-1)</f>
        <v>16</v>
      </c>
      <c r="R4804" s="174" t="s">
        <v>485</v>
      </c>
      <c r="S4804" s="150"/>
    </row>
    <row r="4805" spans="1:19" hidden="1">
      <c r="A4805" s="149" t="s">
        <v>7001</v>
      </c>
      <c r="B4805" s="150" t="str">
        <f>IFERROR(VLOOKUP(Proc[[#This Row],[App]],Table2[],3,0),"open")</f>
        <v>ok</v>
      </c>
      <c r="C4805" s="149" t="s">
        <v>369</v>
      </c>
      <c r="D4805" t="s">
        <v>7014</v>
      </c>
      <c r="E4805" t="s">
        <v>7002</v>
      </c>
      <c r="F4805" s="150" t="s">
        <v>7002</v>
      </c>
      <c r="G4805" s="149" t="s">
        <v>406</v>
      </c>
      <c r="H4805" s="150" t="str">
        <f>IF(Proc[[#This Row],[type]]="LFF (MDG-F)",MID(Proc[[#This Row],[Obj]],13,10),"")</f>
        <v>DE10E16300</v>
      </c>
      <c r="I4805" s="149"/>
      <c r="J4805" s="150" t="b">
        <f>Proc[[#This Row],[Requested]]=Proc[[#This Row],[CurrentParent]]</f>
        <v>1</v>
      </c>
      <c r="K4805" s="150" t="str">
        <f>IF(Proc[[#This Row],[Author]]="Marcela Urrego",VLOOKUP(LEFT(Proc[[#This Row],[Requested]],1),Table3[#All],2,0),VLOOKUP(Proc[[#This Row],[Author]],Table4[],2,0))</f>
        <v>MGF</v>
      </c>
      <c r="L4805" s="150" t="s">
        <v>6435</v>
      </c>
      <c r="M4805" s="173">
        <v>45988</v>
      </c>
      <c r="N4805" s="174"/>
      <c r="O4805" s="174"/>
      <c r="P4805" s="174" t="str">
        <f ca="1">IF(Proc[[#This Row],[DaysAgeing]]&gt;5,"yep","on track")</f>
        <v>yep</v>
      </c>
      <c r="Q4805" s="3">
        <f ca="1">IF(Proc[[#This Row],[DateClosed]]="",ABS(NETWORKDAYS(Proc[[#This Row],[DateOpened]],TODAY()))-1,ABS(NETWORKDAYS(Proc[[#This Row],[DateOpened]],Proc[[#This Row],[DateClosed]]))-1)</f>
        <v>16</v>
      </c>
      <c r="R4805" s="174" t="s">
        <v>485</v>
      </c>
      <c r="S4805" s="150"/>
    </row>
    <row r="4806" spans="1:19" hidden="1">
      <c r="A4806" s="149" t="s">
        <v>7001</v>
      </c>
      <c r="B4806" s="150" t="str">
        <f>IFERROR(VLOOKUP(Proc[[#This Row],[App]],Table2[],3,0),"open")</f>
        <v>ok</v>
      </c>
      <c r="C4806" s="149" t="s">
        <v>369</v>
      </c>
      <c r="D4806" t="s">
        <v>7015</v>
      </c>
      <c r="E4806" t="s">
        <v>7002</v>
      </c>
      <c r="F4806" s="150" t="s">
        <v>7002</v>
      </c>
      <c r="G4806" s="149" t="s">
        <v>406</v>
      </c>
      <c r="H4806" s="150" t="str">
        <f>IF(Proc[[#This Row],[type]]="LFF (MDG-F)",MID(Proc[[#This Row],[Obj]],13,10),"")</f>
        <v>DE10E16600</v>
      </c>
      <c r="I4806" s="149"/>
      <c r="J4806" s="150" t="b">
        <f>Proc[[#This Row],[Requested]]=Proc[[#This Row],[CurrentParent]]</f>
        <v>1</v>
      </c>
      <c r="K4806" s="150" t="str">
        <f>IF(Proc[[#This Row],[Author]]="Marcela Urrego",VLOOKUP(LEFT(Proc[[#This Row],[Requested]],1),Table3[#All],2,0),VLOOKUP(Proc[[#This Row],[Author]],Table4[],2,0))</f>
        <v>MGF</v>
      </c>
      <c r="L4806" s="150" t="s">
        <v>6435</v>
      </c>
      <c r="M4806" s="173">
        <v>45988</v>
      </c>
      <c r="N4806" s="174"/>
      <c r="O4806" s="174"/>
      <c r="P4806" s="174" t="str">
        <f ca="1">IF(Proc[[#This Row],[DaysAgeing]]&gt;5,"yep","on track")</f>
        <v>yep</v>
      </c>
      <c r="Q4806" s="3">
        <f ca="1">IF(Proc[[#This Row],[DateClosed]]="",ABS(NETWORKDAYS(Proc[[#This Row],[DateOpened]],TODAY()))-1,ABS(NETWORKDAYS(Proc[[#This Row],[DateOpened]],Proc[[#This Row],[DateClosed]]))-1)</f>
        <v>16</v>
      </c>
      <c r="R4806" s="174" t="s">
        <v>485</v>
      </c>
      <c r="S4806" s="150"/>
    </row>
    <row r="4807" spans="1:19" hidden="1">
      <c r="A4807" s="149" t="s">
        <v>7001</v>
      </c>
      <c r="B4807" s="150" t="str">
        <f>IFERROR(VLOOKUP(Proc[[#This Row],[App]],Table2[],3,0),"open")</f>
        <v>ok</v>
      </c>
      <c r="C4807" s="149" t="s">
        <v>369</v>
      </c>
      <c r="D4807" t="s">
        <v>7016</v>
      </c>
      <c r="E4807" t="s">
        <v>7002</v>
      </c>
      <c r="F4807" s="150" t="s">
        <v>7002</v>
      </c>
      <c r="G4807" s="149" t="s">
        <v>406</v>
      </c>
      <c r="H4807" s="150" t="str">
        <f>IF(Proc[[#This Row],[type]]="LFF (MDG-F)",MID(Proc[[#This Row],[Obj]],13,10),"")</f>
        <v>DE10E38020</v>
      </c>
      <c r="I4807" s="149"/>
      <c r="J4807" s="150" t="b">
        <f>Proc[[#This Row],[Requested]]=Proc[[#This Row],[CurrentParent]]</f>
        <v>1</v>
      </c>
      <c r="K4807" s="150" t="str">
        <f>IF(Proc[[#This Row],[Author]]="Marcela Urrego",VLOOKUP(LEFT(Proc[[#This Row],[Requested]],1),Table3[#All],2,0),VLOOKUP(Proc[[#This Row],[Author]],Table4[],2,0))</f>
        <v>MGF</v>
      </c>
      <c r="L4807" s="150" t="s">
        <v>6435</v>
      </c>
      <c r="M4807" s="173">
        <v>45988</v>
      </c>
      <c r="N4807" s="174"/>
      <c r="O4807" s="174"/>
      <c r="P4807" s="174" t="str">
        <f ca="1">IF(Proc[[#This Row],[DaysAgeing]]&gt;5,"yep","on track")</f>
        <v>yep</v>
      </c>
      <c r="Q4807" s="3">
        <f ca="1">IF(Proc[[#This Row],[DateClosed]]="",ABS(NETWORKDAYS(Proc[[#This Row],[DateOpened]],TODAY()))-1,ABS(NETWORKDAYS(Proc[[#This Row],[DateOpened]],Proc[[#This Row],[DateClosed]]))-1)</f>
        <v>16</v>
      </c>
      <c r="R4807" s="174" t="s">
        <v>485</v>
      </c>
      <c r="S4807" s="150"/>
    </row>
    <row r="4808" spans="1:19" hidden="1">
      <c r="A4808" s="149" t="s">
        <v>7001</v>
      </c>
      <c r="B4808" s="150" t="str">
        <f>IFERROR(VLOOKUP(Proc[[#This Row],[App]],Table2[],3,0),"open")</f>
        <v>ok</v>
      </c>
      <c r="C4808" s="149" t="s">
        <v>369</v>
      </c>
      <c r="D4808" t="s">
        <v>7017</v>
      </c>
      <c r="E4808" t="s">
        <v>7004</v>
      </c>
      <c r="F4808" s="150" t="s">
        <v>7004</v>
      </c>
      <c r="G4808" s="149" t="s">
        <v>406</v>
      </c>
      <c r="H4808" s="150" t="str">
        <f>IF(Proc[[#This Row],[type]]="LFF (MDG-F)",MID(Proc[[#This Row],[Obj]],13,10),"")</f>
        <v>DE10E38800</v>
      </c>
      <c r="I4808" s="149"/>
      <c r="J4808" s="150" t="b">
        <f>Proc[[#This Row],[Requested]]=Proc[[#This Row],[CurrentParent]]</f>
        <v>1</v>
      </c>
      <c r="K4808" s="150" t="str">
        <f>IF(Proc[[#This Row],[Author]]="Marcela Urrego",VLOOKUP(LEFT(Proc[[#This Row],[Requested]],1),Table3[#All],2,0),VLOOKUP(Proc[[#This Row],[Author]],Table4[],2,0))</f>
        <v>MGF</v>
      </c>
      <c r="L4808" s="150" t="s">
        <v>6435</v>
      </c>
      <c r="M4808" s="173">
        <v>45988</v>
      </c>
      <c r="N4808" s="174"/>
      <c r="O4808" s="174"/>
      <c r="P4808" s="174" t="str">
        <f ca="1">IF(Proc[[#This Row],[DaysAgeing]]&gt;5,"yep","on track")</f>
        <v>yep</v>
      </c>
      <c r="Q4808" s="3">
        <f ca="1">IF(Proc[[#This Row],[DateClosed]]="",ABS(NETWORKDAYS(Proc[[#This Row],[DateOpened]],TODAY()))-1,ABS(NETWORKDAYS(Proc[[#This Row],[DateOpened]],Proc[[#This Row],[DateClosed]]))-1)</f>
        <v>16</v>
      </c>
      <c r="R4808" s="174" t="s">
        <v>485</v>
      </c>
      <c r="S4808" s="150"/>
    </row>
    <row r="4809" spans="1:19" hidden="1">
      <c r="A4809" s="149" t="s">
        <v>7001</v>
      </c>
      <c r="B4809" s="150" t="str">
        <f>IFERROR(VLOOKUP(Proc[[#This Row],[App]],Table2[],3,0),"open")</f>
        <v>ok</v>
      </c>
      <c r="C4809" s="149" t="s">
        <v>369</v>
      </c>
      <c r="D4809" t="s">
        <v>7018</v>
      </c>
      <c r="E4809" t="s">
        <v>7002</v>
      </c>
      <c r="F4809" s="150" t="s">
        <v>7002</v>
      </c>
      <c r="G4809" s="149" t="s">
        <v>406</v>
      </c>
      <c r="H4809" s="150" t="str">
        <f>IF(Proc[[#This Row],[type]]="LFF (MDG-F)",MID(Proc[[#This Row],[Obj]],13,10),"")</f>
        <v>DE10E38810</v>
      </c>
      <c r="I4809" s="149"/>
      <c r="J4809" s="150" t="b">
        <f>Proc[[#This Row],[Requested]]=Proc[[#This Row],[CurrentParent]]</f>
        <v>1</v>
      </c>
      <c r="K4809" s="150" t="str">
        <f>IF(Proc[[#This Row],[Author]]="Marcela Urrego",VLOOKUP(LEFT(Proc[[#This Row],[Requested]],1),Table3[#All],2,0),VLOOKUP(Proc[[#This Row],[Author]],Table4[],2,0))</f>
        <v>MGF</v>
      </c>
      <c r="L4809" s="150" t="s">
        <v>6435</v>
      </c>
      <c r="M4809" s="173">
        <v>45988</v>
      </c>
      <c r="N4809" s="174"/>
      <c r="O4809" s="174"/>
      <c r="P4809" s="174" t="str">
        <f ca="1">IF(Proc[[#This Row],[DaysAgeing]]&gt;5,"yep","on track")</f>
        <v>yep</v>
      </c>
      <c r="Q4809" s="3">
        <f ca="1">IF(Proc[[#This Row],[DateClosed]]="",ABS(NETWORKDAYS(Proc[[#This Row],[DateOpened]],TODAY()))-1,ABS(NETWORKDAYS(Proc[[#This Row],[DateOpened]],Proc[[#This Row],[DateClosed]]))-1)</f>
        <v>16</v>
      </c>
      <c r="R4809" s="174" t="s">
        <v>485</v>
      </c>
      <c r="S4809" s="150"/>
    </row>
    <row r="4810" spans="1:19" hidden="1">
      <c r="A4810" s="149" t="s">
        <v>7001</v>
      </c>
      <c r="B4810" s="150" t="str">
        <f>IFERROR(VLOOKUP(Proc[[#This Row],[App]],Table2[],3,0),"open")</f>
        <v>ok</v>
      </c>
      <c r="C4810" s="149" t="s">
        <v>369</v>
      </c>
      <c r="D4810" t="s">
        <v>7019</v>
      </c>
      <c r="E4810" t="s">
        <v>7002</v>
      </c>
      <c r="F4810" s="150" t="s">
        <v>7002</v>
      </c>
      <c r="G4810" s="149" t="s">
        <v>406</v>
      </c>
      <c r="H4810" s="150" t="str">
        <f>IF(Proc[[#This Row],[type]]="LFF (MDG-F)",MID(Proc[[#This Row],[Obj]],13,10),"")</f>
        <v>DE10E61000</v>
      </c>
      <c r="I4810" s="149"/>
      <c r="J4810" s="150" t="b">
        <f>Proc[[#This Row],[Requested]]=Proc[[#This Row],[CurrentParent]]</f>
        <v>1</v>
      </c>
      <c r="K4810" s="150" t="str">
        <f>IF(Proc[[#This Row],[Author]]="Marcela Urrego",VLOOKUP(LEFT(Proc[[#This Row],[Requested]],1),Table3[#All],2,0),VLOOKUP(Proc[[#This Row],[Author]],Table4[],2,0))</f>
        <v>MGF</v>
      </c>
      <c r="L4810" s="150" t="s">
        <v>6435</v>
      </c>
      <c r="M4810" s="173">
        <v>45988</v>
      </c>
      <c r="N4810" s="174"/>
      <c r="O4810" s="174"/>
      <c r="P4810" s="174" t="str">
        <f ca="1">IF(Proc[[#This Row],[DaysAgeing]]&gt;5,"yep","on track")</f>
        <v>yep</v>
      </c>
      <c r="Q4810" s="3">
        <f ca="1">IF(Proc[[#This Row],[DateClosed]]="",ABS(NETWORKDAYS(Proc[[#This Row],[DateOpened]],TODAY()))-1,ABS(NETWORKDAYS(Proc[[#This Row],[DateOpened]],Proc[[#This Row],[DateClosed]]))-1)</f>
        <v>16</v>
      </c>
      <c r="R4810" s="174" t="s">
        <v>485</v>
      </c>
      <c r="S4810" s="150"/>
    </row>
    <row r="4811" spans="1:19" hidden="1">
      <c r="A4811" s="149" t="s">
        <v>7001</v>
      </c>
      <c r="B4811" s="150" t="str">
        <f>IFERROR(VLOOKUP(Proc[[#This Row],[App]],Table2[],3,0),"open")</f>
        <v>ok</v>
      </c>
      <c r="C4811" s="149" t="s">
        <v>369</v>
      </c>
      <c r="D4811" t="s">
        <v>7020</v>
      </c>
      <c r="E4811" t="s">
        <v>7002</v>
      </c>
      <c r="F4811" s="150" t="s">
        <v>7002</v>
      </c>
      <c r="G4811" s="149" t="s">
        <v>406</v>
      </c>
      <c r="H4811" s="150" t="str">
        <f>IF(Proc[[#This Row],[type]]="LFF (MDG-F)",MID(Proc[[#This Row],[Obj]],13,10),"")</f>
        <v>DE10E61100</v>
      </c>
      <c r="I4811" s="149"/>
      <c r="J4811" s="150" t="b">
        <f>Proc[[#This Row],[Requested]]=Proc[[#This Row],[CurrentParent]]</f>
        <v>1</v>
      </c>
      <c r="K4811" s="150" t="str">
        <f>IF(Proc[[#This Row],[Author]]="Marcela Urrego",VLOOKUP(LEFT(Proc[[#This Row],[Requested]],1),Table3[#All],2,0),VLOOKUP(Proc[[#This Row],[Author]],Table4[],2,0))</f>
        <v>MGF</v>
      </c>
      <c r="L4811" s="150" t="s">
        <v>6435</v>
      </c>
      <c r="M4811" s="173">
        <v>45988</v>
      </c>
      <c r="N4811" s="174"/>
      <c r="O4811" s="174"/>
      <c r="P4811" s="174" t="str">
        <f ca="1">IF(Proc[[#This Row],[DaysAgeing]]&gt;5,"yep","on track")</f>
        <v>yep</v>
      </c>
      <c r="Q4811" s="3">
        <f ca="1">IF(Proc[[#This Row],[DateClosed]]="",ABS(NETWORKDAYS(Proc[[#This Row],[DateOpened]],TODAY()))-1,ABS(NETWORKDAYS(Proc[[#This Row],[DateOpened]],Proc[[#This Row],[DateClosed]]))-1)</f>
        <v>16</v>
      </c>
      <c r="R4811" s="174" t="s">
        <v>485</v>
      </c>
      <c r="S4811" s="150"/>
    </row>
    <row r="4812" spans="1:19" hidden="1">
      <c r="A4812" s="149" t="s">
        <v>7001</v>
      </c>
      <c r="B4812" s="150" t="str">
        <f>IFERROR(VLOOKUP(Proc[[#This Row],[App]],Table2[],3,0),"open")</f>
        <v>ok</v>
      </c>
      <c r="C4812" s="149" t="s">
        <v>369</v>
      </c>
      <c r="D4812" t="s">
        <v>7021</v>
      </c>
      <c r="E4812" t="s">
        <v>7002</v>
      </c>
      <c r="F4812" s="150" t="s">
        <v>7002</v>
      </c>
      <c r="G4812" s="149" t="s">
        <v>406</v>
      </c>
      <c r="H4812" s="150" t="str">
        <f>IF(Proc[[#This Row],[type]]="LFF (MDG-F)",MID(Proc[[#This Row],[Obj]],13,10),"")</f>
        <v>DE10E61200</v>
      </c>
      <c r="I4812" s="149"/>
      <c r="J4812" s="150" t="b">
        <f>Proc[[#This Row],[Requested]]=Proc[[#This Row],[CurrentParent]]</f>
        <v>1</v>
      </c>
      <c r="K4812" s="150" t="str">
        <f>IF(Proc[[#This Row],[Author]]="Marcela Urrego",VLOOKUP(LEFT(Proc[[#This Row],[Requested]],1),Table3[#All],2,0),VLOOKUP(Proc[[#This Row],[Author]],Table4[],2,0))</f>
        <v>MGF</v>
      </c>
      <c r="L4812" s="150" t="s">
        <v>6435</v>
      </c>
      <c r="M4812" s="173">
        <v>45988</v>
      </c>
      <c r="N4812" s="174"/>
      <c r="O4812" s="174"/>
      <c r="P4812" s="174" t="str">
        <f ca="1">IF(Proc[[#This Row],[DaysAgeing]]&gt;5,"yep","on track")</f>
        <v>yep</v>
      </c>
      <c r="Q4812" s="3">
        <f ca="1">IF(Proc[[#This Row],[DateClosed]]="",ABS(NETWORKDAYS(Proc[[#This Row],[DateOpened]],TODAY()))-1,ABS(NETWORKDAYS(Proc[[#This Row],[DateOpened]],Proc[[#This Row],[DateClosed]]))-1)</f>
        <v>16</v>
      </c>
      <c r="R4812" s="174" t="s">
        <v>485</v>
      </c>
      <c r="S4812" s="150"/>
    </row>
    <row r="4813" spans="1:19" hidden="1">
      <c r="A4813" s="149" t="s">
        <v>7001</v>
      </c>
      <c r="B4813" s="150" t="str">
        <f>IFERROR(VLOOKUP(Proc[[#This Row],[App]],Table2[],3,0),"open")</f>
        <v>ok</v>
      </c>
      <c r="C4813" s="149" t="s">
        <v>369</v>
      </c>
      <c r="D4813" t="s">
        <v>7022</v>
      </c>
      <c r="E4813" t="s">
        <v>7002</v>
      </c>
      <c r="F4813" s="150" t="s">
        <v>7002</v>
      </c>
      <c r="G4813" s="149" t="s">
        <v>406</v>
      </c>
      <c r="H4813" s="150" t="str">
        <f>IF(Proc[[#This Row],[type]]="LFF (MDG-F)",MID(Proc[[#This Row],[Obj]],13,10),"")</f>
        <v>DE10E61900</v>
      </c>
      <c r="I4813" s="149"/>
      <c r="J4813" s="150" t="b">
        <f>Proc[[#This Row],[Requested]]=Proc[[#This Row],[CurrentParent]]</f>
        <v>1</v>
      </c>
      <c r="K4813" s="150" t="str">
        <f>IF(Proc[[#This Row],[Author]]="Marcela Urrego",VLOOKUP(LEFT(Proc[[#This Row],[Requested]],1),Table3[#All],2,0),VLOOKUP(Proc[[#This Row],[Author]],Table4[],2,0))</f>
        <v>MGF</v>
      </c>
      <c r="L4813" s="150" t="s">
        <v>6435</v>
      </c>
      <c r="M4813" s="173">
        <v>45988</v>
      </c>
      <c r="N4813" s="174"/>
      <c r="O4813" s="174"/>
      <c r="P4813" s="174" t="str">
        <f ca="1">IF(Proc[[#This Row],[DaysAgeing]]&gt;5,"yep","on track")</f>
        <v>yep</v>
      </c>
      <c r="Q4813" s="3">
        <f ca="1">IF(Proc[[#This Row],[DateClosed]]="",ABS(NETWORKDAYS(Proc[[#This Row],[DateOpened]],TODAY()))-1,ABS(NETWORKDAYS(Proc[[#This Row],[DateOpened]],Proc[[#This Row],[DateClosed]]))-1)</f>
        <v>16</v>
      </c>
      <c r="R4813" s="174" t="s">
        <v>485</v>
      </c>
      <c r="S4813" s="150"/>
    </row>
    <row r="4814" spans="1:19" hidden="1">
      <c r="A4814" s="149" t="s">
        <v>7001</v>
      </c>
      <c r="B4814" s="150" t="str">
        <f>IFERROR(VLOOKUP(Proc[[#This Row],[App]],Table2[],3,0),"open")</f>
        <v>ok</v>
      </c>
      <c r="C4814" s="149" t="s">
        <v>369</v>
      </c>
      <c r="D4814" t="s">
        <v>7023</v>
      </c>
      <c r="E4814" t="s">
        <v>7002</v>
      </c>
      <c r="F4814" s="150" t="s">
        <v>7002</v>
      </c>
      <c r="G4814" s="149" t="s">
        <v>406</v>
      </c>
      <c r="H4814" s="150" t="str">
        <f>IF(Proc[[#This Row],[type]]="LFF (MDG-F)",MID(Proc[[#This Row],[Obj]],13,10),"")</f>
        <v>DE10F11900</v>
      </c>
      <c r="I4814" s="149"/>
      <c r="J4814" s="150" t="b">
        <f>Proc[[#This Row],[Requested]]=Proc[[#This Row],[CurrentParent]]</f>
        <v>1</v>
      </c>
      <c r="K4814" s="150" t="str">
        <f>IF(Proc[[#This Row],[Author]]="Marcela Urrego",VLOOKUP(LEFT(Proc[[#This Row],[Requested]],1),Table3[#All],2,0),VLOOKUP(Proc[[#This Row],[Author]],Table4[],2,0))</f>
        <v>MGF</v>
      </c>
      <c r="L4814" s="150" t="s">
        <v>6435</v>
      </c>
      <c r="M4814" s="173">
        <v>45988</v>
      </c>
      <c r="N4814" s="174"/>
      <c r="O4814" s="174"/>
      <c r="P4814" s="174" t="str">
        <f ca="1">IF(Proc[[#This Row],[DaysAgeing]]&gt;5,"yep","on track")</f>
        <v>yep</v>
      </c>
      <c r="Q4814" s="3">
        <f ca="1">IF(Proc[[#This Row],[DateClosed]]="",ABS(NETWORKDAYS(Proc[[#This Row],[DateOpened]],TODAY()))-1,ABS(NETWORKDAYS(Proc[[#This Row],[DateOpened]],Proc[[#This Row],[DateClosed]]))-1)</f>
        <v>16</v>
      </c>
      <c r="R4814" s="174" t="s">
        <v>485</v>
      </c>
      <c r="S4814" s="150"/>
    </row>
    <row r="4815" spans="1:19" hidden="1">
      <c r="A4815" s="149" t="s">
        <v>7001</v>
      </c>
      <c r="B4815" s="150" t="str">
        <f>IFERROR(VLOOKUP(Proc[[#This Row],[App]],Table2[],3,0),"open")</f>
        <v>ok</v>
      </c>
      <c r="C4815" s="149" t="s">
        <v>369</v>
      </c>
      <c r="D4815" t="s">
        <v>7024</v>
      </c>
      <c r="E4815" t="s">
        <v>7004</v>
      </c>
      <c r="F4815" s="150" t="s">
        <v>7004</v>
      </c>
      <c r="G4815" s="149" t="s">
        <v>406</v>
      </c>
      <c r="H4815" s="150" t="str">
        <f>IF(Proc[[#This Row],[type]]="LFF (MDG-F)",MID(Proc[[#This Row],[Obj]],13,10),"")</f>
        <v>DE10F16000</v>
      </c>
      <c r="I4815" s="149"/>
      <c r="J4815" s="150" t="b">
        <f>Proc[[#This Row],[Requested]]=Proc[[#This Row],[CurrentParent]]</f>
        <v>1</v>
      </c>
      <c r="K4815" s="150" t="str">
        <f>IF(Proc[[#This Row],[Author]]="Marcela Urrego",VLOOKUP(LEFT(Proc[[#This Row],[Requested]],1),Table3[#All],2,0),VLOOKUP(Proc[[#This Row],[Author]],Table4[],2,0))</f>
        <v>MGF</v>
      </c>
      <c r="L4815" s="150" t="s">
        <v>6435</v>
      </c>
      <c r="M4815" s="173">
        <v>45988</v>
      </c>
      <c r="N4815" s="174"/>
      <c r="O4815" s="174"/>
      <c r="P4815" s="174" t="str">
        <f ca="1">IF(Proc[[#This Row],[DaysAgeing]]&gt;5,"yep","on track")</f>
        <v>yep</v>
      </c>
      <c r="Q4815" s="3">
        <f ca="1">IF(Proc[[#This Row],[DateClosed]]="",ABS(NETWORKDAYS(Proc[[#This Row],[DateOpened]],TODAY()))-1,ABS(NETWORKDAYS(Proc[[#This Row],[DateOpened]],Proc[[#This Row],[DateClosed]]))-1)</f>
        <v>16</v>
      </c>
      <c r="R4815" s="174" t="s">
        <v>485</v>
      </c>
      <c r="S4815" s="150"/>
    </row>
    <row r="4816" spans="1:19" hidden="1">
      <c r="A4816" s="149" t="s">
        <v>7001</v>
      </c>
      <c r="B4816" s="150" t="str">
        <f>IFERROR(VLOOKUP(Proc[[#This Row],[App]],Table2[],3,0),"open")</f>
        <v>ok</v>
      </c>
      <c r="C4816" s="149" t="s">
        <v>369</v>
      </c>
      <c r="D4816" t="s">
        <v>7025</v>
      </c>
      <c r="E4816" t="s">
        <v>7002</v>
      </c>
      <c r="F4816" s="150" t="s">
        <v>7002</v>
      </c>
      <c r="G4816" s="149" t="s">
        <v>406</v>
      </c>
      <c r="H4816" s="150" t="str">
        <f>IF(Proc[[#This Row],[type]]="LFF (MDG-F)",MID(Proc[[#This Row],[Obj]],13,10),"")</f>
        <v>DE10F16010</v>
      </c>
      <c r="I4816" s="149"/>
      <c r="J4816" s="150" t="b">
        <f>Proc[[#This Row],[Requested]]=Proc[[#This Row],[CurrentParent]]</f>
        <v>1</v>
      </c>
      <c r="K4816" s="150" t="str">
        <f>IF(Proc[[#This Row],[Author]]="Marcela Urrego",VLOOKUP(LEFT(Proc[[#This Row],[Requested]],1),Table3[#All],2,0),VLOOKUP(Proc[[#This Row],[Author]],Table4[],2,0))</f>
        <v>MGF</v>
      </c>
      <c r="L4816" s="150" t="s">
        <v>6435</v>
      </c>
      <c r="M4816" s="173">
        <v>45988</v>
      </c>
      <c r="N4816" s="174"/>
      <c r="O4816" s="174"/>
      <c r="P4816" s="174" t="str">
        <f ca="1">IF(Proc[[#This Row],[DaysAgeing]]&gt;5,"yep","on track")</f>
        <v>yep</v>
      </c>
      <c r="Q4816" s="3">
        <f ca="1">IF(Proc[[#This Row],[DateClosed]]="",ABS(NETWORKDAYS(Proc[[#This Row],[DateOpened]],TODAY()))-1,ABS(NETWORKDAYS(Proc[[#This Row],[DateOpened]],Proc[[#This Row],[DateClosed]]))-1)</f>
        <v>16</v>
      </c>
      <c r="R4816" s="174" t="s">
        <v>485</v>
      </c>
      <c r="S4816" s="150"/>
    </row>
    <row r="4817" spans="1:19" hidden="1">
      <c r="A4817" s="149" t="s">
        <v>7001</v>
      </c>
      <c r="B4817" s="150" t="str">
        <f>IFERROR(VLOOKUP(Proc[[#This Row],[App]],Table2[],3,0),"open")</f>
        <v>ok</v>
      </c>
      <c r="C4817" s="149" t="s">
        <v>369</v>
      </c>
      <c r="D4817" t="s">
        <v>7026</v>
      </c>
      <c r="E4817" t="s">
        <v>7002</v>
      </c>
      <c r="F4817" s="150" t="s">
        <v>7002</v>
      </c>
      <c r="G4817" s="149" t="s">
        <v>406</v>
      </c>
      <c r="H4817" s="150" t="str">
        <f>IF(Proc[[#This Row],[type]]="LFF (MDG-F)",MID(Proc[[#This Row],[Obj]],13,10),"")</f>
        <v>DE10F16100</v>
      </c>
      <c r="I4817" s="149"/>
      <c r="J4817" s="150" t="b">
        <f>Proc[[#This Row],[Requested]]=Proc[[#This Row],[CurrentParent]]</f>
        <v>1</v>
      </c>
      <c r="K4817" s="150" t="str">
        <f>IF(Proc[[#This Row],[Author]]="Marcela Urrego",VLOOKUP(LEFT(Proc[[#This Row],[Requested]],1),Table3[#All],2,0),VLOOKUP(Proc[[#This Row],[Author]],Table4[],2,0))</f>
        <v>MGF</v>
      </c>
      <c r="L4817" s="150" t="s">
        <v>6435</v>
      </c>
      <c r="M4817" s="173">
        <v>45988</v>
      </c>
      <c r="N4817" s="174"/>
      <c r="O4817" s="174"/>
      <c r="P4817" s="174" t="str">
        <f ca="1">IF(Proc[[#This Row],[DaysAgeing]]&gt;5,"yep","on track")</f>
        <v>yep</v>
      </c>
      <c r="Q4817" s="3">
        <f ca="1">IF(Proc[[#This Row],[DateClosed]]="",ABS(NETWORKDAYS(Proc[[#This Row],[DateOpened]],TODAY()))-1,ABS(NETWORKDAYS(Proc[[#This Row],[DateOpened]],Proc[[#This Row],[DateClosed]]))-1)</f>
        <v>16</v>
      </c>
      <c r="R4817" s="174" t="s">
        <v>485</v>
      </c>
      <c r="S4817" s="150"/>
    </row>
    <row r="4818" spans="1:19" hidden="1">
      <c r="A4818" s="149" t="s">
        <v>7001</v>
      </c>
      <c r="B4818" s="150" t="str">
        <f>IFERROR(VLOOKUP(Proc[[#This Row],[App]],Table2[],3,0),"open")</f>
        <v>ok</v>
      </c>
      <c r="C4818" s="149" t="s">
        <v>369</v>
      </c>
      <c r="D4818" t="s">
        <v>7027</v>
      </c>
      <c r="E4818" t="s">
        <v>7002</v>
      </c>
      <c r="F4818" s="150" t="s">
        <v>7002</v>
      </c>
      <c r="G4818" s="149" t="s">
        <v>406</v>
      </c>
      <c r="H4818" s="150" t="str">
        <f>IF(Proc[[#This Row],[type]]="LFF (MDG-F)",MID(Proc[[#This Row],[Obj]],13,10),"")</f>
        <v>DE10F16200</v>
      </c>
      <c r="I4818" s="149"/>
      <c r="J4818" s="150" t="b">
        <f>Proc[[#This Row],[Requested]]=Proc[[#This Row],[CurrentParent]]</f>
        <v>1</v>
      </c>
      <c r="K4818" s="150" t="str">
        <f>IF(Proc[[#This Row],[Author]]="Marcela Urrego",VLOOKUP(LEFT(Proc[[#This Row],[Requested]],1),Table3[#All],2,0),VLOOKUP(Proc[[#This Row],[Author]],Table4[],2,0))</f>
        <v>MGF</v>
      </c>
      <c r="L4818" s="150" t="s">
        <v>6435</v>
      </c>
      <c r="M4818" s="173">
        <v>45988</v>
      </c>
      <c r="N4818" s="174"/>
      <c r="O4818" s="174"/>
      <c r="P4818" s="174" t="str">
        <f ca="1">IF(Proc[[#This Row],[DaysAgeing]]&gt;5,"yep","on track")</f>
        <v>yep</v>
      </c>
      <c r="Q4818" s="3">
        <f ca="1">IF(Proc[[#This Row],[DateClosed]]="",ABS(NETWORKDAYS(Proc[[#This Row],[DateOpened]],TODAY()))-1,ABS(NETWORKDAYS(Proc[[#This Row],[DateOpened]],Proc[[#This Row],[DateClosed]]))-1)</f>
        <v>16</v>
      </c>
      <c r="R4818" s="174" t="s">
        <v>485</v>
      </c>
      <c r="S4818" s="150"/>
    </row>
    <row r="4819" spans="1:19" hidden="1">
      <c r="A4819" s="149" t="s">
        <v>7001</v>
      </c>
      <c r="B4819" s="150" t="str">
        <f>IFERROR(VLOOKUP(Proc[[#This Row],[App]],Table2[],3,0),"open")</f>
        <v>ok</v>
      </c>
      <c r="C4819" s="149" t="s">
        <v>369</v>
      </c>
      <c r="D4819" t="s">
        <v>7028</v>
      </c>
      <c r="E4819" t="s">
        <v>7002</v>
      </c>
      <c r="F4819" s="150" t="s">
        <v>7002</v>
      </c>
      <c r="G4819" s="149" t="s">
        <v>406</v>
      </c>
      <c r="H4819" s="150" t="str">
        <f>IF(Proc[[#This Row],[type]]="LFF (MDG-F)",MID(Proc[[#This Row],[Obj]],13,10),"")</f>
        <v>DE10F16300</v>
      </c>
      <c r="I4819" s="149"/>
      <c r="J4819" s="150" t="b">
        <f>Proc[[#This Row],[Requested]]=Proc[[#This Row],[CurrentParent]]</f>
        <v>1</v>
      </c>
      <c r="K4819" s="150" t="str">
        <f>IF(Proc[[#This Row],[Author]]="Marcela Urrego",VLOOKUP(LEFT(Proc[[#This Row],[Requested]],1),Table3[#All],2,0),VLOOKUP(Proc[[#This Row],[Author]],Table4[],2,0))</f>
        <v>MGF</v>
      </c>
      <c r="L4819" s="150" t="s">
        <v>6435</v>
      </c>
      <c r="M4819" s="173">
        <v>45988</v>
      </c>
      <c r="N4819" s="174"/>
      <c r="O4819" s="174"/>
      <c r="P4819" s="174" t="str">
        <f ca="1">IF(Proc[[#This Row],[DaysAgeing]]&gt;5,"yep","on track")</f>
        <v>yep</v>
      </c>
      <c r="Q4819" s="3">
        <f ca="1">IF(Proc[[#This Row],[DateClosed]]="",ABS(NETWORKDAYS(Proc[[#This Row],[DateOpened]],TODAY()))-1,ABS(NETWORKDAYS(Proc[[#This Row],[DateOpened]],Proc[[#This Row],[DateClosed]]))-1)</f>
        <v>16</v>
      </c>
      <c r="R4819" s="174" t="s">
        <v>485</v>
      </c>
      <c r="S4819" s="150"/>
    </row>
    <row r="4820" spans="1:19" hidden="1">
      <c r="A4820" s="149" t="s">
        <v>7001</v>
      </c>
      <c r="B4820" s="150" t="str">
        <f>IFERROR(VLOOKUP(Proc[[#This Row],[App]],Table2[],3,0),"open")</f>
        <v>ok</v>
      </c>
      <c r="C4820" s="149" t="s">
        <v>369</v>
      </c>
      <c r="D4820" t="s">
        <v>7029</v>
      </c>
      <c r="E4820" t="s">
        <v>7002</v>
      </c>
      <c r="F4820" s="150" t="s">
        <v>7002</v>
      </c>
      <c r="G4820" s="149" t="s">
        <v>406</v>
      </c>
      <c r="H4820" s="150" t="str">
        <f>IF(Proc[[#This Row],[type]]="LFF (MDG-F)",MID(Proc[[#This Row],[Obj]],13,10),"")</f>
        <v>DE10F16500</v>
      </c>
      <c r="I4820" s="149"/>
      <c r="J4820" s="150" t="b">
        <f>Proc[[#This Row],[Requested]]=Proc[[#This Row],[CurrentParent]]</f>
        <v>1</v>
      </c>
      <c r="K4820" s="150" t="str">
        <f>IF(Proc[[#This Row],[Author]]="Marcela Urrego",VLOOKUP(LEFT(Proc[[#This Row],[Requested]],1),Table3[#All],2,0),VLOOKUP(Proc[[#This Row],[Author]],Table4[],2,0))</f>
        <v>MGF</v>
      </c>
      <c r="L4820" s="150" t="s">
        <v>6435</v>
      </c>
      <c r="M4820" s="173">
        <v>45988</v>
      </c>
      <c r="N4820" s="174"/>
      <c r="O4820" s="174"/>
      <c r="P4820" s="174" t="str">
        <f ca="1">IF(Proc[[#This Row],[DaysAgeing]]&gt;5,"yep","on track")</f>
        <v>yep</v>
      </c>
      <c r="Q4820" s="3">
        <f ca="1">IF(Proc[[#This Row],[DateClosed]]="",ABS(NETWORKDAYS(Proc[[#This Row],[DateOpened]],TODAY()))-1,ABS(NETWORKDAYS(Proc[[#This Row],[DateOpened]],Proc[[#This Row],[DateClosed]]))-1)</f>
        <v>16</v>
      </c>
      <c r="R4820" s="174" t="s">
        <v>485</v>
      </c>
      <c r="S4820" s="150"/>
    </row>
    <row r="4821" spans="1:19" hidden="1">
      <c r="A4821" s="149" t="s">
        <v>7001</v>
      </c>
      <c r="B4821" s="150" t="str">
        <f>IFERROR(VLOOKUP(Proc[[#This Row],[App]],Table2[],3,0),"open")</f>
        <v>ok</v>
      </c>
      <c r="C4821" s="149" t="s">
        <v>369</v>
      </c>
      <c r="D4821" t="s">
        <v>7030</v>
      </c>
      <c r="E4821" t="s">
        <v>7002</v>
      </c>
      <c r="F4821" s="150" t="s">
        <v>7002</v>
      </c>
      <c r="G4821" s="149" t="s">
        <v>406</v>
      </c>
      <c r="H4821" s="150" t="str">
        <f>IF(Proc[[#This Row],[type]]="LFF (MDG-F)",MID(Proc[[#This Row],[Obj]],13,10),"")</f>
        <v>DE10F16600</v>
      </c>
      <c r="I4821" s="149"/>
      <c r="J4821" s="150" t="b">
        <f>Proc[[#This Row],[Requested]]=Proc[[#This Row],[CurrentParent]]</f>
        <v>1</v>
      </c>
      <c r="K4821" s="150" t="str">
        <f>IF(Proc[[#This Row],[Author]]="Marcela Urrego",VLOOKUP(LEFT(Proc[[#This Row],[Requested]],1),Table3[#All],2,0),VLOOKUP(Proc[[#This Row],[Author]],Table4[],2,0))</f>
        <v>MGF</v>
      </c>
      <c r="L4821" s="150" t="s">
        <v>6435</v>
      </c>
      <c r="M4821" s="173">
        <v>45988</v>
      </c>
      <c r="N4821" s="174"/>
      <c r="O4821" s="174"/>
      <c r="P4821" s="174" t="str">
        <f ca="1">IF(Proc[[#This Row],[DaysAgeing]]&gt;5,"yep","on track")</f>
        <v>yep</v>
      </c>
      <c r="Q4821" s="3">
        <f ca="1">IF(Proc[[#This Row],[DateClosed]]="",ABS(NETWORKDAYS(Proc[[#This Row],[DateOpened]],TODAY()))-1,ABS(NETWORKDAYS(Proc[[#This Row],[DateOpened]],Proc[[#This Row],[DateClosed]]))-1)</f>
        <v>16</v>
      </c>
      <c r="R4821" s="174" t="s">
        <v>485</v>
      </c>
      <c r="S4821" s="150"/>
    </row>
    <row r="4822" spans="1:19" hidden="1">
      <c r="A4822" s="149" t="s">
        <v>7001</v>
      </c>
      <c r="B4822" s="150" t="str">
        <f>IFERROR(VLOOKUP(Proc[[#This Row],[App]],Table2[],3,0),"open")</f>
        <v>ok</v>
      </c>
      <c r="C4822" s="149" t="s">
        <v>369</v>
      </c>
      <c r="D4822" t="s">
        <v>7031</v>
      </c>
      <c r="E4822" t="s">
        <v>7002</v>
      </c>
      <c r="F4822" s="150" t="s">
        <v>7002</v>
      </c>
      <c r="G4822" s="149" t="s">
        <v>406</v>
      </c>
      <c r="H4822" s="150" t="str">
        <f>IF(Proc[[#This Row],[type]]="LFF (MDG-F)",MID(Proc[[#This Row],[Obj]],13,10),"")</f>
        <v>DE10F16700</v>
      </c>
      <c r="I4822" s="149"/>
      <c r="J4822" s="150" t="b">
        <f>Proc[[#This Row],[Requested]]=Proc[[#This Row],[CurrentParent]]</f>
        <v>1</v>
      </c>
      <c r="K4822" s="150" t="str">
        <f>IF(Proc[[#This Row],[Author]]="Marcela Urrego",VLOOKUP(LEFT(Proc[[#This Row],[Requested]],1),Table3[#All],2,0),VLOOKUP(Proc[[#This Row],[Author]],Table4[],2,0))</f>
        <v>MGF</v>
      </c>
      <c r="L4822" s="150" t="s">
        <v>6435</v>
      </c>
      <c r="M4822" s="173">
        <v>45988</v>
      </c>
      <c r="N4822" s="174"/>
      <c r="O4822" s="174"/>
      <c r="P4822" s="174" t="str">
        <f ca="1">IF(Proc[[#This Row],[DaysAgeing]]&gt;5,"yep","on track")</f>
        <v>yep</v>
      </c>
      <c r="Q4822" s="3">
        <f ca="1">IF(Proc[[#This Row],[DateClosed]]="",ABS(NETWORKDAYS(Proc[[#This Row],[DateOpened]],TODAY()))-1,ABS(NETWORKDAYS(Proc[[#This Row],[DateOpened]],Proc[[#This Row],[DateClosed]]))-1)</f>
        <v>16</v>
      </c>
      <c r="R4822" s="174" t="s">
        <v>485</v>
      </c>
      <c r="S4822" s="150"/>
    </row>
    <row r="4823" spans="1:19" hidden="1">
      <c r="A4823" s="149" t="s">
        <v>7001</v>
      </c>
      <c r="B4823" s="150" t="str">
        <f>IFERROR(VLOOKUP(Proc[[#This Row],[App]],Table2[],3,0),"open")</f>
        <v>ok</v>
      </c>
      <c r="C4823" s="149" t="s">
        <v>369</v>
      </c>
      <c r="D4823" t="s">
        <v>7032</v>
      </c>
      <c r="E4823" t="s">
        <v>7004</v>
      </c>
      <c r="F4823" s="150" t="s">
        <v>7004</v>
      </c>
      <c r="G4823" s="149" t="s">
        <v>406</v>
      </c>
      <c r="H4823" s="150" t="str">
        <f>IF(Proc[[#This Row],[type]]="LFF (MDG-F)",MID(Proc[[#This Row],[Obj]],13,10),"")</f>
        <v>DE10F27301</v>
      </c>
      <c r="I4823" s="149"/>
      <c r="J4823" s="150" t="b">
        <f>Proc[[#This Row],[Requested]]=Proc[[#This Row],[CurrentParent]]</f>
        <v>1</v>
      </c>
      <c r="K4823" s="150" t="str">
        <f>IF(Proc[[#This Row],[Author]]="Marcela Urrego",VLOOKUP(LEFT(Proc[[#This Row],[Requested]],1),Table3[#All],2,0),VLOOKUP(Proc[[#This Row],[Author]],Table4[],2,0))</f>
        <v>MGF</v>
      </c>
      <c r="L4823" s="150" t="s">
        <v>6435</v>
      </c>
      <c r="M4823" s="173">
        <v>45988</v>
      </c>
      <c r="N4823" s="174"/>
      <c r="O4823" s="174"/>
      <c r="P4823" s="174" t="str">
        <f ca="1">IF(Proc[[#This Row],[DaysAgeing]]&gt;5,"yep","on track")</f>
        <v>yep</v>
      </c>
      <c r="Q4823" s="3">
        <f ca="1">IF(Proc[[#This Row],[DateClosed]]="",ABS(NETWORKDAYS(Proc[[#This Row],[DateOpened]],TODAY()))-1,ABS(NETWORKDAYS(Proc[[#This Row],[DateOpened]],Proc[[#This Row],[DateClosed]]))-1)</f>
        <v>16</v>
      </c>
      <c r="R4823" s="174" t="s">
        <v>485</v>
      </c>
      <c r="S4823" s="150"/>
    </row>
    <row r="4824" spans="1:19" hidden="1">
      <c r="A4824" s="149" t="s">
        <v>7001</v>
      </c>
      <c r="B4824" s="150" t="str">
        <f>IFERROR(VLOOKUP(Proc[[#This Row],[App]],Table2[],3,0),"open")</f>
        <v>ok</v>
      </c>
      <c r="C4824" s="149" t="s">
        <v>369</v>
      </c>
      <c r="D4824" t="s">
        <v>7033</v>
      </c>
      <c r="E4824" t="s">
        <v>7004</v>
      </c>
      <c r="F4824" s="150" t="s">
        <v>7004</v>
      </c>
      <c r="G4824" s="149" t="s">
        <v>406</v>
      </c>
      <c r="H4824" s="150" t="str">
        <f>IF(Proc[[#This Row],[type]]="LFF (MDG-F)",MID(Proc[[#This Row],[Obj]],13,10),"")</f>
        <v>DE10E09200</v>
      </c>
      <c r="I4824" s="149"/>
      <c r="J4824" s="150" t="b">
        <f>Proc[[#This Row],[Requested]]=Proc[[#This Row],[CurrentParent]]</f>
        <v>1</v>
      </c>
      <c r="K4824" s="150" t="str">
        <f>IF(Proc[[#This Row],[Author]]="Marcela Urrego",VLOOKUP(LEFT(Proc[[#This Row],[Requested]],1),Table3[#All],2,0),VLOOKUP(Proc[[#This Row],[Author]],Table4[],2,0))</f>
        <v>MGF</v>
      </c>
      <c r="L4824" s="150" t="s">
        <v>6435</v>
      </c>
      <c r="M4824" s="173">
        <v>45988</v>
      </c>
      <c r="N4824" s="174"/>
      <c r="O4824" s="174"/>
      <c r="P4824" s="174" t="str">
        <f ca="1">IF(Proc[[#This Row],[DaysAgeing]]&gt;5,"yep","on track")</f>
        <v>yep</v>
      </c>
      <c r="Q4824" s="3">
        <f ca="1">IF(Proc[[#This Row],[DateClosed]]="",ABS(NETWORKDAYS(Proc[[#This Row],[DateOpened]],TODAY()))-1,ABS(NETWORKDAYS(Proc[[#This Row],[DateOpened]],Proc[[#This Row],[DateClosed]]))-1)</f>
        <v>16</v>
      </c>
      <c r="R4824" s="174" t="s">
        <v>485</v>
      </c>
      <c r="S4824" s="150"/>
    </row>
    <row r="4825" spans="1:19" hidden="1">
      <c r="A4825" s="149" t="s">
        <v>7001</v>
      </c>
      <c r="B4825" s="150" t="str">
        <f>IFERROR(VLOOKUP(Proc[[#This Row],[App]],Table2[],3,0),"open")</f>
        <v>ok</v>
      </c>
      <c r="C4825" s="149" t="s">
        <v>369</v>
      </c>
      <c r="D4825" t="s">
        <v>7034</v>
      </c>
      <c r="E4825" t="s">
        <v>7002</v>
      </c>
      <c r="F4825" s="150" t="s">
        <v>7002</v>
      </c>
      <c r="G4825" s="149" t="s">
        <v>406</v>
      </c>
      <c r="H4825" s="150" t="str">
        <f>IF(Proc[[#This Row],[type]]="LFF (MDG-F)",MID(Proc[[#This Row],[Obj]],13,10),"")</f>
        <v>DE10E47200</v>
      </c>
      <c r="I4825" s="149"/>
      <c r="J4825" s="150" t="b">
        <f>Proc[[#This Row],[Requested]]=Proc[[#This Row],[CurrentParent]]</f>
        <v>1</v>
      </c>
      <c r="K4825" s="150" t="str">
        <f>IF(Proc[[#This Row],[Author]]="Marcela Urrego",VLOOKUP(LEFT(Proc[[#This Row],[Requested]],1),Table3[#All],2,0),VLOOKUP(Proc[[#This Row],[Author]],Table4[],2,0))</f>
        <v>MGF</v>
      </c>
      <c r="L4825" s="150" t="s">
        <v>6435</v>
      </c>
      <c r="M4825" s="173">
        <v>45988</v>
      </c>
      <c r="N4825" s="174"/>
      <c r="O4825" s="174"/>
      <c r="P4825" s="174" t="str">
        <f ca="1">IF(Proc[[#This Row],[DaysAgeing]]&gt;5,"yep","on track")</f>
        <v>yep</v>
      </c>
      <c r="Q4825" s="3">
        <f ca="1">IF(Proc[[#This Row],[DateClosed]]="",ABS(NETWORKDAYS(Proc[[#This Row],[DateOpened]],TODAY()))-1,ABS(NETWORKDAYS(Proc[[#This Row],[DateOpened]],Proc[[#This Row],[DateClosed]]))-1)</f>
        <v>16</v>
      </c>
      <c r="R4825" s="174" t="s">
        <v>485</v>
      </c>
      <c r="S4825" s="150"/>
    </row>
    <row r="4826" spans="1:19" hidden="1">
      <c r="A4826" s="149" t="s">
        <v>7001</v>
      </c>
      <c r="B4826" s="150" t="str">
        <f>IFERROR(VLOOKUP(Proc[[#This Row],[App]],Table2[],3,0),"open")</f>
        <v>ok</v>
      </c>
      <c r="C4826" s="149" t="s">
        <v>369</v>
      </c>
      <c r="D4826" t="s">
        <v>7035</v>
      </c>
      <c r="E4826" t="s">
        <v>7002</v>
      </c>
      <c r="F4826" s="150" t="s">
        <v>7002</v>
      </c>
      <c r="G4826" s="149" t="s">
        <v>406</v>
      </c>
      <c r="H4826" s="150" t="str">
        <f>IF(Proc[[#This Row],[type]]="LFF (MDG-F)",MID(Proc[[#This Row],[Obj]],13,10),"")</f>
        <v>DE10F10600</v>
      </c>
      <c r="I4826" s="149"/>
      <c r="J4826" s="150" t="b">
        <f>Proc[[#This Row],[Requested]]=Proc[[#This Row],[CurrentParent]]</f>
        <v>1</v>
      </c>
      <c r="K4826" s="150" t="str">
        <f>IF(Proc[[#This Row],[Author]]="Marcela Urrego",VLOOKUP(LEFT(Proc[[#This Row],[Requested]],1),Table3[#All],2,0),VLOOKUP(Proc[[#This Row],[Author]],Table4[],2,0))</f>
        <v>MGF</v>
      </c>
      <c r="L4826" s="150" t="s">
        <v>6435</v>
      </c>
      <c r="M4826" s="173">
        <v>45988</v>
      </c>
      <c r="N4826" s="174"/>
      <c r="O4826" s="174"/>
      <c r="P4826" s="174" t="str">
        <f ca="1">IF(Proc[[#This Row],[DaysAgeing]]&gt;5,"yep","on track")</f>
        <v>yep</v>
      </c>
      <c r="Q4826" s="3">
        <f ca="1">IF(Proc[[#This Row],[DateClosed]]="",ABS(NETWORKDAYS(Proc[[#This Row],[DateOpened]],TODAY()))-1,ABS(NETWORKDAYS(Proc[[#This Row],[DateOpened]],Proc[[#This Row],[DateClosed]]))-1)</f>
        <v>16</v>
      </c>
      <c r="R4826" s="174" t="s">
        <v>485</v>
      </c>
      <c r="S4826" s="150"/>
    </row>
    <row r="4827" spans="1:19" hidden="1">
      <c r="A4827" s="149" t="s">
        <v>7001</v>
      </c>
      <c r="B4827" s="150" t="str">
        <f>IFERROR(VLOOKUP(Proc[[#This Row],[App]],Table2[],3,0),"open")</f>
        <v>ok</v>
      </c>
      <c r="C4827" s="149" t="s">
        <v>369</v>
      </c>
      <c r="D4827" t="s">
        <v>7036</v>
      </c>
      <c r="E4827" t="s">
        <v>7002</v>
      </c>
      <c r="F4827" s="150" t="s">
        <v>7002</v>
      </c>
      <c r="G4827" s="149" t="s">
        <v>406</v>
      </c>
      <c r="H4827" s="150" t="str">
        <f>IF(Proc[[#This Row],[type]]="LFF (MDG-F)",MID(Proc[[#This Row],[Obj]],13,10),"")</f>
        <v>DE10F10900</v>
      </c>
      <c r="I4827" s="149"/>
      <c r="J4827" s="150" t="b">
        <f>Proc[[#This Row],[Requested]]=Proc[[#This Row],[CurrentParent]]</f>
        <v>1</v>
      </c>
      <c r="K4827" s="150" t="str">
        <f>IF(Proc[[#This Row],[Author]]="Marcela Urrego",VLOOKUP(LEFT(Proc[[#This Row],[Requested]],1),Table3[#All],2,0),VLOOKUP(Proc[[#This Row],[Author]],Table4[],2,0))</f>
        <v>MGF</v>
      </c>
      <c r="L4827" s="150" t="s">
        <v>6435</v>
      </c>
      <c r="M4827" s="173">
        <v>45988</v>
      </c>
      <c r="N4827" s="174"/>
      <c r="O4827" s="174"/>
      <c r="P4827" s="174" t="str">
        <f ca="1">IF(Proc[[#This Row],[DaysAgeing]]&gt;5,"yep","on track")</f>
        <v>yep</v>
      </c>
      <c r="Q4827" s="3">
        <f ca="1">IF(Proc[[#This Row],[DateClosed]]="",ABS(NETWORKDAYS(Proc[[#This Row],[DateOpened]],TODAY()))-1,ABS(NETWORKDAYS(Proc[[#This Row],[DateOpened]],Proc[[#This Row],[DateClosed]]))-1)</f>
        <v>16</v>
      </c>
      <c r="R4827" s="174" t="s">
        <v>485</v>
      </c>
      <c r="S4827" s="150"/>
    </row>
    <row r="4828" spans="1:19" hidden="1">
      <c r="A4828" s="149" t="s">
        <v>7001</v>
      </c>
      <c r="B4828" s="150" t="str">
        <f>IFERROR(VLOOKUP(Proc[[#This Row],[App]],Table2[],3,0),"open")</f>
        <v>ok</v>
      </c>
      <c r="C4828" s="149" t="s">
        <v>369</v>
      </c>
      <c r="D4828" t="s">
        <v>7037</v>
      </c>
      <c r="E4828" t="s">
        <v>7004</v>
      </c>
      <c r="F4828" s="150" t="s">
        <v>7004</v>
      </c>
      <c r="G4828" s="149" t="s">
        <v>406</v>
      </c>
      <c r="H4828" s="150" t="str">
        <f>IF(Proc[[#This Row],[type]]="LFF (MDG-F)",MID(Proc[[#This Row],[Obj]],13,10),"")</f>
        <v>DE10F15400</v>
      </c>
      <c r="I4828" s="149"/>
      <c r="J4828" s="150" t="b">
        <f>Proc[[#This Row],[Requested]]=Proc[[#This Row],[CurrentParent]]</f>
        <v>1</v>
      </c>
      <c r="K4828" s="150" t="str">
        <f>IF(Proc[[#This Row],[Author]]="Marcela Urrego",VLOOKUP(LEFT(Proc[[#This Row],[Requested]],1),Table3[#All],2,0),VLOOKUP(Proc[[#This Row],[Author]],Table4[],2,0))</f>
        <v>MGF</v>
      </c>
      <c r="L4828" s="150" t="s">
        <v>6435</v>
      </c>
      <c r="M4828" s="173">
        <v>45988</v>
      </c>
      <c r="N4828" s="174"/>
      <c r="O4828" s="174"/>
      <c r="P4828" s="174" t="str">
        <f ca="1">IF(Proc[[#This Row],[DaysAgeing]]&gt;5,"yep","on track")</f>
        <v>yep</v>
      </c>
      <c r="Q4828" s="3">
        <f ca="1">IF(Proc[[#This Row],[DateClosed]]="",ABS(NETWORKDAYS(Proc[[#This Row],[DateOpened]],TODAY()))-1,ABS(NETWORKDAYS(Proc[[#This Row],[DateOpened]],Proc[[#This Row],[DateClosed]]))-1)</f>
        <v>16</v>
      </c>
      <c r="R4828" s="174" t="s">
        <v>485</v>
      </c>
      <c r="S4828" s="150"/>
    </row>
    <row r="4829" spans="1:19" hidden="1">
      <c r="A4829" s="149" t="s">
        <v>7001</v>
      </c>
      <c r="B4829" s="150" t="str">
        <f>IFERROR(VLOOKUP(Proc[[#This Row],[App]],Table2[],3,0),"open")</f>
        <v>ok</v>
      </c>
      <c r="C4829" s="149" t="s">
        <v>369</v>
      </c>
      <c r="D4829" t="s">
        <v>7038</v>
      </c>
      <c r="E4829" t="s">
        <v>7002</v>
      </c>
      <c r="F4829" s="150" t="s">
        <v>7002</v>
      </c>
      <c r="G4829" s="149" t="s">
        <v>406</v>
      </c>
      <c r="H4829" s="150" t="str">
        <f>IF(Proc[[#This Row],[type]]="LFF (MDG-F)",MID(Proc[[#This Row],[Obj]],13,10),"")</f>
        <v>DE10F15410</v>
      </c>
      <c r="I4829" s="149"/>
      <c r="J4829" s="150" t="b">
        <f>Proc[[#This Row],[Requested]]=Proc[[#This Row],[CurrentParent]]</f>
        <v>1</v>
      </c>
      <c r="K4829" s="150" t="str">
        <f>IF(Proc[[#This Row],[Author]]="Marcela Urrego",VLOOKUP(LEFT(Proc[[#This Row],[Requested]],1),Table3[#All],2,0),VLOOKUP(Proc[[#This Row],[Author]],Table4[],2,0))</f>
        <v>MGF</v>
      </c>
      <c r="L4829" s="150" t="s">
        <v>6435</v>
      </c>
      <c r="M4829" s="173">
        <v>45988</v>
      </c>
      <c r="N4829" s="174"/>
      <c r="O4829" s="174"/>
      <c r="P4829" s="174" t="str">
        <f ca="1">IF(Proc[[#This Row],[DaysAgeing]]&gt;5,"yep","on track")</f>
        <v>yep</v>
      </c>
      <c r="Q4829" s="3">
        <f ca="1">IF(Proc[[#This Row],[DateClosed]]="",ABS(NETWORKDAYS(Proc[[#This Row],[DateOpened]],TODAY()))-1,ABS(NETWORKDAYS(Proc[[#This Row],[DateOpened]],Proc[[#This Row],[DateClosed]]))-1)</f>
        <v>16</v>
      </c>
      <c r="R4829" s="174" t="s">
        <v>485</v>
      </c>
      <c r="S4829" s="150"/>
    </row>
    <row r="4830" spans="1:19" hidden="1">
      <c r="A4830" t="s">
        <v>7039</v>
      </c>
      <c r="B4830" s="150" t="str">
        <f>IFERROR(VLOOKUP(Proc[[#This Row],[App]],Table2[],3,0),"open")</f>
        <v>ok</v>
      </c>
      <c r="C4830" s="149" t="s">
        <v>369</v>
      </c>
      <c r="D4830" t="s">
        <v>7040</v>
      </c>
      <c r="E4830" t="s">
        <v>7228</v>
      </c>
      <c r="F4830" s="150" t="s">
        <v>7228</v>
      </c>
      <c r="G4830" s="149" t="s">
        <v>406</v>
      </c>
      <c r="H4830" s="150" t="str">
        <f>IF(Proc[[#This Row],[type]]="LFF (MDG-F)",MID(Proc[[#This Row],[Obj]],13,10),"")</f>
        <v>SG09OF0504</v>
      </c>
      <c r="I4830" t="s">
        <v>7228</v>
      </c>
      <c r="J4830" s="150" t="b">
        <f>Proc[[#This Row],[Requested]]=Proc[[#This Row],[CurrentParent]]</f>
        <v>1</v>
      </c>
      <c r="K4830" s="150" t="str">
        <f>IF(Proc[[#This Row],[Author]]="Marcela Urrego",VLOOKUP(LEFT(Proc[[#This Row],[Requested]],1),Table3[#All],2,0),VLOOKUP(Proc[[#This Row],[Author]],Table4[],2,0))</f>
        <v>EL</v>
      </c>
      <c r="L4830" s="150" t="s">
        <v>6435</v>
      </c>
      <c r="M4830" s="173">
        <v>45989</v>
      </c>
      <c r="N4830" s="174"/>
      <c r="O4830" s="174"/>
      <c r="P4830" s="174" t="str">
        <f ca="1">IF(Proc[[#This Row],[DaysAgeing]]&gt;5,"yep","on track")</f>
        <v>yep</v>
      </c>
      <c r="Q4830" s="3">
        <f ca="1">IF(Proc[[#This Row],[DateClosed]]="",ABS(NETWORKDAYS(Proc[[#This Row],[DateOpened]],TODAY()))-1,ABS(NETWORKDAYS(Proc[[#This Row],[DateOpened]],Proc[[#This Row],[DateClosed]]))-1)</f>
        <v>15</v>
      </c>
      <c r="R4830" s="174" t="s">
        <v>5709</v>
      </c>
      <c r="S4830" s="150"/>
    </row>
    <row r="4831" spans="1:19" hidden="1">
      <c r="A4831" t="s">
        <v>7039</v>
      </c>
      <c r="B4831" s="150" t="str">
        <f>IFERROR(VLOOKUP(Proc[[#This Row],[App]],Table2[],3,0),"open")</f>
        <v>ok</v>
      </c>
      <c r="C4831" s="149" t="s">
        <v>369</v>
      </c>
      <c r="D4831" t="s">
        <v>7041</v>
      </c>
      <c r="E4831" s="149" t="s">
        <v>7228</v>
      </c>
      <c r="F4831" s="150" t="s">
        <v>7228</v>
      </c>
      <c r="G4831" s="149" t="s">
        <v>406</v>
      </c>
      <c r="H4831" s="150" t="str">
        <f>IF(Proc[[#This Row],[type]]="LFF (MDG-F)",MID(Proc[[#This Row],[Obj]],13,10),"")</f>
        <v>TW02OF0321</v>
      </c>
      <c r="I4831" s="149" t="s">
        <v>7228</v>
      </c>
      <c r="J4831" s="150" t="b">
        <f>Proc[[#This Row],[Requested]]=Proc[[#This Row],[CurrentParent]]</f>
        <v>1</v>
      </c>
      <c r="K4831" s="150" t="str">
        <f>IF(Proc[[#This Row],[Author]]="Marcela Urrego",VLOOKUP(LEFT(Proc[[#This Row],[Requested]],1),Table3[#All],2,0),VLOOKUP(Proc[[#This Row],[Author]],Table4[],2,0))</f>
        <v>EL</v>
      </c>
      <c r="L4831" s="150" t="s">
        <v>6435</v>
      </c>
      <c r="M4831" s="173">
        <v>45989</v>
      </c>
      <c r="N4831" s="174"/>
      <c r="O4831" s="174"/>
      <c r="P4831" s="174" t="str">
        <f ca="1">IF(Proc[[#This Row],[DaysAgeing]]&gt;5,"yep","on track")</f>
        <v>yep</v>
      </c>
      <c r="Q4831" s="3">
        <f ca="1">IF(Proc[[#This Row],[DateClosed]]="",ABS(NETWORKDAYS(Proc[[#This Row],[DateOpened]],TODAY()))-1,ABS(NETWORKDAYS(Proc[[#This Row],[DateOpened]],Proc[[#This Row],[DateClosed]]))-1)</f>
        <v>15</v>
      </c>
      <c r="R4831" s="174" t="s">
        <v>5709</v>
      </c>
      <c r="S4831" s="150"/>
    </row>
    <row r="4832" spans="1:19" hidden="1">
      <c r="A4832" s="149" t="s">
        <v>7039</v>
      </c>
      <c r="B4832" s="150" t="str">
        <f>IFERROR(VLOOKUP(Proc[[#This Row],[App]],Table2[],3,0),"open")</f>
        <v>ok</v>
      </c>
      <c r="C4832" s="149" t="s">
        <v>369</v>
      </c>
      <c r="D4832" t="s">
        <v>7042</v>
      </c>
      <c r="E4832" s="149" t="s">
        <v>7228</v>
      </c>
      <c r="F4832" s="150" t="s">
        <v>7228</v>
      </c>
      <c r="G4832" s="149" t="s">
        <v>406</v>
      </c>
      <c r="H4832" s="150" t="str">
        <f>IF(Proc[[#This Row],[type]]="LFF (MDG-F)",MID(Proc[[#This Row],[Obj]],13,10),"")</f>
        <v>TW02OF0322</v>
      </c>
      <c r="I4832" s="149" t="s">
        <v>7228</v>
      </c>
      <c r="J4832" s="150" t="b">
        <f>Proc[[#This Row],[Requested]]=Proc[[#This Row],[CurrentParent]]</f>
        <v>1</v>
      </c>
      <c r="K4832" s="150" t="str">
        <f>IF(Proc[[#This Row],[Author]]="Marcela Urrego",VLOOKUP(LEFT(Proc[[#This Row],[Requested]],1),Table3[#All],2,0),VLOOKUP(Proc[[#This Row],[Author]],Table4[],2,0))</f>
        <v>EL</v>
      </c>
      <c r="L4832" s="150" t="s">
        <v>6435</v>
      </c>
      <c r="M4832" s="173">
        <v>45989</v>
      </c>
      <c r="N4832" s="174"/>
      <c r="O4832" s="174"/>
      <c r="P4832" s="174" t="str">
        <f ca="1">IF(Proc[[#This Row],[DaysAgeing]]&gt;5,"yep","on track")</f>
        <v>yep</v>
      </c>
      <c r="Q4832" s="3">
        <f ca="1">IF(Proc[[#This Row],[DateClosed]]="",ABS(NETWORKDAYS(Proc[[#This Row],[DateOpened]],TODAY()))-1,ABS(NETWORKDAYS(Proc[[#This Row],[DateOpened]],Proc[[#This Row],[DateClosed]]))-1)</f>
        <v>15</v>
      </c>
      <c r="R4832" s="174" t="s">
        <v>5709</v>
      </c>
      <c r="S4832" s="150"/>
    </row>
    <row r="4833" spans="1:19" hidden="1">
      <c r="A4833" s="149" t="s">
        <v>7039</v>
      </c>
      <c r="B4833" s="150" t="str">
        <f>IFERROR(VLOOKUP(Proc[[#This Row],[App]],Table2[],3,0),"open")</f>
        <v>ok</v>
      </c>
      <c r="C4833" s="149" t="s">
        <v>369</v>
      </c>
      <c r="D4833" t="s">
        <v>7043</v>
      </c>
      <c r="E4833" s="149" t="s">
        <v>7228</v>
      </c>
      <c r="F4833" s="150" t="s">
        <v>7228</v>
      </c>
      <c r="G4833" s="149" t="s">
        <v>406</v>
      </c>
      <c r="H4833" s="150" t="str">
        <f>IF(Proc[[#This Row],[type]]="LFF (MDG-F)",MID(Proc[[#This Row],[Obj]],13,10),"")</f>
        <v>SG10DB3305</v>
      </c>
      <c r="I4833" s="149" t="s">
        <v>7228</v>
      </c>
      <c r="J4833" s="150" t="b">
        <f>Proc[[#This Row],[Requested]]=Proc[[#This Row],[CurrentParent]]</f>
        <v>1</v>
      </c>
      <c r="K4833" s="150" t="str">
        <f>IF(Proc[[#This Row],[Author]]="Marcela Urrego",VLOOKUP(LEFT(Proc[[#This Row],[Requested]],1),Table3[#All],2,0),VLOOKUP(Proc[[#This Row],[Author]],Table4[],2,0))</f>
        <v>EL</v>
      </c>
      <c r="L4833" s="150" t="s">
        <v>6435</v>
      </c>
      <c r="M4833" s="173">
        <v>45989</v>
      </c>
      <c r="N4833" s="174"/>
      <c r="O4833" s="174"/>
      <c r="P4833" s="174" t="str">
        <f ca="1">IF(Proc[[#This Row],[DaysAgeing]]&gt;5,"yep","on track")</f>
        <v>yep</v>
      </c>
      <c r="Q4833" s="3">
        <f ca="1">IF(Proc[[#This Row],[DateClosed]]="",ABS(NETWORKDAYS(Proc[[#This Row],[DateOpened]],TODAY()))-1,ABS(NETWORKDAYS(Proc[[#This Row],[DateOpened]],Proc[[#This Row],[DateClosed]]))-1)</f>
        <v>15</v>
      </c>
      <c r="R4833" s="174" t="s">
        <v>5709</v>
      </c>
      <c r="S4833" s="150"/>
    </row>
    <row r="4834" spans="1:19" hidden="1">
      <c r="A4834" s="149" t="s">
        <v>7039</v>
      </c>
      <c r="B4834" s="150" t="str">
        <f>IFERROR(VLOOKUP(Proc[[#This Row],[App]],Table2[],3,0),"open")</f>
        <v>ok</v>
      </c>
      <c r="C4834" s="149" t="s">
        <v>369</v>
      </c>
      <c r="D4834" t="s">
        <v>7044</v>
      </c>
      <c r="E4834" s="149" t="s">
        <v>7228</v>
      </c>
      <c r="F4834" s="150" t="s">
        <v>7228</v>
      </c>
      <c r="G4834" s="149" t="s">
        <v>406</v>
      </c>
      <c r="H4834" s="150" t="str">
        <f>IF(Proc[[#This Row],[type]]="LFF (MDG-F)",MID(Proc[[#This Row],[Obj]],13,10),"")</f>
        <v>TW10DB3308</v>
      </c>
      <c r="I4834" s="149" t="s">
        <v>7228</v>
      </c>
      <c r="J4834" s="150" t="b">
        <f>Proc[[#This Row],[Requested]]=Proc[[#This Row],[CurrentParent]]</f>
        <v>1</v>
      </c>
      <c r="K4834" s="150" t="str">
        <f>IF(Proc[[#This Row],[Author]]="Marcela Urrego",VLOOKUP(LEFT(Proc[[#This Row],[Requested]],1),Table3[#All],2,0),VLOOKUP(Proc[[#This Row],[Author]],Table4[],2,0))</f>
        <v>EL</v>
      </c>
      <c r="L4834" s="150" t="s">
        <v>6435</v>
      </c>
      <c r="M4834" s="173">
        <v>45989</v>
      </c>
      <c r="N4834" s="174"/>
      <c r="O4834" s="174"/>
      <c r="P4834" s="174" t="str">
        <f ca="1">IF(Proc[[#This Row],[DaysAgeing]]&gt;5,"yep","on track")</f>
        <v>yep</v>
      </c>
      <c r="Q4834" s="3">
        <f ca="1">IF(Proc[[#This Row],[DateClosed]]="",ABS(NETWORKDAYS(Proc[[#This Row],[DateOpened]],TODAY()))-1,ABS(NETWORKDAYS(Proc[[#This Row],[DateOpened]],Proc[[#This Row],[DateClosed]]))-1)</f>
        <v>15</v>
      </c>
      <c r="R4834" s="174" t="s">
        <v>5709</v>
      </c>
      <c r="S4834" s="150"/>
    </row>
    <row r="4835" spans="1:19" hidden="1">
      <c r="A4835" s="149" t="s">
        <v>7039</v>
      </c>
      <c r="B4835" s="150" t="str">
        <f>IFERROR(VLOOKUP(Proc[[#This Row],[App]],Table2[],3,0),"open")</f>
        <v>ok</v>
      </c>
      <c r="C4835" s="149" t="s">
        <v>369</v>
      </c>
      <c r="D4835" t="s">
        <v>7045</v>
      </c>
      <c r="E4835" s="149" t="s">
        <v>7229</v>
      </c>
      <c r="F4835" s="150" t="s">
        <v>7229</v>
      </c>
      <c r="G4835" s="149" t="s">
        <v>406</v>
      </c>
      <c r="H4835" s="150" t="str">
        <f>IF(Proc[[#This Row],[type]]="LFF (MDG-F)",MID(Proc[[#This Row],[Obj]],13,10),"")</f>
        <v>SG09TPX001</v>
      </c>
      <c r="I4835" s="149" t="s">
        <v>7229</v>
      </c>
      <c r="J4835" s="150" t="b">
        <f>Proc[[#This Row],[Requested]]=Proc[[#This Row],[CurrentParent]]</f>
        <v>1</v>
      </c>
      <c r="K4835" s="150" t="str">
        <f>IF(Proc[[#This Row],[Author]]="Marcela Urrego",VLOOKUP(LEFT(Proc[[#This Row],[Requested]],1),Table3[#All],2,0),VLOOKUP(Proc[[#This Row],[Author]],Table4[],2,0))</f>
        <v>EL</v>
      </c>
      <c r="L4835" s="150" t="s">
        <v>6435</v>
      </c>
      <c r="M4835" s="173">
        <v>45989</v>
      </c>
      <c r="N4835" s="174"/>
      <c r="O4835" s="174"/>
      <c r="P4835" s="174" t="str">
        <f ca="1">IF(Proc[[#This Row],[DaysAgeing]]&gt;5,"yep","on track")</f>
        <v>yep</v>
      </c>
      <c r="Q4835" s="3">
        <f ca="1">IF(Proc[[#This Row],[DateClosed]]="",ABS(NETWORKDAYS(Proc[[#This Row],[DateOpened]],TODAY()))-1,ABS(NETWORKDAYS(Proc[[#This Row],[DateOpened]],Proc[[#This Row],[DateClosed]]))-1)</f>
        <v>15</v>
      </c>
      <c r="R4835" s="174" t="s">
        <v>5709</v>
      </c>
      <c r="S4835" s="150"/>
    </row>
    <row r="4836" spans="1:19" hidden="1">
      <c r="A4836" s="149" t="s">
        <v>7039</v>
      </c>
      <c r="B4836" s="150" t="str">
        <f>IFERROR(VLOOKUP(Proc[[#This Row],[App]],Table2[],3,0),"open")</f>
        <v>ok</v>
      </c>
      <c r="C4836" s="149" t="s">
        <v>369</v>
      </c>
      <c r="D4836" t="s">
        <v>7046</v>
      </c>
      <c r="E4836" s="149" t="s">
        <v>7229</v>
      </c>
      <c r="F4836" s="150" t="s">
        <v>7229</v>
      </c>
      <c r="G4836" s="149" t="s">
        <v>406</v>
      </c>
      <c r="H4836" s="150" t="str">
        <f>IF(Proc[[#This Row],[type]]="LFF (MDG-F)",MID(Proc[[#This Row],[Obj]],13,10),"")</f>
        <v>MY10DB3301</v>
      </c>
      <c r="I4836" s="149" t="s">
        <v>7229</v>
      </c>
      <c r="J4836" s="150" t="b">
        <f>Proc[[#This Row],[Requested]]=Proc[[#This Row],[CurrentParent]]</f>
        <v>1</v>
      </c>
      <c r="K4836" s="150" t="str">
        <f>IF(Proc[[#This Row],[Author]]="Marcela Urrego",VLOOKUP(LEFT(Proc[[#This Row],[Requested]],1),Table3[#All],2,0),VLOOKUP(Proc[[#This Row],[Author]],Table4[],2,0))</f>
        <v>EL</v>
      </c>
      <c r="L4836" s="150" t="s">
        <v>6435</v>
      </c>
      <c r="M4836" s="173">
        <v>45989</v>
      </c>
      <c r="N4836" s="174"/>
      <c r="O4836" s="174"/>
      <c r="P4836" s="174" t="str">
        <f ca="1">IF(Proc[[#This Row],[DaysAgeing]]&gt;5,"yep","on track")</f>
        <v>yep</v>
      </c>
      <c r="Q4836" s="3">
        <f ca="1">IF(Proc[[#This Row],[DateClosed]]="",ABS(NETWORKDAYS(Proc[[#This Row],[DateOpened]],TODAY()))-1,ABS(NETWORKDAYS(Proc[[#This Row],[DateOpened]],Proc[[#This Row],[DateClosed]]))-1)</f>
        <v>15</v>
      </c>
      <c r="R4836" s="174" t="s">
        <v>5709</v>
      </c>
      <c r="S4836" s="150"/>
    </row>
    <row r="4837" spans="1:19" hidden="1">
      <c r="A4837" s="149" t="s">
        <v>7039</v>
      </c>
      <c r="B4837" s="150" t="str">
        <f>IFERROR(VLOOKUP(Proc[[#This Row],[App]],Table2[],3,0),"open")</f>
        <v>ok</v>
      </c>
      <c r="C4837" s="149" t="s">
        <v>369</v>
      </c>
      <c r="D4837" t="s">
        <v>7047</v>
      </c>
      <c r="E4837" s="149" t="s">
        <v>7229</v>
      </c>
      <c r="F4837" s="150" t="s">
        <v>7229</v>
      </c>
      <c r="G4837" s="149" t="s">
        <v>406</v>
      </c>
      <c r="H4837" s="150" t="str">
        <f>IF(Proc[[#This Row],[type]]="LFF (MDG-F)",MID(Proc[[#This Row],[Obj]],13,10),"")</f>
        <v>SG10DB3300</v>
      </c>
      <c r="I4837" s="149" t="s">
        <v>7229</v>
      </c>
      <c r="J4837" s="150" t="b">
        <f>Proc[[#This Row],[Requested]]=Proc[[#This Row],[CurrentParent]]</f>
        <v>1</v>
      </c>
      <c r="K4837" s="150" t="str">
        <f>IF(Proc[[#This Row],[Author]]="Marcela Urrego",VLOOKUP(LEFT(Proc[[#This Row],[Requested]],1),Table3[#All],2,0),VLOOKUP(Proc[[#This Row],[Author]],Table4[],2,0))</f>
        <v>EL</v>
      </c>
      <c r="L4837" s="150" t="s">
        <v>6435</v>
      </c>
      <c r="M4837" s="173">
        <v>45989</v>
      </c>
      <c r="N4837" s="174"/>
      <c r="O4837" s="174"/>
      <c r="P4837" s="174" t="str">
        <f ca="1">IF(Proc[[#This Row],[DaysAgeing]]&gt;5,"yep","on track")</f>
        <v>yep</v>
      </c>
      <c r="Q4837" s="3">
        <f ca="1">IF(Proc[[#This Row],[DateClosed]]="",ABS(NETWORKDAYS(Proc[[#This Row],[DateOpened]],TODAY()))-1,ABS(NETWORKDAYS(Proc[[#This Row],[DateOpened]],Proc[[#This Row],[DateClosed]]))-1)</f>
        <v>15</v>
      </c>
      <c r="R4837" s="174" t="s">
        <v>5709</v>
      </c>
      <c r="S4837" s="150"/>
    </row>
    <row r="4838" spans="1:19" hidden="1">
      <c r="A4838" s="149" t="s">
        <v>7039</v>
      </c>
      <c r="B4838" s="150" t="str">
        <f>IFERROR(VLOOKUP(Proc[[#This Row],[App]],Table2[],3,0),"open")</f>
        <v>ok</v>
      </c>
      <c r="C4838" s="149" t="s">
        <v>369</v>
      </c>
      <c r="D4838" t="s">
        <v>7048</v>
      </c>
      <c r="E4838" s="149" t="s">
        <v>7229</v>
      </c>
      <c r="F4838" s="150" t="s">
        <v>7229</v>
      </c>
      <c r="G4838" s="149" t="s">
        <v>406</v>
      </c>
      <c r="H4838" s="150" t="str">
        <f>IF(Proc[[#This Row],[type]]="LFF (MDG-F)",MID(Proc[[#This Row],[Obj]],13,10),"")</f>
        <v>SG10DB3301</v>
      </c>
      <c r="I4838" s="149" t="s">
        <v>7229</v>
      </c>
      <c r="J4838" s="150" t="b">
        <f>Proc[[#This Row],[Requested]]=Proc[[#This Row],[CurrentParent]]</f>
        <v>1</v>
      </c>
      <c r="K4838" s="150" t="str">
        <f>IF(Proc[[#This Row],[Author]]="Marcela Urrego",VLOOKUP(LEFT(Proc[[#This Row],[Requested]],1),Table3[#All],2,0),VLOOKUP(Proc[[#This Row],[Author]],Table4[],2,0))</f>
        <v>EL</v>
      </c>
      <c r="L4838" s="150" t="s">
        <v>6435</v>
      </c>
      <c r="M4838" s="173">
        <v>45989</v>
      </c>
      <c r="N4838" s="174"/>
      <c r="O4838" s="174"/>
      <c r="P4838" s="174" t="str">
        <f ca="1">IF(Proc[[#This Row],[DaysAgeing]]&gt;5,"yep","on track")</f>
        <v>yep</v>
      </c>
      <c r="Q4838" s="3">
        <f ca="1">IF(Proc[[#This Row],[DateClosed]]="",ABS(NETWORKDAYS(Proc[[#This Row],[DateOpened]],TODAY()))-1,ABS(NETWORKDAYS(Proc[[#This Row],[DateOpened]],Proc[[#This Row],[DateClosed]]))-1)</f>
        <v>15</v>
      </c>
      <c r="R4838" s="174" t="s">
        <v>5709</v>
      </c>
      <c r="S4838" s="150"/>
    </row>
    <row r="4839" spans="1:19" hidden="1">
      <c r="A4839" s="149" t="s">
        <v>7039</v>
      </c>
      <c r="B4839" s="150" t="str">
        <f>IFERROR(VLOOKUP(Proc[[#This Row],[App]],Table2[],3,0),"open")</f>
        <v>ok</v>
      </c>
      <c r="C4839" s="149" t="s">
        <v>369</v>
      </c>
      <c r="D4839" t="s">
        <v>7049</v>
      </c>
      <c r="E4839" s="149" t="s">
        <v>7229</v>
      </c>
      <c r="F4839" s="150" t="s">
        <v>7229</v>
      </c>
      <c r="G4839" s="149" t="s">
        <v>406</v>
      </c>
      <c r="H4839" s="150" t="str">
        <f>IF(Proc[[#This Row],[type]]="LFF (MDG-F)",MID(Proc[[#This Row],[Obj]],13,10),"")</f>
        <v>SG10DB3302</v>
      </c>
      <c r="I4839" s="149" t="s">
        <v>7229</v>
      </c>
      <c r="J4839" s="150" t="b">
        <f>Proc[[#This Row],[Requested]]=Proc[[#This Row],[CurrentParent]]</f>
        <v>1</v>
      </c>
      <c r="K4839" s="150" t="str">
        <f>IF(Proc[[#This Row],[Author]]="Marcela Urrego",VLOOKUP(LEFT(Proc[[#This Row],[Requested]],1),Table3[#All],2,0),VLOOKUP(Proc[[#This Row],[Author]],Table4[],2,0))</f>
        <v>EL</v>
      </c>
      <c r="L4839" s="150" t="s">
        <v>6435</v>
      </c>
      <c r="M4839" s="173">
        <v>45989</v>
      </c>
      <c r="N4839" s="174"/>
      <c r="O4839" s="174"/>
      <c r="P4839" s="174" t="str">
        <f ca="1">IF(Proc[[#This Row],[DaysAgeing]]&gt;5,"yep","on track")</f>
        <v>yep</v>
      </c>
      <c r="Q4839" s="3">
        <f ca="1">IF(Proc[[#This Row],[DateClosed]]="",ABS(NETWORKDAYS(Proc[[#This Row],[DateOpened]],TODAY()))-1,ABS(NETWORKDAYS(Proc[[#This Row],[DateOpened]],Proc[[#This Row],[DateClosed]]))-1)</f>
        <v>15</v>
      </c>
      <c r="R4839" s="174" t="s">
        <v>5709</v>
      </c>
      <c r="S4839" s="150"/>
    </row>
    <row r="4840" spans="1:19" hidden="1">
      <c r="A4840" s="149" t="s">
        <v>7039</v>
      </c>
      <c r="B4840" s="150" t="str">
        <f>IFERROR(VLOOKUP(Proc[[#This Row],[App]],Table2[],3,0),"open")</f>
        <v>ok</v>
      </c>
      <c r="C4840" s="149" t="s">
        <v>369</v>
      </c>
      <c r="D4840" t="s">
        <v>7050</v>
      </c>
      <c r="E4840" s="149" t="s">
        <v>7229</v>
      </c>
      <c r="F4840" s="150" t="s">
        <v>7229</v>
      </c>
      <c r="G4840" s="149" t="s">
        <v>406</v>
      </c>
      <c r="H4840" s="150" t="str">
        <f>IF(Proc[[#This Row],[type]]="LFF (MDG-F)",MID(Proc[[#This Row],[Obj]],13,10),"")</f>
        <v>TW10DB3303</v>
      </c>
      <c r="I4840" s="149" t="s">
        <v>7229</v>
      </c>
      <c r="J4840" s="150" t="b">
        <f>Proc[[#This Row],[Requested]]=Proc[[#This Row],[CurrentParent]]</f>
        <v>1</v>
      </c>
      <c r="K4840" s="150" t="str">
        <f>IF(Proc[[#This Row],[Author]]="Marcela Urrego",VLOOKUP(LEFT(Proc[[#This Row],[Requested]],1),Table3[#All],2,0),VLOOKUP(Proc[[#This Row],[Author]],Table4[],2,0))</f>
        <v>EL</v>
      </c>
      <c r="L4840" s="150" t="s">
        <v>6435</v>
      </c>
      <c r="M4840" s="173">
        <v>45989</v>
      </c>
      <c r="N4840" s="174"/>
      <c r="O4840" s="174"/>
      <c r="P4840" s="174" t="str">
        <f ca="1">IF(Proc[[#This Row],[DaysAgeing]]&gt;5,"yep","on track")</f>
        <v>yep</v>
      </c>
      <c r="Q4840" s="3">
        <f ca="1">IF(Proc[[#This Row],[DateClosed]]="",ABS(NETWORKDAYS(Proc[[#This Row],[DateOpened]],TODAY()))-1,ABS(NETWORKDAYS(Proc[[#This Row],[DateOpened]],Proc[[#This Row],[DateClosed]]))-1)</f>
        <v>15</v>
      </c>
      <c r="R4840" s="174" t="s">
        <v>5709</v>
      </c>
      <c r="S4840" s="150"/>
    </row>
    <row r="4841" spans="1:19" hidden="1">
      <c r="A4841" s="149" t="s">
        <v>7039</v>
      </c>
      <c r="B4841" s="150" t="str">
        <f>IFERROR(VLOOKUP(Proc[[#This Row],[App]],Table2[],3,0),"open")</f>
        <v>ok</v>
      </c>
      <c r="C4841" s="149" t="s">
        <v>369</v>
      </c>
      <c r="D4841" t="s">
        <v>7051</v>
      </c>
      <c r="E4841" s="149" t="s">
        <v>7229</v>
      </c>
      <c r="F4841" s="150" t="s">
        <v>7229</v>
      </c>
      <c r="G4841" s="149" t="s">
        <v>406</v>
      </c>
      <c r="H4841" s="150" t="str">
        <f>IF(Proc[[#This Row],[type]]="LFF (MDG-F)",MID(Proc[[#This Row],[Obj]],13,10),"")</f>
        <v>TW10DB3307</v>
      </c>
      <c r="I4841" s="149" t="s">
        <v>7229</v>
      </c>
      <c r="J4841" s="150" t="b">
        <f>Proc[[#This Row],[Requested]]=Proc[[#This Row],[CurrentParent]]</f>
        <v>1</v>
      </c>
      <c r="K4841" s="150" t="str">
        <f>IF(Proc[[#This Row],[Author]]="Marcela Urrego",VLOOKUP(LEFT(Proc[[#This Row],[Requested]],1),Table3[#All],2,0),VLOOKUP(Proc[[#This Row],[Author]],Table4[],2,0))</f>
        <v>EL</v>
      </c>
      <c r="L4841" s="150" t="s">
        <v>6435</v>
      </c>
      <c r="M4841" s="173">
        <v>45989</v>
      </c>
      <c r="N4841" s="174"/>
      <c r="O4841" s="174"/>
      <c r="P4841" s="174" t="str">
        <f ca="1">IF(Proc[[#This Row],[DaysAgeing]]&gt;5,"yep","on track")</f>
        <v>yep</v>
      </c>
      <c r="Q4841" s="3">
        <f ca="1">IF(Proc[[#This Row],[DateClosed]]="",ABS(NETWORKDAYS(Proc[[#This Row],[DateOpened]],TODAY()))-1,ABS(NETWORKDAYS(Proc[[#This Row],[DateOpened]],Proc[[#This Row],[DateClosed]]))-1)</f>
        <v>15</v>
      </c>
      <c r="R4841" s="174" t="s">
        <v>5709</v>
      </c>
      <c r="S4841" s="150"/>
    </row>
    <row r="4842" spans="1:19" hidden="1">
      <c r="A4842" s="149" t="s">
        <v>7039</v>
      </c>
      <c r="B4842" s="150" t="str">
        <f>IFERROR(VLOOKUP(Proc[[#This Row],[App]],Table2[],3,0),"open")</f>
        <v>ok</v>
      </c>
      <c r="C4842" s="149" t="s">
        <v>369</v>
      </c>
      <c r="D4842" t="s">
        <v>7052</v>
      </c>
      <c r="E4842" s="149" t="s">
        <v>7229</v>
      </c>
      <c r="F4842" s="150" t="s">
        <v>7229</v>
      </c>
      <c r="G4842" s="149" t="s">
        <v>406</v>
      </c>
      <c r="H4842" s="150" t="str">
        <f>IF(Proc[[#This Row],[type]]="LFF (MDG-F)",MID(Proc[[#This Row],[Obj]],13,10),"")</f>
        <v>TW10TQ1001</v>
      </c>
      <c r="I4842" s="149" t="s">
        <v>7229</v>
      </c>
      <c r="J4842" s="150" t="b">
        <f>Proc[[#This Row],[Requested]]=Proc[[#This Row],[CurrentParent]]</f>
        <v>1</v>
      </c>
      <c r="K4842" s="150" t="str">
        <f>IF(Proc[[#This Row],[Author]]="Marcela Urrego",VLOOKUP(LEFT(Proc[[#This Row],[Requested]],1),Table3[#All],2,0),VLOOKUP(Proc[[#This Row],[Author]],Table4[],2,0))</f>
        <v>EL</v>
      </c>
      <c r="L4842" s="150" t="s">
        <v>6435</v>
      </c>
      <c r="M4842" s="173">
        <v>45989</v>
      </c>
      <c r="N4842" s="174"/>
      <c r="O4842" s="174"/>
      <c r="P4842" s="174" t="str">
        <f ca="1">IF(Proc[[#This Row],[DaysAgeing]]&gt;5,"yep","on track")</f>
        <v>yep</v>
      </c>
      <c r="Q4842" s="3">
        <f ca="1">IF(Proc[[#This Row],[DateClosed]]="",ABS(NETWORKDAYS(Proc[[#This Row],[DateOpened]],TODAY()))-1,ABS(NETWORKDAYS(Proc[[#This Row],[DateOpened]],Proc[[#This Row],[DateClosed]]))-1)</f>
        <v>15</v>
      </c>
      <c r="R4842" s="174" t="s">
        <v>5709</v>
      </c>
      <c r="S4842" s="150"/>
    </row>
    <row r="4843" spans="1:19" hidden="1">
      <c r="A4843" s="149" t="s">
        <v>7039</v>
      </c>
      <c r="B4843" s="150" t="str">
        <f>IFERROR(VLOOKUP(Proc[[#This Row],[App]],Table2[],3,0),"open")</f>
        <v>ok</v>
      </c>
      <c r="C4843" s="149" t="s">
        <v>369</v>
      </c>
      <c r="D4843" t="s">
        <v>7053</v>
      </c>
      <c r="E4843" s="149" t="s">
        <v>7229</v>
      </c>
      <c r="F4843" s="150" t="s">
        <v>7229</v>
      </c>
      <c r="G4843" s="149" t="s">
        <v>406</v>
      </c>
      <c r="H4843" s="150" t="str">
        <f>IF(Proc[[#This Row],[type]]="LFF (MDG-F)",MID(Proc[[#This Row],[Obj]],13,10),"")</f>
        <v>TW10TQ1002</v>
      </c>
      <c r="I4843" s="149" t="s">
        <v>7229</v>
      </c>
      <c r="J4843" s="150" t="b">
        <f>Proc[[#This Row],[Requested]]=Proc[[#This Row],[CurrentParent]]</f>
        <v>1</v>
      </c>
      <c r="K4843" s="150" t="str">
        <f>IF(Proc[[#This Row],[Author]]="Marcela Urrego",VLOOKUP(LEFT(Proc[[#This Row],[Requested]],1),Table3[#All],2,0),VLOOKUP(Proc[[#This Row],[Author]],Table4[],2,0))</f>
        <v>EL</v>
      </c>
      <c r="L4843" s="150" t="s">
        <v>6435</v>
      </c>
      <c r="M4843" s="173">
        <v>45989</v>
      </c>
      <c r="N4843" s="174"/>
      <c r="O4843" s="174"/>
      <c r="P4843" s="174" t="str">
        <f ca="1">IF(Proc[[#This Row],[DaysAgeing]]&gt;5,"yep","on track")</f>
        <v>yep</v>
      </c>
      <c r="Q4843" s="3">
        <f ca="1">IF(Proc[[#This Row],[DateClosed]]="",ABS(NETWORKDAYS(Proc[[#This Row],[DateOpened]],TODAY()))-1,ABS(NETWORKDAYS(Proc[[#This Row],[DateOpened]],Proc[[#This Row],[DateClosed]]))-1)</f>
        <v>15</v>
      </c>
      <c r="R4843" s="174" t="s">
        <v>5709</v>
      </c>
      <c r="S4843" s="150"/>
    </row>
    <row r="4844" spans="1:19" hidden="1">
      <c r="A4844" s="149" t="s">
        <v>7039</v>
      </c>
      <c r="B4844" s="150" t="str">
        <f>IFERROR(VLOOKUP(Proc[[#This Row],[App]],Table2[],3,0),"open")</f>
        <v>ok</v>
      </c>
      <c r="C4844" s="149" t="s">
        <v>369</v>
      </c>
      <c r="D4844" t="s">
        <v>7246</v>
      </c>
      <c r="E4844" s="149" t="s">
        <v>7229</v>
      </c>
      <c r="F4844" s="150" t="s">
        <v>7229</v>
      </c>
      <c r="G4844" s="149" t="s">
        <v>406</v>
      </c>
      <c r="H4844" s="150" t="str">
        <f>IF(Proc[[#This Row],[type]]="LFF (MDG-F)",MID(Proc[[#This Row],[Obj]],13,10),"")</f>
        <v>TW10TQ1003</v>
      </c>
      <c r="I4844" s="149" t="s">
        <v>7229</v>
      </c>
      <c r="J4844" s="150" t="b">
        <f>Proc[[#This Row],[Requested]]=Proc[[#This Row],[CurrentParent]]</f>
        <v>1</v>
      </c>
      <c r="K4844" s="150" t="str">
        <f>IF(Proc[[#This Row],[Author]]="Marcela Urrego",VLOOKUP(LEFT(Proc[[#This Row],[Requested]],1),Table3[#All],2,0),VLOOKUP(Proc[[#This Row],[Author]],Table4[],2,0))</f>
        <v>EL</v>
      </c>
      <c r="L4844" s="150" t="s">
        <v>6435</v>
      </c>
      <c r="M4844" s="173">
        <v>45989</v>
      </c>
      <c r="N4844" s="174"/>
      <c r="O4844" s="174"/>
      <c r="P4844" s="174" t="str">
        <f ca="1">IF(Proc[[#This Row],[DaysAgeing]]&gt;5,"yep","on track")</f>
        <v>yep</v>
      </c>
      <c r="Q4844" s="3">
        <f ca="1">IF(Proc[[#This Row],[DateClosed]]="",ABS(NETWORKDAYS(Proc[[#This Row],[DateOpened]],TODAY()))-1,ABS(NETWORKDAYS(Proc[[#This Row],[DateOpened]],Proc[[#This Row],[DateClosed]]))-1)</f>
        <v>15</v>
      </c>
      <c r="R4844" s="174" t="s">
        <v>5709</v>
      </c>
      <c r="S4844" s="150"/>
    </row>
    <row r="4845" spans="1:19" hidden="1">
      <c r="A4845" s="149" t="s">
        <v>7039</v>
      </c>
      <c r="B4845" s="150" t="str">
        <f>IFERROR(VLOOKUP(Proc[[#This Row],[App]],Table2[],3,0),"open")</f>
        <v>ok</v>
      </c>
      <c r="C4845" s="149" t="s">
        <v>369</v>
      </c>
      <c r="D4845" t="s">
        <v>7054</v>
      </c>
      <c r="E4845" s="149" t="s">
        <v>7229</v>
      </c>
      <c r="F4845" s="150" t="s">
        <v>7229</v>
      </c>
      <c r="G4845" s="149" t="s">
        <v>406</v>
      </c>
      <c r="H4845" s="150" t="str">
        <f>IF(Proc[[#This Row],[type]]="LFF (MDG-F)",MID(Proc[[#This Row],[Obj]],13,10),"")</f>
        <v>TW91DB3301</v>
      </c>
      <c r="I4845" s="149" t="s">
        <v>7229</v>
      </c>
      <c r="J4845" s="150" t="b">
        <f>Proc[[#This Row],[Requested]]=Proc[[#This Row],[CurrentParent]]</f>
        <v>1</v>
      </c>
      <c r="K4845" s="150" t="str">
        <f>IF(Proc[[#This Row],[Author]]="Marcela Urrego",VLOOKUP(LEFT(Proc[[#This Row],[Requested]],1),Table3[#All],2,0),VLOOKUP(Proc[[#This Row],[Author]],Table4[],2,0))</f>
        <v>EL</v>
      </c>
      <c r="L4845" s="150" t="s">
        <v>6435</v>
      </c>
      <c r="M4845" s="173">
        <v>45989</v>
      </c>
      <c r="N4845" s="174"/>
      <c r="O4845" s="174"/>
      <c r="P4845" s="174" t="str">
        <f ca="1">IF(Proc[[#This Row],[DaysAgeing]]&gt;5,"yep","on track")</f>
        <v>yep</v>
      </c>
      <c r="Q4845" s="3">
        <f ca="1">IF(Proc[[#This Row],[DateClosed]]="",ABS(NETWORKDAYS(Proc[[#This Row],[DateOpened]],TODAY()))-1,ABS(NETWORKDAYS(Proc[[#This Row],[DateOpened]],Proc[[#This Row],[DateClosed]]))-1)</f>
        <v>15</v>
      </c>
      <c r="R4845" s="174" t="s">
        <v>5709</v>
      </c>
      <c r="S4845" s="150"/>
    </row>
    <row r="4846" spans="1:19" hidden="1">
      <c r="A4846" s="149" t="s">
        <v>7039</v>
      </c>
      <c r="B4846" s="150" t="str">
        <f>IFERROR(VLOOKUP(Proc[[#This Row],[App]],Table2[],3,0),"open")</f>
        <v>ok</v>
      </c>
      <c r="C4846" s="149" t="s">
        <v>369</v>
      </c>
      <c r="D4846" t="s">
        <v>7055</v>
      </c>
      <c r="E4846" s="149" t="s">
        <v>7229</v>
      </c>
      <c r="F4846" s="150" t="s">
        <v>7229</v>
      </c>
      <c r="G4846" s="149" t="s">
        <v>406</v>
      </c>
      <c r="H4846" s="150" t="str">
        <f>IF(Proc[[#This Row],[type]]="LFF (MDG-F)",MID(Proc[[#This Row],[Obj]],13,10),"")</f>
        <v>TW91TQ1001</v>
      </c>
      <c r="I4846" s="149" t="s">
        <v>7229</v>
      </c>
      <c r="J4846" s="150" t="b">
        <f>Proc[[#This Row],[Requested]]=Proc[[#This Row],[CurrentParent]]</f>
        <v>1</v>
      </c>
      <c r="K4846" s="150" t="str">
        <f>IF(Proc[[#This Row],[Author]]="Marcela Urrego",VLOOKUP(LEFT(Proc[[#This Row],[Requested]],1),Table3[#All],2,0),VLOOKUP(Proc[[#This Row],[Author]],Table4[],2,0))</f>
        <v>EL</v>
      </c>
      <c r="L4846" s="150" t="s">
        <v>6435</v>
      </c>
      <c r="M4846" s="173">
        <v>45989</v>
      </c>
      <c r="N4846" s="174"/>
      <c r="O4846" s="174"/>
      <c r="P4846" s="174" t="str">
        <f ca="1">IF(Proc[[#This Row],[DaysAgeing]]&gt;5,"yep","on track")</f>
        <v>yep</v>
      </c>
      <c r="Q4846" s="3">
        <f ca="1">IF(Proc[[#This Row],[DateClosed]]="",ABS(NETWORKDAYS(Proc[[#This Row],[DateOpened]],TODAY()))-1,ABS(NETWORKDAYS(Proc[[#This Row],[DateOpened]],Proc[[#This Row],[DateClosed]]))-1)</f>
        <v>15</v>
      </c>
      <c r="R4846" s="174" t="s">
        <v>5709</v>
      </c>
      <c r="S4846" s="150"/>
    </row>
    <row r="4847" spans="1:19" hidden="1">
      <c r="A4847" s="149" t="s">
        <v>7039</v>
      </c>
      <c r="B4847" s="150" t="str">
        <f>IFERROR(VLOOKUP(Proc[[#This Row],[App]],Table2[],3,0),"open")</f>
        <v>ok</v>
      </c>
      <c r="C4847" s="149" t="s">
        <v>369</v>
      </c>
      <c r="D4847" t="s">
        <v>7056</v>
      </c>
      <c r="E4847" s="149" t="s">
        <v>7229</v>
      </c>
      <c r="F4847" s="150" t="s">
        <v>7229</v>
      </c>
      <c r="G4847" s="149" t="s">
        <v>406</v>
      </c>
      <c r="H4847" s="150" t="str">
        <f>IF(Proc[[#This Row],[type]]="LFF (MDG-F)",MID(Proc[[#This Row],[Obj]],13,10),"")</f>
        <v>TW91TQ1002</v>
      </c>
      <c r="I4847" s="149" t="s">
        <v>7229</v>
      </c>
      <c r="J4847" s="150" t="b">
        <f>Proc[[#This Row],[Requested]]=Proc[[#This Row],[CurrentParent]]</f>
        <v>1</v>
      </c>
      <c r="K4847" s="150" t="str">
        <f>IF(Proc[[#This Row],[Author]]="Marcela Urrego",VLOOKUP(LEFT(Proc[[#This Row],[Requested]],1),Table3[#All],2,0),VLOOKUP(Proc[[#This Row],[Author]],Table4[],2,0))</f>
        <v>EL</v>
      </c>
      <c r="L4847" s="150" t="s">
        <v>6435</v>
      </c>
      <c r="M4847" s="173">
        <v>45989</v>
      </c>
      <c r="N4847" s="174"/>
      <c r="O4847" s="174"/>
      <c r="P4847" s="174" t="str">
        <f ca="1">IF(Proc[[#This Row],[DaysAgeing]]&gt;5,"yep","on track")</f>
        <v>yep</v>
      </c>
      <c r="Q4847" s="3">
        <f ca="1">IF(Proc[[#This Row],[DateClosed]]="",ABS(NETWORKDAYS(Proc[[#This Row],[DateOpened]],TODAY()))-1,ABS(NETWORKDAYS(Proc[[#This Row],[DateOpened]],Proc[[#This Row],[DateClosed]]))-1)</f>
        <v>15</v>
      </c>
      <c r="R4847" s="174" t="s">
        <v>5709</v>
      </c>
      <c r="S4847" s="150"/>
    </row>
    <row r="4848" spans="1:19" hidden="1">
      <c r="A4848" s="149" t="s">
        <v>7039</v>
      </c>
      <c r="B4848" s="150" t="str">
        <f>IFERROR(VLOOKUP(Proc[[#This Row],[App]],Table2[],3,0),"open")</f>
        <v>ok</v>
      </c>
      <c r="C4848" s="149" t="s">
        <v>369</v>
      </c>
      <c r="D4848" t="s">
        <v>7057</v>
      </c>
      <c r="E4848" s="149" t="s">
        <v>7229</v>
      </c>
      <c r="F4848" s="150" t="s">
        <v>7229</v>
      </c>
      <c r="G4848" s="149" t="s">
        <v>406</v>
      </c>
      <c r="H4848" s="150" t="str">
        <f>IF(Proc[[#This Row],[type]]="LFF (MDG-F)",MID(Proc[[#This Row],[Obj]],13,10),"")</f>
        <v>MY10TQ1000</v>
      </c>
      <c r="I4848" s="149" t="s">
        <v>7229</v>
      </c>
      <c r="J4848" s="150" t="b">
        <f>Proc[[#This Row],[Requested]]=Proc[[#This Row],[CurrentParent]]</f>
        <v>1</v>
      </c>
      <c r="K4848" s="150" t="str">
        <f>IF(Proc[[#This Row],[Author]]="Marcela Urrego",VLOOKUP(LEFT(Proc[[#This Row],[Requested]],1),Table3[#All],2,0),VLOOKUP(Proc[[#This Row],[Author]],Table4[],2,0))</f>
        <v>EL</v>
      </c>
      <c r="L4848" s="150" t="s">
        <v>6435</v>
      </c>
      <c r="M4848" s="173">
        <v>45989</v>
      </c>
      <c r="N4848" s="174"/>
      <c r="O4848" s="174"/>
      <c r="P4848" s="174" t="str">
        <f ca="1">IF(Proc[[#This Row],[DaysAgeing]]&gt;5,"yep","on track")</f>
        <v>yep</v>
      </c>
      <c r="Q4848" s="3">
        <f ca="1">IF(Proc[[#This Row],[DateClosed]]="",ABS(NETWORKDAYS(Proc[[#This Row],[DateOpened]],TODAY()))-1,ABS(NETWORKDAYS(Proc[[#This Row],[DateOpened]],Proc[[#This Row],[DateClosed]]))-1)</f>
        <v>15</v>
      </c>
      <c r="R4848" s="174" t="s">
        <v>5709</v>
      </c>
      <c r="S4848" s="150"/>
    </row>
    <row r="4849" spans="1:19" hidden="1">
      <c r="A4849" s="149" t="s">
        <v>7039</v>
      </c>
      <c r="B4849" s="150" t="str">
        <f>IFERROR(VLOOKUP(Proc[[#This Row],[App]],Table2[],3,0),"open")</f>
        <v>ok</v>
      </c>
      <c r="C4849" s="149" t="s">
        <v>377</v>
      </c>
      <c r="D4849" t="s">
        <v>7058</v>
      </c>
      <c r="E4849" s="149" t="s">
        <v>7229</v>
      </c>
      <c r="F4849" s="150">
        <v>0</v>
      </c>
      <c r="G4849" s="149" t="s">
        <v>406</v>
      </c>
      <c r="H4849" s="150" t="str">
        <f>IF(Proc[[#This Row],[type]]="LFF (MDG-F)",MID(Proc[[#This Row],[Obj]],13,10),"")</f>
        <v>SG10TQ1001</v>
      </c>
      <c r="I4849" s="149" t="s">
        <v>7229</v>
      </c>
      <c r="J4849" s="150" t="b">
        <f>Proc[[#This Row],[Requested]]=Proc[[#This Row],[CurrentParent]]</f>
        <v>0</v>
      </c>
      <c r="K4849" s="150" t="str">
        <f>IF(Proc[[#This Row],[Author]]="Marcela Urrego",VLOOKUP(LEFT(Proc[[#This Row],[Requested]],1),Table3[#All],2,0),VLOOKUP(Proc[[#This Row],[Author]],Table4[],2,0))</f>
        <v>EL</v>
      </c>
      <c r="L4849" s="150" t="s">
        <v>6435</v>
      </c>
      <c r="M4849" s="173">
        <v>45989</v>
      </c>
      <c r="N4849" s="174"/>
      <c r="O4849" s="174"/>
      <c r="P4849" s="174" t="str">
        <f ca="1">IF(Proc[[#This Row],[DaysAgeing]]&gt;5,"yep","on track")</f>
        <v>yep</v>
      </c>
      <c r="Q4849" s="3">
        <f ca="1">IF(Proc[[#This Row],[DateClosed]]="",ABS(NETWORKDAYS(Proc[[#This Row],[DateOpened]],TODAY()))-1,ABS(NETWORKDAYS(Proc[[#This Row],[DateOpened]],Proc[[#This Row],[DateClosed]]))-1)</f>
        <v>15</v>
      </c>
      <c r="R4849" s="174" t="s">
        <v>5709</v>
      </c>
      <c r="S4849" s="150"/>
    </row>
    <row r="4850" spans="1:19" hidden="1">
      <c r="A4850" s="149" t="s">
        <v>7039</v>
      </c>
      <c r="B4850" s="150" t="str">
        <f>IFERROR(VLOOKUP(Proc[[#This Row],[App]],Table2[],3,0),"open")</f>
        <v>ok</v>
      </c>
      <c r="C4850" s="149" t="s">
        <v>377</v>
      </c>
      <c r="D4850" t="s">
        <v>7059</v>
      </c>
      <c r="E4850" s="149" t="s">
        <v>7229</v>
      </c>
      <c r="F4850" s="150">
        <v>0</v>
      </c>
      <c r="G4850" s="149" t="s">
        <v>406</v>
      </c>
      <c r="H4850" s="150" t="str">
        <f>IF(Proc[[#This Row],[type]]="LFF (MDG-F)",MID(Proc[[#This Row],[Obj]],13,10),"")</f>
        <v>SG10TQ1002</v>
      </c>
      <c r="I4850" s="149" t="s">
        <v>7229</v>
      </c>
      <c r="J4850" s="150" t="b">
        <f>Proc[[#This Row],[Requested]]=Proc[[#This Row],[CurrentParent]]</f>
        <v>0</v>
      </c>
      <c r="K4850" s="150" t="str">
        <f>IF(Proc[[#This Row],[Author]]="Marcela Urrego",VLOOKUP(LEFT(Proc[[#This Row],[Requested]],1),Table3[#All],2,0),VLOOKUP(Proc[[#This Row],[Author]],Table4[],2,0))</f>
        <v>EL</v>
      </c>
      <c r="L4850" s="150" t="s">
        <v>6435</v>
      </c>
      <c r="M4850" s="173">
        <v>45989</v>
      </c>
      <c r="N4850" s="174"/>
      <c r="O4850" s="174"/>
      <c r="P4850" s="174" t="str">
        <f ca="1">IF(Proc[[#This Row],[DaysAgeing]]&gt;5,"yep","on track")</f>
        <v>yep</v>
      </c>
      <c r="Q4850" s="3">
        <f ca="1">IF(Proc[[#This Row],[DateClosed]]="",ABS(NETWORKDAYS(Proc[[#This Row],[DateOpened]],TODAY()))-1,ABS(NETWORKDAYS(Proc[[#This Row],[DateOpened]],Proc[[#This Row],[DateClosed]]))-1)</f>
        <v>15</v>
      </c>
      <c r="R4850" s="174" t="s">
        <v>5709</v>
      </c>
      <c r="S4850" s="150"/>
    </row>
    <row r="4851" spans="1:19" hidden="1">
      <c r="A4851" s="149" t="s">
        <v>7039</v>
      </c>
      <c r="B4851" s="150" t="str">
        <f>IFERROR(VLOOKUP(Proc[[#This Row],[App]],Table2[],3,0),"open")</f>
        <v>ok</v>
      </c>
      <c r="C4851" s="149" t="s">
        <v>377</v>
      </c>
      <c r="D4851" t="s">
        <v>7060</v>
      </c>
      <c r="E4851" s="149" t="s">
        <v>7229</v>
      </c>
      <c r="F4851" s="150">
        <v>0</v>
      </c>
      <c r="G4851" s="149" t="s">
        <v>406</v>
      </c>
      <c r="H4851" s="150" t="str">
        <f>IF(Proc[[#This Row],[type]]="LFF (MDG-F)",MID(Proc[[#This Row],[Obj]],13,10),"")</f>
        <v>SG10TQ1003</v>
      </c>
      <c r="I4851" s="149" t="s">
        <v>7229</v>
      </c>
      <c r="J4851" s="150" t="b">
        <f>Proc[[#This Row],[Requested]]=Proc[[#This Row],[CurrentParent]]</f>
        <v>0</v>
      </c>
      <c r="K4851" s="150" t="str">
        <f>IF(Proc[[#This Row],[Author]]="Marcela Urrego",VLOOKUP(LEFT(Proc[[#This Row],[Requested]],1),Table3[#All],2,0),VLOOKUP(Proc[[#This Row],[Author]],Table4[],2,0))</f>
        <v>EL</v>
      </c>
      <c r="L4851" s="150" t="s">
        <v>6435</v>
      </c>
      <c r="M4851" s="173">
        <v>45989</v>
      </c>
      <c r="N4851" s="174"/>
      <c r="O4851" s="174"/>
      <c r="P4851" s="174" t="str">
        <f ca="1">IF(Proc[[#This Row],[DaysAgeing]]&gt;5,"yep","on track")</f>
        <v>yep</v>
      </c>
      <c r="Q4851" s="3">
        <f ca="1">IF(Proc[[#This Row],[DateClosed]]="",ABS(NETWORKDAYS(Proc[[#This Row],[DateOpened]],TODAY()))-1,ABS(NETWORKDAYS(Proc[[#This Row],[DateOpened]],Proc[[#This Row],[DateClosed]]))-1)</f>
        <v>15</v>
      </c>
      <c r="R4851" s="174" t="s">
        <v>5709</v>
      </c>
      <c r="S4851" s="150"/>
    </row>
    <row r="4852" spans="1:19" hidden="1">
      <c r="A4852" s="149" t="s">
        <v>7039</v>
      </c>
      <c r="B4852" s="150" t="str">
        <f>IFERROR(VLOOKUP(Proc[[#This Row],[App]],Table2[],3,0),"open")</f>
        <v>ok</v>
      </c>
      <c r="C4852" s="149" t="s">
        <v>369</v>
      </c>
      <c r="D4852" t="s">
        <v>7061</v>
      </c>
      <c r="E4852" s="149" t="s">
        <v>7229</v>
      </c>
      <c r="F4852" s="150" t="s">
        <v>7229</v>
      </c>
      <c r="G4852" s="149" t="s">
        <v>406</v>
      </c>
      <c r="H4852" s="150" t="str">
        <f>IF(Proc[[#This Row],[type]]="LFF (MDG-F)",MID(Proc[[#This Row],[Obj]],13,10),"")</f>
        <v>TW02TPHZ06</v>
      </c>
      <c r="I4852" s="149" t="s">
        <v>7229</v>
      </c>
      <c r="J4852" s="150" t="b">
        <f>Proc[[#This Row],[Requested]]=Proc[[#This Row],[CurrentParent]]</f>
        <v>1</v>
      </c>
      <c r="K4852" s="150" t="str">
        <f>IF(Proc[[#This Row],[Author]]="Marcela Urrego",VLOOKUP(LEFT(Proc[[#This Row],[Requested]],1),Table3[#All],2,0),VLOOKUP(Proc[[#This Row],[Author]],Table4[],2,0))</f>
        <v>EL</v>
      </c>
      <c r="L4852" s="150" t="s">
        <v>6435</v>
      </c>
      <c r="M4852" s="173">
        <v>45989</v>
      </c>
      <c r="N4852" s="174"/>
      <c r="O4852" s="174"/>
      <c r="P4852" s="174" t="str">
        <f ca="1">IF(Proc[[#This Row],[DaysAgeing]]&gt;5,"yep","on track")</f>
        <v>yep</v>
      </c>
      <c r="Q4852" s="3">
        <f ca="1">IF(Proc[[#This Row],[DateClosed]]="",ABS(NETWORKDAYS(Proc[[#This Row],[DateOpened]],TODAY()))-1,ABS(NETWORKDAYS(Proc[[#This Row],[DateOpened]],Proc[[#This Row],[DateClosed]]))-1)</f>
        <v>15</v>
      </c>
      <c r="R4852" s="174" t="s">
        <v>5709</v>
      </c>
      <c r="S4852" s="150"/>
    </row>
    <row r="4853" spans="1:19" hidden="1">
      <c r="A4853" s="149" t="s">
        <v>7039</v>
      </c>
      <c r="B4853" s="150" t="str">
        <f>IFERROR(VLOOKUP(Proc[[#This Row],[App]],Table2[],3,0),"open")</f>
        <v>ok</v>
      </c>
      <c r="C4853" s="149" t="s">
        <v>369</v>
      </c>
      <c r="D4853" t="s">
        <v>7062</v>
      </c>
      <c r="E4853" s="149" t="s">
        <v>7229</v>
      </c>
      <c r="F4853" s="150" t="s">
        <v>7229</v>
      </c>
      <c r="G4853" s="149" t="s">
        <v>406</v>
      </c>
      <c r="H4853" s="150" t="str">
        <f>IF(Proc[[#This Row],[type]]="LFF (MDG-F)",MID(Proc[[#This Row],[Obj]],13,10),"")</f>
        <v>TW10TQ1004</v>
      </c>
      <c r="I4853" s="149" t="s">
        <v>7229</v>
      </c>
      <c r="J4853" s="150" t="b">
        <f>Proc[[#This Row],[Requested]]=Proc[[#This Row],[CurrentParent]]</f>
        <v>1</v>
      </c>
      <c r="K4853" s="150" t="str">
        <f>IF(Proc[[#This Row],[Author]]="Marcela Urrego",VLOOKUP(LEFT(Proc[[#This Row],[Requested]],1),Table3[#All],2,0),VLOOKUP(Proc[[#This Row],[Author]],Table4[],2,0))</f>
        <v>EL</v>
      </c>
      <c r="L4853" s="150" t="s">
        <v>6435</v>
      </c>
      <c r="M4853" s="173">
        <v>45989</v>
      </c>
      <c r="N4853" s="174"/>
      <c r="O4853" s="174"/>
      <c r="P4853" s="174" t="str">
        <f ca="1">IF(Proc[[#This Row],[DaysAgeing]]&gt;5,"yep","on track")</f>
        <v>yep</v>
      </c>
      <c r="Q4853" s="3">
        <f ca="1">IF(Proc[[#This Row],[DateClosed]]="",ABS(NETWORKDAYS(Proc[[#This Row],[DateOpened]],TODAY()))-1,ABS(NETWORKDAYS(Proc[[#This Row],[DateOpened]],Proc[[#This Row],[DateClosed]]))-1)</f>
        <v>15</v>
      </c>
      <c r="R4853" s="174" t="s">
        <v>5709</v>
      </c>
      <c r="S4853" s="150"/>
    </row>
    <row r="4854" spans="1:19" hidden="1">
      <c r="A4854" s="149" t="s">
        <v>7039</v>
      </c>
      <c r="B4854" s="150" t="str">
        <f>IFERROR(VLOOKUP(Proc[[#This Row],[App]],Table2[],3,0),"open")</f>
        <v>ok</v>
      </c>
      <c r="C4854" s="149" t="s">
        <v>369</v>
      </c>
      <c r="D4854" t="s">
        <v>7063</v>
      </c>
      <c r="E4854" s="149" t="s">
        <v>7229</v>
      </c>
      <c r="F4854" s="150" t="s">
        <v>7229</v>
      </c>
      <c r="G4854" s="149" t="s">
        <v>406</v>
      </c>
      <c r="H4854" s="150" t="str">
        <f>IF(Proc[[#This Row],[type]]="LFF (MDG-F)",MID(Proc[[#This Row],[Obj]],13,10),"")</f>
        <v>TW10TQ1005</v>
      </c>
      <c r="I4854" s="149" t="s">
        <v>7229</v>
      </c>
      <c r="J4854" s="150" t="b">
        <f>Proc[[#This Row],[Requested]]=Proc[[#This Row],[CurrentParent]]</f>
        <v>1</v>
      </c>
      <c r="K4854" s="150" t="str">
        <f>IF(Proc[[#This Row],[Author]]="Marcela Urrego",VLOOKUP(LEFT(Proc[[#This Row],[Requested]],1),Table3[#All],2,0),VLOOKUP(Proc[[#This Row],[Author]],Table4[],2,0))</f>
        <v>EL</v>
      </c>
      <c r="L4854" s="150" t="s">
        <v>6435</v>
      </c>
      <c r="M4854" s="173">
        <v>45989</v>
      </c>
      <c r="N4854" s="174"/>
      <c r="O4854" s="174"/>
      <c r="P4854" s="174" t="str">
        <f ca="1">IF(Proc[[#This Row],[DaysAgeing]]&gt;5,"yep","on track")</f>
        <v>yep</v>
      </c>
      <c r="Q4854" s="3">
        <f ca="1">IF(Proc[[#This Row],[DateClosed]]="",ABS(NETWORKDAYS(Proc[[#This Row],[DateOpened]],TODAY()))-1,ABS(NETWORKDAYS(Proc[[#This Row],[DateOpened]],Proc[[#This Row],[DateClosed]]))-1)</f>
        <v>15</v>
      </c>
      <c r="R4854" s="174" t="s">
        <v>5709</v>
      </c>
      <c r="S4854" s="150"/>
    </row>
    <row r="4855" spans="1:19" hidden="1">
      <c r="A4855" s="149" t="s">
        <v>7039</v>
      </c>
      <c r="B4855" s="150" t="str">
        <f>IFERROR(VLOOKUP(Proc[[#This Row],[App]],Table2[],3,0),"open")</f>
        <v>ok</v>
      </c>
      <c r="C4855" s="149" t="s">
        <v>369</v>
      </c>
      <c r="D4855" t="s">
        <v>7064</v>
      </c>
      <c r="E4855" s="149" t="s">
        <v>7229</v>
      </c>
      <c r="F4855" s="150" t="s">
        <v>7229</v>
      </c>
      <c r="G4855" s="149" t="s">
        <v>406</v>
      </c>
      <c r="H4855" s="150" t="str">
        <f>IF(Proc[[#This Row],[type]]="LFF (MDG-F)",MID(Proc[[#This Row],[Obj]],13,10),"")</f>
        <v>TW10TQ1006</v>
      </c>
      <c r="I4855" s="149" t="s">
        <v>7229</v>
      </c>
      <c r="J4855" s="150" t="b">
        <f>Proc[[#This Row],[Requested]]=Proc[[#This Row],[CurrentParent]]</f>
        <v>1</v>
      </c>
      <c r="K4855" s="150" t="str">
        <f>IF(Proc[[#This Row],[Author]]="Marcela Urrego",VLOOKUP(LEFT(Proc[[#This Row],[Requested]],1),Table3[#All],2,0),VLOOKUP(Proc[[#This Row],[Author]],Table4[],2,0))</f>
        <v>EL</v>
      </c>
      <c r="L4855" s="150" t="s">
        <v>6435</v>
      </c>
      <c r="M4855" s="173">
        <v>45989</v>
      </c>
      <c r="N4855" s="174"/>
      <c r="O4855" s="174"/>
      <c r="P4855" s="174" t="str">
        <f ca="1">IF(Proc[[#This Row],[DaysAgeing]]&gt;5,"yep","on track")</f>
        <v>yep</v>
      </c>
      <c r="Q4855" s="3">
        <f ca="1">IF(Proc[[#This Row],[DateClosed]]="",ABS(NETWORKDAYS(Proc[[#This Row],[DateOpened]],TODAY()))-1,ABS(NETWORKDAYS(Proc[[#This Row],[DateOpened]],Proc[[#This Row],[DateClosed]]))-1)</f>
        <v>15</v>
      </c>
      <c r="R4855" s="174" t="s">
        <v>5709</v>
      </c>
      <c r="S4855" s="150"/>
    </row>
    <row r="4856" spans="1:19" hidden="1">
      <c r="A4856" s="149" t="s">
        <v>7039</v>
      </c>
      <c r="B4856" s="150" t="str">
        <f>IFERROR(VLOOKUP(Proc[[#This Row],[App]],Table2[],3,0),"open")</f>
        <v>ok</v>
      </c>
      <c r="C4856" s="149" t="s">
        <v>369</v>
      </c>
      <c r="D4856" t="s">
        <v>7065</v>
      </c>
      <c r="E4856" s="149" t="s">
        <v>7230</v>
      </c>
      <c r="F4856" s="150" t="s">
        <v>7230</v>
      </c>
      <c r="G4856" s="149" t="s">
        <v>406</v>
      </c>
      <c r="H4856" s="150" t="str">
        <f>IF(Proc[[#This Row],[type]]="LFF (MDG-F)",MID(Proc[[#This Row],[Obj]],13,10),"")</f>
        <v>SG09TPX003</v>
      </c>
      <c r="I4856" s="149" t="s">
        <v>7230</v>
      </c>
      <c r="J4856" s="150" t="b">
        <f>Proc[[#This Row],[Requested]]=Proc[[#This Row],[CurrentParent]]</f>
        <v>1</v>
      </c>
      <c r="K4856" s="150" t="str">
        <f>IF(Proc[[#This Row],[Author]]="Marcela Urrego",VLOOKUP(LEFT(Proc[[#This Row],[Requested]],1),Table3[#All],2,0),VLOOKUP(Proc[[#This Row],[Author]],Table4[],2,0))</f>
        <v>EL</v>
      </c>
      <c r="L4856" s="150" t="s">
        <v>6435</v>
      </c>
      <c r="M4856" s="173">
        <v>45989</v>
      </c>
      <c r="N4856" s="174"/>
      <c r="O4856" s="174"/>
      <c r="P4856" s="174" t="str">
        <f ca="1">IF(Proc[[#This Row],[DaysAgeing]]&gt;5,"yep","on track")</f>
        <v>yep</v>
      </c>
      <c r="Q4856" s="3">
        <f ca="1">IF(Proc[[#This Row],[DateClosed]]="",ABS(NETWORKDAYS(Proc[[#This Row],[DateOpened]],TODAY()))-1,ABS(NETWORKDAYS(Proc[[#This Row],[DateOpened]],Proc[[#This Row],[DateClosed]]))-1)</f>
        <v>15</v>
      </c>
      <c r="R4856" s="174" t="s">
        <v>5709</v>
      </c>
      <c r="S4856" s="150"/>
    </row>
    <row r="4857" spans="1:19" hidden="1">
      <c r="A4857" s="149" t="s">
        <v>7039</v>
      </c>
      <c r="B4857" s="150" t="str">
        <f>IFERROR(VLOOKUP(Proc[[#This Row],[App]],Table2[],3,0),"open")</f>
        <v>ok</v>
      </c>
      <c r="C4857" s="149" t="s">
        <v>369</v>
      </c>
      <c r="D4857" t="s">
        <v>7066</v>
      </c>
      <c r="E4857" s="149" t="s">
        <v>7230</v>
      </c>
      <c r="F4857" s="150" t="s">
        <v>7230</v>
      </c>
      <c r="G4857" s="149" t="s">
        <v>406</v>
      </c>
      <c r="H4857" s="150" t="str">
        <f>IF(Proc[[#This Row],[type]]="LFF (MDG-F)",MID(Proc[[#This Row],[Obj]],13,10),"")</f>
        <v>TW02TPHZ21</v>
      </c>
      <c r="I4857" s="149" t="s">
        <v>7230</v>
      </c>
      <c r="J4857" s="150" t="b">
        <f>Proc[[#This Row],[Requested]]=Proc[[#This Row],[CurrentParent]]</f>
        <v>1</v>
      </c>
      <c r="K4857" s="150" t="str">
        <f>IF(Proc[[#This Row],[Author]]="Marcela Urrego",VLOOKUP(LEFT(Proc[[#This Row],[Requested]],1),Table3[#All],2,0),VLOOKUP(Proc[[#This Row],[Author]],Table4[],2,0))</f>
        <v>EL</v>
      </c>
      <c r="L4857" s="150" t="s">
        <v>6435</v>
      </c>
      <c r="M4857" s="173">
        <v>45989</v>
      </c>
      <c r="N4857" s="174"/>
      <c r="O4857" s="174"/>
      <c r="P4857" s="174" t="str">
        <f ca="1">IF(Proc[[#This Row],[DaysAgeing]]&gt;5,"yep","on track")</f>
        <v>yep</v>
      </c>
      <c r="Q4857" s="3">
        <f ca="1">IF(Proc[[#This Row],[DateClosed]]="",ABS(NETWORKDAYS(Proc[[#This Row],[DateOpened]],TODAY()))-1,ABS(NETWORKDAYS(Proc[[#This Row],[DateOpened]],Proc[[#This Row],[DateClosed]]))-1)</f>
        <v>15</v>
      </c>
      <c r="R4857" s="174" t="s">
        <v>5709</v>
      </c>
      <c r="S4857" s="150"/>
    </row>
    <row r="4858" spans="1:19" hidden="1">
      <c r="A4858" s="149" t="s">
        <v>7039</v>
      </c>
      <c r="B4858" s="150" t="str">
        <f>IFERROR(VLOOKUP(Proc[[#This Row],[App]],Table2[],3,0),"open")</f>
        <v>ok</v>
      </c>
      <c r="C4858" s="149" t="s">
        <v>369</v>
      </c>
      <c r="D4858" t="s">
        <v>7067</v>
      </c>
      <c r="E4858" s="149" t="s">
        <v>7230</v>
      </c>
      <c r="F4858" s="150" t="s">
        <v>7230</v>
      </c>
      <c r="G4858" s="149" t="s">
        <v>406</v>
      </c>
      <c r="H4858" s="150" t="str">
        <f>IF(Proc[[#This Row],[type]]="LFF (MDG-F)",MID(Proc[[#This Row],[Obj]],13,10),"")</f>
        <v>TW02TPHZ22</v>
      </c>
      <c r="I4858" s="149" t="s">
        <v>7230</v>
      </c>
      <c r="J4858" s="150" t="b">
        <f>Proc[[#This Row],[Requested]]=Proc[[#This Row],[CurrentParent]]</f>
        <v>1</v>
      </c>
      <c r="K4858" s="150" t="str">
        <f>IF(Proc[[#This Row],[Author]]="Marcela Urrego",VLOOKUP(LEFT(Proc[[#This Row],[Requested]],1),Table3[#All],2,0),VLOOKUP(Proc[[#This Row],[Author]],Table4[],2,0))</f>
        <v>EL</v>
      </c>
      <c r="L4858" s="150" t="s">
        <v>6435</v>
      </c>
      <c r="M4858" s="173">
        <v>45989</v>
      </c>
      <c r="N4858" s="174"/>
      <c r="O4858" s="174"/>
      <c r="P4858" s="174" t="str">
        <f ca="1">IF(Proc[[#This Row],[DaysAgeing]]&gt;5,"yep","on track")</f>
        <v>yep</v>
      </c>
      <c r="Q4858" s="3">
        <f ca="1">IF(Proc[[#This Row],[DateClosed]]="",ABS(NETWORKDAYS(Proc[[#This Row],[DateOpened]],TODAY()))-1,ABS(NETWORKDAYS(Proc[[#This Row],[DateOpened]],Proc[[#This Row],[DateClosed]]))-1)</f>
        <v>15</v>
      </c>
      <c r="R4858" s="174" t="s">
        <v>5709</v>
      </c>
      <c r="S4858" s="150"/>
    </row>
    <row r="4859" spans="1:19" hidden="1">
      <c r="A4859" s="149" t="s">
        <v>7039</v>
      </c>
      <c r="B4859" s="150" t="str">
        <f>IFERROR(VLOOKUP(Proc[[#This Row],[App]],Table2[],3,0),"open")</f>
        <v>ok</v>
      </c>
      <c r="C4859" s="149" t="s">
        <v>369</v>
      </c>
      <c r="D4859" t="s">
        <v>7068</v>
      </c>
      <c r="E4859" s="149" t="s">
        <v>7230</v>
      </c>
      <c r="F4859" s="150" t="s">
        <v>7230</v>
      </c>
      <c r="G4859" s="149" t="s">
        <v>406</v>
      </c>
      <c r="H4859" s="150" t="str">
        <f>IF(Proc[[#This Row],[type]]="LFF (MDG-F)",MID(Proc[[#This Row],[Obj]],13,10),"")</f>
        <v>TW02TPHZ23</v>
      </c>
      <c r="I4859" s="149" t="s">
        <v>7230</v>
      </c>
      <c r="J4859" s="150" t="b">
        <f>Proc[[#This Row],[Requested]]=Proc[[#This Row],[CurrentParent]]</f>
        <v>1</v>
      </c>
      <c r="K4859" s="150" t="str">
        <f>IF(Proc[[#This Row],[Author]]="Marcela Urrego",VLOOKUP(LEFT(Proc[[#This Row],[Requested]],1),Table3[#All],2,0),VLOOKUP(Proc[[#This Row],[Author]],Table4[],2,0))</f>
        <v>EL</v>
      </c>
      <c r="L4859" s="150" t="s">
        <v>6435</v>
      </c>
      <c r="M4859" s="173">
        <v>45989</v>
      </c>
      <c r="N4859" s="174"/>
      <c r="O4859" s="174"/>
      <c r="P4859" s="174" t="str">
        <f ca="1">IF(Proc[[#This Row],[DaysAgeing]]&gt;5,"yep","on track")</f>
        <v>yep</v>
      </c>
      <c r="Q4859" s="3">
        <f ca="1">IF(Proc[[#This Row],[DateClosed]]="",ABS(NETWORKDAYS(Proc[[#This Row],[DateOpened]],TODAY()))-1,ABS(NETWORKDAYS(Proc[[#This Row],[DateOpened]],Proc[[#This Row],[DateClosed]]))-1)</f>
        <v>15</v>
      </c>
      <c r="R4859" s="174" t="s">
        <v>5709</v>
      </c>
      <c r="S4859" s="150"/>
    </row>
    <row r="4860" spans="1:19" hidden="1">
      <c r="A4860" s="149" t="s">
        <v>7039</v>
      </c>
      <c r="B4860" s="150" t="str">
        <f>IFERROR(VLOOKUP(Proc[[#This Row],[App]],Table2[],3,0),"open")</f>
        <v>ok</v>
      </c>
      <c r="C4860" s="149" t="s">
        <v>369</v>
      </c>
      <c r="D4860" t="s">
        <v>7069</v>
      </c>
      <c r="E4860" s="149" t="s">
        <v>7230</v>
      </c>
      <c r="F4860" s="150" t="s">
        <v>7230</v>
      </c>
      <c r="G4860" s="149" t="s">
        <v>406</v>
      </c>
      <c r="H4860" s="150" t="str">
        <f>IF(Proc[[#This Row],[type]]="LFF (MDG-F)",MID(Proc[[#This Row],[Obj]],13,10),"")</f>
        <v>TW02TPTA21</v>
      </c>
      <c r="I4860" s="149" t="s">
        <v>7230</v>
      </c>
      <c r="J4860" s="150" t="b">
        <f>Proc[[#This Row],[Requested]]=Proc[[#This Row],[CurrentParent]]</f>
        <v>1</v>
      </c>
      <c r="K4860" s="150" t="str">
        <f>IF(Proc[[#This Row],[Author]]="Marcela Urrego",VLOOKUP(LEFT(Proc[[#This Row],[Requested]],1),Table3[#All],2,0),VLOOKUP(Proc[[#This Row],[Author]],Table4[],2,0))</f>
        <v>EL</v>
      </c>
      <c r="L4860" s="150" t="s">
        <v>6435</v>
      </c>
      <c r="M4860" s="173">
        <v>45989</v>
      </c>
      <c r="N4860" s="174"/>
      <c r="O4860" s="174"/>
      <c r="P4860" s="174" t="str">
        <f ca="1">IF(Proc[[#This Row],[DaysAgeing]]&gt;5,"yep","on track")</f>
        <v>yep</v>
      </c>
      <c r="Q4860" s="3">
        <f ca="1">IF(Proc[[#This Row],[DateClosed]]="",ABS(NETWORKDAYS(Proc[[#This Row],[DateOpened]],TODAY()))-1,ABS(NETWORKDAYS(Proc[[#This Row],[DateOpened]],Proc[[#This Row],[DateClosed]]))-1)</f>
        <v>15</v>
      </c>
      <c r="R4860" s="174" t="s">
        <v>5709</v>
      </c>
      <c r="S4860" s="150"/>
    </row>
    <row r="4861" spans="1:19" hidden="1">
      <c r="A4861" s="149" t="s">
        <v>7039</v>
      </c>
      <c r="B4861" s="150" t="str">
        <f>IFERROR(VLOOKUP(Proc[[#This Row],[App]],Table2[],3,0),"open")</f>
        <v>ok</v>
      </c>
      <c r="C4861" s="149" t="s">
        <v>369</v>
      </c>
      <c r="D4861" t="s">
        <v>7070</v>
      </c>
      <c r="E4861" s="149" t="s">
        <v>7230</v>
      </c>
      <c r="F4861" s="150" t="s">
        <v>7230</v>
      </c>
      <c r="G4861" s="149" t="s">
        <v>406</v>
      </c>
      <c r="H4861" s="150" t="str">
        <f>IF(Proc[[#This Row],[type]]="LFF (MDG-F)",MID(Proc[[#This Row],[Obj]],13,10),"")</f>
        <v>TW02TPTA22</v>
      </c>
      <c r="I4861" s="149" t="s">
        <v>7230</v>
      </c>
      <c r="J4861" s="150" t="b">
        <f>Proc[[#This Row],[Requested]]=Proc[[#This Row],[CurrentParent]]</f>
        <v>1</v>
      </c>
      <c r="K4861" s="150" t="str">
        <f>IF(Proc[[#This Row],[Author]]="Marcela Urrego",VLOOKUP(LEFT(Proc[[#This Row],[Requested]],1),Table3[#All],2,0),VLOOKUP(Proc[[#This Row],[Author]],Table4[],2,0))</f>
        <v>EL</v>
      </c>
      <c r="L4861" s="150" t="s">
        <v>6435</v>
      </c>
      <c r="M4861" s="173">
        <v>45989</v>
      </c>
      <c r="N4861" s="174"/>
      <c r="O4861" s="174"/>
      <c r="P4861" s="174" t="str">
        <f ca="1">IF(Proc[[#This Row],[DaysAgeing]]&gt;5,"yep","on track")</f>
        <v>yep</v>
      </c>
      <c r="Q4861" s="3">
        <f ca="1">IF(Proc[[#This Row],[DateClosed]]="",ABS(NETWORKDAYS(Proc[[#This Row],[DateOpened]],TODAY()))-1,ABS(NETWORKDAYS(Proc[[#This Row],[DateOpened]],Proc[[#This Row],[DateClosed]]))-1)</f>
        <v>15</v>
      </c>
      <c r="R4861" s="174" t="s">
        <v>5709</v>
      </c>
      <c r="S4861" s="150"/>
    </row>
    <row r="4862" spans="1:19" hidden="1">
      <c r="A4862" s="149" t="s">
        <v>7039</v>
      </c>
      <c r="B4862" s="150" t="str">
        <f>IFERROR(VLOOKUP(Proc[[#This Row],[App]],Table2[],3,0),"open")</f>
        <v>ok</v>
      </c>
      <c r="C4862" s="149" t="s">
        <v>369</v>
      </c>
      <c r="D4862" t="s">
        <v>7071</v>
      </c>
      <c r="E4862" s="149" t="s">
        <v>7230</v>
      </c>
      <c r="F4862" s="150" t="s">
        <v>7230</v>
      </c>
      <c r="G4862" s="149" t="s">
        <v>406</v>
      </c>
      <c r="H4862" s="150" t="str">
        <f>IF(Proc[[#This Row],[type]]="LFF (MDG-F)",MID(Proc[[#This Row],[Obj]],13,10),"")</f>
        <v>TW03TQKZ22</v>
      </c>
      <c r="I4862" s="149" t="s">
        <v>7230</v>
      </c>
      <c r="J4862" s="150" t="b">
        <f>Proc[[#This Row],[Requested]]=Proc[[#This Row],[CurrentParent]]</f>
        <v>1</v>
      </c>
      <c r="K4862" s="150" t="str">
        <f>IF(Proc[[#This Row],[Author]]="Marcela Urrego",VLOOKUP(LEFT(Proc[[#This Row],[Requested]],1),Table3[#All],2,0),VLOOKUP(Proc[[#This Row],[Author]],Table4[],2,0))</f>
        <v>EL</v>
      </c>
      <c r="L4862" s="150" t="s">
        <v>6435</v>
      </c>
      <c r="M4862" s="173">
        <v>45989</v>
      </c>
      <c r="N4862" s="174"/>
      <c r="O4862" s="174"/>
      <c r="P4862" s="174" t="str">
        <f ca="1">IF(Proc[[#This Row],[DaysAgeing]]&gt;5,"yep","on track")</f>
        <v>yep</v>
      </c>
      <c r="Q4862" s="3">
        <f ca="1">IF(Proc[[#This Row],[DateClosed]]="",ABS(NETWORKDAYS(Proc[[#This Row],[DateOpened]],TODAY()))-1,ABS(NETWORKDAYS(Proc[[#This Row],[DateOpened]],Proc[[#This Row],[DateClosed]]))-1)</f>
        <v>15</v>
      </c>
      <c r="R4862" s="174" t="s">
        <v>5709</v>
      </c>
      <c r="S4862" s="150"/>
    </row>
    <row r="4863" spans="1:19" hidden="1">
      <c r="A4863" s="149" t="s">
        <v>7039</v>
      </c>
      <c r="B4863" s="150" t="str">
        <f>IFERROR(VLOOKUP(Proc[[#This Row],[App]],Table2[],3,0),"open")</f>
        <v>ok</v>
      </c>
      <c r="C4863" s="149" t="s">
        <v>369</v>
      </c>
      <c r="D4863" t="s">
        <v>7072</v>
      </c>
      <c r="E4863" s="149" t="s">
        <v>7231</v>
      </c>
      <c r="F4863" s="150" t="s">
        <v>7231</v>
      </c>
      <c r="G4863" s="149" t="s">
        <v>406</v>
      </c>
      <c r="H4863" s="150" t="str">
        <f>IF(Proc[[#This Row],[type]]="LFF (MDG-F)",MID(Proc[[#This Row],[Obj]],13,10),"")</f>
        <v>SG09TPX004</v>
      </c>
      <c r="I4863" s="149" t="s">
        <v>7231</v>
      </c>
      <c r="J4863" s="150" t="b">
        <f>Proc[[#This Row],[Requested]]=Proc[[#This Row],[CurrentParent]]</f>
        <v>1</v>
      </c>
      <c r="K4863" s="150" t="str">
        <f>IF(Proc[[#This Row],[Author]]="Marcela Urrego",VLOOKUP(LEFT(Proc[[#This Row],[Requested]],1),Table3[#All],2,0),VLOOKUP(Proc[[#This Row],[Author]],Table4[],2,0))</f>
        <v>EL</v>
      </c>
      <c r="L4863" s="150" t="s">
        <v>6435</v>
      </c>
      <c r="M4863" s="173">
        <v>45989</v>
      </c>
      <c r="N4863" s="174"/>
      <c r="O4863" s="174"/>
      <c r="P4863" s="174" t="str">
        <f ca="1">IF(Proc[[#This Row],[DaysAgeing]]&gt;5,"yep","on track")</f>
        <v>yep</v>
      </c>
      <c r="Q4863" s="3">
        <f ca="1">IF(Proc[[#This Row],[DateClosed]]="",ABS(NETWORKDAYS(Proc[[#This Row],[DateOpened]],TODAY()))-1,ABS(NETWORKDAYS(Proc[[#This Row],[DateOpened]],Proc[[#This Row],[DateClosed]]))-1)</f>
        <v>15</v>
      </c>
      <c r="R4863" s="174" t="s">
        <v>5709</v>
      </c>
      <c r="S4863" s="150"/>
    </row>
    <row r="4864" spans="1:19" hidden="1">
      <c r="A4864" s="149" t="s">
        <v>7039</v>
      </c>
      <c r="B4864" s="150" t="str">
        <f>IFERROR(VLOOKUP(Proc[[#This Row],[App]],Table2[],3,0),"open")</f>
        <v>ok</v>
      </c>
      <c r="C4864" s="149" t="s">
        <v>369</v>
      </c>
      <c r="D4864" t="s">
        <v>7073</v>
      </c>
      <c r="E4864" s="149" t="s">
        <v>7231</v>
      </c>
      <c r="F4864" s="150" t="s">
        <v>7231</v>
      </c>
      <c r="G4864" s="149" t="s">
        <v>406</v>
      </c>
      <c r="H4864" s="150" t="str">
        <f>IF(Proc[[#This Row],[type]]="LFF (MDG-F)",MID(Proc[[#This Row],[Obj]],13,10),"")</f>
        <v>TW02TQMZ02</v>
      </c>
      <c r="I4864" s="149" t="s">
        <v>7231</v>
      </c>
      <c r="J4864" s="150" t="b">
        <f>Proc[[#This Row],[Requested]]=Proc[[#This Row],[CurrentParent]]</f>
        <v>1</v>
      </c>
      <c r="K4864" s="150" t="str">
        <f>IF(Proc[[#This Row],[Author]]="Marcela Urrego",VLOOKUP(LEFT(Proc[[#This Row],[Requested]],1),Table3[#All],2,0),VLOOKUP(Proc[[#This Row],[Author]],Table4[],2,0))</f>
        <v>EL</v>
      </c>
      <c r="L4864" s="150" t="s">
        <v>6435</v>
      </c>
      <c r="M4864" s="173">
        <v>45989</v>
      </c>
      <c r="N4864" s="174"/>
      <c r="O4864" s="174"/>
      <c r="P4864" s="174" t="str">
        <f ca="1">IF(Proc[[#This Row],[DaysAgeing]]&gt;5,"yep","on track")</f>
        <v>yep</v>
      </c>
      <c r="Q4864" s="3">
        <f ca="1">IF(Proc[[#This Row],[DateClosed]]="",ABS(NETWORKDAYS(Proc[[#This Row],[DateOpened]],TODAY()))-1,ABS(NETWORKDAYS(Proc[[#This Row],[DateOpened]],Proc[[#This Row],[DateClosed]]))-1)</f>
        <v>15</v>
      </c>
      <c r="R4864" s="174" t="s">
        <v>5709</v>
      </c>
      <c r="S4864" s="150"/>
    </row>
    <row r="4865" spans="1:19" hidden="1">
      <c r="A4865" s="149" t="s">
        <v>7039</v>
      </c>
      <c r="B4865" s="150" t="str">
        <f>IFERROR(VLOOKUP(Proc[[#This Row],[App]],Table2[],3,0),"open")</f>
        <v>ok</v>
      </c>
      <c r="C4865" s="149" t="s">
        <v>369</v>
      </c>
      <c r="D4865" t="s">
        <v>7074</v>
      </c>
      <c r="E4865" s="149" t="s">
        <v>7231</v>
      </c>
      <c r="F4865" s="150" t="s">
        <v>7231</v>
      </c>
      <c r="G4865" s="149" t="s">
        <v>406</v>
      </c>
      <c r="H4865" s="150" t="str">
        <f>IF(Proc[[#This Row],[type]]="LFF (MDG-F)",MID(Proc[[#This Row],[Obj]],13,10),"")</f>
        <v>TW03TQKZ12</v>
      </c>
      <c r="I4865" s="149" t="s">
        <v>7231</v>
      </c>
      <c r="J4865" s="150" t="b">
        <f>Proc[[#This Row],[Requested]]=Proc[[#This Row],[CurrentParent]]</f>
        <v>1</v>
      </c>
      <c r="K4865" s="150" t="str">
        <f>IF(Proc[[#This Row],[Author]]="Marcela Urrego",VLOOKUP(LEFT(Proc[[#This Row],[Requested]],1),Table3[#All],2,0),VLOOKUP(Proc[[#This Row],[Author]],Table4[],2,0))</f>
        <v>EL</v>
      </c>
      <c r="L4865" s="150" t="s">
        <v>6435</v>
      </c>
      <c r="M4865" s="173">
        <v>45989</v>
      </c>
      <c r="N4865" s="174"/>
      <c r="O4865" s="174"/>
      <c r="P4865" s="174" t="str">
        <f ca="1">IF(Proc[[#This Row],[DaysAgeing]]&gt;5,"yep","on track")</f>
        <v>yep</v>
      </c>
      <c r="Q4865" s="3">
        <f ca="1">IF(Proc[[#This Row],[DateClosed]]="",ABS(NETWORKDAYS(Proc[[#This Row],[DateOpened]],TODAY()))-1,ABS(NETWORKDAYS(Proc[[#This Row],[DateOpened]],Proc[[#This Row],[DateClosed]]))-1)</f>
        <v>15</v>
      </c>
      <c r="R4865" s="174" t="s">
        <v>5709</v>
      </c>
      <c r="S4865" s="150"/>
    </row>
    <row r="4866" spans="1:19" hidden="1">
      <c r="A4866" s="149" t="s">
        <v>7039</v>
      </c>
      <c r="B4866" s="150" t="str">
        <f>IFERROR(VLOOKUP(Proc[[#This Row],[App]],Table2[],3,0),"open")</f>
        <v>ok</v>
      </c>
      <c r="C4866" s="149" t="s">
        <v>369</v>
      </c>
      <c r="D4866" t="s">
        <v>7075</v>
      </c>
      <c r="E4866" s="149" t="s">
        <v>7231</v>
      </c>
      <c r="F4866" s="150" t="s">
        <v>7231</v>
      </c>
      <c r="G4866" s="149" t="s">
        <v>406</v>
      </c>
      <c r="H4866" s="150" t="str">
        <f>IF(Proc[[#This Row],[type]]="LFF (MDG-F)",MID(Proc[[#This Row],[Obj]],13,10),"")</f>
        <v>MY10DB3300</v>
      </c>
      <c r="I4866" s="149" t="s">
        <v>7231</v>
      </c>
      <c r="J4866" s="150" t="b">
        <f>Proc[[#This Row],[Requested]]=Proc[[#This Row],[CurrentParent]]</f>
        <v>1</v>
      </c>
      <c r="K4866" s="150" t="str">
        <f>IF(Proc[[#This Row],[Author]]="Marcela Urrego",VLOOKUP(LEFT(Proc[[#This Row],[Requested]],1),Table3[#All],2,0),VLOOKUP(Proc[[#This Row],[Author]],Table4[],2,0))</f>
        <v>EL</v>
      </c>
      <c r="L4866" s="150" t="s">
        <v>6435</v>
      </c>
      <c r="M4866" s="173">
        <v>45989</v>
      </c>
      <c r="N4866" s="174"/>
      <c r="O4866" s="174"/>
      <c r="P4866" s="174" t="str">
        <f ca="1">IF(Proc[[#This Row],[DaysAgeing]]&gt;5,"yep","on track")</f>
        <v>yep</v>
      </c>
      <c r="Q4866" s="3">
        <f ca="1">IF(Proc[[#This Row],[DateClosed]]="",ABS(NETWORKDAYS(Proc[[#This Row],[DateOpened]],TODAY()))-1,ABS(NETWORKDAYS(Proc[[#This Row],[DateOpened]],Proc[[#This Row],[DateClosed]]))-1)</f>
        <v>15</v>
      </c>
      <c r="R4866" s="174" t="s">
        <v>5709</v>
      </c>
      <c r="S4866" s="150"/>
    </row>
    <row r="4867" spans="1:19" hidden="1">
      <c r="A4867" s="149" t="s">
        <v>7039</v>
      </c>
      <c r="B4867" s="150" t="str">
        <f>IFERROR(VLOOKUP(Proc[[#This Row],[App]],Table2[],3,0),"open")</f>
        <v>ok</v>
      </c>
      <c r="C4867" s="149" t="s">
        <v>369</v>
      </c>
      <c r="D4867" t="s">
        <v>7076</v>
      </c>
      <c r="E4867" s="149" t="s">
        <v>7231</v>
      </c>
      <c r="F4867" s="150" t="s">
        <v>7231</v>
      </c>
      <c r="G4867" s="149" t="s">
        <v>406</v>
      </c>
      <c r="H4867" s="150" t="str">
        <f>IF(Proc[[#This Row],[type]]="LFF (MDG-F)",MID(Proc[[#This Row],[Obj]],13,10),"")</f>
        <v>SG10TM3000</v>
      </c>
      <c r="I4867" s="149" t="s">
        <v>7231</v>
      </c>
      <c r="J4867" s="150" t="b">
        <f>Proc[[#This Row],[Requested]]=Proc[[#This Row],[CurrentParent]]</f>
        <v>1</v>
      </c>
      <c r="K4867" s="150" t="str">
        <f>IF(Proc[[#This Row],[Author]]="Marcela Urrego",VLOOKUP(LEFT(Proc[[#This Row],[Requested]],1),Table3[#All],2,0),VLOOKUP(Proc[[#This Row],[Author]],Table4[],2,0))</f>
        <v>EL</v>
      </c>
      <c r="L4867" s="150" t="s">
        <v>6435</v>
      </c>
      <c r="M4867" s="173">
        <v>45989</v>
      </c>
      <c r="N4867" s="174"/>
      <c r="O4867" s="174"/>
      <c r="P4867" s="174" t="str">
        <f ca="1">IF(Proc[[#This Row],[DaysAgeing]]&gt;5,"yep","on track")</f>
        <v>yep</v>
      </c>
      <c r="Q4867" s="3">
        <f ca="1">IF(Proc[[#This Row],[DateClosed]]="",ABS(NETWORKDAYS(Proc[[#This Row],[DateOpened]],TODAY()))-1,ABS(NETWORKDAYS(Proc[[#This Row],[DateOpened]],Proc[[#This Row],[DateClosed]]))-1)</f>
        <v>15</v>
      </c>
      <c r="R4867" s="174" t="s">
        <v>5709</v>
      </c>
      <c r="S4867" s="150"/>
    </row>
    <row r="4868" spans="1:19" hidden="1">
      <c r="A4868" s="149" t="s">
        <v>7039</v>
      </c>
      <c r="B4868" s="150" t="str">
        <f>IFERROR(VLOOKUP(Proc[[#This Row],[App]],Table2[],3,0),"open")</f>
        <v>ok</v>
      </c>
      <c r="C4868" s="149" t="s">
        <v>369</v>
      </c>
      <c r="D4868" t="s">
        <v>7077</v>
      </c>
      <c r="E4868" s="149" t="s">
        <v>7231</v>
      </c>
      <c r="F4868" s="150" t="s">
        <v>7231</v>
      </c>
      <c r="G4868" s="149" t="s">
        <v>406</v>
      </c>
      <c r="H4868" s="150" t="str">
        <f>IF(Proc[[#This Row],[type]]="LFF (MDG-F)",MID(Proc[[#This Row],[Obj]],13,10),"")</f>
        <v>TW10DB3300</v>
      </c>
      <c r="I4868" s="149" t="s">
        <v>7231</v>
      </c>
      <c r="J4868" s="150" t="b">
        <f>Proc[[#This Row],[Requested]]=Proc[[#This Row],[CurrentParent]]</f>
        <v>1</v>
      </c>
      <c r="K4868" s="150" t="str">
        <f>IF(Proc[[#This Row],[Author]]="Marcela Urrego",VLOOKUP(LEFT(Proc[[#This Row],[Requested]],1),Table3[#All],2,0),VLOOKUP(Proc[[#This Row],[Author]],Table4[],2,0))</f>
        <v>EL</v>
      </c>
      <c r="L4868" s="150" t="s">
        <v>6435</v>
      </c>
      <c r="M4868" s="173">
        <v>45989</v>
      </c>
      <c r="N4868" s="174"/>
      <c r="O4868" s="174"/>
      <c r="P4868" s="174" t="str">
        <f ca="1">IF(Proc[[#This Row],[DaysAgeing]]&gt;5,"yep","on track")</f>
        <v>yep</v>
      </c>
      <c r="Q4868" s="3">
        <f ca="1">IF(Proc[[#This Row],[DateClosed]]="",ABS(NETWORKDAYS(Proc[[#This Row],[DateOpened]],TODAY()))-1,ABS(NETWORKDAYS(Proc[[#This Row],[DateOpened]],Proc[[#This Row],[DateClosed]]))-1)</f>
        <v>15</v>
      </c>
      <c r="R4868" s="174" t="s">
        <v>5709</v>
      </c>
      <c r="S4868" s="150"/>
    </row>
    <row r="4869" spans="1:19" hidden="1">
      <c r="A4869" s="149" t="s">
        <v>7039</v>
      </c>
      <c r="B4869" s="150" t="str">
        <f>IFERROR(VLOOKUP(Proc[[#This Row],[App]],Table2[],3,0),"open")</f>
        <v>ok</v>
      </c>
      <c r="C4869" s="149" t="s">
        <v>369</v>
      </c>
      <c r="D4869" t="s">
        <v>7078</v>
      </c>
      <c r="E4869" s="149" t="s">
        <v>7232</v>
      </c>
      <c r="F4869" s="150" t="s">
        <v>7232</v>
      </c>
      <c r="G4869" s="149" t="s">
        <v>406</v>
      </c>
      <c r="H4869" s="150" t="str">
        <f>IF(Proc[[#This Row],[type]]="LFF (MDG-F)",MID(Proc[[#This Row],[Obj]],13,10),"")</f>
        <v>TW10DB3301</v>
      </c>
      <c r="I4869" s="149" t="s">
        <v>7232</v>
      </c>
      <c r="J4869" s="150" t="b">
        <f>Proc[[#This Row],[Requested]]=Proc[[#This Row],[CurrentParent]]</f>
        <v>1</v>
      </c>
      <c r="K4869" s="150" t="str">
        <f>IF(Proc[[#This Row],[Author]]="Marcela Urrego",VLOOKUP(LEFT(Proc[[#This Row],[Requested]],1),Table3[#All],2,0),VLOOKUP(Proc[[#This Row],[Author]],Table4[],2,0))</f>
        <v>EL</v>
      </c>
      <c r="L4869" s="150" t="s">
        <v>6435</v>
      </c>
      <c r="M4869" s="173">
        <v>45989</v>
      </c>
      <c r="N4869" s="174"/>
      <c r="O4869" s="174"/>
      <c r="P4869" s="174" t="str">
        <f ca="1">IF(Proc[[#This Row],[DaysAgeing]]&gt;5,"yep","on track")</f>
        <v>yep</v>
      </c>
      <c r="Q4869" s="3">
        <f ca="1">IF(Proc[[#This Row],[DateClosed]]="",ABS(NETWORKDAYS(Proc[[#This Row],[DateOpened]],TODAY()))-1,ABS(NETWORKDAYS(Proc[[#This Row],[DateOpened]],Proc[[#This Row],[DateClosed]]))-1)</f>
        <v>15</v>
      </c>
      <c r="R4869" s="174" t="s">
        <v>5709</v>
      </c>
      <c r="S4869" s="150"/>
    </row>
    <row r="4870" spans="1:19" hidden="1">
      <c r="A4870" s="149" t="s">
        <v>7039</v>
      </c>
      <c r="B4870" s="150" t="str">
        <f>IFERROR(VLOOKUP(Proc[[#This Row],[App]],Table2[],3,0),"open")</f>
        <v>ok</v>
      </c>
      <c r="C4870" s="149" t="s">
        <v>369</v>
      </c>
      <c r="D4870" t="s">
        <v>7079</v>
      </c>
      <c r="E4870" s="149" t="s">
        <v>7232</v>
      </c>
      <c r="F4870" s="150" t="s">
        <v>7232</v>
      </c>
      <c r="G4870" s="149" t="s">
        <v>406</v>
      </c>
      <c r="H4870" s="150" t="str">
        <f>IF(Proc[[#This Row],[type]]="LFF (MDG-F)",MID(Proc[[#This Row],[Obj]],13,10),"")</f>
        <v>TW10DB3305</v>
      </c>
      <c r="I4870" s="149" t="s">
        <v>7232</v>
      </c>
      <c r="J4870" s="150" t="b">
        <f>Proc[[#This Row],[Requested]]=Proc[[#This Row],[CurrentParent]]</f>
        <v>1</v>
      </c>
      <c r="K4870" s="150" t="str">
        <f>IF(Proc[[#This Row],[Author]]="Marcela Urrego",VLOOKUP(LEFT(Proc[[#This Row],[Requested]],1),Table3[#All],2,0),VLOOKUP(Proc[[#This Row],[Author]],Table4[],2,0))</f>
        <v>EL</v>
      </c>
      <c r="L4870" s="150" t="s">
        <v>6435</v>
      </c>
      <c r="M4870" s="173">
        <v>45989</v>
      </c>
      <c r="N4870" s="174"/>
      <c r="O4870" s="174"/>
      <c r="P4870" s="174" t="str">
        <f ca="1">IF(Proc[[#This Row],[DaysAgeing]]&gt;5,"yep","on track")</f>
        <v>yep</v>
      </c>
      <c r="Q4870" s="3">
        <f ca="1">IF(Proc[[#This Row],[DateClosed]]="",ABS(NETWORKDAYS(Proc[[#This Row],[DateOpened]],TODAY()))-1,ABS(NETWORKDAYS(Proc[[#This Row],[DateOpened]],Proc[[#This Row],[DateClosed]]))-1)</f>
        <v>15</v>
      </c>
      <c r="R4870" s="174" t="s">
        <v>5709</v>
      </c>
      <c r="S4870" s="150"/>
    </row>
    <row r="4871" spans="1:19" hidden="1">
      <c r="A4871" s="149" t="s">
        <v>7039</v>
      </c>
      <c r="B4871" s="150" t="str">
        <f>IFERROR(VLOOKUP(Proc[[#This Row],[App]],Table2[],3,0),"open")</f>
        <v>ok</v>
      </c>
      <c r="C4871" s="149" t="s">
        <v>369</v>
      </c>
      <c r="D4871" t="s">
        <v>7080</v>
      </c>
      <c r="E4871" s="149" t="s">
        <v>7232</v>
      </c>
      <c r="F4871" s="150" t="s">
        <v>7232</v>
      </c>
      <c r="G4871" s="149" t="s">
        <v>406</v>
      </c>
      <c r="H4871" s="150" t="str">
        <f>IF(Proc[[#This Row],[type]]="LFF (MDG-F)",MID(Proc[[#This Row],[Obj]],13,10),"")</f>
        <v>MY10TM4000</v>
      </c>
      <c r="I4871" s="149" t="s">
        <v>7232</v>
      </c>
      <c r="J4871" s="150" t="b">
        <f>Proc[[#This Row],[Requested]]=Proc[[#This Row],[CurrentParent]]</f>
        <v>1</v>
      </c>
      <c r="K4871" s="150" t="str">
        <f>IF(Proc[[#This Row],[Author]]="Marcela Urrego",VLOOKUP(LEFT(Proc[[#This Row],[Requested]],1),Table3[#All],2,0),VLOOKUP(Proc[[#This Row],[Author]],Table4[],2,0))</f>
        <v>EL</v>
      </c>
      <c r="L4871" s="150" t="s">
        <v>6435</v>
      </c>
      <c r="M4871" s="173">
        <v>45989</v>
      </c>
      <c r="N4871" s="174"/>
      <c r="O4871" s="174"/>
      <c r="P4871" s="174" t="str">
        <f ca="1">IF(Proc[[#This Row],[DaysAgeing]]&gt;5,"yep","on track")</f>
        <v>yep</v>
      </c>
      <c r="Q4871" s="3">
        <f ca="1">IF(Proc[[#This Row],[DateClosed]]="",ABS(NETWORKDAYS(Proc[[#This Row],[DateOpened]],TODAY()))-1,ABS(NETWORKDAYS(Proc[[#This Row],[DateOpened]],Proc[[#This Row],[DateClosed]]))-1)</f>
        <v>15</v>
      </c>
      <c r="R4871" s="174" t="s">
        <v>5709</v>
      </c>
      <c r="S4871" s="150"/>
    </row>
    <row r="4872" spans="1:19" hidden="1">
      <c r="A4872" s="149" t="s">
        <v>7039</v>
      </c>
      <c r="B4872" s="150" t="str">
        <f>IFERROR(VLOOKUP(Proc[[#This Row],[App]],Table2[],3,0),"open")</f>
        <v>ok</v>
      </c>
      <c r="C4872" s="149" t="s">
        <v>369</v>
      </c>
      <c r="D4872" t="s">
        <v>7081</v>
      </c>
      <c r="E4872" s="149" t="s">
        <v>7232</v>
      </c>
      <c r="F4872" s="150" t="s">
        <v>7232</v>
      </c>
      <c r="G4872" s="149" t="s">
        <v>406</v>
      </c>
      <c r="H4872" s="150" t="str">
        <f>IF(Proc[[#This Row],[type]]="LFF (MDG-F)",MID(Proc[[#This Row],[Obj]],13,10),"")</f>
        <v>SG10TM4000</v>
      </c>
      <c r="I4872" s="149" t="s">
        <v>7232</v>
      </c>
      <c r="J4872" s="150" t="b">
        <f>Proc[[#This Row],[Requested]]=Proc[[#This Row],[CurrentParent]]</f>
        <v>1</v>
      </c>
      <c r="K4872" s="150" t="str">
        <f>IF(Proc[[#This Row],[Author]]="Marcela Urrego",VLOOKUP(LEFT(Proc[[#This Row],[Requested]],1),Table3[#All],2,0),VLOOKUP(Proc[[#This Row],[Author]],Table4[],2,0))</f>
        <v>EL</v>
      </c>
      <c r="L4872" s="150" t="s">
        <v>6435</v>
      </c>
      <c r="M4872" s="173">
        <v>45989</v>
      </c>
      <c r="N4872" s="174"/>
      <c r="O4872" s="174"/>
      <c r="P4872" s="174" t="str">
        <f ca="1">IF(Proc[[#This Row],[DaysAgeing]]&gt;5,"yep","on track")</f>
        <v>yep</v>
      </c>
      <c r="Q4872" s="3">
        <f ca="1">IF(Proc[[#This Row],[DateClosed]]="",ABS(NETWORKDAYS(Proc[[#This Row],[DateOpened]],TODAY()))-1,ABS(NETWORKDAYS(Proc[[#This Row],[DateOpened]],Proc[[#This Row],[DateClosed]]))-1)</f>
        <v>15</v>
      </c>
      <c r="R4872" s="174" t="s">
        <v>5709</v>
      </c>
      <c r="S4872" s="150"/>
    </row>
    <row r="4873" spans="1:19" hidden="1">
      <c r="A4873" s="149" t="s">
        <v>7039</v>
      </c>
      <c r="B4873" s="150" t="str">
        <f>IFERROR(VLOOKUP(Proc[[#This Row],[App]],Table2[],3,0),"open")</f>
        <v>ok</v>
      </c>
      <c r="C4873" s="149" t="s">
        <v>369</v>
      </c>
      <c r="D4873" t="s">
        <v>7082</v>
      </c>
      <c r="E4873" s="149" t="s">
        <v>7232</v>
      </c>
      <c r="F4873" s="150" t="s">
        <v>7232</v>
      </c>
      <c r="G4873" s="149" t="s">
        <v>406</v>
      </c>
      <c r="H4873" s="150" t="str">
        <f>IF(Proc[[#This Row],[type]]="LFF (MDG-F)",MID(Proc[[#This Row],[Obj]],13,10),"")</f>
        <v>TW10TM4001</v>
      </c>
      <c r="I4873" s="149" t="s">
        <v>7232</v>
      </c>
      <c r="J4873" s="150" t="b">
        <f>Proc[[#This Row],[Requested]]=Proc[[#This Row],[CurrentParent]]</f>
        <v>1</v>
      </c>
      <c r="K4873" s="150" t="str">
        <f>IF(Proc[[#This Row],[Author]]="Marcela Urrego",VLOOKUP(LEFT(Proc[[#This Row],[Requested]],1),Table3[#All],2,0),VLOOKUP(Proc[[#This Row],[Author]],Table4[],2,0))</f>
        <v>EL</v>
      </c>
      <c r="L4873" s="150" t="s">
        <v>6435</v>
      </c>
      <c r="M4873" s="173">
        <v>45989</v>
      </c>
      <c r="N4873" s="174"/>
      <c r="O4873" s="174"/>
      <c r="P4873" s="174" t="str">
        <f ca="1">IF(Proc[[#This Row],[DaysAgeing]]&gt;5,"yep","on track")</f>
        <v>yep</v>
      </c>
      <c r="Q4873" s="3">
        <f ca="1">IF(Proc[[#This Row],[DateClosed]]="",ABS(NETWORKDAYS(Proc[[#This Row],[DateOpened]],TODAY()))-1,ABS(NETWORKDAYS(Proc[[#This Row],[DateOpened]],Proc[[#This Row],[DateClosed]]))-1)</f>
        <v>15</v>
      </c>
      <c r="R4873" s="174" t="s">
        <v>5709</v>
      </c>
      <c r="S4873" s="150"/>
    </row>
    <row r="4874" spans="1:19" hidden="1">
      <c r="A4874" s="149" t="s">
        <v>7039</v>
      </c>
      <c r="B4874" s="150" t="str">
        <f>IFERROR(VLOOKUP(Proc[[#This Row],[App]],Table2[],3,0),"open")</f>
        <v>ok</v>
      </c>
      <c r="C4874" s="149" t="s">
        <v>369</v>
      </c>
      <c r="D4874" t="s">
        <v>7083</v>
      </c>
      <c r="E4874" s="149" t="s">
        <v>7232</v>
      </c>
      <c r="F4874" s="150" t="s">
        <v>7232</v>
      </c>
      <c r="G4874" s="149" t="s">
        <v>406</v>
      </c>
      <c r="H4874" s="150" t="str">
        <f>IF(Proc[[#This Row],[type]]="LFF (MDG-F)",MID(Proc[[#This Row],[Obj]],13,10),"")</f>
        <v>TW10TM4002</v>
      </c>
      <c r="I4874" s="149" t="s">
        <v>7232</v>
      </c>
      <c r="J4874" s="150" t="b">
        <f>Proc[[#This Row],[Requested]]=Proc[[#This Row],[CurrentParent]]</f>
        <v>1</v>
      </c>
      <c r="K4874" s="150" t="str">
        <f>IF(Proc[[#This Row],[Author]]="Marcela Urrego",VLOOKUP(LEFT(Proc[[#This Row],[Requested]],1),Table3[#All],2,0),VLOOKUP(Proc[[#This Row],[Author]],Table4[],2,0))</f>
        <v>EL</v>
      </c>
      <c r="L4874" s="150" t="s">
        <v>6435</v>
      </c>
      <c r="M4874" s="173">
        <v>45989</v>
      </c>
      <c r="N4874" s="174"/>
      <c r="O4874" s="174"/>
      <c r="P4874" s="174" t="str">
        <f ca="1">IF(Proc[[#This Row],[DaysAgeing]]&gt;5,"yep","on track")</f>
        <v>yep</v>
      </c>
      <c r="Q4874" s="3">
        <f ca="1">IF(Proc[[#This Row],[DateClosed]]="",ABS(NETWORKDAYS(Proc[[#This Row],[DateOpened]],TODAY()))-1,ABS(NETWORKDAYS(Proc[[#This Row],[DateOpened]],Proc[[#This Row],[DateClosed]]))-1)</f>
        <v>15</v>
      </c>
      <c r="R4874" s="174" t="s">
        <v>5709</v>
      </c>
      <c r="S4874" s="150"/>
    </row>
    <row r="4875" spans="1:19" hidden="1">
      <c r="A4875" s="149" t="s">
        <v>7039</v>
      </c>
      <c r="B4875" s="150" t="str">
        <f>IFERROR(VLOOKUP(Proc[[#This Row],[App]],Table2[],3,0),"open")</f>
        <v>ok</v>
      </c>
      <c r="C4875" s="149" t="s">
        <v>369</v>
      </c>
      <c r="D4875" t="s">
        <v>7084</v>
      </c>
      <c r="E4875" s="149" t="s">
        <v>7232</v>
      </c>
      <c r="F4875" s="150" t="s">
        <v>7232</v>
      </c>
      <c r="G4875" s="149" t="s">
        <v>406</v>
      </c>
      <c r="H4875" s="150" t="str">
        <f>IF(Proc[[#This Row],[type]]="LFF (MDG-F)",MID(Proc[[#This Row],[Obj]],13,10),"")</f>
        <v>TW91TM4000</v>
      </c>
      <c r="I4875" s="149" t="s">
        <v>7232</v>
      </c>
      <c r="J4875" s="150" t="b">
        <f>Proc[[#This Row],[Requested]]=Proc[[#This Row],[CurrentParent]]</f>
        <v>1</v>
      </c>
      <c r="K4875" s="150" t="str">
        <f>IF(Proc[[#This Row],[Author]]="Marcela Urrego",VLOOKUP(LEFT(Proc[[#This Row],[Requested]],1),Table3[#All],2,0),VLOOKUP(Proc[[#This Row],[Author]],Table4[],2,0))</f>
        <v>EL</v>
      </c>
      <c r="L4875" s="150" t="s">
        <v>6435</v>
      </c>
      <c r="M4875" s="173">
        <v>45989</v>
      </c>
      <c r="N4875" s="174"/>
      <c r="O4875" s="174"/>
      <c r="P4875" s="174" t="str">
        <f ca="1">IF(Proc[[#This Row],[DaysAgeing]]&gt;5,"yep","on track")</f>
        <v>yep</v>
      </c>
      <c r="Q4875" s="3">
        <f ca="1">IF(Proc[[#This Row],[DateClosed]]="",ABS(NETWORKDAYS(Proc[[#This Row],[DateOpened]],TODAY()))-1,ABS(NETWORKDAYS(Proc[[#This Row],[DateOpened]],Proc[[#This Row],[DateClosed]]))-1)</f>
        <v>15</v>
      </c>
      <c r="R4875" s="174" t="s">
        <v>5709</v>
      </c>
      <c r="S4875" s="150"/>
    </row>
    <row r="4876" spans="1:19" hidden="1">
      <c r="A4876" s="149" t="s">
        <v>7039</v>
      </c>
      <c r="B4876" s="150" t="str">
        <f>IFERROR(VLOOKUP(Proc[[#This Row],[App]],Table2[],3,0),"open")</f>
        <v>ok</v>
      </c>
      <c r="C4876" s="149" t="s">
        <v>369</v>
      </c>
      <c r="D4876" t="s">
        <v>7085</v>
      </c>
      <c r="E4876" s="149" t="s">
        <v>7232</v>
      </c>
      <c r="F4876" s="150" t="s">
        <v>7232</v>
      </c>
      <c r="G4876" s="149" t="s">
        <v>406</v>
      </c>
      <c r="H4876" s="150" t="str">
        <f>IF(Proc[[#This Row],[type]]="LFF (MDG-F)",MID(Proc[[#This Row],[Obj]],13,10),"")</f>
        <v>TW91TM4001</v>
      </c>
      <c r="I4876" s="149" t="s">
        <v>7232</v>
      </c>
      <c r="J4876" s="150" t="b">
        <f>Proc[[#This Row],[Requested]]=Proc[[#This Row],[CurrentParent]]</f>
        <v>1</v>
      </c>
      <c r="K4876" s="150" t="str">
        <f>IF(Proc[[#This Row],[Author]]="Marcela Urrego",VLOOKUP(LEFT(Proc[[#This Row],[Requested]],1),Table3[#All],2,0),VLOOKUP(Proc[[#This Row],[Author]],Table4[],2,0))</f>
        <v>EL</v>
      </c>
      <c r="L4876" s="150" t="s">
        <v>6435</v>
      </c>
      <c r="M4876" s="173">
        <v>45989</v>
      </c>
      <c r="N4876" s="174"/>
      <c r="O4876" s="174"/>
      <c r="P4876" s="174" t="str">
        <f ca="1">IF(Proc[[#This Row],[DaysAgeing]]&gt;5,"yep","on track")</f>
        <v>yep</v>
      </c>
      <c r="Q4876" s="3">
        <f ca="1">IF(Proc[[#This Row],[DateClosed]]="",ABS(NETWORKDAYS(Proc[[#This Row],[DateOpened]],TODAY()))-1,ABS(NETWORKDAYS(Proc[[#This Row],[DateOpened]],Proc[[#This Row],[DateClosed]]))-1)</f>
        <v>15</v>
      </c>
      <c r="R4876" s="174" t="s">
        <v>5709</v>
      </c>
      <c r="S4876" s="150"/>
    </row>
    <row r="4877" spans="1:19" hidden="1">
      <c r="A4877" s="149" t="s">
        <v>7039</v>
      </c>
      <c r="B4877" s="150" t="str">
        <f>IFERROR(VLOOKUP(Proc[[#This Row],[App]],Table2[],3,0),"open")</f>
        <v>ok</v>
      </c>
      <c r="C4877" s="149" t="s">
        <v>369</v>
      </c>
      <c r="D4877" t="s">
        <v>7086</v>
      </c>
      <c r="E4877" s="149" t="s">
        <v>7232</v>
      </c>
      <c r="F4877" s="150" t="s">
        <v>7232</v>
      </c>
      <c r="G4877" s="149" t="s">
        <v>406</v>
      </c>
      <c r="H4877" s="150" t="str">
        <f>IF(Proc[[#This Row],[type]]="LFF (MDG-F)",MID(Proc[[#This Row],[Obj]],13,10),"")</f>
        <v>TW91TM4002</v>
      </c>
      <c r="I4877" s="149" t="s">
        <v>7232</v>
      </c>
      <c r="J4877" s="150" t="b">
        <f>Proc[[#This Row],[Requested]]=Proc[[#This Row],[CurrentParent]]</f>
        <v>1</v>
      </c>
      <c r="K4877" s="150" t="str">
        <f>IF(Proc[[#This Row],[Author]]="Marcela Urrego",VLOOKUP(LEFT(Proc[[#This Row],[Requested]],1),Table3[#All],2,0),VLOOKUP(Proc[[#This Row],[Author]],Table4[],2,0))</f>
        <v>EL</v>
      </c>
      <c r="L4877" s="150" t="s">
        <v>6435</v>
      </c>
      <c r="M4877" s="173">
        <v>45989</v>
      </c>
      <c r="N4877" s="174"/>
      <c r="O4877" s="174"/>
      <c r="P4877" s="174" t="str">
        <f ca="1">IF(Proc[[#This Row],[DaysAgeing]]&gt;5,"yep","on track")</f>
        <v>yep</v>
      </c>
      <c r="Q4877" s="3">
        <f ca="1">IF(Proc[[#This Row],[DateClosed]]="",ABS(NETWORKDAYS(Proc[[#This Row],[DateOpened]],TODAY()))-1,ABS(NETWORKDAYS(Proc[[#This Row],[DateOpened]],Proc[[#This Row],[DateClosed]]))-1)</f>
        <v>15</v>
      </c>
      <c r="R4877" s="174" t="s">
        <v>5709</v>
      </c>
      <c r="S4877" s="150"/>
    </row>
    <row r="4878" spans="1:19" hidden="1">
      <c r="A4878" s="149" t="s">
        <v>7039</v>
      </c>
      <c r="B4878" s="150" t="str">
        <f>IFERROR(VLOOKUP(Proc[[#This Row],[App]],Table2[],3,0),"open")</f>
        <v>ok</v>
      </c>
      <c r="C4878" s="149" t="s">
        <v>369</v>
      </c>
      <c r="D4878" t="s">
        <v>7087</v>
      </c>
      <c r="E4878" s="149" t="s">
        <v>7230</v>
      </c>
      <c r="F4878" s="150" t="s">
        <v>7230</v>
      </c>
      <c r="G4878" s="149" t="s">
        <v>406</v>
      </c>
      <c r="H4878" s="150" t="str">
        <f>IF(Proc[[#This Row],[type]]="LFF (MDG-F)",MID(Proc[[#This Row],[Obj]],13,10),"")</f>
        <v>SG10TM2000</v>
      </c>
      <c r="I4878" s="149" t="s">
        <v>7230</v>
      </c>
      <c r="J4878" s="150" t="b">
        <f>Proc[[#This Row],[Requested]]=Proc[[#This Row],[CurrentParent]]</f>
        <v>1</v>
      </c>
      <c r="K4878" s="150" t="str">
        <f>IF(Proc[[#This Row],[Author]]="Marcela Urrego",VLOOKUP(LEFT(Proc[[#This Row],[Requested]],1),Table3[#All],2,0),VLOOKUP(Proc[[#This Row],[Author]],Table4[],2,0))</f>
        <v>EL</v>
      </c>
      <c r="L4878" s="150" t="s">
        <v>6435</v>
      </c>
      <c r="M4878" s="173">
        <v>45989</v>
      </c>
      <c r="N4878" s="174"/>
      <c r="O4878" s="174"/>
      <c r="P4878" s="174" t="str">
        <f ca="1">IF(Proc[[#This Row],[DaysAgeing]]&gt;5,"yep","on track")</f>
        <v>yep</v>
      </c>
      <c r="Q4878" s="3">
        <f ca="1">IF(Proc[[#This Row],[DateClosed]]="",ABS(NETWORKDAYS(Proc[[#This Row],[DateOpened]],TODAY()))-1,ABS(NETWORKDAYS(Proc[[#This Row],[DateOpened]],Proc[[#This Row],[DateClosed]]))-1)</f>
        <v>15</v>
      </c>
      <c r="R4878" s="174" t="s">
        <v>5709</v>
      </c>
      <c r="S4878" s="150"/>
    </row>
    <row r="4879" spans="1:19" hidden="1">
      <c r="A4879" s="149" t="s">
        <v>7039</v>
      </c>
      <c r="B4879" s="150" t="str">
        <f>IFERROR(VLOOKUP(Proc[[#This Row],[App]],Table2[],3,0),"open")</f>
        <v>ok</v>
      </c>
      <c r="C4879" s="149" t="s">
        <v>369</v>
      </c>
      <c r="D4879" t="s">
        <v>7088</v>
      </c>
      <c r="E4879" s="149" t="s">
        <v>7233</v>
      </c>
      <c r="F4879" s="150" t="s">
        <v>7233</v>
      </c>
      <c r="G4879" s="149" t="s">
        <v>406</v>
      </c>
      <c r="H4879" s="150" t="str">
        <f>IF(Proc[[#This Row],[type]]="LFF (MDG-F)",MID(Proc[[#This Row],[Obj]],13,10),"")</f>
        <v>JP02C0M111</v>
      </c>
      <c r="I4879" s="149" t="s">
        <v>7233</v>
      </c>
      <c r="J4879" s="150" t="b">
        <f>Proc[[#This Row],[Requested]]=Proc[[#This Row],[CurrentParent]]</f>
        <v>1</v>
      </c>
      <c r="K4879" s="150" t="str">
        <f>IF(Proc[[#This Row],[Author]]="Marcela Urrego",VLOOKUP(LEFT(Proc[[#This Row],[Requested]],1),Table3[#All],2,0),VLOOKUP(Proc[[#This Row],[Author]],Table4[],2,0))</f>
        <v>EL</v>
      </c>
      <c r="L4879" s="150" t="s">
        <v>6435</v>
      </c>
      <c r="M4879" s="173">
        <v>45989</v>
      </c>
      <c r="N4879" s="174"/>
      <c r="O4879" s="174"/>
      <c r="P4879" s="174" t="str">
        <f ca="1">IF(Proc[[#This Row],[DaysAgeing]]&gt;5,"yep","on track")</f>
        <v>yep</v>
      </c>
      <c r="Q4879" s="3">
        <f ca="1">IF(Proc[[#This Row],[DateClosed]]="",ABS(NETWORKDAYS(Proc[[#This Row],[DateOpened]],TODAY()))-1,ABS(NETWORKDAYS(Proc[[#This Row],[DateOpened]],Proc[[#This Row],[DateClosed]]))-1)</f>
        <v>15</v>
      </c>
      <c r="R4879" s="174" t="s">
        <v>5709</v>
      </c>
      <c r="S4879" s="150"/>
    </row>
    <row r="4880" spans="1:19" hidden="1">
      <c r="A4880" s="149" t="s">
        <v>7039</v>
      </c>
      <c r="B4880" s="150" t="str">
        <f>IFERROR(VLOOKUP(Proc[[#This Row],[App]],Table2[],3,0),"open")</f>
        <v>ok</v>
      </c>
      <c r="C4880" s="149" t="s">
        <v>369</v>
      </c>
      <c r="D4880" t="s">
        <v>7089</v>
      </c>
      <c r="E4880" s="149" t="s">
        <v>7233</v>
      </c>
      <c r="F4880" s="150" t="s">
        <v>7233</v>
      </c>
      <c r="G4880" s="149" t="s">
        <v>406</v>
      </c>
      <c r="H4880" s="150" t="str">
        <f>IF(Proc[[#This Row],[type]]="LFF (MDG-F)",MID(Proc[[#This Row],[Obj]],13,10),"")</f>
        <v>KR03OF0303</v>
      </c>
      <c r="I4880" s="149" t="s">
        <v>7233</v>
      </c>
      <c r="J4880" s="150" t="b">
        <f>Proc[[#This Row],[Requested]]=Proc[[#This Row],[CurrentParent]]</f>
        <v>1</v>
      </c>
      <c r="K4880" s="150" t="str">
        <f>IF(Proc[[#This Row],[Author]]="Marcela Urrego",VLOOKUP(LEFT(Proc[[#This Row],[Requested]],1),Table3[#All],2,0),VLOOKUP(Proc[[#This Row],[Author]],Table4[],2,0))</f>
        <v>EL</v>
      </c>
      <c r="L4880" s="150" t="s">
        <v>6435</v>
      </c>
      <c r="M4880" s="173">
        <v>45989</v>
      </c>
      <c r="N4880" s="174"/>
      <c r="O4880" s="174"/>
      <c r="P4880" s="174" t="str">
        <f ca="1">IF(Proc[[#This Row],[DaysAgeing]]&gt;5,"yep","on track")</f>
        <v>yep</v>
      </c>
      <c r="Q4880" s="3">
        <f ca="1">IF(Proc[[#This Row],[DateClosed]]="",ABS(NETWORKDAYS(Proc[[#This Row],[DateOpened]],TODAY()))-1,ABS(NETWORKDAYS(Proc[[#This Row],[DateOpened]],Proc[[#This Row],[DateClosed]]))-1)</f>
        <v>15</v>
      </c>
      <c r="R4880" s="174" t="s">
        <v>5709</v>
      </c>
      <c r="S4880" s="150"/>
    </row>
    <row r="4881" spans="1:19" hidden="1">
      <c r="A4881" s="149" t="s">
        <v>7039</v>
      </c>
      <c r="B4881" s="150" t="str">
        <f>IFERROR(VLOOKUP(Proc[[#This Row],[App]],Table2[],3,0),"open")</f>
        <v>ok</v>
      </c>
      <c r="C4881" s="149" t="s">
        <v>369</v>
      </c>
      <c r="D4881" t="s">
        <v>7090</v>
      </c>
      <c r="E4881" s="149" t="s">
        <v>7233</v>
      </c>
      <c r="F4881" s="150" t="s">
        <v>7233</v>
      </c>
      <c r="G4881" s="149" t="s">
        <v>406</v>
      </c>
      <c r="H4881" s="150" t="str">
        <f>IF(Proc[[#This Row],[type]]="LFF (MDG-F)",MID(Proc[[#This Row],[Obj]],13,10),"")</f>
        <v>KR07DB3310</v>
      </c>
      <c r="I4881" s="149" t="s">
        <v>7233</v>
      </c>
      <c r="J4881" s="150" t="b">
        <f>Proc[[#This Row],[Requested]]=Proc[[#This Row],[CurrentParent]]</f>
        <v>1</v>
      </c>
      <c r="K4881" s="150" t="str">
        <f>IF(Proc[[#This Row],[Author]]="Marcela Urrego",VLOOKUP(LEFT(Proc[[#This Row],[Requested]],1),Table3[#All],2,0),VLOOKUP(Proc[[#This Row],[Author]],Table4[],2,0))</f>
        <v>EL</v>
      </c>
      <c r="L4881" s="150" t="s">
        <v>6435</v>
      </c>
      <c r="M4881" s="173">
        <v>45989</v>
      </c>
      <c r="N4881" s="174"/>
      <c r="O4881" s="174"/>
      <c r="P4881" s="174" t="str">
        <f ca="1">IF(Proc[[#This Row],[DaysAgeing]]&gt;5,"yep","on track")</f>
        <v>yep</v>
      </c>
      <c r="Q4881" s="3">
        <f ca="1">IF(Proc[[#This Row],[DateClosed]]="",ABS(NETWORKDAYS(Proc[[#This Row],[DateOpened]],TODAY()))-1,ABS(NETWORKDAYS(Proc[[#This Row],[DateOpened]],Proc[[#This Row],[DateClosed]]))-1)</f>
        <v>15</v>
      </c>
      <c r="R4881" s="174" t="s">
        <v>5709</v>
      </c>
      <c r="S4881" s="150"/>
    </row>
    <row r="4882" spans="1:19" hidden="1">
      <c r="A4882" s="149" t="s">
        <v>7039</v>
      </c>
      <c r="B4882" s="150" t="str">
        <f>IFERROR(VLOOKUP(Proc[[#This Row],[App]],Table2[],3,0),"open")</f>
        <v>ok</v>
      </c>
      <c r="C4882" s="149" t="s">
        <v>369</v>
      </c>
      <c r="D4882" t="s">
        <v>7091</v>
      </c>
      <c r="E4882" s="149" t="s">
        <v>7234</v>
      </c>
      <c r="F4882" s="150" t="s">
        <v>7234</v>
      </c>
      <c r="G4882" s="149" t="s">
        <v>406</v>
      </c>
      <c r="H4882" s="150" t="str">
        <f>IF(Proc[[#This Row],[type]]="LFF (MDG-F)",MID(Proc[[#This Row],[Obj]],13,10),"")</f>
        <v>JP02TQAZ01</v>
      </c>
      <c r="I4882" s="149" t="s">
        <v>7234</v>
      </c>
      <c r="J4882" s="150" t="b">
        <f>Proc[[#This Row],[Requested]]=Proc[[#This Row],[CurrentParent]]</f>
        <v>1</v>
      </c>
      <c r="K4882" s="150" t="str">
        <f>IF(Proc[[#This Row],[Author]]="Marcela Urrego",VLOOKUP(LEFT(Proc[[#This Row],[Requested]],1),Table3[#All],2,0),VLOOKUP(Proc[[#This Row],[Author]],Table4[],2,0))</f>
        <v>EL</v>
      </c>
      <c r="L4882" s="150" t="s">
        <v>6435</v>
      </c>
      <c r="M4882" s="173">
        <v>45989</v>
      </c>
      <c r="N4882" s="174"/>
      <c r="O4882" s="174"/>
      <c r="P4882" s="174" t="str">
        <f ca="1">IF(Proc[[#This Row],[DaysAgeing]]&gt;5,"yep","on track")</f>
        <v>yep</v>
      </c>
      <c r="Q4882" s="3">
        <f ca="1">IF(Proc[[#This Row],[DateClosed]]="",ABS(NETWORKDAYS(Proc[[#This Row],[DateOpened]],TODAY()))-1,ABS(NETWORKDAYS(Proc[[#This Row],[DateOpened]],Proc[[#This Row],[DateClosed]]))-1)</f>
        <v>15</v>
      </c>
      <c r="R4882" s="174" t="s">
        <v>5709</v>
      </c>
      <c r="S4882" s="150"/>
    </row>
    <row r="4883" spans="1:19" hidden="1">
      <c r="A4883" s="149" t="s">
        <v>7039</v>
      </c>
      <c r="B4883" s="150" t="str">
        <f>IFERROR(VLOOKUP(Proc[[#This Row],[App]],Table2[],3,0),"open")</f>
        <v>ok</v>
      </c>
      <c r="C4883" s="149" t="s">
        <v>369</v>
      </c>
      <c r="D4883" t="s">
        <v>7092</v>
      </c>
      <c r="E4883" s="149" t="s">
        <v>7234</v>
      </c>
      <c r="F4883" s="150" t="s">
        <v>7234</v>
      </c>
      <c r="G4883" s="149" t="s">
        <v>406</v>
      </c>
      <c r="H4883" s="150" t="str">
        <f>IF(Proc[[#This Row],[type]]="LFF (MDG-F)",MID(Proc[[#This Row],[Obj]],13,10),"")</f>
        <v>JP02TQSZ01</v>
      </c>
      <c r="I4883" s="149" t="s">
        <v>7234</v>
      </c>
      <c r="J4883" s="150" t="b">
        <f>Proc[[#This Row],[Requested]]=Proc[[#This Row],[CurrentParent]]</f>
        <v>1</v>
      </c>
      <c r="K4883" s="150" t="str">
        <f>IF(Proc[[#This Row],[Author]]="Marcela Urrego",VLOOKUP(LEFT(Proc[[#This Row],[Requested]],1),Table3[#All],2,0),VLOOKUP(Proc[[#This Row],[Author]],Table4[],2,0))</f>
        <v>EL</v>
      </c>
      <c r="L4883" s="150" t="s">
        <v>6435</v>
      </c>
      <c r="M4883" s="173">
        <v>45989</v>
      </c>
      <c r="N4883" s="174"/>
      <c r="O4883" s="174"/>
      <c r="P4883" s="174" t="str">
        <f ca="1">IF(Proc[[#This Row],[DaysAgeing]]&gt;5,"yep","on track")</f>
        <v>yep</v>
      </c>
      <c r="Q4883" s="3">
        <f ca="1">IF(Proc[[#This Row],[DateClosed]]="",ABS(NETWORKDAYS(Proc[[#This Row],[DateOpened]],TODAY()))-1,ABS(NETWORKDAYS(Proc[[#This Row],[DateOpened]],Proc[[#This Row],[DateClosed]]))-1)</f>
        <v>15</v>
      </c>
      <c r="R4883" s="174" t="s">
        <v>5709</v>
      </c>
      <c r="S4883" s="150"/>
    </row>
    <row r="4884" spans="1:19" hidden="1">
      <c r="A4884" s="149" t="s">
        <v>7039</v>
      </c>
      <c r="B4884" s="150" t="str">
        <f>IFERROR(VLOOKUP(Proc[[#This Row],[App]],Table2[],3,0),"open")</f>
        <v>ok</v>
      </c>
      <c r="C4884" s="149" t="s">
        <v>369</v>
      </c>
      <c r="D4884" t="s">
        <v>7093</v>
      </c>
      <c r="E4884" s="149" t="s">
        <v>7234</v>
      </c>
      <c r="F4884" s="150" t="s">
        <v>7234</v>
      </c>
      <c r="G4884" s="149" t="s">
        <v>406</v>
      </c>
      <c r="H4884" s="150" t="str">
        <f>IF(Proc[[#This Row],[type]]="LFF (MDG-F)",MID(Proc[[#This Row],[Obj]],13,10),"")</f>
        <v>KR03TPPZ14</v>
      </c>
      <c r="I4884" s="149" t="s">
        <v>7234</v>
      </c>
      <c r="J4884" s="150" t="b">
        <f>Proc[[#This Row],[Requested]]=Proc[[#This Row],[CurrentParent]]</f>
        <v>1</v>
      </c>
      <c r="K4884" s="150" t="str">
        <f>IF(Proc[[#This Row],[Author]]="Marcela Urrego",VLOOKUP(LEFT(Proc[[#This Row],[Requested]],1),Table3[#All],2,0),VLOOKUP(Proc[[#This Row],[Author]],Table4[],2,0))</f>
        <v>EL</v>
      </c>
      <c r="L4884" s="150" t="s">
        <v>6435</v>
      </c>
      <c r="M4884" s="173">
        <v>45989</v>
      </c>
      <c r="N4884" s="174"/>
      <c r="O4884" s="174"/>
      <c r="P4884" s="174" t="str">
        <f ca="1">IF(Proc[[#This Row],[DaysAgeing]]&gt;5,"yep","on track")</f>
        <v>yep</v>
      </c>
      <c r="Q4884" s="3">
        <f ca="1">IF(Proc[[#This Row],[DateClosed]]="",ABS(NETWORKDAYS(Proc[[#This Row],[DateOpened]],TODAY()))-1,ABS(NETWORKDAYS(Proc[[#This Row],[DateOpened]],Proc[[#This Row],[DateClosed]]))-1)</f>
        <v>15</v>
      </c>
      <c r="R4884" s="174" t="s">
        <v>5709</v>
      </c>
      <c r="S4884" s="150"/>
    </row>
    <row r="4885" spans="1:19" hidden="1">
      <c r="A4885" s="149" t="s">
        <v>7039</v>
      </c>
      <c r="B4885" s="150" t="str">
        <f>IFERROR(VLOOKUP(Proc[[#This Row],[App]],Table2[],3,0),"open")</f>
        <v>ok</v>
      </c>
      <c r="C4885" s="149" t="s">
        <v>369</v>
      </c>
      <c r="D4885" t="s">
        <v>7094</v>
      </c>
      <c r="E4885" s="149" t="s">
        <v>7234</v>
      </c>
      <c r="F4885" s="150" t="s">
        <v>7234</v>
      </c>
      <c r="G4885" s="149" t="s">
        <v>406</v>
      </c>
      <c r="H4885" s="150" t="str">
        <f>IF(Proc[[#This Row],[type]]="LFF (MDG-F)",MID(Proc[[#This Row],[Obj]],13,10),"")</f>
        <v>KR07DB3306</v>
      </c>
      <c r="I4885" s="149" t="s">
        <v>7234</v>
      </c>
      <c r="J4885" s="150" t="b">
        <f>Proc[[#This Row],[Requested]]=Proc[[#This Row],[CurrentParent]]</f>
        <v>1</v>
      </c>
      <c r="K4885" s="150" t="str">
        <f>IF(Proc[[#This Row],[Author]]="Marcela Urrego",VLOOKUP(LEFT(Proc[[#This Row],[Requested]],1),Table3[#All],2,0),VLOOKUP(Proc[[#This Row],[Author]],Table4[],2,0))</f>
        <v>EL</v>
      </c>
      <c r="L4885" s="150" t="s">
        <v>6435</v>
      </c>
      <c r="M4885" s="173">
        <v>45989</v>
      </c>
      <c r="N4885" s="174"/>
      <c r="O4885" s="174"/>
      <c r="P4885" s="174" t="str">
        <f ca="1">IF(Proc[[#This Row],[DaysAgeing]]&gt;5,"yep","on track")</f>
        <v>yep</v>
      </c>
      <c r="Q4885" s="3">
        <f ca="1">IF(Proc[[#This Row],[DateClosed]]="",ABS(NETWORKDAYS(Proc[[#This Row],[DateOpened]],TODAY()))-1,ABS(NETWORKDAYS(Proc[[#This Row],[DateOpened]],Proc[[#This Row],[DateClosed]]))-1)</f>
        <v>15</v>
      </c>
      <c r="R4885" s="174" t="s">
        <v>5709</v>
      </c>
      <c r="S4885" s="150"/>
    </row>
    <row r="4886" spans="1:19" hidden="1">
      <c r="A4886" s="149" t="s">
        <v>7039</v>
      </c>
      <c r="B4886" s="150" t="str">
        <f>IFERROR(VLOOKUP(Proc[[#This Row],[App]],Table2[],3,0),"open")</f>
        <v>ok</v>
      </c>
      <c r="C4886" s="149" t="s">
        <v>369</v>
      </c>
      <c r="D4886" t="s">
        <v>7095</v>
      </c>
      <c r="E4886" s="149" t="s">
        <v>7234</v>
      </c>
      <c r="F4886" s="150" t="s">
        <v>7234</v>
      </c>
      <c r="G4886" s="149" t="s">
        <v>406</v>
      </c>
      <c r="H4886" s="150" t="str">
        <f>IF(Proc[[#This Row],[type]]="LFF (MDG-F)",MID(Proc[[#This Row],[Obj]],13,10),"")</f>
        <v>KR07DB3308</v>
      </c>
      <c r="I4886" s="149" t="s">
        <v>7234</v>
      </c>
      <c r="J4886" s="150" t="b">
        <f>Proc[[#This Row],[Requested]]=Proc[[#This Row],[CurrentParent]]</f>
        <v>1</v>
      </c>
      <c r="K4886" s="150" t="str">
        <f>IF(Proc[[#This Row],[Author]]="Marcela Urrego",VLOOKUP(LEFT(Proc[[#This Row],[Requested]],1),Table3[#All],2,0),VLOOKUP(Proc[[#This Row],[Author]],Table4[],2,0))</f>
        <v>EL</v>
      </c>
      <c r="L4886" s="150" t="s">
        <v>6435</v>
      </c>
      <c r="M4886" s="173">
        <v>45989</v>
      </c>
      <c r="N4886" s="174"/>
      <c r="O4886" s="174"/>
      <c r="P4886" s="174" t="str">
        <f ca="1">IF(Proc[[#This Row],[DaysAgeing]]&gt;5,"yep","on track")</f>
        <v>yep</v>
      </c>
      <c r="Q4886" s="3">
        <f ca="1">IF(Proc[[#This Row],[DateClosed]]="",ABS(NETWORKDAYS(Proc[[#This Row],[DateOpened]],TODAY()))-1,ABS(NETWORKDAYS(Proc[[#This Row],[DateOpened]],Proc[[#This Row],[DateClosed]]))-1)</f>
        <v>15</v>
      </c>
      <c r="R4886" s="174" t="s">
        <v>5709</v>
      </c>
      <c r="S4886" s="150"/>
    </row>
    <row r="4887" spans="1:19" hidden="1">
      <c r="A4887" s="149" t="s">
        <v>7039</v>
      </c>
      <c r="B4887" s="150" t="str">
        <f>IFERROR(VLOOKUP(Proc[[#This Row],[App]],Table2[],3,0),"open")</f>
        <v>ok</v>
      </c>
      <c r="C4887" s="149" t="s">
        <v>369</v>
      </c>
      <c r="D4887" t="s">
        <v>7096</v>
      </c>
      <c r="E4887" s="149" t="s">
        <v>7234</v>
      </c>
      <c r="F4887" s="150" t="s">
        <v>7234</v>
      </c>
      <c r="G4887" s="149" t="s">
        <v>406</v>
      </c>
      <c r="H4887" s="150" t="str">
        <f>IF(Proc[[#This Row],[type]]="LFF (MDG-F)",MID(Proc[[#This Row],[Obj]],13,10),"")</f>
        <v>KR15DB3301</v>
      </c>
      <c r="I4887" s="149" t="s">
        <v>7234</v>
      </c>
      <c r="J4887" s="150" t="b">
        <f>Proc[[#This Row],[Requested]]=Proc[[#This Row],[CurrentParent]]</f>
        <v>1</v>
      </c>
      <c r="K4887" s="150" t="str">
        <f>IF(Proc[[#This Row],[Author]]="Marcela Urrego",VLOOKUP(LEFT(Proc[[#This Row],[Requested]],1),Table3[#All],2,0),VLOOKUP(Proc[[#This Row],[Author]],Table4[],2,0))</f>
        <v>EL</v>
      </c>
      <c r="L4887" s="150" t="s">
        <v>6435</v>
      </c>
      <c r="M4887" s="173">
        <v>45989</v>
      </c>
      <c r="N4887" s="174"/>
      <c r="O4887" s="174"/>
      <c r="P4887" s="174" t="str">
        <f ca="1">IF(Proc[[#This Row],[DaysAgeing]]&gt;5,"yep","on track")</f>
        <v>yep</v>
      </c>
      <c r="Q4887" s="3">
        <f ca="1">IF(Proc[[#This Row],[DateClosed]]="",ABS(NETWORKDAYS(Proc[[#This Row],[DateOpened]],TODAY()))-1,ABS(NETWORKDAYS(Proc[[#This Row],[DateOpened]],Proc[[#This Row],[DateClosed]]))-1)</f>
        <v>15</v>
      </c>
      <c r="R4887" s="174" t="s">
        <v>5709</v>
      </c>
      <c r="S4887" s="150"/>
    </row>
    <row r="4888" spans="1:19" hidden="1">
      <c r="A4888" s="149" t="s">
        <v>7039</v>
      </c>
      <c r="B4888" s="150" t="str">
        <f>IFERROR(VLOOKUP(Proc[[#This Row],[App]],Table2[],3,0),"open")</f>
        <v>ok</v>
      </c>
      <c r="C4888" s="149" t="s">
        <v>369</v>
      </c>
      <c r="D4888" t="s">
        <v>7097</v>
      </c>
      <c r="E4888" s="149" t="s">
        <v>7234</v>
      </c>
      <c r="F4888" s="150" t="s">
        <v>7234</v>
      </c>
      <c r="G4888" s="149" t="s">
        <v>406</v>
      </c>
      <c r="H4888" s="150" t="str">
        <f>IF(Proc[[#This Row],[type]]="LFF (MDG-F)",MID(Proc[[#This Row],[Obj]],13,10),"")</f>
        <v>JP02TQ1001</v>
      </c>
      <c r="I4888" s="149" t="s">
        <v>7234</v>
      </c>
      <c r="J4888" s="150" t="b">
        <f>Proc[[#This Row],[Requested]]=Proc[[#This Row],[CurrentParent]]</f>
        <v>1</v>
      </c>
      <c r="K4888" s="150" t="str">
        <f>IF(Proc[[#This Row],[Author]]="Marcela Urrego",VLOOKUP(LEFT(Proc[[#This Row],[Requested]],1),Table3[#All],2,0),VLOOKUP(Proc[[#This Row],[Author]],Table4[],2,0))</f>
        <v>EL</v>
      </c>
      <c r="L4888" s="150" t="s">
        <v>6435</v>
      </c>
      <c r="M4888" s="173">
        <v>45989</v>
      </c>
      <c r="N4888" s="174"/>
      <c r="O4888" s="174"/>
      <c r="P4888" s="174" t="str">
        <f ca="1">IF(Proc[[#This Row],[DaysAgeing]]&gt;5,"yep","on track")</f>
        <v>yep</v>
      </c>
      <c r="Q4888" s="3">
        <f ca="1">IF(Proc[[#This Row],[DateClosed]]="",ABS(NETWORKDAYS(Proc[[#This Row],[DateOpened]],TODAY()))-1,ABS(NETWORKDAYS(Proc[[#This Row],[DateOpened]],Proc[[#This Row],[DateClosed]]))-1)</f>
        <v>15</v>
      </c>
      <c r="R4888" s="174" t="s">
        <v>5709</v>
      </c>
      <c r="S4888" s="150"/>
    </row>
    <row r="4889" spans="1:19" hidden="1">
      <c r="A4889" s="149" t="s">
        <v>7039</v>
      </c>
      <c r="B4889" s="150" t="str">
        <f>IFERROR(VLOOKUP(Proc[[#This Row],[App]],Table2[],3,0),"open")</f>
        <v>ok</v>
      </c>
      <c r="C4889" s="149" t="s">
        <v>369</v>
      </c>
      <c r="D4889" t="s">
        <v>7098</v>
      </c>
      <c r="E4889" s="149" t="s">
        <v>7234</v>
      </c>
      <c r="F4889" s="150" t="s">
        <v>7234</v>
      </c>
      <c r="G4889" s="149" t="s">
        <v>406</v>
      </c>
      <c r="H4889" s="150" t="str">
        <f>IF(Proc[[#This Row],[type]]="LFF (MDG-F)",MID(Proc[[#This Row],[Obj]],13,10),"")</f>
        <v>JP02TQ1002</v>
      </c>
      <c r="I4889" s="149" t="s">
        <v>7234</v>
      </c>
      <c r="J4889" s="150" t="b">
        <f>Proc[[#This Row],[Requested]]=Proc[[#This Row],[CurrentParent]]</f>
        <v>1</v>
      </c>
      <c r="K4889" s="150" t="str">
        <f>IF(Proc[[#This Row],[Author]]="Marcela Urrego",VLOOKUP(LEFT(Proc[[#This Row],[Requested]],1),Table3[#All],2,0),VLOOKUP(Proc[[#This Row],[Author]],Table4[],2,0))</f>
        <v>EL</v>
      </c>
      <c r="L4889" s="150" t="s">
        <v>6435</v>
      </c>
      <c r="M4889" s="173">
        <v>45989</v>
      </c>
      <c r="N4889" s="174"/>
      <c r="O4889" s="174"/>
      <c r="P4889" s="174" t="str">
        <f ca="1">IF(Proc[[#This Row],[DaysAgeing]]&gt;5,"yep","on track")</f>
        <v>yep</v>
      </c>
      <c r="Q4889" s="3">
        <f ca="1">IF(Proc[[#This Row],[DateClosed]]="",ABS(NETWORKDAYS(Proc[[#This Row],[DateOpened]],TODAY()))-1,ABS(NETWORKDAYS(Proc[[#This Row],[DateOpened]],Proc[[#This Row],[DateClosed]]))-1)</f>
        <v>15</v>
      </c>
      <c r="R4889" s="174" t="s">
        <v>5709</v>
      </c>
      <c r="S4889" s="150"/>
    </row>
    <row r="4890" spans="1:19" hidden="1">
      <c r="A4890" s="149" t="s">
        <v>7039</v>
      </c>
      <c r="B4890" s="150" t="str">
        <f>IFERROR(VLOOKUP(Proc[[#This Row],[App]],Table2[],3,0),"open")</f>
        <v>ok</v>
      </c>
      <c r="C4890" s="149" t="s">
        <v>369</v>
      </c>
      <c r="D4890" t="s">
        <v>7099</v>
      </c>
      <c r="E4890" s="149" t="s">
        <v>7234</v>
      </c>
      <c r="F4890" s="150" t="s">
        <v>7234</v>
      </c>
      <c r="G4890" s="149" t="s">
        <v>406</v>
      </c>
      <c r="H4890" s="150" t="str">
        <f>IF(Proc[[#This Row],[type]]="LFF (MDG-F)",MID(Proc[[#This Row],[Obj]],13,10),"")</f>
        <v>JP02TQ1003</v>
      </c>
      <c r="I4890" s="149" t="s">
        <v>7234</v>
      </c>
      <c r="J4890" s="150" t="b">
        <f>Proc[[#This Row],[Requested]]=Proc[[#This Row],[CurrentParent]]</f>
        <v>1</v>
      </c>
      <c r="K4890" s="150" t="str">
        <f>IF(Proc[[#This Row],[Author]]="Marcela Urrego",VLOOKUP(LEFT(Proc[[#This Row],[Requested]],1),Table3[#All],2,0),VLOOKUP(Proc[[#This Row],[Author]],Table4[],2,0))</f>
        <v>EL</v>
      </c>
      <c r="L4890" s="150" t="s">
        <v>6435</v>
      </c>
      <c r="M4890" s="173">
        <v>45989</v>
      </c>
      <c r="N4890" s="174"/>
      <c r="O4890" s="174"/>
      <c r="P4890" s="174" t="str">
        <f ca="1">IF(Proc[[#This Row],[DaysAgeing]]&gt;5,"yep","on track")</f>
        <v>yep</v>
      </c>
      <c r="Q4890" s="3">
        <f ca="1">IF(Proc[[#This Row],[DateClosed]]="",ABS(NETWORKDAYS(Proc[[#This Row],[DateOpened]],TODAY()))-1,ABS(NETWORKDAYS(Proc[[#This Row],[DateOpened]],Proc[[#This Row],[DateClosed]]))-1)</f>
        <v>15</v>
      </c>
      <c r="R4890" s="174" t="s">
        <v>5709</v>
      </c>
      <c r="S4890" s="150"/>
    </row>
    <row r="4891" spans="1:19" hidden="1">
      <c r="A4891" s="149" t="s">
        <v>7039</v>
      </c>
      <c r="B4891" s="150" t="str">
        <f>IFERROR(VLOOKUP(Proc[[#This Row],[App]],Table2[],3,0),"open")</f>
        <v>ok</v>
      </c>
      <c r="C4891" s="149" t="s">
        <v>369</v>
      </c>
      <c r="D4891" t="s">
        <v>7100</v>
      </c>
      <c r="E4891" s="149" t="s">
        <v>7234</v>
      </c>
      <c r="F4891" s="150" t="s">
        <v>7234</v>
      </c>
      <c r="G4891" s="149" t="s">
        <v>406</v>
      </c>
      <c r="H4891" s="150" t="str">
        <f>IF(Proc[[#This Row],[type]]="LFF (MDG-F)",MID(Proc[[#This Row],[Obj]],13,10),"")</f>
        <v>JP02TQ1004</v>
      </c>
      <c r="I4891" s="149" t="s">
        <v>7234</v>
      </c>
      <c r="J4891" s="150" t="b">
        <f>Proc[[#This Row],[Requested]]=Proc[[#This Row],[CurrentParent]]</f>
        <v>1</v>
      </c>
      <c r="K4891" s="150" t="str">
        <f>IF(Proc[[#This Row],[Author]]="Marcela Urrego",VLOOKUP(LEFT(Proc[[#This Row],[Requested]],1),Table3[#All],2,0),VLOOKUP(Proc[[#This Row],[Author]],Table4[],2,0))</f>
        <v>EL</v>
      </c>
      <c r="L4891" s="150" t="s">
        <v>6435</v>
      </c>
      <c r="M4891" s="173">
        <v>45989</v>
      </c>
      <c r="N4891" s="174"/>
      <c r="O4891" s="174"/>
      <c r="P4891" s="174" t="str">
        <f ca="1">IF(Proc[[#This Row],[DaysAgeing]]&gt;5,"yep","on track")</f>
        <v>yep</v>
      </c>
      <c r="Q4891" s="3">
        <f ca="1">IF(Proc[[#This Row],[DateClosed]]="",ABS(NETWORKDAYS(Proc[[#This Row],[DateOpened]],TODAY()))-1,ABS(NETWORKDAYS(Proc[[#This Row],[DateOpened]],Proc[[#This Row],[DateClosed]]))-1)</f>
        <v>15</v>
      </c>
      <c r="R4891" s="174" t="s">
        <v>5709</v>
      </c>
      <c r="S4891" s="150"/>
    </row>
    <row r="4892" spans="1:19" hidden="1">
      <c r="A4892" s="149" t="s">
        <v>7039</v>
      </c>
      <c r="B4892" s="150" t="str">
        <f>IFERROR(VLOOKUP(Proc[[#This Row],[App]],Table2[],3,0),"open")</f>
        <v>ok</v>
      </c>
      <c r="C4892" s="149" t="s">
        <v>369</v>
      </c>
      <c r="D4892" t="s">
        <v>7101</v>
      </c>
      <c r="E4892" s="149" t="s">
        <v>7234</v>
      </c>
      <c r="F4892" s="150" t="s">
        <v>7234</v>
      </c>
      <c r="G4892" s="149" t="s">
        <v>406</v>
      </c>
      <c r="H4892" s="150" t="str">
        <f>IF(Proc[[#This Row],[type]]="LFF (MDG-F)",MID(Proc[[#This Row],[Obj]],13,10),"")</f>
        <v>JP02TQ1005</v>
      </c>
      <c r="I4892" s="149" t="s">
        <v>7234</v>
      </c>
      <c r="J4892" s="150" t="b">
        <f>Proc[[#This Row],[Requested]]=Proc[[#This Row],[CurrentParent]]</f>
        <v>1</v>
      </c>
      <c r="K4892" s="150" t="str">
        <f>IF(Proc[[#This Row],[Author]]="Marcela Urrego",VLOOKUP(LEFT(Proc[[#This Row],[Requested]],1),Table3[#All],2,0),VLOOKUP(Proc[[#This Row],[Author]],Table4[],2,0))</f>
        <v>EL</v>
      </c>
      <c r="L4892" s="150" t="s">
        <v>6435</v>
      </c>
      <c r="M4892" s="173">
        <v>45989</v>
      </c>
      <c r="N4892" s="174"/>
      <c r="O4892" s="174"/>
      <c r="P4892" s="174" t="str">
        <f ca="1">IF(Proc[[#This Row],[DaysAgeing]]&gt;5,"yep","on track")</f>
        <v>yep</v>
      </c>
      <c r="Q4892" s="3">
        <f ca="1">IF(Proc[[#This Row],[DateClosed]]="",ABS(NETWORKDAYS(Proc[[#This Row],[DateOpened]],TODAY()))-1,ABS(NETWORKDAYS(Proc[[#This Row],[DateOpened]],Proc[[#This Row],[DateClosed]]))-1)</f>
        <v>15</v>
      </c>
      <c r="R4892" s="174" t="s">
        <v>5709</v>
      </c>
      <c r="S4892" s="150"/>
    </row>
    <row r="4893" spans="1:19" hidden="1">
      <c r="A4893" s="149" t="s">
        <v>7039</v>
      </c>
      <c r="B4893" s="150" t="str">
        <f>IFERROR(VLOOKUP(Proc[[#This Row],[App]],Table2[],3,0),"open")</f>
        <v>ok</v>
      </c>
      <c r="C4893" s="149" t="s">
        <v>369</v>
      </c>
      <c r="D4893" t="s">
        <v>7102</v>
      </c>
      <c r="E4893" s="149" t="s">
        <v>7234</v>
      </c>
      <c r="F4893" s="150" t="s">
        <v>7234</v>
      </c>
      <c r="G4893" s="149" t="s">
        <v>406</v>
      </c>
      <c r="H4893" s="150" t="str">
        <f>IF(Proc[[#This Row],[type]]="LFF (MDG-F)",MID(Proc[[#This Row],[Obj]],13,10),"")</f>
        <v>JP02TQ1006</v>
      </c>
      <c r="I4893" s="149" t="s">
        <v>7234</v>
      </c>
      <c r="J4893" s="150" t="b">
        <f>Proc[[#This Row],[Requested]]=Proc[[#This Row],[CurrentParent]]</f>
        <v>1</v>
      </c>
      <c r="K4893" s="150" t="str">
        <f>IF(Proc[[#This Row],[Author]]="Marcela Urrego",VLOOKUP(LEFT(Proc[[#This Row],[Requested]],1),Table3[#All],2,0),VLOOKUP(Proc[[#This Row],[Author]],Table4[],2,0))</f>
        <v>EL</v>
      </c>
      <c r="L4893" s="150" t="s">
        <v>6435</v>
      </c>
      <c r="M4893" s="173">
        <v>45989</v>
      </c>
      <c r="N4893" s="174"/>
      <c r="O4893" s="174"/>
      <c r="P4893" s="174" t="str">
        <f ca="1">IF(Proc[[#This Row],[DaysAgeing]]&gt;5,"yep","on track")</f>
        <v>yep</v>
      </c>
      <c r="Q4893" s="3">
        <f ca="1">IF(Proc[[#This Row],[DateClosed]]="",ABS(NETWORKDAYS(Proc[[#This Row],[DateOpened]],TODAY()))-1,ABS(NETWORKDAYS(Proc[[#This Row],[DateOpened]],Proc[[#This Row],[DateClosed]]))-1)</f>
        <v>15</v>
      </c>
      <c r="R4893" s="174" t="s">
        <v>5709</v>
      </c>
      <c r="S4893" s="150"/>
    </row>
    <row r="4894" spans="1:19" hidden="1">
      <c r="A4894" s="149" t="s">
        <v>7039</v>
      </c>
      <c r="B4894" s="150" t="str">
        <f>IFERROR(VLOOKUP(Proc[[#This Row],[App]],Table2[],3,0),"open")</f>
        <v>ok</v>
      </c>
      <c r="C4894" s="149" t="s">
        <v>369</v>
      </c>
      <c r="D4894" t="s">
        <v>7103</v>
      </c>
      <c r="E4894" s="149" t="s">
        <v>7234</v>
      </c>
      <c r="F4894" s="150" t="s">
        <v>7234</v>
      </c>
      <c r="G4894" s="149" t="s">
        <v>406</v>
      </c>
      <c r="H4894" s="150" t="str">
        <f>IF(Proc[[#This Row],[type]]="LFF (MDG-F)",MID(Proc[[#This Row],[Obj]],13,10),"")</f>
        <v>JP02TQ1007</v>
      </c>
      <c r="I4894" s="149" t="s">
        <v>7234</v>
      </c>
      <c r="J4894" s="150" t="b">
        <f>Proc[[#This Row],[Requested]]=Proc[[#This Row],[CurrentParent]]</f>
        <v>1</v>
      </c>
      <c r="K4894" s="150" t="str">
        <f>IF(Proc[[#This Row],[Author]]="Marcela Urrego",VLOOKUP(LEFT(Proc[[#This Row],[Requested]],1),Table3[#All],2,0),VLOOKUP(Proc[[#This Row],[Author]],Table4[],2,0))</f>
        <v>EL</v>
      </c>
      <c r="L4894" s="150" t="s">
        <v>6435</v>
      </c>
      <c r="M4894" s="173">
        <v>45989</v>
      </c>
      <c r="N4894" s="174"/>
      <c r="O4894" s="174"/>
      <c r="P4894" s="174" t="str">
        <f ca="1">IF(Proc[[#This Row],[DaysAgeing]]&gt;5,"yep","on track")</f>
        <v>yep</v>
      </c>
      <c r="Q4894" s="3">
        <f ca="1">IF(Proc[[#This Row],[DateClosed]]="",ABS(NETWORKDAYS(Proc[[#This Row],[DateOpened]],TODAY()))-1,ABS(NETWORKDAYS(Proc[[#This Row],[DateOpened]],Proc[[#This Row],[DateClosed]]))-1)</f>
        <v>15</v>
      </c>
      <c r="R4894" s="174" t="s">
        <v>5709</v>
      </c>
      <c r="S4894" s="150"/>
    </row>
    <row r="4895" spans="1:19" hidden="1">
      <c r="A4895" s="149" t="s">
        <v>7039</v>
      </c>
      <c r="B4895" s="150" t="str">
        <f>IFERROR(VLOOKUP(Proc[[#This Row],[App]],Table2[],3,0),"open")</f>
        <v>ok</v>
      </c>
      <c r="C4895" s="149" t="s">
        <v>369</v>
      </c>
      <c r="D4895" t="s">
        <v>7104</v>
      </c>
      <c r="E4895" s="149" t="s">
        <v>7234</v>
      </c>
      <c r="F4895" s="150" t="s">
        <v>7234</v>
      </c>
      <c r="G4895" s="149" t="s">
        <v>406</v>
      </c>
      <c r="H4895" s="150" t="str">
        <f>IF(Proc[[#This Row],[type]]="LFF (MDG-F)",MID(Proc[[#This Row],[Obj]],13,10),"")</f>
        <v>JP02TQ1008</v>
      </c>
      <c r="I4895" s="149" t="s">
        <v>7234</v>
      </c>
      <c r="J4895" s="150" t="b">
        <f>Proc[[#This Row],[Requested]]=Proc[[#This Row],[CurrentParent]]</f>
        <v>1</v>
      </c>
      <c r="K4895" s="150" t="str">
        <f>IF(Proc[[#This Row],[Author]]="Marcela Urrego",VLOOKUP(LEFT(Proc[[#This Row],[Requested]],1),Table3[#All],2,0),VLOOKUP(Proc[[#This Row],[Author]],Table4[],2,0))</f>
        <v>EL</v>
      </c>
      <c r="L4895" s="150" t="s">
        <v>6435</v>
      </c>
      <c r="M4895" s="173">
        <v>45989</v>
      </c>
      <c r="N4895" s="174"/>
      <c r="O4895" s="174"/>
      <c r="P4895" s="174" t="str">
        <f ca="1">IF(Proc[[#This Row],[DaysAgeing]]&gt;5,"yep","on track")</f>
        <v>yep</v>
      </c>
      <c r="Q4895" s="3">
        <f ca="1">IF(Proc[[#This Row],[DateClosed]]="",ABS(NETWORKDAYS(Proc[[#This Row],[DateOpened]],TODAY()))-1,ABS(NETWORKDAYS(Proc[[#This Row],[DateOpened]],Proc[[#This Row],[DateClosed]]))-1)</f>
        <v>15</v>
      </c>
      <c r="R4895" s="174" t="s">
        <v>5709</v>
      </c>
      <c r="S4895" s="150"/>
    </row>
    <row r="4896" spans="1:19" hidden="1">
      <c r="A4896" s="149" t="s">
        <v>7039</v>
      </c>
      <c r="B4896" s="150" t="str">
        <f>IFERROR(VLOOKUP(Proc[[#This Row],[App]],Table2[],3,0),"open")</f>
        <v>ok</v>
      </c>
      <c r="C4896" s="149" t="s">
        <v>369</v>
      </c>
      <c r="D4896" t="s">
        <v>7105</v>
      </c>
      <c r="E4896" s="149" t="s">
        <v>7234</v>
      </c>
      <c r="F4896" s="150" t="s">
        <v>7234</v>
      </c>
      <c r="G4896" s="149" t="s">
        <v>406</v>
      </c>
      <c r="H4896" s="150" t="str">
        <f>IF(Proc[[#This Row],[type]]="LFF (MDG-F)",MID(Proc[[#This Row],[Obj]],13,10),"")</f>
        <v>JP02TQ1009</v>
      </c>
      <c r="I4896" s="149" t="s">
        <v>7234</v>
      </c>
      <c r="J4896" s="150" t="b">
        <f>Proc[[#This Row],[Requested]]=Proc[[#This Row],[CurrentParent]]</f>
        <v>1</v>
      </c>
      <c r="K4896" s="150" t="str">
        <f>IF(Proc[[#This Row],[Author]]="Marcela Urrego",VLOOKUP(LEFT(Proc[[#This Row],[Requested]],1),Table3[#All],2,0),VLOOKUP(Proc[[#This Row],[Author]],Table4[],2,0))</f>
        <v>EL</v>
      </c>
      <c r="L4896" s="150" t="s">
        <v>6435</v>
      </c>
      <c r="M4896" s="173">
        <v>45989</v>
      </c>
      <c r="N4896" s="174"/>
      <c r="O4896" s="174"/>
      <c r="P4896" s="174" t="str">
        <f ca="1">IF(Proc[[#This Row],[DaysAgeing]]&gt;5,"yep","on track")</f>
        <v>yep</v>
      </c>
      <c r="Q4896" s="3">
        <f ca="1">IF(Proc[[#This Row],[DateClosed]]="",ABS(NETWORKDAYS(Proc[[#This Row],[DateOpened]],TODAY()))-1,ABS(NETWORKDAYS(Proc[[#This Row],[DateOpened]],Proc[[#This Row],[DateClosed]]))-1)</f>
        <v>15</v>
      </c>
      <c r="R4896" s="174" t="s">
        <v>5709</v>
      </c>
      <c r="S4896" s="150"/>
    </row>
    <row r="4897" spans="1:19" hidden="1">
      <c r="A4897" s="149" t="s">
        <v>7039</v>
      </c>
      <c r="B4897" s="150" t="str">
        <f>IFERROR(VLOOKUP(Proc[[#This Row],[App]],Table2[],3,0),"open")</f>
        <v>ok</v>
      </c>
      <c r="C4897" s="149" t="s">
        <v>369</v>
      </c>
      <c r="D4897" t="s">
        <v>7106</v>
      </c>
      <c r="E4897" s="149" t="s">
        <v>7234</v>
      </c>
      <c r="F4897" s="150" t="s">
        <v>7234</v>
      </c>
      <c r="G4897" s="149" t="s">
        <v>406</v>
      </c>
      <c r="H4897" s="150" t="str">
        <f>IF(Proc[[#This Row],[type]]="LFF (MDG-F)",MID(Proc[[#This Row],[Obj]],13,10),"")</f>
        <v>JP02TQ1010</v>
      </c>
      <c r="I4897" s="149" t="s">
        <v>7234</v>
      </c>
      <c r="J4897" s="150" t="b">
        <f>Proc[[#This Row],[Requested]]=Proc[[#This Row],[CurrentParent]]</f>
        <v>1</v>
      </c>
      <c r="K4897" s="150" t="str">
        <f>IF(Proc[[#This Row],[Author]]="Marcela Urrego",VLOOKUP(LEFT(Proc[[#This Row],[Requested]],1),Table3[#All],2,0),VLOOKUP(Proc[[#This Row],[Author]],Table4[],2,0))</f>
        <v>EL</v>
      </c>
      <c r="L4897" s="150" t="s">
        <v>6435</v>
      </c>
      <c r="M4897" s="173">
        <v>45989</v>
      </c>
      <c r="N4897" s="174"/>
      <c r="O4897" s="174"/>
      <c r="P4897" s="174" t="str">
        <f ca="1">IF(Proc[[#This Row],[DaysAgeing]]&gt;5,"yep","on track")</f>
        <v>yep</v>
      </c>
      <c r="Q4897" s="3">
        <f ca="1">IF(Proc[[#This Row],[DateClosed]]="",ABS(NETWORKDAYS(Proc[[#This Row],[DateOpened]],TODAY()))-1,ABS(NETWORKDAYS(Proc[[#This Row],[DateOpened]],Proc[[#This Row],[DateClosed]]))-1)</f>
        <v>15</v>
      </c>
      <c r="R4897" s="174" t="s">
        <v>5709</v>
      </c>
      <c r="S4897" s="150"/>
    </row>
    <row r="4898" spans="1:19" hidden="1">
      <c r="A4898" s="149" t="s">
        <v>7039</v>
      </c>
      <c r="B4898" s="150" t="str">
        <f>IFERROR(VLOOKUP(Proc[[#This Row],[App]],Table2[],3,0),"open")</f>
        <v>ok</v>
      </c>
      <c r="C4898" s="149" t="s">
        <v>369</v>
      </c>
      <c r="D4898" t="s">
        <v>7107</v>
      </c>
      <c r="E4898" s="149" t="s">
        <v>7234</v>
      </c>
      <c r="F4898" s="150" t="s">
        <v>7234</v>
      </c>
      <c r="G4898" s="149" t="s">
        <v>406</v>
      </c>
      <c r="H4898" s="150" t="str">
        <f>IF(Proc[[#This Row],[type]]="LFF (MDG-F)",MID(Proc[[#This Row],[Obj]],13,10),"")</f>
        <v>JP02TQ1011</v>
      </c>
      <c r="I4898" s="149" t="s">
        <v>7234</v>
      </c>
      <c r="J4898" s="150" t="b">
        <f>Proc[[#This Row],[Requested]]=Proc[[#This Row],[CurrentParent]]</f>
        <v>1</v>
      </c>
      <c r="K4898" s="150" t="str">
        <f>IF(Proc[[#This Row],[Author]]="Marcela Urrego",VLOOKUP(LEFT(Proc[[#This Row],[Requested]],1),Table3[#All],2,0),VLOOKUP(Proc[[#This Row],[Author]],Table4[],2,0))</f>
        <v>EL</v>
      </c>
      <c r="L4898" s="150" t="s">
        <v>6435</v>
      </c>
      <c r="M4898" s="173">
        <v>45989</v>
      </c>
      <c r="N4898" s="174"/>
      <c r="O4898" s="174"/>
      <c r="P4898" s="174" t="str">
        <f ca="1">IF(Proc[[#This Row],[DaysAgeing]]&gt;5,"yep","on track")</f>
        <v>yep</v>
      </c>
      <c r="Q4898" s="3">
        <f ca="1">IF(Proc[[#This Row],[DateClosed]]="",ABS(NETWORKDAYS(Proc[[#This Row],[DateOpened]],TODAY()))-1,ABS(NETWORKDAYS(Proc[[#This Row],[DateOpened]],Proc[[#This Row],[DateClosed]]))-1)</f>
        <v>15</v>
      </c>
      <c r="R4898" s="174" t="s">
        <v>5709</v>
      </c>
      <c r="S4898" s="150"/>
    </row>
    <row r="4899" spans="1:19" hidden="1">
      <c r="A4899" s="149" t="s">
        <v>7039</v>
      </c>
      <c r="B4899" s="150" t="str">
        <f>IFERROR(VLOOKUP(Proc[[#This Row],[App]],Table2[],3,0),"open")</f>
        <v>ok</v>
      </c>
      <c r="C4899" s="149" t="s">
        <v>369</v>
      </c>
      <c r="D4899" t="s">
        <v>7108</v>
      </c>
      <c r="E4899" s="149" t="s">
        <v>7234</v>
      </c>
      <c r="F4899" s="150" t="s">
        <v>7234</v>
      </c>
      <c r="G4899" s="149" t="s">
        <v>406</v>
      </c>
      <c r="H4899" s="150" t="str">
        <f>IF(Proc[[#This Row],[type]]="LFF (MDG-F)",MID(Proc[[#This Row],[Obj]],13,10),"")</f>
        <v>JP02TQ1012</v>
      </c>
      <c r="I4899" s="149" t="s">
        <v>7234</v>
      </c>
      <c r="J4899" s="150" t="b">
        <f>Proc[[#This Row],[Requested]]=Proc[[#This Row],[CurrentParent]]</f>
        <v>1</v>
      </c>
      <c r="K4899" s="150" t="str">
        <f>IF(Proc[[#This Row],[Author]]="Marcela Urrego",VLOOKUP(LEFT(Proc[[#This Row],[Requested]],1),Table3[#All],2,0),VLOOKUP(Proc[[#This Row],[Author]],Table4[],2,0))</f>
        <v>EL</v>
      </c>
      <c r="L4899" s="150" t="s">
        <v>6435</v>
      </c>
      <c r="M4899" s="173">
        <v>45989</v>
      </c>
      <c r="N4899" s="174"/>
      <c r="O4899" s="174"/>
      <c r="P4899" s="174" t="str">
        <f ca="1">IF(Proc[[#This Row],[DaysAgeing]]&gt;5,"yep","on track")</f>
        <v>yep</v>
      </c>
      <c r="Q4899" s="3">
        <f ca="1">IF(Proc[[#This Row],[DateClosed]]="",ABS(NETWORKDAYS(Proc[[#This Row],[DateOpened]],TODAY()))-1,ABS(NETWORKDAYS(Proc[[#This Row],[DateOpened]],Proc[[#This Row],[DateClosed]]))-1)</f>
        <v>15</v>
      </c>
      <c r="R4899" s="174" t="s">
        <v>5709</v>
      </c>
      <c r="S4899" s="150"/>
    </row>
    <row r="4900" spans="1:19" hidden="1">
      <c r="A4900" s="149" t="s">
        <v>7039</v>
      </c>
      <c r="B4900" s="150" t="str">
        <f>IFERROR(VLOOKUP(Proc[[#This Row],[App]],Table2[],3,0),"open")</f>
        <v>ok</v>
      </c>
      <c r="C4900" s="149" t="s">
        <v>369</v>
      </c>
      <c r="D4900" t="s">
        <v>7109</v>
      </c>
      <c r="E4900" s="149" t="s">
        <v>7234</v>
      </c>
      <c r="F4900" s="150" t="s">
        <v>7234</v>
      </c>
      <c r="G4900" s="149" t="s">
        <v>406</v>
      </c>
      <c r="H4900" s="150" t="str">
        <f>IF(Proc[[#This Row],[type]]="LFF (MDG-F)",MID(Proc[[#This Row],[Obj]],13,10),"")</f>
        <v>JP02TQ1013</v>
      </c>
      <c r="I4900" s="149" t="s">
        <v>7234</v>
      </c>
      <c r="J4900" s="150" t="b">
        <f>Proc[[#This Row],[Requested]]=Proc[[#This Row],[CurrentParent]]</f>
        <v>1</v>
      </c>
      <c r="K4900" s="150" t="str">
        <f>IF(Proc[[#This Row],[Author]]="Marcela Urrego",VLOOKUP(LEFT(Proc[[#This Row],[Requested]],1),Table3[#All],2,0),VLOOKUP(Proc[[#This Row],[Author]],Table4[],2,0))</f>
        <v>EL</v>
      </c>
      <c r="L4900" s="150" t="s">
        <v>6435</v>
      </c>
      <c r="M4900" s="173">
        <v>45989</v>
      </c>
      <c r="N4900" s="174"/>
      <c r="O4900" s="174"/>
      <c r="P4900" s="174" t="str">
        <f ca="1">IF(Proc[[#This Row],[DaysAgeing]]&gt;5,"yep","on track")</f>
        <v>yep</v>
      </c>
      <c r="Q4900" s="3">
        <f ca="1">IF(Proc[[#This Row],[DateClosed]]="",ABS(NETWORKDAYS(Proc[[#This Row],[DateOpened]],TODAY()))-1,ABS(NETWORKDAYS(Proc[[#This Row],[DateOpened]],Proc[[#This Row],[DateClosed]]))-1)</f>
        <v>15</v>
      </c>
      <c r="R4900" s="174" t="s">
        <v>5709</v>
      </c>
      <c r="S4900" s="150"/>
    </row>
    <row r="4901" spans="1:19" hidden="1">
      <c r="A4901" s="149" t="s">
        <v>7039</v>
      </c>
      <c r="B4901" s="150" t="str">
        <f>IFERROR(VLOOKUP(Proc[[#This Row],[App]],Table2[],3,0),"open")</f>
        <v>ok</v>
      </c>
      <c r="C4901" s="149" t="s">
        <v>369</v>
      </c>
      <c r="D4901" t="s">
        <v>7110</v>
      </c>
      <c r="E4901" s="149" t="s">
        <v>7234</v>
      </c>
      <c r="F4901" s="150" t="s">
        <v>7234</v>
      </c>
      <c r="G4901" s="149" t="s">
        <v>406</v>
      </c>
      <c r="H4901" s="150" t="str">
        <f>IF(Proc[[#This Row],[type]]="LFF (MDG-F)",MID(Proc[[#This Row],[Obj]],13,10),"")</f>
        <v>JP02TQ1014</v>
      </c>
      <c r="I4901" s="149" t="s">
        <v>7234</v>
      </c>
      <c r="J4901" s="150" t="b">
        <f>Proc[[#This Row],[Requested]]=Proc[[#This Row],[CurrentParent]]</f>
        <v>1</v>
      </c>
      <c r="K4901" s="150" t="str">
        <f>IF(Proc[[#This Row],[Author]]="Marcela Urrego",VLOOKUP(LEFT(Proc[[#This Row],[Requested]],1),Table3[#All],2,0),VLOOKUP(Proc[[#This Row],[Author]],Table4[],2,0))</f>
        <v>EL</v>
      </c>
      <c r="L4901" s="150" t="s">
        <v>6435</v>
      </c>
      <c r="M4901" s="173">
        <v>45989</v>
      </c>
      <c r="N4901" s="174"/>
      <c r="O4901" s="174"/>
      <c r="P4901" s="174" t="str">
        <f ca="1">IF(Proc[[#This Row],[DaysAgeing]]&gt;5,"yep","on track")</f>
        <v>yep</v>
      </c>
      <c r="Q4901" s="3">
        <f ca="1">IF(Proc[[#This Row],[DateClosed]]="",ABS(NETWORKDAYS(Proc[[#This Row],[DateOpened]],TODAY()))-1,ABS(NETWORKDAYS(Proc[[#This Row],[DateOpened]],Proc[[#This Row],[DateClosed]]))-1)</f>
        <v>15</v>
      </c>
      <c r="R4901" s="174" t="s">
        <v>5709</v>
      </c>
      <c r="S4901" s="150"/>
    </row>
    <row r="4902" spans="1:19" hidden="1">
      <c r="A4902" s="149" t="s">
        <v>7039</v>
      </c>
      <c r="B4902" s="150" t="str">
        <f>IFERROR(VLOOKUP(Proc[[#This Row],[App]],Table2[],3,0),"open")</f>
        <v>ok</v>
      </c>
      <c r="C4902" s="149" t="s">
        <v>369</v>
      </c>
      <c r="D4902" t="s">
        <v>7111</v>
      </c>
      <c r="E4902" s="149" t="s">
        <v>7234</v>
      </c>
      <c r="F4902" s="150" t="s">
        <v>7234</v>
      </c>
      <c r="G4902" s="149" t="s">
        <v>406</v>
      </c>
      <c r="H4902" s="150" t="str">
        <f>IF(Proc[[#This Row],[type]]="LFF (MDG-F)",MID(Proc[[#This Row],[Obj]],13,10),"")</f>
        <v>KR02TQ1000</v>
      </c>
      <c r="I4902" s="149" t="s">
        <v>7234</v>
      </c>
      <c r="J4902" s="150" t="b">
        <f>Proc[[#This Row],[Requested]]=Proc[[#This Row],[CurrentParent]]</f>
        <v>1</v>
      </c>
      <c r="K4902" s="150" t="str">
        <f>IF(Proc[[#This Row],[Author]]="Marcela Urrego",VLOOKUP(LEFT(Proc[[#This Row],[Requested]],1),Table3[#All],2,0),VLOOKUP(Proc[[#This Row],[Author]],Table4[],2,0))</f>
        <v>EL</v>
      </c>
      <c r="L4902" s="150" t="s">
        <v>6435</v>
      </c>
      <c r="M4902" s="173">
        <v>45989</v>
      </c>
      <c r="N4902" s="174"/>
      <c r="O4902" s="174"/>
      <c r="P4902" s="174" t="str">
        <f ca="1">IF(Proc[[#This Row],[DaysAgeing]]&gt;5,"yep","on track")</f>
        <v>yep</v>
      </c>
      <c r="Q4902" s="3">
        <f ca="1">IF(Proc[[#This Row],[DateClosed]]="",ABS(NETWORKDAYS(Proc[[#This Row],[DateOpened]],TODAY()))-1,ABS(NETWORKDAYS(Proc[[#This Row],[DateOpened]],Proc[[#This Row],[DateClosed]]))-1)</f>
        <v>15</v>
      </c>
      <c r="R4902" s="174" t="s">
        <v>5709</v>
      </c>
      <c r="S4902" s="150"/>
    </row>
    <row r="4903" spans="1:19" hidden="1">
      <c r="A4903" s="149" t="s">
        <v>7039</v>
      </c>
      <c r="B4903" s="150" t="str">
        <f>IFERROR(VLOOKUP(Proc[[#This Row],[App]],Table2[],3,0),"open")</f>
        <v>ok</v>
      </c>
      <c r="C4903" s="149" t="s">
        <v>369</v>
      </c>
      <c r="D4903" t="s">
        <v>7112</v>
      </c>
      <c r="E4903" s="149" t="s">
        <v>7234</v>
      </c>
      <c r="F4903" s="150" t="s">
        <v>7234</v>
      </c>
      <c r="G4903" s="149" t="s">
        <v>406</v>
      </c>
      <c r="H4903" s="150" t="str">
        <f>IF(Proc[[#This Row],[type]]="LFF (MDG-F)",MID(Proc[[#This Row],[Obj]],13,10),"")</f>
        <v>KR03TQ1011</v>
      </c>
      <c r="I4903" s="149" t="s">
        <v>7234</v>
      </c>
      <c r="J4903" s="150" t="b">
        <f>Proc[[#This Row],[Requested]]=Proc[[#This Row],[CurrentParent]]</f>
        <v>1</v>
      </c>
      <c r="K4903" s="150" t="str">
        <f>IF(Proc[[#This Row],[Author]]="Marcela Urrego",VLOOKUP(LEFT(Proc[[#This Row],[Requested]],1),Table3[#All],2,0),VLOOKUP(Proc[[#This Row],[Author]],Table4[],2,0))</f>
        <v>EL</v>
      </c>
      <c r="L4903" s="150" t="s">
        <v>6435</v>
      </c>
      <c r="M4903" s="173">
        <v>45989</v>
      </c>
      <c r="N4903" s="174"/>
      <c r="O4903" s="174"/>
      <c r="P4903" s="174" t="str">
        <f ca="1">IF(Proc[[#This Row],[DaysAgeing]]&gt;5,"yep","on track")</f>
        <v>yep</v>
      </c>
      <c r="Q4903" s="3">
        <f ca="1">IF(Proc[[#This Row],[DateClosed]]="",ABS(NETWORKDAYS(Proc[[#This Row],[DateOpened]],TODAY()))-1,ABS(NETWORKDAYS(Proc[[#This Row],[DateOpened]],Proc[[#This Row],[DateClosed]]))-1)</f>
        <v>15</v>
      </c>
      <c r="R4903" s="174" t="s">
        <v>5709</v>
      </c>
      <c r="S4903" s="150"/>
    </row>
    <row r="4904" spans="1:19" hidden="1">
      <c r="A4904" s="149" t="s">
        <v>7039</v>
      </c>
      <c r="B4904" s="150" t="str">
        <f>IFERROR(VLOOKUP(Proc[[#This Row],[App]],Table2[],3,0),"open")</f>
        <v>ok</v>
      </c>
      <c r="C4904" s="149" t="s">
        <v>369</v>
      </c>
      <c r="D4904" t="s">
        <v>7113</v>
      </c>
      <c r="E4904" s="149" t="s">
        <v>7234</v>
      </c>
      <c r="F4904" s="150" t="s">
        <v>7234</v>
      </c>
      <c r="G4904" s="149" t="s">
        <v>406</v>
      </c>
      <c r="H4904" s="150" t="str">
        <f>IF(Proc[[#This Row],[type]]="LFF (MDG-F)",MID(Proc[[#This Row],[Obj]],13,10),"")</f>
        <v>KR03TQ1012</v>
      </c>
      <c r="I4904" s="149" t="s">
        <v>7234</v>
      </c>
      <c r="J4904" s="150" t="b">
        <f>Proc[[#This Row],[Requested]]=Proc[[#This Row],[CurrentParent]]</f>
        <v>1</v>
      </c>
      <c r="K4904" s="150" t="str">
        <f>IF(Proc[[#This Row],[Author]]="Marcela Urrego",VLOOKUP(LEFT(Proc[[#This Row],[Requested]],1),Table3[#All],2,0),VLOOKUP(Proc[[#This Row],[Author]],Table4[],2,0))</f>
        <v>EL</v>
      </c>
      <c r="L4904" s="150" t="s">
        <v>6435</v>
      </c>
      <c r="M4904" s="173">
        <v>45989</v>
      </c>
      <c r="N4904" s="174"/>
      <c r="O4904" s="174"/>
      <c r="P4904" s="174" t="str">
        <f ca="1">IF(Proc[[#This Row],[DaysAgeing]]&gt;5,"yep","on track")</f>
        <v>yep</v>
      </c>
      <c r="Q4904" s="3">
        <f ca="1">IF(Proc[[#This Row],[DateClosed]]="",ABS(NETWORKDAYS(Proc[[#This Row],[DateOpened]],TODAY()))-1,ABS(NETWORKDAYS(Proc[[#This Row],[DateOpened]],Proc[[#This Row],[DateClosed]]))-1)</f>
        <v>15</v>
      </c>
      <c r="R4904" s="174" t="s">
        <v>5709</v>
      </c>
      <c r="S4904" s="150"/>
    </row>
    <row r="4905" spans="1:19" hidden="1">
      <c r="A4905" s="149" t="s">
        <v>7039</v>
      </c>
      <c r="B4905" s="150" t="str">
        <f>IFERROR(VLOOKUP(Proc[[#This Row],[App]],Table2[],3,0),"open")</f>
        <v>ok</v>
      </c>
      <c r="C4905" s="149" t="s">
        <v>369</v>
      </c>
      <c r="D4905" t="s">
        <v>7114</v>
      </c>
      <c r="E4905" s="149" t="s">
        <v>7234</v>
      </c>
      <c r="F4905" s="150" t="s">
        <v>7234</v>
      </c>
      <c r="G4905" s="149" t="s">
        <v>406</v>
      </c>
      <c r="H4905" s="150" t="str">
        <f>IF(Proc[[#This Row],[type]]="LFF (MDG-F)",MID(Proc[[#This Row],[Obj]],13,10),"")</f>
        <v>KR07TQ1001</v>
      </c>
      <c r="I4905" s="149" t="s">
        <v>7234</v>
      </c>
      <c r="J4905" s="150" t="b">
        <f>Proc[[#This Row],[Requested]]=Proc[[#This Row],[CurrentParent]]</f>
        <v>1</v>
      </c>
      <c r="K4905" s="150" t="str">
        <f>IF(Proc[[#This Row],[Author]]="Marcela Urrego",VLOOKUP(LEFT(Proc[[#This Row],[Requested]],1),Table3[#All],2,0),VLOOKUP(Proc[[#This Row],[Author]],Table4[],2,0))</f>
        <v>EL</v>
      </c>
      <c r="L4905" s="150" t="s">
        <v>6435</v>
      </c>
      <c r="M4905" s="173">
        <v>45989</v>
      </c>
      <c r="N4905" s="174"/>
      <c r="O4905" s="174"/>
      <c r="P4905" s="174" t="str">
        <f ca="1">IF(Proc[[#This Row],[DaysAgeing]]&gt;5,"yep","on track")</f>
        <v>yep</v>
      </c>
      <c r="Q4905" s="3">
        <f ca="1">IF(Proc[[#This Row],[DateClosed]]="",ABS(NETWORKDAYS(Proc[[#This Row],[DateOpened]],TODAY()))-1,ABS(NETWORKDAYS(Proc[[#This Row],[DateOpened]],Proc[[#This Row],[DateClosed]]))-1)</f>
        <v>15</v>
      </c>
      <c r="R4905" s="174" t="s">
        <v>5709</v>
      </c>
      <c r="S4905" s="150"/>
    </row>
    <row r="4906" spans="1:19" hidden="1">
      <c r="A4906" s="149" t="s">
        <v>7039</v>
      </c>
      <c r="B4906" s="150" t="str">
        <f>IFERROR(VLOOKUP(Proc[[#This Row],[App]],Table2[],3,0),"open")</f>
        <v>ok</v>
      </c>
      <c r="C4906" s="149" t="s">
        <v>369</v>
      </c>
      <c r="D4906" t="s">
        <v>7115</v>
      </c>
      <c r="E4906" s="149" t="s">
        <v>7234</v>
      </c>
      <c r="F4906" s="150" t="s">
        <v>7234</v>
      </c>
      <c r="G4906" s="149" t="s">
        <v>406</v>
      </c>
      <c r="H4906" s="150" t="str">
        <f>IF(Proc[[#This Row],[type]]="LFF (MDG-F)",MID(Proc[[#This Row],[Obj]],13,10),"")</f>
        <v>KR07TQ1002</v>
      </c>
      <c r="I4906" s="149" t="s">
        <v>7234</v>
      </c>
      <c r="J4906" s="150" t="b">
        <f>Proc[[#This Row],[Requested]]=Proc[[#This Row],[CurrentParent]]</f>
        <v>1</v>
      </c>
      <c r="K4906" s="150" t="str">
        <f>IF(Proc[[#This Row],[Author]]="Marcela Urrego",VLOOKUP(LEFT(Proc[[#This Row],[Requested]],1),Table3[#All],2,0),VLOOKUP(Proc[[#This Row],[Author]],Table4[],2,0))</f>
        <v>EL</v>
      </c>
      <c r="L4906" s="150" t="s">
        <v>6435</v>
      </c>
      <c r="M4906" s="173">
        <v>45989</v>
      </c>
      <c r="N4906" s="174"/>
      <c r="O4906" s="174"/>
      <c r="P4906" s="174" t="str">
        <f ca="1">IF(Proc[[#This Row],[DaysAgeing]]&gt;5,"yep","on track")</f>
        <v>yep</v>
      </c>
      <c r="Q4906" s="3">
        <f ca="1">IF(Proc[[#This Row],[DateClosed]]="",ABS(NETWORKDAYS(Proc[[#This Row],[DateOpened]],TODAY()))-1,ABS(NETWORKDAYS(Proc[[#This Row],[DateOpened]],Proc[[#This Row],[DateClosed]]))-1)</f>
        <v>15</v>
      </c>
      <c r="R4906" s="174" t="s">
        <v>5709</v>
      </c>
      <c r="S4906" s="150"/>
    </row>
    <row r="4907" spans="1:19" hidden="1">
      <c r="A4907" s="149" t="s">
        <v>7039</v>
      </c>
      <c r="B4907" s="150" t="str">
        <f>IFERROR(VLOOKUP(Proc[[#This Row],[App]],Table2[],3,0),"open")</f>
        <v>ok</v>
      </c>
      <c r="C4907" s="149" t="s">
        <v>369</v>
      </c>
      <c r="D4907" t="s">
        <v>7116</v>
      </c>
      <c r="E4907" s="149" t="s">
        <v>7234</v>
      </c>
      <c r="F4907" s="150" t="s">
        <v>7234</v>
      </c>
      <c r="G4907" s="149" t="s">
        <v>406</v>
      </c>
      <c r="H4907" s="150" t="str">
        <f>IF(Proc[[#This Row],[type]]="LFF (MDG-F)",MID(Proc[[#This Row],[Obj]],13,10),"")</f>
        <v>KR07TQ1003</v>
      </c>
      <c r="I4907" s="149" t="s">
        <v>7234</v>
      </c>
      <c r="J4907" s="150" t="b">
        <f>Proc[[#This Row],[Requested]]=Proc[[#This Row],[CurrentParent]]</f>
        <v>1</v>
      </c>
      <c r="K4907" s="150" t="str">
        <f>IF(Proc[[#This Row],[Author]]="Marcela Urrego",VLOOKUP(LEFT(Proc[[#This Row],[Requested]],1),Table3[#All],2,0),VLOOKUP(Proc[[#This Row],[Author]],Table4[],2,0))</f>
        <v>EL</v>
      </c>
      <c r="L4907" s="150" t="s">
        <v>6435</v>
      </c>
      <c r="M4907" s="173">
        <v>45989</v>
      </c>
      <c r="N4907" s="174"/>
      <c r="O4907" s="174"/>
      <c r="P4907" s="174" t="str">
        <f ca="1">IF(Proc[[#This Row],[DaysAgeing]]&gt;5,"yep","on track")</f>
        <v>yep</v>
      </c>
      <c r="Q4907" s="3">
        <f ca="1">IF(Proc[[#This Row],[DateClosed]]="",ABS(NETWORKDAYS(Proc[[#This Row],[DateOpened]],TODAY()))-1,ABS(NETWORKDAYS(Proc[[#This Row],[DateOpened]],Proc[[#This Row],[DateClosed]]))-1)</f>
        <v>15</v>
      </c>
      <c r="R4907" s="174" t="s">
        <v>5709</v>
      </c>
      <c r="S4907" s="150"/>
    </row>
    <row r="4908" spans="1:19" hidden="1">
      <c r="A4908" s="149" t="s">
        <v>7039</v>
      </c>
      <c r="B4908" s="150" t="str">
        <f>IFERROR(VLOOKUP(Proc[[#This Row],[App]],Table2[],3,0),"open")</f>
        <v>ok</v>
      </c>
      <c r="C4908" s="149" t="s">
        <v>369</v>
      </c>
      <c r="D4908" t="s">
        <v>7117</v>
      </c>
      <c r="E4908" s="149" t="s">
        <v>7234</v>
      </c>
      <c r="F4908" s="150" t="s">
        <v>7234</v>
      </c>
      <c r="G4908" s="149" t="s">
        <v>406</v>
      </c>
      <c r="H4908" s="150" t="str">
        <f>IF(Proc[[#This Row],[type]]="LFF (MDG-F)",MID(Proc[[#This Row],[Obj]],13,10),"")</f>
        <v>KR07TQ1004</v>
      </c>
      <c r="I4908" s="149" t="s">
        <v>7234</v>
      </c>
      <c r="J4908" s="150" t="b">
        <f>Proc[[#This Row],[Requested]]=Proc[[#This Row],[CurrentParent]]</f>
        <v>1</v>
      </c>
      <c r="K4908" s="150" t="str">
        <f>IF(Proc[[#This Row],[Author]]="Marcela Urrego",VLOOKUP(LEFT(Proc[[#This Row],[Requested]],1),Table3[#All],2,0),VLOOKUP(Proc[[#This Row],[Author]],Table4[],2,0))</f>
        <v>EL</v>
      </c>
      <c r="L4908" s="150" t="s">
        <v>6435</v>
      </c>
      <c r="M4908" s="173">
        <v>45989</v>
      </c>
      <c r="N4908" s="174"/>
      <c r="O4908" s="174"/>
      <c r="P4908" s="174" t="str">
        <f ca="1">IF(Proc[[#This Row],[DaysAgeing]]&gt;5,"yep","on track")</f>
        <v>yep</v>
      </c>
      <c r="Q4908" s="3">
        <f ca="1">IF(Proc[[#This Row],[DateClosed]]="",ABS(NETWORKDAYS(Proc[[#This Row],[DateOpened]],TODAY()))-1,ABS(NETWORKDAYS(Proc[[#This Row],[DateOpened]],Proc[[#This Row],[DateClosed]]))-1)</f>
        <v>15</v>
      </c>
      <c r="R4908" s="174" t="s">
        <v>5709</v>
      </c>
      <c r="S4908" s="150"/>
    </row>
    <row r="4909" spans="1:19" hidden="1">
      <c r="A4909" s="149" t="s">
        <v>7039</v>
      </c>
      <c r="B4909" s="150" t="str">
        <f>IFERROR(VLOOKUP(Proc[[#This Row],[App]],Table2[],3,0),"open")</f>
        <v>ok</v>
      </c>
      <c r="C4909" s="149" t="s">
        <v>369</v>
      </c>
      <c r="D4909" t="s">
        <v>7118</v>
      </c>
      <c r="E4909" s="149" t="s">
        <v>7234</v>
      </c>
      <c r="F4909" s="150" t="s">
        <v>7234</v>
      </c>
      <c r="G4909" s="149" t="s">
        <v>406</v>
      </c>
      <c r="H4909" s="150" t="str">
        <f>IF(Proc[[#This Row],[type]]="LFF (MDG-F)",MID(Proc[[#This Row],[Obj]],13,10),"")</f>
        <v>KR07TQ1005</v>
      </c>
      <c r="I4909" s="149" t="s">
        <v>7234</v>
      </c>
      <c r="J4909" s="150" t="b">
        <f>Proc[[#This Row],[Requested]]=Proc[[#This Row],[CurrentParent]]</f>
        <v>1</v>
      </c>
      <c r="K4909" s="150" t="str">
        <f>IF(Proc[[#This Row],[Author]]="Marcela Urrego",VLOOKUP(LEFT(Proc[[#This Row],[Requested]],1),Table3[#All],2,0),VLOOKUP(Proc[[#This Row],[Author]],Table4[],2,0))</f>
        <v>EL</v>
      </c>
      <c r="L4909" s="150" t="s">
        <v>6435</v>
      </c>
      <c r="M4909" s="173">
        <v>45989</v>
      </c>
      <c r="N4909" s="174"/>
      <c r="O4909" s="174"/>
      <c r="P4909" s="174" t="str">
        <f ca="1">IF(Proc[[#This Row],[DaysAgeing]]&gt;5,"yep","on track")</f>
        <v>yep</v>
      </c>
      <c r="Q4909" s="3">
        <f ca="1">IF(Proc[[#This Row],[DateClosed]]="",ABS(NETWORKDAYS(Proc[[#This Row],[DateOpened]],TODAY()))-1,ABS(NETWORKDAYS(Proc[[#This Row],[DateOpened]],Proc[[#This Row],[DateClosed]]))-1)</f>
        <v>15</v>
      </c>
      <c r="R4909" s="174" t="s">
        <v>5709</v>
      </c>
      <c r="S4909" s="150"/>
    </row>
    <row r="4910" spans="1:19" hidden="1">
      <c r="A4910" s="149" t="s">
        <v>7039</v>
      </c>
      <c r="B4910" s="150" t="str">
        <f>IFERROR(VLOOKUP(Proc[[#This Row],[App]],Table2[],3,0),"open")</f>
        <v>ok</v>
      </c>
      <c r="C4910" s="149" t="s">
        <v>369</v>
      </c>
      <c r="D4910" t="s">
        <v>7119</v>
      </c>
      <c r="E4910" s="149" t="s">
        <v>7234</v>
      </c>
      <c r="F4910" s="150" t="s">
        <v>7234</v>
      </c>
      <c r="G4910" s="149" t="s">
        <v>406</v>
      </c>
      <c r="H4910" s="150" t="str">
        <f>IF(Proc[[#This Row],[type]]="LFF (MDG-F)",MID(Proc[[#This Row],[Obj]],13,10),"")</f>
        <v>KR07TQ1006</v>
      </c>
      <c r="I4910" s="149" t="s">
        <v>7234</v>
      </c>
      <c r="J4910" s="150" t="b">
        <f>Proc[[#This Row],[Requested]]=Proc[[#This Row],[CurrentParent]]</f>
        <v>1</v>
      </c>
      <c r="K4910" s="150" t="str">
        <f>IF(Proc[[#This Row],[Author]]="Marcela Urrego",VLOOKUP(LEFT(Proc[[#This Row],[Requested]],1),Table3[#All],2,0),VLOOKUP(Proc[[#This Row],[Author]],Table4[],2,0))</f>
        <v>EL</v>
      </c>
      <c r="L4910" s="150" t="s">
        <v>6435</v>
      </c>
      <c r="M4910" s="173">
        <v>45989</v>
      </c>
      <c r="N4910" s="174"/>
      <c r="O4910" s="174"/>
      <c r="P4910" s="174" t="str">
        <f ca="1">IF(Proc[[#This Row],[DaysAgeing]]&gt;5,"yep","on track")</f>
        <v>yep</v>
      </c>
      <c r="Q4910" s="3">
        <f ca="1">IF(Proc[[#This Row],[DateClosed]]="",ABS(NETWORKDAYS(Proc[[#This Row],[DateOpened]],TODAY()))-1,ABS(NETWORKDAYS(Proc[[#This Row],[DateOpened]],Proc[[#This Row],[DateClosed]]))-1)</f>
        <v>15</v>
      </c>
      <c r="R4910" s="174" t="s">
        <v>5709</v>
      </c>
      <c r="S4910" s="150"/>
    </row>
    <row r="4911" spans="1:19" hidden="1">
      <c r="A4911" s="149" t="s">
        <v>7039</v>
      </c>
      <c r="B4911" s="150" t="str">
        <f>IFERROR(VLOOKUP(Proc[[#This Row],[App]],Table2[],3,0),"open")</f>
        <v>ok</v>
      </c>
      <c r="C4911" s="149" t="s">
        <v>369</v>
      </c>
      <c r="D4911" t="s">
        <v>7120</v>
      </c>
      <c r="E4911" s="149" t="s">
        <v>7234</v>
      </c>
      <c r="F4911" s="150" t="s">
        <v>7234</v>
      </c>
      <c r="G4911" s="149" t="s">
        <v>406</v>
      </c>
      <c r="H4911" s="150" t="str">
        <f>IF(Proc[[#This Row],[type]]="LFF (MDG-F)",MID(Proc[[#This Row],[Obj]],13,10),"")</f>
        <v>KR11TQ1001</v>
      </c>
      <c r="I4911" s="149" t="s">
        <v>7234</v>
      </c>
      <c r="J4911" s="150" t="b">
        <f>Proc[[#This Row],[Requested]]=Proc[[#This Row],[CurrentParent]]</f>
        <v>1</v>
      </c>
      <c r="K4911" s="150" t="str">
        <f>IF(Proc[[#This Row],[Author]]="Marcela Urrego",VLOOKUP(LEFT(Proc[[#This Row],[Requested]],1),Table3[#All],2,0),VLOOKUP(Proc[[#This Row],[Author]],Table4[],2,0))</f>
        <v>EL</v>
      </c>
      <c r="L4911" s="150" t="s">
        <v>6435</v>
      </c>
      <c r="M4911" s="173">
        <v>45989</v>
      </c>
      <c r="N4911" s="174"/>
      <c r="O4911" s="174"/>
      <c r="P4911" s="174" t="str">
        <f ca="1">IF(Proc[[#This Row],[DaysAgeing]]&gt;5,"yep","on track")</f>
        <v>yep</v>
      </c>
      <c r="Q4911" s="3">
        <f ca="1">IF(Proc[[#This Row],[DateClosed]]="",ABS(NETWORKDAYS(Proc[[#This Row],[DateOpened]],TODAY()))-1,ABS(NETWORKDAYS(Proc[[#This Row],[DateOpened]],Proc[[#This Row],[DateClosed]]))-1)</f>
        <v>15</v>
      </c>
      <c r="R4911" s="174" t="s">
        <v>5709</v>
      </c>
      <c r="S4911" s="150"/>
    </row>
    <row r="4912" spans="1:19" hidden="1">
      <c r="A4912" s="149" t="s">
        <v>7039</v>
      </c>
      <c r="B4912" s="150" t="str">
        <f>IFERROR(VLOOKUP(Proc[[#This Row],[App]],Table2[],3,0),"open")</f>
        <v>ok</v>
      </c>
      <c r="C4912" s="149" t="s">
        <v>369</v>
      </c>
      <c r="D4912" t="s">
        <v>7121</v>
      </c>
      <c r="E4912" s="149" t="s">
        <v>7234</v>
      </c>
      <c r="F4912" s="150" t="s">
        <v>7234</v>
      </c>
      <c r="G4912" s="149" t="s">
        <v>406</v>
      </c>
      <c r="H4912" s="150" t="str">
        <f>IF(Proc[[#This Row],[type]]="LFF (MDG-F)",MID(Proc[[#This Row],[Obj]],13,10),"")</f>
        <v>KR11TQ1002</v>
      </c>
      <c r="I4912" s="149" t="s">
        <v>7234</v>
      </c>
      <c r="J4912" s="150" t="b">
        <f>Proc[[#This Row],[Requested]]=Proc[[#This Row],[CurrentParent]]</f>
        <v>1</v>
      </c>
      <c r="K4912" s="150" t="str">
        <f>IF(Proc[[#This Row],[Author]]="Marcela Urrego",VLOOKUP(LEFT(Proc[[#This Row],[Requested]],1),Table3[#All],2,0),VLOOKUP(Proc[[#This Row],[Author]],Table4[],2,0))</f>
        <v>EL</v>
      </c>
      <c r="L4912" s="150" t="s">
        <v>6435</v>
      </c>
      <c r="M4912" s="173">
        <v>45989</v>
      </c>
      <c r="N4912" s="174"/>
      <c r="O4912" s="174"/>
      <c r="P4912" s="174" t="str">
        <f ca="1">IF(Proc[[#This Row],[DaysAgeing]]&gt;5,"yep","on track")</f>
        <v>yep</v>
      </c>
      <c r="Q4912" s="3">
        <f ca="1">IF(Proc[[#This Row],[DateClosed]]="",ABS(NETWORKDAYS(Proc[[#This Row],[DateOpened]],TODAY()))-1,ABS(NETWORKDAYS(Proc[[#This Row],[DateOpened]],Proc[[#This Row],[DateClosed]]))-1)</f>
        <v>15</v>
      </c>
      <c r="R4912" s="174" t="s">
        <v>5709</v>
      </c>
      <c r="S4912" s="150"/>
    </row>
    <row r="4913" spans="1:19" hidden="1">
      <c r="A4913" s="149" t="s">
        <v>7039</v>
      </c>
      <c r="B4913" s="150" t="str">
        <f>IFERROR(VLOOKUP(Proc[[#This Row],[App]],Table2[],3,0),"open")</f>
        <v>ok</v>
      </c>
      <c r="C4913" s="149" t="s">
        <v>369</v>
      </c>
      <c r="D4913" t="s">
        <v>7122</v>
      </c>
      <c r="E4913" s="149" t="s">
        <v>7234</v>
      </c>
      <c r="F4913" s="150" t="s">
        <v>7234</v>
      </c>
      <c r="G4913" s="149" t="s">
        <v>406</v>
      </c>
      <c r="H4913" s="150" t="str">
        <f>IF(Proc[[#This Row],[type]]="LFF (MDG-F)",MID(Proc[[#This Row],[Obj]],13,10),"")</f>
        <v>KR11TQ1003</v>
      </c>
      <c r="I4913" s="149" t="s">
        <v>7234</v>
      </c>
      <c r="J4913" s="150" t="b">
        <f>Proc[[#This Row],[Requested]]=Proc[[#This Row],[CurrentParent]]</f>
        <v>1</v>
      </c>
      <c r="K4913" s="150" t="str">
        <f>IF(Proc[[#This Row],[Author]]="Marcela Urrego",VLOOKUP(LEFT(Proc[[#This Row],[Requested]],1),Table3[#All],2,0),VLOOKUP(Proc[[#This Row],[Author]],Table4[],2,0))</f>
        <v>EL</v>
      </c>
      <c r="L4913" s="150" t="s">
        <v>6435</v>
      </c>
      <c r="M4913" s="173">
        <v>45989</v>
      </c>
      <c r="N4913" s="174"/>
      <c r="O4913" s="174"/>
      <c r="P4913" s="174" t="str">
        <f ca="1">IF(Proc[[#This Row],[DaysAgeing]]&gt;5,"yep","on track")</f>
        <v>yep</v>
      </c>
      <c r="Q4913" s="3">
        <f ca="1">IF(Proc[[#This Row],[DateClosed]]="",ABS(NETWORKDAYS(Proc[[#This Row],[DateOpened]],TODAY()))-1,ABS(NETWORKDAYS(Proc[[#This Row],[DateOpened]],Proc[[#This Row],[DateClosed]]))-1)</f>
        <v>15</v>
      </c>
      <c r="R4913" s="174" t="s">
        <v>5709</v>
      </c>
      <c r="S4913" s="150"/>
    </row>
    <row r="4914" spans="1:19" hidden="1">
      <c r="A4914" s="149" t="s">
        <v>7039</v>
      </c>
      <c r="B4914" s="150" t="str">
        <f>IFERROR(VLOOKUP(Proc[[#This Row],[App]],Table2[],3,0),"open")</f>
        <v>ok</v>
      </c>
      <c r="C4914" s="149" t="s">
        <v>369</v>
      </c>
      <c r="D4914" t="s">
        <v>7123</v>
      </c>
      <c r="E4914" s="149" t="s">
        <v>7234</v>
      </c>
      <c r="F4914" s="150" t="s">
        <v>7234</v>
      </c>
      <c r="G4914" s="149" t="s">
        <v>406</v>
      </c>
      <c r="H4914" s="150" t="str">
        <f>IF(Proc[[#This Row],[type]]="LFF (MDG-F)",MID(Proc[[#This Row],[Obj]],13,10),"")</f>
        <v>KR11TQ1004</v>
      </c>
      <c r="I4914" s="149" t="s">
        <v>7234</v>
      </c>
      <c r="J4914" s="150" t="b">
        <f>Proc[[#This Row],[Requested]]=Proc[[#This Row],[CurrentParent]]</f>
        <v>1</v>
      </c>
      <c r="K4914" s="150" t="str">
        <f>IF(Proc[[#This Row],[Author]]="Marcela Urrego",VLOOKUP(LEFT(Proc[[#This Row],[Requested]],1),Table3[#All],2,0),VLOOKUP(Proc[[#This Row],[Author]],Table4[],2,0))</f>
        <v>EL</v>
      </c>
      <c r="L4914" s="150" t="s">
        <v>6435</v>
      </c>
      <c r="M4914" s="173">
        <v>45989</v>
      </c>
      <c r="N4914" s="174"/>
      <c r="O4914" s="174"/>
      <c r="P4914" s="174" t="str">
        <f ca="1">IF(Proc[[#This Row],[DaysAgeing]]&gt;5,"yep","on track")</f>
        <v>yep</v>
      </c>
      <c r="Q4914" s="3">
        <f ca="1">IF(Proc[[#This Row],[DateClosed]]="",ABS(NETWORKDAYS(Proc[[#This Row],[DateOpened]],TODAY()))-1,ABS(NETWORKDAYS(Proc[[#This Row],[DateOpened]],Proc[[#This Row],[DateClosed]]))-1)</f>
        <v>15</v>
      </c>
      <c r="R4914" s="174" t="s">
        <v>5709</v>
      </c>
      <c r="S4914" s="150"/>
    </row>
    <row r="4915" spans="1:19" hidden="1">
      <c r="A4915" s="149" t="s">
        <v>7039</v>
      </c>
      <c r="B4915" s="150" t="str">
        <f>IFERROR(VLOOKUP(Proc[[#This Row],[App]],Table2[],3,0),"open")</f>
        <v>ok</v>
      </c>
      <c r="C4915" s="149" t="s">
        <v>369</v>
      </c>
      <c r="D4915" t="s">
        <v>7124</v>
      </c>
      <c r="E4915" s="149" t="s">
        <v>7234</v>
      </c>
      <c r="F4915" s="150" t="s">
        <v>7234</v>
      </c>
      <c r="G4915" s="149" t="s">
        <v>406</v>
      </c>
      <c r="H4915" s="150" t="str">
        <f>IF(Proc[[#This Row],[type]]="LFF (MDG-F)",MID(Proc[[#This Row],[Obj]],13,10),"")</f>
        <v>KR15TQ1001</v>
      </c>
      <c r="I4915" s="149" t="s">
        <v>7234</v>
      </c>
      <c r="J4915" s="150" t="b">
        <f>Proc[[#This Row],[Requested]]=Proc[[#This Row],[CurrentParent]]</f>
        <v>1</v>
      </c>
      <c r="K4915" s="150" t="str">
        <f>IF(Proc[[#This Row],[Author]]="Marcela Urrego",VLOOKUP(LEFT(Proc[[#This Row],[Requested]],1),Table3[#All],2,0),VLOOKUP(Proc[[#This Row],[Author]],Table4[],2,0))</f>
        <v>EL</v>
      </c>
      <c r="L4915" s="150" t="s">
        <v>6435</v>
      </c>
      <c r="M4915" s="173">
        <v>45989</v>
      </c>
      <c r="N4915" s="174"/>
      <c r="O4915" s="174"/>
      <c r="P4915" s="174" t="str">
        <f ca="1">IF(Proc[[#This Row],[DaysAgeing]]&gt;5,"yep","on track")</f>
        <v>yep</v>
      </c>
      <c r="Q4915" s="3">
        <f ca="1">IF(Proc[[#This Row],[DateClosed]]="",ABS(NETWORKDAYS(Proc[[#This Row],[DateOpened]],TODAY()))-1,ABS(NETWORKDAYS(Proc[[#This Row],[DateOpened]],Proc[[#This Row],[DateClosed]]))-1)</f>
        <v>15</v>
      </c>
      <c r="R4915" s="174" t="s">
        <v>5709</v>
      </c>
      <c r="S4915" s="150"/>
    </row>
    <row r="4916" spans="1:19" hidden="1">
      <c r="A4916" s="149" t="s">
        <v>7039</v>
      </c>
      <c r="B4916" s="150" t="str">
        <f>IFERROR(VLOOKUP(Proc[[#This Row],[App]],Table2[],3,0),"open")</f>
        <v>ok</v>
      </c>
      <c r="C4916" s="149" t="s">
        <v>369</v>
      </c>
      <c r="D4916" t="s">
        <v>7125</v>
      </c>
      <c r="E4916" s="149" t="s">
        <v>7234</v>
      </c>
      <c r="F4916" s="150" t="s">
        <v>7234</v>
      </c>
      <c r="G4916" s="149" t="s">
        <v>406</v>
      </c>
      <c r="H4916" s="150" t="str">
        <f>IF(Proc[[#This Row],[type]]="LFF (MDG-F)",MID(Proc[[#This Row],[Obj]],13,10),"")</f>
        <v>KR16TQ1001</v>
      </c>
      <c r="I4916" s="149" t="s">
        <v>7234</v>
      </c>
      <c r="J4916" s="150" t="b">
        <f>Proc[[#This Row],[Requested]]=Proc[[#This Row],[CurrentParent]]</f>
        <v>1</v>
      </c>
      <c r="K4916" s="150" t="str">
        <f>IF(Proc[[#This Row],[Author]]="Marcela Urrego",VLOOKUP(LEFT(Proc[[#This Row],[Requested]],1),Table3[#All],2,0),VLOOKUP(Proc[[#This Row],[Author]],Table4[],2,0))</f>
        <v>EL</v>
      </c>
      <c r="L4916" s="150" t="s">
        <v>6435</v>
      </c>
      <c r="M4916" s="173">
        <v>45989</v>
      </c>
      <c r="N4916" s="174"/>
      <c r="O4916" s="174"/>
      <c r="P4916" s="174" t="str">
        <f ca="1">IF(Proc[[#This Row],[DaysAgeing]]&gt;5,"yep","on track")</f>
        <v>yep</v>
      </c>
      <c r="Q4916" s="3">
        <f ca="1">IF(Proc[[#This Row],[DateClosed]]="",ABS(NETWORKDAYS(Proc[[#This Row],[DateOpened]],TODAY()))-1,ABS(NETWORKDAYS(Proc[[#This Row],[DateOpened]],Proc[[#This Row],[DateClosed]]))-1)</f>
        <v>15</v>
      </c>
      <c r="R4916" s="174" t="s">
        <v>5709</v>
      </c>
      <c r="S4916" s="150"/>
    </row>
    <row r="4917" spans="1:19" hidden="1">
      <c r="A4917" s="149" t="s">
        <v>7039</v>
      </c>
      <c r="B4917" s="150" t="str">
        <f>IFERROR(VLOOKUP(Proc[[#This Row],[App]],Table2[],3,0),"open")</f>
        <v>ok</v>
      </c>
      <c r="C4917" s="149" t="s">
        <v>369</v>
      </c>
      <c r="D4917" t="s">
        <v>7126</v>
      </c>
      <c r="E4917" s="149" t="s">
        <v>7234</v>
      </c>
      <c r="F4917" s="150" t="s">
        <v>7234</v>
      </c>
      <c r="G4917" s="149" t="s">
        <v>406</v>
      </c>
      <c r="H4917" s="150" t="str">
        <f>IF(Proc[[#This Row],[type]]="LFF (MDG-F)",MID(Proc[[#This Row],[Obj]],13,10),"")</f>
        <v>KR16TQ1002</v>
      </c>
      <c r="I4917" s="149" t="s">
        <v>7234</v>
      </c>
      <c r="J4917" s="150" t="b">
        <f>Proc[[#This Row],[Requested]]=Proc[[#This Row],[CurrentParent]]</f>
        <v>1</v>
      </c>
      <c r="K4917" s="150" t="str">
        <f>IF(Proc[[#This Row],[Author]]="Marcela Urrego",VLOOKUP(LEFT(Proc[[#This Row],[Requested]],1),Table3[#All],2,0),VLOOKUP(Proc[[#This Row],[Author]],Table4[],2,0))</f>
        <v>EL</v>
      </c>
      <c r="L4917" s="150" t="s">
        <v>6435</v>
      </c>
      <c r="M4917" s="173">
        <v>45989</v>
      </c>
      <c r="N4917" s="174"/>
      <c r="O4917" s="174"/>
      <c r="P4917" s="174" t="str">
        <f ca="1">IF(Proc[[#This Row],[DaysAgeing]]&gt;5,"yep","on track")</f>
        <v>yep</v>
      </c>
      <c r="Q4917" s="3">
        <f ca="1">IF(Proc[[#This Row],[DateClosed]]="",ABS(NETWORKDAYS(Proc[[#This Row],[DateOpened]],TODAY()))-1,ABS(NETWORKDAYS(Proc[[#This Row],[DateOpened]],Proc[[#This Row],[DateClosed]]))-1)</f>
        <v>15</v>
      </c>
      <c r="R4917" s="174" t="s">
        <v>5709</v>
      </c>
      <c r="S4917" s="150"/>
    </row>
    <row r="4918" spans="1:19" hidden="1">
      <c r="A4918" s="149" t="s">
        <v>7039</v>
      </c>
      <c r="B4918" s="150" t="str">
        <f>IFERROR(VLOOKUP(Proc[[#This Row],[App]],Table2[],3,0),"open")</f>
        <v>ok</v>
      </c>
      <c r="C4918" s="149" t="s">
        <v>369</v>
      </c>
      <c r="D4918" t="s">
        <v>7127</v>
      </c>
      <c r="E4918" s="149" t="s">
        <v>7235</v>
      </c>
      <c r="F4918" s="150" t="s">
        <v>7235</v>
      </c>
      <c r="G4918" s="149" t="s">
        <v>406</v>
      </c>
      <c r="H4918" s="150" t="str">
        <f>IF(Proc[[#This Row],[type]]="LFF (MDG-F)",MID(Proc[[#This Row],[Obj]],13,10),"")</f>
        <v>JP02TQMZ01</v>
      </c>
      <c r="I4918" s="149" t="s">
        <v>7235</v>
      </c>
      <c r="J4918" s="150" t="b">
        <f>Proc[[#This Row],[Requested]]=Proc[[#This Row],[CurrentParent]]</f>
        <v>1</v>
      </c>
      <c r="K4918" s="150" t="str">
        <f>IF(Proc[[#This Row],[Author]]="Marcela Urrego",VLOOKUP(LEFT(Proc[[#This Row],[Requested]],1),Table3[#All],2,0),VLOOKUP(Proc[[#This Row],[Author]],Table4[],2,0))</f>
        <v>EL</v>
      </c>
      <c r="L4918" s="150" t="s">
        <v>6435</v>
      </c>
      <c r="M4918" s="173">
        <v>45989</v>
      </c>
      <c r="N4918" s="174"/>
      <c r="O4918" s="174"/>
      <c r="P4918" s="174" t="str">
        <f ca="1">IF(Proc[[#This Row],[DaysAgeing]]&gt;5,"yep","on track")</f>
        <v>yep</v>
      </c>
      <c r="Q4918" s="3">
        <f ca="1">IF(Proc[[#This Row],[DateClosed]]="",ABS(NETWORKDAYS(Proc[[#This Row],[DateOpened]],TODAY()))-1,ABS(NETWORKDAYS(Proc[[#This Row],[DateOpened]],Proc[[#This Row],[DateClosed]]))-1)</f>
        <v>15</v>
      </c>
      <c r="R4918" s="174" t="s">
        <v>5709</v>
      </c>
      <c r="S4918" s="150"/>
    </row>
    <row r="4919" spans="1:19" hidden="1">
      <c r="A4919" s="149" t="s">
        <v>7039</v>
      </c>
      <c r="B4919" s="150" t="str">
        <f>IFERROR(VLOOKUP(Proc[[#This Row],[App]],Table2[],3,0),"open")</f>
        <v>ok</v>
      </c>
      <c r="C4919" s="149" t="s">
        <v>369</v>
      </c>
      <c r="D4919" t="s">
        <v>7128</v>
      </c>
      <c r="E4919" s="149" t="s">
        <v>7235</v>
      </c>
      <c r="F4919" s="150" t="s">
        <v>7235</v>
      </c>
      <c r="G4919" s="149" t="s">
        <v>406</v>
      </c>
      <c r="H4919" s="150" t="str">
        <f>IF(Proc[[#This Row],[type]]="LFF (MDG-F)",MID(Proc[[#This Row],[Obj]],13,10),"")</f>
        <v>KR03TPPZ04</v>
      </c>
      <c r="I4919" s="149" t="s">
        <v>7235</v>
      </c>
      <c r="J4919" s="150" t="b">
        <f>Proc[[#This Row],[Requested]]=Proc[[#This Row],[CurrentParent]]</f>
        <v>1</v>
      </c>
      <c r="K4919" s="150" t="str">
        <f>IF(Proc[[#This Row],[Author]]="Marcela Urrego",VLOOKUP(LEFT(Proc[[#This Row],[Requested]],1),Table3[#All],2,0),VLOOKUP(Proc[[#This Row],[Author]],Table4[],2,0))</f>
        <v>EL</v>
      </c>
      <c r="L4919" s="150" t="s">
        <v>6435</v>
      </c>
      <c r="M4919" s="173">
        <v>45989</v>
      </c>
      <c r="N4919" s="174"/>
      <c r="O4919" s="174"/>
      <c r="P4919" s="174" t="str">
        <f ca="1">IF(Proc[[#This Row],[DaysAgeing]]&gt;5,"yep","on track")</f>
        <v>yep</v>
      </c>
      <c r="Q4919" s="3">
        <f ca="1">IF(Proc[[#This Row],[DateClosed]]="",ABS(NETWORKDAYS(Proc[[#This Row],[DateOpened]],TODAY()))-1,ABS(NETWORKDAYS(Proc[[#This Row],[DateOpened]],Proc[[#This Row],[DateClosed]]))-1)</f>
        <v>15</v>
      </c>
      <c r="R4919" s="174" t="s">
        <v>5709</v>
      </c>
      <c r="S4919" s="150"/>
    </row>
    <row r="4920" spans="1:19" hidden="1">
      <c r="A4920" s="149" t="s">
        <v>7039</v>
      </c>
      <c r="B4920" s="150" t="str">
        <f>IFERROR(VLOOKUP(Proc[[#This Row],[App]],Table2[],3,0),"open")</f>
        <v>ok</v>
      </c>
      <c r="C4920" s="149" t="s">
        <v>369</v>
      </c>
      <c r="D4920" t="s">
        <v>7129</v>
      </c>
      <c r="E4920" s="149" t="s">
        <v>7235</v>
      </c>
      <c r="F4920" s="150" t="s">
        <v>7235</v>
      </c>
      <c r="G4920" s="149" t="s">
        <v>406</v>
      </c>
      <c r="H4920" s="150" t="str">
        <f>IF(Proc[[#This Row],[type]]="LFF (MDG-F)",MID(Proc[[#This Row],[Obj]],13,10),"")</f>
        <v>KR07DB3300</v>
      </c>
      <c r="I4920" s="149" t="s">
        <v>7235</v>
      </c>
      <c r="J4920" s="150" t="b">
        <f>Proc[[#This Row],[Requested]]=Proc[[#This Row],[CurrentParent]]</f>
        <v>1</v>
      </c>
      <c r="K4920" s="150" t="str">
        <f>IF(Proc[[#This Row],[Author]]="Marcela Urrego",VLOOKUP(LEFT(Proc[[#This Row],[Requested]],1),Table3[#All],2,0),VLOOKUP(Proc[[#This Row],[Author]],Table4[],2,0))</f>
        <v>EL</v>
      </c>
      <c r="L4920" s="150" t="s">
        <v>6435</v>
      </c>
      <c r="M4920" s="173">
        <v>45989</v>
      </c>
      <c r="N4920" s="174"/>
      <c r="O4920" s="174"/>
      <c r="P4920" s="174" t="str">
        <f ca="1">IF(Proc[[#This Row],[DaysAgeing]]&gt;5,"yep","on track")</f>
        <v>yep</v>
      </c>
      <c r="Q4920" s="3">
        <f ca="1">IF(Proc[[#This Row],[DateClosed]]="",ABS(NETWORKDAYS(Proc[[#This Row],[DateOpened]],TODAY()))-1,ABS(NETWORKDAYS(Proc[[#This Row],[DateOpened]],Proc[[#This Row],[DateClosed]]))-1)</f>
        <v>15</v>
      </c>
      <c r="R4920" s="174" t="s">
        <v>5709</v>
      </c>
      <c r="S4920" s="150"/>
    </row>
    <row r="4921" spans="1:19" hidden="1">
      <c r="A4921" s="149" t="s">
        <v>7039</v>
      </c>
      <c r="B4921" s="150" t="str">
        <f>IFERROR(VLOOKUP(Proc[[#This Row],[App]],Table2[],3,0),"open")</f>
        <v>ok</v>
      </c>
      <c r="C4921" s="149" t="s">
        <v>369</v>
      </c>
      <c r="D4921" t="s">
        <v>7130</v>
      </c>
      <c r="E4921" s="149" t="s">
        <v>7235</v>
      </c>
      <c r="F4921" s="150" t="s">
        <v>7235</v>
      </c>
      <c r="G4921" s="149" t="s">
        <v>406</v>
      </c>
      <c r="H4921" s="150" t="str">
        <f>IF(Proc[[#This Row],[type]]="LFF (MDG-F)",MID(Proc[[#This Row],[Obj]],13,10),"")</f>
        <v>KR15TM3000</v>
      </c>
      <c r="I4921" s="149" t="s">
        <v>7235</v>
      </c>
      <c r="J4921" s="150" t="b">
        <f>Proc[[#This Row],[Requested]]=Proc[[#This Row],[CurrentParent]]</f>
        <v>1</v>
      </c>
      <c r="K4921" s="150" t="str">
        <f>IF(Proc[[#This Row],[Author]]="Marcela Urrego",VLOOKUP(LEFT(Proc[[#This Row],[Requested]],1),Table3[#All],2,0),VLOOKUP(Proc[[#This Row],[Author]],Table4[],2,0))</f>
        <v>EL</v>
      </c>
      <c r="L4921" s="150" t="s">
        <v>6435</v>
      </c>
      <c r="M4921" s="173">
        <v>45989</v>
      </c>
      <c r="N4921" s="174"/>
      <c r="O4921" s="174"/>
      <c r="P4921" s="174" t="str">
        <f ca="1">IF(Proc[[#This Row],[DaysAgeing]]&gt;5,"yep","on track")</f>
        <v>yep</v>
      </c>
      <c r="Q4921" s="3">
        <f ca="1">IF(Proc[[#This Row],[DateClosed]]="",ABS(NETWORKDAYS(Proc[[#This Row],[DateOpened]],TODAY()))-1,ABS(NETWORKDAYS(Proc[[#This Row],[DateOpened]],Proc[[#This Row],[DateClosed]]))-1)</f>
        <v>15</v>
      </c>
      <c r="R4921" s="174" t="s">
        <v>5709</v>
      </c>
      <c r="S4921" s="150"/>
    </row>
    <row r="4922" spans="1:19" hidden="1">
      <c r="A4922" s="149" t="s">
        <v>7039</v>
      </c>
      <c r="B4922" s="150" t="str">
        <f>IFERROR(VLOOKUP(Proc[[#This Row],[App]],Table2[],3,0),"open")</f>
        <v>ok</v>
      </c>
      <c r="C4922" s="149" t="s">
        <v>369</v>
      </c>
      <c r="D4922" t="s">
        <v>7131</v>
      </c>
      <c r="E4922" s="149" t="s">
        <v>7236</v>
      </c>
      <c r="F4922" s="150" t="s">
        <v>7236</v>
      </c>
      <c r="G4922" s="149" t="s">
        <v>406</v>
      </c>
      <c r="H4922" s="150" t="str">
        <f>IF(Proc[[#This Row],[type]]="LFF (MDG-F)",MID(Proc[[#This Row],[Obj]],13,10),"")</f>
        <v>KR02TPAZ02</v>
      </c>
      <c r="I4922" s="149" t="s">
        <v>7236</v>
      </c>
      <c r="J4922" s="150" t="b">
        <f>Proc[[#This Row],[Requested]]=Proc[[#This Row],[CurrentParent]]</f>
        <v>1</v>
      </c>
      <c r="K4922" s="150" t="str">
        <f>IF(Proc[[#This Row],[Author]]="Marcela Urrego",VLOOKUP(LEFT(Proc[[#This Row],[Requested]],1),Table3[#All],2,0),VLOOKUP(Proc[[#This Row],[Author]],Table4[],2,0))</f>
        <v>EL</v>
      </c>
      <c r="L4922" s="150" t="s">
        <v>6435</v>
      </c>
      <c r="M4922" s="173">
        <v>45989</v>
      </c>
      <c r="N4922" s="174"/>
      <c r="O4922" s="174"/>
      <c r="P4922" s="174" t="str">
        <f ca="1">IF(Proc[[#This Row],[DaysAgeing]]&gt;5,"yep","on track")</f>
        <v>yep</v>
      </c>
      <c r="Q4922" s="3">
        <f ca="1">IF(Proc[[#This Row],[DateClosed]]="",ABS(NETWORKDAYS(Proc[[#This Row],[DateOpened]],TODAY()))-1,ABS(NETWORKDAYS(Proc[[#This Row],[DateOpened]],Proc[[#This Row],[DateClosed]]))-1)</f>
        <v>15</v>
      </c>
      <c r="R4922" s="174" t="s">
        <v>5709</v>
      </c>
      <c r="S4922" s="150"/>
    </row>
    <row r="4923" spans="1:19" hidden="1">
      <c r="A4923" s="149" t="s">
        <v>7039</v>
      </c>
      <c r="B4923" s="150" t="str">
        <f>IFERROR(VLOOKUP(Proc[[#This Row],[App]],Table2[],3,0),"open")</f>
        <v>ok</v>
      </c>
      <c r="C4923" s="149" t="s">
        <v>369</v>
      </c>
      <c r="D4923" t="s">
        <v>7132</v>
      </c>
      <c r="E4923" s="149" t="s">
        <v>7236</v>
      </c>
      <c r="F4923" s="150" t="s">
        <v>7236</v>
      </c>
      <c r="G4923" s="149" t="s">
        <v>406</v>
      </c>
      <c r="H4923" s="150" t="str">
        <f>IF(Proc[[#This Row],[type]]="LFF (MDG-F)",MID(Proc[[#This Row],[Obj]],13,10),"")</f>
        <v>KR07DB3301</v>
      </c>
      <c r="I4923" s="149" t="s">
        <v>7236</v>
      </c>
      <c r="J4923" s="150" t="b">
        <f>Proc[[#This Row],[Requested]]=Proc[[#This Row],[CurrentParent]]</f>
        <v>1</v>
      </c>
      <c r="K4923" s="150" t="str">
        <f>IF(Proc[[#This Row],[Author]]="Marcela Urrego",VLOOKUP(LEFT(Proc[[#This Row],[Requested]],1),Table3[#All],2,0),VLOOKUP(Proc[[#This Row],[Author]],Table4[],2,0))</f>
        <v>EL</v>
      </c>
      <c r="L4923" s="150" t="s">
        <v>6435</v>
      </c>
      <c r="M4923" s="173">
        <v>45989</v>
      </c>
      <c r="N4923" s="174"/>
      <c r="O4923" s="174"/>
      <c r="P4923" s="174" t="str">
        <f ca="1">IF(Proc[[#This Row],[DaysAgeing]]&gt;5,"yep","on track")</f>
        <v>yep</v>
      </c>
      <c r="Q4923" s="3">
        <f ca="1">IF(Proc[[#This Row],[DateClosed]]="",ABS(NETWORKDAYS(Proc[[#This Row],[DateOpened]],TODAY()))-1,ABS(NETWORKDAYS(Proc[[#This Row],[DateOpened]],Proc[[#This Row],[DateClosed]]))-1)</f>
        <v>15</v>
      </c>
      <c r="R4923" s="174" t="s">
        <v>5709</v>
      </c>
      <c r="S4923" s="150"/>
    </row>
    <row r="4924" spans="1:19" hidden="1">
      <c r="A4924" s="149" t="s">
        <v>7039</v>
      </c>
      <c r="B4924" s="150" t="str">
        <f>IFERROR(VLOOKUP(Proc[[#This Row],[App]],Table2[],3,0),"open")</f>
        <v>ok</v>
      </c>
      <c r="C4924" s="149" t="s">
        <v>369</v>
      </c>
      <c r="D4924" t="s">
        <v>7133</v>
      </c>
      <c r="E4924" s="149" t="s">
        <v>7236</v>
      </c>
      <c r="F4924" s="150" t="s">
        <v>7236</v>
      </c>
      <c r="G4924" s="149" t="s">
        <v>406</v>
      </c>
      <c r="H4924" s="150" t="str">
        <f>IF(Proc[[#This Row],[type]]="LFF (MDG-F)",MID(Proc[[#This Row],[Obj]],13,10),"")</f>
        <v>KR07DB3302</v>
      </c>
      <c r="I4924" s="149" t="s">
        <v>7236</v>
      </c>
      <c r="J4924" s="150" t="b">
        <f>Proc[[#This Row],[Requested]]=Proc[[#This Row],[CurrentParent]]</f>
        <v>1</v>
      </c>
      <c r="K4924" s="150" t="str">
        <f>IF(Proc[[#This Row],[Author]]="Marcela Urrego",VLOOKUP(LEFT(Proc[[#This Row],[Requested]],1),Table3[#All],2,0),VLOOKUP(Proc[[#This Row],[Author]],Table4[],2,0))</f>
        <v>EL</v>
      </c>
      <c r="L4924" s="150" t="s">
        <v>6435</v>
      </c>
      <c r="M4924" s="173">
        <v>45989</v>
      </c>
      <c r="N4924" s="174"/>
      <c r="O4924" s="174"/>
      <c r="P4924" s="174" t="str">
        <f ca="1">IF(Proc[[#This Row],[DaysAgeing]]&gt;5,"yep","on track")</f>
        <v>yep</v>
      </c>
      <c r="Q4924" s="3">
        <f ca="1">IF(Proc[[#This Row],[DateClosed]]="",ABS(NETWORKDAYS(Proc[[#This Row],[DateOpened]],TODAY()))-1,ABS(NETWORKDAYS(Proc[[#This Row],[DateOpened]],Proc[[#This Row],[DateClosed]]))-1)</f>
        <v>15</v>
      </c>
      <c r="R4924" s="174" t="s">
        <v>5709</v>
      </c>
      <c r="S4924" s="150"/>
    </row>
    <row r="4925" spans="1:19" hidden="1">
      <c r="A4925" s="149" t="s">
        <v>7039</v>
      </c>
      <c r="B4925" s="150" t="str">
        <f>IFERROR(VLOOKUP(Proc[[#This Row],[App]],Table2[],3,0),"open")</f>
        <v>ok</v>
      </c>
      <c r="C4925" s="149" t="s">
        <v>369</v>
      </c>
      <c r="D4925" t="s">
        <v>7134</v>
      </c>
      <c r="E4925" s="149" t="s">
        <v>7236</v>
      </c>
      <c r="F4925" s="150" t="s">
        <v>7236</v>
      </c>
      <c r="G4925" s="149" t="s">
        <v>406</v>
      </c>
      <c r="H4925" s="150" t="str">
        <f>IF(Proc[[#This Row],[type]]="LFF (MDG-F)",MID(Proc[[#This Row],[Obj]],13,10),"")</f>
        <v>KR11DB2111</v>
      </c>
      <c r="I4925" s="149" t="s">
        <v>7236</v>
      </c>
      <c r="J4925" s="150" t="b">
        <f>Proc[[#This Row],[Requested]]=Proc[[#This Row],[CurrentParent]]</f>
        <v>1</v>
      </c>
      <c r="K4925" s="150" t="str">
        <f>IF(Proc[[#This Row],[Author]]="Marcela Urrego",VLOOKUP(LEFT(Proc[[#This Row],[Requested]],1),Table3[#All],2,0),VLOOKUP(Proc[[#This Row],[Author]],Table4[],2,0))</f>
        <v>EL</v>
      </c>
      <c r="L4925" s="150" t="s">
        <v>6435</v>
      </c>
      <c r="M4925" s="173">
        <v>45989</v>
      </c>
      <c r="N4925" s="174"/>
      <c r="O4925" s="174"/>
      <c r="P4925" s="174" t="str">
        <f ca="1">IF(Proc[[#This Row],[DaysAgeing]]&gt;5,"yep","on track")</f>
        <v>yep</v>
      </c>
      <c r="Q4925" s="3">
        <f ca="1">IF(Proc[[#This Row],[DateClosed]]="",ABS(NETWORKDAYS(Proc[[#This Row],[DateOpened]],TODAY()))-1,ABS(NETWORKDAYS(Proc[[#This Row],[DateOpened]],Proc[[#This Row],[DateClosed]]))-1)</f>
        <v>15</v>
      </c>
      <c r="R4925" s="174" t="s">
        <v>5709</v>
      </c>
      <c r="S4925" s="150"/>
    </row>
    <row r="4926" spans="1:19" hidden="1">
      <c r="A4926" s="149" t="s">
        <v>7039</v>
      </c>
      <c r="B4926" s="150" t="str">
        <f>IFERROR(VLOOKUP(Proc[[#This Row],[App]],Table2[],3,0),"open")</f>
        <v>ok</v>
      </c>
      <c r="C4926" s="149" t="s">
        <v>369</v>
      </c>
      <c r="D4926" t="s">
        <v>7135</v>
      </c>
      <c r="E4926" s="149" t="s">
        <v>7236</v>
      </c>
      <c r="F4926" s="150" t="s">
        <v>7236</v>
      </c>
      <c r="G4926" s="149" t="s">
        <v>406</v>
      </c>
      <c r="H4926" s="150" t="str">
        <f>IF(Proc[[#This Row],[type]]="LFF (MDG-F)",MID(Proc[[#This Row],[Obj]],13,10),"")</f>
        <v>KR11DB2112</v>
      </c>
      <c r="I4926" s="149" t="s">
        <v>7236</v>
      </c>
      <c r="J4926" s="150" t="b">
        <f>Proc[[#This Row],[Requested]]=Proc[[#This Row],[CurrentParent]]</f>
        <v>1</v>
      </c>
      <c r="K4926" s="150" t="str">
        <f>IF(Proc[[#This Row],[Author]]="Marcela Urrego",VLOOKUP(LEFT(Proc[[#This Row],[Requested]],1),Table3[#All],2,0),VLOOKUP(Proc[[#This Row],[Author]],Table4[],2,0))</f>
        <v>EL</v>
      </c>
      <c r="L4926" s="150" t="s">
        <v>6435</v>
      </c>
      <c r="M4926" s="173">
        <v>45989</v>
      </c>
      <c r="N4926" s="174"/>
      <c r="O4926" s="174"/>
      <c r="P4926" s="174" t="str">
        <f ca="1">IF(Proc[[#This Row],[DaysAgeing]]&gt;5,"yep","on track")</f>
        <v>yep</v>
      </c>
      <c r="Q4926" s="3">
        <f ca="1">IF(Proc[[#This Row],[DateClosed]]="",ABS(NETWORKDAYS(Proc[[#This Row],[DateOpened]],TODAY()))-1,ABS(NETWORKDAYS(Proc[[#This Row],[DateOpened]],Proc[[#This Row],[DateClosed]]))-1)</f>
        <v>15</v>
      </c>
      <c r="R4926" s="174" t="s">
        <v>5709</v>
      </c>
      <c r="S4926" s="150"/>
    </row>
    <row r="4927" spans="1:19" hidden="1">
      <c r="A4927" s="149" t="s">
        <v>7039</v>
      </c>
      <c r="B4927" s="150" t="str">
        <f>IFERROR(VLOOKUP(Proc[[#This Row],[App]],Table2[],3,0),"open")</f>
        <v>ok</v>
      </c>
      <c r="C4927" s="149" t="s">
        <v>369</v>
      </c>
      <c r="D4927" t="s">
        <v>7136</v>
      </c>
      <c r="E4927" s="149" t="s">
        <v>7236</v>
      </c>
      <c r="F4927" s="150" t="s">
        <v>7236</v>
      </c>
      <c r="G4927" s="149" t="s">
        <v>406</v>
      </c>
      <c r="H4927" s="150" t="str">
        <f>IF(Proc[[#This Row],[type]]="LFF (MDG-F)",MID(Proc[[#This Row],[Obj]],13,10),"")</f>
        <v>KR15DB3303</v>
      </c>
      <c r="I4927" s="149" t="s">
        <v>7236</v>
      </c>
      <c r="J4927" s="150" t="b">
        <f>Proc[[#This Row],[Requested]]=Proc[[#This Row],[CurrentParent]]</f>
        <v>1</v>
      </c>
      <c r="K4927" s="150" t="str">
        <f>IF(Proc[[#This Row],[Author]]="Marcela Urrego",VLOOKUP(LEFT(Proc[[#This Row],[Requested]],1),Table3[#All],2,0),VLOOKUP(Proc[[#This Row],[Author]],Table4[],2,0))</f>
        <v>EL</v>
      </c>
      <c r="L4927" s="150" t="s">
        <v>6435</v>
      </c>
      <c r="M4927" s="173">
        <v>45989</v>
      </c>
      <c r="N4927" s="174"/>
      <c r="O4927" s="174"/>
      <c r="P4927" s="174" t="str">
        <f ca="1">IF(Proc[[#This Row],[DaysAgeing]]&gt;5,"yep","on track")</f>
        <v>yep</v>
      </c>
      <c r="Q4927" s="3">
        <f ca="1">IF(Proc[[#This Row],[DateClosed]]="",ABS(NETWORKDAYS(Proc[[#This Row],[DateOpened]],TODAY()))-1,ABS(NETWORKDAYS(Proc[[#This Row],[DateOpened]],Proc[[#This Row],[DateClosed]]))-1)</f>
        <v>15</v>
      </c>
      <c r="R4927" s="174" t="s">
        <v>5709</v>
      </c>
      <c r="S4927" s="150"/>
    </row>
    <row r="4928" spans="1:19" hidden="1">
      <c r="A4928" s="149" t="s">
        <v>7039</v>
      </c>
      <c r="B4928" s="150" t="str">
        <f>IFERROR(VLOOKUP(Proc[[#This Row],[App]],Table2[],3,0),"open")</f>
        <v>ok</v>
      </c>
      <c r="C4928" s="149" t="s">
        <v>369</v>
      </c>
      <c r="D4928" t="s">
        <v>7137</v>
      </c>
      <c r="E4928" s="149" t="s">
        <v>7236</v>
      </c>
      <c r="F4928" s="150" t="s">
        <v>7236</v>
      </c>
      <c r="G4928" s="149" t="s">
        <v>406</v>
      </c>
      <c r="H4928" s="150" t="str">
        <f>IF(Proc[[#This Row],[type]]="LFF (MDG-F)",MID(Proc[[#This Row],[Obj]],13,10),"")</f>
        <v>KR16DB3300</v>
      </c>
      <c r="I4928" s="149" t="s">
        <v>7236</v>
      </c>
      <c r="J4928" s="150" t="b">
        <f>Proc[[#This Row],[Requested]]=Proc[[#This Row],[CurrentParent]]</f>
        <v>1</v>
      </c>
      <c r="K4928" s="150" t="str">
        <f>IF(Proc[[#This Row],[Author]]="Marcela Urrego",VLOOKUP(LEFT(Proc[[#This Row],[Requested]],1),Table3[#All],2,0),VLOOKUP(Proc[[#This Row],[Author]],Table4[],2,0))</f>
        <v>EL</v>
      </c>
      <c r="L4928" s="150" t="s">
        <v>6435</v>
      </c>
      <c r="M4928" s="173">
        <v>45989</v>
      </c>
      <c r="N4928" s="174"/>
      <c r="O4928" s="174"/>
      <c r="P4928" s="174" t="str">
        <f ca="1">IF(Proc[[#This Row],[DaysAgeing]]&gt;5,"yep","on track")</f>
        <v>yep</v>
      </c>
      <c r="Q4928" s="3">
        <f ca="1">IF(Proc[[#This Row],[DateClosed]]="",ABS(NETWORKDAYS(Proc[[#This Row],[DateOpened]],TODAY()))-1,ABS(NETWORKDAYS(Proc[[#This Row],[DateOpened]],Proc[[#This Row],[DateClosed]]))-1)</f>
        <v>15</v>
      </c>
      <c r="R4928" s="174" t="s">
        <v>5709</v>
      </c>
      <c r="S4928" s="150"/>
    </row>
    <row r="4929" spans="1:19" hidden="1">
      <c r="A4929" s="149" t="s">
        <v>7039</v>
      </c>
      <c r="B4929" s="150" t="str">
        <f>IFERROR(VLOOKUP(Proc[[#This Row],[App]],Table2[],3,0),"open")</f>
        <v>ok</v>
      </c>
      <c r="C4929" s="149" t="s">
        <v>369</v>
      </c>
      <c r="D4929" t="s">
        <v>7138</v>
      </c>
      <c r="E4929" s="149" t="s">
        <v>7237</v>
      </c>
      <c r="F4929" s="150" t="s">
        <v>7237</v>
      </c>
      <c r="G4929" s="149" t="s">
        <v>406</v>
      </c>
      <c r="H4929" s="150" t="str">
        <f>IF(Proc[[#This Row],[type]]="LFF (MDG-F)",MID(Proc[[#This Row],[Obj]],13,10),"")</f>
        <v>US01C01305</v>
      </c>
      <c r="I4929" s="149" t="s">
        <v>7237</v>
      </c>
      <c r="J4929" s="150" t="b">
        <f>Proc[[#This Row],[Requested]]=Proc[[#This Row],[CurrentParent]]</f>
        <v>1</v>
      </c>
      <c r="K4929" s="150" t="str">
        <f>IF(Proc[[#This Row],[Author]]="Marcela Urrego",VLOOKUP(LEFT(Proc[[#This Row],[Requested]],1),Table3[#All],2,0),VLOOKUP(Proc[[#This Row],[Author]],Table4[],2,0))</f>
        <v>EL</v>
      </c>
      <c r="L4929" s="150" t="s">
        <v>6435</v>
      </c>
      <c r="M4929" s="173">
        <v>45989</v>
      </c>
      <c r="N4929" s="174"/>
      <c r="O4929" s="174"/>
      <c r="P4929" s="174" t="str">
        <f ca="1">IF(Proc[[#This Row],[DaysAgeing]]&gt;5,"yep","on track")</f>
        <v>yep</v>
      </c>
      <c r="Q4929" s="3">
        <f ca="1">IF(Proc[[#This Row],[DateClosed]]="",ABS(NETWORKDAYS(Proc[[#This Row],[DateOpened]],TODAY()))-1,ABS(NETWORKDAYS(Proc[[#This Row],[DateOpened]],Proc[[#This Row],[DateClosed]]))-1)</f>
        <v>15</v>
      </c>
      <c r="R4929" s="174" t="s">
        <v>5709</v>
      </c>
      <c r="S4929" s="150"/>
    </row>
    <row r="4930" spans="1:19" hidden="1">
      <c r="A4930" s="149" t="s">
        <v>7039</v>
      </c>
      <c r="B4930" s="150" t="str">
        <f>IFERROR(VLOOKUP(Proc[[#This Row],[App]],Table2[],3,0),"open")</f>
        <v>ok</v>
      </c>
      <c r="C4930" s="149" t="s">
        <v>369</v>
      </c>
      <c r="D4930" t="s">
        <v>7139</v>
      </c>
      <c r="E4930" s="149" t="s">
        <v>7237</v>
      </c>
      <c r="F4930" s="150" t="s">
        <v>7237</v>
      </c>
      <c r="G4930" s="149" t="s">
        <v>406</v>
      </c>
      <c r="H4930" s="150" t="str">
        <f>IF(Proc[[#This Row],[type]]="LFF (MDG-F)",MID(Proc[[#This Row],[Obj]],13,10),"")</f>
        <v>US10DB3021</v>
      </c>
      <c r="I4930" s="149" t="s">
        <v>7237</v>
      </c>
      <c r="J4930" s="150" t="b">
        <f>Proc[[#This Row],[Requested]]=Proc[[#This Row],[CurrentParent]]</f>
        <v>1</v>
      </c>
      <c r="K4930" s="150" t="str">
        <f>IF(Proc[[#This Row],[Author]]="Marcela Urrego",VLOOKUP(LEFT(Proc[[#This Row],[Requested]],1),Table3[#All],2,0),VLOOKUP(Proc[[#This Row],[Author]],Table4[],2,0))</f>
        <v>EL</v>
      </c>
      <c r="L4930" s="150" t="s">
        <v>6435</v>
      </c>
      <c r="M4930" s="173">
        <v>45989</v>
      </c>
      <c r="N4930" s="174"/>
      <c r="O4930" s="174"/>
      <c r="P4930" s="174" t="str">
        <f ca="1">IF(Proc[[#This Row],[DaysAgeing]]&gt;5,"yep","on track")</f>
        <v>yep</v>
      </c>
      <c r="Q4930" s="3">
        <f ca="1">IF(Proc[[#This Row],[DateClosed]]="",ABS(NETWORKDAYS(Proc[[#This Row],[DateOpened]],TODAY()))-1,ABS(NETWORKDAYS(Proc[[#This Row],[DateOpened]],Proc[[#This Row],[DateClosed]]))-1)</f>
        <v>15</v>
      </c>
      <c r="R4930" s="174" t="s">
        <v>5709</v>
      </c>
      <c r="S4930" s="150"/>
    </row>
    <row r="4931" spans="1:19" hidden="1">
      <c r="A4931" s="149" t="s">
        <v>7039</v>
      </c>
      <c r="B4931" s="150" t="str">
        <f>IFERROR(VLOOKUP(Proc[[#This Row],[App]],Table2[],3,0),"open")</f>
        <v>ok</v>
      </c>
      <c r="C4931" s="149" t="s">
        <v>369</v>
      </c>
      <c r="D4931" t="s">
        <v>7140</v>
      </c>
      <c r="E4931" s="149" t="s">
        <v>7238</v>
      </c>
      <c r="F4931" s="150" t="s">
        <v>7238</v>
      </c>
      <c r="G4931" s="149" t="s">
        <v>406</v>
      </c>
      <c r="H4931" s="150" t="str">
        <f>IF(Proc[[#This Row],[type]]="LFF (MDG-F)",MID(Proc[[#This Row],[Obj]],13,10),"")</f>
        <v>US01TPBZ03</v>
      </c>
      <c r="I4931" s="149" t="s">
        <v>7238</v>
      </c>
      <c r="J4931" s="150" t="b">
        <f>Proc[[#This Row],[Requested]]=Proc[[#This Row],[CurrentParent]]</f>
        <v>1</v>
      </c>
      <c r="K4931" s="150" t="str">
        <f>IF(Proc[[#This Row],[Author]]="Marcela Urrego",VLOOKUP(LEFT(Proc[[#This Row],[Requested]],1),Table3[#All],2,0),VLOOKUP(Proc[[#This Row],[Author]],Table4[],2,0))</f>
        <v>EL</v>
      </c>
      <c r="L4931" s="150" t="s">
        <v>6435</v>
      </c>
      <c r="M4931" s="173">
        <v>45989</v>
      </c>
      <c r="N4931" s="174"/>
      <c r="O4931" s="174"/>
      <c r="P4931" s="174" t="str">
        <f ca="1">IF(Proc[[#This Row],[DaysAgeing]]&gt;5,"yep","on track")</f>
        <v>yep</v>
      </c>
      <c r="Q4931" s="3">
        <f ca="1">IF(Proc[[#This Row],[DateClosed]]="",ABS(NETWORKDAYS(Proc[[#This Row],[DateOpened]],TODAY()))-1,ABS(NETWORKDAYS(Proc[[#This Row],[DateOpened]],Proc[[#This Row],[DateClosed]]))-1)</f>
        <v>15</v>
      </c>
      <c r="R4931" s="174" t="s">
        <v>5709</v>
      </c>
      <c r="S4931" s="150"/>
    </row>
    <row r="4932" spans="1:19" hidden="1">
      <c r="A4932" s="149" t="s">
        <v>7039</v>
      </c>
      <c r="B4932" s="150" t="str">
        <f>IFERROR(VLOOKUP(Proc[[#This Row],[App]],Table2[],3,0),"open")</f>
        <v>ok</v>
      </c>
      <c r="C4932" s="149" t="s">
        <v>369</v>
      </c>
      <c r="D4932" t="s">
        <v>7141</v>
      </c>
      <c r="E4932" s="149" t="s">
        <v>7238</v>
      </c>
      <c r="F4932" s="150" t="s">
        <v>7238</v>
      </c>
      <c r="G4932" s="149" t="s">
        <v>406</v>
      </c>
      <c r="H4932" s="150" t="str">
        <f>IF(Proc[[#This Row],[type]]="LFF (MDG-F)",MID(Proc[[#This Row],[Obj]],13,10),"")</f>
        <v>US10DB3004</v>
      </c>
      <c r="I4932" s="149" t="s">
        <v>7238</v>
      </c>
      <c r="J4932" s="150" t="b">
        <f>Proc[[#This Row],[Requested]]=Proc[[#This Row],[CurrentParent]]</f>
        <v>1</v>
      </c>
      <c r="K4932" s="150" t="str">
        <f>IF(Proc[[#This Row],[Author]]="Marcela Urrego",VLOOKUP(LEFT(Proc[[#This Row],[Requested]],1),Table3[#All],2,0),VLOOKUP(Proc[[#This Row],[Author]],Table4[],2,0))</f>
        <v>EL</v>
      </c>
      <c r="L4932" s="150" t="s">
        <v>6435</v>
      </c>
      <c r="M4932" s="173">
        <v>45989</v>
      </c>
      <c r="N4932" s="174"/>
      <c r="O4932" s="174"/>
      <c r="P4932" s="174" t="str">
        <f ca="1">IF(Proc[[#This Row],[DaysAgeing]]&gt;5,"yep","on track")</f>
        <v>yep</v>
      </c>
      <c r="Q4932" s="3">
        <f ca="1">IF(Proc[[#This Row],[DateClosed]]="",ABS(NETWORKDAYS(Proc[[#This Row],[DateOpened]],TODAY()))-1,ABS(NETWORKDAYS(Proc[[#This Row],[DateOpened]],Proc[[#This Row],[DateClosed]]))-1)</f>
        <v>15</v>
      </c>
      <c r="R4932" s="174" t="s">
        <v>5709</v>
      </c>
      <c r="S4932" s="150"/>
    </row>
    <row r="4933" spans="1:19" hidden="1">
      <c r="A4933" s="149" t="s">
        <v>7039</v>
      </c>
      <c r="B4933" s="150" t="str">
        <f>IFERROR(VLOOKUP(Proc[[#This Row],[App]],Table2[],3,0),"open")</f>
        <v>ok</v>
      </c>
      <c r="C4933" s="149" t="s">
        <v>369</v>
      </c>
      <c r="D4933" t="s">
        <v>7142</v>
      </c>
      <c r="E4933" s="149" t="s">
        <v>7238</v>
      </c>
      <c r="F4933" s="150" t="s">
        <v>7238</v>
      </c>
      <c r="G4933" s="149" t="s">
        <v>406</v>
      </c>
      <c r="H4933" s="150" t="str">
        <f>IF(Proc[[#This Row],[type]]="LFF (MDG-F)",MID(Proc[[#This Row],[Obj]],13,10),"")</f>
        <v>US10DB3005</v>
      </c>
      <c r="I4933" s="149" t="s">
        <v>7238</v>
      </c>
      <c r="J4933" s="150" t="b">
        <f>Proc[[#This Row],[Requested]]=Proc[[#This Row],[CurrentParent]]</f>
        <v>1</v>
      </c>
      <c r="K4933" s="150" t="str">
        <f>IF(Proc[[#This Row],[Author]]="Marcela Urrego",VLOOKUP(LEFT(Proc[[#This Row],[Requested]],1),Table3[#All],2,0),VLOOKUP(Proc[[#This Row],[Author]],Table4[],2,0))</f>
        <v>EL</v>
      </c>
      <c r="L4933" s="150" t="s">
        <v>6435</v>
      </c>
      <c r="M4933" s="173">
        <v>45989</v>
      </c>
      <c r="N4933" s="174"/>
      <c r="O4933" s="174"/>
      <c r="P4933" s="174" t="str">
        <f ca="1">IF(Proc[[#This Row],[DaysAgeing]]&gt;5,"yep","on track")</f>
        <v>yep</v>
      </c>
      <c r="Q4933" s="3">
        <f ca="1">IF(Proc[[#This Row],[DateClosed]]="",ABS(NETWORKDAYS(Proc[[#This Row],[DateOpened]],TODAY()))-1,ABS(NETWORKDAYS(Proc[[#This Row],[DateOpened]],Proc[[#This Row],[DateClosed]]))-1)</f>
        <v>15</v>
      </c>
      <c r="R4933" s="174" t="s">
        <v>5709</v>
      </c>
      <c r="S4933" s="150"/>
    </row>
    <row r="4934" spans="1:19" hidden="1">
      <c r="A4934" s="149" t="s">
        <v>7039</v>
      </c>
      <c r="B4934" s="150" t="str">
        <f>IFERROR(VLOOKUP(Proc[[#This Row],[App]],Table2[],3,0),"open")</f>
        <v>ok</v>
      </c>
      <c r="C4934" s="149" t="s">
        <v>369</v>
      </c>
      <c r="D4934" t="s">
        <v>7143</v>
      </c>
      <c r="E4934" s="149" t="s">
        <v>7238</v>
      </c>
      <c r="F4934" s="150" t="s">
        <v>7238</v>
      </c>
      <c r="G4934" s="149" t="s">
        <v>406</v>
      </c>
      <c r="H4934" s="150" t="str">
        <f>IF(Proc[[#This Row],[type]]="LFF (MDG-F)",MID(Proc[[#This Row],[Obj]],13,10),"")</f>
        <v>US10DB3006</v>
      </c>
      <c r="I4934" s="149" t="s">
        <v>7238</v>
      </c>
      <c r="J4934" s="150" t="b">
        <f>Proc[[#This Row],[Requested]]=Proc[[#This Row],[CurrentParent]]</f>
        <v>1</v>
      </c>
      <c r="K4934" s="150" t="str">
        <f>IF(Proc[[#This Row],[Author]]="Marcela Urrego",VLOOKUP(LEFT(Proc[[#This Row],[Requested]],1),Table3[#All],2,0),VLOOKUP(Proc[[#This Row],[Author]],Table4[],2,0))</f>
        <v>EL</v>
      </c>
      <c r="L4934" s="150" t="s">
        <v>6435</v>
      </c>
      <c r="M4934" s="173">
        <v>45989</v>
      </c>
      <c r="N4934" s="174"/>
      <c r="O4934" s="174"/>
      <c r="P4934" s="174" t="str">
        <f ca="1">IF(Proc[[#This Row],[DaysAgeing]]&gt;5,"yep","on track")</f>
        <v>yep</v>
      </c>
      <c r="Q4934" s="3">
        <f ca="1">IF(Proc[[#This Row],[DateClosed]]="",ABS(NETWORKDAYS(Proc[[#This Row],[DateOpened]],TODAY()))-1,ABS(NETWORKDAYS(Proc[[#This Row],[DateOpened]],Proc[[#This Row],[DateClosed]]))-1)</f>
        <v>15</v>
      </c>
      <c r="R4934" s="174" t="s">
        <v>5709</v>
      </c>
      <c r="S4934" s="150"/>
    </row>
    <row r="4935" spans="1:19" hidden="1">
      <c r="A4935" s="149" t="s">
        <v>7039</v>
      </c>
      <c r="B4935" s="150" t="str">
        <f>IFERROR(VLOOKUP(Proc[[#This Row],[App]],Table2[],3,0),"open")</f>
        <v>ok</v>
      </c>
      <c r="C4935" s="149" t="s">
        <v>369</v>
      </c>
      <c r="D4935" t="s">
        <v>7144</v>
      </c>
      <c r="E4935" s="149" t="s">
        <v>7238</v>
      </c>
      <c r="F4935" s="150" t="s">
        <v>7238</v>
      </c>
      <c r="G4935" s="149" t="s">
        <v>406</v>
      </c>
      <c r="H4935" s="150" t="str">
        <f>IF(Proc[[#This Row],[type]]="LFF (MDG-F)",MID(Proc[[#This Row],[Obj]],13,10),"")</f>
        <v>US10DB3011</v>
      </c>
      <c r="I4935" s="149" t="s">
        <v>7238</v>
      </c>
      <c r="J4935" s="150" t="b">
        <f>Proc[[#This Row],[Requested]]=Proc[[#This Row],[CurrentParent]]</f>
        <v>1</v>
      </c>
      <c r="K4935" s="150" t="str">
        <f>IF(Proc[[#This Row],[Author]]="Marcela Urrego",VLOOKUP(LEFT(Proc[[#This Row],[Requested]],1),Table3[#All],2,0),VLOOKUP(Proc[[#This Row],[Author]],Table4[],2,0))</f>
        <v>EL</v>
      </c>
      <c r="L4935" s="150" t="s">
        <v>6435</v>
      </c>
      <c r="M4935" s="173">
        <v>45989</v>
      </c>
      <c r="N4935" s="174"/>
      <c r="O4935" s="174"/>
      <c r="P4935" s="174" t="str">
        <f ca="1">IF(Proc[[#This Row],[DaysAgeing]]&gt;5,"yep","on track")</f>
        <v>yep</v>
      </c>
      <c r="Q4935" s="3">
        <f ca="1">IF(Proc[[#This Row],[DateClosed]]="",ABS(NETWORKDAYS(Proc[[#This Row],[DateOpened]],TODAY()))-1,ABS(NETWORKDAYS(Proc[[#This Row],[DateOpened]],Proc[[#This Row],[DateClosed]]))-1)</f>
        <v>15</v>
      </c>
      <c r="R4935" s="174" t="s">
        <v>5709</v>
      </c>
      <c r="S4935" s="150"/>
    </row>
    <row r="4936" spans="1:19" hidden="1">
      <c r="A4936" s="149" t="s">
        <v>7039</v>
      </c>
      <c r="B4936" s="150" t="str">
        <f>IFERROR(VLOOKUP(Proc[[#This Row],[App]],Table2[],3,0),"open")</f>
        <v>ok</v>
      </c>
      <c r="C4936" s="149" t="s">
        <v>369</v>
      </c>
      <c r="D4936" t="s">
        <v>7145</v>
      </c>
      <c r="E4936" s="149" t="s">
        <v>7238</v>
      </c>
      <c r="F4936" s="150" t="s">
        <v>7238</v>
      </c>
      <c r="G4936" s="149" t="s">
        <v>406</v>
      </c>
      <c r="H4936" s="150" t="str">
        <f>IF(Proc[[#This Row],[type]]="LFF (MDG-F)",MID(Proc[[#This Row],[Obj]],13,10),"")</f>
        <v>US01TQ1001</v>
      </c>
      <c r="I4936" s="149" t="s">
        <v>7238</v>
      </c>
      <c r="J4936" s="150" t="b">
        <f>Proc[[#This Row],[Requested]]=Proc[[#This Row],[CurrentParent]]</f>
        <v>1</v>
      </c>
      <c r="K4936" s="150" t="str">
        <f>IF(Proc[[#This Row],[Author]]="Marcela Urrego",VLOOKUP(LEFT(Proc[[#This Row],[Requested]],1),Table3[#All],2,0),VLOOKUP(Proc[[#This Row],[Author]],Table4[],2,0))</f>
        <v>EL</v>
      </c>
      <c r="L4936" s="150" t="s">
        <v>6435</v>
      </c>
      <c r="M4936" s="173">
        <v>45989</v>
      </c>
      <c r="N4936" s="174"/>
      <c r="O4936" s="174"/>
      <c r="P4936" s="174" t="str">
        <f ca="1">IF(Proc[[#This Row],[DaysAgeing]]&gt;5,"yep","on track")</f>
        <v>yep</v>
      </c>
      <c r="Q4936" s="3">
        <f ca="1">IF(Proc[[#This Row],[DateClosed]]="",ABS(NETWORKDAYS(Proc[[#This Row],[DateOpened]],TODAY()))-1,ABS(NETWORKDAYS(Proc[[#This Row],[DateOpened]],Proc[[#This Row],[DateClosed]]))-1)</f>
        <v>15</v>
      </c>
      <c r="R4936" s="174" t="s">
        <v>5709</v>
      </c>
      <c r="S4936" s="150"/>
    </row>
    <row r="4937" spans="1:19" hidden="1">
      <c r="A4937" s="149" t="s">
        <v>7039</v>
      </c>
      <c r="B4937" s="150" t="str">
        <f>IFERROR(VLOOKUP(Proc[[#This Row],[App]],Table2[],3,0),"open")</f>
        <v>ok</v>
      </c>
      <c r="C4937" s="149" t="s">
        <v>369</v>
      </c>
      <c r="D4937" t="s">
        <v>7146</v>
      </c>
      <c r="E4937" s="149" t="s">
        <v>7238</v>
      </c>
      <c r="F4937" s="150" t="s">
        <v>7238</v>
      </c>
      <c r="G4937" s="149" t="s">
        <v>406</v>
      </c>
      <c r="H4937" s="150" t="str">
        <f>IF(Proc[[#This Row],[type]]="LFF (MDG-F)",MID(Proc[[#This Row],[Obj]],13,10),"")</f>
        <v>US01TQ1002</v>
      </c>
      <c r="I4937" s="149" t="s">
        <v>7238</v>
      </c>
      <c r="J4937" s="150" t="b">
        <f>Proc[[#This Row],[Requested]]=Proc[[#This Row],[CurrentParent]]</f>
        <v>1</v>
      </c>
      <c r="K4937" s="150" t="str">
        <f>IF(Proc[[#This Row],[Author]]="Marcela Urrego",VLOOKUP(LEFT(Proc[[#This Row],[Requested]],1),Table3[#All],2,0),VLOOKUP(Proc[[#This Row],[Author]],Table4[],2,0))</f>
        <v>EL</v>
      </c>
      <c r="L4937" s="150" t="s">
        <v>6435</v>
      </c>
      <c r="M4937" s="173">
        <v>45989</v>
      </c>
      <c r="N4937" s="174"/>
      <c r="O4937" s="174"/>
      <c r="P4937" s="174" t="str">
        <f ca="1">IF(Proc[[#This Row],[DaysAgeing]]&gt;5,"yep","on track")</f>
        <v>yep</v>
      </c>
      <c r="Q4937" s="3">
        <f ca="1">IF(Proc[[#This Row],[DateClosed]]="",ABS(NETWORKDAYS(Proc[[#This Row],[DateOpened]],TODAY()))-1,ABS(NETWORKDAYS(Proc[[#This Row],[DateOpened]],Proc[[#This Row],[DateClosed]]))-1)</f>
        <v>15</v>
      </c>
      <c r="R4937" s="174" t="s">
        <v>5709</v>
      </c>
      <c r="S4937" s="150"/>
    </row>
    <row r="4938" spans="1:19" hidden="1">
      <c r="A4938" s="149" t="s">
        <v>7039</v>
      </c>
      <c r="B4938" s="150" t="str">
        <f>IFERROR(VLOOKUP(Proc[[#This Row],[App]],Table2[],3,0),"open")</f>
        <v>ok</v>
      </c>
      <c r="C4938" s="149" t="s">
        <v>369</v>
      </c>
      <c r="D4938" t="s">
        <v>7147</v>
      </c>
      <c r="E4938" s="149" t="s">
        <v>7238</v>
      </c>
      <c r="F4938" s="150" t="s">
        <v>7238</v>
      </c>
      <c r="G4938" s="149" t="s">
        <v>406</v>
      </c>
      <c r="H4938" s="150" t="str">
        <f>IF(Proc[[#This Row],[type]]="LFF (MDG-F)",MID(Proc[[#This Row],[Obj]],13,10),"")</f>
        <v>US01TQ1003</v>
      </c>
      <c r="I4938" s="149" t="s">
        <v>7238</v>
      </c>
      <c r="J4938" s="150" t="b">
        <f>Proc[[#This Row],[Requested]]=Proc[[#This Row],[CurrentParent]]</f>
        <v>1</v>
      </c>
      <c r="K4938" s="150" t="str">
        <f>IF(Proc[[#This Row],[Author]]="Marcela Urrego",VLOOKUP(LEFT(Proc[[#This Row],[Requested]],1),Table3[#All],2,0),VLOOKUP(Proc[[#This Row],[Author]],Table4[],2,0))</f>
        <v>EL</v>
      </c>
      <c r="L4938" s="150" t="s">
        <v>6435</v>
      </c>
      <c r="M4938" s="173">
        <v>45989</v>
      </c>
      <c r="N4938" s="174"/>
      <c r="O4938" s="174"/>
      <c r="P4938" s="174" t="str">
        <f ca="1">IF(Proc[[#This Row],[DaysAgeing]]&gt;5,"yep","on track")</f>
        <v>yep</v>
      </c>
      <c r="Q4938" s="3">
        <f ca="1">IF(Proc[[#This Row],[DateClosed]]="",ABS(NETWORKDAYS(Proc[[#This Row],[DateOpened]],TODAY()))-1,ABS(NETWORKDAYS(Proc[[#This Row],[DateOpened]],Proc[[#This Row],[DateClosed]]))-1)</f>
        <v>15</v>
      </c>
      <c r="R4938" s="174" t="s">
        <v>5709</v>
      </c>
      <c r="S4938" s="150"/>
    </row>
    <row r="4939" spans="1:19" hidden="1">
      <c r="A4939" s="149" t="s">
        <v>7039</v>
      </c>
      <c r="B4939" s="150" t="str">
        <f>IFERROR(VLOOKUP(Proc[[#This Row],[App]],Table2[],3,0),"open")</f>
        <v>ok</v>
      </c>
      <c r="C4939" s="149" t="s">
        <v>369</v>
      </c>
      <c r="D4939" t="s">
        <v>7148</v>
      </c>
      <c r="E4939" s="149" t="s">
        <v>7238</v>
      </c>
      <c r="F4939" s="150" t="s">
        <v>7238</v>
      </c>
      <c r="G4939" s="149" t="s">
        <v>406</v>
      </c>
      <c r="H4939" s="150" t="str">
        <f>IF(Proc[[#This Row],[type]]="LFF (MDG-F)",MID(Proc[[#This Row],[Obj]],13,10),"")</f>
        <v>US01TQ1004</v>
      </c>
      <c r="I4939" s="149" t="s">
        <v>7238</v>
      </c>
      <c r="J4939" s="150" t="b">
        <f>Proc[[#This Row],[Requested]]=Proc[[#This Row],[CurrentParent]]</f>
        <v>1</v>
      </c>
      <c r="K4939" s="150" t="str">
        <f>IF(Proc[[#This Row],[Author]]="Marcela Urrego",VLOOKUP(LEFT(Proc[[#This Row],[Requested]],1),Table3[#All],2,0),VLOOKUP(Proc[[#This Row],[Author]],Table4[],2,0))</f>
        <v>EL</v>
      </c>
      <c r="L4939" s="150" t="s">
        <v>6435</v>
      </c>
      <c r="M4939" s="173">
        <v>45989</v>
      </c>
      <c r="N4939" s="174"/>
      <c r="O4939" s="174"/>
      <c r="P4939" s="174" t="str">
        <f ca="1">IF(Proc[[#This Row],[DaysAgeing]]&gt;5,"yep","on track")</f>
        <v>yep</v>
      </c>
      <c r="Q4939" s="3">
        <f ca="1">IF(Proc[[#This Row],[DateClosed]]="",ABS(NETWORKDAYS(Proc[[#This Row],[DateOpened]],TODAY()))-1,ABS(NETWORKDAYS(Proc[[#This Row],[DateOpened]],Proc[[#This Row],[DateClosed]]))-1)</f>
        <v>15</v>
      </c>
      <c r="R4939" s="174" t="s">
        <v>5709</v>
      </c>
      <c r="S4939" s="150"/>
    </row>
    <row r="4940" spans="1:19" hidden="1">
      <c r="A4940" s="149" t="s">
        <v>7039</v>
      </c>
      <c r="B4940" s="150" t="str">
        <f>IFERROR(VLOOKUP(Proc[[#This Row],[App]],Table2[],3,0),"open")</f>
        <v>ok</v>
      </c>
      <c r="C4940" s="149" t="s">
        <v>369</v>
      </c>
      <c r="D4940" t="s">
        <v>7149</v>
      </c>
      <c r="E4940" s="149" t="s">
        <v>7238</v>
      </c>
      <c r="F4940" s="150" t="s">
        <v>7238</v>
      </c>
      <c r="G4940" s="149" t="s">
        <v>406</v>
      </c>
      <c r="H4940" s="150" t="str">
        <f>IF(Proc[[#This Row],[type]]="LFF (MDG-F)",MID(Proc[[#This Row],[Obj]],13,10),"")</f>
        <v>US01TQ1005</v>
      </c>
      <c r="I4940" s="149" t="s">
        <v>7238</v>
      </c>
      <c r="J4940" s="150" t="b">
        <f>Proc[[#This Row],[Requested]]=Proc[[#This Row],[CurrentParent]]</f>
        <v>1</v>
      </c>
      <c r="K4940" s="150" t="str">
        <f>IF(Proc[[#This Row],[Author]]="Marcela Urrego",VLOOKUP(LEFT(Proc[[#This Row],[Requested]],1),Table3[#All],2,0),VLOOKUP(Proc[[#This Row],[Author]],Table4[],2,0))</f>
        <v>EL</v>
      </c>
      <c r="L4940" s="150" t="s">
        <v>6435</v>
      </c>
      <c r="M4940" s="173">
        <v>45989</v>
      </c>
      <c r="N4940" s="174"/>
      <c r="O4940" s="174"/>
      <c r="P4940" s="174" t="str">
        <f ca="1">IF(Proc[[#This Row],[DaysAgeing]]&gt;5,"yep","on track")</f>
        <v>yep</v>
      </c>
      <c r="Q4940" s="3">
        <f ca="1">IF(Proc[[#This Row],[DateClosed]]="",ABS(NETWORKDAYS(Proc[[#This Row],[DateOpened]],TODAY()))-1,ABS(NETWORKDAYS(Proc[[#This Row],[DateOpened]],Proc[[#This Row],[DateClosed]]))-1)</f>
        <v>15</v>
      </c>
      <c r="R4940" s="174" t="s">
        <v>5709</v>
      </c>
      <c r="S4940" s="150"/>
    </row>
    <row r="4941" spans="1:19" hidden="1">
      <c r="A4941" s="149" t="s">
        <v>7039</v>
      </c>
      <c r="B4941" s="150" t="str">
        <f>IFERROR(VLOOKUP(Proc[[#This Row],[App]],Table2[],3,0),"open")</f>
        <v>ok</v>
      </c>
      <c r="C4941" s="149" t="s">
        <v>369</v>
      </c>
      <c r="D4941" t="s">
        <v>7150</v>
      </c>
      <c r="E4941" s="149" t="s">
        <v>7238</v>
      </c>
      <c r="F4941" s="150" t="s">
        <v>7238</v>
      </c>
      <c r="G4941" s="149" t="s">
        <v>406</v>
      </c>
      <c r="H4941" s="150" t="str">
        <f>IF(Proc[[#This Row],[type]]="LFF (MDG-F)",MID(Proc[[#This Row],[Obj]],13,10),"")</f>
        <v>US01TQ1006</v>
      </c>
      <c r="I4941" s="149" t="s">
        <v>7238</v>
      </c>
      <c r="J4941" s="150" t="b">
        <f>Proc[[#This Row],[Requested]]=Proc[[#This Row],[CurrentParent]]</f>
        <v>1</v>
      </c>
      <c r="K4941" s="150" t="str">
        <f>IF(Proc[[#This Row],[Author]]="Marcela Urrego",VLOOKUP(LEFT(Proc[[#This Row],[Requested]],1),Table3[#All],2,0),VLOOKUP(Proc[[#This Row],[Author]],Table4[],2,0))</f>
        <v>EL</v>
      </c>
      <c r="L4941" s="150" t="s">
        <v>6435</v>
      </c>
      <c r="M4941" s="173">
        <v>45989</v>
      </c>
      <c r="N4941" s="174"/>
      <c r="O4941" s="174"/>
      <c r="P4941" s="174" t="str">
        <f ca="1">IF(Proc[[#This Row],[DaysAgeing]]&gt;5,"yep","on track")</f>
        <v>yep</v>
      </c>
      <c r="Q4941" s="3">
        <f ca="1">IF(Proc[[#This Row],[DateClosed]]="",ABS(NETWORKDAYS(Proc[[#This Row],[DateOpened]],TODAY()))-1,ABS(NETWORKDAYS(Proc[[#This Row],[DateOpened]],Proc[[#This Row],[DateClosed]]))-1)</f>
        <v>15</v>
      </c>
      <c r="R4941" s="174" t="s">
        <v>5709</v>
      </c>
      <c r="S4941" s="150"/>
    </row>
    <row r="4942" spans="1:19" hidden="1">
      <c r="A4942" s="149" t="s">
        <v>7039</v>
      </c>
      <c r="B4942" s="150" t="str">
        <f>IFERROR(VLOOKUP(Proc[[#This Row],[App]],Table2[],3,0),"open")</f>
        <v>ok</v>
      </c>
      <c r="C4942" s="149" t="s">
        <v>369</v>
      </c>
      <c r="D4942" t="s">
        <v>7151</v>
      </c>
      <c r="E4942" s="149" t="s">
        <v>7238</v>
      </c>
      <c r="F4942" s="150" t="s">
        <v>7238</v>
      </c>
      <c r="G4942" s="149" t="s">
        <v>406</v>
      </c>
      <c r="H4942" s="150" t="str">
        <f>IF(Proc[[#This Row],[type]]="LFF (MDG-F)",MID(Proc[[#This Row],[Obj]],13,10),"")</f>
        <v>US01TQ1007</v>
      </c>
      <c r="I4942" s="149" t="s">
        <v>7238</v>
      </c>
      <c r="J4942" s="150" t="b">
        <f>Proc[[#This Row],[Requested]]=Proc[[#This Row],[CurrentParent]]</f>
        <v>1</v>
      </c>
      <c r="K4942" s="150" t="str">
        <f>IF(Proc[[#This Row],[Author]]="Marcela Urrego",VLOOKUP(LEFT(Proc[[#This Row],[Requested]],1),Table3[#All],2,0),VLOOKUP(Proc[[#This Row],[Author]],Table4[],2,0))</f>
        <v>EL</v>
      </c>
      <c r="L4942" s="150" t="s">
        <v>6435</v>
      </c>
      <c r="M4942" s="173">
        <v>45989</v>
      </c>
      <c r="N4942" s="174"/>
      <c r="O4942" s="174"/>
      <c r="P4942" s="174" t="str">
        <f ca="1">IF(Proc[[#This Row],[DaysAgeing]]&gt;5,"yep","on track")</f>
        <v>yep</v>
      </c>
      <c r="Q4942" s="3">
        <f ca="1">IF(Proc[[#This Row],[DateClosed]]="",ABS(NETWORKDAYS(Proc[[#This Row],[DateOpened]],TODAY()))-1,ABS(NETWORKDAYS(Proc[[#This Row],[DateOpened]],Proc[[#This Row],[DateClosed]]))-1)</f>
        <v>15</v>
      </c>
      <c r="R4942" s="174" t="s">
        <v>5709</v>
      </c>
      <c r="S4942" s="150"/>
    </row>
    <row r="4943" spans="1:19" hidden="1">
      <c r="A4943" s="149" t="s">
        <v>7039</v>
      </c>
      <c r="B4943" s="150" t="str">
        <f>IFERROR(VLOOKUP(Proc[[#This Row],[App]],Table2[],3,0),"open")</f>
        <v>ok</v>
      </c>
      <c r="C4943" s="149" t="s">
        <v>369</v>
      </c>
      <c r="D4943" t="s">
        <v>7152</v>
      </c>
      <c r="E4943" s="149" t="s">
        <v>7238</v>
      </c>
      <c r="F4943" s="150" t="s">
        <v>7238</v>
      </c>
      <c r="G4943" s="149" t="s">
        <v>406</v>
      </c>
      <c r="H4943" s="150" t="str">
        <f>IF(Proc[[#This Row],[type]]="LFF (MDG-F)",MID(Proc[[#This Row],[Obj]],13,10),"")</f>
        <v>US01TQ1008</v>
      </c>
      <c r="I4943" s="149" t="s">
        <v>7238</v>
      </c>
      <c r="J4943" s="150" t="b">
        <f>Proc[[#This Row],[Requested]]=Proc[[#This Row],[CurrentParent]]</f>
        <v>1</v>
      </c>
      <c r="K4943" s="150" t="str">
        <f>IF(Proc[[#This Row],[Author]]="Marcela Urrego",VLOOKUP(LEFT(Proc[[#This Row],[Requested]],1),Table3[#All],2,0),VLOOKUP(Proc[[#This Row],[Author]],Table4[],2,0))</f>
        <v>EL</v>
      </c>
      <c r="L4943" s="150" t="s">
        <v>6435</v>
      </c>
      <c r="M4943" s="173">
        <v>45989</v>
      </c>
      <c r="N4943" s="174"/>
      <c r="O4943" s="174"/>
      <c r="P4943" s="174" t="str">
        <f ca="1">IF(Proc[[#This Row],[DaysAgeing]]&gt;5,"yep","on track")</f>
        <v>yep</v>
      </c>
      <c r="Q4943" s="3">
        <f ca="1">IF(Proc[[#This Row],[DateClosed]]="",ABS(NETWORKDAYS(Proc[[#This Row],[DateOpened]],TODAY()))-1,ABS(NETWORKDAYS(Proc[[#This Row],[DateOpened]],Proc[[#This Row],[DateClosed]]))-1)</f>
        <v>15</v>
      </c>
      <c r="R4943" s="174" t="s">
        <v>5709</v>
      </c>
      <c r="S4943" s="150"/>
    </row>
    <row r="4944" spans="1:19" hidden="1">
      <c r="A4944" s="149" t="s">
        <v>7039</v>
      </c>
      <c r="B4944" s="150" t="str">
        <f>IFERROR(VLOOKUP(Proc[[#This Row],[App]],Table2[],3,0),"open")</f>
        <v>ok</v>
      </c>
      <c r="C4944" s="149" t="s">
        <v>369</v>
      </c>
      <c r="D4944" t="s">
        <v>7153</v>
      </c>
      <c r="E4944" s="149" t="s">
        <v>7238</v>
      </c>
      <c r="F4944" s="150" t="s">
        <v>7238</v>
      </c>
      <c r="G4944" s="149" t="s">
        <v>406</v>
      </c>
      <c r="H4944" s="150" t="str">
        <f>IF(Proc[[#This Row],[type]]="LFF (MDG-F)",MID(Proc[[#This Row],[Obj]],13,10),"")</f>
        <v>US01TQ1009</v>
      </c>
      <c r="I4944" s="149" t="s">
        <v>7238</v>
      </c>
      <c r="J4944" s="150" t="b">
        <f>Proc[[#This Row],[Requested]]=Proc[[#This Row],[CurrentParent]]</f>
        <v>1</v>
      </c>
      <c r="K4944" s="150" t="str">
        <f>IF(Proc[[#This Row],[Author]]="Marcela Urrego",VLOOKUP(LEFT(Proc[[#This Row],[Requested]],1),Table3[#All],2,0),VLOOKUP(Proc[[#This Row],[Author]],Table4[],2,0))</f>
        <v>EL</v>
      </c>
      <c r="L4944" s="150" t="s">
        <v>6435</v>
      </c>
      <c r="M4944" s="173">
        <v>45989</v>
      </c>
      <c r="N4944" s="174"/>
      <c r="O4944" s="174"/>
      <c r="P4944" s="174" t="str">
        <f ca="1">IF(Proc[[#This Row],[DaysAgeing]]&gt;5,"yep","on track")</f>
        <v>yep</v>
      </c>
      <c r="Q4944" s="3">
        <f ca="1">IF(Proc[[#This Row],[DateClosed]]="",ABS(NETWORKDAYS(Proc[[#This Row],[DateOpened]],TODAY()))-1,ABS(NETWORKDAYS(Proc[[#This Row],[DateOpened]],Proc[[#This Row],[DateClosed]]))-1)</f>
        <v>15</v>
      </c>
      <c r="R4944" s="174" t="s">
        <v>5709</v>
      </c>
      <c r="S4944" s="150"/>
    </row>
    <row r="4945" spans="1:19" hidden="1">
      <c r="A4945" s="149" t="s">
        <v>7039</v>
      </c>
      <c r="B4945" s="150" t="str">
        <f>IFERROR(VLOOKUP(Proc[[#This Row],[App]],Table2[],3,0),"open")</f>
        <v>ok</v>
      </c>
      <c r="C4945" s="149" t="s">
        <v>369</v>
      </c>
      <c r="D4945" t="s">
        <v>7154</v>
      </c>
      <c r="E4945" s="149" t="s">
        <v>7238</v>
      </c>
      <c r="F4945" s="150" t="s">
        <v>7238</v>
      </c>
      <c r="G4945" s="149" t="s">
        <v>406</v>
      </c>
      <c r="H4945" s="150" t="str">
        <f>IF(Proc[[#This Row],[type]]="LFF (MDG-F)",MID(Proc[[#This Row],[Obj]],13,10),"")</f>
        <v>US10TQ1001</v>
      </c>
      <c r="I4945" s="149" t="s">
        <v>7238</v>
      </c>
      <c r="J4945" s="150" t="b">
        <f>Proc[[#This Row],[Requested]]=Proc[[#This Row],[CurrentParent]]</f>
        <v>1</v>
      </c>
      <c r="K4945" s="150" t="str">
        <f>IF(Proc[[#This Row],[Author]]="Marcela Urrego",VLOOKUP(LEFT(Proc[[#This Row],[Requested]],1),Table3[#All],2,0),VLOOKUP(Proc[[#This Row],[Author]],Table4[],2,0))</f>
        <v>EL</v>
      </c>
      <c r="L4945" s="150" t="s">
        <v>6435</v>
      </c>
      <c r="M4945" s="173">
        <v>45989</v>
      </c>
      <c r="N4945" s="174"/>
      <c r="O4945" s="174"/>
      <c r="P4945" s="174" t="str">
        <f ca="1">IF(Proc[[#This Row],[DaysAgeing]]&gt;5,"yep","on track")</f>
        <v>yep</v>
      </c>
      <c r="Q4945" s="3">
        <f ca="1">IF(Proc[[#This Row],[DateClosed]]="",ABS(NETWORKDAYS(Proc[[#This Row],[DateOpened]],TODAY()))-1,ABS(NETWORKDAYS(Proc[[#This Row],[DateOpened]],Proc[[#This Row],[DateClosed]]))-1)</f>
        <v>15</v>
      </c>
      <c r="R4945" s="174" t="s">
        <v>5709</v>
      </c>
      <c r="S4945" s="150"/>
    </row>
    <row r="4946" spans="1:19" hidden="1">
      <c r="A4946" s="149" t="s">
        <v>7039</v>
      </c>
      <c r="B4946" s="150" t="str">
        <f>IFERROR(VLOOKUP(Proc[[#This Row],[App]],Table2[],3,0),"open")</f>
        <v>ok</v>
      </c>
      <c r="C4946" s="149" t="s">
        <v>369</v>
      </c>
      <c r="D4946" t="s">
        <v>7155</v>
      </c>
      <c r="E4946" s="149" t="s">
        <v>7238</v>
      </c>
      <c r="F4946" s="150" t="s">
        <v>7238</v>
      </c>
      <c r="G4946" s="149" t="s">
        <v>406</v>
      </c>
      <c r="H4946" s="150" t="str">
        <f>IF(Proc[[#This Row],[type]]="LFF (MDG-F)",MID(Proc[[#This Row],[Obj]],13,10),"")</f>
        <v>US10TQ1002</v>
      </c>
      <c r="I4946" s="149" t="s">
        <v>7238</v>
      </c>
      <c r="J4946" s="150" t="b">
        <f>Proc[[#This Row],[Requested]]=Proc[[#This Row],[CurrentParent]]</f>
        <v>1</v>
      </c>
      <c r="K4946" s="150" t="str">
        <f>IF(Proc[[#This Row],[Author]]="Marcela Urrego",VLOOKUP(LEFT(Proc[[#This Row],[Requested]],1),Table3[#All],2,0),VLOOKUP(Proc[[#This Row],[Author]],Table4[],2,0))</f>
        <v>EL</v>
      </c>
      <c r="L4946" s="150" t="s">
        <v>6435</v>
      </c>
      <c r="M4946" s="173">
        <v>45989</v>
      </c>
      <c r="N4946" s="174"/>
      <c r="O4946" s="174"/>
      <c r="P4946" s="174" t="str">
        <f ca="1">IF(Proc[[#This Row],[DaysAgeing]]&gt;5,"yep","on track")</f>
        <v>yep</v>
      </c>
      <c r="Q4946" s="3">
        <f ca="1">IF(Proc[[#This Row],[DateClosed]]="",ABS(NETWORKDAYS(Proc[[#This Row],[DateOpened]],TODAY()))-1,ABS(NETWORKDAYS(Proc[[#This Row],[DateOpened]],Proc[[#This Row],[DateClosed]]))-1)</f>
        <v>15</v>
      </c>
      <c r="R4946" s="174" t="s">
        <v>5709</v>
      </c>
      <c r="S4946" s="150"/>
    </row>
    <row r="4947" spans="1:19" hidden="1">
      <c r="A4947" s="149" t="s">
        <v>7039</v>
      </c>
      <c r="B4947" s="150" t="str">
        <f>IFERROR(VLOOKUP(Proc[[#This Row],[App]],Table2[],3,0),"open")</f>
        <v>ok</v>
      </c>
      <c r="C4947" s="149" t="s">
        <v>369</v>
      </c>
      <c r="D4947" t="s">
        <v>7156</v>
      </c>
      <c r="E4947" s="149" t="s">
        <v>7238</v>
      </c>
      <c r="F4947" s="150" t="s">
        <v>7238</v>
      </c>
      <c r="G4947" s="149" t="s">
        <v>406</v>
      </c>
      <c r="H4947" s="150" t="str">
        <f>IF(Proc[[#This Row],[type]]="LFF (MDG-F)",MID(Proc[[#This Row],[Obj]],13,10),"")</f>
        <v>US10TQ1003</v>
      </c>
      <c r="I4947" s="149" t="s">
        <v>7238</v>
      </c>
      <c r="J4947" s="150" t="b">
        <f>Proc[[#This Row],[Requested]]=Proc[[#This Row],[CurrentParent]]</f>
        <v>1</v>
      </c>
      <c r="K4947" s="150" t="str">
        <f>IF(Proc[[#This Row],[Author]]="Marcela Urrego",VLOOKUP(LEFT(Proc[[#This Row],[Requested]],1),Table3[#All],2,0),VLOOKUP(Proc[[#This Row],[Author]],Table4[],2,0))</f>
        <v>EL</v>
      </c>
      <c r="L4947" s="150" t="s">
        <v>6435</v>
      </c>
      <c r="M4947" s="173">
        <v>45989</v>
      </c>
      <c r="N4947" s="174"/>
      <c r="O4947" s="174"/>
      <c r="P4947" s="174" t="str">
        <f ca="1">IF(Proc[[#This Row],[DaysAgeing]]&gt;5,"yep","on track")</f>
        <v>yep</v>
      </c>
      <c r="Q4947" s="3">
        <f ca="1">IF(Proc[[#This Row],[DateClosed]]="",ABS(NETWORKDAYS(Proc[[#This Row],[DateOpened]],TODAY()))-1,ABS(NETWORKDAYS(Proc[[#This Row],[DateOpened]],Proc[[#This Row],[DateClosed]]))-1)</f>
        <v>15</v>
      </c>
      <c r="R4947" s="174" t="s">
        <v>5709</v>
      </c>
      <c r="S4947" s="150"/>
    </row>
    <row r="4948" spans="1:19" hidden="1">
      <c r="A4948" s="149" t="s">
        <v>7039</v>
      </c>
      <c r="B4948" s="150" t="str">
        <f>IFERROR(VLOOKUP(Proc[[#This Row],[App]],Table2[],3,0),"open")</f>
        <v>ok</v>
      </c>
      <c r="C4948" s="149" t="s">
        <v>369</v>
      </c>
      <c r="D4948" t="s">
        <v>7157</v>
      </c>
      <c r="E4948" s="149" t="s">
        <v>7238</v>
      </c>
      <c r="F4948" s="150" t="s">
        <v>7238</v>
      </c>
      <c r="G4948" s="149" t="s">
        <v>406</v>
      </c>
      <c r="H4948" s="150" t="str">
        <f>IF(Proc[[#This Row],[type]]="LFF (MDG-F)",MID(Proc[[#This Row],[Obj]],13,10),"")</f>
        <v>US10TQ1004</v>
      </c>
      <c r="I4948" s="149" t="s">
        <v>7238</v>
      </c>
      <c r="J4948" s="150" t="b">
        <f>Proc[[#This Row],[Requested]]=Proc[[#This Row],[CurrentParent]]</f>
        <v>1</v>
      </c>
      <c r="K4948" s="150" t="str">
        <f>IF(Proc[[#This Row],[Author]]="Marcela Urrego",VLOOKUP(LEFT(Proc[[#This Row],[Requested]],1),Table3[#All],2,0),VLOOKUP(Proc[[#This Row],[Author]],Table4[],2,0))</f>
        <v>EL</v>
      </c>
      <c r="L4948" s="150" t="s">
        <v>6435</v>
      </c>
      <c r="M4948" s="173">
        <v>45989</v>
      </c>
      <c r="N4948" s="174"/>
      <c r="O4948" s="174"/>
      <c r="P4948" s="174" t="str">
        <f ca="1">IF(Proc[[#This Row],[DaysAgeing]]&gt;5,"yep","on track")</f>
        <v>yep</v>
      </c>
      <c r="Q4948" s="3">
        <f ca="1">IF(Proc[[#This Row],[DateClosed]]="",ABS(NETWORKDAYS(Proc[[#This Row],[DateOpened]],TODAY()))-1,ABS(NETWORKDAYS(Proc[[#This Row],[DateOpened]],Proc[[#This Row],[DateClosed]]))-1)</f>
        <v>15</v>
      </c>
      <c r="R4948" s="174" t="s">
        <v>5709</v>
      </c>
      <c r="S4948" s="150"/>
    </row>
    <row r="4949" spans="1:19" hidden="1">
      <c r="A4949" s="149" t="s">
        <v>7039</v>
      </c>
      <c r="B4949" s="150" t="str">
        <f>IFERROR(VLOOKUP(Proc[[#This Row],[App]],Table2[],3,0),"open")</f>
        <v>ok</v>
      </c>
      <c r="C4949" s="149" t="s">
        <v>369</v>
      </c>
      <c r="D4949" t="s">
        <v>7158</v>
      </c>
      <c r="E4949" s="149" t="s">
        <v>7238</v>
      </c>
      <c r="F4949" s="150" t="s">
        <v>7238</v>
      </c>
      <c r="G4949" s="149" t="s">
        <v>406</v>
      </c>
      <c r="H4949" s="150" t="str">
        <f>IF(Proc[[#This Row],[type]]="LFF (MDG-F)",MID(Proc[[#This Row],[Obj]],13,10),"")</f>
        <v>US10TQ1005</v>
      </c>
      <c r="I4949" s="149" t="s">
        <v>7238</v>
      </c>
      <c r="J4949" s="150" t="b">
        <f>Proc[[#This Row],[Requested]]=Proc[[#This Row],[CurrentParent]]</f>
        <v>1</v>
      </c>
      <c r="K4949" s="150" t="str">
        <f>IF(Proc[[#This Row],[Author]]="Marcela Urrego",VLOOKUP(LEFT(Proc[[#This Row],[Requested]],1),Table3[#All],2,0),VLOOKUP(Proc[[#This Row],[Author]],Table4[],2,0))</f>
        <v>EL</v>
      </c>
      <c r="L4949" s="150" t="s">
        <v>6435</v>
      </c>
      <c r="M4949" s="173">
        <v>45989</v>
      </c>
      <c r="N4949" s="174"/>
      <c r="O4949" s="174"/>
      <c r="P4949" s="174" t="str">
        <f ca="1">IF(Proc[[#This Row],[DaysAgeing]]&gt;5,"yep","on track")</f>
        <v>yep</v>
      </c>
      <c r="Q4949" s="3">
        <f ca="1">IF(Proc[[#This Row],[DateClosed]]="",ABS(NETWORKDAYS(Proc[[#This Row],[DateOpened]],TODAY()))-1,ABS(NETWORKDAYS(Proc[[#This Row],[DateOpened]],Proc[[#This Row],[DateClosed]]))-1)</f>
        <v>15</v>
      </c>
      <c r="R4949" s="174" t="s">
        <v>5709</v>
      </c>
      <c r="S4949" s="150"/>
    </row>
    <row r="4950" spans="1:19" hidden="1">
      <c r="A4950" s="149" t="s">
        <v>7039</v>
      </c>
      <c r="B4950" s="150" t="str">
        <f>IFERROR(VLOOKUP(Proc[[#This Row],[App]],Table2[],3,0),"open")</f>
        <v>ok</v>
      </c>
      <c r="C4950" s="149" t="s">
        <v>369</v>
      </c>
      <c r="D4950" t="s">
        <v>7159</v>
      </c>
      <c r="E4950" s="149" t="s">
        <v>7238</v>
      </c>
      <c r="F4950" s="150" t="s">
        <v>7238</v>
      </c>
      <c r="G4950" s="149" t="s">
        <v>406</v>
      </c>
      <c r="H4950" s="150" t="str">
        <f>IF(Proc[[#This Row],[type]]="LFF (MDG-F)",MID(Proc[[#This Row],[Obj]],13,10),"")</f>
        <v>US10TQ1006</v>
      </c>
      <c r="I4950" s="149" t="s">
        <v>7238</v>
      </c>
      <c r="J4950" s="150" t="b">
        <f>Proc[[#This Row],[Requested]]=Proc[[#This Row],[CurrentParent]]</f>
        <v>1</v>
      </c>
      <c r="K4950" s="150" t="str">
        <f>IF(Proc[[#This Row],[Author]]="Marcela Urrego",VLOOKUP(LEFT(Proc[[#This Row],[Requested]],1),Table3[#All],2,0),VLOOKUP(Proc[[#This Row],[Author]],Table4[],2,0))</f>
        <v>EL</v>
      </c>
      <c r="L4950" s="150" t="s">
        <v>6435</v>
      </c>
      <c r="M4950" s="173">
        <v>45989</v>
      </c>
      <c r="N4950" s="174"/>
      <c r="O4950" s="174"/>
      <c r="P4950" s="174" t="str">
        <f ca="1">IF(Proc[[#This Row],[DaysAgeing]]&gt;5,"yep","on track")</f>
        <v>yep</v>
      </c>
      <c r="Q4950" s="3">
        <f ca="1">IF(Proc[[#This Row],[DateClosed]]="",ABS(NETWORKDAYS(Proc[[#This Row],[DateOpened]],TODAY()))-1,ABS(NETWORKDAYS(Proc[[#This Row],[DateOpened]],Proc[[#This Row],[DateClosed]]))-1)</f>
        <v>15</v>
      </c>
      <c r="R4950" s="174" t="s">
        <v>5709</v>
      </c>
      <c r="S4950" s="150"/>
    </row>
    <row r="4951" spans="1:19" hidden="1">
      <c r="A4951" s="149" t="s">
        <v>7039</v>
      </c>
      <c r="B4951" s="150" t="str">
        <f>IFERROR(VLOOKUP(Proc[[#This Row],[App]],Table2[],3,0),"open")</f>
        <v>ok</v>
      </c>
      <c r="C4951" s="149" t="s">
        <v>369</v>
      </c>
      <c r="D4951" t="s">
        <v>7160</v>
      </c>
      <c r="E4951" s="149" t="s">
        <v>7238</v>
      </c>
      <c r="F4951" s="150" t="s">
        <v>7238</v>
      </c>
      <c r="G4951" s="149" t="s">
        <v>406</v>
      </c>
      <c r="H4951" s="150" t="str">
        <f>IF(Proc[[#This Row],[type]]="LFF (MDG-F)",MID(Proc[[#This Row],[Obj]],13,10),"")</f>
        <v>US10TQ1007</v>
      </c>
      <c r="I4951" s="149" t="s">
        <v>7238</v>
      </c>
      <c r="J4951" s="150" t="b">
        <f>Proc[[#This Row],[Requested]]=Proc[[#This Row],[CurrentParent]]</f>
        <v>1</v>
      </c>
      <c r="K4951" s="150" t="str">
        <f>IF(Proc[[#This Row],[Author]]="Marcela Urrego",VLOOKUP(LEFT(Proc[[#This Row],[Requested]],1),Table3[#All],2,0),VLOOKUP(Proc[[#This Row],[Author]],Table4[],2,0))</f>
        <v>EL</v>
      </c>
      <c r="L4951" s="150" t="s">
        <v>6435</v>
      </c>
      <c r="M4951" s="173">
        <v>45989</v>
      </c>
      <c r="N4951" s="174"/>
      <c r="O4951" s="174"/>
      <c r="P4951" s="174" t="str">
        <f ca="1">IF(Proc[[#This Row],[DaysAgeing]]&gt;5,"yep","on track")</f>
        <v>yep</v>
      </c>
      <c r="Q4951" s="3">
        <f ca="1">IF(Proc[[#This Row],[DateClosed]]="",ABS(NETWORKDAYS(Proc[[#This Row],[DateOpened]],TODAY()))-1,ABS(NETWORKDAYS(Proc[[#This Row],[DateOpened]],Proc[[#This Row],[DateClosed]]))-1)</f>
        <v>15</v>
      </c>
      <c r="R4951" s="174" t="s">
        <v>5709</v>
      </c>
      <c r="S4951" s="150"/>
    </row>
    <row r="4952" spans="1:19" hidden="1">
      <c r="A4952" s="149" t="s">
        <v>7039</v>
      </c>
      <c r="B4952" s="150" t="str">
        <f>IFERROR(VLOOKUP(Proc[[#This Row],[App]],Table2[],3,0),"open")</f>
        <v>ok</v>
      </c>
      <c r="C4952" s="149" t="s">
        <v>369</v>
      </c>
      <c r="D4952" t="s">
        <v>7161</v>
      </c>
      <c r="E4952" s="149" t="s">
        <v>7238</v>
      </c>
      <c r="F4952" s="150" t="s">
        <v>7238</v>
      </c>
      <c r="G4952" s="149" t="s">
        <v>406</v>
      </c>
      <c r="H4952" s="150" t="str">
        <f>IF(Proc[[#This Row],[type]]="LFF (MDG-F)",MID(Proc[[#This Row],[Obj]],13,10),"")</f>
        <v>US10TQ1008</v>
      </c>
      <c r="I4952" s="149" t="s">
        <v>7238</v>
      </c>
      <c r="J4952" s="150" t="b">
        <f>Proc[[#This Row],[Requested]]=Proc[[#This Row],[CurrentParent]]</f>
        <v>1</v>
      </c>
      <c r="K4952" s="150" t="str">
        <f>IF(Proc[[#This Row],[Author]]="Marcela Urrego",VLOOKUP(LEFT(Proc[[#This Row],[Requested]],1),Table3[#All],2,0),VLOOKUP(Proc[[#This Row],[Author]],Table4[],2,0))</f>
        <v>EL</v>
      </c>
      <c r="L4952" s="150" t="s">
        <v>6435</v>
      </c>
      <c r="M4952" s="173">
        <v>45989</v>
      </c>
      <c r="N4952" s="174"/>
      <c r="O4952" s="174"/>
      <c r="P4952" s="174" t="str">
        <f ca="1">IF(Proc[[#This Row],[DaysAgeing]]&gt;5,"yep","on track")</f>
        <v>yep</v>
      </c>
      <c r="Q4952" s="3">
        <f ca="1">IF(Proc[[#This Row],[DateClosed]]="",ABS(NETWORKDAYS(Proc[[#This Row],[DateOpened]],TODAY()))-1,ABS(NETWORKDAYS(Proc[[#This Row],[DateOpened]],Proc[[#This Row],[DateClosed]]))-1)</f>
        <v>15</v>
      </c>
      <c r="R4952" s="174" t="s">
        <v>5709</v>
      </c>
      <c r="S4952" s="150"/>
    </row>
    <row r="4953" spans="1:19" hidden="1">
      <c r="A4953" s="149" t="s">
        <v>7039</v>
      </c>
      <c r="B4953" s="150" t="str">
        <f>IFERROR(VLOOKUP(Proc[[#This Row],[App]],Table2[],3,0),"open")</f>
        <v>ok</v>
      </c>
      <c r="C4953" s="149" t="s">
        <v>369</v>
      </c>
      <c r="D4953" t="s">
        <v>7162</v>
      </c>
      <c r="E4953" s="149" t="s">
        <v>7238</v>
      </c>
      <c r="F4953" s="150" t="s">
        <v>7238</v>
      </c>
      <c r="G4953" s="149" t="s">
        <v>406</v>
      </c>
      <c r="H4953" s="150" t="str">
        <f>IF(Proc[[#This Row],[type]]="LFF (MDG-F)",MID(Proc[[#This Row],[Obj]],13,10),"")</f>
        <v>US10TQ1009</v>
      </c>
      <c r="I4953" s="149" t="s">
        <v>7238</v>
      </c>
      <c r="J4953" s="150" t="b">
        <f>Proc[[#This Row],[Requested]]=Proc[[#This Row],[CurrentParent]]</f>
        <v>1</v>
      </c>
      <c r="K4953" s="150" t="str">
        <f>IF(Proc[[#This Row],[Author]]="Marcela Urrego",VLOOKUP(LEFT(Proc[[#This Row],[Requested]],1),Table3[#All],2,0),VLOOKUP(Proc[[#This Row],[Author]],Table4[],2,0))</f>
        <v>EL</v>
      </c>
      <c r="L4953" s="150" t="s">
        <v>6435</v>
      </c>
      <c r="M4953" s="173">
        <v>45989</v>
      </c>
      <c r="N4953" s="174"/>
      <c r="O4953" s="174"/>
      <c r="P4953" s="174" t="str">
        <f ca="1">IF(Proc[[#This Row],[DaysAgeing]]&gt;5,"yep","on track")</f>
        <v>yep</v>
      </c>
      <c r="Q4953" s="3">
        <f ca="1">IF(Proc[[#This Row],[DateClosed]]="",ABS(NETWORKDAYS(Proc[[#This Row],[DateOpened]],TODAY()))-1,ABS(NETWORKDAYS(Proc[[#This Row],[DateOpened]],Proc[[#This Row],[DateClosed]]))-1)</f>
        <v>15</v>
      </c>
      <c r="R4953" s="174" t="s">
        <v>5709</v>
      </c>
      <c r="S4953" s="150"/>
    </row>
    <row r="4954" spans="1:19" hidden="1">
      <c r="A4954" s="149" t="s">
        <v>7039</v>
      </c>
      <c r="B4954" s="150" t="str">
        <f>IFERROR(VLOOKUP(Proc[[#This Row],[App]],Table2[],3,0),"open")</f>
        <v>ok</v>
      </c>
      <c r="C4954" s="149" t="s">
        <v>369</v>
      </c>
      <c r="D4954" t="s">
        <v>7163</v>
      </c>
      <c r="E4954" s="149" t="s">
        <v>7238</v>
      </c>
      <c r="F4954" s="150" t="s">
        <v>7238</v>
      </c>
      <c r="G4954" s="149" t="s">
        <v>406</v>
      </c>
      <c r="H4954" s="150" t="str">
        <f>IF(Proc[[#This Row],[type]]="LFF (MDG-F)",MID(Proc[[#This Row],[Obj]],13,10),"")</f>
        <v>US10TQ1010</v>
      </c>
      <c r="I4954" s="149" t="s">
        <v>7238</v>
      </c>
      <c r="J4954" s="150" t="b">
        <f>Proc[[#This Row],[Requested]]=Proc[[#This Row],[CurrentParent]]</f>
        <v>1</v>
      </c>
      <c r="K4954" s="150" t="str">
        <f>IF(Proc[[#This Row],[Author]]="Marcela Urrego",VLOOKUP(LEFT(Proc[[#This Row],[Requested]],1),Table3[#All],2,0),VLOOKUP(Proc[[#This Row],[Author]],Table4[],2,0))</f>
        <v>EL</v>
      </c>
      <c r="L4954" s="150" t="s">
        <v>6435</v>
      </c>
      <c r="M4954" s="173">
        <v>45989</v>
      </c>
      <c r="N4954" s="174"/>
      <c r="O4954" s="174"/>
      <c r="P4954" s="174" t="str">
        <f ca="1">IF(Proc[[#This Row],[DaysAgeing]]&gt;5,"yep","on track")</f>
        <v>yep</v>
      </c>
      <c r="Q4954" s="3">
        <f ca="1">IF(Proc[[#This Row],[DateClosed]]="",ABS(NETWORKDAYS(Proc[[#This Row],[DateOpened]],TODAY()))-1,ABS(NETWORKDAYS(Proc[[#This Row],[DateOpened]],Proc[[#This Row],[DateClosed]]))-1)</f>
        <v>15</v>
      </c>
      <c r="R4954" s="174" t="s">
        <v>5709</v>
      </c>
      <c r="S4954" s="150"/>
    </row>
    <row r="4955" spans="1:19" hidden="1">
      <c r="A4955" s="149" t="s">
        <v>7039</v>
      </c>
      <c r="B4955" s="150" t="str">
        <f>IFERROR(VLOOKUP(Proc[[#This Row],[App]],Table2[],3,0),"open")</f>
        <v>ok</v>
      </c>
      <c r="C4955" s="149" t="s">
        <v>369</v>
      </c>
      <c r="D4955" t="s">
        <v>7164</v>
      </c>
      <c r="E4955" s="149" t="s">
        <v>7238</v>
      </c>
      <c r="F4955" s="150" t="s">
        <v>7238</v>
      </c>
      <c r="G4955" s="149" t="s">
        <v>406</v>
      </c>
      <c r="H4955" s="150" t="str">
        <f>IF(Proc[[#This Row],[type]]="LFF (MDG-F)",MID(Proc[[#This Row],[Obj]],13,10),"")</f>
        <v>US10TQ1011</v>
      </c>
      <c r="I4955" s="149" t="s">
        <v>7238</v>
      </c>
      <c r="J4955" s="150" t="b">
        <f>Proc[[#This Row],[Requested]]=Proc[[#This Row],[CurrentParent]]</f>
        <v>1</v>
      </c>
      <c r="K4955" s="150" t="str">
        <f>IF(Proc[[#This Row],[Author]]="Marcela Urrego",VLOOKUP(LEFT(Proc[[#This Row],[Requested]],1),Table3[#All],2,0),VLOOKUP(Proc[[#This Row],[Author]],Table4[],2,0))</f>
        <v>EL</v>
      </c>
      <c r="L4955" s="150" t="s">
        <v>6435</v>
      </c>
      <c r="M4955" s="173">
        <v>45989</v>
      </c>
      <c r="N4955" s="174"/>
      <c r="O4955" s="174"/>
      <c r="P4955" s="174" t="str">
        <f ca="1">IF(Proc[[#This Row],[DaysAgeing]]&gt;5,"yep","on track")</f>
        <v>yep</v>
      </c>
      <c r="Q4955" s="3">
        <f ca="1">IF(Proc[[#This Row],[DateClosed]]="",ABS(NETWORKDAYS(Proc[[#This Row],[DateOpened]],TODAY()))-1,ABS(NETWORKDAYS(Proc[[#This Row],[DateOpened]],Proc[[#This Row],[DateClosed]]))-1)</f>
        <v>15</v>
      </c>
      <c r="R4955" s="174" t="s">
        <v>5709</v>
      </c>
      <c r="S4955" s="150"/>
    </row>
    <row r="4956" spans="1:19" hidden="1">
      <c r="A4956" s="149" t="s">
        <v>7039</v>
      </c>
      <c r="B4956" s="150" t="str">
        <f>IFERROR(VLOOKUP(Proc[[#This Row],[App]],Table2[],3,0),"open")</f>
        <v>ok</v>
      </c>
      <c r="C4956" s="149" t="s">
        <v>369</v>
      </c>
      <c r="D4956" t="s">
        <v>7165</v>
      </c>
      <c r="E4956" s="149" t="s">
        <v>7238</v>
      </c>
      <c r="F4956" s="150" t="s">
        <v>7238</v>
      </c>
      <c r="G4956" s="149" t="s">
        <v>406</v>
      </c>
      <c r="H4956" s="150" t="str">
        <f>IF(Proc[[#This Row],[type]]="LFF (MDG-F)",MID(Proc[[#This Row],[Obj]],13,10),"")</f>
        <v>US10TQ1012</v>
      </c>
      <c r="I4956" s="149" t="s">
        <v>7238</v>
      </c>
      <c r="J4956" s="150" t="b">
        <f>Proc[[#This Row],[Requested]]=Proc[[#This Row],[CurrentParent]]</f>
        <v>1</v>
      </c>
      <c r="K4956" s="150" t="str">
        <f>IF(Proc[[#This Row],[Author]]="Marcela Urrego",VLOOKUP(LEFT(Proc[[#This Row],[Requested]],1),Table3[#All],2,0),VLOOKUP(Proc[[#This Row],[Author]],Table4[],2,0))</f>
        <v>EL</v>
      </c>
      <c r="L4956" s="150" t="s">
        <v>6435</v>
      </c>
      <c r="M4956" s="173">
        <v>45989</v>
      </c>
      <c r="N4956" s="174"/>
      <c r="O4956" s="174"/>
      <c r="P4956" s="174" t="str">
        <f ca="1">IF(Proc[[#This Row],[DaysAgeing]]&gt;5,"yep","on track")</f>
        <v>yep</v>
      </c>
      <c r="Q4956" s="3">
        <f ca="1">IF(Proc[[#This Row],[DateClosed]]="",ABS(NETWORKDAYS(Proc[[#This Row],[DateOpened]],TODAY()))-1,ABS(NETWORKDAYS(Proc[[#This Row],[DateOpened]],Proc[[#This Row],[DateClosed]]))-1)</f>
        <v>15</v>
      </c>
      <c r="R4956" s="174" t="s">
        <v>5709</v>
      </c>
      <c r="S4956" s="150"/>
    </row>
    <row r="4957" spans="1:19" hidden="1">
      <c r="A4957" s="149" t="s">
        <v>7039</v>
      </c>
      <c r="B4957" s="150" t="str">
        <f>IFERROR(VLOOKUP(Proc[[#This Row],[App]],Table2[],3,0),"open")</f>
        <v>ok</v>
      </c>
      <c r="C4957" s="149" t="s">
        <v>369</v>
      </c>
      <c r="D4957" t="s">
        <v>7166</v>
      </c>
      <c r="E4957" s="149" t="s">
        <v>7238</v>
      </c>
      <c r="F4957" s="150" t="s">
        <v>7238</v>
      </c>
      <c r="G4957" s="149" t="s">
        <v>406</v>
      </c>
      <c r="H4957" s="150" t="str">
        <f>IF(Proc[[#This Row],[type]]="LFF (MDG-F)",MID(Proc[[#This Row],[Obj]],13,10),"")</f>
        <v>US10TQ1013</v>
      </c>
      <c r="I4957" s="149" t="s">
        <v>7238</v>
      </c>
      <c r="J4957" s="150" t="b">
        <f>Proc[[#This Row],[Requested]]=Proc[[#This Row],[CurrentParent]]</f>
        <v>1</v>
      </c>
      <c r="K4957" s="150" t="str">
        <f>IF(Proc[[#This Row],[Author]]="Marcela Urrego",VLOOKUP(LEFT(Proc[[#This Row],[Requested]],1),Table3[#All],2,0),VLOOKUP(Proc[[#This Row],[Author]],Table4[],2,0))</f>
        <v>EL</v>
      </c>
      <c r="L4957" s="150" t="s">
        <v>6435</v>
      </c>
      <c r="M4957" s="173">
        <v>45989</v>
      </c>
      <c r="N4957" s="174"/>
      <c r="O4957" s="174"/>
      <c r="P4957" s="174" t="str">
        <f ca="1">IF(Proc[[#This Row],[DaysAgeing]]&gt;5,"yep","on track")</f>
        <v>yep</v>
      </c>
      <c r="Q4957" s="3">
        <f ca="1">IF(Proc[[#This Row],[DateClosed]]="",ABS(NETWORKDAYS(Proc[[#This Row],[DateOpened]],TODAY()))-1,ABS(NETWORKDAYS(Proc[[#This Row],[DateOpened]],Proc[[#This Row],[DateClosed]]))-1)</f>
        <v>15</v>
      </c>
      <c r="R4957" s="174" t="s">
        <v>5709</v>
      </c>
      <c r="S4957" s="150"/>
    </row>
    <row r="4958" spans="1:19" hidden="1">
      <c r="A4958" s="149" t="s">
        <v>7039</v>
      </c>
      <c r="B4958" s="150" t="str">
        <f>IFERROR(VLOOKUP(Proc[[#This Row],[App]],Table2[],3,0),"open")</f>
        <v>ok</v>
      </c>
      <c r="C4958" s="149" t="s">
        <v>369</v>
      </c>
      <c r="D4958" t="s">
        <v>7167</v>
      </c>
      <c r="E4958" s="149" t="s">
        <v>7239</v>
      </c>
      <c r="F4958" s="150" t="s">
        <v>7239</v>
      </c>
      <c r="G4958" s="149" t="s">
        <v>406</v>
      </c>
      <c r="H4958" s="150" t="str">
        <f>IF(Proc[[#This Row],[type]]="LFF (MDG-F)",MID(Proc[[#This Row],[Obj]],13,10),"")</f>
        <v>US01TPBZ01</v>
      </c>
      <c r="I4958" s="149" t="s">
        <v>7239</v>
      </c>
      <c r="J4958" s="150" t="b">
        <f>Proc[[#This Row],[Requested]]=Proc[[#This Row],[CurrentParent]]</f>
        <v>1</v>
      </c>
      <c r="K4958" s="150" t="str">
        <f>IF(Proc[[#This Row],[Author]]="Marcela Urrego",VLOOKUP(LEFT(Proc[[#This Row],[Requested]],1),Table3[#All],2,0),VLOOKUP(Proc[[#This Row],[Author]],Table4[],2,0))</f>
        <v>EL</v>
      </c>
      <c r="L4958" s="150" t="s">
        <v>6435</v>
      </c>
      <c r="M4958" s="173">
        <v>45989</v>
      </c>
      <c r="N4958" s="174"/>
      <c r="O4958" s="174"/>
      <c r="P4958" s="174" t="str">
        <f ca="1">IF(Proc[[#This Row],[DaysAgeing]]&gt;5,"yep","on track")</f>
        <v>yep</v>
      </c>
      <c r="Q4958" s="3">
        <f ca="1">IF(Proc[[#This Row],[DateClosed]]="",ABS(NETWORKDAYS(Proc[[#This Row],[DateOpened]],TODAY()))-1,ABS(NETWORKDAYS(Proc[[#This Row],[DateOpened]],Proc[[#This Row],[DateClosed]]))-1)</f>
        <v>15</v>
      </c>
      <c r="R4958" s="174" t="s">
        <v>5709</v>
      </c>
      <c r="S4958" s="150"/>
    </row>
    <row r="4959" spans="1:19" hidden="1">
      <c r="A4959" s="149" t="s">
        <v>7039</v>
      </c>
      <c r="B4959" s="150" t="str">
        <f>IFERROR(VLOOKUP(Proc[[#This Row],[App]],Table2[],3,0),"open")</f>
        <v>ok</v>
      </c>
      <c r="C4959" s="149" t="s">
        <v>369</v>
      </c>
      <c r="D4959" t="s">
        <v>7168</v>
      </c>
      <c r="E4959" s="149" t="s">
        <v>7239</v>
      </c>
      <c r="F4959" s="150" t="s">
        <v>7239</v>
      </c>
      <c r="G4959" s="149" t="s">
        <v>406</v>
      </c>
      <c r="H4959" s="150" t="str">
        <f>IF(Proc[[#This Row],[type]]="LFF (MDG-F)",MID(Proc[[#This Row],[Obj]],13,10),"")</f>
        <v>US01TPBZ02</v>
      </c>
      <c r="I4959" s="149" t="s">
        <v>7239</v>
      </c>
      <c r="J4959" s="150" t="b">
        <f>Proc[[#This Row],[Requested]]=Proc[[#This Row],[CurrentParent]]</f>
        <v>1</v>
      </c>
      <c r="K4959" s="150" t="str">
        <f>IF(Proc[[#This Row],[Author]]="Marcela Urrego",VLOOKUP(LEFT(Proc[[#This Row],[Requested]],1),Table3[#All],2,0),VLOOKUP(Proc[[#This Row],[Author]],Table4[],2,0))</f>
        <v>EL</v>
      </c>
      <c r="L4959" s="150" t="s">
        <v>6435</v>
      </c>
      <c r="M4959" s="173">
        <v>45989</v>
      </c>
      <c r="N4959" s="174"/>
      <c r="O4959" s="174"/>
      <c r="P4959" s="174" t="str">
        <f ca="1">IF(Proc[[#This Row],[DaysAgeing]]&gt;5,"yep","on track")</f>
        <v>yep</v>
      </c>
      <c r="Q4959" s="3">
        <f ca="1">IF(Proc[[#This Row],[DateClosed]]="",ABS(NETWORKDAYS(Proc[[#This Row],[DateOpened]],TODAY()))-1,ABS(NETWORKDAYS(Proc[[#This Row],[DateOpened]],Proc[[#This Row],[DateClosed]]))-1)</f>
        <v>15</v>
      </c>
      <c r="R4959" s="174" t="s">
        <v>5709</v>
      </c>
      <c r="S4959" s="150"/>
    </row>
    <row r="4960" spans="1:19" hidden="1">
      <c r="A4960" s="149" t="s">
        <v>7039</v>
      </c>
      <c r="B4960" s="150" t="str">
        <f>IFERROR(VLOOKUP(Proc[[#This Row],[App]],Table2[],3,0),"open")</f>
        <v>ok</v>
      </c>
      <c r="C4960" s="149" t="s">
        <v>369</v>
      </c>
      <c r="D4960" t="s">
        <v>7169</v>
      </c>
      <c r="E4960" s="149" t="s">
        <v>7239</v>
      </c>
      <c r="F4960" s="150" t="s">
        <v>7239</v>
      </c>
      <c r="G4960" s="149" t="s">
        <v>406</v>
      </c>
      <c r="H4960" s="150" t="str">
        <f>IF(Proc[[#This Row],[type]]="LFF (MDG-F)",MID(Proc[[#This Row],[Obj]],13,10),"")</f>
        <v>US01TQBZ01</v>
      </c>
      <c r="I4960" s="149" t="s">
        <v>7239</v>
      </c>
      <c r="J4960" s="150" t="b">
        <f>Proc[[#This Row],[Requested]]=Proc[[#This Row],[CurrentParent]]</f>
        <v>1</v>
      </c>
      <c r="K4960" s="150" t="str">
        <f>IF(Proc[[#This Row],[Author]]="Marcela Urrego",VLOOKUP(LEFT(Proc[[#This Row],[Requested]],1),Table3[#All],2,0),VLOOKUP(Proc[[#This Row],[Author]],Table4[],2,0))</f>
        <v>EL</v>
      </c>
      <c r="L4960" s="150" t="s">
        <v>6435</v>
      </c>
      <c r="M4960" s="173">
        <v>45989</v>
      </c>
      <c r="N4960" s="174"/>
      <c r="O4960" s="174"/>
      <c r="P4960" s="174" t="str">
        <f ca="1">IF(Proc[[#This Row],[DaysAgeing]]&gt;5,"yep","on track")</f>
        <v>yep</v>
      </c>
      <c r="Q4960" s="3">
        <f ca="1">IF(Proc[[#This Row],[DateClosed]]="",ABS(NETWORKDAYS(Proc[[#This Row],[DateOpened]],TODAY()))-1,ABS(NETWORKDAYS(Proc[[#This Row],[DateOpened]],Proc[[#This Row],[DateClosed]]))-1)</f>
        <v>15</v>
      </c>
      <c r="R4960" s="174" t="s">
        <v>5709</v>
      </c>
      <c r="S4960" s="150"/>
    </row>
    <row r="4961" spans="1:19" hidden="1">
      <c r="A4961" s="149" t="s">
        <v>7039</v>
      </c>
      <c r="B4961" s="150" t="str">
        <f>IFERROR(VLOOKUP(Proc[[#This Row],[App]],Table2[],3,0),"open")</f>
        <v>ok</v>
      </c>
      <c r="C4961" s="149" t="s">
        <v>369</v>
      </c>
      <c r="D4961" t="s">
        <v>7170</v>
      </c>
      <c r="E4961" s="149" t="s">
        <v>7239</v>
      </c>
      <c r="F4961" s="150" t="s">
        <v>7239</v>
      </c>
      <c r="G4961" s="149" t="s">
        <v>406</v>
      </c>
      <c r="H4961" s="150" t="str">
        <f>IF(Proc[[#This Row],[type]]="LFF (MDG-F)",MID(Proc[[#This Row],[Obj]],13,10),"")</f>
        <v>US01TQHZ01</v>
      </c>
      <c r="I4961" s="149" t="s">
        <v>7239</v>
      </c>
      <c r="J4961" s="150" t="b">
        <f>Proc[[#This Row],[Requested]]=Proc[[#This Row],[CurrentParent]]</f>
        <v>1</v>
      </c>
      <c r="K4961" s="150" t="str">
        <f>IF(Proc[[#This Row],[Author]]="Marcela Urrego",VLOOKUP(LEFT(Proc[[#This Row],[Requested]],1),Table3[#All],2,0),VLOOKUP(Proc[[#This Row],[Author]],Table4[],2,0))</f>
        <v>EL</v>
      </c>
      <c r="L4961" s="150" t="s">
        <v>6435</v>
      </c>
      <c r="M4961" s="173">
        <v>45989</v>
      </c>
      <c r="N4961" s="174"/>
      <c r="O4961" s="174"/>
      <c r="P4961" s="174" t="str">
        <f ca="1">IF(Proc[[#This Row],[DaysAgeing]]&gt;5,"yep","on track")</f>
        <v>yep</v>
      </c>
      <c r="Q4961" s="3">
        <f ca="1">IF(Proc[[#This Row],[DateClosed]]="",ABS(NETWORKDAYS(Proc[[#This Row],[DateOpened]],TODAY()))-1,ABS(NETWORKDAYS(Proc[[#This Row],[DateOpened]],Proc[[#This Row],[DateClosed]]))-1)</f>
        <v>15</v>
      </c>
      <c r="R4961" s="174" t="s">
        <v>5709</v>
      </c>
      <c r="S4961" s="150"/>
    </row>
    <row r="4962" spans="1:19" hidden="1">
      <c r="A4962" s="149" t="s">
        <v>7039</v>
      </c>
      <c r="B4962" s="150" t="str">
        <f>IFERROR(VLOOKUP(Proc[[#This Row],[App]],Table2[],3,0),"open")</f>
        <v>ok</v>
      </c>
      <c r="C4962" s="149" t="s">
        <v>369</v>
      </c>
      <c r="D4962" t="s">
        <v>7171</v>
      </c>
      <c r="E4962" s="149" t="s">
        <v>7239</v>
      </c>
      <c r="F4962" s="150" t="s">
        <v>7239</v>
      </c>
      <c r="G4962" s="149" t="s">
        <v>406</v>
      </c>
      <c r="H4962" s="150" t="str">
        <f>IF(Proc[[#This Row],[type]]="LFF (MDG-F)",MID(Proc[[#This Row],[Obj]],13,10),"")</f>
        <v>US01TQHZ03</v>
      </c>
      <c r="I4962" s="149" t="s">
        <v>7239</v>
      </c>
      <c r="J4962" s="150" t="b">
        <f>Proc[[#This Row],[Requested]]=Proc[[#This Row],[CurrentParent]]</f>
        <v>1</v>
      </c>
      <c r="K4962" s="150" t="str">
        <f>IF(Proc[[#This Row],[Author]]="Marcela Urrego",VLOOKUP(LEFT(Proc[[#This Row],[Requested]],1),Table3[#All],2,0),VLOOKUP(Proc[[#This Row],[Author]],Table4[],2,0))</f>
        <v>EL</v>
      </c>
      <c r="L4962" s="150" t="s">
        <v>6435</v>
      </c>
      <c r="M4962" s="173">
        <v>45989</v>
      </c>
      <c r="N4962" s="174"/>
      <c r="O4962" s="174"/>
      <c r="P4962" s="174" t="str">
        <f ca="1">IF(Proc[[#This Row],[DaysAgeing]]&gt;5,"yep","on track")</f>
        <v>yep</v>
      </c>
      <c r="Q4962" s="3">
        <f ca="1">IF(Proc[[#This Row],[DateClosed]]="",ABS(NETWORKDAYS(Proc[[#This Row],[DateOpened]],TODAY()))-1,ABS(NETWORKDAYS(Proc[[#This Row],[DateOpened]],Proc[[#This Row],[DateClosed]]))-1)</f>
        <v>15</v>
      </c>
      <c r="R4962" s="174" t="s">
        <v>5709</v>
      </c>
      <c r="S4962" s="150"/>
    </row>
    <row r="4963" spans="1:19" hidden="1">
      <c r="A4963" s="149" t="s">
        <v>7039</v>
      </c>
      <c r="B4963" s="150" t="str">
        <f>IFERROR(VLOOKUP(Proc[[#This Row],[App]],Table2[],3,0),"open")</f>
        <v>ok</v>
      </c>
      <c r="C4963" s="149" t="s">
        <v>369</v>
      </c>
      <c r="D4963" t="s">
        <v>7172</v>
      </c>
      <c r="E4963" s="149" t="s">
        <v>7239</v>
      </c>
      <c r="F4963" s="150" t="s">
        <v>7239</v>
      </c>
      <c r="G4963" s="149" t="s">
        <v>406</v>
      </c>
      <c r="H4963" s="150" t="str">
        <f>IF(Proc[[#This Row],[type]]="LFF (MDG-F)",MID(Proc[[#This Row],[Obj]],13,10),"")</f>
        <v>US10DB3000</v>
      </c>
      <c r="I4963" s="149" t="s">
        <v>7239</v>
      </c>
      <c r="J4963" s="150" t="b">
        <f>Proc[[#This Row],[Requested]]=Proc[[#This Row],[CurrentParent]]</f>
        <v>1</v>
      </c>
      <c r="K4963" s="150" t="str">
        <f>IF(Proc[[#This Row],[Author]]="Marcela Urrego",VLOOKUP(LEFT(Proc[[#This Row],[Requested]],1),Table3[#All],2,0),VLOOKUP(Proc[[#This Row],[Author]],Table4[],2,0))</f>
        <v>EL</v>
      </c>
      <c r="L4963" s="150" t="s">
        <v>6435</v>
      </c>
      <c r="M4963" s="173">
        <v>45989</v>
      </c>
      <c r="N4963" s="174"/>
      <c r="O4963" s="174"/>
      <c r="P4963" s="174" t="str">
        <f ca="1">IF(Proc[[#This Row],[DaysAgeing]]&gt;5,"yep","on track")</f>
        <v>yep</v>
      </c>
      <c r="Q4963" s="3">
        <f ca="1">IF(Proc[[#This Row],[DateClosed]]="",ABS(NETWORKDAYS(Proc[[#This Row],[DateOpened]],TODAY()))-1,ABS(NETWORKDAYS(Proc[[#This Row],[DateOpened]],Proc[[#This Row],[DateClosed]]))-1)</f>
        <v>15</v>
      </c>
      <c r="R4963" s="174" t="s">
        <v>5709</v>
      </c>
      <c r="S4963" s="150"/>
    </row>
    <row r="4964" spans="1:19" hidden="1">
      <c r="A4964" s="149" t="s">
        <v>7039</v>
      </c>
      <c r="B4964" s="150" t="str">
        <f>IFERROR(VLOOKUP(Proc[[#This Row],[App]],Table2[],3,0),"open")</f>
        <v>ok</v>
      </c>
      <c r="C4964" s="149" t="s">
        <v>369</v>
      </c>
      <c r="D4964" t="s">
        <v>7173</v>
      </c>
      <c r="E4964" s="149" t="s">
        <v>7239</v>
      </c>
      <c r="F4964" s="150" t="s">
        <v>7239</v>
      </c>
      <c r="G4964" s="149" t="s">
        <v>406</v>
      </c>
      <c r="H4964" s="150" t="str">
        <f>IF(Proc[[#This Row],[type]]="LFF (MDG-F)",MID(Proc[[#This Row],[Obj]],13,10),"")</f>
        <v>US10DB3012</v>
      </c>
      <c r="I4964" s="149" t="s">
        <v>7239</v>
      </c>
      <c r="J4964" s="150" t="b">
        <f>Proc[[#This Row],[Requested]]=Proc[[#This Row],[CurrentParent]]</f>
        <v>1</v>
      </c>
      <c r="K4964" s="150" t="str">
        <f>IF(Proc[[#This Row],[Author]]="Marcela Urrego",VLOOKUP(LEFT(Proc[[#This Row],[Requested]],1),Table3[#All],2,0),VLOOKUP(Proc[[#This Row],[Author]],Table4[],2,0))</f>
        <v>EL</v>
      </c>
      <c r="L4964" s="150" t="s">
        <v>6435</v>
      </c>
      <c r="M4964" s="173">
        <v>45989</v>
      </c>
      <c r="N4964" s="174"/>
      <c r="O4964" s="174"/>
      <c r="P4964" s="174" t="str">
        <f ca="1">IF(Proc[[#This Row],[DaysAgeing]]&gt;5,"yep","on track")</f>
        <v>yep</v>
      </c>
      <c r="Q4964" s="3">
        <f ca="1">IF(Proc[[#This Row],[DateClosed]]="",ABS(NETWORKDAYS(Proc[[#This Row],[DateOpened]],TODAY()))-1,ABS(NETWORKDAYS(Proc[[#This Row],[DateOpened]],Proc[[#This Row],[DateClosed]]))-1)</f>
        <v>15</v>
      </c>
      <c r="R4964" s="174" t="s">
        <v>5709</v>
      </c>
      <c r="S4964" s="150"/>
    </row>
    <row r="4965" spans="1:19" hidden="1">
      <c r="A4965" s="149" t="s">
        <v>7039</v>
      </c>
      <c r="B4965" s="150" t="str">
        <f>IFERROR(VLOOKUP(Proc[[#This Row],[App]],Table2[],3,0),"open")</f>
        <v>ok</v>
      </c>
      <c r="C4965" s="149" t="s">
        <v>369</v>
      </c>
      <c r="D4965" t="s">
        <v>7174</v>
      </c>
      <c r="E4965" s="149" t="s">
        <v>7239</v>
      </c>
      <c r="F4965" s="150" t="s">
        <v>7239</v>
      </c>
      <c r="G4965" s="149" t="s">
        <v>406</v>
      </c>
      <c r="H4965" s="150" t="str">
        <f>IF(Proc[[#This Row],[type]]="LFF (MDG-F)",MID(Proc[[#This Row],[Obj]],13,10),"")</f>
        <v>US10DB3013</v>
      </c>
      <c r="I4965" s="149" t="s">
        <v>7239</v>
      </c>
      <c r="J4965" s="150" t="b">
        <f>Proc[[#This Row],[Requested]]=Proc[[#This Row],[CurrentParent]]</f>
        <v>1</v>
      </c>
      <c r="K4965" s="150" t="str">
        <f>IF(Proc[[#This Row],[Author]]="Marcela Urrego",VLOOKUP(LEFT(Proc[[#This Row],[Requested]],1),Table3[#All],2,0),VLOOKUP(Proc[[#This Row],[Author]],Table4[],2,0))</f>
        <v>EL</v>
      </c>
      <c r="L4965" s="150" t="s">
        <v>6435</v>
      </c>
      <c r="M4965" s="173">
        <v>45989</v>
      </c>
      <c r="N4965" s="174"/>
      <c r="O4965" s="174"/>
      <c r="P4965" s="174" t="str">
        <f ca="1">IF(Proc[[#This Row],[DaysAgeing]]&gt;5,"yep","on track")</f>
        <v>yep</v>
      </c>
      <c r="Q4965" s="3">
        <f ca="1">IF(Proc[[#This Row],[DateClosed]]="",ABS(NETWORKDAYS(Proc[[#This Row],[DateOpened]],TODAY()))-1,ABS(NETWORKDAYS(Proc[[#This Row],[DateOpened]],Proc[[#This Row],[DateClosed]]))-1)</f>
        <v>15</v>
      </c>
      <c r="R4965" s="174" t="s">
        <v>5709</v>
      </c>
      <c r="S4965" s="150"/>
    </row>
    <row r="4966" spans="1:19" hidden="1">
      <c r="A4966" s="149" t="s">
        <v>7039</v>
      </c>
      <c r="B4966" s="150" t="str">
        <f>IFERROR(VLOOKUP(Proc[[#This Row],[App]],Table2[],3,0),"open")</f>
        <v>ok</v>
      </c>
      <c r="C4966" s="149" t="s">
        <v>369</v>
      </c>
      <c r="D4966" t="s">
        <v>7175</v>
      </c>
      <c r="E4966" s="149" t="s">
        <v>7239</v>
      </c>
      <c r="F4966" s="150" t="s">
        <v>7239</v>
      </c>
      <c r="G4966" s="149" t="s">
        <v>406</v>
      </c>
      <c r="H4966" s="150" t="str">
        <f>IF(Proc[[#This Row],[type]]="LFF (MDG-F)",MID(Proc[[#This Row],[Obj]],13,10),"")</f>
        <v>US10DB3016</v>
      </c>
      <c r="I4966" s="149" t="s">
        <v>7239</v>
      </c>
      <c r="J4966" s="150" t="b">
        <f>Proc[[#This Row],[Requested]]=Proc[[#This Row],[CurrentParent]]</f>
        <v>1</v>
      </c>
      <c r="K4966" s="150" t="str">
        <f>IF(Proc[[#This Row],[Author]]="Marcela Urrego",VLOOKUP(LEFT(Proc[[#This Row],[Requested]],1),Table3[#All],2,0),VLOOKUP(Proc[[#This Row],[Author]],Table4[],2,0))</f>
        <v>EL</v>
      </c>
      <c r="L4966" s="150" t="s">
        <v>6435</v>
      </c>
      <c r="M4966" s="173">
        <v>45989</v>
      </c>
      <c r="N4966" s="174"/>
      <c r="O4966" s="174"/>
      <c r="P4966" s="174" t="str">
        <f ca="1">IF(Proc[[#This Row],[DaysAgeing]]&gt;5,"yep","on track")</f>
        <v>yep</v>
      </c>
      <c r="Q4966" s="3">
        <f ca="1">IF(Proc[[#This Row],[DateClosed]]="",ABS(NETWORKDAYS(Proc[[#This Row],[DateOpened]],TODAY()))-1,ABS(NETWORKDAYS(Proc[[#This Row],[DateOpened]],Proc[[#This Row],[DateClosed]]))-1)</f>
        <v>15</v>
      </c>
      <c r="R4966" s="174" t="s">
        <v>5709</v>
      </c>
      <c r="S4966" s="150"/>
    </row>
    <row r="4967" spans="1:19" hidden="1">
      <c r="A4967" s="149" t="s">
        <v>7039</v>
      </c>
      <c r="B4967" s="150" t="str">
        <f>IFERROR(VLOOKUP(Proc[[#This Row],[App]],Table2[],3,0),"open")</f>
        <v>ok</v>
      </c>
      <c r="C4967" s="149" t="s">
        <v>369</v>
      </c>
      <c r="D4967" t="s">
        <v>7176</v>
      </c>
      <c r="E4967" s="149" t="s">
        <v>7239</v>
      </c>
      <c r="F4967" s="150" t="s">
        <v>7239</v>
      </c>
      <c r="G4967" s="149" t="s">
        <v>406</v>
      </c>
      <c r="H4967" s="150" t="str">
        <f>IF(Proc[[#This Row],[type]]="LFF (MDG-F)",MID(Proc[[#This Row],[Obj]],13,10),"")</f>
        <v>US10DB3017</v>
      </c>
      <c r="I4967" s="149" t="s">
        <v>7239</v>
      </c>
      <c r="J4967" s="150" t="b">
        <f>Proc[[#This Row],[Requested]]=Proc[[#This Row],[CurrentParent]]</f>
        <v>1</v>
      </c>
      <c r="K4967" s="150" t="str">
        <f>IF(Proc[[#This Row],[Author]]="Marcela Urrego",VLOOKUP(LEFT(Proc[[#This Row],[Requested]],1),Table3[#All],2,0),VLOOKUP(Proc[[#This Row],[Author]],Table4[],2,0))</f>
        <v>EL</v>
      </c>
      <c r="L4967" s="150" t="s">
        <v>6435</v>
      </c>
      <c r="M4967" s="173">
        <v>45989</v>
      </c>
      <c r="N4967" s="174"/>
      <c r="O4967" s="174"/>
      <c r="P4967" s="174" t="str">
        <f ca="1">IF(Proc[[#This Row],[DaysAgeing]]&gt;5,"yep","on track")</f>
        <v>yep</v>
      </c>
      <c r="Q4967" s="3">
        <f ca="1">IF(Proc[[#This Row],[DateClosed]]="",ABS(NETWORKDAYS(Proc[[#This Row],[DateOpened]],TODAY()))-1,ABS(NETWORKDAYS(Proc[[#This Row],[DateOpened]],Proc[[#This Row],[DateClosed]]))-1)</f>
        <v>15</v>
      </c>
      <c r="R4967" s="174" t="s">
        <v>5709</v>
      </c>
      <c r="S4967" s="150"/>
    </row>
    <row r="4968" spans="1:19" hidden="1">
      <c r="A4968" s="149" t="s">
        <v>7039</v>
      </c>
      <c r="B4968" s="150" t="str">
        <f>IFERROR(VLOOKUP(Proc[[#This Row],[App]],Table2[],3,0),"open")</f>
        <v>ok</v>
      </c>
      <c r="C4968" s="149" t="s">
        <v>369</v>
      </c>
      <c r="D4968" t="s">
        <v>7177</v>
      </c>
      <c r="E4968" s="149" t="s">
        <v>7239</v>
      </c>
      <c r="F4968" s="150" t="s">
        <v>7239</v>
      </c>
      <c r="G4968" s="149" t="s">
        <v>406</v>
      </c>
      <c r="H4968" s="150" t="str">
        <f>IF(Proc[[#This Row],[type]]="LFF (MDG-F)",MID(Proc[[#This Row],[Obj]],13,10),"")</f>
        <v>US01TM2001</v>
      </c>
      <c r="I4968" s="149" t="s">
        <v>7239</v>
      </c>
      <c r="J4968" s="150" t="b">
        <f>Proc[[#This Row],[Requested]]=Proc[[#This Row],[CurrentParent]]</f>
        <v>1</v>
      </c>
      <c r="K4968" s="150" t="str">
        <f>IF(Proc[[#This Row],[Author]]="Marcela Urrego",VLOOKUP(LEFT(Proc[[#This Row],[Requested]],1),Table3[#All],2,0),VLOOKUP(Proc[[#This Row],[Author]],Table4[],2,0))</f>
        <v>EL</v>
      </c>
      <c r="L4968" s="150" t="s">
        <v>6435</v>
      </c>
      <c r="M4968" s="173">
        <v>45989</v>
      </c>
      <c r="N4968" s="174"/>
      <c r="O4968" s="174"/>
      <c r="P4968" s="174" t="str">
        <f ca="1">IF(Proc[[#This Row],[DaysAgeing]]&gt;5,"yep","on track")</f>
        <v>yep</v>
      </c>
      <c r="Q4968" s="3">
        <f ca="1">IF(Proc[[#This Row],[DateClosed]]="",ABS(NETWORKDAYS(Proc[[#This Row],[DateOpened]],TODAY()))-1,ABS(NETWORKDAYS(Proc[[#This Row],[DateOpened]],Proc[[#This Row],[DateClosed]]))-1)</f>
        <v>15</v>
      </c>
      <c r="R4968" s="174" t="s">
        <v>5709</v>
      </c>
      <c r="S4968" s="150"/>
    </row>
    <row r="4969" spans="1:19" hidden="1">
      <c r="A4969" s="149" t="s">
        <v>7039</v>
      </c>
      <c r="B4969" s="150" t="str">
        <f>IFERROR(VLOOKUP(Proc[[#This Row],[App]],Table2[],3,0),"open")</f>
        <v>ok</v>
      </c>
      <c r="C4969" s="149" t="s">
        <v>369</v>
      </c>
      <c r="D4969" t="s">
        <v>7178</v>
      </c>
      <c r="E4969" s="149" t="s">
        <v>7239</v>
      </c>
      <c r="F4969" s="150" t="s">
        <v>7239</v>
      </c>
      <c r="G4969" s="149" t="s">
        <v>406</v>
      </c>
      <c r="H4969" s="150" t="str">
        <f>IF(Proc[[#This Row],[type]]="LFF (MDG-F)",MID(Proc[[#This Row],[Obj]],13,10),"")</f>
        <v>US10TM2010</v>
      </c>
      <c r="I4969" s="149" t="s">
        <v>7239</v>
      </c>
      <c r="J4969" s="150" t="b">
        <f>Proc[[#This Row],[Requested]]=Proc[[#This Row],[CurrentParent]]</f>
        <v>1</v>
      </c>
      <c r="K4969" s="150" t="str">
        <f>IF(Proc[[#This Row],[Author]]="Marcela Urrego",VLOOKUP(LEFT(Proc[[#This Row],[Requested]],1),Table3[#All],2,0),VLOOKUP(Proc[[#This Row],[Author]],Table4[],2,0))</f>
        <v>EL</v>
      </c>
      <c r="L4969" s="150" t="s">
        <v>6435</v>
      </c>
      <c r="M4969" s="173">
        <v>45989</v>
      </c>
      <c r="N4969" s="174"/>
      <c r="O4969" s="174"/>
      <c r="P4969" s="174" t="str">
        <f ca="1">IF(Proc[[#This Row],[DaysAgeing]]&gt;5,"yep","on track")</f>
        <v>yep</v>
      </c>
      <c r="Q4969" s="3">
        <f ca="1">IF(Proc[[#This Row],[DateClosed]]="",ABS(NETWORKDAYS(Proc[[#This Row],[DateOpened]],TODAY()))-1,ABS(NETWORKDAYS(Proc[[#This Row],[DateOpened]],Proc[[#This Row],[DateClosed]]))-1)</f>
        <v>15</v>
      </c>
      <c r="R4969" s="174" t="s">
        <v>5709</v>
      </c>
      <c r="S4969" s="150"/>
    </row>
    <row r="4970" spans="1:19" hidden="1">
      <c r="A4970" s="149" t="s">
        <v>7039</v>
      </c>
      <c r="B4970" s="150" t="str">
        <f>IFERROR(VLOOKUP(Proc[[#This Row],[App]],Table2[],3,0),"open")</f>
        <v>ok</v>
      </c>
      <c r="C4970" s="149" t="s">
        <v>369</v>
      </c>
      <c r="D4970" t="s">
        <v>7179</v>
      </c>
      <c r="E4970" s="149" t="s">
        <v>7240</v>
      </c>
      <c r="F4970" s="150" t="s">
        <v>7240</v>
      </c>
      <c r="G4970" s="149" t="s">
        <v>406</v>
      </c>
      <c r="H4970" s="150" t="str">
        <f>IF(Proc[[#This Row],[type]]="LFF (MDG-F)",MID(Proc[[#This Row],[Obj]],13,10),"")</f>
        <v>US01TPPZ04</v>
      </c>
      <c r="I4970" s="149" t="s">
        <v>7240</v>
      </c>
      <c r="J4970" s="150" t="b">
        <f>Proc[[#This Row],[Requested]]=Proc[[#This Row],[CurrentParent]]</f>
        <v>1</v>
      </c>
      <c r="K4970" s="150" t="str">
        <f>IF(Proc[[#This Row],[Author]]="Marcela Urrego",VLOOKUP(LEFT(Proc[[#This Row],[Requested]],1),Table3[#All],2,0),VLOOKUP(Proc[[#This Row],[Author]],Table4[],2,0))</f>
        <v>EL</v>
      </c>
      <c r="L4970" s="150" t="s">
        <v>6435</v>
      </c>
      <c r="M4970" s="173">
        <v>45989</v>
      </c>
      <c r="N4970" s="174"/>
      <c r="O4970" s="174"/>
      <c r="P4970" s="174" t="str">
        <f ca="1">IF(Proc[[#This Row],[DaysAgeing]]&gt;5,"yep","on track")</f>
        <v>yep</v>
      </c>
      <c r="Q4970" s="3">
        <f ca="1">IF(Proc[[#This Row],[DateClosed]]="",ABS(NETWORKDAYS(Proc[[#This Row],[DateOpened]],TODAY()))-1,ABS(NETWORKDAYS(Proc[[#This Row],[DateOpened]],Proc[[#This Row],[DateClosed]]))-1)</f>
        <v>15</v>
      </c>
      <c r="R4970" s="174" t="s">
        <v>5709</v>
      </c>
      <c r="S4970" s="150"/>
    </row>
    <row r="4971" spans="1:19" hidden="1">
      <c r="A4971" s="149" t="s">
        <v>7039</v>
      </c>
      <c r="B4971" s="150" t="str">
        <f>IFERROR(VLOOKUP(Proc[[#This Row],[App]],Table2[],3,0),"open")</f>
        <v>ok</v>
      </c>
      <c r="C4971" s="149" t="s">
        <v>369</v>
      </c>
      <c r="D4971" t="s">
        <v>7180</v>
      </c>
      <c r="E4971" s="149" t="s">
        <v>7240</v>
      </c>
      <c r="F4971" s="150" t="s">
        <v>7240</v>
      </c>
      <c r="G4971" s="149" t="s">
        <v>406</v>
      </c>
      <c r="H4971" s="150" t="str">
        <f>IF(Proc[[#This Row],[type]]="LFF (MDG-F)",MID(Proc[[#This Row],[Obj]],13,10),"")</f>
        <v>US10DB3003</v>
      </c>
      <c r="I4971" s="149" t="s">
        <v>7240</v>
      </c>
      <c r="J4971" s="150" t="b">
        <f>Proc[[#This Row],[Requested]]=Proc[[#This Row],[CurrentParent]]</f>
        <v>1</v>
      </c>
      <c r="K4971" s="150" t="str">
        <f>IF(Proc[[#This Row],[Author]]="Marcela Urrego",VLOOKUP(LEFT(Proc[[#This Row],[Requested]],1),Table3[#All],2,0),VLOOKUP(Proc[[#This Row],[Author]],Table4[],2,0))</f>
        <v>EL</v>
      </c>
      <c r="L4971" s="150" t="s">
        <v>6435</v>
      </c>
      <c r="M4971" s="173">
        <v>45989</v>
      </c>
      <c r="N4971" s="174"/>
      <c r="O4971" s="174"/>
      <c r="P4971" s="174" t="str">
        <f ca="1">IF(Proc[[#This Row],[DaysAgeing]]&gt;5,"yep","on track")</f>
        <v>yep</v>
      </c>
      <c r="Q4971" s="3">
        <f ca="1">IF(Proc[[#This Row],[DateClosed]]="",ABS(NETWORKDAYS(Proc[[#This Row],[DateOpened]],TODAY()))-1,ABS(NETWORKDAYS(Proc[[#This Row],[DateOpened]],Proc[[#This Row],[DateClosed]]))-1)</f>
        <v>15</v>
      </c>
      <c r="R4971" s="174" t="s">
        <v>5709</v>
      </c>
      <c r="S4971" s="150"/>
    </row>
    <row r="4972" spans="1:19" hidden="1">
      <c r="A4972" s="149" t="s">
        <v>7039</v>
      </c>
      <c r="B4972" s="150" t="str">
        <f>IFERROR(VLOOKUP(Proc[[#This Row],[App]],Table2[],3,0),"open")</f>
        <v>ok</v>
      </c>
      <c r="C4972" s="149" t="s">
        <v>369</v>
      </c>
      <c r="D4972" t="s">
        <v>7181</v>
      </c>
      <c r="E4972" s="149" t="s">
        <v>7240</v>
      </c>
      <c r="F4972" s="150" t="s">
        <v>7240</v>
      </c>
      <c r="G4972" s="149" t="s">
        <v>406</v>
      </c>
      <c r="H4972" s="150" t="str">
        <f>IF(Proc[[#This Row],[type]]="LFF (MDG-F)",MID(Proc[[#This Row],[Obj]],13,10),"")</f>
        <v>US10TM3001</v>
      </c>
      <c r="I4972" s="149" t="s">
        <v>7240</v>
      </c>
      <c r="J4972" s="150" t="b">
        <f>Proc[[#This Row],[Requested]]=Proc[[#This Row],[CurrentParent]]</f>
        <v>1</v>
      </c>
      <c r="K4972" s="150" t="str">
        <f>IF(Proc[[#This Row],[Author]]="Marcela Urrego",VLOOKUP(LEFT(Proc[[#This Row],[Requested]],1),Table3[#All],2,0),VLOOKUP(Proc[[#This Row],[Author]],Table4[],2,0))</f>
        <v>EL</v>
      </c>
      <c r="L4972" s="150" t="s">
        <v>6435</v>
      </c>
      <c r="M4972" s="173">
        <v>45989</v>
      </c>
      <c r="N4972" s="174"/>
      <c r="O4972" s="174"/>
      <c r="P4972" s="174" t="str">
        <f ca="1">IF(Proc[[#This Row],[DaysAgeing]]&gt;5,"yep","on track")</f>
        <v>yep</v>
      </c>
      <c r="Q4972" s="3">
        <f ca="1">IF(Proc[[#This Row],[DateClosed]]="",ABS(NETWORKDAYS(Proc[[#This Row],[DateOpened]],TODAY()))-1,ABS(NETWORKDAYS(Proc[[#This Row],[DateOpened]],Proc[[#This Row],[DateClosed]]))-1)</f>
        <v>15</v>
      </c>
      <c r="R4972" s="174" t="s">
        <v>5709</v>
      </c>
      <c r="S4972" s="150"/>
    </row>
    <row r="4973" spans="1:19" hidden="1">
      <c r="A4973" s="149" t="s">
        <v>7039</v>
      </c>
      <c r="B4973" s="150" t="str">
        <f>IFERROR(VLOOKUP(Proc[[#This Row],[App]],Table2[],3,0),"open")</f>
        <v>ok</v>
      </c>
      <c r="C4973" s="149" t="s">
        <v>369</v>
      </c>
      <c r="D4973" t="s">
        <v>7182</v>
      </c>
      <c r="E4973" s="149" t="s">
        <v>7240</v>
      </c>
      <c r="F4973" s="150" t="s">
        <v>7240</v>
      </c>
      <c r="G4973" s="149" t="s">
        <v>406</v>
      </c>
      <c r="H4973" s="150" t="str">
        <f>IF(Proc[[#This Row],[type]]="LFF (MDG-F)",MID(Proc[[#This Row],[Obj]],13,10),"")</f>
        <v>US10TM3002</v>
      </c>
      <c r="I4973" s="149" t="s">
        <v>7240</v>
      </c>
      <c r="J4973" s="150" t="b">
        <f>Proc[[#This Row],[Requested]]=Proc[[#This Row],[CurrentParent]]</f>
        <v>1</v>
      </c>
      <c r="K4973" s="150" t="str">
        <f>IF(Proc[[#This Row],[Author]]="Marcela Urrego",VLOOKUP(LEFT(Proc[[#This Row],[Requested]],1),Table3[#All],2,0),VLOOKUP(Proc[[#This Row],[Author]],Table4[],2,0))</f>
        <v>EL</v>
      </c>
      <c r="L4973" s="150" t="s">
        <v>6435</v>
      </c>
      <c r="M4973" s="173">
        <v>45989</v>
      </c>
      <c r="N4973" s="174"/>
      <c r="O4973" s="174"/>
      <c r="P4973" s="174" t="str">
        <f ca="1">IF(Proc[[#This Row],[DaysAgeing]]&gt;5,"yep","on track")</f>
        <v>yep</v>
      </c>
      <c r="Q4973" s="3">
        <f ca="1">IF(Proc[[#This Row],[DateClosed]]="",ABS(NETWORKDAYS(Proc[[#This Row],[DateOpened]],TODAY()))-1,ABS(NETWORKDAYS(Proc[[#This Row],[DateOpened]],Proc[[#This Row],[DateClosed]]))-1)</f>
        <v>15</v>
      </c>
      <c r="R4973" s="174" t="s">
        <v>5709</v>
      </c>
      <c r="S4973" s="150"/>
    </row>
    <row r="4974" spans="1:19" hidden="1">
      <c r="A4974" s="149" t="s">
        <v>7039</v>
      </c>
      <c r="B4974" s="150" t="str">
        <f>IFERROR(VLOOKUP(Proc[[#This Row],[App]],Table2[],3,0),"open")</f>
        <v>ok</v>
      </c>
      <c r="C4974" s="149" t="s">
        <v>369</v>
      </c>
      <c r="D4974" t="s">
        <v>7183</v>
      </c>
      <c r="E4974" s="149" t="s">
        <v>7241</v>
      </c>
      <c r="F4974" s="150" t="s">
        <v>7241</v>
      </c>
      <c r="G4974" s="149" t="s">
        <v>406</v>
      </c>
      <c r="H4974" s="150" t="str">
        <f>IF(Proc[[#This Row],[type]]="LFF (MDG-F)",MID(Proc[[#This Row],[Obj]],13,10),"")</f>
        <v>US10DB3014</v>
      </c>
      <c r="I4974" s="149" t="s">
        <v>7241</v>
      </c>
      <c r="J4974" s="150" t="b">
        <f>Proc[[#This Row],[Requested]]=Proc[[#This Row],[CurrentParent]]</f>
        <v>1</v>
      </c>
      <c r="K4974" s="150" t="str">
        <f>IF(Proc[[#This Row],[Author]]="Marcela Urrego",VLOOKUP(LEFT(Proc[[#This Row],[Requested]],1),Table3[#All],2,0),VLOOKUP(Proc[[#This Row],[Author]],Table4[],2,0))</f>
        <v>EL</v>
      </c>
      <c r="L4974" s="150" t="s">
        <v>6435</v>
      </c>
      <c r="M4974" s="173">
        <v>45989</v>
      </c>
      <c r="N4974" s="174"/>
      <c r="O4974" s="174"/>
      <c r="P4974" s="174" t="str">
        <f ca="1">IF(Proc[[#This Row],[DaysAgeing]]&gt;5,"yep","on track")</f>
        <v>yep</v>
      </c>
      <c r="Q4974" s="3">
        <f ca="1">IF(Proc[[#This Row],[DateClosed]]="",ABS(NETWORKDAYS(Proc[[#This Row],[DateOpened]],TODAY()))-1,ABS(NETWORKDAYS(Proc[[#This Row],[DateOpened]],Proc[[#This Row],[DateClosed]]))-1)</f>
        <v>15</v>
      </c>
      <c r="R4974" s="174" t="s">
        <v>5709</v>
      </c>
      <c r="S4974" s="150"/>
    </row>
    <row r="4975" spans="1:19" hidden="1">
      <c r="A4975" t="s">
        <v>7192</v>
      </c>
      <c r="B4975" s="150" t="str">
        <f>IFERROR(VLOOKUP(Proc[[#This Row],[App]],Table2[],3,0),"open")</f>
        <v>ok</v>
      </c>
      <c r="C4975" s="149" t="s">
        <v>369</v>
      </c>
      <c r="D4975" t="s">
        <v>7184</v>
      </c>
      <c r="E4975" t="s">
        <v>7189</v>
      </c>
      <c r="F4975" s="150" t="s">
        <v>7189</v>
      </c>
      <c r="G4975" s="149" t="s">
        <v>406</v>
      </c>
      <c r="H4975" s="150" t="str">
        <f>IF(Proc[[#This Row],[type]]="LFF (MDG-F)",MID(Proc[[#This Row],[Obj]],13,10),"")</f>
        <v>DE10B08450</v>
      </c>
      <c r="J4975" s="150" t="b">
        <f>Proc[[#This Row],[Requested]]=Proc[[#This Row],[CurrentParent]]</f>
        <v>1</v>
      </c>
      <c r="K4975" s="150" t="str">
        <f>IF(Proc[[#This Row],[Author]]="Marcela Urrego",VLOOKUP(LEFT(Proc[[#This Row],[Requested]],1),Table3[#All],2,0),VLOOKUP(Proc[[#This Row],[Author]],Table4[],2,0))</f>
        <v>???</v>
      </c>
      <c r="L4975" s="150" t="s">
        <v>6435</v>
      </c>
      <c r="M4975" s="173">
        <v>45992</v>
      </c>
      <c r="N4975" s="174"/>
      <c r="O4975" s="174"/>
      <c r="P4975" s="174" t="str">
        <f ca="1">IF(Proc[[#This Row],[DaysAgeing]]&gt;5,"yep","on track")</f>
        <v>yep</v>
      </c>
      <c r="Q4975" s="3">
        <f ca="1">IF(Proc[[#This Row],[DateClosed]]="",ABS(NETWORKDAYS(Proc[[#This Row],[DateOpened]],TODAY()))-1,ABS(NETWORKDAYS(Proc[[#This Row],[DateOpened]],Proc[[#This Row],[DateClosed]]))-1)</f>
        <v>14</v>
      </c>
      <c r="R4975" s="174" t="s">
        <v>7193</v>
      </c>
      <c r="S4975" s="150"/>
    </row>
    <row r="4976" spans="1:19" hidden="1">
      <c r="A4976" t="s">
        <v>7192</v>
      </c>
      <c r="B4976" s="150" t="str">
        <f>IFERROR(VLOOKUP(Proc[[#This Row],[App]],Table2[],3,0),"open")</f>
        <v>ok</v>
      </c>
      <c r="C4976" s="149" t="s">
        <v>369</v>
      </c>
      <c r="D4976" t="s">
        <v>7185</v>
      </c>
      <c r="E4976" t="s">
        <v>7190</v>
      </c>
      <c r="F4976" s="150" t="s">
        <v>7190</v>
      </c>
      <c r="G4976" s="149" t="s">
        <v>406</v>
      </c>
      <c r="H4976" s="150" t="str">
        <f>IF(Proc[[#This Row],[type]]="LFF (MDG-F)",MID(Proc[[#This Row],[Obj]],13,10),"")</f>
        <v>DE10A48610</v>
      </c>
      <c r="J4976" s="150" t="b">
        <f>Proc[[#This Row],[Requested]]=Proc[[#This Row],[CurrentParent]]</f>
        <v>1</v>
      </c>
      <c r="K4976" s="150" t="str">
        <f>IF(Proc[[#This Row],[Author]]="Marcela Urrego",VLOOKUP(LEFT(Proc[[#This Row],[Requested]],1),Table3[#All],2,0),VLOOKUP(Proc[[#This Row],[Author]],Table4[],2,0))</f>
        <v>???</v>
      </c>
      <c r="L4976" s="150" t="s">
        <v>6435</v>
      </c>
      <c r="M4976" s="173">
        <v>45992</v>
      </c>
      <c r="N4976" s="174"/>
      <c r="O4976" s="174"/>
      <c r="P4976" s="174" t="str">
        <f ca="1">IF(Proc[[#This Row],[DaysAgeing]]&gt;5,"yep","on track")</f>
        <v>yep</v>
      </c>
      <c r="Q4976" s="3">
        <f ca="1">IF(Proc[[#This Row],[DateClosed]]="",ABS(NETWORKDAYS(Proc[[#This Row],[DateOpened]],TODAY()))-1,ABS(NETWORKDAYS(Proc[[#This Row],[DateOpened]],Proc[[#This Row],[DateClosed]]))-1)</f>
        <v>14</v>
      </c>
      <c r="R4976" s="174" t="s">
        <v>7193</v>
      </c>
      <c r="S4976" s="150"/>
    </row>
    <row r="4977" spans="1:19" hidden="1">
      <c r="A4977" s="149" t="s">
        <v>7192</v>
      </c>
      <c r="B4977" s="150" t="str">
        <f>IFERROR(VLOOKUP(Proc[[#This Row],[App]],Table2[],3,0),"open")</f>
        <v>ok</v>
      </c>
      <c r="C4977" s="149" t="s">
        <v>369</v>
      </c>
      <c r="D4977" t="s">
        <v>7186</v>
      </c>
      <c r="E4977" t="s">
        <v>7190</v>
      </c>
      <c r="F4977" s="150" t="s">
        <v>7190</v>
      </c>
      <c r="G4977" s="149" t="s">
        <v>406</v>
      </c>
      <c r="H4977" s="150" t="str">
        <f>IF(Proc[[#This Row],[type]]="LFF (MDG-F)",MID(Proc[[#This Row],[Obj]],13,10),"")</f>
        <v>DE10A48607</v>
      </c>
      <c r="J4977" s="150" t="b">
        <f>Proc[[#This Row],[Requested]]=Proc[[#This Row],[CurrentParent]]</f>
        <v>1</v>
      </c>
      <c r="K4977" s="150" t="str">
        <f>IF(Proc[[#This Row],[Author]]="Marcela Urrego",VLOOKUP(LEFT(Proc[[#This Row],[Requested]],1),Table3[#All],2,0),VLOOKUP(Proc[[#This Row],[Author]],Table4[],2,0))</f>
        <v>???</v>
      </c>
      <c r="L4977" s="150" t="s">
        <v>6435</v>
      </c>
      <c r="M4977" s="173">
        <v>45992</v>
      </c>
      <c r="N4977" s="174"/>
      <c r="O4977" s="174"/>
      <c r="P4977" s="174" t="str">
        <f ca="1">IF(Proc[[#This Row],[DaysAgeing]]&gt;5,"yep","on track")</f>
        <v>yep</v>
      </c>
      <c r="Q4977" s="3">
        <f ca="1">IF(Proc[[#This Row],[DateClosed]]="",ABS(NETWORKDAYS(Proc[[#This Row],[DateOpened]],TODAY()))-1,ABS(NETWORKDAYS(Proc[[#This Row],[DateOpened]],Proc[[#This Row],[DateClosed]]))-1)</f>
        <v>14</v>
      </c>
      <c r="R4977" s="174" t="s">
        <v>7193</v>
      </c>
      <c r="S4977" s="150"/>
    </row>
    <row r="4978" spans="1:19" hidden="1">
      <c r="A4978" s="149" t="s">
        <v>7192</v>
      </c>
      <c r="B4978" s="150" t="str">
        <f>IFERROR(VLOOKUP(Proc[[#This Row],[App]],Table2[],3,0),"open")</f>
        <v>ok</v>
      </c>
      <c r="C4978" s="149" t="s">
        <v>369</v>
      </c>
      <c r="D4978" t="s">
        <v>7187</v>
      </c>
      <c r="E4978" t="s">
        <v>4114</v>
      </c>
      <c r="F4978" s="150" t="s">
        <v>4114</v>
      </c>
      <c r="G4978" s="149" t="s">
        <v>406</v>
      </c>
      <c r="H4978" s="150" t="str">
        <f>IF(Proc[[#This Row],[type]]="LFF (MDG-F)",MID(Proc[[#This Row],[Obj]],13,10),"")</f>
        <v>DE10538392</v>
      </c>
      <c r="J4978" s="150" t="b">
        <f>Proc[[#This Row],[Requested]]=Proc[[#This Row],[CurrentParent]]</f>
        <v>1</v>
      </c>
      <c r="K4978" s="150" t="str">
        <f>IF(Proc[[#This Row],[Author]]="Marcela Urrego",VLOOKUP(LEFT(Proc[[#This Row],[Requested]],1),Table3[#All],2,0),VLOOKUP(Proc[[#This Row],[Author]],Table4[],2,0))</f>
        <v>???</v>
      </c>
      <c r="L4978" s="150" t="s">
        <v>6435</v>
      </c>
      <c r="M4978" s="173">
        <v>45992</v>
      </c>
      <c r="N4978" s="174"/>
      <c r="O4978" s="174"/>
      <c r="P4978" s="174" t="str">
        <f ca="1">IF(Proc[[#This Row],[DaysAgeing]]&gt;5,"yep","on track")</f>
        <v>yep</v>
      </c>
      <c r="Q4978" s="3">
        <f ca="1">IF(Proc[[#This Row],[DateClosed]]="",ABS(NETWORKDAYS(Proc[[#This Row],[DateOpened]],TODAY()))-1,ABS(NETWORKDAYS(Proc[[#This Row],[DateOpened]],Proc[[#This Row],[DateClosed]]))-1)</f>
        <v>14</v>
      </c>
      <c r="R4978" s="174" t="s">
        <v>7193</v>
      </c>
      <c r="S4978" s="150"/>
    </row>
    <row r="4979" spans="1:19" hidden="1">
      <c r="A4979" s="149" t="s">
        <v>7192</v>
      </c>
      <c r="B4979" s="150" t="str">
        <f>IFERROR(VLOOKUP(Proc[[#This Row],[App]],Table2[],3,0),"open")</f>
        <v>ok</v>
      </c>
      <c r="C4979" s="149" t="s">
        <v>369</v>
      </c>
      <c r="D4979" t="s">
        <v>7188</v>
      </c>
      <c r="E4979" t="s">
        <v>7191</v>
      </c>
      <c r="F4979" s="150" t="s">
        <v>7191</v>
      </c>
      <c r="G4979" s="149" t="s">
        <v>406</v>
      </c>
      <c r="H4979" s="150" t="str">
        <f>IF(Proc[[#This Row],[type]]="LFF (MDG-F)",MID(Proc[[#This Row],[Obj]],13,10),"")</f>
        <v>DE20700060</v>
      </c>
      <c r="J4979" s="150" t="b">
        <f>Proc[[#This Row],[Requested]]=Proc[[#This Row],[CurrentParent]]</f>
        <v>1</v>
      </c>
      <c r="K4979" s="150" t="str">
        <f>IF(Proc[[#This Row],[Author]]="Marcela Urrego",VLOOKUP(LEFT(Proc[[#This Row],[Requested]],1),Table3[#All],2,0),VLOOKUP(Proc[[#This Row],[Author]],Table4[],2,0))</f>
        <v>???</v>
      </c>
      <c r="L4979" s="150" t="s">
        <v>6435</v>
      </c>
      <c r="M4979" s="173">
        <v>45992</v>
      </c>
      <c r="N4979" s="174"/>
      <c r="O4979" s="174"/>
      <c r="P4979" s="174" t="str">
        <f ca="1">IF(Proc[[#This Row],[DaysAgeing]]&gt;5,"yep","on track")</f>
        <v>yep</v>
      </c>
      <c r="Q4979" s="3">
        <f ca="1">IF(Proc[[#This Row],[DateClosed]]="",ABS(NETWORKDAYS(Proc[[#This Row],[DateOpened]],TODAY()))-1,ABS(NETWORKDAYS(Proc[[#This Row],[DateOpened]],Proc[[#This Row],[DateClosed]]))-1)</f>
        <v>14</v>
      </c>
      <c r="R4979" s="174" t="s">
        <v>7193</v>
      </c>
      <c r="S4979" s="150"/>
    </row>
    <row r="4980" spans="1:19" hidden="1">
      <c r="A4980" t="s">
        <v>7195</v>
      </c>
      <c r="B4980" s="150" t="str">
        <f>IFERROR(VLOOKUP(Proc[[#This Row],[App]],Table2[],3,0),"open")</f>
        <v>ok</v>
      </c>
      <c r="C4980" s="149" t="s">
        <v>369</v>
      </c>
      <c r="D4980" t="s">
        <v>7196</v>
      </c>
      <c r="E4980" s="149" t="s">
        <v>7242</v>
      </c>
      <c r="F4980" s="150" t="s">
        <v>7242</v>
      </c>
      <c r="G4980" t="s">
        <v>400</v>
      </c>
      <c r="H4980" s="150" t="str">
        <f>IF(Proc[[#This Row],[type]]="LFF (MDG-F)",MID(Proc[[#This Row],[Obj]],13,10),"")</f>
        <v/>
      </c>
      <c r="I4980" s="149" t="s">
        <v>7242</v>
      </c>
      <c r="J4980" s="150" t="b">
        <f>Proc[[#This Row],[Requested]]=Proc[[#This Row],[CurrentParent]]</f>
        <v>1</v>
      </c>
      <c r="K4980" s="150" t="str">
        <f>IF(Proc[[#This Row],[Author]]="Marcela Urrego",VLOOKUP(LEFT(Proc[[#This Row],[Requested]],1),Table3[#All],2,0),VLOOKUP(Proc[[#This Row],[Author]],Table4[],2,0))</f>
        <v>HC</v>
      </c>
      <c r="L4980" s="150" t="s">
        <v>6435</v>
      </c>
      <c r="M4980" s="173">
        <v>45992</v>
      </c>
      <c r="N4980" s="174"/>
      <c r="O4980" s="174"/>
      <c r="P4980" s="174" t="str">
        <f ca="1">IF(Proc[[#This Row],[DaysAgeing]]&gt;5,"yep","on track")</f>
        <v>yep</v>
      </c>
      <c r="Q4980" s="3">
        <f ca="1">IF(Proc[[#This Row],[DateClosed]]="",ABS(NETWORKDAYS(Proc[[#This Row],[DateOpened]],TODAY()))-1,ABS(NETWORKDAYS(Proc[[#This Row],[DateOpened]],Proc[[#This Row],[DateClosed]]))-1)</f>
        <v>14</v>
      </c>
      <c r="R4980" s="174" t="s">
        <v>1013</v>
      </c>
      <c r="S4980" s="150"/>
    </row>
    <row r="4981" spans="1:19" hidden="1">
      <c r="A4981" t="s">
        <v>7195</v>
      </c>
      <c r="B4981" s="150" t="str">
        <f>IFERROR(VLOOKUP(Proc[[#This Row],[App]],Table2[],3,0),"open")</f>
        <v>ok</v>
      </c>
      <c r="C4981" s="149" t="s">
        <v>369</v>
      </c>
      <c r="D4981" t="s">
        <v>7197</v>
      </c>
      <c r="E4981" s="149" t="s">
        <v>7243</v>
      </c>
      <c r="F4981" s="150" t="s">
        <v>7243</v>
      </c>
      <c r="G4981" t="s">
        <v>400</v>
      </c>
      <c r="H4981" s="150" t="str">
        <f>IF(Proc[[#This Row],[type]]="LFF (MDG-F)",MID(Proc[[#This Row],[Obj]],13,10),"")</f>
        <v/>
      </c>
      <c r="I4981" s="149" t="s">
        <v>7243</v>
      </c>
      <c r="J4981" s="150" t="b">
        <f>Proc[[#This Row],[Requested]]=Proc[[#This Row],[CurrentParent]]</f>
        <v>1</v>
      </c>
      <c r="K4981" s="150" t="str">
        <f>IF(Proc[[#This Row],[Author]]="Marcela Urrego",VLOOKUP(LEFT(Proc[[#This Row],[Requested]],1),Table3[#All],2,0),VLOOKUP(Proc[[#This Row],[Author]],Table4[],2,0))</f>
        <v>HC</v>
      </c>
      <c r="L4981" s="150" t="s">
        <v>6435</v>
      </c>
      <c r="M4981" s="173">
        <v>45992</v>
      </c>
      <c r="N4981" s="174"/>
      <c r="O4981" s="174"/>
      <c r="P4981" s="174" t="str">
        <f ca="1">IF(Proc[[#This Row],[DaysAgeing]]&gt;5,"yep","on track")</f>
        <v>yep</v>
      </c>
      <c r="Q4981" s="3">
        <f ca="1">IF(Proc[[#This Row],[DateClosed]]="",ABS(NETWORKDAYS(Proc[[#This Row],[DateOpened]],TODAY()))-1,ABS(NETWORKDAYS(Proc[[#This Row],[DateOpened]],Proc[[#This Row],[DateClosed]]))-1)</f>
        <v>14</v>
      </c>
      <c r="R4981" s="174" t="s">
        <v>1013</v>
      </c>
      <c r="S4981" s="150"/>
    </row>
    <row r="4982" spans="1:19" hidden="1">
      <c r="A4982" s="149" t="s">
        <v>7195</v>
      </c>
      <c r="B4982" s="150" t="str">
        <f>IFERROR(VLOOKUP(Proc[[#This Row],[App]],Table2[],3,0),"open")</f>
        <v>ok</v>
      </c>
      <c r="C4982" s="149" t="s">
        <v>369</v>
      </c>
      <c r="D4982" t="s">
        <v>7198</v>
      </c>
      <c r="E4982" t="s">
        <v>3004</v>
      </c>
      <c r="F4982" s="150" t="s">
        <v>3004</v>
      </c>
      <c r="G4982" s="149" t="s">
        <v>400</v>
      </c>
      <c r="H4982" s="150" t="str">
        <f>IF(Proc[[#This Row],[type]]="LFF (MDG-F)",MID(Proc[[#This Row],[Obj]],13,10),"")</f>
        <v/>
      </c>
      <c r="J4982" s="150" t="b">
        <f>Proc[[#This Row],[Requested]]=Proc[[#This Row],[CurrentParent]]</f>
        <v>1</v>
      </c>
      <c r="K4982" s="150" t="str">
        <f>IF(Proc[[#This Row],[Author]]="Marcela Urrego",VLOOKUP(LEFT(Proc[[#This Row],[Requested]],1),Table3[#All],2,0),VLOOKUP(Proc[[#This Row],[Author]],Table4[],2,0))</f>
        <v>HC</v>
      </c>
      <c r="L4982" s="150" t="s">
        <v>6435</v>
      </c>
      <c r="M4982" s="173">
        <v>45992</v>
      </c>
      <c r="N4982" s="174"/>
      <c r="O4982" s="174"/>
      <c r="P4982" s="174" t="str">
        <f ca="1">IF(Proc[[#This Row],[DaysAgeing]]&gt;5,"yep","on track")</f>
        <v>yep</v>
      </c>
      <c r="Q4982" s="3">
        <f ca="1">IF(Proc[[#This Row],[DateClosed]]="",ABS(NETWORKDAYS(Proc[[#This Row],[DateOpened]],TODAY()))-1,ABS(NETWORKDAYS(Proc[[#This Row],[DateOpened]],Proc[[#This Row],[DateClosed]]))-1)</f>
        <v>14</v>
      </c>
      <c r="R4982" s="174" t="s">
        <v>1013</v>
      </c>
      <c r="S4982" s="150"/>
    </row>
    <row r="4983" spans="1:19" hidden="1">
      <c r="A4983" s="149" t="s">
        <v>7195</v>
      </c>
      <c r="B4983" s="150" t="str">
        <f>IFERROR(VLOOKUP(Proc[[#This Row],[App]],Table2[],3,0),"open")</f>
        <v>ok</v>
      </c>
      <c r="C4983" s="149" t="s">
        <v>369</v>
      </c>
      <c r="D4983" t="s">
        <v>7245</v>
      </c>
      <c r="E4983" s="149" t="s">
        <v>7217</v>
      </c>
      <c r="F4983" s="149" t="s">
        <v>7217</v>
      </c>
      <c r="G4983" s="149" t="s">
        <v>400</v>
      </c>
      <c r="H4983" s="150" t="str">
        <f>IF(Proc[[#This Row],[type]]="LFF (MDG-F)",MID(Proc[[#This Row],[Obj]],13,10),"")</f>
        <v/>
      </c>
      <c r="I4983" s="149" t="s">
        <v>7217</v>
      </c>
      <c r="J4983" s="150" t="b">
        <f>Proc[[#This Row],[Requested]]=Proc[[#This Row],[CurrentParent]]</f>
        <v>1</v>
      </c>
      <c r="K4983" s="150" t="str">
        <f>IF(Proc[[#This Row],[Author]]="Marcela Urrego",VLOOKUP(LEFT(Proc[[#This Row],[Requested]],1),Table3[#All],2,0),VLOOKUP(Proc[[#This Row],[Author]],Table4[],2,0))</f>
        <v>HC</v>
      </c>
      <c r="L4983" s="150" t="s">
        <v>6435</v>
      </c>
      <c r="M4983" s="173">
        <v>45992</v>
      </c>
      <c r="N4983" s="174"/>
      <c r="O4983" s="174"/>
      <c r="P4983" s="174" t="str">
        <f ca="1">IF(Proc[[#This Row],[DaysAgeing]]&gt;5,"yep","on track")</f>
        <v>yep</v>
      </c>
      <c r="Q4983" s="3">
        <f ca="1">IF(Proc[[#This Row],[DateClosed]]="",ABS(NETWORKDAYS(Proc[[#This Row],[DateOpened]],TODAY()))-1,ABS(NETWORKDAYS(Proc[[#This Row],[DateOpened]],Proc[[#This Row],[DateClosed]]))-1)</f>
        <v>14</v>
      </c>
      <c r="R4983" s="174" t="s">
        <v>1013</v>
      </c>
      <c r="S4983" s="150"/>
    </row>
    <row r="4984" spans="1:19" hidden="1">
      <c r="A4984" s="149" t="s">
        <v>7195</v>
      </c>
      <c r="B4984" s="150" t="str">
        <f>IFERROR(VLOOKUP(Proc[[#This Row],[App]],Table2[],3,0),"open")</f>
        <v>ok</v>
      </c>
      <c r="C4984" s="149" t="s">
        <v>369</v>
      </c>
      <c r="D4984" t="s">
        <v>7244</v>
      </c>
      <c r="E4984" s="149" t="s">
        <v>7218</v>
      </c>
      <c r="F4984" s="149" t="s">
        <v>7218</v>
      </c>
      <c r="G4984" s="149" t="s">
        <v>400</v>
      </c>
      <c r="H4984" s="150" t="str">
        <f>IF(Proc[[#This Row],[type]]="LFF (MDG-F)",MID(Proc[[#This Row],[Obj]],13,10),"")</f>
        <v/>
      </c>
      <c r="I4984" s="149" t="s">
        <v>7218</v>
      </c>
      <c r="J4984" s="150" t="b">
        <f>Proc[[#This Row],[Requested]]=Proc[[#This Row],[CurrentParent]]</f>
        <v>1</v>
      </c>
      <c r="K4984" s="150" t="str">
        <f>IF(Proc[[#This Row],[Author]]="Marcela Urrego",VLOOKUP(LEFT(Proc[[#This Row],[Requested]],1),Table3[#All],2,0),VLOOKUP(Proc[[#This Row],[Author]],Table4[],2,0))</f>
        <v>HC</v>
      </c>
      <c r="L4984" s="150" t="s">
        <v>6435</v>
      </c>
      <c r="M4984" s="173">
        <v>45992</v>
      </c>
      <c r="N4984" s="174"/>
      <c r="O4984" s="174"/>
      <c r="P4984" s="174" t="str">
        <f ca="1">IF(Proc[[#This Row],[DaysAgeing]]&gt;5,"yep","on track")</f>
        <v>yep</v>
      </c>
      <c r="Q4984" s="3">
        <f ca="1">IF(Proc[[#This Row],[DateClosed]]="",ABS(NETWORKDAYS(Proc[[#This Row],[DateOpened]],TODAY()))-1,ABS(NETWORKDAYS(Proc[[#This Row],[DateOpened]],Proc[[#This Row],[DateClosed]]))-1)</f>
        <v>14</v>
      </c>
      <c r="R4984" s="174" t="s">
        <v>1013</v>
      </c>
      <c r="S4984" s="150"/>
    </row>
    <row r="4985" spans="1:19" hidden="1">
      <c r="A4985" s="149" t="s">
        <v>7195</v>
      </c>
      <c r="B4985" s="150" t="str">
        <f>IFERROR(VLOOKUP(Proc[[#This Row],[App]],Table2[],3,0),"open")</f>
        <v>ok</v>
      </c>
      <c r="C4985" s="149" t="s">
        <v>369</v>
      </c>
      <c r="D4985" t="s">
        <v>7199</v>
      </c>
      <c r="E4985" t="s">
        <v>7219</v>
      </c>
      <c r="F4985" s="150" t="s">
        <v>7219</v>
      </c>
      <c r="G4985" s="149" t="s">
        <v>400</v>
      </c>
      <c r="H4985" s="150" t="str">
        <f>IF(Proc[[#This Row],[type]]="LFF (MDG-F)",MID(Proc[[#This Row],[Obj]],13,10),"")</f>
        <v/>
      </c>
      <c r="J4985" s="150" t="b">
        <f>Proc[[#This Row],[Requested]]=Proc[[#This Row],[CurrentParent]]</f>
        <v>1</v>
      </c>
      <c r="K4985" s="150" t="str">
        <f>IF(Proc[[#This Row],[Author]]="Marcela Urrego",VLOOKUP(LEFT(Proc[[#This Row],[Requested]],1),Table3[#All],2,0),VLOOKUP(Proc[[#This Row],[Author]],Table4[],2,0))</f>
        <v>HC</v>
      </c>
      <c r="L4985" s="150" t="s">
        <v>6435</v>
      </c>
      <c r="M4985" s="173">
        <v>45992</v>
      </c>
      <c r="N4985" s="174"/>
      <c r="O4985" s="174"/>
      <c r="P4985" s="174" t="str">
        <f ca="1">IF(Proc[[#This Row],[DaysAgeing]]&gt;5,"yep","on track")</f>
        <v>yep</v>
      </c>
      <c r="Q4985" s="3">
        <f ca="1">IF(Proc[[#This Row],[DateClosed]]="",ABS(NETWORKDAYS(Proc[[#This Row],[DateOpened]],TODAY()))-1,ABS(NETWORKDAYS(Proc[[#This Row],[DateOpened]],Proc[[#This Row],[DateClosed]]))-1)</f>
        <v>14</v>
      </c>
      <c r="R4985" s="174" t="s">
        <v>1013</v>
      </c>
      <c r="S4985" s="150"/>
    </row>
    <row r="4986" spans="1:19" hidden="1">
      <c r="A4986" s="149" t="s">
        <v>7195</v>
      </c>
      <c r="B4986" s="150" t="str">
        <f>IFERROR(VLOOKUP(Proc[[#This Row],[App]],Table2[],3,0),"open")</f>
        <v>ok</v>
      </c>
      <c r="C4986" s="149" t="s">
        <v>369</v>
      </c>
      <c r="D4986" t="s">
        <v>7200</v>
      </c>
      <c r="E4986" t="s">
        <v>7220</v>
      </c>
      <c r="F4986" s="150" t="s">
        <v>7220</v>
      </c>
      <c r="G4986" s="149" t="s">
        <v>400</v>
      </c>
      <c r="H4986" s="150" t="str">
        <f>IF(Proc[[#This Row],[type]]="LFF (MDG-F)",MID(Proc[[#This Row],[Obj]],13,10),"")</f>
        <v/>
      </c>
      <c r="J4986" s="150" t="b">
        <f>Proc[[#This Row],[Requested]]=Proc[[#This Row],[CurrentParent]]</f>
        <v>1</v>
      </c>
      <c r="K4986" s="150" t="str">
        <f>IF(Proc[[#This Row],[Author]]="Marcela Urrego",VLOOKUP(LEFT(Proc[[#This Row],[Requested]],1),Table3[#All],2,0),VLOOKUP(Proc[[#This Row],[Author]],Table4[],2,0))</f>
        <v>HC</v>
      </c>
      <c r="L4986" s="150" t="s">
        <v>6435</v>
      </c>
      <c r="M4986" s="173">
        <v>45992</v>
      </c>
      <c r="N4986" s="174"/>
      <c r="O4986" s="174"/>
      <c r="P4986" s="174" t="str">
        <f ca="1">IF(Proc[[#This Row],[DaysAgeing]]&gt;5,"yep","on track")</f>
        <v>yep</v>
      </c>
      <c r="Q4986" s="3">
        <f ca="1">IF(Proc[[#This Row],[DateClosed]]="",ABS(NETWORKDAYS(Proc[[#This Row],[DateOpened]],TODAY()))-1,ABS(NETWORKDAYS(Proc[[#This Row],[DateOpened]],Proc[[#This Row],[DateClosed]]))-1)</f>
        <v>14</v>
      </c>
      <c r="R4986" s="174" t="s">
        <v>1013</v>
      </c>
      <c r="S4986" s="150"/>
    </row>
    <row r="4987" spans="1:19" hidden="1">
      <c r="A4987" s="149" t="s">
        <v>7195</v>
      </c>
      <c r="B4987" s="150" t="str">
        <f>IFERROR(VLOOKUP(Proc[[#This Row],[App]],Table2[],3,0),"open")</f>
        <v>ok</v>
      </c>
      <c r="C4987" s="149" t="s">
        <v>369</v>
      </c>
      <c r="D4987" t="s">
        <v>7201</v>
      </c>
      <c r="E4987" t="s">
        <v>4068</v>
      </c>
      <c r="F4987" s="150" t="s">
        <v>4068</v>
      </c>
      <c r="G4987" s="149" t="s">
        <v>400</v>
      </c>
      <c r="H4987" s="150" t="str">
        <f>IF(Proc[[#This Row],[type]]="LFF (MDG-F)",MID(Proc[[#This Row],[Obj]],13,10),"")</f>
        <v/>
      </c>
      <c r="J4987" s="150" t="b">
        <f>Proc[[#This Row],[Requested]]=Proc[[#This Row],[CurrentParent]]</f>
        <v>1</v>
      </c>
      <c r="K4987" s="150" t="str">
        <f>IF(Proc[[#This Row],[Author]]="Marcela Urrego",VLOOKUP(LEFT(Proc[[#This Row],[Requested]],1),Table3[#All],2,0),VLOOKUP(Proc[[#This Row],[Author]],Table4[],2,0))</f>
        <v>HC</v>
      </c>
      <c r="L4987" s="150" t="s">
        <v>6435</v>
      </c>
      <c r="M4987" s="173">
        <v>45992</v>
      </c>
      <c r="N4987" s="174"/>
      <c r="O4987" s="174"/>
      <c r="P4987" s="174" t="str">
        <f ca="1">IF(Proc[[#This Row],[DaysAgeing]]&gt;5,"yep","on track")</f>
        <v>yep</v>
      </c>
      <c r="Q4987" s="3">
        <f ca="1">IF(Proc[[#This Row],[DateClosed]]="",ABS(NETWORKDAYS(Proc[[#This Row],[DateOpened]],TODAY()))-1,ABS(NETWORKDAYS(Proc[[#This Row],[DateOpened]],Proc[[#This Row],[DateClosed]]))-1)</f>
        <v>14</v>
      </c>
      <c r="R4987" s="174" t="s">
        <v>1013</v>
      </c>
      <c r="S4987" s="150"/>
    </row>
    <row r="4988" spans="1:19" hidden="1">
      <c r="A4988" s="149" t="s">
        <v>7195</v>
      </c>
      <c r="B4988" s="150" t="str">
        <f>IFERROR(VLOOKUP(Proc[[#This Row],[App]],Table2[],3,0),"open")</f>
        <v>ok</v>
      </c>
      <c r="C4988" s="149" t="s">
        <v>369</v>
      </c>
      <c r="D4988" t="s">
        <v>7202</v>
      </c>
      <c r="E4988" t="s">
        <v>4068</v>
      </c>
      <c r="F4988" s="150" t="s">
        <v>4068</v>
      </c>
      <c r="G4988" s="149" t="s">
        <v>400</v>
      </c>
      <c r="H4988" s="150" t="str">
        <f>IF(Proc[[#This Row],[type]]="LFF (MDG-F)",MID(Proc[[#This Row],[Obj]],13,10),"")</f>
        <v/>
      </c>
      <c r="J4988" s="150" t="b">
        <f>Proc[[#This Row],[Requested]]=Proc[[#This Row],[CurrentParent]]</f>
        <v>1</v>
      </c>
      <c r="K4988" s="150" t="str">
        <f>IF(Proc[[#This Row],[Author]]="Marcela Urrego",VLOOKUP(LEFT(Proc[[#This Row],[Requested]],1),Table3[#All],2,0),VLOOKUP(Proc[[#This Row],[Author]],Table4[],2,0))</f>
        <v>HC</v>
      </c>
      <c r="L4988" s="150" t="s">
        <v>6435</v>
      </c>
      <c r="M4988" s="173">
        <v>45992</v>
      </c>
      <c r="N4988" s="174"/>
      <c r="O4988" s="174"/>
      <c r="P4988" s="174" t="str">
        <f ca="1">IF(Proc[[#This Row],[DaysAgeing]]&gt;5,"yep","on track")</f>
        <v>yep</v>
      </c>
      <c r="Q4988" s="3">
        <f ca="1">IF(Proc[[#This Row],[DateClosed]]="",ABS(NETWORKDAYS(Proc[[#This Row],[DateOpened]],TODAY()))-1,ABS(NETWORKDAYS(Proc[[#This Row],[DateOpened]],Proc[[#This Row],[DateClosed]]))-1)</f>
        <v>14</v>
      </c>
      <c r="R4988" s="174" t="s">
        <v>1013</v>
      </c>
      <c r="S4988" s="150"/>
    </row>
    <row r="4989" spans="1:19" hidden="1">
      <c r="A4989" s="149" t="s">
        <v>7195</v>
      </c>
      <c r="B4989" s="150" t="str">
        <f>IFERROR(VLOOKUP(Proc[[#This Row],[App]],Table2[],3,0),"open")</f>
        <v>ok</v>
      </c>
      <c r="C4989" s="149" t="s">
        <v>369</v>
      </c>
      <c r="D4989" t="s">
        <v>7203</v>
      </c>
      <c r="E4989" t="s">
        <v>4068</v>
      </c>
      <c r="F4989" s="150" t="s">
        <v>4068</v>
      </c>
      <c r="G4989" s="149" t="s">
        <v>400</v>
      </c>
      <c r="H4989" s="150" t="str">
        <f>IF(Proc[[#This Row],[type]]="LFF (MDG-F)",MID(Proc[[#This Row],[Obj]],13,10),"")</f>
        <v/>
      </c>
      <c r="J4989" s="150" t="b">
        <f>Proc[[#This Row],[Requested]]=Proc[[#This Row],[CurrentParent]]</f>
        <v>1</v>
      </c>
      <c r="K4989" s="150" t="str">
        <f>IF(Proc[[#This Row],[Author]]="Marcela Urrego",VLOOKUP(LEFT(Proc[[#This Row],[Requested]],1),Table3[#All],2,0),VLOOKUP(Proc[[#This Row],[Author]],Table4[],2,0))</f>
        <v>HC</v>
      </c>
      <c r="L4989" s="150" t="s">
        <v>6435</v>
      </c>
      <c r="M4989" s="173">
        <v>45992</v>
      </c>
      <c r="N4989" s="174"/>
      <c r="O4989" s="174"/>
      <c r="P4989" s="174" t="str">
        <f ca="1">IF(Proc[[#This Row],[DaysAgeing]]&gt;5,"yep","on track")</f>
        <v>yep</v>
      </c>
      <c r="Q4989" s="3">
        <f ca="1">IF(Proc[[#This Row],[DateClosed]]="",ABS(NETWORKDAYS(Proc[[#This Row],[DateOpened]],TODAY()))-1,ABS(NETWORKDAYS(Proc[[#This Row],[DateOpened]],Proc[[#This Row],[DateClosed]]))-1)</f>
        <v>14</v>
      </c>
      <c r="R4989" s="174" t="s">
        <v>1013</v>
      </c>
      <c r="S4989" s="150"/>
    </row>
    <row r="4990" spans="1:19" hidden="1">
      <c r="A4990" s="149" t="s">
        <v>7195</v>
      </c>
      <c r="B4990" s="150" t="str">
        <f>IFERROR(VLOOKUP(Proc[[#This Row],[App]],Table2[],3,0),"open")</f>
        <v>ok</v>
      </c>
      <c r="C4990" s="149" t="s">
        <v>369</v>
      </c>
      <c r="D4990" t="s">
        <v>7204</v>
      </c>
      <c r="E4990" t="s">
        <v>4068</v>
      </c>
      <c r="F4990" s="150" t="s">
        <v>4068</v>
      </c>
      <c r="G4990" s="149" t="s">
        <v>400</v>
      </c>
      <c r="H4990" s="150" t="str">
        <f>IF(Proc[[#This Row],[type]]="LFF (MDG-F)",MID(Proc[[#This Row],[Obj]],13,10),"")</f>
        <v/>
      </c>
      <c r="J4990" s="150" t="b">
        <f>Proc[[#This Row],[Requested]]=Proc[[#This Row],[CurrentParent]]</f>
        <v>1</v>
      </c>
      <c r="K4990" s="150" t="str">
        <f>IF(Proc[[#This Row],[Author]]="Marcela Urrego",VLOOKUP(LEFT(Proc[[#This Row],[Requested]],1),Table3[#All],2,0),VLOOKUP(Proc[[#This Row],[Author]],Table4[],2,0))</f>
        <v>HC</v>
      </c>
      <c r="L4990" s="150" t="s">
        <v>6435</v>
      </c>
      <c r="M4990" s="173">
        <v>45992</v>
      </c>
      <c r="N4990" s="174"/>
      <c r="O4990" s="174"/>
      <c r="P4990" s="174" t="str">
        <f ca="1">IF(Proc[[#This Row],[DaysAgeing]]&gt;5,"yep","on track")</f>
        <v>yep</v>
      </c>
      <c r="Q4990" s="3">
        <f ca="1">IF(Proc[[#This Row],[DateClosed]]="",ABS(NETWORKDAYS(Proc[[#This Row],[DateOpened]],TODAY()))-1,ABS(NETWORKDAYS(Proc[[#This Row],[DateOpened]],Proc[[#This Row],[DateClosed]]))-1)</f>
        <v>14</v>
      </c>
      <c r="R4990" s="174" t="s">
        <v>1013</v>
      </c>
      <c r="S4990" s="150"/>
    </row>
    <row r="4991" spans="1:19" hidden="1">
      <c r="A4991" s="149" t="s">
        <v>7195</v>
      </c>
      <c r="B4991" s="150" t="str">
        <f>IFERROR(VLOOKUP(Proc[[#This Row],[App]],Table2[],3,0),"open")</f>
        <v>ok</v>
      </c>
      <c r="C4991" s="149" t="s">
        <v>369</v>
      </c>
      <c r="D4991" t="s">
        <v>7205</v>
      </c>
      <c r="E4991" t="s">
        <v>4068</v>
      </c>
      <c r="F4991" s="150" t="s">
        <v>4068</v>
      </c>
      <c r="G4991" s="149" t="s">
        <v>400</v>
      </c>
      <c r="H4991" s="150" t="str">
        <f>IF(Proc[[#This Row],[type]]="LFF (MDG-F)",MID(Proc[[#This Row],[Obj]],13,10),"")</f>
        <v/>
      </c>
      <c r="J4991" s="150" t="b">
        <f>Proc[[#This Row],[Requested]]=Proc[[#This Row],[CurrentParent]]</f>
        <v>1</v>
      </c>
      <c r="K4991" s="150" t="str">
        <f>IF(Proc[[#This Row],[Author]]="Marcela Urrego",VLOOKUP(LEFT(Proc[[#This Row],[Requested]],1),Table3[#All],2,0),VLOOKUP(Proc[[#This Row],[Author]],Table4[],2,0))</f>
        <v>HC</v>
      </c>
      <c r="L4991" s="150" t="s">
        <v>6435</v>
      </c>
      <c r="M4991" s="173">
        <v>45992</v>
      </c>
      <c r="N4991" s="174"/>
      <c r="O4991" s="174"/>
      <c r="P4991" s="174" t="str">
        <f ca="1">IF(Proc[[#This Row],[DaysAgeing]]&gt;5,"yep","on track")</f>
        <v>yep</v>
      </c>
      <c r="Q4991" s="3">
        <f ca="1">IF(Proc[[#This Row],[DateClosed]]="",ABS(NETWORKDAYS(Proc[[#This Row],[DateOpened]],TODAY()))-1,ABS(NETWORKDAYS(Proc[[#This Row],[DateOpened]],Proc[[#This Row],[DateClosed]]))-1)</f>
        <v>14</v>
      </c>
      <c r="R4991" s="174" t="s">
        <v>1013</v>
      </c>
      <c r="S4991" s="150"/>
    </row>
    <row r="4992" spans="1:19" hidden="1">
      <c r="A4992" s="149" t="s">
        <v>7195</v>
      </c>
      <c r="B4992" s="150" t="str">
        <f>IFERROR(VLOOKUP(Proc[[#This Row],[App]],Table2[],3,0),"open")</f>
        <v>ok</v>
      </c>
      <c r="C4992" s="149" t="s">
        <v>369</v>
      </c>
      <c r="D4992" t="s">
        <v>7206</v>
      </c>
      <c r="E4992" t="s">
        <v>4068</v>
      </c>
      <c r="F4992" s="150" t="s">
        <v>4068</v>
      </c>
      <c r="G4992" s="149" t="s">
        <v>400</v>
      </c>
      <c r="H4992" s="150" t="str">
        <f>IF(Proc[[#This Row],[type]]="LFF (MDG-F)",MID(Proc[[#This Row],[Obj]],13,10),"")</f>
        <v/>
      </c>
      <c r="J4992" s="150" t="b">
        <f>Proc[[#This Row],[Requested]]=Proc[[#This Row],[CurrentParent]]</f>
        <v>1</v>
      </c>
      <c r="K4992" s="150" t="str">
        <f>IF(Proc[[#This Row],[Author]]="Marcela Urrego",VLOOKUP(LEFT(Proc[[#This Row],[Requested]],1),Table3[#All],2,0),VLOOKUP(Proc[[#This Row],[Author]],Table4[],2,0))</f>
        <v>HC</v>
      </c>
      <c r="L4992" s="150" t="s">
        <v>6435</v>
      </c>
      <c r="M4992" s="173">
        <v>45992</v>
      </c>
      <c r="N4992" s="174"/>
      <c r="O4992" s="174"/>
      <c r="P4992" s="174" t="str">
        <f ca="1">IF(Proc[[#This Row],[DaysAgeing]]&gt;5,"yep","on track")</f>
        <v>yep</v>
      </c>
      <c r="Q4992" s="3">
        <f ca="1">IF(Proc[[#This Row],[DateClosed]]="",ABS(NETWORKDAYS(Proc[[#This Row],[DateOpened]],TODAY()))-1,ABS(NETWORKDAYS(Proc[[#This Row],[DateOpened]],Proc[[#This Row],[DateClosed]]))-1)</f>
        <v>14</v>
      </c>
      <c r="R4992" s="174" t="s">
        <v>1013</v>
      </c>
      <c r="S4992" s="150"/>
    </row>
    <row r="4993" spans="1:19" hidden="1">
      <c r="A4993" s="149" t="s">
        <v>7195</v>
      </c>
      <c r="B4993" s="150" t="str">
        <f>IFERROR(VLOOKUP(Proc[[#This Row],[App]],Table2[],3,0),"open")</f>
        <v>ok</v>
      </c>
      <c r="C4993" s="149" t="s">
        <v>369</v>
      </c>
      <c r="D4993" t="s">
        <v>7207</v>
      </c>
      <c r="E4993" t="s">
        <v>4068</v>
      </c>
      <c r="F4993" s="150" t="s">
        <v>4068</v>
      </c>
      <c r="G4993" s="149" t="s">
        <v>400</v>
      </c>
      <c r="H4993" s="150" t="str">
        <f>IF(Proc[[#This Row],[type]]="LFF (MDG-F)",MID(Proc[[#This Row],[Obj]],13,10),"")</f>
        <v/>
      </c>
      <c r="J4993" s="150" t="b">
        <f>Proc[[#This Row],[Requested]]=Proc[[#This Row],[CurrentParent]]</f>
        <v>1</v>
      </c>
      <c r="K4993" s="150" t="str">
        <f>IF(Proc[[#This Row],[Author]]="Marcela Urrego",VLOOKUP(LEFT(Proc[[#This Row],[Requested]],1),Table3[#All],2,0),VLOOKUP(Proc[[#This Row],[Author]],Table4[],2,0))</f>
        <v>HC</v>
      </c>
      <c r="L4993" s="150" t="s">
        <v>6435</v>
      </c>
      <c r="M4993" s="173">
        <v>45992</v>
      </c>
      <c r="N4993" s="174"/>
      <c r="O4993" s="174"/>
      <c r="P4993" s="174" t="str">
        <f ca="1">IF(Proc[[#This Row],[DaysAgeing]]&gt;5,"yep","on track")</f>
        <v>yep</v>
      </c>
      <c r="Q4993" s="3">
        <f ca="1">IF(Proc[[#This Row],[DateClosed]]="",ABS(NETWORKDAYS(Proc[[#This Row],[DateOpened]],TODAY()))-1,ABS(NETWORKDAYS(Proc[[#This Row],[DateOpened]],Proc[[#This Row],[DateClosed]]))-1)</f>
        <v>14</v>
      </c>
      <c r="R4993" s="174" t="s">
        <v>1013</v>
      </c>
      <c r="S4993" s="150"/>
    </row>
    <row r="4994" spans="1:19" hidden="1">
      <c r="A4994" s="149" t="s">
        <v>7195</v>
      </c>
      <c r="B4994" s="150" t="str">
        <f>IFERROR(VLOOKUP(Proc[[#This Row],[App]],Table2[],3,0),"open")</f>
        <v>ok</v>
      </c>
      <c r="C4994" s="149" t="s">
        <v>369</v>
      </c>
      <c r="D4994" t="s">
        <v>7208</v>
      </c>
      <c r="E4994" t="s">
        <v>4068</v>
      </c>
      <c r="F4994" s="150" t="s">
        <v>4068</v>
      </c>
      <c r="G4994" s="149" t="s">
        <v>400</v>
      </c>
      <c r="H4994" s="150" t="str">
        <f>IF(Proc[[#This Row],[type]]="LFF (MDG-F)",MID(Proc[[#This Row],[Obj]],13,10),"")</f>
        <v/>
      </c>
      <c r="J4994" s="150" t="b">
        <f>Proc[[#This Row],[Requested]]=Proc[[#This Row],[CurrentParent]]</f>
        <v>1</v>
      </c>
      <c r="K4994" s="150" t="str">
        <f>IF(Proc[[#This Row],[Author]]="Marcela Urrego",VLOOKUP(LEFT(Proc[[#This Row],[Requested]],1),Table3[#All],2,0),VLOOKUP(Proc[[#This Row],[Author]],Table4[],2,0))</f>
        <v>HC</v>
      </c>
      <c r="L4994" s="150" t="s">
        <v>6435</v>
      </c>
      <c r="M4994" s="173">
        <v>45992</v>
      </c>
      <c r="N4994" s="174"/>
      <c r="O4994" s="174"/>
      <c r="P4994" s="174" t="str">
        <f ca="1">IF(Proc[[#This Row],[DaysAgeing]]&gt;5,"yep","on track")</f>
        <v>yep</v>
      </c>
      <c r="Q4994" s="3">
        <f ca="1">IF(Proc[[#This Row],[DateClosed]]="",ABS(NETWORKDAYS(Proc[[#This Row],[DateOpened]],TODAY()))-1,ABS(NETWORKDAYS(Proc[[#This Row],[DateOpened]],Proc[[#This Row],[DateClosed]]))-1)</f>
        <v>14</v>
      </c>
      <c r="R4994" s="174" t="s">
        <v>1013</v>
      </c>
      <c r="S4994" s="150"/>
    </row>
    <row r="4995" spans="1:19" hidden="1">
      <c r="A4995" s="149" t="s">
        <v>7195</v>
      </c>
      <c r="B4995" s="150" t="str">
        <f>IFERROR(VLOOKUP(Proc[[#This Row],[App]],Table2[],3,0),"open")</f>
        <v>ok</v>
      </c>
      <c r="C4995" s="149" t="s">
        <v>369</v>
      </c>
      <c r="D4995" t="s">
        <v>7209</v>
      </c>
      <c r="E4995" t="s">
        <v>4068</v>
      </c>
      <c r="F4995" s="150" t="s">
        <v>4068</v>
      </c>
      <c r="G4995" s="149" t="s">
        <v>400</v>
      </c>
      <c r="H4995" s="150" t="str">
        <f>IF(Proc[[#This Row],[type]]="LFF (MDG-F)",MID(Proc[[#This Row],[Obj]],13,10),"")</f>
        <v/>
      </c>
      <c r="J4995" s="150" t="b">
        <f>Proc[[#This Row],[Requested]]=Proc[[#This Row],[CurrentParent]]</f>
        <v>1</v>
      </c>
      <c r="K4995" s="150" t="str">
        <f>IF(Proc[[#This Row],[Author]]="Marcela Urrego",VLOOKUP(LEFT(Proc[[#This Row],[Requested]],1),Table3[#All],2,0),VLOOKUP(Proc[[#This Row],[Author]],Table4[],2,0))</f>
        <v>HC</v>
      </c>
      <c r="L4995" s="150" t="s">
        <v>6435</v>
      </c>
      <c r="M4995" s="173">
        <v>45992</v>
      </c>
      <c r="N4995" s="174"/>
      <c r="O4995" s="174"/>
      <c r="P4995" s="174" t="str">
        <f ca="1">IF(Proc[[#This Row],[DaysAgeing]]&gt;5,"yep","on track")</f>
        <v>yep</v>
      </c>
      <c r="Q4995" s="3">
        <f ca="1">IF(Proc[[#This Row],[DateClosed]]="",ABS(NETWORKDAYS(Proc[[#This Row],[DateOpened]],TODAY()))-1,ABS(NETWORKDAYS(Proc[[#This Row],[DateOpened]],Proc[[#This Row],[DateClosed]]))-1)</f>
        <v>14</v>
      </c>
      <c r="R4995" s="174" t="s">
        <v>1013</v>
      </c>
      <c r="S4995" s="150"/>
    </row>
    <row r="4996" spans="1:19" hidden="1">
      <c r="A4996" s="149" t="s">
        <v>7195</v>
      </c>
      <c r="B4996" s="150" t="str">
        <f>IFERROR(VLOOKUP(Proc[[#This Row],[App]],Table2[],3,0),"open")</f>
        <v>ok</v>
      </c>
      <c r="C4996" s="149" t="s">
        <v>369</v>
      </c>
      <c r="D4996" t="s">
        <v>7210</v>
      </c>
      <c r="E4996" t="s">
        <v>4068</v>
      </c>
      <c r="F4996" s="150" t="s">
        <v>4068</v>
      </c>
      <c r="G4996" s="149" t="s">
        <v>400</v>
      </c>
      <c r="H4996" s="150" t="str">
        <f>IF(Proc[[#This Row],[type]]="LFF (MDG-F)",MID(Proc[[#This Row],[Obj]],13,10),"")</f>
        <v/>
      </c>
      <c r="J4996" s="150" t="b">
        <f>Proc[[#This Row],[Requested]]=Proc[[#This Row],[CurrentParent]]</f>
        <v>1</v>
      </c>
      <c r="K4996" s="150" t="str">
        <f>IF(Proc[[#This Row],[Author]]="Marcela Urrego",VLOOKUP(LEFT(Proc[[#This Row],[Requested]],1),Table3[#All],2,0),VLOOKUP(Proc[[#This Row],[Author]],Table4[],2,0))</f>
        <v>HC</v>
      </c>
      <c r="L4996" s="150" t="s">
        <v>6435</v>
      </c>
      <c r="M4996" s="173">
        <v>45992</v>
      </c>
      <c r="N4996" s="174"/>
      <c r="O4996" s="174"/>
      <c r="P4996" s="174" t="str">
        <f ca="1">IF(Proc[[#This Row],[DaysAgeing]]&gt;5,"yep","on track")</f>
        <v>yep</v>
      </c>
      <c r="Q4996" s="3">
        <f ca="1">IF(Proc[[#This Row],[DateClosed]]="",ABS(NETWORKDAYS(Proc[[#This Row],[DateOpened]],TODAY()))-1,ABS(NETWORKDAYS(Proc[[#This Row],[DateOpened]],Proc[[#This Row],[DateClosed]]))-1)</f>
        <v>14</v>
      </c>
      <c r="R4996" s="174" t="s">
        <v>1013</v>
      </c>
      <c r="S4996" s="150"/>
    </row>
    <row r="4997" spans="1:19" hidden="1">
      <c r="A4997" s="149" t="s">
        <v>7195</v>
      </c>
      <c r="B4997" s="150" t="str">
        <f>IFERROR(VLOOKUP(Proc[[#This Row],[App]],Table2[],3,0),"open")</f>
        <v>ok</v>
      </c>
      <c r="C4997" s="149" t="s">
        <v>369</v>
      </c>
      <c r="D4997" t="s">
        <v>7211</v>
      </c>
      <c r="E4997" t="s">
        <v>4068</v>
      </c>
      <c r="F4997" s="150" t="s">
        <v>4068</v>
      </c>
      <c r="G4997" s="149" t="s">
        <v>400</v>
      </c>
      <c r="H4997" s="150" t="str">
        <f>IF(Proc[[#This Row],[type]]="LFF (MDG-F)",MID(Proc[[#This Row],[Obj]],13,10),"")</f>
        <v/>
      </c>
      <c r="J4997" s="150" t="b">
        <f>Proc[[#This Row],[Requested]]=Proc[[#This Row],[CurrentParent]]</f>
        <v>1</v>
      </c>
      <c r="K4997" s="150" t="str">
        <f>IF(Proc[[#This Row],[Author]]="Marcela Urrego",VLOOKUP(LEFT(Proc[[#This Row],[Requested]],1),Table3[#All],2,0),VLOOKUP(Proc[[#This Row],[Author]],Table4[],2,0))</f>
        <v>HC</v>
      </c>
      <c r="L4997" s="150" t="s">
        <v>6435</v>
      </c>
      <c r="M4997" s="173">
        <v>45992</v>
      </c>
      <c r="N4997" s="174"/>
      <c r="O4997" s="174"/>
      <c r="P4997" s="174" t="str">
        <f ca="1">IF(Proc[[#This Row],[DaysAgeing]]&gt;5,"yep","on track")</f>
        <v>yep</v>
      </c>
      <c r="Q4997" s="3">
        <f ca="1">IF(Proc[[#This Row],[DateClosed]]="",ABS(NETWORKDAYS(Proc[[#This Row],[DateOpened]],TODAY()))-1,ABS(NETWORKDAYS(Proc[[#This Row],[DateOpened]],Proc[[#This Row],[DateClosed]]))-1)</f>
        <v>14</v>
      </c>
      <c r="R4997" s="174" t="s">
        <v>1013</v>
      </c>
      <c r="S4997" s="150"/>
    </row>
    <row r="4998" spans="1:19" hidden="1">
      <c r="A4998" s="149" t="s">
        <v>7195</v>
      </c>
      <c r="B4998" s="150" t="str">
        <f>IFERROR(VLOOKUP(Proc[[#This Row],[App]],Table2[],3,0),"open")</f>
        <v>ok</v>
      </c>
      <c r="C4998" s="149" t="s">
        <v>369</v>
      </c>
      <c r="D4998" t="s">
        <v>7212</v>
      </c>
      <c r="E4998" t="s">
        <v>4068</v>
      </c>
      <c r="F4998" s="150" t="s">
        <v>4068</v>
      </c>
      <c r="G4998" s="149" t="s">
        <v>400</v>
      </c>
      <c r="H4998" s="150" t="str">
        <f>IF(Proc[[#This Row],[type]]="LFF (MDG-F)",MID(Proc[[#This Row],[Obj]],13,10),"")</f>
        <v/>
      </c>
      <c r="J4998" s="150" t="b">
        <f>Proc[[#This Row],[Requested]]=Proc[[#This Row],[CurrentParent]]</f>
        <v>1</v>
      </c>
      <c r="K4998" s="150" t="str">
        <f>IF(Proc[[#This Row],[Author]]="Marcela Urrego",VLOOKUP(LEFT(Proc[[#This Row],[Requested]],1),Table3[#All],2,0),VLOOKUP(Proc[[#This Row],[Author]],Table4[],2,0))</f>
        <v>HC</v>
      </c>
      <c r="L4998" s="150" t="s">
        <v>6435</v>
      </c>
      <c r="M4998" s="173">
        <v>45992</v>
      </c>
      <c r="N4998" s="174"/>
      <c r="O4998" s="174"/>
      <c r="P4998" s="174" t="str">
        <f ca="1">IF(Proc[[#This Row],[DaysAgeing]]&gt;5,"yep","on track")</f>
        <v>yep</v>
      </c>
      <c r="Q4998" s="3">
        <f ca="1">IF(Proc[[#This Row],[DateClosed]]="",ABS(NETWORKDAYS(Proc[[#This Row],[DateOpened]],TODAY()))-1,ABS(NETWORKDAYS(Proc[[#This Row],[DateOpened]],Proc[[#This Row],[DateClosed]]))-1)</f>
        <v>14</v>
      </c>
      <c r="R4998" s="174" t="s">
        <v>1013</v>
      </c>
      <c r="S4998" s="150"/>
    </row>
    <row r="4999" spans="1:19" hidden="1">
      <c r="A4999" s="149" t="s">
        <v>7195</v>
      </c>
      <c r="B4999" s="150" t="str">
        <f>IFERROR(VLOOKUP(Proc[[#This Row],[App]],Table2[],3,0),"open")</f>
        <v>ok</v>
      </c>
      <c r="C4999" s="149" t="s">
        <v>369</v>
      </c>
      <c r="D4999" t="s">
        <v>7213</v>
      </c>
      <c r="E4999" t="s">
        <v>4068</v>
      </c>
      <c r="F4999" s="150" t="s">
        <v>4068</v>
      </c>
      <c r="G4999" s="149" t="s">
        <v>400</v>
      </c>
      <c r="H4999" s="150" t="str">
        <f>IF(Proc[[#This Row],[type]]="LFF (MDG-F)",MID(Proc[[#This Row],[Obj]],13,10),"")</f>
        <v/>
      </c>
      <c r="J4999" s="150" t="b">
        <f>Proc[[#This Row],[Requested]]=Proc[[#This Row],[CurrentParent]]</f>
        <v>1</v>
      </c>
      <c r="K4999" s="150" t="str">
        <f>IF(Proc[[#This Row],[Author]]="Marcela Urrego",VLOOKUP(LEFT(Proc[[#This Row],[Requested]],1),Table3[#All],2,0),VLOOKUP(Proc[[#This Row],[Author]],Table4[],2,0))</f>
        <v>HC</v>
      </c>
      <c r="L4999" s="150" t="s">
        <v>6435</v>
      </c>
      <c r="M4999" s="173">
        <v>45992</v>
      </c>
      <c r="N4999" s="174"/>
      <c r="O4999" s="174"/>
      <c r="P4999" s="174" t="str">
        <f ca="1">IF(Proc[[#This Row],[DaysAgeing]]&gt;5,"yep","on track")</f>
        <v>yep</v>
      </c>
      <c r="Q4999" s="3">
        <f ca="1">IF(Proc[[#This Row],[DateClosed]]="",ABS(NETWORKDAYS(Proc[[#This Row],[DateOpened]],TODAY()))-1,ABS(NETWORKDAYS(Proc[[#This Row],[DateOpened]],Proc[[#This Row],[DateClosed]]))-1)</f>
        <v>14</v>
      </c>
      <c r="R4999" s="174" t="s">
        <v>1013</v>
      </c>
      <c r="S4999" s="150"/>
    </row>
    <row r="5000" spans="1:19" hidden="1">
      <c r="A5000" s="149" t="s">
        <v>7195</v>
      </c>
      <c r="B5000" s="150" t="str">
        <f>IFERROR(VLOOKUP(Proc[[#This Row],[App]],Table2[],3,0),"open")</f>
        <v>ok</v>
      </c>
      <c r="C5000" s="149" t="s">
        <v>369</v>
      </c>
      <c r="D5000" t="s">
        <v>7214</v>
      </c>
      <c r="E5000" t="s">
        <v>4068</v>
      </c>
      <c r="F5000" s="150" t="s">
        <v>4068</v>
      </c>
      <c r="G5000" s="149" t="s">
        <v>400</v>
      </c>
      <c r="H5000" s="150" t="str">
        <f>IF(Proc[[#This Row],[type]]="LFF (MDG-F)",MID(Proc[[#This Row],[Obj]],13,10),"")</f>
        <v/>
      </c>
      <c r="J5000" s="150" t="b">
        <f>Proc[[#This Row],[Requested]]=Proc[[#This Row],[CurrentParent]]</f>
        <v>1</v>
      </c>
      <c r="K5000" s="150" t="str">
        <f>IF(Proc[[#This Row],[Author]]="Marcela Urrego",VLOOKUP(LEFT(Proc[[#This Row],[Requested]],1),Table3[#All],2,0),VLOOKUP(Proc[[#This Row],[Author]],Table4[],2,0))</f>
        <v>HC</v>
      </c>
      <c r="L5000" s="150" t="s">
        <v>6435</v>
      </c>
      <c r="M5000" s="173">
        <v>45992</v>
      </c>
      <c r="N5000" s="174"/>
      <c r="O5000" s="174"/>
      <c r="P5000" s="174" t="str">
        <f ca="1">IF(Proc[[#This Row],[DaysAgeing]]&gt;5,"yep","on track")</f>
        <v>yep</v>
      </c>
      <c r="Q5000" s="3">
        <f ca="1">IF(Proc[[#This Row],[DateClosed]]="",ABS(NETWORKDAYS(Proc[[#This Row],[DateOpened]],TODAY()))-1,ABS(NETWORKDAYS(Proc[[#This Row],[DateOpened]],Proc[[#This Row],[DateClosed]]))-1)</f>
        <v>14</v>
      </c>
      <c r="R5000" s="174" t="s">
        <v>1013</v>
      </c>
      <c r="S5000" s="150"/>
    </row>
    <row r="5001" spans="1:19" hidden="1">
      <c r="A5001" s="149" t="s">
        <v>7195</v>
      </c>
      <c r="B5001" s="150" t="str">
        <f>IFERROR(VLOOKUP(Proc[[#This Row],[App]],Table2[],3,0),"open")</f>
        <v>ok</v>
      </c>
      <c r="C5001" s="149" t="s">
        <v>369</v>
      </c>
      <c r="D5001" t="s">
        <v>7215</v>
      </c>
      <c r="E5001" t="s">
        <v>4068</v>
      </c>
      <c r="F5001" s="150" t="s">
        <v>4068</v>
      </c>
      <c r="G5001" s="149" t="s">
        <v>400</v>
      </c>
      <c r="H5001" s="150" t="str">
        <f>IF(Proc[[#This Row],[type]]="LFF (MDG-F)",MID(Proc[[#This Row],[Obj]],13,10),"")</f>
        <v/>
      </c>
      <c r="J5001" s="150" t="b">
        <f>Proc[[#This Row],[Requested]]=Proc[[#This Row],[CurrentParent]]</f>
        <v>1</v>
      </c>
      <c r="K5001" s="150" t="str">
        <f>IF(Proc[[#This Row],[Author]]="Marcela Urrego",VLOOKUP(LEFT(Proc[[#This Row],[Requested]],1),Table3[#All],2,0),VLOOKUP(Proc[[#This Row],[Author]],Table4[],2,0))</f>
        <v>HC</v>
      </c>
      <c r="L5001" s="150" t="s">
        <v>6435</v>
      </c>
      <c r="M5001" s="173">
        <v>45992</v>
      </c>
      <c r="N5001" s="174"/>
      <c r="O5001" s="174"/>
      <c r="P5001" s="174" t="str">
        <f ca="1">IF(Proc[[#This Row],[DaysAgeing]]&gt;5,"yep","on track")</f>
        <v>yep</v>
      </c>
      <c r="Q5001" s="3">
        <f ca="1">IF(Proc[[#This Row],[DateClosed]]="",ABS(NETWORKDAYS(Proc[[#This Row],[DateOpened]],TODAY()))-1,ABS(NETWORKDAYS(Proc[[#This Row],[DateOpened]],Proc[[#This Row],[DateClosed]]))-1)</f>
        <v>14</v>
      </c>
      <c r="R5001" s="174" t="s">
        <v>1013</v>
      </c>
      <c r="S5001" s="150"/>
    </row>
    <row r="5002" spans="1:19" hidden="1">
      <c r="A5002" s="149" t="s">
        <v>7195</v>
      </c>
      <c r="B5002" s="150" t="str">
        <f>IFERROR(VLOOKUP(Proc[[#This Row],[App]],Table2[],3,0),"open")</f>
        <v>ok</v>
      </c>
      <c r="C5002" s="149" t="s">
        <v>369</v>
      </c>
      <c r="D5002" t="s">
        <v>7216</v>
      </c>
      <c r="E5002" t="s">
        <v>4068</v>
      </c>
      <c r="F5002" s="150" t="s">
        <v>4068</v>
      </c>
      <c r="G5002" s="149" t="s">
        <v>400</v>
      </c>
      <c r="H5002" s="150" t="str">
        <f>IF(Proc[[#This Row],[type]]="LFF (MDG-F)",MID(Proc[[#This Row],[Obj]],13,10),"")</f>
        <v/>
      </c>
      <c r="J5002" s="150" t="b">
        <f>Proc[[#This Row],[Requested]]=Proc[[#This Row],[CurrentParent]]</f>
        <v>1</v>
      </c>
      <c r="K5002" s="150" t="str">
        <f>IF(Proc[[#This Row],[Author]]="Marcela Urrego",VLOOKUP(LEFT(Proc[[#This Row],[Requested]],1),Table3[#All],2,0),VLOOKUP(Proc[[#This Row],[Author]],Table4[],2,0))</f>
        <v>HC</v>
      </c>
      <c r="L5002" s="150" t="s">
        <v>6435</v>
      </c>
      <c r="M5002" s="173">
        <v>45992</v>
      </c>
      <c r="N5002" s="174"/>
      <c r="O5002" s="174"/>
      <c r="P5002" s="174" t="str">
        <f ca="1">IF(Proc[[#This Row],[DaysAgeing]]&gt;5,"yep","on track")</f>
        <v>yep</v>
      </c>
      <c r="Q5002" s="3">
        <f ca="1">IF(Proc[[#This Row],[DateClosed]]="",ABS(NETWORKDAYS(Proc[[#This Row],[DateOpened]],TODAY()))-1,ABS(NETWORKDAYS(Proc[[#This Row],[DateOpened]],Proc[[#This Row],[DateClosed]]))-1)</f>
        <v>14</v>
      </c>
      <c r="R5002" s="174" t="s">
        <v>1013</v>
      </c>
      <c r="S5002" s="150"/>
    </row>
    <row r="5003" spans="1:19" hidden="1">
      <c r="A5003" t="s">
        <v>7221</v>
      </c>
      <c r="B5003" s="150" t="str">
        <f>IFERROR(VLOOKUP(Proc[[#This Row],[App]],Table2[],3,0),"open")</f>
        <v>ok</v>
      </c>
      <c r="C5003" s="149" t="s">
        <v>369</v>
      </c>
      <c r="D5003" t="s">
        <v>6783</v>
      </c>
      <c r="E5003" t="s">
        <v>759</v>
      </c>
      <c r="F5003" s="150" t="s">
        <v>759</v>
      </c>
      <c r="G5003" t="s">
        <v>400</v>
      </c>
      <c r="H5003" s="150" t="str">
        <f>IF(Proc[[#This Row],[type]]="LFF (MDG-F)",MID(Proc[[#This Row],[Obj]],13,10),"")</f>
        <v/>
      </c>
      <c r="J5003" s="150" t="b">
        <f>Proc[[#This Row],[Requested]]=Proc[[#This Row],[CurrentParent]]</f>
        <v>1</v>
      </c>
      <c r="K5003" s="150" t="str">
        <f>IF(Proc[[#This Row],[Author]]="Marcela Urrego",VLOOKUP(LEFT(Proc[[#This Row],[Requested]],1),Table3[#All],2,0),VLOOKUP(Proc[[#This Row],[Author]],Table4[],2,0))</f>
        <v>MGF</v>
      </c>
      <c r="L5003" s="150" t="s">
        <v>6435</v>
      </c>
      <c r="M5003" s="173">
        <v>45993</v>
      </c>
      <c r="N5003" s="174"/>
      <c r="O5003" s="174"/>
      <c r="P5003" s="174" t="str">
        <f ca="1">IF(Proc[[#This Row],[DaysAgeing]]&gt;5,"yep","on track")</f>
        <v>yep</v>
      </c>
      <c r="Q5003" s="3">
        <f ca="1">IF(Proc[[#This Row],[DateClosed]]="",ABS(NETWORKDAYS(Proc[[#This Row],[DateOpened]],TODAY()))-1,ABS(NETWORKDAYS(Proc[[#This Row],[DateOpened]],Proc[[#This Row],[DateClosed]]))-1)</f>
        <v>13</v>
      </c>
      <c r="R5003" s="174" t="s">
        <v>1459</v>
      </c>
      <c r="S5003" s="150"/>
    </row>
    <row r="5004" spans="1:19" hidden="1">
      <c r="A5004" t="s">
        <v>7221</v>
      </c>
      <c r="B5004" s="150" t="str">
        <f>IFERROR(VLOOKUP(Proc[[#This Row],[App]],Table2[],3,0),"open")</f>
        <v>ok</v>
      </c>
      <c r="C5004" s="149" t="s">
        <v>369</v>
      </c>
      <c r="D5004" t="s">
        <v>5278</v>
      </c>
      <c r="E5004" s="149" t="s">
        <v>7223</v>
      </c>
      <c r="F5004" s="150" t="s">
        <v>7223</v>
      </c>
      <c r="G5004" t="s">
        <v>406</v>
      </c>
      <c r="H5004" s="150" t="str">
        <f>IF(Proc[[#This Row],[type]]="LFF (MDG-F)",MID(Proc[[#This Row],[Obj]],13,10),"")</f>
        <v>CN90GM4004</v>
      </c>
      <c r="I5004" s="149" t="s">
        <v>7223</v>
      </c>
      <c r="J5004" s="150" t="b">
        <f>Proc[[#This Row],[Requested]]=Proc[[#This Row],[CurrentParent]]</f>
        <v>1</v>
      </c>
      <c r="K5004" s="150" t="str">
        <f>IF(Proc[[#This Row],[Author]]="Marcela Urrego",VLOOKUP(LEFT(Proc[[#This Row],[Requested]],1),Table3[#All],2,0),VLOOKUP(Proc[[#This Row],[Author]],Table4[],2,0))</f>
        <v>MGF</v>
      </c>
      <c r="L5004" s="150" t="s">
        <v>6435</v>
      </c>
      <c r="M5004" s="173">
        <v>45993</v>
      </c>
      <c r="N5004" s="174"/>
      <c r="O5004" s="174"/>
      <c r="P5004" s="174" t="str">
        <f ca="1">IF(Proc[[#This Row],[DaysAgeing]]&gt;5,"yep","on track")</f>
        <v>yep</v>
      </c>
      <c r="Q5004" s="3">
        <f ca="1">IF(Proc[[#This Row],[DateClosed]]="",ABS(NETWORKDAYS(Proc[[#This Row],[DateOpened]],TODAY()))-1,ABS(NETWORKDAYS(Proc[[#This Row],[DateOpened]],Proc[[#This Row],[DateClosed]]))-1)</f>
        <v>13</v>
      </c>
      <c r="R5004" s="174" t="s">
        <v>1459</v>
      </c>
      <c r="S5004" s="150"/>
    </row>
    <row r="5005" spans="1:19" hidden="1">
      <c r="A5005" s="149" t="s">
        <v>7221</v>
      </c>
      <c r="B5005" s="150" t="str">
        <f>IFERROR(VLOOKUP(Proc[[#This Row],[App]],Table2[],3,0),"open")</f>
        <v>ok</v>
      </c>
      <c r="C5005" s="149" t="s">
        <v>369</v>
      </c>
      <c r="D5005" t="s">
        <v>5293</v>
      </c>
      <c r="E5005" s="149" t="s">
        <v>7224</v>
      </c>
      <c r="F5005" s="150" t="s">
        <v>7224</v>
      </c>
      <c r="G5005" t="s">
        <v>400</v>
      </c>
      <c r="H5005" s="150" t="str">
        <f>IF(Proc[[#This Row],[type]]="LFF (MDG-F)",MID(Proc[[#This Row],[Obj]],13,10),"")</f>
        <v/>
      </c>
      <c r="I5005" s="149" t="s">
        <v>7224</v>
      </c>
      <c r="J5005" s="150" t="b">
        <f>Proc[[#This Row],[Requested]]=Proc[[#This Row],[CurrentParent]]</f>
        <v>1</v>
      </c>
      <c r="K5005" s="150" t="str">
        <f>IF(Proc[[#This Row],[Author]]="Marcela Urrego",VLOOKUP(LEFT(Proc[[#This Row],[Requested]],1),Table3[#All],2,0),VLOOKUP(Proc[[#This Row],[Author]],Table4[],2,0))</f>
        <v>MGF</v>
      </c>
      <c r="L5005" s="150" t="s">
        <v>6435</v>
      </c>
      <c r="M5005" s="173">
        <v>45993</v>
      </c>
      <c r="N5005" s="174"/>
      <c r="O5005" s="174"/>
      <c r="P5005" s="174" t="str">
        <f ca="1">IF(Proc[[#This Row],[DaysAgeing]]&gt;5,"yep","on track")</f>
        <v>yep</v>
      </c>
      <c r="Q5005" s="3">
        <f ca="1">IF(Proc[[#This Row],[DateClosed]]="",ABS(NETWORKDAYS(Proc[[#This Row],[DateOpened]],TODAY()))-1,ABS(NETWORKDAYS(Proc[[#This Row],[DateOpened]],Proc[[#This Row],[DateClosed]]))-1)</f>
        <v>13</v>
      </c>
      <c r="R5005" s="174" t="s">
        <v>1459</v>
      </c>
      <c r="S5005" s="150"/>
    </row>
    <row r="5006" spans="1:19" hidden="1">
      <c r="A5006" s="149" t="s">
        <v>7221</v>
      </c>
      <c r="B5006" s="150" t="str">
        <f>IFERROR(VLOOKUP(Proc[[#This Row],[App]],Table2[],3,0),"open")</f>
        <v>ok</v>
      </c>
      <c r="C5006" s="149" t="s">
        <v>369</v>
      </c>
      <c r="D5006" t="s">
        <v>5297</v>
      </c>
      <c r="E5006" s="149" t="s">
        <v>7225</v>
      </c>
      <c r="F5006" s="150" t="s">
        <v>7225</v>
      </c>
      <c r="G5006" t="s">
        <v>400</v>
      </c>
      <c r="H5006" s="150" t="str">
        <f>IF(Proc[[#This Row],[type]]="LFF (MDG-F)",MID(Proc[[#This Row],[Obj]],13,10),"")</f>
        <v/>
      </c>
      <c r="I5006" s="149" t="s">
        <v>7225</v>
      </c>
      <c r="J5006" s="150" t="b">
        <f>Proc[[#This Row],[Requested]]=Proc[[#This Row],[CurrentParent]]</f>
        <v>1</v>
      </c>
      <c r="K5006" s="150" t="str">
        <f>IF(Proc[[#This Row],[Author]]="Marcela Urrego",VLOOKUP(LEFT(Proc[[#This Row],[Requested]],1),Table3[#All],2,0),VLOOKUP(Proc[[#This Row],[Author]],Table4[],2,0))</f>
        <v>MGF</v>
      </c>
      <c r="L5006" s="150" t="s">
        <v>6435</v>
      </c>
      <c r="M5006" s="173">
        <v>45993</v>
      </c>
      <c r="N5006" s="174"/>
      <c r="O5006" s="174"/>
      <c r="P5006" s="174" t="str">
        <f ca="1">IF(Proc[[#This Row],[DaysAgeing]]&gt;5,"yep","on track")</f>
        <v>yep</v>
      </c>
      <c r="Q5006" s="3">
        <f ca="1">IF(Proc[[#This Row],[DateClosed]]="",ABS(NETWORKDAYS(Proc[[#This Row],[DateOpened]],TODAY()))-1,ABS(NETWORKDAYS(Proc[[#This Row],[DateOpened]],Proc[[#This Row],[DateClosed]]))-1)</f>
        <v>13</v>
      </c>
      <c r="R5006" s="174" t="s">
        <v>1459</v>
      </c>
      <c r="S5006" s="150"/>
    </row>
    <row r="5007" spans="1:19" hidden="1">
      <c r="A5007" s="149" t="s">
        <v>7221</v>
      </c>
      <c r="B5007" s="150" t="str">
        <f>IFERROR(VLOOKUP(Proc[[#This Row],[App]],Table2[],3,0),"open")</f>
        <v>ok</v>
      </c>
      <c r="C5007" s="149" t="s">
        <v>369</v>
      </c>
      <c r="D5007" t="s">
        <v>5440</v>
      </c>
      <c r="E5007" s="149" t="s">
        <v>7226</v>
      </c>
      <c r="F5007" s="150" t="s">
        <v>7226</v>
      </c>
      <c r="G5007" s="149" t="s">
        <v>400</v>
      </c>
      <c r="H5007" s="150" t="str">
        <f>IF(Proc[[#This Row],[type]]="LFF (MDG-F)",MID(Proc[[#This Row],[Obj]],13,10),"")</f>
        <v/>
      </c>
      <c r="I5007" s="149" t="s">
        <v>7226</v>
      </c>
      <c r="J5007" s="150" t="b">
        <f>Proc[[#This Row],[Requested]]=Proc[[#This Row],[CurrentParent]]</f>
        <v>1</v>
      </c>
      <c r="K5007" s="150" t="str">
        <f>IF(Proc[[#This Row],[Author]]="Marcela Urrego",VLOOKUP(LEFT(Proc[[#This Row],[Requested]],1),Table3[#All],2,0),VLOOKUP(Proc[[#This Row],[Author]],Table4[],2,0))</f>
        <v>MGF</v>
      </c>
      <c r="L5007" s="150" t="s">
        <v>6435</v>
      </c>
      <c r="M5007" s="173">
        <v>45993</v>
      </c>
      <c r="N5007" s="174"/>
      <c r="O5007" s="174"/>
      <c r="P5007" s="174" t="str">
        <f ca="1">IF(Proc[[#This Row],[DaysAgeing]]&gt;5,"yep","on track")</f>
        <v>yep</v>
      </c>
      <c r="Q5007" s="3">
        <f ca="1">IF(Proc[[#This Row],[DateClosed]]="",ABS(NETWORKDAYS(Proc[[#This Row],[DateOpened]],TODAY()))-1,ABS(NETWORKDAYS(Proc[[#This Row],[DateOpened]],Proc[[#This Row],[DateClosed]]))-1)</f>
        <v>13</v>
      </c>
      <c r="R5007" s="174" t="s">
        <v>1459</v>
      </c>
      <c r="S5007" s="150"/>
    </row>
    <row r="5008" spans="1:19" hidden="1">
      <c r="A5008" s="149" t="s">
        <v>7221</v>
      </c>
      <c r="B5008" s="150" t="str">
        <f>IFERROR(VLOOKUP(Proc[[#This Row],[App]],Table2[],3,0),"open")</f>
        <v>ok</v>
      </c>
      <c r="C5008" s="149" t="s">
        <v>369</v>
      </c>
      <c r="D5008" t="s">
        <v>5305</v>
      </c>
      <c r="E5008" s="149" t="s">
        <v>7223</v>
      </c>
      <c r="F5008" s="150" t="s">
        <v>7223</v>
      </c>
      <c r="G5008" s="149" t="s">
        <v>400</v>
      </c>
      <c r="H5008" s="150" t="str">
        <f>IF(Proc[[#This Row],[type]]="LFF (MDG-F)",MID(Proc[[#This Row],[Obj]],13,10),"")</f>
        <v/>
      </c>
      <c r="I5008" s="149" t="s">
        <v>7223</v>
      </c>
      <c r="J5008" s="150" t="b">
        <f>Proc[[#This Row],[Requested]]=Proc[[#This Row],[CurrentParent]]</f>
        <v>1</v>
      </c>
      <c r="K5008" s="150" t="str">
        <f>IF(Proc[[#This Row],[Author]]="Marcela Urrego",VLOOKUP(LEFT(Proc[[#This Row],[Requested]],1),Table3[#All],2,0),VLOOKUP(Proc[[#This Row],[Author]],Table4[],2,0))</f>
        <v>MGF</v>
      </c>
      <c r="L5008" s="150" t="s">
        <v>6435</v>
      </c>
      <c r="M5008" s="173">
        <v>45993</v>
      </c>
      <c r="N5008" s="174"/>
      <c r="O5008" s="174"/>
      <c r="P5008" s="174" t="str">
        <f ca="1">IF(Proc[[#This Row],[DaysAgeing]]&gt;5,"yep","on track")</f>
        <v>yep</v>
      </c>
      <c r="Q5008" s="3">
        <f ca="1">IF(Proc[[#This Row],[DateClosed]]="",ABS(NETWORKDAYS(Proc[[#This Row],[DateOpened]],TODAY()))-1,ABS(NETWORKDAYS(Proc[[#This Row],[DateOpened]],Proc[[#This Row],[DateClosed]]))-1)</f>
        <v>13</v>
      </c>
      <c r="R5008" s="174" t="s">
        <v>1459</v>
      </c>
      <c r="S5008" s="150"/>
    </row>
    <row r="5009" spans="1:19" hidden="1">
      <c r="A5009" s="149" t="s">
        <v>7221</v>
      </c>
      <c r="B5009" s="150" t="str">
        <f>IFERROR(VLOOKUP(Proc[[#This Row],[App]],Table2[],3,0),"open")</f>
        <v>ok</v>
      </c>
      <c r="C5009" s="149" t="s">
        <v>369</v>
      </c>
      <c r="D5009" t="s">
        <v>5350</v>
      </c>
      <c r="E5009" s="149" t="s">
        <v>7225</v>
      </c>
      <c r="F5009" s="150" t="s">
        <v>7225</v>
      </c>
      <c r="G5009" t="s">
        <v>406</v>
      </c>
      <c r="H5009" s="150" t="str">
        <f>IF(Proc[[#This Row],[type]]="LFF (MDG-F)",MID(Proc[[#This Row],[Obj]],13,10),"")</f>
        <v>DE10GMS041</v>
      </c>
      <c r="I5009" s="149" t="s">
        <v>7225</v>
      </c>
      <c r="J5009" s="150" t="b">
        <f>Proc[[#This Row],[Requested]]=Proc[[#This Row],[CurrentParent]]</f>
        <v>1</v>
      </c>
      <c r="K5009" s="150" t="str">
        <f>IF(Proc[[#This Row],[Author]]="Marcela Urrego",VLOOKUP(LEFT(Proc[[#This Row],[Requested]],1),Table3[#All],2,0),VLOOKUP(Proc[[#This Row],[Author]],Table4[],2,0))</f>
        <v>MGF</v>
      </c>
      <c r="L5009" s="150" t="s">
        <v>6435</v>
      </c>
      <c r="M5009" s="173">
        <v>45993</v>
      </c>
      <c r="N5009" s="174"/>
      <c r="O5009" s="174"/>
      <c r="P5009" s="174" t="str">
        <f ca="1">IF(Proc[[#This Row],[DaysAgeing]]&gt;5,"yep","on track")</f>
        <v>yep</v>
      </c>
      <c r="Q5009" s="3">
        <f ca="1">IF(Proc[[#This Row],[DateClosed]]="",ABS(NETWORKDAYS(Proc[[#This Row],[DateOpened]],TODAY()))-1,ABS(NETWORKDAYS(Proc[[#This Row],[DateOpened]],Proc[[#This Row],[DateClosed]]))-1)</f>
        <v>13</v>
      </c>
      <c r="R5009" s="174" t="s">
        <v>1459</v>
      </c>
      <c r="S5009" s="150"/>
    </row>
    <row r="5010" spans="1:19" hidden="1">
      <c r="A5010" s="149" t="s">
        <v>7221</v>
      </c>
      <c r="B5010" s="150" t="str">
        <f>IFERROR(VLOOKUP(Proc[[#This Row],[App]],Table2[],3,0),"open")</f>
        <v>ok</v>
      </c>
      <c r="C5010" s="149" t="s">
        <v>369</v>
      </c>
      <c r="D5010" t="s">
        <v>5438</v>
      </c>
      <c r="E5010" s="149" t="s">
        <v>7226</v>
      </c>
      <c r="F5010" s="150" t="s">
        <v>7226</v>
      </c>
      <c r="G5010" t="s">
        <v>406</v>
      </c>
      <c r="H5010" s="150" t="str">
        <f>IF(Proc[[#This Row],[type]]="LFF (MDG-F)",MID(Proc[[#This Row],[Obj]],13,10),"")</f>
        <v>DE10GMS070</v>
      </c>
      <c r="I5010" s="149" t="s">
        <v>7226</v>
      </c>
      <c r="J5010" s="150" t="b">
        <f>Proc[[#This Row],[Requested]]=Proc[[#This Row],[CurrentParent]]</f>
        <v>1</v>
      </c>
      <c r="K5010" s="150" t="str">
        <f>IF(Proc[[#This Row],[Author]]="Marcela Urrego",VLOOKUP(LEFT(Proc[[#This Row],[Requested]],1),Table3[#All],2,0),VLOOKUP(Proc[[#This Row],[Author]],Table4[],2,0))</f>
        <v>MGF</v>
      </c>
      <c r="L5010" s="150" t="s">
        <v>6435</v>
      </c>
      <c r="M5010" s="173">
        <v>45993</v>
      </c>
      <c r="N5010" s="174"/>
      <c r="O5010" s="174"/>
      <c r="P5010" s="174" t="str">
        <f ca="1">IF(Proc[[#This Row],[DaysAgeing]]&gt;5,"yep","on track")</f>
        <v>yep</v>
      </c>
      <c r="Q5010" s="3">
        <f ca="1">IF(Proc[[#This Row],[DateClosed]]="",ABS(NETWORKDAYS(Proc[[#This Row],[DateOpened]],TODAY()))-1,ABS(NETWORKDAYS(Proc[[#This Row],[DateOpened]],Proc[[#This Row],[DateClosed]]))-1)</f>
        <v>13</v>
      </c>
      <c r="R5010" s="174" t="s">
        <v>1459</v>
      </c>
      <c r="S5010" s="150"/>
    </row>
    <row r="5011" spans="1:19" hidden="1">
      <c r="A5011" s="149" t="s">
        <v>7221</v>
      </c>
      <c r="B5011" s="150" t="str">
        <f>IFERROR(VLOOKUP(Proc[[#This Row],[App]],Table2[],3,0),"open")</f>
        <v>ok</v>
      </c>
      <c r="C5011" s="149" t="s">
        <v>369</v>
      </c>
      <c r="D5011" t="s">
        <v>5338</v>
      </c>
      <c r="E5011" s="149" t="s">
        <v>7225</v>
      </c>
      <c r="F5011" s="150" t="s">
        <v>7225</v>
      </c>
      <c r="G5011" t="s">
        <v>406</v>
      </c>
      <c r="H5011" s="150" t="str">
        <f>IF(Proc[[#This Row],[type]]="LFF (MDG-F)",MID(Proc[[#This Row],[Obj]],13,10),"")</f>
        <v>DE10669632</v>
      </c>
      <c r="I5011" s="149" t="s">
        <v>7225</v>
      </c>
      <c r="J5011" s="150" t="b">
        <f>Proc[[#This Row],[Requested]]=Proc[[#This Row],[CurrentParent]]</f>
        <v>1</v>
      </c>
      <c r="K5011" s="150" t="str">
        <f>IF(Proc[[#This Row],[Author]]="Marcela Urrego",VLOOKUP(LEFT(Proc[[#This Row],[Requested]],1),Table3[#All],2,0),VLOOKUP(Proc[[#This Row],[Author]],Table4[],2,0))</f>
        <v>MGF</v>
      </c>
      <c r="L5011" s="150" t="s">
        <v>6435</v>
      </c>
      <c r="M5011" s="174">
        <v>45993</v>
      </c>
      <c r="N5011" s="174"/>
      <c r="O5011" s="174"/>
      <c r="P5011" s="174" t="str">
        <f ca="1">IF(Proc[[#This Row],[DaysAgeing]]&gt;5,"yep","on track")</f>
        <v>yep</v>
      </c>
      <c r="Q5011" s="3">
        <f ca="1">IF(Proc[[#This Row],[DateClosed]]="",ABS(NETWORKDAYS(Proc[[#This Row],[DateOpened]],TODAY()))-1,ABS(NETWORKDAYS(Proc[[#This Row],[DateOpened]],Proc[[#This Row],[DateClosed]]))-1)</f>
        <v>13</v>
      </c>
      <c r="R5011" s="174" t="s">
        <v>1459</v>
      </c>
      <c r="S5011" s="150"/>
    </row>
    <row r="5012" spans="1:19" hidden="1">
      <c r="A5012" s="149" t="s">
        <v>7221</v>
      </c>
      <c r="B5012" s="150" t="str">
        <f>IFERROR(VLOOKUP(Proc[[#This Row],[App]],Table2[],3,0),"open")</f>
        <v>ok</v>
      </c>
      <c r="C5012" s="149" t="s">
        <v>369</v>
      </c>
      <c r="D5012" t="s">
        <v>5361</v>
      </c>
      <c r="E5012" s="149" t="s">
        <v>7223</v>
      </c>
      <c r="F5012" s="150" t="s">
        <v>7223</v>
      </c>
      <c r="G5012" t="s">
        <v>400</v>
      </c>
      <c r="H5012" s="150" t="str">
        <f>IF(Proc[[#This Row],[type]]="LFF (MDG-F)",MID(Proc[[#This Row],[Obj]],13,10),"")</f>
        <v/>
      </c>
      <c r="I5012" s="149" t="s">
        <v>7223</v>
      </c>
      <c r="J5012" s="150" t="b">
        <f>Proc[[#This Row],[Requested]]=Proc[[#This Row],[CurrentParent]]</f>
        <v>1</v>
      </c>
      <c r="K5012" s="150" t="str">
        <f>IF(Proc[[#This Row],[Author]]="Marcela Urrego",VLOOKUP(LEFT(Proc[[#This Row],[Requested]],1),Table3[#All],2,0),VLOOKUP(Proc[[#This Row],[Author]],Table4[],2,0))</f>
        <v>MGF</v>
      </c>
      <c r="L5012" s="150" t="s">
        <v>6435</v>
      </c>
      <c r="M5012" s="174">
        <v>45993</v>
      </c>
      <c r="N5012" s="174"/>
      <c r="O5012" s="174"/>
      <c r="P5012" s="174" t="str">
        <f ca="1">IF(Proc[[#This Row],[DaysAgeing]]&gt;5,"yep","on track")</f>
        <v>yep</v>
      </c>
      <c r="Q5012" s="3">
        <f ca="1">IF(Proc[[#This Row],[DateClosed]]="",ABS(NETWORKDAYS(Proc[[#This Row],[DateOpened]],TODAY()))-1,ABS(NETWORKDAYS(Proc[[#This Row],[DateOpened]],Proc[[#This Row],[DateClosed]]))-1)</f>
        <v>13</v>
      </c>
      <c r="R5012" s="174" t="s">
        <v>1459</v>
      </c>
      <c r="S5012" s="150"/>
    </row>
    <row r="5013" spans="1:19" hidden="1">
      <c r="A5013" s="149" t="s">
        <v>7221</v>
      </c>
      <c r="B5013" s="150" t="str">
        <f>IFERROR(VLOOKUP(Proc[[#This Row],[App]],Table2[],3,0),"open")</f>
        <v>ok</v>
      </c>
      <c r="C5013" s="149" t="s">
        <v>369</v>
      </c>
      <c r="D5013" t="s">
        <v>7222</v>
      </c>
      <c r="E5013" s="149" t="s">
        <v>7227</v>
      </c>
      <c r="F5013" s="150" t="s">
        <v>7227</v>
      </c>
      <c r="G5013" s="149" t="s">
        <v>400</v>
      </c>
      <c r="H5013" s="150" t="str">
        <f>IF(Proc[[#This Row],[type]]="LFF (MDG-F)",MID(Proc[[#This Row],[Obj]],13,10),"")</f>
        <v/>
      </c>
      <c r="I5013" s="149" t="s">
        <v>7227</v>
      </c>
      <c r="J5013" s="150" t="b">
        <f>Proc[[#This Row],[Requested]]=Proc[[#This Row],[CurrentParent]]</f>
        <v>1</v>
      </c>
      <c r="K5013" s="150" t="str">
        <f>IF(Proc[[#This Row],[Author]]="Marcela Urrego",VLOOKUP(LEFT(Proc[[#This Row],[Requested]],1),Table3[#All],2,0),VLOOKUP(Proc[[#This Row],[Author]],Table4[],2,0))</f>
        <v>MGF</v>
      </c>
      <c r="L5013" s="150" t="s">
        <v>6435</v>
      </c>
      <c r="M5013" s="174">
        <v>45993</v>
      </c>
      <c r="N5013" s="174"/>
      <c r="O5013" s="174"/>
      <c r="P5013" s="174" t="str">
        <f ca="1">IF(Proc[[#This Row],[DaysAgeing]]&gt;5,"yep","on track")</f>
        <v>yep</v>
      </c>
      <c r="Q5013" s="3">
        <f ca="1">IF(Proc[[#This Row],[DateClosed]]="",ABS(NETWORKDAYS(Proc[[#This Row],[DateOpened]],TODAY()))-1,ABS(NETWORKDAYS(Proc[[#This Row],[DateOpened]],Proc[[#This Row],[DateClosed]]))-1)</f>
        <v>13</v>
      </c>
      <c r="R5013" s="174" t="s">
        <v>1459</v>
      </c>
      <c r="S5013" s="150"/>
    </row>
    <row r="5014" spans="1:19" hidden="1">
      <c r="A5014" t="s">
        <v>7247</v>
      </c>
      <c r="B5014" s="150" t="str">
        <f>IFERROR(VLOOKUP(Proc[[#This Row],[App]],Table2[],3,0),"open")</f>
        <v>ok</v>
      </c>
      <c r="C5014" s="149" t="s">
        <v>369</v>
      </c>
      <c r="D5014" t="s">
        <v>7248</v>
      </c>
      <c r="E5014" t="s">
        <v>4939</v>
      </c>
      <c r="F5014" s="150" t="s">
        <v>4939</v>
      </c>
      <c r="G5014" s="149" t="s">
        <v>400</v>
      </c>
      <c r="H5014" s="150" t="str">
        <f>IF(Proc[[#This Row],[type]]="LFF (MDG-F)",MID(Proc[[#This Row],[Obj]],13,10),"")</f>
        <v/>
      </c>
      <c r="J5014" s="150" t="b">
        <f>Proc[[#This Row],[Requested]]=Proc[[#This Row],[CurrentParent]]</f>
        <v>1</v>
      </c>
      <c r="K5014" s="150" t="str">
        <f>IF(Proc[[#This Row],[Author]]="Marcela Urrego",VLOOKUP(LEFT(Proc[[#This Row],[Requested]],1),Table3[#All],2,0),VLOOKUP(Proc[[#This Row],[Author]],Table4[],2,0))</f>
        <v>HC</v>
      </c>
      <c r="L5014" s="150" t="s">
        <v>6435</v>
      </c>
      <c r="M5014" s="174">
        <v>45994</v>
      </c>
      <c r="N5014" s="175"/>
      <c r="O5014" s="175"/>
      <c r="P5014" s="175" t="str">
        <f ca="1">IF(Proc[[#This Row],[DaysAgeing]]&gt;5,"yep","on track")</f>
        <v>yep</v>
      </c>
      <c r="Q5014" s="3">
        <f ca="1">IF(Proc[[#This Row],[DateClosed]]="",ABS(NETWORKDAYS(Proc[[#This Row],[DateOpened]],TODAY()))-1,ABS(NETWORKDAYS(Proc[[#This Row],[DateOpened]],Proc[[#This Row],[DateClosed]]))-1)</f>
        <v>12</v>
      </c>
      <c r="R5014" s="175" t="s">
        <v>415</v>
      </c>
      <c r="S5014" s="150"/>
    </row>
    <row r="5015" spans="1:19" hidden="1">
      <c r="A5015" s="149" t="s">
        <v>7247</v>
      </c>
      <c r="B5015" s="150" t="str">
        <f>IFERROR(VLOOKUP(Proc[[#This Row],[App]],Table2[],3,0),"open")</f>
        <v>ok</v>
      </c>
      <c r="C5015" s="149" t="s">
        <v>369</v>
      </c>
      <c r="D5015" t="s">
        <v>7249</v>
      </c>
      <c r="E5015" t="s">
        <v>4939</v>
      </c>
      <c r="F5015" s="150" t="s">
        <v>4939</v>
      </c>
      <c r="G5015" s="149" t="s">
        <v>400</v>
      </c>
      <c r="H5015" s="150" t="str">
        <f>IF(Proc[[#This Row],[type]]="LFF (MDG-F)",MID(Proc[[#This Row],[Obj]],13,10),"")</f>
        <v/>
      </c>
      <c r="J5015" s="150" t="b">
        <f>Proc[[#This Row],[Requested]]=Proc[[#This Row],[CurrentParent]]</f>
        <v>1</v>
      </c>
      <c r="K5015" s="150" t="str">
        <f>IF(Proc[[#This Row],[Author]]="Marcela Urrego",VLOOKUP(LEFT(Proc[[#This Row],[Requested]],1),Table3[#All],2,0),VLOOKUP(Proc[[#This Row],[Author]],Table4[],2,0))</f>
        <v>HC</v>
      </c>
      <c r="L5015" s="150" t="s">
        <v>6435</v>
      </c>
      <c r="M5015" s="174">
        <v>45994</v>
      </c>
      <c r="N5015" s="175"/>
      <c r="O5015" s="175"/>
      <c r="P5015" s="175" t="str">
        <f ca="1">IF(Proc[[#This Row],[DaysAgeing]]&gt;5,"yep","on track")</f>
        <v>yep</v>
      </c>
      <c r="Q5015" s="3">
        <f ca="1">IF(Proc[[#This Row],[DateClosed]]="",ABS(NETWORKDAYS(Proc[[#This Row],[DateOpened]],TODAY()))-1,ABS(NETWORKDAYS(Proc[[#This Row],[DateOpened]],Proc[[#This Row],[DateClosed]]))-1)</f>
        <v>12</v>
      </c>
      <c r="R5015" s="175" t="s">
        <v>415</v>
      </c>
      <c r="S5015" s="150"/>
    </row>
    <row r="5016" spans="1:19" hidden="1">
      <c r="A5016" s="149" t="s">
        <v>7247</v>
      </c>
      <c r="B5016" s="150" t="str">
        <f>IFERROR(VLOOKUP(Proc[[#This Row],[App]],Table2[],3,0),"open")</f>
        <v>ok</v>
      </c>
      <c r="C5016" s="149" t="s">
        <v>369</v>
      </c>
      <c r="D5016" t="s">
        <v>7250</v>
      </c>
      <c r="E5016" t="s">
        <v>4939</v>
      </c>
      <c r="F5016" s="150" t="s">
        <v>4939</v>
      </c>
      <c r="G5016" s="149" t="s">
        <v>400</v>
      </c>
      <c r="H5016" s="150" t="str">
        <f>IF(Proc[[#This Row],[type]]="LFF (MDG-F)",MID(Proc[[#This Row],[Obj]],13,10),"")</f>
        <v/>
      </c>
      <c r="J5016" s="150" t="b">
        <f>Proc[[#This Row],[Requested]]=Proc[[#This Row],[CurrentParent]]</f>
        <v>1</v>
      </c>
      <c r="K5016" s="150" t="str">
        <f>IF(Proc[[#This Row],[Author]]="Marcela Urrego",VLOOKUP(LEFT(Proc[[#This Row],[Requested]],1),Table3[#All],2,0),VLOOKUP(Proc[[#This Row],[Author]],Table4[],2,0))</f>
        <v>HC</v>
      </c>
      <c r="L5016" s="150" t="s">
        <v>6435</v>
      </c>
      <c r="M5016" s="174">
        <v>45994</v>
      </c>
      <c r="N5016" s="175"/>
      <c r="O5016" s="175"/>
      <c r="P5016" s="175" t="str">
        <f ca="1">IF(Proc[[#This Row],[DaysAgeing]]&gt;5,"yep","on track")</f>
        <v>yep</v>
      </c>
      <c r="Q5016" s="3">
        <f ca="1">IF(Proc[[#This Row],[DateClosed]]="",ABS(NETWORKDAYS(Proc[[#This Row],[DateOpened]],TODAY()))-1,ABS(NETWORKDAYS(Proc[[#This Row],[DateOpened]],Proc[[#This Row],[DateClosed]]))-1)</f>
        <v>12</v>
      </c>
      <c r="R5016" s="175" t="s">
        <v>415</v>
      </c>
      <c r="S5016" s="150"/>
    </row>
    <row r="5017" spans="1:19" hidden="1">
      <c r="A5017" t="s">
        <v>7252</v>
      </c>
      <c r="B5017" s="150" t="str">
        <f>IFERROR(VLOOKUP(Proc[[#This Row],[App]],Table2[],3,0),"open")</f>
        <v>ok</v>
      </c>
      <c r="C5017" s="149" t="s">
        <v>369</v>
      </c>
      <c r="D5017" t="s">
        <v>7251</v>
      </c>
      <c r="E5017" s="149" t="s">
        <v>4939</v>
      </c>
      <c r="F5017" s="150" t="s">
        <v>4939</v>
      </c>
      <c r="G5017" s="149" t="s">
        <v>400</v>
      </c>
      <c r="H5017" s="150" t="str">
        <f>IF(Proc[[#This Row],[type]]="LFF (MDG-F)",MID(Proc[[#This Row],[Obj]],13,10),"")</f>
        <v/>
      </c>
      <c r="J5017" s="150" t="b">
        <f>Proc[[#This Row],[Requested]]=Proc[[#This Row],[CurrentParent]]</f>
        <v>1</v>
      </c>
      <c r="K5017" s="150" t="str">
        <f>IF(Proc[[#This Row],[Author]]="Marcela Urrego",VLOOKUP(LEFT(Proc[[#This Row],[Requested]],1),Table3[#All],2,0),VLOOKUP(Proc[[#This Row],[Author]],Table4[],2,0))</f>
        <v>HC</v>
      </c>
      <c r="L5017" s="150" t="s">
        <v>6435</v>
      </c>
      <c r="M5017" s="174">
        <v>45994</v>
      </c>
      <c r="N5017" s="175"/>
      <c r="O5017" s="175"/>
      <c r="P5017" s="175" t="str">
        <f ca="1">IF(Proc[[#This Row],[DaysAgeing]]&gt;5,"yep","on track")</f>
        <v>yep</v>
      </c>
      <c r="Q5017" s="3">
        <f ca="1">IF(Proc[[#This Row],[DateClosed]]="",ABS(NETWORKDAYS(Proc[[#This Row],[DateOpened]],TODAY()))-1,ABS(NETWORKDAYS(Proc[[#This Row],[DateOpened]],Proc[[#This Row],[DateClosed]]))-1)</f>
        <v>12</v>
      </c>
      <c r="R5017" s="175" t="s">
        <v>415</v>
      </c>
      <c r="S5017" s="150"/>
    </row>
    <row r="5018" spans="1:19" hidden="1">
      <c r="A5018" t="s">
        <v>7252</v>
      </c>
      <c r="B5018" s="150" t="str">
        <f>IFERROR(VLOOKUP(Proc[[#This Row],[App]],Table2[],3,0),"open")</f>
        <v>ok</v>
      </c>
      <c r="C5018" s="149" t="s">
        <v>369</v>
      </c>
      <c r="D5018" t="s">
        <v>7253</v>
      </c>
      <c r="E5018" s="149" t="s">
        <v>4939</v>
      </c>
      <c r="F5018" s="150" t="s">
        <v>4939</v>
      </c>
      <c r="G5018" s="149" t="s">
        <v>400</v>
      </c>
      <c r="H5018" s="150" t="str">
        <f>IF(Proc[[#This Row],[type]]="LFF (MDG-F)",MID(Proc[[#This Row],[Obj]],13,10),"")</f>
        <v/>
      </c>
      <c r="J5018" s="150" t="b">
        <f>Proc[[#This Row],[Requested]]=Proc[[#This Row],[CurrentParent]]</f>
        <v>1</v>
      </c>
      <c r="K5018" s="150" t="str">
        <f>IF(Proc[[#This Row],[Author]]="Marcela Urrego",VLOOKUP(LEFT(Proc[[#This Row],[Requested]],1),Table3[#All],2,0),VLOOKUP(Proc[[#This Row],[Author]],Table4[],2,0))</f>
        <v>HC</v>
      </c>
      <c r="L5018" s="150" t="s">
        <v>6435</v>
      </c>
      <c r="M5018" s="174">
        <v>45994</v>
      </c>
      <c r="N5018" s="175"/>
      <c r="O5018" s="175"/>
      <c r="P5018" s="175" t="str">
        <f ca="1">IF(Proc[[#This Row],[DaysAgeing]]&gt;5,"yep","on track")</f>
        <v>yep</v>
      </c>
      <c r="Q5018" s="3">
        <f ca="1">IF(Proc[[#This Row],[DateClosed]]="",ABS(NETWORKDAYS(Proc[[#This Row],[DateOpened]],TODAY()))-1,ABS(NETWORKDAYS(Proc[[#This Row],[DateOpened]],Proc[[#This Row],[DateClosed]]))-1)</f>
        <v>12</v>
      </c>
      <c r="R5018" s="175" t="s">
        <v>415</v>
      </c>
      <c r="S5018" s="150"/>
    </row>
    <row r="5019" spans="1:19" hidden="1">
      <c r="A5019" s="149" t="s">
        <v>7252</v>
      </c>
      <c r="B5019" s="150" t="str">
        <f>IFERROR(VLOOKUP(Proc[[#This Row],[App]],Table2[],3,0),"open")</f>
        <v>ok</v>
      </c>
      <c r="C5019" s="149" t="s">
        <v>369</v>
      </c>
      <c r="D5019" t="s">
        <v>7254</v>
      </c>
      <c r="E5019" s="149" t="s">
        <v>4939</v>
      </c>
      <c r="F5019" s="150" t="s">
        <v>4939</v>
      </c>
      <c r="G5019" s="149" t="s">
        <v>400</v>
      </c>
      <c r="H5019" s="150" t="str">
        <f>IF(Proc[[#This Row],[type]]="LFF (MDG-F)",MID(Proc[[#This Row],[Obj]],13,10),"")</f>
        <v/>
      </c>
      <c r="J5019" s="150" t="b">
        <f>Proc[[#This Row],[Requested]]=Proc[[#This Row],[CurrentParent]]</f>
        <v>1</v>
      </c>
      <c r="K5019" s="150" t="str">
        <f>IF(Proc[[#This Row],[Author]]="Marcela Urrego",VLOOKUP(LEFT(Proc[[#This Row],[Requested]],1),Table3[#All],2,0),VLOOKUP(Proc[[#This Row],[Author]],Table4[],2,0))</f>
        <v>HC</v>
      </c>
      <c r="L5019" s="150" t="s">
        <v>6435</v>
      </c>
      <c r="M5019" s="174">
        <v>45994</v>
      </c>
      <c r="N5019" s="175"/>
      <c r="O5019" s="175"/>
      <c r="P5019" s="175" t="str">
        <f ca="1">IF(Proc[[#This Row],[DaysAgeing]]&gt;5,"yep","on track")</f>
        <v>yep</v>
      </c>
      <c r="Q5019" s="3">
        <f ca="1">IF(Proc[[#This Row],[DateClosed]]="",ABS(NETWORKDAYS(Proc[[#This Row],[DateOpened]],TODAY()))-1,ABS(NETWORKDAYS(Proc[[#This Row],[DateOpened]],Proc[[#This Row],[DateClosed]]))-1)</f>
        <v>12</v>
      </c>
      <c r="R5019" s="175" t="s">
        <v>415</v>
      </c>
      <c r="S5019" s="150"/>
    </row>
    <row r="5020" spans="1:19" hidden="1">
      <c r="A5020" s="149" t="s">
        <v>7252</v>
      </c>
      <c r="B5020" s="150" t="str">
        <f>IFERROR(VLOOKUP(Proc[[#This Row],[App]],Table2[],3,0),"open")</f>
        <v>ok</v>
      </c>
      <c r="C5020" s="149" t="s">
        <v>369</v>
      </c>
      <c r="D5020" t="s">
        <v>7255</v>
      </c>
      <c r="E5020" s="149" t="s">
        <v>4939</v>
      </c>
      <c r="F5020" s="150" t="s">
        <v>4939</v>
      </c>
      <c r="G5020" s="149" t="s">
        <v>400</v>
      </c>
      <c r="H5020" s="150" t="str">
        <f>IF(Proc[[#This Row],[type]]="LFF (MDG-F)",MID(Proc[[#This Row],[Obj]],13,10),"")</f>
        <v/>
      </c>
      <c r="J5020" s="150" t="b">
        <f>Proc[[#This Row],[Requested]]=Proc[[#This Row],[CurrentParent]]</f>
        <v>1</v>
      </c>
      <c r="K5020" s="150" t="str">
        <f>IF(Proc[[#This Row],[Author]]="Marcela Urrego",VLOOKUP(LEFT(Proc[[#This Row],[Requested]],1),Table3[#All],2,0),VLOOKUP(Proc[[#This Row],[Author]],Table4[],2,0))</f>
        <v>HC</v>
      </c>
      <c r="L5020" s="150" t="s">
        <v>6435</v>
      </c>
      <c r="M5020" s="174">
        <v>45994</v>
      </c>
      <c r="N5020" s="175"/>
      <c r="O5020" s="175"/>
      <c r="P5020" s="175" t="str">
        <f ca="1">IF(Proc[[#This Row],[DaysAgeing]]&gt;5,"yep","on track")</f>
        <v>yep</v>
      </c>
      <c r="Q5020" s="3">
        <f ca="1">IF(Proc[[#This Row],[DateClosed]]="",ABS(NETWORKDAYS(Proc[[#This Row],[DateOpened]],TODAY()))-1,ABS(NETWORKDAYS(Proc[[#This Row],[DateOpened]],Proc[[#This Row],[DateClosed]]))-1)</f>
        <v>12</v>
      </c>
      <c r="R5020" s="175" t="s">
        <v>415</v>
      </c>
      <c r="S5020" s="150"/>
    </row>
    <row r="5021" spans="1:19" hidden="1">
      <c r="A5021" s="149" t="s">
        <v>7252</v>
      </c>
      <c r="B5021" s="150" t="str">
        <f>IFERROR(VLOOKUP(Proc[[#This Row],[App]],Table2[],3,0),"open")</f>
        <v>ok</v>
      </c>
      <c r="C5021" s="149" t="s">
        <v>369</v>
      </c>
      <c r="D5021" t="s">
        <v>7256</v>
      </c>
      <c r="E5021" s="149" t="s">
        <v>4939</v>
      </c>
      <c r="F5021" s="150" t="s">
        <v>4939</v>
      </c>
      <c r="G5021" s="149" t="s">
        <v>400</v>
      </c>
      <c r="H5021" s="150" t="str">
        <f>IF(Proc[[#This Row],[type]]="LFF (MDG-F)",MID(Proc[[#This Row],[Obj]],13,10),"")</f>
        <v/>
      </c>
      <c r="J5021" s="150" t="b">
        <f>Proc[[#This Row],[Requested]]=Proc[[#This Row],[CurrentParent]]</f>
        <v>1</v>
      </c>
      <c r="K5021" s="150" t="str">
        <f>IF(Proc[[#This Row],[Author]]="Marcela Urrego",VLOOKUP(LEFT(Proc[[#This Row],[Requested]],1),Table3[#All],2,0),VLOOKUP(Proc[[#This Row],[Author]],Table4[],2,0))</f>
        <v>HC</v>
      </c>
      <c r="L5021" s="150" t="s">
        <v>6435</v>
      </c>
      <c r="M5021" s="174">
        <v>45994</v>
      </c>
      <c r="N5021" s="175"/>
      <c r="O5021" s="175"/>
      <c r="P5021" s="175" t="str">
        <f ca="1">IF(Proc[[#This Row],[DaysAgeing]]&gt;5,"yep","on track")</f>
        <v>yep</v>
      </c>
      <c r="Q5021" s="3">
        <f ca="1">IF(Proc[[#This Row],[DateClosed]]="",ABS(NETWORKDAYS(Proc[[#This Row],[DateOpened]],TODAY()))-1,ABS(NETWORKDAYS(Proc[[#This Row],[DateOpened]],Proc[[#This Row],[DateClosed]]))-1)</f>
        <v>12</v>
      </c>
      <c r="R5021" s="175" t="s">
        <v>415</v>
      </c>
      <c r="S5021" s="150"/>
    </row>
    <row r="5022" spans="1:19" hidden="1">
      <c r="A5022" s="149" t="s">
        <v>7252</v>
      </c>
      <c r="B5022" s="150" t="str">
        <f>IFERROR(VLOOKUP(Proc[[#This Row],[App]],Table2[],3,0),"open")</f>
        <v>ok</v>
      </c>
      <c r="C5022" s="149" t="s">
        <v>369</v>
      </c>
      <c r="D5022" t="s">
        <v>7257</v>
      </c>
      <c r="E5022" s="149" t="s">
        <v>4939</v>
      </c>
      <c r="F5022" s="150" t="s">
        <v>4939</v>
      </c>
      <c r="G5022" s="149" t="s">
        <v>400</v>
      </c>
      <c r="H5022" s="150" t="str">
        <f>IF(Proc[[#This Row],[type]]="LFF (MDG-F)",MID(Proc[[#This Row],[Obj]],13,10),"")</f>
        <v/>
      </c>
      <c r="J5022" s="150" t="b">
        <f>Proc[[#This Row],[Requested]]=Proc[[#This Row],[CurrentParent]]</f>
        <v>1</v>
      </c>
      <c r="K5022" s="150" t="str">
        <f>IF(Proc[[#This Row],[Author]]="Marcela Urrego",VLOOKUP(LEFT(Proc[[#This Row],[Requested]],1),Table3[#All],2,0),VLOOKUP(Proc[[#This Row],[Author]],Table4[],2,0))</f>
        <v>HC</v>
      </c>
      <c r="L5022" s="150" t="s">
        <v>6435</v>
      </c>
      <c r="M5022" s="174">
        <v>45994</v>
      </c>
      <c r="N5022" s="175"/>
      <c r="O5022" s="175"/>
      <c r="P5022" s="175" t="str">
        <f ca="1">IF(Proc[[#This Row],[DaysAgeing]]&gt;5,"yep","on track")</f>
        <v>yep</v>
      </c>
      <c r="Q5022" s="3">
        <f ca="1">IF(Proc[[#This Row],[DateClosed]]="",ABS(NETWORKDAYS(Proc[[#This Row],[DateOpened]],TODAY()))-1,ABS(NETWORKDAYS(Proc[[#This Row],[DateOpened]],Proc[[#This Row],[DateClosed]]))-1)</f>
        <v>12</v>
      </c>
      <c r="R5022" s="175" t="s">
        <v>415</v>
      </c>
      <c r="S5022" s="150"/>
    </row>
    <row r="5023" spans="1:19" hidden="1">
      <c r="A5023" t="s">
        <v>7258</v>
      </c>
      <c r="B5023" s="150" t="str">
        <f>IFERROR(VLOOKUP(Proc[[#This Row],[App]],Table2[],3,0),"open")</f>
        <v>ok</v>
      </c>
      <c r="C5023" s="8" t="s">
        <v>377</v>
      </c>
      <c r="D5023" t="s">
        <v>4295</v>
      </c>
      <c r="E5023" t="s">
        <v>7269</v>
      </c>
      <c r="F5023" s="150" t="s">
        <v>7302</v>
      </c>
      <c r="G5023" s="149" t="s">
        <v>400</v>
      </c>
      <c r="H5023" s="150" t="str">
        <f>IF(Proc[[#This Row],[type]]="LFF (MDG-F)",MID(Proc[[#This Row],[Obj]],13,10),"")</f>
        <v/>
      </c>
      <c r="J5023" s="150" t="b">
        <f>Proc[[#This Row],[Requested]]=Proc[[#This Row],[CurrentParent]]</f>
        <v>0</v>
      </c>
      <c r="K5023" s="150" t="str">
        <f>IF(Proc[[#This Row],[Author]]="Marcela Urrego",VLOOKUP(LEFT(Proc[[#This Row],[Requested]],1),Table3[#All],2,0),VLOOKUP(Proc[[#This Row],[Author]],Table4[],2,0))</f>
        <v>HC</v>
      </c>
      <c r="L5023" s="150" t="s">
        <v>6435</v>
      </c>
      <c r="M5023" s="174">
        <v>45994</v>
      </c>
      <c r="N5023" s="175"/>
      <c r="O5023" s="175"/>
      <c r="P5023" s="175" t="str">
        <f ca="1">IF(Proc[[#This Row],[DaysAgeing]]&gt;5,"yep","on track")</f>
        <v>yep</v>
      </c>
      <c r="Q5023" s="3">
        <f ca="1">IF(Proc[[#This Row],[DateClosed]]="",ABS(NETWORKDAYS(Proc[[#This Row],[DateOpened]],TODAY()))-1,ABS(NETWORKDAYS(Proc[[#This Row],[DateOpened]],Proc[[#This Row],[DateClosed]]))-1)</f>
        <v>12</v>
      </c>
      <c r="R5023" s="175" t="s">
        <v>415</v>
      </c>
      <c r="S5023" s="150"/>
    </row>
    <row r="5024" spans="1:19" hidden="1">
      <c r="A5024" t="s">
        <v>7258</v>
      </c>
      <c r="B5024" s="150" t="str">
        <f>IFERROR(VLOOKUP(Proc[[#This Row],[App]],Table2[],3,0),"open")</f>
        <v>ok</v>
      </c>
      <c r="C5024" s="149" t="s">
        <v>369</v>
      </c>
      <c r="D5024" t="s">
        <v>7259</v>
      </c>
      <c r="E5024" t="s">
        <v>7270</v>
      </c>
      <c r="F5024" s="150" t="s">
        <v>7270</v>
      </c>
      <c r="G5024" s="149" t="s">
        <v>400</v>
      </c>
      <c r="H5024" s="150" t="str">
        <f>IF(Proc[[#This Row],[type]]="LFF (MDG-F)",MID(Proc[[#This Row],[Obj]],13,10),"")</f>
        <v/>
      </c>
      <c r="J5024" s="150" t="b">
        <f>Proc[[#This Row],[Requested]]=Proc[[#This Row],[CurrentParent]]</f>
        <v>1</v>
      </c>
      <c r="K5024" s="150" t="str">
        <f>IF(Proc[[#This Row],[Author]]="Marcela Urrego",VLOOKUP(LEFT(Proc[[#This Row],[Requested]],1),Table3[#All],2,0),VLOOKUP(Proc[[#This Row],[Author]],Table4[],2,0))</f>
        <v>HC</v>
      </c>
      <c r="L5024" s="150" t="s">
        <v>6435</v>
      </c>
      <c r="M5024" s="174">
        <v>45994</v>
      </c>
      <c r="N5024" s="175"/>
      <c r="O5024" s="175"/>
      <c r="P5024" s="175" t="str">
        <f ca="1">IF(Proc[[#This Row],[DaysAgeing]]&gt;5,"yep","on track")</f>
        <v>yep</v>
      </c>
      <c r="Q5024" s="3">
        <f ca="1">IF(Proc[[#This Row],[DateClosed]]="",ABS(NETWORKDAYS(Proc[[#This Row],[DateOpened]],TODAY()))-1,ABS(NETWORKDAYS(Proc[[#This Row],[DateOpened]],Proc[[#This Row],[DateClosed]]))-1)</f>
        <v>12</v>
      </c>
      <c r="R5024" s="175" t="s">
        <v>415</v>
      </c>
      <c r="S5024" s="150"/>
    </row>
    <row r="5025" spans="1:19" hidden="1">
      <c r="A5025" s="149" t="s">
        <v>7258</v>
      </c>
      <c r="B5025" s="150" t="str">
        <f>IFERROR(VLOOKUP(Proc[[#This Row],[App]],Table2[],3,0),"open")</f>
        <v>ok</v>
      </c>
      <c r="C5025" s="149" t="s">
        <v>369</v>
      </c>
      <c r="D5025" t="s">
        <v>7260</v>
      </c>
      <c r="E5025" t="s">
        <v>7270</v>
      </c>
      <c r="F5025" s="150" t="s">
        <v>7270</v>
      </c>
      <c r="G5025" s="149" t="s">
        <v>400</v>
      </c>
      <c r="H5025" s="150" t="str">
        <f>IF(Proc[[#This Row],[type]]="LFF (MDG-F)",MID(Proc[[#This Row],[Obj]],13,10),"")</f>
        <v/>
      </c>
      <c r="J5025" s="150" t="b">
        <f>Proc[[#This Row],[Requested]]=Proc[[#This Row],[CurrentParent]]</f>
        <v>1</v>
      </c>
      <c r="K5025" s="150" t="str">
        <f>IF(Proc[[#This Row],[Author]]="Marcela Urrego",VLOOKUP(LEFT(Proc[[#This Row],[Requested]],1),Table3[#All],2,0),VLOOKUP(Proc[[#This Row],[Author]],Table4[],2,0))</f>
        <v>HC</v>
      </c>
      <c r="L5025" s="150" t="s">
        <v>6435</v>
      </c>
      <c r="M5025" s="174">
        <v>45994</v>
      </c>
      <c r="N5025" s="175"/>
      <c r="O5025" s="175"/>
      <c r="P5025" s="175" t="str">
        <f ca="1">IF(Proc[[#This Row],[DaysAgeing]]&gt;5,"yep","on track")</f>
        <v>yep</v>
      </c>
      <c r="Q5025" s="3">
        <f ca="1">IF(Proc[[#This Row],[DateClosed]]="",ABS(NETWORKDAYS(Proc[[#This Row],[DateOpened]],TODAY()))-1,ABS(NETWORKDAYS(Proc[[#This Row],[DateOpened]],Proc[[#This Row],[DateClosed]]))-1)</f>
        <v>12</v>
      </c>
      <c r="R5025" s="175" t="s">
        <v>415</v>
      </c>
      <c r="S5025" s="150"/>
    </row>
    <row r="5026" spans="1:19" hidden="1">
      <c r="A5026" s="149" t="s">
        <v>7258</v>
      </c>
      <c r="B5026" s="150" t="str">
        <f>IFERROR(VLOOKUP(Proc[[#This Row],[App]],Table2[],3,0),"open")</f>
        <v>ok</v>
      </c>
      <c r="C5026" s="149" t="s">
        <v>369</v>
      </c>
      <c r="D5026" t="s">
        <v>7261</v>
      </c>
      <c r="E5026" t="s">
        <v>7270</v>
      </c>
      <c r="F5026" s="150" t="s">
        <v>7270</v>
      </c>
      <c r="G5026" s="149" t="s">
        <v>400</v>
      </c>
      <c r="H5026" s="150" t="str">
        <f>IF(Proc[[#This Row],[type]]="LFF (MDG-F)",MID(Proc[[#This Row],[Obj]],13,10),"")</f>
        <v/>
      </c>
      <c r="J5026" s="150" t="b">
        <f>Proc[[#This Row],[Requested]]=Proc[[#This Row],[CurrentParent]]</f>
        <v>1</v>
      </c>
      <c r="K5026" s="150" t="str">
        <f>IF(Proc[[#This Row],[Author]]="Marcela Urrego",VLOOKUP(LEFT(Proc[[#This Row],[Requested]],1),Table3[#All],2,0),VLOOKUP(Proc[[#This Row],[Author]],Table4[],2,0))</f>
        <v>HC</v>
      </c>
      <c r="L5026" s="150" t="s">
        <v>6435</v>
      </c>
      <c r="M5026" s="174">
        <v>45994</v>
      </c>
      <c r="N5026" s="175"/>
      <c r="O5026" s="175"/>
      <c r="P5026" s="175" t="str">
        <f ca="1">IF(Proc[[#This Row],[DaysAgeing]]&gt;5,"yep","on track")</f>
        <v>yep</v>
      </c>
      <c r="Q5026" s="3">
        <f ca="1">IF(Proc[[#This Row],[DateClosed]]="",ABS(NETWORKDAYS(Proc[[#This Row],[DateOpened]],TODAY()))-1,ABS(NETWORKDAYS(Proc[[#This Row],[DateOpened]],Proc[[#This Row],[DateClosed]]))-1)</f>
        <v>12</v>
      </c>
      <c r="R5026" s="175" t="s">
        <v>415</v>
      </c>
      <c r="S5026" s="150"/>
    </row>
    <row r="5027" spans="1:19" hidden="1">
      <c r="A5027" s="149" t="s">
        <v>7258</v>
      </c>
      <c r="B5027" s="150" t="str">
        <f>IFERROR(VLOOKUP(Proc[[#This Row],[App]],Table2[],3,0),"open")</f>
        <v>ok</v>
      </c>
      <c r="C5027" s="149" t="s">
        <v>369</v>
      </c>
      <c r="D5027" t="s">
        <v>7262</v>
      </c>
      <c r="E5027" t="s">
        <v>7270</v>
      </c>
      <c r="F5027" s="150" t="s">
        <v>7270</v>
      </c>
      <c r="G5027" s="149" t="s">
        <v>400</v>
      </c>
      <c r="H5027" s="150" t="str">
        <f>IF(Proc[[#This Row],[type]]="LFF (MDG-F)",MID(Proc[[#This Row],[Obj]],13,10),"")</f>
        <v/>
      </c>
      <c r="J5027" s="150" t="b">
        <f>Proc[[#This Row],[Requested]]=Proc[[#This Row],[CurrentParent]]</f>
        <v>1</v>
      </c>
      <c r="K5027" s="150" t="str">
        <f>IF(Proc[[#This Row],[Author]]="Marcela Urrego",VLOOKUP(LEFT(Proc[[#This Row],[Requested]],1),Table3[#All],2,0),VLOOKUP(Proc[[#This Row],[Author]],Table4[],2,0))</f>
        <v>HC</v>
      </c>
      <c r="L5027" s="150" t="s">
        <v>6435</v>
      </c>
      <c r="M5027" s="174">
        <v>45994</v>
      </c>
      <c r="N5027" s="175"/>
      <c r="O5027" s="175"/>
      <c r="P5027" s="175" t="str">
        <f ca="1">IF(Proc[[#This Row],[DaysAgeing]]&gt;5,"yep","on track")</f>
        <v>yep</v>
      </c>
      <c r="Q5027" s="3">
        <f ca="1">IF(Proc[[#This Row],[DateClosed]]="",ABS(NETWORKDAYS(Proc[[#This Row],[DateOpened]],TODAY()))-1,ABS(NETWORKDAYS(Proc[[#This Row],[DateOpened]],Proc[[#This Row],[DateClosed]]))-1)</f>
        <v>12</v>
      </c>
      <c r="R5027" s="175" t="s">
        <v>415</v>
      </c>
      <c r="S5027" s="150"/>
    </row>
    <row r="5028" spans="1:19" hidden="1">
      <c r="A5028" s="149" t="s">
        <v>7258</v>
      </c>
      <c r="B5028" s="150" t="str">
        <f>IFERROR(VLOOKUP(Proc[[#This Row],[App]],Table2[],3,0),"open")</f>
        <v>ok</v>
      </c>
      <c r="C5028" s="149" t="s">
        <v>369</v>
      </c>
      <c r="D5028" t="s">
        <v>7263</v>
      </c>
      <c r="E5028" t="s">
        <v>7270</v>
      </c>
      <c r="F5028" s="150" t="s">
        <v>7270</v>
      </c>
      <c r="G5028" s="149" t="s">
        <v>400</v>
      </c>
      <c r="H5028" s="150" t="str">
        <f>IF(Proc[[#This Row],[type]]="LFF (MDG-F)",MID(Proc[[#This Row],[Obj]],13,10),"")</f>
        <v/>
      </c>
      <c r="J5028" s="150" t="b">
        <f>Proc[[#This Row],[Requested]]=Proc[[#This Row],[CurrentParent]]</f>
        <v>1</v>
      </c>
      <c r="K5028" s="150" t="str">
        <f>IF(Proc[[#This Row],[Author]]="Marcela Urrego",VLOOKUP(LEFT(Proc[[#This Row],[Requested]],1),Table3[#All],2,0),VLOOKUP(Proc[[#This Row],[Author]],Table4[],2,0))</f>
        <v>HC</v>
      </c>
      <c r="L5028" s="150" t="s">
        <v>6435</v>
      </c>
      <c r="M5028" s="174">
        <v>45994</v>
      </c>
      <c r="N5028" s="175"/>
      <c r="O5028" s="175"/>
      <c r="P5028" s="175" t="str">
        <f ca="1">IF(Proc[[#This Row],[DaysAgeing]]&gt;5,"yep","on track")</f>
        <v>yep</v>
      </c>
      <c r="Q5028" s="3">
        <f ca="1">IF(Proc[[#This Row],[DateClosed]]="",ABS(NETWORKDAYS(Proc[[#This Row],[DateOpened]],TODAY()))-1,ABS(NETWORKDAYS(Proc[[#This Row],[DateOpened]],Proc[[#This Row],[DateClosed]]))-1)</f>
        <v>12</v>
      </c>
      <c r="R5028" s="175" t="s">
        <v>415</v>
      </c>
      <c r="S5028" s="150"/>
    </row>
    <row r="5029" spans="1:19" hidden="1">
      <c r="A5029" s="149" t="s">
        <v>7258</v>
      </c>
      <c r="B5029" s="150" t="str">
        <f>IFERROR(VLOOKUP(Proc[[#This Row],[App]],Table2[],3,0),"open")</f>
        <v>ok</v>
      </c>
      <c r="C5029" s="149" t="s">
        <v>369</v>
      </c>
      <c r="D5029" t="s">
        <v>7264</v>
      </c>
      <c r="E5029" t="s">
        <v>7271</v>
      </c>
      <c r="F5029" s="150" t="s">
        <v>7271</v>
      </c>
      <c r="G5029" s="149" t="s">
        <v>400</v>
      </c>
      <c r="H5029" s="150" t="str">
        <f>IF(Proc[[#This Row],[type]]="LFF (MDG-F)",MID(Proc[[#This Row],[Obj]],13,10),"")</f>
        <v/>
      </c>
      <c r="J5029" s="150" t="b">
        <f>Proc[[#This Row],[Requested]]=Proc[[#This Row],[CurrentParent]]</f>
        <v>1</v>
      </c>
      <c r="K5029" s="150" t="str">
        <f>IF(Proc[[#This Row],[Author]]="Marcela Urrego",VLOOKUP(LEFT(Proc[[#This Row],[Requested]],1),Table3[#All],2,0),VLOOKUP(Proc[[#This Row],[Author]],Table4[],2,0))</f>
        <v>HC</v>
      </c>
      <c r="L5029" s="150" t="s">
        <v>6435</v>
      </c>
      <c r="M5029" s="174">
        <v>45994</v>
      </c>
      <c r="N5029" s="175"/>
      <c r="O5029" s="175"/>
      <c r="P5029" s="175" t="str">
        <f ca="1">IF(Proc[[#This Row],[DaysAgeing]]&gt;5,"yep","on track")</f>
        <v>yep</v>
      </c>
      <c r="Q5029" s="3">
        <f ca="1">IF(Proc[[#This Row],[DateClosed]]="",ABS(NETWORKDAYS(Proc[[#This Row],[DateOpened]],TODAY()))-1,ABS(NETWORKDAYS(Proc[[#This Row],[DateOpened]],Proc[[#This Row],[DateClosed]]))-1)</f>
        <v>12</v>
      </c>
      <c r="R5029" s="175" t="s">
        <v>415</v>
      </c>
      <c r="S5029" s="150"/>
    </row>
    <row r="5030" spans="1:19" hidden="1">
      <c r="A5030" s="149" t="s">
        <v>7258</v>
      </c>
      <c r="B5030" s="150" t="str">
        <f>IFERROR(VLOOKUP(Proc[[#This Row],[App]],Table2[],3,0),"open")</f>
        <v>ok</v>
      </c>
      <c r="C5030" s="149" t="s">
        <v>369</v>
      </c>
      <c r="D5030" t="s">
        <v>7265</v>
      </c>
      <c r="E5030" t="s">
        <v>7272</v>
      </c>
      <c r="F5030" s="150" t="s">
        <v>7272</v>
      </c>
      <c r="G5030" s="149" t="s">
        <v>400</v>
      </c>
      <c r="H5030" s="150" t="str">
        <f>IF(Proc[[#This Row],[type]]="LFF (MDG-F)",MID(Proc[[#This Row],[Obj]],13,10),"")</f>
        <v/>
      </c>
      <c r="J5030" s="150" t="b">
        <f>Proc[[#This Row],[Requested]]=Proc[[#This Row],[CurrentParent]]</f>
        <v>1</v>
      </c>
      <c r="K5030" s="150" t="str">
        <f>IF(Proc[[#This Row],[Author]]="Marcela Urrego",VLOOKUP(LEFT(Proc[[#This Row],[Requested]],1),Table3[#All],2,0),VLOOKUP(Proc[[#This Row],[Author]],Table4[],2,0))</f>
        <v>HC</v>
      </c>
      <c r="L5030" s="150" t="s">
        <v>6435</v>
      </c>
      <c r="M5030" s="174">
        <v>45994</v>
      </c>
      <c r="N5030" s="175"/>
      <c r="O5030" s="175"/>
      <c r="P5030" s="175" t="str">
        <f ca="1">IF(Proc[[#This Row],[DaysAgeing]]&gt;5,"yep","on track")</f>
        <v>yep</v>
      </c>
      <c r="Q5030" s="3">
        <f ca="1">IF(Proc[[#This Row],[DateClosed]]="",ABS(NETWORKDAYS(Proc[[#This Row],[DateOpened]],TODAY()))-1,ABS(NETWORKDAYS(Proc[[#This Row],[DateOpened]],Proc[[#This Row],[DateClosed]]))-1)</f>
        <v>12</v>
      </c>
      <c r="R5030" s="175" t="s">
        <v>415</v>
      </c>
      <c r="S5030" s="150"/>
    </row>
    <row r="5031" spans="1:19" hidden="1">
      <c r="A5031" s="149" t="s">
        <v>7258</v>
      </c>
      <c r="B5031" s="150" t="str">
        <f>IFERROR(VLOOKUP(Proc[[#This Row],[App]],Table2[],3,0),"open")</f>
        <v>ok</v>
      </c>
      <c r="C5031" s="149" t="s">
        <v>369</v>
      </c>
      <c r="D5031" t="s">
        <v>7266</v>
      </c>
      <c r="E5031" t="s">
        <v>7272</v>
      </c>
      <c r="F5031" s="150" t="s">
        <v>7272</v>
      </c>
      <c r="G5031" s="149" t="s">
        <v>400</v>
      </c>
      <c r="H5031" s="150" t="str">
        <f>IF(Proc[[#This Row],[type]]="LFF (MDG-F)",MID(Proc[[#This Row],[Obj]],13,10),"")</f>
        <v/>
      </c>
      <c r="J5031" s="150" t="b">
        <f>Proc[[#This Row],[Requested]]=Proc[[#This Row],[CurrentParent]]</f>
        <v>1</v>
      </c>
      <c r="K5031" s="150" t="str">
        <f>IF(Proc[[#This Row],[Author]]="Marcela Urrego",VLOOKUP(LEFT(Proc[[#This Row],[Requested]],1),Table3[#All],2,0),VLOOKUP(Proc[[#This Row],[Author]],Table4[],2,0))</f>
        <v>HC</v>
      </c>
      <c r="L5031" s="150" t="s">
        <v>6435</v>
      </c>
      <c r="M5031" s="174">
        <v>45994</v>
      </c>
      <c r="N5031" s="175"/>
      <c r="O5031" s="175"/>
      <c r="P5031" s="175" t="str">
        <f ca="1">IF(Proc[[#This Row],[DaysAgeing]]&gt;5,"yep","on track")</f>
        <v>yep</v>
      </c>
      <c r="Q5031" s="3">
        <f ca="1">IF(Proc[[#This Row],[DateClosed]]="",ABS(NETWORKDAYS(Proc[[#This Row],[DateOpened]],TODAY()))-1,ABS(NETWORKDAYS(Proc[[#This Row],[DateOpened]],Proc[[#This Row],[DateClosed]]))-1)</f>
        <v>12</v>
      </c>
      <c r="R5031" s="175" t="s">
        <v>415</v>
      </c>
      <c r="S5031" s="150"/>
    </row>
    <row r="5032" spans="1:19" hidden="1">
      <c r="A5032" s="149" t="s">
        <v>7258</v>
      </c>
      <c r="B5032" s="150" t="str">
        <f>IFERROR(VLOOKUP(Proc[[#This Row],[App]],Table2[],3,0),"open")</f>
        <v>ok</v>
      </c>
      <c r="C5032" s="149" t="s">
        <v>369</v>
      </c>
      <c r="D5032" t="s">
        <v>7267</v>
      </c>
      <c r="E5032" t="s">
        <v>4939</v>
      </c>
      <c r="F5032" s="150" t="s">
        <v>4939</v>
      </c>
      <c r="G5032" s="149" t="s">
        <v>400</v>
      </c>
      <c r="H5032" s="150" t="str">
        <f>IF(Proc[[#This Row],[type]]="LFF (MDG-F)",MID(Proc[[#This Row],[Obj]],13,10),"")</f>
        <v/>
      </c>
      <c r="J5032" s="150" t="b">
        <f>Proc[[#This Row],[Requested]]=Proc[[#This Row],[CurrentParent]]</f>
        <v>1</v>
      </c>
      <c r="K5032" s="150" t="str">
        <f>IF(Proc[[#This Row],[Author]]="Marcela Urrego",VLOOKUP(LEFT(Proc[[#This Row],[Requested]],1),Table3[#All],2,0),VLOOKUP(Proc[[#This Row],[Author]],Table4[],2,0))</f>
        <v>HC</v>
      </c>
      <c r="L5032" s="150" t="s">
        <v>6435</v>
      </c>
      <c r="M5032" s="174">
        <v>45994</v>
      </c>
      <c r="N5032" s="175"/>
      <c r="O5032" s="175"/>
      <c r="P5032" s="175" t="str">
        <f ca="1">IF(Proc[[#This Row],[DaysAgeing]]&gt;5,"yep","on track")</f>
        <v>yep</v>
      </c>
      <c r="Q5032" s="3">
        <f ca="1">IF(Proc[[#This Row],[DateClosed]]="",ABS(NETWORKDAYS(Proc[[#This Row],[DateOpened]],TODAY()))-1,ABS(NETWORKDAYS(Proc[[#This Row],[DateOpened]],Proc[[#This Row],[DateClosed]]))-1)</f>
        <v>12</v>
      </c>
      <c r="R5032" s="175" t="s">
        <v>415</v>
      </c>
      <c r="S5032" s="150"/>
    </row>
    <row r="5033" spans="1:19" hidden="1">
      <c r="A5033" s="149" t="s">
        <v>7258</v>
      </c>
      <c r="B5033" s="150" t="str">
        <f>IFERROR(VLOOKUP(Proc[[#This Row],[App]],Table2[],3,0),"open")</f>
        <v>ok</v>
      </c>
      <c r="C5033" s="149" t="s">
        <v>369</v>
      </c>
      <c r="D5033" t="s">
        <v>7251</v>
      </c>
      <c r="E5033" t="s">
        <v>4914</v>
      </c>
      <c r="F5033" s="150" t="s">
        <v>4914</v>
      </c>
      <c r="G5033" s="149" t="s">
        <v>400</v>
      </c>
      <c r="H5033" s="150" t="str">
        <f>IF(Proc[[#This Row],[type]]="LFF (MDG-F)",MID(Proc[[#This Row],[Obj]],13,10),"")</f>
        <v/>
      </c>
      <c r="J5033" s="150" t="b">
        <f>Proc[[#This Row],[Requested]]=Proc[[#This Row],[CurrentParent]]</f>
        <v>1</v>
      </c>
      <c r="K5033" s="150" t="str">
        <f>IF(Proc[[#This Row],[Author]]="Marcela Urrego",VLOOKUP(LEFT(Proc[[#This Row],[Requested]],1),Table3[#All],2,0),VLOOKUP(Proc[[#This Row],[Author]],Table4[],2,0))</f>
        <v>HC</v>
      </c>
      <c r="L5033" s="150" t="s">
        <v>6435</v>
      </c>
      <c r="M5033" s="174">
        <v>45994</v>
      </c>
      <c r="N5033" s="175"/>
      <c r="O5033" s="175"/>
      <c r="P5033" s="175" t="str">
        <f ca="1">IF(Proc[[#This Row],[DaysAgeing]]&gt;5,"yep","on track")</f>
        <v>yep</v>
      </c>
      <c r="Q5033" s="3">
        <f ca="1">IF(Proc[[#This Row],[DateClosed]]="",ABS(NETWORKDAYS(Proc[[#This Row],[DateOpened]],TODAY()))-1,ABS(NETWORKDAYS(Proc[[#This Row],[DateOpened]],Proc[[#This Row],[DateClosed]]))-1)</f>
        <v>12</v>
      </c>
      <c r="R5033" s="175" t="s">
        <v>415</v>
      </c>
      <c r="S5033" s="150"/>
    </row>
    <row r="5034" spans="1:19" hidden="1">
      <c r="A5034" s="149" t="s">
        <v>7258</v>
      </c>
      <c r="B5034" s="150" t="str">
        <f>IFERROR(VLOOKUP(Proc[[#This Row],[App]],Table2[],3,0),"open")</f>
        <v>ok</v>
      </c>
      <c r="C5034" s="149" t="s">
        <v>369</v>
      </c>
      <c r="D5034" t="s">
        <v>7268</v>
      </c>
      <c r="E5034" t="s">
        <v>2419</v>
      </c>
      <c r="F5034" s="150" t="s">
        <v>2419</v>
      </c>
      <c r="G5034" s="149" t="s">
        <v>400</v>
      </c>
      <c r="H5034" s="150" t="str">
        <f>IF(Proc[[#This Row],[type]]="LFF (MDG-F)",MID(Proc[[#This Row],[Obj]],13,10),"")</f>
        <v/>
      </c>
      <c r="J5034" s="150" t="b">
        <f>Proc[[#This Row],[Requested]]=Proc[[#This Row],[CurrentParent]]</f>
        <v>1</v>
      </c>
      <c r="K5034" s="150" t="str">
        <f>IF(Proc[[#This Row],[Author]]="Marcela Urrego",VLOOKUP(LEFT(Proc[[#This Row],[Requested]],1),Table3[#All],2,0),VLOOKUP(Proc[[#This Row],[Author]],Table4[],2,0))</f>
        <v>HC</v>
      </c>
      <c r="L5034" s="150" t="s">
        <v>6435</v>
      </c>
      <c r="M5034" s="174">
        <v>45994</v>
      </c>
      <c r="N5034" s="175"/>
      <c r="O5034" s="175"/>
      <c r="P5034" s="175" t="str">
        <f ca="1">IF(Proc[[#This Row],[DaysAgeing]]&gt;5,"yep","on track")</f>
        <v>yep</v>
      </c>
      <c r="Q5034" s="3">
        <f ca="1">IF(Proc[[#This Row],[DateClosed]]="",ABS(NETWORKDAYS(Proc[[#This Row],[DateOpened]],TODAY()))-1,ABS(NETWORKDAYS(Proc[[#This Row],[DateOpened]],Proc[[#This Row],[DateClosed]]))-1)</f>
        <v>12</v>
      </c>
      <c r="R5034" s="175" t="s">
        <v>415</v>
      </c>
      <c r="S5034" s="150"/>
    </row>
    <row r="5035" spans="1:19" hidden="1">
      <c r="A5035" t="s">
        <v>7273</v>
      </c>
      <c r="B5035" s="150" t="str">
        <f>IFERROR(VLOOKUP(Proc[[#This Row],[App]],Table2[],3,0),"open")</f>
        <v>ok</v>
      </c>
      <c r="C5035" s="149" t="s">
        <v>369</v>
      </c>
      <c r="D5035" t="s">
        <v>7274</v>
      </c>
      <c r="E5035" t="s">
        <v>4939</v>
      </c>
      <c r="F5035" s="150" t="s">
        <v>4939</v>
      </c>
      <c r="G5035" s="149" t="s">
        <v>400</v>
      </c>
      <c r="H5035" s="150" t="str">
        <f>IF(Proc[[#This Row],[type]]="LFF (MDG-F)",MID(Proc[[#This Row],[Obj]],13,10),"")</f>
        <v/>
      </c>
      <c r="J5035" s="150" t="b">
        <f>Proc[[#This Row],[Requested]]=Proc[[#This Row],[CurrentParent]]</f>
        <v>1</v>
      </c>
      <c r="K5035" s="150" t="str">
        <f>IF(Proc[[#This Row],[Author]]="Marcela Urrego",VLOOKUP(LEFT(Proc[[#This Row],[Requested]],1),Table3[#All],2,0),VLOOKUP(Proc[[#This Row],[Author]],Table4[],2,0))</f>
        <v>HC</v>
      </c>
      <c r="L5035" s="150" t="s">
        <v>6435</v>
      </c>
      <c r="M5035" s="174">
        <v>45994</v>
      </c>
      <c r="N5035" s="175"/>
      <c r="O5035" s="175"/>
      <c r="P5035" s="175" t="str">
        <f ca="1">IF(Proc[[#This Row],[DaysAgeing]]&gt;5,"yep","on track")</f>
        <v>yep</v>
      </c>
      <c r="Q5035" s="3">
        <f ca="1">IF(Proc[[#This Row],[DateClosed]]="",ABS(NETWORKDAYS(Proc[[#This Row],[DateOpened]],TODAY()))-1,ABS(NETWORKDAYS(Proc[[#This Row],[DateOpened]],Proc[[#This Row],[DateClosed]]))-1)</f>
        <v>12</v>
      </c>
      <c r="R5035" s="175" t="s">
        <v>415</v>
      </c>
      <c r="S5035" s="150"/>
    </row>
    <row r="5036" spans="1:19" hidden="1">
      <c r="A5036" t="s">
        <v>7273</v>
      </c>
      <c r="B5036" s="150" t="str">
        <f>IFERROR(VLOOKUP(Proc[[#This Row],[App]],Table2[],3,0),"open")</f>
        <v>ok</v>
      </c>
      <c r="C5036" s="149" t="s">
        <v>369</v>
      </c>
      <c r="D5036" t="s">
        <v>7275</v>
      </c>
      <c r="E5036" t="s">
        <v>4939</v>
      </c>
      <c r="F5036" s="150" t="s">
        <v>4939</v>
      </c>
      <c r="G5036" s="149" t="s">
        <v>400</v>
      </c>
      <c r="H5036" s="150" t="str">
        <f>IF(Proc[[#This Row],[type]]="LFF (MDG-F)",MID(Proc[[#This Row],[Obj]],13,10),"")</f>
        <v/>
      </c>
      <c r="J5036" s="150" t="b">
        <f>Proc[[#This Row],[Requested]]=Proc[[#This Row],[CurrentParent]]</f>
        <v>1</v>
      </c>
      <c r="K5036" s="150" t="str">
        <f>IF(Proc[[#This Row],[Author]]="Marcela Urrego",VLOOKUP(LEFT(Proc[[#This Row],[Requested]],1),Table3[#All],2,0),VLOOKUP(Proc[[#This Row],[Author]],Table4[],2,0))</f>
        <v>HC</v>
      </c>
      <c r="L5036" s="150" t="s">
        <v>6435</v>
      </c>
      <c r="M5036" s="174">
        <v>45994</v>
      </c>
      <c r="N5036" s="175"/>
      <c r="O5036" s="175"/>
      <c r="P5036" s="175" t="str">
        <f ca="1">IF(Proc[[#This Row],[DaysAgeing]]&gt;5,"yep","on track")</f>
        <v>yep</v>
      </c>
      <c r="Q5036" s="3">
        <f ca="1">IF(Proc[[#This Row],[DateClosed]]="",ABS(NETWORKDAYS(Proc[[#This Row],[DateOpened]],TODAY()))-1,ABS(NETWORKDAYS(Proc[[#This Row],[DateOpened]],Proc[[#This Row],[DateClosed]]))-1)</f>
        <v>12</v>
      </c>
      <c r="R5036" s="175" t="s">
        <v>415</v>
      </c>
      <c r="S5036" s="150"/>
    </row>
    <row r="5037" spans="1:19" hidden="1">
      <c r="A5037" s="149" t="s">
        <v>7273</v>
      </c>
      <c r="B5037" s="150" t="str">
        <f>IFERROR(VLOOKUP(Proc[[#This Row],[App]],Table2[],3,0),"open")</f>
        <v>ok</v>
      </c>
      <c r="C5037" s="149" t="s">
        <v>369</v>
      </c>
      <c r="D5037" t="s">
        <v>7276</v>
      </c>
      <c r="E5037" t="s">
        <v>4939</v>
      </c>
      <c r="F5037" s="150" t="s">
        <v>4939</v>
      </c>
      <c r="G5037" s="149" t="s">
        <v>400</v>
      </c>
      <c r="H5037" s="150" t="str">
        <f>IF(Proc[[#This Row],[type]]="LFF (MDG-F)",MID(Proc[[#This Row],[Obj]],13,10),"")</f>
        <v/>
      </c>
      <c r="J5037" s="150" t="b">
        <f>Proc[[#This Row],[Requested]]=Proc[[#This Row],[CurrentParent]]</f>
        <v>1</v>
      </c>
      <c r="K5037" s="150" t="str">
        <f>IF(Proc[[#This Row],[Author]]="Marcela Urrego",VLOOKUP(LEFT(Proc[[#This Row],[Requested]],1),Table3[#All],2,0),VLOOKUP(Proc[[#This Row],[Author]],Table4[],2,0))</f>
        <v>HC</v>
      </c>
      <c r="L5037" s="150" t="s">
        <v>6435</v>
      </c>
      <c r="M5037" s="174">
        <v>45994</v>
      </c>
      <c r="N5037" s="175"/>
      <c r="O5037" s="175"/>
      <c r="P5037" s="175" t="str">
        <f ca="1">IF(Proc[[#This Row],[DaysAgeing]]&gt;5,"yep","on track")</f>
        <v>yep</v>
      </c>
      <c r="Q5037" s="3">
        <f ca="1">IF(Proc[[#This Row],[DateClosed]]="",ABS(NETWORKDAYS(Proc[[#This Row],[DateOpened]],TODAY()))-1,ABS(NETWORKDAYS(Proc[[#This Row],[DateOpened]],Proc[[#This Row],[DateClosed]]))-1)</f>
        <v>12</v>
      </c>
      <c r="R5037" s="175" t="s">
        <v>415</v>
      </c>
      <c r="S5037" s="150"/>
    </row>
    <row r="5038" spans="1:19" hidden="1">
      <c r="A5038" s="149" t="s">
        <v>7273</v>
      </c>
      <c r="B5038" s="150" t="str">
        <f>IFERROR(VLOOKUP(Proc[[#This Row],[App]],Table2[],3,0),"open")</f>
        <v>ok</v>
      </c>
      <c r="C5038" s="149" t="s">
        <v>369</v>
      </c>
      <c r="D5038" t="s">
        <v>7277</v>
      </c>
      <c r="E5038" t="s">
        <v>4939</v>
      </c>
      <c r="F5038" s="150" t="s">
        <v>4939</v>
      </c>
      <c r="G5038" s="149" t="s">
        <v>400</v>
      </c>
      <c r="H5038" s="150" t="str">
        <f>IF(Proc[[#This Row],[type]]="LFF (MDG-F)",MID(Proc[[#This Row],[Obj]],13,10),"")</f>
        <v/>
      </c>
      <c r="J5038" s="150" t="b">
        <f>Proc[[#This Row],[Requested]]=Proc[[#This Row],[CurrentParent]]</f>
        <v>1</v>
      </c>
      <c r="K5038" s="150" t="str">
        <f>IF(Proc[[#This Row],[Author]]="Marcela Urrego",VLOOKUP(LEFT(Proc[[#This Row],[Requested]],1),Table3[#All],2,0),VLOOKUP(Proc[[#This Row],[Author]],Table4[],2,0))</f>
        <v>HC</v>
      </c>
      <c r="L5038" s="150" t="s">
        <v>6435</v>
      </c>
      <c r="M5038" s="174">
        <v>45994</v>
      </c>
      <c r="N5038" s="175"/>
      <c r="O5038" s="175"/>
      <c r="P5038" s="175" t="str">
        <f ca="1">IF(Proc[[#This Row],[DaysAgeing]]&gt;5,"yep","on track")</f>
        <v>yep</v>
      </c>
      <c r="Q5038" s="3">
        <f ca="1">IF(Proc[[#This Row],[DateClosed]]="",ABS(NETWORKDAYS(Proc[[#This Row],[DateOpened]],TODAY()))-1,ABS(NETWORKDAYS(Proc[[#This Row],[DateOpened]],Proc[[#This Row],[DateClosed]]))-1)</f>
        <v>12</v>
      </c>
      <c r="R5038" s="175" t="s">
        <v>415</v>
      </c>
      <c r="S5038" s="150"/>
    </row>
    <row r="5039" spans="1:19" hidden="1">
      <c r="A5039" s="149" t="s">
        <v>7273</v>
      </c>
      <c r="B5039" s="150" t="str">
        <f>IFERROR(VLOOKUP(Proc[[#This Row],[App]],Table2[],3,0),"open")</f>
        <v>ok</v>
      </c>
      <c r="C5039" s="149" t="s">
        <v>369</v>
      </c>
      <c r="D5039" t="s">
        <v>7278</v>
      </c>
      <c r="E5039" s="149" t="s">
        <v>4939</v>
      </c>
      <c r="F5039" s="150" t="s">
        <v>4939</v>
      </c>
      <c r="G5039" s="149" t="s">
        <v>400</v>
      </c>
      <c r="H5039" s="150" t="str">
        <f>IF(Proc[[#This Row],[type]]="LFF (MDG-F)",MID(Proc[[#This Row],[Obj]],13,10),"")</f>
        <v/>
      </c>
      <c r="J5039" s="150" t="b">
        <f>Proc[[#This Row],[Requested]]=Proc[[#This Row],[CurrentParent]]</f>
        <v>1</v>
      </c>
      <c r="K5039" s="150" t="str">
        <f>IF(Proc[[#This Row],[Author]]="Marcela Urrego",VLOOKUP(LEFT(Proc[[#This Row],[Requested]],1),Table3[#All],2,0),VLOOKUP(Proc[[#This Row],[Author]],Table4[],2,0))</f>
        <v>HC</v>
      </c>
      <c r="L5039" s="150" t="s">
        <v>6435</v>
      </c>
      <c r="M5039" s="174">
        <v>45994</v>
      </c>
      <c r="N5039" s="175"/>
      <c r="O5039" s="175"/>
      <c r="P5039" s="175" t="str">
        <f ca="1">IF(Proc[[#This Row],[DaysAgeing]]&gt;5,"yep","on track")</f>
        <v>yep</v>
      </c>
      <c r="Q5039" s="3">
        <f ca="1">IF(Proc[[#This Row],[DateClosed]]="",ABS(NETWORKDAYS(Proc[[#This Row],[DateOpened]],TODAY()))-1,ABS(NETWORKDAYS(Proc[[#This Row],[DateOpened]],Proc[[#This Row],[DateClosed]]))-1)</f>
        <v>12</v>
      </c>
      <c r="R5039" s="175" t="s">
        <v>415</v>
      </c>
      <c r="S5039" s="150"/>
    </row>
    <row r="5040" spans="1:19" hidden="1">
      <c r="A5040" t="s">
        <v>7279</v>
      </c>
      <c r="B5040" s="150" t="str">
        <f>IFERROR(VLOOKUP(Proc[[#This Row],[App]],Table2[],3,0),"open")</f>
        <v>ok</v>
      </c>
      <c r="C5040" s="149" t="s">
        <v>369</v>
      </c>
      <c r="D5040" t="s">
        <v>7280</v>
      </c>
      <c r="E5040" t="s">
        <v>7281</v>
      </c>
      <c r="F5040" s="150" t="s">
        <v>7281</v>
      </c>
      <c r="G5040" s="149" t="s">
        <v>400</v>
      </c>
      <c r="H5040" s="150" t="str">
        <f>IF(Proc[[#This Row],[type]]="LFF (MDG-F)",MID(Proc[[#This Row],[Obj]],13,10),"")</f>
        <v/>
      </c>
      <c r="J5040" s="150" t="b">
        <f>Proc[[#This Row],[Requested]]=Proc[[#This Row],[CurrentParent]]</f>
        <v>1</v>
      </c>
      <c r="K5040" s="150" t="str">
        <f>IF(Proc[[#This Row],[Author]]="Marcela Urrego",VLOOKUP(LEFT(Proc[[#This Row],[Requested]],1),Table3[#All],2,0),VLOOKUP(Proc[[#This Row],[Author]],Table4[],2,0))</f>
        <v>HC</v>
      </c>
      <c r="L5040" s="150" t="s">
        <v>6435</v>
      </c>
      <c r="M5040" s="174">
        <v>45995</v>
      </c>
      <c r="N5040" s="175"/>
      <c r="O5040" s="175"/>
      <c r="P5040" s="175" t="str">
        <f ca="1">IF(Proc[[#This Row],[DaysAgeing]]&gt;5,"yep","on track")</f>
        <v>yep</v>
      </c>
      <c r="Q5040" s="3">
        <f ca="1">IF(Proc[[#This Row],[DateClosed]]="",ABS(NETWORKDAYS(Proc[[#This Row],[DateOpened]],TODAY()))-1,ABS(NETWORKDAYS(Proc[[#This Row],[DateOpened]],Proc[[#This Row],[DateClosed]]))-1)</f>
        <v>11</v>
      </c>
      <c r="R5040" s="175" t="s">
        <v>764</v>
      </c>
      <c r="S5040" s="150"/>
    </row>
    <row r="5041" spans="1:19" hidden="1">
      <c r="A5041" t="s">
        <v>7283</v>
      </c>
      <c r="B5041" s="150" t="str">
        <f>IFERROR(VLOOKUP(Proc[[#This Row],[App]],Table2[],3,0),"open")</f>
        <v>ok</v>
      </c>
      <c r="C5041" t="s">
        <v>369</v>
      </c>
      <c r="D5041" t="s">
        <v>7284</v>
      </c>
      <c r="E5041" t="s">
        <v>425</v>
      </c>
      <c r="F5041" s="150" t="s">
        <v>425</v>
      </c>
      <c r="G5041" s="149" t="s">
        <v>400</v>
      </c>
      <c r="H5041" s="150" t="str">
        <f>IF(Proc[[#This Row],[type]]="LFF (MDG-F)",MID(Proc[[#This Row],[Obj]],13,10),"")</f>
        <v/>
      </c>
      <c r="J5041" s="150" t="b">
        <f>Proc[[#This Row],[Requested]]=Proc[[#This Row],[CurrentParent]]</f>
        <v>1</v>
      </c>
      <c r="K5041" s="150" t="str">
        <f>IF(Proc[[#This Row],[Author]]="Marcela Urrego",VLOOKUP(LEFT(Proc[[#This Row],[Requested]],1),Table3[#All],2,0),VLOOKUP(Proc[[#This Row],[Author]],Table4[],2,0))</f>
        <v>MGF</v>
      </c>
      <c r="L5041" s="150" t="s">
        <v>6435</v>
      </c>
      <c r="M5041" s="174">
        <v>45995</v>
      </c>
      <c r="N5041" s="175"/>
      <c r="O5041" s="175"/>
      <c r="P5041" s="175" t="str">
        <f ca="1">IF(Proc[[#This Row],[DaysAgeing]]&gt;5,"yep","on track")</f>
        <v>yep</v>
      </c>
      <c r="Q5041" s="3">
        <f ca="1">IF(Proc[[#This Row],[DateClosed]]="",ABS(NETWORKDAYS(Proc[[#This Row],[DateOpened]],TODAY()))-1,ABS(NETWORKDAYS(Proc[[#This Row],[DateOpened]],Proc[[#This Row],[DateClosed]]))-1)</f>
        <v>11</v>
      </c>
      <c r="R5041" s="175" t="s">
        <v>1459</v>
      </c>
      <c r="S5041" s="150"/>
    </row>
    <row r="5042" spans="1:19" hidden="1">
      <c r="A5042" t="s">
        <v>7285</v>
      </c>
      <c r="B5042" s="150" t="str">
        <f>IFERROR(VLOOKUP(Proc[[#This Row],[App]],Table2[],3,0),"open")</f>
        <v>ok</v>
      </c>
      <c r="C5042" s="149" t="s">
        <v>369</v>
      </c>
      <c r="D5042" t="s">
        <v>7286</v>
      </c>
      <c r="E5042" t="s">
        <v>4937</v>
      </c>
      <c r="F5042" s="150" t="s">
        <v>4937</v>
      </c>
      <c r="G5042" s="149" t="s">
        <v>400</v>
      </c>
      <c r="H5042" s="150" t="str">
        <f>IF(Proc[[#This Row],[type]]="LFF (MDG-F)",MID(Proc[[#This Row],[Obj]],13,10),"")</f>
        <v/>
      </c>
      <c r="J5042" s="150" t="b">
        <f>Proc[[#This Row],[Requested]]=Proc[[#This Row],[CurrentParent]]</f>
        <v>1</v>
      </c>
      <c r="K5042" s="150" t="str">
        <f>IF(Proc[[#This Row],[Author]]="Marcela Urrego",VLOOKUP(LEFT(Proc[[#This Row],[Requested]],1),Table3[#All],2,0),VLOOKUP(Proc[[#This Row],[Author]],Table4[],2,0))</f>
        <v>HC</v>
      </c>
      <c r="L5042" s="150" t="s">
        <v>6435</v>
      </c>
      <c r="M5042" s="174">
        <v>45996</v>
      </c>
      <c r="N5042" s="175"/>
      <c r="O5042" s="175"/>
      <c r="P5042" s="175" t="str">
        <f ca="1">IF(Proc[[#This Row],[DaysAgeing]]&gt;5,"yep","on track")</f>
        <v>yep</v>
      </c>
      <c r="Q5042" s="3">
        <f ca="1">IF(Proc[[#This Row],[DateClosed]]="",ABS(NETWORKDAYS(Proc[[#This Row],[DateOpened]],TODAY()))-1,ABS(NETWORKDAYS(Proc[[#This Row],[DateOpened]],Proc[[#This Row],[DateClosed]]))-1)</f>
        <v>10</v>
      </c>
      <c r="R5042" s="175" t="s">
        <v>415</v>
      </c>
      <c r="S5042" s="150"/>
    </row>
    <row r="5043" spans="1:19" hidden="1">
      <c r="A5043" t="s">
        <v>7285</v>
      </c>
      <c r="B5043" s="150" t="str">
        <f>IFERROR(VLOOKUP(Proc[[#This Row],[App]],Table2[],3,0),"open")</f>
        <v>ok</v>
      </c>
      <c r="C5043" s="149" t="s">
        <v>369</v>
      </c>
      <c r="D5043" t="s">
        <v>7287</v>
      </c>
      <c r="E5043" t="s">
        <v>7296</v>
      </c>
      <c r="F5043" s="150" t="s">
        <v>7296</v>
      </c>
      <c r="G5043" s="149" t="s">
        <v>400</v>
      </c>
      <c r="H5043" s="150" t="str">
        <f>IF(Proc[[#This Row],[type]]="LFF (MDG-F)",MID(Proc[[#This Row],[Obj]],13,10),"")</f>
        <v/>
      </c>
      <c r="J5043" s="150" t="b">
        <f>Proc[[#This Row],[Requested]]=Proc[[#This Row],[CurrentParent]]</f>
        <v>1</v>
      </c>
      <c r="K5043" s="150" t="str">
        <f>IF(Proc[[#This Row],[Author]]="Marcela Urrego",VLOOKUP(LEFT(Proc[[#This Row],[Requested]],1),Table3[#All],2,0),VLOOKUP(Proc[[#This Row],[Author]],Table4[],2,0))</f>
        <v>HC</v>
      </c>
      <c r="L5043" s="150" t="s">
        <v>6435</v>
      </c>
      <c r="M5043" s="174">
        <v>45996</v>
      </c>
      <c r="N5043" s="175"/>
      <c r="O5043" s="175"/>
      <c r="P5043" s="175" t="str">
        <f ca="1">IF(Proc[[#This Row],[DaysAgeing]]&gt;5,"yep","on track")</f>
        <v>yep</v>
      </c>
      <c r="Q5043" s="3">
        <f ca="1">IF(Proc[[#This Row],[DateClosed]]="",ABS(NETWORKDAYS(Proc[[#This Row],[DateOpened]],TODAY()))-1,ABS(NETWORKDAYS(Proc[[#This Row],[DateOpened]],Proc[[#This Row],[DateClosed]]))-1)</f>
        <v>10</v>
      </c>
      <c r="R5043" s="175" t="s">
        <v>415</v>
      </c>
      <c r="S5043" s="150"/>
    </row>
    <row r="5044" spans="1:19" hidden="1">
      <c r="A5044" s="149" t="s">
        <v>7285</v>
      </c>
      <c r="B5044" s="150" t="str">
        <f>IFERROR(VLOOKUP(Proc[[#This Row],[App]],Table2[],3,0),"open")</f>
        <v>ok</v>
      </c>
      <c r="C5044" s="149" t="s">
        <v>369</v>
      </c>
      <c r="D5044" t="s">
        <v>7288</v>
      </c>
      <c r="E5044" t="s">
        <v>7297</v>
      </c>
      <c r="F5044" s="150" t="s">
        <v>7297</v>
      </c>
      <c r="G5044" s="149" t="s">
        <v>400</v>
      </c>
      <c r="H5044" s="150" t="str">
        <f>IF(Proc[[#This Row],[type]]="LFF (MDG-F)",MID(Proc[[#This Row],[Obj]],13,10),"")</f>
        <v/>
      </c>
      <c r="J5044" s="150" t="b">
        <f>Proc[[#This Row],[Requested]]=Proc[[#This Row],[CurrentParent]]</f>
        <v>1</v>
      </c>
      <c r="K5044" s="150" t="str">
        <f>IF(Proc[[#This Row],[Author]]="Marcela Urrego",VLOOKUP(LEFT(Proc[[#This Row],[Requested]],1),Table3[#All],2,0),VLOOKUP(Proc[[#This Row],[Author]],Table4[],2,0))</f>
        <v>HC</v>
      </c>
      <c r="L5044" s="150" t="s">
        <v>6435</v>
      </c>
      <c r="M5044" s="174">
        <v>45996</v>
      </c>
      <c r="N5044" s="175"/>
      <c r="O5044" s="175"/>
      <c r="P5044" s="175" t="str">
        <f ca="1">IF(Proc[[#This Row],[DaysAgeing]]&gt;5,"yep","on track")</f>
        <v>yep</v>
      </c>
      <c r="Q5044" s="3">
        <f ca="1">IF(Proc[[#This Row],[DateClosed]]="",ABS(NETWORKDAYS(Proc[[#This Row],[DateOpened]],TODAY()))-1,ABS(NETWORKDAYS(Proc[[#This Row],[DateOpened]],Proc[[#This Row],[DateClosed]]))-1)</f>
        <v>10</v>
      </c>
      <c r="R5044" s="175" t="s">
        <v>415</v>
      </c>
      <c r="S5044" s="150"/>
    </row>
    <row r="5045" spans="1:19" hidden="1">
      <c r="A5045" s="149" t="s">
        <v>7285</v>
      </c>
      <c r="B5045" s="150" t="str">
        <f>IFERROR(VLOOKUP(Proc[[#This Row],[App]],Table2[],3,0),"open")</f>
        <v>ok</v>
      </c>
      <c r="C5045" s="149" t="s">
        <v>369</v>
      </c>
      <c r="D5045" t="s">
        <v>7289</v>
      </c>
      <c r="E5045" t="s">
        <v>7298</v>
      </c>
      <c r="F5045" s="150" t="s">
        <v>7298</v>
      </c>
      <c r="G5045" s="149" t="s">
        <v>400</v>
      </c>
      <c r="H5045" s="150" t="str">
        <f>IF(Proc[[#This Row],[type]]="LFF (MDG-F)",MID(Proc[[#This Row],[Obj]],13,10),"")</f>
        <v/>
      </c>
      <c r="J5045" s="150" t="b">
        <f>Proc[[#This Row],[Requested]]=Proc[[#This Row],[CurrentParent]]</f>
        <v>1</v>
      </c>
      <c r="K5045" s="150" t="str">
        <f>IF(Proc[[#This Row],[Author]]="Marcela Urrego",VLOOKUP(LEFT(Proc[[#This Row],[Requested]],1),Table3[#All],2,0),VLOOKUP(Proc[[#This Row],[Author]],Table4[],2,0))</f>
        <v>HC</v>
      </c>
      <c r="L5045" s="150" t="s">
        <v>6435</v>
      </c>
      <c r="M5045" s="174">
        <v>45996</v>
      </c>
      <c r="N5045" s="175"/>
      <c r="O5045" s="175"/>
      <c r="P5045" s="175" t="str">
        <f ca="1">IF(Proc[[#This Row],[DaysAgeing]]&gt;5,"yep","on track")</f>
        <v>yep</v>
      </c>
      <c r="Q5045" s="3">
        <f ca="1">IF(Proc[[#This Row],[DateClosed]]="",ABS(NETWORKDAYS(Proc[[#This Row],[DateOpened]],TODAY()))-1,ABS(NETWORKDAYS(Proc[[#This Row],[DateOpened]],Proc[[#This Row],[DateClosed]]))-1)</f>
        <v>10</v>
      </c>
      <c r="R5045" s="175" t="s">
        <v>415</v>
      </c>
      <c r="S5045" s="150"/>
    </row>
    <row r="5046" spans="1:19" hidden="1">
      <c r="A5046" s="149" t="s">
        <v>7285</v>
      </c>
      <c r="B5046" s="150" t="str">
        <f>IFERROR(VLOOKUP(Proc[[#This Row],[App]],Table2[],3,0),"open")</f>
        <v>ok</v>
      </c>
      <c r="C5046" s="149" t="s">
        <v>369</v>
      </c>
      <c r="D5046" t="s">
        <v>7290</v>
      </c>
      <c r="E5046" t="s">
        <v>7298</v>
      </c>
      <c r="F5046" s="150" t="s">
        <v>7298</v>
      </c>
      <c r="G5046" s="149" t="s">
        <v>400</v>
      </c>
      <c r="H5046" s="150" t="str">
        <f>IF(Proc[[#This Row],[type]]="LFF (MDG-F)",MID(Proc[[#This Row],[Obj]],13,10),"")</f>
        <v/>
      </c>
      <c r="J5046" s="150" t="b">
        <f>Proc[[#This Row],[Requested]]=Proc[[#This Row],[CurrentParent]]</f>
        <v>1</v>
      </c>
      <c r="K5046" s="150" t="str">
        <f>IF(Proc[[#This Row],[Author]]="Marcela Urrego",VLOOKUP(LEFT(Proc[[#This Row],[Requested]],1),Table3[#All],2,0),VLOOKUP(Proc[[#This Row],[Author]],Table4[],2,0))</f>
        <v>HC</v>
      </c>
      <c r="L5046" s="150" t="s">
        <v>6435</v>
      </c>
      <c r="M5046" s="174">
        <v>45996</v>
      </c>
      <c r="N5046" s="175"/>
      <c r="O5046" s="175"/>
      <c r="P5046" s="175" t="str">
        <f ca="1">IF(Proc[[#This Row],[DaysAgeing]]&gt;5,"yep","on track")</f>
        <v>yep</v>
      </c>
      <c r="Q5046" s="3">
        <f ca="1">IF(Proc[[#This Row],[DateClosed]]="",ABS(NETWORKDAYS(Proc[[#This Row],[DateOpened]],TODAY()))-1,ABS(NETWORKDAYS(Proc[[#This Row],[DateOpened]],Proc[[#This Row],[DateClosed]]))-1)</f>
        <v>10</v>
      </c>
      <c r="R5046" s="175" t="s">
        <v>415</v>
      </c>
      <c r="S5046" s="150"/>
    </row>
    <row r="5047" spans="1:19" hidden="1">
      <c r="A5047" s="149" t="s">
        <v>7285</v>
      </c>
      <c r="B5047" s="150" t="str">
        <f>IFERROR(VLOOKUP(Proc[[#This Row],[App]],Table2[],3,0),"open")</f>
        <v>ok</v>
      </c>
      <c r="C5047" s="149" t="s">
        <v>369</v>
      </c>
      <c r="D5047" t="s">
        <v>7291</v>
      </c>
      <c r="E5047" t="s">
        <v>7299</v>
      </c>
      <c r="F5047" s="150" t="s">
        <v>7299</v>
      </c>
      <c r="G5047" s="149" t="s">
        <v>400</v>
      </c>
      <c r="H5047" s="150" t="str">
        <f>IF(Proc[[#This Row],[type]]="LFF (MDG-F)",MID(Proc[[#This Row],[Obj]],13,10),"")</f>
        <v/>
      </c>
      <c r="J5047" s="150" t="b">
        <f>Proc[[#This Row],[Requested]]=Proc[[#This Row],[CurrentParent]]</f>
        <v>1</v>
      </c>
      <c r="K5047" s="150" t="str">
        <f>IF(Proc[[#This Row],[Author]]="Marcela Urrego",VLOOKUP(LEFT(Proc[[#This Row],[Requested]],1),Table3[#All],2,0),VLOOKUP(Proc[[#This Row],[Author]],Table4[],2,0))</f>
        <v>HC</v>
      </c>
      <c r="L5047" s="150" t="s">
        <v>6435</v>
      </c>
      <c r="M5047" s="174">
        <v>45996</v>
      </c>
      <c r="N5047" s="175"/>
      <c r="O5047" s="175"/>
      <c r="P5047" s="175" t="str">
        <f ca="1">IF(Proc[[#This Row],[DaysAgeing]]&gt;5,"yep","on track")</f>
        <v>yep</v>
      </c>
      <c r="Q5047" s="3">
        <f ca="1">IF(Proc[[#This Row],[DateClosed]]="",ABS(NETWORKDAYS(Proc[[#This Row],[DateOpened]],TODAY()))-1,ABS(NETWORKDAYS(Proc[[#This Row],[DateOpened]],Proc[[#This Row],[DateClosed]]))-1)</f>
        <v>10</v>
      </c>
      <c r="R5047" s="175" t="s">
        <v>415</v>
      </c>
      <c r="S5047" s="150"/>
    </row>
    <row r="5048" spans="1:19" hidden="1">
      <c r="A5048" s="149" t="s">
        <v>7285</v>
      </c>
      <c r="B5048" s="150" t="str">
        <f>IFERROR(VLOOKUP(Proc[[#This Row],[App]],Table2[],3,0),"open")</f>
        <v>ok</v>
      </c>
      <c r="C5048" s="149" t="s">
        <v>369</v>
      </c>
      <c r="D5048" t="s">
        <v>7292</v>
      </c>
      <c r="E5048" t="s">
        <v>7299</v>
      </c>
      <c r="F5048" s="150" t="s">
        <v>7299</v>
      </c>
      <c r="G5048" s="149" t="s">
        <v>400</v>
      </c>
      <c r="H5048" s="150" t="str">
        <f>IF(Proc[[#This Row],[type]]="LFF (MDG-F)",MID(Proc[[#This Row],[Obj]],13,10),"")</f>
        <v/>
      </c>
      <c r="J5048" s="150" t="b">
        <f>Proc[[#This Row],[Requested]]=Proc[[#This Row],[CurrentParent]]</f>
        <v>1</v>
      </c>
      <c r="K5048" s="150" t="str">
        <f>IF(Proc[[#This Row],[Author]]="Marcela Urrego",VLOOKUP(LEFT(Proc[[#This Row],[Requested]],1),Table3[#All],2,0),VLOOKUP(Proc[[#This Row],[Author]],Table4[],2,0))</f>
        <v>HC</v>
      </c>
      <c r="L5048" s="150" t="s">
        <v>6435</v>
      </c>
      <c r="M5048" s="174">
        <v>45996</v>
      </c>
      <c r="N5048" s="175"/>
      <c r="O5048" s="175"/>
      <c r="P5048" s="175" t="str">
        <f ca="1">IF(Proc[[#This Row],[DaysAgeing]]&gt;5,"yep","on track")</f>
        <v>yep</v>
      </c>
      <c r="Q5048" s="3">
        <f ca="1">IF(Proc[[#This Row],[DateClosed]]="",ABS(NETWORKDAYS(Proc[[#This Row],[DateOpened]],TODAY()))-1,ABS(NETWORKDAYS(Proc[[#This Row],[DateOpened]],Proc[[#This Row],[DateClosed]]))-1)</f>
        <v>10</v>
      </c>
      <c r="R5048" s="175" t="s">
        <v>415</v>
      </c>
      <c r="S5048" s="150"/>
    </row>
    <row r="5049" spans="1:19" hidden="1">
      <c r="A5049" s="149" t="s">
        <v>7285</v>
      </c>
      <c r="B5049" s="150" t="str">
        <f>IFERROR(VLOOKUP(Proc[[#This Row],[App]],Table2[],3,0),"open")</f>
        <v>ok</v>
      </c>
      <c r="C5049" s="149" t="s">
        <v>369</v>
      </c>
      <c r="D5049" t="s">
        <v>7293</v>
      </c>
      <c r="E5049" t="s">
        <v>7299</v>
      </c>
      <c r="F5049" s="150" t="s">
        <v>7299</v>
      </c>
      <c r="G5049" s="149" t="s">
        <v>400</v>
      </c>
      <c r="H5049" s="150" t="str">
        <f>IF(Proc[[#This Row],[type]]="LFF (MDG-F)",MID(Proc[[#This Row],[Obj]],13,10),"")</f>
        <v/>
      </c>
      <c r="J5049" s="150" t="b">
        <f>Proc[[#This Row],[Requested]]=Proc[[#This Row],[CurrentParent]]</f>
        <v>1</v>
      </c>
      <c r="K5049" s="150" t="str">
        <f>IF(Proc[[#This Row],[Author]]="Marcela Urrego",VLOOKUP(LEFT(Proc[[#This Row],[Requested]],1),Table3[#All],2,0),VLOOKUP(Proc[[#This Row],[Author]],Table4[],2,0))</f>
        <v>HC</v>
      </c>
      <c r="L5049" s="150" t="s">
        <v>6435</v>
      </c>
      <c r="M5049" s="174">
        <v>45996</v>
      </c>
      <c r="N5049" s="175"/>
      <c r="O5049" s="175"/>
      <c r="P5049" s="175" t="str">
        <f ca="1">IF(Proc[[#This Row],[DaysAgeing]]&gt;5,"yep","on track")</f>
        <v>yep</v>
      </c>
      <c r="Q5049" s="3">
        <f ca="1">IF(Proc[[#This Row],[DateClosed]]="",ABS(NETWORKDAYS(Proc[[#This Row],[DateOpened]],TODAY()))-1,ABS(NETWORKDAYS(Proc[[#This Row],[DateOpened]],Proc[[#This Row],[DateClosed]]))-1)</f>
        <v>10</v>
      </c>
      <c r="R5049" s="175" t="s">
        <v>415</v>
      </c>
      <c r="S5049" s="150"/>
    </row>
    <row r="5050" spans="1:19" hidden="1">
      <c r="A5050" s="149" t="s">
        <v>7285</v>
      </c>
      <c r="B5050" s="150" t="str">
        <f>IFERROR(VLOOKUP(Proc[[#This Row],[App]],Table2[],3,0),"open")</f>
        <v>ok</v>
      </c>
      <c r="C5050" s="149" t="s">
        <v>369</v>
      </c>
      <c r="D5050" t="s">
        <v>7294</v>
      </c>
      <c r="E5050" t="s">
        <v>7299</v>
      </c>
      <c r="F5050" s="150" t="s">
        <v>7299</v>
      </c>
      <c r="G5050" s="149" t="s">
        <v>400</v>
      </c>
      <c r="H5050" s="150" t="str">
        <f>IF(Proc[[#This Row],[type]]="LFF (MDG-F)",MID(Proc[[#This Row],[Obj]],13,10),"")</f>
        <v/>
      </c>
      <c r="J5050" s="150" t="b">
        <f>Proc[[#This Row],[Requested]]=Proc[[#This Row],[CurrentParent]]</f>
        <v>1</v>
      </c>
      <c r="K5050" s="150" t="str">
        <f>IF(Proc[[#This Row],[Author]]="Marcela Urrego",VLOOKUP(LEFT(Proc[[#This Row],[Requested]],1),Table3[#All],2,0),VLOOKUP(Proc[[#This Row],[Author]],Table4[],2,0))</f>
        <v>HC</v>
      </c>
      <c r="L5050" s="150" t="s">
        <v>6435</v>
      </c>
      <c r="M5050" s="174">
        <v>45996</v>
      </c>
      <c r="N5050" s="175"/>
      <c r="O5050" s="175"/>
      <c r="P5050" s="175" t="str">
        <f ca="1">IF(Proc[[#This Row],[DaysAgeing]]&gt;5,"yep","on track")</f>
        <v>yep</v>
      </c>
      <c r="Q5050" s="3">
        <f ca="1">IF(Proc[[#This Row],[DateClosed]]="",ABS(NETWORKDAYS(Proc[[#This Row],[DateOpened]],TODAY()))-1,ABS(NETWORKDAYS(Proc[[#This Row],[DateOpened]],Proc[[#This Row],[DateClosed]]))-1)</f>
        <v>10</v>
      </c>
      <c r="R5050" s="175" t="s">
        <v>415</v>
      </c>
      <c r="S5050" s="150"/>
    </row>
    <row r="5051" spans="1:19" hidden="1">
      <c r="A5051" s="149" t="s">
        <v>7285</v>
      </c>
      <c r="B5051" s="150" t="str">
        <f>IFERROR(VLOOKUP(Proc[[#This Row],[App]],Table2[],3,0),"open")</f>
        <v>ok</v>
      </c>
      <c r="C5051" s="149" t="s">
        <v>369</v>
      </c>
      <c r="D5051" t="s">
        <v>7295</v>
      </c>
      <c r="E5051" t="s">
        <v>7299</v>
      </c>
      <c r="F5051" s="150" t="s">
        <v>7299</v>
      </c>
      <c r="G5051" s="149" t="s">
        <v>400</v>
      </c>
      <c r="H5051" s="150" t="str">
        <f>IF(Proc[[#This Row],[type]]="LFF (MDG-F)",MID(Proc[[#This Row],[Obj]],13,10),"")</f>
        <v/>
      </c>
      <c r="J5051" s="150" t="b">
        <f>Proc[[#This Row],[Requested]]=Proc[[#This Row],[CurrentParent]]</f>
        <v>1</v>
      </c>
      <c r="K5051" s="150" t="str">
        <f>IF(Proc[[#This Row],[Author]]="Marcela Urrego",VLOOKUP(LEFT(Proc[[#This Row],[Requested]],1),Table3[#All],2,0),VLOOKUP(Proc[[#This Row],[Author]],Table4[],2,0))</f>
        <v>HC</v>
      </c>
      <c r="L5051" s="150" t="s">
        <v>6435</v>
      </c>
      <c r="M5051" s="174">
        <v>45996</v>
      </c>
      <c r="N5051" s="175"/>
      <c r="O5051" s="175"/>
      <c r="P5051" s="175" t="str">
        <f ca="1">IF(Proc[[#This Row],[DaysAgeing]]&gt;5,"yep","on track")</f>
        <v>yep</v>
      </c>
      <c r="Q5051" s="3">
        <f ca="1">IF(Proc[[#This Row],[DateClosed]]="",ABS(NETWORKDAYS(Proc[[#This Row],[DateOpened]],TODAY()))-1,ABS(NETWORKDAYS(Proc[[#This Row],[DateOpened]],Proc[[#This Row],[DateClosed]]))-1)</f>
        <v>10</v>
      </c>
      <c r="R5051" s="175" t="s">
        <v>415</v>
      </c>
      <c r="S5051" s="150"/>
    </row>
    <row r="5052" spans="1:19" hidden="1">
      <c r="A5052" t="s">
        <v>7301</v>
      </c>
      <c r="B5052" s="150" t="str">
        <f>IFERROR(VLOOKUP(Proc[[#This Row],[App]],Table2[],3,0),"open")</f>
        <v>ok</v>
      </c>
      <c r="C5052" s="149" t="s">
        <v>369</v>
      </c>
      <c r="D5052" t="s">
        <v>7253</v>
      </c>
      <c r="E5052" t="s">
        <v>7300</v>
      </c>
      <c r="F5052" s="150" t="s">
        <v>7300</v>
      </c>
      <c r="G5052" s="149" t="s">
        <v>400</v>
      </c>
      <c r="H5052" s="150" t="str">
        <f>IF(Proc[[#This Row],[type]]="LFF (MDG-F)",MID(Proc[[#This Row],[Obj]],13,10),"")</f>
        <v/>
      </c>
      <c r="J5052" s="150" t="b">
        <f>Proc[[#This Row],[Requested]]=Proc[[#This Row],[CurrentParent]]</f>
        <v>1</v>
      </c>
      <c r="K5052" s="150" t="str">
        <f>IF(Proc[[#This Row],[Author]]="Marcela Urrego",VLOOKUP(LEFT(Proc[[#This Row],[Requested]],1),Table3[#All],2,0),VLOOKUP(Proc[[#This Row],[Author]],Table4[],2,0))</f>
        <v>HC</v>
      </c>
      <c r="L5052" s="150" t="s">
        <v>6435</v>
      </c>
      <c r="M5052" s="174">
        <v>45996</v>
      </c>
      <c r="N5052" s="175"/>
      <c r="O5052" s="175"/>
      <c r="P5052" s="175" t="str">
        <f ca="1">IF(Proc[[#This Row],[DaysAgeing]]&gt;5,"yep","on track")</f>
        <v>yep</v>
      </c>
      <c r="Q5052" s="3">
        <f ca="1">IF(Proc[[#This Row],[DateClosed]]="",ABS(NETWORKDAYS(Proc[[#This Row],[DateOpened]],TODAY()))-1,ABS(NETWORKDAYS(Proc[[#This Row],[DateOpened]],Proc[[#This Row],[DateClosed]]))-1)</f>
        <v>10</v>
      </c>
      <c r="R5052" s="175" t="s">
        <v>415</v>
      </c>
      <c r="S5052" s="150"/>
    </row>
    <row r="5053" spans="1:19" hidden="1">
      <c r="A5053" t="s">
        <v>7301</v>
      </c>
      <c r="B5053" s="150" t="str">
        <f>IFERROR(VLOOKUP(Proc[[#This Row],[App]],Table2[],3,0),"open")</f>
        <v>ok</v>
      </c>
      <c r="C5053" s="149" t="s">
        <v>369</v>
      </c>
      <c r="D5053" t="s">
        <v>7254</v>
      </c>
      <c r="E5053" t="s">
        <v>7300</v>
      </c>
      <c r="F5053" s="150" t="s">
        <v>7300</v>
      </c>
      <c r="G5053" s="149" t="s">
        <v>400</v>
      </c>
      <c r="H5053" s="150" t="str">
        <f>IF(Proc[[#This Row],[type]]="LFF (MDG-F)",MID(Proc[[#This Row],[Obj]],13,10),"")</f>
        <v/>
      </c>
      <c r="J5053" s="150" t="b">
        <f>Proc[[#This Row],[Requested]]=Proc[[#This Row],[CurrentParent]]</f>
        <v>1</v>
      </c>
      <c r="K5053" s="150" t="str">
        <f>IF(Proc[[#This Row],[Author]]="Marcela Urrego",VLOOKUP(LEFT(Proc[[#This Row],[Requested]],1),Table3[#All],2,0),VLOOKUP(Proc[[#This Row],[Author]],Table4[],2,0))</f>
        <v>HC</v>
      </c>
      <c r="L5053" s="150" t="s">
        <v>6435</v>
      </c>
      <c r="M5053" s="174">
        <v>45996</v>
      </c>
      <c r="N5053" s="175"/>
      <c r="O5053" s="175"/>
      <c r="P5053" s="175" t="str">
        <f ca="1">IF(Proc[[#This Row],[DaysAgeing]]&gt;5,"yep","on track")</f>
        <v>yep</v>
      </c>
      <c r="Q5053" s="3">
        <f ca="1">IF(Proc[[#This Row],[DateClosed]]="",ABS(NETWORKDAYS(Proc[[#This Row],[DateOpened]],TODAY()))-1,ABS(NETWORKDAYS(Proc[[#This Row],[DateOpened]],Proc[[#This Row],[DateClosed]]))-1)</f>
        <v>10</v>
      </c>
      <c r="R5053" s="175" t="s">
        <v>415</v>
      </c>
      <c r="S5053" s="150"/>
    </row>
    <row r="5054" spans="1:19" hidden="1">
      <c r="A5054" s="149" t="s">
        <v>7301</v>
      </c>
      <c r="B5054" s="150" t="str">
        <f>IFERROR(VLOOKUP(Proc[[#This Row],[App]],Table2[],3,0),"open")</f>
        <v>ok</v>
      </c>
      <c r="C5054" s="149" t="s">
        <v>369</v>
      </c>
      <c r="D5054" t="s">
        <v>7255</v>
      </c>
      <c r="E5054" t="s">
        <v>7300</v>
      </c>
      <c r="F5054" s="150" t="s">
        <v>7300</v>
      </c>
      <c r="G5054" s="149" t="s">
        <v>400</v>
      </c>
      <c r="H5054" s="150" t="str">
        <f>IF(Proc[[#This Row],[type]]="LFF (MDG-F)",MID(Proc[[#This Row],[Obj]],13,10),"")</f>
        <v/>
      </c>
      <c r="J5054" s="150" t="b">
        <f>Proc[[#This Row],[Requested]]=Proc[[#This Row],[CurrentParent]]</f>
        <v>1</v>
      </c>
      <c r="K5054" s="150" t="str">
        <f>IF(Proc[[#This Row],[Author]]="Marcela Urrego",VLOOKUP(LEFT(Proc[[#This Row],[Requested]],1),Table3[#All],2,0),VLOOKUP(Proc[[#This Row],[Author]],Table4[],2,0))</f>
        <v>HC</v>
      </c>
      <c r="L5054" s="150" t="s">
        <v>6435</v>
      </c>
      <c r="M5054" s="174">
        <v>45996</v>
      </c>
      <c r="N5054" s="175"/>
      <c r="O5054" s="175"/>
      <c r="P5054" s="175" t="str">
        <f ca="1">IF(Proc[[#This Row],[DaysAgeing]]&gt;5,"yep","on track")</f>
        <v>yep</v>
      </c>
      <c r="Q5054" s="3">
        <f ca="1">IF(Proc[[#This Row],[DateClosed]]="",ABS(NETWORKDAYS(Proc[[#This Row],[DateOpened]],TODAY()))-1,ABS(NETWORKDAYS(Proc[[#This Row],[DateOpened]],Proc[[#This Row],[DateClosed]]))-1)</f>
        <v>10</v>
      </c>
      <c r="R5054" s="175" t="s">
        <v>415</v>
      </c>
      <c r="S5054" s="150"/>
    </row>
    <row r="5055" spans="1:19" hidden="1">
      <c r="A5055" s="149" t="s">
        <v>7301</v>
      </c>
      <c r="B5055" s="150" t="str">
        <f>IFERROR(VLOOKUP(Proc[[#This Row],[App]],Table2[],3,0),"open")</f>
        <v>ok</v>
      </c>
      <c r="C5055" s="149" t="s">
        <v>369</v>
      </c>
      <c r="D5055" t="s">
        <v>7256</v>
      </c>
      <c r="E5055" t="s">
        <v>7300</v>
      </c>
      <c r="F5055" s="150" t="s">
        <v>7300</v>
      </c>
      <c r="G5055" s="149" t="s">
        <v>400</v>
      </c>
      <c r="H5055" s="150" t="str">
        <f>IF(Proc[[#This Row],[type]]="LFF (MDG-F)",MID(Proc[[#This Row],[Obj]],13,10),"")</f>
        <v/>
      </c>
      <c r="J5055" s="150" t="b">
        <f>Proc[[#This Row],[Requested]]=Proc[[#This Row],[CurrentParent]]</f>
        <v>1</v>
      </c>
      <c r="K5055" s="150" t="str">
        <f>IF(Proc[[#This Row],[Author]]="Marcela Urrego",VLOOKUP(LEFT(Proc[[#This Row],[Requested]],1),Table3[#All],2,0),VLOOKUP(Proc[[#This Row],[Author]],Table4[],2,0))</f>
        <v>HC</v>
      </c>
      <c r="L5055" s="150" t="s">
        <v>6435</v>
      </c>
      <c r="M5055" s="174">
        <v>45996</v>
      </c>
      <c r="N5055" s="175"/>
      <c r="O5055" s="175"/>
      <c r="P5055" s="175" t="str">
        <f ca="1">IF(Proc[[#This Row],[DaysAgeing]]&gt;5,"yep","on track")</f>
        <v>yep</v>
      </c>
      <c r="Q5055" s="3">
        <f ca="1">IF(Proc[[#This Row],[DateClosed]]="",ABS(NETWORKDAYS(Proc[[#This Row],[DateOpened]],TODAY()))-1,ABS(NETWORKDAYS(Proc[[#This Row],[DateOpened]],Proc[[#This Row],[DateClosed]]))-1)</f>
        <v>10</v>
      </c>
      <c r="R5055" s="175" t="s">
        <v>415</v>
      </c>
      <c r="S5055" s="150"/>
    </row>
    <row r="5056" spans="1:19" hidden="1">
      <c r="A5056" s="149" t="s">
        <v>7301</v>
      </c>
      <c r="B5056" s="150" t="str">
        <f>IFERROR(VLOOKUP(Proc[[#This Row],[App]],Table2[],3,0),"open")</f>
        <v>ok</v>
      </c>
      <c r="C5056" s="149" t="s">
        <v>369</v>
      </c>
      <c r="D5056" t="s">
        <v>7257</v>
      </c>
      <c r="E5056" t="s">
        <v>7300</v>
      </c>
      <c r="F5056" s="150" t="s">
        <v>7300</v>
      </c>
      <c r="G5056" s="149" t="s">
        <v>400</v>
      </c>
      <c r="H5056" s="150" t="str">
        <f>IF(Proc[[#This Row],[type]]="LFF (MDG-F)",MID(Proc[[#This Row],[Obj]],13,10),"")</f>
        <v/>
      </c>
      <c r="J5056" s="150" t="b">
        <f>Proc[[#This Row],[Requested]]=Proc[[#This Row],[CurrentParent]]</f>
        <v>1</v>
      </c>
      <c r="K5056" s="150" t="str">
        <f>IF(Proc[[#This Row],[Author]]="Marcela Urrego",VLOOKUP(LEFT(Proc[[#This Row],[Requested]],1),Table3[#All],2,0),VLOOKUP(Proc[[#This Row],[Author]],Table4[],2,0))</f>
        <v>HC</v>
      </c>
      <c r="L5056" s="150" t="s">
        <v>6435</v>
      </c>
      <c r="M5056" s="174">
        <v>45996</v>
      </c>
      <c r="N5056" s="175"/>
      <c r="O5056" s="175"/>
      <c r="P5056" s="175" t="str">
        <f ca="1">IF(Proc[[#This Row],[DaysAgeing]]&gt;5,"yep","on track")</f>
        <v>yep</v>
      </c>
      <c r="Q5056" s="3">
        <f ca="1">IF(Proc[[#This Row],[DateClosed]]="",ABS(NETWORKDAYS(Proc[[#This Row],[DateOpened]],TODAY()))-1,ABS(NETWORKDAYS(Proc[[#This Row],[DateOpened]],Proc[[#This Row],[DateClosed]]))-1)</f>
        <v>10</v>
      </c>
      <c r="R5056" s="175" t="s">
        <v>415</v>
      </c>
      <c r="S5056" s="150"/>
    </row>
    <row r="5057" spans="1:19" hidden="1">
      <c r="A5057" s="149" t="s">
        <v>7301</v>
      </c>
      <c r="B5057" s="150" t="str">
        <f>IFERROR(VLOOKUP(Proc[[#This Row],[App]],Table2[],3,0),"open")</f>
        <v>ok</v>
      </c>
      <c r="C5057" s="149" t="s">
        <v>369</v>
      </c>
      <c r="D5057" t="s">
        <v>7274</v>
      </c>
      <c r="E5057" t="s">
        <v>7299</v>
      </c>
      <c r="F5057" s="150" t="s">
        <v>7299</v>
      </c>
      <c r="G5057" s="149" t="s">
        <v>400</v>
      </c>
      <c r="H5057" s="150" t="str">
        <f>IF(Proc[[#This Row],[type]]="LFF (MDG-F)",MID(Proc[[#This Row],[Obj]],13,10),"")</f>
        <v/>
      </c>
      <c r="J5057" s="150" t="b">
        <f>Proc[[#This Row],[Requested]]=Proc[[#This Row],[CurrentParent]]</f>
        <v>1</v>
      </c>
      <c r="K5057" s="150" t="str">
        <f>IF(Proc[[#This Row],[Author]]="Marcela Urrego",VLOOKUP(LEFT(Proc[[#This Row],[Requested]],1),Table3[#All],2,0),VLOOKUP(Proc[[#This Row],[Author]],Table4[],2,0))</f>
        <v>HC</v>
      </c>
      <c r="L5057" s="150" t="s">
        <v>6435</v>
      </c>
      <c r="M5057" s="174">
        <v>45996</v>
      </c>
      <c r="N5057" s="175"/>
      <c r="O5057" s="175"/>
      <c r="P5057" s="175" t="str">
        <f ca="1">IF(Proc[[#This Row],[DaysAgeing]]&gt;5,"yep","on track")</f>
        <v>yep</v>
      </c>
      <c r="Q5057" s="3">
        <f ca="1">IF(Proc[[#This Row],[DateClosed]]="",ABS(NETWORKDAYS(Proc[[#This Row],[DateOpened]],TODAY()))-1,ABS(NETWORKDAYS(Proc[[#This Row],[DateOpened]],Proc[[#This Row],[DateClosed]]))-1)</f>
        <v>10</v>
      </c>
      <c r="R5057" s="175" t="s">
        <v>415</v>
      </c>
      <c r="S5057" s="150"/>
    </row>
    <row r="5058" spans="1:19" hidden="1">
      <c r="A5058" s="149" t="s">
        <v>7301</v>
      </c>
      <c r="B5058" s="150" t="str">
        <f>IFERROR(VLOOKUP(Proc[[#This Row],[App]],Table2[],3,0),"open")</f>
        <v>ok</v>
      </c>
      <c r="C5058" s="149" t="s">
        <v>369</v>
      </c>
      <c r="D5058" t="s">
        <v>7275</v>
      </c>
      <c r="E5058" t="s">
        <v>7299</v>
      </c>
      <c r="F5058" s="150" t="s">
        <v>7299</v>
      </c>
      <c r="G5058" s="149" t="s">
        <v>400</v>
      </c>
      <c r="H5058" s="150" t="str">
        <f>IF(Proc[[#This Row],[type]]="LFF (MDG-F)",MID(Proc[[#This Row],[Obj]],13,10),"")</f>
        <v/>
      </c>
      <c r="J5058" s="150" t="b">
        <f>Proc[[#This Row],[Requested]]=Proc[[#This Row],[CurrentParent]]</f>
        <v>1</v>
      </c>
      <c r="K5058" s="150" t="str">
        <f>IF(Proc[[#This Row],[Author]]="Marcela Urrego",VLOOKUP(LEFT(Proc[[#This Row],[Requested]],1),Table3[#All],2,0),VLOOKUP(Proc[[#This Row],[Author]],Table4[],2,0))</f>
        <v>HC</v>
      </c>
      <c r="L5058" s="150" t="s">
        <v>6435</v>
      </c>
      <c r="M5058" s="174">
        <v>45996</v>
      </c>
      <c r="N5058" s="175"/>
      <c r="O5058" s="175"/>
      <c r="P5058" s="175" t="str">
        <f ca="1">IF(Proc[[#This Row],[DaysAgeing]]&gt;5,"yep","on track")</f>
        <v>yep</v>
      </c>
      <c r="Q5058" s="3">
        <f ca="1">IF(Proc[[#This Row],[DateClosed]]="",ABS(NETWORKDAYS(Proc[[#This Row],[DateOpened]],TODAY()))-1,ABS(NETWORKDAYS(Proc[[#This Row],[DateOpened]],Proc[[#This Row],[DateClosed]]))-1)</f>
        <v>10</v>
      </c>
      <c r="R5058" s="175" t="s">
        <v>415</v>
      </c>
      <c r="S5058" s="150"/>
    </row>
    <row r="5059" spans="1:19" hidden="1">
      <c r="A5059" s="149" t="s">
        <v>7301</v>
      </c>
      <c r="B5059" s="150" t="str">
        <f>IFERROR(VLOOKUP(Proc[[#This Row],[App]],Table2[],3,0),"open")</f>
        <v>ok</v>
      </c>
      <c r="C5059" s="149" t="s">
        <v>369</v>
      </c>
      <c r="D5059" t="s">
        <v>7276</v>
      </c>
      <c r="E5059" t="s">
        <v>7299</v>
      </c>
      <c r="F5059" s="150" t="s">
        <v>7299</v>
      </c>
      <c r="G5059" s="149" t="s">
        <v>400</v>
      </c>
      <c r="H5059" s="150" t="str">
        <f>IF(Proc[[#This Row],[type]]="LFF (MDG-F)",MID(Proc[[#This Row],[Obj]],13,10),"")</f>
        <v/>
      </c>
      <c r="J5059" s="150" t="b">
        <f>Proc[[#This Row],[Requested]]=Proc[[#This Row],[CurrentParent]]</f>
        <v>1</v>
      </c>
      <c r="K5059" s="150" t="str">
        <f>IF(Proc[[#This Row],[Author]]="Marcela Urrego",VLOOKUP(LEFT(Proc[[#This Row],[Requested]],1),Table3[#All],2,0),VLOOKUP(Proc[[#This Row],[Author]],Table4[],2,0))</f>
        <v>HC</v>
      </c>
      <c r="L5059" s="150" t="s">
        <v>6435</v>
      </c>
      <c r="M5059" s="174">
        <v>45996</v>
      </c>
      <c r="N5059" s="175"/>
      <c r="O5059" s="175"/>
      <c r="P5059" s="175" t="str">
        <f ca="1">IF(Proc[[#This Row],[DaysAgeing]]&gt;5,"yep","on track")</f>
        <v>yep</v>
      </c>
      <c r="Q5059" s="3">
        <f ca="1">IF(Proc[[#This Row],[DateClosed]]="",ABS(NETWORKDAYS(Proc[[#This Row],[DateOpened]],TODAY()))-1,ABS(NETWORKDAYS(Proc[[#This Row],[DateOpened]],Proc[[#This Row],[DateClosed]]))-1)</f>
        <v>10</v>
      </c>
      <c r="R5059" s="175" t="s">
        <v>415</v>
      </c>
      <c r="S5059" s="150"/>
    </row>
    <row r="5060" spans="1:19" hidden="1">
      <c r="A5060" s="149" t="s">
        <v>7301</v>
      </c>
      <c r="B5060" s="150" t="str">
        <f>IFERROR(VLOOKUP(Proc[[#This Row],[App]],Table2[],3,0),"open")</f>
        <v>ok</v>
      </c>
      <c r="C5060" s="149" t="s">
        <v>369</v>
      </c>
      <c r="D5060" t="s">
        <v>7277</v>
      </c>
      <c r="E5060" t="s">
        <v>7299</v>
      </c>
      <c r="F5060" s="150" t="s">
        <v>7299</v>
      </c>
      <c r="G5060" s="149" t="s">
        <v>400</v>
      </c>
      <c r="H5060" s="150" t="str">
        <f>IF(Proc[[#This Row],[type]]="LFF (MDG-F)",MID(Proc[[#This Row],[Obj]],13,10),"")</f>
        <v/>
      </c>
      <c r="J5060" s="150" t="b">
        <f>Proc[[#This Row],[Requested]]=Proc[[#This Row],[CurrentParent]]</f>
        <v>1</v>
      </c>
      <c r="K5060" s="150" t="str">
        <f>IF(Proc[[#This Row],[Author]]="Marcela Urrego",VLOOKUP(LEFT(Proc[[#This Row],[Requested]],1),Table3[#All],2,0),VLOOKUP(Proc[[#This Row],[Author]],Table4[],2,0))</f>
        <v>HC</v>
      </c>
      <c r="L5060" s="150" t="s">
        <v>6435</v>
      </c>
      <c r="M5060" s="174">
        <v>45996</v>
      </c>
      <c r="N5060" s="175"/>
      <c r="O5060" s="175"/>
      <c r="P5060" s="175" t="str">
        <f ca="1">IF(Proc[[#This Row],[DaysAgeing]]&gt;5,"yep","on track")</f>
        <v>yep</v>
      </c>
      <c r="Q5060" s="3">
        <f ca="1">IF(Proc[[#This Row],[DateClosed]]="",ABS(NETWORKDAYS(Proc[[#This Row],[DateOpened]],TODAY()))-1,ABS(NETWORKDAYS(Proc[[#This Row],[DateOpened]],Proc[[#This Row],[DateClosed]]))-1)</f>
        <v>10</v>
      </c>
      <c r="R5060" s="175" t="s">
        <v>415</v>
      </c>
      <c r="S5060" s="150"/>
    </row>
    <row r="5061" spans="1:19" hidden="1">
      <c r="A5061" s="149" t="s">
        <v>7301</v>
      </c>
      <c r="B5061" s="150" t="str">
        <f>IFERROR(VLOOKUP(Proc[[#This Row],[App]],Table2[],3,0),"open")</f>
        <v>ok</v>
      </c>
      <c r="C5061" s="149" t="s">
        <v>369</v>
      </c>
      <c r="D5061" t="s">
        <v>7278</v>
      </c>
      <c r="E5061" t="s">
        <v>7299</v>
      </c>
      <c r="F5061" s="150" t="s">
        <v>7299</v>
      </c>
      <c r="G5061" s="149" t="s">
        <v>400</v>
      </c>
      <c r="H5061" s="150" t="str">
        <f>IF(Proc[[#This Row],[type]]="LFF (MDG-F)",MID(Proc[[#This Row],[Obj]],13,10),"")</f>
        <v/>
      </c>
      <c r="J5061" s="150" t="b">
        <f>Proc[[#This Row],[Requested]]=Proc[[#This Row],[CurrentParent]]</f>
        <v>1</v>
      </c>
      <c r="K5061" s="150" t="str">
        <f>IF(Proc[[#This Row],[Author]]="Marcela Urrego",VLOOKUP(LEFT(Proc[[#This Row],[Requested]],1),Table3[#All],2,0),VLOOKUP(Proc[[#This Row],[Author]],Table4[],2,0))</f>
        <v>HC</v>
      </c>
      <c r="L5061" s="150" t="s">
        <v>6435</v>
      </c>
      <c r="M5061" s="174">
        <v>45996</v>
      </c>
      <c r="N5061" s="175"/>
      <c r="O5061" s="175"/>
      <c r="P5061" s="175" t="str">
        <f ca="1">IF(Proc[[#This Row],[DaysAgeing]]&gt;5,"yep","on track")</f>
        <v>yep</v>
      </c>
      <c r="Q5061" s="3">
        <f ca="1">IF(Proc[[#This Row],[DateClosed]]="",ABS(NETWORKDAYS(Proc[[#This Row],[DateOpened]],TODAY()))-1,ABS(NETWORKDAYS(Proc[[#This Row],[DateOpened]],Proc[[#This Row],[DateClosed]]))-1)</f>
        <v>10</v>
      </c>
      <c r="R5061" s="175" t="s">
        <v>415</v>
      </c>
      <c r="S5061" s="150"/>
    </row>
    <row r="5062" spans="1:19" hidden="1">
      <c r="A5062" t="s">
        <v>7303</v>
      </c>
      <c r="B5062" s="150" t="str">
        <f>IFERROR(VLOOKUP(Proc[[#This Row],[App]],Table2[],3,0),"open")</f>
        <v>ok</v>
      </c>
      <c r="C5062" s="149" t="s">
        <v>369</v>
      </c>
      <c r="D5062" t="s">
        <v>7289</v>
      </c>
      <c r="E5062" t="s">
        <v>7282</v>
      </c>
      <c r="F5062" s="150" t="s">
        <v>7282</v>
      </c>
      <c r="G5062" s="149" t="s">
        <v>400</v>
      </c>
      <c r="H5062" s="150" t="str">
        <f>IF(Proc[[#This Row],[type]]="LFF (MDG-F)",MID(Proc[[#This Row],[Obj]],13,10),"")</f>
        <v/>
      </c>
      <c r="J5062" s="150" t="b">
        <f>Proc[[#This Row],[Requested]]=Proc[[#This Row],[CurrentParent]]</f>
        <v>1</v>
      </c>
      <c r="K5062" s="150" t="str">
        <f>IF(Proc[[#This Row],[Author]]="Marcela Urrego",VLOOKUP(LEFT(Proc[[#This Row],[Requested]],1),Table3[#All],2,0),VLOOKUP(Proc[[#This Row],[Author]],Table4[],2,0))</f>
        <v>HC</v>
      </c>
      <c r="L5062" s="150" t="s">
        <v>6435</v>
      </c>
      <c r="M5062" s="175">
        <v>45999</v>
      </c>
      <c r="N5062" s="175"/>
      <c r="O5062" s="175"/>
      <c r="P5062" s="175" t="str">
        <f ca="1">IF(Proc[[#This Row],[DaysAgeing]]&gt;5,"yep","on track")</f>
        <v>yep</v>
      </c>
      <c r="Q5062" s="3">
        <f ca="1">IF(Proc[[#This Row],[DateClosed]]="",ABS(NETWORKDAYS(Proc[[#This Row],[DateOpened]],TODAY()))-1,ABS(NETWORKDAYS(Proc[[#This Row],[DateOpened]],Proc[[#This Row],[DateClosed]]))-1)</f>
        <v>9</v>
      </c>
      <c r="R5062" s="175" t="s">
        <v>415</v>
      </c>
      <c r="S5062" s="150"/>
    </row>
    <row r="5063" spans="1:19" hidden="1">
      <c r="A5063" s="149" t="s">
        <v>7303</v>
      </c>
      <c r="B5063" s="150" t="str">
        <f>IFERROR(VLOOKUP(Proc[[#This Row],[App]],Table2[],3,0),"open")</f>
        <v>ok</v>
      </c>
      <c r="C5063" s="149" t="s">
        <v>369</v>
      </c>
      <c r="D5063" t="s">
        <v>7290</v>
      </c>
      <c r="E5063" t="s">
        <v>7282</v>
      </c>
      <c r="F5063" s="150" t="s">
        <v>7282</v>
      </c>
      <c r="G5063" s="149" t="s">
        <v>400</v>
      </c>
      <c r="H5063" s="150" t="str">
        <f>IF(Proc[[#This Row],[type]]="LFF (MDG-F)",MID(Proc[[#This Row],[Obj]],13,10),"")</f>
        <v/>
      </c>
      <c r="J5063" s="150" t="b">
        <f>Proc[[#This Row],[Requested]]=Proc[[#This Row],[CurrentParent]]</f>
        <v>1</v>
      </c>
      <c r="K5063" s="150" t="str">
        <f>IF(Proc[[#This Row],[Author]]="Marcela Urrego",VLOOKUP(LEFT(Proc[[#This Row],[Requested]],1),Table3[#All],2,0),VLOOKUP(Proc[[#This Row],[Author]],Table4[],2,0))</f>
        <v>HC</v>
      </c>
      <c r="L5063" s="150" t="s">
        <v>6435</v>
      </c>
      <c r="M5063" s="175">
        <v>45999</v>
      </c>
      <c r="N5063" s="175"/>
      <c r="O5063" s="175"/>
      <c r="P5063" s="175" t="str">
        <f ca="1">IF(Proc[[#This Row],[DaysAgeing]]&gt;5,"yep","on track")</f>
        <v>yep</v>
      </c>
      <c r="Q5063" s="3">
        <f ca="1">IF(Proc[[#This Row],[DateClosed]]="",ABS(NETWORKDAYS(Proc[[#This Row],[DateOpened]],TODAY()))-1,ABS(NETWORKDAYS(Proc[[#This Row],[DateOpened]],Proc[[#This Row],[DateClosed]]))-1)</f>
        <v>9</v>
      </c>
      <c r="R5063" s="175" t="s">
        <v>415</v>
      </c>
      <c r="S5063" s="150"/>
    </row>
    <row r="5064" spans="1:19" hidden="1">
      <c r="A5064" t="s">
        <v>7304</v>
      </c>
      <c r="B5064" s="150" t="str">
        <f>IFERROR(VLOOKUP(Proc[[#This Row],[App]],Table2[],3,0),"open")</f>
        <v>ok</v>
      </c>
      <c r="C5064" s="149" t="s">
        <v>369</v>
      </c>
      <c r="D5064" t="s">
        <v>7305</v>
      </c>
      <c r="E5064" t="s">
        <v>496</v>
      </c>
      <c r="F5064" s="150" t="s">
        <v>496</v>
      </c>
      <c r="G5064" t="s">
        <v>400</v>
      </c>
      <c r="H5064" s="150" t="str">
        <f>IF(Proc[[#This Row],[type]]="LFF (MDG-F)",MID(Proc[[#This Row],[Obj]],13,10),"")</f>
        <v/>
      </c>
      <c r="J5064" s="150" t="b">
        <f>Proc[[#This Row],[Requested]]=Proc[[#This Row],[CurrentParent]]</f>
        <v>1</v>
      </c>
      <c r="K5064" s="150" t="str">
        <f>IF(Proc[[#This Row],[Author]]="Marcela Urrego",VLOOKUP(LEFT(Proc[[#This Row],[Requested]],1),Table3[#All],2,0),VLOOKUP(Proc[[#This Row],[Author]],Table4[],2,0))</f>
        <v>LS</v>
      </c>
      <c r="L5064" s="150" t="s">
        <v>6435</v>
      </c>
      <c r="M5064" s="175">
        <v>45999</v>
      </c>
      <c r="N5064" s="175"/>
      <c r="O5064" s="175"/>
      <c r="P5064" s="175" t="str">
        <f ca="1">IF(Proc[[#This Row],[DaysAgeing]]&gt;5,"yep","on track")</f>
        <v>yep</v>
      </c>
      <c r="Q5064" s="3">
        <f ca="1">IF(Proc[[#This Row],[DateClosed]]="",ABS(NETWORKDAYS(Proc[[#This Row],[DateOpened]],TODAY()))-1,ABS(NETWORKDAYS(Proc[[#This Row],[DateOpened]],Proc[[#This Row],[DateClosed]]))-1)</f>
        <v>9</v>
      </c>
      <c r="R5064" s="175" t="s">
        <v>489</v>
      </c>
      <c r="S5064" s="150"/>
    </row>
    <row r="5065" spans="1:19" hidden="1">
      <c r="A5065" s="149" t="s">
        <v>7304</v>
      </c>
      <c r="B5065" s="150" t="str">
        <f>IFERROR(VLOOKUP(Proc[[#This Row],[App]],Table2[],3,0),"open")</f>
        <v>ok</v>
      </c>
      <c r="C5065" s="149" t="s">
        <v>369</v>
      </c>
      <c r="D5065" t="s">
        <v>7306</v>
      </c>
      <c r="E5065" t="s">
        <v>7331</v>
      </c>
      <c r="F5065" s="150" t="s">
        <v>7331</v>
      </c>
      <c r="G5065" s="149" t="s">
        <v>400</v>
      </c>
      <c r="H5065" s="150" t="str">
        <f>IF(Proc[[#This Row],[type]]="LFF (MDG-F)",MID(Proc[[#This Row],[Obj]],13,10),"")</f>
        <v/>
      </c>
      <c r="J5065" s="150" t="b">
        <f>Proc[[#This Row],[Requested]]=Proc[[#This Row],[CurrentParent]]</f>
        <v>1</v>
      </c>
      <c r="K5065" s="150" t="str">
        <f>IF(Proc[[#This Row],[Author]]="Marcela Urrego",VLOOKUP(LEFT(Proc[[#This Row],[Requested]],1),Table3[#All],2,0),VLOOKUP(Proc[[#This Row],[Author]],Table4[],2,0))</f>
        <v>LS</v>
      </c>
      <c r="L5065" s="150" t="s">
        <v>6435</v>
      </c>
      <c r="M5065" s="175">
        <v>45999</v>
      </c>
      <c r="N5065" s="175"/>
      <c r="O5065" s="175"/>
      <c r="P5065" s="175" t="str">
        <f ca="1">IF(Proc[[#This Row],[DaysAgeing]]&gt;5,"yep","on track")</f>
        <v>yep</v>
      </c>
      <c r="Q5065" s="3">
        <f ca="1">IF(Proc[[#This Row],[DateClosed]]="",ABS(NETWORKDAYS(Proc[[#This Row],[DateOpened]],TODAY()))-1,ABS(NETWORKDAYS(Proc[[#This Row],[DateOpened]],Proc[[#This Row],[DateClosed]]))-1)</f>
        <v>9</v>
      </c>
      <c r="R5065" s="175" t="s">
        <v>489</v>
      </c>
      <c r="S5065" s="150"/>
    </row>
    <row r="5066" spans="1:19" hidden="1">
      <c r="A5066" s="149" t="s">
        <v>7304</v>
      </c>
      <c r="B5066" s="150" t="str">
        <f>IFERROR(VLOOKUP(Proc[[#This Row],[App]],Table2[],3,0),"open")</f>
        <v>ok</v>
      </c>
      <c r="C5066" s="149" t="s">
        <v>369</v>
      </c>
      <c r="D5066" t="s">
        <v>7307</v>
      </c>
      <c r="E5066" t="s">
        <v>2776</v>
      </c>
      <c r="F5066" s="150" t="s">
        <v>2776</v>
      </c>
      <c r="G5066" s="149" t="s">
        <v>400</v>
      </c>
      <c r="H5066" s="150" t="str">
        <f>IF(Proc[[#This Row],[type]]="LFF (MDG-F)",MID(Proc[[#This Row],[Obj]],13,10),"")</f>
        <v/>
      </c>
      <c r="J5066" s="150" t="b">
        <f>Proc[[#This Row],[Requested]]=Proc[[#This Row],[CurrentParent]]</f>
        <v>1</v>
      </c>
      <c r="K5066" s="150" t="str">
        <f>IF(Proc[[#This Row],[Author]]="Marcela Urrego",VLOOKUP(LEFT(Proc[[#This Row],[Requested]],1),Table3[#All],2,0),VLOOKUP(Proc[[#This Row],[Author]],Table4[],2,0))</f>
        <v>LS</v>
      </c>
      <c r="L5066" s="150" t="s">
        <v>6435</v>
      </c>
      <c r="M5066" s="175">
        <v>45999</v>
      </c>
      <c r="N5066" s="175"/>
      <c r="O5066" s="175"/>
      <c r="P5066" s="175" t="str">
        <f ca="1">IF(Proc[[#This Row],[DaysAgeing]]&gt;5,"yep","on track")</f>
        <v>yep</v>
      </c>
      <c r="Q5066" s="3">
        <f ca="1">IF(Proc[[#This Row],[DateClosed]]="",ABS(NETWORKDAYS(Proc[[#This Row],[DateOpened]],TODAY()))-1,ABS(NETWORKDAYS(Proc[[#This Row],[DateOpened]],Proc[[#This Row],[DateClosed]]))-1)</f>
        <v>9</v>
      </c>
      <c r="R5066" s="175" t="s">
        <v>489</v>
      </c>
      <c r="S5066" s="150"/>
    </row>
    <row r="5067" spans="1:19" hidden="1">
      <c r="A5067" s="149" t="s">
        <v>7304</v>
      </c>
      <c r="B5067" s="150" t="str">
        <f>IFERROR(VLOOKUP(Proc[[#This Row],[App]],Table2[],3,0),"open")</f>
        <v>ok</v>
      </c>
      <c r="C5067" s="149" t="s">
        <v>369</v>
      </c>
      <c r="D5067" t="s">
        <v>7308</v>
      </c>
      <c r="E5067" t="s">
        <v>4890</v>
      </c>
      <c r="F5067" s="150" t="s">
        <v>4890</v>
      </c>
      <c r="G5067" s="149" t="s">
        <v>400</v>
      </c>
      <c r="H5067" s="150" t="str">
        <f>IF(Proc[[#This Row],[type]]="LFF (MDG-F)",MID(Proc[[#This Row],[Obj]],13,10),"")</f>
        <v/>
      </c>
      <c r="J5067" s="150" t="b">
        <f>Proc[[#This Row],[Requested]]=Proc[[#This Row],[CurrentParent]]</f>
        <v>1</v>
      </c>
      <c r="K5067" s="150" t="str">
        <f>IF(Proc[[#This Row],[Author]]="Marcela Urrego",VLOOKUP(LEFT(Proc[[#This Row],[Requested]],1),Table3[#All],2,0),VLOOKUP(Proc[[#This Row],[Author]],Table4[],2,0))</f>
        <v>LS</v>
      </c>
      <c r="L5067" s="150" t="s">
        <v>6435</v>
      </c>
      <c r="M5067" s="175">
        <v>45999</v>
      </c>
      <c r="N5067" s="175"/>
      <c r="O5067" s="175"/>
      <c r="P5067" s="175" t="str">
        <f ca="1">IF(Proc[[#This Row],[DaysAgeing]]&gt;5,"yep","on track")</f>
        <v>yep</v>
      </c>
      <c r="Q5067" s="3">
        <f ca="1">IF(Proc[[#This Row],[DateClosed]]="",ABS(NETWORKDAYS(Proc[[#This Row],[DateOpened]],TODAY()))-1,ABS(NETWORKDAYS(Proc[[#This Row],[DateOpened]],Proc[[#This Row],[DateClosed]]))-1)</f>
        <v>9</v>
      </c>
      <c r="R5067" s="175" t="s">
        <v>489</v>
      </c>
      <c r="S5067" s="150"/>
    </row>
    <row r="5068" spans="1:19" hidden="1">
      <c r="A5068" s="149" t="s">
        <v>7304</v>
      </c>
      <c r="B5068" s="150" t="str">
        <f>IFERROR(VLOOKUP(Proc[[#This Row],[App]],Table2[],3,0),"open")</f>
        <v>ok</v>
      </c>
      <c r="C5068" s="149" t="s">
        <v>369</v>
      </c>
      <c r="D5068" t="s">
        <v>7309</v>
      </c>
      <c r="E5068" t="s">
        <v>2206</v>
      </c>
      <c r="F5068" s="150" t="s">
        <v>2206</v>
      </c>
      <c r="G5068" s="149" t="s">
        <v>400</v>
      </c>
      <c r="H5068" s="150" t="str">
        <f>IF(Proc[[#This Row],[type]]="LFF (MDG-F)",MID(Proc[[#This Row],[Obj]],13,10),"")</f>
        <v/>
      </c>
      <c r="J5068" s="150" t="b">
        <f>Proc[[#This Row],[Requested]]=Proc[[#This Row],[CurrentParent]]</f>
        <v>1</v>
      </c>
      <c r="K5068" s="150" t="str">
        <f>IF(Proc[[#This Row],[Author]]="Marcela Urrego",VLOOKUP(LEFT(Proc[[#This Row],[Requested]],1),Table3[#All],2,0),VLOOKUP(Proc[[#This Row],[Author]],Table4[],2,0))</f>
        <v>LS</v>
      </c>
      <c r="L5068" s="150" t="s">
        <v>6435</v>
      </c>
      <c r="M5068" s="175">
        <v>45999</v>
      </c>
      <c r="N5068" s="175"/>
      <c r="O5068" s="175"/>
      <c r="P5068" s="175" t="str">
        <f ca="1">IF(Proc[[#This Row],[DaysAgeing]]&gt;5,"yep","on track")</f>
        <v>yep</v>
      </c>
      <c r="Q5068" s="3">
        <f ca="1">IF(Proc[[#This Row],[DateClosed]]="",ABS(NETWORKDAYS(Proc[[#This Row],[DateOpened]],TODAY()))-1,ABS(NETWORKDAYS(Proc[[#This Row],[DateOpened]],Proc[[#This Row],[DateClosed]]))-1)</f>
        <v>9</v>
      </c>
      <c r="R5068" s="175" t="s">
        <v>489</v>
      </c>
      <c r="S5068" s="150"/>
    </row>
    <row r="5069" spans="1:19" hidden="1">
      <c r="A5069" s="149" t="s">
        <v>7304</v>
      </c>
      <c r="B5069" s="150" t="str">
        <f>IFERROR(VLOOKUP(Proc[[#This Row],[App]],Table2[],3,0),"open")</f>
        <v>ok</v>
      </c>
      <c r="C5069" s="149" t="s">
        <v>369</v>
      </c>
      <c r="D5069" t="s">
        <v>7310</v>
      </c>
      <c r="E5069" t="s">
        <v>7332</v>
      </c>
      <c r="F5069" s="150" t="s">
        <v>7332</v>
      </c>
      <c r="G5069" s="149" t="s">
        <v>400</v>
      </c>
      <c r="H5069" s="150" t="str">
        <f>IF(Proc[[#This Row],[type]]="LFF (MDG-F)",MID(Proc[[#This Row],[Obj]],13,10),"")</f>
        <v/>
      </c>
      <c r="J5069" s="150" t="b">
        <f>Proc[[#This Row],[Requested]]=Proc[[#This Row],[CurrentParent]]</f>
        <v>1</v>
      </c>
      <c r="K5069" s="150" t="str">
        <f>IF(Proc[[#This Row],[Author]]="Marcela Urrego",VLOOKUP(LEFT(Proc[[#This Row],[Requested]],1),Table3[#All],2,0),VLOOKUP(Proc[[#This Row],[Author]],Table4[],2,0))</f>
        <v>LS</v>
      </c>
      <c r="L5069" s="150" t="s">
        <v>6435</v>
      </c>
      <c r="M5069" s="175">
        <v>45999</v>
      </c>
      <c r="N5069" s="175"/>
      <c r="O5069" s="175"/>
      <c r="P5069" s="175" t="str">
        <f ca="1">IF(Proc[[#This Row],[DaysAgeing]]&gt;5,"yep","on track")</f>
        <v>yep</v>
      </c>
      <c r="Q5069" s="3">
        <f ca="1">IF(Proc[[#This Row],[DateClosed]]="",ABS(NETWORKDAYS(Proc[[#This Row],[DateOpened]],TODAY()))-1,ABS(NETWORKDAYS(Proc[[#This Row],[DateOpened]],Proc[[#This Row],[DateClosed]]))-1)</f>
        <v>9</v>
      </c>
      <c r="R5069" s="175" t="s">
        <v>489</v>
      </c>
      <c r="S5069" s="150"/>
    </row>
    <row r="5070" spans="1:19" hidden="1">
      <c r="A5070" s="149" t="s">
        <v>7304</v>
      </c>
      <c r="B5070" s="150" t="str">
        <f>IFERROR(VLOOKUP(Proc[[#This Row],[App]],Table2[],3,0),"open")</f>
        <v>ok</v>
      </c>
      <c r="C5070" s="149" t="s">
        <v>369</v>
      </c>
      <c r="D5070" t="s">
        <v>7311</v>
      </c>
      <c r="E5070" t="s">
        <v>7333</v>
      </c>
      <c r="F5070" s="150" t="s">
        <v>7333</v>
      </c>
      <c r="G5070" s="149" t="s">
        <v>400</v>
      </c>
      <c r="H5070" s="150" t="str">
        <f>IF(Proc[[#This Row],[type]]="LFF (MDG-F)",MID(Proc[[#This Row],[Obj]],13,10),"")</f>
        <v/>
      </c>
      <c r="J5070" s="150" t="b">
        <f>Proc[[#This Row],[Requested]]=Proc[[#This Row],[CurrentParent]]</f>
        <v>1</v>
      </c>
      <c r="K5070" s="150" t="str">
        <f>IF(Proc[[#This Row],[Author]]="Marcela Urrego",VLOOKUP(LEFT(Proc[[#This Row],[Requested]],1),Table3[#All],2,0),VLOOKUP(Proc[[#This Row],[Author]],Table4[],2,0))</f>
        <v>LS</v>
      </c>
      <c r="L5070" s="150" t="s">
        <v>6435</v>
      </c>
      <c r="M5070" s="175">
        <v>45999</v>
      </c>
      <c r="N5070" s="175"/>
      <c r="O5070" s="175"/>
      <c r="P5070" s="175" t="str">
        <f ca="1">IF(Proc[[#This Row],[DaysAgeing]]&gt;5,"yep","on track")</f>
        <v>yep</v>
      </c>
      <c r="Q5070" s="3">
        <f ca="1">IF(Proc[[#This Row],[DateClosed]]="",ABS(NETWORKDAYS(Proc[[#This Row],[DateOpened]],TODAY()))-1,ABS(NETWORKDAYS(Proc[[#This Row],[DateOpened]],Proc[[#This Row],[DateClosed]]))-1)</f>
        <v>9</v>
      </c>
      <c r="R5070" s="175" t="s">
        <v>489</v>
      </c>
      <c r="S5070" s="150"/>
    </row>
    <row r="5071" spans="1:19" hidden="1">
      <c r="A5071" s="149" t="s">
        <v>7304</v>
      </c>
      <c r="B5071" s="150" t="str">
        <f>IFERROR(VLOOKUP(Proc[[#This Row],[App]],Table2[],3,0),"open")</f>
        <v>ok</v>
      </c>
      <c r="C5071" s="149" t="s">
        <v>369</v>
      </c>
      <c r="D5071" t="s">
        <v>7312</v>
      </c>
      <c r="E5071" t="s">
        <v>7334</v>
      </c>
      <c r="F5071" s="150" t="s">
        <v>7334</v>
      </c>
      <c r="G5071" s="149" t="s">
        <v>400</v>
      </c>
      <c r="H5071" s="150" t="str">
        <f>IF(Proc[[#This Row],[type]]="LFF (MDG-F)",MID(Proc[[#This Row],[Obj]],13,10),"")</f>
        <v/>
      </c>
      <c r="J5071" s="150" t="b">
        <f>Proc[[#This Row],[Requested]]=Proc[[#This Row],[CurrentParent]]</f>
        <v>1</v>
      </c>
      <c r="K5071" s="150" t="str">
        <f>IF(Proc[[#This Row],[Author]]="Marcela Urrego",VLOOKUP(LEFT(Proc[[#This Row],[Requested]],1),Table3[#All],2,0),VLOOKUP(Proc[[#This Row],[Author]],Table4[],2,0))</f>
        <v>LS</v>
      </c>
      <c r="L5071" s="150" t="s">
        <v>6435</v>
      </c>
      <c r="M5071" s="175">
        <v>45999</v>
      </c>
      <c r="N5071" s="175"/>
      <c r="O5071" s="175"/>
      <c r="P5071" s="175" t="str">
        <f ca="1">IF(Proc[[#This Row],[DaysAgeing]]&gt;5,"yep","on track")</f>
        <v>yep</v>
      </c>
      <c r="Q5071" s="3">
        <f ca="1">IF(Proc[[#This Row],[DateClosed]]="",ABS(NETWORKDAYS(Proc[[#This Row],[DateOpened]],TODAY()))-1,ABS(NETWORKDAYS(Proc[[#This Row],[DateOpened]],Proc[[#This Row],[DateClosed]]))-1)</f>
        <v>9</v>
      </c>
      <c r="R5071" s="175" t="s">
        <v>489</v>
      </c>
      <c r="S5071" s="150"/>
    </row>
    <row r="5072" spans="1:19" hidden="1">
      <c r="A5072" s="149" t="s">
        <v>7304</v>
      </c>
      <c r="B5072" s="150" t="str">
        <f>IFERROR(VLOOKUP(Proc[[#This Row],[App]],Table2[],3,0),"open")</f>
        <v>ok</v>
      </c>
      <c r="C5072" s="149" t="s">
        <v>369</v>
      </c>
      <c r="D5072" t="s">
        <v>7313</v>
      </c>
      <c r="E5072" t="s">
        <v>7335</v>
      </c>
      <c r="F5072" s="150" t="s">
        <v>7335</v>
      </c>
      <c r="G5072" s="149" t="s">
        <v>400</v>
      </c>
      <c r="H5072" s="150" t="str">
        <f>IF(Proc[[#This Row],[type]]="LFF (MDG-F)",MID(Proc[[#This Row],[Obj]],13,10),"")</f>
        <v/>
      </c>
      <c r="J5072" s="150" t="b">
        <f>Proc[[#This Row],[Requested]]=Proc[[#This Row],[CurrentParent]]</f>
        <v>1</v>
      </c>
      <c r="K5072" s="150" t="str">
        <f>IF(Proc[[#This Row],[Author]]="Marcela Urrego",VLOOKUP(LEFT(Proc[[#This Row],[Requested]],1),Table3[#All],2,0),VLOOKUP(Proc[[#This Row],[Author]],Table4[],2,0))</f>
        <v>LS</v>
      </c>
      <c r="L5072" s="150" t="s">
        <v>6435</v>
      </c>
      <c r="M5072" s="175">
        <v>45999</v>
      </c>
      <c r="N5072" s="175"/>
      <c r="O5072" s="175"/>
      <c r="P5072" s="175" t="str">
        <f ca="1">IF(Proc[[#This Row],[DaysAgeing]]&gt;5,"yep","on track")</f>
        <v>yep</v>
      </c>
      <c r="Q5072" s="3">
        <f ca="1">IF(Proc[[#This Row],[DateClosed]]="",ABS(NETWORKDAYS(Proc[[#This Row],[DateOpened]],TODAY()))-1,ABS(NETWORKDAYS(Proc[[#This Row],[DateOpened]],Proc[[#This Row],[DateClosed]]))-1)</f>
        <v>9</v>
      </c>
      <c r="R5072" s="175" t="s">
        <v>489</v>
      </c>
      <c r="S5072" s="150"/>
    </row>
    <row r="5073" spans="1:19" hidden="1">
      <c r="A5073" s="149" t="s">
        <v>7304</v>
      </c>
      <c r="B5073" s="150" t="str">
        <f>IFERROR(VLOOKUP(Proc[[#This Row],[App]],Table2[],3,0),"open")</f>
        <v>ok</v>
      </c>
      <c r="C5073" s="149" t="s">
        <v>369</v>
      </c>
      <c r="D5073" t="s">
        <v>7314</v>
      </c>
      <c r="E5073" t="s">
        <v>7336</v>
      </c>
      <c r="F5073" s="150" t="s">
        <v>7336</v>
      </c>
      <c r="G5073" s="149" t="s">
        <v>400</v>
      </c>
      <c r="H5073" s="150" t="str">
        <f>IF(Proc[[#This Row],[type]]="LFF (MDG-F)",MID(Proc[[#This Row],[Obj]],13,10),"")</f>
        <v/>
      </c>
      <c r="J5073" s="150" t="b">
        <f>Proc[[#This Row],[Requested]]=Proc[[#This Row],[CurrentParent]]</f>
        <v>1</v>
      </c>
      <c r="K5073" s="150" t="str">
        <f>IF(Proc[[#This Row],[Author]]="Marcela Urrego",VLOOKUP(LEFT(Proc[[#This Row],[Requested]],1),Table3[#All],2,0),VLOOKUP(Proc[[#This Row],[Author]],Table4[],2,0))</f>
        <v>LS</v>
      </c>
      <c r="L5073" s="150" t="s">
        <v>6435</v>
      </c>
      <c r="M5073" s="175">
        <v>45999</v>
      </c>
      <c r="N5073" s="175"/>
      <c r="O5073" s="175"/>
      <c r="P5073" s="175" t="str">
        <f ca="1">IF(Proc[[#This Row],[DaysAgeing]]&gt;5,"yep","on track")</f>
        <v>yep</v>
      </c>
      <c r="Q5073" s="3">
        <f ca="1">IF(Proc[[#This Row],[DateClosed]]="",ABS(NETWORKDAYS(Proc[[#This Row],[DateOpened]],TODAY()))-1,ABS(NETWORKDAYS(Proc[[#This Row],[DateOpened]],Proc[[#This Row],[DateClosed]]))-1)</f>
        <v>9</v>
      </c>
      <c r="R5073" s="175" t="s">
        <v>489</v>
      </c>
      <c r="S5073" s="150"/>
    </row>
    <row r="5074" spans="1:19" hidden="1">
      <c r="A5074" s="149" t="s">
        <v>7304</v>
      </c>
      <c r="B5074" s="150" t="str">
        <f>IFERROR(VLOOKUP(Proc[[#This Row],[App]],Table2[],3,0),"open")</f>
        <v>ok</v>
      </c>
      <c r="C5074" s="149" t="s">
        <v>369</v>
      </c>
      <c r="D5074" t="s">
        <v>7315</v>
      </c>
      <c r="E5074" t="s">
        <v>7336</v>
      </c>
      <c r="F5074" s="150" t="s">
        <v>7336</v>
      </c>
      <c r="G5074" s="149" t="s">
        <v>400</v>
      </c>
      <c r="H5074" s="150" t="str">
        <f>IF(Proc[[#This Row],[type]]="LFF (MDG-F)",MID(Proc[[#This Row],[Obj]],13,10),"")</f>
        <v/>
      </c>
      <c r="J5074" s="150" t="b">
        <f>Proc[[#This Row],[Requested]]=Proc[[#This Row],[CurrentParent]]</f>
        <v>1</v>
      </c>
      <c r="K5074" s="150" t="str">
        <f>IF(Proc[[#This Row],[Author]]="Marcela Urrego",VLOOKUP(LEFT(Proc[[#This Row],[Requested]],1),Table3[#All],2,0),VLOOKUP(Proc[[#This Row],[Author]],Table4[],2,0))</f>
        <v>LS</v>
      </c>
      <c r="L5074" s="150" t="s">
        <v>6435</v>
      </c>
      <c r="M5074" s="175">
        <v>45999</v>
      </c>
      <c r="N5074" s="175"/>
      <c r="O5074" s="175"/>
      <c r="P5074" s="175" t="str">
        <f ca="1">IF(Proc[[#This Row],[DaysAgeing]]&gt;5,"yep","on track")</f>
        <v>yep</v>
      </c>
      <c r="Q5074" s="3">
        <f ca="1">IF(Proc[[#This Row],[DateClosed]]="",ABS(NETWORKDAYS(Proc[[#This Row],[DateOpened]],TODAY()))-1,ABS(NETWORKDAYS(Proc[[#This Row],[DateOpened]],Proc[[#This Row],[DateClosed]]))-1)</f>
        <v>9</v>
      </c>
      <c r="R5074" s="175" t="s">
        <v>489</v>
      </c>
      <c r="S5074" s="150"/>
    </row>
    <row r="5075" spans="1:19" hidden="1">
      <c r="A5075" s="149" t="s">
        <v>7304</v>
      </c>
      <c r="B5075" s="150" t="str">
        <f>IFERROR(VLOOKUP(Proc[[#This Row],[App]],Table2[],3,0),"open")</f>
        <v>ok</v>
      </c>
      <c r="C5075" s="149" t="s">
        <v>369</v>
      </c>
      <c r="D5075" t="s">
        <v>7316</v>
      </c>
      <c r="E5075" t="s">
        <v>7337</v>
      </c>
      <c r="F5075" s="150" t="s">
        <v>7337</v>
      </c>
      <c r="G5075" s="149" t="s">
        <v>400</v>
      </c>
      <c r="H5075" s="150" t="str">
        <f>IF(Proc[[#This Row],[type]]="LFF (MDG-F)",MID(Proc[[#This Row],[Obj]],13,10),"")</f>
        <v/>
      </c>
      <c r="J5075" s="150" t="b">
        <f>Proc[[#This Row],[Requested]]=Proc[[#This Row],[CurrentParent]]</f>
        <v>1</v>
      </c>
      <c r="K5075" s="150" t="str">
        <f>IF(Proc[[#This Row],[Author]]="Marcela Urrego",VLOOKUP(LEFT(Proc[[#This Row],[Requested]],1),Table3[#All],2,0),VLOOKUP(Proc[[#This Row],[Author]],Table4[],2,0))</f>
        <v>LS</v>
      </c>
      <c r="L5075" s="150" t="s">
        <v>6435</v>
      </c>
      <c r="M5075" s="175">
        <v>45999</v>
      </c>
      <c r="N5075" s="175"/>
      <c r="O5075" s="175"/>
      <c r="P5075" s="175" t="str">
        <f ca="1">IF(Proc[[#This Row],[DaysAgeing]]&gt;5,"yep","on track")</f>
        <v>yep</v>
      </c>
      <c r="Q5075" s="3">
        <f ca="1">IF(Proc[[#This Row],[DateClosed]]="",ABS(NETWORKDAYS(Proc[[#This Row],[DateOpened]],TODAY()))-1,ABS(NETWORKDAYS(Proc[[#This Row],[DateOpened]],Proc[[#This Row],[DateClosed]]))-1)</f>
        <v>9</v>
      </c>
      <c r="R5075" s="175" t="s">
        <v>489</v>
      </c>
      <c r="S5075" s="150"/>
    </row>
    <row r="5076" spans="1:19" hidden="1">
      <c r="A5076" s="149" t="s">
        <v>7304</v>
      </c>
      <c r="B5076" s="150" t="str">
        <f>IFERROR(VLOOKUP(Proc[[#This Row],[App]],Table2[],3,0),"open")</f>
        <v>ok</v>
      </c>
      <c r="C5076" s="149" t="s">
        <v>369</v>
      </c>
      <c r="D5076" t="s">
        <v>7317</v>
      </c>
      <c r="E5076" t="s">
        <v>7337</v>
      </c>
      <c r="F5076" s="150" t="s">
        <v>7337</v>
      </c>
      <c r="G5076" s="149" t="s">
        <v>400</v>
      </c>
      <c r="H5076" s="150" t="str">
        <f>IF(Proc[[#This Row],[type]]="LFF (MDG-F)",MID(Proc[[#This Row],[Obj]],13,10),"")</f>
        <v/>
      </c>
      <c r="J5076" s="150" t="b">
        <f>Proc[[#This Row],[Requested]]=Proc[[#This Row],[CurrentParent]]</f>
        <v>1</v>
      </c>
      <c r="K5076" s="150" t="str">
        <f>IF(Proc[[#This Row],[Author]]="Marcela Urrego",VLOOKUP(LEFT(Proc[[#This Row],[Requested]],1),Table3[#All],2,0),VLOOKUP(Proc[[#This Row],[Author]],Table4[],2,0))</f>
        <v>LS</v>
      </c>
      <c r="L5076" s="150" t="s">
        <v>6435</v>
      </c>
      <c r="M5076" s="175">
        <v>45999</v>
      </c>
      <c r="N5076" s="175"/>
      <c r="O5076" s="175"/>
      <c r="P5076" s="175" t="str">
        <f ca="1">IF(Proc[[#This Row],[DaysAgeing]]&gt;5,"yep","on track")</f>
        <v>yep</v>
      </c>
      <c r="Q5076" s="3">
        <f ca="1">IF(Proc[[#This Row],[DateClosed]]="",ABS(NETWORKDAYS(Proc[[#This Row],[DateOpened]],TODAY()))-1,ABS(NETWORKDAYS(Proc[[#This Row],[DateOpened]],Proc[[#This Row],[DateClosed]]))-1)</f>
        <v>9</v>
      </c>
      <c r="R5076" s="175" t="s">
        <v>489</v>
      </c>
      <c r="S5076" s="150"/>
    </row>
    <row r="5077" spans="1:19" hidden="1">
      <c r="A5077" s="149" t="s">
        <v>7304</v>
      </c>
      <c r="B5077" s="150" t="str">
        <f>IFERROR(VLOOKUP(Proc[[#This Row],[App]],Table2[],3,0),"open")</f>
        <v>ok</v>
      </c>
      <c r="C5077" s="149" t="s">
        <v>369</v>
      </c>
      <c r="D5077" t="s">
        <v>7318</v>
      </c>
      <c r="E5077" t="s">
        <v>6956</v>
      </c>
      <c r="F5077" s="150" t="s">
        <v>6956</v>
      </c>
      <c r="G5077" s="149" t="s">
        <v>400</v>
      </c>
      <c r="H5077" s="150" t="str">
        <f>IF(Proc[[#This Row],[type]]="LFF (MDG-F)",MID(Proc[[#This Row],[Obj]],13,10),"")</f>
        <v/>
      </c>
      <c r="J5077" s="150" t="b">
        <f>Proc[[#This Row],[Requested]]=Proc[[#This Row],[CurrentParent]]</f>
        <v>1</v>
      </c>
      <c r="K5077" s="150" t="str">
        <f>IF(Proc[[#This Row],[Author]]="Marcela Urrego",VLOOKUP(LEFT(Proc[[#This Row],[Requested]],1),Table3[#All],2,0),VLOOKUP(Proc[[#This Row],[Author]],Table4[],2,0))</f>
        <v>LS</v>
      </c>
      <c r="L5077" s="150" t="s">
        <v>6435</v>
      </c>
      <c r="M5077" s="175">
        <v>45999</v>
      </c>
      <c r="N5077" s="175"/>
      <c r="O5077" s="175"/>
      <c r="P5077" s="175" t="str">
        <f ca="1">IF(Proc[[#This Row],[DaysAgeing]]&gt;5,"yep","on track")</f>
        <v>yep</v>
      </c>
      <c r="Q5077" s="3">
        <f ca="1">IF(Proc[[#This Row],[DateClosed]]="",ABS(NETWORKDAYS(Proc[[#This Row],[DateOpened]],TODAY()))-1,ABS(NETWORKDAYS(Proc[[#This Row],[DateOpened]],Proc[[#This Row],[DateClosed]]))-1)</f>
        <v>9</v>
      </c>
      <c r="R5077" s="175" t="s">
        <v>489</v>
      </c>
      <c r="S5077" s="150"/>
    </row>
    <row r="5078" spans="1:19" hidden="1">
      <c r="A5078" s="149" t="s">
        <v>7304</v>
      </c>
      <c r="B5078" s="150" t="str">
        <f>IFERROR(VLOOKUP(Proc[[#This Row],[App]],Table2[],3,0),"open")</f>
        <v>ok</v>
      </c>
      <c r="C5078" s="149" t="s">
        <v>369</v>
      </c>
      <c r="D5078" t="s">
        <v>7319</v>
      </c>
      <c r="E5078" t="s">
        <v>7338</v>
      </c>
      <c r="F5078" s="150" t="s">
        <v>7338</v>
      </c>
      <c r="G5078" s="149" t="s">
        <v>400</v>
      </c>
      <c r="H5078" s="150" t="str">
        <f>IF(Proc[[#This Row],[type]]="LFF (MDG-F)",MID(Proc[[#This Row],[Obj]],13,10),"")</f>
        <v/>
      </c>
      <c r="J5078" s="150" t="b">
        <f>Proc[[#This Row],[Requested]]=Proc[[#This Row],[CurrentParent]]</f>
        <v>1</v>
      </c>
      <c r="K5078" s="150" t="str">
        <f>IF(Proc[[#This Row],[Author]]="Marcela Urrego",VLOOKUP(LEFT(Proc[[#This Row],[Requested]],1),Table3[#All],2,0),VLOOKUP(Proc[[#This Row],[Author]],Table4[],2,0))</f>
        <v>LS</v>
      </c>
      <c r="L5078" s="150" t="s">
        <v>6435</v>
      </c>
      <c r="M5078" s="175">
        <v>45999</v>
      </c>
      <c r="N5078" s="175"/>
      <c r="O5078" s="175"/>
      <c r="P5078" s="175" t="str">
        <f ca="1">IF(Proc[[#This Row],[DaysAgeing]]&gt;5,"yep","on track")</f>
        <v>yep</v>
      </c>
      <c r="Q5078" s="3">
        <f ca="1">IF(Proc[[#This Row],[DateClosed]]="",ABS(NETWORKDAYS(Proc[[#This Row],[DateOpened]],TODAY()))-1,ABS(NETWORKDAYS(Proc[[#This Row],[DateOpened]],Proc[[#This Row],[DateClosed]]))-1)</f>
        <v>9</v>
      </c>
      <c r="R5078" s="175" t="s">
        <v>489</v>
      </c>
      <c r="S5078" s="150"/>
    </row>
    <row r="5079" spans="1:19" hidden="1">
      <c r="A5079" s="149" t="s">
        <v>7304</v>
      </c>
      <c r="B5079" s="150" t="str">
        <f>IFERROR(VLOOKUP(Proc[[#This Row],[App]],Table2[],3,0),"open")</f>
        <v>ok</v>
      </c>
      <c r="C5079" s="149" t="s">
        <v>369</v>
      </c>
      <c r="D5079" t="s">
        <v>7320</v>
      </c>
      <c r="E5079" t="s">
        <v>7338</v>
      </c>
      <c r="F5079" s="150" t="s">
        <v>7338</v>
      </c>
      <c r="G5079" s="149" t="s">
        <v>400</v>
      </c>
      <c r="H5079" s="150" t="str">
        <f>IF(Proc[[#This Row],[type]]="LFF (MDG-F)",MID(Proc[[#This Row],[Obj]],13,10),"")</f>
        <v/>
      </c>
      <c r="J5079" s="150" t="b">
        <f>Proc[[#This Row],[Requested]]=Proc[[#This Row],[CurrentParent]]</f>
        <v>1</v>
      </c>
      <c r="K5079" s="150" t="str">
        <f>IF(Proc[[#This Row],[Author]]="Marcela Urrego",VLOOKUP(LEFT(Proc[[#This Row],[Requested]],1),Table3[#All],2,0),VLOOKUP(Proc[[#This Row],[Author]],Table4[],2,0))</f>
        <v>LS</v>
      </c>
      <c r="L5079" s="150" t="s">
        <v>6435</v>
      </c>
      <c r="M5079" s="175">
        <v>45999</v>
      </c>
      <c r="N5079" s="175"/>
      <c r="O5079" s="175"/>
      <c r="P5079" s="175" t="str">
        <f ca="1">IF(Proc[[#This Row],[DaysAgeing]]&gt;5,"yep","on track")</f>
        <v>yep</v>
      </c>
      <c r="Q5079" s="3">
        <f ca="1">IF(Proc[[#This Row],[DateClosed]]="",ABS(NETWORKDAYS(Proc[[#This Row],[DateOpened]],TODAY()))-1,ABS(NETWORKDAYS(Proc[[#This Row],[DateOpened]],Proc[[#This Row],[DateClosed]]))-1)</f>
        <v>9</v>
      </c>
      <c r="R5079" s="175" t="s">
        <v>489</v>
      </c>
      <c r="S5079" s="150"/>
    </row>
    <row r="5080" spans="1:19" hidden="1">
      <c r="A5080" s="149" t="s">
        <v>7304</v>
      </c>
      <c r="B5080" s="150" t="str">
        <f>IFERROR(VLOOKUP(Proc[[#This Row],[App]],Table2[],3,0),"open")</f>
        <v>ok</v>
      </c>
      <c r="C5080" s="149" t="s">
        <v>369</v>
      </c>
      <c r="D5080" t="s">
        <v>7321</v>
      </c>
      <c r="E5080" t="s">
        <v>7338</v>
      </c>
      <c r="F5080" s="150" t="s">
        <v>7338</v>
      </c>
      <c r="G5080" s="149" t="s">
        <v>400</v>
      </c>
      <c r="H5080" s="150" t="str">
        <f>IF(Proc[[#This Row],[type]]="LFF (MDG-F)",MID(Proc[[#This Row],[Obj]],13,10),"")</f>
        <v/>
      </c>
      <c r="J5080" s="150" t="b">
        <f>Proc[[#This Row],[Requested]]=Proc[[#This Row],[CurrentParent]]</f>
        <v>1</v>
      </c>
      <c r="K5080" s="150" t="str">
        <f>IF(Proc[[#This Row],[Author]]="Marcela Urrego",VLOOKUP(LEFT(Proc[[#This Row],[Requested]],1),Table3[#All],2,0),VLOOKUP(Proc[[#This Row],[Author]],Table4[],2,0))</f>
        <v>LS</v>
      </c>
      <c r="L5080" s="150" t="s">
        <v>6435</v>
      </c>
      <c r="M5080" s="175">
        <v>45999</v>
      </c>
      <c r="N5080" s="175"/>
      <c r="O5080" s="175"/>
      <c r="P5080" s="175" t="str">
        <f ca="1">IF(Proc[[#This Row],[DaysAgeing]]&gt;5,"yep","on track")</f>
        <v>yep</v>
      </c>
      <c r="Q5080" s="3">
        <f ca="1">IF(Proc[[#This Row],[DateClosed]]="",ABS(NETWORKDAYS(Proc[[#This Row],[DateOpened]],TODAY()))-1,ABS(NETWORKDAYS(Proc[[#This Row],[DateOpened]],Proc[[#This Row],[DateClosed]]))-1)</f>
        <v>9</v>
      </c>
      <c r="R5080" s="175" t="s">
        <v>489</v>
      </c>
      <c r="S5080" s="150"/>
    </row>
    <row r="5081" spans="1:19" hidden="1">
      <c r="A5081" s="149" t="s">
        <v>7304</v>
      </c>
      <c r="B5081" s="150" t="str">
        <f>IFERROR(VLOOKUP(Proc[[#This Row],[App]],Table2[],3,0),"open")</f>
        <v>ok</v>
      </c>
      <c r="C5081" s="149" t="s">
        <v>369</v>
      </c>
      <c r="D5081" t="s">
        <v>7322</v>
      </c>
      <c r="E5081" t="s">
        <v>7338</v>
      </c>
      <c r="F5081" s="150" t="s">
        <v>7338</v>
      </c>
      <c r="G5081" s="149" t="s">
        <v>400</v>
      </c>
      <c r="H5081" s="150" t="str">
        <f>IF(Proc[[#This Row],[type]]="LFF (MDG-F)",MID(Proc[[#This Row],[Obj]],13,10),"")</f>
        <v/>
      </c>
      <c r="J5081" s="150" t="b">
        <f>Proc[[#This Row],[Requested]]=Proc[[#This Row],[CurrentParent]]</f>
        <v>1</v>
      </c>
      <c r="K5081" s="150" t="str">
        <f>IF(Proc[[#This Row],[Author]]="Marcela Urrego",VLOOKUP(LEFT(Proc[[#This Row],[Requested]],1),Table3[#All],2,0),VLOOKUP(Proc[[#This Row],[Author]],Table4[],2,0))</f>
        <v>LS</v>
      </c>
      <c r="L5081" s="150" t="s">
        <v>6435</v>
      </c>
      <c r="M5081" s="175">
        <v>45999</v>
      </c>
      <c r="N5081" s="175"/>
      <c r="O5081" s="175"/>
      <c r="P5081" s="175" t="str">
        <f ca="1">IF(Proc[[#This Row],[DaysAgeing]]&gt;5,"yep","on track")</f>
        <v>yep</v>
      </c>
      <c r="Q5081" s="3">
        <f ca="1">IF(Proc[[#This Row],[DateClosed]]="",ABS(NETWORKDAYS(Proc[[#This Row],[DateOpened]],TODAY()))-1,ABS(NETWORKDAYS(Proc[[#This Row],[DateOpened]],Proc[[#This Row],[DateClosed]]))-1)</f>
        <v>9</v>
      </c>
      <c r="R5081" s="175" t="s">
        <v>489</v>
      </c>
      <c r="S5081" s="150"/>
    </row>
    <row r="5082" spans="1:19" hidden="1">
      <c r="A5082" s="149" t="s">
        <v>7304</v>
      </c>
      <c r="B5082" s="150" t="str">
        <f>IFERROR(VLOOKUP(Proc[[#This Row],[App]],Table2[],3,0),"open")</f>
        <v>ok</v>
      </c>
      <c r="C5082" s="149" t="s">
        <v>369</v>
      </c>
      <c r="D5082" t="s">
        <v>7323</v>
      </c>
      <c r="E5082" t="s">
        <v>7338</v>
      </c>
      <c r="F5082" s="150" t="s">
        <v>7338</v>
      </c>
      <c r="G5082" s="149" t="s">
        <v>400</v>
      </c>
      <c r="H5082" s="150" t="str">
        <f>IF(Proc[[#This Row],[type]]="LFF (MDG-F)",MID(Proc[[#This Row],[Obj]],13,10),"")</f>
        <v/>
      </c>
      <c r="J5082" s="150" t="b">
        <f>Proc[[#This Row],[Requested]]=Proc[[#This Row],[CurrentParent]]</f>
        <v>1</v>
      </c>
      <c r="K5082" s="150" t="str">
        <f>IF(Proc[[#This Row],[Author]]="Marcela Urrego",VLOOKUP(LEFT(Proc[[#This Row],[Requested]],1),Table3[#All],2,0),VLOOKUP(Proc[[#This Row],[Author]],Table4[],2,0))</f>
        <v>LS</v>
      </c>
      <c r="L5082" s="150" t="s">
        <v>6435</v>
      </c>
      <c r="M5082" s="175">
        <v>45999</v>
      </c>
      <c r="N5082" s="175"/>
      <c r="O5082" s="175"/>
      <c r="P5082" s="175" t="str">
        <f ca="1">IF(Proc[[#This Row],[DaysAgeing]]&gt;5,"yep","on track")</f>
        <v>yep</v>
      </c>
      <c r="Q5082" s="3">
        <f ca="1">IF(Proc[[#This Row],[DateClosed]]="",ABS(NETWORKDAYS(Proc[[#This Row],[DateOpened]],TODAY()))-1,ABS(NETWORKDAYS(Proc[[#This Row],[DateOpened]],Proc[[#This Row],[DateClosed]]))-1)</f>
        <v>9</v>
      </c>
      <c r="R5082" s="175" t="s">
        <v>489</v>
      </c>
      <c r="S5082" s="150"/>
    </row>
    <row r="5083" spans="1:19" hidden="1">
      <c r="A5083" s="149" t="s">
        <v>7304</v>
      </c>
      <c r="B5083" s="150" t="str">
        <f>IFERROR(VLOOKUP(Proc[[#This Row],[App]],Table2[],3,0),"open")</f>
        <v>ok</v>
      </c>
      <c r="C5083" s="149" t="s">
        <v>369</v>
      </c>
      <c r="D5083" t="s">
        <v>7324</v>
      </c>
      <c r="E5083" t="s">
        <v>7338</v>
      </c>
      <c r="F5083" s="150" t="s">
        <v>7338</v>
      </c>
      <c r="G5083" s="149" t="s">
        <v>400</v>
      </c>
      <c r="H5083" s="150" t="str">
        <f>IF(Proc[[#This Row],[type]]="LFF (MDG-F)",MID(Proc[[#This Row],[Obj]],13,10),"")</f>
        <v/>
      </c>
      <c r="J5083" s="150" t="b">
        <f>Proc[[#This Row],[Requested]]=Proc[[#This Row],[CurrentParent]]</f>
        <v>1</v>
      </c>
      <c r="K5083" s="150" t="str">
        <f>IF(Proc[[#This Row],[Author]]="Marcela Urrego",VLOOKUP(LEFT(Proc[[#This Row],[Requested]],1),Table3[#All],2,0),VLOOKUP(Proc[[#This Row],[Author]],Table4[],2,0))</f>
        <v>LS</v>
      </c>
      <c r="L5083" s="150" t="s">
        <v>6435</v>
      </c>
      <c r="M5083" s="175">
        <v>45999</v>
      </c>
      <c r="N5083" s="175"/>
      <c r="O5083" s="175"/>
      <c r="P5083" s="175" t="str">
        <f ca="1">IF(Proc[[#This Row],[DaysAgeing]]&gt;5,"yep","on track")</f>
        <v>yep</v>
      </c>
      <c r="Q5083" s="3">
        <f ca="1">IF(Proc[[#This Row],[DateClosed]]="",ABS(NETWORKDAYS(Proc[[#This Row],[DateOpened]],TODAY()))-1,ABS(NETWORKDAYS(Proc[[#This Row],[DateOpened]],Proc[[#This Row],[DateClosed]]))-1)</f>
        <v>9</v>
      </c>
      <c r="R5083" s="175" t="s">
        <v>489</v>
      </c>
      <c r="S5083" s="150"/>
    </row>
    <row r="5084" spans="1:19" hidden="1">
      <c r="A5084" s="149" t="s">
        <v>7304</v>
      </c>
      <c r="B5084" s="150" t="str">
        <f>IFERROR(VLOOKUP(Proc[[#This Row],[App]],Table2[],3,0),"open")</f>
        <v>ok</v>
      </c>
      <c r="C5084" s="149" t="s">
        <v>369</v>
      </c>
      <c r="D5084" t="s">
        <v>7325</v>
      </c>
      <c r="E5084" t="s">
        <v>7338</v>
      </c>
      <c r="F5084" s="150" t="s">
        <v>7338</v>
      </c>
      <c r="G5084" s="149" t="s">
        <v>400</v>
      </c>
      <c r="H5084" s="150" t="str">
        <f>IF(Proc[[#This Row],[type]]="LFF (MDG-F)",MID(Proc[[#This Row],[Obj]],13,10),"")</f>
        <v/>
      </c>
      <c r="J5084" s="150" t="b">
        <f>Proc[[#This Row],[Requested]]=Proc[[#This Row],[CurrentParent]]</f>
        <v>1</v>
      </c>
      <c r="K5084" s="150" t="str">
        <f>IF(Proc[[#This Row],[Author]]="Marcela Urrego",VLOOKUP(LEFT(Proc[[#This Row],[Requested]],1),Table3[#All],2,0),VLOOKUP(Proc[[#This Row],[Author]],Table4[],2,0))</f>
        <v>LS</v>
      </c>
      <c r="L5084" s="150" t="s">
        <v>6435</v>
      </c>
      <c r="M5084" s="175">
        <v>45999</v>
      </c>
      <c r="N5084" s="175"/>
      <c r="O5084" s="175"/>
      <c r="P5084" s="175" t="str">
        <f ca="1">IF(Proc[[#This Row],[DaysAgeing]]&gt;5,"yep","on track")</f>
        <v>yep</v>
      </c>
      <c r="Q5084" s="3">
        <f ca="1">IF(Proc[[#This Row],[DateClosed]]="",ABS(NETWORKDAYS(Proc[[#This Row],[DateOpened]],TODAY()))-1,ABS(NETWORKDAYS(Proc[[#This Row],[DateOpened]],Proc[[#This Row],[DateClosed]]))-1)</f>
        <v>9</v>
      </c>
      <c r="R5084" s="175" t="s">
        <v>489</v>
      </c>
      <c r="S5084" s="150"/>
    </row>
    <row r="5085" spans="1:19" hidden="1">
      <c r="A5085" s="149" t="s">
        <v>7304</v>
      </c>
      <c r="B5085" s="150" t="str">
        <f>IFERROR(VLOOKUP(Proc[[#This Row],[App]],Table2[],3,0),"open")</f>
        <v>ok</v>
      </c>
      <c r="C5085" s="149" t="s">
        <v>369</v>
      </c>
      <c r="D5085" t="s">
        <v>7326</v>
      </c>
      <c r="E5085" t="s">
        <v>7338</v>
      </c>
      <c r="F5085" s="150" t="s">
        <v>7338</v>
      </c>
      <c r="G5085" s="149" t="s">
        <v>400</v>
      </c>
      <c r="H5085" s="150" t="str">
        <f>IF(Proc[[#This Row],[type]]="LFF (MDG-F)",MID(Proc[[#This Row],[Obj]],13,10),"")</f>
        <v/>
      </c>
      <c r="J5085" s="150" t="b">
        <f>Proc[[#This Row],[Requested]]=Proc[[#This Row],[CurrentParent]]</f>
        <v>1</v>
      </c>
      <c r="K5085" s="150" t="str">
        <f>IF(Proc[[#This Row],[Author]]="Marcela Urrego",VLOOKUP(LEFT(Proc[[#This Row],[Requested]],1),Table3[#All],2,0),VLOOKUP(Proc[[#This Row],[Author]],Table4[],2,0))</f>
        <v>LS</v>
      </c>
      <c r="L5085" s="150" t="s">
        <v>6435</v>
      </c>
      <c r="M5085" s="175">
        <v>45999</v>
      </c>
      <c r="N5085" s="175"/>
      <c r="O5085" s="175"/>
      <c r="P5085" s="175" t="str">
        <f ca="1">IF(Proc[[#This Row],[DaysAgeing]]&gt;5,"yep","on track")</f>
        <v>yep</v>
      </c>
      <c r="Q5085" s="3">
        <f ca="1">IF(Proc[[#This Row],[DateClosed]]="",ABS(NETWORKDAYS(Proc[[#This Row],[DateOpened]],TODAY()))-1,ABS(NETWORKDAYS(Proc[[#This Row],[DateOpened]],Proc[[#This Row],[DateClosed]]))-1)</f>
        <v>9</v>
      </c>
      <c r="R5085" s="175" t="s">
        <v>489</v>
      </c>
      <c r="S5085" s="150"/>
    </row>
    <row r="5086" spans="1:19" hidden="1">
      <c r="A5086" s="149" t="s">
        <v>7304</v>
      </c>
      <c r="B5086" s="150" t="str">
        <f>IFERROR(VLOOKUP(Proc[[#This Row],[App]],Table2[],3,0),"open")</f>
        <v>ok</v>
      </c>
      <c r="C5086" s="149" t="s">
        <v>369</v>
      </c>
      <c r="D5086" t="s">
        <v>7327</v>
      </c>
      <c r="E5086" t="s">
        <v>7339</v>
      </c>
      <c r="F5086" s="150" t="s">
        <v>7339</v>
      </c>
      <c r="G5086" s="149" t="s">
        <v>400</v>
      </c>
      <c r="H5086" s="150" t="str">
        <f>IF(Proc[[#This Row],[type]]="LFF (MDG-F)",MID(Proc[[#This Row],[Obj]],13,10),"")</f>
        <v/>
      </c>
      <c r="J5086" s="150" t="b">
        <f>Proc[[#This Row],[Requested]]=Proc[[#This Row],[CurrentParent]]</f>
        <v>1</v>
      </c>
      <c r="K5086" s="150" t="str">
        <f>IF(Proc[[#This Row],[Author]]="Marcela Urrego",VLOOKUP(LEFT(Proc[[#This Row],[Requested]],1),Table3[#All],2,0),VLOOKUP(Proc[[#This Row],[Author]],Table4[],2,0))</f>
        <v>LS</v>
      </c>
      <c r="L5086" s="150" t="s">
        <v>6435</v>
      </c>
      <c r="M5086" s="175">
        <v>45999</v>
      </c>
      <c r="N5086" s="175"/>
      <c r="O5086" s="175"/>
      <c r="P5086" s="175" t="str">
        <f ca="1">IF(Proc[[#This Row],[DaysAgeing]]&gt;5,"yep","on track")</f>
        <v>yep</v>
      </c>
      <c r="Q5086" s="3">
        <f ca="1">IF(Proc[[#This Row],[DateClosed]]="",ABS(NETWORKDAYS(Proc[[#This Row],[DateOpened]],TODAY()))-1,ABS(NETWORKDAYS(Proc[[#This Row],[DateOpened]],Proc[[#This Row],[DateClosed]]))-1)</f>
        <v>9</v>
      </c>
      <c r="R5086" s="175" t="s">
        <v>489</v>
      </c>
      <c r="S5086" s="150"/>
    </row>
    <row r="5087" spans="1:19" hidden="1">
      <c r="A5087" s="149" t="s">
        <v>7304</v>
      </c>
      <c r="B5087" s="150" t="str">
        <f>IFERROR(VLOOKUP(Proc[[#This Row],[App]],Table2[],3,0),"open")</f>
        <v>ok</v>
      </c>
      <c r="C5087" s="149" t="s">
        <v>369</v>
      </c>
      <c r="D5087" t="s">
        <v>7328</v>
      </c>
      <c r="E5087" t="s">
        <v>7340</v>
      </c>
      <c r="F5087" s="150" t="s">
        <v>7340</v>
      </c>
      <c r="G5087" s="149" t="s">
        <v>400</v>
      </c>
      <c r="H5087" s="150" t="str">
        <f>IF(Proc[[#This Row],[type]]="LFF (MDG-F)",MID(Proc[[#This Row],[Obj]],13,10),"")</f>
        <v/>
      </c>
      <c r="J5087" s="150" t="b">
        <f>Proc[[#This Row],[Requested]]=Proc[[#This Row],[CurrentParent]]</f>
        <v>1</v>
      </c>
      <c r="K5087" s="150" t="str">
        <f>IF(Proc[[#This Row],[Author]]="Marcela Urrego",VLOOKUP(LEFT(Proc[[#This Row],[Requested]],1),Table3[#All],2,0),VLOOKUP(Proc[[#This Row],[Author]],Table4[],2,0))</f>
        <v>LS</v>
      </c>
      <c r="L5087" s="150" t="s">
        <v>6435</v>
      </c>
      <c r="M5087" s="175">
        <v>45999</v>
      </c>
      <c r="N5087" s="175"/>
      <c r="O5087" s="175"/>
      <c r="P5087" s="175" t="str">
        <f ca="1">IF(Proc[[#This Row],[DaysAgeing]]&gt;5,"yep","on track")</f>
        <v>yep</v>
      </c>
      <c r="Q5087" s="3">
        <f ca="1">IF(Proc[[#This Row],[DateClosed]]="",ABS(NETWORKDAYS(Proc[[#This Row],[DateOpened]],TODAY()))-1,ABS(NETWORKDAYS(Proc[[#This Row],[DateOpened]],Proc[[#This Row],[DateClosed]]))-1)</f>
        <v>9</v>
      </c>
      <c r="R5087" s="175" t="s">
        <v>489</v>
      </c>
      <c r="S5087" s="150"/>
    </row>
    <row r="5088" spans="1:19" hidden="1">
      <c r="A5088" s="149" t="s">
        <v>7304</v>
      </c>
      <c r="B5088" s="150" t="str">
        <f>IFERROR(VLOOKUP(Proc[[#This Row],[App]],Table2[],3,0),"open")</f>
        <v>ok</v>
      </c>
      <c r="C5088" s="149" t="s">
        <v>369</v>
      </c>
      <c r="D5088" t="s">
        <v>7329</v>
      </c>
      <c r="E5088" t="s">
        <v>7341</v>
      </c>
      <c r="F5088" s="150" t="s">
        <v>7341</v>
      </c>
      <c r="G5088" s="149" t="s">
        <v>400</v>
      </c>
      <c r="H5088" s="150" t="str">
        <f>IF(Proc[[#This Row],[type]]="LFF (MDG-F)",MID(Proc[[#This Row],[Obj]],13,10),"")</f>
        <v/>
      </c>
      <c r="J5088" s="150" t="b">
        <f>Proc[[#This Row],[Requested]]=Proc[[#This Row],[CurrentParent]]</f>
        <v>1</v>
      </c>
      <c r="K5088" s="150" t="str">
        <f>IF(Proc[[#This Row],[Author]]="Marcela Urrego",VLOOKUP(LEFT(Proc[[#This Row],[Requested]],1),Table3[#All],2,0),VLOOKUP(Proc[[#This Row],[Author]],Table4[],2,0))</f>
        <v>LS</v>
      </c>
      <c r="L5088" s="150" t="s">
        <v>6435</v>
      </c>
      <c r="M5088" s="175">
        <v>45999</v>
      </c>
      <c r="N5088" s="175"/>
      <c r="O5088" s="175"/>
      <c r="P5088" s="175" t="str">
        <f ca="1">IF(Proc[[#This Row],[DaysAgeing]]&gt;5,"yep","on track")</f>
        <v>yep</v>
      </c>
      <c r="Q5088" s="3">
        <f ca="1">IF(Proc[[#This Row],[DateClosed]]="",ABS(NETWORKDAYS(Proc[[#This Row],[DateOpened]],TODAY()))-1,ABS(NETWORKDAYS(Proc[[#This Row],[DateOpened]],Proc[[#This Row],[DateClosed]]))-1)</f>
        <v>9</v>
      </c>
      <c r="R5088" s="175" t="s">
        <v>489</v>
      </c>
      <c r="S5088" s="150"/>
    </row>
    <row r="5089" spans="1:19" hidden="1">
      <c r="A5089" s="149" t="s">
        <v>7304</v>
      </c>
      <c r="B5089" s="150" t="str">
        <f>IFERROR(VLOOKUP(Proc[[#This Row],[App]],Table2[],3,0),"open")</f>
        <v>ok</v>
      </c>
      <c r="C5089" s="149" t="s">
        <v>369</v>
      </c>
      <c r="D5089" t="s">
        <v>7330</v>
      </c>
      <c r="E5089" t="s">
        <v>4100</v>
      </c>
      <c r="F5089" s="150" t="s">
        <v>4100</v>
      </c>
      <c r="G5089" s="149" t="s">
        <v>400</v>
      </c>
      <c r="H5089" s="150" t="str">
        <f>IF(Proc[[#This Row],[type]]="LFF (MDG-F)",MID(Proc[[#This Row],[Obj]],13,10),"")</f>
        <v/>
      </c>
      <c r="J5089" s="150" t="b">
        <f>Proc[[#This Row],[Requested]]=Proc[[#This Row],[CurrentParent]]</f>
        <v>1</v>
      </c>
      <c r="K5089" s="150" t="str">
        <f>IF(Proc[[#This Row],[Author]]="Marcela Urrego",VLOOKUP(LEFT(Proc[[#This Row],[Requested]],1),Table3[#All],2,0),VLOOKUP(Proc[[#This Row],[Author]],Table4[],2,0))</f>
        <v>LS</v>
      </c>
      <c r="L5089" s="150" t="s">
        <v>6435</v>
      </c>
      <c r="M5089" s="175">
        <v>45999</v>
      </c>
      <c r="N5089" s="175"/>
      <c r="O5089" s="175"/>
      <c r="P5089" s="175" t="str">
        <f ca="1">IF(Proc[[#This Row],[DaysAgeing]]&gt;5,"yep","on track")</f>
        <v>yep</v>
      </c>
      <c r="Q5089" s="3">
        <f ca="1">IF(Proc[[#This Row],[DateClosed]]="",ABS(NETWORKDAYS(Proc[[#This Row],[DateOpened]],TODAY()))-1,ABS(NETWORKDAYS(Proc[[#This Row],[DateOpened]],Proc[[#This Row],[DateClosed]]))-1)</f>
        <v>9</v>
      </c>
      <c r="R5089" s="175" t="s">
        <v>489</v>
      </c>
      <c r="S5089" s="150"/>
    </row>
    <row r="5090" spans="1:19" hidden="1">
      <c r="A5090" t="s">
        <v>7343</v>
      </c>
      <c r="B5090" s="150" t="str">
        <f>IFERROR(VLOOKUP(Proc[[#This Row],[App]],Table2[],3,0),"open")</f>
        <v>open</v>
      </c>
      <c r="C5090" s="149" t="s">
        <v>692</v>
      </c>
      <c r="D5090" t="s">
        <v>7342</v>
      </c>
      <c r="E5090" t="s">
        <v>4829</v>
      </c>
      <c r="F5090" s="150" t="str">
        <f>VLOOKUP(Proc[[#This Row],[Obj]],Sheet4!A:B,2,0)</f>
        <v>DFLTPGCOH_MISSING_NODES</v>
      </c>
      <c r="G5090" s="149" t="s">
        <v>400</v>
      </c>
      <c r="H5090" s="150" t="str">
        <f>IF(Proc[[#This Row],[type]]="LFF (MDG-F)",MID(Proc[[#This Row],[Obj]],13,10),"")</f>
        <v/>
      </c>
      <c r="J5090" s="150" t="b">
        <f>Proc[[#This Row],[Requested]]=Proc[[#This Row],[CurrentParent]]</f>
        <v>0</v>
      </c>
      <c r="K5090" s="150" t="str">
        <f>IF(Proc[[#This Row],[Author]]="Marcela Urrego",VLOOKUP(LEFT(Proc[[#This Row],[Requested]],1),Table3[#All],2,0),VLOOKUP(Proc[[#This Row],[Author]],Table4[],2,0))</f>
        <v>HC</v>
      </c>
      <c r="L5090" s="150" t="s">
        <v>6435</v>
      </c>
      <c r="M5090" s="175">
        <v>45999</v>
      </c>
      <c r="N5090" s="175"/>
      <c r="O5090" s="175"/>
      <c r="P5090" s="175" t="str">
        <f ca="1">IF(Proc[[#This Row],[DaysAgeing]]&gt;5,"yep","on track")</f>
        <v>yep</v>
      </c>
      <c r="Q5090" s="3">
        <f ca="1">IF(Proc[[#This Row],[DateClosed]]="",ABS(NETWORKDAYS(Proc[[#This Row],[DateOpened]],TODAY()))-1,ABS(NETWORKDAYS(Proc[[#This Row],[DateOpened]],Proc[[#This Row],[DateClosed]]))-1)</f>
        <v>9</v>
      </c>
      <c r="R5090" s="175" t="s">
        <v>415</v>
      </c>
      <c r="S5090" s="150"/>
    </row>
    <row r="5091" spans="1:19" hidden="1">
      <c r="A5091" t="s">
        <v>7352</v>
      </c>
      <c r="B5091" s="150" t="str">
        <f>IFERROR(VLOOKUP(Proc[[#This Row],[App]],Table2[],3,0),"open")</f>
        <v>ok</v>
      </c>
      <c r="C5091" s="149" t="s">
        <v>369</v>
      </c>
      <c r="D5091" t="s">
        <v>7344</v>
      </c>
      <c r="E5091" t="s">
        <v>7349</v>
      </c>
      <c r="F5091" s="150" t="s">
        <v>7349</v>
      </c>
      <c r="G5091" t="s">
        <v>400</v>
      </c>
      <c r="H5091" s="150" t="str">
        <f>IF(Proc[[#This Row],[type]]="LFF (MDG-F)",MID(Proc[[#This Row],[Obj]],13,10),"")</f>
        <v/>
      </c>
      <c r="J5091" s="150" t="b">
        <f>Proc[[#This Row],[Requested]]=Proc[[#This Row],[CurrentParent]]</f>
        <v>1</v>
      </c>
      <c r="K5091" s="150" t="str">
        <f>IF(Proc[[#This Row],[Author]]="Marcela Urrego",VLOOKUP(LEFT(Proc[[#This Row],[Requested]],1),Table3[#All],2,0),VLOOKUP(Proc[[#This Row],[Author]],Table4[],2,0))</f>
        <v>LS</v>
      </c>
      <c r="L5091" s="150" t="s">
        <v>6435</v>
      </c>
      <c r="M5091" s="175">
        <v>45999</v>
      </c>
      <c r="N5091" s="175"/>
      <c r="O5091" s="175"/>
      <c r="P5091" s="175" t="str">
        <f ca="1">IF(Proc[[#This Row],[DaysAgeing]]&gt;5,"yep","on track")</f>
        <v>yep</v>
      </c>
      <c r="Q5091" s="3">
        <f ca="1">IF(Proc[[#This Row],[DateClosed]]="",ABS(NETWORKDAYS(Proc[[#This Row],[DateOpened]],TODAY()))-1,ABS(NETWORKDAYS(Proc[[#This Row],[DateOpened]],Proc[[#This Row],[DateClosed]]))-1)</f>
        <v>9</v>
      </c>
      <c r="R5091" s="175" t="s">
        <v>489</v>
      </c>
      <c r="S5091" s="150"/>
    </row>
    <row r="5092" spans="1:19" hidden="1">
      <c r="A5092" s="149" t="s">
        <v>7352</v>
      </c>
      <c r="B5092" s="150" t="str">
        <f>IFERROR(VLOOKUP(Proc[[#This Row],[App]],Table2[],3,0),"open")</f>
        <v>ok</v>
      </c>
      <c r="C5092" s="149" t="s">
        <v>369</v>
      </c>
      <c r="D5092" t="s">
        <v>7345</v>
      </c>
      <c r="E5092" t="s">
        <v>7350</v>
      </c>
      <c r="F5092" s="149" t="s">
        <v>7350</v>
      </c>
      <c r="G5092" t="s">
        <v>406</v>
      </c>
      <c r="H5092" s="150" t="str">
        <f>IF(Proc[[#This Row],[type]]="LFF (MDG-F)",MID(Proc[[#This Row],[Obj]],13,10),"")</f>
        <v>DE10Z0319A</v>
      </c>
      <c r="J5092" s="150" t="b">
        <f>Proc[[#This Row],[Requested]]=Proc[[#This Row],[CurrentParent]]</f>
        <v>1</v>
      </c>
      <c r="K5092" s="150" t="str">
        <f>IF(Proc[[#This Row],[Author]]="Marcela Urrego",VLOOKUP(LEFT(Proc[[#This Row],[Requested]],1),Table3[#All],2,0),VLOOKUP(Proc[[#This Row],[Author]],Table4[],2,0))</f>
        <v>LS</v>
      </c>
      <c r="L5092" s="150" t="s">
        <v>6435</v>
      </c>
      <c r="M5092" s="175">
        <v>45999</v>
      </c>
      <c r="N5092" s="175"/>
      <c r="O5092" s="175"/>
      <c r="P5092" s="175" t="str">
        <f ca="1">IF(Proc[[#This Row],[DaysAgeing]]&gt;5,"yep","on track")</f>
        <v>yep</v>
      </c>
      <c r="Q5092" s="3">
        <f ca="1">IF(Proc[[#This Row],[DateClosed]]="",ABS(NETWORKDAYS(Proc[[#This Row],[DateOpened]],TODAY()))-1,ABS(NETWORKDAYS(Proc[[#This Row],[DateOpened]],Proc[[#This Row],[DateClosed]]))-1)</f>
        <v>9</v>
      </c>
      <c r="R5092" s="175" t="s">
        <v>489</v>
      </c>
      <c r="S5092" s="150"/>
    </row>
    <row r="5093" spans="1:19" hidden="1">
      <c r="A5093" s="149" t="s">
        <v>7352</v>
      </c>
      <c r="B5093" s="150" t="str">
        <f>IFERROR(VLOOKUP(Proc[[#This Row],[App]],Table2[],3,0),"open")</f>
        <v>ok</v>
      </c>
      <c r="C5093" s="149" t="s">
        <v>369</v>
      </c>
      <c r="D5093" t="s">
        <v>7346</v>
      </c>
      <c r="E5093" t="s">
        <v>7350</v>
      </c>
      <c r="F5093" s="150" t="s">
        <v>7350</v>
      </c>
      <c r="G5093" s="149" t="s">
        <v>400</v>
      </c>
      <c r="H5093" s="150" t="str">
        <f>IF(Proc[[#This Row],[type]]="LFF (MDG-F)",MID(Proc[[#This Row],[Obj]],13,10),"")</f>
        <v/>
      </c>
      <c r="J5093" s="150" t="b">
        <f>Proc[[#This Row],[Requested]]=Proc[[#This Row],[CurrentParent]]</f>
        <v>1</v>
      </c>
      <c r="K5093" s="150" t="str">
        <f>IF(Proc[[#This Row],[Author]]="Marcela Urrego",VLOOKUP(LEFT(Proc[[#This Row],[Requested]],1),Table3[#All],2,0),VLOOKUP(Proc[[#This Row],[Author]],Table4[],2,0))</f>
        <v>LS</v>
      </c>
      <c r="L5093" s="150" t="s">
        <v>6435</v>
      </c>
      <c r="M5093" s="175">
        <v>45999</v>
      </c>
      <c r="N5093" s="175"/>
      <c r="O5093" s="175"/>
      <c r="P5093" s="175" t="str">
        <f ca="1">IF(Proc[[#This Row],[DaysAgeing]]&gt;5,"yep","on track")</f>
        <v>yep</v>
      </c>
      <c r="Q5093" s="3">
        <f ca="1">IF(Proc[[#This Row],[DateClosed]]="",ABS(NETWORKDAYS(Proc[[#This Row],[DateOpened]],TODAY()))-1,ABS(NETWORKDAYS(Proc[[#This Row],[DateOpened]],Proc[[#This Row],[DateClosed]]))-1)</f>
        <v>9</v>
      </c>
      <c r="R5093" s="175" t="s">
        <v>489</v>
      </c>
      <c r="S5093" s="150"/>
    </row>
    <row r="5094" spans="1:19" hidden="1">
      <c r="A5094" s="149" t="s">
        <v>7352</v>
      </c>
      <c r="B5094" s="150" t="str">
        <f>IFERROR(VLOOKUP(Proc[[#This Row],[App]],Table2[],3,0),"open")</f>
        <v>ok</v>
      </c>
      <c r="C5094" s="149" t="s">
        <v>369</v>
      </c>
      <c r="D5094" t="s">
        <v>7347</v>
      </c>
      <c r="E5094" t="s">
        <v>7350</v>
      </c>
      <c r="F5094" s="150" t="s">
        <v>7350</v>
      </c>
      <c r="G5094" s="149" t="s">
        <v>400</v>
      </c>
      <c r="H5094" s="150" t="str">
        <f>IF(Proc[[#This Row],[type]]="LFF (MDG-F)",MID(Proc[[#This Row],[Obj]],13,10),"")</f>
        <v/>
      </c>
      <c r="J5094" s="150" t="b">
        <f>Proc[[#This Row],[Requested]]=Proc[[#This Row],[CurrentParent]]</f>
        <v>1</v>
      </c>
      <c r="K5094" s="150" t="str">
        <f>IF(Proc[[#This Row],[Author]]="Marcela Urrego",VLOOKUP(LEFT(Proc[[#This Row],[Requested]],1),Table3[#All],2,0),VLOOKUP(Proc[[#This Row],[Author]],Table4[],2,0))</f>
        <v>LS</v>
      </c>
      <c r="L5094" s="150" t="s">
        <v>6435</v>
      </c>
      <c r="M5094" s="175">
        <v>45999</v>
      </c>
      <c r="N5094" s="175"/>
      <c r="O5094" s="175"/>
      <c r="P5094" s="175" t="str">
        <f ca="1">IF(Proc[[#This Row],[DaysAgeing]]&gt;5,"yep","on track")</f>
        <v>yep</v>
      </c>
      <c r="Q5094" s="3">
        <f ca="1">IF(Proc[[#This Row],[DateClosed]]="",ABS(NETWORKDAYS(Proc[[#This Row],[DateOpened]],TODAY()))-1,ABS(NETWORKDAYS(Proc[[#This Row],[DateOpened]],Proc[[#This Row],[DateClosed]]))-1)</f>
        <v>9</v>
      </c>
      <c r="R5094" s="175" t="s">
        <v>489</v>
      </c>
      <c r="S5094" s="150"/>
    </row>
    <row r="5095" spans="1:19" hidden="1">
      <c r="A5095" s="149" t="s">
        <v>7352</v>
      </c>
      <c r="B5095" s="150" t="str">
        <f>IFERROR(VLOOKUP(Proc[[#This Row],[App]],Table2[],3,0),"open")</f>
        <v>ok</v>
      </c>
      <c r="C5095" s="149" t="s">
        <v>369</v>
      </c>
      <c r="D5095" t="s">
        <v>7348</v>
      </c>
      <c r="E5095" t="s">
        <v>7351</v>
      </c>
      <c r="F5095" s="150" t="s">
        <v>7351</v>
      </c>
      <c r="G5095" s="149" t="s">
        <v>400</v>
      </c>
      <c r="H5095" s="150" t="str">
        <f>IF(Proc[[#This Row],[type]]="LFF (MDG-F)",MID(Proc[[#This Row],[Obj]],13,10),"")</f>
        <v/>
      </c>
      <c r="J5095" s="150" t="b">
        <f>Proc[[#This Row],[Requested]]=Proc[[#This Row],[CurrentParent]]</f>
        <v>1</v>
      </c>
      <c r="K5095" s="150" t="str">
        <f>IF(Proc[[#This Row],[Author]]="Marcela Urrego",VLOOKUP(LEFT(Proc[[#This Row],[Requested]],1),Table3[#All],2,0),VLOOKUP(Proc[[#This Row],[Author]],Table4[],2,0))</f>
        <v>LS</v>
      </c>
      <c r="L5095" s="150" t="s">
        <v>6435</v>
      </c>
      <c r="M5095" s="175">
        <v>45999</v>
      </c>
      <c r="N5095" s="175"/>
      <c r="O5095" s="175"/>
      <c r="P5095" s="175" t="str">
        <f ca="1">IF(Proc[[#This Row],[DaysAgeing]]&gt;5,"yep","on track")</f>
        <v>yep</v>
      </c>
      <c r="Q5095" s="3">
        <f ca="1">IF(Proc[[#This Row],[DateClosed]]="",ABS(NETWORKDAYS(Proc[[#This Row],[DateOpened]],TODAY()))-1,ABS(NETWORKDAYS(Proc[[#This Row],[DateOpened]],Proc[[#This Row],[DateClosed]]))-1)</f>
        <v>9</v>
      </c>
      <c r="R5095" s="175" t="s">
        <v>489</v>
      </c>
      <c r="S5095" s="150"/>
    </row>
    <row r="5096" spans="1:19" hidden="1">
      <c r="A5096" t="s">
        <v>7353</v>
      </c>
      <c r="B5096" s="150" t="str">
        <f>IFERROR(VLOOKUP(Proc[[#This Row],[App]],Table2[],3,0),"open")</f>
        <v>ok</v>
      </c>
      <c r="C5096" s="149" t="s">
        <v>369</v>
      </c>
      <c r="D5096" t="s">
        <v>7354</v>
      </c>
      <c r="E5096" t="s">
        <v>419</v>
      </c>
      <c r="F5096" s="150" t="s">
        <v>419</v>
      </c>
      <c r="G5096" t="s">
        <v>400</v>
      </c>
      <c r="H5096" s="150" t="str">
        <f>IF(Proc[[#This Row],[type]]="LFF (MDG-F)",MID(Proc[[#This Row],[Obj]],13,10),"")</f>
        <v/>
      </c>
      <c r="J5096" s="150" t="b">
        <f>Proc[[#This Row],[Requested]]=Proc[[#This Row],[CurrentParent]]</f>
        <v>1</v>
      </c>
      <c r="K5096" s="150" t="str">
        <f>IF(Proc[[#This Row],[Author]]="Marcela Urrego",VLOOKUP(LEFT(Proc[[#This Row],[Requested]],1),Table3[#All],2,0),VLOOKUP(Proc[[#This Row],[Author]],Table4[],2,0))</f>
        <v>EL</v>
      </c>
      <c r="L5096" s="150" t="s">
        <v>6435</v>
      </c>
      <c r="M5096" s="175">
        <v>46001</v>
      </c>
      <c r="N5096" s="175"/>
      <c r="O5096" s="175"/>
      <c r="P5096" s="175" t="str">
        <f ca="1">IF(Proc[[#This Row],[DaysAgeing]]&gt;5,"yep","on track")</f>
        <v>yep</v>
      </c>
      <c r="Q5096" s="3">
        <f ca="1">IF(Proc[[#This Row],[DateClosed]]="",ABS(NETWORKDAYS(Proc[[#This Row],[DateOpened]],TODAY()))-1,ABS(NETWORKDAYS(Proc[[#This Row],[DateOpened]],Proc[[#This Row],[DateClosed]]))-1)</f>
        <v>7</v>
      </c>
      <c r="R5096" s="175" t="s">
        <v>5709</v>
      </c>
      <c r="S5096" s="150"/>
    </row>
    <row r="5097" spans="1:19" hidden="1">
      <c r="A5097" s="149" t="s">
        <v>7353</v>
      </c>
      <c r="B5097" s="150" t="str">
        <f>IFERROR(VLOOKUP(Proc[[#This Row],[App]],Table2[],3,0),"open")</f>
        <v>ok</v>
      </c>
      <c r="C5097" s="149" t="s">
        <v>369</v>
      </c>
      <c r="D5097" t="s">
        <v>7355</v>
      </c>
      <c r="E5097" s="149" t="s">
        <v>419</v>
      </c>
      <c r="F5097" s="150" t="s">
        <v>419</v>
      </c>
      <c r="G5097" s="149" t="s">
        <v>400</v>
      </c>
      <c r="H5097" s="150" t="str">
        <f>IF(Proc[[#This Row],[type]]="LFF (MDG-F)",MID(Proc[[#This Row],[Obj]],13,10),"")</f>
        <v/>
      </c>
      <c r="J5097" s="150" t="b">
        <f>Proc[[#This Row],[Requested]]=Proc[[#This Row],[CurrentParent]]</f>
        <v>1</v>
      </c>
      <c r="K5097" s="150" t="str">
        <f>IF(Proc[[#This Row],[Author]]="Marcela Urrego",VLOOKUP(LEFT(Proc[[#This Row],[Requested]],1),Table3[#All],2,0),VLOOKUP(Proc[[#This Row],[Author]],Table4[],2,0))</f>
        <v>EL</v>
      </c>
      <c r="L5097" s="150" t="s">
        <v>6435</v>
      </c>
      <c r="M5097" s="175">
        <v>46001</v>
      </c>
      <c r="N5097" s="175"/>
      <c r="O5097" s="175"/>
      <c r="P5097" s="175" t="str">
        <f ca="1">IF(Proc[[#This Row],[DaysAgeing]]&gt;5,"yep","on track")</f>
        <v>yep</v>
      </c>
      <c r="Q5097" s="3">
        <f ca="1">IF(Proc[[#This Row],[DateClosed]]="",ABS(NETWORKDAYS(Proc[[#This Row],[DateOpened]],TODAY()))-1,ABS(NETWORKDAYS(Proc[[#This Row],[DateOpened]],Proc[[#This Row],[DateClosed]]))-1)</f>
        <v>7</v>
      </c>
      <c r="R5097" s="175" t="s">
        <v>5709</v>
      </c>
      <c r="S5097" s="150"/>
    </row>
    <row r="5098" spans="1:19" hidden="1">
      <c r="A5098" s="149" t="s">
        <v>7353</v>
      </c>
      <c r="B5098" s="150" t="str">
        <f>IFERROR(VLOOKUP(Proc[[#This Row],[App]],Table2[],3,0),"open")</f>
        <v>ok</v>
      </c>
      <c r="C5098" s="149" t="s">
        <v>369</v>
      </c>
      <c r="D5098" t="s">
        <v>7356</v>
      </c>
      <c r="E5098" s="149" t="s">
        <v>419</v>
      </c>
      <c r="F5098" s="150" t="s">
        <v>419</v>
      </c>
      <c r="G5098" s="149" t="s">
        <v>400</v>
      </c>
      <c r="H5098" s="150"/>
      <c r="J5098" s="150" t="b">
        <f>Proc[[#This Row],[Requested]]=Proc[[#This Row],[CurrentParent]]</f>
        <v>1</v>
      </c>
      <c r="K5098" s="150" t="str">
        <f>IF(Proc[[#This Row],[Author]]="Marcela Urrego",VLOOKUP(LEFT(Proc[[#This Row],[Requested]],1),Table3[#All],2,0),VLOOKUP(Proc[[#This Row],[Author]],Table4[],2,0))</f>
        <v>EL</v>
      </c>
      <c r="L5098" s="150" t="s">
        <v>6435</v>
      </c>
      <c r="M5098" s="175">
        <v>46001</v>
      </c>
      <c r="N5098" s="175"/>
      <c r="O5098" s="175"/>
      <c r="P5098" s="175" t="str">
        <f ca="1">IF(Proc[[#This Row],[DaysAgeing]]&gt;5,"yep","on track")</f>
        <v>yep</v>
      </c>
      <c r="Q5098" s="3">
        <f ca="1">IF(Proc[[#This Row],[DateClosed]]="",ABS(NETWORKDAYS(Proc[[#This Row],[DateOpened]],TODAY()))-1,ABS(NETWORKDAYS(Proc[[#This Row],[DateOpened]],Proc[[#This Row],[DateClosed]]))-1)</f>
        <v>7</v>
      </c>
      <c r="R5098" s="175" t="s">
        <v>5709</v>
      </c>
      <c r="S5098" s="150"/>
    </row>
    <row r="5099" spans="1:19" hidden="1">
      <c r="A5099" s="149" t="s">
        <v>7353</v>
      </c>
      <c r="B5099" s="150" t="str">
        <f>IFERROR(VLOOKUP(Proc[[#This Row],[App]],Table2[],3,0),"open")</f>
        <v>ok</v>
      </c>
      <c r="C5099" s="149" t="s">
        <v>369</v>
      </c>
      <c r="D5099" t="s">
        <v>7357</v>
      </c>
      <c r="E5099" s="149" t="s">
        <v>419</v>
      </c>
      <c r="F5099" s="150" t="s">
        <v>419</v>
      </c>
      <c r="G5099" s="149" t="s">
        <v>400</v>
      </c>
      <c r="H5099" s="150" t="str">
        <f>IF(Proc[[#This Row],[type]]="LFF (MDG-F)",MID(Proc[[#This Row],[Obj]],13,10),"")</f>
        <v/>
      </c>
      <c r="J5099" s="150" t="b">
        <f>Proc[[#This Row],[Requested]]=Proc[[#This Row],[CurrentParent]]</f>
        <v>1</v>
      </c>
      <c r="K5099" s="150" t="str">
        <f>IF(Proc[[#This Row],[Author]]="Marcela Urrego",VLOOKUP(LEFT(Proc[[#This Row],[Requested]],1),Table3[#All],2,0),VLOOKUP(Proc[[#This Row],[Author]],Table4[],2,0))</f>
        <v>EL</v>
      </c>
      <c r="L5099" s="150" t="s">
        <v>6435</v>
      </c>
      <c r="M5099" s="175">
        <v>46001</v>
      </c>
      <c r="N5099" s="175"/>
      <c r="O5099" s="175"/>
      <c r="P5099" s="175" t="str">
        <f ca="1">IF(Proc[[#This Row],[DaysAgeing]]&gt;5,"yep","on track")</f>
        <v>yep</v>
      </c>
      <c r="Q5099" s="3">
        <f ca="1">IF(Proc[[#This Row],[DateClosed]]="",ABS(NETWORKDAYS(Proc[[#This Row],[DateOpened]],TODAY()))-1,ABS(NETWORKDAYS(Proc[[#This Row],[DateOpened]],Proc[[#This Row],[DateClosed]]))-1)</f>
        <v>7</v>
      </c>
      <c r="R5099" s="175" t="s">
        <v>5709</v>
      </c>
      <c r="S5099" s="150"/>
    </row>
    <row r="5100" spans="1:19" hidden="1">
      <c r="A5100" s="149" t="s">
        <v>7353</v>
      </c>
      <c r="B5100" s="150" t="str">
        <f>IFERROR(VLOOKUP(Proc[[#This Row],[App]],Table2[],3,0),"open")</f>
        <v>ok</v>
      </c>
      <c r="C5100" s="149" t="s">
        <v>369</v>
      </c>
      <c r="D5100" t="s">
        <v>7358</v>
      </c>
      <c r="E5100" s="149" t="s">
        <v>419</v>
      </c>
      <c r="F5100" s="150" t="s">
        <v>419</v>
      </c>
      <c r="G5100" s="149" t="s">
        <v>400</v>
      </c>
      <c r="H5100" s="150" t="str">
        <f>IF(Proc[[#This Row],[type]]="LFF (MDG-F)",MID(Proc[[#This Row],[Obj]],13,10),"")</f>
        <v/>
      </c>
      <c r="J5100" s="150" t="b">
        <f>Proc[[#This Row],[Requested]]=Proc[[#This Row],[CurrentParent]]</f>
        <v>1</v>
      </c>
      <c r="K5100" s="150" t="str">
        <f>IF(Proc[[#This Row],[Author]]="Marcela Urrego",VLOOKUP(LEFT(Proc[[#This Row],[Requested]],1),Table3[#All],2,0),VLOOKUP(Proc[[#This Row],[Author]],Table4[],2,0))</f>
        <v>EL</v>
      </c>
      <c r="L5100" s="150" t="s">
        <v>6435</v>
      </c>
      <c r="M5100" s="175">
        <v>46001</v>
      </c>
      <c r="N5100" s="175"/>
      <c r="O5100" s="175"/>
      <c r="P5100" s="175" t="str">
        <f ca="1">IF(Proc[[#This Row],[DaysAgeing]]&gt;5,"yep","on track")</f>
        <v>yep</v>
      </c>
      <c r="Q5100" s="3">
        <f ca="1">IF(Proc[[#This Row],[DateClosed]]="",ABS(NETWORKDAYS(Proc[[#This Row],[DateOpened]],TODAY()))-1,ABS(NETWORKDAYS(Proc[[#This Row],[DateOpened]],Proc[[#This Row],[DateClosed]]))-1)</f>
        <v>7</v>
      </c>
      <c r="R5100" s="175" t="s">
        <v>5709</v>
      </c>
      <c r="S5100" s="150"/>
    </row>
    <row r="5101" spans="1:19" hidden="1">
      <c r="A5101" s="149" t="s">
        <v>7353</v>
      </c>
      <c r="B5101" s="150" t="str">
        <f>IFERROR(VLOOKUP(Proc[[#This Row],[App]],Table2[],3,0),"open")</f>
        <v>ok</v>
      </c>
      <c r="C5101" s="149" t="s">
        <v>369</v>
      </c>
      <c r="D5101" t="s">
        <v>7359</v>
      </c>
      <c r="E5101" s="149" t="s">
        <v>419</v>
      </c>
      <c r="F5101" s="150" t="s">
        <v>419</v>
      </c>
      <c r="G5101" s="149" t="s">
        <v>400</v>
      </c>
      <c r="H5101" s="150" t="str">
        <f>IF(Proc[[#This Row],[type]]="LFF (MDG-F)",MID(Proc[[#This Row],[Obj]],13,10),"")</f>
        <v/>
      </c>
      <c r="J5101" s="150" t="b">
        <f>Proc[[#This Row],[Requested]]=Proc[[#This Row],[CurrentParent]]</f>
        <v>1</v>
      </c>
      <c r="K5101" s="150" t="str">
        <f>IF(Proc[[#This Row],[Author]]="Marcela Urrego",VLOOKUP(LEFT(Proc[[#This Row],[Requested]],1),Table3[#All],2,0),VLOOKUP(Proc[[#This Row],[Author]],Table4[],2,0))</f>
        <v>EL</v>
      </c>
      <c r="L5101" s="150" t="s">
        <v>6435</v>
      </c>
      <c r="M5101" s="175">
        <v>46001</v>
      </c>
      <c r="N5101" s="175"/>
      <c r="O5101" s="175"/>
      <c r="P5101" s="175" t="str">
        <f ca="1">IF(Proc[[#This Row],[DaysAgeing]]&gt;5,"yep","on track")</f>
        <v>yep</v>
      </c>
      <c r="Q5101" s="3">
        <f ca="1">IF(Proc[[#This Row],[DateClosed]]="",ABS(NETWORKDAYS(Proc[[#This Row],[DateOpened]],TODAY()))-1,ABS(NETWORKDAYS(Proc[[#This Row],[DateOpened]],Proc[[#This Row],[DateClosed]]))-1)</f>
        <v>7</v>
      </c>
      <c r="R5101" s="175" t="s">
        <v>5709</v>
      </c>
      <c r="S5101" s="150"/>
    </row>
    <row r="5102" spans="1:19" hidden="1">
      <c r="A5102" s="149" t="s">
        <v>7353</v>
      </c>
      <c r="B5102" s="150" t="str">
        <f>IFERROR(VLOOKUP(Proc[[#This Row],[App]],Table2[],3,0),"open")</f>
        <v>ok</v>
      </c>
      <c r="C5102" s="149" t="s">
        <v>369</v>
      </c>
      <c r="D5102" t="s">
        <v>7360</v>
      </c>
      <c r="E5102" s="149" t="s">
        <v>419</v>
      </c>
      <c r="F5102" s="150" t="s">
        <v>419</v>
      </c>
      <c r="G5102" s="149" t="s">
        <v>400</v>
      </c>
      <c r="H5102" s="150" t="str">
        <f>IF(Proc[[#This Row],[type]]="LFF (MDG-F)",MID(Proc[[#This Row],[Obj]],13,10),"")</f>
        <v/>
      </c>
      <c r="J5102" s="150" t="b">
        <f>Proc[[#This Row],[Requested]]=Proc[[#This Row],[CurrentParent]]</f>
        <v>1</v>
      </c>
      <c r="K5102" s="150" t="str">
        <f>IF(Proc[[#This Row],[Author]]="Marcela Urrego",VLOOKUP(LEFT(Proc[[#This Row],[Requested]],1),Table3[#All],2,0),VLOOKUP(Proc[[#This Row],[Author]],Table4[],2,0))</f>
        <v>EL</v>
      </c>
      <c r="L5102" s="150" t="s">
        <v>6435</v>
      </c>
      <c r="M5102" s="175">
        <v>46001</v>
      </c>
      <c r="N5102" s="175"/>
      <c r="O5102" s="175"/>
      <c r="P5102" s="175" t="str">
        <f ca="1">IF(Proc[[#This Row],[DaysAgeing]]&gt;5,"yep","on track")</f>
        <v>yep</v>
      </c>
      <c r="Q5102" s="3">
        <f ca="1">IF(Proc[[#This Row],[DateClosed]]="",ABS(NETWORKDAYS(Proc[[#This Row],[DateOpened]],TODAY()))-1,ABS(NETWORKDAYS(Proc[[#This Row],[DateOpened]],Proc[[#This Row],[DateClosed]]))-1)</f>
        <v>7</v>
      </c>
      <c r="R5102" s="175" t="s">
        <v>5709</v>
      </c>
      <c r="S5102" s="150"/>
    </row>
    <row r="5103" spans="1:19" hidden="1">
      <c r="A5103" s="149" t="s">
        <v>7353</v>
      </c>
      <c r="B5103" s="150" t="str">
        <f>IFERROR(VLOOKUP(Proc[[#This Row],[App]],Table2[],3,0),"open")</f>
        <v>ok</v>
      </c>
      <c r="C5103" s="149" t="s">
        <v>369</v>
      </c>
      <c r="D5103" t="s">
        <v>2785</v>
      </c>
      <c r="E5103" s="149" t="s">
        <v>419</v>
      </c>
      <c r="F5103" s="150" t="s">
        <v>419</v>
      </c>
      <c r="G5103" s="149" t="s">
        <v>400</v>
      </c>
      <c r="H5103" s="150" t="str">
        <f>IF(Proc[[#This Row],[type]]="LFF (MDG-F)",MID(Proc[[#This Row],[Obj]],13,10),"")</f>
        <v/>
      </c>
      <c r="J5103" s="150" t="b">
        <f>Proc[[#This Row],[Requested]]=Proc[[#This Row],[CurrentParent]]</f>
        <v>1</v>
      </c>
      <c r="K5103" s="150" t="str">
        <f>IF(Proc[[#This Row],[Author]]="Marcela Urrego",VLOOKUP(LEFT(Proc[[#This Row],[Requested]],1),Table3[#All],2,0),VLOOKUP(Proc[[#This Row],[Author]],Table4[],2,0))</f>
        <v>EL</v>
      </c>
      <c r="L5103" s="150" t="s">
        <v>6435</v>
      </c>
      <c r="M5103" s="175">
        <v>46001</v>
      </c>
      <c r="N5103" s="175"/>
      <c r="O5103" s="175"/>
      <c r="P5103" s="175" t="str">
        <f ca="1">IF(Proc[[#This Row],[DaysAgeing]]&gt;5,"yep","on track")</f>
        <v>yep</v>
      </c>
      <c r="Q5103" s="3">
        <f ca="1">IF(Proc[[#This Row],[DateClosed]]="",ABS(NETWORKDAYS(Proc[[#This Row],[DateOpened]],TODAY()))-1,ABS(NETWORKDAYS(Proc[[#This Row],[DateOpened]],Proc[[#This Row],[DateClosed]]))-1)</f>
        <v>7</v>
      </c>
      <c r="R5103" s="175" t="s">
        <v>5709</v>
      </c>
      <c r="S5103" s="150"/>
    </row>
    <row r="5104" spans="1:19" hidden="1">
      <c r="A5104" t="s">
        <v>7364</v>
      </c>
      <c r="B5104" s="150" t="str">
        <f>IFERROR(VLOOKUP(Proc[[#This Row],[App]],Table2[],3,0),"open")</f>
        <v>open</v>
      </c>
      <c r="C5104" t="s">
        <v>369</v>
      </c>
      <c r="D5104" t="s">
        <v>7366</v>
      </c>
      <c r="E5104" t="s">
        <v>7365</v>
      </c>
      <c r="F5104" s="150" t="s">
        <v>7365</v>
      </c>
      <c r="G5104" s="149" t="s">
        <v>400</v>
      </c>
      <c r="H5104" s="150" t="str">
        <f>IF(Proc[[#This Row],[type]]="LFF (MDG-F)",MID(Proc[[#This Row],[Obj]],13,10),"")</f>
        <v/>
      </c>
      <c r="J5104" s="150" t="b">
        <f>Proc[[#This Row],[Requested]]=Proc[[#This Row],[CurrentParent]]</f>
        <v>1</v>
      </c>
      <c r="K5104" s="150" t="str">
        <f>IF(Proc[[#This Row],[Author]]="Marcela Urrego",VLOOKUP(LEFT(Proc[[#This Row],[Requested]],1),Table3[#All],2,0),VLOOKUP(Proc[[#This Row],[Author]],Table4[],2,0))</f>
        <v>EL</v>
      </c>
      <c r="L5104" s="150" t="s">
        <v>6435</v>
      </c>
      <c r="M5104" s="176">
        <v>46003</v>
      </c>
      <c r="N5104" s="176"/>
      <c r="O5104" s="176"/>
      <c r="P5104" s="176" t="str">
        <f ca="1">IF(Proc[[#This Row],[DaysAgeing]]&gt;5,"yep","on track")</f>
        <v>on track</v>
      </c>
      <c r="Q5104" s="3">
        <f ca="1">IF(Proc[[#This Row],[DateClosed]]="",ABS(NETWORKDAYS(Proc[[#This Row],[DateOpened]],TODAY()))-1,ABS(NETWORKDAYS(Proc[[#This Row],[DateOpened]],Proc[[#This Row],[DateClosed]]))-1)</f>
        <v>5</v>
      </c>
      <c r="R5104" s="176" t="s">
        <v>780</v>
      </c>
      <c r="S5104" s="150"/>
    </row>
    <row r="5105" spans="1:19" hidden="1">
      <c r="A5105" t="s">
        <v>7364</v>
      </c>
      <c r="B5105" s="150" t="str">
        <f>IFERROR(VLOOKUP(Proc[[#This Row],[App]],Table2[],3,0),"open")</f>
        <v>open</v>
      </c>
      <c r="C5105" s="149" t="s">
        <v>692</v>
      </c>
      <c r="D5105" t="s">
        <v>7367</v>
      </c>
      <c r="E5105" t="s">
        <v>2467</v>
      </c>
      <c r="F5105" s="150" t="str">
        <f>VLOOKUP(Proc[[#This Row],[Obj]],Sheet4!A:B,2,0)</f>
        <v>DFLTPGCOH_002152</v>
      </c>
      <c r="G5105" s="149" t="s">
        <v>400</v>
      </c>
      <c r="H5105" s="150" t="str">
        <f>IF(Proc[[#This Row],[type]]="LFF (MDG-F)",MID(Proc[[#This Row],[Obj]],13,10),"")</f>
        <v/>
      </c>
      <c r="J5105" s="150" t="b">
        <f>Proc[[#This Row],[Requested]]=Proc[[#This Row],[CurrentParent]]</f>
        <v>0</v>
      </c>
      <c r="K5105" s="150" t="str">
        <f>IF(Proc[[#This Row],[Author]]="Marcela Urrego",VLOOKUP(LEFT(Proc[[#This Row],[Requested]],1),Table3[#All],2,0),VLOOKUP(Proc[[#This Row],[Author]],Table4[],2,0))</f>
        <v>EL</v>
      </c>
      <c r="L5105" s="150" t="s">
        <v>6435</v>
      </c>
      <c r="M5105" s="176">
        <v>46003</v>
      </c>
      <c r="N5105" s="176"/>
      <c r="O5105" s="176"/>
      <c r="P5105" s="176" t="str">
        <f ca="1">IF(Proc[[#This Row],[DaysAgeing]]&gt;5,"yep","on track")</f>
        <v>on track</v>
      </c>
      <c r="Q5105" s="3">
        <f ca="1">IF(Proc[[#This Row],[DateClosed]]="",ABS(NETWORKDAYS(Proc[[#This Row],[DateOpened]],TODAY()))-1,ABS(NETWORKDAYS(Proc[[#This Row],[DateOpened]],Proc[[#This Row],[DateClosed]]))-1)</f>
        <v>5</v>
      </c>
      <c r="R5105" s="176" t="s">
        <v>780</v>
      </c>
      <c r="S5105" s="150"/>
    </row>
    <row r="5106" spans="1:19" hidden="1">
      <c r="A5106" s="149" t="s">
        <v>7364</v>
      </c>
      <c r="B5106" s="150" t="str">
        <f>IFERROR(VLOOKUP(Proc[[#This Row],[App]],Table2[],3,0),"open")</f>
        <v>open</v>
      </c>
      <c r="C5106" s="149" t="s">
        <v>369</v>
      </c>
      <c r="D5106" t="s">
        <v>7361</v>
      </c>
      <c r="E5106" t="s">
        <v>6828</v>
      </c>
      <c r="F5106" s="150" t="s">
        <v>6828</v>
      </c>
      <c r="G5106" t="s">
        <v>406</v>
      </c>
      <c r="H5106" s="150" t="str">
        <f>IF(Proc[[#This Row],[type]]="LFF (MDG-F)",MID(Proc[[#This Row],[Obj]],13,10),"")</f>
        <v>DE04OF1000</v>
      </c>
      <c r="J5106" s="150" t="b">
        <f>Proc[[#This Row],[Requested]]=Proc[[#This Row],[CurrentParent]]</f>
        <v>1</v>
      </c>
      <c r="K5106" s="150" t="str">
        <f>IF(Proc[[#This Row],[Author]]="Marcela Urrego",VLOOKUP(LEFT(Proc[[#This Row],[Requested]],1),Table3[#All],2,0),VLOOKUP(Proc[[#This Row],[Author]],Table4[],2,0))</f>
        <v>EL</v>
      </c>
      <c r="L5106" s="150" t="s">
        <v>6435</v>
      </c>
      <c r="M5106" s="176">
        <v>46003</v>
      </c>
      <c r="N5106" s="176"/>
      <c r="O5106" s="176"/>
      <c r="P5106" s="176" t="str">
        <f ca="1">IF(Proc[[#This Row],[DaysAgeing]]&gt;5,"yep","on track")</f>
        <v>on track</v>
      </c>
      <c r="Q5106" s="3">
        <f ca="1">IF(Proc[[#This Row],[DateClosed]]="",ABS(NETWORKDAYS(Proc[[#This Row],[DateOpened]],TODAY()))-1,ABS(NETWORKDAYS(Proc[[#This Row],[DateOpened]],Proc[[#This Row],[DateClosed]]))-1)</f>
        <v>5</v>
      </c>
      <c r="R5106" s="176" t="s">
        <v>780</v>
      </c>
      <c r="S5106" s="150"/>
    </row>
    <row r="5107" spans="1:19" hidden="1">
      <c r="A5107" s="149" t="s">
        <v>7364</v>
      </c>
      <c r="B5107" s="150" t="str">
        <f>IFERROR(VLOOKUP(Proc[[#This Row],[App]],Table2[],3,0),"open")</f>
        <v>open</v>
      </c>
      <c r="C5107" s="149" t="s">
        <v>369</v>
      </c>
      <c r="D5107" t="s">
        <v>7362</v>
      </c>
      <c r="E5107" t="s">
        <v>426</v>
      </c>
      <c r="F5107" s="150" t="s">
        <v>426</v>
      </c>
      <c r="G5107" t="s">
        <v>406</v>
      </c>
      <c r="H5107" s="150" t="str">
        <f>IF(Proc[[#This Row],[type]]="LFF (MDG-F)",MID(Proc[[#This Row],[Obj]],13,10),"")</f>
        <v>DE01OF0304</v>
      </c>
      <c r="I5107" s="149"/>
      <c r="J5107" s="150" t="b">
        <f>Proc[[#This Row],[Requested]]=Proc[[#This Row],[CurrentParent]]</f>
        <v>1</v>
      </c>
      <c r="K5107" s="150" t="str">
        <f>IF(Proc[[#This Row],[Author]]="Marcela Urrego",VLOOKUP(LEFT(Proc[[#This Row],[Requested]],1),Table3[#All],2,0),VLOOKUP(Proc[[#This Row],[Author]],Table4[],2,0))</f>
        <v>EL</v>
      </c>
      <c r="L5107" s="150" t="s">
        <v>6435</v>
      </c>
      <c r="M5107" s="176">
        <v>46003</v>
      </c>
      <c r="N5107" s="176"/>
      <c r="O5107" s="176"/>
      <c r="P5107" s="176" t="str">
        <f ca="1">IF(Proc[[#This Row],[DaysAgeing]]&gt;5,"yep","on track")</f>
        <v>on track</v>
      </c>
      <c r="Q5107" s="3">
        <f ca="1">IF(Proc[[#This Row],[DateClosed]]="",ABS(NETWORKDAYS(Proc[[#This Row],[DateOpened]],TODAY()))-1,ABS(NETWORKDAYS(Proc[[#This Row],[DateOpened]],Proc[[#This Row],[DateClosed]]))-1)</f>
        <v>5</v>
      </c>
      <c r="R5107" s="176" t="s">
        <v>780</v>
      </c>
      <c r="S5107" s="150"/>
    </row>
    <row r="5108" spans="1:19" hidden="1">
      <c r="A5108" s="149" t="s">
        <v>7364</v>
      </c>
      <c r="B5108" s="150" t="str">
        <f>IFERROR(VLOOKUP(Proc[[#This Row],[App]],Table2[],3,0),"open")</f>
        <v>open</v>
      </c>
      <c r="C5108" s="149" t="s">
        <v>369</v>
      </c>
      <c r="D5108" t="s">
        <v>7363</v>
      </c>
      <c r="E5108" t="s">
        <v>426</v>
      </c>
      <c r="F5108" s="150" t="s">
        <v>426</v>
      </c>
      <c r="G5108" t="s">
        <v>406</v>
      </c>
      <c r="H5108" s="150" t="str">
        <f>IF(Proc[[#This Row],[type]]="LFF (MDG-F)",MID(Proc[[#This Row],[Obj]],13,10),"")</f>
        <v>TW02TPTA14</v>
      </c>
      <c r="I5108" s="149"/>
      <c r="J5108" s="150" t="b">
        <f>Proc[[#This Row],[Requested]]=Proc[[#This Row],[CurrentParent]]</f>
        <v>1</v>
      </c>
      <c r="K5108" s="150" t="str">
        <f>IF(Proc[[#This Row],[Author]]="Marcela Urrego",VLOOKUP(LEFT(Proc[[#This Row],[Requested]],1),Table3[#All],2,0),VLOOKUP(Proc[[#This Row],[Author]],Table4[],2,0))</f>
        <v>EL</v>
      </c>
      <c r="L5108" s="150" t="s">
        <v>6435</v>
      </c>
      <c r="M5108" s="176">
        <v>46003</v>
      </c>
      <c r="N5108" s="176"/>
      <c r="O5108" s="176"/>
      <c r="P5108" s="176" t="str">
        <f ca="1">IF(Proc[[#This Row],[DaysAgeing]]&gt;5,"yep","on track")</f>
        <v>on track</v>
      </c>
      <c r="Q5108" s="3">
        <f ca="1">IF(Proc[[#This Row],[DateClosed]]="",ABS(NETWORKDAYS(Proc[[#This Row],[DateOpened]],TODAY()))-1,ABS(NETWORKDAYS(Proc[[#This Row],[DateOpened]],Proc[[#This Row],[DateClosed]]))-1)</f>
        <v>5</v>
      </c>
      <c r="R5108" s="176" t="s">
        <v>780</v>
      </c>
      <c r="S5108" s="150"/>
    </row>
    <row r="5109" spans="1:19">
      <c r="A5109" t="s">
        <v>7371</v>
      </c>
      <c r="B5109" s="150" t="str">
        <f>IFERROR(VLOOKUP(Proc[[#This Row],[App]],Table2[],3,0),"open")</f>
        <v>open</v>
      </c>
      <c r="C5109" s="149" t="s">
        <v>369</v>
      </c>
      <c r="D5109" t="s">
        <v>7368</v>
      </c>
      <c r="E5109" t="s">
        <v>7372</v>
      </c>
      <c r="F5109" s="150" t="s">
        <v>7372</v>
      </c>
      <c r="G5109" t="s">
        <v>400</v>
      </c>
      <c r="H5109" s="150" t="str">
        <f>IF(Proc[[#This Row],[type]]="LFF (MDG-F)",MID(Proc[[#This Row],[Obj]],13,10),"")</f>
        <v/>
      </c>
      <c r="J5109" s="150" t="b">
        <f>Proc[[#This Row],[Requested]]=Proc[[#This Row],[CurrentParent]]</f>
        <v>1</v>
      </c>
      <c r="K5109" s="150" t="str">
        <f>IF(Proc[[#This Row],[Author]]="Marcela Urrego",VLOOKUP(LEFT(Proc[[#This Row],[Requested]],1),Table3[#All],2,0),VLOOKUP(Proc[[#This Row],[Author]],Table4[],2,0))</f>
        <v>LS</v>
      </c>
      <c r="L5109" s="150" t="s">
        <v>6435</v>
      </c>
      <c r="M5109" s="176">
        <v>46006</v>
      </c>
      <c r="N5109" s="177"/>
      <c r="O5109" s="177"/>
      <c r="P5109" s="177" t="str">
        <f ca="1">IF(Proc[[#This Row],[DaysAgeing]]&gt;5,"yep","on track")</f>
        <v>on track</v>
      </c>
      <c r="Q5109" s="3">
        <f ca="1">IF(Proc[[#This Row],[DateClosed]]="",ABS(NETWORKDAYS(Proc[[#This Row],[DateOpened]],TODAY()))-1,ABS(NETWORKDAYS(Proc[[#This Row],[DateOpened]],Proc[[#This Row],[DateClosed]]))-1)</f>
        <v>4</v>
      </c>
      <c r="R5109" s="177" t="s">
        <v>489</v>
      </c>
      <c r="S5109" s="150"/>
    </row>
    <row r="5110" spans="1:19">
      <c r="A5110" t="s">
        <v>7371</v>
      </c>
      <c r="B5110" s="150" t="str">
        <f>IFERROR(VLOOKUP(Proc[[#This Row],[App]],Table2[],3,0),"open")</f>
        <v>open</v>
      </c>
      <c r="C5110" s="149" t="s">
        <v>369</v>
      </c>
      <c r="D5110" t="s">
        <v>3472</v>
      </c>
      <c r="E5110" t="s">
        <v>6956</v>
      </c>
      <c r="F5110" s="150" t="s">
        <v>6956</v>
      </c>
      <c r="G5110" t="s">
        <v>400</v>
      </c>
      <c r="H5110" s="150" t="str">
        <f>IF(Proc[[#This Row],[type]]="LFF (MDG-F)",MID(Proc[[#This Row],[Obj]],13,10),"")</f>
        <v/>
      </c>
      <c r="J5110" s="150" t="b">
        <f>Proc[[#This Row],[Requested]]=Proc[[#This Row],[CurrentParent]]</f>
        <v>1</v>
      </c>
      <c r="K5110" s="150" t="str">
        <f>IF(Proc[[#This Row],[Author]]="Marcela Urrego",VLOOKUP(LEFT(Proc[[#This Row],[Requested]],1),Table3[#All],2,0),VLOOKUP(Proc[[#This Row],[Author]],Table4[],2,0))</f>
        <v>LS</v>
      </c>
      <c r="L5110" s="150" t="s">
        <v>6435</v>
      </c>
      <c r="M5110" s="176">
        <v>46006</v>
      </c>
      <c r="N5110" s="177"/>
      <c r="O5110" s="177"/>
      <c r="P5110" s="177" t="str">
        <f ca="1">IF(Proc[[#This Row],[DaysAgeing]]&gt;5,"yep","on track")</f>
        <v>on track</v>
      </c>
      <c r="Q5110" s="3">
        <f ca="1">IF(Proc[[#This Row],[DateClosed]]="",ABS(NETWORKDAYS(Proc[[#This Row],[DateOpened]],TODAY()))-1,ABS(NETWORKDAYS(Proc[[#This Row],[DateOpened]],Proc[[#This Row],[DateClosed]]))-1)</f>
        <v>4</v>
      </c>
      <c r="R5110" s="177" t="s">
        <v>489</v>
      </c>
      <c r="S5110" s="150"/>
    </row>
    <row r="5111" spans="1:19">
      <c r="A5111" s="149" t="s">
        <v>7371</v>
      </c>
      <c r="B5111" s="150" t="str">
        <f>IFERROR(VLOOKUP(Proc[[#This Row],[App]],Table2[],3,0),"open")</f>
        <v>open</v>
      </c>
      <c r="C5111" s="149" t="s">
        <v>369</v>
      </c>
      <c r="D5111" t="s">
        <v>3456</v>
      </c>
      <c r="E5111" t="s">
        <v>6956</v>
      </c>
      <c r="F5111" s="150" t="s">
        <v>6956</v>
      </c>
      <c r="G5111" s="149" t="s">
        <v>400</v>
      </c>
      <c r="H5111" s="150" t="str">
        <f>IF(Proc[[#This Row],[type]]="LFF (MDG-F)",MID(Proc[[#This Row],[Obj]],13,10),"")</f>
        <v/>
      </c>
      <c r="J5111" s="150" t="b">
        <f>Proc[[#This Row],[Requested]]=Proc[[#This Row],[CurrentParent]]</f>
        <v>1</v>
      </c>
      <c r="K5111" s="150" t="str">
        <f>IF(Proc[[#This Row],[Author]]="Marcela Urrego",VLOOKUP(LEFT(Proc[[#This Row],[Requested]],1),Table3[#All],2,0),VLOOKUP(Proc[[#This Row],[Author]],Table4[],2,0))</f>
        <v>LS</v>
      </c>
      <c r="L5111" s="150" t="s">
        <v>6435</v>
      </c>
      <c r="M5111" s="176">
        <v>46006</v>
      </c>
      <c r="N5111" s="177"/>
      <c r="O5111" s="177"/>
      <c r="P5111" s="177" t="str">
        <f ca="1">IF(Proc[[#This Row],[DaysAgeing]]&gt;5,"yep","on track")</f>
        <v>on track</v>
      </c>
      <c r="Q5111" s="3">
        <f ca="1">IF(Proc[[#This Row],[DateClosed]]="",ABS(NETWORKDAYS(Proc[[#This Row],[DateOpened]],TODAY()))-1,ABS(NETWORKDAYS(Proc[[#This Row],[DateOpened]],Proc[[#This Row],[DateClosed]]))-1)</f>
        <v>4</v>
      </c>
      <c r="R5111" s="177" t="s">
        <v>489</v>
      </c>
      <c r="S5111" s="150"/>
    </row>
    <row r="5112" spans="1:19">
      <c r="A5112" s="149" t="s">
        <v>7371</v>
      </c>
      <c r="B5112" s="150" t="str">
        <f>IFERROR(VLOOKUP(Proc[[#This Row],[App]],Table2[],3,0),"open")</f>
        <v>open</v>
      </c>
      <c r="C5112" s="149" t="s">
        <v>369</v>
      </c>
      <c r="D5112" t="s">
        <v>7369</v>
      </c>
      <c r="E5112" t="s">
        <v>7373</v>
      </c>
      <c r="F5112" s="150" t="s">
        <v>7373</v>
      </c>
      <c r="G5112" s="149" t="s">
        <v>400</v>
      </c>
      <c r="H5112" s="150" t="str">
        <f>IF(Proc[[#This Row],[type]]="LFF (MDG-F)",MID(Proc[[#This Row],[Obj]],13,10),"")</f>
        <v/>
      </c>
      <c r="J5112" s="150" t="b">
        <f>Proc[[#This Row],[Requested]]=Proc[[#This Row],[CurrentParent]]</f>
        <v>1</v>
      </c>
      <c r="K5112" s="150" t="str">
        <f>IF(Proc[[#This Row],[Author]]="Marcela Urrego",VLOOKUP(LEFT(Proc[[#This Row],[Requested]],1),Table3[#All],2,0),VLOOKUP(Proc[[#This Row],[Author]],Table4[],2,0))</f>
        <v>LS</v>
      </c>
      <c r="L5112" s="150" t="s">
        <v>6435</v>
      </c>
      <c r="M5112" s="176">
        <v>46006</v>
      </c>
      <c r="N5112" s="177"/>
      <c r="O5112" s="177"/>
      <c r="P5112" s="177" t="str">
        <f ca="1">IF(Proc[[#This Row],[DaysAgeing]]&gt;5,"yep","on track")</f>
        <v>on track</v>
      </c>
      <c r="Q5112" s="3">
        <f ca="1">IF(Proc[[#This Row],[DateClosed]]="",ABS(NETWORKDAYS(Proc[[#This Row],[DateOpened]],TODAY()))-1,ABS(NETWORKDAYS(Proc[[#This Row],[DateOpened]],Proc[[#This Row],[DateClosed]]))-1)</f>
        <v>4</v>
      </c>
      <c r="R5112" s="177" t="s">
        <v>489</v>
      </c>
      <c r="S5112" s="150"/>
    </row>
    <row r="5113" spans="1:19">
      <c r="A5113" s="149" t="s">
        <v>7371</v>
      </c>
      <c r="B5113" s="150" t="str">
        <f>IFERROR(VLOOKUP(Proc[[#This Row],[App]],Table2[],3,0),"open")</f>
        <v>open</v>
      </c>
      <c r="C5113" s="149" t="s">
        <v>369</v>
      </c>
      <c r="D5113" t="s">
        <v>7370</v>
      </c>
      <c r="E5113" t="s">
        <v>7374</v>
      </c>
      <c r="F5113" s="150" t="s">
        <v>7374</v>
      </c>
      <c r="G5113" s="149" t="s">
        <v>400</v>
      </c>
      <c r="H5113" s="150" t="str">
        <f>IF(Proc[[#This Row],[type]]="LFF (MDG-F)",MID(Proc[[#This Row],[Obj]],13,10),"")</f>
        <v/>
      </c>
      <c r="J5113" s="150" t="b">
        <f>Proc[[#This Row],[Requested]]=Proc[[#This Row],[CurrentParent]]</f>
        <v>1</v>
      </c>
      <c r="K5113" s="150" t="str">
        <f>IF(Proc[[#This Row],[Author]]="Marcela Urrego",VLOOKUP(LEFT(Proc[[#This Row],[Requested]],1),Table3[#All],2,0),VLOOKUP(Proc[[#This Row],[Author]],Table4[],2,0))</f>
        <v>LS</v>
      </c>
      <c r="L5113" s="150" t="s">
        <v>6435</v>
      </c>
      <c r="M5113" s="176">
        <v>46006</v>
      </c>
      <c r="N5113" s="177"/>
      <c r="O5113" s="177"/>
      <c r="P5113" s="177" t="str">
        <f ca="1">IF(Proc[[#This Row],[DaysAgeing]]&gt;5,"yep","on track")</f>
        <v>on track</v>
      </c>
      <c r="Q5113" s="3">
        <f ca="1">IF(Proc[[#This Row],[DateClosed]]="",ABS(NETWORKDAYS(Proc[[#This Row],[DateOpened]],TODAY()))-1,ABS(NETWORKDAYS(Proc[[#This Row],[DateOpened]],Proc[[#This Row],[DateClosed]]))-1)</f>
        <v>4</v>
      </c>
      <c r="R5113" s="177" t="s">
        <v>489</v>
      </c>
      <c r="S5113" s="150"/>
    </row>
    <row r="5114" spans="1:19">
      <c r="A5114" s="149" t="s">
        <v>7371</v>
      </c>
      <c r="B5114" s="150" t="str">
        <f>IFERROR(VLOOKUP(Proc[[#This Row],[App]],Table2[],3,0),"open")</f>
        <v>open</v>
      </c>
      <c r="C5114" s="149" t="s">
        <v>375</v>
      </c>
      <c r="D5114" t="s">
        <v>3430</v>
      </c>
      <c r="E5114" t="s">
        <v>7375</v>
      </c>
      <c r="F5114" s="150" t="str">
        <f>VLOOKUP(Proc[[#This Row],[Obj]],Sheet4!A:B,2,0)</f>
        <v>L000013555</v>
      </c>
      <c r="G5114" t="s">
        <v>406</v>
      </c>
      <c r="H5114" s="150" t="str">
        <f>IF(Proc[[#This Row],[type]]="LFF (MDG-F)",MID(Proc[[#This Row],[Obj]],13,10),"")</f>
        <v>1756C00005</v>
      </c>
      <c r="J5114" s="150" t="b">
        <f>Proc[[#This Row],[Requested]]=Proc[[#This Row],[CurrentParent]]</f>
        <v>0</v>
      </c>
      <c r="K5114" s="150" t="str">
        <f>IF(Proc[[#This Row],[Author]]="Marcela Urrego",VLOOKUP(LEFT(Proc[[#This Row],[Requested]],1),Table3[#All],2,0),VLOOKUP(Proc[[#This Row],[Author]],Table4[],2,0))</f>
        <v>LS</v>
      </c>
      <c r="L5114" s="150" t="s">
        <v>6435</v>
      </c>
      <c r="M5114" s="176">
        <v>46006</v>
      </c>
      <c r="N5114" s="177"/>
      <c r="O5114" s="177"/>
      <c r="P5114" s="177" t="str">
        <f ca="1">IF(Proc[[#This Row],[DaysAgeing]]&gt;5,"yep","on track")</f>
        <v>on track</v>
      </c>
      <c r="Q5114" s="3">
        <f ca="1">IF(Proc[[#This Row],[DateClosed]]="",ABS(NETWORKDAYS(Proc[[#This Row],[DateOpened]],TODAY()))-1,ABS(NETWORKDAYS(Proc[[#This Row],[DateOpened]],Proc[[#This Row],[DateClosed]]))-1)</f>
        <v>4</v>
      </c>
      <c r="R5114" s="177" t="s">
        <v>489</v>
      </c>
      <c r="S5114" s="150"/>
    </row>
    <row r="5115" spans="1:19" hidden="1">
      <c r="A5115" t="s">
        <v>7376</v>
      </c>
      <c r="B5115" s="150" t="str">
        <f>IFERROR(VLOOKUP(Proc[[#This Row],[App]],Table2[],3,0),"open")</f>
        <v>open</v>
      </c>
      <c r="C5115" t="s">
        <v>405</v>
      </c>
      <c r="D5115" t="s">
        <v>7378</v>
      </c>
      <c r="E5115" t="s">
        <v>7377</v>
      </c>
      <c r="F5115" s="150" t="str">
        <f>VLOOKUP(Proc[[#This Row],[Obj]],Sheet4!A:B,2,0)</f>
        <v>G000000864</v>
      </c>
      <c r="G5115" t="s">
        <v>400</v>
      </c>
      <c r="H5115" s="150" t="str">
        <f>IF(Proc[[#This Row],[type]]="LFF (MDG-F)",MID(Proc[[#This Row],[Obj]],13,10),"")</f>
        <v/>
      </c>
      <c r="I5115" t="s">
        <v>7379</v>
      </c>
      <c r="J5115" s="150" t="b">
        <f>Proc[[#This Row],[Requested]]=Proc[[#This Row],[CurrentParent]]</f>
        <v>0</v>
      </c>
      <c r="K5115" s="150" t="str">
        <f>IF(Proc[[#This Row],[Author]]="Marcela Urrego",VLOOKUP(LEFT(Proc[[#This Row],[Requested]],1),Table3[#All],2,0),VLOOKUP(Proc[[#This Row],[Author]],Table4[],2,0))</f>
        <v>MGF</v>
      </c>
      <c r="L5115" s="150" t="s">
        <v>6435</v>
      </c>
      <c r="M5115" s="177">
        <v>46006</v>
      </c>
      <c r="N5115" s="177"/>
      <c r="O5115" s="177"/>
      <c r="P5115" s="177" t="str">
        <f ca="1">IF(Proc[[#This Row],[DaysAgeing]]&gt;5,"yep","on track")</f>
        <v>on track</v>
      </c>
      <c r="Q5115" s="3">
        <f ca="1">IF(Proc[[#This Row],[DateClosed]]="",ABS(NETWORKDAYS(Proc[[#This Row],[DateOpened]],TODAY()))-1,ABS(NETWORKDAYS(Proc[[#This Row],[DateOpened]],Proc[[#This Row],[DateClosed]]))-1)</f>
        <v>4</v>
      </c>
      <c r="R5115" s="177" t="s">
        <v>485</v>
      </c>
      <c r="S5115" s="150"/>
    </row>
    <row r="5116" spans="1:19" hidden="1">
      <c r="A5116" t="s">
        <v>7383</v>
      </c>
      <c r="B5116" s="150" t="str">
        <f>IFERROR(VLOOKUP(Proc[[#This Row],[App]],Table2[],3,0),"open")</f>
        <v>open</v>
      </c>
      <c r="C5116" s="149" t="s">
        <v>369</v>
      </c>
      <c r="D5116" t="s">
        <v>2089</v>
      </c>
      <c r="E5116" t="s">
        <v>2092</v>
      </c>
      <c r="F5116" s="150" t="str">
        <f>VLOOKUP(Proc[[#This Row],[Obj]],Sheet3!A:B,2,0)</f>
        <v>L000006137</v>
      </c>
      <c r="G5116" s="149" t="s">
        <v>400</v>
      </c>
      <c r="H5116" s="150" t="str">
        <f>IF(Proc[[#This Row],[type]]="LFF (MDG-F)",MID(Proc[[#This Row],[Obj]],13,10),"")</f>
        <v/>
      </c>
      <c r="J5116" s="150" t="b">
        <f>Proc[[#This Row],[Requested]]=Proc[[#This Row],[CurrentParent]]</f>
        <v>1</v>
      </c>
      <c r="K5116" s="150" t="str">
        <f>IF(Proc[[#This Row],[Author]]="Marcela Urrego",VLOOKUP(LEFT(Proc[[#This Row],[Requested]],1),Table3[#All],2,0),VLOOKUP(Proc[[#This Row],[Author]],Table4[],2,0))</f>
        <v>MGF</v>
      </c>
      <c r="L5116" s="150" t="s">
        <v>6435</v>
      </c>
      <c r="M5116" s="177">
        <v>46009</v>
      </c>
      <c r="N5116" s="177"/>
      <c r="O5116" s="177"/>
      <c r="P5116" s="177" t="str">
        <f ca="1">IF(Proc[[#This Row],[DaysAgeing]]&gt;5,"yep","on track")</f>
        <v>on track</v>
      </c>
      <c r="Q5116" s="3">
        <f ca="1">IF(Proc[[#This Row],[DateClosed]]="",ABS(NETWORKDAYS(Proc[[#This Row],[DateOpened]],TODAY()))-1,ABS(NETWORKDAYS(Proc[[#This Row],[DateOpened]],Proc[[#This Row],[DateClosed]]))-1)</f>
        <v>1</v>
      </c>
      <c r="R5116" s="177" t="s">
        <v>481</v>
      </c>
      <c r="S5116" s="150"/>
    </row>
    <row r="5117" spans="1:19" hidden="1">
      <c r="A5117" s="149" t="s">
        <v>7383</v>
      </c>
      <c r="B5117" s="150" t="str">
        <f>IFERROR(VLOOKUP(Proc[[#This Row],[App]],Table2[],3,0),"open")</f>
        <v>open</v>
      </c>
      <c r="C5117" s="149" t="s">
        <v>369</v>
      </c>
      <c r="D5117" t="s">
        <v>2090</v>
      </c>
      <c r="E5117" t="s">
        <v>2093</v>
      </c>
      <c r="F5117" s="150" t="str">
        <f>VLOOKUP(Proc[[#This Row],[Obj]],Sheet3!A:B,2,0)</f>
        <v>L000008508</v>
      </c>
      <c r="G5117" s="149" t="s">
        <v>400</v>
      </c>
      <c r="H5117" s="150" t="str">
        <f>IF(Proc[[#This Row],[type]]="LFF (MDG-F)",MID(Proc[[#This Row],[Obj]],13,10),"")</f>
        <v/>
      </c>
      <c r="J5117" s="150" t="b">
        <f>Proc[[#This Row],[Requested]]=Proc[[#This Row],[CurrentParent]]</f>
        <v>1</v>
      </c>
      <c r="K5117" s="150" t="str">
        <f>IF(Proc[[#This Row],[Author]]="Marcela Urrego",VLOOKUP(LEFT(Proc[[#This Row],[Requested]],1),Table3[#All],2,0),VLOOKUP(Proc[[#This Row],[Author]],Table4[],2,0))</f>
        <v>MGF</v>
      </c>
      <c r="L5117" s="150" t="s">
        <v>6435</v>
      </c>
      <c r="M5117" s="177">
        <v>46009</v>
      </c>
      <c r="N5117" s="177"/>
      <c r="O5117" s="177"/>
      <c r="P5117" s="177" t="str">
        <f ca="1">IF(Proc[[#This Row],[DaysAgeing]]&gt;5,"yep","on track")</f>
        <v>on track</v>
      </c>
      <c r="Q5117" s="3">
        <f ca="1">IF(Proc[[#This Row],[DateClosed]]="",ABS(NETWORKDAYS(Proc[[#This Row],[DateOpened]],TODAY()))-1,ABS(NETWORKDAYS(Proc[[#This Row],[DateOpened]],Proc[[#This Row],[DateClosed]]))-1)</f>
        <v>1</v>
      </c>
      <c r="R5117" s="177" t="s">
        <v>481</v>
      </c>
      <c r="S5117" s="150"/>
    </row>
    <row r="5118" spans="1:19" hidden="1">
      <c r="A5118" s="149" t="s">
        <v>7383</v>
      </c>
      <c r="B5118" s="150" t="str">
        <f>IFERROR(VLOOKUP(Proc[[#This Row],[App]],Table2[],3,0),"open")</f>
        <v>open</v>
      </c>
      <c r="C5118" s="149" t="s">
        <v>375</v>
      </c>
      <c r="D5118" t="s">
        <v>7384</v>
      </c>
      <c r="E5118" t="s">
        <v>7382</v>
      </c>
      <c r="F5118" s="150"/>
      <c r="G5118" t="s">
        <v>406</v>
      </c>
      <c r="H5118" s="150" t="str">
        <f>IF(Proc[[#This Row],[type]]="LFF (MDG-F)",MID(Proc[[#This Row],[Obj]],13,10),"")</f>
        <v>DE20529800</v>
      </c>
      <c r="J5118" s="150" t="b">
        <f>Proc[[#This Row],[Requested]]=Proc[[#This Row],[CurrentParent]]</f>
        <v>0</v>
      </c>
      <c r="K5118" s="150" t="str">
        <f>IF(Proc[[#This Row],[Author]]="Marcela Urrego",VLOOKUP(LEFT(Proc[[#This Row],[Requested]],1),Table3[#All],2,0),VLOOKUP(Proc[[#This Row],[Author]],Table4[],2,0))</f>
        <v>MGF</v>
      </c>
      <c r="L5118" s="150" t="s">
        <v>6435</v>
      </c>
      <c r="M5118" s="177">
        <v>46009</v>
      </c>
      <c r="N5118" s="177"/>
      <c r="O5118" s="177"/>
      <c r="P5118" s="177" t="str">
        <f ca="1">IF(Proc[[#This Row],[DaysAgeing]]&gt;5,"yep","on track")</f>
        <v>on track</v>
      </c>
      <c r="Q5118" s="3">
        <f ca="1">IF(Proc[[#This Row],[DateClosed]]="",ABS(NETWORKDAYS(Proc[[#This Row],[DateOpened]],TODAY()))-1,ABS(NETWORKDAYS(Proc[[#This Row],[DateOpened]],Proc[[#This Row],[DateClosed]]))-1)</f>
        <v>1</v>
      </c>
      <c r="R5118" s="177" t="s">
        <v>481</v>
      </c>
      <c r="S5118" s="150"/>
    </row>
    <row r="5119" spans="1:19" hidden="1">
      <c r="A5119" s="149" t="s">
        <v>7383</v>
      </c>
      <c r="B5119" s="150" t="str">
        <f>IFERROR(VLOOKUP(Proc[[#This Row],[App]],Table2[],3,0),"open")</f>
        <v>open</v>
      </c>
      <c r="C5119" s="149" t="s">
        <v>375</v>
      </c>
      <c r="D5119" t="s">
        <v>7385</v>
      </c>
      <c r="E5119" t="s">
        <v>7382</v>
      </c>
      <c r="F5119" s="150"/>
      <c r="G5119" s="149" t="s">
        <v>406</v>
      </c>
      <c r="H5119" s="150" t="str">
        <f>IF(Proc[[#This Row],[type]]="LFF (MDG-F)",MID(Proc[[#This Row],[Obj]],13,10),"")</f>
        <v>DE20529900</v>
      </c>
      <c r="J5119" s="150" t="b">
        <f>Proc[[#This Row],[Requested]]=Proc[[#This Row],[CurrentParent]]</f>
        <v>0</v>
      </c>
      <c r="K5119" s="150" t="str">
        <f>IF(Proc[[#This Row],[Author]]="Marcela Urrego",VLOOKUP(LEFT(Proc[[#This Row],[Requested]],1),Table3[#All],2,0),VLOOKUP(Proc[[#This Row],[Author]],Table4[],2,0))</f>
        <v>MGF</v>
      </c>
      <c r="L5119" s="150" t="s">
        <v>6435</v>
      </c>
      <c r="M5119" s="177">
        <v>46009</v>
      </c>
      <c r="N5119" s="177"/>
      <c r="O5119" s="177"/>
      <c r="P5119" s="177" t="str">
        <f ca="1">IF(Proc[[#This Row],[DaysAgeing]]&gt;5,"yep","on track")</f>
        <v>on track</v>
      </c>
      <c r="Q5119" s="3">
        <f ca="1">IF(Proc[[#This Row],[DateClosed]]="",ABS(NETWORKDAYS(Proc[[#This Row],[DateOpened]],TODAY()))-1,ABS(NETWORKDAYS(Proc[[#This Row],[DateOpened]],Proc[[#This Row],[DateClosed]]))-1)</f>
        <v>1</v>
      </c>
      <c r="R5119" s="177" t="s">
        <v>481</v>
      </c>
      <c r="S5119" s="150"/>
    </row>
    <row r="5120" spans="1:19" hidden="1">
      <c r="A5120" t="s">
        <v>7386</v>
      </c>
      <c r="B5120" s="150" t="str">
        <f>IFERROR(VLOOKUP(Proc[[#This Row],[App]],Table2[],3,0),"open")</f>
        <v>open</v>
      </c>
      <c r="C5120" s="149" t="s">
        <v>370</v>
      </c>
      <c r="D5120" t="s">
        <v>7387</v>
      </c>
      <c r="E5120" t="s">
        <v>7394</v>
      </c>
      <c r="F5120" s="150"/>
      <c r="G5120" s="149" t="s">
        <v>400</v>
      </c>
      <c r="H5120" s="150" t="str">
        <f>IF(Proc[[#This Row],[type]]="LFF (MDG-F)",MID(Proc[[#This Row],[Obj]],13,10),"")</f>
        <v/>
      </c>
      <c r="J5120" s="150" t="b">
        <f>Proc[[#This Row],[Requested]]=Proc[[#This Row],[CurrentParent]]</f>
        <v>0</v>
      </c>
      <c r="K5120" s="150" t="str">
        <f>IF(Proc[[#This Row],[Author]]="Marcela Urrego",VLOOKUP(LEFT(Proc[[#This Row],[Requested]],1),Table3[#All],2,0),VLOOKUP(Proc[[#This Row],[Author]],Table4[],2,0))</f>
        <v>LS</v>
      </c>
      <c r="L5120" s="150" t="s">
        <v>6435</v>
      </c>
      <c r="M5120" s="177">
        <v>46009</v>
      </c>
      <c r="N5120" s="177"/>
      <c r="O5120" s="177"/>
      <c r="P5120" s="177" t="str">
        <f ca="1">IF(Proc[[#This Row],[DaysAgeing]]&gt;5,"yep","on track")</f>
        <v>on track</v>
      </c>
      <c r="Q5120" s="3">
        <f ca="1">IF(Proc[[#This Row],[DateClosed]]="",ABS(NETWORKDAYS(Proc[[#This Row],[DateOpened]],TODAY()))-1,ABS(NETWORKDAYS(Proc[[#This Row],[DateOpened]],Proc[[#This Row],[DateClosed]]))-1)</f>
        <v>1</v>
      </c>
      <c r="R5120" s="177" t="s">
        <v>489</v>
      </c>
      <c r="S5120" s="150"/>
    </row>
    <row r="5121" spans="1:19" hidden="1">
      <c r="A5121" s="149" t="s">
        <v>7386</v>
      </c>
      <c r="B5121" s="150" t="str">
        <f>IFERROR(VLOOKUP(Proc[[#This Row],[App]],Table2[],3,0),"open")</f>
        <v>open</v>
      </c>
      <c r="C5121" s="149" t="s">
        <v>369</v>
      </c>
      <c r="D5121" t="s">
        <v>7388</v>
      </c>
      <c r="E5121" t="s">
        <v>4100</v>
      </c>
      <c r="F5121" s="150" t="str">
        <f>VLOOKUP(Proc[[#This Row],[Obj]],Sheet3!A:B,2,0)</f>
        <v>L000011451</v>
      </c>
      <c r="G5121" s="149" t="s">
        <v>400</v>
      </c>
      <c r="H5121" s="150" t="str">
        <f>IF(Proc[[#This Row],[type]]="LFF (MDG-F)",MID(Proc[[#This Row],[Obj]],13,10),"")</f>
        <v/>
      </c>
      <c r="J5121" s="150" t="b">
        <f>Proc[[#This Row],[Requested]]=Proc[[#This Row],[CurrentParent]]</f>
        <v>1</v>
      </c>
      <c r="K5121" s="150" t="str">
        <f>IF(Proc[[#This Row],[Author]]="Marcela Urrego",VLOOKUP(LEFT(Proc[[#This Row],[Requested]],1),Table3[#All],2,0),VLOOKUP(Proc[[#This Row],[Author]],Table4[],2,0))</f>
        <v>LS</v>
      </c>
      <c r="L5121" s="150" t="s">
        <v>6435</v>
      </c>
      <c r="M5121" s="177">
        <v>46009</v>
      </c>
      <c r="N5121" s="177"/>
      <c r="O5121" s="177"/>
      <c r="P5121" s="177" t="str">
        <f ca="1">IF(Proc[[#This Row],[DaysAgeing]]&gt;5,"yep","on track")</f>
        <v>on track</v>
      </c>
      <c r="Q5121" s="3">
        <f ca="1">IF(Proc[[#This Row],[DateClosed]]="",ABS(NETWORKDAYS(Proc[[#This Row],[DateOpened]],TODAY()))-1,ABS(NETWORKDAYS(Proc[[#This Row],[DateOpened]],Proc[[#This Row],[DateClosed]]))-1)</f>
        <v>1</v>
      </c>
      <c r="R5121" s="177" t="s">
        <v>489</v>
      </c>
      <c r="S5121" s="150"/>
    </row>
    <row r="5122" spans="1:19" hidden="1">
      <c r="A5122" s="149" t="s">
        <v>7386</v>
      </c>
      <c r="B5122" s="150" t="str">
        <f>IFERROR(VLOOKUP(Proc[[#This Row],[App]],Table2[],3,0),"open")</f>
        <v>open</v>
      </c>
      <c r="C5122" s="149" t="s">
        <v>370</v>
      </c>
      <c r="D5122" t="s">
        <v>7389</v>
      </c>
      <c r="E5122" t="s">
        <v>7395</v>
      </c>
      <c r="F5122" s="150"/>
      <c r="G5122" s="149" t="s">
        <v>400</v>
      </c>
      <c r="H5122" s="150" t="str">
        <f>IF(Proc[[#This Row],[type]]="LFF (MDG-F)",MID(Proc[[#This Row],[Obj]],13,10),"")</f>
        <v/>
      </c>
      <c r="J5122" s="150" t="b">
        <f>Proc[[#This Row],[Requested]]=Proc[[#This Row],[CurrentParent]]</f>
        <v>0</v>
      </c>
      <c r="K5122" s="150" t="str">
        <f>IF(Proc[[#This Row],[Author]]="Marcela Urrego",VLOOKUP(LEFT(Proc[[#This Row],[Requested]],1),Table3[#All],2,0),VLOOKUP(Proc[[#This Row],[Author]],Table4[],2,0))</f>
        <v>LS</v>
      </c>
      <c r="L5122" s="150" t="s">
        <v>6435</v>
      </c>
      <c r="M5122" s="177">
        <v>46009</v>
      </c>
      <c r="N5122" s="177"/>
      <c r="O5122" s="177"/>
      <c r="P5122" s="177" t="str">
        <f ca="1">IF(Proc[[#This Row],[DaysAgeing]]&gt;5,"yep","on track")</f>
        <v>on track</v>
      </c>
      <c r="Q5122" s="3">
        <f ca="1">IF(Proc[[#This Row],[DateClosed]]="",ABS(NETWORKDAYS(Proc[[#This Row],[DateOpened]],TODAY()))-1,ABS(NETWORKDAYS(Proc[[#This Row],[DateOpened]],Proc[[#This Row],[DateClosed]]))-1)</f>
        <v>1</v>
      </c>
      <c r="R5122" s="177" t="s">
        <v>489</v>
      </c>
      <c r="S5122" s="150"/>
    </row>
    <row r="5123" spans="1:19" hidden="1">
      <c r="A5123" s="149" t="s">
        <v>7386</v>
      </c>
      <c r="B5123" s="150" t="str">
        <f>IFERROR(VLOOKUP(Proc[[#This Row],[App]],Table2[],3,0),"open")</f>
        <v>open</v>
      </c>
      <c r="C5123" s="149" t="s">
        <v>370</v>
      </c>
      <c r="D5123" t="s">
        <v>7390</v>
      </c>
      <c r="E5123" t="s">
        <v>7396</v>
      </c>
      <c r="F5123" s="150"/>
      <c r="G5123" s="149" t="s">
        <v>400</v>
      </c>
      <c r="H5123" s="150" t="str">
        <f>IF(Proc[[#This Row],[type]]="LFF (MDG-F)",MID(Proc[[#This Row],[Obj]],13,10),"")</f>
        <v/>
      </c>
      <c r="J5123" s="150" t="b">
        <f>Proc[[#This Row],[Requested]]=Proc[[#This Row],[CurrentParent]]</f>
        <v>0</v>
      </c>
      <c r="K5123" s="150" t="str">
        <f>IF(Proc[[#This Row],[Author]]="Marcela Urrego",VLOOKUP(LEFT(Proc[[#This Row],[Requested]],1),Table3[#All],2,0),VLOOKUP(Proc[[#This Row],[Author]],Table4[],2,0))</f>
        <v>LS</v>
      </c>
      <c r="L5123" s="150" t="s">
        <v>6435</v>
      </c>
      <c r="M5123" s="177">
        <v>46009</v>
      </c>
      <c r="N5123" s="177"/>
      <c r="O5123" s="177"/>
      <c r="P5123" s="177" t="str">
        <f ca="1">IF(Proc[[#This Row],[DaysAgeing]]&gt;5,"yep","on track")</f>
        <v>on track</v>
      </c>
      <c r="Q5123" s="3">
        <f ca="1">IF(Proc[[#This Row],[DateClosed]]="",ABS(NETWORKDAYS(Proc[[#This Row],[DateOpened]],TODAY()))-1,ABS(NETWORKDAYS(Proc[[#This Row],[DateOpened]],Proc[[#This Row],[DateClosed]]))-1)</f>
        <v>1</v>
      </c>
      <c r="R5123" s="177" t="s">
        <v>489</v>
      </c>
      <c r="S5123" s="150"/>
    </row>
    <row r="5124" spans="1:19" hidden="1">
      <c r="A5124" s="149" t="s">
        <v>7386</v>
      </c>
      <c r="B5124" s="150" t="str">
        <f>IFERROR(VLOOKUP(Proc[[#This Row],[App]],Table2[],3,0),"open")</f>
        <v>open</v>
      </c>
      <c r="C5124" s="149" t="s">
        <v>370</v>
      </c>
      <c r="D5124" t="s">
        <v>7391</v>
      </c>
      <c r="E5124" t="s">
        <v>4100</v>
      </c>
      <c r="F5124" s="150"/>
      <c r="G5124" s="149" t="s">
        <v>400</v>
      </c>
      <c r="H5124" s="150" t="str">
        <f>IF(Proc[[#This Row],[type]]="LFF (MDG-F)",MID(Proc[[#This Row],[Obj]],13,10),"")</f>
        <v/>
      </c>
      <c r="J5124" s="150" t="b">
        <f>Proc[[#This Row],[Requested]]=Proc[[#This Row],[CurrentParent]]</f>
        <v>0</v>
      </c>
      <c r="K5124" s="150" t="str">
        <f>IF(Proc[[#This Row],[Author]]="Marcela Urrego",VLOOKUP(LEFT(Proc[[#This Row],[Requested]],1),Table3[#All],2,0),VLOOKUP(Proc[[#This Row],[Author]],Table4[],2,0))</f>
        <v>LS</v>
      </c>
      <c r="L5124" s="150" t="s">
        <v>6435</v>
      </c>
      <c r="M5124" s="177">
        <v>46009</v>
      </c>
      <c r="N5124" s="177"/>
      <c r="O5124" s="177"/>
      <c r="P5124" s="177" t="str">
        <f ca="1">IF(Proc[[#This Row],[DaysAgeing]]&gt;5,"yep","on track")</f>
        <v>on track</v>
      </c>
      <c r="Q5124" s="3">
        <f ca="1">IF(Proc[[#This Row],[DateClosed]]="",ABS(NETWORKDAYS(Proc[[#This Row],[DateOpened]],TODAY()))-1,ABS(NETWORKDAYS(Proc[[#This Row],[DateOpened]],Proc[[#This Row],[DateClosed]]))-1)</f>
        <v>1</v>
      </c>
      <c r="R5124" s="177" t="s">
        <v>489</v>
      </c>
      <c r="S5124" s="150"/>
    </row>
    <row r="5125" spans="1:19" hidden="1">
      <c r="A5125" s="149" t="s">
        <v>7386</v>
      </c>
      <c r="B5125" s="150" t="str">
        <f>IFERROR(VLOOKUP(Proc[[#This Row],[App]],Table2[],3,0),"open")</f>
        <v>open</v>
      </c>
      <c r="C5125" s="149" t="s">
        <v>370</v>
      </c>
      <c r="D5125" t="s">
        <v>7392</v>
      </c>
      <c r="E5125" t="s">
        <v>7397</v>
      </c>
      <c r="F5125" s="150"/>
      <c r="G5125" s="149" t="s">
        <v>400</v>
      </c>
      <c r="H5125" s="150" t="str">
        <f>IF(Proc[[#This Row],[type]]="LFF (MDG-F)",MID(Proc[[#This Row],[Obj]],13,10),"")</f>
        <v/>
      </c>
      <c r="J5125" s="150" t="b">
        <f>Proc[[#This Row],[Requested]]=Proc[[#This Row],[CurrentParent]]</f>
        <v>0</v>
      </c>
      <c r="K5125" s="150" t="str">
        <f>IF(Proc[[#This Row],[Author]]="Marcela Urrego",VLOOKUP(LEFT(Proc[[#This Row],[Requested]],1),Table3[#All],2,0),VLOOKUP(Proc[[#This Row],[Author]],Table4[],2,0))</f>
        <v>LS</v>
      </c>
      <c r="L5125" s="150" t="s">
        <v>6435</v>
      </c>
      <c r="M5125" s="177">
        <v>46009</v>
      </c>
      <c r="N5125" s="177"/>
      <c r="O5125" s="177"/>
      <c r="P5125" s="177" t="str">
        <f ca="1">IF(Proc[[#This Row],[DaysAgeing]]&gt;5,"yep","on track")</f>
        <v>on track</v>
      </c>
      <c r="Q5125" s="3">
        <f ca="1">IF(Proc[[#This Row],[DateClosed]]="",ABS(NETWORKDAYS(Proc[[#This Row],[DateOpened]],TODAY()))-1,ABS(NETWORKDAYS(Proc[[#This Row],[DateOpened]],Proc[[#This Row],[DateClosed]]))-1)</f>
        <v>1</v>
      </c>
      <c r="R5125" s="177" t="s">
        <v>489</v>
      </c>
      <c r="S5125" s="150"/>
    </row>
    <row r="5126" spans="1:19" hidden="1">
      <c r="A5126" s="149" t="s">
        <v>7386</v>
      </c>
      <c r="B5126" s="150" t="str">
        <f>IFERROR(VLOOKUP(Proc[[#This Row],[App]],Table2[],3,0),"open")</f>
        <v>open</v>
      </c>
      <c r="C5126" s="149" t="s">
        <v>370</v>
      </c>
      <c r="D5126" t="s">
        <v>7393</v>
      </c>
      <c r="E5126" t="s">
        <v>7398</v>
      </c>
      <c r="F5126" s="150"/>
      <c r="G5126" s="149" t="s">
        <v>400</v>
      </c>
      <c r="H5126" s="150" t="str">
        <f>IF(Proc[[#This Row],[type]]="LFF (MDG-F)",MID(Proc[[#This Row],[Obj]],13,10),"")</f>
        <v/>
      </c>
      <c r="J5126" s="150" t="b">
        <f>Proc[[#This Row],[Requested]]=Proc[[#This Row],[CurrentParent]]</f>
        <v>0</v>
      </c>
      <c r="K5126" s="150" t="str">
        <f>IF(Proc[[#This Row],[Author]]="Marcela Urrego",VLOOKUP(LEFT(Proc[[#This Row],[Requested]],1),Table3[#All],2,0),VLOOKUP(Proc[[#This Row],[Author]],Table4[],2,0))</f>
        <v>LS</v>
      </c>
      <c r="L5126" s="150" t="s">
        <v>6435</v>
      </c>
      <c r="M5126" s="177">
        <v>46009</v>
      </c>
      <c r="N5126" s="177"/>
      <c r="O5126" s="177"/>
      <c r="P5126" s="177" t="str">
        <f ca="1">IF(Proc[[#This Row],[DaysAgeing]]&gt;5,"yep","on track")</f>
        <v>on track</v>
      </c>
      <c r="Q5126" s="3">
        <f ca="1">IF(Proc[[#This Row],[DateClosed]]="",ABS(NETWORKDAYS(Proc[[#This Row],[DateOpened]],TODAY()))-1,ABS(NETWORKDAYS(Proc[[#This Row],[DateOpened]],Proc[[#This Row],[DateClosed]]))-1)</f>
        <v>1</v>
      </c>
      <c r="R5126" s="177" t="s">
        <v>489</v>
      </c>
      <c r="S5126" s="150"/>
    </row>
    <row r="5127" spans="1:19" hidden="1">
      <c r="A5127" t="s">
        <v>7403</v>
      </c>
      <c r="B5127" s="150" t="str">
        <f>IFERROR(VLOOKUP(Proc[[#This Row],[App]],Table2[],3,0),"open")</f>
        <v>open</v>
      </c>
      <c r="C5127" s="149" t="s">
        <v>369</v>
      </c>
      <c r="D5127" t="s">
        <v>2089</v>
      </c>
      <c r="E5127" t="s">
        <v>2092</v>
      </c>
      <c r="F5127" s="150" t="str">
        <f>VLOOKUP(Proc[[#This Row],[Obj]],Sheet3!A:B,2,0)</f>
        <v>L000006137</v>
      </c>
      <c r="G5127" s="149" t="s">
        <v>400</v>
      </c>
      <c r="H5127" s="150" t="str">
        <f>IF(Proc[[#This Row],[type]]="LFF (MDG-F)",MID(Proc[[#This Row],[Obj]],13,10),"")</f>
        <v/>
      </c>
      <c r="J5127" s="150" t="b">
        <f>Proc[[#This Row],[Requested]]=Proc[[#This Row],[CurrentParent]]</f>
        <v>1</v>
      </c>
      <c r="K5127" s="150" t="str">
        <f>IF(Proc[[#This Row],[Author]]="Marcela Urrego",VLOOKUP(LEFT(Proc[[#This Row],[Requested]],1),Table3[#All],2,0),VLOOKUP(Proc[[#This Row],[Author]],Table4[],2,0))</f>
        <v>MGF</v>
      </c>
      <c r="L5127" s="150" t="s">
        <v>6435</v>
      </c>
      <c r="M5127" s="177">
        <v>46009</v>
      </c>
      <c r="N5127" s="177"/>
      <c r="O5127" s="177"/>
      <c r="P5127" s="177" t="str">
        <f ca="1">IF(Proc[[#This Row],[DaysAgeing]]&gt;5,"yep","on track")</f>
        <v>on track</v>
      </c>
      <c r="Q5127" s="3">
        <f ca="1">IF(Proc[[#This Row],[DateClosed]]="",ABS(NETWORKDAYS(Proc[[#This Row],[DateOpened]],TODAY()))-1,ABS(NETWORKDAYS(Proc[[#This Row],[DateOpened]],Proc[[#This Row],[DateClosed]]))-1)</f>
        <v>1</v>
      </c>
      <c r="R5127" s="177" t="s">
        <v>481</v>
      </c>
      <c r="S5127" s="150"/>
    </row>
    <row r="5128" spans="1:19" hidden="1">
      <c r="A5128" s="149" t="s">
        <v>7403</v>
      </c>
      <c r="B5128" s="150" t="str">
        <f>IFERROR(VLOOKUP(Proc[[#This Row],[App]],Table2[],3,0),"open")</f>
        <v>open</v>
      </c>
      <c r="C5128" s="149" t="s">
        <v>369</v>
      </c>
      <c r="D5128" t="s">
        <v>2090</v>
      </c>
      <c r="E5128" t="s">
        <v>2093</v>
      </c>
      <c r="F5128" s="150" t="str">
        <f>VLOOKUP(Proc[[#This Row],[Obj]],Sheet3!A:B,2,0)</f>
        <v>L000008508</v>
      </c>
      <c r="G5128" s="149" t="s">
        <v>400</v>
      </c>
      <c r="H5128" s="150" t="str">
        <f>IF(Proc[[#This Row],[type]]="LFF (MDG-F)",MID(Proc[[#This Row],[Obj]],13,10),"")</f>
        <v/>
      </c>
      <c r="J5128" s="150" t="b">
        <f>Proc[[#This Row],[Requested]]=Proc[[#This Row],[CurrentParent]]</f>
        <v>1</v>
      </c>
      <c r="K5128" s="150" t="str">
        <f>IF(Proc[[#This Row],[Author]]="Marcela Urrego",VLOOKUP(LEFT(Proc[[#This Row],[Requested]],1),Table3[#All],2,0),VLOOKUP(Proc[[#This Row],[Author]],Table4[],2,0))</f>
        <v>MGF</v>
      </c>
      <c r="L5128" s="150" t="s">
        <v>6435</v>
      </c>
      <c r="M5128" s="177">
        <v>46009</v>
      </c>
      <c r="N5128" s="177"/>
      <c r="O5128" s="177"/>
      <c r="P5128" s="177" t="str">
        <f ca="1">IF(Proc[[#This Row],[DaysAgeing]]&gt;5,"yep","on track")</f>
        <v>on track</v>
      </c>
      <c r="Q5128" s="3">
        <f ca="1">IF(Proc[[#This Row],[DateClosed]]="",ABS(NETWORKDAYS(Proc[[#This Row],[DateOpened]],TODAY()))-1,ABS(NETWORKDAYS(Proc[[#This Row],[DateOpened]],Proc[[#This Row],[DateClosed]]))-1)</f>
        <v>1</v>
      </c>
      <c r="R5128" s="177" t="s">
        <v>481</v>
      </c>
      <c r="S5128" s="150"/>
    </row>
    <row r="5129" spans="1:19" hidden="1">
      <c r="A5129" s="149" t="s">
        <v>7403</v>
      </c>
      <c r="B5129" s="150" t="str">
        <f>IFERROR(VLOOKUP(Proc[[#This Row],[App]],Table2[],3,0),"open")</f>
        <v>open</v>
      </c>
      <c r="C5129" s="149" t="s">
        <v>375</v>
      </c>
      <c r="D5129" t="s">
        <v>7401</v>
      </c>
      <c r="E5129" t="s">
        <v>1362</v>
      </c>
      <c r="F5129" s="150"/>
      <c r="G5129" s="149" t="s">
        <v>406</v>
      </c>
      <c r="H5129" s="150" t="str">
        <f>IF(Proc[[#This Row],[type]]="LFF (MDG-F)",MID(Proc[[#This Row],[Obj]],13,10),"")</f>
        <v>DE10538620</v>
      </c>
      <c r="J5129" s="150" t="b">
        <f>Proc[[#This Row],[Requested]]=Proc[[#This Row],[CurrentParent]]</f>
        <v>0</v>
      </c>
      <c r="K5129" s="150" t="str">
        <f>IF(Proc[[#This Row],[Author]]="Marcela Urrego",VLOOKUP(LEFT(Proc[[#This Row],[Requested]],1),Table3[#All],2,0),VLOOKUP(Proc[[#This Row],[Author]],Table4[],2,0))</f>
        <v>MGF</v>
      </c>
      <c r="L5129" s="150" t="s">
        <v>6435</v>
      </c>
      <c r="M5129" s="177">
        <v>46009</v>
      </c>
      <c r="N5129" s="177"/>
      <c r="O5129" s="177"/>
      <c r="P5129" s="177" t="str">
        <f ca="1">IF(Proc[[#This Row],[DaysAgeing]]&gt;5,"yep","on track")</f>
        <v>on track</v>
      </c>
      <c r="Q5129" s="3">
        <f ca="1">IF(Proc[[#This Row],[DateClosed]]="",ABS(NETWORKDAYS(Proc[[#This Row],[DateOpened]],TODAY()))-1,ABS(NETWORKDAYS(Proc[[#This Row],[DateOpened]],Proc[[#This Row],[DateClosed]]))-1)</f>
        <v>1</v>
      </c>
      <c r="R5129" s="177" t="s">
        <v>481</v>
      </c>
      <c r="S5129" s="150"/>
    </row>
    <row r="5130" spans="1:19" hidden="1">
      <c r="A5130" s="149" t="s">
        <v>7403</v>
      </c>
      <c r="B5130" s="150" t="str">
        <f>IFERROR(VLOOKUP(Proc[[#This Row],[App]],Table2[],3,0),"open")</f>
        <v>open</v>
      </c>
      <c r="C5130" s="149" t="s">
        <v>375</v>
      </c>
      <c r="D5130" t="s">
        <v>7402</v>
      </c>
      <c r="E5130" t="s">
        <v>1362</v>
      </c>
      <c r="F5130" s="150"/>
      <c r="G5130" s="149" t="s">
        <v>406</v>
      </c>
      <c r="H5130" s="150" t="str">
        <f>IF(Proc[[#This Row],[type]]="LFF (MDG-F)",MID(Proc[[#This Row],[Obj]],13,10),"")</f>
        <v>DE20538620</v>
      </c>
      <c r="J5130" s="150" t="b">
        <f>Proc[[#This Row],[Requested]]=Proc[[#This Row],[CurrentParent]]</f>
        <v>0</v>
      </c>
      <c r="K5130" s="150" t="str">
        <f>IF(Proc[[#This Row],[Author]]="Marcela Urrego",VLOOKUP(LEFT(Proc[[#This Row],[Requested]],1),Table3[#All],2,0),VLOOKUP(Proc[[#This Row],[Author]],Table4[],2,0))</f>
        <v>MGF</v>
      </c>
      <c r="L5130" s="150" t="s">
        <v>6435</v>
      </c>
      <c r="M5130" s="177">
        <v>46009</v>
      </c>
      <c r="N5130" s="177"/>
      <c r="O5130" s="177"/>
      <c r="P5130" s="177" t="str">
        <f ca="1">IF(Proc[[#This Row],[DaysAgeing]]&gt;5,"yep","on track")</f>
        <v>on track</v>
      </c>
      <c r="Q5130" s="3">
        <f ca="1">IF(Proc[[#This Row],[DateClosed]]="",ABS(NETWORKDAYS(Proc[[#This Row],[DateOpened]],TODAY()))-1,ABS(NETWORKDAYS(Proc[[#This Row],[DateOpened]],Proc[[#This Row],[DateClosed]]))-1)</f>
        <v>1</v>
      </c>
      <c r="R5130" s="177" t="s">
        <v>481</v>
      </c>
      <c r="S5130" s="150"/>
    </row>
  </sheetData>
  <phoneticPr fontId="0" type="noConversion"/>
  <conditionalFormatting sqref="D642">
    <cfRule type="duplicateValues" dxfId="9" priority="3"/>
  </conditionalFormatting>
  <conditionalFormatting sqref="D1017:D1042">
    <cfRule type="duplicateValues" dxfId="8" priority="1"/>
  </conditionalFormatting>
  <pageMargins left="0.7" right="0.7" top="0.75" bottom="0.75" header="0.3" footer="0.3"/>
  <pageSetup orientation="portrait" r:id="rId1"/>
  <customProperties>
    <customPr name="_pios_id" r:id="rId2"/>
  </customProperties>
  <tableParts count="1">
    <tablePart r:id="rId3"/>
  </tableParts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showInputMessage="1" showErrorMessage="1" xr:uid="{AA904D87-F005-470F-89A3-B2D56E752386}">
          <x14:formula1>
            <xm:f>STAT!$A$1:$A$11</xm:f>
          </x14:formula1>
          <xm:sqref>C2:C10</xm:sqref>
        </x14:dataValidation>
        <x14:dataValidation type="list" allowBlank="1" showInputMessage="1" showErrorMessage="1" xr:uid="{6F7797D5-FDB5-4256-BA8E-B50C47432666}">
          <x14:formula1>
            <xm:f>STAT!$A$15:$A$16</xm:f>
          </x14:formula1>
          <xm:sqref>G2:G5130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FA96109-2AC8-478D-80E3-2D788CAA96EB}">
  <dimension ref="A1:B6"/>
  <sheetViews>
    <sheetView workbookViewId="0"/>
  </sheetViews>
  <sheetFormatPr defaultRowHeight="15"/>
  <sheetData>
    <row r="1" spans="1:2">
      <c r="A1" t="s">
        <v>6742</v>
      </c>
    </row>
    <row r="2" spans="1:2">
      <c r="A2" t="s">
        <v>6743</v>
      </c>
    </row>
    <row r="3" spans="1:2">
      <c r="A3" t="s">
        <v>7342</v>
      </c>
      <c r="B3" t="s">
        <v>7411</v>
      </c>
    </row>
    <row r="4" spans="1:2">
      <c r="A4" t="s">
        <v>7367</v>
      </c>
      <c r="B4" t="s">
        <v>7412</v>
      </c>
    </row>
    <row r="5" spans="1:2">
      <c r="A5" t="s">
        <v>3430</v>
      </c>
      <c r="B5" t="s">
        <v>2371</v>
      </c>
    </row>
    <row r="6" spans="1:2">
      <c r="A6" t="s">
        <v>7378</v>
      </c>
      <c r="B6" t="s">
        <v>7410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AEAE188-DEAB-495D-A481-0C678FA34055}">
  <dimension ref="A1:B17"/>
  <sheetViews>
    <sheetView workbookViewId="0">
      <selection activeCell="A6" sqref="A6"/>
    </sheetView>
  </sheetViews>
  <sheetFormatPr defaultRowHeight="15"/>
  <cols>
    <col min="1" max="1" width="52.28515625" bestFit="1" customWidth="1"/>
    <col min="2" max="2" width="28.85546875" bestFit="1" customWidth="1"/>
  </cols>
  <sheetData>
    <row r="1" spans="1:2">
      <c r="A1" t="s">
        <v>3430</v>
      </c>
      <c r="B1" t="s">
        <v>2371</v>
      </c>
    </row>
    <row r="2" spans="1:2">
      <c r="A2" t="s">
        <v>7378</v>
      </c>
      <c r="B2" t="s">
        <v>7410</v>
      </c>
    </row>
    <row r="3" spans="1:2">
      <c r="A3" t="s">
        <v>2089</v>
      </c>
      <c r="B3" t="s">
        <v>2092</v>
      </c>
    </row>
    <row r="4" spans="1:2">
      <c r="A4" t="s">
        <v>2090</v>
      </c>
      <c r="B4" t="s">
        <v>2093</v>
      </c>
    </row>
    <row r="5" spans="1:2">
      <c r="A5" t="s">
        <v>7384</v>
      </c>
      <c r="B5" t="s">
        <v>7191</v>
      </c>
    </row>
    <row r="6" spans="1:2">
      <c r="A6" t="s">
        <v>7385</v>
      </c>
      <c r="B6" t="s">
        <v>7191</v>
      </c>
    </row>
    <row r="7" spans="1:2">
      <c r="A7" t="s">
        <v>7387</v>
      </c>
    </row>
    <row r="8" spans="1:2">
      <c r="A8" t="s">
        <v>7388</v>
      </c>
      <c r="B8" s="149" t="s">
        <v>4100</v>
      </c>
    </row>
    <row r="9" spans="1:2">
      <c r="A9" t="s">
        <v>7389</v>
      </c>
      <c r="B9" t="s">
        <v>7405</v>
      </c>
    </row>
    <row r="10" spans="1:2">
      <c r="A10" t="s">
        <v>7390</v>
      </c>
      <c r="B10" t="s">
        <v>7406</v>
      </c>
    </row>
    <row r="11" spans="1:2">
      <c r="A11" t="s">
        <v>7391</v>
      </c>
      <c r="B11" t="s">
        <v>7302</v>
      </c>
    </row>
    <row r="12" spans="1:2">
      <c r="A12" t="s">
        <v>7392</v>
      </c>
      <c r="B12" t="s">
        <v>7407</v>
      </c>
    </row>
    <row r="13" spans="1:2">
      <c r="A13" t="s">
        <v>7393</v>
      </c>
      <c r="B13" t="s">
        <v>7408</v>
      </c>
    </row>
    <row r="14" spans="1:2">
      <c r="A14" t="s">
        <v>2089</v>
      </c>
      <c r="B14" t="s">
        <v>2092</v>
      </c>
    </row>
    <row r="15" spans="1:2">
      <c r="A15" t="s">
        <v>2090</v>
      </c>
      <c r="B15" t="s">
        <v>2093</v>
      </c>
    </row>
    <row r="16" spans="1:2">
      <c r="A16" t="s">
        <v>7401</v>
      </c>
      <c r="B16" t="s">
        <v>3382</v>
      </c>
    </row>
    <row r="17" spans="1:2">
      <c r="A17" t="s">
        <v>7402</v>
      </c>
      <c r="B17" t="s">
        <v>3381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20328FA-BC6C-41CA-A547-B93B607F92D0}">
  <dimension ref="A1:C5"/>
  <sheetViews>
    <sheetView workbookViewId="0">
      <selection sqref="A1:C5"/>
    </sheetView>
  </sheetViews>
  <sheetFormatPr defaultRowHeight="15"/>
  <sheetData>
    <row r="1" spans="1:3">
      <c r="A1">
        <v>1000</v>
      </c>
      <c r="B1" t="s">
        <v>7409</v>
      </c>
    </row>
    <row r="2" spans="1:3">
      <c r="A2" t="s">
        <v>7382</v>
      </c>
      <c r="C2" t="s">
        <v>7380</v>
      </c>
    </row>
    <row r="3" spans="1:3">
      <c r="A3" t="s">
        <v>7382</v>
      </c>
      <c r="C3" t="s">
        <v>7381</v>
      </c>
    </row>
    <row r="4" spans="1:3">
      <c r="A4" t="s">
        <v>1362</v>
      </c>
      <c r="C4" t="s">
        <v>7399</v>
      </c>
    </row>
    <row r="5" spans="1:3">
      <c r="A5" t="s">
        <v>1362</v>
      </c>
      <c r="C5" t="s">
        <v>7400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EBA5DB4-FC2A-458D-BDAB-15D0EA7B16C8}">
  <sheetPr codeName="Sheet11"/>
  <dimension ref="A1:B20"/>
  <sheetViews>
    <sheetView workbookViewId="0">
      <selection activeCell="D28" sqref="D28"/>
    </sheetView>
  </sheetViews>
  <sheetFormatPr defaultRowHeight="15"/>
  <cols>
    <col min="1" max="1" width="30.42578125" bestFit="1" customWidth="1"/>
    <col min="2" max="2" width="28.85546875" bestFit="1" customWidth="1"/>
    <col min="3" max="3" width="16.42578125" bestFit="1" customWidth="1"/>
  </cols>
  <sheetData>
    <row r="1" spans="1:2">
      <c r="A1" t="s">
        <v>2089</v>
      </c>
      <c r="B1" t="s">
        <v>2092</v>
      </c>
    </row>
    <row r="2" spans="1:2">
      <c r="A2" t="s">
        <v>2090</v>
      </c>
      <c r="B2" t="s">
        <v>2093</v>
      </c>
    </row>
    <row r="3" spans="1:2">
      <c r="A3" t="s">
        <v>7384</v>
      </c>
      <c r="B3" t="s">
        <v>7191</v>
      </c>
    </row>
    <row r="4" spans="1:2">
      <c r="A4" t="s">
        <v>7385</v>
      </c>
      <c r="B4" t="s">
        <v>7191</v>
      </c>
    </row>
    <row r="5" spans="1:2">
      <c r="A5" t="s">
        <v>7387</v>
      </c>
    </row>
    <row r="6" spans="1:2">
      <c r="A6" t="s">
        <v>7388</v>
      </c>
      <c r="B6" s="149" t="s">
        <v>4100</v>
      </c>
    </row>
    <row r="7" spans="1:2">
      <c r="A7" t="s">
        <v>7389</v>
      </c>
      <c r="B7" t="s">
        <v>7405</v>
      </c>
    </row>
    <row r="8" spans="1:2">
      <c r="A8" t="s">
        <v>7390</v>
      </c>
      <c r="B8" t="s">
        <v>7406</v>
      </c>
    </row>
    <row r="9" spans="1:2">
      <c r="A9" t="s">
        <v>7391</v>
      </c>
      <c r="B9" t="s">
        <v>7302</v>
      </c>
    </row>
    <row r="10" spans="1:2">
      <c r="A10" t="s">
        <v>7392</v>
      </c>
      <c r="B10" t="s">
        <v>7407</v>
      </c>
    </row>
    <row r="11" spans="1:2">
      <c r="A11" t="s">
        <v>7393</v>
      </c>
      <c r="B11" t="s">
        <v>7408</v>
      </c>
    </row>
    <row r="12" spans="1:2">
      <c r="A12" t="s">
        <v>2089</v>
      </c>
      <c r="B12" t="s">
        <v>2092</v>
      </c>
    </row>
    <row r="13" spans="1:2">
      <c r="A13" t="s">
        <v>2090</v>
      </c>
      <c r="B13" t="s">
        <v>2093</v>
      </c>
    </row>
    <row r="14" spans="1:2">
      <c r="A14" t="s">
        <v>7401</v>
      </c>
      <c r="B14" t="s">
        <v>3382</v>
      </c>
    </row>
    <row r="15" spans="1:2">
      <c r="A15" t="s">
        <v>7402</v>
      </c>
      <c r="B15" t="s">
        <v>3381</v>
      </c>
    </row>
    <row r="20" spans="1:1">
      <c r="A20" t="s">
        <v>7404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4376730-35F3-428F-9282-86554F17A823}">
  <sheetPr codeName="Sheet6"/>
  <dimension ref="A1:K74"/>
  <sheetViews>
    <sheetView topLeftCell="A31" workbookViewId="0">
      <selection activeCell="C75" sqref="C75"/>
    </sheetView>
  </sheetViews>
  <sheetFormatPr defaultRowHeight="15"/>
  <cols>
    <col min="1" max="1" width="8.85546875" bestFit="1" customWidth="1"/>
    <col min="2" max="2" width="10.140625" bestFit="1" customWidth="1"/>
    <col min="3" max="3" width="11" bestFit="1" customWidth="1"/>
    <col min="4" max="4" width="17.5703125" style="4" bestFit="1" customWidth="1"/>
    <col min="5" max="5" width="38.42578125" style="4" bestFit="1" customWidth="1"/>
    <col min="6" max="6" width="37.28515625" style="4" bestFit="1" customWidth="1"/>
    <col min="7" max="7" width="10.28515625" style="4" hidden="1" customWidth="1"/>
    <col min="8" max="8" width="13.7109375" style="4" bestFit="1" customWidth="1"/>
    <col min="9" max="9" width="81.140625" bestFit="1" customWidth="1"/>
    <col min="10" max="10" width="11.5703125" bestFit="1" customWidth="1"/>
    <col min="11" max="11" width="10.28515625" bestFit="1" customWidth="1"/>
  </cols>
  <sheetData>
    <row r="1" spans="1:11">
      <c r="A1" t="s">
        <v>389</v>
      </c>
      <c r="B1" t="s">
        <v>382</v>
      </c>
      <c r="C1" t="s">
        <v>369</v>
      </c>
      <c r="D1" t="s">
        <v>571</v>
      </c>
      <c r="E1" t="s">
        <v>572</v>
      </c>
      <c r="F1" t="s">
        <v>573</v>
      </c>
      <c r="G1" t="s">
        <v>574</v>
      </c>
      <c r="H1" s="4" t="s">
        <v>575</v>
      </c>
      <c r="I1" t="s">
        <v>576</v>
      </c>
      <c r="J1" t="s">
        <v>394</v>
      </c>
      <c r="K1" t="s">
        <v>577</v>
      </c>
    </row>
    <row r="2" spans="1:11">
      <c r="A2" s="5" t="s">
        <v>567</v>
      </c>
      <c r="B2" t="s">
        <v>13</v>
      </c>
      <c r="C2">
        <v>16</v>
      </c>
      <c r="D2" s="6">
        <v>0</v>
      </c>
      <c r="E2" s="6">
        <v>0</v>
      </c>
      <c r="F2" s="6">
        <v>13</v>
      </c>
      <c r="G2">
        <v>29</v>
      </c>
      <c r="H2" s="4">
        <v>0.55172413793103403</v>
      </c>
      <c r="I2" s="10" t="s">
        <v>578</v>
      </c>
      <c r="J2" t="e">
        <f>VLOOKUP(#REF!,Proc[[#All],[App]:[DaysAgeing]],16,0)</f>
        <v>#REF!</v>
      </c>
      <c r="K2" t="str">
        <f>IFERROR(VLOOKUP(#REF!,Table2[],3,0),"nop")</f>
        <v>nop</v>
      </c>
    </row>
    <row r="3" spans="1:11">
      <c r="A3" s="5" t="s">
        <v>568</v>
      </c>
      <c r="B3" t="s">
        <v>5</v>
      </c>
      <c r="C3">
        <v>2</v>
      </c>
      <c r="D3" s="6">
        <v>0</v>
      </c>
      <c r="E3" s="6">
        <v>0</v>
      </c>
      <c r="F3" s="6">
        <v>0</v>
      </c>
      <c r="G3">
        <v>2</v>
      </c>
      <c r="H3" s="4">
        <v>1</v>
      </c>
      <c r="I3" s="9" t="s">
        <v>579</v>
      </c>
      <c r="J3" t="e">
        <f>VLOOKUP(#REF!,Proc[[#All],[App]:[DaysAgeing]],16,0)</f>
        <v>#REF!</v>
      </c>
      <c r="K3" t="str">
        <f>IFERROR(VLOOKUP(#REF!,Table2[],3,0),"nop")</f>
        <v>nop</v>
      </c>
    </row>
    <row r="4" spans="1:11">
      <c r="A4" s="5" t="s">
        <v>568</v>
      </c>
      <c r="B4" t="s">
        <v>6</v>
      </c>
      <c r="C4">
        <v>2</v>
      </c>
      <c r="D4" s="6">
        <v>0</v>
      </c>
      <c r="E4" s="6">
        <v>0</v>
      </c>
      <c r="F4" s="6">
        <v>0</v>
      </c>
      <c r="G4">
        <v>2</v>
      </c>
      <c r="H4" s="4">
        <v>1</v>
      </c>
      <c r="I4" s="9" t="s">
        <v>579</v>
      </c>
      <c r="J4" t="e">
        <f>VLOOKUP(#REF!,Proc[[#All],[App]:[DaysAgeing]],16,0)</f>
        <v>#REF!</v>
      </c>
      <c r="K4" t="str">
        <f>IFERROR(VLOOKUP(#REF!,Table2[],3,0),"nop")</f>
        <v>nop</v>
      </c>
    </row>
    <row r="5" spans="1:11">
      <c r="A5" s="5" t="s">
        <v>568</v>
      </c>
      <c r="B5" t="s">
        <v>14</v>
      </c>
      <c r="C5">
        <v>7</v>
      </c>
      <c r="D5" s="6">
        <v>0</v>
      </c>
      <c r="E5" s="6">
        <v>0</v>
      </c>
      <c r="F5" s="6">
        <v>0</v>
      </c>
      <c r="G5">
        <v>7</v>
      </c>
      <c r="H5" s="4">
        <v>1</v>
      </c>
      <c r="I5" s="9" t="s">
        <v>579</v>
      </c>
      <c r="J5" t="e">
        <f>VLOOKUP(#REF!,Proc[[#All],[App]:[DaysAgeing]],16,0)</f>
        <v>#REF!</v>
      </c>
      <c r="K5" t="str">
        <f>IFERROR(VLOOKUP(#REF!,Table2[],3,0),"nop")</f>
        <v>nop</v>
      </c>
    </row>
    <row r="6" spans="1:11">
      <c r="A6" s="5" t="s">
        <v>569</v>
      </c>
      <c r="B6" t="s">
        <v>19</v>
      </c>
      <c r="C6">
        <v>2</v>
      </c>
      <c r="D6" s="6">
        <v>0</v>
      </c>
      <c r="E6" s="6">
        <v>0</v>
      </c>
      <c r="F6" s="6">
        <v>9</v>
      </c>
      <c r="G6">
        <v>11</v>
      </c>
      <c r="H6" s="4">
        <v>0.18181818181818199</v>
      </c>
      <c r="I6" s="9" t="s">
        <v>578</v>
      </c>
      <c r="J6" t="e">
        <f>VLOOKUP(#REF!,Proc[[#All],[App]:[DaysAgeing]],16,0)</f>
        <v>#REF!</v>
      </c>
      <c r="K6" t="str">
        <f>IFERROR(VLOOKUP(#REF!,Table2[],3,0),"nop")</f>
        <v>nop</v>
      </c>
    </row>
    <row r="7" spans="1:11">
      <c r="A7" s="5" t="s">
        <v>570</v>
      </c>
      <c r="B7" t="s">
        <v>15</v>
      </c>
      <c r="C7">
        <v>37</v>
      </c>
      <c r="D7" s="6">
        <v>0</v>
      </c>
      <c r="E7" s="6">
        <v>0</v>
      </c>
      <c r="F7" s="6">
        <v>1</v>
      </c>
      <c r="G7">
        <v>38</v>
      </c>
      <c r="H7" s="4">
        <v>0.97368421052631604</v>
      </c>
      <c r="I7" s="9" t="s">
        <v>578</v>
      </c>
      <c r="J7" t="e">
        <f>VLOOKUP(#REF!,Proc[[#All],[App]:[DaysAgeing]],16,0)</f>
        <v>#REF!</v>
      </c>
      <c r="K7" t="str">
        <f>IFERROR(VLOOKUP(#REF!,Table2[],3,0),"nop")</f>
        <v>nop</v>
      </c>
    </row>
    <row r="8" spans="1:11">
      <c r="A8" s="5" t="s">
        <v>570</v>
      </c>
      <c r="B8" t="s">
        <v>16</v>
      </c>
      <c r="C8">
        <v>11</v>
      </c>
      <c r="D8" s="6">
        <v>0</v>
      </c>
      <c r="E8" s="6">
        <v>0</v>
      </c>
      <c r="F8" s="6">
        <v>0</v>
      </c>
      <c r="G8">
        <v>11</v>
      </c>
      <c r="H8" s="4">
        <v>1</v>
      </c>
      <c r="I8" s="9" t="s">
        <v>579</v>
      </c>
      <c r="J8" t="e">
        <f>VLOOKUP(#REF!,Proc[[#All],[App]:[DaysAgeing]],16,0)</f>
        <v>#REF!</v>
      </c>
      <c r="K8" t="str">
        <f>IFERROR(VLOOKUP(#REF!,Table2[],3,0),"nop")</f>
        <v>nop</v>
      </c>
    </row>
    <row r="9" spans="1:11">
      <c r="A9" s="5" t="s">
        <v>568</v>
      </c>
      <c r="B9" t="s">
        <v>7</v>
      </c>
      <c r="C9">
        <v>1</v>
      </c>
      <c r="D9" s="6">
        <v>0</v>
      </c>
      <c r="E9" s="6">
        <v>0</v>
      </c>
      <c r="F9" s="6">
        <v>0</v>
      </c>
      <c r="G9">
        <v>1</v>
      </c>
      <c r="H9" s="4">
        <v>1</v>
      </c>
      <c r="I9" s="9" t="s">
        <v>579</v>
      </c>
      <c r="J9" t="e">
        <f>VLOOKUP(#REF!,Proc[[#All],[App]:[DaysAgeing]],16,0)</f>
        <v>#REF!</v>
      </c>
      <c r="K9" t="str">
        <f>IFERROR(VLOOKUP(#REF!,Table2[],3,0),"nop")</f>
        <v>nop</v>
      </c>
    </row>
    <row r="10" spans="1:11">
      <c r="A10" s="5" t="s">
        <v>568</v>
      </c>
      <c r="B10" t="s">
        <v>8</v>
      </c>
      <c r="C10">
        <v>1</v>
      </c>
      <c r="D10" s="6">
        <v>0</v>
      </c>
      <c r="E10" s="6">
        <v>0</v>
      </c>
      <c r="F10" s="6">
        <v>0</v>
      </c>
      <c r="G10">
        <v>1</v>
      </c>
      <c r="H10" s="4">
        <v>1</v>
      </c>
      <c r="I10" s="9" t="s">
        <v>579</v>
      </c>
      <c r="J10" t="e">
        <f>VLOOKUP(#REF!,Proc[[#All],[App]:[DaysAgeing]],16,0)</f>
        <v>#REF!</v>
      </c>
      <c r="K10" t="str">
        <f>IFERROR(VLOOKUP(#REF!,Table2[],3,0),"nop")</f>
        <v>nop</v>
      </c>
    </row>
    <row r="11" spans="1:11">
      <c r="A11" s="5" t="s">
        <v>568</v>
      </c>
      <c r="B11" t="s">
        <v>9</v>
      </c>
      <c r="C11">
        <v>1</v>
      </c>
      <c r="D11" s="6">
        <v>0</v>
      </c>
      <c r="E11" s="6">
        <v>0</v>
      </c>
      <c r="F11" s="6">
        <v>0</v>
      </c>
      <c r="G11">
        <v>1</v>
      </c>
      <c r="H11" s="4">
        <v>1</v>
      </c>
      <c r="I11" s="9" t="s">
        <v>579</v>
      </c>
      <c r="J11" t="e">
        <f>VLOOKUP(#REF!,Proc[[#All],[App]:[DaysAgeing]],16,0)</f>
        <v>#REF!</v>
      </c>
      <c r="K11" t="str">
        <f>IFERROR(VLOOKUP(#REF!,Table2[],3,0),"nop")</f>
        <v>nop</v>
      </c>
    </row>
    <row r="12" spans="1:11">
      <c r="A12" s="5" t="s">
        <v>568</v>
      </c>
      <c r="B12" t="s">
        <v>10</v>
      </c>
      <c r="C12">
        <v>1</v>
      </c>
      <c r="D12" s="6">
        <v>0</v>
      </c>
      <c r="E12" s="6">
        <v>0</v>
      </c>
      <c r="F12" s="6">
        <v>0</v>
      </c>
      <c r="G12">
        <v>1</v>
      </c>
      <c r="H12" s="4">
        <v>1</v>
      </c>
      <c r="I12" s="9" t="s">
        <v>579</v>
      </c>
      <c r="J12" t="e">
        <f>VLOOKUP(#REF!,Proc[[#All],[App]:[DaysAgeing]],16,0)</f>
        <v>#REF!</v>
      </c>
      <c r="K12" t="str">
        <f>IFERROR(VLOOKUP(#REF!,Table2[],3,0),"nop")</f>
        <v>nop</v>
      </c>
    </row>
    <row r="13" spans="1:11">
      <c r="A13" s="5" t="s">
        <v>567</v>
      </c>
      <c r="B13" t="s">
        <v>20</v>
      </c>
      <c r="C13">
        <v>4</v>
      </c>
      <c r="D13" s="6">
        <v>0</v>
      </c>
      <c r="E13" s="6">
        <v>0</v>
      </c>
      <c r="F13" s="6">
        <v>0</v>
      </c>
      <c r="G13">
        <v>4</v>
      </c>
      <c r="H13" s="4">
        <v>1</v>
      </c>
      <c r="I13" s="9" t="s">
        <v>579</v>
      </c>
      <c r="J13" t="e">
        <f>VLOOKUP(#REF!,Proc[[#All],[App]:[DaysAgeing]],16,0)</f>
        <v>#REF!</v>
      </c>
      <c r="K13" t="str">
        <f>IFERROR(VLOOKUP(#REF!,Table2[],3,0),"nop")</f>
        <v>nop</v>
      </c>
    </row>
    <row r="14" spans="1:11">
      <c r="A14" s="5" t="s">
        <v>570</v>
      </c>
      <c r="B14" t="s">
        <v>11</v>
      </c>
      <c r="C14">
        <v>1725</v>
      </c>
      <c r="D14" s="6">
        <v>0</v>
      </c>
      <c r="E14" s="6">
        <v>0</v>
      </c>
      <c r="F14" s="6">
        <v>0</v>
      </c>
      <c r="G14">
        <v>1725</v>
      </c>
      <c r="H14" s="4">
        <v>1</v>
      </c>
      <c r="I14" s="9" t="s">
        <v>579</v>
      </c>
      <c r="J14" t="e">
        <f>VLOOKUP(#REF!,Proc[[#All],[App]:[DaysAgeing]],16,0)</f>
        <v>#REF!</v>
      </c>
      <c r="K14" t="str">
        <f>IFERROR(VLOOKUP(#REF!,Table2[],3,0),"nop")</f>
        <v>nop</v>
      </c>
    </row>
    <row r="15" spans="1:11">
      <c r="A15" s="5" t="s">
        <v>568</v>
      </c>
      <c r="B15" t="s">
        <v>12</v>
      </c>
      <c r="C15">
        <v>3</v>
      </c>
      <c r="D15" s="6">
        <v>0</v>
      </c>
      <c r="E15" s="6">
        <v>0</v>
      </c>
      <c r="F15" s="6">
        <v>0</v>
      </c>
      <c r="G15">
        <v>3</v>
      </c>
      <c r="H15" s="4">
        <v>1</v>
      </c>
      <c r="I15" s="9" t="s">
        <v>579</v>
      </c>
      <c r="J15" t="e">
        <f>VLOOKUP(#REF!,Proc[[#All],[App]:[DaysAgeing]],16,0)</f>
        <v>#REF!</v>
      </c>
      <c r="K15" t="str">
        <f>IFERROR(VLOOKUP(#REF!,Table2[],3,0),"nop")</f>
        <v>nop</v>
      </c>
    </row>
    <row r="16" spans="1:11">
      <c r="A16" s="5" t="s">
        <v>567</v>
      </c>
      <c r="B16" t="s">
        <v>17</v>
      </c>
      <c r="C16">
        <v>24</v>
      </c>
      <c r="D16" s="6">
        <v>0</v>
      </c>
      <c r="E16" s="6">
        <v>0</v>
      </c>
      <c r="F16" s="6">
        <v>0</v>
      </c>
      <c r="G16">
        <v>24</v>
      </c>
      <c r="H16" s="4">
        <v>1</v>
      </c>
      <c r="I16" s="9" t="s">
        <v>579</v>
      </c>
      <c r="J16" t="e">
        <f>VLOOKUP(#REF!,Proc[[#All],[App]:[DaysAgeing]],16,0)</f>
        <v>#REF!</v>
      </c>
      <c r="K16" t="str">
        <f>IFERROR(VLOOKUP(#REF!,Table2[],3,0),"nop")</f>
        <v>nop</v>
      </c>
    </row>
    <row r="17" spans="1:11">
      <c r="A17" s="5" t="s">
        <v>568</v>
      </c>
      <c r="B17" t="s">
        <v>18</v>
      </c>
      <c r="C17">
        <v>49</v>
      </c>
      <c r="D17" s="6">
        <v>0</v>
      </c>
      <c r="E17" s="6">
        <v>0</v>
      </c>
      <c r="F17" s="6">
        <v>1</v>
      </c>
      <c r="G17">
        <v>50</v>
      </c>
      <c r="H17" s="4">
        <v>0.98</v>
      </c>
      <c r="I17" s="9" t="s">
        <v>578</v>
      </c>
      <c r="J17" t="e">
        <f>VLOOKUP(#REF!,Proc[[#All],[App]:[DaysAgeing]],16,0)</f>
        <v>#REF!</v>
      </c>
      <c r="K17" t="str">
        <f>IFERROR(VLOOKUP(#REF!,Table2[],3,0),"nop")</f>
        <v>nop</v>
      </c>
    </row>
    <row r="18" spans="1:11">
      <c r="A18" s="5" t="s">
        <v>570</v>
      </c>
      <c r="B18" t="s">
        <v>21</v>
      </c>
      <c r="C18">
        <v>60</v>
      </c>
      <c r="D18" s="6">
        <v>0</v>
      </c>
      <c r="E18" s="6">
        <v>0</v>
      </c>
      <c r="F18" s="6">
        <v>2</v>
      </c>
      <c r="G18">
        <v>62</v>
      </c>
      <c r="H18" s="4">
        <v>0.967741935483871</v>
      </c>
      <c r="I18" s="9" t="s">
        <v>578</v>
      </c>
      <c r="J18" t="e">
        <f>VLOOKUP(#REF!,Proc[[#All],[App]:[DaysAgeing]],16,0)</f>
        <v>#REF!</v>
      </c>
      <c r="K18" t="str">
        <f>IFERROR(VLOOKUP(#REF!,Table2[],3,0),"nop")</f>
        <v>nop</v>
      </c>
    </row>
    <row r="19" spans="1:11">
      <c r="A19" s="5" t="s">
        <v>568</v>
      </c>
      <c r="B19" t="s">
        <v>22</v>
      </c>
      <c r="C19">
        <v>22</v>
      </c>
      <c r="D19" s="6">
        <v>0</v>
      </c>
      <c r="E19" s="6">
        <v>0</v>
      </c>
      <c r="F19" s="6">
        <v>1</v>
      </c>
      <c r="G19">
        <v>23</v>
      </c>
      <c r="H19" s="4">
        <v>0.95652173913043503</v>
      </c>
      <c r="I19" s="9" t="s">
        <v>578</v>
      </c>
      <c r="J19" t="e">
        <f>VLOOKUP(#REF!,Proc[[#All],[App]:[DaysAgeing]],16,0)</f>
        <v>#REF!</v>
      </c>
      <c r="K19" t="str">
        <f>IFERROR(VLOOKUP(#REF!,Table2[],3,0),"nop")</f>
        <v>nop</v>
      </c>
    </row>
    <row r="20" spans="1:11">
      <c r="A20" s="5" t="s">
        <v>570</v>
      </c>
      <c r="B20" t="s">
        <v>25</v>
      </c>
      <c r="C20">
        <v>1</v>
      </c>
      <c r="D20" s="6">
        <v>0</v>
      </c>
      <c r="E20" s="6">
        <v>0</v>
      </c>
      <c r="F20" s="6">
        <v>0</v>
      </c>
      <c r="G20">
        <v>1</v>
      </c>
      <c r="H20" s="4">
        <v>1</v>
      </c>
      <c r="I20" s="9" t="s">
        <v>579</v>
      </c>
      <c r="J20" t="e">
        <f>VLOOKUP(#REF!,Proc[[#All],[App]:[DaysAgeing]],16,0)</f>
        <v>#REF!</v>
      </c>
      <c r="K20" t="str">
        <f>IFERROR(VLOOKUP(#REF!,Table2[],3,0),"nop")</f>
        <v>nop</v>
      </c>
    </row>
    <row r="21" spans="1:11">
      <c r="A21" s="5" t="s">
        <v>567</v>
      </c>
      <c r="B21" t="s">
        <v>27</v>
      </c>
      <c r="C21">
        <v>6</v>
      </c>
      <c r="D21" s="6">
        <v>0</v>
      </c>
      <c r="E21" s="6">
        <v>0</v>
      </c>
      <c r="F21" s="6">
        <v>6</v>
      </c>
      <c r="G21">
        <v>12</v>
      </c>
      <c r="H21" s="4">
        <v>0.5</v>
      </c>
      <c r="I21" s="9" t="s">
        <v>580</v>
      </c>
      <c r="J21" t="e">
        <f>VLOOKUP(#REF!,Proc[[#All],[App]:[DaysAgeing]],16,0)</f>
        <v>#REF!</v>
      </c>
      <c r="K21" t="str">
        <f>IFERROR(VLOOKUP(#REF!,Table2[],3,0),"nop")</f>
        <v>nop</v>
      </c>
    </row>
    <row r="22" spans="1:11">
      <c r="A22" s="5" t="s">
        <v>568</v>
      </c>
      <c r="B22" t="s">
        <v>23</v>
      </c>
      <c r="C22">
        <v>2</v>
      </c>
      <c r="D22" s="6">
        <v>0</v>
      </c>
      <c r="E22" s="6">
        <v>0</v>
      </c>
      <c r="F22" s="6">
        <v>0</v>
      </c>
      <c r="G22">
        <v>2</v>
      </c>
      <c r="H22" s="4">
        <v>1</v>
      </c>
      <c r="I22" s="9" t="s">
        <v>581</v>
      </c>
      <c r="J22" t="e">
        <f>VLOOKUP(#REF!,Proc[[#All],[App]:[DaysAgeing]],16,0)</f>
        <v>#REF!</v>
      </c>
      <c r="K22" t="str">
        <f>IFERROR(VLOOKUP(#REF!,Table2[],3,0),"nop")</f>
        <v>nop</v>
      </c>
    </row>
    <row r="23" spans="1:11">
      <c r="A23" s="5" t="s">
        <v>567</v>
      </c>
      <c r="B23" t="s">
        <v>24</v>
      </c>
      <c r="C23">
        <v>8</v>
      </c>
      <c r="D23" s="6">
        <v>0</v>
      </c>
      <c r="E23" s="6">
        <v>0</v>
      </c>
      <c r="F23" s="6">
        <v>0</v>
      </c>
      <c r="G23">
        <v>8</v>
      </c>
      <c r="H23" s="4">
        <v>1</v>
      </c>
      <c r="I23" s="9" t="s">
        <v>581</v>
      </c>
      <c r="J23" t="e">
        <f>VLOOKUP(#REF!,Proc[[#All],[App]:[DaysAgeing]],16,0)</f>
        <v>#REF!</v>
      </c>
      <c r="K23" t="str">
        <f>IFERROR(VLOOKUP(#REF!,Table2[],3,0),"nop")</f>
        <v>nop</v>
      </c>
    </row>
    <row r="24" spans="1:11">
      <c r="A24" s="5" t="s">
        <v>567</v>
      </c>
      <c r="B24" t="s">
        <v>30</v>
      </c>
      <c r="C24">
        <v>20</v>
      </c>
      <c r="D24" s="6">
        <v>0</v>
      </c>
      <c r="E24" s="6">
        <v>0</v>
      </c>
      <c r="F24" s="6">
        <v>0</v>
      </c>
      <c r="G24">
        <v>20</v>
      </c>
      <c r="H24" s="4">
        <v>1</v>
      </c>
      <c r="I24" s="9" t="s">
        <v>582</v>
      </c>
      <c r="J24" t="e">
        <f>VLOOKUP(#REF!,Proc[[#All],[App]:[DaysAgeing]],16,0)</f>
        <v>#REF!</v>
      </c>
      <c r="K24" t="str">
        <f>IFERROR(VLOOKUP(#REF!,Table2[],3,0),"nop")</f>
        <v>nop</v>
      </c>
    </row>
    <row r="25" spans="1:11">
      <c r="A25" s="5" t="s">
        <v>569</v>
      </c>
      <c r="B25" t="s">
        <v>28</v>
      </c>
      <c r="C25">
        <v>1</v>
      </c>
      <c r="D25" s="6">
        <v>0</v>
      </c>
      <c r="E25" s="6">
        <v>0</v>
      </c>
      <c r="F25" s="6">
        <v>0</v>
      </c>
      <c r="G25">
        <v>1</v>
      </c>
      <c r="H25" s="4">
        <v>1</v>
      </c>
      <c r="I25" s="9" t="s">
        <v>581</v>
      </c>
      <c r="J25" t="e">
        <f>VLOOKUP(#REF!,Proc[[#All],[App]:[DaysAgeing]],16,0)</f>
        <v>#REF!</v>
      </c>
      <c r="K25" t="str">
        <f>IFERROR(VLOOKUP(#REF!,Table2[],3,0),"nop")</f>
        <v>nop</v>
      </c>
    </row>
    <row r="26" spans="1:11">
      <c r="A26" s="5" t="s">
        <v>570</v>
      </c>
      <c r="B26" t="s">
        <v>29</v>
      </c>
      <c r="C26">
        <v>5</v>
      </c>
      <c r="D26" s="6">
        <v>0</v>
      </c>
      <c r="E26" s="6">
        <v>0</v>
      </c>
      <c r="F26" s="6">
        <v>0</v>
      </c>
      <c r="G26">
        <v>5</v>
      </c>
      <c r="H26" s="4">
        <v>1</v>
      </c>
      <c r="I26" s="9" t="s">
        <v>581</v>
      </c>
      <c r="J26" t="e">
        <f>VLOOKUP(#REF!,Proc[[#All],[App]:[DaysAgeing]],16,0)</f>
        <v>#REF!</v>
      </c>
      <c r="K26" t="str">
        <f>IFERROR(VLOOKUP(#REF!,Table2[],3,0),"nop")</f>
        <v>nop</v>
      </c>
    </row>
    <row r="27" spans="1:11">
      <c r="A27" s="5" t="s">
        <v>570</v>
      </c>
      <c r="B27" t="s">
        <v>26</v>
      </c>
      <c r="C27">
        <v>5</v>
      </c>
      <c r="D27" s="6">
        <v>0</v>
      </c>
      <c r="E27" s="6">
        <v>0</v>
      </c>
      <c r="F27" s="6">
        <v>0</v>
      </c>
      <c r="G27">
        <v>5</v>
      </c>
      <c r="H27" s="4">
        <v>1</v>
      </c>
      <c r="I27" s="9" t="s">
        <v>581</v>
      </c>
      <c r="J27" t="e">
        <f>VLOOKUP(#REF!,Proc[[#All],[App]:[DaysAgeing]],16,0)</f>
        <v>#REF!</v>
      </c>
      <c r="K27" t="str">
        <f>IFERROR(VLOOKUP(#REF!,Table2[],3,0),"nop")</f>
        <v>nop</v>
      </c>
    </row>
    <row r="28" spans="1:11">
      <c r="A28" s="5" t="s">
        <v>568</v>
      </c>
      <c r="B28" t="s">
        <v>37</v>
      </c>
      <c r="C28">
        <v>21</v>
      </c>
      <c r="D28" s="6">
        <v>0</v>
      </c>
      <c r="E28" s="6">
        <v>0</v>
      </c>
      <c r="F28" s="6">
        <v>0</v>
      </c>
      <c r="G28">
        <v>21</v>
      </c>
      <c r="H28" s="4">
        <v>1</v>
      </c>
      <c r="I28" s="9" t="s">
        <v>583</v>
      </c>
      <c r="J28" t="e">
        <f>VLOOKUP(#REF!,Proc[[#All],[App]:[DaysAgeing]],16,0)</f>
        <v>#REF!</v>
      </c>
      <c r="K28" t="str">
        <f>IFERROR(VLOOKUP(#REF!,Table2[],3,0),"nop")</f>
        <v>nop</v>
      </c>
    </row>
    <row r="29" spans="1:11">
      <c r="A29" s="5" t="s">
        <v>570</v>
      </c>
      <c r="B29" t="s">
        <v>42</v>
      </c>
      <c r="C29">
        <v>63</v>
      </c>
      <c r="D29" s="6">
        <v>0</v>
      </c>
      <c r="E29" s="6">
        <v>0</v>
      </c>
      <c r="F29" s="6">
        <v>0</v>
      </c>
      <c r="G29">
        <v>63</v>
      </c>
      <c r="H29" s="4">
        <v>1</v>
      </c>
      <c r="I29" s="9" t="s">
        <v>584</v>
      </c>
      <c r="J29" t="e">
        <f>VLOOKUP(#REF!,Proc[[#All],[App]:[DaysAgeing]],16,0)</f>
        <v>#REF!</v>
      </c>
      <c r="K29" t="str">
        <f>IFERROR(VLOOKUP(#REF!,Table2[],3,0),"nop")</f>
        <v>nop</v>
      </c>
    </row>
    <row r="30" spans="1:11">
      <c r="A30" s="5" t="s">
        <v>567</v>
      </c>
      <c r="B30" t="s">
        <v>31</v>
      </c>
      <c r="C30">
        <v>6</v>
      </c>
      <c r="D30" s="6">
        <v>0</v>
      </c>
      <c r="E30" s="6">
        <v>0</v>
      </c>
      <c r="F30" s="6">
        <v>0</v>
      </c>
      <c r="G30">
        <v>6</v>
      </c>
      <c r="H30" s="4">
        <v>1</v>
      </c>
      <c r="I30" s="9" t="s">
        <v>585</v>
      </c>
      <c r="J30" t="e">
        <f>VLOOKUP(#REF!,Proc[[#All],[App]:[DaysAgeing]],16,0)</f>
        <v>#REF!</v>
      </c>
      <c r="K30" t="str">
        <f>IFERROR(VLOOKUP(#REF!,Table2[],3,0),"nop")</f>
        <v>nop</v>
      </c>
    </row>
    <row r="31" spans="1:11">
      <c r="A31" s="5" t="s">
        <v>567</v>
      </c>
      <c r="B31" t="s">
        <v>32</v>
      </c>
      <c r="C31">
        <v>1</v>
      </c>
      <c r="D31" s="6">
        <v>0</v>
      </c>
      <c r="E31" s="6">
        <v>0</v>
      </c>
      <c r="F31" s="6">
        <v>0</v>
      </c>
      <c r="G31">
        <v>1</v>
      </c>
      <c r="H31" s="4">
        <v>1</v>
      </c>
      <c r="I31" s="9" t="s">
        <v>585</v>
      </c>
      <c r="J31" t="e">
        <f>VLOOKUP(#REF!,Proc[[#All],[App]:[DaysAgeing]],16,0)</f>
        <v>#REF!</v>
      </c>
      <c r="K31" t="str">
        <f>IFERROR(VLOOKUP(#REF!,Table2[],3,0),"nop")</f>
        <v>nop</v>
      </c>
    </row>
    <row r="32" spans="1:11">
      <c r="A32" s="5" t="s">
        <v>569</v>
      </c>
      <c r="B32" t="s">
        <v>33</v>
      </c>
      <c r="C32">
        <v>3</v>
      </c>
      <c r="D32" s="6">
        <v>0</v>
      </c>
      <c r="E32" s="6">
        <v>0</v>
      </c>
      <c r="F32" s="6">
        <v>0</v>
      </c>
      <c r="G32">
        <v>3</v>
      </c>
      <c r="H32" s="4">
        <v>1</v>
      </c>
      <c r="I32" s="9" t="s">
        <v>586</v>
      </c>
      <c r="J32" t="e">
        <f>VLOOKUP(#REF!,Proc[[#All],[App]:[DaysAgeing]],16,0)</f>
        <v>#REF!</v>
      </c>
      <c r="K32" t="str">
        <f>IFERROR(VLOOKUP(#REF!,Table2[],3,0),"nop")</f>
        <v>nop</v>
      </c>
    </row>
    <row r="33" spans="1:11">
      <c r="A33" s="5" t="s">
        <v>567</v>
      </c>
      <c r="B33" t="s">
        <v>43</v>
      </c>
      <c r="C33">
        <v>147</v>
      </c>
      <c r="D33" s="6">
        <v>0</v>
      </c>
      <c r="E33" s="6">
        <v>0</v>
      </c>
      <c r="F33" s="6">
        <v>1</v>
      </c>
      <c r="G33">
        <v>148</v>
      </c>
      <c r="H33" s="4">
        <v>0.99324324324324298</v>
      </c>
      <c r="I33" s="9" t="s">
        <v>587</v>
      </c>
      <c r="J33" t="e">
        <f>VLOOKUP(#REF!,Proc[[#All],[App]:[DaysAgeing]],16,0)</f>
        <v>#REF!</v>
      </c>
      <c r="K33" t="str">
        <f>IFERROR(VLOOKUP(#REF!,Table2[],3,0),"nop")</f>
        <v>nop</v>
      </c>
    </row>
    <row r="34" spans="1:11">
      <c r="A34" s="5" t="s">
        <v>567</v>
      </c>
      <c r="B34" t="s">
        <v>36</v>
      </c>
      <c r="C34">
        <v>1</v>
      </c>
      <c r="D34" s="6">
        <v>0</v>
      </c>
      <c r="E34" s="6">
        <v>0</v>
      </c>
      <c r="F34" s="6">
        <v>0</v>
      </c>
      <c r="G34">
        <v>1</v>
      </c>
      <c r="H34" s="4">
        <v>1</v>
      </c>
      <c r="I34" s="9" t="s">
        <v>585</v>
      </c>
      <c r="J34" t="e">
        <f>VLOOKUP(#REF!,Proc[[#All],[App]:[DaysAgeing]],16,0)</f>
        <v>#REF!</v>
      </c>
      <c r="K34" t="str">
        <f>IFERROR(VLOOKUP(#REF!,Table2[],3,0),"nop")</f>
        <v>nop</v>
      </c>
    </row>
    <row r="35" spans="1:11">
      <c r="A35" s="5" t="s">
        <v>567</v>
      </c>
      <c r="B35" t="s">
        <v>34</v>
      </c>
      <c r="C35">
        <v>1</v>
      </c>
      <c r="D35" s="6">
        <v>0</v>
      </c>
      <c r="E35" s="6">
        <v>0</v>
      </c>
      <c r="F35" s="6">
        <v>0</v>
      </c>
      <c r="G35">
        <v>1</v>
      </c>
      <c r="H35" s="4">
        <v>1</v>
      </c>
      <c r="I35" s="9" t="s">
        <v>585</v>
      </c>
      <c r="J35" t="e">
        <f>VLOOKUP(#REF!,Proc[[#All],[App]:[DaysAgeing]],16,0)</f>
        <v>#REF!</v>
      </c>
      <c r="K35" t="str">
        <f>IFERROR(VLOOKUP(#REF!,Table2[],3,0),"nop")</f>
        <v>nop</v>
      </c>
    </row>
    <row r="36" spans="1:11">
      <c r="A36" s="5" t="s">
        <v>568</v>
      </c>
      <c r="B36" t="s">
        <v>35</v>
      </c>
      <c r="C36">
        <v>13</v>
      </c>
      <c r="D36" s="6">
        <v>0</v>
      </c>
      <c r="E36" s="6">
        <v>0</v>
      </c>
      <c r="F36" s="6">
        <v>0</v>
      </c>
      <c r="G36">
        <v>13</v>
      </c>
      <c r="H36" s="4">
        <v>1</v>
      </c>
      <c r="I36" s="9" t="s">
        <v>584</v>
      </c>
      <c r="J36" t="e">
        <f>VLOOKUP(#REF!,Proc[[#All],[App]:[DaysAgeing]],16,0)</f>
        <v>#REF!</v>
      </c>
      <c r="K36" t="str">
        <f>IFERROR(VLOOKUP(#REF!,Table2[],3,0),"nop")</f>
        <v>nop</v>
      </c>
    </row>
    <row r="37" spans="1:11">
      <c r="A37" s="5" t="s">
        <v>567</v>
      </c>
      <c r="B37" t="s">
        <v>38</v>
      </c>
      <c r="C37">
        <v>6</v>
      </c>
      <c r="D37" s="6">
        <v>0</v>
      </c>
      <c r="E37" s="6">
        <v>0</v>
      </c>
      <c r="F37" s="6">
        <v>0</v>
      </c>
      <c r="G37">
        <v>6</v>
      </c>
      <c r="H37" s="4">
        <v>1</v>
      </c>
      <c r="I37" s="9" t="s">
        <v>584</v>
      </c>
      <c r="J37" t="e">
        <f>VLOOKUP(#REF!,Proc[[#All],[App]:[DaysAgeing]],16,0)</f>
        <v>#REF!</v>
      </c>
      <c r="K37" t="str">
        <f>IFERROR(VLOOKUP(#REF!,Table2[],3,0),"nop")</f>
        <v>nop</v>
      </c>
    </row>
    <row r="38" spans="1:11">
      <c r="A38" s="5" t="s">
        <v>568</v>
      </c>
      <c r="B38" t="s">
        <v>39</v>
      </c>
      <c r="C38">
        <v>4</v>
      </c>
      <c r="D38" s="6">
        <v>0</v>
      </c>
      <c r="E38" s="6">
        <v>0</v>
      </c>
      <c r="F38" s="6">
        <v>0</v>
      </c>
      <c r="G38">
        <v>4</v>
      </c>
      <c r="H38" s="4">
        <v>1</v>
      </c>
      <c r="I38" s="9" t="s">
        <v>584</v>
      </c>
      <c r="J38" t="e">
        <f>VLOOKUP(#REF!,Proc[[#All],[App]:[DaysAgeing]],16,0)</f>
        <v>#REF!</v>
      </c>
      <c r="K38" t="str">
        <f>IFERROR(VLOOKUP(#REF!,Table2[],3,0),"nop")</f>
        <v>nop</v>
      </c>
    </row>
    <row r="39" spans="1:11">
      <c r="A39" s="5" t="s">
        <v>567</v>
      </c>
      <c r="B39" t="s">
        <v>40</v>
      </c>
      <c r="C39">
        <v>2</v>
      </c>
      <c r="D39" s="6">
        <v>0</v>
      </c>
      <c r="E39" s="6">
        <v>0</v>
      </c>
      <c r="F39" s="6">
        <v>0</v>
      </c>
      <c r="G39">
        <v>2</v>
      </c>
      <c r="H39" s="4">
        <v>1</v>
      </c>
      <c r="I39" s="9" t="s">
        <v>584</v>
      </c>
      <c r="J39" t="e">
        <f>VLOOKUP(#REF!,Proc[[#All],[App]:[DaysAgeing]],16,0)</f>
        <v>#REF!</v>
      </c>
      <c r="K39" t="str">
        <f>IFERROR(VLOOKUP(#REF!,Table2[],3,0),"nop")</f>
        <v>nop</v>
      </c>
    </row>
    <row r="40" spans="1:11">
      <c r="A40" s="5" t="s">
        <v>568</v>
      </c>
      <c r="B40" t="s">
        <v>41</v>
      </c>
      <c r="C40">
        <v>11</v>
      </c>
      <c r="D40" s="6">
        <v>0</v>
      </c>
      <c r="E40" s="6">
        <v>0</v>
      </c>
      <c r="F40" s="6">
        <v>0</v>
      </c>
      <c r="G40">
        <v>11</v>
      </c>
      <c r="H40" s="4">
        <v>1</v>
      </c>
      <c r="I40" s="9" t="s">
        <v>584</v>
      </c>
      <c r="J40" t="e">
        <f>VLOOKUP(#REF!,Proc[[#All],[App]:[DaysAgeing]],16,0)</f>
        <v>#REF!</v>
      </c>
      <c r="K40" t="str">
        <f>IFERROR(VLOOKUP(#REF!,Table2[],3,0),"nop")</f>
        <v>nop</v>
      </c>
    </row>
    <row r="41" spans="1:11">
      <c r="A41" s="5" t="s">
        <v>568</v>
      </c>
      <c r="B41" t="s">
        <v>46</v>
      </c>
      <c r="C41">
        <v>8</v>
      </c>
      <c r="D41" s="6">
        <v>0</v>
      </c>
      <c r="E41" s="6">
        <v>0</v>
      </c>
      <c r="F41" s="6">
        <v>0</v>
      </c>
      <c r="G41">
        <v>8</v>
      </c>
      <c r="H41" s="4">
        <v>1</v>
      </c>
      <c r="I41" s="9" t="s">
        <v>588</v>
      </c>
      <c r="J41" t="e">
        <f>VLOOKUP(#REF!,Proc[[#All],[App]:[DaysAgeing]],16,0)</f>
        <v>#REF!</v>
      </c>
      <c r="K41" t="str">
        <f>IFERROR(VLOOKUP(#REF!,Table2[],3,0),"nop")</f>
        <v>nop</v>
      </c>
    </row>
    <row r="42" spans="1:11">
      <c r="A42" s="5" t="s">
        <v>567</v>
      </c>
      <c r="B42" t="s">
        <v>45</v>
      </c>
      <c r="C42">
        <v>5</v>
      </c>
      <c r="D42" s="6">
        <v>0</v>
      </c>
      <c r="E42" s="6">
        <v>0</v>
      </c>
      <c r="F42" s="6">
        <v>1</v>
      </c>
      <c r="G42">
        <v>6</v>
      </c>
      <c r="H42" s="4">
        <v>0.83333333333333404</v>
      </c>
      <c r="I42" s="9" t="s">
        <v>589</v>
      </c>
      <c r="J42" t="e">
        <f>VLOOKUP(#REF!,Proc[[#All],[App]:[DaysAgeing]],16,0)</f>
        <v>#REF!</v>
      </c>
      <c r="K42" t="str">
        <f>IFERROR(VLOOKUP(#REF!,Table2[],3,0),"nop")</f>
        <v>nop</v>
      </c>
    </row>
    <row r="43" spans="1:11">
      <c r="A43" s="5" t="s">
        <v>568</v>
      </c>
      <c r="B43" t="s">
        <v>44</v>
      </c>
      <c r="C43">
        <v>2</v>
      </c>
      <c r="D43" s="6">
        <v>0</v>
      </c>
      <c r="E43" s="6">
        <v>0</v>
      </c>
      <c r="F43" s="6">
        <v>0</v>
      </c>
      <c r="G43">
        <v>2</v>
      </c>
      <c r="H43" s="4">
        <v>1</v>
      </c>
      <c r="I43" s="9" t="s">
        <v>590</v>
      </c>
      <c r="J43" t="e">
        <f>VLOOKUP(#REF!,Proc[[#All],[App]:[DaysAgeing]],16,0)</f>
        <v>#REF!</v>
      </c>
      <c r="K43" t="str">
        <f>IFERROR(VLOOKUP(#REF!,Table2[],3,0),"nop")</f>
        <v>nop</v>
      </c>
    </row>
    <row r="44" spans="1:11">
      <c r="A44" s="5" t="s">
        <v>570</v>
      </c>
      <c r="B44" t="s">
        <v>47</v>
      </c>
      <c r="C44">
        <v>8</v>
      </c>
      <c r="D44" s="6">
        <v>0</v>
      </c>
      <c r="E44" s="6">
        <v>0</v>
      </c>
      <c r="F44" s="6">
        <v>2</v>
      </c>
      <c r="G44">
        <v>10</v>
      </c>
      <c r="H44" s="4">
        <v>0.8</v>
      </c>
      <c r="I44" s="9" t="s">
        <v>591</v>
      </c>
      <c r="J44" t="e">
        <f>VLOOKUP(#REF!,Proc[[#All],[App]:[DaysAgeing]],16,0)</f>
        <v>#REF!</v>
      </c>
      <c r="K44" t="str">
        <f>IFERROR(VLOOKUP(#REF!,Table2[],3,0),"nop")</f>
        <v>nop</v>
      </c>
    </row>
    <row r="45" spans="1:11">
      <c r="A45" s="5" t="s">
        <v>568</v>
      </c>
      <c r="B45" t="s">
        <v>48</v>
      </c>
      <c r="C45">
        <v>1</v>
      </c>
      <c r="D45" s="6">
        <v>0</v>
      </c>
      <c r="E45" s="6">
        <v>0</v>
      </c>
      <c r="F45" s="6">
        <v>0</v>
      </c>
      <c r="G45">
        <v>1</v>
      </c>
      <c r="H45" s="4">
        <v>1</v>
      </c>
      <c r="I45" s="9" t="s">
        <v>585</v>
      </c>
      <c r="J45" t="e">
        <f>VLOOKUP(#REF!,Proc[[#All],[App]:[DaysAgeing]],16,0)</f>
        <v>#REF!</v>
      </c>
      <c r="K45" t="str">
        <f>IFERROR(VLOOKUP(#REF!,Table2[],3,0),"nop")</f>
        <v>nop</v>
      </c>
    </row>
    <row r="46" spans="1:11">
      <c r="A46" s="5" t="s">
        <v>568</v>
      </c>
      <c r="B46" t="s">
        <v>49</v>
      </c>
      <c r="C46">
        <v>3</v>
      </c>
      <c r="D46" s="6">
        <v>0</v>
      </c>
      <c r="E46" s="6">
        <v>0</v>
      </c>
      <c r="F46" s="6">
        <v>0</v>
      </c>
      <c r="G46">
        <v>3</v>
      </c>
      <c r="H46" s="4">
        <v>1</v>
      </c>
      <c r="I46" s="9" t="s">
        <v>585</v>
      </c>
      <c r="J46" t="e">
        <f>VLOOKUP(#REF!,Proc[[#All],[App]:[DaysAgeing]],16,0)</f>
        <v>#REF!</v>
      </c>
      <c r="K46" t="str">
        <f>IFERROR(VLOOKUP(#REF!,Table2[],3,0),"nop")</f>
        <v>nop</v>
      </c>
    </row>
    <row r="47" spans="1:11">
      <c r="A47" s="5" t="s">
        <v>567</v>
      </c>
      <c r="B47" t="s">
        <v>50</v>
      </c>
      <c r="C47">
        <v>42</v>
      </c>
      <c r="D47" s="6">
        <v>0</v>
      </c>
      <c r="E47" s="6">
        <v>0</v>
      </c>
      <c r="F47" s="6">
        <v>1</v>
      </c>
      <c r="G47">
        <v>43</v>
      </c>
      <c r="H47" s="4">
        <v>0.97674418604651203</v>
      </c>
      <c r="I47" s="9" t="s">
        <v>592</v>
      </c>
      <c r="J47" t="e">
        <f>VLOOKUP(#REF!,Proc[[#All],[App]:[DaysAgeing]],16,0)</f>
        <v>#REF!</v>
      </c>
      <c r="K47" t="str">
        <f>IFERROR(VLOOKUP(#REF!,Table2[],3,0),"nop")</f>
        <v>nop</v>
      </c>
    </row>
    <row r="48" spans="1:11">
      <c r="A48" s="5" t="s">
        <v>569</v>
      </c>
      <c r="B48" t="s">
        <v>58</v>
      </c>
      <c r="C48">
        <v>1</v>
      </c>
      <c r="D48" s="6">
        <v>0</v>
      </c>
      <c r="E48" s="6">
        <v>0</v>
      </c>
      <c r="F48" s="6">
        <v>0</v>
      </c>
      <c r="G48">
        <v>1</v>
      </c>
      <c r="H48" s="4">
        <v>1</v>
      </c>
      <c r="I48" s="9" t="s">
        <v>585</v>
      </c>
      <c r="J48" t="e">
        <f>VLOOKUP(#REF!,Proc[[#All],[App]:[DaysAgeing]],16,0)</f>
        <v>#REF!</v>
      </c>
      <c r="K48" t="str">
        <f>IFERROR(VLOOKUP(#REF!,Table2[],3,0),"nop")</f>
        <v>nop</v>
      </c>
    </row>
    <row r="49" spans="1:11">
      <c r="A49" s="5" t="s">
        <v>569</v>
      </c>
      <c r="B49" t="s">
        <v>51</v>
      </c>
      <c r="C49">
        <v>1</v>
      </c>
      <c r="D49" s="6">
        <v>0</v>
      </c>
      <c r="E49" s="6">
        <v>0</v>
      </c>
      <c r="F49" s="6">
        <v>0</v>
      </c>
      <c r="G49">
        <v>1</v>
      </c>
      <c r="H49" s="4">
        <v>1</v>
      </c>
      <c r="I49" s="9" t="s">
        <v>585</v>
      </c>
      <c r="J49" t="e">
        <f>VLOOKUP(#REF!,Proc[[#All],[App]:[DaysAgeing]],16,0)</f>
        <v>#REF!</v>
      </c>
      <c r="K49" t="str">
        <f>IFERROR(VLOOKUP(#REF!,Table2[],3,0),"nop")</f>
        <v>nop</v>
      </c>
    </row>
    <row r="50" spans="1:11">
      <c r="A50" s="5" t="s">
        <v>569</v>
      </c>
      <c r="B50" t="s">
        <v>52</v>
      </c>
      <c r="C50">
        <v>1</v>
      </c>
      <c r="D50" s="6">
        <v>0</v>
      </c>
      <c r="E50" s="6">
        <v>0</v>
      </c>
      <c r="F50" s="6">
        <v>0</v>
      </c>
      <c r="G50">
        <v>1</v>
      </c>
      <c r="H50" s="4">
        <v>1</v>
      </c>
      <c r="I50" s="9" t="s">
        <v>585</v>
      </c>
      <c r="J50" t="e">
        <f>VLOOKUP(#REF!,Proc[[#All],[App]:[DaysAgeing]],16,0)</f>
        <v>#REF!</v>
      </c>
      <c r="K50" t="str">
        <f>IFERROR(VLOOKUP(#REF!,Table2[],3,0),"nop")</f>
        <v>nop</v>
      </c>
    </row>
    <row r="51" spans="1:11">
      <c r="A51" s="5" t="s">
        <v>569</v>
      </c>
      <c r="B51" t="s">
        <v>53</v>
      </c>
      <c r="C51">
        <v>3</v>
      </c>
      <c r="D51" s="6">
        <v>0</v>
      </c>
      <c r="E51" s="6">
        <v>0</v>
      </c>
      <c r="F51" s="6">
        <v>0</v>
      </c>
      <c r="G51">
        <v>3</v>
      </c>
      <c r="H51" s="4">
        <v>1</v>
      </c>
      <c r="I51" s="9" t="s">
        <v>585</v>
      </c>
      <c r="J51" t="e">
        <f>VLOOKUP(#REF!,Proc[[#All],[App]:[DaysAgeing]],16,0)</f>
        <v>#REF!</v>
      </c>
      <c r="K51" t="str">
        <f>IFERROR(VLOOKUP(#REF!,Table2[],3,0),"nop")</f>
        <v>nop</v>
      </c>
    </row>
    <row r="52" spans="1:11">
      <c r="A52" s="5" t="s">
        <v>570</v>
      </c>
      <c r="B52" t="s">
        <v>59</v>
      </c>
      <c r="C52">
        <v>7</v>
      </c>
      <c r="D52" s="6">
        <v>0</v>
      </c>
      <c r="E52" s="6">
        <v>0</v>
      </c>
      <c r="F52" s="6">
        <v>2</v>
      </c>
      <c r="G52">
        <v>9</v>
      </c>
      <c r="H52" s="4">
        <v>0.77777777777777801</v>
      </c>
      <c r="I52" s="9" t="s">
        <v>593</v>
      </c>
      <c r="J52" t="e">
        <f>VLOOKUP(#REF!,Proc[[#All],[App]:[DaysAgeing]],16,0)</f>
        <v>#REF!</v>
      </c>
      <c r="K52" t="str">
        <f>IFERROR(VLOOKUP(#REF!,Table2[],3,0),"nop")</f>
        <v>nop</v>
      </c>
    </row>
    <row r="53" spans="1:11">
      <c r="A53" s="5" t="s">
        <v>568</v>
      </c>
      <c r="B53" t="s">
        <v>54</v>
      </c>
      <c r="C53">
        <v>7</v>
      </c>
      <c r="D53" s="6">
        <v>0</v>
      </c>
      <c r="E53" s="6">
        <v>0</v>
      </c>
      <c r="F53" s="6">
        <v>0</v>
      </c>
      <c r="G53">
        <v>7</v>
      </c>
      <c r="H53" s="4">
        <v>1</v>
      </c>
      <c r="I53" s="9" t="s">
        <v>585</v>
      </c>
      <c r="J53" t="e">
        <f>VLOOKUP(#REF!,Proc[[#All],[App]:[DaysAgeing]],16,0)</f>
        <v>#REF!</v>
      </c>
      <c r="K53" t="str">
        <f>IFERROR(VLOOKUP(#REF!,Table2[],3,0),"nop")</f>
        <v>nop</v>
      </c>
    </row>
    <row r="54" spans="1:11">
      <c r="A54" s="5" t="s">
        <v>567</v>
      </c>
      <c r="B54" t="s">
        <v>60</v>
      </c>
      <c r="C54">
        <v>157</v>
      </c>
      <c r="D54" s="6">
        <v>0</v>
      </c>
      <c r="E54" s="6">
        <v>0</v>
      </c>
      <c r="F54" s="6">
        <v>0</v>
      </c>
      <c r="G54">
        <v>157</v>
      </c>
      <c r="H54" s="4">
        <v>1</v>
      </c>
      <c r="I54" s="9" t="s">
        <v>585</v>
      </c>
      <c r="J54" t="e">
        <f>VLOOKUP(#REF!,Proc[[#All],[App]:[DaysAgeing]],16,0)</f>
        <v>#REF!</v>
      </c>
      <c r="K54" t="str">
        <f>IFERROR(VLOOKUP(#REF!,Table2[],3,0),"nop")</f>
        <v>nop</v>
      </c>
    </row>
    <row r="55" spans="1:11">
      <c r="A55" s="5" t="s">
        <v>569</v>
      </c>
      <c r="B55" t="s">
        <v>55</v>
      </c>
      <c r="C55">
        <v>2</v>
      </c>
      <c r="D55" s="6">
        <v>0</v>
      </c>
      <c r="E55" s="6">
        <v>0</v>
      </c>
      <c r="F55" s="6">
        <v>0</v>
      </c>
      <c r="G55">
        <v>2</v>
      </c>
      <c r="H55" s="4">
        <v>1</v>
      </c>
      <c r="I55" s="9" t="s">
        <v>585</v>
      </c>
      <c r="J55" t="e">
        <f>VLOOKUP(#REF!,Proc[[#All],[App]:[DaysAgeing]],16,0)</f>
        <v>#REF!</v>
      </c>
      <c r="K55" t="str">
        <f>IFERROR(VLOOKUP(#REF!,Table2[],3,0),"nop")</f>
        <v>nop</v>
      </c>
    </row>
    <row r="56" spans="1:11">
      <c r="A56" s="5" t="s">
        <v>567</v>
      </c>
      <c r="B56" t="s">
        <v>56</v>
      </c>
      <c r="C56">
        <v>1</v>
      </c>
      <c r="D56" s="6">
        <v>0</v>
      </c>
      <c r="E56" s="6">
        <v>0</v>
      </c>
      <c r="F56" s="6">
        <v>0</v>
      </c>
      <c r="G56">
        <v>1</v>
      </c>
      <c r="H56" s="4">
        <v>1</v>
      </c>
      <c r="I56" s="9" t="s">
        <v>585</v>
      </c>
      <c r="J56" t="e">
        <f>VLOOKUP(#REF!,Proc[[#All],[App]:[DaysAgeing]],16,0)</f>
        <v>#REF!</v>
      </c>
      <c r="K56" t="str">
        <f>IFERROR(VLOOKUP(#REF!,Table2[],3,0),"nop")</f>
        <v>nop</v>
      </c>
    </row>
    <row r="57" spans="1:11">
      <c r="A57" s="5" t="s">
        <v>568</v>
      </c>
      <c r="B57" t="s">
        <v>57</v>
      </c>
      <c r="C57">
        <v>12</v>
      </c>
      <c r="D57" s="6">
        <v>0</v>
      </c>
      <c r="E57" s="6">
        <v>0</v>
      </c>
      <c r="F57" s="6">
        <v>0</v>
      </c>
      <c r="G57">
        <v>12</v>
      </c>
      <c r="H57" s="4">
        <v>1</v>
      </c>
      <c r="I57" s="9" t="s">
        <v>585</v>
      </c>
      <c r="J57" t="e">
        <f>VLOOKUP(#REF!,Proc[[#All],[App]:[DaysAgeing]],16,0)</f>
        <v>#REF!</v>
      </c>
      <c r="K57" t="str">
        <f>IFERROR(VLOOKUP(#REF!,Table2[],3,0),"nop")</f>
        <v>nop</v>
      </c>
    </row>
    <row r="58" spans="1:11">
      <c r="A58" s="5" t="s">
        <v>567</v>
      </c>
      <c r="B58" t="s">
        <v>62</v>
      </c>
      <c r="C58">
        <v>1</v>
      </c>
      <c r="D58" s="6">
        <v>0</v>
      </c>
      <c r="E58" s="6">
        <v>0</v>
      </c>
      <c r="F58" s="6">
        <v>0</v>
      </c>
      <c r="G58">
        <v>1</v>
      </c>
      <c r="H58" s="4">
        <v>1</v>
      </c>
      <c r="I58" s="9" t="s">
        <v>585</v>
      </c>
      <c r="J58" t="e">
        <f>VLOOKUP(#REF!,Proc[[#All],[App]:[DaysAgeing]],16,0)</f>
        <v>#REF!</v>
      </c>
      <c r="K58" t="str">
        <f>IFERROR(VLOOKUP(#REF!,Table2[],3,0),"nop")</f>
        <v>nop</v>
      </c>
    </row>
    <row r="59" spans="1:11">
      <c r="A59" s="5" t="s">
        <v>567</v>
      </c>
      <c r="B59" t="s">
        <v>61</v>
      </c>
      <c r="C59">
        <v>34</v>
      </c>
      <c r="D59" s="6">
        <v>0</v>
      </c>
      <c r="E59" s="6">
        <v>0</v>
      </c>
      <c r="F59" s="6">
        <v>0</v>
      </c>
      <c r="G59">
        <v>34</v>
      </c>
      <c r="H59" s="4">
        <v>1</v>
      </c>
      <c r="I59" s="9" t="s">
        <v>585</v>
      </c>
      <c r="J59" t="e">
        <f>VLOOKUP(#REF!,Proc[[#All],[App]:[DaysAgeing]],16,0)</f>
        <v>#REF!</v>
      </c>
      <c r="K59" t="str">
        <f>IFERROR(VLOOKUP(#REF!,Table2[],3,0),"nop")</f>
        <v>nop</v>
      </c>
    </row>
    <row r="60" spans="1:11">
      <c r="A60" s="5" t="s">
        <v>568</v>
      </c>
      <c r="B60" t="s">
        <v>65</v>
      </c>
      <c r="C60">
        <v>0</v>
      </c>
      <c r="D60" s="6">
        <v>0</v>
      </c>
      <c r="E60" s="6">
        <v>0</v>
      </c>
      <c r="F60" s="6">
        <v>1</v>
      </c>
      <c r="G60">
        <v>1</v>
      </c>
      <c r="H60" s="4">
        <v>0</v>
      </c>
      <c r="I60" s="9" t="s">
        <v>594</v>
      </c>
      <c r="J60" t="e">
        <f>VLOOKUP(#REF!,Proc[[#All],[App]:[DaysAgeing]],16,0)</f>
        <v>#REF!</v>
      </c>
      <c r="K60" t="str">
        <f>IFERROR(VLOOKUP(#REF!,Table2[],3,0),"nop")</f>
        <v>nop</v>
      </c>
    </row>
    <row r="61" spans="1:11">
      <c r="A61" s="5" t="s">
        <v>569</v>
      </c>
      <c r="B61" t="s">
        <v>63</v>
      </c>
      <c r="C61">
        <v>1</v>
      </c>
      <c r="D61" s="6">
        <v>0</v>
      </c>
      <c r="E61" s="6">
        <v>0</v>
      </c>
      <c r="F61" s="6">
        <v>0</v>
      </c>
      <c r="G61">
        <v>1</v>
      </c>
      <c r="H61" s="4">
        <v>1</v>
      </c>
      <c r="I61" s="9" t="s">
        <v>585</v>
      </c>
      <c r="J61" t="e">
        <f>VLOOKUP(#REF!,Proc[[#All],[App]:[DaysAgeing]],16,0)</f>
        <v>#REF!</v>
      </c>
      <c r="K61" t="str">
        <f>IFERROR(VLOOKUP(#REF!,Table2[],3,0),"nop")</f>
        <v>nop</v>
      </c>
    </row>
    <row r="62" spans="1:11">
      <c r="A62" s="5" t="s">
        <v>568</v>
      </c>
      <c r="B62" t="s">
        <v>64</v>
      </c>
      <c r="C62">
        <v>43</v>
      </c>
      <c r="D62" s="6">
        <v>0</v>
      </c>
      <c r="E62" s="6">
        <v>0</v>
      </c>
      <c r="F62" s="6">
        <v>0</v>
      </c>
      <c r="G62">
        <v>43</v>
      </c>
      <c r="H62" s="4">
        <v>1</v>
      </c>
      <c r="I62" s="9" t="s">
        <v>585</v>
      </c>
      <c r="J62" t="e">
        <f>VLOOKUP(#REF!,Proc[[#All],[App]:[DaysAgeing]],16,0)</f>
        <v>#REF!</v>
      </c>
      <c r="K62" t="str">
        <f>IFERROR(VLOOKUP(#REF!,Table2[],3,0),"nop")</f>
        <v>nop</v>
      </c>
    </row>
    <row r="63" spans="1:11">
      <c r="A63" s="5" t="s">
        <v>570</v>
      </c>
      <c r="B63" t="s">
        <v>66</v>
      </c>
      <c r="C63">
        <v>7</v>
      </c>
      <c r="D63" s="6">
        <v>0</v>
      </c>
      <c r="E63" s="6">
        <v>0</v>
      </c>
      <c r="F63" s="6">
        <v>0</v>
      </c>
      <c r="G63">
        <v>7</v>
      </c>
      <c r="H63" s="4">
        <v>1</v>
      </c>
      <c r="I63" s="9" t="s">
        <v>585</v>
      </c>
      <c r="J63" t="e">
        <f>VLOOKUP(#REF!,Proc[[#All],[App]:[DaysAgeing]],16,0)</f>
        <v>#REF!</v>
      </c>
      <c r="K63" t="str">
        <f>IFERROR(VLOOKUP(#REF!,Table2[],3,0),"nop")</f>
        <v>nop</v>
      </c>
    </row>
    <row r="64" spans="1:11">
      <c r="A64" s="5" t="s">
        <v>568</v>
      </c>
      <c r="B64" t="s">
        <v>67</v>
      </c>
      <c r="C64">
        <v>3</v>
      </c>
      <c r="D64" s="6">
        <v>0</v>
      </c>
      <c r="E64" s="6">
        <v>0</v>
      </c>
      <c r="F64" s="6">
        <v>0</v>
      </c>
      <c r="G64">
        <v>3</v>
      </c>
      <c r="H64" s="4">
        <v>1</v>
      </c>
      <c r="I64" s="9" t="s">
        <v>585</v>
      </c>
      <c r="J64" t="e">
        <f>VLOOKUP(#REF!,Proc[[#All],[App]:[DaysAgeing]],16,0)</f>
        <v>#REF!</v>
      </c>
      <c r="K64" t="str">
        <f>IFERROR(VLOOKUP(#REF!,Table2[],3,0),"nop")</f>
        <v>nop</v>
      </c>
    </row>
    <row r="65" spans="1:11">
      <c r="A65" s="5" t="s">
        <v>567</v>
      </c>
      <c r="B65" t="s">
        <v>68</v>
      </c>
      <c r="C65">
        <v>4</v>
      </c>
      <c r="D65" s="6">
        <v>0</v>
      </c>
      <c r="E65" s="6">
        <v>0</v>
      </c>
      <c r="F65" s="6">
        <v>0</v>
      </c>
      <c r="G65">
        <v>4</v>
      </c>
      <c r="H65" s="4">
        <v>1</v>
      </c>
      <c r="I65" s="9" t="s">
        <v>585</v>
      </c>
      <c r="J65" t="e">
        <f>VLOOKUP(#REF!,Proc[[#All],[App]:[DaysAgeing]],16,0)</f>
        <v>#REF!</v>
      </c>
      <c r="K65" t="str">
        <f>IFERROR(VLOOKUP(#REF!,Table2[],3,0),"nop")</f>
        <v>nop</v>
      </c>
    </row>
    <row r="66" spans="1:11">
      <c r="A66" s="5" t="s">
        <v>567</v>
      </c>
      <c r="B66" t="s">
        <v>70</v>
      </c>
      <c r="C66">
        <v>20</v>
      </c>
      <c r="D66" s="6">
        <v>0</v>
      </c>
      <c r="E66" s="6">
        <v>0</v>
      </c>
      <c r="F66" s="6">
        <v>0</v>
      </c>
      <c r="G66">
        <v>20</v>
      </c>
      <c r="H66" s="4">
        <v>1</v>
      </c>
      <c r="I66" s="9" t="s">
        <v>585</v>
      </c>
      <c r="J66" t="e">
        <f>VLOOKUP(#REF!,Proc[[#All],[App]:[DaysAgeing]],16,0)</f>
        <v>#REF!</v>
      </c>
      <c r="K66" t="str">
        <f>IFERROR(VLOOKUP(#REF!,Table2[],3,0),"nop")</f>
        <v>nop</v>
      </c>
    </row>
    <row r="67" spans="1:11">
      <c r="A67" s="5" t="s">
        <v>569</v>
      </c>
      <c r="B67" t="s">
        <v>69</v>
      </c>
      <c r="C67">
        <v>1</v>
      </c>
      <c r="D67" s="6">
        <v>0</v>
      </c>
      <c r="E67" s="6">
        <v>0</v>
      </c>
      <c r="F67" s="6">
        <v>0</v>
      </c>
      <c r="G67">
        <v>1</v>
      </c>
      <c r="H67" s="4">
        <v>1</v>
      </c>
      <c r="I67" s="9" t="s">
        <v>585</v>
      </c>
      <c r="J67" t="e">
        <f>VLOOKUP(#REF!,Proc[[#All],[App]:[DaysAgeing]],16,0)</f>
        <v>#REF!</v>
      </c>
      <c r="K67" t="str">
        <f>IFERROR(VLOOKUP(#REF!,Table2[],3,0),"nop")</f>
        <v>nop</v>
      </c>
    </row>
    <row r="68" spans="1:11">
      <c r="A68" s="5" t="s">
        <v>570</v>
      </c>
      <c r="B68" t="s">
        <v>71</v>
      </c>
      <c r="C68">
        <v>2902</v>
      </c>
      <c r="D68" s="6">
        <v>0</v>
      </c>
      <c r="E68" s="6">
        <v>0</v>
      </c>
      <c r="F68" s="6">
        <v>0</v>
      </c>
      <c r="G68">
        <v>2902</v>
      </c>
      <c r="H68" s="4">
        <v>1</v>
      </c>
      <c r="I68" s="9" t="s">
        <v>585</v>
      </c>
      <c r="J68" t="e">
        <f>VLOOKUP(#REF!,Proc[[#All],[App]:[DaysAgeing]],16,0)</f>
        <v>#REF!</v>
      </c>
      <c r="K68" t="str">
        <f>IFERROR(VLOOKUP(#REF!,Table2[],3,0),"nop")</f>
        <v>nop</v>
      </c>
    </row>
    <row r="69" spans="1:11">
      <c r="A69" s="5" t="s">
        <v>568</v>
      </c>
      <c r="B69" t="s">
        <v>72</v>
      </c>
      <c r="C69">
        <v>14</v>
      </c>
      <c r="D69" s="6">
        <v>0</v>
      </c>
      <c r="E69" s="6">
        <v>0</v>
      </c>
      <c r="F69" s="6">
        <v>0</v>
      </c>
      <c r="G69">
        <v>14</v>
      </c>
      <c r="H69" s="4">
        <v>1</v>
      </c>
      <c r="I69" s="9" t="s">
        <v>585</v>
      </c>
      <c r="J69" t="e">
        <f>VLOOKUP(#REF!,Proc[[#All],[App]:[DaysAgeing]],16,0)</f>
        <v>#REF!</v>
      </c>
      <c r="K69" t="str">
        <f>IFERROR(VLOOKUP(#REF!,Table2[],3,0),"nop")</f>
        <v>nop</v>
      </c>
    </row>
    <row r="70" spans="1:11">
      <c r="A70" s="5" t="s">
        <v>569</v>
      </c>
      <c r="B70" t="s">
        <v>76</v>
      </c>
      <c r="C70">
        <v>13</v>
      </c>
      <c r="D70" s="6">
        <v>0</v>
      </c>
      <c r="E70" s="6">
        <v>4</v>
      </c>
      <c r="F70" s="6">
        <v>0</v>
      </c>
      <c r="G70">
        <v>17</v>
      </c>
      <c r="H70" s="4">
        <v>0.76470588235294101</v>
      </c>
      <c r="I70" s="9" t="s">
        <v>595</v>
      </c>
      <c r="J70" t="e">
        <f>VLOOKUP(#REF!,Proc[[#All],[App]:[DaysAgeing]],16,0)</f>
        <v>#REF!</v>
      </c>
      <c r="K70" t="str">
        <f>IFERROR(VLOOKUP(#REF!,Table2[],3,0),"nop")</f>
        <v>nop</v>
      </c>
    </row>
    <row r="71" spans="1:11">
      <c r="A71" s="5" t="s">
        <v>567</v>
      </c>
      <c r="B71" t="s">
        <v>73</v>
      </c>
      <c r="C71">
        <v>5</v>
      </c>
      <c r="D71" s="6">
        <v>0</v>
      </c>
      <c r="E71" s="6">
        <v>0</v>
      </c>
      <c r="F71" s="6">
        <v>0</v>
      </c>
      <c r="G71">
        <v>5</v>
      </c>
      <c r="H71" s="4">
        <v>1</v>
      </c>
      <c r="I71" s="9" t="s">
        <v>585</v>
      </c>
      <c r="J71" t="e">
        <f>VLOOKUP(#REF!,Proc[[#All],[App]:[DaysAgeing]],16,0)</f>
        <v>#REF!</v>
      </c>
      <c r="K71" t="str">
        <f>IFERROR(VLOOKUP(#REF!,Table2[],3,0),"nop")</f>
        <v>nop</v>
      </c>
    </row>
    <row r="72" spans="1:11">
      <c r="A72" s="5" t="s">
        <v>569</v>
      </c>
      <c r="B72" t="s">
        <v>75</v>
      </c>
      <c r="C72">
        <v>2</v>
      </c>
      <c r="D72" s="6">
        <v>0</v>
      </c>
      <c r="E72" s="6">
        <v>0</v>
      </c>
      <c r="F72" s="6">
        <v>0</v>
      </c>
      <c r="G72">
        <v>2</v>
      </c>
      <c r="H72" s="4">
        <v>1</v>
      </c>
      <c r="I72" s="9" t="s">
        <v>585</v>
      </c>
      <c r="J72" t="e">
        <f>VLOOKUP(#REF!,Proc[[#All],[App]:[DaysAgeing]],16,0)</f>
        <v>#REF!</v>
      </c>
      <c r="K72" t="str">
        <f>IFERROR(VLOOKUP(#REF!,Table2[],3,0),"nop")</f>
        <v>nop</v>
      </c>
    </row>
    <row r="73" spans="1:11">
      <c r="A73" s="5" t="s">
        <v>568</v>
      </c>
      <c r="B73" t="s">
        <v>74</v>
      </c>
      <c r="C73">
        <v>20</v>
      </c>
      <c r="D73" s="6">
        <v>0</v>
      </c>
      <c r="E73" s="6">
        <v>0</v>
      </c>
      <c r="F73" s="6">
        <v>0</v>
      </c>
      <c r="G73">
        <v>20</v>
      </c>
      <c r="H73" s="4">
        <v>1</v>
      </c>
      <c r="I73" s="9" t="s">
        <v>585</v>
      </c>
      <c r="J73" t="e">
        <f>VLOOKUP(#REF!,Proc[[#All],[App]:[DaysAgeing]],16,0)</f>
        <v>#REF!</v>
      </c>
      <c r="K73" t="str">
        <f>IFERROR(VLOOKUP(#REF!,Table2[],3,0),"nop")</f>
        <v>nop</v>
      </c>
    </row>
    <row r="74" spans="1:11">
      <c r="A74" s="5" t="s">
        <v>567</v>
      </c>
      <c r="B74" t="s">
        <v>77</v>
      </c>
      <c r="C74">
        <v>181</v>
      </c>
      <c r="D74" s="6">
        <v>0</v>
      </c>
      <c r="E74" s="6">
        <v>21</v>
      </c>
      <c r="F74" s="6">
        <v>0</v>
      </c>
      <c r="G74">
        <v>202</v>
      </c>
      <c r="H74" s="4">
        <v>0.89603960396039595</v>
      </c>
      <c r="I74" s="11" t="s">
        <v>596</v>
      </c>
      <c r="J74" t="e">
        <f>VLOOKUP(#REF!,Proc[[#All],[App]:[DaysAgeing]],16,0)</f>
        <v>#REF!</v>
      </c>
      <c r="K74" t="str">
        <f>IFERROR(VLOOKUP(#REF!,Table2[],3,0),"nop")</f>
        <v>nop</v>
      </c>
    </row>
  </sheetData>
  <phoneticPr fontId="5" type="noConversion"/>
  <pageMargins left="0.7" right="0.7" top="0.75" bottom="0.75" header="0.3" footer="0.3"/>
  <customProperties>
    <customPr name="_pios_id" r:id="rId1"/>
  </customProperties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8BC0DDE-30CA-4DA6-A9D7-CF7B41BA9FCB}">
  <sheetPr codeName="Sheet7"/>
  <dimension ref="A1:B145"/>
  <sheetViews>
    <sheetView topLeftCell="A93" workbookViewId="0">
      <selection activeCell="B148" sqref="B148"/>
    </sheetView>
  </sheetViews>
  <sheetFormatPr defaultRowHeight="15"/>
  <cols>
    <col min="1" max="1" width="23.85546875" bestFit="1" customWidth="1"/>
  </cols>
  <sheetData>
    <row r="1" spans="1:2">
      <c r="A1" t="s">
        <v>597</v>
      </c>
      <c r="B1" t="s">
        <v>367</v>
      </c>
    </row>
    <row r="2" spans="1:2">
      <c r="A2" t="s">
        <v>402</v>
      </c>
      <c r="B2" t="s">
        <v>567</v>
      </c>
    </row>
    <row r="3" spans="1:2">
      <c r="A3" t="s">
        <v>407</v>
      </c>
      <c r="B3" t="s">
        <v>567</v>
      </c>
    </row>
    <row r="4" spans="1:2">
      <c r="A4" t="s">
        <v>408</v>
      </c>
      <c r="B4" t="s">
        <v>568</v>
      </c>
    </row>
    <row r="5" spans="1:2">
      <c r="A5" t="s">
        <v>409</v>
      </c>
      <c r="B5" t="s">
        <v>569</v>
      </c>
    </row>
    <row r="6" spans="1:2">
      <c r="A6" t="s">
        <v>410</v>
      </c>
      <c r="B6" t="s">
        <v>569</v>
      </c>
    </row>
    <row r="7" spans="1:2">
      <c r="A7" t="s">
        <v>412</v>
      </c>
      <c r="B7" t="s">
        <v>568</v>
      </c>
    </row>
    <row r="8" spans="1:2">
      <c r="A8" t="s">
        <v>414</v>
      </c>
      <c r="B8" t="s">
        <v>568</v>
      </c>
    </row>
    <row r="9" spans="1:2">
      <c r="A9" t="s">
        <v>415</v>
      </c>
      <c r="B9" t="s">
        <v>569</v>
      </c>
    </row>
    <row r="10" spans="1:2">
      <c r="A10" t="s">
        <v>420</v>
      </c>
      <c r="B10" t="s">
        <v>568</v>
      </c>
    </row>
    <row r="11" spans="1:2">
      <c r="A11" t="s">
        <v>421</v>
      </c>
      <c r="B11" t="s">
        <v>570</v>
      </c>
    </row>
    <row r="12" spans="1:2">
      <c r="A12" t="s">
        <v>422</v>
      </c>
      <c r="B12" t="s">
        <v>567</v>
      </c>
    </row>
    <row r="13" spans="1:2">
      <c r="A13" t="s">
        <v>423</v>
      </c>
      <c r="B13" t="s">
        <v>568</v>
      </c>
    </row>
    <row r="14" spans="1:2">
      <c r="A14" s="1" t="s">
        <v>598</v>
      </c>
      <c r="B14" t="s">
        <v>567</v>
      </c>
    </row>
    <row r="15" spans="1:2">
      <c r="A15" t="s">
        <v>449</v>
      </c>
      <c r="B15" t="s">
        <v>569</v>
      </c>
    </row>
    <row r="16" spans="1:2">
      <c r="A16" s="1" t="s">
        <v>450</v>
      </c>
      <c r="B16" t="s">
        <v>570</v>
      </c>
    </row>
    <row r="17" spans="1:2">
      <c r="A17" t="s">
        <v>452</v>
      </c>
      <c r="B17" t="s">
        <v>567</v>
      </c>
    </row>
    <row r="18" spans="1:2">
      <c r="A18" s="1" t="s">
        <v>448</v>
      </c>
      <c r="B18" t="s">
        <v>569</v>
      </c>
    </row>
    <row r="19" spans="1:2">
      <c r="A19" t="s">
        <v>465</v>
      </c>
      <c r="B19" t="s">
        <v>569</v>
      </c>
    </row>
    <row r="20" spans="1:2">
      <c r="A20" t="s">
        <v>467</v>
      </c>
      <c r="B20" t="s">
        <v>569</v>
      </c>
    </row>
    <row r="21" spans="1:2">
      <c r="A21" s="1" t="s">
        <v>469</v>
      </c>
      <c r="B21" t="s">
        <v>569</v>
      </c>
    </row>
    <row r="22" spans="1:2">
      <c r="A22" s="1" t="s">
        <v>470</v>
      </c>
      <c r="B22" t="s">
        <v>569</v>
      </c>
    </row>
    <row r="23" spans="1:2">
      <c r="A23" s="1" t="s">
        <v>472</v>
      </c>
      <c r="B23" t="s">
        <v>568</v>
      </c>
    </row>
    <row r="24" spans="1:2">
      <c r="A24" s="1" t="s">
        <v>471</v>
      </c>
      <c r="B24" t="s">
        <v>569</v>
      </c>
    </row>
    <row r="25" spans="1:2">
      <c r="A25" t="s">
        <v>478</v>
      </c>
      <c r="B25" t="s">
        <v>569</v>
      </c>
    </row>
    <row r="26" spans="1:2">
      <c r="A26" s="1" t="s">
        <v>477</v>
      </c>
      <c r="B26" t="s">
        <v>569</v>
      </c>
    </row>
    <row r="27" spans="1:2">
      <c r="A27" s="1" t="s">
        <v>481</v>
      </c>
      <c r="B27" t="s">
        <v>567</v>
      </c>
    </row>
    <row r="28" spans="1:2">
      <c r="A28" s="1" t="s">
        <v>599</v>
      </c>
      <c r="B28" t="s">
        <v>570</v>
      </c>
    </row>
    <row r="29" spans="1:2">
      <c r="A29" t="s">
        <v>482</v>
      </c>
      <c r="B29" t="s">
        <v>569</v>
      </c>
    </row>
    <row r="30" spans="1:2">
      <c r="A30" t="s">
        <v>484</v>
      </c>
      <c r="B30" t="s">
        <v>569</v>
      </c>
    </row>
    <row r="31" spans="1:2">
      <c r="A31" t="s">
        <v>490</v>
      </c>
      <c r="B31" t="s">
        <v>569</v>
      </c>
    </row>
    <row r="32" spans="1:2">
      <c r="A32" t="s">
        <v>492</v>
      </c>
      <c r="B32" t="s">
        <v>569</v>
      </c>
    </row>
    <row r="33" spans="1:2">
      <c r="A33" t="s">
        <v>502</v>
      </c>
      <c r="B33" t="s">
        <v>569</v>
      </c>
    </row>
    <row r="34" spans="1:2">
      <c r="A34" t="s">
        <v>515</v>
      </c>
      <c r="B34" t="s">
        <v>567</v>
      </c>
    </row>
    <row r="35" spans="1:2">
      <c r="A35" t="s">
        <v>510</v>
      </c>
      <c r="B35" t="s">
        <v>567</v>
      </c>
    </row>
    <row r="36" spans="1:2">
      <c r="A36" t="s">
        <v>518</v>
      </c>
      <c r="B36" t="s">
        <v>567</v>
      </c>
    </row>
    <row r="37" spans="1:2">
      <c r="A37" t="s">
        <v>485</v>
      </c>
      <c r="B37" s="12" t="s">
        <v>567</v>
      </c>
    </row>
    <row r="38" spans="1:2">
      <c r="A38" t="s">
        <v>488</v>
      </c>
      <c r="B38" s="12" t="s">
        <v>567</v>
      </c>
    </row>
    <row r="39" spans="1:2">
      <c r="A39" t="s">
        <v>491</v>
      </c>
      <c r="B39" s="12" t="s">
        <v>567</v>
      </c>
    </row>
    <row r="40" spans="1:2">
      <c r="A40" t="s">
        <v>511</v>
      </c>
      <c r="B40" s="12" t="s">
        <v>567</v>
      </c>
    </row>
    <row r="41" spans="1:2">
      <c r="A41" t="s">
        <v>519</v>
      </c>
      <c r="B41" s="13" t="s">
        <v>567</v>
      </c>
    </row>
    <row r="42" spans="1:2">
      <c r="A42" t="s">
        <v>494</v>
      </c>
      <c r="B42" t="s">
        <v>569</v>
      </c>
    </row>
    <row r="43" spans="1:2">
      <c r="A43" t="s">
        <v>498</v>
      </c>
      <c r="B43" t="s">
        <v>569</v>
      </c>
    </row>
    <row r="44" spans="1:2">
      <c r="A44" t="s">
        <v>506</v>
      </c>
      <c r="B44" t="s">
        <v>569</v>
      </c>
    </row>
    <row r="45" spans="1:2">
      <c r="A45" t="s">
        <v>507</v>
      </c>
      <c r="B45" t="s">
        <v>569</v>
      </c>
    </row>
    <row r="46" spans="1:2">
      <c r="A46" t="s">
        <v>516</v>
      </c>
      <c r="B46" t="s">
        <v>569</v>
      </c>
    </row>
    <row r="47" spans="1:2">
      <c r="A47" t="s">
        <v>489</v>
      </c>
      <c r="B47" t="s">
        <v>568</v>
      </c>
    </row>
    <row r="48" spans="1:2">
      <c r="A48" t="s">
        <v>505</v>
      </c>
      <c r="B48" t="s">
        <v>568</v>
      </c>
    </row>
    <row r="49" spans="1:2">
      <c r="A49" t="s">
        <v>520</v>
      </c>
      <c r="B49" t="s">
        <v>568</v>
      </c>
    </row>
    <row r="50" spans="1:2">
      <c r="A50" t="s">
        <v>521</v>
      </c>
      <c r="B50" t="s">
        <v>568</v>
      </c>
    </row>
    <row r="51" spans="1:2">
      <c r="A51" t="s">
        <v>517</v>
      </c>
      <c r="B51" t="s">
        <v>570</v>
      </c>
    </row>
    <row r="52" spans="1:2">
      <c r="A52" t="s">
        <v>532</v>
      </c>
      <c r="B52" t="s">
        <v>569</v>
      </c>
    </row>
    <row r="53" spans="1:2">
      <c r="A53" t="s">
        <v>530</v>
      </c>
      <c r="B53" t="s">
        <v>567</v>
      </c>
    </row>
    <row r="54" spans="1:2">
      <c r="A54" s="1" t="s">
        <v>533</v>
      </c>
      <c r="B54" t="s">
        <v>568</v>
      </c>
    </row>
    <row r="55" spans="1:2">
      <c r="A55" s="1" t="s">
        <v>529</v>
      </c>
      <c r="B55" t="s">
        <v>568</v>
      </c>
    </row>
    <row r="56" spans="1:2">
      <c r="A56" s="1" t="s">
        <v>534</v>
      </c>
      <c r="B56" t="s">
        <v>569</v>
      </c>
    </row>
    <row r="57" spans="1:2">
      <c r="A57" s="1" t="s">
        <v>535</v>
      </c>
      <c r="B57" t="s">
        <v>569</v>
      </c>
    </row>
    <row r="58" spans="1:2">
      <c r="A58" s="1" t="s">
        <v>522</v>
      </c>
      <c r="B58" t="s">
        <v>567</v>
      </c>
    </row>
    <row r="59" spans="1:2">
      <c r="A59" s="1" t="s">
        <v>542</v>
      </c>
      <c r="B59" t="s">
        <v>567</v>
      </c>
    </row>
    <row r="60" spans="1:2">
      <c r="A60" s="1" t="s">
        <v>544</v>
      </c>
      <c r="B60" t="s">
        <v>568</v>
      </c>
    </row>
    <row r="61" spans="1:2">
      <c r="A61" s="1" t="s">
        <v>536</v>
      </c>
      <c r="B61" t="s">
        <v>570</v>
      </c>
    </row>
    <row r="62" spans="1:2">
      <c r="A62" t="s">
        <v>545</v>
      </c>
      <c r="B62" t="s">
        <v>568</v>
      </c>
    </row>
    <row r="63" spans="1:2">
      <c r="A63" s="1" t="s">
        <v>550</v>
      </c>
      <c r="B63" t="s">
        <v>567</v>
      </c>
    </row>
    <row r="64" spans="1:2">
      <c r="A64" s="1" t="s">
        <v>549</v>
      </c>
      <c r="B64" t="s">
        <v>567</v>
      </c>
    </row>
    <row r="65" spans="1:2">
      <c r="A65" s="1" t="s">
        <v>551</v>
      </c>
      <c r="B65" t="s">
        <v>568</v>
      </c>
    </row>
    <row r="66" spans="1:2">
      <c r="A66" s="1" t="s">
        <v>539</v>
      </c>
      <c r="B66" t="s">
        <v>567</v>
      </c>
    </row>
    <row r="67" spans="1:2">
      <c r="A67" s="1" t="s">
        <v>548</v>
      </c>
      <c r="B67" t="s">
        <v>567</v>
      </c>
    </row>
    <row r="68" spans="1:2">
      <c r="A68" t="s">
        <v>553</v>
      </c>
      <c r="B68" t="s">
        <v>567</v>
      </c>
    </row>
    <row r="69" spans="1:2">
      <c r="A69" t="s">
        <v>558</v>
      </c>
      <c r="B69" t="s">
        <v>567</v>
      </c>
    </row>
    <row r="70" spans="1:2">
      <c r="A70" s="14" t="s">
        <v>566</v>
      </c>
      <c r="B70" t="s">
        <v>567</v>
      </c>
    </row>
    <row r="71" spans="1:2">
      <c r="A71" s="14" t="s">
        <v>638</v>
      </c>
      <c r="B71" s="18" t="s">
        <v>569</v>
      </c>
    </row>
    <row r="72" spans="1:2">
      <c r="A72" s="14" t="s">
        <v>646</v>
      </c>
      <c r="B72" s="20" t="s">
        <v>569</v>
      </c>
    </row>
    <row r="73" spans="1:2">
      <c r="A73" s="14" t="s">
        <v>655</v>
      </c>
      <c r="B73" t="s">
        <v>568</v>
      </c>
    </row>
    <row r="74" spans="1:2">
      <c r="A74" s="14" t="s">
        <v>676</v>
      </c>
      <c r="B74" s="21" t="s">
        <v>570</v>
      </c>
    </row>
    <row r="75" spans="1:2">
      <c r="A75" s="26" t="s">
        <v>686</v>
      </c>
      <c r="B75" s="22" t="s">
        <v>569</v>
      </c>
    </row>
    <row r="76" spans="1:2">
      <c r="A76" s="26" t="s">
        <v>695</v>
      </c>
      <c r="B76" t="s">
        <v>567</v>
      </c>
    </row>
    <row r="77" spans="1:2">
      <c r="A77" s="27" t="s">
        <v>701</v>
      </c>
      <c r="B77" t="s">
        <v>569</v>
      </c>
    </row>
    <row r="78" spans="1:2">
      <c r="A78" s="27" t="s">
        <v>706</v>
      </c>
      <c r="B78" s="22" t="s">
        <v>569</v>
      </c>
    </row>
    <row r="79" spans="1:2">
      <c r="A79" s="27" t="s">
        <v>738</v>
      </c>
      <c r="B79" s="28" t="s">
        <v>569</v>
      </c>
    </row>
    <row r="80" spans="1:2">
      <c r="A80" s="27" t="s">
        <v>746</v>
      </c>
      <c r="B80" s="28" t="s">
        <v>569</v>
      </c>
    </row>
    <row r="81" spans="1:2">
      <c r="A81" s="27" t="s">
        <v>764</v>
      </c>
      <c r="B81" s="28" t="s">
        <v>569</v>
      </c>
    </row>
    <row r="82" spans="1:2">
      <c r="A82" s="27" t="s">
        <v>780</v>
      </c>
      <c r="B82" t="s">
        <v>570</v>
      </c>
    </row>
    <row r="83" spans="1:2">
      <c r="A83" s="36" t="s">
        <v>793</v>
      </c>
      <c r="B83" s="28" t="s">
        <v>570</v>
      </c>
    </row>
    <row r="84" spans="1:2">
      <c r="A84" s="37" t="s">
        <v>807</v>
      </c>
      <c r="B84" t="s">
        <v>567</v>
      </c>
    </row>
    <row r="85" spans="1:2">
      <c r="A85" s="37" t="s">
        <v>826</v>
      </c>
      <c r="B85" s="38" t="s">
        <v>567</v>
      </c>
    </row>
    <row r="86" spans="1:2">
      <c r="A86" s="37" t="s">
        <v>819</v>
      </c>
      <c r="B86" s="38" t="s">
        <v>568</v>
      </c>
    </row>
    <row r="87" spans="1:2">
      <c r="A87" t="s">
        <v>830</v>
      </c>
      <c r="B87" s="38" t="s">
        <v>568</v>
      </c>
    </row>
    <row r="88" spans="1:2">
      <c r="A88" s="41" t="s">
        <v>848</v>
      </c>
      <c r="B88" s="38" t="s">
        <v>567</v>
      </c>
    </row>
    <row r="89" spans="1:2">
      <c r="A89" s="37" t="s">
        <v>856</v>
      </c>
      <c r="B89" s="38" t="s">
        <v>567</v>
      </c>
    </row>
    <row r="90" spans="1:2">
      <c r="A90" s="44" t="s">
        <v>877</v>
      </c>
      <c r="B90" t="s">
        <v>567</v>
      </c>
    </row>
    <row r="91" spans="1:2">
      <c r="A91" t="s">
        <v>901</v>
      </c>
      <c r="B91" t="s">
        <v>569</v>
      </c>
    </row>
    <row r="92" spans="1:2">
      <c r="A92" t="s">
        <v>909</v>
      </c>
      <c r="B92" t="s">
        <v>568</v>
      </c>
    </row>
    <row r="93" spans="1:2">
      <c r="A93" t="s">
        <v>927</v>
      </c>
      <c r="B93" s="47" t="s">
        <v>568</v>
      </c>
    </row>
    <row r="94" spans="1:2">
      <c r="A94" t="s">
        <v>955</v>
      </c>
      <c r="B94" t="s">
        <v>569</v>
      </c>
    </row>
    <row r="95" spans="1:2">
      <c r="A95" s="48" t="s">
        <v>972</v>
      </c>
      <c r="B95" s="50" t="s">
        <v>568</v>
      </c>
    </row>
    <row r="96" spans="1:2">
      <c r="A96" t="s">
        <v>764</v>
      </c>
      <c r="B96" s="50" t="s">
        <v>569</v>
      </c>
    </row>
    <row r="97" spans="1:2">
      <c r="A97" s="48" t="s">
        <v>1001</v>
      </c>
      <c r="B97" t="s">
        <v>570</v>
      </c>
    </row>
    <row r="98" spans="1:2">
      <c r="A98" s="48" t="s">
        <v>1013</v>
      </c>
      <c r="B98" s="53" t="s">
        <v>569</v>
      </c>
    </row>
    <row r="99" spans="1:2">
      <c r="A99" t="s">
        <v>1028</v>
      </c>
      <c r="B99" t="s">
        <v>567</v>
      </c>
    </row>
    <row r="100" spans="1:2">
      <c r="A100" s="53" t="s">
        <v>1031</v>
      </c>
      <c r="B100" t="s">
        <v>569</v>
      </c>
    </row>
    <row r="101" spans="1:2">
      <c r="A101" s="48" t="s">
        <v>1076</v>
      </c>
      <c r="B101" t="s">
        <v>567</v>
      </c>
    </row>
    <row r="102" spans="1:2">
      <c r="A102" s="54" t="s">
        <v>1105</v>
      </c>
      <c r="B102" s="55" t="s">
        <v>569</v>
      </c>
    </row>
    <row r="103" spans="1:2">
      <c r="A103" s="54" t="s">
        <v>1138</v>
      </c>
      <c r="B103" t="s">
        <v>569</v>
      </c>
    </row>
    <row r="104" spans="1:2">
      <c r="A104" s="54" t="s">
        <v>1156</v>
      </c>
      <c r="B104" t="s">
        <v>568</v>
      </c>
    </row>
    <row r="105" spans="1:2">
      <c r="A105" t="s">
        <v>1158</v>
      </c>
      <c r="B105" s="68" t="s">
        <v>567</v>
      </c>
    </row>
    <row r="106" spans="1:2">
      <c r="A106" s="54" t="s">
        <v>1201</v>
      </c>
      <c r="B106" t="s">
        <v>567</v>
      </c>
    </row>
    <row r="107" spans="1:2">
      <c r="A107" t="s">
        <v>1248</v>
      </c>
      <c r="B107" t="s">
        <v>570</v>
      </c>
    </row>
    <row r="108" spans="1:2">
      <c r="A108" t="s">
        <v>1262</v>
      </c>
      <c r="B108" t="s">
        <v>568</v>
      </c>
    </row>
    <row r="109" spans="1:2">
      <c r="A109" t="s">
        <v>1271</v>
      </c>
      <c r="B109" t="s">
        <v>569</v>
      </c>
    </row>
    <row r="110" spans="1:2">
      <c r="A110" t="s">
        <v>1273</v>
      </c>
      <c r="B110" t="s">
        <v>568</v>
      </c>
    </row>
    <row r="111" spans="1:2">
      <c r="A111" t="s">
        <v>1459</v>
      </c>
      <c r="B111" t="s">
        <v>567</v>
      </c>
    </row>
    <row r="112" spans="1:2">
      <c r="A112" t="s">
        <v>1515</v>
      </c>
      <c r="B112" t="s">
        <v>568</v>
      </c>
    </row>
    <row r="113" spans="1:2">
      <c r="A113" t="s">
        <v>1666</v>
      </c>
      <c r="B113" t="s">
        <v>569</v>
      </c>
    </row>
    <row r="114" spans="1:2">
      <c r="A114" t="s">
        <v>1833</v>
      </c>
      <c r="B114" t="s">
        <v>568</v>
      </c>
    </row>
    <row r="115" spans="1:2">
      <c r="A115" t="s">
        <v>2263</v>
      </c>
      <c r="B115" t="s">
        <v>567</v>
      </c>
    </row>
    <row r="116" spans="1:2">
      <c r="A116" s="70" t="s">
        <v>2400</v>
      </c>
      <c r="B116" s="68" t="s">
        <v>569</v>
      </c>
    </row>
    <row r="117" spans="1:2">
      <c r="A117" t="s">
        <v>2436</v>
      </c>
      <c r="B117" t="s">
        <v>569</v>
      </c>
    </row>
    <row r="118" spans="1:2">
      <c r="A118" t="s">
        <v>2440</v>
      </c>
      <c r="B118" t="s">
        <v>568</v>
      </c>
    </row>
    <row r="119" spans="1:2">
      <c r="A119" s="70" t="s">
        <v>2444</v>
      </c>
      <c r="B119" s="68" t="s">
        <v>567</v>
      </c>
    </row>
    <row r="120" spans="1:2">
      <c r="A120" t="s">
        <v>2524</v>
      </c>
      <c r="B120" t="s">
        <v>569</v>
      </c>
    </row>
    <row r="121" spans="1:2">
      <c r="A121" t="s">
        <v>2662</v>
      </c>
      <c r="B121" t="s">
        <v>567</v>
      </c>
    </row>
    <row r="122" spans="1:2">
      <c r="A122" s="78" t="s">
        <v>2679</v>
      </c>
      <c r="B122" s="72" t="s">
        <v>568</v>
      </c>
    </row>
    <row r="123" spans="1:2">
      <c r="A123" s="78" t="s">
        <v>2682</v>
      </c>
      <c r="B123" s="72" t="s">
        <v>567</v>
      </c>
    </row>
    <row r="124" spans="1:2">
      <c r="A124" t="s">
        <v>2712</v>
      </c>
      <c r="B124" s="72" t="s">
        <v>567</v>
      </c>
    </row>
    <row r="125" spans="1:2">
      <c r="A125" t="s">
        <v>2890</v>
      </c>
      <c r="B125" t="s">
        <v>568</v>
      </c>
    </row>
    <row r="126" spans="1:2">
      <c r="A126" s="86" t="s">
        <v>3284</v>
      </c>
      <c r="B126" t="s">
        <v>569</v>
      </c>
    </row>
    <row r="127" spans="1:2">
      <c r="A127" t="s">
        <v>3290</v>
      </c>
      <c r="B127" t="s">
        <v>568</v>
      </c>
    </row>
    <row r="128" spans="1:2">
      <c r="A128" s="90" t="s">
        <v>3639</v>
      </c>
      <c r="B128" s="93" t="s">
        <v>569</v>
      </c>
    </row>
    <row r="129" spans="1:2">
      <c r="A129" s="110" t="s">
        <v>4416</v>
      </c>
      <c r="B129" s="103" t="s">
        <v>569</v>
      </c>
    </row>
    <row r="130" spans="1:2">
      <c r="A130" t="s">
        <v>4820</v>
      </c>
      <c r="B130" s="117" t="s">
        <v>568</v>
      </c>
    </row>
    <row r="131" spans="1:2">
      <c r="A131" t="s">
        <v>4819</v>
      </c>
      <c r="B131" s="117" t="s">
        <v>568</v>
      </c>
    </row>
    <row r="132" spans="1:2">
      <c r="A132" s="115" t="s">
        <v>5501</v>
      </c>
      <c r="B132" t="s">
        <v>570</v>
      </c>
    </row>
    <row r="133" spans="1:2">
      <c r="A133" t="s">
        <v>5682</v>
      </c>
      <c r="B133" t="s">
        <v>569</v>
      </c>
    </row>
    <row r="134" spans="1:2">
      <c r="A134" s="130" t="s">
        <v>5709</v>
      </c>
      <c r="B134" t="s">
        <v>570</v>
      </c>
    </row>
    <row r="135" spans="1:2">
      <c r="A135" s="136" t="s">
        <v>6087</v>
      </c>
      <c r="B135" s="135" t="s">
        <v>570</v>
      </c>
    </row>
    <row r="136" spans="1:2">
      <c r="A136" t="s">
        <v>6247</v>
      </c>
      <c r="B136" t="s">
        <v>567</v>
      </c>
    </row>
    <row r="137" spans="1:2">
      <c r="A137" s="146" t="s">
        <v>6273</v>
      </c>
      <c r="B137" t="s">
        <v>569</v>
      </c>
    </row>
    <row r="138" spans="1:2">
      <c r="A138" s="146" t="s">
        <v>6305</v>
      </c>
      <c r="B138" t="s">
        <v>567</v>
      </c>
    </row>
    <row r="139" spans="1:2">
      <c r="A139" t="s">
        <v>6563</v>
      </c>
      <c r="B139" s="149" t="s">
        <v>570</v>
      </c>
    </row>
    <row r="140" spans="1:2">
      <c r="A140" s="159" t="s">
        <v>6573</v>
      </c>
      <c r="B140" s="149" t="s">
        <v>567</v>
      </c>
    </row>
    <row r="141" spans="1:2">
      <c r="A141" s="165" t="s">
        <v>6665</v>
      </c>
      <c r="B141" s="149" t="s">
        <v>569</v>
      </c>
    </row>
    <row r="142" spans="1:2">
      <c r="A142" t="s">
        <v>6862</v>
      </c>
      <c r="B142" t="s">
        <v>569</v>
      </c>
    </row>
    <row r="143" spans="1:2">
      <c r="A143" t="s">
        <v>6982</v>
      </c>
      <c r="B143" s="149" t="s">
        <v>569</v>
      </c>
    </row>
    <row r="144" spans="1:2">
      <c r="A144" s="173" t="s">
        <v>6990</v>
      </c>
      <c r="B144" t="s">
        <v>6998</v>
      </c>
    </row>
    <row r="145" spans="1:2">
      <c r="A145" s="174" t="s">
        <v>7193</v>
      </c>
      <c r="B145" t="s">
        <v>7194</v>
      </c>
    </row>
  </sheetData>
  <pageMargins left="0.7" right="0.7" top="0.75" bottom="0.75" header="0.3" footer="0.3"/>
  <pageSetup orientation="portrait" r:id="rId1"/>
  <customProperties>
    <customPr name="_pios_id" r:id="rId2"/>
  </customProperties>
  <tableParts count="1">
    <tablePart r:id="rId3"/>
  </tableParts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1F93786-BFD2-451A-8662-4DCB6AF5BAD0}">
  <sheetPr codeName="Sheet8"/>
  <dimension ref="A1:A16"/>
  <sheetViews>
    <sheetView workbookViewId="0">
      <selection activeCell="B5" sqref="B5"/>
    </sheetView>
  </sheetViews>
  <sheetFormatPr defaultRowHeight="15"/>
  <cols>
    <col min="1" max="1" width="34" bestFit="1" customWidth="1"/>
  </cols>
  <sheetData>
    <row r="1" spans="1:1">
      <c r="A1" t="s">
        <v>2</v>
      </c>
    </row>
    <row r="2" spans="1:1">
      <c r="A2" t="s">
        <v>398</v>
      </c>
    </row>
    <row r="3" spans="1:1" s="22" customFormat="1">
      <c r="A3" s="22" t="s">
        <v>692</v>
      </c>
    </row>
    <row r="4" spans="1:1">
      <c r="A4" t="s">
        <v>403</v>
      </c>
    </row>
    <row r="5" spans="1:1">
      <c r="A5" t="s">
        <v>369</v>
      </c>
    </row>
    <row r="6" spans="1:1">
      <c r="A6" t="s">
        <v>404</v>
      </c>
    </row>
    <row r="7" spans="1:1" s="22" customFormat="1">
      <c r="A7" s="22" t="s">
        <v>693</v>
      </c>
    </row>
    <row r="8" spans="1:1">
      <c r="A8" t="s">
        <v>377</v>
      </c>
    </row>
    <row r="9" spans="1:1">
      <c r="A9" t="s">
        <v>370</v>
      </c>
    </row>
    <row r="10" spans="1:1">
      <c r="A10" t="s">
        <v>375</v>
      </c>
    </row>
    <row r="11" spans="1:1">
      <c r="A11" t="s">
        <v>405</v>
      </c>
    </row>
    <row r="14" spans="1:1">
      <c r="A14" t="s">
        <v>600</v>
      </c>
    </row>
    <row r="15" spans="1:1">
      <c r="A15" t="s">
        <v>406</v>
      </c>
    </row>
    <row r="16" spans="1:1">
      <c r="A16" t="s">
        <v>400</v>
      </c>
    </row>
  </sheetData>
  <pageMargins left="0.7" right="0.7" top="0.75" bottom="0.75" header="0.3" footer="0.3"/>
  <customProperties>
    <customPr name="_pios_id" r:id="rId1"/>
  </customProperties>
  <tableParts count="2">
    <tablePart r:id="rId2"/>
    <tablePart r:id="rId3"/>
  </tableParts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2593DC0-9C4D-440D-9500-A4F04C492746}">
  <sheetPr codeName="Sheet5"/>
  <dimension ref="A1:B6"/>
  <sheetViews>
    <sheetView workbookViewId="0">
      <selection activeCell="B20" sqref="B20"/>
    </sheetView>
  </sheetViews>
  <sheetFormatPr defaultRowHeight="15"/>
  <cols>
    <col min="1" max="2" width="11" customWidth="1"/>
  </cols>
  <sheetData>
    <row r="1" spans="1:2">
      <c r="A1" t="s">
        <v>601</v>
      </c>
      <c r="B1" t="s">
        <v>389</v>
      </c>
    </row>
    <row r="2" spans="1:2">
      <c r="A2" t="s">
        <v>602</v>
      </c>
      <c r="B2" t="s">
        <v>570</v>
      </c>
    </row>
    <row r="3" spans="1:2">
      <c r="A3" t="s">
        <v>603</v>
      </c>
      <c r="B3" t="s">
        <v>568</v>
      </c>
    </row>
    <row r="4" spans="1:2">
      <c r="A4" t="s">
        <v>604</v>
      </c>
      <c r="B4" t="s">
        <v>569</v>
      </c>
    </row>
    <row r="5" spans="1:2">
      <c r="A5" t="s">
        <v>605</v>
      </c>
      <c r="B5" t="s">
        <v>567</v>
      </c>
    </row>
    <row r="6" spans="1:2">
      <c r="A6" t="s">
        <v>606</v>
      </c>
      <c r="B6" s="22" t="s">
        <v>567</v>
      </c>
    </row>
  </sheetData>
  <pageMargins left="0.7" right="0.7" top="0.75" bottom="0.75" header="0.3" footer="0.3"/>
  <customProperties>
    <customPr name="_pios_id" r:id="rId1"/>
  </customProperties>
  <tableParts count="1">
    <tablePart r:id="rId2"/>
  </tableParts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75C83E1-888F-4423-8E5B-9DF55B906F5D}">
  <sheetPr codeName="Sheet9"/>
  <dimension ref="A1:F5"/>
  <sheetViews>
    <sheetView workbookViewId="0">
      <selection activeCell="E23" sqref="E23"/>
    </sheetView>
  </sheetViews>
  <sheetFormatPr defaultRowHeight="15"/>
  <cols>
    <col min="1" max="1" width="9.140625" bestFit="1" customWidth="1"/>
    <col min="2" max="2" width="17.42578125" bestFit="1" customWidth="1"/>
    <col min="3" max="3" width="26.42578125" bestFit="1" customWidth="1"/>
    <col min="4" max="4" width="17.5703125" bestFit="1" customWidth="1"/>
    <col min="5" max="5" width="25.7109375" bestFit="1" customWidth="1"/>
    <col min="6" max="6" width="116.5703125" bestFit="1" customWidth="1"/>
  </cols>
  <sheetData>
    <row r="1" spans="1:6">
      <c r="A1" t="s">
        <v>389</v>
      </c>
      <c r="B1" t="s">
        <v>607</v>
      </c>
      <c r="C1" t="s">
        <v>608</v>
      </c>
      <c r="D1" t="s">
        <v>609</v>
      </c>
      <c r="E1" t="s">
        <v>610</v>
      </c>
      <c r="F1" t="s">
        <v>611</v>
      </c>
    </row>
    <row r="2" spans="1:6">
      <c r="A2" t="s">
        <v>567</v>
      </c>
      <c r="B2" t="s">
        <v>401</v>
      </c>
      <c r="C2">
        <v>21</v>
      </c>
      <c r="D2">
        <v>3</v>
      </c>
      <c r="E2">
        <v>528</v>
      </c>
      <c r="F2" t="s">
        <v>612</v>
      </c>
    </row>
    <row r="3" spans="1:6">
      <c r="A3" t="s">
        <v>568</v>
      </c>
      <c r="B3" t="s">
        <v>401</v>
      </c>
      <c r="C3">
        <v>24</v>
      </c>
      <c r="D3">
        <v>9</v>
      </c>
      <c r="E3">
        <v>222</v>
      </c>
      <c r="F3" t="s">
        <v>613</v>
      </c>
    </row>
    <row r="4" spans="1:6">
      <c r="A4" t="s">
        <v>569</v>
      </c>
      <c r="B4" t="s">
        <v>401</v>
      </c>
      <c r="C4">
        <v>10</v>
      </c>
      <c r="D4">
        <v>1</v>
      </c>
      <c r="E4">
        <v>25</v>
      </c>
      <c r="F4" t="s">
        <v>614</v>
      </c>
    </row>
    <row r="5" spans="1:6">
      <c r="A5" t="s">
        <v>570</v>
      </c>
      <c r="B5" t="s">
        <v>401</v>
      </c>
      <c r="C5">
        <v>11</v>
      </c>
      <c r="D5">
        <v>4</v>
      </c>
      <c r="E5">
        <v>1936</v>
      </c>
      <c r="F5" t="s">
        <v>615</v>
      </c>
    </row>
  </sheetData>
  <phoneticPr fontId="5" type="noConversion"/>
  <pageMargins left="0.7" right="0.7" top="0.75" bottom="0.75" header="0.3" footer="0.3"/>
  <customProperties>
    <customPr name="_pios_id" r:id="rId1"/>
  </customProperties>
  <tableParts count="1">
    <tablePart r:id="rId2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item1.xml><?xml version="1.0" encoding="utf-8"?>
<Application xmlns="http://www.sap.com/cof/excel/application">
  <Version>2</Version>
  <Revision>2.6.200.79950</Revision>
</Application>
</file>

<file path=customXml/item2.xml>�� 
</file>

<file path=customXml/itemProps1.xml><?xml version="1.0" encoding="utf-8"?>
<ds:datastoreItem xmlns:ds="http://schemas.openxmlformats.org/officeDocument/2006/customXml" ds:itemID="{491C0B3A-37E9-4234-BCA0-95227B1C0FF7}">
  <ds:schemaRefs>
    <ds:schemaRef ds:uri="http://www.sap.com/cof/excel/application"/>
  </ds:schemaRefs>
</ds:datastoreItem>
</file>

<file path=customXml/itemProps2.xml><?xml version="1.0" encoding="utf-8"?>
<ds:datastoreItem xmlns:ds="http://schemas.openxmlformats.org/officeDocument/2006/customXml" ds:itemID="{328D5DD9-A6F6-4B9B-B766-82CDFB420903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13</vt:i4>
      </vt:variant>
    </vt:vector>
  </HeadingPairs>
  <TitlesOfParts>
    <vt:vector size="13" baseType="lpstr">
      <vt:lpstr>KPI</vt:lpstr>
      <vt:lpstr>Report</vt:lpstr>
      <vt:lpstr>OK</vt:lpstr>
      <vt:lpstr>PROC</vt:lpstr>
      <vt:lpstr>Sheet4</vt:lpstr>
      <vt:lpstr>Sheet3</vt:lpstr>
      <vt:lpstr>Sheet2</vt:lpstr>
      <vt:lpstr>Sheet1</vt:lpstr>
      <vt:lpstr>For Commentary</vt:lpstr>
      <vt:lpstr>Authors</vt:lpstr>
      <vt:lpstr>STAT</vt:lpstr>
      <vt:lpstr>Sector</vt:lpstr>
      <vt:lpstr>YelTable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Pierre Collado</dc:creator>
  <cp:keywords/>
  <dc:description/>
  <cp:lastModifiedBy>Pierre Collado</cp:lastModifiedBy>
  <cp:revision/>
  <dcterms:created xsi:type="dcterms:W3CDTF">2023-06-07T06:58:46Z</dcterms:created>
  <dcterms:modified xsi:type="dcterms:W3CDTF">2025-12-19T00:01:10Z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ustomUiType">
    <vt:lpwstr>2</vt:lpwstr>
  </property>
</Properties>
</file>